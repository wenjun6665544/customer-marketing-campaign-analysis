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ff9cf1d30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fdbef46a12d4b80"/>
    <x:sheet xmlns:r="http://schemas.openxmlformats.org/officeDocument/2006/relationships" name="Segment Analysis" sheetId="2" r:id="Rcef819c9e8064a66"/>
    <x:sheet xmlns:r="http://schemas.openxmlformats.org/officeDocument/2006/relationships" name="Cleaned Data" sheetId="3" r:id="Rb56d0ecd4f2543b3"/>
    <x:sheet xmlns:r="http://schemas.openxmlformats.org/officeDocument/2006/relationships" name="Source Data" sheetId="4" r:id="Rd20af40632064dee"/>
    <x:sheet xmlns:r="http://schemas.openxmlformats.org/officeDocument/2006/relationships" name="Data Dictionary" sheetId="5" r:id="R914b0d867ed2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-yyyy"/>
    <x:numFmt numFmtId="201" formatCode="$#,##0"/>
    <x:numFmt numFmtId="202" formatCode="0.0%"/>
    <x:numFmt numFmtId="203" formatCode="#,##0"/>
  </x:numFmts>
  <x:fonts count="13">
    <x:font>
      <x:sz val="11"/>
      <x:name val="Carlito"/>
    </x:font>
    <x:font>
      <x:sz val="9"/>
      <x:color rgb="FF243444"/>
      <x:name val="Aptos"/>
    </x:font>
    <x:font>
      <x:b/>
      <x:sz val="9"/>
      <x:color rgb="FFFFFFFF"/>
      <x:name val="Aptos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243444"/>
      <x:name val="Carlito"/>
    </x:font>
    <x:font>
      <x:b/>
      <x:sz val="20"/>
      <x:color rgb="FF17324D"/>
      <x:name val="Carlito"/>
    </x:font>
    <x:font>
      <x:b/>
      <x:sz val="13"/>
      <x:color rgb="FFFFFFFF"/>
      <x:name val="Carlito"/>
    </x:font>
    <x:font>
      <x:sz val="11"/>
      <x:color rgb="FF243444"/>
      <x:name val="Carlito"/>
    </x:font>
    <x:font>
      <x:b/>
      <x:sz val="13"/>
      <x:color rgb="FF243444"/>
      <x:name val="Carlito"/>
    </x:font>
    <x:font>
      <x:i/>
      <x:sz val="9"/>
      <x:color rgb="FF5B6670"/>
      <x:name val="Carlito"/>
    </x:font>
    <x:font>
      <x:i/>
      <x:sz val="11"/>
      <x:color rgb="FF8A1C1C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8FBFD"/>
      </x:patternFill>
    </x:fill>
    <x:fill>
      <x:patternFill patternType="solid">
        <x:fgColor rgb="FF2F75B5"/>
      </x:patternFill>
    </x:fill>
    <x:fill>
      <x:patternFill patternType="solid">
        <x:fgColor rgb="FFDCE8F2"/>
      </x:patternFill>
    </x:fill>
    <x:fill>
      <x:patternFill patternType="solid">
        <x:fgColor rgb="FFEAF2F8"/>
      </x:patternFill>
    </x:fill>
    <x:fill>
      <x:patternFill patternType="solid">
        <x:fgColor rgb="FF2A9D8F"/>
      </x:patternFill>
    </x:fill>
    <x:fill>
      <x:patternFill patternType="solid">
        <x:fgColor rgb="FFF7FAFC"/>
      </x:patternFill>
    </x:fill>
    <x:fill>
      <x:patternFill patternType="solid">
        <x:fgColor rgb="FFE9C46A"/>
      </x:patternFill>
    </x:fill>
    <x:fill>
      <x:patternFill patternType="solid">
        <x:fgColor rgb="FFFFF9E8"/>
      </x:patternFill>
    </x:fill>
    <x:fill>
      <x:patternFill patternType="solid">
        <x:fgColor rgb="FFF3F5F7"/>
      </x:patternFill>
    </x:fill>
    <x:fill>
      <x:patternFill patternType="solid">
        <x:fgColor rgb="FFFDECEC"/>
      </x:patternFill>
    </x:fill>
  </x:fills>
  <x:borders count="33">
    <x:border/>
    <x:border>
      <x:bottom style="thin">
        <x:color rgb="FFE6E9ED"/>
      </x:bottom>
    </x:border>
    <x:border>
      <x:top style="thin">
        <x:color rgb="FFE6E9ED"/>
      </x:top>
      <x:bottom style="thin">
        <x:color rgb="FFE6E9ED"/>
      </x:bottom>
    </x:border>
    <x:border>
      <x:top style="thin">
        <x:color rgb="FFE6E9ED"/>
      </x:top>
    </x:border>
    <x:border>
      <x:bottom style="thin">
        <x:color rgb="FFE8ECEF"/>
      </x:bottom>
    </x:border>
    <x:border>
      <x:top style="thin">
        <x:color rgb="FFE8ECEF"/>
      </x:top>
      <x:bottom style="thin">
        <x:color rgb="FFE8ECEF"/>
      </x:bottom>
    </x:border>
    <x:border>
      <x:top style="thin">
        <x:color rgb="FFE8ECEF"/>
      </x:top>
    </x:border>
    <x:border>
      <x:bottom style="thin">
        <x:color rgb="FFDDE3E8"/>
      </x:bottom>
    </x:border>
    <x:border>
      <x:top style="thin">
        <x:color rgb="FFDDE3E8"/>
      </x:top>
      <x:bottom style="thin">
        <x:color rgb="FFDDE3E8"/>
      </x:bottom>
    </x:border>
    <x:border>
      <x:top style="thin">
        <x:color rgb="FFDDE3E8"/>
      </x:top>
      <x:bottom style="thin">
        <x:color rgb="FFB8C2CC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C9D4DD"/>
      </x:left>
      <x:top style="thin">
        <x:color rgb="FFC9D4DD"/>
      </x:top>
    </x:border>
    <x:border>
      <x:top style="thin">
        <x:color rgb="FFC9D4DD"/>
      </x:top>
    </x:border>
    <x:border>
      <x:right style="thin">
        <x:color rgb="FFC9D4DD"/>
      </x:right>
      <x:top style="thin">
        <x:color rgb="FFC9D4DD"/>
      </x:top>
    </x:border>
    <x:border>
      <x:left style="thin">
        <x:color rgb="FFC9D4DD"/>
      </x:left>
    </x:border>
    <x:border>
      <x:right style="thin">
        <x:color rgb="FFC9D4DD"/>
      </x:right>
    </x:border>
    <x:border>
      <x:left style="thin">
        <x:color rgb="FFC9D4DD"/>
      </x:left>
      <x:bottom style="thin">
        <x:color rgb="FFC9D4DD"/>
      </x:bottom>
    </x:border>
    <x:border>
      <x:bottom style="thin">
        <x:color rgb="FFC9D4DD"/>
      </x:bottom>
    </x:border>
    <x:border>
      <x:right style="thin">
        <x:color rgb="FFC9D4DD"/>
      </x:right>
      <x:bottom style="thin">
        <x:color rgb="FFC9D4DD"/>
      </x:bottom>
    </x:border>
    <x:border>
      <x:left style="thin">
        <x:color rgb="FFD8C789"/>
      </x:left>
      <x:top style="thin">
        <x:color rgb="FFD8C789"/>
      </x:top>
    </x:border>
    <x:border>
      <x:top style="thin">
        <x:color rgb="FFD8C789"/>
      </x:top>
    </x:border>
    <x:border>
      <x:right style="thin">
        <x:color rgb="FFD8C789"/>
      </x:right>
      <x:top style="thin">
        <x:color rgb="FFD8C789"/>
      </x:top>
    </x:border>
    <x:border>
      <x:left style="thin">
        <x:color rgb="FFD8C789"/>
      </x:left>
    </x:border>
    <x:border>
      <x:right style="thin">
        <x:color rgb="FFD8C789"/>
      </x:right>
    </x:border>
    <x:border>
      <x:left style="thin">
        <x:color rgb="FFD8C789"/>
      </x:left>
      <x:bottom style="thin">
        <x:color rgb="FFD8C789"/>
      </x:bottom>
    </x:border>
    <x:border>
      <x:bottom style="thin">
        <x:color rgb="FFD8C789"/>
      </x:bottom>
    </x:border>
    <x:border>
      <x:right style="thin">
        <x:color rgb="FFD8C789"/>
      </x:right>
      <x:bottom style="thin">
        <x:color rgb="FFD8C789"/>
      </x:bottom>
    </x:border>
    <x:border>
      <x:top style="thin">
        <x:color rgb="FFDDE3E8"/>
      </x:top>
    </x:border>
  </x:borders>
  <x:cellStyleXfs count="1">
    <x:xf numFmtId="0" fontId="0" fillId="0" borderId="0"/>
  </x:cellStyleXfs>
  <x:cellXfs count="17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0" borderId="4" xfId="0" applyNumberFormat="1" applyFont="1" applyFill="1" applyBorder="1"/>
    <x:xf numFmtId="0" fontId="1" fillId="3" borderId="4" xfId="0" applyNumberFormat="1" applyFont="1" applyFill="1" applyBorder="1"/>
    <x:xf numFmtId="0" fontId="1" fillId="0" borderId="5" xfId="0" applyNumberFormat="1" applyFont="1" applyFill="1" applyBorder="1"/>
    <x:xf numFmtId="0" fontId="1" fillId="3" borderId="5" xfId="0" applyNumberFormat="1" applyFont="1" applyFill="1" applyBorder="1"/>
    <x:xf numFmtId="0" fontId="1" fillId="0" borderId="6" xfId="0" applyNumberFormat="1" applyFont="1" applyFill="1" applyBorder="1"/>
    <x:xf numFmtId="0" fontId="1" fillId="3" borderId="6" xfId="0" applyNumberFormat="1" applyFont="1" applyFill="1" applyBorder="1"/>
    <x:xf numFmtId="201" fontId="1" fillId="3" borderId="4" xfId="0" applyNumberFormat="1" applyFont="1" applyFill="1" applyBorder="1"/>
    <x:xf numFmtId="201" fontId="1" fillId="3" borderId="5" xfId="0" applyNumberFormat="1" applyFont="1" applyFill="1" applyBorder="1"/>
    <x:xf numFmtId="201" fontId="1" fillId="3" borderId="6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7" xfId="0" applyNumberFormat="1" applyFont="1" applyFill="1" applyBorder="1"/>
    <x:xf numFmtId="0" fontId="4" fillId="4" borderId="7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203" fontId="7" fillId="6" borderId="10" xfId="0" applyNumberFormat="1" applyFont="1" applyFill="1" applyBorder="1"/>
    <x:xf numFmtId="203" fontId="7" fillId="6" borderId="11" xfId="0" applyNumberFormat="1" applyFont="1" applyFill="1" applyBorder="1"/>
    <x:xf numFmtId="203" fontId="7" fillId="6" borderId="12" xfId="0" applyNumberFormat="1" applyFont="1" applyFill="1" applyBorder="1"/>
    <x:xf numFmtId="203" fontId="7" fillId="6" borderId="13" xfId="0" applyNumberFormat="1" applyFont="1" applyFill="1" applyBorder="1"/>
    <x:xf numFmtId="203" fontId="7" fillId="6" borderId="14" xfId="0" applyNumberFormat="1" applyFont="1" applyFill="1" applyBorder="1"/>
    <x:xf numFmtId="203" fontId="7" fillId="6" borderId="15" xfId="0" applyNumberFormat="1" applyFont="1" applyFill="1" applyBorder="1"/>
    <x:xf numFmtId="203" fontId="7" fillId="6" borderId="10" xfId="0" applyNumberFormat="1" applyFont="1" applyFill="1" applyBorder="1" applyAlignment="1">
      <x:alignment horizontal="center"/>
    </x:xf>
    <x:xf numFmtId="203" fontId="7" fillId="6" borderId="11" xfId="0" applyNumberFormat="1" applyFont="1" applyFill="1" applyBorder="1" applyAlignment="1">
      <x:alignment horizontal="center"/>
    </x:xf>
    <x:xf numFmtId="203" fontId="7" fillId="6" borderId="12" xfId="0" applyNumberFormat="1" applyFont="1" applyFill="1" applyBorder="1" applyAlignment="1">
      <x:alignment horizontal="center"/>
    </x:xf>
    <x:xf numFmtId="203" fontId="7" fillId="6" borderId="13" xfId="0" applyNumberFormat="1" applyFont="1" applyFill="1" applyBorder="1" applyAlignment="1">
      <x:alignment horizontal="center"/>
    </x:xf>
    <x:xf numFmtId="203" fontId="7" fillId="6" borderId="14" xfId="0" applyNumberFormat="1" applyFont="1" applyFill="1" applyBorder="1" applyAlignment="1">
      <x:alignment horizontal="center"/>
    </x:xf>
    <x:xf numFmtId="203" fontId="7" fillId="6" borderId="15" xfId="0" applyNumberFormat="1" applyFont="1" applyFill="1" applyBorder="1" applyAlignment="1">
      <x:alignment horizontal="center"/>
    </x:xf>
    <x:xf numFmtId="203" fontId="7" fillId="6" borderId="10" xfId="0" applyNumberFormat="1" applyFont="1" applyFill="1" applyBorder="1" applyAlignment="1">
      <x:alignment horizontal="center" vertical="center"/>
    </x:xf>
    <x:xf numFmtId="203" fontId="7" fillId="6" borderId="11" xfId="0" applyNumberFormat="1" applyFont="1" applyFill="1" applyBorder="1" applyAlignment="1">
      <x:alignment horizontal="center" vertical="center"/>
    </x:xf>
    <x:xf numFmtId="203" fontId="7" fillId="6" borderId="12" xfId="0" applyNumberFormat="1" applyFont="1" applyFill="1" applyBorder="1" applyAlignment="1">
      <x:alignment horizontal="center" vertical="center"/>
    </x:xf>
    <x:xf numFmtId="203" fontId="7" fillId="6" borderId="13" xfId="0" applyNumberFormat="1" applyFont="1" applyFill="1" applyBorder="1" applyAlignment="1">
      <x:alignment horizontal="center" vertical="center"/>
    </x:xf>
    <x:xf numFmtId="203" fontId="7" fillId="6" borderId="14" xfId="0" applyNumberFormat="1" applyFont="1" applyFill="1" applyBorder="1" applyAlignment="1">
      <x:alignment horizontal="center" vertical="center"/>
    </x:xf>
    <x:xf numFmtId="203" fontId="7" fillId="6" borderId="15" xfId="0" applyNumberFormat="1" applyFont="1" applyFill="1" applyBorder="1" applyAlignment="1">
      <x:alignment horizontal="center" vertical="center"/>
    </x:xf>
    <x:xf numFmtId="202" fontId="7" fillId="6" borderId="10" xfId="0" applyNumberFormat="1" applyFont="1" applyFill="1" applyBorder="1"/>
    <x:xf numFmtId="202" fontId="7" fillId="6" borderId="11" xfId="0" applyNumberFormat="1" applyFont="1" applyFill="1" applyBorder="1"/>
    <x:xf numFmtId="202" fontId="7" fillId="6" borderId="12" xfId="0" applyNumberFormat="1" applyFont="1" applyFill="1" applyBorder="1"/>
    <x:xf numFmtId="202" fontId="7" fillId="6" borderId="13" xfId="0" applyNumberFormat="1" applyFont="1" applyFill="1" applyBorder="1"/>
    <x:xf numFmtId="202" fontId="7" fillId="6" borderId="14" xfId="0" applyNumberFormat="1" applyFont="1" applyFill="1" applyBorder="1"/>
    <x:xf numFmtId="202" fontId="7" fillId="6" borderId="15" xfId="0" applyNumberFormat="1" applyFont="1" applyFill="1" applyBorder="1"/>
    <x:xf numFmtId="202" fontId="7" fillId="6" borderId="10" xfId="0" applyNumberFormat="1" applyFont="1" applyFill="1" applyBorder="1" applyAlignment="1">
      <x:alignment horizontal="center"/>
    </x:xf>
    <x:xf numFmtId="202" fontId="7" fillId="6" borderId="11" xfId="0" applyNumberFormat="1" applyFont="1" applyFill="1" applyBorder="1" applyAlignment="1">
      <x:alignment horizontal="center"/>
    </x:xf>
    <x:xf numFmtId="202" fontId="7" fillId="6" borderId="12" xfId="0" applyNumberFormat="1" applyFont="1" applyFill="1" applyBorder="1" applyAlignment="1">
      <x:alignment horizontal="center"/>
    </x:xf>
    <x:xf numFmtId="202" fontId="7" fillId="6" borderId="13" xfId="0" applyNumberFormat="1" applyFont="1" applyFill="1" applyBorder="1" applyAlignment="1">
      <x:alignment horizontal="center"/>
    </x:xf>
    <x:xf numFmtId="202" fontId="7" fillId="6" borderId="14" xfId="0" applyNumberFormat="1" applyFont="1" applyFill="1" applyBorder="1" applyAlignment="1">
      <x:alignment horizontal="center"/>
    </x:xf>
    <x:xf numFmtId="202" fontId="7" fillId="6" borderId="15" xfId="0" applyNumberFormat="1" applyFont="1" applyFill="1" applyBorder="1" applyAlignment="1">
      <x:alignment horizontal="center"/>
    </x:xf>
    <x:xf numFmtId="202" fontId="7" fillId="6" borderId="10" xfId="0" applyNumberFormat="1" applyFont="1" applyFill="1" applyBorder="1" applyAlignment="1">
      <x:alignment horizontal="center" vertical="center"/>
    </x:xf>
    <x:xf numFmtId="202" fontId="7" fillId="6" borderId="11" xfId="0" applyNumberFormat="1" applyFont="1" applyFill="1" applyBorder="1" applyAlignment="1">
      <x:alignment horizontal="center" vertical="center"/>
    </x:xf>
    <x:xf numFmtId="202" fontId="7" fillId="6" borderId="12" xfId="0" applyNumberFormat="1" applyFont="1" applyFill="1" applyBorder="1" applyAlignment="1">
      <x:alignment horizontal="center" vertical="center"/>
    </x:xf>
    <x:xf numFmtId="202" fontId="7" fillId="6" borderId="13" xfId="0" applyNumberFormat="1" applyFont="1" applyFill="1" applyBorder="1" applyAlignment="1">
      <x:alignment horizontal="center" vertical="center"/>
    </x:xf>
    <x:xf numFmtId="202" fontId="7" fillId="6" borderId="14" xfId="0" applyNumberFormat="1" applyFont="1" applyFill="1" applyBorder="1" applyAlignment="1">
      <x:alignment horizontal="center" vertical="center"/>
    </x:xf>
    <x:xf numFmtId="202" fontId="7" fillId="6" borderId="15" xfId="0" applyNumberFormat="1" applyFont="1" applyFill="1" applyBorder="1" applyAlignment="1">
      <x:alignment horizontal="center" vertical="center"/>
    </x:xf>
    <x:xf numFmtId="201" fontId="7" fillId="6" borderId="10" xfId="0" applyNumberFormat="1" applyFont="1" applyFill="1" applyBorder="1"/>
    <x:xf numFmtId="201" fontId="7" fillId="6" borderId="11" xfId="0" applyNumberFormat="1" applyFont="1" applyFill="1" applyBorder="1"/>
    <x:xf numFmtId="201" fontId="7" fillId="6" borderId="12" xfId="0" applyNumberFormat="1" applyFont="1" applyFill="1" applyBorder="1"/>
    <x:xf numFmtId="201" fontId="7" fillId="6" borderId="13" xfId="0" applyNumberFormat="1" applyFont="1" applyFill="1" applyBorder="1"/>
    <x:xf numFmtId="201" fontId="7" fillId="6" borderId="14" xfId="0" applyNumberFormat="1" applyFont="1" applyFill="1" applyBorder="1"/>
    <x:xf numFmtId="201" fontId="7" fillId="6" borderId="15" xfId="0" applyNumberFormat="1" applyFont="1" applyFill="1" applyBorder="1"/>
    <x:xf numFmtId="201" fontId="7" fillId="6" borderId="10" xfId="0" applyNumberFormat="1" applyFont="1" applyFill="1" applyBorder="1" applyAlignment="1">
      <x:alignment horizontal="center"/>
    </x:xf>
    <x:xf numFmtId="201" fontId="7" fillId="6" borderId="11" xfId="0" applyNumberFormat="1" applyFont="1" applyFill="1" applyBorder="1" applyAlignment="1">
      <x:alignment horizontal="center"/>
    </x:xf>
    <x:xf numFmtId="201" fontId="7" fillId="6" borderId="12" xfId="0" applyNumberFormat="1" applyFont="1" applyFill="1" applyBorder="1" applyAlignment="1">
      <x:alignment horizontal="center"/>
    </x:xf>
    <x:xf numFmtId="201" fontId="7" fillId="6" borderId="13" xfId="0" applyNumberFormat="1" applyFont="1" applyFill="1" applyBorder="1" applyAlignment="1">
      <x:alignment horizontal="center"/>
    </x:xf>
    <x:xf numFmtId="201" fontId="7" fillId="6" borderId="14" xfId="0" applyNumberFormat="1" applyFont="1" applyFill="1" applyBorder="1" applyAlignment="1">
      <x:alignment horizontal="center"/>
    </x:xf>
    <x:xf numFmtId="201" fontId="7" fillId="6" borderId="15" xfId="0" applyNumberFormat="1" applyFont="1" applyFill="1" applyBorder="1" applyAlignment="1">
      <x:alignment horizontal="center"/>
    </x:xf>
    <x:xf numFmtId="201" fontId="7" fillId="6" borderId="10" xfId="0" applyNumberFormat="1" applyFont="1" applyFill="1" applyBorder="1" applyAlignment="1">
      <x:alignment horizontal="center" vertical="center"/>
    </x:xf>
    <x:xf numFmtId="201" fontId="7" fillId="6" borderId="11" xfId="0" applyNumberFormat="1" applyFont="1" applyFill="1" applyBorder="1" applyAlignment="1">
      <x:alignment horizontal="center" vertical="center"/>
    </x:xf>
    <x:xf numFmtId="201" fontId="7" fillId="6" borderId="12" xfId="0" applyNumberFormat="1" applyFont="1" applyFill="1" applyBorder="1" applyAlignment="1">
      <x:alignment horizontal="center" vertical="center"/>
    </x:xf>
    <x:xf numFmtId="201" fontId="7" fillId="6" borderId="13" xfId="0" applyNumberFormat="1" applyFont="1" applyFill="1" applyBorder="1" applyAlignment="1">
      <x:alignment horizontal="center" vertical="center"/>
    </x:xf>
    <x:xf numFmtId="201" fontId="7" fillId="6" borderId="14" xfId="0" applyNumberFormat="1" applyFont="1" applyFill="1" applyBorder="1" applyAlignment="1">
      <x:alignment horizontal="center" vertical="center"/>
    </x:xf>
    <x:xf numFmtId="201" fontId="7" fillId="6" borderId="1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6" xfId="0" applyNumberFormat="1" applyFont="1" applyFill="1" applyBorder="1"/>
    <x:xf numFmtId="0" fontId="9" fillId="8" borderId="17" xfId="0" applyNumberFormat="1" applyFont="1" applyFill="1" applyBorder="1"/>
    <x:xf numFmtId="0" fontId="9" fillId="8" borderId="18" xfId="0" applyNumberFormat="1" applyFont="1" applyFill="1" applyBorder="1"/>
    <x:xf numFmtId="0" fontId="9" fillId="8" borderId="19" xfId="0" applyNumberFormat="1" applyFont="1" applyFill="1" applyBorder="1"/>
    <x:xf numFmtId="0" fontId="9" fillId="8" borderId="20" xfId="0" applyNumberFormat="1" applyFont="1" applyFill="1" applyBorder="1"/>
    <x:xf numFmtId="0" fontId="9" fillId="8" borderId="21" xfId="0" applyNumberFormat="1" applyFont="1" applyFill="1" applyBorder="1"/>
    <x:xf numFmtId="0" fontId="9" fillId="8" borderId="22" xfId="0" applyNumberFormat="1" applyFont="1" applyFill="1" applyBorder="1"/>
    <x:xf numFmtId="0" fontId="9" fillId="8" borderId="23" xfId="0" applyNumberFormat="1" applyFont="1" applyFill="1" applyBorder="1"/>
    <x:xf numFmtId="0" fontId="9" fillId="8" borderId="16" xfId="0" applyNumberFormat="1" applyFont="1" applyFill="1" applyBorder="1" applyAlignment="1">
      <x:alignment wrapText="1"/>
    </x:xf>
    <x:xf numFmtId="0" fontId="9" fillId="8" borderId="17" xfId="0" applyNumberFormat="1" applyFont="1" applyFill="1" applyBorder="1" applyAlignment="1">
      <x:alignment wrapText="1"/>
    </x:xf>
    <x:xf numFmtId="0" fontId="9" fillId="8" borderId="18" xfId="0" applyNumberFormat="1" applyFont="1" applyFill="1" applyBorder="1" applyAlignment="1">
      <x:alignment wrapText="1"/>
    </x:xf>
    <x:xf numFmtId="0" fontId="9" fillId="8" borderId="19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20" xfId="0" applyNumberFormat="1" applyFont="1" applyFill="1" applyBorder="1" applyAlignment="1">
      <x:alignment wrapText="1"/>
    </x:xf>
    <x:xf numFmtId="0" fontId="9" fillId="8" borderId="21" xfId="0" applyNumberFormat="1" applyFont="1" applyFill="1" applyBorder="1" applyAlignment="1">
      <x:alignment wrapText="1"/>
    </x:xf>
    <x:xf numFmtId="0" fontId="9" fillId="8" borderId="22" xfId="0" applyNumberFormat="1" applyFont="1" applyFill="1" applyBorder="1" applyAlignment="1">
      <x:alignment wrapText="1"/>
    </x:xf>
    <x:xf numFmtId="0" fontId="9" fillId="8" borderId="23" xfId="0" applyNumberFormat="1" applyFont="1" applyFill="1" applyBorder="1" applyAlignment="1">
      <x:alignment wrapText="1"/>
    </x:xf>
    <x:xf numFmtId="0" fontId="9" fillId="8" borderId="16" xfId="0" applyNumberFormat="1" applyFont="1" applyFill="1" applyBorder="1" applyAlignment="1">
      <x:alignment vertical="top" wrapText="1"/>
    </x:xf>
    <x:xf numFmtId="0" fontId="9" fillId="8" borderId="17" xfId="0" applyNumberFormat="1" applyFont="1" applyFill="1" applyBorder="1" applyAlignment="1">
      <x:alignment vertical="top" wrapText="1"/>
    </x:xf>
    <x:xf numFmtId="0" fontId="9" fillId="8" borderId="18" xfId="0" applyNumberFormat="1" applyFont="1" applyFill="1" applyBorder="1" applyAlignment="1">
      <x:alignment vertical="top" wrapText="1"/>
    </x:xf>
    <x:xf numFmtId="0" fontId="9" fillId="8" borderId="19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20" xfId="0" applyNumberFormat="1" applyFont="1" applyFill="1" applyBorder="1" applyAlignment="1">
      <x:alignment vertical="top" wrapText="1"/>
    </x:xf>
    <x:xf numFmtId="0" fontId="9" fillId="8" borderId="21" xfId="0" applyNumberFormat="1" applyFont="1" applyFill="1" applyBorder="1" applyAlignment="1">
      <x:alignment vertical="top" wrapText="1"/>
    </x:xf>
    <x:xf numFmtId="0" fontId="9" fillId="8" borderId="22" xfId="0" applyNumberFormat="1" applyFont="1" applyFill="1" applyBorder="1" applyAlignment="1">
      <x:alignment vertical="top" wrapText="1"/>
    </x:xf>
    <x:xf numFmtId="0" fontId="9" fillId="8" borderId="2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24" xfId="0" applyNumberFormat="1" applyFont="1" applyFill="1" applyBorder="1"/>
    <x:xf numFmtId="0" fontId="9" fillId="10" borderId="25" xfId="0" applyNumberFormat="1" applyFont="1" applyFill="1" applyBorder="1"/>
    <x:xf numFmtId="0" fontId="9" fillId="10" borderId="26" xfId="0" applyNumberFormat="1" applyFont="1" applyFill="1" applyBorder="1"/>
    <x:xf numFmtId="0" fontId="9" fillId="10" borderId="27" xfId="0" applyNumberFormat="1" applyFont="1" applyFill="1" applyBorder="1"/>
    <x:xf numFmtId="0" fontId="9" fillId="10" borderId="28" xfId="0" applyNumberFormat="1" applyFont="1" applyFill="1" applyBorder="1"/>
    <x:xf numFmtId="0" fontId="9" fillId="10" borderId="29" xfId="0" applyNumberFormat="1" applyFont="1" applyFill="1" applyBorder="1"/>
    <x:xf numFmtId="0" fontId="9" fillId="10" borderId="30" xfId="0" applyNumberFormat="1" applyFont="1" applyFill="1" applyBorder="1"/>
    <x:xf numFmtId="0" fontId="9" fillId="10" borderId="31" xfId="0" applyNumberFormat="1" applyFont="1" applyFill="1" applyBorder="1"/>
    <x:xf numFmtId="0" fontId="9" fillId="10" borderId="24" xfId="0" applyNumberFormat="1" applyFont="1" applyFill="1" applyBorder="1" applyAlignment="1">
      <x:alignment wrapText="1"/>
    </x:xf>
    <x:xf numFmtId="0" fontId="9" fillId="10" borderId="25" xfId="0" applyNumberFormat="1" applyFont="1" applyFill="1" applyBorder="1" applyAlignment="1">
      <x:alignment wrapText="1"/>
    </x:xf>
    <x:xf numFmtId="0" fontId="9" fillId="10" borderId="26" xfId="0" applyNumberFormat="1" applyFont="1" applyFill="1" applyBorder="1" applyAlignment="1">
      <x:alignment wrapText="1"/>
    </x:xf>
    <x:xf numFmtId="0" fontId="9" fillId="10" borderId="27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wrapText="1"/>
    </x:xf>
    <x:xf numFmtId="0" fontId="9" fillId="10" borderId="28" xfId="0" applyNumberFormat="1" applyFont="1" applyFill="1" applyBorder="1" applyAlignment="1">
      <x:alignment wrapText="1"/>
    </x:xf>
    <x:xf numFmtId="0" fontId="9" fillId="10" borderId="29" xfId="0" applyNumberFormat="1" applyFont="1" applyFill="1" applyBorder="1" applyAlignment="1">
      <x:alignment wrapText="1"/>
    </x:xf>
    <x:xf numFmtId="0" fontId="9" fillId="10" borderId="30" xfId="0" applyNumberFormat="1" applyFont="1" applyFill="1" applyBorder="1" applyAlignment="1">
      <x:alignment wrapText="1"/>
    </x:xf>
    <x:xf numFmtId="0" fontId="9" fillId="10" borderId="31" xfId="0" applyNumberFormat="1" applyFont="1" applyFill="1" applyBorder="1" applyAlignment="1">
      <x:alignment wrapText="1"/>
    </x:xf>
    <x:xf numFmtId="0" fontId="9" fillId="10" borderId="24" xfId="0" applyNumberFormat="1" applyFont="1" applyFill="1" applyBorder="1" applyAlignment="1">
      <x:alignment vertical="top" wrapText="1"/>
    </x:xf>
    <x:xf numFmtId="0" fontId="9" fillId="10" borderId="25" xfId="0" applyNumberFormat="1" applyFont="1" applyFill="1" applyBorder="1" applyAlignment="1">
      <x:alignment vertical="top" wrapText="1"/>
    </x:xf>
    <x:xf numFmtId="0" fontId="9" fillId="10" borderId="26" xfId="0" applyNumberFormat="1" applyFont="1" applyFill="1" applyBorder="1" applyAlignment="1">
      <x:alignment vertical="top" wrapText="1"/>
    </x:xf>
    <x:xf numFmtId="0" fontId="9" fillId="10" borderId="27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0" fontId="9" fillId="10" borderId="28" xfId="0" applyNumberFormat="1" applyFont="1" applyFill="1" applyBorder="1" applyAlignment="1">
      <x:alignment vertical="top" wrapText="1"/>
    </x:xf>
    <x:xf numFmtId="0" fontId="9" fillId="10" borderId="29" xfId="0" applyNumberFormat="1" applyFont="1" applyFill="1" applyBorder="1" applyAlignment="1">
      <x:alignment vertical="top" wrapText="1"/>
    </x:xf>
    <x:xf numFmtId="0" fontId="9" fillId="10" borderId="30" xfId="0" applyNumberFormat="1" applyFont="1" applyFill="1" applyBorder="1" applyAlignment="1">
      <x:alignment vertical="top" wrapText="1"/>
    </x:xf>
    <x:xf numFmtId="0" fontId="9" fillId="10" borderId="3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wrapText="1"/>
    </x:xf>
    <x:xf numFmtId="0" fontId="0" fillId="0" borderId="32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df66351c0b40c7" /><Relationship Type="http://schemas.openxmlformats.org/officeDocument/2006/relationships/theme" Target="/xl/theme/theme1.xml" Id="Rd6114d0912e04995" /><Relationship Type="http://schemas.openxmlformats.org/officeDocument/2006/relationships/sharedStrings" Target="/xl/sharedStrings.xml" Id="Re28fb951c25945a1" /><Relationship Type="http://schemas.openxmlformats.org/officeDocument/2006/relationships/worksheet" Target="/xl/worksheets/sheet1.xml" Id="Refdbef46a12d4b80" /><Relationship Type="http://schemas.openxmlformats.org/officeDocument/2006/relationships/worksheet" Target="/xl/worksheets/sheet2.xml" Id="Rcef819c9e8064a66" /><Relationship Type="http://schemas.openxmlformats.org/officeDocument/2006/relationships/worksheet" Target="/xl/worksheets/sheet3.xml" Id="Rb56d0ecd4f2543b3" /><Relationship Type="http://schemas.openxmlformats.org/officeDocument/2006/relationships/worksheet" Target="/xl/worksheets/sheet4.xml" Id="Rd20af40632064dee" /><Relationship Type="http://schemas.openxmlformats.org/officeDocument/2006/relationships/worksheet" Target="/xl/worksheets/sheet5.xml" Id="R914b0d867ed24e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cce62239a04d4f" /><Relationship Type="http://schemas.openxmlformats.org/officeDocument/2006/relationships/chart" Target="/xl/drawings/charts/chart2.xml" Id="Rb81121ca3aef4c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Response Rate by Customer Value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Response Rate</c:v>
          </c:tx>
          <c:cat>
            <c:strRef>
              <c:f>'Dashboard'!$N$3:$N$5</c:f>
              <c:strCache>
                <c:ptCount val="0"/>
              </c:strCache>
            </c:strRef>
          </c:cat>
          <c:val>
            <c:numRef>
              <c:f>'Dashboard'!$O$3:$O$5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Response Rate by Age Band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Response Rate</c:v>
          </c:tx>
          <c:cat>
            <c:strRef>
              <c:f>'Dashboard'!$R$3:$R$7</c:f>
              <c:strCache>
                <c:ptCount val="0"/>
              </c:strCache>
            </c:strRef>
          </c:cat>
          <c:val>
            <c:numRef>
              <c:f>'Dashboard'!$S$3:$S$7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cce62239a04d4f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1121ca3aef4cf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CleanedDataTable" displayName="CleanedDataTable" ref="A1:AL2237" headerRowCount="1" totalsRowCount="0" totalsRowShown="0">
  <x:tableColumns count="38">
    <x:tableColumn id="1" name="ID"/>
    <x:tableColumn id="2" name="Year_Birth"/>
    <x:tableColumn id="3" name="Education"/>
    <x:tableColumn id="4" name="Marital_Status"/>
    <x:tableColumn id="5" name="Income"/>
    <x:tableColumn id="6" name="Kidhome"/>
    <x:tableColumn id="7" name="Teenhome"/>
    <x:tableColumn id="8" name="Dt_Customer"/>
    <x:tableColumn id="9" name="Recency"/>
    <x:tableColumn id="10" name="MntWines"/>
    <x:tableColumn id="11" name="MntFruits"/>
    <x:tableColumn id="12" name="MntMeatProducts"/>
    <x:tableColumn id="13" name="MntFishProducts"/>
    <x:tableColumn id="14" name="MntSweetProducts"/>
    <x:tableColumn id="15" name="MntGoldProds"/>
    <x:tableColumn id="16" name="NumDealsPurchases"/>
    <x:tableColumn id="17" name="NumWebPurchases"/>
    <x:tableColumn id="18" name="NumCatalogPurchases"/>
    <x:tableColumn id="19" name="NumStorePurchases"/>
    <x:tableColumn id="20" name="NumWebVisitsMonth"/>
    <x:tableColumn id="21" name="AcceptedCmp3"/>
    <x:tableColumn id="22" name="AcceptedCmp4"/>
    <x:tableColumn id="23" name="AcceptedCmp5"/>
    <x:tableColumn id="24" name="AcceptedCmp1"/>
    <x:tableColumn id="25" name="AcceptedCmp2"/>
    <x:tableColumn id="26" name="Complain"/>
    <x:tableColumn id="27" name="Z_CostContact"/>
    <x:tableColumn id="28" name="Z_Revenue"/>
    <x:tableColumn id="29" name="Response"/>
    <x:tableColumn id="30" name="Income_Clean"/>
    <x:tableColumn id="31" name="Age_2014"/>
    <x:tableColumn id="32" name="Children"/>
    <x:tableColumn id="33" name="Total_Spend"/>
    <x:tableColumn id="34" name="Total_Purchases"/>
    <x:tableColumn id="35" name="Past_Accepted"/>
    <x:tableColumn id="36" name="Age_Band"/>
    <x:tableColumn id="37" name="Value_Segment"/>
    <x:tableColumn id="38" name="Target_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ourceDataTable" displayName="SourceDataTable" ref="A1:AC2241" headerRowCount="1" totalsRowCount="0" totalsRowShown="0">
  <x:tableColumns count="29">
    <x:tableColumn id="1" name="ID"/>
    <x:tableColumn id="2" name="Year_Birth"/>
    <x:tableColumn id="3" name="Education"/>
    <x:tableColumn id="4" name="Marital_Status"/>
    <x:tableColumn id="5" name="Income"/>
    <x:tableColumn id="6" name="Kidhome"/>
    <x:tableColumn id="7" name="Teenhome"/>
    <x:tableColumn id="8" name="Dt_Customer"/>
    <x:tableColumn id="9" name="Recency"/>
    <x:tableColumn id="10" name="MntWines"/>
    <x:tableColumn id="11" name="MntFruits"/>
    <x:tableColumn id="12" name="MntMeatProducts"/>
    <x:tableColumn id="13" name="MntFishProducts"/>
    <x:tableColumn id="14" name="MntSweetProducts"/>
    <x:tableColumn id="15" name="MntGoldProds"/>
    <x:tableColumn id="16" name="NumDealsPurchases"/>
    <x:tableColumn id="17" name="NumWebPurchases"/>
    <x:tableColumn id="18" name="NumCatalogPurchases"/>
    <x:tableColumn id="19" name="NumStorePurchases"/>
    <x:tableColumn id="20" name="NumWebVisitsMonth"/>
    <x:tableColumn id="21" name="AcceptedCmp3"/>
    <x:tableColumn id="22" name="AcceptedCmp4"/>
    <x:tableColumn id="23" name="AcceptedCmp5"/>
    <x:tableColumn id="24" name="AcceptedCmp1"/>
    <x:tableColumn id="25" name="AcceptedCmp2"/>
    <x:tableColumn id="26" name="Complain"/>
    <x:tableColumn id="27" name="Z_CostContact"/>
    <x:tableColumn id="28" name="Z_Revenue"/>
    <x:tableColumn id="29" name="Respon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d3fecf80a1a47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809c267135649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024a6eb355e4b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</x:cols>
  <x:sheetData>
    <x:row r="1">
      <x:c r="A1" s="37" t="str">
        <x:v>Marketing Campaign Customer Dashboard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N2" t="str">
        <x:v>Value Segment</x:v>
      </x:c>
      <x:c r="O2" t="str">
        <x:v>Response Rate</x:v>
      </x:c>
      <x:c r="R2" t="str">
        <x:v>Age Band</x:v>
      </x:c>
      <x:c r="S2" t="str">
        <x:v>Response Rate</x:v>
      </x:c>
    </x:row>
    <x:row r="3" ht="22" customHeight="1">
      <x:c r="A3" s="39" t="str">
        <x:v>Portfolio data project | 2,240 customer records | cleaned, segmented, and campaign-ready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N3" t="str">
        <x:f>'Segment Analysis'!A4</x:f>
        <x:v>High Value</x:v>
      </x:c>
      <x:c r="O3" s="166" t="n">
        <x:f>'Segment Analysis'!C4</x:f>
        <x:v>0.28452579034941766</x:v>
      </x:c>
      <x:c r="R3" t="str">
        <x:f>'Segment Analysis'!F4</x:f>
        <x:v>≤34</x:v>
      </x:c>
      <x:c r="S3" s="166" t="n">
        <x:f>'Segment Analysis'!H4</x:f>
        <x:v>0.19103773584905662</x:v>
      </x:c>
    </x:row>
    <x:row r="4">
      <x:c r="N4" t="str">
        <x:f>'Segment Analysis'!A5</x:f>
        <x:v>Mid Value</x:v>
      </x:c>
      <x:c r="O4" s="166" t="n">
        <x:f>'Segment Analysis'!C5</x:f>
        <x:v>0.11764705882352941</x:v>
      </x:c>
      <x:c r="R4" t="str">
        <x:f>'Segment Analysis'!F5</x:f>
        <x:v>35–44</x:v>
      </x:c>
      <x:c r="S4" s="166" t="n">
        <x:f>'Segment Analysis'!H5</x:f>
        <x:v>0.14208389715832206</x:v>
      </x:c>
    </x:row>
    <x:row r="5">
      <x:c r="A5" s="43" t="str">
        <x:v>Customers</x:v>
      </x:c>
      <x:c r="B5" s="43"/>
      <x:c r="C5" s="43"/>
      <x:c r="D5" s="43" t="str">
        <x:v>Response Rate</x:v>
      </x:c>
      <x:c r="E5" s="43"/>
      <x:c r="F5" s="43"/>
      <x:c r="G5" s="43" t="str">
        <x:v>Avg Customer Spend</x:v>
      </x:c>
      <x:c r="H5" s="43"/>
      <x:c r="I5" s="43"/>
      <x:c r="J5" s="43" t="str">
        <x:v>Priority 1 Audience</x:v>
      </x:c>
      <x:c r="K5" s="43"/>
      <x:c r="L5" s="43"/>
      <x:c r="N5" t="str">
        <x:f>'Segment Analysis'!A6</x:f>
        <x:v>Low Value</x:v>
      </x:c>
      <x:c r="O5" s="166" t="n">
        <x:f>'Segment Analysis'!C6</x:f>
        <x:v>0.08895405669599218</x:v>
      </x:c>
      <x:c r="R5" t="str">
        <x:f>'Segment Analysis'!F6</x:f>
        <x:v>45–54</x:v>
      </x:c>
      <x:c r="S5" s="166" t="n">
        <x:f>'Segment Analysis'!H6</x:f>
        <x:v>0.12450592885375494</x:v>
      </x:c>
    </x:row>
    <x:row r="6">
      <x:c r="A6" s="64" t="n">
        <x:f>COUNTA('Cleaned Data'!$A$2:$A$2237)</x:f>
        <x:v>2236</x:v>
      </x:c>
      <x:c r="B6" s="65"/>
      <x:c r="C6" s="66"/>
      <x:c r="D6" s="82" t="n">
        <x:f>AVERAGE('Cleaned Data'!$AC$2:$AC$2237)</x:f>
        <x:v>0.14937388193202147</x:v>
      </x:c>
      <x:c r="E6" s="83"/>
      <x:c r="F6" s="84"/>
      <x:c r="G6" s="100" t="n">
        <x:f>AVERAGE('Cleaned Data'!$AG$2:$AG$2237)</x:f>
        <x:v>605.9865831842576</x:v>
      </x:c>
      <x:c r="H6" s="101"/>
      <x:c r="I6" s="102"/>
      <x:c r="J6" s="64" t="n">
        <x:f>COUNTIF('Cleaned Data'!$AL$2:$AL$2237,"Priority 1")</x:f>
        <x:v>238</x:v>
      </x:c>
      <x:c r="K6" s="65"/>
      <x:c r="L6" s="66"/>
      <x:c r="R6" t="str">
        <x:f>'Segment Analysis'!F7</x:f>
        <x:v>55–64</x:v>
      </x:c>
      <x:c r="S6" s="166" t="n">
        <x:f>'Segment Analysis'!H7</x:f>
        <x:v>0.1282608695652174</x:v>
      </x:c>
    </x:row>
    <x:row r="7">
      <x:c r="A7" s="67"/>
      <x:c r="B7" s="68"/>
      <x:c r="C7" s="69"/>
      <x:c r="D7" s="85"/>
      <x:c r="E7" s="86"/>
      <x:c r="F7" s="87"/>
      <x:c r="G7" s="103"/>
      <x:c r="H7" s="104"/>
      <x:c r="I7" s="105"/>
      <x:c r="J7" s="67"/>
      <x:c r="K7" s="68"/>
      <x:c r="L7" s="69"/>
      <x:c r="R7" t="str">
        <x:f>'Segment Analysis'!F8</x:f>
        <x:v>65+</x:v>
      </x:c>
      <x:c r="S7" s="166" t="n">
        <x:f>'Segment Analysis'!H8</x:f>
        <x:v>0.24299065420560748</x:v>
      </x:c>
    </x:row>
    <x:row r="9" ht="26" customHeight="1">
      <x:c r="A9" s="107" t="str">
        <x:v>Key Findings</x:v>
      </x:c>
      <x:c r="B9" s="107"/>
      <x:c r="C9" s="107"/>
      <x:c r="D9" s="107"/>
      <x:c r="E9" s="107"/>
      <x:c r="F9" s="107"/>
      <x:c r="G9" s="137" t="str">
        <x:v>Recommended Activation</x:v>
      </x:c>
      <x:c r="H9" s="137"/>
      <x:c r="I9" s="137"/>
      <x:c r="J9" s="137"/>
      <x:c r="K9" s="137"/>
      <x:c r="L9" s="137"/>
    </x:row>
    <x:row r="10" ht="28" customHeight="1">
      <x:c r="A10" s="127" t="str">
        <x:v>• Responders spend about 83% more than non-responders ($987 vs $539).
• Prior campaign acceptance is the strongest observed response signal.
• High-value customers respond at about 28%; low-value customers at about 9%.
• Customers with no children respond far more often than households with children.
• Recent, previously engaged customers are the best first audience to test.</x:v>
      </x:c>
      <x:c r="B10" s="128"/>
      <x:c r="C10" s="128"/>
      <x:c r="D10" s="128"/>
      <x:c r="E10" s="128"/>
      <x:c r="F10" s="129"/>
      <x:c r="G10" s="157" t="str">
        <x:v>1. Start with Priority 1: prior acceptors active within 50 days.
2. Expand to high-value customers with recency ≤60 days.
3. Personalize creative for high-spend, child-free households.
4. Use A/B tests with holdouts; compare conversion lift, not only raw response.
5. Treat tiny marital-status groups as anecdotal, not reliable segments.</x:v>
      </x:c>
      <x:c r="H10" s="158"/>
      <x:c r="I10" s="158"/>
      <x:c r="J10" s="158"/>
      <x:c r="K10" s="158"/>
      <x:c r="L10" s="159"/>
    </x:row>
    <x:row r="11" ht="28" customHeight="1">
      <x:c r="A11" s="130"/>
      <x:c r="B11" s="131"/>
      <x:c r="C11" s="131"/>
      <x:c r="D11" s="131"/>
      <x:c r="E11" s="131"/>
      <x:c r="F11" s="132"/>
      <x:c r="G11" s="160"/>
      <x:c r="H11" s="161"/>
      <x:c r="I11" s="161"/>
      <x:c r="J11" s="161"/>
      <x:c r="K11" s="161"/>
      <x:c r="L11" s="162"/>
    </x:row>
    <x:row r="12" ht="28" customHeight="1">
      <x:c r="A12" s="130"/>
      <x:c r="B12" s="131"/>
      <x:c r="C12" s="131"/>
      <x:c r="D12" s="131"/>
      <x:c r="E12" s="131"/>
      <x:c r="F12" s="132"/>
      <x:c r="G12" s="160"/>
      <x:c r="H12" s="161"/>
      <x:c r="I12" s="161"/>
      <x:c r="J12" s="161"/>
      <x:c r="K12" s="161"/>
      <x:c r="L12" s="162"/>
    </x:row>
    <x:row r="13" ht="28" customHeight="1">
      <x:c r="A13" s="130"/>
      <x:c r="B13" s="131"/>
      <x:c r="C13" s="131"/>
      <x:c r="D13" s="131"/>
      <x:c r="E13" s="131"/>
      <x:c r="F13" s="132"/>
      <x:c r="G13" s="160"/>
      <x:c r="H13" s="161"/>
      <x:c r="I13" s="161"/>
      <x:c r="J13" s="161"/>
      <x:c r="K13" s="161"/>
      <x:c r="L13" s="162"/>
    </x:row>
    <x:row r="14" ht="28" customHeight="1">
      <x:c r="A14" s="133"/>
      <x:c r="B14" s="134"/>
      <x:c r="C14" s="134"/>
      <x:c r="D14" s="134"/>
      <x:c r="E14" s="134"/>
      <x:c r="F14" s="135"/>
      <x:c r="G14" s="163"/>
      <x:c r="H14" s="164"/>
      <x:c r="I14" s="164"/>
      <x:c r="J14" s="164"/>
      <x:c r="K14" s="164"/>
      <x:c r="L14" s="165"/>
    </x:row>
    <x:row r="33" ht="28" customHeight="1">
      <x:c r="A33" s="169" t="str">
        <x:v>Data quality: 3 implausible birth years and 1 extreme income were excluded; 24 missing incomes were median-imputed. Snapshot date assumption for age: 2014.</x:v>
      </x:c>
      <x:c r="B33" s="169"/>
      <x:c r="C33" s="169"/>
      <x:c r="D33" s="169"/>
      <x:c r="E33" s="169"/>
      <x:c r="F33" s="169"/>
      <x:c r="G33" s="169"/>
      <x:c r="H33" s="169"/>
      <x:c r="I33" s="169"/>
      <x:c r="J33" s="169"/>
      <x:c r="K33" s="169"/>
      <x:c r="L33" s="169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F9"/>
    <x:mergeCell ref="A10:F14"/>
    <x:mergeCell ref="G9:L9"/>
    <x:mergeCell ref="G10:L14"/>
    <x:mergeCell ref="A33:L33"/>
  </x:mergeCells>
  <x:pageMargins left="0.7" right="0.7" top="0.75" bottom="0.75" header="0.3" footer="0.3"/>
  <x:drawing xmlns:r="http://schemas.openxmlformats.org/officeDocument/2006/relationships" r:id="Rfd3fecf80a1a478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8" customHeight="1">
      <x:c r="A1" s="25" t="str">
        <x:v>Customer Segment Analysis</x:v>
      </x:c>
      <x:c r="B1" s="25"/>
      <x:c r="C1" s="25"/>
      <x:c r="D1" s="25"/>
      <x:c r="E1" s="25"/>
      <x:c r="F1" s="25"/>
      <x:c r="G1" s="25"/>
      <x:c r="H1" s="25"/>
    </x:row>
    <x:row r="3" ht="24" customHeight="1">
      <x:c r="A3" s="30" t="str">
        <x:v>Value Segment</x:v>
      </x:c>
      <x:c r="B3" s="30" t="str">
        <x:v>Customers</x:v>
      </x:c>
      <x:c r="C3" s="30" t="str">
        <x:v>Response Rate</x:v>
      </x:c>
      <x:c r="D3" s="30" t="str">
        <x:v>Avg Spend</x:v>
      </x:c>
      <x:c r="F3" s="30" t="str">
        <x:v>Age Band</x:v>
      </x:c>
      <x:c r="G3" s="30" t="str">
        <x:v>Customers</x:v>
      </x:c>
      <x:c r="H3" s="30" t="str">
        <x:v>Response Rate</x:v>
      </x:c>
      <x:c r="I3" s="30" t="str">
        <x:v>Avg Spend</x:v>
      </x:c>
    </x:row>
    <x:row r="4">
      <x:c r="A4" s="27" t="str">
        <x:v>High Value</x:v>
      </x:c>
      <x:c r="B4" s="27" t="n">
        <x:f>COUNTIF('Cleaned Data'!$AK$2:$AK$2237,A4)</x:f>
        <x:v>601</x:v>
      </x:c>
      <x:c r="C4" s="31" t="n">
        <x:f>AVERAGEIF('Cleaned Data'!$AK$2:$AK$2237,A4,'Cleaned Data'!$AC$2:$AC$2237)</x:f>
        <x:v>0.28452579034941766</x:v>
      </x:c>
      <x:c r="D4" s="33" t="n">
        <x:f>AVERAGEIF('Cleaned Data'!$AK$2:$AK$2237,A4,'Cleaned Data'!$AG$2:$AG$2237)</x:f>
        <x:v>1457.1148086522462</x:v>
      </x:c>
      <x:c r="F4" s="27" t="str">
        <x:v>≤34</x:v>
      </x:c>
      <x:c r="G4" s="27" t="n">
        <x:f>COUNTIF('Cleaned Data'!$AJ$2:$AJ$2237,F4)</x:f>
        <x:v>424</x:v>
      </x:c>
      <x:c r="H4" s="31" t="n">
        <x:f>AVERAGEIF('Cleaned Data'!$AJ$2:$AJ$2237,F4,'Cleaned Data'!$AC$2:$AC$2237)</x:f>
        <x:v>0.19103773584905662</x:v>
      </x:c>
      <x:c r="I4" s="33" t="n">
        <x:f>AVERAGEIF('Cleaned Data'!$AJ$2:$AJ$2237,F4,'Cleaned Data'!$AG$2:$AG$2237)</x:f>
        <x:v>572.2924528301887</x:v>
      </x:c>
    </x:row>
    <x:row r="5">
      <x:c r="A5" s="27" t="str">
        <x:v>Mid Value</x:v>
      </x:c>
      <x:c r="B5" s="27" t="n">
        <x:f>COUNTIF('Cleaned Data'!$AK$2:$AK$2237,A5)</x:f>
        <x:v>612</x:v>
      </x:c>
      <x:c r="C5" s="31" t="n">
        <x:f>AVERAGEIF('Cleaned Data'!$AK$2:$AK$2237,A5,'Cleaned Data'!$AC$2:$AC$2237)</x:f>
        <x:v>0.11764705882352941</x:v>
      </x:c>
      <x:c r="D5" s="33" t="n">
        <x:f>AVERAGEIF('Cleaned Data'!$AK$2:$AK$2237,A5,'Cleaned Data'!$AG$2:$AG$2237)</x:f>
        <x:v>631.5604575163399</x:v>
      </x:c>
      <x:c r="F5" s="27" t="str">
        <x:v>35–44</x:v>
      </x:c>
      <x:c r="G5" s="27" t="n">
        <x:f>COUNTIF('Cleaned Data'!$AJ$2:$AJ$2237,F5)</x:f>
        <x:v>739</x:v>
      </x:c>
      <x:c r="H5" s="31" t="n">
        <x:f>AVERAGEIF('Cleaned Data'!$AJ$2:$AJ$2237,F5,'Cleaned Data'!$AC$2:$AC$2237)</x:f>
        <x:v>0.14208389715832206</x:v>
      </x:c>
      <x:c r="I5" s="33" t="n">
        <x:f>AVERAGEIF('Cleaned Data'!$AJ$2:$AJ$2237,F5,'Cleaned Data'!$AG$2:$AG$2237)</x:f>
        <x:v>523.8470906630582</x:v>
      </x:c>
    </x:row>
    <x:row r="6">
      <x:c r="A6" s="28" t="str">
        <x:v>Low Value</x:v>
      </x:c>
      <x:c r="B6" s="28" t="n">
        <x:f>COUNTIF('Cleaned Data'!$AK$2:$AK$2237,A6)</x:f>
        <x:v>1023</x:v>
      </x:c>
      <x:c r="C6" s="32" t="n">
        <x:f>AVERAGEIF('Cleaned Data'!$AK$2:$AK$2237,A6,'Cleaned Data'!$AC$2:$AC$2237)</x:f>
        <x:v>0.08895405669599218</x:v>
      </x:c>
      <x:c r="D6" s="34" t="n">
        <x:f>AVERAGEIF('Cleaned Data'!$AK$2:$AK$2237,A6,'Cleaned Data'!$AG$2:$AG$2237)</x:f>
        <x:v>90.65982404692082</x:v>
      </x:c>
      <x:c r="F6" s="27" t="str">
        <x:v>45–54</x:v>
      </x:c>
      <x:c r="G6" s="27" t="n">
        <x:f>COUNTIF('Cleaned Data'!$AJ$2:$AJ$2237,F6)</x:f>
        <x:v>506</x:v>
      </x:c>
      <x:c r="H6" s="31" t="n">
        <x:f>AVERAGEIF('Cleaned Data'!$AJ$2:$AJ$2237,F6,'Cleaned Data'!$AC$2:$AC$2237)</x:f>
        <x:v>0.12450592885375494</x:v>
      </x:c>
      <x:c r="I6" s="33" t="n">
        <x:f>AVERAGEIF('Cleaned Data'!$AJ$2:$AJ$2237,F6,'Cleaned Data'!$AG$2:$AG$2237)</x:f>
        <x:v>623.4110671936759</x:v>
      </x:c>
    </x:row>
    <x:row r="7">
      <x:c r="F7" s="27" t="str">
        <x:v>55–64</x:v>
      </x:c>
      <x:c r="G7" s="27" t="n">
        <x:f>COUNTIF('Cleaned Data'!$AJ$2:$AJ$2237,F7)</x:f>
        <x:v>460</x:v>
      </x:c>
      <x:c r="H7" s="31" t="n">
        <x:f>AVERAGEIF('Cleaned Data'!$AJ$2:$AJ$2237,F7,'Cleaned Data'!$AC$2:$AC$2237)</x:f>
        <x:v>0.1282608695652174</x:v>
      </x:c>
      <x:c r="I7" s="33" t="n">
        <x:f>AVERAGEIF('Cleaned Data'!$AJ$2:$AJ$2237,F7,'Cleaned Data'!$AG$2:$AG$2237)</x:f>
        <x:v>673.6195652173913</x:v>
      </x:c>
    </x:row>
    <x:row r="8">
      <x:c r="F8" s="28" t="str">
        <x:v>65+</x:v>
      </x:c>
      <x:c r="G8" s="28" t="n">
        <x:f>COUNTIF('Cleaned Data'!$AJ$2:$AJ$2237,F8)</x:f>
        <x:v>107</x:v>
      </x:c>
      <x:c r="H8" s="32" t="n">
        <x:f>AVERAGEIF('Cleaned Data'!$AJ$2:$AJ$2237,F8,'Cleaned Data'!$AC$2:$AC$2237)</x:f>
        <x:v>0.24299065420560748</x:v>
      </x:c>
      <x:c r="I8" s="34" t="n">
        <x:f>AVERAGEIF('Cleaned Data'!$AJ$2:$AJ$2237,F8,'Cleaned Data'!$AG$2:$AG$2237)</x:f>
        <x:v>933.6448598130842</x:v>
      </x:c>
    </x:row>
    <x:row r="11" ht="24" customHeight="1">
      <x:c r="A11" s="30" t="str">
        <x:v>Target Priority</x:v>
      </x:c>
      <x:c r="B11" s="30" t="str">
        <x:v>Customers</x:v>
      </x:c>
      <x:c r="C11" s="30" t="str">
        <x:v>Response Rate</x:v>
      </x:c>
      <x:c r="D11" s="30" t="str">
        <x:v>Avg Spend</x:v>
      </x:c>
      <x:c r="F11" s="30" t="str">
        <x:v>Response</x:v>
      </x:c>
      <x:c r="G11" s="30" t="str">
        <x:v>Customers</x:v>
      </x:c>
      <x:c r="H11" s="30" t="str">
        <x:v>Avg Income</x:v>
      </x:c>
      <x:c r="I11" s="30" t="str">
        <x:v>Avg Spend</x:v>
      </x:c>
    </x:row>
    <x:row r="12">
      <x:c r="A12" s="27" t="str">
        <x:v>Priority 1</x:v>
      </x:c>
      <x:c r="B12" s="27" t="n">
        <x:f>COUNTIF('Cleaned Data'!$AL$2:$AL$2237,A12)</x:f>
        <x:v>238</x:v>
      </x:c>
      <x:c r="C12" s="31" t="n">
        <x:f>AVERAGEIF('Cleaned Data'!$AL$2:$AL$2237,A12,'Cleaned Data'!$AC$2:$AC$2237)</x:f>
        <x:v>0.5168067226890757</x:v>
      </x:c>
      <x:c r="D12" s="33" t="n">
        <x:f>AVERAGEIF('Cleaned Data'!$AL$2:$AL$2237,A12,'Cleaned Data'!$AG$2:$AG$2237)</x:f>
        <x:v>1071.0336134453783</x:v>
      </x:c>
      <x:c r="F12" s="27" t="str">
        <x:v>Responded</x:v>
      </x:c>
      <x:c r="G12" s="27" t="n">
        <x:f>COUNTIF('Cleaned Data'!$AC$2:$AC$2237,1)</x:f>
        <x:v>334</x:v>
      </x:c>
      <x:c r="H12" s="33" t="n">
        <x:f>AVERAGEIF('Cleaned Data'!$AC$2:$AC$2237,1,'Cleaned Data'!$AD$2:$AD$2237)</x:f>
        <x:v>60183.2125748503</x:v>
      </x:c>
      <x:c r="I12" s="33" t="n">
        <x:f>AVERAGEIF('Cleaned Data'!$AC$2:$AC$2237,1,'Cleaned Data'!$AG$2:$AG$2237)</x:f>
        <x:v>987.3922155688623</x:v>
      </x:c>
    </x:row>
    <x:row r="13">
      <x:c r="A13" s="27" t="str">
        <x:v>Priority 2</x:v>
      </x:c>
      <x:c r="B13" s="27" t="n">
        <x:f>COUNTIF('Cleaned Data'!$AL$2:$AL$2237,A13)</x:f>
        <x:v>231</x:v>
      </x:c>
      <x:c r="C13" s="31" t="n">
        <x:f>AVERAGEIF('Cleaned Data'!$AL$2:$AL$2237,A13,'Cleaned Data'!$AC$2:$AC$2237)</x:f>
        <x:v>0.22077922077922077</x:v>
      </x:c>
      <x:c r="D13" s="33" t="n">
        <x:f>AVERAGEIF('Cleaned Data'!$AL$2:$AL$2237,A13,'Cleaned Data'!$AG$2:$AG$2237)</x:f>
        <x:v>1357.6580086580086</x:v>
      </x:c>
      <x:c r="F13" s="28" t="str">
        <x:v>Did not respond</x:v>
      </x:c>
      <x:c r="G13" s="28" t="n">
        <x:f>COUNTIF('Cleaned Data'!$AC$2:$AC$2237,0)</x:f>
        <x:v>1902</x:v>
      </x:c>
      <x:c r="H13" s="34" t="n">
        <x:f>AVERAGEIF('Cleaned Data'!$AC$2:$AC$2237,0,'Cleaned Data'!$AD$2:$AD$2237)</x:f>
        <x:v>50507.15036803365</x:v>
      </x:c>
      <x:c r="I13" s="34" t="n">
        <x:f>AVERAGEIF('Cleaned Data'!$AC$2:$AC$2237,0,'Cleaned Data'!$AG$2:$AG$2237)</x:f>
        <x:v>539.0099894847529</x:v>
      </x:c>
    </x:row>
    <x:row r="14">
      <x:c r="A14" s="27" t="str">
        <x:v>Priority 3</x:v>
      </x:c>
      <x:c r="B14" s="27" t="n">
        <x:f>COUNTIF('Cleaned Data'!$AL$2:$AL$2237,A14)</x:f>
        <x:v>454</x:v>
      </x:c>
      <x:c r="C14" s="31" t="n">
        <x:f>AVERAGEIF('Cleaned Data'!$AL$2:$AL$2237,A14,'Cleaned Data'!$AC$2:$AC$2237)</x:f>
        <x:v>0.13215859030837004</x:v>
      </x:c>
      <x:c r="D14" s="33" t="n">
        <x:f>AVERAGEIF('Cleaned Data'!$AL$2:$AL$2237,A14,'Cleaned Data'!$AG$2:$AG$2237)</x:f>
        <x:v>263.7004405286344</x:v>
      </x:c>
    </x:row>
    <x:row r="15">
      <x:c r="A15" s="28" t="str">
        <x:v>Nurture</x:v>
      </x:c>
      <x:c r="B15" s="28" t="n">
        <x:f>COUNTIF('Cleaned Data'!$AL$2:$AL$2237,A15)</x:f>
        <x:v>1313</x:v>
      </x:c>
      <x:c r="C15" s="32" t="n">
        <x:f>AVERAGEIF('Cleaned Data'!$AL$2:$AL$2237,A15,'Cleaned Data'!$AC$2:$AC$2237)</x:f>
        <x:v>0.07616146230007616</x:v>
      </x:c>
      <x:c r="D15" s="34" t="n">
        <x:f>AVERAGEIF('Cleaned Data'!$AL$2:$AL$2237,A15,'Cleaned Data'!$AG$2:$AG$2237)</x:f>
        <x:v>507.7996953541508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5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6" hidden="0" customWidth="1"/>
    <x:col min="37" max="37" width="16" hidden="0" customWidth="1"/>
    <x:col min="38" max="38" width="16" hidden="0" customWidth="1"/>
  </x:cols>
  <x:sheetData>
    <x:row r="1" ht="30" customHeight="1">
      <x:c r="A1" s="12" t="str">
        <x:v>ID</x:v>
      </x:c>
      <x:c r="B1" s="12" t="str">
        <x:v>Year_Birth</x:v>
      </x:c>
      <x:c r="C1" s="12" t="str">
        <x:v>Education</x:v>
      </x:c>
      <x:c r="D1" s="12" t="str">
        <x:v>Marital_Status</x:v>
      </x:c>
      <x:c r="E1" s="12" t="str">
        <x:v>Income</x:v>
      </x:c>
      <x:c r="F1" s="12" t="str">
        <x:v>Kidhome</x:v>
      </x:c>
      <x:c r="G1" s="12" t="str">
        <x:v>Teenhome</x:v>
      </x:c>
      <x:c r="H1" s="12" t="str">
        <x:v>Dt_Customer</x:v>
      </x:c>
      <x:c r="I1" s="12" t="str">
        <x:v>Recency</x:v>
      </x:c>
      <x:c r="J1" s="12" t="str">
        <x:v>MntWines</x:v>
      </x:c>
      <x:c r="K1" s="12" t="str">
        <x:v>MntFruits</x:v>
      </x:c>
      <x:c r="L1" s="12" t="str">
        <x:v>MntMeatProducts</x:v>
      </x:c>
      <x:c r="M1" s="12" t="str">
        <x:v>MntFishProducts</x:v>
      </x:c>
      <x:c r="N1" s="12" t="str">
        <x:v>MntSweetProducts</x:v>
      </x:c>
      <x:c r="O1" s="12" t="str">
        <x:v>MntGoldProds</x:v>
      </x:c>
      <x:c r="P1" s="12" t="str">
        <x:v>NumDealsPurchases</x:v>
      </x:c>
      <x:c r="Q1" s="12" t="str">
        <x:v>NumWebPurchases</x:v>
      </x:c>
      <x:c r="R1" s="12" t="str">
        <x:v>NumCatalogPurchases</x:v>
      </x:c>
      <x:c r="S1" s="12" t="str">
        <x:v>NumStorePurchases</x:v>
      </x:c>
      <x:c r="T1" s="12" t="str">
        <x:v>NumWebVisitsMonth</x:v>
      </x:c>
      <x:c r="U1" s="12" t="str">
        <x:v>AcceptedCmp3</x:v>
      </x:c>
      <x:c r="V1" s="12" t="str">
        <x:v>AcceptedCmp4</x:v>
      </x:c>
      <x:c r="W1" s="12" t="str">
        <x:v>AcceptedCmp5</x:v>
      </x:c>
      <x:c r="X1" s="12" t="str">
        <x:v>AcceptedCmp1</x:v>
      </x:c>
      <x:c r="Y1" s="12" t="str">
        <x:v>AcceptedCmp2</x:v>
      </x:c>
      <x:c r="Z1" s="12" t="str">
        <x:v>Complain</x:v>
      </x:c>
      <x:c r="AA1" s="12" t="str">
        <x:v>Z_CostContact</x:v>
      </x:c>
      <x:c r="AB1" s="12" t="str">
        <x:v>Z_Revenue</x:v>
      </x:c>
      <x:c r="AC1" s="12" t="str">
        <x:v>Response</x:v>
      </x:c>
      <x:c r="AD1" s="12" t="str">
        <x:v>Income_Clean</x:v>
      </x:c>
      <x:c r="AE1" s="12" t="str">
        <x:v>Age_2014</x:v>
      </x:c>
      <x:c r="AF1" s="12" t="str">
        <x:v>Children</x:v>
      </x:c>
      <x:c r="AG1" s="12" t="str">
        <x:v>Total_Spend</x:v>
      </x:c>
      <x:c r="AH1" s="12" t="str">
        <x:v>Total_Purchases</x:v>
      </x:c>
      <x:c r="AI1" s="12" t="str">
        <x:v>Past_Accepted</x:v>
      </x:c>
      <x:c r="AJ1" s="12" t="str">
        <x:v>Age_Band</x:v>
      </x:c>
      <x:c r="AK1" s="12" t="str">
        <x:v>Value_Segment</x:v>
      </x:c>
      <x:c r="AL1" s="12" t="str">
        <x:v>Target_Priority</x:v>
      </x:c>
    </x:row>
    <x:row r="2">
      <x:c r="A2" s="14" t="n">
        <x:v>5524</x:v>
      </x:c>
      <x:c r="B2" s="14" t="n">
        <x:v>1957</x:v>
      </x:c>
      <x:c r="C2" s="14" t="str">
        <x:v>Graduation</x:v>
      </x:c>
      <x:c r="D2" s="14" t="str">
        <x:v>Single</x:v>
      </x:c>
      <x:c r="E2" s="14" t="n">
        <x:v>58138</x:v>
      </x:c>
      <x:c r="F2" s="14" t="n">
        <x:v>0</x:v>
      </x:c>
      <x:c r="G2" s="14" t="n">
        <x:v>0</x:v>
      </x:c>
      <x:c r="H2" s="14" t="str">
        <x:v>04-09-2012</x:v>
      </x:c>
      <x:c r="I2" s="14" t="n">
        <x:v>58</x:v>
      </x:c>
      <x:c r="J2" s="14" t="n">
        <x:v>635</x:v>
      </x:c>
      <x:c r="K2" s="14" t="n">
        <x:v>88</x:v>
      </x:c>
      <x:c r="L2" s="14" t="n">
        <x:v>546</x:v>
      </x:c>
      <x:c r="M2" s="14" t="n">
        <x:v>172</x:v>
      </x:c>
      <x:c r="N2" s="14" t="n">
        <x:v>88</x:v>
      </x:c>
      <x:c r="O2" s="14" t="n">
        <x:v>88</x:v>
      </x:c>
      <x:c r="P2" s="14" t="n">
        <x:v>3</x:v>
      </x:c>
      <x:c r="Q2" s="14" t="n">
        <x:v>8</x:v>
      </x:c>
      <x:c r="R2" s="14" t="n">
        <x:v>10</x:v>
      </x:c>
      <x:c r="S2" s="14" t="n">
        <x:v>4</x:v>
      </x:c>
      <x:c r="T2" s="14" t="n">
        <x:v>7</x:v>
      </x:c>
      <x:c r="U2" s="14" t="n">
        <x:v>0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4" t="n">
        <x:v>3</x:v>
      </x:c>
      <x:c r="AB2" s="14" t="n">
        <x:v>11</x:v>
      </x:c>
      <x:c r="AC2" s="14" t="n">
        <x:v>1</x:v>
      </x:c>
      <x:c r="AD2" s="20" t="n">
        <x:f>IF(E2="",MEDIAN($E$2:$E$2237),E2)</x:f>
        <x:v>58138</x:v>
      </x:c>
      <x:c r="AE2" s="15" t="n">
        <x:f>2014-B2</x:f>
        <x:v>57</x:v>
      </x:c>
      <x:c r="AF2" s="15" t="n">
        <x:f>F2+G2</x:f>
        <x:v>0</x:v>
      </x:c>
      <x:c r="AG2" s="20" t="n">
        <x:f>SUM(J2:O2)</x:f>
        <x:v>1617</x:v>
      </x:c>
      <x:c r="AH2" s="15" t="n">
        <x:f>SUM(Q2:S2)</x:f>
        <x:v>22</x:v>
      </x:c>
      <x:c r="AI2" s="15" t="n">
        <x:f>SUM(U2:Y2)</x:f>
        <x:v>0</x:v>
      </x:c>
      <x:c r="AJ2" s="15" t="str">
        <x:f>IF(AE2&lt;=34,"≤34",IF(AE2&lt;=44,"35–44",IF(AE2&lt;=54,"45–54",IF(AE2&lt;=64,"55–64","65+"))))</x:f>
        <x:v>55–64</x:v>
      </x:c>
      <x:c r="AK2" s="15" t="str">
        <x:f>IF(AG2&gt;=1000,"High Value",IF(AG2&gt;=300,"Mid Value","Low Value"))</x:f>
        <x:v>High Value</x:v>
      </x:c>
      <x:c r="AL2" s="15" t="str">
        <x:f>IF(AND(AI2&gt;=1,I2&lt;=50),"Priority 1",IF(AND(AG2&gt;=1000,I2&lt;=60),"Priority 2",IF(I2&lt;=30,"Priority 3","Nurture")))</x:f>
        <x:v>Priority 2</x:v>
      </x:c>
    </x:row>
    <x:row r="3">
      <x:c r="A3" s="16" t="n">
        <x:v>2174</x:v>
      </x:c>
      <x:c r="B3" s="16" t="n">
        <x:v>1954</x:v>
      </x:c>
      <x:c r="C3" s="16" t="str">
        <x:v>Graduation</x:v>
      </x:c>
      <x:c r="D3" s="16" t="str">
        <x:v>Single</x:v>
      </x:c>
      <x:c r="E3" s="16" t="n">
        <x:v>46344</x:v>
      </x:c>
      <x:c r="F3" s="16" t="n">
        <x:v>1</x:v>
      </x:c>
      <x:c r="G3" s="16" t="n">
        <x:v>1</x:v>
      </x:c>
      <x:c r="H3" s="16" t="str">
        <x:v>08-03-2014</x:v>
      </x:c>
      <x:c r="I3" s="16" t="n">
        <x:v>38</x:v>
      </x:c>
      <x:c r="J3" s="16" t="n">
        <x:v>11</x:v>
      </x:c>
      <x:c r="K3" s="16" t="n">
        <x:v>1</x:v>
      </x:c>
      <x:c r="L3" s="16" t="n">
        <x:v>6</x:v>
      </x:c>
      <x:c r="M3" s="16" t="n">
        <x:v>2</x:v>
      </x:c>
      <x:c r="N3" s="16" t="n">
        <x:v>1</x:v>
      </x:c>
      <x:c r="O3" s="16" t="n">
        <x:v>6</x:v>
      </x:c>
      <x:c r="P3" s="16" t="n">
        <x:v>2</x:v>
      </x:c>
      <x:c r="Q3" s="16" t="n">
        <x:v>1</x:v>
      </x:c>
      <x:c r="R3" s="16" t="n">
        <x:v>1</x:v>
      </x:c>
      <x:c r="S3" s="16" t="n">
        <x:v>2</x:v>
      </x:c>
      <x:c r="T3" s="16" t="n">
        <x:v>5</x:v>
      </x:c>
      <x:c r="U3" s="16" t="n">
        <x:v>0</x:v>
      </x:c>
      <x:c r="V3" s="16" t="n">
        <x:v>0</x:v>
      </x:c>
      <x:c r="W3" s="16" t="n">
        <x:v>0</x:v>
      </x:c>
      <x:c r="X3" s="16" t="n">
        <x:v>0</x:v>
      </x:c>
      <x:c r="Y3" s="16" t="n">
        <x:v>0</x:v>
      </x:c>
      <x:c r="Z3" s="16" t="n">
        <x:v>0</x:v>
      </x:c>
      <x:c r="AA3" s="16" t="n">
        <x:v>3</x:v>
      </x:c>
      <x:c r="AB3" s="16" t="n">
        <x:v>11</x:v>
      </x:c>
      <x:c r="AC3" s="16" t="n">
        <x:v>0</x:v>
      </x:c>
      <x:c r="AD3" s="21" t="n">
        <x:f>IF(E3="",MEDIAN($E$2:$E$2237),E3)</x:f>
        <x:v>46344</x:v>
      </x:c>
      <x:c r="AE3" s="17" t="n">
        <x:f>2014-B3</x:f>
        <x:v>60</x:v>
      </x:c>
      <x:c r="AF3" s="17" t="n">
        <x:f>F3+G3</x:f>
        <x:v>2</x:v>
      </x:c>
      <x:c r="AG3" s="21" t="n">
        <x:f>SUM(J3:O3)</x:f>
        <x:v>27</x:v>
      </x:c>
      <x:c r="AH3" s="17" t="n">
        <x:f>SUM(Q3:S3)</x:f>
        <x:v>4</x:v>
      </x:c>
      <x:c r="AI3" s="17" t="n">
        <x:f>SUM(U3:Y3)</x:f>
        <x:v>0</x:v>
      </x:c>
      <x:c r="AJ3" s="17" t="str">
        <x:f>IF(AE3&lt;=34,"≤34",IF(AE3&lt;=44,"35–44",IF(AE3&lt;=54,"45–54",IF(AE3&lt;=64,"55–64","65+"))))</x:f>
        <x:v>55–64</x:v>
      </x:c>
      <x:c r="AK3" s="17" t="str">
        <x:f>IF(AG3&gt;=1000,"High Value",IF(AG3&gt;=300,"Mid Value","Low Value"))</x:f>
        <x:v>Low Value</x:v>
      </x:c>
      <x:c r="AL3" s="17" t="str">
        <x:f>IF(AND(AI3&gt;=1,I3&lt;=50),"Priority 1",IF(AND(AG3&gt;=1000,I3&lt;=60),"Priority 2",IF(I3&lt;=30,"Priority 3","Nurture")))</x:f>
        <x:v>Nurture</x:v>
      </x:c>
    </x:row>
    <x:row r="4">
      <x:c r="A4" s="16" t="n">
        <x:v>4141</x:v>
      </x:c>
      <x:c r="B4" s="16" t="n">
        <x:v>1965</x:v>
      </x:c>
      <x:c r="C4" s="16" t="str">
        <x:v>Graduation</x:v>
      </x:c>
      <x:c r="D4" s="16" t="str">
        <x:v>Together</x:v>
      </x:c>
      <x:c r="E4" s="16" t="n">
        <x:v>71613</x:v>
      </x:c>
      <x:c r="F4" s="16" t="n">
        <x:v>0</x:v>
      </x:c>
      <x:c r="G4" s="16" t="n">
        <x:v>0</x:v>
      </x:c>
      <x:c r="H4" s="16" t="str">
        <x:v>21-08-2013</x:v>
      </x:c>
      <x:c r="I4" s="16" t="n">
        <x:v>26</x:v>
      </x:c>
      <x:c r="J4" s="16" t="n">
        <x:v>426</x:v>
      </x:c>
      <x:c r="K4" s="16" t="n">
        <x:v>49</x:v>
      </x:c>
      <x:c r="L4" s="16" t="n">
        <x:v>127</x:v>
      </x:c>
      <x:c r="M4" s="16" t="n">
        <x:v>111</x:v>
      </x:c>
      <x:c r="N4" s="16" t="n">
        <x:v>21</x:v>
      </x:c>
      <x:c r="O4" s="16" t="n">
        <x:v>42</x:v>
      </x:c>
      <x:c r="P4" s="16" t="n">
        <x:v>1</x:v>
      </x:c>
      <x:c r="Q4" s="16" t="n">
        <x:v>8</x:v>
      </x:c>
      <x:c r="R4" s="16" t="n">
        <x:v>2</x:v>
      </x:c>
      <x:c r="S4" s="16" t="n">
        <x:v>10</x:v>
      </x:c>
      <x:c r="T4" s="16" t="n">
        <x:v>4</x:v>
      </x:c>
      <x:c r="U4" s="16" t="n">
        <x:v>0</x:v>
      </x:c>
      <x:c r="V4" s="16" t="n">
        <x:v>0</x:v>
      </x:c>
      <x:c r="W4" s="16" t="n">
        <x:v>0</x:v>
      </x:c>
      <x:c r="X4" s="16" t="n">
        <x:v>0</x:v>
      </x:c>
      <x:c r="Y4" s="16" t="n">
        <x:v>0</x:v>
      </x:c>
      <x:c r="Z4" s="16" t="n">
        <x:v>0</x:v>
      </x:c>
      <x:c r="AA4" s="16" t="n">
        <x:v>3</x:v>
      </x:c>
      <x:c r="AB4" s="16" t="n">
        <x:v>11</x:v>
      </x:c>
      <x:c r="AC4" s="16" t="n">
        <x:v>0</x:v>
      </x:c>
      <x:c r="AD4" s="21" t="n">
        <x:f>IF(E4="",MEDIAN($E$2:$E$2237),E4)</x:f>
        <x:v>71613</x:v>
      </x:c>
      <x:c r="AE4" s="17" t="n">
        <x:f>2014-B4</x:f>
        <x:v>49</x:v>
      </x:c>
      <x:c r="AF4" s="17" t="n">
        <x:f>F4+G4</x:f>
        <x:v>0</x:v>
      </x:c>
      <x:c r="AG4" s="21" t="n">
        <x:f>SUM(J4:O4)</x:f>
        <x:v>776</x:v>
      </x:c>
      <x:c r="AH4" s="17" t="n">
        <x:f>SUM(Q4:S4)</x:f>
        <x:v>20</x:v>
      </x:c>
      <x:c r="AI4" s="17" t="n">
        <x:f>SUM(U4:Y4)</x:f>
        <x:v>0</x:v>
      </x:c>
      <x:c r="AJ4" s="17" t="str">
        <x:f>IF(AE4&lt;=34,"≤34",IF(AE4&lt;=44,"35–44",IF(AE4&lt;=54,"45–54",IF(AE4&lt;=64,"55–64","65+"))))</x:f>
        <x:v>45–54</x:v>
      </x:c>
      <x:c r="AK4" s="17" t="str">
        <x:f>IF(AG4&gt;=1000,"High Value",IF(AG4&gt;=300,"Mid Value","Low Value"))</x:f>
        <x:v>Mid Value</x:v>
      </x:c>
      <x:c r="AL4" s="17" t="str">
        <x:f>IF(AND(AI4&gt;=1,I4&lt;=50),"Priority 1",IF(AND(AG4&gt;=1000,I4&lt;=60),"Priority 2",IF(I4&lt;=30,"Priority 3","Nurture")))</x:f>
        <x:v>Priority 3</x:v>
      </x:c>
    </x:row>
    <x:row r="5">
      <x:c r="A5" s="16" t="n">
        <x:v>6182</x:v>
      </x:c>
      <x:c r="B5" s="16" t="n">
        <x:v>1984</x:v>
      </x:c>
      <x:c r="C5" s="16" t="str">
        <x:v>Graduation</x:v>
      </x:c>
      <x:c r="D5" s="16" t="str">
        <x:v>Together</x:v>
      </x:c>
      <x:c r="E5" s="16" t="n">
        <x:v>26646</x:v>
      </x:c>
      <x:c r="F5" s="16" t="n">
        <x:v>1</x:v>
      </x:c>
      <x:c r="G5" s="16" t="n">
        <x:v>0</x:v>
      </x:c>
      <x:c r="H5" s="16" t="str">
        <x:v>10-02-2014</x:v>
      </x:c>
      <x:c r="I5" s="16" t="n">
        <x:v>26</x:v>
      </x:c>
      <x:c r="J5" s="16" t="n">
        <x:v>11</x:v>
      </x:c>
      <x:c r="K5" s="16" t="n">
        <x:v>4</x:v>
      </x:c>
      <x:c r="L5" s="16" t="n">
        <x:v>20</x:v>
      </x:c>
      <x:c r="M5" s="16" t="n">
        <x:v>10</x:v>
      </x:c>
      <x:c r="N5" s="16" t="n">
        <x:v>3</x:v>
      </x:c>
      <x:c r="O5" s="16" t="n">
        <x:v>5</x:v>
      </x:c>
      <x:c r="P5" s="16" t="n">
        <x:v>2</x:v>
      </x:c>
      <x:c r="Q5" s="16" t="n">
        <x:v>2</x:v>
      </x:c>
      <x:c r="R5" s="16" t="n">
        <x:v>0</x:v>
      </x:c>
      <x:c r="S5" s="16" t="n">
        <x:v>4</x:v>
      </x:c>
      <x:c r="T5" s="16" t="n">
        <x:v>6</x:v>
      </x:c>
      <x:c r="U5" s="16" t="n">
        <x:v>0</x:v>
      </x:c>
      <x:c r="V5" s="16" t="n">
        <x:v>0</x:v>
      </x:c>
      <x:c r="W5" s="16" t="n">
        <x:v>0</x:v>
      </x:c>
      <x:c r="X5" s="16" t="n">
        <x:v>0</x:v>
      </x:c>
      <x:c r="Y5" s="16" t="n">
        <x:v>0</x:v>
      </x:c>
      <x:c r="Z5" s="16" t="n">
        <x:v>0</x:v>
      </x:c>
      <x:c r="AA5" s="16" t="n">
        <x:v>3</x:v>
      </x:c>
      <x:c r="AB5" s="16" t="n">
        <x:v>11</x:v>
      </x:c>
      <x:c r="AC5" s="16" t="n">
        <x:v>0</x:v>
      </x:c>
      <x:c r="AD5" s="21" t="n">
        <x:f>IF(E5="",MEDIAN($E$2:$E$2237),E5)</x:f>
        <x:v>26646</x:v>
      </x:c>
      <x:c r="AE5" s="17" t="n">
        <x:f>2014-B5</x:f>
        <x:v>30</x:v>
      </x:c>
      <x:c r="AF5" s="17" t="n">
        <x:f>F5+G5</x:f>
        <x:v>1</x:v>
      </x:c>
      <x:c r="AG5" s="21" t="n">
        <x:f>SUM(J5:O5)</x:f>
        <x:v>53</x:v>
      </x:c>
      <x:c r="AH5" s="17" t="n">
        <x:f>SUM(Q5:S5)</x:f>
        <x:v>6</x:v>
      </x:c>
      <x:c r="AI5" s="17" t="n">
        <x:f>SUM(U5:Y5)</x:f>
        <x:v>0</x:v>
      </x:c>
      <x:c r="AJ5" s="17" t="str">
        <x:f>IF(AE5&lt;=34,"≤34",IF(AE5&lt;=44,"35–44",IF(AE5&lt;=54,"45–54",IF(AE5&lt;=64,"55–64","65+"))))</x:f>
        <x:v>≤34</x:v>
      </x:c>
      <x:c r="AK5" s="17" t="str">
        <x:f>IF(AG5&gt;=1000,"High Value",IF(AG5&gt;=300,"Mid Value","Low Value"))</x:f>
        <x:v>Low Value</x:v>
      </x:c>
      <x:c r="AL5" s="17" t="str">
        <x:f>IF(AND(AI5&gt;=1,I5&lt;=50),"Priority 1",IF(AND(AG5&gt;=1000,I5&lt;=60),"Priority 2",IF(I5&lt;=30,"Priority 3","Nurture")))</x:f>
        <x:v>Priority 3</x:v>
      </x:c>
    </x:row>
    <x:row r="6">
      <x:c r="A6" s="16" t="n">
        <x:v>5324</x:v>
      </x:c>
      <x:c r="B6" s="16" t="n">
        <x:v>1981</x:v>
      </x:c>
      <x:c r="C6" s="16" t="str">
        <x:v>PhD</x:v>
      </x:c>
      <x:c r="D6" s="16" t="str">
        <x:v>Married</x:v>
      </x:c>
      <x:c r="E6" s="16" t="n">
        <x:v>58293</x:v>
      </x:c>
      <x:c r="F6" s="16" t="n">
        <x:v>1</x:v>
      </x:c>
      <x:c r="G6" s="16" t="n">
        <x:v>0</x:v>
      </x:c>
      <x:c r="H6" s="16" t="str">
        <x:v>19-01-2014</x:v>
      </x:c>
      <x:c r="I6" s="16" t="n">
        <x:v>94</x:v>
      </x:c>
      <x:c r="J6" s="16" t="n">
        <x:v>173</x:v>
      </x:c>
      <x:c r="K6" s="16" t="n">
        <x:v>43</x:v>
      </x:c>
      <x:c r="L6" s="16" t="n">
        <x:v>118</x:v>
      </x:c>
      <x:c r="M6" s="16" t="n">
        <x:v>46</x:v>
      </x:c>
      <x:c r="N6" s="16" t="n">
        <x:v>27</x:v>
      </x:c>
      <x:c r="O6" s="16" t="n">
        <x:v>15</x:v>
      </x:c>
      <x:c r="P6" s="16" t="n">
        <x:v>5</x:v>
      </x:c>
      <x:c r="Q6" s="16" t="n">
        <x:v>5</x:v>
      </x:c>
      <x:c r="R6" s="16" t="n">
        <x:v>3</x:v>
      </x:c>
      <x:c r="S6" s="16" t="n">
        <x:v>6</x:v>
      </x:c>
      <x:c r="T6" s="16" t="n">
        <x:v>5</x:v>
      </x:c>
      <x:c r="U6" s="16" t="n">
        <x:v>0</x:v>
      </x:c>
      <x:c r="V6" s="16" t="n">
        <x:v>0</x:v>
      </x:c>
      <x:c r="W6" s="16" t="n">
        <x:v>0</x:v>
      </x:c>
      <x:c r="X6" s="16" t="n">
        <x:v>0</x:v>
      </x:c>
      <x:c r="Y6" s="16" t="n">
        <x:v>0</x:v>
      </x:c>
      <x:c r="Z6" s="16" t="n">
        <x:v>0</x:v>
      </x:c>
      <x:c r="AA6" s="16" t="n">
        <x:v>3</x:v>
      </x:c>
      <x:c r="AB6" s="16" t="n">
        <x:v>11</x:v>
      </x:c>
      <x:c r="AC6" s="16" t="n">
        <x:v>0</x:v>
      </x:c>
      <x:c r="AD6" s="21" t="n">
        <x:f>IF(E6="",MEDIAN($E$2:$E$2237),E6)</x:f>
        <x:v>58293</x:v>
      </x:c>
      <x:c r="AE6" s="17" t="n">
        <x:f>2014-B6</x:f>
        <x:v>33</x:v>
      </x:c>
      <x:c r="AF6" s="17" t="n">
        <x:f>F6+G6</x:f>
        <x:v>1</x:v>
      </x:c>
      <x:c r="AG6" s="21" t="n">
        <x:f>SUM(J6:O6)</x:f>
        <x:v>422</x:v>
      </x:c>
      <x:c r="AH6" s="17" t="n">
        <x:f>SUM(Q6:S6)</x:f>
        <x:v>14</x:v>
      </x:c>
      <x:c r="AI6" s="17" t="n">
        <x:f>SUM(U6:Y6)</x:f>
        <x:v>0</x:v>
      </x:c>
      <x:c r="AJ6" s="17" t="str">
        <x:f>IF(AE6&lt;=34,"≤34",IF(AE6&lt;=44,"35–44",IF(AE6&lt;=54,"45–54",IF(AE6&lt;=64,"55–64","65+"))))</x:f>
        <x:v>≤34</x:v>
      </x:c>
      <x:c r="AK6" s="17" t="str">
        <x:f>IF(AG6&gt;=1000,"High Value",IF(AG6&gt;=300,"Mid Value","Low Value"))</x:f>
        <x:v>Mid Value</x:v>
      </x:c>
      <x:c r="AL6" s="17" t="str">
        <x:f>IF(AND(AI6&gt;=1,I6&lt;=50),"Priority 1",IF(AND(AG6&gt;=1000,I6&lt;=60),"Priority 2",IF(I6&lt;=30,"Priority 3","Nurture")))</x:f>
        <x:v>Nurture</x:v>
      </x:c>
    </x:row>
    <x:row r="7">
      <x:c r="A7" s="16" t="n">
        <x:v>7446</x:v>
      </x:c>
      <x:c r="B7" s="16" t="n">
        <x:v>1967</x:v>
      </x:c>
      <x:c r="C7" s="16" t="str">
        <x:v>Master</x:v>
      </x:c>
      <x:c r="D7" s="16" t="str">
        <x:v>Together</x:v>
      </x:c>
      <x:c r="E7" s="16" t="n">
        <x:v>62513</x:v>
      </x:c>
      <x:c r="F7" s="16" t="n">
        <x:v>0</x:v>
      </x:c>
      <x:c r="G7" s="16" t="n">
        <x:v>1</x:v>
      </x:c>
      <x:c r="H7" s="16" t="str">
        <x:v>09-09-2013</x:v>
      </x:c>
      <x:c r="I7" s="16" t="n">
        <x:v>16</x:v>
      </x:c>
      <x:c r="J7" s="16" t="n">
        <x:v>520</x:v>
      </x:c>
      <x:c r="K7" s="16" t="n">
        <x:v>42</x:v>
      </x:c>
      <x:c r="L7" s="16" t="n">
        <x:v>98</x:v>
      </x:c>
      <x:c r="M7" s="16" t="n">
        <x:v>0</x:v>
      </x:c>
      <x:c r="N7" s="16" t="n">
        <x:v>42</x:v>
      </x:c>
      <x:c r="O7" s="16" t="n">
        <x:v>14</x:v>
      </x:c>
      <x:c r="P7" s="16" t="n">
        <x:v>2</x:v>
      </x:c>
      <x:c r="Q7" s="16" t="n">
        <x:v>6</x:v>
      </x:c>
      <x:c r="R7" s="16" t="n">
        <x:v>4</x:v>
      </x:c>
      <x:c r="S7" s="16" t="n">
        <x:v>10</x:v>
      </x:c>
      <x:c r="T7" s="16" t="n">
        <x:v>6</x:v>
      </x:c>
      <x:c r="U7" s="16" t="n">
        <x:v>0</x:v>
      </x:c>
      <x:c r="V7" s="16" t="n">
        <x:v>0</x:v>
      </x:c>
      <x:c r="W7" s="16" t="n">
        <x:v>0</x:v>
      </x:c>
      <x:c r="X7" s="16" t="n">
        <x:v>0</x:v>
      </x:c>
      <x:c r="Y7" s="16" t="n">
        <x:v>0</x:v>
      </x:c>
      <x:c r="Z7" s="16" t="n">
        <x:v>0</x:v>
      </x:c>
      <x:c r="AA7" s="16" t="n">
        <x:v>3</x:v>
      </x:c>
      <x:c r="AB7" s="16" t="n">
        <x:v>11</x:v>
      </x:c>
      <x:c r="AC7" s="16" t="n">
        <x:v>0</x:v>
      </x:c>
      <x:c r="AD7" s="21" t="n">
        <x:f>IF(E7="",MEDIAN($E$2:$E$2237),E7)</x:f>
        <x:v>62513</x:v>
      </x:c>
      <x:c r="AE7" s="17" t="n">
        <x:f>2014-B7</x:f>
        <x:v>47</x:v>
      </x:c>
      <x:c r="AF7" s="17" t="n">
        <x:f>F7+G7</x:f>
        <x:v>1</x:v>
      </x:c>
      <x:c r="AG7" s="21" t="n">
        <x:f>SUM(J7:O7)</x:f>
        <x:v>716</x:v>
      </x:c>
      <x:c r="AH7" s="17" t="n">
        <x:f>SUM(Q7:S7)</x:f>
        <x:v>20</x:v>
      </x:c>
      <x:c r="AI7" s="17" t="n">
        <x:f>SUM(U7:Y7)</x:f>
        <x:v>0</x:v>
      </x:c>
      <x:c r="AJ7" s="17" t="str">
        <x:f>IF(AE7&lt;=34,"≤34",IF(AE7&lt;=44,"35–44",IF(AE7&lt;=54,"45–54",IF(AE7&lt;=64,"55–64","65+"))))</x:f>
        <x:v>45–54</x:v>
      </x:c>
      <x:c r="AK7" s="17" t="str">
        <x:f>IF(AG7&gt;=1000,"High Value",IF(AG7&gt;=300,"Mid Value","Low Value"))</x:f>
        <x:v>Mid Value</x:v>
      </x:c>
      <x:c r="AL7" s="17" t="str">
        <x:f>IF(AND(AI7&gt;=1,I7&lt;=50),"Priority 1",IF(AND(AG7&gt;=1000,I7&lt;=60),"Priority 2",IF(I7&lt;=30,"Priority 3","Nurture")))</x:f>
        <x:v>Priority 3</x:v>
      </x:c>
    </x:row>
    <x:row r="8">
      <x:c r="A8" s="16" t="n">
        <x:v>965</x:v>
      </x:c>
      <x:c r="B8" s="16" t="n">
        <x:v>1971</x:v>
      </x:c>
      <x:c r="C8" s="16" t="str">
        <x:v>Graduation</x:v>
      </x:c>
      <x:c r="D8" s="16" t="str">
        <x:v>Divorced</x:v>
      </x:c>
      <x:c r="E8" s="16" t="n">
        <x:v>55635</x:v>
      </x:c>
      <x:c r="F8" s="16" t="n">
        <x:v>0</x:v>
      </x:c>
      <x:c r="G8" s="16" t="n">
        <x:v>1</x:v>
      </x:c>
      <x:c r="H8" s="16" t="str">
        <x:v>13-11-2012</x:v>
      </x:c>
      <x:c r="I8" s="16" t="n">
        <x:v>34</x:v>
      </x:c>
      <x:c r="J8" s="16" t="n">
        <x:v>235</x:v>
      </x:c>
      <x:c r="K8" s="16" t="n">
        <x:v>65</x:v>
      </x:c>
      <x:c r="L8" s="16" t="n">
        <x:v>164</x:v>
      </x:c>
      <x:c r="M8" s="16" t="n">
        <x:v>50</x:v>
      </x:c>
      <x:c r="N8" s="16" t="n">
        <x:v>49</x:v>
      </x:c>
      <x:c r="O8" s="16" t="n">
        <x:v>27</x:v>
      </x:c>
      <x:c r="P8" s="16" t="n">
        <x:v>4</x:v>
      </x:c>
      <x:c r="Q8" s="16" t="n">
        <x:v>7</x:v>
      </x:c>
      <x:c r="R8" s="16" t="n">
        <x:v>3</x:v>
      </x:c>
      <x:c r="S8" s="16" t="n">
        <x:v>7</x:v>
      </x:c>
      <x:c r="T8" s="16" t="n">
        <x:v>6</x:v>
      </x:c>
      <x:c r="U8" s="16" t="n">
        <x:v>0</x:v>
      </x:c>
      <x:c r="V8" s="16" t="n">
        <x:v>0</x:v>
      </x:c>
      <x:c r="W8" s="16" t="n">
        <x:v>0</x:v>
      </x:c>
      <x:c r="X8" s="16" t="n">
        <x:v>0</x:v>
      </x:c>
      <x:c r="Y8" s="16" t="n">
        <x:v>0</x:v>
      </x:c>
      <x:c r="Z8" s="16" t="n">
        <x:v>0</x:v>
      </x:c>
      <x:c r="AA8" s="16" t="n">
        <x:v>3</x:v>
      </x:c>
      <x:c r="AB8" s="16" t="n">
        <x:v>11</x:v>
      </x:c>
      <x:c r="AC8" s="16" t="n">
        <x:v>0</x:v>
      </x:c>
      <x:c r="AD8" s="21" t="n">
        <x:f>IF(E8="",MEDIAN($E$2:$E$2237),E8)</x:f>
        <x:v>55635</x:v>
      </x:c>
      <x:c r="AE8" s="17" t="n">
        <x:f>2014-B8</x:f>
        <x:v>43</x:v>
      </x:c>
      <x:c r="AF8" s="17" t="n">
        <x:f>F8+G8</x:f>
        <x:v>1</x:v>
      </x:c>
      <x:c r="AG8" s="21" t="n">
        <x:f>SUM(J8:O8)</x:f>
        <x:v>590</x:v>
      </x:c>
      <x:c r="AH8" s="17" t="n">
        <x:f>SUM(Q8:S8)</x:f>
        <x:v>17</x:v>
      </x:c>
      <x:c r="AI8" s="17" t="n">
        <x:f>SUM(U8:Y8)</x:f>
        <x:v>0</x:v>
      </x:c>
      <x:c r="AJ8" s="17" t="str">
        <x:f>IF(AE8&lt;=34,"≤34",IF(AE8&lt;=44,"35–44",IF(AE8&lt;=54,"45–54",IF(AE8&lt;=64,"55–64","65+"))))</x:f>
        <x:v>35–44</x:v>
      </x:c>
      <x:c r="AK8" s="17" t="str">
        <x:f>IF(AG8&gt;=1000,"High Value",IF(AG8&gt;=300,"Mid Value","Low Value"))</x:f>
        <x:v>Mid Value</x:v>
      </x:c>
      <x:c r="AL8" s="17" t="str">
        <x:f>IF(AND(AI8&gt;=1,I8&lt;=50),"Priority 1",IF(AND(AG8&gt;=1000,I8&lt;=60),"Priority 2",IF(I8&lt;=30,"Priority 3","Nurture")))</x:f>
        <x:v>Nurture</x:v>
      </x:c>
    </x:row>
    <x:row r="9">
      <x:c r="A9" s="16" t="n">
        <x:v>6177</x:v>
      </x:c>
      <x:c r="B9" s="16" t="n">
        <x:v>1985</x:v>
      </x:c>
      <x:c r="C9" s="16" t="str">
        <x:v>PhD</x:v>
      </x:c>
      <x:c r="D9" s="16" t="str">
        <x:v>Married</x:v>
      </x:c>
      <x:c r="E9" s="16" t="n">
        <x:v>33454</x:v>
      </x:c>
      <x:c r="F9" s="16" t="n">
        <x:v>1</x:v>
      </x:c>
      <x:c r="G9" s="16" t="n">
        <x:v>0</x:v>
      </x:c>
      <x:c r="H9" s="16" t="str">
        <x:v>08-05-2013</x:v>
      </x:c>
      <x:c r="I9" s="16" t="n">
        <x:v>32</x:v>
      </x:c>
      <x:c r="J9" s="16" t="n">
        <x:v>76</x:v>
      </x:c>
      <x:c r="K9" s="16" t="n">
        <x:v>10</x:v>
      </x:c>
      <x:c r="L9" s="16" t="n">
        <x:v>56</x:v>
      </x:c>
      <x:c r="M9" s="16" t="n">
        <x:v>3</x:v>
      </x:c>
      <x:c r="N9" s="16" t="n">
        <x:v>1</x:v>
      </x:c>
      <x:c r="O9" s="16" t="n">
        <x:v>23</x:v>
      </x:c>
      <x:c r="P9" s="16" t="n">
        <x:v>2</x:v>
      </x:c>
      <x:c r="Q9" s="16" t="n">
        <x:v>4</x:v>
      </x:c>
      <x:c r="R9" s="16" t="n">
        <x:v>0</x:v>
      </x:c>
      <x:c r="S9" s="16" t="n">
        <x:v>4</x:v>
      </x:c>
      <x:c r="T9" s="16" t="n">
        <x:v>8</x:v>
      </x:c>
      <x:c r="U9" s="16" t="n">
        <x:v>0</x:v>
      </x:c>
      <x:c r="V9" s="16" t="n">
        <x:v>0</x:v>
      </x:c>
      <x:c r="W9" s="16" t="n">
        <x:v>0</x:v>
      </x:c>
      <x:c r="X9" s="16" t="n">
        <x:v>0</x:v>
      </x:c>
      <x:c r="Y9" s="16" t="n">
        <x:v>0</x:v>
      </x:c>
      <x:c r="Z9" s="16" t="n">
        <x:v>0</x:v>
      </x:c>
      <x:c r="AA9" s="16" t="n">
        <x:v>3</x:v>
      </x:c>
      <x:c r="AB9" s="16" t="n">
        <x:v>11</x:v>
      </x:c>
      <x:c r="AC9" s="16" t="n">
        <x:v>0</x:v>
      </x:c>
      <x:c r="AD9" s="21" t="n">
        <x:f>IF(E9="",MEDIAN($E$2:$E$2237),E9)</x:f>
        <x:v>33454</x:v>
      </x:c>
      <x:c r="AE9" s="17" t="n">
        <x:f>2014-B9</x:f>
        <x:v>29</x:v>
      </x:c>
      <x:c r="AF9" s="17" t="n">
        <x:f>F9+G9</x:f>
        <x:v>1</x:v>
      </x:c>
      <x:c r="AG9" s="21" t="n">
        <x:f>SUM(J9:O9)</x:f>
        <x:v>169</x:v>
      </x:c>
      <x:c r="AH9" s="17" t="n">
        <x:f>SUM(Q9:S9)</x:f>
        <x:v>8</x:v>
      </x:c>
      <x:c r="AI9" s="17" t="n">
        <x:f>SUM(U9:Y9)</x:f>
        <x:v>0</x:v>
      </x:c>
      <x:c r="AJ9" s="17" t="str">
        <x:f>IF(AE9&lt;=34,"≤34",IF(AE9&lt;=44,"35–44",IF(AE9&lt;=54,"45–54",IF(AE9&lt;=64,"55–64","65+"))))</x:f>
        <x:v>≤34</x:v>
      </x:c>
      <x:c r="AK9" s="17" t="str">
        <x:f>IF(AG9&gt;=1000,"High Value",IF(AG9&gt;=300,"Mid Value","Low Value"))</x:f>
        <x:v>Low Value</x:v>
      </x:c>
      <x:c r="AL9" s="17" t="str">
        <x:f>IF(AND(AI9&gt;=1,I9&lt;=50),"Priority 1",IF(AND(AG9&gt;=1000,I9&lt;=60),"Priority 2",IF(I9&lt;=30,"Priority 3","Nurture")))</x:f>
        <x:v>Nurture</x:v>
      </x:c>
    </x:row>
    <x:row r="10">
      <x:c r="A10" s="16" t="n">
        <x:v>4855</x:v>
      </x:c>
      <x:c r="B10" s="16" t="n">
        <x:v>1974</x:v>
      </x:c>
      <x:c r="C10" s="16" t="str">
        <x:v>PhD</x:v>
      </x:c>
      <x:c r="D10" s="16" t="str">
        <x:v>Together</x:v>
      </x:c>
      <x:c r="E10" s="16" t="n">
        <x:v>30351</x:v>
      </x:c>
      <x:c r="F10" s="16" t="n">
        <x:v>1</x:v>
      </x:c>
      <x:c r="G10" s="16" t="n">
        <x:v>0</x:v>
      </x:c>
      <x:c r="H10" s="16" t="str">
        <x:v>06-06-2013</x:v>
      </x:c>
      <x:c r="I10" s="16" t="n">
        <x:v>19</x:v>
      </x:c>
      <x:c r="J10" s="16" t="n">
        <x:v>14</x:v>
      </x:c>
      <x:c r="K10" s="16" t="n">
        <x:v>0</x:v>
      </x:c>
      <x:c r="L10" s="16" t="n">
        <x:v>24</x:v>
      </x:c>
      <x:c r="M10" s="16" t="n">
        <x:v>3</x:v>
      </x:c>
      <x:c r="N10" s="16" t="n">
        <x:v>3</x:v>
      </x:c>
      <x:c r="O10" s="16" t="n">
        <x:v>2</x:v>
      </x:c>
      <x:c r="P10" s="16" t="n">
        <x:v>1</x:v>
      </x:c>
      <x:c r="Q10" s="16" t="n">
        <x:v>3</x:v>
      </x:c>
      <x:c r="R10" s="16" t="n">
        <x:v>0</x:v>
      </x:c>
      <x:c r="S10" s="16" t="n">
        <x:v>2</x:v>
      </x:c>
      <x:c r="T10" s="16" t="n">
        <x:v>9</x:v>
      </x:c>
      <x:c r="U10" s="16" t="n">
        <x:v>0</x:v>
      </x:c>
      <x:c r="V10" s="16" t="n">
        <x:v>0</x:v>
      </x:c>
      <x:c r="W10" s="16" t="n">
        <x:v>0</x:v>
      </x:c>
      <x:c r="X10" s="16" t="n">
        <x:v>0</x:v>
      </x:c>
      <x:c r="Y10" s="16" t="n">
        <x:v>0</x:v>
      </x:c>
      <x:c r="Z10" s="16" t="n">
        <x:v>0</x:v>
      </x:c>
      <x:c r="AA10" s="16" t="n">
        <x:v>3</x:v>
      </x:c>
      <x:c r="AB10" s="16" t="n">
        <x:v>11</x:v>
      </x:c>
      <x:c r="AC10" s="16" t="n">
        <x:v>1</x:v>
      </x:c>
      <x:c r="AD10" s="21" t="n">
        <x:f>IF(E10="",MEDIAN($E$2:$E$2237),E10)</x:f>
        <x:v>30351</x:v>
      </x:c>
      <x:c r="AE10" s="17" t="n">
        <x:f>2014-B10</x:f>
        <x:v>40</x:v>
      </x:c>
      <x:c r="AF10" s="17" t="n">
        <x:f>F10+G10</x:f>
        <x:v>1</x:v>
      </x:c>
      <x:c r="AG10" s="21" t="n">
        <x:f>SUM(J10:O10)</x:f>
        <x:v>46</x:v>
      </x:c>
      <x:c r="AH10" s="17" t="n">
        <x:f>SUM(Q10:S10)</x:f>
        <x:v>5</x:v>
      </x:c>
      <x:c r="AI10" s="17" t="n">
        <x:f>SUM(U10:Y10)</x:f>
        <x:v>0</x:v>
      </x:c>
      <x:c r="AJ10" s="17" t="str">
        <x:f>IF(AE10&lt;=34,"≤34",IF(AE10&lt;=44,"35–44",IF(AE10&lt;=54,"45–54",IF(AE10&lt;=64,"55–64","65+"))))</x:f>
        <x:v>35–44</x:v>
      </x:c>
      <x:c r="AK10" s="17" t="str">
        <x:f>IF(AG10&gt;=1000,"High Value",IF(AG10&gt;=300,"Mid Value","Low Value"))</x:f>
        <x:v>Low Value</x:v>
      </x:c>
      <x:c r="AL10" s="17" t="str">
        <x:f>IF(AND(AI10&gt;=1,I10&lt;=50),"Priority 1",IF(AND(AG10&gt;=1000,I10&lt;=60),"Priority 2",IF(I10&lt;=30,"Priority 3","Nurture")))</x:f>
        <x:v>Priority 3</x:v>
      </x:c>
    </x:row>
    <x:row r="11">
      <x:c r="A11" s="16" t="n">
        <x:v>5899</x:v>
      </x:c>
      <x:c r="B11" s="16" t="n">
        <x:v>1950</x:v>
      </x:c>
      <x:c r="C11" s="16" t="str">
        <x:v>PhD</x:v>
      </x:c>
      <x:c r="D11" s="16" t="str">
        <x:v>Together</x:v>
      </x:c>
      <x:c r="E11" s="16" t="n">
        <x:v>5648</x:v>
      </x:c>
      <x:c r="F11" s="16" t="n">
        <x:v>1</x:v>
      </x:c>
      <x:c r="G11" s="16" t="n">
        <x:v>1</x:v>
      </x:c>
      <x:c r="H11" s="16" t="str">
        <x:v>13-03-2014</x:v>
      </x:c>
      <x:c r="I11" s="16" t="n">
        <x:v>68</x:v>
      </x:c>
      <x:c r="J11" s="16" t="n">
        <x:v>28</x:v>
      </x:c>
      <x:c r="K11" s="16" t="n">
        <x:v>0</x:v>
      </x:c>
      <x:c r="L11" s="16" t="n">
        <x:v>6</x:v>
      </x:c>
      <x:c r="M11" s="16" t="n">
        <x:v>1</x:v>
      </x:c>
      <x:c r="N11" s="16" t="n">
        <x:v>1</x:v>
      </x:c>
      <x:c r="O11" s="16" t="n">
        <x:v>13</x:v>
      </x:c>
      <x:c r="P11" s="16" t="n">
        <x:v>1</x:v>
      </x:c>
      <x:c r="Q11" s="16" t="n">
        <x:v>1</x:v>
      </x:c>
      <x:c r="R11" s="16" t="n">
        <x:v>0</x:v>
      </x:c>
      <x:c r="S11" s="16" t="n">
        <x:v>0</x:v>
      </x:c>
      <x:c r="T11" s="16" t="n">
        <x:v>20</x:v>
      </x:c>
      <x:c r="U11" s="16" t="n">
        <x:v>1</x:v>
      </x:c>
      <x:c r="V11" s="16" t="n">
        <x:v>0</x:v>
      </x:c>
      <x:c r="W11" s="16" t="n">
        <x:v>0</x:v>
      </x:c>
      <x:c r="X11" s="16" t="n">
        <x:v>0</x:v>
      </x:c>
      <x:c r="Y11" s="16" t="n">
        <x:v>0</x:v>
      </x:c>
      <x:c r="Z11" s="16" t="n">
        <x:v>0</x:v>
      </x:c>
      <x:c r="AA11" s="16" t="n">
        <x:v>3</x:v>
      </x:c>
      <x:c r="AB11" s="16" t="n">
        <x:v>11</x:v>
      </x:c>
      <x:c r="AC11" s="16" t="n">
        <x:v>0</x:v>
      </x:c>
      <x:c r="AD11" s="21" t="n">
        <x:f>IF(E11="",MEDIAN($E$2:$E$2237),E11)</x:f>
        <x:v>5648</x:v>
      </x:c>
      <x:c r="AE11" s="17" t="n">
        <x:f>2014-B11</x:f>
        <x:v>64</x:v>
      </x:c>
      <x:c r="AF11" s="17" t="n">
        <x:f>F11+G11</x:f>
        <x:v>2</x:v>
      </x:c>
      <x:c r="AG11" s="21" t="n">
        <x:f>SUM(J11:O11)</x:f>
        <x:v>49</x:v>
      </x:c>
      <x:c r="AH11" s="17" t="n">
        <x:f>SUM(Q11:S11)</x:f>
        <x:v>1</x:v>
      </x:c>
      <x:c r="AI11" s="17" t="n">
        <x:f>SUM(U11:Y11)</x:f>
        <x:v>1</x:v>
      </x:c>
      <x:c r="AJ11" s="17" t="str">
        <x:f>IF(AE11&lt;=34,"≤34",IF(AE11&lt;=44,"35–44",IF(AE11&lt;=54,"45–54",IF(AE11&lt;=64,"55–64","65+"))))</x:f>
        <x:v>55–64</x:v>
      </x:c>
      <x:c r="AK11" s="17" t="str">
        <x:f>IF(AG11&gt;=1000,"High Value",IF(AG11&gt;=300,"Mid Value","Low Value"))</x:f>
        <x:v>Low Value</x:v>
      </x:c>
      <x:c r="AL11" s="17" t="str">
        <x:f>IF(AND(AI11&gt;=1,I11&lt;=50),"Priority 1",IF(AND(AG11&gt;=1000,I11&lt;=60),"Priority 2",IF(I11&lt;=30,"Priority 3","Nurture")))</x:f>
        <x:v>Nurture</x:v>
      </x:c>
    </x:row>
    <x:row r="12">
      <x:c r="A12" s="16" t="n">
        <x:v>1994</x:v>
      </x:c>
      <x:c r="B12" s="16" t="n">
        <x:v>1983</x:v>
      </x:c>
      <x:c r="C12" s="16" t="str">
        <x:v>Graduation</x:v>
      </x:c>
      <x:c r="D12" s="16" t="str">
        <x:v>Married</x:v>
      </x:c>
      <x:c r="E12" s="16"/>
      <x:c r="F12" s="16" t="n">
        <x:v>1</x:v>
      </x:c>
      <x:c r="G12" s="16" t="n">
        <x:v>0</x:v>
      </x:c>
      <x:c r="H12" s="16" t="str">
        <x:v>15-11-2013</x:v>
      </x:c>
      <x:c r="I12" s="16" t="n">
        <x:v>11</x:v>
      </x:c>
      <x:c r="J12" s="16" t="n">
        <x:v>5</x:v>
      </x:c>
      <x:c r="K12" s="16" t="n">
        <x:v>5</x:v>
      </x:c>
      <x:c r="L12" s="16" t="n">
        <x:v>6</x:v>
      </x:c>
      <x:c r="M12" s="16" t="n">
        <x:v>0</x:v>
      </x:c>
      <x:c r="N12" s="16" t="n">
        <x:v>2</x:v>
      </x:c>
      <x:c r="O12" s="16" t="n">
        <x:v>1</x:v>
      </x:c>
      <x:c r="P12" s="16" t="n">
        <x:v>1</x:v>
      </x:c>
      <x:c r="Q12" s="16" t="n">
        <x:v>1</x:v>
      </x:c>
      <x:c r="R12" s="16" t="n">
        <x:v>0</x:v>
      </x:c>
      <x:c r="S12" s="16" t="n">
        <x:v>2</x:v>
      </x:c>
      <x:c r="T12" s="16" t="n">
        <x:v>7</x:v>
      </x:c>
      <x:c r="U12" s="16" t="n">
        <x:v>0</x:v>
      </x:c>
      <x:c r="V12" s="16" t="n">
        <x:v>0</x:v>
      </x:c>
      <x:c r="W12" s="16" t="n">
        <x:v>0</x:v>
      </x:c>
      <x:c r="X12" s="16" t="n">
        <x:v>0</x:v>
      </x:c>
      <x:c r="Y12" s="16" t="n">
        <x:v>0</x:v>
      </x:c>
      <x:c r="Z12" s="16" t="n">
        <x:v>0</x:v>
      </x:c>
      <x:c r="AA12" s="16" t="n">
        <x:v>3</x:v>
      </x:c>
      <x:c r="AB12" s="16" t="n">
        <x:v>11</x:v>
      </x:c>
      <x:c r="AC12" s="16" t="n">
        <x:v>0</x:v>
      </x:c>
      <x:c r="AD12" s="21" t="n">
        <x:f>IF(E12="",MEDIAN($E$2:$E$2237),E12)</x:f>
        <x:v>51371</x:v>
      </x:c>
      <x:c r="AE12" s="17" t="n">
        <x:f>2014-B12</x:f>
        <x:v>31</x:v>
      </x:c>
      <x:c r="AF12" s="17" t="n">
        <x:f>F12+G12</x:f>
        <x:v>1</x:v>
      </x:c>
      <x:c r="AG12" s="21" t="n">
        <x:f>SUM(J12:O12)</x:f>
        <x:v>19</x:v>
      </x:c>
      <x:c r="AH12" s="17" t="n">
        <x:f>SUM(Q12:S12)</x:f>
        <x:v>3</x:v>
      </x:c>
      <x:c r="AI12" s="17" t="n">
        <x:f>SUM(U12:Y12)</x:f>
        <x:v>0</x:v>
      </x:c>
      <x:c r="AJ12" s="17" t="str">
        <x:f>IF(AE12&lt;=34,"≤34",IF(AE12&lt;=44,"35–44",IF(AE12&lt;=54,"45–54",IF(AE12&lt;=64,"55–64","65+"))))</x:f>
        <x:v>≤34</x:v>
      </x:c>
      <x:c r="AK12" s="17" t="str">
        <x:f>IF(AG12&gt;=1000,"High Value",IF(AG12&gt;=300,"Mid Value","Low Value"))</x:f>
        <x:v>Low Value</x:v>
      </x:c>
      <x:c r="AL12" s="17" t="str">
        <x:f>IF(AND(AI12&gt;=1,I12&lt;=50),"Priority 1",IF(AND(AG12&gt;=1000,I12&lt;=60),"Priority 2",IF(I12&lt;=30,"Priority 3","Nurture")))</x:f>
        <x:v>Priority 3</x:v>
      </x:c>
    </x:row>
    <x:row r="13">
      <x:c r="A13" s="16" t="n">
        <x:v>387</x:v>
      </x:c>
      <x:c r="B13" s="16" t="n">
        <x:v>1976</x:v>
      </x:c>
      <x:c r="C13" s="16" t="str">
        <x:v>Basic</x:v>
      </x:c>
      <x:c r="D13" s="16" t="str">
        <x:v>Married</x:v>
      </x:c>
      <x:c r="E13" s="16" t="n">
        <x:v>7500</x:v>
      </x:c>
      <x:c r="F13" s="16" t="n">
        <x:v>0</x:v>
      </x:c>
      <x:c r="G13" s="16" t="n">
        <x:v>0</x:v>
      </x:c>
      <x:c r="H13" s="16" t="str">
        <x:v>13-11-2012</x:v>
      </x:c>
      <x:c r="I13" s="16" t="n">
        <x:v>59</x:v>
      </x:c>
      <x:c r="J13" s="16" t="n">
        <x:v>6</x:v>
      </x:c>
      <x:c r="K13" s="16" t="n">
        <x:v>16</x:v>
      </x:c>
      <x:c r="L13" s="16" t="n">
        <x:v>11</x:v>
      </x:c>
      <x:c r="M13" s="16" t="n">
        <x:v>11</x:v>
      </x:c>
      <x:c r="N13" s="16" t="n">
        <x:v>1</x:v>
      </x:c>
      <x:c r="O13" s="16" t="n">
        <x:v>16</x:v>
      </x:c>
      <x:c r="P13" s="16" t="n">
        <x:v>1</x:v>
      </x:c>
      <x:c r="Q13" s="16" t="n">
        <x:v>2</x:v>
      </x:c>
      <x:c r="R13" s="16" t="n">
        <x:v>0</x:v>
      </x:c>
      <x:c r="S13" s="16" t="n">
        <x:v>3</x:v>
      </x:c>
      <x:c r="T13" s="16" t="n">
        <x:v>8</x:v>
      </x:c>
      <x:c r="U13" s="16" t="n">
        <x:v>0</x:v>
      </x:c>
      <x:c r="V13" s="16" t="n">
        <x:v>0</x:v>
      </x:c>
      <x:c r="W13" s="16" t="n">
        <x:v>0</x:v>
      </x:c>
      <x:c r="X13" s="16" t="n">
        <x:v>0</x:v>
      </x:c>
      <x:c r="Y13" s="16" t="n">
        <x:v>0</x:v>
      </x:c>
      <x:c r="Z13" s="16" t="n">
        <x:v>0</x:v>
      </x:c>
      <x:c r="AA13" s="16" t="n">
        <x:v>3</x:v>
      </x:c>
      <x:c r="AB13" s="16" t="n">
        <x:v>11</x:v>
      </x:c>
      <x:c r="AC13" s="16" t="n">
        <x:v>0</x:v>
      </x:c>
      <x:c r="AD13" s="21" t="n">
        <x:f>IF(E13="",MEDIAN($E$2:$E$2237),E13)</x:f>
        <x:v>7500</x:v>
      </x:c>
      <x:c r="AE13" s="17" t="n">
        <x:f>2014-B13</x:f>
        <x:v>38</x:v>
      </x:c>
      <x:c r="AF13" s="17" t="n">
        <x:f>F13+G13</x:f>
        <x:v>0</x:v>
      </x:c>
      <x:c r="AG13" s="21" t="n">
        <x:f>SUM(J13:O13)</x:f>
        <x:v>61</x:v>
      </x:c>
      <x:c r="AH13" s="17" t="n">
        <x:f>SUM(Q13:S13)</x:f>
        <x:v>5</x:v>
      </x:c>
      <x:c r="AI13" s="17" t="n">
        <x:f>SUM(U13:Y13)</x:f>
        <x:v>0</x:v>
      </x:c>
      <x:c r="AJ13" s="17" t="str">
        <x:f>IF(AE13&lt;=34,"≤34",IF(AE13&lt;=44,"35–44",IF(AE13&lt;=54,"45–54",IF(AE13&lt;=64,"55–64","65+"))))</x:f>
        <x:v>35–44</x:v>
      </x:c>
      <x:c r="AK13" s="17" t="str">
        <x:f>IF(AG13&gt;=1000,"High Value",IF(AG13&gt;=300,"Mid Value","Low Value"))</x:f>
        <x:v>Low Value</x:v>
      </x:c>
      <x:c r="AL13" s="17" t="str">
        <x:f>IF(AND(AI13&gt;=1,I13&lt;=50),"Priority 1",IF(AND(AG13&gt;=1000,I13&lt;=60),"Priority 2",IF(I13&lt;=30,"Priority 3","Nurture")))</x:f>
        <x:v>Nurture</x:v>
      </x:c>
    </x:row>
    <x:row r="14">
      <x:c r="A14" s="16" t="n">
        <x:v>2125</x:v>
      </x:c>
      <x:c r="B14" s="16" t="n">
        <x:v>1959</x:v>
      </x:c>
      <x:c r="C14" s="16" t="str">
        <x:v>Graduation</x:v>
      </x:c>
      <x:c r="D14" s="16" t="str">
        <x:v>Divorced</x:v>
      </x:c>
      <x:c r="E14" s="16" t="n">
        <x:v>63033</x:v>
      </x:c>
      <x:c r="F14" s="16" t="n">
        <x:v>0</x:v>
      </x:c>
      <x:c r="G14" s="16" t="n">
        <x:v>0</x:v>
      </x:c>
      <x:c r="H14" s="16" t="str">
        <x:v>15-11-2013</x:v>
      </x:c>
      <x:c r="I14" s="16" t="n">
        <x:v>82</x:v>
      </x:c>
      <x:c r="J14" s="16" t="n">
        <x:v>194</x:v>
      </x:c>
      <x:c r="K14" s="16" t="n">
        <x:v>61</x:v>
      </x:c>
      <x:c r="L14" s="16" t="n">
        <x:v>480</x:v>
      </x:c>
      <x:c r="M14" s="16" t="n">
        <x:v>225</x:v>
      </x:c>
      <x:c r="N14" s="16" t="n">
        <x:v>112</x:v>
      </x:c>
      <x:c r="O14" s="16" t="n">
        <x:v>30</x:v>
      </x:c>
      <x:c r="P14" s="16" t="n">
        <x:v>1</x:v>
      </x:c>
      <x:c r="Q14" s="16" t="n">
        <x:v>3</x:v>
      </x:c>
      <x:c r="R14" s="16" t="n">
        <x:v>4</x:v>
      </x:c>
      <x:c r="S14" s="16" t="n">
        <x:v>8</x:v>
      </x:c>
      <x:c r="T14" s="16" t="n">
        <x:v>2</x:v>
      </x:c>
      <x:c r="U14" s="16" t="n">
        <x:v>0</x:v>
      </x:c>
      <x:c r="V14" s="16" t="n">
        <x:v>0</x:v>
      </x:c>
      <x:c r="W14" s="16" t="n">
        <x:v>0</x:v>
      </x:c>
      <x:c r="X14" s="16" t="n">
        <x:v>0</x:v>
      </x:c>
      <x:c r="Y14" s="16" t="n">
        <x:v>0</x:v>
      </x:c>
      <x:c r="Z14" s="16" t="n">
        <x:v>0</x:v>
      </x:c>
      <x:c r="AA14" s="16" t="n">
        <x:v>3</x:v>
      </x:c>
      <x:c r="AB14" s="16" t="n">
        <x:v>11</x:v>
      </x:c>
      <x:c r="AC14" s="16" t="n">
        <x:v>0</x:v>
      </x:c>
      <x:c r="AD14" s="21" t="n">
        <x:f>IF(E14="",MEDIAN($E$2:$E$2237),E14)</x:f>
        <x:v>63033</x:v>
      </x:c>
      <x:c r="AE14" s="17" t="n">
        <x:f>2014-B14</x:f>
        <x:v>55</x:v>
      </x:c>
      <x:c r="AF14" s="17" t="n">
        <x:f>F14+G14</x:f>
        <x:v>0</x:v>
      </x:c>
      <x:c r="AG14" s="21" t="n">
        <x:f>SUM(J14:O14)</x:f>
        <x:v>1102</x:v>
      </x:c>
      <x:c r="AH14" s="17" t="n">
        <x:f>SUM(Q14:S14)</x:f>
        <x:v>15</x:v>
      </x:c>
      <x:c r="AI14" s="17" t="n">
        <x:f>SUM(U14:Y14)</x:f>
        <x:v>0</x:v>
      </x:c>
      <x:c r="AJ14" s="17" t="str">
        <x:f>IF(AE14&lt;=34,"≤34",IF(AE14&lt;=44,"35–44",IF(AE14&lt;=54,"45–54",IF(AE14&lt;=64,"55–64","65+"))))</x:f>
        <x:v>55–64</x:v>
      </x:c>
      <x:c r="AK14" s="17" t="str">
        <x:f>IF(AG14&gt;=1000,"High Value",IF(AG14&gt;=300,"Mid Value","Low Value"))</x:f>
        <x:v>High Value</x:v>
      </x:c>
      <x:c r="AL14" s="17" t="str">
        <x:f>IF(AND(AI14&gt;=1,I14&lt;=50),"Priority 1",IF(AND(AG14&gt;=1000,I14&lt;=60),"Priority 2",IF(I14&lt;=30,"Priority 3","Nurture")))</x:f>
        <x:v>Nurture</x:v>
      </x:c>
    </x:row>
    <x:row r="15">
      <x:c r="A15" s="16" t="n">
        <x:v>8180</x:v>
      </x:c>
      <x:c r="B15" s="16" t="n">
        <x:v>1952</x:v>
      </x:c>
      <x:c r="C15" s="16" t="str">
        <x:v>Master</x:v>
      </x:c>
      <x:c r="D15" s="16" t="str">
        <x:v>Divorced</x:v>
      </x:c>
      <x:c r="E15" s="16" t="n">
        <x:v>59354</x:v>
      </x:c>
      <x:c r="F15" s="16" t="n">
        <x:v>1</x:v>
      </x:c>
      <x:c r="G15" s="16" t="n">
        <x:v>1</x:v>
      </x:c>
      <x:c r="H15" s="16" t="str">
        <x:v>15-11-2013</x:v>
      </x:c>
      <x:c r="I15" s="16" t="n">
        <x:v>53</x:v>
      </x:c>
      <x:c r="J15" s="16" t="n">
        <x:v>233</x:v>
      </x:c>
      <x:c r="K15" s="16" t="n">
        <x:v>2</x:v>
      </x:c>
      <x:c r="L15" s="16" t="n">
        <x:v>53</x:v>
      </x:c>
      <x:c r="M15" s="16" t="n">
        <x:v>3</x:v>
      </x:c>
      <x:c r="N15" s="16" t="n">
        <x:v>5</x:v>
      </x:c>
      <x:c r="O15" s="16" t="n">
        <x:v>14</x:v>
      </x:c>
      <x:c r="P15" s="16" t="n">
        <x:v>3</x:v>
      </x:c>
      <x:c r="Q15" s="16" t="n">
        <x:v>6</x:v>
      </x:c>
      <x:c r="R15" s="16" t="n">
        <x:v>1</x:v>
      </x:c>
      <x:c r="S15" s="16" t="n">
        <x:v>5</x:v>
      </x:c>
      <x:c r="T15" s="16" t="n">
        <x:v>6</x:v>
      </x:c>
      <x:c r="U15" s="16" t="n">
        <x:v>0</x:v>
      </x:c>
      <x:c r="V15" s="16" t="n">
        <x:v>0</x:v>
      </x:c>
      <x:c r="W15" s="16" t="n">
        <x:v>0</x:v>
      </x:c>
      <x:c r="X15" s="16" t="n">
        <x:v>0</x:v>
      </x:c>
      <x:c r="Y15" s="16" t="n">
        <x:v>0</x:v>
      </x:c>
      <x:c r="Z15" s="16" t="n">
        <x:v>0</x:v>
      </x:c>
      <x:c r="AA15" s="16" t="n">
        <x:v>3</x:v>
      </x:c>
      <x:c r="AB15" s="16" t="n">
        <x:v>11</x:v>
      </x:c>
      <x:c r="AC15" s="16" t="n">
        <x:v>0</x:v>
      </x:c>
      <x:c r="AD15" s="21" t="n">
        <x:f>IF(E15="",MEDIAN($E$2:$E$2237),E15)</x:f>
        <x:v>59354</x:v>
      </x:c>
      <x:c r="AE15" s="17" t="n">
        <x:f>2014-B15</x:f>
        <x:v>62</x:v>
      </x:c>
      <x:c r="AF15" s="17" t="n">
        <x:f>F15+G15</x:f>
        <x:v>2</x:v>
      </x:c>
      <x:c r="AG15" s="21" t="n">
        <x:f>SUM(J15:O15)</x:f>
        <x:v>310</x:v>
      </x:c>
      <x:c r="AH15" s="17" t="n">
        <x:f>SUM(Q15:S15)</x:f>
        <x:v>12</x:v>
      </x:c>
      <x:c r="AI15" s="17" t="n">
        <x:f>SUM(U15:Y15)</x:f>
        <x:v>0</x:v>
      </x:c>
      <x:c r="AJ15" s="17" t="str">
        <x:f>IF(AE15&lt;=34,"≤34",IF(AE15&lt;=44,"35–44",IF(AE15&lt;=54,"45–54",IF(AE15&lt;=64,"55–64","65+"))))</x:f>
        <x:v>55–64</x:v>
      </x:c>
      <x:c r="AK15" s="17" t="str">
        <x:f>IF(AG15&gt;=1000,"High Value",IF(AG15&gt;=300,"Mid Value","Low Value"))</x:f>
        <x:v>Mid Value</x:v>
      </x:c>
      <x:c r="AL15" s="17" t="str">
        <x:f>IF(AND(AI15&gt;=1,I15&lt;=50),"Priority 1",IF(AND(AG15&gt;=1000,I15&lt;=60),"Priority 2",IF(I15&lt;=30,"Priority 3","Nurture")))</x:f>
        <x:v>Nurture</x:v>
      </x:c>
    </x:row>
    <x:row r="16">
      <x:c r="A16" s="16" t="n">
        <x:v>2569</x:v>
      </x:c>
      <x:c r="B16" s="16" t="n">
        <x:v>1987</x:v>
      </x:c>
      <x:c r="C16" s="16" t="str">
        <x:v>Graduation</x:v>
      </x:c>
      <x:c r="D16" s="16" t="str">
        <x:v>Married</x:v>
      </x:c>
      <x:c r="E16" s="16" t="n">
        <x:v>17323</x:v>
      </x:c>
      <x:c r="F16" s="16" t="n">
        <x:v>0</x:v>
      </x:c>
      <x:c r="G16" s="16" t="n">
        <x:v>0</x:v>
      </x:c>
      <x:c r="H16" s="16" t="str">
        <x:v>10-10-2012</x:v>
      </x:c>
      <x:c r="I16" s="16" t="n">
        <x:v>38</x:v>
      </x:c>
      <x:c r="J16" s="16" t="n">
        <x:v>3</x:v>
      </x:c>
      <x:c r="K16" s="16" t="n">
        <x:v>14</x:v>
      </x:c>
      <x:c r="L16" s="16" t="n">
        <x:v>17</x:v>
      </x:c>
      <x:c r="M16" s="16" t="n">
        <x:v>6</x:v>
      </x:c>
      <x:c r="N16" s="16" t="n">
        <x:v>1</x:v>
      </x:c>
      <x:c r="O16" s="16" t="n">
        <x:v>5</x:v>
      </x:c>
      <x:c r="P16" s="16" t="n">
        <x:v>1</x:v>
      </x:c>
      <x:c r="Q16" s="16" t="n">
        <x:v>1</x:v>
      </x:c>
      <x:c r="R16" s="16" t="n">
        <x:v>0</x:v>
      </x:c>
      <x:c r="S16" s="16" t="n">
        <x:v>3</x:v>
      </x:c>
      <x:c r="T16" s="16" t="n">
        <x:v>8</x:v>
      </x:c>
      <x:c r="U16" s="16" t="n">
        <x:v>0</x:v>
      </x:c>
      <x:c r="V16" s="16" t="n">
        <x:v>0</x:v>
      </x:c>
      <x:c r="W16" s="16" t="n">
        <x:v>0</x:v>
      </x:c>
      <x:c r="X16" s="16" t="n">
        <x:v>0</x:v>
      </x:c>
      <x:c r="Y16" s="16" t="n">
        <x:v>0</x:v>
      </x:c>
      <x:c r="Z16" s="16" t="n">
        <x:v>0</x:v>
      </x:c>
      <x:c r="AA16" s="16" t="n">
        <x:v>3</x:v>
      </x:c>
      <x:c r="AB16" s="16" t="n">
        <x:v>11</x:v>
      </x:c>
      <x:c r="AC16" s="16" t="n">
        <x:v>0</x:v>
      </x:c>
      <x:c r="AD16" s="21" t="n">
        <x:f>IF(E16="",MEDIAN($E$2:$E$2237),E16)</x:f>
        <x:v>17323</x:v>
      </x:c>
      <x:c r="AE16" s="17" t="n">
        <x:f>2014-B16</x:f>
        <x:v>27</x:v>
      </x:c>
      <x:c r="AF16" s="17" t="n">
        <x:f>F16+G16</x:f>
        <x:v>0</x:v>
      </x:c>
      <x:c r="AG16" s="21" t="n">
        <x:f>SUM(J16:O16)</x:f>
        <x:v>46</x:v>
      </x:c>
      <x:c r="AH16" s="17" t="n">
        <x:f>SUM(Q16:S16)</x:f>
        <x:v>4</x:v>
      </x:c>
      <x:c r="AI16" s="17" t="n">
        <x:f>SUM(U16:Y16)</x:f>
        <x:v>0</x:v>
      </x:c>
      <x:c r="AJ16" s="17" t="str">
        <x:f>IF(AE16&lt;=34,"≤34",IF(AE16&lt;=44,"35–44",IF(AE16&lt;=54,"45–54",IF(AE16&lt;=64,"55–64","65+"))))</x:f>
        <x:v>≤34</x:v>
      </x:c>
      <x:c r="AK16" s="17" t="str">
        <x:f>IF(AG16&gt;=1000,"High Value",IF(AG16&gt;=300,"Mid Value","Low Value"))</x:f>
        <x:v>Low Value</x:v>
      </x:c>
      <x:c r="AL16" s="17" t="str">
        <x:f>IF(AND(AI16&gt;=1,I16&lt;=50),"Priority 1",IF(AND(AG16&gt;=1000,I16&lt;=60),"Priority 2",IF(I16&lt;=30,"Priority 3","Nurture")))</x:f>
        <x:v>Nurture</x:v>
      </x:c>
    </x:row>
    <x:row r="17">
      <x:c r="A17" s="16" t="n">
        <x:v>2114</x:v>
      </x:c>
      <x:c r="B17" s="16" t="n">
        <x:v>1946</x:v>
      </x:c>
      <x:c r="C17" s="16" t="str">
        <x:v>PhD</x:v>
      </x:c>
      <x:c r="D17" s="16" t="str">
        <x:v>Single</x:v>
      </x:c>
      <x:c r="E17" s="16" t="n">
        <x:v>82800</x:v>
      </x:c>
      <x:c r="F17" s="16" t="n">
        <x:v>0</x:v>
      </x:c>
      <x:c r="G17" s="16" t="n">
        <x:v>0</x:v>
      </x:c>
      <x:c r="H17" s="16" t="str">
        <x:v>24-11-2012</x:v>
      </x:c>
      <x:c r="I17" s="16" t="n">
        <x:v>23</x:v>
      </x:c>
      <x:c r="J17" s="16" t="n">
        <x:v>1006</x:v>
      </x:c>
      <x:c r="K17" s="16" t="n">
        <x:v>22</x:v>
      </x:c>
      <x:c r="L17" s="16" t="n">
        <x:v>115</x:v>
      </x:c>
      <x:c r="M17" s="16" t="n">
        <x:v>59</x:v>
      </x:c>
      <x:c r="N17" s="16" t="n">
        <x:v>68</x:v>
      </x:c>
      <x:c r="O17" s="16" t="n">
        <x:v>45</x:v>
      </x:c>
      <x:c r="P17" s="16" t="n">
        <x:v>1</x:v>
      </x:c>
      <x:c r="Q17" s="16" t="n">
        <x:v>7</x:v>
      </x:c>
      <x:c r="R17" s="16" t="n">
        <x:v>6</x:v>
      </x:c>
      <x:c r="S17" s="16" t="n">
        <x:v>12</x:v>
      </x:c>
      <x:c r="T17" s="16" t="n">
        <x:v>3</x:v>
      </x:c>
      <x:c r="U17" s="16" t="n">
        <x:v>0</x:v>
      </x:c>
      <x:c r="V17" s="16" t="n">
        <x:v>0</x:v>
      </x:c>
      <x:c r="W17" s="16" t="n">
        <x:v>1</x:v>
      </x:c>
      <x:c r="X17" s="16" t="n">
        <x:v>1</x:v>
      </x:c>
      <x:c r="Y17" s="16" t="n">
        <x:v>0</x:v>
      </x:c>
      <x:c r="Z17" s="16" t="n">
        <x:v>0</x:v>
      </x:c>
      <x:c r="AA17" s="16" t="n">
        <x:v>3</x:v>
      </x:c>
      <x:c r="AB17" s="16" t="n">
        <x:v>11</x:v>
      </x:c>
      <x:c r="AC17" s="16" t="n">
        <x:v>1</x:v>
      </x:c>
      <x:c r="AD17" s="21" t="n">
        <x:f>IF(E17="",MEDIAN($E$2:$E$2237),E17)</x:f>
        <x:v>82800</x:v>
      </x:c>
      <x:c r="AE17" s="17" t="n">
        <x:f>2014-B17</x:f>
        <x:v>68</x:v>
      </x:c>
      <x:c r="AF17" s="17" t="n">
        <x:f>F17+G17</x:f>
        <x:v>0</x:v>
      </x:c>
      <x:c r="AG17" s="21" t="n">
        <x:f>SUM(J17:O17)</x:f>
        <x:v>1315</x:v>
      </x:c>
      <x:c r="AH17" s="17" t="n">
        <x:f>SUM(Q17:S17)</x:f>
        <x:v>25</x:v>
      </x:c>
      <x:c r="AI17" s="17" t="n">
        <x:f>SUM(U17:Y17)</x:f>
        <x:v>2</x:v>
      </x:c>
      <x:c r="AJ17" s="17" t="str">
        <x:f>IF(AE17&lt;=34,"≤34",IF(AE17&lt;=44,"35–44",IF(AE17&lt;=54,"45–54",IF(AE17&lt;=64,"55–64","65+"))))</x:f>
        <x:v>65+</x:v>
      </x:c>
      <x:c r="AK17" s="17" t="str">
        <x:f>IF(AG17&gt;=1000,"High Value",IF(AG17&gt;=300,"Mid Value","Low Value"))</x:f>
        <x:v>High Value</x:v>
      </x:c>
      <x:c r="AL17" s="17" t="str">
        <x:f>IF(AND(AI17&gt;=1,I17&lt;=50),"Priority 1",IF(AND(AG17&gt;=1000,I17&lt;=60),"Priority 2",IF(I17&lt;=30,"Priority 3","Nurture")))</x:f>
        <x:v>Priority 1</x:v>
      </x:c>
    </x:row>
    <x:row r="18">
      <x:c r="A18" s="16" t="n">
        <x:v>9736</x:v>
      </x:c>
      <x:c r="B18" s="16" t="n">
        <x:v>1980</x:v>
      </x:c>
      <x:c r="C18" s="16" t="str">
        <x:v>Graduation</x:v>
      </x:c>
      <x:c r="D18" s="16" t="str">
        <x:v>Married</x:v>
      </x:c>
      <x:c r="E18" s="16" t="n">
        <x:v>41850</x:v>
      </x:c>
      <x:c r="F18" s="16" t="n">
        <x:v>1</x:v>
      </x:c>
      <x:c r="G18" s="16" t="n">
        <x:v>1</x:v>
      </x:c>
      <x:c r="H18" s="16" t="str">
        <x:v>24-12-2012</x:v>
      </x:c>
      <x:c r="I18" s="16" t="n">
        <x:v>51</x:v>
      </x:c>
      <x:c r="J18" s="16" t="n">
        <x:v>53</x:v>
      </x:c>
      <x:c r="K18" s="16" t="n">
        <x:v>5</x:v>
      </x:c>
      <x:c r="L18" s="16" t="n">
        <x:v>19</x:v>
      </x:c>
      <x:c r="M18" s="16" t="n">
        <x:v>2</x:v>
      </x:c>
      <x:c r="N18" s="16" t="n">
        <x:v>13</x:v>
      </x:c>
      <x:c r="O18" s="16" t="n">
        <x:v>4</x:v>
      </x:c>
      <x:c r="P18" s="16" t="n">
        <x:v>3</x:v>
      </x:c>
      <x:c r="Q18" s="16" t="n">
        <x:v>3</x:v>
      </x:c>
      <x:c r="R18" s="16" t="n">
        <x:v>0</x:v>
      </x:c>
      <x:c r="S18" s="16" t="n">
        <x:v>3</x:v>
      </x:c>
      <x:c r="T18" s="16" t="n">
        <x:v>8</x:v>
      </x:c>
      <x:c r="U18" s="16" t="n">
        <x:v>0</x:v>
      </x:c>
      <x:c r="V18" s="16" t="n">
        <x:v>0</x:v>
      </x:c>
      <x:c r="W18" s="16" t="n">
        <x:v>0</x:v>
      </x:c>
      <x:c r="X18" s="16" t="n">
        <x:v>0</x:v>
      </x:c>
      <x:c r="Y18" s="16" t="n">
        <x:v>0</x:v>
      </x:c>
      <x:c r="Z18" s="16" t="n">
        <x:v>0</x:v>
      </x:c>
      <x:c r="AA18" s="16" t="n">
        <x:v>3</x:v>
      </x:c>
      <x:c r="AB18" s="16" t="n">
        <x:v>11</x:v>
      </x:c>
      <x:c r="AC18" s="16" t="n">
        <x:v>0</x:v>
      </x:c>
      <x:c r="AD18" s="21" t="n">
        <x:f>IF(E18="",MEDIAN($E$2:$E$2237),E18)</x:f>
        <x:v>41850</x:v>
      </x:c>
      <x:c r="AE18" s="17" t="n">
        <x:f>2014-B18</x:f>
        <x:v>34</x:v>
      </x:c>
      <x:c r="AF18" s="17" t="n">
        <x:f>F18+G18</x:f>
        <x:v>2</x:v>
      </x:c>
      <x:c r="AG18" s="21" t="n">
        <x:f>SUM(J18:O18)</x:f>
        <x:v>96</x:v>
      </x:c>
      <x:c r="AH18" s="17" t="n">
        <x:f>SUM(Q18:S18)</x:f>
        <x:v>6</x:v>
      </x:c>
      <x:c r="AI18" s="17" t="n">
        <x:f>SUM(U18:Y18)</x:f>
        <x:v>0</x:v>
      </x:c>
      <x:c r="AJ18" s="17" t="str">
        <x:f>IF(AE18&lt;=34,"≤34",IF(AE18&lt;=44,"35–44",IF(AE18&lt;=54,"45–54",IF(AE18&lt;=64,"55–64","65+"))))</x:f>
        <x:v>≤34</x:v>
      </x:c>
      <x:c r="AK18" s="17" t="str">
        <x:f>IF(AG18&gt;=1000,"High Value",IF(AG18&gt;=300,"Mid Value","Low Value"))</x:f>
        <x:v>Low Value</x:v>
      </x:c>
      <x:c r="AL18" s="17" t="str">
        <x:f>IF(AND(AI18&gt;=1,I18&lt;=50),"Priority 1",IF(AND(AG18&gt;=1000,I18&lt;=60),"Priority 2",IF(I18&lt;=30,"Priority 3","Nurture")))</x:f>
        <x:v>Nurture</x:v>
      </x:c>
    </x:row>
    <x:row r="19">
      <x:c r="A19" s="16" t="n">
        <x:v>4939</x:v>
      </x:c>
      <x:c r="B19" s="16" t="n">
        <x:v>1946</x:v>
      </x:c>
      <x:c r="C19" s="16" t="str">
        <x:v>Graduation</x:v>
      </x:c>
      <x:c r="D19" s="16" t="str">
        <x:v>Together</x:v>
      </x:c>
      <x:c r="E19" s="16" t="n">
        <x:v>37760</x:v>
      </x:c>
      <x:c r="F19" s="16" t="n">
        <x:v>0</x:v>
      </x:c>
      <x:c r="G19" s="16" t="n">
        <x:v>0</x:v>
      </x:c>
      <x:c r="H19" s="16" t="str">
        <x:v>31-08-2012</x:v>
      </x:c>
      <x:c r="I19" s="16" t="n">
        <x:v>20</x:v>
      </x:c>
      <x:c r="J19" s="16" t="n">
        <x:v>84</x:v>
      </x:c>
      <x:c r="K19" s="16" t="n">
        <x:v>5</x:v>
      </x:c>
      <x:c r="L19" s="16" t="n">
        <x:v>38</x:v>
      </x:c>
      <x:c r="M19" s="16" t="n">
        <x:v>150</x:v>
      </x:c>
      <x:c r="N19" s="16" t="n">
        <x:v>12</x:v>
      </x:c>
      <x:c r="O19" s="16" t="n">
        <x:v>28</x:v>
      </x:c>
      <x:c r="P19" s="16" t="n">
        <x:v>2</x:v>
      </x:c>
      <x:c r="Q19" s="16" t="n">
        <x:v>4</x:v>
      </x:c>
      <x:c r="R19" s="16" t="n">
        <x:v>1</x:v>
      </x:c>
      <x:c r="S19" s="16" t="n">
        <x:v>6</x:v>
      </x:c>
      <x:c r="T19" s="16" t="n">
        <x:v>7</x:v>
      </x:c>
      <x:c r="U19" s="16" t="n">
        <x:v>0</x:v>
      </x:c>
      <x:c r="V19" s="16" t="n">
        <x:v>0</x:v>
      </x:c>
      <x:c r="W19" s="16" t="n">
        <x:v>0</x:v>
      </x:c>
      <x:c r="X19" s="16" t="n">
        <x:v>0</x:v>
      </x:c>
      <x:c r="Y19" s="16" t="n">
        <x:v>0</x:v>
      </x:c>
      <x:c r="Z19" s="16" t="n">
        <x:v>0</x:v>
      </x:c>
      <x:c r="AA19" s="16" t="n">
        <x:v>3</x:v>
      </x:c>
      <x:c r="AB19" s="16" t="n">
        <x:v>11</x:v>
      </x:c>
      <x:c r="AC19" s="16" t="n">
        <x:v>0</x:v>
      </x:c>
      <x:c r="AD19" s="21" t="n">
        <x:f>IF(E19="",MEDIAN($E$2:$E$2237),E19)</x:f>
        <x:v>37760</x:v>
      </x:c>
      <x:c r="AE19" s="17" t="n">
        <x:f>2014-B19</x:f>
        <x:v>68</x:v>
      </x:c>
      <x:c r="AF19" s="17" t="n">
        <x:f>F19+G19</x:f>
        <x:v>0</x:v>
      </x:c>
      <x:c r="AG19" s="21" t="n">
        <x:f>SUM(J19:O19)</x:f>
        <x:v>317</x:v>
      </x:c>
      <x:c r="AH19" s="17" t="n">
        <x:f>SUM(Q19:S19)</x:f>
        <x:v>11</x:v>
      </x:c>
      <x:c r="AI19" s="17" t="n">
        <x:f>SUM(U19:Y19)</x:f>
        <x:v>0</x:v>
      </x:c>
      <x:c r="AJ19" s="17" t="str">
        <x:f>IF(AE19&lt;=34,"≤34",IF(AE19&lt;=44,"35–44",IF(AE19&lt;=54,"45–54",IF(AE19&lt;=64,"55–64","65+"))))</x:f>
        <x:v>65+</x:v>
      </x:c>
      <x:c r="AK19" s="17" t="str">
        <x:f>IF(AG19&gt;=1000,"High Value",IF(AG19&gt;=300,"Mid Value","Low Value"))</x:f>
        <x:v>Mid Value</x:v>
      </x:c>
      <x:c r="AL19" s="17" t="str">
        <x:f>IF(AND(AI19&gt;=1,I19&lt;=50),"Priority 1",IF(AND(AG19&gt;=1000,I19&lt;=60),"Priority 2",IF(I19&lt;=30,"Priority 3","Nurture")))</x:f>
        <x:v>Priority 3</x:v>
      </x:c>
    </x:row>
    <x:row r="20">
      <x:c r="A20" s="16" t="n">
        <x:v>6565</x:v>
      </x:c>
      <x:c r="B20" s="16" t="n">
        <x:v>1949</x:v>
      </x:c>
      <x:c r="C20" s="16" t="str">
        <x:v>Master</x:v>
      </x:c>
      <x:c r="D20" s="16" t="str">
        <x:v>Married</x:v>
      </x:c>
      <x:c r="E20" s="16" t="n">
        <x:v>76995</x:v>
      </x:c>
      <x:c r="F20" s="16" t="n">
        <x:v>0</x:v>
      </x:c>
      <x:c r="G20" s="16" t="n">
        <x:v>1</x:v>
      </x:c>
      <x:c r="H20" s="16" t="str">
        <x:v>28-03-2013</x:v>
      </x:c>
      <x:c r="I20" s="16" t="n">
        <x:v>91</x:v>
      </x:c>
      <x:c r="J20" s="16" t="n">
        <x:v>1012</x:v>
      </x:c>
      <x:c r="K20" s="16" t="n">
        <x:v>80</x:v>
      </x:c>
      <x:c r="L20" s="16" t="n">
        <x:v>498</x:v>
      </x:c>
      <x:c r="M20" s="16" t="n">
        <x:v>0</x:v>
      </x:c>
      <x:c r="N20" s="16" t="n">
        <x:v>16</x:v>
      </x:c>
      <x:c r="O20" s="16" t="n">
        <x:v>176</x:v>
      </x:c>
      <x:c r="P20" s="16" t="n">
        <x:v>2</x:v>
      </x:c>
      <x:c r="Q20" s="16" t="n">
        <x:v>11</x:v>
      </x:c>
      <x:c r="R20" s="16" t="n">
        <x:v>4</x:v>
      </x:c>
      <x:c r="S20" s="16" t="n">
        <x:v>9</x:v>
      </x:c>
      <x:c r="T20" s="16" t="n">
        <x:v>5</x:v>
      </x:c>
      <x:c r="U20" s="16" t="n">
        <x:v>0</x:v>
      </x:c>
      <x:c r="V20" s="16" t="n">
        <x:v>0</x:v>
      </x:c>
      <x:c r="W20" s="16" t="n">
        <x:v>0</x:v>
      </x:c>
      <x:c r="X20" s="16" t="n">
        <x:v>1</x:v>
      </x:c>
      <x:c r="Y20" s="16" t="n">
        <x:v>0</x:v>
      </x:c>
      <x:c r="Z20" s="16" t="n">
        <x:v>0</x:v>
      </x:c>
      <x:c r="AA20" s="16" t="n">
        <x:v>3</x:v>
      </x:c>
      <x:c r="AB20" s="16" t="n">
        <x:v>11</x:v>
      </x:c>
      <x:c r="AC20" s="16" t="n">
        <x:v>0</x:v>
      </x:c>
      <x:c r="AD20" s="21" t="n">
        <x:f>IF(E20="",MEDIAN($E$2:$E$2237),E20)</x:f>
        <x:v>76995</x:v>
      </x:c>
      <x:c r="AE20" s="17" t="n">
        <x:f>2014-B20</x:f>
        <x:v>65</x:v>
      </x:c>
      <x:c r="AF20" s="17" t="n">
        <x:f>F20+G20</x:f>
        <x:v>1</x:v>
      </x:c>
      <x:c r="AG20" s="21" t="n">
        <x:f>SUM(J20:O20)</x:f>
        <x:v>1782</x:v>
      </x:c>
      <x:c r="AH20" s="17" t="n">
        <x:f>SUM(Q20:S20)</x:f>
        <x:v>24</x:v>
      </x:c>
      <x:c r="AI20" s="17" t="n">
        <x:f>SUM(U20:Y20)</x:f>
        <x:v>1</x:v>
      </x:c>
      <x:c r="AJ20" s="17" t="str">
        <x:f>IF(AE20&lt;=34,"≤34",IF(AE20&lt;=44,"35–44",IF(AE20&lt;=54,"45–54",IF(AE20&lt;=64,"55–64","65+"))))</x:f>
        <x:v>65+</x:v>
      </x:c>
      <x:c r="AK20" s="17" t="str">
        <x:f>IF(AG20&gt;=1000,"High Value",IF(AG20&gt;=300,"Mid Value","Low Value"))</x:f>
        <x:v>High Value</x:v>
      </x:c>
      <x:c r="AL20" s="17" t="str">
        <x:f>IF(AND(AI20&gt;=1,I20&lt;=50),"Priority 1",IF(AND(AG20&gt;=1000,I20&lt;=60),"Priority 2",IF(I20&lt;=30,"Priority 3","Nurture")))</x:f>
        <x:v>Nurture</x:v>
      </x:c>
    </x:row>
    <x:row r="21">
      <x:c r="A21" s="16" t="n">
        <x:v>2278</x:v>
      </x:c>
      <x:c r="B21" s="16" t="n">
        <x:v>1985</x:v>
      </x:c>
      <x:c r="C21" s="16" t="str">
        <x:v>2n Cycle</x:v>
      </x:c>
      <x:c r="D21" s="16" t="str">
        <x:v>Single</x:v>
      </x:c>
      <x:c r="E21" s="16" t="n">
        <x:v>33812</x:v>
      </x:c>
      <x:c r="F21" s="16" t="n">
        <x:v>1</x:v>
      </x:c>
      <x:c r="G21" s="16" t="n">
        <x:v>0</x:v>
      </x:c>
      <x:c r="H21" s="16" t="str">
        <x:v>03-11-2012</x:v>
      </x:c>
      <x:c r="I21" s="16" t="n">
        <x:v>86</x:v>
      </x:c>
      <x:c r="J21" s="16" t="n">
        <x:v>4</x:v>
      </x:c>
      <x:c r="K21" s="16" t="n">
        <x:v>17</x:v>
      </x:c>
      <x:c r="L21" s="16" t="n">
        <x:v>19</x:v>
      </x:c>
      <x:c r="M21" s="16" t="n">
        <x:v>30</x:v>
      </x:c>
      <x:c r="N21" s="16" t="n">
        <x:v>24</x:v>
      </x:c>
      <x:c r="O21" s="16" t="n">
        <x:v>39</x:v>
      </x:c>
      <x:c r="P21" s="16" t="n">
        <x:v>2</x:v>
      </x:c>
      <x:c r="Q21" s="16" t="n">
        <x:v>2</x:v>
      </x:c>
      <x:c r="R21" s="16" t="n">
        <x:v>1</x:v>
      </x:c>
      <x:c r="S21" s="16" t="n">
        <x:v>3</x:v>
      </x:c>
      <x:c r="T21" s="16" t="n">
        <x:v>6</x:v>
      </x:c>
      <x:c r="U21" s="16" t="n">
        <x:v>0</x:v>
      </x:c>
      <x:c r="V21" s="16" t="n">
        <x:v>0</x:v>
      </x:c>
      <x:c r="W21" s="16" t="n">
        <x:v>0</x:v>
      </x:c>
      <x:c r="X21" s="16" t="n">
        <x:v>0</x:v>
      </x:c>
      <x:c r="Y21" s="16" t="n">
        <x:v>0</x:v>
      </x:c>
      <x:c r="Z21" s="16" t="n">
        <x:v>0</x:v>
      </x:c>
      <x:c r="AA21" s="16" t="n">
        <x:v>3</x:v>
      </x:c>
      <x:c r="AB21" s="16" t="n">
        <x:v>11</x:v>
      </x:c>
      <x:c r="AC21" s="16" t="n">
        <x:v>0</x:v>
      </x:c>
      <x:c r="AD21" s="21" t="n">
        <x:f>IF(E21="",MEDIAN($E$2:$E$2237),E21)</x:f>
        <x:v>33812</x:v>
      </x:c>
      <x:c r="AE21" s="17" t="n">
        <x:f>2014-B21</x:f>
        <x:v>29</x:v>
      </x:c>
      <x:c r="AF21" s="17" t="n">
        <x:f>F21+G21</x:f>
        <x:v>1</x:v>
      </x:c>
      <x:c r="AG21" s="21" t="n">
        <x:f>SUM(J21:O21)</x:f>
        <x:v>133</x:v>
      </x:c>
      <x:c r="AH21" s="17" t="n">
        <x:f>SUM(Q21:S21)</x:f>
        <x:v>6</x:v>
      </x:c>
      <x:c r="AI21" s="17" t="n">
        <x:f>SUM(U21:Y21)</x:f>
        <x:v>0</x:v>
      </x:c>
      <x:c r="AJ21" s="17" t="str">
        <x:f>IF(AE21&lt;=34,"≤34",IF(AE21&lt;=44,"35–44",IF(AE21&lt;=54,"45–54",IF(AE21&lt;=64,"55–64","65+"))))</x:f>
        <x:v>≤34</x:v>
      </x:c>
      <x:c r="AK21" s="17" t="str">
        <x:f>IF(AG21&gt;=1000,"High Value",IF(AG21&gt;=300,"Mid Value","Low Value"))</x:f>
        <x:v>Low Value</x:v>
      </x:c>
      <x:c r="AL21" s="17" t="str">
        <x:f>IF(AND(AI21&gt;=1,I21&lt;=50),"Priority 1",IF(AND(AG21&gt;=1000,I21&lt;=60),"Priority 2",IF(I21&lt;=30,"Priority 3","Nurture")))</x:f>
        <x:v>Nurture</x:v>
      </x:c>
    </x:row>
    <x:row r="22">
      <x:c r="A22" s="16" t="n">
        <x:v>9360</x:v>
      </x:c>
      <x:c r="B22" s="16" t="n">
        <x:v>1982</x:v>
      </x:c>
      <x:c r="C22" s="16" t="str">
        <x:v>Graduation</x:v>
      </x:c>
      <x:c r="D22" s="16" t="str">
        <x:v>Married</x:v>
      </x:c>
      <x:c r="E22" s="16" t="n">
        <x:v>37040</x:v>
      </x:c>
      <x:c r="F22" s="16" t="n">
        <x:v>0</x:v>
      </x:c>
      <x:c r="G22" s="16" t="n">
        <x:v>0</x:v>
      </x:c>
      <x:c r="H22" s="16" t="str">
        <x:v>08-08-2012</x:v>
      </x:c>
      <x:c r="I22" s="16" t="n">
        <x:v>41</x:v>
      </x:c>
      <x:c r="J22" s="16" t="n">
        <x:v>86</x:v>
      </x:c>
      <x:c r="K22" s="16" t="n">
        <x:v>2</x:v>
      </x:c>
      <x:c r="L22" s="16" t="n">
        <x:v>73</x:v>
      </x:c>
      <x:c r="M22" s="16" t="n">
        <x:v>69</x:v>
      </x:c>
      <x:c r="N22" s="16" t="n">
        <x:v>38</x:v>
      </x:c>
      <x:c r="O22" s="16" t="n">
        <x:v>48</x:v>
      </x:c>
      <x:c r="P22" s="16" t="n">
        <x:v>1</x:v>
      </x:c>
      <x:c r="Q22" s="16" t="n">
        <x:v>4</x:v>
      </x:c>
      <x:c r="R22" s="16" t="n">
        <x:v>2</x:v>
      </x:c>
      <x:c r="S22" s="16" t="n">
        <x:v>5</x:v>
      </x:c>
      <x:c r="T22" s="16" t="n">
        <x:v>8</x:v>
      </x:c>
      <x:c r="U22" s="16" t="n">
        <x:v>0</x:v>
      </x:c>
      <x:c r="V22" s="16" t="n">
        <x:v>0</x:v>
      </x:c>
      <x:c r="W22" s="16" t="n">
        <x:v>0</x:v>
      </x:c>
      <x:c r="X22" s="16" t="n">
        <x:v>0</x:v>
      </x:c>
      <x:c r="Y22" s="16" t="n">
        <x:v>0</x:v>
      </x:c>
      <x:c r="Z22" s="16" t="n">
        <x:v>0</x:v>
      </x:c>
      <x:c r="AA22" s="16" t="n">
        <x:v>3</x:v>
      </x:c>
      <x:c r="AB22" s="16" t="n">
        <x:v>11</x:v>
      </x:c>
      <x:c r="AC22" s="16" t="n">
        <x:v>0</x:v>
      </x:c>
      <x:c r="AD22" s="21" t="n">
        <x:f>IF(E22="",MEDIAN($E$2:$E$2237),E22)</x:f>
        <x:v>37040</x:v>
      </x:c>
      <x:c r="AE22" s="17" t="n">
        <x:f>2014-B22</x:f>
        <x:v>32</x:v>
      </x:c>
      <x:c r="AF22" s="17" t="n">
        <x:f>F22+G22</x:f>
        <x:v>0</x:v>
      </x:c>
      <x:c r="AG22" s="21" t="n">
        <x:f>SUM(J22:O22)</x:f>
        <x:v>316</x:v>
      </x:c>
      <x:c r="AH22" s="17" t="n">
        <x:f>SUM(Q22:S22)</x:f>
        <x:v>11</x:v>
      </x:c>
      <x:c r="AI22" s="17" t="n">
        <x:f>SUM(U22:Y22)</x:f>
        <x:v>0</x:v>
      </x:c>
      <x:c r="AJ22" s="17" t="str">
        <x:f>IF(AE22&lt;=34,"≤34",IF(AE22&lt;=44,"35–44",IF(AE22&lt;=54,"45–54",IF(AE22&lt;=64,"55–64","65+"))))</x:f>
        <x:v>≤34</x:v>
      </x:c>
      <x:c r="AK22" s="17" t="str">
        <x:f>IF(AG22&gt;=1000,"High Value",IF(AG22&gt;=300,"Mid Value","Low Value"))</x:f>
        <x:v>Mid Value</x:v>
      </x:c>
      <x:c r="AL22" s="17" t="str">
        <x:f>IF(AND(AI22&gt;=1,I22&lt;=50),"Priority 1",IF(AND(AG22&gt;=1000,I22&lt;=60),"Priority 2",IF(I22&lt;=30,"Priority 3","Nurture")))</x:f>
        <x:v>Nurture</x:v>
      </x:c>
    </x:row>
    <x:row r="23">
      <x:c r="A23" s="16" t="n">
        <x:v>5376</x:v>
      </x:c>
      <x:c r="B23" s="16" t="n">
        <x:v>1979</x:v>
      </x:c>
      <x:c r="C23" s="16" t="str">
        <x:v>Graduation</x:v>
      </x:c>
      <x:c r="D23" s="16" t="str">
        <x:v>Married</x:v>
      </x:c>
      <x:c r="E23" s="16" t="n">
        <x:v>2447</x:v>
      </x:c>
      <x:c r="F23" s="16" t="n">
        <x:v>1</x:v>
      </x:c>
      <x:c r="G23" s="16" t="n">
        <x:v>0</x:v>
      </x:c>
      <x:c r="H23" s="16" t="str">
        <x:v>06-01-2013</x:v>
      </x:c>
      <x:c r="I23" s="16" t="n">
        <x:v>42</x:v>
      </x:c>
      <x:c r="J23" s="16" t="n">
        <x:v>1</x:v>
      </x:c>
      <x:c r="K23" s="16" t="n">
        <x:v>1</x:v>
      </x:c>
      <x:c r="L23" s="16" t="n">
        <x:v>1725</x:v>
      </x:c>
      <x:c r="M23" s="16" t="n">
        <x:v>1</x:v>
      </x:c>
      <x:c r="N23" s="16" t="n">
        <x:v>1</x:v>
      </x:c>
      <x:c r="O23" s="16" t="n">
        <x:v>1</x:v>
      </x:c>
      <x:c r="P23" s="16" t="n">
        <x:v>15</x:v>
      </x:c>
      <x:c r="Q23" s="16" t="n">
        <x:v>0</x:v>
      </x:c>
      <x:c r="R23" s="16" t="n">
        <x:v>28</x:v>
      </x:c>
      <x:c r="S23" s="16" t="n">
        <x:v>0</x:v>
      </x:c>
      <x:c r="T23" s="16" t="n">
        <x:v>1</x:v>
      </x:c>
      <x:c r="U23" s="16" t="n">
        <x:v>0</x:v>
      </x:c>
      <x:c r="V23" s="16" t="n">
        <x:v>0</x:v>
      </x:c>
      <x:c r="W23" s="16" t="n">
        <x:v>0</x:v>
      </x:c>
      <x:c r="X23" s="16" t="n">
        <x:v>0</x:v>
      </x:c>
      <x:c r="Y23" s="16" t="n">
        <x:v>0</x:v>
      </x:c>
      <x:c r="Z23" s="16" t="n">
        <x:v>0</x:v>
      </x:c>
      <x:c r="AA23" s="16" t="n">
        <x:v>3</x:v>
      </x:c>
      <x:c r="AB23" s="16" t="n">
        <x:v>11</x:v>
      </x:c>
      <x:c r="AC23" s="16" t="n">
        <x:v>0</x:v>
      </x:c>
      <x:c r="AD23" s="21" t="n">
        <x:f>IF(E23="",MEDIAN($E$2:$E$2237),E23)</x:f>
        <x:v>2447</x:v>
      </x:c>
      <x:c r="AE23" s="17" t="n">
        <x:f>2014-B23</x:f>
        <x:v>35</x:v>
      </x:c>
      <x:c r="AF23" s="17" t="n">
        <x:f>F23+G23</x:f>
        <x:v>1</x:v>
      </x:c>
      <x:c r="AG23" s="21" t="n">
        <x:f>SUM(J23:O23)</x:f>
        <x:v>1730</x:v>
      </x:c>
      <x:c r="AH23" s="17" t="n">
        <x:f>SUM(Q23:S23)</x:f>
        <x:v>28</x:v>
      </x:c>
      <x:c r="AI23" s="17" t="n">
        <x:f>SUM(U23:Y23)</x:f>
        <x:v>0</x:v>
      </x:c>
      <x:c r="AJ23" s="17" t="str">
        <x:f>IF(AE23&lt;=34,"≤34",IF(AE23&lt;=44,"35–44",IF(AE23&lt;=54,"45–54",IF(AE23&lt;=64,"55–64","65+"))))</x:f>
        <x:v>35–44</x:v>
      </x:c>
      <x:c r="AK23" s="17" t="str">
        <x:f>IF(AG23&gt;=1000,"High Value",IF(AG23&gt;=300,"Mid Value","Low Value"))</x:f>
        <x:v>High Value</x:v>
      </x:c>
      <x:c r="AL23" s="17" t="str">
        <x:f>IF(AND(AI23&gt;=1,I23&lt;=50),"Priority 1",IF(AND(AG23&gt;=1000,I23&lt;=60),"Priority 2",IF(I23&lt;=30,"Priority 3","Nurture")))</x:f>
        <x:v>Priority 2</x:v>
      </x:c>
    </x:row>
    <x:row r="24">
      <x:c r="A24" s="16" t="n">
        <x:v>1993</x:v>
      </x:c>
      <x:c r="B24" s="16" t="n">
        <x:v>1949</x:v>
      </x:c>
      <x:c r="C24" s="16" t="str">
        <x:v>PhD</x:v>
      </x:c>
      <x:c r="D24" s="16" t="str">
        <x:v>Married</x:v>
      </x:c>
      <x:c r="E24" s="16" t="n">
        <x:v>58607</x:v>
      </x:c>
      <x:c r="F24" s="16" t="n">
        <x:v>0</x:v>
      </x:c>
      <x:c r="G24" s="16" t="n">
        <x:v>1</x:v>
      </x:c>
      <x:c r="H24" s="16" t="str">
        <x:v>23-12-2012</x:v>
      </x:c>
      <x:c r="I24" s="16" t="n">
        <x:v>63</x:v>
      </x:c>
      <x:c r="J24" s="16" t="n">
        <x:v>867</x:v>
      </x:c>
      <x:c r="K24" s="16" t="n">
        <x:v>0</x:v>
      </x:c>
      <x:c r="L24" s="16" t="n">
        <x:v>86</x:v>
      </x:c>
      <x:c r="M24" s="16" t="n">
        <x:v>0</x:v>
      </x:c>
      <x:c r="N24" s="16" t="n">
        <x:v>0</x:v>
      </x:c>
      <x:c r="O24" s="16" t="n">
        <x:v>19</x:v>
      </x:c>
      <x:c r="P24" s="16" t="n">
        <x:v>3</x:v>
      </x:c>
      <x:c r="Q24" s="16" t="n">
        <x:v>2</x:v>
      </x:c>
      <x:c r="R24" s="16" t="n">
        <x:v>3</x:v>
      </x:c>
      <x:c r="S24" s="16" t="n">
        <x:v>9</x:v>
      </x:c>
      <x:c r="T24" s="16" t="n">
        <x:v>8</x:v>
      </x:c>
      <x:c r="U24" s="16" t="n">
        <x:v>0</x:v>
      </x:c>
      <x:c r="V24" s="16" t="n">
        <x:v>1</x:v>
      </x:c>
      <x:c r="W24" s="16" t="n">
        <x:v>0</x:v>
      </x:c>
      <x:c r="X24" s="16" t="n">
        <x:v>0</x:v>
      </x:c>
      <x:c r="Y24" s="16" t="n">
        <x:v>0</x:v>
      </x:c>
      <x:c r="Z24" s="16" t="n">
        <x:v>0</x:v>
      </x:c>
      <x:c r="AA24" s="16" t="n">
        <x:v>3</x:v>
      </x:c>
      <x:c r="AB24" s="16" t="n">
        <x:v>11</x:v>
      </x:c>
      <x:c r="AC24" s="16" t="n">
        <x:v>0</x:v>
      </x:c>
      <x:c r="AD24" s="21" t="n">
        <x:f>IF(E24="",MEDIAN($E$2:$E$2237),E24)</x:f>
        <x:v>58607</x:v>
      </x:c>
      <x:c r="AE24" s="17" t="n">
        <x:f>2014-B24</x:f>
        <x:v>65</x:v>
      </x:c>
      <x:c r="AF24" s="17" t="n">
        <x:f>F24+G24</x:f>
        <x:v>1</x:v>
      </x:c>
      <x:c r="AG24" s="21" t="n">
        <x:f>SUM(J24:O24)</x:f>
        <x:v>972</x:v>
      </x:c>
      <x:c r="AH24" s="17" t="n">
        <x:f>SUM(Q24:S24)</x:f>
        <x:v>14</x:v>
      </x:c>
      <x:c r="AI24" s="17" t="n">
        <x:f>SUM(U24:Y24)</x:f>
        <x:v>1</x:v>
      </x:c>
      <x:c r="AJ24" s="17" t="str">
        <x:f>IF(AE24&lt;=34,"≤34",IF(AE24&lt;=44,"35–44",IF(AE24&lt;=54,"45–54",IF(AE24&lt;=64,"55–64","65+"))))</x:f>
        <x:v>65+</x:v>
      </x:c>
      <x:c r="AK24" s="17" t="str">
        <x:f>IF(AG24&gt;=1000,"High Value",IF(AG24&gt;=300,"Mid Value","Low Value"))</x:f>
        <x:v>Mid Value</x:v>
      </x:c>
      <x:c r="AL24" s="17" t="str">
        <x:f>IF(AND(AI24&gt;=1,I24&lt;=50),"Priority 1",IF(AND(AG24&gt;=1000,I24&lt;=60),"Priority 2",IF(I24&lt;=30,"Priority 3","Nurture")))</x:f>
        <x:v>Nurture</x:v>
      </x:c>
    </x:row>
    <x:row r="25">
      <x:c r="A25" s="16" t="n">
        <x:v>4047</x:v>
      </x:c>
      <x:c r="B25" s="16" t="n">
        <x:v>1954</x:v>
      </x:c>
      <x:c r="C25" s="16" t="str">
        <x:v>PhD</x:v>
      </x:c>
      <x:c r="D25" s="16" t="str">
        <x:v>Married</x:v>
      </x:c>
      <x:c r="E25" s="16" t="n">
        <x:v>65324</x:v>
      </x:c>
      <x:c r="F25" s="16" t="n">
        <x:v>0</x:v>
      </x:c>
      <x:c r="G25" s="16" t="n">
        <x:v>1</x:v>
      </x:c>
      <x:c r="H25" s="16" t="str">
        <x:v>11-01-2014</x:v>
      </x:c>
      <x:c r="I25" s="16" t="n">
        <x:v>0</x:v>
      </x:c>
      <x:c r="J25" s="16" t="n">
        <x:v>384</x:v>
      </x:c>
      <x:c r="K25" s="16" t="n">
        <x:v>0</x:v>
      </x:c>
      <x:c r="L25" s="16" t="n">
        <x:v>102</x:v>
      </x:c>
      <x:c r="M25" s="16" t="n">
        <x:v>21</x:v>
      </x:c>
      <x:c r="N25" s="16" t="n">
        <x:v>32</x:v>
      </x:c>
      <x:c r="O25" s="16" t="n">
        <x:v>5</x:v>
      </x:c>
      <x:c r="P25" s="16" t="n">
        <x:v>3</x:v>
      </x:c>
      <x:c r="Q25" s="16" t="n">
        <x:v>6</x:v>
      </x:c>
      <x:c r="R25" s="16" t="n">
        <x:v>2</x:v>
      </x:c>
      <x:c r="S25" s="16" t="n">
        <x:v>9</x:v>
      </x:c>
      <x:c r="T25" s="16" t="n">
        <x:v>4</x:v>
      </x:c>
      <x:c r="U25" s="16" t="n">
        <x:v>0</x:v>
      </x:c>
      <x:c r="V25" s="16" t="n">
        <x:v>0</x:v>
      </x:c>
      <x:c r="W25" s="16" t="n">
        <x:v>0</x:v>
      </x:c>
      <x:c r="X25" s="16" t="n">
        <x:v>0</x:v>
      </x:c>
      <x:c r="Y25" s="16" t="n">
        <x:v>0</x:v>
      </x:c>
      <x:c r="Z25" s="16" t="n">
        <x:v>0</x:v>
      </x:c>
      <x:c r="AA25" s="16" t="n">
        <x:v>3</x:v>
      </x:c>
      <x:c r="AB25" s="16" t="n">
        <x:v>11</x:v>
      </x:c>
      <x:c r="AC25" s="16" t="n">
        <x:v>0</x:v>
      </x:c>
      <x:c r="AD25" s="21" t="n">
        <x:f>IF(E25="",MEDIAN($E$2:$E$2237),E25)</x:f>
        <x:v>65324</x:v>
      </x:c>
      <x:c r="AE25" s="17" t="n">
        <x:f>2014-B25</x:f>
        <x:v>60</x:v>
      </x:c>
      <x:c r="AF25" s="17" t="n">
        <x:f>F25+G25</x:f>
        <x:v>1</x:v>
      </x:c>
      <x:c r="AG25" s="21" t="n">
        <x:f>SUM(J25:O25)</x:f>
        <x:v>544</x:v>
      </x:c>
      <x:c r="AH25" s="17" t="n">
        <x:f>SUM(Q25:S25)</x:f>
        <x:v>17</x:v>
      </x:c>
      <x:c r="AI25" s="17" t="n">
        <x:f>SUM(U25:Y25)</x:f>
        <x:v>0</x:v>
      </x:c>
      <x:c r="AJ25" s="17" t="str">
        <x:f>IF(AE25&lt;=34,"≤34",IF(AE25&lt;=44,"35–44",IF(AE25&lt;=54,"45–54",IF(AE25&lt;=64,"55–64","65+"))))</x:f>
        <x:v>55–64</x:v>
      </x:c>
      <x:c r="AK25" s="17" t="str">
        <x:f>IF(AG25&gt;=1000,"High Value",IF(AG25&gt;=300,"Mid Value","Low Value"))</x:f>
        <x:v>Mid Value</x:v>
      </x:c>
      <x:c r="AL25" s="17" t="str">
        <x:f>IF(AND(AI25&gt;=1,I25&lt;=50),"Priority 1",IF(AND(AG25&gt;=1000,I25&lt;=60),"Priority 2",IF(I25&lt;=30,"Priority 3","Nurture")))</x:f>
        <x:v>Priority 3</x:v>
      </x:c>
    </x:row>
    <x:row r="26">
      <x:c r="A26" s="16" t="n">
        <x:v>1409</x:v>
      </x:c>
      <x:c r="B26" s="16" t="n">
        <x:v>1951</x:v>
      </x:c>
      <x:c r="C26" s="16" t="str">
        <x:v>Graduation</x:v>
      </x:c>
      <x:c r="D26" s="16" t="str">
        <x:v>Together</x:v>
      </x:c>
      <x:c r="E26" s="16" t="n">
        <x:v>40689</x:v>
      </x:c>
      <x:c r="F26" s="16" t="n">
        <x:v>0</x:v>
      </x:c>
      <x:c r="G26" s="16" t="n">
        <x:v>1</x:v>
      </x:c>
      <x:c r="H26" s="16" t="str">
        <x:v>18-03-2013</x:v>
      </x:c>
      <x:c r="I26" s="16" t="n">
        <x:v>69</x:v>
      </x:c>
      <x:c r="J26" s="16" t="n">
        <x:v>270</x:v>
      </x:c>
      <x:c r="K26" s="16" t="n">
        <x:v>3</x:v>
      </x:c>
      <x:c r="L26" s="16" t="n">
        <x:v>27</x:v>
      </x:c>
      <x:c r="M26" s="16" t="n">
        <x:v>39</x:v>
      </x:c>
      <x:c r="N26" s="16" t="n">
        <x:v>6</x:v>
      </x:c>
      <x:c r="O26" s="16" t="n">
        <x:v>99</x:v>
      </x:c>
      <x:c r="P26" s="16" t="n">
        <x:v>7</x:v>
      </x:c>
      <x:c r="Q26" s="16" t="n">
        <x:v>7</x:v>
      </x:c>
      <x:c r="R26" s="16" t="n">
        <x:v>1</x:v>
      </x:c>
      <x:c r="S26" s="16" t="n">
        <x:v>5</x:v>
      </x:c>
      <x:c r="T26" s="16" t="n">
        <x:v>8</x:v>
      </x:c>
      <x:c r="U26" s="16" t="n">
        <x:v>0</x:v>
      </x:c>
      <x:c r="V26" s="16" t="n">
        <x:v>0</x:v>
      </x:c>
      <x:c r="W26" s="16" t="n">
        <x:v>0</x:v>
      </x:c>
      <x:c r="X26" s="16" t="n">
        <x:v>0</x:v>
      </x:c>
      <x:c r="Y26" s="16" t="n">
        <x:v>0</x:v>
      </x:c>
      <x:c r="Z26" s="16" t="n">
        <x:v>0</x:v>
      </x:c>
      <x:c r="AA26" s="16" t="n">
        <x:v>3</x:v>
      </x:c>
      <x:c r="AB26" s="16" t="n">
        <x:v>11</x:v>
      </x:c>
      <x:c r="AC26" s="16" t="n">
        <x:v>0</x:v>
      </x:c>
      <x:c r="AD26" s="21" t="n">
        <x:f>IF(E26="",MEDIAN($E$2:$E$2237),E26)</x:f>
        <x:v>40689</x:v>
      </x:c>
      <x:c r="AE26" s="17" t="n">
        <x:f>2014-B26</x:f>
        <x:v>63</x:v>
      </x:c>
      <x:c r="AF26" s="17" t="n">
        <x:f>F26+G26</x:f>
        <x:v>1</x:v>
      </x:c>
      <x:c r="AG26" s="21" t="n">
        <x:f>SUM(J26:O26)</x:f>
        <x:v>444</x:v>
      </x:c>
      <x:c r="AH26" s="17" t="n">
        <x:f>SUM(Q26:S26)</x:f>
        <x:v>13</x:v>
      </x:c>
      <x:c r="AI26" s="17" t="n">
        <x:f>SUM(U26:Y26)</x:f>
        <x:v>0</x:v>
      </x:c>
      <x:c r="AJ26" s="17" t="str">
        <x:f>IF(AE26&lt;=34,"≤34",IF(AE26&lt;=44,"35–44",IF(AE26&lt;=54,"45–54",IF(AE26&lt;=64,"55–64","65+"))))</x:f>
        <x:v>55–64</x:v>
      </x:c>
      <x:c r="AK26" s="17" t="str">
        <x:f>IF(AG26&gt;=1000,"High Value",IF(AG26&gt;=300,"Mid Value","Low Value"))</x:f>
        <x:v>Mid Value</x:v>
      </x:c>
      <x:c r="AL26" s="17" t="str">
        <x:f>IF(AND(AI26&gt;=1,I26&lt;=50),"Priority 1",IF(AND(AG26&gt;=1000,I26&lt;=60),"Priority 2",IF(I26&lt;=30,"Priority 3","Nurture")))</x:f>
        <x:v>Nurture</x:v>
      </x:c>
    </x:row>
    <x:row r="27">
      <x:c r="A27" s="16" t="n">
        <x:v>7892</x:v>
      </x:c>
      <x:c r="B27" s="16" t="n">
        <x:v>1969</x:v>
      </x:c>
      <x:c r="C27" s="16" t="str">
        <x:v>Graduation</x:v>
      </x:c>
      <x:c r="D27" s="16" t="str">
        <x:v>Single</x:v>
      </x:c>
      <x:c r="E27" s="16" t="n">
        <x:v>18589</x:v>
      </x:c>
      <x:c r="F27" s="16" t="n">
        <x:v>0</x:v>
      </x:c>
      <x:c r="G27" s="16" t="n">
        <x:v>0</x:v>
      </x:c>
      <x:c r="H27" s="16" t="str">
        <x:v>02-01-2013</x:v>
      </x:c>
      <x:c r="I27" s="16" t="n">
        <x:v>89</x:v>
      </x:c>
      <x:c r="J27" s="16" t="n">
        <x:v>6</x:v>
      </x:c>
      <x:c r="K27" s="16" t="n">
        <x:v>4</x:v>
      </x:c>
      <x:c r="L27" s="16" t="n">
        <x:v>25</x:v>
      </x:c>
      <x:c r="M27" s="16" t="n">
        <x:v>15</x:v>
      </x:c>
      <x:c r="N27" s="16" t="n">
        <x:v>12</x:v>
      </x:c>
      <x:c r="O27" s="16" t="n">
        <x:v>13</x:v>
      </x:c>
      <x:c r="P27" s="16" t="n">
        <x:v>2</x:v>
      </x:c>
      <x:c r="Q27" s="16" t="n">
        <x:v>2</x:v>
      </x:c>
      <x:c r="R27" s="16" t="n">
        <x:v>1</x:v>
      </x:c>
      <x:c r="S27" s="16" t="n">
        <x:v>3</x:v>
      </x:c>
      <x:c r="T27" s="16" t="n">
        <x:v>7</x:v>
      </x:c>
      <x:c r="U27" s="16" t="n">
        <x:v>0</x:v>
      </x:c>
      <x:c r="V27" s="16" t="n">
        <x:v>0</x:v>
      </x:c>
      <x:c r="W27" s="16" t="n">
        <x:v>0</x:v>
      </x:c>
      <x:c r="X27" s="16" t="n">
        <x:v>0</x:v>
      </x:c>
      <x:c r="Y27" s="16" t="n">
        <x:v>0</x:v>
      </x:c>
      <x:c r="Z27" s="16" t="n">
        <x:v>0</x:v>
      </x:c>
      <x:c r="AA27" s="16" t="n">
        <x:v>3</x:v>
      </x:c>
      <x:c r="AB27" s="16" t="n">
        <x:v>11</x:v>
      </x:c>
      <x:c r="AC27" s="16" t="n">
        <x:v>0</x:v>
      </x:c>
      <x:c r="AD27" s="21" t="n">
        <x:f>IF(E27="",MEDIAN($E$2:$E$2237),E27)</x:f>
        <x:v>18589</x:v>
      </x:c>
      <x:c r="AE27" s="17" t="n">
        <x:f>2014-B27</x:f>
        <x:v>45</x:v>
      </x:c>
      <x:c r="AF27" s="17" t="n">
        <x:f>F27+G27</x:f>
        <x:v>0</x:v>
      </x:c>
      <x:c r="AG27" s="21" t="n">
        <x:f>SUM(J27:O27)</x:f>
        <x:v>75</x:v>
      </x:c>
      <x:c r="AH27" s="17" t="n">
        <x:f>SUM(Q27:S27)</x:f>
        <x:v>6</x:v>
      </x:c>
      <x:c r="AI27" s="17" t="n">
        <x:f>SUM(U27:Y27)</x:f>
        <x:v>0</x:v>
      </x:c>
      <x:c r="AJ27" s="17" t="str">
        <x:f>IF(AE27&lt;=34,"≤34",IF(AE27&lt;=44,"35–44",IF(AE27&lt;=54,"45–54",IF(AE27&lt;=64,"55–64","65+"))))</x:f>
        <x:v>45–54</x:v>
      </x:c>
      <x:c r="AK27" s="17" t="str">
        <x:f>IF(AG27&gt;=1000,"High Value",IF(AG27&gt;=300,"Mid Value","Low Value"))</x:f>
        <x:v>Low Value</x:v>
      </x:c>
      <x:c r="AL27" s="17" t="str">
        <x:f>IF(AND(AI27&gt;=1,I27&lt;=50),"Priority 1",IF(AND(AG27&gt;=1000,I27&lt;=60),"Priority 2",IF(I27&lt;=30,"Priority 3","Nurture")))</x:f>
        <x:v>Nurture</x:v>
      </x:c>
    </x:row>
    <x:row r="28">
      <x:c r="A28" s="16" t="n">
        <x:v>2404</x:v>
      </x:c>
      <x:c r="B28" s="16" t="n">
        <x:v>1976</x:v>
      </x:c>
      <x:c r="C28" s="16" t="str">
        <x:v>Graduation</x:v>
      </x:c>
      <x:c r="D28" s="16" t="str">
        <x:v>Married</x:v>
      </x:c>
      <x:c r="E28" s="16" t="n">
        <x:v>53359</x:v>
      </x:c>
      <x:c r="F28" s="16" t="n">
        <x:v>1</x:v>
      </x:c>
      <x:c r="G28" s="16" t="n">
        <x:v>1</x:v>
      </x:c>
      <x:c r="H28" s="16" t="str">
        <x:v>27-05-2013</x:v>
      </x:c>
      <x:c r="I28" s="16" t="n">
        <x:v>4</x:v>
      </x:c>
      <x:c r="J28" s="16" t="n">
        <x:v>173</x:v>
      </x:c>
      <x:c r="K28" s="16" t="n">
        <x:v>4</x:v>
      </x:c>
      <x:c r="L28" s="16" t="n">
        <x:v>30</x:v>
      </x:c>
      <x:c r="M28" s="16" t="n">
        <x:v>3</x:v>
      </x:c>
      <x:c r="N28" s="16" t="n">
        <x:v>6</x:v>
      </x:c>
      <x:c r="O28" s="16" t="n">
        <x:v>41</x:v>
      </x:c>
      <x:c r="P28" s="16" t="n">
        <x:v>4</x:v>
      </x:c>
      <x:c r="Q28" s="16" t="n">
        <x:v>5</x:v>
      </x:c>
      <x:c r="R28" s="16" t="n">
        <x:v>1</x:v>
      </x:c>
      <x:c r="S28" s="16" t="n">
        <x:v>4</x:v>
      </x:c>
      <x:c r="T28" s="16" t="n">
        <x:v>7</x:v>
      </x:c>
      <x:c r="U28" s="16" t="n">
        <x:v>0</x:v>
      </x:c>
      <x:c r="V28" s="16" t="n">
        <x:v>0</x:v>
      </x:c>
      <x:c r="W28" s="16" t="n">
        <x:v>0</x:v>
      </x:c>
      <x:c r="X28" s="16" t="n">
        <x:v>0</x:v>
      </x:c>
      <x:c r="Y28" s="16" t="n">
        <x:v>0</x:v>
      </x:c>
      <x:c r="Z28" s="16" t="n">
        <x:v>0</x:v>
      </x:c>
      <x:c r="AA28" s="16" t="n">
        <x:v>3</x:v>
      </x:c>
      <x:c r="AB28" s="16" t="n">
        <x:v>11</x:v>
      </x:c>
      <x:c r="AC28" s="16" t="n">
        <x:v>0</x:v>
      </x:c>
      <x:c r="AD28" s="21" t="n">
        <x:f>IF(E28="",MEDIAN($E$2:$E$2237),E28)</x:f>
        <x:v>53359</x:v>
      </x:c>
      <x:c r="AE28" s="17" t="n">
        <x:f>2014-B28</x:f>
        <x:v>38</x:v>
      </x:c>
      <x:c r="AF28" s="17" t="n">
        <x:f>F28+G28</x:f>
        <x:v>2</x:v>
      </x:c>
      <x:c r="AG28" s="21" t="n">
        <x:f>SUM(J28:O28)</x:f>
        <x:v>257</x:v>
      </x:c>
      <x:c r="AH28" s="17" t="n">
        <x:f>SUM(Q28:S28)</x:f>
        <x:v>10</x:v>
      </x:c>
      <x:c r="AI28" s="17" t="n">
        <x:f>SUM(U28:Y28)</x:f>
        <x:v>0</x:v>
      </x:c>
      <x:c r="AJ28" s="17" t="str">
        <x:f>IF(AE28&lt;=34,"≤34",IF(AE28&lt;=44,"35–44",IF(AE28&lt;=54,"45–54",IF(AE28&lt;=64,"55–64","65+"))))</x:f>
        <x:v>35–44</x:v>
      </x:c>
      <x:c r="AK28" s="17" t="str">
        <x:f>IF(AG28&gt;=1000,"High Value",IF(AG28&gt;=300,"Mid Value","Low Value"))</x:f>
        <x:v>Low Value</x:v>
      </x:c>
      <x:c r="AL28" s="17" t="str">
        <x:f>IF(AND(AI28&gt;=1,I28&lt;=50),"Priority 1",IF(AND(AG28&gt;=1000,I28&lt;=60),"Priority 2",IF(I28&lt;=30,"Priority 3","Nurture")))</x:f>
        <x:v>Priority 3</x:v>
      </x:c>
    </x:row>
    <x:row r="29">
      <x:c r="A29" s="16" t="n">
        <x:v>5255</x:v>
      </x:c>
      <x:c r="B29" s="16" t="n">
        <x:v>1986</x:v>
      </x:c>
      <x:c r="C29" s="16" t="str">
        <x:v>Graduation</x:v>
      </x:c>
      <x:c r="D29" s="16" t="str">
        <x:v>Single</x:v>
      </x:c>
      <x:c r="E29" s="16"/>
      <x:c r="F29" s="16" t="n">
        <x:v>1</x:v>
      </x:c>
      <x:c r="G29" s="16" t="n">
        <x:v>0</x:v>
      </x:c>
      <x:c r="H29" s="16" t="str">
        <x:v>20-02-2013</x:v>
      </x:c>
      <x:c r="I29" s="16" t="n">
        <x:v>19</x:v>
      </x:c>
      <x:c r="J29" s="16" t="n">
        <x:v>5</x:v>
      </x:c>
      <x:c r="K29" s="16" t="n">
        <x:v>1</x:v>
      </x:c>
      <x:c r="L29" s="16" t="n">
        <x:v>3</x:v>
      </x:c>
      <x:c r="M29" s="16" t="n">
        <x:v>3</x:v>
      </x:c>
      <x:c r="N29" s="16" t="n">
        <x:v>263</x:v>
      </x:c>
      <x:c r="O29" s="16" t="n">
        <x:v>362</x:v>
      </x:c>
      <x:c r="P29" s="16" t="n">
        <x:v>0</x:v>
      </x:c>
      <x:c r="Q29" s="16" t="n">
        <x:v>27</x:v>
      </x:c>
      <x:c r="R29" s="16" t="n">
        <x:v>0</x:v>
      </x:c>
      <x:c r="S29" s="16" t="n">
        <x:v>0</x:v>
      </x:c>
      <x:c r="T29" s="16" t="n">
        <x:v>1</x:v>
      </x:c>
      <x:c r="U29" s="16" t="n">
        <x:v>0</x:v>
      </x:c>
      <x:c r="V29" s="16" t="n">
        <x:v>0</x:v>
      </x:c>
      <x:c r="W29" s="16" t="n">
        <x:v>0</x:v>
      </x:c>
      <x:c r="X29" s="16" t="n">
        <x:v>0</x:v>
      </x:c>
      <x:c r="Y29" s="16" t="n">
        <x:v>0</x:v>
      </x:c>
      <x:c r="Z29" s="16" t="n">
        <x:v>0</x:v>
      </x:c>
      <x:c r="AA29" s="16" t="n">
        <x:v>3</x:v>
      </x:c>
      <x:c r="AB29" s="16" t="n">
        <x:v>11</x:v>
      </x:c>
      <x:c r="AC29" s="16" t="n">
        <x:v>0</x:v>
      </x:c>
      <x:c r="AD29" s="21" t="n">
        <x:f>IF(E29="",MEDIAN($E$2:$E$2237),E29)</x:f>
        <x:v>51371</x:v>
      </x:c>
      <x:c r="AE29" s="17" t="n">
        <x:f>2014-B29</x:f>
        <x:v>28</x:v>
      </x:c>
      <x:c r="AF29" s="17" t="n">
        <x:f>F29+G29</x:f>
        <x:v>1</x:v>
      </x:c>
      <x:c r="AG29" s="21" t="n">
        <x:f>SUM(J29:O29)</x:f>
        <x:v>637</x:v>
      </x:c>
      <x:c r="AH29" s="17" t="n">
        <x:f>SUM(Q29:S29)</x:f>
        <x:v>27</x:v>
      </x:c>
      <x:c r="AI29" s="17" t="n">
        <x:f>SUM(U29:Y29)</x:f>
        <x:v>0</x:v>
      </x:c>
      <x:c r="AJ29" s="17" t="str">
        <x:f>IF(AE29&lt;=34,"≤34",IF(AE29&lt;=44,"35–44",IF(AE29&lt;=54,"45–54",IF(AE29&lt;=64,"55–64","65+"))))</x:f>
        <x:v>≤34</x:v>
      </x:c>
      <x:c r="AK29" s="17" t="str">
        <x:f>IF(AG29&gt;=1000,"High Value",IF(AG29&gt;=300,"Mid Value","Low Value"))</x:f>
        <x:v>Mid Value</x:v>
      </x:c>
      <x:c r="AL29" s="17" t="str">
        <x:f>IF(AND(AI29&gt;=1,I29&lt;=50),"Priority 1",IF(AND(AG29&gt;=1000,I29&lt;=60),"Priority 2",IF(I29&lt;=30,"Priority 3","Nurture")))</x:f>
        <x:v>Priority 3</x:v>
      </x:c>
    </x:row>
    <x:row r="30">
      <x:c r="A30" s="16" t="n">
        <x:v>9422</x:v>
      </x:c>
      <x:c r="B30" s="16" t="n">
        <x:v>1989</x:v>
      </x:c>
      <x:c r="C30" s="16" t="str">
        <x:v>Graduation</x:v>
      </x:c>
      <x:c r="D30" s="16" t="str">
        <x:v>Married</x:v>
      </x:c>
      <x:c r="E30" s="16" t="n">
        <x:v>38360</x:v>
      </x:c>
      <x:c r="F30" s="16" t="n">
        <x:v>1</x:v>
      </x:c>
      <x:c r="G30" s="16" t="n">
        <x:v>0</x:v>
      </x:c>
      <x:c r="H30" s="16" t="str">
        <x:v>31-05-2013</x:v>
      </x:c>
      <x:c r="I30" s="16" t="n">
        <x:v>26</x:v>
      </x:c>
      <x:c r="J30" s="16" t="n">
        <x:v>36</x:v>
      </x:c>
      <x:c r="K30" s="16" t="n">
        <x:v>2</x:v>
      </x:c>
      <x:c r="L30" s="16" t="n">
        <x:v>42</x:v>
      </x:c>
      <x:c r="M30" s="16" t="n">
        <x:v>20</x:v>
      </x:c>
      <x:c r="N30" s="16" t="n">
        <x:v>21</x:v>
      </x:c>
      <x:c r="O30" s="16" t="n">
        <x:v>10</x:v>
      </x:c>
      <x:c r="P30" s="16" t="n">
        <x:v>2</x:v>
      </x:c>
      <x:c r="Q30" s="16" t="n">
        <x:v>2</x:v>
      </x:c>
      <x:c r="R30" s="16" t="n">
        <x:v>1</x:v>
      </x:c>
      <x:c r="S30" s="16" t="n">
        <x:v>4</x:v>
      </x:c>
      <x:c r="T30" s="16" t="n">
        <x:v>3</x:v>
      </x:c>
      <x:c r="U30" s="16" t="n">
        <x:v>0</x:v>
      </x:c>
      <x:c r="V30" s="16" t="n">
        <x:v>0</x:v>
      </x:c>
      <x:c r="W30" s="16" t="n">
        <x:v>0</x:v>
      </x:c>
      <x:c r="X30" s="16" t="n">
        <x:v>0</x:v>
      </x:c>
      <x:c r="Y30" s="16" t="n">
        <x:v>0</x:v>
      </x:c>
      <x:c r="Z30" s="16" t="n">
        <x:v>0</x:v>
      </x:c>
      <x:c r="AA30" s="16" t="n">
        <x:v>3</x:v>
      </x:c>
      <x:c r="AB30" s="16" t="n">
        <x:v>11</x:v>
      </x:c>
      <x:c r="AC30" s="16" t="n">
        <x:v>0</x:v>
      </x:c>
      <x:c r="AD30" s="21" t="n">
        <x:f>IF(E30="",MEDIAN($E$2:$E$2237),E30)</x:f>
        <x:v>38360</x:v>
      </x:c>
      <x:c r="AE30" s="17" t="n">
        <x:f>2014-B30</x:f>
        <x:v>25</x:v>
      </x:c>
      <x:c r="AF30" s="17" t="n">
        <x:f>F30+G30</x:f>
        <x:v>1</x:v>
      </x:c>
      <x:c r="AG30" s="21" t="n">
        <x:f>SUM(J30:O30)</x:f>
        <x:v>131</x:v>
      </x:c>
      <x:c r="AH30" s="17" t="n">
        <x:f>SUM(Q30:S30)</x:f>
        <x:v>7</x:v>
      </x:c>
      <x:c r="AI30" s="17" t="n">
        <x:f>SUM(U30:Y30)</x:f>
        <x:v>0</x:v>
      </x:c>
      <x:c r="AJ30" s="17" t="str">
        <x:f>IF(AE30&lt;=34,"≤34",IF(AE30&lt;=44,"35–44",IF(AE30&lt;=54,"45–54",IF(AE30&lt;=64,"55–64","65+"))))</x:f>
        <x:v>≤34</x:v>
      </x:c>
      <x:c r="AK30" s="17" t="str">
        <x:f>IF(AG30&gt;=1000,"High Value",IF(AG30&gt;=300,"Mid Value","Low Value"))</x:f>
        <x:v>Low Value</x:v>
      </x:c>
      <x:c r="AL30" s="17" t="str">
        <x:f>IF(AND(AI30&gt;=1,I30&lt;=50),"Priority 1",IF(AND(AG30&gt;=1000,I30&lt;=60),"Priority 2",IF(I30&lt;=30,"Priority 3","Nurture")))</x:f>
        <x:v>Priority 3</x:v>
      </x:c>
    </x:row>
    <x:row r="31">
      <x:c r="A31" s="16" t="n">
        <x:v>1966</x:v>
      </x:c>
      <x:c r="B31" s="16" t="n">
        <x:v>1965</x:v>
      </x:c>
      <x:c r="C31" s="16" t="str">
        <x:v>PhD</x:v>
      </x:c>
      <x:c r="D31" s="16" t="str">
        <x:v>Married</x:v>
      </x:c>
      <x:c r="E31" s="16" t="n">
        <x:v>84618</x:v>
      </x:c>
      <x:c r="F31" s="16" t="n">
        <x:v>0</x:v>
      </x:c>
      <x:c r="G31" s="16" t="n">
        <x:v>0</x:v>
      </x:c>
      <x:c r="H31" s="16" t="str">
        <x:v>22-11-2013</x:v>
      </x:c>
      <x:c r="I31" s="16" t="n">
        <x:v>96</x:v>
      </x:c>
      <x:c r="J31" s="16" t="n">
        <x:v>684</x:v>
      </x:c>
      <x:c r="K31" s="16" t="n">
        <x:v>100</x:v>
      </x:c>
      <x:c r="L31" s="16" t="n">
        <x:v>801</x:v>
      </x:c>
      <x:c r="M31" s="16" t="n">
        <x:v>21</x:v>
      </x:c>
      <x:c r="N31" s="16" t="n">
        <x:v>66</x:v>
      </x:c>
      <x:c r="O31" s="16" t="n">
        <x:v>0</x:v>
      </x:c>
      <x:c r="P31" s="16" t="n">
        <x:v>1</x:v>
      </x:c>
      <x:c r="Q31" s="16" t="n">
        <x:v>6</x:v>
      </x:c>
      <x:c r="R31" s="16" t="n">
        <x:v>9</x:v>
      </x:c>
      <x:c r="S31" s="16" t="n">
        <x:v>10</x:v>
      </x:c>
      <x:c r="T31" s="16" t="n">
        <x:v>2</x:v>
      </x:c>
      <x:c r="U31" s="16" t="n">
        <x:v>0</x:v>
      </x:c>
      <x:c r="V31" s="16" t="n">
        <x:v>0</x:v>
      </x:c>
      <x:c r="W31" s="16" t="n">
        <x:v>1</x:v>
      </x:c>
      <x:c r="X31" s="16" t="n">
        <x:v>0</x:v>
      </x:c>
      <x:c r="Y31" s="16" t="n">
        <x:v>0</x:v>
      </x:c>
      <x:c r="Z31" s="16" t="n">
        <x:v>0</x:v>
      </x:c>
      <x:c r="AA31" s="16" t="n">
        <x:v>3</x:v>
      </x:c>
      <x:c r="AB31" s="16" t="n">
        <x:v>11</x:v>
      </x:c>
      <x:c r="AC31" s="16" t="n">
        <x:v>0</x:v>
      </x:c>
      <x:c r="AD31" s="21" t="n">
        <x:f>IF(E31="",MEDIAN($E$2:$E$2237),E31)</x:f>
        <x:v>84618</x:v>
      </x:c>
      <x:c r="AE31" s="17" t="n">
        <x:f>2014-B31</x:f>
        <x:v>49</x:v>
      </x:c>
      <x:c r="AF31" s="17" t="n">
        <x:f>F31+G31</x:f>
        <x:v>0</x:v>
      </x:c>
      <x:c r="AG31" s="21" t="n">
        <x:f>SUM(J31:O31)</x:f>
        <x:v>1672</x:v>
      </x:c>
      <x:c r="AH31" s="17" t="n">
        <x:f>SUM(Q31:S31)</x:f>
        <x:v>25</x:v>
      </x:c>
      <x:c r="AI31" s="17" t="n">
        <x:f>SUM(U31:Y31)</x:f>
        <x:v>1</x:v>
      </x:c>
      <x:c r="AJ31" s="17" t="str">
        <x:f>IF(AE31&lt;=34,"≤34",IF(AE31&lt;=44,"35–44",IF(AE31&lt;=54,"45–54",IF(AE31&lt;=64,"55–64","65+"))))</x:f>
        <x:v>45–54</x:v>
      </x:c>
      <x:c r="AK31" s="17" t="str">
        <x:f>IF(AG31&gt;=1000,"High Value",IF(AG31&gt;=300,"Mid Value","Low Value"))</x:f>
        <x:v>High Value</x:v>
      </x:c>
      <x:c r="AL31" s="17" t="str">
        <x:f>IF(AND(AI31&gt;=1,I31&lt;=50),"Priority 1",IF(AND(AG31&gt;=1000,I31&lt;=60),"Priority 2",IF(I31&lt;=30,"Priority 3","Nurture")))</x:f>
        <x:v>Nurture</x:v>
      </x:c>
    </x:row>
    <x:row r="32">
      <x:c r="A32" s="16" t="n">
        <x:v>6864</x:v>
      </x:c>
      <x:c r="B32" s="16" t="n">
        <x:v>1989</x:v>
      </x:c>
      <x:c r="C32" s="16" t="str">
        <x:v>Master</x:v>
      </x:c>
      <x:c r="D32" s="16" t="str">
        <x:v>Divorced</x:v>
      </x:c>
      <x:c r="E32" s="16" t="n">
        <x:v>10979</x:v>
      </x:c>
      <x:c r="F32" s="16" t="n">
        <x:v>0</x:v>
      </x:c>
      <x:c r="G32" s="16" t="n">
        <x:v>0</x:v>
      </x:c>
      <x:c r="H32" s="16" t="str">
        <x:v>22-05-2014</x:v>
      </x:c>
      <x:c r="I32" s="16" t="n">
        <x:v>34</x:v>
      </x:c>
      <x:c r="J32" s="16" t="n">
        <x:v>8</x:v>
      </x:c>
      <x:c r="K32" s="16" t="n">
        <x:v>4</x:v>
      </x:c>
      <x:c r="L32" s="16" t="n">
        <x:v>10</x:v>
      </x:c>
      <x:c r="M32" s="16" t="n">
        <x:v>2</x:v>
      </x:c>
      <x:c r="N32" s="16" t="n">
        <x:v>2</x:v>
      </x:c>
      <x:c r="O32" s="16" t="n">
        <x:v>4</x:v>
      </x:c>
      <x:c r="P32" s="16" t="n">
        <x:v>2</x:v>
      </x:c>
      <x:c r="Q32" s="16" t="n">
        <x:v>3</x:v>
      </x:c>
      <x:c r="R32" s="16" t="n">
        <x:v>0</x:v>
      </x:c>
      <x:c r="S32" s="16" t="n">
        <x:v>3</x:v>
      </x:c>
      <x:c r="T32" s="16" t="n">
        <x:v>5</x:v>
      </x:c>
      <x:c r="U32" s="16" t="n">
        <x:v>0</x:v>
      </x:c>
      <x:c r="V32" s="16" t="n">
        <x:v>0</x:v>
      </x:c>
      <x:c r="W32" s="16" t="n">
        <x:v>0</x:v>
      </x:c>
      <x:c r="X32" s="16" t="n">
        <x:v>0</x:v>
      </x:c>
      <x:c r="Y32" s="16" t="n">
        <x:v>0</x:v>
      </x:c>
      <x:c r="Z32" s="16" t="n">
        <x:v>0</x:v>
      </x:c>
      <x:c r="AA32" s="16" t="n">
        <x:v>3</x:v>
      </x:c>
      <x:c r="AB32" s="16" t="n">
        <x:v>11</x:v>
      </x:c>
      <x:c r="AC32" s="16" t="n">
        <x:v>0</x:v>
      </x:c>
      <x:c r="AD32" s="21" t="n">
        <x:f>IF(E32="",MEDIAN($E$2:$E$2237),E32)</x:f>
        <x:v>10979</x:v>
      </x:c>
      <x:c r="AE32" s="17" t="n">
        <x:f>2014-B32</x:f>
        <x:v>25</x:v>
      </x:c>
      <x:c r="AF32" s="17" t="n">
        <x:f>F32+G32</x:f>
        <x:v>0</x:v>
      </x:c>
      <x:c r="AG32" s="21" t="n">
        <x:f>SUM(J32:O32)</x:f>
        <x:v>30</x:v>
      </x:c>
      <x:c r="AH32" s="17" t="n">
        <x:f>SUM(Q32:S32)</x:f>
        <x:v>6</x:v>
      </x:c>
      <x:c r="AI32" s="17" t="n">
        <x:f>SUM(U32:Y32)</x:f>
        <x:v>0</x:v>
      </x:c>
      <x:c r="AJ32" s="17" t="str">
        <x:f>IF(AE32&lt;=34,"≤34",IF(AE32&lt;=44,"35–44",IF(AE32&lt;=54,"45–54",IF(AE32&lt;=64,"55–64","65+"))))</x:f>
        <x:v>≤34</x:v>
      </x:c>
      <x:c r="AK32" s="17" t="str">
        <x:f>IF(AG32&gt;=1000,"High Value",IF(AG32&gt;=300,"Mid Value","Low Value"))</x:f>
        <x:v>Low Value</x:v>
      </x:c>
      <x:c r="AL32" s="17" t="str">
        <x:f>IF(AND(AI32&gt;=1,I32&lt;=50),"Priority 1",IF(AND(AG32&gt;=1000,I32&lt;=60),"Priority 2",IF(I32&lt;=30,"Priority 3","Nurture")))</x:f>
        <x:v>Nurture</x:v>
      </x:c>
    </x:row>
    <x:row r="33">
      <x:c r="A33" s="16" t="n">
        <x:v>3033</x:v>
      </x:c>
      <x:c r="B33" s="16" t="n">
        <x:v>1963</x:v>
      </x:c>
      <x:c r="C33" s="16" t="str">
        <x:v>Master</x:v>
      </x:c>
      <x:c r="D33" s="16" t="str">
        <x:v>Together</x:v>
      </x:c>
      <x:c r="E33" s="16" t="n">
        <x:v>38620</x:v>
      </x:c>
      <x:c r="F33" s="16" t="n">
        <x:v>0</x:v>
      </x:c>
      <x:c r="G33" s="16" t="n">
        <x:v>0</x:v>
      </x:c>
      <x:c r="H33" s="16" t="str">
        <x:v>11-05-2013</x:v>
      </x:c>
      <x:c r="I33" s="16" t="n">
        <x:v>56</x:v>
      </x:c>
      <x:c r="J33" s="16" t="n">
        <x:v>112</x:v>
      </x:c>
      <x:c r="K33" s="16" t="n">
        <x:v>17</x:v>
      </x:c>
      <x:c r="L33" s="16" t="n">
        <x:v>44</x:v>
      </x:c>
      <x:c r="M33" s="16" t="n">
        <x:v>34</x:v>
      </x:c>
      <x:c r="N33" s="16" t="n">
        <x:v>22</x:v>
      </x:c>
      <x:c r="O33" s="16" t="n">
        <x:v>89</x:v>
      </x:c>
      <x:c r="P33" s="16" t="n">
        <x:v>1</x:v>
      </x:c>
      <x:c r="Q33" s="16" t="n">
        <x:v>2</x:v>
      </x:c>
      <x:c r="R33" s="16" t="n">
        <x:v>5</x:v>
      </x:c>
      <x:c r="S33" s="16" t="n">
        <x:v>3</x:v>
      </x:c>
      <x:c r="T33" s="16" t="n">
        <x:v>3</x:v>
      </x:c>
      <x:c r="U33" s="16" t="n">
        <x:v>0</x:v>
      </x:c>
      <x:c r="V33" s="16" t="n">
        <x:v>0</x:v>
      </x:c>
      <x:c r="W33" s="16" t="n">
        <x:v>0</x:v>
      </x:c>
      <x:c r="X33" s="16" t="n">
        <x:v>0</x:v>
      </x:c>
      <x:c r="Y33" s="16" t="n">
        <x:v>0</x:v>
      </x:c>
      <x:c r="Z33" s="16" t="n">
        <x:v>0</x:v>
      </x:c>
      <x:c r="AA33" s="16" t="n">
        <x:v>3</x:v>
      </x:c>
      <x:c r="AB33" s="16" t="n">
        <x:v>11</x:v>
      </x:c>
      <x:c r="AC33" s="16" t="n">
        <x:v>0</x:v>
      </x:c>
      <x:c r="AD33" s="21" t="n">
        <x:f>IF(E33="",MEDIAN($E$2:$E$2237),E33)</x:f>
        <x:v>38620</x:v>
      </x:c>
      <x:c r="AE33" s="17" t="n">
        <x:f>2014-B33</x:f>
        <x:v>51</x:v>
      </x:c>
      <x:c r="AF33" s="17" t="n">
        <x:f>F33+G33</x:f>
        <x:v>0</x:v>
      </x:c>
      <x:c r="AG33" s="21" t="n">
        <x:f>SUM(J33:O33)</x:f>
        <x:v>318</x:v>
      </x:c>
      <x:c r="AH33" s="17" t="n">
        <x:f>SUM(Q33:S33)</x:f>
        <x:v>10</x:v>
      </x:c>
      <x:c r="AI33" s="17" t="n">
        <x:f>SUM(U33:Y33)</x:f>
        <x:v>0</x:v>
      </x:c>
      <x:c r="AJ33" s="17" t="str">
        <x:f>IF(AE33&lt;=34,"≤34",IF(AE33&lt;=44,"35–44",IF(AE33&lt;=54,"45–54",IF(AE33&lt;=64,"55–64","65+"))))</x:f>
        <x:v>45–54</x:v>
      </x:c>
      <x:c r="AK33" s="17" t="str">
        <x:f>IF(AG33&gt;=1000,"High Value",IF(AG33&gt;=300,"Mid Value","Low Value"))</x:f>
        <x:v>Mid Value</x:v>
      </x:c>
      <x:c r="AL33" s="17" t="str">
        <x:f>IF(AND(AI33&gt;=1,I33&lt;=50),"Priority 1",IF(AND(AG33&gt;=1000,I33&lt;=60),"Priority 2",IF(I33&lt;=30,"Priority 3","Nurture")))</x:f>
        <x:v>Nurture</x:v>
      </x:c>
    </x:row>
    <x:row r="34">
      <x:c r="A34" s="16" t="n">
        <x:v>5710</x:v>
      </x:c>
      <x:c r="B34" s="16" t="n">
        <x:v>1970</x:v>
      </x:c>
      <x:c r="C34" s="16" t="str">
        <x:v>Graduation</x:v>
      </x:c>
      <x:c r="D34" s="16" t="str">
        <x:v>Together</x:v>
      </x:c>
      <x:c r="E34" s="16" t="n">
        <x:v>40548</x:v>
      </x:c>
      <x:c r="F34" s="16" t="n">
        <x:v>0</x:v>
      </x:c>
      <x:c r="G34" s="16" t="n">
        <x:v>1</x:v>
      </x:c>
      <x:c r="H34" s="16" t="str">
        <x:v>10-10-2012</x:v>
      </x:c>
      <x:c r="I34" s="16" t="n">
        <x:v>31</x:v>
      </x:c>
      <x:c r="J34" s="16" t="n">
        <x:v>110</x:v>
      </x:c>
      <x:c r="K34" s="16" t="n">
        <x:v>0</x:v>
      </x:c>
      <x:c r="L34" s="16" t="n">
        <x:v>5</x:v>
      </x:c>
      <x:c r="M34" s="16" t="n">
        <x:v>2</x:v>
      </x:c>
      <x:c r="N34" s="16" t="n">
        <x:v>0</x:v>
      </x:c>
      <x:c r="O34" s="16" t="n">
        <x:v>3</x:v>
      </x:c>
      <x:c r="P34" s="16" t="n">
        <x:v>2</x:v>
      </x:c>
      <x:c r="Q34" s="16" t="n">
        <x:v>2</x:v>
      </x:c>
      <x:c r="R34" s="16" t="n">
        <x:v>1</x:v>
      </x:c>
      <x:c r="S34" s="16" t="n">
        <x:v>4</x:v>
      </x:c>
      <x:c r="T34" s="16" t="n">
        <x:v>5</x:v>
      </x:c>
      <x:c r="U34" s="16" t="n">
        <x:v>0</x:v>
      </x:c>
      <x:c r="V34" s="16" t="n">
        <x:v>1</x:v>
      </x:c>
      <x:c r="W34" s="16" t="n">
        <x:v>0</x:v>
      </x:c>
      <x:c r="X34" s="16" t="n">
        <x:v>0</x:v>
      </x:c>
      <x:c r="Y34" s="16" t="n">
        <x:v>0</x:v>
      </x:c>
      <x:c r="Z34" s="16" t="n">
        <x:v>0</x:v>
      </x:c>
      <x:c r="AA34" s="16" t="n">
        <x:v>3</x:v>
      </x:c>
      <x:c r="AB34" s="16" t="n">
        <x:v>11</x:v>
      </x:c>
      <x:c r="AC34" s="16" t="n">
        <x:v>0</x:v>
      </x:c>
      <x:c r="AD34" s="21" t="n">
        <x:f>IF(E34="",MEDIAN($E$2:$E$2237),E34)</x:f>
        <x:v>40548</x:v>
      </x:c>
      <x:c r="AE34" s="17" t="n">
        <x:f>2014-B34</x:f>
        <x:v>44</x:v>
      </x:c>
      <x:c r="AF34" s="17" t="n">
        <x:f>F34+G34</x:f>
        <x:v>1</x:v>
      </x:c>
      <x:c r="AG34" s="21" t="n">
        <x:f>SUM(J34:O34)</x:f>
        <x:v>120</x:v>
      </x:c>
      <x:c r="AH34" s="17" t="n">
        <x:f>SUM(Q34:S34)</x:f>
        <x:v>7</x:v>
      </x:c>
      <x:c r="AI34" s="17" t="n">
        <x:f>SUM(U34:Y34)</x:f>
        <x:v>1</x:v>
      </x:c>
      <x:c r="AJ34" s="17" t="str">
        <x:f>IF(AE34&lt;=34,"≤34",IF(AE34&lt;=44,"35–44",IF(AE34&lt;=54,"45–54",IF(AE34&lt;=64,"55–64","65+"))))</x:f>
        <x:v>35–44</x:v>
      </x:c>
      <x:c r="AK34" s="17" t="str">
        <x:f>IF(AG34&gt;=1000,"High Value",IF(AG34&gt;=300,"Mid Value","Low Value"))</x:f>
        <x:v>Low Value</x:v>
      </x:c>
      <x:c r="AL34" s="17" t="str">
        <x:f>IF(AND(AI34&gt;=1,I34&lt;=50),"Priority 1",IF(AND(AG34&gt;=1000,I34&lt;=60),"Priority 2",IF(I34&lt;=30,"Priority 3","Nurture")))</x:f>
        <x:v>Priority 1</x:v>
      </x:c>
    </x:row>
    <x:row r="35">
      <x:c r="A35" s="16" t="n">
        <x:v>7373</x:v>
      </x:c>
      <x:c r="B35" s="16" t="n">
        <x:v>1952</x:v>
      </x:c>
      <x:c r="C35" s="16" t="str">
        <x:v>PhD</x:v>
      </x:c>
      <x:c r="D35" s="16" t="str">
        <x:v>Divorced</x:v>
      </x:c>
      <x:c r="E35" s="16" t="n">
        <x:v>46610</x:v>
      </x:c>
      <x:c r="F35" s="16" t="n">
        <x:v>0</x:v>
      </x:c>
      <x:c r="G35" s="16" t="n">
        <x:v>2</x:v>
      </x:c>
      <x:c r="H35" s="16" t="str">
        <x:v>29-10-2012</x:v>
      </x:c>
      <x:c r="I35" s="16" t="n">
        <x:v>8</x:v>
      </x:c>
      <x:c r="J35" s="16" t="n">
        <x:v>96</x:v>
      </x:c>
      <x:c r="K35" s="16" t="n">
        <x:v>12</x:v>
      </x:c>
      <x:c r="L35" s="16" t="n">
        <x:v>96</x:v>
      </x:c>
      <x:c r="M35" s="16" t="n">
        <x:v>33</x:v>
      </x:c>
      <x:c r="N35" s="16" t="n">
        <x:v>22</x:v>
      </x:c>
      <x:c r="O35" s="16" t="n">
        <x:v>43</x:v>
      </x:c>
      <x:c r="P35" s="16" t="n">
        <x:v>6</x:v>
      </x:c>
      <x:c r="Q35" s="16" t="n">
        <x:v>4</x:v>
      </x:c>
      <x:c r="R35" s="16" t="n">
        <x:v>1</x:v>
      </x:c>
      <x:c r="S35" s="16" t="n">
        <x:v>6</x:v>
      </x:c>
      <x:c r="T35" s="16" t="n">
        <x:v>6</x:v>
      </x:c>
      <x:c r="U35" s="16" t="n">
        <x:v>0</x:v>
      </x:c>
      <x:c r="V35" s="16" t="n">
        <x:v>0</x:v>
      </x:c>
      <x:c r="W35" s="16" t="n">
        <x:v>0</x:v>
      </x:c>
      <x:c r="X35" s="16" t="n">
        <x:v>0</x:v>
      </x:c>
      <x:c r="Y35" s="16" t="n">
        <x:v>0</x:v>
      </x:c>
      <x:c r="Z35" s="16" t="n">
        <x:v>0</x:v>
      </x:c>
      <x:c r="AA35" s="16" t="n">
        <x:v>3</x:v>
      </x:c>
      <x:c r="AB35" s="16" t="n">
        <x:v>11</x:v>
      </x:c>
      <x:c r="AC35" s="16" t="n">
        <x:v>1</x:v>
      </x:c>
      <x:c r="AD35" s="21" t="n">
        <x:f>IF(E35="",MEDIAN($E$2:$E$2237),E35)</x:f>
        <x:v>46610</x:v>
      </x:c>
      <x:c r="AE35" s="17" t="n">
        <x:f>2014-B35</x:f>
        <x:v>62</x:v>
      </x:c>
      <x:c r="AF35" s="17" t="n">
        <x:f>F35+G35</x:f>
        <x:v>2</x:v>
      </x:c>
      <x:c r="AG35" s="21" t="n">
        <x:f>SUM(J35:O35)</x:f>
        <x:v>302</x:v>
      </x:c>
      <x:c r="AH35" s="17" t="n">
        <x:f>SUM(Q35:S35)</x:f>
        <x:v>11</x:v>
      </x:c>
      <x:c r="AI35" s="17" t="n">
        <x:f>SUM(U35:Y35)</x:f>
        <x:v>0</x:v>
      </x:c>
      <x:c r="AJ35" s="17" t="str">
        <x:f>IF(AE35&lt;=34,"≤34",IF(AE35&lt;=44,"35–44",IF(AE35&lt;=54,"45–54",IF(AE35&lt;=64,"55–64","65+"))))</x:f>
        <x:v>55–64</x:v>
      </x:c>
      <x:c r="AK35" s="17" t="str">
        <x:f>IF(AG35&gt;=1000,"High Value",IF(AG35&gt;=300,"Mid Value","Low Value"))</x:f>
        <x:v>Mid Value</x:v>
      </x:c>
      <x:c r="AL35" s="17" t="str">
        <x:f>IF(AND(AI35&gt;=1,I35&lt;=50),"Priority 1",IF(AND(AG35&gt;=1000,I35&lt;=60),"Priority 2",IF(I35&lt;=30,"Priority 3","Nurture")))</x:f>
        <x:v>Priority 3</x:v>
      </x:c>
    </x:row>
    <x:row r="36">
      <x:c r="A36" s="16" t="n">
        <x:v>8755</x:v>
      </x:c>
      <x:c r="B36" s="16" t="n">
        <x:v>1946</x:v>
      </x:c>
      <x:c r="C36" s="16" t="str">
        <x:v>Master</x:v>
      </x:c>
      <x:c r="D36" s="16" t="str">
        <x:v>Married</x:v>
      </x:c>
      <x:c r="E36" s="16" t="n">
        <x:v>68657</x:v>
      </x:c>
      <x:c r="F36" s="16" t="n">
        <x:v>0</x:v>
      </x:c>
      <x:c r="G36" s="16" t="n">
        <x:v>0</x:v>
      </x:c>
      <x:c r="H36" s="16" t="str">
        <x:v>20-02-2013</x:v>
      </x:c>
      <x:c r="I36" s="16" t="n">
        <x:v>4</x:v>
      </x:c>
      <x:c r="J36" s="16" t="n">
        <x:v>482</x:v>
      </x:c>
      <x:c r="K36" s="16" t="n">
        <x:v>34</x:v>
      </x:c>
      <x:c r="L36" s="16" t="n">
        <x:v>471</x:v>
      </x:c>
      <x:c r="M36" s="16" t="n">
        <x:v>119</x:v>
      </x:c>
      <x:c r="N36" s="16" t="n">
        <x:v>68</x:v>
      </x:c>
      <x:c r="O36" s="16" t="n">
        <x:v>22</x:v>
      </x:c>
      <x:c r="P36" s="16" t="n">
        <x:v>1</x:v>
      </x:c>
      <x:c r="Q36" s="16" t="n">
        <x:v>3</x:v>
      </x:c>
      <x:c r="R36" s="16" t="n">
        <x:v>5</x:v>
      </x:c>
      <x:c r="S36" s="16" t="n">
        <x:v>9</x:v>
      </x:c>
      <x:c r="T36" s="16" t="n">
        <x:v>7</x:v>
      </x:c>
      <x:c r="U36" s="16" t="n">
        <x:v>0</x:v>
      </x:c>
      <x:c r="V36" s="16" t="n">
        <x:v>0</x:v>
      </x:c>
      <x:c r="W36" s="16" t="n">
        <x:v>0</x:v>
      </x:c>
      <x:c r="X36" s="16" t="n">
        <x:v>0</x:v>
      </x:c>
      <x:c r="Y36" s="16" t="n">
        <x:v>0</x:v>
      </x:c>
      <x:c r="Z36" s="16" t="n">
        <x:v>0</x:v>
      </x:c>
      <x:c r="AA36" s="16" t="n">
        <x:v>3</x:v>
      </x:c>
      <x:c r="AB36" s="16" t="n">
        <x:v>11</x:v>
      </x:c>
      <x:c r="AC36" s="16" t="n">
        <x:v>0</x:v>
      </x:c>
      <x:c r="AD36" s="21" t="n">
        <x:f>IF(E36="",MEDIAN($E$2:$E$2237),E36)</x:f>
        <x:v>68657</x:v>
      </x:c>
      <x:c r="AE36" s="17" t="n">
        <x:f>2014-B36</x:f>
        <x:v>68</x:v>
      </x:c>
      <x:c r="AF36" s="17" t="n">
        <x:f>F36+G36</x:f>
        <x:v>0</x:v>
      </x:c>
      <x:c r="AG36" s="21" t="n">
        <x:f>SUM(J36:O36)</x:f>
        <x:v>1196</x:v>
      </x:c>
      <x:c r="AH36" s="17" t="n">
        <x:f>SUM(Q36:S36)</x:f>
        <x:v>17</x:v>
      </x:c>
      <x:c r="AI36" s="17" t="n">
        <x:f>SUM(U36:Y36)</x:f>
        <x:v>0</x:v>
      </x:c>
      <x:c r="AJ36" s="17" t="str">
        <x:f>IF(AE36&lt;=34,"≤34",IF(AE36&lt;=44,"35–44",IF(AE36&lt;=54,"45–54",IF(AE36&lt;=64,"55–64","65+"))))</x:f>
        <x:v>65+</x:v>
      </x:c>
      <x:c r="AK36" s="17" t="str">
        <x:f>IF(AG36&gt;=1000,"High Value",IF(AG36&gt;=300,"Mid Value","Low Value"))</x:f>
        <x:v>High Value</x:v>
      </x:c>
      <x:c r="AL36" s="17" t="str">
        <x:f>IF(AND(AI36&gt;=1,I36&lt;=50),"Priority 1",IF(AND(AG36&gt;=1000,I36&lt;=60),"Priority 2",IF(I36&lt;=30,"Priority 3","Nurture")))</x:f>
        <x:v>Priority 2</x:v>
      </x:c>
    </x:row>
    <x:row r="37">
      <x:c r="A37" s="16" t="n">
        <x:v>10738</x:v>
      </x:c>
      <x:c r="B37" s="16" t="n">
        <x:v>1951</x:v>
      </x:c>
      <x:c r="C37" s="16" t="str">
        <x:v>Master</x:v>
      </x:c>
      <x:c r="D37" s="16" t="str">
        <x:v>Single</x:v>
      </x:c>
      <x:c r="E37" s="16" t="n">
        <x:v>49389</x:v>
      </x:c>
      <x:c r="F37" s="16" t="n">
        <x:v>1</x:v>
      </x:c>
      <x:c r="G37" s="16" t="n">
        <x:v>1</x:v>
      </x:c>
      <x:c r="H37" s="16" t="str">
        <x:v>29-08-2013</x:v>
      </x:c>
      <x:c r="I37" s="16" t="n">
        <x:v>55</x:v>
      </x:c>
      <x:c r="J37" s="16" t="n">
        <x:v>40</x:v>
      </x:c>
      <x:c r="K37" s="16" t="n">
        <x:v>0</x:v>
      </x:c>
      <x:c r="L37" s="16" t="n">
        <x:v>19</x:v>
      </x:c>
      <x:c r="M37" s="16" t="n">
        <x:v>2</x:v>
      </x:c>
      <x:c r="N37" s="16" t="n">
        <x:v>1</x:v>
      </x:c>
      <x:c r="O37" s="16" t="n">
        <x:v>3</x:v>
      </x:c>
      <x:c r="P37" s="16" t="n">
        <x:v>1</x:v>
      </x:c>
      <x:c r="Q37" s="16" t="n">
        <x:v>2</x:v>
      </x:c>
      <x:c r="R37" s="16" t="n">
        <x:v>0</x:v>
      </x:c>
      <x:c r="S37" s="16" t="n">
        <x:v>3</x:v>
      </x:c>
      <x:c r="T37" s="16" t="n">
        <x:v>7</x:v>
      </x:c>
      <x:c r="U37" s="16" t="n">
        <x:v>0</x:v>
      </x:c>
      <x:c r="V37" s="16" t="n">
        <x:v>0</x:v>
      </x:c>
      <x:c r="W37" s="16" t="n">
        <x:v>0</x:v>
      </x:c>
      <x:c r="X37" s="16" t="n">
        <x:v>0</x:v>
      </x:c>
      <x:c r="Y37" s="16" t="n">
        <x:v>0</x:v>
      </x:c>
      <x:c r="Z37" s="16" t="n">
        <x:v>0</x:v>
      </x:c>
      <x:c r="AA37" s="16" t="n">
        <x:v>3</x:v>
      </x:c>
      <x:c r="AB37" s="16" t="n">
        <x:v>11</x:v>
      </x:c>
      <x:c r="AC37" s="16" t="n">
        <x:v>0</x:v>
      </x:c>
      <x:c r="AD37" s="21" t="n">
        <x:f>IF(E37="",MEDIAN($E$2:$E$2237),E37)</x:f>
        <x:v>49389</x:v>
      </x:c>
      <x:c r="AE37" s="17" t="n">
        <x:f>2014-B37</x:f>
        <x:v>63</x:v>
      </x:c>
      <x:c r="AF37" s="17" t="n">
        <x:f>F37+G37</x:f>
        <x:v>2</x:v>
      </x:c>
      <x:c r="AG37" s="21" t="n">
        <x:f>SUM(J37:O37)</x:f>
        <x:v>65</x:v>
      </x:c>
      <x:c r="AH37" s="17" t="n">
        <x:f>SUM(Q37:S37)</x:f>
        <x:v>5</x:v>
      </x:c>
      <x:c r="AI37" s="17" t="n">
        <x:f>SUM(U37:Y37)</x:f>
        <x:v>0</x:v>
      </x:c>
      <x:c r="AJ37" s="17" t="str">
        <x:f>IF(AE37&lt;=34,"≤34",IF(AE37&lt;=44,"35–44",IF(AE37&lt;=54,"45–54",IF(AE37&lt;=64,"55–64","65+"))))</x:f>
        <x:v>55–64</x:v>
      </x:c>
      <x:c r="AK37" s="17" t="str">
        <x:f>IF(AG37&gt;=1000,"High Value",IF(AG37&gt;=300,"Mid Value","Low Value"))</x:f>
        <x:v>Low Value</x:v>
      </x:c>
      <x:c r="AL37" s="17" t="str">
        <x:f>IF(AND(AI37&gt;=1,I37&lt;=50),"Priority 1",IF(AND(AG37&gt;=1000,I37&lt;=60),"Priority 2",IF(I37&lt;=30,"Priority 3","Nurture")))</x:f>
        <x:v>Nurture</x:v>
      </x:c>
    </x:row>
    <x:row r="38">
      <x:c r="A38" s="16" t="n">
        <x:v>4339</x:v>
      </x:c>
      <x:c r="B38" s="16" t="n">
        <x:v>1970</x:v>
      </x:c>
      <x:c r="C38" s="16" t="str">
        <x:v>PhD</x:v>
      </x:c>
      <x:c r="D38" s="16" t="str">
        <x:v>Married</x:v>
      </x:c>
      <x:c r="E38" s="16" t="n">
        <x:v>67353</x:v>
      </x:c>
      <x:c r="F38" s="16" t="n">
        <x:v>0</x:v>
      </x:c>
      <x:c r="G38" s="16" t="n">
        <x:v>1</x:v>
      </x:c>
      <x:c r="H38" s="16" t="str">
        <x:v>31-12-2013</x:v>
      </x:c>
      <x:c r="I38" s="16" t="n">
        <x:v>37</x:v>
      </x:c>
      <x:c r="J38" s="16" t="n">
        <x:v>702</x:v>
      </x:c>
      <x:c r="K38" s="16" t="n">
        <x:v>17</x:v>
      </x:c>
      <x:c r="L38" s="16" t="n">
        <x:v>151</x:v>
      </x:c>
      <x:c r="M38" s="16" t="n">
        <x:v>0</x:v>
      </x:c>
      <x:c r="N38" s="16" t="n">
        <x:v>8</x:v>
      </x:c>
      <x:c r="O38" s="16" t="n">
        <x:v>35</x:v>
      </x:c>
      <x:c r="P38" s="16" t="n">
        <x:v>5</x:v>
      </x:c>
      <x:c r="Q38" s="16" t="n">
        <x:v>5</x:v>
      </x:c>
      <x:c r="R38" s="16" t="n">
        <x:v>6</x:v>
      </x:c>
      <x:c r="S38" s="16" t="n">
        <x:v>12</x:v>
      </x:c>
      <x:c r="T38" s="16" t="n">
        <x:v>2</x:v>
      </x:c>
      <x:c r="U38" s="16" t="n">
        <x:v>0</x:v>
      </x:c>
      <x:c r="V38" s="16" t="n">
        <x:v>0</x:v>
      </x:c>
      <x:c r="W38" s="16" t="n">
        <x:v>0</x:v>
      </x:c>
      <x:c r="X38" s="16" t="n">
        <x:v>0</x:v>
      </x:c>
      <x:c r="Y38" s="16" t="n">
        <x:v>0</x:v>
      </x:c>
      <x:c r="Z38" s="16" t="n">
        <x:v>0</x:v>
      </x:c>
      <x:c r="AA38" s="16" t="n">
        <x:v>3</x:v>
      </x:c>
      <x:c r="AB38" s="16" t="n">
        <x:v>11</x:v>
      </x:c>
      <x:c r="AC38" s="16" t="n">
        <x:v>0</x:v>
      </x:c>
      <x:c r="AD38" s="21" t="n">
        <x:f>IF(E38="",MEDIAN($E$2:$E$2237),E38)</x:f>
        <x:v>67353</x:v>
      </x:c>
      <x:c r="AE38" s="17" t="n">
        <x:f>2014-B38</x:f>
        <x:v>44</x:v>
      </x:c>
      <x:c r="AF38" s="17" t="n">
        <x:f>F38+G38</x:f>
        <x:v>1</x:v>
      </x:c>
      <x:c r="AG38" s="21" t="n">
        <x:f>SUM(J38:O38)</x:f>
        <x:v>913</x:v>
      </x:c>
      <x:c r="AH38" s="17" t="n">
        <x:f>SUM(Q38:S38)</x:f>
        <x:v>23</x:v>
      </x:c>
      <x:c r="AI38" s="17" t="n">
        <x:f>SUM(U38:Y38)</x:f>
        <x:v>0</x:v>
      </x:c>
      <x:c r="AJ38" s="17" t="str">
        <x:f>IF(AE38&lt;=34,"≤34",IF(AE38&lt;=44,"35–44",IF(AE38&lt;=54,"45–54",IF(AE38&lt;=64,"55–64","65+"))))</x:f>
        <x:v>35–44</x:v>
      </x:c>
      <x:c r="AK38" s="17" t="str">
        <x:f>IF(AG38&gt;=1000,"High Value",IF(AG38&gt;=300,"Mid Value","Low Value"))</x:f>
        <x:v>Mid Value</x:v>
      </x:c>
      <x:c r="AL38" s="17" t="str">
        <x:f>IF(AND(AI38&gt;=1,I38&lt;=50),"Priority 1",IF(AND(AG38&gt;=1000,I38&lt;=60),"Priority 2",IF(I38&lt;=30,"Priority 3","Nurture")))</x:f>
        <x:v>Nurture</x:v>
      </x:c>
    </x:row>
    <x:row r="39">
      <x:c r="A39" s="16" t="n">
        <x:v>10755</x:v>
      </x:c>
      <x:c r="B39" s="16" t="n">
        <x:v>1976</x:v>
      </x:c>
      <x:c r="C39" s="16" t="str">
        <x:v>2n Cycle</x:v>
      </x:c>
      <x:c r="D39" s="16" t="str">
        <x:v>Married</x:v>
      </x:c>
      <x:c r="E39" s="16" t="n">
        <x:v>23718</x:v>
      </x:c>
      <x:c r="F39" s="16" t="n">
        <x:v>1</x:v>
      </x:c>
      <x:c r="G39" s="16" t="n">
        <x:v>0</x:v>
      </x:c>
      <x:c r="H39" s="16" t="str">
        <x:v>02-09-2013</x:v>
      </x:c>
      <x:c r="I39" s="16" t="n">
        <x:v>76</x:v>
      </x:c>
      <x:c r="J39" s="16" t="n">
        <x:v>6</x:v>
      </x:c>
      <x:c r="K39" s="16" t="n">
        <x:v>3</x:v>
      </x:c>
      <x:c r="L39" s="16" t="n">
        <x:v>14</x:v>
      </x:c>
      <x:c r="M39" s="16" t="n">
        <x:v>15</x:v>
      </x:c>
      <x:c r="N39" s="16" t="n">
        <x:v>7</x:v>
      </x:c>
      <x:c r="O39" s="16" t="n">
        <x:v>36</x:v>
      </x:c>
      <x:c r="P39" s="16" t="n">
        <x:v>3</x:v>
      </x:c>
      <x:c r="Q39" s="16" t="n">
        <x:v>3</x:v>
      </x:c>
      <x:c r="R39" s="16" t="n">
        <x:v>1</x:v>
      </x:c>
      <x:c r="S39" s="16" t="n">
        <x:v>2</x:v>
      </x:c>
      <x:c r="T39" s="16" t="n">
        <x:v>7</x:v>
      </x:c>
      <x:c r="U39" s="16" t="n">
        <x:v>0</x:v>
      </x:c>
      <x:c r="V39" s="16" t="n">
        <x:v>0</x:v>
      </x:c>
      <x:c r="W39" s="16" t="n">
        <x:v>0</x:v>
      </x:c>
      <x:c r="X39" s="16" t="n">
        <x:v>0</x:v>
      </x:c>
      <x:c r="Y39" s="16" t="n">
        <x:v>0</x:v>
      </x:c>
      <x:c r="Z39" s="16" t="n">
        <x:v>0</x:v>
      </x:c>
      <x:c r="AA39" s="16" t="n">
        <x:v>3</x:v>
      </x:c>
      <x:c r="AB39" s="16" t="n">
        <x:v>11</x:v>
      </x:c>
      <x:c r="AC39" s="16" t="n">
        <x:v>0</x:v>
      </x:c>
      <x:c r="AD39" s="21" t="n">
        <x:f>IF(E39="",MEDIAN($E$2:$E$2237),E39)</x:f>
        <x:v>23718</x:v>
      </x:c>
      <x:c r="AE39" s="17" t="n">
        <x:f>2014-B39</x:f>
        <x:v>38</x:v>
      </x:c>
      <x:c r="AF39" s="17" t="n">
        <x:f>F39+G39</x:f>
        <x:v>1</x:v>
      </x:c>
      <x:c r="AG39" s="21" t="n">
        <x:f>SUM(J39:O39)</x:f>
        <x:v>81</x:v>
      </x:c>
      <x:c r="AH39" s="17" t="n">
        <x:f>SUM(Q39:S39)</x:f>
        <x:v>6</x:v>
      </x:c>
      <x:c r="AI39" s="17" t="n">
        <x:f>SUM(U39:Y39)</x:f>
        <x:v>0</x:v>
      </x:c>
      <x:c r="AJ39" s="17" t="str">
        <x:f>IF(AE39&lt;=34,"≤34",IF(AE39&lt;=44,"35–44",IF(AE39&lt;=54,"45–54",IF(AE39&lt;=64,"55–64","65+"))))</x:f>
        <x:v>35–44</x:v>
      </x:c>
      <x:c r="AK39" s="17" t="str">
        <x:f>IF(AG39&gt;=1000,"High Value",IF(AG39&gt;=300,"Mid Value","Low Value"))</x:f>
        <x:v>Low Value</x:v>
      </x:c>
      <x:c r="AL39" s="17" t="str">
        <x:f>IF(AND(AI39&gt;=1,I39&lt;=50),"Priority 1",IF(AND(AG39&gt;=1000,I39&lt;=60),"Priority 2",IF(I39&lt;=30,"Priority 3","Nurture")))</x:f>
        <x:v>Nurture</x:v>
      </x:c>
    </x:row>
    <x:row r="40">
      <x:c r="A40" s="16" t="n">
        <x:v>8595</x:v>
      </x:c>
      <x:c r="B40" s="16" t="n">
        <x:v>1973</x:v>
      </x:c>
      <x:c r="C40" s="16" t="str">
        <x:v>Graduation</x:v>
      </x:c>
      <x:c r="D40" s="16" t="str">
        <x:v>Widow</x:v>
      </x:c>
      <x:c r="E40" s="16" t="n">
        <x:v>42429</x:v>
      </x:c>
      <x:c r="F40" s="16" t="n">
        <x:v>0</x:v>
      </x:c>
      <x:c r="G40" s="16" t="n">
        <x:v>1</x:v>
      </x:c>
      <x:c r="H40" s="16" t="str">
        <x:v>11-02-2014</x:v>
      </x:c>
      <x:c r="I40" s="16" t="n">
        <x:v>99</x:v>
      </x:c>
      <x:c r="J40" s="16" t="n">
        <x:v>55</x:v>
      </x:c>
      <x:c r="K40" s="16" t="n">
        <x:v>0</x:v>
      </x:c>
      <x:c r="L40" s="16" t="n">
        <x:v>6</x:v>
      </x:c>
      <x:c r="M40" s="16" t="n">
        <x:v>2</x:v>
      </x:c>
      <x:c r="N40" s="16" t="n">
        <x:v>0</x:v>
      </x:c>
      <x:c r="O40" s="16" t="n">
        <x:v>4</x:v>
      </x:c>
      <x:c r="P40" s="16" t="n">
        <x:v>2</x:v>
      </x:c>
      <x:c r="Q40" s="16" t="n">
        <x:v>1</x:v>
      </x:c>
      <x:c r="R40" s="16" t="n">
        <x:v>1</x:v>
      </x:c>
      <x:c r="S40" s="16" t="n">
        <x:v>3</x:v>
      </x:c>
      <x:c r="T40" s="16" t="n">
        <x:v>5</x:v>
      </x:c>
      <x:c r="U40" s="16" t="n">
        <x:v>0</x:v>
      </x:c>
      <x:c r="V40" s="16" t="n">
        <x:v>0</x:v>
      </x:c>
      <x:c r="W40" s="16" t="n">
        <x:v>0</x:v>
      </x:c>
      <x:c r="X40" s="16" t="n">
        <x:v>0</x:v>
      </x:c>
      <x:c r="Y40" s="16" t="n">
        <x:v>0</x:v>
      </x:c>
      <x:c r="Z40" s="16" t="n">
        <x:v>0</x:v>
      </x:c>
      <x:c r="AA40" s="16" t="n">
        <x:v>3</x:v>
      </x:c>
      <x:c r="AB40" s="16" t="n">
        <x:v>11</x:v>
      </x:c>
      <x:c r="AC40" s="16" t="n">
        <x:v>0</x:v>
      </x:c>
      <x:c r="AD40" s="21" t="n">
        <x:f>IF(E40="",MEDIAN($E$2:$E$2237),E40)</x:f>
        <x:v>42429</x:v>
      </x:c>
      <x:c r="AE40" s="17" t="n">
        <x:f>2014-B40</x:f>
        <x:v>41</x:v>
      </x:c>
      <x:c r="AF40" s="17" t="n">
        <x:f>F40+G40</x:f>
        <x:v>1</x:v>
      </x:c>
      <x:c r="AG40" s="21" t="n">
        <x:f>SUM(J40:O40)</x:f>
        <x:v>67</x:v>
      </x:c>
      <x:c r="AH40" s="17" t="n">
        <x:f>SUM(Q40:S40)</x:f>
        <x:v>5</x:v>
      </x:c>
      <x:c r="AI40" s="17" t="n">
        <x:f>SUM(U40:Y40)</x:f>
        <x:v>0</x:v>
      </x:c>
      <x:c r="AJ40" s="17" t="str">
        <x:f>IF(AE40&lt;=34,"≤34",IF(AE40&lt;=44,"35–44",IF(AE40&lt;=54,"45–54",IF(AE40&lt;=64,"55–64","65+"))))</x:f>
        <x:v>35–44</x:v>
      </x:c>
      <x:c r="AK40" s="17" t="str">
        <x:f>IF(AG40&gt;=1000,"High Value",IF(AG40&gt;=300,"Mid Value","Low Value"))</x:f>
        <x:v>Low Value</x:v>
      </x:c>
      <x:c r="AL40" s="17" t="str">
        <x:f>IF(AND(AI40&gt;=1,I40&lt;=50),"Priority 1",IF(AND(AG40&gt;=1000,I40&lt;=60),"Priority 2",IF(I40&lt;=30,"Priority 3","Nurture")))</x:f>
        <x:v>Nurture</x:v>
      </x:c>
    </x:row>
    <x:row r="41">
      <x:c r="A41" s="16" t="n">
        <x:v>2968</x:v>
      </x:c>
      <x:c r="B41" s="16" t="n">
        <x:v>1943</x:v>
      </x:c>
      <x:c r="C41" s="16" t="str">
        <x:v>PhD</x:v>
      </x:c>
      <x:c r="D41" s="16" t="str">
        <x:v>Divorced</x:v>
      </x:c>
      <x:c r="E41" s="16" t="n">
        <x:v>48948</x:v>
      </x:c>
      <x:c r="F41" s="16" t="n">
        <x:v>0</x:v>
      </x:c>
      <x:c r="G41" s="16" t="n">
        <x:v>0</x:v>
      </x:c>
      <x:c r="H41" s="16" t="str">
        <x:v>01-02-2013</x:v>
      </x:c>
      <x:c r="I41" s="16" t="n">
        <x:v>53</x:v>
      </x:c>
      <x:c r="J41" s="16" t="n">
        <x:v>437</x:v>
      </x:c>
      <x:c r="K41" s="16" t="n">
        <x:v>8</x:v>
      </x:c>
      <x:c r="L41" s="16" t="n">
        <x:v>206</x:v>
      </x:c>
      <x:c r="M41" s="16" t="n">
        <x:v>160</x:v>
      </x:c>
      <x:c r="N41" s="16" t="n">
        <x:v>49</x:v>
      </x:c>
      <x:c r="O41" s="16" t="n">
        <x:v>42</x:v>
      </x:c>
      <x:c r="P41" s="16" t="n">
        <x:v>2</x:v>
      </x:c>
      <x:c r="Q41" s="16" t="n">
        <x:v>7</x:v>
      </x:c>
      <x:c r="R41" s="16" t="n">
        <x:v>10</x:v>
      </x:c>
      <x:c r="S41" s="16" t="n">
        <x:v>5</x:v>
      </x:c>
      <x:c r="T41" s="16" t="n">
        <x:v>6</x:v>
      </x:c>
      <x:c r="U41" s="16" t="n">
        <x:v>1</x:v>
      </x:c>
      <x:c r="V41" s="16" t="n">
        <x:v>0</x:v>
      </x:c>
      <x:c r="W41" s="16" t="n">
        <x:v>0</x:v>
      </x:c>
      <x:c r="X41" s="16" t="n">
        <x:v>0</x:v>
      </x:c>
      <x:c r="Y41" s="16" t="n">
        <x:v>0</x:v>
      </x:c>
      <x:c r="Z41" s="16" t="n">
        <x:v>0</x:v>
      </x:c>
      <x:c r="AA41" s="16" t="n">
        <x:v>3</x:v>
      </x:c>
      <x:c r="AB41" s="16" t="n">
        <x:v>11</x:v>
      </x:c>
      <x:c r="AC41" s="16" t="n">
        <x:v>1</x:v>
      </x:c>
      <x:c r="AD41" s="21" t="n">
        <x:f>IF(E41="",MEDIAN($E$2:$E$2237),E41)</x:f>
        <x:v>48948</x:v>
      </x:c>
      <x:c r="AE41" s="17" t="n">
        <x:f>2014-B41</x:f>
        <x:v>71</x:v>
      </x:c>
      <x:c r="AF41" s="17" t="n">
        <x:f>F41+G41</x:f>
        <x:v>0</x:v>
      </x:c>
      <x:c r="AG41" s="21" t="n">
        <x:f>SUM(J41:O41)</x:f>
        <x:v>902</x:v>
      </x:c>
      <x:c r="AH41" s="17" t="n">
        <x:f>SUM(Q41:S41)</x:f>
        <x:v>22</x:v>
      </x:c>
      <x:c r="AI41" s="17" t="n">
        <x:f>SUM(U41:Y41)</x:f>
        <x:v>1</x:v>
      </x:c>
      <x:c r="AJ41" s="17" t="str">
        <x:f>IF(AE41&lt;=34,"≤34",IF(AE41&lt;=44,"35–44",IF(AE41&lt;=54,"45–54",IF(AE41&lt;=64,"55–64","65+"))))</x:f>
        <x:v>65+</x:v>
      </x:c>
      <x:c r="AK41" s="17" t="str">
        <x:f>IF(AG41&gt;=1000,"High Value",IF(AG41&gt;=300,"Mid Value","Low Value"))</x:f>
        <x:v>Mid Value</x:v>
      </x:c>
      <x:c r="AL41" s="17" t="str">
        <x:f>IF(AND(AI41&gt;=1,I41&lt;=50),"Priority 1",IF(AND(AG41&gt;=1000,I41&lt;=60),"Priority 2",IF(I41&lt;=30,"Priority 3","Nurture")))</x:f>
        <x:v>Nurture</x:v>
      </x:c>
    </x:row>
    <x:row r="42">
      <x:c r="A42" s="16" t="n">
        <x:v>8601</x:v>
      </x:c>
      <x:c r="B42" s="16" t="n">
        <x:v>1980</x:v>
      </x:c>
      <x:c r="C42" s="16" t="str">
        <x:v>Graduation</x:v>
      </x:c>
      <x:c r="D42" s="16" t="str">
        <x:v>Married</x:v>
      </x:c>
      <x:c r="E42" s="16" t="n">
        <x:v>80011</x:v>
      </x:c>
      <x:c r="F42" s="16" t="n">
        <x:v>0</x:v>
      </x:c>
      <x:c r="G42" s="16" t="n">
        <x:v>1</x:v>
      </x:c>
      <x:c r="H42" s="16" t="str">
        <x:v>29-04-2013</x:v>
      </x:c>
      <x:c r="I42" s="16" t="n">
        <x:v>3</x:v>
      </x:c>
      <x:c r="J42" s="16" t="n">
        <x:v>421</x:v>
      </x:c>
      <x:c r="K42" s="16" t="n">
        <x:v>76</x:v>
      </x:c>
      <x:c r="L42" s="16" t="n">
        <x:v>536</x:v>
      </x:c>
      <x:c r="M42" s="16" t="n">
        <x:v>82</x:v>
      </x:c>
      <x:c r="N42" s="16" t="n">
        <x:v>178</x:v>
      </x:c>
      <x:c r="O42" s="16" t="n">
        <x:v>102</x:v>
      </x:c>
      <x:c r="P42" s="16" t="n">
        <x:v>2</x:v>
      </x:c>
      <x:c r="Q42" s="16" t="n">
        <x:v>8</x:v>
      </x:c>
      <x:c r="R42" s="16" t="n">
        <x:v>6</x:v>
      </x:c>
      <x:c r="S42" s="16" t="n">
        <x:v>5</x:v>
      </x:c>
      <x:c r="T42" s="16" t="n">
        <x:v>4</x:v>
      </x:c>
      <x:c r="U42" s="16" t="n">
        <x:v>0</x:v>
      </x:c>
      <x:c r="V42" s="16" t="n">
        <x:v>0</x:v>
      </x:c>
      <x:c r="W42" s="16" t="n">
        <x:v>0</x:v>
      </x:c>
      <x:c r="X42" s="16" t="n">
        <x:v>0</x:v>
      </x:c>
      <x:c r="Y42" s="16" t="n">
        <x:v>0</x:v>
      </x:c>
      <x:c r="Z42" s="16" t="n">
        <x:v>0</x:v>
      </x:c>
      <x:c r="AA42" s="16" t="n">
        <x:v>3</x:v>
      </x:c>
      <x:c r="AB42" s="16" t="n">
        <x:v>11</x:v>
      </x:c>
      <x:c r="AC42" s="16" t="n">
        <x:v>0</x:v>
      </x:c>
      <x:c r="AD42" s="21" t="n">
        <x:f>IF(E42="",MEDIAN($E$2:$E$2237),E42)</x:f>
        <x:v>80011</x:v>
      </x:c>
      <x:c r="AE42" s="17" t="n">
        <x:f>2014-B42</x:f>
        <x:v>34</x:v>
      </x:c>
      <x:c r="AF42" s="17" t="n">
        <x:f>F42+G42</x:f>
        <x:v>1</x:v>
      </x:c>
      <x:c r="AG42" s="21" t="n">
        <x:f>SUM(J42:O42)</x:f>
        <x:v>1395</x:v>
      </x:c>
      <x:c r="AH42" s="17" t="n">
        <x:f>SUM(Q42:S42)</x:f>
        <x:v>19</x:v>
      </x:c>
      <x:c r="AI42" s="17" t="n">
        <x:f>SUM(U42:Y42)</x:f>
        <x:v>0</x:v>
      </x:c>
      <x:c r="AJ42" s="17" t="str">
        <x:f>IF(AE42&lt;=34,"≤34",IF(AE42&lt;=44,"35–44",IF(AE42&lt;=54,"45–54",IF(AE42&lt;=64,"55–64","65+"))))</x:f>
        <x:v>≤34</x:v>
      </x:c>
      <x:c r="AK42" s="17" t="str">
        <x:f>IF(AG42&gt;=1000,"High Value",IF(AG42&gt;=300,"Mid Value","Low Value"))</x:f>
        <x:v>High Value</x:v>
      </x:c>
      <x:c r="AL42" s="17" t="str">
        <x:f>IF(AND(AI42&gt;=1,I42&lt;=50),"Priority 1",IF(AND(AG42&gt;=1000,I42&lt;=60),"Priority 2",IF(I42&lt;=30,"Priority 3","Nurture")))</x:f>
        <x:v>Priority 2</x:v>
      </x:c>
    </x:row>
    <x:row r="43">
      <x:c r="A43" s="16" t="n">
        <x:v>503</x:v>
      </x:c>
      <x:c r="B43" s="16" t="n">
        <x:v>1985</x:v>
      </x:c>
      <x:c r="C43" s="16" t="str">
        <x:v>Master</x:v>
      </x:c>
      <x:c r="D43" s="16" t="str">
        <x:v>Married</x:v>
      </x:c>
      <x:c r="E43" s="16" t="n">
        <x:v>20559</x:v>
      </x:c>
      <x:c r="F43" s="16" t="n">
        <x:v>1</x:v>
      </x:c>
      <x:c r="G43" s="16" t="n">
        <x:v>0</x:v>
      </x:c>
      <x:c r="H43" s="16" t="str">
        <x:v>12-03-2013</x:v>
      </x:c>
      <x:c r="I43" s="16" t="n">
        <x:v>88</x:v>
      </x:c>
      <x:c r="J43" s="16" t="n">
        <x:v>13</x:v>
      </x:c>
      <x:c r="K43" s="16" t="n">
        <x:v>1</x:v>
      </x:c>
      <x:c r="L43" s="16" t="n">
        <x:v>29</x:v>
      </x:c>
      <x:c r="M43" s="16" t="n">
        <x:v>3</x:v>
      </x:c>
      <x:c r="N43" s="16" t="n">
        <x:v>0</x:v>
      </x:c>
      <x:c r="O43" s="16" t="n">
        <x:v>7</x:v>
      </x:c>
      <x:c r="P43" s="16" t="n">
        <x:v>2</x:v>
      </x:c>
      <x:c r="Q43" s="16" t="n">
        <x:v>2</x:v>
      </x:c>
      <x:c r="R43" s="16" t="n">
        <x:v>0</x:v>
      </x:c>
      <x:c r="S43" s="16" t="n">
        <x:v>3</x:v>
      </x:c>
      <x:c r="T43" s="16" t="n">
        <x:v>8</x:v>
      </x:c>
      <x:c r="U43" s="16" t="n">
        <x:v>0</x:v>
      </x:c>
      <x:c r="V43" s="16" t="n">
        <x:v>0</x:v>
      </x:c>
      <x:c r="W43" s="16" t="n">
        <x:v>0</x:v>
      </x:c>
      <x:c r="X43" s="16" t="n">
        <x:v>0</x:v>
      </x:c>
      <x:c r="Y43" s="16" t="n">
        <x:v>0</x:v>
      </x:c>
      <x:c r="Z43" s="16" t="n">
        <x:v>0</x:v>
      </x:c>
      <x:c r="AA43" s="16" t="n">
        <x:v>3</x:v>
      </x:c>
      <x:c r="AB43" s="16" t="n">
        <x:v>11</x:v>
      </x:c>
      <x:c r="AC43" s="16" t="n">
        <x:v>0</x:v>
      </x:c>
      <x:c r="AD43" s="21" t="n">
        <x:f>IF(E43="",MEDIAN($E$2:$E$2237),E43)</x:f>
        <x:v>20559</x:v>
      </x:c>
      <x:c r="AE43" s="17" t="n">
        <x:f>2014-B43</x:f>
        <x:v>29</x:v>
      </x:c>
      <x:c r="AF43" s="17" t="n">
        <x:f>F43+G43</x:f>
        <x:v>1</x:v>
      </x:c>
      <x:c r="AG43" s="21" t="n">
        <x:f>SUM(J43:O43)</x:f>
        <x:v>53</x:v>
      </x:c>
      <x:c r="AH43" s="17" t="n">
        <x:f>SUM(Q43:S43)</x:f>
        <x:v>5</x:v>
      </x:c>
      <x:c r="AI43" s="17" t="n">
        <x:f>SUM(U43:Y43)</x:f>
        <x:v>0</x:v>
      </x:c>
      <x:c r="AJ43" s="17" t="str">
        <x:f>IF(AE43&lt;=34,"≤34",IF(AE43&lt;=44,"35–44",IF(AE43&lt;=54,"45–54",IF(AE43&lt;=64,"55–64","65+"))))</x:f>
        <x:v>≤34</x:v>
      </x:c>
      <x:c r="AK43" s="17" t="str">
        <x:f>IF(AG43&gt;=1000,"High Value",IF(AG43&gt;=300,"Mid Value","Low Value"))</x:f>
        <x:v>Low Value</x:v>
      </x:c>
      <x:c r="AL43" s="17" t="str">
        <x:f>IF(AND(AI43&gt;=1,I43&lt;=50),"Priority 1",IF(AND(AG43&gt;=1000,I43&lt;=60),"Priority 2",IF(I43&lt;=30,"Priority 3","Nurture")))</x:f>
        <x:v>Nurture</x:v>
      </x:c>
    </x:row>
    <x:row r="44">
      <x:c r="A44" s="16" t="n">
        <x:v>8430</x:v>
      </x:c>
      <x:c r="B44" s="16" t="n">
        <x:v>1957</x:v>
      </x:c>
      <x:c r="C44" s="16" t="str">
        <x:v>Graduation</x:v>
      </x:c>
      <x:c r="D44" s="16" t="str">
        <x:v>Together</x:v>
      </x:c>
      <x:c r="E44" s="16" t="n">
        <x:v>21994</x:v>
      </x:c>
      <x:c r="F44" s="16" t="n">
        <x:v>0</x:v>
      </x:c>
      <x:c r="G44" s="16" t="n">
        <x:v>1</x:v>
      </x:c>
      <x:c r="H44" s="16" t="str">
        <x:v>24-12-2012</x:v>
      </x:c>
      <x:c r="I44" s="16" t="n">
        <x:v>4</x:v>
      </x:c>
      <x:c r="J44" s="16" t="n">
        <x:v>9</x:v>
      </x:c>
      <x:c r="K44" s="16" t="n">
        <x:v>0</x:v>
      </x:c>
      <x:c r="L44" s="16" t="n">
        <x:v>6</x:v>
      </x:c>
      <x:c r="M44" s="16" t="n">
        <x:v>3</x:v>
      </x:c>
      <x:c r="N44" s="16" t="n">
        <x:v>1</x:v>
      </x:c>
      <x:c r="O44" s="16" t="n">
        <x:v>3</x:v>
      </x:c>
      <x:c r="P44" s="16" t="n">
        <x:v>1</x:v>
      </x:c>
      <x:c r="Q44" s="16" t="n">
        <x:v>0</x:v>
      </x:c>
      <x:c r="R44" s="16" t="n">
        <x:v>0</x:v>
      </x:c>
      <x:c r="S44" s="16" t="n">
        <x:v>3</x:v>
      </x:c>
      <x:c r="T44" s="16" t="n">
        <x:v>5</x:v>
      </x:c>
      <x:c r="U44" s="16" t="n">
        <x:v>0</x:v>
      </x:c>
      <x:c r="V44" s="16" t="n">
        <x:v>0</x:v>
      </x:c>
      <x:c r="W44" s="16" t="n">
        <x:v>0</x:v>
      </x:c>
      <x:c r="X44" s="16" t="n">
        <x:v>0</x:v>
      </x:c>
      <x:c r="Y44" s="16" t="n">
        <x:v>0</x:v>
      </x:c>
      <x:c r="Z44" s="16" t="n">
        <x:v>0</x:v>
      </x:c>
      <x:c r="AA44" s="16" t="n">
        <x:v>3</x:v>
      </x:c>
      <x:c r="AB44" s="16" t="n">
        <x:v>11</x:v>
      </x:c>
      <x:c r="AC44" s="16" t="n">
        <x:v>0</x:v>
      </x:c>
      <x:c r="AD44" s="21" t="n">
        <x:f>IF(E44="",MEDIAN($E$2:$E$2237),E44)</x:f>
        <x:v>21994</x:v>
      </x:c>
      <x:c r="AE44" s="17" t="n">
        <x:f>2014-B44</x:f>
        <x:v>57</x:v>
      </x:c>
      <x:c r="AF44" s="17" t="n">
        <x:f>F44+G44</x:f>
        <x:v>1</x:v>
      </x:c>
      <x:c r="AG44" s="21" t="n">
        <x:f>SUM(J44:O44)</x:f>
        <x:v>22</x:v>
      </x:c>
      <x:c r="AH44" s="17" t="n">
        <x:f>SUM(Q44:S44)</x:f>
        <x:v>3</x:v>
      </x:c>
      <x:c r="AI44" s="17" t="n">
        <x:f>SUM(U44:Y44)</x:f>
        <x:v>0</x:v>
      </x:c>
      <x:c r="AJ44" s="17" t="str">
        <x:f>IF(AE44&lt;=34,"≤34",IF(AE44&lt;=44,"35–44",IF(AE44&lt;=54,"45–54",IF(AE44&lt;=64,"55–64","65+"))))</x:f>
        <x:v>55–64</x:v>
      </x:c>
      <x:c r="AK44" s="17" t="str">
        <x:f>IF(AG44&gt;=1000,"High Value",IF(AG44&gt;=300,"Mid Value","Low Value"))</x:f>
        <x:v>Low Value</x:v>
      </x:c>
      <x:c r="AL44" s="17" t="str">
        <x:f>IF(AND(AI44&gt;=1,I44&lt;=50),"Priority 1",IF(AND(AG44&gt;=1000,I44&lt;=60),"Priority 2",IF(I44&lt;=30,"Priority 3","Nurture")))</x:f>
        <x:v>Priority 3</x:v>
      </x:c>
    </x:row>
    <x:row r="45">
      <x:c r="A45" s="16" t="n">
        <x:v>7281</x:v>
      </x:c>
      <x:c r="B45" s="16" t="n">
        <x:v>1959</x:v>
      </x:c>
      <x:c r="C45" s="16" t="str">
        <x:v>PhD</x:v>
      </x:c>
      <x:c r="D45" s="16" t="str">
        <x:v>Single</x:v>
      </x:c>
      <x:c r="E45" s="16"/>
      <x:c r="F45" s="16" t="n">
        <x:v>0</x:v>
      </x:c>
      <x:c r="G45" s="16" t="n">
        <x:v>0</x:v>
      </x:c>
      <x:c r="H45" s="16" t="str">
        <x:v>05-11-2013</x:v>
      </x:c>
      <x:c r="I45" s="16" t="n">
        <x:v>80</x:v>
      </x:c>
      <x:c r="J45" s="16" t="n">
        <x:v>81</x:v>
      </x:c>
      <x:c r="K45" s="16" t="n">
        <x:v>11</x:v>
      </x:c>
      <x:c r="L45" s="16" t="n">
        <x:v>50</x:v>
      </x:c>
      <x:c r="M45" s="16" t="n">
        <x:v>3</x:v>
      </x:c>
      <x:c r="N45" s="16" t="n">
        <x:v>2</x:v>
      </x:c>
      <x:c r="O45" s="16" t="n">
        <x:v>39</x:v>
      </x:c>
      <x:c r="P45" s="16" t="n">
        <x:v>1</x:v>
      </x:c>
      <x:c r="Q45" s="16" t="n">
        <x:v>1</x:v>
      </x:c>
      <x:c r="R45" s="16" t="n">
        <x:v>3</x:v>
      </x:c>
      <x:c r="S45" s="16" t="n">
        <x:v>4</x:v>
      </x:c>
      <x:c r="T45" s="16" t="n">
        <x:v>2</x:v>
      </x:c>
      <x:c r="U45" s="16" t="n">
        <x:v>0</x:v>
      </x:c>
      <x:c r="V45" s="16" t="n">
        <x:v>0</x:v>
      </x:c>
      <x:c r="W45" s="16" t="n">
        <x:v>0</x:v>
      </x:c>
      <x:c r="X45" s="16" t="n">
        <x:v>0</x:v>
      </x:c>
      <x:c r="Y45" s="16" t="n">
        <x:v>0</x:v>
      </x:c>
      <x:c r="Z45" s="16" t="n">
        <x:v>0</x:v>
      </x:c>
      <x:c r="AA45" s="16" t="n">
        <x:v>3</x:v>
      </x:c>
      <x:c r="AB45" s="16" t="n">
        <x:v>11</x:v>
      </x:c>
      <x:c r="AC45" s="16" t="n">
        <x:v>0</x:v>
      </x:c>
      <x:c r="AD45" s="21" t="n">
        <x:f>IF(E45="",MEDIAN($E$2:$E$2237),E45)</x:f>
        <x:v>51371</x:v>
      </x:c>
      <x:c r="AE45" s="17" t="n">
        <x:f>2014-B45</x:f>
        <x:v>55</x:v>
      </x:c>
      <x:c r="AF45" s="17" t="n">
        <x:f>F45+G45</x:f>
        <x:v>0</x:v>
      </x:c>
      <x:c r="AG45" s="21" t="n">
        <x:f>SUM(J45:O45)</x:f>
        <x:v>186</x:v>
      </x:c>
      <x:c r="AH45" s="17" t="n">
        <x:f>SUM(Q45:S45)</x:f>
        <x:v>8</x:v>
      </x:c>
      <x:c r="AI45" s="17" t="n">
        <x:f>SUM(U45:Y45)</x:f>
        <x:v>0</x:v>
      </x:c>
      <x:c r="AJ45" s="17" t="str">
        <x:f>IF(AE45&lt;=34,"≤34",IF(AE45&lt;=44,"35–44",IF(AE45&lt;=54,"45–54",IF(AE45&lt;=64,"55–64","65+"))))</x:f>
        <x:v>55–64</x:v>
      </x:c>
      <x:c r="AK45" s="17" t="str">
        <x:f>IF(AG45&gt;=1000,"High Value",IF(AG45&gt;=300,"Mid Value","Low Value"))</x:f>
        <x:v>Low Value</x:v>
      </x:c>
      <x:c r="AL45" s="17" t="str">
        <x:f>IF(AND(AI45&gt;=1,I45&lt;=50),"Priority 1",IF(AND(AG45&gt;=1000,I45&lt;=60),"Priority 2",IF(I45&lt;=30,"Priority 3","Nurture")))</x:f>
        <x:v>Nurture</x:v>
      </x:c>
    </x:row>
    <x:row r="46">
      <x:c r="A46" s="16" t="n">
        <x:v>2139</x:v>
      </x:c>
      <x:c r="B46" s="16" t="n">
        <x:v>1975</x:v>
      </x:c>
      <x:c r="C46" s="16" t="str">
        <x:v>Master</x:v>
      </x:c>
      <x:c r="D46" s="16" t="str">
        <x:v>Married</x:v>
      </x:c>
      <x:c r="E46" s="16" t="n">
        <x:v>7500</x:v>
      </x:c>
      <x:c r="F46" s="16" t="n">
        <x:v>1</x:v>
      </x:c>
      <x:c r="G46" s="16" t="n">
        <x:v>0</x:v>
      </x:c>
      <x:c r="H46" s="16" t="str">
        <x:v>02-10-2013</x:v>
      </x:c>
      <x:c r="I46" s="16" t="n">
        <x:v>19</x:v>
      </x:c>
      <x:c r="J46" s="16" t="n">
        <x:v>3</x:v>
      </x:c>
      <x:c r="K46" s="16" t="n">
        <x:v>1</x:v>
      </x:c>
      <x:c r="L46" s="16" t="n">
        <x:v>10</x:v>
      </x:c>
      <x:c r="M46" s="16" t="n">
        <x:v>3</x:v>
      </x:c>
      <x:c r="N46" s="16" t="n">
        <x:v>2</x:v>
      </x:c>
      <x:c r="O46" s="16" t="n">
        <x:v>12</x:v>
      </x:c>
      <x:c r="P46" s="16" t="n">
        <x:v>3</x:v>
      </x:c>
      <x:c r="Q46" s="16" t="n">
        <x:v>2</x:v>
      </x:c>
      <x:c r="R46" s="16" t="n">
        <x:v>0</x:v>
      </x:c>
      <x:c r="S46" s="16" t="n">
        <x:v>3</x:v>
      </x:c>
      <x:c r="T46" s="16" t="n">
        <x:v>5</x:v>
      </x:c>
      <x:c r="U46" s="16" t="n">
        <x:v>0</x:v>
      </x:c>
      <x:c r="V46" s="16" t="n">
        <x:v>0</x:v>
      </x:c>
      <x:c r="W46" s="16" t="n">
        <x:v>0</x:v>
      </x:c>
      <x:c r="X46" s="16" t="n">
        <x:v>0</x:v>
      </x:c>
      <x:c r="Y46" s="16" t="n">
        <x:v>0</x:v>
      </x:c>
      <x:c r="Z46" s="16" t="n">
        <x:v>0</x:v>
      </x:c>
      <x:c r="AA46" s="16" t="n">
        <x:v>3</x:v>
      </x:c>
      <x:c r="AB46" s="16" t="n">
        <x:v>11</x:v>
      </x:c>
      <x:c r="AC46" s="16" t="n">
        <x:v>0</x:v>
      </x:c>
      <x:c r="AD46" s="21" t="n">
        <x:f>IF(E46="",MEDIAN($E$2:$E$2237),E46)</x:f>
        <x:v>7500</x:v>
      </x:c>
      <x:c r="AE46" s="17" t="n">
        <x:f>2014-B46</x:f>
        <x:v>39</x:v>
      </x:c>
      <x:c r="AF46" s="17" t="n">
        <x:f>F46+G46</x:f>
        <x:v>1</x:v>
      </x:c>
      <x:c r="AG46" s="21" t="n">
        <x:f>SUM(J46:O46)</x:f>
        <x:v>31</x:v>
      </x:c>
      <x:c r="AH46" s="17" t="n">
        <x:f>SUM(Q46:S46)</x:f>
        <x:v>5</x:v>
      </x:c>
      <x:c r="AI46" s="17" t="n">
        <x:f>SUM(U46:Y46)</x:f>
        <x:v>0</x:v>
      </x:c>
      <x:c r="AJ46" s="17" t="str">
        <x:f>IF(AE46&lt;=34,"≤34",IF(AE46&lt;=44,"35–44",IF(AE46&lt;=54,"45–54",IF(AE46&lt;=64,"55–64","65+"))))</x:f>
        <x:v>35–44</x:v>
      </x:c>
      <x:c r="AK46" s="17" t="str">
        <x:f>IF(AG46&gt;=1000,"High Value",IF(AG46&gt;=300,"Mid Value","Low Value"))</x:f>
        <x:v>Low Value</x:v>
      </x:c>
      <x:c r="AL46" s="17" t="str">
        <x:f>IF(AND(AI46&gt;=1,I46&lt;=50),"Priority 1",IF(AND(AG46&gt;=1000,I46&lt;=60),"Priority 2",IF(I46&lt;=30,"Priority 3","Nurture")))</x:f>
        <x:v>Priority 3</x:v>
      </x:c>
    </x:row>
    <x:row r="47">
      <x:c r="A47" s="16" t="n">
        <x:v>1371</x:v>
      </x:c>
      <x:c r="B47" s="16" t="n">
        <x:v>1976</x:v>
      </x:c>
      <x:c r="C47" s="16" t="str">
        <x:v>Graduation</x:v>
      </x:c>
      <x:c r="D47" s="16" t="str">
        <x:v>Single</x:v>
      </x:c>
      <x:c r="E47" s="16" t="n">
        <x:v>79941</x:v>
      </x:c>
      <x:c r="F47" s="16" t="n">
        <x:v>0</x:v>
      </x:c>
      <x:c r="G47" s="16" t="n">
        <x:v>0</x:v>
      </x:c>
      <x:c r="H47" s="16" t="str">
        <x:v>28-06-2014</x:v>
      </x:c>
      <x:c r="I47" s="16" t="n">
        <x:v>72</x:v>
      </x:c>
      <x:c r="J47" s="16" t="n">
        <x:v>123</x:v>
      </x:c>
      <x:c r="K47" s="16" t="n">
        <x:v>164</x:v>
      </x:c>
      <x:c r="L47" s="16" t="n">
        <x:v>266</x:v>
      </x:c>
      <x:c r="M47" s="16" t="n">
        <x:v>227</x:v>
      </x:c>
      <x:c r="N47" s="16" t="n">
        <x:v>30</x:v>
      </x:c>
      <x:c r="O47" s="16" t="n">
        <x:v>174</x:v>
      </x:c>
      <x:c r="P47" s="16" t="n">
        <x:v>1</x:v>
      </x:c>
      <x:c r="Q47" s="16" t="n">
        <x:v>2</x:v>
      </x:c>
      <x:c r="R47" s="16" t="n">
        <x:v>4</x:v>
      </x:c>
      <x:c r="S47" s="16" t="n">
        <x:v>9</x:v>
      </x:c>
      <x:c r="T47" s="16" t="n">
        <x:v>1</x:v>
      </x:c>
      <x:c r="U47" s="16" t="n">
        <x:v>0</x:v>
      </x:c>
      <x:c r="V47" s="16" t="n">
        <x:v>0</x:v>
      </x:c>
      <x:c r="W47" s="16" t="n">
        <x:v>0</x:v>
      </x:c>
      <x:c r="X47" s="16" t="n">
        <x:v>0</x:v>
      </x:c>
      <x:c r="Y47" s="16" t="n">
        <x:v>0</x:v>
      </x:c>
      <x:c r="Z47" s="16" t="n">
        <x:v>0</x:v>
      </x:c>
      <x:c r="AA47" s="16" t="n">
        <x:v>3</x:v>
      </x:c>
      <x:c r="AB47" s="16" t="n">
        <x:v>11</x:v>
      </x:c>
      <x:c r="AC47" s="16" t="n">
        <x:v>0</x:v>
      </x:c>
      <x:c r="AD47" s="21" t="n">
        <x:f>IF(E47="",MEDIAN($E$2:$E$2237),E47)</x:f>
        <x:v>79941</x:v>
      </x:c>
      <x:c r="AE47" s="17" t="n">
        <x:f>2014-B47</x:f>
        <x:v>38</x:v>
      </x:c>
      <x:c r="AF47" s="17" t="n">
        <x:f>F47+G47</x:f>
        <x:v>0</x:v>
      </x:c>
      <x:c r="AG47" s="21" t="n">
        <x:f>SUM(J47:O47)</x:f>
        <x:v>984</x:v>
      </x:c>
      <x:c r="AH47" s="17" t="n">
        <x:f>SUM(Q47:S47)</x:f>
        <x:v>15</x:v>
      </x:c>
      <x:c r="AI47" s="17" t="n">
        <x:f>SUM(U47:Y47)</x:f>
        <x:v>0</x:v>
      </x:c>
      <x:c r="AJ47" s="17" t="str">
        <x:f>IF(AE47&lt;=34,"≤34",IF(AE47&lt;=44,"35–44",IF(AE47&lt;=54,"45–54",IF(AE47&lt;=64,"55–64","65+"))))</x:f>
        <x:v>35–44</x:v>
      </x:c>
      <x:c r="AK47" s="17" t="str">
        <x:f>IF(AG47&gt;=1000,"High Value",IF(AG47&gt;=300,"Mid Value","Low Value"))</x:f>
        <x:v>Mid Value</x:v>
      </x:c>
      <x:c r="AL47" s="17" t="str">
        <x:f>IF(AND(AI47&gt;=1,I47&lt;=50),"Priority 1",IF(AND(AG47&gt;=1000,I47&lt;=60),"Priority 2",IF(I47&lt;=30,"Priority 3","Nurture")))</x:f>
        <x:v>Nurture</x:v>
      </x:c>
    </x:row>
    <x:row r="48">
      <x:c r="A48" s="16" t="n">
        <x:v>9909</x:v>
      </x:c>
      <x:c r="B48" s="16" t="n">
        <x:v>1996</x:v>
      </x:c>
      <x:c r="C48" s="16" t="str">
        <x:v>2n Cycle</x:v>
      </x:c>
      <x:c r="D48" s="16" t="str">
        <x:v>Married</x:v>
      </x:c>
      <x:c r="E48" s="16" t="n">
        <x:v>7500</x:v>
      </x:c>
      <x:c r="F48" s="16" t="n">
        <x:v>0</x:v>
      </x:c>
      <x:c r="G48" s="16" t="n">
        <x:v>0</x:v>
      </x:c>
      <x:c r="H48" s="16" t="str">
        <x:v>09-11-2012</x:v>
      </x:c>
      <x:c r="I48" s="16" t="n">
        <x:v>24</x:v>
      </x:c>
      <x:c r="J48" s="16" t="n">
        <x:v>3</x:v>
      </x:c>
      <x:c r="K48" s="16" t="n">
        <x:v>18</x:v>
      </x:c>
      <x:c r="L48" s="16" t="n">
        <x:v>14</x:v>
      </x:c>
      <x:c r="M48" s="16" t="n">
        <x:v>15</x:v>
      </x:c>
      <x:c r="N48" s="16" t="n">
        <x:v>22</x:v>
      </x:c>
      <x:c r="O48" s="16" t="n">
        <x:v>50</x:v>
      </x:c>
      <x:c r="P48" s="16" t="n">
        <x:v>3</x:v>
      </x:c>
      <x:c r="Q48" s="16" t="n">
        <x:v>3</x:v>
      </x:c>
      <x:c r="R48" s="16" t="n">
        <x:v>1</x:v>
      </x:c>
      <x:c r="S48" s="16" t="n">
        <x:v>3</x:v>
      </x:c>
      <x:c r="T48" s="16" t="n">
        <x:v>9</x:v>
      </x:c>
      <x:c r="U48" s="16" t="n">
        <x:v>0</x:v>
      </x:c>
      <x:c r="V48" s="16" t="n">
        <x:v>0</x:v>
      </x:c>
      <x:c r="W48" s="16" t="n">
        <x:v>0</x:v>
      </x:c>
      <x:c r="X48" s="16" t="n">
        <x:v>0</x:v>
      </x:c>
      <x:c r="Y48" s="16" t="n">
        <x:v>0</x:v>
      </x:c>
      <x:c r="Z48" s="16" t="n">
        <x:v>0</x:v>
      </x:c>
      <x:c r="AA48" s="16" t="n">
        <x:v>3</x:v>
      </x:c>
      <x:c r="AB48" s="16" t="n">
        <x:v>11</x:v>
      </x:c>
      <x:c r="AC48" s="16" t="n">
        <x:v>1</x:v>
      </x:c>
      <x:c r="AD48" s="21" t="n">
        <x:f>IF(E48="",MEDIAN($E$2:$E$2237),E48)</x:f>
        <x:v>7500</x:v>
      </x:c>
      <x:c r="AE48" s="17" t="n">
        <x:f>2014-B48</x:f>
        <x:v>18</x:v>
      </x:c>
      <x:c r="AF48" s="17" t="n">
        <x:f>F48+G48</x:f>
        <x:v>0</x:v>
      </x:c>
      <x:c r="AG48" s="21" t="n">
        <x:f>SUM(J48:O48)</x:f>
        <x:v>122</x:v>
      </x:c>
      <x:c r="AH48" s="17" t="n">
        <x:f>SUM(Q48:S48)</x:f>
        <x:v>7</x:v>
      </x:c>
      <x:c r="AI48" s="17" t="n">
        <x:f>SUM(U48:Y48)</x:f>
        <x:v>0</x:v>
      </x:c>
      <x:c r="AJ48" s="17" t="str">
        <x:f>IF(AE48&lt;=34,"≤34",IF(AE48&lt;=44,"35–44",IF(AE48&lt;=54,"45–54",IF(AE48&lt;=64,"55–64","65+"))))</x:f>
        <x:v>≤34</x:v>
      </x:c>
      <x:c r="AK48" s="17" t="str">
        <x:f>IF(AG48&gt;=1000,"High Value",IF(AG48&gt;=300,"Mid Value","Low Value"))</x:f>
        <x:v>Low Value</x:v>
      </x:c>
      <x:c r="AL48" s="17" t="str">
        <x:f>IF(AND(AI48&gt;=1,I48&lt;=50),"Priority 1",IF(AND(AG48&gt;=1000,I48&lt;=60),"Priority 2",IF(I48&lt;=30,"Priority 3","Nurture")))</x:f>
        <x:v>Priority 3</x:v>
      </x:c>
    </x:row>
    <x:row r="49">
      <x:c r="A49" s="16" t="n">
        <x:v>7286</x:v>
      </x:c>
      <x:c r="B49" s="16" t="n">
        <x:v>1968</x:v>
      </x:c>
      <x:c r="C49" s="16" t="str">
        <x:v>Graduation</x:v>
      </x:c>
      <x:c r="D49" s="16" t="str">
        <x:v>Together</x:v>
      </x:c>
      <x:c r="E49" s="16" t="n">
        <x:v>41728</x:v>
      </x:c>
      <x:c r="F49" s="16" t="n">
        <x:v>1</x:v>
      </x:c>
      <x:c r="G49" s="16" t="n">
        <x:v>0</x:v>
      </x:c>
      <x:c r="H49" s="16" t="str">
        <x:v>24-05-2013</x:v>
      </x:c>
      <x:c r="I49" s="16" t="n">
        <x:v>92</x:v>
      </x:c>
      <x:c r="J49" s="16" t="n">
        <x:v>13</x:v>
      </x:c>
      <x:c r="K49" s="16" t="n">
        <x:v>6</x:v>
      </x:c>
      <x:c r="L49" s="16" t="n">
        <x:v>15</x:v>
      </x:c>
      <x:c r="M49" s="16" t="n">
        <x:v>3</x:v>
      </x:c>
      <x:c r="N49" s="16" t="n">
        <x:v>5</x:v>
      </x:c>
      <x:c r="O49" s="16" t="n">
        <x:v>13</x:v>
      </x:c>
      <x:c r="P49" s="16" t="n">
        <x:v>1</x:v>
      </x:c>
      <x:c r="Q49" s="16" t="n">
        <x:v>2</x:v>
      </x:c>
      <x:c r="R49" s="16" t="n">
        <x:v>0</x:v>
      </x:c>
      <x:c r="S49" s="16" t="n">
        <x:v>2</x:v>
      </x:c>
      <x:c r="T49" s="16" t="n">
        <x:v>10</x:v>
      </x:c>
      <x:c r="U49" s="16" t="n">
        <x:v>0</x:v>
      </x:c>
      <x:c r="V49" s="16" t="n">
        <x:v>0</x:v>
      </x:c>
      <x:c r="W49" s="16" t="n">
        <x:v>0</x:v>
      </x:c>
      <x:c r="X49" s="16" t="n">
        <x:v>0</x:v>
      </x:c>
      <x:c r="Y49" s="16" t="n">
        <x:v>0</x:v>
      </x:c>
      <x:c r="Z49" s="16" t="n">
        <x:v>0</x:v>
      </x:c>
      <x:c r="AA49" s="16" t="n">
        <x:v>3</x:v>
      </x:c>
      <x:c r="AB49" s="16" t="n">
        <x:v>11</x:v>
      </x:c>
      <x:c r="AC49" s="16" t="n">
        <x:v>0</x:v>
      </x:c>
      <x:c r="AD49" s="21" t="n">
        <x:f>IF(E49="",MEDIAN($E$2:$E$2237),E49)</x:f>
        <x:v>41728</x:v>
      </x:c>
      <x:c r="AE49" s="17" t="n">
        <x:f>2014-B49</x:f>
        <x:v>46</x:v>
      </x:c>
      <x:c r="AF49" s="17" t="n">
        <x:f>F49+G49</x:f>
        <x:v>1</x:v>
      </x:c>
      <x:c r="AG49" s="21" t="n">
        <x:f>SUM(J49:O49)</x:f>
        <x:v>55</x:v>
      </x:c>
      <x:c r="AH49" s="17" t="n">
        <x:f>SUM(Q49:S49)</x:f>
        <x:v>4</x:v>
      </x:c>
      <x:c r="AI49" s="17" t="n">
        <x:f>SUM(U49:Y49)</x:f>
        <x:v>0</x:v>
      </x:c>
      <x:c r="AJ49" s="17" t="str">
        <x:f>IF(AE49&lt;=34,"≤34",IF(AE49&lt;=44,"35–44",IF(AE49&lt;=54,"45–54",IF(AE49&lt;=64,"55–64","65+"))))</x:f>
        <x:v>45–54</x:v>
      </x:c>
      <x:c r="AK49" s="17" t="str">
        <x:f>IF(AG49&gt;=1000,"High Value",IF(AG49&gt;=300,"Mid Value","Low Value"))</x:f>
        <x:v>Low Value</x:v>
      </x:c>
      <x:c r="AL49" s="17" t="str">
        <x:f>IF(AND(AI49&gt;=1,I49&lt;=50),"Priority 1",IF(AND(AG49&gt;=1000,I49&lt;=60),"Priority 2",IF(I49&lt;=30,"Priority 3","Nurture")))</x:f>
        <x:v>Nurture</x:v>
      </x:c>
    </x:row>
    <x:row r="50">
      <x:c r="A50" s="16" t="n">
        <x:v>7244</x:v>
      </x:c>
      <x:c r="B50" s="16" t="n">
        <x:v>1951</x:v>
      </x:c>
      <x:c r="C50" s="16" t="str">
        <x:v>Graduation</x:v>
      </x:c>
      <x:c r="D50" s="16" t="str">
        <x:v>Single</x:v>
      </x:c>
      <x:c r="E50" s="16"/>
      <x:c r="F50" s="16" t="n">
        <x:v>2</x:v>
      </x:c>
      <x:c r="G50" s="16" t="n">
        <x:v>1</x:v>
      </x:c>
      <x:c r="H50" s="16" t="str">
        <x:v>01-01-2014</x:v>
      </x:c>
      <x:c r="I50" s="16" t="n">
        <x:v>96</x:v>
      </x:c>
      <x:c r="J50" s="16" t="n">
        <x:v>48</x:v>
      </x:c>
      <x:c r="K50" s="16" t="n">
        <x:v>5</x:v>
      </x:c>
      <x:c r="L50" s="16" t="n">
        <x:v>48</x:v>
      </x:c>
      <x:c r="M50" s="16" t="n">
        <x:v>6</x:v>
      </x:c>
      <x:c r="N50" s="16" t="n">
        <x:v>10</x:v>
      </x:c>
      <x:c r="O50" s="16" t="n">
        <x:v>7</x:v>
      </x:c>
      <x:c r="P50" s="16" t="n">
        <x:v>3</x:v>
      </x:c>
      <x:c r="Q50" s="16" t="n">
        <x:v>2</x:v>
      </x:c>
      <x:c r="R50" s="16" t="n">
        <x:v>1</x:v>
      </x:c>
      <x:c r="S50" s="16" t="n">
        <x:v>4</x:v>
      </x:c>
      <x:c r="T50" s="16" t="n">
        <x:v>6</x:v>
      </x:c>
      <x:c r="U50" s="16" t="n">
        <x:v>0</x:v>
      </x:c>
      <x:c r="V50" s="16" t="n">
        <x:v>0</x:v>
      </x:c>
      <x:c r="W50" s="16" t="n">
        <x:v>0</x:v>
      </x:c>
      <x:c r="X50" s="16" t="n">
        <x:v>0</x:v>
      </x:c>
      <x:c r="Y50" s="16" t="n">
        <x:v>0</x:v>
      </x:c>
      <x:c r="Z50" s="16" t="n">
        <x:v>0</x:v>
      </x:c>
      <x:c r="AA50" s="16" t="n">
        <x:v>3</x:v>
      </x:c>
      <x:c r="AB50" s="16" t="n">
        <x:v>11</x:v>
      </x:c>
      <x:c r="AC50" s="16" t="n">
        <x:v>0</x:v>
      </x:c>
      <x:c r="AD50" s="21" t="n">
        <x:f>IF(E50="",MEDIAN($E$2:$E$2237),E50)</x:f>
        <x:v>51371</x:v>
      </x:c>
      <x:c r="AE50" s="17" t="n">
        <x:f>2014-B50</x:f>
        <x:v>63</x:v>
      </x:c>
      <x:c r="AF50" s="17" t="n">
        <x:f>F50+G50</x:f>
        <x:v>3</x:v>
      </x:c>
      <x:c r="AG50" s="21" t="n">
        <x:f>SUM(J50:O50)</x:f>
        <x:v>124</x:v>
      </x:c>
      <x:c r="AH50" s="17" t="n">
        <x:f>SUM(Q50:S50)</x:f>
        <x:v>7</x:v>
      </x:c>
      <x:c r="AI50" s="17" t="n">
        <x:f>SUM(U50:Y50)</x:f>
        <x:v>0</x:v>
      </x:c>
      <x:c r="AJ50" s="17" t="str">
        <x:f>IF(AE50&lt;=34,"≤34",IF(AE50&lt;=44,"35–44",IF(AE50&lt;=54,"45–54",IF(AE50&lt;=64,"55–64","65+"))))</x:f>
        <x:v>55–64</x:v>
      </x:c>
      <x:c r="AK50" s="17" t="str">
        <x:f>IF(AG50&gt;=1000,"High Value",IF(AG50&gt;=300,"Mid Value","Low Value"))</x:f>
        <x:v>Low Value</x:v>
      </x:c>
      <x:c r="AL50" s="17" t="str">
        <x:f>IF(AND(AI50&gt;=1,I50&lt;=50),"Priority 1",IF(AND(AG50&gt;=1000,I50&lt;=60),"Priority 2",IF(I50&lt;=30,"Priority 3","Nurture")))</x:f>
        <x:v>Nurture</x:v>
      </x:c>
    </x:row>
    <x:row r="51">
      <x:c r="A51" s="16" t="n">
        <x:v>6566</x:v>
      </x:c>
      <x:c r="B51" s="16" t="n">
        <x:v>1954</x:v>
      </x:c>
      <x:c r="C51" s="16" t="str">
        <x:v>PhD</x:v>
      </x:c>
      <x:c r="D51" s="16" t="str">
        <x:v>Married</x:v>
      </x:c>
      <x:c r="E51" s="16" t="n">
        <x:v>72550</x:v>
      </x:c>
      <x:c r="F51" s="16" t="n">
        <x:v>1</x:v>
      </x:c>
      <x:c r="G51" s="16" t="n">
        <x:v>1</x:v>
      </x:c>
      <x:c r="H51" s="16" t="str">
        <x:v>08-11-2012</x:v>
      </x:c>
      <x:c r="I51" s="16" t="n">
        <x:v>39</x:v>
      </x:c>
      <x:c r="J51" s="16" t="n">
        <x:v>826</x:v>
      </x:c>
      <x:c r="K51" s="16" t="n">
        <x:v>50</x:v>
      </x:c>
      <x:c r="L51" s="16" t="n">
        <x:v>317</x:v>
      </x:c>
      <x:c r="M51" s="16" t="n">
        <x:v>50</x:v>
      </x:c>
      <x:c r="N51" s="16" t="n">
        <x:v>38</x:v>
      </x:c>
      <x:c r="O51" s="16" t="n">
        <x:v>38</x:v>
      </x:c>
      <x:c r="P51" s="16" t="n">
        <x:v>9</x:v>
      </x:c>
      <x:c r="Q51" s="16" t="n">
        <x:v>5</x:v>
      </x:c>
      <x:c r="R51" s="16" t="n">
        <x:v>2</x:v>
      </x:c>
      <x:c r="S51" s="16" t="n">
        <x:v>12</x:v>
      </x:c>
      <x:c r="T51" s="16" t="n">
        <x:v>8</x:v>
      </x:c>
      <x:c r="U51" s="16" t="n">
        <x:v>0</x:v>
      </x:c>
      <x:c r="V51" s="16" t="n">
        <x:v>0</x:v>
      </x:c>
      <x:c r="W51" s="16" t="n">
        <x:v>0</x:v>
      </x:c>
      <x:c r="X51" s="16" t="n">
        <x:v>0</x:v>
      </x:c>
      <x:c r="Y51" s="16" t="n">
        <x:v>0</x:v>
      </x:c>
      <x:c r="Z51" s="16" t="n">
        <x:v>0</x:v>
      </x:c>
      <x:c r="AA51" s="16" t="n">
        <x:v>3</x:v>
      </x:c>
      <x:c r="AB51" s="16" t="n">
        <x:v>11</x:v>
      </x:c>
      <x:c r="AC51" s="16" t="n">
        <x:v>0</x:v>
      </x:c>
      <x:c r="AD51" s="21" t="n">
        <x:f>IF(E51="",MEDIAN($E$2:$E$2237),E51)</x:f>
        <x:v>72550</x:v>
      </x:c>
      <x:c r="AE51" s="17" t="n">
        <x:f>2014-B51</x:f>
        <x:v>60</x:v>
      </x:c>
      <x:c r="AF51" s="17" t="n">
        <x:f>F51+G51</x:f>
        <x:v>2</x:v>
      </x:c>
      <x:c r="AG51" s="21" t="n">
        <x:f>SUM(J51:O51)</x:f>
        <x:v>1319</x:v>
      </x:c>
      <x:c r="AH51" s="17" t="n">
        <x:f>SUM(Q51:S51)</x:f>
        <x:v>19</x:v>
      </x:c>
      <x:c r="AI51" s="17" t="n">
        <x:f>SUM(U51:Y51)</x:f>
        <x:v>0</x:v>
      </x:c>
      <x:c r="AJ51" s="17" t="str">
        <x:f>IF(AE51&lt;=34,"≤34",IF(AE51&lt;=44,"35–44",IF(AE51&lt;=54,"45–54",IF(AE51&lt;=64,"55–64","65+"))))</x:f>
        <x:v>55–64</x:v>
      </x:c>
      <x:c r="AK51" s="17" t="str">
        <x:f>IF(AG51&gt;=1000,"High Value",IF(AG51&gt;=300,"Mid Value","Low Value"))</x:f>
        <x:v>High Value</x:v>
      </x:c>
      <x:c r="AL51" s="17" t="str">
        <x:f>IF(AND(AI51&gt;=1,I51&lt;=50),"Priority 1",IF(AND(AG51&gt;=1000,I51&lt;=60),"Priority 2",IF(I51&lt;=30,"Priority 3","Nurture")))</x:f>
        <x:v>Priority 2</x:v>
      </x:c>
    </x:row>
    <x:row r="52">
      <x:c r="A52" s="16" t="n">
        <x:v>8614</x:v>
      </x:c>
      <x:c r="B52" s="16" t="n">
        <x:v>1957</x:v>
      </x:c>
      <x:c r="C52" s="16" t="str">
        <x:v>Graduation</x:v>
      </x:c>
      <x:c r="D52" s="16" t="str">
        <x:v>Widow</x:v>
      </x:c>
      <x:c r="E52" s="16" t="n">
        <x:v>65486</x:v>
      </x:c>
      <x:c r="F52" s="16" t="n">
        <x:v>0</x:v>
      </x:c>
      <x:c r="G52" s="16" t="n">
        <x:v>1</x:v>
      </x:c>
      <x:c r="H52" s="16" t="str">
        <x:v>12-05-2014</x:v>
      </x:c>
      <x:c r="I52" s="16" t="n">
        <x:v>29</x:v>
      </x:c>
      <x:c r="J52" s="16" t="n">
        <x:v>245</x:v>
      </x:c>
      <x:c r="K52" s="16" t="n">
        <x:v>19</x:v>
      </x:c>
      <x:c r="L52" s="16" t="n">
        <x:v>125</x:v>
      </x:c>
      <x:c r="M52" s="16" t="n">
        <x:v>37</x:v>
      </x:c>
      <x:c r="N52" s="16" t="n">
        <x:v>67</x:v>
      </x:c>
      <x:c r="O52" s="16" t="n">
        <x:v>14</x:v>
      </x:c>
      <x:c r="P52" s="16" t="n">
        <x:v>1</x:v>
      </x:c>
      <x:c r="Q52" s="16" t="n">
        <x:v>4</x:v>
      </x:c>
      <x:c r="R52" s="16" t="n">
        <x:v>2</x:v>
      </x:c>
      <x:c r="S52" s="16" t="n">
        <x:v>10</x:v>
      </x:c>
      <x:c r="T52" s="16" t="n">
        <x:v>2</x:v>
      </x:c>
      <x:c r="U52" s="16" t="n">
        <x:v>0</x:v>
      </x:c>
      <x:c r="V52" s="16" t="n">
        <x:v>0</x:v>
      </x:c>
      <x:c r="W52" s="16" t="n">
        <x:v>0</x:v>
      </x:c>
      <x:c r="X52" s="16" t="n">
        <x:v>0</x:v>
      </x:c>
      <x:c r="Y52" s="16" t="n">
        <x:v>0</x:v>
      </x:c>
      <x:c r="Z52" s="16" t="n">
        <x:v>0</x:v>
      </x:c>
      <x:c r="AA52" s="16" t="n">
        <x:v>3</x:v>
      </x:c>
      <x:c r="AB52" s="16" t="n">
        <x:v>11</x:v>
      </x:c>
      <x:c r="AC52" s="16" t="n">
        <x:v>0</x:v>
      </x:c>
      <x:c r="AD52" s="21" t="n">
        <x:f>IF(E52="",MEDIAN($E$2:$E$2237),E52)</x:f>
        <x:v>65486</x:v>
      </x:c>
      <x:c r="AE52" s="17" t="n">
        <x:f>2014-B52</x:f>
        <x:v>57</x:v>
      </x:c>
      <x:c r="AF52" s="17" t="n">
        <x:f>F52+G52</x:f>
        <x:v>1</x:v>
      </x:c>
      <x:c r="AG52" s="21" t="n">
        <x:f>SUM(J52:O52)</x:f>
        <x:v>507</x:v>
      </x:c>
      <x:c r="AH52" s="17" t="n">
        <x:f>SUM(Q52:S52)</x:f>
        <x:v>16</x:v>
      </x:c>
      <x:c r="AI52" s="17" t="n">
        <x:f>SUM(U52:Y52)</x:f>
        <x:v>0</x:v>
      </x:c>
      <x:c r="AJ52" s="17" t="str">
        <x:f>IF(AE52&lt;=34,"≤34",IF(AE52&lt;=44,"35–44",IF(AE52&lt;=54,"45–54",IF(AE52&lt;=64,"55–64","65+"))))</x:f>
        <x:v>55–64</x:v>
      </x:c>
      <x:c r="AK52" s="17" t="str">
        <x:f>IF(AG52&gt;=1000,"High Value",IF(AG52&gt;=300,"Mid Value","Low Value"))</x:f>
        <x:v>Mid Value</x:v>
      </x:c>
      <x:c r="AL52" s="17" t="str">
        <x:f>IF(AND(AI52&gt;=1,I52&lt;=50),"Priority 1",IF(AND(AG52&gt;=1000,I52&lt;=60),"Priority 2",IF(I52&lt;=30,"Priority 3","Nurture")))</x:f>
        <x:v>Priority 3</x:v>
      </x:c>
    </x:row>
    <x:row r="53">
      <x:c r="A53" s="16" t="n">
        <x:v>4114</x:v>
      </x:c>
      <x:c r="B53" s="16" t="n">
        <x:v>1964</x:v>
      </x:c>
      <x:c r="C53" s="16" t="str">
        <x:v>Master</x:v>
      </x:c>
      <x:c r="D53" s="16" t="str">
        <x:v>Married</x:v>
      </x:c>
      <x:c r="E53" s="16" t="n">
        <x:v>79143</x:v>
      </x:c>
      <x:c r="F53" s="16" t="n">
        <x:v>0</x:v>
      </x:c>
      <x:c r="G53" s="16" t="n">
        <x:v>0</x:v>
      </x:c>
      <x:c r="H53" s="16" t="str">
        <x:v>11-08-2012</x:v>
      </x:c>
      <x:c r="I53" s="16" t="n">
        <x:v>2</x:v>
      </x:c>
      <x:c r="J53" s="16" t="n">
        <x:v>650</x:v>
      </x:c>
      <x:c r="K53" s="16" t="n">
        <x:v>37</x:v>
      </x:c>
      <x:c r="L53" s="16" t="n">
        <x:v>780</x:v>
      </x:c>
      <x:c r="M53" s="16" t="n">
        <x:v>27</x:v>
      </x:c>
      <x:c r="N53" s="16" t="n">
        <x:v>167</x:v>
      </x:c>
      <x:c r="O53" s="16" t="n">
        <x:v>32</x:v>
      </x:c>
      <x:c r="P53" s="16" t="n">
        <x:v>1</x:v>
      </x:c>
      <x:c r="Q53" s="16" t="n">
        <x:v>6</x:v>
      </x:c>
      <x:c r="R53" s="16" t="n">
        <x:v>9</x:v>
      </x:c>
      <x:c r="S53" s="16" t="n">
        <x:v>13</x:v>
      </x:c>
      <x:c r="T53" s="16" t="n">
        <x:v>3</x:v>
      </x:c>
      <x:c r="U53" s="16" t="n">
        <x:v>0</x:v>
      </x:c>
      <x:c r="V53" s="16" t="n">
        <x:v>0</x:v>
      </x:c>
      <x:c r="W53" s="16" t="n">
        <x:v>0</x:v>
      </x:c>
      <x:c r="X53" s="16" t="n">
        <x:v>0</x:v>
      </x:c>
      <x:c r="Y53" s="16" t="n">
        <x:v>0</x:v>
      </x:c>
      <x:c r="Z53" s="16" t="n">
        <x:v>0</x:v>
      </x:c>
      <x:c r="AA53" s="16" t="n">
        <x:v>3</x:v>
      </x:c>
      <x:c r="AB53" s="16" t="n">
        <x:v>11</x:v>
      </x:c>
      <x:c r="AC53" s="16" t="n">
        <x:v>0</x:v>
      </x:c>
      <x:c r="AD53" s="21" t="n">
        <x:f>IF(E53="",MEDIAN($E$2:$E$2237),E53)</x:f>
        <x:v>79143</x:v>
      </x:c>
      <x:c r="AE53" s="17" t="n">
        <x:f>2014-B53</x:f>
        <x:v>50</x:v>
      </x:c>
      <x:c r="AF53" s="17" t="n">
        <x:f>F53+G53</x:f>
        <x:v>0</x:v>
      </x:c>
      <x:c r="AG53" s="21" t="n">
        <x:f>SUM(J53:O53)</x:f>
        <x:v>1693</x:v>
      </x:c>
      <x:c r="AH53" s="17" t="n">
        <x:f>SUM(Q53:S53)</x:f>
        <x:v>28</x:v>
      </x:c>
      <x:c r="AI53" s="17" t="n">
        <x:f>SUM(U53:Y53)</x:f>
        <x:v>0</x:v>
      </x:c>
      <x:c r="AJ53" s="17" t="str">
        <x:f>IF(AE53&lt;=34,"≤34",IF(AE53&lt;=44,"35–44",IF(AE53&lt;=54,"45–54",IF(AE53&lt;=64,"55–64","65+"))))</x:f>
        <x:v>45–54</x:v>
      </x:c>
      <x:c r="AK53" s="17" t="str">
        <x:f>IF(AG53&gt;=1000,"High Value",IF(AG53&gt;=300,"Mid Value","Low Value"))</x:f>
        <x:v>High Value</x:v>
      </x:c>
      <x:c r="AL53" s="17" t="str">
        <x:f>IF(AND(AI53&gt;=1,I53&lt;=50),"Priority 1",IF(AND(AG53&gt;=1000,I53&lt;=60),"Priority 2",IF(I53&lt;=30,"Priority 3","Nurture")))</x:f>
        <x:v>Priority 2</x:v>
      </x:c>
    </x:row>
    <x:row r="54">
      <x:c r="A54" s="16" t="n">
        <x:v>1331</x:v>
      </x:c>
      <x:c r="B54" s="16" t="n">
        <x:v>1977</x:v>
      </x:c>
      <x:c r="C54" s="16" t="str">
        <x:v>Graduation</x:v>
      </x:c>
      <x:c r="D54" s="16" t="str">
        <x:v>Single</x:v>
      </x:c>
      <x:c r="E54" s="16" t="n">
        <x:v>35790</x:v>
      </x:c>
      <x:c r="F54" s="16" t="n">
        <x:v>1</x:v>
      </x:c>
      <x:c r="G54" s="16" t="n">
        <x:v>0</x:v>
      </x:c>
      <x:c r="H54" s="16" t="str">
        <x:v>02-01-2013</x:v>
      </x:c>
      <x:c r="I54" s="16" t="n">
        <x:v>54</x:v>
      </x:c>
      <x:c r="J54" s="16" t="n">
        <x:v>12</x:v>
      </x:c>
      <x:c r="K54" s="16" t="n">
        <x:v>6</x:v>
      </x:c>
      <x:c r="L54" s="16" t="n">
        <x:v>20</x:v>
      </x:c>
      <x:c r="M54" s="16" t="n">
        <x:v>30</x:v>
      </x:c>
      <x:c r="N54" s="16" t="n">
        <x:v>1</x:v>
      </x:c>
      <x:c r="O54" s="16" t="n">
        <x:v>3</x:v>
      </x:c>
      <x:c r="P54" s="16" t="n">
        <x:v>2</x:v>
      </x:c>
      <x:c r="Q54" s="16" t="n">
        <x:v>2</x:v>
      </x:c>
      <x:c r="R54" s="16" t="n">
        <x:v>0</x:v>
      </x:c>
      <x:c r="S54" s="16" t="n">
        <x:v>3</x:v>
      </x:c>
      <x:c r="T54" s="16" t="n">
        <x:v>7</x:v>
      </x:c>
      <x:c r="U54" s="16" t="n">
        <x:v>0</x:v>
      </x:c>
      <x:c r="V54" s="16" t="n">
        <x:v>0</x:v>
      </x:c>
      <x:c r="W54" s="16" t="n">
        <x:v>0</x:v>
      </x:c>
      <x:c r="X54" s="16" t="n">
        <x:v>0</x:v>
      </x:c>
      <x:c r="Y54" s="16" t="n">
        <x:v>0</x:v>
      </x:c>
      <x:c r="Z54" s="16" t="n">
        <x:v>0</x:v>
      </x:c>
      <x:c r="AA54" s="16" t="n">
        <x:v>3</x:v>
      </x:c>
      <x:c r="AB54" s="16" t="n">
        <x:v>11</x:v>
      </x:c>
      <x:c r="AC54" s="16" t="n">
        <x:v>0</x:v>
      </x:c>
      <x:c r="AD54" s="21" t="n">
        <x:f>IF(E54="",MEDIAN($E$2:$E$2237),E54)</x:f>
        <x:v>35790</x:v>
      </x:c>
      <x:c r="AE54" s="17" t="n">
        <x:f>2014-B54</x:f>
        <x:v>37</x:v>
      </x:c>
      <x:c r="AF54" s="17" t="n">
        <x:f>F54+G54</x:f>
        <x:v>1</x:v>
      </x:c>
      <x:c r="AG54" s="21" t="n">
        <x:f>SUM(J54:O54)</x:f>
        <x:v>72</x:v>
      </x:c>
      <x:c r="AH54" s="17" t="n">
        <x:f>SUM(Q54:S54)</x:f>
        <x:v>5</x:v>
      </x:c>
      <x:c r="AI54" s="17" t="n">
        <x:f>SUM(U54:Y54)</x:f>
        <x:v>0</x:v>
      </x:c>
      <x:c r="AJ54" s="17" t="str">
        <x:f>IF(AE54&lt;=34,"≤34",IF(AE54&lt;=44,"35–44",IF(AE54&lt;=54,"45–54",IF(AE54&lt;=64,"55–64","65+"))))</x:f>
        <x:v>35–44</x:v>
      </x:c>
      <x:c r="AK54" s="17" t="str">
        <x:f>IF(AG54&gt;=1000,"High Value",IF(AG54&gt;=300,"Mid Value","Low Value"))</x:f>
        <x:v>Low Value</x:v>
      </x:c>
      <x:c r="AL54" s="17" t="str">
        <x:f>IF(AND(AI54&gt;=1,I54&lt;=50),"Priority 1",IF(AND(AG54&gt;=1000,I54&lt;=60),"Priority 2",IF(I54&lt;=30,"Priority 3","Nurture")))</x:f>
        <x:v>Nurture</x:v>
      </x:c>
    </x:row>
    <x:row r="55">
      <x:c r="A55" s="16" t="n">
        <x:v>2225</x:v>
      </x:c>
      <x:c r="B55" s="16" t="n">
        <x:v>1977</x:v>
      </x:c>
      <x:c r="C55" s="16" t="str">
        <x:v>Graduation</x:v>
      </x:c>
      <x:c r="D55" s="16" t="str">
        <x:v>Divorced</x:v>
      </x:c>
      <x:c r="E55" s="16" t="n">
        <x:v>82582</x:v>
      </x:c>
      <x:c r="F55" s="16" t="n">
        <x:v>0</x:v>
      </x:c>
      <x:c r="G55" s="16" t="n">
        <x:v>0</x:v>
      </x:c>
      <x:c r="H55" s="16" t="str">
        <x:v>07-06-2014</x:v>
      </x:c>
      <x:c r="I55" s="16" t="n">
        <x:v>54</x:v>
      </x:c>
      <x:c r="J55" s="16" t="n">
        <x:v>510</x:v>
      </x:c>
      <x:c r="K55" s="16" t="n">
        <x:v>120</x:v>
      </x:c>
      <x:c r="L55" s="16" t="n">
        <x:v>550</x:v>
      </x:c>
      <x:c r="M55" s="16" t="n">
        <x:v>156</x:v>
      </x:c>
      <x:c r="N55" s="16" t="n">
        <x:v>40</x:v>
      </x:c>
      <x:c r="O55" s="16" t="n">
        <x:v>241</x:v>
      </x:c>
      <x:c r="P55" s="16" t="n">
        <x:v>1</x:v>
      </x:c>
      <x:c r="Q55" s="16" t="n">
        <x:v>4</x:v>
      </x:c>
      <x:c r="R55" s="16" t="n">
        <x:v>9</x:v>
      </x:c>
      <x:c r="S55" s="16" t="n">
        <x:v>7</x:v>
      </x:c>
      <x:c r="T55" s="16" t="n">
        <x:v>1</x:v>
      </x:c>
      <x:c r="U55" s="16" t="n">
        <x:v>1</x:v>
      </x:c>
      <x:c r="V55" s="16" t="n">
        <x:v>0</x:v>
      </x:c>
      <x:c r="W55" s="16" t="n">
        <x:v>0</x:v>
      </x:c>
      <x:c r="X55" s="16" t="n">
        <x:v>1</x:v>
      </x:c>
      <x:c r="Y55" s="16" t="n">
        <x:v>0</x:v>
      </x:c>
      <x:c r="Z55" s="16" t="n">
        <x:v>0</x:v>
      </x:c>
      <x:c r="AA55" s="16" t="n">
        <x:v>3</x:v>
      </x:c>
      <x:c r="AB55" s="16" t="n">
        <x:v>11</x:v>
      </x:c>
      <x:c r="AC55" s="16" t="n">
        <x:v>1</x:v>
      </x:c>
      <x:c r="AD55" s="21" t="n">
        <x:f>IF(E55="",MEDIAN($E$2:$E$2237),E55)</x:f>
        <x:v>82582</x:v>
      </x:c>
      <x:c r="AE55" s="17" t="n">
        <x:f>2014-B55</x:f>
        <x:v>37</x:v>
      </x:c>
      <x:c r="AF55" s="17" t="n">
        <x:f>F55+G55</x:f>
        <x:v>0</x:v>
      </x:c>
      <x:c r="AG55" s="21" t="n">
        <x:f>SUM(J55:O55)</x:f>
        <x:v>1617</x:v>
      </x:c>
      <x:c r="AH55" s="17" t="n">
        <x:f>SUM(Q55:S55)</x:f>
        <x:v>20</x:v>
      </x:c>
      <x:c r="AI55" s="17" t="n">
        <x:f>SUM(U55:Y55)</x:f>
        <x:v>2</x:v>
      </x:c>
      <x:c r="AJ55" s="17" t="str">
        <x:f>IF(AE55&lt;=34,"≤34",IF(AE55&lt;=44,"35–44",IF(AE55&lt;=54,"45–54",IF(AE55&lt;=64,"55–64","65+"))))</x:f>
        <x:v>35–44</x:v>
      </x:c>
      <x:c r="AK55" s="17" t="str">
        <x:f>IF(AG55&gt;=1000,"High Value",IF(AG55&gt;=300,"Mid Value","Low Value"))</x:f>
        <x:v>High Value</x:v>
      </x:c>
      <x:c r="AL55" s="17" t="str">
        <x:f>IF(AND(AI55&gt;=1,I55&lt;=50),"Priority 1",IF(AND(AG55&gt;=1000,I55&lt;=60),"Priority 2",IF(I55&lt;=30,"Priority 3","Nurture")))</x:f>
        <x:v>Priority 2</x:v>
      </x:c>
    </x:row>
    <x:row r="56">
      <x:c r="A56" s="16" t="n">
        <x:v>9381</x:v>
      </x:c>
      <x:c r="B56" s="16" t="n">
        <x:v>1978</x:v>
      </x:c>
      <x:c r="C56" s="16" t="str">
        <x:v>Graduation</x:v>
      </x:c>
      <x:c r="D56" s="16" t="str">
        <x:v>Married</x:v>
      </x:c>
      <x:c r="E56" s="16" t="n">
        <x:v>66373</x:v>
      </x:c>
      <x:c r="F56" s="16" t="n">
        <x:v>1</x:v>
      </x:c>
      <x:c r="G56" s="16" t="n">
        <x:v>1</x:v>
      </x:c>
      <x:c r="H56" s="16" t="str">
        <x:v>12-06-2013</x:v>
      </x:c>
      <x:c r="I56" s="16" t="n">
        <x:v>57</x:v>
      </x:c>
      <x:c r="J56" s="16" t="n">
        <x:v>328</x:v>
      </x:c>
      <x:c r="K56" s="16" t="n">
        <x:v>9</x:v>
      </x:c>
      <x:c r="L56" s="16" t="n">
        <x:v>124</x:v>
      </x:c>
      <x:c r="M56" s="16" t="n">
        <x:v>12</x:v>
      </x:c>
      <x:c r="N56" s="16" t="n">
        <x:v>24</x:v>
      </x:c>
      <x:c r="O56" s="16" t="n">
        <x:v>109</x:v>
      </x:c>
      <x:c r="P56" s="16" t="n">
        <x:v>7</x:v>
      </x:c>
      <x:c r="Q56" s="16" t="n">
        <x:v>4</x:v>
      </x:c>
      <x:c r="R56" s="16" t="n">
        <x:v>2</x:v>
      </x:c>
      <x:c r="S56" s="16" t="n">
        <x:v>10</x:v>
      </x:c>
      <x:c r="T56" s="16" t="n">
        <x:v>3</x:v>
      </x:c>
      <x:c r="U56" s="16" t="n">
        <x:v>0</x:v>
      </x:c>
      <x:c r="V56" s="16" t="n">
        <x:v>0</x:v>
      </x:c>
      <x:c r="W56" s="16" t="n">
        <x:v>0</x:v>
      </x:c>
      <x:c r="X56" s="16" t="n">
        <x:v>0</x:v>
      </x:c>
      <x:c r="Y56" s="16" t="n">
        <x:v>0</x:v>
      </x:c>
      <x:c r="Z56" s="16" t="n">
        <x:v>0</x:v>
      </x:c>
      <x:c r="AA56" s="16" t="n">
        <x:v>3</x:v>
      </x:c>
      <x:c r="AB56" s="16" t="n">
        <x:v>11</x:v>
      </x:c>
      <x:c r="AC56" s="16" t="n">
        <x:v>0</x:v>
      </x:c>
      <x:c r="AD56" s="21" t="n">
        <x:f>IF(E56="",MEDIAN($E$2:$E$2237),E56)</x:f>
        <x:v>66373</x:v>
      </x:c>
      <x:c r="AE56" s="17" t="n">
        <x:f>2014-B56</x:f>
        <x:v>36</x:v>
      </x:c>
      <x:c r="AF56" s="17" t="n">
        <x:f>F56+G56</x:f>
        <x:v>2</x:v>
      </x:c>
      <x:c r="AG56" s="21" t="n">
        <x:f>SUM(J56:O56)</x:f>
        <x:v>606</x:v>
      </x:c>
      <x:c r="AH56" s="17" t="n">
        <x:f>SUM(Q56:S56)</x:f>
        <x:v>16</x:v>
      </x:c>
      <x:c r="AI56" s="17" t="n">
        <x:f>SUM(U56:Y56)</x:f>
        <x:v>0</x:v>
      </x:c>
      <x:c r="AJ56" s="17" t="str">
        <x:f>IF(AE56&lt;=34,"≤34",IF(AE56&lt;=44,"35–44",IF(AE56&lt;=54,"45–54",IF(AE56&lt;=64,"55–64","65+"))))</x:f>
        <x:v>35–44</x:v>
      </x:c>
      <x:c r="AK56" s="17" t="str">
        <x:f>IF(AG56&gt;=1000,"High Value",IF(AG56&gt;=300,"Mid Value","Low Value"))</x:f>
        <x:v>Mid Value</x:v>
      </x:c>
      <x:c r="AL56" s="17" t="str">
        <x:f>IF(AND(AI56&gt;=1,I56&lt;=50),"Priority 1",IF(AND(AG56&gt;=1000,I56&lt;=60),"Priority 2",IF(I56&lt;=30,"Priority 3","Nurture")))</x:f>
        <x:v>Nurture</x:v>
      </x:c>
    </x:row>
    <x:row r="57">
      <x:c r="A57" s="16" t="n">
        <x:v>6260</x:v>
      </x:c>
      <x:c r="B57" s="16" t="n">
        <x:v>1955</x:v>
      </x:c>
      <x:c r="C57" s="16" t="str">
        <x:v>Master</x:v>
      </x:c>
      <x:c r="D57" s="16" t="str">
        <x:v>Together</x:v>
      </x:c>
      <x:c r="E57" s="16" t="n">
        <x:v>82384</x:v>
      </x:c>
      <x:c r="F57" s="16" t="n">
        <x:v>0</x:v>
      </x:c>
      <x:c r="G57" s="16" t="n">
        <x:v>0</x:v>
      </x:c>
      <x:c r="H57" s="16" t="str">
        <x:v>19-11-2012</x:v>
      </x:c>
      <x:c r="I57" s="16" t="n">
        <x:v>55</x:v>
      </x:c>
      <x:c r="J57" s="16" t="n">
        <x:v>984</x:v>
      </x:c>
      <x:c r="K57" s="16" t="n">
        <x:v>51</x:v>
      </x:c>
      <x:c r="L57" s="16" t="n">
        <x:v>432</x:v>
      </x:c>
      <x:c r="M57" s="16" t="n">
        <x:v>180</x:v>
      </x:c>
      <x:c r="N57" s="16" t="n">
        <x:v>120</x:v>
      </x:c>
      <x:c r="O57" s="16" t="n">
        <x:v>190</x:v>
      </x:c>
      <x:c r="P57" s="16" t="n">
        <x:v>1</x:v>
      </x:c>
      <x:c r="Q57" s="16" t="n">
        <x:v>3</x:v>
      </x:c>
      <x:c r="R57" s="16" t="n">
        <x:v>10</x:v>
      </x:c>
      <x:c r="S57" s="16" t="n">
        <x:v>13</x:v>
      </x:c>
      <x:c r="T57" s="16" t="n">
        <x:v>1</x:v>
      </x:c>
      <x:c r="U57" s="16" t="n">
        <x:v>0</x:v>
      </x:c>
      <x:c r="V57" s="16" t="n">
        <x:v>0</x:v>
      </x:c>
      <x:c r="W57" s="16" t="n">
        <x:v>1</x:v>
      </x:c>
      <x:c r="X57" s="16" t="n">
        <x:v>0</x:v>
      </x:c>
      <x:c r="Y57" s="16" t="n">
        <x:v>0</x:v>
      </x:c>
      <x:c r="Z57" s="16" t="n">
        <x:v>0</x:v>
      </x:c>
      <x:c r="AA57" s="16" t="n">
        <x:v>3</x:v>
      </x:c>
      <x:c r="AB57" s="16" t="n">
        <x:v>11</x:v>
      </x:c>
      <x:c r="AC57" s="16" t="n">
        <x:v>1</x:v>
      </x:c>
      <x:c r="AD57" s="21" t="n">
        <x:f>IF(E57="",MEDIAN($E$2:$E$2237),E57)</x:f>
        <x:v>82384</x:v>
      </x:c>
      <x:c r="AE57" s="17" t="n">
        <x:f>2014-B57</x:f>
        <x:v>59</x:v>
      </x:c>
      <x:c r="AF57" s="17" t="n">
        <x:f>F57+G57</x:f>
        <x:v>0</x:v>
      </x:c>
      <x:c r="AG57" s="21" t="n">
        <x:f>SUM(J57:O57)</x:f>
        <x:v>1957</x:v>
      </x:c>
      <x:c r="AH57" s="17" t="n">
        <x:f>SUM(Q57:S57)</x:f>
        <x:v>26</x:v>
      </x:c>
      <x:c r="AI57" s="17" t="n">
        <x:f>SUM(U57:Y57)</x:f>
        <x:v>1</x:v>
      </x:c>
      <x:c r="AJ57" s="17" t="str">
        <x:f>IF(AE57&lt;=34,"≤34",IF(AE57&lt;=44,"35–44",IF(AE57&lt;=54,"45–54",IF(AE57&lt;=64,"55–64","65+"))))</x:f>
        <x:v>55–64</x:v>
      </x:c>
      <x:c r="AK57" s="17" t="str">
        <x:f>IF(AG57&gt;=1000,"High Value",IF(AG57&gt;=300,"Mid Value","Low Value"))</x:f>
        <x:v>High Value</x:v>
      </x:c>
      <x:c r="AL57" s="17" t="str">
        <x:f>IF(AND(AI57&gt;=1,I57&lt;=50),"Priority 1",IF(AND(AG57&gt;=1000,I57&lt;=60),"Priority 2",IF(I57&lt;=30,"Priority 3","Nurture")))</x:f>
        <x:v>Priority 2</x:v>
      </x:c>
    </x:row>
    <x:row r="58">
      <x:c r="A58" s="16" t="n">
        <x:v>10383</x:v>
      </x:c>
      <x:c r="B58" s="16" t="n">
        <x:v>1966</x:v>
      </x:c>
      <x:c r="C58" s="16" t="str">
        <x:v>Graduation</x:v>
      </x:c>
      <x:c r="D58" s="16" t="str">
        <x:v>Divorced</x:v>
      </x:c>
      <x:c r="E58" s="16" t="n">
        <x:v>70287</x:v>
      </x:c>
      <x:c r="F58" s="16" t="n">
        <x:v>0</x:v>
      </x:c>
      <x:c r="G58" s="16" t="n">
        <x:v>0</x:v>
      </x:c>
      <x:c r="H58" s="16" t="str">
        <x:v>02-04-2013</x:v>
      </x:c>
      <x:c r="I58" s="16" t="n">
        <x:v>30</x:v>
      </x:c>
      <x:c r="J58" s="16" t="n">
        <x:v>295</x:v>
      </x:c>
      <x:c r="K58" s="16" t="n">
        <x:v>35</x:v>
      </x:c>
      <x:c r="L58" s="16" t="n">
        <x:v>482</x:v>
      </x:c>
      <x:c r="M58" s="16" t="n">
        <x:v>121</x:v>
      </x:c>
      <x:c r="N58" s="16" t="n">
        <x:v>120</x:v>
      </x:c>
      <x:c r="O58" s="16" t="n">
        <x:v>40</x:v>
      </x:c>
      <x:c r="P58" s="16" t="n">
        <x:v>1</x:v>
      </x:c>
      <x:c r="Q58" s="16" t="n">
        <x:v>5</x:v>
      </x:c>
      <x:c r="R58" s="16" t="n">
        <x:v>5</x:v>
      </x:c>
      <x:c r="S58" s="16" t="n">
        <x:v>10</x:v>
      </x:c>
      <x:c r="T58" s="16" t="n">
        <x:v>3</x:v>
      </x:c>
      <x:c r="U58" s="16" t="n">
        <x:v>0</x:v>
      </x:c>
      <x:c r="V58" s="16" t="n">
        <x:v>0</x:v>
      </x:c>
      <x:c r="W58" s="16" t="n">
        <x:v>0</x:v>
      </x:c>
      <x:c r="X58" s="16" t="n">
        <x:v>0</x:v>
      </x:c>
      <x:c r="Y58" s="16" t="n">
        <x:v>0</x:v>
      </x:c>
      <x:c r="Z58" s="16" t="n">
        <x:v>0</x:v>
      </x:c>
      <x:c r="AA58" s="16" t="n">
        <x:v>3</x:v>
      </x:c>
      <x:c r="AB58" s="16" t="n">
        <x:v>11</x:v>
      </x:c>
      <x:c r="AC58" s="16" t="n">
        <x:v>1</x:v>
      </x:c>
      <x:c r="AD58" s="21" t="n">
        <x:f>IF(E58="",MEDIAN($E$2:$E$2237),E58)</x:f>
        <x:v>70287</x:v>
      </x:c>
      <x:c r="AE58" s="17" t="n">
        <x:f>2014-B58</x:f>
        <x:v>48</x:v>
      </x:c>
      <x:c r="AF58" s="17" t="n">
        <x:f>F58+G58</x:f>
        <x:v>0</x:v>
      </x:c>
      <x:c r="AG58" s="21" t="n">
        <x:f>SUM(J58:O58)</x:f>
        <x:v>1093</x:v>
      </x:c>
      <x:c r="AH58" s="17" t="n">
        <x:f>SUM(Q58:S58)</x:f>
        <x:v>20</x:v>
      </x:c>
      <x:c r="AI58" s="17" t="n">
        <x:f>SUM(U58:Y58)</x:f>
        <x:v>0</x:v>
      </x:c>
      <x:c r="AJ58" s="17" t="str">
        <x:f>IF(AE58&lt;=34,"≤34",IF(AE58&lt;=44,"35–44",IF(AE58&lt;=54,"45–54",IF(AE58&lt;=64,"55–64","65+"))))</x:f>
        <x:v>45–54</x:v>
      </x:c>
      <x:c r="AK58" s="17" t="str">
        <x:f>IF(AG58&gt;=1000,"High Value",IF(AG58&gt;=300,"Mid Value","Low Value"))</x:f>
        <x:v>High Value</x:v>
      </x:c>
      <x:c r="AL58" s="17" t="str">
        <x:f>IF(AND(AI58&gt;=1,I58&lt;=50),"Priority 1",IF(AND(AG58&gt;=1000,I58&lt;=60),"Priority 2",IF(I58&lt;=30,"Priority 3","Nurture")))</x:f>
        <x:v>Priority 2</x:v>
      </x:c>
    </x:row>
    <x:row r="59">
      <x:c r="A59" s="16" t="n">
        <x:v>7437</x:v>
      </x:c>
      <x:c r="B59" s="16" t="n">
        <x:v>1988</x:v>
      </x:c>
      <x:c r="C59" s="16" t="str">
        <x:v>Graduation</x:v>
      </x:c>
      <x:c r="D59" s="16" t="str">
        <x:v>Single</x:v>
      </x:c>
      <x:c r="E59" s="16" t="n">
        <x:v>27938</x:v>
      </x:c>
      <x:c r="F59" s="16" t="n">
        <x:v>1</x:v>
      </x:c>
      <x:c r="G59" s="16" t="n">
        <x:v>0</x:v>
      </x:c>
      <x:c r="H59" s="16" t="str">
        <x:v>28-04-2014</x:v>
      </x:c>
      <x:c r="I59" s="16" t="n">
        <x:v>31</x:v>
      </x:c>
      <x:c r="J59" s="16" t="n">
        <x:v>13</x:v>
      </x:c>
      <x:c r="K59" s="16" t="n">
        <x:v>0</x:v>
      </x:c>
      <x:c r="L59" s="16" t="n">
        <x:v>8</x:v>
      </x:c>
      <x:c r="M59" s="16" t="n">
        <x:v>2</x:v>
      </x:c>
      <x:c r="N59" s="16" t="n">
        <x:v>1</x:v>
      </x:c>
      <x:c r="O59" s="16" t="n">
        <x:v>5</x:v>
      </x:c>
      <x:c r="P59" s="16" t="n">
        <x:v>1</x:v>
      </x:c>
      <x:c r="Q59" s="16" t="n">
        <x:v>1</x:v>
      </x:c>
      <x:c r="R59" s="16" t="n">
        <x:v>0</x:v>
      </x:c>
      <x:c r="S59" s="16" t="n">
        <x:v>4</x:v>
      </x:c>
      <x:c r="T59" s="16" t="n">
        <x:v>3</x:v>
      </x:c>
      <x:c r="U59" s="16" t="n">
        <x:v>0</x:v>
      </x:c>
      <x:c r="V59" s="16" t="n">
        <x:v>0</x:v>
      </x:c>
      <x:c r="W59" s="16" t="n">
        <x:v>0</x:v>
      </x:c>
      <x:c r="X59" s="16" t="n">
        <x:v>0</x:v>
      </x:c>
      <x:c r="Y59" s="16" t="n">
        <x:v>0</x:v>
      </x:c>
      <x:c r="Z59" s="16" t="n">
        <x:v>0</x:v>
      </x:c>
      <x:c r="AA59" s="16" t="n">
        <x:v>3</x:v>
      </x:c>
      <x:c r="AB59" s="16" t="n">
        <x:v>11</x:v>
      </x:c>
      <x:c r="AC59" s="16" t="n">
        <x:v>0</x:v>
      </x:c>
      <x:c r="AD59" s="21" t="n">
        <x:f>IF(E59="",MEDIAN($E$2:$E$2237),E59)</x:f>
        <x:v>27938</x:v>
      </x:c>
      <x:c r="AE59" s="17" t="n">
        <x:f>2014-B59</x:f>
        <x:v>26</x:v>
      </x:c>
      <x:c r="AF59" s="17" t="n">
        <x:f>F59+G59</x:f>
        <x:v>1</x:v>
      </x:c>
      <x:c r="AG59" s="21" t="n">
        <x:f>SUM(J59:O59)</x:f>
        <x:v>29</x:v>
      </x:c>
      <x:c r="AH59" s="17" t="n">
        <x:f>SUM(Q59:S59)</x:f>
        <x:v>5</x:v>
      </x:c>
      <x:c r="AI59" s="17" t="n">
        <x:f>SUM(U59:Y59)</x:f>
        <x:v>0</x:v>
      </x:c>
      <x:c r="AJ59" s="17" t="str">
        <x:f>IF(AE59&lt;=34,"≤34",IF(AE59&lt;=44,"35–44",IF(AE59&lt;=54,"45–54",IF(AE59&lt;=64,"55–64","65+"))))</x:f>
        <x:v>≤34</x:v>
      </x:c>
      <x:c r="AK59" s="17" t="str">
        <x:f>IF(AG59&gt;=1000,"High Value",IF(AG59&gt;=300,"Mid Value","Low Value"))</x:f>
        <x:v>Low Value</x:v>
      </x:c>
      <x:c r="AL59" s="17" t="str">
        <x:f>IF(AND(AI59&gt;=1,I59&lt;=50),"Priority 1",IF(AND(AG59&gt;=1000,I59&lt;=60),"Priority 2",IF(I59&lt;=30,"Priority 3","Nurture")))</x:f>
        <x:v>Nurture</x:v>
      </x:c>
    </x:row>
    <x:row r="60">
      <x:c r="A60" s="16" t="n">
        <x:v>8557</x:v>
      </x:c>
      <x:c r="B60" s="16" t="n">
        <x:v>1982</x:v>
      </x:c>
      <x:c r="C60" s="16" t="str">
        <x:v>Graduation</x:v>
      </x:c>
      <x:c r="D60" s="16" t="str">
        <x:v>Single</x:v>
      </x:c>
      <x:c r="E60" s="16"/>
      <x:c r="F60" s="16" t="n">
        <x:v>1</x:v>
      </x:c>
      <x:c r="G60" s="16" t="n">
        <x:v>0</x:v>
      </x:c>
      <x:c r="H60" s="16" t="str">
        <x:v>17-06-2013</x:v>
      </x:c>
      <x:c r="I60" s="16" t="n">
        <x:v>57</x:v>
      </x:c>
      <x:c r="J60" s="16" t="n">
        <x:v>11</x:v>
      </x:c>
      <x:c r="K60" s="16" t="n">
        <x:v>3</x:v>
      </x:c>
      <x:c r="L60" s="16" t="n">
        <x:v>22</x:v>
      </x:c>
      <x:c r="M60" s="16" t="n">
        <x:v>2</x:v>
      </x:c>
      <x:c r="N60" s="16" t="n">
        <x:v>2</x:v>
      </x:c>
      <x:c r="O60" s="16" t="n">
        <x:v>6</x:v>
      </x:c>
      <x:c r="P60" s="16" t="n">
        <x:v>2</x:v>
      </x:c>
      <x:c r="Q60" s="16" t="n">
        <x:v>2</x:v>
      </x:c>
      <x:c r="R60" s="16" t="n">
        <x:v>0</x:v>
      </x:c>
      <x:c r="S60" s="16" t="n">
        <x:v>3</x:v>
      </x:c>
      <x:c r="T60" s="16" t="n">
        <x:v>6</x:v>
      </x:c>
      <x:c r="U60" s="16" t="n">
        <x:v>0</x:v>
      </x:c>
      <x:c r="V60" s="16" t="n">
        <x:v>0</x:v>
      </x:c>
      <x:c r="W60" s="16" t="n">
        <x:v>0</x:v>
      </x:c>
      <x:c r="X60" s="16" t="n">
        <x:v>0</x:v>
      </x:c>
      <x:c r="Y60" s="16" t="n">
        <x:v>0</x:v>
      </x:c>
      <x:c r="Z60" s="16" t="n">
        <x:v>0</x:v>
      </x:c>
      <x:c r="AA60" s="16" t="n">
        <x:v>3</x:v>
      </x:c>
      <x:c r="AB60" s="16" t="n">
        <x:v>11</x:v>
      </x:c>
      <x:c r="AC60" s="16" t="n">
        <x:v>0</x:v>
      </x:c>
      <x:c r="AD60" s="21" t="n">
        <x:f>IF(E60="",MEDIAN($E$2:$E$2237),E60)</x:f>
        <x:v>51371</x:v>
      </x:c>
      <x:c r="AE60" s="17" t="n">
        <x:f>2014-B60</x:f>
        <x:v>32</x:v>
      </x:c>
      <x:c r="AF60" s="17" t="n">
        <x:f>F60+G60</x:f>
        <x:v>1</x:v>
      </x:c>
      <x:c r="AG60" s="21" t="n">
        <x:f>SUM(J60:O60)</x:f>
        <x:v>46</x:v>
      </x:c>
      <x:c r="AH60" s="17" t="n">
        <x:f>SUM(Q60:S60)</x:f>
        <x:v>5</x:v>
      </x:c>
      <x:c r="AI60" s="17" t="n">
        <x:f>SUM(U60:Y60)</x:f>
        <x:v>0</x:v>
      </x:c>
      <x:c r="AJ60" s="17" t="str">
        <x:f>IF(AE60&lt;=34,"≤34",IF(AE60&lt;=44,"35–44",IF(AE60&lt;=54,"45–54",IF(AE60&lt;=64,"55–64","65+"))))</x:f>
        <x:v>≤34</x:v>
      </x:c>
      <x:c r="AK60" s="17" t="str">
        <x:f>IF(AG60&gt;=1000,"High Value",IF(AG60&gt;=300,"Mid Value","Low Value"))</x:f>
        <x:v>Low Value</x:v>
      </x:c>
      <x:c r="AL60" s="17" t="str">
        <x:f>IF(AND(AI60&gt;=1,I60&lt;=50),"Priority 1",IF(AND(AG60&gt;=1000,I60&lt;=60),"Priority 2",IF(I60&lt;=30,"Priority 3","Nurture")))</x:f>
        <x:v>Nurture</x:v>
      </x:c>
    </x:row>
    <x:row r="61">
      <x:c r="A61" s="16" t="n">
        <x:v>8375</x:v>
      </x:c>
      <x:c r="B61" s="16" t="n">
        <x:v>1968</x:v>
      </x:c>
      <x:c r="C61" s="16" t="str">
        <x:v>PhD</x:v>
      </x:c>
      <x:c r="D61" s="16" t="str">
        <x:v>Married</x:v>
      </x:c>
      <x:c r="E61" s="16" t="n">
        <x:v>55954</x:v>
      </x:c>
      <x:c r="F61" s="16" t="n">
        <x:v>0</x:v>
      </x:c>
      <x:c r="G61" s="16" t="n">
        <x:v>1</x:v>
      </x:c>
      <x:c r="H61" s="16" t="str">
        <x:v>03-03-2014</x:v>
      </x:c>
      <x:c r="I61" s="16" t="n">
        <x:v>63</x:v>
      </x:c>
      <x:c r="J61" s="16" t="n">
        <x:v>447</x:v>
      </x:c>
      <x:c r="K61" s="16" t="n">
        <x:v>0</x:v>
      </x:c>
      <x:c r="L61" s="16" t="n">
        <x:v>28</x:v>
      </x:c>
      <x:c r="M61" s="16" t="n">
        <x:v>0</x:v>
      </x:c>
      <x:c r="N61" s="16" t="n">
        <x:v>0</x:v>
      </x:c>
      <x:c r="O61" s="16" t="n">
        <x:v>43</x:v>
      </x:c>
      <x:c r="P61" s="16" t="n">
        <x:v>3</x:v>
      </x:c>
      <x:c r="Q61" s="16" t="n">
        <x:v>8</x:v>
      </x:c>
      <x:c r="R61" s="16" t="n">
        <x:v>2</x:v>
      </x:c>
      <x:c r="S61" s="16" t="n">
        <x:v>6</x:v>
      </x:c>
      <x:c r="T61" s="16" t="n">
        <x:v>7</x:v>
      </x:c>
      <x:c r="U61" s="16" t="n">
        <x:v>0</x:v>
      </x:c>
      <x:c r="V61" s="16" t="n">
        <x:v>0</x:v>
      </x:c>
      <x:c r="W61" s="16" t="n">
        <x:v>0</x:v>
      </x:c>
      <x:c r="X61" s="16" t="n">
        <x:v>0</x:v>
      </x:c>
      <x:c r="Y61" s="16" t="n">
        <x:v>0</x:v>
      </x:c>
      <x:c r="Z61" s="16" t="n">
        <x:v>0</x:v>
      </x:c>
      <x:c r="AA61" s="16" t="n">
        <x:v>3</x:v>
      </x:c>
      <x:c r="AB61" s="16" t="n">
        <x:v>11</x:v>
      </x:c>
      <x:c r="AC61" s="16" t="n">
        <x:v>0</x:v>
      </x:c>
      <x:c r="AD61" s="21" t="n">
        <x:f>IF(E61="",MEDIAN($E$2:$E$2237),E61)</x:f>
        <x:v>55954</x:v>
      </x:c>
      <x:c r="AE61" s="17" t="n">
        <x:f>2014-B61</x:f>
        <x:v>46</x:v>
      </x:c>
      <x:c r="AF61" s="17" t="n">
        <x:f>F61+G61</x:f>
        <x:v>1</x:v>
      </x:c>
      <x:c r="AG61" s="21" t="n">
        <x:f>SUM(J61:O61)</x:f>
        <x:v>518</x:v>
      </x:c>
      <x:c r="AH61" s="17" t="n">
        <x:f>SUM(Q61:S61)</x:f>
        <x:v>16</x:v>
      </x:c>
      <x:c r="AI61" s="17" t="n">
        <x:f>SUM(U61:Y61)</x:f>
        <x:v>0</x:v>
      </x:c>
      <x:c r="AJ61" s="17" t="str">
        <x:f>IF(AE61&lt;=34,"≤34",IF(AE61&lt;=44,"35–44",IF(AE61&lt;=54,"45–54",IF(AE61&lt;=64,"55–64","65+"))))</x:f>
        <x:v>45–54</x:v>
      </x:c>
      <x:c r="AK61" s="17" t="str">
        <x:f>IF(AG61&gt;=1000,"High Value",IF(AG61&gt;=300,"Mid Value","Low Value"))</x:f>
        <x:v>Mid Value</x:v>
      </x:c>
      <x:c r="AL61" s="17" t="str">
        <x:f>IF(AND(AI61&gt;=1,I61&lt;=50),"Priority 1",IF(AND(AG61&gt;=1000,I61&lt;=60),"Priority 2",IF(I61&lt;=30,"Priority 3","Nurture")))</x:f>
        <x:v>Nurture</x:v>
      </x:c>
    </x:row>
    <x:row r="62">
      <x:c r="A62" s="16" t="n">
        <x:v>6853</x:v>
      </x:c>
      <x:c r="B62" s="16" t="n">
        <x:v>1982</x:v>
      </x:c>
      <x:c r="C62" s="16" t="str">
        <x:v>Master</x:v>
      </x:c>
      <x:c r="D62" s="16" t="str">
        <x:v>Single</x:v>
      </x:c>
      <x:c r="E62" s="16" t="n">
        <x:v>75777</x:v>
      </x:c>
      <x:c r="F62" s="16" t="n">
        <x:v>0</x:v>
      </x:c>
      <x:c r="G62" s="16" t="n">
        <x:v>0</x:v>
      </x:c>
      <x:c r="H62" s="16" t="str">
        <x:v>04-07-2013</x:v>
      </x:c>
      <x:c r="I62" s="16" t="n">
        <x:v>12</x:v>
      </x:c>
      <x:c r="J62" s="16" t="n">
        <x:v>712</x:v>
      </x:c>
      <x:c r="K62" s="16" t="n">
        <x:v>26</x:v>
      </x:c>
      <x:c r="L62" s="16" t="n">
        <x:v>538</x:v>
      </x:c>
      <x:c r="M62" s="16" t="n">
        <x:v>69</x:v>
      </x:c>
      <x:c r="N62" s="16" t="n">
        <x:v>13</x:v>
      </x:c>
      <x:c r="O62" s="16" t="n">
        <x:v>80</x:v>
      </x:c>
      <x:c r="P62" s="16" t="n">
        <x:v>1</x:v>
      </x:c>
      <x:c r="Q62" s="16" t="n">
        <x:v>3</x:v>
      </x:c>
      <x:c r="R62" s="16" t="n">
        <x:v>6</x:v>
      </x:c>
      <x:c r="S62" s="16" t="n">
        <x:v>11</x:v>
      </x:c>
      <x:c r="T62" s="16" t="n">
        <x:v>1</x:v>
      </x:c>
      <x:c r="U62" s="16" t="n">
        <x:v>0</x:v>
      </x:c>
      <x:c r="V62" s="16" t="n">
        <x:v>1</x:v>
      </x:c>
      <x:c r="W62" s="16" t="n">
        <x:v>1</x:v>
      </x:c>
      <x:c r="X62" s="16" t="n">
        <x:v>0</x:v>
      </x:c>
      <x:c r="Y62" s="16" t="n">
        <x:v>0</x:v>
      </x:c>
      <x:c r="Z62" s="16" t="n">
        <x:v>0</x:v>
      </x:c>
      <x:c r="AA62" s="16" t="n">
        <x:v>3</x:v>
      </x:c>
      <x:c r="AB62" s="16" t="n">
        <x:v>11</x:v>
      </x:c>
      <x:c r="AC62" s="16" t="n">
        <x:v>1</x:v>
      </x:c>
      <x:c r="AD62" s="21" t="n">
        <x:f>IF(E62="",MEDIAN($E$2:$E$2237),E62)</x:f>
        <x:v>75777</x:v>
      </x:c>
      <x:c r="AE62" s="17" t="n">
        <x:f>2014-B62</x:f>
        <x:v>32</x:v>
      </x:c>
      <x:c r="AF62" s="17" t="n">
        <x:f>F62+G62</x:f>
        <x:v>0</x:v>
      </x:c>
      <x:c r="AG62" s="21" t="n">
        <x:f>SUM(J62:O62)</x:f>
        <x:v>1438</x:v>
      </x:c>
      <x:c r="AH62" s="17" t="n">
        <x:f>SUM(Q62:S62)</x:f>
        <x:v>20</x:v>
      </x:c>
      <x:c r="AI62" s="17" t="n">
        <x:f>SUM(U62:Y62)</x:f>
        <x:v>2</x:v>
      </x:c>
      <x:c r="AJ62" s="17" t="str">
        <x:f>IF(AE62&lt;=34,"≤34",IF(AE62&lt;=44,"35–44",IF(AE62&lt;=54,"45–54",IF(AE62&lt;=64,"55–64","65+"))))</x:f>
        <x:v>≤34</x:v>
      </x:c>
      <x:c r="AK62" s="17" t="str">
        <x:f>IF(AG62&gt;=1000,"High Value",IF(AG62&gt;=300,"Mid Value","Low Value"))</x:f>
        <x:v>High Value</x:v>
      </x:c>
      <x:c r="AL62" s="17" t="str">
        <x:f>IF(AND(AI62&gt;=1,I62&lt;=50),"Priority 1",IF(AND(AG62&gt;=1000,I62&lt;=60),"Priority 2",IF(I62&lt;=30,"Priority 3","Nurture")))</x:f>
        <x:v>Priority 1</x:v>
      </x:c>
    </x:row>
    <x:row r="63">
      <x:c r="A63" s="16" t="n">
        <x:v>3076</x:v>
      </x:c>
      <x:c r="B63" s="16" t="n">
        <x:v>1975</x:v>
      </x:c>
      <x:c r="C63" s="16" t="str">
        <x:v>Graduation</x:v>
      </x:c>
      <x:c r="D63" s="16" t="str">
        <x:v>Together</x:v>
      </x:c>
      <x:c r="E63" s="16" t="n">
        <x:v>66653</x:v>
      </x:c>
      <x:c r="F63" s="16" t="n">
        <x:v>1</x:v>
      </x:c>
      <x:c r="G63" s="16" t="n">
        <x:v>1</x:v>
      </x:c>
      <x:c r="H63" s="16" t="str">
        <x:v>07-09-2012</x:v>
      </x:c>
      <x:c r="I63" s="16" t="n">
        <x:v>18</x:v>
      </x:c>
      <x:c r="J63" s="16" t="n">
        <x:v>452</x:v>
      </x:c>
      <x:c r="K63" s="16" t="n">
        <x:v>18</x:v>
      </x:c>
      <x:c r="L63" s="16" t="n">
        <x:v>102</x:v>
      </x:c>
      <x:c r="M63" s="16" t="n">
        <x:v>16</x:v>
      </x:c>
      <x:c r="N63" s="16" t="n">
        <x:v>18</x:v>
      </x:c>
      <x:c r="O63" s="16" t="n">
        <x:v>6</x:v>
      </x:c>
      <x:c r="P63" s="16" t="n">
        <x:v>4</x:v>
      </x:c>
      <x:c r="Q63" s="16" t="n">
        <x:v>4</x:v>
      </x:c>
      <x:c r="R63" s="16" t="n">
        <x:v>2</x:v>
      </x:c>
      <x:c r="S63" s="16" t="n">
        <x:v>12</x:v>
      </x:c>
      <x:c r="T63" s="16" t="n">
        <x:v>3</x:v>
      </x:c>
      <x:c r="U63" s="16" t="n">
        <x:v>0</x:v>
      </x:c>
      <x:c r="V63" s="16" t="n">
        <x:v>0</x:v>
      </x:c>
      <x:c r="W63" s="16" t="n">
        <x:v>0</x:v>
      </x:c>
      <x:c r="X63" s="16" t="n">
        <x:v>0</x:v>
      </x:c>
      <x:c r="Y63" s="16" t="n">
        <x:v>0</x:v>
      </x:c>
      <x:c r="Z63" s="16" t="n">
        <x:v>0</x:v>
      </x:c>
      <x:c r="AA63" s="16" t="n">
        <x:v>3</x:v>
      </x:c>
      <x:c r="AB63" s="16" t="n">
        <x:v>11</x:v>
      </x:c>
      <x:c r="AC63" s="16" t="n">
        <x:v>0</x:v>
      </x:c>
      <x:c r="AD63" s="21" t="n">
        <x:f>IF(E63="",MEDIAN($E$2:$E$2237),E63)</x:f>
        <x:v>66653</x:v>
      </x:c>
      <x:c r="AE63" s="17" t="n">
        <x:f>2014-B63</x:f>
        <x:v>39</x:v>
      </x:c>
      <x:c r="AF63" s="17" t="n">
        <x:f>F63+G63</x:f>
        <x:v>2</x:v>
      </x:c>
      <x:c r="AG63" s="21" t="n">
        <x:f>SUM(J63:O63)</x:f>
        <x:v>612</x:v>
      </x:c>
      <x:c r="AH63" s="17" t="n">
        <x:f>SUM(Q63:S63)</x:f>
        <x:v>18</x:v>
      </x:c>
      <x:c r="AI63" s="17" t="n">
        <x:f>SUM(U63:Y63)</x:f>
        <x:v>0</x:v>
      </x:c>
      <x:c r="AJ63" s="17" t="str">
        <x:f>IF(AE63&lt;=34,"≤34",IF(AE63&lt;=44,"35–44",IF(AE63&lt;=54,"45–54",IF(AE63&lt;=64,"55–64","65+"))))</x:f>
        <x:v>35–44</x:v>
      </x:c>
      <x:c r="AK63" s="17" t="str">
        <x:f>IF(AG63&gt;=1000,"High Value",IF(AG63&gt;=300,"Mid Value","Low Value"))</x:f>
        <x:v>Mid Value</x:v>
      </x:c>
      <x:c r="AL63" s="17" t="str">
        <x:f>IF(AND(AI63&gt;=1,I63&lt;=50),"Priority 1",IF(AND(AG63&gt;=1000,I63&lt;=60),"Priority 2",IF(I63&lt;=30,"Priority 3","Nurture")))</x:f>
        <x:v>Priority 3</x:v>
      </x:c>
    </x:row>
    <x:row r="64">
      <x:c r="A64" s="16" t="n">
        <x:v>1012</x:v>
      </x:c>
      <x:c r="B64" s="16" t="n">
        <x:v>1952</x:v>
      </x:c>
      <x:c r="C64" s="16" t="str">
        <x:v>Graduation</x:v>
      </x:c>
      <x:c r="D64" s="16" t="str">
        <x:v>Single</x:v>
      </x:c>
      <x:c r="E64" s="16" t="n">
        <x:v>61823</x:v>
      </x:c>
      <x:c r="F64" s="16" t="n">
        <x:v>0</x:v>
      </x:c>
      <x:c r="G64" s="16" t="n">
        <x:v>1</x:v>
      </x:c>
      <x:c r="H64" s="16" t="str">
        <x:v>18-02-2013</x:v>
      </x:c>
      <x:c r="I64" s="16" t="n">
        <x:v>26</x:v>
      </x:c>
      <x:c r="J64" s="16" t="n">
        <x:v>523</x:v>
      </x:c>
      <x:c r="K64" s="16" t="n">
        <x:v>7</x:v>
      </x:c>
      <x:c r="L64" s="16" t="n">
        <x:v>134</x:v>
      </x:c>
      <x:c r="M64" s="16" t="n">
        <x:v>37</x:v>
      </x:c>
      <x:c r="N64" s="16" t="n">
        <x:v>14</x:v>
      </x:c>
      <x:c r="O64" s="16" t="n">
        <x:v>169</x:v>
      </x:c>
      <x:c r="P64" s="16" t="n">
        <x:v>4</x:v>
      </x:c>
      <x:c r="Q64" s="16" t="n">
        <x:v>8</x:v>
      </x:c>
      <x:c r="R64" s="16" t="n">
        <x:v>2</x:v>
      </x:c>
      <x:c r="S64" s="16" t="n">
        <x:v>10</x:v>
      </x:c>
      <x:c r="T64" s="16" t="n">
        <x:v>7</x:v>
      </x:c>
      <x:c r="U64" s="16" t="n">
        <x:v>0</x:v>
      </x:c>
      <x:c r="V64" s="16" t="n">
        <x:v>0</x:v>
      </x:c>
      <x:c r="W64" s="16" t="n">
        <x:v>0</x:v>
      </x:c>
      <x:c r="X64" s="16" t="n">
        <x:v>0</x:v>
      </x:c>
      <x:c r="Y64" s="16" t="n">
        <x:v>0</x:v>
      </x:c>
      <x:c r="Z64" s="16" t="n">
        <x:v>0</x:v>
      </x:c>
      <x:c r="AA64" s="16" t="n">
        <x:v>3</x:v>
      </x:c>
      <x:c r="AB64" s="16" t="n">
        <x:v>11</x:v>
      </x:c>
      <x:c r="AC64" s="16" t="n">
        <x:v>0</x:v>
      </x:c>
      <x:c r="AD64" s="21" t="n">
        <x:f>IF(E64="",MEDIAN($E$2:$E$2237),E64)</x:f>
        <x:v>61823</x:v>
      </x:c>
      <x:c r="AE64" s="17" t="n">
        <x:f>2014-B64</x:f>
        <x:v>62</x:v>
      </x:c>
      <x:c r="AF64" s="17" t="n">
        <x:f>F64+G64</x:f>
        <x:v>1</x:v>
      </x:c>
      <x:c r="AG64" s="21" t="n">
        <x:f>SUM(J64:O64)</x:f>
        <x:v>884</x:v>
      </x:c>
      <x:c r="AH64" s="17" t="n">
        <x:f>SUM(Q64:S64)</x:f>
        <x:v>20</x:v>
      </x:c>
      <x:c r="AI64" s="17" t="n">
        <x:f>SUM(U64:Y64)</x:f>
        <x:v>0</x:v>
      </x:c>
      <x:c r="AJ64" s="17" t="str">
        <x:f>IF(AE64&lt;=34,"≤34",IF(AE64&lt;=44,"35–44",IF(AE64&lt;=54,"45–54",IF(AE64&lt;=64,"55–64","65+"))))</x:f>
        <x:v>55–64</x:v>
      </x:c>
      <x:c r="AK64" s="17" t="str">
        <x:f>IF(AG64&gt;=1000,"High Value",IF(AG64&gt;=300,"Mid Value","Low Value"))</x:f>
        <x:v>Mid Value</x:v>
      </x:c>
      <x:c r="AL64" s="17" t="str">
        <x:f>IF(AND(AI64&gt;=1,I64&lt;=50),"Priority 1",IF(AND(AG64&gt;=1000,I64&lt;=60),"Priority 2",IF(I64&lt;=30,"Priority 3","Nurture")))</x:f>
        <x:v>Priority 3</x:v>
      </x:c>
    </x:row>
    <x:row r="65">
      <x:c r="A65" s="16" t="n">
        <x:v>6518</x:v>
      </x:c>
      <x:c r="B65" s="16" t="n">
        <x:v>1951</x:v>
      </x:c>
      <x:c r="C65" s="16" t="str">
        <x:v>PhD</x:v>
      </x:c>
      <x:c r="D65" s="16" t="str">
        <x:v>Widow</x:v>
      </x:c>
      <x:c r="E65" s="16" t="n">
        <x:v>67680</x:v>
      </x:c>
      <x:c r="F65" s="16" t="n">
        <x:v>0</x:v>
      </x:c>
      <x:c r="G65" s="16" t="n">
        <x:v>1</x:v>
      </x:c>
      <x:c r="H65" s="16" t="str">
        <x:v>11-06-2013</x:v>
      </x:c>
      <x:c r="I65" s="16" t="n">
        <x:v>8</x:v>
      </x:c>
      <x:c r="J65" s="16" t="n">
        <x:v>546</x:v>
      </x:c>
      <x:c r="K65" s="16" t="n">
        <x:v>0</x:v>
      </x:c>
      <x:c r="L65" s="16" t="n">
        <x:v>48</x:v>
      </x:c>
      <x:c r="M65" s="16" t="n">
        <x:v>0</x:v>
      </x:c>
      <x:c r="N65" s="16" t="n">
        <x:v>6</x:v>
      </x:c>
      <x:c r="O65" s="16" t="n">
        <x:v>6</x:v>
      </x:c>
      <x:c r="P65" s="16" t="n">
        <x:v>1</x:v>
      </x:c>
      <x:c r="Q65" s="16" t="n">
        <x:v>7</x:v>
      </x:c>
      <x:c r="R65" s="16" t="n">
        <x:v>3</x:v>
      </x:c>
      <x:c r="S65" s="16" t="n">
        <x:v>8</x:v>
      </x:c>
      <x:c r="T65" s="16" t="n">
        <x:v>5</x:v>
      </x:c>
      <x:c r="U65" s="16" t="n">
        <x:v>0</x:v>
      </x:c>
      <x:c r="V65" s="16" t="n">
        <x:v>0</x:v>
      </x:c>
      <x:c r="W65" s="16" t="n">
        <x:v>0</x:v>
      </x:c>
      <x:c r="X65" s="16" t="n">
        <x:v>0</x:v>
      </x:c>
      <x:c r="Y65" s="16" t="n">
        <x:v>0</x:v>
      </x:c>
      <x:c r="Z65" s="16" t="n">
        <x:v>0</x:v>
      </x:c>
      <x:c r="AA65" s="16" t="n">
        <x:v>3</x:v>
      </x:c>
      <x:c r="AB65" s="16" t="n">
        <x:v>11</x:v>
      </x:c>
      <x:c r="AC65" s="16" t="n">
        <x:v>0</x:v>
      </x:c>
      <x:c r="AD65" s="21" t="n">
        <x:f>IF(E65="",MEDIAN($E$2:$E$2237),E65)</x:f>
        <x:v>67680</x:v>
      </x:c>
      <x:c r="AE65" s="17" t="n">
        <x:f>2014-B65</x:f>
        <x:v>63</x:v>
      </x:c>
      <x:c r="AF65" s="17" t="n">
        <x:f>F65+G65</x:f>
        <x:v>1</x:v>
      </x:c>
      <x:c r="AG65" s="21" t="n">
        <x:f>SUM(J65:O65)</x:f>
        <x:v>606</x:v>
      </x:c>
      <x:c r="AH65" s="17" t="n">
        <x:f>SUM(Q65:S65)</x:f>
        <x:v>18</x:v>
      </x:c>
      <x:c r="AI65" s="17" t="n">
        <x:f>SUM(U65:Y65)</x:f>
        <x:v>0</x:v>
      </x:c>
      <x:c r="AJ65" s="17" t="str">
        <x:f>IF(AE65&lt;=34,"≤34",IF(AE65&lt;=44,"35–44",IF(AE65&lt;=54,"45–54",IF(AE65&lt;=64,"55–64","65+"))))</x:f>
        <x:v>55–64</x:v>
      </x:c>
      <x:c r="AK65" s="17" t="str">
        <x:f>IF(AG65&gt;=1000,"High Value",IF(AG65&gt;=300,"Mid Value","Low Value"))</x:f>
        <x:v>Mid Value</x:v>
      </x:c>
      <x:c r="AL65" s="17" t="str">
        <x:f>IF(AND(AI65&gt;=1,I65&lt;=50),"Priority 1",IF(AND(AG65&gt;=1000,I65&lt;=60),"Priority 2",IF(I65&lt;=30,"Priority 3","Nurture")))</x:f>
        <x:v>Priority 3</x:v>
      </x:c>
    </x:row>
    <x:row r="66">
      <x:c r="A66" s="16" t="n">
        <x:v>4137</x:v>
      </x:c>
      <x:c r="B66" s="16" t="n">
        <x:v>1948</x:v>
      </x:c>
      <x:c r="C66" s="16" t="str">
        <x:v>Graduation</x:v>
      </x:c>
      <x:c r="D66" s="16" t="str">
        <x:v>Together</x:v>
      </x:c>
      <x:c r="E66" s="16" t="n">
        <x:v>70666</x:v>
      </x:c>
      <x:c r="F66" s="16" t="n">
        <x:v>0</x:v>
      </x:c>
      <x:c r="G66" s="16" t="n">
        <x:v>0</x:v>
      </x:c>
      <x:c r="H66" s="16" t="str">
        <x:v>06-12-2013</x:v>
      </x:c>
      <x:c r="I66" s="16" t="n">
        <x:v>29</x:v>
      </x:c>
      <x:c r="J66" s="16" t="n">
        <x:v>398</x:v>
      </x:c>
      <x:c r="K66" s="16" t="n">
        <x:v>40</x:v>
      </x:c>
      <x:c r="L66" s="16" t="n">
        <x:v>367</x:v>
      </x:c>
      <x:c r="M66" s="16" t="n">
        <x:v>119</x:v>
      </x:c>
      <x:c r="N66" s="16" t="n">
        <x:v>122</x:v>
      </x:c>
      <x:c r="O66" s="16" t="n">
        <x:v>30</x:v>
      </x:c>
      <x:c r="P66" s="16" t="n">
        <x:v>1</x:v>
      </x:c>
      <x:c r="Q66" s="16" t="n">
        <x:v>7</x:v>
      </x:c>
      <x:c r="R66" s="16" t="n">
        <x:v>4</x:v>
      </x:c>
      <x:c r="S66" s="16" t="n">
        <x:v>4</x:v>
      </x:c>
      <x:c r="T66" s="16" t="n">
        <x:v>4</x:v>
      </x:c>
      <x:c r="U66" s="16" t="n">
        <x:v>0</x:v>
      </x:c>
      <x:c r="V66" s="16" t="n">
        <x:v>0</x:v>
      </x:c>
      <x:c r="W66" s="16" t="n">
        <x:v>0</x:v>
      </x:c>
      <x:c r="X66" s="16" t="n">
        <x:v>0</x:v>
      </x:c>
      <x:c r="Y66" s="16" t="n">
        <x:v>0</x:v>
      </x:c>
      <x:c r="Z66" s="16" t="n">
        <x:v>0</x:v>
      </x:c>
      <x:c r="AA66" s="16" t="n">
        <x:v>3</x:v>
      </x:c>
      <x:c r="AB66" s="16" t="n">
        <x:v>11</x:v>
      </x:c>
      <x:c r="AC66" s="16" t="n">
        <x:v>0</x:v>
      </x:c>
      <x:c r="AD66" s="21" t="n">
        <x:f>IF(E66="",MEDIAN($E$2:$E$2237),E66)</x:f>
        <x:v>70666</x:v>
      </x:c>
      <x:c r="AE66" s="17" t="n">
        <x:f>2014-B66</x:f>
        <x:v>66</x:v>
      </x:c>
      <x:c r="AF66" s="17" t="n">
        <x:f>F66+G66</x:f>
        <x:v>0</x:v>
      </x:c>
      <x:c r="AG66" s="21" t="n">
        <x:f>SUM(J66:O66)</x:f>
        <x:v>1076</x:v>
      </x:c>
      <x:c r="AH66" s="17" t="n">
        <x:f>SUM(Q66:S66)</x:f>
        <x:v>15</x:v>
      </x:c>
      <x:c r="AI66" s="17" t="n">
        <x:f>SUM(U66:Y66)</x:f>
        <x:v>0</x:v>
      </x:c>
      <x:c r="AJ66" s="17" t="str">
        <x:f>IF(AE66&lt;=34,"≤34",IF(AE66&lt;=44,"35–44",IF(AE66&lt;=54,"45–54",IF(AE66&lt;=64,"55–64","65+"))))</x:f>
        <x:v>65+</x:v>
      </x:c>
      <x:c r="AK66" s="17" t="str">
        <x:f>IF(AG66&gt;=1000,"High Value",IF(AG66&gt;=300,"Mid Value","Low Value"))</x:f>
        <x:v>High Value</x:v>
      </x:c>
      <x:c r="AL66" s="17" t="str">
        <x:f>IF(AND(AI66&gt;=1,I66&lt;=50),"Priority 1",IF(AND(AG66&gt;=1000,I66&lt;=60),"Priority 2",IF(I66&lt;=30,"Priority 3","Nurture")))</x:f>
        <x:v>Priority 2</x:v>
      </x:c>
    </x:row>
    <x:row r="67">
      <x:c r="A67" s="16" t="n">
        <x:v>8082</x:v>
      </x:c>
      <x:c r="B67" s="16" t="n">
        <x:v>1971</x:v>
      </x:c>
      <x:c r="C67" s="16" t="str">
        <x:v>Graduation</x:v>
      </x:c>
      <x:c r="D67" s="16" t="str">
        <x:v>Married</x:v>
      </x:c>
      <x:c r="E67" s="16" t="n">
        <x:v>25721</x:v>
      </x:c>
      <x:c r="F67" s="16" t="n">
        <x:v>1</x:v>
      </x:c>
      <x:c r="G67" s="16" t="n">
        <x:v>0</x:v>
      </x:c>
      <x:c r="H67" s="16" t="str">
        <x:v>21-05-2013</x:v>
      </x:c>
      <x:c r="I67" s="16" t="n">
        <x:v>75</x:v>
      </x:c>
      <x:c r="J67" s="16" t="n">
        <x:v>1</x:v>
      </x:c>
      <x:c r="K67" s="16" t="n">
        <x:v>3</x:v>
      </x:c>
      <x:c r="L67" s="16" t="n">
        <x:v>6</x:v>
      </x:c>
      <x:c r="M67" s="16" t="n">
        <x:v>3</x:v>
      </x:c>
      <x:c r="N67" s="16" t="n">
        <x:v>6</x:v>
      </x:c>
      <x:c r="O67" s="16" t="n">
        <x:v>15</x:v>
      </x:c>
      <x:c r="P67" s="16" t="n">
        <x:v>1</x:v>
      </x:c>
      <x:c r="Q67" s="16" t="n">
        <x:v>1</x:v>
      </x:c>
      <x:c r="R67" s="16" t="n">
        <x:v>1</x:v>
      </x:c>
      <x:c r="S67" s="16" t="n">
        <x:v>2</x:v>
      </x:c>
      <x:c r="T67" s="16" t="n">
        <x:v>7</x:v>
      </x:c>
      <x:c r="U67" s="16" t="n">
        <x:v>0</x:v>
      </x:c>
      <x:c r="V67" s="16" t="n">
        <x:v>0</x:v>
      </x:c>
      <x:c r="W67" s="16" t="n">
        <x:v>0</x:v>
      </x:c>
      <x:c r="X67" s="16" t="n">
        <x:v>0</x:v>
      </x:c>
      <x:c r="Y67" s="16" t="n">
        <x:v>0</x:v>
      </x:c>
      <x:c r="Z67" s="16" t="n">
        <x:v>0</x:v>
      </x:c>
      <x:c r="AA67" s="16" t="n">
        <x:v>3</x:v>
      </x:c>
      <x:c r="AB67" s="16" t="n">
        <x:v>11</x:v>
      </x:c>
      <x:c r="AC67" s="16" t="n">
        <x:v>1</x:v>
      </x:c>
      <x:c r="AD67" s="21" t="n">
        <x:f>IF(E67="",MEDIAN($E$2:$E$2237),E67)</x:f>
        <x:v>25721</x:v>
      </x:c>
      <x:c r="AE67" s="17" t="n">
        <x:f>2014-B67</x:f>
        <x:v>43</x:v>
      </x:c>
      <x:c r="AF67" s="17" t="n">
        <x:f>F67+G67</x:f>
        <x:v>1</x:v>
      </x:c>
      <x:c r="AG67" s="21" t="n">
        <x:f>SUM(J67:O67)</x:f>
        <x:v>34</x:v>
      </x:c>
      <x:c r="AH67" s="17" t="n">
        <x:f>SUM(Q67:S67)</x:f>
        <x:v>4</x:v>
      </x:c>
      <x:c r="AI67" s="17" t="n">
        <x:f>SUM(U67:Y67)</x:f>
        <x:v>0</x:v>
      </x:c>
      <x:c r="AJ67" s="17" t="str">
        <x:f>IF(AE67&lt;=34,"≤34",IF(AE67&lt;=44,"35–44",IF(AE67&lt;=54,"45–54",IF(AE67&lt;=64,"55–64","65+"))))</x:f>
        <x:v>35–44</x:v>
      </x:c>
      <x:c r="AK67" s="17" t="str">
        <x:f>IF(AG67&gt;=1000,"High Value",IF(AG67&gt;=300,"Mid Value","Low Value"))</x:f>
        <x:v>Low Value</x:v>
      </x:c>
      <x:c r="AL67" s="17" t="str">
        <x:f>IF(AND(AI67&gt;=1,I67&lt;=50),"Priority 1",IF(AND(AG67&gt;=1000,I67&lt;=60),"Priority 2",IF(I67&lt;=30,"Priority 3","Nurture")))</x:f>
        <x:v>Nurture</x:v>
      </x:c>
    </x:row>
    <x:row r="68">
      <x:c r="A68" s="16" t="n">
        <x:v>1386</x:v>
      </x:c>
      <x:c r="B68" s="16" t="n">
        <x:v>1967</x:v>
      </x:c>
      <x:c r="C68" s="16" t="str">
        <x:v>Graduation</x:v>
      </x:c>
      <x:c r="D68" s="16" t="str">
        <x:v>Together</x:v>
      </x:c>
      <x:c r="E68" s="16" t="n">
        <x:v>32474</x:v>
      </x:c>
      <x:c r="F68" s="16" t="n">
        <x:v>1</x:v>
      </x:c>
      <x:c r="G68" s="16" t="n">
        <x:v>1</x:v>
      </x:c>
      <x:c r="H68" s="16" t="str">
        <x:v>11-05-2014</x:v>
      </x:c>
      <x:c r="I68" s="16" t="n">
        <x:v>0</x:v>
      </x:c>
      <x:c r="J68" s="16" t="n">
        <x:v>10</x:v>
      </x:c>
      <x:c r="K68" s="16" t="n">
        <x:v>0</x:v>
      </x:c>
      <x:c r="L68" s="16" t="n">
        <x:v>1</x:v>
      </x:c>
      <x:c r="M68" s="16" t="n">
        <x:v>0</x:v>
      </x:c>
      <x:c r="N68" s="16" t="n">
        <x:v>0</x:v>
      </x:c>
      <x:c r="O68" s="16" t="n">
        <x:v>0</x:v>
      </x:c>
      <x:c r="P68" s="16" t="n">
        <x:v>1</x:v>
      </x:c>
      <x:c r="Q68" s="16" t="n">
        <x:v>1</x:v>
      </x:c>
      <x:c r="R68" s="16" t="n">
        <x:v>0</x:v>
      </x:c>
      <x:c r="S68" s="16" t="n">
        <x:v>2</x:v>
      </x:c>
      <x:c r="T68" s="16" t="n">
        <x:v>7</x:v>
      </x:c>
      <x:c r="U68" s="16" t="n">
        <x:v>0</x:v>
      </x:c>
      <x:c r="V68" s="16" t="n">
        <x:v>0</x:v>
      </x:c>
      <x:c r="W68" s="16" t="n">
        <x:v>0</x:v>
      </x:c>
      <x:c r="X68" s="16" t="n">
        <x:v>0</x:v>
      </x:c>
      <x:c r="Y68" s="16" t="n">
        <x:v>0</x:v>
      </x:c>
      <x:c r="Z68" s="16" t="n">
        <x:v>0</x:v>
      </x:c>
      <x:c r="AA68" s="16" t="n">
        <x:v>3</x:v>
      </x:c>
      <x:c r="AB68" s="16" t="n">
        <x:v>11</x:v>
      </x:c>
      <x:c r="AC68" s="16" t="n">
        <x:v>0</x:v>
      </x:c>
      <x:c r="AD68" s="21" t="n">
        <x:f>IF(E68="",MEDIAN($E$2:$E$2237),E68)</x:f>
        <x:v>32474</x:v>
      </x:c>
      <x:c r="AE68" s="17" t="n">
        <x:f>2014-B68</x:f>
        <x:v>47</x:v>
      </x:c>
      <x:c r="AF68" s="17" t="n">
        <x:f>F68+G68</x:f>
        <x:v>2</x:v>
      </x:c>
      <x:c r="AG68" s="21" t="n">
        <x:f>SUM(J68:O68)</x:f>
        <x:v>11</x:v>
      </x:c>
      <x:c r="AH68" s="17" t="n">
        <x:f>SUM(Q68:S68)</x:f>
        <x:v>3</x:v>
      </x:c>
      <x:c r="AI68" s="17" t="n">
        <x:f>SUM(U68:Y68)</x:f>
        <x:v>0</x:v>
      </x:c>
      <x:c r="AJ68" s="17" t="str">
        <x:f>IF(AE68&lt;=34,"≤34",IF(AE68&lt;=44,"35–44",IF(AE68&lt;=54,"45–54",IF(AE68&lt;=64,"55–64","65+"))))</x:f>
        <x:v>45–54</x:v>
      </x:c>
      <x:c r="AK68" s="17" t="str">
        <x:f>IF(AG68&gt;=1000,"High Value",IF(AG68&gt;=300,"Mid Value","Low Value"))</x:f>
        <x:v>Low Value</x:v>
      </x:c>
      <x:c r="AL68" s="17" t="str">
        <x:f>IF(AND(AI68&gt;=1,I68&lt;=50),"Priority 1",IF(AND(AG68&gt;=1000,I68&lt;=60),"Priority 2",IF(I68&lt;=30,"Priority 3","Nurture")))</x:f>
        <x:v>Priority 3</x:v>
      </x:c>
    </x:row>
    <x:row r="69">
      <x:c r="A69" s="16" t="n">
        <x:v>9369</x:v>
      </x:c>
      <x:c r="B69" s="16" t="n">
        <x:v>1979</x:v>
      </x:c>
      <x:c r="C69" s="16" t="str">
        <x:v>2n Cycle</x:v>
      </x:c>
      <x:c r="D69" s="16" t="str">
        <x:v>Single</x:v>
      </x:c>
      <x:c r="E69" s="16" t="n">
        <x:v>88194</x:v>
      </x:c>
      <x:c r="F69" s="16" t="n">
        <x:v>0</x:v>
      </x:c>
      <x:c r="G69" s="16" t="n">
        <x:v>1</x:v>
      </x:c>
      <x:c r="H69" s="16" t="str">
        <x:v>19-03-2014</x:v>
      </x:c>
      <x:c r="I69" s="16" t="n">
        <x:v>19</x:v>
      </x:c>
      <x:c r="J69" s="16" t="n">
        <x:v>688</x:v>
      </x:c>
      <x:c r="K69" s="16" t="n">
        <x:v>14</x:v>
      </x:c>
      <x:c r="L69" s="16" t="n">
        <x:v>309</x:v>
      </x:c>
      <x:c r="M69" s="16" t="n">
        <x:v>201</x:v>
      </x:c>
      <x:c r="N69" s="16" t="n">
        <x:v>24</x:v>
      </x:c>
      <x:c r="O69" s="16" t="n">
        <x:v>38</x:v>
      </x:c>
      <x:c r="P69" s="16" t="n">
        <x:v>1</x:v>
      </x:c>
      <x:c r="Q69" s="16" t="n">
        <x:v>11</x:v>
      </x:c>
      <x:c r="R69" s="16" t="n">
        <x:v>10</x:v>
      </x:c>
      <x:c r="S69" s="16" t="n">
        <x:v>10</x:v>
      </x:c>
      <x:c r="T69" s="16" t="n">
        <x:v>5</x:v>
      </x:c>
      <x:c r="U69" s="16" t="n">
        <x:v>1</x:v>
      </x:c>
      <x:c r="V69" s="16" t="n">
        <x:v>0</x:v>
      </x:c>
      <x:c r="W69" s="16" t="n">
        <x:v>0</x:v>
      </x:c>
      <x:c r="X69" s="16" t="n">
        <x:v>1</x:v>
      </x:c>
      <x:c r="Y69" s="16" t="n">
        <x:v>0</x:v>
      </x:c>
      <x:c r="Z69" s="16" t="n">
        <x:v>0</x:v>
      </x:c>
      <x:c r="AA69" s="16" t="n">
        <x:v>3</x:v>
      </x:c>
      <x:c r="AB69" s="16" t="n">
        <x:v>11</x:v>
      </x:c>
      <x:c r="AC69" s="16" t="n">
        <x:v>1</x:v>
      </x:c>
      <x:c r="AD69" s="21" t="n">
        <x:f>IF(E69="",MEDIAN($E$2:$E$2237),E69)</x:f>
        <x:v>88194</x:v>
      </x:c>
      <x:c r="AE69" s="17" t="n">
        <x:f>2014-B69</x:f>
        <x:v>35</x:v>
      </x:c>
      <x:c r="AF69" s="17" t="n">
        <x:f>F69+G69</x:f>
        <x:v>1</x:v>
      </x:c>
      <x:c r="AG69" s="21" t="n">
        <x:f>SUM(J69:O69)</x:f>
        <x:v>1274</x:v>
      </x:c>
      <x:c r="AH69" s="17" t="n">
        <x:f>SUM(Q69:S69)</x:f>
        <x:v>31</x:v>
      </x:c>
      <x:c r="AI69" s="17" t="n">
        <x:f>SUM(U69:Y69)</x:f>
        <x:v>2</x:v>
      </x:c>
      <x:c r="AJ69" s="17" t="str">
        <x:f>IF(AE69&lt;=34,"≤34",IF(AE69&lt;=44,"35–44",IF(AE69&lt;=54,"45–54",IF(AE69&lt;=64,"55–64","65+"))))</x:f>
        <x:v>35–44</x:v>
      </x:c>
      <x:c r="AK69" s="17" t="str">
        <x:f>IF(AG69&gt;=1000,"High Value",IF(AG69&gt;=300,"Mid Value","Low Value"))</x:f>
        <x:v>High Value</x:v>
      </x:c>
      <x:c r="AL69" s="17" t="str">
        <x:f>IF(AND(AI69&gt;=1,I69&lt;=50),"Priority 1",IF(AND(AG69&gt;=1000,I69&lt;=60),"Priority 2",IF(I69&lt;=30,"Priority 3","Nurture")))</x:f>
        <x:v>Priority 1</x:v>
      </x:c>
    </x:row>
    <x:row r="70">
      <x:c r="A70" s="16" t="n">
        <x:v>4477</x:v>
      </x:c>
      <x:c r="B70" s="16" t="n">
        <x:v>1958</x:v>
      </x:c>
      <x:c r="C70" s="16" t="str">
        <x:v>Graduation</x:v>
      </x:c>
      <x:c r="D70" s="16" t="str">
        <x:v>Together</x:v>
      </x:c>
      <x:c r="E70" s="16" t="n">
        <x:v>69096</x:v>
      </x:c>
      <x:c r="F70" s="16" t="n">
        <x:v>0</x:v>
      </x:c>
      <x:c r="G70" s="16" t="n">
        <x:v>1</x:v>
      </x:c>
      <x:c r="H70" s="16" t="str">
        <x:v>27-09-2013</x:v>
      </x:c>
      <x:c r="I70" s="16" t="n">
        <x:v>4</x:v>
      </x:c>
      <x:c r="J70" s="16" t="n">
        <x:v>247</x:v>
      </x:c>
      <x:c r="K70" s="16" t="n">
        <x:v>49</x:v>
      </x:c>
      <x:c r="L70" s="16" t="n">
        <x:v>159</x:v>
      </x:c>
      <x:c r="M70" s="16" t="n">
        <x:v>7</x:v>
      </x:c>
      <x:c r="N70" s="16" t="n">
        <x:v>82</x:v>
      </x:c>
      <x:c r="O70" s="16" t="n">
        <x:v>109</x:v>
      </x:c>
      <x:c r="P70" s="16" t="n">
        <x:v>1</x:v>
      </x:c>
      <x:c r="Q70" s="16" t="n">
        <x:v>5</x:v>
      </x:c>
      <x:c r="R70" s="16" t="n">
        <x:v>2</x:v>
      </x:c>
      <x:c r="S70" s="16" t="n">
        <x:v>10</x:v>
      </x:c>
      <x:c r="T70" s="16" t="n">
        <x:v>4</x:v>
      </x:c>
      <x:c r="U70" s="16" t="n">
        <x:v>0</x:v>
      </x:c>
      <x:c r="V70" s="16" t="n">
        <x:v>0</x:v>
      </x:c>
      <x:c r="W70" s="16" t="n">
        <x:v>0</x:v>
      </x:c>
      <x:c r="X70" s="16" t="n">
        <x:v>0</x:v>
      </x:c>
      <x:c r="Y70" s="16" t="n">
        <x:v>0</x:v>
      </x:c>
      <x:c r="Z70" s="16" t="n">
        <x:v>0</x:v>
      </x:c>
      <x:c r="AA70" s="16" t="n">
        <x:v>3</x:v>
      </x:c>
      <x:c r="AB70" s="16" t="n">
        <x:v>11</x:v>
      </x:c>
      <x:c r="AC70" s="16" t="n">
        <x:v>0</x:v>
      </x:c>
      <x:c r="AD70" s="21" t="n">
        <x:f>IF(E70="",MEDIAN($E$2:$E$2237),E70)</x:f>
        <x:v>69096</x:v>
      </x:c>
      <x:c r="AE70" s="17" t="n">
        <x:f>2014-B70</x:f>
        <x:v>56</x:v>
      </x:c>
      <x:c r="AF70" s="17" t="n">
        <x:f>F70+G70</x:f>
        <x:v>1</x:v>
      </x:c>
      <x:c r="AG70" s="21" t="n">
        <x:f>SUM(J70:O70)</x:f>
        <x:v>653</x:v>
      </x:c>
      <x:c r="AH70" s="17" t="n">
        <x:f>SUM(Q70:S70)</x:f>
        <x:v>17</x:v>
      </x:c>
      <x:c r="AI70" s="17" t="n">
        <x:f>SUM(U70:Y70)</x:f>
        <x:v>0</x:v>
      </x:c>
      <x:c r="AJ70" s="17" t="str">
        <x:f>IF(AE70&lt;=34,"≤34",IF(AE70&lt;=44,"35–44",IF(AE70&lt;=54,"45–54",IF(AE70&lt;=64,"55–64","65+"))))</x:f>
        <x:v>55–64</x:v>
      </x:c>
      <x:c r="AK70" s="17" t="str">
        <x:f>IF(AG70&gt;=1000,"High Value",IF(AG70&gt;=300,"Mid Value","Low Value"))</x:f>
        <x:v>Mid Value</x:v>
      </x:c>
      <x:c r="AL70" s="17" t="str">
        <x:f>IF(AND(AI70&gt;=1,I70&lt;=50),"Priority 1",IF(AND(AG70&gt;=1000,I70&lt;=60),"Priority 2",IF(I70&lt;=30,"Priority 3","Nurture")))</x:f>
        <x:v>Priority 3</x:v>
      </x:c>
    </x:row>
    <x:row r="71">
      <x:c r="A71" s="16" t="n">
        <x:v>1357</x:v>
      </x:c>
      <x:c r="B71" s="16" t="n">
        <x:v>1970</x:v>
      </x:c>
      <x:c r="C71" s="16" t="str">
        <x:v>Graduation</x:v>
      </x:c>
      <x:c r="D71" s="16" t="str">
        <x:v>Together</x:v>
      </x:c>
      <x:c r="E71" s="16" t="n">
        <x:v>74854</x:v>
      </x:c>
      <x:c r="F71" s="16" t="n">
        <x:v>1</x:v>
      </x:c>
      <x:c r="G71" s="16" t="n">
        <x:v>2</x:v>
      </x:c>
      <x:c r="H71" s="16" t="str">
        <x:v>08-04-2013</x:v>
      </x:c>
      <x:c r="I71" s="16" t="n">
        <x:v>90</x:v>
      </x:c>
      <x:c r="J71" s="16" t="n">
        <x:v>856</x:v>
      </x:c>
      <x:c r="K71" s="16" t="n">
        <x:v>59</x:v>
      </x:c>
      <x:c r="L71" s="16" t="n">
        <x:v>487</x:v>
      </x:c>
      <x:c r="M71" s="16" t="n">
        <x:v>58</x:v>
      </x:c>
      <x:c r="N71" s="16" t="n">
        <x:v>29</x:v>
      </x:c>
      <x:c r="O71" s="16" t="n">
        <x:v>73</x:v>
      </x:c>
      <x:c r="P71" s="16" t="n">
        <x:v>7</x:v>
      </x:c>
      <x:c r="Q71" s="16" t="n">
        <x:v>2</x:v>
      </x:c>
      <x:c r="R71" s="16" t="n">
        <x:v>5</x:v>
      </x:c>
      <x:c r="S71" s="16" t="n">
        <x:v>5</x:v>
      </x:c>
      <x:c r="T71" s="16" t="n">
        <x:v>5</x:v>
      </x:c>
      <x:c r="U71" s="16" t="n">
        <x:v>0</x:v>
      </x:c>
      <x:c r="V71" s="16" t="n">
        <x:v>0</x:v>
      </x:c>
      <x:c r="W71" s="16" t="n">
        <x:v>0</x:v>
      </x:c>
      <x:c r="X71" s="16" t="n">
        <x:v>0</x:v>
      </x:c>
      <x:c r="Y71" s="16" t="n">
        <x:v>0</x:v>
      </x:c>
      <x:c r="Z71" s="16" t="n">
        <x:v>0</x:v>
      </x:c>
      <x:c r="AA71" s="16" t="n">
        <x:v>3</x:v>
      </x:c>
      <x:c r="AB71" s="16" t="n">
        <x:v>11</x:v>
      </x:c>
      <x:c r="AC71" s="16" t="n">
        <x:v>0</x:v>
      </x:c>
      <x:c r="AD71" s="21" t="n">
        <x:f>IF(E71="",MEDIAN($E$2:$E$2237),E71)</x:f>
        <x:v>74854</x:v>
      </x:c>
      <x:c r="AE71" s="17" t="n">
        <x:f>2014-B71</x:f>
        <x:v>44</x:v>
      </x:c>
      <x:c r="AF71" s="17" t="n">
        <x:f>F71+G71</x:f>
        <x:v>3</x:v>
      </x:c>
      <x:c r="AG71" s="21" t="n">
        <x:f>SUM(J71:O71)</x:f>
        <x:v>1562</x:v>
      </x:c>
      <x:c r="AH71" s="17" t="n">
        <x:f>SUM(Q71:S71)</x:f>
        <x:v>12</x:v>
      </x:c>
      <x:c r="AI71" s="17" t="n">
        <x:f>SUM(U71:Y71)</x:f>
        <x:v>0</x:v>
      </x:c>
      <x:c r="AJ71" s="17" t="str">
        <x:f>IF(AE71&lt;=34,"≤34",IF(AE71&lt;=44,"35–44",IF(AE71&lt;=54,"45–54",IF(AE71&lt;=64,"55–64","65+"))))</x:f>
        <x:v>35–44</x:v>
      </x:c>
      <x:c r="AK71" s="17" t="str">
        <x:f>IF(AG71&gt;=1000,"High Value",IF(AG71&gt;=300,"Mid Value","Low Value"))</x:f>
        <x:v>High Value</x:v>
      </x:c>
      <x:c r="AL71" s="17" t="str">
        <x:f>IF(AND(AI71&gt;=1,I71&lt;=50),"Priority 1",IF(AND(AG71&gt;=1000,I71&lt;=60),"Priority 2",IF(I71&lt;=30,"Priority 3","Nurture")))</x:f>
        <x:v>Nurture</x:v>
      </x:c>
    </x:row>
    <x:row r="72">
      <x:c r="A72" s="16" t="n">
        <x:v>1402</x:v>
      </x:c>
      <x:c r="B72" s="16" t="n">
        <x:v>1954</x:v>
      </x:c>
      <x:c r="C72" s="16" t="str">
        <x:v>Master</x:v>
      </x:c>
      <x:c r="D72" s="16" t="str">
        <x:v>Married</x:v>
      </x:c>
      <x:c r="E72" s="16" t="n">
        <x:v>66991</x:v>
      </x:c>
      <x:c r="F72" s="16" t="n">
        <x:v>0</x:v>
      </x:c>
      <x:c r="G72" s="16" t="n">
        <x:v>0</x:v>
      </x:c>
      <x:c r="H72" s="16" t="str">
        <x:v>11-09-2012</x:v>
      </x:c>
      <x:c r="I72" s="16" t="n">
        <x:v>1</x:v>
      </x:c>
      <x:c r="J72" s="16" t="n">
        <x:v>496</x:v>
      </x:c>
      <x:c r="K72" s="16" t="n">
        <x:v>36</x:v>
      </x:c>
      <x:c r="L72" s="16" t="n">
        <x:v>460</x:v>
      </x:c>
      <x:c r="M72" s="16" t="n">
        <x:v>189</x:v>
      </x:c>
      <x:c r="N72" s="16" t="n">
        <x:v>60</x:v>
      </x:c>
      <x:c r="O72" s="16" t="n">
        <x:v>12</x:v>
      </x:c>
      <x:c r="P72" s="16" t="n">
        <x:v>3</x:v>
      </x:c>
      <x:c r="Q72" s="16" t="n">
        <x:v>4</x:v>
      </x:c>
      <x:c r="R72" s="16" t="n">
        <x:v>8</x:v>
      </x:c>
      <x:c r="S72" s="16" t="n">
        <x:v>6</x:v>
      </x:c>
      <x:c r="T72" s="16" t="n">
        <x:v>3</x:v>
      </x:c>
      <x:c r="U72" s="16" t="n">
        <x:v>0</x:v>
      </x:c>
      <x:c r="V72" s="16" t="n">
        <x:v>0</x:v>
      </x:c>
      <x:c r="W72" s="16" t="n">
        <x:v>0</x:v>
      </x:c>
      <x:c r="X72" s="16" t="n">
        <x:v>0</x:v>
      </x:c>
      <x:c r="Y72" s="16" t="n">
        <x:v>0</x:v>
      </x:c>
      <x:c r="Z72" s="16" t="n">
        <x:v>0</x:v>
      </x:c>
      <x:c r="AA72" s="16" t="n">
        <x:v>3</x:v>
      </x:c>
      <x:c r="AB72" s="16" t="n">
        <x:v>11</x:v>
      </x:c>
      <x:c r="AC72" s="16" t="n">
        <x:v>0</x:v>
      </x:c>
      <x:c r="AD72" s="21" t="n">
        <x:f>IF(E72="",MEDIAN($E$2:$E$2237),E72)</x:f>
        <x:v>66991</x:v>
      </x:c>
      <x:c r="AE72" s="17" t="n">
        <x:f>2014-B72</x:f>
        <x:v>60</x:v>
      </x:c>
      <x:c r="AF72" s="17" t="n">
        <x:f>F72+G72</x:f>
        <x:v>0</x:v>
      </x:c>
      <x:c r="AG72" s="21" t="n">
        <x:f>SUM(J72:O72)</x:f>
        <x:v>1253</x:v>
      </x:c>
      <x:c r="AH72" s="17" t="n">
        <x:f>SUM(Q72:S72)</x:f>
        <x:v>18</x:v>
      </x:c>
      <x:c r="AI72" s="17" t="n">
        <x:f>SUM(U72:Y72)</x:f>
        <x:v>0</x:v>
      </x:c>
      <x:c r="AJ72" s="17" t="str">
        <x:f>IF(AE72&lt;=34,"≤34",IF(AE72&lt;=44,"35–44",IF(AE72&lt;=54,"45–54",IF(AE72&lt;=64,"55–64","65+"))))</x:f>
        <x:v>55–64</x:v>
      </x:c>
      <x:c r="AK72" s="17" t="str">
        <x:f>IF(AG72&gt;=1000,"High Value",IF(AG72&gt;=300,"Mid Value","Low Value"))</x:f>
        <x:v>High Value</x:v>
      </x:c>
      <x:c r="AL72" s="17" t="str">
        <x:f>IF(AND(AI72&gt;=1,I72&lt;=50),"Priority 1",IF(AND(AG72&gt;=1000,I72&lt;=60),"Priority 2",IF(I72&lt;=30,"Priority 3","Nurture")))</x:f>
        <x:v>Priority 2</x:v>
      </x:c>
    </x:row>
    <x:row r="73">
      <x:c r="A73" s="16" t="n">
        <x:v>10629</x:v>
      </x:c>
      <x:c r="B73" s="16" t="n">
        <x:v>1973</x:v>
      </x:c>
      <x:c r="C73" s="16" t="str">
        <x:v>2n Cycle</x:v>
      </x:c>
      <x:c r="D73" s="16" t="str">
        <x:v>Married</x:v>
      </x:c>
      <x:c r="E73" s="16"/>
      <x:c r="F73" s="16" t="n">
        <x:v>1</x:v>
      </x:c>
      <x:c r="G73" s="16" t="n">
        <x:v>0</x:v>
      </x:c>
      <x:c r="H73" s="16" t="str">
        <x:v>14-09-2012</x:v>
      </x:c>
      <x:c r="I73" s="16" t="n">
        <x:v>25</x:v>
      </x:c>
      <x:c r="J73" s="16" t="n">
        <x:v>25</x:v>
      </x:c>
      <x:c r="K73" s="16" t="n">
        <x:v>3</x:v>
      </x:c>
      <x:c r="L73" s="16" t="n">
        <x:v>43</x:v>
      </x:c>
      <x:c r="M73" s="16" t="n">
        <x:v>17</x:v>
      </x:c>
      <x:c r="N73" s="16" t="n">
        <x:v>4</x:v>
      </x:c>
      <x:c r="O73" s="16" t="n">
        <x:v>17</x:v>
      </x:c>
      <x:c r="P73" s="16" t="n">
        <x:v>3</x:v>
      </x:c>
      <x:c r="Q73" s="16" t="n">
        <x:v>3</x:v>
      </x:c>
      <x:c r="R73" s="16" t="n">
        <x:v>0</x:v>
      </x:c>
      <x:c r="S73" s="16" t="n">
        <x:v>3</x:v>
      </x:c>
      <x:c r="T73" s="16" t="n">
        <x:v>8</x:v>
      </x:c>
      <x:c r="U73" s="16" t="n">
        <x:v>0</x:v>
      </x:c>
      <x:c r="V73" s="16" t="n">
        <x:v>0</x:v>
      </x:c>
      <x:c r="W73" s="16" t="n">
        <x:v>0</x:v>
      </x:c>
      <x:c r="X73" s="16" t="n">
        <x:v>0</x:v>
      </x:c>
      <x:c r="Y73" s="16" t="n">
        <x:v>0</x:v>
      </x:c>
      <x:c r="Z73" s="16" t="n">
        <x:v>0</x:v>
      </x:c>
      <x:c r="AA73" s="16" t="n">
        <x:v>3</x:v>
      </x:c>
      <x:c r="AB73" s="16" t="n">
        <x:v>11</x:v>
      </x:c>
      <x:c r="AC73" s="16" t="n">
        <x:v>0</x:v>
      </x:c>
      <x:c r="AD73" s="21" t="n">
        <x:f>IF(E73="",MEDIAN($E$2:$E$2237),E73)</x:f>
        <x:v>51371</x:v>
      </x:c>
      <x:c r="AE73" s="17" t="n">
        <x:f>2014-B73</x:f>
        <x:v>41</x:v>
      </x:c>
      <x:c r="AF73" s="17" t="n">
        <x:f>F73+G73</x:f>
        <x:v>1</x:v>
      </x:c>
      <x:c r="AG73" s="21" t="n">
        <x:f>SUM(J73:O73)</x:f>
        <x:v>109</x:v>
      </x:c>
      <x:c r="AH73" s="17" t="n">
        <x:f>SUM(Q73:S73)</x:f>
        <x:v>6</x:v>
      </x:c>
      <x:c r="AI73" s="17" t="n">
        <x:f>SUM(U73:Y73)</x:f>
        <x:v>0</x:v>
      </x:c>
      <x:c r="AJ73" s="17" t="str">
        <x:f>IF(AE73&lt;=34,"≤34",IF(AE73&lt;=44,"35–44",IF(AE73&lt;=54,"45–54",IF(AE73&lt;=64,"55–64","65+"))))</x:f>
        <x:v>35–44</x:v>
      </x:c>
      <x:c r="AK73" s="17" t="str">
        <x:f>IF(AG73&gt;=1000,"High Value",IF(AG73&gt;=300,"Mid Value","Low Value"))</x:f>
        <x:v>Low Value</x:v>
      </x:c>
      <x:c r="AL73" s="17" t="str">
        <x:f>IF(AND(AI73&gt;=1,I73&lt;=50),"Priority 1",IF(AND(AG73&gt;=1000,I73&lt;=60),"Priority 2",IF(I73&lt;=30,"Priority 3","Nurture")))</x:f>
        <x:v>Priority 3</x:v>
      </x:c>
    </x:row>
    <x:row r="74">
      <x:c r="A74" s="16" t="n">
        <x:v>6312</x:v>
      </x:c>
      <x:c r="B74" s="16" t="n">
        <x:v>1959</x:v>
      </x:c>
      <x:c r="C74" s="16" t="str">
        <x:v>Graduation</x:v>
      </x:c>
      <x:c r="D74" s="16" t="str">
        <x:v>Married</x:v>
      </x:c>
      <x:c r="E74" s="16" t="n">
        <x:v>65031</x:v>
      </x:c>
      <x:c r="F74" s="16" t="n">
        <x:v>0</x:v>
      </x:c>
      <x:c r="G74" s="16" t="n">
        <x:v>1</x:v>
      </x:c>
      <x:c r="H74" s="16" t="str">
        <x:v>17-03-2013</x:v>
      </x:c>
      <x:c r="I74" s="16" t="n">
        <x:v>29</x:v>
      </x:c>
      <x:c r="J74" s="16" t="n">
        <x:v>258</x:v>
      </x:c>
      <x:c r="K74" s="16" t="n">
        <x:v>107</x:v>
      </x:c>
      <x:c r="L74" s="16" t="n">
        <x:v>291</x:v>
      </x:c>
      <x:c r="M74" s="16" t="n">
        <x:v>84</x:v>
      </x:c>
      <x:c r="N74" s="16" t="n">
        <x:v>37</x:v>
      </x:c>
      <x:c r="O74" s="16" t="n">
        <x:v>86</x:v>
      </x:c>
      <x:c r="P74" s="16" t="n">
        <x:v>4</x:v>
      </x:c>
      <x:c r="Q74" s="16" t="n">
        <x:v>10</x:v>
      </x:c>
      <x:c r="R74" s="16" t="n">
        <x:v>3</x:v>
      </x:c>
      <x:c r="S74" s="16" t="n">
        <x:v>13</x:v>
      </x:c>
      <x:c r="T74" s="16" t="n">
        <x:v>7</x:v>
      </x:c>
      <x:c r="U74" s="16" t="n">
        <x:v>0</x:v>
      </x:c>
      <x:c r="V74" s="16" t="n">
        <x:v>0</x:v>
      </x:c>
      <x:c r="W74" s="16" t="n">
        <x:v>0</x:v>
      </x:c>
      <x:c r="X74" s="16" t="n">
        <x:v>0</x:v>
      </x:c>
      <x:c r="Y74" s="16" t="n">
        <x:v>0</x:v>
      </x:c>
      <x:c r="Z74" s="16" t="n">
        <x:v>0</x:v>
      </x:c>
      <x:c r="AA74" s="16" t="n">
        <x:v>3</x:v>
      </x:c>
      <x:c r="AB74" s="16" t="n">
        <x:v>11</x:v>
      </x:c>
      <x:c r="AC74" s="16" t="n">
        <x:v>0</x:v>
      </x:c>
      <x:c r="AD74" s="21" t="n">
        <x:f>IF(E74="",MEDIAN($E$2:$E$2237),E74)</x:f>
        <x:v>65031</x:v>
      </x:c>
      <x:c r="AE74" s="17" t="n">
        <x:f>2014-B74</x:f>
        <x:v>55</x:v>
      </x:c>
      <x:c r="AF74" s="17" t="n">
        <x:f>F74+G74</x:f>
        <x:v>1</x:v>
      </x:c>
      <x:c r="AG74" s="21" t="n">
        <x:f>SUM(J74:O74)</x:f>
        <x:v>863</x:v>
      </x:c>
      <x:c r="AH74" s="17" t="n">
        <x:f>SUM(Q74:S74)</x:f>
        <x:v>26</x:v>
      </x:c>
      <x:c r="AI74" s="17" t="n">
        <x:f>SUM(U74:Y74)</x:f>
        <x:v>0</x:v>
      </x:c>
      <x:c r="AJ74" s="17" t="str">
        <x:f>IF(AE74&lt;=34,"≤34",IF(AE74&lt;=44,"35–44",IF(AE74&lt;=54,"45–54",IF(AE74&lt;=64,"55–64","65+"))))</x:f>
        <x:v>55–64</x:v>
      </x:c>
      <x:c r="AK74" s="17" t="str">
        <x:f>IF(AG74&gt;=1000,"High Value",IF(AG74&gt;=300,"Mid Value","Low Value"))</x:f>
        <x:v>Mid Value</x:v>
      </x:c>
      <x:c r="AL74" s="17" t="str">
        <x:f>IF(AND(AI74&gt;=1,I74&lt;=50),"Priority 1",IF(AND(AG74&gt;=1000,I74&lt;=60),"Priority 2",IF(I74&lt;=30,"Priority 3","Nurture")))</x:f>
        <x:v>Priority 3</x:v>
      </x:c>
    </x:row>
    <x:row r="75">
      <x:c r="A75" s="16" t="n">
        <x:v>8132</x:v>
      </x:c>
      <x:c r="B75" s="16" t="n">
        <x:v>1975</x:v>
      </x:c>
      <x:c r="C75" s="16" t="str">
        <x:v>PhD</x:v>
      </x:c>
      <x:c r="D75" s="16" t="str">
        <x:v>Married</x:v>
      </x:c>
      <x:c r="E75" s="16" t="n">
        <x:v>60631</x:v>
      </x:c>
      <x:c r="F75" s="16" t="n">
        <x:v>1</x:v>
      </x:c>
      <x:c r="G75" s="16" t="n">
        <x:v>1</x:v>
      </x:c>
      <x:c r="H75" s="16" t="str">
        <x:v>05-04-2013</x:v>
      </x:c>
      <x:c r="I75" s="16" t="n">
        <x:v>88</x:v>
      </x:c>
      <x:c r="J75" s="16" t="n">
        <x:v>565</x:v>
      </x:c>
      <x:c r="K75" s="16" t="n">
        <x:v>6</x:v>
      </x:c>
      <x:c r="L75" s="16" t="n">
        <x:v>65</x:v>
      </x:c>
      <x:c r="M75" s="16" t="n">
        <x:v>0</x:v>
      </x:c>
      <x:c r="N75" s="16" t="n">
        <x:v>6</x:v>
      </x:c>
      <x:c r="O75" s="16" t="n">
        <x:v>19</x:v>
      </x:c>
      <x:c r="P75" s="16" t="n">
        <x:v>5</x:v>
      </x:c>
      <x:c r="Q75" s="16" t="n">
        <x:v>9</x:v>
      </x:c>
      <x:c r="R75" s="16" t="n">
        <x:v>2</x:v>
      </x:c>
      <x:c r="S75" s="16" t="n">
        <x:v>8</x:v>
      </x:c>
      <x:c r="T75" s="16" t="n">
        <x:v>7</x:v>
      </x:c>
      <x:c r="U75" s="16" t="n">
        <x:v>0</x:v>
      </x:c>
      <x:c r="V75" s="16" t="n">
        <x:v>1</x:v>
      </x:c>
      <x:c r="W75" s="16" t="n">
        <x:v>0</x:v>
      </x:c>
      <x:c r="X75" s="16" t="n">
        <x:v>0</x:v>
      </x:c>
      <x:c r="Y75" s="16" t="n">
        <x:v>0</x:v>
      </x:c>
      <x:c r="Z75" s="16" t="n">
        <x:v>0</x:v>
      </x:c>
      <x:c r="AA75" s="16" t="n">
        <x:v>3</x:v>
      </x:c>
      <x:c r="AB75" s="16" t="n">
        <x:v>11</x:v>
      </x:c>
      <x:c r="AC75" s="16" t="n">
        <x:v>0</x:v>
      </x:c>
      <x:c r="AD75" s="21" t="n">
        <x:f>IF(E75="",MEDIAN($E$2:$E$2237),E75)</x:f>
        <x:v>60631</x:v>
      </x:c>
      <x:c r="AE75" s="17" t="n">
        <x:f>2014-B75</x:f>
        <x:v>39</x:v>
      </x:c>
      <x:c r="AF75" s="17" t="n">
        <x:f>F75+G75</x:f>
        <x:v>2</x:v>
      </x:c>
      <x:c r="AG75" s="21" t="n">
        <x:f>SUM(J75:O75)</x:f>
        <x:v>661</x:v>
      </x:c>
      <x:c r="AH75" s="17" t="n">
        <x:f>SUM(Q75:S75)</x:f>
        <x:v>19</x:v>
      </x:c>
      <x:c r="AI75" s="17" t="n">
        <x:f>SUM(U75:Y75)</x:f>
        <x:v>1</x:v>
      </x:c>
      <x:c r="AJ75" s="17" t="str">
        <x:f>IF(AE75&lt;=34,"≤34",IF(AE75&lt;=44,"35–44",IF(AE75&lt;=54,"45–54",IF(AE75&lt;=64,"55–64","65+"))))</x:f>
        <x:v>35–44</x:v>
      </x:c>
      <x:c r="AK75" s="17" t="str">
        <x:f>IF(AG75&gt;=1000,"High Value",IF(AG75&gt;=300,"Mid Value","Low Value"))</x:f>
        <x:v>Mid Value</x:v>
      </x:c>
      <x:c r="AL75" s="17" t="str">
        <x:f>IF(AND(AI75&gt;=1,I75&lt;=50),"Priority 1",IF(AND(AG75&gt;=1000,I75&lt;=60),"Priority 2",IF(I75&lt;=30,"Priority 3","Nurture")))</x:f>
        <x:v>Nurture</x:v>
      </x:c>
    </x:row>
    <x:row r="76">
      <x:c r="A76" s="16" t="n">
        <x:v>1050</x:v>
      </x:c>
      <x:c r="B76" s="16" t="n">
        <x:v>1952</x:v>
      </x:c>
      <x:c r="C76" s="16" t="str">
        <x:v>Graduation</x:v>
      </x:c>
      <x:c r="D76" s="16" t="str">
        <x:v>Married</x:v>
      </x:c>
      <x:c r="E76" s="16" t="n">
        <x:v>28332</x:v>
      </x:c>
      <x:c r="F76" s="16" t="n">
        <x:v>0</x:v>
      </x:c>
      <x:c r="G76" s="16" t="n">
        <x:v>0</x:v>
      </x:c>
      <x:c r="H76" s="16" t="str">
        <x:v>30-04-2014</x:v>
      </x:c>
      <x:c r="I76" s="16" t="n">
        <x:v>58</x:v>
      </x:c>
      <x:c r="J76" s="16" t="n">
        <x:v>14</x:v>
      </x:c>
      <x:c r="K76" s="16" t="n">
        <x:v>10</x:v>
      </x:c>
      <x:c r="L76" s="16" t="n">
        <x:v>13</x:v>
      </x:c>
      <x:c r="M76" s="16" t="n">
        <x:v>4</x:v>
      </x:c>
      <x:c r="N76" s="16" t="n">
        <x:v>15</x:v>
      </x:c>
      <x:c r="O76" s="16" t="n">
        <x:v>9</x:v>
      </x:c>
      <x:c r="P76" s="16" t="n">
        <x:v>1</x:v>
      </x:c>
      <x:c r="Q76" s="16" t="n">
        <x:v>2</x:v>
      </x:c>
      <x:c r="R76" s="16" t="n">
        <x:v>1</x:v>
      </x:c>
      <x:c r="S76" s="16" t="n">
        <x:v>4</x:v>
      </x:c>
      <x:c r="T76" s="16" t="n">
        <x:v>2</x:v>
      </x:c>
      <x:c r="U76" s="16" t="n">
        <x:v>0</x:v>
      </x:c>
      <x:c r="V76" s="16" t="n">
        <x:v>0</x:v>
      </x:c>
      <x:c r="W76" s="16" t="n">
        <x:v>0</x:v>
      </x:c>
      <x:c r="X76" s="16" t="n">
        <x:v>0</x:v>
      </x:c>
      <x:c r="Y76" s="16" t="n">
        <x:v>0</x:v>
      </x:c>
      <x:c r="Z76" s="16" t="n">
        <x:v>0</x:v>
      </x:c>
      <x:c r="AA76" s="16" t="n">
        <x:v>3</x:v>
      </x:c>
      <x:c r="AB76" s="16" t="n">
        <x:v>11</x:v>
      </x:c>
      <x:c r="AC76" s="16" t="n">
        <x:v>0</x:v>
      </x:c>
      <x:c r="AD76" s="21" t="n">
        <x:f>IF(E76="",MEDIAN($E$2:$E$2237),E76)</x:f>
        <x:v>28332</x:v>
      </x:c>
      <x:c r="AE76" s="17" t="n">
        <x:f>2014-B76</x:f>
        <x:v>62</x:v>
      </x:c>
      <x:c r="AF76" s="17" t="n">
        <x:f>F76+G76</x:f>
        <x:v>0</x:v>
      </x:c>
      <x:c r="AG76" s="21" t="n">
        <x:f>SUM(J76:O76)</x:f>
        <x:v>65</x:v>
      </x:c>
      <x:c r="AH76" s="17" t="n">
        <x:f>SUM(Q76:S76)</x:f>
        <x:v>7</x:v>
      </x:c>
      <x:c r="AI76" s="17" t="n">
        <x:f>SUM(U76:Y76)</x:f>
        <x:v>0</x:v>
      </x:c>
      <x:c r="AJ76" s="17" t="str">
        <x:f>IF(AE76&lt;=34,"≤34",IF(AE76&lt;=44,"35–44",IF(AE76&lt;=54,"45–54",IF(AE76&lt;=64,"55–64","65+"))))</x:f>
        <x:v>55–64</x:v>
      </x:c>
      <x:c r="AK76" s="17" t="str">
        <x:f>IF(AG76&gt;=1000,"High Value",IF(AG76&gt;=300,"Mid Value","Low Value"))</x:f>
        <x:v>Low Value</x:v>
      </x:c>
      <x:c r="AL76" s="17" t="str">
        <x:f>IF(AND(AI76&gt;=1,I76&lt;=50),"Priority 1",IF(AND(AG76&gt;=1000,I76&lt;=60),"Priority 2",IF(I76&lt;=30,"Priority 3","Nurture")))</x:f>
        <x:v>Nurture</x:v>
      </x:c>
    </x:row>
    <x:row r="77">
      <x:c r="A77" s="16" t="n">
        <x:v>5846</x:v>
      </x:c>
      <x:c r="B77" s="16" t="n">
        <x:v>1977</x:v>
      </x:c>
      <x:c r="C77" s="16" t="str">
        <x:v>Graduation</x:v>
      </x:c>
      <x:c r="D77" s="16" t="str">
        <x:v>Divorced</x:v>
      </x:c>
      <x:c r="E77" s="16" t="n">
        <x:v>40246</x:v>
      </x:c>
      <x:c r="F77" s="16" t="n">
        <x:v>1</x:v>
      </x:c>
      <x:c r="G77" s="16" t="n">
        <x:v>0</x:v>
      </x:c>
      <x:c r="H77" s="16" t="str">
        <x:v>19-12-2012</x:v>
      </x:c>
      <x:c r="I77" s="16" t="n">
        <x:v>68</x:v>
      </x:c>
      <x:c r="J77" s="16" t="n">
        <x:v>2</x:v>
      </x:c>
      <x:c r="K77" s="16" t="n">
        <x:v>1</x:v>
      </x:c>
      <x:c r="L77" s="16" t="n">
        <x:v>6</x:v>
      </x:c>
      <x:c r="M77" s="16" t="n">
        <x:v>2</x:v>
      </x:c>
      <x:c r="N77" s="16" t="n">
        <x:v>1</x:v>
      </x:c>
      <x:c r="O77" s="16" t="n">
        <x:v>1</x:v>
      </x:c>
      <x:c r="P77" s="16" t="n">
        <x:v>1</x:v>
      </x:c>
      <x:c r="Q77" s="16" t="n">
        <x:v>1</x:v>
      </x:c>
      <x:c r="R77" s="16" t="n">
        <x:v>0</x:v>
      </x:c>
      <x:c r="S77" s="16" t="n">
        <x:v>2</x:v>
      </x:c>
      <x:c r="T77" s="16" t="n">
        <x:v>6</x:v>
      </x:c>
      <x:c r="U77" s="16" t="n">
        <x:v>0</x:v>
      </x:c>
      <x:c r="V77" s="16" t="n">
        <x:v>0</x:v>
      </x:c>
      <x:c r="W77" s="16" t="n">
        <x:v>0</x:v>
      </x:c>
      <x:c r="X77" s="16" t="n">
        <x:v>0</x:v>
      </x:c>
      <x:c r="Y77" s="16" t="n">
        <x:v>0</x:v>
      </x:c>
      <x:c r="Z77" s="16" t="n">
        <x:v>0</x:v>
      </x:c>
      <x:c r="AA77" s="16" t="n">
        <x:v>3</x:v>
      </x:c>
      <x:c r="AB77" s="16" t="n">
        <x:v>11</x:v>
      </x:c>
      <x:c r="AC77" s="16" t="n">
        <x:v>0</x:v>
      </x:c>
      <x:c r="AD77" s="21" t="n">
        <x:f>IF(E77="",MEDIAN($E$2:$E$2237),E77)</x:f>
        <x:v>40246</x:v>
      </x:c>
      <x:c r="AE77" s="17" t="n">
        <x:f>2014-B77</x:f>
        <x:v>37</x:v>
      </x:c>
      <x:c r="AF77" s="17" t="n">
        <x:f>F77+G77</x:f>
        <x:v>1</x:v>
      </x:c>
      <x:c r="AG77" s="21" t="n">
        <x:f>SUM(J77:O77)</x:f>
        <x:v>13</x:v>
      </x:c>
      <x:c r="AH77" s="17" t="n">
        <x:f>SUM(Q77:S77)</x:f>
        <x:v>3</x:v>
      </x:c>
      <x:c r="AI77" s="17" t="n">
        <x:f>SUM(U77:Y77)</x:f>
        <x:v>0</x:v>
      </x:c>
      <x:c r="AJ77" s="17" t="str">
        <x:f>IF(AE77&lt;=34,"≤34",IF(AE77&lt;=44,"35–44",IF(AE77&lt;=54,"45–54",IF(AE77&lt;=64,"55–64","65+"))))</x:f>
        <x:v>35–44</x:v>
      </x:c>
      <x:c r="AK77" s="17" t="str">
        <x:f>IF(AG77&gt;=1000,"High Value",IF(AG77&gt;=300,"Mid Value","Low Value"))</x:f>
        <x:v>Low Value</x:v>
      </x:c>
      <x:c r="AL77" s="17" t="str">
        <x:f>IF(AND(AI77&gt;=1,I77&lt;=50),"Priority 1",IF(AND(AG77&gt;=1000,I77&lt;=60),"Priority 2",IF(I77&lt;=30,"Priority 3","Nurture")))</x:f>
        <x:v>Nurture</x:v>
      </x:c>
    </x:row>
    <x:row r="78">
      <x:c r="A78" s="16" t="n">
        <x:v>1859</x:v>
      </x:c>
      <x:c r="B78" s="16" t="n">
        <x:v>1972</x:v>
      </x:c>
      <x:c r="C78" s="16" t="str">
        <x:v>Master</x:v>
      </x:c>
      <x:c r="D78" s="16" t="str">
        <x:v>Married</x:v>
      </x:c>
      <x:c r="E78" s="16" t="n">
        <x:v>75251</x:v>
      </x:c>
      <x:c r="F78" s="16" t="n">
        <x:v>0</x:v>
      </x:c>
      <x:c r="G78" s="16" t="n">
        <x:v>0</x:v>
      </x:c>
      <x:c r="H78" s="16" t="str">
        <x:v>27-08-2012</x:v>
      </x:c>
      <x:c r="I78" s="16" t="n">
        <x:v>34</x:v>
      </x:c>
      <x:c r="J78" s="16" t="n">
        <x:v>721</x:v>
      </x:c>
      <x:c r="K78" s="16" t="n">
        <x:v>111</x:v>
      </x:c>
      <x:c r="L78" s="16" t="n">
        <x:v>925</x:v>
      </x:c>
      <x:c r="M78" s="16" t="n">
        <x:v>97</x:v>
      </x:c>
      <x:c r="N78" s="16" t="n">
        <x:v>18</x:v>
      </x:c>
      <x:c r="O78" s="16" t="n">
        <x:v>18</x:v>
      </x:c>
      <x:c r="P78" s="16" t="n">
        <x:v>1</x:v>
      </x:c>
      <x:c r="Q78" s="16" t="n">
        <x:v>7</x:v>
      </x:c>
      <x:c r="R78" s="16" t="n">
        <x:v>6</x:v>
      </x:c>
      <x:c r="S78" s="16" t="n">
        <x:v>5</x:v>
      </x:c>
      <x:c r="T78" s="16" t="n">
        <x:v>5</x:v>
      </x:c>
      <x:c r="U78" s="16" t="n">
        <x:v>0</x:v>
      </x:c>
      <x:c r="V78" s="16" t="n">
        <x:v>0</x:v>
      </x:c>
      <x:c r="W78" s="16" t="n">
        <x:v>0</x:v>
      </x:c>
      <x:c r="X78" s="16" t="n">
        <x:v>0</x:v>
      </x:c>
      <x:c r="Y78" s="16" t="n">
        <x:v>0</x:v>
      </x:c>
      <x:c r="Z78" s="16" t="n">
        <x:v>0</x:v>
      </x:c>
      <x:c r="AA78" s="16" t="n">
        <x:v>3</x:v>
      </x:c>
      <x:c r="AB78" s="16" t="n">
        <x:v>11</x:v>
      </x:c>
      <x:c r="AC78" s="16" t="n">
        <x:v>1</x:v>
      </x:c>
      <x:c r="AD78" s="21" t="n">
        <x:f>IF(E78="",MEDIAN($E$2:$E$2237),E78)</x:f>
        <x:v>75251</x:v>
      </x:c>
      <x:c r="AE78" s="17" t="n">
        <x:f>2014-B78</x:f>
        <x:v>42</x:v>
      </x:c>
      <x:c r="AF78" s="17" t="n">
        <x:f>F78+G78</x:f>
        <x:v>0</x:v>
      </x:c>
      <x:c r="AG78" s="21" t="n">
        <x:f>SUM(J78:O78)</x:f>
        <x:v>1890</x:v>
      </x:c>
      <x:c r="AH78" s="17" t="n">
        <x:f>SUM(Q78:S78)</x:f>
        <x:v>18</x:v>
      </x:c>
      <x:c r="AI78" s="17" t="n">
        <x:f>SUM(U78:Y78)</x:f>
        <x:v>0</x:v>
      </x:c>
      <x:c r="AJ78" s="17" t="str">
        <x:f>IF(AE78&lt;=34,"≤34",IF(AE78&lt;=44,"35–44",IF(AE78&lt;=54,"45–54",IF(AE78&lt;=64,"55–64","65+"))))</x:f>
        <x:v>35–44</x:v>
      </x:c>
      <x:c r="AK78" s="17" t="str">
        <x:f>IF(AG78&gt;=1000,"High Value",IF(AG78&gt;=300,"Mid Value","Low Value"))</x:f>
        <x:v>High Value</x:v>
      </x:c>
      <x:c r="AL78" s="17" t="str">
        <x:f>IF(AND(AI78&gt;=1,I78&lt;=50),"Priority 1",IF(AND(AG78&gt;=1000,I78&lt;=60),"Priority 2",IF(I78&lt;=30,"Priority 3","Nurture")))</x:f>
        <x:v>Priority 2</x:v>
      </x:c>
    </x:row>
    <x:row r="79">
      <x:c r="A79" s="16" t="n">
        <x:v>7503</x:v>
      </x:c>
      <x:c r="B79" s="16" t="n">
        <x:v>1976</x:v>
      </x:c>
      <x:c r="C79" s="16" t="str">
        <x:v>Graduation</x:v>
      </x:c>
      <x:c r="D79" s="16" t="str">
        <x:v>Single</x:v>
      </x:c>
      <x:c r="E79" s="16" t="n">
        <x:v>75825</x:v>
      </x:c>
      <x:c r="F79" s="16" t="n">
        <x:v>0</x:v>
      </x:c>
      <x:c r="G79" s="16" t="n">
        <x:v>0</x:v>
      </x:c>
      <x:c r="H79" s="16" t="str">
        <x:v>12-10-2012</x:v>
      </x:c>
      <x:c r="I79" s="16" t="n">
        <x:v>40</x:v>
      </x:c>
      <x:c r="J79" s="16" t="n">
        <x:v>1032</x:v>
      </x:c>
      <x:c r="K79" s="16" t="n">
        <x:v>105</x:v>
      </x:c>
      <x:c r="L79" s="16" t="n">
        <x:v>779</x:v>
      </x:c>
      <x:c r="M79" s="16" t="n">
        <x:v>137</x:v>
      </x:c>
      <x:c r="N79" s="16" t="n">
        <x:v>105</x:v>
      </x:c>
      <x:c r="O79" s="16" t="n">
        <x:v>51</x:v>
      </x:c>
      <x:c r="P79" s="16" t="n">
        <x:v>0</x:v>
      </x:c>
      <x:c r="Q79" s="16" t="n">
        <x:v>5</x:v>
      </x:c>
      <x:c r="R79" s="16" t="n">
        <x:v>8</x:v>
      </x:c>
      <x:c r="S79" s="16" t="n">
        <x:v>9</x:v>
      </x:c>
      <x:c r="T79" s="16" t="n">
        <x:v>4</x:v>
      </x:c>
      <x:c r="U79" s="16" t="n">
        <x:v>1</x:v>
      </x:c>
      <x:c r="V79" s="16" t="n">
        <x:v>0</x:v>
      </x:c>
      <x:c r="W79" s="16" t="n">
        <x:v>0</x:v>
      </x:c>
      <x:c r="X79" s="16" t="n">
        <x:v>0</x:v>
      </x:c>
      <x:c r="Y79" s="16" t="n">
        <x:v>0</x:v>
      </x:c>
      <x:c r="Z79" s="16" t="n">
        <x:v>0</x:v>
      </x:c>
      <x:c r="AA79" s="16" t="n">
        <x:v>3</x:v>
      </x:c>
      <x:c r="AB79" s="16" t="n">
        <x:v>11</x:v>
      </x:c>
      <x:c r="AC79" s="16" t="n">
        <x:v>1</x:v>
      </x:c>
      <x:c r="AD79" s="21" t="n">
        <x:f>IF(E79="",MEDIAN($E$2:$E$2237),E79)</x:f>
        <x:v>75825</x:v>
      </x:c>
      <x:c r="AE79" s="17" t="n">
        <x:f>2014-B79</x:f>
        <x:v>38</x:v>
      </x:c>
      <x:c r="AF79" s="17" t="n">
        <x:f>F79+G79</x:f>
        <x:v>0</x:v>
      </x:c>
      <x:c r="AG79" s="21" t="n">
        <x:f>SUM(J79:O79)</x:f>
        <x:v>2209</x:v>
      </x:c>
      <x:c r="AH79" s="17" t="n">
        <x:f>SUM(Q79:S79)</x:f>
        <x:v>22</x:v>
      </x:c>
      <x:c r="AI79" s="17" t="n">
        <x:f>SUM(U79:Y79)</x:f>
        <x:v>1</x:v>
      </x:c>
      <x:c r="AJ79" s="17" t="str">
        <x:f>IF(AE79&lt;=34,"≤34",IF(AE79&lt;=44,"35–44",IF(AE79&lt;=54,"45–54",IF(AE79&lt;=64,"55–64","65+"))))</x:f>
        <x:v>35–44</x:v>
      </x:c>
      <x:c r="AK79" s="17" t="str">
        <x:f>IF(AG79&gt;=1000,"High Value",IF(AG79&gt;=300,"Mid Value","Low Value"))</x:f>
        <x:v>High Value</x:v>
      </x:c>
      <x:c r="AL79" s="17" t="str">
        <x:f>IF(AND(AI79&gt;=1,I79&lt;=50),"Priority 1",IF(AND(AG79&gt;=1000,I79&lt;=60),"Priority 2",IF(I79&lt;=30,"Priority 3","Nurture")))</x:f>
        <x:v>Priority 1</x:v>
      </x:c>
    </x:row>
    <x:row r="80">
      <x:c r="A80" s="16" t="n">
        <x:v>10401</x:v>
      </x:c>
      <x:c r="B80" s="16" t="n">
        <x:v>1976</x:v>
      </x:c>
      <x:c r="C80" s="16" t="str">
        <x:v>2n Cycle</x:v>
      </x:c>
      <x:c r="D80" s="16" t="str">
        <x:v>Together</x:v>
      </x:c>
      <x:c r="E80" s="16" t="n">
        <x:v>26326</x:v>
      </x:c>
      <x:c r="F80" s="16" t="n">
        <x:v>0</x:v>
      </x:c>
      <x:c r="G80" s="16" t="n">
        <x:v>0</x:v>
      </x:c>
      <x:c r="H80" s="16" t="str">
        <x:v>04-09-2013</x:v>
      </x:c>
      <x:c r="I80" s="16" t="n">
        <x:v>12</x:v>
      </x:c>
      <x:c r="J80" s="16" t="n">
        <x:v>1</x:v>
      </x:c>
      <x:c r="K80" s="16" t="n">
        <x:v>0</x:v>
      </x:c>
      <x:c r="L80" s="16" t="n">
        <x:v>5</x:v>
      </x:c>
      <x:c r="M80" s="16" t="n">
        <x:v>0</x:v>
      </x:c>
      <x:c r="N80" s="16" t="n">
        <x:v>3</x:v>
      </x:c>
      <x:c r="O80" s="16" t="n">
        <x:v>9</x:v>
      </x:c>
      <x:c r="P80" s="16" t="n">
        <x:v>1</x:v>
      </x:c>
      <x:c r="Q80" s="16" t="n">
        <x:v>0</x:v>
      </x:c>
      <x:c r="R80" s="16" t="n">
        <x:v>0</x:v>
      </x:c>
      <x:c r="S80" s="16" t="n">
        <x:v>3</x:v>
      </x:c>
      <x:c r="T80" s="16" t="n">
        <x:v>3</x:v>
      </x:c>
      <x:c r="U80" s="16" t="n">
        <x:v>0</x:v>
      </x:c>
      <x:c r="V80" s="16" t="n">
        <x:v>0</x:v>
      </x:c>
      <x:c r="W80" s="16" t="n">
        <x:v>0</x:v>
      </x:c>
      <x:c r="X80" s="16" t="n">
        <x:v>0</x:v>
      </x:c>
      <x:c r="Y80" s="16" t="n">
        <x:v>0</x:v>
      </x:c>
      <x:c r="Z80" s="16" t="n">
        <x:v>1</x:v>
      </x:c>
      <x:c r="AA80" s="16" t="n">
        <x:v>3</x:v>
      </x:c>
      <x:c r="AB80" s="16" t="n">
        <x:v>11</x:v>
      </x:c>
      <x:c r="AC80" s="16" t="n">
        <x:v>0</x:v>
      </x:c>
      <x:c r="AD80" s="21" t="n">
        <x:f>IF(E80="",MEDIAN($E$2:$E$2237),E80)</x:f>
        <x:v>26326</x:v>
      </x:c>
      <x:c r="AE80" s="17" t="n">
        <x:f>2014-B80</x:f>
        <x:v>38</x:v>
      </x:c>
      <x:c r="AF80" s="17" t="n">
        <x:f>F80+G80</x:f>
        <x:v>0</x:v>
      </x:c>
      <x:c r="AG80" s="21" t="n">
        <x:f>SUM(J80:O80)</x:f>
        <x:v>18</x:v>
      </x:c>
      <x:c r="AH80" s="17" t="n">
        <x:f>SUM(Q80:S80)</x:f>
        <x:v>3</x:v>
      </x:c>
      <x:c r="AI80" s="17" t="n">
        <x:f>SUM(U80:Y80)</x:f>
        <x:v>0</x:v>
      </x:c>
      <x:c r="AJ80" s="17" t="str">
        <x:f>IF(AE80&lt;=34,"≤34",IF(AE80&lt;=44,"35–44",IF(AE80&lt;=54,"45–54",IF(AE80&lt;=64,"55–64","65+"))))</x:f>
        <x:v>35–44</x:v>
      </x:c>
      <x:c r="AK80" s="17" t="str">
        <x:f>IF(AG80&gt;=1000,"High Value",IF(AG80&gt;=300,"Mid Value","Low Value"))</x:f>
        <x:v>Low Value</x:v>
      </x:c>
      <x:c r="AL80" s="17" t="str">
        <x:f>IF(AND(AI80&gt;=1,I80&lt;=50),"Priority 1",IF(AND(AG80&gt;=1000,I80&lt;=60),"Priority 2",IF(I80&lt;=30,"Priority 3","Nurture")))</x:f>
        <x:v>Priority 3</x:v>
      </x:c>
    </x:row>
    <x:row r="81">
      <x:c r="A81" s="16" t="n">
        <x:v>1618</x:v>
      </x:c>
      <x:c r="B81" s="16" t="n">
        <x:v>1965</x:v>
      </x:c>
      <x:c r="C81" s="16" t="str">
        <x:v>Graduation</x:v>
      </x:c>
      <x:c r="D81" s="16" t="str">
        <x:v>Together</x:v>
      </x:c>
      <x:c r="E81" s="16" t="n">
        <x:v>56046</x:v>
      </x:c>
      <x:c r="F81" s="16" t="n">
        <x:v>0</x:v>
      </x:c>
      <x:c r="G81" s="16" t="n">
        <x:v>0</x:v>
      </x:c>
      <x:c r="H81" s="16" t="str">
        <x:v>02-01-2013</x:v>
      </x:c>
      <x:c r="I81" s="16" t="n">
        <x:v>9</x:v>
      </x:c>
      <x:c r="J81" s="16" t="n">
        <x:v>577</x:v>
      </x:c>
      <x:c r="K81" s="16" t="n">
        <x:v>0</x:v>
      </x:c>
      <x:c r="L81" s="16" t="n">
        <x:v>64</x:v>
      </x:c>
      <x:c r="M81" s="16" t="n">
        <x:v>0</x:v>
      </x:c>
      <x:c r="N81" s="16" t="n">
        <x:v>0</x:v>
      </x:c>
      <x:c r="O81" s="16" t="n">
        <x:v>51</x:v>
      </x:c>
      <x:c r="P81" s="16" t="n">
        <x:v>2</x:v>
      </x:c>
      <x:c r="Q81" s="16" t="n">
        <x:v>10</x:v>
      </x:c>
      <x:c r="R81" s="16" t="n">
        <x:v>1</x:v>
      </x:c>
      <x:c r="S81" s="16" t="n">
        <x:v>8</x:v>
      </x:c>
      <x:c r="T81" s="16" t="n">
        <x:v>8</x:v>
      </x:c>
      <x:c r="U81" s="16" t="n">
        <x:v>1</x:v>
      </x:c>
      <x:c r="V81" s="16" t="n">
        <x:v>0</x:v>
      </x:c>
      <x:c r="W81" s="16" t="n">
        <x:v>0</x:v>
      </x:c>
      <x:c r="X81" s="16" t="n">
        <x:v>0</x:v>
      </x:c>
      <x:c r="Y81" s="16" t="n">
        <x:v>0</x:v>
      </x:c>
      <x:c r="Z81" s="16" t="n">
        <x:v>0</x:v>
      </x:c>
      <x:c r="AA81" s="16" t="n">
        <x:v>3</x:v>
      </x:c>
      <x:c r="AB81" s="16" t="n">
        <x:v>11</x:v>
      </x:c>
      <x:c r="AC81" s="16" t="n">
        <x:v>1</x:v>
      </x:c>
      <x:c r="AD81" s="21" t="n">
        <x:f>IF(E81="",MEDIAN($E$2:$E$2237),E81)</x:f>
        <x:v>56046</x:v>
      </x:c>
      <x:c r="AE81" s="17" t="n">
        <x:f>2014-B81</x:f>
        <x:v>49</x:v>
      </x:c>
      <x:c r="AF81" s="17" t="n">
        <x:f>F81+G81</x:f>
        <x:v>0</x:v>
      </x:c>
      <x:c r="AG81" s="21" t="n">
        <x:f>SUM(J81:O81)</x:f>
        <x:v>692</x:v>
      </x:c>
      <x:c r="AH81" s="17" t="n">
        <x:f>SUM(Q81:S81)</x:f>
        <x:v>19</x:v>
      </x:c>
      <x:c r="AI81" s="17" t="n">
        <x:f>SUM(U81:Y81)</x:f>
        <x:v>1</x:v>
      </x:c>
      <x:c r="AJ81" s="17" t="str">
        <x:f>IF(AE81&lt;=34,"≤34",IF(AE81&lt;=44,"35–44",IF(AE81&lt;=54,"45–54",IF(AE81&lt;=64,"55–64","65+"))))</x:f>
        <x:v>45–54</x:v>
      </x:c>
      <x:c r="AK81" s="17" t="str">
        <x:f>IF(AG81&gt;=1000,"High Value",IF(AG81&gt;=300,"Mid Value","Low Value"))</x:f>
        <x:v>Mid Value</x:v>
      </x:c>
      <x:c r="AL81" s="17" t="str">
        <x:f>IF(AND(AI81&gt;=1,I81&lt;=50),"Priority 1",IF(AND(AG81&gt;=1000,I81&lt;=60),"Priority 2",IF(I81&lt;=30,"Priority 3","Nurture")))</x:f>
        <x:v>Priority 1</x:v>
      </x:c>
    </x:row>
    <x:row r="82">
      <x:c r="A82" s="16" t="n">
        <x:v>3332</x:v>
      </x:c>
      <x:c r="B82" s="16" t="n">
        <x:v>1985</x:v>
      </x:c>
      <x:c r="C82" s="16" t="str">
        <x:v>Graduation</x:v>
      </x:c>
      <x:c r="D82" s="16" t="str">
        <x:v>Single</x:v>
      </x:c>
      <x:c r="E82" s="16" t="n">
        <x:v>29760</x:v>
      </x:c>
      <x:c r="F82" s="16" t="n">
        <x:v>1</x:v>
      </x:c>
      <x:c r="G82" s="16" t="n">
        <x:v>0</x:v>
      </x:c>
      <x:c r="H82" s="16" t="str">
        <x:v>29-08-2012</x:v>
      </x:c>
      <x:c r="I82" s="16" t="n">
        <x:v>87</x:v>
      </x:c>
      <x:c r="J82" s="16" t="n">
        <x:v>64</x:v>
      </x:c>
      <x:c r="K82" s="16" t="n">
        <x:v>4</x:v>
      </x:c>
      <x:c r="L82" s="16" t="n">
        <x:v>68</x:v>
      </x:c>
      <x:c r="M82" s="16" t="n">
        <x:v>7</x:v>
      </x:c>
      <x:c r="N82" s="16" t="n">
        <x:v>5</x:v>
      </x:c>
      <x:c r="O82" s="16" t="n">
        <x:v>17</x:v>
      </x:c>
      <x:c r="P82" s="16" t="n">
        <x:v>4</x:v>
      </x:c>
      <x:c r="Q82" s="16" t="n">
        <x:v>3</x:v>
      </x:c>
      <x:c r="R82" s="16" t="n">
        <x:v>1</x:v>
      </x:c>
      <x:c r="S82" s="16" t="n">
        <x:v>4</x:v>
      </x:c>
      <x:c r="T82" s="16" t="n">
        <x:v>8</x:v>
      </x:c>
      <x:c r="U82" s="16" t="n">
        <x:v>0</x:v>
      </x:c>
      <x:c r="V82" s="16" t="n">
        <x:v>0</x:v>
      </x:c>
      <x:c r="W82" s="16" t="n">
        <x:v>0</x:v>
      </x:c>
      <x:c r="X82" s="16" t="n">
        <x:v>0</x:v>
      </x:c>
      <x:c r="Y82" s="16" t="n">
        <x:v>0</x:v>
      </x:c>
      <x:c r="Z82" s="16" t="n">
        <x:v>0</x:v>
      </x:c>
      <x:c r="AA82" s="16" t="n">
        <x:v>3</x:v>
      </x:c>
      <x:c r="AB82" s="16" t="n">
        <x:v>11</x:v>
      </x:c>
      <x:c r="AC82" s="16" t="n">
        <x:v>0</x:v>
      </x:c>
      <x:c r="AD82" s="21" t="n">
        <x:f>IF(E82="",MEDIAN($E$2:$E$2237),E82)</x:f>
        <x:v>29760</x:v>
      </x:c>
      <x:c r="AE82" s="17" t="n">
        <x:f>2014-B82</x:f>
        <x:v>29</x:v>
      </x:c>
      <x:c r="AF82" s="17" t="n">
        <x:f>F82+G82</x:f>
        <x:v>1</x:v>
      </x:c>
      <x:c r="AG82" s="21" t="n">
        <x:f>SUM(J82:O82)</x:f>
        <x:v>165</x:v>
      </x:c>
      <x:c r="AH82" s="17" t="n">
        <x:f>SUM(Q82:S82)</x:f>
        <x:v>8</x:v>
      </x:c>
      <x:c r="AI82" s="17" t="n">
        <x:f>SUM(U82:Y82)</x:f>
        <x:v>0</x:v>
      </x:c>
      <x:c r="AJ82" s="17" t="str">
        <x:f>IF(AE82&lt;=34,"≤34",IF(AE82&lt;=44,"35–44",IF(AE82&lt;=54,"45–54",IF(AE82&lt;=64,"55–64","65+"))))</x:f>
        <x:v>≤34</x:v>
      </x:c>
      <x:c r="AK82" s="17" t="str">
        <x:f>IF(AG82&gt;=1000,"High Value",IF(AG82&gt;=300,"Mid Value","Low Value"))</x:f>
        <x:v>Low Value</x:v>
      </x:c>
      <x:c r="AL82" s="17" t="str">
        <x:f>IF(AND(AI82&gt;=1,I82&lt;=50),"Priority 1",IF(AND(AG82&gt;=1000,I82&lt;=60),"Priority 2",IF(I82&lt;=30,"Priority 3","Nurture")))</x:f>
        <x:v>Nurture</x:v>
      </x:c>
    </x:row>
    <x:row r="83">
      <x:c r="A83" s="16" t="n">
        <x:v>2261</x:v>
      </x:c>
      <x:c r="B83" s="16" t="n">
        <x:v>1969</x:v>
      </x:c>
      <x:c r="C83" s="16" t="str">
        <x:v>Graduation</x:v>
      </x:c>
      <x:c r="D83" s="16" t="str">
        <x:v>Married</x:v>
      </x:c>
      <x:c r="E83" s="16" t="n">
        <x:v>26304</x:v>
      </x:c>
      <x:c r="F83" s="16" t="n">
        <x:v>1</x:v>
      </x:c>
      <x:c r="G83" s="16" t="n">
        <x:v>0</x:v>
      </x:c>
      <x:c r="H83" s="16" t="str">
        <x:v>23-06-2013</x:v>
      </x:c>
      <x:c r="I83" s="16" t="n">
        <x:v>5</x:v>
      </x:c>
      <x:c r="J83" s="16" t="n">
        <x:v>4</x:v>
      </x:c>
      <x:c r="K83" s="16" t="n">
        <x:v>1</x:v>
      </x:c>
      <x:c r="L83" s="16" t="n">
        <x:v>5</x:v>
      </x:c>
      <x:c r="M83" s="16" t="n">
        <x:v>2</x:v>
      </x:c>
      <x:c r="N83" s="16" t="n">
        <x:v>0</x:v>
      </x:c>
      <x:c r="O83" s="16" t="n">
        <x:v>4</x:v>
      </x:c>
      <x:c r="P83" s="16" t="n">
        <x:v>1</x:v>
      </x:c>
      <x:c r="Q83" s="16" t="n">
        <x:v>1</x:v>
      </x:c>
      <x:c r="R83" s="16" t="n">
        <x:v>0</x:v>
      </x:c>
      <x:c r="S83" s="16" t="n">
        <x:v>2</x:v>
      </x:c>
      <x:c r="T83" s="16" t="n">
        <x:v>7</x:v>
      </x:c>
      <x:c r="U83" s="16" t="n">
        <x:v>0</x:v>
      </x:c>
      <x:c r="V83" s="16" t="n">
        <x:v>0</x:v>
      </x:c>
      <x:c r="W83" s="16" t="n">
        <x:v>0</x:v>
      </x:c>
      <x:c r="X83" s="16" t="n">
        <x:v>0</x:v>
      </x:c>
      <x:c r="Y83" s="16" t="n">
        <x:v>0</x:v>
      </x:c>
      <x:c r="Z83" s="16" t="n">
        <x:v>0</x:v>
      </x:c>
      <x:c r="AA83" s="16" t="n">
        <x:v>3</x:v>
      </x:c>
      <x:c r="AB83" s="16" t="n">
        <x:v>11</x:v>
      </x:c>
      <x:c r="AC83" s="16" t="n">
        <x:v>0</x:v>
      </x:c>
      <x:c r="AD83" s="21" t="n">
        <x:f>IF(E83="",MEDIAN($E$2:$E$2237),E83)</x:f>
        <x:v>26304</x:v>
      </x:c>
      <x:c r="AE83" s="17" t="n">
        <x:f>2014-B83</x:f>
        <x:v>45</x:v>
      </x:c>
      <x:c r="AF83" s="17" t="n">
        <x:f>F83+G83</x:f>
        <x:v>1</x:v>
      </x:c>
      <x:c r="AG83" s="21" t="n">
        <x:f>SUM(J83:O83)</x:f>
        <x:v>16</x:v>
      </x:c>
      <x:c r="AH83" s="17" t="n">
        <x:f>SUM(Q83:S83)</x:f>
        <x:v>3</x:v>
      </x:c>
      <x:c r="AI83" s="17" t="n">
        <x:f>SUM(U83:Y83)</x:f>
        <x:v>0</x:v>
      </x:c>
      <x:c r="AJ83" s="17" t="str">
        <x:f>IF(AE83&lt;=34,"≤34",IF(AE83&lt;=44,"35–44",IF(AE83&lt;=54,"45–54",IF(AE83&lt;=64,"55–64","65+"))))</x:f>
        <x:v>45–54</x:v>
      </x:c>
      <x:c r="AK83" s="17" t="str">
        <x:f>IF(AG83&gt;=1000,"High Value",IF(AG83&gt;=300,"Mid Value","Low Value"))</x:f>
        <x:v>Low Value</x:v>
      </x:c>
      <x:c r="AL83" s="17" t="str">
        <x:f>IF(AND(AI83&gt;=1,I83&lt;=50),"Priority 1",IF(AND(AG83&gt;=1000,I83&lt;=60),"Priority 2",IF(I83&lt;=30,"Priority 3","Nurture")))</x:f>
        <x:v>Priority 3</x:v>
      </x:c>
    </x:row>
    <x:row r="84">
      <x:c r="A84" s="16" t="n">
        <x:v>5346</x:v>
      </x:c>
      <x:c r="B84" s="16" t="n">
        <x:v>1973</x:v>
      </x:c>
      <x:c r="C84" s="16" t="str">
        <x:v>2n Cycle</x:v>
      </x:c>
      <x:c r="D84" s="16" t="str">
        <x:v>Married</x:v>
      </x:c>
      <x:c r="E84" s="16" t="n">
        <x:v>23559</x:v>
      </x:c>
      <x:c r="F84" s="16" t="n">
        <x:v>1</x:v>
      </x:c>
      <x:c r="G84" s="16" t="n">
        <x:v>0</x:v>
      </x:c>
      <x:c r="H84" s="16" t="str">
        <x:v>03-07-2013</x:v>
      </x:c>
      <x:c r="I84" s="16" t="n">
        <x:v>87</x:v>
      </x:c>
      <x:c r="J84" s="16" t="n">
        <x:v>25</x:v>
      </x:c>
      <x:c r="K84" s="16" t="n">
        <x:v>5</x:v>
      </x:c>
      <x:c r="L84" s="16" t="n">
        <x:v>19</x:v>
      </x:c>
      <x:c r="M84" s="16" t="n">
        <x:v>7</x:v>
      </x:c>
      <x:c r="N84" s="16" t="n">
        <x:v>0</x:v>
      </x:c>
      <x:c r="O84" s="16" t="n">
        <x:v>23</x:v>
      </x:c>
      <x:c r="P84" s="16" t="n">
        <x:v>3</x:v>
      </x:c>
      <x:c r="Q84" s="16" t="n">
        <x:v>3</x:v>
      </x:c>
      <x:c r="R84" s="16" t="n">
        <x:v>0</x:v>
      </x:c>
      <x:c r="S84" s="16" t="n">
        <x:v>3</x:v>
      </x:c>
      <x:c r="T84" s="16" t="n">
        <x:v>7</x:v>
      </x:c>
      <x:c r="U84" s="16" t="n">
        <x:v>0</x:v>
      </x:c>
      <x:c r="V84" s="16" t="n">
        <x:v>0</x:v>
      </x:c>
      <x:c r="W84" s="16" t="n">
        <x:v>0</x:v>
      </x:c>
      <x:c r="X84" s="16" t="n">
        <x:v>0</x:v>
      </x:c>
      <x:c r="Y84" s="16" t="n">
        <x:v>0</x:v>
      </x:c>
      <x:c r="Z84" s="16" t="n">
        <x:v>0</x:v>
      </x:c>
      <x:c r="AA84" s="16" t="n">
        <x:v>3</x:v>
      </x:c>
      <x:c r="AB84" s="16" t="n">
        <x:v>11</x:v>
      </x:c>
      <x:c r="AC84" s="16" t="n">
        <x:v>0</x:v>
      </x:c>
      <x:c r="AD84" s="21" t="n">
        <x:f>IF(E84="",MEDIAN($E$2:$E$2237),E84)</x:f>
        <x:v>23559</x:v>
      </x:c>
      <x:c r="AE84" s="17" t="n">
        <x:f>2014-B84</x:f>
        <x:v>41</x:v>
      </x:c>
      <x:c r="AF84" s="17" t="n">
        <x:f>F84+G84</x:f>
        <x:v>1</x:v>
      </x:c>
      <x:c r="AG84" s="21" t="n">
        <x:f>SUM(J84:O84)</x:f>
        <x:v>79</x:v>
      </x:c>
      <x:c r="AH84" s="17" t="n">
        <x:f>SUM(Q84:S84)</x:f>
        <x:v>6</x:v>
      </x:c>
      <x:c r="AI84" s="17" t="n">
        <x:f>SUM(U84:Y84)</x:f>
        <x:v>0</x:v>
      </x:c>
      <x:c r="AJ84" s="17" t="str">
        <x:f>IF(AE84&lt;=34,"≤34",IF(AE84&lt;=44,"35–44",IF(AE84&lt;=54,"45–54",IF(AE84&lt;=64,"55–64","65+"))))</x:f>
        <x:v>35–44</x:v>
      </x:c>
      <x:c r="AK84" s="17" t="str">
        <x:f>IF(AG84&gt;=1000,"High Value",IF(AG84&gt;=300,"Mid Value","Low Value"))</x:f>
        <x:v>Low Value</x:v>
      </x:c>
      <x:c r="AL84" s="17" t="str">
        <x:f>IF(AND(AI84&gt;=1,I84&lt;=50),"Priority 1",IF(AND(AG84&gt;=1000,I84&lt;=60),"Priority 2",IF(I84&lt;=30,"Priority 3","Nurture")))</x:f>
        <x:v>Nurture</x:v>
      </x:c>
    </x:row>
    <x:row r="85">
      <x:c r="A85" s="16" t="n">
        <x:v>4119</x:v>
      </x:c>
      <x:c r="B85" s="16" t="n">
        <x:v>1963</x:v>
      </x:c>
      <x:c r="C85" s="16" t="str">
        <x:v>Master</x:v>
      </x:c>
      <x:c r="D85" s="16" t="str">
        <x:v>Together</x:v>
      </x:c>
      <x:c r="E85" s="16" t="n">
        <x:v>38620</x:v>
      </x:c>
      <x:c r="F85" s="16" t="n">
        <x:v>0</x:v>
      </x:c>
      <x:c r="G85" s="16" t="n">
        <x:v>0</x:v>
      </x:c>
      <x:c r="H85" s="16" t="str">
        <x:v>11-05-2013</x:v>
      </x:c>
      <x:c r="I85" s="16" t="n">
        <x:v>56</x:v>
      </x:c>
      <x:c r="J85" s="16" t="n">
        <x:v>112</x:v>
      </x:c>
      <x:c r="K85" s="16" t="n">
        <x:v>17</x:v>
      </x:c>
      <x:c r="L85" s="16" t="n">
        <x:v>44</x:v>
      </x:c>
      <x:c r="M85" s="16" t="n">
        <x:v>34</x:v>
      </x:c>
      <x:c r="N85" s="16" t="n">
        <x:v>22</x:v>
      </x:c>
      <x:c r="O85" s="16" t="n">
        <x:v>89</x:v>
      </x:c>
      <x:c r="P85" s="16" t="n">
        <x:v>1</x:v>
      </x:c>
      <x:c r="Q85" s="16" t="n">
        <x:v>2</x:v>
      </x:c>
      <x:c r="R85" s="16" t="n">
        <x:v>5</x:v>
      </x:c>
      <x:c r="S85" s="16" t="n">
        <x:v>3</x:v>
      </x:c>
      <x:c r="T85" s="16" t="n">
        <x:v>3</x:v>
      </x:c>
      <x:c r="U85" s="16" t="n">
        <x:v>0</x:v>
      </x:c>
      <x:c r="V85" s="16" t="n">
        <x:v>0</x:v>
      </x:c>
      <x:c r="W85" s="16" t="n">
        <x:v>0</x:v>
      </x:c>
      <x:c r="X85" s="16" t="n">
        <x:v>0</x:v>
      </x:c>
      <x:c r="Y85" s="16" t="n">
        <x:v>0</x:v>
      </x:c>
      <x:c r="Z85" s="16" t="n">
        <x:v>0</x:v>
      </x:c>
      <x:c r="AA85" s="16" t="n">
        <x:v>3</x:v>
      </x:c>
      <x:c r="AB85" s="16" t="n">
        <x:v>11</x:v>
      </x:c>
      <x:c r="AC85" s="16" t="n">
        <x:v>0</x:v>
      </x:c>
      <x:c r="AD85" s="21" t="n">
        <x:f>IF(E85="",MEDIAN($E$2:$E$2237),E85)</x:f>
        <x:v>38620</x:v>
      </x:c>
      <x:c r="AE85" s="17" t="n">
        <x:f>2014-B85</x:f>
        <x:v>51</x:v>
      </x:c>
      <x:c r="AF85" s="17" t="n">
        <x:f>F85+G85</x:f>
        <x:v>0</x:v>
      </x:c>
      <x:c r="AG85" s="21" t="n">
        <x:f>SUM(J85:O85)</x:f>
        <x:v>318</x:v>
      </x:c>
      <x:c r="AH85" s="17" t="n">
        <x:f>SUM(Q85:S85)</x:f>
        <x:v>10</x:v>
      </x:c>
      <x:c r="AI85" s="17" t="n">
        <x:f>SUM(U85:Y85)</x:f>
        <x:v>0</x:v>
      </x:c>
      <x:c r="AJ85" s="17" t="str">
        <x:f>IF(AE85&lt;=34,"≤34",IF(AE85&lt;=44,"35–44",IF(AE85&lt;=54,"45–54",IF(AE85&lt;=64,"55–64","65+"))))</x:f>
        <x:v>45–54</x:v>
      </x:c>
      <x:c r="AK85" s="17" t="str">
        <x:f>IF(AG85&gt;=1000,"High Value",IF(AG85&gt;=300,"Mid Value","Low Value"))</x:f>
        <x:v>Mid Value</x:v>
      </x:c>
      <x:c r="AL85" s="17" t="str">
        <x:f>IF(AND(AI85&gt;=1,I85&lt;=50),"Priority 1",IF(AND(AG85&gt;=1000,I85&lt;=60),"Priority 2",IF(I85&lt;=30,"Priority 3","Nurture")))</x:f>
        <x:v>Nurture</x:v>
      </x:c>
    </x:row>
    <x:row r="86">
      <x:c r="A86" s="16" t="n">
        <x:v>535</x:v>
      </x:c>
      <x:c r="B86" s="16" t="n">
        <x:v>1987</x:v>
      </x:c>
      <x:c r="C86" s="16" t="str">
        <x:v>Graduation</x:v>
      </x:c>
      <x:c r="D86" s="16" t="str">
        <x:v>Divorced</x:v>
      </x:c>
      <x:c r="E86" s="16" t="n">
        <x:v>81361</x:v>
      </x:c>
      <x:c r="F86" s="16" t="n">
        <x:v>0</x:v>
      </x:c>
      <x:c r="G86" s="16" t="n">
        <x:v>0</x:v>
      </x:c>
      <x:c r="H86" s="16" t="str">
        <x:v>25-02-2014</x:v>
      </x:c>
      <x:c r="I86" s="16" t="n">
        <x:v>18</x:v>
      </x:c>
      <x:c r="J86" s="16" t="n">
        <x:v>163</x:v>
      </x:c>
      <x:c r="K86" s="16" t="n">
        <x:v>23</x:v>
      </x:c>
      <x:c r="L86" s="16" t="n">
        <x:v>424</x:v>
      </x:c>
      <x:c r="M86" s="16" t="n">
        <x:v>27</x:v>
      </x:c>
      <x:c r="N86" s="16" t="n">
        <x:v>65</x:v>
      </x:c>
      <x:c r="O86" s="16" t="n">
        <x:v>76</x:v>
      </x:c>
      <x:c r="P86" s="16" t="n">
        <x:v>1</x:v>
      </x:c>
      <x:c r="Q86" s="16" t="n">
        <x:v>3</x:v>
      </x:c>
      <x:c r="R86" s="16" t="n">
        <x:v>10</x:v>
      </x:c>
      <x:c r="S86" s="16" t="n">
        <x:v>13</x:v>
      </x:c>
      <x:c r="T86" s="16" t="n">
        <x:v>1</x:v>
      </x:c>
      <x:c r="U86" s="16" t="n">
        <x:v>0</x:v>
      </x:c>
      <x:c r="V86" s="16" t="n">
        <x:v>0</x:v>
      </x:c>
      <x:c r="W86" s="16" t="n">
        <x:v>0</x:v>
      </x:c>
      <x:c r="X86" s="16" t="n">
        <x:v>0</x:v>
      </x:c>
      <x:c r="Y86" s="16" t="n">
        <x:v>0</x:v>
      </x:c>
      <x:c r="Z86" s="16" t="n">
        <x:v>0</x:v>
      </x:c>
      <x:c r="AA86" s="16" t="n">
        <x:v>3</x:v>
      </x:c>
      <x:c r="AB86" s="16" t="n">
        <x:v>11</x:v>
      </x:c>
      <x:c r="AC86" s="16" t="n">
        <x:v>0</x:v>
      </x:c>
      <x:c r="AD86" s="21" t="n">
        <x:f>IF(E86="",MEDIAN($E$2:$E$2237),E86)</x:f>
        <x:v>81361</x:v>
      </x:c>
      <x:c r="AE86" s="17" t="n">
        <x:f>2014-B86</x:f>
        <x:v>27</x:v>
      </x:c>
      <x:c r="AF86" s="17" t="n">
        <x:f>F86+G86</x:f>
        <x:v>0</x:v>
      </x:c>
      <x:c r="AG86" s="21" t="n">
        <x:f>SUM(J86:O86)</x:f>
        <x:v>778</x:v>
      </x:c>
      <x:c r="AH86" s="17" t="n">
        <x:f>SUM(Q86:S86)</x:f>
        <x:v>26</x:v>
      </x:c>
      <x:c r="AI86" s="17" t="n">
        <x:f>SUM(U86:Y86)</x:f>
        <x:v>0</x:v>
      </x:c>
      <x:c r="AJ86" s="17" t="str">
        <x:f>IF(AE86&lt;=34,"≤34",IF(AE86&lt;=44,"35–44",IF(AE86&lt;=54,"45–54",IF(AE86&lt;=64,"55–64","65+"))))</x:f>
        <x:v>≤34</x:v>
      </x:c>
      <x:c r="AK86" s="17" t="str">
        <x:f>IF(AG86&gt;=1000,"High Value",IF(AG86&gt;=300,"Mid Value","Low Value"))</x:f>
        <x:v>Mid Value</x:v>
      </x:c>
      <x:c r="AL86" s="17" t="str">
        <x:f>IF(AND(AI86&gt;=1,I86&lt;=50),"Priority 1",IF(AND(AG86&gt;=1000,I86&lt;=60),"Priority 2",IF(I86&lt;=30,"Priority 3","Nurture")))</x:f>
        <x:v>Priority 3</x:v>
      </x:c>
    </x:row>
    <x:row r="87">
      <x:c r="A87" s="16" t="n">
        <x:v>5268</x:v>
      </x:c>
      <x:c r="B87" s="16" t="n">
        <x:v>1960</x:v>
      </x:c>
      <x:c r="C87" s="16" t="str">
        <x:v>Graduation</x:v>
      </x:c>
      <x:c r="D87" s="16" t="str">
        <x:v>Married</x:v>
      </x:c>
      <x:c r="E87" s="16" t="n">
        <x:v>29440</x:v>
      </x:c>
      <x:c r="F87" s="16" t="n">
        <x:v>1</x:v>
      </x:c>
      <x:c r="G87" s="16" t="n">
        <x:v>1</x:v>
      </x:c>
      <x:c r="H87" s="16" t="str">
        <x:v>11-08-2013</x:v>
      </x:c>
      <x:c r="I87" s="16" t="n">
        <x:v>95</x:v>
      </x:c>
      <x:c r="J87" s="16" t="n">
        <x:v>17</x:v>
      </x:c>
      <x:c r="K87" s="16" t="n">
        <x:v>8</x:v>
      </x:c>
      <x:c r="L87" s="16" t="n">
        <x:v>14</x:v>
      </x:c>
      <x:c r="M87" s="16" t="n">
        <x:v>10</x:v>
      </x:c>
      <x:c r="N87" s="16" t="n">
        <x:v>4</x:v>
      </x:c>
      <x:c r="O87" s="16" t="n">
        <x:v>3</x:v>
      </x:c>
      <x:c r="P87" s="16" t="n">
        <x:v>2</x:v>
      </x:c>
      <x:c r="Q87" s="16" t="n">
        <x:v>1</x:v>
      </x:c>
      <x:c r="R87" s="16" t="n">
        <x:v>0</x:v>
      </x:c>
      <x:c r="S87" s="16" t="n">
        <x:v>4</x:v>
      </x:c>
      <x:c r="T87" s="16" t="n">
        <x:v>7</x:v>
      </x:c>
      <x:c r="U87" s="16" t="n">
        <x:v>0</x:v>
      </x:c>
      <x:c r="V87" s="16" t="n">
        <x:v>0</x:v>
      </x:c>
      <x:c r="W87" s="16" t="n">
        <x:v>0</x:v>
      </x:c>
      <x:c r="X87" s="16" t="n">
        <x:v>0</x:v>
      </x:c>
      <x:c r="Y87" s="16" t="n">
        <x:v>0</x:v>
      </x:c>
      <x:c r="Z87" s="16" t="n">
        <x:v>0</x:v>
      </x:c>
      <x:c r="AA87" s="16" t="n">
        <x:v>3</x:v>
      </x:c>
      <x:c r="AB87" s="16" t="n">
        <x:v>11</x:v>
      </x:c>
      <x:c r="AC87" s="16" t="n">
        <x:v>0</x:v>
      </x:c>
      <x:c r="AD87" s="21" t="n">
        <x:f>IF(E87="",MEDIAN($E$2:$E$2237),E87)</x:f>
        <x:v>29440</x:v>
      </x:c>
      <x:c r="AE87" s="17" t="n">
        <x:f>2014-B87</x:f>
        <x:v>54</x:v>
      </x:c>
      <x:c r="AF87" s="17" t="n">
        <x:f>F87+G87</x:f>
        <x:v>2</x:v>
      </x:c>
      <x:c r="AG87" s="21" t="n">
        <x:f>SUM(J87:O87)</x:f>
        <x:v>56</x:v>
      </x:c>
      <x:c r="AH87" s="17" t="n">
        <x:f>SUM(Q87:S87)</x:f>
        <x:v>5</x:v>
      </x:c>
      <x:c r="AI87" s="17" t="n">
        <x:f>SUM(U87:Y87)</x:f>
        <x:v>0</x:v>
      </x:c>
      <x:c r="AJ87" s="17" t="str">
        <x:f>IF(AE87&lt;=34,"≤34",IF(AE87&lt;=44,"35–44",IF(AE87&lt;=54,"45–54",IF(AE87&lt;=64,"55–64","65+"))))</x:f>
        <x:v>45–54</x:v>
      </x:c>
      <x:c r="AK87" s="17" t="str">
        <x:f>IF(AG87&gt;=1000,"High Value",IF(AG87&gt;=300,"Mid Value","Low Value"))</x:f>
        <x:v>Low Value</x:v>
      </x:c>
      <x:c r="AL87" s="17" t="str">
        <x:f>IF(AND(AI87&gt;=1,I87&lt;=50),"Priority 1",IF(AND(AG87&gt;=1000,I87&lt;=60),"Priority 2",IF(I87&lt;=30,"Priority 3","Nurture")))</x:f>
        <x:v>Nurture</x:v>
      </x:c>
    </x:row>
    <x:row r="88">
      <x:c r="A88" s="16" t="n">
        <x:v>273</x:v>
      </x:c>
      <x:c r="B88" s="16" t="n">
        <x:v>1970</x:v>
      </x:c>
      <x:c r="C88" s="16" t="str">
        <x:v>Master</x:v>
      </x:c>
      <x:c r="D88" s="16" t="str">
        <x:v>Married</x:v>
      </x:c>
      <x:c r="E88" s="16" t="n">
        <x:v>36138</x:v>
      </x:c>
      <x:c r="F88" s="16" t="n">
        <x:v>1</x:v>
      </x:c>
      <x:c r="G88" s="16" t="n">
        <x:v>1</x:v>
      </x:c>
      <x:c r="H88" s="16" t="str">
        <x:v>16-07-2013</x:v>
      </x:c>
      <x:c r="I88" s="16" t="n">
        <x:v>48</x:v>
      </x:c>
      <x:c r="J88" s="16" t="n">
        <x:v>130</x:v>
      </x:c>
      <x:c r="K88" s="16" t="n">
        <x:v>0</x:v>
      </x:c>
      <x:c r="L88" s="16" t="n">
        <x:v>16</x:v>
      </x:c>
      <x:c r="M88" s="16" t="n">
        <x:v>0</x:v>
      </x:c>
      <x:c r="N88" s="16" t="n">
        <x:v>0</x:v>
      </x:c>
      <x:c r="O88" s="16" t="n">
        <x:v>5</x:v>
      </x:c>
      <x:c r="P88" s="16" t="n">
        <x:v>5</x:v>
      </x:c>
      <x:c r="Q88" s="16" t="n">
        <x:v>3</x:v>
      </x:c>
      <x:c r="R88" s="16" t="n">
        <x:v>1</x:v>
      </x:c>
      <x:c r="S88" s="16" t="n">
        <x:v>4</x:v>
      </x:c>
      <x:c r="T88" s="16" t="n">
        <x:v>7</x:v>
      </x:c>
      <x:c r="U88" s="16" t="n">
        <x:v>0</x:v>
      </x:c>
      <x:c r="V88" s="16" t="n">
        <x:v>1</x:v>
      </x:c>
      <x:c r="W88" s="16" t="n">
        <x:v>0</x:v>
      </x:c>
      <x:c r="X88" s="16" t="n">
        <x:v>0</x:v>
      </x:c>
      <x:c r="Y88" s="16" t="n">
        <x:v>0</x:v>
      </x:c>
      <x:c r="Z88" s="16" t="n">
        <x:v>0</x:v>
      </x:c>
      <x:c r="AA88" s="16" t="n">
        <x:v>3</x:v>
      </x:c>
      <x:c r="AB88" s="16" t="n">
        <x:v>11</x:v>
      </x:c>
      <x:c r="AC88" s="16" t="n">
        <x:v>0</x:v>
      </x:c>
      <x:c r="AD88" s="21" t="n">
        <x:f>IF(E88="",MEDIAN($E$2:$E$2237),E88)</x:f>
        <x:v>36138</x:v>
      </x:c>
      <x:c r="AE88" s="17" t="n">
        <x:f>2014-B88</x:f>
        <x:v>44</x:v>
      </x:c>
      <x:c r="AF88" s="17" t="n">
        <x:f>F88+G88</x:f>
        <x:v>2</x:v>
      </x:c>
      <x:c r="AG88" s="21" t="n">
        <x:f>SUM(J88:O88)</x:f>
        <x:v>151</x:v>
      </x:c>
      <x:c r="AH88" s="17" t="n">
        <x:f>SUM(Q88:S88)</x:f>
        <x:v>8</x:v>
      </x:c>
      <x:c r="AI88" s="17" t="n">
        <x:f>SUM(U88:Y88)</x:f>
        <x:v>1</x:v>
      </x:c>
      <x:c r="AJ88" s="17" t="str">
        <x:f>IF(AE88&lt;=34,"≤34",IF(AE88&lt;=44,"35–44",IF(AE88&lt;=54,"45–54",IF(AE88&lt;=64,"55–64","65+"))))</x:f>
        <x:v>35–44</x:v>
      </x:c>
      <x:c r="AK88" s="17" t="str">
        <x:f>IF(AG88&gt;=1000,"High Value",IF(AG88&gt;=300,"Mid Value","Low Value"))</x:f>
        <x:v>Low Value</x:v>
      </x:c>
      <x:c r="AL88" s="17" t="str">
        <x:f>IF(AND(AI88&gt;=1,I88&lt;=50),"Priority 1",IF(AND(AG88&gt;=1000,I88&lt;=60),"Priority 2",IF(I88&lt;=30,"Priority 3","Nurture")))</x:f>
        <x:v>Priority 1</x:v>
      </x:c>
    </x:row>
    <x:row r="89">
      <x:c r="A89" s="16" t="n">
        <x:v>4452</x:v>
      </x:c>
      <x:c r="B89" s="16" t="n">
        <x:v>1957</x:v>
      </x:c>
      <x:c r="C89" s="16" t="str">
        <x:v>Graduation</x:v>
      </x:c>
      <x:c r="D89" s="16" t="str">
        <x:v>Single</x:v>
      </x:c>
      <x:c r="E89" s="16" t="n">
        <x:v>50388</x:v>
      </x:c>
      <x:c r="F89" s="16" t="n">
        <x:v>0</x:v>
      </x:c>
      <x:c r="G89" s="16" t="n">
        <x:v>1</x:v>
      </x:c>
      <x:c r="H89" s="16" t="str">
        <x:v>28-05-2014</x:v>
      </x:c>
      <x:c r="I89" s="16" t="n">
        <x:v>3</x:v>
      </x:c>
      <x:c r="J89" s="16" t="n">
        <x:v>292</x:v>
      </x:c>
      <x:c r="K89" s="16" t="n">
        <x:v>6</x:v>
      </x:c>
      <x:c r="L89" s="16" t="n">
        <x:v>37</x:v>
      </x:c>
      <x:c r="M89" s="16" t="n">
        <x:v>0</x:v>
      </x:c>
      <x:c r="N89" s="16" t="n">
        <x:v>3</x:v>
      </x:c>
      <x:c r="O89" s="16" t="n">
        <x:v>34</x:v>
      </x:c>
      <x:c r="P89" s="16" t="n">
        <x:v>4</x:v>
      </x:c>
      <x:c r="Q89" s="16" t="n">
        <x:v>6</x:v>
      </x:c>
      <x:c r="R89" s="16" t="n">
        <x:v>1</x:v>
      </x:c>
      <x:c r="S89" s="16" t="n">
        <x:v>6</x:v>
      </x:c>
      <x:c r="T89" s="16" t="n">
        <x:v>7</x:v>
      </x:c>
      <x:c r="U89" s="16" t="n">
        <x:v>0</x:v>
      </x:c>
      <x:c r="V89" s="16" t="n">
        <x:v>1</x:v>
      </x:c>
      <x:c r="W89" s="16" t="n">
        <x:v>0</x:v>
      </x:c>
      <x:c r="X89" s="16" t="n">
        <x:v>1</x:v>
      </x:c>
      <x:c r="Y89" s="16" t="n">
        <x:v>0</x:v>
      </x:c>
      <x:c r="Z89" s="16" t="n">
        <x:v>0</x:v>
      </x:c>
      <x:c r="AA89" s="16" t="n">
        <x:v>3</x:v>
      </x:c>
      <x:c r="AB89" s="16" t="n">
        <x:v>11</x:v>
      </x:c>
      <x:c r="AC89" s="16" t="n">
        <x:v>1</x:v>
      </x:c>
      <x:c r="AD89" s="21" t="n">
        <x:f>IF(E89="",MEDIAN($E$2:$E$2237),E89)</x:f>
        <x:v>50388</x:v>
      </x:c>
      <x:c r="AE89" s="17" t="n">
        <x:f>2014-B89</x:f>
        <x:v>57</x:v>
      </x:c>
      <x:c r="AF89" s="17" t="n">
        <x:f>F89+G89</x:f>
        <x:v>1</x:v>
      </x:c>
      <x:c r="AG89" s="21" t="n">
        <x:f>SUM(J89:O89)</x:f>
        <x:v>372</x:v>
      </x:c>
      <x:c r="AH89" s="17" t="n">
        <x:f>SUM(Q89:S89)</x:f>
        <x:v>13</x:v>
      </x:c>
      <x:c r="AI89" s="17" t="n">
        <x:f>SUM(U89:Y89)</x:f>
        <x:v>2</x:v>
      </x:c>
      <x:c r="AJ89" s="17" t="str">
        <x:f>IF(AE89&lt;=34,"≤34",IF(AE89&lt;=44,"35–44",IF(AE89&lt;=54,"45–54",IF(AE89&lt;=64,"55–64","65+"))))</x:f>
        <x:v>55–64</x:v>
      </x:c>
      <x:c r="AK89" s="17" t="str">
        <x:f>IF(AG89&gt;=1000,"High Value",IF(AG89&gt;=300,"Mid Value","Low Value"))</x:f>
        <x:v>Mid Value</x:v>
      </x:c>
      <x:c r="AL89" s="17" t="str">
        <x:f>IF(AND(AI89&gt;=1,I89&lt;=50),"Priority 1",IF(AND(AG89&gt;=1000,I89&lt;=60),"Priority 2",IF(I89&lt;=30,"Priority 3","Nurture")))</x:f>
        <x:v>Priority 1</x:v>
      </x:c>
    </x:row>
    <x:row r="90">
      <x:c r="A90" s="16" t="n">
        <x:v>8504</x:v>
      </x:c>
      <x:c r="B90" s="16" t="n">
        <x:v>1973</x:v>
      </x:c>
      <x:c r="C90" s="16" t="str">
        <x:v>Graduation</x:v>
      </x:c>
      <x:c r="D90" s="16" t="str">
        <x:v>Married</x:v>
      </x:c>
      <x:c r="E90" s="16" t="n">
        <x:v>79593</x:v>
      </x:c>
      <x:c r="F90" s="16" t="n">
        <x:v>0</x:v>
      </x:c>
      <x:c r="G90" s="16" t="n">
        <x:v>0</x:v>
      </x:c>
      <x:c r="H90" s="16" t="str">
        <x:v>12-05-2014</x:v>
      </x:c>
      <x:c r="I90" s="16" t="n">
        <x:v>70</x:v>
      </x:c>
      <x:c r="J90" s="16" t="n">
        <x:v>350</x:v>
      </x:c>
      <x:c r="K90" s="16" t="n">
        <x:v>60</x:v>
      </x:c>
      <x:c r="L90" s="16" t="n">
        <x:v>568</x:v>
      </x:c>
      <x:c r="M90" s="16" t="n">
        <x:v>110</x:v>
      </x:c>
      <x:c r="N90" s="16" t="n">
        <x:v>133</x:v>
      </x:c>
      <x:c r="O90" s="16" t="n">
        <x:v>145</x:v>
      </x:c>
      <x:c r="P90" s="16" t="n">
        <x:v>1</x:v>
      </x:c>
      <x:c r="Q90" s="16" t="n">
        <x:v>5</x:v>
      </x:c>
      <x:c r="R90" s="16" t="n">
        <x:v>6</x:v>
      </x:c>
      <x:c r="S90" s="16" t="n">
        <x:v>7</x:v>
      </x:c>
      <x:c r="T90" s="16" t="n">
        <x:v>2</x:v>
      </x:c>
      <x:c r="U90" s="16" t="n">
        <x:v>0</x:v>
      </x:c>
      <x:c r="V90" s="16" t="n">
        <x:v>0</x:v>
      </x:c>
      <x:c r="W90" s="16" t="n">
        <x:v>1</x:v>
      </x:c>
      <x:c r="X90" s="16" t="n">
        <x:v>0</x:v>
      </x:c>
      <x:c r="Y90" s="16" t="n">
        <x:v>0</x:v>
      </x:c>
      <x:c r="Z90" s="16" t="n">
        <x:v>0</x:v>
      </x:c>
      <x:c r="AA90" s="16" t="n">
        <x:v>3</x:v>
      </x:c>
      <x:c r="AB90" s="16" t="n">
        <x:v>11</x:v>
      </x:c>
      <x:c r="AC90" s="16" t="n">
        <x:v>0</x:v>
      </x:c>
      <x:c r="AD90" s="21" t="n">
        <x:f>IF(E90="",MEDIAN($E$2:$E$2237),E90)</x:f>
        <x:v>79593</x:v>
      </x:c>
      <x:c r="AE90" s="17" t="n">
        <x:f>2014-B90</x:f>
        <x:v>41</x:v>
      </x:c>
      <x:c r="AF90" s="17" t="n">
        <x:f>F90+G90</x:f>
        <x:v>0</x:v>
      </x:c>
      <x:c r="AG90" s="21" t="n">
        <x:f>SUM(J90:O90)</x:f>
        <x:v>1366</x:v>
      </x:c>
      <x:c r="AH90" s="17" t="n">
        <x:f>SUM(Q90:S90)</x:f>
        <x:v>18</x:v>
      </x:c>
      <x:c r="AI90" s="17" t="n">
        <x:f>SUM(U90:Y90)</x:f>
        <x:v>1</x:v>
      </x:c>
      <x:c r="AJ90" s="17" t="str">
        <x:f>IF(AE90&lt;=34,"≤34",IF(AE90&lt;=44,"35–44",IF(AE90&lt;=54,"45–54",IF(AE90&lt;=64,"55–64","65+"))))</x:f>
        <x:v>35–44</x:v>
      </x:c>
      <x:c r="AK90" s="17" t="str">
        <x:f>IF(AG90&gt;=1000,"High Value",IF(AG90&gt;=300,"Mid Value","Low Value"))</x:f>
        <x:v>High Value</x:v>
      </x:c>
      <x:c r="AL90" s="17" t="str">
        <x:f>IF(AND(AI90&gt;=1,I90&lt;=50),"Priority 1",IF(AND(AG90&gt;=1000,I90&lt;=60),"Priority 2",IF(I90&lt;=30,"Priority 3","Nurture")))</x:f>
        <x:v>Nurture</x:v>
      </x:c>
    </x:row>
    <x:row r="91">
      <x:c r="A91" s="16" t="n">
        <x:v>771</x:v>
      </x:c>
      <x:c r="B91" s="16" t="n">
        <x:v>1967</x:v>
      </x:c>
      <x:c r="C91" s="16" t="str">
        <x:v>Graduation</x:v>
      </x:c>
      <x:c r="D91" s="16" t="str">
        <x:v>Together</x:v>
      </x:c>
      <x:c r="E91" s="16" t="n">
        <x:v>54178</x:v>
      </x:c>
      <x:c r="F91" s="16" t="n">
        <x:v>0</x:v>
      </x:c>
      <x:c r="G91" s="16" t="n">
        <x:v>1</x:v>
      </x:c>
      <x:c r="H91" s="16" t="str">
        <x:v>21-01-2014</x:v>
      </x:c>
      <x:c r="I91" s="16" t="n">
        <x:v>79</x:v>
      </x:c>
      <x:c r="J91" s="16" t="n">
        <x:v>135</x:v>
      </x:c>
      <x:c r="K91" s="16" t="n">
        <x:v>9</x:v>
      </x:c>
      <x:c r="L91" s="16" t="n">
        <x:v>39</x:v>
      </x:c>
      <x:c r="M91" s="16" t="n">
        <x:v>4</x:v>
      </x:c>
      <x:c r="N91" s="16" t="n">
        <x:v>0</x:v>
      </x:c>
      <x:c r="O91" s="16" t="n">
        <x:v>7</x:v>
      </x:c>
      <x:c r="P91" s="16" t="n">
        <x:v>1</x:v>
      </x:c>
      <x:c r="Q91" s="16" t="n">
        <x:v>2</x:v>
      </x:c>
      <x:c r="R91" s="16" t="n">
        <x:v>2</x:v>
      </x:c>
      <x:c r="S91" s="16" t="n">
        <x:v>5</x:v>
      </x:c>
      <x:c r="T91" s="16" t="n">
        <x:v>2</x:v>
      </x:c>
      <x:c r="U91" s="16" t="n">
        <x:v>0</x:v>
      </x:c>
      <x:c r="V91" s="16" t="n">
        <x:v>0</x:v>
      </x:c>
      <x:c r="W91" s="16" t="n">
        <x:v>0</x:v>
      </x:c>
      <x:c r="X91" s="16" t="n">
        <x:v>0</x:v>
      </x:c>
      <x:c r="Y91" s="16" t="n">
        <x:v>0</x:v>
      </x:c>
      <x:c r="Z91" s="16" t="n">
        <x:v>0</x:v>
      </x:c>
      <x:c r="AA91" s="16" t="n">
        <x:v>3</x:v>
      </x:c>
      <x:c r="AB91" s="16" t="n">
        <x:v>11</x:v>
      </x:c>
      <x:c r="AC91" s="16" t="n">
        <x:v>0</x:v>
      </x:c>
      <x:c r="AD91" s="21" t="n">
        <x:f>IF(E91="",MEDIAN($E$2:$E$2237),E91)</x:f>
        <x:v>54178</x:v>
      </x:c>
      <x:c r="AE91" s="17" t="n">
        <x:f>2014-B91</x:f>
        <x:v>47</x:v>
      </x:c>
      <x:c r="AF91" s="17" t="n">
        <x:f>F91+G91</x:f>
        <x:v>1</x:v>
      </x:c>
      <x:c r="AG91" s="21" t="n">
        <x:f>SUM(J91:O91)</x:f>
        <x:v>194</x:v>
      </x:c>
      <x:c r="AH91" s="17" t="n">
        <x:f>SUM(Q91:S91)</x:f>
        <x:v>9</x:v>
      </x:c>
      <x:c r="AI91" s="17" t="n">
        <x:f>SUM(U91:Y91)</x:f>
        <x:v>0</x:v>
      </x:c>
      <x:c r="AJ91" s="17" t="str">
        <x:f>IF(AE91&lt;=34,"≤34",IF(AE91&lt;=44,"35–44",IF(AE91&lt;=54,"45–54",IF(AE91&lt;=64,"55–64","65+"))))</x:f>
        <x:v>45–54</x:v>
      </x:c>
      <x:c r="AK91" s="17" t="str">
        <x:f>IF(AG91&gt;=1000,"High Value",IF(AG91&gt;=300,"Mid Value","Low Value"))</x:f>
        <x:v>Low Value</x:v>
      </x:c>
      <x:c r="AL91" s="17" t="str">
        <x:f>IF(AND(AI91&gt;=1,I91&lt;=50),"Priority 1",IF(AND(AG91&gt;=1000,I91&lt;=60),"Priority 2",IF(I91&lt;=30,"Priority 3","Nurture")))</x:f>
        <x:v>Nurture</x:v>
      </x:c>
    </x:row>
    <x:row r="92">
      <x:c r="A92" s="16" t="n">
        <x:v>8996</x:v>
      </x:c>
      <x:c r="B92" s="16" t="n">
        <x:v>1957</x:v>
      </x:c>
      <x:c r="C92" s="16" t="str">
        <x:v>PhD</x:v>
      </x:c>
      <x:c r="D92" s="16" t="str">
        <x:v>Married</x:v>
      </x:c>
      <x:c r="E92" s="16"/>
      <x:c r="F92" s="16" t="n">
        <x:v>2</x:v>
      </x:c>
      <x:c r="G92" s="16" t="n">
        <x:v>1</x:v>
      </x:c>
      <x:c r="H92" s="16" t="str">
        <x:v>19-11-2012</x:v>
      </x:c>
      <x:c r="I92" s="16" t="n">
        <x:v>4</x:v>
      </x:c>
      <x:c r="J92" s="16" t="n">
        <x:v>230</x:v>
      </x:c>
      <x:c r="K92" s="16" t="n">
        <x:v>42</x:v>
      </x:c>
      <x:c r="L92" s="16" t="n">
        <x:v>192</x:v>
      </x:c>
      <x:c r="M92" s="16" t="n">
        <x:v>49</x:v>
      </x:c>
      <x:c r="N92" s="16" t="n">
        <x:v>37</x:v>
      </x:c>
      <x:c r="O92" s="16" t="n">
        <x:v>53</x:v>
      </x:c>
      <x:c r="P92" s="16" t="n">
        <x:v>12</x:v>
      </x:c>
      <x:c r="Q92" s="16" t="n">
        <x:v>7</x:v>
      </x:c>
      <x:c r="R92" s="16" t="n">
        <x:v>2</x:v>
      </x:c>
      <x:c r="S92" s="16" t="n">
        <x:v>8</x:v>
      </x:c>
      <x:c r="T92" s="16" t="n">
        <x:v>9</x:v>
      </x:c>
      <x:c r="U92" s="16" t="n">
        <x:v>0</x:v>
      </x:c>
      <x:c r="V92" s="16" t="n">
        <x:v>0</x:v>
      </x:c>
      <x:c r="W92" s="16" t="n">
        <x:v>0</x:v>
      </x:c>
      <x:c r="X92" s="16" t="n">
        <x:v>0</x:v>
      </x:c>
      <x:c r="Y92" s="16" t="n">
        <x:v>0</x:v>
      </x:c>
      <x:c r="Z92" s="16" t="n">
        <x:v>0</x:v>
      </x:c>
      <x:c r="AA92" s="16" t="n">
        <x:v>3</x:v>
      </x:c>
      <x:c r="AB92" s="16" t="n">
        <x:v>11</x:v>
      </x:c>
      <x:c r="AC92" s="16" t="n">
        <x:v>0</x:v>
      </x:c>
      <x:c r="AD92" s="21" t="n">
        <x:f>IF(E92="",MEDIAN($E$2:$E$2237),E92)</x:f>
        <x:v>51371</x:v>
      </x:c>
      <x:c r="AE92" s="17" t="n">
        <x:f>2014-B92</x:f>
        <x:v>57</x:v>
      </x:c>
      <x:c r="AF92" s="17" t="n">
        <x:f>F92+G92</x:f>
        <x:v>3</x:v>
      </x:c>
      <x:c r="AG92" s="21" t="n">
        <x:f>SUM(J92:O92)</x:f>
        <x:v>603</x:v>
      </x:c>
      <x:c r="AH92" s="17" t="n">
        <x:f>SUM(Q92:S92)</x:f>
        <x:v>17</x:v>
      </x:c>
      <x:c r="AI92" s="17" t="n">
        <x:f>SUM(U92:Y92)</x:f>
        <x:v>0</x:v>
      </x:c>
      <x:c r="AJ92" s="17" t="str">
        <x:f>IF(AE92&lt;=34,"≤34",IF(AE92&lt;=44,"35–44",IF(AE92&lt;=54,"45–54",IF(AE92&lt;=64,"55–64","65+"))))</x:f>
        <x:v>55–64</x:v>
      </x:c>
      <x:c r="AK92" s="17" t="str">
        <x:f>IF(AG92&gt;=1000,"High Value",IF(AG92&gt;=300,"Mid Value","Low Value"))</x:f>
        <x:v>Mid Value</x:v>
      </x:c>
      <x:c r="AL92" s="17" t="str">
        <x:f>IF(AND(AI92&gt;=1,I92&lt;=50),"Priority 1",IF(AND(AG92&gt;=1000,I92&lt;=60),"Priority 2",IF(I92&lt;=30,"Priority 3","Nurture")))</x:f>
        <x:v>Priority 3</x:v>
      </x:c>
    </x:row>
    <x:row r="93">
      <x:c r="A93" s="16" t="n">
        <x:v>9235</x:v>
      </x:c>
      <x:c r="B93" s="16" t="n">
        <x:v>1957</x:v>
      </x:c>
      <x:c r="C93" s="16" t="str">
        <x:v>Graduation</x:v>
      </x:c>
      <x:c r="D93" s="16" t="str">
        <x:v>Single</x:v>
      </x:c>
      <x:c r="E93" s="16"/>
      <x:c r="F93" s="16" t="n">
        <x:v>1</x:v>
      </x:c>
      <x:c r="G93" s="16" t="n">
        <x:v>1</x:v>
      </x:c>
      <x:c r="H93" s="16" t="str">
        <x:v>27-05-2014</x:v>
      </x:c>
      <x:c r="I93" s="16" t="n">
        <x:v>45</x:v>
      </x:c>
      <x:c r="J93" s="16" t="n">
        <x:v>7</x:v>
      </x:c>
      <x:c r="K93" s="16" t="n">
        <x:v>0</x:v>
      </x:c>
      <x:c r="L93" s="16" t="n">
        <x:v>8</x:v>
      </x:c>
      <x:c r="M93" s="16" t="n">
        <x:v>2</x:v>
      </x:c>
      <x:c r="N93" s="16" t="n">
        <x:v>0</x:v>
      </x:c>
      <x:c r="O93" s="16" t="n">
        <x:v>1</x:v>
      </x:c>
      <x:c r="P93" s="16" t="n">
        <x:v>1</x:v>
      </x:c>
      <x:c r="Q93" s="16" t="n">
        <x:v>1</x:v>
      </x:c>
      <x:c r="R93" s="16" t="n">
        <x:v>0</x:v>
      </x:c>
      <x:c r="S93" s="16" t="n">
        <x:v>2</x:v>
      </x:c>
      <x:c r="T93" s="16" t="n">
        <x:v>7</x:v>
      </x:c>
      <x:c r="U93" s="16" t="n">
        <x:v>0</x:v>
      </x:c>
      <x:c r="V93" s="16" t="n">
        <x:v>0</x:v>
      </x:c>
      <x:c r="W93" s="16" t="n">
        <x:v>0</x:v>
      </x:c>
      <x:c r="X93" s="16" t="n">
        <x:v>0</x:v>
      </x:c>
      <x:c r="Y93" s="16" t="n">
        <x:v>0</x:v>
      </x:c>
      <x:c r="Z93" s="16" t="n">
        <x:v>0</x:v>
      </x:c>
      <x:c r="AA93" s="16" t="n">
        <x:v>3</x:v>
      </x:c>
      <x:c r="AB93" s="16" t="n">
        <x:v>11</x:v>
      </x:c>
      <x:c r="AC93" s="16" t="n">
        <x:v>0</x:v>
      </x:c>
      <x:c r="AD93" s="21" t="n">
        <x:f>IF(E93="",MEDIAN($E$2:$E$2237),E93)</x:f>
        <x:v>51371</x:v>
      </x:c>
      <x:c r="AE93" s="17" t="n">
        <x:f>2014-B93</x:f>
        <x:v>57</x:v>
      </x:c>
      <x:c r="AF93" s="17" t="n">
        <x:f>F93+G93</x:f>
        <x:v>2</x:v>
      </x:c>
      <x:c r="AG93" s="21" t="n">
        <x:f>SUM(J93:O93)</x:f>
        <x:v>18</x:v>
      </x:c>
      <x:c r="AH93" s="17" t="n">
        <x:f>SUM(Q93:S93)</x:f>
        <x:v>3</x:v>
      </x:c>
      <x:c r="AI93" s="17" t="n">
        <x:f>SUM(U93:Y93)</x:f>
        <x:v>0</x:v>
      </x:c>
      <x:c r="AJ93" s="17" t="str">
        <x:f>IF(AE93&lt;=34,"≤34",IF(AE93&lt;=44,"35–44",IF(AE93&lt;=54,"45–54",IF(AE93&lt;=64,"55–64","65+"))))</x:f>
        <x:v>55–64</x:v>
      </x:c>
      <x:c r="AK93" s="17" t="str">
        <x:f>IF(AG93&gt;=1000,"High Value",IF(AG93&gt;=300,"Mid Value","Low Value"))</x:f>
        <x:v>Low Value</x:v>
      </x:c>
      <x:c r="AL93" s="17" t="str">
        <x:f>IF(AND(AI93&gt;=1,I93&lt;=50),"Priority 1",IF(AND(AG93&gt;=1000,I93&lt;=60),"Priority 2",IF(I93&lt;=30,"Priority 3","Nurture")))</x:f>
        <x:v>Nurture</x:v>
      </x:c>
    </x:row>
    <x:row r="94">
      <x:c r="A94" s="16" t="n">
        <x:v>5798</x:v>
      </x:c>
      <x:c r="B94" s="16" t="n">
        <x:v>1973</x:v>
      </x:c>
      <x:c r="C94" s="16" t="str">
        <x:v>Master</x:v>
      </x:c>
      <x:c r="D94" s="16" t="str">
        <x:v>Together</x:v>
      </x:c>
      <x:c r="E94" s="16"/>
      <x:c r="F94" s="16" t="n">
        <x:v>0</x:v>
      </x:c>
      <x:c r="G94" s="16" t="n">
        <x:v>0</x:v>
      </x:c>
      <x:c r="H94" s="16" t="str">
        <x:v>23-11-2013</x:v>
      </x:c>
      <x:c r="I94" s="16" t="n">
        <x:v>87</x:v>
      </x:c>
      <x:c r="J94" s="16" t="n">
        <x:v>445</x:v>
      </x:c>
      <x:c r="K94" s="16" t="n">
        <x:v>37</x:v>
      </x:c>
      <x:c r="L94" s="16" t="n">
        <x:v>359</x:v>
      </x:c>
      <x:c r="M94" s="16" t="n">
        <x:v>98</x:v>
      </x:c>
      <x:c r="N94" s="16" t="n">
        <x:v>28</x:v>
      </x:c>
      <x:c r="O94" s="16" t="n">
        <x:v>18</x:v>
      </x:c>
      <x:c r="P94" s="16" t="n">
        <x:v>1</x:v>
      </x:c>
      <x:c r="Q94" s="16" t="n">
        <x:v>2</x:v>
      </x:c>
      <x:c r="R94" s="16" t="n">
        <x:v>4</x:v>
      </x:c>
      <x:c r="S94" s="16" t="n">
        <x:v>8</x:v>
      </x:c>
      <x:c r="T94" s="16" t="n">
        <x:v>1</x:v>
      </x:c>
      <x:c r="U94" s="16" t="n">
        <x:v>0</x:v>
      </x:c>
      <x:c r="V94" s="16" t="n">
        <x:v>0</x:v>
      </x:c>
      <x:c r="W94" s="16" t="n">
        <x:v>0</x:v>
      </x:c>
      <x:c r="X94" s="16" t="n">
        <x:v>0</x:v>
      </x:c>
      <x:c r="Y94" s="16" t="n">
        <x:v>0</x:v>
      </x:c>
      <x:c r="Z94" s="16" t="n">
        <x:v>0</x:v>
      </x:c>
      <x:c r="AA94" s="16" t="n">
        <x:v>3</x:v>
      </x:c>
      <x:c r="AB94" s="16" t="n">
        <x:v>11</x:v>
      </x:c>
      <x:c r="AC94" s="16" t="n">
        <x:v>0</x:v>
      </x:c>
      <x:c r="AD94" s="21" t="n">
        <x:f>IF(E94="",MEDIAN($E$2:$E$2237),E94)</x:f>
        <x:v>51371</x:v>
      </x:c>
      <x:c r="AE94" s="17" t="n">
        <x:f>2014-B94</x:f>
        <x:v>41</x:v>
      </x:c>
      <x:c r="AF94" s="17" t="n">
        <x:f>F94+G94</x:f>
        <x:v>0</x:v>
      </x:c>
      <x:c r="AG94" s="21" t="n">
        <x:f>SUM(J94:O94)</x:f>
        <x:v>985</x:v>
      </x:c>
      <x:c r="AH94" s="17" t="n">
        <x:f>SUM(Q94:S94)</x:f>
        <x:v>14</x:v>
      </x:c>
      <x:c r="AI94" s="17" t="n">
        <x:f>SUM(U94:Y94)</x:f>
        <x:v>0</x:v>
      </x:c>
      <x:c r="AJ94" s="17" t="str">
        <x:f>IF(AE94&lt;=34,"≤34",IF(AE94&lt;=44,"35–44",IF(AE94&lt;=54,"45–54",IF(AE94&lt;=64,"55–64","65+"))))</x:f>
        <x:v>35–44</x:v>
      </x:c>
      <x:c r="AK94" s="17" t="str">
        <x:f>IF(AG94&gt;=1000,"High Value",IF(AG94&gt;=300,"Mid Value","Low Value"))</x:f>
        <x:v>Mid Value</x:v>
      </x:c>
      <x:c r="AL94" s="17" t="str">
        <x:f>IF(AND(AI94&gt;=1,I94&lt;=50),"Priority 1",IF(AND(AG94&gt;=1000,I94&lt;=60),"Priority 2",IF(I94&lt;=30,"Priority 3","Nurture")))</x:f>
        <x:v>Nurture</x:v>
      </x:c>
    </x:row>
    <x:row r="95">
      <x:c r="A95" s="16" t="n">
        <x:v>11178</x:v>
      </x:c>
      <x:c r="B95" s="16" t="n">
        <x:v>1972</x:v>
      </x:c>
      <x:c r="C95" s="16" t="str">
        <x:v>Master</x:v>
      </x:c>
      <x:c r="D95" s="16" t="str">
        <x:v>Single</x:v>
      </x:c>
      <x:c r="E95" s="16" t="n">
        <x:v>42394</x:v>
      </x:c>
      <x:c r="F95" s="16" t="n">
        <x:v>1</x:v>
      </x:c>
      <x:c r="G95" s="16" t="n">
        <x:v>0</x:v>
      </x:c>
      <x:c r="H95" s="16" t="str">
        <x:v>23-03-2014</x:v>
      </x:c>
      <x:c r="I95" s="16" t="n">
        <x:v>69</x:v>
      </x:c>
      <x:c r="J95" s="16" t="n">
        <x:v>15</x:v>
      </x:c>
      <x:c r="K95" s="16" t="n">
        <x:v>2</x:v>
      </x:c>
      <x:c r="L95" s="16" t="n">
        <x:v>10</x:v>
      </x:c>
      <x:c r="M95" s="16" t="n">
        <x:v>0</x:v>
      </x:c>
      <x:c r="N95" s="16" t="n">
        <x:v>1</x:v>
      </x:c>
      <x:c r="O95" s="16" t="n">
        <x:v>4</x:v>
      </x:c>
      <x:c r="P95" s="16" t="n">
        <x:v>1</x:v>
      </x:c>
      <x:c r="Q95" s="16" t="n">
        <x:v>1</x:v>
      </x:c>
      <x:c r="R95" s="16" t="n">
        <x:v>0</x:v>
      </x:c>
      <x:c r="S95" s="16" t="n">
        <x:v>3</x:v>
      </x:c>
      <x:c r="T95" s="16" t="n">
        <x:v>7</x:v>
      </x:c>
      <x:c r="U95" s="16" t="n">
        <x:v>0</x:v>
      </x:c>
      <x:c r="V95" s="16" t="n">
        <x:v>0</x:v>
      </x:c>
      <x:c r="W95" s="16" t="n">
        <x:v>0</x:v>
      </x:c>
      <x:c r="X95" s="16" t="n">
        <x:v>0</x:v>
      </x:c>
      <x:c r="Y95" s="16" t="n">
        <x:v>0</x:v>
      </x:c>
      <x:c r="Z95" s="16" t="n">
        <x:v>0</x:v>
      </x:c>
      <x:c r="AA95" s="16" t="n">
        <x:v>3</x:v>
      </x:c>
      <x:c r="AB95" s="16" t="n">
        <x:v>11</x:v>
      </x:c>
      <x:c r="AC95" s="16" t="n">
        <x:v>0</x:v>
      </x:c>
      <x:c r="AD95" s="21" t="n">
        <x:f>IF(E95="",MEDIAN($E$2:$E$2237),E95)</x:f>
        <x:v>42394</x:v>
      </x:c>
      <x:c r="AE95" s="17" t="n">
        <x:f>2014-B95</x:f>
        <x:v>42</x:v>
      </x:c>
      <x:c r="AF95" s="17" t="n">
        <x:f>F95+G95</x:f>
        <x:v>1</x:v>
      </x:c>
      <x:c r="AG95" s="21" t="n">
        <x:f>SUM(J95:O95)</x:f>
        <x:v>32</x:v>
      </x:c>
      <x:c r="AH95" s="17" t="n">
        <x:f>SUM(Q95:S95)</x:f>
        <x:v>4</x:v>
      </x:c>
      <x:c r="AI95" s="17" t="n">
        <x:f>SUM(U95:Y95)</x:f>
        <x:v>0</x:v>
      </x:c>
      <x:c r="AJ95" s="17" t="str">
        <x:f>IF(AE95&lt;=34,"≤34",IF(AE95&lt;=44,"35–44",IF(AE95&lt;=54,"45–54",IF(AE95&lt;=64,"55–64","65+"))))</x:f>
        <x:v>35–44</x:v>
      </x:c>
      <x:c r="AK95" s="17" t="str">
        <x:f>IF(AG95&gt;=1000,"High Value",IF(AG95&gt;=300,"Mid Value","Low Value"))</x:f>
        <x:v>Low Value</x:v>
      </x:c>
      <x:c r="AL95" s="17" t="str">
        <x:f>IF(AND(AI95&gt;=1,I95&lt;=50),"Priority 1",IF(AND(AG95&gt;=1000,I95&lt;=60),"Priority 2",IF(I95&lt;=30,"Priority 3","Nurture")))</x:f>
        <x:v>Nurture</x:v>
      </x:c>
    </x:row>
    <x:row r="96">
      <x:c r="A96" s="16" t="n">
        <x:v>2230</x:v>
      </x:c>
      <x:c r="B96" s="16" t="n">
        <x:v>1970</x:v>
      </x:c>
      <x:c r="C96" s="16" t="str">
        <x:v>PhD</x:v>
      </x:c>
      <x:c r="D96" s="16" t="str">
        <x:v>Married</x:v>
      </x:c>
      <x:c r="E96" s="16" t="n">
        <x:v>23626</x:v>
      </x:c>
      <x:c r="F96" s="16" t="n">
        <x:v>1</x:v>
      </x:c>
      <x:c r="G96" s="16" t="n">
        <x:v>0</x:v>
      </x:c>
      <x:c r="H96" s="16" t="str">
        <x:v>24-05-2014</x:v>
      </x:c>
      <x:c r="I96" s="16" t="n">
        <x:v>84</x:v>
      </x:c>
      <x:c r="J96" s="16" t="n">
        <x:v>27</x:v>
      </x:c>
      <x:c r="K96" s="16" t="n">
        <x:v>2</x:v>
      </x:c>
      <x:c r="L96" s="16" t="n">
        <x:v>14</x:v>
      </x:c>
      <x:c r="M96" s="16" t="n">
        <x:v>0</x:v>
      </x:c>
      <x:c r="N96" s="16" t="n">
        <x:v>0</x:v>
      </x:c>
      <x:c r="O96" s="16" t="n">
        <x:v>0</x:v>
      </x:c>
      <x:c r="P96" s="16" t="n">
        <x:v>3</x:v>
      </x:c>
      <x:c r="Q96" s="16" t="n">
        <x:v>3</x:v>
      </x:c>
      <x:c r="R96" s="16" t="n">
        <x:v>1</x:v>
      </x:c>
      <x:c r="S96" s="16" t="n">
        <x:v>3</x:v>
      </x:c>
      <x:c r="T96" s="16" t="n">
        <x:v>5</x:v>
      </x:c>
      <x:c r="U96" s="16" t="n">
        <x:v>0</x:v>
      </x:c>
      <x:c r="V96" s="16" t="n">
        <x:v>0</x:v>
      </x:c>
      <x:c r="W96" s="16" t="n">
        <x:v>0</x:v>
      </x:c>
      <x:c r="X96" s="16" t="n">
        <x:v>0</x:v>
      </x:c>
      <x:c r="Y96" s="16" t="n">
        <x:v>0</x:v>
      </x:c>
      <x:c r="Z96" s="16" t="n">
        <x:v>0</x:v>
      </x:c>
      <x:c r="AA96" s="16" t="n">
        <x:v>3</x:v>
      </x:c>
      <x:c r="AB96" s="16" t="n">
        <x:v>11</x:v>
      </x:c>
      <x:c r="AC96" s="16" t="n">
        <x:v>0</x:v>
      </x:c>
      <x:c r="AD96" s="21" t="n">
        <x:f>IF(E96="",MEDIAN($E$2:$E$2237),E96)</x:f>
        <x:v>23626</x:v>
      </x:c>
      <x:c r="AE96" s="17" t="n">
        <x:f>2014-B96</x:f>
        <x:v>44</x:v>
      </x:c>
      <x:c r="AF96" s="17" t="n">
        <x:f>F96+G96</x:f>
        <x:v>1</x:v>
      </x:c>
      <x:c r="AG96" s="21" t="n">
        <x:f>SUM(J96:O96)</x:f>
        <x:v>43</x:v>
      </x:c>
      <x:c r="AH96" s="17" t="n">
        <x:f>SUM(Q96:S96)</x:f>
        <x:v>7</x:v>
      </x:c>
      <x:c r="AI96" s="17" t="n">
        <x:f>SUM(U96:Y96)</x:f>
        <x:v>0</x:v>
      </x:c>
      <x:c r="AJ96" s="17" t="str">
        <x:f>IF(AE96&lt;=34,"≤34",IF(AE96&lt;=44,"35–44",IF(AE96&lt;=54,"45–54",IF(AE96&lt;=64,"55–64","65+"))))</x:f>
        <x:v>35–44</x:v>
      </x:c>
      <x:c r="AK96" s="17" t="str">
        <x:f>IF(AG96&gt;=1000,"High Value",IF(AG96&gt;=300,"Mid Value","Low Value"))</x:f>
        <x:v>Low Value</x:v>
      </x:c>
      <x:c r="AL96" s="17" t="str">
        <x:f>IF(AND(AI96&gt;=1,I96&lt;=50),"Priority 1",IF(AND(AG96&gt;=1000,I96&lt;=60),"Priority 2",IF(I96&lt;=30,"Priority 3","Nurture")))</x:f>
        <x:v>Nurture</x:v>
      </x:c>
    </x:row>
    <x:row r="97">
      <x:c r="A97" s="16" t="n">
        <x:v>7516</x:v>
      </x:c>
      <x:c r="B97" s="16" t="n">
        <x:v>1983</x:v>
      </x:c>
      <x:c r="C97" s="16" t="str">
        <x:v>Graduation</x:v>
      </x:c>
      <x:c r="D97" s="16" t="str">
        <x:v>Married</x:v>
      </x:c>
      <x:c r="E97" s="16" t="n">
        <x:v>30096</x:v>
      </x:c>
      <x:c r="F97" s="16" t="n">
        <x:v>1</x:v>
      </x:c>
      <x:c r="G97" s="16" t="n">
        <x:v>0</x:v>
      </x:c>
      <x:c r="H97" s="16" t="str">
        <x:v>22-05-2014</x:v>
      </x:c>
      <x:c r="I97" s="16" t="n">
        <x:v>30</x:v>
      </x:c>
      <x:c r="J97" s="16" t="n">
        <x:v>5</x:v>
      </x:c>
      <x:c r="K97" s="16" t="n">
        <x:v>3</x:v>
      </x:c>
      <x:c r="L97" s="16" t="n">
        <x:v>11</x:v>
      </x:c>
      <x:c r="M97" s="16" t="n">
        <x:v>12</x:v>
      </x:c>
      <x:c r="N97" s="16" t="n">
        <x:v>5</x:v>
      </x:c>
      <x:c r="O97" s="16" t="n">
        <x:v>9</x:v>
      </x:c>
      <x:c r="P97" s="16" t="n">
        <x:v>1</x:v>
      </x:c>
      <x:c r="Q97" s="16" t="n">
        <x:v>2</x:v>
      </x:c>
      <x:c r="R97" s="16" t="n">
        <x:v>0</x:v>
      </x:c>
      <x:c r="S97" s="16" t="n">
        <x:v>3</x:v>
      </x:c>
      <x:c r="T97" s="16" t="n">
        <x:v>6</x:v>
      </x:c>
      <x:c r="U97" s="16" t="n">
        <x:v>0</x:v>
      </x:c>
      <x:c r="V97" s="16" t="n">
        <x:v>0</x:v>
      </x:c>
      <x:c r="W97" s="16" t="n">
        <x:v>0</x:v>
      </x:c>
      <x:c r="X97" s="16" t="n">
        <x:v>0</x:v>
      </x:c>
      <x:c r="Y97" s="16" t="n">
        <x:v>0</x:v>
      </x:c>
      <x:c r="Z97" s="16" t="n">
        <x:v>0</x:v>
      </x:c>
      <x:c r="AA97" s="16" t="n">
        <x:v>3</x:v>
      </x:c>
      <x:c r="AB97" s="16" t="n">
        <x:v>11</x:v>
      </x:c>
      <x:c r="AC97" s="16" t="n">
        <x:v>0</x:v>
      </x:c>
      <x:c r="AD97" s="21" t="n">
        <x:f>IF(E97="",MEDIAN($E$2:$E$2237),E97)</x:f>
        <x:v>30096</x:v>
      </x:c>
      <x:c r="AE97" s="17" t="n">
        <x:f>2014-B97</x:f>
        <x:v>31</x:v>
      </x:c>
      <x:c r="AF97" s="17" t="n">
        <x:f>F97+G97</x:f>
        <x:v>1</x:v>
      </x:c>
      <x:c r="AG97" s="21" t="n">
        <x:f>SUM(J97:O97)</x:f>
        <x:v>45</x:v>
      </x:c>
      <x:c r="AH97" s="17" t="n">
        <x:f>SUM(Q97:S97)</x:f>
        <x:v>5</x:v>
      </x:c>
      <x:c r="AI97" s="17" t="n">
        <x:f>SUM(U97:Y97)</x:f>
        <x:v>0</x:v>
      </x:c>
      <x:c r="AJ97" s="17" t="str">
        <x:f>IF(AE97&lt;=34,"≤34",IF(AE97&lt;=44,"35–44",IF(AE97&lt;=54,"45–54",IF(AE97&lt;=64,"55–64","65+"))))</x:f>
        <x:v>≤34</x:v>
      </x:c>
      <x:c r="AK97" s="17" t="str">
        <x:f>IF(AG97&gt;=1000,"High Value",IF(AG97&gt;=300,"Mid Value","Low Value"))</x:f>
        <x:v>Low Value</x:v>
      </x:c>
      <x:c r="AL97" s="17" t="str">
        <x:f>IF(AND(AI97&gt;=1,I97&lt;=50),"Priority 1",IF(AND(AG97&gt;=1000,I97&lt;=60),"Priority 2",IF(I97&lt;=30,"Priority 3","Nurture")))</x:f>
        <x:v>Priority 3</x:v>
      </x:c>
    </x:row>
    <x:row r="98">
      <x:c r="A98" s="16" t="n">
        <x:v>7247</x:v>
      </x:c>
      <x:c r="B98" s="16" t="n">
        <x:v>1960</x:v>
      </x:c>
      <x:c r="C98" s="16" t="str">
        <x:v>Graduation</x:v>
      </x:c>
      <x:c r="D98" s="16" t="str">
        <x:v>Widow</x:v>
      </x:c>
      <x:c r="E98" s="16" t="n">
        <x:v>47916</x:v>
      </x:c>
      <x:c r="F98" s="16" t="n">
        <x:v>0</x:v>
      </x:c>
      <x:c r="G98" s="16" t="n">
        <x:v>1</x:v>
      </x:c>
      <x:c r="H98" s="16" t="str">
        <x:v>22-11-2012</x:v>
      </x:c>
      <x:c r="I98" s="16" t="n">
        <x:v>72</x:v>
      </x:c>
      <x:c r="J98" s="16" t="n">
        <x:v>505</x:v>
      </x:c>
      <x:c r="K98" s="16" t="n">
        <x:v>0</x:v>
      </x:c>
      <x:c r="L98" s="16" t="n">
        <x:v>26</x:v>
      </x:c>
      <x:c r="M98" s="16" t="n">
        <x:v>0</x:v>
      </x:c>
      <x:c r="N98" s="16" t="n">
        <x:v>0</x:v>
      </x:c>
      <x:c r="O98" s="16" t="n">
        <x:v>75</x:v>
      </x:c>
      <x:c r="P98" s="16" t="n">
        <x:v>5</x:v>
      </x:c>
      <x:c r="Q98" s="16" t="n">
        <x:v>7</x:v>
      </x:c>
      <x:c r="R98" s="16" t="n">
        <x:v>4</x:v>
      </x:c>
      <x:c r="S98" s="16" t="n">
        <x:v>6</x:v>
      </x:c>
      <x:c r="T98" s="16" t="n">
        <x:v>6</x:v>
      </x:c>
      <x:c r="U98" s="16" t="n">
        <x:v>0</x:v>
      </x:c>
      <x:c r="V98" s="16" t="n">
        <x:v>1</x:v>
      </x:c>
      <x:c r="W98" s="16" t="n">
        <x:v>0</x:v>
      </x:c>
      <x:c r="X98" s="16" t="n">
        <x:v>0</x:v>
      </x:c>
      <x:c r="Y98" s="16" t="n">
        <x:v>0</x:v>
      </x:c>
      <x:c r="Z98" s="16" t="n">
        <x:v>0</x:v>
      </x:c>
      <x:c r="AA98" s="16" t="n">
        <x:v>3</x:v>
      </x:c>
      <x:c r="AB98" s="16" t="n">
        <x:v>11</x:v>
      </x:c>
      <x:c r="AC98" s="16" t="n">
        <x:v>0</x:v>
      </x:c>
      <x:c r="AD98" s="21" t="n">
        <x:f>IF(E98="",MEDIAN($E$2:$E$2237),E98)</x:f>
        <x:v>47916</x:v>
      </x:c>
      <x:c r="AE98" s="17" t="n">
        <x:f>2014-B98</x:f>
        <x:v>54</x:v>
      </x:c>
      <x:c r="AF98" s="17" t="n">
        <x:f>F98+G98</x:f>
        <x:v>1</x:v>
      </x:c>
      <x:c r="AG98" s="21" t="n">
        <x:f>SUM(J98:O98)</x:f>
        <x:v>606</x:v>
      </x:c>
      <x:c r="AH98" s="17" t="n">
        <x:f>SUM(Q98:S98)</x:f>
        <x:v>17</x:v>
      </x:c>
      <x:c r="AI98" s="17" t="n">
        <x:f>SUM(U98:Y98)</x:f>
        <x:v>1</x:v>
      </x:c>
      <x:c r="AJ98" s="17" t="str">
        <x:f>IF(AE98&lt;=34,"≤34",IF(AE98&lt;=44,"35–44",IF(AE98&lt;=54,"45–54",IF(AE98&lt;=64,"55–64","65+"))))</x:f>
        <x:v>45–54</x:v>
      </x:c>
      <x:c r="AK98" s="17" t="str">
        <x:f>IF(AG98&gt;=1000,"High Value",IF(AG98&gt;=300,"Mid Value","Low Value"))</x:f>
        <x:v>Mid Value</x:v>
      </x:c>
      <x:c r="AL98" s="17" t="str">
        <x:f>IF(AND(AI98&gt;=1,I98&lt;=50),"Priority 1",IF(AND(AG98&gt;=1000,I98&lt;=60),"Priority 2",IF(I98&lt;=30,"Priority 3","Nurture")))</x:f>
        <x:v>Nurture</x:v>
      </x:c>
    </x:row>
    <x:row r="99">
      <x:c r="A99" s="16" t="n">
        <x:v>11100</x:v>
      </x:c>
      <x:c r="B99" s="16" t="n">
        <x:v>1972</x:v>
      </x:c>
      <x:c r="C99" s="16" t="str">
        <x:v>Graduation</x:v>
      </x:c>
      <x:c r="D99" s="16" t="str">
        <x:v>Divorced</x:v>
      </x:c>
      <x:c r="E99" s="16" t="n">
        <x:v>51813</x:v>
      </x:c>
      <x:c r="F99" s="16" t="n">
        <x:v>1</x:v>
      </x:c>
      <x:c r="G99" s="16" t="n">
        <x:v>1</x:v>
      </x:c>
      <x:c r="H99" s="16" t="str">
        <x:v>11-04-2013</x:v>
      </x:c>
      <x:c r="I99" s="16" t="n">
        <x:v>37</x:v>
      </x:c>
      <x:c r="J99" s="16" t="n">
        <x:v>51</x:v>
      </x:c>
      <x:c r="K99" s="16" t="n">
        <x:v>2</x:v>
      </x:c>
      <x:c r="L99" s="16" t="n">
        <x:v>7</x:v>
      </x:c>
      <x:c r="M99" s="16" t="n">
        <x:v>0</x:v>
      </x:c>
      <x:c r="N99" s="16" t="n">
        <x:v>1</x:v>
      </x:c>
      <x:c r="O99" s="16" t="n">
        <x:v>2</x:v>
      </x:c>
      <x:c r="P99" s="16" t="n">
        <x:v>2</x:v>
      </x:c>
      <x:c r="Q99" s="16" t="n">
        <x:v>2</x:v>
      </x:c>
      <x:c r="R99" s="16" t="n">
        <x:v>0</x:v>
      </x:c>
      <x:c r="S99" s="16" t="n">
        <x:v>3</x:v>
      </x:c>
      <x:c r="T99" s="16" t="n">
        <x:v>7</x:v>
      </x:c>
      <x:c r="U99" s="16" t="n">
        <x:v>0</x:v>
      </x:c>
      <x:c r="V99" s="16" t="n">
        <x:v>0</x:v>
      </x:c>
      <x:c r="W99" s="16" t="n">
        <x:v>0</x:v>
      </x:c>
      <x:c r="X99" s="16" t="n">
        <x:v>0</x:v>
      </x:c>
      <x:c r="Y99" s="16" t="n">
        <x:v>0</x:v>
      </x:c>
      <x:c r="Z99" s="16" t="n">
        <x:v>0</x:v>
      </x:c>
      <x:c r="AA99" s="16" t="n">
        <x:v>3</x:v>
      </x:c>
      <x:c r="AB99" s="16" t="n">
        <x:v>11</x:v>
      </x:c>
      <x:c r="AC99" s="16" t="n">
        <x:v>0</x:v>
      </x:c>
      <x:c r="AD99" s="21" t="n">
        <x:f>IF(E99="",MEDIAN($E$2:$E$2237),E99)</x:f>
        <x:v>51813</x:v>
      </x:c>
      <x:c r="AE99" s="17" t="n">
        <x:f>2014-B99</x:f>
        <x:v>42</x:v>
      </x:c>
      <x:c r="AF99" s="17" t="n">
        <x:f>F99+G99</x:f>
        <x:v>2</x:v>
      </x:c>
      <x:c r="AG99" s="21" t="n">
        <x:f>SUM(J99:O99)</x:f>
        <x:v>63</x:v>
      </x:c>
      <x:c r="AH99" s="17" t="n">
        <x:f>SUM(Q99:S99)</x:f>
        <x:v>5</x:v>
      </x:c>
      <x:c r="AI99" s="17" t="n">
        <x:f>SUM(U99:Y99)</x:f>
        <x:v>0</x:v>
      </x:c>
      <x:c r="AJ99" s="17" t="str">
        <x:f>IF(AE99&lt;=34,"≤34",IF(AE99&lt;=44,"35–44",IF(AE99&lt;=54,"45–54",IF(AE99&lt;=64,"55–64","65+"))))</x:f>
        <x:v>35–44</x:v>
      </x:c>
      <x:c r="AK99" s="17" t="str">
        <x:f>IF(AG99&gt;=1000,"High Value",IF(AG99&gt;=300,"Mid Value","Low Value"))</x:f>
        <x:v>Low Value</x:v>
      </x:c>
      <x:c r="AL99" s="17" t="str">
        <x:f>IF(AND(AI99&gt;=1,I99&lt;=50),"Priority 1",IF(AND(AG99&gt;=1000,I99&lt;=60),"Priority 2",IF(I99&lt;=30,"Priority 3","Nurture")))</x:f>
        <x:v>Nurture</x:v>
      </x:c>
    </x:row>
    <x:row r="100">
      <x:c r="A100" s="16" t="n">
        <x:v>4646</x:v>
      </x:c>
      <x:c r="B100" s="16" t="n">
        <x:v>1951</x:v>
      </x:c>
      <x:c r="C100" s="16" t="str">
        <x:v>2n Cycle</x:v>
      </x:c>
      <x:c r="D100" s="16" t="str">
        <x:v>Married</x:v>
      </x:c>
      <x:c r="E100" s="16" t="n">
        <x:v>78497</x:v>
      </x:c>
      <x:c r="F100" s="16" t="n">
        <x:v>0</x:v>
      </x:c>
      <x:c r="G100" s="16" t="n">
        <x:v>0</x:v>
      </x:c>
      <x:c r="H100" s="16" t="str">
        <x:v>01-12-2013</x:v>
      </x:c>
      <x:c r="I100" s="16" t="n">
        <x:v>44</x:v>
      </x:c>
      <x:c r="J100" s="16" t="n">
        <x:v>207</x:v>
      </x:c>
      <x:c r="K100" s="16" t="n">
        <x:v>26</x:v>
      </x:c>
      <x:c r="L100" s="16" t="n">
        <x:v>447</x:v>
      </x:c>
      <x:c r="M100" s="16" t="n">
        <x:v>75</x:v>
      </x:c>
      <x:c r="N100" s="16" t="n">
        <x:v>0</x:v>
      </x:c>
      <x:c r="O100" s="16" t="n">
        <x:v>223</x:v>
      </x:c>
      <x:c r="P100" s="16" t="n">
        <x:v>1</x:v>
      </x:c>
      <x:c r="Q100" s="16" t="n">
        <x:v>5</x:v>
      </x:c>
      <x:c r="R100" s="16" t="n">
        <x:v>7</x:v>
      </x:c>
      <x:c r="S100" s="16" t="n">
        <x:v>12</x:v>
      </x:c>
      <x:c r="T100" s="16" t="n">
        <x:v>2</x:v>
      </x:c>
      <x:c r="U100" s="16" t="n">
        <x:v>0</x:v>
      </x:c>
      <x:c r="V100" s="16" t="n">
        <x:v>0</x:v>
      </x:c>
      <x:c r="W100" s="16" t="n">
        <x:v>0</x:v>
      </x:c>
      <x:c r="X100" s="16" t="n">
        <x:v>1</x:v>
      </x:c>
      <x:c r="Y100" s="16" t="n">
        <x:v>0</x:v>
      </x:c>
      <x:c r="Z100" s="16" t="n">
        <x:v>0</x:v>
      </x:c>
      <x:c r="AA100" s="16" t="n">
        <x:v>3</x:v>
      </x:c>
      <x:c r="AB100" s="16" t="n">
        <x:v>11</x:v>
      </x:c>
      <x:c r="AC100" s="16" t="n">
        <x:v>0</x:v>
      </x:c>
      <x:c r="AD100" s="21" t="n">
        <x:f>IF(E100="",MEDIAN($E$2:$E$2237),E100)</x:f>
        <x:v>78497</x:v>
      </x:c>
      <x:c r="AE100" s="17" t="n">
        <x:f>2014-B100</x:f>
        <x:v>63</x:v>
      </x:c>
      <x:c r="AF100" s="17" t="n">
        <x:f>F100+G100</x:f>
        <x:v>0</x:v>
      </x:c>
      <x:c r="AG100" s="21" t="n">
        <x:f>SUM(J100:O100)</x:f>
        <x:v>978</x:v>
      </x:c>
      <x:c r="AH100" s="17" t="n">
        <x:f>SUM(Q100:S100)</x:f>
        <x:v>24</x:v>
      </x:c>
      <x:c r="AI100" s="17" t="n">
        <x:f>SUM(U100:Y100)</x:f>
        <x:v>1</x:v>
      </x:c>
      <x:c r="AJ100" s="17" t="str">
        <x:f>IF(AE100&lt;=34,"≤34",IF(AE100&lt;=44,"35–44",IF(AE100&lt;=54,"45–54",IF(AE100&lt;=64,"55–64","65+"))))</x:f>
        <x:v>55–64</x:v>
      </x:c>
      <x:c r="AK100" s="17" t="str">
        <x:f>IF(AG100&gt;=1000,"High Value",IF(AG100&gt;=300,"Mid Value","Low Value"))</x:f>
        <x:v>Mid Value</x:v>
      </x:c>
      <x:c r="AL100" s="17" t="str">
        <x:f>IF(AND(AI100&gt;=1,I100&lt;=50),"Priority 1",IF(AND(AG100&gt;=1000,I100&lt;=60),"Priority 2",IF(I100&lt;=30,"Priority 3","Nurture")))</x:f>
        <x:v>Priority 1</x:v>
      </x:c>
    </x:row>
    <x:row r="101">
      <x:c r="A101" s="16" t="n">
        <x:v>3037</x:v>
      </x:c>
      <x:c r="B101" s="16" t="n">
        <x:v>1983</x:v>
      </x:c>
      <x:c r="C101" s="16" t="str">
        <x:v>PhD</x:v>
      </x:c>
      <x:c r="D101" s="16" t="str">
        <x:v>Married</x:v>
      </x:c>
      <x:c r="E101" s="16" t="n">
        <x:v>50150</x:v>
      </x:c>
      <x:c r="F101" s="16" t="n">
        <x:v>0</x:v>
      </x:c>
      <x:c r="G101" s="16" t="n">
        <x:v>0</x:v>
      </x:c>
      <x:c r="H101" s="16" t="str">
        <x:v>20-06-2013</x:v>
      </x:c>
      <x:c r="I101" s="16" t="n">
        <x:v>32</x:v>
      </x:c>
      <x:c r="J101" s="16" t="n">
        <x:v>135</x:v>
      </x:c>
      <x:c r="K101" s="16" t="n">
        <x:v>46</x:v>
      </x:c>
      <x:c r="L101" s="16" t="n">
        <x:v>92</x:v>
      </x:c>
      <x:c r="M101" s="16" t="n">
        <x:v>65</x:v>
      </x:c>
      <x:c r="N101" s="16" t="n">
        <x:v>61</x:v>
      </x:c>
      <x:c r="O101" s="16" t="n">
        <x:v>11</x:v>
      </x:c>
      <x:c r="P101" s="16" t="n">
        <x:v>2</x:v>
      </x:c>
      <x:c r="Q101" s="16" t="n">
        <x:v>5</x:v>
      </x:c>
      <x:c r="R101" s="16" t="n">
        <x:v>2</x:v>
      </x:c>
      <x:c r="S101" s="16" t="n">
        <x:v>7</x:v>
      </x:c>
      <x:c r="T101" s="16" t="n">
        <x:v>5</x:v>
      </x:c>
      <x:c r="U101" s="16" t="n">
        <x:v>0</x:v>
      </x:c>
      <x:c r="V101" s="16" t="n">
        <x:v>0</x:v>
      </x:c>
      <x:c r="W101" s="16" t="n">
        <x:v>0</x:v>
      </x:c>
      <x:c r="X101" s="16" t="n">
        <x:v>0</x:v>
      </x:c>
      <x:c r="Y101" s="16" t="n">
        <x:v>0</x:v>
      </x:c>
      <x:c r="Z101" s="16" t="n">
        <x:v>0</x:v>
      </x:c>
      <x:c r="AA101" s="16" t="n">
        <x:v>3</x:v>
      </x:c>
      <x:c r="AB101" s="16" t="n">
        <x:v>11</x:v>
      </x:c>
      <x:c r="AC101" s="16" t="n">
        <x:v>0</x:v>
      </x:c>
      <x:c r="AD101" s="21" t="n">
        <x:f>IF(E101="",MEDIAN($E$2:$E$2237),E101)</x:f>
        <x:v>50150</x:v>
      </x:c>
      <x:c r="AE101" s="17" t="n">
        <x:f>2014-B101</x:f>
        <x:v>31</x:v>
      </x:c>
      <x:c r="AF101" s="17" t="n">
        <x:f>F101+G101</x:f>
        <x:v>0</x:v>
      </x:c>
      <x:c r="AG101" s="21" t="n">
        <x:f>SUM(J101:O101)</x:f>
        <x:v>410</x:v>
      </x:c>
      <x:c r="AH101" s="17" t="n">
        <x:f>SUM(Q101:S101)</x:f>
        <x:v>14</x:v>
      </x:c>
      <x:c r="AI101" s="17" t="n">
        <x:f>SUM(U101:Y101)</x:f>
        <x:v>0</x:v>
      </x:c>
      <x:c r="AJ101" s="17" t="str">
        <x:f>IF(AE101&lt;=34,"≤34",IF(AE101&lt;=44,"35–44",IF(AE101&lt;=54,"45–54",IF(AE101&lt;=64,"55–64","65+"))))</x:f>
        <x:v>≤34</x:v>
      </x:c>
      <x:c r="AK101" s="17" t="str">
        <x:f>IF(AG101&gt;=1000,"High Value",IF(AG101&gt;=300,"Mid Value","Low Value"))</x:f>
        <x:v>Mid Value</x:v>
      </x:c>
      <x:c r="AL101" s="17" t="str">
        <x:f>IF(AND(AI101&gt;=1,I101&lt;=50),"Priority 1",IF(AND(AG101&gt;=1000,I101&lt;=60),"Priority 2",IF(I101&lt;=30,"Priority 3","Nurture")))</x:f>
        <x:v>Nurture</x:v>
      </x:c>
    </x:row>
    <x:row r="102">
      <x:c r="A102" s="16" t="n">
        <x:v>1473</x:v>
      </x:c>
      <x:c r="B102" s="16" t="n">
        <x:v>1960</x:v>
      </x:c>
      <x:c r="C102" s="16" t="str">
        <x:v>2n Cycle</x:v>
      </x:c>
      <x:c r="D102" s="16" t="str">
        <x:v>Single</x:v>
      </x:c>
      <x:c r="E102" s="16" t="n">
        <x:v>47823</x:v>
      </x:c>
      <x:c r="F102" s="16" t="n">
        <x:v>0</x:v>
      </x:c>
      <x:c r="G102" s="16" t="n">
        <x:v>1</x:v>
      </x:c>
      <x:c r="H102" s="16" t="str">
        <x:v>23-07-2013</x:v>
      </x:c>
      <x:c r="I102" s="16" t="n">
        <x:v>0</x:v>
      </x:c>
      <x:c r="J102" s="16" t="n">
        <x:v>53</x:v>
      </x:c>
      <x:c r="K102" s="16" t="n">
        <x:v>1</x:v>
      </x:c>
      <x:c r="L102" s="16" t="n">
        <x:v>5</x:v>
      </x:c>
      <x:c r="M102" s="16" t="n">
        <x:v>2</x:v>
      </x:c>
      <x:c r="N102" s="16" t="n">
        <x:v>1</x:v>
      </x:c>
      <x:c r="O102" s="16" t="n">
        <x:v>10</x:v>
      </x:c>
      <x:c r="P102" s="16" t="n">
        <x:v>2</x:v>
      </x:c>
      <x:c r="Q102" s="16" t="n">
        <x:v>2</x:v>
      </x:c>
      <x:c r="R102" s="16" t="n">
        <x:v>0</x:v>
      </x:c>
      <x:c r="S102" s="16" t="n">
        <x:v>3</x:v>
      </x:c>
      <x:c r="T102" s="16" t="n">
        <x:v>8</x:v>
      </x:c>
      <x:c r="U102" s="16" t="n">
        <x:v>0</x:v>
      </x:c>
      <x:c r="V102" s="16" t="n">
        <x:v>0</x:v>
      </x:c>
      <x:c r="W102" s="16" t="n">
        <x:v>0</x:v>
      </x:c>
      <x:c r="X102" s="16" t="n">
        <x:v>0</x:v>
      </x:c>
      <x:c r="Y102" s="16" t="n">
        <x:v>0</x:v>
      </x:c>
      <x:c r="Z102" s="16" t="n">
        <x:v>0</x:v>
      </x:c>
      <x:c r="AA102" s="16" t="n">
        <x:v>3</x:v>
      </x:c>
      <x:c r="AB102" s="16" t="n">
        <x:v>11</x:v>
      </x:c>
      <x:c r="AC102" s="16" t="n">
        <x:v>0</x:v>
      </x:c>
      <x:c r="AD102" s="21" t="n">
        <x:f>IF(E102="",MEDIAN($E$2:$E$2237),E102)</x:f>
        <x:v>47823</x:v>
      </x:c>
      <x:c r="AE102" s="17" t="n">
        <x:f>2014-B102</x:f>
        <x:v>54</x:v>
      </x:c>
      <x:c r="AF102" s="17" t="n">
        <x:f>F102+G102</x:f>
        <x:v>1</x:v>
      </x:c>
      <x:c r="AG102" s="21" t="n">
        <x:f>SUM(J102:O102)</x:f>
        <x:v>72</x:v>
      </x:c>
      <x:c r="AH102" s="17" t="n">
        <x:f>SUM(Q102:S102)</x:f>
        <x:v>5</x:v>
      </x:c>
      <x:c r="AI102" s="17" t="n">
        <x:f>SUM(U102:Y102)</x:f>
        <x:v>0</x:v>
      </x:c>
      <x:c r="AJ102" s="17" t="str">
        <x:f>IF(AE102&lt;=34,"≤34",IF(AE102&lt;=44,"35–44",IF(AE102&lt;=54,"45–54",IF(AE102&lt;=64,"55–64","65+"))))</x:f>
        <x:v>45–54</x:v>
      </x:c>
      <x:c r="AK102" s="17" t="str">
        <x:f>IF(AG102&gt;=1000,"High Value",IF(AG102&gt;=300,"Mid Value","Low Value"))</x:f>
        <x:v>Low Value</x:v>
      </x:c>
      <x:c r="AL102" s="17" t="str">
        <x:f>IF(AND(AI102&gt;=1,I102&lt;=50),"Priority 1",IF(AND(AG102&gt;=1000,I102&lt;=60),"Priority 2",IF(I102&lt;=30,"Priority 3","Nurture")))</x:f>
        <x:v>Priority 3</x:v>
      </x:c>
    </x:row>
    <x:row r="103">
      <x:c r="A103" s="16" t="n">
        <x:v>1016</x:v>
      </x:c>
      <x:c r="B103" s="16" t="n">
        <x:v>1959</x:v>
      </x:c>
      <x:c r="C103" s="16" t="str">
        <x:v>PhD</x:v>
      </x:c>
      <x:c r="D103" s="16" t="str">
        <x:v>Single</x:v>
      </x:c>
      <x:c r="E103" s="16" t="n">
        <x:v>34554</x:v>
      </x:c>
      <x:c r="F103" s="16" t="n">
        <x:v>0</x:v>
      </x:c>
      <x:c r="G103" s="16" t="n">
        <x:v>1</x:v>
      </x:c>
      <x:c r="H103" s="16" t="str">
        <x:v>30-03-2014</x:v>
      </x:c>
      <x:c r="I103" s="16" t="n">
        <x:v>43</x:v>
      </x:c>
      <x:c r="J103" s="16" t="n">
        <x:v>41</x:v>
      </x:c>
      <x:c r="K103" s="16" t="n">
        <x:v>1</x:v>
      </x:c>
      <x:c r="L103" s="16" t="n">
        <x:v>6</x:v>
      </x:c>
      <x:c r="M103" s="16" t="n">
        <x:v>2</x:v>
      </x:c>
      <x:c r="N103" s="16" t="n">
        <x:v>0</x:v>
      </x:c>
      <x:c r="O103" s="16" t="n">
        <x:v>5</x:v>
      </x:c>
      <x:c r="P103" s="16" t="n">
        <x:v>2</x:v>
      </x:c>
      <x:c r="Q103" s="16" t="n">
        <x:v>2</x:v>
      </x:c>
      <x:c r="R103" s="16" t="n">
        <x:v>0</x:v>
      </x:c>
      <x:c r="S103" s="16" t="n">
        <x:v>3</x:v>
      </x:c>
      <x:c r="T103" s="16" t="n">
        <x:v>6</x:v>
      </x:c>
      <x:c r="U103" s="16" t="n">
        <x:v>0</x:v>
      </x:c>
      <x:c r="V103" s="16" t="n">
        <x:v>0</x:v>
      </x:c>
      <x:c r="W103" s="16" t="n">
        <x:v>0</x:v>
      </x:c>
      <x:c r="X103" s="16" t="n">
        <x:v>0</x:v>
      </x:c>
      <x:c r="Y103" s="16" t="n">
        <x:v>0</x:v>
      </x:c>
      <x:c r="Z103" s="16" t="n">
        <x:v>0</x:v>
      </x:c>
      <x:c r="AA103" s="16" t="n">
        <x:v>3</x:v>
      </x:c>
      <x:c r="AB103" s="16" t="n">
        <x:v>11</x:v>
      </x:c>
      <x:c r="AC103" s="16" t="n">
        <x:v>0</x:v>
      </x:c>
      <x:c r="AD103" s="21" t="n">
        <x:f>IF(E103="",MEDIAN($E$2:$E$2237),E103)</x:f>
        <x:v>34554</x:v>
      </x:c>
      <x:c r="AE103" s="17" t="n">
        <x:f>2014-B103</x:f>
        <x:v>55</x:v>
      </x:c>
      <x:c r="AF103" s="17" t="n">
        <x:f>F103+G103</x:f>
        <x:v>1</x:v>
      </x:c>
      <x:c r="AG103" s="21" t="n">
        <x:f>SUM(J103:O103)</x:f>
        <x:v>55</x:v>
      </x:c>
      <x:c r="AH103" s="17" t="n">
        <x:f>SUM(Q103:S103)</x:f>
        <x:v>5</x:v>
      </x:c>
      <x:c r="AI103" s="17" t="n">
        <x:f>SUM(U103:Y103)</x:f>
        <x:v>0</x:v>
      </x:c>
      <x:c r="AJ103" s="17" t="str">
        <x:f>IF(AE103&lt;=34,"≤34",IF(AE103&lt;=44,"35–44",IF(AE103&lt;=54,"45–54",IF(AE103&lt;=64,"55–64","65+"))))</x:f>
        <x:v>55–64</x:v>
      </x:c>
      <x:c r="AK103" s="17" t="str">
        <x:f>IF(AG103&gt;=1000,"High Value",IF(AG103&gt;=300,"Mid Value","Low Value"))</x:f>
        <x:v>Low Value</x:v>
      </x:c>
      <x:c r="AL103" s="17" t="str">
        <x:f>IF(AND(AI103&gt;=1,I103&lt;=50),"Priority 1",IF(AND(AG103&gt;=1000,I103&lt;=60),"Priority 2",IF(I103&lt;=30,"Priority 3","Nurture")))</x:f>
        <x:v>Nurture</x:v>
      </x:c>
    </x:row>
    <x:row r="104">
      <x:c r="A104" s="16" t="n">
        <x:v>4518</x:v>
      </x:c>
      <x:c r="B104" s="16" t="n">
        <x:v>1979</x:v>
      </x:c>
      <x:c r="C104" s="16" t="str">
        <x:v>Graduation</x:v>
      </x:c>
      <x:c r="D104" s="16" t="str">
        <x:v>Together</x:v>
      </x:c>
      <x:c r="E104" s="16" t="n">
        <x:v>85693</x:v>
      </x:c>
      <x:c r="F104" s="16" t="n">
        <x:v>0</x:v>
      </x:c>
      <x:c r="G104" s="16" t="n">
        <x:v>1</x:v>
      </x:c>
      <x:c r="H104" s="16" t="str">
        <x:v>20-04-2013</x:v>
      </x:c>
      <x:c r="I104" s="16" t="n">
        <x:v>59</x:v>
      </x:c>
      <x:c r="J104" s="16" t="n">
        <x:v>386</x:v>
      </x:c>
      <x:c r="K104" s="16" t="n">
        <x:v>172</x:v>
      </x:c>
      <x:c r="L104" s="16" t="n">
        <x:v>183</x:v>
      </x:c>
      <x:c r="M104" s="16" t="n">
        <x:v>185</x:v>
      </x:c>
      <x:c r="N104" s="16" t="n">
        <x:v>132</x:v>
      </x:c>
      <x:c r="O104" s="16" t="n">
        <x:v>111</x:v>
      </x:c>
      <x:c r="P104" s="16" t="n">
        <x:v>2</x:v>
      </x:c>
      <x:c r="Q104" s="16" t="n">
        <x:v>9</x:v>
      </x:c>
      <x:c r="R104" s="16" t="n">
        <x:v>5</x:v>
      </x:c>
      <x:c r="S104" s="16" t="n">
        <x:v>11</x:v>
      </x:c>
      <x:c r="T104" s="16" t="n">
        <x:v>5</x:v>
      </x:c>
      <x:c r="U104" s="16" t="n">
        <x:v>0</x:v>
      </x:c>
      <x:c r="V104" s="16" t="n">
        <x:v>0</x:v>
      </x:c>
      <x:c r="W104" s="16" t="n">
        <x:v>0</x:v>
      </x:c>
      <x:c r="X104" s="16" t="n">
        <x:v>0</x:v>
      </x:c>
      <x:c r="Y104" s="16" t="n">
        <x:v>0</x:v>
      </x:c>
      <x:c r="Z104" s="16" t="n">
        <x:v>0</x:v>
      </x:c>
      <x:c r="AA104" s="16" t="n">
        <x:v>3</x:v>
      </x:c>
      <x:c r="AB104" s="16" t="n">
        <x:v>11</x:v>
      </x:c>
      <x:c r="AC104" s="16" t="n">
        <x:v>0</x:v>
      </x:c>
      <x:c r="AD104" s="21" t="n">
        <x:f>IF(E104="",MEDIAN($E$2:$E$2237),E104)</x:f>
        <x:v>85693</x:v>
      </x:c>
      <x:c r="AE104" s="17" t="n">
        <x:f>2014-B104</x:f>
        <x:v>35</x:v>
      </x:c>
      <x:c r="AF104" s="17" t="n">
        <x:f>F104+G104</x:f>
        <x:v>1</x:v>
      </x:c>
      <x:c r="AG104" s="21" t="n">
        <x:f>SUM(J104:O104)</x:f>
        <x:v>1169</x:v>
      </x:c>
      <x:c r="AH104" s="17" t="n">
        <x:f>SUM(Q104:S104)</x:f>
        <x:v>25</x:v>
      </x:c>
      <x:c r="AI104" s="17" t="n">
        <x:f>SUM(U104:Y104)</x:f>
        <x:v>0</x:v>
      </x:c>
      <x:c r="AJ104" s="17" t="str">
        <x:f>IF(AE104&lt;=34,"≤34",IF(AE104&lt;=44,"35–44",IF(AE104&lt;=54,"45–54",IF(AE104&lt;=64,"55–64","65+"))))</x:f>
        <x:v>35–44</x:v>
      </x:c>
      <x:c r="AK104" s="17" t="str">
        <x:f>IF(AG104&gt;=1000,"High Value",IF(AG104&gt;=300,"Mid Value","Low Value"))</x:f>
        <x:v>High Value</x:v>
      </x:c>
      <x:c r="AL104" s="17" t="str">
        <x:f>IF(AND(AI104&gt;=1,I104&lt;=50),"Priority 1",IF(AND(AG104&gt;=1000,I104&lt;=60),"Priority 2",IF(I104&lt;=30,"Priority 3","Nurture")))</x:f>
        <x:v>Priority 2</x:v>
      </x:c>
    </x:row>
    <x:row r="105">
      <x:c r="A105" s="16" t="n">
        <x:v>9370</x:v>
      </x:c>
      <x:c r="B105" s="16" t="n">
        <x:v>1945</x:v>
      </x:c>
      <x:c r="C105" s="16" t="str">
        <x:v>PhD</x:v>
      </x:c>
      <x:c r="D105" s="16" t="str">
        <x:v>Married</x:v>
      </x:c>
      <x:c r="E105" s="16" t="n">
        <x:v>65846</x:v>
      </x:c>
      <x:c r="F105" s="16" t="n">
        <x:v>0</x:v>
      </x:c>
      <x:c r="G105" s="16" t="n">
        <x:v>0</x:v>
      </x:c>
      <x:c r="H105" s="16" t="str">
        <x:v>17-05-2013</x:v>
      </x:c>
      <x:c r="I105" s="16" t="n">
        <x:v>68</x:v>
      </x:c>
      <x:c r="J105" s="16" t="n">
        <x:v>562</x:v>
      </x:c>
      <x:c r="K105" s="16" t="n">
        <x:v>81</x:v>
      </x:c>
      <x:c r="L105" s="16" t="n">
        <x:v>276</x:v>
      </x:c>
      <x:c r="M105" s="16" t="n">
        <x:v>80</x:v>
      </x:c>
      <x:c r="N105" s="16" t="n">
        <x:v>40</x:v>
      </x:c>
      <x:c r="O105" s="16" t="n">
        <x:v>81</x:v>
      </x:c>
      <x:c r="P105" s="16" t="n">
        <x:v>1</x:v>
      </x:c>
      <x:c r="Q105" s="16" t="n">
        <x:v>6</x:v>
      </x:c>
      <x:c r="R105" s="16" t="n">
        <x:v>3</x:v>
      </x:c>
      <x:c r="S105" s="16" t="n">
        <x:v>6</x:v>
      </x:c>
      <x:c r="T105" s="16" t="n">
        <x:v>4</x:v>
      </x:c>
      <x:c r="U105" s="16" t="n">
        <x:v>0</x:v>
      </x:c>
      <x:c r="V105" s="16" t="n">
        <x:v>0</x:v>
      </x:c>
      <x:c r="W105" s="16" t="n">
        <x:v>0</x:v>
      </x:c>
      <x:c r="X105" s="16" t="n">
        <x:v>0</x:v>
      </x:c>
      <x:c r="Y105" s="16" t="n">
        <x:v>0</x:v>
      </x:c>
      <x:c r="Z105" s="16" t="n">
        <x:v>0</x:v>
      </x:c>
      <x:c r="AA105" s="16" t="n">
        <x:v>3</x:v>
      </x:c>
      <x:c r="AB105" s="16" t="n">
        <x:v>11</x:v>
      </x:c>
      <x:c r="AC105" s="16" t="n">
        <x:v>0</x:v>
      </x:c>
      <x:c r="AD105" s="21" t="n">
        <x:f>IF(E105="",MEDIAN($E$2:$E$2237),E105)</x:f>
        <x:v>65846</x:v>
      </x:c>
      <x:c r="AE105" s="17" t="n">
        <x:f>2014-B105</x:f>
        <x:v>69</x:v>
      </x:c>
      <x:c r="AF105" s="17" t="n">
        <x:f>F105+G105</x:f>
        <x:v>0</x:v>
      </x:c>
      <x:c r="AG105" s="21" t="n">
        <x:f>SUM(J105:O105)</x:f>
        <x:v>1120</x:v>
      </x:c>
      <x:c r="AH105" s="17" t="n">
        <x:f>SUM(Q105:S105)</x:f>
        <x:v>15</x:v>
      </x:c>
      <x:c r="AI105" s="17" t="n">
        <x:f>SUM(U105:Y105)</x:f>
        <x:v>0</x:v>
      </x:c>
      <x:c r="AJ105" s="17" t="str">
        <x:f>IF(AE105&lt;=34,"≤34",IF(AE105&lt;=44,"35–44",IF(AE105&lt;=54,"45–54",IF(AE105&lt;=64,"55–64","65+"))))</x:f>
        <x:v>65+</x:v>
      </x:c>
      <x:c r="AK105" s="17" t="str">
        <x:f>IF(AG105&gt;=1000,"High Value",IF(AG105&gt;=300,"Mid Value","Low Value"))</x:f>
        <x:v>High Value</x:v>
      </x:c>
      <x:c r="AL105" s="17" t="str">
        <x:f>IF(AND(AI105&gt;=1,I105&lt;=50),"Priority 1",IF(AND(AG105&gt;=1000,I105&lt;=60),"Priority 2",IF(I105&lt;=30,"Priority 3","Nurture")))</x:f>
        <x:v>Nurture</x:v>
      </x:c>
    </x:row>
    <x:row r="106">
      <x:c r="A106" s="16" t="n">
        <x:v>8908</x:v>
      </x:c>
      <x:c r="B106" s="16" t="n">
        <x:v>1959</x:v>
      </x:c>
      <x:c r="C106" s="16" t="str">
        <x:v>Graduation</x:v>
      </x:c>
      <x:c r="D106" s="16" t="str">
        <x:v>Married</x:v>
      </x:c>
      <x:c r="E106" s="16" t="n">
        <x:v>87195</x:v>
      </x:c>
      <x:c r="F106" s="16" t="n">
        <x:v>0</x:v>
      </x:c>
      <x:c r="G106" s="16" t="n">
        <x:v>0</x:v>
      </x:c>
      <x:c r="H106" s="16" t="str">
        <x:v>08-05-2014</x:v>
      </x:c>
      <x:c r="I106" s="16" t="n">
        <x:v>35</x:v>
      </x:c>
      <x:c r="J106" s="16" t="n">
        <x:v>217</x:v>
      </x:c>
      <x:c r="K106" s="16" t="n">
        <x:v>76</x:v>
      </x:c>
      <x:c r="L106" s="16" t="n">
        <x:v>690</x:v>
      </x:c>
      <x:c r="M106" s="16" t="n">
        <x:v>50</x:v>
      </x:c>
      <x:c r="N106" s="16" t="n">
        <x:v>26</x:v>
      </x:c>
      <x:c r="O106" s="16" t="n">
        <x:v>38</x:v>
      </x:c>
      <x:c r="P106" s="16" t="n">
        <x:v>1</x:v>
      </x:c>
      <x:c r="Q106" s="16" t="n">
        <x:v>3</x:v>
      </x:c>
      <x:c r="R106" s="16" t="n">
        <x:v>11</x:v>
      </x:c>
      <x:c r="S106" s="16" t="n">
        <x:v>5</x:v>
      </x:c>
      <x:c r="T106" s="16" t="n">
        <x:v>1</x:v>
      </x:c>
      <x:c r="U106" s="16" t="n">
        <x:v>0</x:v>
      </x:c>
      <x:c r="V106" s="16" t="n">
        <x:v>0</x:v>
      </x:c>
      <x:c r="W106" s="16" t="n">
        <x:v>0</x:v>
      </x:c>
      <x:c r="X106" s="16" t="n">
        <x:v>0</x:v>
      </x:c>
      <x:c r="Y106" s="16" t="n">
        <x:v>0</x:v>
      </x:c>
      <x:c r="Z106" s="16" t="n">
        <x:v>0</x:v>
      </x:c>
      <x:c r="AA106" s="16" t="n">
        <x:v>3</x:v>
      </x:c>
      <x:c r="AB106" s="16" t="n">
        <x:v>11</x:v>
      </x:c>
      <x:c r="AC106" s="16" t="n">
        <x:v>1</x:v>
      </x:c>
      <x:c r="AD106" s="21" t="n">
        <x:f>IF(E106="",MEDIAN($E$2:$E$2237),E106)</x:f>
        <x:v>87195</x:v>
      </x:c>
      <x:c r="AE106" s="17" t="n">
        <x:f>2014-B106</x:f>
        <x:v>55</x:v>
      </x:c>
      <x:c r="AF106" s="17" t="n">
        <x:f>F106+G106</x:f>
        <x:v>0</x:v>
      </x:c>
      <x:c r="AG106" s="21" t="n">
        <x:f>SUM(J106:O106)</x:f>
        <x:v>1097</x:v>
      </x:c>
      <x:c r="AH106" s="17" t="n">
        <x:f>SUM(Q106:S106)</x:f>
        <x:v>19</x:v>
      </x:c>
      <x:c r="AI106" s="17" t="n">
        <x:f>SUM(U106:Y106)</x:f>
        <x:v>0</x:v>
      </x:c>
      <x:c r="AJ106" s="17" t="str">
        <x:f>IF(AE106&lt;=34,"≤34",IF(AE106&lt;=44,"35–44",IF(AE106&lt;=54,"45–54",IF(AE106&lt;=64,"55–64","65+"))))</x:f>
        <x:v>55–64</x:v>
      </x:c>
      <x:c r="AK106" s="17" t="str">
        <x:f>IF(AG106&gt;=1000,"High Value",IF(AG106&gt;=300,"Mid Value","Low Value"))</x:f>
        <x:v>High Value</x:v>
      </x:c>
      <x:c r="AL106" s="17" t="str">
        <x:f>IF(AND(AI106&gt;=1,I106&lt;=50),"Priority 1",IF(AND(AG106&gt;=1000,I106&lt;=60),"Priority 2",IF(I106&lt;=30,"Priority 3","Nurture")))</x:f>
        <x:v>Priority 2</x:v>
      </x:c>
    </x:row>
    <x:row r="107">
      <x:c r="A107" s="16" t="n">
        <x:v>8373</x:v>
      </x:c>
      <x:c r="B107" s="16" t="n">
        <x:v>1979</x:v>
      </x:c>
      <x:c r="C107" s="16" t="str">
        <x:v>Basic</x:v>
      </x:c>
      <x:c r="D107" s="16" t="str">
        <x:v>Together</x:v>
      </x:c>
      <x:c r="E107" s="16" t="n">
        <x:v>24594</x:v>
      </x:c>
      <x:c r="F107" s="16" t="n">
        <x:v>1</x:v>
      </x:c>
      <x:c r="G107" s="16" t="n">
        <x:v>0</x:v>
      </x:c>
      <x:c r="H107" s="16" t="str">
        <x:v>10-12-2013</x:v>
      </x:c>
      <x:c r="I107" s="16" t="n">
        <x:v>94</x:v>
      </x:c>
      <x:c r="J107" s="16" t="n">
        <x:v>1</x:v>
      </x:c>
      <x:c r="K107" s="16" t="n">
        <x:v>3</x:v>
      </x:c>
      <x:c r="L107" s="16" t="n">
        <x:v>6</x:v>
      </x:c>
      <x:c r="M107" s="16" t="n">
        <x:v>10</x:v>
      </x:c>
      <x:c r="N107" s="16" t="n">
        <x:v>0</x:v>
      </x:c>
      <x:c r="O107" s="16" t="n">
        <x:v>9</x:v>
      </x:c>
      <x:c r="P107" s="16" t="n">
        <x:v>1</x:v>
      </x:c>
      <x:c r="Q107" s="16" t="n">
        <x:v>1</x:v>
      </x:c>
      <x:c r="R107" s="16" t="n">
        <x:v>0</x:v>
      </x:c>
      <x:c r="S107" s="16" t="n">
        <x:v>3</x:v>
      </x:c>
      <x:c r="T107" s="16" t="n">
        <x:v>5</x:v>
      </x:c>
      <x:c r="U107" s="16" t="n">
        <x:v>0</x:v>
      </x:c>
      <x:c r="V107" s="16" t="n">
        <x:v>0</x:v>
      </x:c>
      <x:c r="W107" s="16" t="n">
        <x:v>0</x:v>
      </x:c>
      <x:c r="X107" s="16" t="n">
        <x:v>0</x:v>
      </x:c>
      <x:c r="Y107" s="16" t="n">
        <x:v>0</x:v>
      </x:c>
      <x:c r="Z107" s="16" t="n">
        <x:v>0</x:v>
      </x:c>
      <x:c r="AA107" s="16" t="n">
        <x:v>3</x:v>
      </x:c>
      <x:c r="AB107" s="16" t="n">
        <x:v>11</x:v>
      </x:c>
      <x:c r="AC107" s="16" t="n">
        <x:v>0</x:v>
      </x:c>
      <x:c r="AD107" s="21" t="n">
        <x:f>IF(E107="",MEDIAN($E$2:$E$2237),E107)</x:f>
        <x:v>24594</x:v>
      </x:c>
      <x:c r="AE107" s="17" t="n">
        <x:f>2014-B107</x:f>
        <x:v>35</x:v>
      </x:c>
      <x:c r="AF107" s="17" t="n">
        <x:f>F107+G107</x:f>
        <x:v>1</x:v>
      </x:c>
      <x:c r="AG107" s="21" t="n">
        <x:f>SUM(J107:O107)</x:f>
        <x:v>29</x:v>
      </x:c>
      <x:c r="AH107" s="17" t="n">
        <x:f>SUM(Q107:S107)</x:f>
        <x:v>4</x:v>
      </x:c>
      <x:c r="AI107" s="17" t="n">
        <x:f>SUM(U107:Y107)</x:f>
        <x:v>0</x:v>
      </x:c>
      <x:c r="AJ107" s="17" t="str">
        <x:f>IF(AE107&lt;=34,"≤34",IF(AE107&lt;=44,"35–44",IF(AE107&lt;=54,"45–54",IF(AE107&lt;=64,"55–64","65+"))))</x:f>
        <x:v>35–44</x:v>
      </x:c>
      <x:c r="AK107" s="17" t="str">
        <x:f>IF(AG107&gt;=1000,"High Value",IF(AG107&gt;=300,"Mid Value","Low Value"))</x:f>
        <x:v>Low Value</x:v>
      </x:c>
      <x:c r="AL107" s="17" t="str">
        <x:f>IF(AND(AI107&gt;=1,I107&lt;=50),"Priority 1",IF(AND(AG107&gt;=1000,I107&lt;=60),"Priority 2",IF(I107&lt;=30,"Priority 3","Nurture")))</x:f>
        <x:v>Nurture</x:v>
      </x:c>
    </x:row>
    <x:row r="108">
      <x:c r="A108" s="16" t="n">
        <x:v>7533</x:v>
      </x:c>
      <x:c r="B108" s="16" t="n">
        <x:v>1964</x:v>
      </x:c>
      <x:c r="C108" s="16" t="str">
        <x:v>Graduation</x:v>
      </x:c>
      <x:c r="D108" s="16" t="str">
        <x:v>Married</x:v>
      </x:c>
      <x:c r="E108" s="16" t="n">
        <x:v>49096</x:v>
      </x:c>
      <x:c r="F108" s="16" t="n">
        <x:v>1</x:v>
      </x:c>
      <x:c r="G108" s="16" t="n">
        <x:v>1</x:v>
      </x:c>
      <x:c r="H108" s="16" t="str">
        <x:v>24-09-2013</x:v>
      </x:c>
      <x:c r="I108" s="16" t="n">
        <x:v>15</x:v>
      </x:c>
      <x:c r="J108" s="16" t="n">
        <x:v>144</x:v>
      </x:c>
      <x:c r="K108" s="16" t="n">
        <x:v>1</x:v>
      </x:c>
      <x:c r="L108" s="16" t="n">
        <x:v>32</x:v>
      </x:c>
      <x:c r="M108" s="16" t="n">
        <x:v>2</x:v>
      </x:c>
      <x:c r="N108" s="16" t="n">
        <x:v>1</x:v>
      </x:c>
      <x:c r="O108" s="16" t="n">
        <x:v>7</x:v>
      </x:c>
      <x:c r="P108" s="16" t="n">
        <x:v>4</x:v>
      </x:c>
      <x:c r="Q108" s="16" t="n">
        <x:v>4</x:v>
      </x:c>
      <x:c r="R108" s="16" t="n">
        <x:v>1</x:v>
      </x:c>
      <x:c r="S108" s="16" t="n">
        <x:v>4</x:v>
      </x:c>
      <x:c r="T108" s="16" t="n">
        <x:v>7</x:v>
      </x:c>
      <x:c r="U108" s="16" t="n">
        <x:v>0</x:v>
      </x:c>
      <x:c r="V108" s="16" t="n">
        <x:v>0</x:v>
      </x:c>
      <x:c r="W108" s="16" t="n">
        <x:v>0</x:v>
      </x:c>
      <x:c r="X108" s="16" t="n">
        <x:v>0</x:v>
      </x:c>
      <x:c r="Y108" s="16" t="n">
        <x:v>0</x:v>
      </x:c>
      <x:c r="Z108" s="16" t="n">
        <x:v>0</x:v>
      </x:c>
      <x:c r="AA108" s="16" t="n">
        <x:v>3</x:v>
      </x:c>
      <x:c r="AB108" s="16" t="n">
        <x:v>11</x:v>
      </x:c>
      <x:c r="AC108" s="16" t="n">
        <x:v>0</x:v>
      </x:c>
      <x:c r="AD108" s="21" t="n">
        <x:f>IF(E108="",MEDIAN($E$2:$E$2237),E108)</x:f>
        <x:v>49096</x:v>
      </x:c>
      <x:c r="AE108" s="17" t="n">
        <x:f>2014-B108</x:f>
        <x:v>50</x:v>
      </x:c>
      <x:c r="AF108" s="17" t="n">
        <x:f>F108+G108</x:f>
        <x:v>2</x:v>
      </x:c>
      <x:c r="AG108" s="21" t="n">
        <x:f>SUM(J108:O108)</x:f>
        <x:v>187</x:v>
      </x:c>
      <x:c r="AH108" s="17" t="n">
        <x:f>SUM(Q108:S108)</x:f>
        <x:v>9</x:v>
      </x:c>
      <x:c r="AI108" s="17" t="n">
        <x:f>SUM(U108:Y108)</x:f>
        <x:v>0</x:v>
      </x:c>
      <x:c r="AJ108" s="17" t="str">
        <x:f>IF(AE108&lt;=34,"≤34",IF(AE108&lt;=44,"35–44",IF(AE108&lt;=54,"45–54",IF(AE108&lt;=64,"55–64","65+"))))</x:f>
        <x:v>45–54</x:v>
      </x:c>
      <x:c r="AK108" s="17" t="str">
        <x:f>IF(AG108&gt;=1000,"High Value",IF(AG108&gt;=300,"Mid Value","Low Value"))</x:f>
        <x:v>Low Value</x:v>
      </x:c>
      <x:c r="AL108" s="17" t="str">
        <x:f>IF(AND(AI108&gt;=1,I108&lt;=50),"Priority 1",IF(AND(AG108&gt;=1000,I108&lt;=60),"Priority 2",IF(I108&lt;=30,"Priority 3","Nurture")))</x:f>
        <x:v>Priority 3</x:v>
      </x:c>
    </x:row>
    <x:row r="109">
      <x:c r="A109" s="16" t="n">
        <x:v>2683</x:v>
      </x:c>
      <x:c r="B109" s="16" t="n">
        <x:v>1969</x:v>
      </x:c>
      <x:c r="C109" s="16" t="str">
        <x:v>Graduation</x:v>
      </x:c>
      <x:c r="D109" s="16" t="str">
        <x:v>Married</x:v>
      </x:c>
      <x:c r="E109" s="16" t="n">
        <x:v>52413</x:v>
      </x:c>
      <x:c r="F109" s="16" t="n">
        <x:v>0</x:v>
      </x:c>
      <x:c r="G109" s="16" t="n">
        <x:v>2</x:v>
      </x:c>
      <x:c r="H109" s="16" t="str">
        <x:v>02-02-2013</x:v>
      </x:c>
      <x:c r="I109" s="16" t="n">
        <x:v>56</x:v>
      </x:c>
      <x:c r="J109" s="16" t="n">
        <x:v>295</x:v>
      </x:c>
      <x:c r="K109" s="16" t="n">
        <x:v>106</x:v>
      </x:c>
      <x:c r="L109" s="16" t="n">
        <x:v>271</x:v>
      </x:c>
      <x:c r="M109" s="16" t="n">
        <x:v>75</x:v>
      </x:c>
      <x:c r="N109" s="16" t="n">
        <x:v>98</x:v>
      </x:c>
      <x:c r="O109" s="16" t="n">
        <x:v>65</x:v>
      </x:c>
      <x:c r="P109" s="16" t="n">
        <x:v>4</x:v>
      </x:c>
      <x:c r="Q109" s="16" t="n">
        <x:v>6</x:v>
      </x:c>
      <x:c r="R109" s="16" t="n">
        <x:v>4</x:v>
      </x:c>
      <x:c r="S109" s="16" t="n">
        <x:v>12</x:v>
      </x:c>
      <x:c r="T109" s="16" t="n">
        <x:v>6</x:v>
      </x:c>
      <x:c r="U109" s="16" t="n">
        <x:v>0</x:v>
      </x:c>
      <x:c r="V109" s="16" t="n">
        <x:v>0</x:v>
      </x:c>
      <x:c r="W109" s="16" t="n">
        <x:v>0</x:v>
      </x:c>
      <x:c r="X109" s="16" t="n">
        <x:v>0</x:v>
      </x:c>
      <x:c r="Y109" s="16" t="n">
        <x:v>0</x:v>
      </x:c>
      <x:c r="Z109" s="16" t="n">
        <x:v>0</x:v>
      </x:c>
      <x:c r="AA109" s="16" t="n">
        <x:v>3</x:v>
      </x:c>
      <x:c r="AB109" s="16" t="n">
        <x:v>11</x:v>
      </x:c>
      <x:c r="AC109" s="16" t="n">
        <x:v>0</x:v>
      </x:c>
      <x:c r="AD109" s="21" t="n">
        <x:f>IF(E109="",MEDIAN($E$2:$E$2237),E109)</x:f>
        <x:v>52413</x:v>
      </x:c>
      <x:c r="AE109" s="17" t="n">
        <x:f>2014-B109</x:f>
        <x:v>45</x:v>
      </x:c>
      <x:c r="AF109" s="17" t="n">
        <x:f>F109+G109</x:f>
        <x:v>2</x:v>
      </x:c>
      <x:c r="AG109" s="21" t="n">
        <x:f>SUM(J109:O109)</x:f>
        <x:v>910</x:v>
      </x:c>
      <x:c r="AH109" s="17" t="n">
        <x:f>SUM(Q109:S109)</x:f>
        <x:v>22</x:v>
      </x:c>
      <x:c r="AI109" s="17" t="n">
        <x:f>SUM(U109:Y109)</x:f>
        <x:v>0</x:v>
      </x:c>
      <x:c r="AJ109" s="17" t="str">
        <x:f>IF(AE109&lt;=34,"≤34",IF(AE109&lt;=44,"35–44",IF(AE109&lt;=54,"45–54",IF(AE109&lt;=64,"55–64","65+"))))</x:f>
        <x:v>45–54</x:v>
      </x:c>
      <x:c r="AK109" s="17" t="str">
        <x:f>IF(AG109&gt;=1000,"High Value",IF(AG109&gt;=300,"Mid Value","Low Value"))</x:f>
        <x:v>Mid Value</x:v>
      </x:c>
      <x:c r="AL109" s="17" t="str">
        <x:f>IF(AND(AI109&gt;=1,I109&lt;=50),"Priority 1",IF(AND(AG109&gt;=1000,I109&lt;=60),"Priority 2",IF(I109&lt;=30,"Priority 3","Nurture")))</x:f>
        <x:v>Nurture</x:v>
      </x:c>
    </x:row>
    <x:row r="110">
      <x:c r="A110" s="16" t="n">
        <x:v>3629</x:v>
      </x:c>
      <x:c r="B110" s="16" t="n">
        <x:v>1978</x:v>
      </x:c>
      <x:c r="C110" s="16" t="str">
        <x:v>Graduation</x:v>
      </x:c>
      <x:c r="D110" s="16" t="str">
        <x:v>Single</x:v>
      </x:c>
      <x:c r="E110" s="16" t="n">
        <x:v>38557</x:v>
      </x:c>
      <x:c r="F110" s="16" t="n">
        <x:v>1</x:v>
      </x:c>
      <x:c r="G110" s="16" t="n">
        <x:v>0</x:v>
      </x:c>
      <x:c r="H110" s="16" t="str">
        <x:v>19-12-2012</x:v>
      </x:c>
      <x:c r="I110" s="16" t="n">
        <x:v>17</x:v>
      </x:c>
      <x:c r="J110" s="16" t="n">
        <x:v>76</x:v>
      </x:c>
      <x:c r="K110" s="16" t="n">
        <x:v>3</x:v>
      </x:c>
      <x:c r="L110" s="16" t="n">
        <x:v>31</x:v>
      </x:c>
      <x:c r="M110" s="16" t="n">
        <x:v>4</x:v>
      </x:c>
      <x:c r="N110" s="16" t="n">
        <x:v>4</x:v>
      </x:c>
      <x:c r="O110" s="16" t="n">
        <x:v>27</x:v>
      </x:c>
      <x:c r="P110" s="16" t="n">
        <x:v>2</x:v>
      </x:c>
      <x:c r="Q110" s="16" t="n">
        <x:v>3</x:v>
      </x:c>
      <x:c r="R110" s="16" t="n">
        <x:v>1</x:v>
      </x:c>
      <x:c r="S110" s="16" t="n">
        <x:v>3</x:v>
      </x:c>
      <x:c r="T110" s="16" t="n">
        <x:v>7</x:v>
      </x:c>
      <x:c r="U110" s="16" t="n">
        <x:v>0</x:v>
      </x:c>
      <x:c r="V110" s="16" t="n">
        <x:v>0</x:v>
      </x:c>
      <x:c r="W110" s="16" t="n">
        <x:v>0</x:v>
      </x:c>
      <x:c r="X110" s="16" t="n">
        <x:v>0</x:v>
      </x:c>
      <x:c r="Y110" s="16" t="n">
        <x:v>0</x:v>
      </x:c>
      <x:c r="Z110" s="16" t="n">
        <x:v>0</x:v>
      </x:c>
      <x:c r="AA110" s="16" t="n">
        <x:v>3</x:v>
      </x:c>
      <x:c r="AB110" s="16" t="n">
        <x:v>11</x:v>
      </x:c>
      <x:c r="AC110" s="16" t="n">
        <x:v>0</x:v>
      </x:c>
      <x:c r="AD110" s="21" t="n">
        <x:f>IF(E110="",MEDIAN($E$2:$E$2237),E110)</x:f>
        <x:v>38557</x:v>
      </x:c>
      <x:c r="AE110" s="17" t="n">
        <x:f>2014-B110</x:f>
        <x:v>36</x:v>
      </x:c>
      <x:c r="AF110" s="17" t="n">
        <x:f>F110+G110</x:f>
        <x:v>1</x:v>
      </x:c>
      <x:c r="AG110" s="21" t="n">
        <x:f>SUM(J110:O110)</x:f>
        <x:v>145</x:v>
      </x:c>
      <x:c r="AH110" s="17" t="n">
        <x:f>SUM(Q110:S110)</x:f>
        <x:v>7</x:v>
      </x:c>
      <x:c r="AI110" s="17" t="n">
        <x:f>SUM(U110:Y110)</x:f>
        <x:v>0</x:v>
      </x:c>
      <x:c r="AJ110" s="17" t="str">
        <x:f>IF(AE110&lt;=34,"≤34",IF(AE110&lt;=44,"35–44",IF(AE110&lt;=54,"45–54",IF(AE110&lt;=64,"55–64","65+"))))</x:f>
        <x:v>35–44</x:v>
      </x:c>
      <x:c r="AK110" s="17" t="str">
        <x:f>IF(AG110&gt;=1000,"High Value",IF(AG110&gt;=300,"Mid Value","Low Value"))</x:f>
        <x:v>Low Value</x:v>
      </x:c>
      <x:c r="AL110" s="17" t="str">
        <x:f>IF(AND(AI110&gt;=1,I110&lt;=50),"Priority 1",IF(AND(AG110&gt;=1000,I110&lt;=60),"Priority 2",IF(I110&lt;=30,"Priority 3","Nurture")))</x:f>
        <x:v>Priority 3</x:v>
      </x:c>
    </x:row>
    <x:row r="111">
      <x:c r="A111" s="16" t="n">
        <x:v>10991</x:v>
      </x:c>
      <x:c r="B111" s="16" t="n">
        <x:v>1960</x:v>
      </x:c>
      <x:c r="C111" s="16" t="str">
        <x:v>Master</x:v>
      </x:c>
      <x:c r="D111" s="16" t="str">
        <x:v>Married</x:v>
      </x:c>
      <x:c r="E111" s="16" t="n">
        <x:v>89058</x:v>
      </x:c>
      <x:c r="F111" s="16" t="n">
        <x:v>0</x:v>
      </x:c>
      <x:c r="G111" s="16" t="n">
        <x:v>0</x:v>
      </x:c>
      <x:c r="H111" s="16" t="str">
        <x:v>07-12-2012</x:v>
      </x:c>
      <x:c r="I111" s="16" t="n">
        <x:v>18</x:v>
      </x:c>
      <x:c r="J111" s="16" t="n">
        <x:v>454</x:v>
      </x:c>
      <x:c r="K111" s="16" t="n">
        <x:v>194</x:v>
      </x:c>
      <x:c r="L111" s="16" t="n">
        <x:v>106</x:v>
      </x:c>
      <x:c r="M111" s="16" t="n">
        <x:v>31</x:v>
      </x:c>
      <x:c r="N111" s="16" t="n">
        <x:v>22</x:v>
      </x:c>
      <x:c r="O111" s="16" t="n">
        <x:v>43</x:v>
      </x:c>
      <x:c r="P111" s="16" t="n">
        <x:v>1</x:v>
      </x:c>
      <x:c r="Q111" s="16" t="n">
        <x:v>5</x:v>
      </x:c>
      <x:c r="R111" s="16" t="n">
        <x:v>4</x:v>
      </x:c>
      <x:c r="S111" s="16" t="n">
        <x:v>4</x:v>
      </x:c>
      <x:c r="T111" s="16" t="n">
        <x:v>2</x:v>
      </x:c>
      <x:c r="U111" s="16" t="n">
        <x:v>0</x:v>
      </x:c>
      <x:c r="V111" s="16" t="n">
        <x:v>0</x:v>
      </x:c>
      <x:c r="W111" s="16" t="n">
        <x:v>0</x:v>
      </x:c>
      <x:c r="X111" s="16" t="n">
        <x:v>0</x:v>
      </x:c>
      <x:c r="Y111" s="16" t="n">
        <x:v>0</x:v>
      </x:c>
      <x:c r="Z111" s="16" t="n">
        <x:v>0</x:v>
      </x:c>
      <x:c r="AA111" s="16" t="n">
        <x:v>3</x:v>
      </x:c>
      <x:c r="AB111" s="16" t="n">
        <x:v>11</x:v>
      </x:c>
      <x:c r="AC111" s="16" t="n">
        <x:v>0</x:v>
      </x:c>
      <x:c r="AD111" s="21" t="n">
        <x:f>IF(E111="",MEDIAN($E$2:$E$2237),E111)</x:f>
        <x:v>89058</x:v>
      </x:c>
      <x:c r="AE111" s="17" t="n">
        <x:f>2014-B111</x:f>
        <x:v>54</x:v>
      </x:c>
      <x:c r="AF111" s="17" t="n">
        <x:f>F111+G111</x:f>
        <x:v>0</x:v>
      </x:c>
      <x:c r="AG111" s="21" t="n">
        <x:f>SUM(J111:O111)</x:f>
        <x:v>850</x:v>
      </x:c>
      <x:c r="AH111" s="17" t="n">
        <x:f>SUM(Q111:S111)</x:f>
        <x:v>13</x:v>
      </x:c>
      <x:c r="AI111" s="17" t="n">
        <x:f>SUM(U111:Y111)</x:f>
        <x:v>0</x:v>
      </x:c>
      <x:c r="AJ111" s="17" t="str">
        <x:f>IF(AE111&lt;=34,"≤34",IF(AE111&lt;=44,"35–44",IF(AE111&lt;=54,"45–54",IF(AE111&lt;=64,"55–64","65+"))))</x:f>
        <x:v>45–54</x:v>
      </x:c>
      <x:c r="AK111" s="17" t="str">
        <x:f>IF(AG111&gt;=1000,"High Value",IF(AG111&gt;=300,"Mid Value","Low Value"))</x:f>
        <x:v>Mid Value</x:v>
      </x:c>
      <x:c r="AL111" s="17" t="str">
        <x:f>IF(AND(AI111&gt;=1,I111&lt;=50),"Priority 1",IF(AND(AG111&gt;=1000,I111&lt;=60),"Priority 2",IF(I111&lt;=30,"Priority 3","Nurture")))</x:f>
        <x:v>Priority 3</x:v>
      </x:c>
    </x:row>
    <x:row r="112">
      <x:c r="A112" s="16" t="n">
        <x:v>5077</x:v>
      </x:c>
      <x:c r="B112" s="16" t="n">
        <x:v>1979</x:v>
      </x:c>
      <x:c r="C112" s="16" t="str">
        <x:v>Graduation</x:v>
      </x:c>
      <x:c r="D112" s="16" t="str">
        <x:v>Together</x:v>
      </x:c>
      <x:c r="E112" s="16" t="n">
        <x:v>77298</x:v>
      </x:c>
      <x:c r="F112" s="16" t="n">
        <x:v>0</x:v>
      </x:c>
      <x:c r="G112" s="16" t="n">
        <x:v>1</x:v>
      </x:c>
      <x:c r="H112" s="16" t="str">
        <x:v>02-11-2013</x:v>
      </x:c>
      <x:c r="I112" s="16" t="n">
        <x:v>46</x:v>
      </x:c>
      <x:c r="J112" s="16" t="n">
        <x:v>425</x:v>
      </x:c>
      <x:c r="K112" s="16" t="n">
        <x:v>115</x:v>
      </x:c>
      <x:c r="L112" s="16" t="n">
        <x:v>292</x:v>
      </x:c>
      <x:c r="M112" s="16" t="n">
        <x:v>23</x:v>
      </x:c>
      <x:c r="N112" s="16" t="n">
        <x:v>35</x:v>
      </x:c>
      <x:c r="O112" s="16" t="n">
        <x:v>79</x:v>
      </x:c>
      <x:c r="P112" s="16" t="n">
        <x:v>1</x:v>
      </x:c>
      <x:c r="Q112" s="16" t="n">
        <x:v>6</x:v>
      </x:c>
      <x:c r="R112" s="16" t="n">
        <x:v>6</x:v>
      </x:c>
      <x:c r="S112" s="16" t="n">
        <x:v>11</x:v>
      </x:c>
      <x:c r="T112" s="16" t="n">
        <x:v>3</x:v>
      </x:c>
      <x:c r="U112" s="16" t="n">
        <x:v>0</x:v>
      </x:c>
      <x:c r="V112" s="16" t="n">
        <x:v>0</x:v>
      </x:c>
      <x:c r="W112" s="16" t="n">
        <x:v>0</x:v>
      </x:c>
      <x:c r="X112" s="16" t="n">
        <x:v>0</x:v>
      </x:c>
      <x:c r="Y112" s="16" t="n">
        <x:v>0</x:v>
      </x:c>
      <x:c r="Z112" s="16" t="n">
        <x:v>0</x:v>
      </x:c>
      <x:c r="AA112" s="16" t="n">
        <x:v>3</x:v>
      </x:c>
      <x:c r="AB112" s="16" t="n">
        <x:v>11</x:v>
      </x:c>
      <x:c r="AC112" s="16" t="n">
        <x:v>0</x:v>
      </x:c>
      <x:c r="AD112" s="21" t="n">
        <x:f>IF(E112="",MEDIAN($E$2:$E$2237),E112)</x:f>
        <x:v>77298</x:v>
      </x:c>
      <x:c r="AE112" s="17" t="n">
        <x:f>2014-B112</x:f>
        <x:v>35</x:v>
      </x:c>
      <x:c r="AF112" s="17" t="n">
        <x:f>F112+G112</x:f>
        <x:v>1</x:v>
      </x:c>
      <x:c r="AG112" s="21" t="n">
        <x:f>SUM(J112:O112)</x:f>
        <x:v>969</x:v>
      </x:c>
      <x:c r="AH112" s="17" t="n">
        <x:f>SUM(Q112:S112)</x:f>
        <x:v>23</x:v>
      </x:c>
      <x:c r="AI112" s="17" t="n">
        <x:f>SUM(U112:Y112)</x:f>
        <x:v>0</x:v>
      </x:c>
      <x:c r="AJ112" s="17" t="str">
        <x:f>IF(AE112&lt;=34,"≤34",IF(AE112&lt;=44,"35–44",IF(AE112&lt;=54,"45–54",IF(AE112&lt;=64,"55–64","65+"))))</x:f>
        <x:v>35–44</x:v>
      </x:c>
      <x:c r="AK112" s="17" t="str">
        <x:f>IF(AG112&gt;=1000,"High Value",IF(AG112&gt;=300,"Mid Value","Low Value"))</x:f>
        <x:v>Mid Value</x:v>
      </x:c>
      <x:c r="AL112" s="17" t="str">
        <x:f>IF(AND(AI112&gt;=1,I112&lt;=50),"Priority 1",IF(AND(AG112&gt;=1000,I112&lt;=60),"Priority 2",IF(I112&lt;=30,"Priority 3","Nurture")))</x:f>
        <x:v>Nurture</x:v>
      </x:c>
    </x:row>
    <x:row r="113">
      <x:c r="A113" s="16" t="n">
        <x:v>7431</x:v>
      </x:c>
      <x:c r="B113" s="16" t="n">
        <x:v>1991</x:v>
      </x:c>
      <x:c r="C113" s="16" t="str">
        <x:v>PhD</x:v>
      </x:c>
      <x:c r="D113" s="16" t="str">
        <x:v>Single</x:v>
      </x:c>
      <x:c r="E113" s="16" t="n">
        <x:v>68126</x:v>
      </x:c>
      <x:c r="F113" s="16" t="n">
        <x:v>0</x:v>
      </x:c>
      <x:c r="G113" s="16" t="n">
        <x:v>0</x:v>
      </x:c>
      <x:c r="H113" s="16" t="str">
        <x:v>10-11-2012</x:v>
      </x:c>
      <x:c r="I113" s="16" t="n">
        <x:v>40</x:v>
      </x:c>
      <x:c r="J113" s="16" t="n">
        <x:v>1332</x:v>
      </x:c>
      <x:c r="K113" s="16" t="n">
        <x:v>17</x:v>
      </x:c>
      <x:c r="L113" s="16" t="n">
        <x:v>311</x:v>
      </x:c>
      <x:c r="M113" s="16" t="n">
        <x:v>23</x:v>
      </x:c>
      <x:c r="N113" s="16" t="n">
        <x:v>51</x:v>
      </x:c>
      <x:c r="O113" s="16" t="n">
        <x:v>86</x:v>
      </x:c>
      <x:c r="P113" s="16" t="n">
        <x:v>1</x:v>
      </x:c>
      <x:c r="Q113" s="16" t="n">
        <x:v>7</x:v>
      </x:c>
      <x:c r="R113" s="16" t="n">
        <x:v>4</x:v>
      </x:c>
      <x:c r="S113" s="16" t="n">
        <x:v>5</x:v>
      </x:c>
      <x:c r="T113" s="16" t="n">
        <x:v>9</x:v>
      </x:c>
      <x:c r="U113" s="16" t="n">
        <x:v>0</x:v>
      </x:c>
      <x:c r="V113" s="16" t="n">
        <x:v>1</x:v>
      </x:c>
      <x:c r="W113" s="16" t="n">
        <x:v>0</x:v>
      </x:c>
      <x:c r="X113" s="16" t="n">
        <x:v>0</x:v>
      </x:c>
      <x:c r="Y113" s="16" t="n">
        <x:v>0</x:v>
      </x:c>
      <x:c r="Z113" s="16" t="n">
        <x:v>0</x:v>
      </x:c>
      <x:c r="AA113" s="16" t="n">
        <x:v>3</x:v>
      </x:c>
      <x:c r="AB113" s="16" t="n">
        <x:v>11</x:v>
      </x:c>
      <x:c r="AC113" s="16" t="n">
        <x:v>1</x:v>
      </x:c>
      <x:c r="AD113" s="21" t="n">
        <x:f>IF(E113="",MEDIAN($E$2:$E$2237),E113)</x:f>
        <x:v>68126</x:v>
      </x:c>
      <x:c r="AE113" s="17" t="n">
        <x:f>2014-B113</x:f>
        <x:v>23</x:v>
      </x:c>
      <x:c r="AF113" s="17" t="n">
        <x:f>F113+G113</x:f>
        <x:v>0</x:v>
      </x:c>
      <x:c r="AG113" s="21" t="n">
        <x:f>SUM(J113:O113)</x:f>
        <x:v>1820</x:v>
      </x:c>
      <x:c r="AH113" s="17" t="n">
        <x:f>SUM(Q113:S113)</x:f>
        <x:v>16</x:v>
      </x:c>
      <x:c r="AI113" s="17" t="n">
        <x:f>SUM(U113:Y113)</x:f>
        <x:v>1</x:v>
      </x:c>
      <x:c r="AJ113" s="17" t="str">
        <x:f>IF(AE113&lt;=34,"≤34",IF(AE113&lt;=44,"35–44",IF(AE113&lt;=54,"45–54",IF(AE113&lt;=64,"55–64","65+"))))</x:f>
        <x:v>≤34</x:v>
      </x:c>
      <x:c r="AK113" s="17" t="str">
        <x:f>IF(AG113&gt;=1000,"High Value",IF(AG113&gt;=300,"Mid Value","Low Value"))</x:f>
        <x:v>High Value</x:v>
      </x:c>
      <x:c r="AL113" s="17" t="str">
        <x:f>IF(AND(AI113&gt;=1,I113&lt;=50),"Priority 1",IF(AND(AG113&gt;=1000,I113&lt;=60),"Priority 2",IF(I113&lt;=30,"Priority 3","Nurture")))</x:f>
        <x:v>Priority 1</x:v>
      </x:c>
    </x:row>
    <x:row r="114">
      <x:c r="A114" s="16" t="n">
        <x:v>3267</x:v>
      </x:c>
      <x:c r="B114" s="16" t="n">
        <x:v>1963</x:v>
      </x:c>
      <x:c r="C114" s="16" t="str">
        <x:v>Master</x:v>
      </x:c>
      <x:c r="D114" s="16" t="str">
        <x:v>Together</x:v>
      </x:c>
      <x:c r="E114" s="16" t="n">
        <x:v>57288</x:v>
      </x:c>
      <x:c r="F114" s="16" t="n">
        <x:v>0</x:v>
      </x:c>
      <x:c r="G114" s="16" t="n">
        <x:v>1</x:v>
      </x:c>
      <x:c r="H114" s="16" t="str">
        <x:v>25-06-2014</x:v>
      </x:c>
      <x:c r="I114" s="16" t="n">
        <x:v>27</x:v>
      </x:c>
      <x:c r="J114" s="16" t="n">
        <x:v>527</x:v>
      </x:c>
      <x:c r="K114" s="16" t="n">
        <x:v>0</x:v>
      </x:c>
      <x:c r="L114" s="16" t="n">
        <x:v>21</x:v>
      </x:c>
      <x:c r="M114" s="16" t="n">
        <x:v>0</x:v>
      </x:c>
      <x:c r="N114" s="16" t="n">
        <x:v>0</x:v>
      </x:c>
      <x:c r="O114" s="16" t="n">
        <x:v>60</x:v>
      </x:c>
      <x:c r="P114" s="16" t="n">
        <x:v>3</x:v>
      </x:c>
      <x:c r="Q114" s="16" t="n">
        <x:v>8</x:v>
      </x:c>
      <x:c r="R114" s="16" t="n">
        <x:v>1</x:v>
      </x:c>
      <x:c r="S114" s="16" t="n">
        <x:v>8</x:v>
      </x:c>
      <x:c r="T114" s="16" t="n">
        <x:v>6</x:v>
      </x:c>
      <x:c r="U114" s="16" t="n">
        <x:v>0</x:v>
      </x:c>
      <x:c r="V114" s="16" t="n">
        <x:v>1</x:v>
      </x:c>
      <x:c r="W114" s="16" t="n">
        <x:v>0</x:v>
      </x:c>
      <x:c r="X114" s="16" t="n">
        <x:v>0</x:v>
      </x:c>
      <x:c r="Y114" s="16" t="n">
        <x:v>0</x:v>
      </x:c>
      <x:c r="Z114" s="16" t="n">
        <x:v>0</x:v>
      </x:c>
      <x:c r="AA114" s="16" t="n">
        <x:v>3</x:v>
      </x:c>
      <x:c r="AB114" s="16" t="n">
        <x:v>11</x:v>
      </x:c>
      <x:c r="AC114" s="16" t="n">
        <x:v>0</x:v>
      </x:c>
      <x:c r="AD114" s="21" t="n">
        <x:f>IF(E114="",MEDIAN($E$2:$E$2237),E114)</x:f>
        <x:v>57288</x:v>
      </x:c>
      <x:c r="AE114" s="17" t="n">
        <x:f>2014-B114</x:f>
        <x:v>51</x:v>
      </x:c>
      <x:c r="AF114" s="17" t="n">
        <x:f>F114+G114</x:f>
        <x:v>1</x:v>
      </x:c>
      <x:c r="AG114" s="21" t="n">
        <x:f>SUM(J114:O114)</x:f>
        <x:v>608</x:v>
      </x:c>
      <x:c r="AH114" s="17" t="n">
        <x:f>SUM(Q114:S114)</x:f>
        <x:v>17</x:v>
      </x:c>
      <x:c r="AI114" s="17" t="n">
        <x:f>SUM(U114:Y114)</x:f>
        <x:v>1</x:v>
      </x:c>
      <x:c r="AJ114" s="17" t="str">
        <x:f>IF(AE114&lt;=34,"≤34",IF(AE114&lt;=44,"35–44",IF(AE114&lt;=54,"45–54",IF(AE114&lt;=64,"55–64","65+"))))</x:f>
        <x:v>45–54</x:v>
      </x:c>
      <x:c r="AK114" s="17" t="str">
        <x:f>IF(AG114&gt;=1000,"High Value",IF(AG114&gt;=300,"Mid Value","Low Value"))</x:f>
        <x:v>Mid Value</x:v>
      </x:c>
      <x:c r="AL114" s="17" t="str">
        <x:f>IF(AND(AI114&gt;=1,I114&lt;=50),"Priority 1",IF(AND(AG114&gt;=1000,I114&lt;=60),"Priority 2",IF(I114&lt;=30,"Priority 3","Nurture")))</x:f>
        <x:v>Priority 1</x:v>
      </x:c>
    </x:row>
    <x:row r="115">
      <x:c r="A115" s="16" t="n">
        <x:v>999</x:v>
      </x:c>
      <x:c r="B115" s="16" t="n">
        <x:v>1991</x:v>
      </x:c>
      <x:c r="C115" s="16" t="str">
        <x:v>Graduation</x:v>
      </x:c>
      <x:c r="D115" s="16" t="str">
        <x:v>Single</x:v>
      </x:c>
      <x:c r="E115" s="16" t="n">
        <x:v>86037</x:v>
      </x:c>
      <x:c r="F115" s="16" t="n">
        <x:v>0</x:v>
      </x:c>
      <x:c r="G115" s="16" t="n">
        <x:v>0</x:v>
      </x:c>
      <x:c r="H115" s="16" t="str">
        <x:v>02-01-2013</x:v>
      </x:c>
      <x:c r="I115" s="16" t="n">
        <x:v>95</x:v>
      </x:c>
      <x:c r="J115" s="16" t="n">
        <x:v>490</x:v>
      </x:c>
      <x:c r="K115" s="16" t="n">
        <x:v>44</x:v>
      </x:c>
      <x:c r="L115" s="16" t="n">
        <x:v>125</x:v>
      </x:c>
      <x:c r="M115" s="16" t="n">
        <x:v>29</x:v>
      </x:c>
      <x:c r="N115" s="16" t="n">
        <x:v>20</x:v>
      </x:c>
      <x:c r="O115" s="16" t="n">
        <x:v>22</x:v>
      </x:c>
      <x:c r="P115" s="16" t="n">
        <x:v>1</x:v>
      </x:c>
      <x:c r="Q115" s="16" t="n">
        <x:v>6</x:v>
      </x:c>
      <x:c r="R115" s="16" t="n">
        <x:v>7</x:v>
      </x:c>
      <x:c r="S115" s="16" t="n">
        <x:v>11</x:v>
      </x:c>
      <x:c r="T115" s="16" t="n">
        <x:v>3</x:v>
      </x:c>
      <x:c r="U115" s="16" t="n">
        <x:v>0</x:v>
      </x:c>
      <x:c r="V115" s="16" t="n">
        <x:v>1</x:v>
      </x:c>
      <x:c r="W115" s="16" t="n">
        <x:v>1</x:v>
      </x:c>
      <x:c r="X115" s="16" t="n">
        <x:v>0</x:v>
      </x:c>
      <x:c r="Y115" s="16" t="n">
        <x:v>0</x:v>
      </x:c>
      <x:c r="Z115" s="16" t="n">
        <x:v>0</x:v>
      </x:c>
      <x:c r="AA115" s="16" t="n">
        <x:v>3</x:v>
      </x:c>
      <x:c r="AB115" s="16" t="n">
        <x:v>11</x:v>
      </x:c>
      <x:c r="AC115" s="16" t="n">
        <x:v>1</x:v>
      </x:c>
      <x:c r="AD115" s="21" t="n">
        <x:f>IF(E115="",MEDIAN($E$2:$E$2237),E115)</x:f>
        <x:v>86037</x:v>
      </x:c>
      <x:c r="AE115" s="17" t="n">
        <x:f>2014-B115</x:f>
        <x:v>23</x:v>
      </x:c>
      <x:c r="AF115" s="17" t="n">
        <x:f>F115+G115</x:f>
        <x:v>0</x:v>
      </x:c>
      <x:c r="AG115" s="21" t="n">
        <x:f>SUM(J115:O115)</x:f>
        <x:v>730</x:v>
      </x:c>
      <x:c r="AH115" s="17" t="n">
        <x:f>SUM(Q115:S115)</x:f>
        <x:v>24</x:v>
      </x:c>
      <x:c r="AI115" s="17" t="n">
        <x:f>SUM(U115:Y115)</x:f>
        <x:v>2</x:v>
      </x:c>
      <x:c r="AJ115" s="17" t="str">
        <x:f>IF(AE115&lt;=34,"≤34",IF(AE115&lt;=44,"35–44",IF(AE115&lt;=54,"45–54",IF(AE115&lt;=64,"55–64","65+"))))</x:f>
        <x:v>≤34</x:v>
      </x:c>
      <x:c r="AK115" s="17" t="str">
        <x:f>IF(AG115&gt;=1000,"High Value",IF(AG115&gt;=300,"Mid Value","Low Value"))</x:f>
        <x:v>Mid Value</x:v>
      </x:c>
      <x:c r="AL115" s="17" t="str">
        <x:f>IF(AND(AI115&gt;=1,I115&lt;=50),"Priority 1",IF(AND(AG115&gt;=1000,I115&lt;=60),"Priority 2",IF(I115&lt;=30,"Priority 3","Nurture")))</x:f>
        <x:v>Nurture</x:v>
      </x:c>
    </x:row>
    <x:row r="116">
      <x:c r="A116" s="16" t="n">
        <x:v>9215</x:v>
      </x:c>
      <x:c r="B116" s="16" t="n">
        <x:v>1980</x:v>
      </x:c>
      <x:c r="C116" s="16" t="str">
        <x:v>PhD</x:v>
      </x:c>
      <x:c r="D116" s="16" t="str">
        <x:v>Married</x:v>
      </x:c>
      <x:c r="E116" s="16" t="n">
        <x:v>43974</x:v>
      </x:c>
      <x:c r="F116" s="16" t="n">
        <x:v>1</x:v>
      </x:c>
      <x:c r="G116" s="16" t="n">
        <x:v>0</x:v>
      </x:c>
      <x:c r="H116" s="16" t="str">
        <x:v>12-12-2012</x:v>
      </x:c>
      <x:c r="I116" s="16" t="n">
        <x:v>19</x:v>
      </x:c>
      <x:c r="J116" s="16" t="n">
        <x:v>378</x:v>
      </x:c>
      <x:c r="K116" s="16" t="n">
        <x:v>0</x:v>
      </x:c>
      <x:c r="L116" s="16" t="n">
        <x:v>101</x:v>
      </x:c>
      <x:c r="M116" s="16" t="n">
        <x:v>0</x:v>
      </x:c>
      <x:c r="N116" s="16" t="n">
        <x:v>0</x:v>
      </x:c>
      <x:c r="O116" s="16" t="n">
        <x:v>72</x:v>
      </x:c>
      <x:c r="P116" s="16" t="n">
        <x:v>5</x:v>
      </x:c>
      <x:c r="Q116" s="16" t="n">
        <x:v>6</x:v>
      </x:c>
      <x:c r="R116" s="16" t="n">
        <x:v>4</x:v>
      </x:c>
      <x:c r="S116" s="16" t="n">
        <x:v>6</x:v>
      </x:c>
      <x:c r="T116" s="16" t="n">
        <x:v>7</x:v>
      </x:c>
      <x:c r="U116" s="16" t="n">
        <x:v>0</x:v>
      </x:c>
      <x:c r="V116" s="16" t="n">
        <x:v>0</x:v>
      </x:c>
      <x:c r="W116" s="16" t="n">
        <x:v>0</x:v>
      </x:c>
      <x:c r="X116" s="16" t="n">
        <x:v>0</x:v>
      </x:c>
      <x:c r="Y116" s="16" t="n">
        <x:v>0</x:v>
      </x:c>
      <x:c r="Z116" s="16" t="n">
        <x:v>0</x:v>
      </x:c>
      <x:c r="AA116" s="16" t="n">
        <x:v>3</x:v>
      </x:c>
      <x:c r="AB116" s="16" t="n">
        <x:v>11</x:v>
      </x:c>
      <x:c r="AC116" s="16" t="n">
        <x:v>0</x:v>
      </x:c>
      <x:c r="AD116" s="21" t="n">
        <x:f>IF(E116="",MEDIAN($E$2:$E$2237),E116)</x:f>
        <x:v>43974</x:v>
      </x:c>
      <x:c r="AE116" s="17" t="n">
        <x:f>2014-B116</x:f>
        <x:v>34</x:v>
      </x:c>
      <x:c r="AF116" s="17" t="n">
        <x:f>F116+G116</x:f>
        <x:v>1</x:v>
      </x:c>
      <x:c r="AG116" s="21" t="n">
        <x:f>SUM(J116:O116)</x:f>
        <x:v>551</x:v>
      </x:c>
      <x:c r="AH116" s="17" t="n">
        <x:f>SUM(Q116:S116)</x:f>
        <x:v>16</x:v>
      </x:c>
      <x:c r="AI116" s="17" t="n">
        <x:f>SUM(U116:Y116)</x:f>
        <x:v>0</x:v>
      </x:c>
      <x:c r="AJ116" s="17" t="str">
        <x:f>IF(AE116&lt;=34,"≤34",IF(AE116&lt;=44,"35–44",IF(AE116&lt;=54,"45–54",IF(AE116&lt;=64,"55–64","65+"))))</x:f>
        <x:v>≤34</x:v>
      </x:c>
      <x:c r="AK116" s="17" t="str">
        <x:f>IF(AG116&gt;=1000,"High Value",IF(AG116&gt;=300,"Mid Value","Low Value"))</x:f>
        <x:v>Mid Value</x:v>
      </x:c>
      <x:c r="AL116" s="17" t="str">
        <x:f>IF(AND(AI116&gt;=1,I116&lt;=50),"Priority 1",IF(AND(AG116&gt;=1000,I116&lt;=60),"Priority 2",IF(I116&lt;=30,"Priority 3","Nurture")))</x:f>
        <x:v>Priority 3</x:v>
      </x:c>
    </x:row>
    <x:row r="117">
      <x:c r="A117" s="16" t="n">
        <x:v>2286</x:v>
      </x:c>
      <x:c r="B117" s="16" t="n">
        <x:v>1962</x:v>
      </x:c>
      <x:c r="C117" s="16" t="str">
        <x:v>Graduation</x:v>
      </x:c>
      <x:c r="D117" s="16" t="str">
        <x:v>Single</x:v>
      </x:c>
      <x:c r="E117" s="16" t="n">
        <x:v>50785</x:v>
      </x:c>
      <x:c r="F117" s="16" t="n">
        <x:v>1</x:v>
      </x:c>
      <x:c r="G117" s="16" t="n">
        <x:v>1</x:v>
      </x:c>
      <x:c r="H117" s="16" t="str">
        <x:v>10-09-2013</x:v>
      </x:c>
      <x:c r="I117" s="16" t="n">
        <x:v>27</x:v>
      </x:c>
      <x:c r="J117" s="16" t="n">
        <x:v>64</x:v>
      </x:c>
      <x:c r="K117" s="16" t="n">
        <x:v>1</x:v>
      </x:c>
      <x:c r="L117" s="16" t="n">
        <x:v>21</x:v>
      </x:c>
      <x:c r="M117" s="16" t="n">
        <x:v>0</x:v>
      </x:c>
      <x:c r="N117" s="16" t="n">
        <x:v>1</x:v>
      </x:c>
      <x:c r="O117" s="16" t="n">
        <x:v>27</x:v>
      </x:c>
      <x:c r="P117" s="16" t="n">
        <x:v>2</x:v>
      </x:c>
      <x:c r="Q117" s="16" t="n">
        <x:v>2</x:v>
      </x:c>
      <x:c r="R117" s="16" t="n">
        <x:v>1</x:v>
      </x:c>
      <x:c r="S117" s="16" t="n">
        <x:v>3</x:v>
      </x:c>
      <x:c r="T117" s="16" t="n">
        <x:v>6</x:v>
      </x:c>
      <x:c r="U117" s="16" t="n">
        <x:v>0</x:v>
      </x:c>
      <x:c r="V117" s="16" t="n">
        <x:v>0</x:v>
      </x:c>
      <x:c r="W117" s="16" t="n">
        <x:v>0</x:v>
      </x:c>
      <x:c r="X117" s="16" t="n">
        <x:v>0</x:v>
      </x:c>
      <x:c r="Y117" s="16" t="n">
        <x:v>0</x:v>
      </x:c>
      <x:c r="Z117" s="16" t="n">
        <x:v>0</x:v>
      </x:c>
      <x:c r="AA117" s="16" t="n">
        <x:v>3</x:v>
      </x:c>
      <x:c r="AB117" s="16" t="n">
        <x:v>11</x:v>
      </x:c>
      <x:c r="AC117" s="16" t="n">
        <x:v>0</x:v>
      </x:c>
      <x:c r="AD117" s="21" t="n">
        <x:f>IF(E117="",MEDIAN($E$2:$E$2237),E117)</x:f>
        <x:v>50785</x:v>
      </x:c>
      <x:c r="AE117" s="17" t="n">
        <x:f>2014-B117</x:f>
        <x:v>52</x:v>
      </x:c>
      <x:c r="AF117" s="17" t="n">
        <x:f>F117+G117</x:f>
        <x:v>2</x:v>
      </x:c>
      <x:c r="AG117" s="21" t="n">
        <x:f>SUM(J117:O117)</x:f>
        <x:v>114</x:v>
      </x:c>
      <x:c r="AH117" s="17" t="n">
        <x:f>SUM(Q117:S117)</x:f>
        <x:v>6</x:v>
      </x:c>
      <x:c r="AI117" s="17" t="n">
        <x:f>SUM(U117:Y117)</x:f>
        <x:v>0</x:v>
      </x:c>
      <x:c r="AJ117" s="17" t="str">
        <x:f>IF(AE117&lt;=34,"≤34",IF(AE117&lt;=44,"35–44",IF(AE117&lt;=54,"45–54",IF(AE117&lt;=64,"55–64","65+"))))</x:f>
        <x:v>45–54</x:v>
      </x:c>
      <x:c r="AK117" s="17" t="str">
        <x:f>IF(AG117&gt;=1000,"High Value",IF(AG117&gt;=300,"Mid Value","Low Value"))</x:f>
        <x:v>Low Value</x:v>
      </x:c>
      <x:c r="AL117" s="17" t="str">
        <x:f>IF(AND(AI117&gt;=1,I117&lt;=50),"Priority 1",IF(AND(AG117&gt;=1000,I117&lt;=60),"Priority 2",IF(I117&lt;=30,"Priority 3","Nurture")))</x:f>
        <x:v>Priority 3</x:v>
      </x:c>
    </x:row>
    <x:row r="118">
      <x:c r="A118" s="16" t="n">
        <x:v>1592</x:v>
      </x:c>
      <x:c r="B118" s="16" t="n">
        <x:v>1970</x:v>
      </x:c>
      <x:c r="C118" s="16" t="str">
        <x:v>Graduation</x:v>
      </x:c>
      <x:c r="D118" s="16" t="str">
        <x:v>Married</x:v>
      </x:c>
      <x:c r="E118" s="16" t="n">
        <x:v>90765</x:v>
      </x:c>
      <x:c r="F118" s="16" t="n">
        <x:v>0</x:v>
      </x:c>
      <x:c r="G118" s="16" t="n">
        <x:v>0</x:v>
      </x:c>
      <x:c r="H118" s="16" t="str">
        <x:v>24-01-2014</x:v>
      </x:c>
      <x:c r="I118" s="16" t="n">
        <x:v>25</x:v>
      </x:c>
      <x:c r="J118" s="16" t="n">
        <x:v>547</x:v>
      </x:c>
      <x:c r="K118" s="16" t="n">
        <x:v>99</x:v>
      </x:c>
      <x:c r="L118" s="16" t="n">
        <x:v>812</x:v>
      </x:c>
      <x:c r="M118" s="16" t="n">
        <x:v>151</x:v>
      </x:c>
      <x:c r="N118" s="16" t="n">
        <x:v>82</x:v>
      </x:c>
      <x:c r="O118" s="16" t="n">
        <x:v>33</x:v>
      </x:c>
      <x:c r="P118" s="16" t="n">
        <x:v>0</x:v>
      </x:c>
      <x:c r="Q118" s="16" t="n">
        <x:v>4</x:v>
      </x:c>
      <x:c r="R118" s="16" t="n">
        <x:v>6</x:v>
      </x:c>
      <x:c r="S118" s="16" t="n">
        <x:v>5</x:v>
      </x:c>
      <x:c r="T118" s="16" t="n">
        <x:v>1</x:v>
      </x:c>
      <x:c r="U118" s="16" t="n">
        <x:v>0</x:v>
      </x:c>
      <x:c r="V118" s="16" t="n">
        <x:v>0</x:v>
      </x:c>
      <x:c r="W118" s="16" t="n">
        <x:v>1</x:v>
      </x:c>
      <x:c r="X118" s="16" t="n">
        <x:v>1</x:v>
      </x:c>
      <x:c r="Y118" s="16" t="n">
        <x:v>0</x:v>
      </x:c>
      <x:c r="Z118" s="16" t="n">
        <x:v>0</x:v>
      </x:c>
      <x:c r="AA118" s="16" t="n">
        <x:v>3</x:v>
      </x:c>
      <x:c r="AB118" s="16" t="n">
        <x:v>11</x:v>
      </x:c>
      <x:c r="AC118" s="16" t="n">
        <x:v>0</x:v>
      </x:c>
      <x:c r="AD118" s="21" t="n">
        <x:f>IF(E118="",MEDIAN($E$2:$E$2237),E118)</x:f>
        <x:v>90765</x:v>
      </x:c>
      <x:c r="AE118" s="17" t="n">
        <x:f>2014-B118</x:f>
        <x:v>44</x:v>
      </x:c>
      <x:c r="AF118" s="17" t="n">
        <x:f>F118+G118</x:f>
        <x:v>0</x:v>
      </x:c>
      <x:c r="AG118" s="21" t="n">
        <x:f>SUM(J118:O118)</x:f>
        <x:v>1724</x:v>
      </x:c>
      <x:c r="AH118" s="17" t="n">
        <x:f>SUM(Q118:S118)</x:f>
        <x:v>15</x:v>
      </x:c>
      <x:c r="AI118" s="17" t="n">
        <x:f>SUM(U118:Y118)</x:f>
        <x:v>2</x:v>
      </x:c>
      <x:c r="AJ118" s="17" t="str">
        <x:f>IF(AE118&lt;=34,"≤34",IF(AE118&lt;=44,"35–44",IF(AE118&lt;=54,"45–54",IF(AE118&lt;=64,"55–64","65+"))))</x:f>
        <x:v>35–44</x:v>
      </x:c>
      <x:c r="AK118" s="17" t="str">
        <x:f>IF(AG118&gt;=1000,"High Value",IF(AG118&gt;=300,"Mid Value","Low Value"))</x:f>
        <x:v>High Value</x:v>
      </x:c>
      <x:c r="AL118" s="17" t="str">
        <x:f>IF(AND(AI118&gt;=1,I118&lt;=50),"Priority 1",IF(AND(AG118&gt;=1000,I118&lt;=60),"Priority 2",IF(I118&lt;=30,"Priority 3","Nurture")))</x:f>
        <x:v>Priority 1</x:v>
      </x:c>
    </x:row>
    <x:row r="119">
      <x:c r="A119" s="16" t="n">
        <x:v>367</x:v>
      </x:c>
      <x:c r="B119" s="16" t="n">
        <x:v>1978</x:v>
      </x:c>
      <x:c r="C119" s="16" t="str">
        <x:v>2n Cycle</x:v>
      </x:c>
      <x:c r="D119" s="16" t="str">
        <x:v>Married</x:v>
      </x:c>
      <x:c r="E119" s="16" t="n">
        <x:v>36550</x:v>
      </x:c>
      <x:c r="F119" s="16" t="n">
        <x:v>1</x:v>
      </x:c>
      <x:c r="G119" s="16" t="n">
        <x:v>0</x:v>
      </x:c>
      <x:c r="H119" s="16" t="str">
        <x:v>19-02-2013</x:v>
      </x:c>
      <x:c r="I119" s="16" t="n">
        <x:v>74</x:v>
      </x:c>
      <x:c r="J119" s="16" t="n">
        <x:v>47</x:v>
      </x:c>
      <x:c r="K119" s="16" t="n">
        <x:v>90</x:v>
      </x:c>
      <x:c r="L119" s="16" t="n">
        <x:v>94</x:v>
      </x:c>
      <x:c r="M119" s="16" t="n">
        <x:v>123</x:v>
      </x:c>
      <x:c r="N119" s="16" t="n">
        <x:v>103</x:v>
      </x:c>
      <x:c r="O119" s="16" t="n">
        <x:v>120</x:v>
      </x:c>
      <x:c r="P119" s="16" t="n">
        <x:v>5</x:v>
      </x:c>
      <x:c r="Q119" s="16" t="n">
        <x:v>9</x:v>
      </x:c>
      <x:c r="R119" s="16" t="n">
        <x:v>1</x:v>
      </x:c>
      <x:c r="S119" s="16" t="n">
        <x:v>5</x:v>
      </x:c>
      <x:c r="T119" s="16" t="n">
        <x:v>9</x:v>
      </x:c>
      <x:c r="U119" s="16" t="n">
        <x:v>0</x:v>
      </x:c>
      <x:c r="V119" s="16" t="n">
        <x:v>0</x:v>
      </x:c>
      <x:c r="W119" s="16" t="n">
        <x:v>0</x:v>
      </x:c>
      <x:c r="X119" s="16" t="n">
        <x:v>0</x:v>
      </x:c>
      <x:c r="Y119" s="16" t="n">
        <x:v>0</x:v>
      </x:c>
      <x:c r="Z119" s="16" t="n">
        <x:v>0</x:v>
      </x:c>
      <x:c r="AA119" s="16" t="n">
        <x:v>3</x:v>
      </x:c>
      <x:c r="AB119" s="16" t="n">
        <x:v>11</x:v>
      </x:c>
      <x:c r="AC119" s="16" t="n">
        <x:v>0</x:v>
      </x:c>
      <x:c r="AD119" s="21" t="n">
        <x:f>IF(E119="",MEDIAN($E$2:$E$2237),E119)</x:f>
        <x:v>36550</x:v>
      </x:c>
      <x:c r="AE119" s="17" t="n">
        <x:f>2014-B119</x:f>
        <x:v>36</x:v>
      </x:c>
      <x:c r="AF119" s="17" t="n">
        <x:f>F119+G119</x:f>
        <x:v>1</x:v>
      </x:c>
      <x:c r="AG119" s="21" t="n">
        <x:f>SUM(J119:O119)</x:f>
        <x:v>577</x:v>
      </x:c>
      <x:c r="AH119" s="17" t="n">
        <x:f>SUM(Q119:S119)</x:f>
        <x:v>15</x:v>
      </x:c>
      <x:c r="AI119" s="17" t="n">
        <x:f>SUM(U119:Y119)</x:f>
        <x:v>0</x:v>
      </x:c>
      <x:c r="AJ119" s="17" t="str">
        <x:f>IF(AE119&lt;=34,"≤34",IF(AE119&lt;=44,"35–44",IF(AE119&lt;=54,"45–54",IF(AE119&lt;=64,"55–64","65+"))))</x:f>
        <x:v>35–44</x:v>
      </x:c>
      <x:c r="AK119" s="17" t="str">
        <x:f>IF(AG119&gt;=1000,"High Value",IF(AG119&gt;=300,"Mid Value","Low Value"))</x:f>
        <x:v>Mid Value</x:v>
      </x:c>
      <x:c r="AL119" s="17" t="str">
        <x:f>IF(AND(AI119&gt;=1,I119&lt;=50),"Priority 1",IF(AND(AG119&gt;=1000,I119&lt;=60),"Priority 2",IF(I119&lt;=30,"Priority 3","Nurture")))</x:f>
        <x:v>Nurture</x:v>
      </x:c>
    </x:row>
    <x:row r="120">
      <x:c r="A120" s="16" t="n">
        <x:v>5234</x:v>
      </x:c>
      <x:c r="B120" s="16" t="n">
        <x:v>1967</x:v>
      </x:c>
      <x:c r="C120" s="16" t="str">
        <x:v>2n Cycle</x:v>
      </x:c>
      <x:c r="D120" s="16" t="str">
        <x:v>Together</x:v>
      </x:c>
      <x:c r="E120" s="16" t="n">
        <x:v>30753</x:v>
      </x:c>
      <x:c r="F120" s="16" t="n">
        <x:v>1</x:v>
      </x:c>
      <x:c r="G120" s="16" t="n">
        <x:v>1</x:v>
      </x:c>
      <x:c r="H120" s="16" t="str">
        <x:v>11-07-2013</x:v>
      </x:c>
      <x:c r="I120" s="16" t="n">
        <x:v>85</x:v>
      </x:c>
      <x:c r="J120" s="16" t="n">
        <x:v>12</x:v>
      </x:c>
      <x:c r="K120" s="16" t="n">
        <x:v>5</x:v>
      </x:c>
      <x:c r="L120" s="16" t="n">
        <x:v>25</x:v>
      </x:c>
      <x:c r="M120" s="16" t="n">
        <x:v>0</x:v>
      </x:c>
      <x:c r="N120" s="16" t="n">
        <x:v>9</x:v>
      </x:c>
      <x:c r="O120" s="16" t="n">
        <x:v>30</x:v>
      </x:c>
      <x:c r="P120" s="16" t="n">
        <x:v>2</x:v>
      </x:c>
      <x:c r="Q120" s="16" t="n">
        <x:v>1</x:v>
      </x:c>
      <x:c r="R120" s="16" t="n">
        <x:v>1</x:v>
      </x:c>
      <x:c r="S120" s="16" t="n">
        <x:v>3</x:v>
      </x:c>
      <x:c r="T120" s="16" t="n">
        <x:v>5</x:v>
      </x:c>
      <x:c r="U120" s="16" t="n">
        <x:v>0</x:v>
      </x:c>
      <x:c r="V120" s="16" t="n">
        <x:v>0</x:v>
      </x:c>
      <x:c r="W120" s="16" t="n">
        <x:v>0</x:v>
      </x:c>
      <x:c r="X120" s="16" t="n">
        <x:v>0</x:v>
      </x:c>
      <x:c r="Y120" s="16" t="n">
        <x:v>0</x:v>
      </x:c>
      <x:c r="Z120" s="16" t="n">
        <x:v>0</x:v>
      </x:c>
      <x:c r="AA120" s="16" t="n">
        <x:v>3</x:v>
      </x:c>
      <x:c r="AB120" s="16" t="n">
        <x:v>11</x:v>
      </x:c>
      <x:c r="AC120" s="16" t="n">
        <x:v>0</x:v>
      </x:c>
      <x:c r="AD120" s="21" t="n">
        <x:f>IF(E120="",MEDIAN($E$2:$E$2237),E120)</x:f>
        <x:v>30753</x:v>
      </x:c>
      <x:c r="AE120" s="17" t="n">
        <x:f>2014-B120</x:f>
        <x:v>47</x:v>
      </x:c>
      <x:c r="AF120" s="17" t="n">
        <x:f>F120+G120</x:f>
        <x:v>2</x:v>
      </x:c>
      <x:c r="AG120" s="21" t="n">
        <x:f>SUM(J120:O120)</x:f>
        <x:v>81</x:v>
      </x:c>
      <x:c r="AH120" s="17" t="n">
        <x:f>SUM(Q120:S120)</x:f>
        <x:v>5</x:v>
      </x:c>
      <x:c r="AI120" s="17" t="n">
        <x:f>SUM(U120:Y120)</x:f>
        <x:v>0</x:v>
      </x:c>
      <x:c r="AJ120" s="17" t="str">
        <x:f>IF(AE120&lt;=34,"≤34",IF(AE120&lt;=44,"35–44",IF(AE120&lt;=54,"45–54",IF(AE120&lt;=64,"55–64","65+"))))</x:f>
        <x:v>45–54</x:v>
      </x:c>
      <x:c r="AK120" s="17" t="str">
        <x:f>IF(AG120&gt;=1000,"High Value",IF(AG120&gt;=300,"Mid Value","Low Value"))</x:f>
        <x:v>Low Value</x:v>
      </x:c>
      <x:c r="AL120" s="17" t="str">
        <x:f>IF(AND(AI120&gt;=1,I120&lt;=50),"Priority 1",IF(AND(AG120&gt;=1000,I120&lt;=60),"Priority 2",IF(I120&lt;=30,"Priority 3","Nurture")))</x:f>
        <x:v>Nurture</x:v>
      </x:c>
    </x:row>
    <x:row r="121">
      <x:c r="A121" s="16" t="n">
        <x:v>9862</x:v>
      </x:c>
      <x:c r="B121" s="16" t="n">
        <x:v>1969</x:v>
      </x:c>
      <x:c r="C121" s="16" t="str">
        <x:v>Graduation</x:v>
      </x:c>
      <x:c r="D121" s="16" t="str">
        <x:v>Together</x:v>
      </x:c>
      <x:c r="E121" s="16" t="n">
        <x:v>21918</x:v>
      </x:c>
      <x:c r="F121" s="16" t="n">
        <x:v>1</x:v>
      </x:c>
      <x:c r="G121" s="16" t="n">
        <x:v>0</x:v>
      </x:c>
      <x:c r="H121" s="16" t="str">
        <x:v>14-11-2013</x:v>
      </x:c>
      <x:c r="I121" s="16" t="n">
        <x:v>37</x:v>
      </x:c>
      <x:c r="J121" s="16" t="n">
        <x:v>1</x:v>
      </x:c>
      <x:c r="K121" s="16" t="n">
        <x:v>6</x:v>
      </x:c>
      <x:c r="L121" s="16" t="n">
        <x:v>7</x:v>
      </x:c>
      <x:c r="M121" s="16" t="n">
        <x:v>11</x:v>
      </x:c>
      <x:c r="N121" s="16" t="n">
        <x:v>5</x:v>
      </x:c>
      <x:c r="O121" s="16" t="n">
        <x:v>3</x:v>
      </x:c>
      <x:c r="P121" s="16" t="n">
        <x:v>2</x:v>
      </x:c>
      <x:c r="Q121" s="16" t="n">
        <x:v>2</x:v>
      </x:c>
      <x:c r="R121" s="16" t="n">
        <x:v>0</x:v>
      </x:c>
      <x:c r="S121" s="16" t="n">
        <x:v>3</x:v>
      </x:c>
      <x:c r="T121" s="16" t="n">
        <x:v>6</x:v>
      </x:c>
      <x:c r="U121" s="16" t="n">
        <x:v>0</x:v>
      </x:c>
      <x:c r="V121" s="16" t="n">
        <x:v>0</x:v>
      </x:c>
      <x:c r="W121" s="16" t="n">
        <x:v>0</x:v>
      </x:c>
      <x:c r="X121" s="16" t="n">
        <x:v>0</x:v>
      </x:c>
      <x:c r="Y121" s="16" t="n">
        <x:v>0</x:v>
      </x:c>
      <x:c r="Z121" s="16" t="n">
        <x:v>0</x:v>
      </x:c>
      <x:c r="AA121" s="16" t="n">
        <x:v>3</x:v>
      </x:c>
      <x:c r="AB121" s="16" t="n">
        <x:v>11</x:v>
      </x:c>
      <x:c r="AC121" s="16" t="n">
        <x:v>0</x:v>
      </x:c>
      <x:c r="AD121" s="21" t="n">
        <x:f>IF(E121="",MEDIAN($E$2:$E$2237),E121)</x:f>
        <x:v>21918</x:v>
      </x:c>
      <x:c r="AE121" s="17" t="n">
        <x:f>2014-B121</x:f>
        <x:v>45</x:v>
      </x:c>
      <x:c r="AF121" s="17" t="n">
        <x:f>F121+G121</x:f>
        <x:v>1</x:v>
      </x:c>
      <x:c r="AG121" s="21" t="n">
        <x:f>SUM(J121:O121)</x:f>
        <x:v>33</x:v>
      </x:c>
      <x:c r="AH121" s="17" t="n">
        <x:f>SUM(Q121:S121)</x:f>
        <x:v>5</x:v>
      </x:c>
      <x:c r="AI121" s="17" t="n">
        <x:f>SUM(U121:Y121)</x:f>
        <x:v>0</x:v>
      </x:c>
      <x:c r="AJ121" s="17" t="str">
        <x:f>IF(AE121&lt;=34,"≤34",IF(AE121&lt;=44,"35–44",IF(AE121&lt;=54,"45–54",IF(AE121&lt;=64,"55–64","65+"))))</x:f>
        <x:v>45–54</x:v>
      </x:c>
      <x:c r="AK121" s="17" t="str">
        <x:f>IF(AG121&gt;=1000,"High Value",IF(AG121&gt;=300,"Mid Value","Low Value"))</x:f>
        <x:v>Low Value</x:v>
      </x:c>
      <x:c r="AL121" s="17" t="str">
        <x:f>IF(AND(AI121&gt;=1,I121&lt;=50),"Priority 1",IF(AND(AG121&gt;=1000,I121&lt;=60),"Priority 2",IF(I121&lt;=30,"Priority 3","Nurture")))</x:f>
        <x:v>Nurture</x:v>
      </x:c>
    </x:row>
    <x:row r="122">
      <x:c r="A122" s="16" t="n">
        <x:v>9805</x:v>
      </x:c>
      <x:c r="B122" s="16" t="n">
        <x:v>1953</x:v>
      </x:c>
      <x:c r="C122" s="16" t="str">
        <x:v>Master</x:v>
      </x:c>
      <x:c r="D122" s="16" t="str">
        <x:v>Together</x:v>
      </x:c>
      <x:c r="E122" s="16" t="n">
        <x:v>56129</x:v>
      </x:c>
      <x:c r="F122" s="16" t="n">
        <x:v>0</x:v>
      </x:c>
      <x:c r="G122" s="16" t="n">
        <x:v>1</x:v>
      </x:c>
      <x:c r="H122" s="16" t="str">
        <x:v>20-06-2013</x:v>
      </x:c>
      <x:c r="I122" s="16" t="n">
        <x:v>65</x:v>
      </x:c>
      <x:c r="J122" s="16" t="n">
        <x:v>320</x:v>
      </x:c>
      <x:c r="K122" s="16" t="n">
        <x:v>48</x:v>
      </x:c>
      <x:c r="L122" s="16" t="n">
        <x:v>133</x:v>
      </x:c>
      <x:c r="M122" s="16" t="n">
        <x:v>39</x:v>
      </x:c>
      <x:c r="N122" s="16" t="n">
        <x:v>72</x:v>
      </x:c>
      <x:c r="O122" s="16" t="n">
        <x:v>48</x:v>
      </x:c>
      <x:c r="P122" s="16" t="n">
        <x:v>4</x:v>
      </x:c>
      <x:c r="Q122" s="16" t="n">
        <x:v>6</x:v>
      </x:c>
      <x:c r="R122" s="16" t="n">
        <x:v>2</x:v>
      </x:c>
      <x:c r="S122" s="16" t="n">
        <x:v>10</x:v>
      </x:c>
      <x:c r="T122" s="16" t="n">
        <x:v>4</x:v>
      </x:c>
      <x:c r="U122" s="16" t="n">
        <x:v>0</x:v>
      </x:c>
      <x:c r="V122" s="16" t="n">
        <x:v>0</x:v>
      </x:c>
      <x:c r="W122" s="16" t="n">
        <x:v>0</x:v>
      </x:c>
      <x:c r="X122" s="16" t="n">
        <x:v>0</x:v>
      </x:c>
      <x:c r="Y122" s="16" t="n">
        <x:v>0</x:v>
      </x:c>
      <x:c r="Z122" s="16" t="n">
        <x:v>0</x:v>
      </x:c>
      <x:c r="AA122" s="16" t="n">
        <x:v>3</x:v>
      </x:c>
      <x:c r="AB122" s="16" t="n">
        <x:v>11</x:v>
      </x:c>
      <x:c r="AC122" s="16" t="n">
        <x:v>0</x:v>
      </x:c>
      <x:c r="AD122" s="21" t="n">
        <x:f>IF(E122="",MEDIAN($E$2:$E$2237),E122)</x:f>
        <x:v>56129</x:v>
      </x:c>
      <x:c r="AE122" s="17" t="n">
        <x:f>2014-B122</x:f>
        <x:v>61</x:v>
      </x:c>
      <x:c r="AF122" s="17" t="n">
        <x:f>F122+G122</x:f>
        <x:v>1</x:v>
      </x:c>
      <x:c r="AG122" s="21" t="n">
        <x:f>SUM(J122:O122)</x:f>
        <x:v>660</x:v>
      </x:c>
      <x:c r="AH122" s="17" t="n">
        <x:f>SUM(Q122:S122)</x:f>
        <x:v>18</x:v>
      </x:c>
      <x:c r="AI122" s="17" t="n">
        <x:f>SUM(U122:Y122)</x:f>
        <x:v>0</x:v>
      </x:c>
      <x:c r="AJ122" s="17" t="str">
        <x:f>IF(AE122&lt;=34,"≤34",IF(AE122&lt;=44,"35–44",IF(AE122&lt;=54,"45–54",IF(AE122&lt;=64,"55–64","65+"))))</x:f>
        <x:v>55–64</x:v>
      </x:c>
      <x:c r="AK122" s="17" t="str">
        <x:f>IF(AG122&gt;=1000,"High Value",IF(AG122&gt;=300,"Mid Value","Low Value"))</x:f>
        <x:v>Mid Value</x:v>
      </x:c>
      <x:c r="AL122" s="17" t="str">
        <x:f>IF(AND(AI122&gt;=1,I122&lt;=50),"Priority 1",IF(AND(AG122&gt;=1000,I122&lt;=60),"Priority 2",IF(I122&lt;=30,"Priority 3","Nurture")))</x:f>
        <x:v>Nurture</x:v>
      </x:c>
    </x:row>
    <x:row r="123">
      <x:c r="A123" s="16" t="n">
        <x:v>6205</x:v>
      </x:c>
      <x:c r="B123" s="16" t="n">
        <x:v>1967</x:v>
      </x:c>
      <x:c r="C123" s="16" t="str">
        <x:v>Master</x:v>
      </x:c>
      <x:c r="D123" s="16" t="str">
        <x:v>Single</x:v>
      </x:c>
      <x:c r="E123" s="16" t="n">
        <x:v>32557</x:v>
      </x:c>
      <x:c r="F123" s="16" t="n">
        <x:v>1</x:v>
      </x:c>
      <x:c r="G123" s="16" t="n">
        <x:v>0</x:v>
      </x:c>
      <x:c r="H123" s="16" t="str">
        <x:v>24-02-2014</x:v>
      </x:c>
      <x:c r="I123" s="16" t="n">
        <x:v>13</x:v>
      </x:c>
      <x:c r="J123" s="16" t="n">
        <x:v>34</x:v>
      </x:c>
      <x:c r="K123" s="16" t="n">
        <x:v>3</x:v>
      </x:c>
      <x:c r="L123" s="16" t="n">
        <x:v>29</x:v>
      </x:c>
      <x:c r="M123" s="16" t="n">
        <x:v>0</x:v>
      </x:c>
      <x:c r="N123" s="16" t="n">
        <x:v>4</x:v>
      </x:c>
      <x:c r="O123" s="16" t="n">
        <x:v>10</x:v>
      </x:c>
      <x:c r="P123" s="16" t="n">
        <x:v>3</x:v>
      </x:c>
      <x:c r="Q123" s="16" t="n">
        <x:v>2</x:v>
      </x:c>
      <x:c r="R123" s="16" t="n">
        <x:v>1</x:v>
      </x:c>
      <x:c r="S123" s="16" t="n">
        <x:v>3</x:v>
      </x:c>
      <x:c r="T123" s="16" t="n">
        <x:v>5</x:v>
      </x:c>
      <x:c r="U123" s="16" t="n">
        <x:v>0</x:v>
      </x:c>
      <x:c r="V123" s="16" t="n">
        <x:v>0</x:v>
      </x:c>
      <x:c r="W123" s="16" t="n">
        <x:v>0</x:v>
      </x:c>
      <x:c r="X123" s="16" t="n">
        <x:v>0</x:v>
      </x:c>
      <x:c r="Y123" s="16" t="n">
        <x:v>0</x:v>
      </x:c>
      <x:c r="Z123" s="16" t="n">
        <x:v>0</x:v>
      </x:c>
      <x:c r="AA123" s="16" t="n">
        <x:v>3</x:v>
      </x:c>
      <x:c r="AB123" s="16" t="n">
        <x:v>11</x:v>
      </x:c>
      <x:c r="AC123" s="16" t="n">
        <x:v>1</x:v>
      </x:c>
      <x:c r="AD123" s="21" t="n">
        <x:f>IF(E123="",MEDIAN($E$2:$E$2237),E123)</x:f>
        <x:v>32557</x:v>
      </x:c>
      <x:c r="AE123" s="17" t="n">
        <x:f>2014-B123</x:f>
        <x:v>47</x:v>
      </x:c>
      <x:c r="AF123" s="17" t="n">
        <x:f>F123+G123</x:f>
        <x:v>1</x:v>
      </x:c>
      <x:c r="AG123" s="21" t="n">
        <x:f>SUM(J123:O123)</x:f>
        <x:v>80</x:v>
      </x:c>
      <x:c r="AH123" s="17" t="n">
        <x:f>SUM(Q123:S123)</x:f>
        <x:v>6</x:v>
      </x:c>
      <x:c r="AI123" s="17" t="n">
        <x:f>SUM(U123:Y123)</x:f>
        <x:v>0</x:v>
      </x:c>
      <x:c r="AJ123" s="17" t="str">
        <x:f>IF(AE123&lt;=34,"≤34",IF(AE123&lt;=44,"35–44",IF(AE123&lt;=54,"45–54",IF(AE123&lt;=64,"55–64","65+"))))</x:f>
        <x:v>45–54</x:v>
      </x:c>
      <x:c r="AK123" s="17" t="str">
        <x:f>IF(AG123&gt;=1000,"High Value",IF(AG123&gt;=300,"Mid Value","Low Value"))</x:f>
        <x:v>Low Value</x:v>
      </x:c>
      <x:c r="AL123" s="17" t="str">
        <x:f>IF(AND(AI123&gt;=1,I123&lt;=50),"Priority 1",IF(AND(AG123&gt;=1000,I123&lt;=60),"Priority 2",IF(I123&lt;=30,"Priority 3","Nurture")))</x:f>
        <x:v>Priority 3</x:v>
      </x:c>
    </x:row>
    <x:row r="124">
      <x:c r="A124" s="16" t="n">
        <x:v>8442</x:v>
      </x:c>
      <x:c r="B124" s="16" t="n">
        <x:v>1985</x:v>
      </x:c>
      <x:c r="C124" s="16" t="str">
        <x:v>Master</x:v>
      </x:c>
      <x:c r="D124" s="16" t="str">
        <x:v>Married</x:v>
      </x:c>
      <x:c r="E124" s="16" t="n">
        <x:v>19510</x:v>
      </x:c>
      <x:c r="F124" s="16" t="n">
        <x:v>2</x:v>
      </x:c>
      <x:c r="G124" s="16" t="n">
        <x:v>0</x:v>
      </x:c>
      <x:c r="H124" s="16" t="str">
        <x:v>04-09-2013</x:v>
      </x:c>
      <x:c r="I124" s="16" t="n">
        <x:v>63</x:v>
      </x:c>
      <x:c r="J124" s="16" t="n">
        <x:v>9</x:v>
      </x:c>
      <x:c r="K124" s="16" t="n">
        <x:v>0</x:v>
      </x:c>
      <x:c r="L124" s="16" t="n">
        <x:v>7</x:v>
      </x:c>
      <x:c r="M124" s="16" t="n">
        <x:v>3</x:v>
      </x:c>
      <x:c r="N124" s="16" t="n">
        <x:v>4</x:v>
      </x:c>
      <x:c r="O124" s="16" t="n">
        <x:v>7</x:v>
      </x:c>
      <x:c r="P124" s="16" t="n">
        <x:v>2</x:v>
      </x:c>
      <x:c r="Q124" s="16" t="n">
        <x:v>1</x:v>
      </x:c>
      <x:c r="R124" s="16" t="n">
        <x:v>0</x:v>
      </x:c>
      <x:c r="S124" s="16" t="n">
        <x:v>3</x:v>
      </x:c>
      <x:c r="T124" s="16" t="n">
        <x:v>7</x:v>
      </x:c>
      <x:c r="U124" s="16" t="n">
        <x:v>0</x:v>
      </x:c>
      <x:c r="V124" s="16" t="n">
        <x:v>0</x:v>
      </x:c>
      <x:c r="W124" s="16" t="n">
        <x:v>0</x:v>
      </x:c>
      <x:c r="X124" s="16" t="n">
        <x:v>0</x:v>
      </x:c>
      <x:c r="Y124" s="16" t="n">
        <x:v>0</x:v>
      </x:c>
      <x:c r="Z124" s="16" t="n">
        <x:v>0</x:v>
      </x:c>
      <x:c r="AA124" s="16" t="n">
        <x:v>3</x:v>
      </x:c>
      <x:c r="AB124" s="16" t="n">
        <x:v>11</x:v>
      </x:c>
      <x:c r="AC124" s="16" t="n">
        <x:v>0</x:v>
      </x:c>
      <x:c r="AD124" s="21" t="n">
        <x:f>IF(E124="",MEDIAN($E$2:$E$2237),E124)</x:f>
        <x:v>19510</x:v>
      </x:c>
      <x:c r="AE124" s="17" t="n">
        <x:f>2014-B124</x:f>
        <x:v>29</x:v>
      </x:c>
      <x:c r="AF124" s="17" t="n">
        <x:f>F124+G124</x:f>
        <x:v>2</x:v>
      </x:c>
      <x:c r="AG124" s="21" t="n">
        <x:f>SUM(J124:O124)</x:f>
        <x:v>30</x:v>
      </x:c>
      <x:c r="AH124" s="17" t="n">
        <x:f>SUM(Q124:S124)</x:f>
        <x:v>4</x:v>
      </x:c>
      <x:c r="AI124" s="17" t="n">
        <x:f>SUM(U124:Y124)</x:f>
        <x:v>0</x:v>
      </x:c>
      <x:c r="AJ124" s="17" t="str">
        <x:f>IF(AE124&lt;=34,"≤34",IF(AE124&lt;=44,"35–44",IF(AE124&lt;=54,"45–54",IF(AE124&lt;=64,"55–64","65+"))))</x:f>
        <x:v>≤34</x:v>
      </x:c>
      <x:c r="AK124" s="17" t="str">
        <x:f>IF(AG124&gt;=1000,"High Value",IF(AG124&gt;=300,"Mid Value","Low Value"))</x:f>
        <x:v>Low Value</x:v>
      </x:c>
      <x:c r="AL124" s="17" t="str">
        <x:f>IF(AND(AI124&gt;=1,I124&lt;=50),"Priority 1",IF(AND(AG124&gt;=1000,I124&lt;=60),"Priority 2",IF(I124&lt;=30,"Priority 3","Nurture")))</x:f>
        <x:v>Nurture</x:v>
      </x:c>
    </x:row>
    <x:row r="125">
      <x:c r="A125" s="16" t="n">
        <x:v>7386</x:v>
      </x:c>
      <x:c r="B125" s="16" t="n">
        <x:v>1976</x:v>
      </x:c>
      <x:c r="C125" s="16" t="str">
        <x:v>Graduation</x:v>
      </x:c>
      <x:c r="D125" s="16" t="str">
        <x:v>Divorced</x:v>
      </x:c>
      <x:c r="E125" s="16" t="n">
        <x:v>30992</x:v>
      </x:c>
      <x:c r="F125" s="16" t="n">
        <x:v>1</x:v>
      </x:c>
      <x:c r="G125" s="16" t="n">
        <x:v>0</x:v>
      </x:c>
      <x:c r="H125" s="16" t="str">
        <x:v>22-04-2013</x:v>
      </x:c>
      <x:c r="I125" s="16" t="n">
        <x:v>83</x:v>
      </x:c>
      <x:c r="J125" s="16" t="n">
        <x:v>17</x:v>
      </x:c>
      <x:c r="K125" s="16" t="n">
        <x:v>0</x:v>
      </x:c>
      <x:c r="L125" s="16" t="n">
        <x:v>14</x:v>
      </x:c>
      <x:c r="M125" s="16" t="n">
        <x:v>7</x:v>
      </x:c>
      <x:c r="N125" s="16" t="n">
        <x:v>3</x:v>
      </x:c>
      <x:c r="O125" s="16" t="n">
        <x:v>2</x:v>
      </x:c>
      <x:c r="P125" s="16" t="n">
        <x:v>1</x:v>
      </x:c>
      <x:c r="Q125" s="16" t="n">
        <x:v>1</x:v>
      </x:c>
      <x:c r="R125" s="16" t="n">
        <x:v>0</x:v>
      </x:c>
      <x:c r="S125" s="16" t="n">
        <x:v>3</x:v>
      </x:c>
      <x:c r="T125" s="16" t="n">
        <x:v>7</x:v>
      </x:c>
      <x:c r="U125" s="16" t="n">
        <x:v>0</x:v>
      </x:c>
      <x:c r="V125" s="16" t="n">
        <x:v>0</x:v>
      </x:c>
      <x:c r="W125" s="16" t="n">
        <x:v>0</x:v>
      </x:c>
      <x:c r="X125" s="16" t="n">
        <x:v>0</x:v>
      </x:c>
      <x:c r="Y125" s="16" t="n">
        <x:v>0</x:v>
      </x:c>
      <x:c r="Z125" s="16" t="n">
        <x:v>0</x:v>
      </x:c>
      <x:c r="AA125" s="16" t="n">
        <x:v>3</x:v>
      </x:c>
      <x:c r="AB125" s="16" t="n">
        <x:v>11</x:v>
      </x:c>
      <x:c r="AC125" s="16" t="n">
        <x:v>0</x:v>
      </x:c>
      <x:c r="AD125" s="21" t="n">
        <x:f>IF(E125="",MEDIAN($E$2:$E$2237),E125)</x:f>
        <x:v>30992</x:v>
      </x:c>
      <x:c r="AE125" s="17" t="n">
        <x:f>2014-B125</x:f>
        <x:v>38</x:v>
      </x:c>
      <x:c r="AF125" s="17" t="n">
        <x:f>F125+G125</x:f>
        <x:v>1</x:v>
      </x:c>
      <x:c r="AG125" s="21" t="n">
        <x:f>SUM(J125:O125)</x:f>
        <x:v>43</x:v>
      </x:c>
      <x:c r="AH125" s="17" t="n">
        <x:f>SUM(Q125:S125)</x:f>
        <x:v>4</x:v>
      </x:c>
      <x:c r="AI125" s="17" t="n">
        <x:f>SUM(U125:Y125)</x:f>
        <x:v>0</x:v>
      </x:c>
      <x:c r="AJ125" s="17" t="str">
        <x:f>IF(AE125&lt;=34,"≤34",IF(AE125&lt;=44,"35–44",IF(AE125&lt;=54,"45–54",IF(AE125&lt;=64,"55–64","65+"))))</x:f>
        <x:v>35–44</x:v>
      </x:c>
      <x:c r="AK125" s="17" t="str">
        <x:f>IF(AG125&gt;=1000,"High Value",IF(AG125&gt;=300,"Mid Value","Low Value"))</x:f>
        <x:v>Low Value</x:v>
      </x:c>
      <x:c r="AL125" s="17" t="str">
        <x:f>IF(AND(AI125&gt;=1,I125&lt;=50),"Priority 1",IF(AND(AG125&gt;=1000,I125&lt;=60),"Priority 2",IF(I125&lt;=30,"Priority 3","Nurture")))</x:f>
        <x:v>Nurture</x:v>
      </x:c>
    </x:row>
    <x:row r="126">
      <x:c r="A126" s="16" t="n">
        <x:v>7215</x:v>
      </x:c>
      <x:c r="B126" s="16" t="n">
        <x:v>1983</x:v>
      </x:c>
      <x:c r="C126" s="16" t="str">
        <x:v>Graduation</x:v>
      </x:c>
      <x:c r="D126" s="16" t="str">
        <x:v>Single</x:v>
      </x:c>
      <x:c r="E126" s="16" t="n">
        <x:v>101970</x:v>
      </x:c>
      <x:c r="F126" s="16" t="n">
        <x:v>0</x:v>
      </x:c>
      <x:c r="G126" s="16" t="n">
        <x:v>0</x:v>
      </x:c>
      <x:c r="H126" s="16" t="str">
        <x:v>12-03-2013</x:v>
      </x:c>
      <x:c r="I126" s="16" t="n">
        <x:v>69</x:v>
      </x:c>
      <x:c r="J126" s="16" t="n">
        <x:v>722</x:v>
      </x:c>
      <x:c r="K126" s="16" t="n">
        <x:v>27</x:v>
      </x:c>
      <x:c r="L126" s="16" t="n">
        <x:v>102</x:v>
      </x:c>
      <x:c r="M126" s="16" t="n">
        <x:v>44</x:v>
      </x:c>
      <x:c r="N126" s="16" t="n">
        <x:v>72</x:v>
      </x:c>
      <x:c r="O126" s="16" t="n">
        <x:v>168</x:v>
      </x:c>
      <x:c r="P126" s="16" t="n">
        <x:v>0</x:v>
      </x:c>
      <x:c r="Q126" s="16" t="n">
        <x:v>6</x:v>
      </x:c>
      <x:c r="R126" s="16" t="n">
        <x:v>8</x:v>
      </x:c>
      <x:c r="S126" s="16" t="n">
        <x:v>13</x:v>
      </x:c>
      <x:c r="T126" s="16" t="n">
        <x:v>2</x:v>
      </x:c>
      <x:c r="U126" s="16" t="n">
        <x:v>0</x:v>
      </x:c>
      <x:c r="V126" s="16" t="n">
        <x:v>1</x:v>
      </x:c>
      <x:c r="W126" s="16" t="n">
        <x:v>1</x:v>
      </x:c>
      <x:c r="X126" s="16" t="n">
        <x:v>1</x:v>
      </x:c>
      <x:c r="Y126" s="16" t="n">
        <x:v>0</x:v>
      </x:c>
      <x:c r="Z126" s="16" t="n">
        <x:v>0</x:v>
      </x:c>
      <x:c r="AA126" s="16" t="n">
        <x:v>3</x:v>
      </x:c>
      <x:c r="AB126" s="16" t="n">
        <x:v>11</x:v>
      </x:c>
      <x:c r="AC126" s="16" t="n">
        <x:v>1</x:v>
      </x:c>
      <x:c r="AD126" s="21" t="n">
        <x:f>IF(E126="",MEDIAN($E$2:$E$2237),E126)</x:f>
        <x:v>101970</x:v>
      </x:c>
      <x:c r="AE126" s="17" t="n">
        <x:f>2014-B126</x:f>
        <x:v>31</x:v>
      </x:c>
      <x:c r="AF126" s="17" t="n">
        <x:f>F126+G126</x:f>
        <x:v>0</x:v>
      </x:c>
      <x:c r="AG126" s="21" t="n">
        <x:f>SUM(J126:O126)</x:f>
        <x:v>1135</x:v>
      </x:c>
      <x:c r="AH126" s="17" t="n">
        <x:f>SUM(Q126:S126)</x:f>
        <x:v>27</x:v>
      </x:c>
      <x:c r="AI126" s="17" t="n">
        <x:f>SUM(U126:Y126)</x:f>
        <x:v>3</x:v>
      </x:c>
      <x:c r="AJ126" s="17" t="str">
        <x:f>IF(AE126&lt;=34,"≤34",IF(AE126&lt;=44,"35–44",IF(AE126&lt;=54,"45–54",IF(AE126&lt;=64,"55–64","65+"))))</x:f>
        <x:v>≤34</x:v>
      </x:c>
      <x:c r="AK126" s="17" t="str">
        <x:f>IF(AG126&gt;=1000,"High Value",IF(AG126&gt;=300,"Mid Value","Low Value"))</x:f>
        <x:v>High Value</x:v>
      </x:c>
      <x:c r="AL126" s="17" t="str">
        <x:f>IF(AND(AI126&gt;=1,I126&lt;=50),"Priority 1",IF(AND(AG126&gt;=1000,I126&lt;=60),"Priority 2",IF(I126&lt;=30,"Priority 3","Nurture")))</x:f>
        <x:v>Nurture</x:v>
      </x:c>
    </x:row>
    <x:row r="127">
      <x:c r="A127" s="16" t="n">
        <x:v>1491</x:v>
      </x:c>
      <x:c r="B127" s="16" t="n">
        <x:v>1965</x:v>
      </x:c>
      <x:c r="C127" s="16" t="str">
        <x:v>2n Cycle</x:v>
      </x:c>
      <x:c r="D127" s="16" t="str">
        <x:v>Together</x:v>
      </x:c>
      <x:c r="E127" s="16" t="n">
        <x:v>71488</x:v>
      </x:c>
      <x:c r="F127" s="16" t="n">
        <x:v>0</x:v>
      </x:c>
      <x:c r="G127" s="16" t="n">
        <x:v>0</x:v>
      </x:c>
      <x:c r="H127" s="16" t="str">
        <x:v>18-02-2013</x:v>
      </x:c>
      <x:c r="I127" s="16" t="n">
        <x:v>87</x:v>
      </x:c>
      <x:c r="J127" s="16" t="n">
        <x:v>162</x:v>
      </x:c>
      <x:c r="K127" s="16" t="n">
        <x:v>33</x:v>
      </x:c>
      <x:c r="L127" s="16" t="n">
        <x:v>124</x:v>
      </x:c>
      <x:c r="M127" s="16" t="n">
        <x:v>40</x:v>
      </x:c>
      <x:c r="N127" s="16" t="n">
        <x:v>28</x:v>
      </x:c>
      <x:c r="O127" s="16" t="n">
        <x:v>172</x:v>
      </x:c>
      <x:c r="P127" s="16" t="n">
        <x:v>2</x:v>
      </x:c>
      <x:c r="Q127" s="16" t="n">
        <x:v>3</x:v>
      </x:c>
      <x:c r="R127" s="16" t="n">
        <x:v>4</x:v>
      </x:c>
      <x:c r="S127" s="16" t="n">
        <x:v>7</x:v>
      </x:c>
      <x:c r="T127" s="16" t="n">
        <x:v>1</x:v>
      </x:c>
      <x:c r="U127" s="16" t="n">
        <x:v>0</x:v>
      </x:c>
      <x:c r="V127" s="16" t="n">
        <x:v>0</x:v>
      </x:c>
      <x:c r="W127" s="16" t="n">
        <x:v>0</x:v>
      </x:c>
      <x:c r="X127" s="16" t="n">
        <x:v>0</x:v>
      </x:c>
      <x:c r="Y127" s="16" t="n">
        <x:v>0</x:v>
      </x:c>
      <x:c r="Z127" s="16" t="n">
        <x:v>0</x:v>
      </x:c>
      <x:c r="AA127" s="16" t="n">
        <x:v>3</x:v>
      </x:c>
      <x:c r="AB127" s="16" t="n">
        <x:v>11</x:v>
      </x:c>
      <x:c r="AC127" s="16" t="n">
        <x:v>0</x:v>
      </x:c>
      <x:c r="AD127" s="21" t="n">
        <x:f>IF(E127="",MEDIAN($E$2:$E$2237),E127)</x:f>
        <x:v>71488</x:v>
      </x:c>
      <x:c r="AE127" s="17" t="n">
        <x:f>2014-B127</x:f>
        <x:v>49</x:v>
      </x:c>
      <x:c r="AF127" s="17" t="n">
        <x:f>F127+G127</x:f>
        <x:v>0</x:v>
      </x:c>
      <x:c r="AG127" s="21" t="n">
        <x:f>SUM(J127:O127)</x:f>
        <x:v>559</x:v>
      </x:c>
      <x:c r="AH127" s="17" t="n">
        <x:f>SUM(Q127:S127)</x:f>
        <x:v>14</x:v>
      </x:c>
      <x:c r="AI127" s="17" t="n">
        <x:f>SUM(U127:Y127)</x:f>
        <x:v>0</x:v>
      </x:c>
      <x:c r="AJ127" s="17" t="str">
        <x:f>IF(AE127&lt;=34,"≤34",IF(AE127&lt;=44,"35–44",IF(AE127&lt;=54,"45–54",IF(AE127&lt;=64,"55–64","65+"))))</x:f>
        <x:v>45–54</x:v>
      </x:c>
      <x:c r="AK127" s="17" t="str">
        <x:f>IF(AG127&gt;=1000,"High Value",IF(AG127&gt;=300,"Mid Value","Low Value"))</x:f>
        <x:v>Mid Value</x:v>
      </x:c>
      <x:c r="AL127" s="17" t="str">
        <x:f>IF(AND(AI127&gt;=1,I127&lt;=50),"Priority 1",IF(AND(AG127&gt;=1000,I127&lt;=60),"Priority 2",IF(I127&lt;=30,"Priority 3","Nurture")))</x:f>
        <x:v>Nurture</x:v>
      </x:c>
    </x:row>
    <x:row r="128">
      <x:c r="A128" s="16" t="n">
        <x:v>11071</x:v>
      </x:c>
      <x:c r="B128" s="16" t="n">
        <x:v>1984</x:v>
      </x:c>
      <x:c r="C128" s="16" t="str">
        <x:v>Graduation</x:v>
      </x:c>
      <x:c r="D128" s="16" t="str">
        <x:v>Single</x:v>
      </x:c>
      <x:c r="E128" s="16" t="n">
        <x:v>79607</x:v>
      </x:c>
      <x:c r="F128" s="16" t="n">
        <x:v>0</x:v>
      </x:c>
      <x:c r="G128" s="16" t="n">
        <x:v>0</x:v>
      </x:c>
      <x:c r="H128" s="16" t="str">
        <x:v>21-04-2013</x:v>
      </x:c>
      <x:c r="I128" s="16" t="n">
        <x:v>37</x:v>
      </x:c>
      <x:c r="J128" s="16" t="n">
        <x:v>450</x:v>
      </x:c>
      <x:c r="K128" s="16" t="n">
        <x:v>133</x:v>
      </x:c>
      <x:c r="L128" s="16" t="n">
        <x:v>951</x:v>
      </x:c>
      <x:c r="M128" s="16" t="n">
        <x:v>173</x:v>
      </x:c>
      <x:c r="N128" s="16" t="n">
        <x:v>0</x:v>
      </x:c>
      <x:c r="O128" s="16" t="n">
        <x:v>216</x:v>
      </x:c>
      <x:c r="P128" s="16" t="n">
        <x:v>1</x:v>
      </x:c>
      <x:c r="Q128" s="16" t="n">
        <x:v>3</x:v>
      </x:c>
      <x:c r="R128" s="16" t="n">
        <x:v>6</x:v>
      </x:c>
      <x:c r="S128" s="16" t="n">
        <x:v>6</x:v>
      </x:c>
      <x:c r="T128" s="16" t="n">
        <x:v>1</x:v>
      </x:c>
      <x:c r="U128" s="16" t="n">
        <x:v>0</x:v>
      </x:c>
      <x:c r="V128" s="16" t="n">
        <x:v>0</x:v>
      </x:c>
      <x:c r="W128" s="16" t="n">
        <x:v>0</x:v>
      </x:c>
      <x:c r="X128" s="16" t="n">
        <x:v>0</x:v>
      </x:c>
      <x:c r="Y128" s="16" t="n">
        <x:v>0</x:v>
      </x:c>
      <x:c r="Z128" s="16" t="n">
        <x:v>0</x:v>
      </x:c>
      <x:c r="AA128" s="16" t="n">
        <x:v>3</x:v>
      </x:c>
      <x:c r="AB128" s="16" t="n">
        <x:v>11</x:v>
      </x:c>
      <x:c r="AC128" s="16" t="n">
        <x:v>1</x:v>
      </x:c>
      <x:c r="AD128" s="21" t="n">
        <x:f>IF(E128="",MEDIAN($E$2:$E$2237),E128)</x:f>
        <x:v>79607</x:v>
      </x:c>
      <x:c r="AE128" s="17" t="n">
        <x:f>2014-B128</x:f>
        <x:v>30</x:v>
      </x:c>
      <x:c r="AF128" s="17" t="n">
        <x:f>F128+G128</x:f>
        <x:v>0</x:v>
      </x:c>
      <x:c r="AG128" s="21" t="n">
        <x:f>SUM(J128:O128)</x:f>
        <x:v>1923</x:v>
      </x:c>
      <x:c r="AH128" s="17" t="n">
        <x:f>SUM(Q128:S128)</x:f>
        <x:v>15</x:v>
      </x:c>
      <x:c r="AI128" s="17" t="n">
        <x:f>SUM(U128:Y128)</x:f>
        <x:v>0</x:v>
      </x:c>
      <x:c r="AJ128" s="17" t="str">
        <x:f>IF(AE128&lt;=34,"≤34",IF(AE128&lt;=44,"35–44",IF(AE128&lt;=54,"45–54",IF(AE128&lt;=64,"55–64","65+"))))</x:f>
        <x:v>≤34</x:v>
      </x:c>
      <x:c r="AK128" s="17" t="str">
        <x:f>IF(AG128&gt;=1000,"High Value",IF(AG128&gt;=300,"Mid Value","Low Value"))</x:f>
        <x:v>High Value</x:v>
      </x:c>
      <x:c r="AL128" s="17" t="str">
        <x:f>IF(AND(AI128&gt;=1,I128&lt;=50),"Priority 1",IF(AND(AG128&gt;=1000,I128&lt;=60),"Priority 2",IF(I128&lt;=30,"Priority 3","Nurture")))</x:f>
        <x:v>Priority 2</x:v>
      </x:c>
    </x:row>
    <x:row r="129">
      <x:c r="A129" s="16" t="n">
        <x:v>3381</x:v>
      </x:c>
      <x:c r="B129" s="16" t="n">
        <x:v>1953</x:v>
      </x:c>
      <x:c r="C129" s="16" t="str">
        <x:v>Master</x:v>
      </x:c>
      <x:c r="D129" s="16" t="str">
        <x:v>Married</x:v>
      </x:c>
      <x:c r="E129" s="16" t="n">
        <x:v>54348</x:v>
      </x:c>
      <x:c r="F129" s="16" t="n">
        <x:v>1</x:v>
      </x:c>
      <x:c r="G129" s="16" t="n">
        <x:v>1</x:v>
      </x:c>
      <x:c r="H129" s="16" t="str">
        <x:v>08-06-2014</x:v>
      </x:c>
      <x:c r="I129" s="16" t="n">
        <x:v>51</x:v>
      </x:c>
      <x:c r="J129" s="16" t="n">
        <x:v>70</x:v>
      </x:c>
      <x:c r="K129" s="16" t="n">
        <x:v>0</x:v>
      </x:c>
      <x:c r="L129" s="16" t="n">
        <x:v>16</x:v>
      </x:c>
      <x:c r="M129" s="16" t="n">
        <x:v>0</x:v>
      </x:c>
      <x:c r="N129" s="16" t="n">
        <x:v>0</x:v>
      </x:c>
      <x:c r="O129" s="16" t="n">
        <x:v>4</x:v>
      </x:c>
      <x:c r="P129" s="16" t="n">
        <x:v>2</x:v>
      </x:c>
      <x:c r="Q129" s="16" t="n">
        <x:v>2</x:v>
      </x:c>
      <x:c r="R129" s="16" t="n">
        <x:v>0</x:v>
      </x:c>
      <x:c r="S129" s="16" t="n">
        <x:v>4</x:v>
      </x:c>
      <x:c r="T129" s="16" t="n">
        <x:v>6</x:v>
      </x:c>
      <x:c r="U129" s="16" t="n">
        <x:v>0</x:v>
      </x:c>
      <x:c r="V129" s="16" t="n">
        <x:v>0</x:v>
      </x:c>
      <x:c r="W129" s="16" t="n">
        <x:v>0</x:v>
      </x:c>
      <x:c r="X129" s="16" t="n">
        <x:v>0</x:v>
      </x:c>
      <x:c r="Y129" s="16" t="n">
        <x:v>0</x:v>
      </x:c>
      <x:c r="Z129" s="16" t="n">
        <x:v>0</x:v>
      </x:c>
      <x:c r="AA129" s="16" t="n">
        <x:v>3</x:v>
      </x:c>
      <x:c r="AB129" s="16" t="n">
        <x:v>11</x:v>
      </x:c>
      <x:c r="AC129" s="16" t="n">
        <x:v>0</x:v>
      </x:c>
      <x:c r="AD129" s="21" t="n">
        <x:f>IF(E129="",MEDIAN($E$2:$E$2237),E129)</x:f>
        <x:v>54348</x:v>
      </x:c>
      <x:c r="AE129" s="17" t="n">
        <x:f>2014-B129</x:f>
        <x:v>61</x:v>
      </x:c>
      <x:c r="AF129" s="17" t="n">
        <x:f>F129+G129</x:f>
        <x:v>2</x:v>
      </x:c>
      <x:c r="AG129" s="21" t="n">
        <x:f>SUM(J129:O129)</x:f>
        <x:v>90</x:v>
      </x:c>
      <x:c r="AH129" s="17" t="n">
        <x:f>SUM(Q129:S129)</x:f>
        <x:v>6</x:v>
      </x:c>
      <x:c r="AI129" s="17" t="n">
        <x:f>SUM(U129:Y129)</x:f>
        <x:v>0</x:v>
      </x:c>
      <x:c r="AJ129" s="17" t="str">
        <x:f>IF(AE129&lt;=34,"≤34",IF(AE129&lt;=44,"35–44",IF(AE129&lt;=54,"45–54",IF(AE129&lt;=64,"55–64","65+"))))</x:f>
        <x:v>55–64</x:v>
      </x:c>
      <x:c r="AK129" s="17" t="str">
        <x:f>IF(AG129&gt;=1000,"High Value",IF(AG129&gt;=300,"Mid Value","Low Value"))</x:f>
        <x:v>Low Value</x:v>
      </x:c>
      <x:c r="AL129" s="17" t="str">
        <x:f>IF(AND(AI129&gt;=1,I129&lt;=50),"Priority 1",IF(AND(AG129&gt;=1000,I129&lt;=60),"Priority 2",IF(I129&lt;=30,"Priority 3","Nurture")))</x:f>
        <x:v>Nurture</x:v>
      </x:c>
    </x:row>
    <x:row r="130">
      <x:c r="A130" s="16" t="n">
        <x:v>8268</x:v>
      </x:c>
      <x:c r="B130" s="16" t="n">
        <x:v>1961</x:v>
      </x:c>
      <x:c r="C130" s="16" t="str">
        <x:v>PhD</x:v>
      </x:c>
      <x:c r="D130" s="16" t="str">
        <x:v>Married</x:v>
      </x:c>
      <x:c r="E130" s="16"/>
      <x:c r="F130" s="16" t="n">
        <x:v>0</x:v>
      </x:c>
      <x:c r="G130" s="16" t="n">
        <x:v>1</x:v>
      </x:c>
      <x:c r="H130" s="16" t="str">
        <x:v>11-07-2013</x:v>
      </x:c>
      <x:c r="I130" s="16" t="n">
        <x:v>23</x:v>
      </x:c>
      <x:c r="J130" s="16" t="n">
        <x:v>352</x:v>
      </x:c>
      <x:c r="K130" s="16" t="n">
        <x:v>0</x:v>
      </x:c>
      <x:c r="L130" s="16" t="n">
        <x:v>27</x:v>
      </x:c>
      <x:c r="M130" s="16" t="n">
        <x:v>10</x:v>
      </x:c>
      <x:c r="N130" s="16" t="n">
        <x:v>0</x:v>
      </x:c>
      <x:c r="O130" s="16" t="n">
        <x:v>15</x:v>
      </x:c>
      <x:c r="P130" s="16" t="n">
        <x:v>3</x:v>
      </x:c>
      <x:c r="Q130" s="16" t="n">
        <x:v>6</x:v>
      </x:c>
      <x:c r="R130" s="16" t="n">
        <x:v>1</x:v>
      </x:c>
      <x:c r="S130" s="16" t="n">
        <x:v>7</x:v>
      </x:c>
      <x:c r="T130" s="16" t="n">
        <x:v>6</x:v>
      </x:c>
      <x:c r="U130" s="16" t="n">
        <x:v>0</x:v>
      </x:c>
      <x:c r="V130" s="16" t="n">
        <x:v>0</x:v>
      </x:c>
      <x:c r="W130" s="16" t="n">
        <x:v>0</x:v>
      </x:c>
      <x:c r="X130" s="16" t="n">
        <x:v>0</x:v>
      </x:c>
      <x:c r="Y130" s="16" t="n">
        <x:v>0</x:v>
      </x:c>
      <x:c r="Z130" s="16" t="n">
        <x:v>0</x:v>
      </x:c>
      <x:c r="AA130" s="16" t="n">
        <x:v>3</x:v>
      </x:c>
      <x:c r="AB130" s="16" t="n">
        <x:v>11</x:v>
      </x:c>
      <x:c r="AC130" s="16" t="n">
        <x:v>0</x:v>
      </x:c>
      <x:c r="AD130" s="21" t="n">
        <x:f>IF(E130="",MEDIAN($E$2:$E$2237),E130)</x:f>
        <x:v>51371</x:v>
      </x:c>
      <x:c r="AE130" s="17" t="n">
        <x:f>2014-B130</x:f>
        <x:v>53</x:v>
      </x:c>
      <x:c r="AF130" s="17" t="n">
        <x:f>F130+G130</x:f>
        <x:v>1</x:v>
      </x:c>
      <x:c r="AG130" s="21" t="n">
        <x:f>SUM(J130:O130)</x:f>
        <x:v>404</x:v>
      </x:c>
      <x:c r="AH130" s="17" t="n">
        <x:f>SUM(Q130:S130)</x:f>
        <x:v>14</x:v>
      </x:c>
      <x:c r="AI130" s="17" t="n">
        <x:f>SUM(U130:Y130)</x:f>
        <x:v>0</x:v>
      </x:c>
      <x:c r="AJ130" s="17" t="str">
        <x:f>IF(AE130&lt;=34,"≤34",IF(AE130&lt;=44,"35–44",IF(AE130&lt;=54,"45–54",IF(AE130&lt;=64,"55–64","65+"))))</x:f>
        <x:v>45–54</x:v>
      </x:c>
      <x:c r="AK130" s="17" t="str">
        <x:f>IF(AG130&gt;=1000,"High Value",IF(AG130&gt;=300,"Mid Value","Low Value"))</x:f>
        <x:v>Mid Value</x:v>
      </x:c>
      <x:c r="AL130" s="17" t="str">
        <x:f>IF(AND(AI130&gt;=1,I130&lt;=50),"Priority 1",IF(AND(AG130&gt;=1000,I130&lt;=60),"Priority 2",IF(I130&lt;=30,"Priority 3","Nurture")))</x:f>
        <x:v>Priority 3</x:v>
      </x:c>
    </x:row>
    <x:row r="131">
      <x:c r="A131" s="16" t="n">
        <x:v>11051</x:v>
      </x:c>
      <x:c r="B131" s="16" t="n">
        <x:v>1956</x:v>
      </x:c>
      <x:c r="C131" s="16" t="str">
        <x:v>PhD</x:v>
      </x:c>
      <x:c r="D131" s="16" t="str">
        <x:v>Together</x:v>
      </x:c>
      <x:c r="E131" s="16" t="n">
        <x:v>77376</x:v>
      </x:c>
      <x:c r="F131" s="16" t="n">
        <x:v>1</x:v>
      </x:c>
      <x:c r="G131" s="16" t="n">
        <x:v>1</x:v>
      </x:c>
      <x:c r="H131" s="16" t="str">
        <x:v>10-05-2014</x:v>
      </x:c>
      <x:c r="I131" s="16" t="n">
        <x:v>72</x:v>
      </x:c>
      <x:c r="J131" s="16" t="n">
        <x:v>492</x:v>
      </x:c>
      <x:c r="K131" s="16" t="n">
        <x:v>19</x:v>
      </x:c>
      <x:c r="L131" s="16" t="n">
        <x:v>110</x:v>
      </x:c>
      <x:c r="M131" s="16" t="n">
        <x:v>16</x:v>
      </x:c>
      <x:c r="N131" s="16" t="n">
        <x:v>12</x:v>
      </x:c>
      <x:c r="O131" s="16" t="n">
        <x:v>12</x:v>
      </x:c>
      <x:c r="P131" s="16" t="n">
        <x:v>4</x:v>
      </x:c>
      <x:c r="Q131" s="16" t="n">
        <x:v>6</x:v>
      </x:c>
      <x:c r="R131" s="16" t="n">
        <x:v>3</x:v>
      </x:c>
      <x:c r="S131" s="16" t="n">
        <x:v>10</x:v>
      </x:c>
      <x:c r="T131" s="16" t="n">
        <x:v>4</x:v>
      </x:c>
      <x:c r="U131" s="16" t="n">
        <x:v>0</x:v>
      </x:c>
      <x:c r="V131" s="16" t="n">
        <x:v>0</x:v>
      </x:c>
      <x:c r="W131" s="16" t="n">
        <x:v>0</x:v>
      </x:c>
      <x:c r="X131" s="16" t="n">
        <x:v>0</x:v>
      </x:c>
      <x:c r="Y131" s="16" t="n">
        <x:v>0</x:v>
      </x:c>
      <x:c r="Z131" s="16" t="n">
        <x:v>0</x:v>
      </x:c>
      <x:c r="AA131" s="16" t="n">
        <x:v>3</x:v>
      </x:c>
      <x:c r="AB131" s="16" t="n">
        <x:v>11</x:v>
      </x:c>
      <x:c r="AC131" s="16" t="n">
        <x:v>0</x:v>
      </x:c>
      <x:c r="AD131" s="21" t="n">
        <x:f>IF(E131="",MEDIAN($E$2:$E$2237),E131)</x:f>
        <x:v>77376</x:v>
      </x:c>
      <x:c r="AE131" s="17" t="n">
        <x:f>2014-B131</x:f>
        <x:v>58</x:v>
      </x:c>
      <x:c r="AF131" s="17" t="n">
        <x:f>F131+G131</x:f>
        <x:v>2</x:v>
      </x:c>
      <x:c r="AG131" s="21" t="n">
        <x:f>SUM(J131:O131)</x:f>
        <x:v>661</x:v>
      </x:c>
      <x:c r="AH131" s="17" t="n">
        <x:f>SUM(Q131:S131)</x:f>
        <x:v>19</x:v>
      </x:c>
      <x:c r="AI131" s="17" t="n">
        <x:f>SUM(U131:Y131)</x:f>
        <x:v>0</x:v>
      </x:c>
      <x:c r="AJ131" s="17" t="str">
        <x:f>IF(AE131&lt;=34,"≤34",IF(AE131&lt;=44,"35–44",IF(AE131&lt;=54,"45–54",IF(AE131&lt;=64,"55–64","65+"))))</x:f>
        <x:v>55–64</x:v>
      </x:c>
      <x:c r="AK131" s="17" t="str">
        <x:f>IF(AG131&gt;=1000,"High Value",IF(AG131&gt;=300,"Mid Value","Low Value"))</x:f>
        <x:v>Mid Value</x:v>
      </x:c>
      <x:c r="AL131" s="17" t="str">
        <x:f>IF(AND(AI131&gt;=1,I131&lt;=50),"Priority 1",IF(AND(AG131&gt;=1000,I131&lt;=60),"Priority 2",IF(I131&lt;=30,"Priority 3","Nurture")))</x:f>
        <x:v>Nurture</x:v>
      </x:c>
    </x:row>
    <x:row r="132">
      <x:c r="A132" s="16" t="n">
        <x:v>8026</x:v>
      </x:c>
      <x:c r="B132" s="16" t="n">
        <x:v>1952</x:v>
      </x:c>
      <x:c r="C132" s="16" t="str">
        <x:v>Graduation</x:v>
      </x:c>
      <x:c r="D132" s="16" t="str">
        <x:v>Married</x:v>
      </x:c>
      <x:c r="E132" s="16" t="n">
        <x:v>62998</x:v>
      </x:c>
      <x:c r="F132" s="16" t="n">
        <x:v>0</x:v>
      </x:c>
      <x:c r="G132" s="16" t="n">
        <x:v>1</x:v>
      </x:c>
      <x:c r="H132" s="16" t="str">
        <x:v>30-09-2013</x:v>
      </x:c>
      <x:c r="I132" s="16" t="n">
        <x:v>10</x:v>
      </x:c>
      <x:c r="J132" s="16" t="n">
        <x:v>120</x:v>
      </x:c>
      <x:c r="K132" s="16" t="n">
        <x:v>58</x:v>
      </x:c>
      <x:c r="L132" s="16" t="n">
        <x:v>73</x:v>
      </x:c>
      <x:c r="M132" s="16" t="n">
        <x:v>65</x:v>
      </x:c>
      <x:c r="N132" s="16" t="n">
        <x:v>89</x:v>
      </x:c>
      <x:c r="O132" s="16" t="n">
        <x:v>58</x:v>
      </x:c>
      <x:c r="P132" s="16" t="n">
        <x:v>5</x:v>
      </x:c>
      <x:c r="Q132" s="16" t="n">
        <x:v>5</x:v>
      </x:c>
      <x:c r="R132" s="16" t="n">
        <x:v>4</x:v>
      </x:c>
      <x:c r="S132" s="16" t="n">
        <x:v>5</x:v>
      </x:c>
      <x:c r="T132" s="16" t="n">
        <x:v>5</x:v>
      </x:c>
      <x:c r="U132" s="16" t="n">
        <x:v>0</x:v>
      </x:c>
      <x:c r="V132" s="16" t="n">
        <x:v>0</x:v>
      </x:c>
      <x:c r="W132" s="16" t="n">
        <x:v>0</x:v>
      </x:c>
      <x:c r="X132" s="16" t="n">
        <x:v>0</x:v>
      </x:c>
      <x:c r="Y132" s="16" t="n">
        <x:v>0</x:v>
      </x:c>
      <x:c r="Z132" s="16" t="n">
        <x:v>0</x:v>
      </x:c>
      <x:c r="AA132" s="16" t="n">
        <x:v>3</x:v>
      </x:c>
      <x:c r="AB132" s="16" t="n">
        <x:v>11</x:v>
      </x:c>
      <x:c r="AC132" s="16" t="n">
        <x:v>0</x:v>
      </x:c>
      <x:c r="AD132" s="21" t="n">
        <x:f>IF(E132="",MEDIAN($E$2:$E$2237),E132)</x:f>
        <x:v>62998</x:v>
      </x:c>
      <x:c r="AE132" s="17" t="n">
        <x:f>2014-B132</x:f>
        <x:v>62</x:v>
      </x:c>
      <x:c r="AF132" s="17" t="n">
        <x:f>F132+G132</x:f>
        <x:v>1</x:v>
      </x:c>
      <x:c r="AG132" s="21" t="n">
        <x:f>SUM(J132:O132)</x:f>
        <x:v>463</x:v>
      </x:c>
      <x:c r="AH132" s="17" t="n">
        <x:f>SUM(Q132:S132)</x:f>
        <x:v>14</x:v>
      </x:c>
      <x:c r="AI132" s="17" t="n">
        <x:f>SUM(U132:Y132)</x:f>
        <x:v>0</x:v>
      </x:c>
      <x:c r="AJ132" s="17" t="str">
        <x:f>IF(AE132&lt;=34,"≤34",IF(AE132&lt;=44,"35–44",IF(AE132&lt;=54,"45–54",IF(AE132&lt;=64,"55–64","65+"))))</x:f>
        <x:v>55–64</x:v>
      </x:c>
      <x:c r="AK132" s="17" t="str">
        <x:f>IF(AG132&gt;=1000,"High Value",IF(AG132&gt;=300,"Mid Value","Low Value"))</x:f>
        <x:v>Mid Value</x:v>
      </x:c>
      <x:c r="AL132" s="17" t="str">
        <x:f>IF(AND(AI132&gt;=1,I132&lt;=50),"Priority 1",IF(AND(AG132&gt;=1000,I132&lt;=60),"Priority 2",IF(I132&lt;=30,"Priority 3","Nurture")))</x:f>
        <x:v>Priority 3</x:v>
      </x:c>
    </x:row>
    <x:row r="133">
      <x:c r="A133" s="16" t="n">
        <x:v>433</x:v>
      </x:c>
      <x:c r="B133" s="16" t="n">
        <x:v>1958</x:v>
      </x:c>
      <x:c r="C133" s="16" t="str">
        <x:v>Master</x:v>
      </x:c>
      <x:c r="D133" s="16" t="str">
        <x:v>Alone</x:v>
      </x:c>
      <x:c r="E133" s="16" t="n">
        <x:v>61331</x:v>
      </x:c>
      <x:c r="F133" s="16" t="n">
        <x:v>1</x:v>
      </x:c>
      <x:c r="G133" s="16" t="n">
        <x:v>1</x:v>
      </x:c>
      <x:c r="H133" s="16" t="str">
        <x:v>10-03-2013</x:v>
      </x:c>
      <x:c r="I133" s="16" t="n">
        <x:v>42</x:v>
      </x:c>
      <x:c r="J133" s="16" t="n">
        <x:v>534</x:v>
      </x:c>
      <x:c r="K133" s="16" t="n">
        <x:v>5</x:v>
      </x:c>
      <x:c r="L133" s="16" t="n">
        <x:v>47</x:v>
      </x:c>
      <x:c r="M133" s="16" t="n">
        <x:v>0</x:v>
      </x:c>
      <x:c r="N133" s="16" t="n">
        <x:v>5</x:v>
      </x:c>
      <x:c r="O133" s="16" t="n">
        <x:v>41</x:v>
      </x:c>
      <x:c r="P133" s="16" t="n">
        <x:v>5</x:v>
      </x:c>
      <x:c r="Q133" s="16" t="n">
        <x:v>11</x:v>
      </x:c>
      <x:c r="R133" s="16" t="n">
        <x:v>1</x:v>
      </x:c>
      <x:c r="S133" s="16" t="n">
        <x:v>6</x:v>
      </x:c>
      <x:c r="T133" s="16" t="n">
        <x:v>8</x:v>
      </x:c>
      <x:c r="U133" s="16" t="n">
        <x:v>0</x:v>
      </x:c>
      <x:c r="V133" s="16" t="n">
        <x:v>0</x:v>
      </x:c>
      <x:c r="W133" s="16" t="n">
        <x:v>0</x:v>
      </x:c>
      <x:c r="X133" s="16" t="n">
        <x:v>0</x:v>
      </x:c>
      <x:c r="Y133" s="16" t="n">
        <x:v>0</x:v>
      </x:c>
      <x:c r="Z133" s="16" t="n">
        <x:v>0</x:v>
      </x:c>
      <x:c r="AA133" s="16" t="n">
        <x:v>3</x:v>
      </x:c>
      <x:c r="AB133" s="16" t="n">
        <x:v>11</x:v>
      </x:c>
      <x:c r="AC133" s="16" t="n">
        <x:v>0</x:v>
      </x:c>
      <x:c r="AD133" s="21" t="n">
        <x:f>IF(E133="",MEDIAN($E$2:$E$2237),E133)</x:f>
        <x:v>61331</x:v>
      </x:c>
      <x:c r="AE133" s="17" t="n">
        <x:f>2014-B133</x:f>
        <x:v>56</x:v>
      </x:c>
      <x:c r="AF133" s="17" t="n">
        <x:f>F133+G133</x:f>
        <x:v>2</x:v>
      </x:c>
      <x:c r="AG133" s="21" t="n">
        <x:f>SUM(J133:O133)</x:f>
        <x:v>632</x:v>
      </x:c>
      <x:c r="AH133" s="17" t="n">
        <x:f>SUM(Q133:S133)</x:f>
        <x:v>18</x:v>
      </x:c>
      <x:c r="AI133" s="17" t="n">
        <x:f>SUM(U133:Y133)</x:f>
        <x:v>0</x:v>
      </x:c>
      <x:c r="AJ133" s="17" t="str">
        <x:f>IF(AE133&lt;=34,"≤34",IF(AE133&lt;=44,"35–44",IF(AE133&lt;=54,"45–54",IF(AE133&lt;=64,"55–64","65+"))))</x:f>
        <x:v>55–64</x:v>
      </x:c>
      <x:c r="AK133" s="17" t="str">
        <x:f>IF(AG133&gt;=1000,"High Value",IF(AG133&gt;=300,"Mid Value","Low Value"))</x:f>
        <x:v>Mid Value</x:v>
      </x:c>
      <x:c r="AL133" s="17" t="str">
        <x:f>IF(AND(AI133&gt;=1,I133&lt;=50),"Priority 1",IF(AND(AG133&gt;=1000,I133&lt;=60),"Priority 2",IF(I133&lt;=30,"Priority 3","Nurture")))</x:f>
        <x:v>Nurture</x:v>
      </x:c>
    </x:row>
    <x:row r="134">
      <x:c r="A134" s="16" t="n">
        <x:v>9597</x:v>
      </x:c>
      <x:c r="B134" s="16" t="n">
        <x:v>1969</x:v>
      </x:c>
      <x:c r="C134" s="16" t="str">
        <x:v>Graduation</x:v>
      </x:c>
      <x:c r="D134" s="16" t="str">
        <x:v>Married</x:v>
      </x:c>
      <x:c r="E134" s="16" t="n">
        <x:v>73448</x:v>
      </x:c>
      <x:c r="F134" s="16" t="n">
        <x:v>0</x:v>
      </x:c>
      <x:c r="G134" s="16" t="n">
        <x:v>0</x:v>
      </x:c>
      <x:c r="H134" s="16" t="str">
        <x:v>10-02-2014</x:v>
      </x:c>
      <x:c r="I134" s="16" t="n">
        <x:v>10</x:v>
      </x:c>
      <x:c r="J134" s="16" t="n">
        <x:v>236</x:v>
      </x:c>
      <x:c r="K134" s="16" t="n">
        <x:v>106</x:v>
      </x:c>
      <x:c r="L134" s="16" t="n">
        <x:v>189</x:v>
      </x:c>
      <x:c r="M134" s="16" t="n">
        <x:v>23</x:v>
      </x:c>
      <x:c r="N134" s="16" t="n">
        <x:v>41</x:v>
      </x:c>
      <x:c r="O134" s="16" t="n">
        <x:v>130</x:v>
      </x:c>
      <x:c r="P134" s="16" t="n">
        <x:v>1</x:v>
      </x:c>
      <x:c r="Q134" s="16" t="n">
        <x:v>7</x:v>
      </x:c>
      <x:c r="R134" s="16" t="n">
        <x:v>2</x:v>
      </x:c>
      <x:c r="S134" s="16" t="n">
        <x:v>9</x:v>
      </x:c>
      <x:c r="T134" s="16" t="n">
        <x:v>4</x:v>
      </x:c>
      <x:c r="U134" s="16" t="n">
        <x:v>0</x:v>
      </x:c>
      <x:c r="V134" s="16" t="n">
        <x:v>0</x:v>
      </x:c>
      <x:c r="W134" s="16" t="n">
        <x:v>0</x:v>
      </x:c>
      <x:c r="X134" s="16" t="n">
        <x:v>0</x:v>
      </x:c>
      <x:c r="Y134" s="16" t="n">
        <x:v>0</x:v>
      </x:c>
      <x:c r="Z134" s="16" t="n">
        <x:v>0</x:v>
      </x:c>
      <x:c r="AA134" s="16" t="n">
        <x:v>3</x:v>
      </x:c>
      <x:c r="AB134" s="16" t="n">
        <x:v>11</x:v>
      </x:c>
      <x:c r="AC134" s="16" t="n">
        <x:v>0</x:v>
      </x:c>
      <x:c r="AD134" s="21" t="n">
        <x:f>IF(E134="",MEDIAN($E$2:$E$2237),E134)</x:f>
        <x:v>73448</x:v>
      </x:c>
      <x:c r="AE134" s="17" t="n">
        <x:f>2014-B134</x:f>
        <x:v>45</x:v>
      </x:c>
      <x:c r="AF134" s="17" t="n">
        <x:f>F134+G134</x:f>
        <x:v>0</x:v>
      </x:c>
      <x:c r="AG134" s="21" t="n">
        <x:f>SUM(J134:O134)</x:f>
        <x:v>725</x:v>
      </x:c>
      <x:c r="AH134" s="17" t="n">
        <x:f>SUM(Q134:S134)</x:f>
        <x:v>18</x:v>
      </x:c>
      <x:c r="AI134" s="17" t="n">
        <x:f>SUM(U134:Y134)</x:f>
        <x:v>0</x:v>
      </x:c>
      <x:c r="AJ134" s="17" t="str">
        <x:f>IF(AE134&lt;=34,"≤34",IF(AE134&lt;=44,"35–44",IF(AE134&lt;=54,"45–54",IF(AE134&lt;=64,"55–64","65+"))))</x:f>
        <x:v>45–54</x:v>
      </x:c>
      <x:c r="AK134" s="17" t="str">
        <x:f>IF(AG134&gt;=1000,"High Value",IF(AG134&gt;=300,"Mid Value","Low Value"))</x:f>
        <x:v>Mid Value</x:v>
      </x:c>
      <x:c r="AL134" s="17" t="str">
        <x:f>IF(AND(AI134&gt;=1,I134&lt;=50),"Priority 1",IF(AND(AG134&gt;=1000,I134&lt;=60),"Priority 2",IF(I134&lt;=30,"Priority 3","Nurture")))</x:f>
        <x:v>Priority 3</x:v>
      </x:c>
    </x:row>
    <x:row r="135">
      <x:c r="A135" s="16" t="n">
        <x:v>1295</x:v>
      </x:c>
      <x:c r="B135" s="16" t="n">
        <x:v>1963</x:v>
      </x:c>
      <x:c r="C135" s="16" t="str">
        <x:v>Graduation</x:v>
      </x:c>
      <x:c r="D135" s="16" t="str">
        <x:v>Married</x:v>
      </x:c>
      <x:c r="E135" s="16"/>
      <x:c r="F135" s="16" t="n">
        <x:v>0</x:v>
      </x:c>
      <x:c r="G135" s="16" t="n">
        <x:v>1</x:v>
      </x:c>
      <x:c r="H135" s="16" t="str">
        <x:v>11-08-2013</x:v>
      </x:c>
      <x:c r="I135" s="16" t="n">
        <x:v>96</x:v>
      </x:c>
      <x:c r="J135" s="16" t="n">
        <x:v>231</x:v>
      </x:c>
      <x:c r="K135" s="16" t="n">
        <x:v>65</x:v>
      </x:c>
      <x:c r="L135" s="16" t="n">
        <x:v>196</x:v>
      </x:c>
      <x:c r="M135" s="16" t="n">
        <x:v>38</x:v>
      </x:c>
      <x:c r="N135" s="16" t="n">
        <x:v>71</x:v>
      </x:c>
      <x:c r="O135" s="16" t="n">
        <x:v>124</x:v>
      </x:c>
      <x:c r="P135" s="16" t="n">
        <x:v>1</x:v>
      </x:c>
      <x:c r="Q135" s="16" t="n">
        <x:v>6</x:v>
      </x:c>
      <x:c r="R135" s="16" t="n">
        <x:v>5</x:v>
      </x:c>
      <x:c r="S135" s="16" t="n">
        <x:v>7</x:v>
      </x:c>
      <x:c r="T135" s="16" t="n">
        <x:v>4</x:v>
      </x:c>
      <x:c r="U135" s="16" t="n">
        <x:v>0</x:v>
      </x:c>
      <x:c r="V135" s="16" t="n">
        <x:v>0</x:v>
      </x:c>
      <x:c r="W135" s="16" t="n">
        <x:v>0</x:v>
      </x:c>
      <x:c r="X135" s="16" t="n">
        <x:v>0</x:v>
      </x:c>
      <x:c r="Y135" s="16" t="n">
        <x:v>0</x:v>
      </x:c>
      <x:c r="Z135" s="16" t="n">
        <x:v>0</x:v>
      </x:c>
      <x:c r="AA135" s="16" t="n">
        <x:v>3</x:v>
      </x:c>
      <x:c r="AB135" s="16" t="n">
        <x:v>11</x:v>
      </x:c>
      <x:c r="AC135" s="16" t="n">
        <x:v>0</x:v>
      </x:c>
      <x:c r="AD135" s="21" t="n">
        <x:f>IF(E135="",MEDIAN($E$2:$E$2237),E135)</x:f>
        <x:v>51371</x:v>
      </x:c>
      <x:c r="AE135" s="17" t="n">
        <x:f>2014-B135</x:f>
        <x:v>51</x:v>
      </x:c>
      <x:c r="AF135" s="17" t="n">
        <x:f>F135+G135</x:f>
        <x:v>1</x:v>
      </x:c>
      <x:c r="AG135" s="21" t="n">
        <x:f>SUM(J135:O135)</x:f>
        <x:v>725</x:v>
      </x:c>
      <x:c r="AH135" s="17" t="n">
        <x:f>SUM(Q135:S135)</x:f>
        <x:v>18</x:v>
      </x:c>
      <x:c r="AI135" s="17" t="n">
        <x:f>SUM(U135:Y135)</x:f>
        <x:v>0</x:v>
      </x:c>
      <x:c r="AJ135" s="17" t="str">
        <x:f>IF(AE135&lt;=34,"≤34",IF(AE135&lt;=44,"35–44",IF(AE135&lt;=54,"45–54",IF(AE135&lt;=64,"55–64","65+"))))</x:f>
        <x:v>45–54</x:v>
      </x:c>
      <x:c r="AK135" s="17" t="str">
        <x:f>IF(AG135&gt;=1000,"High Value",IF(AG135&gt;=300,"Mid Value","Low Value"))</x:f>
        <x:v>Mid Value</x:v>
      </x:c>
      <x:c r="AL135" s="17" t="str">
        <x:f>IF(AND(AI135&gt;=1,I135&lt;=50),"Priority 1",IF(AND(AG135&gt;=1000,I135&lt;=60),"Priority 2",IF(I135&lt;=30,"Priority 3","Nurture")))</x:f>
        <x:v>Nurture</x:v>
      </x:c>
    </x:row>
    <x:row r="136">
      <x:c r="A136" s="16" t="n">
        <x:v>5290</x:v>
      </x:c>
      <x:c r="B136" s="16" t="n">
        <x:v>1964</x:v>
      </x:c>
      <x:c r="C136" s="16" t="str">
        <x:v>PhD</x:v>
      </x:c>
      <x:c r="D136" s="16" t="str">
        <x:v>Married</x:v>
      </x:c>
      <x:c r="E136" s="16" t="n">
        <x:v>41551</x:v>
      </x:c>
      <x:c r="F136" s="16" t="n">
        <x:v>1</x:v>
      </x:c>
      <x:c r="G136" s="16" t="n">
        <x:v>1</x:v>
      </x:c>
      <x:c r="H136" s="16" t="str">
        <x:v>14-08-2013</x:v>
      </x:c>
      <x:c r="I136" s="16" t="n">
        <x:v>51</x:v>
      </x:c>
      <x:c r="J136" s="16" t="n">
        <x:v>220</x:v>
      </x:c>
      <x:c r="K136" s="16" t="n">
        <x:v>0</x:v>
      </x:c>
      <x:c r="L136" s="16" t="n">
        <x:v>33</x:v>
      </x:c>
      <x:c r="M136" s="16" t="n">
        <x:v>3</x:v>
      </x:c>
      <x:c r="N136" s="16" t="n">
        <x:v>0</x:v>
      </x:c>
      <x:c r="O136" s="16" t="n">
        <x:v>23</x:v>
      </x:c>
      <x:c r="P136" s="16" t="n">
        <x:v>5</x:v>
      </x:c>
      <x:c r="Q136" s="16" t="n">
        <x:v>5</x:v>
      </x:c>
      <x:c r="R136" s="16" t="n">
        <x:v>1</x:v>
      </x:c>
      <x:c r="S136" s="16" t="n">
        <x:v>5</x:v>
      </x:c>
      <x:c r="T136" s="16" t="n">
        <x:v>8</x:v>
      </x:c>
      <x:c r="U136" s="16" t="n">
        <x:v>0</x:v>
      </x:c>
      <x:c r="V136" s="16" t="n">
        <x:v>0</x:v>
      </x:c>
      <x:c r="W136" s="16" t="n">
        <x:v>0</x:v>
      </x:c>
      <x:c r="X136" s="16" t="n">
        <x:v>0</x:v>
      </x:c>
      <x:c r="Y136" s="16" t="n">
        <x:v>0</x:v>
      </x:c>
      <x:c r="Z136" s="16" t="n">
        <x:v>0</x:v>
      </x:c>
      <x:c r="AA136" s="16" t="n">
        <x:v>3</x:v>
      </x:c>
      <x:c r="AB136" s="16" t="n">
        <x:v>11</x:v>
      </x:c>
      <x:c r="AC136" s="16" t="n">
        <x:v>0</x:v>
      </x:c>
      <x:c r="AD136" s="21" t="n">
        <x:f>IF(E136="",MEDIAN($E$2:$E$2237),E136)</x:f>
        <x:v>41551</x:v>
      </x:c>
      <x:c r="AE136" s="17" t="n">
        <x:f>2014-B136</x:f>
        <x:v>50</x:v>
      </x:c>
      <x:c r="AF136" s="17" t="n">
        <x:f>F136+G136</x:f>
        <x:v>2</x:v>
      </x:c>
      <x:c r="AG136" s="21" t="n">
        <x:f>SUM(J136:O136)</x:f>
        <x:v>279</x:v>
      </x:c>
      <x:c r="AH136" s="17" t="n">
        <x:f>SUM(Q136:S136)</x:f>
        <x:v>11</x:v>
      </x:c>
      <x:c r="AI136" s="17" t="n">
        <x:f>SUM(U136:Y136)</x:f>
        <x:v>0</x:v>
      </x:c>
      <x:c r="AJ136" s="17" t="str">
        <x:f>IF(AE136&lt;=34,"≤34",IF(AE136&lt;=44,"35–44",IF(AE136&lt;=54,"45–54",IF(AE136&lt;=64,"55–64","65+"))))</x:f>
        <x:v>45–54</x:v>
      </x:c>
      <x:c r="AK136" s="17" t="str">
        <x:f>IF(AG136&gt;=1000,"High Value",IF(AG136&gt;=300,"Mid Value","Low Value"))</x:f>
        <x:v>Low Value</x:v>
      </x:c>
      <x:c r="AL136" s="17" t="str">
        <x:f>IF(AND(AI136&gt;=1,I136&lt;=50),"Priority 1",IF(AND(AG136&gt;=1000,I136&lt;=60),"Priority 2",IF(I136&lt;=30,"Priority 3","Nurture")))</x:f>
        <x:v>Nurture</x:v>
      </x:c>
    </x:row>
    <x:row r="137">
      <x:c r="A137" s="16" t="n">
        <x:v>1685</x:v>
      </x:c>
      <x:c r="B137" s="16" t="n">
        <x:v>1967</x:v>
      </x:c>
      <x:c r="C137" s="16" t="str">
        <x:v>PhD</x:v>
      </x:c>
      <x:c r="D137" s="16" t="str">
        <x:v>Together</x:v>
      </x:c>
      <x:c r="E137" s="16" t="n">
        <x:v>62981</x:v>
      </x:c>
      <x:c r="F137" s="16" t="n">
        <x:v>0</x:v>
      </x:c>
      <x:c r="G137" s="16" t="n">
        <x:v>0</x:v>
      </x:c>
      <x:c r="H137" s="16" t="str">
        <x:v>17-03-2013</x:v>
      </x:c>
      <x:c r="I137" s="16" t="n">
        <x:v>21</x:v>
      </x:c>
      <x:c r="J137" s="16" t="n">
        <x:v>796</x:v>
      </x:c>
      <x:c r="K137" s="16" t="n">
        <x:v>14</x:v>
      </x:c>
      <x:c r="L137" s="16" t="n">
        <x:v>590</x:v>
      </x:c>
      <x:c r="M137" s="16" t="n">
        <x:v>38</x:v>
      </x:c>
      <x:c r="N137" s="16" t="n">
        <x:v>44</x:v>
      </x:c>
      <x:c r="O137" s="16" t="n">
        <x:v>0</x:v>
      </x:c>
      <x:c r="P137" s="16" t="n">
        <x:v>1</x:v>
      </x:c>
      <x:c r="Q137" s="16" t="n">
        <x:v>4</x:v>
      </x:c>
      <x:c r="R137" s="16" t="n">
        <x:v>5</x:v>
      </x:c>
      <x:c r="S137" s="16" t="n">
        <x:v>13</x:v>
      </x:c>
      <x:c r="T137" s="16" t="n">
        <x:v>3</x:v>
      </x:c>
      <x:c r="U137" s="16" t="n">
        <x:v>0</x:v>
      </x:c>
      <x:c r="V137" s="16" t="n">
        <x:v>1</x:v>
      </x:c>
      <x:c r="W137" s="16" t="n">
        <x:v>0</x:v>
      </x:c>
      <x:c r="X137" s="16" t="n">
        <x:v>0</x:v>
      </x:c>
      <x:c r="Y137" s="16" t="n">
        <x:v>0</x:v>
      </x:c>
      <x:c r="Z137" s="16" t="n">
        <x:v>0</x:v>
      </x:c>
      <x:c r="AA137" s="16" t="n">
        <x:v>3</x:v>
      </x:c>
      <x:c r="AB137" s="16" t="n">
        <x:v>11</x:v>
      </x:c>
      <x:c r="AC137" s="16" t="n">
        <x:v>0</x:v>
      </x:c>
      <x:c r="AD137" s="21" t="n">
        <x:f>IF(E137="",MEDIAN($E$2:$E$2237),E137)</x:f>
        <x:v>62981</x:v>
      </x:c>
      <x:c r="AE137" s="17" t="n">
        <x:f>2014-B137</x:f>
        <x:v>47</x:v>
      </x:c>
      <x:c r="AF137" s="17" t="n">
        <x:f>F137+G137</x:f>
        <x:v>0</x:v>
      </x:c>
      <x:c r="AG137" s="21" t="n">
        <x:f>SUM(J137:O137)</x:f>
        <x:v>1482</x:v>
      </x:c>
      <x:c r="AH137" s="17" t="n">
        <x:f>SUM(Q137:S137)</x:f>
        <x:v>22</x:v>
      </x:c>
      <x:c r="AI137" s="17" t="n">
        <x:f>SUM(U137:Y137)</x:f>
        <x:v>1</x:v>
      </x:c>
      <x:c r="AJ137" s="17" t="str">
        <x:f>IF(AE137&lt;=34,"≤34",IF(AE137&lt;=44,"35–44",IF(AE137&lt;=54,"45–54",IF(AE137&lt;=64,"55–64","65+"))))</x:f>
        <x:v>45–54</x:v>
      </x:c>
      <x:c r="AK137" s="17" t="str">
        <x:f>IF(AG137&gt;=1000,"High Value",IF(AG137&gt;=300,"Mid Value","Low Value"))</x:f>
        <x:v>High Value</x:v>
      </x:c>
      <x:c r="AL137" s="17" t="str">
        <x:f>IF(AND(AI137&gt;=1,I137&lt;=50),"Priority 1",IF(AND(AG137&gt;=1000,I137&lt;=60),"Priority 2",IF(I137&lt;=30,"Priority 3","Nurture")))</x:f>
        <x:v>Priority 1</x:v>
      </x:c>
    </x:row>
    <x:row r="138">
      <x:c r="A138" s="16" t="n">
        <x:v>5342</x:v>
      </x:c>
      <x:c r="B138" s="16" t="n">
        <x:v>1976</x:v>
      </x:c>
      <x:c r="C138" s="16" t="str">
        <x:v>Basic</x:v>
      </x:c>
      <x:c r="D138" s="16" t="str">
        <x:v>Divorced</x:v>
      </x:c>
      <x:c r="E138" s="16" t="n">
        <x:v>9548</x:v>
      </x:c>
      <x:c r="F138" s="16" t="n">
        <x:v>1</x:v>
      </x:c>
      <x:c r="G138" s="16" t="n">
        <x:v>0</x:v>
      </x:c>
      <x:c r="H138" s="16" t="str">
        <x:v>08-08-2012</x:v>
      </x:c>
      <x:c r="I138" s="16" t="n">
        <x:v>31</x:v>
      </x:c>
      <x:c r="J138" s="16" t="n">
        <x:v>0</x:v>
      </x:c>
      <x:c r="K138" s="16" t="n">
        <x:v>1</x:v>
      </x:c>
      <x:c r="L138" s="16" t="n">
        <x:v>3</x:v>
      </x:c>
      <x:c r="M138" s="16" t="n">
        <x:v>10</x:v>
      </x:c>
      <x:c r="N138" s="16" t="n">
        <x:v>6</x:v>
      </x:c>
      <x:c r="O138" s="16" t="n">
        <x:v>9</x:v>
      </x:c>
      <x:c r="P138" s="16" t="n">
        <x:v>2</x:v>
      </x:c>
      <x:c r="Q138" s="16" t="n">
        <x:v>1</x:v>
      </x:c>
      <x:c r="R138" s="16" t="n">
        <x:v>0</x:v>
      </x:c>
      <x:c r="S138" s="16" t="n">
        <x:v>3</x:v>
      </x:c>
      <x:c r="T138" s="16" t="n">
        <x:v>8</x:v>
      </x:c>
      <x:c r="U138" s="16" t="n">
        <x:v>0</x:v>
      </x:c>
      <x:c r="V138" s="16" t="n">
        <x:v>0</x:v>
      </x:c>
      <x:c r="W138" s="16" t="n">
        <x:v>0</x:v>
      </x:c>
      <x:c r="X138" s="16" t="n">
        <x:v>0</x:v>
      </x:c>
      <x:c r="Y138" s="16" t="n">
        <x:v>0</x:v>
      </x:c>
      <x:c r="Z138" s="16" t="n">
        <x:v>0</x:v>
      </x:c>
      <x:c r="AA138" s="16" t="n">
        <x:v>3</x:v>
      </x:c>
      <x:c r="AB138" s="16" t="n">
        <x:v>11</x:v>
      </x:c>
      <x:c r="AC138" s="16" t="n">
        <x:v>0</x:v>
      </x:c>
      <x:c r="AD138" s="21" t="n">
        <x:f>IF(E138="",MEDIAN($E$2:$E$2237),E138)</x:f>
        <x:v>9548</x:v>
      </x:c>
      <x:c r="AE138" s="17" t="n">
        <x:f>2014-B138</x:f>
        <x:v>38</x:v>
      </x:c>
      <x:c r="AF138" s="17" t="n">
        <x:f>F138+G138</x:f>
        <x:v>1</x:v>
      </x:c>
      <x:c r="AG138" s="21" t="n">
        <x:f>SUM(J138:O138)</x:f>
        <x:v>29</x:v>
      </x:c>
      <x:c r="AH138" s="17" t="n">
        <x:f>SUM(Q138:S138)</x:f>
        <x:v>4</x:v>
      </x:c>
      <x:c r="AI138" s="17" t="n">
        <x:f>SUM(U138:Y138)</x:f>
        <x:v>0</x:v>
      </x:c>
      <x:c r="AJ138" s="17" t="str">
        <x:f>IF(AE138&lt;=34,"≤34",IF(AE138&lt;=44,"35–44",IF(AE138&lt;=54,"45–54",IF(AE138&lt;=64,"55–64","65+"))))</x:f>
        <x:v>35–44</x:v>
      </x:c>
      <x:c r="AK138" s="17" t="str">
        <x:f>IF(AG138&gt;=1000,"High Value",IF(AG138&gt;=300,"Mid Value","Low Value"))</x:f>
        <x:v>Low Value</x:v>
      </x:c>
      <x:c r="AL138" s="17" t="str">
        <x:f>IF(AND(AI138&gt;=1,I138&lt;=50),"Priority 1",IF(AND(AG138&gt;=1000,I138&lt;=60),"Priority 2",IF(I138&lt;=30,"Priority 3","Nurture")))</x:f>
        <x:v>Nurture</x:v>
      </x:c>
    </x:row>
    <x:row r="139">
      <x:c r="A139" s="16" t="n">
        <x:v>9579</x:v>
      </x:c>
      <x:c r="B139" s="16" t="n">
        <x:v>1959</x:v>
      </x:c>
      <x:c r="C139" s="16" t="str">
        <x:v>PhD</x:v>
      </x:c>
      <x:c r="D139" s="16" t="str">
        <x:v>Married</x:v>
      </x:c>
      <x:c r="E139" s="16" t="n">
        <x:v>33762</x:v>
      </x:c>
      <x:c r="F139" s="16" t="n">
        <x:v>2</x:v>
      </x:c>
      <x:c r="G139" s="16" t="n">
        <x:v>1</x:v>
      </x:c>
      <x:c r="H139" s="16" t="str">
        <x:v>07-07-2013</x:v>
      </x:c>
      <x:c r="I139" s="16" t="n">
        <x:v>61</x:v>
      </x:c>
      <x:c r="J139" s="16" t="n">
        <x:v>53</x:v>
      </x:c>
      <x:c r="K139" s="16" t="n">
        <x:v>1</x:v>
      </x:c>
      <x:c r="L139" s="16" t="n">
        <x:v>34</x:v>
      </x:c>
      <x:c r="M139" s="16" t="n">
        <x:v>2</x:v>
      </x:c>
      <x:c r="N139" s="16" t="n">
        <x:v>0</x:v>
      </x:c>
      <x:c r="O139" s="16" t="n">
        <x:v>16</x:v>
      </x:c>
      <x:c r="P139" s="16" t="n">
        <x:v>3</x:v>
      </x:c>
      <x:c r="Q139" s="16" t="n">
        <x:v>2</x:v>
      </x:c>
      <x:c r="R139" s="16" t="n">
        <x:v>2</x:v>
      </x:c>
      <x:c r="S139" s="16" t="n">
        <x:v>2</x:v>
      </x:c>
      <x:c r="T139" s="16" t="n">
        <x:v>8</x:v>
      </x:c>
      <x:c r="U139" s="16" t="n">
        <x:v>0</x:v>
      </x:c>
      <x:c r="V139" s="16" t="n">
        <x:v>0</x:v>
      </x:c>
      <x:c r="W139" s="16" t="n">
        <x:v>0</x:v>
      </x:c>
      <x:c r="X139" s="16" t="n">
        <x:v>0</x:v>
      </x:c>
      <x:c r="Y139" s="16" t="n">
        <x:v>0</x:v>
      </x:c>
      <x:c r="Z139" s="16" t="n">
        <x:v>0</x:v>
      </x:c>
      <x:c r="AA139" s="16" t="n">
        <x:v>3</x:v>
      </x:c>
      <x:c r="AB139" s="16" t="n">
        <x:v>11</x:v>
      </x:c>
      <x:c r="AC139" s="16" t="n">
        <x:v>0</x:v>
      </x:c>
      <x:c r="AD139" s="21" t="n">
        <x:f>IF(E139="",MEDIAN($E$2:$E$2237),E139)</x:f>
        <x:v>33762</x:v>
      </x:c>
      <x:c r="AE139" s="17" t="n">
        <x:f>2014-B139</x:f>
        <x:v>55</x:v>
      </x:c>
      <x:c r="AF139" s="17" t="n">
        <x:f>F139+G139</x:f>
        <x:v>3</x:v>
      </x:c>
      <x:c r="AG139" s="21" t="n">
        <x:f>SUM(J139:O139)</x:f>
        <x:v>106</x:v>
      </x:c>
      <x:c r="AH139" s="17" t="n">
        <x:f>SUM(Q139:S139)</x:f>
        <x:v>6</x:v>
      </x:c>
      <x:c r="AI139" s="17" t="n">
        <x:f>SUM(U139:Y139)</x:f>
        <x:v>0</x:v>
      </x:c>
      <x:c r="AJ139" s="17" t="str">
        <x:f>IF(AE139&lt;=34,"≤34",IF(AE139&lt;=44,"35–44",IF(AE139&lt;=54,"45–54",IF(AE139&lt;=64,"55–64","65+"))))</x:f>
        <x:v>55–64</x:v>
      </x:c>
      <x:c r="AK139" s="17" t="str">
        <x:f>IF(AG139&gt;=1000,"High Value",IF(AG139&gt;=300,"Mid Value","Low Value"))</x:f>
        <x:v>Low Value</x:v>
      </x:c>
      <x:c r="AL139" s="17" t="str">
        <x:f>IF(AND(AI139&gt;=1,I139&lt;=50),"Priority 1",IF(AND(AG139&gt;=1000,I139&lt;=60),"Priority 2",IF(I139&lt;=30,"Priority 3","Nurture")))</x:f>
        <x:v>Nurture</x:v>
      </x:c>
    </x:row>
    <x:row r="140">
      <x:c r="A140" s="16" t="n">
        <x:v>7660</x:v>
      </x:c>
      <x:c r="B140" s="16" t="n">
        <x:v>1973</x:v>
      </x:c>
      <x:c r="C140" s="16" t="str">
        <x:v>PhD</x:v>
      </x:c>
      <x:c r="D140" s="16" t="str">
        <x:v>Alone</x:v>
      </x:c>
      <x:c r="E140" s="16" t="n">
        <x:v>35860</x:v>
      </x:c>
      <x:c r="F140" s="16" t="n">
        <x:v>1</x:v>
      </x:c>
      <x:c r="G140" s="16" t="n">
        <x:v>1</x:v>
      </x:c>
      <x:c r="H140" s="16" t="str">
        <x:v>19-05-2014</x:v>
      </x:c>
      <x:c r="I140" s="16" t="n">
        <x:v>37</x:v>
      </x:c>
      <x:c r="J140" s="16" t="n">
        <x:v>15</x:v>
      </x:c>
      <x:c r="K140" s="16" t="n">
        <x:v>0</x:v>
      </x:c>
      <x:c r="L140" s="16" t="n">
        <x:v>8</x:v>
      </x:c>
      <x:c r="M140" s="16" t="n">
        <x:v>4</x:v>
      </x:c>
      <x:c r="N140" s="16" t="n">
        <x:v>2</x:v>
      </x:c>
      <x:c r="O140" s="16" t="n">
        <x:v>20</x:v>
      </x:c>
      <x:c r="P140" s="16" t="n">
        <x:v>2</x:v>
      </x:c>
      <x:c r="Q140" s="16" t="n">
        <x:v>1</x:v>
      </x:c>
      <x:c r="R140" s="16" t="n">
        <x:v>1</x:v>
      </x:c>
      <x:c r="S140" s="16" t="n">
        <x:v>2</x:v>
      </x:c>
      <x:c r="T140" s="16" t="n">
        <x:v>5</x:v>
      </x:c>
      <x:c r="U140" s="16" t="n">
        <x:v>1</x:v>
      </x:c>
      <x:c r="V140" s="16" t="n">
        <x:v>0</x:v>
      </x:c>
      <x:c r="W140" s="16" t="n">
        <x:v>0</x:v>
      </x:c>
      <x:c r="X140" s="16" t="n">
        <x:v>0</x:v>
      </x:c>
      <x:c r="Y140" s="16" t="n">
        <x:v>0</x:v>
      </x:c>
      <x:c r="Z140" s="16" t="n">
        <x:v>0</x:v>
      </x:c>
      <x:c r="AA140" s="16" t="n">
        <x:v>3</x:v>
      </x:c>
      <x:c r="AB140" s="16" t="n">
        <x:v>11</x:v>
      </x:c>
      <x:c r="AC140" s="16" t="n">
        <x:v>1</x:v>
      </x:c>
      <x:c r="AD140" s="21" t="n">
        <x:f>IF(E140="",MEDIAN($E$2:$E$2237),E140)</x:f>
        <x:v>35860</x:v>
      </x:c>
      <x:c r="AE140" s="17" t="n">
        <x:f>2014-B140</x:f>
        <x:v>41</x:v>
      </x:c>
      <x:c r="AF140" s="17" t="n">
        <x:f>F140+G140</x:f>
        <x:v>2</x:v>
      </x:c>
      <x:c r="AG140" s="21" t="n">
        <x:f>SUM(J140:O140)</x:f>
        <x:v>49</x:v>
      </x:c>
      <x:c r="AH140" s="17" t="n">
        <x:f>SUM(Q140:S140)</x:f>
        <x:v>4</x:v>
      </x:c>
      <x:c r="AI140" s="17" t="n">
        <x:f>SUM(U140:Y140)</x:f>
        <x:v>1</x:v>
      </x:c>
      <x:c r="AJ140" s="17" t="str">
        <x:f>IF(AE140&lt;=34,"≤34",IF(AE140&lt;=44,"35–44",IF(AE140&lt;=54,"45–54",IF(AE140&lt;=64,"55–64","65+"))))</x:f>
        <x:v>35–44</x:v>
      </x:c>
      <x:c r="AK140" s="17" t="str">
        <x:f>IF(AG140&gt;=1000,"High Value",IF(AG140&gt;=300,"Mid Value","Low Value"))</x:f>
        <x:v>Low Value</x:v>
      </x:c>
      <x:c r="AL140" s="17" t="str">
        <x:f>IF(AND(AI140&gt;=1,I140&lt;=50),"Priority 1",IF(AND(AG140&gt;=1000,I140&lt;=60),"Priority 2",IF(I140&lt;=30,"Priority 3","Nurture")))</x:f>
        <x:v>Priority 1</x:v>
      </x:c>
    </x:row>
    <x:row r="141">
      <x:c r="A141" s="16" t="n">
        <x:v>1461</x:v>
      </x:c>
      <x:c r="B141" s="16" t="n">
        <x:v>1965</x:v>
      </x:c>
      <x:c r="C141" s="16" t="str">
        <x:v>PhD</x:v>
      </x:c>
      <x:c r="D141" s="16" t="str">
        <x:v>Divorced</x:v>
      </x:c>
      <x:c r="E141" s="16" t="n">
        <x:v>36921</x:v>
      </x:c>
      <x:c r="F141" s="16" t="n">
        <x:v>1</x:v>
      </x:c>
      <x:c r="G141" s="16" t="n">
        <x:v>1</x:v>
      </x:c>
      <x:c r="H141" s="16" t="str">
        <x:v>28-07-2013</x:v>
      </x:c>
      <x:c r="I141" s="16" t="n">
        <x:v>74</x:v>
      </x:c>
      <x:c r="J141" s="16" t="n">
        <x:v>17</x:v>
      </x:c>
      <x:c r="K141" s="16" t="n">
        <x:v>1</x:v>
      </x:c>
      <x:c r="L141" s="16" t="n">
        <x:v>12</x:v>
      </x:c>
      <x:c r="M141" s="16" t="n">
        <x:v>3</x:v>
      </x:c>
      <x:c r="N141" s="16" t="n">
        <x:v>1</x:v>
      </x:c>
      <x:c r="O141" s="16" t="n">
        <x:v>4</x:v>
      </x:c>
      <x:c r="P141" s="16" t="n">
        <x:v>2</x:v>
      </x:c>
      <x:c r="Q141" s="16" t="n">
        <x:v>2</x:v>
      </x:c>
      <x:c r="R141" s="16" t="n">
        <x:v>0</x:v>
      </x:c>
      <x:c r="S141" s="16" t="n">
        <x:v>3</x:v>
      </x:c>
      <x:c r="T141" s="16" t="n">
        <x:v>7</x:v>
      </x:c>
      <x:c r="U141" s="16" t="n">
        <x:v>0</x:v>
      </x:c>
      <x:c r="V141" s="16" t="n">
        <x:v>0</x:v>
      </x:c>
      <x:c r="W141" s="16" t="n">
        <x:v>0</x:v>
      </x:c>
      <x:c r="X141" s="16" t="n">
        <x:v>0</x:v>
      </x:c>
      <x:c r="Y141" s="16" t="n">
        <x:v>0</x:v>
      </x:c>
      <x:c r="Z141" s="16" t="n">
        <x:v>0</x:v>
      </x:c>
      <x:c r="AA141" s="16" t="n">
        <x:v>3</x:v>
      </x:c>
      <x:c r="AB141" s="16" t="n">
        <x:v>11</x:v>
      </x:c>
      <x:c r="AC141" s="16" t="n">
        <x:v>0</x:v>
      </x:c>
      <x:c r="AD141" s="21" t="n">
        <x:f>IF(E141="",MEDIAN($E$2:$E$2237),E141)</x:f>
        <x:v>36921</x:v>
      </x:c>
      <x:c r="AE141" s="17" t="n">
        <x:f>2014-B141</x:f>
        <x:v>49</x:v>
      </x:c>
      <x:c r="AF141" s="17" t="n">
        <x:f>F141+G141</x:f>
        <x:v>2</x:v>
      </x:c>
      <x:c r="AG141" s="21" t="n">
        <x:f>SUM(J141:O141)</x:f>
        <x:v>38</x:v>
      </x:c>
      <x:c r="AH141" s="17" t="n">
        <x:f>SUM(Q141:S141)</x:f>
        <x:v>5</x:v>
      </x:c>
      <x:c r="AI141" s="17" t="n">
        <x:f>SUM(U141:Y141)</x:f>
        <x:v>0</x:v>
      </x:c>
      <x:c r="AJ141" s="17" t="str">
        <x:f>IF(AE141&lt;=34,"≤34",IF(AE141&lt;=44,"35–44",IF(AE141&lt;=54,"45–54",IF(AE141&lt;=64,"55–64","65+"))))</x:f>
        <x:v>45–54</x:v>
      </x:c>
      <x:c r="AK141" s="17" t="str">
        <x:f>IF(AG141&gt;=1000,"High Value",IF(AG141&gt;=300,"Mid Value","Low Value"))</x:f>
        <x:v>Low Value</x:v>
      </x:c>
      <x:c r="AL141" s="17" t="str">
        <x:f>IF(AND(AI141&gt;=1,I141&lt;=50),"Priority 1",IF(AND(AG141&gt;=1000,I141&lt;=60),"Priority 2",IF(I141&lt;=30,"Priority 3","Nurture")))</x:f>
        <x:v>Nurture</x:v>
      </x:c>
    </x:row>
    <x:row r="142">
      <x:c r="A142" s="16" t="n">
        <x:v>821</x:v>
      </x:c>
      <x:c r="B142" s="16" t="n">
        <x:v>1992</x:v>
      </x:c>
      <x:c r="C142" s="16" t="str">
        <x:v>Master</x:v>
      </x:c>
      <x:c r="D142" s="16" t="str">
        <x:v>Single</x:v>
      </x:c>
      <x:c r="E142" s="16" t="n">
        <x:v>92859</x:v>
      </x:c>
      <x:c r="F142" s="16" t="n">
        <x:v>0</x:v>
      </x:c>
      <x:c r="G142" s="16" t="n">
        <x:v>0</x:v>
      </x:c>
      <x:c r="H142" s="16" t="str">
        <x:v>19-10-2012</x:v>
      </x:c>
      <x:c r="I142" s="16" t="n">
        <x:v>46</x:v>
      </x:c>
      <x:c r="J142" s="16" t="n">
        <x:v>962</x:v>
      </x:c>
      <x:c r="K142" s="16" t="n">
        <x:v>61</x:v>
      </x:c>
      <x:c r="L142" s="16" t="n">
        <x:v>921</x:v>
      </x:c>
      <x:c r="M142" s="16" t="n">
        <x:v>52</x:v>
      </x:c>
      <x:c r="N142" s="16" t="n">
        <x:v>61</x:v>
      </x:c>
      <x:c r="O142" s="16" t="n">
        <x:v>20</x:v>
      </x:c>
      <x:c r="P142" s="16" t="n">
        <x:v>1</x:v>
      </x:c>
      <x:c r="Q142" s="16" t="n">
        <x:v>5</x:v>
      </x:c>
      <x:c r="R142" s="16" t="n">
        <x:v>4</x:v>
      </x:c>
      <x:c r="S142" s="16" t="n">
        <x:v>12</x:v>
      </x:c>
      <x:c r="T142" s="16" t="n">
        <x:v>2</x:v>
      </x:c>
      <x:c r="U142" s="16" t="n">
        <x:v>0</x:v>
      </x:c>
      <x:c r="V142" s="16" t="n">
        <x:v>0</x:v>
      </x:c>
      <x:c r="W142" s="16" t="n">
        <x:v>0</x:v>
      </x:c>
      <x:c r="X142" s="16" t="n">
        <x:v>0</x:v>
      </x:c>
      <x:c r="Y142" s="16" t="n">
        <x:v>0</x:v>
      </x:c>
      <x:c r="Z142" s="16" t="n">
        <x:v>0</x:v>
      </x:c>
      <x:c r="AA142" s="16" t="n">
        <x:v>3</x:v>
      </x:c>
      <x:c r="AB142" s="16" t="n">
        <x:v>11</x:v>
      </x:c>
      <x:c r="AC142" s="16" t="n">
        <x:v>0</x:v>
      </x:c>
      <x:c r="AD142" s="21" t="n">
        <x:f>IF(E142="",MEDIAN($E$2:$E$2237),E142)</x:f>
        <x:v>92859</x:v>
      </x:c>
      <x:c r="AE142" s="17" t="n">
        <x:f>2014-B142</x:f>
        <x:v>22</x:v>
      </x:c>
      <x:c r="AF142" s="17" t="n">
        <x:f>F142+G142</x:f>
        <x:v>0</x:v>
      </x:c>
      <x:c r="AG142" s="21" t="n">
        <x:f>SUM(J142:O142)</x:f>
        <x:v>2077</x:v>
      </x:c>
      <x:c r="AH142" s="17" t="n">
        <x:f>SUM(Q142:S142)</x:f>
        <x:v>21</x:v>
      </x:c>
      <x:c r="AI142" s="17" t="n">
        <x:f>SUM(U142:Y142)</x:f>
        <x:v>0</x:v>
      </x:c>
      <x:c r="AJ142" s="17" t="str">
        <x:f>IF(AE142&lt;=34,"≤34",IF(AE142&lt;=44,"35–44",IF(AE142&lt;=54,"45–54",IF(AE142&lt;=64,"55–64","65+"))))</x:f>
        <x:v>≤34</x:v>
      </x:c>
      <x:c r="AK142" s="17" t="str">
        <x:f>IF(AG142&gt;=1000,"High Value",IF(AG142&gt;=300,"Mid Value","Low Value"))</x:f>
        <x:v>High Value</x:v>
      </x:c>
      <x:c r="AL142" s="17" t="str">
        <x:f>IF(AND(AI142&gt;=1,I142&lt;=50),"Priority 1",IF(AND(AG142&gt;=1000,I142&lt;=60),"Priority 2",IF(I142&lt;=30,"Priority 3","Nurture")))</x:f>
        <x:v>Priority 2</x:v>
      </x:c>
    </x:row>
    <x:row r="143">
      <x:c r="A143" s="16" t="n">
        <x:v>11084</x:v>
      </x:c>
      <x:c r="B143" s="16" t="n">
        <x:v>1976</x:v>
      </x:c>
      <x:c r="C143" s="16" t="str">
        <x:v>Master</x:v>
      </x:c>
      <x:c r="D143" s="16" t="str">
        <x:v>Together</x:v>
      </x:c>
      <x:c r="E143" s="16" t="n">
        <x:v>65104</x:v>
      </x:c>
      <x:c r="F143" s="16" t="n">
        <x:v>0</x:v>
      </x:c>
      <x:c r="G143" s="16" t="n">
        <x:v>1</x:v>
      </x:c>
      <x:c r="H143" s="16" t="str">
        <x:v>14-11-2013</x:v>
      </x:c>
      <x:c r="I143" s="16" t="n">
        <x:v>4</x:v>
      </x:c>
      <x:c r="J143" s="16" t="n">
        <x:v>738</x:v>
      </x:c>
      <x:c r="K143" s="16" t="n">
        <x:v>0</x:v>
      </x:c>
      <x:c r="L143" s="16" t="n">
        <x:v>232</x:v>
      </x:c>
      <x:c r="M143" s="16" t="n">
        <x:v>13</x:v>
      </x:c>
      <x:c r="N143" s="16" t="n">
        <x:v>20</x:v>
      </x:c>
      <x:c r="O143" s="16" t="n">
        <x:v>50</x:v>
      </x:c>
      <x:c r="P143" s="16" t="n">
        <x:v>2</x:v>
      </x:c>
      <x:c r="Q143" s="16" t="n">
        <x:v>3</x:v>
      </x:c>
      <x:c r="R143" s="16" t="n">
        <x:v>5</x:v>
      </x:c>
      <x:c r="S143" s="16" t="n">
        <x:v>7</x:v>
      </x:c>
      <x:c r="T143" s="16" t="n">
        <x:v>7</x:v>
      </x:c>
      <x:c r="U143" s="16" t="n">
        <x:v>0</x:v>
      </x:c>
      <x:c r="V143" s="16" t="n">
        <x:v>0</x:v>
      </x:c>
      <x:c r="W143" s="16" t="n">
        <x:v>0</x:v>
      </x:c>
      <x:c r="X143" s="16" t="n">
        <x:v>0</x:v>
      </x:c>
      <x:c r="Y143" s="16" t="n">
        <x:v>0</x:v>
      </x:c>
      <x:c r="Z143" s="16" t="n">
        <x:v>0</x:v>
      </x:c>
      <x:c r="AA143" s="16" t="n">
        <x:v>3</x:v>
      </x:c>
      <x:c r="AB143" s="16" t="n">
        <x:v>11</x:v>
      </x:c>
      <x:c r="AC143" s="16" t="n">
        <x:v>1</x:v>
      </x:c>
      <x:c r="AD143" s="21" t="n">
        <x:f>IF(E143="",MEDIAN($E$2:$E$2237),E143)</x:f>
        <x:v>65104</x:v>
      </x:c>
      <x:c r="AE143" s="17" t="n">
        <x:f>2014-B143</x:f>
        <x:v>38</x:v>
      </x:c>
      <x:c r="AF143" s="17" t="n">
        <x:f>F143+G143</x:f>
        <x:v>1</x:v>
      </x:c>
      <x:c r="AG143" s="21" t="n">
        <x:f>SUM(J143:O143)</x:f>
        <x:v>1053</x:v>
      </x:c>
      <x:c r="AH143" s="17" t="n">
        <x:f>SUM(Q143:S143)</x:f>
        <x:v>15</x:v>
      </x:c>
      <x:c r="AI143" s="17" t="n">
        <x:f>SUM(U143:Y143)</x:f>
        <x:v>0</x:v>
      </x:c>
      <x:c r="AJ143" s="17" t="str">
        <x:f>IF(AE143&lt;=34,"≤34",IF(AE143&lt;=44,"35–44",IF(AE143&lt;=54,"45–54",IF(AE143&lt;=64,"55–64","65+"))))</x:f>
        <x:v>35–44</x:v>
      </x:c>
      <x:c r="AK143" s="17" t="str">
        <x:f>IF(AG143&gt;=1000,"High Value",IF(AG143&gt;=300,"Mid Value","Low Value"))</x:f>
        <x:v>High Value</x:v>
      </x:c>
      <x:c r="AL143" s="17" t="str">
        <x:f>IF(AND(AI143&gt;=1,I143&lt;=50),"Priority 1",IF(AND(AG143&gt;=1000,I143&lt;=60),"Priority 2",IF(I143&lt;=30,"Priority 3","Nurture")))</x:f>
        <x:v>Priority 2</x:v>
      </x:c>
    </x:row>
    <x:row r="144">
      <x:c r="A144" s="16" t="n">
        <x:v>8690</x:v>
      </x:c>
      <x:c r="B144" s="16" t="n">
        <x:v>1962</x:v>
      </x:c>
      <x:c r="C144" s="16" t="str">
        <x:v>Graduation</x:v>
      </x:c>
      <x:c r="D144" s="16" t="str">
        <x:v>Married</x:v>
      </x:c>
      <x:c r="E144" s="16" t="n">
        <x:v>86111</x:v>
      </x:c>
      <x:c r="F144" s="16" t="n">
        <x:v>0</x:v>
      </x:c>
      <x:c r="G144" s="16" t="n">
        <x:v>0</x:v>
      </x:c>
      <x:c r="H144" s="16" t="str">
        <x:v>19-04-2013</x:v>
      </x:c>
      <x:c r="I144" s="16" t="n">
        <x:v>73</x:v>
      </x:c>
      <x:c r="J144" s="16" t="n">
        <x:v>399</x:v>
      </x:c>
      <x:c r="K144" s="16" t="n">
        <x:v>28</x:v>
      </x:c>
      <x:c r="L144" s="16" t="n">
        <x:v>756</x:v>
      </x:c>
      <x:c r="M144" s="16" t="n">
        <x:v>36</x:v>
      </x:c>
      <x:c r="N144" s="16" t="n">
        <x:v>40</x:v>
      </x:c>
      <x:c r="O144" s="16" t="n">
        <x:v>126</x:v>
      </x:c>
      <x:c r="P144" s="16" t="n">
        <x:v>1</x:v>
      </x:c>
      <x:c r="Q144" s="16" t="n">
        <x:v>5</x:v>
      </x:c>
      <x:c r="R144" s="16" t="n">
        <x:v>7</x:v>
      </x:c>
      <x:c r="S144" s="16" t="n">
        <x:v>10</x:v>
      </x:c>
      <x:c r="T144" s="16" t="n">
        <x:v>2</x:v>
      </x:c>
      <x:c r="U144" s="16" t="n">
        <x:v>0</x:v>
      </x:c>
      <x:c r="V144" s="16" t="n">
        <x:v>0</x:v>
      </x:c>
      <x:c r="W144" s="16" t="n">
        <x:v>0</x:v>
      </x:c>
      <x:c r="X144" s="16" t="n">
        <x:v>0</x:v>
      </x:c>
      <x:c r="Y144" s="16" t="n">
        <x:v>0</x:v>
      </x:c>
      <x:c r="Z144" s="16" t="n">
        <x:v>0</x:v>
      </x:c>
      <x:c r="AA144" s="16" t="n">
        <x:v>3</x:v>
      </x:c>
      <x:c r="AB144" s="16" t="n">
        <x:v>11</x:v>
      </x:c>
      <x:c r="AC144" s="16" t="n">
        <x:v>0</x:v>
      </x:c>
      <x:c r="AD144" s="21" t="n">
        <x:f>IF(E144="",MEDIAN($E$2:$E$2237),E144)</x:f>
        <x:v>86111</x:v>
      </x:c>
      <x:c r="AE144" s="17" t="n">
        <x:f>2014-B144</x:f>
        <x:v>52</x:v>
      </x:c>
      <x:c r="AF144" s="17" t="n">
        <x:f>F144+G144</x:f>
        <x:v>0</x:v>
      </x:c>
      <x:c r="AG144" s="21" t="n">
        <x:f>SUM(J144:O144)</x:f>
        <x:v>1385</x:v>
      </x:c>
      <x:c r="AH144" s="17" t="n">
        <x:f>SUM(Q144:S144)</x:f>
        <x:v>22</x:v>
      </x:c>
      <x:c r="AI144" s="17" t="n">
        <x:f>SUM(U144:Y144)</x:f>
        <x:v>0</x:v>
      </x:c>
      <x:c r="AJ144" s="17" t="str">
        <x:f>IF(AE144&lt;=34,"≤34",IF(AE144&lt;=44,"35–44",IF(AE144&lt;=54,"45–54",IF(AE144&lt;=64,"55–64","65+"))))</x:f>
        <x:v>45–54</x:v>
      </x:c>
      <x:c r="AK144" s="17" t="str">
        <x:f>IF(AG144&gt;=1000,"High Value",IF(AG144&gt;=300,"Mid Value","Low Value"))</x:f>
        <x:v>High Value</x:v>
      </x:c>
      <x:c r="AL144" s="17" t="str">
        <x:f>IF(AND(AI144&gt;=1,I144&lt;=50),"Priority 1",IF(AND(AG144&gt;=1000,I144&lt;=60),"Priority 2",IF(I144&lt;=30,"Priority 3","Nurture")))</x:f>
        <x:v>Nurture</x:v>
      </x:c>
    </x:row>
    <x:row r="145">
      <x:c r="A145" s="16" t="n">
        <x:v>2937</x:v>
      </x:c>
      <x:c r="B145" s="16" t="n">
        <x:v>1974</x:v>
      </x:c>
      <x:c r="C145" s="16" t="str">
        <x:v>PhD</x:v>
      </x:c>
      <x:c r="D145" s="16" t="str">
        <x:v>Single</x:v>
      </x:c>
      <x:c r="E145" s="16" t="n">
        <x:v>68352</x:v>
      </x:c>
      <x:c r="F145" s="16" t="n">
        <x:v>0</x:v>
      </x:c>
      <x:c r="G145" s="16" t="n">
        <x:v>1</x:v>
      </x:c>
      <x:c r="H145" s="16" t="str">
        <x:v>28-08-2013</x:v>
      </x:c>
      <x:c r="I145" s="16" t="n">
        <x:v>47</x:v>
      </x:c>
      <x:c r="J145" s="16" t="n">
        <x:v>614</x:v>
      </x:c>
      <x:c r="K145" s="16" t="n">
        <x:v>16</x:v>
      </x:c>
      <x:c r="L145" s="16" t="n">
        <x:v>132</x:v>
      </x:c>
      <x:c r="M145" s="16" t="n">
        <x:v>43</x:v>
      </x:c>
      <x:c r="N145" s="16" t="n">
        <x:v>33</x:v>
      </x:c>
      <x:c r="O145" s="16" t="n">
        <x:v>33</x:v>
      </x:c>
      <x:c r="P145" s="16" t="n">
        <x:v>3</x:v>
      </x:c>
      <x:c r="Q145" s="16" t="n">
        <x:v>8</x:v>
      </x:c>
      <x:c r="R145" s="16" t="n">
        <x:v>5</x:v>
      </x:c>
      <x:c r="S145" s="16" t="n">
        <x:v>9</x:v>
      </x:c>
      <x:c r="T145" s="16" t="n">
        <x:v>6</x:v>
      </x:c>
      <x:c r="U145" s="16" t="n">
        <x:v>0</x:v>
      </x:c>
      <x:c r="V145" s="16" t="n">
        <x:v>0</x:v>
      </x:c>
      <x:c r="W145" s="16" t="n">
        <x:v>0</x:v>
      </x:c>
      <x:c r="X145" s="16" t="n">
        <x:v>0</x:v>
      </x:c>
      <x:c r="Y145" s="16" t="n">
        <x:v>0</x:v>
      </x:c>
      <x:c r="Z145" s="16" t="n">
        <x:v>0</x:v>
      </x:c>
      <x:c r="AA145" s="16" t="n">
        <x:v>3</x:v>
      </x:c>
      <x:c r="AB145" s="16" t="n">
        <x:v>11</x:v>
      </x:c>
      <x:c r="AC145" s="16" t="n">
        <x:v>0</x:v>
      </x:c>
      <x:c r="AD145" s="21" t="n">
        <x:f>IF(E145="",MEDIAN($E$2:$E$2237),E145)</x:f>
        <x:v>68352</x:v>
      </x:c>
      <x:c r="AE145" s="17" t="n">
        <x:f>2014-B145</x:f>
        <x:v>40</x:v>
      </x:c>
      <x:c r="AF145" s="17" t="n">
        <x:f>F145+G145</x:f>
        <x:v>1</x:v>
      </x:c>
      <x:c r="AG145" s="21" t="n">
        <x:f>SUM(J145:O145)</x:f>
        <x:v>871</x:v>
      </x:c>
      <x:c r="AH145" s="17" t="n">
        <x:f>SUM(Q145:S145)</x:f>
        <x:v>22</x:v>
      </x:c>
      <x:c r="AI145" s="17" t="n">
        <x:f>SUM(U145:Y145)</x:f>
        <x:v>0</x:v>
      </x:c>
      <x:c r="AJ145" s="17" t="str">
        <x:f>IF(AE145&lt;=34,"≤34",IF(AE145&lt;=44,"35–44",IF(AE145&lt;=54,"45–54",IF(AE145&lt;=64,"55–64","65+"))))</x:f>
        <x:v>35–44</x:v>
      </x:c>
      <x:c r="AK145" s="17" t="str">
        <x:f>IF(AG145&gt;=1000,"High Value",IF(AG145&gt;=300,"Mid Value","Low Value"))</x:f>
        <x:v>Mid Value</x:v>
      </x:c>
      <x:c r="AL145" s="17" t="str">
        <x:f>IF(AND(AI145&gt;=1,I145&lt;=50),"Priority 1",IF(AND(AG145&gt;=1000,I145&lt;=60),"Priority 2",IF(I145&lt;=30,"Priority 3","Nurture")))</x:f>
        <x:v>Nurture</x:v>
      </x:c>
    </x:row>
    <x:row r="146">
      <x:c r="A146" s="16" t="n">
        <x:v>9701</x:v>
      </x:c>
      <x:c r="B146" s="16" t="n">
        <x:v>1988</x:v>
      </x:c>
      <x:c r="C146" s="16" t="str">
        <x:v>Graduation</x:v>
      </x:c>
      <x:c r="D146" s="16" t="str">
        <x:v>Together</x:v>
      </x:c>
      <x:c r="E146" s="16" t="n">
        <x:v>41883</x:v>
      </x:c>
      <x:c r="F146" s="16" t="n">
        <x:v>1</x:v>
      </x:c>
      <x:c r="G146" s="16" t="n">
        <x:v>0</x:v>
      </x:c>
      <x:c r="H146" s="16" t="str">
        <x:v>19-03-2013</x:v>
      </x:c>
      <x:c r="I146" s="16" t="n">
        <x:v>13</x:v>
      </x:c>
      <x:c r="J146" s="16" t="n">
        <x:v>32</x:v>
      </x:c>
      <x:c r="K146" s="16" t="n">
        <x:v>34</x:v>
      </x:c>
      <x:c r="L146" s="16" t="n">
        <x:v>41</x:v>
      </x:c>
      <x:c r="M146" s="16" t="n">
        <x:v>73</x:v>
      </x:c>
      <x:c r="N146" s="16" t="n">
        <x:v>16</x:v>
      </x:c>
      <x:c r="O146" s="16" t="n">
        <x:v>116</x:v>
      </x:c>
      <x:c r="P146" s="16" t="n">
        <x:v>3</x:v>
      </x:c>
      <x:c r="Q146" s="16" t="n">
        <x:v>4</x:v>
      </x:c>
      <x:c r="R146" s="16" t="n">
        <x:v>2</x:v>
      </x:c>
      <x:c r="S146" s="16" t="n">
        <x:v>3</x:v>
      </x:c>
      <x:c r="T146" s="16" t="n">
        <x:v>7</x:v>
      </x:c>
      <x:c r="U146" s="16" t="n">
        <x:v>0</x:v>
      </x:c>
      <x:c r="V146" s="16" t="n">
        <x:v>0</x:v>
      </x:c>
      <x:c r="W146" s="16" t="n">
        <x:v>0</x:v>
      </x:c>
      <x:c r="X146" s="16" t="n">
        <x:v>0</x:v>
      </x:c>
      <x:c r="Y146" s="16" t="n">
        <x:v>0</x:v>
      </x:c>
      <x:c r="Z146" s="16" t="n">
        <x:v>0</x:v>
      </x:c>
      <x:c r="AA146" s="16" t="n">
        <x:v>3</x:v>
      </x:c>
      <x:c r="AB146" s="16" t="n">
        <x:v>11</x:v>
      </x:c>
      <x:c r="AC146" s="16" t="n">
        <x:v>0</x:v>
      </x:c>
      <x:c r="AD146" s="21" t="n">
        <x:f>IF(E146="",MEDIAN($E$2:$E$2237),E146)</x:f>
        <x:v>41883</x:v>
      </x:c>
      <x:c r="AE146" s="17" t="n">
        <x:f>2014-B146</x:f>
        <x:v>26</x:v>
      </x:c>
      <x:c r="AF146" s="17" t="n">
        <x:f>F146+G146</x:f>
        <x:v>1</x:v>
      </x:c>
      <x:c r="AG146" s="21" t="n">
        <x:f>SUM(J146:O146)</x:f>
        <x:v>312</x:v>
      </x:c>
      <x:c r="AH146" s="17" t="n">
        <x:f>SUM(Q146:S146)</x:f>
        <x:v>9</x:v>
      </x:c>
      <x:c r="AI146" s="17" t="n">
        <x:f>SUM(U146:Y146)</x:f>
        <x:v>0</x:v>
      </x:c>
      <x:c r="AJ146" s="17" t="str">
        <x:f>IF(AE146&lt;=34,"≤34",IF(AE146&lt;=44,"35–44",IF(AE146&lt;=54,"45–54",IF(AE146&lt;=64,"55–64","65+"))))</x:f>
        <x:v>≤34</x:v>
      </x:c>
      <x:c r="AK146" s="17" t="str">
        <x:f>IF(AG146&gt;=1000,"High Value",IF(AG146&gt;=300,"Mid Value","Low Value"))</x:f>
        <x:v>Mid Value</x:v>
      </x:c>
      <x:c r="AL146" s="17" t="str">
        <x:f>IF(AND(AI146&gt;=1,I146&lt;=50),"Priority 1",IF(AND(AG146&gt;=1000,I146&lt;=60),"Priority 2",IF(I146&lt;=30,"Priority 3","Nurture")))</x:f>
        <x:v>Priority 3</x:v>
      </x:c>
    </x:row>
    <x:row r="147">
      <x:c r="A147" s="16" t="n">
        <x:v>9949</x:v>
      </x:c>
      <x:c r="B147" s="16" t="n">
        <x:v>1976</x:v>
      </x:c>
      <x:c r="C147" s="16" t="str">
        <x:v>Graduation</x:v>
      </x:c>
      <x:c r="D147" s="16" t="str">
        <x:v>Married</x:v>
      </x:c>
      <x:c r="E147" s="16" t="n">
        <x:v>59809</x:v>
      </x:c>
      <x:c r="F147" s="16" t="n">
        <x:v>0</x:v>
      </x:c>
      <x:c r="G147" s="16" t="n">
        <x:v>2</x:v>
      </x:c>
      <x:c r="H147" s="16" t="str">
        <x:v>18-10-2012</x:v>
      </x:c>
      <x:c r="I147" s="16" t="n">
        <x:v>36</x:v>
      </x:c>
      <x:c r="J147" s="16" t="n">
        <x:v>598</x:v>
      </x:c>
      <x:c r="K147" s="16" t="n">
        <x:v>16</x:v>
      </x:c>
      <x:c r="L147" s="16" t="n">
        <x:v>141</x:v>
      </x:c>
      <x:c r="M147" s="16" t="n">
        <x:v>32</x:v>
      </x:c>
      <x:c r="N147" s="16" t="n">
        <x:v>41</x:v>
      </x:c>
      <x:c r="O147" s="16" t="n">
        <x:v>49</x:v>
      </x:c>
      <x:c r="P147" s="16" t="n">
        <x:v>3</x:v>
      </x:c>
      <x:c r="Q147" s="16" t="n">
        <x:v>3</x:v>
      </x:c>
      <x:c r="R147" s="16" t="n">
        <x:v>3</x:v>
      </x:c>
      <x:c r="S147" s="16" t="n">
        <x:v>6</x:v>
      </x:c>
      <x:c r="T147" s="16" t="n">
        <x:v>8</x:v>
      </x:c>
      <x:c r="U147" s="16" t="n">
        <x:v>0</x:v>
      </x:c>
      <x:c r="V147" s="16" t="n">
        <x:v>0</x:v>
      </x:c>
      <x:c r="W147" s="16" t="n">
        <x:v>0</x:v>
      </x:c>
      <x:c r="X147" s="16" t="n">
        <x:v>0</x:v>
      </x:c>
      <x:c r="Y147" s="16" t="n">
        <x:v>0</x:v>
      </x:c>
      <x:c r="Z147" s="16" t="n">
        <x:v>0</x:v>
      </x:c>
      <x:c r="AA147" s="16" t="n">
        <x:v>3</x:v>
      </x:c>
      <x:c r="AB147" s="16" t="n">
        <x:v>11</x:v>
      </x:c>
      <x:c r="AC147" s="16" t="n">
        <x:v>0</x:v>
      </x:c>
      <x:c r="AD147" s="21" t="n">
        <x:f>IF(E147="",MEDIAN($E$2:$E$2237),E147)</x:f>
        <x:v>59809</x:v>
      </x:c>
      <x:c r="AE147" s="17" t="n">
        <x:f>2014-B147</x:f>
        <x:v>38</x:v>
      </x:c>
      <x:c r="AF147" s="17" t="n">
        <x:f>F147+G147</x:f>
        <x:v>2</x:v>
      </x:c>
      <x:c r="AG147" s="21" t="n">
        <x:f>SUM(J147:O147)</x:f>
        <x:v>877</x:v>
      </x:c>
      <x:c r="AH147" s="17" t="n">
        <x:f>SUM(Q147:S147)</x:f>
        <x:v>12</x:v>
      </x:c>
      <x:c r="AI147" s="17" t="n">
        <x:f>SUM(U147:Y147)</x:f>
        <x:v>0</x:v>
      </x:c>
      <x:c r="AJ147" s="17" t="str">
        <x:f>IF(AE147&lt;=34,"≤34",IF(AE147&lt;=44,"35–44",IF(AE147&lt;=54,"45–54",IF(AE147&lt;=64,"55–64","65+"))))</x:f>
        <x:v>35–44</x:v>
      </x:c>
      <x:c r="AK147" s="17" t="str">
        <x:f>IF(AG147&gt;=1000,"High Value",IF(AG147&gt;=300,"Mid Value","Low Value"))</x:f>
        <x:v>Mid Value</x:v>
      </x:c>
      <x:c r="AL147" s="17" t="str">
        <x:f>IF(AND(AI147&gt;=1,I147&lt;=50),"Priority 1",IF(AND(AG147&gt;=1000,I147&lt;=60),"Priority 2",IF(I147&lt;=30,"Priority 3","Nurture")))</x:f>
        <x:v>Nurture</x:v>
      </x:c>
    </x:row>
    <x:row r="148">
      <x:c r="A148" s="16" t="n">
        <x:v>10837</x:v>
      </x:c>
      <x:c r="B148" s="16" t="n">
        <x:v>1975</x:v>
      </x:c>
      <x:c r="C148" s="16" t="str">
        <x:v>Graduation</x:v>
      </x:c>
      <x:c r="D148" s="16" t="str">
        <x:v>Married</x:v>
      </x:c>
      <x:c r="E148" s="16" t="n">
        <x:v>23957</x:v>
      </x:c>
      <x:c r="F148" s="16" t="n">
        <x:v>1</x:v>
      </x:c>
      <x:c r="G148" s="16" t="n">
        <x:v>0</x:v>
      </x:c>
      <x:c r="H148" s="16" t="str">
        <x:v>28-10-2012</x:v>
      </x:c>
      <x:c r="I148" s="16" t="n">
        <x:v>47</x:v>
      </x:c>
      <x:c r="J148" s="16" t="n">
        <x:v>2</x:v>
      </x:c>
      <x:c r="K148" s="16" t="n">
        <x:v>1</x:v>
      </x:c>
      <x:c r="L148" s="16" t="n">
        <x:v>18</x:v>
      </x:c>
      <x:c r="M148" s="16" t="n">
        <x:v>20</x:v>
      </x:c>
      <x:c r="N148" s="16" t="n">
        <x:v>11</x:v>
      </x:c>
      <x:c r="O148" s="16" t="n">
        <x:v>16</x:v>
      </x:c>
      <x:c r="P148" s="16" t="n">
        <x:v>1</x:v>
      </x:c>
      <x:c r="Q148" s="16" t="n">
        <x:v>2</x:v>
      </x:c>
      <x:c r="R148" s="16" t="n">
        <x:v>0</x:v>
      </x:c>
      <x:c r="S148" s="16" t="n">
        <x:v>3</x:v>
      </x:c>
      <x:c r="T148" s="16" t="n">
        <x:v>6</x:v>
      </x:c>
      <x:c r="U148" s="16" t="n">
        <x:v>0</x:v>
      </x:c>
      <x:c r="V148" s="16" t="n">
        <x:v>0</x:v>
      </x:c>
      <x:c r="W148" s="16" t="n">
        <x:v>0</x:v>
      </x:c>
      <x:c r="X148" s="16" t="n">
        <x:v>0</x:v>
      </x:c>
      <x:c r="Y148" s="16" t="n">
        <x:v>0</x:v>
      </x:c>
      <x:c r="Z148" s="16" t="n">
        <x:v>0</x:v>
      </x:c>
      <x:c r="AA148" s="16" t="n">
        <x:v>3</x:v>
      </x:c>
      <x:c r="AB148" s="16" t="n">
        <x:v>11</x:v>
      </x:c>
      <x:c r="AC148" s="16" t="n">
        <x:v>1</x:v>
      </x:c>
      <x:c r="AD148" s="21" t="n">
        <x:f>IF(E148="",MEDIAN($E$2:$E$2237),E148)</x:f>
        <x:v>23957</x:v>
      </x:c>
      <x:c r="AE148" s="17" t="n">
        <x:f>2014-B148</x:f>
        <x:v>39</x:v>
      </x:c>
      <x:c r="AF148" s="17" t="n">
        <x:f>F148+G148</x:f>
        <x:v>1</x:v>
      </x:c>
      <x:c r="AG148" s="21" t="n">
        <x:f>SUM(J148:O148)</x:f>
        <x:v>68</x:v>
      </x:c>
      <x:c r="AH148" s="17" t="n">
        <x:f>SUM(Q148:S148)</x:f>
        <x:v>5</x:v>
      </x:c>
      <x:c r="AI148" s="17" t="n">
        <x:f>SUM(U148:Y148)</x:f>
        <x:v>0</x:v>
      </x:c>
      <x:c r="AJ148" s="17" t="str">
        <x:f>IF(AE148&lt;=34,"≤34",IF(AE148&lt;=44,"35–44",IF(AE148&lt;=54,"45–54",IF(AE148&lt;=64,"55–64","65+"))))</x:f>
        <x:v>35–44</x:v>
      </x:c>
      <x:c r="AK148" s="17" t="str">
        <x:f>IF(AG148&gt;=1000,"High Value",IF(AG148&gt;=300,"Mid Value","Low Value"))</x:f>
        <x:v>Low Value</x:v>
      </x:c>
      <x:c r="AL148" s="17" t="str">
        <x:f>IF(AND(AI148&gt;=1,I148&lt;=50),"Priority 1",IF(AND(AG148&gt;=1000,I148&lt;=60),"Priority 2",IF(I148&lt;=30,"Priority 3","Nurture")))</x:f>
        <x:v>Nurture</x:v>
      </x:c>
    </x:row>
    <x:row r="149">
      <x:c r="A149" s="16" t="n">
        <x:v>3120</x:v>
      </x:c>
      <x:c r="B149" s="16" t="n">
        <x:v>1981</x:v>
      </x:c>
      <x:c r="C149" s="16" t="str">
        <x:v>Graduation</x:v>
      </x:c>
      <x:c r="D149" s="16" t="str">
        <x:v>Together</x:v>
      </x:c>
      <x:c r="E149" s="16" t="n">
        <x:v>38547</x:v>
      </x:c>
      <x:c r="F149" s="16" t="n">
        <x:v>1</x:v>
      </x:c>
      <x:c r="G149" s="16" t="n">
        <x:v>0</x:v>
      </x:c>
      <x:c r="H149" s="16" t="str">
        <x:v>28-08-2013</x:v>
      </x:c>
      <x:c r="I149" s="16" t="n">
        <x:v>49</x:v>
      </x:c>
      <x:c r="J149" s="16" t="n">
        <x:v>6</x:v>
      </x:c>
      <x:c r="K149" s="16" t="n">
        <x:v>1</x:v>
      </x:c>
      <x:c r="L149" s="16" t="n">
        <x:v>10</x:v>
      </x:c>
      <x:c r="M149" s="16" t="n">
        <x:v>0</x:v>
      </x:c>
      <x:c r="N149" s="16" t="n">
        <x:v>1</x:v>
      </x:c>
      <x:c r="O149" s="16" t="n">
        <x:v>4</x:v>
      </x:c>
      <x:c r="P149" s="16" t="n">
        <x:v>1</x:v>
      </x:c>
      <x:c r="Q149" s="16" t="n">
        <x:v>1</x:v>
      </x:c>
      <x:c r="R149" s="16" t="n">
        <x:v>0</x:v>
      </x:c>
      <x:c r="S149" s="16" t="n">
        <x:v>2</x:v>
      </x:c>
      <x:c r="T149" s="16" t="n">
        <x:v>8</x:v>
      </x:c>
      <x:c r="U149" s="16" t="n">
        <x:v>0</x:v>
      </x:c>
      <x:c r="V149" s="16" t="n">
        <x:v>0</x:v>
      </x:c>
      <x:c r="W149" s="16" t="n">
        <x:v>0</x:v>
      </x:c>
      <x:c r="X149" s="16" t="n">
        <x:v>0</x:v>
      </x:c>
      <x:c r="Y149" s="16" t="n">
        <x:v>0</x:v>
      </x:c>
      <x:c r="Z149" s="16" t="n">
        <x:v>1</x:v>
      </x:c>
      <x:c r="AA149" s="16" t="n">
        <x:v>3</x:v>
      </x:c>
      <x:c r="AB149" s="16" t="n">
        <x:v>11</x:v>
      </x:c>
      <x:c r="AC149" s="16" t="n">
        <x:v>0</x:v>
      </x:c>
      <x:c r="AD149" s="21" t="n">
        <x:f>IF(E149="",MEDIAN($E$2:$E$2237),E149)</x:f>
        <x:v>38547</x:v>
      </x:c>
      <x:c r="AE149" s="17" t="n">
        <x:f>2014-B149</x:f>
        <x:v>33</x:v>
      </x:c>
      <x:c r="AF149" s="17" t="n">
        <x:f>F149+G149</x:f>
        <x:v>1</x:v>
      </x:c>
      <x:c r="AG149" s="21" t="n">
        <x:f>SUM(J149:O149)</x:f>
        <x:v>22</x:v>
      </x:c>
      <x:c r="AH149" s="17" t="n">
        <x:f>SUM(Q149:S149)</x:f>
        <x:v>3</x:v>
      </x:c>
      <x:c r="AI149" s="17" t="n">
        <x:f>SUM(U149:Y149)</x:f>
        <x:v>0</x:v>
      </x:c>
      <x:c r="AJ149" s="17" t="str">
        <x:f>IF(AE149&lt;=34,"≤34",IF(AE149&lt;=44,"35–44",IF(AE149&lt;=54,"45–54",IF(AE149&lt;=64,"55–64","65+"))))</x:f>
        <x:v>≤34</x:v>
      </x:c>
      <x:c r="AK149" s="17" t="str">
        <x:f>IF(AG149&gt;=1000,"High Value",IF(AG149&gt;=300,"Mid Value","Low Value"))</x:f>
        <x:v>Low Value</x:v>
      </x:c>
      <x:c r="AL149" s="17" t="str">
        <x:f>IF(AND(AI149&gt;=1,I149&lt;=50),"Priority 1",IF(AND(AG149&gt;=1000,I149&lt;=60),"Priority 2",IF(I149&lt;=30,"Priority 3","Nurture")))</x:f>
        <x:v>Nurture</x:v>
      </x:c>
    </x:row>
    <x:row r="150">
      <x:c r="A150" s="16" t="n">
        <x:v>5885</x:v>
      </x:c>
      <x:c r="B150" s="16" t="n">
        <x:v>1973</x:v>
      </x:c>
      <x:c r="C150" s="16" t="str">
        <x:v>2n Cycle</x:v>
      </x:c>
      <x:c r="D150" s="16" t="str">
        <x:v>Married</x:v>
      </x:c>
      <x:c r="E150" s="16" t="n">
        <x:v>35688</x:v>
      </x:c>
      <x:c r="F150" s="16" t="n">
        <x:v>2</x:v>
      </x:c>
      <x:c r="G150" s="16" t="n">
        <x:v>1</x:v>
      </x:c>
      <x:c r="H150" s="16" t="str">
        <x:v>22-08-2012</x:v>
      </x:c>
      <x:c r="I150" s="16" t="n">
        <x:v>94</x:v>
      </x:c>
      <x:c r="J150" s="16" t="n">
        <x:v>73</x:v>
      </x:c>
      <x:c r="K150" s="16" t="n">
        <x:v>3</x:v>
      </x:c>
      <x:c r="L150" s="16" t="n">
        <x:v>90</x:v>
      </x:c>
      <x:c r="M150" s="16" t="n">
        <x:v>12</x:v>
      </x:c>
      <x:c r="N150" s="16" t="n">
        <x:v>1</x:v>
      </x:c>
      <x:c r="O150" s="16" t="n">
        <x:v>32</x:v>
      </x:c>
      <x:c r="P150" s="16" t="n">
        <x:v>7</x:v>
      </x:c>
      <x:c r="Q150" s="16" t="n">
        <x:v>4</x:v>
      </x:c>
      <x:c r="R150" s="16" t="n">
        <x:v>1</x:v>
      </x:c>
      <x:c r="S150" s="16" t="n">
        <x:v>4</x:v>
      </x:c>
      <x:c r="T150" s="16" t="n">
        <x:v>8</x:v>
      </x:c>
      <x:c r="U150" s="16" t="n">
        <x:v>0</x:v>
      </x:c>
      <x:c r="V150" s="16" t="n">
        <x:v>0</x:v>
      </x:c>
      <x:c r="W150" s="16" t="n">
        <x:v>0</x:v>
      </x:c>
      <x:c r="X150" s="16" t="n">
        <x:v>0</x:v>
      </x:c>
      <x:c r="Y150" s="16" t="n">
        <x:v>0</x:v>
      </x:c>
      <x:c r="Z150" s="16" t="n">
        <x:v>0</x:v>
      </x:c>
      <x:c r="AA150" s="16" t="n">
        <x:v>3</x:v>
      </x:c>
      <x:c r="AB150" s="16" t="n">
        <x:v>11</x:v>
      </x:c>
      <x:c r="AC150" s="16" t="n">
        <x:v>0</x:v>
      </x:c>
      <x:c r="AD150" s="21" t="n">
        <x:f>IF(E150="",MEDIAN($E$2:$E$2237),E150)</x:f>
        <x:v>35688</x:v>
      </x:c>
      <x:c r="AE150" s="17" t="n">
        <x:f>2014-B150</x:f>
        <x:v>41</x:v>
      </x:c>
      <x:c r="AF150" s="17" t="n">
        <x:f>F150+G150</x:f>
        <x:v>3</x:v>
      </x:c>
      <x:c r="AG150" s="21" t="n">
        <x:f>SUM(J150:O150)</x:f>
        <x:v>211</x:v>
      </x:c>
      <x:c r="AH150" s="17" t="n">
        <x:f>SUM(Q150:S150)</x:f>
        <x:v>9</x:v>
      </x:c>
      <x:c r="AI150" s="17" t="n">
        <x:f>SUM(U150:Y150)</x:f>
        <x:v>0</x:v>
      </x:c>
      <x:c r="AJ150" s="17" t="str">
        <x:f>IF(AE150&lt;=34,"≤34",IF(AE150&lt;=44,"35–44",IF(AE150&lt;=54,"45–54",IF(AE150&lt;=64,"55–64","65+"))))</x:f>
        <x:v>35–44</x:v>
      </x:c>
      <x:c r="AK150" s="17" t="str">
        <x:f>IF(AG150&gt;=1000,"High Value",IF(AG150&gt;=300,"Mid Value","Low Value"))</x:f>
        <x:v>Low Value</x:v>
      </x:c>
      <x:c r="AL150" s="17" t="str">
        <x:f>IF(AND(AI150&gt;=1,I150&lt;=50),"Priority 1",IF(AND(AG150&gt;=1000,I150&lt;=60),"Priority 2",IF(I150&lt;=30,"Priority 3","Nurture")))</x:f>
        <x:v>Nurture</x:v>
      </x:c>
    </x:row>
    <x:row r="151">
      <x:c r="A151" s="16" t="n">
        <x:v>4050</x:v>
      </x:c>
      <x:c r="B151" s="16" t="n">
        <x:v>1966</x:v>
      </x:c>
      <x:c r="C151" s="16" t="str">
        <x:v>Master</x:v>
      </x:c>
      <x:c r="D151" s="16" t="str">
        <x:v>Married</x:v>
      </x:c>
      <x:c r="E151" s="16" t="n">
        <x:v>49605</x:v>
      </x:c>
      <x:c r="F151" s="16" t="n">
        <x:v>0</x:v>
      </x:c>
      <x:c r="G151" s="16" t="n">
        <x:v>0</x:v>
      </x:c>
      <x:c r="H151" s="16" t="str">
        <x:v>21-06-2014</x:v>
      </x:c>
      <x:c r="I151" s="16" t="n">
        <x:v>65</x:v>
      </x:c>
      <x:c r="J151" s="16" t="n">
        <x:v>42</x:v>
      </x:c>
      <x:c r="K151" s="16" t="n">
        <x:v>16</x:v>
      </x:c>
      <x:c r="L151" s="16" t="n">
        <x:v>29</x:v>
      </x:c>
      <x:c r="M151" s="16" t="n">
        <x:v>12</x:v>
      </x:c>
      <x:c r="N151" s="16" t="n">
        <x:v>20</x:v>
      </x:c>
      <x:c r="O151" s="16" t="n">
        <x:v>8</x:v>
      </x:c>
      <x:c r="P151" s="16" t="n">
        <x:v>1</x:v>
      </x:c>
      <x:c r="Q151" s="16" t="n">
        <x:v>2</x:v>
      </x:c>
      <x:c r="R151" s="16" t="n">
        <x:v>1</x:v>
      </x:c>
      <x:c r="S151" s="16" t="n">
        <x:v>4</x:v>
      </x:c>
      <x:c r="T151" s="16" t="n">
        <x:v>3</x:v>
      </x:c>
      <x:c r="U151" s="16" t="n">
        <x:v>0</x:v>
      </x:c>
      <x:c r="V151" s="16" t="n">
        <x:v>0</x:v>
      </x:c>
      <x:c r="W151" s="16" t="n">
        <x:v>0</x:v>
      </x:c>
      <x:c r="X151" s="16" t="n">
        <x:v>0</x:v>
      </x:c>
      <x:c r="Y151" s="16" t="n">
        <x:v>0</x:v>
      </x:c>
      <x:c r="Z151" s="16" t="n">
        <x:v>0</x:v>
      </x:c>
      <x:c r="AA151" s="16" t="n">
        <x:v>3</x:v>
      </x:c>
      <x:c r="AB151" s="16" t="n">
        <x:v>11</x:v>
      </x:c>
      <x:c r="AC151" s="16" t="n">
        <x:v>0</x:v>
      </x:c>
      <x:c r="AD151" s="21" t="n">
        <x:f>IF(E151="",MEDIAN($E$2:$E$2237),E151)</x:f>
        <x:v>49605</x:v>
      </x:c>
      <x:c r="AE151" s="17" t="n">
        <x:f>2014-B151</x:f>
        <x:v>48</x:v>
      </x:c>
      <x:c r="AF151" s="17" t="n">
        <x:f>F151+G151</x:f>
        <x:v>0</x:v>
      </x:c>
      <x:c r="AG151" s="21" t="n">
        <x:f>SUM(J151:O151)</x:f>
        <x:v>127</x:v>
      </x:c>
      <x:c r="AH151" s="17" t="n">
        <x:f>SUM(Q151:S151)</x:f>
        <x:v>7</x:v>
      </x:c>
      <x:c r="AI151" s="17" t="n">
        <x:f>SUM(U151:Y151)</x:f>
        <x:v>0</x:v>
      </x:c>
      <x:c r="AJ151" s="17" t="str">
        <x:f>IF(AE151&lt;=34,"≤34",IF(AE151&lt;=44,"35–44",IF(AE151&lt;=54,"45–54",IF(AE151&lt;=64,"55–64","65+"))))</x:f>
        <x:v>45–54</x:v>
      </x:c>
      <x:c r="AK151" s="17" t="str">
        <x:f>IF(AG151&gt;=1000,"High Value",IF(AG151&gt;=300,"Mid Value","Low Value"))</x:f>
        <x:v>Low Value</x:v>
      </x:c>
      <x:c r="AL151" s="17" t="str">
        <x:f>IF(AND(AI151&gt;=1,I151&lt;=50),"Priority 1",IF(AND(AG151&gt;=1000,I151&lt;=60),"Priority 2",IF(I151&lt;=30,"Priority 3","Nurture")))</x:f>
        <x:v>Nurture</x:v>
      </x:c>
    </x:row>
    <x:row r="152">
      <x:c r="A152" s="16" t="n">
        <x:v>3830</x:v>
      </x:c>
      <x:c r="B152" s="16" t="n">
        <x:v>1953</x:v>
      </x:c>
      <x:c r="C152" s="16" t="str">
        <x:v>Master</x:v>
      </x:c>
      <x:c r="D152" s="16" t="str">
        <x:v>Married</x:v>
      </x:c>
      <x:c r="E152" s="16" t="n">
        <x:v>59354</x:v>
      </x:c>
      <x:c r="F152" s="16" t="n">
        <x:v>0</x:v>
      </x:c>
      <x:c r="G152" s="16" t="n">
        <x:v>2</x:v>
      </x:c>
      <x:c r="H152" s="16" t="str">
        <x:v>24-04-2014</x:v>
      </x:c>
      <x:c r="I152" s="16" t="n">
        <x:v>59</x:v>
      </x:c>
      <x:c r="J152" s="16" t="n">
        <x:v>295</x:v>
      </x:c>
      <x:c r="K152" s="16" t="n">
        <x:v>21</x:v>
      </x:c>
      <x:c r="L152" s="16" t="n">
        <x:v>78</x:v>
      </x:c>
      <x:c r="M152" s="16" t="n">
        <x:v>39</x:v>
      </x:c>
      <x:c r="N152" s="16" t="n">
        <x:v>13</x:v>
      </x:c>
      <x:c r="O152" s="16" t="n">
        <x:v>13</x:v>
      </x:c>
      <x:c r="P152" s="16" t="n">
        <x:v>1</x:v>
      </x:c>
      <x:c r="Q152" s="16" t="n">
        <x:v>4</x:v>
      </x:c>
      <x:c r="R152" s="16" t="n">
        <x:v>4</x:v>
      </x:c>
      <x:c r="S152" s="16" t="n">
        <x:v>7</x:v>
      </x:c>
      <x:c r="T152" s="16" t="n">
        <x:v>3</x:v>
      </x:c>
      <x:c r="U152" s="16" t="n">
        <x:v>0</x:v>
      </x:c>
      <x:c r="V152" s="16" t="n">
        <x:v>0</x:v>
      </x:c>
      <x:c r="W152" s="16" t="n">
        <x:v>0</x:v>
      </x:c>
      <x:c r="X152" s="16" t="n">
        <x:v>0</x:v>
      </x:c>
      <x:c r="Y152" s="16" t="n">
        <x:v>0</x:v>
      </x:c>
      <x:c r="Z152" s="16" t="n">
        <x:v>0</x:v>
      </x:c>
      <x:c r="AA152" s="16" t="n">
        <x:v>3</x:v>
      </x:c>
      <x:c r="AB152" s="16" t="n">
        <x:v>11</x:v>
      </x:c>
      <x:c r="AC152" s="16" t="n">
        <x:v>0</x:v>
      </x:c>
      <x:c r="AD152" s="21" t="n">
        <x:f>IF(E152="",MEDIAN($E$2:$E$2237),E152)</x:f>
        <x:v>59354</x:v>
      </x:c>
      <x:c r="AE152" s="17" t="n">
        <x:f>2014-B152</x:f>
        <x:v>61</x:v>
      </x:c>
      <x:c r="AF152" s="17" t="n">
        <x:f>F152+G152</x:f>
        <x:v>2</x:v>
      </x:c>
      <x:c r="AG152" s="21" t="n">
        <x:f>SUM(J152:O152)</x:f>
        <x:v>459</x:v>
      </x:c>
      <x:c r="AH152" s="17" t="n">
        <x:f>SUM(Q152:S152)</x:f>
        <x:v>15</x:v>
      </x:c>
      <x:c r="AI152" s="17" t="n">
        <x:f>SUM(U152:Y152)</x:f>
        <x:v>0</x:v>
      </x:c>
      <x:c r="AJ152" s="17" t="str">
        <x:f>IF(AE152&lt;=34,"≤34",IF(AE152&lt;=44,"35–44",IF(AE152&lt;=54,"45–54",IF(AE152&lt;=64,"55–64","65+"))))</x:f>
        <x:v>55–64</x:v>
      </x:c>
      <x:c r="AK152" s="17" t="str">
        <x:f>IF(AG152&gt;=1000,"High Value",IF(AG152&gt;=300,"Mid Value","Low Value"))</x:f>
        <x:v>Mid Value</x:v>
      </x:c>
      <x:c r="AL152" s="17" t="str">
        <x:f>IF(AND(AI152&gt;=1,I152&lt;=50),"Priority 1",IF(AND(AG152&gt;=1000,I152&lt;=60),"Priority 2",IF(I152&lt;=30,"Priority 3","Nurture")))</x:f>
        <x:v>Nurture</x:v>
      </x:c>
    </x:row>
    <x:row r="153">
      <x:c r="A153" s="16" t="n">
        <x:v>7987</x:v>
      </x:c>
      <x:c r="B153" s="16" t="n">
        <x:v>1969</x:v>
      </x:c>
      <x:c r="C153" s="16" t="str">
        <x:v>Graduation</x:v>
      </x:c>
      <x:c r="D153" s="16" t="str">
        <x:v>Married</x:v>
      </x:c>
      <x:c r="E153" s="16" t="n">
        <x:v>65747</x:v>
      </x:c>
      <x:c r="F153" s="16" t="n">
        <x:v>0</x:v>
      </x:c>
      <x:c r="G153" s="16" t="n">
        <x:v>1</x:v>
      </x:c>
      <x:c r="H153" s="16" t="str">
        <x:v>07-03-2014</x:v>
      </x:c>
      <x:c r="I153" s="16" t="n">
        <x:v>96</x:v>
      </x:c>
      <x:c r="J153" s="16" t="n">
        <x:v>346</x:v>
      </x:c>
      <x:c r="K153" s="16" t="n">
        <x:v>17</x:v>
      </x:c>
      <x:c r="L153" s="16" t="n">
        <x:v>48</x:v>
      </x:c>
      <x:c r="M153" s="16" t="n">
        <x:v>23</x:v>
      </x:c>
      <x:c r="N153" s="16" t="n">
        <x:v>13</x:v>
      </x:c>
      <x:c r="O153" s="16" t="n">
        <x:v>13</x:v>
      </x:c>
      <x:c r="P153" s="16" t="n">
        <x:v>4</x:v>
      </x:c>
      <x:c r="Q153" s="16" t="n">
        <x:v>8</x:v>
      </x:c>
      <x:c r="R153" s="16" t="n">
        <x:v>1</x:v>
      </x:c>
      <x:c r="S153" s="16" t="n">
        <x:v>6</x:v>
      </x:c>
      <x:c r="T153" s="16" t="n">
        <x:v>6</x:v>
      </x:c>
      <x:c r="U153" s="16" t="n">
        <x:v>0</x:v>
      </x:c>
      <x:c r="V153" s="16" t="n">
        <x:v>1</x:v>
      </x:c>
      <x:c r="W153" s="16" t="n">
        <x:v>0</x:v>
      </x:c>
      <x:c r="X153" s="16" t="n">
        <x:v>0</x:v>
      </x:c>
      <x:c r="Y153" s="16" t="n">
        <x:v>0</x:v>
      </x:c>
      <x:c r="Z153" s="16" t="n">
        <x:v>0</x:v>
      </x:c>
      <x:c r="AA153" s="16" t="n">
        <x:v>3</x:v>
      </x:c>
      <x:c r="AB153" s="16" t="n">
        <x:v>11</x:v>
      </x:c>
      <x:c r="AC153" s="16" t="n">
        <x:v>0</x:v>
      </x:c>
      <x:c r="AD153" s="21" t="n">
        <x:f>IF(E153="",MEDIAN($E$2:$E$2237),E153)</x:f>
        <x:v>65747</x:v>
      </x:c>
      <x:c r="AE153" s="17" t="n">
        <x:f>2014-B153</x:f>
        <x:v>45</x:v>
      </x:c>
      <x:c r="AF153" s="17" t="n">
        <x:f>F153+G153</x:f>
        <x:v>1</x:v>
      </x:c>
      <x:c r="AG153" s="21" t="n">
        <x:f>SUM(J153:O153)</x:f>
        <x:v>460</x:v>
      </x:c>
      <x:c r="AH153" s="17" t="n">
        <x:f>SUM(Q153:S153)</x:f>
        <x:v>15</x:v>
      </x:c>
      <x:c r="AI153" s="17" t="n">
        <x:f>SUM(U153:Y153)</x:f>
        <x:v>1</x:v>
      </x:c>
      <x:c r="AJ153" s="17" t="str">
        <x:f>IF(AE153&lt;=34,"≤34",IF(AE153&lt;=44,"35–44",IF(AE153&lt;=54,"45–54",IF(AE153&lt;=64,"55–64","65+"))))</x:f>
        <x:v>45–54</x:v>
      </x:c>
      <x:c r="AK153" s="17" t="str">
        <x:f>IF(AG153&gt;=1000,"High Value",IF(AG153&gt;=300,"Mid Value","Low Value"))</x:f>
        <x:v>Mid Value</x:v>
      </x:c>
      <x:c r="AL153" s="17" t="str">
        <x:f>IF(AND(AI153&gt;=1,I153&lt;=50),"Priority 1",IF(AND(AG153&gt;=1000,I153&lt;=60),"Priority 2",IF(I153&lt;=30,"Priority 3","Nurture")))</x:f>
        <x:v>Nurture</x:v>
      </x:c>
    </x:row>
    <x:row r="154">
      <x:c r="A154" s="16" t="n">
        <x:v>7798</x:v>
      </x:c>
      <x:c r="B154" s="16" t="n">
        <x:v>1972</x:v>
      </x:c>
      <x:c r="C154" s="16" t="str">
        <x:v>2n Cycle</x:v>
      </x:c>
      <x:c r="D154" s="16" t="str">
        <x:v>Together</x:v>
      </x:c>
      <x:c r="E154" s="16" t="n">
        <x:v>46344</x:v>
      </x:c>
      <x:c r="F154" s="16" t="n">
        <x:v>0</x:v>
      </x:c>
      <x:c r="G154" s="16" t="n">
        <x:v>1</x:v>
      </x:c>
      <x:c r="H154" s="16" t="str">
        <x:v>14-12-2012</x:v>
      </x:c>
      <x:c r="I154" s="16" t="n">
        <x:v>28</x:v>
      </x:c>
      <x:c r="J154" s="16" t="n">
        <x:v>233</x:v>
      </x:c>
      <x:c r="K154" s="16" t="n">
        <x:v>20</x:v>
      </x:c>
      <x:c r="L154" s="16" t="n">
        <x:v>57</x:v>
      </x:c>
      <x:c r="M154" s="16" t="n">
        <x:v>8</x:v>
      </x:c>
      <x:c r="N154" s="16" t="n">
        <x:v>20</x:v>
      </x:c>
      <x:c r="O154" s="16" t="n">
        <x:v>91</x:v>
      </x:c>
      <x:c r="P154" s="16" t="n">
        <x:v>4</x:v>
      </x:c>
      <x:c r="Q154" s="16" t="n">
        <x:v>7</x:v>
      </x:c>
      <x:c r="R154" s="16" t="n">
        <x:v>1</x:v>
      </x:c>
      <x:c r="S154" s="16" t="n">
        <x:v>5</x:v>
      </x:c>
      <x:c r="T154" s="16" t="n">
        <x:v>7</x:v>
      </x:c>
      <x:c r="U154" s="16" t="n">
        <x:v>0</x:v>
      </x:c>
      <x:c r="V154" s="16" t="n">
        <x:v>0</x:v>
      </x:c>
      <x:c r="W154" s="16" t="n">
        <x:v>0</x:v>
      </x:c>
      <x:c r="X154" s="16" t="n">
        <x:v>0</x:v>
      </x:c>
      <x:c r="Y154" s="16" t="n">
        <x:v>0</x:v>
      </x:c>
      <x:c r="Z154" s="16" t="n">
        <x:v>0</x:v>
      </x:c>
      <x:c r="AA154" s="16" t="n">
        <x:v>3</x:v>
      </x:c>
      <x:c r="AB154" s="16" t="n">
        <x:v>11</x:v>
      </x:c>
      <x:c r="AC154" s="16" t="n">
        <x:v>0</x:v>
      </x:c>
      <x:c r="AD154" s="21" t="n">
        <x:f>IF(E154="",MEDIAN($E$2:$E$2237),E154)</x:f>
        <x:v>46344</x:v>
      </x:c>
      <x:c r="AE154" s="17" t="n">
        <x:f>2014-B154</x:f>
        <x:v>42</x:v>
      </x:c>
      <x:c r="AF154" s="17" t="n">
        <x:f>F154+G154</x:f>
        <x:v>1</x:v>
      </x:c>
      <x:c r="AG154" s="21" t="n">
        <x:f>SUM(J154:O154)</x:f>
        <x:v>429</x:v>
      </x:c>
      <x:c r="AH154" s="17" t="n">
        <x:f>SUM(Q154:S154)</x:f>
        <x:v>13</x:v>
      </x:c>
      <x:c r="AI154" s="17" t="n">
        <x:f>SUM(U154:Y154)</x:f>
        <x:v>0</x:v>
      </x:c>
      <x:c r="AJ154" s="17" t="str">
        <x:f>IF(AE154&lt;=34,"≤34",IF(AE154&lt;=44,"35–44",IF(AE154&lt;=54,"45–54",IF(AE154&lt;=64,"55–64","65+"))))</x:f>
        <x:v>35–44</x:v>
      </x:c>
      <x:c r="AK154" s="17" t="str">
        <x:f>IF(AG154&gt;=1000,"High Value",IF(AG154&gt;=300,"Mid Value","Low Value"))</x:f>
        <x:v>Mid Value</x:v>
      </x:c>
      <x:c r="AL154" s="17" t="str">
        <x:f>IF(AND(AI154&gt;=1,I154&lt;=50),"Priority 1",IF(AND(AG154&gt;=1000,I154&lt;=60),"Priority 2",IF(I154&lt;=30,"Priority 3","Nurture")))</x:f>
        <x:v>Priority 3</x:v>
      </x:c>
    </x:row>
    <x:row r="155">
      <x:c r="A155" s="16" t="n">
        <x:v>92</x:v>
      </x:c>
      <x:c r="B155" s="16" t="n">
        <x:v>1988</x:v>
      </x:c>
      <x:c r="C155" s="16" t="str">
        <x:v>Graduation</x:v>
      </x:c>
      <x:c r="D155" s="16" t="str">
        <x:v>Alone</x:v>
      </x:c>
      <x:c r="E155" s="16" t="n">
        <x:v>34176</x:v>
      </x:c>
      <x:c r="F155" s="16" t="n">
        <x:v>1</x:v>
      </x:c>
      <x:c r="G155" s="16" t="n">
        <x:v>0</x:v>
      </x:c>
      <x:c r="H155" s="16" t="str">
        <x:v>12-05-2014</x:v>
      </x:c>
      <x:c r="I155" s="16" t="n">
        <x:v>12</x:v>
      </x:c>
      <x:c r="J155" s="16" t="n">
        <x:v>5</x:v>
      </x:c>
      <x:c r="K155" s="16" t="n">
        <x:v>7</x:v>
      </x:c>
      <x:c r="L155" s="16" t="n">
        <x:v>24</x:v>
      </x:c>
      <x:c r="M155" s="16" t="n">
        <x:v>19</x:v>
      </x:c>
      <x:c r="N155" s="16" t="n">
        <x:v>14</x:v>
      </x:c>
      <x:c r="O155" s="16" t="n">
        <x:v>20</x:v>
      </x:c>
      <x:c r="P155" s="16" t="n">
        <x:v>4</x:v>
      </x:c>
      <x:c r="Q155" s="16" t="n">
        <x:v>3</x:v>
      </x:c>
      <x:c r="R155" s="16" t="n">
        <x:v>0</x:v>
      </x:c>
      <x:c r="S155" s="16" t="n">
        <x:v>4</x:v>
      </x:c>
      <x:c r="T155" s="16" t="n">
        <x:v>6</x:v>
      </x:c>
      <x:c r="U155" s="16" t="n">
        <x:v>0</x:v>
      </x:c>
      <x:c r="V155" s="16" t="n">
        <x:v>0</x:v>
      </x:c>
      <x:c r="W155" s="16" t="n">
        <x:v>0</x:v>
      </x:c>
      <x:c r="X155" s="16" t="n">
        <x:v>0</x:v>
      </x:c>
      <x:c r="Y155" s="16" t="n">
        <x:v>0</x:v>
      </x:c>
      <x:c r="Z155" s="16" t="n">
        <x:v>0</x:v>
      </x:c>
      <x:c r="AA155" s="16" t="n">
        <x:v>3</x:v>
      </x:c>
      <x:c r="AB155" s="16" t="n">
        <x:v>11</x:v>
      </x:c>
      <x:c r="AC155" s="16" t="n">
        <x:v>0</x:v>
      </x:c>
      <x:c r="AD155" s="21" t="n">
        <x:f>IF(E155="",MEDIAN($E$2:$E$2237),E155)</x:f>
        <x:v>34176</x:v>
      </x:c>
      <x:c r="AE155" s="17" t="n">
        <x:f>2014-B155</x:f>
        <x:v>26</x:v>
      </x:c>
      <x:c r="AF155" s="17" t="n">
        <x:f>F155+G155</x:f>
        <x:v>1</x:v>
      </x:c>
      <x:c r="AG155" s="21" t="n">
        <x:f>SUM(J155:O155)</x:f>
        <x:v>89</x:v>
      </x:c>
      <x:c r="AH155" s="17" t="n">
        <x:f>SUM(Q155:S155)</x:f>
        <x:v>7</x:v>
      </x:c>
      <x:c r="AI155" s="17" t="n">
        <x:f>SUM(U155:Y155)</x:f>
        <x:v>0</x:v>
      </x:c>
      <x:c r="AJ155" s="17" t="str">
        <x:f>IF(AE155&lt;=34,"≤34",IF(AE155&lt;=44,"35–44",IF(AE155&lt;=54,"45–54",IF(AE155&lt;=64,"55–64","65+"))))</x:f>
        <x:v>≤34</x:v>
      </x:c>
      <x:c r="AK155" s="17" t="str">
        <x:f>IF(AG155&gt;=1000,"High Value",IF(AG155&gt;=300,"Mid Value","Low Value"))</x:f>
        <x:v>Low Value</x:v>
      </x:c>
      <x:c r="AL155" s="17" t="str">
        <x:f>IF(AND(AI155&gt;=1,I155&lt;=50),"Priority 1",IF(AND(AG155&gt;=1000,I155&lt;=60),"Priority 2",IF(I155&lt;=30,"Priority 3","Nurture")))</x:f>
        <x:v>Priority 3</x:v>
      </x:c>
    </x:row>
    <x:row r="156">
      <x:c r="A156" s="16" t="n">
        <x:v>7055</x:v>
      </x:c>
      <x:c r="B156" s="16" t="n">
        <x:v>1952</x:v>
      </x:c>
      <x:c r="C156" s="16" t="str">
        <x:v>PhD</x:v>
      </x:c>
      <x:c r="D156" s="16" t="str">
        <x:v>Together</x:v>
      </x:c>
      <x:c r="E156" s="16" t="n">
        <x:v>61010</x:v>
      </x:c>
      <x:c r="F156" s="16" t="n">
        <x:v>0</x:v>
      </x:c>
      <x:c r="G156" s="16" t="n">
        <x:v>1</x:v>
      </x:c>
      <x:c r="H156" s="16" t="str">
        <x:v>09-10-2012</x:v>
      </x:c>
      <x:c r="I156" s="16" t="n">
        <x:v>57</x:v>
      </x:c>
      <x:c r="J156" s="16" t="n">
        <x:v>888</x:v>
      </x:c>
      <x:c r="K156" s="16" t="n">
        <x:v>0</x:v>
      </x:c>
      <x:c r="L156" s="16" t="n">
        <x:v>57</x:v>
      </x:c>
      <x:c r="M156" s="16" t="n">
        <x:v>0</x:v>
      </x:c>
      <x:c r="N156" s="16" t="n">
        <x:v>0</x:v>
      </x:c>
      <x:c r="O156" s="16" t="n">
        <x:v>76</x:v>
      </x:c>
      <x:c r="P156" s="16" t="n">
        <x:v>2</x:v>
      </x:c>
      <x:c r="Q156" s="16" t="n">
        <x:v>8</x:v>
      </x:c>
      <x:c r="R156" s="16" t="n">
        <x:v>5</x:v>
      </x:c>
      <x:c r="S156" s="16" t="n">
        <x:v>11</x:v>
      </x:c>
      <x:c r="T156" s="16" t="n">
        <x:v>5</x:v>
      </x:c>
      <x:c r="U156" s="16" t="n">
        <x:v>0</x:v>
      </x:c>
      <x:c r="V156" s="16" t="n">
        <x:v>0</x:v>
      </x:c>
      <x:c r="W156" s="16" t="n">
        <x:v>0</x:v>
      </x:c>
      <x:c r="X156" s="16" t="n">
        <x:v>0</x:v>
      </x:c>
      <x:c r="Y156" s="16" t="n">
        <x:v>0</x:v>
      </x:c>
      <x:c r="Z156" s="16" t="n">
        <x:v>0</x:v>
      </x:c>
      <x:c r="AA156" s="16" t="n">
        <x:v>3</x:v>
      </x:c>
      <x:c r="AB156" s="16" t="n">
        <x:v>11</x:v>
      </x:c>
      <x:c r="AC156" s="16" t="n">
        <x:v>0</x:v>
      </x:c>
      <x:c r="AD156" s="21" t="n">
        <x:f>IF(E156="",MEDIAN($E$2:$E$2237),E156)</x:f>
        <x:v>61010</x:v>
      </x:c>
      <x:c r="AE156" s="17" t="n">
        <x:f>2014-B156</x:f>
        <x:v>62</x:v>
      </x:c>
      <x:c r="AF156" s="17" t="n">
        <x:f>F156+G156</x:f>
        <x:v>1</x:v>
      </x:c>
      <x:c r="AG156" s="21" t="n">
        <x:f>SUM(J156:O156)</x:f>
        <x:v>1021</x:v>
      </x:c>
      <x:c r="AH156" s="17" t="n">
        <x:f>SUM(Q156:S156)</x:f>
        <x:v>24</x:v>
      </x:c>
      <x:c r="AI156" s="17" t="n">
        <x:f>SUM(U156:Y156)</x:f>
        <x:v>0</x:v>
      </x:c>
      <x:c r="AJ156" s="17" t="str">
        <x:f>IF(AE156&lt;=34,"≤34",IF(AE156&lt;=44,"35–44",IF(AE156&lt;=54,"45–54",IF(AE156&lt;=64,"55–64","65+"))))</x:f>
        <x:v>55–64</x:v>
      </x:c>
      <x:c r="AK156" s="17" t="str">
        <x:f>IF(AG156&gt;=1000,"High Value",IF(AG156&gt;=300,"Mid Value","Low Value"))</x:f>
        <x:v>High Value</x:v>
      </x:c>
      <x:c r="AL156" s="17" t="str">
        <x:f>IF(AND(AI156&gt;=1,I156&lt;=50),"Priority 1",IF(AND(AG156&gt;=1000,I156&lt;=60),"Priority 2",IF(I156&lt;=30,"Priority 3","Nurture")))</x:f>
        <x:v>Priority 2</x:v>
      </x:c>
    </x:row>
    <x:row r="157">
      <x:c r="A157" s="16" t="n">
        <x:v>10240</x:v>
      </x:c>
      <x:c r="B157" s="16" t="n">
        <x:v>1949</x:v>
      </x:c>
      <x:c r="C157" s="16" t="str">
        <x:v>Graduation</x:v>
      </x:c>
      <x:c r="D157" s="16" t="str">
        <x:v>Together</x:v>
      </x:c>
      <x:c r="E157" s="16" t="n">
        <x:v>69372</x:v>
      </x:c>
      <x:c r="F157" s="16" t="n">
        <x:v>0</x:v>
      </x:c>
      <x:c r="G157" s="16" t="n">
        <x:v>0</x:v>
      </x:c>
      <x:c r="H157" s="16" t="str">
        <x:v>19-02-2013</x:v>
      </x:c>
      <x:c r="I157" s="16" t="n">
        <x:v>10</x:v>
      </x:c>
      <x:c r="J157" s="16" t="n">
        <x:v>997</x:v>
      </x:c>
      <x:c r="K157" s="16" t="n">
        <x:v>26</x:v>
      </x:c>
      <x:c r="L157" s="16" t="n">
        <x:v>269</x:v>
      </x:c>
      <x:c r="M157" s="16" t="n">
        <x:v>34</x:v>
      </x:c>
      <x:c r="N157" s="16" t="n">
        <x:v>13</x:v>
      </x:c>
      <x:c r="O157" s="16" t="n">
        <x:v>42</x:v>
      </x:c>
      <x:c r="P157" s="16" t="n">
        <x:v>1</x:v>
      </x:c>
      <x:c r="Q157" s="16" t="n">
        <x:v>10</x:v>
      </x:c>
      <x:c r="R157" s="16" t="n">
        <x:v>4</x:v>
      </x:c>
      <x:c r="S157" s="16" t="n">
        <x:v>6</x:v>
      </x:c>
      <x:c r="T157" s="16" t="n">
        <x:v>4</x:v>
      </x:c>
      <x:c r="U157" s="16" t="n">
        <x:v>0</x:v>
      </x:c>
      <x:c r="V157" s="16" t="n">
        <x:v>1</x:v>
      </x:c>
      <x:c r="W157" s="16" t="n">
        <x:v>1</x:v>
      </x:c>
      <x:c r="X157" s="16" t="n">
        <x:v>0</x:v>
      </x:c>
      <x:c r="Y157" s="16" t="n">
        <x:v>0</x:v>
      </x:c>
      <x:c r="Z157" s="16" t="n">
        <x:v>0</x:v>
      </x:c>
      <x:c r="AA157" s="16" t="n">
        <x:v>3</x:v>
      </x:c>
      <x:c r="AB157" s="16" t="n">
        <x:v>11</x:v>
      </x:c>
      <x:c r="AC157" s="16" t="n">
        <x:v>1</x:v>
      </x:c>
      <x:c r="AD157" s="21" t="n">
        <x:f>IF(E157="",MEDIAN($E$2:$E$2237),E157)</x:f>
        <x:v>69372</x:v>
      </x:c>
      <x:c r="AE157" s="17" t="n">
        <x:f>2014-B157</x:f>
        <x:v>65</x:v>
      </x:c>
      <x:c r="AF157" s="17" t="n">
        <x:f>F157+G157</x:f>
        <x:v>0</x:v>
      </x:c>
      <x:c r="AG157" s="21" t="n">
        <x:f>SUM(J157:O157)</x:f>
        <x:v>1381</x:v>
      </x:c>
      <x:c r="AH157" s="17" t="n">
        <x:f>SUM(Q157:S157)</x:f>
        <x:v>20</x:v>
      </x:c>
      <x:c r="AI157" s="17" t="n">
        <x:f>SUM(U157:Y157)</x:f>
        <x:v>2</x:v>
      </x:c>
      <x:c r="AJ157" s="17" t="str">
        <x:f>IF(AE157&lt;=34,"≤34",IF(AE157&lt;=44,"35–44",IF(AE157&lt;=54,"45–54",IF(AE157&lt;=64,"55–64","65+"))))</x:f>
        <x:v>65+</x:v>
      </x:c>
      <x:c r="AK157" s="17" t="str">
        <x:f>IF(AG157&gt;=1000,"High Value",IF(AG157&gt;=300,"Mid Value","Low Value"))</x:f>
        <x:v>High Value</x:v>
      </x:c>
      <x:c r="AL157" s="17" t="str">
        <x:f>IF(AND(AI157&gt;=1,I157&lt;=50),"Priority 1",IF(AND(AG157&gt;=1000,I157&lt;=60),"Priority 2",IF(I157&lt;=30,"Priority 3","Nurture")))</x:f>
        <x:v>Priority 1</x:v>
      </x:c>
    </x:row>
    <x:row r="158">
      <x:c r="A158" s="16" t="n">
        <x:v>3025</x:v>
      </x:c>
      <x:c r="B158" s="16" t="n">
        <x:v>1958</x:v>
      </x:c>
      <x:c r="C158" s="16" t="str">
        <x:v>Graduation</x:v>
      </x:c>
      <x:c r="D158" s="16" t="str">
        <x:v>Single</x:v>
      </x:c>
      <x:c r="E158" s="16" t="n">
        <x:v>49967</x:v>
      </x:c>
      <x:c r="F158" s="16" t="n">
        <x:v>0</x:v>
      </x:c>
      <x:c r="G158" s="16" t="n">
        <x:v>1</x:v>
      </x:c>
      <x:c r="H158" s="16" t="str">
        <x:v>08-07-2013</x:v>
      </x:c>
      <x:c r="I158" s="16" t="n">
        <x:v>4</x:v>
      </x:c>
      <x:c r="J158" s="16" t="n">
        <x:v>212</x:v>
      </x:c>
      <x:c r="K158" s="16" t="n">
        <x:v>6</x:v>
      </x:c>
      <x:c r="L158" s="16" t="n">
        <x:v>69</x:v>
      </x:c>
      <x:c r="M158" s="16" t="n">
        <x:v>4</x:v>
      </x:c>
      <x:c r="N158" s="16" t="n">
        <x:v>12</x:v>
      </x:c>
      <x:c r="O158" s="16" t="n">
        <x:v>3</x:v>
      </x:c>
      <x:c r="P158" s="16" t="n">
        <x:v>3</x:v>
      </x:c>
      <x:c r="Q158" s="16" t="n">
        <x:v>6</x:v>
      </x:c>
      <x:c r="R158" s="16" t="n">
        <x:v>1</x:v>
      </x:c>
      <x:c r="S158" s="16" t="n">
        <x:v>5</x:v>
      </x:c>
      <x:c r="T158" s="16" t="n">
        <x:v>7</x:v>
      </x:c>
      <x:c r="U158" s="16" t="n">
        <x:v>0</x:v>
      </x:c>
      <x:c r="V158" s="16" t="n">
        <x:v>0</x:v>
      </x:c>
      <x:c r="W158" s="16" t="n">
        <x:v>0</x:v>
      </x:c>
      <x:c r="X158" s="16" t="n">
        <x:v>0</x:v>
      </x:c>
      <x:c r="Y158" s="16" t="n">
        <x:v>0</x:v>
      </x:c>
      <x:c r="Z158" s="16" t="n">
        <x:v>0</x:v>
      </x:c>
      <x:c r="AA158" s="16" t="n">
        <x:v>3</x:v>
      </x:c>
      <x:c r="AB158" s="16" t="n">
        <x:v>11</x:v>
      </x:c>
      <x:c r="AC158" s="16" t="n">
        <x:v>0</x:v>
      </x:c>
      <x:c r="AD158" s="21" t="n">
        <x:f>IF(E158="",MEDIAN($E$2:$E$2237),E158)</x:f>
        <x:v>49967</x:v>
      </x:c>
      <x:c r="AE158" s="17" t="n">
        <x:f>2014-B158</x:f>
        <x:v>56</x:v>
      </x:c>
      <x:c r="AF158" s="17" t="n">
        <x:f>F158+G158</x:f>
        <x:v>1</x:v>
      </x:c>
      <x:c r="AG158" s="21" t="n">
        <x:f>SUM(J158:O158)</x:f>
        <x:v>306</x:v>
      </x:c>
      <x:c r="AH158" s="17" t="n">
        <x:f>SUM(Q158:S158)</x:f>
        <x:v>12</x:v>
      </x:c>
      <x:c r="AI158" s="17" t="n">
        <x:f>SUM(U158:Y158)</x:f>
        <x:v>0</x:v>
      </x:c>
      <x:c r="AJ158" s="17" t="str">
        <x:f>IF(AE158&lt;=34,"≤34",IF(AE158&lt;=44,"35–44",IF(AE158&lt;=54,"45–54",IF(AE158&lt;=64,"55–64","65+"))))</x:f>
        <x:v>55–64</x:v>
      </x:c>
      <x:c r="AK158" s="17" t="str">
        <x:f>IF(AG158&gt;=1000,"High Value",IF(AG158&gt;=300,"Mid Value","Low Value"))</x:f>
        <x:v>Mid Value</x:v>
      </x:c>
      <x:c r="AL158" s="17" t="str">
        <x:f>IF(AND(AI158&gt;=1,I158&lt;=50),"Priority 1",IF(AND(AG158&gt;=1000,I158&lt;=60),"Priority 2",IF(I158&lt;=30,"Priority 3","Nurture")))</x:f>
        <x:v>Priority 3</x:v>
      </x:c>
    </x:row>
    <x:row r="159">
      <x:c r="A159" s="16" t="n">
        <x:v>9283</x:v>
      </x:c>
      <x:c r="B159" s="16" t="n">
        <x:v>1978</x:v>
      </x:c>
      <x:c r="C159" s="16" t="str">
        <x:v>Graduation</x:v>
      </x:c>
      <x:c r="D159" s="16" t="str">
        <x:v>Single</x:v>
      </x:c>
      <x:c r="E159" s="16" t="n">
        <x:v>60199</x:v>
      </x:c>
      <x:c r="F159" s="16" t="n">
        <x:v>1</x:v>
      </x:c>
      <x:c r="G159" s="16" t="n">
        <x:v>2</x:v>
      </x:c>
      <x:c r="H159" s="16" t="str">
        <x:v>12-09-2013</x:v>
      </x:c>
      <x:c r="I159" s="16" t="n">
        <x:v>49</x:v>
      </x:c>
      <x:c r="J159" s="16" t="n">
        <x:v>8</x:v>
      </x:c>
      <x:c r="K159" s="16" t="n">
        <x:v>1</x:v>
      </x:c>
      <x:c r="L159" s="16" t="n">
        <x:v>7</x:v>
      </x:c>
      <x:c r="M159" s="16" t="n">
        <x:v>2</x:v>
      </x:c>
      <x:c r="N159" s="16" t="n">
        <x:v>0</x:v>
      </x:c>
      <x:c r="O159" s="16" t="n">
        <x:v>0</x:v>
      </x:c>
      <x:c r="P159" s="16" t="n">
        <x:v>1</x:v>
      </x:c>
      <x:c r="Q159" s="16" t="n">
        <x:v>0</x:v>
      </x:c>
      <x:c r="R159" s="16" t="n">
        <x:v>0</x:v>
      </x:c>
      <x:c r="S159" s="16" t="n">
        <x:v>3</x:v>
      </x:c>
      <x:c r="T159" s="16" t="n">
        <x:v>4</x:v>
      </x:c>
      <x:c r="U159" s="16" t="n">
        <x:v>0</x:v>
      </x:c>
      <x:c r="V159" s="16" t="n">
        <x:v>0</x:v>
      </x:c>
      <x:c r="W159" s="16" t="n">
        <x:v>0</x:v>
      </x:c>
      <x:c r="X159" s="16" t="n">
        <x:v>0</x:v>
      </x:c>
      <x:c r="Y159" s="16" t="n">
        <x:v>0</x:v>
      </x:c>
      <x:c r="Z159" s="16" t="n">
        <x:v>0</x:v>
      </x:c>
      <x:c r="AA159" s="16" t="n">
        <x:v>3</x:v>
      </x:c>
      <x:c r="AB159" s="16" t="n">
        <x:v>11</x:v>
      </x:c>
      <x:c r="AC159" s="16" t="n">
        <x:v>0</x:v>
      </x:c>
      <x:c r="AD159" s="21" t="n">
        <x:f>IF(E159="",MEDIAN($E$2:$E$2237),E159)</x:f>
        <x:v>60199</x:v>
      </x:c>
      <x:c r="AE159" s="17" t="n">
        <x:f>2014-B159</x:f>
        <x:v>36</x:v>
      </x:c>
      <x:c r="AF159" s="17" t="n">
        <x:f>F159+G159</x:f>
        <x:v>3</x:v>
      </x:c>
      <x:c r="AG159" s="21" t="n">
        <x:f>SUM(J159:O159)</x:f>
        <x:v>18</x:v>
      </x:c>
      <x:c r="AH159" s="17" t="n">
        <x:f>SUM(Q159:S159)</x:f>
        <x:v>3</x:v>
      </x:c>
      <x:c r="AI159" s="17" t="n">
        <x:f>SUM(U159:Y159)</x:f>
        <x:v>0</x:v>
      </x:c>
      <x:c r="AJ159" s="17" t="str">
        <x:f>IF(AE159&lt;=34,"≤34",IF(AE159&lt;=44,"35–44",IF(AE159&lt;=54,"45–54",IF(AE159&lt;=64,"55–64","65+"))))</x:f>
        <x:v>35–44</x:v>
      </x:c>
      <x:c r="AK159" s="17" t="str">
        <x:f>IF(AG159&gt;=1000,"High Value",IF(AG159&gt;=300,"Mid Value","Low Value"))</x:f>
        <x:v>Low Value</x:v>
      </x:c>
      <x:c r="AL159" s="17" t="str">
        <x:f>IF(AND(AI159&gt;=1,I159&lt;=50),"Priority 1",IF(AND(AG159&gt;=1000,I159&lt;=60),"Priority 2",IF(I159&lt;=30,"Priority 3","Nurture")))</x:f>
        <x:v>Nurture</x:v>
      </x:c>
    </x:row>
    <x:row r="160">
      <x:c r="A160" s="16" t="n">
        <x:v>9970</x:v>
      </x:c>
      <x:c r="B160" s="16" t="n">
        <x:v>1977</x:v>
      </x:c>
      <x:c r="C160" s="16" t="str">
        <x:v>Graduation</x:v>
      </x:c>
      <x:c r="D160" s="16" t="str">
        <x:v>Together</x:v>
      </x:c>
      <x:c r="E160" s="16" t="n">
        <x:v>55375</x:v>
      </x:c>
      <x:c r="F160" s="16" t="n">
        <x:v>0</x:v>
      </x:c>
      <x:c r="G160" s="16" t="n">
        <x:v>1</x:v>
      </x:c>
      <x:c r="H160" s="16" t="str">
        <x:v>17-10-2013</x:v>
      </x:c>
      <x:c r="I160" s="16" t="n">
        <x:v>3</x:v>
      </x:c>
      <x:c r="J160" s="16" t="n">
        <x:v>42</x:v>
      </x:c>
      <x:c r="K160" s="16" t="n">
        <x:v>11</x:v>
      </x:c>
      <x:c r="L160" s="16" t="n">
        <x:v>57</x:v>
      </x:c>
      <x:c r="M160" s="16" t="n">
        <x:v>10</x:v>
      </x:c>
      <x:c r="N160" s="16" t="n">
        <x:v>28</x:v>
      </x:c>
      <x:c r="O160" s="16" t="n">
        <x:v>14</x:v>
      </x:c>
      <x:c r="P160" s="16" t="n">
        <x:v>1</x:v>
      </x:c>
      <x:c r="Q160" s="16" t="n">
        <x:v>1</x:v>
      </x:c>
      <x:c r="R160" s="16" t="n">
        <x:v>1</x:v>
      </x:c>
      <x:c r="S160" s="16" t="n">
        <x:v>6</x:v>
      </x:c>
      <x:c r="T160" s="16" t="n">
        <x:v>2</x:v>
      </x:c>
      <x:c r="U160" s="16" t="n">
        <x:v>0</x:v>
      </x:c>
      <x:c r="V160" s="16" t="n">
        <x:v>0</x:v>
      </x:c>
      <x:c r="W160" s="16" t="n">
        <x:v>0</x:v>
      </x:c>
      <x:c r="X160" s="16" t="n">
        <x:v>0</x:v>
      </x:c>
      <x:c r="Y160" s="16" t="n">
        <x:v>0</x:v>
      </x:c>
      <x:c r="Z160" s="16" t="n">
        <x:v>0</x:v>
      </x:c>
      <x:c r="AA160" s="16" t="n">
        <x:v>3</x:v>
      </x:c>
      <x:c r="AB160" s="16" t="n">
        <x:v>11</x:v>
      </x:c>
      <x:c r="AC160" s="16" t="n">
        <x:v>0</x:v>
      </x:c>
      <x:c r="AD160" s="21" t="n">
        <x:f>IF(E160="",MEDIAN($E$2:$E$2237),E160)</x:f>
        <x:v>55375</x:v>
      </x:c>
      <x:c r="AE160" s="17" t="n">
        <x:f>2014-B160</x:f>
        <x:v>37</x:v>
      </x:c>
      <x:c r="AF160" s="17" t="n">
        <x:f>F160+G160</x:f>
        <x:v>1</x:v>
      </x:c>
      <x:c r="AG160" s="21" t="n">
        <x:f>SUM(J160:O160)</x:f>
        <x:v>162</x:v>
      </x:c>
      <x:c r="AH160" s="17" t="n">
        <x:f>SUM(Q160:S160)</x:f>
        <x:v>8</x:v>
      </x:c>
      <x:c r="AI160" s="17" t="n">
        <x:f>SUM(U160:Y160)</x:f>
        <x:v>0</x:v>
      </x:c>
      <x:c r="AJ160" s="17" t="str">
        <x:f>IF(AE160&lt;=34,"≤34",IF(AE160&lt;=44,"35–44",IF(AE160&lt;=54,"45–54",IF(AE160&lt;=64,"55–64","65+"))))</x:f>
        <x:v>35–44</x:v>
      </x:c>
      <x:c r="AK160" s="17" t="str">
        <x:f>IF(AG160&gt;=1000,"High Value",IF(AG160&gt;=300,"Mid Value","Low Value"))</x:f>
        <x:v>Low Value</x:v>
      </x:c>
      <x:c r="AL160" s="17" t="str">
        <x:f>IF(AND(AI160&gt;=1,I160&lt;=50),"Priority 1",IF(AND(AG160&gt;=1000,I160&lt;=60),"Priority 2",IF(I160&lt;=30,"Priority 3","Nurture")))</x:f>
        <x:v>Priority 3</x:v>
      </x:c>
    </x:row>
    <x:row r="161">
      <x:c r="A161" s="16" t="n">
        <x:v>2730</x:v>
      </x:c>
      <x:c r="B161" s="16" t="n">
        <x:v>1955</x:v>
      </x:c>
      <x:c r="C161" s="16" t="str">
        <x:v>Graduation</x:v>
      </x:c>
      <x:c r="D161" s="16" t="str">
        <x:v>Single</x:v>
      </x:c>
      <x:c r="E161" s="16" t="n">
        <x:v>80317</x:v>
      </x:c>
      <x:c r="F161" s="16" t="n">
        <x:v>0</x:v>
      </x:c>
      <x:c r="G161" s="16" t="n">
        <x:v>0</x:v>
      </x:c>
      <x:c r="H161" s="16" t="str">
        <x:v>20-08-2013</x:v>
      </x:c>
      <x:c r="I161" s="16" t="n">
        <x:v>64</x:v>
      </x:c>
      <x:c r="J161" s="16" t="n">
        <x:v>536</x:v>
      </x:c>
      <x:c r="K161" s="16" t="n">
        <x:v>11</x:v>
      </x:c>
      <x:c r="L161" s="16" t="n">
        <x:v>387</x:v>
      </x:c>
      <x:c r="M161" s="16" t="n">
        <x:v>149</x:v>
      </x:c>
      <x:c r="N161" s="16" t="n">
        <x:v>91</x:v>
      </x:c>
      <x:c r="O161" s="16" t="n">
        <x:v>57</x:v>
      </x:c>
      <x:c r="P161" s="16" t="n">
        <x:v>1</x:v>
      </x:c>
      <x:c r="Q161" s="16" t="n">
        <x:v>3</x:v>
      </x:c>
      <x:c r="R161" s="16" t="n">
        <x:v>4</x:v>
      </x:c>
      <x:c r="S161" s="16" t="n">
        <x:v>10</x:v>
      </x:c>
      <x:c r="T161" s="16" t="n">
        <x:v>1</x:v>
      </x:c>
      <x:c r="U161" s="16" t="n">
        <x:v>0</x:v>
      </x:c>
      <x:c r="V161" s="16" t="n">
        <x:v>0</x:v>
      </x:c>
      <x:c r="W161" s="16" t="n">
        <x:v>0</x:v>
      </x:c>
      <x:c r="X161" s="16" t="n">
        <x:v>0</x:v>
      </x:c>
      <x:c r="Y161" s="16" t="n">
        <x:v>0</x:v>
      </x:c>
      <x:c r="Z161" s="16" t="n">
        <x:v>0</x:v>
      </x:c>
      <x:c r="AA161" s="16" t="n">
        <x:v>3</x:v>
      </x:c>
      <x:c r="AB161" s="16" t="n">
        <x:v>11</x:v>
      </x:c>
      <x:c r="AC161" s="16" t="n">
        <x:v>0</x:v>
      </x:c>
      <x:c r="AD161" s="21" t="n">
        <x:f>IF(E161="",MEDIAN($E$2:$E$2237),E161)</x:f>
        <x:v>80317</x:v>
      </x:c>
      <x:c r="AE161" s="17" t="n">
        <x:f>2014-B161</x:f>
        <x:v>59</x:v>
      </x:c>
      <x:c r="AF161" s="17" t="n">
        <x:f>F161+G161</x:f>
        <x:v>0</x:v>
      </x:c>
      <x:c r="AG161" s="21" t="n">
        <x:f>SUM(J161:O161)</x:f>
        <x:v>1231</x:v>
      </x:c>
      <x:c r="AH161" s="17" t="n">
        <x:f>SUM(Q161:S161)</x:f>
        <x:v>17</x:v>
      </x:c>
      <x:c r="AI161" s="17" t="n">
        <x:f>SUM(U161:Y161)</x:f>
        <x:v>0</x:v>
      </x:c>
      <x:c r="AJ161" s="17" t="str">
        <x:f>IF(AE161&lt;=34,"≤34",IF(AE161&lt;=44,"35–44",IF(AE161&lt;=54,"45–54",IF(AE161&lt;=64,"55–64","65+"))))</x:f>
        <x:v>55–64</x:v>
      </x:c>
      <x:c r="AK161" s="17" t="str">
        <x:f>IF(AG161&gt;=1000,"High Value",IF(AG161&gt;=300,"Mid Value","Low Value"))</x:f>
        <x:v>High Value</x:v>
      </x:c>
      <x:c r="AL161" s="17" t="str">
        <x:f>IF(AND(AI161&gt;=1,I161&lt;=50),"Priority 1",IF(AND(AG161&gt;=1000,I161&lt;=60),"Priority 2",IF(I161&lt;=30,"Priority 3","Nurture")))</x:f>
        <x:v>Nurture</x:v>
      </x:c>
    </x:row>
    <x:row r="162">
      <x:c r="A162" s="16" t="n">
        <x:v>2795</x:v>
      </x:c>
      <x:c r="B162" s="16" t="n">
        <x:v>1958</x:v>
      </x:c>
      <x:c r="C162" s="16" t="str">
        <x:v>Master</x:v>
      </x:c>
      <x:c r="D162" s="16" t="str">
        <x:v>Single</x:v>
      </x:c>
      <x:c r="E162" s="16" t="n">
        <x:v>30523</x:v>
      </x:c>
      <x:c r="F162" s="16" t="n">
        <x:v>2</x:v>
      </x:c>
      <x:c r="G162" s="16" t="n">
        <x:v>1</x:v>
      </x:c>
      <x:c r="H162" s="16" t="str">
        <x:v>01-07-2013</x:v>
      </x:c>
      <x:c r="I162" s="16" t="n">
        <x:v>0</x:v>
      </x:c>
      <x:c r="J162" s="16" t="n">
        <x:v>5</x:v>
      </x:c>
      <x:c r="K162" s="16" t="n">
        <x:v>0</x:v>
      </x:c>
      <x:c r="L162" s="16" t="n">
        <x:v>3</x:v>
      </x:c>
      <x:c r="M162" s="16" t="n">
        <x:v>0</x:v>
      </x:c>
      <x:c r="N162" s="16" t="n">
        <x:v>0</x:v>
      </x:c>
      <x:c r="O162" s="16" t="n">
        <x:v>5</x:v>
      </x:c>
      <x:c r="P162" s="16" t="n">
        <x:v>1</x:v>
      </x:c>
      <x:c r="Q162" s="16" t="n">
        <x:v>1</x:v>
      </x:c>
      <x:c r="R162" s="16" t="n">
        <x:v>0</x:v>
      </x:c>
      <x:c r="S162" s="16" t="n">
        <x:v>2</x:v>
      </x:c>
      <x:c r="T162" s="16" t="n">
        <x:v>7</x:v>
      </x:c>
      <x:c r="U162" s="16" t="n">
        <x:v>0</x:v>
      </x:c>
      <x:c r="V162" s="16" t="n">
        <x:v>0</x:v>
      </x:c>
      <x:c r="W162" s="16" t="n">
        <x:v>0</x:v>
      </x:c>
      <x:c r="X162" s="16" t="n">
        <x:v>0</x:v>
      </x:c>
      <x:c r="Y162" s="16" t="n">
        <x:v>0</x:v>
      </x:c>
      <x:c r="Z162" s="16" t="n">
        <x:v>0</x:v>
      </x:c>
      <x:c r="AA162" s="16" t="n">
        <x:v>3</x:v>
      </x:c>
      <x:c r="AB162" s="16" t="n">
        <x:v>11</x:v>
      </x:c>
      <x:c r="AC162" s="16" t="n">
        <x:v>0</x:v>
      </x:c>
      <x:c r="AD162" s="21" t="n">
        <x:f>IF(E162="",MEDIAN($E$2:$E$2237),E162)</x:f>
        <x:v>30523</x:v>
      </x:c>
      <x:c r="AE162" s="17" t="n">
        <x:f>2014-B162</x:f>
        <x:v>56</x:v>
      </x:c>
      <x:c r="AF162" s="17" t="n">
        <x:f>F162+G162</x:f>
        <x:v>3</x:v>
      </x:c>
      <x:c r="AG162" s="21" t="n">
        <x:f>SUM(J162:O162)</x:f>
        <x:v>13</x:v>
      </x:c>
      <x:c r="AH162" s="17" t="n">
        <x:f>SUM(Q162:S162)</x:f>
        <x:v>3</x:v>
      </x:c>
      <x:c r="AI162" s="17" t="n">
        <x:f>SUM(U162:Y162)</x:f>
        <x:v>0</x:v>
      </x:c>
      <x:c r="AJ162" s="17" t="str">
        <x:f>IF(AE162&lt;=34,"≤34",IF(AE162&lt;=44,"35–44",IF(AE162&lt;=54,"45–54",IF(AE162&lt;=64,"55–64","65+"))))</x:f>
        <x:v>55–64</x:v>
      </x:c>
      <x:c r="AK162" s="17" t="str">
        <x:f>IF(AG162&gt;=1000,"High Value",IF(AG162&gt;=300,"Mid Value","Low Value"))</x:f>
        <x:v>Low Value</x:v>
      </x:c>
      <x:c r="AL162" s="17" t="str">
        <x:f>IF(AND(AI162&gt;=1,I162&lt;=50),"Priority 1",IF(AND(AG162&gt;=1000,I162&lt;=60),"Priority 2",IF(I162&lt;=30,"Priority 3","Nurture")))</x:f>
        <x:v>Priority 3</x:v>
      </x:c>
    </x:row>
    <x:row r="163">
      <x:c r="A163" s="16" t="n">
        <x:v>9260</x:v>
      </x:c>
      <x:c r="B163" s="16" t="n">
        <x:v>1945</x:v>
      </x:c>
      <x:c r="C163" s="16" t="str">
        <x:v>PhD</x:v>
      </x:c>
      <x:c r="D163" s="16" t="str">
        <x:v>Married</x:v>
      </x:c>
      <x:c r="E163" s="16" t="n">
        <x:v>70356</x:v>
      </x:c>
      <x:c r="F163" s="16" t="n">
        <x:v>0</x:v>
      </x:c>
      <x:c r="G163" s="16" t="n">
        <x:v>0</x:v>
      </x:c>
      <x:c r="H163" s="16" t="str">
        <x:v>05-11-2012</x:v>
      </x:c>
      <x:c r="I163" s="16" t="n">
        <x:v>20</x:v>
      </x:c>
      <x:c r="J163" s="16" t="n">
        <x:v>1349</x:v>
      </x:c>
      <x:c r="K163" s="16" t="n">
        <x:v>16</x:v>
      </x:c>
      <x:c r="L163" s="16" t="n">
        <x:v>249</x:v>
      </x:c>
      <x:c r="M163" s="16" t="n">
        <x:v>43</x:v>
      </x:c>
      <x:c r="N163" s="16" t="n">
        <x:v>16</x:v>
      </x:c>
      <x:c r="O163" s="16" t="n">
        <x:v>33</x:v>
      </x:c>
      <x:c r="P163" s="16" t="n">
        <x:v>2</x:v>
      </x:c>
      <x:c r="Q163" s="16" t="n">
        <x:v>10</x:v>
      </x:c>
      <x:c r="R163" s="16" t="n">
        <x:v>6</x:v>
      </x:c>
      <x:c r="S163" s="16" t="n">
        <x:v>9</x:v>
      </x:c>
      <x:c r="T163" s="16" t="n">
        <x:v>6</x:v>
      </x:c>
      <x:c r="U163" s="16" t="n">
        <x:v>0</x:v>
      </x:c>
      <x:c r="V163" s="16" t="n">
        <x:v>0</x:v>
      </x:c>
      <x:c r="W163" s="16" t="n">
        <x:v>0</x:v>
      </x:c>
      <x:c r="X163" s="16" t="n">
        <x:v>0</x:v>
      </x:c>
      <x:c r="Y163" s="16" t="n">
        <x:v>0</x:v>
      </x:c>
      <x:c r="Z163" s="16" t="n">
        <x:v>0</x:v>
      </x:c>
      <x:c r="AA163" s="16" t="n">
        <x:v>3</x:v>
      </x:c>
      <x:c r="AB163" s="16" t="n">
        <x:v>11</x:v>
      </x:c>
      <x:c r="AC163" s="16" t="n">
        <x:v>0</x:v>
      </x:c>
      <x:c r="AD163" s="21" t="n">
        <x:f>IF(E163="",MEDIAN($E$2:$E$2237),E163)</x:f>
        <x:v>70356</x:v>
      </x:c>
      <x:c r="AE163" s="17" t="n">
        <x:f>2014-B163</x:f>
        <x:v>69</x:v>
      </x:c>
      <x:c r="AF163" s="17" t="n">
        <x:f>F163+G163</x:f>
        <x:v>0</x:v>
      </x:c>
      <x:c r="AG163" s="21" t="n">
        <x:f>SUM(J163:O163)</x:f>
        <x:v>1706</x:v>
      </x:c>
      <x:c r="AH163" s="17" t="n">
        <x:f>SUM(Q163:S163)</x:f>
        <x:v>25</x:v>
      </x:c>
      <x:c r="AI163" s="17" t="n">
        <x:f>SUM(U163:Y163)</x:f>
        <x:v>0</x:v>
      </x:c>
      <x:c r="AJ163" s="17" t="str">
        <x:f>IF(AE163&lt;=34,"≤34",IF(AE163&lt;=44,"35–44",IF(AE163&lt;=54,"45–54",IF(AE163&lt;=64,"55–64","65+"))))</x:f>
        <x:v>65+</x:v>
      </x:c>
      <x:c r="AK163" s="17" t="str">
        <x:f>IF(AG163&gt;=1000,"High Value",IF(AG163&gt;=300,"Mid Value","Low Value"))</x:f>
        <x:v>High Value</x:v>
      </x:c>
      <x:c r="AL163" s="17" t="str">
        <x:f>IF(AND(AI163&gt;=1,I163&lt;=50),"Priority 1",IF(AND(AG163&gt;=1000,I163&lt;=60),"Priority 2",IF(I163&lt;=30,"Priority 3","Nurture")))</x:f>
        <x:v>Priority 2</x:v>
      </x:c>
    </x:row>
    <x:row r="164">
      <x:c r="A164" s="16" t="n">
        <x:v>8182</x:v>
      </x:c>
      <x:c r="B164" s="16" t="n">
        <x:v>1984</x:v>
      </x:c>
      <x:c r="C164" s="16" t="str">
        <x:v>Graduation</x:v>
      </x:c>
      <x:c r="D164" s="16" t="str">
        <x:v>Married</x:v>
      </x:c>
      <x:c r="E164" s="16" t="n">
        <x:v>23228</x:v>
      </x:c>
      <x:c r="F164" s="16" t="n">
        <x:v>1</x:v>
      </x:c>
      <x:c r="G164" s="16" t="n">
        <x:v>0</x:v>
      </x:c>
      <x:c r="H164" s="16" t="str">
        <x:v>05-01-2014</x:v>
      </x:c>
      <x:c r="I164" s="16" t="n">
        <x:v>91</x:v>
      </x:c>
      <x:c r="J164" s="16" t="n">
        <x:v>53</x:v>
      </x:c>
      <x:c r="K164" s="16" t="n">
        <x:v>3</x:v>
      </x:c>
      <x:c r="L164" s="16" t="n">
        <x:v>49</x:v>
      </x:c>
      <x:c r="M164" s="16" t="n">
        <x:v>7</x:v>
      </x:c>
      <x:c r="N164" s="16" t="n">
        <x:v>4</x:v>
      </x:c>
      <x:c r="O164" s="16" t="n">
        <x:v>5</x:v>
      </x:c>
      <x:c r="P164" s="16" t="n">
        <x:v>4</x:v>
      </x:c>
      <x:c r="Q164" s="16" t="n">
        <x:v>3</x:v>
      </x:c>
      <x:c r="R164" s="16" t="n">
        <x:v>0</x:v>
      </x:c>
      <x:c r="S164" s="16" t="n">
        <x:v>4</x:v>
      </x:c>
      <x:c r="T164" s="16" t="n">
        <x:v>8</x:v>
      </x:c>
      <x:c r="U164" s="16" t="n">
        <x:v>0</x:v>
      </x:c>
      <x:c r="V164" s="16" t="n">
        <x:v>0</x:v>
      </x:c>
      <x:c r="W164" s="16" t="n">
        <x:v>0</x:v>
      </x:c>
      <x:c r="X164" s="16" t="n">
        <x:v>0</x:v>
      </x:c>
      <x:c r="Y164" s="16" t="n">
        <x:v>0</x:v>
      </x:c>
      <x:c r="Z164" s="16" t="n">
        <x:v>0</x:v>
      </x:c>
      <x:c r="AA164" s="16" t="n">
        <x:v>3</x:v>
      </x:c>
      <x:c r="AB164" s="16" t="n">
        <x:v>11</x:v>
      </x:c>
      <x:c r="AC164" s="16" t="n">
        <x:v>0</x:v>
      </x:c>
      <x:c r="AD164" s="21" t="n">
        <x:f>IF(E164="",MEDIAN($E$2:$E$2237),E164)</x:f>
        <x:v>23228</x:v>
      </x:c>
      <x:c r="AE164" s="17" t="n">
        <x:f>2014-B164</x:f>
        <x:v>30</x:v>
      </x:c>
      <x:c r="AF164" s="17" t="n">
        <x:f>F164+G164</x:f>
        <x:v>1</x:v>
      </x:c>
      <x:c r="AG164" s="21" t="n">
        <x:f>SUM(J164:O164)</x:f>
        <x:v>121</x:v>
      </x:c>
      <x:c r="AH164" s="17" t="n">
        <x:f>SUM(Q164:S164)</x:f>
        <x:v>7</x:v>
      </x:c>
      <x:c r="AI164" s="17" t="n">
        <x:f>SUM(U164:Y164)</x:f>
        <x:v>0</x:v>
      </x:c>
      <x:c r="AJ164" s="17" t="str">
        <x:f>IF(AE164&lt;=34,"≤34",IF(AE164&lt;=44,"35–44",IF(AE164&lt;=54,"45–54",IF(AE164&lt;=64,"55–64","65+"))))</x:f>
        <x:v>≤34</x:v>
      </x:c>
      <x:c r="AK164" s="17" t="str">
        <x:f>IF(AG164&gt;=1000,"High Value",IF(AG164&gt;=300,"Mid Value","Low Value"))</x:f>
        <x:v>Low Value</x:v>
      </x:c>
      <x:c r="AL164" s="17" t="str">
        <x:f>IF(AND(AI164&gt;=1,I164&lt;=50),"Priority 1",IF(AND(AG164&gt;=1000,I164&lt;=60),"Priority 2",IF(I164&lt;=30,"Priority 3","Nurture")))</x:f>
        <x:v>Nurture</x:v>
      </x:c>
    </x:row>
    <x:row r="165">
      <x:c r="A165" s="16" t="n">
        <x:v>10095</x:v>
      </x:c>
      <x:c r="B165" s="16" t="n">
        <x:v>1975</x:v>
      </x:c>
      <x:c r="C165" s="16" t="str">
        <x:v>PhD</x:v>
      </x:c>
      <x:c r="D165" s="16" t="str">
        <x:v>Divorced</x:v>
      </x:c>
      <x:c r="E165" s="16" t="n">
        <x:v>74165</x:v>
      </x:c>
      <x:c r="F165" s="16" t="n">
        <x:v>0</x:v>
      </x:c>
      <x:c r="G165" s="16" t="n">
        <x:v>0</x:v>
      </x:c>
      <x:c r="H165" s="16" t="str">
        <x:v>01-05-2013</x:v>
      </x:c>
      <x:c r="I165" s="16" t="n">
        <x:v>9</x:v>
      </x:c>
      <x:c r="J165" s="16" t="n">
        <x:v>1001</x:v>
      </x:c>
      <x:c r="K165" s="16" t="n">
        <x:v>12</x:v>
      </x:c>
      <x:c r="L165" s="16" t="n">
        <x:v>240</x:v>
      </x:c>
      <x:c r="M165" s="16" t="n">
        <x:v>16</x:v>
      </x:c>
      <x:c r="N165" s="16" t="n">
        <x:v>12</x:v>
      </x:c>
      <x:c r="O165" s="16" t="n">
        <x:v>12</x:v>
      </x:c>
      <x:c r="P165" s="16" t="n">
        <x:v>1</x:v>
      </x:c>
      <x:c r="Q165" s="16" t="n">
        <x:v>5</x:v>
      </x:c>
      <x:c r="R165" s="16" t="n">
        <x:v>4</x:v>
      </x:c>
      <x:c r="S165" s="16" t="n">
        <x:v>10</x:v>
      </x:c>
      <x:c r="T165" s="16" t="n">
        <x:v>2</x:v>
      </x:c>
      <x:c r="U165" s="16" t="n">
        <x:v>0</x:v>
      </x:c>
      <x:c r="V165" s="16" t="n">
        <x:v>0</x:v>
      </x:c>
      <x:c r="W165" s="16" t="n">
        <x:v>0</x:v>
      </x:c>
      <x:c r="X165" s="16" t="n">
        <x:v>0</x:v>
      </x:c>
      <x:c r="Y165" s="16" t="n">
        <x:v>0</x:v>
      </x:c>
      <x:c r="Z165" s="16" t="n">
        <x:v>0</x:v>
      </x:c>
      <x:c r="AA165" s="16" t="n">
        <x:v>3</x:v>
      </x:c>
      <x:c r="AB165" s="16" t="n">
        <x:v>11</x:v>
      </x:c>
      <x:c r="AC165" s="16" t="n">
        <x:v>0</x:v>
      </x:c>
      <x:c r="AD165" s="21" t="n">
        <x:f>IF(E165="",MEDIAN($E$2:$E$2237),E165)</x:f>
        <x:v>74165</x:v>
      </x:c>
      <x:c r="AE165" s="17" t="n">
        <x:f>2014-B165</x:f>
        <x:v>39</x:v>
      </x:c>
      <x:c r="AF165" s="17" t="n">
        <x:f>F165+G165</x:f>
        <x:v>0</x:v>
      </x:c>
      <x:c r="AG165" s="21" t="n">
        <x:f>SUM(J165:O165)</x:f>
        <x:v>1293</x:v>
      </x:c>
      <x:c r="AH165" s="17" t="n">
        <x:f>SUM(Q165:S165)</x:f>
        <x:v>19</x:v>
      </x:c>
      <x:c r="AI165" s="17" t="n">
        <x:f>SUM(U165:Y165)</x:f>
        <x:v>0</x:v>
      </x:c>
      <x:c r="AJ165" s="17" t="str">
        <x:f>IF(AE165&lt;=34,"≤34",IF(AE165&lt;=44,"35–44",IF(AE165&lt;=54,"45–54",IF(AE165&lt;=64,"55–64","65+"))))</x:f>
        <x:v>35–44</x:v>
      </x:c>
      <x:c r="AK165" s="17" t="str">
        <x:f>IF(AG165&gt;=1000,"High Value",IF(AG165&gt;=300,"Mid Value","Low Value"))</x:f>
        <x:v>High Value</x:v>
      </x:c>
      <x:c r="AL165" s="17" t="str">
        <x:f>IF(AND(AI165&gt;=1,I165&lt;=50),"Priority 1",IF(AND(AG165&gt;=1000,I165&lt;=60),"Priority 2",IF(I165&lt;=30,"Priority 3","Nurture")))</x:f>
        <x:v>Priority 2</x:v>
      </x:c>
    </x:row>
    <x:row r="166">
      <x:c r="A166" s="16" t="n">
        <x:v>8475</x:v>
      </x:c>
      <x:c r="B166" s="16" t="n">
        <x:v>1973</x:v>
      </x:c>
      <x:c r="C166" s="16" t="str">
        <x:v>PhD</x:v>
      </x:c>
      <x:c r="D166" s="16" t="str">
        <x:v>Married</x:v>
      </x:c>
      <x:c r="E166" s="16" t="n">
        <x:v>157243</x:v>
      </x:c>
      <x:c r="F166" s="16" t="n">
        <x:v>0</x:v>
      </x:c>
      <x:c r="G166" s="16" t="n">
        <x:v>1</x:v>
      </x:c>
      <x:c r="H166" s="16" t="str">
        <x:v>01-03-2014</x:v>
      </x:c>
      <x:c r="I166" s="16" t="n">
        <x:v>98</x:v>
      </x:c>
      <x:c r="J166" s="16" t="n">
        <x:v>20</x:v>
      </x:c>
      <x:c r="K166" s="16" t="n">
        <x:v>2</x:v>
      </x:c>
      <x:c r="L166" s="16" t="n">
        <x:v>1582</x:v>
      </x:c>
      <x:c r="M166" s="16" t="n">
        <x:v>1</x:v>
      </x:c>
      <x:c r="N166" s="16" t="n">
        <x:v>2</x:v>
      </x:c>
      <x:c r="O166" s="16" t="n">
        <x:v>1</x:v>
      </x:c>
      <x:c r="P166" s="16" t="n">
        <x:v>15</x:v>
      </x:c>
      <x:c r="Q166" s="16" t="n">
        <x:v>0</x:v>
      </x:c>
      <x:c r="R166" s="16" t="n">
        <x:v>22</x:v>
      </x:c>
      <x:c r="S166" s="16" t="n">
        <x:v>0</x:v>
      </x:c>
      <x:c r="T166" s="16" t="n">
        <x:v>0</x:v>
      </x:c>
      <x:c r="U166" s="16" t="n">
        <x:v>0</x:v>
      </x:c>
      <x:c r="V166" s="16" t="n">
        <x:v>0</x:v>
      </x:c>
      <x:c r="W166" s="16" t="n">
        <x:v>0</x:v>
      </x:c>
      <x:c r="X166" s="16" t="n">
        <x:v>0</x:v>
      </x:c>
      <x:c r="Y166" s="16" t="n">
        <x:v>0</x:v>
      </x:c>
      <x:c r="Z166" s="16" t="n">
        <x:v>0</x:v>
      </x:c>
      <x:c r="AA166" s="16" t="n">
        <x:v>3</x:v>
      </x:c>
      <x:c r="AB166" s="16" t="n">
        <x:v>11</x:v>
      </x:c>
      <x:c r="AC166" s="16" t="n">
        <x:v>0</x:v>
      </x:c>
      <x:c r="AD166" s="21" t="n">
        <x:f>IF(E166="",MEDIAN($E$2:$E$2237),E166)</x:f>
        <x:v>157243</x:v>
      </x:c>
      <x:c r="AE166" s="17" t="n">
        <x:f>2014-B166</x:f>
        <x:v>41</x:v>
      </x:c>
      <x:c r="AF166" s="17" t="n">
        <x:f>F166+G166</x:f>
        <x:v>1</x:v>
      </x:c>
      <x:c r="AG166" s="21" t="n">
        <x:f>SUM(J166:O166)</x:f>
        <x:v>1608</x:v>
      </x:c>
      <x:c r="AH166" s="17" t="n">
        <x:f>SUM(Q166:S166)</x:f>
        <x:v>22</x:v>
      </x:c>
      <x:c r="AI166" s="17" t="n">
        <x:f>SUM(U166:Y166)</x:f>
        <x:v>0</x:v>
      </x:c>
      <x:c r="AJ166" s="17" t="str">
        <x:f>IF(AE166&lt;=34,"≤34",IF(AE166&lt;=44,"35–44",IF(AE166&lt;=54,"45–54",IF(AE166&lt;=64,"55–64","65+"))))</x:f>
        <x:v>35–44</x:v>
      </x:c>
      <x:c r="AK166" s="17" t="str">
        <x:f>IF(AG166&gt;=1000,"High Value",IF(AG166&gt;=300,"Mid Value","Low Value"))</x:f>
        <x:v>High Value</x:v>
      </x:c>
      <x:c r="AL166" s="17" t="str">
        <x:f>IF(AND(AI166&gt;=1,I166&lt;=50),"Priority 1",IF(AND(AG166&gt;=1000,I166&lt;=60),"Priority 2",IF(I166&lt;=30,"Priority 3","Nurture")))</x:f>
        <x:v>Nurture</x:v>
      </x:c>
    </x:row>
    <x:row r="167">
      <x:c r="A167" s="16" t="n">
        <x:v>4370</x:v>
      </x:c>
      <x:c r="B167" s="16" t="n">
        <x:v>1966</x:v>
      </x:c>
      <x:c r="C167" s="16" t="str">
        <x:v>Graduation</x:v>
      </x:c>
      <x:c r="D167" s="16" t="str">
        <x:v>Together</x:v>
      </x:c>
      <x:c r="E167" s="16" t="n">
        <x:v>43482</x:v>
      </x:c>
      <x:c r="F167" s="16" t="n">
        <x:v>2</x:v>
      </x:c>
      <x:c r="G167" s="16" t="n">
        <x:v>1</x:v>
      </x:c>
      <x:c r="H167" s="16" t="str">
        <x:v>13-11-2013</x:v>
      </x:c>
      <x:c r="I167" s="16" t="n">
        <x:v>83</x:v>
      </x:c>
      <x:c r="J167" s="16" t="n">
        <x:v>18</x:v>
      </x:c>
      <x:c r="K167" s="16" t="n">
        <x:v>1</x:v>
      </x:c>
      <x:c r="L167" s="16" t="n">
        <x:v>32</x:v>
      </x:c>
      <x:c r="M167" s="16" t="n">
        <x:v>6</x:v>
      </x:c>
      <x:c r="N167" s="16" t="n">
        <x:v>3</x:v>
      </x:c>
      <x:c r="O167" s="16" t="n">
        <x:v>28</x:v>
      </x:c>
      <x:c r="P167" s="16" t="n">
        <x:v>3</x:v>
      </x:c>
      <x:c r="Q167" s="16" t="n">
        <x:v>2</x:v>
      </x:c>
      <x:c r="R167" s="16" t="n">
        <x:v>0</x:v>
      </x:c>
      <x:c r="S167" s="16" t="n">
        <x:v>4</x:v>
      </x:c>
      <x:c r="T167" s="16" t="n">
        <x:v>6</x:v>
      </x:c>
      <x:c r="U167" s="16" t="n">
        <x:v>0</x:v>
      </x:c>
      <x:c r="V167" s="16" t="n">
        <x:v>0</x:v>
      </x:c>
      <x:c r="W167" s="16" t="n">
        <x:v>0</x:v>
      </x:c>
      <x:c r="X167" s="16" t="n">
        <x:v>0</x:v>
      </x:c>
      <x:c r="Y167" s="16" t="n">
        <x:v>0</x:v>
      </x:c>
      <x:c r="Z167" s="16" t="n">
        <x:v>0</x:v>
      </x:c>
      <x:c r="AA167" s="16" t="n">
        <x:v>3</x:v>
      </x:c>
      <x:c r="AB167" s="16" t="n">
        <x:v>11</x:v>
      </x:c>
      <x:c r="AC167" s="16" t="n">
        <x:v>0</x:v>
      </x:c>
      <x:c r="AD167" s="21" t="n">
        <x:f>IF(E167="",MEDIAN($E$2:$E$2237),E167)</x:f>
        <x:v>43482</x:v>
      </x:c>
      <x:c r="AE167" s="17" t="n">
        <x:f>2014-B167</x:f>
        <x:v>48</x:v>
      </x:c>
      <x:c r="AF167" s="17" t="n">
        <x:f>F167+G167</x:f>
        <x:v>3</x:v>
      </x:c>
      <x:c r="AG167" s="21" t="n">
        <x:f>SUM(J167:O167)</x:f>
        <x:v>88</x:v>
      </x:c>
      <x:c r="AH167" s="17" t="n">
        <x:f>SUM(Q167:S167)</x:f>
        <x:v>6</x:v>
      </x:c>
      <x:c r="AI167" s="17" t="n">
        <x:f>SUM(U167:Y167)</x:f>
        <x:v>0</x:v>
      </x:c>
      <x:c r="AJ167" s="17" t="str">
        <x:f>IF(AE167&lt;=34,"≤34",IF(AE167&lt;=44,"35–44",IF(AE167&lt;=54,"45–54",IF(AE167&lt;=64,"55–64","65+"))))</x:f>
        <x:v>45–54</x:v>
      </x:c>
      <x:c r="AK167" s="17" t="str">
        <x:f>IF(AG167&gt;=1000,"High Value",IF(AG167&gt;=300,"Mid Value","Low Value"))</x:f>
        <x:v>Low Value</x:v>
      </x:c>
      <x:c r="AL167" s="17" t="str">
        <x:f>IF(AND(AI167&gt;=1,I167&lt;=50),"Priority 1",IF(AND(AG167&gt;=1000,I167&lt;=60),"Priority 2",IF(I167&lt;=30,"Priority 3","Nurture")))</x:f>
        <x:v>Nurture</x:v>
      </x:c>
    </x:row>
    <x:row r="168">
      <x:c r="A168" s="16" t="n">
        <x:v>10573</x:v>
      </x:c>
      <x:c r="B168" s="16" t="n">
        <x:v>1953</x:v>
      </x:c>
      <x:c r="C168" s="16" t="str">
        <x:v>Graduation</x:v>
      </x:c>
      <x:c r="D168" s="16" t="str">
        <x:v>Divorced</x:v>
      </x:c>
      <x:c r="E168" s="16" t="n">
        <x:v>62551</x:v>
      </x:c>
      <x:c r="F168" s="16" t="n">
        <x:v>0</x:v>
      </x:c>
      <x:c r="G168" s="16" t="n">
        <x:v>0</x:v>
      </x:c>
      <x:c r="H168" s="16" t="str">
        <x:v>18-11-2013</x:v>
      </x:c>
      <x:c r="I168" s="16" t="n">
        <x:v>27</x:v>
      </x:c>
      <x:c r="J168" s="16" t="n">
        <x:v>125</x:v>
      </x:c>
      <x:c r="K168" s="16" t="n">
        <x:v>16</x:v>
      </x:c>
      <x:c r="L168" s="16" t="n">
        <x:v>98</x:v>
      </x:c>
      <x:c r="M168" s="16" t="n">
        <x:v>134</x:v>
      </x:c>
      <x:c r="N168" s="16" t="n">
        <x:v>21</x:v>
      </x:c>
      <x:c r="O168" s="16" t="n">
        <x:v>27</x:v>
      </x:c>
      <x:c r="P168" s="16" t="n">
        <x:v>1</x:v>
      </x:c>
      <x:c r="Q168" s="16" t="n">
        <x:v>6</x:v>
      </x:c>
      <x:c r="R168" s="16" t="n">
        <x:v>7</x:v>
      </x:c>
      <x:c r="S168" s="16" t="n">
        <x:v>4</x:v>
      </x:c>
      <x:c r="T168" s="16" t="n">
        <x:v>3</x:v>
      </x:c>
      <x:c r="U168" s="16" t="n">
        <x:v>1</x:v>
      </x:c>
      <x:c r="V168" s="16" t="n">
        <x:v>0</x:v>
      </x:c>
      <x:c r="W168" s="16" t="n">
        <x:v>0</x:v>
      </x:c>
      <x:c r="X168" s="16" t="n">
        <x:v>0</x:v>
      </x:c>
      <x:c r="Y168" s="16" t="n">
        <x:v>0</x:v>
      </x:c>
      <x:c r="Z168" s="16" t="n">
        <x:v>0</x:v>
      </x:c>
      <x:c r="AA168" s="16" t="n">
        <x:v>3</x:v>
      </x:c>
      <x:c r="AB168" s="16" t="n">
        <x:v>11</x:v>
      </x:c>
      <x:c r="AC168" s="16" t="n">
        <x:v>0</x:v>
      </x:c>
      <x:c r="AD168" s="21" t="n">
        <x:f>IF(E168="",MEDIAN($E$2:$E$2237),E168)</x:f>
        <x:v>62551</x:v>
      </x:c>
      <x:c r="AE168" s="17" t="n">
        <x:f>2014-B168</x:f>
        <x:v>61</x:v>
      </x:c>
      <x:c r="AF168" s="17" t="n">
        <x:f>F168+G168</x:f>
        <x:v>0</x:v>
      </x:c>
      <x:c r="AG168" s="21" t="n">
        <x:f>SUM(J168:O168)</x:f>
        <x:v>421</x:v>
      </x:c>
      <x:c r="AH168" s="17" t="n">
        <x:f>SUM(Q168:S168)</x:f>
        <x:v>17</x:v>
      </x:c>
      <x:c r="AI168" s="17" t="n">
        <x:f>SUM(U168:Y168)</x:f>
        <x:v>1</x:v>
      </x:c>
      <x:c r="AJ168" s="17" t="str">
        <x:f>IF(AE168&lt;=34,"≤34",IF(AE168&lt;=44,"35–44",IF(AE168&lt;=54,"45–54",IF(AE168&lt;=64,"55–64","65+"))))</x:f>
        <x:v>55–64</x:v>
      </x:c>
      <x:c r="AK168" s="17" t="str">
        <x:f>IF(AG168&gt;=1000,"High Value",IF(AG168&gt;=300,"Mid Value","Low Value"))</x:f>
        <x:v>Mid Value</x:v>
      </x:c>
      <x:c r="AL168" s="17" t="str">
        <x:f>IF(AND(AI168&gt;=1,I168&lt;=50),"Priority 1",IF(AND(AG168&gt;=1000,I168&lt;=60),"Priority 2",IF(I168&lt;=30,"Priority 3","Nurture")))</x:f>
        <x:v>Priority 1</x:v>
      </x:c>
    </x:row>
    <x:row r="169">
      <x:c r="A169" s="16" t="n">
        <x:v>3712</x:v>
      </x:c>
      <x:c r="B169" s="16" t="n">
        <x:v>1959</x:v>
      </x:c>
      <x:c r="C169" s="16" t="str">
        <x:v>Graduation</x:v>
      </x:c>
      <x:c r="D169" s="16" t="str">
        <x:v>Divorced</x:v>
      </x:c>
      <x:c r="E169" s="16" t="n">
        <x:v>52332</x:v>
      </x:c>
      <x:c r="F169" s="16" t="n">
        <x:v>0</x:v>
      </x:c>
      <x:c r="G169" s="16" t="n">
        <x:v>0</x:v>
      </x:c>
      <x:c r="H169" s="16" t="str">
        <x:v>28-08-2013</x:v>
      </x:c>
      <x:c r="I169" s="16" t="n">
        <x:v>63</x:v>
      </x:c>
      <x:c r="J169" s="16" t="n">
        <x:v>212</x:v>
      </x:c>
      <x:c r="K169" s="16" t="n">
        <x:v>5</x:v>
      </x:c>
      <x:c r="L169" s="16" t="n">
        <x:v>33</x:v>
      </x:c>
      <x:c r="M169" s="16" t="n">
        <x:v>7</x:v>
      </x:c>
      <x:c r="N169" s="16" t="n">
        <x:v>0</x:v>
      </x:c>
      <x:c r="O169" s="16" t="n">
        <x:v>2</x:v>
      </x:c>
      <x:c r="P169" s="16" t="n">
        <x:v>1</x:v>
      </x:c>
      <x:c r="Q169" s="16" t="n">
        <x:v>3</x:v>
      </x:c>
      <x:c r="R169" s="16" t="n">
        <x:v>2</x:v>
      </x:c>
      <x:c r="S169" s="16" t="n">
        <x:v>6</x:v>
      </x:c>
      <x:c r="T169" s="16" t="n">
        <x:v>4</x:v>
      </x:c>
      <x:c r="U169" s="16" t="n">
        <x:v>0</x:v>
      </x:c>
      <x:c r="V169" s="16" t="n">
        <x:v>1</x:v>
      </x:c>
      <x:c r="W169" s="16" t="n">
        <x:v>0</x:v>
      </x:c>
      <x:c r="X169" s="16" t="n">
        <x:v>0</x:v>
      </x:c>
      <x:c r="Y169" s="16" t="n">
        <x:v>0</x:v>
      </x:c>
      <x:c r="Z169" s="16" t="n">
        <x:v>0</x:v>
      </x:c>
      <x:c r="AA169" s="16" t="n">
        <x:v>3</x:v>
      </x:c>
      <x:c r="AB169" s="16" t="n">
        <x:v>11</x:v>
      </x:c>
      <x:c r="AC169" s="16" t="n">
        <x:v>0</x:v>
      </x:c>
      <x:c r="AD169" s="21" t="n">
        <x:f>IF(E169="",MEDIAN($E$2:$E$2237),E169)</x:f>
        <x:v>52332</x:v>
      </x:c>
      <x:c r="AE169" s="17" t="n">
        <x:f>2014-B169</x:f>
        <x:v>55</x:v>
      </x:c>
      <x:c r="AF169" s="17" t="n">
        <x:f>F169+G169</x:f>
        <x:v>0</x:v>
      </x:c>
      <x:c r="AG169" s="21" t="n">
        <x:f>SUM(J169:O169)</x:f>
        <x:v>259</x:v>
      </x:c>
      <x:c r="AH169" s="17" t="n">
        <x:f>SUM(Q169:S169)</x:f>
        <x:v>11</x:v>
      </x:c>
      <x:c r="AI169" s="17" t="n">
        <x:f>SUM(U169:Y169)</x:f>
        <x:v>1</x:v>
      </x:c>
      <x:c r="AJ169" s="17" t="str">
        <x:f>IF(AE169&lt;=34,"≤34",IF(AE169&lt;=44,"35–44",IF(AE169&lt;=54,"45–54",IF(AE169&lt;=64,"55–64","65+"))))</x:f>
        <x:v>55–64</x:v>
      </x:c>
      <x:c r="AK169" s="17" t="str">
        <x:f>IF(AG169&gt;=1000,"High Value",IF(AG169&gt;=300,"Mid Value","Low Value"))</x:f>
        <x:v>Low Value</x:v>
      </x:c>
      <x:c r="AL169" s="17" t="str">
        <x:f>IF(AND(AI169&gt;=1,I169&lt;=50),"Priority 1",IF(AND(AG169&gt;=1000,I169&lt;=60),"Priority 2",IF(I169&lt;=30,"Priority 3","Nurture")))</x:f>
        <x:v>Nurture</x:v>
      </x:c>
    </x:row>
    <x:row r="170">
      <x:c r="A170" s="16" t="n">
        <x:v>6637</x:v>
      </x:c>
      <x:c r="B170" s="16" t="n">
        <x:v>1988</x:v>
      </x:c>
      <x:c r="C170" s="16" t="str">
        <x:v>Graduation</x:v>
      </x:c>
      <x:c r="D170" s="16" t="str">
        <x:v>Single</x:v>
      </x:c>
      <x:c r="E170" s="16" t="n">
        <x:v>66951</x:v>
      </x:c>
      <x:c r="F170" s="16" t="n">
        <x:v>0</x:v>
      </x:c>
      <x:c r="G170" s="16" t="n">
        <x:v>0</x:v>
      </x:c>
      <x:c r="H170" s="16" t="str">
        <x:v>02-11-2013</x:v>
      </x:c>
      <x:c r="I170" s="16" t="n">
        <x:v>46</x:v>
      </x:c>
      <x:c r="J170" s="16" t="n">
        <x:v>277</x:v>
      </x:c>
      <x:c r="K170" s="16" t="n">
        <x:v>162</x:v>
      </x:c>
      <x:c r="L170" s="16" t="n">
        <x:v>305</x:v>
      </x:c>
      <x:c r="M170" s="16" t="n">
        <x:v>173</x:v>
      </x:c>
      <x:c r="N170" s="16" t="n">
        <x:v>76</x:v>
      </x:c>
      <x:c r="O170" s="16" t="n">
        <x:v>124</x:v>
      </x:c>
      <x:c r="P170" s="16" t="n">
        <x:v>1</x:v>
      </x:c>
      <x:c r="Q170" s="16" t="n">
        <x:v>3</x:v>
      </x:c>
      <x:c r="R170" s="16" t="n">
        <x:v>4</x:v>
      </x:c>
      <x:c r="S170" s="16" t="n">
        <x:v>7</x:v>
      </x:c>
      <x:c r="T170" s="16" t="n">
        <x:v>1</x:v>
      </x:c>
      <x:c r="U170" s="16" t="n">
        <x:v>0</x:v>
      </x:c>
      <x:c r="V170" s="16" t="n">
        <x:v>0</x:v>
      </x:c>
      <x:c r="W170" s="16" t="n">
        <x:v>0</x:v>
      </x:c>
      <x:c r="X170" s="16" t="n">
        <x:v>0</x:v>
      </x:c>
      <x:c r="Y170" s="16" t="n">
        <x:v>0</x:v>
      </x:c>
      <x:c r="Z170" s="16" t="n">
        <x:v>0</x:v>
      </x:c>
      <x:c r="AA170" s="16" t="n">
        <x:v>3</x:v>
      </x:c>
      <x:c r="AB170" s="16" t="n">
        <x:v>11</x:v>
      </x:c>
      <x:c r="AC170" s="16" t="n">
        <x:v>0</x:v>
      </x:c>
      <x:c r="AD170" s="21" t="n">
        <x:f>IF(E170="",MEDIAN($E$2:$E$2237),E170)</x:f>
        <x:v>66951</x:v>
      </x:c>
      <x:c r="AE170" s="17" t="n">
        <x:f>2014-B170</x:f>
        <x:v>26</x:v>
      </x:c>
      <x:c r="AF170" s="17" t="n">
        <x:f>F170+G170</x:f>
        <x:v>0</x:v>
      </x:c>
      <x:c r="AG170" s="21" t="n">
        <x:f>SUM(J170:O170)</x:f>
        <x:v>1117</x:v>
      </x:c>
      <x:c r="AH170" s="17" t="n">
        <x:f>SUM(Q170:S170)</x:f>
        <x:v>14</x:v>
      </x:c>
      <x:c r="AI170" s="17" t="n">
        <x:f>SUM(U170:Y170)</x:f>
        <x:v>0</x:v>
      </x:c>
      <x:c r="AJ170" s="17" t="str">
        <x:f>IF(AE170&lt;=34,"≤34",IF(AE170&lt;=44,"35–44",IF(AE170&lt;=54,"45–54",IF(AE170&lt;=64,"55–64","65+"))))</x:f>
        <x:v>≤34</x:v>
      </x:c>
      <x:c r="AK170" s="17" t="str">
        <x:f>IF(AG170&gt;=1000,"High Value",IF(AG170&gt;=300,"Mid Value","Low Value"))</x:f>
        <x:v>High Value</x:v>
      </x:c>
      <x:c r="AL170" s="17" t="str">
        <x:f>IF(AND(AI170&gt;=1,I170&lt;=50),"Priority 1",IF(AND(AG170&gt;=1000,I170&lt;=60),"Priority 2",IF(I170&lt;=30,"Priority 3","Nurture")))</x:f>
        <x:v>Priority 2</x:v>
      </x:c>
    </x:row>
    <x:row r="171">
      <x:c r="A171" s="16" t="n">
        <x:v>3152</x:v>
      </x:c>
      <x:c r="B171" s="16" t="n">
        <x:v>1957</x:v>
      </x:c>
      <x:c r="C171" s="16" t="str">
        <x:v>Graduation</x:v>
      </x:c>
      <x:c r="D171" s="16" t="str">
        <x:v>Together</x:v>
      </x:c>
      <x:c r="E171" s="16" t="n">
        <x:v>26091</x:v>
      </x:c>
      <x:c r="F171" s="16" t="n">
        <x:v>1</x:v>
      </x:c>
      <x:c r="G171" s="16" t="n">
        <x:v>1</x:v>
      </x:c>
      <x:c r="H171" s="16" t="str">
        <x:v>25-02-2014</x:v>
      </x:c>
      <x:c r="I171" s="16" t="n">
        <x:v>84</x:v>
      </x:c>
      <x:c r="J171" s="16" t="n">
        <x:v>15</x:v>
      </x:c>
      <x:c r="K171" s="16" t="n">
        <x:v>10</x:v>
      </x:c>
      <x:c r="L171" s="16" t="n">
        <x:v>19</x:v>
      </x:c>
      <x:c r="M171" s="16" t="n">
        <x:v>8</x:v>
      </x:c>
      <x:c r="N171" s="16" t="n">
        <x:v>17</x:v>
      </x:c>
      <x:c r="O171" s="16" t="n">
        <x:v>20</x:v>
      </x:c>
      <x:c r="P171" s="16" t="n">
        <x:v>3</x:v>
      </x:c>
      <x:c r="Q171" s="16" t="n">
        <x:v>2</x:v>
      </x:c>
      <x:c r="R171" s="16" t="n">
        <x:v>1</x:v>
      </x:c>
      <x:c r="S171" s="16" t="n">
        <x:v>3</x:v>
      </x:c>
      <x:c r="T171" s="16" t="n">
        <x:v>5</x:v>
      </x:c>
      <x:c r="U171" s="16" t="n">
        <x:v>0</x:v>
      </x:c>
      <x:c r="V171" s="16" t="n">
        <x:v>0</x:v>
      </x:c>
      <x:c r="W171" s="16" t="n">
        <x:v>0</x:v>
      </x:c>
      <x:c r="X171" s="16" t="n">
        <x:v>0</x:v>
      </x:c>
      <x:c r="Y171" s="16" t="n">
        <x:v>0</x:v>
      </x:c>
      <x:c r="Z171" s="16" t="n">
        <x:v>0</x:v>
      </x:c>
      <x:c r="AA171" s="16" t="n">
        <x:v>3</x:v>
      </x:c>
      <x:c r="AB171" s="16" t="n">
        <x:v>11</x:v>
      </x:c>
      <x:c r="AC171" s="16" t="n">
        <x:v>0</x:v>
      </x:c>
      <x:c r="AD171" s="21" t="n">
        <x:f>IF(E171="",MEDIAN($E$2:$E$2237),E171)</x:f>
        <x:v>26091</x:v>
      </x:c>
      <x:c r="AE171" s="17" t="n">
        <x:f>2014-B171</x:f>
        <x:v>57</x:v>
      </x:c>
      <x:c r="AF171" s="17" t="n">
        <x:f>F171+G171</x:f>
        <x:v>2</x:v>
      </x:c>
      <x:c r="AG171" s="21" t="n">
        <x:f>SUM(J171:O171)</x:f>
        <x:v>89</x:v>
      </x:c>
      <x:c r="AH171" s="17" t="n">
        <x:f>SUM(Q171:S171)</x:f>
        <x:v>6</x:v>
      </x:c>
      <x:c r="AI171" s="17" t="n">
        <x:f>SUM(U171:Y171)</x:f>
        <x:v>0</x:v>
      </x:c>
      <x:c r="AJ171" s="17" t="str">
        <x:f>IF(AE171&lt;=34,"≤34",IF(AE171&lt;=44,"35–44",IF(AE171&lt;=54,"45–54",IF(AE171&lt;=64,"55–64","65+"))))</x:f>
        <x:v>55–64</x:v>
      </x:c>
      <x:c r="AK171" s="17" t="str">
        <x:f>IF(AG171&gt;=1000,"High Value",IF(AG171&gt;=300,"Mid Value","Low Value"))</x:f>
        <x:v>Low Value</x:v>
      </x:c>
      <x:c r="AL171" s="17" t="str">
        <x:f>IF(AND(AI171&gt;=1,I171&lt;=50),"Priority 1",IF(AND(AG171&gt;=1000,I171&lt;=60),"Priority 2",IF(I171&lt;=30,"Priority 3","Nurture")))</x:f>
        <x:v>Nurture</x:v>
      </x:c>
    </x:row>
    <x:row r="172">
      <x:c r="A172" s="16" t="n">
        <x:v>5610</x:v>
      </x:c>
      <x:c r="B172" s="16" t="n">
        <x:v>1965</x:v>
      </x:c>
      <x:c r="C172" s="16" t="str">
        <x:v>Graduation</x:v>
      </x:c>
      <x:c r="D172" s="16" t="str">
        <x:v>Together</x:v>
      </x:c>
      <x:c r="E172" s="16" t="n">
        <x:v>33456</x:v>
      </x:c>
      <x:c r="F172" s="16" t="n">
        <x:v>1</x:v>
      </x:c>
      <x:c r="G172" s="16" t="n">
        <x:v>1</x:v>
      </x:c>
      <x:c r="H172" s="16" t="str">
        <x:v>21-04-2014</x:v>
      </x:c>
      <x:c r="I172" s="16" t="n">
        <x:v>58</x:v>
      </x:c>
      <x:c r="J172" s="16" t="n">
        <x:v>7</x:v>
      </x:c>
      <x:c r="K172" s="16" t="n">
        <x:v>3</x:v>
      </x:c>
      <x:c r="L172" s="16" t="n">
        <x:v>10</x:v>
      </x:c>
      <x:c r="M172" s="16" t="n">
        <x:v>8</x:v>
      </x:c>
      <x:c r="N172" s="16" t="n">
        <x:v>1</x:v>
      </x:c>
      <x:c r="O172" s="16" t="n">
        <x:v>7</x:v>
      </x:c>
      <x:c r="P172" s="16" t="n">
        <x:v>2</x:v>
      </x:c>
      <x:c r="Q172" s="16" t="n">
        <x:v>1</x:v>
      </x:c>
      <x:c r="R172" s="16" t="n">
        <x:v>0</x:v>
      </x:c>
      <x:c r="S172" s="16" t="n">
        <x:v>3</x:v>
      </x:c>
      <x:c r="T172" s="16" t="n">
        <x:v>7</x:v>
      </x:c>
      <x:c r="U172" s="16" t="n">
        <x:v>0</x:v>
      </x:c>
      <x:c r="V172" s="16" t="n">
        <x:v>0</x:v>
      </x:c>
      <x:c r="W172" s="16" t="n">
        <x:v>0</x:v>
      </x:c>
      <x:c r="X172" s="16" t="n">
        <x:v>0</x:v>
      </x:c>
      <x:c r="Y172" s="16" t="n">
        <x:v>0</x:v>
      </x:c>
      <x:c r="Z172" s="16" t="n">
        <x:v>0</x:v>
      </x:c>
      <x:c r="AA172" s="16" t="n">
        <x:v>3</x:v>
      </x:c>
      <x:c r="AB172" s="16" t="n">
        <x:v>11</x:v>
      </x:c>
      <x:c r="AC172" s="16" t="n">
        <x:v>0</x:v>
      </x:c>
      <x:c r="AD172" s="21" t="n">
        <x:f>IF(E172="",MEDIAN($E$2:$E$2237),E172)</x:f>
        <x:v>33456</x:v>
      </x:c>
      <x:c r="AE172" s="17" t="n">
        <x:f>2014-B172</x:f>
        <x:v>49</x:v>
      </x:c>
      <x:c r="AF172" s="17" t="n">
        <x:f>F172+G172</x:f>
        <x:v>2</x:v>
      </x:c>
      <x:c r="AG172" s="21" t="n">
        <x:f>SUM(J172:O172)</x:f>
        <x:v>36</x:v>
      </x:c>
      <x:c r="AH172" s="17" t="n">
        <x:f>SUM(Q172:S172)</x:f>
        <x:v>4</x:v>
      </x:c>
      <x:c r="AI172" s="17" t="n">
        <x:f>SUM(U172:Y172)</x:f>
        <x:v>0</x:v>
      </x:c>
      <x:c r="AJ172" s="17" t="str">
        <x:f>IF(AE172&lt;=34,"≤34",IF(AE172&lt;=44,"35–44",IF(AE172&lt;=54,"45–54",IF(AE172&lt;=64,"55–64","65+"))))</x:f>
        <x:v>45–54</x:v>
      </x:c>
      <x:c r="AK172" s="17" t="str">
        <x:f>IF(AG172&gt;=1000,"High Value",IF(AG172&gt;=300,"Mid Value","Low Value"))</x:f>
        <x:v>Low Value</x:v>
      </x:c>
      <x:c r="AL172" s="17" t="str">
        <x:f>IF(AND(AI172&gt;=1,I172&lt;=50),"Priority 1",IF(AND(AG172&gt;=1000,I172&lt;=60),"Priority 2",IF(I172&lt;=30,"Priority 3","Nurture")))</x:f>
        <x:v>Nurture</x:v>
      </x:c>
    </x:row>
    <x:row r="173">
      <x:c r="A173" s="16" t="n">
        <x:v>6460</x:v>
      </x:c>
      <x:c r="B173" s="16" t="n">
        <x:v>1982</x:v>
      </x:c>
      <x:c r="C173" s="16" t="str">
        <x:v>Graduation</x:v>
      </x:c>
      <x:c r="D173" s="16" t="str">
        <x:v>Married</x:v>
      </x:c>
      <x:c r="E173" s="16" t="n">
        <x:v>28718</x:v>
      </x:c>
      <x:c r="F173" s="16" t="n">
        <x:v>1</x:v>
      </x:c>
      <x:c r="G173" s="16" t="n">
        <x:v>0</x:v>
      </x:c>
      <x:c r="H173" s="16" t="str">
        <x:v>13-07-2013</x:v>
      </x:c>
      <x:c r="I173" s="16" t="n">
        <x:v>78</x:v>
      </x:c>
      <x:c r="J173" s="16" t="n">
        <x:v>12</x:v>
      </x:c>
      <x:c r="K173" s="16" t="n">
        <x:v>4</x:v>
      </x:c>
      <x:c r="L173" s="16" t="n">
        <x:v>6</x:v>
      </x:c>
      <x:c r="M173" s="16" t="n">
        <x:v>11</x:v>
      </x:c>
      <x:c r="N173" s="16" t="n">
        <x:v>8</x:v>
      </x:c>
      <x:c r="O173" s="16" t="n">
        <x:v>16</x:v>
      </x:c>
      <x:c r="P173" s="16" t="n">
        <x:v>2</x:v>
      </x:c>
      <x:c r="Q173" s="16" t="n">
        <x:v>2</x:v>
      </x:c>
      <x:c r="R173" s="16" t="n">
        <x:v>0</x:v>
      </x:c>
      <x:c r="S173" s="16" t="n">
        <x:v>3</x:v>
      </x:c>
      <x:c r="T173" s="16" t="n">
        <x:v>8</x:v>
      </x:c>
      <x:c r="U173" s="16" t="n">
        <x:v>0</x:v>
      </x:c>
      <x:c r="V173" s="16" t="n">
        <x:v>0</x:v>
      </x:c>
      <x:c r="W173" s="16" t="n">
        <x:v>0</x:v>
      </x:c>
      <x:c r="X173" s="16" t="n">
        <x:v>0</x:v>
      </x:c>
      <x:c r="Y173" s="16" t="n">
        <x:v>0</x:v>
      </x:c>
      <x:c r="Z173" s="16" t="n">
        <x:v>0</x:v>
      </x:c>
      <x:c r="AA173" s="16" t="n">
        <x:v>3</x:v>
      </x:c>
      <x:c r="AB173" s="16" t="n">
        <x:v>11</x:v>
      </x:c>
      <x:c r="AC173" s="16" t="n">
        <x:v>0</x:v>
      </x:c>
      <x:c r="AD173" s="21" t="n">
        <x:f>IF(E173="",MEDIAN($E$2:$E$2237),E173)</x:f>
        <x:v>28718</x:v>
      </x:c>
      <x:c r="AE173" s="17" t="n">
        <x:f>2014-B173</x:f>
        <x:v>32</x:v>
      </x:c>
      <x:c r="AF173" s="17" t="n">
        <x:f>F173+G173</x:f>
        <x:v>1</x:v>
      </x:c>
      <x:c r="AG173" s="21" t="n">
        <x:f>SUM(J173:O173)</x:f>
        <x:v>57</x:v>
      </x:c>
      <x:c r="AH173" s="17" t="n">
        <x:f>SUM(Q173:S173)</x:f>
        <x:v>5</x:v>
      </x:c>
      <x:c r="AI173" s="17" t="n">
        <x:f>SUM(U173:Y173)</x:f>
        <x:v>0</x:v>
      </x:c>
      <x:c r="AJ173" s="17" t="str">
        <x:f>IF(AE173&lt;=34,"≤34",IF(AE173&lt;=44,"35–44",IF(AE173&lt;=54,"45–54",IF(AE173&lt;=64,"55–64","65+"))))</x:f>
        <x:v>≤34</x:v>
      </x:c>
      <x:c r="AK173" s="17" t="str">
        <x:f>IF(AG173&gt;=1000,"High Value",IF(AG173&gt;=300,"Mid Value","Low Value"))</x:f>
        <x:v>Low Value</x:v>
      </x:c>
      <x:c r="AL173" s="17" t="str">
        <x:f>IF(AND(AI173&gt;=1,I173&lt;=50),"Priority 1",IF(AND(AG173&gt;=1000,I173&lt;=60),"Priority 2",IF(I173&lt;=30,"Priority 3","Nurture")))</x:f>
        <x:v>Nurture</x:v>
      </x:c>
    </x:row>
    <x:row r="174">
      <x:c r="A174" s="16" t="n">
        <x:v>1349</x:v>
      </x:c>
      <x:c r="B174" s="16" t="n">
        <x:v>1970</x:v>
      </x:c>
      <x:c r="C174" s="16" t="str">
        <x:v>Graduation</x:v>
      </x:c>
      <x:c r="D174" s="16" t="str">
        <x:v>Married</x:v>
      </x:c>
      <x:c r="E174" s="16" t="n">
        <x:v>50447</x:v>
      </x:c>
      <x:c r="F174" s="16" t="n">
        <x:v>2</x:v>
      </x:c>
      <x:c r="G174" s="16" t="n">
        <x:v>0</x:v>
      </x:c>
      <x:c r="H174" s="16" t="str">
        <x:v>21-04-2014</x:v>
      </x:c>
      <x:c r="I174" s="16" t="n">
        <x:v>4</x:v>
      </x:c>
      <x:c r="J174" s="16" t="n">
        <x:v>85</x:v>
      </x:c>
      <x:c r="K174" s="16" t="n">
        <x:v>7</x:v>
      </x:c>
      <x:c r="L174" s="16" t="n">
        <x:v>24</x:v>
      </x:c>
      <x:c r="M174" s="16" t="n">
        <x:v>2</x:v>
      </x:c>
      <x:c r="N174" s="16" t="n">
        <x:v>3</x:v>
      </x:c>
      <x:c r="O174" s="16" t="n">
        <x:v>27</x:v>
      </x:c>
      <x:c r="P174" s="16" t="n">
        <x:v>1</x:v>
      </x:c>
      <x:c r="Q174" s="16" t="n">
        <x:v>3</x:v>
      </x:c>
      <x:c r="R174" s="16" t="n">
        <x:v>1</x:v>
      </x:c>
      <x:c r="S174" s="16" t="n">
        <x:v>3</x:v>
      </x:c>
      <x:c r="T174" s="16" t="n">
        <x:v>6</x:v>
      </x:c>
      <x:c r="U174" s="16" t="n">
        <x:v>0</x:v>
      </x:c>
      <x:c r="V174" s="16" t="n">
        <x:v>0</x:v>
      </x:c>
      <x:c r="W174" s="16" t="n">
        <x:v>0</x:v>
      </x:c>
      <x:c r="X174" s="16" t="n">
        <x:v>0</x:v>
      </x:c>
      <x:c r="Y174" s="16" t="n">
        <x:v>0</x:v>
      </x:c>
      <x:c r="Z174" s="16" t="n">
        <x:v>0</x:v>
      </x:c>
      <x:c r="AA174" s="16" t="n">
        <x:v>3</x:v>
      </x:c>
      <x:c r="AB174" s="16" t="n">
        <x:v>11</x:v>
      </x:c>
      <x:c r="AC174" s="16" t="n">
        <x:v>0</x:v>
      </x:c>
      <x:c r="AD174" s="21" t="n">
        <x:f>IF(E174="",MEDIAN($E$2:$E$2237),E174)</x:f>
        <x:v>50447</x:v>
      </x:c>
      <x:c r="AE174" s="17" t="n">
        <x:f>2014-B174</x:f>
        <x:v>44</x:v>
      </x:c>
      <x:c r="AF174" s="17" t="n">
        <x:f>F174+G174</x:f>
        <x:v>2</x:v>
      </x:c>
      <x:c r="AG174" s="21" t="n">
        <x:f>SUM(J174:O174)</x:f>
        <x:v>148</x:v>
      </x:c>
      <x:c r="AH174" s="17" t="n">
        <x:f>SUM(Q174:S174)</x:f>
        <x:v>7</x:v>
      </x:c>
      <x:c r="AI174" s="17" t="n">
        <x:f>SUM(U174:Y174)</x:f>
        <x:v>0</x:v>
      </x:c>
      <x:c r="AJ174" s="17" t="str">
        <x:f>IF(AE174&lt;=34,"≤34",IF(AE174&lt;=44,"35–44",IF(AE174&lt;=54,"45–54",IF(AE174&lt;=64,"55–64","65+"))))</x:f>
        <x:v>35–44</x:v>
      </x:c>
      <x:c r="AK174" s="17" t="str">
        <x:f>IF(AG174&gt;=1000,"High Value",IF(AG174&gt;=300,"Mid Value","Low Value"))</x:f>
        <x:v>Low Value</x:v>
      </x:c>
      <x:c r="AL174" s="17" t="str">
        <x:f>IF(AND(AI174&gt;=1,I174&lt;=50),"Priority 1",IF(AND(AG174&gt;=1000,I174&lt;=60),"Priority 2",IF(I174&lt;=30,"Priority 3","Nurture")))</x:f>
        <x:v>Priority 3</x:v>
      </x:c>
    </x:row>
    <x:row r="175">
      <x:c r="A175" s="16" t="n">
        <x:v>1880</x:v>
      </x:c>
      <x:c r="B175" s="16" t="n">
        <x:v>1959</x:v>
      </x:c>
      <x:c r="C175" s="16" t="str">
        <x:v>PhD</x:v>
      </x:c>
      <x:c r="D175" s="16" t="str">
        <x:v>Together</x:v>
      </x:c>
      <x:c r="E175" s="16" t="n">
        <x:v>53537</x:v>
      </x:c>
      <x:c r="F175" s="16" t="n">
        <x:v>1</x:v>
      </x:c>
      <x:c r="G175" s="16" t="n">
        <x:v>1</x:v>
      </x:c>
      <x:c r="H175" s="16" t="str">
        <x:v>30-01-2014</x:v>
      </x:c>
      <x:c r="I175" s="16" t="n">
        <x:v>17</x:v>
      </x:c>
      <x:c r="J175" s="16" t="n">
        <x:v>81</x:v>
      </x:c>
      <x:c r="K175" s="16" t="n">
        <x:v>0</x:v>
      </x:c>
      <x:c r="L175" s="16" t="n">
        <x:v>6</x:v>
      </x:c>
      <x:c r="M175" s="16" t="n">
        <x:v>0</x:v>
      </x:c>
      <x:c r="N175" s="16" t="n">
        <x:v>0</x:v>
      </x:c>
      <x:c r="O175" s="16" t="n">
        <x:v>6</x:v>
      </x:c>
      <x:c r="P175" s="16" t="n">
        <x:v>2</x:v>
      </x:c>
      <x:c r="Q175" s="16" t="n">
        <x:v>2</x:v>
      </x:c>
      <x:c r="R175" s="16" t="n">
        <x:v>1</x:v>
      </x:c>
      <x:c r="S175" s="16" t="n">
        <x:v>3</x:v>
      </x:c>
      <x:c r="T175" s="16" t="n">
        <x:v>5</x:v>
      </x:c>
      <x:c r="U175" s="16" t="n">
        <x:v>0</x:v>
      </x:c>
      <x:c r="V175" s="16" t="n">
        <x:v>0</x:v>
      </x:c>
      <x:c r="W175" s="16" t="n">
        <x:v>0</x:v>
      </x:c>
      <x:c r="X175" s="16" t="n">
        <x:v>0</x:v>
      </x:c>
      <x:c r="Y175" s="16" t="n">
        <x:v>0</x:v>
      </x:c>
      <x:c r="Z175" s="16" t="n">
        <x:v>0</x:v>
      </x:c>
      <x:c r="AA175" s="16" t="n">
        <x:v>3</x:v>
      </x:c>
      <x:c r="AB175" s="16" t="n">
        <x:v>11</x:v>
      </x:c>
      <x:c r="AC175" s="16" t="n">
        <x:v>0</x:v>
      </x:c>
      <x:c r="AD175" s="21" t="n">
        <x:f>IF(E175="",MEDIAN($E$2:$E$2237),E175)</x:f>
        <x:v>53537</x:v>
      </x:c>
      <x:c r="AE175" s="17" t="n">
        <x:f>2014-B175</x:f>
        <x:v>55</x:v>
      </x:c>
      <x:c r="AF175" s="17" t="n">
        <x:f>F175+G175</x:f>
        <x:v>2</x:v>
      </x:c>
      <x:c r="AG175" s="21" t="n">
        <x:f>SUM(J175:O175)</x:f>
        <x:v>93</x:v>
      </x:c>
      <x:c r="AH175" s="17" t="n">
        <x:f>SUM(Q175:S175)</x:f>
        <x:v>6</x:v>
      </x:c>
      <x:c r="AI175" s="17" t="n">
        <x:f>SUM(U175:Y175)</x:f>
        <x:v>0</x:v>
      </x:c>
      <x:c r="AJ175" s="17" t="str">
        <x:f>IF(AE175&lt;=34,"≤34",IF(AE175&lt;=44,"35–44",IF(AE175&lt;=54,"45–54",IF(AE175&lt;=64,"55–64","65+"))))</x:f>
        <x:v>55–64</x:v>
      </x:c>
      <x:c r="AK175" s="17" t="str">
        <x:f>IF(AG175&gt;=1000,"High Value",IF(AG175&gt;=300,"Mid Value","Low Value"))</x:f>
        <x:v>Low Value</x:v>
      </x:c>
      <x:c r="AL175" s="17" t="str">
        <x:f>IF(AND(AI175&gt;=1,I175&lt;=50),"Priority 1",IF(AND(AG175&gt;=1000,I175&lt;=60),"Priority 2",IF(I175&lt;=30,"Priority 3","Nurture")))</x:f>
        <x:v>Priority 3</x:v>
      </x:c>
    </x:row>
    <x:row r="176">
      <x:c r="A176" s="16" t="n">
        <x:v>641</x:v>
      </x:c>
      <x:c r="B176" s="16" t="n">
        <x:v>1967</x:v>
      </x:c>
      <x:c r="C176" s="16" t="str">
        <x:v>Graduation</x:v>
      </x:c>
      <x:c r="D176" s="16" t="str">
        <x:v>Single</x:v>
      </x:c>
      <x:c r="E176" s="16" t="n">
        <x:v>52074</x:v>
      </x:c>
      <x:c r="F176" s="16" t="n">
        <x:v>0</x:v>
      </x:c>
      <x:c r="G176" s="16" t="n">
        <x:v>1</x:v>
      </x:c>
      <x:c r="H176" s="16" t="str">
        <x:v>04-04-2014</x:v>
      </x:c>
      <x:c r="I176" s="16" t="n">
        <x:v>77</x:v>
      </x:c>
      <x:c r="J176" s="16" t="n">
        <x:v>59</x:v>
      </x:c>
      <x:c r="K176" s="16" t="n">
        <x:v>0</x:v>
      </x:c>
      <x:c r="L176" s="16" t="n">
        <x:v>12</x:v>
      </x:c>
      <x:c r="M176" s="16" t="n">
        <x:v>0</x:v>
      </x:c>
      <x:c r="N176" s="16" t="n">
        <x:v>0</x:v>
      </x:c>
      <x:c r="O176" s="16" t="n">
        <x:v>48</x:v>
      </x:c>
      <x:c r="P176" s="16" t="n">
        <x:v>1</x:v>
      </x:c>
      <x:c r="Q176" s="16" t="n">
        <x:v>2</x:v>
      </x:c>
      <x:c r="R176" s="16" t="n">
        <x:v>2</x:v>
      </x:c>
      <x:c r="S176" s="16" t="n">
        <x:v>2</x:v>
      </x:c>
      <x:c r="T176" s="16" t="n">
        <x:v>4</x:v>
      </x:c>
      <x:c r="U176" s="16" t="n">
        <x:v>1</x:v>
      </x:c>
      <x:c r="V176" s="16" t="n">
        <x:v>0</x:v>
      </x:c>
      <x:c r="W176" s="16" t="n">
        <x:v>0</x:v>
      </x:c>
      <x:c r="X176" s="16" t="n">
        <x:v>0</x:v>
      </x:c>
      <x:c r="Y176" s="16" t="n">
        <x:v>0</x:v>
      </x:c>
      <x:c r="Z176" s="16" t="n">
        <x:v>0</x:v>
      </x:c>
      <x:c r="AA176" s="16" t="n">
        <x:v>3</x:v>
      </x:c>
      <x:c r="AB176" s="16" t="n">
        <x:v>11</x:v>
      </x:c>
      <x:c r="AC176" s="16" t="n">
        <x:v>0</x:v>
      </x:c>
      <x:c r="AD176" s="21" t="n">
        <x:f>IF(E176="",MEDIAN($E$2:$E$2237),E176)</x:f>
        <x:v>52074</x:v>
      </x:c>
      <x:c r="AE176" s="17" t="n">
        <x:f>2014-B176</x:f>
        <x:v>47</x:v>
      </x:c>
      <x:c r="AF176" s="17" t="n">
        <x:f>F176+G176</x:f>
        <x:v>1</x:v>
      </x:c>
      <x:c r="AG176" s="21" t="n">
        <x:f>SUM(J176:O176)</x:f>
        <x:v>119</x:v>
      </x:c>
      <x:c r="AH176" s="17" t="n">
        <x:f>SUM(Q176:S176)</x:f>
        <x:v>6</x:v>
      </x:c>
      <x:c r="AI176" s="17" t="n">
        <x:f>SUM(U176:Y176)</x:f>
        <x:v>1</x:v>
      </x:c>
      <x:c r="AJ176" s="17" t="str">
        <x:f>IF(AE176&lt;=34,"≤34",IF(AE176&lt;=44,"35–44",IF(AE176&lt;=54,"45–54",IF(AE176&lt;=64,"55–64","65+"))))</x:f>
        <x:v>45–54</x:v>
      </x:c>
      <x:c r="AK176" s="17" t="str">
        <x:f>IF(AG176&gt;=1000,"High Value",IF(AG176&gt;=300,"Mid Value","Low Value"))</x:f>
        <x:v>Low Value</x:v>
      </x:c>
      <x:c r="AL176" s="17" t="str">
        <x:f>IF(AND(AI176&gt;=1,I176&lt;=50),"Priority 1",IF(AND(AG176&gt;=1000,I176&lt;=60),"Priority 2",IF(I176&lt;=30,"Priority 3","Nurture")))</x:f>
        <x:v>Nurture</x:v>
      </x:c>
    </x:row>
    <x:row r="177">
      <x:c r="A177" s="16" t="n">
        <x:v>8717</x:v>
      </x:c>
      <x:c r="B177" s="16" t="n">
        <x:v>1975</x:v>
      </x:c>
      <x:c r="C177" s="16" t="str">
        <x:v>PhD</x:v>
      </x:c>
      <x:c r="D177" s="16" t="str">
        <x:v>Married</x:v>
      </x:c>
      <x:c r="E177" s="16" t="n">
        <x:v>80427</x:v>
      </x:c>
      <x:c r="F177" s="16" t="n">
        <x:v>0</x:v>
      </x:c>
      <x:c r="G177" s="16" t="n">
        <x:v>1</x:v>
      </x:c>
      <x:c r="H177" s="16" t="str">
        <x:v>12-09-2012</x:v>
      </x:c>
      <x:c r="I177" s="16" t="n">
        <x:v>56</x:v>
      </x:c>
      <x:c r="J177" s="16" t="n">
        <x:v>1149</x:v>
      </x:c>
      <x:c r="K177" s="16" t="n">
        <x:v>71</x:v>
      </x:c>
      <x:c r="L177" s="16" t="n">
        <x:v>449</x:v>
      </x:c>
      <x:c r="M177" s="16" t="n">
        <x:v>69</x:v>
      </x:c>
      <x:c r="N177" s="16" t="n">
        <x:v>71</x:v>
      </x:c>
      <x:c r="O177" s="16" t="n">
        <x:v>26</x:v>
      </x:c>
      <x:c r="P177" s="16" t="n">
        <x:v>1</x:v>
      </x:c>
      <x:c r="Q177" s="16" t="n">
        <x:v>11</x:v>
      </x:c>
      <x:c r="R177" s="16" t="n">
        <x:v>8</x:v>
      </x:c>
      <x:c r="S177" s="16" t="n">
        <x:v>8</x:v>
      </x:c>
      <x:c r="T177" s="16" t="n">
        <x:v>5</x:v>
      </x:c>
      <x:c r="U177" s="16" t="n">
        <x:v>0</x:v>
      </x:c>
      <x:c r="V177" s="16" t="n">
        <x:v>0</x:v>
      </x:c>
      <x:c r="W177" s="16" t="n">
        <x:v>0</x:v>
      </x:c>
      <x:c r="X177" s="16" t="n">
        <x:v>0</x:v>
      </x:c>
      <x:c r="Y177" s="16" t="n">
        <x:v>0</x:v>
      </x:c>
      <x:c r="Z177" s="16" t="n">
        <x:v>0</x:v>
      </x:c>
      <x:c r="AA177" s="16" t="n">
        <x:v>3</x:v>
      </x:c>
      <x:c r="AB177" s="16" t="n">
        <x:v>11</x:v>
      </x:c>
      <x:c r="AC177" s="16" t="n">
        <x:v>0</x:v>
      </x:c>
      <x:c r="AD177" s="21" t="n">
        <x:f>IF(E177="",MEDIAN($E$2:$E$2237),E177)</x:f>
        <x:v>80427</x:v>
      </x:c>
      <x:c r="AE177" s="17" t="n">
        <x:f>2014-B177</x:f>
        <x:v>39</x:v>
      </x:c>
      <x:c r="AF177" s="17" t="n">
        <x:f>F177+G177</x:f>
        <x:v>1</x:v>
      </x:c>
      <x:c r="AG177" s="21" t="n">
        <x:f>SUM(J177:O177)</x:f>
        <x:v>1835</x:v>
      </x:c>
      <x:c r="AH177" s="17" t="n">
        <x:f>SUM(Q177:S177)</x:f>
        <x:v>27</x:v>
      </x:c>
      <x:c r="AI177" s="17" t="n">
        <x:f>SUM(U177:Y177)</x:f>
        <x:v>0</x:v>
      </x:c>
      <x:c r="AJ177" s="17" t="str">
        <x:f>IF(AE177&lt;=34,"≤34",IF(AE177&lt;=44,"35–44",IF(AE177&lt;=54,"45–54",IF(AE177&lt;=64,"55–64","65+"))))</x:f>
        <x:v>35–44</x:v>
      </x:c>
      <x:c r="AK177" s="17" t="str">
        <x:f>IF(AG177&gt;=1000,"High Value",IF(AG177&gt;=300,"Mid Value","Low Value"))</x:f>
        <x:v>High Value</x:v>
      </x:c>
      <x:c r="AL177" s="17" t="str">
        <x:f>IF(AND(AI177&gt;=1,I177&lt;=50),"Priority 1",IF(AND(AG177&gt;=1000,I177&lt;=60),"Priority 2",IF(I177&lt;=30,"Priority 3","Nurture")))</x:f>
        <x:v>Priority 2</x:v>
      </x:c>
    </x:row>
    <x:row r="178">
      <x:c r="A178" s="16" t="n">
        <x:v>10314</x:v>
      </x:c>
      <x:c r="B178" s="16" t="n">
        <x:v>1948</x:v>
      </x:c>
      <x:c r="C178" s="16" t="str">
        <x:v>PhD</x:v>
      </x:c>
      <x:c r="D178" s="16" t="str">
        <x:v>Married</x:v>
      </x:c>
      <x:c r="E178" s="16" t="n">
        <x:v>83837</x:v>
      </x:c>
      <x:c r="F178" s="16" t="n">
        <x:v>0</x:v>
      </x:c>
      <x:c r="G178" s="16" t="n">
        <x:v>0</x:v>
      </x:c>
      <x:c r="H178" s="16" t="str">
        <x:v>16-12-2012</x:v>
      </x:c>
      <x:c r="I178" s="16" t="n">
        <x:v>79</x:v>
      </x:c>
      <x:c r="J178" s="16" t="n">
        <x:v>847</x:v>
      </x:c>
      <x:c r="K178" s="16" t="n">
        <x:v>66</x:v>
      </x:c>
      <x:c r="L178" s="16" t="n">
        <x:v>119</x:v>
      </x:c>
      <x:c r="M178" s="16" t="n">
        <x:v>86</x:v>
      </x:c>
      <x:c r="N178" s="16" t="n">
        <x:v>89</x:v>
      </x:c>
      <x:c r="O178" s="16" t="n">
        <x:v>111</x:v>
      </x:c>
      <x:c r="P178" s="16" t="n">
        <x:v>1</x:v>
      </x:c>
      <x:c r="Q178" s="16" t="n">
        <x:v>9</x:v>
      </x:c>
      <x:c r="R178" s="16" t="n">
        <x:v>10</x:v>
      </x:c>
      <x:c r="S178" s="16" t="n">
        <x:v>5</x:v>
      </x:c>
      <x:c r="T178" s="16" t="n">
        <x:v>4</x:v>
      </x:c>
      <x:c r="U178" s="16" t="n">
        <x:v>0</x:v>
      </x:c>
      <x:c r="V178" s="16" t="n">
        <x:v>1</x:v>
      </x:c>
      <x:c r="W178" s="16" t="n">
        <x:v>0</x:v>
      </x:c>
      <x:c r="X178" s="16" t="n">
        <x:v>1</x:v>
      </x:c>
      <x:c r="Y178" s="16" t="n">
        <x:v>0</x:v>
      </x:c>
      <x:c r="Z178" s="16" t="n">
        <x:v>0</x:v>
      </x:c>
      <x:c r="AA178" s="16" t="n">
        <x:v>3</x:v>
      </x:c>
      <x:c r="AB178" s="16" t="n">
        <x:v>11</x:v>
      </x:c>
      <x:c r="AC178" s="16" t="n">
        <x:v>1</x:v>
      </x:c>
      <x:c r="AD178" s="21" t="n">
        <x:f>IF(E178="",MEDIAN($E$2:$E$2237),E178)</x:f>
        <x:v>83837</x:v>
      </x:c>
      <x:c r="AE178" s="17" t="n">
        <x:f>2014-B178</x:f>
        <x:v>66</x:v>
      </x:c>
      <x:c r="AF178" s="17" t="n">
        <x:f>F178+G178</x:f>
        <x:v>0</x:v>
      </x:c>
      <x:c r="AG178" s="21" t="n">
        <x:f>SUM(J178:O178)</x:f>
        <x:v>1318</x:v>
      </x:c>
      <x:c r="AH178" s="17" t="n">
        <x:f>SUM(Q178:S178)</x:f>
        <x:v>24</x:v>
      </x:c>
      <x:c r="AI178" s="17" t="n">
        <x:f>SUM(U178:Y178)</x:f>
        <x:v>2</x:v>
      </x:c>
      <x:c r="AJ178" s="17" t="str">
        <x:f>IF(AE178&lt;=34,"≤34",IF(AE178&lt;=44,"35–44",IF(AE178&lt;=54,"45–54",IF(AE178&lt;=64,"55–64","65+"))))</x:f>
        <x:v>65+</x:v>
      </x:c>
      <x:c r="AK178" s="17" t="str">
        <x:f>IF(AG178&gt;=1000,"High Value",IF(AG178&gt;=300,"Mid Value","Low Value"))</x:f>
        <x:v>High Value</x:v>
      </x:c>
      <x:c r="AL178" s="17" t="str">
        <x:f>IF(AND(AI178&gt;=1,I178&lt;=50),"Priority 1",IF(AND(AG178&gt;=1000,I178&lt;=60),"Priority 2",IF(I178&lt;=30,"Priority 3","Nurture")))</x:f>
        <x:v>Nurture</x:v>
      </x:c>
    </x:row>
    <x:row r="179">
      <x:c r="A179" s="16" t="n">
        <x:v>10854</x:v>
      </x:c>
      <x:c r="B179" s="16" t="n">
        <x:v>1970</x:v>
      </x:c>
      <x:c r="C179" s="16" t="str">
        <x:v>PhD</x:v>
      </x:c>
      <x:c r="D179" s="16" t="str">
        <x:v>Married</x:v>
      </x:c>
      <x:c r="E179" s="16" t="n">
        <x:v>38853</x:v>
      </x:c>
      <x:c r="F179" s="16" t="n">
        <x:v>1</x:v>
      </x:c>
      <x:c r="G179" s="16" t="n">
        <x:v>1</x:v>
      </x:c>
      <x:c r="H179" s="16" t="str">
        <x:v>23-05-2014</x:v>
      </x:c>
      <x:c r="I179" s="16" t="n">
        <x:v>90</x:v>
      </x:c>
      <x:c r="J179" s="16" t="n">
        <x:v>29</x:v>
      </x:c>
      <x:c r="K179" s="16" t="n">
        <x:v>0</x:v>
      </x:c>
      <x:c r="L179" s="16" t="n">
        <x:v>14</x:v>
      </x:c>
      <x:c r="M179" s="16" t="n">
        <x:v>0</x:v>
      </x:c>
      <x:c r="N179" s="16" t="n">
        <x:v>0</x:v>
      </x:c>
      <x:c r="O179" s="16" t="n">
        <x:v>2</x:v>
      </x:c>
      <x:c r="P179" s="16" t="n">
        <x:v>2</x:v>
      </x:c>
      <x:c r="Q179" s="16" t="n">
        <x:v>2</x:v>
      </x:c>
      <x:c r="R179" s="16" t="n">
        <x:v>0</x:v>
      </x:c>
      <x:c r="S179" s="16" t="n">
        <x:v>3</x:v>
      </x:c>
      <x:c r="T179" s="16" t="n">
        <x:v>7</x:v>
      </x:c>
      <x:c r="U179" s="16" t="n">
        <x:v>0</x:v>
      </x:c>
      <x:c r="V179" s="16" t="n">
        <x:v>0</x:v>
      </x:c>
      <x:c r="W179" s="16" t="n">
        <x:v>0</x:v>
      </x:c>
      <x:c r="X179" s="16" t="n">
        <x:v>0</x:v>
      </x:c>
      <x:c r="Y179" s="16" t="n">
        <x:v>0</x:v>
      </x:c>
      <x:c r="Z179" s="16" t="n">
        <x:v>0</x:v>
      </x:c>
      <x:c r="AA179" s="16" t="n">
        <x:v>3</x:v>
      </x:c>
      <x:c r="AB179" s="16" t="n">
        <x:v>11</x:v>
      </x:c>
      <x:c r="AC179" s="16" t="n">
        <x:v>0</x:v>
      </x:c>
      <x:c r="AD179" s="21" t="n">
        <x:f>IF(E179="",MEDIAN($E$2:$E$2237),E179)</x:f>
        <x:v>38853</x:v>
      </x:c>
      <x:c r="AE179" s="17" t="n">
        <x:f>2014-B179</x:f>
        <x:v>44</x:v>
      </x:c>
      <x:c r="AF179" s="17" t="n">
        <x:f>F179+G179</x:f>
        <x:v>2</x:v>
      </x:c>
      <x:c r="AG179" s="21" t="n">
        <x:f>SUM(J179:O179)</x:f>
        <x:v>45</x:v>
      </x:c>
      <x:c r="AH179" s="17" t="n">
        <x:f>SUM(Q179:S179)</x:f>
        <x:v>5</x:v>
      </x:c>
      <x:c r="AI179" s="17" t="n">
        <x:f>SUM(U179:Y179)</x:f>
        <x:v>0</x:v>
      </x:c>
      <x:c r="AJ179" s="17" t="str">
        <x:f>IF(AE179&lt;=34,"≤34",IF(AE179&lt;=44,"35–44",IF(AE179&lt;=54,"45–54",IF(AE179&lt;=64,"55–64","65+"))))</x:f>
        <x:v>35–44</x:v>
      </x:c>
      <x:c r="AK179" s="17" t="str">
        <x:f>IF(AG179&gt;=1000,"High Value",IF(AG179&gt;=300,"Mid Value","Low Value"))</x:f>
        <x:v>Low Value</x:v>
      </x:c>
      <x:c r="AL179" s="17" t="str">
        <x:f>IF(AND(AI179&gt;=1,I179&lt;=50),"Priority 1",IF(AND(AG179&gt;=1000,I179&lt;=60),"Priority 2",IF(I179&lt;=30,"Priority 3","Nurture")))</x:f>
        <x:v>Nurture</x:v>
      </x:c>
    </x:row>
    <x:row r="180">
      <x:c r="A180" s="16" t="n">
        <x:v>10492</x:v>
      </x:c>
      <x:c r="B180" s="16" t="n">
        <x:v>1959</x:v>
      </x:c>
      <x:c r="C180" s="16" t="str">
        <x:v>Graduation</x:v>
      </x:c>
      <x:c r="D180" s="16" t="str">
        <x:v>Together</x:v>
      </x:c>
      <x:c r="E180" s="16" t="n">
        <x:v>38285</x:v>
      </x:c>
      <x:c r="F180" s="16" t="n">
        <x:v>2</x:v>
      </x:c>
      <x:c r="G180" s="16" t="n">
        <x:v>1</x:v>
      </x:c>
      <x:c r="H180" s="16" t="str">
        <x:v>24-06-2014</x:v>
      </x:c>
      <x:c r="I180" s="16" t="n">
        <x:v>96</x:v>
      </x:c>
      <x:c r="J180" s="16" t="n">
        <x:v>2</x:v>
      </x:c>
      <x:c r="K180" s="16" t="n">
        <x:v>0</x:v>
      </x:c>
      <x:c r="L180" s="16" t="n">
        <x:v>5</x:v>
      </x:c>
      <x:c r="M180" s="16" t="n">
        <x:v>2</x:v>
      </x:c>
      <x:c r="N180" s="16" t="n">
        <x:v>0</x:v>
      </x:c>
      <x:c r="O180" s="16" t="n">
        <x:v>1</x:v>
      </x:c>
      <x:c r="P180" s="16" t="n">
        <x:v>1</x:v>
      </x:c>
      <x:c r="Q180" s="16" t="n">
        <x:v>0</x:v>
      </x:c>
      <x:c r="R180" s="16" t="n">
        <x:v>0</x:v>
      </x:c>
      <x:c r="S180" s="16" t="n">
        <x:v>3</x:v>
      </x:c>
      <x:c r="T180" s="16" t="n">
        <x:v>2</x:v>
      </x:c>
      <x:c r="U180" s="16" t="n">
        <x:v>0</x:v>
      </x:c>
      <x:c r="V180" s="16" t="n">
        <x:v>0</x:v>
      </x:c>
      <x:c r="W180" s="16" t="n">
        <x:v>0</x:v>
      </x:c>
      <x:c r="X180" s="16" t="n">
        <x:v>0</x:v>
      </x:c>
      <x:c r="Y180" s="16" t="n">
        <x:v>0</x:v>
      </x:c>
      <x:c r="Z180" s="16" t="n">
        <x:v>0</x:v>
      </x:c>
      <x:c r="AA180" s="16" t="n">
        <x:v>3</x:v>
      </x:c>
      <x:c r="AB180" s="16" t="n">
        <x:v>11</x:v>
      </x:c>
      <x:c r="AC180" s="16" t="n">
        <x:v>0</x:v>
      </x:c>
      <x:c r="AD180" s="21" t="n">
        <x:f>IF(E180="",MEDIAN($E$2:$E$2237),E180)</x:f>
        <x:v>38285</x:v>
      </x:c>
      <x:c r="AE180" s="17" t="n">
        <x:f>2014-B180</x:f>
        <x:v>55</x:v>
      </x:c>
      <x:c r="AF180" s="17" t="n">
        <x:f>F180+G180</x:f>
        <x:v>3</x:v>
      </x:c>
      <x:c r="AG180" s="21" t="n">
        <x:f>SUM(J180:O180)</x:f>
        <x:v>10</x:v>
      </x:c>
      <x:c r="AH180" s="17" t="n">
        <x:f>SUM(Q180:S180)</x:f>
        <x:v>3</x:v>
      </x:c>
      <x:c r="AI180" s="17" t="n">
        <x:f>SUM(U180:Y180)</x:f>
        <x:v>0</x:v>
      </x:c>
      <x:c r="AJ180" s="17" t="str">
        <x:f>IF(AE180&lt;=34,"≤34",IF(AE180&lt;=44,"35–44",IF(AE180&lt;=54,"45–54",IF(AE180&lt;=64,"55–64","65+"))))</x:f>
        <x:v>55–64</x:v>
      </x:c>
      <x:c r="AK180" s="17" t="str">
        <x:f>IF(AG180&gt;=1000,"High Value",IF(AG180&gt;=300,"Mid Value","Low Value"))</x:f>
        <x:v>Low Value</x:v>
      </x:c>
      <x:c r="AL180" s="17" t="str">
        <x:f>IF(AND(AI180&gt;=1,I180&lt;=50),"Priority 1",IF(AND(AG180&gt;=1000,I180&lt;=60),"Priority 2",IF(I180&lt;=30,"Priority 3","Nurture")))</x:f>
        <x:v>Nurture</x:v>
      </x:c>
    </x:row>
    <x:row r="181">
      <x:c r="A181" s="16" t="n">
        <x:v>6935</x:v>
      </x:c>
      <x:c r="B181" s="16" t="n">
        <x:v>1951</x:v>
      </x:c>
      <x:c r="C181" s="16" t="str">
        <x:v>2n Cycle</x:v>
      </x:c>
      <x:c r="D181" s="16" t="str">
        <x:v>Married</x:v>
      </x:c>
      <x:c r="E181" s="16" t="n">
        <x:v>78497</x:v>
      </x:c>
      <x:c r="F181" s="16" t="n">
        <x:v>0</x:v>
      </x:c>
      <x:c r="G181" s="16" t="n">
        <x:v>0</x:v>
      </x:c>
      <x:c r="H181" s="16" t="str">
        <x:v>01-12-2013</x:v>
      </x:c>
      <x:c r="I181" s="16" t="n">
        <x:v>44</x:v>
      </x:c>
      <x:c r="J181" s="16" t="n">
        <x:v>207</x:v>
      </x:c>
      <x:c r="K181" s="16" t="n">
        <x:v>26</x:v>
      </x:c>
      <x:c r="L181" s="16" t="n">
        <x:v>447</x:v>
      </x:c>
      <x:c r="M181" s="16" t="n">
        <x:v>75</x:v>
      </x:c>
      <x:c r="N181" s="16" t="n">
        <x:v>0</x:v>
      </x:c>
      <x:c r="O181" s="16" t="n">
        <x:v>223</x:v>
      </x:c>
      <x:c r="P181" s="16" t="n">
        <x:v>1</x:v>
      </x:c>
      <x:c r="Q181" s="16" t="n">
        <x:v>5</x:v>
      </x:c>
      <x:c r="R181" s="16" t="n">
        <x:v>7</x:v>
      </x:c>
      <x:c r="S181" s="16" t="n">
        <x:v>12</x:v>
      </x:c>
      <x:c r="T181" s="16" t="n">
        <x:v>2</x:v>
      </x:c>
      <x:c r="U181" s="16" t="n">
        <x:v>0</x:v>
      </x:c>
      <x:c r="V181" s="16" t="n">
        <x:v>0</x:v>
      </x:c>
      <x:c r="W181" s="16" t="n">
        <x:v>0</x:v>
      </x:c>
      <x:c r="X181" s="16" t="n">
        <x:v>1</x:v>
      </x:c>
      <x:c r="Y181" s="16" t="n">
        <x:v>0</x:v>
      </x:c>
      <x:c r="Z181" s="16" t="n">
        <x:v>0</x:v>
      </x:c>
      <x:c r="AA181" s="16" t="n">
        <x:v>3</x:v>
      </x:c>
      <x:c r="AB181" s="16" t="n">
        <x:v>11</x:v>
      </x:c>
      <x:c r="AC181" s="16" t="n">
        <x:v>0</x:v>
      </x:c>
      <x:c r="AD181" s="21" t="n">
        <x:f>IF(E181="",MEDIAN($E$2:$E$2237),E181)</x:f>
        <x:v>78497</x:v>
      </x:c>
      <x:c r="AE181" s="17" t="n">
        <x:f>2014-B181</x:f>
        <x:v>63</x:v>
      </x:c>
      <x:c r="AF181" s="17" t="n">
        <x:f>F181+G181</x:f>
        <x:v>0</x:v>
      </x:c>
      <x:c r="AG181" s="21" t="n">
        <x:f>SUM(J181:O181)</x:f>
        <x:v>978</x:v>
      </x:c>
      <x:c r="AH181" s="17" t="n">
        <x:f>SUM(Q181:S181)</x:f>
        <x:v>24</x:v>
      </x:c>
      <x:c r="AI181" s="17" t="n">
        <x:f>SUM(U181:Y181)</x:f>
        <x:v>1</x:v>
      </x:c>
      <x:c r="AJ181" s="17" t="str">
        <x:f>IF(AE181&lt;=34,"≤34",IF(AE181&lt;=44,"35–44",IF(AE181&lt;=54,"45–54",IF(AE181&lt;=64,"55–64","65+"))))</x:f>
        <x:v>55–64</x:v>
      </x:c>
      <x:c r="AK181" s="17" t="str">
        <x:f>IF(AG181&gt;=1000,"High Value",IF(AG181&gt;=300,"Mid Value","Low Value"))</x:f>
        <x:v>Mid Value</x:v>
      </x:c>
      <x:c r="AL181" s="17" t="str">
        <x:f>IF(AND(AI181&gt;=1,I181&lt;=50),"Priority 1",IF(AND(AG181&gt;=1000,I181&lt;=60),"Priority 2",IF(I181&lt;=30,"Priority 3","Nurture")))</x:f>
        <x:v>Priority 1</x:v>
      </x:c>
    </x:row>
    <x:row r="182">
      <x:c r="A182" s="16" t="n">
        <x:v>7698</x:v>
      </x:c>
      <x:c r="B182" s="16" t="n">
        <x:v>1976</x:v>
      </x:c>
      <x:c r="C182" s="16" t="str">
        <x:v>PhD</x:v>
      </x:c>
      <x:c r="D182" s="16" t="str">
        <x:v>Married</x:v>
      </x:c>
      <x:c r="E182" s="16" t="n">
        <x:v>51650</x:v>
      </x:c>
      <x:c r="F182" s="16" t="n">
        <x:v>0</x:v>
      </x:c>
      <x:c r="G182" s="16" t="n">
        <x:v>1</x:v>
      </x:c>
      <x:c r="H182" s="16" t="str">
        <x:v>11-05-2014</x:v>
      </x:c>
      <x:c r="I182" s="16" t="n">
        <x:v>81</x:v>
      </x:c>
      <x:c r="J182" s="16" t="n">
        <x:v>152</x:v>
      </x:c>
      <x:c r="K182" s="16" t="n">
        <x:v>3</x:v>
      </x:c>
      <x:c r="L182" s="16" t="n">
        <x:v>22</x:v>
      </x:c>
      <x:c r="M182" s="16" t="n">
        <x:v>2</x:v>
      </x:c>
      <x:c r="N182" s="16" t="n">
        <x:v>5</x:v>
      </x:c>
      <x:c r="O182" s="16" t="n">
        <x:v>7</x:v>
      </x:c>
      <x:c r="P182" s="16" t="n">
        <x:v>1</x:v>
      </x:c>
      <x:c r="Q182" s="16" t="n">
        <x:v>4</x:v>
      </x:c>
      <x:c r="R182" s="16" t="n">
        <x:v>1</x:v>
      </x:c>
      <x:c r="S182" s="16" t="n">
        <x:v>4</x:v>
      </x:c>
      <x:c r="T182" s="16" t="n">
        <x:v>5</x:v>
      </x:c>
      <x:c r="U182" s="16" t="n">
        <x:v>0</x:v>
      </x:c>
      <x:c r="V182" s="16" t="n">
        <x:v>0</x:v>
      </x:c>
      <x:c r="W182" s="16" t="n">
        <x:v>0</x:v>
      </x:c>
      <x:c r="X182" s="16" t="n">
        <x:v>0</x:v>
      </x:c>
      <x:c r="Y182" s="16" t="n">
        <x:v>0</x:v>
      </x:c>
      <x:c r="Z182" s="16" t="n">
        <x:v>0</x:v>
      </x:c>
      <x:c r="AA182" s="16" t="n">
        <x:v>3</x:v>
      </x:c>
      <x:c r="AB182" s="16" t="n">
        <x:v>11</x:v>
      </x:c>
      <x:c r="AC182" s="16" t="n">
        <x:v>0</x:v>
      </x:c>
      <x:c r="AD182" s="21" t="n">
        <x:f>IF(E182="",MEDIAN($E$2:$E$2237),E182)</x:f>
        <x:v>51650</x:v>
      </x:c>
      <x:c r="AE182" s="17" t="n">
        <x:f>2014-B182</x:f>
        <x:v>38</x:v>
      </x:c>
      <x:c r="AF182" s="17" t="n">
        <x:f>F182+G182</x:f>
        <x:v>1</x:v>
      </x:c>
      <x:c r="AG182" s="21" t="n">
        <x:f>SUM(J182:O182)</x:f>
        <x:v>191</x:v>
      </x:c>
      <x:c r="AH182" s="17" t="n">
        <x:f>SUM(Q182:S182)</x:f>
        <x:v>9</x:v>
      </x:c>
      <x:c r="AI182" s="17" t="n">
        <x:f>SUM(U182:Y182)</x:f>
        <x:v>0</x:v>
      </x:c>
      <x:c r="AJ182" s="17" t="str">
        <x:f>IF(AE182&lt;=34,"≤34",IF(AE182&lt;=44,"35–44",IF(AE182&lt;=54,"45–54",IF(AE182&lt;=64,"55–64","65+"))))</x:f>
        <x:v>35–44</x:v>
      </x:c>
      <x:c r="AK182" s="17" t="str">
        <x:f>IF(AG182&gt;=1000,"High Value",IF(AG182&gt;=300,"Mid Value","Low Value"))</x:f>
        <x:v>Low Value</x:v>
      </x:c>
      <x:c r="AL182" s="17" t="str">
        <x:f>IF(AND(AI182&gt;=1,I182&lt;=50),"Priority 1",IF(AND(AG182&gt;=1000,I182&lt;=60),"Priority 2",IF(I182&lt;=30,"Priority 3","Nurture")))</x:f>
        <x:v>Nurture</x:v>
      </x:c>
    </x:row>
    <x:row r="183">
      <x:c r="A183" s="16" t="n">
        <x:v>3559</x:v>
      </x:c>
      <x:c r="B183" s="16" t="n">
        <x:v>1988</x:v>
      </x:c>
      <x:c r="C183" s="16" t="str">
        <x:v>2n Cycle</x:v>
      </x:c>
      <x:c r="D183" s="16" t="str">
        <x:v>Married</x:v>
      </x:c>
      <x:c r="E183" s="16" t="n">
        <x:v>16248</x:v>
      </x:c>
      <x:c r="F183" s="16" t="n">
        <x:v>1</x:v>
      </x:c>
      <x:c r="G183" s="16" t="n">
        <x:v>0</x:v>
      </x:c>
      <x:c r="H183" s="16" t="str">
        <x:v>10-05-2014</x:v>
      </x:c>
      <x:c r="I183" s="16" t="n">
        <x:v>77</x:v>
      </x:c>
      <x:c r="J183" s="16" t="n">
        <x:v>12</x:v>
      </x:c>
      <x:c r="K183" s="16" t="n">
        <x:v>11</x:v>
      </x:c>
      <x:c r="L183" s="16" t="n">
        <x:v>10</x:v>
      </x:c>
      <x:c r="M183" s="16" t="n">
        <x:v>3</x:v>
      </x:c>
      <x:c r="N183" s="16" t="n">
        <x:v>12</x:v>
      </x:c>
      <x:c r="O183" s="16" t="n">
        <x:v>9</x:v>
      </x:c>
      <x:c r="P183" s="16" t="n">
        <x:v>3</x:v>
      </x:c>
      <x:c r="Q183" s="16" t="n">
        <x:v>2</x:v>
      </x:c>
      <x:c r="R183" s="16" t="n">
        <x:v>1</x:v>
      </x:c>
      <x:c r="S183" s="16" t="n">
        <x:v>3</x:v>
      </x:c>
      <x:c r="T183" s="16" t="n">
        <x:v>6</x:v>
      </x:c>
      <x:c r="U183" s="16" t="n">
        <x:v>0</x:v>
      </x:c>
      <x:c r="V183" s="16" t="n">
        <x:v>0</x:v>
      </x:c>
      <x:c r="W183" s="16" t="n">
        <x:v>0</x:v>
      </x:c>
      <x:c r="X183" s="16" t="n">
        <x:v>0</x:v>
      </x:c>
      <x:c r="Y183" s="16" t="n">
        <x:v>0</x:v>
      </x:c>
      <x:c r="Z183" s="16" t="n">
        <x:v>0</x:v>
      </x:c>
      <x:c r="AA183" s="16" t="n">
        <x:v>3</x:v>
      </x:c>
      <x:c r="AB183" s="16" t="n">
        <x:v>11</x:v>
      </x:c>
      <x:c r="AC183" s="16" t="n">
        <x:v>0</x:v>
      </x:c>
      <x:c r="AD183" s="21" t="n">
        <x:f>IF(E183="",MEDIAN($E$2:$E$2237),E183)</x:f>
        <x:v>16248</x:v>
      </x:c>
      <x:c r="AE183" s="17" t="n">
        <x:f>2014-B183</x:f>
        <x:v>26</x:v>
      </x:c>
      <x:c r="AF183" s="17" t="n">
        <x:f>F183+G183</x:f>
        <x:v>1</x:v>
      </x:c>
      <x:c r="AG183" s="21" t="n">
        <x:f>SUM(J183:O183)</x:f>
        <x:v>57</x:v>
      </x:c>
      <x:c r="AH183" s="17" t="n">
        <x:f>SUM(Q183:S183)</x:f>
        <x:v>6</x:v>
      </x:c>
      <x:c r="AI183" s="17" t="n">
        <x:f>SUM(U183:Y183)</x:f>
        <x:v>0</x:v>
      </x:c>
      <x:c r="AJ183" s="17" t="str">
        <x:f>IF(AE183&lt;=34,"≤34",IF(AE183&lt;=44,"35–44",IF(AE183&lt;=54,"45–54",IF(AE183&lt;=64,"55–64","65+"))))</x:f>
        <x:v>≤34</x:v>
      </x:c>
      <x:c r="AK183" s="17" t="str">
        <x:f>IF(AG183&gt;=1000,"High Value",IF(AG183&gt;=300,"Mid Value","Low Value"))</x:f>
        <x:v>Low Value</x:v>
      </x:c>
      <x:c r="AL183" s="17" t="str">
        <x:f>IF(AND(AI183&gt;=1,I183&lt;=50),"Priority 1",IF(AND(AG183&gt;=1000,I183&lt;=60),"Priority 2",IF(I183&lt;=30,"Priority 3","Nurture")))</x:f>
        <x:v>Nurture</x:v>
      </x:c>
    </x:row>
    <x:row r="184">
      <x:c r="A184" s="16" t="n">
        <x:v>10562</x:v>
      </x:c>
      <x:c r="B184" s="16" t="n">
        <x:v>1946</x:v>
      </x:c>
      <x:c r="C184" s="16" t="str">
        <x:v>Master</x:v>
      </x:c>
      <x:c r="D184" s="16" t="str">
        <x:v>Married</x:v>
      </x:c>
      <x:c r="E184" s="16" t="n">
        <x:v>66835</x:v>
      </x:c>
      <x:c r="F184" s="16" t="n">
        <x:v>0</x:v>
      </x:c>
      <x:c r="G184" s="16" t="n">
        <x:v>0</x:v>
      </x:c>
      <x:c r="H184" s="16" t="str">
        <x:v>28-09-2013</x:v>
      </x:c>
      <x:c r="I184" s="16" t="n">
        <x:v>21</x:v>
      </x:c>
      <x:c r="J184" s="16" t="n">
        <x:v>620</x:v>
      </x:c>
      <x:c r="K184" s="16" t="n">
        <x:v>26</x:v>
      </x:c>
      <x:c r="L184" s="16" t="n">
        <x:v>195</x:v>
      </x:c>
      <x:c r="M184" s="16" t="n">
        <x:v>34</x:v>
      </x:c>
      <x:c r="N184" s="16" t="n">
        <x:v>17</x:v>
      </x:c>
      <x:c r="O184" s="16" t="n">
        <x:v>141</x:v>
      </x:c>
      <x:c r="P184" s="16" t="n">
        <x:v>1</x:v>
      </x:c>
      <x:c r="Q184" s="16" t="n">
        <x:v>6</x:v>
      </x:c>
      <x:c r="R184" s="16" t="n">
        <x:v>4</x:v>
      </x:c>
      <x:c r="S184" s="16" t="n">
        <x:v>13</x:v>
      </x:c>
      <x:c r="T184" s="16" t="n">
        <x:v>2</x:v>
      </x:c>
      <x:c r="U184" s="16" t="n">
        <x:v>0</x:v>
      </x:c>
      <x:c r="V184" s="16" t="n">
        <x:v>0</x:v>
      </x:c>
      <x:c r="W184" s="16" t="n">
        <x:v>0</x:v>
      </x:c>
      <x:c r="X184" s="16" t="n">
        <x:v>0</x:v>
      </x:c>
      <x:c r="Y184" s="16" t="n">
        <x:v>0</x:v>
      </x:c>
      <x:c r="Z184" s="16" t="n">
        <x:v>0</x:v>
      </x:c>
      <x:c r="AA184" s="16" t="n">
        <x:v>3</x:v>
      </x:c>
      <x:c r="AB184" s="16" t="n">
        <x:v>11</x:v>
      </x:c>
      <x:c r="AC184" s="16" t="n">
        <x:v>0</x:v>
      </x:c>
      <x:c r="AD184" s="21" t="n">
        <x:f>IF(E184="",MEDIAN($E$2:$E$2237),E184)</x:f>
        <x:v>66835</x:v>
      </x:c>
      <x:c r="AE184" s="17" t="n">
        <x:f>2014-B184</x:f>
        <x:v>68</x:v>
      </x:c>
      <x:c r="AF184" s="17" t="n">
        <x:f>F184+G184</x:f>
        <x:v>0</x:v>
      </x:c>
      <x:c r="AG184" s="21" t="n">
        <x:f>SUM(J184:O184)</x:f>
        <x:v>1033</x:v>
      </x:c>
      <x:c r="AH184" s="17" t="n">
        <x:f>SUM(Q184:S184)</x:f>
        <x:v>23</x:v>
      </x:c>
      <x:c r="AI184" s="17" t="n">
        <x:f>SUM(U184:Y184)</x:f>
        <x:v>0</x:v>
      </x:c>
      <x:c r="AJ184" s="17" t="str">
        <x:f>IF(AE184&lt;=34,"≤34",IF(AE184&lt;=44,"35–44",IF(AE184&lt;=54,"45–54",IF(AE184&lt;=64,"55–64","65+"))))</x:f>
        <x:v>65+</x:v>
      </x:c>
      <x:c r="AK184" s="17" t="str">
        <x:f>IF(AG184&gt;=1000,"High Value",IF(AG184&gt;=300,"Mid Value","Low Value"))</x:f>
        <x:v>High Value</x:v>
      </x:c>
      <x:c r="AL184" s="17" t="str">
        <x:f>IF(AND(AI184&gt;=1,I184&lt;=50),"Priority 1",IF(AND(AG184&gt;=1000,I184&lt;=60),"Priority 2",IF(I184&lt;=30,"Priority 3","Nurture")))</x:f>
        <x:v>Priority 2</x:v>
      </x:c>
    </x:row>
    <x:row r="185">
      <x:c r="A185" s="16" t="n">
        <x:v>10796</x:v>
      </x:c>
      <x:c r="B185" s="16" t="n">
        <x:v>1984</x:v>
      </x:c>
      <x:c r="C185" s="16" t="str">
        <x:v>Master</x:v>
      </x:c>
      <x:c r="D185" s="16" t="str">
        <x:v>Married</x:v>
      </x:c>
      <x:c r="E185" s="16" t="n">
        <x:v>30477</x:v>
      </x:c>
      <x:c r="F185" s="16" t="n">
        <x:v>1</x:v>
      </x:c>
      <x:c r="G185" s="16" t="n">
        <x:v>0</x:v>
      </x:c>
      <x:c r="H185" s="16" t="str">
        <x:v>22-01-2014</x:v>
      </x:c>
      <x:c r="I185" s="16" t="n">
        <x:v>16</x:v>
      </x:c>
      <x:c r="J185" s="16" t="n">
        <x:v>47</x:v>
      </x:c>
      <x:c r="K185" s="16" t="n">
        <x:v>1</x:v>
      </x:c>
      <x:c r="L185" s="16" t="n">
        <x:v>6</x:v>
      </x:c>
      <x:c r="M185" s="16" t="n">
        <x:v>0</x:v>
      </x:c>
      <x:c r="N185" s="16" t="n">
        <x:v>0</x:v>
      </x:c>
      <x:c r="O185" s="16" t="n">
        <x:v>12</x:v>
      </x:c>
      <x:c r="P185" s="16" t="n">
        <x:v>1</x:v>
      </x:c>
      <x:c r="Q185" s="16" t="n">
        <x:v>1</x:v>
      </x:c>
      <x:c r="R185" s="16" t="n">
        <x:v>1</x:v>
      </x:c>
      <x:c r="S185" s="16" t="n">
        <x:v>3</x:v>
      </x:c>
      <x:c r="T185" s="16" t="n">
        <x:v>6</x:v>
      </x:c>
      <x:c r="U185" s="16" t="n">
        <x:v>0</x:v>
      </x:c>
      <x:c r="V185" s="16" t="n">
        <x:v>0</x:v>
      </x:c>
      <x:c r="W185" s="16" t="n">
        <x:v>0</x:v>
      </x:c>
      <x:c r="X185" s="16" t="n">
        <x:v>0</x:v>
      </x:c>
      <x:c r="Y185" s="16" t="n">
        <x:v>0</x:v>
      </x:c>
      <x:c r="Z185" s="16" t="n">
        <x:v>0</x:v>
      </x:c>
      <x:c r="AA185" s="16" t="n">
        <x:v>3</x:v>
      </x:c>
      <x:c r="AB185" s="16" t="n">
        <x:v>11</x:v>
      </x:c>
      <x:c r="AC185" s="16" t="n">
        <x:v>0</x:v>
      </x:c>
      <x:c r="AD185" s="21" t="n">
        <x:f>IF(E185="",MEDIAN($E$2:$E$2237),E185)</x:f>
        <x:v>30477</x:v>
      </x:c>
      <x:c r="AE185" s="17" t="n">
        <x:f>2014-B185</x:f>
        <x:v>30</x:v>
      </x:c>
      <x:c r="AF185" s="17" t="n">
        <x:f>F185+G185</x:f>
        <x:v>1</x:v>
      </x:c>
      <x:c r="AG185" s="21" t="n">
        <x:f>SUM(J185:O185)</x:f>
        <x:v>66</x:v>
      </x:c>
      <x:c r="AH185" s="17" t="n">
        <x:f>SUM(Q185:S185)</x:f>
        <x:v>5</x:v>
      </x:c>
      <x:c r="AI185" s="17" t="n">
        <x:f>SUM(U185:Y185)</x:f>
        <x:v>0</x:v>
      </x:c>
      <x:c r="AJ185" s="17" t="str">
        <x:f>IF(AE185&lt;=34,"≤34",IF(AE185&lt;=44,"35–44",IF(AE185&lt;=54,"45–54",IF(AE185&lt;=64,"55–64","65+"))))</x:f>
        <x:v>≤34</x:v>
      </x:c>
      <x:c r="AK185" s="17" t="str">
        <x:f>IF(AG185&gt;=1000,"High Value",IF(AG185&gt;=300,"Mid Value","Low Value"))</x:f>
        <x:v>Low Value</x:v>
      </x:c>
      <x:c r="AL185" s="17" t="str">
        <x:f>IF(AND(AI185&gt;=1,I185&lt;=50),"Priority 1",IF(AND(AG185&gt;=1000,I185&lt;=60),"Priority 2",IF(I185&lt;=30,"Priority 3","Nurture")))</x:f>
        <x:v>Priority 3</x:v>
      </x:c>
    </x:row>
    <x:row r="186">
      <x:c r="A186" s="16" t="n">
        <x:v>2563</x:v>
      </x:c>
      <x:c r="B186" s="16" t="n">
        <x:v>1961</x:v>
      </x:c>
      <x:c r="C186" s="16" t="str">
        <x:v>Basic</x:v>
      </x:c>
      <x:c r="D186" s="16" t="str">
        <x:v>Married</x:v>
      </x:c>
      <x:c r="E186" s="16" t="n">
        <x:v>28249</x:v>
      </x:c>
      <x:c r="F186" s="16" t="n">
        <x:v>0</x:v>
      </x:c>
      <x:c r="G186" s="16" t="n">
        <x:v>0</x:v>
      </x:c>
      <x:c r="H186" s="16" t="str">
        <x:v>15-06-2014</x:v>
      </x:c>
      <x:c r="I186" s="16" t="n">
        <x:v>80</x:v>
      </x:c>
      <x:c r="J186" s="16" t="n">
        <x:v>1</x:v>
      </x:c>
      <x:c r="K186" s="16" t="n">
        <x:v>9</x:v>
      </x:c>
      <x:c r="L186" s="16" t="n">
        <x:v>7</x:v>
      </x:c>
      <x:c r="M186" s="16" t="n">
        <x:v>2</x:v>
      </x:c>
      <x:c r="N186" s="16" t="n">
        <x:v>14</x:v>
      </x:c>
      <x:c r="O186" s="16" t="n">
        <x:v>10</x:v>
      </x:c>
      <x:c r="P186" s="16" t="n">
        <x:v>1</x:v>
      </x:c>
      <x:c r="Q186" s="16" t="n">
        <x:v>2</x:v>
      </x:c>
      <x:c r="R186" s="16" t="n">
        <x:v>0</x:v>
      </x:c>
      <x:c r="S186" s="16" t="n">
        <x:v>3</x:v>
      </x:c>
      <x:c r="T186" s="16" t="n">
        <x:v>6</x:v>
      </x:c>
      <x:c r="U186" s="16" t="n">
        <x:v>0</x:v>
      </x:c>
      <x:c r="V186" s="16" t="n">
        <x:v>0</x:v>
      </x:c>
      <x:c r="W186" s="16" t="n">
        <x:v>0</x:v>
      </x:c>
      <x:c r="X186" s="16" t="n">
        <x:v>0</x:v>
      </x:c>
      <x:c r="Y186" s="16" t="n">
        <x:v>0</x:v>
      </x:c>
      <x:c r="Z186" s="16" t="n">
        <x:v>0</x:v>
      </x:c>
      <x:c r="AA186" s="16" t="n">
        <x:v>3</x:v>
      </x:c>
      <x:c r="AB186" s="16" t="n">
        <x:v>11</x:v>
      </x:c>
      <x:c r="AC186" s="16" t="n">
        <x:v>0</x:v>
      </x:c>
      <x:c r="AD186" s="21" t="n">
        <x:f>IF(E186="",MEDIAN($E$2:$E$2237),E186)</x:f>
        <x:v>28249</x:v>
      </x:c>
      <x:c r="AE186" s="17" t="n">
        <x:f>2014-B186</x:f>
        <x:v>53</x:v>
      </x:c>
      <x:c r="AF186" s="17" t="n">
        <x:f>F186+G186</x:f>
        <x:v>0</x:v>
      </x:c>
      <x:c r="AG186" s="21" t="n">
        <x:f>SUM(J186:O186)</x:f>
        <x:v>43</x:v>
      </x:c>
      <x:c r="AH186" s="17" t="n">
        <x:f>SUM(Q186:S186)</x:f>
        <x:v>5</x:v>
      </x:c>
      <x:c r="AI186" s="17" t="n">
        <x:f>SUM(U186:Y186)</x:f>
        <x:v>0</x:v>
      </x:c>
      <x:c r="AJ186" s="17" t="str">
        <x:f>IF(AE186&lt;=34,"≤34",IF(AE186&lt;=44,"35–44",IF(AE186&lt;=54,"45–54",IF(AE186&lt;=64,"55–64","65+"))))</x:f>
        <x:v>45–54</x:v>
      </x:c>
      <x:c r="AK186" s="17" t="str">
        <x:f>IF(AG186&gt;=1000,"High Value",IF(AG186&gt;=300,"Mid Value","Low Value"))</x:f>
        <x:v>Low Value</x:v>
      </x:c>
      <x:c r="AL186" s="17" t="str">
        <x:f>IF(AND(AI186&gt;=1,I186&lt;=50),"Priority 1",IF(AND(AG186&gt;=1000,I186&lt;=60),"Priority 2",IF(I186&lt;=30,"Priority 3","Nurture")))</x:f>
        <x:v>Nurture</x:v>
      </x:c>
    </x:row>
    <x:row r="187">
      <x:c r="A187" s="16" t="n">
        <x:v>3518</x:v>
      </x:c>
      <x:c r="B187" s="16" t="n">
        <x:v>1983</x:v>
      </x:c>
      <x:c r="C187" s="16" t="str">
        <x:v>Graduation</x:v>
      </x:c>
      <x:c r="D187" s="16" t="str">
        <x:v>Married</x:v>
      </x:c>
      <x:c r="E187" s="16" t="n">
        <x:v>25271</x:v>
      </x:c>
      <x:c r="F187" s="16" t="n">
        <x:v>1</x:v>
      </x:c>
      <x:c r="G187" s="16" t="n">
        <x:v>0</x:v>
      </x:c>
      <x:c r="H187" s="16" t="str">
        <x:v>05-12-2012</x:v>
      </x:c>
      <x:c r="I187" s="16" t="n">
        <x:v>45</x:v>
      </x:c>
      <x:c r="J187" s="16" t="n">
        <x:v>10</x:v>
      </x:c>
      <x:c r="K187" s="16" t="n">
        <x:v>1</x:v>
      </x:c>
      <x:c r="L187" s="16" t="n">
        <x:v>18</x:v>
      </x:c>
      <x:c r="M187" s="16" t="n">
        <x:v>10</x:v>
      </x:c>
      <x:c r="N187" s="16" t="n">
        <x:v>4</x:v>
      </x:c>
      <x:c r="O187" s="16" t="n">
        <x:v>7</x:v>
      </x:c>
      <x:c r="P187" s="16" t="n">
        <x:v>1</x:v>
      </x:c>
      <x:c r="Q187" s="16" t="n">
        <x:v>1</x:v>
      </x:c>
      <x:c r="R187" s="16" t="n">
        <x:v>1</x:v>
      </x:c>
      <x:c r="S187" s="16" t="n">
        <x:v>2</x:v>
      </x:c>
      <x:c r="T187" s="16" t="n">
        <x:v>9</x:v>
      </x:c>
      <x:c r="U187" s="16" t="n">
        <x:v>0</x:v>
      </x:c>
      <x:c r="V187" s="16" t="n">
        <x:v>0</x:v>
      </x:c>
      <x:c r="W187" s="16" t="n">
        <x:v>0</x:v>
      </x:c>
      <x:c r="X187" s="16" t="n">
        <x:v>0</x:v>
      </x:c>
      <x:c r="Y187" s="16" t="n">
        <x:v>0</x:v>
      </x:c>
      <x:c r="Z187" s="16" t="n">
        <x:v>0</x:v>
      </x:c>
      <x:c r="AA187" s="16" t="n">
        <x:v>3</x:v>
      </x:c>
      <x:c r="AB187" s="16" t="n">
        <x:v>11</x:v>
      </x:c>
      <x:c r="AC187" s="16" t="n">
        <x:v>0</x:v>
      </x:c>
      <x:c r="AD187" s="21" t="n">
        <x:f>IF(E187="",MEDIAN($E$2:$E$2237),E187)</x:f>
        <x:v>25271</x:v>
      </x:c>
      <x:c r="AE187" s="17" t="n">
        <x:f>2014-B187</x:f>
        <x:v>31</x:v>
      </x:c>
      <x:c r="AF187" s="17" t="n">
        <x:f>F187+G187</x:f>
        <x:v>1</x:v>
      </x:c>
      <x:c r="AG187" s="21" t="n">
        <x:f>SUM(J187:O187)</x:f>
        <x:v>50</x:v>
      </x:c>
      <x:c r="AH187" s="17" t="n">
        <x:f>SUM(Q187:S187)</x:f>
        <x:v>4</x:v>
      </x:c>
      <x:c r="AI187" s="17" t="n">
        <x:f>SUM(U187:Y187)</x:f>
        <x:v>0</x:v>
      </x:c>
      <x:c r="AJ187" s="17" t="str">
        <x:f>IF(AE187&lt;=34,"≤34",IF(AE187&lt;=44,"35–44",IF(AE187&lt;=54,"45–54",IF(AE187&lt;=64,"55–64","65+"))))</x:f>
        <x:v>≤34</x:v>
      </x:c>
      <x:c r="AK187" s="17" t="str">
        <x:f>IF(AG187&gt;=1000,"High Value",IF(AG187&gt;=300,"Mid Value","Low Value"))</x:f>
        <x:v>Low Value</x:v>
      </x:c>
      <x:c r="AL187" s="17" t="str">
        <x:f>IF(AND(AI187&gt;=1,I187&lt;=50),"Priority 1",IF(AND(AG187&gt;=1000,I187&lt;=60),"Priority 2",IF(I187&lt;=30,"Priority 3","Nurture")))</x:f>
        <x:v>Nurture</x:v>
      </x:c>
    </x:row>
    <x:row r="188">
      <x:c r="A188" s="16" t="n">
        <x:v>5823</x:v>
      </x:c>
      <x:c r="B188" s="16" t="n">
        <x:v>1970</x:v>
      </x:c>
      <x:c r="C188" s="16" t="str">
        <x:v>PhD</x:v>
      </x:c>
      <x:c r="D188" s="16" t="str">
        <x:v>Single</x:v>
      </x:c>
      <x:c r="E188" s="16" t="n">
        <x:v>32303</x:v>
      </x:c>
      <x:c r="F188" s="16" t="n">
        <x:v>0</x:v>
      </x:c>
      <x:c r="G188" s="16" t="n">
        <x:v>1</x:v>
      </x:c>
      <x:c r="H188" s="16" t="str">
        <x:v>08-03-2014</x:v>
      </x:c>
      <x:c r="I188" s="16" t="n">
        <x:v>63</x:v>
      </x:c>
      <x:c r="J188" s="16" t="n">
        <x:v>35</x:v>
      </x:c>
      <x:c r="K188" s="16" t="n">
        <x:v>0</x:v>
      </x:c>
      <x:c r="L188" s="16" t="n">
        <x:v>2</x:v>
      </x:c>
      <x:c r="M188" s="16" t="n">
        <x:v>0</x:v>
      </x:c>
      <x:c r="N188" s="16" t="n">
        <x:v>0</x:v>
      </x:c>
      <x:c r="O188" s="16" t="n">
        <x:v>2</x:v>
      </x:c>
      <x:c r="P188" s="16" t="n">
        <x:v>2</x:v>
      </x:c>
      <x:c r="Q188" s="16" t="n">
        <x:v>1</x:v>
      </x:c>
      <x:c r="R188" s="16" t="n">
        <x:v>0</x:v>
      </x:c>
      <x:c r="S188" s="16" t="n">
        <x:v>4</x:v>
      </x:c>
      <x:c r="T188" s="16" t="n">
        <x:v>5</x:v>
      </x:c>
      <x:c r="U188" s="16" t="n">
        <x:v>0</x:v>
      </x:c>
      <x:c r="V188" s="16" t="n">
        <x:v>0</x:v>
      </x:c>
      <x:c r="W188" s="16" t="n">
        <x:v>0</x:v>
      </x:c>
      <x:c r="X188" s="16" t="n">
        <x:v>0</x:v>
      </x:c>
      <x:c r="Y188" s="16" t="n">
        <x:v>0</x:v>
      </x:c>
      <x:c r="Z188" s="16" t="n">
        <x:v>0</x:v>
      </x:c>
      <x:c r="AA188" s="16" t="n">
        <x:v>3</x:v>
      </x:c>
      <x:c r="AB188" s="16" t="n">
        <x:v>11</x:v>
      </x:c>
      <x:c r="AC188" s="16" t="n">
        <x:v>0</x:v>
      </x:c>
      <x:c r="AD188" s="21" t="n">
        <x:f>IF(E188="",MEDIAN($E$2:$E$2237),E188)</x:f>
        <x:v>32303</x:v>
      </x:c>
      <x:c r="AE188" s="17" t="n">
        <x:f>2014-B188</x:f>
        <x:v>44</x:v>
      </x:c>
      <x:c r="AF188" s="17" t="n">
        <x:f>F188+G188</x:f>
        <x:v>1</x:v>
      </x:c>
      <x:c r="AG188" s="21" t="n">
        <x:f>SUM(J188:O188)</x:f>
        <x:v>39</x:v>
      </x:c>
      <x:c r="AH188" s="17" t="n">
        <x:f>SUM(Q188:S188)</x:f>
        <x:v>5</x:v>
      </x:c>
      <x:c r="AI188" s="17" t="n">
        <x:f>SUM(U188:Y188)</x:f>
        <x:v>0</x:v>
      </x:c>
      <x:c r="AJ188" s="17" t="str">
        <x:f>IF(AE188&lt;=34,"≤34",IF(AE188&lt;=44,"35–44",IF(AE188&lt;=54,"45–54",IF(AE188&lt;=64,"55–64","65+"))))</x:f>
        <x:v>35–44</x:v>
      </x:c>
      <x:c r="AK188" s="17" t="str">
        <x:f>IF(AG188&gt;=1000,"High Value",IF(AG188&gt;=300,"Mid Value","Low Value"))</x:f>
        <x:v>Low Value</x:v>
      </x:c>
      <x:c r="AL188" s="17" t="str">
        <x:f>IF(AND(AI188&gt;=1,I188&lt;=50),"Priority 1",IF(AND(AG188&gt;=1000,I188&lt;=60),"Priority 2",IF(I188&lt;=30,"Priority 3","Nurture")))</x:f>
        <x:v>Nurture</x:v>
      </x:c>
    </x:row>
    <x:row r="189">
      <x:c r="A189" s="16" t="n">
        <x:v>3934</x:v>
      </x:c>
      <x:c r="B189" s="16" t="n">
        <x:v>1966</x:v>
      </x:c>
      <x:c r="C189" s="16" t="str">
        <x:v>Graduation</x:v>
      </x:c>
      <x:c r="D189" s="16" t="str">
        <x:v>Married</x:v>
      </x:c>
      <x:c r="E189" s="16" t="n">
        <x:v>61286</x:v>
      </x:c>
      <x:c r="F189" s="16" t="n">
        <x:v>0</x:v>
      </x:c>
      <x:c r="G189" s="16" t="n">
        <x:v>1</x:v>
      </x:c>
      <x:c r="H189" s="16" t="str">
        <x:v>02-08-2013</x:v>
      </x:c>
      <x:c r="I189" s="16" t="n">
        <x:v>34</x:v>
      </x:c>
      <x:c r="J189" s="16" t="n">
        <x:v>356</x:v>
      </x:c>
      <x:c r="K189" s="16" t="n">
        <x:v>0</x:v>
      </x:c>
      <x:c r="L189" s="16" t="n">
        <x:v>107</x:v>
      </x:c>
      <x:c r="M189" s="16" t="n">
        <x:v>19</x:v>
      </x:c>
      <x:c r="N189" s="16" t="n">
        <x:v>9</x:v>
      </x:c>
      <x:c r="O189" s="16" t="n">
        <x:v>117</x:v>
      </x:c>
      <x:c r="P189" s="16" t="n">
        <x:v>2</x:v>
      </x:c>
      <x:c r="Q189" s="16" t="n">
        <x:v>7</x:v>
      </x:c>
      <x:c r="R189" s="16" t="n">
        <x:v>1</x:v>
      </x:c>
      <x:c r="S189" s="16" t="n">
        <x:v>8</x:v>
      </x:c>
      <x:c r="T189" s="16" t="n">
        <x:v>5</x:v>
      </x:c>
      <x:c r="U189" s="16" t="n">
        <x:v>0</x:v>
      </x:c>
      <x:c r="V189" s="16" t="n">
        <x:v>0</x:v>
      </x:c>
      <x:c r="W189" s="16" t="n">
        <x:v>0</x:v>
      </x:c>
      <x:c r="X189" s="16" t="n">
        <x:v>0</x:v>
      </x:c>
      <x:c r="Y189" s="16" t="n">
        <x:v>0</x:v>
      </x:c>
      <x:c r="Z189" s="16" t="n">
        <x:v>0</x:v>
      </x:c>
      <x:c r="AA189" s="16" t="n">
        <x:v>3</x:v>
      </x:c>
      <x:c r="AB189" s="16" t="n">
        <x:v>11</x:v>
      </x:c>
      <x:c r="AC189" s="16" t="n">
        <x:v>0</x:v>
      </x:c>
      <x:c r="AD189" s="21" t="n">
        <x:f>IF(E189="",MEDIAN($E$2:$E$2237),E189)</x:f>
        <x:v>61286</x:v>
      </x:c>
      <x:c r="AE189" s="17" t="n">
        <x:f>2014-B189</x:f>
        <x:v>48</x:v>
      </x:c>
      <x:c r="AF189" s="17" t="n">
        <x:f>F189+G189</x:f>
        <x:v>1</x:v>
      </x:c>
      <x:c r="AG189" s="21" t="n">
        <x:f>SUM(J189:O189)</x:f>
        <x:v>608</x:v>
      </x:c>
      <x:c r="AH189" s="17" t="n">
        <x:f>SUM(Q189:S189)</x:f>
        <x:v>16</x:v>
      </x:c>
      <x:c r="AI189" s="17" t="n">
        <x:f>SUM(U189:Y189)</x:f>
        <x:v>0</x:v>
      </x:c>
      <x:c r="AJ189" s="17" t="str">
        <x:f>IF(AE189&lt;=34,"≤34",IF(AE189&lt;=44,"35–44",IF(AE189&lt;=54,"45–54",IF(AE189&lt;=64,"55–64","65+"))))</x:f>
        <x:v>45–54</x:v>
      </x:c>
      <x:c r="AK189" s="17" t="str">
        <x:f>IF(AG189&gt;=1000,"High Value",IF(AG189&gt;=300,"Mid Value","Low Value"))</x:f>
        <x:v>Mid Value</x:v>
      </x:c>
      <x:c r="AL189" s="17" t="str">
        <x:f>IF(AND(AI189&gt;=1,I189&lt;=50),"Priority 1",IF(AND(AG189&gt;=1000,I189&lt;=60),"Priority 2",IF(I189&lt;=30,"Priority 3","Nurture")))</x:f>
        <x:v>Nurture</x:v>
      </x:c>
    </x:row>
    <x:row r="190">
      <x:c r="A190" s="16" t="n">
        <x:v>6982</x:v>
      </x:c>
      <x:c r="B190" s="16" t="n">
        <x:v>1976</x:v>
      </x:c>
      <x:c r="C190" s="16" t="str">
        <x:v>Graduation</x:v>
      </x:c>
      <x:c r="D190" s="16" t="str">
        <x:v>Married</x:v>
      </x:c>
      <x:c r="E190" s="16" t="n">
        <x:v>74068</x:v>
      </x:c>
      <x:c r="F190" s="16" t="n">
        <x:v>0</x:v>
      </x:c>
      <x:c r="G190" s="16" t="n">
        <x:v>0</x:v>
      </x:c>
      <x:c r="H190" s="16" t="str">
        <x:v>19-03-2013</x:v>
      </x:c>
      <x:c r="I190" s="16" t="n">
        <x:v>14</x:v>
      </x:c>
      <x:c r="J190" s="16" t="n">
        <x:v>783</x:v>
      </x:c>
      <x:c r="K190" s="16" t="n">
        <x:v>30</x:v>
      </x:c>
      <x:c r="L190" s="16" t="n">
        <x:v>537</x:v>
      </x:c>
      <x:c r="M190" s="16" t="n">
        <x:v>140</x:v>
      </x:c>
      <x:c r="N190" s="16" t="n">
        <x:v>76</x:v>
      </x:c>
      <x:c r="O190" s="16" t="n">
        <x:v>15</x:v>
      </x:c>
      <x:c r="P190" s="16" t="n">
        <x:v>1</x:v>
      </x:c>
      <x:c r="Q190" s="16" t="n">
        <x:v>4</x:v>
      </x:c>
      <x:c r="R190" s="16" t="n">
        <x:v>10</x:v>
      </x:c>
      <x:c r="S190" s="16" t="n">
        <x:v>9</x:v>
      </x:c>
      <x:c r="T190" s="16" t="n">
        <x:v>2</x:v>
      </x:c>
      <x:c r="U190" s="16" t="n">
        <x:v>0</x:v>
      </x:c>
      <x:c r="V190" s="16" t="n">
        <x:v>0</x:v>
      </x:c>
      <x:c r="W190" s="16" t="n">
        <x:v>0</x:v>
      </x:c>
      <x:c r="X190" s="16" t="n">
        <x:v>0</x:v>
      </x:c>
      <x:c r="Y190" s="16" t="n">
        <x:v>0</x:v>
      </x:c>
      <x:c r="Z190" s="16" t="n">
        <x:v>0</x:v>
      </x:c>
      <x:c r="AA190" s="16" t="n">
        <x:v>3</x:v>
      </x:c>
      <x:c r="AB190" s="16" t="n">
        <x:v>11</x:v>
      </x:c>
      <x:c r="AC190" s="16" t="n">
        <x:v>0</x:v>
      </x:c>
      <x:c r="AD190" s="21" t="n">
        <x:f>IF(E190="",MEDIAN($E$2:$E$2237),E190)</x:f>
        <x:v>74068</x:v>
      </x:c>
      <x:c r="AE190" s="17" t="n">
        <x:f>2014-B190</x:f>
        <x:v>38</x:v>
      </x:c>
      <x:c r="AF190" s="17" t="n">
        <x:f>F190+G190</x:f>
        <x:v>0</x:v>
      </x:c>
      <x:c r="AG190" s="21" t="n">
        <x:f>SUM(J190:O190)</x:f>
        <x:v>1581</x:v>
      </x:c>
      <x:c r="AH190" s="17" t="n">
        <x:f>SUM(Q190:S190)</x:f>
        <x:v>23</x:v>
      </x:c>
      <x:c r="AI190" s="17" t="n">
        <x:f>SUM(U190:Y190)</x:f>
        <x:v>0</x:v>
      </x:c>
      <x:c r="AJ190" s="17" t="str">
        <x:f>IF(AE190&lt;=34,"≤34",IF(AE190&lt;=44,"35–44",IF(AE190&lt;=54,"45–54",IF(AE190&lt;=64,"55–64","65+"))))</x:f>
        <x:v>35–44</x:v>
      </x:c>
      <x:c r="AK190" s="17" t="str">
        <x:f>IF(AG190&gt;=1000,"High Value",IF(AG190&gt;=300,"Mid Value","Low Value"))</x:f>
        <x:v>High Value</x:v>
      </x:c>
      <x:c r="AL190" s="17" t="str">
        <x:f>IF(AND(AI190&gt;=1,I190&lt;=50),"Priority 1",IF(AND(AG190&gt;=1000,I190&lt;=60),"Priority 2",IF(I190&lt;=30,"Priority 3","Nurture")))</x:f>
        <x:v>Priority 2</x:v>
      </x:c>
    </x:row>
    <x:row r="191">
      <x:c r="A191" s="16" t="n">
        <x:v>6431</x:v>
      </x:c>
      <x:c r="B191" s="16" t="n">
        <x:v>1964</x:v>
      </x:c>
      <x:c r="C191" s="16" t="str">
        <x:v>PhD</x:v>
      </x:c>
      <x:c r="D191" s="16" t="str">
        <x:v>Married</x:v>
      </x:c>
      <x:c r="E191" s="16" t="n">
        <x:v>45759</x:v>
      </x:c>
      <x:c r="F191" s="16" t="n">
        <x:v>1</x:v>
      </x:c>
      <x:c r="G191" s="16" t="n">
        <x:v>1</x:v>
      </x:c>
      <x:c r="H191" s="16" t="str">
        <x:v>23-02-2013</x:v>
      </x:c>
      <x:c r="I191" s="16" t="n">
        <x:v>13</x:v>
      </x:c>
      <x:c r="J191" s="16" t="n">
        <x:v>42</x:v>
      </x:c>
      <x:c r="K191" s="16" t="n">
        <x:v>1</x:v>
      </x:c>
      <x:c r="L191" s="16" t="n">
        <x:v>18</x:v>
      </x:c>
      <x:c r="M191" s="16" t="n">
        <x:v>3</x:v>
      </x:c>
      <x:c r="N191" s="16" t="n">
        <x:v>0</x:v>
      </x:c>
      <x:c r="O191" s="16" t="n">
        <x:v>4</x:v>
      </x:c>
      <x:c r="P191" s="16" t="n">
        <x:v>2</x:v>
      </x:c>
      <x:c r="Q191" s="16" t="n">
        <x:v>2</x:v>
      </x:c>
      <x:c r="R191" s="16" t="n">
        <x:v>0</x:v>
      </x:c>
      <x:c r="S191" s="16" t="n">
        <x:v>3</x:v>
      </x:c>
      <x:c r="T191" s="16" t="n">
        <x:v>7</x:v>
      </x:c>
      <x:c r="U191" s="16" t="n">
        <x:v>0</x:v>
      </x:c>
      <x:c r="V191" s="16" t="n">
        <x:v>0</x:v>
      </x:c>
      <x:c r="W191" s="16" t="n">
        <x:v>0</x:v>
      </x:c>
      <x:c r="X191" s="16" t="n">
        <x:v>0</x:v>
      </x:c>
      <x:c r="Y191" s="16" t="n">
        <x:v>0</x:v>
      </x:c>
      <x:c r="Z191" s="16" t="n">
        <x:v>0</x:v>
      </x:c>
      <x:c r="AA191" s="16" t="n">
        <x:v>3</x:v>
      </x:c>
      <x:c r="AB191" s="16" t="n">
        <x:v>11</x:v>
      </x:c>
      <x:c r="AC191" s="16" t="n">
        <x:v>0</x:v>
      </x:c>
      <x:c r="AD191" s="21" t="n">
        <x:f>IF(E191="",MEDIAN($E$2:$E$2237),E191)</x:f>
        <x:v>45759</x:v>
      </x:c>
      <x:c r="AE191" s="17" t="n">
        <x:f>2014-B191</x:f>
        <x:v>50</x:v>
      </x:c>
      <x:c r="AF191" s="17" t="n">
        <x:f>F191+G191</x:f>
        <x:v>2</x:v>
      </x:c>
      <x:c r="AG191" s="21" t="n">
        <x:f>SUM(J191:O191)</x:f>
        <x:v>68</x:v>
      </x:c>
      <x:c r="AH191" s="17" t="n">
        <x:f>SUM(Q191:S191)</x:f>
        <x:v>5</x:v>
      </x:c>
      <x:c r="AI191" s="17" t="n">
        <x:f>SUM(U191:Y191)</x:f>
        <x:v>0</x:v>
      </x:c>
      <x:c r="AJ191" s="17" t="str">
        <x:f>IF(AE191&lt;=34,"≤34",IF(AE191&lt;=44,"35–44",IF(AE191&lt;=54,"45–54",IF(AE191&lt;=64,"55–64","65+"))))</x:f>
        <x:v>45–54</x:v>
      </x:c>
      <x:c r="AK191" s="17" t="str">
        <x:f>IF(AG191&gt;=1000,"High Value",IF(AG191&gt;=300,"Mid Value","Low Value"))</x:f>
        <x:v>Low Value</x:v>
      </x:c>
      <x:c r="AL191" s="17" t="str">
        <x:f>IF(AND(AI191&gt;=1,I191&lt;=50),"Priority 1",IF(AND(AG191&gt;=1000,I191&lt;=60),"Priority 2",IF(I191&lt;=30,"Priority 3","Nurture")))</x:f>
        <x:v>Priority 3</x:v>
      </x:c>
    </x:row>
    <x:row r="192">
      <x:c r="A192" s="16" t="n">
        <x:v>9733</x:v>
      </x:c>
      <x:c r="B192" s="16" t="n">
        <x:v>1978</x:v>
      </x:c>
      <x:c r="C192" s="16" t="str">
        <x:v>Basic</x:v>
      </x:c>
      <x:c r="D192" s="16" t="str">
        <x:v>Together</x:v>
      </x:c>
      <x:c r="E192" s="16" t="n">
        <x:v>24882</x:v>
      </x:c>
      <x:c r="F192" s="16" t="n">
        <x:v>1</x:v>
      </x:c>
      <x:c r="G192" s="16" t="n">
        <x:v>0</x:v>
      </x:c>
      <x:c r="H192" s="16" t="str">
        <x:v>09-09-2012</x:v>
      </x:c>
      <x:c r="I192" s="16" t="n">
        <x:v>52</x:v>
      </x:c>
      <x:c r="J192" s="16" t="n">
        <x:v>1</x:v>
      </x:c>
      <x:c r="K192" s="16" t="n">
        <x:v>4</x:v>
      </x:c>
      <x:c r="L192" s="16" t="n">
        <x:v>10</x:v>
      </x:c>
      <x:c r="M192" s="16" t="n">
        <x:v>29</x:v>
      </x:c>
      <x:c r="N192" s="16" t="n">
        <x:v>0</x:v>
      </x:c>
      <x:c r="O192" s="16" t="n">
        <x:v>36</x:v>
      </x:c>
      <x:c r="P192" s="16" t="n">
        <x:v>1</x:v>
      </x:c>
      <x:c r="Q192" s="16" t="n">
        <x:v>1</x:v>
      </x:c>
      <x:c r="R192" s="16" t="n">
        <x:v>1</x:v>
      </x:c>
      <x:c r="S192" s="16" t="n">
        <x:v>2</x:v>
      </x:c>
      <x:c r="T192" s="16" t="n">
        <x:v>6</x:v>
      </x:c>
      <x:c r="U192" s="16" t="n">
        <x:v>1</x:v>
      </x:c>
      <x:c r="V192" s="16" t="n">
        <x:v>0</x:v>
      </x:c>
      <x:c r="W192" s="16" t="n">
        <x:v>0</x:v>
      </x:c>
      <x:c r="X192" s="16" t="n">
        <x:v>0</x:v>
      </x:c>
      <x:c r="Y192" s="16" t="n">
        <x:v>0</x:v>
      </x:c>
      <x:c r="Z192" s="16" t="n">
        <x:v>0</x:v>
      </x:c>
      <x:c r="AA192" s="16" t="n">
        <x:v>3</x:v>
      </x:c>
      <x:c r="AB192" s="16" t="n">
        <x:v>11</x:v>
      </x:c>
      <x:c r="AC192" s="16" t="n">
        <x:v>0</x:v>
      </x:c>
      <x:c r="AD192" s="21" t="n">
        <x:f>IF(E192="",MEDIAN($E$2:$E$2237),E192)</x:f>
        <x:v>24882</x:v>
      </x:c>
      <x:c r="AE192" s="17" t="n">
        <x:f>2014-B192</x:f>
        <x:v>36</x:v>
      </x:c>
      <x:c r="AF192" s="17" t="n">
        <x:f>F192+G192</x:f>
        <x:v>1</x:v>
      </x:c>
      <x:c r="AG192" s="21" t="n">
        <x:f>SUM(J192:O192)</x:f>
        <x:v>80</x:v>
      </x:c>
      <x:c r="AH192" s="17" t="n">
        <x:f>SUM(Q192:S192)</x:f>
        <x:v>4</x:v>
      </x:c>
      <x:c r="AI192" s="17" t="n">
        <x:f>SUM(U192:Y192)</x:f>
        <x:v>1</x:v>
      </x:c>
      <x:c r="AJ192" s="17" t="str">
        <x:f>IF(AE192&lt;=34,"≤34",IF(AE192&lt;=44,"35–44",IF(AE192&lt;=54,"45–54",IF(AE192&lt;=64,"55–64","65+"))))</x:f>
        <x:v>35–44</x:v>
      </x:c>
      <x:c r="AK192" s="17" t="str">
        <x:f>IF(AG192&gt;=1000,"High Value",IF(AG192&gt;=300,"Mid Value","Low Value"))</x:f>
        <x:v>Low Value</x:v>
      </x:c>
      <x:c r="AL192" s="17" t="str">
        <x:f>IF(AND(AI192&gt;=1,I192&lt;=50),"Priority 1",IF(AND(AG192&gt;=1000,I192&lt;=60),"Priority 2",IF(I192&lt;=30,"Priority 3","Nurture")))</x:f>
        <x:v>Nurture</x:v>
      </x:c>
    </x:row>
    <x:row r="193">
      <x:c r="A193" s="16" t="n">
        <x:v>5602</x:v>
      </x:c>
      <x:c r="B193" s="16" t="n">
        <x:v>1989</x:v>
      </x:c>
      <x:c r="C193" s="16" t="str">
        <x:v>PhD</x:v>
      </x:c>
      <x:c r="D193" s="16" t="str">
        <x:v>Together</x:v>
      </x:c>
      <x:c r="E193" s="16" t="n">
        <x:v>66973</x:v>
      </x:c>
      <x:c r="F193" s="16" t="n">
        <x:v>0</x:v>
      </x:c>
      <x:c r="G193" s="16" t="n">
        <x:v>0</x:v>
      </x:c>
      <x:c r="H193" s="16" t="str">
        <x:v>17-05-2013</x:v>
      </x:c>
      <x:c r="I193" s="16" t="n">
        <x:v>98</x:v>
      </x:c>
      <x:c r="J193" s="16" t="n">
        <x:v>466</x:v>
      </x:c>
      <x:c r="K193" s="16" t="n">
        <x:v>22</x:v>
      </x:c>
      <x:c r="L193" s="16" t="n">
        <x:v>432</x:v>
      </x:c>
      <x:c r="M193" s="16" t="n">
        <x:v>147</x:v>
      </x:c>
      <x:c r="N193" s="16" t="n">
        <x:v>113</x:v>
      </x:c>
      <x:c r="O193" s="16" t="n">
        <x:v>102</x:v>
      </x:c>
      <x:c r="P193" s="16" t="n">
        <x:v>1</x:v>
      </x:c>
      <x:c r="Q193" s="16" t="n">
        <x:v>8</x:v>
      </x:c>
      <x:c r="R193" s="16" t="n">
        <x:v>7</x:v>
      </x:c>
      <x:c r="S193" s="16" t="n">
        <x:v>12</x:v>
      </x:c>
      <x:c r="T193" s="16" t="n">
        <x:v>3</x:v>
      </x:c>
      <x:c r="U193" s="16" t="n">
        <x:v>0</x:v>
      </x:c>
      <x:c r="V193" s="16" t="n">
        <x:v>0</x:v>
      </x:c>
      <x:c r="W193" s="16" t="n">
        <x:v>0</x:v>
      </x:c>
      <x:c r="X193" s="16" t="n">
        <x:v>0</x:v>
      </x:c>
      <x:c r="Y193" s="16" t="n">
        <x:v>0</x:v>
      </x:c>
      <x:c r="Z193" s="16" t="n">
        <x:v>0</x:v>
      </x:c>
      <x:c r="AA193" s="16" t="n">
        <x:v>3</x:v>
      </x:c>
      <x:c r="AB193" s="16" t="n">
        <x:v>11</x:v>
      </x:c>
      <x:c r="AC193" s="16" t="n">
        <x:v>0</x:v>
      </x:c>
      <x:c r="AD193" s="21" t="n">
        <x:f>IF(E193="",MEDIAN($E$2:$E$2237),E193)</x:f>
        <x:v>66973</x:v>
      </x:c>
      <x:c r="AE193" s="17" t="n">
        <x:f>2014-B193</x:f>
        <x:v>25</x:v>
      </x:c>
      <x:c r="AF193" s="17" t="n">
        <x:f>F193+G193</x:f>
        <x:v>0</x:v>
      </x:c>
      <x:c r="AG193" s="21" t="n">
        <x:f>SUM(J193:O193)</x:f>
        <x:v>1282</x:v>
      </x:c>
      <x:c r="AH193" s="17" t="n">
        <x:f>SUM(Q193:S193)</x:f>
        <x:v>27</x:v>
      </x:c>
      <x:c r="AI193" s="17" t="n">
        <x:f>SUM(U193:Y193)</x:f>
        <x:v>0</x:v>
      </x:c>
      <x:c r="AJ193" s="17" t="str">
        <x:f>IF(AE193&lt;=34,"≤34",IF(AE193&lt;=44,"35–44",IF(AE193&lt;=54,"45–54",IF(AE193&lt;=64,"55–64","65+"))))</x:f>
        <x:v>≤34</x:v>
      </x:c>
      <x:c r="AK193" s="17" t="str">
        <x:f>IF(AG193&gt;=1000,"High Value",IF(AG193&gt;=300,"Mid Value","Low Value"))</x:f>
        <x:v>High Value</x:v>
      </x:c>
      <x:c r="AL193" s="17" t="str">
        <x:f>IF(AND(AI193&gt;=1,I193&lt;=50),"Priority 1",IF(AND(AG193&gt;=1000,I193&lt;=60),"Priority 2",IF(I193&lt;=30,"Priority 3","Nurture")))</x:f>
        <x:v>Nurture</x:v>
      </x:c>
    </x:row>
    <x:row r="194">
      <x:c r="A194" s="16" t="n">
        <x:v>1324</x:v>
      </x:c>
      <x:c r="B194" s="16" t="n">
        <x:v>1988</x:v>
      </x:c>
      <x:c r="C194" s="16" t="str">
        <x:v>Graduation</x:v>
      </x:c>
      <x:c r="D194" s="16" t="str">
        <x:v>Married</x:v>
      </x:c>
      <x:c r="E194" s="16" t="n">
        <x:v>38872</x:v>
      </x:c>
      <x:c r="F194" s="16" t="n">
        <x:v>1</x:v>
      </x:c>
      <x:c r="G194" s="16" t="n">
        <x:v>0</x:v>
      </x:c>
      <x:c r="H194" s="16" t="str">
        <x:v>30-05-2013</x:v>
      </x:c>
      <x:c r="I194" s="16" t="n">
        <x:v>93</x:v>
      </x:c>
      <x:c r="J194" s="16" t="n">
        <x:v>23</x:v>
      </x:c>
      <x:c r="K194" s="16" t="n">
        <x:v>3</x:v>
      </x:c>
      <x:c r="L194" s="16" t="n">
        <x:v>21</x:v>
      </x:c>
      <x:c r="M194" s="16" t="n">
        <x:v>3</x:v>
      </x:c>
      <x:c r="N194" s="16" t="n">
        <x:v>19</x:v>
      </x:c>
      <x:c r="O194" s="16" t="n">
        <x:v>22</x:v>
      </x:c>
      <x:c r="P194" s="16" t="n">
        <x:v>2</x:v>
      </x:c>
      <x:c r="Q194" s="16" t="n">
        <x:v>3</x:v>
      </x:c>
      <x:c r="R194" s="16" t="n">
        <x:v>0</x:v>
      </x:c>
      <x:c r="S194" s="16" t="n">
        <x:v>3</x:v>
      </x:c>
      <x:c r="T194" s="16" t="n">
        <x:v>8</x:v>
      </x:c>
      <x:c r="U194" s="16" t="n">
        <x:v>0</x:v>
      </x:c>
      <x:c r="V194" s="16" t="n">
        <x:v>0</x:v>
      </x:c>
      <x:c r="W194" s="16" t="n">
        <x:v>0</x:v>
      </x:c>
      <x:c r="X194" s="16" t="n">
        <x:v>0</x:v>
      </x:c>
      <x:c r="Y194" s="16" t="n">
        <x:v>0</x:v>
      </x:c>
      <x:c r="Z194" s="16" t="n">
        <x:v>0</x:v>
      </x:c>
      <x:c r="AA194" s="16" t="n">
        <x:v>3</x:v>
      </x:c>
      <x:c r="AB194" s="16" t="n">
        <x:v>11</x:v>
      </x:c>
      <x:c r="AC194" s="16" t="n">
        <x:v>0</x:v>
      </x:c>
      <x:c r="AD194" s="21" t="n">
        <x:f>IF(E194="",MEDIAN($E$2:$E$2237),E194)</x:f>
        <x:v>38872</x:v>
      </x:c>
      <x:c r="AE194" s="17" t="n">
        <x:f>2014-B194</x:f>
        <x:v>26</x:v>
      </x:c>
      <x:c r="AF194" s="17" t="n">
        <x:f>F194+G194</x:f>
        <x:v>1</x:v>
      </x:c>
      <x:c r="AG194" s="21" t="n">
        <x:f>SUM(J194:O194)</x:f>
        <x:v>91</x:v>
      </x:c>
      <x:c r="AH194" s="17" t="n">
        <x:f>SUM(Q194:S194)</x:f>
        <x:v>6</x:v>
      </x:c>
      <x:c r="AI194" s="17" t="n">
        <x:f>SUM(U194:Y194)</x:f>
        <x:v>0</x:v>
      </x:c>
      <x:c r="AJ194" s="17" t="str">
        <x:f>IF(AE194&lt;=34,"≤34",IF(AE194&lt;=44,"35–44",IF(AE194&lt;=54,"45–54",IF(AE194&lt;=64,"55–64","65+"))))</x:f>
        <x:v>≤34</x:v>
      </x:c>
      <x:c r="AK194" s="17" t="str">
        <x:f>IF(AG194&gt;=1000,"High Value",IF(AG194&gt;=300,"Mid Value","Low Value"))</x:f>
        <x:v>Low Value</x:v>
      </x:c>
      <x:c r="AL194" s="17" t="str">
        <x:f>IF(AND(AI194&gt;=1,I194&lt;=50),"Priority 1",IF(AND(AG194&gt;=1000,I194&lt;=60),"Priority 2",IF(I194&lt;=30,"Priority 3","Nurture")))</x:f>
        <x:v>Nurture</x:v>
      </x:c>
    </x:row>
    <x:row r="195">
      <x:c r="A195" s="16" t="n">
        <x:v>326</x:v>
      </x:c>
      <x:c r="B195" s="16" t="n">
        <x:v>1973</x:v>
      </x:c>
      <x:c r="C195" s="16" t="str">
        <x:v>Graduation</x:v>
      </x:c>
      <x:c r="D195" s="16" t="str">
        <x:v>Married</x:v>
      </x:c>
      <x:c r="E195" s="16" t="n">
        <x:v>51148</x:v>
      </x:c>
      <x:c r="F195" s="16" t="n">
        <x:v>1</x:v>
      </x:c>
      <x:c r="G195" s="16" t="n">
        <x:v>1</x:v>
      </x:c>
      <x:c r="H195" s="16" t="str">
        <x:v>18-02-2013</x:v>
      </x:c>
      <x:c r="I195" s="16" t="n">
        <x:v>38</x:v>
      </x:c>
      <x:c r="J195" s="16" t="n">
        <x:v>235</x:v>
      </x:c>
      <x:c r="K195" s="16" t="n">
        <x:v>6</x:v>
      </x:c>
      <x:c r="L195" s="16" t="n">
        <x:v>45</x:v>
      </x:c>
      <x:c r="M195" s="16" t="n">
        <x:v>8</x:v>
      </x:c>
      <x:c r="N195" s="16" t="n">
        <x:v>9</x:v>
      </x:c>
      <x:c r="O195" s="16" t="n">
        <x:v>12</x:v>
      </x:c>
      <x:c r="P195" s="16" t="n">
        <x:v>4</x:v>
      </x:c>
      <x:c r="Q195" s="16" t="n">
        <x:v>5</x:v>
      </x:c>
      <x:c r="R195" s="16" t="n">
        <x:v>1</x:v>
      </x:c>
      <x:c r="S195" s="16" t="n">
        <x:v>6</x:v>
      </x:c>
      <x:c r="T195" s="16" t="n">
        <x:v>6</x:v>
      </x:c>
      <x:c r="U195" s="16" t="n">
        <x:v>0</x:v>
      </x:c>
      <x:c r="V195" s="16" t="n">
        <x:v>0</x:v>
      </x:c>
      <x:c r="W195" s="16" t="n">
        <x:v>0</x:v>
      </x:c>
      <x:c r="X195" s="16" t="n">
        <x:v>0</x:v>
      </x:c>
      <x:c r="Y195" s="16" t="n">
        <x:v>0</x:v>
      </x:c>
      <x:c r="Z195" s="16" t="n">
        <x:v>0</x:v>
      </x:c>
      <x:c r="AA195" s="16" t="n">
        <x:v>3</x:v>
      </x:c>
      <x:c r="AB195" s="16" t="n">
        <x:v>11</x:v>
      </x:c>
      <x:c r="AC195" s="16" t="n">
        <x:v>0</x:v>
      </x:c>
      <x:c r="AD195" s="21" t="n">
        <x:f>IF(E195="",MEDIAN($E$2:$E$2237),E195)</x:f>
        <x:v>51148</x:v>
      </x:c>
      <x:c r="AE195" s="17" t="n">
        <x:f>2014-B195</x:f>
        <x:v>41</x:v>
      </x:c>
      <x:c r="AF195" s="17" t="n">
        <x:f>F195+G195</x:f>
        <x:v>2</x:v>
      </x:c>
      <x:c r="AG195" s="21" t="n">
        <x:f>SUM(J195:O195)</x:f>
        <x:v>315</x:v>
      </x:c>
      <x:c r="AH195" s="17" t="n">
        <x:f>SUM(Q195:S195)</x:f>
        <x:v>12</x:v>
      </x:c>
      <x:c r="AI195" s="17" t="n">
        <x:f>SUM(U195:Y195)</x:f>
        <x:v>0</x:v>
      </x:c>
      <x:c r="AJ195" s="17" t="str">
        <x:f>IF(AE195&lt;=34,"≤34",IF(AE195&lt;=44,"35–44",IF(AE195&lt;=54,"45–54",IF(AE195&lt;=64,"55–64","65+"))))</x:f>
        <x:v>35–44</x:v>
      </x:c>
      <x:c r="AK195" s="17" t="str">
        <x:f>IF(AG195&gt;=1000,"High Value",IF(AG195&gt;=300,"Mid Value","Low Value"))</x:f>
        <x:v>Mid Value</x:v>
      </x:c>
      <x:c r="AL195" s="17" t="str">
        <x:f>IF(AND(AI195&gt;=1,I195&lt;=50),"Priority 1",IF(AND(AG195&gt;=1000,I195&lt;=60),"Priority 2",IF(I195&lt;=30,"Priority 3","Nurture")))</x:f>
        <x:v>Nurture</x:v>
      </x:c>
    </x:row>
    <x:row r="196">
      <x:c r="A196" s="16" t="n">
        <x:v>7224</x:v>
      </x:c>
      <x:c r="B196" s="16" t="n">
        <x:v>1977</x:v>
      </x:c>
      <x:c r="C196" s="16" t="str">
        <x:v>Graduation</x:v>
      </x:c>
      <x:c r="D196" s="16" t="str">
        <x:v>Married</x:v>
      </x:c>
      <x:c r="E196" s="16" t="n">
        <x:v>31353</x:v>
      </x:c>
      <x:c r="F196" s="16" t="n">
        <x:v>1</x:v>
      </x:c>
      <x:c r="G196" s="16" t="n">
        <x:v>1</x:v>
      </x:c>
      <x:c r="H196" s="16" t="str">
        <x:v>29-12-2013</x:v>
      </x:c>
      <x:c r="I196" s="16" t="n">
        <x:v>24</x:v>
      </x:c>
      <x:c r="J196" s="16" t="n">
        <x:v>10</x:v>
      </x:c>
      <x:c r="K196" s="16" t="n">
        <x:v>0</x:v>
      </x:c>
      <x:c r="L196" s="16" t="n">
        <x:v>10</x:v>
      </x:c>
      <x:c r="M196" s="16" t="n">
        <x:v>3</x:v>
      </x:c>
      <x:c r="N196" s="16" t="n">
        <x:v>1</x:v>
      </x:c>
      <x:c r="O196" s="16" t="n">
        <x:v>7</x:v>
      </x:c>
      <x:c r="P196" s="16" t="n">
        <x:v>2</x:v>
      </x:c>
      <x:c r="Q196" s="16" t="n">
        <x:v>1</x:v>
      </x:c>
      <x:c r="R196" s="16" t="n">
        <x:v>1</x:v>
      </x:c>
      <x:c r="S196" s="16" t="n">
        <x:v>2</x:v>
      </x:c>
      <x:c r="T196" s="16" t="n">
        <x:v>8</x:v>
      </x:c>
      <x:c r="U196" s="16" t="n">
        <x:v>0</x:v>
      </x:c>
      <x:c r="V196" s="16" t="n">
        <x:v>0</x:v>
      </x:c>
      <x:c r="W196" s="16" t="n">
        <x:v>0</x:v>
      </x:c>
      <x:c r="X196" s="16" t="n">
        <x:v>0</x:v>
      </x:c>
      <x:c r="Y196" s="16" t="n">
        <x:v>0</x:v>
      </x:c>
      <x:c r="Z196" s="16" t="n">
        <x:v>0</x:v>
      </x:c>
      <x:c r="AA196" s="16" t="n">
        <x:v>3</x:v>
      </x:c>
      <x:c r="AB196" s="16" t="n">
        <x:v>11</x:v>
      </x:c>
      <x:c r="AC196" s="16" t="n">
        <x:v>0</x:v>
      </x:c>
      <x:c r="AD196" s="21" t="n">
        <x:f>IF(E196="",MEDIAN($E$2:$E$2237),E196)</x:f>
        <x:v>31353</x:v>
      </x:c>
      <x:c r="AE196" s="17" t="n">
        <x:f>2014-B196</x:f>
        <x:v>37</x:v>
      </x:c>
      <x:c r="AF196" s="17" t="n">
        <x:f>F196+G196</x:f>
        <x:v>2</x:v>
      </x:c>
      <x:c r="AG196" s="21" t="n">
        <x:f>SUM(J196:O196)</x:f>
        <x:v>31</x:v>
      </x:c>
      <x:c r="AH196" s="17" t="n">
        <x:f>SUM(Q196:S196)</x:f>
        <x:v>4</x:v>
      </x:c>
      <x:c r="AI196" s="17" t="n">
        <x:f>SUM(U196:Y196)</x:f>
        <x:v>0</x:v>
      </x:c>
      <x:c r="AJ196" s="17" t="str">
        <x:f>IF(AE196&lt;=34,"≤34",IF(AE196&lt;=44,"35–44",IF(AE196&lt;=54,"45–54",IF(AE196&lt;=64,"55–64","65+"))))</x:f>
        <x:v>35–44</x:v>
      </x:c>
      <x:c r="AK196" s="17" t="str">
        <x:f>IF(AG196&gt;=1000,"High Value",IF(AG196&gt;=300,"Mid Value","Low Value"))</x:f>
        <x:v>Low Value</x:v>
      </x:c>
      <x:c r="AL196" s="17" t="str">
        <x:f>IF(AND(AI196&gt;=1,I196&lt;=50),"Priority 1",IF(AND(AG196&gt;=1000,I196&lt;=60),"Priority 2",IF(I196&lt;=30,"Priority 3","Nurture")))</x:f>
        <x:v>Priority 3</x:v>
      </x:c>
    </x:row>
    <x:row r="197">
      <x:c r="A197" s="16" t="n">
        <x:v>6999</x:v>
      </x:c>
      <x:c r="B197" s="16" t="n">
        <x:v>1980</x:v>
      </x:c>
      <x:c r="C197" s="16" t="str">
        <x:v>Master</x:v>
      </x:c>
      <x:c r="D197" s="16" t="str">
        <x:v>Married</x:v>
      </x:c>
      <x:c r="E197" s="16" t="n">
        <x:v>69661</x:v>
      </x:c>
      <x:c r="F197" s="16" t="n">
        <x:v>0</x:v>
      </x:c>
      <x:c r="G197" s="16" t="n">
        <x:v>0</x:v>
      </x:c>
      <x:c r="H197" s="16" t="str">
        <x:v>13-05-2014</x:v>
      </x:c>
      <x:c r="I197" s="16" t="n">
        <x:v>80</x:v>
      </x:c>
      <x:c r="J197" s="16" t="n">
        <x:v>656</x:v>
      </x:c>
      <x:c r="K197" s="16" t="n">
        <x:v>16</x:v>
      </x:c>
      <x:c r="L197" s="16" t="n">
        <x:v>106</x:v>
      </x:c>
      <x:c r="M197" s="16" t="n">
        <x:v>32</x:v>
      </x:c>
      <x:c r="N197" s="16" t="n">
        <x:v>16</x:v>
      </x:c>
      <x:c r="O197" s="16" t="n">
        <x:v>8</x:v>
      </x:c>
      <x:c r="P197" s="16" t="n">
        <x:v>1</x:v>
      </x:c>
      <x:c r="Q197" s="16" t="n">
        <x:v>7</x:v>
      </x:c>
      <x:c r="R197" s="16" t="n">
        <x:v>3</x:v>
      </x:c>
      <x:c r="S197" s="16" t="n">
        <x:v>12</x:v>
      </x:c>
      <x:c r="T197" s="16" t="n">
        <x:v>3</x:v>
      </x:c>
      <x:c r="U197" s="16" t="n">
        <x:v>0</x:v>
      </x:c>
      <x:c r="V197" s="16" t="n">
        <x:v>0</x:v>
      </x:c>
      <x:c r="W197" s="16" t="n">
        <x:v>0</x:v>
      </x:c>
      <x:c r="X197" s="16" t="n">
        <x:v>0</x:v>
      </x:c>
      <x:c r="Y197" s="16" t="n">
        <x:v>0</x:v>
      </x:c>
      <x:c r="Z197" s="16" t="n">
        <x:v>0</x:v>
      </x:c>
      <x:c r="AA197" s="16" t="n">
        <x:v>3</x:v>
      </x:c>
      <x:c r="AB197" s="16" t="n">
        <x:v>11</x:v>
      </x:c>
      <x:c r="AC197" s="16" t="n">
        <x:v>0</x:v>
      </x:c>
      <x:c r="AD197" s="21" t="n">
        <x:f>IF(E197="",MEDIAN($E$2:$E$2237),E197)</x:f>
        <x:v>69661</x:v>
      </x:c>
      <x:c r="AE197" s="17" t="n">
        <x:f>2014-B197</x:f>
        <x:v>34</x:v>
      </x:c>
      <x:c r="AF197" s="17" t="n">
        <x:f>F197+G197</x:f>
        <x:v>0</x:v>
      </x:c>
      <x:c r="AG197" s="21" t="n">
        <x:f>SUM(J197:O197)</x:f>
        <x:v>834</x:v>
      </x:c>
      <x:c r="AH197" s="17" t="n">
        <x:f>SUM(Q197:S197)</x:f>
        <x:v>22</x:v>
      </x:c>
      <x:c r="AI197" s="17" t="n">
        <x:f>SUM(U197:Y197)</x:f>
        <x:v>0</x:v>
      </x:c>
      <x:c r="AJ197" s="17" t="str">
        <x:f>IF(AE197&lt;=34,"≤34",IF(AE197&lt;=44,"35–44",IF(AE197&lt;=54,"45–54",IF(AE197&lt;=64,"55–64","65+"))))</x:f>
        <x:v>≤34</x:v>
      </x:c>
      <x:c r="AK197" s="17" t="str">
        <x:f>IF(AG197&gt;=1000,"High Value",IF(AG197&gt;=300,"Mid Value","Low Value"))</x:f>
        <x:v>Mid Value</x:v>
      </x:c>
      <x:c r="AL197" s="17" t="str">
        <x:f>IF(AND(AI197&gt;=1,I197&lt;=50),"Priority 1",IF(AND(AG197&gt;=1000,I197&lt;=60),"Priority 2",IF(I197&lt;=30,"Priority 3","Nurture")))</x:f>
        <x:v>Nurture</x:v>
      </x:c>
    </x:row>
    <x:row r="198">
      <x:c r="A198" s="16" t="n">
        <x:v>9938</x:v>
      </x:c>
      <x:c r="B198" s="16" t="n">
        <x:v>1954</x:v>
      </x:c>
      <x:c r="C198" s="16" t="str">
        <x:v>Graduation</x:v>
      </x:c>
      <x:c r="D198" s="16" t="str">
        <x:v>Married</x:v>
      </x:c>
      <x:c r="E198" s="16" t="n">
        <x:v>80067</x:v>
      </x:c>
      <x:c r="F198" s="16" t="n">
        <x:v>0</x:v>
      </x:c>
      <x:c r="G198" s="16" t="n">
        <x:v>0</x:v>
      </x:c>
      <x:c r="H198" s="16" t="str">
        <x:v>19-09-2013</x:v>
      </x:c>
      <x:c r="I198" s="16" t="n">
        <x:v>82</x:v>
      </x:c>
      <x:c r="J198" s="16" t="n">
        <x:v>519</x:v>
      </x:c>
      <x:c r="K198" s="16" t="n">
        <x:v>17</x:v>
      </x:c>
      <x:c r="L198" s="16" t="n">
        <x:v>813</x:v>
      </x:c>
      <x:c r="M198" s="16" t="n">
        <x:v>27</x:v>
      </x:c>
      <x:c r="N198" s="16" t="n">
        <x:v>173</x:v>
      </x:c>
      <x:c r="O198" s="16" t="n">
        <x:v>51</x:v>
      </x:c>
      <x:c r="P198" s="16" t="n">
        <x:v>1</x:v>
      </x:c>
      <x:c r="Q198" s="16" t="n">
        <x:v>4</x:v>
      </x:c>
      <x:c r="R198" s="16" t="n">
        <x:v>6</x:v>
      </x:c>
      <x:c r="S198" s="16" t="n">
        <x:v>6</x:v>
      </x:c>
      <x:c r="T198" s="16" t="n">
        <x:v>2</x:v>
      </x:c>
      <x:c r="U198" s="16" t="n">
        <x:v>0</x:v>
      </x:c>
      <x:c r="V198" s="16" t="n">
        <x:v>0</x:v>
      </x:c>
      <x:c r="W198" s="16" t="n">
        <x:v>1</x:v>
      </x:c>
      <x:c r="X198" s="16" t="n">
        <x:v>0</x:v>
      </x:c>
      <x:c r="Y198" s="16" t="n">
        <x:v>0</x:v>
      </x:c>
      <x:c r="Z198" s="16" t="n">
        <x:v>0</x:v>
      </x:c>
      <x:c r="AA198" s="16" t="n">
        <x:v>3</x:v>
      </x:c>
      <x:c r="AB198" s="16" t="n">
        <x:v>11</x:v>
      </x:c>
      <x:c r="AC198" s="16" t="n">
        <x:v>0</x:v>
      </x:c>
      <x:c r="AD198" s="21" t="n">
        <x:f>IF(E198="",MEDIAN($E$2:$E$2237),E198)</x:f>
        <x:v>80067</x:v>
      </x:c>
      <x:c r="AE198" s="17" t="n">
        <x:f>2014-B198</x:f>
        <x:v>60</x:v>
      </x:c>
      <x:c r="AF198" s="17" t="n">
        <x:f>F198+G198</x:f>
        <x:v>0</x:v>
      </x:c>
      <x:c r="AG198" s="21" t="n">
        <x:f>SUM(J198:O198)</x:f>
        <x:v>1600</x:v>
      </x:c>
      <x:c r="AH198" s="17" t="n">
        <x:f>SUM(Q198:S198)</x:f>
        <x:v>16</x:v>
      </x:c>
      <x:c r="AI198" s="17" t="n">
        <x:f>SUM(U198:Y198)</x:f>
        <x:v>1</x:v>
      </x:c>
      <x:c r="AJ198" s="17" t="str">
        <x:f>IF(AE198&lt;=34,"≤34",IF(AE198&lt;=44,"35–44",IF(AE198&lt;=54,"45–54",IF(AE198&lt;=64,"55–64","65+"))))</x:f>
        <x:v>55–64</x:v>
      </x:c>
      <x:c r="AK198" s="17" t="str">
        <x:f>IF(AG198&gt;=1000,"High Value",IF(AG198&gt;=300,"Mid Value","Low Value"))</x:f>
        <x:v>High Value</x:v>
      </x:c>
      <x:c r="AL198" s="17" t="str">
        <x:f>IF(AND(AI198&gt;=1,I198&lt;=50),"Priority 1",IF(AND(AG198&gt;=1000,I198&lt;=60),"Priority 2",IF(I198&lt;=30,"Priority 3","Nurture")))</x:f>
        <x:v>Nurture</x:v>
      </x:c>
    </x:row>
    <x:row r="199">
      <x:c r="A199" s="16" t="n">
        <x:v>6422</x:v>
      </x:c>
      <x:c r="B199" s="16" t="n">
        <x:v>1954</x:v>
      </x:c>
      <x:c r="C199" s="16" t="str">
        <x:v>Graduation</x:v>
      </x:c>
      <x:c r="D199" s="16" t="str">
        <x:v>Married</x:v>
      </x:c>
      <x:c r="E199" s="16" t="n">
        <x:v>86718</x:v>
      </x:c>
      <x:c r="F199" s="16" t="n">
        <x:v>0</x:v>
      </x:c>
      <x:c r="G199" s="16" t="n">
        <x:v>0</x:v>
      </x:c>
      <x:c r="H199" s="16" t="str">
        <x:v>17-01-2013</x:v>
      </x:c>
      <x:c r="I199" s="16" t="n">
        <x:v>20</x:v>
      </x:c>
      <x:c r="J199" s="16" t="n">
        <x:v>344</x:v>
      </x:c>
      <x:c r="K199" s="16" t="n">
        <x:v>189</x:v>
      </x:c>
      <x:c r="L199" s="16" t="n">
        <x:v>482</x:v>
      </x:c>
      <x:c r="M199" s="16" t="n">
        <x:v>50</x:v>
      </x:c>
      <x:c r="N199" s="16" t="n">
        <x:v>33</x:v>
      </x:c>
      <x:c r="O199" s="16" t="n">
        <x:v>172</x:v>
      </x:c>
      <x:c r="P199" s="16" t="n">
        <x:v>1</x:v>
      </x:c>
      <x:c r="Q199" s="16" t="n">
        <x:v>5</x:v>
      </x:c>
      <x:c r="R199" s="16" t="n">
        <x:v>6</x:v>
      </x:c>
      <x:c r="S199" s="16" t="n">
        <x:v>5</x:v>
      </x:c>
      <x:c r="T199" s="16" t="n">
        <x:v>2</x:v>
      </x:c>
      <x:c r="U199" s="16" t="n">
        <x:v>0</x:v>
      </x:c>
      <x:c r="V199" s="16" t="n">
        <x:v>0</x:v>
      </x:c>
      <x:c r="W199" s="16" t="n">
        <x:v>0</x:v>
      </x:c>
      <x:c r="X199" s="16" t="n">
        <x:v>0</x:v>
      </x:c>
      <x:c r="Y199" s="16" t="n">
        <x:v>0</x:v>
      </x:c>
      <x:c r="Z199" s="16" t="n">
        <x:v>0</x:v>
      </x:c>
      <x:c r="AA199" s="16" t="n">
        <x:v>3</x:v>
      </x:c>
      <x:c r="AB199" s="16" t="n">
        <x:v>11</x:v>
      </x:c>
      <x:c r="AC199" s="16" t="n">
        <x:v>0</x:v>
      </x:c>
      <x:c r="AD199" s="21" t="n">
        <x:f>IF(E199="",MEDIAN($E$2:$E$2237),E199)</x:f>
        <x:v>86718</x:v>
      </x:c>
      <x:c r="AE199" s="17" t="n">
        <x:f>2014-B199</x:f>
        <x:v>60</x:v>
      </x:c>
      <x:c r="AF199" s="17" t="n">
        <x:f>F199+G199</x:f>
        <x:v>0</x:v>
      </x:c>
      <x:c r="AG199" s="21" t="n">
        <x:f>SUM(J199:O199)</x:f>
        <x:v>1270</x:v>
      </x:c>
      <x:c r="AH199" s="17" t="n">
        <x:f>SUM(Q199:S199)</x:f>
        <x:v>16</x:v>
      </x:c>
      <x:c r="AI199" s="17" t="n">
        <x:f>SUM(U199:Y199)</x:f>
        <x:v>0</x:v>
      </x:c>
      <x:c r="AJ199" s="17" t="str">
        <x:f>IF(AE199&lt;=34,"≤34",IF(AE199&lt;=44,"35–44",IF(AE199&lt;=54,"45–54",IF(AE199&lt;=64,"55–64","65+"))))</x:f>
        <x:v>55–64</x:v>
      </x:c>
      <x:c r="AK199" s="17" t="str">
        <x:f>IF(AG199&gt;=1000,"High Value",IF(AG199&gt;=300,"Mid Value","Low Value"))</x:f>
        <x:v>High Value</x:v>
      </x:c>
      <x:c r="AL199" s="17" t="str">
        <x:f>IF(AND(AI199&gt;=1,I199&lt;=50),"Priority 1",IF(AND(AG199&gt;=1000,I199&lt;=60),"Priority 2",IF(I199&lt;=30,"Priority 3","Nurture")))</x:f>
        <x:v>Priority 2</x:v>
      </x:c>
    </x:row>
    <x:row r="200">
      <x:c r="A200" s="16" t="n">
        <x:v>3182</x:v>
      </x:c>
      <x:c r="B200" s="16" t="n">
        <x:v>1973</x:v>
      </x:c>
      <x:c r="C200" s="16" t="str">
        <x:v>PhD</x:v>
      </x:c>
      <x:c r="D200" s="16" t="str">
        <x:v>Single</x:v>
      </x:c>
      <x:c r="E200" s="16" t="n">
        <x:v>46854</x:v>
      </x:c>
      <x:c r="F200" s="16" t="n">
        <x:v>1</x:v>
      </x:c>
      <x:c r="G200" s="16" t="n">
        <x:v>1</x:v>
      </x:c>
      <x:c r="H200" s="16" t="str">
        <x:v>31-03-2014</x:v>
      </x:c>
      <x:c r="I200" s="16" t="n">
        <x:v>81</x:v>
      </x:c>
      <x:c r="J200" s="16" t="n">
        <x:v>96</x:v>
      </x:c>
      <x:c r="K200" s="16" t="n">
        <x:v>1</x:v>
      </x:c>
      <x:c r="L200" s="16" t="n">
        <x:v>79</x:v>
      </x:c>
      <x:c r="M200" s="16" t="n">
        <x:v>7</x:v>
      </x:c>
      <x:c r="N200" s="16" t="n">
        <x:v>1</x:v>
      </x:c>
      <x:c r="O200" s="16" t="n">
        <x:v>79</x:v>
      </x:c>
      <x:c r="P200" s="16" t="n">
        <x:v>6</x:v>
      </x:c>
      <x:c r="Q200" s="16" t="n">
        <x:v>5</x:v>
      </x:c>
      <x:c r="R200" s="16" t="n">
        <x:v>1</x:v>
      </x:c>
      <x:c r="S200" s="16" t="n">
        <x:v>3</x:v>
      </x:c>
      <x:c r="T200" s="16" t="n">
        <x:v>8</x:v>
      </x:c>
      <x:c r="U200" s="16" t="n">
        <x:v>1</x:v>
      </x:c>
      <x:c r="V200" s="16" t="n">
        <x:v>0</x:v>
      </x:c>
      <x:c r="W200" s="16" t="n">
        <x:v>0</x:v>
      </x:c>
      <x:c r="X200" s="16" t="n">
        <x:v>0</x:v>
      </x:c>
      <x:c r="Y200" s="16" t="n">
        <x:v>0</x:v>
      </x:c>
      <x:c r="Z200" s="16" t="n">
        <x:v>0</x:v>
      </x:c>
      <x:c r="AA200" s="16" t="n">
        <x:v>3</x:v>
      </x:c>
      <x:c r="AB200" s="16" t="n">
        <x:v>11</x:v>
      </x:c>
      <x:c r="AC200" s="16" t="n">
        <x:v>1</x:v>
      </x:c>
      <x:c r="AD200" s="21" t="n">
        <x:f>IF(E200="",MEDIAN($E$2:$E$2237),E200)</x:f>
        <x:v>46854</x:v>
      </x:c>
      <x:c r="AE200" s="17" t="n">
        <x:f>2014-B200</x:f>
        <x:v>41</x:v>
      </x:c>
      <x:c r="AF200" s="17" t="n">
        <x:f>F200+G200</x:f>
        <x:v>2</x:v>
      </x:c>
      <x:c r="AG200" s="21" t="n">
        <x:f>SUM(J200:O200)</x:f>
        <x:v>263</x:v>
      </x:c>
      <x:c r="AH200" s="17" t="n">
        <x:f>SUM(Q200:S200)</x:f>
        <x:v>9</x:v>
      </x:c>
      <x:c r="AI200" s="17" t="n">
        <x:f>SUM(U200:Y200)</x:f>
        <x:v>1</x:v>
      </x:c>
      <x:c r="AJ200" s="17" t="str">
        <x:f>IF(AE200&lt;=34,"≤34",IF(AE200&lt;=44,"35–44",IF(AE200&lt;=54,"45–54",IF(AE200&lt;=64,"55–64","65+"))))</x:f>
        <x:v>35–44</x:v>
      </x:c>
      <x:c r="AK200" s="17" t="str">
        <x:f>IF(AG200&gt;=1000,"High Value",IF(AG200&gt;=300,"Mid Value","Low Value"))</x:f>
        <x:v>Low Value</x:v>
      </x:c>
      <x:c r="AL200" s="17" t="str">
        <x:f>IF(AND(AI200&gt;=1,I200&lt;=50),"Priority 1",IF(AND(AG200&gt;=1000,I200&lt;=60),"Priority 2",IF(I200&lt;=30,"Priority 3","Nurture")))</x:f>
        <x:v>Nurture</x:v>
      </x:c>
    </x:row>
    <x:row r="201">
      <x:c r="A201" s="16" t="n">
        <x:v>7300</x:v>
      </x:c>
      <x:c r="B201" s="16" t="n">
        <x:v>1952</x:v>
      </x:c>
      <x:c r="C201" s="16" t="str">
        <x:v>Graduation</x:v>
      </x:c>
      <x:c r="D201" s="16" t="str">
        <x:v>Divorced</x:v>
      </x:c>
      <x:c r="E201" s="16" t="n">
        <x:v>69142</x:v>
      </x:c>
      <x:c r="F201" s="16" t="n">
        <x:v>0</x:v>
      </x:c>
      <x:c r="G201" s="16" t="n">
        <x:v>1</x:v>
      </x:c>
      <x:c r="H201" s="16" t="str">
        <x:v>29-06-2014</x:v>
      </x:c>
      <x:c r="I201" s="16" t="n">
        <x:v>50</x:v>
      </x:c>
      <x:c r="J201" s="16" t="n">
        <x:v>448</x:v>
      </x:c>
      <x:c r="K201" s="16" t="n">
        <x:v>4</x:v>
      </x:c>
      <x:c r="L201" s="16" t="n">
        <x:v>34</x:v>
      </x:c>
      <x:c r="M201" s="16" t="n">
        <x:v>6</x:v>
      </x:c>
      <x:c r="N201" s="16" t="n">
        <x:v>4</x:v>
      </x:c>
      <x:c r="O201" s="16" t="n">
        <x:v>39</x:v>
      </x:c>
      <x:c r="P201" s="16" t="n">
        <x:v>3</x:v>
      </x:c>
      <x:c r="Q201" s="16" t="n">
        <x:v>8</x:v>
      </x:c>
      <x:c r="R201" s="16" t="n">
        <x:v>1</x:v>
      </x:c>
      <x:c r="S201" s="16" t="n">
        <x:v>7</x:v>
      </x:c>
      <x:c r="T201" s="16" t="n">
        <x:v>5</x:v>
      </x:c>
      <x:c r="U201" s="16" t="n">
        <x:v>0</x:v>
      </x:c>
      <x:c r="V201" s="16" t="n">
        <x:v>1</x:v>
      </x:c>
      <x:c r="W201" s="16" t="n">
        <x:v>0</x:v>
      </x:c>
      <x:c r="X201" s="16" t="n">
        <x:v>0</x:v>
      </x:c>
      <x:c r="Y201" s="16" t="n">
        <x:v>0</x:v>
      </x:c>
      <x:c r="Z201" s="16" t="n">
        <x:v>0</x:v>
      </x:c>
      <x:c r="AA201" s="16" t="n">
        <x:v>3</x:v>
      </x:c>
      <x:c r="AB201" s="16" t="n">
        <x:v>11</x:v>
      </x:c>
      <x:c r="AC201" s="16" t="n">
        <x:v>0</x:v>
      </x:c>
      <x:c r="AD201" s="21" t="n">
        <x:f>IF(E201="",MEDIAN($E$2:$E$2237),E201)</x:f>
        <x:v>69142</x:v>
      </x:c>
      <x:c r="AE201" s="17" t="n">
        <x:f>2014-B201</x:f>
        <x:v>62</x:v>
      </x:c>
      <x:c r="AF201" s="17" t="n">
        <x:f>F201+G201</x:f>
        <x:v>1</x:v>
      </x:c>
      <x:c r="AG201" s="21" t="n">
        <x:f>SUM(J201:O201)</x:f>
        <x:v>535</x:v>
      </x:c>
      <x:c r="AH201" s="17" t="n">
        <x:f>SUM(Q201:S201)</x:f>
        <x:v>16</x:v>
      </x:c>
      <x:c r="AI201" s="17" t="n">
        <x:f>SUM(U201:Y201)</x:f>
        <x:v>1</x:v>
      </x:c>
      <x:c r="AJ201" s="17" t="str">
        <x:f>IF(AE201&lt;=34,"≤34",IF(AE201&lt;=44,"35–44",IF(AE201&lt;=54,"45–54",IF(AE201&lt;=64,"55–64","65+"))))</x:f>
        <x:v>55–64</x:v>
      </x:c>
      <x:c r="AK201" s="17" t="str">
        <x:f>IF(AG201&gt;=1000,"High Value",IF(AG201&gt;=300,"Mid Value","Low Value"))</x:f>
        <x:v>Mid Value</x:v>
      </x:c>
      <x:c r="AL201" s="17" t="str">
        <x:f>IF(AND(AI201&gt;=1,I201&lt;=50),"Priority 1",IF(AND(AG201&gt;=1000,I201&lt;=60),"Priority 2",IF(I201&lt;=30,"Priority 3","Nurture")))</x:f>
        <x:v>Priority 1</x:v>
      </x:c>
    </x:row>
    <x:row r="202">
      <x:c r="A202" s="16" t="n">
        <x:v>10424</x:v>
      </x:c>
      <x:c r="B202" s="16" t="n">
        <x:v>1968</x:v>
      </x:c>
      <x:c r="C202" s="16" t="str">
        <x:v>Graduation</x:v>
      </x:c>
      <x:c r="D202" s="16" t="str">
        <x:v>Single</x:v>
      </x:c>
      <x:c r="E202" s="16" t="n">
        <x:v>75922</x:v>
      </x:c>
      <x:c r="F202" s="16" t="n">
        <x:v>0</x:v>
      </x:c>
      <x:c r="G202" s="16" t="n">
        <x:v>0</x:v>
      </x:c>
      <x:c r="H202" s="16" t="str">
        <x:v>09-12-2013</x:v>
      </x:c>
      <x:c r="I202" s="16" t="n">
        <x:v>60</x:v>
      </x:c>
      <x:c r="J202" s="16" t="n">
        <x:v>265</x:v>
      </x:c>
      <x:c r="K202" s="16" t="n">
        <x:v>138</x:v>
      </x:c>
      <x:c r="L202" s="16" t="n">
        <x:v>553</x:v>
      </x:c>
      <x:c r="M202" s="16" t="n">
        <x:v>224</x:v>
      </x:c>
      <x:c r="N202" s="16" t="n">
        <x:v>23</x:v>
      </x:c>
      <x:c r="O202" s="16" t="n">
        <x:v>92</x:v>
      </x:c>
      <x:c r="P202" s="16" t="n">
        <x:v>1</x:v>
      </x:c>
      <x:c r="Q202" s="16" t="n">
        <x:v>4</x:v>
      </x:c>
      <x:c r="R202" s="16" t="n">
        <x:v>4</x:v>
      </x:c>
      <x:c r="S202" s="16" t="n">
        <x:v>9</x:v>
      </x:c>
      <x:c r="T202" s="16" t="n">
        <x:v>1</x:v>
      </x:c>
      <x:c r="U202" s="16" t="n">
        <x:v>0</x:v>
      </x:c>
      <x:c r="V202" s="16" t="n">
        <x:v>0</x:v>
      </x:c>
      <x:c r="W202" s="16" t="n">
        <x:v>0</x:v>
      </x:c>
      <x:c r="X202" s="16" t="n">
        <x:v>0</x:v>
      </x:c>
      <x:c r="Y202" s="16" t="n">
        <x:v>0</x:v>
      </x:c>
      <x:c r="Z202" s="16" t="n">
        <x:v>0</x:v>
      </x:c>
      <x:c r="AA202" s="16" t="n">
        <x:v>3</x:v>
      </x:c>
      <x:c r="AB202" s="16" t="n">
        <x:v>11</x:v>
      </x:c>
      <x:c r="AC202" s="16" t="n">
        <x:v>0</x:v>
      </x:c>
      <x:c r="AD202" s="21" t="n">
        <x:f>IF(E202="",MEDIAN($E$2:$E$2237),E202)</x:f>
        <x:v>75922</x:v>
      </x:c>
      <x:c r="AE202" s="17" t="n">
        <x:f>2014-B202</x:f>
        <x:v>46</x:v>
      </x:c>
      <x:c r="AF202" s="17" t="n">
        <x:f>F202+G202</x:f>
        <x:v>0</x:v>
      </x:c>
      <x:c r="AG202" s="21" t="n">
        <x:f>SUM(J202:O202)</x:f>
        <x:v>1295</x:v>
      </x:c>
      <x:c r="AH202" s="17" t="n">
        <x:f>SUM(Q202:S202)</x:f>
        <x:v>17</x:v>
      </x:c>
      <x:c r="AI202" s="17" t="n">
        <x:f>SUM(U202:Y202)</x:f>
        <x:v>0</x:v>
      </x:c>
      <x:c r="AJ202" s="17" t="str">
        <x:f>IF(AE202&lt;=34,"≤34",IF(AE202&lt;=44,"35–44",IF(AE202&lt;=54,"45–54",IF(AE202&lt;=64,"55–64","65+"))))</x:f>
        <x:v>45–54</x:v>
      </x:c>
      <x:c r="AK202" s="17" t="str">
        <x:f>IF(AG202&gt;=1000,"High Value",IF(AG202&gt;=300,"Mid Value","Low Value"))</x:f>
        <x:v>High Value</x:v>
      </x:c>
      <x:c r="AL202" s="17" t="str">
        <x:f>IF(AND(AI202&gt;=1,I202&lt;=50),"Priority 1",IF(AND(AG202&gt;=1000,I202&lt;=60),"Priority 2",IF(I202&lt;=30,"Priority 3","Nurture")))</x:f>
        <x:v>Priority 2</x:v>
      </x:c>
    </x:row>
    <x:row r="203">
      <x:c r="A203" s="16" t="n">
        <x:v>8727</x:v>
      </x:c>
      <x:c r="B203" s="16" t="n">
        <x:v>1978</x:v>
      </x:c>
      <x:c r="C203" s="16" t="str">
        <x:v>Graduation</x:v>
      </x:c>
      <x:c r="D203" s="16" t="str">
        <x:v>Divorced</x:v>
      </x:c>
      <x:c r="E203" s="16" t="n">
        <x:v>63693</x:v>
      </x:c>
      <x:c r="F203" s="16" t="n">
        <x:v>0</x:v>
      </x:c>
      <x:c r="G203" s="16" t="n">
        <x:v>1</x:v>
      </x:c>
      <x:c r="H203" s="16" t="str">
        <x:v>14-10-2013</x:v>
      </x:c>
      <x:c r="I203" s="16" t="n">
        <x:v>63</x:v>
      </x:c>
      <x:c r="J203" s="16" t="n">
        <x:v>587</x:v>
      </x:c>
      <x:c r="K203" s="16" t="n">
        <x:v>43</x:v>
      </x:c>
      <x:c r="L203" s="16" t="n">
        <x:v>337</x:v>
      </x:c>
      <x:c r="M203" s="16" t="n">
        <x:v>42</x:v>
      </x:c>
      <x:c r="N203" s="16" t="n">
        <x:v>87</x:v>
      </x:c>
      <x:c r="O203" s="16" t="n">
        <x:v>54</x:v>
      </x:c>
      <x:c r="P203" s="16" t="n">
        <x:v>3</x:v>
      </x:c>
      <x:c r="Q203" s="16" t="n">
        <x:v>11</x:v>
      </x:c>
      <x:c r="R203" s="16" t="n">
        <x:v>6</x:v>
      </x:c>
      <x:c r="S203" s="16" t="n">
        <x:v>9</x:v>
      </x:c>
      <x:c r="T203" s="16" t="n">
        <x:v>6</x:v>
      </x:c>
      <x:c r="U203" s="16" t="n">
        <x:v>0</x:v>
      </x:c>
      <x:c r="V203" s="16" t="n">
        <x:v>0</x:v>
      </x:c>
      <x:c r="W203" s="16" t="n">
        <x:v>0</x:v>
      </x:c>
      <x:c r="X203" s="16" t="n">
        <x:v>0</x:v>
      </x:c>
      <x:c r="Y203" s="16" t="n">
        <x:v>0</x:v>
      </x:c>
      <x:c r="Z203" s="16" t="n">
        <x:v>0</x:v>
      </x:c>
      <x:c r="AA203" s="16" t="n">
        <x:v>3</x:v>
      </x:c>
      <x:c r="AB203" s="16" t="n">
        <x:v>11</x:v>
      </x:c>
      <x:c r="AC203" s="16" t="n">
        <x:v>0</x:v>
      </x:c>
      <x:c r="AD203" s="21" t="n">
        <x:f>IF(E203="",MEDIAN($E$2:$E$2237),E203)</x:f>
        <x:v>63693</x:v>
      </x:c>
      <x:c r="AE203" s="17" t="n">
        <x:f>2014-B203</x:f>
        <x:v>36</x:v>
      </x:c>
      <x:c r="AF203" s="17" t="n">
        <x:f>F203+G203</x:f>
        <x:v>1</x:v>
      </x:c>
      <x:c r="AG203" s="21" t="n">
        <x:f>SUM(J203:O203)</x:f>
        <x:v>1150</x:v>
      </x:c>
      <x:c r="AH203" s="17" t="n">
        <x:f>SUM(Q203:S203)</x:f>
        <x:v>26</x:v>
      </x:c>
      <x:c r="AI203" s="17" t="n">
        <x:f>SUM(U203:Y203)</x:f>
        <x:v>0</x:v>
      </x:c>
      <x:c r="AJ203" s="17" t="str">
        <x:f>IF(AE203&lt;=34,"≤34",IF(AE203&lt;=44,"35–44",IF(AE203&lt;=54,"45–54",IF(AE203&lt;=64,"55–64","65+"))))</x:f>
        <x:v>35–44</x:v>
      </x:c>
      <x:c r="AK203" s="17" t="str">
        <x:f>IF(AG203&gt;=1000,"High Value",IF(AG203&gt;=300,"Mid Value","Low Value"))</x:f>
        <x:v>High Value</x:v>
      </x:c>
      <x:c r="AL203" s="17" t="str">
        <x:f>IF(AND(AI203&gt;=1,I203&lt;=50),"Priority 1",IF(AND(AG203&gt;=1000,I203&lt;=60),"Priority 2",IF(I203&lt;=30,"Priority 3","Nurture")))</x:f>
        <x:v>Nurture</x:v>
      </x:c>
    </x:row>
    <x:row r="204">
      <x:c r="A204" s="16" t="n">
        <x:v>2798</x:v>
      </x:c>
      <x:c r="B204" s="16" t="n">
        <x:v>1977</x:v>
      </x:c>
      <x:c r="C204" s="16" t="str">
        <x:v>PhD</x:v>
      </x:c>
      <x:c r="D204" s="16" t="str">
        <x:v>Together</x:v>
      </x:c>
      <x:c r="E204" s="16" t="n">
        <x:v>102160</x:v>
      </x:c>
      <x:c r="F204" s="16" t="n">
        <x:v>0</x:v>
      </x:c>
      <x:c r="G204" s="16" t="n">
        <x:v>0</x:v>
      </x:c>
      <x:c r="H204" s="16" t="str">
        <x:v>02-11-2012</x:v>
      </x:c>
      <x:c r="I204" s="16" t="n">
        <x:v>54</x:v>
      </x:c>
      <x:c r="J204" s="16" t="n">
        <x:v>763</x:v>
      </x:c>
      <x:c r="K204" s="16" t="n">
        <x:v>29</x:v>
      </x:c>
      <x:c r="L204" s="16" t="n">
        <x:v>138</x:v>
      </x:c>
      <x:c r="M204" s="16" t="n">
        <x:v>76</x:v>
      </x:c>
      <x:c r="N204" s="16" t="n">
        <x:v>176</x:v>
      </x:c>
      <x:c r="O204" s="16" t="n">
        <x:v>58</x:v>
      </x:c>
      <x:c r="P204" s="16" t="n">
        <x:v>0</x:v>
      </x:c>
      <x:c r="Q204" s="16" t="n">
        <x:v>7</x:v>
      </x:c>
      <x:c r="R204" s="16" t="n">
        <x:v>9</x:v>
      </x:c>
      <x:c r="S204" s="16" t="n">
        <x:v>10</x:v>
      </x:c>
      <x:c r="T204" s="16" t="n">
        <x:v>4</x:v>
      </x:c>
      <x:c r="U204" s="16" t="n">
        <x:v>0</x:v>
      </x:c>
      <x:c r="V204" s="16" t="n">
        <x:v>1</x:v>
      </x:c>
      <x:c r="W204" s="16" t="n">
        <x:v>1</x:v>
      </x:c>
      <x:c r="X204" s="16" t="n">
        <x:v>1</x:v>
      </x:c>
      <x:c r="Y204" s="16" t="n">
        <x:v>0</x:v>
      </x:c>
      <x:c r="Z204" s="16" t="n">
        <x:v>0</x:v>
      </x:c>
      <x:c r="AA204" s="16" t="n">
        <x:v>3</x:v>
      </x:c>
      <x:c r="AB204" s="16" t="n">
        <x:v>11</x:v>
      </x:c>
      <x:c r="AC204" s="16" t="n">
        <x:v>1</x:v>
      </x:c>
      <x:c r="AD204" s="21" t="n">
        <x:f>IF(E204="",MEDIAN($E$2:$E$2237),E204)</x:f>
        <x:v>102160</x:v>
      </x:c>
      <x:c r="AE204" s="17" t="n">
        <x:f>2014-B204</x:f>
        <x:v>37</x:v>
      </x:c>
      <x:c r="AF204" s="17" t="n">
        <x:f>F204+G204</x:f>
        <x:v>0</x:v>
      </x:c>
      <x:c r="AG204" s="21" t="n">
        <x:f>SUM(J204:O204)</x:f>
        <x:v>1240</x:v>
      </x:c>
      <x:c r="AH204" s="17" t="n">
        <x:f>SUM(Q204:S204)</x:f>
        <x:v>26</x:v>
      </x:c>
      <x:c r="AI204" s="17" t="n">
        <x:f>SUM(U204:Y204)</x:f>
        <x:v>3</x:v>
      </x:c>
      <x:c r="AJ204" s="17" t="str">
        <x:f>IF(AE204&lt;=34,"≤34",IF(AE204&lt;=44,"35–44",IF(AE204&lt;=54,"45–54",IF(AE204&lt;=64,"55–64","65+"))))</x:f>
        <x:v>35–44</x:v>
      </x:c>
      <x:c r="AK204" s="17" t="str">
        <x:f>IF(AG204&gt;=1000,"High Value",IF(AG204&gt;=300,"Mid Value","Low Value"))</x:f>
        <x:v>High Value</x:v>
      </x:c>
      <x:c r="AL204" s="17" t="str">
        <x:f>IF(AND(AI204&gt;=1,I204&lt;=50),"Priority 1",IF(AND(AG204&gt;=1000,I204&lt;=60),"Priority 2",IF(I204&lt;=30,"Priority 3","Nurture")))</x:f>
        <x:v>Priority 2</x:v>
      </x:c>
    </x:row>
    <x:row r="205">
      <x:c r="A205" s="16" t="n">
        <x:v>1030</x:v>
      </x:c>
      <x:c r="B205" s="16" t="n">
        <x:v>1965</x:v>
      </x:c>
      <x:c r="C205" s="16" t="str">
        <x:v>PhD</x:v>
      </x:c>
      <x:c r="D205" s="16" t="str">
        <x:v>Single</x:v>
      </x:c>
      <x:c r="E205" s="16" t="n">
        <x:v>40637</x:v>
      </x:c>
      <x:c r="F205" s="16" t="n">
        <x:v>1</x:v>
      </x:c>
      <x:c r="G205" s="16" t="n">
        <x:v>1</x:v>
      </x:c>
      <x:c r="H205" s="16" t="str">
        <x:v>17-07-2013</x:v>
      </x:c>
      <x:c r="I205" s="16" t="n">
        <x:v>72</x:v>
      </x:c>
      <x:c r="J205" s="16" t="n">
        <x:v>22</x:v>
      </x:c>
      <x:c r="K205" s="16" t="n">
        <x:v>0</x:v>
      </x:c>
      <x:c r="L205" s="16" t="n">
        <x:v>13</x:v>
      </x:c>
      <x:c r="M205" s="16" t="n">
        <x:v>0</x:v>
      </x:c>
      <x:c r="N205" s="16" t="n">
        <x:v>0</x:v>
      </x:c>
      <x:c r="O205" s="16" t="n">
        <x:v>3</x:v>
      </x:c>
      <x:c r="P205" s="16" t="n">
        <x:v>2</x:v>
      </x:c>
      <x:c r="Q205" s="16" t="n">
        <x:v>1</x:v>
      </x:c>
      <x:c r="R205" s="16" t="n">
        <x:v>0</x:v>
      </x:c>
      <x:c r="S205" s="16" t="n">
        <x:v>3</x:v>
      </x:c>
      <x:c r="T205" s="16" t="n">
        <x:v>7</x:v>
      </x:c>
      <x:c r="U205" s="16" t="n">
        <x:v>0</x:v>
      </x:c>
      <x:c r="V205" s="16" t="n">
        <x:v>0</x:v>
      </x:c>
      <x:c r="W205" s="16" t="n">
        <x:v>0</x:v>
      </x:c>
      <x:c r="X205" s="16" t="n">
        <x:v>0</x:v>
      </x:c>
      <x:c r="Y205" s="16" t="n">
        <x:v>0</x:v>
      </x:c>
      <x:c r="Z205" s="16" t="n">
        <x:v>0</x:v>
      </x:c>
      <x:c r="AA205" s="16" t="n">
        <x:v>3</x:v>
      </x:c>
      <x:c r="AB205" s="16" t="n">
        <x:v>11</x:v>
      </x:c>
      <x:c r="AC205" s="16" t="n">
        <x:v>0</x:v>
      </x:c>
      <x:c r="AD205" s="21" t="n">
        <x:f>IF(E205="",MEDIAN($E$2:$E$2237),E205)</x:f>
        <x:v>40637</x:v>
      </x:c>
      <x:c r="AE205" s="17" t="n">
        <x:f>2014-B205</x:f>
        <x:v>49</x:v>
      </x:c>
      <x:c r="AF205" s="17" t="n">
        <x:f>F205+G205</x:f>
        <x:v>2</x:v>
      </x:c>
      <x:c r="AG205" s="21" t="n">
        <x:f>SUM(J205:O205)</x:f>
        <x:v>38</x:v>
      </x:c>
      <x:c r="AH205" s="17" t="n">
        <x:f>SUM(Q205:S205)</x:f>
        <x:v>4</x:v>
      </x:c>
      <x:c r="AI205" s="17" t="n">
        <x:f>SUM(U205:Y205)</x:f>
        <x:v>0</x:v>
      </x:c>
      <x:c r="AJ205" s="17" t="str">
        <x:f>IF(AE205&lt;=34,"≤34",IF(AE205&lt;=44,"35–44",IF(AE205&lt;=54,"45–54",IF(AE205&lt;=64,"55–64","65+"))))</x:f>
        <x:v>45–54</x:v>
      </x:c>
      <x:c r="AK205" s="17" t="str">
        <x:f>IF(AG205&gt;=1000,"High Value",IF(AG205&gt;=300,"Mid Value","Low Value"))</x:f>
        <x:v>Low Value</x:v>
      </x:c>
      <x:c r="AL205" s="17" t="str">
        <x:f>IF(AND(AI205&gt;=1,I205&lt;=50),"Priority 1",IF(AND(AG205&gt;=1000,I205&lt;=60),"Priority 2",IF(I205&lt;=30,"Priority 3","Nurture")))</x:f>
        <x:v>Nurture</x:v>
      </x:c>
    </x:row>
    <x:row r="206">
      <x:c r="A206" s="16" t="n">
        <x:v>624</x:v>
      </x:c>
      <x:c r="B206" s="16" t="n">
        <x:v>1984</x:v>
      </x:c>
      <x:c r="C206" s="16" t="str">
        <x:v>Master</x:v>
      </x:c>
      <x:c r="D206" s="16" t="str">
        <x:v>Single</x:v>
      </x:c>
      <x:c r="E206" s="16" t="n">
        <x:v>18890</x:v>
      </x:c>
      <x:c r="F206" s="16" t="n">
        <x:v>0</x:v>
      </x:c>
      <x:c r="G206" s="16" t="n">
        <x:v>0</x:v>
      </x:c>
      <x:c r="H206" s="16" t="str">
        <x:v>10-11-2012</x:v>
      </x:c>
      <x:c r="I206" s="16" t="n">
        <x:v>5</x:v>
      </x:c>
      <x:c r="J206" s="16" t="n">
        <x:v>6</x:v>
      </x:c>
      <x:c r="K206" s="16" t="n">
        <x:v>4</x:v>
      </x:c>
      <x:c r="L206" s="16" t="n">
        <x:v>1</x:v>
      </x:c>
      <x:c r="M206" s="16" t="n">
        <x:v>7</x:v>
      </x:c>
      <x:c r="N206" s="16" t="n">
        <x:v>2</x:v>
      </x:c>
      <x:c r="O206" s="16" t="n">
        <x:v>15</x:v>
      </x:c>
      <x:c r="P206" s="16" t="n">
        <x:v>1</x:v>
      </x:c>
      <x:c r="Q206" s="16" t="n">
        <x:v>0</x:v>
      </x:c>
      <x:c r="R206" s="16" t="n">
        <x:v>1</x:v>
      </x:c>
      <x:c r="S206" s="16" t="n">
        <x:v>2</x:v>
      </x:c>
      <x:c r="T206" s="16" t="n">
        <x:v>6</x:v>
      </x:c>
      <x:c r="U206" s="16" t="n">
        <x:v>1</x:v>
      </x:c>
      <x:c r="V206" s="16" t="n">
        <x:v>0</x:v>
      </x:c>
      <x:c r="W206" s="16" t="n">
        <x:v>0</x:v>
      </x:c>
      <x:c r="X206" s="16" t="n">
        <x:v>0</x:v>
      </x:c>
      <x:c r="Y206" s="16" t="n">
        <x:v>0</x:v>
      </x:c>
      <x:c r="Z206" s="16" t="n">
        <x:v>0</x:v>
      </x:c>
      <x:c r="AA206" s="16" t="n">
        <x:v>3</x:v>
      </x:c>
      <x:c r="AB206" s="16" t="n">
        <x:v>11</x:v>
      </x:c>
      <x:c r="AC206" s="16" t="n">
        <x:v>1</x:v>
      </x:c>
      <x:c r="AD206" s="21" t="n">
        <x:f>IF(E206="",MEDIAN($E$2:$E$2237),E206)</x:f>
        <x:v>18890</x:v>
      </x:c>
      <x:c r="AE206" s="17" t="n">
        <x:f>2014-B206</x:f>
        <x:v>30</x:v>
      </x:c>
      <x:c r="AF206" s="17" t="n">
        <x:f>F206+G206</x:f>
        <x:v>0</x:v>
      </x:c>
      <x:c r="AG206" s="21" t="n">
        <x:f>SUM(J206:O206)</x:f>
        <x:v>35</x:v>
      </x:c>
      <x:c r="AH206" s="17" t="n">
        <x:f>SUM(Q206:S206)</x:f>
        <x:v>3</x:v>
      </x:c>
      <x:c r="AI206" s="17" t="n">
        <x:f>SUM(U206:Y206)</x:f>
        <x:v>1</x:v>
      </x:c>
      <x:c r="AJ206" s="17" t="str">
        <x:f>IF(AE206&lt;=34,"≤34",IF(AE206&lt;=44,"35–44",IF(AE206&lt;=54,"45–54",IF(AE206&lt;=64,"55–64","65+"))))</x:f>
        <x:v>≤34</x:v>
      </x:c>
      <x:c r="AK206" s="17" t="str">
        <x:f>IF(AG206&gt;=1000,"High Value",IF(AG206&gt;=300,"Mid Value","Low Value"))</x:f>
        <x:v>Low Value</x:v>
      </x:c>
      <x:c r="AL206" s="17" t="str">
        <x:f>IF(AND(AI206&gt;=1,I206&lt;=50),"Priority 1",IF(AND(AG206&gt;=1000,I206&lt;=60),"Priority 2",IF(I206&lt;=30,"Priority 3","Nurture")))</x:f>
        <x:v>Priority 1</x:v>
      </x:c>
    </x:row>
    <x:row r="207">
      <x:c r="A207" s="16" t="n">
        <x:v>5176</x:v>
      </x:c>
      <x:c r="B207" s="16" t="n">
        <x:v>1988</x:v>
      </x:c>
      <x:c r="C207" s="16" t="str">
        <x:v>Graduation</x:v>
      </x:c>
      <x:c r="D207" s="16" t="str">
        <x:v>Together</x:v>
      </x:c>
      <x:c r="E207" s="16" t="n">
        <x:v>29604</x:v>
      </x:c>
      <x:c r="F207" s="16" t="n">
        <x:v>1</x:v>
      </x:c>
      <x:c r="G207" s="16" t="n">
        <x:v>0</x:v>
      </x:c>
      <x:c r="H207" s="16" t="str">
        <x:v>08-12-2013</x:v>
      </x:c>
      <x:c r="I207" s="16" t="n">
        <x:v>88</x:v>
      </x:c>
      <x:c r="J207" s="16" t="n">
        <x:v>7</x:v>
      </x:c>
      <x:c r="K207" s="16" t="n">
        <x:v>6</x:v>
      </x:c>
      <x:c r="L207" s="16" t="n">
        <x:v>13</x:v>
      </x:c>
      <x:c r="M207" s="16" t="n">
        <x:v>7</x:v>
      </x:c>
      <x:c r="N207" s="16" t="n">
        <x:v>6</x:v>
      </x:c>
      <x:c r="O207" s="16" t="n">
        <x:v>14</x:v>
      </x:c>
      <x:c r="P207" s="16" t="n">
        <x:v>1</x:v>
      </x:c>
      <x:c r="Q207" s="16" t="n">
        <x:v>1</x:v>
      </x:c>
      <x:c r="R207" s="16" t="n">
        <x:v>0</x:v>
      </x:c>
      <x:c r="S207" s="16" t="n">
        <x:v>3</x:v>
      </x:c>
      <x:c r="T207" s="16" t="n">
        <x:v>9</x:v>
      </x:c>
      <x:c r="U207" s="16" t="n">
        <x:v>1</x:v>
      </x:c>
      <x:c r="V207" s="16" t="n">
        <x:v>0</x:v>
      </x:c>
      <x:c r="W207" s="16" t="n">
        <x:v>0</x:v>
      </x:c>
      <x:c r="X207" s="16" t="n">
        <x:v>0</x:v>
      </x:c>
      <x:c r="Y207" s="16" t="n">
        <x:v>0</x:v>
      </x:c>
      <x:c r="Z207" s="16" t="n">
        <x:v>0</x:v>
      </x:c>
      <x:c r="AA207" s="16" t="n">
        <x:v>3</x:v>
      </x:c>
      <x:c r="AB207" s="16" t="n">
        <x:v>11</x:v>
      </x:c>
      <x:c r="AC207" s="16" t="n">
        <x:v>0</x:v>
      </x:c>
      <x:c r="AD207" s="21" t="n">
        <x:f>IF(E207="",MEDIAN($E$2:$E$2237),E207)</x:f>
        <x:v>29604</x:v>
      </x:c>
      <x:c r="AE207" s="17" t="n">
        <x:f>2014-B207</x:f>
        <x:v>26</x:v>
      </x:c>
      <x:c r="AF207" s="17" t="n">
        <x:f>F207+G207</x:f>
        <x:v>1</x:v>
      </x:c>
      <x:c r="AG207" s="21" t="n">
        <x:f>SUM(J207:O207)</x:f>
        <x:v>53</x:v>
      </x:c>
      <x:c r="AH207" s="17" t="n">
        <x:f>SUM(Q207:S207)</x:f>
        <x:v>4</x:v>
      </x:c>
      <x:c r="AI207" s="17" t="n">
        <x:f>SUM(U207:Y207)</x:f>
        <x:v>1</x:v>
      </x:c>
      <x:c r="AJ207" s="17" t="str">
        <x:f>IF(AE207&lt;=34,"≤34",IF(AE207&lt;=44,"35–44",IF(AE207&lt;=54,"45–54",IF(AE207&lt;=64,"55–64","65+"))))</x:f>
        <x:v>≤34</x:v>
      </x:c>
      <x:c r="AK207" s="17" t="str">
        <x:f>IF(AG207&gt;=1000,"High Value",IF(AG207&gt;=300,"Mid Value","Low Value"))</x:f>
        <x:v>Low Value</x:v>
      </x:c>
      <x:c r="AL207" s="17" t="str">
        <x:f>IF(AND(AI207&gt;=1,I207&lt;=50),"Priority 1",IF(AND(AG207&gt;=1000,I207&lt;=60),"Priority 2",IF(I207&lt;=30,"Priority 3","Nurture")))</x:f>
        <x:v>Nurture</x:v>
      </x:c>
    </x:row>
    <x:row r="208">
      <x:c r="A208" s="16" t="n">
        <x:v>5552</x:v>
      </x:c>
      <x:c r="B208" s="16" t="n">
        <x:v>1963</x:v>
      </x:c>
      <x:c r="C208" s="16" t="str">
        <x:v>Master</x:v>
      </x:c>
      <x:c r="D208" s="16" t="str">
        <x:v>Divorced</x:v>
      </x:c>
      <x:c r="E208" s="16" t="n">
        <x:v>48721</x:v>
      </x:c>
      <x:c r="F208" s="16" t="n">
        <x:v>1</x:v>
      </x:c>
      <x:c r="G208" s="16" t="n">
        <x:v>1</x:v>
      </x:c>
      <x:c r="H208" s="16" t="str">
        <x:v>13-05-2013</x:v>
      </x:c>
      <x:c r="I208" s="16" t="n">
        <x:v>50</x:v>
      </x:c>
      <x:c r="J208" s="16" t="n">
        <x:v>81</x:v>
      </x:c>
      <x:c r="K208" s="16" t="n">
        <x:v>18</x:v>
      </x:c>
      <x:c r="L208" s="16" t="n">
        <x:v>113</x:v>
      </x:c>
      <x:c r="M208" s="16" t="n">
        <x:v>47</x:v>
      </x:c>
      <x:c r="N208" s="16" t="n">
        <x:v>13</x:v>
      </x:c>
      <x:c r="O208" s="16" t="n">
        <x:v>21</x:v>
      </x:c>
      <x:c r="P208" s="16" t="n">
        <x:v>6</x:v>
      </x:c>
      <x:c r="Q208" s="16" t="n">
        <x:v>4</x:v>
      </x:c>
      <x:c r="R208" s="16" t="n">
        <x:v>2</x:v>
      </x:c>
      <x:c r="S208" s="16" t="n">
        <x:v>5</x:v>
      </x:c>
      <x:c r="T208" s="16" t="n">
        <x:v>6</x:v>
      </x:c>
      <x:c r="U208" s="16" t="n">
        <x:v>0</x:v>
      </x:c>
      <x:c r="V208" s="16" t="n">
        <x:v>0</x:v>
      </x:c>
      <x:c r="W208" s="16" t="n">
        <x:v>0</x:v>
      </x:c>
      <x:c r="X208" s="16" t="n">
        <x:v>0</x:v>
      </x:c>
      <x:c r="Y208" s="16" t="n">
        <x:v>0</x:v>
      </x:c>
      <x:c r="Z208" s="16" t="n">
        <x:v>0</x:v>
      </x:c>
      <x:c r="AA208" s="16" t="n">
        <x:v>3</x:v>
      </x:c>
      <x:c r="AB208" s="16" t="n">
        <x:v>11</x:v>
      </x:c>
      <x:c r="AC208" s="16" t="n">
        <x:v>0</x:v>
      </x:c>
      <x:c r="AD208" s="21" t="n">
        <x:f>IF(E208="",MEDIAN($E$2:$E$2237),E208)</x:f>
        <x:v>48721</x:v>
      </x:c>
      <x:c r="AE208" s="17" t="n">
        <x:f>2014-B208</x:f>
        <x:v>51</x:v>
      </x:c>
      <x:c r="AF208" s="17" t="n">
        <x:f>F208+G208</x:f>
        <x:v>2</x:v>
      </x:c>
      <x:c r="AG208" s="21" t="n">
        <x:f>SUM(J208:O208)</x:f>
        <x:v>293</x:v>
      </x:c>
      <x:c r="AH208" s="17" t="n">
        <x:f>SUM(Q208:S208)</x:f>
        <x:v>11</x:v>
      </x:c>
      <x:c r="AI208" s="17" t="n">
        <x:f>SUM(U208:Y208)</x:f>
        <x:v>0</x:v>
      </x:c>
      <x:c r="AJ208" s="17" t="str">
        <x:f>IF(AE208&lt;=34,"≤34",IF(AE208&lt;=44,"35–44",IF(AE208&lt;=54,"45–54",IF(AE208&lt;=64,"55–64","65+"))))</x:f>
        <x:v>45–54</x:v>
      </x:c>
      <x:c r="AK208" s="17" t="str">
        <x:f>IF(AG208&gt;=1000,"High Value",IF(AG208&gt;=300,"Mid Value","Low Value"))</x:f>
        <x:v>Low Value</x:v>
      </x:c>
      <x:c r="AL208" s="17" t="str">
        <x:f>IF(AND(AI208&gt;=1,I208&lt;=50),"Priority 1",IF(AND(AG208&gt;=1000,I208&lt;=60),"Priority 2",IF(I208&lt;=30,"Priority 3","Nurture")))</x:f>
        <x:v>Nurture</x:v>
      </x:c>
    </x:row>
    <x:row r="209">
      <x:c r="A209" s="16" t="n">
        <x:v>868</x:v>
      </x:c>
      <x:c r="B209" s="16" t="n">
        <x:v>1966</x:v>
      </x:c>
      <x:c r="C209" s="16" t="str">
        <x:v>Graduation</x:v>
      </x:c>
      <x:c r="D209" s="16" t="str">
        <x:v>Married</x:v>
      </x:c>
      <x:c r="E209" s="16" t="n">
        <x:v>44794</x:v>
      </x:c>
      <x:c r="F209" s="16" t="n">
        <x:v>0</x:v>
      </x:c>
      <x:c r="G209" s="16" t="n">
        <x:v>1</x:v>
      </x:c>
      <x:c r="H209" s="16" t="str">
        <x:v>08-06-2014</x:v>
      </x:c>
      <x:c r="I209" s="16" t="n">
        <x:v>99</x:v>
      </x:c>
      <x:c r="J209" s="16" t="n">
        <x:v>54</x:v>
      </x:c>
      <x:c r="K209" s="16" t="n">
        <x:v>0</x:v>
      </x:c>
      <x:c r="L209" s="16" t="n">
        <x:v>7</x:v>
      </x:c>
      <x:c r="M209" s="16" t="n">
        <x:v>0</x:v>
      </x:c>
      <x:c r="N209" s="16" t="n">
        <x:v>0</x:v>
      </x:c>
      <x:c r="O209" s="16" t="n">
        <x:v>4</x:v>
      </x:c>
      <x:c r="P209" s="16" t="n">
        <x:v>1</x:v>
      </x:c>
      <x:c r="Q209" s="16" t="n">
        <x:v>2</x:v>
      </x:c>
      <x:c r="R209" s="16" t="n">
        <x:v>0</x:v>
      </x:c>
      <x:c r="S209" s="16" t="n">
        <x:v>3</x:v>
      </x:c>
      <x:c r="T209" s="16" t="n">
        <x:v>6</x:v>
      </x:c>
      <x:c r="U209" s="16" t="n">
        <x:v>0</x:v>
      </x:c>
      <x:c r="V209" s="16" t="n">
        <x:v>0</x:v>
      </x:c>
      <x:c r="W209" s="16" t="n">
        <x:v>0</x:v>
      </x:c>
      <x:c r="X209" s="16" t="n">
        <x:v>0</x:v>
      </x:c>
      <x:c r="Y209" s="16" t="n">
        <x:v>0</x:v>
      </x:c>
      <x:c r="Z209" s="16" t="n">
        <x:v>0</x:v>
      </x:c>
      <x:c r="AA209" s="16" t="n">
        <x:v>3</x:v>
      </x:c>
      <x:c r="AB209" s="16" t="n">
        <x:v>11</x:v>
      </x:c>
      <x:c r="AC209" s="16" t="n">
        <x:v>0</x:v>
      </x:c>
      <x:c r="AD209" s="21" t="n">
        <x:f>IF(E209="",MEDIAN($E$2:$E$2237),E209)</x:f>
        <x:v>44794</x:v>
      </x:c>
      <x:c r="AE209" s="17" t="n">
        <x:f>2014-B209</x:f>
        <x:v>48</x:v>
      </x:c>
      <x:c r="AF209" s="17" t="n">
        <x:f>F209+G209</x:f>
        <x:v>1</x:v>
      </x:c>
      <x:c r="AG209" s="21" t="n">
        <x:f>SUM(J209:O209)</x:f>
        <x:v>65</x:v>
      </x:c>
      <x:c r="AH209" s="17" t="n">
        <x:f>SUM(Q209:S209)</x:f>
        <x:v>5</x:v>
      </x:c>
      <x:c r="AI209" s="17" t="n">
        <x:f>SUM(U209:Y209)</x:f>
        <x:v>0</x:v>
      </x:c>
      <x:c r="AJ209" s="17" t="str">
        <x:f>IF(AE209&lt;=34,"≤34",IF(AE209&lt;=44,"35–44",IF(AE209&lt;=54,"45–54",IF(AE209&lt;=64,"55–64","65+"))))</x:f>
        <x:v>45–54</x:v>
      </x:c>
      <x:c r="AK209" s="17" t="str">
        <x:f>IF(AG209&gt;=1000,"High Value",IF(AG209&gt;=300,"Mid Value","Low Value"))</x:f>
        <x:v>Low Value</x:v>
      </x:c>
      <x:c r="AL209" s="17" t="str">
        <x:f>IF(AND(AI209&gt;=1,I209&lt;=50),"Priority 1",IF(AND(AG209&gt;=1000,I209&lt;=60),"Priority 2",IF(I209&lt;=30,"Priority 3","Nurture")))</x:f>
        <x:v>Nurture</x:v>
      </x:c>
    </x:row>
    <x:row r="210">
      <x:c r="A210" s="16" t="n">
        <x:v>380</x:v>
      </x:c>
      <x:c r="B210" s="16" t="n">
        <x:v>1954</x:v>
      </x:c>
      <x:c r="C210" s="16" t="str">
        <x:v>Graduation</x:v>
      </x:c>
      <x:c r="D210" s="16" t="str">
        <x:v>Divorced</x:v>
      </x:c>
      <x:c r="E210" s="16" t="n">
        <x:v>64497</x:v>
      </x:c>
      <x:c r="F210" s="16" t="n">
        <x:v>0</x:v>
      </x:c>
      <x:c r="G210" s="16" t="n">
        <x:v>1</x:v>
      </x:c>
      <x:c r="H210" s="16" t="str">
        <x:v>10-09-2012</x:v>
      </x:c>
      <x:c r="I210" s="16" t="n">
        <x:v>17</x:v>
      </x:c>
      <x:c r="J210" s="16" t="n">
        <x:v>1170</x:v>
      </x:c>
      <x:c r="K210" s="16" t="n">
        <x:v>48</x:v>
      </x:c>
      <x:c r="L210" s="16" t="n">
        <x:v>320</x:v>
      </x:c>
      <x:c r="M210" s="16" t="n">
        <x:v>42</x:v>
      </x:c>
      <x:c r="N210" s="16" t="n">
        <x:v>32</x:v>
      </x:c>
      <x:c r="O210" s="16" t="n">
        <x:v>192</x:v>
      </x:c>
      <x:c r="P210" s="16" t="n">
        <x:v>5</x:v>
      </x:c>
      <x:c r="Q210" s="16" t="n">
        <x:v>11</x:v>
      </x:c>
      <x:c r="R210" s="16" t="n">
        <x:v>4</x:v>
      </x:c>
      <x:c r="S210" s="16" t="n">
        <x:v>9</x:v>
      </x:c>
      <x:c r="T210" s="16" t="n">
        <x:v>8</x:v>
      </x:c>
      <x:c r="U210" s="16" t="n">
        <x:v>1</x:v>
      </x:c>
      <x:c r="V210" s="16" t="n">
        <x:v>0</x:v>
      </x:c>
      <x:c r="W210" s="16" t="n">
        <x:v>0</x:v>
      </x:c>
      <x:c r="X210" s="16" t="n">
        <x:v>0</x:v>
      </x:c>
      <x:c r="Y210" s="16" t="n">
        <x:v>0</x:v>
      </x:c>
      <x:c r="Z210" s="16" t="n">
        <x:v>0</x:v>
      </x:c>
      <x:c r="AA210" s="16" t="n">
        <x:v>3</x:v>
      </x:c>
      <x:c r="AB210" s="16" t="n">
        <x:v>11</x:v>
      </x:c>
      <x:c r="AC210" s="16" t="n">
        <x:v>1</x:v>
      </x:c>
      <x:c r="AD210" s="21" t="n">
        <x:f>IF(E210="",MEDIAN($E$2:$E$2237),E210)</x:f>
        <x:v>64497</x:v>
      </x:c>
      <x:c r="AE210" s="17" t="n">
        <x:f>2014-B210</x:f>
        <x:v>60</x:v>
      </x:c>
      <x:c r="AF210" s="17" t="n">
        <x:f>F210+G210</x:f>
        <x:v>1</x:v>
      </x:c>
      <x:c r="AG210" s="21" t="n">
        <x:f>SUM(J210:O210)</x:f>
        <x:v>1804</x:v>
      </x:c>
      <x:c r="AH210" s="17" t="n">
        <x:f>SUM(Q210:S210)</x:f>
        <x:v>24</x:v>
      </x:c>
      <x:c r="AI210" s="17" t="n">
        <x:f>SUM(U210:Y210)</x:f>
        <x:v>1</x:v>
      </x:c>
      <x:c r="AJ210" s="17" t="str">
        <x:f>IF(AE210&lt;=34,"≤34",IF(AE210&lt;=44,"35–44",IF(AE210&lt;=54,"45–54",IF(AE210&lt;=64,"55–64","65+"))))</x:f>
        <x:v>55–64</x:v>
      </x:c>
      <x:c r="AK210" s="17" t="str">
        <x:f>IF(AG210&gt;=1000,"High Value",IF(AG210&gt;=300,"Mid Value","Low Value"))</x:f>
        <x:v>High Value</x:v>
      </x:c>
      <x:c r="AL210" s="17" t="str">
        <x:f>IF(AND(AI210&gt;=1,I210&lt;=50),"Priority 1",IF(AND(AG210&gt;=1000,I210&lt;=60),"Priority 2",IF(I210&lt;=30,"Priority 3","Nurture")))</x:f>
        <x:v>Priority 1</x:v>
      </x:c>
    </x:row>
    <x:row r="211">
      <x:c r="A211" s="16" t="n">
        <x:v>2677</x:v>
      </x:c>
      <x:c r="B211" s="16" t="n">
        <x:v>1956</x:v>
      </x:c>
      <x:c r="C211" s="16" t="str">
        <x:v>Graduation</x:v>
      </x:c>
      <x:c r="D211" s="16" t="str">
        <x:v>Together</x:v>
      </x:c>
      <x:c r="E211" s="16" t="n">
        <x:v>46097</x:v>
      </x:c>
      <x:c r="F211" s="16" t="n">
        <x:v>0</x:v>
      </x:c>
      <x:c r="G211" s="16" t="n">
        <x:v>1</x:v>
      </x:c>
      <x:c r="H211" s="16" t="str">
        <x:v>31-03-2013</x:v>
      </x:c>
      <x:c r="I211" s="16" t="n">
        <x:v>11</x:v>
      </x:c>
      <x:c r="J211" s="16" t="n">
        <x:v>72</x:v>
      </x:c>
      <x:c r="K211" s="16" t="n">
        <x:v>24</x:v>
      </x:c>
      <x:c r="L211" s="16" t="n">
        <x:v>68</x:v>
      </x:c>
      <x:c r="M211" s="16" t="n">
        <x:v>65</x:v>
      </x:c>
      <x:c r="N211" s="16" t="n">
        <x:v>4</x:v>
      </x:c>
      <x:c r="O211" s="16" t="n">
        <x:v>8</x:v>
      </x:c>
      <x:c r="P211" s="16" t="n">
        <x:v>5</x:v>
      </x:c>
      <x:c r="Q211" s="16" t="n">
        <x:v>3</x:v>
      </x:c>
      <x:c r="R211" s="16" t="n">
        <x:v>1</x:v>
      </x:c>
      <x:c r="S211" s="16" t="n">
        <x:v>6</x:v>
      </x:c>
      <x:c r="T211" s="16" t="n">
        <x:v>4</x:v>
      </x:c>
      <x:c r="U211" s="16" t="n">
        <x:v>0</x:v>
      </x:c>
      <x:c r="V211" s="16" t="n">
        <x:v>0</x:v>
      </x:c>
      <x:c r="W211" s="16" t="n">
        <x:v>0</x:v>
      </x:c>
      <x:c r="X211" s="16" t="n">
        <x:v>0</x:v>
      </x:c>
      <x:c r="Y211" s="16" t="n">
        <x:v>0</x:v>
      </x:c>
      <x:c r="Z211" s="16" t="n">
        <x:v>0</x:v>
      </x:c>
      <x:c r="AA211" s="16" t="n">
        <x:v>3</x:v>
      </x:c>
      <x:c r="AB211" s="16" t="n">
        <x:v>11</x:v>
      </x:c>
      <x:c r="AC211" s="16" t="n">
        <x:v>0</x:v>
      </x:c>
      <x:c r="AD211" s="21" t="n">
        <x:f>IF(E211="",MEDIAN($E$2:$E$2237),E211)</x:f>
        <x:v>46097</x:v>
      </x:c>
      <x:c r="AE211" s="17" t="n">
        <x:f>2014-B211</x:f>
        <x:v>58</x:v>
      </x:c>
      <x:c r="AF211" s="17" t="n">
        <x:f>F211+G211</x:f>
        <x:v>1</x:v>
      </x:c>
      <x:c r="AG211" s="21" t="n">
        <x:f>SUM(J211:O211)</x:f>
        <x:v>241</x:v>
      </x:c>
      <x:c r="AH211" s="17" t="n">
        <x:f>SUM(Q211:S211)</x:f>
        <x:v>10</x:v>
      </x:c>
      <x:c r="AI211" s="17" t="n">
        <x:f>SUM(U211:Y211)</x:f>
        <x:v>0</x:v>
      </x:c>
      <x:c r="AJ211" s="17" t="str">
        <x:f>IF(AE211&lt;=34,"≤34",IF(AE211&lt;=44,"35–44",IF(AE211&lt;=54,"45–54",IF(AE211&lt;=64,"55–64","65+"))))</x:f>
        <x:v>55–64</x:v>
      </x:c>
      <x:c r="AK211" s="17" t="str">
        <x:f>IF(AG211&gt;=1000,"High Value",IF(AG211&gt;=300,"Mid Value","Low Value"))</x:f>
        <x:v>Low Value</x:v>
      </x:c>
      <x:c r="AL211" s="17" t="str">
        <x:f>IF(AND(AI211&gt;=1,I211&lt;=50),"Priority 1",IF(AND(AG211&gt;=1000,I211&lt;=60),"Priority 2",IF(I211&lt;=30,"Priority 3","Nurture")))</x:f>
        <x:v>Priority 3</x:v>
      </x:c>
    </x:row>
    <x:row r="212">
      <x:c r="A212" s="16" t="n">
        <x:v>6521</x:v>
      </x:c>
      <x:c r="B212" s="16" t="n">
        <x:v>1954</x:v>
      </x:c>
      <x:c r="C212" s="16" t="str">
        <x:v>Graduation</x:v>
      </x:c>
      <x:c r="D212" s="16" t="str">
        <x:v>Together</x:v>
      </x:c>
      <x:c r="E212" s="16" t="n">
        <x:v>77972</x:v>
      </x:c>
      <x:c r="F212" s="16" t="n">
        <x:v>0</x:v>
      </x:c>
      <x:c r="G212" s="16" t="n">
        <x:v>0</x:v>
      </x:c>
      <x:c r="H212" s="16" t="str">
        <x:v>18-03-2014</x:v>
      </x:c>
      <x:c r="I212" s="16" t="n">
        <x:v>18</x:v>
      </x:c>
      <x:c r="J212" s="16" t="n">
        <x:v>613</x:v>
      </x:c>
      <x:c r="K212" s="16" t="n">
        <x:v>22</x:v>
      </x:c>
      <x:c r="L212" s="16" t="n">
        <x:v>319</x:v>
      </x:c>
      <x:c r="M212" s="16" t="n">
        <x:v>33</x:v>
      </x:c>
      <x:c r="N212" s="16" t="n">
        <x:v>102</x:v>
      </x:c>
      <x:c r="O212" s="16" t="n">
        <x:v>12</x:v>
      </x:c>
      <x:c r="P212" s="16" t="n">
        <x:v>1</x:v>
      </x:c>
      <x:c r="Q212" s="16" t="n">
        <x:v>4</x:v>
      </x:c>
      <x:c r="R212" s="16" t="n">
        <x:v>6</x:v>
      </x:c>
      <x:c r="S212" s="16" t="n">
        <x:v>9</x:v>
      </x:c>
      <x:c r="T212" s="16" t="n">
        <x:v>1</x:v>
      </x:c>
      <x:c r="U212" s="16" t="n">
        <x:v>0</x:v>
      </x:c>
      <x:c r="V212" s="16" t="n">
        <x:v>0</x:v>
      </x:c>
      <x:c r="W212" s="16" t="n">
        <x:v>0</x:v>
      </x:c>
      <x:c r="X212" s="16" t="n">
        <x:v>0</x:v>
      </x:c>
      <x:c r="Y212" s="16" t="n">
        <x:v>0</x:v>
      </x:c>
      <x:c r="Z212" s="16" t="n">
        <x:v>0</x:v>
      </x:c>
      <x:c r="AA212" s="16" t="n">
        <x:v>3</x:v>
      </x:c>
      <x:c r="AB212" s="16" t="n">
        <x:v>11</x:v>
      </x:c>
      <x:c r="AC212" s="16" t="n">
        <x:v>0</x:v>
      </x:c>
      <x:c r="AD212" s="21" t="n">
        <x:f>IF(E212="",MEDIAN($E$2:$E$2237),E212)</x:f>
        <x:v>77972</x:v>
      </x:c>
      <x:c r="AE212" s="17" t="n">
        <x:f>2014-B212</x:f>
        <x:v>60</x:v>
      </x:c>
      <x:c r="AF212" s="17" t="n">
        <x:f>F212+G212</x:f>
        <x:v>0</x:v>
      </x:c>
      <x:c r="AG212" s="21" t="n">
        <x:f>SUM(J212:O212)</x:f>
        <x:v>1101</x:v>
      </x:c>
      <x:c r="AH212" s="17" t="n">
        <x:f>SUM(Q212:S212)</x:f>
        <x:v>19</x:v>
      </x:c>
      <x:c r="AI212" s="17" t="n">
        <x:f>SUM(U212:Y212)</x:f>
        <x:v>0</x:v>
      </x:c>
      <x:c r="AJ212" s="17" t="str">
        <x:f>IF(AE212&lt;=34,"≤34",IF(AE212&lt;=44,"35–44",IF(AE212&lt;=54,"45–54",IF(AE212&lt;=64,"55–64","65+"))))</x:f>
        <x:v>55–64</x:v>
      </x:c>
      <x:c r="AK212" s="17" t="str">
        <x:f>IF(AG212&gt;=1000,"High Value",IF(AG212&gt;=300,"Mid Value","Low Value"))</x:f>
        <x:v>High Value</x:v>
      </x:c>
      <x:c r="AL212" s="17" t="str">
        <x:f>IF(AND(AI212&gt;=1,I212&lt;=50),"Priority 1",IF(AND(AG212&gt;=1000,I212&lt;=60),"Priority 2",IF(I212&lt;=30,"Priority 3","Nurture")))</x:f>
        <x:v>Priority 2</x:v>
      </x:c>
    </x:row>
    <x:row r="213">
      <x:c r="A213" s="16" t="n">
        <x:v>6927</x:v>
      </x:c>
      <x:c r="B213" s="16" t="n">
        <x:v>1968</x:v>
      </x:c>
      <x:c r="C213" s="16" t="str">
        <x:v>PhD</x:v>
      </x:c>
      <x:c r="D213" s="16" t="str">
        <x:v>Married</x:v>
      </x:c>
      <x:c r="E213" s="16" t="n">
        <x:v>44377</x:v>
      </x:c>
      <x:c r="F213" s="16" t="n">
        <x:v>1</x:v>
      </x:c>
      <x:c r="G213" s="16" t="n">
        <x:v>1</x:v>
      </x:c>
      <x:c r="H213" s="16" t="str">
        <x:v>05-10-2012</x:v>
      </x:c>
      <x:c r="I213" s="16" t="n">
        <x:v>70</x:v>
      </x:c>
      <x:c r="J213" s="16" t="n">
        <x:v>224</x:v>
      </x:c>
      <x:c r="K213" s="16" t="n">
        <x:v>0</x:v>
      </x:c>
      <x:c r="L213" s="16" t="n">
        <x:v>30</x:v>
      </x:c>
      <x:c r="M213" s="16" t="n">
        <x:v>0</x:v>
      </x:c>
      <x:c r="N213" s="16" t="n">
        <x:v>0</x:v>
      </x:c>
      <x:c r="O213" s="16" t="n">
        <x:v>10</x:v>
      </x:c>
      <x:c r="P213" s="16" t="n">
        <x:v>8</x:v>
      </x:c>
      <x:c r="Q213" s="16" t="n">
        <x:v>5</x:v>
      </x:c>
      <x:c r="R213" s="16" t="n">
        <x:v>1</x:v>
      </x:c>
      <x:c r="S213" s="16" t="n">
        <x:v>5</x:v>
      </x:c>
      <x:c r="T213" s="16" t="n">
        <x:v>8</x:v>
      </x:c>
      <x:c r="U213" s="16" t="n">
        <x:v>0</x:v>
      </x:c>
      <x:c r="V213" s="16" t="n">
        <x:v>0</x:v>
      </x:c>
      <x:c r="W213" s="16" t="n">
        <x:v>0</x:v>
      </x:c>
      <x:c r="X213" s="16" t="n">
        <x:v>0</x:v>
      </x:c>
      <x:c r="Y213" s="16" t="n">
        <x:v>0</x:v>
      </x:c>
      <x:c r="Z213" s="16" t="n">
        <x:v>0</x:v>
      </x:c>
      <x:c r="AA213" s="16" t="n">
        <x:v>3</x:v>
      </x:c>
      <x:c r="AB213" s="16" t="n">
        <x:v>11</x:v>
      </x:c>
      <x:c r="AC213" s="16" t="n">
        <x:v>0</x:v>
      </x:c>
      <x:c r="AD213" s="21" t="n">
        <x:f>IF(E213="",MEDIAN($E$2:$E$2237),E213)</x:f>
        <x:v>44377</x:v>
      </x:c>
      <x:c r="AE213" s="17" t="n">
        <x:f>2014-B213</x:f>
        <x:v>46</x:v>
      </x:c>
      <x:c r="AF213" s="17" t="n">
        <x:f>F213+G213</x:f>
        <x:v>2</x:v>
      </x:c>
      <x:c r="AG213" s="21" t="n">
        <x:f>SUM(J213:O213)</x:f>
        <x:v>264</x:v>
      </x:c>
      <x:c r="AH213" s="17" t="n">
        <x:f>SUM(Q213:S213)</x:f>
        <x:v>11</x:v>
      </x:c>
      <x:c r="AI213" s="17" t="n">
        <x:f>SUM(U213:Y213)</x:f>
        <x:v>0</x:v>
      </x:c>
      <x:c r="AJ213" s="17" t="str">
        <x:f>IF(AE213&lt;=34,"≤34",IF(AE213&lt;=44,"35–44",IF(AE213&lt;=54,"45–54",IF(AE213&lt;=64,"55–64","65+"))))</x:f>
        <x:v>45–54</x:v>
      </x:c>
      <x:c r="AK213" s="17" t="str">
        <x:f>IF(AG213&gt;=1000,"High Value",IF(AG213&gt;=300,"Mid Value","Low Value"))</x:f>
        <x:v>Low Value</x:v>
      </x:c>
      <x:c r="AL213" s="17" t="str">
        <x:f>IF(AND(AI213&gt;=1,I213&lt;=50),"Priority 1",IF(AND(AG213&gt;=1000,I213&lt;=60),"Priority 2",IF(I213&lt;=30,"Priority 3","Nurture")))</x:f>
        <x:v>Nurture</x:v>
      </x:c>
    </x:row>
    <x:row r="214">
      <x:c r="A214" s="16" t="n">
        <x:v>2877</x:v>
      </x:c>
      <x:c r="B214" s="16" t="n">
        <x:v>1974</x:v>
      </x:c>
      <x:c r="C214" s="16" t="str">
        <x:v>Master</x:v>
      </x:c>
      <x:c r="D214" s="16" t="str">
        <x:v>Together</x:v>
      </x:c>
      <x:c r="E214" s="16" t="n">
        <x:v>46014</x:v>
      </x:c>
      <x:c r="F214" s="16" t="n">
        <x:v>1</x:v>
      </x:c>
      <x:c r="G214" s="16" t="n">
        <x:v>1</x:v>
      </x:c>
      <x:c r="H214" s="16" t="str">
        <x:v>21-01-2013</x:v>
      </x:c>
      <x:c r="I214" s="16" t="n">
        <x:v>21</x:v>
      </x:c>
      <x:c r="J214" s="16" t="n">
        <x:v>410</x:v>
      </x:c>
      <x:c r="K214" s="16" t="n">
        <x:v>0</x:v>
      </x:c>
      <x:c r="L214" s="16" t="n">
        <x:v>59</x:v>
      </x:c>
      <x:c r="M214" s="16" t="n">
        <x:v>19</x:v>
      </x:c>
      <x:c r="N214" s="16" t="n">
        <x:v>9</x:v>
      </x:c>
      <x:c r="O214" s="16" t="n">
        <x:v>44</x:v>
      </x:c>
      <x:c r="P214" s="16" t="n">
        <x:v>10</x:v>
      </x:c>
      <x:c r="Q214" s="16" t="n">
        <x:v>7</x:v>
      </x:c>
      <x:c r="R214" s="16" t="n">
        <x:v>1</x:v>
      </x:c>
      <x:c r="S214" s="16" t="n">
        <x:v>8</x:v>
      </x:c>
      <x:c r="T214" s="16" t="n">
        <x:v>7</x:v>
      </x:c>
      <x:c r="U214" s="16" t="n">
        <x:v>0</x:v>
      </x:c>
      <x:c r="V214" s="16" t="n">
        <x:v>0</x:v>
      </x:c>
      <x:c r="W214" s="16" t="n">
        <x:v>0</x:v>
      </x:c>
      <x:c r="X214" s="16" t="n">
        <x:v>0</x:v>
      </x:c>
      <x:c r="Y214" s="16" t="n">
        <x:v>0</x:v>
      </x:c>
      <x:c r="Z214" s="16" t="n">
        <x:v>0</x:v>
      </x:c>
      <x:c r="AA214" s="16" t="n">
        <x:v>3</x:v>
      </x:c>
      <x:c r="AB214" s="16" t="n">
        <x:v>11</x:v>
      </x:c>
      <x:c r="AC214" s="16" t="n">
        <x:v>0</x:v>
      </x:c>
      <x:c r="AD214" s="21" t="n">
        <x:f>IF(E214="",MEDIAN($E$2:$E$2237),E214)</x:f>
        <x:v>46014</x:v>
      </x:c>
      <x:c r="AE214" s="17" t="n">
        <x:f>2014-B214</x:f>
        <x:v>40</x:v>
      </x:c>
      <x:c r="AF214" s="17" t="n">
        <x:f>F214+G214</x:f>
        <x:v>2</x:v>
      </x:c>
      <x:c r="AG214" s="21" t="n">
        <x:f>SUM(J214:O214)</x:f>
        <x:v>541</x:v>
      </x:c>
      <x:c r="AH214" s="17" t="n">
        <x:f>SUM(Q214:S214)</x:f>
        <x:v>16</x:v>
      </x:c>
      <x:c r="AI214" s="17" t="n">
        <x:f>SUM(U214:Y214)</x:f>
        <x:v>0</x:v>
      </x:c>
      <x:c r="AJ214" s="17" t="str">
        <x:f>IF(AE214&lt;=34,"≤34",IF(AE214&lt;=44,"35–44",IF(AE214&lt;=54,"45–54",IF(AE214&lt;=64,"55–64","65+"))))</x:f>
        <x:v>35–44</x:v>
      </x:c>
      <x:c r="AK214" s="17" t="str">
        <x:f>IF(AG214&gt;=1000,"High Value",IF(AG214&gt;=300,"Mid Value","Low Value"))</x:f>
        <x:v>Mid Value</x:v>
      </x:c>
      <x:c r="AL214" s="17" t="str">
        <x:f>IF(AND(AI214&gt;=1,I214&lt;=50),"Priority 1",IF(AND(AG214&gt;=1000,I214&lt;=60),"Priority 2",IF(I214&lt;=30,"Priority 3","Nurture")))</x:f>
        <x:v>Priority 3</x:v>
      </x:c>
    </x:row>
    <x:row r="215">
      <x:c r="A215" s="16" t="n">
        <x:v>0</x:v>
      </x:c>
      <x:c r="B215" s="16" t="n">
        <x:v>1985</x:v>
      </x:c>
      <x:c r="C215" s="16" t="str">
        <x:v>Graduation</x:v>
      </x:c>
      <x:c r="D215" s="16" t="str">
        <x:v>Married</x:v>
      </x:c>
      <x:c r="E215" s="16" t="n">
        <x:v>70951</x:v>
      </x:c>
      <x:c r="F215" s="16" t="n">
        <x:v>0</x:v>
      </x:c>
      <x:c r="G215" s="16" t="n">
        <x:v>0</x:v>
      </x:c>
      <x:c r="H215" s="16" t="str">
        <x:v>04-05-2013</x:v>
      </x:c>
      <x:c r="I215" s="16" t="n">
        <x:v>66</x:v>
      </x:c>
      <x:c r="J215" s="16" t="n">
        <x:v>239</x:v>
      </x:c>
      <x:c r="K215" s="16" t="n">
        <x:v>10</x:v>
      </x:c>
      <x:c r="L215" s="16" t="n">
        <x:v>554</x:v>
      </x:c>
      <x:c r="M215" s="16" t="n">
        <x:v>254</x:v>
      </x:c>
      <x:c r="N215" s="16" t="n">
        <x:v>87</x:v>
      </x:c>
      <x:c r="O215" s="16" t="n">
        <x:v>54</x:v>
      </x:c>
      <x:c r="P215" s="16" t="n">
        <x:v>1</x:v>
      </x:c>
      <x:c r="Q215" s="16" t="n">
        <x:v>3</x:v>
      </x:c>
      <x:c r="R215" s="16" t="n">
        <x:v>4</x:v>
      </x:c>
      <x:c r="S215" s="16" t="n">
        <x:v>9</x:v>
      </x:c>
      <x:c r="T215" s="16" t="n">
        <x:v>1</x:v>
      </x:c>
      <x:c r="U215" s="16" t="n">
        <x:v>0</x:v>
      </x:c>
      <x:c r="V215" s="16" t="n">
        <x:v>0</x:v>
      </x:c>
      <x:c r="W215" s="16" t="n">
        <x:v>0</x:v>
      </x:c>
      <x:c r="X215" s="16" t="n">
        <x:v>0</x:v>
      </x:c>
      <x:c r="Y215" s="16" t="n">
        <x:v>0</x:v>
      </x:c>
      <x:c r="Z215" s="16" t="n">
        <x:v>0</x:v>
      </x:c>
      <x:c r="AA215" s="16" t="n">
        <x:v>3</x:v>
      </x:c>
      <x:c r="AB215" s="16" t="n">
        <x:v>11</x:v>
      </x:c>
      <x:c r="AC215" s="16" t="n">
        <x:v>0</x:v>
      </x:c>
      <x:c r="AD215" s="21" t="n">
        <x:f>IF(E215="",MEDIAN($E$2:$E$2237),E215)</x:f>
        <x:v>70951</x:v>
      </x:c>
      <x:c r="AE215" s="17" t="n">
        <x:f>2014-B215</x:f>
        <x:v>29</x:v>
      </x:c>
      <x:c r="AF215" s="17" t="n">
        <x:f>F215+G215</x:f>
        <x:v>0</x:v>
      </x:c>
      <x:c r="AG215" s="21" t="n">
        <x:f>SUM(J215:O215)</x:f>
        <x:v>1198</x:v>
      </x:c>
      <x:c r="AH215" s="17" t="n">
        <x:f>SUM(Q215:S215)</x:f>
        <x:v>16</x:v>
      </x:c>
      <x:c r="AI215" s="17" t="n">
        <x:f>SUM(U215:Y215)</x:f>
        <x:v>0</x:v>
      </x:c>
      <x:c r="AJ215" s="17" t="str">
        <x:f>IF(AE215&lt;=34,"≤34",IF(AE215&lt;=44,"35–44",IF(AE215&lt;=54,"45–54",IF(AE215&lt;=64,"55–64","65+"))))</x:f>
        <x:v>≤34</x:v>
      </x:c>
      <x:c r="AK215" s="17" t="str">
        <x:f>IF(AG215&gt;=1000,"High Value",IF(AG215&gt;=300,"Mid Value","Low Value"))</x:f>
        <x:v>High Value</x:v>
      </x:c>
      <x:c r="AL215" s="17" t="str">
        <x:f>IF(AND(AI215&gt;=1,I215&lt;=50),"Priority 1",IF(AND(AG215&gt;=1000,I215&lt;=60),"Priority 2",IF(I215&lt;=30,"Priority 3","Nurture")))</x:f>
        <x:v>Nurture</x:v>
      </x:c>
    </x:row>
    <x:row r="216">
      <x:c r="A216" s="16" t="n">
        <x:v>1584</x:v>
      </x:c>
      <x:c r="B216" s="16" t="n">
        <x:v>1977</x:v>
      </x:c>
      <x:c r="C216" s="16" t="str">
        <x:v>Graduation</x:v>
      </x:c>
      <x:c r="D216" s="16" t="str">
        <x:v>Married</x:v>
      </x:c>
      <x:c r="E216" s="16" t="n">
        <x:v>41443</x:v>
      </x:c>
      <x:c r="F216" s="16" t="n">
        <x:v>1</x:v>
      </x:c>
      <x:c r="G216" s="16" t="n">
        <x:v>0</x:v>
      </x:c>
      <x:c r="H216" s="16" t="str">
        <x:v>01-04-2014</x:v>
      </x:c>
      <x:c r="I216" s="16" t="n">
        <x:v>79</x:v>
      </x:c>
      <x:c r="J216" s="16" t="n">
        <x:v>171</x:v>
      </x:c>
      <x:c r="K216" s="16" t="n">
        <x:v>7</x:v>
      </x:c>
      <x:c r="L216" s="16" t="n">
        <x:v>171</x:v>
      </x:c>
      <x:c r="M216" s="16" t="n">
        <x:v>25</x:v>
      </x:c>
      <x:c r="N216" s="16" t="n">
        <x:v>19</x:v>
      </x:c>
      <x:c r="O216" s="16" t="n">
        <x:v>89</x:v>
      </x:c>
      <x:c r="P216" s="16" t="n">
        <x:v>6</x:v>
      </x:c>
      <x:c r="Q216" s="16" t="n">
        <x:v>8</x:v>
      </x:c>
      <x:c r="R216" s="16" t="n">
        <x:v>1</x:v>
      </x:c>
      <x:c r="S216" s="16" t="n">
        <x:v>5</x:v>
      </x:c>
      <x:c r="T216" s="16" t="n">
        <x:v>8</x:v>
      </x:c>
      <x:c r="U216" s="16" t="n">
        <x:v>0</x:v>
      </x:c>
      <x:c r="V216" s="16" t="n">
        <x:v>0</x:v>
      </x:c>
      <x:c r="W216" s="16" t="n">
        <x:v>0</x:v>
      </x:c>
      <x:c r="X216" s="16" t="n">
        <x:v>0</x:v>
      </x:c>
      <x:c r="Y216" s="16" t="n">
        <x:v>0</x:v>
      </x:c>
      <x:c r="Z216" s="16" t="n">
        <x:v>0</x:v>
      </x:c>
      <x:c r="AA216" s="16" t="n">
        <x:v>3</x:v>
      </x:c>
      <x:c r="AB216" s="16" t="n">
        <x:v>11</x:v>
      </x:c>
      <x:c r="AC216" s="16" t="n">
        <x:v>0</x:v>
      </x:c>
      <x:c r="AD216" s="21" t="n">
        <x:f>IF(E216="",MEDIAN($E$2:$E$2237),E216)</x:f>
        <x:v>41443</x:v>
      </x:c>
      <x:c r="AE216" s="17" t="n">
        <x:f>2014-B216</x:f>
        <x:v>37</x:v>
      </x:c>
      <x:c r="AF216" s="17" t="n">
        <x:f>F216+G216</x:f>
        <x:v>1</x:v>
      </x:c>
      <x:c r="AG216" s="21" t="n">
        <x:f>SUM(J216:O216)</x:f>
        <x:v>482</x:v>
      </x:c>
      <x:c r="AH216" s="17" t="n">
        <x:f>SUM(Q216:S216)</x:f>
        <x:v>14</x:v>
      </x:c>
      <x:c r="AI216" s="17" t="n">
        <x:f>SUM(U216:Y216)</x:f>
        <x:v>0</x:v>
      </x:c>
      <x:c r="AJ216" s="17" t="str">
        <x:f>IF(AE216&lt;=34,"≤34",IF(AE216&lt;=44,"35–44",IF(AE216&lt;=54,"45–54",IF(AE216&lt;=64,"55–64","65+"))))</x:f>
        <x:v>35–44</x:v>
      </x:c>
      <x:c r="AK216" s="17" t="str">
        <x:f>IF(AG216&gt;=1000,"High Value",IF(AG216&gt;=300,"Mid Value","Low Value"))</x:f>
        <x:v>Mid Value</x:v>
      </x:c>
      <x:c r="AL216" s="17" t="str">
        <x:f>IF(AND(AI216&gt;=1,I216&lt;=50),"Priority 1",IF(AND(AG216&gt;=1000,I216&lt;=60),"Priority 2",IF(I216&lt;=30,"Priority 3","Nurture")))</x:f>
        <x:v>Nurture</x:v>
      </x:c>
    </x:row>
    <x:row r="217">
      <x:c r="A217" s="16" t="n">
        <x:v>7264</x:v>
      </x:c>
      <x:c r="B217" s="16" t="n">
        <x:v>1978</x:v>
      </x:c>
      <x:c r="C217" s="16" t="str">
        <x:v>2n Cycle</x:v>
      </x:c>
      <x:c r="D217" s="16" t="str">
        <x:v>Single</x:v>
      </x:c>
      <x:c r="E217" s="16" t="n">
        <x:v>52195</x:v>
      </x:c>
      <x:c r="F217" s="16" t="n">
        <x:v>2</x:v>
      </x:c>
      <x:c r="G217" s="16" t="n">
        <x:v>1</x:v>
      </x:c>
      <x:c r="H217" s="16" t="str">
        <x:v>12-05-2014</x:v>
      </x:c>
      <x:c r="I217" s="16" t="n">
        <x:v>2</x:v>
      </x:c>
      <x:c r="J217" s="16" t="n">
        <x:v>12</x:v>
      </x:c>
      <x:c r="K217" s="16" t="n">
        <x:v>0</x:v>
      </x:c>
      <x:c r="L217" s="16" t="n">
        <x:v>4</x:v>
      </x:c>
      <x:c r="M217" s="16" t="n">
        <x:v>0</x:v>
      </x:c>
      <x:c r="N217" s="16" t="n">
        <x:v>0</x:v>
      </x:c>
      <x:c r="O217" s="16" t="n">
        <x:v>1</x:v>
      </x:c>
      <x:c r="P217" s="16" t="n">
        <x:v>1</x:v>
      </x:c>
      <x:c r="Q217" s="16" t="n">
        <x:v>1</x:v>
      </x:c>
      <x:c r="R217" s="16" t="n">
        <x:v>0</x:v>
      </x:c>
      <x:c r="S217" s="16" t="n">
        <x:v>2</x:v>
      </x:c>
      <x:c r="T217" s="16" t="n">
        <x:v>8</x:v>
      </x:c>
      <x:c r="U217" s="16" t="n">
        <x:v>0</x:v>
      </x:c>
      <x:c r="V217" s="16" t="n">
        <x:v>0</x:v>
      </x:c>
      <x:c r="W217" s="16" t="n">
        <x:v>0</x:v>
      </x:c>
      <x:c r="X217" s="16" t="n">
        <x:v>0</x:v>
      </x:c>
      <x:c r="Y217" s="16" t="n">
        <x:v>0</x:v>
      </x:c>
      <x:c r="Z217" s="16" t="n">
        <x:v>0</x:v>
      </x:c>
      <x:c r="AA217" s="16" t="n">
        <x:v>3</x:v>
      </x:c>
      <x:c r="AB217" s="16" t="n">
        <x:v>11</x:v>
      </x:c>
      <x:c r="AC217" s="16" t="n">
        <x:v>0</x:v>
      </x:c>
      <x:c r="AD217" s="21" t="n">
        <x:f>IF(E217="",MEDIAN($E$2:$E$2237),E217)</x:f>
        <x:v>52195</x:v>
      </x:c>
      <x:c r="AE217" s="17" t="n">
        <x:f>2014-B217</x:f>
        <x:v>36</x:v>
      </x:c>
      <x:c r="AF217" s="17" t="n">
        <x:f>F217+G217</x:f>
        <x:v>3</x:v>
      </x:c>
      <x:c r="AG217" s="21" t="n">
        <x:f>SUM(J217:O217)</x:f>
        <x:v>17</x:v>
      </x:c>
      <x:c r="AH217" s="17" t="n">
        <x:f>SUM(Q217:S217)</x:f>
        <x:v>3</x:v>
      </x:c>
      <x:c r="AI217" s="17" t="n">
        <x:f>SUM(U217:Y217)</x:f>
        <x:v>0</x:v>
      </x:c>
      <x:c r="AJ217" s="17" t="str">
        <x:f>IF(AE217&lt;=34,"≤34",IF(AE217&lt;=44,"35–44",IF(AE217&lt;=54,"45–54",IF(AE217&lt;=64,"55–64","65+"))))</x:f>
        <x:v>35–44</x:v>
      </x:c>
      <x:c r="AK217" s="17" t="str">
        <x:f>IF(AG217&gt;=1000,"High Value",IF(AG217&gt;=300,"Mid Value","Low Value"))</x:f>
        <x:v>Low Value</x:v>
      </x:c>
      <x:c r="AL217" s="17" t="str">
        <x:f>IF(AND(AI217&gt;=1,I217&lt;=50),"Priority 1",IF(AND(AG217&gt;=1000,I217&lt;=60),"Priority 2",IF(I217&lt;=30,"Priority 3","Nurture")))</x:f>
        <x:v>Priority 3</x:v>
      </x:c>
    </x:row>
    <x:row r="218">
      <x:c r="A218" s="16" t="n">
        <x:v>6274</x:v>
      </x:c>
      <x:c r="B218" s="16" t="n">
        <x:v>1948</x:v>
      </x:c>
      <x:c r="C218" s="16" t="str">
        <x:v>Master</x:v>
      </x:c>
      <x:c r="D218" s="16" t="str">
        <x:v>Married</x:v>
      </x:c>
      <x:c r="E218" s="16" t="n">
        <x:v>83790</x:v>
      </x:c>
      <x:c r="F218" s="16" t="n">
        <x:v>0</x:v>
      </x:c>
      <x:c r="G218" s="16" t="n">
        <x:v>0</x:v>
      </x:c>
      <x:c r="H218" s="16" t="str">
        <x:v>15-11-2013</x:v>
      </x:c>
      <x:c r="I218" s="16" t="n">
        <x:v>81</x:v>
      </x:c>
      <x:c r="J218" s="16" t="n">
        <x:v>1076</x:v>
      </x:c>
      <x:c r="K218" s="16" t="n">
        <x:v>16</x:v>
      </x:c>
      <x:c r="L218" s="16" t="n">
        <x:v>417</x:v>
      </x:c>
      <x:c r="M218" s="16" t="n">
        <x:v>42</x:v>
      </x:c>
      <x:c r="N218" s="16" t="n">
        <x:v>48</x:v>
      </x:c>
      <x:c r="O218" s="16" t="n">
        <x:v>16</x:v>
      </x:c>
      <x:c r="P218" s="16" t="n">
        <x:v>1</x:v>
      </x:c>
      <x:c r="Q218" s="16" t="n">
        <x:v>8</x:v>
      </x:c>
      <x:c r="R218" s="16" t="n">
        <x:v>10</x:v>
      </x:c>
      <x:c r="S218" s="16" t="n">
        <x:v>6</x:v>
      </x:c>
      <x:c r="T218" s="16" t="n">
        <x:v>3</x:v>
      </x:c>
      <x:c r="U218" s="16" t="n">
        <x:v>0</x:v>
      </x:c>
      <x:c r="V218" s="16" t="n">
        <x:v>1</x:v>
      </x:c>
      <x:c r="W218" s="16" t="n">
        <x:v>1</x:v>
      </x:c>
      <x:c r="X218" s="16" t="n">
        <x:v>0</x:v>
      </x:c>
      <x:c r="Y218" s="16" t="n">
        <x:v>0</x:v>
      </x:c>
      <x:c r="Z218" s="16" t="n">
        <x:v>0</x:v>
      </x:c>
      <x:c r="AA218" s="16" t="n">
        <x:v>3</x:v>
      </x:c>
      <x:c r="AB218" s="16" t="n">
        <x:v>11</x:v>
      </x:c>
      <x:c r="AC218" s="16" t="n">
        <x:v>0</x:v>
      </x:c>
      <x:c r="AD218" s="21" t="n">
        <x:f>IF(E218="",MEDIAN($E$2:$E$2237),E218)</x:f>
        <x:v>83790</x:v>
      </x:c>
      <x:c r="AE218" s="17" t="n">
        <x:f>2014-B218</x:f>
        <x:v>66</x:v>
      </x:c>
      <x:c r="AF218" s="17" t="n">
        <x:f>F218+G218</x:f>
        <x:v>0</x:v>
      </x:c>
      <x:c r="AG218" s="21" t="n">
        <x:f>SUM(J218:O218)</x:f>
        <x:v>1615</x:v>
      </x:c>
      <x:c r="AH218" s="17" t="n">
        <x:f>SUM(Q218:S218)</x:f>
        <x:v>24</x:v>
      </x:c>
      <x:c r="AI218" s="17" t="n">
        <x:f>SUM(U218:Y218)</x:f>
        <x:v>2</x:v>
      </x:c>
      <x:c r="AJ218" s="17" t="str">
        <x:f>IF(AE218&lt;=34,"≤34",IF(AE218&lt;=44,"35–44",IF(AE218&lt;=54,"45–54",IF(AE218&lt;=64,"55–64","65+"))))</x:f>
        <x:v>65+</x:v>
      </x:c>
      <x:c r="AK218" s="17" t="str">
        <x:f>IF(AG218&gt;=1000,"High Value",IF(AG218&gt;=300,"Mid Value","Low Value"))</x:f>
        <x:v>High Value</x:v>
      </x:c>
      <x:c r="AL218" s="17" t="str">
        <x:f>IF(AND(AI218&gt;=1,I218&lt;=50),"Priority 1",IF(AND(AG218&gt;=1000,I218&lt;=60),"Priority 2",IF(I218&lt;=30,"Priority 3","Nurture")))</x:f>
        <x:v>Nurture</x:v>
      </x:c>
    </x:row>
    <x:row r="219">
      <x:c r="A219" s="16" t="n">
        <x:v>1377</x:v>
      </x:c>
      <x:c r="B219" s="16" t="n">
        <x:v>1954</x:v>
      </x:c>
      <x:c r="C219" s="16" t="str">
        <x:v>Master</x:v>
      </x:c>
      <x:c r="D219" s="16" t="str">
        <x:v>Widow</x:v>
      </x:c>
      <x:c r="E219" s="16" t="n">
        <x:v>44551</x:v>
      </x:c>
      <x:c r="F219" s="16" t="n">
        <x:v>0</x:v>
      </x:c>
      <x:c r="G219" s="16" t="n">
        <x:v>1</x:v>
      </x:c>
      <x:c r="H219" s="16" t="str">
        <x:v>31-08-2013</x:v>
      </x:c>
      <x:c r="I219" s="16" t="n">
        <x:v>24</x:v>
      </x:c>
      <x:c r="J219" s="16" t="n">
        <x:v>182</x:v>
      </x:c>
      <x:c r="K219" s="16" t="n">
        <x:v>4</x:v>
      </x:c>
      <x:c r="L219" s="16" t="n">
        <x:v>33</x:v>
      </x:c>
      <x:c r="M219" s="16" t="n">
        <x:v>0</x:v>
      </x:c>
      <x:c r="N219" s="16" t="n">
        <x:v>0</x:v>
      </x:c>
      <x:c r="O219" s="16" t="n">
        <x:v>66</x:v>
      </x:c>
      <x:c r="P219" s="16" t="n">
        <x:v>2</x:v>
      </x:c>
      <x:c r="Q219" s="16" t="n">
        <x:v>4</x:v>
      </x:c>
      <x:c r="R219" s="16" t="n">
        <x:v>1</x:v>
      </x:c>
      <x:c r="S219" s="16" t="n">
        <x:v>5</x:v>
      </x:c>
      <x:c r="T219" s="16" t="n">
        <x:v>7</x:v>
      </x:c>
      <x:c r="U219" s="16" t="n">
        <x:v>0</x:v>
      </x:c>
      <x:c r="V219" s="16" t="n">
        <x:v>0</x:v>
      </x:c>
      <x:c r="W219" s="16" t="n">
        <x:v>0</x:v>
      </x:c>
      <x:c r="X219" s="16" t="n">
        <x:v>0</x:v>
      </x:c>
      <x:c r="Y219" s="16" t="n">
        <x:v>0</x:v>
      </x:c>
      <x:c r="Z219" s="16" t="n">
        <x:v>0</x:v>
      </x:c>
      <x:c r="AA219" s="16" t="n">
        <x:v>3</x:v>
      </x:c>
      <x:c r="AB219" s="16" t="n">
        <x:v>11</x:v>
      </x:c>
      <x:c r="AC219" s="16" t="n">
        <x:v>0</x:v>
      </x:c>
      <x:c r="AD219" s="21" t="n">
        <x:f>IF(E219="",MEDIAN($E$2:$E$2237),E219)</x:f>
        <x:v>44551</x:v>
      </x:c>
      <x:c r="AE219" s="17" t="n">
        <x:f>2014-B219</x:f>
        <x:v>60</x:v>
      </x:c>
      <x:c r="AF219" s="17" t="n">
        <x:f>F219+G219</x:f>
        <x:v>1</x:v>
      </x:c>
      <x:c r="AG219" s="21" t="n">
        <x:f>SUM(J219:O219)</x:f>
        <x:v>285</x:v>
      </x:c>
      <x:c r="AH219" s="17" t="n">
        <x:f>SUM(Q219:S219)</x:f>
        <x:v>10</x:v>
      </x:c>
      <x:c r="AI219" s="17" t="n">
        <x:f>SUM(U219:Y219)</x:f>
        <x:v>0</x:v>
      </x:c>
      <x:c r="AJ219" s="17" t="str">
        <x:f>IF(AE219&lt;=34,"≤34",IF(AE219&lt;=44,"35–44",IF(AE219&lt;=54,"45–54",IF(AE219&lt;=64,"55–64","65+"))))</x:f>
        <x:v>55–64</x:v>
      </x:c>
      <x:c r="AK219" s="17" t="str">
        <x:f>IF(AG219&gt;=1000,"High Value",IF(AG219&gt;=300,"Mid Value","Low Value"))</x:f>
        <x:v>Low Value</x:v>
      </x:c>
      <x:c r="AL219" s="17" t="str">
        <x:f>IF(AND(AI219&gt;=1,I219&lt;=50),"Priority 1",IF(AND(AG219&gt;=1000,I219&lt;=60),"Priority 2",IF(I219&lt;=30,"Priority 3","Nurture")))</x:f>
        <x:v>Priority 3</x:v>
      </x:c>
    </x:row>
    <x:row r="220">
      <x:c r="A220" s="16" t="n">
        <x:v>454</x:v>
      </x:c>
      <x:c r="B220" s="16" t="n">
        <x:v>1980</x:v>
      </x:c>
      <x:c r="C220" s="16" t="str">
        <x:v>Graduation</x:v>
      </x:c>
      <x:c r="D220" s="16" t="str">
        <x:v>Together</x:v>
      </x:c>
      <x:c r="E220" s="16" t="n">
        <x:v>69508</x:v>
      </x:c>
      <x:c r="F220" s="16" t="n">
        <x:v>1</x:v>
      </x:c>
      <x:c r="G220" s="16" t="n">
        <x:v>0</x:v>
      </x:c>
      <x:c r="H220" s="16" t="str">
        <x:v>14-11-2012</x:v>
      </x:c>
      <x:c r="I220" s="16" t="n">
        <x:v>48</x:v>
      </x:c>
      <x:c r="J220" s="16" t="n">
        <x:v>824</x:v>
      </x:c>
      <x:c r="K220" s="16" t="n">
        <x:v>32</x:v>
      </x:c>
      <x:c r="L220" s="16" t="n">
        <x:v>162</x:v>
      </x:c>
      <x:c r="M220" s="16" t="n">
        <x:v>42</x:v>
      </x:c>
      <x:c r="N220" s="16" t="n">
        <x:v>32</x:v>
      </x:c>
      <x:c r="O220" s="16" t="n">
        <x:v>43</x:v>
      </x:c>
      <x:c r="P220" s="16" t="n">
        <x:v>2</x:v>
      </x:c>
      <x:c r="Q220" s="16" t="n">
        <x:v>11</x:v>
      </x:c>
      <x:c r="R220" s="16" t="n">
        <x:v>4</x:v>
      </x:c>
      <x:c r="S220" s="16" t="n">
        <x:v>11</x:v>
      </x:c>
      <x:c r="T220" s="16" t="n">
        <x:v>6</x:v>
      </x:c>
      <x:c r="U220" s="16" t="n">
        <x:v>0</x:v>
      </x:c>
      <x:c r="V220" s="16" t="n">
        <x:v>0</x:v>
      </x:c>
      <x:c r="W220" s="16" t="n">
        <x:v>0</x:v>
      </x:c>
      <x:c r="X220" s="16" t="n">
        <x:v>0</x:v>
      </x:c>
      <x:c r="Y220" s="16" t="n">
        <x:v>0</x:v>
      </x:c>
      <x:c r="Z220" s="16" t="n">
        <x:v>0</x:v>
      </x:c>
      <x:c r="AA220" s="16" t="n">
        <x:v>3</x:v>
      </x:c>
      <x:c r="AB220" s="16" t="n">
        <x:v>11</x:v>
      </x:c>
      <x:c r="AC220" s="16" t="n">
        <x:v>0</x:v>
      </x:c>
      <x:c r="AD220" s="21" t="n">
        <x:f>IF(E220="",MEDIAN($E$2:$E$2237),E220)</x:f>
        <x:v>69508</x:v>
      </x:c>
      <x:c r="AE220" s="17" t="n">
        <x:f>2014-B220</x:f>
        <x:v>34</x:v>
      </x:c>
      <x:c r="AF220" s="17" t="n">
        <x:f>F220+G220</x:f>
        <x:v>1</x:v>
      </x:c>
      <x:c r="AG220" s="21" t="n">
        <x:f>SUM(J220:O220)</x:f>
        <x:v>1135</x:v>
      </x:c>
      <x:c r="AH220" s="17" t="n">
        <x:f>SUM(Q220:S220)</x:f>
        <x:v>26</x:v>
      </x:c>
      <x:c r="AI220" s="17" t="n">
        <x:f>SUM(U220:Y220)</x:f>
        <x:v>0</x:v>
      </x:c>
      <x:c r="AJ220" s="17" t="str">
        <x:f>IF(AE220&lt;=34,"≤34",IF(AE220&lt;=44,"35–44",IF(AE220&lt;=54,"45–54",IF(AE220&lt;=64,"55–64","65+"))))</x:f>
        <x:v>≤34</x:v>
      </x:c>
      <x:c r="AK220" s="17" t="str">
        <x:f>IF(AG220&gt;=1000,"High Value",IF(AG220&gt;=300,"Mid Value","Low Value"))</x:f>
        <x:v>High Value</x:v>
      </x:c>
      <x:c r="AL220" s="17" t="str">
        <x:f>IF(AND(AI220&gt;=1,I220&lt;=50),"Priority 1",IF(AND(AG220&gt;=1000,I220&lt;=60),"Priority 2",IF(I220&lt;=30,"Priority 3","Nurture")))</x:f>
        <x:v>Priority 2</x:v>
      </x:c>
    </x:row>
    <x:row r="221">
      <x:c r="A221" s="16" t="n">
        <x:v>1755</x:v>
      </x:c>
      <x:c r="B221" s="16" t="n">
        <x:v>1988</x:v>
      </x:c>
      <x:c r="C221" s="16" t="str">
        <x:v>2n Cycle</x:v>
      </x:c>
      <x:c r="D221" s="16" t="str">
        <x:v>Together</x:v>
      </x:c>
      <x:c r="E221" s="16" t="n">
        <x:v>45204</x:v>
      </x:c>
      <x:c r="F221" s="16" t="n">
        <x:v>1</x:v>
      </x:c>
      <x:c r="G221" s="16" t="n">
        <x:v>0</x:v>
      </x:c>
      <x:c r="H221" s="16" t="str">
        <x:v>11-04-2014</x:v>
      </x:c>
      <x:c r="I221" s="16" t="n">
        <x:v>93</x:v>
      </x:c>
      <x:c r="J221" s="16" t="n">
        <x:v>30</x:v>
      </x:c>
      <x:c r="K221" s="16" t="n">
        <x:v>11</x:v>
      </x:c>
      <x:c r="L221" s="16" t="n">
        <x:v>25</x:v>
      </x:c>
      <x:c r="M221" s="16" t="n">
        <x:v>29</x:v>
      </x:c>
      <x:c r="N221" s="16" t="n">
        <x:v>1</x:v>
      </x:c>
      <x:c r="O221" s="16" t="n">
        <x:v>18</x:v>
      </x:c>
      <x:c r="P221" s="16" t="n">
        <x:v>1</x:v>
      </x:c>
      <x:c r="Q221" s="16" t="n">
        <x:v>1</x:v>
      </x:c>
      <x:c r="R221" s="16" t="n">
        <x:v>1</x:v>
      </x:c>
      <x:c r="S221" s="16" t="n">
        <x:v>4</x:v>
      </x:c>
      <x:c r="T221" s="16" t="n">
        <x:v>3</x:v>
      </x:c>
      <x:c r="U221" s="16" t="n">
        <x:v>0</x:v>
      </x:c>
      <x:c r="V221" s="16" t="n">
        <x:v>0</x:v>
      </x:c>
      <x:c r="W221" s="16" t="n">
        <x:v>0</x:v>
      </x:c>
      <x:c r="X221" s="16" t="n">
        <x:v>0</x:v>
      </x:c>
      <x:c r="Y221" s="16" t="n">
        <x:v>0</x:v>
      </x:c>
      <x:c r="Z221" s="16" t="n">
        <x:v>0</x:v>
      </x:c>
      <x:c r="AA221" s="16" t="n">
        <x:v>3</x:v>
      </x:c>
      <x:c r="AB221" s="16" t="n">
        <x:v>11</x:v>
      </x:c>
      <x:c r="AC221" s="16" t="n">
        <x:v>0</x:v>
      </x:c>
      <x:c r="AD221" s="21" t="n">
        <x:f>IF(E221="",MEDIAN($E$2:$E$2237),E221)</x:f>
        <x:v>45204</x:v>
      </x:c>
      <x:c r="AE221" s="17" t="n">
        <x:f>2014-B221</x:f>
        <x:v>26</x:v>
      </x:c>
      <x:c r="AF221" s="17" t="n">
        <x:f>F221+G221</x:f>
        <x:v>1</x:v>
      </x:c>
      <x:c r="AG221" s="21" t="n">
        <x:f>SUM(J221:O221)</x:f>
        <x:v>114</x:v>
      </x:c>
      <x:c r="AH221" s="17" t="n">
        <x:f>SUM(Q221:S221)</x:f>
        <x:v>6</x:v>
      </x:c>
      <x:c r="AI221" s="17" t="n">
        <x:f>SUM(U221:Y221)</x:f>
        <x:v>0</x:v>
      </x:c>
      <x:c r="AJ221" s="17" t="str">
        <x:f>IF(AE221&lt;=34,"≤34",IF(AE221&lt;=44,"35–44",IF(AE221&lt;=54,"45–54",IF(AE221&lt;=64,"55–64","65+"))))</x:f>
        <x:v>≤34</x:v>
      </x:c>
      <x:c r="AK221" s="17" t="str">
        <x:f>IF(AG221&gt;=1000,"High Value",IF(AG221&gt;=300,"Mid Value","Low Value"))</x:f>
        <x:v>Low Value</x:v>
      </x:c>
      <x:c r="AL221" s="17" t="str">
        <x:f>IF(AND(AI221&gt;=1,I221&lt;=50),"Priority 1",IF(AND(AG221&gt;=1000,I221&lt;=60),"Priority 2",IF(I221&lt;=30,"Priority 3","Nurture")))</x:f>
        <x:v>Nurture</x:v>
      </x:c>
    </x:row>
    <x:row r="222">
      <x:c r="A222" s="16" t="n">
        <x:v>2075</x:v>
      </x:c>
      <x:c r="B222" s="16" t="n">
        <x:v>1969</x:v>
      </x:c>
      <x:c r="C222" s="16" t="str">
        <x:v>Graduation</x:v>
      </x:c>
      <x:c r="D222" s="16" t="str">
        <x:v>Married</x:v>
      </x:c>
      <x:c r="E222" s="16" t="n">
        <x:v>72460</x:v>
      </x:c>
      <x:c r="F222" s="16" t="n">
        <x:v>0</x:v>
      </x:c>
      <x:c r="G222" s="16" t="n">
        <x:v>0</x:v>
      </x:c>
      <x:c r="H222" s="16" t="str">
        <x:v>14-11-2013</x:v>
      </x:c>
      <x:c r="I222" s="16" t="n">
        <x:v>56</x:v>
      </x:c>
      <x:c r="J222" s="16" t="n">
        <x:v>377</x:v>
      </x:c>
      <x:c r="K222" s="16" t="n">
        <x:v>10</x:v>
      </x:c>
      <x:c r="L222" s="16" t="n">
        <x:v>540</x:v>
      </x:c>
      <x:c r="M222" s="16" t="n">
        <x:v>80</x:v>
      </x:c>
      <x:c r="N222" s="16" t="n">
        <x:v>30</x:v>
      </x:c>
      <x:c r="O222" s="16" t="n">
        <x:v>10</x:v>
      </x:c>
      <x:c r="P222" s="16" t="n">
        <x:v>1</x:v>
      </x:c>
      <x:c r="Q222" s="16" t="n">
        <x:v>3</x:v>
      </x:c>
      <x:c r="R222" s="16" t="n">
        <x:v>5</x:v>
      </x:c>
      <x:c r="S222" s="16" t="n">
        <x:v>7</x:v>
      </x:c>
      <x:c r="T222" s="16" t="n">
        <x:v>1</x:v>
      </x:c>
      <x:c r="U222" s="16" t="n">
        <x:v>0</x:v>
      </x:c>
      <x:c r="V222" s="16" t="n">
        <x:v>0</x:v>
      </x:c>
      <x:c r="W222" s="16" t="n">
        <x:v>0</x:v>
      </x:c>
      <x:c r="X222" s="16" t="n">
        <x:v>0</x:v>
      </x:c>
      <x:c r="Y222" s="16" t="n">
        <x:v>0</x:v>
      </x:c>
      <x:c r="Z222" s="16" t="n">
        <x:v>0</x:v>
      </x:c>
      <x:c r="AA222" s="16" t="n">
        <x:v>3</x:v>
      </x:c>
      <x:c r="AB222" s="16" t="n">
        <x:v>11</x:v>
      </x:c>
      <x:c r="AC222" s="16" t="n">
        <x:v>0</x:v>
      </x:c>
      <x:c r="AD222" s="21" t="n">
        <x:f>IF(E222="",MEDIAN($E$2:$E$2237),E222)</x:f>
        <x:v>72460</x:v>
      </x:c>
      <x:c r="AE222" s="17" t="n">
        <x:f>2014-B222</x:f>
        <x:v>45</x:v>
      </x:c>
      <x:c r="AF222" s="17" t="n">
        <x:f>F222+G222</x:f>
        <x:v>0</x:v>
      </x:c>
      <x:c r="AG222" s="21" t="n">
        <x:f>SUM(J222:O222)</x:f>
        <x:v>1047</x:v>
      </x:c>
      <x:c r="AH222" s="17" t="n">
        <x:f>SUM(Q222:S222)</x:f>
        <x:v>15</x:v>
      </x:c>
      <x:c r="AI222" s="17" t="n">
        <x:f>SUM(U222:Y222)</x:f>
        <x:v>0</x:v>
      </x:c>
      <x:c r="AJ222" s="17" t="str">
        <x:f>IF(AE222&lt;=34,"≤34",IF(AE222&lt;=44,"35–44",IF(AE222&lt;=54,"45–54",IF(AE222&lt;=64,"55–64","65+"))))</x:f>
        <x:v>45–54</x:v>
      </x:c>
      <x:c r="AK222" s="17" t="str">
        <x:f>IF(AG222&gt;=1000,"High Value",IF(AG222&gt;=300,"Mid Value","Low Value"))</x:f>
        <x:v>High Value</x:v>
      </x:c>
      <x:c r="AL222" s="17" t="str">
        <x:f>IF(AND(AI222&gt;=1,I222&lt;=50),"Priority 1",IF(AND(AG222&gt;=1000,I222&lt;=60),"Priority 2",IF(I222&lt;=30,"Priority 3","Nurture")))</x:f>
        <x:v>Priority 2</x:v>
      </x:c>
    </x:row>
    <x:row r="223">
      <x:c r="A223" s="16" t="n">
        <x:v>4785</x:v>
      </x:c>
      <x:c r="B223" s="16" t="n">
        <x:v>1970</x:v>
      </x:c>
      <x:c r="C223" s="16" t="str">
        <x:v>PhD</x:v>
      </x:c>
      <x:c r="D223" s="16" t="str">
        <x:v>Together</x:v>
      </x:c>
      <x:c r="E223" s="16" t="n">
        <x:v>77622</x:v>
      </x:c>
      <x:c r="F223" s="16" t="n">
        <x:v>0</x:v>
      </x:c>
      <x:c r="G223" s="16" t="n">
        <x:v>2</x:v>
      </x:c>
      <x:c r="H223" s="16" t="str">
        <x:v>14-04-2014</x:v>
      </x:c>
      <x:c r="I223" s="16" t="n">
        <x:v>3</x:v>
      </x:c>
      <x:c r="J223" s="16" t="n">
        <x:v>520</x:v>
      </x:c>
      <x:c r="K223" s="16" t="n">
        <x:v>7</x:v>
      </x:c>
      <x:c r="L223" s="16" t="n">
        <x:v>154</x:v>
      </x:c>
      <x:c r="M223" s="16" t="n">
        <x:v>19</x:v>
      </x:c>
      <x:c r="N223" s="16" t="n">
        <x:v>0</x:v>
      </x:c>
      <x:c r="O223" s="16" t="n">
        <x:v>14</x:v>
      </x:c>
      <x:c r="P223" s="16" t="n">
        <x:v>2</x:v>
      </x:c>
      <x:c r="Q223" s="16" t="n">
        <x:v>6</x:v>
      </x:c>
      <x:c r="R223" s="16" t="n">
        <x:v>3</x:v>
      </x:c>
      <x:c r="S223" s="16" t="n">
        <x:v>11</x:v>
      </x:c>
      <x:c r="T223" s="16" t="n">
        <x:v>3</x:v>
      </x:c>
      <x:c r="U223" s="16" t="n">
        <x:v>0</x:v>
      </x:c>
      <x:c r="V223" s="16" t="n">
        <x:v>0</x:v>
      </x:c>
      <x:c r="W223" s="16" t="n">
        <x:v>0</x:v>
      </x:c>
      <x:c r="X223" s="16" t="n">
        <x:v>0</x:v>
      </x:c>
      <x:c r="Y223" s="16" t="n">
        <x:v>0</x:v>
      </x:c>
      <x:c r="Z223" s="16" t="n">
        <x:v>0</x:v>
      </x:c>
      <x:c r="AA223" s="16" t="n">
        <x:v>3</x:v>
      </x:c>
      <x:c r="AB223" s="16" t="n">
        <x:v>11</x:v>
      </x:c>
      <x:c r="AC223" s="16" t="n">
        <x:v>0</x:v>
      </x:c>
      <x:c r="AD223" s="21" t="n">
        <x:f>IF(E223="",MEDIAN($E$2:$E$2237),E223)</x:f>
        <x:v>77622</x:v>
      </x:c>
      <x:c r="AE223" s="17" t="n">
        <x:f>2014-B223</x:f>
        <x:v>44</x:v>
      </x:c>
      <x:c r="AF223" s="17" t="n">
        <x:f>F223+G223</x:f>
        <x:v>2</x:v>
      </x:c>
      <x:c r="AG223" s="21" t="n">
        <x:f>SUM(J223:O223)</x:f>
        <x:v>714</x:v>
      </x:c>
      <x:c r="AH223" s="17" t="n">
        <x:f>SUM(Q223:S223)</x:f>
        <x:v>20</x:v>
      </x:c>
      <x:c r="AI223" s="17" t="n">
        <x:f>SUM(U223:Y223)</x:f>
        <x:v>0</x:v>
      </x:c>
      <x:c r="AJ223" s="17" t="str">
        <x:f>IF(AE223&lt;=34,"≤34",IF(AE223&lt;=44,"35–44",IF(AE223&lt;=54,"45–54",IF(AE223&lt;=64,"55–64","65+"))))</x:f>
        <x:v>35–44</x:v>
      </x:c>
      <x:c r="AK223" s="17" t="str">
        <x:f>IF(AG223&gt;=1000,"High Value",IF(AG223&gt;=300,"Mid Value","Low Value"))</x:f>
        <x:v>Mid Value</x:v>
      </x:c>
      <x:c r="AL223" s="17" t="str">
        <x:f>IF(AND(AI223&gt;=1,I223&lt;=50),"Priority 1",IF(AND(AG223&gt;=1000,I223&lt;=60),"Priority 2",IF(I223&lt;=30,"Priority 3","Nurture")))</x:f>
        <x:v>Priority 3</x:v>
      </x:c>
    </x:row>
    <x:row r="224">
      <x:c r="A224" s="16" t="n">
        <x:v>9076</x:v>
      </x:c>
      <x:c r="B224" s="16" t="n">
        <x:v>1980</x:v>
      </x:c>
      <x:c r="C224" s="16" t="str">
        <x:v>PhD</x:v>
      </x:c>
      <x:c r="D224" s="16" t="str">
        <x:v>Married</x:v>
      </x:c>
      <x:c r="E224" s="16" t="n">
        <x:v>30732</x:v>
      </x:c>
      <x:c r="F224" s="16" t="n">
        <x:v>1</x:v>
      </x:c>
      <x:c r="G224" s="16" t="n">
        <x:v>0</x:v>
      </x:c>
      <x:c r="H224" s="16" t="str">
        <x:v>05-01-2013</x:v>
      </x:c>
      <x:c r="I224" s="16" t="n">
        <x:v>44</x:v>
      </x:c>
      <x:c r="J224" s="16" t="n">
        <x:v>155</x:v>
      </x:c>
      <x:c r="K224" s="16" t="n">
        <x:v>1</x:v>
      </x:c>
      <x:c r="L224" s="16" t="n">
        <x:v>25</x:v>
      </x:c>
      <x:c r="M224" s="16" t="n">
        <x:v>0</x:v>
      </x:c>
      <x:c r="N224" s="16" t="n">
        <x:v>1</x:v>
      </x:c>
      <x:c r="O224" s="16" t="n">
        <x:v>3</x:v>
      </x:c>
      <x:c r="P224" s="16" t="n">
        <x:v>4</x:v>
      </x:c>
      <x:c r="Q224" s="16" t="n">
        <x:v>4</x:v>
      </x:c>
      <x:c r="R224" s="16" t="n">
        <x:v>1</x:v>
      </x:c>
      <x:c r="S224" s="16" t="n">
        <x:v>4</x:v>
      </x:c>
      <x:c r="T224" s="16" t="n">
        <x:v>8</x:v>
      </x:c>
      <x:c r="U224" s="16" t="n">
        <x:v>0</x:v>
      </x:c>
      <x:c r="V224" s="16" t="n">
        <x:v>0</x:v>
      </x:c>
      <x:c r="W224" s="16" t="n">
        <x:v>0</x:v>
      </x:c>
      <x:c r="X224" s="16" t="n">
        <x:v>0</x:v>
      </x:c>
      <x:c r="Y224" s="16" t="n">
        <x:v>0</x:v>
      </x:c>
      <x:c r="Z224" s="16" t="n">
        <x:v>0</x:v>
      </x:c>
      <x:c r="AA224" s="16" t="n">
        <x:v>3</x:v>
      </x:c>
      <x:c r="AB224" s="16" t="n">
        <x:v>11</x:v>
      </x:c>
      <x:c r="AC224" s="16" t="n">
        <x:v>0</x:v>
      </x:c>
      <x:c r="AD224" s="21" t="n">
        <x:f>IF(E224="",MEDIAN($E$2:$E$2237),E224)</x:f>
        <x:v>30732</x:v>
      </x:c>
      <x:c r="AE224" s="17" t="n">
        <x:f>2014-B224</x:f>
        <x:v>34</x:v>
      </x:c>
      <x:c r="AF224" s="17" t="n">
        <x:f>F224+G224</x:f>
        <x:v>1</x:v>
      </x:c>
      <x:c r="AG224" s="21" t="n">
        <x:f>SUM(J224:O224)</x:f>
        <x:v>185</x:v>
      </x:c>
      <x:c r="AH224" s="17" t="n">
        <x:f>SUM(Q224:S224)</x:f>
        <x:v>9</x:v>
      </x:c>
      <x:c r="AI224" s="17" t="n">
        <x:f>SUM(U224:Y224)</x:f>
        <x:v>0</x:v>
      </x:c>
      <x:c r="AJ224" s="17" t="str">
        <x:f>IF(AE224&lt;=34,"≤34",IF(AE224&lt;=44,"35–44",IF(AE224&lt;=54,"45–54",IF(AE224&lt;=64,"55–64","65+"))))</x:f>
        <x:v>≤34</x:v>
      </x:c>
      <x:c r="AK224" s="17" t="str">
        <x:f>IF(AG224&gt;=1000,"High Value",IF(AG224&gt;=300,"Mid Value","Low Value"))</x:f>
        <x:v>Low Value</x:v>
      </x:c>
      <x:c r="AL224" s="17" t="str">
        <x:f>IF(AND(AI224&gt;=1,I224&lt;=50),"Priority 1",IF(AND(AG224&gt;=1000,I224&lt;=60),"Priority 2",IF(I224&lt;=30,"Priority 3","Nurture")))</x:f>
        <x:v>Nurture</x:v>
      </x:c>
    </x:row>
    <x:row r="225">
      <x:c r="A225" s="16" t="n">
        <x:v>7079</x:v>
      </x:c>
      <x:c r="B225" s="16" t="n">
        <x:v>1962</x:v>
      </x:c>
      <x:c r="C225" s="16" t="str">
        <x:v>Graduation</x:v>
      </x:c>
      <x:c r="D225" s="16" t="str">
        <x:v>Divorced</x:v>
      </x:c>
      <x:c r="E225" s="16" t="n">
        <x:v>63887</x:v>
      </x:c>
      <x:c r="F225" s="16" t="n">
        <x:v>0</x:v>
      </x:c>
      <x:c r="G225" s="16" t="n">
        <x:v>1</x:v>
      </x:c>
      <x:c r="H225" s="16" t="str">
        <x:v>08-09-2012</x:v>
      </x:c>
      <x:c r="I225" s="16" t="n">
        <x:v>38</x:v>
      </x:c>
      <x:c r="J225" s="16" t="n">
        <x:v>897</x:v>
      </x:c>
      <x:c r="K225" s="16" t="n">
        <x:v>23</x:v>
      </x:c>
      <x:c r="L225" s="16" t="n">
        <x:v>207</x:v>
      </x:c>
      <x:c r="M225" s="16" t="n">
        <x:v>15</x:v>
      </x:c>
      <x:c r="N225" s="16" t="n">
        <x:v>11</x:v>
      </x:c>
      <x:c r="O225" s="16" t="n">
        <x:v>92</x:v>
      </x:c>
      <x:c r="P225" s="16" t="n">
        <x:v>5</x:v>
      </x:c>
      <x:c r="Q225" s="16" t="n">
        <x:v>9</x:v>
      </x:c>
      <x:c r="R225" s="16" t="n">
        <x:v>6</x:v>
      </x:c>
      <x:c r="S225" s="16" t="n">
        <x:v>12</x:v>
      </x:c>
      <x:c r="T225" s="16" t="n">
        <x:v>6</x:v>
      </x:c>
      <x:c r="U225" s="16" t="n">
        <x:v>0</x:v>
      </x:c>
      <x:c r="V225" s="16" t="n">
        <x:v>0</x:v>
      </x:c>
      <x:c r="W225" s="16" t="n">
        <x:v>0</x:v>
      </x:c>
      <x:c r="X225" s="16" t="n">
        <x:v>0</x:v>
      </x:c>
      <x:c r="Y225" s="16" t="n">
        <x:v>0</x:v>
      </x:c>
      <x:c r="Z225" s="16" t="n">
        <x:v>0</x:v>
      </x:c>
      <x:c r="AA225" s="16" t="n">
        <x:v>3</x:v>
      </x:c>
      <x:c r="AB225" s="16" t="n">
        <x:v>11</x:v>
      </x:c>
      <x:c r="AC225" s="16" t="n">
        <x:v>0</x:v>
      </x:c>
      <x:c r="AD225" s="21" t="n">
        <x:f>IF(E225="",MEDIAN($E$2:$E$2237),E225)</x:f>
        <x:v>63887</x:v>
      </x:c>
      <x:c r="AE225" s="17" t="n">
        <x:f>2014-B225</x:f>
        <x:v>52</x:v>
      </x:c>
      <x:c r="AF225" s="17" t="n">
        <x:f>F225+G225</x:f>
        <x:v>1</x:v>
      </x:c>
      <x:c r="AG225" s="21" t="n">
        <x:f>SUM(J225:O225)</x:f>
        <x:v>1245</x:v>
      </x:c>
      <x:c r="AH225" s="17" t="n">
        <x:f>SUM(Q225:S225)</x:f>
        <x:v>27</x:v>
      </x:c>
      <x:c r="AI225" s="17" t="n">
        <x:f>SUM(U225:Y225)</x:f>
        <x:v>0</x:v>
      </x:c>
      <x:c r="AJ225" s="17" t="str">
        <x:f>IF(AE225&lt;=34,"≤34",IF(AE225&lt;=44,"35–44",IF(AE225&lt;=54,"45–54",IF(AE225&lt;=64,"55–64","65+"))))</x:f>
        <x:v>45–54</x:v>
      </x:c>
      <x:c r="AK225" s="17" t="str">
        <x:f>IF(AG225&gt;=1000,"High Value",IF(AG225&gt;=300,"Mid Value","Low Value"))</x:f>
        <x:v>High Value</x:v>
      </x:c>
      <x:c r="AL225" s="17" t="str">
        <x:f>IF(AND(AI225&gt;=1,I225&lt;=50),"Priority 1",IF(AND(AG225&gt;=1000,I225&lt;=60),"Priority 2",IF(I225&lt;=30,"Priority 3","Nurture")))</x:f>
        <x:v>Priority 2</x:v>
      </x:c>
    </x:row>
    <x:row r="226">
      <x:c r="A226" s="16" t="n">
        <x:v>4653</x:v>
      </x:c>
      <x:c r="B226" s="16" t="n">
        <x:v>1978</x:v>
      </x:c>
      <x:c r="C226" s="16" t="str">
        <x:v>Graduation</x:v>
      </x:c>
      <x:c r="D226" s="16" t="str">
        <x:v>Together</x:v>
      </x:c>
      <x:c r="E226" s="16" t="n">
        <x:v>42011</x:v>
      </x:c>
      <x:c r="F226" s="16" t="n">
        <x:v>1</x:v>
      </x:c>
      <x:c r="G226" s="16" t="n">
        <x:v>0</x:v>
      </x:c>
      <x:c r="H226" s="16" t="str">
        <x:v>26-03-2013</x:v>
      </x:c>
      <x:c r="I226" s="16" t="n">
        <x:v>46</x:v>
      </x:c>
      <x:c r="J226" s="16" t="n">
        <x:v>131</x:v>
      </x:c>
      <x:c r="K226" s="16" t="n">
        <x:v>0</x:v>
      </x:c>
      <x:c r="L226" s="16" t="n">
        <x:v>16</x:v>
      </x:c>
      <x:c r="M226" s="16" t="n">
        <x:v>2</x:v>
      </x:c>
      <x:c r="N226" s="16" t="n">
        <x:v>1</x:v>
      </x:c>
      <x:c r="O226" s="16" t="n">
        <x:v>39</x:v>
      </x:c>
      <x:c r="P226" s="16" t="n">
        <x:v>4</x:v>
      </x:c>
      <x:c r="Q226" s="16" t="n">
        <x:v>3</x:v>
      </x:c>
      <x:c r="R226" s="16" t="n">
        <x:v>1</x:v>
      </x:c>
      <x:c r="S226" s="16" t="n">
        <x:v>4</x:v>
      </x:c>
      <x:c r="T226" s="16" t="n">
        <x:v>8</x:v>
      </x:c>
      <x:c r="U226" s="16" t="n">
        <x:v>0</x:v>
      </x:c>
      <x:c r="V226" s="16" t="n">
        <x:v>0</x:v>
      </x:c>
      <x:c r="W226" s="16" t="n">
        <x:v>0</x:v>
      </x:c>
      <x:c r="X226" s="16" t="n">
        <x:v>0</x:v>
      </x:c>
      <x:c r="Y226" s="16" t="n">
        <x:v>0</x:v>
      </x:c>
      <x:c r="Z226" s="16" t="n">
        <x:v>0</x:v>
      </x:c>
      <x:c r="AA226" s="16" t="n">
        <x:v>3</x:v>
      </x:c>
      <x:c r="AB226" s="16" t="n">
        <x:v>11</x:v>
      </x:c>
      <x:c r="AC226" s="16" t="n">
        <x:v>0</x:v>
      </x:c>
      <x:c r="AD226" s="21" t="n">
        <x:f>IF(E226="",MEDIAN($E$2:$E$2237),E226)</x:f>
        <x:v>42011</x:v>
      </x:c>
      <x:c r="AE226" s="17" t="n">
        <x:f>2014-B226</x:f>
        <x:v>36</x:v>
      </x:c>
      <x:c r="AF226" s="17" t="n">
        <x:f>F226+G226</x:f>
        <x:v>1</x:v>
      </x:c>
      <x:c r="AG226" s="21" t="n">
        <x:f>SUM(J226:O226)</x:f>
        <x:v>189</x:v>
      </x:c>
      <x:c r="AH226" s="17" t="n">
        <x:f>SUM(Q226:S226)</x:f>
        <x:v>8</x:v>
      </x:c>
      <x:c r="AI226" s="17" t="n">
        <x:f>SUM(U226:Y226)</x:f>
        <x:v>0</x:v>
      </x:c>
      <x:c r="AJ226" s="17" t="str">
        <x:f>IF(AE226&lt;=34,"≤34",IF(AE226&lt;=44,"35–44",IF(AE226&lt;=54,"45–54",IF(AE226&lt;=64,"55–64","65+"))))</x:f>
        <x:v>35–44</x:v>
      </x:c>
      <x:c r="AK226" s="17" t="str">
        <x:f>IF(AG226&gt;=1000,"High Value",IF(AG226&gt;=300,"Mid Value","Low Value"))</x:f>
        <x:v>Low Value</x:v>
      </x:c>
      <x:c r="AL226" s="17" t="str">
        <x:f>IF(AND(AI226&gt;=1,I226&lt;=50),"Priority 1",IF(AND(AG226&gt;=1000,I226&lt;=60),"Priority 2",IF(I226&lt;=30,"Priority 3","Nurture")))</x:f>
        <x:v>Nurture</x:v>
      </x:c>
    </x:row>
    <x:row r="227">
      <x:c r="A227" s="16" t="n">
        <x:v>7375</x:v>
      </x:c>
      <x:c r="B227" s="16" t="n">
        <x:v>1976</x:v>
      </x:c>
      <x:c r="C227" s="16" t="str">
        <x:v>Graduation</x:v>
      </x:c>
      <x:c r="D227" s="16" t="str">
        <x:v>Together</x:v>
      </x:c>
      <x:c r="E227" s="16" t="n">
        <x:v>51369</x:v>
      </x:c>
      <x:c r="F227" s="16" t="n">
        <x:v>0</x:v>
      </x:c>
      <x:c r="G227" s="16" t="n">
        <x:v>1</x:v>
      </x:c>
      <x:c r="H227" s="16" t="str">
        <x:v>25-10-2012</x:v>
      </x:c>
      <x:c r="I227" s="16" t="n">
        <x:v>84</x:v>
      </x:c>
      <x:c r="J227" s="16" t="n">
        <x:v>297</x:v>
      </x:c>
      <x:c r="K227" s="16" t="n">
        <x:v>7</x:v>
      </x:c>
      <x:c r="L227" s="16" t="n">
        <x:v>79</x:v>
      </x:c>
      <x:c r="M227" s="16" t="n">
        <x:v>0</x:v>
      </x:c>
      <x:c r="N227" s="16" t="n">
        <x:v>11</x:v>
      </x:c>
      <x:c r="O227" s="16" t="n">
        <x:v>182</x:v>
      </x:c>
      <x:c r="P227" s="16" t="n">
        <x:v>2</x:v>
      </x:c>
      <x:c r="Q227" s="16" t="n">
        <x:v>8</x:v>
      </x:c>
      <x:c r="R227" s="16" t="n">
        <x:v>2</x:v>
      </x:c>
      <x:c r="S227" s="16" t="n">
        <x:v>4</x:v>
      </x:c>
      <x:c r="T227" s="16" t="n">
        <x:v>8</x:v>
      </x:c>
      <x:c r="U227" s="16" t="n">
        <x:v>0</x:v>
      </x:c>
      <x:c r="V227" s="16" t="n">
        <x:v>0</x:v>
      </x:c>
      <x:c r="W227" s="16" t="n">
        <x:v>0</x:v>
      </x:c>
      <x:c r="X227" s="16" t="n">
        <x:v>0</x:v>
      </x:c>
      <x:c r="Y227" s="16" t="n">
        <x:v>0</x:v>
      </x:c>
      <x:c r="Z227" s="16" t="n">
        <x:v>0</x:v>
      </x:c>
      <x:c r="AA227" s="16" t="n">
        <x:v>3</x:v>
      </x:c>
      <x:c r="AB227" s="16" t="n">
        <x:v>11</x:v>
      </x:c>
      <x:c r="AC227" s="16" t="n">
        <x:v>0</x:v>
      </x:c>
      <x:c r="AD227" s="21" t="n">
        <x:f>IF(E227="",MEDIAN($E$2:$E$2237),E227)</x:f>
        <x:v>51369</x:v>
      </x:c>
      <x:c r="AE227" s="17" t="n">
        <x:f>2014-B227</x:f>
        <x:v>38</x:v>
      </x:c>
      <x:c r="AF227" s="17" t="n">
        <x:f>F227+G227</x:f>
        <x:v>1</x:v>
      </x:c>
      <x:c r="AG227" s="21" t="n">
        <x:f>SUM(J227:O227)</x:f>
        <x:v>576</x:v>
      </x:c>
      <x:c r="AH227" s="17" t="n">
        <x:f>SUM(Q227:S227)</x:f>
        <x:v>14</x:v>
      </x:c>
      <x:c r="AI227" s="17" t="n">
        <x:f>SUM(U227:Y227)</x:f>
        <x:v>0</x:v>
      </x:c>
      <x:c r="AJ227" s="17" t="str">
        <x:f>IF(AE227&lt;=34,"≤34",IF(AE227&lt;=44,"35–44",IF(AE227&lt;=54,"45–54",IF(AE227&lt;=64,"55–64","65+"))))</x:f>
        <x:v>35–44</x:v>
      </x:c>
      <x:c r="AK227" s="17" t="str">
        <x:f>IF(AG227&gt;=1000,"High Value",IF(AG227&gt;=300,"Mid Value","Low Value"))</x:f>
        <x:v>Mid Value</x:v>
      </x:c>
      <x:c r="AL227" s="17" t="str">
        <x:f>IF(AND(AI227&gt;=1,I227&lt;=50),"Priority 1",IF(AND(AG227&gt;=1000,I227&lt;=60),"Priority 2",IF(I227&lt;=30,"Priority 3","Nurture")))</x:f>
        <x:v>Nurture</x:v>
      </x:c>
    </x:row>
    <x:row r="228">
      <x:c r="A228" s="16" t="n">
        <x:v>709</x:v>
      </x:c>
      <x:c r="B228" s="16" t="n">
        <x:v>1952</x:v>
      </x:c>
      <x:c r="C228" s="16" t="str">
        <x:v>Graduation</x:v>
      </x:c>
      <x:c r="D228" s="16" t="str">
        <x:v>Divorced</x:v>
      </x:c>
      <x:c r="E228" s="16" t="n">
        <x:v>51537</x:v>
      </x:c>
      <x:c r="F228" s="16" t="n">
        <x:v>0</x:v>
      </x:c>
      <x:c r="G228" s="16" t="n">
        <x:v>1</x:v>
      </x:c>
      <x:c r="H228" s="16" t="str">
        <x:v>09-12-2012</x:v>
      </x:c>
      <x:c r="I228" s="16" t="n">
        <x:v>27</x:v>
      </x:c>
      <x:c r="J228" s="16" t="n">
        <x:v>787</x:v>
      </x:c>
      <x:c r="K228" s="16" t="n">
        <x:v>20</x:v>
      </x:c>
      <x:c r="L228" s="16" t="n">
        <x:v>204</x:v>
      </x:c>
      <x:c r="M228" s="16" t="n">
        <x:v>0</x:v>
      </x:c>
      <x:c r="N228" s="16" t="n">
        <x:v>0</x:v>
      </x:c>
      <x:c r="O228" s="16" t="n">
        <x:v>92</x:v>
      </x:c>
      <x:c r="P228" s="16" t="n">
        <x:v>3</x:v>
      </x:c>
      <x:c r="Q228" s="16" t="n">
        <x:v>2</x:v>
      </x:c>
      <x:c r="R228" s="16" t="n">
        <x:v>2</x:v>
      </x:c>
      <x:c r="S228" s="16" t="n">
        <x:v>11</x:v>
      </x:c>
      <x:c r="T228" s="16" t="n">
        <x:v>8</x:v>
      </x:c>
      <x:c r="U228" s="16" t="n">
        <x:v>0</x:v>
      </x:c>
      <x:c r="V228" s="16" t="n">
        <x:v>0</x:v>
      </x:c>
      <x:c r="W228" s="16" t="n">
        <x:v>0</x:v>
      </x:c>
      <x:c r="X228" s="16" t="n">
        <x:v>0</x:v>
      </x:c>
      <x:c r="Y228" s="16" t="n">
        <x:v>0</x:v>
      </x:c>
      <x:c r="Z228" s="16" t="n">
        <x:v>0</x:v>
      </x:c>
      <x:c r="AA228" s="16" t="n">
        <x:v>3</x:v>
      </x:c>
      <x:c r="AB228" s="16" t="n">
        <x:v>11</x:v>
      </x:c>
      <x:c r="AC228" s="16" t="n">
        <x:v>0</x:v>
      </x:c>
      <x:c r="AD228" s="21" t="n">
        <x:f>IF(E228="",MEDIAN($E$2:$E$2237),E228)</x:f>
        <x:v>51537</x:v>
      </x:c>
      <x:c r="AE228" s="17" t="n">
        <x:f>2014-B228</x:f>
        <x:v>62</x:v>
      </x:c>
      <x:c r="AF228" s="17" t="n">
        <x:f>F228+G228</x:f>
        <x:v>1</x:v>
      </x:c>
      <x:c r="AG228" s="21" t="n">
        <x:f>SUM(J228:O228)</x:f>
        <x:v>1103</x:v>
      </x:c>
      <x:c r="AH228" s="17" t="n">
        <x:f>SUM(Q228:S228)</x:f>
        <x:v>15</x:v>
      </x:c>
      <x:c r="AI228" s="17" t="n">
        <x:f>SUM(U228:Y228)</x:f>
        <x:v>0</x:v>
      </x:c>
      <x:c r="AJ228" s="17" t="str">
        <x:f>IF(AE228&lt;=34,"≤34",IF(AE228&lt;=44,"35–44",IF(AE228&lt;=54,"45–54",IF(AE228&lt;=64,"55–64","65+"))))</x:f>
        <x:v>55–64</x:v>
      </x:c>
      <x:c r="AK228" s="17" t="str">
        <x:f>IF(AG228&gt;=1000,"High Value",IF(AG228&gt;=300,"Mid Value","Low Value"))</x:f>
        <x:v>High Value</x:v>
      </x:c>
      <x:c r="AL228" s="17" t="str">
        <x:f>IF(AND(AI228&gt;=1,I228&lt;=50),"Priority 1",IF(AND(AG228&gt;=1000,I228&lt;=60),"Priority 2",IF(I228&lt;=30,"Priority 3","Nurture")))</x:f>
        <x:v>Priority 2</x:v>
      </x:c>
    </x:row>
    <x:row r="229">
      <x:c r="A229" s="16" t="n">
        <x:v>460</x:v>
      </x:c>
      <x:c r="B229" s="16" t="n">
        <x:v>1972</x:v>
      </x:c>
      <x:c r="C229" s="16" t="str">
        <x:v>PhD</x:v>
      </x:c>
      <x:c r="D229" s="16" t="str">
        <x:v>Married</x:v>
      </x:c>
      <x:c r="E229" s="16" t="n">
        <x:v>79930</x:v>
      </x:c>
      <x:c r="F229" s="16" t="n">
        <x:v>0</x:v>
      </x:c>
      <x:c r="G229" s="16" t="n">
        <x:v>0</x:v>
      </x:c>
      <x:c r="H229" s="16" t="str">
        <x:v>08-08-2012</x:v>
      </x:c>
      <x:c r="I229" s="16" t="n">
        <x:v>72</x:v>
      </x:c>
      <x:c r="J229" s="16" t="n">
        <x:v>792</x:v>
      </x:c>
      <x:c r="K229" s="16" t="n">
        <x:v>86</x:v>
      </x:c>
      <x:c r="L229" s="16" t="n">
        <x:v>740</x:v>
      </x:c>
      <x:c r="M229" s="16" t="n">
        <x:v>67</x:v>
      </x:c>
      <x:c r="N229" s="16" t="n">
        <x:v>51</x:v>
      </x:c>
      <x:c r="O229" s="16" t="n">
        <x:v>17</x:v>
      </x:c>
      <x:c r="P229" s="16" t="n">
        <x:v>1</x:v>
      </x:c>
      <x:c r="Q229" s="16" t="n">
        <x:v>3</x:v>
      </x:c>
      <x:c r="R229" s="16" t="n">
        <x:v>5</x:v>
      </x:c>
      <x:c r="S229" s="16" t="n">
        <x:v>8</x:v>
      </x:c>
      <x:c r="T229" s="16" t="n">
        <x:v>2</x:v>
      </x:c>
      <x:c r="U229" s="16" t="n">
        <x:v>0</x:v>
      </x:c>
      <x:c r="V229" s="16" t="n">
        <x:v>0</x:v>
      </x:c>
      <x:c r="W229" s="16" t="n">
        <x:v>0</x:v>
      </x:c>
      <x:c r="X229" s="16" t="n">
        <x:v>0</x:v>
      </x:c>
      <x:c r="Y229" s="16" t="n">
        <x:v>0</x:v>
      </x:c>
      <x:c r="Z229" s="16" t="n">
        <x:v>0</x:v>
      </x:c>
      <x:c r="AA229" s="16" t="n">
        <x:v>3</x:v>
      </x:c>
      <x:c r="AB229" s="16" t="n">
        <x:v>11</x:v>
      </x:c>
      <x:c r="AC229" s="16" t="n">
        <x:v>0</x:v>
      </x:c>
      <x:c r="AD229" s="21" t="n">
        <x:f>IF(E229="",MEDIAN($E$2:$E$2237),E229)</x:f>
        <x:v>79930</x:v>
      </x:c>
      <x:c r="AE229" s="17" t="n">
        <x:f>2014-B229</x:f>
        <x:v>42</x:v>
      </x:c>
      <x:c r="AF229" s="17" t="n">
        <x:f>F229+G229</x:f>
        <x:v>0</x:v>
      </x:c>
      <x:c r="AG229" s="21" t="n">
        <x:f>SUM(J229:O229)</x:f>
        <x:v>1753</x:v>
      </x:c>
      <x:c r="AH229" s="17" t="n">
        <x:f>SUM(Q229:S229)</x:f>
        <x:v>16</x:v>
      </x:c>
      <x:c r="AI229" s="17" t="n">
        <x:f>SUM(U229:Y229)</x:f>
        <x:v>0</x:v>
      </x:c>
      <x:c r="AJ229" s="17" t="str">
        <x:f>IF(AE229&lt;=34,"≤34",IF(AE229&lt;=44,"35–44",IF(AE229&lt;=54,"45–54",IF(AE229&lt;=64,"55–64","65+"))))</x:f>
        <x:v>35–44</x:v>
      </x:c>
      <x:c r="AK229" s="17" t="str">
        <x:f>IF(AG229&gt;=1000,"High Value",IF(AG229&gt;=300,"Mid Value","Low Value"))</x:f>
        <x:v>High Value</x:v>
      </x:c>
      <x:c r="AL229" s="17" t="str">
        <x:f>IF(AND(AI229&gt;=1,I229&lt;=50),"Priority 1",IF(AND(AG229&gt;=1000,I229&lt;=60),"Priority 2",IF(I229&lt;=30,"Priority 3","Nurture")))</x:f>
        <x:v>Nurture</x:v>
      </x:c>
    </x:row>
    <x:row r="230">
      <x:c r="A230" s="16" t="n">
        <x:v>3726</x:v>
      </x:c>
      <x:c r="B230" s="16" t="n">
        <x:v>1986</x:v>
      </x:c>
      <x:c r="C230" s="16" t="str">
        <x:v>PhD</x:v>
      </x:c>
      <x:c r="D230" s="16" t="str">
        <x:v>Together</x:v>
      </x:c>
      <x:c r="E230" s="16" t="n">
        <x:v>34320</x:v>
      </x:c>
      <x:c r="F230" s="16" t="n">
        <x:v>1</x:v>
      </x:c>
      <x:c r="G230" s="16" t="n">
        <x:v>0</x:v>
      </x:c>
      <x:c r="H230" s="16" t="str">
        <x:v>16-02-2014</x:v>
      </x:c>
      <x:c r="I230" s="16" t="n">
        <x:v>66</x:v>
      </x:c>
      <x:c r="J230" s="16" t="n">
        <x:v>4</x:v>
      </x:c>
      <x:c r="K230" s="16" t="n">
        <x:v>1</x:v>
      </x:c>
      <x:c r="L230" s="16" t="n">
        <x:v>9</x:v>
      </x:c>
      <x:c r="M230" s="16" t="n">
        <x:v>3</x:v>
      </x:c>
      <x:c r="N230" s="16" t="n">
        <x:v>0</x:v>
      </x:c>
      <x:c r="O230" s="16" t="n">
        <x:v>0</x:v>
      </x:c>
      <x:c r="P230" s="16" t="n">
        <x:v>1</x:v>
      </x:c>
      <x:c r="Q230" s="16" t="n">
        <x:v>1</x:v>
      </x:c>
      <x:c r="R230" s="16" t="n">
        <x:v>0</x:v>
      </x:c>
      <x:c r="S230" s="16" t="n">
        <x:v>2</x:v>
      </x:c>
      <x:c r="T230" s="16" t="n">
        <x:v>8</x:v>
      </x:c>
      <x:c r="U230" s="16" t="n">
        <x:v>0</x:v>
      </x:c>
      <x:c r="V230" s="16" t="n">
        <x:v>0</x:v>
      </x:c>
      <x:c r="W230" s="16" t="n">
        <x:v>0</x:v>
      </x:c>
      <x:c r="X230" s="16" t="n">
        <x:v>0</x:v>
      </x:c>
      <x:c r="Y230" s="16" t="n">
        <x:v>0</x:v>
      </x:c>
      <x:c r="Z230" s="16" t="n">
        <x:v>0</x:v>
      </x:c>
      <x:c r="AA230" s="16" t="n">
        <x:v>3</x:v>
      </x:c>
      <x:c r="AB230" s="16" t="n">
        <x:v>11</x:v>
      </x:c>
      <x:c r="AC230" s="16" t="n">
        <x:v>0</x:v>
      </x:c>
      <x:c r="AD230" s="21" t="n">
        <x:f>IF(E230="",MEDIAN($E$2:$E$2237),E230)</x:f>
        <x:v>34320</x:v>
      </x:c>
      <x:c r="AE230" s="17" t="n">
        <x:f>2014-B230</x:f>
        <x:v>28</x:v>
      </x:c>
      <x:c r="AF230" s="17" t="n">
        <x:f>F230+G230</x:f>
        <x:v>1</x:v>
      </x:c>
      <x:c r="AG230" s="21" t="n">
        <x:f>SUM(J230:O230)</x:f>
        <x:v>17</x:v>
      </x:c>
      <x:c r="AH230" s="17" t="n">
        <x:f>SUM(Q230:S230)</x:f>
        <x:v>3</x:v>
      </x:c>
      <x:c r="AI230" s="17" t="n">
        <x:f>SUM(U230:Y230)</x:f>
        <x:v>0</x:v>
      </x:c>
      <x:c r="AJ230" s="17" t="str">
        <x:f>IF(AE230&lt;=34,"≤34",IF(AE230&lt;=44,"35–44",IF(AE230&lt;=54,"45–54",IF(AE230&lt;=64,"55–64","65+"))))</x:f>
        <x:v>≤34</x:v>
      </x:c>
      <x:c r="AK230" s="17" t="str">
        <x:f>IF(AG230&gt;=1000,"High Value",IF(AG230&gt;=300,"Mid Value","Low Value"))</x:f>
        <x:v>Low Value</x:v>
      </x:c>
      <x:c r="AL230" s="17" t="str">
        <x:f>IF(AND(AI230&gt;=1,I230&lt;=50),"Priority 1",IF(AND(AG230&gt;=1000,I230&lt;=60),"Priority 2",IF(I230&lt;=30,"Priority 3","Nurture")))</x:f>
        <x:v>Nurture</x:v>
      </x:c>
    </x:row>
    <x:row r="231">
      <x:c r="A231" s="16" t="n">
        <x:v>6798</x:v>
      </x:c>
      <x:c r="B231" s="16" t="n">
        <x:v>1966</x:v>
      </x:c>
      <x:c r="C231" s="16" t="str">
        <x:v>Graduation</x:v>
      </x:c>
      <x:c r="D231" s="16" t="str">
        <x:v>Single</x:v>
      </x:c>
      <x:c r="E231" s="16" t="n">
        <x:v>37070</x:v>
      </x:c>
      <x:c r="F231" s="16" t="n">
        <x:v>1</x:v>
      </x:c>
      <x:c r="G231" s="16" t="n">
        <x:v>1</x:v>
      </x:c>
      <x:c r="H231" s="16" t="str">
        <x:v>20-03-2013</x:v>
      </x:c>
      <x:c r="I231" s="16" t="n">
        <x:v>30</x:v>
      </x:c>
      <x:c r="J231" s="16" t="n">
        <x:v>231</x:v>
      </x:c>
      <x:c r="K231" s="16" t="n">
        <x:v>7</x:v>
      </x:c>
      <x:c r="L231" s="16" t="n">
        <x:v>137</x:v>
      </x:c>
      <x:c r="M231" s="16" t="n">
        <x:v>4</x:v>
      </x:c>
      <x:c r="N231" s="16" t="n">
        <x:v>15</x:v>
      </x:c>
      <x:c r="O231" s="16" t="n">
        <x:v>39</x:v>
      </x:c>
      <x:c r="P231" s="16" t="n">
        <x:v>9</x:v>
      </x:c>
      <x:c r="Q231" s="16" t="n">
        <x:v>5</x:v>
      </x:c>
      <x:c r="R231" s="16" t="n">
        <x:v>1</x:v>
      </x:c>
      <x:c r="S231" s="16" t="n">
        <x:v>8</x:v>
      </x:c>
      <x:c r="T231" s="16" t="n">
        <x:v>7</x:v>
      </x:c>
      <x:c r="U231" s="16" t="n">
        <x:v>0</x:v>
      </x:c>
      <x:c r="V231" s="16" t="n">
        <x:v>0</x:v>
      </x:c>
      <x:c r="W231" s="16" t="n">
        <x:v>0</x:v>
      </x:c>
      <x:c r="X231" s="16" t="n">
        <x:v>0</x:v>
      </x:c>
      <x:c r="Y231" s="16" t="n">
        <x:v>0</x:v>
      </x:c>
      <x:c r="Z231" s="16" t="n">
        <x:v>0</x:v>
      </x:c>
      <x:c r="AA231" s="16" t="n">
        <x:v>3</x:v>
      </x:c>
      <x:c r="AB231" s="16" t="n">
        <x:v>11</x:v>
      </x:c>
      <x:c r="AC231" s="16" t="n">
        <x:v>1</x:v>
      </x:c>
      <x:c r="AD231" s="21" t="n">
        <x:f>IF(E231="",MEDIAN($E$2:$E$2237),E231)</x:f>
        <x:v>37070</x:v>
      </x:c>
      <x:c r="AE231" s="17" t="n">
        <x:f>2014-B231</x:f>
        <x:v>48</x:v>
      </x:c>
      <x:c r="AF231" s="17" t="n">
        <x:f>F231+G231</x:f>
        <x:v>2</x:v>
      </x:c>
      <x:c r="AG231" s="21" t="n">
        <x:f>SUM(J231:O231)</x:f>
        <x:v>433</x:v>
      </x:c>
      <x:c r="AH231" s="17" t="n">
        <x:f>SUM(Q231:S231)</x:f>
        <x:v>14</x:v>
      </x:c>
      <x:c r="AI231" s="17" t="n">
        <x:f>SUM(U231:Y231)</x:f>
        <x:v>0</x:v>
      </x:c>
      <x:c r="AJ231" s="17" t="str">
        <x:f>IF(AE231&lt;=34,"≤34",IF(AE231&lt;=44,"35–44",IF(AE231&lt;=54,"45–54",IF(AE231&lt;=64,"55–64","65+"))))</x:f>
        <x:v>45–54</x:v>
      </x:c>
      <x:c r="AK231" s="17" t="str">
        <x:f>IF(AG231&gt;=1000,"High Value",IF(AG231&gt;=300,"Mid Value","Low Value"))</x:f>
        <x:v>Mid Value</x:v>
      </x:c>
      <x:c r="AL231" s="17" t="str">
        <x:f>IF(AND(AI231&gt;=1,I231&lt;=50),"Priority 1",IF(AND(AG231&gt;=1000,I231&lt;=60),"Priority 2",IF(I231&lt;=30,"Priority 3","Nurture")))</x:f>
        <x:v>Priority 3</x:v>
      </x:c>
    </x:row>
    <x:row r="232">
      <x:c r="A232" s="16" t="n">
        <x:v>5341</x:v>
      </x:c>
      <x:c r="B232" s="16" t="n">
        <x:v>1962</x:v>
      </x:c>
      <x:c r="C232" s="16" t="str">
        <x:v>2n Cycle</x:v>
      </x:c>
      <x:c r="D232" s="16" t="str">
        <x:v>Divorced</x:v>
      </x:c>
      <x:c r="E232" s="16" t="n">
        <x:v>81975</x:v>
      </x:c>
      <x:c r="F232" s="16" t="n">
        <x:v>0</x:v>
      </x:c>
      <x:c r="G232" s="16" t="n">
        <x:v>1</x:v>
      </x:c>
      <x:c r="H232" s="16" t="str">
        <x:v>05-01-2013</x:v>
      </x:c>
      <x:c r="I232" s="16" t="n">
        <x:v>2</x:v>
      </x:c>
      <x:c r="J232" s="16" t="n">
        <x:v>983</x:v>
      </x:c>
      <x:c r="K232" s="16" t="n">
        <x:v>76</x:v>
      </x:c>
      <x:c r="L232" s="16" t="n">
        <x:v>184</x:v>
      </x:c>
      <x:c r="M232" s="16" t="n">
        <x:v>180</x:v>
      </x:c>
      <x:c r="N232" s="16" t="n">
        <x:v>138</x:v>
      </x:c>
      <x:c r="O232" s="16" t="n">
        <x:v>27</x:v>
      </x:c>
      <x:c r="P232" s="16" t="n">
        <x:v>1</x:v>
      </x:c>
      <x:c r="Q232" s="16" t="n">
        <x:v>6</x:v>
      </x:c>
      <x:c r="R232" s="16" t="n">
        <x:v>3</x:v>
      </x:c>
      <x:c r="S232" s="16" t="n">
        <x:v>4</x:v>
      </x:c>
      <x:c r="T232" s="16" t="n">
        <x:v>7</x:v>
      </x:c>
      <x:c r="U232" s="16" t="n">
        <x:v>0</x:v>
      </x:c>
      <x:c r="V232" s="16" t="n">
        <x:v>0</x:v>
      </x:c>
      <x:c r="W232" s="16" t="n">
        <x:v>1</x:v>
      </x:c>
      <x:c r="X232" s="16" t="n">
        <x:v>0</x:v>
      </x:c>
      <x:c r="Y232" s="16" t="n">
        <x:v>0</x:v>
      </x:c>
      <x:c r="Z232" s="16" t="n">
        <x:v>0</x:v>
      </x:c>
      <x:c r="AA232" s="16" t="n">
        <x:v>3</x:v>
      </x:c>
      <x:c r="AB232" s="16" t="n">
        <x:v>11</x:v>
      </x:c>
      <x:c r="AC232" s="16" t="n">
        <x:v>0</x:v>
      </x:c>
      <x:c r="AD232" s="21" t="n">
        <x:f>IF(E232="",MEDIAN($E$2:$E$2237),E232)</x:f>
        <x:v>81975</x:v>
      </x:c>
      <x:c r="AE232" s="17" t="n">
        <x:f>2014-B232</x:f>
        <x:v>52</x:v>
      </x:c>
      <x:c r="AF232" s="17" t="n">
        <x:f>F232+G232</x:f>
        <x:v>1</x:v>
      </x:c>
      <x:c r="AG232" s="21" t="n">
        <x:f>SUM(J232:O232)</x:f>
        <x:v>1588</x:v>
      </x:c>
      <x:c r="AH232" s="17" t="n">
        <x:f>SUM(Q232:S232)</x:f>
        <x:v>13</x:v>
      </x:c>
      <x:c r="AI232" s="17" t="n">
        <x:f>SUM(U232:Y232)</x:f>
        <x:v>1</x:v>
      </x:c>
      <x:c r="AJ232" s="17" t="str">
        <x:f>IF(AE232&lt;=34,"≤34",IF(AE232&lt;=44,"35–44",IF(AE232&lt;=54,"45–54",IF(AE232&lt;=64,"55–64","65+"))))</x:f>
        <x:v>45–54</x:v>
      </x:c>
      <x:c r="AK232" s="17" t="str">
        <x:f>IF(AG232&gt;=1000,"High Value",IF(AG232&gt;=300,"Mid Value","Low Value"))</x:f>
        <x:v>High Value</x:v>
      </x:c>
      <x:c r="AL232" s="17" t="str">
        <x:f>IF(AND(AI232&gt;=1,I232&lt;=50),"Priority 1",IF(AND(AG232&gt;=1000,I232&lt;=60),"Priority 2",IF(I232&lt;=30,"Priority 3","Nurture")))</x:f>
        <x:v>Priority 1</x:v>
      </x:c>
    </x:row>
    <x:row r="233">
      <x:c r="A233" s="16" t="n">
        <x:v>1606</x:v>
      </x:c>
      <x:c r="B233" s="16" t="n">
        <x:v>1971</x:v>
      </x:c>
      <x:c r="C233" s="16" t="str">
        <x:v>Graduation</x:v>
      </x:c>
      <x:c r="D233" s="16" t="str">
        <x:v>Together</x:v>
      </x:c>
      <x:c r="E233" s="16" t="n">
        <x:v>38590</x:v>
      </x:c>
      <x:c r="F233" s="16" t="n">
        <x:v>1</x:v>
      </x:c>
      <x:c r="G233" s="16" t="n">
        <x:v>0</x:v>
      </x:c>
      <x:c r="H233" s="16" t="str">
        <x:v>15-05-2013</x:v>
      </x:c>
      <x:c r="I233" s="16" t="n">
        <x:v>65</x:v>
      </x:c>
      <x:c r="J233" s="16" t="n">
        <x:v>3</x:v>
      </x:c>
      <x:c r="K233" s="16" t="n">
        <x:v>1</x:v>
      </x:c>
      <x:c r="L233" s="16" t="n">
        <x:v>8</x:v>
      </x:c>
      <x:c r="M233" s="16" t="n">
        <x:v>4</x:v>
      </x:c>
      <x:c r="N233" s="16" t="n">
        <x:v>3</x:v>
      </x:c>
      <x:c r="O233" s="16" t="n">
        <x:v>3</x:v>
      </x:c>
      <x:c r="P233" s="16" t="n">
        <x:v>1</x:v>
      </x:c>
      <x:c r="Q233" s="16" t="n">
        <x:v>1</x:v>
      </x:c>
      <x:c r="R233" s="16" t="n">
        <x:v>0</x:v>
      </x:c>
      <x:c r="S233" s="16" t="n">
        <x:v>2</x:v>
      </x:c>
      <x:c r="T233" s="16" t="n">
        <x:v>8</x:v>
      </x:c>
      <x:c r="U233" s="16" t="n">
        <x:v>0</x:v>
      </x:c>
      <x:c r="V233" s="16" t="n">
        <x:v>0</x:v>
      </x:c>
      <x:c r="W233" s="16" t="n">
        <x:v>0</x:v>
      </x:c>
      <x:c r="X233" s="16" t="n">
        <x:v>0</x:v>
      </x:c>
      <x:c r="Y233" s="16" t="n">
        <x:v>0</x:v>
      </x:c>
      <x:c r="Z233" s="16" t="n">
        <x:v>0</x:v>
      </x:c>
      <x:c r="AA233" s="16" t="n">
        <x:v>3</x:v>
      </x:c>
      <x:c r="AB233" s="16" t="n">
        <x:v>11</x:v>
      </x:c>
      <x:c r="AC233" s="16" t="n">
        <x:v>0</x:v>
      </x:c>
      <x:c r="AD233" s="21" t="n">
        <x:f>IF(E233="",MEDIAN($E$2:$E$2237),E233)</x:f>
        <x:v>38590</x:v>
      </x:c>
      <x:c r="AE233" s="17" t="n">
        <x:f>2014-B233</x:f>
        <x:v>43</x:v>
      </x:c>
      <x:c r="AF233" s="17" t="n">
        <x:f>F233+G233</x:f>
        <x:v>1</x:v>
      </x:c>
      <x:c r="AG233" s="21" t="n">
        <x:f>SUM(J233:O233)</x:f>
        <x:v>22</x:v>
      </x:c>
      <x:c r="AH233" s="17" t="n">
        <x:f>SUM(Q233:S233)</x:f>
        <x:v>3</x:v>
      </x:c>
      <x:c r="AI233" s="17" t="n">
        <x:f>SUM(U233:Y233)</x:f>
        <x:v>0</x:v>
      </x:c>
      <x:c r="AJ233" s="17" t="str">
        <x:f>IF(AE233&lt;=34,"≤34",IF(AE233&lt;=44,"35–44",IF(AE233&lt;=54,"45–54",IF(AE233&lt;=64,"55–64","65+"))))</x:f>
        <x:v>35–44</x:v>
      </x:c>
      <x:c r="AK233" s="17" t="str">
        <x:f>IF(AG233&gt;=1000,"High Value",IF(AG233&gt;=300,"Mid Value","Low Value"))</x:f>
        <x:v>Low Value</x:v>
      </x:c>
      <x:c r="AL233" s="17" t="str">
        <x:f>IF(AND(AI233&gt;=1,I233&lt;=50),"Priority 1",IF(AND(AG233&gt;=1000,I233&lt;=60),"Priority 2",IF(I233&lt;=30,"Priority 3","Nurture")))</x:f>
        <x:v>Nurture</x:v>
      </x:c>
    </x:row>
    <x:row r="234">
      <x:c r="A234" s="16" t="n">
        <x:v>9617</x:v>
      </x:c>
      <x:c r="B234" s="16" t="n">
        <x:v>1951</x:v>
      </x:c>
      <x:c r="C234" s="16" t="str">
        <x:v>Graduation</x:v>
      </x:c>
      <x:c r="D234" s="16" t="str">
        <x:v>Single</x:v>
      </x:c>
      <x:c r="E234" s="16" t="n">
        <x:v>15033</x:v>
      </x:c>
      <x:c r="F234" s="16" t="n">
        <x:v>0</x:v>
      </x:c>
      <x:c r="G234" s="16" t="n">
        <x:v>0</x:v>
      </x:c>
      <x:c r="H234" s="16" t="str">
        <x:v>16-04-2014</x:v>
      </x:c>
      <x:c r="I234" s="16" t="n">
        <x:v>37</x:v>
      </x:c>
      <x:c r="J234" s="16" t="n">
        <x:v>0</x:v>
      </x:c>
      <x:c r="K234" s="16" t="n">
        <x:v>4</x:v>
      </x:c>
      <x:c r="L234" s="16" t="n">
        <x:v>5</x:v>
      </x:c>
      <x:c r="M234" s="16" t="n">
        <x:v>6</x:v>
      </x:c>
      <x:c r="N234" s="16" t="n">
        <x:v>0</x:v>
      </x:c>
      <x:c r="O234" s="16" t="n">
        <x:v>4</x:v>
      </x:c>
      <x:c r="P234" s="16" t="n">
        <x:v>1</x:v>
      </x:c>
      <x:c r="Q234" s="16" t="n">
        <x:v>1</x:v>
      </x:c>
      <x:c r="R234" s="16" t="n">
        <x:v>0</x:v>
      </x:c>
      <x:c r="S234" s="16" t="n">
        <x:v>3</x:v>
      </x:c>
      <x:c r="T234" s="16" t="n">
        <x:v>3</x:v>
      </x:c>
      <x:c r="U234" s="16" t="n">
        <x:v>0</x:v>
      </x:c>
      <x:c r="V234" s="16" t="n">
        <x:v>0</x:v>
      </x:c>
      <x:c r="W234" s="16" t="n">
        <x:v>0</x:v>
      </x:c>
      <x:c r="X234" s="16" t="n">
        <x:v>0</x:v>
      </x:c>
      <x:c r="Y234" s="16" t="n">
        <x:v>0</x:v>
      </x:c>
      <x:c r="Z234" s="16" t="n">
        <x:v>0</x:v>
      </x:c>
      <x:c r="AA234" s="16" t="n">
        <x:v>3</x:v>
      </x:c>
      <x:c r="AB234" s="16" t="n">
        <x:v>11</x:v>
      </x:c>
      <x:c r="AC234" s="16" t="n">
        <x:v>0</x:v>
      </x:c>
      <x:c r="AD234" s="21" t="n">
        <x:f>IF(E234="",MEDIAN($E$2:$E$2237),E234)</x:f>
        <x:v>15033</x:v>
      </x:c>
      <x:c r="AE234" s="17" t="n">
        <x:f>2014-B234</x:f>
        <x:v>63</x:v>
      </x:c>
      <x:c r="AF234" s="17" t="n">
        <x:f>F234+G234</x:f>
        <x:v>0</x:v>
      </x:c>
      <x:c r="AG234" s="21" t="n">
        <x:f>SUM(J234:O234)</x:f>
        <x:v>19</x:v>
      </x:c>
      <x:c r="AH234" s="17" t="n">
        <x:f>SUM(Q234:S234)</x:f>
        <x:v>4</x:v>
      </x:c>
      <x:c r="AI234" s="17" t="n">
        <x:f>SUM(U234:Y234)</x:f>
        <x:v>0</x:v>
      </x:c>
      <x:c r="AJ234" s="17" t="str">
        <x:f>IF(AE234&lt;=34,"≤34",IF(AE234&lt;=44,"35–44",IF(AE234&lt;=54,"45–54",IF(AE234&lt;=64,"55–64","65+"))))</x:f>
        <x:v>55–64</x:v>
      </x:c>
      <x:c r="AK234" s="17" t="str">
        <x:f>IF(AG234&gt;=1000,"High Value",IF(AG234&gt;=300,"Mid Value","Low Value"))</x:f>
        <x:v>Low Value</x:v>
      </x:c>
      <x:c r="AL234" s="17" t="str">
        <x:f>IF(AND(AI234&gt;=1,I234&lt;=50),"Priority 1",IF(AND(AG234&gt;=1000,I234&lt;=60),"Priority 2",IF(I234&lt;=30,"Priority 3","Nurture")))</x:f>
        <x:v>Nurture</x:v>
      </x:c>
    </x:row>
    <x:row r="235">
      <x:c r="A235" s="16" t="n">
        <x:v>3233</x:v>
      </x:c>
      <x:c r="B235" s="16" t="n">
        <x:v>1965</x:v>
      </x:c>
      <x:c r="C235" s="16" t="str">
        <x:v>PhD</x:v>
      </x:c>
      <x:c r="D235" s="16" t="str">
        <x:v>Married</x:v>
      </x:c>
      <x:c r="E235" s="16" t="n">
        <x:v>62745</x:v>
      </x:c>
      <x:c r="F235" s="16" t="n">
        <x:v>0</x:v>
      </x:c>
      <x:c r="G235" s="16" t="n">
        <x:v>1</x:v>
      </x:c>
      <x:c r="H235" s="16" t="str">
        <x:v>23-03-2013</x:v>
      </x:c>
      <x:c r="I235" s="16" t="n">
        <x:v>89</x:v>
      </x:c>
      <x:c r="J235" s="16" t="n">
        <x:v>562</x:v>
      </x:c>
      <x:c r="K235" s="16" t="n">
        <x:v>21</x:v>
      </x:c>
      <x:c r="L235" s="16" t="n">
        <x:v>464</x:v>
      </x:c>
      <x:c r="M235" s="16" t="n">
        <x:v>28</x:v>
      </x:c>
      <x:c r="N235" s="16" t="n">
        <x:v>10</x:v>
      </x:c>
      <x:c r="O235" s="16" t="n">
        <x:v>32</x:v>
      </x:c>
      <x:c r="P235" s="16" t="n">
        <x:v>3</x:v>
      </x:c>
      <x:c r="Q235" s="16" t="n">
        <x:v>7</x:v>
      </x:c>
      <x:c r="R235" s="16" t="n">
        <x:v>8</x:v>
      </x:c>
      <x:c r="S235" s="16" t="n">
        <x:v>11</x:v>
      </x:c>
      <x:c r="T235" s="16" t="n">
        <x:v>5</x:v>
      </x:c>
      <x:c r="U235" s="16" t="n">
        <x:v>0</x:v>
      </x:c>
      <x:c r="V235" s="16" t="n">
        <x:v>0</x:v>
      </x:c>
      <x:c r="W235" s="16" t="n">
        <x:v>0</x:v>
      </x:c>
      <x:c r="X235" s="16" t="n">
        <x:v>0</x:v>
      </x:c>
      <x:c r="Y235" s="16" t="n">
        <x:v>0</x:v>
      </x:c>
      <x:c r="Z235" s="16" t="n">
        <x:v>0</x:v>
      </x:c>
      <x:c r="AA235" s="16" t="n">
        <x:v>3</x:v>
      </x:c>
      <x:c r="AB235" s="16" t="n">
        <x:v>11</x:v>
      </x:c>
      <x:c r="AC235" s="16" t="n">
        <x:v>0</x:v>
      </x:c>
      <x:c r="AD235" s="21" t="n">
        <x:f>IF(E235="",MEDIAN($E$2:$E$2237),E235)</x:f>
        <x:v>62745</x:v>
      </x:c>
      <x:c r="AE235" s="17" t="n">
        <x:f>2014-B235</x:f>
        <x:v>49</x:v>
      </x:c>
      <x:c r="AF235" s="17" t="n">
        <x:f>F235+G235</x:f>
        <x:v>1</x:v>
      </x:c>
      <x:c r="AG235" s="21" t="n">
        <x:f>SUM(J235:O235)</x:f>
        <x:v>1117</x:v>
      </x:c>
      <x:c r="AH235" s="17" t="n">
        <x:f>SUM(Q235:S235)</x:f>
        <x:v>26</x:v>
      </x:c>
      <x:c r="AI235" s="17" t="n">
        <x:f>SUM(U235:Y235)</x:f>
        <x:v>0</x:v>
      </x:c>
      <x:c r="AJ235" s="17" t="str">
        <x:f>IF(AE235&lt;=34,"≤34",IF(AE235&lt;=44,"35–44",IF(AE235&lt;=54,"45–54",IF(AE235&lt;=64,"55–64","65+"))))</x:f>
        <x:v>45–54</x:v>
      </x:c>
      <x:c r="AK235" s="17" t="str">
        <x:f>IF(AG235&gt;=1000,"High Value",IF(AG235&gt;=300,"Mid Value","Low Value"))</x:f>
        <x:v>High Value</x:v>
      </x:c>
      <x:c r="AL235" s="17" t="str">
        <x:f>IF(AND(AI235&gt;=1,I235&lt;=50),"Priority 1",IF(AND(AG235&gt;=1000,I235&lt;=60),"Priority 2",IF(I235&lt;=30,"Priority 3","Nurture")))</x:f>
        <x:v>Nurture</x:v>
      </x:c>
    </x:row>
    <x:row r="236">
      <x:c r="A236" s="16" t="n">
        <x:v>89</x:v>
      </x:c>
      <x:c r="B236" s="16" t="n">
        <x:v>1975</x:v>
      </x:c>
      <x:c r="C236" s="16" t="str">
        <x:v>2n Cycle</x:v>
      </x:c>
      <x:c r="D236" s="16" t="str">
        <x:v>Married</x:v>
      </x:c>
      <x:c r="E236" s="16" t="n">
        <x:v>22212</x:v>
      </x:c>
      <x:c r="F236" s="16" t="n">
        <x:v>1</x:v>
      </x:c>
      <x:c r="G236" s="16" t="n">
        <x:v>0</x:v>
      </x:c>
      <x:c r="H236" s="16" t="str">
        <x:v>09-12-2013</x:v>
      </x:c>
      <x:c r="I236" s="16" t="n">
        <x:v>49</x:v>
      </x:c>
      <x:c r="J236" s="16" t="n">
        <x:v>5</x:v>
      </x:c>
      <x:c r="K236" s="16" t="n">
        <x:v>9</x:v>
      </x:c>
      <x:c r="L236" s="16" t="n">
        <x:v>20</x:v>
      </x:c>
      <x:c r="M236" s="16" t="n">
        <x:v>6</x:v>
      </x:c>
      <x:c r="N236" s="16" t="n">
        <x:v>8</x:v>
      </x:c>
      <x:c r="O236" s="16" t="n">
        <x:v>21</x:v>
      </x:c>
      <x:c r="P236" s="16" t="n">
        <x:v>2</x:v>
      </x:c>
      <x:c r="Q236" s="16" t="n">
        <x:v>2</x:v>
      </x:c>
      <x:c r="R236" s="16" t="n">
        <x:v>0</x:v>
      </x:c>
      <x:c r="S236" s="16" t="n">
        <x:v>4</x:v>
      </x:c>
      <x:c r="T236" s="16" t="n">
        <x:v>6</x:v>
      </x:c>
      <x:c r="U236" s="16" t="n">
        <x:v>0</x:v>
      </x:c>
      <x:c r="V236" s="16" t="n">
        <x:v>0</x:v>
      </x:c>
      <x:c r="W236" s="16" t="n">
        <x:v>0</x:v>
      </x:c>
      <x:c r="X236" s="16" t="n">
        <x:v>0</x:v>
      </x:c>
      <x:c r="Y236" s="16" t="n">
        <x:v>0</x:v>
      </x:c>
      <x:c r="Z236" s="16" t="n">
        <x:v>0</x:v>
      </x:c>
      <x:c r="AA236" s="16" t="n">
        <x:v>3</x:v>
      </x:c>
      <x:c r="AB236" s="16" t="n">
        <x:v>11</x:v>
      </x:c>
      <x:c r="AC236" s="16" t="n">
        <x:v>0</x:v>
      </x:c>
      <x:c r="AD236" s="21" t="n">
        <x:f>IF(E236="",MEDIAN($E$2:$E$2237),E236)</x:f>
        <x:v>22212</x:v>
      </x:c>
      <x:c r="AE236" s="17" t="n">
        <x:f>2014-B236</x:f>
        <x:v>39</x:v>
      </x:c>
      <x:c r="AF236" s="17" t="n">
        <x:f>F236+G236</x:f>
        <x:v>1</x:v>
      </x:c>
      <x:c r="AG236" s="21" t="n">
        <x:f>SUM(J236:O236)</x:f>
        <x:v>69</x:v>
      </x:c>
      <x:c r="AH236" s="17" t="n">
        <x:f>SUM(Q236:S236)</x:f>
        <x:v>6</x:v>
      </x:c>
      <x:c r="AI236" s="17" t="n">
        <x:f>SUM(U236:Y236)</x:f>
        <x:v>0</x:v>
      </x:c>
      <x:c r="AJ236" s="17" t="str">
        <x:f>IF(AE236&lt;=34,"≤34",IF(AE236&lt;=44,"35–44",IF(AE236&lt;=54,"45–54",IF(AE236&lt;=64,"55–64","65+"))))</x:f>
        <x:v>35–44</x:v>
      </x:c>
      <x:c r="AK236" s="17" t="str">
        <x:f>IF(AG236&gt;=1000,"High Value",IF(AG236&gt;=300,"Mid Value","Low Value"))</x:f>
        <x:v>Low Value</x:v>
      </x:c>
      <x:c r="AL236" s="17" t="str">
        <x:f>IF(AND(AI236&gt;=1,I236&lt;=50),"Priority 1",IF(AND(AG236&gt;=1000,I236&lt;=60),"Priority 2",IF(I236&lt;=30,"Priority 3","Nurture")))</x:f>
        <x:v>Nurture</x:v>
      </x:c>
    </x:row>
    <x:row r="237">
      <x:c r="A237" s="16" t="n">
        <x:v>2936</x:v>
      </x:c>
      <x:c r="B237" s="16" t="n">
        <x:v>1982</x:v>
      </x:c>
      <x:c r="C237" s="16" t="str">
        <x:v>Master</x:v>
      </x:c>
      <x:c r="D237" s="16" t="str">
        <x:v>Together</x:v>
      </x:c>
      <x:c r="E237" s="16" t="n">
        <x:v>23661</x:v>
      </x:c>
      <x:c r="F237" s="16" t="n">
        <x:v>1</x:v>
      </x:c>
      <x:c r="G237" s="16" t="n">
        <x:v>0</x:v>
      </x:c>
      <x:c r="H237" s="16" t="str">
        <x:v>04-12-2013</x:v>
      </x:c>
      <x:c r="I237" s="16" t="n">
        <x:v>46</x:v>
      </x:c>
      <x:c r="J237" s="16" t="n">
        <x:v>18</x:v>
      </x:c>
      <x:c r="K237" s="16" t="n">
        <x:v>0</x:v>
      </x:c>
      <x:c r="L237" s="16" t="n">
        <x:v>4</x:v>
      </x:c>
      <x:c r="M237" s="16" t="n">
        <x:v>0</x:v>
      </x:c>
      <x:c r="N237" s="16" t="n">
        <x:v>0</x:v>
      </x:c>
      <x:c r="O237" s="16" t="n">
        <x:v>1</x:v>
      </x:c>
      <x:c r="P237" s="16" t="n">
        <x:v>1</x:v>
      </x:c>
      <x:c r="Q237" s="16" t="n">
        <x:v>1</x:v>
      </x:c>
      <x:c r="R237" s="16" t="n">
        <x:v>0</x:v>
      </x:c>
      <x:c r="S237" s="16" t="n">
        <x:v>3</x:v>
      </x:c>
      <x:c r="T237" s="16" t="n">
        <x:v>7</x:v>
      </x:c>
      <x:c r="U237" s="16" t="n">
        <x:v>0</x:v>
      </x:c>
      <x:c r="V237" s="16" t="n">
        <x:v>0</x:v>
      </x:c>
      <x:c r="W237" s="16" t="n">
        <x:v>0</x:v>
      </x:c>
      <x:c r="X237" s="16" t="n">
        <x:v>0</x:v>
      </x:c>
      <x:c r="Y237" s="16" t="n">
        <x:v>0</x:v>
      </x:c>
      <x:c r="Z237" s="16" t="n">
        <x:v>0</x:v>
      </x:c>
      <x:c r="AA237" s="16" t="n">
        <x:v>3</x:v>
      </x:c>
      <x:c r="AB237" s="16" t="n">
        <x:v>11</x:v>
      </x:c>
      <x:c r="AC237" s="16" t="n">
        <x:v>0</x:v>
      </x:c>
      <x:c r="AD237" s="21" t="n">
        <x:f>IF(E237="",MEDIAN($E$2:$E$2237),E237)</x:f>
        <x:v>23661</x:v>
      </x:c>
      <x:c r="AE237" s="17" t="n">
        <x:f>2014-B237</x:f>
        <x:v>32</x:v>
      </x:c>
      <x:c r="AF237" s="17" t="n">
        <x:f>F237+G237</x:f>
        <x:v>1</x:v>
      </x:c>
      <x:c r="AG237" s="21" t="n">
        <x:f>SUM(J237:O237)</x:f>
        <x:v>23</x:v>
      </x:c>
      <x:c r="AH237" s="17" t="n">
        <x:f>SUM(Q237:S237)</x:f>
        <x:v>4</x:v>
      </x:c>
      <x:c r="AI237" s="17" t="n">
        <x:f>SUM(U237:Y237)</x:f>
        <x:v>0</x:v>
      </x:c>
      <x:c r="AJ237" s="17" t="str">
        <x:f>IF(AE237&lt;=34,"≤34",IF(AE237&lt;=44,"35–44",IF(AE237&lt;=54,"45–54",IF(AE237&lt;=64,"55–64","65+"))))</x:f>
        <x:v>≤34</x:v>
      </x:c>
      <x:c r="AK237" s="17" t="str">
        <x:f>IF(AG237&gt;=1000,"High Value",IF(AG237&gt;=300,"Mid Value","Low Value"))</x:f>
        <x:v>Low Value</x:v>
      </x:c>
      <x:c r="AL237" s="17" t="str">
        <x:f>IF(AND(AI237&gt;=1,I237&lt;=50),"Priority 1",IF(AND(AG237&gt;=1000,I237&lt;=60),"Priority 2",IF(I237&lt;=30,"Priority 3","Nurture")))</x:f>
        <x:v>Nurture</x:v>
      </x:c>
    </x:row>
    <x:row r="238">
      <x:c r="A238" s="16" t="n">
        <x:v>9449</x:v>
      </x:c>
      <x:c r="B238" s="16" t="n">
        <x:v>1958</x:v>
      </x:c>
      <x:c r="C238" s="16" t="str">
        <x:v>PhD</x:v>
      </x:c>
      <x:c r="D238" s="16" t="str">
        <x:v>Single</x:v>
      </x:c>
      <x:c r="E238" s="16" t="n">
        <x:v>79761</x:v>
      </x:c>
      <x:c r="F238" s="16" t="n">
        <x:v>0</x:v>
      </x:c>
      <x:c r="G238" s="16" t="n">
        <x:v>1</x:v>
      </x:c>
      <x:c r="H238" s="16" t="str">
        <x:v>04-10-2013</x:v>
      </x:c>
      <x:c r="I238" s="16" t="n">
        <x:v>32</x:v>
      </x:c>
      <x:c r="J238" s="16" t="n">
        <x:v>415</x:v>
      </x:c>
      <x:c r="K238" s="16" t="n">
        <x:v>5</x:v>
      </x:c>
      <x:c r="L238" s="16" t="n">
        <x:v>124</x:v>
      </x:c>
      <x:c r="M238" s="16" t="n">
        <x:v>15</x:v>
      </x:c>
      <x:c r="N238" s="16" t="n">
        <x:v>35</x:v>
      </x:c>
      <x:c r="O238" s="16" t="n">
        <x:v>11</x:v>
      </x:c>
      <x:c r="P238" s="16" t="n">
        <x:v>1</x:v>
      </x:c>
      <x:c r="Q238" s="16" t="n">
        <x:v>5</x:v>
      </x:c>
      <x:c r="R238" s="16" t="n">
        <x:v>2</x:v>
      </x:c>
      <x:c r="S238" s="16" t="n">
        <x:v>11</x:v>
      </x:c>
      <x:c r="T238" s="16" t="n">
        <x:v>3</x:v>
      </x:c>
      <x:c r="U238" s="16" t="n">
        <x:v>0</x:v>
      </x:c>
      <x:c r="V238" s="16" t="n">
        <x:v>0</x:v>
      </x:c>
      <x:c r="W238" s="16" t="n">
        <x:v>0</x:v>
      </x:c>
      <x:c r="X238" s="16" t="n">
        <x:v>0</x:v>
      </x:c>
      <x:c r="Y238" s="16" t="n">
        <x:v>0</x:v>
      </x:c>
      <x:c r="Z238" s="16" t="n">
        <x:v>0</x:v>
      </x:c>
      <x:c r="AA238" s="16" t="n">
        <x:v>3</x:v>
      </x:c>
      <x:c r="AB238" s="16" t="n">
        <x:v>11</x:v>
      </x:c>
      <x:c r="AC238" s="16" t="n">
        <x:v>0</x:v>
      </x:c>
      <x:c r="AD238" s="21" t="n">
        <x:f>IF(E238="",MEDIAN($E$2:$E$2237),E238)</x:f>
        <x:v>79761</x:v>
      </x:c>
      <x:c r="AE238" s="17" t="n">
        <x:f>2014-B238</x:f>
        <x:v>56</x:v>
      </x:c>
      <x:c r="AF238" s="17" t="n">
        <x:f>F238+G238</x:f>
        <x:v>1</x:v>
      </x:c>
      <x:c r="AG238" s="21" t="n">
        <x:f>SUM(J238:O238)</x:f>
        <x:v>605</x:v>
      </x:c>
      <x:c r="AH238" s="17" t="n">
        <x:f>SUM(Q238:S238)</x:f>
        <x:v>18</x:v>
      </x:c>
      <x:c r="AI238" s="17" t="n">
        <x:f>SUM(U238:Y238)</x:f>
        <x:v>0</x:v>
      </x:c>
      <x:c r="AJ238" s="17" t="str">
        <x:f>IF(AE238&lt;=34,"≤34",IF(AE238&lt;=44,"35–44",IF(AE238&lt;=54,"45–54",IF(AE238&lt;=64,"55–64","65+"))))</x:f>
        <x:v>55–64</x:v>
      </x:c>
      <x:c r="AK238" s="17" t="str">
        <x:f>IF(AG238&gt;=1000,"High Value",IF(AG238&gt;=300,"Mid Value","Low Value"))</x:f>
        <x:v>Mid Value</x:v>
      </x:c>
      <x:c r="AL238" s="17" t="str">
        <x:f>IF(AND(AI238&gt;=1,I238&lt;=50),"Priority 1",IF(AND(AG238&gt;=1000,I238&lt;=60),"Priority 2",IF(I238&lt;=30,"Priority 3","Nurture")))</x:f>
        <x:v>Nurture</x:v>
      </x:c>
    </x:row>
    <x:row r="239">
      <x:c r="A239" s="16" t="n">
        <x:v>7297</x:v>
      </x:c>
      <x:c r="B239" s="16" t="n">
        <x:v>1973</x:v>
      </x:c>
      <x:c r="C239" s="16" t="str">
        <x:v>Graduation</x:v>
      </x:c>
      <x:c r="D239" s="16" t="str">
        <x:v>Single</x:v>
      </x:c>
      <x:c r="E239" s="16" t="n">
        <x:v>7500</x:v>
      </x:c>
      <x:c r="F239" s="16" t="n">
        <x:v>1</x:v>
      </x:c>
      <x:c r="G239" s="16" t="n">
        <x:v>0</x:v>
      </x:c>
      <x:c r="H239" s="16" t="str">
        <x:v>26-12-2013</x:v>
      </x:c>
      <x:c r="I239" s="16" t="n">
        <x:v>54</x:v>
      </x:c>
      <x:c r="J239" s="16" t="n">
        <x:v>5</x:v>
      </x:c>
      <x:c r="K239" s="16" t="n">
        <x:v>3</x:v>
      </x:c>
      <x:c r="L239" s="16" t="n">
        <x:v>10</x:v>
      </x:c>
      <x:c r="M239" s="16" t="n">
        <x:v>12</x:v>
      </x:c>
      <x:c r="N239" s="16" t="n">
        <x:v>7</x:v>
      </x:c>
      <x:c r="O239" s="16" t="n">
        <x:v>20</x:v>
      </x:c>
      <x:c r="P239" s="16" t="n">
        <x:v>4</x:v>
      </x:c>
      <x:c r="Q239" s="16" t="n">
        <x:v>3</x:v>
      </x:c>
      <x:c r="R239" s="16" t="n">
        <x:v>1</x:v>
      </x:c>
      <x:c r="S239" s="16" t="n">
        <x:v>3</x:v>
      </x:c>
      <x:c r="T239" s="16" t="n">
        <x:v>7</x:v>
      </x:c>
      <x:c r="U239" s="16" t="n">
        <x:v>0</x:v>
      </x:c>
      <x:c r="V239" s="16" t="n">
        <x:v>0</x:v>
      </x:c>
      <x:c r="W239" s="16" t="n">
        <x:v>0</x:v>
      </x:c>
      <x:c r="X239" s="16" t="n">
        <x:v>0</x:v>
      </x:c>
      <x:c r="Y239" s="16" t="n">
        <x:v>0</x:v>
      </x:c>
      <x:c r="Z239" s="16" t="n">
        <x:v>0</x:v>
      </x:c>
      <x:c r="AA239" s="16" t="n">
        <x:v>3</x:v>
      </x:c>
      <x:c r="AB239" s="16" t="n">
        <x:v>11</x:v>
      </x:c>
      <x:c r="AC239" s="16" t="n">
        <x:v>0</x:v>
      </x:c>
      <x:c r="AD239" s="21" t="n">
        <x:f>IF(E239="",MEDIAN($E$2:$E$2237),E239)</x:f>
        <x:v>7500</x:v>
      </x:c>
      <x:c r="AE239" s="17" t="n">
        <x:f>2014-B239</x:f>
        <x:v>41</x:v>
      </x:c>
      <x:c r="AF239" s="17" t="n">
        <x:f>F239+G239</x:f>
        <x:v>1</x:v>
      </x:c>
      <x:c r="AG239" s="21" t="n">
        <x:f>SUM(J239:O239)</x:f>
        <x:v>57</x:v>
      </x:c>
      <x:c r="AH239" s="17" t="n">
        <x:f>SUM(Q239:S239)</x:f>
        <x:v>7</x:v>
      </x:c>
      <x:c r="AI239" s="17" t="n">
        <x:f>SUM(U239:Y239)</x:f>
        <x:v>0</x:v>
      </x:c>
      <x:c r="AJ239" s="17" t="str">
        <x:f>IF(AE239&lt;=34,"≤34",IF(AE239&lt;=44,"35–44",IF(AE239&lt;=54,"45–54",IF(AE239&lt;=64,"55–64","65+"))))</x:f>
        <x:v>35–44</x:v>
      </x:c>
      <x:c r="AK239" s="17" t="str">
        <x:f>IF(AG239&gt;=1000,"High Value",IF(AG239&gt;=300,"Mid Value","Low Value"))</x:f>
        <x:v>Low Value</x:v>
      </x:c>
      <x:c r="AL239" s="17" t="str">
        <x:f>IF(AND(AI239&gt;=1,I239&lt;=50),"Priority 1",IF(AND(AG239&gt;=1000,I239&lt;=60),"Priority 2",IF(I239&lt;=30,"Priority 3","Nurture")))</x:f>
        <x:v>Nurture</x:v>
      </x:c>
    </x:row>
    <x:row r="240">
      <x:c r="A240" s="16" t="n">
        <x:v>313</x:v>
      </x:c>
      <x:c r="B240" s="16" t="n">
        <x:v>1968</x:v>
      </x:c>
      <x:c r="C240" s="16" t="str">
        <x:v>Graduation</x:v>
      </x:c>
      <x:c r="D240" s="16" t="str">
        <x:v>Widow</x:v>
      </x:c>
      <x:c r="E240" s="16" t="n">
        <x:v>73455</x:v>
      </x:c>
      <x:c r="F240" s="16" t="n">
        <x:v>0</x:v>
      </x:c>
      <x:c r="G240" s="16" t="n">
        <x:v>0</x:v>
      </x:c>
      <x:c r="H240" s="16" t="str">
        <x:v>28-10-2013</x:v>
      </x:c>
      <x:c r="I240" s="16" t="n">
        <x:v>98</x:v>
      </x:c>
      <x:c r="J240" s="16" t="n">
        <x:v>901</x:v>
      </x:c>
      <x:c r="K240" s="16" t="n">
        <x:v>61</x:v>
      </x:c>
      <x:c r="L240" s="16" t="n">
        <x:v>757</x:v>
      </x:c>
      <x:c r="M240" s="16" t="n">
        <x:v>186</x:v>
      </x:c>
      <x:c r="N240" s="16" t="n">
        <x:v>163</x:v>
      </x:c>
      <x:c r="O240" s="16" t="n">
        <x:v>20</x:v>
      </x:c>
      <x:c r="P240" s="16" t="n">
        <x:v>1</x:v>
      </x:c>
      <x:c r="Q240" s="16" t="n">
        <x:v>6</x:v>
      </x:c>
      <x:c r="R240" s="16" t="n">
        <x:v>5</x:v>
      </x:c>
      <x:c r="S240" s="16" t="n">
        <x:v>10</x:v>
      </x:c>
      <x:c r="T240" s="16" t="n">
        <x:v>3</x:v>
      </x:c>
      <x:c r="U240" s="16" t="n">
        <x:v>0</x:v>
      </x:c>
      <x:c r="V240" s="16" t="n">
        <x:v>1</x:v>
      </x:c>
      <x:c r="W240" s="16" t="n">
        <x:v>0</x:v>
      </x:c>
      <x:c r="X240" s="16" t="n">
        <x:v>0</x:v>
      </x:c>
      <x:c r="Y240" s="16" t="n">
        <x:v>0</x:v>
      </x:c>
      <x:c r="Z240" s="16" t="n">
        <x:v>0</x:v>
      </x:c>
      <x:c r="AA240" s="16" t="n">
        <x:v>3</x:v>
      </x:c>
      <x:c r="AB240" s="16" t="n">
        <x:v>11</x:v>
      </x:c>
      <x:c r="AC240" s="16" t="n">
        <x:v>0</x:v>
      </x:c>
      <x:c r="AD240" s="21" t="n">
        <x:f>IF(E240="",MEDIAN($E$2:$E$2237),E240)</x:f>
        <x:v>73455</x:v>
      </x:c>
      <x:c r="AE240" s="17" t="n">
        <x:f>2014-B240</x:f>
        <x:v>46</x:v>
      </x:c>
      <x:c r="AF240" s="17" t="n">
        <x:f>F240+G240</x:f>
        <x:v>0</x:v>
      </x:c>
      <x:c r="AG240" s="21" t="n">
        <x:f>SUM(J240:O240)</x:f>
        <x:v>2088</x:v>
      </x:c>
      <x:c r="AH240" s="17" t="n">
        <x:f>SUM(Q240:S240)</x:f>
        <x:v>21</x:v>
      </x:c>
      <x:c r="AI240" s="17" t="n">
        <x:f>SUM(U240:Y240)</x:f>
        <x:v>1</x:v>
      </x:c>
      <x:c r="AJ240" s="17" t="str">
        <x:f>IF(AE240&lt;=34,"≤34",IF(AE240&lt;=44,"35–44",IF(AE240&lt;=54,"45–54",IF(AE240&lt;=64,"55–64","65+"))))</x:f>
        <x:v>45–54</x:v>
      </x:c>
      <x:c r="AK240" s="17" t="str">
        <x:f>IF(AG240&gt;=1000,"High Value",IF(AG240&gt;=300,"Mid Value","Low Value"))</x:f>
        <x:v>High Value</x:v>
      </x:c>
      <x:c r="AL240" s="17" t="str">
        <x:f>IF(AND(AI240&gt;=1,I240&lt;=50),"Priority 1",IF(AND(AG240&gt;=1000,I240&lt;=60),"Priority 2",IF(I240&lt;=30,"Priority 3","Nurture")))</x:f>
        <x:v>Nurture</x:v>
      </x:c>
    </x:row>
    <x:row r="241">
      <x:c r="A241" s="16" t="n">
        <x:v>9940</x:v>
      </x:c>
      <x:c r="B241" s="16" t="n">
        <x:v>1958</x:v>
      </x:c>
      <x:c r="C241" s="16" t="str">
        <x:v>Graduation</x:v>
      </x:c>
      <x:c r="D241" s="16" t="str">
        <x:v>Together</x:v>
      </x:c>
      <x:c r="E241" s="16" t="n">
        <x:v>64961</x:v>
      </x:c>
      <x:c r="F241" s="16" t="n">
        <x:v>0</x:v>
      </x:c>
      <x:c r="G241" s="16" t="n">
        <x:v>1</x:v>
      </x:c>
      <x:c r="H241" s="16" t="str">
        <x:v>23-12-2012</x:v>
      </x:c>
      <x:c r="I241" s="16" t="n">
        <x:v>97</x:v>
      </x:c>
      <x:c r="J241" s="16" t="n">
        <x:v>382</x:v>
      </x:c>
      <x:c r="K241" s="16" t="n">
        <x:v>114</x:v>
      </x:c>
      <x:c r="L241" s="16" t="n">
        <x:v>276</x:v>
      </x:c>
      <x:c r="M241" s="16" t="n">
        <x:v>75</x:v>
      </x:c>
      <x:c r="N241" s="16" t="n">
        <x:v>124</x:v>
      </x:c>
      <x:c r="O241" s="16" t="n">
        <x:v>38</x:v>
      </x:c>
      <x:c r="P241" s="16" t="n">
        <x:v>2</x:v>
      </x:c>
      <x:c r="Q241" s="16" t="n">
        <x:v>6</x:v>
      </x:c>
      <x:c r="R241" s="16" t="n">
        <x:v>4</x:v>
      </x:c>
      <x:c r="S241" s="16" t="n">
        <x:v>4</x:v>
      </x:c>
      <x:c r="T241" s="16" t="n">
        <x:v>3</x:v>
      </x:c>
      <x:c r="U241" s="16" t="n">
        <x:v>0</x:v>
      </x:c>
      <x:c r="V241" s="16" t="n">
        <x:v>0</x:v>
      </x:c>
      <x:c r="W241" s="16" t="n">
        <x:v>0</x:v>
      </x:c>
      <x:c r="X241" s="16" t="n">
        <x:v>0</x:v>
      </x:c>
      <x:c r="Y241" s="16" t="n">
        <x:v>0</x:v>
      </x:c>
      <x:c r="Z241" s="16" t="n">
        <x:v>0</x:v>
      </x:c>
      <x:c r="AA241" s="16" t="n">
        <x:v>3</x:v>
      </x:c>
      <x:c r="AB241" s="16" t="n">
        <x:v>11</x:v>
      </x:c>
      <x:c r="AC241" s="16" t="n">
        <x:v>0</x:v>
      </x:c>
      <x:c r="AD241" s="21" t="n">
        <x:f>IF(E241="",MEDIAN($E$2:$E$2237),E241)</x:f>
        <x:v>64961</x:v>
      </x:c>
      <x:c r="AE241" s="17" t="n">
        <x:f>2014-B241</x:f>
        <x:v>56</x:v>
      </x:c>
      <x:c r="AF241" s="17" t="n">
        <x:f>F241+G241</x:f>
        <x:v>1</x:v>
      </x:c>
      <x:c r="AG241" s="21" t="n">
        <x:f>SUM(J241:O241)</x:f>
        <x:v>1009</x:v>
      </x:c>
      <x:c r="AH241" s="17" t="n">
        <x:f>SUM(Q241:S241)</x:f>
        <x:v>14</x:v>
      </x:c>
      <x:c r="AI241" s="17" t="n">
        <x:f>SUM(U241:Y241)</x:f>
        <x:v>0</x:v>
      </x:c>
      <x:c r="AJ241" s="17" t="str">
        <x:f>IF(AE241&lt;=34,"≤34",IF(AE241&lt;=44,"35–44",IF(AE241&lt;=54,"45–54",IF(AE241&lt;=64,"55–64","65+"))))</x:f>
        <x:v>55–64</x:v>
      </x:c>
      <x:c r="AK241" s="17" t="str">
        <x:f>IF(AG241&gt;=1000,"High Value",IF(AG241&gt;=300,"Mid Value","Low Value"))</x:f>
        <x:v>High Value</x:v>
      </x:c>
      <x:c r="AL241" s="17" t="str">
        <x:f>IF(AND(AI241&gt;=1,I241&lt;=50),"Priority 1",IF(AND(AG241&gt;=1000,I241&lt;=60),"Priority 2",IF(I241&lt;=30,"Priority 3","Nurture")))</x:f>
        <x:v>Nurture</x:v>
      </x:c>
    </x:row>
    <x:row r="242">
      <x:c r="A242" s="16" t="n">
        <x:v>10735</x:v>
      </x:c>
      <x:c r="B242" s="16" t="n">
        <x:v>1971</x:v>
      </x:c>
      <x:c r="C242" s="16" t="str">
        <x:v>Graduation</x:v>
      </x:c>
      <x:c r="D242" s="16" t="str">
        <x:v>Single</x:v>
      </x:c>
      <x:c r="E242" s="16" t="n">
        <x:v>22804</x:v>
      </x:c>
      <x:c r="F242" s="16" t="n">
        <x:v>1</x:v>
      </x:c>
      <x:c r="G242" s="16" t="n">
        <x:v>0</x:v>
      </x:c>
      <x:c r="H242" s="16" t="str">
        <x:v>31-07-2013</x:v>
      </x:c>
      <x:c r="I242" s="16" t="n">
        <x:v>75</x:v>
      </x:c>
      <x:c r="J242" s="16" t="n">
        <x:v>14</x:v>
      </x:c>
      <x:c r="K242" s="16" t="n">
        <x:v>1</x:v>
      </x:c>
      <x:c r="L242" s="16" t="n">
        <x:v>7</x:v>
      </x:c>
      <x:c r="M242" s="16" t="n">
        <x:v>2</x:v>
      </x:c>
      <x:c r="N242" s="16" t="n">
        <x:v>1</x:v>
      </x:c>
      <x:c r="O242" s="16" t="n">
        <x:v>1</x:v>
      </x:c>
      <x:c r="P242" s="16" t="n">
        <x:v>1</x:v>
      </x:c>
      <x:c r="Q242" s="16" t="n">
        <x:v>2</x:v>
      </x:c>
      <x:c r="R242" s="16" t="n">
        <x:v>0</x:v>
      </x:c>
      <x:c r="S242" s="16" t="n">
        <x:v>2</x:v>
      </x:c>
      <x:c r="T242" s="16" t="n">
        <x:v>9</x:v>
      </x:c>
      <x:c r="U242" s="16" t="n">
        <x:v>0</x:v>
      </x:c>
      <x:c r="V242" s="16" t="n">
        <x:v>0</x:v>
      </x:c>
      <x:c r="W242" s="16" t="n">
        <x:v>0</x:v>
      </x:c>
      <x:c r="X242" s="16" t="n">
        <x:v>0</x:v>
      </x:c>
      <x:c r="Y242" s="16" t="n">
        <x:v>0</x:v>
      </x:c>
      <x:c r="Z242" s="16" t="n">
        <x:v>0</x:v>
      </x:c>
      <x:c r="AA242" s="16" t="n">
        <x:v>3</x:v>
      </x:c>
      <x:c r="AB242" s="16" t="n">
        <x:v>11</x:v>
      </x:c>
      <x:c r="AC242" s="16" t="n">
        <x:v>0</x:v>
      </x:c>
      <x:c r="AD242" s="21" t="n">
        <x:f>IF(E242="",MEDIAN($E$2:$E$2237),E242)</x:f>
        <x:v>22804</x:v>
      </x:c>
      <x:c r="AE242" s="17" t="n">
        <x:f>2014-B242</x:f>
        <x:v>43</x:v>
      </x:c>
      <x:c r="AF242" s="17" t="n">
        <x:f>F242+G242</x:f>
        <x:v>1</x:v>
      </x:c>
      <x:c r="AG242" s="21" t="n">
        <x:f>SUM(J242:O242)</x:f>
        <x:v>26</x:v>
      </x:c>
      <x:c r="AH242" s="17" t="n">
        <x:f>SUM(Q242:S242)</x:f>
        <x:v>4</x:v>
      </x:c>
      <x:c r="AI242" s="17" t="n">
        <x:f>SUM(U242:Y242)</x:f>
        <x:v>0</x:v>
      </x:c>
      <x:c r="AJ242" s="17" t="str">
        <x:f>IF(AE242&lt;=34,"≤34",IF(AE242&lt;=44,"35–44",IF(AE242&lt;=54,"45–54",IF(AE242&lt;=64,"55–64","65+"))))</x:f>
        <x:v>35–44</x:v>
      </x:c>
      <x:c r="AK242" s="17" t="str">
        <x:f>IF(AG242&gt;=1000,"High Value",IF(AG242&gt;=300,"Mid Value","Low Value"))</x:f>
        <x:v>Low Value</x:v>
      </x:c>
      <x:c r="AL242" s="17" t="str">
        <x:f>IF(AND(AI242&gt;=1,I242&lt;=50),"Priority 1",IF(AND(AG242&gt;=1000,I242&lt;=60),"Priority 2",IF(I242&lt;=30,"Priority 3","Nurture")))</x:f>
        <x:v>Nurture</x:v>
      </x:c>
    </x:row>
    <x:row r="243">
      <x:c r="A243" s="16" t="n">
        <x:v>9529</x:v>
      </x:c>
      <x:c r="B243" s="16" t="n">
        <x:v>1990</x:v>
      </x:c>
      <x:c r="C243" s="16" t="str">
        <x:v>Graduation</x:v>
      </x:c>
      <x:c r="D243" s="16" t="str">
        <x:v>Married</x:v>
      </x:c>
      <x:c r="E243" s="16" t="n">
        <x:v>73687</x:v>
      </x:c>
      <x:c r="F243" s="16" t="n">
        <x:v>0</x:v>
      </x:c>
      <x:c r="G243" s="16" t="n">
        <x:v>0</x:v>
      </x:c>
      <x:c r="H243" s="16" t="str">
        <x:v>28-11-2013</x:v>
      </x:c>
      <x:c r="I243" s="16" t="n">
        <x:v>8</x:v>
      </x:c>
      <x:c r="J243" s="16" t="n">
        <x:v>559</x:v>
      </x:c>
      <x:c r="K243" s="16" t="n">
        <x:v>153</x:v>
      </x:c>
      <x:c r="L243" s="16" t="n">
        <x:v>503</x:v>
      </x:c>
      <x:c r="M243" s="16" t="n">
        <x:v>218</x:v>
      </x:c>
      <x:c r="N243" s="16" t="n">
        <x:v>13</x:v>
      </x:c>
      <x:c r="O243" s="16" t="n">
        <x:v>181</x:v>
      </x:c>
      <x:c r="P243" s="16" t="n">
        <x:v>1</x:v>
      </x:c>
      <x:c r="Q243" s="16" t="n">
        <x:v>3</x:v>
      </x:c>
      <x:c r="R243" s="16" t="n">
        <x:v>9</x:v>
      </x:c>
      <x:c r="S243" s="16" t="n">
        <x:v>9</x:v>
      </x:c>
      <x:c r="T243" s="16" t="n">
        <x:v>2</x:v>
      </x:c>
      <x:c r="U243" s="16" t="n">
        <x:v>0</x:v>
      </x:c>
      <x:c r="V243" s="16" t="n">
        <x:v>0</x:v>
      </x:c>
      <x:c r="W243" s="16" t="n">
        <x:v>0</x:v>
      </x:c>
      <x:c r="X243" s="16" t="n">
        <x:v>1</x:v>
      </x:c>
      <x:c r="Y243" s="16" t="n">
        <x:v>0</x:v>
      </x:c>
      <x:c r="Z243" s="16" t="n">
        <x:v>0</x:v>
      </x:c>
      <x:c r="AA243" s="16" t="n">
        <x:v>3</x:v>
      </x:c>
      <x:c r="AB243" s="16" t="n">
        <x:v>11</x:v>
      </x:c>
      <x:c r="AC243" s="16" t="n">
        <x:v>1</x:v>
      </x:c>
      <x:c r="AD243" s="21" t="n">
        <x:f>IF(E243="",MEDIAN($E$2:$E$2237),E243)</x:f>
        <x:v>73687</x:v>
      </x:c>
      <x:c r="AE243" s="17" t="n">
        <x:f>2014-B243</x:f>
        <x:v>24</x:v>
      </x:c>
      <x:c r="AF243" s="17" t="n">
        <x:f>F243+G243</x:f>
        <x:v>0</x:v>
      </x:c>
      <x:c r="AG243" s="21" t="n">
        <x:f>SUM(J243:O243)</x:f>
        <x:v>1627</x:v>
      </x:c>
      <x:c r="AH243" s="17" t="n">
        <x:f>SUM(Q243:S243)</x:f>
        <x:v>21</x:v>
      </x:c>
      <x:c r="AI243" s="17" t="n">
        <x:f>SUM(U243:Y243)</x:f>
        <x:v>1</x:v>
      </x:c>
      <x:c r="AJ243" s="17" t="str">
        <x:f>IF(AE243&lt;=34,"≤34",IF(AE243&lt;=44,"35–44",IF(AE243&lt;=54,"45–54",IF(AE243&lt;=64,"55–64","65+"))))</x:f>
        <x:v>≤34</x:v>
      </x:c>
      <x:c r="AK243" s="17" t="str">
        <x:f>IF(AG243&gt;=1000,"High Value",IF(AG243&gt;=300,"Mid Value","Low Value"))</x:f>
        <x:v>High Value</x:v>
      </x:c>
      <x:c r="AL243" s="17" t="str">
        <x:f>IF(AND(AI243&gt;=1,I243&lt;=50),"Priority 1",IF(AND(AG243&gt;=1000,I243&lt;=60),"Priority 2",IF(I243&lt;=30,"Priority 3","Nurture")))</x:f>
        <x:v>Priority 1</x:v>
      </x:c>
    </x:row>
    <x:row r="244">
      <x:c r="A244" s="16" t="n">
        <x:v>6439</x:v>
      </x:c>
      <x:c r="B244" s="16" t="n">
        <x:v>1958</x:v>
      </x:c>
      <x:c r="C244" s="16" t="str">
        <x:v>Graduation</x:v>
      </x:c>
      <x:c r="D244" s="16" t="str">
        <x:v>Married</x:v>
      </x:c>
      <x:c r="E244" s="16" t="n">
        <x:v>61074</x:v>
      </x:c>
      <x:c r="F244" s="16" t="n">
        <x:v>0</x:v>
      </x:c>
      <x:c r="G244" s="16" t="n">
        <x:v>1</x:v>
      </x:c>
      <x:c r="H244" s="16" t="str">
        <x:v>17-08-2012</x:v>
      </x:c>
      <x:c r="I244" s="16" t="n">
        <x:v>37</x:v>
      </x:c>
      <x:c r="J244" s="16" t="n">
        <x:v>789</x:v>
      </x:c>
      <x:c r="K244" s="16" t="n">
        <x:v>0</x:v>
      </x:c>
      <x:c r="L244" s="16" t="n">
        <x:v>133</x:v>
      </x:c>
      <x:c r="M244" s="16" t="n">
        <x:v>0</x:v>
      </x:c>
      <x:c r="N244" s="16" t="n">
        <x:v>28</x:v>
      </x:c>
      <x:c r="O244" s="16" t="n">
        <x:v>152</x:v>
      </x:c>
      <x:c r="P244" s="16" t="n">
        <x:v>7</x:v>
      </x:c>
      <x:c r="Q244" s="16" t="n">
        <x:v>11</x:v>
      </x:c>
      <x:c r="R244" s="16" t="n">
        <x:v>5</x:v>
      </x:c>
      <x:c r="S244" s="16" t="n">
        <x:v>8</x:v>
      </x:c>
      <x:c r="T244" s="16" t="n">
        <x:v>7</x:v>
      </x:c>
      <x:c r="U244" s="16" t="n">
        <x:v>0</x:v>
      </x:c>
      <x:c r="V244" s="16" t="n">
        <x:v>0</x:v>
      </x:c>
      <x:c r="W244" s="16" t="n">
        <x:v>0</x:v>
      </x:c>
      <x:c r="X244" s="16" t="n">
        <x:v>0</x:v>
      </x:c>
      <x:c r="Y244" s="16" t="n">
        <x:v>0</x:v>
      </x:c>
      <x:c r="Z244" s="16" t="n">
        <x:v>0</x:v>
      </x:c>
      <x:c r="AA244" s="16" t="n">
        <x:v>3</x:v>
      </x:c>
      <x:c r="AB244" s="16" t="n">
        <x:v>11</x:v>
      </x:c>
      <x:c r="AC244" s="16" t="n">
        <x:v>0</x:v>
      </x:c>
      <x:c r="AD244" s="21" t="n">
        <x:f>IF(E244="",MEDIAN($E$2:$E$2237),E244)</x:f>
        <x:v>61074</x:v>
      </x:c>
      <x:c r="AE244" s="17" t="n">
        <x:f>2014-B244</x:f>
        <x:v>56</x:v>
      </x:c>
      <x:c r="AF244" s="17" t="n">
        <x:f>F244+G244</x:f>
        <x:v>1</x:v>
      </x:c>
      <x:c r="AG244" s="21" t="n">
        <x:f>SUM(J244:O244)</x:f>
        <x:v>1102</x:v>
      </x:c>
      <x:c r="AH244" s="17" t="n">
        <x:f>SUM(Q244:S244)</x:f>
        <x:v>24</x:v>
      </x:c>
      <x:c r="AI244" s="17" t="n">
        <x:f>SUM(U244:Y244)</x:f>
        <x:v>0</x:v>
      </x:c>
      <x:c r="AJ244" s="17" t="str">
        <x:f>IF(AE244&lt;=34,"≤34",IF(AE244&lt;=44,"35–44",IF(AE244&lt;=54,"45–54",IF(AE244&lt;=64,"55–64","65+"))))</x:f>
        <x:v>55–64</x:v>
      </x:c>
      <x:c r="AK244" s="17" t="str">
        <x:f>IF(AG244&gt;=1000,"High Value",IF(AG244&gt;=300,"Mid Value","Low Value"))</x:f>
        <x:v>High Value</x:v>
      </x:c>
      <x:c r="AL244" s="17" t="str">
        <x:f>IF(AND(AI244&gt;=1,I244&lt;=50),"Priority 1",IF(AND(AG244&gt;=1000,I244&lt;=60),"Priority 2",IF(I244&lt;=30,"Priority 3","Nurture")))</x:f>
        <x:v>Priority 2</x:v>
      </x:c>
    </x:row>
    <x:row r="245">
      <x:c r="A245" s="16" t="n">
        <x:v>7411</x:v>
      </x:c>
      <x:c r="B245" s="16" t="n">
        <x:v>1964</x:v>
      </x:c>
      <x:c r="C245" s="16" t="str">
        <x:v>PhD</x:v>
      </x:c>
      <x:c r="D245" s="16" t="str">
        <x:v>Married</x:v>
      </x:c>
      <x:c r="E245" s="16" t="n">
        <x:v>31686</x:v>
      </x:c>
      <x:c r="F245" s="16" t="n">
        <x:v>1</x:v>
      </x:c>
      <x:c r="G245" s="16" t="n">
        <x:v>1</x:v>
      </x:c>
      <x:c r="H245" s="16" t="str">
        <x:v>05-06-2014</x:v>
      </x:c>
      <x:c r="I245" s="16" t="n">
        <x:v>31</x:v>
      </x:c>
      <x:c r="J245" s="16" t="n">
        <x:v>11</x:v>
      </x:c>
      <x:c r="K245" s="16" t="n">
        <x:v>0</x:v>
      </x:c>
      <x:c r="L245" s="16" t="n">
        <x:v>5</x:v>
      </x:c>
      <x:c r="M245" s="16" t="n">
        <x:v>0</x:v>
      </x:c>
      <x:c r="N245" s="16" t="n">
        <x:v>0</x:v>
      </x:c>
      <x:c r="O245" s="16" t="n">
        <x:v>1</x:v>
      </x:c>
      <x:c r="P245" s="16" t="n">
        <x:v>2</x:v>
      </x:c>
      <x:c r="Q245" s="16" t="n">
        <x:v>1</x:v>
      </x:c>
      <x:c r="R245" s="16" t="n">
        <x:v>0</x:v>
      </x:c>
      <x:c r="S245" s="16" t="n">
        <x:v>3</x:v>
      </x:c>
      <x:c r="T245" s="16" t="n">
        <x:v>6</x:v>
      </x:c>
      <x:c r="U245" s="16" t="n">
        <x:v>0</x:v>
      </x:c>
      <x:c r="V245" s="16" t="n">
        <x:v>0</x:v>
      </x:c>
      <x:c r="W245" s="16" t="n">
        <x:v>0</x:v>
      </x:c>
      <x:c r="X245" s="16" t="n">
        <x:v>0</x:v>
      </x:c>
      <x:c r="Y245" s="16" t="n">
        <x:v>0</x:v>
      </x:c>
      <x:c r="Z245" s="16" t="n">
        <x:v>0</x:v>
      </x:c>
      <x:c r="AA245" s="16" t="n">
        <x:v>3</x:v>
      </x:c>
      <x:c r="AB245" s="16" t="n">
        <x:v>11</x:v>
      </x:c>
      <x:c r="AC245" s="16" t="n">
        <x:v>0</x:v>
      </x:c>
      <x:c r="AD245" s="21" t="n">
        <x:f>IF(E245="",MEDIAN($E$2:$E$2237),E245)</x:f>
        <x:v>31686</x:v>
      </x:c>
      <x:c r="AE245" s="17" t="n">
        <x:f>2014-B245</x:f>
        <x:v>50</x:v>
      </x:c>
      <x:c r="AF245" s="17" t="n">
        <x:f>F245+G245</x:f>
        <x:v>2</x:v>
      </x:c>
      <x:c r="AG245" s="21" t="n">
        <x:f>SUM(J245:O245)</x:f>
        <x:v>17</x:v>
      </x:c>
      <x:c r="AH245" s="17" t="n">
        <x:f>SUM(Q245:S245)</x:f>
        <x:v>4</x:v>
      </x:c>
      <x:c r="AI245" s="17" t="n">
        <x:f>SUM(U245:Y245)</x:f>
        <x:v>0</x:v>
      </x:c>
      <x:c r="AJ245" s="17" t="str">
        <x:f>IF(AE245&lt;=34,"≤34",IF(AE245&lt;=44,"35–44",IF(AE245&lt;=54,"45–54",IF(AE245&lt;=64,"55–64","65+"))))</x:f>
        <x:v>45–54</x:v>
      </x:c>
      <x:c r="AK245" s="17" t="str">
        <x:f>IF(AG245&gt;=1000,"High Value",IF(AG245&gt;=300,"Mid Value","Low Value"))</x:f>
        <x:v>Low Value</x:v>
      </x:c>
      <x:c r="AL245" s="17" t="str">
        <x:f>IF(AND(AI245&gt;=1,I245&lt;=50),"Priority 1",IF(AND(AG245&gt;=1000,I245&lt;=60),"Priority 2",IF(I245&lt;=30,"Priority 3","Nurture")))</x:f>
        <x:v>Nurture</x:v>
      </x:c>
    </x:row>
    <x:row r="246">
      <x:c r="A246" s="16" t="n">
        <x:v>2176</x:v>
      </x:c>
      <x:c r="B246" s="16" t="n">
        <x:v>1972</x:v>
      </x:c>
      <x:c r="C246" s="16" t="str">
        <x:v>Graduation</x:v>
      </x:c>
      <x:c r="D246" s="16" t="str">
        <x:v>Married</x:v>
      </x:c>
      <x:c r="E246" s="16" t="n">
        <x:v>80134</x:v>
      </x:c>
      <x:c r="F246" s="16" t="n">
        <x:v>1</x:v>
      </x:c>
      <x:c r="G246" s="16" t="n">
        <x:v>0</x:v>
      </x:c>
      <x:c r="H246" s="16" t="str">
        <x:v>20-05-2013</x:v>
      </x:c>
      <x:c r="I246" s="16" t="n">
        <x:v>40</x:v>
      </x:c>
      <x:c r="J246" s="16" t="n">
        <x:v>1218</x:v>
      </x:c>
      <x:c r="K246" s="16" t="n">
        <x:v>16</x:v>
      </x:c>
      <x:c r="L246" s="16" t="n">
        <x:v>272</x:v>
      </x:c>
      <x:c r="M246" s="16" t="n">
        <x:v>104</x:v>
      </x:c>
      <x:c r="N246" s="16" t="n">
        <x:v>0</x:v>
      </x:c>
      <x:c r="O246" s="16" t="n">
        <x:v>80</x:v>
      </x:c>
      <x:c r="P246" s="16" t="n">
        <x:v>2</x:v>
      </x:c>
      <x:c r="Q246" s="16" t="n">
        <x:v>5</x:v>
      </x:c>
      <x:c r="R246" s="16" t="n">
        <x:v>3</x:v>
      </x:c>
      <x:c r="S246" s="16" t="n">
        <x:v>6</x:v>
      </x:c>
      <x:c r="T246" s="16" t="n">
        <x:v>6</x:v>
      </x:c>
      <x:c r="U246" s="16" t="n">
        <x:v>0</x:v>
      </x:c>
      <x:c r="V246" s="16" t="n">
        <x:v>1</x:v>
      </x:c>
      <x:c r="W246" s="16" t="n">
        <x:v>1</x:v>
      </x:c>
      <x:c r="X246" s="16" t="n">
        <x:v>1</x:v>
      </x:c>
      <x:c r="Y246" s="16" t="n">
        <x:v>0</x:v>
      </x:c>
      <x:c r="Z246" s="16" t="n">
        <x:v>0</x:v>
      </x:c>
      <x:c r="AA246" s="16" t="n">
        <x:v>3</x:v>
      </x:c>
      <x:c r="AB246" s="16" t="n">
        <x:v>11</x:v>
      </x:c>
      <x:c r="AC246" s="16" t="n">
        <x:v>1</x:v>
      </x:c>
      <x:c r="AD246" s="21" t="n">
        <x:f>IF(E246="",MEDIAN($E$2:$E$2237),E246)</x:f>
        <x:v>80134</x:v>
      </x:c>
      <x:c r="AE246" s="17" t="n">
        <x:f>2014-B246</x:f>
        <x:v>42</x:v>
      </x:c>
      <x:c r="AF246" s="17" t="n">
        <x:f>F246+G246</x:f>
        <x:v>1</x:v>
      </x:c>
      <x:c r="AG246" s="21" t="n">
        <x:f>SUM(J246:O246)</x:f>
        <x:v>1690</x:v>
      </x:c>
      <x:c r="AH246" s="17" t="n">
        <x:f>SUM(Q246:S246)</x:f>
        <x:v>14</x:v>
      </x:c>
      <x:c r="AI246" s="17" t="n">
        <x:f>SUM(U246:Y246)</x:f>
        <x:v>3</x:v>
      </x:c>
      <x:c r="AJ246" s="17" t="str">
        <x:f>IF(AE246&lt;=34,"≤34",IF(AE246&lt;=44,"35–44",IF(AE246&lt;=54,"45–54",IF(AE246&lt;=64,"55–64","65+"))))</x:f>
        <x:v>35–44</x:v>
      </x:c>
      <x:c r="AK246" s="17" t="str">
        <x:f>IF(AG246&gt;=1000,"High Value",IF(AG246&gt;=300,"Mid Value","Low Value"))</x:f>
        <x:v>High Value</x:v>
      </x:c>
      <x:c r="AL246" s="17" t="str">
        <x:f>IF(AND(AI246&gt;=1,I246&lt;=50),"Priority 1",IF(AND(AG246&gt;=1000,I246&lt;=60),"Priority 2",IF(I246&lt;=30,"Priority 3","Nurture")))</x:f>
        <x:v>Priority 1</x:v>
      </x:c>
    </x:row>
    <x:row r="247">
      <x:c r="A247" s="16" t="n">
        <x:v>9265</x:v>
      </x:c>
      <x:c r="B247" s="16" t="n">
        <x:v>1953</x:v>
      </x:c>
      <x:c r="C247" s="16" t="str">
        <x:v>Graduation</x:v>
      </x:c>
      <x:c r="D247" s="16" t="str">
        <x:v>Married</x:v>
      </x:c>
      <x:c r="E247" s="16" t="n">
        <x:v>75027</x:v>
      </x:c>
      <x:c r="F247" s="16" t="n">
        <x:v>0</x:v>
      </x:c>
      <x:c r="G247" s="16" t="n">
        <x:v>1</x:v>
      </x:c>
      <x:c r="H247" s="16" t="str">
        <x:v>09-01-2013</x:v>
      </x:c>
      <x:c r="I247" s="16" t="n">
        <x:v>74</x:v>
      </x:c>
      <x:c r="J247" s="16" t="n">
        <x:v>925</x:v>
      </x:c>
      <x:c r="K247" s="16" t="n">
        <x:v>64</x:v>
      </x:c>
      <x:c r="L247" s="16" t="n">
        <x:v>179</x:v>
      </x:c>
      <x:c r="M247" s="16" t="n">
        <x:v>133</x:v>
      </x:c>
      <x:c r="N247" s="16" t="n">
        <x:v>12</x:v>
      </x:c>
      <x:c r="O247" s="16" t="n">
        <x:v>77</x:v>
      </x:c>
      <x:c r="P247" s="16" t="n">
        <x:v>2</x:v>
      </x:c>
      <x:c r="Q247" s="16" t="n">
        <x:v>9</x:v>
      </x:c>
      <x:c r="R247" s="16" t="n">
        <x:v>4</x:v>
      </x:c>
      <x:c r="S247" s="16" t="n">
        <x:v>6</x:v>
      </x:c>
      <x:c r="T247" s="16" t="n">
        <x:v>5</x:v>
      </x:c>
      <x:c r="U247" s="16" t="n">
        <x:v>0</x:v>
      </x:c>
      <x:c r="V247" s="16" t="n">
        <x:v>0</x:v>
      </x:c>
      <x:c r="W247" s="16" t="n">
        <x:v>0</x:v>
      </x:c>
      <x:c r="X247" s="16" t="n">
        <x:v>0</x:v>
      </x:c>
      <x:c r="Y247" s="16" t="n">
        <x:v>0</x:v>
      </x:c>
      <x:c r="Z247" s="16" t="n">
        <x:v>0</x:v>
      </x:c>
      <x:c r="AA247" s="16" t="n">
        <x:v>3</x:v>
      </x:c>
      <x:c r="AB247" s="16" t="n">
        <x:v>11</x:v>
      </x:c>
      <x:c r="AC247" s="16" t="n">
        <x:v>0</x:v>
      </x:c>
      <x:c r="AD247" s="21" t="n">
        <x:f>IF(E247="",MEDIAN($E$2:$E$2237),E247)</x:f>
        <x:v>75027</x:v>
      </x:c>
      <x:c r="AE247" s="17" t="n">
        <x:f>2014-B247</x:f>
        <x:v>61</x:v>
      </x:c>
      <x:c r="AF247" s="17" t="n">
        <x:f>F247+G247</x:f>
        <x:v>1</x:v>
      </x:c>
      <x:c r="AG247" s="21" t="n">
        <x:f>SUM(J247:O247)</x:f>
        <x:v>1390</x:v>
      </x:c>
      <x:c r="AH247" s="17" t="n">
        <x:f>SUM(Q247:S247)</x:f>
        <x:v>19</x:v>
      </x:c>
      <x:c r="AI247" s="17" t="n">
        <x:f>SUM(U247:Y247)</x:f>
        <x:v>0</x:v>
      </x:c>
      <x:c r="AJ247" s="17" t="str">
        <x:f>IF(AE247&lt;=34,"≤34",IF(AE247&lt;=44,"35–44",IF(AE247&lt;=54,"45–54",IF(AE247&lt;=64,"55–64","65+"))))</x:f>
        <x:v>55–64</x:v>
      </x:c>
      <x:c r="AK247" s="17" t="str">
        <x:f>IF(AG247&gt;=1000,"High Value",IF(AG247&gt;=300,"Mid Value","Low Value"))</x:f>
        <x:v>High Value</x:v>
      </x:c>
      <x:c r="AL247" s="17" t="str">
        <x:f>IF(AND(AI247&gt;=1,I247&lt;=50),"Priority 1",IF(AND(AG247&gt;=1000,I247&lt;=60),"Priority 2",IF(I247&lt;=30,"Priority 3","Nurture")))</x:f>
        <x:v>Nurture</x:v>
      </x:c>
    </x:row>
    <x:row r="248">
      <x:c r="A248" s="16" t="n">
        <x:v>8867</x:v>
      </x:c>
      <x:c r="B248" s="16" t="n">
        <x:v>1988</x:v>
      </x:c>
      <x:c r="C248" s="16" t="str">
        <x:v>PhD</x:v>
      </x:c>
      <x:c r="D248" s="16" t="str">
        <x:v>Married</x:v>
      </x:c>
      <x:c r="E248" s="16" t="n">
        <x:v>67546</x:v>
      </x:c>
      <x:c r="F248" s="16" t="n">
        <x:v>0</x:v>
      </x:c>
      <x:c r="G248" s="16" t="n">
        <x:v>0</x:v>
      </x:c>
      <x:c r="H248" s="16" t="str">
        <x:v>31-08-2012</x:v>
      </x:c>
      <x:c r="I248" s="16" t="n">
        <x:v>90</x:v>
      </x:c>
      <x:c r="J248" s="16" t="n">
        <x:v>864</x:v>
      </x:c>
      <x:c r="K248" s="16" t="n">
        <x:v>134</x:v>
      </x:c>
      <x:c r="L248" s="16" t="n">
        <x:v>768</x:v>
      </x:c>
      <x:c r="M248" s="16" t="n">
        <x:v>150</x:v>
      </x:c>
      <x:c r="N248" s="16" t="n">
        <x:v>38</x:v>
      </x:c>
      <x:c r="O248" s="16" t="n">
        <x:v>172</x:v>
      </x:c>
      <x:c r="P248" s="16" t="n">
        <x:v>1</x:v>
      </x:c>
      <x:c r="Q248" s="16" t="n">
        <x:v>4</x:v>
      </x:c>
      <x:c r="R248" s="16" t="n">
        <x:v>10</x:v>
      </x:c>
      <x:c r="S248" s="16" t="n">
        <x:v>5</x:v>
      </x:c>
      <x:c r="T248" s="16" t="n">
        <x:v>3</x:v>
      </x:c>
      <x:c r="U248" s="16" t="n">
        <x:v>0</x:v>
      </x:c>
      <x:c r="V248" s="16" t="n">
        <x:v>0</x:v>
      </x:c>
      <x:c r="W248" s="16" t="n">
        <x:v>0</x:v>
      </x:c>
      <x:c r="X248" s="16" t="n">
        <x:v>0</x:v>
      </x:c>
      <x:c r="Y248" s="16" t="n">
        <x:v>0</x:v>
      </x:c>
      <x:c r="Z248" s="16" t="n">
        <x:v>0</x:v>
      </x:c>
      <x:c r="AA248" s="16" t="n">
        <x:v>3</x:v>
      </x:c>
      <x:c r="AB248" s="16" t="n">
        <x:v>11</x:v>
      </x:c>
      <x:c r="AC248" s="16" t="n">
        <x:v>0</x:v>
      </x:c>
      <x:c r="AD248" s="21" t="n">
        <x:f>IF(E248="",MEDIAN($E$2:$E$2237),E248)</x:f>
        <x:v>67546</x:v>
      </x:c>
      <x:c r="AE248" s="17" t="n">
        <x:f>2014-B248</x:f>
        <x:v>26</x:v>
      </x:c>
      <x:c r="AF248" s="17" t="n">
        <x:f>F248+G248</x:f>
        <x:v>0</x:v>
      </x:c>
      <x:c r="AG248" s="21" t="n">
        <x:f>SUM(J248:O248)</x:f>
        <x:v>2126</x:v>
      </x:c>
      <x:c r="AH248" s="17" t="n">
        <x:f>SUM(Q248:S248)</x:f>
        <x:v>19</x:v>
      </x:c>
      <x:c r="AI248" s="17" t="n">
        <x:f>SUM(U248:Y248)</x:f>
        <x:v>0</x:v>
      </x:c>
      <x:c r="AJ248" s="17" t="str">
        <x:f>IF(AE248&lt;=34,"≤34",IF(AE248&lt;=44,"35–44",IF(AE248&lt;=54,"45–54",IF(AE248&lt;=64,"55–64","65+"))))</x:f>
        <x:v>≤34</x:v>
      </x:c>
      <x:c r="AK248" s="17" t="str">
        <x:f>IF(AG248&gt;=1000,"High Value",IF(AG248&gt;=300,"Mid Value","Low Value"))</x:f>
        <x:v>High Value</x:v>
      </x:c>
      <x:c r="AL248" s="17" t="str">
        <x:f>IF(AND(AI248&gt;=1,I248&lt;=50),"Priority 1",IF(AND(AG248&gt;=1000,I248&lt;=60),"Priority 2",IF(I248&lt;=30,"Priority 3","Nurture")))</x:f>
        <x:v>Nurture</x:v>
      </x:c>
    </x:row>
    <x:row r="249">
      <x:c r="A249" s="16" t="n">
        <x:v>8932</x:v>
      </x:c>
      <x:c r="B249" s="16" t="n">
        <x:v>1969</x:v>
      </x:c>
      <x:c r="C249" s="16" t="str">
        <x:v>Master</x:v>
      </x:c>
      <x:c r="D249" s="16" t="str">
        <x:v>Together</x:v>
      </x:c>
      <x:c r="E249" s="16" t="n">
        <x:v>65176</x:v>
      </x:c>
      <x:c r="F249" s="16" t="n">
        <x:v>0</x:v>
      </x:c>
      <x:c r="G249" s="16" t="n">
        <x:v>1</x:v>
      </x:c>
      <x:c r="H249" s="16" t="str">
        <x:v>29-10-2012</x:v>
      </x:c>
      <x:c r="I249" s="16" t="n">
        <x:v>57</x:v>
      </x:c>
      <x:c r="J249" s="16" t="n">
        <x:v>960</x:v>
      </x:c>
      <x:c r="K249" s="16" t="n">
        <x:v>28</x:v>
      </x:c>
      <x:c r="L249" s="16" t="n">
        <x:v>183</x:v>
      </x:c>
      <x:c r="M249" s="16" t="n">
        <x:v>220</x:v>
      </x:c>
      <x:c r="N249" s="16" t="n">
        <x:v>70</x:v>
      </x:c>
      <x:c r="O249" s="16" t="n">
        <x:v>70</x:v>
      </x:c>
      <x:c r="P249" s="16" t="n">
        <x:v>4</x:v>
      </x:c>
      <x:c r="Q249" s="16" t="n">
        <x:v>9</x:v>
      </x:c>
      <x:c r="R249" s="16" t="n">
        <x:v>6</x:v>
      </x:c>
      <x:c r="S249" s="16" t="n">
        <x:v>6</x:v>
      </x:c>
      <x:c r="T249" s="16" t="n">
        <x:v>6</x:v>
      </x:c>
      <x:c r="U249" s="16" t="n">
        <x:v>0</x:v>
      </x:c>
      <x:c r="V249" s="16" t="n">
        <x:v>0</x:v>
      </x:c>
      <x:c r="W249" s="16" t="n">
        <x:v>0</x:v>
      </x:c>
      <x:c r="X249" s="16" t="n">
        <x:v>0</x:v>
      </x:c>
      <x:c r="Y249" s="16" t="n">
        <x:v>0</x:v>
      </x:c>
      <x:c r="Z249" s="16" t="n">
        <x:v>0</x:v>
      </x:c>
      <x:c r="AA249" s="16" t="n">
        <x:v>3</x:v>
      </x:c>
      <x:c r="AB249" s="16" t="n">
        <x:v>11</x:v>
      </x:c>
      <x:c r="AC249" s="16" t="n">
        <x:v>0</x:v>
      </x:c>
      <x:c r="AD249" s="21" t="n">
        <x:f>IF(E249="",MEDIAN($E$2:$E$2237),E249)</x:f>
        <x:v>65176</x:v>
      </x:c>
      <x:c r="AE249" s="17" t="n">
        <x:f>2014-B249</x:f>
        <x:v>45</x:v>
      </x:c>
      <x:c r="AF249" s="17" t="n">
        <x:f>F249+G249</x:f>
        <x:v>1</x:v>
      </x:c>
      <x:c r="AG249" s="21" t="n">
        <x:f>SUM(J249:O249)</x:f>
        <x:v>1531</x:v>
      </x:c>
      <x:c r="AH249" s="17" t="n">
        <x:f>SUM(Q249:S249)</x:f>
        <x:v>21</x:v>
      </x:c>
      <x:c r="AI249" s="17" t="n">
        <x:f>SUM(U249:Y249)</x:f>
        <x:v>0</x:v>
      </x:c>
      <x:c r="AJ249" s="17" t="str">
        <x:f>IF(AE249&lt;=34,"≤34",IF(AE249&lt;=44,"35–44",IF(AE249&lt;=54,"45–54",IF(AE249&lt;=64,"55–64","65+"))))</x:f>
        <x:v>45–54</x:v>
      </x:c>
      <x:c r="AK249" s="17" t="str">
        <x:f>IF(AG249&gt;=1000,"High Value",IF(AG249&gt;=300,"Mid Value","Low Value"))</x:f>
        <x:v>High Value</x:v>
      </x:c>
      <x:c r="AL249" s="17" t="str">
        <x:f>IF(AND(AI249&gt;=1,I249&lt;=50),"Priority 1",IF(AND(AG249&gt;=1000,I249&lt;=60),"Priority 2",IF(I249&lt;=30,"Priority 3","Nurture")))</x:f>
        <x:v>Priority 2</x:v>
      </x:c>
    </x:row>
    <x:row r="250">
      <x:c r="A250" s="16" t="n">
        <x:v>10236</x:v>
      </x:c>
      <x:c r="B250" s="16" t="n">
        <x:v>1975</x:v>
      </x:c>
      <x:c r="C250" s="16" t="str">
        <x:v>Master</x:v>
      </x:c>
      <x:c r="D250" s="16" t="str">
        <x:v>Single</x:v>
      </x:c>
      <x:c r="E250" s="16" t="n">
        <x:v>31160</x:v>
      </x:c>
      <x:c r="F250" s="16" t="n">
        <x:v>1</x:v>
      </x:c>
      <x:c r="G250" s="16" t="n">
        <x:v>0</x:v>
      </x:c>
      <x:c r="H250" s="16" t="str">
        <x:v>16-09-2013</x:v>
      </x:c>
      <x:c r="I250" s="16" t="n">
        <x:v>59</x:v>
      </x:c>
      <x:c r="J250" s="16" t="n">
        <x:v>16</x:v>
      </x:c>
      <x:c r="K250" s="16" t="n">
        <x:v>3</x:v>
      </x:c>
      <x:c r="L250" s="16" t="n">
        <x:v>25</x:v>
      </x:c>
      <x:c r="M250" s="16" t="n">
        <x:v>6</x:v>
      </x:c>
      <x:c r="N250" s="16" t="n">
        <x:v>1</x:v>
      </x:c>
      <x:c r="O250" s="16" t="n">
        <x:v>13</x:v>
      </x:c>
      <x:c r="P250" s="16" t="n">
        <x:v>2</x:v>
      </x:c>
      <x:c r="Q250" s="16" t="n">
        <x:v>2</x:v>
      </x:c>
      <x:c r="R250" s="16" t="n">
        <x:v>0</x:v>
      </x:c>
      <x:c r="S250" s="16" t="n">
        <x:v>3</x:v>
      </x:c>
      <x:c r="T250" s="16" t="n">
        <x:v>8</x:v>
      </x:c>
      <x:c r="U250" s="16" t="n">
        <x:v>0</x:v>
      </x:c>
      <x:c r="V250" s="16" t="n">
        <x:v>0</x:v>
      </x:c>
      <x:c r="W250" s="16" t="n">
        <x:v>0</x:v>
      </x:c>
      <x:c r="X250" s="16" t="n">
        <x:v>0</x:v>
      </x:c>
      <x:c r="Y250" s="16" t="n">
        <x:v>0</x:v>
      </x:c>
      <x:c r="Z250" s="16" t="n">
        <x:v>0</x:v>
      </x:c>
      <x:c r="AA250" s="16" t="n">
        <x:v>3</x:v>
      </x:c>
      <x:c r="AB250" s="16" t="n">
        <x:v>11</x:v>
      </x:c>
      <x:c r="AC250" s="16" t="n">
        <x:v>0</x:v>
      </x:c>
      <x:c r="AD250" s="21" t="n">
        <x:f>IF(E250="",MEDIAN($E$2:$E$2237),E250)</x:f>
        <x:v>31160</x:v>
      </x:c>
      <x:c r="AE250" s="17" t="n">
        <x:f>2014-B250</x:f>
        <x:v>39</x:v>
      </x:c>
      <x:c r="AF250" s="17" t="n">
        <x:f>F250+G250</x:f>
        <x:v>1</x:v>
      </x:c>
      <x:c r="AG250" s="21" t="n">
        <x:f>SUM(J250:O250)</x:f>
        <x:v>64</x:v>
      </x:c>
      <x:c r="AH250" s="17" t="n">
        <x:f>SUM(Q250:S250)</x:f>
        <x:v>5</x:v>
      </x:c>
      <x:c r="AI250" s="17" t="n">
        <x:f>SUM(U250:Y250)</x:f>
        <x:v>0</x:v>
      </x:c>
      <x:c r="AJ250" s="17" t="str">
        <x:f>IF(AE250&lt;=34,"≤34",IF(AE250&lt;=44,"35–44",IF(AE250&lt;=54,"45–54",IF(AE250&lt;=64,"55–64","65+"))))</x:f>
        <x:v>35–44</x:v>
      </x:c>
      <x:c r="AK250" s="17" t="str">
        <x:f>IF(AG250&gt;=1000,"High Value",IF(AG250&gt;=300,"Mid Value","Low Value"))</x:f>
        <x:v>Low Value</x:v>
      </x:c>
      <x:c r="AL250" s="17" t="str">
        <x:f>IF(AND(AI250&gt;=1,I250&lt;=50),"Priority 1",IF(AND(AG250&gt;=1000,I250&lt;=60),"Priority 2",IF(I250&lt;=30,"Priority 3","Nurture")))</x:f>
        <x:v>Nurture</x:v>
      </x:c>
    </x:row>
    <x:row r="251">
      <x:c r="A251" s="16" t="n">
        <x:v>6340</x:v>
      </x:c>
      <x:c r="B251" s="16" t="n">
        <x:v>1985</x:v>
      </x:c>
      <x:c r="C251" s="16" t="str">
        <x:v>Graduation</x:v>
      </x:c>
      <x:c r="D251" s="16" t="str">
        <x:v>Single</x:v>
      </x:c>
      <x:c r="E251" s="16" t="n">
        <x:v>29938</x:v>
      </x:c>
      <x:c r="F251" s="16" t="n">
        <x:v>1</x:v>
      </x:c>
      <x:c r="G251" s="16" t="n">
        <x:v>0</x:v>
      </x:c>
      <x:c r="H251" s="16" t="str">
        <x:v>27-10-2013</x:v>
      </x:c>
      <x:c r="I251" s="16" t="n">
        <x:v>52</x:v>
      </x:c>
      <x:c r="J251" s="16" t="n">
        <x:v>3</x:v>
      </x:c>
      <x:c r="K251" s="16" t="n">
        <x:v>3</x:v>
      </x:c>
      <x:c r="L251" s="16" t="n">
        <x:v>7</x:v>
      </x:c>
      <x:c r="M251" s="16" t="n">
        <x:v>0</x:v>
      </x:c>
      <x:c r="N251" s="16" t="n">
        <x:v>2</x:v>
      </x:c>
      <x:c r="O251" s="16" t="n">
        <x:v>11</x:v>
      </x:c>
      <x:c r="P251" s="16" t="n">
        <x:v>2</x:v>
      </x:c>
      <x:c r="Q251" s="16" t="n">
        <x:v>1</x:v>
      </x:c>
      <x:c r="R251" s="16" t="n">
        <x:v>0</x:v>
      </x:c>
      <x:c r="S251" s="16" t="n">
        <x:v>3</x:v>
      </x:c>
      <x:c r="T251" s="16" t="n">
        <x:v>6</x:v>
      </x:c>
      <x:c r="U251" s="16" t="n">
        <x:v>0</x:v>
      </x:c>
      <x:c r="V251" s="16" t="n">
        <x:v>0</x:v>
      </x:c>
      <x:c r="W251" s="16" t="n">
        <x:v>0</x:v>
      </x:c>
      <x:c r="X251" s="16" t="n">
        <x:v>0</x:v>
      </x:c>
      <x:c r="Y251" s="16" t="n">
        <x:v>0</x:v>
      </x:c>
      <x:c r="Z251" s="16" t="n">
        <x:v>0</x:v>
      </x:c>
      <x:c r="AA251" s="16" t="n">
        <x:v>3</x:v>
      </x:c>
      <x:c r="AB251" s="16" t="n">
        <x:v>11</x:v>
      </x:c>
      <x:c r="AC251" s="16" t="n">
        <x:v>0</x:v>
      </x:c>
      <x:c r="AD251" s="21" t="n">
        <x:f>IF(E251="",MEDIAN($E$2:$E$2237),E251)</x:f>
        <x:v>29938</x:v>
      </x:c>
      <x:c r="AE251" s="17" t="n">
        <x:f>2014-B251</x:f>
        <x:v>29</x:v>
      </x:c>
      <x:c r="AF251" s="17" t="n">
        <x:f>F251+G251</x:f>
        <x:v>1</x:v>
      </x:c>
      <x:c r="AG251" s="21" t="n">
        <x:f>SUM(J251:O251)</x:f>
        <x:v>26</x:v>
      </x:c>
      <x:c r="AH251" s="17" t="n">
        <x:f>SUM(Q251:S251)</x:f>
        <x:v>4</x:v>
      </x:c>
      <x:c r="AI251" s="17" t="n">
        <x:f>SUM(U251:Y251)</x:f>
        <x:v>0</x:v>
      </x:c>
      <x:c r="AJ251" s="17" t="str">
        <x:f>IF(AE251&lt;=34,"≤34",IF(AE251&lt;=44,"35–44",IF(AE251&lt;=54,"45–54",IF(AE251&lt;=64,"55–64","65+"))))</x:f>
        <x:v>≤34</x:v>
      </x:c>
      <x:c r="AK251" s="17" t="str">
        <x:f>IF(AG251&gt;=1000,"High Value",IF(AG251&gt;=300,"Mid Value","Low Value"))</x:f>
        <x:v>Low Value</x:v>
      </x:c>
      <x:c r="AL251" s="17" t="str">
        <x:f>IF(AND(AI251&gt;=1,I251&lt;=50),"Priority 1",IF(AND(AG251&gt;=1000,I251&lt;=60),"Priority 2",IF(I251&lt;=30,"Priority 3","Nurture")))</x:f>
        <x:v>Nurture</x:v>
      </x:c>
    </x:row>
    <x:row r="252">
      <x:c r="A252" s="16" t="n">
        <x:v>10089</x:v>
      </x:c>
      <x:c r="B252" s="16" t="n">
        <x:v>1974</x:v>
      </x:c>
      <x:c r="C252" s="16" t="str">
        <x:v>Graduation</x:v>
      </x:c>
      <x:c r="D252" s="16" t="str">
        <x:v>Divorced</x:v>
      </x:c>
      <x:c r="E252" s="16" t="n">
        <x:v>102692</x:v>
      </x:c>
      <x:c r="F252" s="16" t="n">
        <x:v>0</x:v>
      </x:c>
      <x:c r="G252" s="16" t="n">
        <x:v>0</x:v>
      </x:c>
      <x:c r="H252" s="16" t="str">
        <x:v>05-04-2013</x:v>
      </x:c>
      <x:c r="I252" s="16" t="n">
        <x:v>5</x:v>
      </x:c>
      <x:c r="J252" s="16" t="n">
        <x:v>168</x:v>
      </x:c>
      <x:c r="K252" s="16" t="n">
        <x:v>148</x:v>
      </x:c>
      <x:c r="L252" s="16" t="n">
        <x:v>444</x:v>
      </x:c>
      <x:c r="M252" s="16" t="n">
        <x:v>32</x:v>
      </x:c>
      <x:c r="N252" s="16" t="n">
        <x:v>172</x:v>
      </x:c>
      <x:c r="O252" s="16" t="n">
        <x:v>148</x:v>
      </x:c>
      <x:c r="P252" s="16" t="n">
        <x:v>1</x:v>
      </x:c>
      <x:c r="Q252" s="16" t="n">
        <x:v>6</x:v>
      </x:c>
      <x:c r="R252" s="16" t="n">
        <x:v>9</x:v>
      </x:c>
      <x:c r="S252" s="16" t="n">
        <x:v>13</x:v>
      </x:c>
      <x:c r="T252" s="16" t="n">
        <x:v>2</x:v>
      </x:c>
      <x:c r="U252" s="16" t="n">
        <x:v>0</x:v>
      </x:c>
      <x:c r="V252" s="16" t="n">
        <x:v>1</x:v>
      </x:c>
      <x:c r="W252" s="16" t="n">
        <x:v>1</x:v>
      </x:c>
      <x:c r="X252" s="16" t="n">
        <x:v>1</x:v>
      </x:c>
      <x:c r="Y252" s="16" t="n">
        <x:v>1</x:v>
      </x:c>
      <x:c r="Z252" s="16" t="n">
        <x:v>0</x:v>
      </x:c>
      <x:c r="AA252" s="16" t="n">
        <x:v>3</x:v>
      </x:c>
      <x:c r="AB252" s="16" t="n">
        <x:v>11</x:v>
      </x:c>
      <x:c r="AC252" s="16" t="n">
        <x:v>1</x:v>
      </x:c>
      <x:c r="AD252" s="21" t="n">
        <x:f>IF(E252="",MEDIAN($E$2:$E$2237),E252)</x:f>
        <x:v>102692</x:v>
      </x:c>
      <x:c r="AE252" s="17" t="n">
        <x:f>2014-B252</x:f>
        <x:v>40</x:v>
      </x:c>
      <x:c r="AF252" s="17" t="n">
        <x:f>F252+G252</x:f>
        <x:v>0</x:v>
      </x:c>
      <x:c r="AG252" s="21" t="n">
        <x:f>SUM(J252:O252)</x:f>
        <x:v>1112</x:v>
      </x:c>
      <x:c r="AH252" s="17" t="n">
        <x:f>SUM(Q252:S252)</x:f>
        <x:v>28</x:v>
      </x:c>
      <x:c r="AI252" s="17" t="n">
        <x:f>SUM(U252:Y252)</x:f>
        <x:v>4</x:v>
      </x:c>
      <x:c r="AJ252" s="17" t="str">
        <x:f>IF(AE252&lt;=34,"≤34",IF(AE252&lt;=44,"35–44",IF(AE252&lt;=54,"45–54",IF(AE252&lt;=64,"55–64","65+"))))</x:f>
        <x:v>35–44</x:v>
      </x:c>
      <x:c r="AK252" s="17" t="str">
        <x:f>IF(AG252&gt;=1000,"High Value",IF(AG252&gt;=300,"Mid Value","Low Value"))</x:f>
        <x:v>High Value</x:v>
      </x:c>
      <x:c r="AL252" s="17" t="str">
        <x:f>IF(AND(AI252&gt;=1,I252&lt;=50),"Priority 1",IF(AND(AG252&gt;=1000,I252&lt;=60),"Priority 2",IF(I252&lt;=30,"Priority 3","Nurture")))</x:f>
        <x:v>Priority 1</x:v>
      </x:c>
    </x:row>
    <x:row r="253">
      <x:c r="A253" s="16" t="n">
        <x:v>2227</x:v>
      </x:c>
      <x:c r="B253" s="16" t="n">
        <x:v>1958</x:v>
      </x:c>
      <x:c r="C253" s="16" t="str">
        <x:v>2n Cycle</x:v>
      </x:c>
      <x:c r="D253" s="16" t="str">
        <x:v>Together</x:v>
      </x:c>
      <x:c r="E253" s="16" t="n">
        <x:v>26490</x:v>
      </x:c>
      <x:c r="F253" s="16" t="n">
        <x:v>0</x:v>
      </x:c>
      <x:c r="G253" s="16" t="n">
        <x:v>0</x:v>
      </x:c>
      <x:c r="H253" s="16" t="str">
        <x:v>22-09-2012</x:v>
      </x:c>
      <x:c r="I253" s="16" t="n">
        <x:v>92</x:v>
      </x:c>
      <x:c r="J253" s="16" t="n">
        <x:v>45</x:v>
      </x:c>
      <x:c r="K253" s="16" t="n">
        <x:v>47</x:v>
      </x:c>
      <x:c r="L253" s="16" t="n">
        <x:v>52</x:v>
      </x:c>
      <x:c r="M253" s="16" t="n">
        <x:v>21</x:v>
      </x:c>
      <x:c r="N253" s="16" t="n">
        <x:v>20</x:v>
      </x:c>
      <x:c r="O253" s="16" t="n">
        <x:v>25</x:v>
      </x:c>
      <x:c r="P253" s="16" t="n">
        <x:v>2</x:v>
      </x:c>
      <x:c r="Q253" s="16" t="n">
        <x:v>3</x:v>
      </x:c>
      <x:c r="R253" s="16" t="n">
        <x:v>1</x:v>
      </x:c>
      <x:c r="S253" s="16" t="n">
        <x:v>5</x:v>
      </x:c>
      <x:c r="T253" s="16" t="n">
        <x:v>6</x:v>
      </x:c>
      <x:c r="U253" s="16" t="n">
        <x:v>0</x:v>
      </x:c>
      <x:c r="V253" s="16" t="n">
        <x:v>0</x:v>
      </x:c>
      <x:c r="W253" s="16" t="n">
        <x:v>0</x:v>
      </x:c>
      <x:c r="X253" s="16" t="n">
        <x:v>0</x:v>
      </x:c>
      <x:c r="Y253" s="16" t="n">
        <x:v>0</x:v>
      </x:c>
      <x:c r="Z253" s="16" t="n">
        <x:v>0</x:v>
      </x:c>
      <x:c r="AA253" s="16" t="n">
        <x:v>3</x:v>
      </x:c>
      <x:c r="AB253" s="16" t="n">
        <x:v>11</x:v>
      </x:c>
      <x:c r="AC253" s="16" t="n">
        <x:v>0</x:v>
      </x:c>
      <x:c r="AD253" s="21" t="n">
        <x:f>IF(E253="",MEDIAN($E$2:$E$2237),E253)</x:f>
        <x:v>26490</x:v>
      </x:c>
      <x:c r="AE253" s="17" t="n">
        <x:f>2014-B253</x:f>
        <x:v>56</x:v>
      </x:c>
      <x:c r="AF253" s="17" t="n">
        <x:f>F253+G253</x:f>
        <x:v>0</x:v>
      </x:c>
      <x:c r="AG253" s="21" t="n">
        <x:f>SUM(J253:O253)</x:f>
        <x:v>210</x:v>
      </x:c>
      <x:c r="AH253" s="17" t="n">
        <x:f>SUM(Q253:S253)</x:f>
        <x:v>9</x:v>
      </x:c>
      <x:c r="AI253" s="17" t="n">
        <x:f>SUM(U253:Y253)</x:f>
        <x:v>0</x:v>
      </x:c>
      <x:c r="AJ253" s="17" t="str">
        <x:f>IF(AE253&lt;=34,"≤34",IF(AE253&lt;=44,"35–44",IF(AE253&lt;=54,"45–54",IF(AE253&lt;=64,"55–64","65+"))))</x:f>
        <x:v>55–64</x:v>
      </x:c>
      <x:c r="AK253" s="17" t="str">
        <x:f>IF(AG253&gt;=1000,"High Value",IF(AG253&gt;=300,"Mid Value","Low Value"))</x:f>
        <x:v>Low Value</x:v>
      </x:c>
      <x:c r="AL253" s="17" t="str">
        <x:f>IF(AND(AI253&gt;=1,I253&lt;=50),"Priority 1",IF(AND(AG253&gt;=1000,I253&lt;=60),"Priority 2",IF(I253&lt;=30,"Priority 3","Nurture")))</x:f>
        <x:v>Nurture</x:v>
      </x:c>
    </x:row>
    <x:row r="254">
      <x:c r="A254" s="16" t="n">
        <x:v>10992</x:v>
      </x:c>
      <x:c r="B254" s="16" t="n">
        <x:v>1967</x:v>
      </x:c>
      <x:c r="C254" s="16" t="str">
        <x:v>Graduation</x:v>
      </x:c>
      <x:c r="D254" s="16" t="str">
        <x:v>Together</x:v>
      </x:c>
      <x:c r="E254" s="16" t="n">
        <x:v>75702</x:v>
      </x:c>
      <x:c r="F254" s="16" t="n">
        <x:v>1</x:v>
      </x:c>
      <x:c r="G254" s="16" t="n">
        <x:v>1</x:v>
      </x:c>
      <x:c r="H254" s="16" t="str">
        <x:v>29-08-2012</x:v>
      </x:c>
      <x:c r="I254" s="16" t="n">
        <x:v>77</x:v>
      </x:c>
      <x:c r="J254" s="16" t="n">
        <x:v>650</x:v>
      </x:c>
      <x:c r="K254" s="16" t="n">
        <x:v>28</x:v>
      </x:c>
      <x:c r="L254" s="16" t="n">
        <x:v>353</x:v>
      </x:c>
      <x:c r="M254" s="16" t="n">
        <x:v>45</x:v>
      </x:c>
      <x:c r="N254" s="16" t="n">
        <x:v>42</x:v>
      </x:c>
      <x:c r="O254" s="16" t="n">
        <x:v>30</x:v>
      </x:c>
      <x:c r="P254" s="16" t="n">
        <x:v>5</x:v>
      </x:c>
      <x:c r="Q254" s="16" t="n">
        <x:v>4</x:v>
      </x:c>
      <x:c r="R254" s="16" t="n">
        <x:v>6</x:v>
      </x:c>
      <x:c r="S254" s="16" t="n">
        <x:v>11</x:v>
      </x:c>
      <x:c r="T254" s="16" t="n">
        <x:v>8</x:v>
      </x:c>
      <x:c r="U254" s="16" t="n">
        <x:v>0</x:v>
      </x:c>
      <x:c r="V254" s="16" t="n">
        <x:v>0</x:v>
      </x:c>
      <x:c r="W254" s="16" t="n">
        <x:v>0</x:v>
      </x:c>
      <x:c r="X254" s="16" t="n">
        <x:v>0</x:v>
      </x:c>
      <x:c r="Y254" s="16" t="n">
        <x:v>0</x:v>
      </x:c>
      <x:c r="Z254" s="16" t="n">
        <x:v>0</x:v>
      </x:c>
      <x:c r="AA254" s="16" t="n">
        <x:v>3</x:v>
      </x:c>
      <x:c r="AB254" s="16" t="n">
        <x:v>11</x:v>
      </x:c>
      <x:c r="AC254" s="16" t="n">
        <x:v>0</x:v>
      </x:c>
      <x:c r="AD254" s="21" t="n">
        <x:f>IF(E254="",MEDIAN($E$2:$E$2237),E254)</x:f>
        <x:v>75702</x:v>
      </x:c>
      <x:c r="AE254" s="17" t="n">
        <x:f>2014-B254</x:f>
        <x:v>47</x:v>
      </x:c>
      <x:c r="AF254" s="17" t="n">
        <x:f>F254+G254</x:f>
        <x:v>2</x:v>
      </x:c>
      <x:c r="AG254" s="21" t="n">
        <x:f>SUM(J254:O254)</x:f>
        <x:v>1148</x:v>
      </x:c>
      <x:c r="AH254" s="17" t="n">
        <x:f>SUM(Q254:S254)</x:f>
        <x:v>21</x:v>
      </x:c>
      <x:c r="AI254" s="17" t="n">
        <x:f>SUM(U254:Y254)</x:f>
        <x:v>0</x:v>
      </x:c>
      <x:c r="AJ254" s="17" t="str">
        <x:f>IF(AE254&lt;=34,"≤34",IF(AE254&lt;=44,"35–44",IF(AE254&lt;=54,"45–54",IF(AE254&lt;=64,"55–64","65+"))))</x:f>
        <x:v>45–54</x:v>
      </x:c>
      <x:c r="AK254" s="17" t="str">
        <x:f>IF(AG254&gt;=1000,"High Value",IF(AG254&gt;=300,"Mid Value","Low Value"))</x:f>
        <x:v>High Value</x:v>
      </x:c>
      <x:c r="AL254" s="17" t="str">
        <x:f>IF(AND(AI254&gt;=1,I254&lt;=50),"Priority 1",IF(AND(AG254&gt;=1000,I254&lt;=60),"Priority 2",IF(I254&lt;=30,"Priority 3","Nurture")))</x:f>
        <x:v>Nurture</x:v>
      </x:c>
    </x:row>
    <x:row r="255">
      <x:c r="A255" s="16" t="n">
        <x:v>5304</x:v>
      </x:c>
      <x:c r="B255" s="16" t="n">
        <x:v>1974</x:v>
      </x:c>
      <x:c r="C255" s="16" t="str">
        <x:v>PhD</x:v>
      </x:c>
      <x:c r="D255" s="16" t="str">
        <x:v>Single</x:v>
      </x:c>
      <x:c r="E255" s="16" t="n">
        <x:v>30899</x:v>
      </x:c>
      <x:c r="F255" s="16" t="n">
        <x:v>1</x:v>
      </x:c>
      <x:c r="G255" s="16" t="n">
        <x:v>0</x:v>
      </x:c>
      <x:c r="H255" s="16" t="str">
        <x:v>13-10-2012</x:v>
      </x:c>
      <x:c r="I255" s="16" t="n">
        <x:v>35</x:v>
      </x:c>
      <x:c r="J255" s="16" t="n">
        <x:v>24</x:v>
      </x:c>
      <x:c r="K255" s="16" t="n">
        <x:v>0</x:v>
      </x:c>
      <x:c r="L255" s="16" t="n">
        <x:v>8</x:v>
      </x:c>
      <x:c r="M255" s="16" t="n">
        <x:v>0</x:v>
      </x:c>
      <x:c r="N255" s="16" t="n">
        <x:v>0</x:v>
      </x:c>
      <x:c r="O255" s="16" t="n">
        <x:v>1</x:v>
      </x:c>
      <x:c r="P255" s="16" t="n">
        <x:v>2</x:v>
      </x:c>
      <x:c r="Q255" s="16" t="n">
        <x:v>1</x:v>
      </x:c>
      <x:c r="R255" s="16" t="n">
        <x:v>0</x:v>
      </x:c>
      <x:c r="S255" s="16" t="n">
        <x:v>3</x:v>
      </x:c>
      <x:c r="T255" s="16" t="n">
        <x:v>6</x:v>
      </x:c>
      <x:c r="U255" s="16" t="n">
        <x:v>0</x:v>
      </x:c>
      <x:c r="V255" s="16" t="n">
        <x:v>0</x:v>
      </x:c>
      <x:c r="W255" s="16" t="n">
        <x:v>0</x:v>
      </x:c>
      <x:c r="X255" s="16" t="n">
        <x:v>0</x:v>
      </x:c>
      <x:c r="Y255" s="16" t="n">
        <x:v>0</x:v>
      </x:c>
      <x:c r="Z255" s="16" t="n">
        <x:v>0</x:v>
      </x:c>
      <x:c r="AA255" s="16" t="n">
        <x:v>3</x:v>
      </x:c>
      <x:c r="AB255" s="16" t="n">
        <x:v>11</x:v>
      </x:c>
      <x:c r="AC255" s="16" t="n">
        <x:v>0</x:v>
      </x:c>
      <x:c r="AD255" s="21" t="n">
        <x:f>IF(E255="",MEDIAN($E$2:$E$2237),E255)</x:f>
        <x:v>30899</x:v>
      </x:c>
      <x:c r="AE255" s="17" t="n">
        <x:f>2014-B255</x:f>
        <x:v>40</x:v>
      </x:c>
      <x:c r="AF255" s="17" t="n">
        <x:f>F255+G255</x:f>
        <x:v>1</x:v>
      </x:c>
      <x:c r="AG255" s="21" t="n">
        <x:f>SUM(J255:O255)</x:f>
        <x:v>33</x:v>
      </x:c>
      <x:c r="AH255" s="17" t="n">
        <x:f>SUM(Q255:S255)</x:f>
        <x:v>4</x:v>
      </x:c>
      <x:c r="AI255" s="17" t="n">
        <x:f>SUM(U255:Y255)</x:f>
        <x:v>0</x:v>
      </x:c>
      <x:c r="AJ255" s="17" t="str">
        <x:f>IF(AE255&lt;=34,"≤34",IF(AE255&lt;=44,"35–44",IF(AE255&lt;=54,"45–54",IF(AE255&lt;=64,"55–64","65+"))))</x:f>
        <x:v>35–44</x:v>
      </x:c>
      <x:c r="AK255" s="17" t="str">
        <x:f>IF(AG255&gt;=1000,"High Value",IF(AG255&gt;=300,"Mid Value","Low Value"))</x:f>
        <x:v>Low Value</x:v>
      </x:c>
      <x:c r="AL255" s="17" t="str">
        <x:f>IF(AND(AI255&gt;=1,I255&lt;=50),"Priority 1",IF(AND(AG255&gt;=1000,I255&lt;=60),"Priority 2",IF(I255&lt;=30,"Priority 3","Nurture")))</x:f>
        <x:v>Nurture</x:v>
      </x:c>
    </x:row>
    <x:row r="256">
      <x:c r="A256" s="16" t="n">
        <x:v>309</x:v>
      </x:c>
      <x:c r="B256" s="16" t="n">
        <x:v>1961</x:v>
      </x:c>
      <x:c r="C256" s="16" t="str">
        <x:v>PhD</x:v>
      </x:c>
      <x:c r="D256" s="16" t="str">
        <x:v>Together</x:v>
      </x:c>
      <x:c r="E256" s="16" t="n">
        <x:v>63342</x:v>
      </x:c>
      <x:c r="F256" s="16" t="n">
        <x:v>0</x:v>
      </x:c>
      <x:c r="G256" s="16" t="n">
        <x:v>1</x:v>
      </x:c>
      <x:c r="H256" s="16" t="str">
        <x:v>16-10-2012</x:v>
      </x:c>
      <x:c r="I256" s="16" t="n">
        <x:v>48</x:v>
      </x:c>
      <x:c r="J256" s="16" t="n">
        <x:v>918</x:v>
      </x:c>
      <x:c r="K256" s="16" t="n">
        <x:v>21</x:v>
      </x:c>
      <x:c r="L256" s="16" t="n">
        <x:v>118</x:v>
      </x:c>
      <x:c r="M256" s="16" t="n">
        <x:v>13</x:v>
      </x:c>
      <x:c r="N256" s="16" t="n">
        <x:v>10</x:v>
      </x:c>
      <x:c r="O256" s="16" t="n">
        <x:v>21</x:v>
      </x:c>
      <x:c r="P256" s="16" t="n">
        <x:v>3</x:v>
      </x:c>
      <x:c r="Q256" s="16" t="n">
        <x:v>8</x:v>
      </x:c>
      <x:c r="R256" s="16" t="n">
        <x:v>3</x:v>
      </x:c>
      <x:c r="S256" s="16" t="n">
        <x:v>5</x:v>
      </x:c>
      <x:c r="T256" s="16" t="n">
        <x:v>6</x:v>
      </x:c>
      <x:c r="U256" s="16" t="n">
        <x:v>0</x:v>
      </x:c>
      <x:c r="V256" s="16" t="n">
        <x:v>1</x:v>
      </x:c>
      <x:c r="W256" s="16" t="n">
        <x:v>0</x:v>
      </x:c>
      <x:c r="X256" s="16" t="n">
        <x:v>0</x:v>
      </x:c>
      <x:c r="Y256" s="16" t="n">
        <x:v>0</x:v>
      </x:c>
      <x:c r="Z256" s="16" t="n">
        <x:v>0</x:v>
      </x:c>
      <x:c r="AA256" s="16" t="n">
        <x:v>3</x:v>
      </x:c>
      <x:c r="AB256" s="16" t="n">
        <x:v>11</x:v>
      </x:c>
      <x:c r="AC256" s="16" t="n">
        <x:v>0</x:v>
      </x:c>
      <x:c r="AD256" s="21" t="n">
        <x:f>IF(E256="",MEDIAN($E$2:$E$2237),E256)</x:f>
        <x:v>63342</x:v>
      </x:c>
      <x:c r="AE256" s="17" t="n">
        <x:f>2014-B256</x:f>
        <x:v>53</x:v>
      </x:c>
      <x:c r="AF256" s="17" t="n">
        <x:f>F256+G256</x:f>
        <x:v>1</x:v>
      </x:c>
      <x:c r="AG256" s="21" t="n">
        <x:f>SUM(J256:O256)</x:f>
        <x:v>1101</x:v>
      </x:c>
      <x:c r="AH256" s="17" t="n">
        <x:f>SUM(Q256:S256)</x:f>
        <x:v>16</x:v>
      </x:c>
      <x:c r="AI256" s="17" t="n">
        <x:f>SUM(U256:Y256)</x:f>
        <x:v>1</x:v>
      </x:c>
      <x:c r="AJ256" s="17" t="str">
        <x:f>IF(AE256&lt;=34,"≤34",IF(AE256&lt;=44,"35–44",IF(AE256&lt;=54,"45–54",IF(AE256&lt;=64,"55–64","65+"))))</x:f>
        <x:v>45–54</x:v>
      </x:c>
      <x:c r="AK256" s="17" t="str">
        <x:f>IF(AG256&gt;=1000,"High Value",IF(AG256&gt;=300,"Mid Value","Low Value"))</x:f>
        <x:v>High Value</x:v>
      </x:c>
      <x:c r="AL256" s="17" t="str">
        <x:f>IF(AND(AI256&gt;=1,I256&lt;=50),"Priority 1",IF(AND(AG256&gt;=1000,I256&lt;=60),"Priority 2",IF(I256&lt;=30,"Priority 3","Nurture")))</x:f>
        <x:v>Priority 1</x:v>
      </x:c>
    </x:row>
    <x:row r="257">
      <x:c r="A257" s="16" t="n">
        <x:v>3406</x:v>
      </x:c>
      <x:c r="B257" s="16" t="n">
        <x:v>1964</x:v>
      </x:c>
      <x:c r="C257" s="16" t="str">
        <x:v>Graduation</x:v>
      </x:c>
      <x:c r="D257" s="16" t="str">
        <x:v>Single</x:v>
      </x:c>
      <x:c r="E257" s="16" t="n">
        <x:v>45989</x:v>
      </x:c>
      <x:c r="F257" s="16" t="n">
        <x:v>0</x:v>
      </x:c>
      <x:c r="G257" s="16" t="n">
        <x:v>1</x:v>
      </x:c>
      <x:c r="H257" s="16" t="str">
        <x:v>22-10-2012</x:v>
      </x:c>
      <x:c r="I257" s="16" t="n">
        <x:v>97</x:v>
      </x:c>
      <x:c r="J257" s="16" t="n">
        <x:v>138</x:v>
      </x:c>
      <x:c r="K257" s="16" t="n">
        <x:v>33</x:v>
      </x:c>
      <x:c r="L257" s="16" t="n">
        <x:v>87</x:v>
      </x:c>
      <x:c r="M257" s="16" t="n">
        <x:v>28</x:v>
      </x:c>
      <x:c r="N257" s="16" t="n">
        <x:v>24</x:v>
      </x:c>
      <x:c r="O257" s="16" t="n">
        <x:v>12</x:v>
      </x:c>
      <x:c r="P257" s="16" t="n">
        <x:v>4</x:v>
      </x:c>
      <x:c r="Q257" s="16" t="n">
        <x:v>3</x:v>
      </x:c>
      <x:c r="R257" s="16" t="n">
        <x:v>2</x:v>
      </x:c>
      <x:c r="S257" s="16" t="n">
        <x:v>7</x:v>
      </x:c>
      <x:c r="T257" s="16" t="n">
        <x:v>3</x:v>
      </x:c>
      <x:c r="U257" s="16" t="n">
        <x:v>0</x:v>
      </x:c>
      <x:c r="V257" s="16" t="n">
        <x:v>0</x:v>
      </x:c>
      <x:c r="W257" s="16" t="n">
        <x:v>0</x:v>
      </x:c>
      <x:c r="X257" s="16" t="n">
        <x:v>0</x:v>
      </x:c>
      <x:c r="Y257" s="16" t="n">
        <x:v>0</x:v>
      </x:c>
      <x:c r="Z257" s="16" t="n">
        <x:v>0</x:v>
      </x:c>
      <x:c r="AA257" s="16" t="n">
        <x:v>3</x:v>
      </x:c>
      <x:c r="AB257" s="16" t="n">
        <x:v>11</x:v>
      </x:c>
      <x:c r="AC257" s="16" t="n">
        <x:v>0</x:v>
      </x:c>
      <x:c r="AD257" s="21" t="n">
        <x:f>IF(E257="",MEDIAN($E$2:$E$2237),E257)</x:f>
        <x:v>45989</x:v>
      </x:c>
      <x:c r="AE257" s="17" t="n">
        <x:f>2014-B257</x:f>
        <x:v>50</x:v>
      </x:c>
      <x:c r="AF257" s="17" t="n">
        <x:f>F257+G257</x:f>
        <x:v>1</x:v>
      </x:c>
      <x:c r="AG257" s="21" t="n">
        <x:f>SUM(J257:O257)</x:f>
        <x:v>322</x:v>
      </x:c>
      <x:c r="AH257" s="17" t="n">
        <x:f>SUM(Q257:S257)</x:f>
        <x:v>12</x:v>
      </x:c>
      <x:c r="AI257" s="17" t="n">
        <x:f>SUM(U257:Y257)</x:f>
        <x:v>0</x:v>
      </x:c>
      <x:c r="AJ257" s="17" t="str">
        <x:f>IF(AE257&lt;=34,"≤34",IF(AE257&lt;=44,"35–44",IF(AE257&lt;=54,"45–54",IF(AE257&lt;=64,"55–64","65+"))))</x:f>
        <x:v>45–54</x:v>
      </x:c>
      <x:c r="AK257" s="17" t="str">
        <x:f>IF(AG257&gt;=1000,"High Value",IF(AG257&gt;=300,"Mid Value","Low Value"))</x:f>
        <x:v>Mid Value</x:v>
      </x:c>
      <x:c r="AL257" s="17" t="str">
        <x:f>IF(AND(AI257&gt;=1,I257&lt;=50),"Priority 1",IF(AND(AG257&gt;=1000,I257&lt;=60),"Priority 2",IF(I257&lt;=30,"Priority 3","Nurture")))</x:f>
        <x:v>Nurture</x:v>
      </x:c>
    </x:row>
    <x:row r="258">
      <x:c r="A258" s="16" t="n">
        <x:v>2661</x:v>
      </x:c>
      <x:c r="B258" s="16" t="n">
        <x:v>1964</x:v>
      </x:c>
      <x:c r="C258" s="16" t="str">
        <x:v>Graduation</x:v>
      </x:c>
      <x:c r="D258" s="16" t="str">
        <x:v>Single</x:v>
      </x:c>
      <x:c r="E258" s="16" t="n">
        <x:v>18701</x:v>
      </x:c>
      <x:c r="F258" s="16" t="n">
        <x:v>1</x:v>
      </x:c>
      <x:c r="G258" s="16" t="n">
        <x:v>1</x:v>
      </x:c>
      <x:c r="H258" s="16" t="str">
        <x:v>04-06-2013</x:v>
      </x:c>
      <x:c r="I258" s="16" t="n">
        <x:v>95</x:v>
      </x:c>
      <x:c r="J258" s="16" t="n">
        <x:v>12</x:v>
      </x:c>
      <x:c r="K258" s="16" t="n">
        <x:v>4</x:v>
      </x:c>
      <x:c r="L258" s="16" t="n">
        <x:v>2</x:v>
      </x:c>
      <x:c r="M258" s="16" t="n">
        <x:v>10</x:v>
      </x:c>
      <x:c r="N258" s="16" t="n">
        <x:v>6</x:v>
      </x:c>
      <x:c r="O258" s="16" t="n">
        <x:v>10</x:v>
      </x:c>
      <x:c r="P258" s="16" t="n">
        <x:v>4</x:v>
      </x:c>
      <x:c r="Q258" s="16" t="n">
        <x:v>2</x:v>
      </x:c>
      <x:c r="R258" s="16" t="n">
        <x:v>0</x:v>
      </x:c>
      <x:c r="S258" s="16" t="n">
        <x:v>4</x:v>
      </x:c>
      <x:c r="T258" s="16" t="n">
        <x:v>5</x:v>
      </x:c>
      <x:c r="U258" s="16" t="n">
        <x:v>0</x:v>
      </x:c>
      <x:c r="V258" s="16" t="n">
        <x:v>0</x:v>
      </x:c>
      <x:c r="W258" s="16" t="n">
        <x:v>0</x:v>
      </x:c>
      <x:c r="X258" s="16" t="n">
        <x:v>0</x:v>
      </x:c>
      <x:c r="Y258" s="16" t="n">
        <x:v>0</x:v>
      </x:c>
      <x:c r="Z258" s="16" t="n">
        <x:v>0</x:v>
      </x:c>
      <x:c r="AA258" s="16" t="n">
        <x:v>3</x:v>
      </x:c>
      <x:c r="AB258" s="16" t="n">
        <x:v>11</x:v>
      </x:c>
      <x:c r="AC258" s="16" t="n">
        <x:v>0</x:v>
      </x:c>
      <x:c r="AD258" s="21" t="n">
        <x:f>IF(E258="",MEDIAN($E$2:$E$2237),E258)</x:f>
        <x:v>18701</x:v>
      </x:c>
      <x:c r="AE258" s="17" t="n">
        <x:f>2014-B258</x:f>
        <x:v>50</x:v>
      </x:c>
      <x:c r="AF258" s="17" t="n">
        <x:f>F258+G258</x:f>
        <x:v>2</x:v>
      </x:c>
      <x:c r="AG258" s="21" t="n">
        <x:f>SUM(J258:O258)</x:f>
        <x:v>44</x:v>
      </x:c>
      <x:c r="AH258" s="17" t="n">
        <x:f>SUM(Q258:S258)</x:f>
        <x:v>6</x:v>
      </x:c>
      <x:c r="AI258" s="17" t="n">
        <x:f>SUM(U258:Y258)</x:f>
        <x:v>0</x:v>
      </x:c>
      <x:c r="AJ258" s="17" t="str">
        <x:f>IF(AE258&lt;=34,"≤34",IF(AE258&lt;=44,"35–44",IF(AE258&lt;=54,"45–54",IF(AE258&lt;=64,"55–64","65+"))))</x:f>
        <x:v>45–54</x:v>
      </x:c>
      <x:c r="AK258" s="17" t="str">
        <x:f>IF(AG258&gt;=1000,"High Value",IF(AG258&gt;=300,"Mid Value","Low Value"))</x:f>
        <x:v>Low Value</x:v>
      </x:c>
      <x:c r="AL258" s="17" t="str">
        <x:f>IF(AND(AI258&gt;=1,I258&lt;=50),"Priority 1",IF(AND(AG258&gt;=1000,I258&lt;=60),"Priority 2",IF(I258&lt;=30,"Priority 3","Nurture")))</x:f>
        <x:v>Nurture</x:v>
      </x:c>
    </x:row>
    <x:row r="259">
      <x:c r="A259" s="16" t="n">
        <x:v>3153</x:v>
      </x:c>
      <x:c r="B259" s="16" t="n">
        <x:v>1957</x:v>
      </x:c>
      <x:c r="C259" s="16" t="str">
        <x:v>PhD</x:v>
      </x:c>
      <x:c r="D259" s="16" t="str">
        <x:v>Single</x:v>
      </x:c>
      <x:c r="E259" s="16" t="n">
        <x:v>40737</x:v>
      </x:c>
      <x:c r="F259" s="16" t="n">
        <x:v>2</x:v>
      </x:c>
      <x:c r="G259" s="16" t="n">
        <x:v>1</x:v>
      </x:c>
      <x:c r="H259" s="16" t="str">
        <x:v>08-12-2013</x:v>
      </x:c>
      <x:c r="I259" s="16" t="n">
        <x:v>24</x:v>
      </x:c>
      <x:c r="J259" s="16" t="n">
        <x:v>11</x:v>
      </x:c>
      <x:c r="K259" s="16" t="n">
        <x:v>0</x:v>
      </x:c>
      <x:c r="L259" s="16" t="n">
        <x:v>4</x:v>
      </x:c>
      <x:c r="M259" s="16" t="n">
        <x:v>0</x:v>
      </x:c>
      <x:c r="N259" s="16" t="n">
        <x:v>0</x:v>
      </x:c>
      <x:c r="O259" s="16" t="n">
        <x:v>2</x:v>
      </x:c>
      <x:c r="P259" s="16" t="n">
        <x:v>1</x:v>
      </x:c>
      <x:c r="Q259" s="16" t="n">
        <x:v>1</x:v>
      </x:c>
      <x:c r="R259" s="16" t="n">
        <x:v>0</x:v>
      </x:c>
      <x:c r="S259" s="16" t="n">
        <x:v>2</x:v>
      </x:c>
      <x:c r="T259" s="16" t="n">
        <x:v>8</x:v>
      </x:c>
      <x:c r="U259" s="16" t="n">
        <x:v>0</x:v>
      </x:c>
      <x:c r="V259" s="16" t="n">
        <x:v>0</x:v>
      </x:c>
      <x:c r="W259" s="16" t="n">
        <x:v>0</x:v>
      </x:c>
      <x:c r="X259" s="16" t="n">
        <x:v>0</x:v>
      </x:c>
      <x:c r="Y259" s="16" t="n">
        <x:v>0</x:v>
      </x:c>
      <x:c r="Z259" s="16" t="n">
        <x:v>0</x:v>
      </x:c>
      <x:c r="AA259" s="16" t="n">
        <x:v>3</x:v>
      </x:c>
      <x:c r="AB259" s="16" t="n">
        <x:v>11</x:v>
      </x:c>
      <x:c r="AC259" s="16" t="n">
        <x:v>0</x:v>
      </x:c>
      <x:c r="AD259" s="21" t="n">
        <x:f>IF(E259="",MEDIAN($E$2:$E$2237),E259)</x:f>
        <x:v>40737</x:v>
      </x:c>
      <x:c r="AE259" s="17" t="n">
        <x:f>2014-B259</x:f>
        <x:v>57</x:v>
      </x:c>
      <x:c r="AF259" s="17" t="n">
        <x:f>F259+G259</x:f>
        <x:v>3</x:v>
      </x:c>
      <x:c r="AG259" s="21" t="n">
        <x:f>SUM(J259:O259)</x:f>
        <x:v>17</x:v>
      </x:c>
      <x:c r="AH259" s="17" t="n">
        <x:f>SUM(Q259:S259)</x:f>
        <x:v>3</x:v>
      </x:c>
      <x:c r="AI259" s="17" t="n">
        <x:f>SUM(U259:Y259)</x:f>
        <x:v>0</x:v>
      </x:c>
      <x:c r="AJ259" s="17" t="str">
        <x:f>IF(AE259&lt;=34,"≤34",IF(AE259&lt;=44,"35–44",IF(AE259&lt;=54,"45–54",IF(AE259&lt;=64,"55–64","65+"))))</x:f>
        <x:v>55–64</x:v>
      </x:c>
      <x:c r="AK259" s="17" t="str">
        <x:f>IF(AG259&gt;=1000,"High Value",IF(AG259&gt;=300,"Mid Value","Low Value"))</x:f>
        <x:v>Low Value</x:v>
      </x:c>
      <x:c r="AL259" s="17" t="str">
        <x:f>IF(AND(AI259&gt;=1,I259&lt;=50),"Priority 1",IF(AND(AG259&gt;=1000,I259&lt;=60),"Priority 2",IF(I259&lt;=30,"Priority 3","Nurture")))</x:f>
        <x:v>Priority 3</x:v>
      </x:c>
    </x:row>
    <x:row r="260">
      <x:c r="A260" s="16" t="n">
        <x:v>10264</x:v>
      </x:c>
      <x:c r="B260" s="16" t="n">
        <x:v>1979</x:v>
      </x:c>
      <x:c r="C260" s="16" t="str">
        <x:v>Graduation</x:v>
      </x:c>
      <x:c r="D260" s="16" t="str">
        <x:v>Divorced</x:v>
      </x:c>
      <x:c r="E260" s="16" t="n">
        <x:v>15287</x:v>
      </x:c>
      <x:c r="F260" s="16" t="n">
        <x:v>1</x:v>
      </x:c>
      <x:c r="G260" s="16" t="n">
        <x:v>0</x:v>
      </x:c>
      <x:c r="H260" s="16" t="str">
        <x:v>10-10-2012</x:v>
      </x:c>
      <x:c r="I260" s="16" t="n">
        <x:v>60</x:v>
      </x:c>
      <x:c r="J260" s="16" t="n">
        <x:v>1</x:v>
      </x:c>
      <x:c r="K260" s="16" t="n">
        <x:v>2</x:v>
      </x:c>
      <x:c r="L260" s="16" t="n">
        <x:v>8</x:v>
      </x:c>
      <x:c r="M260" s="16" t="n">
        <x:v>4</x:v>
      </x:c>
      <x:c r="N260" s="16" t="n">
        <x:v>3</x:v>
      </x:c>
      <x:c r="O260" s="16" t="n">
        <x:v>13</x:v>
      </x:c>
      <x:c r="P260" s="16" t="n">
        <x:v>2</x:v>
      </x:c>
      <x:c r="Q260" s="16" t="n">
        <x:v>1</x:v>
      </x:c>
      <x:c r="R260" s="16" t="n">
        <x:v>1</x:v>
      </x:c>
      <x:c r="S260" s="16" t="n">
        <x:v>2</x:v>
      </x:c>
      <x:c r="T260" s="16" t="n">
        <x:v>7</x:v>
      </x:c>
      <x:c r="U260" s="16" t="n">
        <x:v>1</x:v>
      </x:c>
      <x:c r="V260" s="16" t="n">
        <x:v>0</x:v>
      </x:c>
      <x:c r="W260" s="16" t="n">
        <x:v>0</x:v>
      </x:c>
      <x:c r="X260" s="16" t="n">
        <x:v>0</x:v>
      </x:c>
      <x:c r="Y260" s="16" t="n">
        <x:v>0</x:v>
      </x:c>
      <x:c r="Z260" s="16" t="n">
        <x:v>0</x:v>
      </x:c>
      <x:c r="AA260" s="16" t="n">
        <x:v>3</x:v>
      </x:c>
      <x:c r="AB260" s="16" t="n">
        <x:v>11</x:v>
      </x:c>
      <x:c r="AC260" s="16" t="n">
        <x:v>1</x:v>
      </x:c>
      <x:c r="AD260" s="21" t="n">
        <x:f>IF(E260="",MEDIAN($E$2:$E$2237),E260)</x:f>
        <x:v>15287</x:v>
      </x:c>
      <x:c r="AE260" s="17" t="n">
        <x:f>2014-B260</x:f>
        <x:v>35</x:v>
      </x:c>
      <x:c r="AF260" s="17" t="n">
        <x:f>F260+G260</x:f>
        <x:v>1</x:v>
      </x:c>
      <x:c r="AG260" s="21" t="n">
        <x:f>SUM(J260:O260)</x:f>
        <x:v>31</x:v>
      </x:c>
      <x:c r="AH260" s="17" t="n">
        <x:f>SUM(Q260:S260)</x:f>
        <x:v>4</x:v>
      </x:c>
      <x:c r="AI260" s="17" t="n">
        <x:f>SUM(U260:Y260)</x:f>
        <x:v>1</x:v>
      </x:c>
      <x:c r="AJ260" s="17" t="str">
        <x:f>IF(AE260&lt;=34,"≤34",IF(AE260&lt;=44,"35–44",IF(AE260&lt;=54,"45–54",IF(AE260&lt;=64,"55–64","65+"))))</x:f>
        <x:v>35–44</x:v>
      </x:c>
      <x:c r="AK260" s="17" t="str">
        <x:f>IF(AG260&gt;=1000,"High Value",IF(AG260&gt;=300,"Mid Value","Low Value"))</x:f>
        <x:v>Low Value</x:v>
      </x:c>
      <x:c r="AL260" s="17" t="str">
        <x:f>IF(AND(AI260&gt;=1,I260&lt;=50),"Priority 1",IF(AND(AG260&gt;=1000,I260&lt;=60),"Priority 2",IF(I260&lt;=30,"Priority 3","Nurture")))</x:f>
        <x:v>Nurture</x:v>
      </x:c>
    </x:row>
    <x:row r="261">
      <x:c r="A261" s="16" t="n">
        <x:v>1184</x:v>
      </x:c>
      <x:c r="B261" s="16" t="n">
        <x:v>1968</x:v>
      </x:c>
      <x:c r="C261" s="16" t="str">
        <x:v>PhD</x:v>
      </x:c>
      <x:c r="D261" s="16" t="str">
        <x:v>Divorced</x:v>
      </x:c>
      <x:c r="E261" s="16" t="n">
        <x:v>69674</x:v>
      </x:c>
      <x:c r="F261" s="16" t="n">
        <x:v>0</x:v>
      </x:c>
      <x:c r="G261" s="16" t="n">
        <x:v>2</x:v>
      </x:c>
      <x:c r="H261" s="16" t="str">
        <x:v>22-05-2013</x:v>
      </x:c>
      <x:c r="I261" s="16" t="n">
        <x:v>46</x:v>
      </x:c>
      <x:c r="J261" s="16" t="n">
        <x:v>554</x:v>
      </x:c>
      <x:c r="K261" s="16" t="n">
        <x:v>41</x:v>
      </x:c>
      <x:c r="L261" s="16" t="n">
        <x:v>215</x:v>
      </x:c>
      <x:c r="M261" s="16" t="n">
        <x:v>11</x:v>
      </x:c>
      <x:c r="N261" s="16" t="n">
        <x:v>0</x:v>
      </x:c>
      <x:c r="O261" s="16" t="n">
        <x:v>24</x:v>
      </x:c>
      <x:c r="P261" s="16" t="n">
        <x:v>3</x:v>
      </x:c>
      <x:c r="Q261" s="16" t="n">
        <x:v>10</x:v>
      </x:c>
      <x:c r="R261" s="16" t="n">
        <x:v>2</x:v>
      </x:c>
      <x:c r="S261" s="16" t="n">
        <x:v>10</x:v>
      </x:c>
      <x:c r="T261" s="16" t="n">
        <x:v>5</x:v>
      </x:c>
      <x:c r="U261" s="16" t="n">
        <x:v>0</x:v>
      </x:c>
      <x:c r="V261" s="16" t="n">
        <x:v>0</x:v>
      </x:c>
      <x:c r="W261" s="16" t="n">
        <x:v>0</x:v>
      </x:c>
      <x:c r="X261" s="16" t="n">
        <x:v>0</x:v>
      </x:c>
      <x:c r="Y261" s="16" t="n">
        <x:v>0</x:v>
      </x:c>
      <x:c r="Z261" s="16" t="n">
        <x:v>0</x:v>
      </x:c>
      <x:c r="AA261" s="16" t="n">
        <x:v>3</x:v>
      </x:c>
      <x:c r="AB261" s="16" t="n">
        <x:v>11</x:v>
      </x:c>
      <x:c r="AC261" s="16" t="n">
        <x:v>0</x:v>
      </x:c>
      <x:c r="AD261" s="21" t="n">
        <x:f>IF(E261="",MEDIAN($E$2:$E$2237),E261)</x:f>
        <x:v>69674</x:v>
      </x:c>
      <x:c r="AE261" s="17" t="n">
        <x:f>2014-B261</x:f>
        <x:v>46</x:v>
      </x:c>
      <x:c r="AF261" s="17" t="n">
        <x:f>F261+G261</x:f>
        <x:v>2</x:v>
      </x:c>
      <x:c r="AG261" s="21" t="n">
        <x:f>SUM(J261:O261)</x:f>
        <x:v>845</x:v>
      </x:c>
      <x:c r="AH261" s="17" t="n">
        <x:f>SUM(Q261:S261)</x:f>
        <x:v>22</x:v>
      </x:c>
      <x:c r="AI261" s="17" t="n">
        <x:f>SUM(U261:Y261)</x:f>
        <x:v>0</x:v>
      </x:c>
      <x:c r="AJ261" s="17" t="str">
        <x:f>IF(AE261&lt;=34,"≤34",IF(AE261&lt;=44,"35–44",IF(AE261&lt;=54,"45–54",IF(AE261&lt;=64,"55–64","65+"))))</x:f>
        <x:v>45–54</x:v>
      </x:c>
      <x:c r="AK261" s="17" t="str">
        <x:f>IF(AG261&gt;=1000,"High Value",IF(AG261&gt;=300,"Mid Value","Low Value"))</x:f>
        <x:v>Mid Value</x:v>
      </x:c>
      <x:c r="AL261" s="17" t="str">
        <x:f>IF(AND(AI261&gt;=1,I261&lt;=50),"Priority 1",IF(AND(AG261&gt;=1000,I261&lt;=60),"Priority 2",IF(I261&lt;=30,"Priority 3","Nurture")))</x:f>
        <x:v>Nurture</x:v>
      </x:c>
    </x:row>
    <x:row r="262">
      <x:c r="A262" s="16" t="n">
        <x:v>4200</x:v>
      </x:c>
      <x:c r="B262" s="16" t="n">
        <x:v>1970</x:v>
      </x:c>
      <x:c r="C262" s="16" t="str">
        <x:v>Master</x:v>
      </x:c>
      <x:c r="D262" s="16" t="str">
        <x:v>Married</x:v>
      </x:c>
      <x:c r="E262" s="16" t="n">
        <x:v>44159</x:v>
      </x:c>
      <x:c r="F262" s="16" t="n">
        <x:v>1</x:v>
      </x:c>
      <x:c r="G262" s="16" t="n">
        <x:v>0</x:v>
      </x:c>
      <x:c r="H262" s="16" t="str">
        <x:v>17-06-2014</x:v>
      </x:c>
      <x:c r="I262" s="16" t="n">
        <x:v>85</x:v>
      </x:c>
      <x:c r="J262" s="16" t="n">
        <x:v>167</x:v>
      </x:c>
      <x:c r="K262" s="16" t="n">
        <x:v>2</x:v>
      </x:c>
      <x:c r="L262" s="16" t="n">
        <x:v>62</x:v>
      </x:c>
      <x:c r="M262" s="16" t="n">
        <x:v>24</x:v>
      </x:c>
      <x:c r="N262" s="16" t="n">
        <x:v>13</x:v>
      </x:c>
      <x:c r="O262" s="16" t="n">
        <x:v>7</x:v>
      </x:c>
      <x:c r="P262" s="16" t="n">
        <x:v>4</x:v>
      </x:c>
      <x:c r="Q262" s="16" t="n">
        <x:v>4</x:v>
      </x:c>
      <x:c r="R262" s="16" t="n">
        <x:v>1</x:v>
      </x:c>
      <x:c r="S262" s="16" t="n">
        <x:v>6</x:v>
      </x:c>
      <x:c r="T262" s="16" t="n">
        <x:v>5</x:v>
      </x:c>
      <x:c r="U262" s="16" t="n">
        <x:v>0</x:v>
      </x:c>
      <x:c r="V262" s="16" t="n">
        <x:v>0</x:v>
      </x:c>
      <x:c r="W262" s="16" t="n">
        <x:v>0</x:v>
      </x:c>
      <x:c r="X262" s="16" t="n">
        <x:v>0</x:v>
      </x:c>
      <x:c r="Y262" s="16" t="n">
        <x:v>0</x:v>
      </x:c>
      <x:c r="Z262" s="16" t="n">
        <x:v>0</x:v>
      </x:c>
      <x:c r="AA262" s="16" t="n">
        <x:v>3</x:v>
      </x:c>
      <x:c r="AB262" s="16" t="n">
        <x:v>11</x:v>
      </x:c>
      <x:c r="AC262" s="16" t="n">
        <x:v>0</x:v>
      </x:c>
      <x:c r="AD262" s="21" t="n">
        <x:f>IF(E262="",MEDIAN($E$2:$E$2237),E262)</x:f>
        <x:v>44159</x:v>
      </x:c>
      <x:c r="AE262" s="17" t="n">
        <x:f>2014-B262</x:f>
        <x:v>44</x:v>
      </x:c>
      <x:c r="AF262" s="17" t="n">
        <x:f>F262+G262</x:f>
        <x:v>1</x:v>
      </x:c>
      <x:c r="AG262" s="21" t="n">
        <x:f>SUM(J262:O262)</x:f>
        <x:v>275</x:v>
      </x:c>
      <x:c r="AH262" s="17" t="n">
        <x:f>SUM(Q262:S262)</x:f>
        <x:v>11</x:v>
      </x:c>
      <x:c r="AI262" s="17" t="n">
        <x:f>SUM(U262:Y262)</x:f>
        <x:v>0</x:v>
      </x:c>
      <x:c r="AJ262" s="17" t="str">
        <x:f>IF(AE262&lt;=34,"≤34",IF(AE262&lt;=44,"35–44",IF(AE262&lt;=54,"45–54",IF(AE262&lt;=64,"55–64","65+"))))</x:f>
        <x:v>35–44</x:v>
      </x:c>
      <x:c r="AK262" s="17" t="str">
        <x:f>IF(AG262&gt;=1000,"High Value",IF(AG262&gt;=300,"Mid Value","Low Value"))</x:f>
        <x:v>Low Value</x:v>
      </x:c>
      <x:c r="AL262" s="17" t="str">
        <x:f>IF(AND(AI262&gt;=1,I262&lt;=50),"Priority 1",IF(AND(AG262&gt;=1000,I262&lt;=60),"Priority 2",IF(I262&lt;=30,"Priority 3","Nurture")))</x:f>
        <x:v>Nurture</x:v>
      </x:c>
    </x:row>
    <x:row r="263">
      <x:c r="A263" s="16" t="n">
        <x:v>9396</x:v>
      </x:c>
      <x:c r="B263" s="16" t="n">
        <x:v>1978</x:v>
      </x:c>
      <x:c r="C263" s="16" t="str">
        <x:v>PhD</x:v>
      </x:c>
      <x:c r="D263" s="16" t="str">
        <x:v>Married</x:v>
      </x:c>
      <x:c r="E263" s="16" t="n">
        <x:v>37717</x:v>
      </x:c>
      <x:c r="F263" s="16" t="n">
        <x:v>1</x:v>
      </x:c>
      <x:c r="G263" s="16" t="n">
        <x:v>0</x:v>
      </x:c>
      <x:c r="H263" s="16" t="str">
        <x:v>23-11-2012</x:v>
      </x:c>
      <x:c r="I263" s="16" t="n">
        <x:v>31</x:v>
      </x:c>
      <x:c r="J263" s="16" t="n">
        <x:v>9</x:v>
      </x:c>
      <x:c r="K263" s="16" t="n">
        <x:v>0</x:v>
      </x:c>
      <x:c r="L263" s="16" t="n">
        <x:v>6</x:v>
      </x:c>
      <x:c r="M263" s="16" t="n">
        <x:v>4</x:v>
      </x:c>
      <x:c r="N263" s="16" t="n">
        <x:v>1</x:v>
      </x:c>
      <x:c r="O263" s="16" t="n">
        <x:v>5</x:v>
      </x:c>
      <x:c r="P263" s="16" t="n">
        <x:v>1</x:v>
      </x:c>
      <x:c r="Q263" s="16" t="n">
        <x:v>1</x:v>
      </x:c>
      <x:c r="R263" s="16" t="n">
        <x:v>0</x:v>
      </x:c>
      <x:c r="S263" s="16" t="n">
        <x:v>2</x:v>
      </x:c>
      <x:c r="T263" s="16" t="n">
        <x:v>9</x:v>
      </x:c>
      <x:c r="U263" s="16" t="n">
        <x:v>0</x:v>
      </x:c>
      <x:c r="V263" s="16" t="n">
        <x:v>0</x:v>
      </x:c>
      <x:c r="W263" s="16" t="n">
        <x:v>0</x:v>
      </x:c>
      <x:c r="X263" s="16" t="n">
        <x:v>0</x:v>
      </x:c>
      <x:c r="Y263" s="16" t="n">
        <x:v>0</x:v>
      </x:c>
      <x:c r="Z263" s="16" t="n">
        <x:v>0</x:v>
      </x:c>
      <x:c r="AA263" s="16" t="n">
        <x:v>3</x:v>
      </x:c>
      <x:c r="AB263" s="16" t="n">
        <x:v>11</x:v>
      </x:c>
      <x:c r="AC263" s="16" t="n">
        <x:v>0</x:v>
      </x:c>
      <x:c r="AD263" s="21" t="n">
        <x:f>IF(E263="",MEDIAN($E$2:$E$2237),E263)</x:f>
        <x:v>37717</x:v>
      </x:c>
      <x:c r="AE263" s="17" t="n">
        <x:f>2014-B263</x:f>
        <x:v>36</x:v>
      </x:c>
      <x:c r="AF263" s="17" t="n">
        <x:f>F263+G263</x:f>
        <x:v>1</x:v>
      </x:c>
      <x:c r="AG263" s="21" t="n">
        <x:f>SUM(J263:O263)</x:f>
        <x:v>25</x:v>
      </x:c>
      <x:c r="AH263" s="17" t="n">
        <x:f>SUM(Q263:S263)</x:f>
        <x:v>3</x:v>
      </x:c>
      <x:c r="AI263" s="17" t="n">
        <x:f>SUM(U263:Y263)</x:f>
        <x:v>0</x:v>
      </x:c>
      <x:c r="AJ263" s="17" t="str">
        <x:f>IF(AE263&lt;=34,"≤34",IF(AE263&lt;=44,"35–44",IF(AE263&lt;=54,"45–54",IF(AE263&lt;=64,"55–64","65+"))))</x:f>
        <x:v>35–44</x:v>
      </x:c>
      <x:c r="AK263" s="17" t="str">
        <x:f>IF(AG263&gt;=1000,"High Value",IF(AG263&gt;=300,"Mid Value","Low Value"))</x:f>
        <x:v>Low Value</x:v>
      </x:c>
      <x:c r="AL263" s="17" t="str">
        <x:f>IF(AND(AI263&gt;=1,I263&lt;=50),"Priority 1",IF(AND(AG263&gt;=1000,I263&lt;=60),"Priority 2",IF(I263&lt;=30,"Priority 3","Nurture")))</x:f>
        <x:v>Nurture</x:v>
      </x:c>
    </x:row>
    <x:row r="264">
      <x:c r="A264" s="16" t="n">
        <x:v>2387</x:v>
      </x:c>
      <x:c r="B264" s="16" t="n">
        <x:v>1952</x:v>
      </x:c>
      <x:c r="C264" s="16" t="str">
        <x:v>Master</x:v>
      </x:c>
      <x:c r="D264" s="16" t="str">
        <x:v>Together</x:v>
      </x:c>
      <x:c r="E264" s="16" t="n">
        <x:v>43776</x:v>
      </x:c>
      <x:c r="F264" s="16" t="n">
        <x:v>1</x:v>
      </x:c>
      <x:c r="G264" s="16" t="n">
        <x:v>1</x:v>
      </x:c>
      <x:c r="H264" s="16" t="str">
        <x:v>03-02-2013</x:v>
      </x:c>
      <x:c r="I264" s="16" t="n">
        <x:v>9</x:v>
      </x:c>
      <x:c r="J264" s="16" t="n">
        <x:v>177</x:v>
      </x:c>
      <x:c r="K264" s="16" t="n">
        <x:v>2</x:v>
      </x:c>
      <x:c r="L264" s="16" t="n">
        <x:v>71</x:v>
      </x:c>
      <x:c r="M264" s="16" t="n">
        <x:v>3</x:v>
      </x:c>
      <x:c r="N264" s="16" t="n">
        <x:v>2</x:v>
      </x:c>
      <x:c r="O264" s="16" t="n">
        <x:v>20</x:v>
      </x:c>
      <x:c r="P264" s="16" t="n">
        <x:v>6</x:v>
      </x:c>
      <x:c r="Q264" s="16" t="n">
        <x:v>5</x:v>
      </x:c>
      <x:c r="R264" s="16" t="n">
        <x:v>2</x:v>
      </x:c>
      <x:c r="S264" s="16" t="n">
        <x:v>4</x:v>
      </x:c>
      <x:c r="T264" s="16" t="n">
        <x:v>8</x:v>
      </x:c>
      <x:c r="U264" s="16" t="n">
        <x:v>0</x:v>
      </x:c>
      <x:c r="V264" s="16" t="n">
        <x:v>0</x:v>
      </x:c>
      <x:c r="W264" s="16" t="n">
        <x:v>0</x:v>
      </x:c>
      <x:c r="X264" s="16" t="n">
        <x:v>0</x:v>
      </x:c>
      <x:c r="Y264" s="16" t="n">
        <x:v>0</x:v>
      </x:c>
      <x:c r="Z264" s="16" t="n">
        <x:v>0</x:v>
      </x:c>
      <x:c r="AA264" s="16" t="n">
        <x:v>3</x:v>
      </x:c>
      <x:c r="AB264" s="16" t="n">
        <x:v>11</x:v>
      </x:c>
      <x:c r="AC264" s="16" t="n">
        <x:v>1</x:v>
      </x:c>
      <x:c r="AD264" s="21" t="n">
        <x:f>IF(E264="",MEDIAN($E$2:$E$2237),E264)</x:f>
        <x:v>43776</x:v>
      </x:c>
      <x:c r="AE264" s="17" t="n">
        <x:f>2014-B264</x:f>
        <x:v>62</x:v>
      </x:c>
      <x:c r="AF264" s="17" t="n">
        <x:f>F264+G264</x:f>
        <x:v>2</x:v>
      </x:c>
      <x:c r="AG264" s="21" t="n">
        <x:f>SUM(J264:O264)</x:f>
        <x:v>275</x:v>
      </x:c>
      <x:c r="AH264" s="17" t="n">
        <x:f>SUM(Q264:S264)</x:f>
        <x:v>11</x:v>
      </x:c>
      <x:c r="AI264" s="17" t="n">
        <x:f>SUM(U264:Y264)</x:f>
        <x:v>0</x:v>
      </x:c>
      <x:c r="AJ264" s="17" t="str">
        <x:f>IF(AE264&lt;=34,"≤34",IF(AE264&lt;=44,"35–44",IF(AE264&lt;=54,"45–54",IF(AE264&lt;=64,"55–64","65+"))))</x:f>
        <x:v>55–64</x:v>
      </x:c>
      <x:c r="AK264" s="17" t="str">
        <x:f>IF(AG264&gt;=1000,"High Value",IF(AG264&gt;=300,"Mid Value","Low Value"))</x:f>
        <x:v>Low Value</x:v>
      </x:c>
      <x:c r="AL264" s="17" t="str">
        <x:f>IF(AND(AI264&gt;=1,I264&lt;=50),"Priority 1",IF(AND(AG264&gt;=1000,I264&lt;=60),"Priority 2",IF(I264&lt;=30,"Priority 3","Nurture")))</x:f>
        <x:v>Priority 3</x:v>
      </x:c>
    </x:row>
    <x:row r="265">
      <x:c r="A265" s="16" t="n">
        <x:v>6690</x:v>
      </x:c>
      <x:c r="B265" s="16" t="n">
        <x:v>1966</x:v>
      </x:c>
      <x:c r="C265" s="16" t="str">
        <x:v>Master</x:v>
      </x:c>
      <x:c r="D265" s="16" t="str">
        <x:v>Married</x:v>
      </x:c>
      <x:c r="E265" s="16" t="n">
        <x:v>38179</x:v>
      </x:c>
      <x:c r="F265" s="16" t="n">
        <x:v>1</x:v>
      </x:c>
      <x:c r="G265" s="16" t="n">
        <x:v>1</x:v>
      </x:c>
      <x:c r="H265" s="16" t="str">
        <x:v>14-03-2013</x:v>
      </x:c>
      <x:c r="I265" s="16" t="n">
        <x:v>30</x:v>
      </x:c>
      <x:c r="J265" s="16" t="n">
        <x:v>38</x:v>
      </x:c>
      <x:c r="K265" s="16" t="n">
        <x:v>4</x:v>
      </x:c>
      <x:c r="L265" s="16" t="n">
        <x:v>22</x:v>
      </x:c>
      <x:c r="M265" s="16" t="n">
        <x:v>4</x:v>
      </x:c>
      <x:c r="N265" s="16" t="n">
        <x:v>2</x:v>
      </x:c>
      <x:c r="O265" s="16" t="n">
        <x:v>20</x:v>
      </x:c>
      <x:c r="P265" s="16" t="n">
        <x:v>4</x:v>
      </x:c>
      <x:c r="Q265" s="16" t="n">
        <x:v>3</x:v>
      </x:c>
      <x:c r="R265" s="16" t="n">
        <x:v>1</x:v>
      </x:c>
      <x:c r="S265" s="16" t="n">
        <x:v>3</x:v>
      </x:c>
      <x:c r="T265" s="16" t="n">
        <x:v>7</x:v>
      </x:c>
      <x:c r="U265" s="16" t="n">
        <x:v>0</x:v>
      </x:c>
      <x:c r="V265" s="16" t="n">
        <x:v>0</x:v>
      </x:c>
      <x:c r="W265" s="16" t="n">
        <x:v>0</x:v>
      </x:c>
      <x:c r="X265" s="16" t="n">
        <x:v>0</x:v>
      </x:c>
      <x:c r="Y265" s="16" t="n">
        <x:v>0</x:v>
      </x:c>
      <x:c r="Z265" s="16" t="n">
        <x:v>0</x:v>
      </x:c>
      <x:c r="AA265" s="16" t="n">
        <x:v>3</x:v>
      </x:c>
      <x:c r="AB265" s="16" t="n">
        <x:v>11</x:v>
      </x:c>
      <x:c r="AC265" s="16" t="n">
        <x:v>0</x:v>
      </x:c>
      <x:c r="AD265" s="21" t="n">
        <x:f>IF(E265="",MEDIAN($E$2:$E$2237),E265)</x:f>
        <x:v>38179</x:v>
      </x:c>
      <x:c r="AE265" s="17" t="n">
        <x:f>2014-B265</x:f>
        <x:v>48</x:v>
      </x:c>
      <x:c r="AF265" s="17" t="n">
        <x:f>F265+G265</x:f>
        <x:v>2</x:v>
      </x:c>
      <x:c r="AG265" s="21" t="n">
        <x:f>SUM(J265:O265)</x:f>
        <x:v>90</x:v>
      </x:c>
      <x:c r="AH265" s="17" t="n">
        <x:f>SUM(Q265:S265)</x:f>
        <x:v>7</x:v>
      </x:c>
      <x:c r="AI265" s="17" t="n">
        <x:f>SUM(U265:Y265)</x:f>
        <x:v>0</x:v>
      </x:c>
      <x:c r="AJ265" s="17" t="str">
        <x:f>IF(AE265&lt;=34,"≤34",IF(AE265&lt;=44,"35–44",IF(AE265&lt;=54,"45–54",IF(AE265&lt;=64,"55–64","65+"))))</x:f>
        <x:v>45–54</x:v>
      </x:c>
      <x:c r="AK265" s="17" t="str">
        <x:f>IF(AG265&gt;=1000,"High Value",IF(AG265&gt;=300,"Mid Value","Low Value"))</x:f>
        <x:v>Low Value</x:v>
      </x:c>
      <x:c r="AL265" s="17" t="str">
        <x:f>IF(AND(AI265&gt;=1,I265&lt;=50),"Priority 1",IF(AND(AG265&gt;=1000,I265&lt;=60),"Priority 2",IF(I265&lt;=30,"Priority 3","Nurture")))</x:f>
        <x:v>Priority 3</x:v>
      </x:c>
    </x:row>
    <x:row r="266">
      <x:c r="A266" s="16" t="n">
        <x:v>1225</x:v>
      </x:c>
      <x:c r="B266" s="16" t="n">
        <x:v>1963</x:v>
      </x:c>
      <x:c r="C266" s="16" t="str">
        <x:v>Graduation</x:v>
      </x:c>
      <x:c r="D266" s="16" t="str">
        <x:v>Married</x:v>
      </x:c>
      <x:c r="E266" s="16" t="n">
        <x:v>80124</x:v>
      </x:c>
      <x:c r="F266" s="16" t="n">
        <x:v>0</x:v>
      </x:c>
      <x:c r="G266" s="16" t="n">
        <x:v>0</x:v>
      </x:c>
      <x:c r="H266" s="16" t="str">
        <x:v>26-06-2014</x:v>
      </x:c>
      <x:c r="I266" s="16" t="n">
        <x:v>47</x:v>
      </x:c>
      <x:c r="J266" s="16" t="n">
        <x:v>483</x:v>
      </x:c>
      <x:c r="K266" s="16" t="n">
        <x:v>84</x:v>
      </x:c>
      <x:c r="L266" s="16" t="n">
        <x:v>398</x:v>
      </x:c>
      <x:c r="M266" s="16" t="n">
        <x:v>205</x:v>
      </x:c>
      <x:c r="N266" s="16" t="n">
        <x:v>84</x:v>
      </x:c>
      <x:c r="O266" s="16" t="n">
        <x:v>241</x:v>
      </x:c>
      <x:c r="P266" s="16" t="n">
        <x:v>1</x:v>
      </x:c>
      <x:c r="Q266" s="16" t="n">
        <x:v>3</x:v>
      </x:c>
      <x:c r="R266" s="16" t="n">
        <x:v>7</x:v>
      </x:c>
      <x:c r="S266" s="16" t="n">
        <x:v>8</x:v>
      </x:c>
      <x:c r="T266" s="16" t="n">
        <x:v>1</x:v>
      </x:c>
      <x:c r="U266" s="16" t="n">
        <x:v>1</x:v>
      </x:c>
      <x:c r="V266" s="16" t="n">
        <x:v>0</x:v>
      </x:c>
      <x:c r="W266" s="16" t="n">
        <x:v>0</x:v>
      </x:c>
      <x:c r="X266" s="16" t="n">
        <x:v>0</x:v>
      </x:c>
      <x:c r="Y266" s="16" t="n">
        <x:v>0</x:v>
      </x:c>
      <x:c r="Z266" s="16" t="n">
        <x:v>0</x:v>
      </x:c>
      <x:c r="AA266" s="16" t="n">
        <x:v>3</x:v>
      </x:c>
      <x:c r="AB266" s="16" t="n">
        <x:v>11</x:v>
      </x:c>
      <x:c r="AC266" s="16" t="n">
        <x:v>0</x:v>
      </x:c>
      <x:c r="AD266" s="21" t="n">
        <x:f>IF(E266="",MEDIAN($E$2:$E$2237),E266)</x:f>
        <x:v>80124</x:v>
      </x:c>
      <x:c r="AE266" s="17" t="n">
        <x:f>2014-B266</x:f>
        <x:v>51</x:v>
      </x:c>
      <x:c r="AF266" s="17" t="n">
        <x:f>F266+G266</x:f>
        <x:v>0</x:v>
      </x:c>
      <x:c r="AG266" s="21" t="n">
        <x:f>SUM(J266:O266)</x:f>
        <x:v>1495</x:v>
      </x:c>
      <x:c r="AH266" s="17" t="n">
        <x:f>SUM(Q266:S266)</x:f>
        <x:v>18</x:v>
      </x:c>
      <x:c r="AI266" s="17" t="n">
        <x:f>SUM(U266:Y266)</x:f>
        <x:v>1</x:v>
      </x:c>
      <x:c r="AJ266" s="17" t="str">
        <x:f>IF(AE266&lt;=34,"≤34",IF(AE266&lt;=44,"35–44",IF(AE266&lt;=54,"45–54",IF(AE266&lt;=64,"55–64","65+"))))</x:f>
        <x:v>45–54</x:v>
      </x:c>
      <x:c r="AK266" s="17" t="str">
        <x:f>IF(AG266&gt;=1000,"High Value",IF(AG266&gt;=300,"Mid Value","Low Value"))</x:f>
        <x:v>High Value</x:v>
      </x:c>
      <x:c r="AL266" s="17" t="str">
        <x:f>IF(AND(AI266&gt;=1,I266&lt;=50),"Priority 1",IF(AND(AG266&gt;=1000,I266&lt;=60),"Priority 2",IF(I266&lt;=30,"Priority 3","Nurture")))</x:f>
        <x:v>Priority 1</x:v>
      </x:c>
    </x:row>
    <x:row r="267">
      <x:c r="A267" s="16" t="n">
        <x:v>9703</x:v>
      </x:c>
      <x:c r="B267" s="16" t="n">
        <x:v>1970</x:v>
      </x:c>
      <x:c r="C267" s="16" t="str">
        <x:v>PhD</x:v>
      </x:c>
      <x:c r="D267" s="16" t="str">
        <x:v>Married</x:v>
      </x:c>
      <x:c r="E267" s="16" t="n">
        <x:v>38097</x:v>
      </x:c>
      <x:c r="F267" s="16" t="n">
        <x:v>1</x:v>
      </x:c>
      <x:c r="G267" s="16" t="n">
        <x:v>1</x:v>
      </x:c>
      <x:c r="H267" s="16" t="str">
        <x:v>15-10-2012</x:v>
      </x:c>
      <x:c r="I267" s="16" t="n">
        <x:v>70</x:v>
      </x:c>
      <x:c r="J267" s="16" t="n">
        <x:v>77</x:v>
      </x:c>
      <x:c r="K267" s="16" t="n">
        <x:v>2</x:v>
      </x:c>
      <x:c r="L267" s="16" t="n">
        <x:v>35</x:v>
      </x:c>
      <x:c r="M267" s="16" t="n">
        <x:v>0</x:v>
      </x:c>
      <x:c r="N267" s="16" t="n">
        <x:v>1</x:v>
      </x:c>
      <x:c r="O267" s="16" t="n">
        <x:v>69</x:v>
      </x:c>
      <x:c r="P267" s="16" t="n">
        <x:v>4</x:v>
      </x:c>
      <x:c r="Q267" s="16" t="n">
        <x:v>3</x:v>
      </x:c>
      <x:c r="R267" s="16" t="n">
        <x:v>2</x:v>
      </x:c>
      <x:c r="S267" s="16" t="n">
        <x:v>2</x:v>
      </x:c>
      <x:c r="T267" s="16" t="n">
        <x:v>7</x:v>
      </x:c>
      <x:c r="U267" s="16" t="n">
        <x:v>1</x:v>
      </x:c>
      <x:c r="V267" s="16" t="n">
        <x:v>0</x:v>
      </x:c>
      <x:c r="W267" s="16" t="n">
        <x:v>0</x:v>
      </x:c>
      <x:c r="X267" s="16" t="n">
        <x:v>0</x:v>
      </x:c>
      <x:c r="Y267" s="16" t="n">
        <x:v>0</x:v>
      </x:c>
      <x:c r="Z267" s="16" t="n">
        <x:v>0</x:v>
      </x:c>
      <x:c r="AA267" s="16" t="n">
        <x:v>3</x:v>
      </x:c>
      <x:c r="AB267" s="16" t="n">
        <x:v>11</x:v>
      </x:c>
      <x:c r="AC267" s="16" t="n">
        <x:v>1</x:v>
      </x:c>
      <x:c r="AD267" s="21" t="n">
        <x:f>IF(E267="",MEDIAN($E$2:$E$2237),E267)</x:f>
        <x:v>38097</x:v>
      </x:c>
      <x:c r="AE267" s="17" t="n">
        <x:f>2014-B267</x:f>
        <x:v>44</x:v>
      </x:c>
      <x:c r="AF267" s="17" t="n">
        <x:f>F267+G267</x:f>
        <x:v>2</x:v>
      </x:c>
      <x:c r="AG267" s="21" t="n">
        <x:f>SUM(J267:O267)</x:f>
        <x:v>184</x:v>
      </x:c>
      <x:c r="AH267" s="17" t="n">
        <x:f>SUM(Q267:S267)</x:f>
        <x:v>7</x:v>
      </x:c>
      <x:c r="AI267" s="17" t="n">
        <x:f>SUM(U267:Y267)</x:f>
        <x:v>1</x:v>
      </x:c>
      <x:c r="AJ267" s="17" t="str">
        <x:f>IF(AE267&lt;=34,"≤34",IF(AE267&lt;=44,"35–44",IF(AE267&lt;=54,"45–54",IF(AE267&lt;=64,"55–64","65+"))))</x:f>
        <x:v>35–44</x:v>
      </x:c>
      <x:c r="AK267" s="17" t="str">
        <x:f>IF(AG267&gt;=1000,"High Value",IF(AG267&gt;=300,"Mid Value","Low Value"))</x:f>
        <x:v>Low Value</x:v>
      </x:c>
      <x:c r="AL267" s="17" t="str">
        <x:f>IF(AND(AI267&gt;=1,I267&lt;=50),"Priority 1",IF(AND(AG267&gt;=1000,I267&lt;=60),"Priority 2",IF(I267&lt;=30,"Priority 3","Nurture")))</x:f>
        <x:v>Nurture</x:v>
      </x:c>
    </x:row>
    <x:row r="268">
      <x:c r="A268" s="16" t="n">
        <x:v>291</x:v>
      </x:c>
      <x:c r="B268" s="16" t="n">
        <x:v>1970</x:v>
      </x:c>
      <x:c r="C268" s="16" t="str">
        <x:v>Graduation</x:v>
      </x:c>
      <x:c r="D268" s="16" t="str">
        <x:v>Married</x:v>
      </x:c>
      <x:c r="E268" s="16" t="n">
        <x:v>72940</x:v>
      </x:c>
      <x:c r="F268" s="16" t="n">
        <x:v>0</x:v>
      </x:c>
      <x:c r="G268" s="16" t="n">
        <x:v>0</x:v>
      </x:c>
      <x:c r="H268" s="16" t="str">
        <x:v>19-06-2013</x:v>
      </x:c>
      <x:c r="I268" s="16" t="n">
        <x:v>13</x:v>
      </x:c>
      <x:c r="J268" s="16" t="n">
        <x:v>182</x:v>
      </x:c>
      <x:c r="K268" s="16" t="n">
        <x:v>74</x:v>
      </x:c>
      <x:c r="L268" s="16" t="n">
        <x:v>298</x:v>
      </x:c>
      <x:c r="M268" s="16" t="n">
        <x:v>162</x:v>
      </x:c>
      <x:c r="N268" s="16" t="n">
        <x:v>149</x:v>
      </x:c>
      <x:c r="O268" s="16" t="n">
        <x:v>116</x:v>
      </x:c>
      <x:c r="P268" s="16" t="n">
        <x:v>1</x:v>
      </x:c>
      <x:c r="Q268" s="16" t="n">
        <x:v>3</x:v>
      </x:c>
      <x:c r="R268" s="16" t="n">
        <x:v>3</x:v>
      </x:c>
      <x:c r="S268" s="16" t="n">
        <x:v>6</x:v>
      </x:c>
      <x:c r="T268" s="16" t="n">
        <x:v>1</x:v>
      </x:c>
      <x:c r="U268" s="16" t="n">
        <x:v>0</x:v>
      </x:c>
      <x:c r="V268" s="16" t="n">
        <x:v>0</x:v>
      </x:c>
      <x:c r="W268" s="16" t="n">
        <x:v>0</x:v>
      </x:c>
      <x:c r="X268" s="16" t="n">
        <x:v>0</x:v>
      </x:c>
      <x:c r="Y268" s="16" t="n">
        <x:v>0</x:v>
      </x:c>
      <x:c r="Z268" s="16" t="n">
        <x:v>0</x:v>
      </x:c>
      <x:c r="AA268" s="16" t="n">
        <x:v>3</x:v>
      </x:c>
      <x:c r="AB268" s="16" t="n">
        <x:v>11</x:v>
      </x:c>
      <x:c r="AC268" s="16" t="n">
        <x:v>0</x:v>
      </x:c>
      <x:c r="AD268" s="21" t="n">
        <x:f>IF(E268="",MEDIAN($E$2:$E$2237),E268)</x:f>
        <x:v>72940</x:v>
      </x:c>
      <x:c r="AE268" s="17" t="n">
        <x:f>2014-B268</x:f>
        <x:v>44</x:v>
      </x:c>
      <x:c r="AF268" s="17" t="n">
        <x:f>F268+G268</x:f>
        <x:v>0</x:v>
      </x:c>
      <x:c r="AG268" s="21" t="n">
        <x:f>SUM(J268:O268)</x:f>
        <x:v>981</x:v>
      </x:c>
      <x:c r="AH268" s="17" t="n">
        <x:f>SUM(Q268:S268)</x:f>
        <x:v>12</x:v>
      </x:c>
      <x:c r="AI268" s="17" t="n">
        <x:f>SUM(U268:Y268)</x:f>
        <x:v>0</x:v>
      </x:c>
      <x:c r="AJ268" s="17" t="str">
        <x:f>IF(AE268&lt;=34,"≤34",IF(AE268&lt;=44,"35–44",IF(AE268&lt;=54,"45–54",IF(AE268&lt;=64,"55–64","65+"))))</x:f>
        <x:v>35–44</x:v>
      </x:c>
      <x:c r="AK268" s="17" t="str">
        <x:f>IF(AG268&gt;=1000,"High Value",IF(AG268&gt;=300,"Mid Value","Low Value"))</x:f>
        <x:v>Mid Value</x:v>
      </x:c>
      <x:c r="AL268" s="17" t="str">
        <x:f>IF(AND(AI268&gt;=1,I268&lt;=50),"Priority 1",IF(AND(AG268&gt;=1000,I268&lt;=60),"Priority 2",IF(I268&lt;=30,"Priority 3","Nurture")))</x:f>
        <x:v>Priority 3</x:v>
      </x:c>
    </x:row>
    <x:row r="269">
      <x:c r="A269" s="16" t="n">
        <x:v>4557</x:v>
      </x:c>
      <x:c r="B269" s="16" t="n">
        <x:v>1970</x:v>
      </x:c>
      <x:c r="C269" s="16" t="str">
        <x:v>Graduation</x:v>
      </x:c>
      <x:c r="D269" s="16" t="str">
        <x:v>Together</x:v>
      </x:c>
      <x:c r="E269" s="16" t="n">
        <x:v>22070</x:v>
      </x:c>
      <x:c r="F269" s="16" t="n">
        <x:v>1</x:v>
      </x:c>
      <x:c r="G269" s="16" t="n">
        <x:v>0</x:v>
      </x:c>
      <x:c r="H269" s="16" t="str">
        <x:v>04-10-2013</x:v>
      </x:c>
      <x:c r="I269" s="16" t="n">
        <x:v>11</x:v>
      </x:c>
      <x:c r="J269" s="16" t="n">
        <x:v>10</x:v>
      </x:c>
      <x:c r="K269" s="16" t="n">
        <x:v>7</x:v>
      </x:c>
      <x:c r="L269" s="16" t="n">
        <x:v>19</x:v>
      </x:c>
      <x:c r="M269" s="16" t="n">
        <x:v>8</x:v>
      </x:c>
      <x:c r="N269" s="16" t="n">
        <x:v>2</x:v>
      </x:c>
      <x:c r="O269" s="16" t="n">
        <x:v>21</x:v>
      </x:c>
      <x:c r="P269" s="16" t="n">
        <x:v>2</x:v>
      </x:c>
      <x:c r="Q269" s="16" t="n">
        <x:v>2</x:v>
      </x:c>
      <x:c r="R269" s="16" t="n">
        <x:v>2</x:v>
      </x:c>
      <x:c r="S269" s="16" t="n">
        <x:v>2</x:v>
      </x:c>
      <x:c r="T269" s="16" t="n">
        <x:v>6</x:v>
      </x:c>
      <x:c r="U269" s="16" t="n">
        <x:v>0</x:v>
      </x:c>
      <x:c r="V269" s="16" t="n">
        <x:v>0</x:v>
      </x:c>
      <x:c r="W269" s="16" t="n">
        <x:v>0</x:v>
      </x:c>
      <x:c r="X269" s="16" t="n">
        <x:v>0</x:v>
      </x:c>
      <x:c r="Y269" s="16" t="n">
        <x:v>0</x:v>
      </x:c>
      <x:c r="Z269" s="16" t="n">
        <x:v>0</x:v>
      </x:c>
      <x:c r="AA269" s="16" t="n">
        <x:v>3</x:v>
      </x:c>
      <x:c r="AB269" s="16" t="n">
        <x:v>11</x:v>
      </x:c>
      <x:c r="AC269" s="16" t="n">
        <x:v>0</x:v>
      </x:c>
      <x:c r="AD269" s="21" t="n">
        <x:f>IF(E269="",MEDIAN($E$2:$E$2237),E269)</x:f>
        <x:v>22070</x:v>
      </x:c>
      <x:c r="AE269" s="17" t="n">
        <x:f>2014-B269</x:f>
        <x:v>44</x:v>
      </x:c>
      <x:c r="AF269" s="17" t="n">
        <x:f>F269+G269</x:f>
        <x:v>1</x:v>
      </x:c>
      <x:c r="AG269" s="21" t="n">
        <x:f>SUM(J269:O269)</x:f>
        <x:v>67</x:v>
      </x:c>
      <x:c r="AH269" s="17" t="n">
        <x:f>SUM(Q269:S269)</x:f>
        <x:v>6</x:v>
      </x:c>
      <x:c r="AI269" s="17" t="n">
        <x:f>SUM(U269:Y269)</x:f>
        <x:v>0</x:v>
      </x:c>
      <x:c r="AJ269" s="17" t="str">
        <x:f>IF(AE269&lt;=34,"≤34",IF(AE269&lt;=44,"35–44",IF(AE269&lt;=54,"45–54",IF(AE269&lt;=64,"55–64","65+"))))</x:f>
        <x:v>35–44</x:v>
      </x:c>
      <x:c r="AK269" s="17" t="str">
        <x:f>IF(AG269&gt;=1000,"High Value",IF(AG269&gt;=300,"Mid Value","Low Value"))</x:f>
        <x:v>Low Value</x:v>
      </x:c>
      <x:c r="AL269" s="17" t="str">
        <x:f>IF(AND(AI269&gt;=1,I269&lt;=50),"Priority 1",IF(AND(AG269&gt;=1000,I269&lt;=60),"Priority 2",IF(I269&lt;=30,"Priority 3","Nurture")))</x:f>
        <x:v>Priority 3</x:v>
      </x:c>
    </x:row>
    <x:row r="270">
      <x:c r="A270" s="16" t="n">
        <x:v>2379</x:v>
      </x:c>
      <x:c r="B270" s="16" t="n">
        <x:v>1953</x:v>
      </x:c>
      <x:c r="C270" s="16" t="str">
        <x:v>Graduation</x:v>
      </x:c>
      <x:c r="D270" s="16" t="str">
        <x:v>Single</x:v>
      </x:c>
      <x:c r="E270" s="16" t="n">
        <x:v>69267</x:v>
      </x:c>
      <x:c r="F270" s="16" t="n">
        <x:v>0</x:v>
      </x:c>
      <x:c r="G270" s="16" t="n">
        <x:v>0</x:v>
      </x:c>
      <x:c r="H270" s="16" t="str">
        <x:v>22-09-2012</x:v>
      </x:c>
      <x:c r="I270" s="16" t="n">
        <x:v>31</x:v>
      </x:c>
      <x:c r="J270" s="16" t="n">
        <x:v>778</x:v>
      </x:c>
      <x:c r="K270" s="16" t="n">
        <x:v>44</x:v>
      </x:c>
      <x:c r="L270" s="16" t="n">
        <x:v>499</x:v>
      </x:c>
      <x:c r="M270" s="16" t="n">
        <x:v>95</x:v>
      </x:c>
      <x:c r="N270" s="16" t="n">
        <x:v>73</x:v>
      </x:c>
      <x:c r="O270" s="16" t="n">
        <x:v>146</x:v>
      </x:c>
      <x:c r="P270" s="16" t="n">
        <x:v>2</x:v>
      </x:c>
      <x:c r="Q270" s="16" t="n">
        <x:v>3</x:v>
      </x:c>
      <x:c r="R270" s="16" t="n">
        <x:v>4</x:v>
      </x:c>
      <x:c r="S270" s="16" t="n">
        <x:v>5</x:v>
      </x:c>
      <x:c r="T270" s="16" t="n">
        <x:v>7</x:v>
      </x:c>
      <x:c r="U270" s="16" t="n">
        <x:v>0</x:v>
      </x:c>
      <x:c r="V270" s="16" t="n">
        <x:v>0</x:v>
      </x:c>
      <x:c r="W270" s="16" t="n">
        <x:v>0</x:v>
      </x:c>
      <x:c r="X270" s="16" t="n">
        <x:v>0</x:v>
      </x:c>
      <x:c r="Y270" s="16" t="n">
        <x:v>0</x:v>
      </x:c>
      <x:c r="Z270" s="16" t="n">
        <x:v>0</x:v>
      </x:c>
      <x:c r="AA270" s="16" t="n">
        <x:v>3</x:v>
      </x:c>
      <x:c r="AB270" s="16" t="n">
        <x:v>11</x:v>
      </x:c>
      <x:c r="AC270" s="16" t="n">
        <x:v>1</x:v>
      </x:c>
      <x:c r="AD270" s="21" t="n">
        <x:f>IF(E270="",MEDIAN($E$2:$E$2237),E270)</x:f>
        <x:v>69267</x:v>
      </x:c>
      <x:c r="AE270" s="17" t="n">
        <x:f>2014-B270</x:f>
        <x:v>61</x:v>
      </x:c>
      <x:c r="AF270" s="17" t="n">
        <x:f>F270+G270</x:f>
        <x:v>0</x:v>
      </x:c>
      <x:c r="AG270" s="21" t="n">
        <x:f>SUM(J270:O270)</x:f>
        <x:v>1635</x:v>
      </x:c>
      <x:c r="AH270" s="17" t="n">
        <x:f>SUM(Q270:S270)</x:f>
        <x:v>12</x:v>
      </x:c>
      <x:c r="AI270" s="17" t="n">
        <x:f>SUM(U270:Y270)</x:f>
        <x:v>0</x:v>
      </x:c>
      <x:c r="AJ270" s="17" t="str">
        <x:f>IF(AE270&lt;=34,"≤34",IF(AE270&lt;=44,"35–44",IF(AE270&lt;=54,"45–54",IF(AE270&lt;=64,"55–64","65+"))))</x:f>
        <x:v>55–64</x:v>
      </x:c>
      <x:c r="AK270" s="17" t="str">
        <x:f>IF(AG270&gt;=1000,"High Value",IF(AG270&gt;=300,"Mid Value","Low Value"))</x:f>
        <x:v>High Value</x:v>
      </x:c>
      <x:c r="AL270" s="17" t="str">
        <x:f>IF(AND(AI270&gt;=1,I270&lt;=50),"Priority 1",IF(AND(AG270&gt;=1000,I270&lt;=60),"Priority 2",IF(I270&lt;=30,"Priority 3","Nurture")))</x:f>
        <x:v>Priority 2</x:v>
      </x:c>
    </x:row>
    <x:row r="271">
      <x:c r="A271" s="16" t="n">
        <x:v>5726</x:v>
      </x:c>
      <x:c r="B271" s="16" t="n">
        <x:v>1983</x:v>
      </x:c>
      <x:c r="C271" s="16" t="str">
        <x:v>Master</x:v>
      </x:c>
      <x:c r="D271" s="16" t="str">
        <x:v>Single</x:v>
      </x:c>
      <x:c r="E271" s="16" t="n">
        <x:v>31788</x:v>
      </x:c>
      <x:c r="F271" s="16" t="n">
        <x:v>1</x:v>
      </x:c>
      <x:c r="G271" s="16" t="n">
        <x:v>0</x:v>
      </x:c>
      <x:c r="H271" s="16" t="str">
        <x:v>20-03-2014</x:v>
      </x:c>
      <x:c r="I271" s="16" t="n">
        <x:v>15</x:v>
      </x:c>
      <x:c r="J271" s="16" t="n">
        <x:v>16</x:v>
      </x:c>
      <x:c r="K271" s="16" t="n">
        <x:v>7</x:v>
      </x:c>
      <x:c r="L271" s="16" t="n">
        <x:v>23</x:v>
      </x:c>
      <x:c r="M271" s="16" t="n">
        <x:v>0</x:v>
      </x:c>
      <x:c r="N271" s="16" t="n">
        <x:v>8</x:v>
      </x:c>
      <x:c r="O271" s="16" t="n">
        <x:v>6</x:v>
      </x:c>
      <x:c r="P271" s="16" t="n">
        <x:v>3</x:v>
      </x:c>
      <x:c r="Q271" s="16" t="n">
        <x:v>3</x:v>
      </x:c>
      <x:c r="R271" s="16" t="n">
        <x:v>0</x:v>
      </x:c>
      <x:c r="S271" s="16" t="n">
        <x:v>4</x:v>
      </x:c>
      <x:c r="T271" s="16" t="n">
        <x:v>5</x:v>
      </x:c>
      <x:c r="U271" s="16" t="n">
        <x:v>0</x:v>
      </x:c>
      <x:c r="V271" s="16" t="n">
        <x:v>0</x:v>
      </x:c>
      <x:c r="W271" s="16" t="n">
        <x:v>0</x:v>
      </x:c>
      <x:c r="X271" s="16" t="n">
        <x:v>0</x:v>
      </x:c>
      <x:c r="Y271" s="16" t="n">
        <x:v>0</x:v>
      </x:c>
      <x:c r="Z271" s="16" t="n">
        <x:v>1</x:v>
      </x:c>
      <x:c r="AA271" s="16" t="n">
        <x:v>3</x:v>
      </x:c>
      <x:c r="AB271" s="16" t="n">
        <x:v>11</x:v>
      </x:c>
      <x:c r="AC271" s="16" t="n">
        <x:v>0</x:v>
      </x:c>
      <x:c r="AD271" s="21" t="n">
        <x:f>IF(E271="",MEDIAN($E$2:$E$2237),E271)</x:f>
        <x:v>31788</x:v>
      </x:c>
      <x:c r="AE271" s="17" t="n">
        <x:f>2014-B271</x:f>
        <x:v>31</x:v>
      </x:c>
      <x:c r="AF271" s="17" t="n">
        <x:f>F271+G271</x:f>
        <x:v>1</x:v>
      </x:c>
      <x:c r="AG271" s="21" t="n">
        <x:f>SUM(J271:O271)</x:f>
        <x:v>60</x:v>
      </x:c>
      <x:c r="AH271" s="17" t="n">
        <x:f>SUM(Q271:S271)</x:f>
        <x:v>7</x:v>
      </x:c>
      <x:c r="AI271" s="17" t="n">
        <x:f>SUM(U271:Y271)</x:f>
        <x:v>0</x:v>
      </x:c>
      <x:c r="AJ271" s="17" t="str">
        <x:f>IF(AE271&lt;=34,"≤34",IF(AE271&lt;=44,"35–44",IF(AE271&lt;=54,"45–54",IF(AE271&lt;=64,"55–64","65+"))))</x:f>
        <x:v>≤34</x:v>
      </x:c>
      <x:c r="AK271" s="17" t="str">
        <x:f>IF(AG271&gt;=1000,"High Value",IF(AG271&gt;=300,"Mid Value","Low Value"))</x:f>
        <x:v>Low Value</x:v>
      </x:c>
      <x:c r="AL271" s="17" t="str">
        <x:f>IF(AND(AI271&gt;=1,I271&lt;=50),"Priority 1",IF(AND(AG271&gt;=1000,I271&lt;=60),"Priority 2",IF(I271&lt;=30,"Priority 3","Nurture")))</x:f>
        <x:v>Priority 3</x:v>
      </x:c>
    </x:row>
    <x:row r="272">
      <x:c r="A272" s="16" t="n">
        <x:v>3066</x:v>
      </x:c>
      <x:c r="B272" s="16" t="n">
        <x:v>1975</x:v>
      </x:c>
      <x:c r="C272" s="16" t="str">
        <x:v>PhD</x:v>
      </x:c>
      <x:c r="D272" s="16" t="str">
        <x:v>Together</x:v>
      </x:c>
      <x:c r="E272" s="16" t="n">
        <x:v>61905</x:v>
      </x:c>
      <x:c r="F272" s="16" t="n">
        <x:v>0</x:v>
      </x:c>
      <x:c r="G272" s="16" t="n">
        <x:v>1</x:v>
      </x:c>
      <x:c r="H272" s="16" t="str">
        <x:v>04-02-2014</x:v>
      </x:c>
      <x:c r="I272" s="16" t="n">
        <x:v>2</x:v>
      </x:c>
      <x:c r="J272" s="16" t="n">
        <x:v>167</x:v>
      </x:c>
      <x:c r="K272" s="16" t="n">
        <x:v>0</x:v>
      </x:c>
      <x:c r="L272" s="16" t="n">
        <x:v>43</x:v>
      </x:c>
      <x:c r="M272" s="16" t="n">
        <x:v>6</x:v>
      </x:c>
      <x:c r="N272" s="16" t="n">
        <x:v>2</x:v>
      </x:c>
      <x:c r="O272" s="16" t="n">
        <x:v>13</x:v>
      </x:c>
      <x:c r="P272" s="16" t="n">
        <x:v>2</x:v>
      </x:c>
      <x:c r="Q272" s="16" t="n">
        <x:v>4</x:v>
      </x:c>
      <x:c r="R272" s="16" t="n">
        <x:v>2</x:v>
      </x:c>
      <x:c r="S272" s="16" t="n">
        <x:v>4</x:v>
      </x:c>
      <x:c r="T272" s="16" t="n">
        <x:v>5</x:v>
      </x:c>
      <x:c r="U272" s="16" t="n">
        <x:v>0</x:v>
      </x:c>
      <x:c r="V272" s="16" t="n">
        <x:v>0</x:v>
      </x:c>
      <x:c r="W272" s="16" t="n">
        <x:v>0</x:v>
      </x:c>
      <x:c r="X272" s="16" t="n">
        <x:v>0</x:v>
      </x:c>
      <x:c r="Y272" s="16" t="n">
        <x:v>0</x:v>
      </x:c>
      <x:c r="Z272" s="16" t="n">
        <x:v>0</x:v>
      </x:c>
      <x:c r="AA272" s="16" t="n">
        <x:v>3</x:v>
      </x:c>
      <x:c r="AB272" s="16" t="n">
        <x:v>11</x:v>
      </x:c>
      <x:c r="AC272" s="16" t="n">
        <x:v>0</x:v>
      </x:c>
      <x:c r="AD272" s="21" t="n">
        <x:f>IF(E272="",MEDIAN($E$2:$E$2237),E272)</x:f>
        <x:v>61905</x:v>
      </x:c>
      <x:c r="AE272" s="17" t="n">
        <x:f>2014-B272</x:f>
        <x:v>39</x:v>
      </x:c>
      <x:c r="AF272" s="17" t="n">
        <x:f>F272+G272</x:f>
        <x:v>1</x:v>
      </x:c>
      <x:c r="AG272" s="21" t="n">
        <x:f>SUM(J272:O272)</x:f>
        <x:v>231</x:v>
      </x:c>
      <x:c r="AH272" s="17" t="n">
        <x:f>SUM(Q272:S272)</x:f>
        <x:v>10</x:v>
      </x:c>
      <x:c r="AI272" s="17" t="n">
        <x:f>SUM(U272:Y272)</x:f>
        <x:v>0</x:v>
      </x:c>
      <x:c r="AJ272" s="17" t="str">
        <x:f>IF(AE272&lt;=34,"≤34",IF(AE272&lt;=44,"35–44",IF(AE272&lt;=54,"45–54",IF(AE272&lt;=64,"55–64","65+"))))</x:f>
        <x:v>35–44</x:v>
      </x:c>
      <x:c r="AK272" s="17" t="str">
        <x:f>IF(AG272&gt;=1000,"High Value",IF(AG272&gt;=300,"Mid Value","Low Value"))</x:f>
        <x:v>Low Value</x:v>
      </x:c>
      <x:c r="AL272" s="17" t="str">
        <x:f>IF(AND(AI272&gt;=1,I272&lt;=50),"Priority 1",IF(AND(AG272&gt;=1000,I272&lt;=60),"Priority 2",IF(I272&lt;=30,"Priority 3","Nurture")))</x:f>
        <x:v>Priority 3</x:v>
      </x:c>
    </x:row>
    <x:row r="273">
      <x:c r="A273" s="16" t="n">
        <x:v>6336</x:v>
      </x:c>
      <x:c r="B273" s="16" t="n">
        <x:v>1960</x:v>
      </x:c>
      <x:c r="C273" s="16" t="str">
        <x:v>Graduation</x:v>
      </x:c>
      <x:c r="D273" s="16" t="str">
        <x:v>Married</x:v>
      </x:c>
      <x:c r="E273" s="16" t="n">
        <x:v>29315</x:v>
      </x:c>
      <x:c r="F273" s="16" t="n">
        <x:v>1</x:v>
      </x:c>
      <x:c r="G273" s="16" t="n">
        <x:v>1</x:v>
      </x:c>
      <x:c r="H273" s="16" t="str">
        <x:v>06-04-2014</x:v>
      </x:c>
      <x:c r="I273" s="16" t="n">
        <x:v>55</x:v>
      </x:c>
      <x:c r="J273" s="16" t="n">
        <x:v>13</x:v>
      </x:c>
      <x:c r="K273" s="16" t="n">
        <x:v>2</x:v>
      </x:c>
      <x:c r="L273" s="16" t="n">
        <x:v>14</x:v>
      </x:c>
      <x:c r="M273" s="16" t="n">
        <x:v>8</x:v>
      </x:c>
      <x:c r="N273" s="16" t="n">
        <x:v>7</x:v>
      </x:c>
      <x:c r="O273" s="16" t="n">
        <x:v>4</x:v>
      </x:c>
      <x:c r="P273" s="16" t="n">
        <x:v>4</x:v>
      </x:c>
      <x:c r="Q273" s="16" t="n">
        <x:v>2</x:v>
      </x:c>
      <x:c r="R273" s="16" t="n">
        <x:v>0</x:v>
      </x:c>
      <x:c r="S273" s="16" t="n">
        <x:v>4</x:v>
      </x:c>
      <x:c r="T273" s="16" t="n">
        <x:v>6</x:v>
      </x:c>
      <x:c r="U273" s="16" t="n">
        <x:v>0</x:v>
      </x:c>
      <x:c r="V273" s="16" t="n">
        <x:v>0</x:v>
      </x:c>
      <x:c r="W273" s="16" t="n">
        <x:v>0</x:v>
      </x:c>
      <x:c r="X273" s="16" t="n">
        <x:v>0</x:v>
      </x:c>
      <x:c r="Y273" s="16" t="n">
        <x:v>0</x:v>
      </x:c>
      <x:c r="Z273" s="16" t="n">
        <x:v>0</x:v>
      </x:c>
      <x:c r="AA273" s="16" t="n">
        <x:v>3</x:v>
      </x:c>
      <x:c r="AB273" s="16" t="n">
        <x:v>11</x:v>
      </x:c>
      <x:c r="AC273" s="16" t="n">
        <x:v>0</x:v>
      </x:c>
      <x:c r="AD273" s="21" t="n">
        <x:f>IF(E273="",MEDIAN($E$2:$E$2237),E273)</x:f>
        <x:v>29315</x:v>
      </x:c>
      <x:c r="AE273" s="17" t="n">
        <x:f>2014-B273</x:f>
        <x:v>54</x:v>
      </x:c>
      <x:c r="AF273" s="17" t="n">
        <x:f>F273+G273</x:f>
        <x:v>2</x:v>
      </x:c>
      <x:c r="AG273" s="21" t="n">
        <x:f>SUM(J273:O273)</x:f>
        <x:v>48</x:v>
      </x:c>
      <x:c r="AH273" s="17" t="n">
        <x:f>SUM(Q273:S273)</x:f>
        <x:v>6</x:v>
      </x:c>
      <x:c r="AI273" s="17" t="n">
        <x:f>SUM(U273:Y273)</x:f>
        <x:v>0</x:v>
      </x:c>
      <x:c r="AJ273" s="17" t="str">
        <x:f>IF(AE273&lt;=34,"≤34",IF(AE273&lt;=44,"35–44",IF(AE273&lt;=54,"45–54",IF(AE273&lt;=64,"55–64","65+"))))</x:f>
        <x:v>45–54</x:v>
      </x:c>
      <x:c r="AK273" s="17" t="str">
        <x:f>IF(AG273&gt;=1000,"High Value",IF(AG273&gt;=300,"Mid Value","Low Value"))</x:f>
        <x:v>Low Value</x:v>
      </x:c>
      <x:c r="AL273" s="17" t="str">
        <x:f>IF(AND(AI273&gt;=1,I273&lt;=50),"Priority 1",IF(AND(AG273&gt;=1000,I273&lt;=60),"Priority 2",IF(I273&lt;=30,"Priority 3","Nurture")))</x:f>
        <x:v>Nurture</x:v>
      </x:c>
    </x:row>
    <x:row r="274">
      <x:c r="A274" s="16" t="n">
        <x:v>10967</x:v>
      </x:c>
      <x:c r="B274" s="16" t="n">
        <x:v>1963</x:v>
      </x:c>
      <x:c r="C274" s="16" t="str">
        <x:v>Graduation</x:v>
      </x:c>
      <x:c r="D274" s="16" t="str">
        <x:v>Divorced</x:v>
      </x:c>
      <x:c r="E274" s="16" t="n">
        <x:v>33378</x:v>
      </x:c>
      <x:c r="F274" s="16" t="n">
        <x:v>1</x:v>
      </x:c>
      <x:c r="G274" s="16" t="n">
        <x:v>1</x:v>
      </x:c>
      <x:c r="H274" s="16" t="str">
        <x:v>06-02-2013</x:v>
      </x:c>
      <x:c r="I274" s="16" t="n">
        <x:v>38</x:v>
      </x:c>
      <x:c r="J274" s="16" t="n">
        <x:v>33</x:v>
      </x:c>
      <x:c r="K274" s="16" t="n">
        <x:v>6</x:v>
      </x:c>
      <x:c r="L274" s="16" t="n">
        <x:v>40</x:v>
      </x:c>
      <x:c r="M274" s="16" t="n">
        <x:v>3</x:v>
      </x:c>
      <x:c r="N274" s="16" t="n">
        <x:v>7</x:v>
      </x:c>
      <x:c r="O274" s="16" t="n">
        <x:v>10</x:v>
      </x:c>
      <x:c r="P274" s="16" t="n">
        <x:v>3</x:v>
      </x:c>
      <x:c r="Q274" s="16" t="n">
        <x:v>2</x:v>
      </x:c>
      <x:c r="R274" s="16" t="n">
        <x:v>0</x:v>
      </x:c>
      <x:c r="S274" s="16" t="n">
        <x:v>4</x:v>
      </x:c>
      <x:c r="T274" s="16" t="n">
        <x:v>7</x:v>
      </x:c>
      <x:c r="U274" s="16" t="n">
        <x:v>0</x:v>
      </x:c>
      <x:c r="V274" s="16" t="n">
        <x:v>0</x:v>
      </x:c>
      <x:c r="W274" s="16" t="n">
        <x:v>0</x:v>
      </x:c>
      <x:c r="X274" s="16" t="n">
        <x:v>0</x:v>
      </x:c>
      <x:c r="Y274" s="16" t="n">
        <x:v>0</x:v>
      </x:c>
      <x:c r="Z274" s="16" t="n">
        <x:v>0</x:v>
      </x:c>
      <x:c r="AA274" s="16" t="n">
        <x:v>3</x:v>
      </x:c>
      <x:c r="AB274" s="16" t="n">
        <x:v>11</x:v>
      </x:c>
      <x:c r="AC274" s="16" t="n">
        <x:v>0</x:v>
      </x:c>
      <x:c r="AD274" s="21" t="n">
        <x:f>IF(E274="",MEDIAN($E$2:$E$2237),E274)</x:f>
        <x:v>33378</x:v>
      </x:c>
      <x:c r="AE274" s="17" t="n">
        <x:f>2014-B274</x:f>
        <x:v>51</x:v>
      </x:c>
      <x:c r="AF274" s="17" t="n">
        <x:f>F274+G274</x:f>
        <x:v>2</x:v>
      </x:c>
      <x:c r="AG274" s="21" t="n">
        <x:f>SUM(J274:O274)</x:f>
        <x:v>99</x:v>
      </x:c>
      <x:c r="AH274" s="17" t="n">
        <x:f>SUM(Q274:S274)</x:f>
        <x:v>6</x:v>
      </x:c>
      <x:c r="AI274" s="17" t="n">
        <x:f>SUM(U274:Y274)</x:f>
        <x:v>0</x:v>
      </x:c>
      <x:c r="AJ274" s="17" t="str">
        <x:f>IF(AE274&lt;=34,"≤34",IF(AE274&lt;=44,"35–44",IF(AE274&lt;=54,"45–54",IF(AE274&lt;=64,"55–64","65+"))))</x:f>
        <x:v>45–54</x:v>
      </x:c>
      <x:c r="AK274" s="17" t="str">
        <x:f>IF(AG274&gt;=1000,"High Value",IF(AG274&gt;=300,"Mid Value","Low Value"))</x:f>
        <x:v>Low Value</x:v>
      </x:c>
      <x:c r="AL274" s="17" t="str">
        <x:f>IF(AND(AI274&gt;=1,I274&lt;=50),"Priority 1",IF(AND(AG274&gt;=1000,I274&lt;=60),"Priority 2",IF(I274&lt;=30,"Priority 3","Nurture")))</x:f>
        <x:v>Nurture</x:v>
      </x:c>
    </x:row>
    <x:row r="275">
      <x:c r="A275" s="16" t="n">
        <x:v>2304</x:v>
      </x:c>
      <x:c r="B275" s="16" t="n">
        <x:v>1963</x:v>
      </x:c>
      <x:c r="C275" s="16" t="str">
        <x:v>PhD</x:v>
      </x:c>
      <x:c r="D275" s="16" t="str">
        <x:v>Together</x:v>
      </x:c>
      <x:c r="E275" s="16" t="n">
        <x:v>66313</x:v>
      </x:c>
      <x:c r="F275" s="16" t="n">
        <x:v>0</x:v>
      </x:c>
      <x:c r="G275" s="16" t="n">
        <x:v>1</x:v>
      </x:c>
      <x:c r="H275" s="16" t="str">
        <x:v>16-09-2013</x:v>
      </x:c>
      <x:c r="I275" s="16" t="n">
        <x:v>86</x:v>
      </x:c>
      <x:c r="J275" s="16" t="n">
        <x:v>625</x:v>
      </x:c>
      <x:c r="K275" s="16" t="n">
        <x:v>7</x:v>
      </x:c>
      <x:c r="L275" s="16" t="n">
        <x:v>99</x:v>
      </x:c>
      <x:c r="M275" s="16" t="n">
        <x:v>10</x:v>
      </x:c>
      <x:c r="N275" s="16" t="n">
        <x:v>22</x:v>
      </x:c>
      <x:c r="O275" s="16" t="n">
        <x:v>7</x:v>
      </x:c>
      <x:c r="P275" s="16" t="n">
        <x:v>2</x:v>
      </x:c>
      <x:c r="Q275" s="16" t="n">
        <x:v>6</x:v>
      </x:c>
      <x:c r="R275" s="16" t="n">
        <x:v>3</x:v>
      </x:c>
      <x:c r="S275" s="16" t="n">
        <x:v>12</x:v>
      </x:c>
      <x:c r="T275" s="16" t="n">
        <x:v>4</x:v>
      </x:c>
      <x:c r="U275" s="16" t="n">
        <x:v>0</x:v>
      </x:c>
      <x:c r="V275" s="16" t="n">
        <x:v>0</x:v>
      </x:c>
      <x:c r="W275" s="16" t="n">
        <x:v>0</x:v>
      </x:c>
      <x:c r="X275" s="16" t="n">
        <x:v>0</x:v>
      </x:c>
      <x:c r="Y275" s="16" t="n">
        <x:v>0</x:v>
      </x:c>
      <x:c r="Z275" s="16" t="n">
        <x:v>0</x:v>
      </x:c>
      <x:c r="AA275" s="16" t="n">
        <x:v>3</x:v>
      </x:c>
      <x:c r="AB275" s="16" t="n">
        <x:v>11</x:v>
      </x:c>
      <x:c r="AC275" s="16" t="n">
        <x:v>0</x:v>
      </x:c>
      <x:c r="AD275" s="21" t="n">
        <x:f>IF(E275="",MEDIAN($E$2:$E$2237),E275)</x:f>
        <x:v>66313</x:v>
      </x:c>
      <x:c r="AE275" s="17" t="n">
        <x:f>2014-B275</x:f>
        <x:v>51</x:v>
      </x:c>
      <x:c r="AF275" s="17" t="n">
        <x:f>F275+G275</x:f>
        <x:v>1</x:v>
      </x:c>
      <x:c r="AG275" s="21" t="n">
        <x:f>SUM(J275:O275)</x:f>
        <x:v>770</x:v>
      </x:c>
      <x:c r="AH275" s="17" t="n">
        <x:f>SUM(Q275:S275)</x:f>
        <x:v>21</x:v>
      </x:c>
      <x:c r="AI275" s="17" t="n">
        <x:f>SUM(U275:Y275)</x:f>
        <x:v>0</x:v>
      </x:c>
      <x:c r="AJ275" s="17" t="str">
        <x:f>IF(AE275&lt;=34,"≤34",IF(AE275&lt;=44,"35–44",IF(AE275&lt;=54,"45–54",IF(AE275&lt;=64,"55–64","65+"))))</x:f>
        <x:v>45–54</x:v>
      </x:c>
      <x:c r="AK275" s="17" t="str">
        <x:f>IF(AG275&gt;=1000,"High Value",IF(AG275&gt;=300,"Mid Value","Low Value"))</x:f>
        <x:v>Mid Value</x:v>
      </x:c>
      <x:c r="AL275" s="17" t="str">
        <x:f>IF(AND(AI275&gt;=1,I275&lt;=50),"Priority 1",IF(AND(AG275&gt;=1000,I275&lt;=60),"Priority 2",IF(I275&lt;=30,"Priority 3","Nurture")))</x:f>
        <x:v>Nurture</x:v>
      </x:c>
    </x:row>
    <x:row r="276">
      <x:c r="A276" s="16" t="n">
        <x:v>3445</x:v>
      </x:c>
      <x:c r="B276" s="16" t="n">
        <x:v>1956</x:v>
      </x:c>
      <x:c r="C276" s="16" t="str">
        <x:v>Graduation</x:v>
      </x:c>
      <x:c r="D276" s="16" t="str">
        <x:v>Single</x:v>
      </x:c>
      <x:c r="E276" s="16" t="n">
        <x:v>60714</x:v>
      </x:c>
      <x:c r="F276" s="16" t="n">
        <x:v>0</x:v>
      </x:c>
      <x:c r="G276" s="16" t="n">
        <x:v>0</x:v>
      </x:c>
      <x:c r="H276" s="16" t="str">
        <x:v>17-01-2013</x:v>
      </x:c>
      <x:c r="I276" s="16" t="n">
        <x:v>56</x:v>
      </x:c>
      <x:c r="J276" s="16" t="n">
        <x:v>216</x:v>
      </x:c>
      <x:c r="K276" s="16" t="n">
        <x:v>162</x:v>
      </x:c>
      <x:c r="L276" s="16" t="n">
        <x:v>224</x:v>
      </x:c>
      <x:c r="M276" s="16" t="n">
        <x:v>101</x:v>
      </x:c>
      <x:c r="N276" s="16" t="n">
        <x:v>92</x:v>
      </x:c>
      <x:c r="O276" s="16" t="n">
        <x:v>162</x:v>
      </x:c>
      <x:c r="P276" s="16" t="n">
        <x:v>2</x:v>
      </x:c>
      <x:c r="Q276" s="16" t="n">
        <x:v>7</x:v>
      </x:c>
      <x:c r="R276" s="16" t="n">
        <x:v>4</x:v>
      </x:c>
      <x:c r="S276" s="16" t="n">
        <x:v>10</x:v>
      </x:c>
      <x:c r="T276" s="16" t="n">
        <x:v>5</x:v>
      </x:c>
      <x:c r="U276" s="16" t="n">
        <x:v>0</x:v>
      </x:c>
      <x:c r="V276" s="16" t="n">
        <x:v>0</x:v>
      </x:c>
      <x:c r="W276" s="16" t="n">
        <x:v>0</x:v>
      </x:c>
      <x:c r="X276" s="16" t="n">
        <x:v>0</x:v>
      </x:c>
      <x:c r="Y276" s="16" t="n">
        <x:v>0</x:v>
      </x:c>
      <x:c r="Z276" s="16" t="n">
        <x:v>0</x:v>
      </x:c>
      <x:c r="AA276" s="16" t="n">
        <x:v>3</x:v>
      </x:c>
      <x:c r="AB276" s="16" t="n">
        <x:v>11</x:v>
      </x:c>
      <x:c r="AC276" s="16" t="n">
        <x:v>1</x:v>
      </x:c>
      <x:c r="AD276" s="21" t="n">
        <x:f>IF(E276="",MEDIAN($E$2:$E$2237),E276)</x:f>
        <x:v>60714</x:v>
      </x:c>
      <x:c r="AE276" s="17" t="n">
        <x:f>2014-B276</x:f>
        <x:v>58</x:v>
      </x:c>
      <x:c r="AF276" s="17" t="n">
        <x:f>F276+G276</x:f>
        <x:v>0</x:v>
      </x:c>
      <x:c r="AG276" s="21" t="n">
        <x:f>SUM(J276:O276)</x:f>
        <x:v>957</x:v>
      </x:c>
      <x:c r="AH276" s="17" t="n">
        <x:f>SUM(Q276:S276)</x:f>
        <x:v>21</x:v>
      </x:c>
      <x:c r="AI276" s="17" t="n">
        <x:f>SUM(U276:Y276)</x:f>
        <x:v>0</x:v>
      </x:c>
      <x:c r="AJ276" s="17" t="str">
        <x:f>IF(AE276&lt;=34,"≤34",IF(AE276&lt;=44,"35–44",IF(AE276&lt;=54,"45–54",IF(AE276&lt;=64,"55–64","65+"))))</x:f>
        <x:v>55–64</x:v>
      </x:c>
      <x:c r="AK276" s="17" t="str">
        <x:f>IF(AG276&gt;=1000,"High Value",IF(AG276&gt;=300,"Mid Value","Low Value"))</x:f>
        <x:v>Mid Value</x:v>
      </x:c>
      <x:c r="AL276" s="17" t="str">
        <x:f>IF(AND(AI276&gt;=1,I276&lt;=50),"Priority 1",IF(AND(AG276&gt;=1000,I276&lt;=60),"Priority 2",IF(I276&lt;=30,"Priority 3","Nurture")))</x:f>
        <x:v>Nurture</x:v>
      </x:c>
    </x:row>
    <x:row r="277">
      <x:c r="A277" s="16" t="n">
        <x:v>7828</x:v>
      </x:c>
      <x:c r="B277" s="16" t="n">
        <x:v>1981</x:v>
      </x:c>
      <x:c r="C277" s="16" t="str">
        <x:v>Master</x:v>
      </x:c>
      <x:c r="D277" s="16" t="str">
        <x:v>Together</x:v>
      </x:c>
      <x:c r="E277" s="16" t="n">
        <x:v>77882</x:v>
      </x:c>
      <x:c r="F277" s="16" t="n">
        <x:v>0</x:v>
      </x:c>
      <x:c r="G277" s="16" t="n">
        <x:v>0</x:v>
      </x:c>
      <x:c r="H277" s="16" t="str">
        <x:v>30-04-2014</x:v>
      </x:c>
      <x:c r="I277" s="16" t="n">
        <x:v>29</x:v>
      </x:c>
      <x:c r="J277" s="16" t="n">
        <x:v>68</x:v>
      </x:c>
      <x:c r="K277" s="16" t="n">
        <x:v>129</x:v>
      </x:c>
      <x:c r="L277" s="16" t="n">
        <x:v>396</x:v>
      </x:c>
      <x:c r="M277" s="16" t="n">
        <x:v>188</x:v>
      </x:c>
      <x:c r="N277" s="16" t="n">
        <x:v>22</x:v>
      </x:c>
      <x:c r="O277" s="16" t="n">
        <x:v>15</x:v>
      </x:c>
      <x:c r="P277" s="16" t="n">
        <x:v>1</x:v>
      </x:c>
      <x:c r="Q277" s="16" t="n">
        <x:v>3</x:v>
      </x:c>
      <x:c r="R277" s="16" t="n">
        <x:v>3</x:v>
      </x:c>
      <x:c r="S277" s="16" t="n">
        <x:v>5</x:v>
      </x:c>
      <x:c r="T277" s="16" t="n">
        <x:v>1</x:v>
      </x:c>
      <x:c r="U277" s="16" t="n">
        <x:v>0</x:v>
      </x:c>
      <x:c r="V277" s="16" t="n">
        <x:v>0</x:v>
      </x:c>
      <x:c r="W277" s="16" t="n">
        <x:v>0</x:v>
      </x:c>
      <x:c r="X277" s="16" t="n">
        <x:v>0</x:v>
      </x:c>
      <x:c r="Y277" s="16" t="n">
        <x:v>0</x:v>
      </x:c>
      <x:c r="Z277" s="16" t="n">
        <x:v>0</x:v>
      </x:c>
      <x:c r="AA277" s="16" t="n">
        <x:v>3</x:v>
      </x:c>
      <x:c r="AB277" s="16" t="n">
        <x:v>11</x:v>
      </x:c>
      <x:c r="AC277" s="16" t="n">
        <x:v>0</x:v>
      </x:c>
      <x:c r="AD277" s="21" t="n">
        <x:f>IF(E277="",MEDIAN($E$2:$E$2237),E277)</x:f>
        <x:v>77882</x:v>
      </x:c>
      <x:c r="AE277" s="17" t="n">
        <x:f>2014-B277</x:f>
        <x:v>33</x:v>
      </x:c>
      <x:c r="AF277" s="17" t="n">
        <x:f>F277+G277</x:f>
        <x:v>0</x:v>
      </x:c>
      <x:c r="AG277" s="21" t="n">
        <x:f>SUM(J277:O277)</x:f>
        <x:v>818</x:v>
      </x:c>
      <x:c r="AH277" s="17" t="n">
        <x:f>SUM(Q277:S277)</x:f>
        <x:v>11</x:v>
      </x:c>
      <x:c r="AI277" s="17" t="n">
        <x:f>SUM(U277:Y277)</x:f>
        <x:v>0</x:v>
      </x:c>
      <x:c r="AJ277" s="17" t="str">
        <x:f>IF(AE277&lt;=34,"≤34",IF(AE277&lt;=44,"35–44",IF(AE277&lt;=54,"45–54",IF(AE277&lt;=64,"55–64","65+"))))</x:f>
        <x:v>≤34</x:v>
      </x:c>
      <x:c r="AK277" s="17" t="str">
        <x:f>IF(AG277&gt;=1000,"High Value",IF(AG277&gt;=300,"Mid Value","Low Value"))</x:f>
        <x:v>Mid Value</x:v>
      </x:c>
      <x:c r="AL277" s="17" t="str">
        <x:f>IF(AND(AI277&gt;=1,I277&lt;=50),"Priority 1",IF(AND(AG277&gt;=1000,I277&lt;=60),"Priority 2",IF(I277&lt;=30,"Priority 3","Nurture")))</x:f>
        <x:v>Priority 3</x:v>
      </x:c>
    </x:row>
    <x:row r="278">
      <x:c r="A278" s="16" t="n">
        <x:v>3762</x:v>
      </x:c>
      <x:c r="B278" s="16" t="n">
        <x:v>1986</x:v>
      </x:c>
      <x:c r="C278" s="16" t="str">
        <x:v>PhD</x:v>
      </x:c>
      <x:c r="D278" s="16" t="str">
        <x:v>Single</x:v>
      </x:c>
      <x:c r="E278" s="16" t="n">
        <x:v>69867</x:v>
      </x:c>
      <x:c r="F278" s="16" t="n">
        <x:v>0</x:v>
      </x:c>
      <x:c r="G278" s="16" t="n">
        <x:v>0</x:v>
      </x:c>
      <x:c r="H278" s="16" t="str">
        <x:v>02-04-2013</x:v>
      </x:c>
      <x:c r="I278" s="16" t="n">
        <x:v>30</x:v>
      </x:c>
      <x:c r="J278" s="16" t="n">
        <x:v>196</x:v>
      </x:c>
      <x:c r="K278" s="16" t="n">
        <x:v>0</x:v>
      </x:c>
      <x:c r="L278" s="16" t="n">
        <x:v>512</x:v>
      </x:c>
      <x:c r="M278" s="16" t="n">
        <x:v>33</x:v>
      </x:c>
      <x:c r="N278" s="16" t="n">
        <x:v>130</x:v>
      </x:c>
      <x:c r="O278" s="16" t="n">
        <x:v>54</x:v>
      </x:c>
      <x:c r="P278" s="16" t="n">
        <x:v>1</x:v>
      </x:c>
      <x:c r="Q278" s="16" t="n">
        <x:v>3</x:v>
      </x:c>
      <x:c r="R278" s="16" t="n">
        <x:v>5</x:v>
      </x:c>
      <x:c r="S278" s="16" t="n">
        <x:v>8</x:v>
      </x:c>
      <x:c r="T278" s="16" t="n">
        <x:v>1</x:v>
      </x:c>
      <x:c r="U278" s="16" t="n">
        <x:v>0</x:v>
      </x:c>
      <x:c r="V278" s="16" t="n">
        <x:v>0</x:v>
      </x:c>
      <x:c r="W278" s="16" t="n">
        <x:v>0</x:v>
      </x:c>
      <x:c r="X278" s="16" t="n">
        <x:v>1</x:v>
      </x:c>
      <x:c r="Y278" s="16" t="n">
        <x:v>0</x:v>
      </x:c>
      <x:c r="Z278" s="16" t="n">
        <x:v>0</x:v>
      </x:c>
      <x:c r="AA278" s="16" t="n">
        <x:v>3</x:v>
      </x:c>
      <x:c r="AB278" s="16" t="n">
        <x:v>11</x:v>
      </x:c>
      <x:c r="AC278" s="16" t="n">
        <x:v>1</x:v>
      </x:c>
      <x:c r="AD278" s="21" t="n">
        <x:f>IF(E278="",MEDIAN($E$2:$E$2237),E278)</x:f>
        <x:v>69867</x:v>
      </x:c>
      <x:c r="AE278" s="17" t="n">
        <x:f>2014-B278</x:f>
        <x:v>28</x:v>
      </x:c>
      <x:c r="AF278" s="17" t="n">
        <x:f>F278+G278</x:f>
        <x:v>0</x:v>
      </x:c>
      <x:c r="AG278" s="21" t="n">
        <x:f>SUM(J278:O278)</x:f>
        <x:v>925</x:v>
      </x:c>
      <x:c r="AH278" s="17" t="n">
        <x:f>SUM(Q278:S278)</x:f>
        <x:v>16</x:v>
      </x:c>
      <x:c r="AI278" s="17" t="n">
        <x:f>SUM(U278:Y278)</x:f>
        <x:v>1</x:v>
      </x:c>
      <x:c r="AJ278" s="17" t="str">
        <x:f>IF(AE278&lt;=34,"≤34",IF(AE278&lt;=44,"35–44",IF(AE278&lt;=54,"45–54",IF(AE278&lt;=64,"55–64","65+"))))</x:f>
        <x:v>≤34</x:v>
      </x:c>
      <x:c r="AK278" s="17" t="str">
        <x:f>IF(AG278&gt;=1000,"High Value",IF(AG278&gt;=300,"Mid Value","Low Value"))</x:f>
        <x:v>Mid Value</x:v>
      </x:c>
      <x:c r="AL278" s="17" t="str">
        <x:f>IF(AND(AI278&gt;=1,I278&lt;=50),"Priority 1",IF(AND(AG278&gt;=1000,I278&lt;=60),"Priority 2",IF(I278&lt;=30,"Priority 3","Nurture")))</x:f>
        <x:v>Priority 1</x:v>
      </x:c>
    </x:row>
    <x:row r="279">
      <x:c r="A279" s="16" t="n">
        <x:v>4391</x:v>
      </x:c>
      <x:c r="B279" s="16" t="n">
        <x:v>1968</x:v>
      </x:c>
      <x:c r="C279" s="16" t="str">
        <x:v>Master</x:v>
      </x:c>
      <x:c r="D279" s="16" t="str">
        <x:v>Divorced</x:v>
      </x:c>
      <x:c r="E279" s="16" t="n">
        <x:v>63841</x:v>
      </x:c>
      <x:c r="F279" s="16" t="n">
        <x:v>0</x:v>
      </x:c>
      <x:c r="G279" s="16" t="n">
        <x:v>1</x:v>
      </x:c>
      <x:c r="H279" s="16" t="str">
        <x:v>21-04-2013</x:v>
      </x:c>
      <x:c r="I279" s="16" t="n">
        <x:v>64</x:v>
      </x:c>
      <x:c r="J279" s="16" t="n">
        <x:v>635</x:v>
      </x:c>
      <x:c r="K279" s="16" t="n">
        <x:v>15</x:v>
      </x:c>
      <x:c r="L279" s="16" t="n">
        <x:v>100</x:v>
      </x:c>
      <x:c r="M279" s="16" t="n">
        <x:v>20</x:v>
      </x:c>
      <x:c r="N279" s="16" t="n">
        <x:v>7</x:v>
      </x:c>
      <x:c r="O279" s="16" t="n">
        <x:v>131</x:v>
      </x:c>
      <x:c r="P279" s="16" t="n">
        <x:v>1</x:v>
      </x:c>
      <x:c r="Q279" s="16" t="n">
        <x:v>9</x:v>
      </x:c>
      <x:c r="R279" s="16" t="n">
        <x:v>3</x:v>
      </x:c>
      <x:c r="S279" s="16" t="n">
        <x:v>9</x:v>
      </x:c>
      <x:c r="T279" s="16" t="n">
        <x:v>6</x:v>
      </x:c>
      <x:c r="U279" s="16" t="n">
        <x:v>0</x:v>
      </x:c>
      <x:c r="V279" s="16" t="n">
        <x:v>0</x:v>
      </x:c>
      <x:c r="W279" s="16" t="n">
        <x:v>0</x:v>
      </x:c>
      <x:c r="X279" s="16" t="n">
        <x:v>0</x:v>
      </x:c>
      <x:c r="Y279" s="16" t="n">
        <x:v>0</x:v>
      </x:c>
      <x:c r="Z279" s="16" t="n">
        <x:v>0</x:v>
      </x:c>
      <x:c r="AA279" s="16" t="n">
        <x:v>3</x:v>
      </x:c>
      <x:c r="AB279" s="16" t="n">
        <x:v>11</x:v>
      </x:c>
      <x:c r="AC279" s="16" t="n">
        <x:v>0</x:v>
      </x:c>
      <x:c r="AD279" s="21" t="n">
        <x:f>IF(E279="",MEDIAN($E$2:$E$2237),E279)</x:f>
        <x:v>63841</x:v>
      </x:c>
      <x:c r="AE279" s="17" t="n">
        <x:f>2014-B279</x:f>
        <x:v>46</x:v>
      </x:c>
      <x:c r="AF279" s="17" t="n">
        <x:f>F279+G279</x:f>
        <x:v>1</x:v>
      </x:c>
      <x:c r="AG279" s="21" t="n">
        <x:f>SUM(J279:O279)</x:f>
        <x:v>908</x:v>
      </x:c>
      <x:c r="AH279" s="17" t="n">
        <x:f>SUM(Q279:S279)</x:f>
        <x:v>21</x:v>
      </x:c>
      <x:c r="AI279" s="17" t="n">
        <x:f>SUM(U279:Y279)</x:f>
        <x:v>0</x:v>
      </x:c>
      <x:c r="AJ279" s="17" t="str">
        <x:f>IF(AE279&lt;=34,"≤34",IF(AE279&lt;=44,"35–44",IF(AE279&lt;=54,"45–54",IF(AE279&lt;=64,"55–64","65+"))))</x:f>
        <x:v>45–54</x:v>
      </x:c>
      <x:c r="AK279" s="17" t="str">
        <x:f>IF(AG279&gt;=1000,"High Value",IF(AG279&gt;=300,"Mid Value","Low Value"))</x:f>
        <x:v>Mid Value</x:v>
      </x:c>
      <x:c r="AL279" s="17" t="str">
        <x:f>IF(AND(AI279&gt;=1,I279&lt;=50),"Priority 1",IF(AND(AG279&gt;=1000,I279&lt;=60),"Priority 2",IF(I279&lt;=30,"Priority 3","Nurture")))</x:f>
        <x:v>Nurture</x:v>
      </x:c>
    </x:row>
    <x:row r="280">
      <x:c r="A280" s="16" t="n">
        <x:v>4669</x:v>
      </x:c>
      <x:c r="B280" s="16" t="n">
        <x:v>1981</x:v>
      </x:c>
      <x:c r="C280" s="16" t="str">
        <x:v>Basic</x:v>
      </x:c>
      <x:c r="D280" s="16" t="str">
        <x:v>Married</x:v>
      </x:c>
      <x:c r="E280" s="16" t="n">
        <x:v>24480</x:v>
      </x:c>
      <x:c r="F280" s="16" t="n">
        <x:v>1</x:v>
      </x:c>
      <x:c r="G280" s="16" t="n">
        <x:v>0</x:v>
      </x:c>
      <x:c r="H280" s="16" t="str">
        <x:v>11-02-2013</x:v>
      </x:c>
      <x:c r="I280" s="16" t="n">
        <x:v>46</x:v>
      </x:c>
      <x:c r="J280" s="16" t="n">
        <x:v>4</x:v>
      </x:c>
      <x:c r="K280" s="16" t="n">
        <x:v>19</x:v>
      </x:c>
      <x:c r="L280" s="16" t="n">
        <x:v>9</x:v>
      </x:c>
      <x:c r="M280" s="16" t="n">
        <x:v>28</x:v>
      </x:c>
      <x:c r="N280" s="16" t="n">
        <x:v>25</x:v>
      </x:c>
      <x:c r="O280" s="16" t="n">
        <x:v>17</x:v>
      </x:c>
      <x:c r="P280" s="16" t="n">
        <x:v>3</x:v>
      </x:c>
      <x:c r="Q280" s="16" t="n">
        <x:v>3</x:v>
      </x:c>
      <x:c r="R280" s="16" t="n">
        <x:v>0</x:v>
      </x:c>
      <x:c r="S280" s="16" t="n">
        <x:v>4</x:v>
      </x:c>
      <x:c r="T280" s="16" t="n">
        <x:v>7</x:v>
      </x:c>
      <x:c r="U280" s="16" t="n">
        <x:v>0</x:v>
      </x:c>
      <x:c r="V280" s="16" t="n">
        <x:v>0</x:v>
      </x:c>
      <x:c r="W280" s="16" t="n">
        <x:v>0</x:v>
      </x:c>
      <x:c r="X280" s="16" t="n">
        <x:v>0</x:v>
      </x:c>
      <x:c r="Y280" s="16" t="n">
        <x:v>0</x:v>
      </x:c>
      <x:c r="Z280" s="16" t="n">
        <x:v>0</x:v>
      </x:c>
      <x:c r="AA280" s="16" t="n">
        <x:v>3</x:v>
      </x:c>
      <x:c r="AB280" s="16" t="n">
        <x:v>11</x:v>
      </x:c>
      <x:c r="AC280" s="16" t="n">
        <x:v>0</x:v>
      </x:c>
      <x:c r="AD280" s="21" t="n">
        <x:f>IF(E280="",MEDIAN($E$2:$E$2237),E280)</x:f>
        <x:v>24480</x:v>
      </x:c>
      <x:c r="AE280" s="17" t="n">
        <x:f>2014-B280</x:f>
        <x:v>33</x:v>
      </x:c>
      <x:c r="AF280" s="17" t="n">
        <x:f>F280+G280</x:f>
        <x:v>1</x:v>
      </x:c>
      <x:c r="AG280" s="21" t="n">
        <x:f>SUM(J280:O280)</x:f>
        <x:v>102</x:v>
      </x:c>
      <x:c r="AH280" s="17" t="n">
        <x:f>SUM(Q280:S280)</x:f>
        <x:v>7</x:v>
      </x:c>
      <x:c r="AI280" s="17" t="n">
        <x:f>SUM(U280:Y280)</x:f>
        <x:v>0</x:v>
      </x:c>
      <x:c r="AJ280" s="17" t="str">
        <x:f>IF(AE280&lt;=34,"≤34",IF(AE280&lt;=44,"35–44",IF(AE280&lt;=54,"45–54",IF(AE280&lt;=64,"55–64","65+"))))</x:f>
        <x:v>≤34</x:v>
      </x:c>
      <x:c r="AK280" s="17" t="str">
        <x:f>IF(AG280&gt;=1000,"High Value",IF(AG280&gt;=300,"Mid Value","Low Value"))</x:f>
        <x:v>Low Value</x:v>
      </x:c>
      <x:c r="AL280" s="17" t="str">
        <x:f>IF(AND(AI280&gt;=1,I280&lt;=50),"Priority 1",IF(AND(AG280&gt;=1000,I280&lt;=60),"Priority 2",IF(I280&lt;=30,"Priority 3","Nurture")))</x:f>
        <x:v>Nurture</x:v>
      </x:c>
    </x:row>
    <x:row r="281">
      <x:c r="A281" s="16" t="n">
        <x:v>10144</x:v>
      </x:c>
      <x:c r="B281" s="16" t="n">
        <x:v>1976</x:v>
      </x:c>
      <x:c r="C281" s="16" t="str">
        <x:v>Graduation</x:v>
      </x:c>
      <x:c r="D281" s="16" t="str">
        <x:v>Together</x:v>
      </x:c>
      <x:c r="E281" s="16" t="n">
        <x:v>51369</x:v>
      </x:c>
      <x:c r="F281" s="16" t="n">
        <x:v>0</x:v>
      </x:c>
      <x:c r="G281" s="16" t="n">
        <x:v>1</x:v>
      </x:c>
      <x:c r="H281" s="16" t="str">
        <x:v>25-10-2012</x:v>
      </x:c>
      <x:c r="I281" s="16" t="n">
        <x:v>84</x:v>
      </x:c>
      <x:c r="J281" s="16" t="n">
        <x:v>297</x:v>
      </x:c>
      <x:c r="K281" s="16" t="n">
        <x:v>7</x:v>
      </x:c>
      <x:c r="L281" s="16" t="n">
        <x:v>79</x:v>
      </x:c>
      <x:c r="M281" s="16" t="n">
        <x:v>0</x:v>
      </x:c>
      <x:c r="N281" s="16" t="n">
        <x:v>11</x:v>
      </x:c>
      <x:c r="O281" s="16" t="n">
        <x:v>182</x:v>
      </x:c>
      <x:c r="P281" s="16" t="n">
        <x:v>2</x:v>
      </x:c>
      <x:c r="Q281" s="16" t="n">
        <x:v>8</x:v>
      </x:c>
      <x:c r="R281" s="16" t="n">
        <x:v>2</x:v>
      </x:c>
      <x:c r="S281" s="16" t="n">
        <x:v>4</x:v>
      </x:c>
      <x:c r="T281" s="16" t="n">
        <x:v>8</x:v>
      </x:c>
      <x:c r="U281" s="16" t="n">
        <x:v>0</x:v>
      </x:c>
      <x:c r="V281" s="16" t="n">
        <x:v>0</x:v>
      </x:c>
      <x:c r="W281" s="16" t="n">
        <x:v>0</x:v>
      </x:c>
      <x:c r="X281" s="16" t="n">
        <x:v>0</x:v>
      </x:c>
      <x:c r="Y281" s="16" t="n">
        <x:v>0</x:v>
      </x:c>
      <x:c r="Z281" s="16" t="n">
        <x:v>0</x:v>
      </x:c>
      <x:c r="AA281" s="16" t="n">
        <x:v>3</x:v>
      </x:c>
      <x:c r="AB281" s="16" t="n">
        <x:v>11</x:v>
      </x:c>
      <x:c r="AC281" s="16" t="n">
        <x:v>0</x:v>
      </x:c>
      <x:c r="AD281" s="21" t="n">
        <x:f>IF(E281="",MEDIAN($E$2:$E$2237),E281)</x:f>
        <x:v>51369</x:v>
      </x:c>
      <x:c r="AE281" s="17" t="n">
        <x:f>2014-B281</x:f>
        <x:v>38</x:v>
      </x:c>
      <x:c r="AF281" s="17" t="n">
        <x:f>F281+G281</x:f>
        <x:v>1</x:v>
      </x:c>
      <x:c r="AG281" s="21" t="n">
        <x:f>SUM(J281:O281)</x:f>
        <x:v>576</x:v>
      </x:c>
      <x:c r="AH281" s="17" t="n">
        <x:f>SUM(Q281:S281)</x:f>
        <x:v>14</x:v>
      </x:c>
      <x:c r="AI281" s="17" t="n">
        <x:f>SUM(U281:Y281)</x:f>
        <x:v>0</x:v>
      </x:c>
      <x:c r="AJ281" s="17" t="str">
        <x:f>IF(AE281&lt;=34,"≤34",IF(AE281&lt;=44,"35–44",IF(AE281&lt;=54,"45–54",IF(AE281&lt;=64,"55–64","65+"))))</x:f>
        <x:v>35–44</x:v>
      </x:c>
      <x:c r="AK281" s="17" t="str">
        <x:f>IF(AG281&gt;=1000,"High Value",IF(AG281&gt;=300,"Mid Value","Low Value"))</x:f>
        <x:v>Mid Value</x:v>
      </x:c>
      <x:c r="AL281" s="17" t="str">
        <x:f>IF(AND(AI281&gt;=1,I281&lt;=50),"Priority 1",IF(AND(AG281&gt;=1000,I281&lt;=60),"Priority 2",IF(I281&lt;=30,"Priority 3","Nurture")))</x:f>
        <x:v>Nurture</x:v>
      </x:c>
    </x:row>
    <x:row r="282">
      <x:c r="A282" s="16" t="n">
        <x:v>8652</x:v>
      </x:c>
      <x:c r="B282" s="16" t="n">
        <x:v>1946</x:v>
      </x:c>
      <x:c r="C282" s="16" t="str">
        <x:v>Graduation</x:v>
      </x:c>
      <x:c r="D282" s="16" t="str">
        <x:v>Together</x:v>
      </x:c>
      <x:c r="E282" s="16" t="n">
        <x:v>37760</x:v>
      </x:c>
      <x:c r="F282" s="16" t="n">
        <x:v>0</x:v>
      </x:c>
      <x:c r="G282" s="16" t="n">
        <x:v>0</x:v>
      </x:c>
      <x:c r="H282" s="16" t="str">
        <x:v>31-08-2012</x:v>
      </x:c>
      <x:c r="I282" s="16" t="n">
        <x:v>20</x:v>
      </x:c>
      <x:c r="J282" s="16" t="n">
        <x:v>84</x:v>
      </x:c>
      <x:c r="K282" s="16" t="n">
        <x:v>5</x:v>
      </x:c>
      <x:c r="L282" s="16" t="n">
        <x:v>38</x:v>
      </x:c>
      <x:c r="M282" s="16" t="n">
        <x:v>150</x:v>
      </x:c>
      <x:c r="N282" s="16" t="n">
        <x:v>12</x:v>
      </x:c>
      <x:c r="O282" s="16" t="n">
        <x:v>28</x:v>
      </x:c>
      <x:c r="P282" s="16" t="n">
        <x:v>2</x:v>
      </x:c>
      <x:c r="Q282" s="16" t="n">
        <x:v>4</x:v>
      </x:c>
      <x:c r="R282" s="16" t="n">
        <x:v>1</x:v>
      </x:c>
      <x:c r="S282" s="16" t="n">
        <x:v>6</x:v>
      </x:c>
      <x:c r="T282" s="16" t="n">
        <x:v>7</x:v>
      </x:c>
      <x:c r="U282" s="16" t="n">
        <x:v>0</x:v>
      </x:c>
      <x:c r="V282" s="16" t="n">
        <x:v>0</x:v>
      </x:c>
      <x:c r="W282" s="16" t="n">
        <x:v>0</x:v>
      </x:c>
      <x:c r="X282" s="16" t="n">
        <x:v>0</x:v>
      </x:c>
      <x:c r="Y282" s="16" t="n">
        <x:v>0</x:v>
      </x:c>
      <x:c r="Z282" s="16" t="n">
        <x:v>0</x:v>
      </x:c>
      <x:c r="AA282" s="16" t="n">
        <x:v>3</x:v>
      </x:c>
      <x:c r="AB282" s="16" t="n">
        <x:v>11</x:v>
      </x:c>
      <x:c r="AC282" s="16" t="n">
        <x:v>0</x:v>
      </x:c>
      <x:c r="AD282" s="21" t="n">
        <x:f>IF(E282="",MEDIAN($E$2:$E$2237),E282)</x:f>
        <x:v>37760</x:v>
      </x:c>
      <x:c r="AE282" s="17" t="n">
        <x:f>2014-B282</x:f>
        <x:v>68</x:v>
      </x:c>
      <x:c r="AF282" s="17" t="n">
        <x:f>F282+G282</x:f>
        <x:v>0</x:v>
      </x:c>
      <x:c r="AG282" s="21" t="n">
        <x:f>SUM(J282:O282)</x:f>
        <x:v>317</x:v>
      </x:c>
      <x:c r="AH282" s="17" t="n">
        <x:f>SUM(Q282:S282)</x:f>
        <x:v>11</x:v>
      </x:c>
      <x:c r="AI282" s="17" t="n">
        <x:f>SUM(U282:Y282)</x:f>
        <x:v>0</x:v>
      </x:c>
      <x:c r="AJ282" s="17" t="str">
        <x:f>IF(AE282&lt;=34,"≤34",IF(AE282&lt;=44,"35–44",IF(AE282&lt;=54,"45–54",IF(AE282&lt;=64,"55–64","65+"))))</x:f>
        <x:v>65+</x:v>
      </x:c>
      <x:c r="AK282" s="17" t="str">
        <x:f>IF(AG282&gt;=1000,"High Value",IF(AG282&gt;=300,"Mid Value","Low Value"))</x:f>
        <x:v>Mid Value</x:v>
      </x:c>
      <x:c r="AL282" s="17" t="str">
        <x:f>IF(AND(AI282&gt;=1,I282&lt;=50),"Priority 1",IF(AND(AG282&gt;=1000,I282&lt;=60),"Priority 2",IF(I282&lt;=30,"Priority 3","Nurture")))</x:f>
        <x:v>Priority 3</x:v>
      </x:c>
    </x:row>
    <x:row r="283">
      <x:c r="A283" s="16" t="n">
        <x:v>1672</x:v>
      </x:c>
      <x:c r="B283" s="16" t="n">
        <x:v>1974</x:v>
      </x:c>
      <x:c r="C283" s="16" t="str">
        <x:v>PhD</x:v>
      </x:c>
      <x:c r="D283" s="16" t="str">
        <x:v>Together</x:v>
      </x:c>
      <x:c r="E283" s="16" t="n">
        <x:v>65640</x:v>
      </x:c>
      <x:c r="F283" s="16" t="n">
        <x:v>0</x:v>
      </x:c>
      <x:c r="G283" s="16" t="n">
        <x:v>1</x:v>
      </x:c>
      <x:c r="H283" s="16" t="str">
        <x:v>01-03-2014</x:v>
      </x:c>
      <x:c r="I283" s="16" t="n">
        <x:v>74</x:v>
      </x:c>
      <x:c r="J283" s="16" t="n">
        <x:v>204</x:v>
      </x:c>
      <x:c r="K283" s="16" t="n">
        <x:v>7</x:v>
      </x:c>
      <x:c r="L283" s="16" t="n">
        <x:v>149</x:v>
      </x:c>
      <x:c r="M283" s="16" t="n">
        <x:v>20</x:v>
      </x:c>
      <x:c r="N283" s="16" t="n">
        <x:v>15</x:v>
      </x:c>
      <x:c r="O283" s="16" t="n">
        <x:v>66</x:v>
      </x:c>
      <x:c r="P283" s="16" t="n">
        <x:v>1</x:v>
      </x:c>
      <x:c r="Q283" s="16" t="n">
        <x:v>5</x:v>
      </x:c>
      <x:c r="R283" s="16" t="n">
        <x:v>1</x:v>
      </x:c>
      <x:c r="S283" s="16" t="n">
        <x:v>8</x:v>
      </x:c>
      <x:c r="T283" s="16" t="n">
        <x:v>2</x:v>
      </x:c>
      <x:c r="U283" s="16" t="n">
        <x:v>0</x:v>
      </x:c>
      <x:c r="V283" s="16" t="n">
        <x:v>0</x:v>
      </x:c>
      <x:c r="W283" s="16" t="n">
        <x:v>0</x:v>
      </x:c>
      <x:c r="X283" s="16" t="n">
        <x:v>0</x:v>
      </x:c>
      <x:c r="Y283" s="16" t="n">
        <x:v>0</x:v>
      </x:c>
      <x:c r="Z283" s="16" t="n">
        <x:v>0</x:v>
      </x:c>
      <x:c r="AA283" s="16" t="n">
        <x:v>3</x:v>
      </x:c>
      <x:c r="AB283" s="16" t="n">
        <x:v>11</x:v>
      </x:c>
      <x:c r="AC283" s="16" t="n">
        <x:v>0</x:v>
      </x:c>
      <x:c r="AD283" s="21" t="n">
        <x:f>IF(E283="",MEDIAN($E$2:$E$2237),E283)</x:f>
        <x:v>65640</x:v>
      </x:c>
      <x:c r="AE283" s="17" t="n">
        <x:f>2014-B283</x:f>
        <x:v>40</x:v>
      </x:c>
      <x:c r="AF283" s="17" t="n">
        <x:f>F283+G283</x:f>
        <x:v>1</x:v>
      </x:c>
      <x:c r="AG283" s="21" t="n">
        <x:f>SUM(J283:O283)</x:f>
        <x:v>461</x:v>
      </x:c>
      <x:c r="AH283" s="17" t="n">
        <x:f>SUM(Q283:S283)</x:f>
        <x:v>14</x:v>
      </x:c>
      <x:c r="AI283" s="17" t="n">
        <x:f>SUM(U283:Y283)</x:f>
        <x:v>0</x:v>
      </x:c>
      <x:c r="AJ283" s="17" t="str">
        <x:f>IF(AE283&lt;=34,"≤34",IF(AE283&lt;=44,"35–44",IF(AE283&lt;=54,"45–54",IF(AE283&lt;=64,"55–64","65+"))))</x:f>
        <x:v>35–44</x:v>
      </x:c>
      <x:c r="AK283" s="17" t="str">
        <x:f>IF(AG283&gt;=1000,"High Value",IF(AG283&gt;=300,"Mid Value","Low Value"))</x:f>
        <x:v>Mid Value</x:v>
      </x:c>
      <x:c r="AL283" s="17" t="str">
        <x:f>IF(AND(AI283&gt;=1,I283&lt;=50),"Priority 1",IF(AND(AG283&gt;=1000,I283&lt;=60),"Priority 2",IF(I283&lt;=30,"Priority 3","Nurture")))</x:f>
        <x:v>Nurture</x:v>
      </x:c>
    </x:row>
    <x:row r="284">
      <x:c r="A284" s="16" t="n">
        <x:v>8962</x:v>
      </x:c>
      <x:c r="B284" s="16" t="n">
        <x:v>1975</x:v>
      </x:c>
      <x:c r="C284" s="16" t="str">
        <x:v>Master</x:v>
      </x:c>
      <x:c r="D284" s="16" t="str">
        <x:v>Married</x:v>
      </x:c>
      <x:c r="E284" s="16" t="n">
        <x:v>44319</x:v>
      </x:c>
      <x:c r="F284" s="16" t="n">
        <x:v>1</x:v>
      </x:c>
      <x:c r="G284" s="16" t="n">
        <x:v>1</x:v>
      </x:c>
      <x:c r="H284" s="16" t="str">
        <x:v>17-04-2014</x:v>
      </x:c>
      <x:c r="I284" s="16" t="n">
        <x:v>18</x:v>
      </x:c>
      <x:c r="J284" s="16" t="n">
        <x:v>26</x:v>
      </x:c>
      <x:c r="K284" s="16" t="n">
        <x:v>0</x:v>
      </x:c>
      <x:c r="L284" s="16" t="n">
        <x:v>8</x:v>
      </x:c>
      <x:c r="M284" s="16" t="n">
        <x:v>0</x:v>
      </x:c>
      <x:c r="N284" s="16" t="n">
        <x:v>0</x:v>
      </x:c>
      <x:c r="O284" s="16" t="n">
        <x:v>3</x:v>
      </x:c>
      <x:c r="P284" s="16" t="n">
        <x:v>2</x:v>
      </x:c>
      <x:c r="Q284" s="16" t="n">
        <x:v>2</x:v>
      </x:c>
      <x:c r="R284" s="16" t="n">
        <x:v>0</x:v>
      </x:c>
      <x:c r="S284" s="16" t="n">
        <x:v>3</x:v>
      </x:c>
      <x:c r="T284" s="16" t="n">
        <x:v>5</x:v>
      </x:c>
      <x:c r="U284" s="16" t="n">
        <x:v>0</x:v>
      </x:c>
      <x:c r="V284" s="16" t="n">
        <x:v>0</x:v>
      </x:c>
      <x:c r="W284" s="16" t="n">
        <x:v>0</x:v>
      </x:c>
      <x:c r="X284" s="16" t="n">
        <x:v>0</x:v>
      </x:c>
      <x:c r="Y284" s="16" t="n">
        <x:v>0</x:v>
      </x:c>
      <x:c r="Z284" s="16" t="n">
        <x:v>0</x:v>
      </x:c>
      <x:c r="AA284" s="16" t="n">
        <x:v>3</x:v>
      </x:c>
      <x:c r="AB284" s="16" t="n">
        <x:v>11</x:v>
      </x:c>
      <x:c r="AC284" s="16" t="n">
        <x:v>0</x:v>
      </x:c>
      <x:c r="AD284" s="21" t="n">
        <x:f>IF(E284="",MEDIAN($E$2:$E$2237),E284)</x:f>
        <x:v>44319</x:v>
      </x:c>
      <x:c r="AE284" s="17" t="n">
        <x:f>2014-B284</x:f>
        <x:v>39</x:v>
      </x:c>
      <x:c r="AF284" s="17" t="n">
        <x:f>F284+G284</x:f>
        <x:v>2</x:v>
      </x:c>
      <x:c r="AG284" s="21" t="n">
        <x:f>SUM(J284:O284)</x:f>
        <x:v>37</x:v>
      </x:c>
      <x:c r="AH284" s="17" t="n">
        <x:f>SUM(Q284:S284)</x:f>
        <x:v>5</x:v>
      </x:c>
      <x:c r="AI284" s="17" t="n">
        <x:f>SUM(U284:Y284)</x:f>
        <x:v>0</x:v>
      </x:c>
      <x:c r="AJ284" s="17" t="str">
        <x:f>IF(AE284&lt;=34,"≤34",IF(AE284&lt;=44,"35–44",IF(AE284&lt;=54,"45–54",IF(AE284&lt;=64,"55–64","65+"))))</x:f>
        <x:v>35–44</x:v>
      </x:c>
      <x:c r="AK284" s="17" t="str">
        <x:f>IF(AG284&gt;=1000,"High Value",IF(AG284&gt;=300,"Mid Value","Low Value"))</x:f>
        <x:v>Low Value</x:v>
      </x:c>
      <x:c r="AL284" s="17" t="str">
        <x:f>IF(AND(AI284&gt;=1,I284&lt;=50),"Priority 1",IF(AND(AG284&gt;=1000,I284&lt;=60),"Priority 2",IF(I284&lt;=30,"Priority 3","Nurture")))</x:f>
        <x:v>Priority 3</x:v>
      </x:c>
    </x:row>
    <x:row r="285">
      <x:c r="A285" s="16" t="n">
        <x:v>9974</x:v>
      </x:c>
      <x:c r="B285" s="16" t="n">
        <x:v>1974</x:v>
      </x:c>
      <x:c r="C285" s="16" t="str">
        <x:v>Graduation</x:v>
      </x:c>
      <x:c r="D285" s="16" t="str">
        <x:v>Married</x:v>
      </x:c>
      <x:c r="E285" s="16" t="n">
        <x:v>30631</x:v>
      </x:c>
      <x:c r="F285" s="16" t="n">
        <x:v>1</x:v>
      </x:c>
      <x:c r="G285" s="16" t="n">
        <x:v>0</x:v>
      </x:c>
      <x:c r="H285" s="16" t="str">
        <x:v>12-07-2013</x:v>
      </x:c>
      <x:c r="I285" s="16" t="n">
        <x:v>75</x:v>
      </x:c>
      <x:c r="J285" s="16" t="n">
        <x:v>15</x:v>
      </x:c>
      <x:c r="K285" s="16" t="n">
        <x:v>6</x:v>
      </x:c>
      <x:c r="L285" s="16" t="n">
        <x:v>20</x:v>
      </x:c>
      <x:c r="M285" s="16" t="n">
        <x:v>4</x:v>
      </x:c>
      <x:c r="N285" s="16" t="n">
        <x:v>5</x:v>
      </x:c>
      <x:c r="O285" s="16" t="n">
        <x:v>20</x:v>
      </x:c>
      <x:c r="P285" s="16" t="n">
        <x:v>1</x:v>
      </x:c>
      <x:c r="Q285" s="16" t="n">
        <x:v>3</x:v>
      </x:c>
      <x:c r="R285" s="16" t="n">
        <x:v>1</x:v>
      </x:c>
      <x:c r="S285" s="16" t="n">
        <x:v>2</x:v>
      </x:c>
      <x:c r="T285" s="16" t="n">
        <x:v>7</x:v>
      </x:c>
      <x:c r="U285" s="16" t="n">
        <x:v>0</x:v>
      </x:c>
      <x:c r="V285" s="16" t="n">
        <x:v>0</x:v>
      </x:c>
      <x:c r="W285" s="16" t="n">
        <x:v>0</x:v>
      </x:c>
      <x:c r="X285" s="16" t="n">
        <x:v>0</x:v>
      </x:c>
      <x:c r="Y285" s="16" t="n">
        <x:v>0</x:v>
      </x:c>
      <x:c r="Z285" s="16" t="n">
        <x:v>0</x:v>
      </x:c>
      <x:c r="AA285" s="16" t="n">
        <x:v>3</x:v>
      </x:c>
      <x:c r="AB285" s="16" t="n">
        <x:v>11</x:v>
      </x:c>
      <x:c r="AC285" s="16" t="n">
        <x:v>0</x:v>
      </x:c>
      <x:c r="AD285" s="21" t="n">
        <x:f>IF(E285="",MEDIAN($E$2:$E$2237),E285)</x:f>
        <x:v>30631</x:v>
      </x:c>
      <x:c r="AE285" s="17" t="n">
        <x:f>2014-B285</x:f>
        <x:v>40</x:v>
      </x:c>
      <x:c r="AF285" s="17" t="n">
        <x:f>F285+G285</x:f>
        <x:v>1</x:v>
      </x:c>
      <x:c r="AG285" s="21" t="n">
        <x:f>SUM(J285:O285)</x:f>
        <x:v>70</x:v>
      </x:c>
      <x:c r="AH285" s="17" t="n">
        <x:f>SUM(Q285:S285)</x:f>
        <x:v>6</x:v>
      </x:c>
      <x:c r="AI285" s="17" t="n">
        <x:f>SUM(U285:Y285)</x:f>
        <x:v>0</x:v>
      </x:c>
      <x:c r="AJ285" s="17" t="str">
        <x:f>IF(AE285&lt;=34,"≤34",IF(AE285&lt;=44,"35–44",IF(AE285&lt;=54,"45–54",IF(AE285&lt;=64,"55–64","65+"))))</x:f>
        <x:v>35–44</x:v>
      </x:c>
      <x:c r="AK285" s="17" t="str">
        <x:f>IF(AG285&gt;=1000,"High Value",IF(AG285&gt;=300,"Mid Value","Low Value"))</x:f>
        <x:v>Low Value</x:v>
      </x:c>
      <x:c r="AL285" s="17" t="str">
        <x:f>IF(AND(AI285&gt;=1,I285&lt;=50),"Priority 1",IF(AND(AG285&gt;=1000,I285&lt;=60),"Priority 2",IF(I285&lt;=30,"Priority 3","Nurture")))</x:f>
        <x:v>Nurture</x:v>
      </x:c>
    </x:row>
    <x:row r="286">
      <x:c r="A286" s="16" t="n">
        <x:v>10983</x:v>
      </x:c>
      <x:c r="B286" s="16" t="n">
        <x:v>1952</x:v>
      </x:c>
      <x:c r="C286" s="16" t="str">
        <x:v>Graduation</x:v>
      </x:c>
      <x:c r="D286" s="16" t="str">
        <x:v>Together</x:v>
      </x:c>
      <x:c r="E286" s="16" t="n">
        <x:v>75278</x:v>
      </x:c>
      <x:c r="F286" s="16" t="n">
        <x:v>0</x:v>
      </x:c>
      <x:c r="G286" s="16" t="n">
        <x:v>0</x:v>
      </x:c>
      <x:c r="H286" s="16" t="str">
        <x:v>29-01-2013</x:v>
      </x:c>
      <x:c r="I286" s="16" t="n">
        <x:v>17</x:v>
      </x:c>
      <x:c r="J286" s="16" t="n">
        <x:v>304</x:v>
      </x:c>
      <x:c r="K286" s="16" t="n">
        <x:v>98</x:v>
      </x:c>
      <x:c r="L286" s="16" t="n">
        <x:v>230</x:v>
      </x:c>
      <x:c r="M286" s="16" t="n">
        <x:v>150</x:v>
      </x:c>
      <x:c r="N286" s="16" t="n">
        <x:v>74</x:v>
      </x:c>
      <x:c r="O286" s="16" t="n">
        <x:v>74</x:v>
      </x:c>
      <x:c r="P286" s="16" t="n">
        <x:v>1</x:v>
      </x:c>
      <x:c r="Q286" s="16" t="n">
        <x:v>6</x:v>
      </x:c>
      <x:c r="R286" s="16" t="n">
        <x:v>3</x:v>
      </x:c>
      <x:c r="S286" s="16" t="n">
        <x:v>13</x:v>
      </x:c>
      <x:c r="T286" s="16" t="n">
        <x:v>3</x:v>
      </x:c>
      <x:c r="U286" s="16" t="n">
        <x:v>0</x:v>
      </x:c>
      <x:c r="V286" s="16" t="n">
        <x:v>0</x:v>
      </x:c>
      <x:c r="W286" s="16" t="n">
        <x:v>0</x:v>
      </x:c>
      <x:c r="X286" s="16" t="n">
        <x:v>0</x:v>
      </x:c>
      <x:c r="Y286" s="16" t="n">
        <x:v>0</x:v>
      </x:c>
      <x:c r="Z286" s="16" t="n">
        <x:v>0</x:v>
      </x:c>
      <x:c r="AA286" s="16" t="n">
        <x:v>3</x:v>
      </x:c>
      <x:c r="AB286" s="16" t="n">
        <x:v>11</x:v>
      </x:c>
      <x:c r="AC286" s="16" t="n">
        <x:v>0</x:v>
      </x:c>
      <x:c r="AD286" s="21" t="n">
        <x:f>IF(E286="",MEDIAN($E$2:$E$2237),E286)</x:f>
        <x:v>75278</x:v>
      </x:c>
      <x:c r="AE286" s="17" t="n">
        <x:f>2014-B286</x:f>
        <x:v>62</x:v>
      </x:c>
      <x:c r="AF286" s="17" t="n">
        <x:f>F286+G286</x:f>
        <x:v>0</x:v>
      </x:c>
      <x:c r="AG286" s="21" t="n">
        <x:f>SUM(J286:O286)</x:f>
        <x:v>930</x:v>
      </x:c>
      <x:c r="AH286" s="17" t="n">
        <x:f>SUM(Q286:S286)</x:f>
        <x:v>22</x:v>
      </x:c>
      <x:c r="AI286" s="17" t="n">
        <x:f>SUM(U286:Y286)</x:f>
        <x:v>0</x:v>
      </x:c>
      <x:c r="AJ286" s="17" t="str">
        <x:f>IF(AE286&lt;=34,"≤34",IF(AE286&lt;=44,"35–44",IF(AE286&lt;=54,"45–54",IF(AE286&lt;=64,"55–64","65+"))))</x:f>
        <x:v>55–64</x:v>
      </x:c>
      <x:c r="AK286" s="17" t="str">
        <x:f>IF(AG286&gt;=1000,"High Value",IF(AG286&gt;=300,"Mid Value","Low Value"))</x:f>
        <x:v>Mid Value</x:v>
      </x:c>
      <x:c r="AL286" s="17" t="str">
        <x:f>IF(AND(AI286&gt;=1,I286&lt;=50),"Priority 1",IF(AND(AG286&gt;=1000,I286&lt;=60),"Priority 2",IF(I286&lt;=30,"Priority 3","Nurture")))</x:f>
        <x:v>Priority 3</x:v>
      </x:c>
    </x:row>
    <x:row r="287">
      <x:c r="A287" s="16" t="n">
        <x:v>8148</x:v>
      </x:c>
      <x:c r="B287" s="16" t="n">
        <x:v>1956</x:v>
      </x:c>
      <x:c r="C287" s="16" t="str">
        <x:v>Master</x:v>
      </x:c>
      <x:c r="D287" s="16" t="str">
        <x:v>Together</x:v>
      </x:c>
      <x:c r="E287" s="16" t="n">
        <x:v>50898</x:v>
      </x:c>
      <x:c r="F287" s="16" t="n">
        <x:v>1</x:v>
      </x:c>
      <x:c r="G287" s="16" t="n">
        <x:v>1</x:v>
      </x:c>
      <x:c r="H287" s="16" t="str">
        <x:v>08-01-2013</x:v>
      </x:c>
      <x:c r="I287" s="16" t="n">
        <x:v>88</x:v>
      </x:c>
      <x:c r="J287" s="16" t="n">
        <x:v>285</x:v>
      </x:c>
      <x:c r="K287" s="16" t="n">
        <x:v>28</x:v>
      </x:c>
      <x:c r="L287" s="16" t="n">
        <x:v>242</x:v>
      </x:c>
      <x:c r="M287" s="16" t="n">
        <x:v>55</x:v>
      </x:c>
      <x:c r="N287" s="16" t="n">
        <x:v>114</x:v>
      </x:c>
      <x:c r="O287" s="16" t="n">
        <x:v>135</x:v>
      </x:c>
      <x:c r="P287" s="16" t="n">
        <x:v>13</x:v>
      </x:c>
      <x:c r="Q287" s="16" t="n">
        <x:v>6</x:v>
      </x:c>
      <x:c r="R287" s="16" t="n">
        <x:v>2</x:v>
      </x:c>
      <x:c r="S287" s="16" t="n">
        <x:v>12</x:v>
      </x:c>
      <x:c r="T287" s="16" t="n">
        <x:v>5</x:v>
      </x:c>
      <x:c r="U287" s="16" t="n">
        <x:v>0</x:v>
      </x:c>
      <x:c r="V287" s="16" t="n">
        <x:v>0</x:v>
      </x:c>
      <x:c r="W287" s="16" t="n">
        <x:v>0</x:v>
      </x:c>
      <x:c r="X287" s="16" t="n">
        <x:v>0</x:v>
      </x:c>
      <x:c r="Y287" s="16" t="n">
        <x:v>0</x:v>
      </x:c>
      <x:c r="Z287" s="16" t="n">
        <x:v>0</x:v>
      </x:c>
      <x:c r="AA287" s="16" t="n">
        <x:v>3</x:v>
      </x:c>
      <x:c r="AB287" s="16" t="n">
        <x:v>11</x:v>
      </x:c>
      <x:c r="AC287" s="16" t="n">
        <x:v>0</x:v>
      </x:c>
      <x:c r="AD287" s="21" t="n">
        <x:f>IF(E287="",MEDIAN($E$2:$E$2237),E287)</x:f>
        <x:v>50898</x:v>
      </x:c>
      <x:c r="AE287" s="17" t="n">
        <x:f>2014-B287</x:f>
        <x:v>58</x:v>
      </x:c>
      <x:c r="AF287" s="17" t="n">
        <x:f>F287+G287</x:f>
        <x:v>2</x:v>
      </x:c>
      <x:c r="AG287" s="21" t="n">
        <x:f>SUM(J287:O287)</x:f>
        <x:v>859</x:v>
      </x:c>
      <x:c r="AH287" s="17" t="n">
        <x:f>SUM(Q287:S287)</x:f>
        <x:v>20</x:v>
      </x:c>
      <x:c r="AI287" s="17" t="n">
        <x:f>SUM(U287:Y287)</x:f>
        <x:v>0</x:v>
      </x:c>
      <x:c r="AJ287" s="17" t="str">
        <x:f>IF(AE287&lt;=34,"≤34",IF(AE287&lt;=44,"35–44",IF(AE287&lt;=54,"45–54",IF(AE287&lt;=64,"55–64","65+"))))</x:f>
        <x:v>55–64</x:v>
      </x:c>
      <x:c r="AK287" s="17" t="str">
        <x:f>IF(AG287&gt;=1000,"High Value",IF(AG287&gt;=300,"Mid Value","Low Value"))</x:f>
        <x:v>Mid Value</x:v>
      </x:c>
      <x:c r="AL287" s="17" t="str">
        <x:f>IF(AND(AI287&gt;=1,I287&lt;=50),"Priority 1",IF(AND(AG287&gt;=1000,I287&lt;=60),"Priority 2",IF(I287&lt;=30,"Priority 3","Nurture")))</x:f>
        <x:v>Nurture</x:v>
      </x:c>
    </x:row>
    <x:row r="288">
      <x:c r="A288" s="16" t="n">
        <x:v>10102</x:v>
      </x:c>
      <x:c r="B288" s="16" t="n">
        <x:v>1966</x:v>
      </x:c>
      <x:c r="C288" s="16" t="str">
        <x:v>Graduation</x:v>
      </x:c>
      <x:c r="D288" s="16" t="str">
        <x:v>Widow</x:v>
      </x:c>
      <x:c r="E288" s="16" t="n">
        <x:v>79946</x:v>
      </x:c>
      <x:c r="F288" s="16" t="n">
        <x:v>0</x:v>
      </x:c>
      <x:c r="G288" s="16" t="n">
        <x:v>0</x:v>
      </x:c>
      <x:c r="H288" s="16" t="str">
        <x:v>12-05-2014</x:v>
      </x:c>
      <x:c r="I288" s="16" t="n">
        <x:v>19</x:v>
      </x:c>
      <x:c r="J288" s="16" t="n">
        <x:v>395</x:v>
      </x:c>
      <x:c r="K288" s="16" t="n">
        <x:v>183</x:v>
      </x:c>
      <x:c r="L288" s="16" t="n">
        <x:v>565</x:v>
      </x:c>
      <x:c r="M288" s="16" t="n">
        <x:v>166</x:v>
      </x:c>
      <x:c r="N288" s="16" t="n">
        <x:v>141</x:v>
      </x:c>
      <x:c r="O288" s="16" t="n">
        <x:v>28</x:v>
      </x:c>
      <x:c r="P288" s="16" t="n">
        <x:v>1</x:v>
      </x:c>
      <x:c r="Q288" s="16" t="n">
        <x:v>5</x:v>
      </x:c>
      <x:c r="R288" s="16" t="n">
        <x:v>11</x:v>
      </x:c>
      <x:c r="S288" s="16" t="n">
        <x:v>5</x:v>
      </x:c>
      <x:c r="T288" s="16" t="n">
        <x:v>3</x:v>
      </x:c>
      <x:c r="U288" s="16" t="n">
        <x:v>0</x:v>
      </x:c>
      <x:c r="V288" s="16" t="n">
        <x:v>0</x:v>
      </x:c>
      <x:c r="W288" s="16" t="n">
        <x:v>0</x:v>
      </x:c>
      <x:c r="X288" s="16" t="n">
        <x:v>0</x:v>
      </x:c>
      <x:c r="Y288" s="16" t="n">
        <x:v>0</x:v>
      </x:c>
      <x:c r="Z288" s="16" t="n">
        <x:v>0</x:v>
      </x:c>
      <x:c r="AA288" s="16" t="n">
        <x:v>3</x:v>
      </x:c>
      <x:c r="AB288" s="16" t="n">
        <x:v>11</x:v>
      </x:c>
      <x:c r="AC288" s="16" t="n">
        <x:v>0</x:v>
      </x:c>
      <x:c r="AD288" s="21" t="n">
        <x:f>IF(E288="",MEDIAN($E$2:$E$2237),E288)</x:f>
        <x:v>79946</x:v>
      </x:c>
      <x:c r="AE288" s="17" t="n">
        <x:f>2014-B288</x:f>
        <x:v>48</x:v>
      </x:c>
      <x:c r="AF288" s="17" t="n">
        <x:f>F288+G288</x:f>
        <x:v>0</x:v>
      </x:c>
      <x:c r="AG288" s="21" t="n">
        <x:f>SUM(J288:O288)</x:f>
        <x:v>1478</x:v>
      </x:c>
      <x:c r="AH288" s="17" t="n">
        <x:f>SUM(Q288:S288)</x:f>
        <x:v>21</x:v>
      </x:c>
      <x:c r="AI288" s="17" t="n">
        <x:f>SUM(U288:Y288)</x:f>
        <x:v>0</x:v>
      </x:c>
      <x:c r="AJ288" s="17" t="str">
        <x:f>IF(AE288&lt;=34,"≤34",IF(AE288&lt;=44,"35–44",IF(AE288&lt;=54,"45–54",IF(AE288&lt;=64,"55–64","65+"))))</x:f>
        <x:v>45–54</x:v>
      </x:c>
      <x:c r="AK288" s="17" t="str">
        <x:f>IF(AG288&gt;=1000,"High Value",IF(AG288&gt;=300,"Mid Value","Low Value"))</x:f>
        <x:v>High Value</x:v>
      </x:c>
      <x:c r="AL288" s="17" t="str">
        <x:f>IF(AND(AI288&gt;=1,I288&lt;=50),"Priority 1",IF(AND(AG288&gt;=1000,I288&lt;=60),"Priority 2",IF(I288&lt;=30,"Priority 3","Nurture")))</x:f>
        <x:v>Priority 2</x:v>
      </x:c>
    </x:row>
    <x:row r="289">
      <x:c r="A289" s="16" t="n">
        <x:v>4697</x:v>
      </x:c>
      <x:c r="B289" s="16" t="n">
        <x:v>1949</x:v>
      </x:c>
      <x:c r="C289" s="16" t="str">
        <x:v>Master</x:v>
      </x:c>
      <x:c r="D289" s="16" t="str">
        <x:v>Divorced</x:v>
      </x:c>
      <x:c r="E289" s="16" t="n">
        <x:v>35416</x:v>
      </x:c>
      <x:c r="F289" s="16" t="n">
        <x:v>0</x:v>
      </x:c>
      <x:c r="G289" s="16" t="n">
        <x:v>0</x:v>
      </x:c>
      <x:c r="H289" s="16" t="str">
        <x:v>13-06-2013</x:v>
      </x:c>
      <x:c r="I289" s="16" t="n">
        <x:v>62</x:v>
      </x:c>
      <x:c r="J289" s="16" t="n">
        <x:v>248</x:v>
      </x:c>
      <x:c r="K289" s="16" t="n">
        <x:v>3</x:v>
      </x:c>
      <x:c r="L289" s="16" t="n">
        <x:v>81</x:v>
      </x:c>
      <x:c r="M289" s="16" t="n">
        <x:v>4</x:v>
      </x:c>
      <x:c r="N289" s="16" t="n">
        <x:v>3</x:v>
      </x:c>
      <x:c r="O289" s="16" t="n">
        <x:v>51</x:v>
      </x:c>
      <x:c r="P289" s="16" t="n">
        <x:v>3</x:v>
      </x:c>
      <x:c r="Q289" s="16" t="n">
        <x:v>7</x:v>
      </x:c>
      <x:c r="R289" s="16" t="n">
        <x:v>1</x:v>
      </x:c>
      <x:c r="S289" s="16" t="n">
        <x:v>5</x:v>
      </x:c>
      <x:c r="T289" s="16" t="n">
        <x:v>8</x:v>
      </x:c>
      <x:c r="U289" s="16" t="n">
        <x:v>0</x:v>
      </x:c>
      <x:c r="V289" s="16" t="n">
        <x:v>0</x:v>
      </x:c>
      <x:c r="W289" s="16" t="n">
        <x:v>0</x:v>
      </x:c>
      <x:c r="X289" s="16" t="n">
        <x:v>0</x:v>
      </x:c>
      <x:c r="Y289" s="16" t="n">
        <x:v>0</x:v>
      </x:c>
      <x:c r="Z289" s="16" t="n">
        <x:v>0</x:v>
      </x:c>
      <x:c r="AA289" s="16" t="n">
        <x:v>3</x:v>
      </x:c>
      <x:c r="AB289" s="16" t="n">
        <x:v>11</x:v>
      </x:c>
      <x:c r="AC289" s="16" t="n">
        <x:v>0</x:v>
      </x:c>
      <x:c r="AD289" s="21" t="n">
        <x:f>IF(E289="",MEDIAN($E$2:$E$2237),E289)</x:f>
        <x:v>35416</x:v>
      </x:c>
      <x:c r="AE289" s="17" t="n">
        <x:f>2014-B289</x:f>
        <x:v>65</x:v>
      </x:c>
      <x:c r="AF289" s="17" t="n">
        <x:f>F289+G289</x:f>
        <x:v>0</x:v>
      </x:c>
      <x:c r="AG289" s="21" t="n">
        <x:f>SUM(J289:O289)</x:f>
        <x:v>390</x:v>
      </x:c>
      <x:c r="AH289" s="17" t="n">
        <x:f>SUM(Q289:S289)</x:f>
        <x:v>13</x:v>
      </x:c>
      <x:c r="AI289" s="17" t="n">
        <x:f>SUM(U289:Y289)</x:f>
        <x:v>0</x:v>
      </x:c>
      <x:c r="AJ289" s="17" t="str">
        <x:f>IF(AE289&lt;=34,"≤34",IF(AE289&lt;=44,"35–44",IF(AE289&lt;=54,"45–54",IF(AE289&lt;=64,"55–64","65+"))))</x:f>
        <x:v>65+</x:v>
      </x:c>
      <x:c r="AK289" s="17" t="str">
        <x:f>IF(AG289&gt;=1000,"High Value",IF(AG289&gt;=300,"Mid Value","Low Value"))</x:f>
        <x:v>Mid Value</x:v>
      </x:c>
      <x:c r="AL289" s="17" t="str">
        <x:f>IF(AND(AI289&gt;=1,I289&lt;=50),"Priority 1",IF(AND(AG289&gt;=1000,I289&lt;=60),"Priority 2",IF(I289&lt;=30,"Priority 3","Nurture")))</x:f>
        <x:v>Nurture</x:v>
      </x:c>
    </x:row>
    <x:row r="290">
      <x:c r="A290" s="16" t="n">
        <x:v>9262</x:v>
      </x:c>
      <x:c r="B290" s="16" t="n">
        <x:v>1984</x:v>
      </x:c>
      <x:c r="C290" s="16" t="str">
        <x:v>2n Cycle</x:v>
      </x:c>
      <x:c r="D290" s="16" t="str">
        <x:v>Together</x:v>
      </x:c>
      <x:c r="E290" s="16" t="n">
        <x:v>32414</x:v>
      </x:c>
      <x:c r="F290" s="16" t="n">
        <x:v>0</x:v>
      </x:c>
      <x:c r="G290" s="16" t="n">
        <x:v>0</x:v>
      </x:c>
      <x:c r="H290" s="16" t="str">
        <x:v>04-07-2013</x:v>
      </x:c>
      <x:c r="I290" s="16" t="n">
        <x:v>11</x:v>
      </x:c>
      <x:c r="J290" s="16" t="n">
        <x:v>20</x:v>
      </x:c>
      <x:c r="K290" s="16" t="n">
        <x:v>6</x:v>
      </x:c>
      <x:c r="L290" s="16" t="n">
        <x:v>5</x:v>
      </x:c>
      <x:c r="M290" s="16" t="n">
        <x:v>0</x:v>
      </x:c>
      <x:c r="N290" s="16" t="n">
        <x:v>9</x:v>
      </x:c>
      <x:c r="O290" s="16" t="n">
        <x:v>12</x:v>
      </x:c>
      <x:c r="P290" s="16" t="n">
        <x:v>1</x:v>
      </x:c>
      <x:c r="Q290" s="16" t="n">
        <x:v>1</x:v>
      </x:c>
      <x:c r="R290" s="16" t="n">
        <x:v>0</x:v>
      </x:c>
      <x:c r="S290" s="16" t="n">
        <x:v>3</x:v>
      </x:c>
      <x:c r="T290" s="16" t="n">
        <x:v>7</x:v>
      </x:c>
      <x:c r="U290" s="16" t="n">
        <x:v>1</x:v>
      </x:c>
      <x:c r="V290" s="16" t="n">
        <x:v>0</x:v>
      </x:c>
      <x:c r="W290" s="16" t="n">
        <x:v>0</x:v>
      </x:c>
      <x:c r="X290" s="16" t="n">
        <x:v>0</x:v>
      </x:c>
      <x:c r="Y290" s="16" t="n">
        <x:v>0</x:v>
      </x:c>
      <x:c r="Z290" s="16" t="n">
        <x:v>0</x:v>
      </x:c>
      <x:c r="AA290" s="16" t="n">
        <x:v>3</x:v>
      </x:c>
      <x:c r="AB290" s="16" t="n">
        <x:v>11</x:v>
      </x:c>
      <x:c r="AC290" s="16" t="n">
        <x:v>0</x:v>
      </x:c>
      <x:c r="AD290" s="21" t="n">
        <x:f>IF(E290="",MEDIAN($E$2:$E$2237),E290)</x:f>
        <x:v>32414</x:v>
      </x:c>
      <x:c r="AE290" s="17" t="n">
        <x:f>2014-B290</x:f>
        <x:v>30</x:v>
      </x:c>
      <x:c r="AF290" s="17" t="n">
        <x:f>F290+G290</x:f>
        <x:v>0</x:v>
      </x:c>
      <x:c r="AG290" s="21" t="n">
        <x:f>SUM(J290:O290)</x:f>
        <x:v>52</x:v>
      </x:c>
      <x:c r="AH290" s="17" t="n">
        <x:f>SUM(Q290:S290)</x:f>
        <x:v>4</x:v>
      </x:c>
      <x:c r="AI290" s="17" t="n">
        <x:f>SUM(U290:Y290)</x:f>
        <x:v>1</x:v>
      </x:c>
      <x:c r="AJ290" s="17" t="str">
        <x:f>IF(AE290&lt;=34,"≤34",IF(AE290&lt;=44,"35–44",IF(AE290&lt;=54,"45–54",IF(AE290&lt;=64,"55–64","65+"))))</x:f>
        <x:v>≤34</x:v>
      </x:c>
      <x:c r="AK290" s="17" t="str">
        <x:f>IF(AG290&gt;=1000,"High Value",IF(AG290&gt;=300,"Mid Value","Low Value"))</x:f>
        <x:v>Low Value</x:v>
      </x:c>
      <x:c r="AL290" s="17" t="str">
        <x:f>IF(AND(AI290&gt;=1,I290&lt;=50),"Priority 1",IF(AND(AG290&gt;=1000,I290&lt;=60),"Priority 2",IF(I290&lt;=30,"Priority 3","Nurture")))</x:f>
        <x:v>Priority 1</x:v>
      </x:c>
    </x:row>
    <x:row r="291">
      <x:c r="A291" s="16" t="n">
        <x:v>7254</x:v>
      </x:c>
      <x:c r="B291" s="16" t="n">
        <x:v>1969</x:v>
      </x:c>
      <x:c r="C291" s="16" t="str">
        <x:v>Graduation</x:v>
      </x:c>
      <x:c r="D291" s="16" t="str">
        <x:v>Together</x:v>
      </x:c>
      <x:c r="E291" s="16" t="n">
        <x:v>38361</x:v>
      </x:c>
      <x:c r="F291" s="16" t="n">
        <x:v>1</x:v>
      </x:c>
      <x:c r="G291" s="16" t="n">
        <x:v>0</x:v>
      </x:c>
      <x:c r="H291" s="16" t="str">
        <x:v>27-12-2013</x:v>
      </x:c>
      <x:c r="I291" s="16" t="n">
        <x:v>74</x:v>
      </x:c>
      <x:c r="J291" s="16" t="n">
        <x:v>39</x:v>
      </x:c>
      <x:c r="K291" s="16" t="n">
        <x:v>0</x:v>
      </x:c>
      <x:c r="L291" s="16" t="n">
        <x:v>56</x:v>
      </x:c>
      <x:c r="M291" s="16" t="n">
        <x:v>20</x:v>
      </x:c>
      <x:c r="N291" s="16" t="n">
        <x:v>8</x:v>
      </x:c>
      <x:c r="O291" s="16" t="n">
        <x:v>14</x:v>
      </x:c>
      <x:c r="P291" s="16" t="n">
        <x:v>3</x:v>
      </x:c>
      <x:c r="Q291" s="16" t="n">
        <x:v>3</x:v>
      </x:c>
      <x:c r="R291" s="16" t="n">
        <x:v>1</x:v>
      </x:c>
      <x:c r="S291" s="16" t="n">
        <x:v>3</x:v>
      </x:c>
      <x:c r="T291" s="16" t="n">
        <x:v>7</x:v>
      </x:c>
      <x:c r="U291" s="16" t="n">
        <x:v>0</x:v>
      </x:c>
      <x:c r="V291" s="16" t="n">
        <x:v>0</x:v>
      </x:c>
      <x:c r="W291" s="16" t="n">
        <x:v>0</x:v>
      </x:c>
      <x:c r="X291" s="16" t="n">
        <x:v>0</x:v>
      </x:c>
      <x:c r="Y291" s="16" t="n">
        <x:v>0</x:v>
      </x:c>
      <x:c r="Z291" s="16" t="n">
        <x:v>0</x:v>
      </x:c>
      <x:c r="AA291" s="16" t="n">
        <x:v>3</x:v>
      </x:c>
      <x:c r="AB291" s="16" t="n">
        <x:v>11</x:v>
      </x:c>
      <x:c r="AC291" s="16" t="n">
        <x:v>0</x:v>
      </x:c>
      <x:c r="AD291" s="21" t="n">
        <x:f>IF(E291="",MEDIAN($E$2:$E$2237),E291)</x:f>
        <x:v>38361</x:v>
      </x:c>
      <x:c r="AE291" s="17" t="n">
        <x:f>2014-B291</x:f>
        <x:v>45</x:v>
      </x:c>
      <x:c r="AF291" s="17" t="n">
        <x:f>F291+G291</x:f>
        <x:v>1</x:v>
      </x:c>
      <x:c r="AG291" s="21" t="n">
        <x:f>SUM(J291:O291)</x:f>
        <x:v>137</x:v>
      </x:c>
      <x:c r="AH291" s="17" t="n">
        <x:f>SUM(Q291:S291)</x:f>
        <x:v>7</x:v>
      </x:c>
      <x:c r="AI291" s="17" t="n">
        <x:f>SUM(U291:Y291)</x:f>
        <x:v>0</x:v>
      </x:c>
      <x:c r="AJ291" s="17" t="str">
        <x:f>IF(AE291&lt;=34,"≤34",IF(AE291&lt;=44,"35–44",IF(AE291&lt;=54,"45–54",IF(AE291&lt;=64,"55–64","65+"))))</x:f>
        <x:v>45–54</x:v>
      </x:c>
      <x:c r="AK291" s="17" t="str">
        <x:f>IF(AG291&gt;=1000,"High Value",IF(AG291&gt;=300,"Mid Value","Low Value"))</x:f>
        <x:v>Low Value</x:v>
      </x:c>
      <x:c r="AL291" s="17" t="str">
        <x:f>IF(AND(AI291&gt;=1,I291&lt;=50),"Priority 1",IF(AND(AG291&gt;=1000,I291&lt;=60),"Priority 2",IF(I291&lt;=30,"Priority 3","Nurture")))</x:f>
        <x:v>Nurture</x:v>
      </x:c>
    </x:row>
    <x:row r="292">
      <x:c r="A292" s="16" t="n">
        <x:v>4543</x:v>
      </x:c>
      <x:c r="B292" s="16" t="n">
        <x:v>1980</x:v>
      </x:c>
      <x:c r="C292" s="16" t="str">
        <x:v>Graduation</x:v>
      </x:c>
      <x:c r="D292" s="16" t="str">
        <x:v>Married</x:v>
      </x:c>
      <x:c r="E292" s="16" t="n">
        <x:v>82497</x:v>
      </x:c>
      <x:c r="F292" s="16" t="n">
        <x:v>0</x:v>
      </x:c>
      <x:c r="G292" s="16" t="n">
        <x:v>0</x:v>
      </x:c>
      <x:c r="H292" s="16" t="str">
        <x:v>31-10-2012</x:v>
      </x:c>
      <x:c r="I292" s="16" t="n">
        <x:v>32</x:v>
      </x:c>
      <x:c r="J292" s="16" t="n">
        <x:v>777</x:v>
      </x:c>
      <x:c r="K292" s="16" t="n">
        <x:v>129</x:v>
      </x:c>
      <x:c r="L292" s="16" t="n">
        <x:v>573</x:v>
      </x:c>
      <x:c r="M292" s="16" t="n">
        <x:v>216</x:v>
      </x:c>
      <x:c r="N292" s="16" t="n">
        <x:v>21</x:v>
      </x:c>
      <x:c r="O292" s="16" t="n">
        <x:v>203</x:v>
      </x:c>
      <x:c r="P292" s="16" t="n">
        <x:v>1</x:v>
      </x:c>
      <x:c r="Q292" s="16" t="n">
        <x:v>2</x:v>
      </x:c>
      <x:c r="R292" s="16" t="n">
        <x:v>7</x:v>
      </x:c>
      <x:c r="S292" s="16" t="n">
        <x:v>9</x:v>
      </x:c>
      <x:c r="T292" s="16" t="n">
        <x:v>4</x:v>
      </x:c>
      <x:c r="U292" s="16" t="n">
        <x:v>0</x:v>
      </x:c>
      <x:c r="V292" s="16" t="n">
        <x:v>0</x:v>
      </x:c>
      <x:c r="W292" s="16" t="n">
        <x:v>1</x:v>
      </x:c>
      <x:c r="X292" s="16" t="n">
        <x:v>0</x:v>
      </x:c>
      <x:c r="Y292" s="16" t="n">
        <x:v>0</x:v>
      </x:c>
      <x:c r="Z292" s="16" t="n">
        <x:v>0</x:v>
      </x:c>
      <x:c r="AA292" s="16" t="n">
        <x:v>3</x:v>
      </x:c>
      <x:c r="AB292" s="16" t="n">
        <x:v>11</x:v>
      </x:c>
      <x:c r="AC292" s="16" t="n">
        <x:v>0</x:v>
      </x:c>
      <x:c r="AD292" s="21" t="n">
        <x:f>IF(E292="",MEDIAN($E$2:$E$2237),E292)</x:f>
        <x:v>82497</x:v>
      </x:c>
      <x:c r="AE292" s="17" t="n">
        <x:f>2014-B292</x:f>
        <x:v>34</x:v>
      </x:c>
      <x:c r="AF292" s="17" t="n">
        <x:f>F292+G292</x:f>
        <x:v>0</x:v>
      </x:c>
      <x:c r="AG292" s="21" t="n">
        <x:f>SUM(J292:O292)</x:f>
        <x:v>1919</x:v>
      </x:c>
      <x:c r="AH292" s="17" t="n">
        <x:f>SUM(Q292:S292)</x:f>
        <x:v>18</x:v>
      </x:c>
      <x:c r="AI292" s="17" t="n">
        <x:f>SUM(U292:Y292)</x:f>
        <x:v>1</x:v>
      </x:c>
      <x:c r="AJ292" s="17" t="str">
        <x:f>IF(AE292&lt;=34,"≤34",IF(AE292&lt;=44,"35–44",IF(AE292&lt;=54,"45–54",IF(AE292&lt;=64,"55–64","65+"))))</x:f>
        <x:v>≤34</x:v>
      </x:c>
      <x:c r="AK292" s="17" t="str">
        <x:f>IF(AG292&gt;=1000,"High Value",IF(AG292&gt;=300,"Mid Value","Low Value"))</x:f>
        <x:v>High Value</x:v>
      </x:c>
      <x:c r="AL292" s="17" t="str">
        <x:f>IF(AND(AI292&gt;=1,I292&lt;=50),"Priority 1",IF(AND(AG292&gt;=1000,I292&lt;=60),"Priority 2",IF(I292&lt;=30,"Priority 3","Nurture")))</x:f>
        <x:v>Priority 1</x:v>
      </x:c>
    </x:row>
    <x:row r="293">
      <x:c r="A293" s="16" t="n">
        <x:v>4927</x:v>
      </x:c>
      <x:c r="B293" s="16" t="n">
        <x:v>1971</x:v>
      </x:c>
      <x:c r="C293" s="16" t="str">
        <x:v>Graduation</x:v>
      </x:c>
      <x:c r="D293" s="16" t="str">
        <x:v>Together</x:v>
      </x:c>
      <x:c r="E293" s="16" t="n">
        <x:v>16626</x:v>
      </x:c>
      <x:c r="F293" s="16" t="n">
        <x:v>2</x:v>
      </x:c>
      <x:c r="G293" s="16" t="n">
        <x:v>0</x:v>
      </x:c>
      <x:c r="H293" s="16" t="str">
        <x:v>15-01-2014</x:v>
      </x:c>
      <x:c r="I293" s="16" t="n">
        <x:v>76</x:v>
      </x:c>
      <x:c r="J293" s="16" t="n">
        <x:v>8</x:v>
      </x:c>
      <x:c r="K293" s="16" t="n">
        <x:v>3</x:v>
      </x:c>
      <x:c r="L293" s="16" t="n">
        <x:v>22</x:v>
      </x:c>
      <x:c r="M293" s="16" t="n">
        <x:v>21</x:v>
      </x:c>
      <x:c r="N293" s="16" t="n">
        <x:v>1</x:v>
      </x:c>
      <x:c r="O293" s="16" t="n">
        <x:v>13</x:v>
      </x:c>
      <x:c r="P293" s="16" t="n">
        <x:v>3</x:v>
      </x:c>
      <x:c r="Q293" s="16" t="n">
        <x:v>3</x:v>
      </x:c>
      <x:c r="R293" s="16" t="n">
        <x:v>0</x:v>
      </x:c>
      <x:c r="S293" s="16" t="n">
        <x:v>3</x:v>
      </x:c>
      <x:c r="T293" s="16" t="n">
        <x:v>9</x:v>
      </x:c>
      <x:c r="U293" s="16" t="n">
        <x:v>0</x:v>
      </x:c>
      <x:c r="V293" s="16" t="n">
        <x:v>0</x:v>
      </x:c>
      <x:c r="W293" s="16" t="n">
        <x:v>0</x:v>
      </x:c>
      <x:c r="X293" s="16" t="n">
        <x:v>0</x:v>
      </x:c>
      <x:c r="Y293" s="16" t="n">
        <x:v>0</x:v>
      </x:c>
      <x:c r="Z293" s="16" t="n">
        <x:v>0</x:v>
      </x:c>
      <x:c r="AA293" s="16" t="n">
        <x:v>3</x:v>
      </x:c>
      <x:c r="AB293" s="16" t="n">
        <x:v>11</x:v>
      </x:c>
      <x:c r="AC293" s="16" t="n">
        <x:v>0</x:v>
      </x:c>
      <x:c r="AD293" s="21" t="n">
        <x:f>IF(E293="",MEDIAN($E$2:$E$2237),E293)</x:f>
        <x:v>16626</x:v>
      </x:c>
      <x:c r="AE293" s="17" t="n">
        <x:f>2014-B293</x:f>
        <x:v>43</x:v>
      </x:c>
      <x:c r="AF293" s="17" t="n">
        <x:f>F293+G293</x:f>
        <x:v>2</x:v>
      </x:c>
      <x:c r="AG293" s="21" t="n">
        <x:f>SUM(J293:O293)</x:f>
        <x:v>68</x:v>
      </x:c>
      <x:c r="AH293" s="17" t="n">
        <x:f>SUM(Q293:S293)</x:f>
        <x:v>6</x:v>
      </x:c>
      <x:c r="AI293" s="17" t="n">
        <x:f>SUM(U293:Y293)</x:f>
        <x:v>0</x:v>
      </x:c>
      <x:c r="AJ293" s="17" t="str">
        <x:f>IF(AE293&lt;=34,"≤34",IF(AE293&lt;=44,"35–44",IF(AE293&lt;=54,"45–54",IF(AE293&lt;=64,"55–64","65+"))))</x:f>
        <x:v>35–44</x:v>
      </x:c>
      <x:c r="AK293" s="17" t="str">
        <x:f>IF(AG293&gt;=1000,"High Value",IF(AG293&gt;=300,"Mid Value","Low Value"))</x:f>
        <x:v>Low Value</x:v>
      </x:c>
      <x:c r="AL293" s="17" t="str">
        <x:f>IF(AND(AI293&gt;=1,I293&lt;=50),"Priority 1",IF(AND(AG293&gt;=1000,I293&lt;=60),"Priority 2",IF(I293&lt;=30,"Priority 3","Nurture")))</x:f>
        <x:v>Nurture</x:v>
      </x:c>
    </x:row>
    <x:row r="294">
      <x:c r="A294" s="16" t="n">
        <x:v>10451</x:v>
      </x:c>
      <x:c r="B294" s="16" t="n">
        <x:v>1965</x:v>
      </x:c>
      <x:c r="C294" s="16" t="str">
        <x:v>Graduation</x:v>
      </x:c>
      <x:c r="D294" s="16" t="str">
        <x:v>Together</x:v>
      </x:c>
      <x:c r="E294" s="16" t="n">
        <x:v>29672</x:v>
      </x:c>
      <x:c r="F294" s="16" t="n">
        <x:v>1</x:v>
      </x:c>
      <x:c r="G294" s="16" t="n">
        <x:v>1</x:v>
      </x:c>
      <x:c r="H294" s="16" t="str">
        <x:v>12-03-2013</x:v>
      </x:c>
      <x:c r="I294" s="16" t="n">
        <x:v>6</x:v>
      </x:c>
      <x:c r="J294" s="16" t="n">
        <x:v>9</x:v>
      </x:c>
      <x:c r="K294" s="16" t="n">
        <x:v>1</x:v>
      </x:c>
      <x:c r="L294" s="16" t="n">
        <x:v>3</x:v>
      </x:c>
      <x:c r="M294" s="16" t="n">
        <x:v>0</x:v>
      </x:c>
      <x:c r="N294" s="16" t="n">
        <x:v>4</x:v>
      </x:c>
      <x:c r="O294" s="16" t="n">
        <x:v>8</x:v>
      </x:c>
      <x:c r="P294" s="16" t="n">
        <x:v>1</x:v>
      </x:c>
      <x:c r="Q294" s="16" t="n">
        <x:v>0</x:v>
      </x:c>
      <x:c r="R294" s="16" t="n">
        <x:v>0</x:v>
      </x:c>
      <x:c r="S294" s="16" t="n">
        <x:v>3</x:v>
      </x:c>
      <x:c r="T294" s="16" t="n">
        <x:v>6</x:v>
      </x:c>
      <x:c r="U294" s="16" t="n">
        <x:v>0</x:v>
      </x:c>
      <x:c r="V294" s="16" t="n">
        <x:v>0</x:v>
      </x:c>
      <x:c r="W294" s="16" t="n">
        <x:v>0</x:v>
      </x:c>
      <x:c r="X294" s="16" t="n">
        <x:v>0</x:v>
      </x:c>
      <x:c r="Y294" s="16" t="n">
        <x:v>0</x:v>
      </x:c>
      <x:c r="Z294" s="16" t="n">
        <x:v>0</x:v>
      </x:c>
      <x:c r="AA294" s="16" t="n">
        <x:v>3</x:v>
      </x:c>
      <x:c r="AB294" s="16" t="n">
        <x:v>11</x:v>
      </x:c>
      <x:c r="AC294" s="16" t="n">
        <x:v>0</x:v>
      </x:c>
      <x:c r="AD294" s="21" t="n">
        <x:f>IF(E294="",MEDIAN($E$2:$E$2237),E294)</x:f>
        <x:v>29672</x:v>
      </x:c>
      <x:c r="AE294" s="17" t="n">
        <x:f>2014-B294</x:f>
        <x:v>49</x:v>
      </x:c>
      <x:c r="AF294" s="17" t="n">
        <x:f>F294+G294</x:f>
        <x:v>2</x:v>
      </x:c>
      <x:c r="AG294" s="21" t="n">
        <x:f>SUM(J294:O294)</x:f>
        <x:v>25</x:v>
      </x:c>
      <x:c r="AH294" s="17" t="n">
        <x:f>SUM(Q294:S294)</x:f>
        <x:v>3</x:v>
      </x:c>
      <x:c r="AI294" s="17" t="n">
        <x:f>SUM(U294:Y294)</x:f>
        <x:v>0</x:v>
      </x:c>
      <x:c r="AJ294" s="17" t="str">
        <x:f>IF(AE294&lt;=34,"≤34",IF(AE294&lt;=44,"35–44",IF(AE294&lt;=54,"45–54",IF(AE294&lt;=64,"55–64","65+"))))</x:f>
        <x:v>45–54</x:v>
      </x:c>
      <x:c r="AK294" s="17" t="str">
        <x:f>IF(AG294&gt;=1000,"High Value",IF(AG294&gt;=300,"Mid Value","Low Value"))</x:f>
        <x:v>Low Value</x:v>
      </x:c>
      <x:c r="AL294" s="17" t="str">
        <x:f>IF(AND(AI294&gt;=1,I294&lt;=50),"Priority 1",IF(AND(AG294&gt;=1000,I294&lt;=60),"Priority 2",IF(I294&lt;=30,"Priority 3","Nurture")))</x:f>
        <x:v>Priority 3</x:v>
      </x:c>
    </x:row>
    <x:row r="295">
      <x:c r="A295" s="16" t="n">
        <x:v>2926</x:v>
      </x:c>
      <x:c r="B295" s="16" t="n">
        <x:v>1952</x:v>
      </x:c>
      <x:c r="C295" s="16" t="str">
        <x:v>Master</x:v>
      </x:c>
      <x:c r="D295" s="16" t="str">
        <x:v>Together</x:v>
      </x:c>
      <x:c r="E295" s="16" t="n">
        <x:v>55951</x:v>
      </x:c>
      <x:c r="F295" s="16" t="n">
        <x:v>0</x:v>
      </x:c>
      <x:c r="G295" s="16" t="n">
        <x:v>1</x:v>
      </x:c>
      <x:c r="H295" s="16" t="str">
        <x:v>23-08-2012</x:v>
      </x:c>
      <x:c r="I295" s="16" t="n">
        <x:v>62</x:v>
      </x:c>
      <x:c r="J295" s="16" t="n">
        <x:v>1241</x:v>
      </x:c>
      <x:c r="K295" s="16" t="n">
        <x:v>0</x:v>
      </x:c>
      <x:c r="L295" s="16" t="n">
        <x:v>80</x:v>
      </x:c>
      <x:c r="M295" s="16" t="n">
        <x:v>0</x:v>
      </x:c>
      <x:c r="N295" s="16" t="n">
        <x:v>13</x:v>
      </x:c>
      <x:c r="O295" s="16" t="n">
        <x:v>40</x:v>
      </x:c>
      <x:c r="P295" s="16" t="n">
        <x:v>3</x:v>
      </x:c>
      <x:c r="Q295" s="16" t="n">
        <x:v>3</x:v>
      </x:c>
      <x:c r="R295" s="16" t="n">
        <x:v>6</x:v>
      </x:c>
      <x:c r="S295" s="16" t="n">
        <x:v>11</x:v>
      </x:c>
      <x:c r="T295" s="16" t="n">
        <x:v>8</x:v>
      </x:c>
      <x:c r="U295" s="16" t="n">
        <x:v>0</x:v>
      </x:c>
      <x:c r="V295" s="16" t="n">
        <x:v>1</x:v>
      </x:c>
      <x:c r="W295" s="16" t="n">
        <x:v>0</x:v>
      </x:c>
      <x:c r="X295" s="16" t="n">
        <x:v>0</x:v>
      </x:c>
      <x:c r="Y295" s="16" t="n">
        <x:v>1</x:v>
      </x:c>
      <x:c r="Z295" s="16" t="n">
        <x:v>0</x:v>
      </x:c>
      <x:c r="AA295" s="16" t="n">
        <x:v>3</x:v>
      </x:c>
      <x:c r="AB295" s="16" t="n">
        <x:v>11</x:v>
      </x:c>
      <x:c r="AC295" s="16" t="n">
        <x:v>0</x:v>
      </x:c>
      <x:c r="AD295" s="21" t="n">
        <x:f>IF(E295="",MEDIAN($E$2:$E$2237),E295)</x:f>
        <x:v>55951</x:v>
      </x:c>
      <x:c r="AE295" s="17" t="n">
        <x:f>2014-B295</x:f>
        <x:v>62</x:v>
      </x:c>
      <x:c r="AF295" s="17" t="n">
        <x:f>F295+G295</x:f>
        <x:v>1</x:v>
      </x:c>
      <x:c r="AG295" s="21" t="n">
        <x:f>SUM(J295:O295)</x:f>
        <x:v>1374</x:v>
      </x:c>
      <x:c r="AH295" s="17" t="n">
        <x:f>SUM(Q295:S295)</x:f>
        <x:v>20</x:v>
      </x:c>
      <x:c r="AI295" s="17" t="n">
        <x:f>SUM(U295:Y295)</x:f>
        <x:v>2</x:v>
      </x:c>
      <x:c r="AJ295" s="17" t="str">
        <x:f>IF(AE295&lt;=34,"≤34",IF(AE295&lt;=44,"35–44",IF(AE295&lt;=54,"45–54",IF(AE295&lt;=64,"55–64","65+"))))</x:f>
        <x:v>55–64</x:v>
      </x:c>
      <x:c r="AK295" s="17" t="str">
        <x:f>IF(AG295&gt;=1000,"High Value",IF(AG295&gt;=300,"Mid Value","Low Value"))</x:f>
        <x:v>High Value</x:v>
      </x:c>
      <x:c r="AL295" s="17" t="str">
        <x:f>IF(AND(AI295&gt;=1,I295&lt;=50),"Priority 1",IF(AND(AG295&gt;=1000,I295&lt;=60),"Priority 2",IF(I295&lt;=30,"Priority 3","Nurture")))</x:f>
        <x:v>Nurture</x:v>
      </x:c>
    </x:row>
    <x:row r="296">
      <x:c r="A296" s="16" t="n">
        <x:v>2874</x:v>
      </x:c>
      <x:c r="B296" s="16" t="n">
        <x:v>1988</x:v>
      </x:c>
      <x:c r="C296" s="16" t="str">
        <x:v>2n Cycle</x:v>
      </x:c>
      <x:c r="D296" s="16" t="str">
        <x:v>Divorced</x:v>
      </x:c>
      <x:c r="E296" s="16" t="n">
        <x:v>35388</x:v>
      </x:c>
      <x:c r="F296" s="16" t="n">
        <x:v>1</x:v>
      </x:c>
      <x:c r="G296" s="16" t="n">
        <x:v>0</x:v>
      </x:c>
      <x:c r="H296" s="16" t="str">
        <x:v>07-03-2013</x:v>
      </x:c>
      <x:c r="I296" s="16" t="n">
        <x:v>20</x:v>
      </x:c>
      <x:c r="J296" s="16" t="n">
        <x:v>6</x:v>
      </x:c>
      <x:c r="K296" s="16" t="n">
        <x:v>4</x:v>
      </x:c>
      <x:c r="L296" s="16" t="n">
        <x:v>7</x:v>
      </x:c>
      <x:c r="M296" s="16" t="n">
        <x:v>4</x:v>
      </x:c>
      <x:c r="N296" s="16" t="n">
        <x:v>3</x:v>
      </x:c>
      <x:c r="O296" s="16" t="n">
        <x:v>8</x:v>
      </x:c>
      <x:c r="P296" s="16" t="n">
        <x:v>1</x:v>
      </x:c>
      <x:c r="Q296" s="16" t="n">
        <x:v>1</x:v>
      </x:c>
      <x:c r="R296" s="16" t="n">
        <x:v>0</x:v>
      </x:c>
      <x:c r="S296" s="16" t="n">
        <x:v>3</x:v>
      </x:c>
      <x:c r="T296" s="16" t="n">
        <x:v>7</x:v>
      </x:c>
      <x:c r="U296" s="16" t="n">
        <x:v>0</x:v>
      </x:c>
      <x:c r="V296" s="16" t="n">
        <x:v>0</x:v>
      </x:c>
      <x:c r="W296" s="16" t="n">
        <x:v>0</x:v>
      </x:c>
      <x:c r="X296" s="16" t="n">
        <x:v>0</x:v>
      </x:c>
      <x:c r="Y296" s="16" t="n">
        <x:v>0</x:v>
      </x:c>
      <x:c r="Z296" s="16" t="n">
        <x:v>0</x:v>
      </x:c>
      <x:c r="AA296" s="16" t="n">
        <x:v>3</x:v>
      </x:c>
      <x:c r="AB296" s="16" t="n">
        <x:v>11</x:v>
      </x:c>
      <x:c r="AC296" s="16" t="n">
        <x:v>0</x:v>
      </x:c>
      <x:c r="AD296" s="21" t="n">
        <x:f>IF(E296="",MEDIAN($E$2:$E$2237),E296)</x:f>
        <x:v>35388</x:v>
      </x:c>
      <x:c r="AE296" s="17" t="n">
        <x:f>2014-B296</x:f>
        <x:v>26</x:v>
      </x:c>
      <x:c r="AF296" s="17" t="n">
        <x:f>F296+G296</x:f>
        <x:v>1</x:v>
      </x:c>
      <x:c r="AG296" s="21" t="n">
        <x:f>SUM(J296:O296)</x:f>
        <x:v>32</x:v>
      </x:c>
      <x:c r="AH296" s="17" t="n">
        <x:f>SUM(Q296:S296)</x:f>
        <x:v>4</x:v>
      </x:c>
      <x:c r="AI296" s="17" t="n">
        <x:f>SUM(U296:Y296)</x:f>
        <x:v>0</x:v>
      </x:c>
      <x:c r="AJ296" s="17" t="str">
        <x:f>IF(AE296&lt;=34,"≤34",IF(AE296&lt;=44,"35–44",IF(AE296&lt;=54,"45–54",IF(AE296&lt;=64,"55–64","65+"))))</x:f>
        <x:v>≤34</x:v>
      </x:c>
      <x:c r="AK296" s="17" t="str">
        <x:f>IF(AG296&gt;=1000,"High Value",IF(AG296&gt;=300,"Mid Value","Low Value"))</x:f>
        <x:v>Low Value</x:v>
      </x:c>
      <x:c r="AL296" s="17" t="str">
        <x:f>IF(AND(AI296&gt;=1,I296&lt;=50),"Priority 1",IF(AND(AG296&gt;=1000,I296&lt;=60),"Priority 2",IF(I296&lt;=30,"Priority 3","Nurture")))</x:f>
        <x:v>Priority 3</x:v>
      </x:c>
    </x:row>
    <x:row r="297">
      <x:c r="A297" s="16" t="n">
        <x:v>9738</x:v>
      </x:c>
      <x:c r="B297" s="16" t="n">
        <x:v>1986</x:v>
      </x:c>
      <x:c r="C297" s="16" t="str">
        <x:v>Master</x:v>
      </x:c>
      <x:c r="D297" s="16" t="str">
        <x:v>Together</x:v>
      </x:c>
      <x:c r="E297" s="16" t="n">
        <x:v>42386</x:v>
      </x:c>
      <x:c r="F297" s="16" t="n">
        <x:v>1</x:v>
      </x:c>
      <x:c r="G297" s="16" t="n">
        <x:v>0</x:v>
      </x:c>
      <x:c r="H297" s="16" t="str">
        <x:v>13-01-2013</x:v>
      </x:c>
      <x:c r="I297" s="16" t="n">
        <x:v>43</x:v>
      </x:c>
      <x:c r="J297" s="16" t="n">
        <x:v>65</x:v>
      </x:c>
      <x:c r="K297" s="16" t="n">
        <x:v>4</x:v>
      </x:c>
      <x:c r="L297" s="16" t="n">
        <x:v>16</x:v>
      </x:c>
      <x:c r="M297" s="16" t="n">
        <x:v>0</x:v>
      </x:c>
      <x:c r="N297" s="16" t="n">
        <x:v>4</x:v>
      </x:c>
      <x:c r="O297" s="16" t="n">
        <x:v>11</x:v>
      </x:c>
      <x:c r="P297" s="16" t="n">
        <x:v>1</x:v>
      </x:c>
      <x:c r="Q297" s="16" t="n">
        <x:v>3</x:v>
      </x:c>
      <x:c r="R297" s="16" t="n">
        <x:v>0</x:v>
      </x:c>
      <x:c r="S297" s="16" t="n">
        <x:v>3</x:v>
      </x:c>
      <x:c r="T297" s="16" t="n">
        <x:v>8</x:v>
      </x:c>
      <x:c r="U297" s="16" t="n">
        <x:v>0</x:v>
      </x:c>
      <x:c r="V297" s="16" t="n">
        <x:v>0</x:v>
      </x:c>
      <x:c r="W297" s="16" t="n">
        <x:v>0</x:v>
      </x:c>
      <x:c r="X297" s="16" t="n">
        <x:v>0</x:v>
      </x:c>
      <x:c r="Y297" s="16" t="n">
        <x:v>0</x:v>
      </x:c>
      <x:c r="Z297" s="16" t="n">
        <x:v>0</x:v>
      </x:c>
      <x:c r="AA297" s="16" t="n">
        <x:v>3</x:v>
      </x:c>
      <x:c r="AB297" s="16" t="n">
        <x:v>11</x:v>
      </x:c>
      <x:c r="AC297" s="16" t="n">
        <x:v>0</x:v>
      </x:c>
      <x:c r="AD297" s="21" t="n">
        <x:f>IF(E297="",MEDIAN($E$2:$E$2237),E297)</x:f>
        <x:v>42386</x:v>
      </x:c>
      <x:c r="AE297" s="17" t="n">
        <x:f>2014-B297</x:f>
        <x:v>28</x:v>
      </x:c>
      <x:c r="AF297" s="17" t="n">
        <x:f>F297+G297</x:f>
        <x:v>1</x:v>
      </x:c>
      <x:c r="AG297" s="21" t="n">
        <x:f>SUM(J297:O297)</x:f>
        <x:v>100</x:v>
      </x:c>
      <x:c r="AH297" s="17" t="n">
        <x:f>SUM(Q297:S297)</x:f>
        <x:v>6</x:v>
      </x:c>
      <x:c r="AI297" s="17" t="n">
        <x:f>SUM(U297:Y297)</x:f>
        <x:v>0</x:v>
      </x:c>
      <x:c r="AJ297" s="17" t="str">
        <x:f>IF(AE297&lt;=34,"≤34",IF(AE297&lt;=44,"35–44",IF(AE297&lt;=54,"45–54",IF(AE297&lt;=64,"55–64","65+"))))</x:f>
        <x:v>≤34</x:v>
      </x:c>
      <x:c r="AK297" s="17" t="str">
        <x:f>IF(AG297&gt;=1000,"High Value",IF(AG297&gt;=300,"Mid Value","Low Value"))</x:f>
        <x:v>Low Value</x:v>
      </x:c>
      <x:c r="AL297" s="17" t="str">
        <x:f>IF(AND(AI297&gt;=1,I297&lt;=50),"Priority 1",IF(AND(AG297&gt;=1000,I297&lt;=60),"Priority 2",IF(I297&lt;=30,"Priority 3","Nurture")))</x:f>
        <x:v>Nurture</x:v>
      </x:c>
    </x:row>
    <x:row r="298">
      <x:c r="A298" s="16" t="n">
        <x:v>7119</x:v>
      </x:c>
      <x:c r="B298" s="16" t="n">
        <x:v>1982</x:v>
      </x:c>
      <x:c r="C298" s="16" t="str">
        <x:v>Graduation</x:v>
      </x:c>
      <x:c r="D298" s="16" t="str">
        <x:v>Single</x:v>
      </x:c>
      <x:c r="E298" s="16" t="n">
        <x:v>68627</x:v>
      </x:c>
      <x:c r="F298" s="16" t="n">
        <x:v>0</x:v>
      </x:c>
      <x:c r="G298" s="16" t="n">
        <x:v>0</x:v>
      </x:c>
      <x:c r="H298" s="16" t="str">
        <x:v>12-01-2013</x:v>
      </x:c>
      <x:c r="I298" s="16" t="n">
        <x:v>45</x:v>
      </x:c>
      <x:c r="J298" s="16" t="n">
        <x:v>395</x:v>
      </x:c>
      <x:c r="K298" s="16" t="n">
        <x:v>15</x:v>
      </x:c>
      <x:c r="L298" s="16" t="n">
        <x:v>263</x:v>
      </x:c>
      <x:c r="M298" s="16" t="n">
        <x:v>60</x:v>
      </x:c>
      <x:c r="N298" s="16" t="n">
        <x:v>54</x:v>
      </x:c>
      <x:c r="O298" s="16" t="n">
        <x:v>38</x:v>
      </x:c>
      <x:c r="P298" s="16" t="n">
        <x:v>1</x:v>
      </x:c>
      <x:c r="Q298" s="16" t="n">
        <x:v>2</x:v>
      </x:c>
      <x:c r="R298" s="16" t="n">
        <x:v>3</x:v>
      </x:c>
      <x:c r="S298" s="16" t="n">
        <x:v>6</x:v>
      </x:c>
      <x:c r="T298" s="16" t="n">
        <x:v>1</x:v>
      </x:c>
      <x:c r="U298" s="16" t="n">
        <x:v>0</x:v>
      </x:c>
      <x:c r="V298" s="16" t="n">
        <x:v>0</x:v>
      </x:c>
      <x:c r="W298" s="16" t="n">
        <x:v>0</x:v>
      </x:c>
      <x:c r="X298" s="16" t="n">
        <x:v>0</x:v>
      </x:c>
      <x:c r="Y298" s="16" t="n">
        <x:v>0</x:v>
      </x:c>
      <x:c r="Z298" s="16" t="n">
        <x:v>0</x:v>
      </x:c>
      <x:c r="AA298" s="16" t="n">
        <x:v>3</x:v>
      </x:c>
      <x:c r="AB298" s="16" t="n">
        <x:v>11</x:v>
      </x:c>
      <x:c r="AC298" s="16" t="n">
        <x:v>0</x:v>
      </x:c>
      <x:c r="AD298" s="21" t="n">
        <x:f>IF(E298="",MEDIAN($E$2:$E$2237),E298)</x:f>
        <x:v>68627</x:v>
      </x:c>
      <x:c r="AE298" s="17" t="n">
        <x:f>2014-B298</x:f>
        <x:v>32</x:v>
      </x:c>
      <x:c r="AF298" s="17" t="n">
        <x:f>F298+G298</x:f>
        <x:v>0</x:v>
      </x:c>
      <x:c r="AG298" s="21" t="n">
        <x:f>SUM(J298:O298)</x:f>
        <x:v>825</x:v>
      </x:c>
      <x:c r="AH298" s="17" t="n">
        <x:f>SUM(Q298:S298)</x:f>
        <x:v>11</x:v>
      </x:c>
      <x:c r="AI298" s="17" t="n">
        <x:f>SUM(U298:Y298)</x:f>
        <x:v>0</x:v>
      </x:c>
      <x:c r="AJ298" s="17" t="str">
        <x:f>IF(AE298&lt;=34,"≤34",IF(AE298&lt;=44,"35–44",IF(AE298&lt;=54,"45–54",IF(AE298&lt;=64,"55–64","65+"))))</x:f>
        <x:v>≤34</x:v>
      </x:c>
      <x:c r="AK298" s="17" t="str">
        <x:f>IF(AG298&gt;=1000,"High Value",IF(AG298&gt;=300,"Mid Value","Low Value"))</x:f>
        <x:v>Mid Value</x:v>
      </x:c>
      <x:c r="AL298" s="17" t="str">
        <x:f>IF(AND(AI298&gt;=1,I298&lt;=50),"Priority 1",IF(AND(AG298&gt;=1000,I298&lt;=60),"Priority 2",IF(I298&lt;=30,"Priority 3","Nurture")))</x:f>
        <x:v>Nurture</x:v>
      </x:c>
    </x:row>
    <x:row r="299">
      <x:c r="A299" s="16" t="n">
        <x:v>3924</x:v>
      </x:c>
      <x:c r="B299" s="16" t="n">
        <x:v>1965</x:v>
      </x:c>
      <x:c r="C299" s="16" t="str">
        <x:v>PhD</x:v>
      </x:c>
      <x:c r="D299" s="16" t="str">
        <x:v>Divorced</x:v>
      </x:c>
      <x:c r="E299" s="16" t="n">
        <x:v>57912</x:v>
      </x:c>
      <x:c r="F299" s="16" t="n">
        <x:v>0</x:v>
      </x:c>
      <x:c r="G299" s="16" t="n">
        <x:v>1</x:v>
      </x:c>
      <x:c r="H299" s="16" t="str">
        <x:v>17-03-2014</x:v>
      </x:c>
      <x:c r="I299" s="16" t="n">
        <x:v>34</x:v>
      </x:c>
      <x:c r="J299" s="16" t="n">
        <x:v>801</x:v>
      </x:c>
      <x:c r="K299" s="16" t="n">
        <x:v>0</x:v>
      </x:c>
      <x:c r="L299" s="16" t="n">
        <x:v>80</x:v>
      </x:c>
      <x:c r="M299" s="16" t="n">
        <x:v>0</x:v>
      </x:c>
      <x:c r="N299" s="16" t="n">
        <x:v>0</x:v>
      </x:c>
      <x:c r="O299" s="16" t="n">
        <x:v>35</x:v>
      </x:c>
      <x:c r="P299" s="16" t="n">
        <x:v>5</x:v>
      </x:c>
      <x:c r="Q299" s="16" t="n">
        <x:v>8</x:v>
      </x:c>
      <x:c r="R299" s="16" t="n">
        <x:v>3</x:v>
      </x:c>
      <x:c r="S299" s="16" t="n">
        <x:v>12</x:v>
      </x:c>
      <x:c r="T299" s="16" t="n">
        <x:v>5</x:v>
      </x:c>
      <x:c r="U299" s="16" t="n">
        <x:v>0</x:v>
      </x:c>
      <x:c r="V299" s="16" t="n">
        <x:v>1</x:v>
      </x:c>
      <x:c r="W299" s="16" t="n">
        <x:v>0</x:v>
      </x:c>
      <x:c r="X299" s="16" t="n">
        <x:v>0</x:v>
      </x:c>
      <x:c r="Y299" s="16" t="n">
        <x:v>0</x:v>
      </x:c>
      <x:c r="Z299" s="16" t="n">
        <x:v>0</x:v>
      </x:c>
      <x:c r="AA299" s="16" t="n">
        <x:v>3</x:v>
      </x:c>
      <x:c r="AB299" s="16" t="n">
        <x:v>11</x:v>
      </x:c>
      <x:c r="AC299" s="16" t="n">
        <x:v>0</x:v>
      </x:c>
      <x:c r="AD299" s="21" t="n">
        <x:f>IF(E299="",MEDIAN($E$2:$E$2237),E299)</x:f>
        <x:v>57912</x:v>
      </x:c>
      <x:c r="AE299" s="17" t="n">
        <x:f>2014-B299</x:f>
        <x:v>49</x:v>
      </x:c>
      <x:c r="AF299" s="17" t="n">
        <x:f>F299+G299</x:f>
        <x:v>1</x:v>
      </x:c>
      <x:c r="AG299" s="21" t="n">
        <x:f>SUM(J299:O299)</x:f>
        <x:v>916</x:v>
      </x:c>
      <x:c r="AH299" s="17" t="n">
        <x:f>SUM(Q299:S299)</x:f>
        <x:v>23</x:v>
      </x:c>
      <x:c r="AI299" s="17" t="n">
        <x:f>SUM(U299:Y299)</x:f>
        <x:v>1</x:v>
      </x:c>
      <x:c r="AJ299" s="17" t="str">
        <x:f>IF(AE299&lt;=34,"≤34",IF(AE299&lt;=44,"35–44",IF(AE299&lt;=54,"45–54",IF(AE299&lt;=64,"55–64","65+"))))</x:f>
        <x:v>45–54</x:v>
      </x:c>
      <x:c r="AK299" s="17" t="str">
        <x:f>IF(AG299&gt;=1000,"High Value",IF(AG299&gt;=300,"Mid Value","Low Value"))</x:f>
        <x:v>Mid Value</x:v>
      </x:c>
      <x:c r="AL299" s="17" t="str">
        <x:f>IF(AND(AI299&gt;=1,I299&lt;=50),"Priority 1",IF(AND(AG299&gt;=1000,I299&lt;=60),"Priority 2",IF(I299&lt;=30,"Priority 3","Nurture")))</x:f>
        <x:v>Priority 1</x:v>
      </x:c>
    </x:row>
    <x:row r="300">
      <x:c r="A300" s="16" t="n">
        <x:v>5827</x:v>
      </x:c>
      <x:c r="B300" s="16" t="n">
        <x:v>1958</x:v>
      </x:c>
      <x:c r="C300" s="16" t="str">
        <x:v>Graduation</x:v>
      </x:c>
      <x:c r="D300" s="16" t="str">
        <x:v>Divorced</x:v>
      </x:c>
      <x:c r="E300" s="16" t="n">
        <x:v>35246</x:v>
      </x:c>
      <x:c r="F300" s="16" t="n">
        <x:v>1</x:v>
      </x:c>
      <x:c r="G300" s="16" t="n">
        <x:v>1</x:v>
      </x:c>
      <x:c r="H300" s="16" t="str">
        <x:v>16-04-2014</x:v>
      </x:c>
      <x:c r="I300" s="16" t="n">
        <x:v>53</x:v>
      </x:c>
      <x:c r="J300" s="16" t="n">
        <x:v>36</x:v>
      </x:c>
      <x:c r="K300" s="16" t="n">
        <x:v>0</x:v>
      </x:c>
      <x:c r="L300" s="16" t="n">
        <x:v>12</x:v>
      </x:c>
      <x:c r="M300" s="16" t="n">
        <x:v>2</x:v>
      </x:c>
      <x:c r="N300" s="16" t="n">
        <x:v>2</x:v>
      </x:c>
      <x:c r="O300" s="16" t="n">
        <x:v>10</x:v>
      </x:c>
      <x:c r="P300" s="16" t="n">
        <x:v>4</x:v>
      </x:c>
      <x:c r="Q300" s="16" t="n">
        <x:v>3</x:v>
      </x:c>
      <x:c r="R300" s="16" t="n">
        <x:v>1</x:v>
      </x:c>
      <x:c r="S300" s="16" t="n">
        <x:v>3</x:v>
      </x:c>
      <x:c r="T300" s="16" t="n">
        <x:v>5</x:v>
      </x:c>
      <x:c r="U300" s="16" t="n">
        <x:v>0</x:v>
      </x:c>
      <x:c r="V300" s="16" t="n">
        <x:v>0</x:v>
      </x:c>
      <x:c r="W300" s="16" t="n">
        <x:v>0</x:v>
      </x:c>
      <x:c r="X300" s="16" t="n">
        <x:v>0</x:v>
      </x:c>
      <x:c r="Y300" s="16" t="n">
        <x:v>0</x:v>
      </x:c>
      <x:c r="Z300" s="16" t="n">
        <x:v>0</x:v>
      </x:c>
      <x:c r="AA300" s="16" t="n">
        <x:v>3</x:v>
      </x:c>
      <x:c r="AB300" s="16" t="n">
        <x:v>11</x:v>
      </x:c>
      <x:c r="AC300" s="16" t="n">
        <x:v>0</x:v>
      </x:c>
      <x:c r="AD300" s="21" t="n">
        <x:f>IF(E300="",MEDIAN($E$2:$E$2237),E300)</x:f>
        <x:v>35246</x:v>
      </x:c>
      <x:c r="AE300" s="17" t="n">
        <x:f>2014-B300</x:f>
        <x:v>56</x:v>
      </x:c>
      <x:c r="AF300" s="17" t="n">
        <x:f>F300+G300</x:f>
        <x:v>2</x:v>
      </x:c>
      <x:c r="AG300" s="21" t="n">
        <x:f>SUM(J300:O300)</x:f>
        <x:v>62</x:v>
      </x:c>
      <x:c r="AH300" s="17" t="n">
        <x:f>SUM(Q300:S300)</x:f>
        <x:v>7</x:v>
      </x:c>
      <x:c r="AI300" s="17" t="n">
        <x:f>SUM(U300:Y300)</x:f>
        <x:v>0</x:v>
      </x:c>
      <x:c r="AJ300" s="17" t="str">
        <x:f>IF(AE300&lt;=34,"≤34",IF(AE300&lt;=44,"35–44",IF(AE300&lt;=54,"45–54",IF(AE300&lt;=64,"55–64","65+"))))</x:f>
        <x:v>55–64</x:v>
      </x:c>
      <x:c r="AK300" s="17" t="str">
        <x:f>IF(AG300&gt;=1000,"High Value",IF(AG300&gt;=300,"Mid Value","Low Value"))</x:f>
        <x:v>Low Value</x:v>
      </x:c>
      <x:c r="AL300" s="17" t="str">
        <x:f>IF(AND(AI300&gt;=1,I300&lt;=50),"Priority 1",IF(AND(AG300&gt;=1000,I300&lt;=60),"Priority 2",IF(I300&lt;=30,"Priority 3","Nurture")))</x:f>
        <x:v>Nurture</x:v>
      </x:c>
    </x:row>
    <x:row r="301">
      <x:c r="A301" s="16" t="n">
        <x:v>5596</x:v>
      </x:c>
      <x:c r="B301" s="16" t="n">
        <x:v>1956</x:v>
      </x:c>
      <x:c r="C301" s="16" t="str">
        <x:v>2n Cycle</x:v>
      </x:c>
      <x:c r="D301" s="16" t="str">
        <x:v>Together</x:v>
      </x:c>
      <x:c r="E301" s="16" t="n">
        <x:v>58821</x:v>
      </x:c>
      <x:c r="F301" s="16" t="n">
        <x:v>0</x:v>
      </x:c>
      <x:c r="G301" s="16" t="n">
        <x:v>1</x:v>
      </x:c>
      <x:c r="H301" s="16" t="str">
        <x:v>12-10-2013</x:v>
      </x:c>
      <x:c r="I301" s="16" t="n">
        <x:v>44</x:v>
      </x:c>
      <x:c r="J301" s="16" t="n">
        <x:v>513</x:v>
      </x:c>
      <x:c r="K301" s="16" t="n">
        <x:v>14</x:v>
      </x:c>
      <x:c r="L301" s="16" t="n">
        <x:v>154</x:v>
      </x:c>
      <x:c r="M301" s="16" t="n">
        <x:v>19</x:v>
      </x:c>
      <x:c r="N301" s="16" t="n">
        <x:v>0</x:v>
      </x:c>
      <x:c r="O301" s="16" t="n">
        <x:v>28</x:v>
      </x:c>
      <x:c r="P301" s="16" t="n">
        <x:v>1</x:v>
      </x:c>
      <x:c r="Q301" s="16" t="n">
        <x:v>9</x:v>
      </x:c>
      <x:c r="R301" s="16" t="n">
        <x:v>2</x:v>
      </x:c>
      <x:c r="S301" s="16" t="n">
        <x:v>9</x:v>
      </x:c>
      <x:c r="T301" s="16" t="n">
        <x:v>6</x:v>
      </x:c>
      <x:c r="U301" s="16" t="n">
        <x:v>0</x:v>
      </x:c>
      <x:c r="V301" s="16" t="n">
        <x:v>0</x:v>
      </x:c>
      <x:c r="W301" s="16" t="n">
        <x:v>0</x:v>
      </x:c>
      <x:c r="X301" s="16" t="n">
        <x:v>0</x:v>
      </x:c>
      <x:c r="Y301" s="16" t="n">
        <x:v>0</x:v>
      </x:c>
      <x:c r="Z301" s="16" t="n">
        <x:v>0</x:v>
      </x:c>
      <x:c r="AA301" s="16" t="n">
        <x:v>3</x:v>
      </x:c>
      <x:c r="AB301" s="16" t="n">
        <x:v>11</x:v>
      </x:c>
      <x:c r="AC301" s="16" t="n">
        <x:v>0</x:v>
      </x:c>
      <x:c r="AD301" s="21" t="n">
        <x:f>IF(E301="",MEDIAN($E$2:$E$2237),E301)</x:f>
        <x:v>58821</x:v>
      </x:c>
      <x:c r="AE301" s="17" t="n">
        <x:f>2014-B301</x:f>
        <x:v>58</x:v>
      </x:c>
      <x:c r="AF301" s="17" t="n">
        <x:f>F301+G301</x:f>
        <x:v>1</x:v>
      </x:c>
      <x:c r="AG301" s="21" t="n">
        <x:f>SUM(J301:O301)</x:f>
        <x:v>728</x:v>
      </x:c>
      <x:c r="AH301" s="17" t="n">
        <x:f>SUM(Q301:S301)</x:f>
        <x:v>20</x:v>
      </x:c>
      <x:c r="AI301" s="17" t="n">
        <x:f>SUM(U301:Y301)</x:f>
        <x:v>0</x:v>
      </x:c>
      <x:c r="AJ301" s="17" t="str">
        <x:f>IF(AE301&lt;=34,"≤34",IF(AE301&lt;=44,"35–44",IF(AE301&lt;=54,"45–54",IF(AE301&lt;=64,"55–64","65+"))))</x:f>
        <x:v>55–64</x:v>
      </x:c>
      <x:c r="AK301" s="17" t="str">
        <x:f>IF(AG301&gt;=1000,"High Value",IF(AG301&gt;=300,"Mid Value","Low Value"))</x:f>
        <x:v>Mid Value</x:v>
      </x:c>
      <x:c r="AL301" s="17" t="str">
        <x:f>IF(AND(AI301&gt;=1,I301&lt;=50),"Priority 1",IF(AND(AG301&gt;=1000,I301&lt;=60),"Priority 2",IF(I301&lt;=30,"Priority 3","Nurture")))</x:f>
        <x:v>Nurture</x:v>
      </x:c>
    </x:row>
    <x:row r="302">
      <x:c r="A302" s="16" t="n">
        <x:v>10812</x:v>
      </x:c>
      <x:c r="B302" s="16" t="n">
        <x:v>1978</x:v>
      </x:c>
      <x:c r="C302" s="16" t="str">
        <x:v>PhD</x:v>
      </x:c>
      <x:c r="D302" s="16" t="str">
        <x:v>Married</x:v>
      </x:c>
      <x:c r="E302" s="16" t="n">
        <x:v>46377</x:v>
      </x:c>
      <x:c r="F302" s="16" t="n">
        <x:v>1</x:v>
      </x:c>
      <x:c r="G302" s="16" t="n">
        <x:v>0</x:v>
      </x:c>
      <x:c r="H302" s="16" t="str">
        <x:v>01-03-2014</x:v>
      </x:c>
      <x:c r="I302" s="16" t="n">
        <x:v>89</x:v>
      </x:c>
      <x:c r="J302" s="16" t="n">
        <x:v>37</x:v>
      </x:c>
      <x:c r="K302" s="16" t="n">
        <x:v>0</x:v>
      </x:c>
      <x:c r="L302" s="16" t="n">
        <x:v>46</x:v>
      </x:c>
      <x:c r="M302" s="16" t="n">
        <x:v>4</x:v>
      </x:c>
      <x:c r="N302" s="16" t="n">
        <x:v>3</x:v>
      </x:c>
      <x:c r="O302" s="16" t="n">
        <x:v>0</x:v>
      </x:c>
      <x:c r="P302" s="16" t="n">
        <x:v>1</x:v>
      </x:c>
      <x:c r="Q302" s="16" t="n">
        <x:v>2</x:v>
      </x:c>
      <x:c r="R302" s="16" t="n">
        <x:v>1</x:v>
      </x:c>
      <x:c r="S302" s="16" t="n">
        <x:v>3</x:v>
      </x:c>
      <x:c r="T302" s="16" t="n">
        <x:v>4</x:v>
      </x:c>
      <x:c r="U302" s="16" t="n">
        <x:v>0</x:v>
      </x:c>
      <x:c r="V302" s="16" t="n">
        <x:v>0</x:v>
      </x:c>
      <x:c r="W302" s="16" t="n">
        <x:v>0</x:v>
      </x:c>
      <x:c r="X302" s="16" t="n">
        <x:v>0</x:v>
      </x:c>
      <x:c r="Y302" s="16" t="n">
        <x:v>0</x:v>
      </x:c>
      <x:c r="Z302" s="16" t="n">
        <x:v>0</x:v>
      </x:c>
      <x:c r="AA302" s="16" t="n">
        <x:v>3</x:v>
      </x:c>
      <x:c r="AB302" s="16" t="n">
        <x:v>11</x:v>
      </x:c>
      <x:c r="AC302" s="16" t="n">
        <x:v>0</x:v>
      </x:c>
      <x:c r="AD302" s="21" t="n">
        <x:f>IF(E302="",MEDIAN($E$2:$E$2237),E302)</x:f>
        <x:v>46377</x:v>
      </x:c>
      <x:c r="AE302" s="17" t="n">
        <x:f>2014-B302</x:f>
        <x:v>36</x:v>
      </x:c>
      <x:c r="AF302" s="17" t="n">
        <x:f>F302+G302</x:f>
        <x:v>1</x:v>
      </x:c>
      <x:c r="AG302" s="21" t="n">
        <x:f>SUM(J302:O302)</x:f>
        <x:v>90</x:v>
      </x:c>
      <x:c r="AH302" s="17" t="n">
        <x:f>SUM(Q302:S302)</x:f>
        <x:v>6</x:v>
      </x:c>
      <x:c r="AI302" s="17" t="n">
        <x:f>SUM(U302:Y302)</x:f>
        <x:v>0</x:v>
      </x:c>
      <x:c r="AJ302" s="17" t="str">
        <x:f>IF(AE302&lt;=34,"≤34",IF(AE302&lt;=44,"35–44",IF(AE302&lt;=54,"45–54",IF(AE302&lt;=64,"55–64","65+"))))</x:f>
        <x:v>35–44</x:v>
      </x:c>
      <x:c r="AK302" s="17" t="str">
        <x:f>IF(AG302&gt;=1000,"High Value",IF(AG302&gt;=300,"Mid Value","Low Value"))</x:f>
        <x:v>Low Value</x:v>
      </x:c>
      <x:c r="AL302" s="17" t="str">
        <x:f>IF(AND(AI302&gt;=1,I302&lt;=50),"Priority 1",IF(AND(AG302&gt;=1000,I302&lt;=60),"Priority 2",IF(I302&lt;=30,"Priority 3","Nurture")))</x:f>
        <x:v>Nurture</x:v>
      </x:c>
    </x:row>
    <x:row r="303">
      <x:c r="A303" s="16" t="n">
        <x:v>1717</x:v>
      </x:c>
      <x:c r="B303" s="16" t="n">
        <x:v>1988</x:v>
      </x:c>
      <x:c r="C303" s="16" t="str">
        <x:v>Graduation</x:v>
      </x:c>
      <x:c r="D303" s="16" t="str">
        <x:v>Single</x:v>
      </x:c>
      <x:c r="E303" s="16" t="n">
        <x:v>39747</x:v>
      </x:c>
      <x:c r="F303" s="16" t="n">
        <x:v>1</x:v>
      </x:c>
      <x:c r="G303" s="16" t="n">
        <x:v>0</x:v>
      </x:c>
      <x:c r="H303" s="16" t="str">
        <x:v>13-04-2014</x:v>
      </x:c>
      <x:c r="I303" s="16" t="n">
        <x:v>43</x:v>
      </x:c>
      <x:c r="J303" s="16" t="n">
        <x:v>80</x:v>
      </x:c>
      <x:c r="K303" s="16" t="n">
        <x:v>15</x:v>
      </x:c>
      <x:c r="L303" s="16" t="n">
        <x:v>93</x:v>
      </x:c>
      <x:c r="M303" s="16" t="n">
        <x:v>20</x:v>
      </x:c>
      <x:c r="N303" s="16" t="n">
        <x:v>13</x:v>
      </x:c>
      <x:c r="O303" s="16" t="n">
        <x:v>52</x:v>
      </x:c>
      <x:c r="P303" s="16" t="n">
        <x:v>3</x:v>
      </x:c>
      <x:c r="Q303" s="16" t="n">
        <x:v>5</x:v>
      </x:c>
      <x:c r="R303" s="16" t="n">
        <x:v>1</x:v>
      </x:c>
      <x:c r="S303" s="16" t="n">
        <x:v>4</x:v>
      </x:c>
      <x:c r="T303" s="16" t="n">
        <x:v>8</x:v>
      </x:c>
      <x:c r="U303" s="16" t="n">
        <x:v>0</x:v>
      </x:c>
      <x:c r="V303" s="16" t="n">
        <x:v>0</x:v>
      </x:c>
      <x:c r="W303" s="16" t="n">
        <x:v>0</x:v>
      </x:c>
      <x:c r="X303" s="16" t="n">
        <x:v>0</x:v>
      </x:c>
      <x:c r="Y303" s="16" t="n">
        <x:v>0</x:v>
      </x:c>
      <x:c r="Z303" s="16" t="n">
        <x:v>0</x:v>
      </x:c>
      <x:c r="AA303" s="16" t="n">
        <x:v>3</x:v>
      </x:c>
      <x:c r="AB303" s="16" t="n">
        <x:v>11</x:v>
      </x:c>
      <x:c r="AC303" s="16" t="n">
        <x:v>0</x:v>
      </x:c>
      <x:c r="AD303" s="21" t="n">
        <x:f>IF(E303="",MEDIAN($E$2:$E$2237),E303)</x:f>
        <x:v>39747</x:v>
      </x:c>
      <x:c r="AE303" s="17" t="n">
        <x:f>2014-B303</x:f>
        <x:v>26</x:v>
      </x:c>
      <x:c r="AF303" s="17" t="n">
        <x:f>F303+G303</x:f>
        <x:v>1</x:v>
      </x:c>
      <x:c r="AG303" s="21" t="n">
        <x:f>SUM(J303:O303)</x:f>
        <x:v>273</x:v>
      </x:c>
      <x:c r="AH303" s="17" t="n">
        <x:f>SUM(Q303:S303)</x:f>
        <x:v>10</x:v>
      </x:c>
      <x:c r="AI303" s="17" t="n">
        <x:f>SUM(U303:Y303)</x:f>
        <x:v>0</x:v>
      </x:c>
      <x:c r="AJ303" s="17" t="str">
        <x:f>IF(AE303&lt;=34,"≤34",IF(AE303&lt;=44,"35–44",IF(AE303&lt;=54,"45–54",IF(AE303&lt;=64,"55–64","65+"))))</x:f>
        <x:v>≤34</x:v>
      </x:c>
      <x:c r="AK303" s="17" t="str">
        <x:f>IF(AG303&gt;=1000,"High Value",IF(AG303&gt;=300,"Mid Value","Low Value"))</x:f>
        <x:v>Low Value</x:v>
      </x:c>
      <x:c r="AL303" s="17" t="str">
        <x:f>IF(AND(AI303&gt;=1,I303&lt;=50),"Priority 1",IF(AND(AG303&gt;=1000,I303&lt;=60),"Priority 2",IF(I303&lt;=30,"Priority 3","Nurture")))</x:f>
        <x:v>Nurture</x:v>
      </x:c>
    </x:row>
    <x:row r="304">
      <x:c r="A304" s="16" t="n">
        <x:v>9491</x:v>
      </x:c>
      <x:c r="B304" s="16" t="n">
        <x:v>1984</x:v>
      </x:c>
      <x:c r="C304" s="16" t="str">
        <x:v>Graduation</x:v>
      </x:c>
      <x:c r="D304" s="16" t="str">
        <x:v>Together</x:v>
      </x:c>
      <x:c r="E304" s="16" t="n">
        <x:v>23976</x:v>
      </x:c>
      <x:c r="F304" s="16" t="n">
        <x:v>1</x:v>
      </x:c>
      <x:c r="G304" s="16" t="n">
        <x:v>0</x:v>
      </x:c>
      <x:c r="H304" s="16" t="str">
        <x:v>27-12-2013</x:v>
      </x:c>
      <x:c r="I304" s="16" t="n">
        <x:v>68</x:v>
      </x:c>
      <x:c r="J304" s="16" t="n">
        <x:v>14</x:v>
      </x:c>
      <x:c r="K304" s="16" t="n">
        <x:v>1</x:v>
      </x:c>
      <x:c r="L304" s="16" t="n">
        <x:v>21</x:v>
      </x:c>
      <x:c r="M304" s="16" t="n">
        <x:v>2</x:v>
      </x:c>
      <x:c r="N304" s="16" t="n">
        <x:v>3</x:v>
      </x:c>
      <x:c r="O304" s="16" t="n">
        <x:v>25</x:v>
      </x:c>
      <x:c r="P304" s="16" t="n">
        <x:v>3</x:v>
      </x:c>
      <x:c r="Q304" s="16" t="n">
        <x:v>3</x:v>
      </x:c>
      <x:c r="R304" s="16" t="n">
        <x:v>1</x:v>
      </x:c>
      <x:c r="S304" s="16" t="n">
        <x:v>3</x:v>
      </x:c>
      <x:c r="T304" s="16" t="n">
        <x:v>7</x:v>
      </x:c>
      <x:c r="U304" s="16" t="n">
        <x:v>0</x:v>
      </x:c>
      <x:c r="V304" s="16" t="n">
        <x:v>0</x:v>
      </x:c>
      <x:c r="W304" s="16" t="n">
        <x:v>0</x:v>
      </x:c>
      <x:c r="X304" s="16" t="n">
        <x:v>0</x:v>
      </x:c>
      <x:c r="Y304" s="16" t="n">
        <x:v>0</x:v>
      </x:c>
      <x:c r="Z304" s="16" t="n">
        <x:v>0</x:v>
      </x:c>
      <x:c r="AA304" s="16" t="n">
        <x:v>3</x:v>
      </x:c>
      <x:c r="AB304" s="16" t="n">
        <x:v>11</x:v>
      </x:c>
      <x:c r="AC304" s="16" t="n">
        <x:v>0</x:v>
      </x:c>
      <x:c r="AD304" s="21" t="n">
        <x:f>IF(E304="",MEDIAN($E$2:$E$2237),E304)</x:f>
        <x:v>23976</x:v>
      </x:c>
      <x:c r="AE304" s="17" t="n">
        <x:f>2014-B304</x:f>
        <x:v>30</x:v>
      </x:c>
      <x:c r="AF304" s="17" t="n">
        <x:f>F304+G304</x:f>
        <x:v>1</x:v>
      </x:c>
      <x:c r="AG304" s="21" t="n">
        <x:f>SUM(J304:O304)</x:f>
        <x:v>66</x:v>
      </x:c>
      <x:c r="AH304" s="17" t="n">
        <x:f>SUM(Q304:S304)</x:f>
        <x:v>7</x:v>
      </x:c>
      <x:c r="AI304" s="17" t="n">
        <x:f>SUM(U304:Y304)</x:f>
        <x:v>0</x:v>
      </x:c>
      <x:c r="AJ304" s="17" t="str">
        <x:f>IF(AE304&lt;=34,"≤34",IF(AE304&lt;=44,"35–44",IF(AE304&lt;=54,"45–54",IF(AE304&lt;=64,"55–64","65+"))))</x:f>
        <x:v>≤34</x:v>
      </x:c>
      <x:c r="AK304" s="17" t="str">
        <x:f>IF(AG304&gt;=1000,"High Value",IF(AG304&gt;=300,"Mid Value","Low Value"))</x:f>
        <x:v>Low Value</x:v>
      </x:c>
      <x:c r="AL304" s="17" t="str">
        <x:f>IF(AND(AI304&gt;=1,I304&lt;=50),"Priority 1",IF(AND(AG304&gt;=1000,I304&lt;=60),"Priority 2",IF(I304&lt;=30,"Priority 3","Nurture")))</x:f>
        <x:v>Nurture</x:v>
      </x:c>
    </x:row>
    <x:row r="305">
      <x:c r="A305" s="16" t="n">
        <x:v>9274</x:v>
      </x:c>
      <x:c r="B305" s="16" t="n">
        <x:v>1961</x:v>
      </x:c>
      <x:c r="C305" s="16" t="str">
        <x:v>Master</x:v>
      </x:c>
      <x:c r="D305" s="16" t="str">
        <x:v>Married</x:v>
      </x:c>
      <x:c r="E305" s="16" t="n">
        <x:v>80950</x:v>
      </x:c>
      <x:c r="F305" s="16" t="n">
        <x:v>0</x:v>
      </x:c>
      <x:c r="G305" s="16" t="n">
        <x:v>0</x:v>
      </x:c>
      <x:c r="H305" s="16" t="str">
        <x:v>28-03-2013</x:v>
      </x:c>
      <x:c r="I305" s="16" t="n">
        <x:v>44</x:v>
      </x:c>
      <x:c r="J305" s="16" t="n">
        <x:v>525</x:v>
      </x:c>
      <x:c r="K305" s="16" t="n">
        <x:v>147</x:v>
      </x:c>
      <x:c r="L305" s="16" t="n">
        <x:v>112</x:v>
      </x:c>
      <x:c r="M305" s="16" t="n">
        <x:v>219</x:v>
      </x:c>
      <x:c r="N305" s="16" t="n">
        <x:v>147</x:v>
      </x:c>
      <x:c r="O305" s="16" t="n">
        <x:v>63</x:v>
      </x:c>
      <x:c r="P305" s="16" t="n">
        <x:v>1</x:v>
      </x:c>
      <x:c r="Q305" s="16" t="n">
        <x:v>6</x:v>
      </x:c>
      <x:c r="R305" s="16" t="n">
        <x:v>7</x:v>
      </x:c>
      <x:c r="S305" s="16" t="n">
        <x:v>9</x:v>
      </x:c>
      <x:c r="T305" s="16" t="n">
        <x:v>2</x:v>
      </x:c>
      <x:c r="U305" s="16" t="n">
        <x:v>0</x:v>
      </x:c>
      <x:c r="V305" s="16" t="n">
        <x:v>0</x:v>
      </x:c>
      <x:c r="W305" s="16" t="n">
        <x:v>0</x:v>
      </x:c>
      <x:c r="X305" s="16" t="n">
        <x:v>1</x:v>
      </x:c>
      <x:c r="Y305" s="16" t="n">
        <x:v>0</x:v>
      </x:c>
      <x:c r="Z305" s="16" t="n">
        <x:v>0</x:v>
      </x:c>
      <x:c r="AA305" s="16" t="n">
        <x:v>3</x:v>
      </x:c>
      <x:c r="AB305" s="16" t="n">
        <x:v>11</x:v>
      </x:c>
      <x:c r="AC305" s="16" t="n">
        <x:v>0</x:v>
      </x:c>
      <x:c r="AD305" s="21" t="n">
        <x:f>IF(E305="",MEDIAN($E$2:$E$2237),E305)</x:f>
        <x:v>80950</x:v>
      </x:c>
      <x:c r="AE305" s="17" t="n">
        <x:f>2014-B305</x:f>
        <x:v>53</x:v>
      </x:c>
      <x:c r="AF305" s="17" t="n">
        <x:f>F305+G305</x:f>
        <x:v>0</x:v>
      </x:c>
      <x:c r="AG305" s="21" t="n">
        <x:f>SUM(J305:O305)</x:f>
        <x:v>1213</x:v>
      </x:c>
      <x:c r="AH305" s="17" t="n">
        <x:f>SUM(Q305:S305)</x:f>
        <x:v>22</x:v>
      </x:c>
      <x:c r="AI305" s="17" t="n">
        <x:f>SUM(U305:Y305)</x:f>
        <x:v>1</x:v>
      </x:c>
      <x:c r="AJ305" s="17" t="str">
        <x:f>IF(AE305&lt;=34,"≤34",IF(AE305&lt;=44,"35–44",IF(AE305&lt;=54,"45–54",IF(AE305&lt;=64,"55–64","65+"))))</x:f>
        <x:v>45–54</x:v>
      </x:c>
      <x:c r="AK305" s="17" t="str">
        <x:f>IF(AG305&gt;=1000,"High Value",IF(AG305&gt;=300,"Mid Value","Low Value"))</x:f>
        <x:v>High Value</x:v>
      </x:c>
      <x:c r="AL305" s="17" t="str">
        <x:f>IF(AND(AI305&gt;=1,I305&lt;=50),"Priority 1",IF(AND(AG305&gt;=1000,I305&lt;=60),"Priority 2",IF(I305&lt;=30,"Priority 3","Nurture")))</x:f>
        <x:v>Priority 1</x:v>
      </x:c>
    </x:row>
    <x:row r="306">
      <x:c r="A306" s="16" t="n">
        <x:v>6609</x:v>
      </x:c>
      <x:c r="B306" s="16" t="n">
        <x:v>1966</x:v>
      </x:c>
      <x:c r="C306" s="16" t="str">
        <x:v>Graduation</x:v>
      </x:c>
      <x:c r="D306" s="16" t="str">
        <x:v>Widow</x:v>
      </x:c>
      <x:c r="E306" s="16" t="n">
        <x:v>27038</x:v>
      </x:c>
      <x:c r="F306" s="16" t="n">
        <x:v>0</x:v>
      </x:c>
      <x:c r="G306" s="16" t="n">
        <x:v>0</x:v>
      </x:c>
      <x:c r="H306" s="16" t="str">
        <x:v>18-09-2012</x:v>
      </x:c>
      <x:c r="I306" s="16" t="n">
        <x:v>64</x:v>
      </x:c>
      <x:c r="J306" s="16" t="n">
        <x:v>1</x:v>
      </x:c>
      <x:c r="K306" s="16" t="n">
        <x:v>26</x:v>
      </x:c>
      <x:c r="L306" s="16" t="n">
        <x:v>25</x:v>
      </x:c>
      <x:c r="M306" s="16" t="n">
        <x:v>17</x:v>
      </x:c>
      <x:c r="N306" s="16" t="n">
        <x:v>23</x:v>
      </x:c>
      <x:c r="O306" s="16" t="n">
        <x:v>15</x:v>
      </x:c>
      <x:c r="P306" s="16" t="n">
        <x:v>1</x:v>
      </x:c>
      <x:c r="Q306" s="16" t="n">
        <x:v>3</x:v>
      </x:c>
      <x:c r="R306" s="16" t="n">
        <x:v>0</x:v>
      </x:c>
      <x:c r="S306" s="16" t="n">
        <x:v>3</x:v>
      </x:c>
      <x:c r="T306" s="16" t="n">
        <x:v>9</x:v>
      </x:c>
      <x:c r="U306" s="16" t="n">
        <x:v>0</x:v>
      </x:c>
      <x:c r="V306" s="16" t="n">
        <x:v>0</x:v>
      </x:c>
      <x:c r="W306" s="16" t="n">
        <x:v>0</x:v>
      </x:c>
      <x:c r="X306" s="16" t="n">
        <x:v>0</x:v>
      </x:c>
      <x:c r="Y306" s="16" t="n">
        <x:v>0</x:v>
      </x:c>
      <x:c r="Z306" s="16" t="n">
        <x:v>0</x:v>
      </x:c>
      <x:c r="AA306" s="16" t="n">
        <x:v>3</x:v>
      </x:c>
      <x:c r="AB306" s="16" t="n">
        <x:v>11</x:v>
      </x:c>
      <x:c r="AC306" s="16" t="n">
        <x:v>1</x:v>
      </x:c>
      <x:c r="AD306" s="21" t="n">
        <x:f>IF(E306="",MEDIAN($E$2:$E$2237),E306)</x:f>
        <x:v>27038</x:v>
      </x:c>
      <x:c r="AE306" s="17" t="n">
        <x:f>2014-B306</x:f>
        <x:v>48</x:v>
      </x:c>
      <x:c r="AF306" s="17" t="n">
        <x:f>F306+G306</x:f>
        <x:v>0</x:v>
      </x:c>
      <x:c r="AG306" s="21" t="n">
        <x:f>SUM(J306:O306)</x:f>
        <x:v>107</x:v>
      </x:c>
      <x:c r="AH306" s="17" t="n">
        <x:f>SUM(Q306:S306)</x:f>
        <x:v>6</x:v>
      </x:c>
      <x:c r="AI306" s="17" t="n">
        <x:f>SUM(U306:Y306)</x:f>
        <x:v>0</x:v>
      </x:c>
      <x:c r="AJ306" s="17" t="str">
        <x:f>IF(AE306&lt;=34,"≤34",IF(AE306&lt;=44,"35–44",IF(AE306&lt;=54,"45–54",IF(AE306&lt;=64,"55–64","65+"))))</x:f>
        <x:v>45–54</x:v>
      </x:c>
      <x:c r="AK306" s="17" t="str">
        <x:f>IF(AG306&gt;=1000,"High Value",IF(AG306&gt;=300,"Mid Value","Low Value"))</x:f>
        <x:v>Low Value</x:v>
      </x:c>
      <x:c r="AL306" s="17" t="str">
        <x:f>IF(AND(AI306&gt;=1,I306&lt;=50),"Priority 1",IF(AND(AG306&gt;=1000,I306&lt;=60),"Priority 2",IF(I306&lt;=30,"Priority 3","Nurture")))</x:f>
        <x:v>Nurture</x:v>
      </x:c>
    </x:row>
    <x:row r="307">
      <x:c r="A307" s="16" t="n">
        <x:v>6963</x:v>
      </x:c>
      <x:c r="B307" s="16" t="n">
        <x:v>1947</x:v>
      </x:c>
      <x:c r="C307" s="16" t="str">
        <x:v>Graduation</x:v>
      </x:c>
      <x:c r="D307" s="16" t="str">
        <x:v>Single</x:v>
      </x:c>
      <x:c r="E307" s="16" t="n">
        <x:v>77457</x:v>
      </x:c>
      <x:c r="F307" s="16" t="n">
        <x:v>0</x:v>
      </x:c>
      <x:c r="G307" s="16" t="n">
        <x:v>0</x:v>
      </x:c>
      <x:c r="H307" s="16" t="str">
        <x:v>05-03-2014</x:v>
      </x:c>
      <x:c r="I307" s="16" t="n">
        <x:v>85</x:v>
      </x:c>
      <x:c r="J307" s="16" t="n">
        <x:v>675</x:v>
      </x:c>
      <x:c r="K307" s="16" t="n">
        <x:v>11</x:v>
      </x:c>
      <x:c r="L307" s="16" t="n">
        <x:v>400</x:v>
      </x:c>
      <x:c r="M307" s="16" t="n">
        <x:v>15</x:v>
      </x:c>
      <x:c r="N307" s="16" t="n">
        <x:v>45</x:v>
      </x:c>
      <x:c r="O307" s="16" t="n">
        <x:v>11</x:v>
      </x:c>
      <x:c r="P307" s="16" t="n">
        <x:v>1</x:v>
      </x:c>
      <x:c r="Q307" s="16" t="n">
        <x:v>2</x:v>
      </x:c>
      <x:c r="R307" s="16" t="n">
        <x:v>5</x:v>
      </x:c>
      <x:c r="S307" s="16" t="n">
        <x:v>10</x:v>
      </x:c>
      <x:c r="T307" s="16" t="n">
        <x:v>1</x:v>
      </x:c>
      <x:c r="U307" s="16" t="n">
        <x:v>0</x:v>
      </x:c>
      <x:c r="V307" s="16" t="n">
        <x:v>0</x:v>
      </x:c>
      <x:c r="W307" s="16" t="n">
        <x:v>1</x:v>
      </x:c>
      <x:c r="X307" s="16" t="n">
        <x:v>0</x:v>
      </x:c>
      <x:c r="Y307" s="16" t="n">
        <x:v>0</x:v>
      </x:c>
      <x:c r="Z307" s="16" t="n">
        <x:v>0</x:v>
      </x:c>
      <x:c r="AA307" s="16" t="n">
        <x:v>3</x:v>
      </x:c>
      <x:c r="AB307" s="16" t="n">
        <x:v>11</x:v>
      </x:c>
      <x:c r="AC307" s="16" t="n">
        <x:v>0</x:v>
      </x:c>
      <x:c r="AD307" s="21" t="n">
        <x:f>IF(E307="",MEDIAN($E$2:$E$2237),E307)</x:f>
        <x:v>77457</x:v>
      </x:c>
      <x:c r="AE307" s="17" t="n">
        <x:f>2014-B307</x:f>
        <x:v>67</x:v>
      </x:c>
      <x:c r="AF307" s="17" t="n">
        <x:f>F307+G307</x:f>
        <x:v>0</x:v>
      </x:c>
      <x:c r="AG307" s="21" t="n">
        <x:f>SUM(J307:O307)</x:f>
        <x:v>1157</x:v>
      </x:c>
      <x:c r="AH307" s="17" t="n">
        <x:f>SUM(Q307:S307)</x:f>
        <x:v>17</x:v>
      </x:c>
      <x:c r="AI307" s="17" t="n">
        <x:f>SUM(U307:Y307)</x:f>
        <x:v>1</x:v>
      </x:c>
      <x:c r="AJ307" s="17" t="str">
        <x:f>IF(AE307&lt;=34,"≤34",IF(AE307&lt;=44,"35–44",IF(AE307&lt;=54,"45–54",IF(AE307&lt;=64,"55–64","65+"))))</x:f>
        <x:v>65+</x:v>
      </x:c>
      <x:c r="AK307" s="17" t="str">
        <x:f>IF(AG307&gt;=1000,"High Value",IF(AG307&gt;=300,"Mid Value","Low Value"))</x:f>
        <x:v>High Value</x:v>
      </x:c>
      <x:c r="AL307" s="17" t="str">
        <x:f>IF(AND(AI307&gt;=1,I307&lt;=50),"Priority 1",IF(AND(AG307&gt;=1000,I307&lt;=60),"Priority 2",IF(I307&lt;=30,"Priority 3","Nurture")))</x:f>
        <x:v>Nurture</x:v>
      </x:c>
    </x:row>
    <x:row r="308">
      <x:c r="A308" s="16" t="n">
        <x:v>4440</x:v>
      </x:c>
      <x:c r="B308" s="16" t="n">
        <x:v>1964</x:v>
      </x:c>
      <x:c r="C308" s="16" t="str">
        <x:v>Master</x:v>
      </x:c>
      <x:c r="D308" s="16" t="str">
        <x:v>Married</x:v>
      </x:c>
      <x:c r="E308" s="16" t="n">
        <x:v>64100</x:v>
      </x:c>
      <x:c r="F308" s="16" t="n">
        <x:v>0</x:v>
      </x:c>
      <x:c r="G308" s="16" t="n">
        <x:v>1</x:v>
      </x:c>
      <x:c r="H308" s="16" t="str">
        <x:v>10-09-2013</x:v>
      </x:c>
      <x:c r="I308" s="16" t="n">
        <x:v>93</x:v>
      </x:c>
      <x:c r="J308" s="16" t="n">
        <x:v>509</x:v>
      </x:c>
      <x:c r="K308" s="16" t="n">
        <x:v>0</x:v>
      </x:c>
      <x:c r="L308" s="16" t="n">
        <x:v>27</x:v>
      </x:c>
      <x:c r="M308" s="16" t="n">
        <x:v>0</x:v>
      </x:c>
      <x:c r="N308" s="16" t="n">
        <x:v>0</x:v>
      </x:c>
      <x:c r="O308" s="16" t="n">
        <x:v>10</x:v>
      </x:c>
      <x:c r="P308" s="16" t="n">
        <x:v>1</x:v>
      </x:c>
      <x:c r="Q308" s="16" t="n">
        <x:v>8</x:v>
      </x:c>
      <x:c r="R308" s="16" t="n">
        <x:v>3</x:v>
      </x:c>
      <x:c r="S308" s="16" t="n">
        <x:v>6</x:v>
      </x:c>
      <x:c r="T308" s="16" t="n">
        <x:v>7</x:v>
      </x:c>
      <x:c r="U308" s="16" t="n">
        <x:v>0</x:v>
      </x:c>
      <x:c r="V308" s="16" t="n">
        <x:v>1</x:v>
      </x:c>
      <x:c r="W308" s="16" t="n">
        <x:v>0</x:v>
      </x:c>
      <x:c r="X308" s="16" t="n">
        <x:v>0</x:v>
      </x:c>
      <x:c r="Y308" s="16" t="n">
        <x:v>0</x:v>
      </x:c>
      <x:c r="Z308" s="16" t="n">
        <x:v>0</x:v>
      </x:c>
      <x:c r="AA308" s="16" t="n">
        <x:v>3</x:v>
      </x:c>
      <x:c r="AB308" s="16" t="n">
        <x:v>11</x:v>
      </x:c>
      <x:c r="AC308" s="16" t="n">
        <x:v>0</x:v>
      </x:c>
      <x:c r="AD308" s="21" t="n">
        <x:f>IF(E308="",MEDIAN($E$2:$E$2237),E308)</x:f>
        <x:v>64100</x:v>
      </x:c>
      <x:c r="AE308" s="17" t="n">
        <x:f>2014-B308</x:f>
        <x:v>50</x:v>
      </x:c>
      <x:c r="AF308" s="17" t="n">
        <x:f>F308+G308</x:f>
        <x:v>1</x:v>
      </x:c>
      <x:c r="AG308" s="21" t="n">
        <x:f>SUM(J308:O308)</x:f>
        <x:v>546</x:v>
      </x:c>
      <x:c r="AH308" s="17" t="n">
        <x:f>SUM(Q308:S308)</x:f>
        <x:v>17</x:v>
      </x:c>
      <x:c r="AI308" s="17" t="n">
        <x:f>SUM(U308:Y308)</x:f>
        <x:v>1</x:v>
      </x:c>
      <x:c r="AJ308" s="17" t="str">
        <x:f>IF(AE308&lt;=34,"≤34",IF(AE308&lt;=44,"35–44",IF(AE308&lt;=54,"45–54",IF(AE308&lt;=64,"55–64","65+"))))</x:f>
        <x:v>45–54</x:v>
      </x:c>
      <x:c r="AK308" s="17" t="str">
        <x:f>IF(AG308&gt;=1000,"High Value",IF(AG308&gt;=300,"Mid Value","Low Value"))</x:f>
        <x:v>Mid Value</x:v>
      </x:c>
      <x:c r="AL308" s="17" t="str">
        <x:f>IF(AND(AI308&gt;=1,I308&lt;=50),"Priority 1",IF(AND(AG308&gt;=1000,I308&lt;=60),"Priority 2",IF(I308&lt;=30,"Priority 3","Nurture")))</x:f>
        <x:v>Nurture</x:v>
      </x:c>
    </x:row>
    <x:row r="309">
      <x:c r="A309" s="16" t="n">
        <x:v>1379</x:v>
      </x:c>
      <x:c r="B309" s="16" t="n">
        <x:v>1992</x:v>
      </x:c>
      <x:c r="C309" s="16" t="str">
        <x:v>Master</x:v>
      </x:c>
      <x:c r="D309" s="16" t="str">
        <x:v>Together</x:v>
      </x:c>
      <x:c r="E309" s="16" t="n">
        <x:v>42670</x:v>
      </x:c>
      <x:c r="F309" s="16" t="n">
        <x:v>0</x:v>
      </x:c>
      <x:c r="G309" s="16" t="n">
        <x:v>0</x:v>
      </x:c>
      <x:c r="H309" s="16" t="str">
        <x:v>27-04-2013</x:v>
      </x:c>
      <x:c r="I309" s="16" t="n">
        <x:v>12</x:v>
      </x:c>
      <x:c r="J309" s="16" t="n">
        <x:v>154</x:v>
      </x:c>
      <x:c r="K309" s="16" t="n">
        <x:v>2</x:v>
      </x:c>
      <x:c r="L309" s="16" t="n">
        <x:v>46</x:v>
      </x:c>
      <x:c r="M309" s="16" t="n">
        <x:v>20</x:v>
      </x:c>
      <x:c r="N309" s="16" t="n">
        <x:v>4</x:v>
      </x:c>
      <x:c r="O309" s="16" t="n">
        <x:v>15</x:v>
      </x:c>
      <x:c r="P309" s="16" t="n">
        <x:v>1</x:v>
      </x:c>
      <x:c r="Q309" s="16" t="n">
        <x:v>4</x:v>
      </x:c>
      <x:c r="R309" s="16" t="n">
        <x:v>2</x:v>
      </x:c>
      <x:c r="S309" s="16" t="n">
        <x:v>4</x:v>
      </x:c>
      <x:c r="T309" s="16" t="n">
        <x:v>4</x:v>
      </x:c>
      <x:c r="U309" s="16" t="n">
        <x:v>0</x:v>
      </x:c>
      <x:c r="V309" s="16" t="n">
        <x:v>0</x:v>
      </x:c>
      <x:c r="W309" s="16" t="n">
        <x:v>0</x:v>
      </x:c>
      <x:c r="X309" s="16" t="n">
        <x:v>0</x:v>
      </x:c>
      <x:c r="Y309" s="16" t="n">
        <x:v>0</x:v>
      </x:c>
      <x:c r="Z309" s="16" t="n">
        <x:v>0</x:v>
      </x:c>
      <x:c r="AA309" s="16" t="n">
        <x:v>3</x:v>
      </x:c>
      <x:c r="AB309" s="16" t="n">
        <x:v>11</x:v>
      </x:c>
      <x:c r="AC309" s="16" t="n">
        <x:v>0</x:v>
      </x:c>
      <x:c r="AD309" s="21" t="n">
        <x:f>IF(E309="",MEDIAN($E$2:$E$2237),E309)</x:f>
        <x:v>42670</x:v>
      </x:c>
      <x:c r="AE309" s="17" t="n">
        <x:f>2014-B309</x:f>
        <x:v>22</x:v>
      </x:c>
      <x:c r="AF309" s="17" t="n">
        <x:f>F309+G309</x:f>
        <x:v>0</x:v>
      </x:c>
      <x:c r="AG309" s="21" t="n">
        <x:f>SUM(J309:O309)</x:f>
        <x:v>241</x:v>
      </x:c>
      <x:c r="AH309" s="17" t="n">
        <x:f>SUM(Q309:S309)</x:f>
        <x:v>10</x:v>
      </x:c>
      <x:c r="AI309" s="17" t="n">
        <x:f>SUM(U309:Y309)</x:f>
        <x:v>0</x:v>
      </x:c>
      <x:c r="AJ309" s="17" t="str">
        <x:f>IF(AE309&lt;=34,"≤34",IF(AE309&lt;=44,"35–44",IF(AE309&lt;=54,"45–54",IF(AE309&lt;=64,"55–64","65+"))))</x:f>
        <x:v>≤34</x:v>
      </x:c>
      <x:c r="AK309" s="17" t="str">
        <x:f>IF(AG309&gt;=1000,"High Value",IF(AG309&gt;=300,"Mid Value","Low Value"))</x:f>
        <x:v>Low Value</x:v>
      </x:c>
      <x:c r="AL309" s="17" t="str">
        <x:f>IF(AND(AI309&gt;=1,I309&lt;=50),"Priority 1",IF(AND(AG309&gt;=1000,I309&lt;=60),"Priority 2",IF(I309&lt;=30,"Priority 3","Nurture")))</x:f>
        <x:v>Priority 3</x:v>
      </x:c>
    </x:row>
    <x:row r="310">
      <x:c r="A310" s="16" t="n">
        <x:v>10032</x:v>
      </x:c>
      <x:c r="B310" s="16" t="n">
        <x:v>1976</x:v>
      </x:c>
      <x:c r="C310" s="16" t="str">
        <x:v>Graduation</x:v>
      </x:c>
      <x:c r="D310" s="16" t="str">
        <x:v>Divorced</x:v>
      </x:c>
      <x:c r="E310" s="16" t="n">
        <x:v>12571</x:v>
      </x:c>
      <x:c r="F310" s="16" t="n">
        <x:v>1</x:v>
      </x:c>
      <x:c r="G310" s="16" t="n">
        <x:v>0</x:v>
      </x:c>
      <x:c r="H310" s="16" t="str">
        <x:v>18-01-2014</x:v>
      </x:c>
      <x:c r="I310" s="16" t="n">
        <x:v>86</x:v>
      </x:c>
      <x:c r="J310" s="16" t="n">
        <x:v>3</x:v>
      </x:c>
      <x:c r="K310" s="16" t="n">
        <x:v>5</x:v>
      </x:c>
      <x:c r="L310" s="16" t="n">
        <x:v>14</x:v>
      </x:c>
      <x:c r="M310" s="16" t="n">
        <x:v>2</x:v>
      </x:c>
      <x:c r="N310" s="16" t="n">
        <x:v>12</x:v>
      </x:c>
      <x:c r="O310" s="16" t="n">
        <x:v>17</x:v>
      </x:c>
      <x:c r="P310" s="16" t="n">
        <x:v>4</x:v>
      </x:c>
      <x:c r="Q310" s="16" t="n">
        <x:v>3</x:v>
      </x:c>
      <x:c r="R310" s="16" t="n">
        <x:v>1</x:v>
      </x:c>
      <x:c r="S310" s="16" t="n">
        <x:v>3</x:v>
      </x:c>
      <x:c r="T310" s="16" t="n">
        <x:v>6</x:v>
      </x:c>
      <x:c r="U310" s="16" t="n">
        <x:v>0</x:v>
      </x:c>
      <x:c r="V310" s="16" t="n">
        <x:v>0</x:v>
      </x:c>
      <x:c r="W310" s="16" t="n">
        <x:v>0</x:v>
      </x:c>
      <x:c r="X310" s="16" t="n">
        <x:v>0</x:v>
      </x:c>
      <x:c r="Y310" s="16" t="n">
        <x:v>0</x:v>
      </x:c>
      <x:c r="Z310" s="16" t="n">
        <x:v>0</x:v>
      </x:c>
      <x:c r="AA310" s="16" t="n">
        <x:v>3</x:v>
      </x:c>
      <x:c r="AB310" s="16" t="n">
        <x:v>11</x:v>
      </x:c>
      <x:c r="AC310" s="16" t="n">
        <x:v>0</x:v>
      </x:c>
      <x:c r="AD310" s="21" t="n">
        <x:f>IF(E310="",MEDIAN($E$2:$E$2237),E310)</x:f>
        <x:v>12571</x:v>
      </x:c>
      <x:c r="AE310" s="17" t="n">
        <x:f>2014-B310</x:f>
        <x:v>38</x:v>
      </x:c>
      <x:c r="AF310" s="17" t="n">
        <x:f>F310+G310</x:f>
        <x:v>1</x:v>
      </x:c>
      <x:c r="AG310" s="21" t="n">
        <x:f>SUM(J310:O310)</x:f>
        <x:v>53</x:v>
      </x:c>
      <x:c r="AH310" s="17" t="n">
        <x:f>SUM(Q310:S310)</x:f>
        <x:v>7</x:v>
      </x:c>
      <x:c r="AI310" s="17" t="n">
        <x:f>SUM(U310:Y310)</x:f>
        <x:v>0</x:v>
      </x:c>
      <x:c r="AJ310" s="17" t="str">
        <x:f>IF(AE310&lt;=34,"≤34",IF(AE310&lt;=44,"35–44",IF(AE310&lt;=54,"45–54",IF(AE310&lt;=64,"55–64","65+"))))</x:f>
        <x:v>35–44</x:v>
      </x:c>
      <x:c r="AK310" s="17" t="str">
        <x:f>IF(AG310&gt;=1000,"High Value",IF(AG310&gt;=300,"Mid Value","Low Value"))</x:f>
        <x:v>Low Value</x:v>
      </x:c>
      <x:c r="AL310" s="17" t="str">
        <x:f>IF(AND(AI310&gt;=1,I310&lt;=50),"Priority 1",IF(AND(AG310&gt;=1000,I310&lt;=60),"Priority 2",IF(I310&lt;=30,"Priority 3","Nurture")))</x:f>
        <x:v>Nurture</x:v>
      </x:c>
    </x:row>
    <x:row r="311">
      <x:c r="A311" s="16" t="n">
        <x:v>2826</x:v>
      </x:c>
      <x:c r="B311" s="16" t="n">
        <x:v>1967</x:v>
      </x:c>
      <x:c r="C311" s="16" t="str">
        <x:v>Graduation</x:v>
      </x:c>
      <x:c r="D311" s="16" t="str">
        <x:v>Married</x:v>
      </x:c>
      <x:c r="E311" s="16" t="n">
        <x:v>22574</x:v>
      </x:c>
      <x:c r="F311" s="16" t="n">
        <x:v>2</x:v>
      </x:c>
      <x:c r="G311" s="16" t="n">
        <x:v>1</x:v>
      </x:c>
      <x:c r="H311" s="16" t="str">
        <x:v>28-10-2013</x:v>
      </x:c>
      <x:c r="I311" s="16" t="n">
        <x:v>28</x:v>
      </x:c>
      <x:c r="J311" s="16" t="n">
        <x:v>25</x:v>
      </x:c>
      <x:c r="K311" s="16" t="n">
        <x:v>0</x:v>
      </x:c>
      <x:c r="L311" s="16" t="n">
        <x:v>8</x:v>
      </x:c>
      <x:c r="M311" s="16" t="n">
        <x:v>2</x:v>
      </x:c>
      <x:c r="N311" s="16" t="n">
        <x:v>0</x:v>
      </x:c>
      <x:c r="O311" s="16" t="n">
        <x:v>2</x:v>
      </x:c>
      <x:c r="P311" s="16" t="n">
        <x:v>2</x:v>
      </x:c>
      <x:c r="Q311" s="16" t="n">
        <x:v>2</x:v>
      </x:c>
      <x:c r="R311" s="16" t="n">
        <x:v>0</x:v>
      </x:c>
      <x:c r="S311" s="16" t="n">
        <x:v>3</x:v>
      </x:c>
      <x:c r="T311" s="16" t="n">
        <x:v>7</x:v>
      </x:c>
      <x:c r="U311" s="16" t="n">
        <x:v>0</x:v>
      </x:c>
      <x:c r="V311" s="16" t="n">
        <x:v>0</x:v>
      </x:c>
      <x:c r="W311" s="16" t="n">
        <x:v>0</x:v>
      </x:c>
      <x:c r="X311" s="16" t="n">
        <x:v>0</x:v>
      </x:c>
      <x:c r="Y311" s="16" t="n">
        <x:v>0</x:v>
      </x:c>
      <x:c r="Z311" s="16" t="n">
        <x:v>0</x:v>
      </x:c>
      <x:c r="AA311" s="16" t="n">
        <x:v>3</x:v>
      </x:c>
      <x:c r="AB311" s="16" t="n">
        <x:v>11</x:v>
      </x:c>
      <x:c r="AC311" s="16" t="n">
        <x:v>0</x:v>
      </x:c>
      <x:c r="AD311" s="21" t="n">
        <x:f>IF(E311="",MEDIAN($E$2:$E$2237),E311)</x:f>
        <x:v>22574</x:v>
      </x:c>
      <x:c r="AE311" s="17" t="n">
        <x:f>2014-B311</x:f>
        <x:v>47</x:v>
      </x:c>
      <x:c r="AF311" s="17" t="n">
        <x:f>F311+G311</x:f>
        <x:v>3</x:v>
      </x:c>
      <x:c r="AG311" s="21" t="n">
        <x:f>SUM(J311:O311)</x:f>
        <x:v>37</x:v>
      </x:c>
      <x:c r="AH311" s="17" t="n">
        <x:f>SUM(Q311:S311)</x:f>
        <x:v>5</x:v>
      </x:c>
      <x:c r="AI311" s="17" t="n">
        <x:f>SUM(U311:Y311)</x:f>
        <x:v>0</x:v>
      </x:c>
      <x:c r="AJ311" s="17" t="str">
        <x:f>IF(AE311&lt;=34,"≤34",IF(AE311&lt;=44,"35–44",IF(AE311&lt;=54,"45–54",IF(AE311&lt;=64,"55–64","65+"))))</x:f>
        <x:v>45–54</x:v>
      </x:c>
      <x:c r="AK311" s="17" t="str">
        <x:f>IF(AG311&gt;=1000,"High Value",IF(AG311&gt;=300,"Mid Value","Low Value"))</x:f>
        <x:v>Low Value</x:v>
      </x:c>
      <x:c r="AL311" s="17" t="str">
        <x:f>IF(AND(AI311&gt;=1,I311&lt;=50),"Priority 1",IF(AND(AG311&gt;=1000,I311&lt;=60),"Priority 2",IF(I311&lt;=30,"Priority 3","Nurture")))</x:f>
        <x:v>Priority 3</x:v>
      </x:c>
    </x:row>
    <x:row r="312">
      <x:c r="A312" s="16" t="n">
        <x:v>2437</x:v>
      </x:c>
      <x:c r="B312" s="16" t="n">
        <x:v>1989</x:v>
      </x:c>
      <x:c r="C312" s="16" t="str">
        <x:v>Graduation</x:v>
      </x:c>
      <x:c r="D312" s="16" t="str">
        <x:v>Married</x:v>
      </x:c>
      <x:c r="E312" s="16"/>
      <x:c r="F312" s="16" t="n">
        <x:v>0</x:v>
      </x:c>
      <x:c r="G312" s="16" t="n">
        <x:v>0</x:v>
      </x:c>
      <x:c r="H312" s="16" t="str">
        <x:v>03-06-2013</x:v>
      </x:c>
      <x:c r="I312" s="16" t="n">
        <x:v>69</x:v>
      </x:c>
      <x:c r="J312" s="16" t="n">
        <x:v>861</x:v>
      </x:c>
      <x:c r="K312" s="16" t="n">
        <x:v>138</x:v>
      </x:c>
      <x:c r="L312" s="16" t="n">
        <x:v>461</x:v>
      </x:c>
      <x:c r="M312" s="16" t="n">
        <x:v>60</x:v>
      </x:c>
      <x:c r="N312" s="16" t="n">
        <x:v>30</x:v>
      </x:c>
      <x:c r="O312" s="16" t="n">
        <x:v>61</x:v>
      </x:c>
      <x:c r="P312" s="16" t="n">
        <x:v>1</x:v>
      </x:c>
      <x:c r="Q312" s="16" t="n">
        <x:v>6</x:v>
      </x:c>
      <x:c r="R312" s="16" t="n">
        <x:v>5</x:v>
      </x:c>
      <x:c r="S312" s="16" t="n">
        <x:v>12</x:v>
      </x:c>
      <x:c r="T312" s="16" t="n">
        <x:v>3</x:v>
      </x:c>
      <x:c r="U312" s="16" t="n">
        <x:v>0</x:v>
      </x:c>
      <x:c r="V312" s="16" t="n">
        <x:v>1</x:v>
      </x:c>
      <x:c r="W312" s="16" t="n">
        <x:v>0</x:v>
      </x:c>
      <x:c r="X312" s="16" t="n">
        <x:v>1</x:v>
      </x:c>
      <x:c r="Y312" s="16" t="n">
        <x:v>0</x:v>
      </x:c>
      <x:c r="Z312" s="16" t="n">
        <x:v>0</x:v>
      </x:c>
      <x:c r="AA312" s="16" t="n">
        <x:v>3</x:v>
      </x:c>
      <x:c r="AB312" s="16" t="n">
        <x:v>11</x:v>
      </x:c>
      <x:c r="AC312" s="16" t="n">
        <x:v>0</x:v>
      </x:c>
      <x:c r="AD312" s="21" t="n">
        <x:f>IF(E312="",MEDIAN($E$2:$E$2237),E312)</x:f>
        <x:v>51371</x:v>
      </x:c>
      <x:c r="AE312" s="17" t="n">
        <x:f>2014-B312</x:f>
        <x:v>25</x:v>
      </x:c>
      <x:c r="AF312" s="17" t="n">
        <x:f>F312+G312</x:f>
        <x:v>0</x:v>
      </x:c>
      <x:c r="AG312" s="21" t="n">
        <x:f>SUM(J312:O312)</x:f>
        <x:v>1611</x:v>
      </x:c>
      <x:c r="AH312" s="17" t="n">
        <x:f>SUM(Q312:S312)</x:f>
        <x:v>23</x:v>
      </x:c>
      <x:c r="AI312" s="17" t="n">
        <x:f>SUM(U312:Y312)</x:f>
        <x:v>2</x:v>
      </x:c>
      <x:c r="AJ312" s="17" t="str">
        <x:f>IF(AE312&lt;=34,"≤34",IF(AE312&lt;=44,"35–44",IF(AE312&lt;=54,"45–54",IF(AE312&lt;=64,"55–64","65+"))))</x:f>
        <x:v>≤34</x:v>
      </x:c>
      <x:c r="AK312" s="17" t="str">
        <x:f>IF(AG312&gt;=1000,"High Value",IF(AG312&gt;=300,"Mid Value","Low Value"))</x:f>
        <x:v>High Value</x:v>
      </x:c>
      <x:c r="AL312" s="17" t="str">
        <x:f>IF(AND(AI312&gt;=1,I312&lt;=50),"Priority 1",IF(AND(AG312&gt;=1000,I312&lt;=60),"Priority 2",IF(I312&lt;=30,"Priority 3","Nurture")))</x:f>
        <x:v>Nurture</x:v>
      </x:c>
    </x:row>
    <x:row r="313">
      <x:c r="A313" s="16" t="n">
        <x:v>6320</x:v>
      </x:c>
      <x:c r="B313" s="16" t="n">
        <x:v>1976</x:v>
      </x:c>
      <x:c r="C313" s="16" t="str">
        <x:v>Master</x:v>
      </x:c>
      <x:c r="D313" s="16" t="str">
        <x:v>Single</x:v>
      </x:c>
      <x:c r="E313" s="16" t="n">
        <x:v>70893</x:v>
      </x:c>
      <x:c r="F313" s="16" t="n">
        <x:v>0</x:v>
      </x:c>
      <x:c r="G313" s="16" t="n">
        <x:v>0</x:v>
      </x:c>
      <x:c r="H313" s="16" t="str">
        <x:v>06-02-2013</x:v>
      </x:c>
      <x:c r="I313" s="16" t="n">
        <x:v>42</x:v>
      </x:c>
      <x:c r="J313" s="16" t="n">
        <x:v>768</x:v>
      </x:c>
      <x:c r="K313" s="16" t="n">
        <x:v>44</x:v>
      </x:c>
      <x:c r="L313" s="16" t="n">
        <x:v>561</x:v>
      </x:c>
      <x:c r="M313" s="16" t="n">
        <x:v>77</x:v>
      </x:c>
      <x:c r="N313" s="16" t="n">
        <x:v>44</x:v>
      </x:c>
      <x:c r="O313" s="16" t="n">
        <x:v>14</x:v>
      </x:c>
      <x:c r="P313" s="16" t="n">
        <x:v>1</x:v>
      </x:c>
      <x:c r="Q313" s="16" t="n">
        <x:v>6</x:v>
      </x:c>
      <x:c r="R313" s="16" t="n">
        <x:v>6</x:v>
      </x:c>
      <x:c r="S313" s="16" t="n">
        <x:v>10</x:v>
      </x:c>
      <x:c r="T313" s="16" t="n">
        <x:v>3</x:v>
      </x:c>
      <x:c r="U313" s="16" t="n">
        <x:v>0</x:v>
      </x:c>
      <x:c r="V313" s="16" t="n">
        <x:v>0</x:v>
      </x:c>
      <x:c r="W313" s="16" t="n">
        <x:v>0</x:v>
      </x:c>
      <x:c r="X313" s="16" t="n">
        <x:v>0</x:v>
      </x:c>
      <x:c r="Y313" s="16" t="n">
        <x:v>0</x:v>
      </x:c>
      <x:c r="Z313" s="16" t="n">
        <x:v>0</x:v>
      </x:c>
      <x:c r="AA313" s="16" t="n">
        <x:v>3</x:v>
      </x:c>
      <x:c r="AB313" s="16" t="n">
        <x:v>11</x:v>
      </x:c>
      <x:c r="AC313" s="16" t="n">
        <x:v>0</x:v>
      </x:c>
      <x:c r="AD313" s="21" t="n">
        <x:f>IF(E313="",MEDIAN($E$2:$E$2237),E313)</x:f>
        <x:v>70893</x:v>
      </x:c>
      <x:c r="AE313" s="17" t="n">
        <x:f>2014-B313</x:f>
        <x:v>38</x:v>
      </x:c>
      <x:c r="AF313" s="17" t="n">
        <x:f>F313+G313</x:f>
        <x:v>0</x:v>
      </x:c>
      <x:c r="AG313" s="21" t="n">
        <x:f>SUM(J313:O313)</x:f>
        <x:v>1508</x:v>
      </x:c>
      <x:c r="AH313" s="17" t="n">
        <x:f>SUM(Q313:S313)</x:f>
        <x:v>22</x:v>
      </x:c>
      <x:c r="AI313" s="17" t="n">
        <x:f>SUM(U313:Y313)</x:f>
        <x:v>0</x:v>
      </x:c>
      <x:c r="AJ313" s="17" t="str">
        <x:f>IF(AE313&lt;=34,"≤34",IF(AE313&lt;=44,"35–44",IF(AE313&lt;=54,"45–54",IF(AE313&lt;=64,"55–64","65+"))))</x:f>
        <x:v>35–44</x:v>
      </x:c>
      <x:c r="AK313" s="17" t="str">
        <x:f>IF(AG313&gt;=1000,"High Value",IF(AG313&gt;=300,"Mid Value","Low Value"))</x:f>
        <x:v>High Value</x:v>
      </x:c>
      <x:c r="AL313" s="17" t="str">
        <x:f>IF(AND(AI313&gt;=1,I313&lt;=50),"Priority 1",IF(AND(AG313&gt;=1000,I313&lt;=60),"Priority 2",IF(I313&lt;=30,"Priority 3","Nurture")))</x:f>
        <x:v>Priority 2</x:v>
      </x:c>
    </x:row>
    <x:row r="314">
      <x:c r="A314" s="16" t="n">
        <x:v>3050</x:v>
      </x:c>
      <x:c r="B314" s="16" t="n">
        <x:v>1966</x:v>
      </x:c>
      <x:c r="C314" s="16" t="str">
        <x:v>Graduation</x:v>
      </x:c>
      <x:c r="D314" s="16" t="str">
        <x:v>Married</x:v>
      </x:c>
      <x:c r="E314" s="16" t="n">
        <x:v>54198</x:v>
      </x:c>
      <x:c r="F314" s="16" t="n">
        <x:v>1</x:v>
      </x:c>
      <x:c r="G314" s="16" t="n">
        <x:v>1</x:v>
      </x:c>
      <x:c r="H314" s="16" t="str">
        <x:v>17-12-2013</x:v>
      </x:c>
      <x:c r="I314" s="16" t="n">
        <x:v>13</x:v>
      </x:c>
      <x:c r="J314" s="16" t="n">
        <x:v>185</x:v>
      </x:c>
      <x:c r="K314" s="16" t="n">
        <x:v>0</x:v>
      </x:c>
      <x:c r="L314" s="16" t="n">
        <x:v>28</x:v>
      </x:c>
      <x:c r="M314" s="16" t="n">
        <x:v>3</x:v>
      </x:c>
      <x:c r="N314" s="16" t="n">
        <x:v>2</x:v>
      </x:c>
      <x:c r="O314" s="16" t="n">
        <x:v>17</x:v>
      </x:c>
      <x:c r="P314" s="16" t="n">
        <x:v>6</x:v>
      </x:c>
      <x:c r="Q314" s="16" t="n">
        <x:v>3</x:v>
      </x:c>
      <x:c r="R314" s="16" t="n">
        <x:v>1</x:v>
      </x:c>
      <x:c r="S314" s="16" t="n">
        <x:v>6</x:v>
      </x:c>
      <x:c r="T314" s="16" t="n">
        <x:v>4</x:v>
      </x:c>
      <x:c r="U314" s="16" t="n">
        <x:v>0</x:v>
      </x:c>
      <x:c r="V314" s="16" t="n">
        <x:v>0</x:v>
      </x:c>
      <x:c r="W314" s="16" t="n">
        <x:v>0</x:v>
      </x:c>
      <x:c r="X314" s="16" t="n">
        <x:v>0</x:v>
      </x:c>
      <x:c r="Y314" s="16" t="n">
        <x:v>0</x:v>
      </x:c>
      <x:c r="Z314" s="16" t="n">
        <x:v>0</x:v>
      </x:c>
      <x:c r="AA314" s="16" t="n">
        <x:v>3</x:v>
      </x:c>
      <x:c r="AB314" s="16" t="n">
        <x:v>11</x:v>
      </x:c>
      <x:c r="AC314" s="16" t="n">
        <x:v>0</x:v>
      </x:c>
      <x:c r="AD314" s="21" t="n">
        <x:f>IF(E314="",MEDIAN($E$2:$E$2237),E314)</x:f>
        <x:v>54198</x:v>
      </x:c>
      <x:c r="AE314" s="17" t="n">
        <x:f>2014-B314</x:f>
        <x:v>48</x:v>
      </x:c>
      <x:c r="AF314" s="17" t="n">
        <x:f>F314+G314</x:f>
        <x:v>2</x:v>
      </x:c>
      <x:c r="AG314" s="21" t="n">
        <x:f>SUM(J314:O314)</x:f>
        <x:v>235</x:v>
      </x:c>
      <x:c r="AH314" s="17" t="n">
        <x:f>SUM(Q314:S314)</x:f>
        <x:v>10</x:v>
      </x:c>
      <x:c r="AI314" s="17" t="n">
        <x:f>SUM(U314:Y314)</x:f>
        <x:v>0</x:v>
      </x:c>
      <x:c r="AJ314" s="17" t="str">
        <x:f>IF(AE314&lt;=34,"≤34",IF(AE314&lt;=44,"35–44",IF(AE314&lt;=54,"45–54",IF(AE314&lt;=64,"55–64","65+"))))</x:f>
        <x:v>45–54</x:v>
      </x:c>
      <x:c r="AK314" s="17" t="str">
        <x:f>IF(AG314&gt;=1000,"High Value",IF(AG314&gt;=300,"Mid Value","Low Value"))</x:f>
        <x:v>Low Value</x:v>
      </x:c>
      <x:c r="AL314" s="17" t="str">
        <x:f>IF(AND(AI314&gt;=1,I314&lt;=50),"Priority 1",IF(AND(AG314&gt;=1000,I314&lt;=60),"Priority 2",IF(I314&lt;=30,"Priority 3","Nurture")))</x:f>
        <x:v>Priority 3</x:v>
      </x:c>
    </x:row>
    <x:row r="315">
      <x:c r="A315" s="16" t="n">
        <x:v>231</x:v>
      </x:c>
      <x:c r="B315" s="16" t="n">
        <x:v>1956</x:v>
      </x:c>
      <x:c r="C315" s="16" t="str">
        <x:v>Master</x:v>
      </x:c>
      <x:c r="D315" s="16" t="str">
        <x:v>Together</x:v>
      </x:c>
      <x:c r="E315" s="16" t="n">
        <x:v>28839</x:v>
      </x:c>
      <x:c r="F315" s="16" t="n">
        <x:v>1</x:v>
      </x:c>
      <x:c r="G315" s="16" t="n">
        <x:v>1</x:v>
      </x:c>
      <x:c r="H315" s="16" t="str">
        <x:v>11-03-2014</x:v>
      </x:c>
      <x:c r="I315" s="16" t="n">
        <x:v>86</x:v>
      </x:c>
      <x:c r="J315" s="16" t="n">
        <x:v>24</x:v>
      </x:c>
      <x:c r="K315" s="16" t="n">
        <x:v>0</x:v>
      </x:c>
      <x:c r="L315" s="16" t="n">
        <x:v>7</x:v>
      </x:c>
      <x:c r="M315" s="16" t="n">
        <x:v>0</x:v>
      </x:c>
      <x:c r="N315" s="16" t="n">
        <x:v>0</x:v>
      </x:c>
      <x:c r="O315" s="16" t="n">
        <x:v>1</x:v>
      </x:c>
      <x:c r="P315" s="16" t="n">
        <x:v>2</x:v>
      </x:c>
      <x:c r="Q315" s="16" t="n">
        <x:v>2</x:v>
      </x:c>
      <x:c r="R315" s="16" t="n">
        <x:v>0</x:v>
      </x:c>
      <x:c r="S315" s="16" t="n">
        <x:v>3</x:v>
      </x:c>
      <x:c r="T315" s="16" t="n">
        <x:v>5</x:v>
      </x:c>
      <x:c r="U315" s="16" t="n">
        <x:v>0</x:v>
      </x:c>
      <x:c r="V315" s="16" t="n">
        <x:v>0</x:v>
      </x:c>
      <x:c r="W315" s="16" t="n">
        <x:v>0</x:v>
      </x:c>
      <x:c r="X315" s="16" t="n">
        <x:v>0</x:v>
      </x:c>
      <x:c r="Y315" s="16" t="n">
        <x:v>0</x:v>
      </x:c>
      <x:c r="Z315" s="16" t="n">
        <x:v>0</x:v>
      </x:c>
      <x:c r="AA315" s="16" t="n">
        <x:v>3</x:v>
      </x:c>
      <x:c r="AB315" s="16" t="n">
        <x:v>11</x:v>
      </x:c>
      <x:c r="AC315" s="16" t="n">
        <x:v>0</x:v>
      </x:c>
      <x:c r="AD315" s="21" t="n">
        <x:f>IF(E315="",MEDIAN($E$2:$E$2237),E315)</x:f>
        <x:v>28839</x:v>
      </x:c>
      <x:c r="AE315" s="17" t="n">
        <x:f>2014-B315</x:f>
        <x:v>58</x:v>
      </x:c>
      <x:c r="AF315" s="17" t="n">
        <x:f>F315+G315</x:f>
        <x:v>2</x:v>
      </x:c>
      <x:c r="AG315" s="21" t="n">
        <x:f>SUM(J315:O315)</x:f>
        <x:v>32</x:v>
      </x:c>
      <x:c r="AH315" s="17" t="n">
        <x:f>SUM(Q315:S315)</x:f>
        <x:v>5</x:v>
      </x:c>
      <x:c r="AI315" s="17" t="n">
        <x:f>SUM(U315:Y315)</x:f>
        <x:v>0</x:v>
      </x:c>
      <x:c r="AJ315" s="17" t="str">
        <x:f>IF(AE315&lt;=34,"≤34",IF(AE315&lt;=44,"35–44",IF(AE315&lt;=54,"45–54",IF(AE315&lt;=64,"55–64","65+"))))</x:f>
        <x:v>55–64</x:v>
      </x:c>
      <x:c r="AK315" s="17" t="str">
        <x:f>IF(AG315&gt;=1000,"High Value",IF(AG315&gt;=300,"Mid Value","Low Value"))</x:f>
        <x:v>Low Value</x:v>
      </x:c>
      <x:c r="AL315" s="17" t="str">
        <x:f>IF(AND(AI315&gt;=1,I315&lt;=50),"Priority 1",IF(AND(AG315&gt;=1000,I315&lt;=60),"Priority 2",IF(I315&lt;=30,"Priority 3","Nurture")))</x:f>
        <x:v>Nurture</x:v>
      </x:c>
    </x:row>
    <x:row r="316">
      <x:c r="A316" s="16" t="n">
        <x:v>2392</x:v>
      </x:c>
      <x:c r="B316" s="16" t="n">
        <x:v>1972</x:v>
      </x:c>
      <x:c r="C316" s="16" t="str">
        <x:v>Graduation</x:v>
      </x:c>
      <x:c r="D316" s="16" t="str">
        <x:v>Married</x:v>
      </x:c>
      <x:c r="E316" s="16" t="n">
        <x:v>40321</x:v>
      </x:c>
      <x:c r="F316" s="16" t="n">
        <x:v>1</x:v>
      </x:c>
      <x:c r="G316" s="16" t="n">
        <x:v>1</x:v>
      </x:c>
      <x:c r="H316" s="16" t="str">
        <x:v>29-07-2013</x:v>
      </x:c>
      <x:c r="I316" s="16" t="n">
        <x:v>59</x:v>
      </x:c>
      <x:c r="J316" s="16" t="n">
        <x:v>44</x:v>
      </x:c>
      <x:c r="K316" s="16" t="n">
        <x:v>4</x:v>
      </x:c>
      <x:c r="L316" s="16" t="n">
        <x:v>21</x:v>
      </x:c>
      <x:c r="M316" s="16" t="n">
        <x:v>6</x:v>
      </x:c>
      <x:c r="N316" s="16" t="n">
        <x:v>0</x:v>
      </x:c>
      <x:c r="O316" s="16" t="n">
        <x:v>27</x:v>
      </x:c>
      <x:c r="P316" s="16" t="n">
        <x:v>2</x:v>
      </x:c>
      <x:c r="Q316" s="16" t="n">
        <x:v>3</x:v>
      </x:c>
      <x:c r="R316" s="16" t="n">
        <x:v>0</x:v>
      </x:c>
      <x:c r="S316" s="16" t="n">
        <x:v>3</x:v>
      </x:c>
      <x:c r="T316" s="16" t="n">
        <x:v>7</x:v>
      </x:c>
      <x:c r="U316" s="16" t="n">
        <x:v>0</x:v>
      </x:c>
      <x:c r="V316" s="16" t="n">
        <x:v>0</x:v>
      </x:c>
      <x:c r="W316" s="16" t="n">
        <x:v>0</x:v>
      </x:c>
      <x:c r="X316" s="16" t="n">
        <x:v>0</x:v>
      </x:c>
      <x:c r="Y316" s="16" t="n">
        <x:v>0</x:v>
      </x:c>
      <x:c r="Z316" s="16" t="n">
        <x:v>0</x:v>
      </x:c>
      <x:c r="AA316" s="16" t="n">
        <x:v>3</x:v>
      </x:c>
      <x:c r="AB316" s="16" t="n">
        <x:v>11</x:v>
      </x:c>
      <x:c r="AC316" s="16" t="n">
        <x:v>0</x:v>
      </x:c>
      <x:c r="AD316" s="21" t="n">
        <x:f>IF(E316="",MEDIAN($E$2:$E$2237),E316)</x:f>
        <x:v>40321</x:v>
      </x:c>
      <x:c r="AE316" s="17" t="n">
        <x:f>2014-B316</x:f>
        <x:v>42</x:v>
      </x:c>
      <x:c r="AF316" s="17" t="n">
        <x:f>F316+G316</x:f>
        <x:v>2</x:v>
      </x:c>
      <x:c r="AG316" s="21" t="n">
        <x:f>SUM(J316:O316)</x:f>
        <x:v>102</x:v>
      </x:c>
      <x:c r="AH316" s="17" t="n">
        <x:f>SUM(Q316:S316)</x:f>
        <x:v>6</x:v>
      </x:c>
      <x:c r="AI316" s="17" t="n">
        <x:f>SUM(U316:Y316)</x:f>
        <x:v>0</x:v>
      </x:c>
      <x:c r="AJ316" s="17" t="str">
        <x:f>IF(AE316&lt;=34,"≤34",IF(AE316&lt;=44,"35–44",IF(AE316&lt;=54,"45–54",IF(AE316&lt;=64,"55–64","65+"))))</x:f>
        <x:v>35–44</x:v>
      </x:c>
      <x:c r="AK316" s="17" t="str">
        <x:f>IF(AG316&gt;=1000,"High Value",IF(AG316&gt;=300,"Mid Value","Low Value"))</x:f>
        <x:v>Low Value</x:v>
      </x:c>
      <x:c r="AL316" s="17" t="str">
        <x:f>IF(AND(AI316&gt;=1,I316&lt;=50),"Priority 1",IF(AND(AG316&gt;=1000,I316&lt;=60),"Priority 2",IF(I316&lt;=30,"Priority 3","Nurture")))</x:f>
        <x:v>Nurture</x:v>
      </x:c>
    </x:row>
    <x:row r="317">
      <x:c r="A317" s="16" t="n">
        <x:v>9478</x:v>
      </x:c>
      <x:c r="B317" s="16" t="n">
        <x:v>1985</x:v>
      </x:c>
      <x:c r="C317" s="16" t="str">
        <x:v>Graduation</x:v>
      </x:c>
      <x:c r="D317" s="16" t="str">
        <x:v>Single</x:v>
      </x:c>
      <x:c r="E317" s="16" t="n">
        <x:v>66503</x:v>
      </x:c>
      <x:c r="F317" s="16" t="n">
        <x:v>1</x:v>
      </x:c>
      <x:c r="G317" s="16" t="n">
        <x:v>0</x:v>
      </x:c>
      <x:c r="H317" s="16" t="str">
        <x:v>14-08-2012</x:v>
      </x:c>
      <x:c r="I317" s="16" t="n">
        <x:v>30</x:v>
      </x:c>
      <x:c r="J317" s="16" t="n">
        <x:v>91</x:v>
      </x:c>
      <x:c r="K317" s="16" t="n">
        <x:v>64</x:v>
      </x:c>
      <x:c r="L317" s="16" t="n">
        <x:v>128</x:v>
      </x:c>
      <x:c r="M317" s="16" t="n">
        <x:v>65</x:v>
      </x:c>
      <x:c r="N317" s="16" t="n">
        <x:v>3</x:v>
      </x:c>
      <x:c r="O317" s="16" t="n">
        <x:v>50</x:v>
      </x:c>
      <x:c r="P317" s="16" t="n">
        <x:v>2</x:v>
      </x:c>
      <x:c r="Q317" s="16" t="n">
        <x:v>4</x:v>
      </x:c>
      <x:c r="R317" s="16" t="n">
        <x:v>3</x:v>
      </x:c>
      <x:c r="S317" s="16" t="n">
        <x:v>6</x:v>
      </x:c>
      <x:c r="T317" s="16" t="n">
        <x:v>3</x:v>
      </x:c>
      <x:c r="U317" s="16" t="n">
        <x:v>0</x:v>
      </x:c>
      <x:c r="V317" s="16" t="n">
        <x:v>0</x:v>
      </x:c>
      <x:c r="W317" s="16" t="n">
        <x:v>0</x:v>
      </x:c>
      <x:c r="X317" s="16" t="n">
        <x:v>0</x:v>
      </x:c>
      <x:c r="Y317" s="16" t="n">
        <x:v>0</x:v>
      </x:c>
      <x:c r="Z317" s="16" t="n">
        <x:v>0</x:v>
      </x:c>
      <x:c r="AA317" s="16" t="n">
        <x:v>3</x:v>
      </x:c>
      <x:c r="AB317" s="16" t="n">
        <x:v>11</x:v>
      </x:c>
      <x:c r="AC317" s="16" t="n">
        <x:v>0</x:v>
      </x:c>
      <x:c r="AD317" s="21" t="n">
        <x:f>IF(E317="",MEDIAN($E$2:$E$2237),E317)</x:f>
        <x:v>66503</x:v>
      </x:c>
      <x:c r="AE317" s="17" t="n">
        <x:f>2014-B317</x:f>
        <x:v>29</x:v>
      </x:c>
      <x:c r="AF317" s="17" t="n">
        <x:f>F317+G317</x:f>
        <x:v>1</x:v>
      </x:c>
      <x:c r="AG317" s="21" t="n">
        <x:f>SUM(J317:O317)</x:f>
        <x:v>401</x:v>
      </x:c>
      <x:c r="AH317" s="17" t="n">
        <x:f>SUM(Q317:S317)</x:f>
        <x:v>13</x:v>
      </x:c>
      <x:c r="AI317" s="17" t="n">
        <x:f>SUM(U317:Y317)</x:f>
        <x:v>0</x:v>
      </x:c>
      <x:c r="AJ317" s="17" t="str">
        <x:f>IF(AE317&lt;=34,"≤34",IF(AE317&lt;=44,"35–44",IF(AE317&lt;=54,"45–54",IF(AE317&lt;=64,"55–64","65+"))))</x:f>
        <x:v>≤34</x:v>
      </x:c>
      <x:c r="AK317" s="17" t="str">
        <x:f>IF(AG317&gt;=1000,"High Value",IF(AG317&gt;=300,"Mid Value","Low Value"))</x:f>
        <x:v>Mid Value</x:v>
      </x:c>
      <x:c r="AL317" s="17" t="str">
        <x:f>IF(AND(AI317&gt;=1,I317&lt;=50),"Priority 1",IF(AND(AG317&gt;=1000,I317&lt;=60),"Priority 2",IF(I317&lt;=30,"Priority 3","Nurture")))</x:f>
        <x:v>Priority 3</x:v>
      </x:c>
    </x:row>
    <x:row r="318">
      <x:c r="A318" s="16" t="n">
        <x:v>113</x:v>
      </x:c>
      <x:c r="B318" s="16" t="n">
        <x:v>1951</x:v>
      </x:c>
      <x:c r="C318" s="16" t="str">
        <x:v>Graduation</x:v>
      </x:c>
      <x:c r="D318" s="16" t="str">
        <x:v>Married</x:v>
      </x:c>
      <x:c r="E318" s="16" t="n">
        <x:v>30833</x:v>
      </x:c>
      <x:c r="F318" s="16" t="n">
        <x:v>1</x:v>
      </x:c>
      <x:c r="G318" s="16" t="n">
        <x:v>1</x:v>
      </x:c>
      <x:c r="H318" s="16" t="str">
        <x:v>16-07-2013</x:v>
      </x:c>
      <x:c r="I318" s="16" t="n">
        <x:v>33</x:v>
      </x:c>
      <x:c r="J318" s="16" t="n">
        <x:v>11</x:v>
      </x:c>
      <x:c r="K318" s="16" t="n">
        <x:v>0</x:v>
      </x:c>
      <x:c r="L318" s="16" t="n">
        <x:v>7</x:v>
      </x:c>
      <x:c r="M318" s="16" t="n">
        <x:v>3</x:v>
      </x:c>
      <x:c r="N318" s="16" t="n">
        <x:v>1</x:v>
      </x:c>
      <x:c r="O318" s="16" t="n">
        <x:v>6</x:v>
      </x:c>
      <x:c r="P318" s="16" t="n">
        <x:v>2</x:v>
      </x:c>
      <x:c r="Q318" s="16" t="n">
        <x:v>1</x:v>
      </x:c>
      <x:c r="R318" s="16" t="n">
        <x:v>0</x:v>
      </x:c>
      <x:c r="S318" s="16" t="n">
        <x:v>3</x:v>
      </x:c>
      <x:c r="T318" s="16" t="n">
        <x:v>5</x:v>
      </x:c>
      <x:c r="U318" s="16" t="n">
        <x:v>0</x:v>
      </x:c>
      <x:c r="V318" s="16" t="n">
        <x:v>0</x:v>
      </x:c>
      <x:c r="W318" s="16" t="n">
        <x:v>0</x:v>
      </x:c>
      <x:c r="X318" s="16" t="n">
        <x:v>0</x:v>
      </x:c>
      <x:c r="Y318" s="16" t="n">
        <x:v>0</x:v>
      </x:c>
      <x:c r="Z318" s="16" t="n">
        <x:v>0</x:v>
      </x:c>
      <x:c r="AA318" s="16" t="n">
        <x:v>3</x:v>
      </x:c>
      <x:c r="AB318" s="16" t="n">
        <x:v>11</x:v>
      </x:c>
      <x:c r="AC318" s="16" t="n">
        <x:v>0</x:v>
      </x:c>
      <x:c r="AD318" s="21" t="n">
        <x:f>IF(E318="",MEDIAN($E$2:$E$2237),E318)</x:f>
        <x:v>30833</x:v>
      </x:c>
      <x:c r="AE318" s="17" t="n">
        <x:f>2014-B318</x:f>
        <x:v>63</x:v>
      </x:c>
      <x:c r="AF318" s="17" t="n">
        <x:f>F318+G318</x:f>
        <x:v>2</x:v>
      </x:c>
      <x:c r="AG318" s="21" t="n">
        <x:f>SUM(J318:O318)</x:f>
        <x:v>28</x:v>
      </x:c>
      <x:c r="AH318" s="17" t="n">
        <x:f>SUM(Q318:S318)</x:f>
        <x:v>4</x:v>
      </x:c>
      <x:c r="AI318" s="17" t="n">
        <x:f>SUM(U318:Y318)</x:f>
        <x:v>0</x:v>
      </x:c>
      <x:c r="AJ318" s="17" t="str">
        <x:f>IF(AE318&lt;=34,"≤34",IF(AE318&lt;=44,"35–44",IF(AE318&lt;=54,"45–54",IF(AE318&lt;=64,"55–64","65+"))))</x:f>
        <x:v>55–64</x:v>
      </x:c>
      <x:c r="AK318" s="17" t="str">
        <x:f>IF(AG318&gt;=1000,"High Value",IF(AG318&gt;=300,"Mid Value","Low Value"))</x:f>
        <x:v>Low Value</x:v>
      </x:c>
      <x:c r="AL318" s="17" t="str">
        <x:f>IF(AND(AI318&gt;=1,I318&lt;=50),"Priority 1",IF(AND(AG318&gt;=1000,I318&lt;=60),"Priority 2",IF(I318&lt;=30,"Priority 3","Nurture")))</x:f>
        <x:v>Nurture</x:v>
      </x:c>
    </x:row>
    <x:row r="319">
      <x:c r="A319" s="16" t="n">
        <x:v>2863</x:v>
      </x:c>
      <x:c r="B319" s="16" t="n">
        <x:v>1970</x:v>
      </x:c>
      <x:c r="C319" s="16" t="str">
        <x:v>Graduation</x:v>
      </x:c>
      <x:c r="D319" s="16" t="str">
        <x:v>Single</x:v>
      </x:c>
      <x:c r="E319" s="16"/>
      <x:c r="F319" s="16" t="n">
        <x:v>1</x:v>
      </x:c>
      <x:c r="G319" s="16" t="n">
        <x:v>2</x:v>
      </x:c>
      <x:c r="H319" s="16" t="str">
        <x:v>23-08-2013</x:v>
      </x:c>
      <x:c r="I319" s="16" t="n">
        <x:v>67</x:v>
      </x:c>
      <x:c r="J319" s="16" t="n">
        <x:v>738</x:v>
      </x:c>
      <x:c r="K319" s="16" t="n">
        <x:v>20</x:v>
      </x:c>
      <x:c r="L319" s="16" t="n">
        <x:v>172</x:v>
      </x:c>
      <x:c r="M319" s="16" t="n">
        <x:v>52</x:v>
      </x:c>
      <x:c r="N319" s="16" t="n">
        <x:v>50</x:v>
      </x:c>
      <x:c r="O319" s="16" t="n">
        <x:v>20</x:v>
      </x:c>
      <x:c r="P319" s="16" t="n">
        <x:v>6</x:v>
      </x:c>
      <x:c r="Q319" s="16" t="n">
        <x:v>2</x:v>
      </x:c>
      <x:c r="R319" s="16" t="n">
        <x:v>3</x:v>
      </x:c>
      <x:c r="S319" s="16" t="n">
        <x:v>10</x:v>
      </x:c>
      <x:c r="T319" s="16" t="n">
        <x:v>7</x:v>
      </x:c>
      <x:c r="U319" s="16" t="n">
        <x:v>0</x:v>
      </x:c>
      <x:c r="V319" s="16" t="n">
        <x:v>1</x:v>
      </x:c>
      <x:c r="W319" s="16" t="n">
        <x:v>0</x:v>
      </x:c>
      <x:c r="X319" s="16" t="n">
        <x:v>1</x:v>
      </x:c>
      <x:c r="Y319" s="16" t="n">
        <x:v>0</x:v>
      </x:c>
      <x:c r="Z319" s="16" t="n">
        <x:v>0</x:v>
      </x:c>
      <x:c r="AA319" s="16" t="n">
        <x:v>3</x:v>
      </x:c>
      <x:c r="AB319" s="16" t="n">
        <x:v>11</x:v>
      </x:c>
      <x:c r="AC319" s="16" t="n">
        <x:v>0</x:v>
      </x:c>
      <x:c r="AD319" s="21" t="n">
        <x:f>IF(E319="",MEDIAN($E$2:$E$2237),E319)</x:f>
        <x:v>51371</x:v>
      </x:c>
      <x:c r="AE319" s="17" t="n">
        <x:f>2014-B319</x:f>
        <x:v>44</x:v>
      </x:c>
      <x:c r="AF319" s="17" t="n">
        <x:f>F319+G319</x:f>
        <x:v>3</x:v>
      </x:c>
      <x:c r="AG319" s="21" t="n">
        <x:f>SUM(J319:O319)</x:f>
        <x:v>1052</x:v>
      </x:c>
      <x:c r="AH319" s="17" t="n">
        <x:f>SUM(Q319:S319)</x:f>
        <x:v>15</x:v>
      </x:c>
      <x:c r="AI319" s="17" t="n">
        <x:f>SUM(U319:Y319)</x:f>
        <x:v>2</x:v>
      </x:c>
      <x:c r="AJ319" s="17" t="str">
        <x:f>IF(AE319&lt;=34,"≤34",IF(AE319&lt;=44,"35–44",IF(AE319&lt;=54,"45–54",IF(AE319&lt;=64,"55–64","65+"))))</x:f>
        <x:v>35–44</x:v>
      </x:c>
      <x:c r="AK319" s="17" t="str">
        <x:f>IF(AG319&gt;=1000,"High Value",IF(AG319&gt;=300,"Mid Value","Low Value"))</x:f>
        <x:v>High Value</x:v>
      </x:c>
      <x:c r="AL319" s="17" t="str">
        <x:f>IF(AND(AI319&gt;=1,I319&lt;=50),"Priority 1",IF(AND(AG319&gt;=1000,I319&lt;=60),"Priority 2",IF(I319&lt;=30,"Priority 3","Nurture")))</x:f>
        <x:v>Nurture</x:v>
      </x:c>
    </x:row>
    <x:row r="320">
      <x:c r="A320" s="16" t="n">
        <x:v>1802</x:v>
      </x:c>
      <x:c r="B320" s="16" t="n">
        <x:v>1971</x:v>
      </x:c>
      <x:c r="C320" s="16" t="str">
        <x:v>Graduation</x:v>
      </x:c>
      <x:c r="D320" s="16" t="str">
        <x:v>Married</x:v>
      </x:c>
      <x:c r="E320" s="16" t="n">
        <x:v>64795</x:v>
      </x:c>
      <x:c r="F320" s="16" t="n">
        <x:v>0</x:v>
      </x:c>
      <x:c r="G320" s="16" t="n">
        <x:v>1</x:v>
      </x:c>
      <x:c r="H320" s="16" t="str">
        <x:v>17-01-2013</x:v>
      </x:c>
      <x:c r="I320" s="16" t="n">
        <x:v>23</x:v>
      </x:c>
      <x:c r="J320" s="16" t="n">
        <x:v>412</x:v>
      </x:c>
      <x:c r="K320" s="16" t="n">
        <x:v>5</x:v>
      </x:c>
      <x:c r="L320" s="16" t="n">
        <x:v>119</x:v>
      </x:c>
      <x:c r="M320" s="16" t="n">
        <x:v>38</x:v>
      </x:c>
      <x:c r="N320" s="16" t="n">
        <x:v>29</x:v>
      </x:c>
      <x:c r="O320" s="16" t="n">
        <x:v>77</x:v>
      </x:c>
      <x:c r="P320" s="16" t="n">
        <x:v>3</x:v>
      </x:c>
      <x:c r="Q320" s="16" t="n">
        <x:v>3</x:v>
      </x:c>
      <x:c r="R320" s="16" t="n">
        <x:v>3</x:v>
      </x:c>
      <x:c r="S320" s="16" t="n">
        <x:v>12</x:v>
      </x:c>
      <x:c r="T320" s="16" t="n">
        <x:v>2</x:v>
      </x:c>
      <x:c r="U320" s="16" t="n">
        <x:v>0</x:v>
      </x:c>
      <x:c r="V320" s="16" t="n">
        <x:v>0</x:v>
      </x:c>
      <x:c r="W320" s="16" t="n">
        <x:v>0</x:v>
      </x:c>
      <x:c r="X320" s="16" t="n">
        <x:v>0</x:v>
      </x:c>
      <x:c r="Y320" s="16" t="n">
        <x:v>0</x:v>
      </x:c>
      <x:c r="Z320" s="16" t="n">
        <x:v>0</x:v>
      </x:c>
      <x:c r="AA320" s="16" t="n">
        <x:v>3</x:v>
      </x:c>
      <x:c r="AB320" s="16" t="n">
        <x:v>11</x:v>
      </x:c>
      <x:c r="AC320" s="16" t="n">
        <x:v>0</x:v>
      </x:c>
      <x:c r="AD320" s="21" t="n">
        <x:f>IF(E320="",MEDIAN($E$2:$E$2237),E320)</x:f>
        <x:v>64795</x:v>
      </x:c>
      <x:c r="AE320" s="17" t="n">
        <x:f>2014-B320</x:f>
        <x:v>43</x:v>
      </x:c>
      <x:c r="AF320" s="17" t="n">
        <x:f>F320+G320</x:f>
        <x:v>1</x:v>
      </x:c>
      <x:c r="AG320" s="21" t="n">
        <x:f>SUM(J320:O320)</x:f>
        <x:v>680</x:v>
      </x:c>
      <x:c r="AH320" s="17" t="n">
        <x:f>SUM(Q320:S320)</x:f>
        <x:v>18</x:v>
      </x:c>
      <x:c r="AI320" s="17" t="n">
        <x:f>SUM(U320:Y320)</x:f>
        <x:v>0</x:v>
      </x:c>
      <x:c r="AJ320" s="17" t="str">
        <x:f>IF(AE320&lt;=34,"≤34",IF(AE320&lt;=44,"35–44",IF(AE320&lt;=54,"45–54",IF(AE320&lt;=64,"55–64","65+"))))</x:f>
        <x:v>35–44</x:v>
      </x:c>
      <x:c r="AK320" s="17" t="str">
        <x:f>IF(AG320&gt;=1000,"High Value",IF(AG320&gt;=300,"Mid Value","Low Value"))</x:f>
        <x:v>Mid Value</x:v>
      </x:c>
      <x:c r="AL320" s="17" t="str">
        <x:f>IF(AND(AI320&gt;=1,I320&lt;=50),"Priority 1",IF(AND(AG320&gt;=1000,I320&lt;=60),"Priority 2",IF(I320&lt;=30,"Priority 3","Nurture")))</x:f>
        <x:v>Priority 3</x:v>
      </x:c>
    </x:row>
    <x:row r="321">
      <x:c r="A321" s="16" t="n">
        <x:v>520</x:v>
      </x:c>
      <x:c r="B321" s="16" t="n">
        <x:v>1974</x:v>
      </x:c>
      <x:c r="C321" s="16" t="str">
        <x:v>Graduation</x:v>
      </x:c>
      <x:c r="D321" s="16" t="str">
        <x:v>Married</x:v>
      </x:c>
      <x:c r="E321" s="16" t="n">
        <x:v>34421</x:v>
      </x:c>
      <x:c r="F321" s="16" t="n">
        <x:v>1</x:v>
      </x:c>
      <x:c r="G321" s="16" t="n">
        <x:v>0</x:v>
      </x:c>
      <x:c r="H321" s="16" t="str">
        <x:v>01-07-2013</x:v>
      </x:c>
      <x:c r="I321" s="16" t="n">
        <x:v>81</x:v>
      </x:c>
      <x:c r="J321" s="16" t="n">
        <x:v>3</x:v>
      </x:c>
      <x:c r="K321" s="16" t="n">
        <x:v>3</x:v>
      </x:c>
      <x:c r="L321" s="16" t="n">
        <x:v>7</x:v>
      </x:c>
      <x:c r="M321" s="16" t="n">
        <x:v>6</x:v>
      </x:c>
      <x:c r="N321" s="16" t="n">
        <x:v>2</x:v>
      </x:c>
      <x:c r="O321" s="16" t="n">
        <x:v>9</x:v>
      </x:c>
      <x:c r="P321" s="16" t="n">
        <x:v>1</x:v>
      </x:c>
      <x:c r="Q321" s="16" t="n">
        <x:v>1</x:v>
      </x:c>
      <x:c r="R321" s="16" t="n">
        <x:v>0</x:v>
      </x:c>
      <x:c r="S321" s="16" t="n">
        <x:v>2</x:v>
      </x:c>
      <x:c r="T321" s="16" t="n">
        <x:v>7</x:v>
      </x:c>
      <x:c r="U321" s="16" t="n">
        <x:v>0</x:v>
      </x:c>
      <x:c r="V321" s="16" t="n">
        <x:v>0</x:v>
      </x:c>
      <x:c r="W321" s="16" t="n">
        <x:v>0</x:v>
      </x:c>
      <x:c r="X321" s="16" t="n">
        <x:v>0</x:v>
      </x:c>
      <x:c r="Y321" s="16" t="n">
        <x:v>0</x:v>
      </x:c>
      <x:c r="Z321" s="16" t="n">
        <x:v>0</x:v>
      </x:c>
      <x:c r="AA321" s="16" t="n">
        <x:v>3</x:v>
      </x:c>
      <x:c r="AB321" s="16" t="n">
        <x:v>11</x:v>
      </x:c>
      <x:c r="AC321" s="16" t="n">
        <x:v>0</x:v>
      </x:c>
      <x:c r="AD321" s="21" t="n">
        <x:f>IF(E321="",MEDIAN($E$2:$E$2237),E321)</x:f>
        <x:v>34421</x:v>
      </x:c>
      <x:c r="AE321" s="17" t="n">
        <x:f>2014-B321</x:f>
        <x:v>40</x:v>
      </x:c>
      <x:c r="AF321" s="17" t="n">
        <x:f>F321+G321</x:f>
        <x:v>1</x:v>
      </x:c>
      <x:c r="AG321" s="21" t="n">
        <x:f>SUM(J321:O321)</x:f>
        <x:v>30</x:v>
      </x:c>
      <x:c r="AH321" s="17" t="n">
        <x:f>SUM(Q321:S321)</x:f>
        <x:v>3</x:v>
      </x:c>
      <x:c r="AI321" s="17" t="n">
        <x:f>SUM(U321:Y321)</x:f>
        <x:v>0</x:v>
      </x:c>
      <x:c r="AJ321" s="17" t="str">
        <x:f>IF(AE321&lt;=34,"≤34",IF(AE321&lt;=44,"35–44",IF(AE321&lt;=54,"45–54",IF(AE321&lt;=64,"55–64","65+"))))</x:f>
        <x:v>35–44</x:v>
      </x:c>
      <x:c r="AK321" s="17" t="str">
        <x:f>IF(AG321&gt;=1000,"High Value",IF(AG321&gt;=300,"Mid Value","Low Value"))</x:f>
        <x:v>Low Value</x:v>
      </x:c>
      <x:c r="AL321" s="17" t="str">
        <x:f>IF(AND(AI321&gt;=1,I321&lt;=50),"Priority 1",IF(AND(AG321&gt;=1000,I321&lt;=60),"Priority 2",IF(I321&lt;=30,"Priority 3","Nurture")))</x:f>
        <x:v>Nurture</x:v>
      </x:c>
    </x:row>
    <x:row r="322">
      <x:c r="A322" s="16" t="n">
        <x:v>8275</x:v>
      </x:c>
      <x:c r="B322" s="16" t="n">
        <x:v>1965</x:v>
      </x:c>
      <x:c r="C322" s="16" t="str">
        <x:v>PhD</x:v>
      </x:c>
      <x:c r="D322" s="16" t="str">
        <x:v>Divorced</x:v>
      </x:c>
      <x:c r="E322" s="16" t="n">
        <x:v>47025</x:v>
      </x:c>
      <x:c r="F322" s="16" t="n">
        <x:v>1</x:v>
      </x:c>
      <x:c r="G322" s="16" t="n">
        <x:v>1</x:v>
      </x:c>
      <x:c r="H322" s="16" t="str">
        <x:v>09-02-2014</x:v>
      </x:c>
      <x:c r="I322" s="16" t="n">
        <x:v>6</x:v>
      </x:c>
      <x:c r="J322" s="16" t="n">
        <x:v>16</x:v>
      </x:c>
      <x:c r="K322" s="16" t="n">
        <x:v>0</x:v>
      </x:c>
      <x:c r="L322" s="16" t="n">
        <x:v>3</x:v>
      </x:c>
      <x:c r="M322" s="16" t="n">
        <x:v>0</x:v>
      </x:c>
      <x:c r="N322" s="16" t="n">
        <x:v>0</x:v>
      </x:c>
      <x:c r="O322" s="16" t="n">
        <x:v>1</x:v>
      </x:c>
      <x:c r="P322" s="16" t="n">
        <x:v>1</x:v>
      </x:c>
      <x:c r="Q322" s="16" t="n">
        <x:v>1</x:v>
      </x:c>
      <x:c r="R322" s="16" t="n">
        <x:v>0</x:v>
      </x:c>
      <x:c r="S322" s="16" t="n">
        <x:v>2</x:v>
      </x:c>
      <x:c r="T322" s="16" t="n">
        <x:v>7</x:v>
      </x:c>
      <x:c r="U322" s="16" t="n">
        <x:v>0</x:v>
      </x:c>
      <x:c r="V322" s="16" t="n">
        <x:v>0</x:v>
      </x:c>
      <x:c r="W322" s="16" t="n">
        <x:v>0</x:v>
      </x:c>
      <x:c r="X322" s="16" t="n">
        <x:v>0</x:v>
      </x:c>
      <x:c r="Y322" s="16" t="n">
        <x:v>0</x:v>
      </x:c>
      <x:c r="Z322" s="16" t="n">
        <x:v>0</x:v>
      </x:c>
      <x:c r="AA322" s="16" t="n">
        <x:v>3</x:v>
      </x:c>
      <x:c r="AB322" s="16" t="n">
        <x:v>11</x:v>
      </x:c>
      <x:c r="AC322" s="16" t="n">
        <x:v>0</x:v>
      </x:c>
      <x:c r="AD322" s="21" t="n">
        <x:f>IF(E322="",MEDIAN($E$2:$E$2237),E322)</x:f>
        <x:v>47025</x:v>
      </x:c>
      <x:c r="AE322" s="17" t="n">
        <x:f>2014-B322</x:f>
        <x:v>49</x:v>
      </x:c>
      <x:c r="AF322" s="17" t="n">
        <x:f>F322+G322</x:f>
        <x:v>2</x:v>
      </x:c>
      <x:c r="AG322" s="21" t="n">
        <x:f>SUM(J322:O322)</x:f>
        <x:v>20</x:v>
      </x:c>
      <x:c r="AH322" s="17" t="n">
        <x:f>SUM(Q322:S322)</x:f>
        <x:v>3</x:v>
      </x:c>
      <x:c r="AI322" s="17" t="n">
        <x:f>SUM(U322:Y322)</x:f>
        <x:v>0</x:v>
      </x:c>
      <x:c r="AJ322" s="17" t="str">
        <x:f>IF(AE322&lt;=34,"≤34",IF(AE322&lt;=44,"35–44",IF(AE322&lt;=54,"45–54",IF(AE322&lt;=64,"55–64","65+"))))</x:f>
        <x:v>45–54</x:v>
      </x:c>
      <x:c r="AK322" s="17" t="str">
        <x:f>IF(AG322&gt;=1000,"High Value",IF(AG322&gt;=300,"Mid Value","Low Value"))</x:f>
        <x:v>Low Value</x:v>
      </x:c>
      <x:c r="AL322" s="17" t="str">
        <x:f>IF(AND(AI322&gt;=1,I322&lt;=50),"Priority 1",IF(AND(AG322&gt;=1000,I322&lt;=60),"Priority 2",IF(I322&lt;=30,"Priority 3","Nurture")))</x:f>
        <x:v>Priority 3</x:v>
      </x:c>
    </x:row>
    <x:row r="323">
      <x:c r="A323" s="16" t="n">
        <x:v>9750</x:v>
      </x:c>
      <x:c r="B323" s="16" t="n">
        <x:v>1961</x:v>
      </x:c>
      <x:c r="C323" s="16" t="str">
        <x:v>PhD</x:v>
      </x:c>
      <x:c r="D323" s="16" t="str">
        <x:v>Divorced</x:v>
      </x:c>
      <x:c r="E323" s="16" t="n">
        <x:v>64325</x:v>
      </x:c>
      <x:c r="F323" s="16" t="n">
        <x:v>0</x:v>
      </x:c>
      <x:c r="G323" s="16" t="n">
        <x:v>1</x:v>
      </x:c>
      <x:c r="H323" s="16" t="str">
        <x:v>07-02-2013</x:v>
      </x:c>
      <x:c r="I323" s="16" t="n">
        <x:v>41</x:v>
      </x:c>
      <x:c r="J323" s="16" t="n">
        <x:v>731</x:v>
      </x:c>
      <x:c r="K323" s="16" t="n">
        <x:v>60</x:v>
      </x:c>
      <x:c r="L323" s="16" t="n">
        <x:v>353</x:v>
      </x:c>
      <x:c r="M323" s="16" t="n">
        <x:v>78</x:v>
      </x:c>
      <x:c r="N323" s="16" t="n">
        <x:v>12</x:v>
      </x:c>
      <x:c r="O323" s="16" t="n">
        <x:v>73</x:v>
      </x:c>
      <x:c r="P323" s="16" t="n">
        <x:v>5</x:v>
      </x:c>
      <x:c r="Q323" s="16" t="n">
        <x:v>10</x:v>
      </x:c>
      <x:c r="R323" s="16" t="n">
        <x:v>3</x:v>
      </x:c>
      <x:c r="S323" s="16" t="n">
        <x:v>5</x:v>
      </x:c>
      <x:c r="T323" s="16" t="n">
        <x:v>7</x:v>
      </x:c>
      <x:c r="U323" s="16" t="n">
        <x:v>0</x:v>
      </x:c>
      <x:c r="V323" s="16" t="n">
        <x:v>0</x:v>
      </x:c>
      <x:c r="W323" s="16" t="n">
        <x:v>0</x:v>
      </x:c>
      <x:c r="X323" s="16" t="n">
        <x:v>0</x:v>
      </x:c>
      <x:c r="Y323" s="16" t="n">
        <x:v>0</x:v>
      </x:c>
      <x:c r="Z323" s="16" t="n">
        <x:v>0</x:v>
      </x:c>
      <x:c r="AA323" s="16" t="n">
        <x:v>3</x:v>
      </x:c>
      <x:c r="AB323" s="16" t="n">
        <x:v>11</x:v>
      </x:c>
      <x:c r="AC323" s="16" t="n">
        <x:v>0</x:v>
      </x:c>
      <x:c r="AD323" s="21" t="n">
        <x:f>IF(E323="",MEDIAN($E$2:$E$2237),E323)</x:f>
        <x:v>64325</x:v>
      </x:c>
      <x:c r="AE323" s="17" t="n">
        <x:f>2014-B323</x:f>
        <x:v>53</x:v>
      </x:c>
      <x:c r="AF323" s="17" t="n">
        <x:f>F323+G323</x:f>
        <x:v>1</x:v>
      </x:c>
      <x:c r="AG323" s="21" t="n">
        <x:f>SUM(J323:O323)</x:f>
        <x:v>1307</x:v>
      </x:c>
      <x:c r="AH323" s="17" t="n">
        <x:f>SUM(Q323:S323)</x:f>
        <x:v>18</x:v>
      </x:c>
      <x:c r="AI323" s="17" t="n">
        <x:f>SUM(U323:Y323)</x:f>
        <x:v>0</x:v>
      </x:c>
      <x:c r="AJ323" s="17" t="str">
        <x:f>IF(AE323&lt;=34,"≤34",IF(AE323&lt;=44,"35–44",IF(AE323&lt;=54,"45–54",IF(AE323&lt;=64,"55–64","65+"))))</x:f>
        <x:v>45–54</x:v>
      </x:c>
      <x:c r="AK323" s="17" t="str">
        <x:f>IF(AG323&gt;=1000,"High Value",IF(AG323&gt;=300,"Mid Value","Low Value"))</x:f>
        <x:v>High Value</x:v>
      </x:c>
      <x:c r="AL323" s="17" t="str">
        <x:f>IF(AND(AI323&gt;=1,I323&lt;=50),"Priority 1",IF(AND(AG323&gt;=1000,I323&lt;=60),"Priority 2",IF(I323&lt;=30,"Priority 3","Nurture")))</x:f>
        <x:v>Priority 2</x:v>
      </x:c>
    </x:row>
    <x:row r="324">
      <x:c r="A324" s="16" t="n">
        <x:v>2607</x:v>
      </x:c>
      <x:c r="B324" s="16" t="n">
        <x:v>1953</x:v>
      </x:c>
      <x:c r="C324" s="16" t="str">
        <x:v>Graduation</x:v>
      </x:c>
      <x:c r="D324" s="16" t="str">
        <x:v>Single</x:v>
      </x:c>
      <x:c r="E324" s="16" t="n">
        <x:v>40464</x:v>
      </x:c>
      <x:c r="F324" s="16" t="n">
        <x:v>0</x:v>
      </x:c>
      <x:c r="G324" s="16" t="n">
        <x:v>1</x:v>
      </x:c>
      <x:c r="H324" s="16" t="str">
        <x:v>11-01-2013</x:v>
      </x:c>
      <x:c r="I324" s="16" t="n">
        <x:v>78</x:v>
      </x:c>
      <x:c r="J324" s="16" t="n">
        <x:v>424</x:v>
      </x:c>
      <x:c r="K324" s="16" t="n">
        <x:v>17</x:v>
      </x:c>
      <x:c r="L324" s="16" t="n">
        <x:v>118</x:v>
      </x:c>
      <x:c r="M324" s="16" t="n">
        <x:v>7</x:v>
      </x:c>
      <x:c r="N324" s="16" t="n">
        <x:v>23</x:v>
      </x:c>
      <x:c r="O324" s="16" t="n">
        <x:v>41</x:v>
      </x:c>
      <x:c r="P324" s="16" t="n">
        <x:v>6</x:v>
      </x:c>
      <x:c r="Q324" s="16" t="n">
        <x:v>8</x:v>
      </x:c>
      <x:c r="R324" s="16" t="n">
        <x:v>2</x:v>
      </x:c>
      <x:c r="S324" s="16" t="n">
        <x:v>8</x:v>
      </x:c>
      <x:c r="T324" s="16" t="n">
        <x:v>8</x:v>
      </x:c>
      <x:c r="U324" s="16" t="n">
        <x:v>0</x:v>
      </x:c>
      <x:c r="V324" s="16" t="n">
        <x:v>0</x:v>
      </x:c>
      <x:c r="W324" s="16" t="n">
        <x:v>0</x:v>
      </x:c>
      <x:c r="X324" s="16" t="n">
        <x:v>0</x:v>
      </x:c>
      <x:c r="Y324" s="16" t="n">
        <x:v>0</x:v>
      </x:c>
      <x:c r="Z324" s="16" t="n">
        <x:v>0</x:v>
      </x:c>
      <x:c r="AA324" s="16" t="n">
        <x:v>3</x:v>
      </x:c>
      <x:c r="AB324" s="16" t="n">
        <x:v>11</x:v>
      </x:c>
      <x:c r="AC324" s="16" t="n">
        <x:v>0</x:v>
      </x:c>
      <x:c r="AD324" s="21" t="n">
        <x:f>IF(E324="",MEDIAN($E$2:$E$2237),E324)</x:f>
        <x:v>40464</x:v>
      </x:c>
      <x:c r="AE324" s="17" t="n">
        <x:f>2014-B324</x:f>
        <x:v>61</x:v>
      </x:c>
      <x:c r="AF324" s="17" t="n">
        <x:f>F324+G324</x:f>
        <x:v>1</x:v>
      </x:c>
      <x:c r="AG324" s="21" t="n">
        <x:f>SUM(J324:O324)</x:f>
        <x:v>630</x:v>
      </x:c>
      <x:c r="AH324" s="17" t="n">
        <x:f>SUM(Q324:S324)</x:f>
        <x:v>18</x:v>
      </x:c>
      <x:c r="AI324" s="17" t="n">
        <x:f>SUM(U324:Y324)</x:f>
        <x:v>0</x:v>
      </x:c>
      <x:c r="AJ324" s="17" t="str">
        <x:f>IF(AE324&lt;=34,"≤34",IF(AE324&lt;=44,"35–44",IF(AE324&lt;=54,"45–54",IF(AE324&lt;=64,"55–64","65+"))))</x:f>
        <x:v>55–64</x:v>
      </x:c>
      <x:c r="AK324" s="17" t="str">
        <x:f>IF(AG324&gt;=1000,"High Value",IF(AG324&gt;=300,"Mid Value","Low Value"))</x:f>
        <x:v>Mid Value</x:v>
      </x:c>
      <x:c r="AL324" s="17" t="str">
        <x:f>IF(AND(AI324&gt;=1,I324&lt;=50),"Priority 1",IF(AND(AG324&gt;=1000,I324&lt;=60),"Priority 2",IF(I324&lt;=30,"Priority 3","Nurture")))</x:f>
        <x:v>Nurture</x:v>
      </x:c>
    </x:row>
    <x:row r="325">
      <x:c r="A325" s="16" t="n">
        <x:v>7214</x:v>
      </x:c>
      <x:c r="B325" s="16" t="n">
        <x:v>1957</x:v>
      </x:c>
      <x:c r="C325" s="16" t="str">
        <x:v>Graduation</x:v>
      </x:c>
      <x:c r="D325" s="16" t="str">
        <x:v>Married</x:v>
      </x:c>
      <x:c r="E325" s="16" t="n">
        <x:v>62187</x:v>
      </x:c>
      <x:c r="F325" s="16" t="n">
        <x:v>0</x:v>
      </x:c>
      <x:c r="G325" s="16" t="n">
        <x:v>0</x:v>
      </x:c>
      <x:c r="H325" s="16" t="str">
        <x:v>05-07-2013</x:v>
      </x:c>
      <x:c r="I325" s="16" t="n">
        <x:v>49</x:v>
      </x:c>
      <x:c r="J325" s="16" t="n">
        <x:v>792</x:v>
      </x:c>
      <x:c r="K325" s="16" t="n">
        <x:v>0</x:v>
      </x:c>
      <x:c r="L325" s="16" t="n">
        <x:v>275</x:v>
      </x:c>
      <x:c r="M325" s="16" t="n">
        <x:v>45</x:v>
      </x:c>
      <x:c r="N325" s="16" t="n">
        <x:v>45</x:v>
      </x:c>
      <x:c r="O325" s="16" t="n">
        <x:v>126</x:v>
      </x:c>
      <x:c r="P325" s="16" t="n">
        <x:v>1</x:v>
      </x:c>
      <x:c r="Q325" s="16" t="n">
        <x:v>4</x:v>
      </x:c>
      <x:c r="R325" s="16" t="n">
        <x:v>8</x:v>
      </x:c>
      <x:c r="S325" s="16" t="n">
        <x:v>5</x:v>
      </x:c>
      <x:c r="T325" s="16" t="n">
        <x:v>3</x:v>
      </x:c>
      <x:c r="U325" s="16" t="n">
        <x:v>0</x:v>
      </x:c>
      <x:c r="V325" s="16" t="n">
        <x:v>0</x:v>
      </x:c>
      <x:c r="W325" s="16" t="n">
        <x:v>0</x:v>
      </x:c>
      <x:c r="X325" s="16" t="n">
        <x:v>0</x:v>
      </x:c>
      <x:c r="Y325" s="16" t="n">
        <x:v>0</x:v>
      </x:c>
      <x:c r="Z325" s="16" t="n">
        <x:v>0</x:v>
      </x:c>
      <x:c r="AA325" s="16" t="n">
        <x:v>3</x:v>
      </x:c>
      <x:c r="AB325" s="16" t="n">
        <x:v>11</x:v>
      </x:c>
      <x:c r="AC325" s="16" t="n">
        <x:v>0</x:v>
      </x:c>
      <x:c r="AD325" s="21" t="n">
        <x:f>IF(E325="",MEDIAN($E$2:$E$2237),E325)</x:f>
        <x:v>62187</x:v>
      </x:c>
      <x:c r="AE325" s="17" t="n">
        <x:f>2014-B325</x:f>
        <x:v>57</x:v>
      </x:c>
      <x:c r="AF325" s="17" t="n">
        <x:f>F325+G325</x:f>
        <x:v>0</x:v>
      </x:c>
      <x:c r="AG325" s="21" t="n">
        <x:f>SUM(J325:O325)</x:f>
        <x:v>1283</x:v>
      </x:c>
      <x:c r="AH325" s="17" t="n">
        <x:f>SUM(Q325:S325)</x:f>
        <x:v>17</x:v>
      </x:c>
      <x:c r="AI325" s="17" t="n">
        <x:f>SUM(U325:Y325)</x:f>
        <x:v>0</x:v>
      </x:c>
      <x:c r="AJ325" s="17" t="str">
        <x:f>IF(AE325&lt;=34,"≤34",IF(AE325&lt;=44,"35–44",IF(AE325&lt;=54,"45–54",IF(AE325&lt;=64,"55–64","65+"))))</x:f>
        <x:v>55–64</x:v>
      </x:c>
      <x:c r="AK325" s="17" t="str">
        <x:f>IF(AG325&gt;=1000,"High Value",IF(AG325&gt;=300,"Mid Value","Low Value"))</x:f>
        <x:v>High Value</x:v>
      </x:c>
      <x:c r="AL325" s="17" t="str">
        <x:f>IF(AND(AI325&gt;=1,I325&lt;=50),"Priority 1",IF(AND(AG325&gt;=1000,I325&lt;=60),"Priority 2",IF(I325&lt;=30,"Priority 3","Nurture")))</x:f>
        <x:v>Priority 2</x:v>
      </x:c>
    </x:row>
    <x:row r="326">
      <x:c r="A326" s="16" t="n">
        <x:v>5835</x:v>
      </x:c>
      <x:c r="B326" s="16" t="n">
        <x:v>1976</x:v>
      </x:c>
      <x:c r="C326" s="16" t="str">
        <x:v>PhD</x:v>
      </x:c>
      <x:c r="D326" s="16" t="str">
        <x:v>Divorced</x:v>
      </x:c>
      <x:c r="E326" s="16" t="n">
        <x:v>14849</x:v>
      </x:c>
      <x:c r="F326" s="16" t="n">
        <x:v>1</x:v>
      </x:c>
      <x:c r="G326" s="16" t="n">
        <x:v>0</x:v>
      </x:c>
      <x:c r="H326" s="16" t="str">
        <x:v>02-07-2013</x:v>
      </x:c>
      <x:c r="I326" s="16" t="n">
        <x:v>39</x:v>
      </x:c>
      <x:c r="J326" s="16" t="n">
        <x:v>21</x:v>
      </x:c>
      <x:c r="K326" s="16" t="n">
        <x:v>2</x:v>
      </x:c>
      <x:c r="L326" s="16" t="n">
        <x:v>28</x:v>
      </x:c>
      <x:c r="M326" s="16" t="n">
        <x:v>3</x:v>
      </x:c>
      <x:c r="N326" s="16" t="n">
        <x:v>2</x:v>
      </x:c>
      <x:c r="O326" s="16" t="n">
        <x:v>9</x:v>
      </x:c>
      <x:c r="P326" s="16" t="n">
        <x:v>3</x:v>
      </x:c>
      <x:c r="Q326" s="16" t="n">
        <x:v>2</x:v>
      </x:c>
      <x:c r="R326" s="16" t="n">
        <x:v>0</x:v>
      </x:c>
      <x:c r="S326" s="16" t="n">
        <x:v>4</x:v>
      </x:c>
      <x:c r="T326" s="16" t="n">
        <x:v>8</x:v>
      </x:c>
      <x:c r="U326" s="16" t="n">
        <x:v>0</x:v>
      </x:c>
      <x:c r="V326" s="16" t="n">
        <x:v>0</x:v>
      </x:c>
      <x:c r="W326" s="16" t="n">
        <x:v>0</x:v>
      </x:c>
      <x:c r="X326" s="16" t="n">
        <x:v>0</x:v>
      </x:c>
      <x:c r="Y326" s="16" t="n">
        <x:v>0</x:v>
      </x:c>
      <x:c r="Z326" s="16" t="n">
        <x:v>0</x:v>
      </x:c>
      <x:c r="AA326" s="16" t="n">
        <x:v>3</x:v>
      </x:c>
      <x:c r="AB326" s="16" t="n">
        <x:v>11</x:v>
      </x:c>
      <x:c r="AC326" s="16" t="n">
        <x:v>0</x:v>
      </x:c>
      <x:c r="AD326" s="21" t="n">
        <x:f>IF(E326="",MEDIAN($E$2:$E$2237),E326)</x:f>
        <x:v>14849</x:v>
      </x:c>
      <x:c r="AE326" s="17" t="n">
        <x:f>2014-B326</x:f>
        <x:v>38</x:v>
      </x:c>
      <x:c r="AF326" s="17" t="n">
        <x:f>F326+G326</x:f>
        <x:v>1</x:v>
      </x:c>
      <x:c r="AG326" s="21" t="n">
        <x:f>SUM(J326:O326)</x:f>
        <x:v>65</x:v>
      </x:c>
      <x:c r="AH326" s="17" t="n">
        <x:f>SUM(Q326:S326)</x:f>
        <x:v>6</x:v>
      </x:c>
      <x:c r="AI326" s="17" t="n">
        <x:f>SUM(U326:Y326)</x:f>
        <x:v>0</x:v>
      </x:c>
      <x:c r="AJ326" s="17" t="str">
        <x:f>IF(AE326&lt;=34,"≤34",IF(AE326&lt;=44,"35–44",IF(AE326&lt;=54,"45–54",IF(AE326&lt;=64,"55–64","65+"))))</x:f>
        <x:v>35–44</x:v>
      </x:c>
      <x:c r="AK326" s="17" t="str">
        <x:f>IF(AG326&gt;=1000,"High Value",IF(AG326&gt;=300,"Mid Value","Low Value"))</x:f>
        <x:v>Low Value</x:v>
      </x:c>
      <x:c r="AL326" s="17" t="str">
        <x:f>IF(AND(AI326&gt;=1,I326&lt;=50),"Priority 1",IF(AND(AG326&gt;=1000,I326&lt;=60),"Priority 2",IF(I326&lt;=30,"Priority 3","Nurture")))</x:f>
        <x:v>Nurture</x:v>
      </x:c>
    </x:row>
    <x:row r="327">
      <x:c r="A327" s="16" t="n">
        <x:v>3896</x:v>
      </x:c>
      <x:c r="B327" s="16" t="n">
        <x:v>1984</x:v>
      </x:c>
      <x:c r="C327" s="16" t="str">
        <x:v>Graduation</x:v>
      </x:c>
      <x:c r="D327" s="16" t="str">
        <x:v>Married</x:v>
      </x:c>
      <x:c r="E327" s="16" t="n">
        <x:v>27255</x:v>
      </x:c>
      <x:c r="F327" s="16" t="n">
        <x:v>1</x:v>
      </x:c>
      <x:c r="G327" s="16" t="n">
        <x:v>0</x:v>
      </x:c>
      <x:c r="H327" s="16" t="str">
        <x:v>07-11-2013</x:v>
      </x:c>
      <x:c r="I327" s="16" t="n">
        <x:v>3</x:v>
      </x:c>
      <x:c r="J327" s="16" t="n">
        <x:v>22</x:v>
      </x:c>
      <x:c r="K327" s="16" t="n">
        <x:v>1</x:v>
      </x:c>
      <x:c r="L327" s="16" t="n">
        <x:v>11</x:v>
      </x:c>
      <x:c r="M327" s="16" t="n">
        <x:v>0</x:v>
      </x:c>
      <x:c r="N327" s="16" t="n">
        <x:v>1</x:v>
      </x:c>
      <x:c r="O327" s="16" t="n">
        <x:v>2</x:v>
      </x:c>
      <x:c r="P327" s="16" t="n">
        <x:v>1</x:v>
      </x:c>
      <x:c r="Q327" s="16" t="n">
        <x:v>1</x:v>
      </x:c>
      <x:c r="R327" s="16" t="n">
        <x:v>0</x:v>
      </x:c>
      <x:c r="S327" s="16" t="n">
        <x:v>3</x:v>
      </x:c>
      <x:c r="T327" s="16" t="n">
        <x:v>7</x:v>
      </x:c>
      <x:c r="U327" s="16" t="n">
        <x:v>0</x:v>
      </x:c>
      <x:c r="V327" s="16" t="n">
        <x:v>0</x:v>
      </x:c>
      <x:c r="W327" s="16" t="n">
        <x:v>0</x:v>
      </x:c>
      <x:c r="X327" s="16" t="n">
        <x:v>0</x:v>
      </x:c>
      <x:c r="Y327" s="16" t="n">
        <x:v>0</x:v>
      </x:c>
      <x:c r="Z327" s="16" t="n">
        <x:v>0</x:v>
      </x:c>
      <x:c r="AA327" s="16" t="n">
        <x:v>3</x:v>
      </x:c>
      <x:c r="AB327" s="16" t="n">
        <x:v>11</x:v>
      </x:c>
      <x:c r="AC327" s="16" t="n">
        <x:v>0</x:v>
      </x:c>
      <x:c r="AD327" s="21" t="n">
        <x:f>IF(E327="",MEDIAN($E$2:$E$2237),E327)</x:f>
        <x:v>27255</x:v>
      </x:c>
      <x:c r="AE327" s="17" t="n">
        <x:f>2014-B327</x:f>
        <x:v>30</x:v>
      </x:c>
      <x:c r="AF327" s="17" t="n">
        <x:f>F327+G327</x:f>
        <x:v>1</x:v>
      </x:c>
      <x:c r="AG327" s="21" t="n">
        <x:f>SUM(J327:O327)</x:f>
        <x:v>37</x:v>
      </x:c>
      <x:c r="AH327" s="17" t="n">
        <x:f>SUM(Q327:S327)</x:f>
        <x:v>4</x:v>
      </x:c>
      <x:c r="AI327" s="17" t="n">
        <x:f>SUM(U327:Y327)</x:f>
        <x:v>0</x:v>
      </x:c>
      <x:c r="AJ327" s="17" t="str">
        <x:f>IF(AE327&lt;=34,"≤34",IF(AE327&lt;=44,"35–44",IF(AE327&lt;=54,"45–54",IF(AE327&lt;=64,"55–64","65+"))))</x:f>
        <x:v>≤34</x:v>
      </x:c>
      <x:c r="AK327" s="17" t="str">
        <x:f>IF(AG327&gt;=1000,"High Value",IF(AG327&gt;=300,"Mid Value","Low Value"))</x:f>
        <x:v>Low Value</x:v>
      </x:c>
      <x:c r="AL327" s="17" t="str">
        <x:f>IF(AND(AI327&gt;=1,I327&lt;=50),"Priority 1",IF(AND(AG327&gt;=1000,I327&lt;=60),"Priority 2",IF(I327&lt;=30,"Priority 3","Nurture")))</x:f>
        <x:v>Priority 3</x:v>
      </x:c>
    </x:row>
    <x:row r="328">
      <x:c r="A328" s="16" t="n">
        <x:v>10350</x:v>
      </x:c>
      <x:c r="B328" s="16" t="n">
        <x:v>1950</x:v>
      </x:c>
      <x:c r="C328" s="16" t="str">
        <x:v>PhD</x:v>
      </x:c>
      <x:c r="D328" s="16" t="str">
        <x:v>Married</x:v>
      </x:c>
      <x:c r="E328" s="16" t="n">
        <x:v>54432</x:v>
      </x:c>
      <x:c r="F328" s="16" t="n">
        <x:v>2</x:v>
      </x:c>
      <x:c r="G328" s="16" t="n">
        <x:v>1</x:v>
      </x:c>
      <x:c r="H328" s="16" t="str">
        <x:v>09-05-2013</x:v>
      </x:c>
      <x:c r="I328" s="16" t="n">
        <x:v>37</x:v>
      </x:c>
      <x:c r="J328" s="16" t="n">
        <x:v>33</x:v>
      </x:c>
      <x:c r="K328" s="16" t="n">
        <x:v>0</x:v>
      </x:c>
      <x:c r="L328" s="16" t="n">
        <x:v>5</x:v>
      </x:c>
      <x:c r="M328" s="16" t="n">
        <x:v>0</x:v>
      </x:c>
      <x:c r="N328" s="16" t="n">
        <x:v>0</x:v>
      </x:c>
      <x:c r="O328" s="16" t="n">
        <x:v>0</x:v>
      </x:c>
      <x:c r="P328" s="16" t="n">
        <x:v>1</x:v>
      </x:c>
      <x:c r="Q328" s="16" t="n">
        <x:v>1</x:v>
      </x:c>
      <x:c r="R328" s="16" t="n">
        <x:v>0</x:v>
      </x:c>
      <x:c r="S328" s="16" t="n">
        <x:v>3</x:v>
      </x:c>
      <x:c r="T328" s="16" t="n">
        <x:v>4</x:v>
      </x:c>
      <x:c r="U328" s="16" t="n">
        <x:v>0</x:v>
      </x:c>
      <x:c r="V328" s="16" t="n">
        <x:v>0</x:v>
      </x:c>
      <x:c r="W328" s="16" t="n">
        <x:v>0</x:v>
      </x:c>
      <x:c r="X328" s="16" t="n">
        <x:v>0</x:v>
      </x:c>
      <x:c r="Y328" s="16" t="n">
        <x:v>0</x:v>
      </x:c>
      <x:c r="Z328" s="16" t="n">
        <x:v>0</x:v>
      </x:c>
      <x:c r="AA328" s="16" t="n">
        <x:v>3</x:v>
      </x:c>
      <x:c r="AB328" s="16" t="n">
        <x:v>11</x:v>
      </x:c>
      <x:c r="AC328" s="16" t="n">
        <x:v>0</x:v>
      </x:c>
      <x:c r="AD328" s="21" t="n">
        <x:f>IF(E328="",MEDIAN($E$2:$E$2237),E328)</x:f>
        <x:v>54432</x:v>
      </x:c>
      <x:c r="AE328" s="17" t="n">
        <x:f>2014-B328</x:f>
        <x:v>64</x:v>
      </x:c>
      <x:c r="AF328" s="17" t="n">
        <x:f>F328+G328</x:f>
        <x:v>3</x:v>
      </x:c>
      <x:c r="AG328" s="21" t="n">
        <x:f>SUM(J328:O328)</x:f>
        <x:v>38</x:v>
      </x:c>
      <x:c r="AH328" s="17" t="n">
        <x:f>SUM(Q328:S328)</x:f>
        <x:v>4</x:v>
      </x:c>
      <x:c r="AI328" s="17" t="n">
        <x:f>SUM(U328:Y328)</x:f>
        <x:v>0</x:v>
      </x:c>
      <x:c r="AJ328" s="17" t="str">
        <x:f>IF(AE328&lt;=34,"≤34",IF(AE328&lt;=44,"35–44",IF(AE328&lt;=54,"45–54",IF(AE328&lt;=64,"55–64","65+"))))</x:f>
        <x:v>55–64</x:v>
      </x:c>
      <x:c r="AK328" s="17" t="str">
        <x:f>IF(AG328&gt;=1000,"High Value",IF(AG328&gt;=300,"Mid Value","Low Value"))</x:f>
        <x:v>Low Value</x:v>
      </x:c>
      <x:c r="AL328" s="17" t="str">
        <x:f>IF(AND(AI328&gt;=1,I328&lt;=50),"Priority 1",IF(AND(AG328&gt;=1000,I328&lt;=60),"Priority 2",IF(I328&lt;=30,"Priority 3","Nurture")))</x:f>
        <x:v>Nurture</x:v>
      </x:c>
    </x:row>
    <x:row r="329">
      <x:c r="A329" s="16" t="n">
        <x:v>7786</x:v>
      </x:c>
      <x:c r="B329" s="16" t="n">
        <x:v>1986</x:v>
      </x:c>
      <x:c r="C329" s="16" t="str">
        <x:v>PhD</x:v>
      </x:c>
      <x:c r="D329" s="16" t="str">
        <x:v>Single</x:v>
      </x:c>
      <x:c r="E329" s="16" t="n">
        <x:v>29999</x:v>
      </x:c>
      <x:c r="F329" s="16" t="n">
        <x:v>1</x:v>
      </x:c>
      <x:c r="G329" s="16" t="n">
        <x:v>0</x:v>
      </x:c>
      <x:c r="H329" s="16" t="str">
        <x:v>13-02-2013</x:v>
      </x:c>
      <x:c r="I329" s="16" t="n">
        <x:v>22</x:v>
      </x:c>
      <x:c r="J329" s="16" t="n">
        <x:v>68</x:v>
      </x:c>
      <x:c r="K329" s="16" t="n">
        <x:v>7</x:v>
      </x:c>
      <x:c r="L329" s="16" t="n">
        <x:v>59</x:v>
      </x:c>
      <x:c r="M329" s="16" t="n">
        <x:v>10</x:v>
      </x:c>
      <x:c r="N329" s="16" t="n">
        <x:v>5</x:v>
      </x:c>
      <x:c r="O329" s="16" t="n">
        <x:v>11</x:v>
      </x:c>
      <x:c r="P329" s="16" t="n">
        <x:v>4</x:v>
      </x:c>
      <x:c r="Q329" s="16" t="n">
        <x:v>3</x:v>
      </x:c>
      <x:c r="R329" s="16" t="n">
        <x:v>1</x:v>
      </x:c>
      <x:c r="S329" s="16" t="n">
        <x:v>4</x:v>
      </x:c>
      <x:c r="T329" s="16" t="n">
        <x:v>8</x:v>
      </x:c>
      <x:c r="U329" s="16" t="n">
        <x:v>0</x:v>
      </x:c>
      <x:c r="V329" s="16" t="n">
        <x:v>0</x:v>
      </x:c>
      <x:c r="W329" s="16" t="n">
        <x:v>0</x:v>
      </x:c>
      <x:c r="X329" s="16" t="n">
        <x:v>0</x:v>
      </x:c>
      <x:c r="Y329" s="16" t="n">
        <x:v>0</x:v>
      </x:c>
      <x:c r="Z329" s="16" t="n">
        <x:v>0</x:v>
      </x:c>
      <x:c r="AA329" s="16" t="n">
        <x:v>3</x:v>
      </x:c>
      <x:c r="AB329" s="16" t="n">
        <x:v>11</x:v>
      </x:c>
      <x:c r="AC329" s="16" t="n">
        <x:v>0</x:v>
      </x:c>
      <x:c r="AD329" s="21" t="n">
        <x:f>IF(E329="",MEDIAN($E$2:$E$2237),E329)</x:f>
        <x:v>29999</x:v>
      </x:c>
      <x:c r="AE329" s="17" t="n">
        <x:f>2014-B329</x:f>
        <x:v>28</x:v>
      </x:c>
      <x:c r="AF329" s="17" t="n">
        <x:f>F329+G329</x:f>
        <x:v>1</x:v>
      </x:c>
      <x:c r="AG329" s="21" t="n">
        <x:f>SUM(J329:O329)</x:f>
        <x:v>160</x:v>
      </x:c>
      <x:c r="AH329" s="17" t="n">
        <x:f>SUM(Q329:S329)</x:f>
        <x:v>8</x:v>
      </x:c>
      <x:c r="AI329" s="17" t="n">
        <x:f>SUM(U329:Y329)</x:f>
        <x:v>0</x:v>
      </x:c>
      <x:c r="AJ329" s="17" t="str">
        <x:f>IF(AE329&lt;=34,"≤34",IF(AE329&lt;=44,"35–44",IF(AE329&lt;=54,"45–54",IF(AE329&lt;=64,"55–64","65+"))))</x:f>
        <x:v>≤34</x:v>
      </x:c>
      <x:c r="AK329" s="17" t="str">
        <x:f>IF(AG329&gt;=1000,"High Value",IF(AG329&gt;=300,"Mid Value","Low Value"))</x:f>
        <x:v>Low Value</x:v>
      </x:c>
      <x:c r="AL329" s="17" t="str">
        <x:f>IF(AND(AI329&gt;=1,I329&lt;=50),"Priority 1",IF(AND(AG329&gt;=1000,I329&lt;=60),"Priority 2",IF(I329&lt;=30,"Priority 3","Nurture")))</x:f>
        <x:v>Priority 3</x:v>
      </x:c>
    </x:row>
    <x:row r="330">
      <x:c r="A330" s="16" t="n">
        <x:v>2861</x:v>
      </x:c>
      <x:c r="B330" s="16" t="n">
        <x:v>1983</x:v>
      </x:c>
      <x:c r="C330" s="16" t="str">
        <x:v>Graduation</x:v>
      </x:c>
      <x:c r="D330" s="16" t="str">
        <x:v>Single</x:v>
      </x:c>
      <x:c r="E330" s="16" t="n">
        <x:v>24072</x:v>
      </x:c>
      <x:c r="F330" s="16" t="n">
        <x:v>1</x:v>
      </x:c>
      <x:c r="G330" s="16" t="n">
        <x:v>0</x:v>
      </x:c>
      <x:c r="H330" s="16" t="str">
        <x:v>16-04-2013</x:v>
      </x:c>
      <x:c r="I330" s="16" t="n">
        <x:v>79</x:v>
      </x:c>
      <x:c r="J330" s="16" t="n">
        <x:v>9</x:v>
      </x:c>
      <x:c r="K330" s="16" t="n">
        <x:v>1</x:v>
      </x:c>
      <x:c r="L330" s="16" t="n">
        <x:v>6</x:v>
      </x:c>
      <x:c r="M330" s="16" t="n">
        <x:v>3</x:v>
      </x:c>
      <x:c r="N330" s="16" t="n">
        <x:v>0</x:v>
      </x:c>
      <x:c r="O330" s="16" t="n">
        <x:v>4</x:v>
      </x:c>
      <x:c r="P330" s="16" t="n">
        <x:v>1</x:v>
      </x:c>
      <x:c r="Q330" s="16" t="n">
        <x:v>1</x:v>
      </x:c>
      <x:c r="R330" s="16" t="n">
        <x:v>0</x:v>
      </x:c>
      <x:c r="S330" s="16" t="n">
        <x:v>2</x:v>
      </x:c>
      <x:c r="T330" s="16" t="n">
        <x:v>8</x:v>
      </x:c>
      <x:c r="U330" s="16" t="n">
        <x:v>0</x:v>
      </x:c>
      <x:c r="V330" s="16" t="n">
        <x:v>0</x:v>
      </x:c>
      <x:c r="W330" s="16" t="n">
        <x:v>0</x:v>
      </x:c>
      <x:c r="X330" s="16" t="n">
        <x:v>0</x:v>
      </x:c>
      <x:c r="Y330" s="16" t="n">
        <x:v>0</x:v>
      </x:c>
      <x:c r="Z330" s="16" t="n">
        <x:v>0</x:v>
      </x:c>
      <x:c r="AA330" s="16" t="n">
        <x:v>3</x:v>
      </x:c>
      <x:c r="AB330" s="16" t="n">
        <x:v>11</x:v>
      </x:c>
      <x:c r="AC330" s="16" t="n">
        <x:v>0</x:v>
      </x:c>
      <x:c r="AD330" s="21" t="n">
        <x:f>IF(E330="",MEDIAN($E$2:$E$2237),E330)</x:f>
        <x:v>24072</x:v>
      </x:c>
      <x:c r="AE330" s="17" t="n">
        <x:f>2014-B330</x:f>
        <x:v>31</x:v>
      </x:c>
      <x:c r="AF330" s="17" t="n">
        <x:f>F330+G330</x:f>
        <x:v>1</x:v>
      </x:c>
      <x:c r="AG330" s="21" t="n">
        <x:f>SUM(J330:O330)</x:f>
        <x:v>23</x:v>
      </x:c>
      <x:c r="AH330" s="17" t="n">
        <x:f>SUM(Q330:S330)</x:f>
        <x:v>3</x:v>
      </x:c>
      <x:c r="AI330" s="17" t="n">
        <x:f>SUM(U330:Y330)</x:f>
        <x:v>0</x:v>
      </x:c>
      <x:c r="AJ330" s="17" t="str">
        <x:f>IF(AE330&lt;=34,"≤34",IF(AE330&lt;=44,"35–44",IF(AE330&lt;=54,"45–54",IF(AE330&lt;=64,"55–64","65+"))))</x:f>
        <x:v>≤34</x:v>
      </x:c>
      <x:c r="AK330" s="17" t="str">
        <x:f>IF(AG330&gt;=1000,"High Value",IF(AG330&gt;=300,"Mid Value","Low Value"))</x:f>
        <x:v>Low Value</x:v>
      </x:c>
      <x:c r="AL330" s="17" t="str">
        <x:f>IF(AND(AI330&gt;=1,I330&lt;=50),"Priority 1",IF(AND(AG330&gt;=1000,I330&lt;=60),"Priority 2",IF(I330&lt;=30,"Priority 3","Nurture")))</x:f>
        <x:v>Nurture</x:v>
      </x:c>
    </x:row>
    <x:row r="331">
      <x:c r="A331" s="16" t="n">
        <x:v>663</x:v>
      </x:c>
      <x:c r="B331" s="16" t="n">
        <x:v>1989</x:v>
      </x:c>
      <x:c r="C331" s="16" t="str">
        <x:v>PhD</x:v>
      </x:c>
      <x:c r="D331" s="16" t="str">
        <x:v>Single</x:v>
      </x:c>
      <x:c r="E331" s="16" t="n">
        <x:v>33996</x:v>
      </x:c>
      <x:c r="F331" s="16" t="n">
        <x:v>0</x:v>
      </x:c>
      <x:c r="G331" s="16" t="n">
        <x:v>0</x:v>
      </x:c>
      <x:c r="H331" s="16" t="str">
        <x:v>11-09-2013</x:v>
      </x:c>
      <x:c r="I331" s="16" t="n">
        <x:v>46</x:v>
      </x:c>
      <x:c r="J331" s="16" t="n">
        <x:v>40</x:v>
      </x:c>
      <x:c r="K331" s="16" t="n">
        <x:v>2</x:v>
      </x:c>
      <x:c r="L331" s="16" t="n">
        <x:v>15</x:v>
      </x:c>
      <x:c r="M331" s="16" t="n">
        <x:v>8</x:v>
      </x:c>
      <x:c r="N331" s="16" t="n">
        <x:v>0</x:v>
      </x:c>
      <x:c r="O331" s="16" t="n">
        <x:v>6</x:v>
      </x:c>
      <x:c r="P331" s="16" t="n">
        <x:v>1</x:v>
      </x:c>
      <x:c r="Q331" s="16" t="n">
        <x:v>1</x:v>
      </x:c>
      <x:c r="R331" s="16" t="n">
        <x:v>1</x:v>
      </x:c>
      <x:c r="S331" s="16" t="n">
        <x:v>3</x:v>
      </x:c>
      <x:c r="T331" s="16" t="n">
        <x:v>4</x:v>
      </x:c>
      <x:c r="U331" s="16" t="n">
        <x:v>0</x:v>
      </x:c>
      <x:c r="V331" s="16" t="n">
        <x:v>0</x:v>
      </x:c>
      <x:c r="W331" s="16" t="n">
        <x:v>0</x:v>
      </x:c>
      <x:c r="X331" s="16" t="n">
        <x:v>0</x:v>
      </x:c>
      <x:c r="Y331" s="16" t="n">
        <x:v>0</x:v>
      </x:c>
      <x:c r="Z331" s="16" t="n">
        <x:v>0</x:v>
      </x:c>
      <x:c r="AA331" s="16" t="n">
        <x:v>3</x:v>
      </x:c>
      <x:c r="AB331" s="16" t="n">
        <x:v>11</x:v>
      </x:c>
      <x:c r="AC331" s="16" t="n">
        <x:v>0</x:v>
      </x:c>
      <x:c r="AD331" s="21" t="n">
        <x:f>IF(E331="",MEDIAN($E$2:$E$2237),E331)</x:f>
        <x:v>33996</x:v>
      </x:c>
      <x:c r="AE331" s="17" t="n">
        <x:f>2014-B331</x:f>
        <x:v>25</x:v>
      </x:c>
      <x:c r="AF331" s="17" t="n">
        <x:f>F331+G331</x:f>
        <x:v>0</x:v>
      </x:c>
      <x:c r="AG331" s="21" t="n">
        <x:f>SUM(J331:O331)</x:f>
        <x:v>71</x:v>
      </x:c>
      <x:c r="AH331" s="17" t="n">
        <x:f>SUM(Q331:S331)</x:f>
        <x:v>5</x:v>
      </x:c>
      <x:c r="AI331" s="17" t="n">
        <x:f>SUM(U331:Y331)</x:f>
        <x:v>0</x:v>
      </x:c>
      <x:c r="AJ331" s="17" t="str">
        <x:f>IF(AE331&lt;=34,"≤34",IF(AE331&lt;=44,"35–44",IF(AE331&lt;=54,"45–54",IF(AE331&lt;=64,"55–64","65+"))))</x:f>
        <x:v>≤34</x:v>
      </x:c>
      <x:c r="AK331" s="17" t="str">
        <x:f>IF(AG331&gt;=1000,"High Value",IF(AG331&gt;=300,"Mid Value","Low Value"))</x:f>
        <x:v>Low Value</x:v>
      </x:c>
      <x:c r="AL331" s="17" t="str">
        <x:f>IF(AND(AI331&gt;=1,I331&lt;=50),"Priority 1",IF(AND(AG331&gt;=1000,I331&lt;=60),"Priority 2",IF(I331&lt;=30,"Priority 3","Nurture")))</x:f>
        <x:v>Nurture</x:v>
      </x:c>
    </x:row>
    <x:row r="332">
      <x:c r="A332" s="16" t="n">
        <x:v>10675</x:v>
      </x:c>
      <x:c r="B332" s="16" t="n">
        <x:v>1956</x:v>
      </x:c>
      <x:c r="C332" s="16" t="str">
        <x:v>PhD</x:v>
      </x:c>
      <x:c r="D332" s="16" t="str">
        <x:v>Married</x:v>
      </x:c>
      <x:c r="E332" s="16" t="n">
        <x:v>66334</x:v>
      </x:c>
      <x:c r="F332" s="16" t="n">
        <x:v>0</x:v>
      </x:c>
      <x:c r="G332" s="16" t="n">
        <x:v>1</x:v>
      </x:c>
      <x:c r="H332" s="16" t="str">
        <x:v>03-04-2013</x:v>
      </x:c>
      <x:c r="I332" s="16" t="n">
        <x:v>82</x:v>
      </x:c>
      <x:c r="J332" s="16" t="n">
        <x:v>909</x:v>
      </x:c>
      <x:c r="K332" s="16" t="n">
        <x:v>11</x:v>
      </x:c>
      <x:c r="L332" s="16" t="n">
        <x:v>218</x:v>
      </x:c>
      <x:c r="M332" s="16" t="n">
        <x:v>0</x:v>
      </x:c>
      <x:c r="N332" s="16" t="n">
        <x:v>0</x:v>
      </x:c>
      <x:c r="O332" s="16" t="n">
        <x:v>23</x:v>
      </x:c>
      <x:c r="P332" s="16" t="n">
        <x:v>2</x:v>
      </x:c>
      <x:c r="Q332" s="16" t="n">
        <x:v>9</x:v>
      </x:c>
      <x:c r="R332" s="16" t="n">
        <x:v>3</x:v>
      </x:c>
      <x:c r="S332" s="16" t="n">
        <x:v>5</x:v>
      </x:c>
      <x:c r="T332" s="16" t="n">
        <x:v>5</x:v>
      </x:c>
      <x:c r="U332" s="16" t="n">
        <x:v>0</x:v>
      </x:c>
      <x:c r="V332" s="16" t="n">
        <x:v>0</x:v>
      </x:c>
      <x:c r="W332" s="16" t="n">
        <x:v>0</x:v>
      </x:c>
      <x:c r="X332" s="16" t="n">
        <x:v>0</x:v>
      </x:c>
      <x:c r="Y332" s="16" t="n">
        <x:v>0</x:v>
      </x:c>
      <x:c r="Z332" s="16" t="n">
        <x:v>0</x:v>
      </x:c>
      <x:c r="AA332" s="16" t="n">
        <x:v>3</x:v>
      </x:c>
      <x:c r="AB332" s="16" t="n">
        <x:v>11</x:v>
      </x:c>
      <x:c r="AC332" s="16" t="n">
        <x:v>1</x:v>
      </x:c>
      <x:c r="AD332" s="21" t="n">
        <x:f>IF(E332="",MEDIAN($E$2:$E$2237),E332)</x:f>
        <x:v>66334</x:v>
      </x:c>
      <x:c r="AE332" s="17" t="n">
        <x:f>2014-B332</x:f>
        <x:v>58</x:v>
      </x:c>
      <x:c r="AF332" s="17" t="n">
        <x:f>F332+G332</x:f>
        <x:v>1</x:v>
      </x:c>
      <x:c r="AG332" s="21" t="n">
        <x:f>SUM(J332:O332)</x:f>
        <x:v>1161</x:v>
      </x:c>
      <x:c r="AH332" s="17" t="n">
        <x:f>SUM(Q332:S332)</x:f>
        <x:v>17</x:v>
      </x:c>
      <x:c r="AI332" s="17" t="n">
        <x:f>SUM(U332:Y332)</x:f>
        <x:v>0</x:v>
      </x:c>
      <x:c r="AJ332" s="17" t="str">
        <x:f>IF(AE332&lt;=34,"≤34",IF(AE332&lt;=44,"35–44",IF(AE332&lt;=54,"45–54",IF(AE332&lt;=64,"55–64","65+"))))</x:f>
        <x:v>55–64</x:v>
      </x:c>
      <x:c r="AK332" s="17" t="str">
        <x:f>IF(AG332&gt;=1000,"High Value",IF(AG332&gt;=300,"Mid Value","Low Value"))</x:f>
        <x:v>High Value</x:v>
      </x:c>
      <x:c r="AL332" s="17" t="str">
        <x:f>IF(AND(AI332&gt;=1,I332&lt;=50),"Priority 1",IF(AND(AG332&gt;=1000,I332&lt;=60),"Priority 2",IF(I332&lt;=30,"Priority 3","Nurture")))</x:f>
        <x:v>Nurture</x:v>
      </x:c>
    </x:row>
    <x:row r="333">
      <x:c r="A333" s="16" t="n">
        <x:v>2521</x:v>
      </x:c>
      <x:c r="B333" s="16" t="n">
        <x:v>1971</x:v>
      </x:c>
      <x:c r="C333" s="16" t="str">
        <x:v>Master</x:v>
      </x:c>
      <x:c r="D333" s="16" t="str">
        <x:v>Married</x:v>
      </x:c>
      <x:c r="E333" s="16" t="n">
        <x:v>35178</x:v>
      </x:c>
      <x:c r="F333" s="16" t="n">
        <x:v>1</x:v>
      </x:c>
      <x:c r="G333" s="16" t="n">
        <x:v>0</x:v>
      </x:c>
      <x:c r="H333" s="16" t="str">
        <x:v>10-01-2013</x:v>
      </x:c>
      <x:c r="I333" s="16" t="n">
        <x:v>10</x:v>
      </x:c>
      <x:c r="J333" s="16" t="n">
        <x:v>23</x:v>
      </x:c>
      <x:c r="K333" s="16" t="n">
        <x:v>1</x:v>
      </x:c>
      <x:c r="L333" s="16" t="n">
        <x:v>13</x:v>
      </x:c>
      <x:c r="M333" s="16" t="n">
        <x:v>2</x:v>
      </x:c>
      <x:c r="N333" s="16" t="n">
        <x:v>2</x:v>
      </x:c>
      <x:c r="O333" s="16" t="n">
        <x:v>18</x:v>
      </x:c>
      <x:c r="P333" s="16" t="n">
        <x:v>1</x:v>
      </x:c>
      <x:c r="Q333" s="16" t="n">
        <x:v>1</x:v>
      </x:c>
      <x:c r="R333" s="16" t="n">
        <x:v>1</x:v>
      </x:c>
      <x:c r="S333" s="16" t="n">
        <x:v>2</x:v>
      </x:c>
      <x:c r="T333" s="16" t="n">
        <x:v>7</x:v>
      </x:c>
      <x:c r="U333" s="16" t="n">
        <x:v>1</x:v>
      </x:c>
      <x:c r="V333" s="16" t="n">
        <x:v>0</x:v>
      </x:c>
      <x:c r="W333" s="16" t="n">
        <x:v>0</x:v>
      </x:c>
      <x:c r="X333" s="16" t="n">
        <x:v>0</x:v>
      </x:c>
      <x:c r="Y333" s="16" t="n">
        <x:v>0</x:v>
      </x:c>
      <x:c r="Z333" s="16" t="n">
        <x:v>0</x:v>
      </x:c>
      <x:c r="AA333" s="16" t="n">
        <x:v>3</x:v>
      </x:c>
      <x:c r="AB333" s="16" t="n">
        <x:v>11</x:v>
      </x:c>
      <x:c r="AC333" s="16" t="n">
        <x:v>1</x:v>
      </x:c>
      <x:c r="AD333" s="21" t="n">
        <x:f>IF(E333="",MEDIAN($E$2:$E$2237),E333)</x:f>
        <x:v>35178</x:v>
      </x:c>
      <x:c r="AE333" s="17" t="n">
        <x:f>2014-B333</x:f>
        <x:v>43</x:v>
      </x:c>
      <x:c r="AF333" s="17" t="n">
        <x:f>F333+G333</x:f>
        <x:v>1</x:v>
      </x:c>
      <x:c r="AG333" s="21" t="n">
        <x:f>SUM(J333:O333)</x:f>
        <x:v>59</x:v>
      </x:c>
      <x:c r="AH333" s="17" t="n">
        <x:f>SUM(Q333:S333)</x:f>
        <x:v>4</x:v>
      </x:c>
      <x:c r="AI333" s="17" t="n">
        <x:f>SUM(U333:Y333)</x:f>
        <x:v>1</x:v>
      </x:c>
      <x:c r="AJ333" s="17" t="str">
        <x:f>IF(AE333&lt;=34,"≤34",IF(AE333&lt;=44,"35–44",IF(AE333&lt;=54,"45–54",IF(AE333&lt;=64,"55–64","65+"))))</x:f>
        <x:v>35–44</x:v>
      </x:c>
      <x:c r="AK333" s="17" t="str">
        <x:f>IF(AG333&gt;=1000,"High Value",IF(AG333&gt;=300,"Mid Value","Low Value"))</x:f>
        <x:v>Low Value</x:v>
      </x:c>
      <x:c r="AL333" s="17" t="str">
        <x:f>IF(AND(AI333&gt;=1,I333&lt;=50),"Priority 1",IF(AND(AG333&gt;=1000,I333&lt;=60),"Priority 2",IF(I333&lt;=30,"Priority 3","Nurture")))</x:f>
        <x:v>Priority 1</x:v>
      </x:c>
    </x:row>
    <x:row r="334">
      <x:c r="A334" s="16" t="n">
        <x:v>9592</x:v>
      </x:c>
      <x:c r="B334" s="16" t="n">
        <x:v>1983</x:v>
      </x:c>
      <x:c r="C334" s="16" t="str">
        <x:v>Graduation</x:v>
      </x:c>
      <x:c r="D334" s="16" t="str">
        <x:v>Together</x:v>
      </x:c>
      <x:c r="E334" s="16" t="n">
        <x:v>22010</x:v>
      </x:c>
      <x:c r="F334" s="16" t="n">
        <x:v>1</x:v>
      </x:c>
      <x:c r="G334" s="16" t="n">
        <x:v>0</x:v>
      </x:c>
      <x:c r="H334" s="16" t="str">
        <x:v>30-06-2013</x:v>
      </x:c>
      <x:c r="I334" s="16" t="n">
        <x:v>51</x:v>
      </x:c>
      <x:c r="J334" s="16" t="n">
        <x:v>11</x:v>
      </x:c>
      <x:c r="K334" s="16" t="n">
        <x:v>2</x:v>
      </x:c>
      <x:c r="L334" s="16" t="n">
        <x:v>9</x:v>
      </x:c>
      <x:c r="M334" s="16" t="n">
        <x:v>3</x:v>
      </x:c>
      <x:c r="N334" s="16" t="n">
        <x:v>0</x:v>
      </x:c>
      <x:c r="O334" s="16" t="n">
        <x:v>8</x:v>
      </x:c>
      <x:c r="P334" s="16" t="n">
        <x:v>2</x:v>
      </x:c>
      <x:c r="Q334" s="16" t="n">
        <x:v>2</x:v>
      </x:c>
      <x:c r="R334" s="16" t="n">
        <x:v>0</x:v>
      </x:c>
      <x:c r="S334" s="16" t="n">
        <x:v>3</x:v>
      </x:c>
      <x:c r="T334" s="16" t="n">
        <x:v>8</x:v>
      </x:c>
      <x:c r="U334" s="16" t="n">
        <x:v>0</x:v>
      </x:c>
      <x:c r="V334" s="16" t="n">
        <x:v>0</x:v>
      </x:c>
      <x:c r="W334" s="16" t="n">
        <x:v>0</x:v>
      </x:c>
      <x:c r="X334" s="16" t="n">
        <x:v>0</x:v>
      </x:c>
      <x:c r="Y334" s="16" t="n">
        <x:v>0</x:v>
      </x:c>
      <x:c r="Z334" s="16" t="n">
        <x:v>0</x:v>
      </x:c>
      <x:c r="AA334" s="16" t="n">
        <x:v>3</x:v>
      </x:c>
      <x:c r="AB334" s="16" t="n">
        <x:v>11</x:v>
      </x:c>
      <x:c r="AC334" s="16" t="n">
        <x:v>0</x:v>
      </x:c>
      <x:c r="AD334" s="21" t="n">
        <x:f>IF(E334="",MEDIAN($E$2:$E$2237),E334)</x:f>
        <x:v>22010</x:v>
      </x:c>
      <x:c r="AE334" s="17" t="n">
        <x:f>2014-B334</x:f>
        <x:v>31</x:v>
      </x:c>
      <x:c r="AF334" s="17" t="n">
        <x:f>F334+G334</x:f>
        <x:v>1</x:v>
      </x:c>
      <x:c r="AG334" s="21" t="n">
        <x:f>SUM(J334:O334)</x:f>
        <x:v>33</x:v>
      </x:c>
      <x:c r="AH334" s="17" t="n">
        <x:f>SUM(Q334:S334)</x:f>
        <x:v>5</x:v>
      </x:c>
      <x:c r="AI334" s="17" t="n">
        <x:f>SUM(U334:Y334)</x:f>
        <x:v>0</x:v>
      </x:c>
      <x:c r="AJ334" s="17" t="str">
        <x:f>IF(AE334&lt;=34,"≤34",IF(AE334&lt;=44,"35–44",IF(AE334&lt;=54,"45–54",IF(AE334&lt;=64,"55–64","65+"))))</x:f>
        <x:v>≤34</x:v>
      </x:c>
      <x:c r="AK334" s="17" t="str">
        <x:f>IF(AG334&gt;=1000,"High Value",IF(AG334&gt;=300,"Mid Value","Low Value"))</x:f>
        <x:v>Low Value</x:v>
      </x:c>
      <x:c r="AL334" s="17" t="str">
        <x:f>IF(AND(AI334&gt;=1,I334&lt;=50),"Priority 1",IF(AND(AG334&gt;=1000,I334&lt;=60),"Priority 2",IF(I334&lt;=30,"Priority 3","Nurture")))</x:f>
        <x:v>Nurture</x:v>
      </x:c>
    </x:row>
    <x:row r="335">
      <x:c r="A335" s="16" t="n">
        <x:v>10151</x:v>
      </x:c>
      <x:c r="B335" s="16" t="n">
        <x:v>1960</x:v>
      </x:c>
      <x:c r="C335" s="16" t="str">
        <x:v>Graduation</x:v>
      </x:c>
      <x:c r="D335" s="16" t="str">
        <x:v>Divorced</x:v>
      </x:c>
      <x:c r="E335" s="16" t="n">
        <x:v>62204</x:v>
      </x:c>
      <x:c r="F335" s="16" t="n">
        <x:v>0</x:v>
      </x:c>
      <x:c r="G335" s="16" t="n">
        <x:v>2</x:v>
      </x:c>
      <x:c r="H335" s="16" t="str">
        <x:v>12-09-2012</x:v>
      </x:c>
      <x:c r="I335" s="16" t="n">
        <x:v>38</x:v>
      </x:c>
      <x:c r="J335" s="16" t="n">
        <x:v>317</x:v>
      </x:c>
      <x:c r="K335" s="16" t="n">
        <x:v>46</x:v>
      </x:c>
      <x:c r="L335" s="16" t="n">
        <x:v>247</x:v>
      </x:c>
      <x:c r="M335" s="16" t="n">
        <x:v>151</x:v>
      </x:c>
      <x:c r="N335" s="16" t="n">
        <x:v>46</x:v>
      </x:c>
      <x:c r="O335" s="16" t="n">
        <x:v>139</x:v>
      </x:c>
      <x:c r="P335" s="16" t="n">
        <x:v>1</x:v>
      </x:c>
      <x:c r="Q335" s="16" t="n">
        <x:v>4</x:v>
      </x:c>
      <x:c r="R335" s="16" t="n">
        <x:v>5</x:v>
      </x:c>
      <x:c r="S335" s="16" t="n">
        <x:v>12</x:v>
      </x:c>
      <x:c r="T335" s="16" t="n">
        <x:v>3</x:v>
      </x:c>
      <x:c r="U335" s="16" t="n">
        <x:v>0</x:v>
      </x:c>
      <x:c r="V335" s="16" t="n">
        <x:v>0</x:v>
      </x:c>
      <x:c r="W335" s="16" t="n">
        <x:v>0</x:v>
      </x:c>
      <x:c r="X335" s="16" t="n">
        <x:v>0</x:v>
      </x:c>
      <x:c r="Y335" s="16" t="n">
        <x:v>0</x:v>
      </x:c>
      <x:c r="Z335" s="16" t="n">
        <x:v>0</x:v>
      </x:c>
      <x:c r="AA335" s="16" t="n">
        <x:v>3</x:v>
      </x:c>
      <x:c r="AB335" s="16" t="n">
        <x:v>11</x:v>
      </x:c>
      <x:c r="AC335" s="16" t="n">
        <x:v>0</x:v>
      </x:c>
      <x:c r="AD335" s="21" t="n">
        <x:f>IF(E335="",MEDIAN($E$2:$E$2237),E335)</x:f>
        <x:v>62204</x:v>
      </x:c>
      <x:c r="AE335" s="17" t="n">
        <x:f>2014-B335</x:f>
        <x:v>54</x:v>
      </x:c>
      <x:c r="AF335" s="17" t="n">
        <x:f>F335+G335</x:f>
        <x:v>2</x:v>
      </x:c>
      <x:c r="AG335" s="21" t="n">
        <x:f>SUM(J335:O335)</x:f>
        <x:v>946</x:v>
      </x:c>
      <x:c r="AH335" s="17" t="n">
        <x:f>SUM(Q335:S335)</x:f>
        <x:v>21</x:v>
      </x:c>
      <x:c r="AI335" s="17" t="n">
        <x:f>SUM(U335:Y335)</x:f>
        <x:v>0</x:v>
      </x:c>
      <x:c r="AJ335" s="17" t="str">
        <x:f>IF(AE335&lt;=34,"≤34",IF(AE335&lt;=44,"35–44",IF(AE335&lt;=54,"45–54",IF(AE335&lt;=64,"55–64","65+"))))</x:f>
        <x:v>45–54</x:v>
      </x:c>
      <x:c r="AK335" s="17" t="str">
        <x:f>IF(AG335&gt;=1000,"High Value",IF(AG335&gt;=300,"Mid Value","Low Value"))</x:f>
        <x:v>Mid Value</x:v>
      </x:c>
      <x:c r="AL335" s="17" t="str">
        <x:f>IF(AND(AI335&gt;=1,I335&lt;=50),"Priority 1",IF(AND(AG335&gt;=1000,I335&lt;=60),"Priority 2",IF(I335&lt;=30,"Priority 3","Nurture")))</x:f>
        <x:v>Nurture</x:v>
      </x:c>
    </x:row>
    <x:row r="336">
      <x:c r="A336" s="16" t="n">
        <x:v>7381</x:v>
      </x:c>
      <x:c r="B336" s="16" t="n">
        <x:v>1968</x:v>
      </x:c>
      <x:c r="C336" s="16" t="str">
        <x:v>Graduation</x:v>
      </x:c>
      <x:c r="D336" s="16" t="str">
        <x:v>Divorced</x:v>
      </x:c>
      <x:c r="E336" s="16" t="n">
        <x:v>75693</x:v>
      </x:c>
      <x:c r="F336" s="16" t="n">
        <x:v>0</x:v>
      </x:c>
      <x:c r="G336" s="16" t="n">
        <x:v>0</x:v>
      </x:c>
      <x:c r="H336" s="16" t="str">
        <x:v>06-12-2012</x:v>
      </x:c>
      <x:c r="I336" s="16" t="n">
        <x:v>10</x:v>
      </x:c>
      <x:c r="J336" s="16" t="n">
        <x:v>797</x:v>
      </x:c>
      <x:c r="K336" s="16" t="n">
        <x:v>153</x:v>
      </x:c>
      <x:c r="L336" s="16" t="n">
        <x:v>293</x:v>
      </x:c>
      <x:c r="M336" s="16" t="n">
        <x:v>72</x:v>
      </x:c>
      <x:c r="N336" s="16" t="n">
        <x:v>97</x:v>
      </x:c>
      <x:c r="O336" s="16" t="n">
        <x:v>30</x:v>
      </x:c>
      <x:c r="P336" s="16" t="n">
        <x:v>1</x:v>
      </x:c>
      <x:c r="Q336" s="16" t="n">
        <x:v>11</x:v>
      </x:c>
      <x:c r="R336" s="16" t="n">
        <x:v>4</x:v>
      </x:c>
      <x:c r="S336" s="16" t="n">
        <x:v>6</x:v>
      </x:c>
      <x:c r="T336" s="16" t="n">
        <x:v>4</x:v>
      </x:c>
      <x:c r="U336" s="16" t="n">
        <x:v>0</x:v>
      </x:c>
      <x:c r="V336" s="16" t="n">
        <x:v>1</x:v>
      </x:c>
      <x:c r="W336" s="16" t="n">
        <x:v>1</x:v>
      </x:c>
      <x:c r="X336" s="16" t="n">
        <x:v>1</x:v>
      </x:c>
      <x:c r="Y336" s="16" t="n">
        <x:v>0</x:v>
      </x:c>
      <x:c r="Z336" s="16" t="n">
        <x:v>0</x:v>
      </x:c>
      <x:c r="AA336" s="16" t="n">
        <x:v>3</x:v>
      </x:c>
      <x:c r="AB336" s="16" t="n">
        <x:v>11</x:v>
      </x:c>
      <x:c r="AC336" s="16" t="n">
        <x:v>1</x:v>
      </x:c>
      <x:c r="AD336" s="21" t="n">
        <x:f>IF(E336="",MEDIAN($E$2:$E$2237),E336)</x:f>
        <x:v>75693</x:v>
      </x:c>
      <x:c r="AE336" s="17" t="n">
        <x:f>2014-B336</x:f>
        <x:v>46</x:v>
      </x:c>
      <x:c r="AF336" s="17" t="n">
        <x:f>F336+G336</x:f>
        <x:v>0</x:v>
      </x:c>
      <x:c r="AG336" s="21" t="n">
        <x:f>SUM(J336:O336)</x:f>
        <x:v>1442</x:v>
      </x:c>
      <x:c r="AH336" s="17" t="n">
        <x:f>SUM(Q336:S336)</x:f>
        <x:v>21</x:v>
      </x:c>
      <x:c r="AI336" s="17" t="n">
        <x:f>SUM(U336:Y336)</x:f>
        <x:v>3</x:v>
      </x:c>
      <x:c r="AJ336" s="17" t="str">
        <x:f>IF(AE336&lt;=34,"≤34",IF(AE336&lt;=44,"35–44",IF(AE336&lt;=54,"45–54",IF(AE336&lt;=64,"55–64","65+"))))</x:f>
        <x:v>45–54</x:v>
      </x:c>
      <x:c r="AK336" s="17" t="str">
        <x:f>IF(AG336&gt;=1000,"High Value",IF(AG336&gt;=300,"Mid Value","Low Value"))</x:f>
        <x:v>High Value</x:v>
      </x:c>
      <x:c r="AL336" s="17" t="str">
        <x:f>IF(AND(AI336&gt;=1,I336&lt;=50),"Priority 1",IF(AND(AG336&gt;=1000,I336&lt;=60),"Priority 2",IF(I336&lt;=30,"Priority 3","Nurture")))</x:f>
        <x:v>Priority 1</x:v>
      </x:c>
    </x:row>
    <x:row r="337">
      <x:c r="A337" s="16" t="n">
        <x:v>4099</x:v>
      </x:c>
      <x:c r="B337" s="16" t="n">
        <x:v>1972</x:v>
      </x:c>
      <x:c r="C337" s="16" t="str">
        <x:v>Graduation</x:v>
      </x:c>
      <x:c r="D337" s="16" t="str">
        <x:v>Married</x:v>
      </x:c>
      <x:c r="E337" s="16" t="n">
        <x:v>30675</x:v>
      </x:c>
      <x:c r="F337" s="16" t="n">
        <x:v>1</x:v>
      </x:c>
      <x:c r="G337" s="16" t="n">
        <x:v>0</x:v>
      </x:c>
      <x:c r="H337" s="16" t="str">
        <x:v>12-11-2012</x:v>
      </x:c>
      <x:c r="I337" s="16" t="n">
        <x:v>14</x:v>
      </x:c>
      <x:c r="J337" s="16" t="n">
        <x:v>10</x:v>
      </x:c>
      <x:c r="K337" s="16" t="n">
        <x:v>2</x:v>
      </x:c>
      <x:c r="L337" s="16" t="n">
        <x:v>16</x:v>
      </x:c>
      <x:c r="M337" s="16" t="n">
        <x:v>11</x:v>
      </x:c>
      <x:c r="N337" s="16" t="n">
        <x:v>2</x:v>
      </x:c>
      <x:c r="O337" s="16" t="n">
        <x:v>21</x:v>
      </x:c>
      <x:c r="P337" s="16" t="n">
        <x:v>1</x:v>
      </x:c>
      <x:c r="Q337" s="16" t="n">
        <x:v>1</x:v>
      </x:c>
      <x:c r="R337" s="16" t="n">
        <x:v>0</x:v>
      </x:c>
      <x:c r="S337" s="16" t="n">
        <x:v>3</x:v>
      </x:c>
      <x:c r="T337" s="16" t="n">
        <x:v>8</x:v>
      </x:c>
      <x:c r="U337" s="16" t="n">
        <x:v>0</x:v>
      </x:c>
      <x:c r="V337" s="16" t="n">
        <x:v>0</x:v>
      </x:c>
      <x:c r="W337" s="16" t="n">
        <x:v>0</x:v>
      </x:c>
      <x:c r="X337" s="16" t="n">
        <x:v>0</x:v>
      </x:c>
      <x:c r="Y337" s="16" t="n">
        <x:v>0</x:v>
      </x:c>
      <x:c r="Z337" s="16" t="n">
        <x:v>0</x:v>
      </x:c>
      <x:c r="AA337" s="16" t="n">
        <x:v>3</x:v>
      </x:c>
      <x:c r="AB337" s="16" t="n">
        <x:v>11</x:v>
      </x:c>
      <x:c r="AC337" s="16" t="n">
        <x:v>0</x:v>
      </x:c>
      <x:c r="AD337" s="21" t="n">
        <x:f>IF(E337="",MEDIAN($E$2:$E$2237),E337)</x:f>
        <x:v>30675</x:v>
      </x:c>
      <x:c r="AE337" s="17" t="n">
        <x:f>2014-B337</x:f>
        <x:v>42</x:v>
      </x:c>
      <x:c r="AF337" s="17" t="n">
        <x:f>F337+G337</x:f>
        <x:v>1</x:v>
      </x:c>
      <x:c r="AG337" s="21" t="n">
        <x:f>SUM(J337:O337)</x:f>
        <x:v>62</x:v>
      </x:c>
      <x:c r="AH337" s="17" t="n">
        <x:f>SUM(Q337:S337)</x:f>
        <x:v>4</x:v>
      </x:c>
      <x:c r="AI337" s="17" t="n">
        <x:f>SUM(U337:Y337)</x:f>
        <x:v>0</x:v>
      </x:c>
      <x:c r="AJ337" s="17" t="str">
        <x:f>IF(AE337&lt;=34,"≤34",IF(AE337&lt;=44,"35–44",IF(AE337&lt;=54,"45–54",IF(AE337&lt;=64,"55–64","65+"))))</x:f>
        <x:v>35–44</x:v>
      </x:c>
      <x:c r="AK337" s="17" t="str">
        <x:f>IF(AG337&gt;=1000,"High Value",IF(AG337&gt;=300,"Mid Value","Low Value"))</x:f>
        <x:v>Low Value</x:v>
      </x:c>
      <x:c r="AL337" s="17" t="str">
        <x:f>IF(AND(AI337&gt;=1,I337&lt;=50),"Priority 1",IF(AND(AG337&gt;=1000,I337&lt;=60),"Priority 2",IF(I337&lt;=30,"Priority 3","Nurture")))</x:f>
        <x:v>Priority 3</x:v>
      </x:c>
    </x:row>
    <x:row r="338">
      <x:c r="A338" s="16" t="n">
        <x:v>9560</x:v>
      </x:c>
      <x:c r="B338" s="16" t="n">
        <x:v>1965</x:v>
      </x:c>
      <x:c r="C338" s="16" t="str">
        <x:v>Graduation</x:v>
      </x:c>
      <x:c r="D338" s="16" t="str">
        <x:v>Together</x:v>
      </x:c>
      <x:c r="E338" s="16" t="n">
        <x:v>83003</x:v>
      </x:c>
      <x:c r="F338" s="16" t="n">
        <x:v>0</x:v>
      </x:c>
      <x:c r="G338" s="16" t="n">
        <x:v>0</x:v>
      </x:c>
      <x:c r="H338" s="16" t="str">
        <x:v>03-03-2013</x:v>
      </x:c>
      <x:c r="I338" s="16" t="n">
        <x:v>18</x:v>
      </x:c>
      <x:c r="J338" s="16" t="n">
        <x:v>856</x:v>
      </x:c>
      <x:c r="K338" s="16" t="n">
        <x:v>61</x:v>
      </x:c>
      <x:c r="L338" s="16" t="n">
        <x:v>570</x:v>
      </x:c>
      <x:c r="M338" s="16" t="n">
        <x:v>40</x:v>
      </x:c>
      <x:c r="N338" s="16" t="n">
        <x:v>25</x:v>
      </x:c>
      <x:c r="O338" s="16" t="n">
        <x:v>122</x:v>
      </x:c>
      <x:c r="P338" s="16" t="n">
        <x:v>1</x:v>
      </x:c>
      <x:c r="Q338" s="16" t="n">
        <x:v>7</x:v>
      </x:c>
      <x:c r="R338" s="16" t="n">
        <x:v>6</x:v>
      </x:c>
      <x:c r="S338" s="16" t="n">
        <x:v>8</x:v>
      </x:c>
      <x:c r="T338" s="16" t="n">
        <x:v>3</x:v>
      </x:c>
      <x:c r="U338" s="16" t="n">
        <x:v>0</x:v>
      </x:c>
      <x:c r="V338" s="16" t="n">
        <x:v>0</x:v>
      </x:c>
      <x:c r="W338" s="16" t="n">
        <x:v>1</x:v>
      </x:c>
      <x:c r="X338" s="16" t="n">
        <x:v>0</x:v>
      </x:c>
      <x:c r="Y338" s="16" t="n">
        <x:v>0</x:v>
      </x:c>
      <x:c r="Z338" s="16" t="n">
        <x:v>0</x:v>
      </x:c>
      <x:c r="AA338" s="16" t="n">
        <x:v>3</x:v>
      </x:c>
      <x:c r="AB338" s="16" t="n">
        <x:v>11</x:v>
      </x:c>
      <x:c r="AC338" s="16" t="n">
        <x:v>1</x:v>
      </x:c>
      <x:c r="AD338" s="21" t="n">
        <x:f>IF(E338="",MEDIAN($E$2:$E$2237),E338)</x:f>
        <x:v>83003</x:v>
      </x:c>
      <x:c r="AE338" s="17" t="n">
        <x:f>2014-B338</x:f>
        <x:v>49</x:v>
      </x:c>
      <x:c r="AF338" s="17" t="n">
        <x:f>F338+G338</x:f>
        <x:v>0</x:v>
      </x:c>
      <x:c r="AG338" s="21" t="n">
        <x:f>SUM(J338:O338)</x:f>
        <x:v>1674</x:v>
      </x:c>
      <x:c r="AH338" s="17" t="n">
        <x:f>SUM(Q338:S338)</x:f>
        <x:v>21</x:v>
      </x:c>
      <x:c r="AI338" s="17" t="n">
        <x:f>SUM(U338:Y338)</x:f>
        <x:v>1</x:v>
      </x:c>
      <x:c r="AJ338" s="17" t="str">
        <x:f>IF(AE338&lt;=34,"≤34",IF(AE338&lt;=44,"35–44",IF(AE338&lt;=54,"45–54",IF(AE338&lt;=64,"55–64","65+"))))</x:f>
        <x:v>45–54</x:v>
      </x:c>
      <x:c r="AK338" s="17" t="str">
        <x:f>IF(AG338&gt;=1000,"High Value",IF(AG338&gt;=300,"Mid Value","Low Value"))</x:f>
        <x:v>High Value</x:v>
      </x:c>
      <x:c r="AL338" s="17" t="str">
        <x:f>IF(AND(AI338&gt;=1,I338&lt;=50),"Priority 1",IF(AND(AG338&gt;=1000,I338&lt;=60),"Priority 2",IF(I338&lt;=30,"Priority 3","Nurture")))</x:f>
        <x:v>Priority 1</x:v>
      </x:c>
    </x:row>
    <x:row r="339">
      <x:c r="A339" s="16" t="n">
        <x:v>10172</x:v>
      </x:c>
      <x:c r="B339" s="16" t="n">
        <x:v>1988</x:v>
      </x:c>
      <x:c r="C339" s="16" t="str">
        <x:v>Graduation</x:v>
      </x:c>
      <x:c r="D339" s="16" t="str">
        <x:v>Single</x:v>
      </x:c>
      <x:c r="E339" s="16" t="n">
        <x:v>68655</x:v>
      </x:c>
      <x:c r="F339" s="16" t="n">
        <x:v>0</x:v>
      </x:c>
      <x:c r="G339" s="16" t="n">
        <x:v>0</x:v>
      </x:c>
      <x:c r="H339" s="16" t="str">
        <x:v>10-08-2012</x:v>
      </x:c>
      <x:c r="I339" s="16" t="n">
        <x:v>95</x:v>
      </x:c>
      <x:c r="J339" s="16" t="n">
        <x:v>456</x:v>
      </x:c>
      <x:c r="K339" s="16" t="n">
        <x:v>19</x:v>
      </x:c>
      <x:c r="L339" s="16" t="n">
        <x:v>832</x:v>
      </x:c>
      <x:c r="M339" s="16" t="n">
        <x:v>75</x:v>
      </x:c>
      <x:c r="N339" s="16" t="n">
        <x:v>118</x:v>
      </x:c>
      <x:c r="O339" s="16" t="n">
        <x:v>38</x:v>
      </x:c>
      <x:c r="P339" s="16" t="n">
        <x:v>1</x:v>
      </x:c>
      <x:c r="Q339" s="16" t="n">
        <x:v>4</x:v>
      </x:c>
      <x:c r="R339" s="16" t="n">
        <x:v>5</x:v>
      </x:c>
      <x:c r="S339" s="16" t="n">
        <x:v>11</x:v>
      </x:c>
      <x:c r="T339" s="16" t="n">
        <x:v>3</x:v>
      </x:c>
      <x:c r="U339" s="16" t="n">
        <x:v>0</x:v>
      </x:c>
      <x:c r="V339" s="16" t="n">
        <x:v>0</x:v>
      </x:c>
      <x:c r="W339" s="16" t="n">
        <x:v>0</x:v>
      </x:c>
      <x:c r="X339" s="16" t="n">
        <x:v>0</x:v>
      </x:c>
      <x:c r="Y339" s="16" t="n">
        <x:v>0</x:v>
      </x:c>
      <x:c r="Z339" s="16" t="n">
        <x:v>0</x:v>
      </x:c>
      <x:c r="AA339" s="16" t="n">
        <x:v>3</x:v>
      </x:c>
      <x:c r="AB339" s="16" t="n">
        <x:v>11</x:v>
      </x:c>
      <x:c r="AC339" s="16" t="n">
        <x:v>0</x:v>
      </x:c>
      <x:c r="AD339" s="21" t="n">
        <x:f>IF(E339="",MEDIAN($E$2:$E$2237),E339)</x:f>
        <x:v>68655</x:v>
      </x:c>
      <x:c r="AE339" s="17" t="n">
        <x:f>2014-B339</x:f>
        <x:v>26</x:v>
      </x:c>
      <x:c r="AF339" s="17" t="n">
        <x:f>F339+G339</x:f>
        <x:v>0</x:v>
      </x:c>
      <x:c r="AG339" s="21" t="n">
        <x:f>SUM(J339:O339)</x:f>
        <x:v>1538</x:v>
      </x:c>
      <x:c r="AH339" s="17" t="n">
        <x:f>SUM(Q339:S339)</x:f>
        <x:v>20</x:v>
      </x:c>
      <x:c r="AI339" s="17" t="n">
        <x:f>SUM(U339:Y339)</x:f>
        <x:v>0</x:v>
      </x:c>
      <x:c r="AJ339" s="17" t="str">
        <x:f>IF(AE339&lt;=34,"≤34",IF(AE339&lt;=44,"35–44",IF(AE339&lt;=54,"45–54",IF(AE339&lt;=64,"55–64","65+"))))</x:f>
        <x:v>≤34</x:v>
      </x:c>
      <x:c r="AK339" s="17" t="str">
        <x:f>IF(AG339&gt;=1000,"High Value",IF(AG339&gt;=300,"Mid Value","Low Value"))</x:f>
        <x:v>High Value</x:v>
      </x:c>
      <x:c r="AL339" s="17" t="str">
        <x:f>IF(AND(AI339&gt;=1,I339&lt;=50),"Priority 1",IF(AND(AG339&gt;=1000,I339&lt;=60),"Priority 2",IF(I339&lt;=30,"Priority 3","Nurture")))</x:f>
        <x:v>Nurture</x:v>
      </x:c>
    </x:row>
    <x:row r="340">
      <x:c r="A340" s="16" t="n">
        <x:v>11191</x:v>
      </x:c>
      <x:c r="B340" s="16" t="n">
        <x:v>1986</x:v>
      </x:c>
      <x:c r="C340" s="16" t="str">
        <x:v>Graduation</x:v>
      </x:c>
      <x:c r="D340" s="16" t="str">
        <x:v>Divorced</x:v>
      </x:c>
      <x:c r="E340" s="16" t="n">
        <x:v>41411</x:v>
      </x:c>
      <x:c r="F340" s="16" t="n">
        <x:v>0</x:v>
      </x:c>
      <x:c r="G340" s="16" t="n">
        <x:v>0</x:v>
      </x:c>
      <x:c r="H340" s="16" t="str">
        <x:v>07-12-2013</x:v>
      </x:c>
      <x:c r="I340" s="16" t="n">
        <x:v>11</x:v>
      </x:c>
      <x:c r="J340" s="16" t="n">
        <x:v>37</x:v>
      </x:c>
      <x:c r="K340" s="16" t="n">
        <x:v>32</x:v>
      </x:c>
      <x:c r="L340" s="16" t="n">
        <x:v>38</x:v>
      </x:c>
      <x:c r="M340" s="16" t="n">
        <x:v>11</x:v>
      </x:c>
      <x:c r="N340" s="16" t="n">
        <x:v>3</x:v>
      </x:c>
      <x:c r="O340" s="16" t="n">
        <x:v>18</x:v>
      </x:c>
      <x:c r="P340" s="16" t="n">
        <x:v>1</x:v>
      </x:c>
      <x:c r="Q340" s="16" t="n">
        <x:v>2</x:v>
      </x:c>
      <x:c r="R340" s="16" t="n">
        <x:v>1</x:v>
      </x:c>
      <x:c r="S340" s="16" t="n">
        <x:v>4</x:v>
      </x:c>
      <x:c r="T340" s="16" t="n">
        <x:v>6</x:v>
      </x:c>
      <x:c r="U340" s="16" t="n">
        <x:v>0</x:v>
      </x:c>
      <x:c r="V340" s="16" t="n">
        <x:v>0</x:v>
      </x:c>
      <x:c r="W340" s="16" t="n">
        <x:v>0</x:v>
      </x:c>
      <x:c r="X340" s="16" t="n">
        <x:v>0</x:v>
      </x:c>
      <x:c r="Y340" s="16" t="n">
        <x:v>0</x:v>
      </x:c>
      <x:c r="Z340" s="16" t="n">
        <x:v>0</x:v>
      </x:c>
      <x:c r="AA340" s="16" t="n">
        <x:v>3</x:v>
      </x:c>
      <x:c r="AB340" s="16" t="n">
        <x:v>11</x:v>
      </x:c>
      <x:c r="AC340" s="16" t="n">
        <x:v>0</x:v>
      </x:c>
      <x:c r="AD340" s="21" t="n">
        <x:f>IF(E340="",MEDIAN($E$2:$E$2237),E340)</x:f>
        <x:v>41411</x:v>
      </x:c>
      <x:c r="AE340" s="17" t="n">
        <x:f>2014-B340</x:f>
        <x:v>28</x:v>
      </x:c>
      <x:c r="AF340" s="17" t="n">
        <x:f>F340+G340</x:f>
        <x:v>0</x:v>
      </x:c>
      <x:c r="AG340" s="21" t="n">
        <x:f>SUM(J340:O340)</x:f>
        <x:v>139</x:v>
      </x:c>
      <x:c r="AH340" s="17" t="n">
        <x:f>SUM(Q340:S340)</x:f>
        <x:v>7</x:v>
      </x:c>
      <x:c r="AI340" s="17" t="n">
        <x:f>SUM(U340:Y340)</x:f>
        <x:v>0</x:v>
      </x:c>
      <x:c r="AJ340" s="17" t="str">
        <x:f>IF(AE340&lt;=34,"≤34",IF(AE340&lt;=44,"35–44",IF(AE340&lt;=54,"45–54",IF(AE340&lt;=64,"55–64","65+"))))</x:f>
        <x:v>≤34</x:v>
      </x:c>
      <x:c r="AK340" s="17" t="str">
        <x:f>IF(AG340&gt;=1000,"High Value",IF(AG340&gt;=300,"Mid Value","Low Value"))</x:f>
        <x:v>Low Value</x:v>
      </x:c>
      <x:c r="AL340" s="17" t="str">
        <x:f>IF(AND(AI340&gt;=1,I340&lt;=50),"Priority 1",IF(AND(AG340&gt;=1000,I340&lt;=60),"Priority 2",IF(I340&lt;=30,"Priority 3","Nurture")))</x:f>
        <x:v>Priority 3</x:v>
      </x:c>
    </x:row>
    <x:row r="341">
      <x:c r="A341" s="16" t="n">
        <x:v>9707</x:v>
      </x:c>
      <x:c r="B341" s="16" t="n">
        <x:v>1969</x:v>
      </x:c>
      <x:c r="C341" s="16" t="str">
        <x:v>PhD</x:v>
      </x:c>
      <x:c r="D341" s="16" t="str">
        <x:v>Married</x:v>
      </x:c>
      <x:c r="E341" s="16" t="n">
        <x:v>55212</x:v>
      </x:c>
      <x:c r="F341" s="16" t="n">
        <x:v>0</x:v>
      </x:c>
      <x:c r="G341" s="16" t="n">
        <x:v>1</x:v>
      </x:c>
      <x:c r="H341" s="16" t="str">
        <x:v>23-11-2012</x:v>
      </x:c>
      <x:c r="I341" s="16" t="n">
        <x:v>65</x:v>
      </x:c>
      <x:c r="J341" s="16" t="n">
        <x:v>1103</x:v>
      </x:c>
      <x:c r="K341" s="16" t="n">
        <x:v>0</x:v>
      </x:c>
      <x:c r="L341" s="16" t="n">
        <x:v>45</x:v>
      </x:c>
      <x:c r="M341" s="16" t="n">
        <x:v>0</x:v>
      </x:c>
      <x:c r="N341" s="16" t="n">
        <x:v>0</x:v>
      </x:c>
      <x:c r="O341" s="16" t="n">
        <x:v>34</x:v>
      </x:c>
      <x:c r="P341" s="16" t="n">
        <x:v>3</x:v>
      </x:c>
      <x:c r="Q341" s="16" t="n">
        <x:v>4</x:v>
      </x:c>
      <x:c r="R341" s="16" t="n">
        <x:v>2</x:v>
      </x:c>
      <x:c r="S341" s="16" t="n">
        <x:v>11</x:v>
      </x:c>
      <x:c r="T341" s="16" t="n">
        <x:v>8</x:v>
      </x:c>
      <x:c r="U341" s="16" t="n">
        <x:v>0</x:v>
      </x:c>
      <x:c r="V341" s="16" t="n">
        <x:v>1</x:v>
      </x:c>
      <x:c r="W341" s="16" t="n">
        <x:v>0</x:v>
      </x:c>
      <x:c r="X341" s="16" t="n">
        <x:v>0</x:v>
      </x:c>
      <x:c r="Y341" s="16" t="n">
        <x:v>1</x:v>
      </x:c>
      <x:c r="Z341" s="16" t="n">
        <x:v>0</x:v>
      </x:c>
      <x:c r="AA341" s="16" t="n">
        <x:v>3</x:v>
      </x:c>
      <x:c r="AB341" s="16" t="n">
        <x:v>11</x:v>
      </x:c>
      <x:c r="AC341" s="16" t="n">
        <x:v>0</x:v>
      </x:c>
      <x:c r="AD341" s="21" t="n">
        <x:f>IF(E341="",MEDIAN($E$2:$E$2237),E341)</x:f>
        <x:v>55212</x:v>
      </x:c>
      <x:c r="AE341" s="17" t="n">
        <x:f>2014-B341</x:f>
        <x:v>45</x:v>
      </x:c>
      <x:c r="AF341" s="17" t="n">
        <x:f>F341+G341</x:f>
        <x:v>1</x:v>
      </x:c>
      <x:c r="AG341" s="21" t="n">
        <x:f>SUM(J341:O341)</x:f>
        <x:v>1182</x:v>
      </x:c>
      <x:c r="AH341" s="17" t="n">
        <x:f>SUM(Q341:S341)</x:f>
        <x:v>17</x:v>
      </x:c>
      <x:c r="AI341" s="17" t="n">
        <x:f>SUM(U341:Y341)</x:f>
        <x:v>2</x:v>
      </x:c>
      <x:c r="AJ341" s="17" t="str">
        <x:f>IF(AE341&lt;=34,"≤34",IF(AE341&lt;=44,"35–44",IF(AE341&lt;=54,"45–54",IF(AE341&lt;=64,"55–64","65+"))))</x:f>
        <x:v>45–54</x:v>
      </x:c>
      <x:c r="AK341" s="17" t="str">
        <x:f>IF(AG341&gt;=1000,"High Value",IF(AG341&gt;=300,"Mid Value","Low Value"))</x:f>
        <x:v>High Value</x:v>
      </x:c>
      <x:c r="AL341" s="17" t="str">
        <x:f>IF(AND(AI341&gt;=1,I341&lt;=50),"Priority 1",IF(AND(AG341&gt;=1000,I341&lt;=60),"Priority 2",IF(I341&lt;=30,"Priority 3","Nurture")))</x:f>
        <x:v>Nurture</x:v>
      </x:c>
    </x:row>
    <x:row r="342">
      <x:c r="A342" s="16" t="n">
        <x:v>6245</x:v>
      </x:c>
      <x:c r="B342" s="16" t="n">
        <x:v>1950</x:v>
      </x:c>
      <x:c r="C342" s="16" t="str">
        <x:v>PhD</x:v>
      </x:c>
      <x:c r="D342" s="16" t="str">
        <x:v>Together</x:v>
      </x:c>
      <x:c r="E342" s="16" t="n">
        <x:v>59292</x:v>
      </x:c>
      <x:c r="F342" s="16" t="n">
        <x:v>0</x:v>
      </x:c>
      <x:c r="G342" s="16" t="n">
        <x:v>1</x:v>
      </x:c>
      <x:c r="H342" s="16" t="str">
        <x:v>13-06-2013</x:v>
      </x:c>
      <x:c r="I342" s="16" t="n">
        <x:v>71</x:v>
      </x:c>
      <x:c r="J342" s="16" t="n">
        <x:v>378</x:v>
      </x:c>
      <x:c r="K342" s="16" t="n">
        <x:v>14</x:v>
      </x:c>
      <x:c r="L342" s="16" t="n">
        <x:v>68</x:v>
      </x:c>
      <x:c r="M342" s="16" t="n">
        <x:v>19</x:v>
      </x:c>
      <x:c r="N342" s="16" t="n">
        <x:v>14</x:v>
      </x:c>
      <x:c r="O342" s="16" t="n">
        <x:v>14</x:v>
      </x:c>
      <x:c r="P342" s="16" t="n">
        <x:v>2</x:v>
      </x:c>
      <x:c r="Q342" s="16" t="n">
        <x:v>3</x:v>
      </x:c>
      <x:c r="R342" s="16" t="n">
        <x:v>5</x:v>
      </x:c>
      <x:c r="S342" s="16" t="n">
        <x:v>8</x:v>
      </x:c>
      <x:c r="T342" s="16" t="n">
        <x:v>3</x:v>
      </x:c>
      <x:c r="U342" s="16" t="n">
        <x:v>0</x:v>
      </x:c>
      <x:c r="V342" s="16" t="n">
        <x:v>0</x:v>
      </x:c>
      <x:c r="W342" s="16" t="n">
        <x:v>0</x:v>
      </x:c>
      <x:c r="X342" s="16" t="n">
        <x:v>0</x:v>
      </x:c>
      <x:c r="Y342" s="16" t="n">
        <x:v>0</x:v>
      </x:c>
      <x:c r="Z342" s="16" t="n">
        <x:v>0</x:v>
      </x:c>
      <x:c r="AA342" s="16" t="n">
        <x:v>3</x:v>
      </x:c>
      <x:c r="AB342" s="16" t="n">
        <x:v>11</x:v>
      </x:c>
      <x:c r="AC342" s="16" t="n">
        <x:v>0</x:v>
      </x:c>
      <x:c r="AD342" s="21" t="n">
        <x:f>IF(E342="",MEDIAN($E$2:$E$2237),E342)</x:f>
        <x:v>59292</x:v>
      </x:c>
      <x:c r="AE342" s="17" t="n">
        <x:f>2014-B342</x:f>
        <x:v>64</x:v>
      </x:c>
      <x:c r="AF342" s="17" t="n">
        <x:f>F342+G342</x:f>
        <x:v>1</x:v>
      </x:c>
      <x:c r="AG342" s="21" t="n">
        <x:f>SUM(J342:O342)</x:f>
        <x:v>507</x:v>
      </x:c>
      <x:c r="AH342" s="17" t="n">
        <x:f>SUM(Q342:S342)</x:f>
        <x:v>16</x:v>
      </x:c>
      <x:c r="AI342" s="17" t="n">
        <x:f>SUM(U342:Y342)</x:f>
        <x:v>0</x:v>
      </x:c>
      <x:c r="AJ342" s="17" t="str">
        <x:f>IF(AE342&lt;=34,"≤34",IF(AE342&lt;=44,"35–44",IF(AE342&lt;=54,"45–54",IF(AE342&lt;=64,"55–64","65+"))))</x:f>
        <x:v>55–64</x:v>
      </x:c>
      <x:c r="AK342" s="17" t="str">
        <x:f>IF(AG342&gt;=1000,"High Value",IF(AG342&gt;=300,"Mid Value","Low Value"))</x:f>
        <x:v>Mid Value</x:v>
      </x:c>
      <x:c r="AL342" s="17" t="str">
        <x:f>IF(AND(AI342&gt;=1,I342&lt;=50),"Priority 1",IF(AND(AG342&gt;=1000,I342&lt;=60),"Priority 2",IF(I342&lt;=30,"Priority 3","Nurture")))</x:f>
        <x:v>Nurture</x:v>
      </x:c>
    </x:row>
    <x:row r="343">
      <x:c r="A343" s="16" t="n">
        <x:v>8234</x:v>
      </x:c>
      <x:c r="B343" s="16" t="n">
        <x:v>1973</x:v>
      </x:c>
      <x:c r="C343" s="16" t="str">
        <x:v>Basic</x:v>
      </x:c>
      <x:c r="D343" s="16" t="str">
        <x:v>Together</x:v>
      </x:c>
      <x:c r="E343" s="16" t="n">
        <x:v>27190</x:v>
      </x:c>
      <x:c r="F343" s="16" t="n">
        <x:v>1</x:v>
      </x:c>
      <x:c r="G343" s="16" t="n">
        <x:v>0</x:v>
      </x:c>
      <x:c r="H343" s="16" t="str">
        <x:v>15-08-2013</x:v>
      </x:c>
      <x:c r="I343" s="16" t="n">
        <x:v>13</x:v>
      </x:c>
      <x:c r="J343" s="16" t="n">
        <x:v>1</x:v>
      </x:c>
      <x:c r="K343" s="16" t="n">
        <x:v>6</x:v>
      </x:c>
      <x:c r="L343" s="16" t="n">
        <x:v>7</x:v>
      </x:c>
      <x:c r="M343" s="16" t="n">
        <x:v>0</x:v>
      </x:c>
      <x:c r="N343" s="16" t="n">
        <x:v>1</x:v>
      </x:c>
      <x:c r="O343" s="16" t="n">
        <x:v>3</x:v>
      </x:c>
      <x:c r="P343" s="16" t="n">
        <x:v>1</x:v>
      </x:c>
      <x:c r="Q343" s="16" t="n">
        <x:v>1</x:v>
      </x:c>
      <x:c r="R343" s="16" t="n">
        <x:v>0</x:v>
      </x:c>
      <x:c r="S343" s="16" t="n">
        <x:v>2</x:v>
      </x:c>
      <x:c r="T343" s="16" t="n">
        <x:v>8</x:v>
      </x:c>
      <x:c r="U343" s="16" t="n">
        <x:v>1</x:v>
      </x:c>
      <x:c r="V343" s="16" t="n">
        <x:v>0</x:v>
      </x:c>
      <x:c r="W343" s="16" t="n">
        <x:v>0</x:v>
      </x:c>
      <x:c r="X343" s="16" t="n">
        <x:v>0</x:v>
      </x:c>
      <x:c r="Y343" s="16" t="n">
        <x:v>0</x:v>
      </x:c>
      <x:c r="Z343" s="16" t="n">
        <x:v>0</x:v>
      </x:c>
      <x:c r="AA343" s="16" t="n">
        <x:v>3</x:v>
      </x:c>
      <x:c r="AB343" s="16" t="n">
        <x:v>11</x:v>
      </x:c>
      <x:c r="AC343" s="16" t="n">
        <x:v>1</x:v>
      </x:c>
      <x:c r="AD343" s="21" t="n">
        <x:f>IF(E343="",MEDIAN($E$2:$E$2237),E343)</x:f>
        <x:v>27190</x:v>
      </x:c>
      <x:c r="AE343" s="17" t="n">
        <x:f>2014-B343</x:f>
        <x:v>41</x:v>
      </x:c>
      <x:c r="AF343" s="17" t="n">
        <x:f>F343+G343</x:f>
        <x:v>1</x:v>
      </x:c>
      <x:c r="AG343" s="21" t="n">
        <x:f>SUM(J343:O343)</x:f>
        <x:v>18</x:v>
      </x:c>
      <x:c r="AH343" s="17" t="n">
        <x:f>SUM(Q343:S343)</x:f>
        <x:v>3</x:v>
      </x:c>
      <x:c r="AI343" s="17" t="n">
        <x:f>SUM(U343:Y343)</x:f>
        <x:v>1</x:v>
      </x:c>
      <x:c r="AJ343" s="17" t="str">
        <x:f>IF(AE343&lt;=34,"≤34",IF(AE343&lt;=44,"35–44",IF(AE343&lt;=54,"45–54",IF(AE343&lt;=64,"55–64","65+"))))</x:f>
        <x:v>35–44</x:v>
      </x:c>
      <x:c r="AK343" s="17" t="str">
        <x:f>IF(AG343&gt;=1000,"High Value",IF(AG343&gt;=300,"Mid Value","Low Value"))</x:f>
        <x:v>Low Value</x:v>
      </x:c>
      <x:c r="AL343" s="17" t="str">
        <x:f>IF(AND(AI343&gt;=1,I343&lt;=50),"Priority 1",IF(AND(AG343&gt;=1000,I343&lt;=60),"Priority 2",IF(I343&lt;=30,"Priority 3","Nurture")))</x:f>
        <x:v>Priority 1</x:v>
      </x:c>
    </x:row>
    <x:row r="344">
      <x:c r="A344" s="16" t="n">
        <x:v>1411</x:v>
      </x:c>
      <x:c r="B344" s="16" t="n">
        <x:v>1952</x:v>
      </x:c>
      <x:c r="C344" s="16" t="str">
        <x:v>Graduation</x:v>
      </x:c>
      <x:c r="D344" s="16" t="str">
        <x:v>Divorced</x:v>
      </x:c>
      <x:c r="E344" s="16" t="n">
        <x:v>82623</x:v>
      </x:c>
      <x:c r="F344" s="16" t="n">
        <x:v>0</x:v>
      </x:c>
      <x:c r="G344" s="16" t="n">
        <x:v>0</x:v>
      </x:c>
      <x:c r="H344" s="16" t="str">
        <x:v>10-11-2013</x:v>
      </x:c>
      <x:c r="I344" s="16" t="n">
        <x:v>58</x:v>
      </x:c>
      <x:c r="J344" s="16" t="n">
        <x:v>204</x:v>
      </x:c>
      <x:c r="K344" s="16" t="n">
        <x:v>34</x:v>
      </x:c>
      <x:c r="L344" s="16" t="n">
        <x:v>204</x:v>
      </x:c>
      <x:c r="M344" s="16" t="n">
        <x:v>172</x:v>
      </x:c>
      <x:c r="N344" s="16" t="n">
        <x:v>153</x:v>
      </x:c>
      <x:c r="O344" s="16" t="n">
        <x:v>173</x:v>
      </x:c>
      <x:c r="P344" s="16" t="n">
        <x:v>1</x:v>
      </x:c>
      <x:c r="Q344" s="16" t="n">
        <x:v>2</x:v>
      </x:c>
      <x:c r="R344" s="16" t="n">
        <x:v>9</x:v>
      </x:c>
      <x:c r="S344" s="16" t="n">
        <x:v>4</x:v>
      </x:c>
      <x:c r="T344" s="16" t="n">
        <x:v>1</x:v>
      </x:c>
      <x:c r="U344" s="16" t="n">
        <x:v>0</x:v>
      </x:c>
      <x:c r="V344" s="16" t="n">
        <x:v>0</x:v>
      </x:c>
      <x:c r="W344" s="16" t="n">
        <x:v>0</x:v>
      </x:c>
      <x:c r="X344" s="16" t="n">
        <x:v>0</x:v>
      </x:c>
      <x:c r="Y344" s="16" t="n">
        <x:v>0</x:v>
      </x:c>
      <x:c r="Z344" s="16" t="n">
        <x:v>0</x:v>
      </x:c>
      <x:c r="AA344" s="16" t="n">
        <x:v>3</x:v>
      </x:c>
      <x:c r="AB344" s="16" t="n">
        <x:v>11</x:v>
      </x:c>
      <x:c r="AC344" s="16" t="n">
        <x:v>0</x:v>
      </x:c>
      <x:c r="AD344" s="21" t="n">
        <x:f>IF(E344="",MEDIAN($E$2:$E$2237),E344)</x:f>
        <x:v>82623</x:v>
      </x:c>
      <x:c r="AE344" s="17" t="n">
        <x:f>2014-B344</x:f>
        <x:v>62</x:v>
      </x:c>
      <x:c r="AF344" s="17" t="n">
        <x:f>F344+G344</x:f>
        <x:v>0</x:v>
      </x:c>
      <x:c r="AG344" s="21" t="n">
        <x:f>SUM(J344:O344)</x:f>
        <x:v>940</x:v>
      </x:c>
      <x:c r="AH344" s="17" t="n">
        <x:f>SUM(Q344:S344)</x:f>
        <x:v>15</x:v>
      </x:c>
      <x:c r="AI344" s="17" t="n">
        <x:f>SUM(U344:Y344)</x:f>
        <x:v>0</x:v>
      </x:c>
      <x:c r="AJ344" s="17" t="str">
        <x:f>IF(AE344&lt;=34,"≤34",IF(AE344&lt;=44,"35–44",IF(AE344&lt;=54,"45–54",IF(AE344&lt;=64,"55–64","65+"))))</x:f>
        <x:v>55–64</x:v>
      </x:c>
      <x:c r="AK344" s="17" t="str">
        <x:f>IF(AG344&gt;=1000,"High Value",IF(AG344&gt;=300,"Mid Value","Low Value"))</x:f>
        <x:v>Mid Value</x:v>
      </x:c>
      <x:c r="AL344" s="17" t="str">
        <x:f>IF(AND(AI344&gt;=1,I344&lt;=50),"Priority 1",IF(AND(AG344&gt;=1000,I344&lt;=60),"Priority 2",IF(I344&lt;=30,"Priority 3","Nurture")))</x:f>
        <x:v>Nurture</x:v>
      </x:c>
    </x:row>
    <x:row r="345">
      <x:c r="A345" s="16" t="n">
        <x:v>8553</x:v>
      </x:c>
      <x:c r="B345" s="16" t="n">
        <x:v>1965</x:v>
      </x:c>
      <x:c r="C345" s="16" t="str">
        <x:v>Graduation</x:v>
      </x:c>
      <x:c r="D345" s="16" t="str">
        <x:v>Married</x:v>
      </x:c>
      <x:c r="E345" s="16" t="n">
        <x:v>44300</x:v>
      </x:c>
      <x:c r="F345" s="16" t="n">
        <x:v>1</x:v>
      </x:c>
      <x:c r="G345" s="16" t="n">
        <x:v>1</x:v>
      </x:c>
      <x:c r="H345" s="16" t="str">
        <x:v>23-06-2013</x:v>
      </x:c>
      <x:c r="I345" s="16" t="n">
        <x:v>65</x:v>
      </x:c>
      <x:c r="J345" s="16" t="n">
        <x:v>30</x:v>
      </x:c>
      <x:c r="K345" s="16" t="n">
        <x:v>0</x:v>
      </x:c>
      <x:c r="L345" s="16" t="n">
        <x:v>9</x:v>
      </x:c>
      <x:c r="M345" s="16" t="n">
        <x:v>0</x:v>
      </x:c>
      <x:c r="N345" s="16" t="n">
        <x:v>0</x:v>
      </x:c>
      <x:c r="O345" s="16" t="n">
        <x:v>3</x:v>
      </x:c>
      <x:c r="P345" s="16" t="n">
        <x:v>2</x:v>
      </x:c>
      <x:c r="Q345" s="16" t="n">
        <x:v>1</x:v>
      </x:c>
      <x:c r="R345" s="16" t="n">
        <x:v>0</x:v>
      </x:c>
      <x:c r="S345" s="16" t="n">
        <x:v>3</x:v>
      </x:c>
      <x:c r="T345" s="16" t="n">
        <x:v>6</x:v>
      </x:c>
      <x:c r="U345" s="16" t="n">
        <x:v>0</x:v>
      </x:c>
      <x:c r="V345" s="16" t="n">
        <x:v>0</x:v>
      </x:c>
      <x:c r="W345" s="16" t="n">
        <x:v>0</x:v>
      </x:c>
      <x:c r="X345" s="16" t="n">
        <x:v>0</x:v>
      </x:c>
      <x:c r="Y345" s="16" t="n">
        <x:v>0</x:v>
      </x:c>
      <x:c r="Z345" s="16" t="n">
        <x:v>0</x:v>
      </x:c>
      <x:c r="AA345" s="16" t="n">
        <x:v>3</x:v>
      </x:c>
      <x:c r="AB345" s="16" t="n">
        <x:v>11</x:v>
      </x:c>
      <x:c r="AC345" s="16" t="n">
        <x:v>0</x:v>
      </x:c>
      <x:c r="AD345" s="21" t="n">
        <x:f>IF(E345="",MEDIAN($E$2:$E$2237),E345)</x:f>
        <x:v>44300</x:v>
      </x:c>
      <x:c r="AE345" s="17" t="n">
        <x:f>2014-B345</x:f>
        <x:v>49</x:v>
      </x:c>
      <x:c r="AF345" s="17" t="n">
        <x:f>F345+G345</x:f>
        <x:v>2</x:v>
      </x:c>
      <x:c r="AG345" s="21" t="n">
        <x:f>SUM(J345:O345)</x:f>
        <x:v>42</x:v>
      </x:c>
      <x:c r="AH345" s="17" t="n">
        <x:f>SUM(Q345:S345)</x:f>
        <x:v>4</x:v>
      </x:c>
      <x:c r="AI345" s="17" t="n">
        <x:f>SUM(U345:Y345)</x:f>
        <x:v>0</x:v>
      </x:c>
      <x:c r="AJ345" s="17" t="str">
        <x:f>IF(AE345&lt;=34,"≤34",IF(AE345&lt;=44,"35–44",IF(AE345&lt;=54,"45–54",IF(AE345&lt;=64,"55–64","65+"))))</x:f>
        <x:v>45–54</x:v>
      </x:c>
      <x:c r="AK345" s="17" t="str">
        <x:f>IF(AG345&gt;=1000,"High Value",IF(AG345&gt;=300,"Mid Value","Low Value"))</x:f>
        <x:v>Low Value</x:v>
      </x:c>
      <x:c r="AL345" s="17" t="str">
        <x:f>IF(AND(AI345&gt;=1,I345&lt;=50),"Priority 1",IF(AND(AG345&gt;=1000,I345&lt;=60),"Priority 2",IF(I345&lt;=30,"Priority 3","Nurture")))</x:f>
        <x:v>Nurture</x:v>
      </x:c>
    </x:row>
    <x:row r="346">
      <x:c r="A346" s="16" t="n">
        <x:v>1826</x:v>
      </x:c>
      <x:c r="B346" s="16" t="n">
        <x:v>1970</x:v>
      </x:c>
      <x:c r="C346" s="16" t="str">
        <x:v>Graduation</x:v>
      </x:c>
      <x:c r="D346" s="16" t="str">
        <x:v>Divorced</x:v>
      </x:c>
      <x:c r="E346" s="16" t="n">
        <x:v>84835</x:v>
      </x:c>
      <x:c r="F346" s="16" t="n">
        <x:v>0</x:v>
      </x:c>
      <x:c r="G346" s="16" t="n">
        <x:v>0</x:v>
      </x:c>
      <x:c r="H346" s="16" t="str">
        <x:v>16-06-2014</x:v>
      </x:c>
      <x:c r="I346" s="16" t="n">
        <x:v>0</x:v>
      </x:c>
      <x:c r="J346" s="16" t="n">
        <x:v>189</x:v>
      </x:c>
      <x:c r="K346" s="16" t="n">
        <x:v>104</x:v>
      </x:c>
      <x:c r="L346" s="16" t="n">
        <x:v>379</x:v>
      </x:c>
      <x:c r="M346" s="16" t="n">
        <x:v>111</x:v>
      </x:c>
      <x:c r="N346" s="16" t="n">
        <x:v>189</x:v>
      </x:c>
      <x:c r="O346" s="16" t="n">
        <x:v>218</x:v>
      </x:c>
      <x:c r="P346" s="16" t="n">
        <x:v>1</x:v>
      </x:c>
      <x:c r="Q346" s="16" t="n">
        <x:v>4</x:v>
      </x:c>
      <x:c r="R346" s="16" t="n">
        <x:v>4</x:v>
      </x:c>
      <x:c r="S346" s="16" t="n">
        <x:v>6</x:v>
      </x:c>
      <x:c r="T346" s="16" t="n">
        <x:v>1</x:v>
      </x:c>
      <x:c r="U346" s="16" t="n">
        <x:v>0</x:v>
      </x:c>
      <x:c r="V346" s="16" t="n">
        <x:v>0</x:v>
      </x:c>
      <x:c r="W346" s="16" t="n">
        <x:v>0</x:v>
      </x:c>
      <x:c r="X346" s="16" t="n">
        <x:v>0</x:v>
      </x:c>
      <x:c r="Y346" s="16" t="n">
        <x:v>0</x:v>
      </x:c>
      <x:c r="Z346" s="16" t="n">
        <x:v>0</x:v>
      </x:c>
      <x:c r="AA346" s="16" t="n">
        <x:v>3</x:v>
      </x:c>
      <x:c r="AB346" s="16" t="n">
        <x:v>11</x:v>
      </x:c>
      <x:c r="AC346" s="16" t="n">
        <x:v>1</x:v>
      </x:c>
      <x:c r="AD346" s="21" t="n">
        <x:f>IF(E346="",MEDIAN($E$2:$E$2237),E346)</x:f>
        <x:v>84835</x:v>
      </x:c>
      <x:c r="AE346" s="17" t="n">
        <x:f>2014-B346</x:f>
        <x:v>44</x:v>
      </x:c>
      <x:c r="AF346" s="17" t="n">
        <x:f>F346+G346</x:f>
        <x:v>0</x:v>
      </x:c>
      <x:c r="AG346" s="21" t="n">
        <x:f>SUM(J346:O346)</x:f>
        <x:v>1190</x:v>
      </x:c>
      <x:c r="AH346" s="17" t="n">
        <x:f>SUM(Q346:S346)</x:f>
        <x:v>14</x:v>
      </x:c>
      <x:c r="AI346" s="17" t="n">
        <x:f>SUM(U346:Y346)</x:f>
        <x:v>0</x:v>
      </x:c>
      <x:c r="AJ346" s="17" t="str">
        <x:f>IF(AE346&lt;=34,"≤34",IF(AE346&lt;=44,"35–44",IF(AE346&lt;=54,"45–54",IF(AE346&lt;=64,"55–64","65+"))))</x:f>
        <x:v>35–44</x:v>
      </x:c>
      <x:c r="AK346" s="17" t="str">
        <x:f>IF(AG346&gt;=1000,"High Value",IF(AG346&gt;=300,"Mid Value","Low Value"))</x:f>
        <x:v>High Value</x:v>
      </x:c>
      <x:c r="AL346" s="17" t="str">
        <x:f>IF(AND(AI346&gt;=1,I346&lt;=50),"Priority 1",IF(AND(AG346&gt;=1000,I346&lt;=60),"Priority 2",IF(I346&lt;=30,"Priority 3","Nurture")))</x:f>
        <x:v>Priority 2</x:v>
      </x:c>
    </x:row>
    <x:row r="347">
      <x:c r="A347" s="16" t="n">
        <x:v>8842</x:v>
      </x:c>
      <x:c r="B347" s="16" t="n">
        <x:v>1971</x:v>
      </x:c>
      <x:c r="C347" s="16" t="str">
        <x:v>Graduation</x:v>
      </x:c>
      <x:c r="D347" s="16" t="str">
        <x:v>Widow</x:v>
      </x:c>
      <x:c r="E347" s="16" t="n">
        <x:v>30372</x:v>
      </x:c>
      <x:c r="F347" s="16" t="n">
        <x:v>1</x:v>
      </x:c>
      <x:c r="G347" s="16" t="n">
        <x:v>1</x:v>
      </x:c>
      <x:c r="H347" s="16" t="str">
        <x:v>25-12-2012</x:v>
      </x:c>
      <x:c r="I347" s="16" t="n">
        <x:v>33</x:v>
      </x:c>
      <x:c r="J347" s="16" t="n">
        <x:v>15</x:v>
      </x:c>
      <x:c r="K347" s="16" t="n">
        <x:v>0</x:v>
      </x:c>
      <x:c r="L347" s="16" t="n">
        <x:v>12</x:v>
      </x:c>
      <x:c r="M347" s="16" t="n">
        <x:v>7</x:v>
      </x:c>
      <x:c r="N347" s="16" t="n">
        <x:v>3</x:v>
      </x:c>
      <x:c r="O347" s="16" t="n">
        <x:v>7</x:v>
      </x:c>
      <x:c r="P347" s="16" t="n">
        <x:v>3</x:v>
      </x:c>
      <x:c r="Q347" s="16" t="n">
        <x:v>2</x:v>
      </x:c>
      <x:c r="R347" s="16" t="n">
        <x:v>0</x:v>
      </x:c>
      <x:c r="S347" s="16" t="n">
        <x:v>3</x:v>
      </x:c>
      <x:c r="T347" s="16" t="n">
        <x:v>7</x:v>
      </x:c>
      <x:c r="U347" s="16" t="n">
        <x:v>0</x:v>
      </x:c>
      <x:c r="V347" s="16" t="n">
        <x:v>0</x:v>
      </x:c>
      <x:c r="W347" s="16" t="n">
        <x:v>0</x:v>
      </x:c>
      <x:c r="X347" s="16" t="n">
        <x:v>0</x:v>
      </x:c>
      <x:c r="Y347" s="16" t="n">
        <x:v>0</x:v>
      </x:c>
      <x:c r="Z347" s="16" t="n">
        <x:v>0</x:v>
      </x:c>
      <x:c r="AA347" s="16" t="n">
        <x:v>3</x:v>
      </x:c>
      <x:c r="AB347" s="16" t="n">
        <x:v>11</x:v>
      </x:c>
      <x:c r="AC347" s="16" t="n">
        <x:v>0</x:v>
      </x:c>
      <x:c r="AD347" s="21" t="n">
        <x:f>IF(E347="",MEDIAN($E$2:$E$2237),E347)</x:f>
        <x:v>30372</x:v>
      </x:c>
      <x:c r="AE347" s="17" t="n">
        <x:f>2014-B347</x:f>
        <x:v>43</x:v>
      </x:c>
      <x:c r="AF347" s="17" t="n">
        <x:f>F347+G347</x:f>
        <x:v>2</x:v>
      </x:c>
      <x:c r="AG347" s="21" t="n">
        <x:f>SUM(J347:O347)</x:f>
        <x:v>44</x:v>
      </x:c>
      <x:c r="AH347" s="17" t="n">
        <x:f>SUM(Q347:S347)</x:f>
        <x:v>5</x:v>
      </x:c>
      <x:c r="AI347" s="17" t="n">
        <x:f>SUM(U347:Y347)</x:f>
        <x:v>0</x:v>
      </x:c>
      <x:c r="AJ347" s="17" t="str">
        <x:f>IF(AE347&lt;=34,"≤34",IF(AE347&lt;=44,"35–44",IF(AE347&lt;=54,"45–54",IF(AE347&lt;=64,"55–64","65+"))))</x:f>
        <x:v>35–44</x:v>
      </x:c>
      <x:c r="AK347" s="17" t="str">
        <x:f>IF(AG347&gt;=1000,"High Value",IF(AG347&gt;=300,"Mid Value","Low Value"))</x:f>
        <x:v>Low Value</x:v>
      </x:c>
      <x:c r="AL347" s="17" t="str">
        <x:f>IF(AND(AI347&gt;=1,I347&lt;=50),"Priority 1",IF(AND(AG347&gt;=1000,I347&lt;=60),"Priority 2",IF(I347&lt;=30,"Priority 3","Nurture")))</x:f>
        <x:v>Nurture</x:v>
      </x:c>
    </x:row>
    <x:row r="348">
      <x:c r="A348" s="16" t="n">
        <x:v>11030</x:v>
      </x:c>
      <x:c r="B348" s="16" t="n">
        <x:v>1976</x:v>
      </x:c>
      <x:c r="C348" s="16" t="str">
        <x:v>Master</x:v>
      </x:c>
      <x:c r="D348" s="16" t="str">
        <x:v>Married</x:v>
      </x:c>
      <x:c r="E348" s="16" t="n">
        <x:v>33181</x:v>
      </x:c>
      <x:c r="F348" s="16" t="n">
        <x:v>1</x:v>
      </x:c>
      <x:c r="G348" s="16" t="n">
        <x:v>0</x:v>
      </x:c>
      <x:c r="H348" s="16" t="str">
        <x:v>03-01-2014</x:v>
      </x:c>
      <x:c r="I348" s="16" t="n">
        <x:v>90</x:v>
      </x:c>
      <x:c r="J348" s="16" t="n">
        <x:v>9</x:v>
      </x:c>
      <x:c r="K348" s="16" t="n">
        <x:v>0</x:v>
      </x:c>
      <x:c r="L348" s="16" t="n">
        <x:v>3</x:v>
      </x:c>
      <x:c r="M348" s="16" t="n">
        <x:v>0</x:v>
      </x:c>
      <x:c r="N348" s="16" t="n">
        <x:v>0</x:v>
      </x:c>
      <x:c r="O348" s="16" t="n">
        <x:v>4</x:v>
      </x:c>
      <x:c r="P348" s="16" t="n">
        <x:v>1</x:v>
      </x:c>
      <x:c r="Q348" s="16" t="n">
        <x:v>1</x:v>
      </x:c>
      <x:c r="R348" s="16" t="n">
        <x:v>0</x:v>
      </x:c>
      <x:c r="S348" s="16" t="n">
        <x:v>2</x:v>
      </x:c>
      <x:c r="T348" s="16" t="n">
        <x:v>6</x:v>
      </x:c>
      <x:c r="U348" s="16" t="n">
        <x:v>1</x:v>
      </x:c>
      <x:c r="V348" s="16" t="n">
        <x:v>0</x:v>
      </x:c>
      <x:c r="W348" s="16" t="n">
        <x:v>0</x:v>
      </x:c>
      <x:c r="X348" s="16" t="n">
        <x:v>0</x:v>
      </x:c>
      <x:c r="Y348" s="16" t="n">
        <x:v>0</x:v>
      </x:c>
      <x:c r="Z348" s="16" t="n">
        <x:v>0</x:v>
      </x:c>
      <x:c r="AA348" s="16" t="n">
        <x:v>3</x:v>
      </x:c>
      <x:c r="AB348" s="16" t="n">
        <x:v>11</x:v>
      </x:c>
      <x:c r="AC348" s="16" t="n">
        <x:v>0</x:v>
      </x:c>
      <x:c r="AD348" s="21" t="n">
        <x:f>IF(E348="",MEDIAN($E$2:$E$2237),E348)</x:f>
        <x:v>33181</x:v>
      </x:c>
      <x:c r="AE348" s="17" t="n">
        <x:f>2014-B348</x:f>
        <x:v>38</x:v>
      </x:c>
      <x:c r="AF348" s="17" t="n">
        <x:f>F348+G348</x:f>
        <x:v>1</x:v>
      </x:c>
      <x:c r="AG348" s="21" t="n">
        <x:f>SUM(J348:O348)</x:f>
        <x:v>16</x:v>
      </x:c>
      <x:c r="AH348" s="17" t="n">
        <x:f>SUM(Q348:S348)</x:f>
        <x:v>3</x:v>
      </x:c>
      <x:c r="AI348" s="17" t="n">
        <x:f>SUM(U348:Y348)</x:f>
        <x:v>1</x:v>
      </x:c>
      <x:c r="AJ348" s="17" t="str">
        <x:f>IF(AE348&lt;=34,"≤34",IF(AE348&lt;=44,"35–44",IF(AE348&lt;=54,"45–54",IF(AE348&lt;=64,"55–64","65+"))))</x:f>
        <x:v>35–44</x:v>
      </x:c>
      <x:c r="AK348" s="17" t="str">
        <x:f>IF(AG348&gt;=1000,"High Value",IF(AG348&gt;=300,"Mid Value","Low Value"))</x:f>
        <x:v>Low Value</x:v>
      </x:c>
      <x:c r="AL348" s="17" t="str">
        <x:f>IF(AND(AI348&gt;=1,I348&lt;=50),"Priority 1",IF(AND(AG348&gt;=1000,I348&lt;=60),"Priority 2",IF(I348&lt;=30,"Priority 3","Nurture")))</x:f>
        <x:v>Nurture</x:v>
      </x:c>
    </x:row>
    <x:row r="349">
      <x:c r="A349" s="16" t="n">
        <x:v>2579</x:v>
      </x:c>
      <x:c r="B349" s="16" t="n">
        <x:v>1957</x:v>
      </x:c>
      <x:c r="C349" s="16" t="str">
        <x:v>Graduation</x:v>
      </x:c>
      <x:c r="D349" s="16" t="str">
        <x:v>Married</x:v>
      </x:c>
      <x:c r="E349" s="16" t="n">
        <x:v>71113</x:v>
      </x:c>
      <x:c r="F349" s="16" t="n">
        <x:v>0</x:v>
      </x:c>
      <x:c r="G349" s="16" t="n">
        <x:v>1</x:v>
      </x:c>
      <x:c r="H349" s="16" t="str">
        <x:v>17-12-2013</x:v>
      </x:c>
      <x:c r="I349" s="16" t="n">
        <x:v>95</x:v>
      </x:c>
      <x:c r="J349" s="16" t="n">
        <x:v>495</x:v>
      </x:c>
      <x:c r="K349" s="16" t="n">
        <x:v>33</x:v>
      </x:c>
      <x:c r="L349" s="16" t="n">
        <x:v>255</x:v>
      </x:c>
      <x:c r="M349" s="16" t="n">
        <x:v>11</x:v>
      </x:c>
      <x:c r="N349" s="16" t="n">
        <x:v>33</x:v>
      </x:c>
      <x:c r="O349" s="16" t="n">
        <x:v>8</x:v>
      </x:c>
      <x:c r="P349" s="16" t="n">
        <x:v>4</x:v>
      </x:c>
      <x:c r="Q349" s="16" t="n">
        <x:v>6</x:v>
      </x:c>
      <x:c r="R349" s="16" t="n">
        <x:v>7</x:v>
      </x:c>
      <x:c r="S349" s="16" t="n">
        <x:v>9</x:v>
      </x:c>
      <x:c r="T349" s="16" t="n">
        <x:v>4</x:v>
      </x:c>
      <x:c r="U349" s="16" t="n">
        <x:v>0</x:v>
      </x:c>
      <x:c r="V349" s="16" t="n">
        <x:v>0</x:v>
      </x:c>
      <x:c r="W349" s="16" t="n">
        <x:v>0</x:v>
      </x:c>
      <x:c r="X349" s="16" t="n">
        <x:v>0</x:v>
      </x:c>
      <x:c r="Y349" s="16" t="n">
        <x:v>0</x:v>
      </x:c>
      <x:c r="Z349" s="16" t="n">
        <x:v>0</x:v>
      </x:c>
      <x:c r="AA349" s="16" t="n">
        <x:v>3</x:v>
      </x:c>
      <x:c r="AB349" s="16" t="n">
        <x:v>11</x:v>
      </x:c>
      <x:c r="AC349" s="16" t="n">
        <x:v>0</x:v>
      </x:c>
      <x:c r="AD349" s="21" t="n">
        <x:f>IF(E349="",MEDIAN($E$2:$E$2237),E349)</x:f>
        <x:v>71113</x:v>
      </x:c>
      <x:c r="AE349" s="17" t="n">
        <x:f>2014-B349</x:f>
        <x:v>57</x:v>
      </x:c>
      <x:c r="AF349" s="17" t="n">
        <x:f>F349+G349</x:f>
        <x:v>1</x:v>
      </x:c>
      <x:c r="AG349" s="21" t="n">
        <x:f>SUM(J349:O349)</x:f>
        <x:v>835</x:v>
      </x:c>
      <x:c r="AH349" s="17" t="n">
        <x:f>SUM(Q349:S349)</x:f>
        <x:v>22</x:v>
      </x:c>
      <x:c r="AI349" s="17" t="n">
        <x:f>SUM(U349:Y349)</x:f>
        <x:v>0</x:v>
      </x:c>
      <x:c r="AJ349" s="17" t="str">
        <x:f>IF(AE349&lt;=34,"≤34",IF(AE349&lt;=44,"35–44",IF(AE349&lt;=54,"45–54",IF(AE349&lt;=64,"55–64","65+"))))</x:f>
        <x:v>55–64</x:v>
      </x:c>
      <x:c r="AK349" s="17" t="str">
        <x:f>IF(AG349&gt;=1000,"High Value",IF(AG349&gt;=300,"Mid Value","Low Value"))</x:f>
        <x:v>Mid Value</x:v>
      </x:c>
      <x:c r="AL349" s="17" t="str">
        <x:f>IF(AND(AI349&gt;=1,I349&lt;=50),"Priority 1",IF(AND(AG349&gt;=1000,I349&lt;=60),"Priority 2",IF(I349&lt;=30,"Priority 3","Nurture")))</x:f>
        <x:v>Nurture</x:v>
      </x:c>
    </x:row>
    <x:row r="350">
      <x:c r="A350" s="16" t="n">
        <x:v>175</x:v>
      </x:c>
      <x:c r="B350" s="16" t="n">
        <x:v>1986</x:v>
      </x:c>
      <x:c r="C350" s="16" t="str">
        <x:v>Graduation</x:v>
      </x:c>
      <x:c r="D350" s="16" t="str">
        <x:v>Married</x:v>
      </x:c>
      <x:c r="E350" s="16" t="n">
        <x:v>71952</x:v>
      </x:c>
      <x:c r="F350" s="16" t="n">
        <x:v>1</x:v>
      </x:c>
      <x:c r="G350" s="16" t="n">
        <x:v>0</x:v>
      </x:c>
      <x:c r="H350" s="16" t="str">
        <x:v>10-01-2013</x:v>
      </x:c>
      <x:c r="I350" s="16" t="n">
        <x:v>93</x:v>
      </x:c>
      <x:c r="J350" s="16" t="n">
        <x:v>656</x:v>
      </x:c>
      <x:c r="K350" s="16" t="n">
        <x:v>80</x:v>
      </x:c>
      <x:c r="L350" s="16" t="n">
        <x:v>455</x:v>
      </x:c>
      <x:c r="M350" s="16" t="n">
        <x:v>52</x:v>
      </x:c>
      <x:c r="N350" s="16" t="n">
        <x:v>107</x:v>
      </x:c>
      <x:c r="O350" s="16" t="n">
        <x:v>93</x:v>
      </x:c>
      <x:c r="P350" s="16" t="n">
        <x:v>2</x:v>
      </x:c>
      <x:c r="Q350" s="16" t="n">
        <x:v>8</x:v>
      </x:c>
      <x:c r="R350" s="16" t="n">
        <x:v>4</x:v>
      </x:c>
      <x:c r="S350" s="16" t="n">
        <x:v>8</x:v>
      </x:c>
      <x:c r="T350" s="16" t="n">
        <x:v>4</x:v>
      </x:c>
      <x:c r="U350" s="16" t="n">
        <x:v>1</x:v>
      </x:c>
      <x:c r="V350" s="16" t="n">
        <x:v>0</x:v>
      </x:c>
      <x:c r="W350" s="16" t="n">
        <x:v>1</x:v>
      </x:c>
      <x:c r="X350" s="16" t="n">
        <x:v>0</x:v>
      </x:c>
      <x:c r="Y350" s="16" t="n">
        <x:v>0</x:v>
      </x:c>
      <x:c r="Z350" s="16" t="n">
        <x:v>0</x:v>
      </x:c>
      <x:c r="AA350" s="16" t="n">
        <x:v>3</x:v>
      </x:c>
      <x:c r="AB350" s="16" t="n">
        <x:v>11</x:v>
      </x:c>
      <x:c r="AC350" s="16" t="n">
        <x:v>0</x:v>
      </x:c>
      <x:c r="AD350" s="21" t="n">
        <x:f>IF(E350="",MEDIAN($E$2:$E$2237),E350)</x:f>
        <x:v>71952</x:v>
      </x:c>
      <x:c r="AE350" s="17" t="n">
        <x:f>2014-B350</x:f>
        <x:v>28</x:v>
      </x:c>
      <x:c r="AF350" s="17" t="n">
        <x:f>F350+G350</x:f>
        <x:v>1</x:v>
      </x:c>
      <x:c r="AG350" s="21" t="n">
        <x:f>SUM(J350:O350)</x:f>
        <x:v>1443</x:v>
      </x:c>
      <x:c r="AH350" s="17" t="n">
        <x:f>SUM(Q350:S350)</x:f>
        <x:v>20</x:v>
      </x:c>
      <x:c r="AI350" s="17" t="n">
        <x:f>SUM(U350:Y350)</x:f>
        <x:v>2</x:v>
      </x:c>
      <x:c r="AJ350" s="17" t="str">
        <x:f>IF(AE350&lt;=34,"≤34",IF(AE350&lt;=44,"35–44",IF(AE350&lt;=54,"45–54",IF(AE350&lt;=64,"55–64","65+"))))</x:f>
        <x:v>≤34</x:v>
      </x:c>
      <x:c r="AK350" s="17" t="str">
        <x:f>IF(AG350&gt;=1000,"High Value",IF(AG350&gt;=300,"Mid Value","Low Value"))</x:f>
        <x:v>High Value</x:v>
      </x:c>
      <x:c r="AL350" s="17" t="str">
        <x:f>IF(AND(AI350&gt;=1,I350&lt;=50),"Priority 1",IF(AND(AG350&gt;=1000,I350&lt;=60),"Priority 2",IF(I350&lt;=30,"Priority 3","Nurture")))</x:f>
        <x:v>Nurture</x:v>
      </x:c>
    </x:row>
    <x:row r="351">
      <x:c r="A351" s="16" t="n">
        <x:v>9185</x:v>
      </x:c>
      <x:c r="B351" s="16" t="n">
        <x:v>1966</x:v>
      </x:c>
      <x:c r="C351" s="16" t="str">
        <x:v>PhD</x:v>
      </x:c>
      <x:c r="D351" s="16" t="str">
        <x:v>Single</x:v>
      </x:c>
      <x:c r="E351" s="16" t="n">
        <x:v>69759</x:v>
      </x:c>
      <x:c r="F351" s="16" t="n">
        <x:v>0</x:v>
      </x:c>
      <x:c r="G351" s="16" t="n">
        <x:v>0</x:v>
      </x:c>
      <x:c r="H351" s="16" t="str">
        <x:v>28-10-2013</x:v>
      </x:c>
      <x:c r="I351" s="16" t="n">
        <x:v>38</x:v>
      </x:c>
      <x:c r="J351" s="16" t="n">
        <x:v>452</x:v>
      </x:c>
      <x:c r="K351" s="16" t="n">
        <x:v>20</x:v>
      </x:c>
      <x:c r="L351" s="16" t="n">
        <x:v>514</x:v>
      </x:c>
      <x:c r="M351" s="16" t="n">
        <x:v>13</x:v>
      </x:c>
      <x:c r="N351" s="16" t="n">
        <x:v>30</x:v>
      </x:c>
      <x:c r="O351" s="16" t="n">
        <x:v>0</x:v>
      </x:c>
      <x:c r="P351" s="16" t="n">
        <x:v>3</x:v>
      </x:c>
      <x:c r="Q351" s="16" t="n">
        <x:v>4</x:v>
      </x:c>
      <x:c r="R351" s="16" t="n">
        <x:v>6</x:v>
      </x:c>
      <x:c r="S351" s="16" t="n">
        <x:v>5</x:v>
      </x:c>
      <x:c r="T351" s="16" t="n">
        <x:v>3</x:v>
      </x:c>
      <x:c r="U351" s="16" t="n">
        <x:v>0</x:v>
      </x:c>
      <x:c r="V351" s="16" t="n">
        <x:v>0</x:v>
      </x:c>
      <x:c r="W351" s="16" t="n">
        <x:v>0</x:v>
      </x:c>
      <x:c r="X351" s="16" t="n">
        <x:v>0</x:v>
      </x:c>
      <x:c r="Y351" s="16" t="n">
        <x:v>0</x:v>
      </x:c>
      <x:c r="Z351" s="16" t="n">
        <x:v>0</x:v>
      </x:c>
      <x:c r="AA351" s="16" t="n">
        <x:v>3</x:v>
      </x:c>
      <x:c r="AB351" s="16" t="n">
        <x:v>11</x:v>
      </x:c>
      <x:c r="AC351" s="16" t="n">
        <x:v>1</x:v>
      </x:c>
      <x:c r="AD351" s="21" t="n">
        <x:f>IF(E351="",MEDIAN($E$2:$E$2237),E351)</x:f>
        <x:v>69759</x:v>
      </x:c>
      <x:c r="AE351" s="17" t="n">
        <x:f>2014-B351</x:f>
        <x:v>48</x:v>
      </x:c>
      <x:c r="AF351" s="17" t="n">
        <x:f>F351+G351</x:f>
        <x:v>0</x:v>
      </x:c>
      <x:c r="AG351" s="21" t="n">
        <x:f>SUM(J351:O351)</x:f>
        <x:v>1029</x:v>
      </x:c>
      <x:c r="AH351" s="17" t="n">
        <x:f>SUM(Q351:S351)</x:f>
        <x:v>15</x:v>
      </x:c>
      <x:c r="AI351" s="17" t="n">
        <x:f>SUM(U351:Y351)</x:f>
        <x:v>0</x:v>
      </x:c>
      <x:c r="AJ351" s="17" t="str">
        <x:f>IF(AE351&lt;=34,"≤34",IF(AE351&lt;=44,"35–44",IF(AE351&lt;=54,"45–54",IF(AE351&lt;=64,"55–64","65+"))))</x:f>
        <x:v>45–54</x:v>
      </x:c>
      <x:c r="AK351" s="17" t="str">
        <x:f>IF(AG351&gt;=1000,"High Value",IF(AG351&gt;=300,"Mid Value","Low Value"))</x:f>
        <x:v>High Value</x:v>
      </x:c>
      <x:c r="AL351" s="17" t="str">
        <x:f>IF(AND(AI351&gt;=1,I351&lt;=50),"Priority 1",IF(AND(AG351&gt;=1000,I351&lt;=60),"Priority 2",IF(I351&lt;=30,"Priority 3","Nurture")))</x:f>
        <x:v>Priority 2</x:v>
      </x:c>
    </x:row>
    <x:row r="352">
      <x:c r="A352" s="16" t="n">
        <x:v>11056</x:v>
      </x:c>
      <x:c r="B352" s="16" t="n">
        <x:v>1974</x:v>
      </x:c>
      <x:c r="C352" s="16" t="str">
        <x:v>Graduation</x:v>
      </x:c>
      <x:c r="D352" s="16" t="str">
        <x:v>Married</x:v>
      </x:c>
      <x:c r="E352" s="16" t="n">
        <x:v>72099</x:v>
      </x:c>
      <x:c r="F352" s="16" t="n">
        <x:v>0</x:v>
      </x:c>
      <x:c r="G352" s="16" t="n">
        <x:v>0</x:v>
      </x:c>
      <x:c r="H352" s="16" t="str">
        <x:v>27-10-2012</x:v>
      </x:c>
      <x:c r="I352" s="16" t="n">
        <x:v>18</x:v>
      </x:c>
      <x:c r="J352" s="16" t="n">
        <x:v>546</x:v>
      </x:c>
      <x:c r="K352" s="16" t="n">
        <x:v>91</x:v>
      </x:c>
      <x:c r="L352" s="16" t="n">
        <x:v>410</x:v>
      </x:c>
      <x:c r="M352" s="16" t="n">
        <x:v>119</x:v>
      </x:c>
      <x:c r="N352" s="16" t="n">
        <x:v>0</x:v>
      </x:c>
      <x:c r="O352" s="16" t="n">
        <x:v>22</x:v>
      </x:c>
      <x:c r="P352" s="16" t="n">
        <x:v>1</x:v>
      </x:c>
      <x:c r="Q352" s="16" t="n">
        <x:v>3</x:v>
      </x:c>
      <x:c r="R352" s="16" t="n">
        <x:v>4</x:v>
      </x:c>
      <x:c r="S352" s="16" t="n">
        <x:v>10</x:v>
      </x:c>
      <x:c r="T352" s="16" t="n">
        <x:v>1</x:v>
      </x:c>
      <x:c r="U352" s="16" t="n">
        <x:v>0</x:v>
      </x:c>
      <x:c r="V352" s="16" t="n">
        <x:v>0</x:v>
      </x:c>
      <x:c r="W352" s="16" t="n">
        <x:v>0</x:v>
      </x:c>
      <x:c r="X352" s="16" t="n">
        <x:v>0</x:v>
      </x:c>
      <x:c r="Y352" s="16" t="n">
        <x:v>0</x:v>
      </x:c>
      <x:c r="Z352" s="16" t="n">
        <x:v>0</x:v>
      </x:c>
      <x:c r="AA352" s="16" t="n">
        <x:v>3</x:v>
      </x:c>
      <x:c r="AB352" s="16" t="n">
        <x:v>11</x:v>
      </x:c>
      <x:c r="AC352" s="16" t="n">
        <x:v>0</x:v>
      </x:c>
      <x:c r="AD352" s="21" t="n">
        <x:f>IF(E352="",MEDIAN($E$2:$E$2237),E352)</x:f>
        <x:v>72099</x:v>
      </x:c>
      <x:c r="AE352" s="17" t="n">
        <x:f>2014-B352</x:f>
        <x:v>40</x:v>
      </x:c>
      <x:c r="AF352" s="17" t="n">
        <x:f>F352+G352</x:f>
        <x:v>0</x:v>
      </x:c>
      <x:c r="AG352" s="21" t="n">
        <x:f>SUM(J352:O352)</x:f>
        <x:v>1188</x:v>
      </x:c>
      <x:c r="AH352" s="17" t="n">
        <x:f>SUM(Q352:S352)</x:f>
        <x:v>17</x:v>
      </x:c>
      <x:c r="AI352" s="17" t="n">
        <x:f>SUM(U352:Y352)</x:f>
        <x:v>0</x:v>
      </x:c>
      <x:c r="AJ352" s="17" t="str">
        <x:f>IF(AE352&lt;=34,"≤34",IF(AE352&lt;=44,"35–44",IF(AE352&lt;=54,"45–54",IF(AE352&lt;=64,"55–64","65+"))))</x:f>
        <x:v>35–44</x:v>
      </x:c>
      <x:c r="AK352" s="17" t="str">
        <x:f>IF(AG352&gt;=1000,"High Value",IF(AG352&gt;=300,"Mid Value","Low Value"))</x:f>
        <x:v>High Value</x:v>
      </x:c>
      <x:c r="AL352" s="17" t="str">
        <x:f>IF(AND(AI352&gt;=1,I352&lt;=50),"Priority 1",IF(AND(AG352&gt;=1000,I352&lt;=60),"Priority 2",IF(I352&lt;=30,"Priority 3","Nurture")))</x:f>
        <x:v>Priority 2</x:v>
      </x:c>
    </x:row>
    <x:row r="353">
      <x:c r="A353" s="16" t="n">
        <x:v>9365</x:v>
      </x:c>
      <x:c r="B353" s="16" t="n">
        <x:v>1976</x:v>
      </x:c>
      <x:c r="C353" s="16" t="str">
        <x:v>PhD</x:v>
      </x:c>
      <x:c r="D353" s="16" t="str">
        <x:v>Single</x:v>
      </x:c>
      <x:c r="E353" s="16" t="n">
        <x:v>60000</x:v>
      </x:c>
      <x:c r="F353" s="16" t="n">
        <x:v>0</x:v>
      </x:c>
      <x:c r="G353" s="16" t="n">
        <x:v>1</x:v>
      </x:c>
      <x:c r="H353" s="16" t="str">
        <x:v>22-12-2012</x:v>
      </x:c>
      <x:c r="I353" s="16" t="n">
        <x:v>57</x:v>
      </x:c>
      <x:c r="J353" s="16" t="n">
        <x:v>1048</x:v>
      </x:c>
      <x:c r="K353" s="16" t="n">
        <x:v>0</x:v>
      </x:c>
      <x:c r="L353" s="16" t="n">
        <x:v>217</x:v>
      </x:c>
      <x:c r="M353" s="16" t="n">
        <x:v>0</x:v>
      </x:c>
      <x:c r="N353" s="16" t="n">
        <x:v>0</x:v>
      </x:c>
      <x:c r="O353" s="16" t="n">
        <x:v>12</x:v>
      </x:c>
      <x:c r="P353" s="16" t="n">
        <x:v>5</x:v>
      </x:c>
      <x:c r="Q353" s="16" t="n">
        <x:v>11</x:v>
      </x:c>
      <x:c r="R353" s="16" t="n">
        <x:v>3</x:v>
      </x:c>
      <x:c r="S353" s="16" t="n">
        <x:v>5</x:v>
      </x:c>
      <x:c r="T353" s="16" t="n">
        <x:v>6</x:v>
      </x:c>
      <x:c r="U353" s="16" t="n">
        <x:v>0</x:v>
      </x:c>
      <x:c r="V353" s="16" t="n">
        <x:v>0</x:v>
      </x:c>
      <x:c r="W353" s="16" t="n">
        <x:v>0</x:v>
      </x:c>
      <x:c r="X353" s="16" t="n">
        <x:v>0</x:v>
      </x:c>
      <x:c r="Y353" s="16" t="n">
        <x:v>0</x:v>
      </x:c>
      <x:c r="Z353" s="16" t="n">
        <x:v>0</x:v>
      </x:c>
      <x:c r="AA353" s="16" t="n">
        <x:v>3</x:v>
      </x:c>
      <x:c r="AB353" s="16" t="n">
        <x:v>11</x:v>
      </x:c>
      <x:c r="AC353" s="16" t="n">
        <x:v>0</x:v>
      </x:c>
      <x:c r="AD353" s="21" t="n">
        <x:f>IF(E353="",MEDIAN($E$2:$E$2237),E353)</x:f>
        <x:v>60000</x:v>
      </x:c>
      <x:c r="AE353" s="17" t="n">
        <x:f>2014-B353</x:f>
        <x:v>38</x:v>
      </x:c>
      <x:c r="AF353" s="17" t="n">
        <x:f>F353+G353</x:f>
        <x:v>1</x:v>
      </x:c>
      <x:c r="AG353" s="21" t="n">
        <x:f>SUM(J353:O353)</x:f>
        <x:v>1277</x:v>
      </x:c>
      <x:c r="AH353" s="17" t="n">
        <x:f>SUM(Q353:S353)</x:f>
        <x:v>19</x:v>
      </x:c>
      <x:c r="AI353" s="17" t="n">
        <x:f>SUM(U353:Y353)</x:f>
        <x:v>0</x:v>
      </x:c>
      <x:c r="AJ353" s="17" t="str">
        <x:f>IF(AE353&lt;=34,"≤34",IF(AE353&lt;=44,"35–44",IF(AE353&lt;=54,"45–54",IF(AE353&lt;=64,"55–64","65+"))))</x:f>
        <x:v>35–44</x:v>
      </x:c>
      <x:c r="AK353" s="17" t="str">
        <x:f>IF(AG353&gt;=1000,"High Value",IF(AG353&gt;=300,"Mid Value","Low Value"))</x:f>
        <x:v>High Value</x:v>
      </x:c>
      <x:c r="AL353" s="17" t="str">
        <x:f>IF(AND(AI353&gt;=1,I353&lt;=50),"Priority 1",IF(AND(AG353&gt;=1000,I353&lt;=60),"Priority 2",IF(I353&lt;=30,"Priority 3","Nurture")))</x:f>
        <x:v>Priority 2</x:v>
      </x:c>
    </x:row>
    <x:row r="354">
      <x:c r="A354" s="16" t="n">
        <x:v>6201</x:v>
      </x:c>
      <x:c r="B354" s="16" t="n">
        <x:v>1978</x:v>
      </x:c>
      <x:c r="C354" s="16" t="str">
        <x:v>Graduation</x:v>
      </x:c>
      <x:c r="D354" s="16" t="str">
        <x:v>Single</x:v>
      </x:c>
      <x:c r="E354" s="16" t="n">
        <x:v>38643</x:v>
      </x:c>
      <x:c r="F354" s="16" t="n">
        <x:v>1</x:v>
      </x:c>
      <x:c r="G354" s="16" t="n">
        <x:v>1</x:v>
      </x:c>
      <x:c r="H354" s="16" t="str">
        <x:v>29-11-2013</x:v>
      </x:c>
      <x:c r="I354" s="16" t="n">
        <x:v>45</x:v>
      </x:c>
      <x:c r="J354" s="16" t="n">
        <x:v>22</x:v>
      </x:c>
      <x:c r="K354" s="16" t="n">
        <x:v>2</x:v>
      </x:c>
      <x:c r="L354" s="16" t="n">
        <x:v>14</x:v>
      </x:c>
      <x:c r="M354" s="16" t="n">
        <x:v>0</x:v>
      </x:c>
      <x:c r="N354" s="16" t="n">
        <x:v>1</x:v>
      </x:c>
      <x:c r="O354" s="16" t="n">
        <x:v>10</x:v>
      </x:c>
      <x:c r="P354" s="16" t="n">
        <x:v>2</x:v>
      </x:c>
      <x:c r="Q354" s="16" t="n">
        <x:v>2</x:v>
      </x:c>
      <x:c r="R354" s="16" t="n">
        <x:v>0</x:v>
      </x:c>
      <x:c r="S354" s="16" t="n">
        <x:v>3</x:v>
      </x:c>
      <x:c r="T354" s="16" t="n">
        <x:v>7</x:v>
      </x:c>
      <x:c r="U354" s="16" t="n">
        <x:v>0</x:v>
      </x:c>
      <x:c r="V354" s="16" t="n">
        <x:v>0</x:v>
      </x:c>
      <x:c r="W354" s="16" t="n">
        <x:v>0</x:v>
      </x:c>
      <x:c r="X354" s="16" t="n">
        <x:v>0</x:v>
      </x:c>
      <x:c r="Y354" s="16" t="n">
        <x:v>0</x:v>
      </x:c>
      <x:c r="Z354" s="16" t="n">
        <x:v>1</x:v>
      </x:c>
      <x:c r="AA354" s="16" t="n">
        <x:v>3</x:v>
      </x:c>
      <x:c r="AB354" s="16" t="n">
        <x:v>11</x:v>
      </x:c>
      <x:c r="AC354" s="16" t="n">
        <x:v>0</x:v>
      </x:c>
      <x:c r="AD354" s="21" t="n">
        <x:f>IF(E354="",MEDIAN($E$2:$E$2237),E354)</x:f>
        <x:v>38643</x:v>
      </x:c>
      <x:c r="AE354" s="17" t="n">
        <x:f>2014-B354</x:f>
        <x:v>36</x:v>
      </x:c>
      <x:c r="AF354" s="17" t="n">
        <x:f>F354+G354</x:f>
        <x:v>2</x:v>
      </x:c>
      <x:c r="AG354" s="21" t="n">
        <x:f>SUM(J354:O354)</x:f>
        <x:v>49</x:v>
      </x:c>
      <x:c r="AH354" s="17" t="n">
        <x:f>SUM(Q354:S354)</x:f>
        <x:v>5</x:v>
      </x:c>
      <x:c r="AI354" s="17" t="n">
        <x:f>SUM(U354:Y354)</x:f>
        <x:v>0</x:v>
      </x:c>
      <x:c r="AJ354" s="17" t="str">
        <x:f>IF(AE354&lt;=34,"≤34",IF(AE354&lt;=44,"35–44",IF(AE354&lt;=54,"45–54",IF(AE354&lt;=64,"55–64","65+"))))</x:f>
        <x:v>35–44</x:v>
      </x:c>
      <x:c r="AK354" s="17" t="str">
        <x:f>IF(AG354&gt;=1000,"High Value",IF(AG354&gt;=300,"Mid Value","Low Value"))</x:f>
        <x:v>Low Value</x:v>
      </x:c>
      <x:c r="AL354" s="17" t="str">
        <x:f>IF(AND(AI354&gt;=1,I354&lt;=50),"Priority 1",IF(AND(AG354&gt;=1000,I354&lt;=60),"Priority 2",IF(I354&lt;=30,"Priority 3","Nurture")))</x:f>
        <x:v>Nurture</x:v>
      </x:c>
    </x:row>
    <x:row r="355">
      <x:c r="A355" s="16" t="n">
        <x:v>2061</x:v>
      </x:c>
      <x:c r="B355" s="16" t="n">
        <x:v>1955</x:v>
      </x:c>
      <x:c r="C355" s="16" t="str">
        <x:v>Graduation</x:v>
      </x:c>
      <x:c r="D355" s="16" t="str">
        <x:v>Married</x:v>
      </x:c>
      <x:c r="E355" s="16" t="n">
        <x:v>50737</x:v>
      </x:c>
      <x:c r="F355" s="16" t="n">
        <x:v>0</x:v>
      </x:c>
      <x:c r="G355" s="16" t="n">
        <x:v>1</x:v>
      </x:c>
      <x:c r="H355" s="16" t="str">
        <x:v>11-05-2013</x:v>
      </x:c>
      <x:c r="I355" s="16" t="n">
        <x:v>61</x:v>
      </x:c>
      <x:c r="J355" s="16" t="n">
        <x:v>78</x:v>
      </x:c>
      <x:c r="K355" s="16" t="n">
        <x:v>0</x:v>
      </x:c>
      <x:c r="L355" s="16" t="n">
        <x:v>11</x:v>
      </x:c>
      <x:c r="M355" s="16" t="n">
        <x:v>0</x:v>
      </x:c>
      <x:c r="N355" s="16" t="n">
        <x:v>0</x:v>
      </x:c>
      <x:c r="O355" s="16" t="n">
        <x:v>10</x:v>
      </x:c>
      <x:c r="P355" s="16" t="n">
        <x:v>1</x:v>
      </x:c>
      <x:c r="Q355" s="16" t="n">
        <x:v>2</x:v>
      </x:c>
      <x:c r="R355" s="16" t="n">
        <x:v>0</x:v>
      </x:c>
      <x:c r="S355" s="16" t="n">
        <x:v>4</x:v>
      </x:c>
      <x:c r="T355" s="16" t="n">
        <x:v>6</x:v>
      </x:c>
      <x:c r="U355" s="16" t="n">
        <x:v>0</x:v>
      </x:c>
      <x:c r="V355" s="16" t="n">
        <x:v>1</x:v>
      </x:c>
      <x:c r="W355" s="16" t="n">
        <x:v>0</x:v>
      </x:c>
      <x:c r="X355" s="16" t="n">
        <x:v>0</x:v>
      </x:c>
      <x:c r="Y355" s="16" t="n">
        <x:v>0</x:v>
      </x:c>
      <x:c r="Z355" s="16" t="n">
        <x:v>0</x:v>
      </x:c>
      <x:c r="AA355" s="16" t="n">
        <x:v>3</x:v>
      </x:c>
      <x:c r="AB355" s="16" t="n">
        <x:v>11</x:v>
      </x:c>
      <x:c r="AC355" s="16" t="n">
        <x:v>0</x:v>
      </x:c>
      <x:c r="AD355" s="21" t="n">
        <x:f>IF(E355="",MEDIAN($E$2:$E$2237),E355)</x:f>
        <x:v>50737</x:v>
      </x:c>
      <x:c r="AE355" s="17" t="n">
        <x:f>2014-B355</x:f>
        <x:v>59</x:v>
      </x:c>
      <x:c r="AF355" s="17" t="n">
        <x:f>F355+G355</x:f>
        <x:v>1</x:v>
      </x:c>
      <x:c r="AG355" s="21" t="n">
        <x:f>SUM(J355:O355)</x:f>
        <x:v>99</x:v>
      </x:c>
      <x:c r="AH355" s="17" t="n">
        <x:f>SUM(Q355:S355)</x:f>
        <x:v>6</x:v>
      </x:c>
      <x:c r="AI355" s="17" t="n">
        <x:f>SUM(U355:Y355)</x:f>
        <x:v>1</x:v>
      </x:c>
      <x:c r="AJ355" s="17" t="str">
        <x:f>IF(AE355&lt;=34,"≤34",IF(AE355&lt;=44,"35–44",IF(AE355&lt;=54,"45–54",IF(AE355&lt;=64,"55–64","65+"))))</x:f>
        <x:v>55–64</x:v>
      </x:c>
      <x:c r="AK355" s="17" t="str">
        <x:f>IF(AG355&gt;=1000,"High Value",IF(AG355&gt;=300,"Mid Value","Low Value"))</x:f>
        <x:v>Low Value</x:v>
      </x:c>
      <x:c r="AL355" s="17" t="str">
        <x:f>IF(AND(AI355&gt;=1,I355&lt;=50),"Priority 1",IF(AND(AG355&gt;=1000,I355&lt;=60),"Priority 2",IF(I355&lt;=30,"Priority 3","Nurture")))</x:f>
        <x:v>Nurture</x:v>
      </x:c>
    </x:row>
    <x:row r="356">
      <x:c r="A356" s="16" t="n">
        <x:v>6184</x:v>
      </x:c>
      <x:c r="B356" s="16" t="n">
        <x:v>1969</x:v>
      </x:c>
      <x:c r="C356" s="16" t="str">
        <x:v>PhD</x:v>
      </x:c>
      <x:c r="D356" s="16" t="str">
        <x:v>Married</x:v>
      </x:c>
      <x:c r="E356" s="16" t="n">
        <x:v>68462</x:v>
      </x:c>
      <x:c r="F356" s="16" t="n">
        <x:v>0</x:v>
      </x:c>
      <x:c r="G356" s="16" t="n">
        <x:v>0</x:v>
      </x:c>
      <x:c r="H356" s="16" t="str">
        <x:v>12-12-2012</x:v>
      </x:c>
      <x:c r="I356" s="16" t="n">
        <x:v>6</x:v>
      </x:c>
      <x:c r="J356" s="16" t="n">
        <x:v>561</x:v>
      </x:c>
      <x:c r="K356" s="16" t="n">
        <x:v>64</x:v>
      </x:c>
      <x:c r="L356" s="16" t="n">
        <x:v>785</x:v>
      </x:c>
      <x:c r="M356" s="16" t="n">
        <x:v>84</x:v>
      </x:c>
      <x:c r="N356" s="16" t="n">
        <x:v>128</x:v>
      </x:c>
      <x:c r="O356" s="16" t="n">
        <x:v>48</x:v>
      </x:c>
      <x:c r="P356" s="16" t="n">
        <x:v>1</x:v>
      </x:c>
      <x:c r="Q356" s="16" t="n">
        <x:v>3</x:v>
      </x:c>
      <x:c r="R356" s="16" t="n">
        <x:v>3</x:v>
      </x:c>
      <x:c r="S356" s="16" t="n">
        <x:v>8</x:v>
      </x:c>
      <x:c r="T356" s="16" t="n">
        <x:v>1</x:v>
      </x:c>
      <x:c r="U356" s="16" t="n">
        <x:v>0</x:v>
      </x:c>
      <x:c r="V356" s="16" t="n">
        <x:v>0</x:v>
      </x:c>
      <x:c r="W356" s="16" t="n">
        <x:v>0</x:v>
      </x:c>
      <x:c r="X356" s="16" t="n">
        <x:v>0</x:v>
      </x:c>
      <x:c r="Y356" s="16" t="n">
        <x:v>0</x:v>
      </x:c>
      <x:c r="Z356" s="16" t="n">
        <x:v>0</x:v>
      </x:c>
      <x:c r="AA356" s="16" t="n">
        <x:v>3</x:v>
      </x:c>
      <x:c r="AB356" s="16" t="n">
        <x:v>11</x:v>
      </x:c>
      <x:c r="AC356" s="16" t="n">
        <x:v>0</x:v>
      </x:c>
      <x:c r="AD356" s="21" t="n">
        <x:f>IF(E356="",MEDIAN($E$2:$E$2237),E356)</x:f>
        <x:v>68462</x:v>
      </x:c>
      <x:c r="AE356" s="17" t="n">
        <x:f>2014-B356</x:f>
        <x:v>45</x:v>
      </x:c>
      <x:c r="AF356" s="17" t="n">
        <x:f>F356+G356</x:f>
        <x:v>0</x:v>
      </x:c>
      <x:c r="AG356" s="21" t="n">
        <x:f>SUM(J356:O356)</x:f>
        <x:v>1670</x:v>
      </x:c>
      <x:c r="AH356" s="17" t="n">
        <x:f>SUM(Q356:S356)</x:f>
        <x:v>14</x:v>
      </x:c>
      <x:c r="AI356" s="17" t="n">
        <x:f>SUM(U356:Y356)</x:f>
        <x:v>0</x:v>
      </x:c>
      <x:c r="AJ356" s="17" t="str">
        <x:f>IF(AE356&lt;=34,"≤34",IF(AE356&lt;=44,"35–44",IF(AE356&lt;=54,"45–54",IF(AE356&lt;=64,"55–64","65+"))))</x:f>
        <x:v>45–54</x:v>
      </x:c>
      <x:c r="AK356" s="17" t="str">
        <x:f>IF(AG356&gt;=1000,"High Value",IF(AG356&gt;=300,"Mid Value","Low Value"))</x:f>
        <x:v>High Value</x:v>
      </x:c>
      <x:c r="AL356" s="17" t="str">
        <x:f>IF(AND(AI356&gt;=1,I356&lt;=50),"Priority 1",IF(AND(AG356&gt;=1000,I356&lt;=60),"Priority 2",IF(I356&lt;=30,"Priority 3","Nurture")))</x:f>
        <x:v>Priority 2</x:v>
      </x:c>
    </x:row>
    <x:row r="357">
      <x:c r="A357" s="16" t="n">
        <x:v>6142</x:v>
      </x:c>
      <x:c r="B357" s="16" t="n">
        <x:v>1943</x:v>
      </x:c>
      <x:c r="C357" s="16" t="str">
        <x:v>Master</x:v>
      </x:c>
      <x:c r="D357" s="16" t="str">
        <x:v>Married</x:v>
      </x:c>
      <x:c r="E357" s="16" t="n">
        <x:v>65073</x:v>
      </x:c>
      <x:c r="F357" s="16" t="n">
        <x:v>0</x:v>
      </x:c>
      <x:c r="G357" s="16" t="n">
        <x:v>0</x:v>
      </x:c>
      <x:c r="H357" s="16" t="str">
        <x:v>20-08-2013</x:v>
      </x:c>
      <x:c r="I357" s="16" t="n">
        <x:v>65</x:v>
      </x:c>
      <x:c r="J357" s="16" t="n">
        <x:v>629</x:v>
      </x:c>
      <x:c r="K357" s="16" t="n">
        <x:v>17</x:v>
      </x:c>
      <x:c r="L357" s="16" t="n">
        <x:v>177</x:v>
      </x:c>
      <x:c r="M357" s="16" t="n">
        <x:v>69</x:v>
      </x:c>
      <x:c r="N357" s="16" t="n">
        <x:v>0</x:v>
      </x:c>
      <x:c r="O357" s="16" t="n">
        <x:v>8</x:v>
      </x:c>
      <x:c r="P357" s="16" t="n">
        <x:v>1</x:v>
      </x:c>
      <x:c r="Q357" s="16" t="n">
        <x:v>5</x:v>
      </x:c>
      <x:c r="R357" s="16" t="n">
        <x:v>3</x:v>
      </x:c>
      <x:c r="S357" s="16" t="n">
        <x:v>5</x:v>
      </x:c>
      <x:c r="T357" s="16" t="n">
        <x:v>2</x:v>
      </x:c>
      <x:c r="U357" s="16" t="n">
        <x:v>0</x:v>
      </x:c>
      <x:c r="V357" s="16" t="n">
        <x:v>0</x:v>
      </x:c>
      <x:c r="W357" s="16" t="n">
        <x:v>0</x:v>
      </x:c>
      <x:c r="X357" s="16" t="n">
        <x:v>0</x:v>
      </x:c>
      <x:c r="Y357" s="16" t="n">
        <x:v>0</x:v>
      </x:c>
      <x:c r="Z357" s="16" t="n">
        <x:v>1</x:v>
      </x:c>
      <x:c r="AA357" s="16" t="n">
        <x:v>3</x:v>
      </x:c>
      <x:c r="AB357" s="16" t="n">
        <x:v>11</x:v>
      </x:c>
      <x:c r="AC357" s="16" t="n">
        <x:v>0</x:v>
      </x:c>
      <x:c r="AD357" s="21" t="n">
        <x:f>IF(E357="",MEDIAN($E$2:$E$2237),E357)</x:f>
        <x:v>65073</x:v>
      </x:c>
      <x:c r="AE357" s="17" t="n">
        <x:f>2014-B357</x:f>
        <x:v>71</x:v>
      </x:c>
      <x:c r="AF357" s="17" t="n">
        <x:f>F357+G357</x:f>
        <x:v>0</x:v>
      </x:c>
      <x:c r="AG357" s="21" t="n">
        <x:f>SUM(J357:O357)</x:f>
        <x:v>900</x:v>
      </x:c>
      <x:c r="AH357" s="17" t="n">
        <x:f>SUM(Q357:S357)</x:f>
        <x:v>13</x:v>
      </x:c>
      <x:c r="AI357" s="17" t="n">
        <x:f>SUM(U357:Y357)</x:f>
        <x:v>0</x:v>
      </x:c>
      <x:c r="AJ357" s="17" t="str">
        <x:f>IF(AE357&lt;=34,"≤34",IF(AE357&lt;=44,"35–44",IF(AE357&lt;=54,"45–54",IF(AE357&lt;=64,"55–64","65+"))))</x:f>
        <x:v>65+</x:v>
      </x:c>
      <x:c r="AK357" s="17" t="str">
        <x:f>IF(AG357&gt;=1000,"High Value",IF(AG357&gt;=300,"Mid Value","Low Value"))</x:f>
        <x:v>Mid Value</x:v>
      </x:c>
      <x:c r="AL357" s="17" t="str">
        <x:f>IF(AND(AI357&gt;=1,I357&lt;=50),"Priority 1",IF(AND(AG357&gt;=1000,I357&lt;=60),"Priority 2",IF(I357&lt;=30,"Priority 3","Nurture")))</x:f>
        <x:v>Nurture</x:v>
      </x:c>
    </x:row>
    <x:row r="358">
      <x:c r="A358" s="16" t="n">
        <x:v>4107</x:v>
      </x:c>
      <x:c r="B358" s="16" t="n">
        <x:v>1948</x:v>
      </x:c>
      <x:c r="C358" s="16" t="str">
        <x:v>PhD</x:v>
      </x:c>
      <x:c r="D358" s="16" t="str">
        <x:v>Together</x:v>
      </x:c>
      <x:c r="E358" s="16" t="n">
        <x:v>46681</x:v>
      </x:c>
      <x:c r="F358" s="16" t="n">
        <x:v>0</x:v>
      </x:c>
      <x:c r="G358" s="16" t="n">
        <x:v>2</x:v>
      </x:c>
      <x:c r="H358" s="16" t="str">
        <x:v>08-10-2013</x:v>
      </x:c>
      <x:c r="I358" s="16" t="n">
        <x:v>52</x:v>
      </x:c>
      <x:c r="J358" s="16" t="n">
        <x:v>269</x:v>
      </x:c>
      <x:c r="K358" s="16" t="n">
        <x:v>15</x:v>
      </x:c>
      <x:c r="L358" s="16" t="n">
        <x:v>69</x:v>
      </x:c>
      <x:c r="M358" s="16" t="n">
        <x:v>15</x:v>
      </x:c>
      <x:c r="N358" s="16" t="n">
        <x:v>19</x:v>
      </x:c>
      <x:c r="O358" s="16" t="n">
        <x:v>38</x:v>
      </x:c>
      <x:c r="P358" s="16" t="n">
        <x:v>2</x:v>
      </x:c>
      <x:c r="Q358" s="16" t="n">
        <x:v>4</x:v>
      </x:c>
      <x:c r="R358" s="16" t="n">
        <x:v>6</x:v>
      </x:c>
      <x:c r="S358" s="16" t="n">
        <x:v>4</x:v>
      </x:c>
      <x:c r="T358" s="16" t="n">
        <x:v>5</x:v>
      </x:c>
      <x:c r="U358" s="16" t="n">
        <x:v>0</x:v>
      </x:c>
      <x:c r="V358" s="16" t="n">
        <x:v>0</x:v>
      </x:c>
      <x:c r="W358" s="16" t="n">
        <x:v>0</x:v>
      </x:c>
      <x:c r="X358" s="16" t="n">
        <x:v>0</x:v>
      </x:c>
      <x:c r="Y358" s="16" t="n">
        <x:v>0</x:v>
      </x:c>
      <x:c r="Z358" s="16" t="n">
        <x:v>0</x:v>
      </x:c>
      <x:c r="AA358" s="16" t="n">
        <x:v>3</x:v>
      </x:c>
      <x:c r="AB358" s="16" t="n">
        <x:v>11</x:v>
      </x:c>
      <x:c r="AC358" s="16" t="n">
        <x:v>0</x:v>
      </x:c>
      <x:c r="AD358" s="21" t="n">
        <x:f>IF(E358="",MEDIAN($E$2:$E$2237),E358)</x:f>
        <x:v>46681</x:v>
      </x:c>
      <x:c r="AE358" s="17" t="n">
        <x:f>2014-B358</x:f>
        <x:v>66</x:v>
      </x:c>
      <x:c r="AF358" s="17" t="n">
        <x:f>F358+G358</x:f>
        <x:v>2</x:v>
      </x:c>
      <x:c r="AG358" s="21" t="n">
        <x:f>SUM(J358:O358)</x:f>
        <x:v>425</x:v>
      </x:c>
      <x:c r="AH358" s="17" t="n">
        <x:f>SUM(Q358:S358)</x:f>
        <x:v>14</x:v>
      </x:c>
      <x:c r="AI358" s="17" t="n">
        <x:f>SUM(U358:Y358)</x:f>
        <x:v>0</x:v>
      </x:c>
      <x:c r="AJ358" s="17" t="str">
        <x:f>IF(AE358&lt;=34,"≤34",IF(AE358&lt;=44,"35–44",IF(AE358&lt;=54,"45–54",IF(AE358&lt;=64,"55–64","65+"))))</x:f>
        <x:v>65+</x:v>
      </x:c>
      <x:c r="AK358" s="17" t="str">
        <x:f>IF(AG358&gt;=1000,"High Value",IF(AG358&gt;=300,"Mid Value","Low Value"))</x:f>
        <x:v>Mid Value</x:v>
      </x:c>
      <x:c r="AL358" s="17" t="str">
        <x:f>IF(AND(AI358&gt;=1,I358&lt;=50),"Priority 1",IF(AND(AG358&gt;=1000,I358&lt;=60),"Priority 2",IF(I358&lt;=30,"Priority 3","Nurture")))</x:f>
        <x:v>Nurture</x:v>
      </x:c>
    </x:row>
    <x:row r="359">
      <x:c r="A359" s="16" t="n">
        <x:v>7274</x:v>
      </x:c>
      <x:c r="B359" s="16" t="n">
        <x:v>1957</x:v>
      </x:c>
      <x:c r="C359" s="16" t="str">
        <x:v>Graduation</x:v>
      </x:c>
      <x:c r="D359" s="16" t="str">
        <x:v>Married</x:v>
      </x:c>
      <x:c r="E359" s="16" t="n">
        <x:v>78618</x:v>
      </x:c>
      <x:c r="F359" s="16" t="n">
        <x:v>0</x:v>
      </x:c>
      <x:c r="G359" s="16" t="n">
        <x:v>0</x:v>
      </x:c>
      <x:c r="H359" s="16" t="str">
        <x:v>28-09-2012</x:v>
      </x:c>
      <x:c r="I359" s="16" t="n">
        <x:v>87</x:v>
      </x:c>
      <x:c r="J359" s="16" t="n">
        <x:v>736</x:v>
      </x:c>
      <x:c r="K359" s="16" t="n">
        <x:v>163</x:v>
      </x:c>
      <x:c r="L359" s="16" t="n">
        <x:v>818</x:v>
      </x:c>
      <x:c r="M359" s="16" t="n">
        <x:v>212</x:v>
      </x:c>
      <x:c r="N359" s="16" t="n">
        <x:v>163</x:v>
      </x:c>
      <x:c r="O359" s="16" t="n">
        <x:v>61</x:v>
      </x:c>
      <x:c r="P359" s="16" t="n">
        <x:v>1</x:v>
      </x:c>
      <x:c r="Q359" s="16" t="n">
        <x:v>4</x:v>
      </x:c>
      <x:c r="R359" s="16" t="n">
        <x:v>7</x:v>
      </x:c>
      <x:c r="S359" s="16" t="n">
        <x:v>10</x:v>
      </x:c>
      <x:c r="T359" s="16" t="n">
        <x:v>2</x:v>
      </x:c>
      <x:c r="U359" s="16" t="n">
        <x:v>0</x:v>
      </x:c>
      <x:c r="V359" s="16" t="n">
        <x:v>1</x:v>
      </x:c>
      <x:c r="W359" s="16" t="n">
        <x:v>0</x:v>
      </x:c>
      <x:c r="X359" s="16" t="n">
        <x:v>0</x:v>
      </x:c>
      <x:c r="Y359" s="16" t="n">
        <x:v>0</x:v>
      </x:c>
      <x:c r="Z359" s="16" t="n">
        <x:v>0</x:v>
      </x:c>
      <x:c r="AA359" s="16" t="n">
        <x:v>3</x:v>
      </x:c>
      <x:c r="AB359" s="16" t="n">
        <x:v>11</x:v>
      </x:c>
      <x:c r="AC359" s="16" t="n">
        <x:v>0</x:v>
      </x:c>
      <x:c r="AD359" s="21" t="n">
        <x:f>IF(E359="",MEDIAN($E$2:$E$2237),E359)</x:f>
        <x:v>78618</x:v>
      </x:c>
      <x:c r="AE359" s="17" t="n">
        <x:f>2014-B359</x:f>
        <x:v>57</x:v>
      </x:c>
      <x:c r="AF359" s="17" t="n">
        <x:f>F359+G359</x:f>
        <x:v>0</x:v>
      </x:c>
      <x:c r="AG359" s="21" t="n">
        <x:f>SUM(J359:O359)</x:f>
        <x:v>2153</x:v>
      </x:c>
      <x:c r="AH359" s="17" t="n">
        <x:f>SUM(Q359:S359)</x:f>
        <x:v>21</x:v>
      </x:c>
      <x:c r="AI359" s="17" t="n">
        <x:f>SUM(U359:Y359)</x:f>
        <x:v>1</x:v>
      </x:c>
      <x:c r="AJ359" s="17" t="str">
        <x:f>IF(AE359&lt;=34,"≤34",IF(AE359&lt;=44,"35–44",IF(AE359&lt;=54,"45–54",IF(AE359&lt;=64,"55–64","65+"))))</x:f>
        <x:v>55–64</x:v>
      </x:c>
      <x:c r="AK359" s="17" t="str">
        <x:f>IF(AG359&gt;=1000,"High Value",IF(AG359&gt;=300,"Mid Value","Low Value"))</x:f>
        <x:v>High Value</x:v>
      </x:c>
      <x:c r="AL359" s="17" t="str">
        <x:f>IF(AND(AI359&gt;=1,I359&lt;=50),"Priority 1",IF(AND(AG359&gt;=1000,I359&lt;=60),"Priority 2",IF(I359&lt;=30,"Priority 3","Nurture")))</x:f>
        <x:v>Nurture</x:v>
      </x:c>
    </x:row>
    <x:row r="360">
      <x:c r="A360" s="16" t="n">
        <x:v>9336</x:v>
      </x:c>
      <x:c r="B360" s="16" t="n">
        <x:v>1969</x:v>
      </x:c>
      <x:c r="C360" s="16" t="str">
        <x:v>PhD</x:v>
      </x:c>
      <x:c r="D360" s="16" t="str">
        <x:v>Widow</x:v>
      </x:c>
      <x:c r="E360" s="16" t="n">
        <x:v>62187</x:v>
      </x:c>
      <x:c r="F360" s="16" t="n">
        <x:v>0</x:v>
      </x:c>
      <x:c r="G360" s="16" t="n">
        <x:v>1</x:v>
      </x:c>
      <x:c r="H360" s="16" t="str">
        <x:v>22-03-2014</x:v>
      </x:c>
      <x:c r="I360" s="16" t="n">
        <x:v>38</x:v>
      </x:c>
      <x:c r="J360" s="16" t="n">
        <x:v>512</x:v>
      </x:c>
      <x:c r="K360" s="16" t="n">
        <x:v>0</x:v>
      </x:c>
      <x:c r="L360" s="16" t="n">
        <x:v>83</x:v>
      </x:c>
      <x:c r="M360" s="16" t="n">
        <x:v>0</x:v>
      </x:c>
      <x:c r="N360" s="16" t="n">
        <x:v>0</x:v>
      </x:c>
      <x:c r="O360" s="16" t="n">
        <x:v>41</x:v>
      </x:c>
      <x:c r="P360" s="16" t="n">
        <x:v>3</x:v>
      </x:c>
      <x:c r="Q360" s="16" t="n">
        <x:v>6</x:v>
      </x:c>
      <x:c r="R360" s="16" t="n">
        <x:v>2</x:v>
      </x:c>
      <x:c r="S360" s="16" t="n">
        <x:v>10</x:v>
      </x:c>
      <x:c r="T360" s="16" t="n">
        <x:v>4</x:v>
      </x:c>
      <x:c r="U360" s="16" t="n">
        <x:v>0</x:v>
      </x:c>
      <x:c r="V360" s="16" t="n">
        <x:v>0</x:v>
      </x:c>
      <x:c r="W360" s="16" t="n">
        <x:v>0</x:v>
      </x:c>
      <x:c r="X360" s="16" t="n">
        <x:v>0</x:v>
      </x:c>
      <x:c r="Y360" s="16" t="n">
        <x:v>0</x:v>
      </x:c>
      <x:c r="Z360" s="16" t="n">
        <x:v>0</x:v>
      </x:c>
      <x:c r="AA360" s="16" t="n">
        <x:v>3</x:v>
      </x:c>
      <x:c r="AB360" s="16" t="n">
        <x:v>11</x:v>
      </x:c>
      <x:c r="AC360" s="16" t="n">
        <x:v>0</x:v>
      </x:c>
      <x:c r="AD360" s="21" t="n">
        <x:f>IF(E360="",MEDIAN($E$2:$E$2237),E360)</x:f>
        <x:v>62187</x:v>
      </x:c>
      <x:c r="AE360" s="17" t="n">
        <x:f>2014-B360</x:f>
        <x:v>45</x:v>
      </x:c>
      <x:c r="AF360" s="17" t="n">
        <x:f>F360+G360</x:f>
        <x:v>1</x:v>
      </x:c>
      <x:c r="AG360" s="21" t="n">
        <x:f>SUM(J360:O360)</x:f>
        <x:v>636</x:v>
      </x:c>
      <x:c r="AH360" s="17" t="n">
        <x:f>SUM(Q360:S360)</x:f>
        <x:v>18</x:v>
      </x:c>
      <x:c r="AI360" s="17" t="n">
        <x:f>SUM(U360:Y360)</x:f>
        <x:v>0</x:v>
      </x:c>
      <x:c r="AJ360" s="17" t="str">
        <x:f>IF(AE360&lt;=34,"≤34",IF(AE360&lt;=44,"35–44",IF(AE360&lt;=54,"45–54",IF(AE360&lt;=64,"55–64","65+"))))</x:f>
        <x:v>45–54</x:v>
      </x:c>
      <x:c r="AK360" s="17" t="str">
        <x:f>IF(AG360&gt;=1000,"High Value",IF(AG360&gt;=300,"Mid Value","Low Value"))</x:f>
        <x:v>Mid Value</x:v>
      </x:c>
      <x:c r="AL360" s="17" t="str">
        <x:f>IF(AND(AI360&gt;=1,I360&lt;=50),"Priority 1",IF(AND(AG360&gt;=1000,I360&lt;=60),"Priority 2",IF(I360&lt;=30,"Priority 3","Nurture")))</x:f>
        <x:v>Nurture</x:v>
      </x:c>
    </x:row>
    <x:row r="361">
      <x:c r="A361" s="16" t="n">
        <x:v>2958</x:v>
      </x:c>
      <x:c r="B361" s="16" t="n">
        <x:v>1978</x:v>
      </x:c>
      <x:c r="C361" s="16" t="str">
        <x:v>Graduation</x:v>
      </x:c>
      <x:c r="D361" s="16" t="str">
        <x:v>Married</x:v>
      </x:c>
      <x:c r="E361" s="16" t="n">
        <x:v>28442</x:v>
      </x:c>
      <x:c r="F361" s="16" t="n">
        <x:v>2</x:v>
      </x:c>
      <x:c r="G361" s="16" t="n">
        <x:v>0</x:v>
      </x:c>
      <x:c r="H361" s="16" t="str">
        <x:v>24-02-2014</x:v>
      </x:c>
      <x:c r="I361" s="16" t="n">
        <x:v>53</x:v>
      </x:c>
      <x:c r="J361" s="16" t="n">
        <x:v>19</x:v>
      </x:c>
      <x:c r="K361" s="16" t="n">
        <x:v>3</x:v>
      </x:c>
      <x:c r="L361" s="16" t="n">
        <x:v>10</x:v>
      </x:c>
      <x:c r="M361" s="16" t="n">
        <x:v>11</x:v>
      </x:c>
      <x:c r="N361" s="16" t="n">
        <x:v>8</x:v>
      </x:c>
      <x:c r="O361" s="16" t="n">
        <x:v>6</x:v>
      </x:c>
      <x:c r="P361" s="16" t="n">
        <x:v>3</x:v>
      </x:c>
      <x:c r="Q361" s="16" t="n">
        <x:v>2</x:v>
      </x:c>
      <x:c r="R361" s="16" t="n">
        <x:v>1</x:v>
      </x:c>
      <x:c r="S361" s="16" t="n">
        <x:v>4</x:v>
      </x:c>
      <x:c r="T361" s="16" t="n">
        <x:v>4</x:v>
      </x:c>
      <x:c r="U361" s="16" t="n">
        <x:v>0</x:v>
      </x:c>
      <x:c r="V361" s="16" t="n">
        <x:v>0</x:v>
      </x:c>
      <x:c r="W361" s="16" t="n">
        <x:v>0</x:v>
      </x:c>
      <x:c r="X361" s="16" t="n">
        <x:v>0</x:v>
      </x:c>
      <x:c r="Y361" s="16" t="n">
        <x:v>0</x:v>
      </x:c>
      <x:c r="Z361" s="16" t="n">
        <x:v>0</x:v>
      </x:c>
      <x:c r="AA361" s="16" t="n">
        <x:v>3</x:v>
      </x:c>
      <x:c r="AB361" s="16" t="n">
        <x:v>11</x:v>
      </x:c>
      <x:c r="AC361" s="16" t="n">
        <x:v>0</x:v>
      </x:c>
      <x:c r="AD361" s="21" t="n">
        <x:f>IF(E361="",MEDIAN($E$2:$E$2237),E361)</x:f>
        <x:v>28442</x:v>
      </x:c>
      <x:c r="AE361" s="17" t="n">
        <x:f>2014-B361</x:f>
        <x:v>36</x:v>
      </x:c>
      <x:c r="AF361" s="17" t="n">
        <x:f>F361+G361</x:f>
        <x:v>2</x:v>
      </x:c>
      <x:c r="AG361" s="21" t="n">
        <x:f>SUM(J361:O361)</x:f>
        <x:v>57</x:v>
      </x:c>
      <x:c r="AH361" s="17" t="n">
        <x:f>SUM(Q361:S361)</x:f>
        <x:v>7</x:v>
      </x:c>
      <x:c r="AI361" s="17" t="n">
        <x:f>SUM(U361:Y361)</x:f>
        <x:v>0</x:v>
      </x:c>
      <x:c r="AJ361" s="17" t="str">
        <x:f>IF(AE361&lt;=34,"≤34",IF(AE361&lt;=44,"35–44",IF(AE361&lt;=54,"45–54",IF(AE361&lt;=64,"55–64","65+"))))</x:f>
        <x:v>35–44</x:v>
      </x:c>
      <x:c r="AK361" s="17" t="str">
        <x:f>IF(AG361&gt;=1000,"High Value",IF(AG361&gt;=300,"Mid Value","Low Value"))</x:f>
        <x:v>Low Value</x:v>
      </x:c>
      <x:c r="AL361" s="17" t="str">
        <x:f>IF(AND(AI361&gt;=1,I361&lt;=50),"Priority 1",IF(AND(AG361&gt;=1000,I361&lt;=60),"Priority 2",IF(I361&lt;=30,"Priority 3","Nurture")))</x:f>
        <x:v>Nurture</x:v>
      </x:c>
    </x:row>
    <x:row r="362">
      <x:c r="A362" s="16" t="n">
        <x:v>933</x:v>
      </x:c>
      <x:c r="B362" s="16" t="n">
        <x:v>1978</x:v>
      </x:c>
      <x:c r="C362" s="16" t="str">
        <x:v>PhD</x:v>
      </x:c>
      <x:c r="D362" s="16" t="str">
        <x:v>Married</x:v>
      </x:c>
      <x:c r="E362" s="16" t="n">
        <x:v>37717</x:v>
      </x:c>
      <x:c r="F362" s="16" t="n">
        <x:v>1</x:v>
      </x:c>
      <x:c r="G362" s="16" t="n">
        <x:v>0</x:v>
      </x:c>
      <x:c r="H362" s="16" t="str">
        <x:v>23-11-2012</x:v>
      </x:c>
      <x:c r="I362" s="16" t="n">
        <x:v>31</x:v>
      </x:c>
      <x:c r="J362" s="16" t="n">
        <x:v>9</x:v>
      </x:c>
      <x:c r="K362" s="16" t="n">
        <x:v>0</x:v>
      </x:c>
      <x:c r="L362" s="16" t="n">
        <x:v>6</x:v>
      </x:c>
      <x:c r="M362" s="16" t="n">
        <x:v>4</x:v>
      </x:c>
      <x:c r="N362" s="16" t="n">
        <x:v>1</x:v>
      </x:c>
      <x:c r="O362" s="16" t="n">
        <x:v>5</x:v>
      </x:c>
      <x:c r="P362" s="16" t="n">
        <x:v>1</x:v>
      </x:c>
      <x:c r="Q362" s="16" t="n">
        <x:v>1</x:v>
      </x:c>
      <x:c r="R362" s="16" t="n">
        <x:v>0</x:v>
      </x:c>
      <x:c r="S362" s="16" t="n">
        <x:v>2</x:v>
      </x:c>
      <x:c r="T362" s="16" t="n">
        <x:v>9</x:v>
      </x:c>
      <x:c r="U362" s="16" t="n">
        <x:v>0</x:v>
      </x:c>
      <x:c r="V362" s="16" t="n">
        <x:v>0</x:v>
      </x:c>
      <x:c r="W362" s="16" t="n">
        <x:v>0</x:v>
      </x:c>
      <x:c r="X362" s="16" t="n">
        <x:v>0</x:v>
      </x:c>
      <x:c r="Y362" s="16" t="n">
        <x:v>0</x:v>
      </x:c>
      <x:c r="Z362" s="16" t="n">
        <x:v>0</x:v>
      </x:c>
      <x:c r="AA362" s="16" t="n">
        <x:v>3</x:v>
      </x:c>
      <x:c r="AB362" s="16" t="n">
        <x:v>11</x:v>
      </x:c>
      <x:c r="AC362" s="16" t="n">
        <x:v>0</x:v>
      </x:c>
      <x:c r="AD362" s="21" t="n">
        <x:f>IF(E362="",MEDIAN($E$2:$E$2237),E362)</x:f>
        <x:v>37717</x:v>
      </x:c>
      <x:c r="AE362" s="17" t="n">
        <x:f>2014-B362</x:f>
        <x:v>36</x:v>
      </x:c>
      <x:c r="AF362" s="17" t="n">
        <x:f>F362+G362</x:f>
        <x:v>1</x:v>
      </x:c>
      <x:c r="AG362" s="21" t="n">
        <x:f>SUM(J362:O362)</x:f>
        <x:v>25</x:v>
      </x:c>
      <x:c r="AH362" s="17" t="n">
        <x:f>SUM(Q362:S362)</x:f>
        <x:v>3</x:v>
      </x:c>
      <x:c r="AI362" s="17" t="n">
        <x:f>SUM(U362:Y362)</x:f>
        <x:v>0</x:v>
      </x:c>
      <x:c r="AJ362" s="17" t="str">
        <x:f>IF(AE362&lt;=34,"≤34",IF(AE362&lt;=44,"35–44",IF(AE362&lt;=54,"45–54",IF(AE362&lt;=64,"55–64","65+"))))</x:f>
        <x:v>35–44</x:v>
      </x:c>
      <x:c r="AK362" s="17" t="str">
        <x:f>IF(AG362&gt;=1000,"High Value",IF(AG362&gt;=300,"Mid Value","Low Value"))</x:f>
        <x:v>Low Value</x:v>
      </x:c>
      <x:c r="AL362" s="17" t="str">
        <x:f>IF(AND(AI362&gt;=1,I362&lt;=50),"Priority 1",IF(AND(AG362&gt;=1000,I362&lt;=60),"Priority 2",IF(I362&lt;=30,"Priority 3","Nurture")))</x:f>
        <x:v>Nurture</x:v>
      </x:c>
    </x:row>
    <x:row r="363">
      <x:c r="A363" s="16" t="n">
        <x:v>5837</x:v>
      </x:c>
      <x:c r="B363" s="16" t="n">
        <x:v>1967</x:v>
      </x:c>
      <x:c r="C363" s="16" t="str">
        <x:v>Graduation</x:v>
      </x:c>
      <x:c r="D363" s="16" t="str">
        <x:v>Married</x:v>
      </x:c>
      <x:c r="E363" s="16" t="n">
        <x:v>51479</x:v>
      </x:c>
      <x:c r="F363" s="16" t="n">
        <x:v>1</x:v>
      </x:c>
      <x:c r="G363" s="16" t="n">
        <x:v>1</x:v>
      </x:c>
      <x:c r="H363" s="16" t="str">
        <x:v>28-12-2012</x:v>
      </x:c>
      <x:c r="I363" s="16" t="n">
        <x:v>67</x:v>
      </x:c>
      <x:c r="J363" s="16" t="n">
        <x:v>247</x:v>
      </x:c>
      <x:c r="K363" s="16" t="n">
        <x:v>8</x:v>
      </x:c>
      <x:c r="L363" s="16" t="n">
        <x:v>160</x:v>
      </x:c>
      <x:c r="M363" s="16" t="n">
        <x:v>6</x:v>
      </x:c>
      <x:c r="N363" s="16" t="n">
        <x:v>8</x:v>
      </x:c>
      <x:c r="O363" s="16" t="n">
        <x:v>65</x:v>
      </x:c>
      <x:c r="P363" s="16" t="n">
        <x:v>7</x:v>
      </x:c>
      <x:c r="Q363" s="16" t="n">
        <x:v>6</x:v>
      </x:c>
      <x:c r="R363" s="16" t="n">
        <x:v>3</x:v>
      </x:c>
      <x:c r="S363" s="16" t="n">
        <x:v>6</x:v>
      </x:c>
      <x:c r="T363" s="16" t="n">
        <x:v>7</x:v>
      </x:c>
      <x:c r="U363" s="16" t="n">
        <x:v>0</x:v>
      </x:c>
      <x:c r="V363" s="16" t="n">
        <x:v>0</x:v>
      </x:c>
      <x:c r="W363" s="16" t="n">
        <x:v>0</x:v>
      </x:c>
      <x:c r="X363" s="16" t="n">
        <x:v>0</x:v>
      </x:c>
      <x:c r="Y363" s="16" t="n">
        <x:v>0</x:v>
      </x:c>
      <x:c r="Z363" s="16" t="n">
        <x:v>0</x:v>
      </x:c>
      <x:c r="AA363" s="16" t="n">
        <x:v>3</x:v>
      </x:c>
      <x:c r="AB363" s="16" t="n">
        <x:v>11</x:v>
      </x:c>
      <x:c r="AC363" s="16" t="n">
        <x:v>0</x:v>
      </x:c>
      <x:c r="AD363" s="21" t="n">
        <x:f>IF(E363="",MEDIAN($E$2:$E$2237),E363)</x:f>
        <x:v>51479</x:v>
      </x:c>
      <x:c r="AE363" s="17" t="n">
        <x:f>2014-B363</x:f>
        <x:v>47</x:v>
      </x:c>
      <x:c r="AF363" s="17" t="n">
        <x:f>F363+G363</x:f>
        <x:v>2</x:v>
      </x:c>
      <x:c r="AG363" s="21" t="n">
        <x:f>SUM(J363:O363)</x:f>
        <x:v>494</x:v>
      </x:c>
      <x:c r="AH363" s="17" t="n">
        <x:f>SUM(Q363:S363)</x:f>
        <x:v>15</x:v>
      </x:c>
      <x:c r="AI363" s="17" t="n">
        <x:f>SUM(U363:Y363)</x:f>
        <x:v>0</x:v>
      </x:c>
      <x:c r="AJ363" s="17" t="str">
        <x:f>IF(AE363&lt;=34,"≤34",IF(AE363&lt;=44,"35–44",IF(AE363&lt;=54,"45–54",IF(AE363&lt;=64,"55–64","65+"))))</x:f>
        <x:v>45–54</x:v>
      </x:c>
      <x:c r="AK363" s="17" t="str">
        <x:f>IF(AG363&gt;=1000,"High Value",IF(AG363&gt;=300,"Mid Value","Low Value"))</x:f>
        <x:v>Mid Value</x:v>
      </x:c>
      <x:c r="AL363" s="17" t="str">
        <x:f>IF(AND(AI363&gt;=1,I363&lt;=50),"Priority 1",IF(AND(AG363&gt;=1000,I363&lt;=60),"Priority 2",IF(I363&lt;=30,"Priority 3","Nurture")))</x:f>
        <x:v>Nurture</x:v>
      </x:c>
    </x:row>
    <x:row r="364">
      <x:c r="A364" s="16" t="n">
        <x:v>10704</x:v>
      </x:c>
      <x:c r="B364" s="16" t="n">
        <x:v>1969</x:v>
      </x:c>
      <x:c r="C364" s="16" t="str">
        <x:v>Graduation</x:v>
      </x:c>
      <x:c r="D364" s="16" t="str">
        <x:v>Single</x:v>
      </x:c>
      <x:c r="E364" s="16" t="n">
        <x:v>54803</x:v>
      </x:c>
      <x:c r="F364" s="16" t="n">
        <x:v>0</x:v>
      </x:c>
      <x:c r="G364" s="16" t="n">
        <x:v>1</x:v>
      </x:c>
      <x:c r="H364" s="16" t="str">
        <x:v>21-08-2012</x:v>
      </x:c>
      <x:c r="I364" s="16" t="n">
        <x:v>65</x:v>
      </x:c>
      <x:c r="J364" s="16" t="n">
        <x:v>404</x:v>
      </x:c>
      <x:c r="K364" s="16" t="n">
        <x:v>0</x:v>
      </x:c>
      <x:c r="L364" s="16" t="n">
        <x:v>92</x:v>
      </x:c>
      <x:c r="M364" s="16" t="n">
        <x:v>28</x:v>
      </x:c>
      <x:c r="N364" s="16" t="n">
        <x:v>27</x:v>
      </x:c>
      <x:c r="O364" s="16" t="n">
        <x:v>142</x:v>
      </x:c>
      <x:c r="P364" s="16" t="n">
        <x:v>2</x:v>
      </x:c>
      <x:c r="Q364" s="16" t="n">
        <x:v>6</x:v>
      </x:c>
      <x:c r="R364" s="16" t="n">
        <x:v>2</x:v>
      </x:c>
      <x:c r="S364" s="16" t="n">
        <x:v>9</x:v>
      </x:c>
      <x:c r="T364" s="16" t="n">
        <x:v>4</x:v>
      </x:c>
      <x:c r="U364" s="16" t="n">
        <x:v>0</x:v>
      </x:c>
      <x:c r="V364" s="16" t="n">
        <x:v>0</x:v>
      </x:c>
      <x:c r="W364" s="16" t="n">
        <x:v>0</x:v>
      </x:c>
      <x:c r="X364" s="16" t="n">
        <x:v>0</x:v>
      </x:c>
      <x:c r="Y364" s="16" t="n">
        <x:v>0</x:v>
      </x:c>
      <x:c r="Z364" s="16" t="n">
        <x:v>0</x:v>
      </x:c>
      <x:c r="AA364" s="16" t="n">
        <x:v>3</x:v>
      </x:c>
      <x:c r="AB364" s="16" t="n">
        <x:v>11</x:v>
      </x:c>
      <x:c r="AC364" s="16" t="n">
        <x:v>0</x:v>
      </x:c>
      <x:c r="AD364" s="21" t="n">
        <x:f>IF(E364="",MEDIAN($E$2:$E$2237),E364)</x:f>
        <x:v>54803</x:v>
      </x:c>
      <x:c r="AE364" s="17" t="n">
        <x:f>2014-B364</x:f>
        <x:v>45</x:v>
      </x:c>
      <x:c r="AF364" s="17" t="n">
        <x:f>F364+G364</x:f>
        <x:v>1</x:v>
      </x:c>
      <x:c r="AG364" s="21" t="n">
        <x:f>SUM(J364:O364)</x:f>
        <x:v>693</x:v>
      </x:c>
      <x:c r="AH364" s="17" t="n">
        <x:f>SUM(Q364:S364)</x:f>
        <x:v>17</x:v>
      </x:c>
      <x:c r="AI364" s="17" t="n">
        <x:f>SUM(U364:Y364)</x:f>
        <x:v>0</x:v>
      </x:c>
      <x:c r="AJ364" s="17" t="str">
        <x:f>IF(AE364&lt;=34,"≤34",IF(AE364&lt;=44,"35–44",IF(AE364&lt;=54,"45–54",IF(AE364&lt;=64,"55–64","65+"))))</x:f>
        <x:v>45–54</x:v>
      </x:c>
      <x:c r="AK364" s="17" t="str">
        <x:f>IF(AG364&gt;=1000,"High Value",IF(AG364&gt;=300,"Mid Value","Low Value"))</x:f>
        <x:v>Mid Value</x:v>
      </x:c>
      <x:c r="AL364" s="17" t="str">
        <x:f>IF(AND(AI364&gt;=1,I364&lt;=50),"Priority 1",IF(AND(AG364&gt;=1000,I364&lt;=60),"Priority 2",IF(I364&lt;=30,"Priority 3","Nurture")))</x:f>
        <x:v>Nurture</x:v>
      </x:c>
    </x:row>
    <x:row r="365">
      <x:c r="A365" s="16" t="n">
        <x:v>5125</x:v>
      </x:c>
      <x:c r="B365" s="16" t="n">
        <x:v>1960</x:v>
      </x:c>
      <x:c r="C365" s="16" t="str">
        <x:v>Graduation</x:v>
      </x:c>
      <x:c r="D365" s="16" t="str">
        <x:v>Married</x:v>
      </x:c>
      <x:c r="E365" s="16" t="n">
        <x:v>79530</x:v>
      </x:c>
      <x:c r="F365" s="16" t="n">
        <x:v>0</x:v>
      </x:c>
      <x:c r="G365" s="16" t="n">
        <x:v>0</x:v>
      </x:c>
      <x:c r="H365" s="16" t="str">
        <x:v>17-05-2013</x:v>
      </x:c>
      <x:c r="I365" s="16" t="n">
        <x:v>64</x:v>
      </x:c>
      <x:c r="J365" s="16" t="n">
        <x:v>333</x:v>
      </x:c>
      <x:c r="K365" s="16" t="n">
        <x:v>0</x:v>
      </x:c>
      <x:c r="L365" s="16" t="n">
        <x:v>815</x:v>
      </x:c>
      <x:c r="M365" s="16" t="n">
        <x:v>129</x:v>
      </x:c>
      <x:c r="N365" s="16" t="n">
        <x:v>42</x:v>
      </x:c>
      <x:c r="O365" s="16" t="n">
        <x:v>29</x:v>
      </x:c>
      <x:c r="P365" s="16" t="n">
        <x:v>1</x:v>
      </x:c>
      <x:c r="Q365" s="16" t="n">
        <x:v>4</x:v>
      </x:c>
      <x:c r="R365" s="16" t="n">
        <x:v>10</x:v>
      </x:c>
      <x:c r="S365" s="16" t="n">
        <x:v>11</x:v>
      </x:c>
      <x:c r="T365" s="16" t="n">
        <x:v>2</x:v>
      </x:c>
      <x:c r="U365" s="16" t="n">
        <x:v>0</x:v>
      </x:c>
      <x:c r="V365" s="16" t="n">
        <x:v>0</x:v>
      </x:c>
      <x:c r="W365" s="16" t="n">
        <x:v>0</x:v>
      </x:c>
      <x:c r="X365" s="16" t="n">
        <x:v>0</x:v>
      </x:c>
      <x:c r="Y365" s="16" t="n">
        <x:v>0</x:v>
      </x:c>
      <x:c r="Z365" s="16" t="n">
        <x:v>0</x:v>
      </x:c>
      <x:c r="AA365" s="16" t="n">
        <x:v>3</x:v>
      </x:c>
      <x:c r="AB365" s="16" t="n">
        <x:v>11</x:v>
      </x:c>
      <x:c r="AC365" s="16" t="n">
        <x:v>0</x:v>
      </x:c>
      <x:c r="AD365" s="21" t="n">
        <x:f>IF(E365="",MEDIAN($E$2:$E$2237),E365)</x:f>
        <x:v>79530</x:v>
      </x:c>
      <x:c r="AE365" s="17" t="n">
        <x:f>2014-B365</x:f>
        <x:v>54</x:v>
      </x:c>
      <x:c r="AF365" s="17" t="n">
        <x:f>F365+G365</x:f>
        <x:v>0</x:v>
      </x:c>
      <x:c r="AG365" s="21" t="n">
        <x:f>SUM(J365:O365)</x:f>
        <x:v>1348</x:v>
      </x:c>
      <x:c r="AH365" s="17" t="n">
        <x:f>SUM(Q365:S365)</x:f>
        <x:v>25</x:v>
      </x:c>
      <x:c r="AI365" s="17" t="n">
        <x:f>SUM(U365:Y365)</x:f>
        <x:v>0</x:v>
      </x:c>
      <x:c r="AJ365" s="17" t="str">
        <x:f>IF(AE365&lt;=34,"≤34",IF(AE365&lt;=44,"35–44",IF(AE365&lt;=54,"45–54",IF(AE365&lt;=64,"55–64","65+"))))</x:f>
        <x:v>45–54</x:v>
      </x:c>
      <x:c r="AK365" s="17" t="str">
        <x:f>IF(AG365&gt;=1000,"High Value",IF(AG365&gt;=300,"Mid Value","Low Value"))</x:f>
        <x:v>High Value</x:v>
      </x:c>
      <x:c r="AL365" s="17" t="str">
        <x:f>IF(AND(AI365&gt;=1,I365&lt;=50),"Priority 1",IF(AND(AG365&gt;=1000,I365&lt;=60),"Priority 2",IF(I365&lt;=30,"Priority 3","Nurture")))</x:f>
        <x:v>Nurture</x:v>
      </x:c>
    </x:row>
    <x:row r="366">
      <x:c r="A366" s="16" t="n">
        <x:v>4432</x:v>
      </x:c>
      <x:c r="B366" s="16" t="n">
        <x:v>1976</x:v>
      </x:c>
      <x:c r="C366" s="16" t="str">
        <x:v>Graduation</x:v>
      </x:c>
      <x:c r="D366" s="16" t="str">
        <x:v>Divorced</x:v>
      </x:c>
      <x:c r="E366" s="16" t="n">
        <x:v>31615</x:v>
      </x:c>
      <x:c r="F366" s="16" t="n">
        <x:v>1</x:v>
      </x:c>
      <x:c r="G366" s="16" t="n">
        <x:v>0</x:v>
      </x:c>
      <x:c r="H366" s="16" t="str">
        <x:v>16-03-2013</x:v>
      </x:c>
      <x:c r="I366" s="16" t="n">
        <x:v>82</x:v>
      </x:c>
      <x:c r="J366" s="16" t="n">
        <x:v>2</x:v>
      </x:c>
      <x:c r="K366" s="16" t="n">
        <x:v>3</x:v>
      </x:c>
      <x:c r="L366" s="16" t="n">
        <x:v>20</x:v>
      </x:c>
      <x:c r="M366" s="16" t="n">
        <x:v>6</x:v>
      </x:c>
      <x:c r="N366" s="16" t="n">
        <x:v>11</x:v>
      </x:c>
      <x:c r="O366" s="16" t="n">
        <x:v>9</x:v>
      </x:c>
      <x:c r="P366" s="16" t="n">
        <x:v>2</x:v>
      </x:c>
      <x:c r="Q366" s="16" t="n">
        <x:v>2</x:v>
      </x:c>
      <x:c r="R366" s="16" t="n">
        <x:v>0</x:v>
      </x:c>
      <x:c r="S366" s="16" t="n">
        <x:v>3</x:v>
      </x:c>
      <x:c r="T366" s="16" t="n">
        <x:v>7</x:v>
      </x:c>
      <x:c r="U366" s="16" t="n">
        <x:v>0</x:v>
      </x:c>
      <x:c r="V366" s="16" t="n">
        <x:v>0</x:v>
      </x:c>
      <x:c r="W366" s="16" t="n">
        <x:v>0</x:v>
      </x:c>
      <x:c r="X366" s="16" t="n">
        <x:v>0</x:v>
      </x:c>
      <x:c r="Y366" s="16" t="n">
        <x:v>0</x:v>
      </x:c>
      <x:c r="Z366" s="16" t="n">
        <x:v>0</x:v>
      </x:c>
      <x:c r="AA366" s="16" t="n">
        <x:v>3</x:v>
      </x:c>
      <x:c r="AB366" s="16" t="n">
        <x:v>11</x:v>
      </x:c>
      <x:c r="AC366" s="16" t="n">
        <x:v>0</x:v>
      </x:c>
      <x:c r="AD366" s="21" t="n">
        <x:f>IF(E366="",MEDIAN($E$2:$E$2237),E366)</x:f>
        <x:v>31615</x:v>
      </x:c>
      <x:c r="AE366" s="17" t="n">
        <x:f>2014-B366</x:f>
        <x:v>38</x:v>
      </x:c>
      <x:c r="AF366" s="17" t="n">
        <x:f>F366+G366</x:f>
        <x:v>1</x:v>
      </x:c>
      <x:c r="AG366" s="21" t="n">
        <x:f>SUM(J366:O366)</x:f>
        <x:v>51</x:v>
      </x:c>
      <x:c r="AH366" s="17" t="n">
        <x:f>SUM(Q366:S366)</x:f>
        <x:v>5</x:v>
      </x:c>
      <x:c r="AI366" s="17" t="n">
        <x:f>SUM(U366:Y366)</x:f>
        <x:v>0</x:v>
      </x:c>
      <x:c r="AJ366" s="17" t="str">
        <x:f>IF(AE366&lt;=34,"≤34",IF(AE366&lt;=44,"35–44",IF(AE366&lt;=54,"45–54",IF(AE366&lt;=64,"55–64","65+"))))</x:f>
        <x:v>35–44</x:v>
      </x:c>
      <x:c r="AK366" s="17" t="str">
        <x:f>IF(AG366&gt;=1000,"High Value",IF(AG366&gt;=300,"Mid Value","Low Value"))</x:f>
        <x:v>Low Value</x:v>
      </x:c>
      <x:c r="AL366" s="17" t="str">
        <x:f>IF(AND(AI366&gt;=1,I366&lt;=50),"Priority 1",IF(AND(AG366&gt;=1000,I366&lt;=60),"Priority 2",IF(I366&lt;=30,"Priority 3","Nurture")))</x:f>
        <x:v>Nurture</x:v>
      </x:c>
    </x:row>
    <x:row r="367">
      <x:c r="A367" s="16" t="n">
        <x:v>5955</x:v>
      </x:c>
      <x:c r="B367" s="16" t="n">
        <x:v>1962</x:v>
      </x:c>
      <x:c r="C367" s="16" t="str">
        <x:v>Graduation</x:v>
      </x:c>
      <x:c r="D367" s="16" t="str">
        <x:v>Together</x:v>
      </x:c>
      <x:c r="E367" s="16" t="n">
        <x:v>72025</x:v>
      </x:c>
      <x:c r="F367" s="16" t="n">
        <x:v>0</x:v>
      </x:c>
      <x:c r="G367" s="16" t="n">
        <x:v>0</x:v>
      </x:c>
      <x:c r="H367" s="16" t="str">
        <x:v>17-11-2012</x:v>
      </x:c>
      <x:c r="I367" s="16" t="n">
        <x:v>27</x:v>
      </x:c>
      <x:c r="J367" s="16" t="n">
        <x:v>833</x:v>
      </x:c>
      <x:c r="K367" s="16" t="n">
        <x:v>33</x:v>
      </x:c>
      <x:c r="L367" s="16" t="n">
        <x:v>549</x:v>
      </x:c>
      <x:c r="M367" s="16" t="n">
        <x:v>151</x:v>
      </x:c>
      <x:c r="N367" s="16" t="n">
        <x:v>133</x:v>
      </x:c>
      <x:c r="O367" s="16" t="n">
        <x:v>233</x:v>
      </x:c>
      <x:c r="P367" s="16" t="n">
        <x:v>1</x:v>
      </x:c>
      <x:c r="Q367" s="16" t="n">
        <x:v>4</x:v>
      </x:c>
      <x:c r="R367" s="16" t="n">
        <x:v>3</x:v>
      </x:c>
      <x:c r="S367" s="16" t="n">
        <x:v>8</x:v>
      </x:c>
      <x:c r="T367" s="16" t="n">
        <x:v>3</x:v>
      </x:c>
      <x:c r="U367" s="16" t="n">
        <x:v>0</x:v>
      </x:c>
      <x:c r="V367" s="16" t="n">
        <x:v>0</x:v>
      </x:c>
      <x:c r="W367" s="16" t="n">
        <x:v>0</x:v>
      </x:c>
      <x:c r="X367" s="16" t="n">
        <x:v>0</x:v>
      </x:c>
      <x:c r="Y367" s="16" t="n">
        <x:v>0</x:v>
      </x:c>
      <x:c r="Z367" s="16" t="n">
        <x:v>0</x:v>
      </x:c>
      <x:c r="AA367" s="16" t="n">
        <x:v>3</x:v>
      </x:c>
      <x:c r="AB367" s="16" t="n">
        <x:v>11</x:v>
      </x:c>
      <x:c r="AC367" s="16" t="n">
        <x:v>0</x:v>
      </x:c>
      <x:c r="AD367" s="21" t="n">
        <x:f>IF(E367="",MEDIAN($E$2:$E$2237),E367)</x:f>
        <x:v>72025</x:v>
      </x:c>
      <x:c r="AE367" s="17" t="n">
        <x:f>2014-B367</x:f>
        <x:v>52</x:v>
      </x:c>
      <x:c r="AF367" s="17" t="n">
        <x:f>F367+G367</x:f>
        <x:v>0</x:v>
      </x:c>
      <x:c r="AG367" s="21" t="n">
        <x:f>SUM(J367:O367)</x:f>
        <x:v>1932</x:v>
      </x:c>
      <x:c r="AH367" s="17" t="n">
        <x:f>SUM(Q367:S367)</x:f>
        <x:v>15</x:v>
      </x:c>
      <x:c r="AI367" s="17" t="n">
        <x:f>SUM(U367:Y367)</x:f>
        <x:v>0</x:v>
      </x:c>
      <x:c r="AJ367" s="17" t="str">
        <x:f>IF(AE367&lt;=34,"≤34",IF(AE367&lt;=44,"35–44",IF(AE367&lt;=54,"45–54",IF(AE367&lt;=64,"55–64","65+"))))</x:f>
        <x:v>45–54</x:v>
      </x:c>
      <x:c r="AK367" s="17" t="str">
        <x:f>IF(AG367&gt;=1000,"High Value",IF(AG367&gt;=300,"Mid Value","Low Value"))</x:f>
        <x:v>High Value</x:v>
      </x:c>
      <x:c r="AL367" s="17" t="str">
        <x:f>IF(AND(AI367&gt;=1,I367&lt;=50),"Priority 1",IF(AND(AG367&gt;=1000,I367&lt;=60),"Priority 2",IF(I367&lt;=30,"Priority 3","Nurture")))</x:f>
        <x:v>Priority 2</x:v>
      </x:c>
    </x:row>
    <x:row r="368">
      <x:c r="A368" s="16" t="n">
        <x:v>2928</x:v>
      </x:c>
      <x:c r="B368" s="16" t="n">
        <x:v>1975</x:v>
      </x:c>
      <x:c r="C368" s="16" t="str">
        <x:v>PhD</x:v>
      </x:c>
      <x:c r="D368" s="16" t="str">
        <x:v>Single</x:v>
      </x:c>
      <x:c r="E368" s="16" t="n">
        <x:v>52614</x:v>
      </x:c>
      <x:c r="F368" s="16" t="n">
        <x:v>0</x:v>
      </x:c>
      <x:c r="G368" s="16" t="n">
        <x:v>1</x:v>
      </x:c>
      <x:c r="H368" s="16" t="str">
        <x:v>01-12-2012</x:v>
      </x:c>
      <x:c r="I368" s="16" t="n">
        <x:v>63</x:v>
      </x:c>
      <x:c r="J368" s="16" t="n">
        <x:v>789</x:v>
      </x:c>
      <x:c r="K368" s="16" t="n">
        <x:v>0</x:v>
      </x:c>
      <x:c r="L368" s="16" t="n">
        <x:v>142</x:v>
      </x:c>
      <x:c r="M368" s="16" t="n">
        <x:v>12</x:v>
      </x:c>
      <x:c r="N368" s="16" t="n">
        <x:v>9</x:v>
      </x:c>
      <x:c r="O368" s="16" t="n">
        <x:v>38</x:v>
      </x:c>
      <x:c r="P368" s="16" t="n">
        <x:v>2</x:v>
      </x:c>
      <x:c r="Q368" s="16" t="n">
        <x:v>2</x:v>
      </x:c>
      <x:c r="R368" s="16" t="n">
        <x:v>4</x:v>
      </x:c>
      <x:c r="S368" s="16" t="n">
        <x:v>8</x:v>
      </x:c>
      <x:c r="T368" s="16" t="n">
        <x:v>8</x:v>
      </x:c>
      <x:c r="U368" s="16" t="n">
        <x:v>0</x:v>
      </x:c>
      <x:c r="V368" s="16" t="n">
        <x:v>0</x:v>
      </x:c>
      <x:c r="W368" s="16" t="n">
        <x:v>0</x:v>
      </x:c>
      <x:c r="X368" s="16" t="n">
        <x:v>0</x:v>
      </x:c>
      <x:c r="Y368" s="16" t="n">
        <x:v>0</x:v>
      </x:c>
      <x:c r="Z368" s="16" t="n">
        <x:v>0</x:v>
      </x:c>
      <x:c r="AA368" s="16" t="n">
        <x:v>3</x:v>
      </x:c>
      <x:c r="AB368" s="16" t="n">
        <x:v>11</x:v>
      </x:c>
      <x:c r="AC368" s="16" t="n">
        <x:v>0</x:v>
      </x:c>
      <x:c r="AD368" s="21" t="n">
        <x:f>IF(E368="",MEDIAN($E$2:$E$2237),E368)</x:f>
        <x:v>52614</x:v>
      </x:c>
      <x:c r="AE368" s="17" t="n">
        <x:f>2014-B368</x:f>
        <x:v>39</x:v>
      </x:c>
      <x:c r="AF368" s="17" t="n">
        <x:f>F368+G368</x:f>
        <x:v>1</x:v>
      </x:c>
      <x:c r="AG368" s="21" t="n">
        <x:f>SUM(J368:O368)</x:f>
        <x:v>990</x:v>
      </x:c>
      <x:c r="AH368" s="17" t="n">
        <x:f>SUM(Q368:S368)</x:f>
        <x:v>14</x:v>
      </x:c>
      <x:c r="AI368" s="17" t="n">
        <x:f>SUM(U368:Y368)</x:f>
        <x:v>0</x:v>
      </x:c>
      <x:c r="AJ368" s="17" t="str">
        <x:f>IF(AE368&lt;=34,"≤34",IF(AE368&lt;=44,"35–44",IF(AE368&lt;=54,"45–54",IF(AE368&lt;=64,"55–64","65+"))))</x:f>
        <x:v>35–44</x:v>
      </x:c>
      <x:c r="AK368" s="17" t="str">
        <x:f>IF(AG368&gt;=1000,"High Value",IF(AG368&gt;=300,"Mid Value","Low Value"))</x:f>
        <x:v>Mid Value</x:v>
      </x:c>
      <x:c r="AL368" s="17" t="str">
        <x:f>IF(AND(AI368&gt;=1,I368&lt;=50),"Priority 1",IF(AND(AG368&gt;=1000,I368&lt;=60),"Priority 2",IF(I368&lt;=30,"Priority 3","Nurture")))</x:f>
        <x:v>Nurture</x:v>
      </x:c>
    </x:row>
    <x:row r="369">
      <x:c r="A369" s="16" t="n">
        <x:v>5680</x:v>
      </x:c>
      <x:c r="B369" s="16" t="n">
        <x:v>1984</x:v>
      </x:c>
      <x:c r="C369" s="16" t="str">
        <x:v>2n Cycle</x:v>
      </x:c>
      <x:c r="D369" s="16" t="str">
        <x:v>Married</x:v>
      </x:c>
      <x:c r="E369" s="16" t="n">
        <x:v>35684</x:v>
      </x:c>
      <x:c r="F369" s="16" t="n">
        <x:v>1</x:v>
      </x:c>
      <x:c r="G369" s="16" t="n">
        <x:v>0</x:v>
      </x:c>
      <x:c r="H369" s="16" t="str">
        <x:v>22-04-2014</x:v>
      </x:c>
      <x:c r="I369" s="16" t="n">
        <x:v>66</x:v>
      </x:c>
      <x:c r="J369" s="16" t="n">
        <x:v>10</x:v>
      </x:c>
      <x:c r="K369" s="16" t="n">
        <x:v>4</x:v>
      </x:c>
      <x:c r="L369" s="16" t="n">
        <x:v>7</x:v>
      </x:c>
      <x:c r="M369" s="16" t="n">
        <x:v>0</x:v>
      </x:c>
      <x:c r="N369" s="16" t="n">
        <x:v>6</x:v>
      </x:c>
      <x:c r="O369" s="16" t="n">
        <x:v>3</x:v>
      </x:c>
      <x:c r="P369" s="16" t="n">
        <x:v>1</x:v>
      </x:c>
      <x:c r="Q369" s="16" t="n">
        <x:v>1</x:v>
      </x:c>
      <x:c r="R369" s="16" t="n">
        <x:v>0</x:v>
      </x:c>
      <x:c r="S369" s="16" t="n">
        <x:v>3</x:v>
      </x:c>
      <x:c r="T369" s="16" t="n">
        <x:v>6</x:v>
      </x:c>
      <x:c r="U369" s="16" t="n">
        <x:v>0</x:v>
      </x:c>
      <x:c r="V369" s="16" t="n">
        <x:v>0</x:v>
      </x:c>
      <x:c r="W369" s="16" t="n">
        <x:v>0</x:v>
      </x:c>
      <x:c r="X369" s="16" t="n">
        <x:v>0</x:v>
      </x:c>
      <x:c r="Y369" s="16" t="n">
        <x:v>0</x:v>
      </x:c>
      <x:c r="Z369" s="16" t="n">
        <x:v>0</x:v>
      </x:c>
      <x:c r="AA369" s="16" t="n">
        <x:v>3</x:v>
      </x:c>
      <x:c r="AB369" s="16" t="n">
        <x:v>11</x:v>
      </x:c>
      <x:c r="AC369" s="16" t="n">
        <x:v>0</x:v>
      </x:c>
      <x:c r="AD369" s="21" t="n">
        <x:f>IF(E369="",MEDIAN($E$2:$E$2237),E369)</x:f>
        <x:v>35684</x:v>
      </x:c>
      <x:c r="AE369" s="17" t="n">
        <x:f>2014-B369</x:f>
        <x:v>30</x:v>
      </x:c>
      <x:c r="AF369" s="17" t="n">
        <x:f>F369+G369</x:f>
        <x:v>1</x:v>
      </x:c>
      <x:c r="AG369" s="21" t="n">
        <x:f>SUM(J369:O369)</x:f>
        <x:v>30</x:v>
      </x:c>
      <x:c r="AH369" s="17" t="n">
        <x:f>SUM(Q369:S369)</x:f>
        <x:v>4</x:v>
      </x:c>
      <x:c r="AI369" s="17" t="n">
        <x:f>SUM(U369:Y369)</x:f>
        <x:v>0</x:v>
      </x:c>
      <x:c r="AJ369" s="17" t="str">
        <x:f>IF(AE369&lt;=34,"≤34",IF(AE369&lt;=44,"35–44",IF(AE369&lt;=54,"45–54",IF(AE369&lt;=64,"55–64","65+"))))</x:f>
        <x:v>≤34</x:v>
      </x:c>
      <x:c r="AK369" s="17" t="str">
        <x:f>IF(AG369&gt;=1000,"High Value",IF(AG369&gt;=300,"Mid Value","Low Value"))</x:f>
        <x:v>Low Value</x:v>
      </x:c>
      <x:c r="AL369" s="17" t="str">
        <x:f>IF(AND(AI369&gt;=1,I369&lt;=50),"Priority 1",IF(AND(AG369&gt;=1000,I369&lt;=60),"Priority 2",IF(I369&lt;=30,"Priority 3","Nurture")))</x:f>
        <x:v>Nurture</x:v>
      </x:c>
    </x:row>
    <x:row r="370">
      <x:c r="A370" s="16" t="n">
        <x:v>10313</x:v>
      </x:c>
      <x:c r="B370" s="16" t="n">
        <x:v>1975</x:v>
      </x:c>
      <x:c r="C370" s="16" t="str">
        <x:v>Graduation</x:v>
      </x:c>
      <x:c r="D370" s="16" t="str">
        <x:v>Married</x:v>
      </x:c>
      <x:c r="E370" s="16" t="n">
        <x:v>48178</x:v>
      </x:c>
      <x:c r="F370" s="16" t="n">
        <x:v>1</x:v>
      </x:c>
      <x:c r="G370" s="16" t="n">
        <x:v>1</x:v>
      </x:c>
      <x:c r="H370" s="16" t="str">
        <x:v>28-10-2012</x:v>
      </x:c>
      <x:c r="I370" s="16" t="n">
        <x:v>69</x:v>
      </x:c>
      <x:c r="J370" s="16" t="n">
        <x:v>159</x:v>
      </x:c>
      <x:c r="K370" s="16" t="n">
        <x:v>4</x:v>
      </x:c>
      <x:c r="L370" s="16" t="n">
        <x:v>45</x:v>
      </x:c>
      <x:c r="M370" s="16" t="n">
        <x:v>6</x:v>
      </x:c>
      <x:c r="N370" s="16" t="n">
        <x:v>2</x:v>
      </x:c>
      <x:c r="O370" s="16" t="n">
        <x:v>38</x:v>
      </x:c>
      <x:c r="P370" s="16" t="n">
        <x:v>6</x:v>
      </x:c>
      <x:c r="Q370" s="16" t="n">
        <x:v>5</x:v>
      </x:c>
      <x:c r="R370" s="16" t="n">
        <x:v>1</x:v>
      </x:c>
      <x:c r="S370" s="16" t="n">
        <x:v>4</x:v>
      </x:c>
      <x:c r="T370" s="16" t="n">
        <x:v>8</x:v>
      </x:c>
      <x:c r="U370" s="16" t="n">
        <x:v>0</x:v>
      </x:c>
      <x:c r="V370" s="16" t="n">
        <x:v>0</x:v>
      </x:c>
      <x:c r="W370" s="16" t="n">
        <x:v>0</x:v>
      </x:c>
      <x:c r="X370" s="16" t="n">
        <x:v>0</x:v>
      </x:c>
      <x:c r="Y370" s="16" t="n">
        <x:v>0</x:v>
      </x:c>
      <x:c r="Z370" s="16" t="n">
        <x:v>0</x:v>
      </x:c>
      <x:c r="AA370" s="16" t="n">
        <x:v>3</x:v>
      </x:c>
      <x:c r="AB370" s="16" t="n">
        <x:v>11</x:v>
      </x:c>
      <x:c r="AC370" s="16" t="n">
        <x:v>0</x:v>
      </x:c>
      <x:c r="AD370" s="21" t="n">
        <x:f>IF(E370="",MEDIAN($E$2:$E$2237),E370)</x:f>
        <x:v>48178</x:v>
      </x:c>
      <x:c r="AE370" s="17" t="n">
        <x:f>2014-B370</x:f>
        <x:v>39</x:v>
      </x:c>
      <x:c r="AF370" s="17" t="n">
        <x:f>F370+G370</x:f>
        <x:v>2</x:v>
      </x:c>
      <x:c r="AG370" s="21" t="n">
        <x:f>SUM(J370:O370)</x:f>
        <x:v>254</x:v>
      </x:c>
      <x:c r="AH370" s="17" t="n">
        <x:f>SUM(Q370:S370)</x:f>
        <x:v>10</x:v>
      </x:c>
      <x:c r="AI370" s="17" t="n">
        <x:f>SUM(U370:Y370)</x:f>
        <x:v>0</x:v>
      </x:c>
      <x:c r="AJ370" s="17" t="str">
        <x:f>IF(AE370&lt;=34,"≤34",IF(AE370&lt;=44,"35–44",IF(AE370&lt;=54,"45–54",IF(AE370&lt;=64,"55–64","65+"))))</x:f>
        <x:v>35–44</x:v>
      </x:c>
      <x:c r="AK370" s="17" t="str">
        <x:f>IF(AG370&gt;=1000,"High Value",IF(AG370&gt;=300,"Mid Value","Low Value"))</x:f>
        <x:v>Low Value</x:v>
      </x:c>
      <x:c r="AL370" s="17" t="str">
        <x:f>IF(AND(AI370&gt;=1,I370&lt;=50),"Priority 1",IF(AND(AG370&gt;=1000,I370&lt;=60),"Priority 2",IF(I370&lt;=30,"Priority 3","Nurture")))</x:f>
        <x:v>Nurture</x:v>
      </x:c>
    </x:row>
    <x:row r="371">
      <x:c r="A371" s="16" t="n">
        <x:v>2557</x:v>
      </x:c>
      <x:c r="B371" s="16" t="n">
        <x:v>1970</x:v>
      </x:c>
      <x:c r="C371" s="16" t="str">
        <x:v>Master</x:v>
      </x:c>
      <x:c r="D371" s="16" t="str">
        <x:v>Single</x:v>
      </x:c>
      <x:c r="E371" s="16" t="n">
        <x:v>29548</x:v>
      </x:c>
      <x:c r="F371" s="16" t="n">
        <x:v>1</x:v>
      </x:c>
      <x:c r="G371" s="16" t="n">
        <x:v>0</x:v>
      </x:c>
      <x:c r="H371" s="16" t="str">
        <x:v>29-08-2013</x:v>
      </x:c>
      <x:c r="I371" s="16" t="n">
        <x:v>52</x:v>
      </x:c>
      <x:c r="J371" s="16" t="n">
        <x:v>7</x:v>
      </x:c>
      <x:c r="K371" s="16" t="n">
        <x:v>1</x:v>
      </x:c>
      <x:c r="L371" s="16" t="n">
        <x:v>6</x:v>
      </x:c>
      <x:c r="M371" s="16" t="n">
        <x:v>3</x:v>
      </x:c>
      <x:c r="N371" s="16" t="n">
        <x:v>1</x:v>
      </x:c>
      <x:c r="O371" s="16" t="n">
        <x:v>11</x:v>
      </x:c>
      <x:c r="P371" s="16" t="n">
        <x:v>1</x:v>
      </x:c>
      <x:c r="Q371" s="16" t="n">
        <x:v>1</x:v>
      </x:c>
      <x:c r="R371" s="16" t="n">
        <x:v>1</x:v>
      </x:c>
      <x:c r="S371" s="16" t="n">
        <x:v>2</x:v>
      </x:c>
      <x:c r="T371" s="16" t="n">
        <x:v>4</x:v>
      </x:c>
      <x:c r="U371" s="16" t="n">
        <x:v>1</x:v>
      </x:c>
      <x:c r="V371" s="16" t="n">
        <x:v>0</x:v>
      </x:c>
      <x:c r="W371" s="16" t="n">
        <x:v>0</x:v>
      </x:c>
      <x:c r="X371" s="16" t="n">
        <x:v>0</x:v>
      </x:c>
      <x:c r="Y371" s="16" t="n">
        <x:v>0</x:v>
      </x:c>
      <x:c r="Z371" s="16" t="n">
        <x:v>0</x:v>
      </x:c>
      <x:c r="AA371" s="16" t="n">
        <x:v>3</x:v>
      </x:c>
      <x:c r="AB371" s="16" t="n">
        <x:v>11</x:v>
      </x:c>
      <x:c r="AC371" s="16" t="n">
        <x:v>0</x:v>
      </x:c>
      <x:c r="AD371" s="21" t="n">
        <x:f>IF(E371="",MEDIAN($E$2:$E$2237),E371)</x:f>
        <x:v>29548</x:v>
      </x:c>
      <x:c r="AE371" s="17" t="n">
        <x:f>2014-B371</x:f>
        <x:v>44</x:v>
      </x:c>
      <x:c r="AF371" s="17" t="n">
        <x:f>F371+G371</x:f>
        <x:v>1</x:v>
      </x:c>
      <x:c r="AG371" s="21" t="n">
        <x:f>SUM(J371:O371)</x:f>
        <x:v>29</x:v>
      </x:c>
      <x:c r="AH371" s="17" t="n">
        <x:f>SUM(Q371:S371)</x:f>
        <x:v>4</x:v>
      </x:c>
      <x:c r="AI371" s="17" t="n">
        <x:f>SUM(U371:Y371)</x:f>
        <x:v>1</x:v>
      </x:c>
      <x:c r="AJ371" s="17" t="str">
        <x:f>IF(AE371&lt;=34,"≤34",IF(AE371&lt;=44,"35–44",IF(AE371&lt;=54,"45–54",IF(AE371&lt;=64,"55–64","65+"))))</x:f>
        <x:v>35–44</x:v>
      </x:c>
      <x:c r="AK371" s="17" t="str">
        <x:f>IF(AG371&gt;=1000,"High Value",IF(AG371&gt;=300,"Mid Value","Low Value"))</x:f>
        <x:v>Low Value</x:v>
      </x:c>
      <x:c r="AL371" s="17" t="str">
        <x:f>IF(AND(AI371&gt;=1,I371&lt;=50),"Priority 1",IF(AND(AG371&gt;=1000,I371&lt;=60),"Priority 2",IF(I371&lt;=30,"Priority 3","Nurture")))</x:f>
        <x:v>Nurture</x:v>
      </x:c>
    </x:row>
    <x:row r="372">
      <x:c r="A372" s="16" t="n">
        <x:v>1245</x:v>
      </x:c>
      <x:c r="B372" s="16" t="n">
        <x:v>1966</x:v>
      </x:c>
      <x:c r="C372" s="16" t="str">
        <x:v>Graduation</x:v>
      </x:c>
      <x:c r="D372" s="16" t="str">
        <x:v>Single</x:v>
      </x:c>
      <x:c r="E372" s="16" t="n">
        <x:v>63810</x:v>
      </x:c>
      <x:c r="F372" s="16" t="n">
        <x:v>0</x:v>
      </x:c>
      <x:c r="G372" s="16" t="n">
        <x:v>1</x:v>
      </x:c>
      <x:c r="H372" s="16" t="str">
        <x:v>11-11-2012</x:v>
      </x:c>
      <x:c r="I372" s="16" t="n">
        <x:v>45</x:v>
      </x:c>
      <x:c r="J372" s="16" t="n">
        <x:v>977</x:v>
      </x:c>
      <x:c r="K372" s="16" t="n">
        <x:v>12</x:v>
      </x:c>
      <x:c r="L372" s="16" t="n">
        <x:v>253</x:v>
      </x:c>
      <x:c r="M372" s="16" t="n">
        <x:v>16</x:v>
      </x:c>
      <x:c r="N372" s="16" t="n">
        <x:v>12</x:v>
      </x:c>
      <x:c r="O372" s="16" t="n">
        <x:v>101</x:v>
      </x:c>
      <x:c r="P372" s="16" t="n">
        <x:v>4</x:v>
      </x:c>
      <x:c r="Q372" s="16" t="n">
        <x:v>4</x:v>
      </x:c>
      <x:c r="R372" s="16" t="n">
        <x:v>3</x:v>
      </x:c>
      <x:c r="S372" s="16" t="n">
        <x:v>12</x:v>
      </x:c>
      <x:c r="T372" s="16" t="n">
        <x:v>8</x:v>
      </x:c>
      <x:c r="U372" s="16" t="n">
        <x:v>0</x:v>
      </x:c>
      <x:c r="V372" s="16" t="n">
        <x:v>1</x:v>
      </x:c>
      <x:c r="W372" s="16" t="n">
        <x:v>0</x:v>
      </x:c>
      <x:c r="X372" s="16" t="n">
        <x:v>0</x:v>
      </x:c>
      <x:c r="Y372" s="16" t="n">
        <x:v>0</x:v>
      </x:c>
      <x:c r="Z372" s="16" t="n">
        <x:v>0</x:v>
      </x:c>
      <x:c r="AA372" s="16" t="n">
        <x:v>3</x:v>
      </x:c>
      <x:c r="AB372" s="16" t="n">
        <x:v>11</x:v>
      </x:c>
      <x:c r="AC372" s="16" t="n">
        <x:v>0</x:v>
      </x:c>
      <x:c r="AD372" s="21" t="n">
        <x:f>IF(E372="",MEDIAN($E$2:$E$2237),E372)</x:f>
        <x:v>63810</x:v>
      </x:c>
      <x:c r="AE372" s="17" t="n">
        <x:f>2014-B372</x:f>
        <x:v>48</x:v>
      </x:c>
      <x:c r="AF372" s="17" t="n">
        <x:f>F372+G372</x:f>
        <x:v>1</x:v>
      </x:c>
      <x:c r="AG372" s="21" t="n">
        <x:f>SUM(J372:O372)</x:f>
        <x:v>1371</x:v>
      </x:c>
      <x:c r="AH372" s="17" t="n">
        <x:f>SUM(Q372:S372)</x:f>
        <x:v>19</x:v>
      </x:c>
      <x:c r="AI372" s="17" t="n">
        <x:f>SUM(U372:Y372)</x:f>
        <x:v>1</x:v>
      </x:c>
      <x:c r="AJ372" s="17" t="str">
        <x:f>IF(AE372&lt;=34,"≤34",IF(AE372&lt;=44,"35–44",IF(AE372&lt;=54,"45–54",IF(AE372&lt;=64,"55–64","65+"))))</x:f>
        <x:v>45–54</x:v>
      </x:c>
      <x:c r="AK372" s="17" t="str">
        <x:f>IF(AG372&gt;=1000,"High Value",IF(AG372&gt;=300,"Mid Value","Low Value"))</x:f>
        <x:v>High Value</x:v>
      </x:c>
      <x:c r="AL372" s="17" t="str">
        <x:f>IF(AND(AI372&gt;=1,I372&lt;=50),"Priority 1",IF(AND(AG372&gt;=1000,I372&lt;=60),"Priority 2",IF(I372&lt;=30,"Priority 3","Nurture")))</x:f>
        <x:v>Priority 1</x:v>
      </x:c>
    </x:row>
    <x:row r="373">
      <x:c r="A373" s="16" t="n">
        <x:v>1519</x:v>
      </x:c>
      <x:c r="B373" s="16" t="n">
        <x:v>1972</x:v>
      </x:c>
      <x:c r="C373" s="16" t="str">
        <x:v>PhD</x:v>
      </x:c>
      <x:c r="D373" s="16" t="str">
        <x:v>Single</x:v>
      </x:c>
      <x:c r="E373" s="16" t="n">
        <x:v>38578</x:v>
      </x:c>
      <x:c r="F373" s="16" t="n">
        <x:v>1</x:v>
      </x:c>
      <x:c r="G373" s="16" t="n">
        <x:v>1</x:v>
      </x:c>
      <x:c r="H373" s="16" t="str">
        <x:v>22-06-2013</x:v>
      </x:c>
      <x:c r="I373" s="16" t="n">
        <x:v>2</x:v>
      </x:c>
      <x:c r="J373" s="16" t="n">
        <x:v>38</x:v>
      </x:c>
      <x:c r="K373" s="16" t="n">
        <x:v>4</x:v>
      </x:c>
      <x:c r="L373" s="16" t="n">
        <x:v>22</x:v>
      </x:c>
      <x:c r="M373" s="16" t="n">
        <x:v>3</x:v>
      </x:c>
      <x:c r="N373" s="16" t="n">
        <x:v>3</x:v>
      </x:c>
      <x:c r="O373" s="16" t="n">
        <x:v>3</x:v>
      </x:c>
      <x:c r="P373" s="16" t="n">
        <x:v>3</x:v>
      </x:c>
      <x:c r="Q373" s="16" t="n">
        <x:v>3</x:v>
      </x:c>
      <x:c r="R373" s="16" t="n">
        <x:v>0</x:v>
      </x:c>
      <x:c r="S373" s="16" t="n">
        <x:v>3</x:v>
      </x:c>
      <x:c r="T373" s="16" t="n">
        <x:v>8</x:v>
      </x:c>
      <x:c r="U373" s="16" t="n">
        <x:v>0</x:v>
      </x:c>
      <x:c r="V373" s="16" t="n">
        <x:v>0</x:v>
      </x:c>
      <x:c r="W373" s="16" t="n">
        <x:v>0</x:v>
      </x:c>
      <x:c r="X373" s="16" t="n">
        <x:v>0</x:v>
      </x:c>
      <x:c r="Y373" s="16" t="n">
        <x:v>0</x:v>
      </x:c>
      <x:c r="Z373" s="16" t="n">
        <x:v>0</x:v>
      </x:c>
      <x:c r="AA373" s="16" t="n">
        <x:v>3</x:v>
      </x:c>
      <x:c r="AB373" s="16" t="n">
        <x:v>11</x:v>
      </x:c>
      <x:c r="AC373" s="16" t="n">
        <x:v>1</x:v>
      </x:c>
      <x:c r="AD373" s="21" t="n">
        <x:f>IF(E373="",MEDIAN($E$2:$E$2237),E373)</x:f>
        <x:v>38578</x:v>
      </x:c>
      <x:c r="AE373" s="17" t="n">
        <x:f>2014-B373</x:f>
        <x:v>42</x:v>
      </x:c>
      <x:c r="AF373" s="17" t="n">
        <x:f>F373+G373</x:f>
        <x:v>2</x:v>
      </x:c>
      <x:c r="AG373" s="21" t="n">
        <x:f>SUM(J373:O373)</x:f>
        <x:v>73</x:v>
      </x:c>
      <x:c r="AH373" s="17" t="n">
        <x:f>SUM(Q373:S373)</x:f>
        <x:v>6</x:v>
      </x:c>
      <x:c r="AI373" s="17" t="n">
        <x:f>SUM(U373:Y373)</x:f>
        <x:v>0</x:v>
      </x:c>
      <x:c r="AJ373" s="17" t="str">
        <x:f>IF(AE373&lt;=34,"≤34",IF(AE373&lt;=44,"35–44",IF(AE373&lt;=54,"45–54",IF(AE373&lt;=64,"55–64","65+"))))</x:f>
        <x:v>35–44</x:v>
      </x:c>
      <x:c r="AK373" s="17" t="str">
        <x:f>IF(AG373&gt;=1000,"High Value",IF(AG373&gt;=300,"Mid Value","Low Value"))</x:f>
        <x:v>Low Value</x:v>
      </x:c>
      <x:c r="AL373" s="17" t="str">
        <x:f>IF(AND(AI373&gt;=1,I373&lt;=50),"Priority 1",IF(AND(AG373&gt;=1000,I373&lt;=60),"Priority 2",IF(I373&lt;=30,"Priority 3","Nurture")))</x:f>
        <x:v>Priority 3</x:v>
      </x:c>
    </x:row>
    <x:row r="374">
      <x:c r="A374" s="16" t="n">
        <x:v>10703</x:v>
      </x:c>
      <x:c r="B374" s="16" t="n">
        <x:v>1975</x:v>
      </x:c>
      <x:c r="C374" s="16" t="str">
        <x:v>Master</x:v>
      </x:c>
      <x:c r="D374" s="16" t="str">
        <x:v>Single</x:v>
      </x:c>
      <x:c r="E374" s="16" t="n">
        <x:v>46098</x:v>
      </x:c>
      <x:c r="F374" s="16" t="n">
        <x:v>1</x:v>
      </x:c>
      <x:c r="G374" s="16" t="n">
        <x:v>1</x:v>
      </x:c>
      <x:c r="H374" s="16" t="str">
        <x:v>18-08-2012</x:v>
      </x:c>
      <x:c r="I374" s="16" t="n">
        <x:v>86</x:v>
      </x:c>
      <x:c r="J374" s="16" t="n">
        <x:v>57</x:v>
      </x:c>
      <x:c r="K374" s="16" t="n">
        <x:v>0</x:v>
      </x:c>
      <x:c r="L374" s="16" t="n">
        <x:v>27</x:v>
      </x:c>
      <x:c r="M374" s="16" t="n">
        <x:v>0</x:v>
      </x:c>
      <x:c r="N374" s="16" t="n">
        <x:v>0</x:v>
      </x:c>
      <x:c r="O374" s="16" t="n">
        <x:v>36</x:v>
      </x:c>
      <x:c r="P374" s="16" t="n">
        <x:v>4</x:v>
      </x:c>
      <x:c r="Q374" s="16" t="n">
        <x:v>3</x:v>
      </x:c>
      <x:c r="R374" s="16" t="n">
        <x:v>2</x:v>
      </x:c>
      <x:c r="S374" s="16" t="n">
        <x:v>2</x:v>
      </x:c>
      <x:c r="T374" s="16" t="n">
        <x:v>8</x:v>
      </x:c>
      <x:c r="U374" s="16" t="n">
        <x:v>0</x:v>
      </x:c>
      <x:c r="V374" s="16" t="n">
        <x:v>0</x:v>
      </x:c>
      <x:c r="W374" s="16" t="n">
        <x:v>0</x:v>
      </x:c>
      <x:c r="X374" s="16" t="n">
        <x:v>0</x:v>
      </x:c>
      <x:c r="Y374" s="16" t="n">
        <x:v>0</x:v>
      </x:c>
      <x:c r="Z374" s="16" t="n">
        <x:v>0</x:v>
      </x:c>
      <x:c r="AA374" s="16" t="n">
        <x:v>3</x:v>
      </x:c>
      <x:c r="AB374" s="16" t="n">
        <x:v>11</x:v>
      </x:c>
      <x:c r="AC374" s="16" t="n">
        <x:v>0</x:v>
      </x:c>
      <x:c r="AD374" s="21" t="n">
        <x:f>IF(E374="",MEDIAN($E$2:$E$2237),E374)</x:f>
        <x:v>46098</x:v>
      </x:c>
      <x:c r="AE374" s="17" t="n">
        <x:f>2014-B374</x:f>
        <x:v>39</x:v>
      </x:c>
      <x:c r="AF374" s="17" t="n">
        <x:f>F374+G374</x:f>
        <x:v>2</x:v>
      </x:c>
      <x:c r="AG374" s="21" t="n">
        <x:f>SUM(J374:O374)</x:f>
        <x:v>120</x:v>
      </x:c>
      <x:c r="AH374" s="17" t="n">
        <x:f>SUM(Q374:S374)</x:f>
        <x:v>7</x:v>
      </x:c>
      <x:c r="AI374" s="17" t="n">
        <x:f>SUM(U374:Y374)</x:f>
        <x:v>0</x:v>
      </x:c>
      <x:c r="AJ374" s="17" t="str">
        <x:f>IF(AE374&lt;=34,"≤34",IF(AE374&lt;=44,"35–44",IF(AE374&lt;=54,"45–54",IF(AE374&lt;=64,"55–64","65+"))))</x:f>
        <x:v>35–44</x:v>
      </x:c>
      <x:c r="AK374" s="17" t="str">
        <x:f>IF(AG374&gt;=1000,"High Value",IF(AG374&gt;=300,"Mid Value","Low Value"))</x:f>
        <x:v>Low Value</x:v>
      </x:c>
      <x:c r="AL374" s="17" t="str">
        <x:f>IF(AND(AI374&gt;=1,I374&lt;=50),"Priority 1",IF(AND(AG374&gt;=1000,I374&lt;=60),"Priority 2",IF(I374&lt;=30,"Priority 3","Nurture")))</x:f>
        <x:v>Nurture</x:v>
      </x:c>
    </x:row>
    <x:row r="375">
      <x:c r="A375" s="16" t="n">
        <x:v>1726</x:v>
      </x:c>
      <x:c r="B375" s="16" t="n">
        <x:v>1970</x:v>
      </x:c>
      <x:c r="C375" s="16" t="str">
        <x:v>Graduation</x:v>
      </x:c>
      <x:c r="D375" s="16" t="str">
        <x:v>Single</x:v>
      </x:c>
      <x:c r="E375" s="16" t="n">
        <x:v>22585</x:v>
      </x:c>
      <x:c r="F375" s="16" t="n">
        <x:v>0</x:v>
      </x:c>
      <x:c r="G375" s="16" t="n">
        <x:v>0</x:v>
      </x:c>
      <x:c r="H375" s="16" t="str">
        <x:v>18-03-2013</x:v>
      </x:c>
      <x:c r="I375" s="16" t="n">
        <x:v>23</x:v>
      </x:c>
      <x:c r="J375" s="16" t="n">
        <x:v>3</x:v>
      </x:c>
      <x:c r="K375" s="16" t="n">
        <x:v>9</x:v>
      </x:c>
      <x:c r="L375" s="16" t="n">
        <x:v>15</x:v>
      </x:c>
      <x:c r="M375" s="16" t="n">
        <x:v>13</x:v>
      </x:c>
      <x:c r="N375" s="16" t="n">
        <x:v>2</x:v>
      </x:c>
      <x:c r="O375" s="16" t="n">
        <x:v>39</x:v>
      </x:c>
      <x:c r="P375" s="16" t="n">
        <x:v>1</x:v>
      </x:c>
      <x:c r="Q375" s="16" t="n">
        <x:v>1</x:v>
      </x:c>
      <x:c r="R375" s="16" t="n">
        <x:v>1</x:v>
      </x:c>
      <x:c r="S375" s="16" t="n">
        <x:v>2</x:v>
      </x:c>
      <x:c r="T375" s="16" t="n">
        <x:v>9</x:v>
      </x:c>
      <x:c r="U375" s="16" t="n">
        <x:v>1</x:v>
      </x:c>
      <x:c r="V375" s="16" t="n">
        <x:v>0</x:v>
      </x:c>
      <x:c r="W375" s="16" t="n">
        <x:v>0</x:v>
      </x:c>
      <x:c r="X375" s="16" t="n">
        <x:v>0</x:v>
      </x:c>
      <x:c r="Y375" s="16" t="n">
        <x:v>0</x:v>
      </x:c>
      <x:c r="Z375" s="16" t="n">
        <x:v>0</x:v>
      </x:c>
      <x:c r="AA375" s="16" t="n">
        <x:v>3</x:v>
      </x:c>
      <x:c r="AB375" s="16" t="n">
        <x:v>11</x:v>
      </x:c>
      <x:c r="AC375" s="16" t="n">
        <x:v>1</x:v>
      </x:c>
      <x:c r="AD375" s="21" t="n">
        <x:f>IF(E375="",MEDIAN($E$2:$E$2237),E375)</x:f>
        <x:v>22585</x:v>
      </x:c>
      <x:c r="AE375" s="17" t="n">
        <x:f>2014-B375</x:f>
        <x:v>44</x:v>
      </x:c>
      <x:c r="AF375" s="17" t="n">
        <x:f>F375+G375</x:f>
        <x:v>0</x:v>
      </x:c>
      <x:c r="AG375" s="21" t="n">
        <x:f>SUM(J375:O375)</x:f>
        <x:v>81</x:v>
      </x:c>
      <x:c r="AH375" s="17" t="n">
        <x:f>SUM(Q375:S375)</x:f>
        <x:v>4</x:v>
      </x:c>
      <x:c r="AI375" s="17" t="n">
        <x:f>SUM(U375:Y375)</x:f>
        <x:v>1</x:v>
      </x:c>
      <x:c r="AJ375" s="17" t="str">
        <x:f>IF(AE375&lt;=34,"≤34",IF(AE375&lt;=44,"35–44",IF(AE375&lt;=54,"45–54",IF(AE375&lt;=64,"55–64","65+"))))</x:f>
        <x:v>35–44</x:v>
      </x:c>
      <x:c r="AK375" s="17" t="str">
        <x:f>IF(AG375&gt;=1000,"High Value",IF(AG375&gt;=300,"Mid Value","Low Value"))</x:f>
        <x:v>Low Value</x:v>
      </x:c>
      <x:c r="AL375" s="17" t="str">
        <x:f>IF(AND(AI375&gt;=1,I375&lt;=50),"Priority 1",IF(AND(AG375&gt;=1000,I375&lt;=60),"Priority 2",IF(I375&lt;=30,"Priority 3","Nurture")))</x:f>
        <x:v>Priority 1</x:v>
      </x:c>
    </x:row>
    <x:row r="376">
      <x:c r="A376" s="16" t="n">
        <x:v>4459</x:v>
      </x:c>
      <x:c r="B376" s="16" t="n">
        <x:v>1989</x:v>
      </x:c>
      <x:c r="C376" s="16" t="str">
        <x:v>Graduation</x:v>
      </x:c>
      <x:c r="D376" s="16" t="str">
        <x:v>Single</x:v>
      </x:c>
      <x:c r="E376" s="16" t="n">
        <x:v>30279</x:v>
      </x:c>
      <x:c r="F376" s="16" t="n">
        <x:v>1</x:v>
      </x:c>
      <x:c r="G376" s="16" t="n">
        <x:v>0</x:v>
      </x:c>
      <x:c r="H376" s="16" t="str">
        <x:v>30-12-2012</x:v>
      </x:c>
      <x:c r="I376" s="16" t="n">
        <x:v>13</x:v>
      </x:c>
      <x:c r="J376" s="16" t="n">
        <x:v>10</x:v>
      </x:c>
      <x:c r="K376" s="16" t="n">
        <x:v>4</x:v>
      </x:c>
      <x:c r="L376" s="16" t="n">
        <x:v>14</x:v>
      </x:c>
      <x:c r="M376" s="16" t="n">
        <x:v>4</x:v>
      </x:c>
      <x:c r="N376" s="16" t="n">
        <x:v>4</x:v>
      </x:c>
      <x:c r="O376" s="16" t="n">
        <x:v>1</x:v>
      </x:c>
      <x:c r="P376" s="16" t="n">
        <x:v>1</x:v>
      </x:c>
      <x:c r="Q376" s="16" t="n">
        <x:v>1</x:v>
      </x:c>
      <x:c r="R376" s="16" t="n">
        <x:v>0</x:v>
      </x:c>
      <x:c r="S376" s="16" t="n">
        <x:v>3</x:v>
      </x:c>
      <x:c r="T376" s="16" t="n">
        <x:v>8</x:v>
      </x:c>
      <x:c r="U376" s="16" t="n">
        <x:v>0</x:v>
      </x:c>
      <x:c r="V376" s="16" t="n">
        <x:v>0</x:v>
      </x:c>
      <x:c r="W376" s="16" t="n">
        <x:v>0</x:v>
      </x:c>
      <x:c r="X376" s="16" t="n">
        <x:v>0</x:v>
      </x:c>
      <x:c r="Y376" s="16" t="n">
        <x:v>0</x:v>
      </x:c>
      <x:c r="Z376" s="16" t="n">
        <x:v>0</x:v>
      </x:c>
      <x:c r="AA376" s="16" t="n">
        <x:v>3</x:v>
      </x:c>
      <x:c r="AB376" s="16" t="n">
        <x:v>11</x:v>
      </x:c>
      <x:c r="AC376" s="16" t="n">
        <x:v>0</x:v>
      </x:c>
      <x:c r="AD376" s="21" t="n">
        <x:f>IF(E376="",MEDIAN($E$2:$E$2237),E376)</x:f>
        <x:v>30279</x:v>
      </x:c>
      <x:c r="AE376" s="17" t="n">
        <x:f>2014-B376</x:f>
        <x:v>25</x:v>
      </x:c>
      <x:c r="AF376" s="17" t="n">
        <x:f>F376+G376</x:f>
        <x:v>1</x:v>
      </x:c>
      <x:c r="AG376" s="21" t="n">
        <x:f>SUM(J376:O376)</x:f>
        <x:v>37</x:v>
      </x:c>
      <x:c r="AH376" s="17" t="n">
        <x:f>SUM(Q376:S376)</x:f>
        <x:v>4</x:v>
      </x:c>
      <x:c r="AI376" s="17" t="n">
        <x:f>SUM(U376:Y376)</x:f>
        <x:v>0</x:v>
      </x:c>
      <x:c r="AJ376" s="17" t="str">
        <x:f>IF(AE376&lt;=34,"≤34",IF(AE376&lt;=44,"35–44",IF(AE376&lt;=54,"45–54",IF(AE376&lt;=64,"55–64","65+"))))</x:f>
        <x:v>≤34</x:v>
      </x:c>
      <x:c r="AK376" s="17" t="str">
        <x:f>IF(AG376&gt;=1000,"High Value",IF(AG376&gt;=300,"Mid Value","Low Value"))</x:f>
        <x:v>Low Value</x:v>
      </x:c>
      <x:c r="AL376" s="17" t="str">
        <x:f>IF(AND(AI376&gt;=1,I376&lt;=50),"Priority 1",IF(AND(AG376&gt;=1000,I376&lt;=60),"Priority 2",IF(I376&lt;=30,"Priority 3","Nurture")))</x:f>
        <x:v>Priority 3</x:v>
      </x:c>
    </x:row>
    <x:row r="377">
      <x:c r="A377" s="16" t="n">
        <x:v>1729</x:v>
      </x:c>
      <x:c r="B377" s="16" t="n">
        <x:v>1961</x:v>
      </x:c>
      <x:c r="C377" s="16" t="str">
        <x:v>PhD</x:v>
      </x:c>
      <x:c r="D377" s="16" t="str">
        <x:v>Together</x:v>
      </x:c>
      <x:c r="E377" s="16" t="n">
        <x:v>66426</x:v>
      </x:c>
      <x:c r="F377" s="16" t="n">
        <x:v>0</x:v>
      </x:c>
      <x:c r="G377" s="16" t="n">
        <x:v>1</x:v>
      </x:c>
      <x:c r="H377" s="16" t="str">
        <x:v>02-10-2013</x:v>
      </x:c>
      <x:c r="I377" s="16" t="n">
        <x:v>14</x:v>
      </x:c>
      <x:c r="J377" s="16" t="n">
        <x:v>1043</x:v>
      </x:c>
      <x:c r="K377" s="16" t="n">
        <x:v>24</x:v>
      </x:c>
      <x:c r="L377" s="16" t="n">
        <x:v>97</x:v>
      </x:c>
      <x:c r="M377" s="16" t="n">
        <x:v>32</x:v>
      </x:c>
      <x:c r="N377" s="16" t="n">
        <x:v>24</x:v>
      </x:c>
      <x:c r="O377" s="16" t="n">
        <x:v>157</x:v>
      </x:c>
      <x:c r="P377" s="16" t="n">
        <x:v>2</x:v>
      </x:c>
      <x:c r="Q377" s="16" t="n">
        <x:v>3</x:v>
      </x:c>
      <x:c r="R377" s="16" t="n">
        <x:v>5</x:v>
      </x:c>
      <x:c r="S377" s="16" t="n">
        <x:v>10</x:v>
      </x:c>
      <x:c r="T377" s="16" t="n">
        <x:v>6</x:v>
      </x:c>
      <x:c r="U377" s="16" t="n">
        <x:v>0</x:v>
      </x:c>
      <x:c r="V377" s="16" t="n">
        <x:v>0</x:v>
      </x:c>
      <x:c r="W377" s="16" t="n">
        <x:v>0</x:v>
      </x:c>
      <x:c r="X377" s="16" t="n">
        <x:v>0</x:v>
      </x:c>
      <x:c r="Y377" s="16" t="n">
        <x:v>0</x:v>
      </x:c>
      <x:c r="Z377" s="16" t="n">
        <x:v>0</x:v>
      </x:c>
      <x:c r="AA377" s="16" t="n">
        <x:v>3</x:v>
      </x:c>
      <x:c r="AB377" s="16" t="n">
        <x:v>11</x:v>
      </x:c>
      <x:c r="AC377" s="16" t="n">
        <x:v>0</x:v>
      </x:c>
      <x:c r="AD377" s="21" t="n">
        <x:f>IF(E377="",MEDIAN($E$2:$E$2237),E377)</x:f>
        <x:v>66426</x:v>
      </x:c>
      <x:c r="AE377" s="17" t="n">
        <x:f>2014-B377</x:f>
        <x:v>53</x:v>
      </x:c>
      <x:c r="AF377" s="17" t="n">
        <x:f>F377+G377</x:f>
        <x:v>1</x:v>
      </x:c>
      <x:c r="AG377" s="21" t="n">
        <x:f>SUM(J377:O377)</x:f>
        <x:v>1377</x:v>
      </x:c>
      <x:c r="AH377" s="17" t="n">
        <x:f>SUM(Q377:S377)</x:f>
        <x:v>18</x:v>
      </x:c>
      <x:c r="AI377" s="17" t="n">
        <x:f>SUM(U377:Y377)</x:f>
        <x:v>0</x:v>
      </x:c>
      <x:c r="AJ377" s="17" t="str">
        <x:f>IF(AE377&lt;=34,"≤34",IF(AE377&lt;=44,"35–44",IF(AE377&lt;=54,"45–54",IF(AE377&lt;=64,"55–64","65+"))))</x:f>
        <x:v>45–54</x:v>
      </x:c>
      <x:c r="AK377" s="17" t="str">
        <x:f>IF(AG377&gt;=1000,"High Value",IF(AG377&gt;=300,"Mid Value","Low Value"))</x:f>
        <x:v>High Value</x:v>
      </x:c>
      <x:c r="AL377" s="17" t="str">
        <x:f>IF(AND(AI377&gt;=1,I377&lt;=50),"Priority 1",IF(AND(AG377&gt;=1000,I377&lt;=60),"Priority 2",IF(I377&lt;=30,"Priority 3","Nurture")))</x:f>
        <x:v>Priority 2</x:v>
      </x:c>
    </x:row>
    <x:row r="378">
      <x:c r="A378" s="16" t="n">
        <x:v>1517</x:v>
      </x:c>
      <x:c r="B378" s="16" t="n">
        <x:v>1969</x:v>
      </x:c>
      <x:c r="C378" s="16" t="str">
        <x:v>Graduation</x:v>
      </x:c>
      <x:c r="D378" s="16" t="str">
        <x:v>Single</x:v>
      </x:c>
      <x:c r="E378" s="16" t="n">
        <x:v>30822</x:v>
      </x:c>
      <x:c r="F378" s="16" t="n">
        <x:v>1</x:v>
      </x:c>
      <x:c r="G378" s="16" t="n">
        <x:v>0</x:v>
      </x:c>
      <x:c r="H378" s="16" t="str">
        <x:v>14-06-2013</x:v>
      </x:c>
      <x:c r="I378" s="16" t="n">
        <x:v>92</x:v>
      </x:c>
      <x:c r="J378" s="16" t="n">
        <x:v>3</x:v>
      </x:c>
      <x:c r="K378" s="16" t="n">
        <x:v>9</x:v>
      </x:c>
      <x:c r="L378" s="16" t="n">
        <x:v>13</x:v>
      </x:c>
      <x:c r="M378" s="16" t="n">
        <x:v>2</x:v>
      </x:c>
      <x:c r="N378" s="16" t="n">
        <x:v>12</x:v>
      </x:c>
      <x:c r="O378" s="16" t="n">
        <x:v>12</x:v>
      </x:c>
      <x:c r="P378" s="16" t="n">
        <x:v>1</x:v>
      </x:c>
      <x:c r="Q378" s="16" t="n">
        <x:v>1</x:v>
      </x:c>
      <x:c r="R378" s="16" t="n">
        <x:v>0</x:v>
      </x:c>
      <x:c r="S378" s="16" t="n">
        <x:v>3</x:v>
      </x:c>
      <x:c r="T378" s="16" t="n">
        <x:v>7</x:v>
      </x:c>
      <x:c r="U378" s="16" t="n">
        <x:v>0</x:v>
      </x:c>
      <x:c r="V378" s="16" t="n">
        <x:v>0</x:v>
      </x:c>
      <x:c r="W378" s="16" t="n">
        <x:v>0</x:v>
      </x:c>
      <x:c r="X378" s="16" t="n">
        <x:v>0</x:v>
      </x:c>
      <x:c r="Y378" s="16" t="n">
        <x:v>0</x:v>
      </x:c>
      <x:c r="Z378" s="16" t="n">
        <x:v>0</x:v>
      </x:c>
      <x:c r="AA378" s="16" t="n">
        <x:v>3</x:v>
      </x:c>
      <x:c r="AB378" s="16" t="n">
        <x:v>11</x:v>
      </x:c>
      <x:c r="AC378" s="16" t="n">
        <x:v>0</x:v>
      </x:c>
      <x:c r="AD378" s="21" t="n">
        <x:f>IF(E378="",MEDIAN($E$2:$E$2237),E378)</x:f>
        <x:v>30822</x:v>
      </x:c>
      <x:c r="AE378" s="17" t="n">
        <x:f>2014-B378</x:f>
        <x:v>45</x:v>
      </x:c>
      <x:c r="AF378" s="17" t="n">
        <x:f>F378+G378</x:f>
        <x:v>1</x:v>
      </x:c>
      <x:c r="AG378" s="21" t="n">
        <x:f>SUM(J378:O378)</x:f>
        <x:v>51</x:v>
      </x:c>
      <x:c r="AH378" s="17" t="n">
        <x:f>SUM(Q378:S378)</x:f>
        <x:v>4</x:v>
      </x:c>
      <x:c r="AI378" s="17" t="n">
        <x:f>SUM(U378:Y378)</x:f>
        <x:v>0</x:v>
      </x:c>
      <x:c r="AJ378" s="17" t="str">
        <x:f>IF(AE378&lt;=34,"≤34",IF(AE378&lt;=44,"35–44",IF(AE378&lt;=54,"45–54",IF(AE378&lt;=64,"55–64","65+"))))</x:f>
        <x:v>45–54</x:v>
      </x:c>
      <x:c r="AK378" s="17" t="str">
        <x:f>IF(AG378&gt;=1000,"High Value",IF(AG378&gt;=300,"Mid Value","Low Value"))</x:f>
        <x:v>Low Value</x:v>
      </x:c>
      <x:c r="AL378" s="17" t="str">
        <x:f>IF(AND(AI378&gt;=1,I378&lt;=50),"Priority 1",IF(AND(AG378&gt;=1000,I378&lt;=60),"Priority 2",IF(I378&lt;=30,"Priority 3","Nurture")))</x:f>
        <x:v>Nurture</x:v>
      </x:c>
    </x:row>
    <x:row r="379">
      <x:c r="A379" s="16" t="n">
        <x:v>2098</x:v>
      </x:c>
      <x:c r="B379" s="16" t="n">
        <x:v>1969</x:v>
      </x:c>
      <x:c r="C379" s="16" t="str">
        <x:v>PhD</x:v>
      </x:c>
      <x:c r="D379" s="16" t="str">
        <x:v>Married</x:v>
      </x:c>
      <x:c r="E379" s="16" t="n">
        <x:v>33581</x:v>
      </x:c>
      <x:c r="F379" s="16" t="n">
        <x:v>2</x:v>
      </x:c>
      <x:c r="G379" s="16" t="n">
        <x:v>0</x:v>
      </x:c>
      <x:c r="H379" s="16" t="str">
        <x:v>08-01-2013</x:v>
      </x:c>
      <x:c r="I379" s="16" t="n">
        <x:v>38</x:v>
      </x:c>
      <x:c r="J379" s="16" t="n">
        <x:v>11</x:v>
      </x:c>
      <x:c r="K379" s="16" t="n">
        <x:v>0</x:v>
      </x:c>
      <x:c r="L379" s="16" t="n">
        <x:v>5</x:v>
      </x:c>
      <x:c r="M379" s="16" t="n">
        <x:v>0</x:v>
      </x:c>
      <x:c r="N379" s="16" t="n">
        <x:v>0</x:v>
      </x:c>
      <x:c r="O379" s="16" t="n">
        <x:v>1</x:v>
      </x:c>
      <x:c r="P379" s="16" t="n">
        <x:v>1</x:v>
      </x:c>
      <x:c r="Q379" s="16" t="n">
        <x:v>1</x:v>
      </x:c>
      <x:c r="R379" s="16" t="n">
        <x:v>0</x:v>
      </x:c>
      <x:c r="S379" s="16" t="n">
        <x:v>2</x:v>
      </x:c>
      <x:c r="T379" s="16" t="n">
        <x:v>8</x:v>
      </x:c>
      <x:c r="U379" s="16" t="n">
        <x:v>0</x:v>
      </x:c>
      <x:c r="V379" s="16" t="n">
        <x:v>0</x:v>
      </x:c>
      <x:c r="W379" s="16" t="n">
        <x:v>0</x:v>
      </x:c>
      <x:c r="X379" s="16" t="n">
        <x:v>0</x:v>
      </x:c>
      <x:c r="Y379" s="16" t="n">
        <x:v>0</x:v>
      </x:c>
      <x:c r="Z379" s="16" t="n">
        <x:v>0</x:v>
      </x:c>
      <x:c r="AA379" s="16" t="n">
        <x:v>3</x:v>
      </x:c>
      <x:c r="AB379" s="16" t="n">
        <x:v>11</x:v>
      </x:c>
      <x:c r="AC379" s="16" t="n">
        <x:v>0</x:v>
      </x:c>
      <x:c r="AD379" s="21" t="n">
        <x:f>IF(E379="",MEDIAN($E$2:$E$2237),E379)</x:f>
        <x:v>33581</x:v>
      </x:c>
      <x:c r="AE379" s="17" t="n">
        <x:f>2014-B379</x:f>
        <x:v>45</x:v>
      </x:c>
      <x:c r="AF379" s="17" t="n">
        <x:f>F379+G379</x:f>
        <x:v>2</x:v>
      </x:c>
      <x:c r="AG379" s="21" t="n">
        <x:f>SUM(J379:O379)</x:f>
        <x:v>17</x:v>
      </x:c>
      <x:c r="AH379" s="17" t="n">
        <x:f>SUM(Q379:S379)</x:f>
        <x:v>3</x:v>
      </x:c>
      <x:c r="AI379" s="17" t="n">
        <x:f>SUM(U379:Y379)</x:f>
        <x:v>0</x:v>
      </x:c>
      <x:c r="AJ379" s="17" t="str">
        <x:f>IF(AE379&lt;=34,"≤34",IF(AE379&lt;=44,"35–44",IF(AE379&lt;=54,"45–54",IF(AE379&lt;=64,"55–64","65+"))))</x:f>
        <x:v>45–54</x:v>
      </x:c>
      <x:c r="AK379" s="17" t="str">
        <x:f>IF(AG379&gt;=1000,"High Value",IF(AG379&gt;=300,"Mid Value","Low Value"))</x:f>
        <x:v>Low Value</x:v>
      </x:c>
      <x:c r="AL379" s="17" t="str">
        <x:f>IF(AND(AI379&gt;=1,I379&lt;=50),"Priority 1",IF(AND(AG379&gt;=1000,I379&lt;=60),"Priority 2",IF(I379&lt;=30,"Priority 3","Nurture")))</x:f>
        <x:v>Nurture</x:v>
      </x:c>
    </x:row>
    <x:row r="380">
      <x:c r="A380" s="16" t="n">
        <x:v>9543</x:v>
      </x:c>
      <x:c r="B380" s="16" t="n">
        <x:v>1985</x:v>
      </x:c>
      <x:c r="C380" s="16" t="str">
        <x:v>Graduation</x:v>
      </x:c>
      <x:c r="D380" s="16" t="str">
        <x:v>Married</x:v>
      </x:c>
      <x:c r="E380" s="16" t="n">
        <x:v>19986</x:v>
      </x:c>
      <x:c r="F380" s="16" t="n">
        <x:v>1</x:v>
      </x:c>
      <x:c r="G380" s="16" t="n">
        <x:v>0</x:v>
      </x:c>
      <x:c r="H380" s="16" t="str">
        <x:v>14-11-2013</x:v>
      </x:c>
      <x:c r="I380" s="16" t="n">
        <x:v>74</x:v>
      </x:c>
      <x:c r="J380" s="16" t="n">
        <x:v>3</x:v>
      </x:c>
      <x:c r="K380" s="16" t="n">
        <x:v>6</x:v>
      </x:c>
      <x:c r="L380" s="16" t="n">
        <x:v>5</x:v>
      </x:c>
      <x:c r="M380" s="16" t="n">
        <x:v>0</x:v>
      </x:c>
      <x:c r="N380" s="16" t="n">
        <x:v>2</x:v>
      </x:c>
      <x:c r="O380" s="16" t="n">
        <x:v>6</x:v>
      </x:c>
      <x:c r="P380" s="16" t="n">
        <x:v>1</x:v>
      </x:c>
      <x:c r="Q380" s="16" t="n">
        <x:v>0</x:v>
      </x:c>
      <x:c r="R380" s="16" t="n">
        <x:v>0</x:v>
      </x:c>
      <x:c r="S380" s="16" t="n">
        <x:v>3</x:v>
      </x:c>
      <x:c r="T380" s="16" t="n">
        <x:v>7</x:v>
      </x:c>
      <x:c r="U380" s="16" t="n">
        <x:v>0</x:v>
      </x:c>
      <x:c r="V380" s="16" t="n">
        <x:v>0</x:v>
      </x:c>
      <x:c r="W380" s="16" t="n">
        <x:v>0</x:v>
      </x:c>
      <x:c r="X380" s="16" t="n">
        <x:v>0</x:v>
      </x:c>
      <x:c r="Y380" s="16" t="n">
        <x:v>0</x:v>
      </x:c>
      <x:c r="Z380" s="16" t="n">
        <x:v>0</x:v>
      </x:c>
      <x:c r="AA380" s="16" t="n">
        <x:v>3</x:v>
      </x:c>
      <x:c r="AB380" s="16" t="n">
        <x:v>11</x:v>
      </x:c>
      <x:c r="AC380" s="16" t="n">
        <x:v>0</x:v>
      </x:c>
      <x:c r="AD380" s="21" t="n">
        <x:f>IF(E380="",MEDIAN($E$2:$E$2237),E380)</x:f>
        <x:v>19986</x:v>
      </x:c>
      <x:c r="AE380" s="17" t="n">
        <x:f>2014-B380</x:f>
        <x:v>29</x:v>
      </x:c>
      <x:c r="AF380" s="17" t="n">
        <x:f>F380+G380</x:f>
        <x:v>1</x:v>
      </x:c>
      <x:c r="AG380" s="21" t="n">
        <x:f>SUM(J380:O380)</x:f>
        <x:v>22</x:v>
      </x:c>
      <x:c r="AH380" s="17" t="n">
        <x:f>SUM(Q380:S380)</x:f>
        <x:v>3</x:v>
      </x:c>
      <x:c r="AI380" s="17" t="n">
        <x:f>SUM(U380:Y380)</x:f>
        <x:v>0</x:v>
      </x:c>
      <x:c r="AJ380" s="17" t="str">
        <x:f>IF(AE380&lt;=34,"≤34",IF(AE380&lt;=44,"35–44",IF(AE380&lt;=54,"45–54",IF(AE380&lt;=64,"55–64","65+"))))</x:f>
        <x:v>≤34</x:v>
      </x:c>
      <x:c r="AK380" s="17" t="str">
        <x:f>IF(AG380&gt;=1000,"High Value",IF(AG380&gt;=300,"Mid Value","Low Value"))</x:f>
        <x:v>Low Value</x:v>
      </x:c>
      <x:c r="AL380" s="17" t="str">
        <x:f>IF(AND(AI380&gt;=1,I380&lt;=50),"Priority 1",IF(AND(AG380&gt;=1000,I380&lt;=60),"Priority 2",IF(I380&lt;=30,"Priority 3","Nurture")))</x:f>
        <x:v>Nurture</x:v>
      </x:c>
    </x:row>
    <x:row r="381">
      <x:c r="A381" s="16" t="n">
        <x:v>6878</x:v>
      </x:c>
      <x:c r="B381" s="16" t="n">
        <x:v>1954</x:v>
      </x:c>
      <x:c r="C381" s="16" t="str">
        <x:v>Graduation</x:v>
      </x:c>
      <x:c r="D381" s="16" t="str">
        <x:v>Widow</x:v>
      </x:c>
      <x:c r="E381" s="16" t="n">
        <x:v>27421</x:v>
      </x:c>
      <x:c r="F381" s="16" t="n">
        <x:v>0</x:v>
      </x:c>
      <x:c r="G381" s="16" t="n">
        <x:v>0</x:v>
      </x:c>
      <x:c r="H381" s="16" t="str">
        <x:v>12-12-2012</x:v>
      </x:c>
      <x:c r="I381" s="16" t="n">
        <x:v>14</x:v>
      </x:c>
      <x:c r="J381" s="16" t="n">
        <x:v>43</x:v>
      </x:c>
      <x:c r="K381" s="16" t="n">
        <x:v>12</x:v>
      </x:c>
      <x:c r="L381" s="16" t="n">
        <x:v>96</x:v>
      </x:c>
      <x:c r="M381" s="16" t="n">
        <x:v>78</x:v>
      </x:c>
      <x:c r="N381" s="16" t="n">
        <x:v>40</x:v>
      </x:c>
      <x:c r="O381" s="16" t="n">
        <x:v>55</x:v>
      </x:c>
      <x:c r="P381" s="16" t="n">
        <x:v>3</x:v>
      </x:c>
      <x:c r="Q381" s="16" t="n">
        <x:v>4</x:v>
      </x:c>
      <x:c r="R381" s="16" t="n">
        <x:v>1</x:v>
      </x:c>
      <x:c r="S381" s="16" t="n">
        <x:v>6</x:v>
      </x:c>
      <x:c r="T381" s="16" t="n">
        <x:v>7</x:v>
      </x:c>
      <x:c r="U381" s="16" t="n">
        <x:v>0</x:v>
      </x:c>
      <x:c r="V381" s="16" t="n">
        <x:v>0</x:v>
      </x:c>
      <x:c r="W381" s="16" t="n">
        <x:v>0</x:v>
      </x:c>
      <x:c r="X381" s="16" t="n">
        <x:v>0</x:v>
      </x:c>
      <x:c r="Y381" s="16" t="n">
        <x:v>0</x:v>
      </x:c>
      <x:c r="Z381" s="16" t="n">
        <x:v>0</x:v>
      </x:c>
      <x:c r="AA381" s="16" t="n">
        <x:v>3</x:v>
      </x:c>
      <x:c r="AB381" s="16" t="n">
        <x:v>11</x:v>
      </x:c>
      <x:c r="AC381" s="16" t="n">
        <x:v>0</x:v>
      </x:c>
      <x:c r="AD381" s="21" t="n">
        <x:f>IF(E381="",MEDIAN($E$2:$E$2237),E381)</x:f>
        <x:v>27421</x:v>
      </x:c>
      <x:c r="AE381" s="17" t="n">
        <x:f>2014-B381</x:f>
        <x:v>60</x:v>
      </x:c>
      <x:c r="AF381" s="17" t="n">
        <x:f>F381+G381</x:f>
        <x:v>0</x:v>
      </x:c>
      <x:c r="AG381" s="21" t="n">
        <x:f>SUM(J381:O381)</x:f>
        <x:v>324</x:v>
      </x:c>
      <x:c r="AH381" s="17" t="n">
        <x:f>SUM(Q381:S381)</x:f>
        <x:v>11</x:v>
      </x:c>
      <x:c r="AI381" s="17" t="n">
        <x:f>SUM(U381:Y381)</x:f>
        <x:v>0</x:v>
      </x:c>
      <x:c r="AJ381" s="17" t="str">
        <x:f>IF(AE381&lt;=34,"≤34",IF(AE381&lt;=44,"35–44",IF(AE381&lt;=54,"45–54",IF(AE381&lt;=64,"55–64","65+"))))</x:f>
        <x:v>55–64</x:v>
      </x:c>
      <x:c r="AK381" s="17" t="str">
        <x:f>IF(AG381&gt;=1000,"High Value",IF(AG381&gt;=300,"Mid Value","Low Value"))</x:f>
        <x:v>Mid Value</x:v>
      </x:c>
      <x:c r="AL381" s="17" t="str">
        <x:f>IF(AND(AI381&gt;=1,I381&lt;=50),"Priority 1",IF(AND(AG381&gt;=1000,I381&lt;=60),"Priority 2",IF(I381&lt;=30,"Priority 3","Nurture")))</x:f>
        <x:v>Priority 3</x:v>
      </x:c>
    </x:row>
    <x:row r="382">
      <x:c r="A382" s="16" t="n">
        <x:v>3310</x:v>
      </x:c>
      <x:c r="B382" s="16" t="n">
        <x:v>1973</x:v>
      </x:c>
      <x:c r="C382" s="16" t="str">
        <x:v>2n Cycle</x:v>
      </x:c>
      <x:c r="D382" s="16" t="str">
        <x:v>Married</x:v>
      </x:c>
      <x:c r="E382" s="16" t="n">
        <x:v>35688</x:v>
      </x:c>
      <x:c r="F382" s="16" t="n">
        <x:v>2</x:v>
      </x:c>
      <x:c r="G382" s="16" t="n">
        <x:v>1</x:v>
      </x:c>
      <x:c r="H382" s="16" t="str">
        <x:v>22-08-2012</x:v>
      </x:c>
      <x:c r="I382" s="16" t="n">
        <x:v>94</x:v>
      </x:c>
      <x:c r="J382" s="16" t="n">
        <x:v>73</x:v>
      </x:c>
      <x:c r="K382" s="16" t="n">
        <x:v>3</x:v>
      </x:c>
      <x:c r="L382" s="16" t="n">
        <x:v>90</x:v>
      </x:c>
      <x:c r="M382" s="16" t="n">
        <x:v>12</x:v>
      </x:c>
      <x:c r="N382" s="16" t="n">
        <x:v>1</x:v>
      </x:c>
      <x:c r="O382" s="16" t="n">
        <x:v>32</x:v>
      </x:c>
      <x:c r="P382" s="16" t="n">
        <x:v>7</x:v>
      </x:c>
      <x:c r="Q382" s="16" t="n">
        <x:v>4</x:v>
      </x:c>
      <x:c r="R382" s="16" t="n">
        <x:v>1</x:v>
      </x:c>
      <x:c r="S382" s="16" t="n">
        <x:v>4</x:v>
      </x:c>
      <x:c r="T382" s="16" t="n">
        <x:v>8</x:v>
      </x:c>
      <x:c r="U382" s="16" t="n">
        <x:v>0</x:v>
      </x:c>
      <x:c r="V382" s="16" t="n">
        <x:v>0</x:v>
      </x:c>
      <x:c r="W382" s="16" t="n">
        <x:v>0</x:v>
      </x:c>
      <x:c r="X382" s="16" t="n">
        <x:v>0</x:v>
      </x:c>
      <x:c r="Y382" s="16" t="n">
        <x:v>0</x:v>
      </x:c>
      <x:c r="Z382" s="16" t="n">
        <x:v>0</x:v>
      </x:c>
      <x:c r="AA382" s="16" t="n">
        <x:v>3</x:v>
      </x:c>
      <x:c r="AB382" s="16" t="n">
        <x:v>11</x:v>
      </x:c>
      <x:c r="AC382" s="16" t="n">
        <x:v>0</x:v>
      </x:c>
      <x:c r="AD382" s="21" t="n">
        <x:f>IF(E382="",MEDIAN($E$2:$E$2237),E382)</x:f>
        <x:v>35688</x:v>
      </x:c>
      <x:c r="AE382" s="17" t="n">
        <x:f>2014-B382</x:f>
        <x:v>41</x:v>
      </x:c>
      <x:c r="AF382" s="17" t="n">
        <x:f>F382+G382</x:f>
        <x:v>3</x:v>
      </x:c>
      <x:c r="AG382" s="21" t="n">
        <x:f>SUM(J382:O382)</x:f>
        <x:v>211</x:v>
      </x:c>
      <x:c r="AH382" s="17" t="n">
        <x:f>SUM(Q382:S382)</x:f>
        <x:v>9</x:v>
      </x:c>
      <x:c r="AI382" s="17" t="n">
        <x:f>SUM(U382:Y382)</x:f>
        <x:v>0</x:v>
      </x:c>
      <x:c r="AJ382" s="17" t="str">
        <x:f>IF(AE382&lt;=34,"≤34",IF(AE382&lt;=44,"35–44",IF(AE382&lt;=54,"45–54",IF(AE382&lt;=64,"55–64","65+"))))</x:f>
        <x:v>35–44</x:v>
      </x:c>
      <x:c r="AK382" s="17" t="str">
        <x:f>IF(AG382&gt;=1000,"High Value",IF(AG382&gt;=300,"Mid Value","Low Value"))</x:f>
        <x:v>Low Value</x:v>
      </x:c>
      <x:c r="AL382" s="17" t="str">
        <x:f>IF(AND(AI382&gt;=1,I382&lt;=50),"Priority 1",IF(AND(AG382&gt;=1000,I382&lt;=60),"Priority 2",IF(I382&lt;=30,"Priority 3","Nurture")))</x:f>
        <x:v>Nurture</x:v>
      </x:c>
    </x:row>
    <x:row r="383">
      <x:c r="A383" s="16" t="n">
        <x:v>2724</x:v>
      </x:c>
      <x:c r="B383" s="16" t="n">
        <x:v>1981</x:v>
      </x:c>
      <x:c r="C383" s="16" t="str">
        <x:v>Master</x:v>
      </x:c>
      <x:c r="D383" s="16" t="str">
        <x:v>Single</x:v>
      </x:c>
      <x:c r="E383" s="16" t="n">
        <x:v>36143</x:v>
      </x:c>
      <x:c r="F383" s="16" t="n">
        <x:v>1</x:v>
      </x:c>
      <x:c r="G383" s="16" t="n">
        <x:v>0</x:v>
      </x:c>
      <x:c r="H383" s="16" t="str">
        <x:v>30-03-2014</x:v>
      </x:c>
      <x:c r="I383" s="16" t="n">
        <x:v>33</x:v>
      </x:c>
      <x:c r="J383" s="16" t="n">
        <x:v>12</x:v>
      </x:c>
      <x:c r="K383" s="16" t="n">
        <x:v>0</x:v>
      </x:c>
      <x:c r="L383" s="16" t="n">
        <x:v>1</x:v>
      </x:c>
      <x:c r="M383" s="16" t="n">
        <x:v>0</x:v>
      </x:c>
      <x:c r="N383" s="16" t="n">
        <x:v>0</x:v>
      </x:c>
      <x:c r="O383" s="16" t="n">
        <x:v>6</x:v>
      </x:c>
      <x:c r="P383" s="16" t="n">
        <x:v>1</x:v>
      </x:c>
      <x:c r="Q383" s="16" t="n">
        <x:v>0</x:v>
      </x:c>
      <x:c r="R383" s="16" t="n">
        <x:v>1</x:v>
      </x:c>
      <x:c r="S383" s="16" t="n">
        <x:v>2</x:v>
      </x:c>
      <x:c r="T383" s="16" t="n">
        <x:v>3</x:v>
      </x:c>
      <x:c r="U383" s="16" t="n">
        <x:v>0</x:v>
      </x:c>
      <x:c r="V383" s="16" t="n">
        <x:v>0</x:v>
      </x:c>
      <x:c r="W383" s="16" t="n">
        <x:v>0</x:v>
      </x:c>
      <x:c r="X383" s="16" t="n">
        <x:v>0</x:v>
      </x:c>
      <x:c r="Y383" s="16" t="n">
        <x:v>0</x:v>
      </x:c>
      <x:c r="Z383" s="16" t="n">
        <x:v>0</x:v>
      </x:c>
      <x:c r="AA383" s="16" t="n">
        <x:v>3</x:v>
      </x:c>
      <x:c r="AB383" s="16" t="n">
        <x:v>11</x:v>
      </x:c>
      <x:c r="AC383" s="16" t="n">
        <x:v>0</x:v>
      </x:c>
      <x:c r="AD383" s="21" t="n">
        <x:f>IF(E383="",MEDIAN($E$2:$E$2237),E383)</x:f>
        <x:v>36143</x:v>
      </x:c>
      <x:c r="AE383" s="17" t="n">
        <x:f>2014-B383</x:f>
        <x:v>33</x:v>
      </x:c>
      <x:c r="AF383" s="17" t="n">
        <x:f>F383+G383</x:f>
        <x:v>1</x:v>
      </x:c>
      <x:c r="AG383" s="21" t="n">
        <x:f>SUM(J383:O383)</x:f>
        <x:v>19</x:v>
      </x:c>
      <x:c r="AH383" s="17" t="n">
        <x:f>SUM(Q383:S383)</x:f>
        <x:v>3</x:v>
      </x:c>
      <x:c r="AI383" s="17" t="n">
        <x:f>SUM(U383:Y383)</x:f>
        <x:v>0</x:v>
      </x:c>
      <x:c r="AJ383" s="17" t="str">
        <x:f>IF(AE383&lt;=34,"≤34",IF(AE383&lt;=44,"35–44",IF(AE383&lt;=54,"45–54",IF(AE383&lt;=64,"55–64","65+"))))</x:f>
        <x:v>≤34</x:v>
      </x:c>
      <x:c r="AK383" s="17" t="str">
        <x:f>IF(AG383&gt;=1000,"High Value",IF(AG383&gt;=300,"Mid Value","Low Value"))</x:f>
        <x:v>Low Value</x:v>
      </x:c>
      <x:c r="AL383" s="17" t="str">
        <x:f>IF(AND(AI383&gt;=1,I383&lt;=50),"Priority 1",IF(AND(AG383&gt;=1000,I383&lt;=60),"Priority 2",IF(I383&lt;=30,"Priority 3","Nurture")))</x:f>
        <x:v>Nurture</x:v>
      </x:c>
    </x:row>
    <x:row r="384">
      <x:c r="A384" s="16" t="n">
        <x:v>948</x:v>
      </x:c>
      <x:c r="B384" s="16" t="n">
        <x:v>1971</x:v>
      </x:c>
      <x:c r="C384" s="16" t="str">
        <x:v>Graduation</x:v>
      </x:c>
      <x:c r="D384" s="16" t="str">
        <x:v>Single</x:v>
      </x:c>
      <x:c r="E384" s="16" t="n">
        <x:v>10245</x:v>
      </x:c>
      <x:c r="F384" s="16" t="n">
        <x:v>1</x:v>
      </x:c>
      <x:c r="G384" s="16" t="n">
        <x:v>0</x:v>
      </x:c>
      <x:c r="H384" s="16" t="str">
        <x:v>15-05-2013</x:v>
      </x:c>
      <x:c r="I384" s="16" t="n">
        <x:v>32</x:v>
      </x:c>
      <x:c r="J384" s="16" t="n">
        <x:v>4</x:v>
      </x:c>
      <x:c r="K384" s="16" t="n">
        <x:v>7</x:v>
      </x:c>
      <x:c r="L384" s="16" t="n">
        <x:v>7</x:v>
      </x:c>
      <x:c r="M384" s="16" t="n">
        <x:v>6</x:v>
      </x:c>
      <x:c r="N384" s="16" t="n">
        <x:v>4</x:v>
      </x:c>
      <x:c r="O384" s="16" t="n">
        <x:v>13</x:v>
      </x:c>
      <x:c r="P384" s="16" t="n">
        <x:v>3</x:v>
      </x:c>
      <x:c r="Q384" s="16" t="n">
        <x:v>1</x:v>
      </x:c>
      <x:c r="R384" s="16" t="n">
        <x:v>2</x:v>
      </x:c>
      <x:c r="S384" s="16" t="n">
        <x:v>2</x:v>
      </x:c>
      <x:c r="T384" s="16" t="n">
        <x:v>5</x:v>
      </x:c>
      <x:c r="U384" s="16" t="n">
        <x:v>0</x:v>
      </x:c>
      <x:c r="V384" s="16" t="n">
        <x:v>0</x:v>
      </x:c>
      <x:c r="W384" s="16" t="n">
        <x:v>0</x:v>
      </x:c>
      <x:c r="X384" s="16" t="n">
        <x:v>0</x:v>
      </x:c>
      <x:c r="Y384" s="16" t="n">
        <x:v>0</x:v>
      </x:c>
      <x:c r="Z384" s="16" t="n">
        <x:v>0</x:v>
      </x:c>
      <x:c r="AA384" s="16" t="n">
        <x:v>3</x:v>
      </x:c>
      <x:c r="AB384" s="16" t="n">
        <x:v>11</x:v>
      </x:c>
      <x:c r="AC384" s="16" t="n">
        <x:v>0</x:v>
      </x:c>
      <x:c r="AD384" s="21" t="n">
        <x:f>IF(E384="",MEDIAN($E$2:$E$2237),E384)</x:f>
        <x:v>10245</x:v>
      </x:c>
      <x:c r="AE384" s="17" t="n">
        <x:f>2014-B384</x:f>
        <x:v>43</x:v>
      </x:c>
      <x:c r="AF384" s="17" t="n">
        <x:f>F384+G384</x:f>
        <x:v>1</x:v>
      </x:c>
      <x:c r="AG384" s="21" t="n">
        <x:f>SUM(J384:O384)</x:f>
        <x:v>41</x:v>
      </x:c>
      <x:c r="AH384" s="17" t="n">
        <x:f>SUM(Q384:S384)</x:f>
        <x:v>5</x:v>
      </x:c>
      <x:c r="AI384" s="17" t="n">
        <x:f>SUM(U384:Y384)</x:f>
        <x:v>0</x:v>
      </x:c>
      <x:c r="AJ384" s="17" t="str">
        <x:f>IF(AE384&lt;=34,"≤34",IF(AE384&lt;=44,"35–44",IF(AE384&lt;=54,"45–54",IF(AE384&lt;=64,"55–64","65+"))))</x:f>
        <x:v>35–44</x:v>
      </x:c>
      <x:c r="AK384" s="17" t="str">
        <x:f>IF(AG384&gt;=1000,"High Value",IF(AG384&gt;=300,"Mid Value","Low Value"))</x:f>
        <x:v>Low Value</x:v>
      </x:c>
      <x:c r="AL384" s="17" t="str">
        <x:f>IF(AND(AI384&gt;=1,I384&lt;=50),"Priority 1",IF(AND(AG384&gt;=1000,I384&lt;=60),"Priority 2",IF(I384&lt;=30,"Priority 3","Nurture")))</x:f>
        <x:v>Nurture</x:v>
      </x:c>
    </x:row>
    <x:row r="385">
      <x:c r="A385" s="16" t="n">
        <x:v>6720</x:v>
      </x:c>
      <x:c r="B385" s="16" t="n">
        <x:v>1968</x:v>
      </x:c>
      <x:c r="C385" s="16" t="str">
        <x:v>Master</x:v>
      </x:c>
      <x:c r="D385" s="16" t="str">
        <x:v>Together</x:v>
      </x:c>
      <x:c r="E385" s="16" t="n">
        <x:v>43795</x:v>
      </x:c>
      <x:c r="F385" s="16" t="n">
        <x:v>0</x:v>
      </x:c>
      <x:c r="G385" s="16" t="n">
        <x:v>1</x:v>
      </x:c>
      <x:c r="H385" s="16" t="str">
        <x:v>16-10-2013</x:v>
      </x:c>
      <x:c r="I385" s="16" t="n">
        <x:v>11</x:v>
      </x:c>
      <x:c r="J385" s="16" t="n">
        <x:v>314</x:v>
      </x:c>
      <x:c r="K385" s="16" t="n">
        <x:v>11</x:v>
      </x:c>
      <x:c r="L385" s="16" t="n">
        <x:v>53</x:v>
      </x:c>
      <x:c r="M385" s="16" t="n">
        <x:v>4</x:v>
      </x:c>
      <x:c r="N385" s="16" t="n">
        <x:v>3</x:v>
      </x:c>
      <x:c r="O385" s="16" t="n">
        <x:v>107</x:v>
      </x:c>
      <x:c r="P385" s="16" t="n">
        <x:v>3</x:v>
      </x:c>
      <x:c r="Q385" s="16" t="n">
        <x:v>7</x:v>
      </x:c>
      <x:c r="R385" s="16" t="n">
        <x:v>3</x:v>
      </x:c>
      <x:c r="S385" s="16" t="n">
        <x:v>4</x:v>
      </x:c>
      <x:c r="T385" s="16" t="n">
        <x:v>7</x:v>
      </x:c>
      <x:c r="U385" s="16" t="n">
        <x:v>0</x:v>
      </x:c>
      <x:c r="V385" s="16" t="n">
        <x:v>1</x:v>
      </x:c>
      <x:c r="W385" s="16" t="n">
        <x:v>0</x:v>
      </x:c>
      <x:c r="X385" s="16" t="n">
        <x:v>0</x:v>
      </x:c>
      <x:c r="Y385" s="16" t="n">
        <x:v>0</x:v>
      </x:c>
      <x:c r="Z385" s="16" t="n">
        <x:v>0</x:v>
      </x:c>
      <x:c r="AA385" s="16" t="n">
        <x:v>3</x:v>
      </x:c>
      <x:c r="AB385" s="16" t="n">
        <x:v>11</x:v>
      </x:c>
      <x:c r="AC385" s="16" t="n">
        <x:v>1</x:v>
      </x:c>
      <x:c r="AD385" s="21" t="n">
        <x:f>IF(E385="",MEDIAN($E$2:$E$2237),E385)</x:f>
        <x:v>43795</x:v>
      </x:c>
      <x:c r="AE385" s="17" t="n">
        <x:f>2014-B385</x:f>
        <x:v>46</x:v>
      </x:c>
      <x:c r="AF385" s="17" t="n">
        <x:f>F385+G385</x:f>
        <x:v>1</x:v>
      </x:c>
      <x:c r="AG385" s="21" t="n">
        <x:f>SUM(J385:O385)</x:f>
        <x:v>492</x:v>
      </x:c>
      <x:c r="AH385" s="17" t="n">
        <x:f>SUM(Q385:S385)</x:f>
        <x:v>14</x:v>
      </x:c>
      <x:c r="AI385" s="17" t="n">
        <x:f>SUM(U385:Y385)</x:f>
        <x:v>1</x:v>
      </x:c>
      <x:c r="AJ385" s="17" t="str">
        <x:f>IF(AE385&lt;=34,"≤34",IF(AE385&lt;=44,"35–44",IF(AE385&lt;=54,"45–54",IF(AE385&lt;=64,"55–64","65+"))))</x:f>
        <x:v>45–54</x:v>
      </x:c>
      <x:c r="AK385" s="17" t="str">
        <x:f>IF(AG385&gt;=1000,"High Value",IF(AG385&gt;=300,"Mid Value","Low Value"))</x:f>
        <x:v>Mid Value</x:v>
      </x:c>
      <x:c r="AL385" s="17" t="str">
        <x:f>IF(AND(AI385&gt;=1,I385&lt;=50),"Priority 1",IF(AND(AG385&gt;=1000,I385&lt;=60),"Priority 2",IF(I385&lt;=30,"Priority 3","Nurture")))</x:f>
        <x:v>Priority 1</x:v>
      </x:c>
    </x:row>
    <x:row r="386">
      <x:c r="A386" s="16" t="n">
        <x:v>6202</x:v>
      </x:c>
      <x:c r="B386" s="16" t="n">
        <x:v>1960</x:v>
      </x:c>
      <x:c r="C386" s="16" t="str">
        <x:v>Graduation</x:v>
      </x:c>
      <x:c r="D386" s="16" t="str">
        <x:v>Together</x:v>
      </x:c>
      <x:c r="E386" s="16" t="n">
        <x:v>63381</x:v>
      </x:c>
      <x:c r="F386" s="16" t="n">
        <x:v>0</x:v>
      </x:c>
      <x:c r="G386" s="16" t="n">
        <x:v>1</x:v>
      </x:c>
      <x:c r="H386" s="16" t="str">
        <x:v>05-10-2012</x:v>
      </x:c>
      <x:c r="I386" s="16" t="n">
        <x:v>78</x:v>
      </x:c>
      <x:c r="J386" s="16" t="n">
        <x:v>571</x:v>
      </x:c>
      <x:c r="K386" s="16" t="n">
        <x:v>50</x:v>
      </x:c>
      <x:c r="L386" s="16" t="n">
        <x:v>142</x:v>
      </x:c>
      <x:c r="M386" s="16" t="n">
        <x:v>33</x:v>
      </x:c>
      <x:c r="N386" s="16" t="n">
        <x:v>50</x:v>
      </x:c>
      <x:c r="O386" s="16" t="n">
        <x:v>159</x:v>
      </x:c>
      <x:c r="P386" s="16" t="n">
        <x:v>4</x:v>
      </x:c>
      <x:c r="Q386" s="16" t="n">
        <x:v>4</x:v>
      </x:c>
      <x:c r="R386" s="16" t="n">
        <x:v>5</x:v>
      </x:c>
      <x:c r="S386" s="16" t="n">
        <x:v>13</x:v>
      </x:c>
      <x:c r="T386" s="16" t="n">
        <x:v>2</x:v>
      </x:c>
      <x:c r="U386" s="16" t="n">
        <x:v>0</x:v>
      </x:c>
      <x:c r="V386" s="16" t="n">
        <x:v>0</x:v>
      </x:c>
      <x:c r="W386" s="16" t="n">
        <x:v>0</x:v>
      </x:c>
      <x:c r="X386" s="16" t="n">
        <x:v>0</x:v>
      </x:c>
      <x:c r="Y386" s="16" t="n">
        <x:v>0</x:v>
      </x:c>
      <x:c r="Z386" s="16" t="n">
        <x:v>0</x:v>
      </x:c>
      <x:c r="AA386" s="16" t="n">
        <x:v>3</x:v>
      </x:c>
      <x:c r="AB386" s="16" t="n">
        <x:v>11</x:v>
      </x:c>
      <x:c r="AC386" s="16" t="n">
        <x:v>0</x:v>
      </x:c>
      <x:c r="AD386" s="21" t="n">
        <x:f>IF(E386="",MEDIAN($E$2:$E$2237),E386)</x:f>
        <x:v>63381</x:v>
      </x:c>
      <x:c r="AE386" s="17" t="n">
        <x:f>2014-B386</x:f>
        <x:v>54</x:v>
      </x:c>
      <x:c r="AF386" s="17" t="n">
        <x:f>F386+G386</x:f>
        <x:v>1</x:v>
      </x:c>
      <x:c r="AG386" s="21" t="n">
        <x:f>SUM(J386:O386)</x:f>
        <x:v>1005</x:v>
      </x:c>
      <x:c r="AH386" s="17" t="n">
        <x:f>SUM(Q386:S386)</x:f>
        <x:v>22</x:v>
      </x:c>
      <x:c r="AI386" s="17" t="n">
        <x:f>SUM(U386:Y386)</x:f>
        <x:v>0</x:v>
      </x:c>
      <x:c r="AJ386" s="17" t="str">
        <x:f>IF(AE386&lt;=34,"≤34",IF(AE386&lt;=44,"35–44",IF(AE386&lt;=54,"45–54",IF(AE386&lt;=64,"55–64","65+"))))</x:f>
        <x:v>45–54</x:v>
      </x:c>
      <x:c r="AK386" s="17" t="str">
        <x:f>IF(AG386&gt;=1000,"High Value",IF(AG386&gt;=300,"Mid Value","Low Value"))</x:f>
        <x:v>High Value</x:v>
      </x:c>
      <x:c r="AL386" s="17" t="str">
        <x:f>IF(AND(AI386&gt;=1,I386&lt;=50),"Priority 1",IF(AND(AG386&gt;=1000,I386&lt;=60),"Priority 2",IF(I386&lt;=30,"Priority 3","Nurture")))</x:f>
        <x:v>Nurture</x:v>
      </x:c>
    </x:row>
    <x:row r="387">
      <x:c r="A387" s="16" t="n">
        <x:v>2066</x:v>
      </x:c>
      <x:c r="B387" s="16" t="n">
        <x:v>1949</x:v>
      </x:c>
      <x:c r="C387" s="16" t="str">
        <x:v>Graduation</x:v>
      </x:c>
      <x:c r="D387" s="16" t="str">
        <x:v>Together</x:v>
      </x:c>
      <x:c r="E387" s="16" t="n">
        <x:v>38823</x:v>
      </x:c>
      <x:c r="F387" s="16" t="n">
        <x:v>0</x:v>
      </x:c>
      <x:c r="G387" s="16" t="n">
        <x:v>1</x:v>
      </x:c>
      <x:c r="H387" s="16" t="str">
        <x:v>30-08-2012</x:v>
      </x:c>
      <x:c r="I387" s="16" t="n">
        <x:v>56</x:v>
      </x:c>
      <x:c r="J387" s="16" t="n">
        <x:v>70</x:v>
      </x:c>
      <x:c r="K387" s="16" t="n">
        <x:v>0</x:v>
      </x:c>
      <x:c r="L387" s="16" t="n">
        <x:v>11</x:v>
      </x:c>
      <x:c r="M387" s="16" t="n">
        <x:v>2</x:v>
      </x:c>
      <x:c r="N387" s="16" t="n">
        <x:v>8</x:v>
      </x:c>
      <x:c r="O387" s="16" t="n">
        <x:v>23</x:v>
      </x:c>
      <x:c r="P387" s="16" t="n">
        <x:v>1</x:v>
      </x:c>
      <x:c r="Q387" s="16" t="n">
        <x:v>2</x:v>
      </x:c>
      <x:c r="R387" s="16" t="n">
        <x:v>1</x:v>
      </x:c>
      <x:c r="S387" s="16" t="n">
        <x:v>3</x:v>
      </x:c>
      <x:c r="T387" s="16" t="n">
        <x:v>6</x:v>
      </x:c>
      <x:c r="U387" s="16" t="n">
        <x:v>0</x:v>
      </x:c>
      <x:c r="V387" s="16" t="n">
        <x:v>0</x:v>
      </x:c>
      <x:c r="W387" s="16" t="n">
        <x:v>0</x:v>
      </x:c>
      <x:c r="X387" s="16" t="n">
        <x:v>0</x:v>
      </x:c>
      <x:c r="Y387" s="16" t="n">
        <x:v>0</x:v>
      </x:c>
      <x:c r="Z387" s="16" t="n">
        <x:v>0</x:v>
      </x:c>
      <x:c r="AA387" s="16" t="n">
        <x:v>3</x:v>
      </x:c>
      <x:c r="AB387" s="16" t="n">
        <x:v>11</x:v>
      </x:c>
      <x:c r="AC387" s="16" t="n">
        <x:v>0</x:v>
      </x:c>
      <x:c r="AD387" s="21" t="n">
        <x:f>IF(E387="",MEDIAN($E$2:$E$2237),E387)</x:f>
        <x:v>38823</x:v>
      </x:c>
      <x:c r="AE387" s="17" t="n">
        <x:f>2014-B387</x:f>
        <x:v>65</x:v>
      </x:c>
      <x:c r="AF387" s="17" t="n">
        <x:f>F387+G387</x:f>
        <x:v>1</x:v>
      </x:c>
      <x:c r="AG387" s="21" t="n">
        <x:f>SUM(J387:O387)</x:f>
        <x:v>114</x:v>
      </x:c>
      <x:c r="AH387" s="17" t="n">
        <x:f>SUM(Q387:S387)</x:f>
        <x:v>6</x:v>
      </x:c>
      <x:c r="AI387" s="17" t="n">
        <x:f>SUM(U387:Y387)</x:f>
        <x:v>0</x:v>
      </x:c>
      <x:c r="AJ387" s="17" t="str">
        <x:f>IF(AE387&lt;=34,"≤34",IF(AE387&lt;=44,"35–44",IF(AE387&lt;=54,"45–54",IF(AE387&lt;=64,"55–64","65+"))))</x:f>
        <x:v>65+</x:v>
      </x:c>
      <x:c r="AK387" s="17" t="str">
        <x:f>IF(AG387&gt;=1000,"High Value",IF(AG387&gt;=300,"Mid Value","Low Value"))</x:f>
        <x:v>Low Value</x:v>
      </x:c>
      <x:c r="AL387" s="17" t="str">
        <x:f>IF(AND(AI387&gt;=1,I387&lt;=50),"Priority 1",IF(AND(AG387&gt;=1000,I387&lt;=60),"Priority 2",IF(I387&lt;=30,"Priority 3","Nurture")))</x:f>
        <x:v>Nurture</x:v>
      </x:c>
    </x:row>
    <x:row r="388">
      <x:c r="A388" s="16" t="n">
        <x:v>9799</x:v>
      </x:c>
      <x:c r="B388" s="16" t="n">
        <x:v>1968</x:v>
      </x:c>
      <x:c r="C388" s="16" t="str">
        <x:v>PhD</x:v>
      </x:c>
      <x:c r="D388" s="16" t="str">
        <x:v>Divorced</x:v>
      </x:c>
      <x:c r="E388" s="16" t="n">
        <x:v>83664</x:v>
      </x:c>
      <x:c r="F388" s="16" t="n">
        <x:v>1</x:v>
      </x:c>
      <x:c r="G388" s="16" t="n">
        <x:v>1</x:v>
      </x:c>
      <x:c r="H388" s="16" t="str">
        <x:v>08-05-2013</x:v>
      </x:c>
      <x:c r="I388" s="16" t="n">
        <x:v>57</x:v>
      </x:c>
      <x:c r="J388" s="16" t="n">
        <x:v>866</x:v>
      </x:c>
      <x:c r="K388" s="16" t="n">
        <x:v>21</x:v>
      </x:c>
      <x:c r="L388" s="16" t="n">
        <x:v>151</x:v>
      </x:c>
      <x:c r="M388" s="16" t="n">
        <x:v>28</x:v>
      </x:c>
      <x:c r="N388" s="16" t="n">
        <x:v>21</x:v>
      </x:c>
      <x:c r="O388" s="16" t="n">
        <x:v>86</x:v>
      </x:c>
      <x:c r="P388" s="16" t="n">
        <x:v>3</x:v>
      </x:c>
      <x:c r="Q388" s="16" t="n">
        <x:v>2</x:v>
      </x:c>
      <x:c r="R388" s="16" t="n">
        <x:v>2</x:v>
      </x:c>
      <x:c r="S388" s="16" t="n">
        <x:v>12</x:v>
      </x:c>
      <x:c r="T388" s="16" t="n">
        <x:v>5</x:v>
      </x:c>
      <x:c r="U388" s="16" t="n">
        <x:v>0</x:v>
      </x:c>
      <x:c r="V388" s="16" t="n">
        <x:v>0</x:v>
      </x:c>
      <x:c r="W388" s="16" t="n">
        <x:v>0</x:v>
      </x:c>
      <x:c r="X388" s="16" t="n">
        <x:v>0</x:v>
      </x:c>
      <x:c r="Y388" s="16" t="n">
        <x:v>0</x:v>
      </x:c>
      <x:c r="Z388" s="16" t="n">
        <x:v>0</x:v>
      </x:c>
      <x:c r="AA388" s="16" t="n">
        <x:v>3</x:v>
      </x:c>
      <x:c r="AB388" s="16" t="n">
        <x:v>11</x:v>
      </x:c>
      <x:c r="AC388" s="16" t="n">
        <x:v>0</x:v>
      </x:c>
      <x:c r="AD388" s="21" t="n">
        <x:f>IF(E388="",MEDIAN($E$2:$E$2237),E388)</x:f>
        <x:v>83664</x:v>
      </x:c>
      <x:c r="AE388" s="17" t="n">
        <x:f>2014-B388</x:f>
        <x:v>46</x:v>
      </x:c>
      <x:c r="AF388" s="17" t="n">
        <x:f>F388+G388</x:f>
        <x:v>2</x:v>
      </x:c>
      <x:c r="AG388" s="21" t="n">
        <x:f>SUM(J388:O388)</x:f>
        <x:v>1173</x:v>
      </x:c>
      <x:c r="AH388" s="17" t="n">
        <x:f>SUM(Q388:S388)</x:f>
        <x:v>16</x:v>
      </x:c>
      <x:c r="AI388" s="17" t="n">
        <x:f>SUM(U388:Y388)</x:f>
        <x:v>0</x:v>
      </x:c>
      <x:c r="AJ388" s="17" t="str">
        <x:f>IF(AE388&lt;=34,"≤34",IF(AE388&lt;=44,"35–44",IF(AE388&lt;=54,"45–54",IF(AE388&lt;=64,"55–64","65+"))))</x:f>
        <x:v>45–54</x:v>
      </x:c>
      <x:c r="AK388" s="17" t="str">
        <x:f>IF(AG388&gt;=1000,"High Value",IF(AG388&gt;=300,"Mid Value","Low Value"))</x:f>
        <x:v>High Value</x:v>
      </x:c>
      <x:c r="AL388" s="17" t="str">
        <x:f>IF(AND(AI388&gt;=1,I388&lt;=50),"Priority 1",IF(AND(AG388&gt;=1000,I388&lt;=60),"Priority 2",IF(I388&lt;=30,"Priority 3","Nurture")))</x:f>
        <x:v>Priority 2</x:v>
      </x:c>
    </x:row>
    <x:row r="389">
      <x:c r="A389" s="16" t="n">
        <x:v>8318</x:v>
      </x:c>
      <x:c r="B389" s="16" t="n">
        <x:v>1979</x:v>
      </x:c>
      <x:c r="C389" s="16" t="str">
        <x:v>Graduation</x:v>
      </x:c>
      <x:c r="D389" s="16" t="str">
        <x:v>Together</x:v>
      </x:c>
      <x:c r="E389" s="16" t="n">
        <x:v>90300</x:v>
      </x:c>
      <x:c r="F389" s="16" t="n">
        <x:v>0</x:v>
      </x:c>
      <x:c r="G389" s="16" t="n">
        <x:v>0</x:v>
      </x:c>
      <x:c r="H389" s="16" t="str">
        <x:v>03-01-2014</x:v>
      </x:c>
      <x:c r="I389" s="16" t="n">
        <x:v>7</x:v>
      </x:c>
      <x:c r="J389" s="16" t="n">
        <x:v>594</x:v>
      </x:c>
      <x:c r="K389" s="16" t="n">
        <x:v>134</x:v>
      </x:c>
      <x:c r="L389" s="16" t="n">
        <x:v>786</x:v>
      </x:c>
      <x:c r="M389" s="16" t="n">
        <x:v>33</x:v>
      </x:c>
      <x:c r="N389" s="16" t="n">
        <x:v>134</x:v>
      </x:c>
      <x:c r="O389" s="16" t="n">
        <x:v>57</x:v>
      </x:c>
      <x:c r="P389" s="16" t="n">
        <x:v>0</x:v>
      </x:c>
      <x:c r="Q389" s="16" t="n">
        <x:v>5</x:v>
      </x:c>
      <x:c r="R389" s="16" t="n">
        <x:v>6</x:v>
      </x:c>
      <x:c r="S389" s="16" t="n">
        <x:v>8</x:v>
      </x:c>
      <x:c r="T389" s="16" t="n">
        <x:v>1</x:v>
      </x:c>
      <x:c r="U389" s="16" t="n">
        <x:v>0</x:v>
      </x:c>
      <x:c r="V389" s="16" t="n">
        <x:v>0</x:v>
      </x:c>
      <x:c r="W389" s="16" t="n">
        <x:v>1</x:v>
      </x:c>
      <x:c r="X389" s="16" t="n">
        <x:v>0</x:v>
      </x:c>
      <x:c r="Y389" s="16" t="n">
        <x:v>0</x:v>
      </x:c>
      <x:c r="Z389" s="16" t="n">
        <x:v>0</x:v>
      </x:c>
      <x:c r="AA389" s="16" t="n">
        <x:v>3</x:v>
      </x:c>
      <x:c r="AB389" s="16" t="n">
        <x:v>11</x:v>
      </x:c>
      <x:c r="AC389" s="16" t="n">
        <x:v>0</x:v>
      </x:c>
      <x:c r="AD389" s="21" t="n">
        <x:f>IF(E389="",MEDIAN($E$2:$E$2237),E389)</x:f>
        <x:v>90300</x:v>
      </x:c>
      <x:c r="AE389" s="17" t="n">
        <x:f>2014-B389</x:f>
        <x:v>35</x:v>
      </x:c>
      <x:c r="AF389" s="17" t="n">
        <x:f>F389+G389</x:f>
        <x:v>0</x:v>
      </x:c>
      <x:c r="AG389" s="21" t="n">
        <x:f>SUM(J389:O389)</x:f>
        <x:v>1738</x:v>
      </x:c>
      <x:c r="AH389" s="17" t="n">
        <x:f>SUM(Q389:S389)</x:f>
        <x:v>19</x:v>
      </x:c>
      <x:c r="AI389" s="17" t="n">
        <x:f>SUM(U389:Y389)</x:f>
        <x:v>1</x:v>
      </x:c>
      <x:c r="AJ389" s="17" t="str">
        <x:f>IF(AE389&lt;=34,"≤34",IF(AE389&lt;=44,"35–44",IF(AE389&lt;=54,"45–54",IF(AE389&lt;=64,"55–64","65+"))))</x:f>
        <x:v>35–44</x:v>
      </x:c>
      <x:c r="AK389" s="17" t="str">
        <x:f>IF(AG389&gt;=1000,"High Value",IF(AG389&gt;=300,"Mid Value","Low Value"))</x:f>
        <x:v>High Value</x:v>
      </x:c>
      <x:c r="AL389" s="17" t="str">
        <x:f>IF(AND(AI389&gt;=1,I389&lt;=50),"Priority 1",IF(AND(AG389&gt;=1000,I389&lt;=60),"Priority 2",IF(I389&lt;=30,"Priority 3","Nurture")))</x:f>
        <x:v>Priority 1</x:v>
      </x:c>
    </x:row>
    <x:row r="390">
      <x:c r="A390" s="16" t="n">
        <x:v>5642</x:v>
      </x:c>
      <x:c r="B390" s="16" t="n">
        <x:v>1979</x:v>
      </x:c>
      <x:c r="C390" s="16" t="str">
        <x:v>Master</x:v>
      </x:c>
      <x:c r="D390" s="16" t="str">
        <x:v>Together</x:v>
      </x:c>
      <x:c r="E390" s="16" t="n">
        <x:v>62499</x:v>
      </x:c>
      <x:c r="F390" s="16" t="n">
        <x:v>1</x:v>
      </x:c>
      <x:c r="G390" s="16" t="n">
        <x:v>0</x:v>
      </x:c>
      <x:c r="H390" s="16" t="str">
        <x:v>09-12-2013</x:v>
      </x:c>
      <x:c r="I390" s="16" t="n">
        <x:v>0</x:v>
      </x:c>
      <x:c r="J390" s="16" t="n">
        <x:v>140</x:v>
      </x:c>
      <x:c r="K390" s="16" t="n">
        <x:v>4</x:v>
      </x:c>
      <x:c r="L390" s="16" t="n">
        <x:v>61</x:v>
      </x:c>
      <x:c r="M390" s="16" t="n">
        <x:v>0</x:v>
      </x:c>
      <x:c r="N390" s="16" t="n">
        <x:v>13</x:v>
      </x:c>
      <x:c r="O390" s="16" t="n">
        <x:v>4</x:v>
      </x:c>
      <x:c r="P390" s="16" t="n">
        <x:v>2</x:v>
      </x:c>
      <x:c r="Q390" s="16" t="n">
        <x:v>3</x:v>
      </x:c>
      <x:c r="R390" s="16" t="n">
        <x:v>1</x:v>
      </x:c>
      <x:c r="S390" s="16" t="n">
        <x:v>6</x:v>
      </x:c>
      <x:c r="T390" s="16" t="n">
        <x:v>4</x:v>
      </x:c>
      <x:c r="U390" s="16" t="n">
        <x:v>0</x:v>
      </x:c>
      <x:c r="V390" s="16" t="n">
        <x:v>0</x:v>
      </x:c>
      <x:c r="W390" s="16" t="n">
        <x:v>0</x:v>
      </x:c>
      <x:c r="X390" s="16" t="n">
        <x:v>0</x:v>
      </x:c>
      <x:c r="Y390" s="16" t="n">
        <x:v>0</x:v>
      </x:c>
      <x:c r="Z390" s="16" t="n">
        <x:v>0</x:v>
      </x:c>
      <x:c r="AA390" s="16" t="n">
        <x:v>3</x:v>
      </x:c>
      <x:c r="AB390" s="16" t="n">
        <x:v>11</x:v>
      </x:c>
      <x:c r="AC390" s="16" t="n">
        <x:v>0</x:v>
      </x:c>
      <x:c r="AD390" s="21" t="n">
        <x:f>IF(E390="",MEDIAN($E$2:$E$2237),E390)</x:f>
        <x:v>62499</x:v>
      </x:c>
      <x:c r="AE390" s="17" t="n">
        <x:f>2014-B390</x:f>
        <x:v>35</x:v>
      </x:c>
      <x:c r="AF390" s="17" t="n">
        <x:f>F390+G390</x:f>
        <x:v>1</x:v>
      </x:c>
      <x:c r="AG390" s="21" t="n">
        <x:f>SUM(J390:O390)</x:f>
        <x:v>222</x:v>
      </x:c>
      <x:c r="AH390" s="17" t="n">
        <x:f>SUM(Q390:S390)</x:f>
        <x:v>10</x:v>
      </x:c>
      <x:c r="AI390" s="17" t="n">
        <x:f>SUM(U390:Y390)</x:f>
        <x:v>0</x:v>
      </x:c>
      <x:c r="AJ390" s="17" t="str">
        <x:f>IF(AE390&lt;=34,"≤34",IF(AE390&lt;=44,"35–44",IF(AE390&lt;=54,"45–54",IF(AE390&lt;=64,"55–64","65+"))))</x:f>
        <x:v>35–44</x:v>
      </x:c>
      <x:c r="AK390" s="17" t="str">
        <x:f>IF(AG390&gt;=1000,"High Value",IF(AG390&gt;=300,"Mid Value","Low Value"))</x:f>
        <x:v>Low Value</x:v>
      </x:c>
      <x:c r="AL390" s="17" t="str">
        <x:f>IF(AND(AI390&gt;=1,I390&lt;=50),"Priority 1",IF(AND(AG390&gt;=1000,I390&lt;=60),"Priority 2",IF(I390&lt;=30,"Priority 3","Nurture")))</x:f>
        <x:v>Priority 3</x:v>
      </x:c>
    </x:row>
    <x:row r="391">
      <x:c r="A391" s="16" t="n">
        <x:v>2669</x:v>
      </x:c>
      <x:c r="B391" s="16" t="n">
        <x:v>1993</x:v>
      </x:c>
      <x:c r="C391" s="16" t="str">
        <x:v>Graduation</x:v>
      </x:c>
      <x:c r="D391" s="16" t="str">
        <x:v>Single</x:v>
      </x:c>
      <x:c r="E391" s="16" t="n">
        <x:v>74293</x:v>
      </x:c>
      <x:c r="F391" s="16" t="n">
        <x:v>0</x:v>
      </x:c>
      <x:c r="G391" s="16" t="n">
        <x:v>0</x:v>
      </x:c>
      <x:c r="H391" s="16" t="str">
        <x:v>04-05-2014</x:v>
      </x:c>
      <x:c r="I391" s="16" t="n">
        <x:v>66</x:v>
      </x:c>
      <x:c r="J391" s="16" t="n">
        <x:v>375</x:v>
      </x:c>
      <x:c r="K391" s="16" t="n">
        <x:v>152</x:v>
      </x:c>
      <x:c r="L391" s="16" t="n">
        <x:v>335</x:v>
      </x:c>
      <x:c r="M391" s="16" t="n">
        <x:v>93</x:v>
      </x:c>
      <x:c r="N391" s="16" t="n">
        <x:v>91</x:v>
      </x:c>
      <x:c r="O391" s="16" t="n">
        <x:v>81</x:v>
      </x:c>
      <x:c r="P391" s="16" t="n">
        <x:v>1</x:v>
      </x:c>
      <x:c r="Q391" s="16" t="n">
        <x:v>5</x:v>
      </x:c>
      <x:c r="R391" s="16" t="n">
        <x:v>4</x:v>
      </x:c>
      <x:c r="S391" s="16" t="n">
        <x:v>6</x:v>
      </x:c>
      <x:c r="T391" s="16" t="n">
        <x:v>2</x:v>
      </x:c>
      <x:c r="U391" s="16" t="n">
        <x:v>0</x:v>
      </x:c>
      <x:c r="V391" s="16" t="n">
        <x:v>0</x:v>
      </x:c>
      <x:c r="W391" s="16" t="n">
        <x:v>0</x:v>
      </x:c>
      <x:c r="X391" s="16" t="n">
        <x:v>0</x:v>
      </x:c>
      <x:c r="Y391" s="16" t="n">
        <x:v>0</x:v>
      </x:c>
      <x:c r="Z391" s="16" t="n">
        <x:v>0</x:v>
      </x:c>
      <x:c r="AA391" s="16" t="n">
        <x:v>3</x:v>
      </x:c>
      <x:c r="AB391" s="16" t="n">
        <x:v>11</x:v>
      </x:c>
      <x:c r="AC391" s="16" t="n">
        <x:v>0</x:v>
      </x:c>
      <x:c r="AD391" s="21" t="n">
        <x:f>IF(E391="",MEDIAN($E$2:$E$2237),E391)</x:f>
        <x:v>74293</x:v>
      </x:c>
      <x:c r="AE391" s="17" t="n">
        <x:f>2014-B391</x:f>
        <x:v>21</x:v>
      </x:c>
      <x:c r="AF391" s="17" t="n">
        <x:f>F391+G391</x:f>
        <x:v>0</x:v>
      </x:c>
      <x:c r="AG391" s="21" t="n">
        <x:f>SUM(J391:O391)</x:f>
        <x:v>1127</x:v>
      </x:c>
      <x:c r="AH391" s="17" t="n">
        <x:f>SUM(Q391:S391)</x:f>
        <x:v>15</x:v>
      </x:c>
      <x:c r="AI391" s="17" t="n">
        <x:f>SUM(U391:Y391)</x:f>
        <x:v>0</x:v>
      </x:c>
      <x:c r="AJ391" s="17" t="str">
        <x:f>IF(AE391&lt;=34,"≤34",IF(AE391&lt;=44,"35–44",IF(AE391&lt;=54,"45–54",IF(AE391&lt;=64,"55–64","65+"))))</x:f>
        <x:v>≤34</x:v>
      </x:c>
      <x:c r="AK391" s="17" t="str">
        <x:f>IF(AG391&gt;=1000,"High Value",IF(AG391&gt;=300,"Mid Value","Low Value"))</x:f>
        <x:v>High Value</x:v>
      </x:c>
      <x:c r="AL391" s="17" t="str">
        <x:f>IF(AND(AI391&gt;=1,I391&lt;=50),"Priority 1",IF(AND(AG391&gt;=1000,I391&lt;=60),"Priority 2",IF(I391&lt;=30,"Priority 3","Nurture")))</x:f>
        <x:v>Nurture</x:v>
      </x:c>
    </x:row>
    <x:row r="392">
      <x:c r="A392" s="16" t="n">
        <x:v>455</x:v>
      </x:c>
      <x:c r="B392" s="16" t="n">
        <x:v>1946</x:v>
      </x:c>
      <x:c r="C392" s="16" t="str">
        <x:v>PhD</x:v>
      </x:c>
      <x:c r="D392" s="16" t="str">
        <x:v>Married</x:v>
      </x:c>
      <x:c r="E392" s="16" t="n">
        <x:v>51012</x:v>
      </x:c>
      <x:c r="F392" s="16" t="n">
        <x:v>0</x:v>
      </x:c>
      <x:c r="G392" s="16" t="n">
        <x:v>0</x:v>
      </x:c>
      <x:c r="H392" s="16" t="str">
        <x:v>18-04-2013</x:v>
      </x:c>
      <x:c r="I392" s="16" t="n">
        <x:v>86</x:v>
      </x:c>
      <x:c r="J392" s="16" t="n">
        <x:v>102</x:v>
      </x:c>
      <x:c r="K392" s="16" t="n">
        <x:v>9</x:v>
      </x:c>
      <x:c r="L392" s="16" t="n">
        <x:v>63</x:v>
      </x:c>
      <x:c r="M392" s="16" t="n">
        <x:v>2</x:v>
      </x:c>
      <x:c r="N392" s="16" t="n">
        <x:v>9</x:v>
      </x:c>
      <x:c r="O392" s="16" t="n">
        <x:v>24</x:v>
      </x:c>
      <x:c r="P392" s="16" t="n">
        <x:v>1</x:v>
      </x:c>
      <x:c r="Q392" s="16" t="n">
        <x:v>4</x:v>
      </x:c>
      <x:c r="R392" s="16" t="n">
        <x:v>1</x:v>
      </x:c>
      <x:c r="S392" s="16" t="n">
        <x:v>4</x:v>
      </x:c>
      <x:c r="T392" s="16" t="n">
        <x:v>6</x:v>
      </x:c>
      <x:c r="U392" s="16" t="n">
        <x:v>0</x:v>
      </x:c>
      <x:c r="V392" s="16" t="n">
        <x:v>0</x:v>
      </x:c>
      <x:c r="W392" s="16" t="n">
        <x:v>0</x:v>
      </x:c>
      <x:c r="X392" s="16" t="n">
        <x:v>0</x:v>
      </x:c>
      <x:c r="Y392" s="16" t="n">
        <x:v>0</x:v>
      </x:c>
      <x:c r="Z392" s="16" t="n">
        <x:v>0</x:v>
      </x:c>
      <x:c r="AA392" s="16" t="n">
        <x:v>3</x:v>
      </x:c>
      <x:c r="AB392" s="16" t="n">
        <x:v>11</x:v>
      </x:c>
      <x:c r="AC392" s="16" t="n">
        <x:v>0</x:v>
      </x:c>
      <x:c r="AD392" s="21" t="n">
        <x:f>IF(E392="",MEDIAN($E$2:$E$2237),E392)</x:f>
        <x:v>51012</x:v>
      </x:c>
      <x:c r="AE392" s="17" t="n">
        <x:f>2014-B392</x:f>
        <x:v>68</x:v>
      </x:c>
      <x:c r="AF392" s="17" t="n">
        <x:f>F392+G392</x:f>
        <x:v>0</x:v>
      </x:c>
      <x:c r="AG392" s="21" t="n">
        <x:f>SUM(J392:O392)</x:f>
        <x:v>209</x:v>
      </x:c>
      <x:c r="AH392" s="17" t="n">
        <x:f>SUM(Q392:S392)</x:f>
        <x:v>9</x:v>
      </x:c>
      <x:c r="AI392" s="17" t="n">
        <x:f>SUM(U392:Y392)</x:f>
        <x:v>0</x:v>
      </x:c>
      <x:c r="AJ392" s="17" t="str">
        <x:f>IF(AE392&lt;=34,"≤34",IF(AE392&lt;=44,"35–44",IF(AE392&lt;=54,"45–54",IF(AE392&lt;=64,"55–64","65+"))))</x:f>
        <x:v>65+</x:v>
      </x:c>
      <x:c r="AK392" s="17" t="str">
        <x:f>IF(AG392&gt;=1000,"High Value",IF(AG392&gt;=300,"Mid Value","Low Value"))</x:f>
        <x:v>Low Value</x:v>
      </x:c>
      <x:c r="AL392" s="17" t="str">
        <x:f>IF(AND(AI392&gt;=1,I392&lt;=50),"Priority 1",IF(AND(AG392&gt;=1000,I392&lt;=60),"Priority 2",IF(I392&lt;=30,"Priority 3","Nurture")))</x:f>
        <x:v>Nurture</x:v>
      </x:c>
    </x:row>
    <x:row r="393">
      <x:c r="A393" s="16" t="n">
        <x:v>7683</x:v>
      </x:c>
      <x:c r="B393" s="16" t="n">
        <x:v>1968</x:v>
      </x:c>
      <x:c r="C393" s="16" t="str">
        <x:v>Master</x:v>
      </x:c>
      <x:c r="D393" s="16" t="str">
        <x:v>Married</x:v>
      </x:c>
      <x:c r="E393" s="16" t="n">
        <x:v>70777</x:v>
      </x:c>
      <x:c r="F393" s="16" t="n">
        <x:v>0</x:v>
      </x:c>
      <x:c r="G393" s="16" t="n">
        <x:v>1</x:v>
      </x:c>
      <x:c r="H393" s="16" t="str">
        <x:v>25-02-2014</x:v>
      </x:c>
      <x:c r="I393" s="16" t="n">
        <x:v>80</x:v>
      </x:c>
      <x:c r="J393" s="16" t="n">
        <x:v>554</x:v>
      </x:c>
      <x:c r="K393" s="16" t="n">
        <x:v>35</x:v>
      </x:c>
      <x:c r="L393" s="16" t="n">
        <x:v>113</x:v>
      </x:c>
      <x:c r="M393" s="16" t="n">
        <x:v>0</x:v>
      </x:c>
      <x:c r="N393" s="16" t="n">
        <x:v>7</x:v>
      </x:c>
      <x:c r="O393" s="16" t="n">
        <x:v>78</x:v>
      </x:c>
      <x:c r="P393" s="16" t="n">
        <x:v>3</x:v>
      </x:c>
      <x:c r="Q393" s="16" t="n">
        <x:v>5</x:v>
      </x:c>
      <x:c r="R393" s="16" t="n">
        <x:v>3</x:v>
      </x:c>
      <x:c r="S393" s="16" t="n">
        <x:v>12</x:v>
      </x:c>
      <x:c r="T393" s="16" t="n">
        <x:v>3</x:v>
      </x:c>
      <x:c r="U393" s="16" t="n">
        <x:v>0</x:v>
      </x:c>
      <x:c r="V393" s="16" t="n">
        <x:v>0</x:v>
      </x:c>
      <x:c r="W393" s="16" t="n">
        <x:v>0</x:v>
      </x:c>
      <x:c r="X393" s="16" t="n">
        <x:v>0</x:v>
      </x:c>
      <x:c r="Y393" s="16" t="n">
        <x:v>0</x:v>
      </x:c>
      <x:c r="Z393" s="16" t="n">
        <x:v>0</x:v>
      </x:c>
      <x:c r="AA393" s="16" t="n">
        <x:v>3</x:v>
      </x:c>
      <x:c r="AB393" s="16" t="n">
        <x:v>11</x:v>
      </x:c>
      <x:c r="AC393" s="16" t="n">
        <x:v>0</x:v>
      </x:c>
      <x:c r="AD393" s="21" t="n">
        <x:f>IF(E393="",MEDIAN($E$2:$E$2237),E393)</x:f>
        <x:v>70777</x:v>
      </x:c>
      <x:c r="AE393" s="17" t="n">
        <x:f>2014-B393</x:f>
        <x:v>46</x:v>
      </x:c>
      <x:c r="AF393" s="17" t="n">
        <x:f>F393+G393</x:f>
        <x:v>1</x:v>
      </x:c>
      <x:c r="AG393" s="21" t="n">
        <x:f>SUM(J393:O393)</x:f>
        <x:v>787</x:v>
      </x:c>
      <x:c r="AH393" s="17" t="n">
        <x:f>SUM(Q393:S393)</x:f>
        <x:v>20</x:v>
      </x:c>
      <x:c r="AI393" s="17" t="n">
        <x:f>SUM(U393:Y393)</x:f>
        <x:v>0</x:v>
      </x:c>
      <x:c r="AJ393" s="17" t="str">
        <x:f>IF(AE393&lt;=34,"≤34",IF(AE393&lt;=44,"35–44",IF(AE393&lt;=54,"45–54",IF(AE393&lt;=64,"55–64","65+"))))</x:f>
        <x:v>45–54</x:v>
      </x:c>
      <x:c r="AK393" s="17" t="str">
        <x:f>IF(AG393&gt;=1000,"High Value",IF(AG393&gt;=300,"Mid Value","Low Value"))</x:f>
        <x:v>Mid Value</x:v>
      </x:c>
      <x:c r="AL393" s="17" t="str">
        <x:f>IF(AND(AI393&gt;=1,I393&lt;=50),"Priority 1",IF(AND(AG393&gt;=1000,I393&lt;=60),"Priority 2",IF(I393&lt;=30,"Priority 3","Nurture")))</x:f>
        <x:v>Nurture</x:v>
      </x:c>
    </x:row>
    <x:row r="394">
      <x:c r="A394" s="16" t="n">
        <x:v>3428</x:v>
      </x:c>
      <x:c r="B394" s="16" t="n">
        <x:v>1991</x:v>
      </x:c>
      <x:c r="C394" s="16" t="str">
        <x:v>PhD</x:v>
      </x:c>
      <x:c r="D394" s="16" t="str">
        <x:v>Together</x:v>
      </x:c>
      <x:c r="E394" s="16" t="n">
        <x:v>68682</x:v>
      </x:c>
      <x:c r="F394" s="16" t="n">
        <x:v>0</x:v>
      </x:c>
      <x:c r="G394" s="16" t="n">
        <x:v>0</x:v>
      </x:c>
      <x:c r="H394" s="16" t="str">
        <x:v>06-10-2013</x:v>
      </x:c>
      <x:c r="I394" s="16" t="n">
        <x:v>56</x:v>
      </x:c>
      <x:c r="J394" s="16" t="n">
        <x:v>919</x:v>
      </x:c>
      <x:c r="K394" s="16" t="n">
        <x:v>0</x:v>
      </x:c>
      <x:c r="L394" s="16" t="n">
        <x:v>505</x:v>
      </x:c>
      <x:c r="M394" s="16" t="n">
        <x:v>99</x:v>
      </x:c>
      <x:c r="N394" s="16" t="n">
        <x:v>30</x:v>
      </x:c>
      <x:c r="O394" s="16" t="n">
        <x:v>45</x:v>
      </x:c>
      <x:c r="P394" s="16" t="n">
        <x:v>1</x:v>
      </x:c>
      <x:c r="Q394" s="16" t="n">
        <x:v>4</x:v>
      </x:c>
      <x:c r="R394" s="16" t="n">
        <x:v>9</x:v>
      </x:c>
      <x:c r="S394" s="16" t="n">
        <x:v>10</x:v>
      </x:c>
      <x:c r="T394" s="16" t="n">
        <x:v>2</x:v>
      </x:c>
      <x:c r="U394" s="16" t="n">
        <x:v>0</x:v>
      </x:c>
      <x:c r="V394" s="16" t="n">
        <x:v>0</x:v>
      </x:c>
      <x:c r="W394" s="16" t="n">
        <x:v>0</x:v>
      </x:c>
      <x:c r="X394" s="16" t="n">
        <x:v>0</x:v>
      </x:c>
      <x:c r="Y394" s="16" t="n">
        <x:v>0</x:v>
      </x:c>
      <x:c r="Z394" s="16" t="n">
        <x:v>0</x:v>
      </x:c>
      <x:c r="AA394" s="16" t="n">
        <x:v>3</x:v>
      </x:c>
      <x:c r="AB394" s="16" t="n">
        <x:v>11</x:v>
      </x:c>
      <x:c r="AC394" s="16" t="n">
        <x:v>0</x:v>
      </x:c>
      <x:c r="AD394" s="21" t="n">
        <x:f>IF(E394="",MEDIAN($E$2:$E$2237),E394)</x:f>
        <x:v>68682</x:v>
      </x:c>
      <x:c r="AE394" s="17" t="n">
        <x:f>2014-B394</x:f>
        <x:v>23</x:v>
      </x:c>
      <x:c r="AF394" s="17" t="n">
        <x:f>F394+G394</x:f>
        <x:v>0</x:v>
      </x:c>
      <x:c r="AG394" s="21" t="n">
        <x:f>SUM(J394:O394)</x:f>
        <x:v>1598</x:v>
      </x:c>
      <x:c r="AH394" s="17" t="n">
        <x:f>SUM(Q394:S394)</x:f>
        <x:v>23</x:v>
      </x:c>
      <x:c r="AI394" s="17" t="n">
        <x:f>SUM(U394:Y394)</x:f>
        <x:v>0</x:v>
      </x:c>
      <x:c r="AJ394" s="17" t="str">
        <x:f>IF(AE394&lt;=34,"≤34",IF(AE394&lt;=44,"35–44",IF(AE394&lt;=54,"45–54",IF(AE394&lt;=64,"55–64","65+"))))</x:f>
        <x:v>≤34</x:v>
      </x:c>
      <x:c r="AK394" s="17" t="str">
        <x:f>IF(AG394&gt;=1000,"High Value",IF(AG394&gt;=300,"Mid Value","Low Value"))</x:f>
        <x:v>High Value</x:v>
      </x:c>
      <x:c r="AL394" s="17" t="str">
        <x:f>IF(AND(AI394&gt;=1,I394&lt;=50),"Priority 1",IF(AND(AG394&gt;=1000,I394&lt;=60),"Priority 2",IF(I394&lt;=30,"Priority 3","Nurture")))</x:f>
        <x:v>Priority 2</x:v>
      </x:c>
    </x:row>
    <x:row r="395">
      <x:c r="A395" s="16" t="n">
        <x:v>7414</x:v>
      </x:c>
      <x:c r="B395" s="16" t="n">
        <x:v>1971</x:v>
      </x:c>
      <x:c r="C395" s="16" t="str">
        <x:v>Graduation</x:v>
      </x:c>
      <x:c r="D395" s="16" t="str">
        <x:v>Married</x:v>
      </x:c>
      <x:c r="E395" s="16" t="n">
        <x:v>43824</x:v>
      </x:c>
      <x:c r="F395" s="16" t="n">
        <x:v>1</x:v>
      </x:c>
      <x:c r="G395" s="16" t="n">
        <x:v>1</x:v>
      </x:c>
      <x:c r="H395" s="16" t="str">
        <x:v>15-09-2012</x:v>
      </x:c>
      <x:c r="I395" s="16" t="n">
        <x:v>18</x:v>
      </x:c>
      <x:c r="J395" s="16" t="n">
        <x:v>96</x:v>
      </x:c>
      <x:c r="K395" s="16" t="n">
        <x:v>1</x:v>
      </x:c>
      <x:c r="L395" s="16" t="n">
        <x:v>42</x:v>
      </x:c>
      <x:c r="M395" s="16" t="n">
        <x:v>12</x:v>
      </x:c>
      <x:c r="N395" s="16" t="n">
        <x:v>3</x:v>
      </x:c>
      <x:c r="O395" s="16" t="n">
        <x:v>32</x:v>
      </x:c>
      <x:c r="P395" s="16" t="n">
        <x:v>4</x:v>
      </x:c>
      <x:c r="Q395" s="16" t="n">
        <x:v>3</x:v>
      </x:c>
      <x:c r="R395" s="16" t="n">
        <x:v>1</x:v>
      </x:c>
      <x:c r="S395" s="16" t="n">
        <x:v>4</x:v>
      </x:c>
      <x:c r="T395" s="16" t="n">
        <x:v>8</x:v>
      </x:c>
      <x:c r="U395" s="16" t="n">
        <x:v>0</x:v>
      </x:c>
      <x:c r="V395" s="16" t="n">
        <x:v>0</x:v>
      </x:c>
      <x:c r="W395" s="16" t="n">
        <x:v>0</x:v>
      </x:c>
      <x:c r="X395" s="16" t="n">
        <x:v>0</x:v>
      </x:c>
      <x:c r="Y395" s="16" t="n">
        <x:v>0</x:v>
      </x:c>
      <x:c r="Z395" s="16" t="n">
        <x:v>0</x:v>
      </x:c>
      <x:c r="AA395" s="16" t="n">
        <x:v>3</x:v>
      </x:c>
      <x:c r="AB395" s="16" t="n">
        <x:v>11</x:v>
      </x:c>
      <x:c r="AC395" s="16" t="n">
        <x:v>0</x:v>
      </x:c>
      <x:c r="AD395" s="21" t="n">
        <x:f>IF(E395="",MEDIAN($E$2:$E$2237),E395)</x:f>
        <x:v>43824</x:v>
      </x:c>
      <x:c r="AE395" s="17" t="n">
        <x:f>2014-B395</x:f>
        <x:v>43</x:v>
      </x:c>
      <x:c r="AF395" s="17" t="n">
        <x:f>F395+G395</x:f>
        <x:v>2</x:v>
      </x:c>
      <x:c r="AG395" s="21" t="n">
        <x:f>SUM(J395:O395)</x:f>
        <x:v>186</x:v>
      </x:c>
      <x:c r="AH395" s="17" t="n">
        <x:f>SUM(Q395:S395)</x:f>
        <x:v>8</x:v>
      </x:c>
      <x:c r="AI395" s="17" t="n">
        <x:f>SUM(U395:Y395)</x:f>
        <x:v>0</x:v>
      </x:c>
      <x:c r="AJ395" s="17" t="str">
        <x:f>IF(AE395&lt;=34,"≤34",IF(AE395&lt;=44,"35–44",IF(AE395&lt;=54,"45–54",IF(AE395&lt;=64,"55–64","65+"))))</x:f>
        <x:v>35–44</x:v>
      </x:c>
      <x:c r="AK395" s="17" t="str">
        <x:f>IF(AG395&gt;=1000,"High Value",IF(AG395&gt;=300,"Mid Value","Low Value"))</x:f>
        <x:v>Low Value</x:v>
      </x:c>
      <x:c r="AL395" s="17" t="str">
        <x:f>IF(AND(AI395&gt;=1,I395&lt;=50),"Priority 1",IF(AND(AG395&gt;=1000,I395&lt;=60),"Priority 2",IF(I395&lt;=30,"Priority 3","Nurture")))</x:f>
        <x:v>Priority 3</x:v>
      </x:c>
    </x:row>
    <x:row r="396">
      <x:c r="A396" s="16" t="n">
        <x:v>6354</x:v>
      </x:c>
      <x:c r="B396" s="16" t="n">
        <x:v>1984</x:v>
      </x:c>
      <x:c r="C396" s="16" t="str">
        <x:v>Graduation</x:v>
      </x:c>
      <x:c r="D396" s="16" t="str">
        <x:v>Together</x:v>
      </x:c>
      <x:c r="E396" s="16" t="n">
        <x:v>15345</x:v>
      </x:c>
      <x:c r="F396" s="16" t="n">
        <x:v>1</x:v>
      </x:c>
      <x:c r="G396" s="16" t="n">
        <x:v>0</x:v>
      </x:c>
      <x:c r="H396" s="16" t="str">
        <x:v>31-08-2012</x:v>
      </x:c>
      <x:c r="I396" s="16" t="n">
        <x:v>51</x:v>
      </x:c>
      <x:c r="J396" s="16" t="n">
        <x:v>5</x:v>
      </x:c>
      <x:c r="K396" s="16" t="n">
        <x:v>2</x:v>
      </x:c>
      <x:c r="L396" s="16" t="n">
        <x:v>16</x:v>
      </x:c>
      <x:c r="M396" s="16" t="n">
        <x:v>3</x:v>
      </x:c>
      <x:c r="N396" s="16" t="n">
        <x:v>2</x:v>
      </x:c>
      <x:c r="O396" s="16" t="n">
        <x:v>19</x:v>
      </x:c>
      <x:c r="P396" s="16" t="n">
        <x:v>2</x:v>
      </x:c>
      <x:c r="Q396" s="16" t="n">
        <x:v>1</x:v>
      </x:c>
      <x:c r="R396" s="16" t="n">
        <x:v>1</x:v>
      </x:c>
      <x:c r="S396" s="16" t="n">
        <x:v>2</x:v>
      </x:c>
      <x:c r="T396" s="16" t="n">
        <x:v>8</x:v>
      </x:c>
      <x:c r="U396" s="16" t="n">
        <x:v>0</x:v>
      </x:c>
      <x:c r="V396" s="16" t="n">
        <x:v>0</x:v>
      </x:c>
      <x:c r="W396" s="16" t="n">
        <x:v>0</x:v>
      </x:c>
      <x:c r="X396" s="16" t="n">
        <x:v>0</x:v>
      </x:c>
      <x:c r="Y396" s="16" t="n">
        <x:v>0</x:v>
      </x:c>
      <x:c r="Z396" s="16" t="n">
        <x:v>0</x:v>
      </x:c>
      <x:c r="AA396" s="16" t="n">
        <x:v>3</x:v>
      </x:c>
      <x:c r="AB396" s="16" t="n">
        <x:v>11</x:v>
      </x:c>
      <x:c r="AC396" s="16" t="n">
        <x:v>1</x:v>
      </x:c>
      <x:c r="AD396" s="21" t="n">
        <x:f>IF(E396="",MEDIAN($E$2:$E$2237),E396)</x:f>
        <x:v>15345</x:v>
      </x:c>
      <x:c r="AE396" s="17" t="n">
        <x:f>2014-B396</x:f>
        <x:v>30</x:v>
      </x:c>
      <x:c r="AF396" s="17" t="n">
        <x:f>F396+G396</x:f>
        <x:v>1</x:v>
      </x:c>
      <x:c r="AG396" s="21" t="n">
        <x:f>SUM(J396:O396)</x:f>
        <x:v>47</x:v>
      </x:c>
      <x:c r="AH396" s="17" t="n">
        <x:f>SUM(Q396:S396)</x:f>
        <x:v>4</x:v>
      </x:c>
      <x:c r="AI396" s="17" t="n">
        <x:f>SUM(U396:Y396)</x:f>
        <x:v>0</x:v>
      </x:c>
      <x:c r="AJ396" s="17" t="str">
        <x:f>IF(AE396&lt;=34,"≤34",IF(AE396&lt;=44,"35–44",IF(AE396&lt;=54,"45–54",IF(AE396&lt;=64,"55–64","65+"))))</x:f>
        <x:v>≤34</x:v>
      </x:c>
      <x:c r="AK396" s="17" t="str">
        <x:f>IF(AG396&gt;=1000,"High Value",IF(AG396&gt;=300,"Mid Value","Low Value"))</x:f>
        <x:v>Low Value</x:v>
      </x:c>
      <x:c r="AL396" s="17" t="str">
        <x:f>IF(AND(AI396&gt;=1,I396&lt;=50),"Priority 1",IF(AND(AG396&gt;=1000,I396&lt;=60),"Priority 2",IF(I396&lt;=30,"Priority 3","Nurture")))</x:f>
        <x:v>Nurture</x:v>
      </x:c>
    </x:row>
    <x:row r="397">
      <x:c r="A397" s="16" t="n">
        <x:v>798</x:v>
      </x:c>
      <x:c r="B397" s="16" t="n">
        <x:v>1987</x:v>
      </x:c>
      <x:c r="C397" s="16" t="str">
        <x:v>Graduation</x:v>
      </x:c>
      <x:c r="D397" s="16" t="str">
        <x:v>Single</x:v>
      </x:c>
      <x:c r="E397" s="16" t="n">
        <x:v>23442</x:v>
      </x:c>
      <x:c r="F397" s="16" t="n">
        <x:v>1</x:v>
      </x:c>
      <x:c r="G397" s="16" t="n">
        <x:v>0</x:v>
      </x:c>
      <x:c r="H397" s="16" t="str">
        <x:v>24-12-2012</x:v>
      </x:c>
      <x:c r="I397" s="16" t="n">
        <x:v>71</x:v>
      </x:c>
      <x:c r="J397" s="16" t="n">
        <x:v>2</x:v>
      </x:c>
      <x:c r="K397" s="16" t="n">
        <x:v>0</x:v>
      </x:c>
      <x:c r="L397" s="16" t="n">
        <x:v>6</x:v>
      </x:c>
      <x:c r="M397" s="16" t="n">
        <x:v>8</x:v>
      </x:c>
      <x:c r="N397" s="16" t="n">
        <x:v>6</x:v>
      </x:c>
      <x:c r="O397" s="16" t="n">
        <x:v>5</x:v>
      </x:c>
      <x:c r="P397" s="16" t="n">
        <x:v>1</x:v>
      </x:c>
      <x:c r="Q397" s="16" t="n">
        <x:v>1</x:v>
      </x:c>
      <x:c r="R397" s="16" t="n">
        <x:v>0</x:v>
      </x:c>
      <x:c r="S397" s="16" t="n">
        <x:v>3</x:v>
      </x:c>
      <x:c r="T397" s="16" t="n">
        <x:v>7</x:v>
      </x:c>
      <x:c r="U397" s="16" t="n">
        <x:v>0</x:v>
      </x:c>
      <x:c r="V397" s="16" t="n">
        <x:v>0</x:v>
      </x:c>
      <x:c r="W397" s="16" t="n">
        <x:v>0</x:v>
      </x:c>
      <x:c r="X397" s="16" t="n">
        <x:v>0</x:v>
      </x:c>
      <x:c r="Y397" s="16" t="n">
        <x:v>0</x:v>
      </x:c>
      <x:c r="Z397" s="16" t="n">
        <x:v>0</x:v>
      </x:c>
      <x:c r="AA397" s="16" t="n">
        <x:v>3</x:v>
      </x:c>
      <x:c r="AB397" s="16" t="n">
        <x:v>11</x:v>
      </x:c>
      <x:c r="AC397" s="16" t="n">
        <x:v>0</x:v>
      </x:c>
      <x:c r="AD397" s="21" t="n">
        <x:f>IF(E397="",MEDIAN($E$2:$E$2237),E397)</x:f>
        <x:v>23442</x:v>
      </x:c>
      <x:c r="AE397" s="17" t="n">
        <x:f>2014-B397</x:f>
        <x:v>27</x:v>
      </x:c>
      <x:c r="AF397" s="17" t="n">
        <x:f>F397+G397</x:f>
        <x:v>1</x:v>
      </x:c>
      <x:c r="AG397" s="21" t="n">
        <x:f>SUM(J397:O397)</x:f>
        <x:v>27</x:v>
      </x:c>
      <x:c r="AH397" s="17" t="n">
        <x:f>SUM(Q397:S397)</x:f>
        <x:v>4</x:v>
      </x:c>
      <x:c r="AI397" s="17" t="n">
        <x:f>SUM(U397:Y397)</x:f>
        <x:v>0</x:v>
      </x:c>
      <x:c r="AJ397" s="17" t="str">
        <x:f>IF(AE397&lt;=34,"≤34",IF(AE397&lt;=44,"35–44",IF(AE397&lt;=54,"45–54",IF(AE397&lt;=64,"55–64","65+"))))</x:f>
        <x:v>≤34</x:v>
      </x:c>
      <x:c r="AK397" s="17" t="str">
        <x:f>IF(AG397&gt;=1000,"High Value",IF(AG397&gt;=300,"Mid Value","Low Value"))</x:f>
        <x:v>Low Value</x:v>
      </x:c>
      <x:c r="AL397" s="17" t="str">
        <x:f>IF(AND(AI397&gt;=1,I397&lt;=50),"Priority 1",IF(AND(AG397&gt;=1000,I397&lt;=60),"Priority 2",IF(I397&lt;=30,"Priority 3","Nurture")))</x:f>
        <x:v>Nurture</x:v>
      </x:c>
    </x:row>
    <x:row r="398">
      <x:c r="A398" s="16" t="n">
        <x:v>8213</x:v>
      </x:c>
      <x:c r="B398" s="16" t="n">
        <x:v>1980</x:v>
      </x:c>
      <x:c r="C398" s="16" t="str">
        <x:v>2n Cycle</x:v>
      </x:c>
      <x:c r="D398" s="16" t="str">
        <x:v>Together</x:v>
      </x:c>
      <x:c r="E398" s="16" t="n">
        <x:v>14515</x:v>
      </x:c>
      <x:c r="F398" s="16" t="n">
        <x:v>1</x:v>
      </x:c>
      <x:c r="G398" s="16" t="n">
        <x:v>0</x:v>
      </x:c>
      <x:c r="H398" s="16" t="str">
        <x:v>09-11-2012</x:v>
      </x:c>
      <x:c r="I398" s="16" t="n">
        <x:v>71</x:v>
      </x:c>
      <x:c r="J398" s="16" t="n">
        <x:v>6</x:v>
      </x:c>
      <x:c r="K398" s="16" t="n">
        <x:v>4</x:v>
      </x:c>
      <x:c r="L398" s="16" t="n">
        <x:v>9</x:v>
      </x:c>
      <x:c r="M398" s="16" t="n">
        <x:v>6</x:v>
      </x:c>
      <x:c r="N398" s="16" t="n">
        <x:v>36</x:v>
      </x:c>
      <x:c r="O398" s="16" t="n">
        <x:v>35</x:v>
      </x:c>
      <x:c r="P398" s="16" t="n">
        <x:v>4</x:v>
      </x:c>
      <x:c r="Q398" s="16" t="n">
        <x:v>2</x:v>
      </x:c>
      <x:c r="R398" s="16" t="n">
        <x:v>2</x:v>
      </x:c>
      <x:c r="S398" s="16" t="n">
        <x:v>3</x:v>
      </x:c>
      <x:c r="T398" s="16" t="n">
        <x:v>7</x:v>
      </x:c>
      <x:c r="U398" s="16" t="n">
        <x:v>0</x:v>
      </x:c>
      <x:c r="V398" s="16" t="n">
        <x:v>0</x:v>
      </x:c>
      <x:c r="W398" s="16" t="n">
        <x:v>0</x:v>
      </x:c>
      <x:c r="X398" s="16" t="n">
        <x:v>0</x:v>
      </x:c>
      <x:c r="Y398" s="16" t="n">
        <x:v>0</x:v>
      </x:c>
      <x:c r="Z398" s="16" t="n">
        <x:v>0</x:v>
      </x:c>
      <x:c r="AA398" s="16" t="n">
        <x:v>3</x:v>
      </x:c>
      <x:c r="AB398" s="16" t="n">
        <x:v>11</x:v>
      </x:c>
      <x:c r="AC398" s="16" t="n">
        <x:v>1</x:v>
      </x:c>
      <x:c r="AD398" s="21" t="n">
        <x:f>IF(E398="",MEDIAN($E$2:$E$2237),E398)</x:f>
        <x:v>14515</x:v>
      </x:c>
      <x:c r="AE398" s="17" t="n">
        <x:f>2014-B398</x:f>
        <x:v>34</x:v>
      </x:c>
      <x:c r="AF398" s="17" t="n">
        <x:f>F398+G398</x:f>
        <x:v>1</x:v>
      </x:c>
      <x:c r="AG398" s="21" t="n">
        <x:f>SUM(J398:O398)</x:f>
        <x:v>96</x:v>
      </x:c>
      <x:c r="AH398" s="17" t="n">
        <x:f>SUM(Q398:S398)</x:f>
        <x:v>7</x:v>
      </x:c>
      <x:c r="AI398" s="17" t="n">
        <x:f>SUM(U398:Y398)</x:f>
        <x:v>0</x:v>
      </x:c>
      <x:c r="AJ398" s="17" t="str">
        <x:f>IF(AE398&lt;=34,"≤34",IF(AE398&lt;=44,"35–44",IF(AE398&lt;=54,"45–54",IF(AE398&lt;=64,"55–64","65+"))))</x:f>
        <x:v>≤34</x:v>
      </x:c>
      <x:c r="AK398" s="17" t="str">
        <x:f>IF(AG398&gt;=1000,"High Value",IF(AG398&gt;=300,"Mid Value","Low Value"))</x:f>
        <x:v>Low Value</x:v>
      </x:c>
      <x:c r="AL398" s="17" t="str">
        <x:f>IF(AND(AI398&gt;=1,I398&lt;=50),"Priority 1",IF(AND(AG398&gt;=1000,I398&lt;=60),"Priority 2",IF(I398&lt;=30,"Priority 3","Nurture")))</x:f>
        <x:v>Nurture</x:v>
      </x:c>
    </x:row>
    <x:row r="399">
      <x:c r="A399" s="16" t="n">
        <x:v>2488</x:v>
      </x:c>
      <x:c r="B399" s="16" t="n">
        <x:v>1956</x:v>
      </x:c>
      <x:c r="C399" s="16" t="str">
        <x:v>2n Cycle</x:v>
      </x:c>
      <x:c r="D399" s="16" t="str">
        <x:v>Divorced</x:v>
      </x:c>
      <x:c r="E399" s="16" t="n">
        <x:v>31395</x:v>
      </x:c>
      <x:c r="F399" s="16" t="n">
        <x:v>1</x:v>
      </x:c>
      <x:c r="G399" s="16" t="n">
        <x:v>1</x:v>
      </x:c>
      <x:c r="H399" s="16" t="str">
        <x:v>23-03-2013</x:v>
      </x:c>
      <x:c r="I399" s="16" t="n">
        <x:v>80</x:v>
      </x:c>
      <x:c r="J399" s="16" t="n">
        <x:v>23</x:v>
      </x:c>
      <x:c r="K399" s="16" t="n">
        <x:v>1</x:v>
      </x:c>
      <x:c r="L399" s="16" t="n">
        <x:v>25</x:v>
      </x:c>
      <x:c r="M399" s="16" t="n">
        <x:v>0</x:v>
      </x:c>
      <x:c r="N399" s="16" t="n">
        <x:v>8</x:v>
      </x:c>
      <x:c r="O399" s="16" t="n">
        <x:v>7</x:v>
      </x:c>
      <x:c r="P399" s="16" t="n">
        <x:v>4</x:v>
      </x:c>
      <x:c r="Q399" s="16" t="n">
        <x:v>2</x:v>
      </x:c>
      <x:c r="R399" s="16" t="n">
        <x:v>1</x:v>
      </x:c>
      <x:c r="S399" s="16" t="n">
        <x:v>3</x:v>
      </x:c>
      <x:c r="T399" s="16" t="n">
        <x:v>6</x:v>
      </x:c>
      <x:c r="U399" s="16" t="n">
        <x:v>0</x:v>
      </x:c>
      <x:c r="V399" s="16" t="n">
        <x:v>0</x:v>
      </x:c>
      <x:c r="W399" s="16" t="n">
        <x:v>0</x:v>
      </x:c>
      <x:c r="X399" s="16" t="n">
        <x:v>0</x:v>
      </x:c>
      <x:c r="Y399" s="16" t="n">
        <x:v>0</x:v>
      </x:c>
      <x:c r="Z399" s="16" t="n">
        <x:v>0</x:v>
      </x:c>
      <x:c r="AA399" s="16" t="n">
        <x:v>3</x:v>
      </x:c>
      <x:c r="AB399" s="16" t="n">
        <x:v>11</x:v>
      </x:c>
      <x:c r="AC399" s="16" t="n">
        <x:v>0</x:v>
      </x:c>
      <x:c r="AD399" s="21" t="n">
        <x:f>IF(E399="",MEDIAN($E$2:$E$2237),E399)</x:f>
        <x:v>31395</x:v>
      </x:c>
      <x:c r="AE399" s="17" t="n">
        <x:f>2014-B399</x:f>
        <x:v>58</x:v>
      </x:c>
      <x:c r="AF399" s="17" t="n">
        <x:f>F399+G399</x:f>
        <x:v>2</x:v>
      </x:c>
      <x:c r="AG399" s="21" t="n">
        <x:f>SUM(J399:O399)</x:f>
        <x:v>64</x:v>
      </x:c>
      <x:c r="AH399" s="17" t="n">
        <x:f>SUM(Q399:S399)</x:f>
        <x:v>6</x:v>
      </x:c>
      <x:c r="AI399" s="17" t="n">
        <x:f>SUM(U399:Y399)</x:f>
        <x:v>0</x:v>
      </x:c>
      <x:c r="AJ399" s="17" t="str">
        <x:f>IF(AE399&lt;=34,"≤34",IF(AE399&lt;=44,"35–44",IF(AE399&lt;=54,"45–54",IF(AE399&lt;=64,"55–64","65+"))))</x:f>
        <x:v>55–64</x:v>
      </x:c>
      <x:c r="AK399" s="17" t="str">
        <x:f>IF(AG399&gt;=1000,"High Value",IF(AG399&gt;=300,"Mid Value","Low Value"))</x:f>
        <x:v>Low Value</x:v>
      </x:c>
      <x:c r="AL399" s="17" t="str">
        <x:f>IF(AND(AI399&gt;=1,I399&lt;=50),"Priority 1",IF(AND(AG399&gt;=1000,I399&lt;=60),"Priority 2",IF(I399&lt;=30,"Priority 3","Nurture")))</x:f>
        <x:v>Nurture</x:v>
      </x:c>
    </x:row>
    <x:row r="400">
      <x:c r="A400" s="16" t="n">
        <x:v>9999</x:v>
      </x:c>
      <x:c r="B400" s="16" t="n">
        <x:v>1965</x:v>
      </x:c>
      <x:c r="C400" s="16" t="str">
        <x:v>Graduation</x:v>
      </x:c>
      <x:c r="D400" s="16" t="str">
        <x:v>Together</x:v>
      </x:c>
      <x:c r="E400" s="16" t="n">
        <x:v>75276</x:v>
      </x:c>
      <x:c r="F400" s="16" t="n">
        <x:v>0</x:v>
      </x:c>
      <x:c r="G400" s="16" t="n">
        <x:v>0</x:v>
      </x:c>
      <x:c r="H400" s="16" t="str">
        <x:v>27-09-2012</x:v>
      </x:c>
      <x:c r="I400" s="16" t="n">
        <x:v>2</x:v>
      </x:c>
      <x:c r="J400" s="16" t="n">
        <x:v>610</x:v>
      </x:c>
      <x:c r="K400" s="16" t="n">
        <x:v>105</x:v>
      </x:c>
      <x:c r="L400" s="16" t="n">
        <x:v>125</x:v>
      </x:c>
      <x:c r="M400" s="16" t="n">
        <x:v>137</x:v>
      </x:c>
      <x:c r="N400" s="16" t="n">
        <x:v>42</x:v>
      </x:c>
      <x:c r="O400" s="16" t="n">
        <x:v>21</x:v>
      </x:c>
      <x:c r="P400" s="16" t="n">
        <x:v>1</x:v>
      </x:c>
      <x:c r="Q400" s="16" t="n">
        <x:v>9</x:v>
      </x:c>
      <x:c r="R400" s="16" t="n">
        <x:v>4</x:v>
      </x:c>
      <x:c r="S400" s="16" t="n">
        <x:v>9</x:v>
      </x:c>
      <x:c r="T400" s="16" t="n">
        <x:v>5</x:v>
      </x:c>
      <x:c r="U400" s="16" t="n">
        <x:v>0</x:v>
      </x:c>
      <x:c r="V400" s="16" t="n">
        <x:v>0</x:v>
      </x:c>
      <x:c r="W400" s="16" t="n">
        <x:v>0</x:v>
      </x:c>
      <x:c r="X400" s="16" t="n">
        <x:v>0</x:v>
      </x:c>
      <x:c r="Y400" s="16" t="n">
        <x:v>0</x:v>
      </x:c>
      <x:c r="Z400" s="16" t="n">
        <x:v>0</x:v>
      </x:c>
      <x:c r="AA400" s="16" t="n">
        <x:v>3</x:v>
      </x:c>
      <x:c r="AB400" s="16" t="n">
        <x:v>11</x:v>
      </x:c>
      <x:c r="AC400" s="16" t="n">
        <x:v>0</x:v>
      </x:c>
      <x:c r="AD400" s="21" t="n">
        <x:f>IF(E400="",MEDIAN($E$2:$E$2237),E400)</x:f>
        <x:v>75276</x:v>
      </x:c>
      <x:c r="AE400" s="17" t="n">
        <x:f>2014-B400</x:f>
        <x:v>49</x:v>
      </x:c>
      <x:c r="AF400" s="17" t="n">
        <x:f>F400+G400</x:f>
        <x:v>0</x:v>
      </x:c>
      <x:c r="AG400" s="21" t="n">
        <x:f>SUM(J400:O400)</x:f>
        <x:v>1040</x:v>
      </x:c>
      <x:c r="AH400" s="17" t="n">
        <x:f>SUM(Q400:S400)</x:f>
        <x:v>22</x:v>
      </x:c>
      <x:c r="AI400" s="17" t="n">
        <x:f>SUM(U400:Y400)</x:f>
        <x:v>0</x:v>
      </x:c>
      <x:c r="AJ400" s="17" t="str">
        <x:f>IF(AE400&lt;=34,"≤34",IF(AE400&lt;=44,"35–44",IF(AE400&lt;=54,"45–54",IF(AE400&lt;=64,"55–64","65+"))))</x:f>
        <x:v>45–54</x:v>
      </x:c>
      <x:c r="AK400" s="17" t="str">
        <x:f>IF(AG400&gt;=1000,"High Value",IF(AG400&gt;=300,"Mid Value","Low Value"))</x:f>
        <x:v>High Value</x:v>
      </x:c>
      <x:c r="AL400" s="17" t="str">
        <x:f>IF(AND(AI400&gt;=1,I400&lt;=50),"Priority 1",IF(AND(AG400&gt;=1000,I400&lt;=60),"Priority 2",IF(I400&lt;=30,"Priority 3","Nurture")))</x:f>
        <x:v>Priority 2</x:v>
      </x:c>
    </x:row>
    <x:row r="401">
      <x:c r="A401" s="16" t="n">
        <x:v>7617</x:v>
      </x:c>
      <x:c r="B401" s="16" t="n">
        <x:v>1974</x:v>
      </x:c>
      <x:c r="C401" s="16" t="str">
        <x:v>Graduation</x:v>
      </x:c>
      <x:c r="D401" s="16" t="str">
        <x:v>Single</x:v>
      </x:c>
      <x:c r="E401" s="16" t="n">
        <x:v>42373</x:v>
      </x:c>
      <x:c r="F401" s="16" t="n">
        <x:v>1</x:v>
      </x:c>
      <x:c r="G401" s="16" t="n">
        <x:v>1</x:v>
      </x:c>
      <x:c r="H401" s="16" t="str">
        <x:v>15-08-2013</x:v>
      </x:c>
      <x:c r="I401" s="16" t="n">
        <x:v>83</x:v>
      </x:c>
      <x:c r="J401" s="16" t="n">
        <x:v>67</x:v>
      </x:c>
      <x:c r="K401" s="16" t="n">
        <x:v>5</x:v>
      </x:c>
      <x:c r="L401" s="16" t="n">
        <x:v>61</x:v>
      </x:c>
      <x:c r="M401" s="16" t="n">
        <x:v>3</x:v>
      </x:c>
      <x:c r="N401" s="16" t="n">
        <x:v>8</x:v>
      </x:c>
      <x:c r="O401" s="16" t="n">
        <x:v>19</x:v>
      </x:c>
      <x:c r="P401" s="16" t="n">
        <x:v>5</x:v>
      </x:c>
      <x:c r="Q401" s="16" t="n">
        <x:v>2</x:v>
      </x:c>
      <x:c r="R401" s="16" t="n">
        <x:v>1</x:v>
      </x:c>
      <x:c r="S401" s="16" t="n">
        <x:v>5</x:v>
      </x:c>
      <x:c r="T401" s="16" t="n">
        <x:v>5</x:v>
      </x:c>
      <x:c r="U401" s="16" t="n">
        <x:v>0</x:v>
      </x:c>
      <x:c r="V401" s="16" t="n">
        <x:v>0</x:v>
      </x:c>
      <x:c r="W401" s="16" t="n">
        <x:v>0</x:v>
      </x:c>
      <x:c r="X401" s="16" t="n">
        <x:v>0</x:v>
      </x:c>
      <x:c r="Y401" s="16" t="n">
        <x:v>0</x:v>
      </x:c>
      <x:c r="Z401" s="16" t="n">
        <x:v>0</x:v>
      </x:c>
      <x:c r="AA401" s="16" t="n">
        <x:v>3</x:v>
      </x:c>
      <x:c r="AB401" s="16" t="n">
        <x:v>11</x:v>
      </x:c>
      <x:c r="AC401" s="16" t="n">
        <x:v>0</x:v>
      </x:c>
      <x:c r="AD401" s="21" t="n">
        <x:f>IF(E401="",MEDIAN($E$2:$E$2237),E401)</x:f>
        <x:v>42373</x:v>
      </x:c>
      <x:c r="AE401" s="17" t="n">
        <x:f>2014-B401</x:f>
        <x:v>40</x:v>
      </x:c>
      <x:c r="AF401" s="17" t="n">
        <x:f>F401+G401</x:f>
        <x:v>2</x:v>
      </x:c>
      <x:c r="AG401" s="21" t="n">
        <x:f>SUM(J401:O401)</x:f>
        <x:v>163</x:v>
      </x:c>
      <x:c r="AH401" s="17" t="n">
        <x:f>SUM(Q401:S401)</x:f>
        <x:v>8</x:v>
      </x:c>
      <x:c r="AI401" s="17" t="n">
        <x:f>SUM(U401:Y401)</x:f>
        <x:v>0</x:v>
      </x:c>
      <x:c r="AJ401" s="17" t="str">
        <x:f>IF(AE401&lt;=34,"≤34",IF(AE401&lt;=44,"35–44",IF(AE401&lt;=54,"45–54",IF(AE401&lt;=64,"55–64","65+"))))</x:f>
        <x:v>35–44</x:v>
      </x:c>
      <x:c r="AK401" s="17" t="str">
        <x:f>IF(AG401&gt;=1000,"High Value",IF(AG401&gt;=300,"Mid Value","Low Value"))</x:f>
        <x:v>Low Value</x:v>
      </x:c>
      <x:c r="AL401" s="17" t="str">
        <x:f>IF(AND(AI401&gt;=1,I401&lt;=50),"Priority 1",IF(AND(AG401&gt;=1000,I401&lt;=60),"Priority 2",IF(I401&lt;=30,"Priority 3","Nurture")))</x:f>
        <x:v>Nurture</x:v>
      </x:c>
    </x:row>
    <x:row r="402">
      <x:c r="A402" s="16" t="n">
        <x:v>615</x:v>
      </x:c>
      <x:c r="B402" s="16" t="n">
        <x:v>1960</x:v>
      </x:c>
      <x:c r="C402" s="16" t="str">
        <x:v>Graduation</x:v>
      </x:c>
      <x:c r="D402" s="16" t="str">
        <x:v>Together</x:v>
      </x:c>
      <x:c r="E402" s="16" t="n">
        <x:v>30507</x:v>
      </x:c>
      <x:c r="F402" s="16" t="n">
        <x:v>0</x:v>
      </x:c>
      <x:c r="G402" s="16" t="n">
        <x:v>0</x:v>
      </x:c>
      <x:c r="H402" s="16" t="str">
        <x:v>11-03-2013</x:v>
      </x:c>
      <x:c r="I402" s="16" t="n">
        <x:v>29</x:v>
      </x:c>
      <x:c r="J402" s="16" t="n">
        <x:v>65</x:v>
      </x:c>
      <x:c r="K402" s="16" t="n">
        <x:v>36</x:v>
      </x:c>
      <x:c r="L402" s="16" t="n">
        <x:v>74</x:v>
      </x:c>
      <x:c r="M402" s="16" t="n">
        <x:v>38</x:v>
      </x:c>
      <x:c r="N402" s="16" t="n">
        <x:v>20</x:v>
      </x:c>
      <x:c r="O402" s="16" t="n">
        <x:v>110</x:v>
      </x:c>
      <x:c r="P402" s="16" t="n">
        <x:v>1</x:v>
      </x:c>
      <x:c r="Q402" s="16" t="n">
        <x:v>5</x:v>
      </x:c>
      <x:c r="R402" s="16" t="n">
        <x:v>1</x:v>
      </x:c>
      <x:c r="S402" s="16" t="n">
        <x:v>4</x:v>
      </x:c>
      <x:c r="T402" s="16" t="n">
        <x:v>7</x:v>
      </x:c>
      <x:c r="U402" s="16" t="n">
        <x:v>0</x:v>
      </x:c>
      <x:c r="V402" s="16" t="n">
        <x:v>0</x:v>
      </x:c>
      <x:c r="W402" s="16" t="n">
        <x:v>0</x:v>
      </x:c>
      <x:c r="X402" s="16" t="n">
        <x:v>0</x:v>
      </x:c>
      <x:c r="Y402" s="16" t="n">
        <x:v>0</x:v>
      </x:c>
      <x:c r="Z402" s="16" t="n">
        <x:v>0</x:v>
      </x:c>
      <x:c r="AA402" s="16" t="n">
        <x:v>3</x:v>
      </x:c>
      <x:c r="AB402" s="16" t="n">
        <x:v>11</x:v>
      </x:c>
      <x:c r="AC402" s="16" t="n">
        <x:v>0</x:v>
      </x:c>
      <x:c r="AD402" s="21" t="n">
        <x:f>IF(E402="",MEDIAN($E$2:$E$2237),E402)</x:f>
        <x:v>30507</x:v>
      </x:c>
      <x:c r="AE402" s="17" t="n">
        <x:f>2014-B402</x:f>
        <x:v>54</x:v>
      </x:c>
      <x:c r="AF402" s="17" t="n">
        <x:f>F402+G402</x:f>
        <x:v>0</x:v>
      </x:c>
      <x:c r="AG402" s="21" t="n">
        <x:f>SUM(J402:O402)</x:f>
        <x:v>343</x:v>
      </x:c>
      <x:c r="AH402" s="17" t="n">
        <x:f>SUM(Q402:S402)</x:f>
        <x:v>10</x:v>
      </x:c>
      <x:c r="AI402" s="17" t="n">
        <x:f>SUM(U402:Y402)</x:f>
        <x:v>0</x:v>
      </x:c>
      <x:c r="AJ402" s="17" t="str">
        <x:f>IF(AE402&lt;=34,"≤34",IF(AE402&lt;=44,"35–44",IF(AE402&lt;=54,"45–54",IF(AE402&lt;=64,"55–64","65+"))))</x:f>
        <x:v>45–54</x:v>
      </x:c>
      <x:c r="AK402" s="17" t="str">
        <x:f>IF(AG402&gt;=1000,"High Value",IF(AG402&gt;=300,"Mid Value","Low Value"))</x:f>
        <x:v>Mid Value</x:v>
      </x:c>
      <x:c r="AL402" s="17" t="str">
        <x:f>IF(AND(AI402&gt;=1,I402&lt;=50),"Priority 1",IF(AND(AG402&gt;=1000,I402&lt;=60),"Priority 2",IF(I402&lt;=30,"Priority 3","Nurture")))</x:f>
        <x:v>Priority 3</x:v>
      </x:c>
    </x:row>
    <x:row r="403">
      <x:c r="A403" s="16" t="n">
        <x:v>2552</x:v>
      </x:c>
      <x:c r="B403" s="16" t="n">
        <x:v>1955</x:v>
      </x:c>
      <x:c r="C403" s="16" t="str">
        <x:v>PhD</x:v>
      </x:c>
      <x:c r="D403" s="16" t="str">
        <x:v>Single</x:v>
      </x:c>
      <x:c r="E403" s="16" t="n">
        <x:v>55521</x:v>
      </x:c>
      <x:c r="F403" s="16" t="n">
        <x:v>1</x:v>
      </x:c>
      <x:c r="G403" s="16" t="n">
        <x:v>2</x:v>
      </x:c>
      <x:c r="H403" s="16" t="str">
        <x:v>22-10-2013</x:v>
      </x:c>
      <x:c r="I403" s="16" t="n">
        <x:v>11</x:v>
      </x:c>
      <x:c r="J403" s="16" t="n">
        <x:v>416</x:v>
      </x:c>
      <x:c r="K403" s="16" t="n">
        <x:v>0</x:v>
      </x:c>
      <x:c r="L403" s="16" t="n">
        <x:v>26</x:v>
      </x:c>
      <x:c r="M403" s="16" t="n">
        <x:v>0</x:v>
      </x:c>
      <x:c r="N403" s="16" t="n">
        <x:v>0</x:v>
      </x:c>
      <x:c r="O403" s="16" t="n">
        <x:v>4</x:v>
      </x:c>
      <x:c r="P403" s="16" t="n">
        <x:v>9</x:v>
      </x:c>
      <x:c r="Q403" s="16" t="n">
        <x:v>6</x:v>
      </x:c>
      <x:c r="R403" s="16" t="n">
        <x:v>3</x:v>
      </x:c>
      <x:c r="S403" s="16" t="n">
        <x:v>6</x:v>
      </x:c>
      <x:c r="T403" s="16" t="n">
        <x:v>7</x:v>
      </x:c>
      <x:c r="U403" s="16" t="n">
        <x:v>0</x:v>
      </x:c>
      <x:c r="V403" s="16" t="n">
        <x:v>1</x:v>
      </x:c>
      <x:c r="W403" s="16" t="n">
        <x:v>0</x:v>
      </x:c>
      <x:c r="X403" s="16" t="n">
        <x:v>0</x:v>
      </x:c>
      <x:c r="Y403" s="16" t="n">
        <x:v>0</x:v>
      </x:c>
      <x:c r="Z403" s="16" t="n">
        <x:v>0</x:v>
      </x:c>
      <x:c r="AA403" s="16" t="n">
        <x:v>3</x:v>
      </x:c>
      <x:c r="AB403" s="16" t="n">
        <x:v>11</x:v>
      </x:c>
      <x:c r="AC403" s="16" t="n">
        <x:v>1</x:v>
      </x:c>
      <x:c r="AD403" s="21" t="n">
        <x:f>IF(E403="",MEDIAN($E$2:$E$2237),E403)</x:f>
        <x:v>55521</x:v>
      </x:c>
      <x:c r="AE403" s="17" t="n">
        <x:f>2014-B403</x:f>
        <x:v>59</x:v>
      </x:c>
      <x:c r="AF403" s="17" t="n">
        <x:f>F403+G403</x:f>
        <x:v>3</x:v>
      </x:c>
      <x:c r="AG403" s="21" t="n">
        <x:f>SUM(J403:O403)</x:f>
        <x:v>446</x:v>
      </x:c>
      <x:c r="AH403" s="17" t="n">
        <x:f>SUM(Q403:S403)</x:f>
        <x:v>15</x:v>
      </x:c>
      <x:c r="AI403" s="17" t="n">
        <x:f>SUM(U403:Y403)</x:f>
        <x:v>1</x:v>
      </x:c>
      <x:c r="AJ403" s="17" t="str">
        <x:f>IF(AE403&lt;=34,"≤34",IF(AE403&lt;=44,"35–44",IF(AE403&lt;=54,"45–54",IF(AE403&lt;=64,"55–64","65+"))))</x:f>
        <x:v>55–64</x:v>
      </x:c>
      <x:c r="AK403" s="17" t="str">
        <x:f>IF(AG403&gt;=1000,"High Value",IF(AG403&gt;=300,"Mid Value","Low Value"))</x:f>
        <x:v>Mid Value</x:v>
      </x:c>
      <x:c r="AL403" s="17" t="str">
        <x:f>IF(AND(AI403&gt;=1,I403&lt;=50),"Priority 1",IF(AND(AG403&gt;=1000,I403&lt;=60),"Priority 2",IF(I403&lt;=30,"Priority 3","Nurture")))</x:f>
        <x:v>Priority 1</x:v>
      </x:c>
    </x:row>
    <x:row r="404">
      <x:c r="A404" s="16" t="n">
        <x:v>194</x:v>
      </x:c>
      <x:c r="B404" s="16" t="n">
        <x:v>1965</x:v>
      </x:c>
      <x:c r="C404" s="16" t="str">
        <x:v>Graduation</x:v>
      </x:c>
      <x:c r="D404" s="16" t="str">
        <x:v>Married</x:v>
      </x:c>
      <x:c r="E404" s="16" t="n">
        <x:v>48006</x:v>
      </x:c>
      <x:c r="F404" s="16" t="n">
        <x:v>1</x:v>
      </x:c>
      <x:c r="G404" s="16" t="n">
        <x:v>1</x:v>
      </x:c>
      <x:c r="H404" s="16" t="str">
        <x:v>09-06-2014</x:v>
      </x:c>
      <x:c r="I404" s="16" t="n">
        <x:v>55</x:v>
      </x:c>
      <x:c r="J404" s="16" t="n">
        <x:v>23</x:v>
      </x:c>
      <x:c r="K404" s="16" t="n">
        <x:v>0</x:v>
      </x:c>
      <x:c r="L404" s="16" t="n">
        <x:v>11</x:v>
      </x:c>
      <x:c r="M404" s="16" t="n">
        <x:v>3</x:v>
      </x:c>
      <x:c r="N404" s="16" t="n">
        <x:v>2</x:v>
      </x:c>
      <x:c r="O404" s="16" t="n">
        <x:v>2</x:v>
      </x:c>
      <x:c r="P404" s="16" t="n">
        <x:v>1</x:v>
      </x:c>
      <x:c r="Q404" s="16" t="n">
        <x:v>1</x:v>
      </x:c>
      <x:c r="R404" s="16" t="n">
        <x:v>0</x:v>
      </x:c>
      <x:c r="S404" s="16" t="n">
        <x:v>3</x:v>
      </x:c>
      <x:c r="T404" s="16" t="n">
        <x:v>6</x:v>
      </x:c>
      <x:c r="U404" s="16" t="n">
        <x:v>0</x:v>
      </x:c>
      <x:c r="V404" s="16" t="n">
        <x:v>0</x:v>
      </x:c>
      <x:c r="W404" s="16" t="n">
        <x:v>0</x:v>
      </x:c>
      <x:c r="X404" s="16" t="n">
        <x:v>0</x:v>
      </x:c>
      <x:c r="Y404" s="16" t="n">
        <x:v>0</x:v>
      </x:c>
      <x:c r="Z404" s="16" t="n">
        <x:v>0</x:v>
      </x:c>
      <x:c r="AA404" s="16" t="n">
        <x:v>3</x:v>
      </x:c>
      <x:c r="AB404" s="16" t="n">
        <x:v>11</x:v>
      </x:c>
      <x:c r="AC404" s="16" t="n">
        <x:v>0</x:v>
      </x:c>
      <x:c r="AD404" s="21" t="n">
        <x:f>IF(E404="",MEDIAN($E$2:$E$2237),E404)</x:f>
        <x:v>48006</x:v>
      </x:c>
      <x:c r="AE404" s="17" t="n">
        <x:f>2014-B404</x:f>
        <x:v>49</x:v>
      </x:c>
      <x:c r="AF404" s="17" t="n">
        <x:f>F404+G404</x:f>
        <x:v>2</x:v>
      </x:c>
      <x:c r="AG404" s="21" t="n">
        <x:f>SUM(J404:O404)</x:f>
        <x:v>41</x:v>
      </x:c>
      <x:c r="AH404" s="17" t="n">
        <x:f>SUM(Q404:S404)</x:f>
        <x:v>4</x:v>
      </x:c>
      <x:c r="AI404" s="17" t="n">
        <x:f>SUM(U404:Y404)</x:f>
        <x:v>0</x:v>
      </x:c>
      <x:c r="AJ404" s="17" t="str">
        <x:f>IF(AE404&lt;=34,"≤34",IF(AE404&lt;=44,"35–44",IF(AE404&lt;=54,"45–54",IF(AE404&lt;=64,"55–64","65+"))))</x:f>
        <x:v>45–54</x:v>
      </x:c>
      <x:c r="AK404" s="17" t="str">
        <x:f>IF(AG404&gt;=1000,"High Value",IF(AG404&gt;=300,"Mid Value","Low Value"))</x:f>
        <x:v>Low Value</x:v>
      </x:c>
      <x:c r="AL404" s="17" t="str">
        <x:f>IF(AND(AI404&gt;=1,I404&lt;=50),"Priority 1",IF(AND(AG404&gt;=1000,I404&lt;=60),"Priority 2",IF(I404&lt;=30,"Priority 3","Nurture")))</x:f>
        <x:v>Nurture</x:v>
      </x:c>
    </x:row>
    <x:row r="405">
      <x:c r="A405" s="16" t="n">
        <x:v>3645</x:v>
      </x:c>
      <x:c r="B405" s="16" t="n">
        <x:v>1972</x:v>
      </x:c>
      <x:c r="C405" s="16" t="str">
        <x:v>PhD</x:v>
      </x:c>
      <x:c r="D405" s="16" t="str">
        <x:v>Single</x:v>
      </x:c>
      <x:c r="E405" s="16" t="n">
        <x:v>27213</x:v>
      </x:c>
      <x:c r="F405" s="16" t="n">
        <x:v>1</x:v>
      </x:c>
      <x:c r="G405" s="16" t="n">
        <x:v>0</x:v>
      </x:c>
      <x:c r="H405" s="16" t="str">
        <x:v>30-08-2012</x:v>
      </x:c>
      <x:c r="I405" s="16" t="n">
        <x:v>19</x:v>
      </x:c>
      <x:c r="J405" s="16" t="n">
        <x:v>19</x:v>
      </x:c>
      <x:c r="K405" s="16" t="n">
        <x:v>3</x:v>
      </x:c>
      <x:c r="L405" s="16" t="n">
        <x:v>26</x:v>
      </x:c>
      <x:c r="M405" s="16" t="n">
        <x:v>10</x:v>
      </x:c>
      <x:c r="N405" s="16" t="n">
        <x:v>9</x:v>
      </x:c>
      <x:c r="O405" s="16" t="n">
        <x:v>3</x:v>
      </x:c>
      <x:c r="P405" s="16" t="n">
        <x:v>3</x:v>
      </x:c>
      <x:c r="Q405" s="16" t="n">
        <x:v>2</x:v>
      </x:c>
      <x:c r="R405" s="16" t="n">
        <x:v>0</x:v>
      </x:c>
      <x:c r="S405" s="16" t="n">
        <x:v>4</x:v>
      </x:c>
      <x:c r="T405" s="16" t="n">
        <x:v>8</x:v>
      </x:c>
      <x:c r="U405" s="16" t="n">
        <x:v>0</x:v>
      </x:c>
      <x:c r="V405" s="16" t="n">
        <x:v>0</x:v>
      </x:c>
      <x:c r="W405" s="16" t="n">
        <x:v>0</x:v>
      </x:c>
      <x:c r="X405" s="16" t="n">
        <x:v>0</x:v>
      </x:c>
      <x:c r="Y405" s="16" t="n">
        <x:v>0</x:v>
      </x:c>
      <x:c r="Z405" s="16" t="n">
        <x:v>0</x:v>
      </x:c>
      <x:c r="AA405" s="16" t="n">
        <x:v>3</x:v>
      </x:c>
      <x:c r="AB405" s="16" t="n">
        <x:v>11</x:v>
      </x:c>
      <x:c r="AC405" s="16" t="n">
        <x:v>1</x:v>
      </x:c>
      <x:c r="AD405" s="21" t="n">
        <x:f>IF(E405="",MEDIAN($E$2:$E$2237),E405)</x:f>
        <x:v>27213</x:v>
      </x:c>
      <x:c r="AE405" s="17" t="n">
        <x:f>2014-B405</x:f>
        <x:v>42</x:v>
      </x:c>
      <x:c r="AF405" s="17" t="n">
        <x:f>F405+G405</x:f>
        <x:v>1</x:v>
      </x:c>
      <x:c r="AG405" s="21" t="n">
        <x:f>SUM(J405:O405)</x:f>
        <x:v>70</x:v>
      </x:c>
      <x:c r="AH405" s="17" t="n">
        <x:f>SUM(Q405:S405)</x:f>
        <x:v>6</x:v>
      </x:c>
      <x:c r="AI405" s="17" t="n">
        <x:f>SUM(U405:Y405)</x:f>
        <x:v>0</x:v>
      </x:c>
      <x:c r="AJ405" s="17" t="str">
        <x:f>IF(AE405&lt;=34,"≤34",IF(AE405&lt;=44,"35–44",IF(AE405&lt;=54,"45–54",IF(AE405&lt;=64,"55–64","65+"))))</x:f>
        <x:v>35–44</x:v>
      </x:c>
      <x:c r="AK405" s="17" t="str">
        <x:f>IF(AG405&gt;=1000,"High Value",IF(AG405&gt;=300,"Mid Value","Low Value"))</x:f>
        <x:v>Low Value</x:v>
      </x:c>
      <x:c r="AL405" s="17" t="str">
        <x:f>IF(AND(AI405&gt;=1,I405&lt;=50),"Priority 1",IF(AND(AG405&gt;=1000,I405&lt;=60),"Priority 2",IF(I405&lt;=30,"Priority 3","Nurture")))</x:f>
        <x:v>Priority 3</x:v>
      </x:c>
    </x:row>
    <x:row r="406">
      <x:c r="A406" s="16" t="n">
        <x:v>8890</x:v>
      </x:c>
      <x:c r="B406" s="16" t="n">
        <x:v>1971</x:v>
      </x:c>
      <x:c r="C406" s="16" t="str">
        <x:v>PhD</x:v>
      </x:c>
      <x:c r="D406" s="16" t="str">
        <x:v>Divorced</x:v>
      </x:c>
      <x:c r="E406" s="16" t="n">
        <x:v>65808</x:v>
      </x:c>
      <x:c r="F406" s="16" t="n">
        <x:v>1</x:v>
      </x:c>
      <x:c r="G406" s="16" t="n">
        <x:v>1</x:v>
      </x:c>
      <x:c r="H406" s="16" t="str">
        <x:v>30-05-2014</x:v>
      </x:c>
      <x:c r="I406" s="16" t="n">
        <x:v>1</x:v>
      </x:c>
      <x:c r="J406" s="16" t="n">
        <x:v>155</x:v>
      </x:c>
      <x:c r="K406" s="16" t="n">
        <x:v>7</x:v>
      </x:c>
      <x:c r="L406" s="16" t="n">
        <x:v>80</x:v>
      </x:c>
      <x:c r="M406" s="16" t="n">
        <x:v>13</x:v>
      </x:c>
      <x:c r="N406" s="16" t="n">
        <x:v>7</x:v>
      </x:c>
      <x:c r="O406" s="16" t="n">
        <x:v>10</x:v>
      </x:c>
      <x:c r="P406" s="16" t="n">
        <x:v>3</x:v>
      </x:c>
      <x:c r="Q406" s="16" t="n">
        <x:v>5</x:v>
      </x:c>
      <x:c r="R406" s="16" t="n">
        <x:v>1</x:v>
      </x:c>
      <x:c r="S406" s="16" t="n">
        <x:v>5</x:v>
      </x:c>
      <x:c r="T406" s="16" t="n">
        <x:v>6</x:v>
      </x:c>
      <x:c r="U406" s="16" t="n">
        <x:v>0</x:v>
      </x:c>
      <x:c r="V406" s="16" t="n">
        <x:v>0</x:v>
      </x:c>
      <x:c r="W406" s="16" t="n">
        <x:v>0</x:v>
      </x:c>
      <x:c r="X406" s="16" t="n">
        <x:v>0</x:v>
      </x:c>
      <x:c r="Y406" s="16" t="n">
        <x:v>0</x:v>
      </x:c>
      <x:c r="Z406" s="16" t="n">
        <x:v>0</x:v>
      </x:c>
      <x:c r="AA406" s="16" t="n">
        <x:v>3</x:v>
      </x:c>
      <x:c r="AB406" s="16" t="n">
        <x:v>11</x:v>
      </x:c>
      <x:c r="AC406" s="16" t="n">
        <x:v>0</x:v>
      </x:c>
      <x:c r="AD406" s="21" t="n">
        <x:f>IF(E406="",MEDIAN($E$2:$E$2237),E406)</x:f>
        <x:v>65808</x:v>
      </x:c>
      <x:c r="AE406" s="17" t="n">
        <x:f>2014-B406</x:f>
        <x:v>43</x:v>
      </x:c>
      <x:c r="AF406" s="17" t="n">
        <x:f>F406+G406</x:f>
        <x:v>2</x:v>
      </x:c>
      <x:c r="AG406" s="21" t="n">
        <x:f>SUM(J406:O406)</x:f>
        <x:v>272</x:v>
      </x:c>
      <x:c r="AH406" s="17" t="n">
        <x:f>SUM(Q406:S406)</x:f>
        <x:v>11</x:v>
      </x:c>
      <x:c r="AI406" s="17" t="n">
        <x:f>SUM(U406:Y406)</x:f>
        <x:v>0</x:v>
      </x:c>
      <x:c r="AJ406" s="17" t="str">
        <x:f>IF(AE406&lt;=34,"≤34",IF(AE406&lt;=44,"35–44",IF(AE406&lt;=54,"45–54",IF(AE406&lt;=64,"55–64","65+"))))</x:f>
        <x:v>35–44</x:v>
      </x:c>
      <x:c r="AK406" s="17" t="str">
        <x:f>IF(AG406&gt;=1000,"High Value",IF(AG406&gt;=300,"Mid Value","Low Value"))</x:f>
        <x:v>Low Value</x:v>
      </x:c>
      <x:c r="AL406" s="17" t="str">
        <x:f>IF(AND(AI406&gt;=1,I406&lt;=50),"Priority 1",IF(AND(AG406&gt;=1000,I406&lt;=60),"Priority 2",IF(I406&lt;=30,"Priority 3","Nurture")))</x:f>
        <x:v>Priority 3</x:v>
      </x:c>
    </x:row>
    <x:row r="407">
      <x:c r="A407" s="16" t="n">
        <x:v>5049</x:v>
      </x:c>
      <x:c r="B407" s="16" t="n">
        <x:v>1974</x:v>
      </x:c>
      <x:c r="C407" s="16" t="str">
        <x:v>PhD</x:v>
      </x:c>
      <x:c r="D407" s="16" t="str">
        <x:v>Together</x:v>
      </x:c>
      <x:c r="E407" s="16" t="n">
        <x:v>30351</x:v>
      </x:c>
      <x:c r="F407" s="16" t="n">
        <x:v>1</x:v>
      </x:c>
      <x:c r="G407" s="16" t="n">
        <x:v>0</x:v>
      </x:c>
      <x:c r="H407" s="16" t="str">
        <x:v>06-06-2013</x:v>
      </x:c>
      <x:c r="I407" s="16" t="n">
        <x:v>19</x:v>
      </x:c>
      <x:c r="J407" s="16" t="n">
        <x:v>14</x:v>
      </x:c>
      <x:c r="K407" s="16" t="n">
        <x:v>0</x:v>
      </x:c>
      <x:c r="L407" s="16" t="n">
        <x:v>24</x:v>
      </x:c>
      <x:c r="M407" s="16" t="n">
        <x:v>3</x:v>
      </x:c>
      <x:c r="N407" s="16" t="n">
        <x:v>3</x:v>
      </x:c>
      <x:c r="O407" s="16" t="n">
        <x:v>2</x:v>
      </x:c>
      <x:c r="P407" s="16" t="n">
        <x:v>1</x:v>
      </x:c>
      <x:c r="Q407" s="16" t="n">
        <x:v>3</x:v>
      </x:c>
      <x:c r="R407" s="16" t="n">
        <x:v>0</x:v>
      </x:c>
      <x:c r="S407" s="16" t="n">
        <x:v>2</x:v>
      </x:c>
      <x:c r="T407" s="16" t="n">
        <x:v>9</x:v>
      </x:c>
      <x:c r="U407" s="16" t="n">
        <x:v>0</x:v>
      </x:c>
      <x:c r="V407" s="16" t="n">
        <x:v>0</x:v>
      </x:c>
      <x:c r="W407" s="16" t="n">
        <x:v>0</x:v>
      </x:c>
      <x:c r="X407" s="16" t="n">
        <x:v>0</x:v>
      </x:c>
      <x:c r="Y407" s="16" t="n">
        <x:v>0</x:v>
      </x:c>
      <x:c r="Z407" s="16" t="n">
        <x:v>0</x:v>
      </x:c>
      <x:c r="AA407" s="16" t="n">
        <x:v>3</x:v>
      </x:c>
      <x:c r="AB407" s="16" t="n">
        <x:v>11</x:v>
      </x:c>
      <x:c r="AC407" s="16" t="n">
        <x:v>0</x:v>
      </x:c>
      <x:c r="AD407" s="21" t="n">
        <x:f>IF(E407="",MEDIAN($E$2:$E$2237),E407)</x:f>
        <x:v>30351</x:v>
      </x:c>
      <x:c r="AE407" s="17" t="n">
        <x:f>2014-B407</x:f>
        <x:v>40</x:v>
      </x:c>
      <x:c r="AF407" s="17" t="n">
        <x:f>F407+G407</x:f>
        <x:v>1</x:v>
      </x:c>
      <x:c r="AG407" s="21" t="n">
        <x:f>SUM(J407:O407)</x:f>
        <x:v>46</x:v>
      </x:c>
      <x:c r="AH407" s="17" t="n">
        <x:f>SUM(Q407:S407)</x:f>
        <x:v>5</x:v>
      </x:c>
      <x:c r="AI407" s="17" t="n">
        <x:f>SUM(U407:Y407)</x:f>
        <x:v>0</x:v>
      </x:c>
      <x:c r="AJ407" s="17" t="str">
        <x:f>IF(AE407&lt;=34,"≤34",IF(AE407&lt;=44,"35–44",IF(AE407&lt;=54,"45–54",IF(AE407&lt;=64,"55–64","65+"))))</x:f>
        <x:v>35–44</x:v>
      </x:c>
      <x:c r="AK407" s="17" t="str">
        <x:f>IF(AG407&gt;=1000,"High Value",IF(AG407&gt;=300,"Mid Value","Low Value"))</x:f>
        <x:v>Low Value</x:v>
      </x:c>
      <x:c r="AL407" s="17" t="str">
        <x:f>IF(AND(AI407&gt;=1,I407&lt;=50),"Priority 1",IF(AND(AG407&gt;=1000,I407&lt;=60),"Priority 2",IF(I407&lt;=30,"Priority 3","Nurture")))</x:f>
        <x:v>Priority 3</x:v>
      </x:c>
    </x:row>
    <x:row r="408">
      <x:c r="A408" s="16" t="n">
        <x:v>9973</x:v>
      </x:c>
      <x:c r="B408" s="16" t="n">
        <x:v>1963</x:v>
      </x:c>
      <x:c r="C408" s="16" t="str">
        <x:v>Graduation</x:v>
      </x:c>
      <x:c r="D408" s="16" t="str">
        <x:v>Married</x:v>
      </x:c>
      <x:c r="E408" s="16" t="n">
        <x:v>50437</x:v>
      </x:c>
      <x:c r="F408" s="16" t="n">
        <x:v>0</x:v>
      </x:c>
      <x:c r="G408" s="16" t="n">
        <x:v>2</x:v>
      </x:c>
      <x:c r="H408" s="16" t="str">
        <x:v>17-10-2012</x:v>
      </x:c>
      <x:c r="I408" s="16" t="n">
        <x:v>28</x:v>
      </x:c>
      <x:c r="J408" s="16" t="n">
        <x:v>370</x:v>
      </x:c>
      <x:c r="K408" s="16" t="n">
        <x:v>9</x:v>
      </x:c>
      <x:c r="L408" s="16" t="n">
        <x:v>92</x:v>
      </x:c>
      <x:c r="M408" s="16" t="n">
        <x:v>6</x:v>
      </x:c>
      <x:c r="N408" s="16" t="n">
        <x:v>9</x:v>
      </x:c>
      <x:c r="O408" s="16" t="n">
        <x:v>4</x:v>
      </x:c>
      <x:c r="P408" s="16" t="n">
        <x:v>3</x:v>
      </x:c>
      <x:c r="Q408" s="16" t="n">
        <x:v>7</x:v>
      </x:c>
      <x:c r="R408" s="16" t="n">
        <x:v>1</x:v>
      </x:c>
      <x:c r="S408" s="16" t="n">
        <x:v>8</x:v>
      </x:c>
      <x:c r="T408" s="16" t="n">
        <x:v>7</x:v>
      </x:c>
      <x:c r="U408" s="16" t="n">
        <x:v>0</x:v>
      </x:c>
      <x:c r="V408" s="16" t="n">
        <x:v>0</x:v>
      </x:c>
      <x:c r="W408" s="16" t="n">
        <x:v>0</x:v>
      </x:c>
      <x:c r="X408" s="16" t="n">
        <x:v>0</x:v>
      </x:c>
      <x:c r="Y408" s="16" t="n">
        <x:v>0</x:v>
      </x:c>
      <x:c r="Z408" s="16" t="n">
        <x:v>0</x:v>
      </x:c>
      <x:c r="AA408" s="16" t="n">
        <x:v>3</x:v>
      </x:c>
      <x:c r="AB408" s="16" t="n">
        <x:v>11</x:v>
      </x:c>
      <x:c r="AC408" s="16" t="n">
        <x:v>0</x:v>
      </x:c>
      <x:c r="AD408" s="21" t="n">
        <x:f>IF(E408="",MEDIAN($E$2:$E$2237),E408)</x:f>
        <x:v>50437</x:v>
      </x:c>
      <x:c r="AE408" s="17" t="n">
        <x:f>2014-B408</x:f>
        <x:v>51</x:v>
      </x:c>
      <x:c r="AF408" s="17" t="n">
        <x:f>F408+G408</x:f>
        <x:v>2</x:v>
      </x:c>
      <x:c r="AG408" s="21" t="n">
        <x:f>SUM(J408:O408)</x:f>
        <x:v>490</x:v>
      </x:c>
      <x:c r="AH408" s="17" t="n">
        <x:f>SUM(Q408:S408)</x:f>
        <x:v>16</x:v>
      </x:c>
      <x:c r="AI408" s="17" t="n">
        <x:f>SUM(U408:Y408)</x:f>
        <x:v>0</x:v>
      </x:c>
      <x:c r="AJ408" s="17" t="str">
        <x:f>IF(AE408&lt;=34,"≤34",IF(AE408&lt;=44,"35–44",IF(AE408&lt;=54,"45–54",IF(AE408&lt;=64,"55–64","65+"))))</x:f>
        <x:v>45–54</x:v>
      </x:c>
      <x:c r="AK408" s="17" t="str">
        <x:f>IF(AG408&gt;=1000,"High Value",IF(AG408&gt;=300,"Mid Value","Low Value"))</x:f>
        <x:v>Mid Value</x:v>
      </x:c>
      <x:c r="AL408" s="17" t="str">
        <x:f>IF(AND(AI408&gt;=1,I408&lt;=50),"Priority 1",IF(AND(AG408&gt;=1000,I408&lt;=60),"Priority 2",IF(I408&lt;=30,"Priority 3","Nurture")))</x:f>
        <x:v>Priority 3</x:v>
      </x:c>
    </x:row>
    <x:row r="409">
      <x:c r="A409" s="16" t="n">
        <x:v>7301</x:v>
      </x:c>
      <x:c r="B409" s="16" t="n">
        <x:v>1982</x:v>
      </x:c>
      <x:c r="C409" s="16" t="str">
        <x:v>2n Cycle</x:v>
      </x:c>
      <x:c r="D409" s="16" t="str">
        <x:v>Single</x:v>
      </x:c>
      <x:c r="E409" s="16" t="n">
        <x:v>23616</x:v>
      </x:c>
      <x:c r="F409" s="16" t="n">
        <x:v>1</x:v>
      </x:c>
      <x:c r="G409" s="16" t="n">
        <x:v>0</x:v>
      </x:c>
      <x:c r="H409" s="16" t="str">
        <x:v>17-11-2012</x:v>
      </x:c>
      <x:c r="I409" s="16" t="n">
        <x:v>76</x:v>
      </x:c>
      <x:c r="J409" s="16" t="n">
        <x:v>4</x:v>
      </x:c>
      <x:c r="K409" s="16" t="n">
        <x:v>22</x:v>
      </x:c>
      <x:c r="L409" s="16" t="n">
        <x:v>11</x:v>
      </x:c>
      <x:c r="M409" s="16" t="n">
        <x:v>3</x:v>
      </x:c>
      <x:c r="N409" s="16" t="n">
        <x:v>7</x:v>
      </x:c>
      <x:c r="O409" s="16" t="n">
        <x:v>32</x:v>
      </x:c>
      <x:c r="P409" s="16" t="n">
        <x:v>2</x:v>
      </x:c>
      <x:c r="Q409" s="16" t="n">
        <x:v>3</x:v>
      </x:c>
      <x:c r="R409" s="16" t="n">
        <x:v>0</x:v>
      </x:c>
      <x:c r="S409" s="16" t="n">
        <x:v>3</x:v>
      </x:c>
      <x:c r="T409" s="16" t="n">
        <x:v>8</x:v>
      </x:c>
      <x:c r="U409" s="16" t="n">
        <x:v>0</x:v>
      </x:c>
      <x:c r="V409" s="16" t="n">
        <x:v>0</x:v>
      </x:c>
      <x:c r="W409" s="16" t="n">
        <x:v>0</x:v>
      </x:c>
      <x:c r="X409" s="16" t="n">
        <x:v>0</x:v>
      </x:c>
      <x:c r="Y409" s="16" t="n">
        <x:v>0</x:v>
      </x:c>
      <x:c r="Z409" s="16" t="n">
        <x:v>0</x:v>
      </x:c>
      <x:c r="AA409" s="16" t="n">
        <x:v>3</x:v>
      </x:c>
      <x:c r="AB409" s="16" t="n">
        <x:v>11</x:v>
      </x:c>
      <x:c r="AC409" s="16" t="n">
        <x:v>1</x:v>
      </x:c>
      <x:c r="AD409" s="21" t="n">
        <x:f>IF(E409="",MEDIAN($E$2:$E$2237),E409)</x:f>
        <x:v>23616</x:v>
      </x:c>
      <x:c r="AE409" s="17" t="n">
        <x:f>2014-B409</x:f>
        <x:v>32</x:v>
      </x:c>
      <x:c r="AF409" s="17" t="n">
        <x:f>F409+G409</x:f>
        <x:v>1</x:v>
      </x:c>
      <x:c r="AG409" s="21" t="n">
        <x:f>SUM(J409:O409)</x:f>
        <x:v>79</x:v>
      </x:c>
      <x:c r="AH409" s="17" t="n">
        <x:f>SUM(Q409:S409)</x:f>
        <x:v>6</x:v>
      </x:c>
      <x:c r="AI409" s="17" t="n">
        <x:f>SUM(U409:Y409)</x:f>
        <x:v>0</x:v>
      </x:c>
      <x:c r="AJ409" s="17" t="str">
        <x:f>IF(AE409&lt;=34,"≤34",IF(AE409&lt;=44,"35–44",IF(AE409&lt;=54,"45–54",IF(AE409&lt;=64,"55–64","65+"))))</x:f>
        <x:v>≤34</x:v>
      </x:c>
      <x:c r="AK409" s="17" t="str">
        <x:f>IF(AG409&gt;=1000,"High Value",IF(AG409&gt;=300,"Mid Value","Low Value"))</x:f>
        <x:v>Low Value</x:v>
      </x:c>
      <x:c r="AL409" s="17" t="str">
        <x:f>IF(AND(AI409&gt;=1,I409&lt;=50),"Priority 1",IF(AND(AG409&gt;=1000,I409&lt;=60),"Priority 2",IF(I409&lt;=30,"Priority 3","Nurture")))</x:f>
        <x:v>Nurture</x:v>
      </x:c>
    </x:row>
    <x:row r="410">
      <x:c r="A410" s="16" t="n">
        <x:v>10882</x:v>
      </x:c>
      <x:c r="B410" s="16" t="n">
        <x:v>1976</x:v>
      </x:c>
      <x:c r="C410" s="16" t="str">
        <x:v>Graduation</x:v>
      </x:c>
      <x:c r="D410" s="16" t="str">
        <x:v>Married</x:v>
      </x:c>
      <x:c r="E410" s="16" t="n">
        <x:v>53858</x:v>
      </x:c>
      <x:c r="F410" s="16" t="n">
        <x:v>0</x:v>
      </x:c>
      <x:c r="G410" s="16" t="n">
        <x:v>1</x:v>
      </x:c>
      <x:c r="H410" s="16" t="str">
        <x:v>09-11-2012</x:v>
      </x:c>
      <x:c r="I410" s="16" t="n">
        <x:v>50</x:v>
      </x:c>
      <x:c r="J410" s="16" t="n">
        <x:v>407</x:v>
      </x:c>
      <x:c r="K410" s="16" t="n">
        <x:v>53</x:v>
      </x:c>
      <x:c r="L410" s="16" t="n">
        <x:v>221</x:v>
      </x:c>
      <x:c r="M410" s="16" t="n">
        <x:v>58</x:v>
      </x:c>
      <x:c r="N410" s="16" t="n">
        <x:v>150</x:v>
      </x:c>
      <x:c r="O410" s="16" t="n">
        <x:v>26</x:v>
      </x:c>
      <x:c r="P410" s="16" t="n">
        <x:v>4</x:v>
      </x:c>
      <x:c r="Q410" s="16" t="n">
        <x:v>4</x:v>
      </x:c>
      <x:c r="R410" s="16" t="n">
        <x:v>3</x:v>
      </x:c>
      <x:c r="S410" s="16" t="n">
        <x:v>6</x:v>
      </x:c>
      <x:c r="T410" s="16" t="n">
        <x:v>4</x:v>
      </x:c>
      <x:c r="U410" s="16" t="n">
        <x:v>0</x:v>
      </x:c>
      <x:c r="V410" s="16" t="n">
        <x:v>0</x:v>
      </x:c>
      <x:c r="W410" s="16" t="n">
        <x:v>0</x:v>
      </x:c>
      <x:c r="X410" s="16" t="n">
        <x:v>0</x:v>
      </x:c>
      <x:c r="Y410" s="16" t="n">
        <x:v>0</x:v>
      </x:c>
      <x:c r="Z410" s="16" t="n">
        <x:v>0</x:v>
      </x:c>
      <x:c r="AA410" s="16" t="n">
        <x:v>3</x:v>
      </x:c>
      <x:c r="AB410" s="16" t="n">
        <x:v>11</x:v>
      </x:c>
      <x:c r="AC410" s="16" t="n">
        <x:v>0</x:v>
      </x:c>
      <x:c r="AD410" s="21" t="n">
        <x:f>IF(E410="",MEDIAN($E$2:$E$2237),E410)</x:f>
        <x:v>53858</x:v>
      </x:c>
      <x:c r="AE410" s="17" t="n">
        <x:f>2014-B410</x:f>
        <x:v>38</x:v>
      </x:c>
      <x:c r="AF410" s="17" t="n">
        <x:f>F410+G410</x:f>
        <x:v>1</x:v>
      </x:c>
      <x:c r="AG410" s="21" t="n">
        <x:f>SUM(J410:O410)</x:f>
        <x:v>915</x:v>
      </x:c>
      <x:c r="AH410" s="17" t="n">
        <x:f>SUM(Q410:S410)</x:f>
        <x:v>13</x:v>
      </x:c>
      <x:c r="AI410" s="17" t="n">
        <x:f>SUM(U410:Y410)</x:f>
        <x:v>0</x:v>
      </x:c>
      <x:c r="AJ410" s="17" t="str">
        <x:f>IF(AE410&lt;=34,"≤34",IF(AE410&lt;=44,"35–44",IF(AE410&lt;=54,"45–54",IF(AE410&lt;=64,"55–64","65+"))))</x:f>
        <x:v>35–44</x:v>
      </x:c>
      <x:c r="AK410" s="17" t="str">
        <x:f>IF(AG410&gt;=1000,"High Value",IF(AG410&gt;=300,"Mid Value","Low Value"))</x:f>
        <x:v>Mid Value</x:v>
      </x:c>
      <x:c r="AL410" s="17" t="str">
        <x:f>IF(AND(AI410&gt;=1,I410&lt;=50),"Priority 1",IF(AND(AG410&gt;=1000,I410&lt;=60),"Priority 2",IF(I410&lt;=30,"Priority 3","Nurture")))</x:f>
        <x:v>Nurture</x:v>
      </x:c>
    </x:row>
    <x:row r="411">
      <x:c r="A411" s="16" t="n">
        <x:v>7030</x:v>
      </x:c>
      <x:c r="B411" s="16" t="n">
        <x:v>1955</x:v>
      </x:c>
      <x:c r="C411" s="16" t="str">
        <x:v>PhD</x:v>
      </x:c>
      <x:c r="D411" s="16" t="str">
        <x:v>Married</x:v>
      </x:c>
      <x:c r="E411" s="16" t="n">
        <x:v>66465</x:v>
      </x:c>
      <x:c r="F411" s="16" t="n">
        <x:v>0</x:v>
      </x:c>
      <x:c r="G411" s="16" t="n">
        <x:v>1</x:v>
      </x:c>
      <x:c r="H411" s="16" t="str">
        <x:v>30-03-2013</x:v>
      </x:c>
      <x:c r="I411" s="16" t="n">
        <x:v>1</x:v>
      </x:c>
      <x:c r="J411" s="16" t="n">
        <x:v>1200</x:v>
      </x:c>
      <x:c r="K411" s="16" t="n">
        <x:v>0</x:v>
      </x:c>
      <x:c r="L411" s="16" t="n">
        <x:v>204</x:v>
      </x:c>
      <x:c r="M411" s="16" t="n">
        <x:v>38</x:v>
      </x:c>
      <x:c r="N411" s="16" t="n">
        <x:v>29</x:v>
      </x:c>
      <x:c r="O411" s="16" t="n">
        <x:v>14</x:v>
      </x:c>
      <x:c r="P411" s="16" t="n">
        <x:v>3</x:v>
      </x:c>
      <x:c r="Q411" s="16" t="n">
        <x:v>11</x:v>
      </x:c>
      <x:c r="R411" s="16" t="n">
        <x:v>9</x:v>
      </x:c>
      <x:c r="S411" s="16" t="n">
        <x:v>12</x:v>
      </x:c>
      <x:c r="T411" s="16" t="n">
        <x:v>6</x:v>
      </x:c>
      <x:c r="U411" s="16" t="n">
        <x:v>0</x:v>
      </x:c>
      <x:c r="V411" s="16" t="n">
        <x:v>0</x:v>
      </x:c>
      <x:c r="W411" s="16" t="n">
        <x:v>0</x:v>
      </x:c>
      <x:c r="X411" s="16" t="n">
        <x:v>1</x:v>
      </x:c>
      <x:c r="Y411" s="16" t="n">
        <x:v>0</x:v>
      </x:c>
      <x:c r="Z411" s="16" t="n">
        <x:v>0</x:v>
      </x:c>
      <x:c r="AA411" s="16" t="n">
        <x:v>3</x:v>
      </x:c>
      <x:c r="AB411" s="16" t="n">
        <x:v>11</x:v>
      </x:c>
      <x:c r="AC411" s="16" t="n">
        <x:v>0</x:v>
      </x:c>
      <x:c r="AD411" s="21" t="n">
        <x:f>IF(E411="",MEDIAN($E$2:$E$2237),E411)</x:f>
        <x:v>66465</x:v>
      </x:c>
      <x:c r="AE411" s="17" t="n">
        <x:f>2014-B411</x:f>
        <x:v>59</x:v>
      </x:c>
      <x:c r="AF411" s="17" t="n">
        <x:f>F411+G411</x:f>
        <x:v>1</x:v>
      </x:c>
      <x:c r="AG411" s="21" t="n">
        <x:f>SUM(J411:O411)</x:f>
        <x:v>1485</x:v>
      </x:c>
      <x:c r="AH411" s="17" t="n">
        <x:f>SUM(Q411:S411)</x:f>
        <x:v>32</x:v>
      </x:c>
      <x:c r="AI411" s="17" t="n">
        <x:f>SUM(U411:Y411)</x:f>
        <x:v>1</x:v>
      </x:c>
      <x:c r="AJ411" s="17" t="str">
        <x:f>IF(AE411&lt;=34,"≤34",IF(AE411&lt;=44,"35–44",IF(AE411&lt;=54,"45–54",IF(AE411&lt;=64,"55–64","65+"))))</x:f>
        <x:v>55–64</x:v>
      </x:c>
      <x:c r="AK411" s="17" t="str">
        <x:f>IF(AG411&gt;=1000,"High Value",IF(AG411&gt;=300,"Mid Value","Low Value"))</x:f>
        <x:v>High Value</x:v>
      </x:c>
      <x:c r="AL411" s="17" t="str">
        <x:f>IF(AND(AI411&gt;=1,I411&lt;=50),"Priority 1",IF(AND(AG411&gt;=1000,I411&lt;=60),"Priority 2",IF(I411&lt;=30,"Priority 3","Nurture")))</x:f>
        <x:v>Priority 1</x:v>
      </x:c>
    </x:row>
    <x:row r="412">
      <x:c r="A412" s="16" t="n">
        <x:v>7422</x:v>
      </x:c>
      <x:c r="B412" s="16" t="n">
        <x:v>1987</x:v>
      </x:c>
      <x:c r="C412" s="16" t="str">
        <x:v>Graduation</x:v>
      </x:c>
      <x:c r="D412" s="16" t="str">
        <x:v>Single</x:v>
      </x:c>
      <x:c r="E412" s="16" t="n">
        <x:v>46923</x:v>
      </x:c>
      <x:c r="F412" s="16" t="n">
        <x:v>1</x:v>
      </x:c>
      <x:c r="G412" s="16" t="n">
        <x:v>0</x:v>
      </x:c>
      <x:c r="H412" s="16" t="str">
        <x:v>22-08-2012</x:v>
      </x:c>
      <x:c r="I412" s="16" t="n">
        <x:v>90</x:v>
      </x:c>
      <x:c r="J412" s="16" t="n">
        <x:v>85</x:v>
      </x:c>
      <x:c r="K412" s="16" t="n">
        <x:v>44</x:v>
      </x:c>
      <x:c r="L412" s="16" t="n">
        <x:v>54</x:v>
      </x:c>
      <x:c r="M412" s="16" t="n">
        <x:v>102</x:v>
      </x:c>
      <x:c r="N412" s="16" t="n">
        <x:v>78</x:v>
      </x:c>
      <x:c r="O412" s="16" t="n">
        <x:v>6</x:v>
      </x:c>
      <x:c r="P412" s="16" t="n">
        <x:v>3</x:v>
      </x:c>
      <x:c r="Q412" s="16" t="n">
        <x:v>5</x:v>
      </x:c>
      <x:c r="R412" s="16" t="n">
        <x:v>1</x:v>
      </x:c>
      <x:c r="S412" s="16" t="n">
        <x:v>7</x:v>
      </x:c>
      <x:c r="T412" s="16" t="n">
        <x:v>7</x:v>
      </x:c>
      <x:c r="U412" s="16" t="n">
        <x:v>0</x:v>
      </x:c>
      <x:c r="V412" s="16" t="n">
        <x:v>0</x:v>
      </x:c>
      <x:c r="W412" s="16" t="n">
        <x:v>0</x:v>
      </x:c>
      <x:c r="X412" s="16" t="n">
        <x:v>0</x:v>
      </x:c>
      <x:c r="Y412" s="16" t="n">
        <x:v>0</x:v>
      </x:c>
      <x:c r="Z412" s="16" t="n">
        <x:v>0</x:v>
      </x:c>
      <x:c r="AA412" s="16" t="n">
        <x:v>3</x:v>
      </x:c>
      <x:c r="AB412" s="16" t="n">
        <x:v>11</x:v>
      </x:c>
      <x:c r="AC412" s="16" t="n">
        <x:v>0</x:v>
      </x:c>
      <x:c r="AD412" s="21" t="n">
        <x:f>IF(E412="",MEDIAN($E$2:$E$2237),E412)</x:f>
        <x:v>46923</x:v>
      </x:c>
      <x:c r="AE412" s="17" t="n">
        <x:f>2014-B412</x:f>
        <x:v>27</x:v>
      </x:c>
      <x:c r="AF412" s="17" t="n">
        <x:f>F412+G412</x:f>
        <x:v>1</x:v>
      </x:c>
      <x:c r="AG412" s="21" t="n">
        <x:f>SUM(J412:O412)</x:f>
        <x:v>369</x:v>
      </x:c>
      <x:c r="AH412" s="17" t="n">
        <x:f>SUM(Q412:S412)</x:f>
        <x:v>13</x:v>
      </x:c>
      <x:c r="AI412" s="17" t="n">
        <x:f>SUM(U412:Y412)</x:f>
        <x:v>0</x:v>
      </x:c>
      <x:c r="AJ412" s="17" t="str">
        <x:f>IF(AE412&lt;=34,"≤34",IF(AE412&lt;=44,"35–44",IF(AE412&lt;=54,"45–54",IF(AE412&lt;=64,"55–64","65+"))))</x:f>
        <x:v>≤34</x:v>
      </x:c>
      <x:c r="AK412" s="17" t="str">
        <x:f>IF(AG412&gt;=1000,"High Value",IF(AG412&gt;=300,"Mid Value","Low Value"))</x:f>
        <x:v>Mid Value</x:v>
      </x:c>
      <x:c r="AL412" s="17" t="str">
        <x:f>IF(AND(AI412&gt;=1,I412&lt;=50),"Priority 1",IF(AND(AG412&gt;=1000,I412&lt;=60),"Priority 2",IF(I412&lt;=30,"Priority 3","Nurture")))</x:f>
        <x:v>Nurture</x:v>
      </x:c>
    </x:row>
    <x:row r="413">
      <x:c r="A413" s="16" t="n">
        <x:v>3523</x:v>
      </x:c>
      <x:c r="B413" s="16" t="n">
        <x:v>1962</x:v>
      </x:c>
      <x:c r="C413" s="16" t="str">
        <x:v>Graduation</x:v>
      </x:c>
      <x:c r="D413" s="16" t="str">
        <x:v>Together</x:v>
      </x:c>
      <x:c r="E413" s="16" t="n">
        <x:v>75072</x:v>
      </x:c>
      <x:c r="F413" s="16" t="n">
        <x:v>0</x:v>
      </x:c>
      <x:c r="G413" s="16" t="n">
        <x:v>1</x:v>
      </x:c>
      <x:c r="H413" s="16" t="str">
        <x:v>23-01-2013</x:v>
      </x:c>
      <x:c r="I413" s="16" t="n">
        <x:v>83</x:v>
      </x:c>
      <x:c r="J413" s="16" t="n">
        <x:v>583</x:v>
      </x:c>
      <x:c r="K413" s="16" t="n">
        <x:v>34</x:v>
      </x:c>
      <x:c r="L413" s="16" t="n">
        <x:v>309</x:v>
      </x:c>
      <x:c r="M413" s="16" t="n">
        <x:v>0</x:v>
      </x:c>
      <x:c r="N413" s="16" t="n">
        <x:v>22</x:v>
      </x:c>
      <x:c r="O413" s="16" t="n">
        <x:v>125</x:v>
      </x:c>
      <x:c r="P413" s="16" t="n">
        <x:v>2</x:v>
      </x:c>
      <x:c r="Q413" s="16" t="n">
        <x:v>5</x:v>
      </x:c>
      <x:c r="R413" s="16" t="n">
        <x:v>4</x:v>
      </x:c>
      <x:c r="S413" s="16" t="n">
        <x:v>8</x:v>
      </x:c>
      <x:c r="T413" s="16" t="n">
        <x:v>3</x:v>
      </x:c>
      <x:c r="U413" s="16" t="n">
        <x:v>0</x:v>
      </x:c>
      <x:c r="V413" s="16" t="n">
        <x:v>0</x:v>
      </x:c>
      <x:c r="W413" s="16" t="n">
        <x:v>0</x:v>
      </x:c>
      <x:c r="X413" s="16" t="n">
        <x:v>0</x:v>
      </x:c>
      <x:c r="Y413" s="16" t="n">
        <x:v>0</x:v>
      </x:c>
      <x:c r="Z413" s="16" t="n">
        <x:v>0</x:v>
      </x:c>
      <x:c r="AA413" s="16" t="n">
        <x:v>3</x:v>
      </x:c>
      <x:c r="AB413" s="16" t="n">
        <x:v>11</x:v>
      </x:c>
      <x:c r="AC413" s="16" t="n">
        <x:v>0</x:v>
      </x:c>
      <x:c r="AD413" s="21" t="n">
        <x:f>IF(E413="",MEDIAN($E$2:$E$2237),E413)</x:f>
        <x:v>75072</x:v>
      </x:c>
      <x:c r="AE413" s="17" t="n">
        <x:f>2014-B413</x:f>
        <x:v>52</x:v>
      </x:c>
      <x:c r="AF413" s="17" t="n">
        <x:f>F413+G413</x:f>
        <x:v>1</x:v>
      </x:c>
      <x:c r="AG413" s="21" t="n">
        <x:f>SUM(J413:O413)</x:f>
        <x:v>1073</x:v>
      </x:c>
      <x:c r="AH413" s="17" t="n">
        <x:f>SUM(Q413:S413)</x:f>
        <x:v>17</x:v>
      </x:c>
      <x:c r="AI413" s="17" t="n">
        <x:f>SUM(U413:Y413)</x:f>
        <x:v>0</x:v>
      </x:c>
      <x:c r="AJ413" s="17" t="str">
        <x:f>IF(AE413&lt;=34,"≤34",IF(AE413&lt;=44,"35–44",IF(AE413&lt;=54,"45–54",IF(AE413&lt;=64,"55–64","65+"))))</x:f>
        <x:v>45–54</x:v>
      </x:c>
      <x:c r="AK413" s="17" t="str">
        <x:f>IF(AG413&gt;=1000,"High Value",IF(AG413&gt;=300,"Mid Value","Low Value"))</x:f>
        <x:v>High Value</x:v>
      </x:c>
      <x:c r="AL413" s="17" t="str">
        <x:f>IF(AND(AI413&gt;=1,I413&lt;=50),"Priority 1",IF(AND(AG413&gt;=1000,I413&lt;=60),"Priority 2",IF(I413&lt;=30,"Priority 3","Nurture")))</x:f>
        <x:v>Nurture</x:v>
      </x:c>
    </x:row>
    <x:row r="414">
      <x:c r="A414" s="16" t="n">
        <x:v>7106</x:v>
      </x:c>
      <x:c r="B414" s="16" t="n">
        <x:v>1943</x:v>
      </x:c>
      <x:c r="C414" s="16" t="str">
        <x:v>PhD</x:v>
      </x:c>
      <x:c r="D414" s="16" t="str">
        <x:v>Married</x:v>
      </x:c>
      <x:c r="E414" s="16" t="n">
        <x:v>75865</x:v>
      </x:c>
      <x:c r="F414" s="16" t="n">
        <x:v>0</x:v>
      </x:c>
      <x:c r="G414" s="16" t="n">
        <x:v>0</x:v>
      </x:c>
      <x:c r="H414" s="16" t="str">
        <x:v>31-03-2014</x:v>
      </x:c>
      <x:c r="I414" s="16" t="n">
        <x:v>73</x:v>
      </x:c>
      <x:c r="J414" s="16" t="n">
        <x:v>483</x:v>
      </x:c>
      <x:c r="K414" s="16" t="n">
        <x:v>0</x:v>
      </x:c>
      <x:c r="L414" s="16" t="n">
        <x:v>591</x:v>
      </x:c>
      <x:c r="M414" s="16" t="n">
        <x:v>156</x:v>
      </x:c>
      <x:c r="N414" s="16" t="n">
        <x:v>0</x:v>
      </x:c>
      <x:c r="O414" s="16" t="n">
        <x:v>12</x:v>
      </x:c>
      <x:c r="P414" s="16" t="n">
        <x:v>1</x:v>
      </x:c>
      <x:c r="Q414" s="16" t="n">
        <x:v>3</x:v>
      </x:c>
      <x:c r="R414" s="16" t="n">
        <x:v>5</x:v>
      </x:c>
      <x:c r="S414" s="16" t="n">
        <x:v>10</x:v>
      </x:c>
      <x:c r="T414" s="16" t="n">
        <x:v>1</x:v>
      </x:c>
      <x:c r="U414" s="16" t="n">
        <x:v>0</x:v>
      </x:c>
      <x:c r="V414" s="16" t="n">
        <x:v>0</x:v>
      </x:c>
      <x:c r="W414" s="16" t="n">
        <x:v>0</x:v>
      </x:c>
      <x:c r="X414" s="16" t="n">
        <x:v>0</x:v>
      </x:c>
      <x:c r="Y414" s="16" t="n">
        <x:v>0</x:v>
      </x:c>
      <x:c r="Z414" s="16" t="n">
        <x:v>0</x:v>
      </x:c>
      <x:c r="AA414" s="16" t="n">
        <x:v>3</x:v>
      </x:c>
      <x:c r="AB414" s="16" t="n">
        <x:v>11</x:v>
      </x:c>
      <x:c r="AC414" s="16" t="n">
        <x:v>0</x:v>
      </x:c>
      <x:c r="AD414" s="21" t="n">
        <x:f>IF(E414="",MEDIAN($E$2:$E$2237),E414)</x:f>
        <x:v>75865</x:v>
      </x:c>
      <x:c r="AE414" s="17" t="n">
        <x:f>2014-B414</x:f>
        <x:v>71</x:v>
      </x:c>
      <x:c r="AF414" s="17" t="n">
        <x:f>F414+G414</x:f>
        <x:v>0</x:v>
      </x:c>
      <x:c r="AG414" s="21" t="n">
        <x:f>SUM(J414:O414)</x:f>
        <x:v>1242</x:v>
      </x:c>
      <x:c r="AH414" s="17" t="n">
        <x:f>SUM(Q414:S414)</x:f>
        <x:v>18</x:v>
      </x:c>
      <x:c r="AI414" s="17" t="n">
        <x:f>SUM(U414:Y414)</x:f>
        <x:v>0</x:v>
      </x:c>
      <x:c r="AJ414" s="17" t="str">
        <x:f>IF(AE414&lt;=34,"≤34",IF(AE414&lt;=44,"35–44",IF(AE414&lt;=54,"45–54",IF(AE414&lt;=64,"55–64","65+"))))</x:f>
        <x:v>65+</x:v>
      </x:c>
      <x:c r="AK414" s="17" t="str">
        <x:f>IF(AG414&gt;=1000,"High Value",IF(AG414&gt;=300,"Mid Value","Low Value"))</x:f>
        <x:v>High Value</x:v>
      </x:c>
      <x:c r="AL414" s="17" t="str">
        <x:f>IF(AND(AI414&gt;=1,I414&lt;=50),"Priority 1",IF(AND(AG414&gt;=1000,I414&lt;=60),"Priority 2",IF(I414&lt;=30,"Priority 3","Nurture")))</x:f>
        <x:v>Nurture</x:v>
      </x:c>
    </x:row>
    <x:row r="415">
      <x:c r="A415" s="16" t="n">
        <x:v>6504</x:v>
      </x:c>
      <x:c r="B415" s="16" t="n">
        <x:v>1975</x:v>
      </x:c>
      <x:c r="C415" s="16" t="str">
        <x:v>2n Cycle</x:v>
      </x:c>
      <x:c r="D415" s="16" t="str">
        <x:v>Together</x:v>
      </x:c>
      <x:c r="E415" s="16" t="n">
        <x:v>19789</x:v>
      </x:c>
      <x:c r="F415" s="16" t="n">
        <x:v>1</x:v>
      </x:c>
      <x:c r="G415" s="16" t="n">
        <x:v>0</x:v>
      </x:c>
      <x:c r="H415" s="16" t="str">
        <x:v>20-11-2013</x:v>
      </x:c>
      <x:c r="I415" s="16" t="n">
        <x:v>24</x:v>
      </x:c>
      <x:c r="J415" s="16" t="n">
        <x:v>2</x:v>
      </x:c>
      <x:c r="K415" s="16" t="n">
        <x:v>5</x:v>
      </x:c>
      <x:c r="L415" s="16" t="n">
        <x:v>9</x:v>
      </x:c>
      <x:c r="M415" s="16" t="n">
        <x:v>28</x:v>
      </x:c>
      <x:c r="N415" s="16" t="n">
        <x:v>6</x:v>
      </x:c>
      <x:c r="O415" s="16" t="n">
        <x:v>28</x:v>
      </x:c>
      <x:c r="P415" s="16" t="n">
        <x:v>3</x:v>
      </x:c>
      <x:c r="Q415" s="16" t="n">
        <x:v>2</x:v>
      </x:c>
      <x:c r="R415" s="16" t="n">
        <x:v>1</x:v>
      </x:c>
      <x:c r="S415" s="16" t="n">
        <x:v>3</x:v>
      </x:c>
      <x:c r="T415" s="16" t="n">
        <x:v>5</x:v>
      </x:c>
      <x:c r="U415" s="16" t="n">
        <x:v>1</x:v>
      </x:c>
      <x:c r="V415" s="16" t="n">
        <x:v>0</x:v>
      </x:c>
      <x:c r="W415" s="16" t="n">
        <x:v>0</x:v>
      </x:c>
      <x:c r="X415" s="16" t="n">
        <x:v>0</x:v>
      </x:c>
      <x:c r="Y415" s="16" t="n">
        <x:v>0</x:v>
      </x:c>
      <x:c r="Z415" s="16" t="n">
        <x:v>0</x:v>
      </x:c>
      <x:c r="AA415" s="16" t="n">
        <x:v>3</x:v>
      </x:c>
      <x:c r="AB415" s="16" t="n">
        <x:v>11</x:v>
      </x:c>
      <x:c r="AC415" s="16" t="n">
        <x:v>0</x:v>
      </x:c>
      <x:c r="AD415" s="21" t="n">
        <x:f>IF(E415="",MEDIAN($E$2:$E$2237),E415)</x:f>
        <x:v>19789</x:v>
      </x:c>
      <x:c r="AE415" s="17" t="n">
        <x:f>2014-B415</x:f>
        <x:v>39</x:v>
      </x:c>
      <x:c r="AF415" s="17" t="n">
        <x:f>F415+G415</x:f>
        <x:v>1</x:v>
      </x:c>
      <x:c r="AG415" s="21" t="n">
        <x:f>SUM(J415:O415)</x:f>
        <x:v>78</x:v>
      </x:c>
      <x:c r="AH415" s="17" t="n">
        <x:f>SUM(Q415:S415)</x:f>
        <x:v>6</x:v>
      </x:c>
      <x:c r="AI415" s="17" t="n">
        <x:f>SUM(U415:Y415)</x:f>
        <x:v>1</x:v>
      </x:c>
      <x:c r="AJ415" s="17" t="str">
        <x:f>IF(AE415&lt;=34,"≤34",IF(AE415&lt;=44,"35–44",IF(AE415&lt;=54,"45–54",IF(AE415&lt;=64,"55–64","65+"))))</x:f>
        <x:v>35–44</x:v>
      </x:c>
      <x:c r="AK415" s="17" t="str">
        <x:f>IF(AG415&gt;=1000,"High Value",IF(AG415&gt;=300,"Mid Value","Low Value"))</x:f>
        <x:v>Low Value</x:v>
      </x:c>
      <x:c r="AL415" s="17" t="str">
        <x:f>IF(AND(AI415&gt;=1,I415&lt;=50),"Priority 1",IF(AND(AG415&gt;=1000,I415&lt;=60),"Priority 2",IF(I415&lt;=30,"Priority 3","Nurture")))</x:f>
        <x:v>Priority 1</x:v>
      </x:c>
    </x:row>
    <x:row r="416">
      <x:c r="A416" s="16" t="n">
        <x:v>5067</x:v>
      </x:c>
      <x:c r="B416" s="16" t="n">
        <x:v>1994</x:v>
      </x:c>
      <x:c r="C416" s="16" t="str">
        <x:v>Graduation</x:v>
      </x:c>
      <x:c r="D416" s="16" t="str">
        <x:v>Together</x:v>
      </x:c>
      <x:c r="E416" s="16" t="n">
        <x:v>80134</x:v>
      </x:c>
      <x:c r="F416" s="16" t="n">
        <x:v>0</x:v>
      </x:c>
      <x:c r="G416" s="16" t="n">
        <x:v>0</x:v>
      </x:c>
      <x:c r="H416" s="16" t="str">
        <x:v>14-02-2014</x:v>
      </x:c>
      <x:c r="I416" s="16" t="n">
        <x:v>11</x:v>
      </x:c>
      <x:c r="J416" s="16" t="n">
        <x:v>966</x:v>
      </x:c>
      <x:c r="K416" s="16" t="n">
        <x:v>26</x:v>
      </x:c>
      <x:c r="L416" s="16" t="n">
        <x:v>282</x:v>
      </x:c>
      <x:c r="M416" s="16" t="n">
        <x:v>52</x:v>
      </x:c>
      <x:c r="N416" s="16" t="n">
        <x:v>26</x:v>
      </x:c>
      <x:c r="O416" s="16" t="n">
        <x:v>26</x:v>
      </x:c>
      <x:c r="P416" s="16" t="n">
        <x:v>1</x:v>
      </x:c>
      <x:c r="Q416" s="16" t="n">
        <x:v>2</x:v>
      </x:c>
      <x:c r="R416" s="16" t="n">
        <x:v>7</x:v>
      </x:c>
      <x:c r="S416" s="16" t="n">
        <x:v>11</x:v>
      </x:c>
      <x:c r="T416" s="16" t="n">
        <x:v>5</x:v>
      </x:c>
      <x:c r="U416" s="16" t="n">
        <x:v>0</x:v>
      </x:c>
      <x:c r="V416" s="16" t="n">
        <x:v>1</x:v>
      </x:c>
      <x:c r="W416" s="16" t="n">
        <x:v>1</x:v>
      </x:c>
      <x:c r="X416" s="16" t="n">
        <x:v>1</x:v>
      </x:c>
      <x:c r="Y416" s="16" t="n">
        <x:v>1</x:v>
      </x:c>
      <x:c r="Z416" s="16" t="n">
        <x:v>0</x:v>
      </x:c>
      <x:c r="AA416" s="16" t="n">
        <x:v>3</x:v>
      </x:c>
      <x:c r="AB416" s="16" t="n">
        <x:v>11</x:v>
      </x:c>
      <x:c r="AC416" s="16" t="n">
        <x:v>0</x:v>
      </x:c>
      <x:c r="AD416" s="21" t="n">
        <x:f>IF(E416="",MEDIAN($E$2:$E$2237),E416)</x:f>
        <x:v>80134</x:v>
      </x:c>
      <x:c r="AE416" s="17" t="n">
        <x:f>2014-B416</x:f>
        <x:v>20</x:v>
      </x:c>
      <x:c r="AF416" s="17" t="n">
        <x:f>F416+G416</x:f>
        <x:v>0</x:v>
      </x:c>
      <x:c r="AG416" s="21" t="n">
        <x:f>SUM(J416:O416)</x:f>
        <x:v>1378</x:v>
      </x:c>
      <x:c r="AH416" s="17" t="n">
        <x:f>SUM(Q416:S416)</x:f>
        <x:v>20</x:v>
      </x:c>
      <x:c r="AI416" s="17" t="n">
        <x:f>SUM(U416:Y416)</x:f>
        <x:v>4</x:v>
      </x:c>
      <x:c r="AJ416" s="17" t="str">
        <x:f>IF(AE416&lt;=34,"≤34",IF(AE416&lt;=44,"35–44",IF(AE416&lt;=54,"45–54",IF(AE416&lt;=64,"55–64","65+"))))</x:f>
        <x:v>≤34</x:v>
      </x:c>
      <x:c r="AK416" s="17" t="str">
        <x:f>IF(AG416&gt;=1000,"High Value",IF(AG416&gt;=300,"Mid Value","Low Value"))</x:f>
        <x:v>High Value</x:v>
      </x:c>
      <x:c r="AL416" s="17" t="str">
        <x:f>IF(AND(AI416&gt;=1,I416&lt;=50),"Priority 1",IF(AND(AG416&gt;=1000,I416&lt;=60),"Priority 2",IF(I416&lt;=30,"Priority 3","Nurture")))</x:f>
        <x:v>Priority 1</x:v>
      </x:c>
    </x:row>
    <x:row r="417">
      <x:c r="A417" s="16" t="n">
        <x:v>4216</x:v>
      </x:c>
      <x:c r="B417" s="16" t="n">
        <x:v>1981</x:v>
      </x:c>
      <x:c r="C417" s="16" t="str">
        <x:v>Graduation</x:v>
      </x:c>
      <x:c r="D417" s="16" t="str">
        <x:v>Single</x:v>
      </x:c>
      <x:c r="E417" s="16" t="n">
        <x:v>91065</x:v>
      </x:c>
      <x:c r="F417" s="16" t="n">
        <x:v>0</x:v>
      </x:c>
      <x:c r="G417" s="16" t="n">
        <x:v>0</x:v>
      </x:c>
      <x:c r="H417" s="16" t="str">
        <x:v>22-02-2013</x:v>
      </x:c>
      <x:c r="I417" s="16" t="n">
        <x:v>33</x:v>
      </x:c>
      <x:c r="J417" s="16" t="n">
        <x:v>822</x:v>
      </x:c>
      <x:c r="K417" s="16" t="n">
        <x:v>114</x:v>
      </x:c>
      <x:c r="L417" s="16" t="n">
        <x:v>108</x:v>
      </x:c>
      <x:c r="M417" s="16" t="n">
        <x:v>179</x:v>
      </x:c>
      <x:c r="N417" s="16" t="n">
        <x:v>137</x:v>
      </x:c>
      <x:c r="O417" s="16" t="n">
        <x:v>114</x:v>
      </x:c>
      <x:c r="P417" s="16" t="n">
        <x:v>1</x:v>
      </x:c>
      <x:c r="Q417" s="16" t="n">
        <x:v>7</x:v>
      </x:c>
      <x:c r="R417" s="16" t="n">
        <x:v>9</x:v>
      </x:c>
      <x:c r="S417" s="16" t="n">
        <x:v>9</x:v>
      </x:c>
      <x:c r="T417" s="16" t="n">
        <x:v>3</x:v>
      </x:c>
      <x:c r="U417" s="16" t="n">
        <x:v>0</x:v>
      </x:c>
      <x:c r="V417" s="16" t="n">
        <x:v>0</x:v>
      </x:c>
      <x:c r="W417" s="16" t="n">
        <x:v>1</x:v>
      </x:c>
      <x:c r="X417" s="16" t="n">
        <x:v>1</x:v>
      </x:c>
      <x:c r="Y417" s="16" t="n">
        <x:v>0</x:v>
      </x:c>
      <x:c r="Z417" s="16" t="n">
        <x:v>0</x:v>
      </x:c>
      <x:c r="AA417" s="16" t="n">
        <x:v>3</x:v>
      </x:c>
      <x:c r="AB417" s="16" t="n">
        <x:v>11</x:v>
      </x:c>
      <x:c r="AC417" s="16" t="n">
        <x:v>1</x:v>
      </x:c>
      <x:c r="AD417" s="21" t="n">
        <x:f>IF(E417="",MEDIAN($E$2:$E$2237),E417)</x:f>
        <x:v>91065</x:v>
      </x:c>
      <x:c r="AE417" s="17" t="n">
        <x:f>2014-B417</x:f>
        <x:v>33</x:v>
      </x:c>
      <x:c r="AF417" s="17" t="n">
        <x:f>F417+G417</x:f>
        <x:v>0</x:v>
      </x:c>
      <x:c r="AG417" s="21" t="n">
        <x:f>SUM(J417:O417)</x:f>
        <x:v>1474</x:v>
      </x:c>
      <x:c r="AH417" s="17" t="n">
        <x:f>SUM(Q417:S417)</x:f>
        <x:v>25</x:v>
      </x:c>
      <x:c r="AI417" s="17" t="n">
        <x:f>SUM(U417:Y417)</x:f>
        <x:v>2</x:v>
      </x:c>
      <x:c r="AJ417" s="17" t="str">
        <x:f>IF(AE417&lt;=34,"≤34",IF(AE417&lt;=44,"35–44",IF(AE417&lt;=54,"45–54",IF(AE417&lt;=64,"55–64","65+"))))</x:f>
        <x:v>≤34</x:v>
      </x:c>
      <x:c r="AK417" s="17" t="str">
        <x:f>IF(AG417&gt;=1000,"High Value",IF(AG417&gt;=300,"Mid Value","Low Value"))</x:f>
        <x:v>High Value</x:v>
      </x:c>
      <x:c r="AL417" s="17" t="str">
        <x:f>IF(AND(AI417&gt;=1,I417&lt;=50),"Priority 1",IF(AND(AG417&gt;=1000,I417&lt;=60),"Priority 2",IF(I417&lt;=30,"Priority 3","Nurture")))</x:f>
        <x:v>Priority 1</x:v>
      </x:c>
    </x:row>
    <x:row r="418">
      <x:c r="A418" s="16" t="n">
        <x:v>8581</x:v>
      </x:c>
      <x:c r="B418" s="16" t="n">
        <x:v>1971</x:v>
      </x:c>
      <x:c r="C418" s="16" t="str">
        <x:v>Master</x:v>
      </x:c>
      <x:c r="D418" s="16" t="str">
        <x:v>Married</x:v>
      </x:c>
      <x:c r="E418" s="16" t="n">
        <x:v>49505</x:v>
      </x:c>
      <x:c r="F418" s="16" t="n">
        <x:v>1</x:v>
      </x:c>
      <x:c r="G418" s="16" t="n">
        <x:v>1</x:v>
      </x:c>
      <x:c r="H418" s="16" t="str">
        <x:v>05-03-2013</x:v>
      </x:c>
      <x:c r="I418" s="16" t="n">
        <x:v>4</x:v>
      </x:c>
      <x:c r="J418" s="16" t="n">
        <x:v>604</x:v>
      </x:c>
      <x:c r="K418" s="16" t="n">
        <x:v>0</x:v>
      </x:c>
      <x:c r="L418" s="16" t="n">
        <x:v>100</x:v>
      </x:c>
      <x:c r="M418" s="16" t="n">
        <x:v>19</x:v>
      </x:c>
      <x:c r="N418" s="16" t="n">
        <x:v>0</x:v>
      </x:c>
      <x:c r="O418" s="16" t="n">
        <x:v>28</x:v>
      </x:c>
      <x:c r="P418" s="16" t="n">
        <x:v>9</x:v>
      </x:c>
      <x:c r="Q418" s="16" t="n">
        <x:v>10</x:v>
      </x:c>
      <x:c r="R418" s="16" t="n">
        <x:v>2</x:v>
      </x:c>
      <x:c r="S418" s="16" t="n">
        <x:v>8</x:v>
      </x:c>
      <x:c r="T418" s="16" t="n">
        <x:v>8</x:v>
      </x:c>
      <x:c r="U418" s="16" t="n">
        <x:v>0</x:v>
      </x:c>
      <x:c r="V418" s="16" t="n">
        <x:v>0</x:v>
      </x:c>
      <x:c r="W418" s="16" t="n">
        <x:v>0</x:v>
      </x:c>
      <x:c r="X418" s="16" t="n">
        <x:v>0</x:v>
      </x:c>
      <x:c r="Y418" s="16" t="n">
        <x:v>0</x:v>
      </x:c>
      <x:c r="Z418" s="16" t="n">
        <x:v>0</x:v>
      </x:c>
      <x:c r="AA418" s="16" t="n">
        <x:v>3</x:v>
      </x:c>
      <x:c r="AB418" s="16" t="n">
        <x:v>11</x:v>
      </x:c>
      <x:c r="AC418" s="16" t="n">
        <x:v>0</x:v>
      </x:c>
      <x:c r="AD418" s="21" t="n">
        <x:f>IF(E418="",MEDIAN($E$2:$E$2237),E418)</x:f>
        <x:v>49505</x:v>
      </x:c>
      <x:c r="AE418" s="17" t="n">
        <x:f>2014-B418</x:f>
        <x:v>43</x:v>
      </x:c>
      <x:c r="AF418" s="17" t="n">
        <x:f>F418+G418</x:f>
        <x:v>2</x:v>
      </x:c>
      <x:c r="AG418" s="21" t="n">
        <x:f>SUM(J418:O418)</x:f>
        <x:v>751</x:v>
      </x:c>
      <x:c r="AH418" s="17" t="n">
        <x:f>SUM(Q418:S418)</x:f>
        <x:v>20</x:v>
      </x:c>
      <x:c r="AI418" s="17" t="n">
        <x:f>SUM(U418:Y418)</x:f>
        <x:v>0</x:v>
      </x:c>
      <x:c r="AJ418" s="17" t="str">
        <x:f>IF(AE418&lt;=34,"≤34",IF(AE418&lt;=44,"35–44",IF(AE418&lt;=54,"45–54",IF(AE418&lt;=64,"55–64","65+"))))</x:f>
        <x:v>35–44</x:v>
      </x:c>
      <x:c r="AK418" s="17" t="str">
        <x:f>IF(AG418&gt;=1000,"High Value",IF(AG418&gt;=300,"Mid Value","Low Value"))</x:f>
        <x:v>Mid Value</x:v>
      </x:c>
      <x:c r="AL418" s="17" t="str">
        <x:f>IF(AND(AI418&gt;=1,I418&lt;=50),"Priority 1",IF(AND(AG418&gt;=1000,I418&lt;=60),"Priority 2",IF(I418&lt;=30,"Priority 3","Nurture")))</x:f>
        <x:v>Priority 3</x:v>
      </x:c>
    </x:row>
    <x:row r="419">
      <x:c r="A419" s="16" t="n">
        <x:v>5929</x:v>
      </x:c>
      <x:c r="B419" s="16" t="n">
        <x:v>1973</x:v>
      </x:c>
      <x:c r="C419" s="16" t="str">
        <x:v>PhD</x:v>
      </x:c>
      <x:c r="D419" s="16" t="str">
        <x:v>Married</x:v>
      </x:c>
      <x:c r="E419" s="16" t="n">
        <x:v>37401</x:v>
      </x:c>
      <x:c r="F419" s="16" t="n">
        <x:v>1</x:v>
      </x:c>
      <x:c r="G419" s="16" t="n">
        <x:v>0</x:v>
      </x:c>
      <x:c r="H419" s="16" t="str">
        <x:v>06-05-2014</x:v>
      </x:c>
      <x:c r="I419" s="16" t="n">
        <x:v>14</x:v>
      </x:c>
      <x:c r="J419" s="16" t="n">
        <x:v>19</x:v>
      </x:c>
      <x:c r="K419" s="16" t="n">
        <x:v>3</x:v>
      </x:c>
      <x:c r="L419" s="16" t="n">
        <x:v>19</x:v>
      </x:c>
      <x:c r="M419" s="16" t="n">
        <x:v>3</x:v>
      </x:c>
      <x:c r="N419" s="16" t="n">
        <x:v>1</x:v>
      </x:c>
      <x:c r="O419" s="16" t="n">
        <x:v>3</x:v>
      </x:c>
      <x:c r="P419" s="16" t="n">
        <x:v>2</x:v>
      </x:c>
      <x:c r="Q419" s="16" t="n">
        <x:v>2</x:v>
      </x:c>
      <x:c r="R419" s="16" t="n">
        <x:v>0</x:v>
      </x:c>
      <x:c r="S419" s="16" t="n">
        <x:v>3</x:v>
      </x:c>
      <x:c r="T419" s="16" t="n">
        <x:v>7</x:v>
      </x:c>
      <x:c r="U419" s="16" t="n">
        <x:v>0</x:v>
      </x:c>
      <x:c r="V419" s="16" t="n">
        <x:v>0</x:v>
      </x:c>
      <x:c r="W419" s="16" t="n">
        <x:v>0</x:v>
      </x:c>
      <x:c r="X419" s="16" t="n">
        <x:v>0</x:v>
      </x:c>
      <x:c r="Y419" s="16" t="n">
        <x:v>0</x:v>
      </x:c>
      <x:c r="Z419" s="16" t="n">
        <x:v>0</x:v>
      </x:c>
      <x:c r="AA419" s="16" t="n">
        <x:v>3</x:v>
      </x:c>
      <x:c r="AB419" s="16" t="n">
        <x:v>11</x:v>
      </x:c>
      <x:c r="AC419" s="16" t="n">
        <x:v>0</x:v>
      </x:c>
      <x:c r="AD419" s="21" t="n">
        <x:f>IF(E419="",MEDIAN($E$2:$E$2237),E419)</x:f>
        <x:v>37401</x:v>
      </x:c>
      <x:c r="AE419" s="17" t="n">
        <x:f>2014-B419</x:f>
        <x:v>41</x:v>
      </x:c>
      <x:c r="AF419" s="17" t="n">
        <x:f>F419+G419</x:f>
        <x:v>1</x:v>
      </x:c>
      <x:c r="AG419" s="21" t="n">
        <x:f>SUM(J419:O419)</x:f>
        <x:v>48</x:v>
      </x:c>
      <x:c r="AH419" s="17" t="n">
        <x:f>SUM(Q419:S419)</x:f>
        <x:v>5</x:v>
      </x:c>
      <x:c r="AI419" s="17" t="n">
        <x:f>SUM(U419:Y419)</x:f>
        <x:v>0</x:v>
      </x:c>
      <x:c r="AJ419" s="17" t="str">
        <x:f>IF(AE419&lt;=34,"≤34",IF(AE419&lt;=44,"35–44",IF(AE419&lt;=54,"45–54",IF(AE419&lt;=64,"55–64","65+"))))</x:f>
        <x:v>35–44</x:v>
      </x:c>
      <x:c r="AK419" s="17" t="str">
        <x:f>IF(AG419&gt;=1000,"High Value",IF(AG419&gt;=300,"Mid Value","Low Value"))</x:f>
        <x:v>Low Value</x:v>
      </x:c>
      <x:c r="AL419" s="17" t="str">
        <x:f>IF(AND(AI419&gt;=1,I419&lt;=50),"Priority 1",IF(AND(AG419&gt;=1000,I419&lt;=60),"Priority 2",IF(I419&lt;=30,"Priority 3","Nurture")))</x:f>
        <x:v>Priority 3</x:v>
      </x:c>
    </x:row>
    <x:row r="420">
      <x:c r="A420" s="16" t="n">
        <x:v>3129</x:v>
      </x:c>
      <x:c r="B420" s="16" t="n">
        <x:v>1983</x:v>
      </x:c>
      <x:c r="C420" s="16" t="str">
        <x:v>Graduation</x:v>
      </x:c>
      <x:c r="D420" s="16" t="str">
        <x:v>Married</x:v>
      </x:c>
      <x:c r="E420" s="16" t="n">
        <x:v>30096</x:v>
      </x:c>
      <x:c r="F420" s="16" t="n">
        <x:v>1</x:v>
      </x:c>
      <x:c r="G420" s="16" t="n">
        <x:v>0</x:v>
      </x:c>
      <x:c r="H420" s="16" t="str">
        <x:v>22-05-2014</x:v>
      </x:c>
      <x:c r="I420" s="16" t="n">
        <x:v>30</x:v>
      </x:c>
      <x:c r="J420" s="16" t="n">
        <x:v>5</x:v>
      </x:c>
      <x:c r="K420" s="16" t="n">
        <x:v>3</x:v>
      </x:c>
      <x:c r="L420" s="16" t="n">
        <x:v>11</x:v>
      </x:c>
      <x:c r="M420" s="16" t="n">
        <x:v>12</x:v>
      </x:c>
      <x:c r="N420" s="16" t="n">
        <x:v>5</x:v>
      </x:c>
      <x:c r="O420" s="16" t="n">
        <x:v>9</x:v>
      </x:c>
      <x:c r="P420" s="16" t="n">
        <x:v>1</x:v>
      </x:c>
      <x:c r="Q420" s="16" t="n">
        <x:v>2</x:v>
      </x:c>
      <x:c r="R420" s="16" t="n">
        <x:v>0</x:v>
      </x:c>
      <x:c r="S420" s="16" t="n">
        <x:v>3</x:v>
      </x:c>
      <x:c r="T420" s="16" t="n">
        <x:v>6</x:v>
      </x:c>
      <x:c r="U420" s="16" t="n">
        <x:v>0</x:v>
      </x:c>
      <x:c r="V420" s="16" t="n">
        <x:v>0</x:v>
      </x:c>
      <x:c r="W420" s="16" t="n">
        <x:v>0</x:v>
      </x:c>
      <x:c r="X420" s="16" t="n">
        <x:v>0</x:v>
      </x:c>
      <x:c r="Y420" s="16" t="n">
        <x:v>0</x:v>
      </x:c>
      <x:c r="Z420" s="16" t="n">
        <x:v>0</x:v>
      </x:c>
      <x:c r="AA420" s="16" t="n">
        <x:v>3</x:v>
      </x:c>
      <x:c r="AB420" s="16" t="n">
        <x:v>11</x:v>
      </x:c>
      <x:c r="AC420" s="16" t="n">
        <x:v>0</x:v>
      </x:c>
      <x:c r="AD420" s="21" t="n">
        <x:f>IF(E420="",MEDIAN($E$2:$E$2237),E420)</x:f>
        <x:v>30096</x:v>
      </x:c>
      <x:c r="AE420" s="17" t="n">
        <x:f>2014-B420</x:f>
        <x:v>31</x:v>
      </x:c>
      <x:c r="AF420" s="17" t="n">
        <x:f>F420+G420</x:f>
        <x:v>1</x:v>
      </x:c>
      <x:c r="AG420" s="21" t="n">
        <x:f>SUM(J420:O420)</x:f>
        <x:v>45</x:v>
      </x:c>
      <x:c r="AH420" s="17" t="n">
        <x:f>SUM(Q420:S420)</x:f>
        <x:v>5</x:v>
      </x:c>
      <x:c r="AI420" s="17" t="n">
        <x:f>SUM(U420:Y420)</x:f>
        <x:v>0</x:v>
      </x:c>
      <x:c r="AJ420" s="17" t="str">
        <x:f>IF(AE420&lt;=34,"≤34",IF(AE420&lt;=44,"35–44",IF(AE420&lt;=54,"45–54",IF(AE420&lt;=64,"55–64","65+"))))</x:f>
        <x:v>≤34</x:v>
      </x:c>
      <x:c r="AK420" s="17" t="str">
        <x:f>IF(AG420&gt;=1000,"High Value",IF(AG420&gt;=300,"Mid Value","Low Value"))</x:f>
        <x:v>Low Value</x:v>
      </x:c>
      <x:c r="AL420" s="17" t="str">
        <x:f>IF(AND(AI420&gt;=1,I420&lt;=50),"Priority 1",IF(AND(AG420&gt;=1000,I420&lt;=60),"Priority 2",IF(I420&lt;=30,"Priority 3","Nurture")))</x:f>
        <x:v>Priority 3</x:v>
      </x:c>
    </x:row>
    <x:row r="421">
      <x:c r="A421" s="16" t="n">
        <x:v>6528</x:v>
      </x:c>
      <x:c r="B421" s="16" t="n">
        <x:v>1982</x:v>
      </x:c>
      <x:c r="C421" s="16" t="str">
        <x:v>Master</x:v>
      </x:c>
      <x:c r="D421" s="16" t="str">
        <x:v>Together</x:v>
      </x:c>
      <x:c r="E421" s="16" t="n">
        <x:v>18492</x:v>
      </x:c>
      <x:c r="F421" s="16" t="n">
        <x:v>1</x:v>
      </x:c>
      <x:c r="G421" s="16" t="n">
        <x:v>0</x:v>
      </x:c>
      <x:c r="H421" s="16" t="str">
        <x:v>05-06-2014</x:v>
      </x:c>
      <x:c r="I421" s="16" t="n">
        <x:v>75</x:v>
      </x:c>
      <x:c r="J421" s="16" t="n">
        <x:v>2</x:v>
      </x:c>
      <x:c r="K421" s="16" t="n">
        <x:v>2</x:v>
      </x:c>
      <x:c r="L421" s="16" t="n">
        <x:v>2</x:v>
      </x:c>
      <x:c r="M421" s="16" t="n">
        <x:v>2</x:v>
      </x:c>
      <x:c r="N421" s="16" t="n">
        <x:v>1</x:v>
      </x:c>
      <x:c r="O421" s="16" t="n">
        <x:v>1</x:v>
      </x:c>
      <x:c r="P421" s="16" t="n">
        <x:v>1</x:v>
      </x:c>
      <x:c r="Q421" s="16" t="n">
        <x:v>1</x:v>
      </x:c>
      <x:c r="R421" s="16" t="n">
        <x:v>0</x:v>
      </x:c>
      <x:c r="S421" s="16" t="n">
        <x:v>2</x:v>
      </x:c>
      <x:c r="T421" s="16" t="n">
        <x:v>8</x:v>
      </x:c>
      <x:c r="U421" s="16" t="n">
        <x:v>0</x:v>
      </x:c>
      <x:c r="V421" s="16" t="n">
        <x:v>0</x:v>
      </x:c>
      <x:c r="W421" s="16" t="n">
        <x:v>0</x:v>
      </x:c>
      <x:c r="X421" s="16" t="n">
        <x:v>0</x:v>
      </x:c>
      <x:c r="Y421" s="16" t="n">
        <x:v>0</x:v>
      </x:c>
      <x:c r="Z421" s="16" t="n">
        <x:v>0</x:v>
      </x:c>
      <x:c r="AA421" s="16" t="n">
        <x:v>3</x:v>
      </x:c>
      <x:c r="AB421" s="16" t="n">
        <x:v>11</x:v>
      </x:c>
      <x:c r="AC421" s="16" t="n">
        <x:v>0</x:v>
      </x:c>
      <x:c r="AD421" s="21" t="n">
        <x:f>IF(E421="",MEDIAN($E$2:$E$2237),E421)</x:f>
        <x:v>18492</x:v>
      </x:c>
      <x:c r="AE421" s="17" t="n">
        <x:f>2014-B421</x:f>
        <x:v>32</x:v>
      </x:c>
      <x:c r="AF421" s="17" t="n">
        <x:f>F421+G421</x:f>
        <x:v>1</x:v>
      </x:c>
      <x:c r="AG421" s="21" t="n">
        <x:f>SUM(J421:O421)</x:f>
        <x:v>10</x:v>
      </x:c>
      <x:c r="AH421" s="17" t="n">
        <x:f>SUM(Q421:S421)</x:f>
        <x:v>3</x:v>
      </x:c>
      <x:c r="AI421" s="17" t="n">
        <x:f>SUM(U421:Y421)</x:f>
        <x:v>0</x:v>
      </x:c>
      <x:c r="AJ421" s="17" t="str">
        <x:f>IF(AE421&lt;=34,"≤34",IF(AE421&lt;=44,"35–44",IF(AE421&lt;=54,"45–54",IF(AE421&lt;=64,"55–64","65+"))))</x:f>
        <x:v>≤34</x:v>
      </x:c>
      <x:c r="AK421" s="17" t="str">
        <x:f>IF(AG421&gt;=1000,"High Value",IF(AG421&gt;=300,"Mid Value","Low Value"))</x:f>
        <x:v>Low Value</x:v>
      </x:c>
      <x:c r="AL421" s="17" t="str">
        <x:f>IF(AND(AI421&gt;=1,I421&lt;=50),"Priority 1",IF(AND(AG421&gt;=1000,I421&lt;=60),"Priority 2",IF(I421&lt;=30,"Priority 3","Nurture")))</x:f>
        <x:v>Nurture</x:v>
      </x:c>
    </x:row>
    <x:row r="422">
      <x:c r="A422" s="16" t="n">
        <x:v>1361</x:v>
      </x:c>
      <x:c r="B422" s="16" t="n">
        <x:v>1974</x:v>
      </x:c>
      <x:c r="C422" s="16" t="str">
        <x:v>Master</x:v>
      </x:c>
      <x:c r="D422" s="16" t="str">
        <x:v>Married</x:v>
      </x:c>
      <x:c r="E422" s="16" t="n">
        <x:v>82584</x:v>
      </x:c>
      <x:c r="F422" s="16" t="n">
        <x:v>0</x:v>
      </x:c>
      <x:c r="G422" s="16" t="n">
        <x:v>0</x:v>
      </x:c>
      <x:c r="H422" s="16" t="str">
        <x:v>04-06-2013</x:v>
      </x:c>
      <x:c r="I422" s="16" t="n">
        <x:v>26</x:v>
      </x:c>
      <x:c r="J422" s="16" t="n">
        <x:v>1076</x:v>
      </x:c>
      <x:c r="K422" s="16" t="n">
        <x:v>68</x:v>
      </x:c>
      <x:c r="L422" s="16" t="n">
        <x:v>103</x:v>
      </x:c>
      <x:c r="M422" s="16" t="n">
        <x:v>29</x:v>
      </x:c>
      <x:c r="N422" s="16" t="n">
        <x:v>91</x:v>
      </x:c>
      <x:c r="O422" s="16" t="n">
        <x:v>68</x:v>
      </x:c>
      <x:c r="P422" s="16" t="n">
        <x:v>1</x:v>
      </x:c>
      <x:c r="Q422" s="16" t="n">
        <x:v>3</x:v>
      </x:c>
      <x:c r="R422" s="16" t="n">
        <x:v>4</x:v>
      </x:c>
      <x:c r="S422" s="16" t="n">
        <x:v>8</x:v>
      </x:c>
      <x:c r="T422" s="16" t="n">
        <x:v>1</x:v>
      </x:c>
      <x:c r="U422" s="16" t="n">
        <x:v>0</x:v>
      </x:c>
      <x:c r="V422" s="16" t="n">
        <x:v>1</x:v>
      </x:c>
      <x:c r="W422" s="16" t="n">
        <x:v>1</x:v>
      </x:c>
      <x:c r="X422" s="16" t="n">
        <x:v>0</x:v>
      </x:c>
      <x:c r="Y422" s="16" t="n">
        <x:v>0</x:v>
      </x:c>
      <x:c r="Z422" s="16" t="n">
        <x:v>0</x:v>
      </x:c>
      <x:c r="AA422" s="16" t="n">
        <x:v>3</x:v>
      </x:c>
      <x:c r="AB422" s="16" t="n">
        <x:v>11</x:v>
      </x:c>
      <x:c r="AC422" s="16" t="n">
        <x:v>1</x:v>
      </x:c>
      <x:c r="AD422" s="21" t="n">
        <x:f>IF(E422="",MEDIAN($E$2:$E$2237),E422)</x:f>
        <x:v>82584</x:v>
      </x:c>
      <x:c r="AE422" s="17" t="n">
        <x:f>2014-B422</x:f>
        <x:v>40</x:v>
      </x:c>
      <x:c r="AF422" s="17" t="n">
        <x:f>F422+G422</x:f>
        <x:v>0</x:v>
      </x:c>
      <x:c r="AG422" s="21" t="n">
        <x:f>SUM(J422:O422)</x:f>
        <x:v>1435</x:v>
      </x:c>
      <x:c r="AH422" s="17" t="n">
        <x:f>SUM(Q422:S422)</x:f>
        <x:v>15</x:v>
      </x:c>
      <x:c r="AI422" s="17" t="n">
        <x:f>SUM(U422:Y422)</x:f>
        <x:v>2</x:v>
      </x:c>
      <x:c r="AJ422" s="17" t="str">
        <x:f>IF(AE422&lt;=34,"≤34",IF(AE422&lt;=44,"35–44",IF(AE422&lt;=54,"45–54",IF(AE422&lt;=64,"55–64","65+"))))</x:f>
        <x:v>35–44</x:v>
      </x:c>
      <x:c r="AK422" s="17" t="str">
        <x:f>IF(AG422&gt;=1000,"High Value",IF(AG422&gt;=300,"Mid Value","Low Value"))</x:f>
        <x:v>High Value</x:v>
      </x:c>
      <x:c r="AL422" s="17" t="str">
        <x:f>IF(AND(AI422&gt;=1,I422&lt;=50),"Priority 1",IF(AND(AG422&gt;=1000,I422&lt;=60),"Priority 2",IF(I422&lt;=30,"Priority 3","Nurture")))</x:f>
        <x:v>Priority 1</x:v>
      </x:c>
    </x:row>
    <x:row r="423">
      <x:c r="A423" s="16" t="n">
        <x:v>6932</x:v>
      </x:c>
      <x:c r="B423" s="16" t="n">
        <x:v>1941</x:v>
      </x:c>
      <x:c r="C423" s="16" t="str">
        <x:v>PhD</x:v>
      </x:c>
      <x:c r="D423" s="16" t="str">
        <x:v>Married</x:v>
      </x:c>
      <x:c r="E423" s="16" t="n">
        <x:v>93027</x:v>
      </x:c>
      <x:c r="F423" s="16" t="n">
        <x:v>0</x:v>
      </x:c>
      <x:c r="G423" s="16" t="n">
        <x:v>0</x:v>
      </x:c>
      <x:c r="H423" s="16" t="str">
        <x:v>13-04-2013</x:v>
      </x:c>
      <x:c r="I423" s="16" t="n">
        <x:v>77</x:v>
      </x:c>
      <x:c r="J423" s="16" t="n">
        <x:v>1285</x:v>
      </x:c>
      <x:c r="K423" s="16" t="n">
        <x:v>42</x:v>
      </x:c>
      <x:c r="L423" s="16" t="n">
        <x:v>716</x:v>
      </x:c>
      <x:c r="M423" s="16" t="n">
        <x:v>55</x:v>
      </x:c>
      <x:c r="N423" s="16" t="n">
        <x:v>0</x:v>
      </x:c>
      <x:c r="O423" s="16" t="n">
        <x:v>21</x:v>
      </x:c>
      <x:c r="P423" s="16" t="n">
        <x:v>0</x:v>
      </x:c>
      <x:c r="Q423" s="16" t="n">
        <x:v>7</x:v>
      </x:c>
      <x:c r="R423" s="16" t="n">
        <x:v>10</x:v>
      </x:c>
      <x:c r="S423" s="16" t="n">
        <x:v>5</x:v>
      </x:c>
      <x:c r="T423" s="16" t="n">
        <x:v>2</x:v>
      </x:c>
      <x:c r="U423" s="16" t="n">
        <x:v>0</x:v>
      </x:c>
      <x:c r="V423" s="16" t="n">
        <x:v>0</x:v>
      </x:c>
      <x:c r="W423" s="16" t="n">
        <x:v>1</x:v>
      </x:c>
      <x:c r="X423" s="16" t="n">
        <x:v>0</x:v>
      </x:c>
      <x:c r="Y423" s="16" t="n">
        <x:v>0</x:v>
      </x:c>
      <x:c r="Z423" s="16" t="n">
        <x:v>0</x:v>
      </x:c>
      <x:c r="AA423" s="16" t="n">
        <x:v>3</x:v>
      </x:c>
      <x:c r="AB423" s="16" t="n">
        <x:v>11</x:v>
      </x:c>
      <x:c r="AC423" s="16" t="n">
        <x:v>0</x:v>
      </x:c>
      <x:c r="AD423" s="21" t="n">
        <x:f>IF(E423="",MEDIAN($E$2:$E$2237),E423)</x:f>
        <x:v>93027</x:v>
      </x:c>
      <x:c r="AE423" s="17" t="n">
        <x:f>2014-B423</x:f>
        <x:v>73</x:v>
      </x:c>
      <x:c r="AF423" s="17" t="n">
        <x:f>F423+G423</x:f>
        <x:v>0</x:v>
      </x:c>
      <x:c r="AG423" s="21" t="n">
        <x:f>SUM(J423:O423)</x:f>
        <x:v>2119</x:v>
      </x:c>
      <x:c r="AH423" s="17" t="n">
        <x:f>SUM(Q423:S423)</x:f>
        <x:v>22</x:v>
      </x:c>
      <x:c r="AI423" s="17" t="n">
        <x:f>SUM(U423:Y423)</x:f>
        <x:v>1</x:v>
      </x:c>
      <x:c r="AJ423" s="17" t="str">
        <x:f>IF(AE423&lt;=34,"≤34",IF(AE423&lt;=44,"35–44",IF(AE423&lt;=54,"45–54",IF(AE423&lt;=64,"55–64","65+"))))</x:f>
        <x:v>65+</x:v>
      </x:c>
      <x:c r="AK423" s="17" t="str">
        <x:f>IF(AG423&gt;=1000,"High Value",IF(AG423&gt;=300,"Mid Value","Low Value"))</x:f>
        <x:v>High Value</x:v>
      </x:c>
      <x:c r="AL423" s="17" t="str">
        <x:f>IF(AND(AI423&gt;=1,I423&lt;=50),"Priority 1",IF(AND(AG423&gt;=1000,I423&lt;=60),"Priority 2",IF(I423&lt;=30,"Priority 3","Nurture")))</x:f>
        <x:v>Nurture</x:v>
      </x:c>
    </x:row>
    <x:row r="424">
      <x:c r="A424" s="16" t="n">
        <x:v>7284</x:v>
      </x:c>
      <x:c r="B424" s="16" t="n">
        <x:v>1953</x:v>
      </x:c>
      <x:c r="C424" s="16" t="str">
        <x:v>Graduation</x:v>
      </x:c>
      <x:c r="D424" s="16" t="str">
        <x:v>Married</x:v>
      </x:c>
      <x:c r="E424" s="16" t="n">
        <x:v>48686</x:v>
      </x:c>
      <x:c r="F424" s="16" t="n">
        <x:v>1</x:v>
      </x:c>
      <x:c r="G424" s="16" t="n">
        <x:v>2</x:v>
      </x:c>
      <x:c r="H424" s="16" t="str">
        <x:v>04-12-2013</x:v>
      </x:c>
      <x:c r="I424" s="16" t="n">
        <x:v>8</x:v>
      </x:c>
      <x:c r="J424" s="16" t="n">
        <x:v>10</x:v>
      </x:c>
      <x:c r="K424" s="16" t="n">
        <x:v>0</x:v>
      </x:c>
      <x:c r="L424" s="16" t="n">
        <x:v>7</x:v>
      </x:c>
      <x:c r="M424" s="16" t="n">
        <x:v>2</x:v>
      </x:c>
      <x:c r="N424" s="16" t="n">
        <x:v>0</x:v>
      </x:c>
      <x:c r="O424" s="16" t="n">
        <x:v>1</x:v>
      </x:c>
      <x:c r="P424" s="16" t="n">
        <x:v>1</x:v>
      </x:c>
      <x:c r="Q424" s="16" t="n">
        <x:v>1</x:v>
      </x:c>
      <x:c r="R424" s="16" t="n">
        <x:v>0</x:v>
      </x:c>
      <x:c r="S424" s="16" t="n">
        <x:v>2</x:v>
      </x:c>
      <x:c r="T424" s="16" t="n">
        <x:v>8</x:v>
      </x:c>
      <x:c r="U424" s="16" t="n">
        <x:v>0</x:v>
      </x:c>
      <x:c r="V424" s="16" t="n">
        <x:v>0</x:v>
      </x:c>
      <x:c r="W424" s="16" t="n">
        <x:v>0</x:v>
      </x:c>
      <x:c r="X424" s="16" t="n">
        <x:v>0</x:v>
      </x:c>
      <x:c r="Y424" s="16" t="n">
        <x:v>0</x:v>
      </x:c>
      <x:c r="Z424" s="16" t="n">
        <x:v>0</x:v>
      </x:c>
      <x:c r="AA424" s="16" t="n">
        <x:v>3</x:v>
      </x:c>
      <x:c r="AB424" s="16" t="n">
        <x:v>11</x:v>
      </x:c>
      <x:c r="AC424" s="16" t="n">
        <x:v>0</x:v>
      </x:c>
      <x:c r="AD424" s="21" t="n">
        <x:f>IF(E424="",MEDIAN($E$2:$E$2237),E424)</x:f>
        <x:v>48686</x:v>
      </x:c>
      <x:c r="AE424" s="17" t="n">
        <x:f>2014-B424</x:f>
        <x:v>61</x:v>
      </x:c>
      <x:c r="AF424" s="17" t="n">
        <x:f>F424+G424</x:f>
        <x:v>3</x:v>
      </x:c>
      <x:c r="AG424" s="21" t="n">
        <x:f>SUM(J424:O424)</x:f>
        <x:v>20</x:v>
      </x:c>
      <x:c r="AH424" s="17" t="n">
        <x:f>SUM(Q424:S424)</x:f>
        <x:v>3</x:v>
      </x:c>
      <x:c r="AI424" s="17" t="n">
        <x:f>SUM(U424:Y424)</x:f>
        <x:v>0</x:v>
      </x:c>
      <x:c r="AJ424" s="17" t="str">
        <x:f>IF(AE424&lt;=34,"≤34",IF(AE424&lt;=44,"35–44",IF(AE424&lt;=54,"45–54",IF(AE424&lt;=64,"55–64","65+"))))</x:f>
        <x:v>55–64</x:v>
      </x:c>
      <x:c r="AK424" s="17" t="str">
        <x:f>IF(AG424&gt;=1000,"High Value",IF(AG424&gt;=300,"Mid Value","Low Value"))</x:f>
        <x:v>Low Value</x:v>
      </x:c>
      <x:c r="AL424" s="17" t="str">
        <x:f>IF(AND(AI424&gt;=1,I424&lt;=50),"Priority 1",IF(AND(AG424&gt;=1000,I424&lt;=60),"Priority 2",IF(I424&lt;=30,"Priority 3","Nurture")))</x:f>
        <x:v>Priority 3</x:v>
      </x:c>
    </x:row>
    <x:row r="425">
      <x:c r="A425" s="16" t="n">
        <x:v>1340</x:v>
      </x:c>
      <x:c r="B425" s="16" t="n">
        <x:v>1986</x:v>
      </x:c>
      <x:c r="C425" s="16" t="str">
        <x:v>Graduation</x:v>
      </x:c>
      <x:c r="D425" s="16" t="str">
        <x:v>Married</x:v>
      </x:c>
      <x:c r="E425" s="16" t="n">
        <x:v>92910</x:v>
      </x:c>
      <x:c r="F425" s="16" t="n">
        <x:v>0</x:v>
      </x:c>
      <x:c r="G425" s="16" t="n">
        <x:v>0</x:v>
      </x:c>
      <x:c r="H425" s="16" t="str">
        <x:v>24-04-2014</x:v>
      </x:c>
      <x:c r="I425" s="16" t="n">
        <x:v>42</x:v>
      </x:c>
      <x:c r="J425" s="16" t="n">
        <x:v>551</x:v>
      </x:c>
      <x:c r="K425" s="16" t="n">
        <x:v>137</x:v>
      </x:c>
      <x:c r="L425" s="16" t="n">
        <x:v>792</x:v>
      </x:c>
      <x:c r="M425" s="16" t="n">
        <x:v>179</x:v>
      </x:c>
      <x:c r="N425" s="16" t="n">
        <x:v>103</x:v>
      </x:c>
      <x:c r="O425" s="16" t="n">
        <x:v>33</x:v>
      </x:c>
      <x:c r="P425" s="16" t="n">
        <x:v>1</x:v>
      </x:c>
      <x:c r="Q425" s="16" t="n">
        <x:v>6</x:v>
      </x:c>
      <x:c r="R425" s="16" t="n">
        <x:v>7</x:v>
      </x:c>
      <x:c r="S425" s="16" t="n">
        <x:v>13</x:v>
      </x:c>
      <x:c r="T425" s="16" t="n">
        <x:v>1</x:v>
      </x:c>
      <x:c r="U425" s="16" t="n">
        <x:v>0</x:v>
      </x:c>
      <x:c r="V425" s="16" t="n">
        <x:v>1</x:v>
      </x:c>
      <x:c r="W425" s="16" t="n">
        <x:v>1</x:v>
      </x:c>
      <x:c r="X425" s="16" t="n">
        <x:v>1</x:v>
      </x:c>
      <x:c r="Y425" s="16" t="n">
        <x:v>0</x:v>
      </x:c>
      <x:c r="Z425" s="16" t="n">
        <x:v>0</x:v>
      </x:c>
      <x:c r="AA425" s="16" t="n">
        <x:v>3</x:v>
      </x:c>
      <x:c r="AB425" s="16" t="n">
        <x:v>11</x:v>
      </x:c>
      <x:c r="AC425" s="16" t="n">
        <x:v>0</x:v>
      </x:c>
      <x:c r="AD425" s="21" t="n">
        <x:f>IF(E425="",MEDIAN($E$2:$E$2237),E425)</x:f>
        <x:v>92910</x:v>
      </x:c>
      <x:c r="AE425" s="17" t="n">
        <x:f>2014-B425</x:f>
        <x:v>28</x:v>
      </x:c>
      <x:c r="AF425" s="17" t="n">
        <x:f>F425+G425</x:f>
        <x:v>0</x:v>
      </x:c>
      <x:c r="AG425" s="21" t="n">
        <x:f>SUM(J425:O425)</x:f>
        <x:v>1795</x:v>
      </x:c>
      <x:c r="AH425" s="17" t="n">
        <x:f>SUM(Q425:S425)</x:f>
        <x:v>26</x:v>
      </x:c>
      <x:c r="AI425" s="17" t="n">
        <x:f>SUM(U425:Y425)</x:f>
        <x:v>3</x:v>
      </x:c>
      <x:c r="AJ425" s="17" t="str">
        <x:f>IF(AE425&lt;=34,"≤34",IF(AE425&lt;=44,"35–44",IF(AE425&lt;=54,"45–54",IF(AE425&lt;=64,"55–64","65+"))))</x:f>
        <x:v>≤34</x:v>
      </x:c>
      <x:c r="AK425" s="17" t="str">
        <x:f>IF(AG425&gt;=1000,"High Value",IF(AG425&gt;=300,"Mid Value","Low Value"))</x:f>
        <x:v>High Value</x:v>
      </x:c>
      <x:c r="AL425" s="17" t="str">
        <x:f>IF(AND(AI425&gt;=1,I425&lt;=50),"Priority 1",IF(AND(AG425&gt;=1000,I425&lt;=60),"Priority 2",IF(I425&lt;=30,"Priority 3","Nurture")))</x:f>
        <x:v>Priority 1</x:v>
      </x:c>
    </x:row>
    <x:row r="426">
      <x:c r="A426" s="16" t="n">
        <x:v>8746</x:v>
      </x:c>
      <x:c r="B426" s="16" t="n">
        <x:v>1989</x:v>
      </x:c>
      <x:c r="C426" s="16" t="str">
        <x:v>Graduation</x:v>
      </x:c>
      <x:c r="D426" s="16" t="str">
        <x:v>Married</x:v>
      </x:c>
      <x:c r="E426" s="16" t="n">
        <x:v>75433</x:v>
      </x:c>
      <x:c r="F426" s="16" t="n">
        <x:v>1</x:v>
      </x:c>
      <x:c r="G426" s="16" t="n">
        <x:v>0</x:v>
      </x:c>
      <x:c r="H426" s="16" t="str">
        <x:v>05-04-2014</x:v>
      </x:c>
      <x:c r="I426" s="16" t="n">
        <x:v>28</x:v>
      </x:c>
      <x:c r="J426" s="16" t="n">
        <x:v>800</x:v>
      </x:c>
      <x:c r="K426" s="16" t="n">
        <x:v>0</x:v>
      </x:c>
      <x:c r="L426" s="16" t="n">
        <x:v>297</x:v>
      </x:c>
      <x:c r="M426" s="16" t="n">
        <x:v>0</x:v>
      </x:c>
      <x:c r="N426" s="16" t="n">
        <x:v>34</x:v>
      </x:c>
      <x:c r="O426" s="16" t="n">
        <x:v>57</x:v>
      </x:c>
      <x:c r="P426" s="16" t="n">
        <x:v>2</x:v>
      </x:c>
      <x:c r="Q426" s="16" t="n">
        <x:v>2</x:v>
      </x:c>
      <x:c r="R426" s="16" t="n">
        <x:v>5</x:v>
      </x:c>
      <x:c r="S426" s="16" t="n">
        <x:v>10</x:v>
      </x:c>
      <x:c r="T426" s="16" t="n">
        <x:v>6</x:v>
      </x:c>
      <x:c r="U426" s="16" t="n">
        <x:v>0</x:v>
      </x:c>
      <x:c r="V426" s="16" t="n">
        <x:v>1</x:v>
      </x:c>
      <x:c r="W426" s="16" t="n">
        <x:v>0</x:v>
      </x:c>
      <x:c r="X426" s="16" t="n">
        <x:v>1</x:v>
      </x:c>
      <x:c r="Y426" s="16" t="n">
        <x:v>0</x:v>
      </x:c>
      <x:c r="Z426" s="16" t="n">
        <x:v>0</x:v>
      </x:c>
      <x:c r="AA426" s="16" t="n">
        <x:v>3</x:v>
      </x:c>
      <x:c r="AB426" s="16" t="n">
        <x:v>11</x:v>
      </x:c>
      <x:c r="AC426" s="16" t="n">
        <x:v>0</x:v>
      </x:c>
      <x:c r="AD426" s="21" t="n">
        <x:f>IF(E426="",MEDIAN($E$2:$E$2237),E426)</x:f>
        <x:v>75433</x:v>
      </x:c>
      <x:c r="AE426" s="17" t="n">
        <x:f>2014-B426</x:f>
        <x:v>25</x:v>
      </x:c>
      <x:c r="AF426" s="17" t="n">
        <x:f>F426+G426</x:f>
        <x:v>1</x:v>
      </x:c>
      <x:c r="AG426" s="21" t="n">
        <x:f>SUM(J426:O426)</x:f>
        <x:v>1188</x:v>
      </x:c>
      <x:c r="AH426" s="17" t="n">
        <x:f>SUM(Q426:S426)</x:f>
        <x:v>17</x:v>
      </x:c>
      <x:c r="AI426" s="17" t="n">
        <x:f>SUM(U426:Y426)</x:f>
        <x:v>2</x:v>
      </x:c>
      <x:c r="AJ426" s="17" t="str">
        <x:f>IF(AE426&lt;=34,"≤34",IF(AE426&lt;=44,"35–44",IF(AE426&lt;=54,"45–54",IF(AE426&lt;=64,"55–64","65+"))))</x:f>
        <x:v>≤34</x:v>
      </x:c>
      <x:c r="AK426" s="17" t="str">
        <x:f>IF(AG426&gt;=1000,"High Value",IF(AG426&gt;=300,"Mid Value","Low Value"))</x:f>
        <x:v>High Value</x:v>
      </x:c>
      <x:c r="AL426" s="17" t="str">
        <x:f>IF(AND(AI426&gt;=1,I426&lt;=50),"Priority 1",IF(AND(AG426&gt;=1000,I426&lt;=60),"Priority 2",IF(I426&lt;=30,"Priority 3","Nurture")))</x:f>
        <x:v>Priority 1</x:v>
      </x:c>
    </x:row>
    <x:row r="427">
      <x:c r="A427" s="16" t="n">
        <x:v>5987</x:v>
      </x:c>
      <x:c r="B427" s="16" t="n">
        <x:v>1989</x:v>
      </x:c>
      <x:c r="C427" s="16" t="str">
        <x:v>2n Cycle</x:v>
      </x:c>
      <x:c r="D427" s="16" t="str">
        <x:v>Together</x:v>
      </x:c>
      <x:c r="E427" s="16" t="n">
        <x:v>10404</x:v>
      </x:c>
      <x:c r="F427" s="16" t="n">
        <x:v>1</x:v>
      </x:c>
      <x:c r="G427" s="16" t="n">
        <x:v>0</x:v>
      </x:c>
      <x:c r="H427" s="16" t="str">
        <x:v>04-05-2014</x:v>
      </x:c>
      <x:c r="I427" s="16" t="n">
        <x:v>52</x:v>
      </x:c>
      <x:c r="J427" s="16" t="n">
        <x:v>2</x:v>
      </x:c>
      <x:c r="K427" s="16" t="n">
        <x:v>2</x:v>
      </x:c>
      <x:c r="L427" s="16" t="n">
        <x:v>11</x:v>
      </x:c>
      <x:c r="M427" s="16" t="n">
        <x:v>10</x:v>
      </x:c>
      <x:c r="N427" s="16" t="n">
        <x:v>6</x:v>
      </x:c>
      <x:c r="O427" s="16" t="n">
        <x:v>12</x:v>
      </x:c>
      <x:c r="P427" s="16" t="n">
        <x:v>2</x:v>
      </x:c>
      <x:c r="Q427" s="16" t="n">
        <x:v>1</x:v>
      </x:c>
      <x:c r="R427" s="16" t="n">
        <x:v>0</x:v>
      </x:c>
      <x:c r="S427" s="16" t="n">
        <x:v>4</x:v>
      </x:c>
      <x:c r="T427" s="16" t="n">
        <x:v>5</x:v>
      </x:c>
      <x:c r="U427" s="16" t="n">
        <x:v>0</x:v>
      </x:c>
      <x:c r="V427" s="16" t="n">
        <x:v>0</x:v>
      </x:c>
      <x:c r="W427" s="16" t="n">
        <x:v>0</x:v>
      </x:c>
      <x:c r="X427" s="16" t="n">
        <x:v>0</x:v>
      </x:c>
      <x:c r="Y427" s="16" t="n">
        <x:v>0</x:v>
      </x:c>
      <x:c r="Z427" s="16" t="n">
        <x:v>0</x:v>
      </x:c>
      <x:c r="AA427" s="16" t="n">
        <x:v>3</x:v>
      </x:c>
      <x:c r="AB427" s="16" t="n">
        <x:v>11</x:v>
      </x:c>
      <x:c r="AC427" s="16" t="n">
        <x:v>0</x:v>
      </x:c>
      <x:c r="AD427" s="21" t="n">
        <x:f>IF(E427="",MEDIAN($E$2:$E$2237),E427)</x:f>
        <x:v>10404</x:v>
      </x:c>
      <x:c r="AE427" s="17" t="n">
        <x:f>2014-B427</x:f>
        <x:v>25</x:v>
      </x:c>
      <x:c r="AF427" s="17" t="n">
        <x:f>F427+G427</x:f>
        <x:v>1</x:v>
      </x:c>
      <x:c r="AG427" s="21" t="n">
        <x:f>SUM(J427:O427)</x:f>
        <x:v>43</x:v>
      </x:c>
      <x:c r="AH427" s="17" t="n">
        <x:f>SUM(Q427:S427)</x:f>
        <x:v>5</x:v>
      </x:c>
      <x:c r="AI427" s="17" t="n">
        <x:f>SUM(U427:Y427)</x:f>
        <x:v>0</x:v>
      </x:c>
      <x:c r="AJ427" s="17" t="str">
        <x:f>IF(AE427&lt;=34,"≤34",IF(AE427&lt;=44,"35–44",IF(AE427&lt;=54,"45–54",IF(AE427&lt;=64,"55–64","65+"))))</x:f>
        <x:v>≤34</x:v>
      </x:c>
      <x:c r="AK427" s="17" t="str">
        <x:f>IF(AG427&gt;=1000,"High Value",IF(AG427&gt;=300,"Mid Value","Low Value"))</x:f>
        <x:v>Low Value</x:v>
      </x:c>
      <x:c r="AL427" s="17" t="str">
        <x:f>IF(AND(AI427&gt;=1,I427&lt;=50),"Priority 1",IF(AND(AG427&gt;=1000,I427&lt;=60),"Priority 2",IF(I427&lt;=30,"Priority 3","Nurture")))</x:f>
        <x:v>Nurture</x:v>
      </x:c>
    </x:row>
    <x:row r="428">
      <x:c r="A428" s="16" t="n">
        <x:v>3767</x:v>
      </x:c>
      <x:c r="B428" s="16" t="n">
        <x:v>1968</x:v>
      </x:c>
      <x:c r="C428" s="16" t="str">
        <x:v>Graduation</x:v>
      </x:c>
      <x:c r="D428" s="16" t="str">
        <x:v>Married</x:v>
      </x:c>
      <x:c r="E428" s="16" t="n">
        <x:v>61314</x:v>
      </x:c>
      <x:c r="F428" s="16" t="n">
        <x:v>0</x:v>
      </x:c>
      <x:c r="G428" s="16" t="n">
        <x:v>1</x:v>
      </x:c>
      <x:c r="H428" s="16" t="str">
        <x:v>25-04-2013</x:v>
      </x:c>
      <x:c r="I428" s="16" t="n">
        <x:v>1</x:v>
      </x:c>
      <x:c r="J428" s="16" t="n">
        <x:v>378</x:v>
      </x:c>
      <x:c r="K428" s="16" t="n">
        <x:v>0</x:v>
      </x:c>
      <x:c r="L428" s="16" t="n">
        <x:v>189</x:v>
      </x:c>
      <x:c r="M428" s="16" t="n">
        <x:v>97</x:v>
      </x:c>
      <x:c r="N428" s="16" t="n">
        <x:v>172</x:v>
      </x:c>
      <x:c r="O428" s="16" t="n">
        <x:v>172</x:v>
      </x:c>
      <x:c r="P428" s="16" t="n">
        <x:v>2</x:v>
      </x:c>
      <x:c r="Q428" s="16" t="n">
        <x:v>5</x:v>
      </x:c>
      <x:c r="R428" s="16" t="n">
        <x:v>5</x:v>
      </x:c>
      <x:c r="S428" s="16" t="n">
        <x:v>12</x:v>
      </x:c>
      <x:c r="T428" s="16" t="n">
        <x:v>3</x:v>
      </x:c>
      <x:c r="U428" s="16" t="n">
        <x:v>0</x:v>
      </x:c>
      <x:c r="V428" s="16" t="n">
        <x:v>0</x:v>
      </x:c>
      <x:c r="W428" s="16" t="n">
        <x:v>0</x:v>
      </x:c>
      <x:c r="X428" s="16" t="n">
        <x:v>0</x:v>
      </x:c>
      <x:c r="Y428" s="16" t="n">
        <x:v>0</x:v>
      </x:c>
      <x:c r="Z428" s="16" t="n">
        <x:v>0</x:v>
      </x:c>
      <x:c r="AA428" s="16" t="n">
        <x:v>3</x:v>
      </x:c>
      <x:c r="AB428" s="16" t="n">
        <x:v>11</x:v>
      </x:c>
      <x:c r="AC428" s="16" t="n">
        <x:v>0</x:v>
      </x:c>
      <x:c r="AD428" s="21" t="n">
        <x:f>IF(E428="",MEDIAN($E$2:$E$2237),E428)</x:f>
        <x:v>61314</x:v>
      </x:c>
      <x:c r="AE428" s="17" t="n">
        <x:f>2014-B428</x:f>
        <x:v>46</x:v>
      </x:c>
      <x:c r="AF428" s="17" t="n">
        <x:f>F428+G428</x:f>
        <x:v>1</x:v>
      </x:c>
      <x:c r="AG428" s="21" t="n">
        <x:f>SUM(J428:O428)</x:f>
        <x:v>1008</x:v>
      </x:c>
      <x:c r="AH428" s="17" t="n">
        <x:f>SUM(Q428:S428)</x:f>
        <x:v>22</x:v>
      </x:c>
      <x:c r="AI428" s="17" t="n">
        <x:f>SUM(U428:Y428)</x:f>
        <x:v>0</x:v>
      </x:c>
      <x:c r="AJ428" s="17" t="str">
        <x:f>IF(AE428&lt;=34,"≤34",IF(AE428&lt;=44,"35–44",IF(AE428&lt;=54,"45–54",IF(AE428&lt;=64,"55–64","65+"))))</x:f>
        <x:v>45–54</x:v>
      </x:c>
      <x:c r="AK428" s="17" t="str">
        <x:f>IF(AG428&gt;=1000,"High Value",IF(AG428&gt;=300,"Mid Value","Low Value"))</x:f>
        <x:v>High Value</x:v>
      </x:c>
      <x:c r="AL428" s="17" t="str">
        <x:f>IF(AND(AI428&gt;=1,I428&lt;=50),"Priority 1",IF(AND(AG428&gt;=1000,I428&lt;=60),"Priority 2",IF(I428&lt;=30,"Priority 3","Nurture")))</x:f>
        <x:v>Priority 2</x:v>
      </x:c>
    </x:row>
    <x:row r="429">
      <x:c r="A429" s="16" t="n">
        <x:v>3725</x:v>
      </x:c>
      <x:c r="B429" s="16" t="n">
        <x:v>1961</x:v>
      </x:c>
      <x:c r="C429" s="16" t="str">
        <x:v>PhD</x:v>
      </x:c>
      <x:c r="D429" s="16" t="str">
        <x:v>Single</x:v>
      </x:c>
      <x:c r="E429" s="16" t="n">
        <x:v>84865</x:v>
      </x:c>
      <x:c r="F429" s="16" t="n">
        <x:v>0</x:v>
      </x:c>
      <x:c r="G429" s="16" t="n">
        <x:v>0</x:v>
      </x:c>
      <x:c r="H429" s="16" t="str">
        <x:v>09-05-2013</x:v>
      </x:c>
      <x:c r="I429" s="16" t="n">
        <x:v>1</x:v>
      </x:c>
      <x:c r="J429" s="16" t="n">
        <x:v>1248</x:v>
      </x:c>
      <x:c r="K429" s="16" t="n">
        <x:v>16</x:v>
      </x:c>
      <x:c r="L429" s="16" t="n">
        <x:v>349</x:v>
      </x:c>
      <x:c r="M429" s="16" t="n">
        <x:v>43</x:v>
      </x:c>
      <x:c r="N429" s="16" t="n">
        <x:v>16</x:v>
      </x:c>
      <x:c r="O429" s="16" t="n">
        <x:v>16</x:v>
      </x:c>
      <x:c r="P429" s="16" t="n">
        <x:v>1</x:v>
      </x:c>
      <x:c r="Q429" s="16" t="n">
        <x:v>2</x:v>
      </x:c>
      <x:c r="R429" s="16" t="n">
        <x:v>4</x:v>
      </x:c>
      <x:c r="S429" s="16" t="n">
        <x:v>9</x:v>
      </x:c>
      <x:c r="T429" s="16" t="n">
        <x:v>4</x:v>
      </x:c>
      <x:c r="U429" s="16" t="n">
        <x:v>0</x:v>
      </x:c>
      <x:c r="V429" s="16" t="n">
        <x:v>1</x:v>
      </x:c>
      <x:c r="W429" s="16" t="n">
        <x:v>1</x:v>
      </x:c>
      <x:c r="X429" s="16" t="n">
        <x:v>1</x:v>
      </x:c>
      <x:c r="Y429" s="16" t="n">
        <x:v>1</x:v>
      </x:c>
      <x:c r="Z429" s="16" t="n">
        <x:v>0</x:v>
      </x:c>
      <x:c r="AA429" s="16" t="n">
        <x:v>3</x:v>
      </x:c>
      <x:c r="AB429" s="16" t="n">
        <x:v>11</x:v>
      </x:c>
      <x:c r="AC429" s="16" t="n">
        <x:v>1</x:v>
      </x:c>
      <x:c r="AD429" s="21" t="n">
        <x:f>IF(E429="",MEDIAN($E$2:$E$2237),E429)</x:f>
        <x:v>84865</x:v>
      </x:c>
      <x:c r="AE429" s="17" t="n">
        <x:f>2014-B429</x:f>
        <x:v>53</x:v>
      </x:c>
      <x:c r="AF429" s="17" t="n">
        <x:f>F429+G429</x:f>
        <x:v>0</x:v>
      </x:c>
      <x:c r="AG429" s="21" t="n">
        <x:f>SUM(J429:O429)</x:f>
        <x:v>1688</x:v>
      </x:c>
      <x:c r="AH429" s="17" t="n">
        <x:f>SUM(Q429:S429)</x:f>
        <x:v>15</x:v>
      </x:c>
      <x:c r="AI429" s="17" t="n">
        <x:f>SUM(U429:Y429)</x:f>
        <x:v>4</x:v>
      </x:c>
      <x:c r="AJ429" s="17" t="str">
        <x:f>IF(AE429&lt;=34,"≤34",IF(AE429&lt;=44,"35–44",IF(AE429&lt;=54,"45–54",IF(AE429&lt;=64,"55–64","65+"))))</x:f>
        <x:v>45–54</x:v>
      </x:c>
      <x:c r="AK429" s="17" t="str">
        <x:f>IF(AG429&gt;=1000,"High Value",IF(AG429&gt;=300,"Mid Value","Low Value"))</x:f>
        <x:v>High Value</x:v>
      </x:c>
      <x:c r="AL429" s="17" t="str">
        <x:f>IF(AND(AI429&gt;=1,I429&lt;=50),"Priority 1",IF(AND(AG429&gt;=1000,I429&lt;=60),"Priority 2",IF(I429&lt;=30,"Priority 3","Nurture")))</x:f>
        <x:v>Priority 1</x:v>
      </x:c>
    </x:row>
    <x:row r="430">
      <x:c r="A430" s="16" t="n">
        <x:v>4324</x:v>
      </x:c>
      <x:c r="B430" s="16" t="n">
        <x:v>1989</x:v>
      </x:c>
      <x:c r="C430" s="16" t="str">
        <x:v>Graduation</x:v>
      </x:c>
      <x:c r="D430" s="16" t="str">
        <x:v>Married</x:v>
      </x:c>
      <x:c r="E430" s="16" t="n">
        <x:v>42387</x:v>
      </x:c>
      <x:c r="F430" s="16" t="n">
        <x:v>1</x:v>
      </x:c>
      <x:c r="G430" s="16" t="n">
        <x:v>0</x:v>
      </x:c>
      <x:c r="H430" s="16" t="str">
        <x:v>29-10-2012</x:v>
      </x:c>
      <x:c r="I430" s="16" t="n">
        <x:v>42</x:v>
      </x:c>
      <x:c r="J430" s="16" t="n">
        <x:v>235</x:v>
      </x:c>
      <x:c r="K430" s="16" t="n">
        <x:v>0</x:v>
      </x:c>
      <x:c r="L430" s="16" t="n">
        <x:v>235</x:v>
      </x:c>
      <x:c r="M430" s="16" t="n">
        <x:v>19</x:v>
      </x:c>
      <x:c r="N430" s="16" t="n">
        <x:v>4</x:v>
      </x:c>
      <x:c r="O430" s="16" t="n">
        <x:v>191</x:v>
      </x:c>
      <x:c r="P430" s="16" t="n">
        <x:v>5</x:v>
      </x:c>
      <x:c r="Q430" s="16" t="n">
        <x:v>8</x:v>
      </x:c>
      <x:c r="R430" s="16" t="n">
        <x:v>1</x:v>
      </x:c>
      <x:c r="S430" s="16" t="n">
        <x:v>7</x:v>
      </x:c>
      <x:c r="T430" s="16" t="n">
        <x:v>8</x:v>
      </x:c>
      <x:c r="U430" s="16" t="n">
        <x:v>0</x:v>
      </x:c>
      <x:c r="V430" s="16" t="n">
        <x:v>0</x:v>
      </x:c>
      <x:c r="W430" s="16" t="n">
        <x:v>0</x:v>
      </x:c>
      <x:c r="X430" s="16" t="n">
        <x:v>0</x:v>
      </x:c>
      <x:c r="Y430" s="16" t="n">
        <x:v>0</x:v>
      </x:c>
      <x:c r="Z430" s="16" t="n">
        <x:v>0</x:v>
      </x:c>
      <x:c r="AA430" s="16" t="n">
        <x:v>3</x:v>
      </x:c>
      <x:c r="AB430" s="16" t="n">
        <x:v>11</x:v>
      </x:c>
      <x:c r="AC430" s="16" t="n">
        <x:v>0</x:v>
      </x:c>
      <x:c r="AD430" s="21" t="n">
        <x:f>IF(E430="",MEDIAN($E$2:$E$2237),E430)</x:f>
        <x:v>42387</x:v>
      </x:c>
      <x:c r="AE430" s="17" t="n">
        <x:f>2014-B430</x:f>
        <x:v>25</x:v>
      </x:c>
      <x:c r="AF430" s="17" t="n">
        <x:f>F430+G430</x:f>
        <x:v>1</x:v>
      </x:c>
      <x:c r="AG430" s="21" t="n">
        <x:f>SUM(J430:O430)</x:f>
        <x:v>684</x:v>
      </x:c>
      <x:c r="AH430" s="17" t="n">
        <x:f>SUM(Q430:S430)</x:f>
        <x:v>16</x:v>
      </x:c>
      <x:c r="AI430" s="17" t="n">
        <x:f>SUM(U430:Y430)</x:f>
        <x:v>0</x:v>
      </x:c>
      <x:c r="AJ430" s="17" t="str">
        <x:f>IF(AE430&lt;=34,"≤34",IF(AE430&lt;=44,"35–44",IF(AE430&lt;=54,"45–54",IF(AE430&lt;=64,"55–64","65+"))))</x:f>
        <x:v>≤34</x:v>
      </x:c>
      <x:c r="AK430" s="17" t="str">
        <x:f>IF(AG430&gt;=1000,"High Value",IF(AG430&gt;=300,"Mid Value","Low Value"))</x:f>
        <x:v>Mid Value</x:v>
      </x:c>
      <x:c r="AL430" s="17" t="str">
        <x:f>IF(AND(AI430&gt;=1,I430&lt;=50),"Priority 1",IF(AND(AG430&gt;=1000,I430&lt;=60),"Priority 2",IF(I430&lt;=30,"Priority 3","Nurture")))</x:f>
        <x:v>Nurture</x:v>
      </x:c>
    </x:row>
    <x:row r="431">
      <x:c r="A431" s="16" t="n">
        <x:v>238</x:v>
      </x:c>
      <x:c r="B431" s="16" t="n">
        <x:v>1967</x:v>
      </x:c>
      <x:c r="C431" s="16" t="str">
        <x:v>2n Cycle</x:v>
      </x:c>
      <x:c r="D431" s="16" t="str">
        <x:v>Together</x:v>
      </x:c>
      <x:c r="E431" s="16" t="n">
        <x:v>67309</x:v>
      </x:c>
      <x:c r="F431" s="16" t="n">
        <x:v>1</x:v>
      </x:c>
      <x:c r="G431" s="16" t="n">
        <x:v>1</x:v>
      </x:c>
      <x:c r="H431" s="16" t="str">
        <x:v>23-01-2013</x:v>
      </x:c>
      <x:c r="I431" s="16" t="n">
        <x:v>76</x:v>
      </x:c>
      <x:c r="J431" s="16" t="n">
        <x:v>515</x:v>
      </x:c>
      <x:c r="K431" s="16" t="n">
        <x:v>47</x:v>
      </x:c>
      <x:c r="L431" s="16" t="n">
        <x:v>181</x:v>
      </x:c>
      <x:c r="M431" s="16" t="n">
        <x:v>149</x:v>
      </x:c>
      <x:c r="N431" s="16" t="n">
        <x:v>95</x:v>
      </x:c>
      <x:c r="O431" s="16" t="n">
        <x:v>95</x:v>
      </x:c>
      <x:c r="P431" s="16" t="n">
        <x:v>15</x:v>
      </x:c>
      <x:c r="Q431" s="16" t="n">
        <x:v>9</x:v>
      </x:c>
      <x:c r="R431" s="16" t="n">
        <x:v>6</x:v>
      </x:c>
      <x:c r="S431" s="16" t="n">
        <x:v>9</x:v>
      </x:c>
      <x:c r="T431" s="16" t="n">
        <x:v>7</x:v>
      </x:c>
      <x:c r="U431" s="16" t="n">
        <x:v>0</x:v>
      </x:c>
      <x:c r="V431" s="16" t="n">
        <x:v>0</x:v>
      </x:c>
      <x:c r="W431" s="16" t="n">
        <x:v>0</x:v>
      </x:c>
      <x:c r="X431" s="16" t="n">
        <x:v>0</x:v>
      </x:c>
      <x:c r="Y431" s="16" t="n">
        <x:v>0</x:v>
      </x:c>
      <x:c r="Z431" s="16" t="n">
        <x:v>0</x:v>
      </x:c>
      <x:c r="AA431" s="16" t="n">
        <x:v>3</x:v>
      </x:c>
      <x:c r="AB431" s="16" t="n">
        <x:v>11</x:v>
      </x:c>
      <x:c r="AC431" s="16" t="n">
        <x:v>0</x:v>
      </x:c>
      <x:c r="AD431" s="21" t="n">
        <x:f>IF(E431="",MEDIAN($E$2:$E$2237),E431)</x:f>
        <x:v>67309</x:v>
      </x:c>
      <x:c r="AE431" s="17" t="n">
        <x:f>2014-B431</x:f>
        <x:v>47</x:v>
      </x:c>
      <x:c r="AF431" s="17" t="n">
        <x:f>F431+G431</x:f>
        <x:v>2</x:v>
      </x:c>
      <x:c r="AG431" s="21" t="n">
        <x:f>SUM(J431:O431)</x:f>
        <x:v>1082</x:v>
      </x:c>
      <x:c r="AH431" s="17" t="n">
        <x:f>SUM(Q431:S431)</x:f>
        <x:v>24</x:v>
      </x:c>
      <x:c r="AI431" s="17" t="n">
        <x:f>SUM(U431:Y431)</x:f>
        <x:v>0</x:v>
      </x:c>
      <x:c r="AJ431" s="17" t="str">
        <x:f>IF(AE431&lt;=34,"≤34",IF(AE431&lt;=44,"35–44",IF(AE431&lt;=54,"45–54",IF(AE431&lt;=64,"55–64","65+"))))</x:f>
        <x:v>45–54</x:v>
      </x:c>
      <x:c r="AK431" s="17" t="str">
        <x:f>IF(AG431&gt;=1000,"High Value",IF(AG431&gt;=300,"Mid Value","Low Value"))</x:f>
        <x:v>High Value</x:v>
      </x:c>
      <x:c r="AL431" s="17" t="str">
        <x:f>IF(AND(AI431&gt;=1,I431&lt;=50),"Priority 1",IF(AND(AG431&gt;=1000,I431&lt;=60),"Priority 2",IF(I431&lt;=30,"Priority 3","Nurture")))</x:f>
        <x:v>Nurture</x:v>
      </x:c>
    </x:row>
    <x:row r="432">
      <x:c r="A432" s="16" t="n">
        <x:v>6694</x:v>
      </x:c>
      <x:c r="B432" s="16" t="n">
        <x:v>1964</x:v>
      </x:c>
      <x:c r="C432" s="16" t="str">
        <x:v>Graduation</x:v>
      </x:c>
      <x:c r="D432" s="16" t="str">
        <x:v>Married</x:v>
      </x:c>
      <x:c r="E432" s="16" t="n">
        <x:v>75236</x:v>
      </x:c>
      <x:c r="F432" s="16" t="n">
        <x:v>0</x:v>
      </x:c>
      <x:c r="G432" s="16" t="n">
        <x:v>1</x:v>
      </x:c>
      <x:c r="H432" s="16" t="str">
        <x:v>25-11-2013</x:v>
      </x:c>
      <x:c r="I432" s="16" t="n">
        <x:v>27</x:v>
      </x:c>
      <x:c r="J432" s="16" t="n">
        <x:v>438</x:v>
      </x:c>
      <x:c r="K432" s="16" t="n">
        <x:v>66</x:v>
      </x:c>
      <x:c r="L432" s="16" t="n">
        <x:v>400</x:v>
      </x:c>
      <x:c r="M432" s="16" t="n">
        <x:v>12</x:v>
      </x:c>
      <x:c r="N432" s="16" t="n">
        <x:v>38</x:v>
      </x:c>
      <x:c r="O432" s="16" t="n">
        <x:v>114</x:v>
      </x:c>
      <x:c r="P432" s="16" t="n">
        <x:v>1</x:v>
      </x:c>
      <x:c r="Q432" s="16" t="n">
        <x:v>8</x:v>
      </x:c>
      <x:c r="R432" s="16" t="n">
        <x:v>3</x:v>
      </x:c>
      <x:c r="S432" s="16" t="n">
        <x:v>13</x:v>
      </x:c>
      <x:c r="T432" s="16" t="n">
        <x:v>4</x:v>
      </x:c>
      <x:c r="U432" s="16" t="n">
        <x:v>0</x:v>
      </x:c>
      <x:c r="V432" s="16" t="n">
        <x:v>0</x:v>
      </x:c>
      <x:c r="W432" s="16" t="n">
        <x:v>0</x:v>
      </x:c>
      <x:c r="X432" s="16" t="n">
        <x:v>0</x:v>
      </x:c>
      <x:c r="Y432" s="16" t="n">
        <x:v>0</x:v>
      </x:c>
      <x:c r="Z432" s="16" t="n">
        <x:v>0</x:v>
      </x:c>
      <x:c r="AA432" s="16" t="n">
        <x:v>3</x:v>
      </x:c>
      <x:c r="AB432" s="16" t="n">
        <x:v>11</x:v>
      </x:c>
      <x:c r="AC432" s="16" t="n">
        <x:v>0</x:v>
      </x:c>
      <x:c r="AD432" s="21" t="n">
        <x:f>IF(E432="",MEDIAN($E$2:$E$2237),E432)</x:f>
        <x:v>75236</x:v>
      </x:c>
      <x:c r="AE432" s="17" t="n">
        <x:f>2014-B432</x:f>
        <x:v>50</x:v>
      </x:c>
      <x:c r="AF432" s="17" t="n">
        <x:f>F432+G432</x:f>
        <x:v>1</x:v>
      </x:c>
      <x:c r="AG432" s="21" t="n">
        <x:f>SUM(J432:O432)</x:f>
        <x:v>1068</x:v>
      </x:c>
      <x:c r="AH432" s="17" t="n">
        <x:f>SUM(Q432:S432)</x:f>
        <x:v>24</x:v>
      </x:c>
      <x:c r="AI432" s="17" t="n">
        <x:f>SUM(U432:Y432)</x:f>
        <x:v>0</x:v>
      </x:c>
      <x:c r="AJ432" s="17" t="str">
        <x:f>IF(AE432&lt;=34,"≤34",IF(AE432&lt;=44,"35–44",IF(AE432&lt;=54,"45–54",IF(AE432&lt;=64,"55–64","65+"))))</x:f>
        <x:v>45–54</x:v>
      </x:c>
      <x:c r="AK432" s="17" t="str">
        <x:f>IF(AG432&gt;=1000,"High Value",IF(AG432&gt;=300,"Mid Value","Low Value"))</x:f>
        <x:v>High Value</x:v>
      </x:c>
      <x:c r="AL432" s="17" t="str">
        <x:f>IF(AND(AI432&gt;=1,I432&lt;=50),"Priority 1",IF(AND(AG432&gt;=1000,I432&lt;=60),"Priority 2",IF(I432&lt;=30,"Priority 3","Nurture")))</x:f>
        <x:v>Priority 2</x:v>
      </x:c>
    </x:row>
    <x:row r="433">
      <x:c r="A433" s="16" t="n">
        <x:v>498</x:v>
      </x:c>
      <x:c r="B433" s="16" t="n">
        <x:v>1970</x:v>
      </x:c>
      <x:c r="C433" s="16" t="str">
        <x:v>Graduation</x:v>
      </x:c>
      <x:c r="D433" s="16" t="str">
        <x:v>Single</x:v>
      </x:c>
      <x:c r="E433" s="16" t="n">
        <x:v>30015</x:v>
      </x:c>
      <x:c r="F433" s="16" t="n">
        <x:v>1</x:v>
      </x:c>
      <x:c r="G433" s="16" t="n">
        <x:v>0</x:v>
      </x:c>
      <x:c r="H433" s="16" t="str">
        <x:v>02-02-2014</x:v>
      </x:c>
      <x:c r="I433" s="16" t="n">
        <x:v>28</x:v>
      </x:c>
      <x:c r="J433" s="16" t="n">
        <x:v>25</x:v>
      </x:c>
      <x:c r="K433" s="16" t="n">
        <x:v>0</x:v>
      </x:c>
      <x:c r="L433" s="16" t="n">
        <x:v>22</x:v>
      </x:c>
      <x:c r="M433" s="16" t="n">
        <x:v>2</x:v>
      </x:c>
      <x:c r="N433" s="16" t="n">
        <x:v>3</x:v>
      </x:c>
      <x:c r="O433" s="16" t="n">
        <x:v>5</x:v>
      </x:c>
      <x:c r="P433" s="16" t="n">
        <x:v>2</x:v>
      </x:c>
      <x:c r="Q433" s="16" t="n">
        <x:v>1</x:v>
      </x:c>
      <x:c r="R433" s="16" t="n">
        <x:v>0</x:v>
      </x:c>
      <x:c r="S433" s="16" t="n">
        <x:v>4</x:v>
      </x:c>
      <x:c r="T433" s="16" t="n">
        <x:v>5</x:v>
      </x:c>
      <x:c r="U433" s="16" t="n">
        <x:v>0</x:v>
      </x:c>
      <x:c r="V433" s="16" t="n">
        <x:v>0</x:v>
      </x:c>
      <x:c r="W433" s="16" t="n">
        <x:v>0</x:v>
      </x:c>
      <x:c r="X433" s="16" t="n">
        <x:v>0</x:v>
      </x:c>
      <x:c r="Y433" s="16" t="n">
        <x:v>0</x:v>
      </x:c>
      <x:c r="Z433" s="16" t="n">
        <x:v>0</x:v>
      </x:c>
      <x:c r="AA433" s="16" t="n">
        <x:v>3</x:v>
      </x:c>
      <x:c r="AB433" s="16" t="n">
        <x:v>11</x:v>
      </x:c>
      <x:c r="AC433" s="16" t="n">
        <x:v>0</x:v>
      </x:c>
      <x:c r="AD433" s="21" t="n">
        <x:f>IF(E433="",MEDIAN($E$2:$E$2237),E433)</x:f>
        <x:v>30015</x:v>
      </x:c>
      <x:c r="AE433" s="17" t="n">
        <x:f>2014-B433</x:f>
        <x:v>44</x:v>
      </x:c>
      <x:c r="AF433" s="17" t="n">
        <x:f>F433+G433</x:f>
        <x:v>1</x:v>
      </x:c>
      <x:c r="AG433" s="21" t="n">
        <x:f>SUM(J433:O433)</x:f>
        <x:v>57</x:v>
      </x:c>
      <x:c r="AH433" s="17" t="n">
        <x:f>SUM(Q433:S433)</x:f>
        <x:v>5</x:v>
      </x:c>
      <x:c r="AI433" s="17" t="n">
        <x:f>SUM(U433:Y433)</x:f>
        <x:v>0</x:v>
      </x:c>
      <x:c r="AJ433" s="17" t="str">
        <x:f>IF(AE433&lt;=34,"≤34",IF(AE433&lt;=44,"35–44",IF(AE433&lt;=54,"45–54",IF(AE433&lt;=64,"55–64","65+"))))</x:f>
        <x:v>35–44</x:v>
      </x:c>
      <x:c r="AK433" s="17" t="str">
        <x:f>IF(AG433&gt;=1000,"High Value",IF(AG433&gt;=300,"Mid Value","Low Value"))</x:f>
        <x:v>Low Value</x:v>
      </x:c>
      <x:c r="AL433" s="17" t="str">
        <x:f>IF(AND(AI433&gt;=1,I433&lt;=50),"Priority 1",IF(AND(AG433&gt;=1000,I433&lt;=60),"Priority 2",IF(I433&lt;=30,"Priority 3","Nurture")))</x:f>
        <x:v>Priority 3</x:v>
      </x:c>
    </x:row>
    <x:row r="434">
      <x:c r="A434" s="16" t="n">
        <x:v>9347</x:v>
      </x:c>
      <x:c r="B434" s="16" t="n">
        <x:v>1956</x:v>
      </x:c>
      <x:c r="C434" s="16" t="str">
        <x:v>Master</x:v>
      </x:c>
      <x:c r="D434" s="16" t="str">
        <x:v>Together</x:v>
      </x:c>
      <x:c r="E434" s="16" t="n">
        <x:v>50943</x:v>
      </x:c>
      <x:c r="F434" s="16" t="n">
        <x:v>0</x:v>
      </x:c>
      <x:c r="G434" s="16" t="n">
        <x:v>1</x:v>
      </x:c>
      <x:c r="H434" s="16" t="str">
        <x:v>21-06-2013</x:v>
      </x:c>
      <x:c r="I434" s="16" t="n">
        <x:v>49</x:v>
      </x:c>
      <x:c r="J434" s="16" t="n">
        <x:v>31</x:v>
      </x:c>
      <x:c r="K434" s="16" t="n">
        <x:v>0</x:v>
      </x:c>
      <x:c r="L434" s="16" t="n">
        <x:v>7</x:v>
      </x:c>
      <x:c r="M434" s="16" t="n">
        <x:v>2</x:v>
      </x:c>
      <x:c r="N434" s="16" t="n">
        <x:v>0</x:v>
      </x:c>
      <x:c r="O434" s="16" t="n">
        <x:v>6</x:v>
      </x:c>
      <x:c r="P434" s="16" t="n">
        <x:v>1</x:v>
      </x:c>
      <x:c r="Q434" s="16" t="n">
        <x:v>1</x:v>
      </x:c>
      <x:c r="R434" s="16" t="n">
        <x:v>0</x:v>
      </x:c>
      <x:c r="S434" s="16" t="n">
        <x:v>3</x:v>
      </x:c>
      <x:c r="T434" s="16" t="n">
        <x:v>5</x:v>
      </x:c>
      <x:c r="U434" s="16" t="n">
        <x:v>0</x:v>
      </x:c>
      <x:c r="V434" s="16" t="n">
        <x:v>0</x:v>
      </x:c>
      <x:c r="W434" s="16" t="n">
        <x:v>0</x:v>
      </x:c>
      <x:c r="X434" s="16" t="n">
        <x:v>0</x:v>
      </x:c>
      <x:c r="Y434" s="16" t="n">
        <x:v>0</x:v>
      </x:c>
      <x:c r="Z434" s="16" t="n">
        <x:v>0</x:v>
      </x:c>
      <x:c r="AA434" s="16" t="n">
        <x:v>3</x:v>
      </x:c>
      <x:c r="AB434" s="16" t="n">
        <x:v>11</x:v>
      </x:c>
      <x:c r="AC434" s="16" t="n">
        <x:v>0</x:v>
      </x:c>
      <x:c r="AD434" s="21" t="n">
        <x:f>IF(E434="",MEDIAN($E$2:$E$2237),E434)</x:f>
        <x:v>50943</x:v>
      </x:c>
      <x:c r="AE434" s="17" t="n">
        <x:f>2014-B434</x:f>
        <x:v>58</x:v>
      </x:c>
      <x:c r="AF434" s="17" t="n">
        <x:f>F434+G434</x:f>
        <x:v>1</x:v>
      </x:c>
      <x:c r="AG434" s="21" t="n">
        <x:f>SUM(J434:O434)</x:f>
        <x:v>46</x:v>
      </x:c>
      <x:c r="AH434" s="17" t="n">
        <x:f>SUM(Q434:S434)</x:f>
        <x:v>4</x:v>
      </x:c>
      <x:c r="AI434" s="17" t="n">
        <x:f>SUM(U434:Y434)</x:f>
        <x:v>0</x:v>
      </x:c>
      <x:c r="AJ434" s="17" t="str">
        <x:f>IF(AE434&lt;=34,"≤34",IF(AE434&lt;=44,"35–44",IF(AE434&lt;=54,"45–54",IF(AE434&lt;=64,"55–64","65+"))))</x:f>
        <x:v>55–64</x:v>
      </x:c>
      <x:c r="AK434" s="17" t="str">
        <x:f>IF(AG434&gt;=1000,"High Value",IF(AG434&gt;=300,"Mid Value","Low Value"))</x:f>
        <x:v>Low Value</x:v>
      </x:c>
      <x:c r="AL434" s="17" t="str">
        <x:f>IF(AND(AI434&gt;=1,I434&lt;=50),"Priority 1",IF(AND(AG434&gt;=1000,I434&lt;=60),"Priority 2",IF(I434&lt;=30,"Priority 3","Nurture")))</x:f>
        <x:v>Nurture</x:v>
      </x:c>
    </x:row>
    <x:row r="435">
      <x:c r="A435" s="16" t="n">
        <x:v>9699</x:v>
      </x:c>
      <x:c r="B435" s="16" t="n">
        <x:v>1966</x:v>
      </x:c>
      <x:c r="C435" s="16" t="str">
        <x:v>Graduation</x:v>
      </x:c>
      <x:c r="D435" s="16" t="str">
        <x:v>Divorced</x:v>
      </x:c>
      <x:c r="E435" s="16" t="n">
        <x:v>67272</x:v>
      </x:c>
      <x:c r="F435" s="16" t="n">
        <x:v>0</x:v>
      </x:c>
      <x:c r="G435" s="16" t="n">
        <x:v>1</x:v>
      </x:c>
      <x:c r="H435" s="16" t="str">
        <x:v>21-12-2013</x:v>
      </x:c>
      <x:c r="I435" s="16" t="n">
        <x:v>12</x:v>
      </x:c>
      <x:c r="J435" s="16" t="n">
        <x:v>357</x:v>
      </x:c>
      <x:c r="K435" s="16" t="n">
        <x:v>35</x:v>
      </x:c>
      <x:c r="L435" s="16" t="n">
        <x:v>271</x:v>
      </x:c>
      <x:c r="M435" s="16" t="n">
        <x:v>28</x:v>
      </x:c>
      <x:c r="N435" s="16" t="n">
        <x:v>28</x:v>
      </x:c>
      <x:c r="O435" s="16" t="n">
        <x:v>14</x:v>
      </x:c>
      <x:c r="P435" s="16" t="n">
        <x:v>3</x:v>
      </x:c>
      <x:c r="Q435" s="16" t="n">
        <x:v>6</x:v>
      </x:c>
      <x:c r="R435" s="16" t="n">
        <x:v>2</x:v>
      </x:c>
      <x:c r="S435" s="16" t="n">
        <x:v>12</x:v>
      </x:c>
      <x:c r="T435" s="16" t="n">
        <x:v>5</x:v>
      </x:c>
      <x:c r="U435" s="16" t="n">
        <x:v>0</x:v>
      </x:c>
      <x:c r="V435" s="16" t="n">
        <x:v>0</x:v>
      </x:c>
      <x:c r="W435" s="16" t="n">
        <x:v>0</x:v>
      </x:c>
      <x:c r="X435" s="16" t="n">
        <x:v>0</x:v>
      </x:c>
      <x:c r="Y435" s="16" t="n">
        <x:v>0</x:v>
      </x:c>
      <x:c r="Z435" s="16" t="n">
        <x:v>0</x:v>
      </x:c>
      <x:c r="AA435" s="16" t="n">
        <x:v>3</x:v>
      </x:c>
      <x:c r="AB435" s="16" t="n">
        <x:v>11</x:v>
      </x:c>
      <x:c r="AC435" s="16" t="n">
        <x:v>0</x:v>
      </x:c>
      <x:c r="AD435" s="21" t="n">
        <x:f>IF(E435="",MEDIAN($E$2:$E$2237),E435)</x:f>
        <x:v>67272</x:v>
      </x:c>
      <x:c r="AE435" s="17" t="n">
        <x:f>2014-B435</x:f>
        <x:v>48</x:v>
      </x:c>
      <x:c r="AF435" s="17" t="n">
        <x:f>F435+G435</x:f>
        <x:v>1</x:v>
      </x:c>
      <x:c r="AG435" s="21" t="n">
        <x:f>SUM(J435:O435)</x:f>
        <x:v>733</x:v>
      </x:c>
      <x:c r="AH435" s="17" t="n">
        <x:f>SUM(Q435:S435)</x:f>
        <x:v>20</x:v>
      </x:c>
      <x:c r="AI435" s="17" t="n">
        <x:f>SUM(U435:Y435)</x:f>
        <x:v>0</x:v>
      </x:c>
      <x:c r="AJ435" s="17" t="str">
        <x:f>IF(AE435&lt;=34,"≤34",IF(AE435&lt;=44,"35–44",IF(AE435&lt;=54,"45–54",IF(AE435&lt;=64,"55–64","65+"))))</x:f>
        <x:v>45–54</x:v>
      </x:c>
      <x:c r="AK435" s="17" t="str">
        <x:f>IF(AG435&gt;=1000,"High Value",IF(AG435&gt;=300,"Mid Value","Low Value"))</x:f>
        <x:v>Mid Value</x:v>
      </x:c>
      <x:c r="AL435" s="17" t="str">
        <x:f>IF(AND(AI435&gt;=1,I435&lt;=50),"Priority 1",IF(AND(AG435&gt;=1000,I435&lt;=60),"Priority 2",IF(I435&lt;=30,"Priority 3","Nurture")))</x:f>
        <x:v>Priority 3</x:v>
      </x:c>
    </x:row>
    <x:row r="436">
      <x:c r="A436" s="16" t="n">
        <x:v>10664</x:v>
      </x:c>
      <x:c r="B436" s="16" t="n">
        <x:v>1949</x:v>
      </x:c>
      <x:c r="C436" s="16" t="str">
        <x:v>Master</x:v>
      </x:c>
      <x:c r="D436" s="16" t="str">
        <x:v>Widow</x:v>
      </x:c>
      <x:c r="E436" s="16" t="n">
        <x:v>51529</x:v>
      </x:c>
      <x:c r="F436" s="16" t="n">
        <x:v>0</x:v>
      </x:c>
      <x:c r="G436" s="16" t="n">
        <x:v>1</x:v>
      </x:c>
      <x:c r="H436" s="16" t="str">
        <x:v>07-09-2013</x:v>
      </x:c>
      <x:c r="I436" s="16" t="n">
        <x:v>14</x:v>
      </x:c>
      <x:c r="J436" s="16" t="n">
        <x:v>400</x:v>
      </x:c>
      <x:c r="K436" s="16" t="n">
        <x:v>4</x:v>
      </x:c>
      <x:c r="L436" s="16" t="n">
        <x:v>35</x:v>
      </x:c>
      <x:c r="M436" s="16" t="n">
        <x:v>6</x:v>
      </x:c>
      <x:c r="N436" s="16" t="n">
        <x:v>0</x:v>
      </x:c>
      <x:c r="O436" s="16" t="n">
        <x:v>22</x:v>
      </x:c>
      <x:c r="P436" s="16" t="n">
        <x:v>2</x:v>
      </x:c>
      <x:c r="Q436" s="16" t="n">
        <x:v>9</x:v>
      </x:c>
      <x:c r="R436" s="16" t="n">
        <x:v>1</x:v>
      </x:c>
      <x:c r="S436" s="16" t="n">
        <x:v>5</x:v>
      </x:c>
      <x:c r="T436" s="16" t="n">
        <x:v>8</x:v>
      </x:c>
      <x:c r="U436" s="16" t="n">
        <x:v>0</x:v>
      </x:c>
      <x:c r="V436" s="16" t="n">
        <x:v>0</x:v>
      </x:c>
      <x:c r="W436" s="16" t="n">
        <x:v>0</x:v>
      </x:c>
      <x:c r="X436" s="16" t="n">
        <x:v>0</x:v>
      </x:c>
      <x:c r="Y436" s="16" t="n">
        <x:v>0</x:v>
      </x:c>
      <x:c r="Z436" s="16" t="n">
        <x:v>0</x:v>
      </x:c>
      <x:c r="AA436" s="16" t="n">
        <x:v>3</x:v>
      </x:c>
      <x:c r="AB436" s="16" t="n">
        <x:v>11</x:v>
      </x:c>
      <x:c r="AC436" s="16" t="n">
        <x:v>0</x:v>
      </x:c>
      <x:c r="AD436" s="21" t="n">
        <x:f>IF(E436="",MEDIAN($E$2:$E$2237),E436)</x:f>
        <x:v>51529</x:v>
      </x:c>
      <x:c r="AE436" s="17" t="n">
        <x:f>2014-B436</x:f>
        <x:v>65</x:v>
      </x:c>
      <x:c r="AF436" s="17" t="n">
        <x:f>F436+G436</x:f>
        <x:v>1</x:v>
      </x:c>
      <x:c r="AG436" s="21" t="n">
        <x:f>SUM(J436:O436)</x:f>
        <x:v>467</x:v>
      </x:c>
      <x:c r="AH436" s="17" t="n">
        <x:f>SUM(Q436:S436)</x:f>
        <x:v>15</x:v>
      </x:c>
      <x:c r="AI436" s="17" t="n">
        <x:f>SUM(U436:Y436)</x:f>
        <x:v>0</x:v>
      </x:c>
      <x:c r="AJ436" s="17" t="str">
        <x:f>IF(AE436&lt;=34,"≤34",IF(AE436&lt;=44,"35–44",IF(AE436&lt;=54,"45–54",IF(AE436&lt;=64,"55–64","65+"))))</x:f>
        <x:v>65+</x:v>
      </x:c>
      <x:c r="AK436" s="17" t="str">
        <x:f>IF(AG436&gt;=1000,"High Value",IF(AG436&gt;=300,"Mid Value","Low Value"))</x:f>
        <x:v>Mid Value</x:v>
      </x:c>
      <x:c r="AL436" s="17" t="str">
        <x:f>IF(AND(AI436&gt;=1,I436&lt;=50),"Priority 1",IF(AND(AG436&gt;=1000,I436&lt;=60),"Priority 2",IF(I436&lt;=30,"Priority 3","Nurture")))</x:f>
        <x:v>Priority 3</x:v>
      </x:c>
    </x:row>
    <x:row r="437">
      <x:c r="A437" s="16" t="n">
        <x:v>5455</x:v>
      </x:c>
      <x:c r="B437" s="16" t="n">
        <x:v>1971</x:v>
      </x:c>
      <x:c r="C437" s="16" t="str">
        <x:v>PhD</x:v>
      </x:c>
      <x:c r="D437" s="16" t="str">
        <x:v>Married</x:v>
      </x:c>
      <x:c r="E437" s="16" t="n">
        <x:v>32011</x:v>
      </x:c>
      <x:c r="F437" s="16" t="n">
        <x:v>1</x:v>
      </x:c>
      <x:c r="G437" s="16" t="n">
        <x:v>0</x:v>
      </x:c>
      <x:c r="H437" s="16" t="str">
        <x:v>22-08-2013</x:v>
      </x:c>
      <x:c r="I437" s="16" t="n">
        <x:v>89</x:v>
      </x:c>
      <x:c r="J437" s="16" t="n">
        <x:v>99</x:v>
      </x:c>
      <x:c r="K437" s="16" t="n">
        <x:v>0</x:v>
      </x:c>
      <x:c r="L437" s="16" t="n">
        <x:v>15</x:v>
      </x:c>
      <x:c r="M437" s="16" t="n">
        <x:v>2</x:v>
      </x:c>
      <x:c r="N437" s="16" t="n">
        <x:v>1</x:v>
      </x:c>
      <x:c r="O437" s="16" t="n">
        <x:v>5</x:v>
      </x:c>
      <x:c r="P437" s="16" t="n">
        <x:v>3</x:v>
      </x:c>
      <x:c r="Q437" s="16" t="n">
        <x:v>2</x:v>
      </x:c>
      <x:c r="R437" s="16" t="n">
        <x:v>1</x:v>
      </x:c>
      <x:c r="S437" s="16" t="n">
        <x:v>4</x:v>
      </x:c>
      <x:c r="T437" s="16" t="n">
        <x:v>7</x:v>
      </x:c>
      <x:c r="U437" s="16" t="n">
        <x:v>0</x:v>
      </x:c>
      <x:c r="V437" s="16" t="n">
        <x:v>0</x:v>
      </x:c>
      <x:c r="W437" s="16" t="n">
        <x:v>0</x:v>
      </x:c>
      <x:c r="X437" s="16" t="n">
        <x:v>0</x:v>
      </x:c>
      <x:c r="Y437" s="16" t="n">
        <x:v>0</x:v>
      </x:c>
      <x:c r="Z437" s="16" t="n">
        <x:v>0</x:v>
      </x:c>
      <x:c r="AA437" s="16" t="n">
        <x:v>3</x:v>
      </x:c>
      <x:c r="AB437" s="16" t="n">
        <x:v>11</x:v>
      </x:c>
      <x:c r="AC437" s="16" t="n">
        <x:v>0</x:v>
      </x:c>
      <x:c r="AD437" s="21" t="n">
        <x:f>IF(E437="",MEDIAN($E$2:$E$2237),E437)</x:f>
        <x:v>32011</x:v>
      </x:c>
      <x:c r="AE437" s="17" t="n">
        <x:f>2014-B437</x:f>
        <x:v>43</x:v>
      </x:c>
      <x:c r="AF437" s="17" t="n">
        <x:f>F437+G437</x:f>
        <x:v>1</x:v>
      </x:c>
      <x:c r="AG437" s="21" t="n">
        <x:f>SUM(J437:O437)</x:f>
        <x:v>122</x:v>
      </x:c>
      <x:c r="AH437" s="17" t="n">
        <x:f>SUM(Q437:S437)</x:f>
        <x:v>7</x:v>
      </x:c>
      <x:c r="AI437" s="17" t="n">
        <x:f>SUM(U437:Y437)</x:f>
        <x:v>0</x:v>
      </x:c>
      <x:c r="AJ437" s="17" t="str">
        <x:f>IF(AE437&lt;=34,"≤34",IF(AE437&lt;=44,"35–44",IF(AE437&lt;=54,"45–54",IF(AE437&lt;=64,"55–64","65+"))))</x:f>
        <x:v>35–44</x:v>
      </x:c>
      <x:c r="AK437" s="17" t="str">
        <x:f>IF(AG437&gt;=1000,"High Value",IF(AG437&gt;=300,"Mid Value","Low Value"))</x:f>
        <x:v>Low Value</x:v>
      </x:c>
      <x:c r="AL437" s="17" t="str">
        <x:f>IF(AND(AI437&gt;=1,I437&lt;=50),"Priority 1",IF(AND(AG437&gt;=1000,I437&lt;=60),"Priority 2",IF(I437&lt;=30,"Priority 3","Nurture")))</x:f>
        <x:v>Nurture</x:v>
      </x:c>
    </x:row>
    <x:row r="438">
      <x:c r="A438" s="16" t="n">
        <x:v>456</x:v>
      </x:c>
      <x:c r="B438" s="16" t="n">
        <x:v>1986</x:v>
      </x:c>
      <x:c r="C438" s="16" t="str">
        <x:v>2n Cycle</x:v>
      </x:c>
      <x:c r="D438" s="16" t="str">
        <x:v>Married</x:v>
      </x:c>
      <x:c r="E438" s="16" t="n">
        <x:v>7500</x:v>
      </x:c>
      <x:c r="F438" s="16" t="n">
        <x:v>1</x:v>
      </x:c>
      <x:c r="G438" s="16" t="n">
        <x:v>0</x:v>
      </x:c>
      <x:c r="H438" s="16" t="str">
        <x:v>07-02-2013</x:v>
      </x:c>
      <x:c r="I438" s="16" t="n">
        <x:v>96</x:v>
      </x:c>
      <x:c r="J438" s="16" t="n">
        <x:v>1</x:v>
      </x:c>
      <x:c r="K438" s="16" t="n">
        <x:v>11</x:v>
      </x:c>
      <x:c r="L438" s="16" t="n">
        <x:v>5</x:v>
      </x:c>
      <x:c r="M438" s="16" t="n">
        <x:v>4</x:v>
      </x:c>
      <x:c r="N438" s="16" t="n">
        <x:v>6</x:v>
      </x:c>
      <x:c r="O438" s="16" t="n">
        <x:v>9</x:v>
      </x:c>
      <x:c r="P438" s="16" t="n">
        <x:v>2</x:v>
      </x:c>
      <x:c r="Q438" s="16" t="n">
        <x:v>2</x:v>
      </x:c>
      <x:c r="R438" s="16" t="n">
        <x:v>0</x:v>
      </x:c>
      <x:c r="S438" s="16" t="n">
        <x:v>3</x:v>
      </x:c>
      <x:c r="T438" s="16" t="n">
        <x:v>8</x:v>
      </x:c>
      <x:c r="U438" s="16" t="n">
        <x:v>0</x:v>
      </x:c>
      <x:c r="V438" s="16" t="n">
        <x:v>0</x:v>
      </x:c>
      <x:c r="W438" s="16" t="n">
        <x:v>0</x:v>
      </x:c>
      <x:c r="X438" s="16" t="n">
        <x:v>0</x:v>
      </x:c>
      <x:c r="Y438" s="16" t="n">
        <x:v>0</x:v>
      </x:c>
      <x:c r="Z438" s="16" t="n">
        <x:v>0</x:v>
      </x:c>
      <x:c r="AA438" s="16" t="n">
        <x:v>3</x:v>
      </x:c>
      <x:c r="AB438" s="16" t="n">
        <x:v>11</x:v>
      </x:c>
      <x:c r="AC438" s="16" t="n">
        <x:v>0</x:v>
      </x:c>
      <x:c r="AD438" s="21" t="n">
        <x:f>IF(E438="",MEDIAN($E$2:$E$2237),E438)</x:f>
        <x:v>7500</x:v>
      </x:c>
      <x:c r="AE438" s="17" t="n">
        <x:f>2014-B438</x:f>
        <x:v>28</x:v>
      </x:c>
      <x:c r="AF438" s="17" t="n">
        <x:f>F438+G438</x:f>
        <x:v>1</x:v>
      </x:c>
      <x:c r="AG438" s="21" t="n">
        <x:f>SUM(J438:O438)</x:f>
        <x:v>36</x:v>
      </x:c>
      <x:c r="AH438" s="17" t="n">
        <x:f>SUM(Q438:S438)</x:f>
        <x:v>5</x:v>
      </x:c>
      <x:c r="AI438" s="17" t="n">
        <x:f>SUM(U438:Y438)</x:f>
        <x:v>0</x:v>
      </x:c>
      <x:c r="AJ438" s="17" t="str">
        <x:f>IF(AE438&lt;=34,"≤34",IF(AE438&lt;=44,"35–44",IF(AE438&lt;=54,"45–54",IF(AE438&lt;=64,"55–64","65+"))))</x:f>
        <x:v>≤34</x:v>
      </x:c>
      <x:c r="AK438" s="17" t="str">
        <x:f>IF(AG438&gt;=1000,"High Value",IF(AG438&gt;=300,"Mid Value","Low Value"))</x:f>
        <x:v>Low Value</x:v>
      </x:c>
      <x:c r="AL438" s="17" t="str">
        <x:f>IF(AND(AI438&gt;=1,I438&lt;=50),"Priority 1",IF(AND(AG438&gt;=1000,I438&lt;=60),"Priority 2",IF(I438&lt;=30,"Priority 3","Nurture")))</x:f>
        <x:v>Nurture</x:v>
      </x:c>
    </x:row>
    <x:row r="439">
      <x:c r="A439" s="16" t="n">
        <x:v>5012</x:v>
      </x:c>
      <x:c r="B439" s="16" t="n">
        <x:v>1989</x:v>
      </x:c>
      <x:c r="C439" s="16" t="str">
        <x:v>Graduation</x:v>
      </x:c>
      <x:c r="D439" s="16" t="str">
        <x:v>Married</x:v>
      </x:c>
      <x:c r="E439" s="16" t="n">
        <x:v>28691</x:v>
      </x:c>
      <x:c r="F439" s="16" t="n">
        <x:v>1</x:v>
      </x:c>
      <x:c r="G439" s="16" t="n">
        <x:v>0</x:v>
      </x:c>
      <x:c r="H439" s="16" t="str">
        <x:v>04-07-2013</x:v>
      </x:c>
      <x:c r="I439" s="16" t="n">
        <x:v>56</x:v>
      </x:c>
      <x:c r="J439" s="16" t="n">
        <x:v>5</x:v>
      </x:c>
      <x:c r="K439" s="16" t="n">
        <x:v>4</x:v>
      </x:c>
      <x:c r="L439" s="16" t="n">
        <x:v>13</x:v>
      </x:c>
      <x:c r="M439" s="16" t="n">
        <x:v>8</x:v>
      </x:c>
      <x:c r="N439" s="16" t="n">
        <x:v>0</x:v>
      </x:c>
      <x:c r="O439" s="16" t="n">
        <x:v>4</x:v>
      </x:c>
      <x:c r="P439" s="16" t="n">
        <x:v>1</x:v>
      </x:c>
      <x:c r="Q439" s="16" t="n">
        <x:v>1</x:v>
      </x:c>
      <x:c r="R439" s="16" t="n">
        <x:v>0</x:v>
      </x:c>
      <x:c r="S439" s="16" t="n">
        <x:v>3</x:v>
      </x:c>
      <x:c r="T439" s="16" t="n">
        <x:v>8</x:v>
      </x:c>
      <x:c r="U439" s="16" t="n">
        <x:v>0</x:v>
      </x:c>
      <x:c r="V439" s="16" t="n">
        <x:v>0</x:v>
      </x:c>
      <x:c r="W439" s="16" t="n">
        <x:v>0</x:v>
      </x:c>
      <x:c r="X439" s="16" t="n">
        <x:v>0</x:v>
      </x:c>
      <x:c r="Y439" s="16" t="n">
        <x:v>0</x:v>
      </x:c>
      <x:c r="Z439" s="16" t="n">
        <x:v>0</x:v>
      </x:c>
      <x:c r="AA439" s="16" t="n">
        <x:v>3</x:v>
      </x:c>
      <x:c r="AB439" s="16" t="n">
        <x:v>11</x:v>
      </x:c>
      <x:c r="AC439" s="16" t="n">
        <x:v>0</x:v>
      </x:c>
      <x:c r="AD439" s="21" t="n">
        <x:f>IF(E439="",MEDIAN($E$2:$E$2237),E439)</x:f>
        <x:v>28691</x:v>
      </x:c>
      <x:c r="AE439" s="17" t="n">
        <x:f>2014-B439</x:f>
        <x:v>25</x:v>
      </x:c>
      <x:c r="AF439" s="17" t="n">
        <x:f>F439+G439</x:f>
        <x:v>1</x:v>
      </x:c>
      <x:c r="AG439" s="21" t="n">
        <x:f>SUM(J439:O439)</x:f>
        <x:v>34</x:v>
      </x:c>
      <x:c r="AH439" s="17" t="n">
        <x:f>SUM(Q439:S439)</x:f>
        <x:v>4</x:v>
      </x:c>
      <x:c r="AI439" s="17" t="n">
        <x:f>SUM(U439:Y439)</x:f>
        <x:v>0</x:v>
      </x:c>
      <x:c r="AJ439" s="17" t="str">
        <x:f>IF(AE439&lt;=34,"≤34",IF(AE439&lt;=44,"35–44",IF(AE439&lt;=54,"45–54",IF(AE439&lt;=64,"55–64","65+"))))</x:f>
        <x:v>≤34</x:v>
      </x:c>
      <x:c r="AK439" s="17" t="str">
        <x:f>IF(AG439&gt;=1000,"High Value",IF(AG439&gt;=300,"Mid Value","Low Value"))</x:f>
        <x:v>Low Value</x:v>
      </x:c>
      <x:c r="AL439" s="17" t="str">
        <x:f>IF(AND(AI439&gt;=1,I439&lt;=50),"Priority 1",IF(AND(AG439&gt;=1000,I439&lt;=60),"Priority 2",IF(I439&lt;=30,"Priority 3","Nurture")))</x:f>
        <x:v>Nurture</x:v>
      </x:c>
    </x:row>
    <x:row r="440">
      <x:c r="A440" s="16" t="n">
        <x:v>7495</x:v>
      </x:c>
      <x:c r="B440" s="16" t="n">
        <x:v>1948</x:v>
      </x:c>
      <x:c r="C440" s="16" t="str">
        <x:v>PhD</x:v>
      </x:c>
      <x:c r="D440" s="16" t="str">
        <x:v>Married</x:v>
      </x:c>
      <x:c r="E440" s="16" t="n">
        <x:v>56223</x:v>
      </x:c>
      <x:c r="F440" s="16" t="n">
        <x:v>0</x:v>
      </x:c>
      <x:c r="G440" s="16" t="n">
        <x:v>1</x:v>
      </x:c>
      <x:c r="H440" s="16" t="str">
        <x:v>20-12-2013</x:v>
      </x:c>
      <x:c r="I440" s="16" t="n">
        <x:v>72</x:v>
      </x:c>
      <x:c r="J440" s="16" t="n">
        <x:v>77</x:v>
      </x:c>
      <x:c r="K440" s="16" t="n">
        <x:v>28</x:v>
      </x:c>
      <x:c r="L440" s="16" t="n">
        <x:v>31</x:v>
      </x:c>
      <x:c r="M440" s="16" t="n">
        <x:v>16</x:v>
      </x:c>
      <x:c r="N440" s="16" t="n">
        <x:v>0</x:v>
      </x:c>
      <x:c r="O440" s="16" t="n">
        <x:v>4</x:v>
      </x:c>
      <x:c r="P440" s="16" t="n">
        <x:v>2</x:v>
      </x:c>
      <x:c r="Q440" s="16" t="n">
        <x:v>2</x:v>
      </x:c>
      <x:c r="R440" s="16" t="n">
        <x:v>1</x:v>
      </x:c>
      <x:c r="S440" s="16" t="n">
        <x:v>5</x:v>
      </x:c>
      <x:c r="T440" s="16" t="n">
        <x:v>4</x:v>
      </x:c>
      <x:c r="U440" s="16" t="n">
        <x:v>0</x:v>
      </x:c>
      <x:c r="V440" s="16" t="n">
        <x:v>0</x:v>
      </x:c>
      <x:c r="W440" s="16" t="n">
        <x:v>0</x:v>
      </x:c>
      <x:c r="X440" s="16" t="n">
        <x:v>0</x:v>
      </x:c>
      <x:c r="Y440" s="16" t="n">
        <x:v>0</x:v>
      </x:c>
      <x:c r="Z440" s="16" t="n">
        <x:v>0</x:v>
      </x:c>
      <x:c r="AA440" s="16" t="n">
        <x:v>3</x:v>
      </x:c>
      <x:c r="AB440" s="16" t="n">
        <x:v>11</x:v>
      </x:c>
      <x:c r="AC440" s="16" t="n">
        <x:v>0</x:v>
      </x:c>
      <x:c r="AD440" s="21" t="n">
        <x:f>IF(E440="",MEDIAN($E$2:$E$2237),E440)</x:f>
        <x:v>56223</x:v>
      </x:c>
      <x:c r="AE440" s="17" t="n">
        <x:f>2014-B440</x:f>
        <x:v>66</x:v>
      </x:c>
      <x:c r="AF440" s="17" t="n">
        <x:f>F440+G440</x:f>
        <x:v>1</x:v>
      </x:c>
      <x:c r="AG440" s="21" t="n">
        <x:f>SUM(J440:O440)</x:f>
        <x:v>156</x:v>
      </x:c>
      <x:c r="AH440" s="17" t="n">
        <x:f>SUM(Q440:S440)</x:f>
        <x:v>8</x:v>
      </x:c>
      <x:c r="AI440" s="17" t="n">
        <x:f>SUM(U440:Y440)</x:f>
        <x:v>0</x:v>
      </x:c>
      <x:c r="AJ440" s="17" t="str">
        <x:f>IF(AE440&lt;=34,"≤34",IF(AE440&lt;=44,"35–44",IF(AE440&lt;=54,"45–54",IF(AE440&lt;=64,"55–64","65+"))))</x:f>
        <x:v>65+</x:v>
      </x:c>
      <x:c r="AK440" s="17" t="str">
        <x:f>IF(AG440&gt;=1000,"High Value",IF(AG440&gt;=300,"Mid Value","Low Value"))</x:f>
        <x:v>Low Value</x:v>
      </x:c>
      <x:c r="AL440" s="17" t="str">
        <x:f>IF(AND(AI440&gt;=1,I440&lt;=50),"Priority 1",IF(AND(AG440&gt;=1000,I440&lt;=60),"Priority 2",IF(I440&lt;=30,"Priority 3","Nurture")))</x:f>
        <x:v>Nurture</x:v>
      </x:c>
    </x:row>
    <x:row r="441">
      <x:c r="A441" s="16" t="n">
        <x:v>5029</x:v>
      </x:c>
      <x:c r="B441" s="16" t="n">
        <x:v>1946</x:v>
      </x:c>
      <x:c r="C441" s="16" t="str">
        <x:v>Graduation</x:v>
      </x:c>
      <x:c r="D441" s="16" t="str">
        <x:v>Married</x:v>
      </x:c>
      <x:c r="E441" s="16" t="n">
        <x:v>18100</x:v>
      </x:c>
      <x:c r="F441" s="16" t="n">
        <x:v>0</x:v>
      </x:c>
      <x:c r="G441" s="16" t="n">
        <x:v>0</x:v>
      </x:c>
      <x:c r="H441" s="16" t="str">
        <x:v>06-08-2013</x:v>
      </x:c>
      <x:c r="I441" s="16" t="n">
        <x:v>14</x:v>
      </x:c>
      <x:c r="J441" s="16" t="n">
        <x:v>3</x:v>
      </x:c>
      <x:c r="K441" s="16" t="n">
        <x:v>1</x:v>
      </x:c>
      <x:c r="L441" s="16" t="n">
        <x:v>2</x:v>
      </x:c>
      <x:c r="M441" s="16" t="n">
        <x:v>4</x:v>
      </x:c>
      <x:c r="N441" s="16" t="n">
        <x:v>3</x:v>
      </x:c>
      <x:c r="O441" s="16" t="n">
        <x:v>1</x:v>
      </x:c>
      <x:c r="P441" s="16" t="n">
        <x:v>1</x:v>
      </x:c>
      <x:c r="Q441" s="16" t="n">
        <x:v>0</x:v>
      </x:c>
      <x:c r="R441" s="16" t="n">
        <x:v>0</x:v>
      </x:c>
      <x:c r="S441" s="16" t="n">
        <x:v>3</x:v>
      </x:c>
      <x:c r="T441" s="16" t="n">
        <x:v>5</x:v>
      </x:c>
      <x:c r="U441" s="16" t="n">
        <x:v>0</x:v>
      </x:c>
      <x:c r="V441" s="16" t="n">
        <x:v>0</x:v>
      </x:c>
      <x:c r="W441" s="16" t="n">
        <x:v>0</x:v>
      </x:c>
      <x:c r="X441" s="16" t="n">
        <x:v>0</x:v>
      </x:c>
      <x:c r="Y441" s="16" t="n">
        <x:v>0</x:v>
      </x:c>
      <x:c r="Z441" s="16" t="n">
        <x:v>0</x:v>
      </x:c>
      <x:c r="AA441" s="16" t="n">
        <x:v>3</x:v>
      </x:c>
      <x:c r="AB441" s="16" t="n">
        <x:v>11</x:v>
      </x:c>
      <x:c r="AC441" s="16" t="n">
        <x:v>0</x:v>
      </x:c>
      <x:c r="AD441" s="21" t="n">
        <x:f>IF(E441="",MEDIAN($E$2:$E$2237),E441)</x:f>
        <x:v>18100</x:v>
      </x:c>
      <x:c r="AE441" s="17" t="n">
        <x:f>2014-B441</x:f>
        <x:v>68</x:v>
      </x:c>
      <x:c r="AF441" s="17" t="n">
        <x:f>F441+G441</x:f>
        <x:v>0</x:v>
      </x:c>
      <x:c r="AG441" s="21" t="n">
        <x:f>SUM(J441:O441)</x:f>
        <x:v>14</x:v>
      </x:c>
      <x:c r="AH441" s="17" t="n">
        <x:f>SUM(Q441:S441)</x:f>
        <x:v>3</x:v>
      </x:c>
      <x:c r="AI441" s="17" t="n">
        <x:f>SUM(U441:Y441)</x:f>
        <x:v>0</x:v>
      </x:c>
      <x:c r="AJ441" s="17" t="str">
        <x:f>IF(AE441&lt;=34,"≤34",IF(AE441&lt;=44,"35–44",IF(AE441&lt;=54,"45–54",IF(AE441&lt;=64,"55–64","65+"))))</x:f>
        <x:v>65+</x:v>
      </x:c>
      <x:c r="AK441" s="17" t="str">
        <x:f>IF(AG441&gt;=1000,"High Value",IF(AG441&gt;=300,"Mid Value","Low Value"))</x:f>
        <x:v>Low Value</x:v>
      </x:c>
      <x:c r="AL441" s="17" t="str">
        <x:f>IF(AND(AI441&gt;=1,I441&lt;=50),"Priority 1",IF(AND(AG441&gt;=1000,I441&lt;=60),"Priority 2",IF(I441&lt;=30,"Priority 3","Nurture")))</x:f>
        <x:v>Priority 3</x:v>
      </x:c>
    </x:row>
    <x:row r="442">
      <x:c r="A442" s="16" t="n">
        <x:v>10642</x:v>
      </x:c>
      <x:c r="B442" s="16" t="n">
        <x:v>1989</x:v>
      </x:c>
      <x:c r="C442" s="16" t="str">
        <x:v>Graduation</x:v>
      </x:c>
      <x:c r="D442" s="16" t="str">
        <x:v>Single</x:v>
      </x:c>
      <x:c r="E442" s="16" t="n">
        <x:v>30279</x:v>
      </x:c>
      <x:c r="F442" s="16" t="n">
        <x:v>1</x:v>
      </x:c>
      <x:c r="G442" s="16" t="n">
        <x:v>0</x:v>
      </x:c>
      <x:c r="H442" s="16" t="str">
        <x:v>30-12-2012</x:v>
      </x:c>
      <x:c r="I442" s="16" t="n">
        <x:v>13</x:v>
      </x:c>
      <x:c r="J442" s="16" t="n">
        <x:v>10</x:v>
      </x:c>
      <x:c r="K442" s="16" t="n">
        <x:v>4</x:v>
      </x:c>
      <x:c r="L442" s="16" t="n">
        <x:v>14</x:v>
      </x:c>
      <x:c r="M442" s="16" t="n">
        <x:v>4</x:v>
      </x:c>
      <x:c r="N442" s="16" t="n">
        <x:v>4</x:v>
      </x:c>
      <x:c r="O442" s="16" t="n">
        <x:v>1</x:v>
      </x:c>
      <x:c r="P442" s="16" t="n">
        <x:v>1</x:v>
      </x:c>
      <x:c r="Q442" s="16" t="n">
        <x:v>1</x:v>
      </x:c>
      <x:c r="R442" s="16" t="n">
        <x:v>0</x:v>
      </x:c>
      <x:c r="S442" s="16" t="n">
        <x:v>3</x:v>
      </x:c>
      <x:c r="T442" s="16" t="n">
        <x:v>8</x:v>
      </x:c>
      <x:c r="U442" s="16" t="n">
        <x:v>0</x:v>
      </x:c>
      <x:c r="V442" s="16" t="n">
        <x:v>0</x:v>
      </x:c>
      <x:c r="W442" s="16" t="n">
        <x:v>0</x:v>
      </x:c>
      <x:c r="X442" s="16" t="n">
        <x:v>0</x:v>
      </x:c>
      <x:c r="Y442" s="16" t="n">
        <x:v>0</x:v>
      </x:c>
      <x:c r="Z442" s="16" t="n">
        <x:v>0</x:v>
      </x:c>
      <x:c r="AA442" s="16" t="n">
        <x:v>3</x:v>
      </x:c>
      <x:c r="AB442" s="16" t="n">
        <x:v>11</x:v>
      </x:c>
      <x:c r="AC442" s="16" t="n">
        <x:v>0</x:v>
      </x:c>
      <x:c r="AD442" s="21" t="n">
        <x:f>IF(E442="",MEDIAN($E$2:$E$2237),E442)</x:f>
        <x:v>30279</x:v>
      </x:c>
      <x:c r="AE442" s="17" t="n">
        <x:f>2014-B442</x:f>
        <x:v>25</x:v>
      </x:c>
      <x:c r="AF442" s="17" t="n">
        <x:f>F442+G442</x:f>
        <x:v>1</x:v>
      </x:c>
      <x:c r="AG442" s="21" t="n">
        <x:f>SUM(J442:O442)</x:f>
        <x:v>37</x:v>
      </x:c>
      <x:c r="AH442" s="17" t="n">
        <x:f>SUM(Q442:S442)</x:f>
        <x:v>4</x:v>
      </x:c>
      <x:c r="AI442" s="17" t="n">
        <x:f>SUM(U442:Y442)</x:f>
        <x:v>0</x:v>
      </x:c>
      <x:c r="AJ442" s="17" t="str">
        <x:f>IF(AE442&lt;=34,"≤34",IF(AE442&lt;=44,"35–44",IF(AE442&lt;=54,"45–54",IF(AE442&lt;=64,"55–64","65+"))))</x:f>
        <x:v>≤34</x:v>
      </x:c>
      <x:c r="AK442" s="17" t="str">
        <x:f>IF(AG442&gt;=1000,"High Value",IF(AG442&gt;=300,"Mid Value","Low Value"))</x:f>
        <x:v>Low Value</x:v>
      </x:c>
      <x:c r="AL442" s="17" t="str">
        <x:f>IF(AND(AI442&gt;=1,I442&lt;=50),"Priority 1",IF(AND(AG442&gt;=1000,I442&lt;=60),"Priority 2",IF(I442&lt;=30,"Priority 3","Nurture")))</x:f>
        <x:v>Priority 3</x:v>
      </x:c>
    </x:row>
    <x:row r="443">
      <x:c r="A443" s="16" t="n">
        <x:v>2106</x:v>
      </x:c>
      <x:c r="B443" s="16" t="n">
        <x:v>1974</x:v>
      </x:c>
      <x:c r="C443" s="16" t="str">
        <x:v>2n Cycle</x:v>
      </x:c>
      <x:c r="D443" s="16" t="str">
        <x:v>Married</x:v>
      </x:c>
      <x:c r="E443" s="16" t="n">
        <x:v>20130</x:v>
      </x:c>
      <x:c r="F443" s="16" t="n">
        <x:v>0</x:v>
      </x:c>
      <x:c r="G443" s="16" t="n">
        <x:v>0</x:v>
      </x:c>
      <x:c r="H443" s="16" t="str">
        <x:v>17-03-2014</x:v>
      </x:c>
      <x:c r="I443" s="16" t="n">
        <x:v>99</x:v>
      </x:c>
      <x:c r="J443" s="16" t="n">
        <x:v>0</x:v>
      </x:c>
      <x:c r="K443" s="16" t="n">
        <x:v>6</x:v>
      </x:c>
      <x:c r="L443" s="16" t="n">
        <x:v>3</x:v>
      </x:c>
      <x:c r="M443" s="16" t="n">
        <x:v>7</x:v>
      </x:c>
      <x:c r="N443" s="16" t="n">
        <x:v>6</x:v>
      </x:c>
      <x:c r="O443" s="16" t="n">
        <x:v>12</x:v>
      </x:c>
      <x:c r="P443" s="16" t="n">
        <x:v>1</x:v>
      </x:c>
      <x:c r="Q443" s="16" t="n">
        <x:v>1</x:v>
      </x:c>
      <x:c r="R443" s="16" t="n">
        <x:v>0</x:v>
      </x:c>
      <x:c r="S443" s="16" t="n">
        <x:v>3</x:v>
      </x:c>
      <x:c r="T443" s="16" t="n">
        <x:v>8</x:v>
      </x:c>
      <x:c r="U443" s="16" t="n">
        <x:v>0</x:v>
      </x:c>
      <x:c r="V443" s="16" t="n">
        <x:v>0</x:v>
      </x:c>
      <x:c r="W443" s="16" t="n">
        <x:v>0</x:v>
      </x:c>
      <x:c r="X443" s="16" t="n">
        <x:v>0</x:v>
      </x:c>
      <x:c r="Y443" s="16" t="n">
        <x:v>0</x:v>
      </x:c>
      <x:c r="Z443" s="16" t="n">
        <x:v>0</x:v>
      </x:c>
      <x:c r="AA443" s="16" t="n">
        <x:v>3</x:v>
      </x:c>
      <x:c r="AB443" s="16" t="n">
        <x:v>11</x:v>
      </x:c>
      <x:c r="AC443" s="16" t="n">
        <x:v>0</x:v>
      </x:c>
      <x:c r="AD443" s="21" t="n">
        <x:f>IF(E443="",MEDIAN($E$2:$E$2237),E443)</x:f>
        <x:v>20130</x:v>
      </x:c>
      <x:c r="AE443" s="17" t="n">
        <x:f>2014-B443</x:f>
        <x:v>40</x:v>
      </x:c>
      <x:c r="AF443" s="17" t="n">
        <x:f>F443+G443</x:f>
        <x:v>0</x:v>
      </x:c>
      <x:c r="AG443" s="21" t="n">
        <x:f>SUM(J443:O443)</x:f>
        <x:v>34</x:v>
      </x:c>
      <x:c r="AH443" s="17" t="n">
        <x:f>SUM(Q443:S443)</x:f>
        <x:v>4</x:v>
      </x:c>
      <x:c r="AI443" s="17" t="n">
        <x:f>SUM(U443:Y443)</x:f>
        <x:v>0</x:v>
      </x:c>
      <x:c r="AJ443" s="17" t="str">
        <x:f>IF(AE443&lt;=34,"≤34",IF(AE443&lt;=44,"35–44",IF(AE443&lt;=54,"45–54",IF(AE443&lt;=64,"55–64","65+"))))</x:f>
        <x:v>35–44</x:v>
      </x:c>
      <x:c r="AK443" s="17" t="str">
        <x:f>IF(AG443&gt;=1000,"High Value",IF(AG443&gt;=300,"Mid Value","Low Value"))</x:f>
        <x:v>Low Value</x:v>
      </x:c>
      <x:c r="AL443" s="17" t="str">
        <x:f>IF(AND(AI443&gt;=1,I443&lt;=50),"Priority 1",IF(AND(AG443&gt;=1000,I443&lt;=60),"Priority 2",IF(I443&lt;=30,"Priority 3","Nurture")))</x:f>
        <x:v>Nurture</x:v>
      </x:c>
    </x:row>
    <x:row r="444">
      <x:c r="A444" s="16" t="n">
        <x:v>10364</x:v>
      </x:c>
      <x:c r="B444" s="16" t="n">
        <x:v>1959</x:v>
      </x:c>
      <x:c r="C444" s="16" t="str">
        <x:v>Graduation</x:v>
      </x:c>
      <x:c r="D444" s="16" t="str">
        <x:v>Divorced</x:v>
      </x:c>
      <x:c r="E444" s="16" t="n">
        <x:v>23295</x:v>
      </x:c>
      <x:c r="F444" s="16" t="n">
        <x:v>0</x:v>
      </x:c>
      <x:c r="G444" s="16" t="n">
        <x:v>0</x:v>
      </x:c>
      <x:c r="H444" s="16" t="str">
        <x:v>13-07-2013</x:v>
      </x:c>
      <x:c r="I444" s="16" t="n">
        <x:v>72</x:v>
      </x:c>
      <x:c r="J444" s="16" t="n">
        <x:v>0</x:v>
      </x:c>
      <x:c r="K444" s="16" t="n">
        <x:v>0</x:v>
      </x:c>
      <x:c r="L444" s="16" t="n">
        <x:v>1</x:v>
      </x:c>
      <x:c r="M444" s="16" t="n">
        <x:v>2</x:v>
      </x:c>
      <x:c r="N444" s="16" t="n">
        <x:v>12</x:v>
      </x:c>
      <x:c r="O444" s="16" t="n">
        <x:v>5</x:v>
      </x:c>
      <x:c r="P444" s="16" t="n">
        <x:v>1</x:v>
      </x:c>
      <x:c r="Q444" s="16" t="n">
        <x:v>1</x:v>
      </x:c>
      <x:c r="R444" s="16" t="n">
        <x:v>0</x:v>
      </x:c>
      <x:c r="S444" s="16" t="n">
        <x:v>2</x:v>
      </x:c>
      <x:c r="T444" s="16" t="n">
        <x:v>8</x:v>
      </x:c>
      <x:c r="U444" s="16" t="n">
        <x:v>0</x:v>
      </x:c>
      <x:c r="V444" s="16" t="n">
        <x:v>0</x:v>
      </x:c>
      <x:c r="W444" s="16" t="n">
        <x:v>0</x:v>
      </x:c>
      <x:c r="X444" s="16" t="n">
        <x:v>0</x:v>
      </x:c>
      <x:c r="Y444" s="16" t="n">
        <x:v>0</x:v>
      </x:c>
      <x:c r="Z444" s="16" t="n">
        <x:v>0</x:v>
      </x:c>
      <x:c r="AA444" s="16" t="n">
        <x:v>3</x:v>
      </x:c>
      <x:c r="AB444" s="16" t="n">
        <x:v>11</x:v>
      </x:c>
      <x:c r="AC444" s="16" t="n">
        <x:v>0</x:v>
      </x:c>
      <x:c r="AD444" s="21" t="n">
        <x:f>IF(E444="",MEDIAN($E$2:$E$2237),E444)</x:f>
        <x:v>23295</x:v>
      </x:c>
      <x:c r="AE444" s="17" t="n">
        <x:f>2014-B444</x:f>
        <x:v>55</x:v>
      </x:c>
      <x:c r="AF444" s="17" t="n">
        <x:f>F444+G444</x:f>
        <x:v>0</x:v>
      </x:c>
      <x:c r="AG444" s="21" t="n">
        <x:f>SUM(J444:O444)</x:f>
        <x:v>20</x:v>
      </x:c>
      <x:c r="AH444" s="17" t="n">
        <x:f>SUM(Q444:S444)</x:f>
        <x:v>3</x:v>
      </x:c>
      <x:c r="AI444" s="17" t="n">
        <x:f>SUM(U444:Y444)</x:f>
        <x:v>0</x:v>
      </x:c>
      <x:c r="AJ444" s="17" t="str">
        <x:f>IF(AE444&lt;=34,"≤34",IF(AE444&lt;=44,"35–44",IF(AE444&lt;=54,"45–54",IF(AE444&lt;=64,"55–64","65+"))))</x:f>
        <x:v>55–64</x:v>
      </x:c>
      <x:c r="AK444" s="17" t="str">
        <x:f>IF(AG444&gt;=1000,"High Value",IF(AG444&gt;=300,"Mid Value","Low Value"))</x:f>
        <x:v>Low Value</x:v>
      </x:c>
      <x:c r="AL444" s="17" t="str">
        <x:f>IF(AND(AI444&gt;=1,I444&lt;=50),"Priority 1",IF(AND(AG444&gt;=1000,I444&lt;=60),"Priority 2",IF(I444&lt;=30,"Priority 3","Nurture")))</x:f>
        <x:v>Nurture</x:v>
      </x:c>
    </x:row>
    <x:row r="445">
      <x:c r="A445" s="16" t="n">
        <x:v>5954</x:v>
      </x:c>
      <x:c r="B445" s="16" t="n">
        <x:v>1972</x:v>
      </x:c>
      <x:c r="C445" s="16" t="str">
        <x:v>Master</x:v>
      </x:c>
      <x:c r="D445" s="16" t="str">
        <x:v>Divorced</x:v>
      </x:c>
      <x:c r="E445" s="16" t="n">
        <x:v>42618</x:v>
      </x:c>
      <x:c r="F445" s="16" t="n">
        <x:v>1</x:v>
      </x:c>
      <x:c r="G445" s="16" t="n">
        <x:v>0</x:v>
      </x:c>
      <x:c r="H445" s="16" t="str">
        <x:v>09-10-2013</x:v>
      </x:c>
      <x:c r="I445" s="16" t="n">
        <x:v>92</x:v>
      </x:c>
      <x:c r="J445" s="16" t="n">
        <x:v>76</x:v>
      </x:c>
      <x:c r="K445" s="16" t="n">
        <x:v>14</x:v>
      </x:c>
      <x:c r="L445" s="16" t="n">
        <x:v>74</x:v>
      </x:c>
      <x:c r="M445" s="16" t="n">
        <x:v>13</x:v>
      </x:c>
      <x:c r="N445" s="16" t="n">
        <x:v>5</x:v>
      </x:c>
      <x:c r="O445" s="16" t="n">
        <x:v>10</x:v>
      </x:c>
      <x:c r="P445" s="16" t="n">
        <x:v>2</x:v>
      </x:c>
      <x:c r="Q445" s="16" t="n">
        <x:v>5</x:v>
      </x:c>
      <x:c r="R445" s="16" t="n">
        <x:v>0</x:v>
      </x:c>
      <x:c r="S445" s="16" t="n">
        <x:v>4</x:v>
      </x:c>
      <x:c r="T445" s="16" t="n">
        <x:v>8</x:v>
      </x:c>
      <x:c r="U445" s="16" t="n">
        <x:v>0</x:v>
      </x:c>
      <x:c r="V445" s="16" t="n">
        <x:v>0</x:v>
      </x:c>
      <x:c r="W445" s="16" t="n">
        <x:v>0</x:v>
      </x:c>
      <x:c r="X445" s="16" t="n">
        <x:v>0</x:v>
      </x:c>
      <x:c r="Y445" s="16" t="n">
        <x:v>0</x:v>
      </x:c>
      <x:c r="Z445" s="16" t="n">
        <x:v>0</x:v>
      </x:c>
      <x:c r="AA445" s="16" t="n">
        <x:v>3</x:v>
      </x:c>
      <x:c r="AB445" s="16" t="n">
        <x:v>11</x:v>
      </x:c>
      <x:c r="AC445" s="16" t="n">
        <x:v>0</x:v>
      </x:c>
      <x:c r="AD445" s="21" t="n">
        <x:f>IF(E445="",MEDIAN($E$2:$E$2237),E445)</x:f>
        <x:v>42618</x:v>
      </x:c>
      <x:c r="AE445" s="17" t="n">
        <x:f>2014-B445</x:f>
        <x:v>42</x:v>
      </x:c>
      <x:c r="AF445" s="17" t="n">
        <x:f>F445+G445</x:f>
        <x:v>1</x:v>
      </x:c>
      <x:c r="AG445" s="21" t="n">
        <x:f>SUM(J445:O445)</x:f>
        <x:v>192</x:v>
      </x:c>
      <x:c r="AH445" s="17" t="n">
        <x:f>SUM(Q445:S445)</x:f>
        <x:v>9</x:v>
      </x:c>
      <x:c r="AI445" s="17" t="n">
        <x:f>SUM(U445:Y445)</x:f>
        <x:v>0</x:v>
      </x:c>
      <x:c r="AJ445" s="17" t="str">
        <x:f>IF(AE445&lt;=34,"≤34",IF(AE445&lt;=44,"35–44",IF(AE445&lt;=54,"45–54",IF(AE445&lt;=64,"55–64","65+"))))</x:f>
        <x:v>35–44</x:v>
      </x:c>
      <x:c r="AK445" s="17" t="str">
        <x:f>IF(AG445&gt;=1000,"High Value",IF(AG445&gt;=300,"Mid Value","Low Value"))</x:f>
        <x:v>Low Value</x:v>
      </x:c>
      <x:c r="AL445" s="17" t="str">
        <x:f>IF(AND(AI445&gt;=1,I445&lt;=50),"Priority 1",IF(AND(AG445&gt;=1000,I445&lt;=60),"Priority 2",IF(I445&lt;=30,"Priority 3","Nurture")))</x:f>
        <x:v>Nurture</x:v>
      </x:c>
    </x:row>
    <x:row r="446">
      <x:c r="A446" s="16" t="n">
        <x:v>1137</x:v>
      </x:c>
      <x:c r="B446" s="16" t="n">
        <x:v>1964</x:v>
      </x:c>
      <x:c r="C446" s="16" t="str">
        <x:v>Graduation</x:v>
      </x:c>
      <x:c r="D446" s="16" t="str">
        <x:v>Single</x:v>
      </x:c>
      <x:c r="E446" s="16" t="n">
        <x:v>81246</x:v>
      </x:c>
      <x:c r="F446" s="16" t="n">
        <x:v>0</x:v>
      </x:c>
      <x:c r="G446" s="16" t="n">
        <x:v>0</x:v>
      </x:c>
      <x:c r="H446" s="16" t="str">
        <x:v>29-12-2013</x:v>
      </x:c>
      <x:c r="I446" s="16" t="n">
        <x:v>87</x:v>
      </x:c>
      <x:c r="J446" s="16" t="n">
        <x:v>398</x:v>
      </x:c>
      <x:c r="K446" s="16" t="n">
        <x:v>190</x:v>
      </x:c>
      <x:c r="L446" s="16" t="n">
        <x:v>537</x:v>
      </x:c>
      <x:c r="M446" s="16" t="n">
        <x:v>61</x:v>
      </x:c>
      <x:c r="N446" s="16" t="n">
        <x:v>156</x:v>
      </x:c>
      <x:c r="O446" s="16" t="n">
        <x:v>37</x:v>
      </x:c>
      <x:c r="P446" s="16" t="n">
        <x:v>1</x:v>
      </x:c>
      <x:c r="Q446" s="16" t="n">
        <x:v>4</x:v>
      </x:c>
      <x:c r="R446" s="16" t="n">
        <x:v>5</x:v>
      </x:c>
      <x:c r="S446" s="16" t="n">
        <x:v>7</x:v>
      </x:c>
      <x:c r="T446" s="16" t="n">
        <x:v>1</x:v>
      </x:c>
      <x:c r="U446" s="16" t="n">
        <x:v>1</x:v>
      </x:c>
      <x:c r="V446" s="16" t="n">
        <x:v>0</x:v>
      </x:c>
      <x:c r="W446" s="16" t="n">
        <x:v>0</x:v>
      </x:c>
      <x:c r="X446" s="16" t="n">
        <x:v>1</x:v>
      </x:c>
      <x:c r="Y446" s="16" t="n">
        <x:v>0</x:v>
      </x:c>
      <x:c r="Z446" s="16" t="n">
        <x:v>0</x:v>
      </x:c>
      <x:c r="AA446" s="16" t="n">
        <x:v>3</x:v>
      </x:c>
      <x:c r="AB446" s="16" t="n">
        <x:v>11</x:v>
      </x:c>
      <x:c r="AC446" s="16" t="n">
        <x:v>0</x:v>
      </x:c>
      <x:c r="AD446" s="21" t="n">
        <x:f>IF(E446="",MEDIAN($E$2:$E$2237),E446)</x:f>
        <x:v>81246</x:v>
      </x:c>
      <x:c r="AE446" s="17" t="n">
        <x:f>2014-B446</x:f>
        <x:v>50</x:v>
      </x:c>
      <x:c r="AF446" s="17" t="n">
        <x:f>F446+G446</x:f>
        <x:v>0</x:v>
      </x:c>
      <x:c r="AG446" s="21" t="n">
        <x:f>SUM(J446:O446)</x:f>
        <x:v>1379</x:v>
      </x:c>
      <x:c r="AH446" s="17" t="n">
        <x:f>SUM(Q446:S446)</x:f>
        <x:v>16</x:v>
      </x:c>
      <x:c r="AI446" s="17" t="n">
        <x:f>SUM(U446:Y446)</x:f>
        <x:v>2</x:v>
      </x:c>
      <x:c r="AJ446" s="17" t="str">
        <x:f>IF(AE446&lt;=34,"≤34",IF(AE446&lt;=44,"35–44",IF(AE446&lt;=54,"45–54",IF(AE446&lt;=64,"55–64","65+"))))</x:f>
        <x:v>45–54</x:v>
      </x:c>
      <x:c r="AK446" s="17" t="str">
        <x:f>IF(AG446&gt;=1000,"High Value",IF(AG446&gt;=300,"Mid Value","Low Value"))</x:f>
        <x:v>High Value</x:v>
      </x:c>
      <x:c r="AL446" s="17" t="str">
        <x:f>IF(AND(AI446&gt;=1,I446&lt;=50),"Priority 1",IF(AND(AG446&gt;=1000,I446&lt;=60),"Priority 2",IF(I446&lt;=30,"Priority 3","Nurture")))</x:f>
        <x:v>Nurture</x:v>
      </x:c>
    </x:row>
    <x:row r="447">
      <x:c r="A447" s="16" t="n">
        <x:v>2541</x:v>
      </x:c>
      <x:c r="B447" s="16" t="n">
        <x:v>1976</x:v>
      </x:c>
      <x:c r="C447" s="16" t="str">
        <x:v>Graduation</x:v>
      </x:c>
      <x:c r="D447" s="16" t="str">
        <x:v>Married</x:v>
      </x:c>
      <x:c r="E447" s="16" t="n">
        <x:v>24027</x:v>
      </x:c>
      <x:c r="F447" s="16" t="n">
        <x:v>1</x:v>
      </x:c>
      <x:c r="G447" s="16" t="n">
        <x:v>0</x:v>
      </x:c>
      <x:c r="H447" s="16" t="str">
        <x:v>09-06-2013</x:v>
      </x:c>
      <x:c r="I447" s="16" t="n">
        <x:v>7</x:v>
      </x:c>
      <x:c r="J447" s="16" t="n">
        <x:v>14</x:v>
      </x:c>
      <x:c r="K447" s="16" t="n">
        <x:v>7</x:v>
      </x:c>
      <x:c r="L447" s="16" t="n">
        <x:v>11</x:v>
      </x:c>
      <x:c r="M447" s="16" t="n">
        <x:v>11</x:v>
      </x:c>
      <x:c r="N447" s="16" t="n">
        <x:v>0</x:v>
      </x:c>
      <x:c r="O447" s="16" t="n">
        <x:v>5</x:v>
      </x:c>
      <x:c r="P447" s="16" t="n">
        <x:v>2</x:v>
      </x:c>
      <x:c r="Q447" s="16" t="n">
        <x:v>2</x:v>
      </x:c>
      <x:c r="R447" s="16" t="n">
        <x:v>0</x:v>
      </x:c>
      <x:c r="S447" s="16" t="n">
        <x:v>3</x:v>
      </x:c>
      <x:c r="T447" s="16" t="n">
        <x:v>8</x:v>
      </x:c>
      <x:c r="U447" s="16" t="n">
        <x:v>0</x:v>
      </x:c>
      <x:c r="V447" s="16" t="n">
        <x:v>0</x:v>
      </x:c>
      <x:c r="W447" s="16" t="n">
        <x:v>0</x:v>
      </x:c>
      <x:c r="X447" s="16" t="n">
        <x:v>0</x:v>
      </x:c>
      <x:c r="Y447" s="16" t="n">
        <x:v>0</x:v>
      </x:c>
      <x:c r="Z447" s="16" t="n">
        <x:v>0</x:v>
      </x:c>
      <x:c r="AA447" s="16" t="n">
        <x:v>3</x:v>
      </x:c>
      <x:c r="AB447" s="16" t="n">
        <x:v>11</x:v>
      </x:c>
      <x:c r="AC447" s="16" t="n">
        <x:v>0</x:v>
      </x:c>
      <x:c r="AD447" s="21" t="n">
        <x:f>IF(E447="",MEDIAN($E$2:$E$2237),E447)</x:f>
        <x:v>24027</x:v>
      </x:c>
      <x:c r="AE447" s="17" t="n">
        <x:f>2014-B447</x:f>
        <x:v>38</x:v>
      </x:c>
      <x:c r="AF447" s="17" t="n">
        <x:f>F447+G447</x:f>
        <x:v>1</x:v>
      </x:c>
      <x:c r="AG447" s="21" t="n">
        <x:f>SUM(J447:O447)</x:f>
        <x:v>48</x:v>
      </x:c>
      <x:c r="AH447" s="17" t="n">
        <x:f>SUM(Q447:S447)</x:f>
        <x:v>5</x:v>
      </x:c>
      <x:c r="AI447" s="17" t="n">
        <x:f>SUM(U447:Y447)</x:f>
        <x:v>0</x:v>
      </x:c>
      <x:c r="AJ447" s="17" t="str">
        <x:f>IF(AE447&lt;=34,"≤34",IF(AE447&lt;=44,"35–44",IF(AE447&lt;=54,"45–54",IF(AE447&lt;=64,"55–64","65+"))))</x:f>
        <x:v>35–44</x:v>
      </x:c>
      <x:c r="AK447" s="17" t="str">
        <x:f>IF(AG447&gt;=1000,"High Value",IF(AG447&gt;=300,"Mid Value","Low Value"))</x:f>
        <x:v>Low Value</x:v>
      </x:c>
      <x:c r="AL447" s="17" t="str">
        <x:f>IF(AND(AI447&gt;=1,I447&lt;=50),"Priority 1",IF(AND(AG447&gt;=1000,I447&lt;=60),"Priority 2",IF(I447&lt;=30,"Priority 3","Nurture")))</x:f>
        <x:v>Priority 3</x:v>
      </x:c>
    </x:row>
    <x:row r="448">
      <x:c r="A448" s="16" t="n">
        <x:v>1142</x:v>
      </x:c>
      <x:c r="B448" s="16" t="n">
        <x:v>1953</x:v>
      </x:c>
      <x:c r="C448" s="16" t="str">
        <x:v>PhD</x:v>
      </x:c>
      <x:c r="D448" s="16" t="str">
        <x:v>Married</x:v>
      </x:c>
      <x:c r="E448" s="16" t="n">
        <x:v>55707</x:v>
      </x:c>
      <x:c r="F448" s="16" t="n">
        <x:v>0</x:v>
      </x:c>
      <x:c r="G448" s="16" t="n">
        <x:v>1</x:v>
      </x:c>
      <x:c r="H448" s="16" t="str">
        <x:v>22-12-2013</x:v>
      </x:c>
      <x:c r="I448" s="16" t="n">
        <x:v>91</x:v>
      </x:c>
      <x:c r="J448" s="16" t="n">
        <x:v>208</x:v>
      </x:c>
      <x:c r="K448" s="16" t="n">
        <x:v>7</x:v>
      </x:c>
      <x:c r="L448" s="16" t="n">
        <x:v>82</x:v>
      </x:c>
      <x:c r="M448" s="16" t="n">
        <x:v>30</x:v>
      </x:c>
      <x:c r="N448" s="16" t="n">
        <x:v>66</x:v>
      </x:c>
      <x:c r="O448" s="16" t="n">
        <x:v>35</x:v>
      </x:c>
      <x:c r="P448" s="16" t="n">
        <x:v>2</x:v>
      </x:c>
      <x:c r="Q448" s="16" t="n">
        <x:v>3</x:v>
      </x:c>
      <x:c r="R448" s="16" t="n">
        <x:v>2</x:v>
      </x:c>
      <x:c r="S448" s="16" t="n">
        <x:v>9</x:v>
      </x:c>
      <x:c r="T448" s="16" t="n">
        <x:v>3</x:v>
      </x:c>
      <x:c r="U448" s="16" t="n">
        <x:v>0</x:v>
      </x:c>
      <x:c r="V448" s="16" t="n">
        <x:v>0</x:v>
      </x:c>
      <x:c r="W448" s="16" t="n">
        <x:v>0</x:v>
      </x:c>
      <x:c r="X448" s="16" t="n">
        <x:v>0</x:v>
      </x:c>
      <x:c r="Y448" s="16" t="n">
        <x:v>0</x:v>
      </x:c>
      <x:c r="Z448" s="16" t="n">
        <x:v>0</x:v>
      </x:c>
      <x:c r="AA448" s="16" t="n">
        <x:v>3</x:v>
      </x:c>
      <x:c r="AB448" s="16" t="n">
        <x:v>11</x:v>
      </x:c>
      <x:c r="AC448" s="16" t="n">
        <x:v>0</x:v>
      </x:c>
      <x:c r="AD448" s="21" t="n">
        <x:f>IF(E448="",MEDIAN($E$2:$E$2237),E448)</x:f>
        <x:v>55707</x:v>
      </x:c>
      <x:c r="AE448" s="17" t="n">
        <x:f>2014-B448</x:f>
        <x:v>61</x:v>
      </x:c>
      <x:c r="AF448" s="17" t="n">
        <x:f>F448+G448</x:f>
        <x:v>1</x:v>
      </x:c>
      <x:c r="AG448" s="21" t="n">
        <x:f>SUM(J448:O448)</x:f>
        <x:v>428</x:v>
      </x:c>
      <x:c r="AH448" s="17" t="n">
        <x:f>SUM(Q448:S448)</x:f>
        <x:v>14</x:v>
      </x:c>
      <x:c r="AI448" s="17" t="n">
        <x:f>SUM(U448:Y448)</x:f>
        <x:v>0</x:v>
      </x:c>
      <x:c r="AJ448" s="17" t="str">
        <x:f>IF(AE448&lt;=34,"≤34",IF(AE448&lt;=44,"35–44",IF(AE448&lt;=54,"45–54",IF(AE448&lt;=64,"55–64","65+"))))</x:f>
        <x:v>55–64</x:v>
      </x:c>
      <x:c r="AK448" s="17" t="str">
        <x:f>IF(AG448&gt;=1000,"High Value",IF(AG448&gt;=300,"Mid Value","Low Value"))</x:f>
        <x:v>Mid Value</x:v>
      </x:c>
      <x:c r="AL448" s="17" t="str">
        <x:f>IF(AND(AI448&gt;=1,I448&lt;=50),"Priority 1",IF(AND(AG448&gt;=1000,I448&lt;=60),"Priority 2",IF(I448&lt;=30,"Priority 3","Nurture")))</x:f>
        <x:v>Nurture</x:v>
      </x:c>
    </x:row>
    <x:row r="449">
      <x:c r="A449" s="16" t="n">
        <x:v>2276</x:v>
      </x:c>
      <x:c r="B449" s="16" t="n">
        <x:v>1955</x:v>
      </x:c>
      <x:c r="C449" s="16" t="str">
        <x:v>Graduation</x:v>
      </x:c>
      <x:c r="D449" s="16" t="str">
        <x:v>Single</x:v>
      </x:c>
      <x:c r="E449" s="16" t="n">
        <x:v>57959</x:v>
      </x:c>
      <x:c r="F449" s="16" t="n">
        <x:v>0</x:v>
      </x:c>
      <x:c r="G449" s="16" t="n">
        <x:v>1</x:v>
      </x:c>
      <x:c r="H449" s="16" t="str">
        <x:v>02-05-2013</x:v>
      </x:c>
      <x:c r="I449" s="16" t="n">
        <x:v>71</x:v>
      </x:c>
      <x:c r="J449" s="16" t="n">
        <x:v>430</x:v>
      </x:c>
      <x:c r="K449" s="16" t="n">
        <x:v>16</x:v>
      </x:c>
      <x:c r="L449" s="16" t="n">
        <x:v>322</x:v>
      </x:c>
      <x:c r="M449" s="16" t="n">
        <x:v>43</x:v>
      </x:c>
      <x:c r="N449" s="16" t="n">
        <x:v>24</x:v>
      </x:c>
      <x:c r="O449" s="16" t="n">
        <x:v>33</x:v>
      </x:c>
      <x:c r="P449" s="16" t="n">
        <x:v>5</x:v>
      </x:c>
      <x:c r="Q449" s="16" t="n">
        <x:v>4</x:v>
      </x:c>
      <x:c r="R449" s="16" t="n">
        <x:v>7</x:v>
      </x:c>
      <x:c r="S449" s="16" t="n">
        <x:v>11</x:v>
      </x:c>
      <x:c r="T449" s="16" t="n">
        <x:v>3</x:v>
      </x:c>
      <x:c r="U449" s="16" t="n">
        <x:v>0</x:v>
      </x:c>
      <x:c r="V449" s="16" t="n">
        <x:v>0</x:v>
      </x:c>
      <x:c r="W449" s="16" t="n">
        <x:v>0</x:v>
      </x:c>
      <x:c r="X449" s="16" t="n">
        <x:v>0</x:v>
      </x:c>
      <x:c r="Y449" s="16" t="n">
        <x:v>0</x:v>
      </x:c>
      <x:c r="Z449" s="16" t="n">
        <x:v>0</x:v>
      </x:c>
      <x:c r="AA449" s="16" t="n">
        <x:v>3</x:v>
      </x:c>
      <x:c r="AB449" s="16" t="n">
        <x:v>11</x:v>
      </x:c>
      <x:c r="AC449" s="16" t="n">
        <x:v>0</x:v>
      </x:c>
      <x:c r="AD449" s="21" t="n">
        <x:f>IF(E449="",MEDIAN($E$2:$E$2237),E449)</x:f>
        <x:v>57959</x:v>
      </x:c>
      <x:c r="AE449" s="17" t="n">
        <x:f>2014-B449</x:f>
        <x:v>59</x:v>
      </x:c>
      <x:c r="AF449" s="17" t="n">
        <x:f>F449+G449</x:f>
        <x:v>1</x:v>
      </x:c>
      <x:c r="AG449" s="21" t="n">
        <x:f>SUM(J449:O449)</x:f>
        <x:v>868</x:v>
      </x:c>
      <x:c r="AH449" s="17" t="n">
        <x:f>SUM(Q449:S449)</x:f>
        <x:v>22</x:v>
      </x:c>
      <x:c r="AI449" s="17" t="n">
        <x:f>SUM(U449:Y449)</x:f>
        <x:v>0</x:v>
      </x:c>
      <x:c r="AJ449" s="17" t="str">
        <x:f>IF(AE449&lt;=34,"≤34",IF(AE449&lt;=44,"35–44",IF(AE449&lt;=54,"45–54",IF(AE449&lt;=64,"55–64","65+"))))</x:f>
        <x:v>55–64</x:v>
      </x:c>
      <x:c r="AK449" s="17" t="str">
        <x:f>IF(AG449&gt;=1000,"High Value",IF(AG449&gt;=300,"Mid Value","Low Value"))</x:f>
        <x:v>Mid Value</x:v>
      </x:c>
      <x:c r="AL449" s="17" t="str">
        <x:f>IF(AND(AI449&gt;=1,I449&lt;=50),"Priority 1",IF(AND(AG449&gt;=1000,I449&lt;=60),"Priority 2",IF(I449&lt;=30,"Priority 3","Nurture")))</x:f>
        <x:v>Nurture</x:v>
      </x:c>
    </x:row>
    <x:row r="450">
      <x:c r="A450" s="16" t="n">
        <x:v>2807</x:v>
      </x:c>
      <x:c r="B450" s="16" t="n">
        <x:v>1969</x:v>
      </x:c>
      <x:c r="C450" s="16" t="str">
        <x:v>Graduation</x:v>
      </x:c>
      <x:c r="D450" s="16" t="str">
        <x:v>Married</x:v>
      </x:c>
      <x:c r="E450" s="16" t="n">
        <x:v>56796</x:v>
      </x:c>
      <x:c r="F450" s="16" t="n">
        <x:v>0</x:v>
      </x:c>
      <x:c r="G450" s="16" t="n">
        <x:v>1</x:v>
      </x:c>
      <x:c r="H450" s="16" t="str">
        <x:v>16-02-2013</x:v>
      </x:c>
      <x:c r="I450" s="16" t="n">
        <x:v>24</x:v>
      </x:c>
      <x:c r="J450" s="16" t="n">
        <x:v>656</x:v>
      </x:c>
      <x:c r="K450" s="16" t="n">
        <x:v>38</x:v>
      </x:c>
      <x:c r="L450" s="16" t="n">
        <x:v>161</x:v>
      </x:c>
      <x:c r="M450" s="16" t="n">
        <x:v>62</x:v>
      </x:c>
      <x:c r="N450" s="16" t="n">
        <x:v>47</x:v>
      </x:c>
      <x:c r="O450" s="16" t="n">
        <x:v>37</x:v>
      </x:c>
      <x:c r="P450" s="16" t="n">
        <x:v>3</x:v>
      </x:c>
      <x:c r="Q450" s="16" t="n">
        <x:v>8</x:v>
      </x:c>
      <x:c r="R450" s="16" t="n">
        <x:v>9</x:v>
      </x:c>
      <x:c r="S450" s="16" t="n">
        <x:v>7</x:v>
      </x:c>
      <x:c r="T450" s="16" t="n">
        <x:v>7</x:v>
      </x:c>
      <x:c r="U450" s="16" t="n">
        <x:v>0</x:v>
      </x:c>
      <x:c r="V450" s="16" t="n">
        <x:v>0</x:v>
      </x:c>
      <x:c r="W450" s="16" t="n">
        <x:v>0</x:v>
      </x:c>
      <x:c r="X450" s="16" t="n">
        <x:v>0</x:v>
      </x:c>
      <x:c r="Y450" s="16" t="n">
        <x:v>0</x:v>
      </x:c>
      <x:c r="Z450" s="16" t="n">
        <x:v>0</x:v>
      </x:c>
      <x:c r="AA450" s="16" t="n">
        <x:v>3</x:v>
      </x:c>
      <x:c r="AB450" s="16" t="n">
        <x:v>11</x:v>
      </x:c>
      <x:c r="AC450" s="16" t="n">
        <x:v>0</x:v>
      </x:c>
      <x:c r="AD450" s="21" t="n">
        <x:f>IF(E450="",MEDIAN($E$2:$E$2237),E450)</x:f>
        <x:v>56796</x:v>
      </x:c>
      <x:c r="AE450" s="17" t="n">
        <x:f>2014-B450</x:f>
        <x:v>45</x:v>
      </x:c>
      <x:c r="AF450" s="17" t="n">
        <x:f>F450+G450</x:f>
        <x:v>1</x:v>
      </x:c>
      <x:c r="AG450" s="21" t="n">
        <x:f>SUM(J450:O450)</x:f>
        <x:v>1001</x:v>
      </x:c>
      <x:c r="AH450" s="17" t="n">
        <x:f>SUM(Q450:S450)</x:f>
        <x:v>24</x:v>
      </x:c>
      <x:c r="AI450" s="17" t="n">
        <x:f>SUM(U450:Y450)</x:f>
        <x:v>0</x:v>
      </x:c>
      <x:c r="AJ450" s="17" t="str">
        <x:f>IF(AE450&lt;=34,"≤34",IF(AE450&lt;=44,"35–44",IF(AE450&lt;=54,"45–54",IF(AE450&lt;=64,"55–64","65+"))))</x:f>
        <x:v>45–54</x:v>
      </x:c>
      <x:c r="AK450" s="17" t="str">
        <x:f>IF(AG450&gt;=1000,"High Value",IF(AG450&gt;=300,"Mid Value","Low Value"))</x:f>
        <x:v>High Value</x:v>
      </x:c>
      <x:c r="AL450" s="17" t="str">
        <x:f>IF(AND(AI450&gt;=1,I450&lt;=50),"Priority 1",IF(AND(AG450&gt;=1000,I450&lt;=60),"Priority 2",IF(I450&lt;=30,"Priority 3","Nurture")))</x:f>
        <x:v>Priority 2</x:v>
      </x:c>
    </x:row>
    <x:row r="451">
      <x:c r="A451" s="16" t="n">
        <x:v>6471</x:v>
      </x:c>
      <x:c r="B451" s="16" t="n">
        <x:v>1971</x:v>
      </x:c>
      <x:c r="C451" s="16" t="str">
        <x:v>Master</x:v>
      </x:c>
      <x:c r="D451" s="16" t="str">
        <x:v>Single</x:v>
      </x:c>
      <x:c r="E451" s="16" t="n">
        <x:v>36230</x:v>
      </x:c>
      <x:c r="F451" s="16" t="n">
        <x:v>1</x:v>
      </x:c>
      <x:c r="G451" s="16" t="n">
        <x:v>0</x:v>
      </x:c>
      <x:c r="H451" s="16" t="str">
        <x:v>17-10-2013</x:v>
      </x:c>
      <x:c r="I451" s="16" t="n">
        <x:v>17</x:v>
      </x:c>
      <x:c r="J451" s="16" t="n">
        <x:v>14</x:v>
      </x:c>
      <x:c r="K451" s="16" t="n">
        <x:v>2</x:v>
      </x:c>
      <x:c r="L451" s="16" t="n">
        <x:v>30</x:v>
      </x:c>
      <x:c r="M451" s="16" t="n">
        <x:v>8</x:v>
      </x:c>
      <x:c r="N451" s="16" t="n">
        <x:v>2</x:v>
      </x:c>
      <x:c r="O451" s="16" t="n">
        <x:v>3</x:v>
      </x:c>
      <x:c r="P451" s="16" t="n">
        <x:v>1</x:v>
      </x:c>
      <x:c r="Q451" s="16" t="n">
        <x:v>2</x:v>
      </x:c>
      <x:c r="R451" s="16" t="n">
        <x:v>0</x:v>
      </x:c>
      <x:c r="S451" s="16" t="n">
        <x:v>4</x:v>
      </x:c>
      <x:c r="T451" s="16" t="n">
        <x:v>5</x:v>
      </x:c>
      <x:c r="U451" s="16" t="n">
        <x:v>0</x:v>
      </x:c>
      <x:c r="V451" s="16" t="n">
        <x:v>0</x:v>
      </x:c>
      <x:c r="W451" s="16" t="n">
        <x:v>0</x:v>
      </x:c>
      <x:c r="X451" s="16" t="n">
        <x:v>0</x:v>
      </x:c>
      <x:c r="Y451" s="16" t="n">
        <x:v>0</x:v>
      </x:c>
      <x:c r="Z451" s="16" t="n">
        <x:v>0</x:v>
      </x:c>
      <x:c r="AA451" s="16" t="n">
        <x:v>3</x:v>
      </x:c>
      <x:c r="AB451" s="16" t="n">
        <x:v>11</x:v>
      </x:c>
      <x:c r="AC451" s="16" t="n">
        <x:v>0</x:v>
      </x:c>
      <x:c r="AD451" s="21" t="n">
        <x:f>IF(E451="",MEDIAN($E$2:$E$2237),E451)</x:f>
        <x:v>36230</x:v>
      </x:c>
      <x:c r="AE451" s="17" t="n">
        <x:f>2014-B451</x:f>
        <x:v>43</x:v>
      </x:c>
      <x:c r="AF451" s="17" t="n">
        <x:f>F451+G451</x:f>
        <x:v>1</x:v>
      </x:c>
      <x:c r="AG451" s="21" t="n">
        <x:f>SUM(J451:O451)</x:f>
        <x:v>59</x:v>
      </x:c>
      <x:c r="AH451" s="17" t="n">
        <x:f>SUM(Q451:S451)</x:f>
        <x:v>6</x:v>
      </x:c>
      <x:c r="AI451" s="17" t="n">
        <x:f>SUM(U451:Y451)</x:f>
        <x:v>0</x:v>
      </x:c>
      <x:c r="AJ451" s="17" t="str">
        <x:f>IF(AE451&lt;=34,"≤34",IF(AE451&lt;=44,"35–44",IF(AE451&lt;=54,"45–54",IF(AE451&lt;=64,"55–64","65+"))))</x:f>
        <x:v>35–44</x:v>
      </x:c>
      <x:c r="AK451" s="17" t="str">
        <x:f>IF(AG451&gt;=1000,"High Value",IF(AG451&gt;=300,"Mid Value","Low Value"))</x:f>
        <x:v>Low Value</x:v>
      </x:c>
      <x:c r="AL451" s="17" t="str">
        <x:f>IF(AND(AI451&gt;=1,I451&lt;=50),"Priority 1",IF(AND(AG451&gt;=1000,I451&lt;=60),"Priority 2",IF(I451&lt;=30,"Priority 3","Nurture")))</x:f>
        <x:v>Priority 3</x:v>
      </x:c>
    </x:row>
    <x:row r="452">
      <x:c r="A452" s="16" t="n">
        <x:v>6131</x:v>
      </x:c>
      <x:c r="B452" s="16" t="n">
        <x:v>1980</x:v>
      </x:c>
      <x:c r="C452" s="16" t="str">
        <x:v>2n Cycle</x:v>
      </x:c>
      <x:c r="D452" s="16" t="str">
        <x:v>Married</x:v>
      </x:c>
      <x:c r="E452" s="16" t="n">
        <x:v>70829</x:v>
      </x:c>
      <x:c r="F452" s="16" t="n">
        <x:v>1</x:v>
      </x:c>
      <x:c r="G452" s="16" t="n">
        <x:v>1</x:v>
      </x:c>
      <x:c r="H452" s="16" t="str">
        <x:v>01-12-2013</x:v>
      </x:c>
      <x:c r="I452" s="16" t="n">
        <x:v>87</x:v>
      </x:c>
      <x:c r="J452" s="16" t="n">
        <x:v>141</x:v>
      </x:c>
      <x:c r="K452" s="16" t="n">
        <x:v>70</x:v>
      </x:c>
      <x:c r="L452" s="16" t="n">
        <x:v>106</x:v>
      </x:c>
      <x:c r="M452" s="16" t="n">
        <x:v>72</x:v>
      </x:c>
      <x:c r="N452" s="16" t="n">
        <x:v>19</x:v>
      </x:c>
      <x:c r="O452" s="16" t="n">
        <x:v>23</x:v>
      </x:c>
      <x:c r="P452" s="16" t="n">
        <x:v>2</x:v>
      </x:c>
      <x:c r="Q452" s="16" t="n">
        <x:v>4</x:v>
      </x:c>
      <x:c r="R452" s="16" t="n">
        <x:v>2</x:v>
      </x:c>
      <x:c r="S452" s="16" t="n">
        <x:v>8</x:v>
      </x:c>
      <x:c r="T452" s="16" t="n">
        <x:v>3</x:v>
      </x:c>
      <x:c r="U452" s="16" t="n">
        <x:v>0</x:v>
      </x:c>
      <x:c r="V452" s="16" t="n">
        <x:v>0</x:v>
      </x:c>
      <x:c r="W452" s="16" t="n">
        <x:v>0</x:v>
      </x:c>
      <x:c r="X452" s="16" t="n">
        <x:v>0</x:v>
      </x:c>
      <x:c r="Y452" s="16" t="n">
        <x:v>0</x:v>
      </x:c>
      <x:c r="Z452" s="16" t="n">
        <x:v>0</x:v>
      </x:c>
      <x:c r="AA452" s="16" t="n">
        <x:v>3</x:v>
      </x:c>
      <x:c r="AB452" s="16" t="n">
        <x:v>11</x:v>
      </x:c>
      <x:c r="AC452" s="16" t="n">
        <x:v>0</x:v>
      </x:c>
      <x:c r="AD452" s="21" t="n">
        <x:f>IF(E452="",MEDIAN($E$2:$E$2237),E452)</x:f>
        <x:v>70829</x:v>
      </x:c>
      <x:c r="AE452" s="17" t="n">
        <x:f>2014-B452</x:f>
        <x:v>34</x:v>
      </x:c>
      <x:c r="AF452" s="17" t="n">
        <x:f>F452+G452</x:f>
        <x:v>2</x:v>
      </x:c>
      <x:c r="AG452" s="21" t="n">
        <x:f>SUM(J452:O452)</x:f>
        <x:v>431</x:v>
      </x:c>
      <x:c r="AH452" s="17" t="n">
        <x:f>SUM(Q452:S452)</x:f>
        <x:v>14</x:v>
      </x:c>
      <x:c r="AI452" s="17" t="n">
        <x:f>SUM(U452:Y452)</x:f>
        <x:v>0</x:v>
      </x:c>
      <x:c r="AJ452" s="17" t="str">
        <x:f>IF(AE452&lt;=34,"≤34",IF(AE452&lt;=44,"35–44",IF(AE452&lt;=54,"45–54",IF(AE452&lt;=64,"55–64","65+"))))</x:f>
        <x:v>≤34</x:v>
      </x:c>
      <x:c r="AK452" s="17" t="str">
        <x:f>IF(AG452&gt;=1000,"High Value",IF(AG452&gt;=300,"Mid Value","Low Value"))</x:f>
        <x:v>Mid Value</x:v>
      </x:c>
      <x:c r="AL452" s="17" t="str">
        <x:f>IF(AND(AI452&gt;=1,I452&lt;=50),"Priority 1",IF(AND(AG452&gt;=1000,I452&lt;=60),"Priority 2",IF(I452&lt;=30,"Priority 3","Nurture")))</x:f>
        <x:v>Nurture</x:v>
      </x:c>
    </x:row>
    <x:row r="453">
      <x:c r="A453" s="16" t="n">
        <x:v>6233</x:v>
      </x:c>
      <x:c r="B453" s="16" t="n">
        <x:v>1976</x:v>
      </x:c>
      <x:c r="C453" s="16" t="str">
        <x:v>Graduation</x:v>
      </x:c>
      <x:c r="D453" s="16" t="str">
        <x:v>Married</x:v>
      </x:c>
      <x:c r="E453" s="16" t="n">
        <x:v>65991</x:v>
      </x:c>
      <x:c r="F453" s="16" t="n">
        <x:v>0</x:v>
      </x:c>
      <x:c r="G453" s="16" t="n">
        <x:v>1</x:v>
      </x:c>
      <x:c r="H453" s="16" t="str">
        <x:v>07-09-2012</x:v>
      </x:c>
      <x:c r="I453" s="16" t="n">
        <x:v>21</x:v>
      </x:c>
      <x:c r="J453" s="16" t="n">
        <x:v>507</x:v>
      </x:c>
      <x:c r="K453" s="16" t="n">
        <x:v>19</x:v>
      </x:c>
      <x:c r="L453" s="16" t="n">
        <x:v>364</x:v>
      </x:c>
      <x:c r="M453" s="16" t="n">
        <x:v>25</x:v>
      </x:c>
      <x:c r="N453" s="16" t="n">
        <x:v>47</x:v>
      </x:c>
      <x:c r="O453" s="16" t="n">
        <x:v>9</x:v>
      </x:c>
      <x:c r="P453" s="16" t="n">
        <x:v>3</x:v>
      </x:c>
      <x:c r="Q453" s="16" t="n">
        <x:v>9</x:v>
      </x:c>
      <x:c r="R453" s="16" t="n">
        <x:v>5</x:v>
      </x:c>
      <x:c r="S453" s="16" t="n">
        <x:v>10</x:v>
      </x:c>
      <x:c r="T453" s="16" t="n">
        <x:v>7</x:v>
      </x:c>
      <x:c r="U453" s="16" t="n">
        <x:v>0</x:v>
      </x:c>
      <x:c r="V453" s="16" t="n">
        <x:v>0</x:v>
      </x:c>
      <x:c r="W453" s="16" t="n">
        <x:v>0</x:v>
      </x:c>
      <x:c r="X453" s="16" t="n">
        <x:v>0</x:v>
      </x:c>
      <x:c r="Y453" s="16" t="n">
        <x:v>0</x:v>
      </x:c>
      <x:c r="Z453" s="16" t="n">
        <x:v>0</x:v>
      </x:c>
      <x:c r="AA453" s="16" t="n">
        <x:v>3</x:v>
      </x:c>
      <x:c r="AB453" s="16" t="n">
        <x:v>11</x:v>
      </x:c>
      <x:c r="AC453" s="16" t="n">
        <x:v>0</x:v>
      </x:c>
      <x:c r="AD453" s="21" t="n">
        <x:f>IF(E453="",MEDIAN($E$2:$E$2237),E453)</x:f>
        <x:v>65991</x:v>
      </x:c>
      <x:c r="AE453" s="17" t="n">
        <x:f>2014-B453</x:f>
        <x:v>38</x:v>
      </x:c>
      <x:c r="AF453" s="17" t="n">
        <x:f>F453+G453</x:f>
        <x:v>1</x:v>
      </x:c>
      <x:c r="AG453" s="21" t="n">
        <x:f>SUM(J453:O453)</x:f>
        <x:v>971</x:v>
      </x:c>
      <x:c r="AH453" s="17" t="n">
        <x:f>SUM(Q453:S453)</x:f>
        <x:v>24</x:v>
      </x:c>
      <x:c r="AI453" s="17" t="n">
        <x:f>SUM(U453:Y453)</x:f>
        <x:v>0</x:v>
      </x:c>
      <x:c r="AJ453" s="17" t="str">
        <x:f>IF(AE453&lt;=34,"≤34",IF(AE453&lt;=44,"35–44",IF(AE453&lt;=54,"45–54",IF(AE453&lt;=64,"55–64","65+"))))</x:f>
        <x:v>35–44</x:v>
      </x:c>
      <x:c r="AK453" s="17" t="str">
        <x:f>IF(AG453&gt;=1000,"High Value",IF(AG453&gt;=300,"Mid Value","Low Value"))</x:f>
        <x:v>Mid Value</x:v>
      </x:c>
      <x:c r="AL453" s="17" t="str">
        <x:f>IF(AND(AI453&gt;=1,I453&lt;=50),"Priority 1",IF(AND(AG453&gt;=1000,I453&lt;=60),"Priority 2",IF(I453&lt;=30,"Priority 3","Nurture")))</x:f>
        <x:v>Priority 3</x:v>
      </x:c>
    </x:row>
    <x:row r="454">
      <x:c r="A454" s="16" t="n">
        <x:v>4148</x:v>
      </x:c>
      <x:c r="B454" s="16" t="n">
        <x:v>1972</x:v>
      </x:c>
      <x:c r="C454" s="16" t="str">
        <x:v>Graduation</x:v>
      </x:c>
      <x:c r="D454" s="16" t="str">
        <x:v>Married</x:v>
      </x:c>
      <x:c r="E454" s="16" t="n">
        <x:v>38988</x:v>
      </x:c>
      <x:c r="F454" s="16" t="n">
        <x:v>1</x:v>
      </x:c>
      <x:c r="G454" s="16" t="n">
        <x:v>2</x:v>
      </x:c>
      <x:c r="H454" s="16" t="str">
        <x:v>20-08-2012</x:v>
      </x:c>
      <x:c r="I454" s="16" t="n">
        <x:v>90</x:v>
      </x:c>
      <x:c r="J454" s="16" t="n">
        <x:v>164</x:v>
      </x:c>
      <x:c r="K454" s="16" t="n">
        <x:v>24</x:v>
      </x:c>
      <x:c r="L454" s="16" t="n">
        <x:v>103</x:v>
      </x:c>
      <x:c r="M454" s="16" t="n">
        <x:v>12</x:v>
      </x:c>
      <x:c r="N454" s="16" t="n">
        <x:v>3</x:v>
      </x:c>
      <x:c r="O454" s="16" t="n">
        <x:v>42</x:v>
      </x:c>
      <x:c r="P454" s="16" t="n">
        <x:v>7</x:v>
      </x:c>
      <x:c r="Q454" s="16" t="n">
        <x:v>5</x:v>
      </x:c>
      <x:c r="R454" s="16" t="n">
        <x:v>1</x:v>
      </x:c>
      <x:c r="S454" s="16" t="n">
        <x:v>6</x:v>
      </x:c>
      <x:c r="T454" s="16" t="n">
        <x:v>8</x:v>
      </x:c>
      <x:c r="U454" s="16" t="n">
        <x:v>0</x:v>
      </x:c>
      <x:c r="V454" s="16" t="n">
        <x:v>0</x:v>
      </x:c>
      <x:c r="W454" s="16" t="n">
        <x:v>0</x:v>
      </x:c>
      <x:c r="X454" s="16" t="n">
        <x:v>0</x:v>
      </x:c>
      <x:c r="Y454" s="16" t="n">
        <x:v>0</x:v>
      </x:c>
      <x:c r="Z454" s="16" t="n">
        <x:v>0</x:v>
      </x:c>
      <x:c r="AA454" s="16" t="n">
        <x:v>3</x:v>
      </x:c>
      <x:c r="AB454" s="16" t="n">
        <x:v>11</x:v>
      </x:c>
      <x:c r="AC454" s="16" t="n">
        <x:v>0</x:v>
      </x:c>
      <x:c r="AD454" s="21" t="n">
        <x:f>IF(E454="",MEDIAN($E$2:$E$2237),E454)</x:f>
        <x:v>38988</x:v>
      </x:c>
      <x:c r="AE454" s="17" t="n">
        <x:f>2014-B454</x:f>
        <x:v>42</x:v>
      </x:c>
      <x:c r="AF454" s="17" t="n">
        <x:f>F454+G454</x:f>
        <x:v>3</x:v>
      </x:c>
      <x:c r="AG454" s="21" t="n">
        <x:f>SUM(J454:O454)</x:f>
        <x:v>348</x:v>
      </x:c>
      <x:c r="AH454" s="17" t="n">
        <x:f>SUM(Q454:S454)</x:f>
        <x:v>12</x:v>
      </x:c>
      <x:c r="AI454" s="17" t="n">
        <x:f>SUM(U454:Y454)</x:f>
        <x:v>0</x:v>
      </x:c>
      <x:c r="AJ454" s="17" t="str">
        <x:f>IF(AE454&lt;=34,"≤34",IF(AE454&lt;=44,"35–44",IF(AE454&lt;=54,"45–54",IF(AE454&lt;=64,"55–64","65+"))))</x:f>
        <x:v>35–44</x:v>
      </x:c>
      <x:c r="AK454" s="17" t="str">
        <x:f>IF(AG454&gt;=1000,"High Value",IF(AG454&gt;=300,"Mid Value","Low Value"))</x:f>
        <x:v>Mid Value</x:v>
      </x:c>
      <x:c r="AL454" s="17" t="str">
        <x:f>IF(AND(AI454&gt;=1,I454&lt;=50),"Priority 1",IF(AND(AG454&gt;=1000,I454&lt;=60),"Priority 2",IF(I454&lt;=30,"Priority 3","Nurture")))</x:f>
        <x:v>Nurture</x:v>
      </x:c>
    </x:row>
    <x:row r="455">
      <x:c r="A455" s="16" t="n">
        <x:v>4947</x:v>
      </x:c>
      <x:c r="B455" s="16" t="n">
        <x:v>1966</x:v>
      </x:c>
      <x:c r="C455" s="16" t="str">
        <x:v>2n Cycle</x:v>
      </x:c>
      <x:c r="D455" s="16" t="str">
        <x:v>Single</x:v>
      </x:c>
      <x:c r="E455" s="16" t="n">
        <x:v>89572</x:v>
      </x:c>
      <x:c r="F455" s="16" t="n">
        <x:v>0</x:v>
      </x:c>
      <x:c r="G455" s="16" t="n">
        <x:v>0</x:v>
      </x:c>
      <x:c r="H455" s="16" t="str">
        <x:v>15-09-2012</x:v>
      </x:c>
      <x:c r="I455" s="16" t="n">
        <x:v>44</x:v>
      </x:c>
      <x:c r="J455" s="16" t="n">
        <x:v>606</x:v>
      </x:c>
      <x:c r="K455" s="16" t="n">
        <x:v>24</x:v>
      </x:c>
      <x:c r="L455" s="16" t="n">
        <x:v>974</x:v>
      </x:c>
      <x:c r="M455" s="16" t="n">
        <x:v>197</x:v>
      </x:c>
      <x:c r="N455" s="16" t="n">
        <x:v>194</x:v>
      </x:c>
      <x:c r="O455" s="16" t="n">
        <x:v>64</x:v>
      </x:c>
      <x:c r="P455" s="16" t="n">
        <x:v>1</x:v>
      </x:c>
      <x:c r="Q455" s="16" t="n">
        <x:v>7</x:v>
      </x:c>
      <x:c r="R455" s="16" t="n">
        <x:v>7</x:v>
      </x:c>
      <x:c r="S455" s="16" t="n">
        <x:v>9</x:v>
      </x:c>
      <x:c r="T455" s="16" t="n">
        <x:v>4</x:v>
      </x:c>
      <x:c r="U455" s="16" t="n">
        <x:v>0</x:v>
      </x:c>
      <x:c r="V455" s="16" t="n">
        <x:v>1</x:v>
      </x:c>
      <x:c r="W455" s="16" t="n">
        <x:v>0</x:v>
      </x:c>
      <x:c r="X455" s="16" t="n">
        <x:v>1</x:v>
      </x:c>
      <x:c r="Y455" s="16" t="n">
        <x:v>0</x:v>
      </x:c>
      <x:c r="Z455" s="16" t="n">
        <x:v>0</x:v>
      </x:c>
      <x:c r="AA455" s="16" t="n">
        <x:v>3</x:v>
      </x:c>
      <x:c r="AB455" s="16" t="n">
        <x:v>11</x:v>
      </x:c>
      <x:c r="AC455" s="16" t="n">
        <x:v>1</x:v>
      </x:c>
      <x:c r="AD455" s="21" t="n">
        <x:f>IF(E455="",MEDIAN($E$2:$E$2237),E455)</x:f>
        <x:v>89572</x:v>
      </x:c>
      <x:c r="AE455" s="17" t="n">
        <x:f>2014-B455</x:f>
        <x:v>48</x:v>
      </x:c>
      <x:c r="AF455" s="17" t="n">
        <x:f>F455+G455</x:f>
        <x:v>0</x:v>
      </x:c>
      <x:c r="AG455" s="21" t="n">
        <x:f>SUM(J455:O455)</x:f>
        <x:v>2059</x:v>
      </x:c>
      <x:c r="AH455" s="17" t="n">
        <x:f>SUM(Q455:S455)</x:f>
        <x:v>23</x:v>
      </x:c>
      <x:c r="AI455" s="17" t="n">
        <x:f>SUM(U455:Y455)</x:f>
        <x:v>2</x:v>
      </x:c>
      <x:c r="AJ455" s="17" t="str">
        <x:f>IF(AE455&lt;=34,"≤34",IF(AE455&lt;=44,"35–44",IF(AE455&lt;=54,"45–54",IF(AE455&lt;=64,"55–64","65+"))))</x:f>
        <x:v>45–54</x:v>
      </x:c>
      <x:c r="AK455" s="17" t="str">
        <x:f>IF(AG455&gt;=1000,"High Value",IF(AG455&gt;=300,"Mid Value","Low Value"))</x:f>
        <x:v>High Value</x:v>
      </x:c>
      <x:c r="AL455" s="17" t="str">
        <x:f>IF(AND(AI455&gt;=1,I455&lt;=50),"Priority 1",IF(AND(AG455&gt;=1000,I455&lt;=60),"Priority 2",IF(I455&lt;=30,"Priority 3","Nurture")))</x:f>
        <x:v>Priority 1</x:v>
      </x:c>
    </x:row>
    <x:row r="456">
      <x:c r="A456" s="16" t="n">
        <x:v>3225</x:v>
      </x:c>
      <x:c r="B456" s="16" t="n">
        <x:v>1984</x:v>
      </x:c>
      <x:c r="C456" s="16" t="str">
        <x:v>Master</x:v>
      </x:c>
      <x:c r="D456" s="16" t="str">
        <x:v>Married</x:v>
      </x:c>
      <x:c r="E456" s="16" t="n">
        <x:v>42207</x:v>
      </x:c>
      <x:c r="F456" s="16" t="n">
        <x:v>1</x:v>
      </x:c>
      <x:c r="G456" s="16" t="n">
        <x:v>0</x:v>
      </x:c>
      <x:c r="H456" s="16" t="str">
        <x:v>01-04-2013</x:v>
      </x:c>
      <x:c r="I456" s="16" t="n">
        <x:v>71</x:v>
      </x:c>
      <x:c r="J456" s="16" t="n">
        <x:v>116</x:v>
      </x:c>
      <x:c r="K456" s="16" t="n">
        <x:v>11</x:v>
      </x:c>
      <x:c r="L456" s="16" t="n">
        <x:v>72</x:v>
      </x:c>
      <x:c r="M456" s="16" t="n">
        <x:v>3</x:v>
      </x:c>
      <x:c r="N456" s="16" t="n">
        <x:v>17</x:v>
      </x:c>
      <x:c r="O456" s="16" t="n">
        <x:v>46</x:v>
      </x:c>
      <x:c r="P456" s="16" t="n">
        <x:v>4</x:v>
      </x:c>
      <x:c r="Q456" s="16" t="n">
        <x:v>4</x:v>
      </x:c>
      <x:c r="R456" s="16" t="n">
        <x:v>1</x:v>
      </x:c>
      <x:c r="S456" s="16" t="n">
        <x:v>5</x:v>
      </x:c>
      <x:c r="T456" s="16" t="n">
        <x:v>6</x:v>
      </x:c>
      <x:c r="U456" s="16" t="n">
        <x:v>1</x:v>
      </x:c>
      <x:c r="V456" s="16" t="n">
        <x:v>0</x:v>
      </x:c>
      <x:c r="W456" s="16" t="n">
        <x:v>0</x:v>
      </x:c>
      <x:c r="X456" s="16" t="n">
        <x:v>0</x:v>
      </x:c>
      <x:c r="Y456" s="16" t="n">
        <x:v>0</x:v>
      </x:c>
      <x:c r="Z456" s="16" t="n">
        <x:v>0</x:v>
      </x:c>
      <x:c r="AA456" s="16" t="n">
        <x:v>3</x:v>
      </x:c>
      <x:c r="AB456" s="16" t="n">
        <x:v>11</x:v>
      </x:c>
      <x:c r="AC456" s="16" t="n">
        <x:v>1</x:v>
      </x:c>
      <x:c r="AD456" s="21" t="n">
        <x:f>IF(E456="",MEDIAN($E$2:$E$2237),E456)</x:f>
        <x:v>42207</x:v>
      </x:c>
      <x:c r="AE456" s="17" t="n">
        <x:f>2014-B456</x:f>
        <x:v>30</x:v>
      </x:c>
      <x:c r="AF456" s="17" t="n">
        <x:f>F456+G456</x:f>
        <x:v>1</x:v>
      </x:c>
      <x:c r="AG456" s="21" t="n">
        <x:f>SUM(J456:O456)</x:f>
        <x:v>265</x:v>
      </x:c>
      <x:c r="AH456" s="17" t="n">
        <x:f>SUM(Q456:S456)</x:f>
        <x:v>10</x:v>
      </x:c>
      <x:c r="AI456" s="17" t="n">
        <x:f>SUM(U456:Y456)</x:f>
        <x:v>1</x:v>
      </x:c>
      <x:c r="AJ456" s="17" t="str">
        <x:f>IF(AE456&lt;=34,"≤34",IF(AE456&lt;=44,"35–44",IF(AE456&lt;=54,"45–54",IF(AE456&lt;=64,"55–64","65+"))))</x:f>
        <x:v>≤34</x:v>
      </x:c>
      <x:c r="AK456" s="17" t="str">
        <x:f>IF(AG456&gt;=1000,"High Value",IF(AG456&gt;=300,"Mid Value","Low Value"))</x:f>
        <x:v>Low Value</x:v>
      </x:c>
      <x:c r="AL456" s="17" t="str">
        <x:f>IF(AND(AI456&gt;=1,I456&lt;=50),"Priority 1",IF(AND(AG456&gt;=1000,I456&lt;=60),"Priority 2",IF(I456&lt;=30,"Priority 3","Nurture")))</x:f>
        <x:v>Nurture</x:v>
      </x:c>
    </x:row>
    <x:row r="457">
      <x:c r="A457" s="16" t="n">
        <x:v>7540</x:v>
      </x:c>
      <x:c r="B457" s="16" t="n">
        <x:v>1952</x:v>
      </x:c>
      <x:c r="C457" s="16" t="str">
        <x:v>Graduation</x:v>
      </x:c>
      <x:c r="D457" s="16" t="str">
        <x:v>Married</x:v>
      </x:c>
      <x:c r="E457" s="16" t="n">
        <x:v>50300</x:v>
      </x:c>
      <x:c r="F457" s="16" t="n">
        <x:v>0</x:v>
      </x:c>
      <x:c r="G457" s="16" t="n">
        <x:v>1</x:v>
      </x:c>
      <x:c r="H457" s="16" t="str">
        <x:v>25-05-2014</x:v>
      </x:c>
      <x:c r="I457" s="16" t="n">
        <x:v>52</x:v>
      </x:c>
      <x:c r="J457" s="16" t="n">
        <x:v>143</x:v>
      </x:c>
      <x:c r="K457" s="16" t="n">
        <x:v>15</x:v>
      </x:c>
      <x:c r="L457" s="16" t="n">
        <x:v>60</x:v>
      </x:c>
      <x:c r="M457" s="16" t="n">
        <x:v>24</x:v>
      </x:c>
      <x:c r="N457" s="16" t="n">
        <x:v>23</x:v>
      </x:c>
      <x:c r="O457" s="16" t="n">
        <x:v>5</x:v>
      </x:c>
      <x:c r="P457" s="16" t="n">
        <x:v>2</x:v>
      </x:c>
      <x:c r="Q457" s="16" t="n">
        <x:v>2</x:v>
      </x:c>
      <x:c r="R457" s="16" t="n">
        <x:v>1</x:v>
      </x:c>
      <x:c r="S457" s="16" t="n">
        <x:v>8</x:v>
      </x:c>
      <x:c r="T457" s="16" t="n">
        <x:v>2</x:v>
      </x:c>
      <x:c r="U457" s="16" t="n">
        <x:v>0</x:v>
      </x:c>
      <x:c r="V457" s="16" t="n">
        <x:v>0</x:v>
      </x:c>
      <x:c r="W457" s="16" t="n">
        <x:v>0</x:v>
      </x:c>
      <x:c r="X457" s="16" t="n">
        <x:v>0</x:v>
      </x:c>
      <x:c r="Y457" s="16" t="n">
        <x:v>0</x:v>
      </x:c>
      <x:c r="Z457" s="16" t="n">
        <x:v>0</x:v>
      </x:c>
      <x:c r="AA457" s="16" t="n">
        <x:v>3</x:v>
      </x:c>
      <x:c r="AB457" s="16" t="n">
        <x:v>11</x:v>
      </x:c>
      <x:c r="AC457" s="16" t="n">
        <x:v>0</x:v>
      </x:c>
      <x:c r="AD457" s="21" t="n">
        <x:f>IF(E457="",MEDIAN($E$2:$E$2237),E457)</x:f>
        <x:v>50300</x:v>
      </x:c>
      <x:c r="AE457" s="17" t="n">
        <x:f>2014-B457</x:f>
        <x:v>62</x:v>
      </x:c>
      <x:c r="AF457" s="17" t="n">
        <x:f>F457+G457</x:f>
        <x:v>1</x:v>
      </x:c>
      <x:c r="AG457" s="21" t="n">
        <x:f>SUM(J457:O457)</x:f>
        <x:v>270</x:v>
      </x:c>
      <x:c r="AH457" s="17" t="n">
        <x:f>SUM(Q457:S457)</x:f>
        <x:v>11</x:v>
      </x:c>
      <x:c r="AI457" s="17" t="n">
        <x:f>SUM(U457:Y457)</x:f>
        <x:v>0</x:v>
      </x:c>
      <x:c r="AJ457" s="17" t="str">
        <x:f>IF(AE457&lt;=34,"≤34",IF(AE457&lt;=44,"35–44",IF(AE457&lt;=54,"45–54",IF(AE457&lt;=64,"55–64","65+"))))</x:f>
        <x:v>55–64</x:v>
      </x:c>
      <x:c r="AK457" s="17" t="str">
        <x:f>IF(AG457&gt;=1000,"High Value",IF(AG457&gt;=300,"Mid Value","Low Value"))</x:f>
        <x:v>Low Value</x:v>
      </x:c>
      <x:c r="AL457" s="17" t="str">
        <x:f>IF(AND(AI457&gt;=1,I457&lt;=50),"Priority 1",IF(AND(AG457&gt;=1000,I457&lt;=60),"Priority 2",IF(I457&lt;=30,"Priority 3","Nurture")))</x:f>
        <x:v>Nurture</x:v>
      </x:c>
    </x:row>
    <x:row r="458">
      <x:c r="A458" s="16" t="n">
        <x:v>10648</x:v>
      </x:c>
      <x:c r="B458" s="16" t="n">
        <x:v>1982</x:v>
      </x:c>
      <x:c r="C458" s="16" t="str">
        <x:v>2n Cycle</x:v>
      </x:c>
      <x:c r="D458" s="16" t="str">
        <x:v>Together</x:v>
      </x:c>
      <x:c r="E458" s="16" t="n">
        <x:v>66664</x:v>
      </x:c>
      <x:c r="F458" s="16" t="n">
        <x:v>0</x:v>
      </x:c>
      <x:c r="G458" s="16" t="n">
        <x:v>0</x:v>
      </x:c>
      <x:c r="H458" s="16" t="str">
        <x:v>25-09-2012</x:v>
      </x:c>
      <x:c r="I458" s="16" t="n">
        <x:v>78</x:v>
      </x:c>
      <x:c r="J458" s="16" t="n">
        <x:v>398</x:v>
      </x:c>
      <x:c r="K458" s="16" t="n">
        <x:v>96</x:v>
      </x:c>
      <x:c r="L458" s="16" t="n">
        <x:v>447</x:v>
      </x:c>
      <x:c r="M458" s="16" t="n">
        <x:v>220</x:v>
      </x:c>
      <x:c r="N458" s="16" t="n">
        <x:v>96</x:v>
      </x:c>
      <x:c r="O458" s="16" t="n">
        <x:v>32</x:v>
      </x:c>
      <x:c r="P458" s="16" t="n">
        <x:v>1</x:v>
      </x:c>
      <x:c r="Q458" s="16" t="n">
        <x:v>5</x:v>
      </x:c>
      <x:c r="R458" s="16" t="n">
        <x:v>7</x:v>
      </x:c>
      <x:c r="S458" s="16" t="n">
        <x:v>6</x:v>
      </x:c>
      <x:c r="T458" s="16" t="n">
        <x:v>3</x:v>
      </x:c>
      <x:c r="U458" s="16" t="n">
        <x:v>0</x:v>
      </x:c>
      <x:c r="V458" s="16" t="n">
        <x:v>0</x:v>
      </x:c>
      <x:c r="W458" s="16" t="n">
        <x:v>0</x:v>
      </x:c>
      <x:c r="X458" s="16" t="n">
        <x:v>0</x:v>
      </x:c>
      <x:c r="Y458" s="16" t="n">
        <x:v>0</x:v>
      </x:c>
      <x:c r="Z458" s="16" t="n">
        <x:v>0</x:v>
      </x:c>
      <x:c r="AA458" s="16" t="n">
        <x:v>3</x:v>
      </x:c>
      <x:c r="AB458" s="16" t="n">
        <x:v>11</x:v>
      </x:c>
      <x:c r="AC458" s="16" t="n">
        <x:v>0</x:v>
      </x:c>
      <x:c r="AD458" s="21" t="n">
        <x:f>IF(E458="",MEDIAN($E$2:$E$2237),E458)</x:f>
        <x:v>66664</x:v>
      </x:c>
      <x:c r="AE458" s="17" t="n">
        <x:f>2014-B458</x:f>
        <x:v>32</x:v>
      </x:c>
      <x:c r="AF458" s="17" t="n">
        <x:f>F458+G458</x:f>
        <x:v>0</x:v>
      </x:c>
      <x:c r="AG458" s="21" t="n">
        <x:f>SUM(J458:O458)</x:f>
        <x:v>1289</x:v>
      </x:c>
      <x:c r="AH458" s="17" t="n">
        <x:f>SUM(Q458:S458)</x:f>
        <x:v>18</x:v>
      </x:c>
      <x:c r="AI458" s="17" t="n">
        <x:f>SUM(U458:Y458)</x:f>
        <x:v>0</x:v>
      </x:c>
      <x:c r="AJ458" s="17" t="str">
        <x:f>IF(AE458&lt;=34,"≤34",IF(AE458&lt;=44,"35–44",IF(AE458&lt;=54,"45–54",IF(AE458&lt;=64,"55–64","65+"))))</x:f>
        <x:v>≤34</x:v>
      </x:c>
      <x:c r="AK458" s="17" t="str">
        <x:f>IF(AG458&gt;=1000,"High Value",IF(AG458&gt;=300,"Mid Value","Low Value"))</x:f>
        <x:v>High Value</x:v>
      </x:c>
      <x:c r="AL458" s="17" t="str">
        <x:f>IF(AND(AI458&gt;=1,I458&lt;=50),"Priority 1",IF(AND(AG458&gt;=1000,I458&lt;=60),"Priority 2",IF(I458&lt;=30,"Priority 3","Nurture")))</x:f>
        <x:v>Nurture</x:v>
      </x:c>
    </x:row>
    <x:row r="459">
      <x:c r="A459" s="16" t="n">
        <x:v>1992</x:v>
      </x:c>
      <x:c r="B459" s="16" t="n">
        <x:v>1964</x:v>
      </x:c>
      <x:c r="C459" s="16" t="str">
        <x:v>Graduation</x:v>
      </x:c>
      <x:c r="D459" s="16" t="str">
        <x:v>Married</x:v>
      </x:c>
      <x:c r="E459" s="16" t="n">
        <x:v>60597</x:v>
      </x:c>
      <x:c r="F459" s="16" t="n">
        <x:v>0</x:v>
      </x:c>
      <x:c r="G459" s="16" t="n">
        <x:v>1</x:v>
      </x:c>
      <x:c r="H459" s="16" t="str">
        <x:v>01-01-2014</x:v>
      </x:c>
      <x:c r="I459" s="16" t="n">
        <x:v>2</x:v>
      </x:c>
      <x:c r="J459" s="16" t="n">
        <x:v>522</x:v>
      </x:c>
      <x:c r="K459" s="16" t="n">
        <x:v>0</x:v>
      </x:c>
      <x:c r="L459" s="16" t="n">
        <x:v>257</x:v>
      </x:c>
      <x:c r="M459" s="16" t="n">
        <x:v>32</x:v>
      </x:c>
      <x:c r="N459" s="16" t="n">
        <x:v>16</x:v>
      </x:c>
      <x:c r="O459" s="16" t="n">
        <x:v>66</x:v>
      </x:c>
      <x:c r="P459" s="16" t="n">
        <x:v>4</x:v>
      </x:c>
      <x:c r="Q459" s="16" t="n">
        <x:v>2</x:v>
      </x:c>
      <x:c r="R459" s="16" t="n">
        <x:v>2</x:v>
      </x:c>
      <x:c r="S459" s="16" t="n">
        <x:v>8</x:v>
      </x:c>
      <x:c r="T459" s="16" t="n">
        <x:v>7</x:v>
      </x:c>
      <x:c r="U459" s="16" t="n">
        <x:v>0</x:v>
      </x:c>
      <x:c r="V459" s="16" t="n">
        <x:v>0</x:v>
      </x:c>
      <x:c r="W459" s="16" t="n">
        <x:v>0</x:v>
      </x:c>
      <x:c r="X459" s="16" t="n">
        <x:v>1</x:v>
      </x:c>
      <x:c r="Y459" s="16" t="n">
        <x:v>0</x:v>
      </x:c>
      <x:c r="Z459" s="16" t="n">
        <x:v>0</x:v>
      </x:c>
      <x:c r="AA459" s="16" t="n">
        <x:v>3</x:v>
      </x:c>
      <x:c r="AB459" s="16" t="n">
        <x:v>11</x:v>
      </x:c>
      <x:c r="AC459" s="16" t="n">
        <x:v>1</x:v>
      </x:c>
      <x:c r="AD459" s="21" t="n">
        <x:f>IF(E459="",MEDIAN($E$2:$E$2237),E459)</x:f>
        <x:v>60597</x:v>
      </x:c>
      <x:c r="AE459" s="17" t="n">
        <x:f>2014-B459</x:f>
        <x:v>50</x:v>
      </x:c>
      <x:c r="AF459" s="17" t="n">
        <x:f>F459+G459</x:f>
        <x:v>1</x:v>
      </x:c>
      <x:c r="AG459" s="21" t="n">
        <x:f>SUM(J459:O459)</x:f>
        <x:v>893</x:v>
      </x:c>
      <x:c r="AH459" s="17" t="n">
        <x:f>SUM(Q459:S459)</x:f>
        <x:v>12</x:v>
      </x:c>
      <x:c r="AI459" s="17" t="n">
        <x:f>SUM(U459:Y459)</x:f>
        <x:v>1</x:v>
      </x:c>
      <x:c r="AJ459" s="17" t="str">
        <x:f>IF(AE459&lt;=34,"≤34",IF(AE459&lt;=44,"35–44",IF(AE459&lt;=54,"45–54",IF(AE459&lt;=64,"55–64","65+"))))</x:f>
        <x:v>45–54</x:v>
      </x:c>
      <x:c r="AK459" s="17" t="str">
        <x:f>IF(AG459&gt;=1000,"High Value",IF(AG459&gt;=300,"Mid Value","Low Value"))</x:f>
        <x:v>Mid Value</x:v>
      </x:c>
      <x:c r="AL459" s="17" t="str">
        <x:f>IF(AND(AI459&gt;=1,I459&lt;=50),"Priority 1",IF(AND(AG459&gt;=1000,I459&lt;=60),"Priority 2",IF(I459&lt;=30,"Priority 3","Nurture")))</x:f>
        <x:v>Priority 1</x:v>
      </x:c>
    </x:row>
    <x:row r="460">
      <x:c r="A460" s="16" t="n">
        <x:v>7851</x:v>
      </x:c>
      <x:c r="B460" s="16" t="n">
        <x:v>1949</x:v>
      </x:c>
      <x:c r="C460" s="16" t="str">
        <x:v>Graduation</x:v>
      </x:c>
      <x:c r="D460" s="16" t="str">
        <x:v>Widow</x:v>
      </x:c>
      <x:c r="E460" s="16" t="n">
        <x:v>70165</x:v>
      </x:c>
      <x:c r="F460" s="16" t="n">
        <x:v>0</x:v>
      </x:c>
      <x:c r="G460" s="16" t="n">
        <x:v>0</x:v>
      </x:c>
      <x:c r="H460" s="16" t="str">
        <x:v>22-09-2013</x:v>
      </x:c>
      <x:c r="I460" s="16" t="n">
        <x:v>60</x:v>
      </x:c>
      <x:c r="J460" s="16" t="n">
        <x:v>161</x:v>
      </x:c>
      <x:c r="K460" s="16" t="n">
        <x:v>0</x:v>
      </x:c>
      <x:c r="L460" s="16" t="n">
        <x:v>253</x:v>
      </x:c>
      <x:c r="M460" s="16" t="n">
        <x:v>199</x:v>
      </x:c>
      <x:c r="N460" s="16" t="n">
        <x:v>191</x:v>
      </x:c>
      <x:c r="O460" s="16" t="n">
        <x:v>122</x:v>
      </x:c>
      <x:c r="P460" s="16" t="n">
        <x:v>1</x:v>
      </x:c>
      <x:c r="Q460" s="16" t="n">
        <x:v>3</x:v>
      </x:c>
      <x:c r="R460" s="16" t="n">
        <x:v>7</x:v>
      </x:c>
      <x:c r="S460" s="16" t="n">
        <x:v>11</x:v>
      </x:c>
      <x:c r="T460" s="16" t="n">
        <x:v>1</x:v>
      </x:c>
      <x:c r="U460" s="16" t="n">
        <x:v>0</x:v>
      </x:c>
      <x:c r="V460" s="16" t="n">
        <x:v>0</x:v>
      </x:c>
      <x:c r="W460" s="16" t="n">
        <x:v>0</x:v>
      </x:c>
      <x:c r="X460" s="16" t="n">
        <x:v>0</x:v>
      </x:c>
      <x:c r="Y460" s="16" t="n">
        <x:v>0</x:v>
      </x:c>
      <x:c r="Z460" s="16" t="n">
        <x:v>0</x:v>
      </x:c>
      <x:c r="AA460" s="16" t="n">
        <x:v>3</x:v>
      </x:c>
      <x:c r="AB460" s="16" t="n">
        <x:v>11</x:v>
      </x:c>
      <x:c r="AC460" s="16" t="n">
        <x:v>0</x:v>
      </x:c>
      <x:c r="AD460" s="21" t="n">
        <x:f>IF(E460="",MEDIAN($E$2:$E$2237),E460)</x:f>
        <x:v>70165</x:v>
      </x:c>
      <x:c r="AE460" s="17" t="n">
        <x:f>2014-B460</x:f>
        <x:v>65</x:v>
      </x:c>
      <x:c r="AF460" s="17" t="n">
        <x:f>F460+G460</x:f>
        <x:v>0</x:v>
      </x:c>
      <x:c r="AG460" s="21" t="n">
        <x:f>SUM(J460:O460)</x:f>
        <x:v>926</x:v>
      </x:c>
      <x:c r="AH460" s="17" t="n">
        <x:f>SUM(Q460:S460)</x:f>
        <x:v>21</x:v>
      </x:c>
      <x:c r="AI460" s="17" t="n">
        <x:f>SUM(U460:Y460)</x:f>
        <x:v>0</x:v>
      </x:c>
      <x:c r="AJ460" s="17" t="str">
        <x:f>IF(AE460&lt;=34,"≤34",IF(AE460&lt;=44,"35–44",IF(AE460&lt;=54,"45–54",IF(AE460&lt;=64,"55–64","65+"))))</x:f>
        <x:v>65+</x:v>
      </x:c>
      <x:c r="AK460" s="17" t="str">
        <x:f>IF(AG460&gt;=1000,"High Value",IF(AG460&gt;=300,"Mid Value","Low Value"))</x:f>
        <x:v>Mid Value</x:v>
      </x:c>
      <x:c r="AL460" s="17" t="str">
        <x:f>IF(AND(AI460&gt;=1,I460&lt;=50),"Priority 1",IF(AND(AG460&gt;=1000,I460&lt;=60),"Priority 2",IF(I460&lt;=30,"Priority 3","Nurture")))</x:f>
        <x:v>Nurture</x:v>
      </x:c>
    </x:row>
    <x:row r="461">
      <x:c r="A461" s="16" t="n">
        <x:v>8594</x:v>
      </x:c>
      <x:c r="B461" s="16" t="n">
        <x:v>1958</x:v>
      </x:c>
      <x:c r="C461" s="16" t="str">
        <x:v>PhD</x:v>
      </x:c>
      <x:c r="D461" s="16" t="str">
        <x:v>Widow</x:v>
      </x:c>
      <x:c r="E461" s="16" t="n">
        <x:v>50520</x:v>
      </x:c>
      <x:c r="F461" s="16" t="n">
        <x:v>0</x:v>
      </x:c>
      <x:c r="G461" s="16" t="n">
        <x:v>1</x:v>
      </x:c>
      <x:c r="H461" s="16" t="str">
        <x:v>28-01-2014</x:v>
      </x:c>
      <x:c r="I461" s="16" t="n">
        <x:v>25</x:v>
      </x:c>
      <x:c r="J461" s="16" t="n">
        <x:v>112</x:v>
      </x:c>
      <x:c r="K461" s="16" t="n">
        <x:v>0</x:v>
      </x:c>
      <x:c r="L461" s="16" t="n">
        <x:v>6</x:v>
      </x:c>
      <x:c r="M461" s="16" t="n">
        <x:v>2</x:v>
      </x:c>
      <x:c r="N461" s="16" t="n">
        <x:v>1</x:v>
      </x:c>
      <x:c r="O461" s="16" t="n">
        <x:v>14</x:v>
      </x:c>
      <x:c r="P461" s="16" t="n">
        <x:v>2</x:v>
      </x:c>
      <x:c r="Q461" s="16" t="n">
        <x:v>3</x:v>
      </x:c>
      <x:c r="R461" s="16" t="n">
        <x:v>1</x:v>
      </x:c>
      <x:c r="S461" s="16" t="n">
        <x:v>3</x:v>
      </x:c>
      <x:c r="T461" s="16" t="n">
        <x:v>6</x:v>
      </x:c>
      <x:c r="U461" s="16" t="n">
        <x:v>0</x:v>
      </x:c>
      <x:c r="V461" s="16" t="n">
        <x:v>0</x:v>
      </x:c>
      <x:c r="W461" s="16" t="n">
        <x:v>0</x:v>
      </x:c>
      <x:c r="X461" s="16" t="n">
        <x:v>0</x:v>
      </x:c>
      <x:c r="Y461" s="16" t="n">
        <x:v>0</x:v>
      </x:c>
      <x:c r="Z461" s="16" t="n">
        <x:v>0</x:v>
      </x:c>
      <x:c r="AA461" s="16" t="n">
        <x:v>3</x:v>
      </x:c>
      <x:c r="AB461" s="16" t="n">
        <x:v>11</x:v>
      </x:c>
      <x:c r="AC461" s="16" t="n">
        <x:v>0</x:v>
      </x:c>
      <x:c r="AD461" s="21" t="n">
        <x:f>IF(E461="",MEDIAN($E$2:$E$2237),E461)</x:f>
        <x:v>50520</x:v>
      </x:c>
      <x:c r="AE461" s="17" t="n">
        <x:f>2014-B461</x:f>
        <x:v>56</x:v>
      </x:c>
      <x:c r="AF461" s="17" t="n">
        <x:f>F461+G461</x:f>
        <x:v>1</x:v>
      </x:c>
      <x:c r="AG461" s="21" t="n">
        <x:f>SUM(J461:O461)</x:f>
        <x:v>135</x:v>
      </x:c>
      <x:c r="AH461" s="17" t="n">
        <x:f>SUM(Q461:S461)</x:f>
        <x:v>7</x:v>
      </x:c>
      <x:c r="AI461" s="17" t="n">
        <x:f>SUM(U461:Y461)</x:f>
        <x:v>0</x:v>
      </x:c>
      <x:c r="AJ461" s="17" t="str">
        <x:f>IF(AE461&lt;=34,"≤34",IF(AE461&lt;=44,"35–44",IF(AE461&lt;=54,"45–54",IF(AE461&lt;=64,"55–64","65+"))))</x:f>
        <x:v>55–64</x:v>
      </x:c>
      <x:c r="AK461" s="17" t="str">
        <x:f>IF(AG461&gt;=1000,"High Value",IF(AG461&gt;=300,"Mid Value","Low Value"))</x:f>
        <x:v>Low Value</x:v>
      </x:c>
      <x:c r="AL461" s="17" t="str">
        <x:f>IF(AND(AI461&gt;=1,I461&lt;=50),"Priority 1",IF(AND(AG461&gt;=1000,I461&lt;=60),"Priority 2",IF(I461&lt;=30,"Priority 3","Nurture")))</x:f>
        <x:v>Priority 3</x:v>
      </x:c>
    </x:row>
    <x:row r="462">
      <x:c r="A462" s="16" t="n">
        <x:v>7059</x:v>
      </x:c>
      <x:c r="B462" s="16" t="n">
        <x:v>1963</x:v>
      </x:c>
      <x:c r="C462" s="16" t="str">
        <x:v>Graduation</x:v>
      </x:c>
      <x:c r="D462" s="16" t="str">
        <x:v>Married</x:v>
      </x:c>
      <x:c r="E462" s="16" t="n">
        <x:v>80124</x:v>
      </x:c>
      <x:c r="F462" s="16" t="n">
        <x:v>0</x:v>
      </x:c>
      <x:c r="G462" s="16" t="n">
        <x:v>0</x:v>
      </x:c>
      <x:c r="H462" s="16" t="str">
        <x:v>26-06-2014</x:v>
      </x:c>
      <x:c r="I462" s="16" t="n">
        <x:v>47</x:v>
      </x:c>
      <x:c r="J462" s="16" t="n">
        <x:v>483</x:v>
      </x:c>
      <x:c r="K462" s="16" t="n">
        <x:v>84</x:v>
      </x:c>
      <x:c r="L462" s="16" t="n">
        <x:v>398</x:v>
      </x:c>
      <x:c r="M462" s="16" t="n">
        <x:v>205</x:v>
      </x:c>
      <x:c r="N462" s="16" t="n">
        <x:v>84</x:v>
      </x:c>
      <x:c r="O462" s="16" t="n">
        <x:v>241</x:v>
      </x:c>
      <x:c r="P462" s="16" t="n">
        <x:v>1</x:v>
      </x:c>
      <x:c r="Q462" s="16" t="n">
        <x:v>3</x:v>
      </x:c>
      <x:c r="R462" s="16" t="n">
        <x:v>7</x:v>
      </x:c>
      <x:c r="S462" s="16" t="n">
        <x:v>8</x:v>
      </x:c>
      <x:c r="T462" s="16" t="n">
        <x:v>1</x:v>
      </x:c>
      <x:c r="U462" s="16" t="n">
        <x:v>1</x:v>
      </x:c>
      <x:c r="V462" s="16" t="n">
        <x:v>0</x:v>
      </x:c>
      <x:c r="W462" s="16" t="n">
        <x:v>0</x:v>
      </x:c>
      <x:c r="X462" s="16" t="n">
        <x:v>0</x:v>
      </x:c>
      <x:c r="Y462" s="16" t="n">
        <x:v>0</x:v>
      </x:c>
      <x:c r="Z462" s="16" t="n">
        <x:v>0</x:v>
      </x:c>
      <x:c r="AA462" s="16" t="n">
        <x:v>3</x:v>
      </x:c>
      <x:c r="AB462" s="16" t="n">
        <x:v>11</x:v>
      </x:c>
      <x:c r="AC462" s="16" t="n">
        <x:v>0</x:v>
      </x:c>
      <x:c r="AD462" s="21" t="n">
        <x:f>IF(E462="",MEDIAN($E$2:$E$2237),E462)</x:f>
        <x:v>80124</x:v>
      </x:c>
      <x:c r="AE462" s="17" t="n">
        <x:f>2014-B462</x:f>
        <x:v>51</x:v>
      </x:c>
      <x:c r="AF462" s="17" t="n">
        <x:f>F462+G462</x:f>
        <x:v>0</x:v>
      </x:c>
      <x:c r="AG462" s="21" t="n">
        <x:f>SUM(J462:O462)</x:f>
        <x:v>1495</x:v>
      </x:c>
      <x:c r="AH462" s="17" t="n">
        <x:f>SUM(Q462:S462)</x:f>
        <x:v>18</x:v>
      </x:c>
      <x:c r="AI462" s="17" t="n">
        <x:f>SUM(U462:Y462)</x:f>
        <x:v>1</x:v>
      </x:c>
      <x:c r="AJ462" s="17" t="str">
        <x:f>IF(AE462&lt;=34,"≤34",IF(AE462&lt;=44,"35–44",IF(AE462&lt;=54,"45–54",IF(AE462&lt;=64,"55–64","65+"))))</x:f>
        <x:v>45–54</x:v>
      </x:c>
      <x:c r="AK462" s="17" t="str">
        <x:f>IF(AG462&gt;=1000,"High Value",IF(AG462&gt;=300,"Mid Value","Low Value"))</x:f>
        <x:v>High Value</x:v>
      </x:c>
      <x:c r="AL462" s="17" t="str">
        <x:f>IF(AND(AI462&gt;=1,I462&lt;=50),"Priority 1",IF(AND(AG462&gt;=1000,I462&lt;=60),"Priority 2",IF(I462&lt;=30,"Priority 3","Nurture")))</x:f>
        <x:v>Priority 1</x:v>
      </x:c>
    </x:row>
    <x:row r="463">
      <x:c r="A463" s="16" t="n">
        <x:v>2815</x:v>
      </x:c>
      <x:c r="B463" s="16" t="n">
        <x:v>1975</x:v>
      </x:c>
      <x:c r="C463" s="16" t="str">
        <x:v>Graduation</x:v>
      </x:c>
      <x:c r="D463" s="16" t="str">
        <x:v>Married</x:v>
      </x:c>
      <x:c r="E463" s="16" t="n">
        <x:v>33183</x:v>
      </x:c>
      <x:c r="F463" s="16" t="n">
        <x:v>1</x:v>
      </x:c>
      <x:c r="G463" s="16" t="n">
        <x:v>0</x:v>
      </x:c>
      <x:c r="H463" s="16" t="str">
        <x:v>24-02-2014</x:v>
      </x:c>
      <x:c r="I463" s="16" t="n">
        <x:v>46</x:v>
      </x:c>
      <x:c r="J463" s="16" t="n">
        <x:v>7</x:v>
      </x:c>
      <x:c r="K463" s="16" t="n">
        <x:v>5</x:v>
      </x:c>
      <x:c r="L463" s="16" t="n">
        <x:v>39</x:v>
      </x:c>
      <x:c r="M463" s="16" t="n">
        <x:v>17</x:v>
      </x:c>
      <x:c r="N463" s="16" t="n">
        <x:v>15</x:v>
      </x:c>
      <x:c r="O463" s="16" t="n">
        <x:v>37</x:v>
      </x:c>
      <x:c r="P463" s="16" t="n">
        <x:v>2</x:v>
      </x:c>
      <x:c r="Q463" s="16" t="n">
        <x:v>4</x:v>
      </x:c>
      <x:c r="R463" s="16" t="n">
        <x:v>0</x:v>
      </x:c>
      <x:c r="S463" s="16" t="n">
        <x:v>3</x:v>
      </x:c>
      <x:c r="T463" s="16" t="n">
        <x:v>7</x:v>
      </x:c>
      <x:c r="U463" s="16" t="n">
        <x:v>0</x:v>
      </x:c>
      <x:c r="V463" s="16" t="n">
        <x:v>0</x:v>
      </x:c>
      <x:c r="W463" s="16" t="n">
        <x:v>0</x:v>
      </x:c>
      <x:c r="X463" s="16" t="n">
        <x:v>0</x:v>
      </x:c>
      <x:c r="Y463" s="16" t="n">
        <x:v>0</x:v>
      </x:c>
      <x:c r="Z463" s="16" t="n">
        <x:v>0</x:v>
      </x:c>
      <x:c r="AA463" s="16" t="n">
        <x:v>3</x:v>
      </x:c>
      <x:c r="AB463" s="16" t="n">
        <x:v>11</x:v>
      </x:c>
      <x:c r="AC463" s="16" t="n">
        <x:v>0</x:v>
      </x:c>
      <x:c r="AD463" s="21" t="n">
        <x:f>IF(E463="",MEDIAN($E$2:$E$2237),E463)</x:f>
        <x:v>33183</x:v>
      </x:c>
      <x:c r="AE463" s="17" t="n">
        <x:f>2014-B463</x:f>
        <x:v>39</x:v>
      </x:c>
      <x:c r="AF463" s="17" t="n">
        <x:f>F463+G463</x:f>
        <x:v>1</x:v>
      </x:c>
      <x:c r="AG463" s="21" t="n">
        <x:f>SUM(J463:O463)</x:f>
        <x:v>120</x:v>
      </x:c>
      <x:c r="AH463" s="17" t="n">
        <x:f>SUM(Q463:S463)</x:f>
        <x:v>7</x:v>
      </x:c>
      <x:c r="AI463" s="17" t="n">
        <x:f>SUM(U463:Y463)</x:f>
        <x:v>0</x:v>
      </x:c>
      <x:c r="AJ463" s="17" t="str">
        <x:f>IF(AE463&lt;=34,"≤34",IF(AE463&lt;=44,"35–44",IF(AE463&lt;=54,"45–54",IF(AE463&lt;=64,"55–64","65+"))))</x:f>
        <x:v>35–44</x:v>
      </x:c>
      <x:c r="AK463" s="17" t="str">
        <x:f>IF(AG463&gt;=1000,"High Value",IF(AG463&gt;=300,"Mid Value","Low Value"))</x:f>
        <x:v>Low Value</x:v>
      </x:c>
      <x:c r="AL463" s="17" t="str">
        <x:f>IF(AND(AI463&gt;=1,I463&lt;=50),"Priority 1",IF(AND(AG463&gt;=1000,I463&lt;=60),"Priority 2",IF(I463&lt;=30,"Priority 3","Nurture")))</x:f>
        <x:v>Nurture</x:v>
      </x:c>
    </x:row>
    <x:row r="464">
      <x:c r="A464" s="16" t="n">
        <x:v>2416</x:v>
      </x:c>
      <x:c r="B464" s="16" t="n">
        <x:v>1969</x:v>
      </x:c>
      <x:c r="C464" s="16" t="str">
        <x:v>PhD</x:v>
      </x:c>
      <x:c r="D464" s="16" t="str">
        <x:v>Single</x:v>
      </x:c>
      <x:c r="E464" s="16" t="n">
        <x:v>66582</x:v>
      </x:c>
      <x:c r="F464" s="16" t="n">
        <x:v>0</x:v>
      </x:c>
      <x:c r="G464" s="16" t="n">
        <x:v>0</x:v>
      </x:c>
      <x:c r="H464" s="16" t="str">
        <x:v>03-03-2014</x:v>
      </x:c>
      <x:c r="I464" s="16" t="n">
        <x:v>83</x:v>
      </x:c>
      <x:c r="J464" s="16" t="n">
        <x:v>789</x:v>
      </x:c>
      <x:c r="K464" s="16" t="n">
        <x:v>25</x:v>
      </x:c>
      <x:c r="L464" s="16" t="n">
        <x:v>420</x:v>
      </x:c>
      <x:c r="M464" s="16" t="n">
        <x:v>16</x:v>
      </x:c>
      <x:c r="N464" s="16" t="n">
        <x:v>38</x:v>
      </x:c>
      <x:c r="O464" s="16" t="n">
        <x:v>0</x:v>
      </x:c>
      <x:c r="P464" s="16" t="n">
        <x:v>1</x:v>
      </x:c>
      <x:c r="Q464" s="16" t="n">
        <x:v>2</x:v>
      </x:c>
      <x:c r="R464" s="16" t="n">
        <x:v>8</x:v>
      </x:c>
      <x:c r="S464" s="16" t="n">
        <x:v>9</x:v>
      </x:c>
      <x:c r="T464" s="16" t="n">
        <x:v>1</x:v>
      </x:c>
      <x:c r="U464" s="16" t="n">
        <x:v>0</x:v>
      </x:c>
      <x:c r="V464" s="16" t="n">
        <x:v>0</x:v>
      </x:c>
      <x:c r="W464" s="16" t="n">
        <x:v>0</x:v>
      </x:c>
      <x:c r="X464" s="16" t="n">
        <x:v>0</x:v>
      </x:c>
      <x:c r="Y464" s="16" t="n">
        <x:v>0</x:v>
      </x:c>
      <x:c r="Z464" s="16" t="n">
        <x:v>0</x:v>
      </x:c>
      <x:c r="AA464" s="16" t="n">
        <x:v>3</x:v>
      </x:c>
      <x:c r="AB464" s="16" t="n">
        <x:v>11</x:v>
      </x:c>
      <x:c r="AC464" s="16" t="n">
        <x:v>0</x:v>
      </x:c>
      <x:c r="AD464" s="21" t="n">
        <x:f>IF(E464="",MEDIAN($E$2:$E$2237),E464)</x:f>
        <x:v>66582</x:v>
      </x:c>
      <x:c r="AE464" s="17" t="n">
        <x:f>2014-B464</x:f>
        <x:v>45</x:v>
      </x:c>
      <x:c r="AF464" s="17" t="n">
        <x:f>F464+G464</x:f>
        <x:v>0</x:v>
      </x:c>
      <x:c r="AG464" s="21" t="n">
        <x:f>SUM(J464:O464)</x:f>
        <x:v>1288</x:v>
      </x:c>
      <x:c r="AH464" s="17" t="n">
        <x:f>SUM(Q464:S464)</x:f>
        <x:v>19</x:v>
      </x:c>
      <x:c r="AI464" s="17" t="n">
        <x:f>SUM(U464:Y464)</x:f>
        <x:v>0</x:v>
      </x:c>
      <x:c r="AJ464" s="17" t="str">
        <x:f>IF(AE464&lt;=34,"≤34",IF(AE464&lt;=44,"35–44",IF(AE464&lt;=54,"45–54",IF(AE464&lt;=64,"55–64","65+"))))</x:f>
        <x:v>45–54</x:v>
      </x:c>
      <x:c r="AK464" s="17" t="str">
        <x:f>IF(AG464&gt;=1000,"High Value",IF(AG464&gt;=300,"Mid Value","Low Value"))</x:f>
        <x:v>High Value</x:v>
      </x:c>
      <x:c r="AL464" s="17" t="str">
        <x:f>IF(AND(AI464&gt;=1,I464&lt;=50),"Priority 1",IF(AND(AG464&gt;=1000,I464&lt;=60),"Priority 2",IF(I464&lt;=30,"Priority 3","Nurture")))</x:f>
        <x:v>Nurture</x:v>
      </x:c>
    </x:row>
    <x:row r="465">
      <x:c r="A465" s="16" t="n">
        <x:v>7999</x:v>
      </x:c>
      <x:c r="B465" s="16" t="n">
        <x:v>1955</x:v>
      </x:c>
      <x:c r="C465" s="16" t="str">
        <x:v>PhD</x:v>
      </x:c>
      <x:c r="D465" s="16" t="str">
        <x:v>Together</x:v>
      </x:c>
      <x:c r="E465" s="16" t="n">
        <x:v>75261</x:v>
      </x:c>
      <x:c r="F465" s="16" t="n">
        <x:v>0</x:v>
      </x:c>
      <x:c r="G465" s="16" t="n">
        <x:v>0</x:v>
      </x:c>
      <x:c r="H465" s="16" t="str">
        <x:v>23-04-2013</x:v>
      </x:c>
      <x:c r="I465" s="16" t="n">
        <x:v>17</x:v>
      </x:c>
      <x:c r="J465" s="16" t="n">
        <x:v>1239</x:v>
      </x:c>
      <x:c r="K465" s="16" t="n">
        <x:v>17</x:v>
      </x:c>
      <x:c r="L465" s="16" t="n">
        <x:v>413</x:v>
      </x:c>
      <x:c r="M465" s="16" t="n">
        <x:v>23</x:v>
      </x:c>
      <x:c r="N465" s="16" t="n">
        <x:v>34</x:v>
      </x:c>
      <x:c r="O465" s="16" t="n">
        <x:v>17</x:v>
      </x:c>
      <x:c r="P465" s="16" t="n">
        <x:v>1</x:v>
      </x:c>
      <x:c r="Q465" s="16" t="n">
        <x:v>5</x:v>
      </x:c>
      <x:c r="R465" s="16" t="n">
        <x:v>6</x:v>
      </x:c>
      <x:c r="S465" s="16" t="n">
        <x:v>5</x:v>
      </x:c>
      <x:c r="T465" s="16" t="n">
        <x:v>2</x:v>
      </x:c>
      <x:c r="U465" s="16" t="n">
        <x:v>0</x:v>
      </x:c>
      <x:c r="V465" s="16" t="n">
        <x:v>1</x:v>
      </x:c>
      <x:c r="W465" s="16" t="n">
        <x:v>1</x:v>
      </x:c>
      <x:c r="X465" s="16" t="n">
        <x:v>0</x:v>
      </x:c>
      <x:c r="Y465" s="16" t="n">
        <x:v>0</x:v>
      </x:c>
      <x:c r="Z465" s="16" t="n">
        <x:v>0</x:v>
      </x:c>
      <x:c r="AA465" s="16" t="n">
        <x:v>3</x:v>
      </x:c>
      <x:c r="AB465" s="16" t="n">
        <x:v>11</x:v>
      </x:c>
      <x:c r="AC465" s="16" t="n">
        <x:v>1</x:v>
      </x:c>
      <x:c r="AD465" s="21" t="n">
        <x:f>IF(E465="",MEDIAN($E$2:$E$2237),E465)</x:f>
        <x:v>75261</x:v>
      </x:c>
      <x:c r="AE465" s="17" t="n">
        <x:f>2014-B465</x:f>
        <x:v>59</x:v>
      </x:c>
      <x:c r="AF465" s="17" t="n">
        <x:f>F465+G465</x:f>
        <x:v>0</x:v>
      </x:c>
      <x:c r="AG465" s="21" t="n">
        <x:f>SUM(J465:O465)</x:f>
        <x:v>1743</x:v>
      </x:c>
      <x:c r="AH465" s="17" t="n">
        <x:f>SUM(Q465:S465)</x:f>
        <x:v>16</x:v>
      </x:c>
      <x:c r="AI465" s="17" t="n">
        <x:f>SUM(U465:Y465)</x:f>
        <x:v>2</x:v>
      </x:c>
      <x:c r="AJ465" s="17" t="str">
        <x:f>IF(AE465&lt;=34,"≤34",IF(AE465&lt;=44,"35–44",IF(AE465&lt;=54,"45–54",IF(AE465&lt;=64,"55–64","65+"))))</x:f>
        <x:v>55–64</x:v>
      </x:c>
      <x:c r="AK465" s="17" t="str">
        <x:f>IF(AG465&gt;=1000,"High Value",IF(AG465&gt;=300,"Mid Value","Low Value"))</x:f>
        <x:v>High Value</x:v>
      </x:c>
      <x:c r="AL465" s="17" t="str">
        <x:f>IF(AND(AI465&gt;=1,I465&lt;=50),"Priority 1",IF(AND(AG465&gt;=1000,I465&lt;=60),"Priority 2",IF(I465&lt;=30,"Priority 3","Nurture")))</x:f>
        <x:v>Priority 1</x:v>
      </x:c>
    </x:row>
    <x:row r="466">
      <x:c r="A466" s="16" t="n">
        <x:v>9213</x:v>
      </x:c>
      <x:c r="B466" s="16" t="n">
        <x:v>1970</x:v>
      </x:c>
      <x:c r="C466" s="16" t="str">
        <x:v>Graduation</x:v>
      </x:c>
      <x:c r="D466" s="16" t="str">
        <x:v>Widow</x:v>
      </x:c>
      <x:c r="E466" s="16" t="n">
        <x:v>31880</x:v>
      </x:c>
      <x:c r="F466" s="16" t="n">
        <x:v>1</x:v>
      </x:c>
      <x:c r="G466" s="16" t="n">
        <x:v>0</x:v>
      </x:c>
      <x:c r="H466" s="16" t="str">
        <x:v>31-10-2012</x:v>
      </x:c>
      <x:c r="I466" s="16" t="n">
        <x:v>13</x:v>
      </x:c>
      <x:c r="J466" s="16" t="n">
        <x:v>4</x:v>
      </x:c>
      <x:c r="K466" s="16" t="n">
        <x:v>1</x:v>
      </x:c>
      <x:c r="L466" s="16" t="n">
        <x:v>5</x:v>
      </x:c>
      <x:c r="M466" s="16" t="n">
        <x:v>2</x:v>
      </x:c>
      <x:c r="N466" s="16" t="n">
        <x:v>0</x:v>
      </x:c>
      <x:c r="O466" s="16" t="n">
        <x:v>3</x:v>
      </x:c>
      <x:c r="P466" s="16" t="n">
        <x:v>1</x:v>
      </x:c>
      <x:c r="Q466" s="16" t="n">
        <x:v>1</x:v>
      </x:c>
      <x:c r="R466" s="16" t="n">
        <x:v>0</x:v>
      </x:c>
      <x:c r="S466" s="16" t="n">
        <x:v>2</x:v>
      </x:c>
      <x:c r="T466" s="16" t="n">
        <x:v>8</x:v>
      </x:c>
      <x:c r="U466" s="16" t="n">
        <x:v>0</x:v>
      </x:c>
      <x:c r="V466" s="16" t="n">
        <x:v>0</x:v>
      </x:c>
      <x:c r="W466" s="16" t="n">
        <x:v>0</x:v>
      </x:c>
      <x:c r="X466" s="16" t="n">
        <x:v>0</x:v>
      </x:c>
      <x:c r="Y466" s="16" t="n">
        <x:v>0</x:v>
      </x:c>
      <x:c r="Z466" s="16" t="n">
        <x:v>0</x:v>
      </x:c>
      <x:c r="AA466" s="16" t="n">
        <x:v>3</x:v>
      </x:c>
      <x:c r="AB466" s="16" t="n">
        <x:v>11</x:v>
      </x:c>
      <x:c r="AC466" s="16" t="n">
        <x:v>0</x:v>
      </x:c>
      <x:c r="AD466" s="21" t="n">
        <x:f>IF(E466="",MEDIAN($E$2:$E$2237),E466)</x:f>
        <x:v>31880</x:v>
      </x:c>
      <x:c r="AE466" s="17" t="n">
        <x:f>2014-B466</x:f>
        <x:v>44</x:v>
      </x:c>
      <x:c r="AF466" s="17" t="n">
        <x:f>F466+G466</x:f>
        <x:v>1</x:v>
      </x:c>
      <x:c r="AG466" s="21" t="n">
        <x:f>SUM(J466:O466)</x:f>
        <x:v>15</x:v>
      </x:c>
      <x:c r="AH466" s="17" t="n">
        <x:f>SUM(Q466:S466)</x:f>
        <x:v>3</x:v>
      </x:c>
      <x:c r="AI466" s="17" t="n">
        <x:f>SUM(U466:Y466)</x:f>
        <x:v>0</x:v>
      </x:c>
      <x:c r="AJ466" s="17" t="str">
        <x:f>IF(AE466&lt;=34,"≤34",IF(AE466&lt;=44,"35–44",IF(AE466&lt;=54,"45–54",IF(AE466&lt;=64,"55–64","65+"))))</x:f>
        <x:v>35–44</x:v>
      </x:c>
      <x:c r="AK466" s="17" t="str">
        <x:f>IF(AG466&gt;=1000,"High Value",IF(AG466&gt;=300,"Mid Value","Low Value"))</x:f>
        <x:v>Low Value</x:v>
      </x:c>
      <x:c r="AL466" s="17" t="str">
        <x:f>IF(AND(AI466&gt;=1,I466&lt;=50),"Priority 1",IF(AND(AG466&gt;=1000,I466&lt;=60),"Priority 2",IF(I466&lt;=30,"Priority 3","Nurture")))</x:f>
        <x:v>Priority 3</x:v>
      </x:c>
    </x:row>
    <x:row r="467">
      <x:c r="A467" s="16" t="n">
        <x:v>9697</x:v>
      </x:c>
      <x:c r="B467" s="16" t="n">
        <x:v>1951</x:v>
      </x:c>
      <x:c r="C467" s="16" t="str">
        <x:v>Graduation</x:v>
      </x:c>
      <x:c r="D467" s="16" t="str">
        <x:v>Married</x:v>
      </x:c>
      <x:c r="E467" s="16" t="n">
        <x:v>53790</x:v>
      </x:c>
      <x:c r="F467" s="16" t="n">
        <x:v>0</x:v>
      </x:c>
      <x:c r="G467" s="16" t="n">
        <x:v>2</x:v>
      </x:c>
      <x:c r="H467" s="16" t="str">
        <x:v>06-03-2014</x:v>
      </x:c>
      <x:c r="I467" s="16" t="n">
        <x:v>86</x:v>
      </x:c>
      <x:c r="J467" s="16" t="n">
        <x:v>335</x:v>
      </x:c>
      <x:c r="K467" s="16" t="n">
        <x:v>42</x:v>
      </x:c>
      <x:c r="L467" s="16" t="n">
        <x:v>127</x:v>
      </x:c>
      <x:c r="M467" s="16" t="n">
        <x:v>28</x:v>
      </x:c>
      <x:c r="N467" s="16" t="n">
        <x:v>5</x:v>
      </x:c>
      <x:c r="O467" s="16" t="n">
        <x:v>5</x:v>
      </x:c>
      <x:c r="P467" s="16" t="n">
        <x:v>3</x:v>
      </x:c>
      <x:c r="Q467" s="16" t="n">
        <x:v>7</x:v>
      </x:c>
      <x:c r="R467" s="16" t="n">
        <x:v>2</x:v>
      </x:c>
      <x:c r="S467" s="16" t="n">
        <x:v>8</x:v>
      </x:c>
      <x:c r="T467" s="16" t="n">
        <x:v>6</x:v>
      </x:c>
      <x:c r="U467" s="16" t="n">
        <x:v>0</x:v>
      </x:c>
      <x:c r="V467" s="16" t="n">
        <x:v>0</x:v>
      </x:c>
      <x:c r="W467" s="16" t="n">
        <x:v>0</x:v>
      </x:c>
      <x:c r="X467" s="16" t="n">
        <x:v>0</x:v>
      </x:c>
      <x:c r="Y467" s="16" t="n">
        <x:v>0</x:v>
      </x:c>
      <x:c r="Z467" s="16" t="n">
        <x:v>0</x:v>
      </x:c>
      <x:c r="AA467" s="16" t="n">
        <x:v>3</x:v>
      </x:c>
      <x:c r="AB467" s="16" t="n">
        <x:v>11</x:v>
      </x:c>
      <x:c r="AC467" s="16" t="n">
        <x:v>0</x:v>
      </x:c>
      <x:c r="AD467" s="21" t="n">
        <x:f>IF(E467="",MEDIAN($E$2:$E$2237),E467)</x:f>
        <x:v>53790</x:v>
      </x:c>
      <x:c r="AE467" s="17" t="n">
        <x:f>2014-B467</x:f>
        <x:v>63</x:v>
      </x:c>
      <x:c r="AF467" s="17" t="n">
        <x:f>F467+G467</x:f>
        <x:v>2</x:v>
      </x:c>
      <x:c r="AG467" s="21" t="n">
        <x:f>SUM(J467:O467)</x:f>
        <x:v>542</x:v>
      </x:c>
      <x:c r="AH467" s="17" t="n">
        <x:f>SUM(Q467:S467)</x:f>
        <x:v>17</x:v>
      </x:c>
      <x:c r="AI467" s="17" t="n">
        <x:f>SUM(U467:Y467)</x:f>
        <x:v>0</x:v>
      </x:c>
      <x:c r="AJ467" s="17" t="str">
        <x:f>IF(AE467&lt;=34,"≤34",IF(AE467&lt;=44,"35–44",IF(AE467&lt;=54,"45–54",IF(AE467&lt;=64,"55–64","65+"))))</x:f>
        <x:v>55–64</x:v>
      </x:c>
      <x:c r="AK467" s="17" t="str">
        <x:f>IF(AG467&gt;=1000,"High Value",IF(AG467&gt;=300,"Mid Value","Low Value"))</x:f>
        <x:v>Mid Value</x:v>
      </x:c>
      <x:c r="AL467" s="17" t="str">
        <x:f>IF(AND(AI467&gt;=1,I467&lt;=50),"Priority 1",IF(AND(AG467&gt;=1000,I467&lt;=60),"Priority 2",IF(I467&lt;=30,"Priority 3","Nurture")))</x:f>
        <x:v>Nurture</x:v>
      </x:c>
    </x:row>
    <x:row r="468">
      <x:c r="A468" s="16" t="n">
        <x:v>3916</x:v>
      </x:c>
      <x:c r="B468" s="16" t="n">
        <x:v>1971</x:v>
      </x:c>
      <x:c r="C468" s="16" t="str">
        <x:v>PhD</x:v>
      </x:c>
      <x:c r="D468" s="16" t="str">
        <x:v>Together</x:v>
      </x:c>
      <x:c r="E468" s="16" t="n">
        <x:v>49269</x:v>
      </x:c>
      <x:c r="F468" s="16" t="n">
        <x:v>1</x:v>
      </x:c>
      <x:c r="G468" s="16" t="n">
        <x:v>0</x:v>
      </x:c>
      <x:c r="H468" s="16" t="str">
        <x:v>15-08-2012</x:v>
      </x:c>
      <x:c r="I468" s="16" t="n">
        <x:v>92</x:v>
      </x:c>
      <x:c r="J468" s="16" t="n">
        <x:v>639</x:v>
      </x:c>
      <x:c r="K468" s="16" t="n">
        <x:v>8</x:v>
      </x:c>
      <x:c r="L468" s="16" t="n">
        <x:v>166</x:v>
      </x:c>
      <x:c r="M468" s="16" t="n">
        <x:v>11</x:v>
      </x:c>
      <x:c r="N468" s="16" t="n">
        <x:v>8</x:v>
      </x:c>
      <x:c r="O468" s="16" t="n">
        <x:v>58</x:v>
      </x:c>
      <x:c r="P468" s="16" t="n">
        <x:v>3</x:v>
      </x:c>
      <x:c r="Q468" s="16" t="n">
        <x:v>7</x:v>
      </x:c>
      <x:c r="R468" s="16" t="n">
        <x:v>3</x:v>
      </x:c>
      <x:c r="S468" s="16" t="n">
        <x:v>12</x:v>
      </x:c>
      <x:c r="T468" s="16" t="n">
        <x:v>7</x:v>
      </x:c>
      <x:c r="U468" s="16" t="n">
        <x:v>0</x:v>
      </x:c>
      <x:c r="V468" s="16" t="n">
        <x:v>0</x:v>
      </x:c>
      <x:c r="W468" s="16" t="n">
        <x:v>0</x:v>
      </x:c>
      <x:c r="X468" s="16" t="n">
        <x:v>0</x:v>
      </x:c>
      <x:c r="Y468" s="16" t="n">
        <x:v>0</x:v>
      </x:c>
      <x:c r="Z468" s="16" t="n">
        <x:v>0</x:v>
      </x:c>
      <x:c r="AA468" s="16" t="n">
        <x:v>3</x:v>
      </x:c>
      <x:c r="AB468" s="16" t="n">
        <x:v>11</x:v>
      </x:c>
      <x:c r="AC468" s="16" t="n">
        <x:v>0</x:v>
      </x:c>
      <x:c r="AD468" s="21" t="n">
        <x:f>IF(E468="",MEDIAN($E$2:$E$2237),E468)</x:f>
        <x:v>49269</x:v>
      </x:c>
      <x:c r="AE468" s="17" t="n">
        <x:f>2014-B468</x:f>
        <x:v>43</x:v>
      </x:c>
      <x:c r="AF468" s="17" t="n">
        <x:f>F468+G468</x:f>
        <x:v>1</x:v>
      </x:c>
      <x:c r="AG468" s="21" t="n">
        <x:f>SUM(J468:O468)</x:f>
        <x:v>890</x:v>
      </x:c>
      <x:c r="AH468" s="17" t="n">
        <x:f>SUM(Q468:S468)</x:f>
        <x:v>22</x:v>
      </x:c>
      <x:c r="AI468" s="17" t="n">
        <x:f>SUM(U468:Y468)</x:f>
        <x:v>0</x:v>
      </x:c>
      <x:c r="AJ468" s="17" t="str">
        <x:f>IF(AE468&lt;=34,"≤34",IF(AE468&lt;=44,"35–44",IF(AE468&lt;=54,"45–54",IF(AE468&lt;=64,"55–64","65+"))))</x:f>
        <x:v>35–44</x:v>
      </x:c>
      <x:c r="AK468" s="17" t="str">
        <x:f>IF(AG468&gt;=1000,"High Value",IF(AG468&gt;=300,"Mid Value","Low Value"))</x:f>
        <x:v>Mid Value</x:v>
      </x:c>
      <x:c r="AL468" s="17" t="str">
        <x:f>IF(AND(AI468&gt;=1,I468&lt;=50),"Priority 1",IF(AND(AG468&gt;=1000,I468&lt;=60),"Priority 2",IF(I468&lt;=30,"Priority 3","Nurture")))</x:f>
        <x:v>Nurture</x:v>
      </x:c>
    </x:row>
    <x:row r="469">
      <x:c r="A469" s="16" t="n">
        <x:v>2021</x:v>
      </x:c>
      <x:c r="B469" s="16" t="n">
        <x:v>1975</x:v>
      </x:c>
      <x:c r="C469" s="16" t="str">
        <x:v>Graduation</x:v>
      </x:c>
      <x:c r="D469" s="16" t="str">
        <x:v>Married</x:v>
      </x:c>
      <x:c r="E469" s="16" t="n">
        <x:v>61456</x:v>
      </x:c>
      <x:c r="F469" s="16" t="n">
        <x:v>0</x:v>
      </x:c>
      <x:c r="G469" s="16" t="n">
        <x:v>1</x:v>
      </x:c>
      <x:c r="H469" s="16" t="str">
        <x:v>27-03-2013</x:v>
      </x:c>
      <x:c r="I469" s="16" t="n">
        <x:v>47</x:v>
      </x:c>
      <x:c r="J469" s="16" t="n">
        <x:v>563</x:v>
      </x:c>
      <x:c r="K469" s="16" t="n">
        <x:v>76</x:v>
      </x:c>
      <x:c r="L469" s="16" t="n">
        <x:v>384</x:v>
      </x:c>
      <x:c r="M469" s="16" t="n">
        <x:v>84</x:v>
      </x:c>
      <x:c r="N469" s="16" t="n">
        <x:v>192</x:v>
      </x:c>
      <x:c r="O469" s="16" t="n">
        <x:v>89</x:v>
      </x:c>
      <x:c r="P469" s="16" t="n">
        <x:v>4</x:v>
      </x:c>
      <x:c r="Q469" s="16" t="n">
        <x:v>6</x:v>
      </x:c>
      <x:c r="R469" s="16" t="n">
        <x:v>10</x:v>
      </x:c>
      <x:c r="S469" s="16" t="n">
        <x:v>13</x:v>
      </x:c>
      <x:c r="T469" s="16" t="n">
        <x:v>4</x:v>
      </x:c>
      <x:c r="U469" s="16" t="n">
        <x:v>0</x:v>
      </x:c>
      <x:c r="V469" s="16" t="n">
        <x:v>0</x:v>
      </x:c>
      <x:c r="W469" s="16" t="n">
        <x:v>0</x:v>
      </x:c>
      <x:c r="X469" s="16" t="n">
        <x:v>0</x:v>
      </x:c>
      <x:c r="Y469" s="16" t="n">
        <x:v>0</x:v>
      </x:c>
      <x:c r="Z469" s="16" t="n">
        <x:v>0</x:v>
      </x:c>
      <x:c r="AA469" s="16" t="n">
        <x:v>3</x:v>
      </x:c>
      <x:c r="AB469" s="16" t="n">
        <x:v>11</x:v>
      </x:c>
      <x:c r="AC469" s="16" t="n">
        <x:v>0</x:v>
      </x:c>
      <x:c r="AD469" s="21" t="n">
        <x:f>IF(E469="",MEDIAN($E$2:$E$2237),E469)</x:f>
        <x:v>61456</x:v>
      </x:c>
      <x:c r="AE469" s="17" t="n">
        <x:f>2014-B469</x:f>
        <x:v>39</x:v>
      </x:c>
      <x:c r="AF469" s="17" t="n">
        <x:f>F469+G469</x:f>
        <x:v>1</x:v>
      </x:c>
      <x:c r="AG469" s="21" t="n">
        <x:f>SUM(J469:O469)</x:f>
        <x:v>1388</x:v>
      </x:c>
      <x:c r="AH469" s="17" t="n">
        <x:f>SUM(Q469:S469)</x:f>
        <x:v>29</x:v>
      </x:c>
      <x:c r="AI469" s="17" t="n">
        <x:f>SUM(U469:Y469)</x:f>
        <x:v>0</x:v>
      </x:c>
      <x:c r="AJ469" s="17" t="str">
        <x:f>IF(AE469&lt;=34,"≤34",IF(AE469&lt;=44,"35–44",IF(AE469&lt;=54,"45–54",IF(AE469&lt;=64,"55–64","65+"))))</x:f>
        <x:v>35–44</x:v>
      </x:c>
      <x:c r="AK469" s="17" t="str">
        <x:f>IF(AG469&gt;=1000,"High Value",IF(AG469&gt;=300,"Mid Value","Low Value"))</x:f>
        <x:v>High Value</x:v>
      </x:c>
      <x:c r="AL469" s="17" t="str">
        <x:f>IF(AND(AI469&gt;=1,I469&lt;=50),"Priority 1",IF(AND(AG469&gt;=1000,I469&lt;=60),"Priority 2",IF(I469&lt;=30,"Priority 3","Nurture")))</x:f>
        <x:v>Priority 2</x:v>
      </x:c>
    </x:row>
    <x:row r="470">
      <x:c r="A470" s="16" t="n">
        <x:v>1581</x:v>
      </x:c>
      <x:c r="B470" s="16" t="n">
        <x:v>1980</x:v>
      </x:c>
      <x:c r="C470" s="16" t="str">
        <x:v>Graduation</x:v>
      </x:c>
      <x:c r="D470" s="16" t="str">
        <x:v>Married</x:v>
      </x:c>
      <x:c r="E470" s="16" t="n">
        <x:v>37406</x:v>
      </x:c>
      <x:c r="F470" s="16" t="n">
        <x:v>1</x:v>
      </x:c>
      <x:c r="G470" s="16" t="n">
        <x:v>0</x:v>
      </x:c>
      <x:c r="H470" s="16" t="str">
        <x:v>10-10-2013</x:v>
      </x:c>
      <x:c r="I470" s="16" t="n">
        <x:v>18</x:v>
      </x:c>
      <x:c r="J470" s="16" t="n">
        <x:v>2</x:v>
      </x:c>
      <x:c r="K470" s="16" t="n">
        <x:v>0</x:v>
      </x:c>
      <x:c r="L470" s="16" t="n">
        <x:v>8</x:v>
      </x:c>
      <x:c r="M470" s="16" t="n">
        <x:v>2</x:v>
      </x:c>
      <x:c r="N470" s="16" t="n">
        <x:v>2</x:v>
      </x:c>
      <x:c r="O470" s="16" t="n">
        <x:v>3</x:v>
      </x:c>
      <x:c r="P470" s="16" t="n">
        <x:v>1</x:v>
      </x:c>
      <x:c r="Q470" s="16" t="n">
        <x:v>1</x:v>
      </x:c>
      <x:c r="R470" s="16" t="n">
        <x:v>0</x:v>
      </x:c>
      <x:c r="S470" s="16" t="n">
        <x:v>2</x:v>
      </x:c>
      <x:c r="T470" s="16" t="n">
        <x:v>8</x:v>
      </x:c>
      <x:c r="U470" s="16" t="n">
        <x:v>0</x:v>
      </x:c>
      <x:c r="V470" s="16" t="n">
        <x:v>0</x:v>
      </x:c>
      <x:c r="W470" s="16" t="n">
        <x:v>0</x:v>
      </x:c>
      <x:c r="X470" s="16" t="n">
        <x:v>0</x:v>
      </x:c>
      <x:c r="Y470" s="16" t="n">
        <x:v>0</x:v>
      </x:c>
      <x:c r="Z470" s="16" t="n">
        <x:v>0</x:v>
      </x:c>
      <x:c r="AA470" s="16" t="n">
        <x:v>3</x:v>
      </x:c>
      <x:c r="AB470" s="16" t="n">
        <x:v>11</x:v>
      </x:c>
      <x:c r="AC470" s="16" t="n">
        <x:v>1</x:v>
      </x:c>
      <x:c r="AD470" s="21" t="n">
        <x:f>IF(E470="",MEDIAN($E$2:$E$2237),E470)</x:f>
        <x:v>37406</x:v>
      </x:c>
      <x:c r="AE470" s="17" t="n">
        <x:f>2014-B470</x:f>
        <x:v>34</x:v>
      </x:c>
      <x:c r="AF470" s="17" t="n">
        <x:f>F470+G470</x:f>
        <x:v>1</x:v>
      </x:c>
      <x:c r="AG470" s="21" t="n">
        <x:f>SUM(J470:O470)</x:f>
        <x:v>17</x:v>
      </x:c>
      <x:c r="AH470" s="17" t="n">
        <x:f>SUM(Q470:S470)</x:f>
        <x:v>3</x:v>
      </x:c>
      <x:c r="AI470" s="17" t="n">
        <x:f>SUM(U470:Y470)</x:f>
        <x:v>0</x:v>
      </x:c>
      <x:c r="AJ470" s="17" t="str">
        <x:f>IF(AE470&lt;=34,"≤34",IF(AE470&lt;=44,"35–44",IF(AE470&lt;=54,"45–54",IF(AE470&lt;=64,"55–64","65+"))))</x:f>
        <x:v>≤34</x:v>
      </x:c>
      <x:c r="AK470" s="17" t="str">
        <x:f>IF(AG470&gt;=1000,"High Value",IF(AG470&gt;=300,"Mid Value","Low Value"))</x:f>
        <x:v>Low Value</x:v>
      </x:c>
      <x:c r="AL470" s="17" t="str">
        <x:f>IF(AND(AI470&gt;=1,I470&lt;=50),"Priority 1",IF(AND(AG470&gt;=1000,I470&lt;=60),"Priority 2",IF(I470&lt;=30,"Priority 3","Nurture")))</x:f>
        <x:v>Priority 3</x:v>
      </x:c>
    </x:row>
    <x:row r="471">
      <x:c r="A471" s="16" t="n">
        <x:v>564</x:v>
      </x:c>
      <x:c r="B471" s="16" t="n">
        <x:v>1981</x:v>
      </x:c>
      <x:c r="C471" s="16" t="str">
        <x:v>PhD</x:v>
      </x:c>
      <x:c r="D471" s="16" t="str">
        <x:v>Together</x:v>
      </x:c>
      <x:c r="E471" s="16" t="n">
        <x:v>56937</x:v>
      </x:c>
      <x:c r="F471" s="16" t="n">
        <x:v>1</x:v>
      </x:c>
      <x:c r="G471" s="16" t="n">
        <x:v>0</x:v>
      </x:c>
      <x:c r="H471" s="16" t="str">
        <x:v>04-08-2012</x:v>
      </x:c>
      <x:c r="I471" s="16" t="n">
        <x:v>81</x:v>
      </x:c>
      <x:c r="J471" s="16" t="n">
        <x:v>746</x:v>
      </x:c>
      <x:c r="K471" s="16" t="n">
        <x:v>8</x:v>
      </x:c>
      <x:c r="L471" s="16" t="n">
        <x:v>125</x:v>
      </x:c>
      <x:c r="M471" s="16" t="n">
        <x:v>11</x:v>
      </x:c>
      <x:c r="N471" s="16" t="n">
        <x:v>8</x:v>
      </x:c>
      <x:c r="O471" s="16" t="n">
        <x:v>8</x:v>
      </x:c>
      <x:c r="P471" s="16" t="n">
        <x:v>7</x:v>
      </x:c>
      <x:c r="Q471" s="16" t="n">
        <x:v>8</x:v>
      </x:c>
      <x:c r="R471" s="16" t="n">
        <x:v>6</x:v>
      </x:c>
      <x:c r="S471" s="16" t="n">
        <x:v>9</x:v>
      </x:c>
      <x:c r="T471" s="16" t="n">
        <x:v>6</x:v>
      </x:c>
      <x:c r="U471" s="16" t="n">
        <x:v>0</x:v>
      </x:c>
      <x:c r="V471" s="16" t="n">
        <x:v>1</x:v>
      </x:c>
      <x:c r="W471" s="16" t="n">
        <x:v>0</x:v>
      </x:c>
      <x:c r="X471" s="16" t="n">
        <x:v>0</x:v>
      </x:c>
      <x:c r="Y471" s="16" t="n">
        <x:v>0</x:v>
      </x:c>
      <x:c r="Z471" s="16" t="n">
        <x:v>0</x:v>
      </x:c>
      <x:c r="AA471" s="16" t="n">
        <x:v>3</x:v>
      </x:c>
      <x:c r="AB471" s="16" t="n">
        <x:v>11</x:v>
      </x:c>
      <x:c r="AC471" s="16" t="n">
        <x:v>1</x:v>
      </x:c>
      <x:c r="AD471" s="21" t="n">
        <x:f>IF(E471="",MEDIAN($E$2:$E$2237),E471)</x:f>
        <x:v>56937</x:v>
      </x:c>
      <x:c r="AE471" s="17" t="n">
        <x:f>2014-B471</x:f>
        <x:v>33</x:v>
      </x:c>
      <x:c r="AF471" s="17" t="n">
        <x:f>F471+G471</x:f>
        <x:v>1</x:v>
      </x:c>
      <x:c r="AG471" s="21" t="n">
        <x:f>SUM(J471:O471)</x:f>
        <x:v>906</x:v>
      </x:c>
      <x:c r="AH471" s="17" t="n">
        <x:f>SUM(Q471:S471)</x:f>
        <x:v>23</x:v>
      </x:c>
      <x:c r="AI471" s="17" t="n">
        <x:f>SUM(U471:Y471)</x:f>
        <x:v>1</x:v>
      </x:c>
      <x:c r="AJ471" s="17" t="str">
        <x:f>IF(AE471&lt;=34,"≤34",IF(AE471&lt;=44,"35–44",IF(AE471&lt;=54,"45–54",IF(AE471&lt;=64,"55–64","65+"))))</x:f>
        <x:v>≤34</x:v>
      </x:c>
      <x:c r="AK471" s="17" t="str">
        <x:f>IF(AG471&gt;=1000,"High Value",IF(AG471&gt;=300,"Mid Value","Low Value"))</x:f>
        <x:v>Mid Value</x:v>
      </x:c>
      <x:c r="AL471" s="17" t="str">
        <x:f>IF(AND(AI471&gt;=1,I471&lt;=50),"Priority 1",IF(AND(AG471&gt;=1000,I471&lt;=60),"Priority 2",IF(I471&lt;=30,"Priority 3","Nurture")))</x:f>
        <x:v>Nurture</x:v>
      </x:c>
    </x:row>
    <x:row r="472">
      <x:c r="A472" s="16" t="n">
        <x:v>6619</x:v>
      </x:c>
      <x:c r="B472" s="16" t="n">
        <x:v>1978</x:v>
      </x:c>
      <x:c r="C472" s="16" t="str">
        <x:v>Graduation</x:v>
      </x:c>
      <x:c r="D472" s="16" t="str">
        <x:v>Married</x:v>
      </x:c>
      <x:c r="E472" s="16" t="n">
        <x:v>38415</x:v>
      </x:c>
      <x:c r="F472" s="16" t="n">
        <x:v>1</x:v>
      </x:c>
      <x:c r="G472" s="16" t="n">
        <x:v>1</x:v>
      </x:c>
      <x:c r="H472" s="16" t="str">
        <x:v>02-01-2013</x:v>
      </x:c>
      <x:c r="I472" s="16" t="n">
        <x:v>91</x:v>
      </x:c>
      <x:c r="J472" s="16" t="n">
        <x:v>22</x:v>
      </x:c>
      <x:c r="K472" s="16" t="n">
        <x:v>1</x:v>
      </x:c>
      <x:c r="L472" s="16" t="n">
        <x:v>13</x:v>
      </x:c>
      <x:c r="M472" s="16" t="n">
        <x:v>4</x:v>
      </x:c>
      <x:c r="N472" s="16" t="n">
        <x:v>0</x:v>
      </x:c>
      <x:c r="O472" s="16" t="n">
        <x:v>4</x:v>
      </x:c>
      <x:c r="P472" s="16" t="n">
        <x:v>2</x:v>
      </x:c>
      <x:c r="Q472" s="16" t="n">
        <x:v>1</x:v>
      </x:c>
      <x:c r="R472" s="16" t="n">
        <x:v>0</x:v>
      </x:c>
      <x:c r="S472" s="16" t="n">
        <x:v>3</x:v>
      </x:c>
      <x:c r="T472" s="16" t="n">
        <x:v>7</x:v>
      </x:c>
      <x:c r="U472" s="16" t="n">
        <x:v>0</x:v>
      </x:c>
      <x:c r="V472" s="16" t="n">
        <x:v>0</x:v>
      </x:c>
      <x:c r="W472" s="16" t="n">
        <x:v>0</x:v>
      </x:c>
      <x:c r="X472" s="16" t="n">
        <x:v>0</x:v>
      </x:c>
      <x:c r="Y472" s="16" t="n">
        <x:v>0</x:v>
      </x:c>
      <x:c r="Z472" s="16" t="n">
        <x:v>0</x:v>
      </x:c>
      <x:c r="AA472" s="16" t="n">
        <x:v>3</x:v>
      </x:c>
      <x:c r="AB472" s="16" t="n">
        <x:v>11</x:v>
      </x:c>
      <x:c r="AC472" s="16" t="n">
        <x:v>0</x:v>
      </x:c>
      <x:c r="AD472" s="21" t="n">
        <x:f>IF(E472="",MEDIAN($E$2:$E$2237),E472)</x:f>
        <x:v>38415</x:v>
      </x:c>
      <x:c r="AE472" s="17" t="n">
        <x:f>2014-B472</x:f>
        <x:v>36</x:v>
      </x:c>
      <x:c r="AF472" s="17" t="n">
        <x:f>F472+G472</x:f>
        <x:v>2</x:v>
      </x:c>
      <x:c r="AG472" s="21" t="n">
        <x:f>SUM(J472:O472)</x:f>
        <x:v>44</x:v>
      </x:c>
      <x:c r="AH472" s="17" t="n">
        <x:f>SUM(Q472:S472)</x:f>
        <x:v>4</x:v>
      </x:c>
      <x:c r="AI472" s="17" t="n">
        <x:f>SUM(U472:Y472)</x:f>
        <x:v>0</x:v>
      </x:c>
      <x:c r="AJ472" s="17" t="str">
        <x:f>IF(AE472&lt;=34,"≤34",IF(AE472&lt;=44,"35–44",IF(AE472&lt;=54,"45–54",IF(AE472&lt;=64,"55–64","65+"))))</x:f>
        <x:v>35–44</x:v>
      </x:c>
      <x:c r="AK472" s="17" t="str">
        <x:f>IF(AG472&gt;=1000,"High Value",IF(AG472&gt;=300,"Mid Value","Low Value"))</x:f>
        <x:v>Low Value</x:v>
      </x:c>
      <x:c r="AL472" s="17" t="str">
        <x:f>IF(AND(AI472&gt;=1,I472&lt;=50),"Priority 1",IF(AND(AG472&gt;=1000,I472&lt;=60),"Priority 2",IF(I472&lt;=30,"Priority 3","Nurture")))</x:f>
        <x:v>Nurture</x:v>
      </x:c>
    </x:row>
    <x:row r="473">
      <x:c r="A473" s="16" t="n">
        <x:v>9081</x:v>
      </x:c>
      <x:c r="B473" s="16" t="n">
        <x:v>1988</x:v>
      </x:c>
      <x:c r="C473" s="16" t="str">
        <x:v>Graduation</x:v>
      </x:c>
      <x:c r="D473" s="16" t="str">
        <x:v>Single</x:v>
      </x:c>
      <x:c r="E473" s="16" t="n">
        <x:v>20518</x:v>
      </x:c>
      <x:c r="F473" s="16" t="n">
        <x:v>1</x:v>
      </x:c>
      <x:c r="G473" s="16" t="n">
        <x:v>0</x:v>
      </x:c>
      <x:c r="H473" s="16" t="str">
        <x:v>18-05-2014</x:v>
      </x:c>
      <x:c r="I473" s="16" t="n">
        <x:v>58</x:v>
      </x:c>
      <x:c r="J473" s="16" t="n">
        <x:v>4</x:v>
      </x:c>
      <x:c r="K473" s="16" t="n">
        <x:v>1</x:v>
      </x:c>
      <x:c r="L473" s="16" t="n">
        <x:v>6</x:v>
      </x:c>
      <x:c r="M473" s="16" t="n">
        <x:v>4</x:v>
      </x:c>
      <x:c r="N473" s="16" t="n">
        <x:v>1</x:v>
      </x:c>
      <x:c r="O473" s="16" t="n">
        <x:v>9</x:v>
      </x:c>
      <x:c r="P473" s="16" t="n">
        <x:v>1</x:v>
      </x:c>
      <x:c r="Q473" s="16" t="n">
        <x:v>1</x:v>
      </x:c>
      <x:c r="R473" s="16" t="n">
        <x:v>1</x:v>
      </x:c>
      <x:c r="S473" s="16" t="n">
        <x:v>2</x:v>
      </x:c>
      <x:c r="T473" s="16" t="n">
        <x:v>5</x:v>
      </x:c>
      <x:c r="U473" s="16" t="n">
        <x:v>0</x:v>
      </x:c>
      <x:c r="V473" s="16" t="n">
        <x:v>0</x:v>
      </x:c>
      <x:c r="W473" s="16" t="n">
        <x:v>0</x:v>
      </x:c>
      <x:c r="X473" s="16" t="n">
        <x:v>0</x:v>
      </x:c>
      <x:c r="Y473" s="16" t="n">
        <x:v>0</x:v>
      </x:c>
      <x:c r="Z473" s="16" t="n">
        <x:v>0</x:v>
      </x:c>
      <x:c r="AA473" s="16" t="n">
        <x:v>3</x:v>
      </x:c>
      <x:c r="AB473" s="16" t="n">
        <x:v>11</x:v>
      </x:c>
      <x:c r="AC473" s="16" t="n">
        <x:v>0</x:v>
      </x:c>
      <x:c r="AD473" s="21" t="n">
        <x:f>IF(E473="",MEDIAN($E$2:$E$2237),E473)</x:f>
        <x:v>20518</x:v>
      </x:c>
      <x:c r="AE473" s="17" t="n">
        <x:f>2014-B473</x:f>
        <x:v>26</x:v>
      </x:c>
      <x:c r="AF473" s="17" t="n">
        <x:f>F473+G473</x:f>
        <x:v>1</x:v>
      </x:c>
      <x:c r="AG473" s="21" t="n">
        <x:f>SUM(J473:O473)</x:f>
        <x:v>25</x:v>
      </x:c>
      <x:c r="AH473" s="17" t="n">
        <x:f>SUM(Q473:S473)</x:f>
        <x:v>4</x:v>
      </x:c>
      <x:c r="AI473" s="17" t="n">
        <x:f>SUM(U473:Y473)</x:f>
        <x:v>0</x:v>
      </x:c>
      <x:c r="AJ473" s="17" t="str">
        <x:f>IF(AE473&lt;=34,"≤34",IF(AE473&lt;=44,"35–44",IF(AE473&lt;=54,"45–54",IF(AE473&lt;=64,"55–64","65+"))))</x:f>
        <x:v>≤34</x:v>
      </x:c>
      <x:c r="AK473" s="17" t="str">
        <x:f>IF(AG473&gt;=1000,"High Value",IF(AG473&gt;=300,"Mid Value","Low Value"))</x:f>
        <x:v>Low Value</x:v>
      </x:c>
      <x:c r="AL473" s="17" t="str">
        <x:f>IF(AND(AI473&gt;=1,I473&lt;=50),"Priority 1",IF(AND(AG473&gt;=1000,I473&lt;=60),"Priority 2",IF(I473&lt;=30,"Priority 3","Nurture")))</x:f>
        <x:v>Nurture</x:v>
      </x:c>
    </x:row>
    <x:row r="474">
      <x:c r="A474" s="16" t="n">
        <x:v>178</x:v>
      </x:c>
      <x:c r="B474" s="16" t="n">
        <x:v>1956</x:v>
      </x:c>
      <x:c r="C474" s="16" t="str">
        <x:v>Graduation</x:v>
      </x:c>
      <x:c r="D474" s="16" t="str">
        <x:v>Married</x:v>
      </x:c>
      <x:c r="E474" s="16" t="n">
        <x:v>62503</x:v>
      </x:c>
      <x:c r="F474" s="16" t="n">
        <x:v>0</x:v>
      </x:c>
      <x:c r="G474" s="16" t="n">
        <x:v>1</x:v>
      </x:c>
      <x:c r="H474" s="16" t="str">
        <x:v>18-02-2013</x:v>
      </x:c>
      <x:c r="I474" s="16" t="n">
        <x:v>40</x:v>
      </x:c>
      <x:c r="J474" s="16" t="n">
        <x:v>478</x:v>
      </x:c>
      <x:c r="K474" s="16" t="n">
        <x:v>0</x:v>
      </x:c>
      <x:c r="L474" s="16" t="n">
        <x:v>193</x:v>
      </x:c>
      <x:c r="M474" s="16" t="n">
        <x:v>110</x:v>
      </x:c>
      <x:c r="N474" s="16" t="n">
        <x:v>75</x:v>
      </x:c>
      <x:c r="O474" s="16" t="n">
        <x:v>117</x:v>
      </x:c>
      <x:c r="P474" s="16" t="n">
        <x:v>4</x:v>
      </x:c>
      <x:c r="Q474" s="16" t="n">
        <x:v>8</x:v>
      </x:c>
      <x:c r="R474" s="16" t="n">
        <x:v>3</x:v>
      </x:c>
      <x:c r="S474" s="16" t="n">
        <x:v>11</x:v>
      </x:c>
      <x:c r="T474" s="16" t="n">
        <x:v>5</x:v>
      </x:c>
      <x:c r="U474" s="16" t="n">
        <x:v>0</x:v>
      </x:c>
      <x:c r="V474" s="16" t="n">
        <x:v>0</x:v>
      </x:c>
      <x:c r="W474" s="16" t="n">
        <x:v>0</x:v>
      </x:c>
      <x:c r="X474" s="16" t="n">
        <x:v>0</x:v>
      </x:c>
      <x:c r="Y474" s="16" t="n">
        <x:v>0</x:v>
      </x:c>
      <x:c r="Z474" s="16" t="n">
        <x:v>0</x:v>
      </x:c>
      <x:c r="AA474" s="16" t="n">
        <x:v>3</x:v>
      </x:c>
      <x:c r="AB474" s="16" t="n">
        <x:v>11</x:v>
      </x:c>
      <x:c r="AC474" s="16" t="n">
        <x:v>0</x:v>
      </x:c>
      <x:c r="AD474" s="21" t="n">
        <x:f>IF(E474="",MEDIAN($E$2:$E$2237),E474)</x:f>
        <x:v>62503</x:v>
      </x:c>
      <x:c r="AE474" s="17" t="n">
        <x:f>2014-B474</x:f>
        <x:v>58</x:v>
      </x:c>
      <x:c r="AF474" s="17" t="n">
        <x:f>F474+G474</x:f>
        <x:v>1</x:v>
      </x:c>
      <x:c r="AG474" s="21" t="n">
        <x:f>SUM(J474:O474)</x:f>
        <x:v>973</x:v>
      </x:c>
      <x:c r="AH474" s="17" t="n">
        <x:f>SUM(Q474:S474)</x:f>
        <x:v>22</x:v>
      </x:c>
      <x:c r="AI474" s="17" t="n">
        <x:f>SUM(U474:Y474)</x:f>
        <x:v>0</x:v>
      </x:c>
      <x:c r="AJ474" s="17" t="str">
        <x:f>IF(AE474&lt;=34,"≤34",IF(AE474&lt;=44,"35–44",IF(AE474&lt;=54,"45–54",IF(AE474&lt;=64,"55–64","65+"))))</x:f>
        <x:v>55–64</x:v>
      </x:c>
      <x:c r="AK474" s="17" t="str">
        <x:f>IF(AG474&gt;=1000,"High Value",IF(AG474&gt;=300,"Mid Value","Low Value"))</x:f>
        <x:v>Mid Value</x:v>
      </x:c>
      <x:c r="AL474" s="17" t="str">
        <x:f>IF(AND(AI474&gt;=1,I474&lt;=50),"Priority 1",IF(AND(AG474&gt;=1000,I474&lt;=60),"Priority 2",IF(I474&lt;=30,"Priority 3","Nurture")))</x:f>
        <x:v>Nurture</x:v>
      </x:c>
    </x:row>
    <x:row r="475">
      <x:c r="A475" s="16" t="n">
        <x:v>916</x:v>
      </x:c>
      <x:c r="B475" s="16" t="n">
        <x:v>1972</x:v>
      </x:c>
      <x:c r="C475" s="16" t="str">
        <x:v>PhD</x:v>
      </x:c>
      <x:c r="D475" s="16" t="str">
        <x:v>Single</x:v>
      </x:c>
      <x:c r="E475" s="16" t="n">
        <x:v>41644</x:v>
      </x:c>
      <x:c r="F475" s="16" t="n">
        <x:v>1</x:v>
      </x:c>
      <x:c r="G475" s="16" t="n">
        <x:v>1</x:v>
      </x:c>
      <x:c r="H475" s="16" t="str">
        <x:v>09-05-2014</x:v>
      </x:c>
      <x:c r="I475" s="16" t="n">
        <x:v>67</x:v>
      </x:c>
      <x:c r="J475" s="16" t="n">
        <x:v>20</x:v>
      </x:c>
      <x:c r="K475" s="16" t="n">
        <x:v>3</x:v>
      </x:c>
      <x:c r="L475" s="16" t="n">
        <x:v>4</x:v>
      </x:c>
      <x:c r="M475" s="16" t="n">
        <x:v>2</x:v>
      </x:c>
      <x:c r="N475" s="16" t="n">
        <x:v>0</x:v>
      </x:c>
      <x:c r="O475" s="16" t="n">
        <x:v>2</x:v>
      </x:c>
      <x:c r="P475" s="16" t="n">
        <x:v>2</x:v>
      </x:c>
      <x:c r="Q475" s="16" t="n">
        <x:v>1</x:v>
      </x:c>
      <x:c r="R475" s="16" t="n">
        <x:v>0</x:v>
      </x:c>
      <x:c r="S475" s="16" t="n">
        <x:v>3</x:v>
      </x:c>
      <x:c r="T475" s="16" t="n">
        <x:v>3</x:v>
      </x:c>
      <x:c r="U475" s="16" t="n">
        <x:v>0</x:v>
      </x:c>
      <x:c r="V475" s="16" t="n">
        <x:v>0</x:v>
      </x:c>
      <x:c r="W475" s="16" t="n">
        <x:v>0</x:v>
      </x:c>
      <x:c r="X475" s="16" t="n">
        <x:v>0</x:v>
      </x:c>
      <x:c r="Y475" s="16" t="n">
        <x:v>0</x:v>
      </x:c>
      <x:c r="Z475" s="16" t="n">
        <x:v>0</x:v>
      </x:c>
      <x:c r="AA475" s="16" t="n">
        <x:v>3</x:v>
      </x:c>
      <x:c r="AB475" s="16" t="n">
        <x:v>11</x:v>
      </x:c>
      <x:c r="AC475" s="16" t="n">
        <x:v>0</x:v>
      </x:c>
      <x:c r="AD475" s="21" t="n">
        <x:f>IF(E475="",MEDIAN($E$2:$E$2237),E475)</x:f>
        <x:v>41644</x:v>
      </x:c>
      <x:c r="AE475" s="17" t="n">
        <x:f>2014-B475</x:f>
        <x:v>42</x:v>
      </x:c>
      <x:c r="AF475" s="17" t="n">
        <x:f>F475+G475</x:f>
        <x:v>2</x:v>
      </x:c>
      <x:c r="AG475" s="21" t="n">
        <x:f>SUM(J475:O475)</x:f>
        <x:v>31</x:v>
      </x:c>
      <x:c r="AH475" s="17" t="n">
        <x:f>SUM(Q475:S475)</x:f>
        <x:v>4</x:v>
      </x:c>
      <x:c r="AI475" s="17" t="n">
        <x:f>SUM(U475:Y475)</x:f>
        <x:v>0</x:v>
      </x:c>
      <x:c r="AJ475" s="17" t="str">
        <x:f>IF(AE475&lt;=34,"≤34",IF(AE475&lt;=44,"35–44",IF(AE475&lt;=54,"45–54",IF(AE475&lt;=64,"55–64","65+"))))</x:f>
        <x:v>35–44</x:v>
      </x:c>
      <x:c r="AK475" s="17" t="str">
        <x:f>IF(AG475&gt;=1000,"High Value",IF(AG475&gt;=300,"Mid Value","Low Value"))</x:f>
        <x:v>Low Value</x:v>
      </x:c>
      <x:c r="AL475" s="17" t="str">
        <x:f>IF(AND(AI475&gt;=1,I475&lt;=50),"Priority 1",IF(AND(AG475&gt;=1000,I475&lt;=60),"Priority 2",IF(I475&lt;=30,"Priority 3","Nurture")))</x:f>
        <x:v>Nurture</x:v>
      </x:c>
    </x:row>
    <x:row r="476">
      <x:c r="A476" s="16" t="n">
        <x:v>5512</x:v>
      </x:c>
      <x:c r="B476" s="16" t="n">
        <x:v>1977</x:v>
      </x:c>
      <x:c r="C476" s="16" t="str">
        <x:v>Master</x:v>
      </x:c>
      <x:c r="D476" s="16" t="str">
        <x:v>Married</x:v>
      </x:c>
      <x:c r="E476" s="16" t="n">
        <x:v>55842</x:v>
      </x:c>
      <x:c r="F476" s="16" t="n">
        <x:v>0</x:v>
      </x:c>
      <x:c r="G476" s="16" t="n">
        <x:v>1</x:v>
      </x:c>
      <x:c r="H476" s="16" t="str">
        <x:v>23-05-2014</x:v>
      </x:c>
      <x:c r="I476" s="16" t="n">
        <x:v>19</x:v>
      </x:c>
      <x:c r="J476" s="16" t="n">
        <x:v>451</x:v>
      </x:c>
      <x:c r="K476" s="16" t="n">
        <x:v>0</x:v>
      </x:c>
      <x:c r="L476" s="16" t="n">
        <x:v>39</x:v>
      </x:c>
      <x:c r="M476" s="16" t="n">
        <x:v>0</x:v>
      </x:c>
      <x:c r="N476" s="16" t="n">
        <x:v>4</x:v>
      </x:c>
      <x:c r="O476" s="16" t="n">
        <x:v>24</x:v>
      </x:c>
      <x:c r="P476" s="16" t="n">
        <x:v>1</x:v>
      </x:c>
      <x:c r="Q476" s="16" t="n">
        <x:v>7</x:v>
      </x:c>
      <x:c r="R476" s="16" t="n">
        <x:v>1</x:v>
      </x:c>
      <x:c r="S476" s="16" t="n">
        <x:v>8</x:v>
      </x:c>
      <x:c r="T476" s="16" t="n">
        <x:v>5</x:v>
      </x:c>
      <x:c r="U476" s="16" t="n">
        <x:v>0</x:v>
      </x:c>
      <x:c r="V476" s="16" t="n">
        <x:v>0</x:v>
      </x:c>
      <x:c r="W476" s="16" t="n">
        <x:v>0</x:v>
      </x:c>
      <x:c r="X476" s="16" t="n">
        <x:v>0</x:v>
      </x:c>
      <x:c r="Y476" s="16" t="n">
        <x:v>0</x:v>
      </x:c>
      <x:c r="Z476" s="16" t="n">
        <x:v>0</x:v>
      </x:c>
      <x:c r="AA476" s="16" t="n">
        <x:v>3</x:v>
      </x:c>
      <x:c r="AB476" s="16" t="n">
        <x:v>11</x:v>
      </x:c>
      <x:c r="AC476" s="16" t="n">
        <x:v>0</x:v>
      </x:c>
      <x:c r="AD476" s="21" t="n">
        <x:f>IF(E476="",MEDIAN($E$2:$E$2237),E476)</x:f>
        <x:v>55842</x:v>
      </x:c>
      <x:c r="AE476" s="17" t="n">
        <x:f>2014-B476</x:f>
        <x:v>37</x:v>
      </x:c>
      <x:c r="AF476" s="17" t="n">
        <x:f>F476+G476</x:f>
        <x:v>1</x:v>
      </x:c>
      <x:c r="AG476" s="21" t="n">
        <x:f>SUM(J476:O476)</x:f>
        <x:v>518</x:v>
      </x:c>
      <x:c r="AH476" s="17" t="n">
        <x:f>SUM(Q476:S476)</x:f>
        <x:v>16</x:v>
      </x:c>
      <x:c r="AI476" s="17" t="n">
        <x:f>SUM(U476:Y476)</x:f>
        <x:v>0</x:v>
      </x:c>
      <x:c r="AJ476" s="17" t="str">
        <x:f>IF(AE476&lt;=34,"≤34",IF(AE476&lt;=44,"35–44",IF(AE476&lt;=54,"45–54",IF(AE476&lt;=64,"55–64","65+"))))</x:f>
        <x:v>35–44</x:v>
      </x:c>
      <x:c r="AK476" s="17" t="str">
        <x:f>IF(AG476&gt;=1000,"High Value",IF(AG476&gt;=300,"Mid Value","Low Value"))</x:f>
        <x:v>Mid Value</x:v>
      </x:c>
      <x:c r="AL476" s="17" t="str">
        <x:f>IF(AND(AI476&gt;=1,I476&lt;=50),"Priority 1",IF(AND(AG476&gt;=1000,I476&lt;=60),"Priority 2",IF(I476&lt;=30,"Priority 3","Nurture")))</x:f>
        <x:v>Priority 3</x:v>
      </x:c>
    </x:row>
    <x:row r="477">
      <x:c r="A477" s="16" t="n">
        <x:v>8970</x:v>
      </x:c>
      <x:c r="B477" s="16" t="n">
        <x:v>1972</x:v>
      </x:c>
      <x:c r="C477" s="16" t="str">
        <x:v>PhD</x:v>
      </x:c>
      <x:c r="D477" s="16" t="str">
        <x:v>Married</x:v>
      </x:c>
      <x:c r="E477" s="16" t="n">
        <x:v>62010</x:v>
      </x:c>
      <x:c r="F477" s="16" t="n">
        <x:v>0</x:v>
      </x:c>
      <x:c r="G477" s="16" t="n">
        <x:v>1</x:v>
      </x:c>
      <x:c r="H477" s="16" t="str">
        <x:v>23-10-2012</x:v>
      </x:c>
      <x:c r="I477" s="16" t="n">
        <x:v>93</x:v>
      </x:c>
      <x:c r="J477" s="16" t="n">
        <x:v>371</x:v>
      </x:c>
      <x:c r="K477" s="16" t="n">
        <x:v>22</x:v>
      </x:c>
      <x:c r="L477" s="16" t="n">
        <x:v>39</x:v>
      </x:c>
      <x:c r="M477" s="16" t="n">
        <x:v>6</x:v>
      </x:c>
      <x:c r="N477" s="16" t="n">
        <x:v>0</x:v>
      </x:c>
      <x:c r="O477" s="16" t="n">
        <x:v>92</x:v>
      </x:c>
      <x:c r="P477" s="16" t="n">
        <x:v>4</x:v>
      </x:c>
      <x:c r="Q477" s="16" t="n">
        <x:v>6</x:v>
      </x:c>
      <x:c r="R477" s="16" t="n">
        <x:v>2</x:v>
      </x:c>
      <x:c r="S477" s="16" t="n">
        <x:v>7</x:v>
      </x:c>
      <x:c r="T477" s="16" t="n">
        <x:v>5</x:v>
      </x:c>
      <x:c r="U477" s="16" t="n">
        <x:v>0</x:v>
      </x:c>
      <x:c r="V477" s="16" t="n">
        <x:v>0</x:v>
      </x:c>
      <x:c r="W477" s="16" t="n">
        <x:v>0</x:v>
      </x:c>
      <x:c r="X477" s="16" t="n">
        <x:v>0</x:v>
      </x:c>
      <x:c r="Y477" s="16" t="n">
        <x:v>0</x:v>
      </x:c>
      <x:c r="Z477" s="16" t="n">
        <x:v>0</x:v>
      </x:c>
      <x:c r="AA477" s="16" t="n">
        <x:v>3</x:v>
      </x:c>
      <x:c r="AB477" s="16" t="n">
        <x:v>11</x:v>
      </x:c>
      <x:c r="AC477" s="16" t="n">
        <x:v>0</x:v>
      </x:c>
      <x:c r="AD477" s="21" t="n">
        <x:f>IF(E477="",MEDIAN($E$2:$E$2237),E477)</x:f>
        <x:v>62010</x:v>
      </x:c>
      <x:c r="AE477" s="17" t="n">
        <x:f>2014-B477</x:f>
        <x:v>42</x:v>
      </x:c>
      <x:c r="AF477" s="17" t="n">
        <x:f>F477+G477</x:f>
        <x:v>1</x:v>
      </x:c>
      <x:c r="AG477" s="21" t="n">
        <x:f>SUM(J477:O477)</x:f>
        <x:v>530</x:v>
      </x:c>
      <x:c r="AH477" s="17" t="n">
        <x:f>SUM(Q477:S477)</x:f>
        <x:v>15</x:v>
      </x:c>
      <x:c r="AI477" s="17" t="n">
        <x:f>SUM(U477:Y477)</x:f>
        <x:v>0</x:v>
      </x:c>
      <x:c r="AJ477" s="17" t="str">
        <x:f>IF(AE477&lt;=34,"≤34",IF(AE477&lt;=44,"35–44",IF(AE477&lt;=54,"45–54",IF(AE477&lt;=64,"55–64","65+"))))</x:f>
        <x:v>35–44</x:v>
      </x:c>
      <x:c r="AK477" s="17" t="str">
        <x:f>IF(AG477&gt;=1000,"High Value",IF(AG477&gt;=300,"Mid Value","Low Value"))</x:f>
        <x:v>Mid Value</x:v>
      </x:c>
      <x:c r="AL477" s="17" t="str">
        <x:f>IF(AND(AI477&gt;=1,I477&lt;=50),"Priority 1",IF(AND(AG477&gt;=1000,I477&lt;=60),"Priority 2",IF(I477&lt;=30,"Priority 3","Nurture")))</x:f>
        <x:v>Nurture</x:v>
      </x:c>
    </x:row>
    <x:row r="478">
      <x:c r="A478" s="16" t="n">
        <x:v>10581</x:v>
      </x:c>
      <x:c r="B478" s="16" t="n">
        <x:v>1977</x:v>
      </x:c>
      <x:c r="C478" s="16" t="str">
        <x:v>Graduation</x:v>
      </x:c>
      <x:c r="D478" s="16" t="str">
        <x:v>Married</x:v>
      </x:c>
      <x:c r="E478" s="16" t="n">
        <x:v>41124</x:v>
      </x:c>
      <x:c r="F478" s="16" t="n">
        <x:v>1</x:v>
      </x:c>
      <x:c r="G478" s="16" t="n">
        <x:v>0</x:v>
      </x:c>
      <x:c r="H478" s="16" t="str">
        <x:v>31-10-2012</x:v>
      </x:c>
      <x:c r="I478" s="16" t="n">
        <x:v>41</x:v>
      </x:c>
      <x:c r="J478" s="16" t="n">
        <x:v>281</x:v>
      </x:c>
      <x:c r="K478" s="16" t="n">
        <x:v>7</x:v>
      </x:c>
      <x:c r="L478" s="16" t="n">
        <x:v>84</x:v>
      </x:c>
      <x:c r="M478" s="16" t="n">
        <x:v>15</x:v>
      </x:c>
      <x:c r="N478" s="16" t="n">
        <x:v>0</x:v>
      </x:c>
      <x:c r="O478" s="16" t="n">
        <x:v>119</x:v>
      </x:c>
      <x:c r="P478" s="16" t="n">
        <x:v>7</x:v>
      </x:c>
      <x:c r="Q478" s="16" t="n">
        <x:v>7</x:v>
      </x:c>
      <x:c r="R478" s="16" t="n">
        <x:v>3</x:v>
      </x:c>
      <x:c r="S478" s="16" t="n">
        <x:v>4</x:v>
      </x:c>
      <x:c r="T478" s="16" t="n">
        <x:v>8</x:v>
      </x:c>
      <x:c r="U478" s="16" t="n">
        <x:v>0</x:v>
      </x:c>
      <x:c r="V478" s="16" t="n">
        <x:v>0</x:v>
      </x:c>
      <x:c r="W478" s="16" t="n">
        <x:v>0</x:v>
      </x:c>
      <x:c r="X478" s="16" t="n">
        <x:v>0</x:v>
      </x:c>
      <x:c r="Y478" s="16" t="n">
        <x:v>0</x:v>
      </x:c>
      <x:c r="Z478" s="16" t="n">
        <x:v>0</x:v>
      </x:c>
      <x:c r="AA478" s="16" t="n">
        <x:v>3</x:v>
      </x:c>
      <x:c r="AB478" s="16" t="n">
        <x:v>11</x:v>
      </x:c>
      <x:c r="AC478" s="16" t="n">
        <x:v>0</x:v>
      </x:c>
      <x:c r="AD478" s="21" t="n">
        <x:f>IF(E478="",MEDIAN($E$2:$E$2237),E478)</x:f>
        <x:v>41124</x:v>
      </x:c>
      <x:c r="AE478" s="17" t="n">
        <x:f>2014-B478</x:f>
        <x:v>37</x:v>
      </x:c>
      <x:c r="AF478" s="17" t="n">
        <x:f>F478+G478</x:f>
        <x:v>1</x:v>
      </x:c>
      <x:c r="AG478" s="21" t="n">
        <x:f>SUM(J478:O478)</x:f>
        <x:v>506</x:v>
      </x:c>
      <x:c r="AH478" s="17" t="n">
        <x:f>SUM(Q478:S478)</x:f>
        <x:v>14</x:v>
      </x:c>
      <x:c r="AI478" s="17" t="n">
        <x:f>SUM(U478:Y478)</x:f>
        <x:v>0</x:v>
      </x:c>
      <x:c r="AJ478" s="17" t="str">
        <x:f>IF(AE478&lt;=34,"≤34",IF(AE478&lt;=44,"35–44",IF(AE478&lt;=54,"45–54",IF(AE478&lt;=64,"55–64","65+"))))</x:f>
        <x:v>35–44</x:v>
      </x:c>
      <x:c r="AK478" s="17" t="str">
        <x:f>IF(AG478&gt;=1000,"High Value",IF(AG478&gt;=300,"Mid Value","Low Value"))</x:f>
        <x:v>Mid Value</x:v>
      </x:c>
      <x:c r="AL478" s="17" t="str">
        <x:f>IF(AND(AI478&gt;=1,I478&lt;=50),"Priority 1",IF(AND(AG478&gt;=1000,I478&lt;=60),"Priority 2",IF(I478&lt;=30,"Priority 3","Nurture")))</x:f>
        <x:v>Nurture</x:v>
      </x:c>
    </x:row>
    <x:row r="479">
      <x:c r="A479" s="16" t="n">
        <x:v>5300</x:v>
      </x:c>
      <x:c r="B479" s="16" t="n">
        <x:v>1973</x:v>
      </x:c>
      <x:c r="C479" s="16" t="str">
        <x:v>Master</x:v>
      </x:c>
      <x:c r="D479" s="16" t="str">
        <x:v>Married</x:v>
      </x:c>
      <x:c r="E479" s="16" t="n">
        <x:v>38961</x:v>
      </x:c>
      <x:c r="F479" s="16" t="n">
        <x:v>1</x:v>
      </x:c>
      <x:c r="G479" s="16" t="n">
        <x:v>0</x:v>
      </x:c>
      <x:c r="H479" s="16" t="str">
        <x:v>30-12-2013</x:v>
      </x:c>
      <x:c r="I479" s="16" t="n">
        <x:v>60</x:v>
      </x:c>
      <x:c r="J479" s="16" t="n">
        <x:v>19</x:v>
      </x:c>
      <x:c r="K479" s="16" t="n">
        <x:v>7</x:v>
      </x:c>
      <x:c r="L479" s="16" t="n">
        <x:v>19</x:v>
      </x:c>
      <x:c r="M479" s="16" t="n">
        <x:v>0</x:v>
      </x:c>
      <x:c r="N479" s="16" t="n">
        <x:v>1</x:v>
      </x:c>
      <x:c r="O479" s="16" t="n">
        <x:v>24</x:v>
      </x:c>
      <x:c r="P479" s="16" t="n">
        <x:v>1</x:v>
      </x:c>
      <x:c r="Q479" s="16" t="n">
        <x:v>2</x:v>
      </x:c>
      <x:c r="R479" s="16" t="n">
        <x:v>1</x:v>
      </x:c>
      <x:c r="S479" s="16" t="n">
        <x:v>2</x:v>
      </x:c>
      <x:c r="T479" s="16" t="n">
        <x:v>7</x:v>
      </x:c>
      <x:c r="U479" s="16" t="n">
        <x:v>0</x:v>
      </x:c>
      <x:c r="V479" s="16" t="n">
        <x:v>0</x:v>
      </x:c>
      <x:c r="W479" s="16" t="n">
        <x:v>0</x:v>
      </x:c>
      <x:c r="X479" s="16" t="n">
        <x:v>0</x:v>
      </x:c>
      <x:c r="Y479" s="16" t="n">
        <x:v>0</x:v>
      </x:c>
      <x:c r="Z479" s="16" t="n">
        <x:v>0</x:v>
      </x:c>
      <x:c r="AA479" s="16" t="n">
        <x:v>3</x:v>
      </x:c>
      <x:c r="AB479" s="16" t="n">
        <x:v>11</x:v>
      </x:c>
      <x:c r="AC479" s="16" t="n">
        <x:v>0</x:v>
      </x:c>
      <x:c r="AD479" s="21" t="n">
        <x:f>IF(E479="",MEDIAN($E$2:$E$2237),E479)</x:f>
        <x:v>38961</x:v>
      </x:c>
      <x:c r="AE479" s="17" t="n">
        <x:f>2014-B479</x:f>
        <x:v>41</x:v>
      </x:c>
      <x:c r="AF479" s="17" t="n">
        <x:f>F479+G479</x:f>
        <x:v>1</x:v>
      </x:c>
      <x:c r="AG479" s="21" t="n">
        <x:f>SUM(J479:O479)</x:f>
        <x:v>70</x:v>
      </x:c>
      <x:c r="AH479" s="17" t="n">
        <x:f>SUM(Q479:S479)</x:f>
        <x:v>5</x:v>
      </x:c>
      <x:c r="AI479" s="17" t="n">
        <x:f>SUM(U479:Y479)</x:f>
        <x:v>0</x:v>
      </x:c>
      <x:c r="AJ479" s="17" t="str">
        <x:f>IF(AE479&lt;=34,"≤34",IF(AE479&lt;=44,"35–44",IF(AE479&lt;=54,"45–54",IF(AE479&lt;=64,"55–64","65+"))))</x:f>
        <x:v>35–44</x:v>
      </x:c>
      <x:c r="AK479" s="17" t="str">
        <x:f>IF(AG479&gt;=1000,"High Value",IF(AG479&gt;=300,"Mid Value","Low Value"))</x:f>
        <x:v>Low Value</x:v>
      </x:c>
      <x:c r="AL479" s="17" t="str">
        <x:f>IF(AND(AI479&gt;=1,I479&lt;=50),"Priority 1",IF(AND(AG479&gt;=1000,I479&lt;=60),"Priority 2",IF(I479&lt;=30,"Priority 3","Nurture")))</x:f>
        <x:v>Nurture</x:v>
      </x:c>
    </x:row>
    <x:row r="480">
      <x:c r="A480" s="16" t="n">
        <x:v>5154</x:v>
      </x:c>
      <x:c r="B480" s="16" t="n">
        <x:v>1972</x:v>
      </x:c>
      <x:c r="C480" s="16" t="str">
        <x:v>Master</x:v>
      </x:c>
      <x:c r="D480" s="16" t="str">
        <x:v>Divorced</x:v>
      </x:c>
      <x:c r="E480" s="16" t="n">
        <x:v>37760</x:v>
      </x:c>
      <x:c r="F480" s="16" t="n">
        <x:v>1</x:v>
      </x:c>
      <x:c r="G480" s="16" t="n">
        <x:v>0</x:v>
      </x:c>
      <x:c r="H480" s="16" t="str">
        <x:v>11-08-2013</x:v>
      </x:c>
      <x:c r="I480" s="16" t="n">
        <x:v>54</x:v>
      </x:c>
      <x:c r="J480" s="16" t="n">
        <x:v>26</x:v>
      </x:c>
      <x:c r="K480" s="16" t="n">
        <x:v>3</x:v>
      </x:c>
      <x:c r="L480" s="16" t="n">
        <x:v>13</x:v>
      </x:c>
      <x:c r="M480" s="16" t="n">
        <x:v>2</x:v>
      </x:c>
      <x:c r="N480" s="16" t="n">
        <x:v>10</x:v>
      </x:c>
      <x:c r="O480" s="16" t="n">
        <x:v>0</x:v>
      </x:c>
      <x:c r="P480" s="16" t="n">
        <x:v>1</x:v>
      </x:c>
      <x:c r="Q480" s="16" t="n">
        <x:v>2</x:v>
      </x:c>
      <x:c r="R480" s="16" t="n">
        <x:v>0</x:v>
      </x:c>
      <x:c r="S480" s="16" t="n">
        <x:v>3</x:v>
      </x:c>
      <x:c r="T480" s="16" t="n">
        <x:v>6</x:v>
      </x:c>
      <x:c r="U480" s="16" t="n">
        <x:v>0</x:v>
      </x:c>
      <x:c r="V480" s="16" t="n">
        <x:v>0</x:v>
      </x:c>
      <x:c r="W480" s="16" t="n">
        <x:v>0</x:v>
      </x:c>
      <x:c r="X480" s="16" t="n">
        <x:v>0</x:v>
      </x:c>
      <x:c r="Y480" s="16" t="n">
        <x:v>0</x:v>
      </x:c>
      <x:c r="Z480" s="16" t="n">
        <x:v>0</x:v>
      </x:c>
      <x:c r="AA480" s="16" t="n">
        <x:v>3</x:v>
      </x:c>
      <x:c r="AB480" s="16" t="n">
        <x:v>11</x:v>
      </x:c>
      <x:c r="AC480" s="16" t="n">
        <x:v>0</x:v>
      </x:c>
      <x:c r="AD480" s="21" t="n">
        <x:f>IF(E480="",MEDIAN($E$2:$E$2237),E480)</x:f>
        <x:v>37760</x:v>
      </x:c>
      <x:c r="AE480" s="17" t="n">
        <x:f>2014-B480</x:f>
        <x:v>42</x:v>
      </x:c>
      <x:c r="AF480" s="17" t="n">
        <x:f>F480+G480</x:f>
        <x:v>1</x:v>
      </x:c>
      <x:c r="AG480" s="21" t="n">
        <x:f>SUM(J480:O480)</x:f>
        <x:v>54</x:v>
      </x:c>
      <x:c r="AH480" s="17" t="n">
        <x:f>SUM(Q480:S480)</x:f>
        <x:v>5</x:v>
      </x:c>
      <x:c r="AI480" s="17" t="n">
        <x:f>SUM(U480:Y480)</x:f>
        <x:v>0</x:v>
      </x:c>
      <x:c r="AJ480" s="17" t="str">
        <x:f>IF(AE480&lt;=34,"≤34",IF(AE480&lt;=44,"35–44",IF(AE480&lt;=54,"45–54",IF(AE480&lt;=64,"55–64","65+"))))</x:f>
        <x:v>35–44</x:v>
      </x:c>
      <x:c r="AK480" s="17" t="str">
        <x:f>IF(AG480&gt;=1000,"High Value",IF(AG480&gt;=300,"Mid Value","Low Value"))</x:f>
        <x:v>Low Value</x:v>
      </x:c>
      <x:c r="AL480" s="17" t="str">
        <x:f>IF(AND(AI480&gt;=1,I480&lt;=50),"Priority 1",IF(AND(AG480&gt;=1000,I480&lt;=60),"Priority 2",IF(I480&lt;=30,"Priority 3","Nurture")))</x:f>
        <x:v>Nurture</x:v>
      </x:c>
    </x:row>
    <x:row r="481">
      <x:c r="A481" s="16" t="n">
        <x:v>8346</x:v>
      </x:c>
      <x:c r="B481" s="16" t="n">
        <x:v>1974</x:v>
      </x:c>
      <x:c r="C481" s="16" t="str">
        <x:v>Graduation</x:v>
      </x:c>
      <x:c r="D481" s="16" t="str">
        <x:v>Single</x:v>
      </x:c>
      <x:c r="E481" s="16" t="n">
        <x:v>32233</x:v>
      </x:c>
      <x:c r="F481" s="16" t="n">
        <x:v>1</x:v>
      </x:c>
      <x:c r="G481" s="16" t="n">
        <x:v>0</x:v>
      </x:c>
      <x:c r="H481" s="16" t="str">
        <x:v>19-08-2012</x:v>
      </x:c>
      <x:c r="I481" s="16" t="n">
        <x:v>26</x:v>
      </x:c>
      <x:c r="J481" s="16" t="n">
        <x:v>138</x:v>
      </x:c>
      <x:c r="K481" s="16" t="n">
        <x:v>15</x:v>
      </x:c>
      <x:c r="L481" s="16" t="n">
        <x:v>35</x:v>
      </x:c>
      <x:c r="M481" s="16" t="n">
        <x:v>25</x:v>
      </x:c>
      <x:c r="N481" s="16" t="n">
        <x:v>11</x:v>
      </x:c>
      <x:c r="O481" s="16" t="n">
        <x:v>72</x:v>
      </x:c>
      <x:c r="P481" s="16" t="n">
        <x:v>2</x:v>
      </x:c>
      <x:c r="Q481" s="16" t="n">
        <x:v>6</x:v>
      </x:c>
      <x:c r="R481" s="16" t="n">
        <x:v>2</x:v>
      </x:c>
      <x:c r="S481" s="16" t="n">
        <x:v>2</x:v>
      </x:c>
      <x:c r="T481" s="16" t="n">
        <x:v>9</x:v>
      </x:c>
      <x:c r="U481" s="16" t="n">
        <x:v>1</x:v>
      </x:c>
      <x:c r="V481" s="16" t="n">
        <x:v>0</x:v>
      </x:c>
      <x:c r="W481" s="16" t="n">
        <x:v>0</x:v>
      </x:c>
      <x:c r="X481" s="16" t="n">
        <x:v>0</x:v>
      </x:c>
      <x:c r="Y481" s="16" t="n">
        <x:v>0</x:v>
      </x:c>
      <x:c r="Z481" s="16" t="n">
        <x:v>0</x:v>
      </x:c>
      <x:c r="AA481" s="16" t="n">
        <x:v>3</x:v>
      </x:c>
      <x:c r="AB481" s="16" t="n">
        <x:v>11</x:v>
      </x:c>
      <x:c r="AC481" s="16" t="n">
        <x:v>1</x:v>
      </x:c>
      <x:c r="AD481" s="21" t="n">
        <x:f>IF(E481="",MEDIAN($E$2:$E$2237),E481)</x:f>
        <x:v>32233</x:v>
      </x:c>
      <x:c r="AE481" s="17" t="n">
        <x:f>2014-B481</x:f>
        <x:v>40</x:v>
      </x:c>
      <x:c r="AF481" s="17" t="n">
        <x:f>F481+G481</x:f>
        <x:v>1</x:v>
      </x:c>
      <x:c r="AG481" s="21" t="n">
        <x:f>SUM(J481:O481)</x:f>
        <x:v>296</x:v>
      </x:c>
      <x:c r="AH481" s="17" t="n">
        <x:f>SUM(Q481:S481)</x:f>
        <x:v>10</x:v>
      </x:c>
      <x:c r="AI481" s="17" t="n">
        <x:f>SUM(U481:Y481)</x:f>
        <x:v>1</x:v>
      </x:c>
      <x:c r="AJ481" s="17" t="str">
        <x:f>IF(AE481&lt;=34,"≤34",IF(AE481&lt;=44,"35–44",IF(AE481&lt;=54,"45–54",IF(AE481&lt;=64,"55–64","65+"))))</x:f>
        <x:v>35–44</x:v>
      </x:c>
      <x:c r="AK481" s="17" t="str">
        <x:f>IF(AG481&gt;=1000,"High Value",IF(AG481&gt;=300,"Mid Value","Low Value"))</x:f>
        <x:v>Low Value</x:v>
      </x:c>
      <x:c r="AL481" s="17" t="str">
        <x:f>IF(AND(AI481&gt;=1,I481&lt;=50),"Priority 1",IF(AND(AG481&gt;=1000,I481&lt;=60),"Priority 2",IF(I481&lt;=30,"Priority 3","Nurture")))</x:f>
        <x:v>Priority 1</x:v>
      </x:c>
    </x:row>
    <x:row r="482">
      <x:c r="A482" s="16" t="n">
        <x:v>1676</x:v>
      </x:c>
      <x:c r="B482" s="16" t="n">
        <x:v>1975</x:v>
      </x:c>
      <x:c r="C482" s="16" t="str">
        <x:v>Graduation</x:v>
      </x:c>
      <x:c r="D482" s="16" t="str">
        <x:v>Married</x:v>
      </x:c>
      <x:c r="E482" s="16" t="n">
        <x:v>43057</x:v>
      </x:c>
      <x:c r="F482" s="16" t="n">
        <x:v>0</x:v>
      </x:c>
      <x:c r="G482" s="16" t="n">
        <x:v>1</x:v>
      </x:c>
      <x:c r="H482" s="16" t="str">
        <x:v>30-10-2013</x:v>
      </x:c>
      <x:c r="I482" s="16" t="n">
        <x:v>30</x:v>
      </x:c>
      <x:c r="J482" s="16" t="n">
        <x:v>213</x:v>
      </x:c>
      <x:c r="K482" s="16" t="n">
        <x:v>2</x:v>
      </x:c>
      <x:c r="L482" s="16" t="n">
        <x:v>44</x:v>
      </x:c>
      <x:c r="M482" s="16" t="n">
        <x:v>0</x:v>
      </x:c>
      <x:c r="N482" s="16" t="n">
        <x:v>2</x:v>
      </x:c>
      <x:c r="O482" s="16" t="n">
        <x:v>5</x:v>
      </x:c>
      <x:c r="P482" s="16" t="n">
        <x:v>4</x:v>
      </x:c>
      <x:c r="Q482" s="16" t="n">
        <x:v>4</x:v>
      </x:c>
      <x:c r="R482" s="16" t="n">
        <x:v>2</x:v>
      </x:c>
      <x:c r="S482" s="16" t="n">
        <x:v>5</x:v>
      </x:c>
      <x:c r="T482" s="16" t="n">
        <x:v>5</x:v>
      </x:c>
      <x:c r="U482" s="16" t="n">
        <x:v>0</x:v>
      </x:c>
      <x:c r="V482" s="16" t="n">
        <x:v>0</x:v>
      </x:c>
      <x:c r="W482" s="16" t="n">
        <x:v>0</x:v>
      </x:c>
      <x:c r="X482" s="16" t="n">
        <x:v>0</x:v>
      </x:c>
      <x:c r="Y482" s="16" t="n">
        <x:v>0</x:v>
      </x:c>
      <x:c r="Z482" s="16" t="n">
        <x:v>0</x:v>
      </x:c>
      <x:c r="AA482" s="16" t="n">
        <x:v>3</x:v>
      </x:c>
      <x:c r="AB482" s="16" t="n">
        <x:v>11</x:v>
      </x:c>
      <x:c r="AC482" s="16" t="n">
        <x:v>0</x:v>
      </x:c>
      <x:c r="AD482" s="21" t="n">
        <x:f>IF(E482="",MEDIAN($E$2:$E$2237),E482)</x:f>
        <x:v>43057</x:v>
      </x:c>
      <x:c r="AE482" s="17" t="n">
        <x:f>2014-B482</x:f>
        <x:v>39</x:v>
      </x:c>
      <x:c r="AF482" s="17" t="n">
        <x:f>F482+G482</x:f>
        <x:v>1</x:v>
      </x:c>
      <x:c r="AG482" s="21" t="n">
        <x:f>SUM(J482:O482)</x:f>
        <x:v>266</x:v>
      </x:c>
      <x:c r="AH482" s="17" t="n">
        <x:f>SUM(Q482:S482)</x:f>
        <x:v>11</x:v>
      </x:c>
      <x:c r="AI482" s="17" t="n">
        <x:f>SUM(U482:Y482)</x:f>
        <x:v>0</x:v>
      </x:c>
      <x:c r="AJ482" s="17" t="str">
        <x:f>IF(AE482&lt;=34,"≤34",IF(AE482&lt;=44,"35–44",IF(AE482&lt;=54,"45–54",IF(AE482&lt;=64,"55–64","65+"))))</x:f>
        <x:v>35–44</x:v>
      </x:c>
      <x:c r="AK482" s="17" t="str">
        <x:f>IF(AG482&gt;=1000,"High Value",IF(AG482&gt;=300,"Mid Value","Low Value"))</x:f>
        <x:v>Low Value</x:v>
      </x:c>
      <x:c r="AL482" s="17" t="str">
        <x:f>IF(AND(AI482&gt;=1,I482&lt;=50),"Priority 1",IF(AND(AG482&gt;=1000,I482&lt;=60),"Priority 2",IF(I482&lt;=30,"Priority 3","Nurture")))</x:f>
        <x:v>Priority 3</x:v>
      </x:c>
    </x:row>
    <x:row r="483">
      <x:c r="A483" s="16" t="n">
        <x:v>9286</x:v>
      </x:c>
      <x:c r="B483" s="16" t="n">
        <x:v>1960</x:v>
      </x:c>
      <x:c r="C483" s="16" t="str">
        <x:v>Master</x:v>
      </x:c>
      <x:c r="D483" s="16" t="str">
        <x:v>Together</x:v>
      </x:c>
      <x:c r="E483" s="16" t="n">
        <x:v>83151</x:v>
      </x:c>
      <x:c r="F483" s="16" t="n">
        <x:v>0</x:v>
      </x:c>
      <x:c r="G483" s="16" t="n">
        <x:v>0</x:v>
      </x:c>
      <x:c r="H483" s="16" t="str">
        <x:v>10-10-2012</x:v>
      </x:c>
      <x:c r="I483" s="16" t="n">
        <x:v>93</x:v>
      </x:c>
      <x:c r="J483" s="16" t="n">
        <x:v>407</x:v>
      </x:c>
      <x:c r="K483" s="16" t="n">
        <x:v>28</x:v>
      </x:c>
      <x:c r="L483" s="16" t="n">
        <x:v>100</x:v>
      </x:c>
      <x:c r="M483" s="16" t="n">
        <x:v>120</x:v>
      </x:c>
      <x:c r="N483" s="16" t="n">
        <x:v>74</x:v>
      </x:c>
      <x:c r="O483" s="16" t="n">
        <x:v>18</x:v>
      </x:c>
      <x:c r="P483" s="16" t="n">
        <x:v>1</x:v>
      </x:c>
      <x:c r="Q483" s="16" t="n">
        <x:v>5</x:v>
      </x:c>
      <x:c r="R483" s="16" t="n">
        <x:v>9</x:v>
      </x:c>
      <x:c r="S483" s="16" t="n">
        <x:v>4</x:v>
      </x:c>
      <x:c r="T483" s="16" t="n">
        <x:v>3</x:v>
      </x:c>
      <x:c r="U483" s="16" t="n">
        <x:v>0</x:v>
      </x:c>
      <x:c r="V483" s="16" t="n">
        <x:v>0</x:v>
      </x:c>
      <x:c r="W483" s="16" t="n">
        <x:v>0</x:v>
      </x:c>
      <x:c r="X483" s="16" t="n">
        <x:v>0</x:v>
      </x:c>
      <x:c r="Y483" s="16" t="n">
        <x:v>0</x:v>
      </x:c>
      <x:c r="Z483" s="16" t="n">
        <x:v>0</x:v>
      </x:c>
      <x:c r="AA483" s="16" t="n">
        <x:v>3</x:v>
      </x:c>
      <x:c r="AB483" s="16" t="n">
        <x:v>11</x:v>
      </x:c>
      <x:c r="AC483" s="16" t="n">
        <x:v>0</x:v>
      </x:c>
      <x:c r="AD483" s="21" t="n">
        <x:f>IF(E483="",MEDIAN($E$2:$E$2237),E483)</x:f>
        <x:v>83151</x:v>
      </x:c>
      <x:c r="AE483" s="17" t="n">
        <x:f>2014-B483</x:f>
        <x:v>54</x:v>
      </x:c>
      <x:c r="AF483" s="17" t="n">
        <x:f>F483+G483</x:f>
        <x:v>0</x:v>
      </x:c>
      <x:c r="AG483" s="21" t="n">
        <x:f>SUM(J483:O483)</x:f>
        <x:v>747</x:v>
      </x:c>
      <x:c r="AH483" s="17" t="n">
        <x:f>SUM(Q483:S483)</x:f>
        <x:v>18</x:v>
      </x:c>
      <x:c r="AI483" s="17" t="n">
        <x:f>SUM(U483:Y483)</x:f>
        <x:v>0</x:v>
      </x:c>
      <x:c r="AJ483" s="17" t="str">
        <x:f>IF(AE483&lt;=34,"≤34",IF(AE483&lt;=44,"35–44",IF(AE483&lt;=54,"45–54",IF(AE483&lt;=64,"55–64","65+"))))</x:f>
        <x:v>45–54</x:v>
      </x:c>
      <x:c r="AK483" s="17" t="str">
        <x:f>IF(AG483&gt;=1000,"High Value",IF(AG483&gt;=300,"Mid Value","Low Value"))</x:f>
        <x:v>Mid Value</x:v>
      </x:c>
      <x:c r="AL483" s="17" t="str">
        <x:f>IF(AND(AI483&gt;=1,I483&lt;=50),"Priority 1",IF(AND(AG483&gt;=1000,I483&lt;=60),"Priority 2",IF(I483&lt;=30,"Priority 3","Nurture")))</x:f>
        <x:v>Nurture</x:v>
      </x:c>
    </x:row>
    <x:row r="484">
      <x:c r="A484" s="16" t="n">
        <x:v>2426</x:v>
      </x:c>
      <x:c r="B484" s="16" t="n">
        <x:v>1964</x:v>
      </x:c>
      <x:c r="C484" s="16" t="str">
        <x:v>PhD</x:v>
      </x:c>
      <x:c r="D484" s="16" t="str">
        <x:v>Divorced</x:v>
      </x:c>
      <x:c r="E484" s="16" t="n">
        <x:v>78825</x:v>
      </x:c>
      <x:c r="F484" s="16" t="n">
        <x:v>0</x:v>
      </x:c>
      <x:c r="G484" s="16" t="n">
        <x:v>0</x:v>
      </x:c>
      <x:c r="H484" s="16" t="str">
        <x:v>14-09-2012</x:v>
      </x:c>
      <x:c r="I484" s="16" t="n">
        <x:v>35</x:v>
      </x:c>
      <x:c r="J484" s="16" t="n">
        <x:v>483</x:v>
      </x:c>
      <x:c r="K484" s="16" t="n">
        <x:v>74</x:v>
      </x:c>
      <x:c r="L484" s="16" t="n">
        <x:v>114</x:v>
      </x:c>
      <x:c r="M484" s="16" t="n">
        <x:v>169</x:v>
      </x:c>
      <x:c r="N484" s="16" t="n">
        <x:v>37</x:v>
      </x:c>
      <x:c r="O484" s="16" t="n">
        <x:v>18</x:v>
      </x:c>
      <x:c r="P484" s="16" t="n">
        <x:v>1</x:v>
      </x:c>
      <x:c r="Q484" s="16" t="n">
        <x:v>5</x:v>
      </x:c>
      <x:c r="R484" s="16" t="n">
        <x:v>10</x:v>
      </x:c>
      <x:c r="S484" s="16" t="n">
        <x:v>13</x:v>
      </x:c>
      <x:c r="T484" s="16" t="n">
        <x:v>3</x:v>
      </x:c>
      <x:c r="U484" s="16" t="n">
        <x:v>0</x:v>
      </x:c>
      <x:c r="V484" s="16" t="n">
        <x:v>0</x:v>
      </x:c>
      <x:c r="W484" s="16" t="n">
        <x:v>0</x:v>
      </x:c>
      <x:c r="X484" s="16" t="n">
        <x:v>0</x:v>
      </x:c>
      <x:c r="Y484" s="16" t="n">
        <x:v>0</x:v>
      </x:c>
      <x:c r="Z484" s="16" t="n">
        <x:v>0</x:v>
      </x:c>
      <x:c r="AA484" s="16" t="n">
        <x:v>3</x:v>
      </x:c>
      <x:c r="AB484" s="16" t="n">
        <x:v>11</x:v>
      </x:c>
      <x:c r="AC484" s="16" t="n">
        <x:v>1</x:v>
      </x:c>
      <x:c r="AD484" s="21" t="n">
        <x:f>IF(E484="",MEDIAN($E$2:$E$2237),E484)</x:f>
        <x:v>78825</x:v>
      </x:c>
      <x:c r="AE484" s="17" t="n">
        <x:f>2014-B484</x:f>
        <x:v>50</x:v>
      </x:c>
      <x:c r="AF484" s="17" t="n">
        <x:f>F484+G484</x:f>
        <x:v>0</x:v>
      </x:c>
      <x:c r="AG484" s="21" t="n">
        <x:f>SUM(J484:O484)</x:f>
        <x:v>895</x:v>
      </x:c>
      <x:c r="AH484" s="17" t="n">
        <x:f>SUM(Q484:S484)</x:f>
        <x:v>28</x:v>
      </x:c>
      <x:c r="AI484" s="17" t="n">
        <x:f>SUM(U484:Y484)</x:f>
        <x:v>0</x:v>
      </x:c>
      <x:c r="AJ484" s="17" t="str">
        <x:f>IF(AE484&lt;=34,"≤34",IF(AE484&lt;=44,"35–44",IF(AE484&lt;=54,"45–54",IF(AE484&lt;=64,"55–64","65+"))))</x:f>
        <x:v>45–54</x:v>
      </x:c>
      <x:c r="AK484" s="17" t="str">
        <x:f>IF(AG484&gt;=1000,"High Value",IF(AG484&gt;=300,"Mid Value","Low Value"))</x:f>
        <x:v>Mid Value</x:v>
      </x:c>
      <x:c r="AL484" s="17" t="str">
        <x:f>IF(AND(AI484&gt;=1,I484&lt;=50),"Priority 1",IF(AND(AG484&gt;=1000,I484&lt;=60),"Priority 2",IF(I484&lt;=30,"Priority 3","Nurture")))</x:f>
        <x:v>Nurture</x:v>
      </x:c>
    </x:row>
    <x:row r="485">
      <x:c r="A485" s="16" t="n">
        <x:v>5172</x:v>
      </x:c>
      <x:c r="B485" s="16" t="n">
        <x:v>1976</x:v>
      </x:c>
      <x:c r="C485" s="16" t="str">
        <x:v>Master</x:v>
      </x:c>
      <x:c r="D485" s="16" t="str">
        <x:v>Together</x:v>
      </x:c>
      <x:c r="E485" s="16" t="n">
        <x:v>65104</x:v>
      </x:c>
      <x:c r="F485" s="16" t="n">
        <x:v>0</x:v>
      </x:c>
      <x:c r="G485" s="16" t="n">
        <x:v>1</x:v>
      </x:c>
      <x:c r="H485" s="16" t="str">
        <x:v>14-11-2013</x:v>
      </x:c>
      <x:c r="I485" s="16" t="n">
        <x:v>4</x:v>
      </x:c>
      <x:c r="J485" s="16" t="n">
        <x:v>738</x:v>
      </x:c>
      <x:c r="K485" s="16" t="n">
        <x:v>0</x:v>
      </x:c>
      <x:c r="L485" s="16" t="n">
        <x:v>232</x:v>
      </x:c>
      <x:c r="M485" s="16" t="n">
        <x:v>13</x:v>
      </x:c>
      <x:c r="N485" s="16" t="n">
        <x:v>20</x:v>
      </x:c>
      <x:c r="O485" s="16" t="n">
        <x:v>50</x:v>
      </x:c>
      <x:c r="P485" s="16" t="n">
        <x:v>2</x:v>
      </x:c>
      <x:c r="Q485" s="16" t="n">
        <x:v>3</x:v>
      </x:c>
      <x:c r="R485" s="16" t="n">
        <x:v>5</x:v>
      </x:c>
      <x:c r="S485" s="16" t="n">
        <x:v>7</x:v>
      </x:c>
      <x:c r="T485" s="16" t="n">
        <x:v>7</x:v>
      </x:c>
      <x:c r="U485" s="16" t="n">
        <x:v>0</x:v>
      </x:c>
      <x:c r="V485" s="16" t="n">
        <x:v>0</x:v>
      </x:c>
      <x:c r="W485" s="16" t="n">
        <x:v>0</x:v>
      </x:c>
      <x:c r="X485" s="16" t="n">
        <x:v>0</x:v>
      </x:c>
      <x:c r="Y485" s="16" t="n">
        <x:v>0</x:v>
      </x:c>
      <x:c r="Z485" s="16" t="n">
        <x:v>0</x:v>
      </x:c>
      <x:c r="AA485" s="16" t="n">
        <x:v>3</x:v>
      </x:c>
      <x:c r="AB485" s="16" t="n">
        <x:v>11</x:v>
      </x:c>
      <x:c r="AC485" s="16" t="n">
        <x:v>0</x:v>
      </x:c>
      <x:c r="AD485" s="21" t="n">
        <x:f>IF(E485="",MEDIAN($E$2:$E$2237),E485)</x:f>
        <x:v>65104</x:v>
      </x:c>
      <x:c r="AE485" s="17" t="n">
        <x:f>2014-B485</x:f>
        <x:v>38</x:v>
      </x:c>
      <x:c r="AF485" s="17" t="n">
        <x:f>F485+G485</x:f>
        <x:v>1</x:v>
      </x:c>
      <x:c r="AG485" s="21" t="n">
        <x:f>SUM(J485:O485)</x:f>
        <x:v>1053</x:v>
      </x:c>
      <x:c r="AH485" s="17" t="n">
        <x:f>SUM(Q485:S485)</x:f>
        <x:v>15</x:v>
      </x:c>
      <x:c r="AI485" s="17" t="n">
        <x:f>SUM(U485:Y485)</x:f>
        <x:v>0</x:v>
      </x:c>
      <x:c r="AJ485" s="17" t="str">
        <x:f>IF(AE485&lt;=34,"≤34",IF(AE485&lt;=44,"35–44",IF(AE485&lt;=54,"45–54",IF(AE485&lt;=64,"55–64","65+"))))</x:f>
        <x:v>35–44</x:v>
      </x:c>
      <x:c r="AK485" s="17" t="str">
        <x:f>IF(AG485&gt;=1000,"High Value",IF(AG485&gt;=300,"Mid Value","Low Value"))</x:f>
        <x:v>High Value</x:v>
      </x:c>
      <x:c r="AL485" s="17" t="str">
        <x:f>IF(AND(AI485&gt;=1,I485&lt;=50),"Priority 1",IF(AND(AG485&gt;=1000,I485&lt;=60),"Priority 2",IF(I485&lt;=30,"Priority 3","Nurture")))</x:f>
        <x:v>Priority 2</x:v>
      </x:c>
    </x:row>
    <x:row r="486">
      <x:c r="A486" s="16" t="n">
        <x:v>5562</x:v>
      </x:c>
      <x:c r="B486" s="16" t="n">
        <x:v>1974</x:v>
      </x:c>
      <x:c r="C486" s="16" t="str">
        <x:v>Graduation</x:v>
      </x:c>
      <x:c r="D486" s="16" t="str">
        <x:v>Married</x:v>
      </x:c>
      <x:c r="E486" s="16" t="n">
        <x:v>60093</x:v>
      </x:c>
      <x:c r="F486" s="16" t="n">
        <x:v>0</x:v>
      </x:c>
      <x:c r="G486" s="16" t="n">
        <x:v>1</x:v>
      </x:c>
      <x:c r="H486" s="16" t="str">
        <x:v>26-06-2013</x:v>
      </x:c>
      <x:c r="I486" s="16" t="n">
        <x:v>92</x:v>
      </x:c>
      <x:c r="J486" s="16" t="n">
        <x:v>502</x:v>
      </x:c>
      <x:c r="K486" s="16" t="n">
        <x:v>12</x:v>
      </x:c>
      <x:c r="L486" s="16" t="n">
        <x:v>109</x:v>
      </x:c>
      <x:c r="M486" s="16" t="n">
        <x:v>16</x:v>
      </x:c>
      <x:c r="N486" s="16" t="n">
        <x:v>6</x:v>
      </x:c>
      <x:c r="O486" s="16" t="n">
        <x:v>90</x:v>
      </x:c>
      <x:c r="P486" s="16" t="n">
        <x:v>2</x:v>
      </x:c>
      <x:c r="Q486" s="16" t="n">
        <x:v>7</x:v>
      </x:c>
      <x:c r="R486" s="16" t="n">
        <x:v>2</x:v>
      </x:c>
      <x:c r="S486" s="16" t="n">
        <x:v>10</x:v>
      </x:c>
      <x:c r="T486" s="16" t="n">
        <x:v>6</x:v>
      </x:c>
      <x:c r="U486" s="16" t="n">
        <x:v>0</x:v>
      </x:c>
      <x:c r="V486" s="16" t="n">
        <x:v>0</x:v>
      </x:c>
      <x:c r="W486" s="16" t="n">
        <x:v>0</x:v>
      </x:c>
      <x:c r="X486" s="16" t="n">
        <x:v>0</x:v>
      </x:c>
      <x:c r="Y486" s="16" t="n">
        <x:v>0</x:v>
      </x:c>
      <x:c r="Z486" s="16" t="n">
        <x:v>0</x:v>
      </x:c>
      <x:c r="AA486" s="16" t="n">
        <x:v>3</x:v>
      </x:c>
      <x:c r="AB486" s="16" t="n">
        <x:v>11</x:v>
      </x:c>
      <x:c r="AC486" s="16" t="n">
        <x:v>0</x:v>
      </x:c>
      <x:c r="AD486" s="21" t="n">
        <x:f>IF(E486="",MEDIAN($E$2:$E$2237),E486)</x:f>
        <x:v>60093</x:v>
      </x:c>
      <x:c r="AE486" s="17" t="n">
        <x:f>2014-B486</x:f>
        <x:v>40</x:v>
      </x:c>
      <x:c r="AF486" s="17" t="n">
        <x:f>F486+G486</x:f>
        <x:v>1</x:v>
      </x:c>
      <x:c r="AG486" s="21" t="n">
        <x:f>SUM(J486:O486)</x:f>
        <x:v>735</x:v>
      </x:c>
      <x:c r="AH486" s="17" t="n">
        <x:f>SUM(Q486:S486)</x:f>
        <x:v>19</x:v>
      </x:c>
      <x:c r="AI486" s="17" t="n">
        <x:f>SUM(U486:Y486)</x:f>
        <x:v>0</x:v>
      </x:c>
      <x:c r="AJ486" s="17" t="str">
        <x:f>IF(AE486&lt;=34,"≤34",IF(AE486&lt;=44,"35–44",IF(AE486&lt;=54,"45–54",IF(AE486&lt;=64,"55–64","65+"))))</x:f>
        <x:v>35–44</x:v>
      </x:c>
      <x:c r="AK486" s="17" t="str">
        <x:f>IF(AG486&gt;=1000,"High Value",IF(AG486&gt;=300,"Mid Value","Low Value"))</x:f>
        <x:v>Mid Value</x:v>
      </x:c>
      <x:c r="AL486" s="17" t="str">
        <x:f>IF(AND(AI486&gt;=1,I486&lt;=50),"Priority 1",IF(AND(AG486&gt;=1000,I486&lt;=60),"Priority 2",IF(I486&lt;=30,"Priority 3","Nurture")))</x:f>
        <x:v>Nurture</x:v>
      </x:c>
    </x:row>
    <x:row r="487">
      <x:c r="A487" s="16" t="n">
        <x:v>3436</x:v>
      </x:c>
      <x:c r="B487" s="16" t="n">
        <x:v>1969</x:v>
      </x:c>
      <x:c r="C487" s="16" t="str">
        <x:v>Graduation</x:v>
      </x:c>
      <x:c r="D487" s="16" t="str">
        <x:v>Married</x:v>
      </x:c>
      <x:c r="E487" s="16" t="n">
        <x:v>14045</x:v>
      </x:c>
      <x:c r="F487" s="16" t="n">
        <x:v>1</x:v>
      </x:c>
      <x:c r="G487" s="16" t="n">
        <x:v>0</x:v>
      </x:c>
      <x:c r="H487" s="16" t="str">
        <x:v>26-01-2014</x:v>
      </x:c>
      <x:c r="I487" s="16" t="n">
        <x:v>24</x:v>
      </x:c>
      <x:c r="J487" s="16" t="n">
        <x:v>11</x:v>
      </x:c>
      <x:c r="K487" s="16" t="n">
        <x:v>0</x:v>
      </x:c>
      <x:c r="L487" s="16" t="n">
        <x:v>5</x:v>
      </x:c>
      <x:c r="M487" s="16" t="n">
        <x:v>2</x:v>
      </x:c>
      <x:c r="N487" s="16" t="n">
        <x:v>1</x:v>
      </x:c>
      <x:c r="O487" s="16" t="n">
        <x:v>1</x:v>
      </x:c>
      <x:c r="P487" s="16" t="n">
        <x:v>1</x:v>
      </x:c>
      <x:c r="Q487" s="16" t="n">
        <x:v>1</x:v>
      </x:c>
      <x:c r="R487" s="16" t="n">
        <x:v>0</x:v>
      </x:c>
      <x:c r="S487" s="16" t="n">
        <x:v>3</x:v>
      </x:c>
      <x:c r="T487" s="16" t="n">
        <x:v>7</x:v>
      </x:c>
      <x:c r="U487" s="16" t="n">
        <x:v>0</x:v>
      </x:c>
      <x:c r="V487" s="16" t="n">
        <x:v>0</x:v>
      </x:c>
      <x:c r="W487" s="16" t="n">
        <x:v>0</x:v>
      </x:c>
      <x:c r="X487" s="16" t="n">
        <x:v>0</x:v>
      </x:c>
      <x:c r="Y487" s="16" t="n">
        <x:v>0</x:v>
      </x:c>
      <x:c r="Z487" s="16" t="n">
        <x:v>0</x:v>
      </x:c>
      <x:c r="AA487" s="16" t="n">
        <x:v>3</x:v>
      </x:c>
      <x:c r="AB487" s="16" t="n">
        <x:v>11</x:v>
      </x:c>
      <x:c r="AC487" s="16" t="n">
        <x:v>0</x:v>
      </x:c>
      <x:c r="AD487" s="21" t="n">
        <x:f>IF(E487="",MEDIAN($E$2:$E$2237),E487)</x:f>
        <x:v>14045</x:v>
      </x:c>
      <x:c r="AE487" s="17" t="n">
        <x:f>2014-B487</x:f>
        <x:v>45</x:v>
      </x:c>
      <x:c r="AF487" s="17" t="n">
        <x:f>F487+G487</x:f>
        <x:v>1</x:v>
      </x:c>
      <x:c r="AG487" s="21" t="n">
        <x:f>SUM(J487:O487)</x:f>
        <x:v>20</x:v>
      </x:c>
      <x:c r="AH487" s="17" t="n">
        <x:f>SUM(Q487:S487)</x:f>
        <x:v>4</x:v>
      </x:c>
      <x:c r="AI487" s="17" t="n">
        <x:f>SUM(U487:Y487)</x:f>
        <x:v>0</x:v>
      </x:c>
      <x:c r="AJ487" s="17" t="str">
        <x:f>IF(AE487&lt;=34,"≤34",IF(AE487&lt;=44,"35–44",IF(AE487&lt;=54,"45–54",IF(AE487&lt;=64,"55–64","65+"))))</x:f>
        <x:v>45–54</x:v>
      </x:c>
      <x:c r="AK487" s="17" t="str">
        <x:f>IF(AG487&gt;=1000,"High Value",IF(AG487&gt;=300,"Mid Value","Low Value"))</x:f>
        <x:v>Low Value</x:v>
      </x:c>
      <x:c r="AL487" s="17" t="str">
        <x:f>IF(AND(AI487&gt;=1,I487&lt;=50),"Priority 1",IF(AND(AG487&gt;=1000,I487&lt;=60),"Priority 2",IF(I487&lt;=30,"Priority 3","Nurture")))</x:f>
        <x:v>Priority 3</x:v>
      </x:c>
    </x:row>
    <x:row r="488">
      <x:c r="A488" s="16" t="n">
        <x:v>3921</x:v>
      </x:c>
      <x:c r="B488" s="16" t="n">
        <x:v>1952</x:v>
      </x:c>
      <x:c r="C488" s="16" t="str">
        <x:v>2n Cycle</x:v>
      </x:c>
      <x:c r="D488" s="16" t="str">
        <x:v>Widow</x:v>
      </x:c>
      <x:c r="E488" s="16" t="n">
        <x:v>28457</x:v>
      </x:c>
      <x:c r="F488" s="16" t="n">
        <x:v>0</x:v>
      </x:c>
      <x:c r="G488" s="16" t="n">
        <x:v>0</x:v>
      </x:c>
      <x:c r="H488" s="16" t="str">
        <x:v>28-10-2012</x:v>
      </x:c>
      <x:c r="I488" s="16" t="n">
        <x:v>96</x:v>
      </x:c>
      <x:c r="J488" s="16" t="n">
        <x:v>24</x:v>
      </x:c>
      <x:c r="K488" s="16" t="n">
        <x:v>1</x:v>
      </x:c>
      <x:c r="L488" s="16" t="n">
        <x:v>108</x:v>
      </x:c>
      <x:c r="M488" s="16" t="n">
        <x:v>29</x:v>
      </x:c>
      <x:c r="N488" s="16" t="n">
        <x:v>29</x:v>
      </x:c>
      <x:c r="O488" s="16" t="n">
        <x:v>14</x:v>
      </x:c>
      <x:c r="P488" s="16" t="n">
        <x:v>1</x:v>
      </x:c>
      <x:c r="Q488" s="16" t="n">
        <x:v>4</x:v>
      </x:c>
      <x:c r="R488" s="16" t="n">
        <x:v>1</x:v>
      </x:c>
      <x:c r="S488" s="16" t="n">
        <x:v>4</x:v>
      </x:c>
      <x:c r="T488" s="16" t="n">
        <x:v>8</x:v>
      </x:c>
      <x:c r="U488" s="16" t="n">
        <x:v>0</x:v>
      </x:c>
      <x:c r="V488" s="16" t="n">
        <x:v>0</x:v>
      </x:c>
      <x:c r="W488" s="16" t="n">
        <x:v>0</x:v>
      </x:c>
      <x:c r="X488" s="16" t="n">
        <x:v>0</x:v>
      </x:c>
      <x:c r="Y488" s="16" t="n">
        <x:v>0</x:v>
      </x:c>
      <x:c r="Z488" s="16" t="n">
        <x:v>0</x:v>
      </x:c>
      <x:c r="AA488" s="16" t="n">
        <x:v>3</x:v>
      </x:c>
      <x:c r="AB488" s="16" t="n">
        <x:v>11</x:v>
      </x:c>
      <x:c r="AC488" s="16" t="n">
        <x:v>0</x:v>
      </x:c>
      <x:c r="AD488" s="21" t="n">
        <x:f>IF(E488="",MEDIAN($E$2:$E$2237),E488)</x:f>
        <x:v>28457</x:v>
      </x:c>
      <x:c r="AE488" s="17" t="n">
        <x:f>2014-B488</x:f>
        <x:v>62</x:v>
      </x:c>
      <x:c r="AF488" s="17" t="n">
        <x:f>F488+G488</x:f>
        <x:v>0</x:v>
      </x:c>
      <x:c r="AG488" s="21" t="n">
        <x:f>SUM(J488:O488)</x:f>
        <x:v>205</x:v>
      </x:c>
      <x:c r="AH488" s="17" t="n">
        <x:f>SUM(Q488:S488)</x:f>
        <x:v>9</x:v>
      </x:c>
      <x:c r="AI488" s="17" t="n">
        <x:f>SUM(U488:Y488)</x:f>
        <x:v>0</x:v>
      </x:c>
      <x:c r="AJ488" s="17" t="str">
        <x:f>IF(AE488&lt;=34,"≤34",IF(AE488&lt;=44,"35–44",IF(AE488&lt;=54,"45–54",IF(AE488&lt;=64,"55–64","65+"))))</x:f>
        <x:v>55–64</x:v>
      </x:c>
      <x:c r="AK488" s="17" t="str">
        <x:f>IF(AG488&gt;=1000,"High Value",IF(AG488&gt;=300,"Mid Value","Low Value"))</x:f>
        <x:v>Low Value</x:v>
      </x:c>
      <x:c r="AL488" s="17" t="str">
        <x:f>IF(AND(AI488&gt;=1,I488&lt;=50),"Priority 1",IF(AND(AG488&gt;=1000,I488&lt;=60),"Priority 2",IF(I488&lt;=30,"Priority 3","Nurture")))</x:f>
        <x:v>Nurture</x:v>
      </x:c>
    </x:row>
    <x:row r="489">
      <x:c r="A489" s="16" t="n">
        <x:v>3403</x:v>
      </x:c>
      <x:c r="B489" s="16" t="n">
        <x:v>1958</x:v>
      </x:c>
      <x:c r="C489" s="16" t="str">
        <x:v>PhD</x:v>
      </x:c>
      <x:c r="D489" s="16" t="str">
        <x:v>Together</x:v>
      </x:c>
      <x:c r="E489" s="16" t="n">
        <x:v>78952</x:v>
      </x:c>
      <x:c r="F489" s="16" t="n">
        <x:v>0</x:v>
      </x:c>
      <x:c r="G489" s="16" t="n">
        <x:v>1</x:v>
      </x:c>
      <x:c r="H489" s="16" t="str">
        <x:v>24-09-2012</x:v>
      </x:c>
      <x:c r="I489" s="16" t="n">
        <x:v>11</x:v>
      </x:c>
      <x:c r="J489" s="16" t="n">
        <x:v>1170</x:v>
      </x:c>
      <x:c r="K489" s="16" t="n">
        <x:v>19</x:v>
      </x:c>
      <x:c r="L489" s="16" t="n">
        <x:v>594</x:v>
      </x:c>
      <x:c r="M489" s="16" t="n">
        <x:v>99</x:v>
      </x:c>
      <x:c r="N489" s="16" t="n">
        <x:v>76</x:v>
      </x:c>
      <x:c r="O489" s="16" t="n">
        <x:v>134</x:v>
      </x:c>
      <x:c r="P489" s="16" t="n">
        <x:v>2</x:v>
      </x:c>
      <x:c r="Q489" s="16" t="n">
        <x:v>2</x:v>
      </x:c>
      <x:c r="R489" s="16" t="n">
        <x:v>5</x:v>
      </x:c>
      <x:c r="S489" s="16" t="n">
        <x:v>12</x:v>
      </x:c>
      <x:c r="T489" s="16" t="n">
        <x:v>6</x:v>
      </x:c>
      <x:c r="U489" s="16" t="n">
        <x:v>0</x:v>
      </x:c>
      <x:c r="V489" s="16" t="n">
        <x:v>0</x:v>
      </x:c>
      <x:c r="W489" s="16" t="n">
        <x:v>0</x:v>
      </x:c>
      <x:c r="X489" s="16" t="n">
        <x:v>0</x:v>
      </x:c>
      <x:c r="Y489" s="16" t="n">
        <x:v>0</x:v>
      </x:c>
      <x:c r="Z489" s="16" t="n">
        <x:v>0</x:v>
      </x:c>
      <x:c r="AA489" s="16" t="n">
        <x:v>3</x:v>
      </x:c>
      <x:c r="AB489" s="16" t="n">
        <x:v>11</x:v>
      </x:c>
      <x:c r="AC489" s="16" t="n">
        <x:v>0</x:v>
      </x:c>
      <x:c r="AD489" s="21" t="n">
        <x:f>IF(E489="",MEDIAN($E$2:$E$2237),E489)</x:f>
        <x:v>78952</x:v>
      </x:c>
      <x:c r="AE489" s="17" t="n">
        <x:f>2014-B489</x:f>
        <x:v>56</x:v>
      </x:c>
      <x:c r="AF489" s="17" t="n">
        <x:f>F489+G489</x:f>
        <x:v>1</x:v>
      </x:c>
      <x:c r="AG489" s="21" t="n">
        <x:f>SUM(J489:O489)</x:f>
        <x:v>2092</x:v>
      </x:c>
      <x:c r="AH489" s="17" t="n">
        <x:f>SUM(Q489:S489)</x:f>
        <x:v>19</x:v>
      </x:c>
      <x:c r="AI489" s="17" t="n">
        <x:f>SUM(U489:Y489)</x:f>
        <x:v>0</x:v>
      </x:c>
      <x:c r="AJ489" s="17" t="str">
        <x:f>IF(AE489&lt;=34,"≤34",IF(AE489&lt;=44,"35–44",IF(AE489&lt;=54,"45–54",IF(AE489&lt;=64,"55–64","65+"))))</x:f>
        <x:v>55–64</x:v>
      </x:c>
      <x:c r="AK489" s="17" t="str">
        <x:f>IF(AG489&gt;=1000,"High Value",IF(AG489&gt;=300,"Mid Value","Low Value"))</x:f>
        <x:v>High Value</x:v>
      </x:c>
      <x:c r="AL489" s="17" t="str">
        <x:f>IF(AND(AI489&gt;=1,I489&lt;=50),"Priority 1",IF(AND(AG489&gt;=1000,I489&lt;=60),"Priority 2",IF(I489&lt;=30,"Priority 3","Nurture")))</x:f>
        <x:v>Priority 2</x:v>
      </x:c>
    </x:row>
    <x:row r="490">
      <x:c r="A490" s="16" t="n">
        <x:v>22</x:v>
      </x:c>
      <x:c r="B490" s="16" t="n">
        <x:v>1976</x:v>
      </x:c>
      <x:c r="C490" s="16" t="str">
        <x:v>Graduation</x:v>
      </x:c>
      <x:c r="D490" s="16" t="str">
        <x:v>Divorced</x:v>
      </x:c>
      <x:c r="E490" s="16" t="n">
        <x:v>46310</x:v>
      </x:c>
      <x:c r="F490" s="16" t="n">
        <x:v>1</x:v>
      </x:c>
      <x:c r="G490" s="16" t="n">
        <x:v>0</x:v>
      </x:c>
      <x:c r="H490" s="16" t="str">
        <x:v>03-12-2012</x:v>
      </x:c>
      <x:c r="I490" s="16" t="n">
        <x:v>99</x:v>
      </x:c>
      <x:c r="J490" s="16" t="n">
        <x:v>185</x:v>
      </x:c>
      <x:c r="K490" s="16" t="n">
        <x:v>2</x:v>
      </x:c>
      <x:c r="L490" s="16" t="n">
        <x:v>88</x:v>
      </x:c>
      <x:c r="M490" s="16" t="n">
        <x:v>15</x:v>
      </x:c>
      <x:c r="N490" s="16" t="n">
        <x:v>5</x:v>
      </x:c>
      <x:c r="O490" s="16" t="n">
        <x:v>14</x:v>
      </x:c>
      <x:c r="P490" s="16" t="n">
        <x:v>2</x:v>
      </x:c>
      <x:c r="Q490" s="16" t="n">
        <x:v>6</x:v>
      </x:c>
      <x:c r="R490" s="16" t="n">
        <x:v>1</x:v>
      </x:c>
      <x:c r="S490" s="16" t="n">
        <x:v>5</x:v>
      </x:c>
      <x:c r="T490" s="16" t="n">
        <x:v>8</x:v>
      </x:c>
      <x:c r="U490" s="16" t="n">
        <x:v>0</x:v>
      </x:c>
      <x:c r="V490" s="16" t="n">
        <x:v>0</x:v>
      </x:c>
      <x:c r="W490" s="16" t="n">
        <x:v>0</x:v>
      </x:c>
      <x:c r="X490" s="16" t="n">
        <x:v>0</x:v>
      </x:c>
      <x:c r="Y490" s="16" t="n">
        <x:v>0</x:v>
      </x:c>
      <x:c r="Z490" s="16" t="n">
        <x:v>0</x:v>
      </x:c>
      <x:c r="AA490" s="16" t="n">
        <x:v>3</x:v>
      </x:c>
      <x:c r="AB490" s="16" t="n">
        <x:v>11</x:v>
      </x:c>
      <x:c r="AC490" s="16" t="n">
        <x:v>0</x:v>
      </x:c>
      <x:c r="AD490" s="21" t="n">
        <x:f>IF(E490="",MEDIAN($E$2:$E$2237),E490)</x:f>
        <x:v>46310</x:v>
      </x:c>
      <x:c r="AE490" s="17" t="n">
        <x:f>2014-B490</x:f>
        <x:v>38</x:v>
      </x:c>
      <x:c r="AF490" s="17" t="n">
        <x:f>F490+G490</x:f>
        <x:v>1</x:v>
      </x:c>
      <x:c r="AG490" s="21" t="n">
        <x:f>SUM(J490:O490)</x:f>
        <x:v>309</x:v>
      </x:c>
      <x:c r="AH490" s="17" t="n">
        <x:f>SUM(Q490:S490)</x:f>
        <x:v>12</x:v>
      </x:c>
      <x:c r="AI490" s="17" t="n">
        <x:f>SUM(U490:Y490)</x:f>
        <x:v>0</x:v>
      </x:c>
      <x:c r="AJ490" s="17" t="str">
        <x:f>IF(AE490&lt;=34,"≤34",IF(AE490&lt;=44,"35–44",IF(AE490&lt;=54,"45–54",IF(AE490&lt;=64,"55–64","65+"))))</x:f>
        <x:v>35–44</x:v>
      </x:c>
      <x:c r="AK490" s="17" t="str">
        <x:f>IF(AG490&gt;=1000,"High Value",IF(AG490&gt;=300,"Mid Value","Low Value"))</x:f>
        <x:v>Mid Value</x:v>
      </x:c>
      <x:c r="AL490" s="17" t="str">
        <x:f>IF(AND(AI490&gt;=1,I490&lt;=50),"Priority 1",IF(AND(AG490&gt;=1000,I490&lt;=60),"Priority 2",IF(I490&lt;=30,"Priority 3","Nurture")))</x:f>
        <x:v>Nurture</x:v>
      </x:c>
    </x:row>
    <x:row r="491">
      <x:c r="A491" s="16" t="n">
        <x:v>10965</x:v>
      </x:c>
      <x:c r="B491" s="16" t="n">
        <x:v>1955</x:v>
      </x:c>
      <x:c r="C491" s="16" t="str">
        <x:v>Graduation</x:v>
      </x:c>
      <x:c r="D491" s="16" t="str">
        <x:v>Together</x:v>
      </x:c>
      <x:c r="E491" s="16" t="n">
        <x:v>76005</x:v>
      </x:c>
      <x:c r="F491" s="16" t="n">
        <x:v>0</x:v>
      </x:c>
      <x:c r="G491" s="16" t="n">
        <x:v>0</x:v>
      </x:c>
      <x:c r="H491" s="16" t="str">
        <x:v>22-02-2013</x:v>
      </x:c>
      <x:c r="I491" s="16" t="n">
        <x:v>72</x:v>
      </x:c>
      <x:c r="J491" s="16" t="n">
        <x:v>983</x:v>
      </x:c>
      <x:c r="K491" s="16" t="n">
        <x:v>20</x:v>
      </x:c>
      <x:c r="L491" s="16" t="n">
        <x:v>389</x:v>
      </x:c>
      <x:c r="M491" s="16" t="n">
        <x:v>240</x:v>
      </x:c>
      <x:c r="N491" s="16" t="n">
        <x:v>50</x:v>
      </x:c>
      <x:c r="O491" s="16" t="n">
        <x:v>40</x:v>
      </x:c>
      <x:c r="P491" s="16" t="n">
        <x:v>1</x:v>
      </x:c>
      <x:c r="Q491" s="16" t="n">
        <x:v>3</x:v>
      </x:c>
      <x:c r="R491" s="16" t="n">
        <x:v>5</x:v>
      </x:c>
      <x:c r="S491" s="16" t="n">
        <x:v>13</x:v>
      </x:c>
      <x:c r="T491" s="16" t="n">
        <x:v>6</x:v>
      </x:c>
      <x:c r="U491" s="16" t="n">
        <x:v>0</x:v>
      </x:c>
      <x:c r="V491" s="16" t="n">
        <x:v>0</x:v>
      </x:c>
      <x:c r="W491" s="16" t="n">
        <x:v>0</x:v>
      </x:c>
      <x:c r="X491" s="16" t="n">
        <x:v>1</x:v>
      </x:c>
      <x:c r="Y491" s="16" t="n">
        <x:v>0</x:v>
      </x:c>
      <x:c r="Z491" s="16" t="n">
        <x:v>0</x:v>
      </x:c>
      <x:c r="AA491" s="16" t="n">
        <x:v>3</x:v>
      </x:c>
      <x:c r="AB491" s="16" t="n">
        <x:v>11</x:v>
      </x:c>
      <x:c r="AC491" s="16" t="n">
        <x:v>0</x:v>
      </x:c>
      <x:c r="AD491" s="21" t="n">
        <x:f>IF(E491="",MEDIAN($E$2:$E$2237),E491)</x:f>
        <x:v>76005</x:v>
      </x:c>
      <x:c r="AE491" s="17" t="n">
        <x:f>2014-B491</x:f>
        <x:v>59</x:v>
      </x:c>
      <x:c r="AF491" s="17" t="n">
        <x:f>F491+G491</x:f>
        <x:v>0</x:v>
      </x:c>
      <x:c r="AG491" s="21" t="n">
        <x:f>SUM(J491:O491)</x:f>
        <x:v>1722</x:v>
      </x:c>
      <x:c r="AH491" s="17" t="n">
        <x:f>SUM(Q491:S491)</x:f>
        <x:v>21</x:v>
      </x:c>
      <x:c r="AI491" s="17" t="n">
        <x:f>SUM(U491:Y491)</x:f>
        <x:v>1</x:v>
      </x:c>
      <x:c r="AJ491" s="17" t="str">
        <x:f>IF(AE491&lt;=34,"≤34",IF(AE491&lt;=44,"35–44",IF(AE491&lt;=54,"45–54",IF(AE491&lt;=64,"55–64","65+"))))</x:f>
        <x:v>55–64</x:v>
      </x:c>
      <x:c r="AK491" s="17" t="str">
        <x:f>IF(AG491&gt;=1000,"High Value",IF(AG491&gt;=300,"Mid Value","Low Value"))</x:f>
        <x:v>High Value</x:v>
      </x:c>
      <x:c r="AL491" s="17" t="str">
        <x:f>IF(AND(AI491&gt;=1,I491&lt;=50),"Priority 1",IF(AND(AG491&gt;=1000,I491&lt;=60),"Priority 2",IF(I491&lt;=30,"Priority 3","Nurture")))</x:f>
        <x:v>Nurture</x:v>
      </x:c>
    </x:row>
    <x:row r="492">
      <x:c r="A492" s="16" t="n">
        <x:v>9426</x:v>
      </x:c>
      <x:c r="B492" s="16" t="n">
        <x:v>1964</x:v>
      </x:c>
      <x:c r="C492" s="16" t="str">
        <x:v>Master</x:v>
      </x:c>
      <x:c r="D492" s="16" t="str">
        <x:v>Single</x:v>
      </x:c>
      <x:c r="E492" s="16" t="n">
        <x:v>58308</x:v>
      </x:c>
      <x:c r="F492" s="16" t="n">
        <x:v>0</x:v>
      </x:c>
      <x:c r="G492" s="16" t="n">
        <x:v>1</x:v>
      </x:c>
      <x:c r="H492" s="16" t="str">
        <x:v>12-01-2013</x:v>
      </x:c>
      <x:c r="I492" s="16" t="n">
        <x:v>77</x:v>
      </x:c>
      <x:c r="J492" s="16" t="n">
        <x:v>691</x:v>
      </x:c>
      <x:c r="K492" s="16" t="n">
        <x:v>0</x:v>
      </x:c>
      <x:c r="L492" s="16" t="n">
        <x:v>69</x:v>
      </x:c>
      <x:c r="M492" s="16" t="n">
        <x:v>10</x:v>
      </x:c>
      <x:c r="N492" s="16" t="n">
        <x:v>0</x:v>
      </x:c>
      <x:c r="O492" s="16" t="n">
        <x:v>130</x:v>
      </x:c>
      <x:c r="P492" s="16" t="n">
        <x:v>4</x:v>
      </x:c>
      <x:c r="Q492" s="16" t="n">
        <x:v>2</x:v>
      </x:c>
      <x:c r="R492" s="16" t="n">
        <x:v>6</x:v>
      </x:c>
      <x:c r="S492" s="16" t="n">
        <x:v>3</x:v>
      </x:c>
      <x:c r="T492" s="16" t="n">
        <x:v>8</x:v>
      </x:c>
      <x:c r="U492" s="16" t="n">
        <x:v>0</x:v>
      </x:c>
      <x:c r="V492" s="16" t="n">
        <x:v>0</x:v>
      </x:c>
      <x:c r="W492" s="16" t="n">
        <x:v>0</x:v>
      </x:c>
      <x:c r="X492" s="16" t="n">
        <x:v>0</x:v>
      </x:c>
      <x:c r="Y492" s="16" t="n">
        <x:v>0</x:v>
      </x:c>
      <x:c r="Z492" s="16" t="n">
        <x:v>0</x:v>
      </x:c>
      <x:c r="AA492" s="16" t="n">
        <x:v>3</x:v>
      </x:c>
      <x:c r="AB492" s="16" t="n">
        <x:v>11</x:v>
      </x:c>
      <x:c r="AC492" s="16" t="n">
        <x:v>0</x:v>
      </x:c>
      <x:c r="AD492" s="21" t="n">
        <x:f>IF(E492="",MEDIAN($E$2:$E$2237),E492)</x:f>
        <x:v>58308</x:v>
      </x:c>
      <x:c r="AE492" s="17" t="n">
        <x:f>2014-B492</x:f>
        <x:v>50</x:v>
      </x:c>
      <x:c r="AF492" s="17" t="n">
        <x:f>F492+G492</x:f>
        <x:v>1</x:v>
      </x:c>
      <x:c r="AG492" s="21" t="n">
        <x:f>SUM(J492:O492)</x:f>
        <x:v>900</x:v>
      </x:c>
      <x:c r="AH492" s="17" t="n">
        <x:f>SUM(Q492:S492)</x:f>
        <x:v>11</x:v>
      </x:c>
      <x:c r="AI492" s="17" t="n">
        <x:f>SUM(U492:Y492)</x:f>
        <x:v>0</x:v>
      </x:c>
      <x:c r="AJ492" s="17" t="str">
        <x:f>IF(AE492&lt;=34,"≤34",IF(AE492&lt;=44,"35–44",IF(AE492&lt;=54,"45–54",IF(AE492&lt;=64,"55–64","65+"))))</x:f>
        <x:v>45–54</x:v>
      </x:c>
      <x:c r="AK492" s="17" t="str">
        <x:f>IF(AG492&gt;=1000,"High Value",IF(AG492&gt;=300,"Mid Value","Low Value"))</x:f>
        <x:v>Mid Value</x:v>
      </x:c>
      <x:c r="AL492" s="17" t="str">
        <x:f>IF(AND(AI492&gt;=1,I492&lt;=50),"Priority 1",IF(AND(AG492&gt;=1000,I492&lt;=60),"Priority 2",IF(I492&lt;=30,"Priority 3","Nurture")))</x:f>
        <x:v>Nurture</x:v>
      </x:c>
    </x:row>
    <x:row r="493">
      <x:c r="A493" s="16" t="n">
        <x:v>6605</x:v>
      </x:c>
      <x:c r="B493" s="16" t="n">
        <x:v>1944</x:v>
      </x:c>
      <x:c r="C493" s="16" t="str">
        <x:v>PhD</x:v>
      </x:c>
      <x:c r="D493" s="16" t="str">
        <x:v>Divorced</x:v>
      </x:c>
      <x:c r="E493" s="16" t="n">
        <x:v>55614</x:v>
      </x:c>
      <x:c r="F493" s="16" t="n">
        <x:v>0</x:v>
      </x:c>
      <x:c r="G493" s="16" t="n">
        <x:v>0</x:v>
      </x:c>
      <x:c r="H493" s="16" t="str">
        <x:v>27-11-2013</x:v>
      </x:c>
      <x:c r="I493" s="16" t="n">
        <x:v>85</x:v>
      </x:c>
      <x:c r="J493" s="16" t="n">
        <x:v>504</x:v>
      </x:c>
      <x:c r="K493" s="16" t="n">
        <x:v>13</x:v>
      </x:c>
      <x:c r="L493" s="16" t="n">
        <x:v>131</x:v>
      </x:c>
      <x:c r="M493" s="16" t="n">
        <x:v>8</x:v>
      </x:c>
      <x:c r="N493" s="16" t="n">
        <x:v>0</x:v>
      </x:c>
      <x:c r="O493" s="16" t="n">
        <x:v>26</x:v>
      </x:c>
      <x:c r="P493" s="16" t="n">
        <x:v>1</x:v>
      </x:c>
      <x:c r="Q493" s="16" t="n">
        <x:v>9</x:v>
      </x:c>
      <x:c r="R493" s="16" t="n">
        <x:v>4</x:v>
      </x:c>
      <x:c r="S493" s="16" t="n">
        <x:v>6</x:v>
      </x:c>
      <x:c r="T493" s="16" t="n">
        <x:v>7</x:v>
      </x:c>
      <x:c r="U493" s="16" t="n">
        <x:v>0</x:v>
      </x:c>
      <x:c r="V493" s="16" t="n">
        <x:v>1</x:v>
      </x:c>
      <x:c r="W493" s="16" t="n">
        <x:v>0</x:v>
      </x:c>
      <x:c r="X493" s="16" t="n">
        <x:v>0</x:v>
      </x:c>
      <x:c r="Y493" s="16" t="n">
        <x:v>0</x:v>
      </x:c>
      <x:c r="Z493" s="16" t="n">
        <x:v>0</x:v>
      </x:c>
      <x:c r="AA493" s="16" t="n">
        <x:v>3</x:v>
      </x:c>
      <x:c r="AB493" s="16" t="n">
        <x:v>11</x:v>
      </x:c>
      <x:c r="AC493" s="16" t="n">
        <x:v>0</x:v>
      </x:c>
      <x:c r="AD493" s="21" t="n">
        <x:f>IF(E493="",MEDIAN($E$2:$E$2237),E493)</x:f>
        <x:v>55614</x:v>
      </x:c>
      <x:c r="AE493" s="17" t="n">
        <x:f>2014-B493</x:f>
        <x:v>70</x:v>
      </x:c>
      <x:c r="AF493" s="17" t="n">
        <x:f>F493+G493</x:f>
        <x:v>0</x:v>
      </x:c>
      <x:c r="AG493" s="21" t="n">
        <x:f>SUM(J493:O493)</x:f>
        <x:v>682</x:v>
      </x:c>
      <x:c r="AH493" s="17" t="n">
        <x:f>SUM(Q493:S493)</x:f>
        <x:v>19</x:v>
      </x:c>
      <x:c r="AI493" s="17" t="n">
        <x:f>SUM(U493:Y493)</x:f>
        <x:v>1</x:v>
      </x:c>
      <x:c r="AJ493" s="17" t="str">
        <x:f>IF(AE493&lt;=34,"≤34",IF(AE493&lt;=44,"35–44",IF(AE493&lt;=54,"45–54",IF(AE493&lt;=64,"55–64","65+"))))</x:f>
        <x:v>65+</x:v>
      </x:c>
      <x:c r="AK493" s="17" t="str">
        <x:f>IF(AG493&gt;=1000,"High Value",IF(AG493&gt;=300,"Mid Value","Low Value"))</x:f>
        <x:v>Mid Value</x:v>
      </x:c>
      <x:c r="AL493" s="17" t="str">
        <x:f>IF(AND(AI493&gt;=1,I493&lt;=50),"Priority 1",IF(AND(AG493&gt;=1000,I493&lt;=60),"Priority 2",IF(I493&lt;=30,"Priority 3","Nurture")))</x:f>
        <x:v>Nurture</x:v>
      </x:c>
    </x:row>
    <x:row r="494">
      <x:c r="A494" s="16" t="n">
        <x:v>3136</x:v>
      </x:c>
      <x:c r="B494" s="16" t="n">
        <x:v>1962</x:v>
      </x:c>
      <x:c r="C494" s="16" t="str">
        <x:v>Master</x:v>
      </x:c>
      <x:c r="D494" s="16" t="str">
        <x:v>Divorced</x:v>
      </x:c>
      <x:c r="E494" s="16" t="n">
        <x:v>59432</x:v>
      </x:c>
      <x:c r="F494" s="16" t="n">
        <x:v>0</x:v>
      </x:c>
      <x:c r="G494" s="16" t="n">
        <x:v>1</x:v>
      </x:c>
      <x:c r="H494" s="16" t="str">
        <x:v>13-04-2013</x:v>
      </x:c>
      <x:c r="I494" s="16" t="n">
        <x:v>88</x:v>
      </x:c>
      <x:c r="J494" s="16" t="n">
        <x:v>317</x:v>
      </x:c>
      <x:c r="K494" s="16" t="n">
        <x:v>25</x:v>
      </x:c>
      <x:c r="L494" s="16" t="n">
        <x:v>265</x:v>
      </x:c>
      <x:c r="M494" s="16" t="n">
        <x:v>25</x:v>
      </x:c>
      <x:c r="N494" s="16" t="n">
        <x:v>19</x:v>
      </x:c>
      <x:c r="O494" s="16" t="n">
        <x:v>12</x:v>
      </x:c>
      <x:c r="P494" s="16" t="n">
        <x:v>3</x:v>
      </x:c>
      <x:c r="Q494" s="16" t="n">
        <x:v>5</x:v>
      </x:c>
      <x:c r="R494" s="16" t="n">
        <x:v>3</x:v>
      </x:c>
      <x:c r="S494" s="16" t="n">
        <x:v>11</x:v>
      </x:c>
      <x:c r="T494" s="16" t="n">
        <x:v>5</x:v>
      </x:c>
      <x:c r="U494" s="16" t="n">
        <x:v>0</x:v>
      </x:c>
      <x:c r="V494" s="16" t="n">
        <x:v>0</x:v>
      </x:c>
      <x:c r="W494" s="16" t="n">
        <x:v>0</x:v>
      </x:c>
      <x:c r="X494" s="16" t="n">
        <x:v>0</x:v>
      </x:c>
      <x:c r="Y494" s="16" t="n">
        <x:v>0</x:v>
      </x:c>
      <x:c r="Z494" s="16" t="n">
        <x:v>0</x:v>
      </x:c>
      <x:c r="AA494" s="16" t="n">
        <x:v>3</x:v>
      </x:c>
      <x:c r="AB494" s="16" t="n">
        <x:v>11</x:v>
      </x:c>
      <x:c r="AC494" s="16" t="n">
        <x:v>0</x:v>
      </x:c>
      <x:c r="AD494" s="21" t="n">
        <x:f>IF(E494="",MEDIAN($E$2:$E$2237),E494)</x:f>
        <x:v>59432</x:v>
      </x:c>
      <x:c r="AE494" s="17" t="n">
        <x:f>2014-B494</x:f>
        <x:v>52</x:v>
      </x:c>
      <x:c r="AF494" s="17" t="n">
        <x:f>F494+G494</x:f>
        <x:v>1</x:v>
      </x:c>
      <x:c r="AG494" s="21" t="n">
        <x:f>SUM(J494:O494)</x:f>
        <x:v>663</x:v>
      </x:c>
      <x:c r="AH494" s="17" t="n">
        <x:f>SUM(Q494:S494)</x:f>
        <x:v>19</x:v>
      </x:c>
      <x:c r="AI494" s="17" t="n">
        <x:f>SUM(U494:Y494)</x:f>
        <x:v>0</x:v>
      </x:c>
      <x:c r="AJ494" s="17" t="str">
        <x:f>IF(AE494&lt;=34,"≤34",IF(AE494&lt;=44,"35–44",IF(AE494&lt;=54,"45–54",IF(AE494&lt;=64,"55–64","65+"))))</x:f>
        <x:v>45–54</x:v>
      </x:c>
      <x:c r="AK494" s="17" t="str">
        <x:f>IF(AG494&gt;=1000,"High Value",IF(AG494&gt;=300,"Mid Value","Low Value"))</x:f>
        <x:v>Mid Value</x:v>
      </x:c>
      <x:c r="AL494" s="17" t="str">
        <x:f>IF(AND(AI494&gt;=1,I494&lt;=50),"Priority 1",IF(AND(AG494&gt;=1000,I494&lt;=60),"Priority 2",IF(I494&lt;=30,"Priority 3","Nurture")))</x:f>
        <x:v>Nurture</x:v>
      </x:c>
    </x:row>
    <x:row r="495">
      <x:c r="A495" s="16" t="n">
        <x:v>8737</x:v>
      </x:c>
      <x:c r="B495" s="16" t="n">
        <x:v>1978</x:v>
      </x:c>
      <x:c r="C495" s="16" t="str">
        <x:v>Graduation</x:v>
      </x:c>
      <x:c r="D495" s="16" t="str">
        <x:v>Divorced</x:v>
      </x:c>
      <x:c r="E495" s="16" t="n">
        <x:v>55563</x:v>
      </x:c>
      <x:c r="F495" s="16" t="n">
        <x:v>0</x:v>
      </x:c>
      <x:c r="G495" s="16" t="n">
        <x:v>1</x:v>
      </x:c>
      <x:c r="H495" s="16" t="str">
        <x:v>05-04-2014</x:v>
      </x:c>
      <x:c r="I495" s="16" t="n">
        <x:v>22</x:v>
      </x:c>
      <x:c r="J495" s="16" t="n">
        <x:v>29</x:v>
      </x:c>
      <x:c r="K495" s="16" t="n">
        <x:v>1</x:v>
      </x:c>
      <x:c r="L495" s="16" t="n">
        <x:v>9</x:v>
      </x:c>
      <x:c r="M495" s="16" t="n">
        <x:v>2</x:v>
      </x:c>
      <x:c r="N495" s="16" t="n">
        <x:v>0</x:v>
      </x:c>
      <x:c r="O495" s="16" t="n">
        <x:v>2</x:v>
      </x:c>
      <x:c r="P495" s="16" t="n">
        <x:v>1</x:v>
      </x:c>
      <x:c r="Q495" s="16" t="n">
        <x:v>2</x:v>
      </x:c>
      <x:c r="R495" s="16" t="n">
        <x:v>0</x:v>
      </x:c>
      <x:c r="S495" s="16" t="n">
        <x:v>3</x:v>
      </x:c>
      <x:c r="T495" s="16" t="n">
        <x:v>3</x:v>
      </x:c>
      <x:c r="U495" s="16" t="n">
        <x:v>0</x:v>
      </x:c>
      <x:c r="V495" s="16" t="n">
        <x:v>0</x:v>
      </x:c>
      <x:c r="W495" s="16" t="n">
        <x:v>0</x:v>
      </x:c>
      <x:c r="X495" s="16" t="n">
        <x:v>0</x:v>
      </x:c>
      <x:c r="Y495" s="16" t="n">
        <x:v>0</x:v>
      </x:c>
      <x:c r="Z495" s="16" t="n">
        <x:v>0</x:v>
      </x:c>
      <x:c r="AA495" s="16" t="n">
        <x:v>3</x:v>
      </x:c>
      <x:c r="AB495" s="16" t="n">
        <x:v>11</x:v>
      </x:c>
      <x:c r="AC495" s="16" t="n">
        <x:v>0</x:v>
      </x:c>
      <x:c r="AD495" s="21" t="n">
        <x:f>IF(E495="",MEDIAN($E$2:$E$2237),E495)</x:f>
        <x:v>55563</x:v>
      </x:c>
      <x:c r="AE495" s="17" t="n">
        <x:f>2014-B495</x:f>
        <x:v>36</x:v>
      </x:c>
      <x:c r="AF495" s="17" t="n">
        <x:f>F495+G495</x:f>
        <x:v>1</x:v>
      </x:c>
      <x:c r="AG495" s="21" t="n">
        <x:f>SUM(J495:O495)</x:f>
        <x:v>43</x:v>
      </x:c>
      <x:c r="AH495" s="17" t="n">
        <x:f>SUM(Q495:S495)</x:f>
        <x:v>5</x:v>
      </x:c>
      <x:c r="AI495" s="17" t="n">
        <x:f>SUM(U495:Y495)</x:f>
        <x:v>0</x:v>
      </x:c>
      <x:c r="AJ495" s="17" t="str">
        <x:f>IF(AE495&lt;=34,"≤34",IF(AE495&lt;=44,"35–44",IF(AE495&lt;=54,"45–54",IF(AE495&lt;=64,"55–64","65+"))))</x:f>
        <x:v>35–44</x:v>
      </x:c>
      <x:c r="AK495" s="17" t="str">
        <x:f>IF(AG495&gt;=1000,"High Value",IF(AG495&gt;=300,"Mid Value","Low Value"))</x:f>
        <x:v>Low Value</x:v>
      </x:c>
      <x:c r="AL495" s="17" t="str">
        <x:f>IF(AND(AI495&gt;=1,I495&lt;=50),"Priority 1",IF(AND(AG495&gt;=1000,I495&lt;=60),"Priority 2",IF(I495&lt;=30,"Priority 3","Nurture")))</x:f>
        <x:v>Priority 3</x:v>
      </x:c>
    </x:row>
    <x:row r="496">
      <x:c r="A496" s="16" t="n">
        <x:v>11088</x:v>
      </x:c>
      <x:c r="B496" s="16" t="n">
        <x:v>1971</x:v>
      </x:c>
      <x:c r="C496" s="16" t="str">
        <x:v>PhD</x:v>
      </x:c>
      <x:c r="D496" s="16" t="str">
        <x:v>Together</x:v>
      </x:c>
      <x:c r="E496" s="16" t="n">
        <x:v>78642</x:v>
      </x:c>
      <x:c r="F496" s="16" t="n">
        <x:v>0</x:v>
      </x:c>
      <x:c r="G496" s="16" t="n">
        <x:v>1</x:v>
      </x:c>
      <x:c r="H496" s="16" t="str">
        <x:v>21-04-2013</x:v>
      </x:c>
      <x:c r="I496" s="16" t="n">
        <x:v>83</x:v>
      </x:c>
      <x:c r="J496" s="16" t="n">
        <x:v>1396</x:v>
      </x:c>
      <x:c r="K496" s="16" t="n">
        <x:v>0</x:v>
      </x:c>
      <x:c r="L496" s="16" t="n">
        <x:v>322</x:v>
      </x:c>
      <x:c r="M496" s="16" t="n">
        <x:v>46</x:v>
      </x:c>
      <x:c r="N496" s="16" t="n">
        <x:v>35</x:v>
      </x:c>
      <x:c r="O496" s="16" t="n">
        <x:v>17</x:v>
      </x:c>
      <x:c r="P496" s="16" t="n">
        <x:v>1</x:v>
      </x:c>
      <x:c r="Q496" s="16" t="n">
        <x:v>4</x:v>
      </x:c>
      <x:c r="R496" s="16" t="n">
        <x:v>9</x:v>
      </x:c>
      <x:c r="S496" s="16" t="n">
        <x:v>4</x:v>
      </x:c>
      <x:c r="T496" s="16" t="n">
        <x:v>6</x:v>
      </x:c>
      <x:c r="U496" s="16" t="n">
        <x:v>0</x:v>
      </x:c>
      <x:c r="V496" s="16" t="n">
        <x:v>0</x:v>
      </x:c>
      <x:c r="W496" s="16" t="n">
        <x:v>0</x:v>
      </x:c>
      <x:c r="X496" s="16" t="n">
        <x:v>0</x:v>
      </x:c>
      <x:c r="Y496" s="16" t="n">
        <x:v>0</x:v>
      </x:c>
      <x:c r="Z496" s="16" t="n">
        <x:v>0</x:v>
      </x:c>
      <x:c r="AA496" s="16" t="n">
        <x:v>3</x:v>
      </x:c>
      <x:c r="AB496" s="16" t="n">
        <x:v>11</x:v>
      </x:c>
      <x:c r="AC496" s="16" t="n">
        <x:v>0</x:v>
      </x:c>
      <x:c r="AD496" s="21" t="n">
        <x:f>IF(E496="",MEDIAN($E$2:$E$2237),E496)</x:f>
        <x:v>78642</x:v>
      </x:c>
      <x:c r="AE496" s="17" t="n">
        <x:f>2014-B496</x:f>
        <x:v>43</x:v>
      </x:c>
      <x:c r="AF496" s="17" t="n">
        <x:f>F496+G496</x:f>
        <x:v>1</x:v>
      </x:c>
      <x:c r="AG496" s="21" t="n">
        <x:f>SUM(J496:O496)</x:f>
        <x:v>1816</x:v>
      </x:c>
      <x:c r="AH496" s="17" t="n">
        <x:f>SUM(Q496:S496)</x:f>
        <x:v>17</x:v>
      </x:c>
      <x:c r="AI496" s="17" t="n">
        <x:f>SUM(U496:Y496)</x:f>
        <x:v>0</x:v>
      </x:c>
      <x:c r="AJ496" s="17" t="str">
        <x:f>IF(AE496&lt;=34,"≤34",IF(AE496&lt;=44,"35–44",IF(AE496&lt;=54,"45–54",IF(AE496&lt;=64,"55–64","65+"))))</x:f>
        <x:v>35–44</x:v>
      </x:c>
      <x:c r="AK496" s="17" t="str">
        <x:f>IF(AG496&gt;=1000,"High Value",IF(AG496&gt;=300,"Mid Value","Low Value"))</x:f>
        <x:v>High Value</x:v>
      </x:c>
      <x:c r="AL496" s="17" t="str">
        <x:f>IF(AND(AI496&gt;=1,I496&lt;=50),"Priority 1",IF(AND(AG496&gt;=1000,I496&lt;=60),"Priority 2",IF(I496&lt;=30,"Priority 3","Nurture")))</x:f>
        <x:v>Nurture</x:v>
      </x:c>
    </x:row>
    <x:row r="497">
      <x:c r="A497" s="16" t="n">
        <x:v>716</x:v>
      </x:c>
      <x:c r="B497" s="16" t="n">
        <x:v>1949</x:v>
      </x:c>
      <x:c r="C497" s="16" t="str">
        <x:v>PhD</x:v>
      </x:c>
      <x:c r="D497" s="16" t="str">
        <x:v>Together</x:v>
      </x:c>
      <x:c r="E497" s="16" t="n">
        <x:v>67911</x:v>
      </x:c>
      <x:c r="F497" s="16" t="n">
        <x:v>0</x:v>
      </x:c>
      <x:c r="G497" s="16" t="n">
        <x:v>1</x:v>
      </x:c>
      <x:c r="H497" s="16" t="str">
        <x:v>22-05-2014</x:v>
      </x:c>
      <x:c r="I497" s="16" t="n">
        <x:v>63</x:v>
      </x:c>
      <x:c r="J497" s="16" t="n">
        <x:v>529</x:v>
      </x:c>
      <x:c r="K497" s="16" t="n">
        <x:v>0</x:v>
      </x:c>
      <x:c r="L497" s="16" t="n">
        <x:v>356</x:v>
      </x:c>
      <x:c r="M497" s="16" t="n">
        <x:v>63</x:v>
      </x:c>
      <x:c r="N497" s="16" t="n">
        <x:v>28</x:v>
      </x:c>
      <x:c r="O497" s="16" t="n">
        <x:v>0</x:v>
      </x:c>
      <x:c r="P497" s="16" t="n">
        <x:v>3</x:v>
      </x:c>
      <x:c r="Q497" s="16" t="n">
        <x:v>6</x:v>
      </x:c>
      <x:c r="R497" s="16" t="n">
        <x:v>7</x:v>
      </x:c>
      <x:c r="S497" s="16" t="n">
        <x:v>11</x:v>
      </x:c>
      <x:c r="T497" s="16" t="n">
        <x:v>3</x:v>
      </x:c>
      <x:c r="U497" s="16" t="n">
        <x:v>0</x:v>
      </x:c>
      <x:c r="V497" s="16" t="n">
        <x:v>0</x:v>
      </x:c>
      <x:c r="W497" s="16" t="n">
        <x:v>0</x:v>
      </x:c>
      <x:c r="X497" s="16" t="n">
        <x:v>0</x:v>
      </x:c>
      <x:c r="Y497" s="16" t="n">
        <x:v>0</x:v>
      </x:c>
      <x:c r="Z497" s="16" t="n">
        <x:v>0</x:v>
      </x:c>
      <x:c r="AA497" s="16" t="n">
        <x:v>3</x:v>
      </x:c>
      <x:c r="AB497" s="16" t="n">
        <x:v>11</x:v>
      </x:c>
      <x:c r="AC497" s="16" t="n">
        <x:v>0</x:v>
      </x:c>
      <x:c r="AD497" s="21" t="n">
        <x:f>IF(E497="",MEDIAN($E$2:$E$2237),E497)</x:f>
        <x:v>67911</x:v>
      </x:c>
      <x:c r="AE497" s="17" t="n">
        <x:f>2014-B497</x:f>
        <x:v>65</x:v>
      </x:c>
      <x:c r="AF497" s="17" t="n">
        <x:f>F497+G497</x:f>
        <x:v>1</x:v>
      </x:c>
      <x:c r="AG497" s="21" t="n">
        <x:f>SUM(J497:O497)</x:f>
        <x:v>976</x:v>
      </x:c>
      <x:c r="AH497" s="17" t="n">
        <x:f>SUM(Q497:S497)</x:f>
        <x:v>24</x:v>
      </x:c>
      <x:c r="AI497" s="17" t="n">
        <x:f>SUM(U497:Y497)</x:f>
        <x:v>0</x:v>
      </x:c>
      <x:c r="AJ497" s="17" t="str">
        <x:f>IF(AE497&lt;=34,"≤34",IF(AE497&lt;=44,"35–44",IF(AE497&lt;=54,"45–54",IF(AE497&lt;=64,"55–64","65+"))))</x:f>
        <x:v>65+</x:v>
      </x:c>
      <x:c r="AK497" s="17" t="str">
        <x:f>IF(AG497&gt;=1000,"High Value",IF(AG497&gt;=300,"Mid Value","Low Value"))</x:f>
        <x:v>Mid Value</x:v>
      </x:c>
      <x:c r="AL497" s="17" t="str">
        <x:f>IF(AND(AI497&gt;=1,I497&lt;=50),"Priority 1",IF(AND(AG497&gt;=1000,I497&lt;=60),"Priority 2",IF(I497&lt;=30,"Priority 3","Nurture")))</x:f>
        <x:v>Nurture</x:v>
      </x:c>
    </x:row>
    <x:row r="498">
      <x:c r="A498" s="16" t="n">
        <x:v>466</x:v>
      </x:c>
      <x:c r="B498" s="16" t="n">
        <x:v>1944</x:v>
      </x:c>
      <x:c r="C498" s="16" t="str">
        <x:v>Graduation</x:v>
      </x:c>
      <x:c r="D498" s="16" t="str">
        <x:v>Married</x:v>
      </x:c>
      <x:c r="E498" s="16" t="n">
        <x:v>65275</x:v>
      </x:c>
      <x:c r="F498" s="16" t="n">
        <x:v>0</x:v>
      </x:c>
      <x:c r="G498" s="16" t="n">
        <x:v>0</x:v>
      </x:c>
      <x:c r="H498" s="16" t="str">
        <x:v>03-04-2013</x:v>
      </x:c>
      <x:c r="I498" s="16" t="n">
        <x:v>9</x:v>
      </x:c>
      <x:c r="J498" s="16" t="n">
        <x:v>388</x:v>
      </x:c>
      <x:c r="K498" s="16" t="n">
        <x:v>14</x:v>
      </x:c>
      <x:c r="L498" s="16" t="n">
        <x:v>218</x:v>
      </x:c>
      <x:c r="M498" s="16" t="n">
        <x:v>91</x:v>
      </x:c>
      <x:c r="N498" s="16" t="n">
        <x:v>14</x:v>
      </x:c>
      <x:c r="O498" s="16" t="n">
        <x:v>21</x:v>
      </x:c>
      <x:c r="P498" s="16" t="n">
        <x:v>1</x:v>
      </x:c>
      <x:c r="Q498" s="16" t="n">
        <x:v>4</x:v>
      </x:c>
      <x:c r="R498" s="16" t="n">
        <x:v>3</x:v>
      </x:c>
      <x:c r="S498" s="16" t="n">
        <x:v>13</x:v>
      </x:c>
      <x:c r="T498" s="16" t="n">
        <x:v>2</x:v>
      </x:c>
      <x:c r="U498" s="16" t="n">
        <x:v>0</x:v>
      </x:c>
      <x:c r="V498" s="16" t="n">
        <x:v>0</x:v>
      </x:c>
      <x:c r="W498" s="16" t="n">
        <x:v>0</x:v>
      </x:c>
      <x:c r="X498" s="16" t="n">
        <x:v>0</x:v>
      </x:c>
      <x:c r="Y498" s="16" t="n">
        <x:v>0</x:v>
      </x:c>
      <x:c r="Z498" s="16" t="n">
        <x:v>0</x:v>
      </x:c>
      <x:c r="AA498" s="16" t="n">
        <x:v>3</x:v>
      </x:c>
      <x:c r="AB498" s="16" t="n">
        <x:v>11</x:v>
      </x:c>
      <x:c r="AC498" s="16" t="n">
        <x:v>0</x:v>
      </x:c>
      <x:c r="AD498" s="21" t="n">
        <x:f>IF(E498="",MEDIAN($E$2:$E$2237),E498)</x:f>
        <x:v>65275</x:v>
      </x:c>
      <x:c r="AE498" s="17" t="n">
        <x:f>2014-B498</x:f>
        <x:v>70</x:v>
      </x:c>
      <x:c r="AF498" s="17" t="n">
        <x:f>F498+G498</x:f>
        <x:v>0</x:v>
      </x:c>
      <x:c r="AG498" s="21" t="n">
        <x:f>SUM(J498:O498)</x:f>
        <x:v>746</x:v>
      </x:c>
      <x:c r="AH498" s="17" t="n">
        <x:f>SUM(Q498:S498)</x:f>
        <x:v>20</x:v>
      </x:c>
      <x:c r="AI498" s="17" t="n">
        <x:f>SUM(U498:Y498)</x:f>
        <x:v>0</x:v>
      </x:c>
      <x:c r="AJ498" s="17" t="str">
        <x:f>IF(AE498&lt;=34,"≤34",IF(AE498&lt;=44,"35–44",IF(AE498&lt;=54,"45–54",IF(AE498&lt;=64,"55–64","65+"))))</x:f>
        <x:v>65+</x:v>
      </x:c>
      <x:c r="AK498" s="17" t="str">
        <x:f>IF(AG498&gt;=1000,"High Value",IF(AG498&gt;=300,"Mid Value","Low Value"))</x:f>
        <x:v>Mid Value</x:v>
      </x:c>
      <x:c r="AL498" s="17" t="str">
        <x:f>IF(AND(AI498&gt;=1,I498&lt;=50),"Priority 1",IF(AND(AG498&gt;=1000,I498&lt;=60),"Priority 2",IF(I498&lt;=30,"Priority 3","Nurture")))</x:f>
        <x:v>Priority 3</x:v>
      </x:c>
    </x:row>
    <x:row r="499">
      <x:c r="A499" s="16" t="n">
        <x:v>9135</x:v>
      </x:c>
      <x:c r="B499" s="16" t="n">
        <x:v>1950</x:v>
      </x:c>
      <x:c r="C499" s="16" t="str">
        <x:v>Graduation</x:v>
      </x:c>
      <x:c r="D499" s="16" t="str">
        <x:v>Together</x:v>
      </x:c>
      <x:c r="E499" s="16" t="n">
        <x:v>27203</x:v>
      </x:c>
      <x:c r="F499" s="16" t="n">
        <x:v>1</x:v>
      </x:c>
      <x:c r="G499" s="16" t="n">
        <x:v>1</x:v>
      </x:c>
      <x:c r="H499" s="16" t="str">
        <x:v>06-08-2012</x:v>
      </x:c>
      <x:c r="I499" s="16" t="n">
        <x:v>92</x:v>
      </x:c>
      <x:c r="J499" s="16" t="n">
        <x:v>13</x:v>
      </x:c>
      <x:c r="K499" s="16" t="n">
        <x:v>2</x:v>
      </x:c>
      <x:c r="L499" s="16" t="n">
        <x:v>21</x:v>
      </x:c>
      <x:c r="M499" s="16" t="n">
        <x:v>4</x:v>
      </x:c>
      <x:c r="N499" s="16" t="n">
        <x:v>0</x:v>
      </x:c>
      <x:c r="O499" s="16" t="n">
        <x:v>24</x:v>
      </x:c>
      <x:c r="P499" s="16" t="n">
        <x:v>2</x:v>
      </x:c>
      <x:c r="Q499" s="16" t="n">
        <x:v>1</x:v>
      </x:c>
      <x:c r="R499" s="16" t="n">
        <x:v>1</x:v>
      </x:c>
      <x:c r="S499" s="16" t="n">
        <x:v>2</x:v>
      </x:c>
      <x:c r="T499" s="16" t="n">
        <x:v>8</x:v>
      </x:c>
      <x:c r="U499" s="16" t="n">
        <x:v>0</x:v>
      </x:c>
      <x:c r="V499" s="16" t="n">
        <x:v>0</x:v>
      </x:c>
      <x:c r="W499" s="16" t="n">
        <x:v>0</x:v>
      </x:c>
      <x:c r="X499" s="16" t="n">
        <x:v>0</x:v>
      </x:c>
      <x:c r="Y499" s="16" t="n">
        <x:v>0</x:v>
      </x:c>
      <x:c r="Z499" s="16" t="n">
        <x:v>0</x:v>
      </x:c>
      <x:c r="AA499" s="16" t="n">
        <x:v>3</x:v>
      </x:c>
      <x:c r="AB499" s="16" t="n">
        <x:v>11</x:v>
      </x:c>
      <x:c r="AC499" s="16" t="n">
        <x:v>0</x:v>
      </x:c>
      <x:c r="AD499" s="21" t="n">
        <x:f>IF(E499="",MEDIAN($E$2:$E$2237),E499)</x:f>
        <x:v>27203</x:v>
      </x:c>
      <x:c r="AE499" s="17" t="n">
        <x:f>2014-B499</x:f>
        <x:v>64</x:v>
      </x:c>
      <x:c r="AF499" s="17" t="n">
        <x:f>F499+G499</x:f>
        <x:v>2</x:v>
      </x:c>
      <x:c r="AG499" s="21" t="n">
        <x:f>SUM(J499:O499)</x:f>
        <x:v>64</x:v>
      </x:c>
      <x:c r="AH499" s="17" t="n">
        <x:f>SUM(Q499:S499)</x:f>
        <x:v>4</x:v>
      </x:c>
      <x:c r="AI499" s="17" t="n">
        <x:f>SUM(U499:Y499)</x:f>
        <x:v>0</x:v>
      </x:c>
      <x:c r="AJ499" s="17" t="str">
        <x:f>IF(AE499&lt;=34,"≤34",IF(AE499&lt;=44,"35–44",IF(AE499&lt;=54,"45–54",IF(AE499&lt;=64,"55–64","65+"))))</x:f>
        <x:v>55–64</x:v>
      </x:c>
      <x:c r="AK499" s="17" t="str">
        <x:f>IF(AG499&gt;=1000,"High Value",IF(AG499&gt;=300,"Mid Value","Low Value"))</x:f>
        <x:v>Low Value</x:v>
      </x:c>
      <x:c r="AL499" s="17" t="str">
        <x:f>IF(AND(AI499&gt;=1,I499&lt;=50),"Priority 1",IF(AND(AG499&gt;=1000,I499&lt;=60),"Priority 2",IF(I499&lt;=30,"Priority 3","Nurture")))</x:f>
        <x:v>Nurture</x:v>
      </x:c>
    </x:row>
    <x:row r="500">
      <x:c r="A500" s="16" t="n">
        <x:v>10623</x:v>
      </x:c>
      <x:c r="B500" s="16" t="n">
        <x:v>1961</x:v>
      </x:c>
      <x:c r="C500" s="16" t="str">
        <x:v>Master</x:v>
      </x:c>
      <x:c r="D500" s="16" t="str">
        <x:v>Together</x:v>
      </x:c>
      <x:c r="E500" s="16" t="n">
        <x:v>48330</x:v>
      </x:c>
      <x:c r="F500" s="16" t="n">
        <x:v>0</x:v>
      </x:c>
      <x:c r="G500" s="16" t="n">
        <x:v>1</x:v>
      </x:c>
      <x:c r="H500" s="16" t="str">
        <x:v>15-11-2013</x:v>
      </x:c>
      <x:c r="I500" s="16" t="n">
        <x:v>2</x:v>
      </x:c>
      <x:c r="J500" s="16" t="n">
        <x:v>28</x:v>
      </x:c>
      <x:c r="K500" s="16" t="n">
        <x:v>0</x:v>
      </x:c>
      <x:c r="L500" s="16" t="n">
        <x:v>4</x:v>
      </x:c>
      <x:c r="M500" s="16" t="n">
        <x:v>0</x:v>
      </x:c>
      <x:c r="N500" s="16" t="n">
        <x:v>0</x:v>
      </x:c>
      <x:c r="O500" s="16" t="n">
        <x:v>0</x:v>
      </x:c>
      <x:c r="P500" s="16" t="n">
        <x:v>1</x:v>
      </x:c>
      <x:c r="Q500" s="16" t="n">
        <x:v>1</x:v>
      </x:c>
      <x:c r="R500" s="16" t="n">
        <x:v>0</x:v>
      </x:c>
      <x:c r="S500" s="16" t="n">
        <x:v>3</x:v>
      </x:c>
      <x:c r="T500" s="16" t="n">
        <x:v>5</x:v>
      </x:c>
      <x:c r="U500" s="16" t="n">
        <x:v>0</x:v>
      </x:c>
      <x:c r="V500" s="16" t="n">
        <x:v>0</x:v>
      </x:c>
      <x:c r="W500" s="16" t="n">
        <x:v>0</x:v>
      </x:c>
      <x:c r="X500" s="16" t="n">
        <x:v>0</x:v>
      </x:c>
      <x:c r="Y500" s="16" t="n">
        <x:v>0</x:v>
      </x:c>
      <x:c r="Z500" s="16" t="n">
        <x:v>0</x:v>
      </x:c>
      <x:c r="AA500" s="16" t="n">
        <x:v>3</x:v>
      </x:c>
      <x:c r="AB500" s="16" t="n">
        <x:v>11</x:v>
      </x:c>
      <x:c r="AC500" s="16" t="n">
        <x:v>0</x:v>
      </x:c>
      <x:c r="AD500" s="21" t="n">
        <x:f>IF(E500="",MEDIAN($E$2:$E$2237),E500)</x:f>
        <x:v>48330</x:v>
      </x:c>
      <x:c r="AE500" s="17" t="n">
        <x:f>2014-B500</x:f>
        <x:v>53</x:v>
      </x:c>
      <x:c r="AF500" s="17" t="n">
        <x:f>F500+G500</x:f>
        <x:v>1</x:v>
      </x:c>
      <x:c r="AG500" s="21" t="n">
        <x:f>SUM(J500:O500)</x:f>
        <x:v>32</x:v>
      </x:c>
      <x:c r="AH500" s="17" t="n">
        <x:f>SUM(Q500:S500)</x:f>
        <x:v>4</x:v>
      </x:c>
      <x:c r="AI500" s="17" t="n">
        <x:f>SUM(U500:Y500)</x:f>
        <x:v>0</x:v>
      </x:c>
      <x:c r="AJ500" s="17" t="str">
        <x:f>IF(AE500&lt;=34,"≤34",IF(AE500&lt;=44,"35–44",IF(AE500&lt;=54,"45–54",IF(AE500&lt;=64,"55–64","65+"))))</x:f>
        <x:v>45–54</x:v>
      </x:c>
      <x:c r="AK500" s="17" t="str">
        <x:f>IF(AG500&gt;=1000,"High Value",IF(AG500&gt;=300,"Mid Value","Low Value"))</x:f>
        <x:v>Low Value</x:v>
      </x:c>
      <x:c r="AL500" s="17" t="str">
        <x:f>IF(AND(AI500&gt;=1,I500&lt;=50),"Priority 1",IF(AND(AG500&gt;=1000,I500&lt;=60),"Priority 2",IF(I500&lt;=30,"Priority 3","Nurture")))</x:f>
        <x:v>Priority 3</x:v>
      </x:c>
    </x:row>
    <x:row r="501">
      <x:c r="A501" s="16" t="n">
        <x:v>8151</x:v>
      </x:c>
      <x:c r="B501" s="16" t="n">
        <x:v>1990</x:v>
      </x:c>
      <x:c r="C501" s="16" t="str">
        <x:v>Basic</x:v>
      </x:c>
      <x:c r="D501" s="16" t="str">
        <x:v>Married</x:v>
      </x:c>
      <x:c r="E501" s="16" t="n">
        <x:v>24279</x:v>
      </x:c>
      <x:c r="F501" s="16" t="n">
        <x:v>0</x:v>
      </x:c>
      <x:c r="G501" s="16" t="n">
        <x:v>0</x:v>
      </x:c>
      <x:c r="H501" s="16" t="str">
        <x:v>29-12-2012</x:v>
      </x:c>
      <x:c r="I501" s="16" t="n">
        <x:v>6</x:v>
      </x:c>
      <x:c r="J501" s="16" t="n">
        <x:v>16</x:v>
      </x:c>
      <x:c r="K501" s="16" t="n">
        <x:v>36</x:v>
      </x:c>
      <x:c r="L501" s="16" t="n">
        <x:v>21</x:v>
      </x:c>
      <x:c r="M501" s="16" t="n">
        <x:v>20</x:v>
      </x:c>
      <x:c r="N501" s="16" t="n">
        <x:v>62</x:v>
      </x:c>
      <x:c r="O501" s="16" t="n">
        <x:v>108</x:v>
      </x:c>
      <x:c r="P501" s="16" t="n">
        <x:v>1</x:v>
      </x:c>
      <x:c r="Q501" s="16" t="n">
        <x:v>4</x:v>
      </x:c>
      <x:c r="R501" s="16" t="n">
        <x:v>1</x:v>
      </x:c>
      <x:c r="S501" s="16" t="n">
        <x:v>3</x:v>
      </x:c>
      <x:c r="T501" s="16" t="n">
        <x:v>8</x:v>
      </x:c>
      <x:c r="U501" s="16" t="n">
        <x:v>0</x:v>
      </x:c>
      <x:c r="V501" s="16" t="n">
        <x:v>0</x:v>
      </x:c>
      <x:c r="W501" s="16" t="n">
        <x:v>0</x:v>
      </x:c>
      <x:c r="X501" s="16" t="n">
        <x:v>0</x:v>
      </x:c>
      <x:c r="Y501" s="16" t="n">
        <x:v>0</x:v>
      </x:c>
      <x:c r="Z501" s="16" t="n">
        <x:v>0</x:v>
      </x:c>
      <x:c r="AA501" s="16" t="n">
        <x:v>3</x:v>
      </x:c>
      <x:c r="AB501" s="16" t="n">
        <x:v>11</x:v>
      </x:c>
      <x:c r="AC501" s="16" t="n">
        <x:v>0</x:v>
      </x:c>
      <x:c r="AD501" s="21" t="n">
        <x:f>IF(E501="",MEDIAN($E$2:$E$2237),E501)</x:f>
        <x:v>24279</x:v>
      </x:c>
      <x:c r="AE501" s="17" t="n">
        <x:f>2014-B501</x:f>
        <x:v>24</x:v>
      </x:c>
      <x:c r="AF501" s="17" t="n">
        <x:f>F501+G501</x:f>
        <x:v>0</x:v>
      </x:c>
      <x:c r="AG501" s="21" t="n">
        <x:f>SUM(J501:O501)</x:f>
        <x:v>263</x:v>
      </x:c>
      <x:c r="AH501" s="17" t="n">
        <x:f>SUM(Q501:S501)</x:f>
        <x:v>8</x:v>
      </x:c>
      <x:c r="AI501" s="17" t="n">
        <x:f>SUM(U501:Y501)</x:f>
        <x:v>0</x:v>
      </x:c>
      <x:c r="AJ501" s="17" t="str">
        <x:f>IF(AE501&lt;=34,"≤34",IF(AE501&lt;=44,"35–44",IF(AE501&lt;=54,"45–54",IF(AE501&lt;=64,"55–64","65+"))))</x:f>
        <x:v>≤34</x:v>
      </x:c>
      <x:c r="AK501" s="17" t="str">
        <x:f>IF(AG501&gt;=1000,"High Value",IF(AG501&gt;=300,"Mid Value","Low Value"))</x:f>
        <x:v>Low Value</x:v>
      </x:c>
      <x:c r="AL501" s="17" t="str">
        <x:f>IF(AND(AI501&gt;=1,I501&lt;=50),"Priority 1",IF(AND(AG501&gt;=1000,I501&lt;=60),"Priority 2",IF(I501&lt;=30,"Priority 3","Nurture")))</x:f>
        <x:v>Priority 3</x:v>
      </x:c>
    </x:row>
    <x:row r="502">
      <x:c r="A502" s="16" t="n">
        <x:v>5140</x:v>
      </x:c>
      <x:c r="B502" s="16" t="n">
        <x:v>1985</x:v>
      </x:c>
      <x:c r="C502" s="16" t="str">
        <x:v>PhD</x:v>
      </x:c>
      <x:c r="D502" s="16" t="str">
        <x:v>Married</x:v>
      </x:c>
      <x:c r="E502" s="16" t="n">
        <x:v>64355</x:v>
      </x:c>
      <x:c r="F502" s="16" t="n">
        <x:v>1</x:v>
      </x:c>
      <x:c r="G502" s="16" t="n">
        <x:v>0</x:v>
      </x:c>
      <x:c r="H502" s="16" t="str">
        <x:v>24-08-2012</x:v>
      </x:c>
      <x:c r="I502" s="16" t="n">
        <x:v>66</x:v>
      </x:c>
      <x:c r="J502" s="16" t="n">
        <x:v>1047</x:v>
      </x:c>
      <x:c r="K502" s="16" t="n">
        <x:v>0</x:v>
      </x:c>
      <x:c r="L502" s="16" t="n">
        <x:v>140</x:v>
      </x:c>
      <x:c r="M502" s="16" t="n">
        <x:v>67</x:v>
      </x:c>
      <x:c r="N502" s="16" t="n">
        <x:v>38</x:v>
      </x:c>
      <x:c r="O502" s="16" t="n">
        <x:v>153</x:v>
      </x:c>
      <x:c r="P502" s="16" t="n">
        <x:v>2</x:v>
      </x:c>
      <x:c r="Q502" s="16" t="n">
        <x:v>4</x:v>
      </x:c>
      <x:c r="R502" s="16" t="n">
        <x:v>3</x:v>
      </x:c>
      <x:c r="S502" s="16" t="n">
        <x:v>12</x:v>
      </x:c>
      <x:c r="T502" s="16" t="n">
        <x:v>8</x:v>
      </x:c>
      <x:c r="U502" s="16" t="n">
        <x:v>0</x:v>
      </x:c>
      <x:c r="V502" s="16" t="n">
        <x:v>0</x:v>
      </x:c>
      <x:c r="W502" s="16" t="n">
        <x:v>0</x:v>
      </x:c>
      <x:c r="X502" s="16" t="n">
        <x:v>0</x:v>
      </x:c>
      <x:c r="Y502" s="16" t="n">
        <x:v>0</x:v>
      </x:c>
      <x:c r="Z502" s="16" t="n">
        <x:v>0</x:v>
      </x:c>
      <x:c r="AA502" s="16" t="n">
        <x:v>3</x:v>
      </x:c>
      <x:c r="AB502" s="16" t="n">
        <x:v>11</x:v>
      </x:c>
      <x:c r="AC502" s="16" t="n">
        <x:v>0</x:v>
      </x:c>
      <x:c r="AD502" s="21" t="n">
        <x:f>IF(E502="",MEDIAN($E$2:$E$2237),E502)</x:f>
        <x:v>64355</x:v>
      </x:c>
      <x:c r="AE502" s="17" t="n">
        <x:f>2014-B502</x:f>
        <x:v>29</x:v>
      </x:c>
      <x:c r="AF502" s="17" t="n">
        <x:f>F502+G502</x:f>
        <x:v>1</x:v>
      </x:c>
      <x:c r="AG502" s="21" t="n">
        <x:f>SUM(J502:O502)</x:f>
        <x:v>1445</x:v>
      </x:c>
      <x:c r="AH502" s="17" t="n">
        <x:f>SUM(Q502:S502)</x:f>
        <x:v>19</x:v>
      </x:c>
      <x:c r="AI502" s="17" t="n">
        <x:f>SUM(U502:Y502)</x:f>
        <x:v>0</x:v>
      </x:c>
      <x:c r="AJ502" s="17" t="str">
        <x:f>IF(AE502&lt;=34,"≤34",IF(AE502&lt;=44,"35–44",IF(AE502&lt;=54,"45–54",IF(AE502&lt;=64,"55–64","65+"))))</x:f>
        <x:v>≤34</x:v>
      </x:c>
      <x:c r="AK502" s="17" t="str">
        <x:f>IF(AG502&gt;=1000,"High Value",IF(AG502&gt;=300,"Mid Value","Low Value"))</x:f>
        <x:v>High Value</x:v>
      </x:c>
      <x:c r="AL502" s="17" t="str">
        <x:f>IF(AND(AI502&gt;=1,I502&lt;=50),"Priority 1",IF(AND(AG502&gt;=1000,I502&lt;=60),"Priority 2",IF(I502&lt;=30,"Priority 3","Nurture")))</x:f>
        <x:v>Nurture</x:v>
      </x:c>
    </x:row>
    <x:row r="503">
      <x:c r="A503" s="16" t="n">
        <x:v>10160</x:v>
      </x:c>
      <x:c r="B503" s="16" t="n">
        <x:v>1956</x:v>
      </x:c>
      <x:c r="C503" s="16" t="str">
        <x:v>Master</x:v>
      </x:c>
      <x:c r="D503" s="16" t="str">
        <x:v>Together</x:v>
      </x:c>
      <x:c r="E503" s="16" t="n">
        <x:v>50943</x:v>
      </x:c>
      <x:c r="F503" s="16" t="n">
        <x:v>0</x:v>
      </x:c>
      <x:c r="G503" s="16" t="n">
        <x:v>1</x:v>
      </x:c>
      <x:c r="H503" s="16" t="str">
        <x:v>21-06-2013</x:v>
      </x:c>
      <x:c r="I503" s="16" t="n">
        <x:v>49</x:v>
      </x:c>
      <x:c r="J503" s="16" t="n">
        <x:v>31</x:v>
      </x:c>
      <x:c r="K503" s="16" t="n">
        <x:v>0</x:v>
      </x:c>
      <x:c r="L503" s="16" t="n">
        <x:v>7</x:v>
      </x:c>
      <x:c r="M503" s="16" t="n">
        <x:v>2</x:v>
      </x:c>
      <x:c r="N503" s="16" t="n">
        <x:v>0</x:v>
      </x:c>
      <x:c r="O503" s="16" t="n">
        <x:v>6</x:v>
      </x:c>
      <x:c r="P503" s="16" t="n">
        <x:v>1</x:v>
      </x:c>
      <x:c r="Q503" s="16" t="n">
        <x:v>1</x:v>
      </x:c>
      <x:c r="R503" s="16" t="n">
        <x:v>0</x:v>
      </x:c>
      <x:c r="S503" s="16" t="n">
        <x:v>3</x:v>
      </x:c>
      <x:c r="T503" s="16" t="n">
        <x:v>5</x:v>
      </x:c>
      <x:c r="U503" s="16" t="n">
        <x:v>0</x:v>
      </x:c>
      <x:c r="V503" s="16" t="n">
        <x:v>0</x:v>
      </x:c>
      <x:c r="W503" s="16" t="n">
        <x:v>0</x:v>
      </x:c>
      <x:c r="X503" s="16" t="n">
        <x:v>0</x:v>
      </x:c>
      <x:c r="Y503" s="16" t="n">
        <x:v>0</x:v>
      </x:c>
      <x:c r="Z503" s="16" t="n">
        <x:v>0</x:v>
      </x:c>
      <x:c r="AA503" s="16" t="n">
        <x:v>3</x:v>
      </x:c>
      <x:c r="AB503" s="16" t="n">
        <x:v>11</x:v>
      </x:c>
      <x:c r="AC503" s="16" t="n">
        <x:v>0</x:v>
      </x:c>
      <x:c r="AD503" s="21" t="n">
        <x:f>IF(E503="",MEDIAN($E$2:$E$2237),E503)</x:f>
        <x:v>50943</x:v>
      </x:c>
      <x:c r="AE503" s="17" t="n">
        <x:f>2014-B503</x:f>
        <x:v>58</x:v>
      </x:c>
      <x:c r="AF503" s="17" t="n">
        <x:f>F503+G503</x:f>
        <x:v>1</x:v>
      </x:c>
      <x:c r="AG503" s="21" t="n">
        <x:f>SUM(J503:O503)</x:f>
        <x:v>46</x:v>
      </x:c>
      <x:c r="AH503" s="17" t="n">
        <x:f>SUM(Q503:S503)</x:f>
        <x:v>4</x:v>
      </x:c>
      <x:c r="AI503" s="17" t="n">
        <x:f>SUM(U503:Y503)</x:f>
        <x:v>0</x:v>
      </x:c>
      <x:c r="AJ503" s="17" t="str">
        <x:f>IF(AE503&lt;=34,"≤34",IF(AE503&lt;=44,"35–44",IF(AE503&lt;=54,"45–54",IF(AE503&lt;=64,"55–64","65+"))))</x:f>
        <x:v>55–64</x:v>
      </x:c>
      <x:c r="AK503" s="17" t="str">
        <x:f>IF(AG503&gt;=1000,"High Value",IF(AG503&gt;=300,"Mid Value","Low Value"))</x:f>
        <x:v>Low Value</x:v>
      </x:c>
      <x:c r="AL503" s="17" t="str">
        <x:f>IF(AND(AI503&gt;=1,I503&lt;=50),"Priority 1",IF(AND(AG503&gt;=1000,I503&lt;=60),"Priority 2",IF(I503&lt;=30,"Priority 3","Nurture")))</x:f>
        <x:v>Nurture</x:v>
      </x:c>
    </x:row>
    <x:row r="504">
      <x:c r="A504" s="16" t="n">
        <x:v>4945</x:v>
      </x:c>
      <x:c r="B504" s="16" t="n">
        <x:v>1953</x:v>
      </x:c>
      <x:c r="C504" s="16" t="str">
        <x:v>Graduation</x:v>
      </x:c>
      <x:c r="D504" s="16" t="str">
        <x:v>Widow</x:v>
      </x:c>
      <x:c r="E504" s="16" t="n">
        <x:v>53653</x:v>
      </x:c>
      <x:c r="F504" s="16" t="n">
        <x:v>0</x:v>
      </x:c>
      <x:c r="G504" s="16" t="n">
        <x:v>0</x:v>
      </x:c>
      <x:c r="H504" s="16" t="str">
        <x:v>07-11-2012</x:v>
      </x:c>
      <x:c r="I504" s="16" t="n">
        <x:v>29</x:v>
      </x:c>
      <x:c r="J504" s="16" t="n">
        <x:v>815</x:v>
      </x:c>
      <x:c r="K504" s="16" t="n">
        <x:v>10</x:v>
      </x:c>
      <x:c r="L504" s="16" t="n">
        <x:v>239</x:v>
      </x:c>
      <x:c r="M504" s="16" t="n">
        <x:v>28</x:v>
      </x:c>
      <x:c r="N504" s="16" t="n">
        <x:v>10</x:v>
      </x:c>
      <x:c r="O504" s="16" t="n">
        <x:v>108</x:v>
      </x:c>
      <x:c r="P504" s="16" t="n">
        <x:v>2</x:v>
      </x:c>
      <x:c r="Q504" s="16" t="n">
        <x:v>10</x:v>
      </x:c>
      <x:c r="R504" s="16" t="n">
        <x:v>4</x:v>
      </x:c>
      <x:c r="S504" s="16" t="n">
        <x:v>12</x:v>
      </x:c>
      <x:c r="T504" s="16" t="n">
        <x:v>6</x:v>
      </x:c>
      <x:c r="U504" s="16" t="n">
        <x:v>0</x:v>
      </x:c>
      <x:c r="V504" s="16" t="n">
        <x:v>0</x:v>
      </x:c>
      <x:c r="W504" s="16" t="n">
        <x:v>0</x:v>
      </x:c>
      <x:c r="X504" s="16" t="n">
        <x:v>0</x:v>
      </x:c>
      <x:c r="Y504" s="16" t="n">
        <x:v>0</x:v>
      </x:c>
      <x:c r="Z504" s="16" t="n">
        <x:v>0</x:v>
      </x:c>
      <x:c r="AA504" s="16" t="n">
        <x:v>3</x:v>
      </x:c>
      <x:c r="AB504" s="16" t="n">
        <x:v>11</x:v>
      </x:c>
      <x:c r="AC504" s="16" t="n">
        <x:v>0</x:v>
      </x:c>
      <x:c r="AD504" s="21" t="n">
        <x:f>IF(E504="",MEDIAN($E$2:$E$2237),E504)</x:f>
        <x:v>53653</x:v>
      </x:c>
      <x:c r="AE504" s="17" t="n">
        <x:f>2014-B504</x:f>
        <x:v>61</x:v>
      </x:c>
      <x:c r="AF504" s="17" t="n">
        <x:f>F504+G504</x:f>
        <x:v>0</x:v>
      </x:c>
      <x:c r="AG504" s="21" t="n">
        <x:f>SUM(J504:O504)</x:f>
        <x:v>1210</x:v>
      </x:c>
      <x:c r="AH504" s="17" t="n">
        <x:f>SUM(Q504:S504)</x:f>
        <x:v>26</x:v>
      </x:c>
      <x:c r="AI504" s="17" t="n">
        <x:f>SUM(U504:Y504)</x:f>
        <x:v>0</x:v>
      </x:c>
      <x:c r="AJ504" s="17" t="str">
        <x:f>IF(AE504&lt;=34,"≤34",IF(AE504&lt;=44,"35–44",IF(AE504&lt;=54,"45–54",IF(AE504&lt;=64,"55–64","65+"))))</x:f>
        <x:v>55–64</x:v>
      </x:c>
      <x:c r="AK504" s="17" t="str">
        <x:f>IF(AG504&gt;=1000,"High Value",IF(AG504&gt;=300,"Mid Value","Low Value"))</x:f>
        <x:v>High Value</x:v>
      </x:c>
      <x:c r="AL504" s="17" t="str">
        <x:f>IF(AND(AI504&gt;=1,I504&lt;=50),"Priority 1",IF(AND(AG504&gt;=1000,I504&lt;=60),"Priority 2",IF(I504&lt;=30,"Priority 3","Nurture")))</x:f>
        <x:v>Priority 2</x:v>
      </x:c>
    </x:row>
    <x:row r="505">
      <x:c r="A505" s="16" t="n">
        <x:v>10584</x:v>
      </x:c>
      <x:c r="B505" s="16" t="n">
        <x:v>1976</x:v>
      </x:c>
      <x:c r="C505" s="16" t="str">
        <x:v>Graduation</x:v>
      </x:c>
      <x:c r="D505" s="16" t="str">
        <x:v>Married</x:v>
      </x:c>
      <x:c r="E505" s="16" t="n">
        <x:v>65665</x:v>
      </x:c>
      <x:c r="F505" s="16" t="n">
        <x:v>0</x:v>
      </x:c>
      <x:c r="G505" s="16" t="n">
        <x:v>1</x:v>
      </x:c>
      <x:c r="H505" s="16" t="str">
        <x:v>02-12-2013</x:v>
      </x:c>
      <x:c r="I505" s="16" t="n">
        <x:v>77</x:v>
      </x:c>
      <x:c r="J505" s="16" t="n">
        <x:v>225</x:v>
      </x:c>
      <x:c r="K505" s="16" t="n">
        <x:v>162</x:v>
      </x:c>
      <x:c r="L505" s="16" t="n">
        <x:v>387</x:v>
      </x:c>
      <x:c r="M505" s="16" t="n">
        <x:v>106</x:v>
      </x:c>
      <x:c r="N505" s="16" t="n">
        <x:v>36</x:v>
      </x:c>
      <x:c r="O505" s="16" t="n">
        <x:v>29</x:v>
      </x:c>
      <x:c r="P505" s="16" t="n">
        <x:v>1</x:v>
      </x:c>
      <x:c r="Q505" s="16" t="n">
        <x:v>5</x:v>
      </x:c>
      <x:c r="R505" s="16" t="n">
        <x:v>10</x:v>
      </x:c>
      <x:c r="S505" s="16" t="n">
        <x:v>8</x:v>
      </x:c>
      <x:c r="T505" s="16" t="n">
        <x:v>3</x:v>
      </x:c>
      <x:c r="U505" s="16" t="n">
        <x:v>0</x:v>
      </x:c>
      <x:c r="V505" s="16" t="n">
        <x:v>0</x:v>
      </x:c>
      <x:c r="W505" s="16" t="n">
        <x:v>0</x:v>
      </x:c>
      <x:c r="X505" s="16" t="n">
        <x:v>0</x:v>
      </x:c>
      <x:c r="Y505" s="16" t="n">
        <x:v>0</x:v>
      </x:c>
      <x:c r="Z505" s="16" t="n">
        <x:v>0</x:v>
      </x:c>
      <x:c r="AA505" s="16" t="n">
        <x:v>3</x:v>
      </x:c>
      <x:c r="AB505" s="16" t="n">
        <x:v>11</x:v>
      </x:c>
      <x:c r="AC505" s="16" t="n">
        <x:v>0</x:v>
      </x:c>
      <x:c r="AD505" s="21" t="n">
        <x:f>IF(E505="",MEDIAN($E$2:$E$2237),E505)</x:f>
        <x:v>65665</x:v>
      </x:c>
      <x:c r="AE505" s="17" t="n">
        <x:f>2014-B505</x:f>
        <x:v>38</x:v>
      </x:c>
      <x:c r="AF505" s="17" t="n">
        <x:f>F505+G505</x:f>
        <x:v>1</x:v>
      </x:c>
      <x:c r="AG505" s="21" t="n">
        <x:f>SUM(J505:O505)</x:f>
        <x:v>945</x:v>
      </x:c>
      <x:c r="AH505" s="17" t="n">
        <x:f>SUM(Q505:S505)</x:f>
        <x:v>23</x:v>
      </x:c>
      <x:c r="AI505" s="17" t="n">
        <x:f>SUM(U505:Y505)</x:f>
        <x:v>0</x:v>
      </x:c>
      <x:c r="AJ505" s="17" t="str">
        <x:f>IF(AE505&lt;=34,"≤34",IF(AE505&lt;=44,"35–44",IF(AE505&lt;=54,"45–54",IF(AE505&lt;=64,"55–64","65+"))))</x:f>
        <x:v>35–44</x:v>
      </x:c>
      <x:c r="AK505" s="17" t="str">
        <x:f>IF(AG505&gt;=1000,"High Value",IF(AG505&gt;=300,"Mid Value","Low Value"))</x:f>
        <x:v>Mid Value</x:v>
      </x:c>
      <x:c r="AL505" s="17" t="str">
        <x:f>IF(AND(AI505&gt;=1,I505&lt;=50),"Priority 1",IF(AND(AG505&gt;=1000,I505&lt;=60),"Priority 2",IF(I505&lt;=30,"Priority 3","Nurture")))</x:f>
        <x:v>Nurture</x:v>
      </x:c>
    </x:row>
    <x:row r="506">
      <x:c r="A506" s="16" t="n">
        <x:v>6071</x:v>
      </x:c>
      <x:c r="B506" s="16" t="n">
        <x:v>1989</x:v>
      </x:c>
      <x:c r="C506" s="16" t="str">
        <x:v>Graduation</x:v>
      </x:c>
      <x:c r="D506" s="16" t="str">
        <x:v>Single</x:v>
      </x:c>
      <x:c r="E506" s="16" t="n">
        <x:v>81217</x:v>
      </x:c>
      <x:c r="F506" s="16" t="n">
        <x:v>0</x:v>
      </x:c>
      <x:c r="G506" s="16" t="n">
        <x:v>0</x:v>
      </x:c>
      <x:c r="H506" s="16" t="str">
        <x:v>19-07-2013</x:v>
      </x:c>
      <x:c r="I506" s="16" t="n">
        <x:v>77</x:v>
      </x:c>
      <x:c r="J506" s="16" t="n">
        <x:v>493</x:v>
      </x:c>
      <x:c r="K506" s="16" t="n">
        <x:v>70</x:v>
      </x:c>
      <x:c r="L506" s="16" t="n">
        <x:v>324</x:v>
      </x:c>
      <x:c r="M506" s="16" t="n">
        <x:v>146</x:v>
      </x:c>
      <x:c r="N506" s="16" t="n">
        <x:v>40</x:v>
      </x:c>
      <x:c r="O506" s="16" t="n">
        <x:v>84</x:v>
      </x:c>
      <x:c r="P506" s="16" t="n">
        <x:v>1</x:v>
      </x:c>
      <x:c r="Q506" s="16" t="n">
        <x:v>3</x:v>
      </x:c>
      <x:c r="R506" s="16" t="n">
        <x:v>7</x:v>
      </x:c>
      <x:c r="S506" s="16" t="n">
        <x:v>11</x:v>
      </x:c>
      <x:c r="T506" s="16" t="n">
        <x:v>1</x:v>
      </x:c>
      <x:c r="U506" s="16" t="n">
        <x:v>0</x:v>
      </x:c>
      <x:c r="V506" s="16" t="n">
        <x:v>0</x:v>
      </x:c>
      <x:c r="W506" s="16" t="n">
        <x:v>0</x:v>
      </x:c>
      <x:c r="X506" s="16" t="n">
        <x:v>0</x:v>
      </x:c>
      <x:c r="Y506" s="16" t="n">
        <x:v>0</x:v>
      </x:c>
      <x:c r="Z506" s="16" t="n">
        <x:v>0</x:v>
      </x:c>
      <x:c r="AA506" s="16" t="n">
        <x:v>3</x:v>
      </x:c>
      <x:c r="AB506" s="16" t="n">
        <x:v>11</x:v>
      </x:c>
      <x:c r="AC506" s="16" t="n">
        <x:v>0</x:v>
      </x:c>
      <x:c r="AD506" s="21" t="n">
        <x:f>IF(E506="",MEDIAN($E$2:$E$2237),E506)</x:f>
        <x:v>81217</x:v>
      </x:c>
      <x:c r="AE506" s="17" t="n">
        <x:f>2014-B506</x:f>
        <x:v>25</x:v>
      </x:c>
      <x:c r="AF506" s="17" t="n">
        <x:f>F506+G506</x:f>
        <x:v>0</x:v>
      </x:c>
      <x:c r="AG506" s="21" t="n">
        <x:f>SUM(J506:O506)</x:f>
        <x:v>1157</x:v>
      </x:c>
      <x:c r="AH506" s="17" t="n">
        <x:f>SUM(Q506:S506)</x:f>
        <x:v>21</x:v>
      </x:c>
      <x:c r="AI506" s="17" t="n">
        <x:f>SUM(U506:Y506)</x:f>
        <x:v>0</x:v>
      </x:c>
      <x:c r="AJ506" s="17" t="str">
        <x:f>IF(AE506&lt;=34,"≤34",IF(AE506&lt;=44,"35–44",IF(AE506&lt;=54,"45–54",IF(AE506&lt;=64,"55–64","65+"))))</x:f>
        <x:v>≤34</x:v>
      </x:c>
      <x:c r="AK506" s="17" t="str">
        <x:f>IF(AG506&gt;=1000,"High Value",IF(AG506&gt;=300,"Mid Value","Low Value"))</x:f>
        <x:v>High Value</x:v>
      </x:c>
      <x:c r="AL506" s="17" t="str">
        <x:f>IF(AND(AI506&gt;=1,I506&lt;=50),"Priority 1",IF(AND(AG506&gt;=1000,I506&lt;=60),"Priority 2",IF(I506&lt;=30,"Priority 3","Nurture")))</x:f>
        <x:v>Nurture</x:v>
      </x:c>
    </x:row>
    <x:row r="507">
      <x:c r="A507" s="16" t="n">
        <x:v>3386</x:v>
      </x:c>
      <x:c r="B507" s="16" t="n">
        <x:v>1992</x:v>
      </x:c>
      <x:c r="C507" s="16" t="str">
        <x:v>Graduation</x:v>
      </x:c>
      <x:c r="D507" s="16" t="str">
        <x:v>Married</x:v>
      </x:c>
      <x:c r="E507" s="16" t="n">
        <x:v>34935</x:v>
      </x:c>
      <x:c r="F507" s="16" t="n">
        <x:v>0</x:v>
      </x:c>
      <x:c r="G507" s="16" t="n">
        <x:v>0</x:v>
      </x:c>
      <x:c r="H507" s="16" t="str">
        <x:v>21-06-2013</x:v>
      </x:c>
      <x:c r="I507" s="16" t="n">
        <x:v>71</x:v>
      </x:c>
      <x:c r="J507" s="16" t="n">
        <x:v>34</x:v>
      </x:c>
      <x:c r="K507" s="16" t="n">
        <x:v>4</x:v>
      </x:c>
      <x:c r="L507" s="16" t="n">
        <x:v>66</x:v>
      </x:c>
      <x:c r="M507" s="16" t="n">
        <x:v>3</x:v>
      </x:c>
      <x:c r="N507" s="16" t="n">
        <x:v>10</x:v>
      </x:c>
      <x:c r="O507" s="16" t="n">
        <x:v>20</x:v>
      </x:c>
      <x:c r="P507" s="16" t="n">
        <x:v>1</x:v>
      </x:c>
      <x:c r="Q507" s="16" t="n">
        <x:v>2</x:v>
      </x:c>
      <x:c r="R507" s="16" t="n">
        <x:v>1</x:v>
      </x:c>
      <x:c r="S507" s="16" t="n">
        <x:v>4</x:v>
      </x:c>
      <x:c r="T507" s="16" t="n">
        <x:v>7</x:v>
      </x:c>
      <x:c r="U507" s="16" t="n">
        <x:v>0</x:v>
      </x:c>
      <x:c r="V507" s="16" t="n">
        <x:v>0</x:v>
      </x:c>
      <x:c r="W507" s="16" t="n">
        <x:v>0</x:v>
      </x:c>
      <x:c r="X507" s="16" t="n">
        <x:v>0</x:v>
      </x:c>
      <x:c r="Y507" s="16" t="n">
        <x:v>0</x:v>
      </x:c>
      <x:c r="Z507" s="16" t="n">
        <x:v>0</x:v>
      </x:c>
      <x:c r="AA507" s="16" t="n">
        <x:v>3</x:v>
      </x:c>
      <x:c r="AB507" s="16" t="n">
        <x:v>11</x:v>
      </x:c>
      <x:c r="AC507" s="16" t="n">
        <x:v>0</x:v>
      </x:c>
      <x:c r="AD507" s="21" t="n">
        <x:f>IF(E507="",MEDIAN($E$2:$E$2237),E507)</x:f>
        <x:v>34935</x:v>
      </x:c>
      <x:c r="AE507" s="17" t="n">
        <x:f>2014-B507</x:f>
        <x:v>22</x:v>
      </x:c>
      <x:c r="AF507" s="17" t="n">
        <x:f>F507+G507</x:f>
        <x:v>0</x:v>
      </x:c>
      <x:c r="AG507" s="21" t="n">
        <x:f>SUM(J507:O507)</x:f>
        <x:v>137</x:v>
      </x:c>
      <x:c r="AH507" s="17" t="n">
        <x:f>SUM(Q507:S507)</x:f>
        <x:v>7</x:v>
      </x:c>
      <x:c r="AI507" s="17" t="n">
        <x:f>SUM(U507:Y507)</x:f>
        <x:v>0</x:v>
      </x:c>
      <x:c r="AJ507" s="17" t="str">
        <x:f>IF(AE507&lt;=34,"≤34",IF(AE507&lt;=44,"35–44",IF(AE507&lt;=54,"45–54",IF(AE507&lt;=64,"55–64","65+"))))</x:f>
        <x:v>≤34</x:v>
      </x:c>
      <x:c r="AK507" s="17" t="str">
        <x:f>IF(AG507&gt;=1000,"High Value",IF(AG507&gt;=300,"Mid Value","Low Value"))</x:f>
        <x:v>Low Value</x:v>
      </x:c>
      <x:c r="AL507" s="17" t="str">
        <x:f>IF(AND(AI507&gt;=1,I507&lt;=50),"Priority 1",IF(AND(AG507&gt;=1000,I507&lt;=60),"Priority 2",IF(I507&lt;=30,"Priority 3","Nurture")))</x:f>
        <x:v>Nurture</x:v>
      </x:c>
    </x:row>
    <x:row r="508">
      <x:c r="A508" s="16" t="n">
        <x:v>8939</x:v>
      </x:c>
      <x:c r="B508" s="16" t="n">
        <x:v>1959</x:v>
      </x:c>
      <x:c r="C508" s="16" t="str">
        <x:v>Graduation</x:v>
      </x:c>
      <x:c r="D508" s="16" t="str">
        <x:v>Divorced</x:v>
      </x:c>
      <x:c r="E508" s="16" t="n">
        <x:v>61250</x:v>
      </x:c>
      <x:c r="F508" s="16" t="n">
        <x:v>0</x:v>
      </x:c>
      <x:c r="G508" s="16" t="n">
        <x:v>1</x:v>
      </x:c>
      <x:c r="H508" s="16" t="str">
        <x:v>16-12-2012</x:v>
      </x:c>
      <x:c r="I508" s="16" t="n">
        <x:v>49</x:v>
      </x:c>
      <x:c r="J508" s="16" t="n">
        <x:v>382</x:v>
      </x:c>
      <x:c r="K508" s="16" t="n">
        <x:v>138</x:v>
      </x:c>
      <x:c r="L508" s="16" t="n">
        <x:v>65</x:v>
      </x:c>
      <x:c r="M508" s="16" t="n">
        <x:v>60</x:v>
      </x:c>
      <x:c r="N508" s="16" t="n">
        <x:v>26</x:v>
      </x:c>
      <x:c r="O508" s="16" t="n">
        <x:v>59</x:v>
      </x:c>
      <x:c r="P508" s="16" t="n">
        <x:v>6</x:v>
      </x:c>
      <x:c r="Q508" s="16" t="n">
        <x:v>5</x:v>
      </x:c>
      <x:c r="R508" s="16" t="n">
        <x:v>2</x:v>
      </x:c>
      <x:c r="S508" s="16" t="n">
        <x:v>12</x:v>
      </x:c>
      <x:c r="T508" s="16" t="n">
        <x:v>5</x:v>
      </x:c>
      <x:c r="U508" s="16" t="n">
        <x:v>0</x:v>
      </x:c>
      <x:c r="V508" s="16" t="n">
        <x:v>0</x:v>
      </x:c>
      <x:c r="W508" s="16" t="n">
        <x:v>0</x:v>
      </x:c>
      <x:c r="X508" s="16" t="n">
        <x:v>0</x:v>
      </x:c>
      <x:c r="Y508" s="16" t="n">
        <x:v>0</x:v>
      </x:c>
      <x:c r="Z508" s="16" t="n">
        <x:v>0</x:v>
      </x:c>
      <x:c r="AA508" s="16" t="n">
        <x:v>3</x:v>
      </x:c>
      <x:c r="AB508" s="16" t="n">
        <x:v>11</x:v>
      </x:c>
      <x:c r="AC508" s="16" t="n">
        <x:v>0</x:v>
      </x:c>
      <x:c r="AD508" s="21" t="n">
        <x:f>IF(E508="",MEDIAN($E$2:$E$2237),E508)</x:f>
        <x:v>61250</x:v>
      </x:c>
      <x:c r="AE508" s="17" t="n">
        <x:f>2014-B508</x:f>
        <x:v>55</x:v>
      </x:c>
      <x:c r="AF508" s="17" t="n">
        <x:f>F508+G508</x:f>
        <x:v>1</x:v>
      </x:c>
      <x:c r="AG508" s="21" t="n">
        <x:f>SUM(J508:O508)</x:f>
        <x:v>730</x:v>
      </x:c>
      <x:c r="AH508" s="17" t="n">
        <x:f>SUM(Q508:S508)</x:f>
        <x:v>19</x:v>
      </x:c>
      <x:c r="AI508" s="17" t="n">
        <x:f>SUM(U508:Y508)</x:f>
        <x:v>0</x:v>
      </x:c>
      <x:c r="AJ508" s="17" t="str">
        <x:f>IF(AE508&lt;=34,"≤34",IF(AE508&lt;=44,"35–44",IF(AE508&lt;=54,"45–54",IF(AE508&lt;=64,"55–64","65+"))))</x:f>
        <x:v>55–64</x:v>
      </x:c>
      <x:c r="AK508" s="17" t="str">
        <x:f>IF(AG508&gt;=1000,"High Value",IF(AG508&gt;=300,"Mid Value","Low Value"))</x:f>
        <x:v>Mid Value</x:v>
      </x:c>
      <x:c r="AL508" s="17" t="str">
        <x:f>IF(AND(AI508&gt;=1,I508&lt;=50),"Priority 1",IF(AND(AG508&gt;=1000,I508&lt;=60),"Priority 2",IF(I508&lt;=30,"Priority 3","Nurture")))</x:f>
        <x:v>Nurture</x:v>
      </x:c>
    </x:row>
    <x:row r="509">
      <x:c r="A509" s="16" t="n">
        <x:v>9925</x:v>
      </x:c>
      <x:c r="B509" s="16" t="n">
        <x:v>1981</x:v>
      </x:c>
      <x:c r="C509" s="16" t="str">
        <x:v>PhD</x:v>
      </x:c>
      <x:c r="D509" s="16" t="str">
        <x:v>Together</x:v>
      </x:c>
      <x:c r="E509" s="16" t="n">
        <x:v>39665</x:v>
      </x:c>
      <x:c r="F509" s="16" t="n">
        <x:v>1</x:v>
      </x:c>
      <x:c r="G509" s="16" t="n">
        <x:v>0</x:v>
      </x:c>
      <x:c r="H509" s="16" t="str">
        <x:v>25-05-2013</x:v>
      </x:c>
      <x:c r="I509" s="16" t="n">
        <x:v>97</x:v>
      </x:c>
      <x:c r="J509" s="16" t="n">
        <x:v>127</x:v>
      </x:c>
      <x:c r="K509" s="16" t="n">
        <x:v>1</x:v>
      </x:c>
      <x:c r="L509" s="16" t="n">
        <x:v>56</x:v>
      </x:c>
      <x:c r="M509" s="16" t="n">
        <x:v>0</x:v>
      </x:c>
      <x:c r="N509" s="16" t="n">
        <x:v>1</x:v>
      </x:c>
      <x:c r="O509" s="16" t="n">
        <x:v>31</x:v>
      </x:c>
      <x:c r="P509" s="16" t="n">
        <x:v>3</x:v>
      </x:c>
      <x:c r="Q509" s="16" t="n">
        <x:v>4</x:v>
      </x:c>
      <x:c r="R509" s="16" t="n">
        <x:v>2</x:v>
      </x:c>
      <x:c r="S509" s="16" t="n">
        <x:v>3</x:v>
      </x:c>
      <x:c r="T509" s="16" t="n">
        <x:v>7</x:v>
      </x:c>
      <x:c r="U509" s="16" t="n">
        <x:v>1</x:v>
      </x:c>
      <x:c r="V509" s="16" t="n">
        <x:v>0</x:v>
      </x:c>
      <x:c r="W509" s="16" t="n">
        <x:v>0</x:v>
      </x:c>
      <x:c r="X509" s="16" t="n">
        <x:v>0</x:v>
      </x:c>
      <x:c r="Y509" s="16" t="n">
        <x:v>0</x:v>
      </x:c>
      <x:c r="Z509" s="16" t="n">
        <x:v>0</x:v>
      </x:c>
      <x:c r="AA509" s="16" t="n">
        <x:v>3</x:v>
      </x:c>
      <x:c r="AB509" s="16" t="n">
        <x:v>11</x:v>
      </x:c>
      <x:c r="AC509" s="16" t="n">
        <x:v>0</x:v>
      </x:c>
      <x:c r="AD509" s="21" t="n">
        <x:f>IF(E509="",MEDIAN($E$2:$E$2237),E509)</x:f>
        <x:v>39665</x:v>
      </x:c>
      <x:c r="AE509" s="17" t="n">
        <x:f>2014-B509</x:f>
        <x:v>33</x:v>
      </x:c>
      <x:c r="AF509" s="17" t="n">
        <x:f>F509+G509</x:f>
        <x:v>1</x:v>
      </x:c>
      <x:c r="AG509" s="21" t="n">
        <x:f>SUM(J509:O509)</x:f>
        <x:v>216</x:v>
      </x:c>
      <x:c r="AH509" s="17" t="n">
        <x:f>SUM(Q509:S509)</x:f>
        <x:v>9</x:v>
      </x:c>
      <x:c r="AI509" s="17" t="n">
        <x:f>SUM(U509:Y509)</x:f>
        <x:v>1</x:v>
      </x:c>
      <x:c r="AJ509" s="17" t="str">
        <x:f>IF(AE509&lt;=34,"≤34",IF(AE509&lt;=44,"35–44",IF(AE509&lt;=54,"45–54",IF(AE509&lt;=64,"55–64","65+"))))</x:f>
        <x:v>≤34</x:v>
      </x:c>
      <x:c r="AK509" s="17" t="str">
        <x:f>IF(AG509&gt;=1000,"High Value",IF(AG509&gt;=300,"Mid Value","Low Value"))</x:f>
        <x:v>Low Value</x:v>
      </x:c>
      <x:c r="AL509" s="17" t="str">
        <x:f>IF(AND(AI509&gt;=1,I509&lt;=50),"Priority 1",IF(AND(AG509&gt;=1000,I509&lt;=60),"Priority 2",IF(I509&lt;=30,"Priority 3","Nurture")))</x:f>
        <x:v>Nurture</x:v>
      </x:c>
    </x:row>
    <x:row r="510">
      <x:c r="A510" s="16" t="n">
        <x:v>4320</x:v>
      </x:c>
      <x:c r="B510" s="16" t="n">
        <x:v>1979</x:v>
      </x:c>
      <x:c r="C510" s="16" t="str">
        <x:v>Graduation</x:v>
      </x:c>
      <x:c r="D510" s="16" t="str">
        <x:v>Single</x:v>
      </x:c>
      <x:c r="E510" s="16" t="n">
        <x:v>60152</x:v>
      </x:c>
      <x:c r="F510" s="16" t="n">
        <x:v>0</x:v>
      </x:c>
      <x:c r="G510" s="16" t="n">
        <x:v>1</x:v>
      </x:c>
      <x:c r="H510" s="16" t="str">
        <x:v>28-03-2013</x:v>
      </x:c>
      <x:c r="I510" s="16" t="n">
        <x:v>6</x:v>
      </x:c>
      <x:c r="J510" s="16" t="n">
        <x:v>325</x:v>
      </x:c>
      <x:c r="K510" s="16" t="n">
        <x:v>83</x:v>
      </x:c>
      <x:c r="L510" s="16" t="n">
        <x:v>300</x:v>
      </x:c>
      <x:c r="M510" s="16" t="n">
        <x:v>86</x:v>
      </x:c>
      <x:c r="N510" s="16" t="n">
        <x:v>58</x:v>
      </x:c>
      <x:c r="O510" s="16" t="n">
        <x:v>91</x:v>
      </x:c>
      <x:c r="P510" s="16" t="n">
        <x:v>1</x:v>
      </x:c>
      <x:c r="Q510" s="16" t="n">
        <x:v>6</x:v>
      </x:c>
      <x:c r="R510" s="16" t="n">
        <x:v>4</x:v>
      </x:c>
      <x:c r="S510" s="16" t="n">
        <x:v>12</x:v>
      </x:c>
      <x:c r="T510" s="16" t="n">
        <x:v>3</x:v>
      </x:c>
      <x:c r="U510" s="16" t="n">
        <x:v>0</x:v>
      </x:c>
      <x:c r="V510" s="16" t="n">
        <x:v>0</x:v>
      </x:c>
      <x:c r="W510" s="16" t="n">
        <x:v>0</x:v>
      </x:c>
      <x:c r="X510" s="16" t="n">
        <x:v>0</x:v>
      </x:c>
      <x:c r="Y510" s="16" t="n">
        <x:v>0</x:v>
      </x:c>
      <x:c r="Z510" s="16" t="n">
        <x:v>0</x:v>
      </x:c>
      <x:c r="AA510" s="16" t="n">
        <x:v>3</x:v>
      </x:c>
      <x:c r="AB510" s="16" t="n">
        <x:v>11</x:v>
      </x:c>
      <x:c r="AC510" s="16" t="n">
        <x:v>0</x:v>
      </x:c>
      <x:c r="AD510" s="21" t="n">
        <x:f>IF(E510="",MEDIAN($E$2:$E$2237),E510)</x:f>
        <x:v>60152</x:v>
      </x:c>
      <x:c r="AE510" s="17" t="n">
        <x:f>2014-B510</x:f>
        <x:v>35</x:v>
      </x:c>
      <x:c r="AF510" s="17" t="n">
        <x:f>F510+G510</x:f>
        <x:v>1</x:v>
      </x:c>
      <x:c r="AG510" s="21" t="n">
        <x:f>SUM(J510:O510)</x:f>
        <x:v>943</x:v>
      </x:c>
      <x:c r="AH510" s="17" t="n">
        <x:f>SUM(Q510:S510)</x:f>
        <x:v>22</x:v>
      </x:c>
      <x:c r="AI510" s="17" t="n">
        <x:f>SUM(U510:Y510)</x:f>
        <x:v>0</x:v>
      </x:c>
      <x:c r="AJ510" s="17" t="str">
        <x:f>IF(AE510&lt;=34,"≤34",IF(AE510&lt;=44,"35–44",IF(AE510&lt;=54,"45–54",IF(AE510&lt;=64,"55–64","65+"))))</x:f>
        <x:v>35–44</x:v>
      </x:c>
      <x:c r="AK510" s="17" t="str">
        <x:f>IF(AG510&gt;=1000,"High Value",IF(AG510&gt;=300,"Mid Value","Low Value"))</x:f>
        <x:v>Mid Value</x:v>
      </x:c>
      <x:c r="AL510" s="17" t="str">
        <x:f>IF(AND(AI510&gt;=1,I510&lt;=50),"Priority 1",IF(AND(AG510&gt;=1000,I510&lt;=60),"Priority 2",IF(I510&lt;=30,"Priority 3","Nurture")))</x:f>
        <x:v>Priority 3</x:v>
      </x:c>
    </x:row>
    <x:row r="511">
      <x:c r="A511" s="16" t="n">
        <x:v>5389</x:v>
      </x:c>
      <x:c r="B511" s="16" t="n">
        <x:v>1964</x:v>
      </x:c>
      <x:c r="C511" s="16" t="str">
        <x:v>Graduation</x:v>
      </x:c>
      <x:c r="D511" s="16" t="str">
        <x:v>Married</x:v>
      </x:c>
      <x:c r="E511" s="16" t="n">
        <x:v>48920</x:v>
      </x:c>
      <x:c r="F511" s="16" t="n">
        <x:v>0</x:v>
      </x:c>
      <x:c r="G511" s="16" t="n">
        <x:v>2</x:v>
      </x:c>
      <x:c r="H511" s="16" t="str">
        <x:v>20-10-2013</x:v>
      </x:c>
      <x:c r="I511" s="16" t="n">
        <x:v>93</x:v>
      </x:c>
      <x:c r="J511" s="16" t="n">
        <x:v>238</x:v>
      </x:c>
      <x:c r="K511" s="16" t="n">
        <x:v>17</x:v>
      </x:c>
      <x:c r="L511" s="16" t="n">
        <x:v>68</x:v>
      </x:c>
      <x:c r="M511" s="16" t="n">
        <x:v>8</x:v>
      </x:c>
      <x:c r="N511" s="16" t="n">
        <x:v>10</x:v>
      </x:c>
      <x:c r="O511" s="16" t="n">
        <x:v>6</x:v>
      </x:c>
      <x:c r="P511" s="16" t="n">
        <x:v>3</x:v>
      </x:c>
      <x:c r="Q511" s="16" t="n">
        <x:v>6</x:v>
      </x:c>
      <x:c r="R511" s="16" t="n">
        <x:v>2</x:v>
      </x:c>
      <x:c r="S511" s="16" t="n">
        <x:v>5</x:v>
      </x:c>
      <x:c r="T511" s="16" t="n">
        <x:v>7</x:v>
      </x:c>
      <x:c r="U511" s="16" t="n">
        <x:v>0</x:v>
      </x:c>
      <x:c r="V511" s="16" t="n">
        <x:v>1</x:v>
      </x:c>
      <x:c r="W511" s="16" t="n">
        <x:v>0</x:v>
      </x:c>
      <x:c r="X511" s="16" t="n">
        <x:v>0</x:v>
      </x:c>
      <x:c r="Y511" s="16" t="n">
        <x:v>0</x:v>
      </x:c>
      <x:c r="Z511" s="16" t="n">
        <x:v>0</x:v>
      </x:c>
      <x:c r="AA511" s="16" t="n">
        <x:v>3</x:v>
      </x:c>
      <x:c r="AB511" s="16" t="n">
        <x:v>11</x:v>
      </x:c>
      <x:c r="AC511" s="16" t="n">
        <x:v>0</x:v>
      </x:c>
      <x:c r="AD511" s="21" t="n">
        <x:f>IF(E511="",MEDIAN($E$2:$E$2237),E511)</x:f>
        <x:v>48920</x:v>
      </x:c>
      <x:c r="AE511" s="17" t="n">
        <x:f>2014-B511</x:f>
        <x:v>50</x:v>
      </x:c>
      <x:c r="AF511" s="17" t="n">
        <x:f>F511+G511</x:f>
        <x:v>2</x:v>
      </x:c>
      <x:c r="AG511" s="21" t="n">
        <x:f>SUM(J511:O511)</x:f>
        <x:v>347</x:v>
      </x:c>
      <x:c r="AH511" s="17" t="n">
        <x:f>SUM(Q511:S511)</x:f>
        <x:v>13</x:v>
      </x:c>
      <x:c r="AI511" s="17" t="n">
        <x:f>SUM(U511:Y511)</x:f>
        <x:v>1</x:v>
      </x:c>
      <x:c r="AJ511" s="17" t="str">
        <x:f>IF(AE511&lt;=34,"≤34",IF(AE511&lt;=44,"35–44",IF(AE511&lt;=54,"45–54",IF(AE511&lt;=64,"55–64","65+"))))</x:f>
        <x:v>45–54</x:v>
      </x:c>
      <x:c r="AK511" s="17" t="str">
        <x:f>IF(AG511&gt;=1000,"High Value",IF(AG511&gt;=300,"Mid Value","Low Value"))</x:f>
        <x:v>Mid Value</x:v>
      </x:c>
      <x:c r="AL511" s="17" t="str">
        <x:f>IF(AND(AI511&gt;=1,I511&lt;=50),"Priority 1",IF(AND(AG511&gt;=1000,I511&lt;=60),"Priority 2",IF(I511&lt;=30,"Priority 3","Nurture")))</x:f>
        <x:v>Nurture</x:v>
      </x:c>
    </x:row>
    <x:row r="512">
      <x:c r="A512" s="16" t="n">
        <x:v>6036</x:v>
      </x:c>
      <x:c r="B512" s="16" t="n">
        <x:v>1959</x:v>
      </x:c>
      <x:c r="C512" s="16" t="str">
        <x:v>Master</x:v>
      </x:c>
      <x:c r="D512" s="16" t="str">
        <x:v>Together</x:v>
      </x:c>
      <x:c r="E512" s="16" t="n">
        <x:v>89120</x:v>
      </x:c>
      <x:c r="F512" s="16" t="n">
        <x:v>0</x:v>
      </x:c>
      <x:c r="G512" s="16" t="n">
        <x:v>0</x:v>
      </x:c>
      <x:c r="H512" s="16" t="str">
        <x:v>17-03-2014</x:v>
      </x:c>
      <x:c r="I512" s="16" t="n">
        <x:v>78</x:v>
      </x:c>
      <x:c r="J512" s="16" t="n">
        <x:v>1168</x:v>
      </x:c>
      <x:c r="K512" s="16" t="n">
        <x:v>92</x:v>
      </x:c>
      <x:c r="L512" s="16" t="n">
        <x:v>408</x:v>
      </x:c>
      <x:c r="M512" s="16" t="n">
        <x:v>72</x:v>
      </x:c>
      <x:c r="N512" s="16" t="n">
        <x:v>129</x:v>
      </x:c>
      <x:c r="O512" s="16" t="n">
        <x:v>55</x:v>
      </x:c>
      <x:c r="P512" s="16" t="n">
        <x:v>1</x:v>
      </x:c>
      <x:c r="Q512" s="16" t="n">
        <x:v>5</x:v>
      </x:c>
      <x:c r="R512" s="16" t="n">
        <x:v>6</x:v>
      </x:c>
      <x:c r="S512" s="16" t="n">
        <x:v>7</x:v>
      </x:c>
      <x:c r="T512" s="16" t="n">
        <x:v>1</x:v>
      </x:c>
      <x:c r="U512" s="16" t="n">
        <x:v>0</x:v>
      </x:c>
      <x:c r="V512" s="16" t="n">
        <x:v>0</x:v>
      </x:c>
      <x:c r="W512" s="16" t="n">
        <x:v>1</x:v>
      </x:c>
      <x:c r="X512" s="16" t="n">
        <x:v>0</x:v>
      </x:c>
      <x:c r="Y512" s="16" t="n">
        <x:v>0</x:v>
      </x:c>
      <x:c r="Z512" s="16" t="n">
        <x:v>0</x:v>
      </x:c>
      <x:c r="AA512" s="16" t="n">
        <x:v>3</x:v>
      </x:c>
      <x:c r="AB512" s="16" t="n">
        <x:v>11</x:v>
      </x:c>
      <x:c r="AC512" s="16" t="n">
        <x:v>0</x:v>
      </x:c>
      <x:c r="AD512" s="21" t="n">
        <x:f>IF(E512="",MEDIAN($E$2:$E$2237),E512)</x:f>
        <x:v>89120</x:v>
      </x:c>
      <x:c r="AE512" s="17" t="n">
        <x:f>2014-B512</x:f>
        <x:v>55</x:v>
      </x:c>
      <x:c r="AF512" s="17" t="n">
        <x:f>F512+G512</x:f>
        <x:v>0</x:v>
      </x:c>
      <x:c r="AG512" s="21" t="n">
        <x:f>SUM(J512:O512)</x:f>
        <x:v>1924</x:v>
      </x:c>
      <x:c r="AH512" s="17" t="n">
        <x:f>SUM(Q512:S512)</x:f>
        <x:v>18</x:v>
      </x:c>
      <x:c r="AI512" s="17" t="n">
        <x:f>SUM(U512:Y512)</x:f>
        <x:v>1</x:v>
      </x:c>
      <x:c r="AJ512" s="17" t="str">
        <x:f>IF(AE512&lt;=34,"≤34",IF(AE512&lt;=44,"35–44",IF(AE512&lt;=54,"45–54",IF(AE512&lt;=64,"55–64","65+"))))</x:f>
        <x:v>55–64</x:v>
      </x:c>
      <x:c r="AK512" s="17" t="str">
        <x:f>IF(AG512&gt;=1000,"High Value",IF(AG512&gt;=300,"Mid Value","Low Value"))</x:f>
        <x:v>High Value</x:v>
      </x:c>
      <x:c r="AL512" s="17" t="str">
        <x:f>IF(AND(AI512&gt;=1,I512&lt;=50),"Priority 1",IF(AND(AG512&gt;=1000,I512&lt;=60),"Priority 2",IF(I512&lt;=30,"Priority 3","Nurture")))</x:f>
        <x:v>Nurture</x:v>
      </x:c>
    </x:row>
    <x:row r="513">
      <x:c r="A513" s="16" t="n">
        <x:v>182</x:v>
      </x:c>
      <x:c r="B513" s="16" t="n">
        <x:v>1946</x:v>
      </x:c>
      <x:c r="C513" s="16" t="str">
        <x:v>PhD</x:v>
      </x:c>
      <x:c r="D513" s="16" t="str">
        <x:v>Together</x:v>
      </x:c>
      <x:c r="E513" s="16" t="n">
        <x:v>44124</x:v>
      </x:c>
      <x:c r="F513" s="16" t="n">
        <x:v>0</x:v>
      </x:c>
      <x:c r="G513" s="16" t="n">
        <x:v>1</x:v>
      </x:c>
      <x:c r="H513" s="16" t="str">
        <x:v>11-05-2013</x:v>
      </x:c>
      <x:c r="I513" s="16" t="n">
        <x:v>62</x:v>
      </x:c>
      <x:c r="J513" s="16" t="n">
        <x:v>284</x:v>
      </x:c>
      <x:c r="K513" s="16" t="n">
        <x:v>0</x:v>
      </x:c>
      <x:c r="L513" s="16" t="n">
        <x:v>55</x:v>
      </x:c>
      <x:c r="M513" s="16" t="n">
        <x:v>0</x:v>
      </x:c>
      <x:c r="N513" s="16" t="n">
        <x:v>6</x:v>
      </x:c>
      <x:c r="O513" s="16" t="n">
        <x:v>52</x:v>
      </x:c>
      <x:c r="P513" s="16" t="n">
        <x:v>4</x:v>
      </x:c>
      <x:c r="Q513" s="16" t="n">
        <x:v>6</x:v>
      </x:c>
      <x:c r="R513" s="16" t="n">
        <x:v>2</x:v>
      </x:c>
      <x:c r="S513" s="16" t="n">
        <x:v>5</x:v>
      </x:c>
      <x:c r="T513" s="16" t="n">
        <x:v>8</x:v>
      </x:c>
      <x:c r="U513" s="16" t="n">
        <x:v>0</x:v>
      </x:c>
      <x:c r="V513" s="16" t="n">
        <x:v>0</x:v>
      </x:c>
      <x:c r="W513" s="16" t="n">
        <x:v>0</x:v>
      </x:c>
      <x:c r="X513" s="16" t="n">
        <x:v>0</x:v>
      </x:c>
      <x:c r="Y513" s="16" t="n">
        <x:v>0</x:v>
      </x:c>
      <x:c r="Z513" s="16" t="n">
        <x:v>0</x:v>
      </x:c>
      <x:c r="AA513" s="16" t="n">
        <x:v>3</x:v>
      </x:c>
      <x:c r="AB513" s="16" t="n">
        <x:v>11</x:v>
      </x:c>
      <x:c r="AC513" s="16" t="n">
        <x:v>0</x:v>
      </x:c>
      <x:c r="AD513" s="21" t="n">
        <x:f>IF(E513="",MEDIAN($E$2:$E$2237),E513)</x:f>
        <x:v>44124</x:v>
      </x:c>
      <x:c r="AE513" s="17" t="n">
        <x:f>2014-B513</x:f>
        <x:v>68</x:v>
      </x:c>
      <x:c r="AF513" s="17" t="n">
        <x:f>F513+G513</x:f>
        <x:v>1</x:v>
      </x:c>
      <x:c r="AG513" s="21" t="n">
        <x:f>SUM(J513:O513)</x:f>
        <x:v>397</x:v>
      </x:c>
      <x:c r="AH513" s="17" t="n">
        <x:f>SUM(Q513:S513)</x:f>
        <x:v>13</x:v>
      </x:c>
      <x:c r="AI513" s="17" t="n">
        <x:f>SUM(U513:Y513)</x:f>
        <x:v>0</x:v>
      </x:c>
      <x:c r="AJ513" s="17" t="str">
        <x:f>IF(AE513&lt;=34,"≤34",IF(AE513&lt;=44,"35–44",IF(AE513&lt;=54,"45–54",IF(AE513&lt;=64,"55–64","65+"))))</x:f>
        <x:v>65+</x:v>
      </x:c>
      <x:c r="AK513" s="17" t="str">
        <x:f>IF(AG513&gt;=1000,"High Value",IF(AG513&gt;=300,"Mid Value","Low Value"))</x:f>
        <x:v>Mid Value</x:v>
      </x:c>
      <x:c r="AL513" s="17" t="str">
        <x:f>IF(AND(AI513&gt;=1,I513&lt;=50),"Priority 1",IF(AND(AG513&gt;=1000,I513&lt;=60),"Priority 2",IF(I513&lt;=30,"Priority 3","Nurture")))</x:f>
        <x:v>Nurture</x:v>
      </x:c>
    </x:row>
    <x:row r="514">
      <x:c r="A514" s="16" t="n">
        <x:v>203</x:v>
      </x:c>
      <x:c r="B514" s="16" t="n">
        <x:v>1975</x:v>
      </x:c>
      <x:c r="C514" s="16" t="str">
        <x:v>Master</x:v>
      </x:c>
      <x:c r="D514" s="16" t="str">
        <x:v>Single</x:v>
      </x:c>
      <x:c r="E514" s="16" t="n">
        <x:v>81169</x:v>
      </x:c>
      <x:c r="F514" s="16" t="n">
        <x:v>0</x:v>
      </x:c>
      <x:c r="G514" s="16" t="n">
        <x:v>0</x:v>
      </x:c>
      <x:c r="H514" s="16" t="str">
        <x:v>14-04-2013</x:v>
      </x:c>
      <x:c r="I514" s="16" t="n">
        <x:v>47</x:v>
      </x:c>
      <x:c r="J514" s="16" t="n">
        <x:v>1288</x:v>
      </x:c>
      <x:c r="K514" s="16" t="n">
        <x:v>20</x:v>
      </x:c>
      <x:c r="L514" s="16" t="n">
        <x:v>613</x:v>
      </x:c>
      <x:c r="M514" s="16" t="n">
        <x:v>80</x:v>
      </x:c>
      <x:c r="N514" s="16" t="n">
        <x:v>61</x:v>
      </x:c>
      <x:c r="O514" s="16" t="n">
        <x:v>27</x:v>
      </x:c>
      <x:c r="P514" s="16" t="n">
        <x:v>1</x:v>
      </x:c>
      <x:c r="Q514" s="16" t="n">
        <x:v>5</x:v>
      </x:c>
      <x:c r="R514" s="16" t="n">
        <x:v>7</x:v>
      </x:c>
      <x:c r="S514" s="16" t="n">
        <x:v>9</x:v>
      </x:c>
      <x:c r="T514" s="16" t="n">
        <x:v>2</x:v>
      </x:c>
      <x:c r="U514" s="16" t="n">
        <x:v>0</x:v>
      </x:c>
      <x:c r="V514" s="16" t="n">
        <x:v>0</x:v>
      </x:c>
      <x:c r="W514" s="16" t="n">
        <x:v>0</x:v>
      </x:c>
      <x:c r="X514" s="16" t="n">
        <x:v>0</x:v>
      </x:c>
      <x:c r="Y514" s="16" t="n">
        <x:v>0</x:v>
      </x:c>
      <x:c r="Z514" s="16" t="n">
        <x:v>0</x:v>
      </x:c>
      <x:c r="AA514" s="16" t="n">
        <x:v>3</x:v>
      </x:c>
      <x:c r="AB514" s="16" t="n">
        <x:v>11</x:v>
      </x:c>
      <x:c r="AC514" s="16" t="n">
        <x:v>0</x:v>
      </x:c>
      <x:c r="AD514" s="21" t="n">
        <x:f>IF(E514="",MEDIAN($E$2:$E$2237),E514)</x:f>
        <x:v>81169</x:v>
      </x:c>
      <x:c r="AE514" s="17" t="n">
        <x:f>2014-B514</x:f>
        <x:v>39</x:v>
      </x:c>
      <x:c r="AF514" s="17" t="n">
        <x:f>F514+G514</x:f>
        <x:v>0</x:v>
      </x:c>
      <x:c r="AG514" s="21" t="n">
        <x:f>SUM(J514:O514)</x:f>
        <x:v>2089</x:v>
      </x:c>
      <x:c r="AH514" s="17" t="n">
        <x:f>SUM(Q514:S514)</x:f>
        <x:v>21</x:v>
      </x:c>
      <x:c r="AI514" s="17" t="n">
        <x:f>SUM(U514:Y514)</x:f>
        <x:v>0</x:v>
      </x:c>
      <x:c r="AJ514" s="17" t="str">
        <x:f>IF(AE514&lt;=34,"≤34",IF(AE514&lt;=44,"35–44",IF(AE514&lt;=54,"45–54",IF(AE514&lt;=64,"55–64","65+"))))</x:f>
        <x:v>35–44</x:v>
      </x:c>
      <x:c r="AK514" s="17" t="str">
        <x:f>IF(AG514&gt;=1000,"High Value",IF(AG514&gt;=300,"Mid Value","Low Value"))</x:f>
        <x:v>High Value</x:v>
      </x:c>
      <x:c r="AL514" s="17" t="str">
        <x:f>IF(AND(AI514&gt;=1,I514&lt;=50),"Priority 1",IF(AND(AG514&gt;=1000,I514&lt;=60),"Priority 2",IF(I514&lt;=30,"Priority 3","Nurture")))</x:f>
        <x:v>Priority 2</x:v>
      </x:c>
    </x:row>
    <x:row r="515">
      <x:c r="A515" s="16" t="n">
        <x:v>11025</x:v>
      </x:c>
      <x:c r="B515" s="16" t="n">
        <x:v>1961</x:v>
      </x:c>
      <x:c r="C515" s="16" t="str">
        <x:v>Graduation</x:v>
      </x:c>
      <x:c r="D515" s="16" t="str">
        <x:v>Married</x:v>
      </x:c>
      <x:c r="E515" s="16" t="n">
        <x:v>36443</x:v>
      </x:c>
      <x:c r="F515" s="16" t="n">
        <x:v>1</x:v>
      </x:c>
      <x:c r="G515" s="16" t="n">
        <x:v>1</x:v>
      </x:c>
      <x:c r="H515" s="16" t="str">
        <x:v>03-02-2013</x:v>
      </x:c>
      <x:c r="I515" s="16" t="n">
        <x:v>9</x:v>
      </x:c>
      <x:c r="J515" s="16" t="n">
        <x:v>65</x:v>
      </x:c>
      <x:c r="K515" s="16" t="n">
        <x:v>0</x:v>
      </x:c>
      <x:c r="L515" s="16" t="n">
        <x:v>46</x:v>
      </x:c>
      <x:c r="M515" s="16" t="n">
        <x:v>4</x:v>
      </x:c>
      <x:c r="N515" s="16" t="n">
        <x:v>3</x:v>
      </x:c>
      <x:c r="O515" s="16" t="n">
        <x:v>20</x:v>
      </x:c>
      <x:c r="P515" s="16" t="n">
        <x:v>4</x:v>
      </x:c>
      <x:c r="Q515" s="16" t="n">
        <x:v>3</x:v>
      </x:c>
      <x:c r="R515" s="16" t="n">
        <x:v>1</x:v>
      </x:c>
      <x:c r="S515" s="16" t="n">
        <x:v>3</x:v>
      </x:c>
      <x:c r="T515" s="16" t="n">
        <x:v>8</x:v>
      </x:c>
      <x:c r="U515" s="16" t="n">
        <x:v>0</x:v>
      </x:c>
      <x:c r="V515" s="16" t="n">
        <x:v>0</x:v>
      </x:c>
      <x:c r="W515" s="16" t="n">
        <x:v>0</x:v>
      </x:c>
      <x:c r="X515" s="16" t="n">
        <x:v>0</x:v>
      </x:c>
      <x:c r="Y515" s="16" t="n">
        <x:v>0</x:v>
      </x:c>
      <x:c r="Z515" s="16" t="n">
        <x:v>0</x:v>
      </x:c>
      <x:c r="AA515" s="16" t="n">
        <x:v>3</x:v>
      </x:c>
      <x:c r="AB515" s="16" t="n">
        <x:v>11</x:v>
      </x:c>
      <x:c r="AC515" s="16" t="n">
        <x:v>0</x:v>
      </x:c>
      <x:c r="AD515" s="21" t="n">
        <x:f>IF(E515="",MEDIAN($E$2:$E$2237),E515)</x:f>
        <x:v>36443</x:v>
      </x:c>
      <x:c r="AE515" s="17" t="n">
        <x:f>2014-B515</x:f>
        <x:v>53</x:v>
      </x:c>
      <x:c r="AF515" s="17" t="n">
        <x:f>F515+G515</x:f>
        <x:v>2</x:v>
      </x:c>
      <x:c r="AG515" s="21" t="n">
        <x:f>SUM(J515:O515)</x:f>
        <x:v>138</x:v>
      </x:c>
      <x:c r="AH515" s="17" t="n">
        <x:f>SUM(Q515:S515)</x:f>
        <x:v>7</x:v>
      </x:c>
      <x:c r="AI515" s="17" t="n">
        <x:f>SUM(U515:Y515)</x:f>
        <x:v>0</x:v>
      </x:c>
      <x:c r="AJ515" s="17" t="str">
        <x:f>IF(AE515&lt;=34,"≤34",IF(AE515&lt;=44,"35–44",IF(AE515&lt;=54,"45–54",IF(AE515&lt;=64,"55–64","65+"))))</x:f>
        <x:v>45–54</x:v>
      </x:c>
      <x:c r="AK515" s="17" t="str">
        <x:f>IF(AG515&gt;=1000,"High Value",IF(AG515&gt;=300,"Mid Value","Low Value"))</x:f>
        <x:v>Low Value</x:v>
      </x:c>
      <x:c r="AL515" s="17" t="str">
        <x:f>IF(AND(AI515&gt;=1,I515&lt;=50),"Priority 1",IF(AND(AG515&gt;=1000,I515&lt;=60),"Priority 2",IF(I515&lt;=30,"Priority 3","Nurture")))</x:f>
        <x:v>Priority 3</x:v>
      </x:c>
    </x:row>
    <x:row r="516">
      <x:c r="A516" s="16" t="n">
        <x:v>10203</x:v>
      </x:c>
      <x:c r="B516" s="16" t="n">
        <x:v>1990</x:v>
      </x:c>
      <x:c r="C516" s="16" t="str">
        <x:v>Graduation</x:v>
      </x:c>
      <x:c r="D516" s="16" t="str">
        <x:v>Single</x:v>
      </x:c>
      <x:c r="E516" s="16" t="n">
        <x:v>26095</x:v>
      </x:c>
      <x:c r="F516" s="16" t="n">
        <x:v>1</x:v>
      </x:c>
      <x:c r="G516" s="16" t="n">
        <x:v>0</x:v>
      </x:c>
      <x:c r="H516" s="16" t="str">
        <x:v>30-06-2013</x:v>
      </x:c>
      <x:c r="I516" s="16" t="n">
        <x:v>77</x:v>
      </x:c>
      <x:c r="J516" s="16" t="n">
        <x:v>11</x:v>
      </x:c>
      <x:c r="K516" s="16" t="n">
        <x:v>7</x:v>
      </x:c>
      <x:c r="L516" s="16" t="n">
        <x:v>9</x:v>
      </x:c>
      <x:c r="M516" s="16" t="n">
        <x:v>3</x:v>
      </x:c>
      <x:c r="N516" s="16" t="n">
        <x:v>1</x:v>
      </x:c>
      <x:c r="O516" s="16" t="n">
        <x:v>11</x:v>
      </x:c>
      <x:c r="P516" s="16" t="n">
        <x:v>1</x:v>
      </x:c>
      <x:c r="Q516" s="16" t="n">
        <x:v>1</x:v>
      </x:c>
      <x:c r="R516" s="16" t="n">
        <x:v>0</x:v>
      </x:c>
      <x:c r="S516" s="16" t="n">
        <x:v>3</x:v>
      </x:c>
      <x:c r="T516" s="16" t="n">
        <x:v>7</x:v>
      </x:c>
      <x:c r="U516" s="16" t="n">
        <x:v>0</x:v>
      </x:c>
      <x:c r="V516" s="16" t="n">
        <x:v>0</x:v>
      </x:c>
      <x:c r="W516" s="16" t="n">
        <x:v>0</x:v>
      </x:c>
      <x:c r="X516" s="16" t="n">
        <x:v>0</x:v>
      </x:c>
      <x:c r="Y516" s="16" t="n">
        <x:v>0</x:v>
      </x:c>
      <x:c r="Z516" s="16" t="n">
        <x:v>0</x:v>
      </x:c>
      <x:c r="AA516" s="16" t="n">
        <x:v>3</x:v>
      </x:c>
      <x:c r="AB516" s="16" t="n">
        <x:v>11</x:v>
      </x:c>
      <x:c r="AC516" s="16" t="n">
        <x:v>0</x:v>
      </x:c>
      <x:c r="AD516" s="21" t="n">
        <x:f>IF(E516="",MEDIAN($E$2:$E$2237),E516)</x:f>
        <x:v>26095</x:v>
      </x:c>
      <x:c r="AE516" s="17" t="n">
        <x:f>2014-B516</x:f>
        <x:v>24</x:v>
      </x:c>
      <x:c r="AF516" s="17" t="n">
        <x:f>F516+G516</x:f>
        <x:v>1</x:v>
      </x:c>
      <x:c r="AG516" s="21" t="n">
        <x:f>SUM(J516:O516)</x:f>
        <x:v>42</x:v>
      </x:c>
      <x:c r="AH516" s="17" t="n">
        <x:f>SUM(Q516:S516)</x:f>
        <x:v>4</x:v>
      </x:c>
      <x:c r="AI516" s="17" t="n">
        <x:f>SUM(U516:Y516)</x:f>
        <x:v>0</x:v>
      </x:c>
      <x:c r="AJ516" s="17" t="str">
        <x:f>IF(AE516&lt;=34,"≤34",IF(AE516&lt;=44,"35–44",IF(AE516&lt;=54,"45–54",IF(AE516&lt;=64,"55–64","65+"))))</x:f>
        <x:v>≤34</x:v>
      </x:c>
      <x:c r="AK516" s="17" t="str">
        <x:f>IF(AG516&gt;=1000,"High Value",IF(AG516&gt;=300,"Mid Value","Low Value"))</x:f>
        <x:v>Low Value</x:v>
      </x:c>
      <x:c r="AL516" s="17" t="str">
        <x:f>IF(AND(AI516&gt;=1,I516&lt;=50),"Priority 1",IF(AND(AG516&gt;=1000,I516&lt;=60),"Priority 2",IF(I516&lt;=30,"Priority 3","Nurture")))</x:f>
        <x:v>Nurture</x:v>
      </x:c>
    </x:row>
    <x:row r="517">
      <x:c r="A517" s="16" t="n">
        <x:v>4607</x:v>
      </x:c>
      <x:c r="B517" s="16" t="n">
        <x:v>1959</x:v>
      </x:c>
      <x:c r="C517" s="16" t="str">
        <x:v>Graduation</x:v>
      </x:c>
      <x:c r="D517" s="16" t="str">
        <x:v>Together</x:v>
      </x:c>
      <x:c r="E517" s="16" t="n">
        <x:v>71367</x:v>
      </x:c>
      <x:c r="F517" s="16" t="n">
        <x:v>0</x:v>
      </x:c>
      <x:c r="G517" s="16" t="n">
        <x:v>0</x:v>
      </x:c>
      <x:c r="H517" s="16" t="str">
        <x:v>23-08-2013</x:v>
      </x:c>
      <x:c r="I517" s="16" t="n">
        <x:v>24</x:v>
      </x:c>
      <x:c r="J517" s="16" t="n">
        <x:v>227</x:v>
      </x:c>
      <x:c r="K517" s="16" t="n">
        <x:v>23</x:v>
      </x:c>
      <x:c r="L517" s="16" t="n">
        <x:v>389</x:v>
      </x:c>
      <x:c r="M517" s="16" t="n">
        <x:v>42</x:v>
      </x:c>
      <x:c r="N517" s="16" t="n">
        <x:v>21</x:v>
      </x:c>
      <x:c r="O517" s="16" t="n">
        <x:v>75</x:v>
      </x:c>
      <x:c r="P517" s="16" t="n">
        <x:v>1</x:v>
      </x:c>
      <x:c r="Q517" s="16" t="n">
        <x:v>4</x:v>
      </x:c>
      <x:c r="R517" s="16" t="n">
        <x:v>5</x:v>
      </x:c>
      <x:c r="S517" s="16" t="n">
        <x:v>7</x:v>
      </x:c>
      <x:c r="T517" s="16" t="n">
        <x:v>2</x:v>
      </x:c>
      <x:c r="U517" s="16" t="n">
        <x:v>0</x:v>
      </x:c>
      <x:c r="V517" s="16" t="n">
        <x:v>0</x:v>
      </x:c>
      <x:c r="W517" s="16" t="n">
        <x:v>0</x:v>
      </x:c>
      <x:c r="X517" s="16" t="n">
        <x:v>0</x:v>
      </x:c>
      <x:c r="Y517" s="16" t="n">
        <x:v>0</x:v>
      </x:c>
      <x:c r="Z517" s="16" t="n">
        <x:v>0</x:v>
      </x:c>
      <x:c r="AA517" s="16" t="n">
        <x:v>3</x:v>
      </x:c>
      <x:c r="AB517" s="16" t="n">
        <x:v>11</x:v>
      </x:c>
      <x:c r="AC517" s="16" t="n">
        <x:v>0</x:v>
      </x:c>
      <x:c r="AD517" s="21" t="n">
        <x:f>IF(E517="",MEDIAN($E$2:$E$2237),E517)</x:f>
        <x:v>71367</x:v>
      </x:c>
      <x:c r="AE517" s="17" t="n">
        <x:f>2014-B517</x:f>
        <x:v>55</x:v>
      </x:c>
      <x:c r="AF517" s="17" t="n">
        <x:f>F517+G517</x:f>
        <x:v>0</x:v>
      </x:c>
      <x:c r="AG517" s="21" t="n">
        <x:f>SUM(J517:O517)</x:f>
        <x:v>777</x:v>
      </x:c>
      <x:c r="AH517" s="17" t="n">
        <x:f>SUM(Q517:S517)</x:f>
        <x:v>16</x:v>
      </x:c>
      <x:c r="AI517" s="17" t="n">
        <x:f>SUM(U517:Y517)</x:f>
        <x:v>0</x:v>
      </x:c>
      <x:c r="AJ517" s="17" t="str">
        <x:f>IF(AE517&lt;=34,"≤34",IF(AE517&lt;=44,"35–44",IF(AE517&lt;=54,"45–54",IF(AE517&lt;=64,"55–64","65+"))))</x:f>
        <x:v>55–64</x:v>
      </x:c>
      <x:c r="AK517" s="17" t="str">
        <x:f>IF(AG517&gt;=1000,"High Value",IF(AG517&gt;=300,"Mid Value","Low Value"))</x:f>
        <x:v>Mid Value</x:v>
      </x:c>
      <x:c r="AL517" s="17" t="str">
        <x:f>IF(AND(AI517&gt;=1,I517&lt;=50),"Priority 1",IF(AND(AG517&gt;=1000,I517&lt;=60),"Priority 2",IF(I517&lt;=30,"Priority 3","Nurture")))</x:f>
        <x:v>Priority 3</x:v>
      </x:c>
    </x:row>
    <x:row r="518">
      <x:c r="A518" s="16" t="n">
        <x:v>3711</x:v>
      </x:c>
      <x:c r="B518" s="16" t="n">
        <x:v>1944</x:v>
      </x:c>
      <x:c r="C518" s="16" t="str">
        <x:v>Master</x:v>
      </x:c>
      <x:c r="D518" s="16" t="str">
        <x:v>Married</x:v>
      </x:c>
      <x:c r="E518" s="16" t="n">
        <x:v>80184</x:v>
      </x:c>
      <x:c r="F518" s="16" t="n">
        <x:v>0</x:v>
      </x:c>
      <x:c r="G518" s="16" t="n">
        <x:v>0</x:v>
      </x:c>
      <x:c r="H518" s="16" t="str">
        <x:v>01-03-2014</x:v>
      </x:c>
      <x:c r="I518" s="16" t="n">
        <x:v>19</x:v>
      </x:c>
      <x:c r="J518" s="16" t="n">
        <x:v>1035</x:v>
      </x:c>
      <x:c r="K518" s="16" t="n">
        <x:v>134</x:v>
      </x:c>
      <x:c r="L518" s="16" t="n">
        <x:v>670</x:v>
      </x:c>
      <x:c r="M518" s="16" t="n">
        <x:v>25</x:v>
      </x:c>
      <x:c r="N518" s="16" t="n">
        <x:v>38</x:v>
      </x:c>
      <x:c r="O518" s="16" t="n">
        <x:v>0</x:v>
      </x:c>
      <x:c r="P518" s="16" t="n">
        <x:v>1</x:v>
      </x:c>
      <x:c r="Q518" s="16" t="n">
        <x:v>6</x:v>
      </x:c>
      <x:c r="R518" s="16" t="n">
        <x:v>3</x:v>
      </x:c>
      <x:c r="S518" s="16" t="n">
        <x:v>10</x:v>
      </x:c>
      <x:c r="T518" s="16" t="n">
        <x:v>3</x:v>
      </x:c>
      <x:c r="U518" s="16" t="n">
        <x:v>0</x:v>
      </x:c>
      <x:c r="V518" s="16" t="n">
        <x:v>0</x:v>
      </x:c>
      <x:c r="W518" s="16" t="n">
        <x:v>1</x:v>
      </x:c>
      <x:c r="X518" s="16" t="n">
        <x:v>1</x:v>
      </x:c>
      <x:c r="Y518" s="16" t="n">
        <x:v>0</x:v>
      </x:c>
      <x:c r="Z518" s="16" t="n">
        <x:v>0</x:v>
      </x:c>
      <x:c r="AA518" s="16" t="n">
        <x:v>3</x:v>
      </x:c>
      <x:c r="AB518" s="16" t="n">
        <x:v>11</x:v>
      </x:c>
      <x:c r="AC518" s="16" t="n">
        <x:v>0</x:v>
      </x:c>
      <x:c r="AD518" s="21" t="n">
        <x:f>IF(E518="",MEDIAN($E$2:$E$2237),E518)</x:f>
        <x:v>80184</x:v>
      </x:c>
      <x:c r="AE518" s="17" t="n">
        <x:f>2014-B518</x:f>
        <x:v>70</x:v>
      </x:c>
      <x:c r="AF518" s="17" t="n">
        <x:f>F518+G518</x:f>
        <x:v>0</x:v>
      </x:c>
      <x:c r="AG518" s="21" t="n">
        <x:f>SUM(J518:O518)</x:f>
        <x:v>1902</x:v>
      </x:c>
      <x:c r="AH518" s="17" t="n">
        <x:f>SUM(Q518:S518)</x:f>
        <x:v>19</x:v>
      </x:c>
      <x:c r="AI518" s="17" t="n">
        <x:f>SUM(U518:Y518)</x:f>
        <x:v>2</x:v>
      </x:c>
      <x:c r="AJ518" s="17" t="str">
        <x:f>IF(AE518&lt;=34,"≤34",IF(AE518&lt;=44,"35–44",IF(AE518&lt;=54,"45–54",IF(AE518&lt;=64,"55–64","65+"))))</x:f>
        <x:v>65+</x:v>
      </x:c>
      <x:c r="AK518" s="17" t="str">
        <x:f>IF(AG518&gt;=1000,"High Value",IF(AG518&gt;=300,"Mid Value","Low Value"))</x:f>
        <x:v>High Value</x:v>
      </x:c>
      <x:c r="AL518" s="17" t="str">
        <x:f>IF(AND(AI518&gt;=1,I518&lt;=50),"Priority 1",IF(AND(AG518&gt;=1000,I518&lt;=60),"Priority 2",IF(I518&lt;=30,"Priority 3","Nurture")))</x:f>
        <x:v>Priority 1</x:v>
      </x:c>
    </x:row>
    <x:row r="519">
      <x:c r="A519" s="16" t="n">
        <x:v>3696</x:v>
      </x:c>
      <x:c r="B519" s="16" t="n">
        <x:v>1965</x:v>
      </x:c>
      <x:c r="C519" s="16" t="str">
        <x:v>Graduation</x:v>
      </x:c>
      <x:c r="D519" s="16" t="str">
        <x:v>Divorced</x:v>
      </x:c>
      <x:c r="E519" s="16" t="n">
        <x:v>30630</x:v>
      </x:c>
      <x:c r="F519" s="16" t="n">
        <x:v>1</x:v>
      </x:c>
      <x:c r="G519" s="16" t="n">
        <x:v>1</x:v>
      </x:c>
      <x:c r="H519" s="16" t="str">
        <x:v>27-01-2014</x:v>
      </x:c>
      <x:c r="I519" s="16" t="n">
        <x:v>67</x:v>
      </x:c>
      <x:c r="J519" s="16" t="n">
        <x:v>27</x:v>
      </x:c>
      <x:c r="K519" s="16" t="n">
        <x:v>1</x:v>
      </x:c>
      <x:c r="L519" s="16" t="n">
        <x:v>12</x:v>
      </x:c>
      <x:c r="M519" s="16" t="n">
        <x:v>2</x:v>
      </x:c>
      <x:c r="N519" s="16" t="n">
        <x:v>0</x:v>
      </x:c>
      <x:c r="O519" s="16" t="n">
        <x:v>10</x:v>
      </x:c>
      <x:c r="P519" s="16" t="n">
        <x:v>2</x:v>
      </x:c>
      <x:c r="Q519" s="16" t="n">
        <x:v>2</x:v>
      </x:c>
      <x:c r="R519" s="16" t="n">
        <x:v>0</x:v>
      </x:c>
      <x:c r="S519" s="16" t="n">
        <x:v>3</x:v>
      </x:c>
      <x:c r="T519" s="16" t="n">
        <x:v>7</x:v>
      </x:c>
      <x:c r="U519" s="16" t="n">
        <x:v>0</x:v>
      </x:c>
      <x:c r="V519" s="16" t="n">
        <x:v>0</x:v>
      </x:c>
      <x:c r="W519" s="16" t="n">
        <x:v>0</x:v>
      </x:c>
      <x:c r="X519" s="16" t="n">
        <x:v>0</x:v>
      </x:c>
      <x:c r="Y519" s="16" t="n">
        <x:v>0</x:v>
      </x:c>
      <x:c r="Z519" s="16" t="n">
        <x:v>0</x:v>
      </x:c>
      <x:c r="AA519" s="16" t="n">
        <x:v>3</x:v>
      </x:c>
      <x:c r="AB519" s="16" t="n">
        <x:v>11</x:v>
      </x:c>
      <x:c r="AC519" s="16" t="n">
        <x:v>0</x:v>
      </x:c>
      <x:c r="AD519" s="21" t="n">
        <x:f>IF(E519="",MEDIAN($E$2:$E$2237),E519)</x:f>
        <x:v>30630</x:v>
      </x:c>
      <x:c r="AE519" s="17" t="n">
        <x:f>2014-B519</x:f>
        <x:v>49</x:v>
      </x:c>
      <x:c r="AF519" s="17" t="n">
        <x:f>F519+G519</x:f>
        <x:v>2</x:v>
      </x:c>
      <x:c r="AG519" s="21" t="n">
        <x:f>SUM(J519:O519)</x:f>
        <x:v>52</x:v>
      </x:c>
      <x:c r="AH519" s="17" t="n">
        <x:f>SUM(Q519:S519)</x:f>
        <x:v>5</x:v>
      </x:c>
      <x:c r="AI519" s="17" t="n">
        <x:f>SUM(U519:Y519)</x:f>
        <x:v>0</x:v>
      </x:c>
      <x:c r="AJ519" s="17" t="str">
        <x:f>IF(AE519&lt;=34,"≤34",IF(AE519&lt;=44,"35–44",IF(AE519&lt;=54,"45–54",IF(AE519&lt;=64,"55–64","65+"))))</x:f>
        <x:v>45–54</x:v>
      </x:c>
      <x:c r="AK519" s="17" t="str">
        <x:f>IF(AG519&gt;=1000,"High Value",IF(AG519&gt;=300,"Mid Value","Low Value"))</x:f>
        <x:v>Low Value</x:v>
      </x:c>
      <x:c r="AL519" s="17" t="str">
        <x:f>IF(AND(AI519&gt;=1,I519&lt;=50),"Priority 1",IF(AND(AG519&gt;=1000,I519&lt;=60),"Priority 2",IF(I519&lt;=30,"Priority 3","Nurture")))</x:f>
        <x:v>Nurture</x:v>
      </x:c>
    </x:row>
    <x:row r="520">
      <x:c r="A520" s="16" t="n">
        <x:v>2532</x:v>
      </x:c>
      <x:c r="B520" s="16" t="n">
        <x:v>1987</x:v>
      </x:c>
      <x:c r="C520" s="16" t="str">
        <x:v>Master</x:v>
      </x:c>
      <x:c r="D520" s="16" t="str">
        <x:v>Single</x:v>
      </x:c>
      <x:c r="E520" s="16" t="n">
        <x:v>73454</x:v>
      </x:c>
      <x:c r="F520" s="16" t="n">
        <x:v>0</x:v>
      </x:c>
      <x:c r="G520" s="16" t="n">
        <x:v>0</x:v>
      </x:c>
      <x:c r="H520" s="16" t="str">
        <x:v>01-03-2014</x:v>
      </x:c>
      <x:c r="I520" s="16" t="n">
        <x:v>95</x:v>
      </x:c>
      <x:c r="J520" s="16" t="n">
        <x:v>982</x:v>
      </x:c>
      <x:c r="K520" s="16" t="n">
        <x:v>73</x:v>
      </x:c>
      <x:c r="L520" s="16" t="n">
        <x:v>351</x:v>
      </x:c>
      <x:c r="M520" s="16" t="n">
        <x:v>56</x:v>
      </x:c>
      <x:c r="N520" s="16" t="n">
        <x:v>14</x:v>
      </x:c>
      <x:c r="O520" s="16" t="n">
        <x:v>175</x:v>
      </x:c>
      <x:c r="P520" s="16" t="n">
        <x:v>1</x:v>
      </x:c>
      <x:c r="Q520" s="16" t="n">
        <x:v>2</x:v>
      </x:c>
      <x:c r="R520" s="16" t="n">
        <x:v>4</x:v>
      </x:c>
      <x:c r="S520" s="16" t="n">
        <x:v>6</x:v>
      </x:c>
      <x:c r="T520" s="16" t="n">
        <x:v>5</x:v>
      </x:c>
      <x:c r="U520" s="16" t="n">
        <x:v>1</x:v>
      </x:c>
      <x:c r="V520" s="16" t="n">
        <x:v>0</x:v>
      </x:c>
      <x:c r="W520" s="16" t="n">
        <x:v>0</x:v>
      </x:c>
      <x:c r="X520" s="16" t="n">
        <x:v>0</x:v>
      </x:c>
      <x:c r="Y520" s="16" t="n">
        <x:v>0</x:v>
      </x:c>
      <x:c r="Z520" s="16" t="n">
        <x:v>0</x:v>
      </x:c>
      <x:c r="AA520" s="16" t="n">
        <x:v>3</x:v>
      </x:c>
      <x:c r="AB520" s="16" t="n">
        <x:v>11</x:v>
      </x:c>
      <x:c r="AC520" s="16" t="n">
        <x:v>0</x:v>
      </x:c>
      <x:c r="AD520" s="21" t="n">
        <x:f>IF(E520="",MEDIAN($E$2:$E$2237),E520)</x:f>
        <x:v>73454</x:v>
      </x:c>
      <x:c r="AE520" s="17" t="n">
        <x:f>2014-B520</x:f>
        <x:v>27</x:v>
      </x:c>
      <x:c r="AF520" s="17" t="n">
        <x:f>F520+G520</x:f>
        <x:v>0</x:v>
      </x:c>
      <x:c r="AG520" s="21" t="n">
        <x:f>SUM(J520:O520)</x:f>
        <x:v>1651</x:v>
      </x:c>
      <x:c r="AH520" s="17" t="n">
        <x:f>SUM(Q520:S520)</x:f>
        <x:v>12</x:v>
      </x:c>
      <x:c r="AI520" s="17" t="n">
        <x:f>SUM(U520:Y520)</x:f>
        <x:v>1</x:v>
      </x:c>
      <x:c r="AJ520" s="17" t="str">
        <x:f>IF(AE520&lt;=34,"≤34",IF(AE520&lt;=44,"35–44",IF(AE520&lt;=54,"45–54",IF(AE520&lt;=64,"55–64","65+"))))</x:f>
        <x:v>≤34</x:v>
      </x:c>
      <x:c r="AK520" s="17" t="str">
        <x:f>IF(AG520&gt;=1000,"High Value",IF(AG520&gt;=300,"Mid Value","Low Value"))</x:f>
        <x:v>High Value</x:v>
      </x:c>
      <x:c r="AL520" s="17" t="str">
        <x:f>IF(AND(AI520&gt;=1,I520&lt;=50),"Priority 1",IF(AND(AG520&gt;=1000,I520&lt;=60),"Priority 2",IF(I520&lt;=30,"Priority 3","Nurture")))</x:f>
        <x:v>Nurture</x:v>
      </x:c>
    </x:row>
    <x:row r="521">
      <x:c r="A521" s="16" t="n">
        <x:v>9214</x:v>
      </x:c>
      <x:c r="B521" s="16" t="n">
        <x:v>1991</x:v>
      </x:c>
      <x:c r="C521" s="16" t="str">
        <x:v>Graduation</x:v>
      </x:c>
      <x:c r="D521" s="16" t="str">
        <x:v>Married</x:v>
      </x:c>
      <x:c r="E521" s="16" t="n">
        <x:v>42691</x:v>
      </x:c>
      <x:c r="F521" s="16" t="n">
        <x:v>0</x:v>
      </x:c>
      <x:c r="G521" s="16" t="n">
        <x:v>0</x:v>
      </x:c>
      <x:c r="H521" s="16" t="str">
        <x:v>16-08-2013</x:v>
      </x:c>
      <x:c r="I521" s="16" t="n">
        <x:v>48</x:v>
      </x:c>
      <x:c r="J521" s="16" t="n">
        <x:v>179</x:v>
      </x:c>
      <x:c r="K521" s="16" t="n">
        <x:v>2</x:v>
      </x:c>
      <x:c r="L521" s="16" t="n">
        <x:v>64</x:v>
      </x:c>
      <x:c r="M521" s="16" t="n">
        <x:v>38</x:v>
      </x:c>
      <x:c r="N521" s="16" t="n">
        <x:v>17</x:v>
      </x:c>
      <x:c r="O521" s="16" t="n">
        <x:v>58</x:v>
      </x:c>
      <x:c r="P521" s="16" t="n">
        <x:v>1</x:v>
      </x:c>
      <x:c r="Q521" s="16" t="n">
        <x:v>5</x:v>
      </x:c>
      <x:c r="R521" s="16" t="n">
        <x:v>1</x:v>
      </x:c>
      <x:c r="S521" s="16" t="n">
        <x:v>6</x:v>
      </x:c>
      <x:c r="T521" s="16" t="n">
        <x:v>5</x:v>
      </x:c>
      <x:c r="U521" s="16" t="n">
        <x:v>0</x:v>
      </x:c>
      <x:c r="V521" s="16" t="n">
        <x:v>0</x:v>
      </x:c>
      <x:c r="W521" s="16" t="n">
        <x:v>0</x:v>
      </x:c>
      <x:c r="X521" s="16" t="n">
        <x:v>0</x:v>
      </x:c>
      <x:c r="Y521" s="16" t="n">
        <x:v>0</x:v>
      </x:c>
      <x:c r="Z521" s="16" t="n">
        <x:v>0</x:v>
      </x:c>
      <x:c r="AA521" s="16" t="n">
        <x:v>3</x:v>
      </x:c>
      <x:c r="AB521" s="16" t="n">
        <x:v>11</x:v>
      </x:c>
      <x:c r="AC521" s="16" t="n">
        <x:v>0</x:v>
      </x:c>
      <x:c r="AD521" s="21" t="n">
        <x:f>IF(E521="",MEDIAN($E$2:$E$2237),E521)</x:f>
        <x:v>42691</x:v>
      </x:c>
      <x:c r="AE521" s="17" t="n">
        <x:f>2014-B521</x:f>
        <x:v>23</x:v>
      </x:c>
      <x:c r="AF521" s="17" t="n">
        <x:f>F521+G521</x:f>
        <x:v>0</x:v>
      </x:c>
      <x:c r="AG521" s="21" t="n">
        <x:f>SUM(J521:O521)</x:f>
        <x:v>358</x:v>
      </x:c>
      <x:c r="AH521" s="17" t="n">
        <x:f>SUM(Q521:S521)</x:f>
        <x:v>12</x:v>
      </x:c>
      <x:c r="AI521" s="17" t="n">
        <x:f>SUM(U521:Y521)</x:f>
        <x:v>0</x:v>
      </x:c>
      <x:c r="AJ521" s="17" t="str">
        <x:f>IF(AE521&lt;=34,"≤34",IF(AE521&lt;=44,"35–44",IF(AE521&lt;=54,"45–54",IF(AE521&lt;=64,"55–64","65+"))))</x:f>
        <x:v>≤34</x:v>
      </x:c>
      <x:c r="AK521" s="17" t="str">
        <x:f>IF(AG521&gt;=1000,"High Value",IF(AG521&gt;=300,"Mid Value","Low Value"))</x:f>
        <x:v>Mid Value</x:v>
      </x:c>
      <x:c r="AL521" s="17" t="str">
        <x:f>IF(AND(AI521&gt;=1,I521&lt;=50),"Priority 1",IF(AND(AG521&gt;=1000,I521&lt;=60),"Priority 2",IF(I521&lt;=30,"Priority 3","Nurture")))</x:f>
        <x:v>Nurture</x:v>
      </x:c>
    </x:row>
    <x:row r="522">
      <x:c r="A522" s="16" t="n">
        <x:v>4943</x:v>
      </x:c>
      <x:c r="B522" s="16" t="n">
        <x:v>1953</x:v>
      </x:c>
      <x:c r="C522" s="16" t="str">
        <x:v>Graduation</x:v>
      </x:c>
      <x:c r="D522" s="16" t="str">
        <x:v>Married</x:v>
      </x:c>
      <x:c r="E522" s="16" t="n">
        <x:v>70503</x:v>
      </x:c>
      <x:c r="F522" s="16" t="n">
        <x:v>0</x:v>
      </x:c>
      <x:c r="G522" s="16" t="n">
        <x:v>0</x:v>
      </x:c>
      <x:c r="H522" s="16" t="str">
        <x:v>30-09-2012</x:v>
      </x:c>
      <x:c r="I522" s="16" t="n">
        <x:v>73</x:v>
      </x:c>
      <x:c r="J522" s="16" t="n">
        <x:v>1379</x:v>
      </x:c>
      <x:c r="K522" s="16" t="n">
        <x:v>33</x:v>
      </x:c>
      <x:c r="L522" s="16" t="n">
        <x:v>216</x:v>
      </x:c>
      <x:c r="M522" s="16" t="n">
        <x:v>0</x:v>
      </x:c>
      <x:c r="N522" s="16" t="n">
        <x:v>33</x:v>
      </x:c>
      <x:c r="O522" s="16" t="n">
        <x:v>66</x:v>
      </x:c>
      <x:c r="P522" s="16" t="n">
        <x:v>1</x:v>
      </x:c>
      <x:c r="Q522" s="16" t="n">
        <x:v>2</x:v>
      </x:c>
      <x:c r="R522" s="16" t="n">
        <x:v>4</x:v>
      </x:c>
      <x:c r="S522" s="16" t="n">
        <x:v>9</x:v>
      </x:c>
      <x:c r="T522" s="16" t="n">
        <x:v>6</x:v>
      </x:c>
      <x:c r="U522" s="16" t="n">
        <x:v>0</x:v>
      </x:c>
      <x:c r="V522" s="16" t="n">
        <x:v>1</x:v>
      </x:c>
      <x:c r="W522" s="16" t="n">
        <x:v>1</x:v>
      </x:c>
      <x:c r="X522" s="16" t="n">
        <x:v>0</x:v>
      </x:c>
      <x:c r="Y522" s="16" t="n">
        <x:v>0</x:v>
      </x:c>
      <x:c r="Z522" s="16" t="n">
        <x:v>0</x:v>
      </x:c>
      <x:c r="AA522" s="16" t="n">
        <x:v>3</x:v>
      </x:c>
      <x:c r="AB522" s="16" t="n">
        <x:v>11</x:v>
      </x:c>
      <x:c r="AC522" s="16" t="n">
        <x:v>0</x:v>
      </x:c>
      <x:c r="AD522" s="21" t="n">
        <x:f>IF(E522="",MEDIAN($E$2:$E$2237),E522)</x:f>
        <x:v>70503</x:v>
      </x:c>
      <x:c r="AE522" s="17" t="n">
        <x:f>2014-B522</x:f>
        <x:v>61</x:v>
      </x:c>
      <x:c r="AF522" s="17" t="n">
        <x:f>F522+G522</x:f>
        <x:v>0</x:v>
      </x:c>
      <x:c r="AG522" s="21" t="n">
        <x:f>SUM(J522:O522)</x:f>
        <x:v>1727</x:v>
      </x:c>
      <x:c r="AH522" s="17" t="n">
        <x:f>SUM(Q522:S522)</x:f>
        <x:v>15</x:v>
      </x:c>
      <x:c r="AI522" s="17" t="n">
        <x:f>SUM(U522:Y522)</x:f>
        <x:v>2</x:v>
      </x:c>
      <x:c r="AJ522" s="17" t="str">
        <x:f>IF(AE522&lt;=34,"≤34",IF(AE522&lt;=44,"35–44",IF(AE522&lt;=54,"45–54",IF(AE522&lt;=64,"55–64","65+"))))</x:f>
        <x:v>55–64</x:v>
      </x:c>
      <x:c r="AK522" s="17" t="str">
        <x:f>IF(AG522&gt;=1000,"High Value",IF(AG522&gt;=300,"Mid Value","Low Value"))</x:f>
        <x:v>High Value</x:v>
      </x:c>
      <x:c r="AL522" s="17" t="str">
        <x:f>IF(AND(AI522&gt;=1,I522&lt;=50),"Priority 1",IF(AND(AG522&gt;=1000,I522&lt;=60),"Priority 2",IF(I522&lt;=30,"Priority 3","Nurture")))</x:f>
        <x:v>Nurture</x:v>
      </x:c>
    </x:row>
    <x:row r="523">
      <x:c r="A523" s="16" t="n">
        <x:v>35</x:v>
      </x:c>
      <x:c r="B523" s="16" t="n">
        <x:v>1987</x:v>
      </x:c>
      <x:c r="C523" s="16" t="str">
        <x:v>Graduation</x:v>
      </x:c>
      <x:c r="D523" s="16" t="str">
        <x:v>Married</x:v>
      </x:c>
      <x:c r="E523" s="16" t="n">
        <x:v>25545</x:v>
      </x:c>
      <x:c r="F523" s="16" t="n">
        <x:v>1</x:v>
      </x:c>
      <x:c r="G523" s="16" t="n">
        <x:v>0</x:v>
      </x:c>
      <x:c r="H523" s="16" t="str">
        <x:v>08-09-2012</x:v>
      </x:c>
      <x:c r="I523" s="16" t="n">
        <x:v>35</x:v>
      </x:c>
      <x:c r="J523" s="16" t="n">
        <x:v>32</x:v>
      </x:c>
      <x:c r="K523" s="16" t="n">
        <x:v>1</x:v>
      </x:c>
      <x:c r="L523" s="16" t="n">
        <x:v>64</x:v>
      </x:c>
      <x:c r="M523" s="16" t="n">
        <x:v>16</x:v>
      </x:c>
      <x:c r="N523" s="16" t="n">
        <x:v>12</x:v>
      </x:c>
      <x:c r="O523" s="16" t="n">
        <x:v>85</x:v>
      </x:c>
      <x:c r="P523" s="16" t="n">
        <x:v>3</x:v>
      </x:c>
      <x:c r="Q523" s="16" t="n">
        <x:v>2</x:v>
      </x:c>
      <x:c r="R523" s="16" t="n">
        <x:v>2</x:v>
      </x:c>
      <x:c r="S523" s="16" t="n">
        <x:v>3</x:v>
      </x:c>
      <x:c r="T523" s="16" t="n">
        <x:v>6</x:v>
      </x:c>
      <x:c r="U523" s="16" t="n">
        <x:v>0</x:v>
      </x:c>
      <x:c r="V523" s="16" t="n">
        <x:v>0</x:v>
      </x:c>
      <x:c r="W523" s="16" t="n">
        <x:v>0</x:v>
      </x:c>
      <x:c r="X523" s="16" t="n">
        <x:v>0</x:v>
      </x:c>
      <x:c r="Y523" s="16" t="n">
        <x:v>0</x:v>
      </x:c>
      <x:c r="Z523" s="16" t="n">
        <x:v>0</x:v>
      </x:c>
      <x:c r="AA523" s="16" t="n">
        <x:v>3</x:v>
      </x:c>
      <x:c r="AB523" s="16" t="n">
        <x:v>11</x:v>
      </x:c>
      <x:c r="AC523" s="16" t="n">
        <x:v>1</x:v>
      </x:c>
      <x:c r="AD523" s="21" t="n">
        <x:f>IF(E523="",MEDIAN($E$2:$E$2237),E523)</x:f>
        <x:v>25545</x:v>
      </x:c>
      <x:c r="AE523" s="17" t="n">
        <x:f>2014-B523</x:f>
        <x:v>27</x:v>
      </x:c>
      <x:c r="AF523" s="17" t="n">
        <x:f>F523+G523</x:f>
        <x:v>1</x:v>
      </x:c>
      <x:c r="AG523" s="21" t="n">
        <x:f>SUM(J523:O523)</x:f>
        <x:v>210</x:v>
      </x:c>
      <x:c r="AH523" s="17" t="n">
        <x:f>SUM(Q523:S523)</x:f>
        <x:v>7</x:v>
      </x:c>
      <x:c r="AI523" s="17" t="n">
        <x:f>SUM(U523:Y523)</x:f>
        <x:v>0</x:v>
      </x:c>
      <x:c r="AJ523" s="17" t="str">
        <x:f>IF(AE523&lt;=34,"≤34",IF(AE523&lt;=44,"35–44",IF(AE523&lt;=54,"45–54",IF(AE523&lt;=64,"55–64","65+"))))</x:f>
        <x:v>≤34</x:v>
      </x:c>
      <x:c r="AK523" s="17" t="str">
        <x:f>IF(AG523&gt;=1000,"High Value",IF(AG523&gt;=300,"Mid Value","Low Value"))</x:f>
        <x:v>Low Value</x:v>
      </x:c>
      <x:c r="AL523" s="17" t="str">
        <x:f>IF(AND(AI523&gt;=1,I523&lt;=50),"Priority 1",IF(AND(AG523&gt;=1000,I523&lt;=60),"Priority 2",IF(I523&lt;=30,"Priority 3","Nurture")))</x:f>
        <x:v>Nurture</x:v>
      </x:c>
    </x:row>
    <x:row r="524">
      <x:c r="A524" s="16" t="n">
        <x:v>2258</x:v>
      </x:c>
      <x:c r="B524" s="16" t="n">
        <x:v>1986</x:v>
      </x:c>
      <x:c r="C524" s="16" t="str">
        <x:v>Graduation</x:v>
      </x:c>
      <x:c r="D524" s="16" t="str">
        <x:v>Married</x:v>
      </x:c>
      <x:c r="E524" s="16" t="n">
        <x:v>32880</x:v>
      </x:c>
      <x:c r="F524" s="16" t="n">
        <x:v>1</x:v>
      </x:c>
      <x:c r="G524" s="16" t="n">
        <x:v>0</x:v>
      </x:c>
      <x:c r="H524" s="16" t="str">
        <x:v>04-12-2012</x:v>
      </x:c>
      <x:c r="I524" s="16" t="n">
        <x:v>76</x:v>
      </x:c>
      <x:c r="J524" s="16" t="n">
        <x:v>8</x:v>
      </x:c>
      <x:c r="K524" s="16" t="n">
        <x:v>4</x:v>
      </x:c>
      <x:c r="L524" s="16" t="n">
        <x:v>15</x:v>
      </x:c>
      <x:c r="M524" s="16" t="n">
        <x:v>7</x:v>
      </x:c>
      <x:c r="N524" s="16" t="n">
        <x:v>6</x:v>
      </x:c>
      <x:c r="O524" s="16" t="n">
        <x:v>2</x:v>
      </x:c>
      <x:c r="P524" s="16" t="n">
        <x:v>1</x:v>
      </x:c>
      <x:c r="Q524" s="16" t="n">
        <x:v>1</x:v>
      </x:c>
      <x:c r="R524" s="16" t="n">
        <x:v>0</x:v>
      </x:c>
      <x:c r="S524" s="16" t="n">
        <x:v>3</x:v>
      </x:c>
      <x:c r="T524" s="16" t="n">
        <x:v>8</x:v>
      </x:c>
      <x:c r="U524" s="16" t="n">
        <x:v>0</x:v>
      </x:c>
      <x:c r="V524" s="16" t="n">
        <x:v>0</x:v>
      </x:c>
      <x:c r="W524" s="16" t="n">
        <x:v>0</x:v>
      </x:c>
      <x:c r="X524" s="16" t="n">
        <x:v>0</x:v>
      </x:c>
      <x:c r="Y524" s="16" t="n">
        <x:v>0</x:v>
      </x:c>
      <x:c r="Z524" s="16" t="n">
        <x:v>0</x:v>
      </x:c>
      <x:c r="AA524" s="16" t="n">
        <x:v>3</x:v>
      </x:c>
      <x:c r="AB524" s="16" t="n">
        <x:v>11</x:v>
      </x:c>
      <x:c r="AC524" s="16" t="n">
        <x:v>0</x:v>
      </x:c>
      <x:c r="AD524" s="21" t="n">
        <x:f>IF(E524="",MEDIAN($E$2:$E$2237),E524)</x:f>
        <x:v>32880</x:v>
      </x:c>
      <x:c r="AE524" s="17" t="n">
        <x:f>2014-B524</x:f>
        <x:v>28</x:v>
      </x:c>
      <x:c r="AF524" s="17" t="n">
        <x:f>F524+G524</x:f>
        <x:v>1</x:v>
      </x:c>
      <x:c r="AG524" s="21" t="n">
        <x:f>SUM(J524:O524)</x:f>
        <x:v>42</x:v>
      </x:c>
      <x:c r="AH524" s="17" t="n">
        <x:f>SUM(Q524:S524)</x:f>
        <x:v>4</x:v>
      </x:c>
      <x:c r="AI524" s="17" t="n">
        <x:f>SUM(U524:Y524)</x:f>
        <x:v>0</x:v>
      </x:c>
      <x:c r="AJ524" s="17" t="str">
        <x:f>IF(AE524&lt;=34,"≤34",IF(AE524&lt;=44,"35–44",IF(AE524&lt;=54,"45–54",IF(AE524&lt;=64,"55–64","65+"))))</x:f>
        <x:v>≤34</x:v>
      </x:c>
      <x:c r="AK524" s="17" t="str">
        <x:f>IF(AG524&gt;=1000,"High Value",IF(AG524&gt;=300,"Mid Value","Low Value"))</x:f>
        <x:v>Low Value</x:v>
      </x:c>
      <x:c r="AL524" s="17" t="str">
        <x:f>IF(AND(AI524&gt;=1,I524&lt;=50),"Priority 1",IF(AND(AG524&gt;=1000,I524&lt;=60),"Priority 2",IF(I524&lt;=30,"Priority 3","Nurture")))</x:f>
        <x:v>Nurture</x:v>
      </x:c>
    </x:row>
    <x:row r="525">
      <x:c r="A525" s="16" t="n">
        <x:v>4322</x:v>
      </x:c>
      <x:c r="B525" s="16" t="n">
        <x:v>1958</x:v>
      </x:c>
      <x:c r="C525" s="16" t="str">
        <x:v>PhD</x:v>
      </x:c>
      <x:c r="D525" s="16" t="str">
        <x:v>Together</x:v>
      </x:c>
      <x:c r="E525" s="16" t="n">
        <x:v>77863</x:v>
      </x:c>
      <x:c r="F525" s="16" t="n">
        <x:v>0</x:v>
      </x:c>
      <x:c r="G525" s="16" t="n">
        <x:v>0</x:v>
      </x:c>
      <x:c r="H525" s="16" t="str">
        <x:v>27-11-2013</x:v>
      </x:c>
      <x:c r="I525" s="16" t="n">
        <x:v>20</x:v>
      </x:c>
      <x:c r="J525" s="16" t="n">
        <x:v>881</x:v>
      </x:c>
      <x:c r="K525" s="16" t="n">
        <x:v>38</x:v>
      </x:c>
      <x:c r="L525" s="16" t="n">
        <x:v>319</x:v>
      </x:c>
      <x:c r="M525" s="16" t="n">
        <x:v>16</x:v>
      </x:c>
      <x:c r="N525" s="16" t="n">
        <x:v>25</x:v>
      </x:c>
      <x:c r="O525" s="16" t="n">
        <x:v>12</x:v>
      </x:c>
      <x:c r="P525" s="16" t="n">
        <x:v>1</x:v>
      </x:c>
      <x:c r="Q525" s="16" t="n">
        <x:v>4</x:v>
      </x:c>
      <x:c r="R525" s="16" t="n">
        <x:v>5</x:v>
      </x:c>
      <x:c r="S525" s="16" t="n">
        <x:v>10</x:v>
      </x:c>
      <x:c r="T525" s="16" t="n">
        <x:v>2</x:v>
      </x:c>
      <x:c r="U525" s="16" t="n">
        <x:v>0</x:v>
      </x:c>
      <x:c r="V525" s="16" t="n">
        <x:v>0</x:v>
      </x:c>
      <x:c r="W525" s="16" t="n">
        <x:v>0</x:v>
      </x:c>
      <x:c r="X525" s="16" t="n">
        <x:v>0</x:v>
      </x:c>
      <x:c r="Y525" s="16" t="n">
        <x:v>0</x:v>
      </x:c>
      <x:c r="Z525" s="16" t="n">
        <x:v>0</x:v>
      </x:c>
      <x:c r="AA525" s="16" t="n">
        <x:v>3</x:v>
      </x:c>
      <x:c r="AB525" s="16" t="n">
        <x:v>11</x:v>
      </x:c>
      <x:c r="AC525" s="16" t="n">
        <x:v>0</x:v>
      </x:c>
      <x:c r="AD525" s="21" t="n">
        <x:f>IF(E525="",MEDIAN($E$2:$E$2237),E525)</x:f>
        <x:v>77863</x:v>
      </x:c>
      <x:c r="AE525" s="17" t="n">
        <x:f>2014-B525</x:f>
        <x:v>56</x:v>
      </x:c>
      <x:c r="AF525" s="17" t="n">
        <x:f>F525+G525</x:f>
        <x:v>0</x:v>
      </x:c>
      <x:c r="AG525" s="21" t="n">
        <x:f>SUM(J525:O525)</x:f>
        <x:v>1291</x:v>
      </x:c>
      <x:c r="AH525" s="17" t="n">
        <x:f>SUM(Q525:S525)</x:f>
        <x:v>19</x:v>
      </x:c>
      <x:c r="AI525" s="17" t="n">
        <x:f>SUM(U525:Y525)</x:f>
        <x:v>0</x:v>
      </x:c>
      <x:c r="AJ525" s="17" t="str">
        <x:f>IF(AE525&lt;=34,"≤34",IF(AE525&lt;=44,"35–44",IF(AE525&lt;=54,"45–54",IF(AE525&lt;=64,"55–64","65+"))))</x:f>
        <x:v>55–64</x:v>
      </x:c>
      <x:c r="AK525" s="17" t="str">
        <x:f>IF(AG525&gt;=1000,"High Value",IF(AG525&gt;=300,"Mid Value","Low Value"))</x:f>
        <x:v>High Value</x:v>
      </x:c>
      <x:c r="AL525" s="17" t="str">
        <x:f>IF(AND(AI525&gt;=1,I525&lt;=50),"Priority 1",IF(AND(AG525&gt;=1000,I525&lt;=60),"Priority 2",IF(I525&lt;=30,"Priority 3","Nurture")))</x:f>
        <x:v>Priority 2</x:v>
      </x:c>
    </x:row>
    <x:row r="526">
      <x:c r="A526" s="16" t="n">
        <x:v>713</x:v>
      </x:c>
      <x:c r="B526" s="16" t="n">
        <x:v>1977</x:v>
      </x:c>
      <x:c r="C526" s="16" t="str">
        <x:v>Master</x:v>
      </x:c>
      <x:c r="D526" s="16" t="str">
        <x:v>Married</x:v>
      </x:c>
      <x:c r="E526" s="16" t="n">
        <x:v>50353</x:v>
      </x:c>
      <x:c r="F526" s="16" t="n">
        <x:v>0</x:v>
      </x:c>
      <x:c r="G526" s="16" t="n">
        <x:v>0</x:v>
      </x:c>
      <x:c r="H526" s="16" t="str">
        <x:v>08-06-2014</x:v>
      </x:c>
      <x:c r="I526" s="16" t="n">
        <x:v>72</x:v>
      </x:c>
      <x:c r="J526" s="16" t="n">
        <x:v>141</x:v>
      </x:c>
      <x:c r="K526" s="16" t="n">
        <x:v>15</x:v>
      </x:c>
      <x:c r="L526" s="16" t="n">
        <x:v>153</x:v>
      </x:c>
      <x:c r="M526" s="16" t="n">
        <x:v>67</x:v>
      </x:c>
      <x:c r="N526" s="16" t="n">
        <x:v>31</x:v>
      </x:c>
      <x:c r="O526" s="16" t="n">
        <x:v>35</x:v>
      </x:c>
      <x:c r="P526" s="16" t="n">
        <x:v>1</x:v>
      </x:c>
      <x:c r="Q526" s="16" t="n">
        <x:v>4</x:v>
      </x:c>
      <x:c r="R526" s="16" t="n">
        <x:v>4</x:v>
      </x:c>
      <x:c r="S526" s="16" t="n">
        <x:v>6</x:v>
      </x:c>
      <x:c r="T526" s="16" t="n">
        <x:v>3</x:v>
      </x:c>
      <x:c r="U526" s="16" t="n">
        <x:v>0</x:v>
      </x:c>
      <x:c r="V526" s="16" t="n">
        <x:v>0</x:v>
      </x:c>
      <x:c r="W526" s="16" t="n">
        <x:v>0</x:v>
      </x:c>
      <x:c r="X526" s="16" t="n">
        <x:v>0</x:v>
      </x:c>
      <x:c r="Y526" s="16" t="n">
        <x:v>0</x:v>
      </x:c>
      <x:c r="Z526" s="16" t="n">
        <x:v>0</x:v>
      </x:c>
      <x:c r="AA526" s="16" t="n">
        <x:v>3</x:v>
      </x:c>
      <x:c r="AB526" s="16" t="n">
        <x:v>11</x:v>
      </x:c>
      <x:c r="AC526" s="16" t="n">
        <x:v>0</x:v>
      </x:c>
      <x:c r="AD526" s="21" t="n">
        <x:f>IF(E526="",MEDIAN($E$2:$E$2237),E526)</x:f>
        <x:v>50353</x:v>
      </x:c>
      <x:c r="AE526" s="17" t="n">
        <x:f>2014-B526</x:f>
        <x:v>37</x:v>
      </x:c>
      <x:c r="AF526" s="17" t="n">
        <x:f>F526+G526</x:f>
        <x:v>0</x:v>
      </x:c>
      <x:c r="AG526" s="21" t="n">
        <x:f>SUM(J526:O526)</x:f>
        <x:v>442</x:v>
      </x:c>
      <x:c r="AH526" s="17" t="n">
        <x:f>SUM(Q526:S526)</x:f>
        <x:v>14</x:v>
      </x:c>
      <x:c r="AI526" s="17" t="n">
        <x:f>SUM(U526:Y526)</x:f>
        <x:v>0</x:v>
      </x:c>
      <x:c r="AJ526" s="17" t="str">
        <x:f>IF(AE526&lt;=34,"≤34",IF(AE526&lt;=44,"35–44",IF(AE526&lt;=54,"45–54",IF(AE526&lt;=64,"55–64","65+"))))</x:f>
        <x:v>35–44</x:v>
      </x:c>
      <x:c r="AK526" s="17" t="str">
        <x:f>IF(AG526&gt;=1000,"High Value",IF(AG526&gt;=300,"Mid Value","Low Value"))</x:f>
        <x:v>Mid Value</x:v>
      </x:c>
      <x:c r="AL526" s="17" t="str">
        <x:f>IF(AND(AI526&gt;=1,I526&lt;=50),"Priority 1",IF(AND(AG526&gt;=1000,I526&lt;=60),"Priority 2",IF(I526&lt;=30,"Priority 3","Nurture")))</x:f>
        <x:v>Nurture</x:v>
      </x:c>
    </x:row>
    <x:row r="527">
      <x:c r="A527" s="16" t="n">
        <x:v>4702</x:v>
      </x:c>
      <x:c r="B527" s="16" t="n">
        <x:v>1964</x:v>
      </x:c>
      <x:c r="C527" s="16" t="str">
        <x:v>Graduation</x:v>
      </x:c>
      <x:c r="D527" s="16" t="str">
        <x:v>Single</x:v>
      </x:c>
      <x:c r="E527" s="16" t="n">
        <x:v>61839</x:v>
      </x:c>
      <x:c r="F527" s="16" t="n">
        <x:v>0</x:v>
      </x:c>
      <x:c r="G527" s="16" t="n">
        <x:v>0</x:v>
      </x:c>
      <x:c r="H527" s="16" t="str">
        <x:v>12-08-2012</x:v>
      </x:c>
      <x:c r="I527" s="16" t="n">
        <x:v>20</x:v>
      </x:c>
      <x:c r="J527" s="16" t="n">
        <x:v>1000</x:v>
      </x:c>
      <x:c r="K527" s="16" t="n">
        <x:v>155</x:v>
      </x:c>
      <x:c r="L527" s="16" t="n">
        <x:v>379</x:v>
      </x:c>
      <x:c r="M527" s="16" t="n">
        <x:v>224</x:v>
      </x:c>
      <x:c r="N527" s="16" t="n">
        <x:v>17</x:v>
      </x:c>
      <x:c r="O527" s="16" t="n">
        <x:v>120</x:v>
      </x:c>
      <x:c r="P527" s="16" t="n">
        <x:v>1</x:v>
      </x:c>
      <x:c r="Q527" s="16" t="n">
        <x:v>4</x:v>
      </x:c>
      <x:c r="R527" s="16" t="n">
        <x:v>8</x:v>
      </x:c>
      <x:c r="S527" s="16" t="n">
        <x:v>4</x:v>
      </x:c>
      <x:c r="T527" s="16" t="n">
        <x:v>8</x:v>
      </x:c>
      <x:c r="U527" s="16" t="n">
        <x:v>0</x:v>
      </x:c>
      <x:c r="V527" s="16" t="n">
        <x:v>0</x:v>
      </x:c>
      <x:c r="W527" s="16" t="n">
        <x:v>0</x:v>
      </x:c>
      <x:c r="X527" s="16" t="n">
        <x:v>0</x:v>
      </x:c>
      <x:c r="Y527" s="16" t="n">
        <x:v>0</x:v>
      </x:c>
      <x:c r="Z527" s="16" t="n">
        <x:v>0</x:v>
      </x:c>
      <x:c r="AA527" s="16" t="n">
        <x:v>3</x:v>
      </x:c>
      <x:c r="AB527" s="16" t="n">
        <x:v>11</x:v>
      </x:c>
      <x:c r="AC527" s="16" t="n">
        <x:v>0</x:v>
      </x:c>
      <x:c r="AD527" s="21" t="n">
        <x:f>IF(E527="",MEDIAN($E$2:$E$2237),E527)</x:f>
        <x:v>61839</x:v>
      </x:c>
      <x:c r="AE527" s="17" t="n">
        <x:f>2014-B527</x:f>
        <x:v>50</x:v>
      </x:c>
      <x:c r="AF527" s="17" t="n">
        <x:f>F527+G527</x:f>
        <x:v>0</x:v>
      </x:c>
      <x:c r="AG527" s="21" t="n">
        <x:f>SUM(J527:O527)</x:f>
        <x:v>1895</x:v>
      </x:c>
      <x:c r="AH527" s="17" t="n">
        <x:f>SUM(Q527:S527)</x:f>
        <x:v>16</x:v>
      </x:c>
      <x:c r="AI527" s="17" t="n">
        <x:f>SUM(U527:Y527)</x:f>
        <x:v>0</x:v>
      </x:c>
      <x:c r="AJ527" s="17" t="str">
        <x:f>IF(AE527&lt;=34,"≤34",IF(AE527&lt;=44,"35–44",IF(AE527&lt;=54,"45–54",IF(AE527&lt;=64,"55–64","65+"))))</x:f>
        <x:v>45–54</x:v>
      </x:c>
      <x:c r="AK527" s="17" t="str">
        <x:f>IF(AG527&gt;=1000,"High Value",IF(AG527&gt;=300,"Mid Value","Low Value"))</x:f>
        <x:v>High Value</x:v>
      </x:c>
      <x:c r="AL527" s="17" t="str">
        <x:f>IF(AND(AI527&gt;=1,I527&lt;=50),"Priority 1",IF(AND(AG527&gt;=1000,I527&lt;=60),"Priority 2",IF(I527&lt;=30,"Priority 3","Nurture")))</x:f>
        <x:v>Priority 2</x:v>
      </x:c>
    </x:row>
    <x:row r="528">
      <x:c r="A528" s="16" t="n">
        <x:v>3281</x:v>
      </x:c>
      <x:c r="B528" s="16" t="n">
        <x:v>1960</x:v>
      </x:c>
      <x:c r="C528" s="16" t="str">
        <x:v>PhD</x:v>
      </x:c>
      <x:c r="D528" s="16" t="str">
        <x:v>Married</x:v>
      </x:c>
      <x:c r="E528" s="16" t="n">
        <x:v>49154</x:v>
      </x:c>
      <x:c r="F528" s="16" t="n">
        <x:v>1</x:v>
      </x:c>
      <x:c r="G528" s="16" t="n">
        <x:v>1</x:v>
      </x:c>
      <x:c r="H528" s="16" t="str">
        <x:v>03-11-2013</x:v>
      </x:c>
      <x:c r="I528" s="16" t="n">
        <x:v>69</x:v>
      </x:c>
      <x:c r="J528" s="16" t="n">
        <x:v>206</x:v>
      </x:c>
      <x:c r="K528" s="16" t="n">
        <x:v>10</x:v>
      </x:c>
      <x:c r="L528" s="16" t="n">
        <x:v>67</x:v>
      </x:c>
      <x:c r="M528" s="16" t="n">
        <x:v>30</x:v>
      </x:c>
      <x:c r="N528" s="16" t="n">
        <x:v>27</x:v>
      </x:c>
      <x:c r="O528" s="16" t="n">
        <x:v>71</x:v>
      </x:c>
      <x:c r="P528" s="16" t="n">
        <x:v>6</x:v>
      </x:c>
      <x:c r="Q528" s="16" t="n">
        <x:v>4</x:v>
      </x:c>
      <x:c r="R528" s="16" t="n">
        <x:v>1</x:v>
      </x:c>
      <x:c r="S528" s="16" t="n">
        <x:v>8</x:v>
      </x:c>
      <x:c r="T528" s="16" t="n">
        <x:v>6</x:v>
      </x:c>
      <x:c r="U528" s="16" t="n">
        <x:v>0</x:v>
      </x:c>
      <x:c r="V528" s="16" t="n">
        <x:v>0</x:v>
      </x:c>
      <x:c r="W528" s="16" t="n">
        <x:v>0</x:v>
      </x:c>
      <x:c r="X528" s="16" t="n">
        <x:v>0</x:v>
      </x:c>
      <x:c r="Y528" s="16" t="n">
        <x:v>0</x:v>
      </x:c>
      <x:c r="Z528" s="16" t="n">
        <x:v>0</x:v>
      </x:c>
      <x:c r="AA528" s="16" t="n">
        <x:v>3</x:v>
      </x:c>
      <x:c r="AB528" s="16" t="n">
        <x:v>11</x:v>
      </x:c>
      <x:c r="AC528" s="16" t="n">
        <x:v>0</x:v>
      </x:c>
      <x:c r="AD528" s="21" t="n">
        <x:f>IF(E528="",MEDIAN($E$2:$E$2237),E528)</x:f>
        <x:v>49154</x:v>
      </x:c>
      <x:c r="AE528" s="17" t="n">
        <x:f>2014-B528</x:f>
        <x:v>54</x:v>
      </x:c>
      <x:c r="AF528" s="17" t="n">
        <x:f>F528+G528</x:f>
        <x:v>2</x:v>
      </x:c>
      <x:c r="AG528" s="21" t="n">
        <x:f>SUM(J528:O528)</x:f>
        <x:v>411</x:v>
      </x:c>
      <x:c r="AH528" s="17" t="n">
        <x:f>SUM(Q528:S528)</x:f>
        <x:v>13</x:v>
      </x:c>
      <x:c r="AI528" s="17" t="n">
        <x:f>SUM(U528:Y528)</x:f>
        <x:v>0</x:v>
      </x:c>
      <x:c r="AJ528" s="17" t="str">
        <x:f>IF(AE528&lt;=34,"≤34",IF(AE528&lt;=44,"35–44",IF(AE528&lt;=54,"45–54",IF(AE528&lt;=64,"55–64","65+"))))</x:f>
        <x:v>45–54</x:v>
      </x:c>
      <x:c r="AK528" s="17" t="str">
        <x:f>IF(AG528&gt;=1000,"High Value",IF(AG528&gt;=300,"Mid Value","Low Value"))</x:f>
        <x:v>Mid Value</x:v>
      </x:c>
      <x:c r="AL528" s="17" t="str">
        <x:f>IF(AND(AI528&gt;=1,I528&lt;=50),"Priority 1",IF(AND(AG528&gt;=1000,I528&lt;=60),"Priority 2",IF(I528&lt;=30,"Priority 3","Nurture")))</x:f>
        <x:v>Nurture</x:v>
      </x:c>
    </x:row>
    <x:row r="529">
      <x:c r="A529" s="16" t="n">
        <x:v>702</x:v>
      </x:c>
      <x:c r="B529" s="16" t="n">
        <x:v>1975</x:v>
      </x:c>
      <x:c r="C529" s="16" t="str">
        <x:v>2n Cycle</x:v>
      </x:c>
      <x:c r="D529" s="16" t="str">
        <x:v>Widow</x:v>
      </x:c>
      <x:c r="E529" s="16" t="n">
        <x:v>47682</x:v>
      </x:c>
      <x:c r="F529" s="16" t="n">
        <x:v>0</x:v>
      </x:c>
      <x:c r="G529" s="16" t="n">
        <x:v>1</x:v>
      </x:c>
      <x:c r="H529" s="16" t="str">
        <x:v>15-02-2013</x:v>
      </x:c>
      <x:c r="I529" s="16" t="n">
        <x:v>80</x:v>
      </x:c>
      <x:c r="J529" s="16" t="n">
        <x:v>162</x:v>
      </x:c>
      <x:c r="K529" s="16" t="n">
        <x:v>61</x:v>
      </x:c>
      <x:c r="L529" s="16" t="n">
        <x:v>83</x:v>
      </x:c>
      <x:c r="M529" s="16" t="n">
        <x:v>97</x:v>
      </x:c>
      <x:c r="N529" s="16" t="n">
        <x:v>57</x:v>
      </x:c>
      <x:c r="O529" s="16" t="n">
        <x:v>61</x:v>
      </x:c>
      <x:c r="P529" s="16" t="n">
        <x:v>4</x:v>
      </x:c>
      <x:c r="Q529" s="16" t="n">
        <x:v>4</x:v>
      </x:c>
      <x:c r="R529" s="16" t="n">
        <x:v>3</x:v>
      </x:c>
      <x:c r="S529" s="16" t="n">
        <x:v>8</x:v>
      </x:c>
      <x:c r="T529" s="16" t="n">
        <x:v>5</x:v>
      </x:c>
      <x:c r="U529" s="16" t="n">
        <x:v>0</x:v>
      </x:c>
      <x:c r="V529" s="16" t="n">
        <x:v>0</x:v>
      </x:c>
      <x:c r="W529" s="16" t="n">
        <x:v>0</x:v>
      </x:c>
      <x:c r="X529" s="16" t="n">
        <x:v>0</x:v>
      </x:c>
      <x:c r="Y529" s="16" t="n">
        <x:v>0</x:v>
      </x:c>
      <x:c r="Z529" s="16" t="n">
        <x:v>0</x:v>
      </x:c>
      <x:c r="AA529" s="16" t="n">
        <x:v>3</x:v>
      </x:c>
      <x:c r="AB529" s="16" t="n">
        <x:v>11</x:v>
      </x:c>
      <x:c r="AC529" s="16" t="n">
        <x:v>0</x:v>
      </x:c>
      <x:c r="AD529" s="21" t="n">
        <x:f>IF(E529="",MEDIAN($E$2:$E$2237),E529)</x:f>
        <x:v>47682</x:v>
      </x:c>
      <x:c r="AE529" s="17" t="n">
        <x:f>2014-B529</x:f>
        <x:v>39</x:v>
      </x:c>
      <x:c r="AF529" s="17" t="n">
        <x:f>F529+G529</x:f>
        <x:v>1</x:v>
      </x:c>
      <x:c r="AG529" s="21" t="n">
        <x:f>SUM(J529:O529)</x:f>
        <x:v>521</x:v>
      </x:c>
      <x:c r="AH529" s="17" t="n">
        <x:f>SUM(Q529:S529)</x:f>
        <x:v>15</x:v>
      </x:c>
      <x:c r="AI529" s="17" t="n">
        <x:f>SUM(U529:Y529)</x:f>
        <x:v>0</x:v>
      </x:c>
      <x:c r="AJ529" s="17" t="str">
        <x:f>IF(AE529&lt;=34,"≤34",IF(AE529&lt;=44,"35–44",IF(AE529&lt;=54,"45–54",IF(AE529&lt;=64,"55–64","65+"))))</x:f>
        <x:v>35–44</x:v>
      </x:c>
      <x:c r="AK529" s="17" t="str">
        <x:f>IF(AG529&gt;=1000,"High Value",IF(AG529&gt;=300,"Mid Value","Low Value"))</x:f>
        <x:v>Mid Value</x:v>
      </x:c>
      <x:c r="AL529" s="17" t="str">
        <x:f>IF(AND(AI529&gt;=1,I529&lt;=50),"Priority 1",IF(AND(AG529&gt;=1000,I529&lt;=60),"Priority 2",IF(I529&lt;=30,"Priority 3","Nurture")))</x:f>
        <x:v>Nurture</x:v>
      </x:c>
    </x:row>
    <x:row r="530">
      <x:c r="A530" s="16" t="n">
        <x:v>2004</x:v>
      </x:c>
      <x:c r="B530" s="16" t="n">
        <x:v>1969</x:v>
      </x:c>
      <x:c r="C530" s="16" t="str">
        <x:v>Graduation</x:v>
      </x:c>
      <x:c r="D530" s="16" t="str">
        <x:v>Single</x:v>
      </x:c>
      <x:c r="E530" s="16" t="n">
        <x:v>72679</x:v>
      </x:c>
      <x:c r="F530" s="16" t="n">
        <x:v>0</x:v>
      </x:c>
      <x:c r="G530" s="16" t="n">
        <x:v>1</x:v>
      </x:c>
      <x:c r="H530" s="16" t="str">
        <x:v>18-09-2013</x:v>
      </x:c>
      <x:c r="I530" s="16" t="n">
        <x:v>65</x:v>
      </x:c>
      <x:c r="J530" s="16" t="n">
        <x:v>619</x:v>
      </x:c>
      <x:c r="K530" s="16" t="n">
        <x:v>54</x:v>
      </x:c>
      <x:c r="L530" s="16" t="n">
        <x:v>260</x:v>
      </x:c>
      <x:c r="M530" s="16" t="n">
        <x:v>127</x:v>
      </x:c>
      <x:c r="N530" s="16" t="n">
        <x:v>54</x:v>
      </x:c>
      <x:c r="O530" s="16" t="n">
        <x:v>54</x:v>
      </x:c>
      <x:c r="P530" s="16" t="n">
        <x:v>1</x:v>
      </x:c>
      <x:c r="Q530" s="16" t="n">
        <x:v>4</x:v>
      </x:c>
      <x:c r="R530" s="16" t="n">
        <x:v>7</x:v>
      </x:c>
      <x:c r="S530" s="16" t="n">
        <x:v>5</x:v>
      </x:c>
      <x:c r="T530" s="16" t="n">
        <x:v>1</x:v>
      </x:c>
      <x:c r="U530" s="16" t="n">
        <x:v>0</x:v>
      </x:c>
      <x:c r="V530" s="16" t="n">
        <x:v>0</x:v>
      </x:c>
      <x:c r="W530" s="16" t="n">
        <x:v>0</x:v>
      </x:c>
      <x:c r="X530" s="16" t="n">
        <x:v>0</x:v>
      </x:c>
      <x:c r="Y530" s="16" t="n">
        <x:v>0</x:v>
      </x:c>
      <x:c r="Z530" s="16" t="n">
        <x:v>0</x:v>
      </x:c>
      <x:c r="AA530" s="16" t="n">
        <x:v>3</x:v>
      </x:c>
      <x:c r="AB530" s="16" t="n">
        <x:v>11</x:v>
      </x:c>
      <x:c r="AC530" s="16" t="n">
        <x:v>0</x:v>
      </x:c>
      <x:c r="AD530" s="21" t="n">
        <x:f>IF(E530="",MEDIAN($E$2:$E$2237),E530)</x:f>
        <x:v>72679</x:v>
      </x:c>
      <x:c r="AE530" s="17" t="n">
        <x:f>2014-B530</x:f>
        <x:v>45</x:v>
      </x:c>
      <x:c r="AF530" s="17" t="n">
        <x:f>F530+G530</x:f>
        <x:v>1</x:v>
      </x:c>
      <x:c r="AG530" s="21" t="n">
        <x:f>SUM(J530:O530)</x:f>
        <x:v>1168</x:v>
      </x:c>
      <x:c r="AH530" s="17" t="n">
        <x:f>SUM(Q530:S530)</x:f>
        <x:v>16</x:v>
      </x:c>
      <x:c r="AI530" s="17" t="n">
        <x:f>SUM(U530:Y530)</x:f>
        <x:v>0</x:v>
      </x:c>
      <x:c r="AJ530" s="17" t="str">
        <x:f>IF(AE530&lt;=34,"≤34",IF(AE530&lt;=44,"35–44",IF(AE530&lt;=54,"45–54",IF(AE530&lt;=64,"55–64","65+"))))</x:f>
        <x:v>45–54</x:v>
      </x:c>
      <x:c r="AK530" s="17" t="str">
        <x:f>IF(AG530&gt;=1000,"High Value",IF(AG530&gt;=300,"Mid Value","Low Value"))</x:f>
        <x:v>High Value</x:v>
      </x:c>
      <x:c r="AL530" s="17" t="str">
        <x:f>IF(AND(AI530&gt;=1,I530&lt;=50),"Priority 1",IF(AND(AG530&gt;=1000,I530&lt;=60),"Priority 2",IF(I530&lt;=30,"Priority 3","Nurture")))</x:f>
        <x:v>Nurture</x:v>
      </x:c>
    </x:row>
    <x:row r="531">
      <x:c r="A531" s="16" t="n">
        <x:v>4769</x:v>
      </x:c>
      <x:c r="B531" s="16" t="n">
        <x:v>1977</x:v>
      </x:c>
      <x:c r="C531" s="16" t="str">
        <x:v>Master</x:v>
      </x:c>
      <x:c r="D531" s="16" t="str">
        <x:v>Together</x:v>
      </x:c>
      <x:c r="E531" s="16" t="n">
        <x:v>57954</x:v>
      </x:c>
      <x:c r="F531" s="16" t="n">
        <x:v>1</x:v>
      </x:c>
      <x:c r="G531" s="16" t="n">
        <x:v>1</x:v>
      </x:c>
      <x:c r="H531" s="16" t="str">
        <x:v>18-06-2014</x:v>
      </x:c>
      <x:c r="I531" s="16" t="n">
        <x:v>52</x:v>
      </x:c>
      <x:c r="J531" s="16" t="n">
        <x:v>456</x:v>
      </x:c>
      <x:c r="K531" s="16" t="n">
        <x:v>4</x:v>
      </x:c>
      <x:c r="L531" s="16" t="n">
        <x:v>24</x:v>
      </x:c>
      <x:c r="M531" s="16" t="n">
        <x:v>0</x:v>
      </x:c>
      <x:c r="N531" s="16" t="n">
        <x:v>0</x:v>
      </x:c>
      <x:c r="O531" s="16" t="n">
        <x:v>9</x:v>
      </x:c>
      <x:c r="P531" s="16" t="n">
        <x:v>7</x:v>
      </x:c>
      <x:c r="Q531" s="16" t="n">
        <x:v>8</x:v>
      </x:c>
      <x:c r="R531" s="16" t="n">
        <x:v>2</x:v>
      </x:c>
      <x:c r="S531" s="16" t="n">
        <x:v>6</x:v>
      </x:c>
      <x:c r="T531" s="16" t="n">
        <x:v>7</x:v>
      </x:c>
      <x:c r="U531" s="16" t="n">
        <x:v>0</x:v>
      </x:c>
      <x:c r="V531" s="16" t="n">
        <x:v>1</x:v>
      </x:c>
      <x:c r="W531" s="16" t="n">
        <x:v>0</x:v>
      </x:c>
      <x:c r="X531" s="16" t="n">
        <x:v>0</x:v>
      </x:c>
      <x:c r="Y531" s="16" t="n">
        <x:v>0</x:v>
      </x:c>
      <x:c r="Z531" s="16" t="n">
        <x:v>0</x:v>
      </x:c>
      <x:c r="AA531" s="16" t="n">
        <x:v>3</x:v>
      </x:c>
      <x:c r="AB531" s="16" t="n">
        <x:v>11</x:v>
      </x:c>
      <x:c r="AC531" s="16" t="n">
        <x:v>0</x:v>
      </x:c>
      <x:c r="AD531" s="21" t="n">
        <x:f>IF(E531="",MEDIAN($E$2:$E$2237),E531)</x:f>
        <x:v>57954</x:v>
      </x:c>
      <x:c r="AE531" s="17" t="n">
        <x:f>2014-B531</x:f>
        <x:v>37</x:v>
      </x:c>
      <x:c r="AF531" s="17" t="n">
        <x:f>F531+G531</x:f>
        <x:v>2</x:v>
      </x:c>
      <x:c r="AG531" s="21" t="n">
        <x:f>SUM(J531:O531)</x:f>
        <x:v>493</x:v>
      </x:c>
      <x:c r="AH531" s="17" t="n">
        <x:f>SUM(Q531:S531)</x:f>
        <x:v>16</x:v>
      </x:c>
      <x:c r="AI531" s="17" t="n">
        <x:f>SUM(U531:Y531)</x:f>
        <x:v>1</x:v>
      </x:c>
      <x:c r="AJ531" s="17" t="str">
        <x:f>IF(AE531&lt;=34,"≤34",IF(AE531&lt;=44,"35–44",IF(AE531&lt;=54,"45–54",IF(AE531&lt;=64,"55–64","65+"))))</x:f>
        <x:v>35–44</x:v>
      </x:c>
      <x:c r="AK531" s="17" t="str">
        <x:f>IF(AG531&gt;=1000,"High Value",IF(AG531&gt;=300,"Mid Value","Low Value"))</x:f>
        <x:v>Mid Value</x:v>
      </x:c>
      <x:c r="AL531" s="17" t="str">
        <x:f>IF(AND(AI531&gt;=1,I531&lt;=50),"Priority 1",IF(AND(AG531&gt;=1000,I531&lt;=60),"Priority 2",IF(I531&lt;=30,"Priority 3","Nurture")))</x:f>
        <x:v>Nurture</x:v>
      </x:c>
    </x:row>
    <x:row r="532">
      <x:c r="A532" s="16" t="n">
        <x:v>4437</x:v>
      </x:c>
      <x:c r="B532" s="16" t="n">
        <x:v>1962</x:v>
      </x:c>
      <x:c r="C532" s="16" t="str">
        <x:v>Graduation</x:v>
      </x:c>
      <x:c r="D532" s="16" t="str">
        <x:v>Married</x:v>
      </x:c>
      <x:c r="E532" s="16" t="n">
        <x:v>65316</x:v>
      </x:c>
      <x:c r="F532" s="16" t="n">
        <x:v>1</x:v>
      </x:c>
      <x:c r="G532" s="16" t="n">
        <x:v>1</x:v>
      </x:c>
      <x:c r="H532" s="16" t="str">
        <x:v>24-04-2013</x:v>
      </x:c>
      <x:c r="I532" s="16" t="n">
        <x:v>65</x:v>
      </x:c>
      <x:c r="J532" s="16" t="n">
        <x:v>112</x:v>
      </x:c>
      <x:c r="K532" s="16" t="n">
        <x:v>6</x:v>
      </x:c>
      <x:c r="L532" s="16" t="n">
        <x:v>92</x:v>
      </x:c>
      <x:c r="M532" s="16" t="n">
        <x:v>3</x:v>
      </x:c>
      <x:c r="N532" s="16" t="n">
        <x:v>9</x:v>
      </x:c>
      <x:c r="O532" s="16" t="n">
        <x:v>38</x:v>
      </x:c>
      <x:c r="P532" s="16" t="n">
        <x:v>2</x:v>
      </x:c>
      <x:c r="Q532" s="16" t="n">
        <x:v>3</x:v>
      </x:c>
      <x:c r="R532" s="16" t="n">
        <x:v>2</x:v>
      </x:c>
      <x:c r="S532" s="16" t="n">
        <x:v>5</x:v>
      </x:c>
      <x:c r="T532" s="16" t="n">
        <x:v>4</x:v>
      </x:c>
      <x:c r="U532" s="16" t="n">
        <x:v>0</x:v>
      </x:c>
      <x:c r="V532" s="16" t="n">
        <x:v>0</x:v>
      </x:c>
      <x:c r="W532" s="16" t="n">
        <x:v>0</x:v>
      </x:c>
      <x:c r="X532" s="16" t="n">
        <x:v>0</x:v>
      </x:c>
      <x:c r="Y532" s="16" t="n">
        <x:v>0</x:v>
      </x:c>
      <x:c r="Z532" s="16" t="n">
        <x:v>0</x:v>
      </x:c>
      <x:c r="AA532" s="16" t="n">
        <x:v>3</x:v>
      </x:c>
      <x:c r="AB532" s="16" t="n">
        <x:v>11</x:v>
      </x:c>
      <x:c r="AC532" s="16" t="n">
        <x:v>0</x:v>
      </x:c>
      <x:c r="AD532" s="21" t="n">
        <x:f>IF(E532="",MEDIAN($E$2:$E$2237),E532)</x:f>
        <x:v>65316</x:v>
      </x:c>
      <x:c r="AE532" s="17" t="n">
        <x:f>2014-B532</x:f>
        <x:v>52</x:v>
      </x:c>
      <x:c r="AF532" s="17" t="n">
        <x:f>F532+G532</x:f>
        <x:v>2</x:v>
      </x:c>
      <x:c r="AG532" s="21" t="n">
        <x:f>SUM(J532:O532)</x:f>
        <x:v>260</x:v>
      </x:c>
      <x:c r="AH532" s="17" t="n">
        <x:f>SUM(Q532:S532)</x:f>
        <x:v>10</x:v>
      </x:c>
      <x:c r="AI532" s="17" t="n">
        <x:f>SUM(U532:Y532)</x:f>
        <x:v>0</x:v>
      </x:c>
      <x:c r="AJ532" s="17" t="str">
        <x:f>IF(AE532&lt;=34,"≤34",IF(AE532&lt;=44,"35–44",IF(AE532&lt;=54,"45–54",IF(AE532&lt;=64,"55–64","65+"))))</x:f>
        <x:v>45–54</x:v>
      </x:c>
      <x:c r="AK532" s="17" t="str">
        <x:f>IF(AG532&gt;=1000,"High Value",IF(AG532&gt;=300,"Mid Value","Low Value"))</x:f>
        <x:v>Low Value</x:v>
      </x:c>
      <x:c r="AL532" s="17" t="str">
        <x:f>IF(AND(AI532&gt;=1,I532&lt;=50),"Priority 1",IF(AND(AG532&gt;=1000,I532&lt;=60),"Priority 2",IF(I532&lt;=30,"Priority 3","Nurture")))</x:f>
        <x:v>Nurture</x:v>
      </x:c>
    </x:row>
    <x:row r="533">
      <x:c r="A533" s="16" t="n">
        <x:v>8724</x:v>
      </x:c>
      <x:c r="B533" s="16" t="n">
        <x:v>1982</x:v>
      </x:c>
      <x:c r="C533" s="16" t="str">
        <x:v>Graduation</x:v>
      </x:c>
      <x:c r="D533" s="16" t="str">
        <x:v>Single</x:v>
      </x:c>
      <x:c r="E533" s="16" t="n">
        <x:v>28567</x:v>
      </x:c>
      <x:c r="F533" s="16" t="n">
        <x:v>1</x:v>
      </x:c>
      <x:c r="G533" s="16" t="n">
        <x:v>0</x:v>
      </x:c>
      <x:c r="H533" s="16" t="str">
        <x:v>17-06-2013</x:v>
      </x:c>
      <x:c r="I533" s="16" t="n">
        <x:v>57</x:v>
      </x:c>
      <x:c r="J533" s="16" t="n">
        <x:v>11</x:v>
      </x:c>
      <x:c r="K533" s="16" t="n">
        <x:v>3</x:v>
      </x:c>
      <x:c r="L533" s="16" t="n">
        <x:v>22</x:v>
      </x:c>
      <x:c r="M533" s="16" t="n">
        <x:v>2</x:v>
      </x:c>
      <x:c r="N533" s="16" t="n">
        <x:v>2</x:v>
      </x:c>
      <x:c r="O533" s="16" t="n">
        <x:v>6</x:v>
      </x:c>
      <x:c r="P533" s="16" t="n">
        <x:v>2</x:v>
      </x:c>
      <x:c r="Q533" s="16" t="n">
        <x:v>2</x:v>
      </x:c>
      <x:c r="R533" s="16" t="n">
        <x:v>0</x:v>
      </x:c>
      <x:c r="S533" s="16" t="n">
        <x:v>3</x:v>
      </x:c>
      <x:c r="T533" s="16" t="n">
        <x:v>6</x:v>
      </x:c>
      <x:c r="U533" s="16" t="n">
        <x:v>0</x:v>
      </x:c>
      <x:c r="V533" s="16" t="n">
        <x:v>0</x:v>
      </x:c>
      <x:c r="W533" s="16" t="n">
        <x:v>0</x:v>
      </x:c>
      <x:c r="X533" s="16" t="n">
        <x:v>0</x:v>
      </x:c>
      <x:c r="Y533" s="16" t="n">
        <x:v>0</x:v>
      </x:c>
      <x:c r="Z533" s="16" t="n">
        <x:v>0</x:v>
      </x:c>
      <x:c r="AA533" s="16" t="n">
        <x:v>3</x:v>
      </x:c>
      <x:c r="AB533" s="16" t="n">
        <x:v>11</x:v>
      </x:c>
      <x:c r="AC533" s="16" t="n">
        <x:v>0</x:v>
      </x:c>
      <x:c r="AD533" s="21" t="n">
        <x:f>IF(E533="",MEDIAN($E$2:$E$2237),E533)</x:f>
        <x:v>28567</x:v>
      </x:c>
      <x:c r="AE533" s="17" t="n">
        <x:f>2014-B533</x:f>
        <x:v>32</x:v>
      </x:c>
      <x:c r="AF533" s="17" t="n">
        <x:f>F533+G533</x:f>
        <x:v>1</x:v>
      </x:c>
      <x:c r="AG533" s="21" t="n">
        <x:f>SUM(J533:O533)</x:f>
        <x:v>46</x:v>
      </x:c>
      <x:c r="AH533" s="17" t="n">
        <x:f>SUM(Q533:S533)</x:f>
        <x:v>5</x:v>
      </x:c>
      <x:c r="AI533" s="17" t="n">
        <x:f>SUM(U533:Y533)</x:f>
        <x:v>0</x:v>
      </x:c>
      <x:c r="AJ533" s="17" t="str">
        <x:f>IF(AE533&lt;=34,"≤34",IF(AE533&lt;=44,"35–44",IF(AE533&lt;=54,"45–54",IF(AE533&lt;=64,"55–64","65+"))))</x:f>
        <x:v>≤34</x:v>
      </x:c>
      <x:c r="AK533" s="17" t="str">
        <x:f>IF(AG533&gt;=1000,"High Value",IF(AG533&gt;=300,"Mid Value","Low Value"))</x:f>
        <x:v>Low Value</x:v>
      </x:c>
      <x:c r="AL533" s="17" t="str">
        <x:f>IF(AND(AI533&gt;=1,I533&lt;=50),"Priority 1",IF(AND(AG533&gt;=1000,I533&lt;=60),"Priority 2",IF(I533&lt;=30,"Priority 3","Nurture")))</x:f>
        <x:v>Nurture</x:v>
      </x:c>
    </x:row>
    <x:row r="534">
      <x:c r="A534" s="16" t="n">
        <x:v>10741</x:v>
      </x:c>
      <x:c r="B534" s="16" t="n">
        <x:v>1951</x:v>
      </x:c>
      <x:c r="C534" s="16" t="str">
        <x:v>Master</x:v>
      </x:c>
      <x:c r="D534" s="16" t="str">
        <x:v>Together</x:v>
      </x:c>
      <x:c r="E534" s="16" t="n">
        <x:v>47352</x:v>
      </x:c>
      <x:c r="F534" s="16" t="n">
        <x:v>0</x:v>
      </x:c>
      <x:c r="G534" s="16" t="n">
        <x:v>1</x:v>
      </x:c>
      <x:c r="H534" s="16" t="str">
        <x:v>11-04-2013</x:v>
      </x:c>
      <x:c r="I534" s="16" t="n">
        <x:v>70</x:v>
      </x:c>
      <x:c r="J534" s="16" t="n">
        <x:v>172</x:v>
      </x:c>
      <x:c r="K534" s="16" t="n">
        <x:v>12</x:v>
      </x:c>
      <x:c r="L534" s="16" t="n">
        <x:v>112</x:v>
      </x:c>
      <x:c r="M534" s="16" t="n">
        <x:v>8</x:v>
      </x:c>
      <x:c r="N534" s="16" t="n">
        <x:v>0</x:v>
      </x:c>
      <x:c r="O534" s="16" t="n">
        <x:v>15</x:v>
      </x:c>
      <x:c r="P534" s="16" t="n">
        <x:v>4</x:v>
      </x:c>
      <x:c r="Q534" s="16" t="n">
        <x:v>6</x:v>
      </x:c>
      <x:c r="R534" s="16" t="n">
        <x:v>1</x:v>
      </x:c>
      <x:c r="S534" s="16" t="n">
        <x:v>5</x:v>
      </x:c>
      <x:c r="T534" s="16" t="n">
        <x:v>7</x:v>
      </x:c>
      <x:c r="U534" s="16" t="n">
        <x:v>0</x:v>
      </x:c>
      <x:c r="V534" s="16" t="n">
        <x:v>0</x:v>
      </x:c>
      <x:c r="W534" s="16" t="n">
        <x:v>0</x:v>
      </x:c>
      <x:c r="X534" s="16" t="n">
        <x:v>0</x:v>
      </x:c>
      <x:c r="Y534" s="16" t="n">
        <x:v>0</x:v>
      </x:c>
      <x:c r="Z534" s="16" t="n">
        <x:v>0</x:v>
      </x:c>
      <x:c r="AA534" s="16" t="n">
        <x:v>3</x:v>
      </x:c>
      <x:c r="AB534" s="16" t="n">
        <x:v>11</x:v>
      </x:c>
      <x:c r="AC534" s="16" t="n">
        <x:v>0</x:v>
      </x:c>
      <x:c r="AD534" s="21" t="n">
        <x:f>IF(E534="",MEDIAN($E$2:$E$2237),E534)</x:f>
        <x:v>47352</x:v>
      </x:c>
      <x:c r="AE534" s="17" t="n">
        <x:f>2014-B534</x:f>
        <x:v>63</x:v>
      </x:c>
      <x:c r="AF534" s="17" t="n">
        <x:f>F534+G534</x:f>
        <x:v>1</x:v>
      </x:c>
      <x:c r="AG534" s="21" t="n">
        <x:f>SUM(J534:O534)</x:f>
        <x:v>319</x:v>
      </x:c>
      <x:c r="AH534" s="17" t="n">
        <x:f>SUM(Q534:S534)</x:f>
        <x:v>12</x:v>
      </x:c>
      <x:c r="AI534" s="17" t="n">
        <x:f>SUM(U534:Y534)</x:f>
        <x:v>0</x:v>
      </x:c>
      <x:c r="AJ534" s="17" t="str">
        <x:f>IF(AE534&lt;=34,"≤34",IF(AE534&lt;=44,"35–44",IF(AE534&lt;=54,"45–54",IF(AE534&lt;=64,"55–64","65+"))))</x:f>
        <x:v>55–64</x:v>
      </x:c>
      <x:c r="AK534" s="17" t="str">
        <x:f>IF(AG534&gt;=1000,"High Value",IF(AG534&gt;=300,"Mid Value","Low Value"))</x:f>
        <x:v>Mid Value</x:v>
      </x:c>
      <x:c r="AL534" s="17" t="str">
        <x:f>IF(AND(AI534&gt;=1,I534&lt;=50),"Priority 1",IF(AND(AG534&gt;=1000,I534&lt;=60),"Priority 2",IF(I534&lt;=30,"Priority 3","Nurture")))</x:f>
        <x:v>Nurture</x:v>
      </x:c>
    </x:row>
    <x:row r="535">
      <x:c r="A535" s="16" t="n">
        <x:v>1991</x:v>
      </x:c>
      <x:c r="B535" s="16" t="n">
        <x:v>1967</x:v>
      </x:c>
      <x:c r="C535" s="16" t="str">
        <x:v>Graduation</x:v>
      </x:c>
      <x:c r="D535" s="16" t="str">
        <x:v>Together</x:v>
      </x:c>
      <x:c r="E535" s="16" t="n">
        <x:v>44931</x:v>
      </x:c>
      <x:c r="F535" s="16" t="n">
        <x:v>0</x:v>
      </x:c>
      <x:c r="G535" s="16" t="n">
        <x:v>1</x:v>
      </x:c>
      <x:c r="H535" s="16" t="str">
        <x:v>18-01-2014</x:v>
      </x:c>
      <x:c r="I535" s="16" t="n">
        <x:v>0</x:v>
      </x:c>
      <x:c r="J535" s="16" t="n">
        <x:v>78</x:v>
      </x:c>
      <x:c r="K535" s="16" t="n">
        <x:v>0</x:v>
      </x:c>
      <x:c r="L535" s="16" t="n">
        <x:v>11</x:v>
      </x:c>
      <x:c r="M535" s="16" t="n">
        <x:v>0</x:v>
      </x:c>
      <x:c r="N535" s="16" t="n">
        <x:v>0</x:v>
      </x:c>
      <x:c r="O535" s="16" t="n">
        <x:v>7</x:v>
      </x:c>
      <x:c r="P535" s="16" t="n">
        <x:v>1</x:v>
      </x:c>
      <x:c r="Q535" s="16" t="n">
        <x:v>2</x:v>
      </x:c>
      <x:c r="R535" s="16" t="n">
        <x:v>1</x:v>
      </x:c>
      <x:c r="S535" s="16" t="n">
        <x:v>3</x:v>
      </x:c>
      <x:c r="T535" s="16" t="n">
        <x:v>5</x:v>
      </x:c>
      <x:c r="U535" s="16" t="n">
        <x:v>0</x:v>
      </x:c>
      <x:c r="V535" s="16" t="n">
        <x:v>0</x:v>
      </x:c>
      <x:c r="W535" s="16" t="n">
        <x:v>0</x:v>
      </x:c>
      <x:c r="X535" s="16" t="n">
        <x:v>0</x:v>
      </x:c>
      <x:c r="Y535" s="16" t="n">
        <x:v>0</x:v>
      </x:c>
      <x:c r="Z535" s="16" t="n">
        <x:v>0</x:v>
      </x:c>
      <x:c r="AA535" s="16" t="n">
        <x:v>3</x:v>
      </x:c>
      <x:c r="AB535" s="16" t="n">
        <x:v>11</x:v>
      </x:c>
      <x:c r="AC535" s="16" t="n">
        <x:v>0</x:v>
      </x:c>
      <x:c r="AD535" s="21" t="n">
        <x:f>IF(E535="",MEDIAN($E$2:$E$2237),E535)</x:f>
        <x:v>44931</x:v>
      </x:c>
      <x:c r="AE535" s="17" t="n">
        <x:f>2014-B535</x:f>
        <x:v>47</x:v>
      </x:c>
      <x:c r="AF535" s="17" t="n">
        <x:f>F535+G535</x:f>
        <x:v>1</x:v>
      </x:c>
      <x:c r="AG535" s="21" t="n">
        <x:f>SUM(J535:O535)</x:f>
        <x:v>96</x:v>
      </x:c>
      <x:c r="AH535" s="17" t="n">
        <x:f>SUM(Q535:S535)</x:f>
        <x:v>6</x:v>
      </x:c>
      <x:c r="AI535" s="17" t="n">
        <x:f>SUM(U535:Y535)</x:f>
        <x:v>0</x:v>
      </x:c>
      <x:c r="AJ535" s="17" t="str">
        <x:f>IF(AE535&lt;=34,"≤34",IF(AE535&lt;=44,"35–44",IF(AE535&lt;=54,"45–54",IF(AE535&lt;=64,"55–64","65+"))))</x:f>
        <x:v>45–54</x:v>
      </x:c>
      <x:c r="AK535" s="17" t="str">
        <x:f>IF(AG535&gt;=1000,"High Value",IF(AG535&gt;=300,"Mid Value","Low Value"))</x:f>
        <x:v>Low Value</x:v>
      </x:c>
      <x:c r="AL535" s="17" t="str">
        <x:f>IF(AND(AI535&gt;=1,I535&lt;=50),"Priority 1",IF(AND(AG535&gt;=1000,I535&lt;=60),"Priority 2",IF(I535&lt;=30,"Priority 3","Nurture")))</x:f>
        <x:v>Priority 3</x:v>
      </x:c>
    </x:row>
    <x:row r="536">
      <x:c r="A536" s="16" t="n">
        <x:v>6931</x:v>
      </x:c>
      <x:c r="B536" s="16" t="n">
        <x:v>1967</x:v>
      </x:c>
      <x:c r="C536" s="16" t="str">
        <x:v>Graduation</x:v>
      </x:c>
      <x:c r="D536" s="16" t="str">
        <x:v>Divorced</x:v>
      </x:c>
      <x:c r="E536" s="16" t="n">
        <x:v>76982</x:v>
      </x:c>
      <x:c r="F536" s="16" t="n">
        <x:v>0</x:v>
      </x:c>
      <x:c r="G536" s="16" t="n">
        <x:v>0</x:v>
      </x:c>
      <x:c r="H536" s="16" t="str">
        <x:v>15-02-2014</x:v>
      </x:c>
      <x:c r="I536" s="16" t="n">
        <x:v>19</x:v>
      </x:c>
      <x:c r="J536" s="16" t="n">
        <x:v>464</x:v>
      </x:c>
      <x:c r="K536" s="16" t="n">
        <x:v>151</x:v>
      </x:c>
      <x:c r="L536" s="16" t="n">
        <x:v>292</x:v>
      </x:c>
      <x:c r="M536" s="16" t="n">
        <x:v>65</x:v>
      </x:c>
      <x:c r="N536" s="16" t="n">
        <x:v>60</x:v>
      </x:c>
      <x:c r="O536" s="16" t="n">
        <x:v>30</x:v>
      </x:c>
      <x:c r="P536" s="16" t="n">
        <x:v>1</x:v>
      </x:c>
      <x:c r="Q536" s="16" t="n">
        <x:v>8</x:v>
      </x:c>
      <x:c r="R536" s="16" t="n">
        <x:v>3</x:v>
      </x:c>
      <x:c r="S536" s="16" t="n">
        <x:v>4</x:v>
      </x:c>
      <x:c r="T536" s="16" t="n">
        <x:v>4</x:v>
      </x:c>
      <x:c r="U536" s="16" t="n">
        <x:v>0</x:v>
      </x:c>
      <x:c r="V536" s="16" t="n">
        <x:v>0</x:v>
      </x:c>
      <x:c r="W536" s="16" t="n">
        <x:v>1</x:v>
      </x:c>
      <x:c r="X536" s="16" t="n">
        <x:v>0</x:v>
      </x:c>
      <x:c r="Y536" s="16" t="n">
        <x:v>0</x:v>
      </x:c>
      <x:c r="Z536" s="16" t="n">
        <x:v>0</x:v>
      </x:c>
      <x:c r="AA536" s="16" t="n">
        <x:v>3</x:v>
      </x:c>
      <x:c r="AB536" s="16" t="n">
        <x:v>11</x:v>
      </x:c>
      <x:c r="AC536" s="16" t="n">
        <x:v>1</x:v>
      </x:c>
      <x:c r="AD536" s="21" t="n">
        <x:f>IF(E536="",MEDIAN($E$2:$E$2237),E536)</x:f>
        <x:v>76982</x:v>
      </x:c>
      <x:c r="AE536" s="17" t="n">
        <x:f>2014-B536</x:f>
        <x:v>47</x:v>
      </x:c>
      <x:c r="AF536" s="17" t="n">
        <x:f>F536+G536</x:f>
        <x:v>0</x:v>
      </x:c>
      <x:c r="AG536" s="21" t="n">
        <x:f>SUM(J536:O536)</x:f>
        <x:v>1062</x:v>
      </x:c>
      <x:c r="AH536" s="17" t="n">
        <x:f>SUM(Q536:S536)</x:f>
        <x:v>15</x:v>
      </x:c>
      <x:c r="AI536" s="17" t="n">
        <x:f>SUM(U536:Y536)</x:f>
        <x:v>1</x:v>
      </x:c>
      <x:c r="AJ536" s="17" t="str">
        <x:f>IF(AE536&lt;=34,"≤34",IF(AE536&lt;=44,"35–44",IF(AE536&lt;=54,"45–54",IF(AE536&lt;=64,"55–64","65+"))))</x:f>
        <x:v>45–54</x:v>
      </x:c>
      <x:c r="AK536" s="17" t="str">
        <x:f>IF(AG536&gt;=1000,"High Value",IF(AG536&gt;=300,"Mid Value","Low Value"))</x:f>
        <x:v>High Value</x:v>
      </x:c>
      <x:c r="AL536" s="17" t="str">
        <x:f>IF(AND(AI536&gt;=1,I536&lt;=50),"Priority 1",IF(AND(AG536&gt;=1000,I536&lt;=60),"Priority 2",IF(I536&lt;=30,"Priority 3","Nurture")))</x:f>
        <x:v>Priority 1</x:v>
      </x:c>
    </x:row>
    <x:row r="537">
      <x:c r="A537" s="16" t="n">
        <x:v>11096</x:v>
      </x:c>
      <x:c r="B537" s="16" t="n">
        <x:v>1952</x:v>
      </x:c>
      <x:c r="C537" s="16" t="str">
        <x:v>2n Cycle</x:v>
      </x:c>
      <x:c r="D537" s="16" t="str">
        <x:v>Together</x:v>
      </x:c>
      <x:c r="E537" s="16" t="n">
        <x:v>57247</x:v>
      </x:c>
      <x:c r="F537" s="16" t="n">
        <x:v>0</x:v>
      </x:c>
      <x:c r="G537" s="16" t="n">
        <x:v>1</x:v>
      </x:c>
      <x:c r="H537" s="16" t="str">
        <x:v>08-08-2013</x:v>
      </x:c>
      <x:c r="I537" s="16" t="n">
        <x:v>50</x:v>
      </x:c>
      <x:c r="J537" s="16" t="n">
        <x:v>99</x:v>
      </x:c>
      <x:c r="K537" s="16" t="n">
        <x:v>4</x:v>
      </x:c>
      <x:c r="L537" s="16" t="n">
        <x:v>32</x:v>
      </x:c>
      <x:c r="M537" s="16" t="n">
        <x:v>37</x:v>
      </x:c>
      <x:c r="N537" s="16" t="n">
        <x:v>54</x:v>
      </x:c>
      <x:c r="O537" s="16" t="n">
        <x:v>6</x:v>
      </x:c>
      <x:c r="P537" s="16" t="n">
        <x:v>2</x:v>
      </x:c>
      <x:c r="Q537" s="16" t="n">
        <x:v>2</x:v>
      </x:c>
      <x:c r="R537" s="16" t="n">
        <x:v>1</x:v>
      </x:c>
      <x:c r="S537" s="16" t="n">
        <x:v>7</x:v>
      </x:c>
      <x:c r="T537" s="16" t="n">
        <x:v>2</x:v>
      </x:c>
      <x:c r="U537" s="16" t="n">
        <x:v>0</x:v>
      </x:c>
      <x:c r="V537" s="16" t="n">
        <x:v>0</x:v>
      </x:c>
      <x:c r="W537" s="16" t="n">
        <x:v>0</x:v>
      </x:c>
      <x:c r="X537" s="16" t="n">
        <x:v>0</x:v>
      </x:c>
      <x:c r="Y537" s="16" t="n">
        <x:v>0</x:v>
      </x:c>
      <x:c r="Z537" s="16" t="n">
        <x:v>0</x:v>
      </x:c>
      <x:c r="AA537" s="16" t="n">
        <x:v>3</x:v>
      </x:c>
      <x:c r="AB537" s="16" t="n">
        <x:v>11</x:v>
      </x:c>
      <x:c r="AC537" s="16" t="n">
        <x:v>0</x:v>
      </x:c>
      <x:c r="AD537" s="21" t="n">
        <x:f>IF(E537="",MEDIAN($E$2:$E$2237),E537)</x:f>
        <x:v>57247</x:v>
      </x:c>
      <x:c r="AE537" s="17" t="n">
        <x:f>2014-B537</x:f>
        <x:v>62</x:v>
      </x:c>
      <x:c r="AF537" s="17" t="n">
        <x:f>F537+G537</x:f>
        <x:v>1</x:v>
      </x:c>
      <x:c r="AG537" s="21" t="n">
        <x:f>SUM(J537:O537)</x:f>
        <x:v>232</x:v>
      </x:c>
      <x:c r="AH537" s="17" t="n">
        <x:f>SUM(Q537:S537)</x:f>
        <x:v>10</x:v>
      </x:c>
      <x:c r="AI537" s="17" t="n">
        <x:f>SUM(U537:Y537)</x:f>
        <x:v>0</x:v>
      </x:c>
      <x:c r="AJ537" s="17" t="str">
        <x:f>IF(AE537&lt;=34,"≤34",IF(AE537&lt;=44,"35–44",IF(AE537&lt;=54,"45–54",IF(AE537&lt;=64,"55–64","65+"))))</x:f>
        <x:v>55–64</x:v>
      </x:c>
      <x:c r="AK537" s="17" t="str">
        <x:f>IF(AG537&gt;=1000,"High Value",IF(AG537&gt;=300,"Mid Value","Low Value"))</x:f>
        <x:v>Low Value</x:v>
      </x:c>
      <x:c r="AL537" s="17" t="str">
        <x:f>IF(AND(AI537&gt;=1,I537&lt;=50),"Priority 1",IF(AND(AG537&gt;=1000,I537&lt;=60),"Priority 2",IF(I537&lt;=30,"Priority 3","Nurture")))</x:f>
        <x:v>Nurture</x:v>
      </x:c>
    </x:row>
    <x:row r="538">
      <x:c r="A538" s="16" t="n">
        <x:v>304</x:v>
      </x:c>
      <x:c r="B538" s="16" t="n">
        <x:v>1981</x:v>
      </x:c>
      <x:c r="C538" s="16" t="str">
        <x:v>Master</x:v>
      </x:c>
      <x:c r="D538" s="16" t="str">
        <x:v>Single</x:v>
      </x:c>
      <x:c r="E538" s="16" t="n">
        <x:v>22944</x:v>
      </x:c>
      <x:c r="F538" s="16" t="n">
        <x:v>1</x:v>
      </x:c>
      <x:c r="G538" s="16" t="n">
        <x:v>0</x:v>
      </x:c>
      <x:c r="H538" s="16" t="str">
        <x:v>23-12-2013</x:v>
      </x:c>
      <x:c r="I538" s="16" t="n">
        <x:v>67</x:v>
      </x:c>
      <x:c r="J538" s="16" t="n">
        <x:v>19</x:v>
      </x:c>
      <x:c r="K538" s="16" t="n">
        <x:v>3</x:v>
      </x:c>
      <x:c r="L538" s="16" t="n">
        <x:v>19</x:v>
      </x:c>
      <x:c r="M538" s="16" t="n">
        <x:v>4</x:v>
      </x:c>
      <x:c r="N538" s="16" t="n">
        <x:v>5</x:v>
      </x:c>
      <x:c r="O538" s="16" t="n">
        <x:v>26</x:v>
      </x:c>
      <x:c r="P538" s="16" t="n">
        <x:v>3</x:v>
      </x:c>
      <x:c r="Q538" s="16" t="n">
        <x:v>3</x:v>
      </x:c>
      <x:c r="R538" s="16" t="n">
        <x:v>0</x:v>
      </x:c>
      <x:c r="S538" s="16" t="n">
        <x:v>3</x:v>
      </x:c>
      <x:c r="T538" s="16" t="n">
        <x:v>7</x:v>
      </x:c>
      <x:c r="U538" s="16" t="n">
        <x:v>0</x:v>
      </x:c>
      <x:c r="V538" s="16" t="n">
        <x:v>0</x:v>
      </x:c>
      <x:c r="W538" s="16" t="n">
        <x:v>0</x:v>
      </x:c>
      <x:c r="X538" s="16" t="n">
        <x:v>0</x:v>
      </x:c>
      <x:c r="Y538" s="16" t="n">
        <x:v>0</x:v>
      </x:c>
      <x:c r="Z538" s="16" t="n">
        <x:v>0</x:v>
      </x:c>
      <x:c r="AA538" s="16" t="n">
        <x:v>3</x:v>
      </x:c>
      <x:c r="AB538" s="16" t="n">
        <x:v>11</x:v>
      </x:c>
      <x:c r="AC538" s="16" t="n">
        <x:v>0</x:v>
      </x:c>
      <x:c r="AD538" s="21" t="n">
        <x:f>IF(E538="",MEDIAN($E$2:$E$2237),E538)</x:f>
        <x:v>22944</x:v>
      </x:c>
      <x:c r="AE538" s="17" t="n">
        <x:f>2014-B538</x:f>
        <x:v>33</x:v>
      </x:c>
      <x:c r="AF538" s="17" t="n">
        <x:f>F538+G538</x:f>
        <x:v>1</x:v>
      </x:c>
      <x:c r="AG538" s="21" t="n">
        <x:f>SUM(J538:O538)</x:f>
        <x:v>76</x:v>
      </x:c>
      <x:c r="AH538" s="17" t="n">
        <x:f>SUM(Q538:S538)</x:f>
        <x:v>6</x:v>
      </x:c>
      <x:c r="AI538" s="17" t="n">
        <x:f>SUM(U538:Y538)</x:f>
        <x:v>0</x:v>
      </x:c>
      <x:c r="AJ538" s="17" t="str">
        <x:f>IF(AE538&lt;=34,"≤34",IF(AE538&lt;=44,"35–44",IF(AE538&lt;=54,"45–54",IF(AE538&lt;=64,"55–64","65+"))))</x:f>
        <x:v>≤34</x:v>
      </x:c>
      <x:c r="AK538" s="17" t="str">
        <x:f>IF(AG538&gt;=1000,"High Value",IF(AG538&gt;=300,"Mid Value","Low Value"))</x:f>
        <x:v>Low Value</x:v>
      </x:c>
      <x:c r="AL538" s="17" t="str">
        <x:f>IF(AND(AI538&gt;=1,I538&lt;=50),"Priority 1",IF(AND(AG538&gt;=1000,I538&lt;=60),"Priority 2",IF(I538&lt;=30,"Priority 3","Nurture")))</x:f>
        <x:v>Nurture</x:v>
      </x:c>
    </x:row>
    <x:row r="539">
      <x:c r="A539" s="16" t="n">
        <x:v>3665</x:v>
      </x:c>
      <x:c r="B539" s="16" t="n">
        <x:v>1977</x:v>
      </x:c>
      <x:c r="C539" s="16" t="str">
        <x:v>2n Cycle</x:v>
      </x:c>
      <x:c r="D539" s="16" t="str">
        <x:v>Together</x:v>
      </x:c>
      <x:c r="E539" s="16" t="n">
        <x:v>25315</x:v>
      </x:c>
      <x:c r="F539" s="16" t="n">
        <x:v>1</x:v>
      </x:c>
      <x:c r="G539" s="16" t="n">
        <x:v>0</x:v>
      </x:c>
      <x:c r="H539" s="16" t="str">
        <x:v>07-11-2013</x:v>
      </x:c>
      <x:c r="I539" s="16" t="n">
        <x:v>46</x:v>
      </x:c>
      <x:c r="J539" s="16" t="n">
        <x:v>1</x:v>
      </x:c>
      <x:c r="K539" s="16" t="n">
        <x:v>9</x:v>
      </x:c>
      <x:c r="L539" s="16" t="n">
        <x:v>8</x:v>
      </x:c>
      <x:c r="M539" s="16" t="n">
        <x:v>11</x:v>
      </x:c>
      <x:c r="N539" s="16" t="n">
        <x:v>3</x:v>
      </x:c>
      <x:c r="O539" s="16" t="n">
        <x:v>22</x:v>
      </x:c>
      <x:c r="P539" s="16" t="n">
        <x:v>3</x:v>
      </x:c>
      <x:c r="Q539" s="16" t="n">
        <x:v>3</x:v>
      </x:c>
      <x:c r="R539" s="16" t="n">
        <x:v>0</x:v>
      </x:c>
      <x:c r="S539" s="16" t="n">
        <x:v>3</x:v>
      </x:c>
      <x:c r="T539" s="16" t="n">
        <x:v>8</x:v>
      </x:c>
      <x:c r="U539" s="16" t="n">
        <x:v>0</x:v>
      </x:c>
      <x:c r="V539" s="16" t="n">
        <x:v>0</x:v>
      </x:c>
      <x:c r="W539" s="16" t="n">
        <x:v>0</x:v>
      </x:c>
      <x:c r="X539" s="16" t="n">
        <x:v>0</x:v>
      </x:c>
      <x:c r="Y539" s="16" t="n">
        <x:v>0</x:v>
      </x:c>
      <x:c r="Z539" s="16" t="n">
        <x:v>0</x:v>
      </x:c>
      <x:c r="AA539" s="16" t="n">
        <x:v>3</x:v>
      </x:c>
      <x:c r="AB539" s="16" t="n">
        <x:v>11</x:v>
      </x:c>
      <x:c r="AC539" s="16" t="n">
        <x:v>0</x:v>
      </x:c>
      <x:c r="AD539" s="21" t="n">
        <x:f>IF(E539="",MEDIAN($E$2:$E$2237),E539)</x:f>
        <x:v>25315</x:v>
      </x:c>
      <x:c r="AE539" s="17" t="n">
        <x:f>2014-B539</x:f>
        <x:v>37</x:v>
      </x:c>
      <x:c r="AF539" s="17" t="n">
        <x:f>F539+G539</x:f>
        <x:v>1</x:v>
      </x:c>
      <x:c r="AG539" s="21" t="n">
        <x:f>SUM(J539:O539)</x:f>
        <x:v>54</x:v>
      </x:c>
      <x:c r="AH539" s="17" t="n">
        <x:f>SUM(Q539:S539)</x:f>
        <x:v>6</x:v>
      </x:c>
      <x:c r="AI539" s="17" t="n">
        <x:f>SUM(U539:Y539)</x:f>
        <x:v>0</x:v>
      </x:c>
      <x:c r="AJ539" s="17" t="str">
        <x:f>IF(AE539&lt;=34,"≤34",IF(AE539&lt;=44,"35–44",IF(AE539&lt;=54,"45–54",IF(AE539&lt;=64,"55–64","65+"))))</x:f>
        <x:v>35–44</x:v>
      </x:c>
      <x:c r="AK539" s="17" t="str">
        <x:f>IF(AG539&gt;=1000,"High Value",IF(AG539&gt;=300,"Mid Value","Low Value"))</x:f>
        <x:v>Low Value</x:v>
      </x:c>
      <x:c r="AL539" s="17" t="str">
        <x:f>IF(AND(AI539&gt;=1,I539&lt;=50),"Priority 1",IF(AND(AG539&gt;=1000,I539&lt;=60),"Priority 2",IF(I539&lt;=30,"Priority 3","Nurture")))</x:f>
        <x:v>Nurture</x:v>
      </x:c>
    </x:row>
    <x:row r="540">
      <x:c r="A540" s="16" t="n">
        <x:v>10591</x:v>
      </x:c>
      <x:c r="B540" s="16" t="n">
        <x:v>1969</x:v>
      </x:c>
      <x:c r="C540" s="16" t="str">
        <x:v>Graduation</x:v>
      </x:c>
      <x:c r="D540" s="16" t="str">
        <x:v>Widow</x:v>
      </x:c>
      <x:c r="E540" s="16" t="n">
        <x:v>43638</x:v>
      </x:c>
      <x:c r="F540" s="16" t="n">
        <x:v>0</x:v>
      </x:c>
      <x:c r="G540" s="16" t="n">
        <x:v>1</x:v>
      </x:c>
      <x:c r="H540" s="16" t="str">
        <x:v>06-08-2012</x:v>
      </x:c>
      <x:c r="I540" s="16" t="n">
        <x:v>37</x:v>
      </x:c>
      <x:c r="J540" s="16" t="n">
        <x:v>63</x:v>
      </x:c>
      <x:c r="K540" s="16" t="n">
        <x:v>10</x:v>
      </x:c>
      <x:c r="L540" s="16" t="n">
        <x:v>83</x:v>
      </x:c>
      <x:c r="M540" s="16" t="n">
        <x:v>7</x:v>
      </x:c>
      <x:c r="N540" s="16" t="n">
        <x:v>19</x:v>
      </x:c>
      <x:c r="O540" s="16" t="n">
        <x:v>19</x:v>
      </x:c>
      <x:c r="P540" s="16" t="n">
        <x:v>2</x:v>
      </x:c>
      <x:c r="Q540" s="16" t="n">
        <x:v>4</x:v>
      </x:c>
      <x:c r="R540" s="16" t="n">
        <x:v>1</x:v>
      </x:c>
      <x:c r="S540" s="16" t="n">
        <x:v>4</x:v>
      </x:c>
      <x:c r="T540" s="16" t="n">
        <x:v>7</x:v>
      </x:c>
      <x:c r="U540" s="16" t="n">
        <x:v>0</x:v>
      </x:c>
      <x:c r="V540" s="16" t="n">
        <x:v>0</x:v>
      </x:c>
      <x:c r="W540" s="16" t="n">
        <x:v>0</x:v>
      </x:c>
      <x:c r="X540" s="16" t="n">
        <x:v>0</x:v>
      </x:c>
      <x:c r="Y540" s="16" t="n">
        <x:v>0</x:v>
      </x:c>
      <x:c r="Z540" s="16" t="n">
        <x:v>0</x:v>
      </x:c>
      <x:c r="AA540" s="16" t="n">
        <x:v>3</x:v>
      </x:c>
      <x:c r="AB540" s="16" t="n">
        <x:v>11</x:v>
      </x:c>
      <x:c r="AC540" s="16" t="n">
        <x:v>0</x:v>
      </x:c>
      <x:c r="AD540" s="21" t="n">
        <x:f>IF(E540="",MEDIAN($E$2:$E$2237),E540)</x:f>
        <x:v>43638</x:v>
      </x:c>
      <x:c r="AE540" s="17" t="n">
        <x:f>2014-B540</x:f>
        <x:v>45</x:v>
      </x:c>
      <x:c r="AF540" s="17" t="n">
        <x:f>F540+G540</x:f>
        <x:v>1</x:v>
      </x:c>
      <x:c r="AG540" s="21" t="n">
        <x:f>SUM(J540:O540)</x:f>
        <x:v>201</x:v>
      </x:c>
      <x:c r="AH540" s="17" t="n">
        <x:f>SUM(Q540:S540)</x:f>
        <x:v>9</x:v>
      </x:c>
      <x:c r="AI540" s="17" t="n">
        <x:f>SUM(U540:Y540)</x:f>
        <x:v>0</x:v>
      </x:c>
      <x:c r="AJ540" s="17" t="str">
        <x:f>IF(AE540&lt;=34,"≤34",IF(AE540&lt;=44,"35–44",IF(AE540&lt;=54,"45–54",IF(AE540&lt;=64,"55–64","65+"))))</x:f>
        <x:v>45–54</x:v>
      </x:c>
      <x:c r="AK540" s="17" t="str">
        <x:f>IF(AG540&gt;=1000,"High Value",IF(AG540&gt;=300,"Mid Value","Low Value"))</x:f>
        <x:v>Low Value</x:v>
      </x:c>
      <x:c r="AL540" s="17" t="str">
        <x:f>IF(AND(AI540&gt;=1,I540&lt;=50),"Priority 1",IF(AND(AG540&gt;=1000,I540&lt;=60),"Priority 2",IF(I540&lt;=30,"Priority 3","Nurture")))</x:f>
        <x:v>Nurture</x:v>
      </x:c>
    </x:row>
    <x:row r="541">
      <x:c r="A541" s="16" t="n">
        <x:v>5036</x:v>
      </x:c>
      <x:c r="B541" s="16" t="n">
        <x:v>1984</x:v>
      </x:c>
      <x:c r="C541" s="16" t="str">
        <x:v>PhD</x:v>
      </x:c>
      <x:c r="D541" s="16" t="str">
        <x:v>Single</x:v>
      </x:c>
      <x:c r="E541" s="16" t="n">
        <x:v>42710</x:v>
      </x:c>
      <x:c r="F541" s="16" t="n">
        <x:v>1</x:v>
      </x:c>
      <x:c r="G541" s="16" t="n">
        <x:v>0</x:v>
      </x:c>
      <x:c r="H541" s="16" t="str">
        <x:v>28-11-2012</x:v>
      </x:c>
      <x:c r="I541" s="16" t="n">
        <x:v>38</x:v>
      </x:c>
      <x:c r="J541" s="16" t="n">
        <x:v>252</x:v>
      </x:c>
      <x:c r="K541" s="16" t="n">
        <x:v>3</x:v>
      </x:c>
      <x:c r="L541" s="16" t="n">
        <x:v>42</x:v>
      </x:c>
      <x:c r="M541" s="16" t="n">
        <x:v>4</x:v>
      </x:c>
      <x:c r="N541" s="16" t="n">
        <x:v>3</x:v>
      </x:c>
      <x:c r="O541" s="16" t="n">
        <x:v>102</x:v>
      </x:c>
      <x:c r="P541" s="16" t="n">
        <x:v>2</x:v>
      </x:c>
      <x:c r="Q541" s="16" t="n">
        <x:v>4</x:v>
      </x:c>
      <x:c r="R541" s="16" t="n">
        <x:v>5</x:v>
      </x:c>
      <x:c r="S541" s="16" t="n">
        <x:v>3</x:v>
      </x:c>
      <x:c r="T541" s="16" t="n">
        <x:v>6</x:v>
      </x:c>
      <x:c r="U541" s="16" t="n">
        <x:v>0</x:v>
      </x:c>
      <x:c r="V541" s="16" t="n">
        <x:v>0</x:v>
      </x:c>
      <x:c r="W541" s="16" t="n">
        <x:v>0</x:v>
      </x:c>
      <x:c r="X541" s="16" t="n">
        <x:v>0</x:v>
      </x:c>
      <x:c r="Y541" s="16" t="n">
        <x:v>0</x:v>
      </x:c>
      <x:c r="Z541" s="16" t="n">
        <x:v>0</x:v>
      </x:c>
      <x:c r="AA541" s="16" t="n">
        <x:v>3</x:v>
      </x:c>
      <x:c r="AB541" s="16" t="n">
        <x:v>11</x:v>
      </x:c>
      <x:c r="AC541" s="16" t="n">
        <x:v>0</x:v>
      </x:c>
      <x:c r="AD541" s="21" t="n">
        <x:f>IF(E541="",MEDIAN($E$2:$E$2237),E541)</x:f>
        <x:v>42710</x:v>
      </x:c>
      <x:c r="AE541" s="17" t="n">
        <x:f>2014-B541</x:f>
        <x:v>30</x:v>
      </x:c>
      <x:c r="AF541" s="17" t="n">
        <x:f>F541+G541</x:f>
        <x:v>1</x:v>
      </x:c>
      <x:c r="AG541" s="21" t="n">
        <x:f>SUM(J541:O541)</x:f>
        <x:v>406</x:v>
      </x:c>
      <x:c r="AH541" s="17" t="n">
        <x:f>SUM(Q541:S541)</x:f>
        <x:v>12</x:v>
      </x:c>
      <x:c r="AI541" s="17" t="n">
        <x:f>SUM(U541:Y541)</x:f>
        <x:v>0</x:v>
      </x:c>
      <x:c r="AJ541" s="17" t="str">
        <x:f>IF(AE541&lt;=34,"≤34",IF(AE541&lt;=44,"35–44",IF(AE541&lt;=54,"45–54",IF(AE541&lt;=64,"55–64","65+"))))</x:f>
        <x:v>≤34</x:v>
      </x:c>
      <x:c r="AK541" s="17" t="str">
        <x:f>IF(AG541&gt;=1000,"High Value",IF(AG541&gt;=300,"Mid Value","Low Value"))</x:f>
        <x:v>Mid Value</x:v>
      </x:c>
      <x:c r="AL541" s="17" t="str">
        <x:f>IF(AND(AI541&gt;=1,I541&lt;=50),"Priority 1",IF(AND(AG541&gt;=1000,I541&lt;=60),"Priority 2",IF(I541&lt;=30,"Priority 3","Nurture")))</x:f>
        <x:v>Nurture</x:v>
      </x:c>
    </x:row>
    <x:row r="542">
      <x:c r="A542" s="16" t="n">
        <x:v>5547</x:v>
      </x:c>
      <x:c r="B542" s="16" t="n">
        <x:v>1982</x:v>
      </x:c>
      <x:c r="C542" s="16" t="str">
        <x:v>PhD</x:v>
      </x:c>
      <x:c r="D542" s="16" t="str">
        <x:v>Married</x:v>
      </x:c>
      <x:c r="E542" s="16" t="n">
        <x:v>84169</x:v>
      </x:c>
      <x:c r="F542" s="16" t="n">
        <x:v>0</x:v>
      </x:c>
      <x:c r="G542" s="16" t="n">
        <x:v>0</x:v>
      </x:c>
      <x:c r="H542" s="16" t="str">
        <x:v>07-08-2013</x:v>
      </x:c>
      <x:c r="I542" s="16" t="n">
        <x:v>9</x:v>
      </x:c>
      <x:c r="J542" s="16" t="n">
        <x:v>1478</x:v>
      </x:c>
      <x:c r="K542" s="16" t="n">
        <x:v>19</x:v>
      </x:c>
      <x:c r="L542" s="16" t="n">
        <x:v>403</x:v>
      </x:c>
      <x:c r="M542" s="16" t="n">
        <x:v>0</x:v>
      </x:c>
      <x:c r="N542" s="16" t="n">
        <x:v>19</x:v>
      </x:c>
      <x:c r="O542" s="16" t="n">
        <x:v>0</x:v>
      </x:c>
      <x:c r="P542" s="16" t="n">
        <x:v>1</x:v>
      </x:c>
      <x:c r="Q542" s="16" t="n">
        <x:v>7</x:v>
      </x:c>
      <x:c r="R542" s="16" t="n">
        <x:v>6</x:v>
      </x:c>
      <x:c r="S542" s="16" t="n">
        <x:v>6</x:v>
      </x:c>
      <x:c r="T542" s="16" t="n">
        <x:v>3</x:v>
      </x:c>
      <x:c r="U542" s="16" t="n">
        <x:v>0</x:v>
      </x:c>
      <x:c r="V542" s="16" t="n">
        <x:v>1</x:v>
      </x:c>
      <x:c r="W542" s="16" t="n">
        <x:v>1</x:v>
      </x:c>
      <x:c r="X542" s="16" t="n">
        <x:v>0</x:v>
      </x:c>
      <x:c r="Y542" s="16" t="n">
        <x:v>0</x:v>
      </x:c>
      <x:c r="Z542" s="16" t="n">
        <x:v>0</x:v>
      </x:c>
      <x:c r="AA542" s="16" t="n">
        <x:v>3</x:v>
      </x:c>
      <x:c r="AB542" s="16" t="n">
        <x:v>11</x:v>
      </x:c>
      <x:c r="AC542" s="16" t="n">
        <x:v>1</x:v>
      </x:c>
      <x:c r="AD542" s="21" t="n">
        <x:f>IF(E542="",MEDIAN($E$2:$E$2237),E542)</x:f>
        <x:v>84169</x:v>
      </x:c>
      <x:c r="AE542" s="17" t="n">
        <x:f>2014-B542</x:f>
        <x:v>32</x:v>
      </x:c>
      <x:c r="AF542" s="17" t="n">
        <x:f>F542+G542</x:f>
        <x:v>0</x:v>
      </x:c>
      <x:c r="AG542" s="21" t="n">
        <x:f>SUM(J542:O542)</x:f>
        <x:v>1919</x:v>
      </x:c>
      <x:c r="AH542" s="17" t="n">
        <x:f>SUM(Q542:S542)</x:f>
        <x:v>19</x:v>
      </x:c>
      <x:c r="AI542" s="17" t="n">
        <x:f>SUM(U542:Y542)</x:f>
        <x:v>2</x:v>
      </x:c>
      <x:c r="AJ542" s="17" t="str">
        <x:f>IF(AE542&lt;=34,"≤34",IF(AE542&lt;=44,"35–44",IF(AE542&lt;=54,"45–54",IF(AE542&lt;=64,"55–64","65+"))))</x:f>
        <x:v>≤34</x:v>
      </x:c>
      <x:c r="AK542" s="17" t="str">
        <x:f>IF(AG542&gt;=1000,"High Value",IF(AG542&gt;=300,"Mid Value","Low Value"))</x:f>
        <x:v>High Value</x:v>
      </x:c>
      <x:c r="AL542" s="17" t="str">
        <x:f>IF(AND(AI542&gt;=1,I542&lt;=50),"Priority 1",IF(AND(AG542&gt;=1000,I542&lt;=60),"Priority 2",IF(I542&lt;=30,"Priority 3","Nurture")))</x:f>
        <x:v>Priority 1</x:v>
      </x:c>
    </x:row>
    <x:row r="543">
      <x:c r="A543" s="16" t="n">
        <x:v>7822</x:v>
      </x:c>
      <x:c r="B543" s="16" t="n">
        <x:v>1976</x:v>
      </x:c>
      <x:c r="C543" s="16" t="str">
        <x:v>Graduation</x:v>
      </x:c>
      <x:c r="D543" s="16" t="str">
        <x:v>Together</x:v>
      </x:c>
      <x:c r="E543" s="16" t="n">
        <x:v>54058</x:v>
      </x:c>
      <x:c r="F543" s="16" t="n">
        <x:v>0</x:v>
      </x:c>
      <x:c r="G543" s="16" t="n">
        <x:v>1</x:v>
      </x:c>
      <x:c r="H543" s="16" t="str">
        <x:v>04-06-2013</x:v>
      </x:c>
      <x:c r="I543" s="16" t="n">
        <x:v>56</x:v>
      </x:c>
      <x:c r="J543" s="16" t="n">
        <x:v>198</x:v>
      </x:c>
      <x:c r="K543" s="16" t="n">
        <x:v>18</x:v>
      </x:c>
      <x:c r="L543" s="16" t="n">
        <x:v>252</x:v>
      </x:c>
      <x:c r="M543" s="16" t="n">
        <x:v>32</x:v>
      </x:c>
      <x:c r="N543" s="16" t="n">
        <x:v>108</x:v>
      </x:c>
      <x:c r="O543" s="16" t="n">
        <x:v>54</x:v>
      </x:c>
      <x:c r="P543" s="16" t="n">
        <x:v>2</x:v>
      </x:c>
      <x:c r="Q543" s="16" t="n">
        <x:v>4</x:v>
      </x:c>
      <x:c r="R543" s="16" t="n">
        <x:v>6</x:v>
      </x:c>
      <x:c r="S543" s="16" t="n">
        <x:v>8</x:v>
      </x:c>
      <x:c r="T543" s="16" t="n">
        <x:v>3</x:v>
      </x:c>
      <x:c r="U543" s="16" t="n">
        <x:v>0</x:v>
      </x:c>
      <x:c r="V543" s="16" t="n">
        <x:v>0</x:v>
      </x:c>
      <x:c r="W543" s="16" t="n">
        <x:v>0</x:v>
      </x:c>
      <x:c r="X543" s="16" t="n">
        <x:v>0</x:v>
      </x:c>
      <x:c r="Y543" s="16" t="n">
        <x:v>0</x:v>
      </x:c>
      <x:c r="Z543" s="16" t="n">
        <x:v>0</x:v>
      </x:c>
      <x:c r="AA543" s="16" t="n">
        <x:v>3</x:v>
      </x:c>
      <x:c r="AB543" s="16" t="n">
        <x:v>11</x:v>
      </x:c>
      <x:c r="AC543" s="16" t="n">
        <x:v>0</x:v>
      </x:c>
      <x:c r="AD543" s="21" t="n">
        <x:f>IF(E543="",MEDIAN($E$2:$E$2237),E543)</x:f>
        <x:v>54058</x:v>
      </x:c>
      <x:c r="AE543" s="17" t="n">
        <x:f>2014-B543</x:f>
        <x:v>38</x:v>
      </x:c>
      <x:c r="AF543" s="17" t="n">
        <x:f>F543+G543</x:f>
        <x:v>1</x:v>
      </x:c>
      <x:c r="AG543" s="21" t="n">
        <x:f>SUM(J543:O543)</x:f>
        <x:v>662</x:v>
      </x:c>
      <x:c r="AH543" s="17" t="n">
        <x:f>SUM(Q543:S543)</x:f>
        <x:v>18</x:v>
      </x:c>
      <x:c r="AI543" s="17" t="n">
        <x:f>SUM(U543:Y543)</x:f>
        <x:v>0</x:v>
      </x:c>
      <x:c r="AJ543" s="17" t="str">
        <x:f>IF(AE543&lt;=34,"≤34",IF(AE543&lt;=44,"35–44",IF(AE543&lt;=54,"45–54",IF(AE543&lt;=64,"55–64","65+"))))</x:f>
        <x:v>35–44</x:v>
      </x:c>
      <x:c r="AK543" s="17" t="str">
        <x:f>IF(AG543&gt;=1000,"High Value",IF(AG543&gt;=300,"Mid Value","Low Value"))</x:f>
        <x:v>Mid Value</x:v>
      </x:c>
      <x:c r="AL543" s="17" t="str">
        <x:f>IF(AND(AI543&gt;=1,I543&lt;=50),"Priority 1",IF(AND(AG543&gt;=1000,I543&lt;=60),"Priority 2",IF(I543&lt;=30,"Priority 3","Nurture")))</x:f>
        <x:v>Nurture</x:v>
      </x:c>
    </x:row>
    <x:row r="544">
      <x:c r="A544" s="16" t="n">
        <x:v>8541</x:v>
      </x:c>
      <x:c r="B544" s="16" t="n">
        <x:v>1990</x:v>
      </x:c>
      <x:c r="C544" s="16" t="str">
        <x:v>2n Cycle</x:v>
      </x:c>
      <x:c r="D544" s="16" t="str">
        <x:v>Married</x:v>
      </x:c>
      <x:c r="E544" s="16" t="n">
        <x:v>24683</x:v>
      </x:c>
      <x:c r="F544" s="16" t="n">
        <x:v>1</x:v>
      </x:c>
      <x:c r="G544" s="16" t="n">
        <x:v>0</x:v>
      </x:c>
      <x:c r="H544" s="16" t="str">
        <x:v>08-03-2014</x:v>
      </x:c>
      <x:c r="I544" s="16" t="n">
        <x:v>98</x:v>
      </x:c>
      <x:c r="J544" s="16" t="n">
        <x:v>8</x:v>
      </x:c>
      <x:c r="K544" s="16" t="n">
        <x:v>4</x:v>
      </x:c>
      <x:c r="L544" s="16" t="n">
        <x:v>10</x:v>
      </x:c>
      <x:c r="M544" s="16" t="n">
        <x:v>6</x:v>
      </x:c>
      <x:c r="N544" s="16" t="n">
        <x:v>7</x:v>
      </x:c>
      <x:c r="O544" s="16" t="n">
        <x:v>6</x:v>
      </x:c>
      <x:c r="P544" s="16" t="n">
        <x:v>2</x:v>
      </x:c>
      <x:c r="Q544" s="16" t="n">
        <x:v>2</x:v>
      </x:c>
      <x:c r="R544" s="16" t="n">
        <x:v>0</x:v>
      </x:c>
      <x:c r="S544" s="16" t="n">
        <x:v>4</x:v>
      </x:c>
      <x:c r="T544" s="16" t="n">
        <x:v>5</x:v>
      </x:c>
      <x:c r="U544" s="16" t="n">
        <x:v>0</x:v>
      </x:c>
      <x:c r="V544" s="16" t="n">
        <x:v>0</x:v>
      </x:c>
      <x:c r="W544" s="16" t="n">
        <x:v>0</x:v>
      </x:c>
      <x:c r="X544" s="16" t="n">
        <x:v>0</x:v>
      </x:c>
      <x:c r="Y544" s="16" t="n">
        <x:v>0</x:v>
      </x:c>
      <x:c r="Z544" s="16" t="n">
        <x:v>0</x:v>
      </x:c>
      <x:c r="AA544" s="16" t="n">
        <x:v>3</x:v>
      </x:c>
      <x:c r="AB544" s="16" t="n">
        <x:v>11</x:v>
      </x:c>
      <x:c r="AC544" s="16" t="n">
        <x:v>0</x:v>
      </x:c>
      <x:c r="AD544" s="21" t="n">
        <x:f>IF(E544="",MEDIAN($E$2:$E$2237),E544)</x:f>
        <x:v>24683</x:v>
      </x:c>
      <x:c r="AE544" s="17" t="n">
        <x:f>2014-B544</x:f>
        <x:v>24</x:v>
      </x:c>
      <x:c r="AF544" s="17" t="n">
        <x:f>F544+G544</x:f>
        <x:v>1</x:v>
      </x:c>
      <x:c r="AG544" s="21" t="n">
        <x:f>SUM(J544:O544)</x:f>
        <x:v>41</x:v>
      </x:c>
      <x:c r="AH544" s="17" t="n">
        <x:f>SUM(Q544:S544)</x:f>
        <x:v>6</x:v>
      </x:c>
      <x:c r="AI544" s="17" t="n">
        <x:f>SUM(U544:Y544)</x:f>
        <x:v>0</x:v>
      </x:c>
      <x:c r="AJ544" s="17" t="str">
        <x:f>IF(AE544&lt;=34,"≤34",IF(AE544&lt;=44,"35–44",IF(AE544&lt;=54,"45–54",IF(AE544&lt;=64,"55–64","65+"))))</x:f>
        <x:v>≤34</x:v>
      </x:c>
      <x:c r="AK544" s="17" t="str">
        <x:f>IF(AG544&gt;=1000,"High Value",IF(AG544&gt;=300,"Mid Value","Low Value"))</x:f>
        <x:v>Low Value</x:v>
      </x:c>
      <x:c r="AL544" s="17" t="str">
        <x:f>IF(AND(AI544&gt;=1,I544&lt;=50),"Priority 1",IF(AND(AG544&gt;=1000,I544&lt;=60),"Priority 2",IF(I544&lt;=30,"Priority 3","Nurture")))</x:f>
        <x:v>Nurture</x:v>
      </x:c>
    </x:row>
    <x:row r="545">
      <x:c r="A545" s="16" t="n">
        <x:v>10955</x:v>
      </x:c>
      <x:c r="B545" s="16" t="n">
        <x:v>1964</x:v>
      </x:c>
      <x:c r="C545" s="16" t="str">
        <x:v>Graduation</x:v>
      </x:c>
      <x:c r="D545" s="16" t="str">
        <x:v>Widow</x:v>
      </x:c>
      <x:c r="E545" s="16" t="n">
        <x:v>85620</x:v>
      </x:c>
      <x:c r="F545" s="16" t="n">
        <x:v>0</x:v>
      </x:c>
      <x:c r="G545" s="16" t="n">
        <x:v>0</x:v>
      </x:c>
      <x:c r="H545" s="16" t="str">
        <x:v>07-01-2014</x:v>
      </x:c>
      <x:c r="I545" s="16" t="n">
        <x:v>68</x:v>
      </x:c>
      <x:c r="J545" s="16" t="n">
        <x:v>416</x:v>
      </x:c>
      <x:c r="K545" s="16" t="n">
        <x:v>46</x:v>
      </x:c>
      <x:c r="L545" s="16" t="n">
        <x:v>925</x:v>
      </x:c>
      <x:c r="M545" s="16" t="n">
        <x:v>60</x:v>
      </x:c>
      <x:c r="N545" s="16" t="n">
        <x:v>107</x:v>
      </x:c>
      <x:c r="O545" s="16" t="n">
        <x:v>46</x:v>
      </x:c>
      <x:c r="P545" s="16" t="n">
        <x:v>1</x:v>
      </x:c>
      <x:c r="Q545" s="16" t="n">
        <x:v>3</x:v>
      </x:c>
      <x:c r="R545" s="16" t="n">
        <x:v>6</x:v>
      </x:c>
      <x:c r="S545" s="16" t="n">
        <x:v>4</x:v>
      </x:c>
      <x:c r="T545" s="16" t="n">
        <x:v>1</x:v>
      </x:c>
      <x:c r="U545" s="16" t="n">
        <x:v>0</x:v>
      </x:c>
      <x:c r="V545" s="16" t="n">
        <x:v>0</x:v>
      </x:c>
      <x:c r="W545" s="16" t="n">
        <x:v>0</x:v>
      </x:c>
      <x:c r="X545" s="16" t="n">
        <x:v>0</x:v>
      </x:c>
      <x:c r="Y545" s="16" t="n">
        <x:v>0</x:v>
      </x:c>
      <x:c r="Z545" s="16" t="n">
        <x:v>0</x:v>
      </x:c>
      <x:c r="AA545" s="16" t="n">
        <x:v>3</x:v>
      </x:c>
      <x:c r="AB545" s="16" t="n">
        <x:v>11</x:v>
      </x:c>
      <x:c r="AC545" s="16" t="n">
        <x:v>1</x:v>
      </x:c>
      <x:c r="AD545" s="21" t="n">
        <x:f>IF(E545="",MEDIAN($E$2:$E$2237),E545)</x:f>
        <x:v>85620</x:v>
      </x:c>
      <x:c r="AE545" s="17" t="n">
        <x:f>2014-B545</x:f>
        <x:v>50</x:v>
      </x:c>
      <x:c r="AF545" s="17" t="n">
        <x:f>F545+G545</x:f>
        <x:v>0</x:v>
      </x:c>
      <x:c r="AG545" s="21" t="n">
        <x:f>SUM(J545:O545)</x:f>
        <x:v>1600</x:v>
      </x:c>
      <x:c r="AH545" s="17" t="n">
        <x:f>SUM(Q545:S545)</x:f>
        <x:v>13</x:v>
      </x:c>
      <x:c r="AI545" s="17" t="n">
        <x:f>SUM(U545:Y545)</x:f>
        <x:v>0</x:v>
      </x:c>
      <x:c r="AJ545" s="17" t="str">
        <x:f>IF(AE545&lt;=34,"≤34",IF(AE545&lt;=44,"35–44",IF(AE545&lt;=54,"45–54",IF(AE545&lt;=64,"55–64","65+"))))</x:f>
        <x:v>45–54</x:v>
      </x:c>
      <x:c r="AK545" s="17" t="str">
        <x:f>IF(AG545&gt;=1000,"High Value",IF(AG545&gt;=300,"Mid Value","Low Value"))</x:f>
        <x:v>High Value</x:v>
      </x:c>
      <x:c r="AL545" s="17" t="str">
        <x:f>IF(AND(AI545&gt;=1,I545&lt;=50),"Priority 1",IF(AND(AG545&gt;=1000,I545&lt;=60),"Priority 2",IF(I545&lt;=30,"Priority 3","Nurture")))</x:f>
        <x:v>Nurture</x:v>
      </x:c>
    </x:row>
    <x:row r="546">
      <x:c r="A546" s="16" t="n">
        <x:v>4368</x:v>
      </x:c>
      <x:c r="B546" s="16" t="n">
        <x:v>1980</x:v>
      </x:c>
      <x:c r="C546" s="16" t="str">
        <x:v>Graduation</x:v>
      </x:c>
      <x:c r="D546" s="16" t="str">
        <x:v>Married</x:v>
      </x:c>
      <x:c r="E546" s="16" t="n">
        <x:v>47850</x:v>
      </x:c>
      <x:c r="F546" s="16" t="n">
        <x:v>1</x:v>
      </x:c>
      <x:c r="G546" s="16" t="n">
        <x:v>0</x:v>
      </x:c>
      <x:c r="H546" s="16" t="str">
        <x:v>03-12-2013</x:v>
      </x:c>
      <x:c r="I546" s="16" t="n">
        <x:v>72</x:v>
      </x:c>
      <x:c r="J546" s="16" t="n">
        <x:v>42</x:v>
      </x:c>
      <x:c r="K546" s="16" t="n">
        <x:v>7</x:v>
      </x:c>
      <x:c r="L546" s="16" t="n">
        <x:v>43</x:v>
      </x:c>
      <x:c r="M546" s="16" t="n">
        <x:v>20</x:v>
      </x:c>
      <x:c r="N546" s="16" t="n">
        <x:v>12</x:v>
      </x:c>
      <x:c r="O546" s="16" t="n">
        <x:v>10</x:v>
      </x:c>
      <x:c r="P546" s="16" t="n">
        <x:v>1</x:v>
      </x:c>
      <x:c r="Q546" s="16" t="n">
        <x:v>3</x:v>
      </x:c>
      <x:c r="R546" s="16" t="n">
        <x:v>0</x:v>
      </x:c>
      <x:c r="S546" s="16" t="n">
        <x:v>4</x:v>
      </x:c>
      <x:c r="T546" s="16" t="n">
        <x:v>6</x:v>
      </x:c>
      <x:c r="U546" s="16" t="n">
        <x:v>0</x:v>
      </x:c>
      <x:c r="V546" s="16" t="n">
        <x:v>0</x:v>
      </x:c>
      <x:c r="W546" s="16" t="n">
        <x:v>0</x:v>
      </x:c>
      <x:c r="X546" s="16" t="n">
        <x:v>0</x:v>
      </x:c>
      <x:c r="Y546" s="16" t="n">
        <x:v>0</x:v>
      </x:c>
      <x:c r="Z546" s="16" t="n">
        <x:v>0</x:v>
      </x:c>
      <x:c r="AA546" s="16" t="n">
        <x:v>3</x:v>
      </x:c>
      <x:c r="AB546" s="16" t="n">
        <x:v>11</x:v>
      </x:c>
      <x:c r="AC546" s="16" t="n">
        <x:v>0</x:v>
      </x:c>
      <x:c r="AD546" s="21" t="n">
        <x:f>IF(E546="",MEDIAN($E$2:$E$2237),E546)</x:f>
        <x:v>47850</x:v>
      </x:c>
      <x:c r="AE546" s="17" t="n">
        <x:f>2014-B546</x:f>
        <x:v>34</x:v>
      </x:c>
      <x:c r="AF546" s="17" t="n">
        <x:f>F546+G546</x:f>
        <x:v>1</x:v>
      </x:c>
      <x:c r="AG546" s="21" t="n">
        <x:f>SUM(J546:O546)</x:f>
        <x:v>134</x:v>
      </x:c>
      <x:c r="AH546" s="17" t="n">
        <x:f>SUM(Q546:S546)</x:f>
        <x:v>7</x:v>
      </x:c>
      <x:c r="AI546" s="17" t="n">
        <x:f>SUM(U546:Y546)</x:f>
        <x:v>0</x:v>
      </x:c>
      <x:c r="AJ546" s="17" t="str">
        <x:f>IF(AE546&lt;=34,"≤34",IF(AE546&lt;=44,"35–44",IF(AE546&lt;=54,"45–54",IF(AE546&lt;=64,"55–64","65+"))))</x:f>
        <x:v>≤34</x:v>
      </x:c>
      <x:c r="AK546" s="17" t="str">
        <x:f>IF(AG546&gt;=1000,"High Value",IF(AG546&gt;=300,"Mid Value","Low Value"))</x:f>
        <x:v>Low Value</x:v>
      </x:c>
      <x:c r="AL546" s="17" t="str">
        <x:f>IF(AND(AI546&gt;=1,I546&lt;=50),"Priority 1",IF(AND(AG546&gt;=1000,I546&lt;=60),"Priority 2",IF(I546&lt;=30,"Priority 3","Nurture")))</x:f>
        <x:v>Nurture</x:v>
      </x:c>
    </x:row>
    <x:row r="547">
      <x:c r="A547" s="16" t="n">
        <x:v>9671</x:v>
      </x:c>
      <x:c r="B547" s="16" t="n">
        <x:v>1968</x:v>
      </x:c>
      <x:c r="C547" s="16" t="str">
        <x:v>Graduation</x:v>
      </x:c>
      <x:c r="D547" s="16" t="str">
        <x:v>Married</x:v>
      </x:c>
      <x:c r="E547" s="16" t="n">
        <x:v>19514</x:v>
      </x:c>
      <x:c r="F547" s="16" t="n">
        <x:v>1</x:v>
      </x:c>
      <x:c r="G547" s="16" t="n">
        <x:v>1</x:v>
      </x:c>
      <x:c r="H547" s="16" t="str">
        <x:v>26-01-2014</x:v>
      </x:c>
      <x:c r="I547" s="16" t="n">
        <x:v>47</x:v>
      </x:c>
      <x:c r="J547" s="16" t="n">
        <x:v>14</x:v>
      </x:c>
      <x:c r="K547" s="16" t="n">
        <x:v>3</x:v>
      </x:c>
      <x:c r="L547" s="16" t="n">
        <x:v>21</x:v>
      </x:c>
      <x:c r="M547" s="16" t="n">
        <x:v>2</x:v>
      </x:c>
      <x:c r="N547" s="16" t="n">
        <x:v>1</x:v>
      </x:c>
      <x:c r="O547" s="16" t="n">
        <x:v>28</x:v>
      </x:c>
      <x:c r="P547" s="16" t="n">
        <x:v>4</x:v>
      </x:c>
      <x:c r="Q547" s="16" t="n">
        <x:v>3</x:v>
      </x:c>
      <x:c r="R547" s="16" t="n">
        <x:v>1</x:v>
      </x:c>
      <x:c r="S547" s="16" t="n">
        <x:v>2</x:v>
      </x:c>
      <x:c r="T547" s="16" t="n">
        <x:v>8</x:v>
      </x:c>
      <x:c r="U547" s="16" t="n">
        <x:v>1</x:v>
      </x:c>
      <x:c r="V547" s="16" t="n">
        <x:v>0</x:v>
      </x:c>
      <x:c r="W547" s="16" t="n">
        <x:v>0</x:v>
      </x:c>
      <x:c r="X547" s="16" t="n">
        <x:v>0</x:v>
      </x:c>
      <x:c r="Y547" s="16" t="n">
        <x:v>0</x:v>
      </x:c>
      <x:c r="Z547" s="16" t="n">
        <x:v>0</x:v>
      </x:c>
      <x:c r="AA547" s="16" t="n">
        <x:v>3</x:v>
      </x:c>
      <x:c r="AB547" s="16" t="n">
        <x:v>11</x:v>
      </x:c>
      <x:c r="AC547" s="16" t="n">
        <x:v>1</x:v>
      </x:c>
      <x:c r="AD547" s="21" t="n">
        <x:f>IF(E547="",MEDIAN($E$2:$E$2237),E547)</x:f>
        <x:v>19514</x:v>
      </x:c>
      <x:c r="AE547" s="17" t="n">
        <x:f>2014-B547</x:f>
        <x:v>46</x:v>
      </x:c>
      <x:c r="AF547" s="17" t="n">
        <x:f>F547+G547</x:f>
        <x:v>2</x:v>
      </x:c>
      <x:c r="AG547" s="21" t="n">
        <x:f>SUM(J547:O547)</x:f>
        <x:v>69</x:v>
      </x:c>
      <x:c r="AH547" s="17" t="n">
        <x:f>SUM(Q547:S547)</x:f>
        <x:v>6</x:v>
      </x:c>
      <x:c r="AI547" s="17" t="n">
        <x:f>SUM(U547:Y547)</x:f>
        <x:v>1</x:v>
      </x:c>
      <x:c r="AJ547" s="17" t="str">
        <x:f>IF(AE547&lt;=34,"≤34",IF(AE547&lt;=44,"35–44",IF(AE547&lt;=54,"45–54",IF(AE547&lt;=64,"55–64","65+"))))</x:f>
        <x:v>45–54</x:v>
      </x:c>
      <x:c r="AK547" s="17" t="str">
        <x:f>IF(AG547&gt;=1000,"High Value",IF(AG547&gt;=300,"Mid Value","Low Value"))</x:f>
        <x:v>Low Value</x:v>
      </x:c>
      <x:c r="AL547" s="17" t="str">
        <x:f>IF(AND(AI547&gt;=1,I547&lt;=50),"Priority 1",IF(AND(AG547&gt;=1000,I547&lt;=60),"Priority 2",IF(I547&lt;=30,"Priority 3","Nurture")))</x:f>
        <x:v>Priority 1</x:v>
      </x:c>
    </x:row>
    <x:row r="548">
      <x:c r="A548" s="16" t="n">
        <x:v>2256</x:v>
      </x:c>
      <x:c r="B548" s="16" t="n">
        <x:v>1973</x:v>
      </x:c>
      <x:c r="C548" s="16" t="str">
        <x:v>Master</x:v>
      </x:c>
      <x:c r="D548" s="16" t="str">
        <x:v>Married</x:v>
      </x:c>
      <x:c r="E548" s="16" t="n">
        <x:v>27159</x:v>
      </x:c>
      <x:c r="F548" s="16" t="n">
        <x:v>1</x:v>
      </x:c>
      <x:c r="G548" s="16" t="n">
        <x:v>1</x:v>
      </x:c>
      <x:c r="H548" s="16" t="str">
        <x:v>29-03-2014</x:v>
      </x:c>
      <x:c r="I548" s="16" t="n">
        <x:v>33</x:v>
      </x:c>
      <x:c r="J548" s="16" t="n">
        <x:v>17</x:v>
      </x:c>
      <x:c r="K548" s="16" t="n">
        <x:v>0</x:v>
      </x:c>
      <x:c r="L548" s="16" t="n">
        <x:v>3</x:v>
      </x:c>
      <x:c r="M548" s="16" t="n">
        <x:v>0</x:v>
      </x:c>
      <x:c r="N548" s="16" t="n">
        <x:v>0</x:v>
      </x:c>
      <x:c r="O548" s="16" t="n">
        <x:v>1</x:v>
      </x:c>
      <x:c r="P548" s="16" t="n">
        <x:v>2</x:v>
      </x:c>
      <x:c r="Q548" s="16" t="n">
        <x:v>1</x:v>
      </x:c>
      <x:c r="R548" s="16" t="n">
        <x:v>0</x:v>
      </x:c>
      <x:c r="S548" s="16" t="n">
        <x:v>3</x:v>
      </x:c>
      <x:c r="T548" s="16" t="n">
        <x:v>6</x:v>
      </x:c>
      <x:c r="U548" s="16" t="n">
        <x:v>0</x:v>
      </x:c>
      <x:c r="V548" s="16" t="n">
        <x:v>0</x:v>
      </x:c>
      <x:c r="W548" s="16" t="n">
        <x:v>0</x:v>
      </x:c>
      <x:c r="X548" s="16" t="n">
        <x:v>0</x:v>
      </x:c>
      <x:c r="Y548" s="16" t="n">
        <x:v>0</x:v>
      </x:c>
      <x:c r="Z548" s="16" t="n">
        <x:v>0</x:v>
      </x:c>
      <x:c r="AA548" s="16" t="n">
        <x:v>3</x:v>
      </x:c>
      <x:c r="AB548" s="16" t="n">
        <x:v>11</x:v>
      </x:c>
      <x:c r="AC548" s="16" t="n">
        <x:v>0</x:v>
      </x:c>
      <x:c r="AD548" s="21" t="n">
        <x:f>IF(E548="",MEDIAN($E$2:$E$2237),E548)</x:f>
        <x:v>27159</x:v>
      </x:c>
      <x:c r="AE548" s="17" t="n">
        <x:f>2014-B548</x:f>
        <x:v>41</x:v>
      </x:c>
      <x:c r="AF548" s="17" t="n">
        <x:f>F548+G548</x:f>
        <x:v>2</x:v>
      </x:c>
      <x:c r="AG548" s="21" t="n">
        <x:f>SUM(J548:O548)</x:f>
        <x:v>21</x:v>
      </x:c>
      <x:c r="AH548" s="17" t="n">
        <x:f>SUM(Q548:S548)</x:f>
        <x:v>4</x:v>
      </x:c>
      <x:c r="AI548" s="17" t="n">
        <x:f>SUM(U548:Y548)</x:f>
        <x:v>0</x:v>
      </x:c>
      <x:c r="AJ548" s="17" t="str">
        <x:f>IF(AE548&lt;=34,"≤34",IF(AE548&lt;=44,"35–44",IF(AE548&lt;=54,"45–54",IF(AE548&lt;=64,"55–64","65+"))))</x:f>
        <x:v>35–44</x:v>
      </x:c>
      <x:c r="AK548" s="17" t="str">
        <x:f>IF(AG548&gt;=1000,"High Value",IF(AG548&gt;=300,"Mid Value","Low Value"))</x:f>
        <x:v>Low Value</x:v>
      </x:c>
      <x:c r="AL548" s="17" t="str">
        <x:f>IF(AND(AI548&gt;=1,I548&lt;=50),"Priority 1",IF(AND(AG548&gt;=1000,I548&lt;=60),"Priority 2",IF(I548&lt;=30,"Priority 3","Nurture")))</x:f>
        <x:v>Nurture</x:v>
      </x:c>
    </x:row>
    <x:row r="549">
      <x:c r="A549" s="16" t="n">
        <x:v>4279</x:v>
      </x:c>
      <x:c r="B549" s="16" t="n">
        <x:v>1963</x:v>
      </x:c>
      <x:c r="C549" s="16" t="str">
        <x:v>2n Cycle</x:v>
      </x:c>
      <x:c r="D549" s="16" t="str">
        <x:v>Single</x:v>
      </x:c>
      <x:c r="E549" s="16" t="n">
        <x:v>39548</x:v>
      </x:c>
      <x:c r="F549" s="16" t="n">
        <x:v>1</x:v>
      </x:c>
      <x:c r="G549" s="16" t="n">
        <x:v>1</x:v>
      </x:c>
      <x:c r="H549" s="16" t="str">
        <x:v>31-03-2014</x:v>
      </x:c>
      <x:c r="I549" s="16" t="n">
        <x:v>87</x:v>
      </x:c>
      <x:c r="J549" s="16" t="n">
        <x:v>15</x:v>
      </x:c>
      <x:c r="K549" s="16" t="n">
        <x:v>4</x:v>
      </x:c>
      <x:c r="L549" s="16" t="n">
        <x:v>10</x:v>
      </x:c>
      <x:c r="M549" s="16" t="n">
        <x:v>3</x:v>
      </x:c>
      <x:c r="N549" s="16" t="n">
        <x:v>4</x:v>
      </x:c>
      <x:c r="O549" s="16" t="n">
        <x:v>18</x:v>
      </x:c>
      <x:c r="P549" s="16" t="n">
        <x:v>2</x:v>
      </x:c>
      <x:c r="Q549" s="16" t="n">
        <x:v>1</x:v>
      </x:c>
      <x:c r="R549" s="16" t="n">
        <x:v>1</x:v>
      </x:c>
      <x:c r="S549" s="16" t="n">
        <x:v>3</x:v>
      </x:c>
      <x:c r="T549" s="16" t="n">
        <x:v>3</x:v>
      </x:c>
      <x:c r="U549" s="16" t="n">
        <x:v>0</x:v>
      </x:c>
      <x:c r="V549" s="16" t="n">
        <x:v>0</x:v>
      </x:c>
      <x:c r="W549" s="16" t="n">
        <x:v>0</x:v>
      </x:c>
      <x:c r="X549" s="16" t="n">
        <x:v>0</x:v>
      </x:c>
      <x:c r="Y549" s="16" t="n">
        <x:v>0</x:v>
      </x:c>
      <x:c r="Z549" s="16" t="n">
        <x:v>0</x:v>
      </x:c>
      <x:c r="AA549" s="16" t="n">
        <x:v>3</x:v>
      </x:c>
      <x:c r="AB549" s="16" t="n">
        <x:v>11</x:v>
      </x:c>
      <x:c r="AC549" s="16" t="n">
        <x:v>0</x:v>
      </x:c>
      <x:c r="AD549" s="21" t="n">
        <x:f>IF(E549="",MEDIAN($E$2:$E$2237),E549)</x:f>
        <x:v>39548</x:v>
      </x:c>
      <x:c r="AE549" s="17" t="n">
        <x:f>2014-B549</x:f>
        <x:v>51</x:v>
      </x:c>
      <x:c r="AF549" s="17" t="n">
        <x:f>F549+G549</x:f>
        <x:v>2</x:v>
      </x:c>
      <x:c r="AG549" s="21" t="n">
        <x:f>SUM(J549:O549)</x:f>
        <x:v>54</x:v>
      </x:c>
      <x:c r="AH549" s="17" t="n">
        <x:f>SUM(Q549:S549)</x:f>
        <x:v>5</x:v>
      </x:c>
      <x:c r="AI549" s="17" t="n">
        <x:f>SUM(U549:Y549)</x:f>
        <x:v>0</x:v>
      </x:c>
      <x:c r="AJ549" s="17" t="str">
        <x:f>IF(AE549&lt;=34,"≤34",IF(AE549&lt;=44,"35–44",IF(AE549&lt;=54,"45–54",IF(AE549&lt;=64,"55–64","65+"))))</x:f>
        <x:v>45–54</x:v>
      </x:c>
      <x:c r="AK549" s="17" t="str">
        <x:f>IF(AG549&gt;=1000,"High Value",IF(AG549&gt;=300,"Mid Value","Low Value"))</x:f>
        <x:v>Low Value</x:v>
      </x:c>
      <x:c r="AL549" s="17" t="str">
        <x:f>IF(AND(AI549&gt;=1,I549&lt;=50),"Priority 1",IF(AND(AG549&gt;=1000,I549&lt;=60),"Priority 2",IF(I549&lt;=30,"Priority 3","Nurture")))</x:f>
        <x:v>Nurture</x:v>
      </x:c>
    </x:row>
    <x:row r="550">
      <x:c r="A550" s="16" t="n">
        <x:v>5371</x:v>
      </x:c>
      <x:c r="B550" s="16" t="n">
        <x:v>1989</x:v>
      </x:c>
      <x:c r="C550" s="16" t="str">
        <x:v>Graduation</x:v>
      </x:c>
      <x:c r="D550" s="16" t="str">
        <x:v>Single</x:v>
      </x:c>
      <x:c r="E550" s="16" t="n">
        <x:v>21474</x:v>
      </x:c>
      <x:c r="F550" s="16" t="n">
        <x:v>1</x:v>
      </x:c>
      <x:c r="G550" s="16" t="n">
        <x:v>0</x:v>
      </x:c>
      <x:c r="H550" s="16" t="str">
        <x:v>08-04-2014</x:v>
      </x:c>
      <x:c r="I550" s="16" t="n">
        <x:v>0</x:v>
      </x:c>
      <x:c r="J550" s="16" t="n">
        <x:v>6</x:v>
      </x:c>
      <x:c r="K550" s="16" t="n">
        <x:v>16</x:v>
      </x:c>
      <x:c r="L550" s="16" t="n">
        <x:v>24</x:v>
      </x:c>
      <x:c r="M550" s="16" t="n">
        <x:v>11</x:v>
      </x:c>
      <x:c r="N550" s="16" t="n">
        <x:v>0</x:v>
      </x:c>
      <x:c r="O550" s="16" t="n">
        <x:v>34</x:v>
      </x:c>
      <x:c r="P550" s="16" t="n">
        <x:v>2</x:v>
      </x:c>
      <x:c r="Q550" s="16" t="n">
        <x:v>3</x:v>
      </x:c>
      <x:c r="R550" s="16" t="n">
        <x:v>1</x:v>
      </x:c>
      <x:c r="S550" s="16" t="n">
        <x:v>2</x:v>
      </x:c>
      <x:c r="T550" s="16" t="n">
        <x:v>7</x:v>
      </x:c>
      <x:c r="U550" s="16" t="n">
        <x:v>1</x:v>
      </x:c>
      <x:c r="V550" s="16" t="n">
        <x:v>0</x:v>
      </x:c>
      <x:c r="W550" s="16" t="n">
        <x:v>0</x:v>
      </x:c>
      <x:c r="X550" s="16" t="n">
        <x:v>0</x:v>
      </x:c>
      <x:c r="Y550" s="16" t="n">
        <x:v>0</x:v>
      </x:c>
      <x:c r="Z550" s="16" t="n">
        <x:v>0</x:v>
      </x:c>
      <x:c r="AA550" s="16" t="n">
        <x:v>3</x:v>
      </x:c>
      <x:c r="AB550" s="16" t="n">
        <x:v>11</x:v>
      </x:c>
      <x:c r="AC550" s="16" t="n">
        <x:v>1</x:v>
      </x:c>
      <x:c r="AD550" s="21" t="n">
        <x:f>IF(E550="",MEDIAN($E$2:$E$2237),E550)</x:f>
        <x:v>21474</x:v>
      </x:c>
      <x:c r="AE550" s="17" t="n">
        <x:f>2014-B550</x:f>
        <x:v>25</x:v>
      </x:c>
      <x:c r="AF550" s="17" t="n">
        <x:f>F550+G550</x:f>
        <x:v>1</x:v>
      </x:c>
      <x:c r="AG550" s="21" t="n">
        <x:f>SUM(J550:O550)</x:f>
        <x:v>91</x:v>
      </x:c>
      <x:c r="AH550" s="17" t="n">
        <x:f>SUM(Q550:S550)</x:f>
        <x:v>6</x:v>
      </x:c>
      <x:c r="AI550" s="17" t="n">
        <x:f>SUM(U550:Y550)</x:f>
        <x:v>1</x:v>
      </x:c>
      <x:c r="AJ550" s="17" t="str">
        <x:f>IF(AE550&lt;=34,"≤34",IF(AE550&lt;=44,"35–44",IF(AE550&lt;=54,"45–54",IF(AE550&lt;=64,"55–64","65+"))))</x:f>
        <x:v>≤34</x:v>
      </x:c>
      <x:c r="AK550" s="17" t="str">
        <x:f>IF(AG550&gt;=1000,"High Value",IF(AG550&gt;=300,"Mid Value","Low Value"))</x:f>
        <x:v>Low Value</x:v>
      </x:c>
      <x:c r="AL550" s="17" t="str">
        <x:f>IF(AND(AI550&gt;=1,I550&lt;=50),"Priority 1",IF(AND(AG550&gt;=1000,I550&lt;=60),"Priority 2",IF(I550&lt;=30,"Priority 3","Nurture")))</x:f>
        <x:v>Priority 1</x:v>
      </x:c>
    </x:row>
    <x:row r="551">
      <x:c r="A551" s="16" t="n">
        <x:v>9240</x:v>
      </x:c>
      <x:c r="B551" s="16" t="n">
        <x:v>1971</x:v>
      </x:c>
      <x:c r="C551" s="16" t="str">
        <x:v>PhD</x:v>
      </x:c>
      <x:c r="D551" s="16" t="str">
        <x:v>Single</x:v>
      </x:c>
      <x:c r="E551" s="16" t="n">
        <x:v>60504</x:v>
      </x:c>
      <x:c r="F551" s="16" t="n">
        <x:v>0</x:v>
      </x:c>
      <x:c r="G551" s="16" t="n">
        <x:v>1</x:v>
      </x:c>
      <x:c r="H551" s="16" t="str">
        <x:v>07-02-2014</x:v>
      </x:c>
      <x:c r="I551" s="16" t="n">
        <x:v>73</x:v>
      </x:c>
      <x:c r="J551" s="16" t="n">
        <x:v>458</x:v>
      </x:c>
      <x:c r="K551" s="16" t="n">
        <x:v>0</x:v>
      </x:c>
      <x:c r="L551" s="16" t="n">
        <x:v>24</x:v>
      </x:c>
      <x:c r="M551" s="16" t="n">
        <x:v>6</x:v>
      </x:c>
      <x:c r="N551" s="16" t="n">
        <x:v>4</x:v>
      </x:c>
      <x:c r="O551" s="16" t="n">
        <x:v>34</x:v>
      </x:c>
      <x:c r="P551" s="16" t="n">
        <x:v>2</x:v>
      </x:c>
      <x:c r="Q551" s="16" t="n">
        <x:v>6</x:v>
      </x:c>
      <x:c r="R551" s="16" t="n">
        <x:v>2</x:v>
      </x:c>
      <x:c r="S551" s="16" t="n">
        <x:v>8</x:v>
      </x:c>
      <x:c r="T551" s="16" t="n">
        <x:v>6</x:v>
      </x:c>
      <x:c r="U551" s="16" t="n">
        <x:v>0</x:v>
      </x:c>
      <x:c r="V551" s="16" t="n">
        <x:v>0</x:v>
      </x:c>
      <x:c r="W551" s="16" t="n">
        <x:v>0</x:v>
      </x:c>
      <x:c r="X551" s="16" t="n">
        <x:v>0</x:v>
      </x:c>
      <x:c r="Y551" s="16" t="n">
        <x:v>0</x:v>
      </x:c>
      <x:c r="Z551" s="16" t="n">
        <x:v>0</x:v>
      </x:c>
      <x:c r="AA551" s="16" t="n">
        <x:v>3</x:v>
      </x:c>
      <x:c r="AB551" s="16" t="n">
        <x:v>11</x:v>
      </x:c>
      <x:c r="AC551" s="16" t="n">
        <x:v>0</x:v>
      </x:c>
      <x:c r="AD551" s="21" t="n">
        <x:f>IF(E551="",MEDIAN($E$2:$E$2237),E551)</x:f>
        <x:v>60504</x:v>
      </x:c>
      <x:c r="AE551" s="17" t="n">
        <x:f>2014-B551</x:f>
        <x:v>43</x:v>
      </x:c>
      <x:c r="AF551" s="17" t="n">
        <x:f>F551+G551</x:f>
        <x:v>1</x:v>
      </x:c>
      <x:c r="AG551" s="21" t="n">
        <x:f>SUM(J551:O551)</x:f>
        <x:v>526</x:v>
      </x:c>
      <x:c r="AH551" s="17" t="n">
        <x:f>SUM(Q551:S551)</x:f>
        <x:v>16</x:v>
      </x:c>
      <x:c r="AI551" s="17" t="n">
        <x:f>SUM(U551:Y551)</x:f>
        <x:v>0</x:v>
      </x:c>
      <x:c r="AJ551" s="17" t="str">
        <x:f>IF(AE551&lt;=34,"≤34",IF(AE551&lt;=44,"35–44",IF(AE551&lt;=54,"45–54",IF(AE551&lt;=64,"55–64","65+"))))</x:f>
        <x:v>35–44</x:v>
      </x:c>
      <x:c r="AK551" s="17" t="str">
        <x:f>IF(AG551&gt;=1000,"High Value",IF(AG551&gt;=300,"Mid Value","Low Value"))</x:f>
        <x:v>Mid Value</x:v>
      </x:c>
      <x:c r="AL551" s="17" t="str">
        <x:f>IF(AND(AI551&gt;=1,I551&lt;=50),"Priority 1",IF(AND(AG551&gt;=1000,I551&lt;=60),"Priority 2",IF(I551&lt;=30,"Priority 3","Nurture")))</x:f>
        <x:v>Nurture</x:v>
      </x:c>
    </x:row>
    <x:row r="552">
      <x:c r="A552" s="16" t="n">
        <x:v>9460</x:v>
      </x:c>
      <x:c r="B552" s="16" t="n">
        <x:v>1963</x:v>
      </x:c>
      <x:c r="C552" s="16" t="str">
        <x:v>Graduation</x:v>
      </x:c>
      <x:c r="D552" s="16" t="str">
        <x:v>Married</x:v>
      </x:c>
      <x:c r="E552" s="16" t="n">
        <x:v>22419</x:v>
      </x:c>
      <x:c r="F552" s="16" t="n">
        <x:v>0</x:v>
      </x:c>
      <x:c r="G552" s="16" t="n">
        <x:v>0</x:v>
      </x:c>
      <x:c r="H552" s="16" t="str">
        <x:v>18-04-2013</x:v>
      </x:c>
      <x:c r="I552" s="16" t="n">
        <x:v>74</x:v>
      </x:c>
      <x:c r="J552" s="16" t="n">
        <x:v>30</x:v>
      </x:c>
      <x:c r="K552" s="16" t="n">
        <x:v>3</x:v>
      </x:c>
      <x:c r="L552" s="16" t="n">
        <x:v>47</x:v>
      </x:c>
      <x:c r="M552" s="16" t="n">
        <x:v>19</x:v>
      </x:c>
      <x:c r="N552" s="16" t="n">
        <x:v>21</x:v>
      </x:c>
      <x:c r="O552" s="16" t="n">
        <x:v>42</x:v>
      </x:c>
      <x:c r="P552" s="16" t="n">
        <x:v>1</x:v>
      </x:c>
      <x:c r="Q552" s="16" t="n">
        <x:v>3</x:v>
      </x:c>
      <x:c r="R552" s="16" t="n">
        <x:v>2</x:v>
      </x:c>
      <x:c r="S552" s="16" t="n">
        <x:v>2</x:v>
      </x:c>
      <x:c r="T552" s="16" t="n">
        <x:v>8</x:v>
      </x:c>
      <x:c r="U552" s="16" t="n">
        <x:v>0</x:v>
      </x:c>
      <x:c r="V552" s="16" t="n">
        <x:v>0</x:v>
      </x:c>
      <x:c r="W552" s="16" t="n">
        <x:v>0</x:v>
      </x:c>
      <x:c r="X552" s="16" t="n">
        <x:v>0</x:v>
      </x:c>
      <x:c r="Y552" s="16" t="n">
        <x:v>0</x:v>
      </x:c>
      <x:c r="Z552" s="16" t="n">
        <x:v>0</x:v>
      </x:c>
      <x:c r="AA552" s="16" t="n">
        <x:v>3</x:v>
      </x:c>
      <x:c r="AB552" s="16" t="n">
        <x:v>11</x:v>
      </x:c>
      <x:c r="AC552" s="16" t="n">
        <x:v>0</x:v>
      </x:c>
      <x:c r="AD552" s="21" t="n">
        <x:f>IF(E552="",MEDIAN($E$2:$E$2237),E552)</x:f>
        <x:v>22419</x:v>
      </x:c>
      <x:c r="AE552" s="17" t="n">
        <x:f>2014-B552</x:f>
        <x:v>51</x:v>
      </x:c>
      <x:c r="AF552" s="17" t="n">
        <x:f>F552+G552</x:f>
        <x:v>0</x:v>
      </x:c>
      <x:c r="AG552" s="21" t="n">
        <x:f>SUM(J552:O552)</x:f>
        <x:v>162</x:v>
      </x:c>
      <x:c r="AH552" s="17" t="n">
        <x:f>SUM(Q552:S552)</x:f>
        <x:v>7</x:v>
      </x:c>
      <x:c r="AI552" s="17" t="n">
        <x:f>SUM(U552:Y552)</x:f>
        <x:v>0</x:v>
      </x:c>
      <x:c r="AJ552" s="17" t="str">
        <x:f>IF(AE552&lt;=34,"≤34",IF(AE552&lt;=44,"35–44",IF(AE552&lt;=54,"45–54",IF(AE552&lt;=64,"55–64","65+"))))</x:f>
        <x:v>45–54</x:v>
      </x:c>
      <x:c r="AK552" s="17" t="str">
        <x:f>IF(AG552&gt;=1000,"High Value",IF(AG552&gt;=300,"Mid Value","Low Value"))</x:f>
        <x:v>Low Value</x:v>
      </x:c>
      <x:c r="AL552" s="17" t="str">
        <x:f>IF(AND(AI552&gt;=1,I552&lt;=50),"Priority 1",IF(AND(AG552&gt;=1000,I552&lt;=60),"Priority 2",IF(I552&lt;=30,"Priority 3","Nurture")))</x:f>
        <x:v>Nurture</x:v>
      </x:c>
    </x:row>
    <x:row r="553">
      <x:c r="A553" s="16" t="n">
        <x:v>9504</x:v>
      </x:c>
      <x:c r="B553" s="16" t="n">
        <x:v>1949</x:v>
      </x:c>
      <x:c r="C553" s="16" t="str">
        <x:v>Master</x:v>
      </x:c>
      <x:c r="D553" s="16" t="str">
        <x:v>Married</x:v>
      </x:c>
      <x:c r="E553" s="16" t="n">
        <x:v>81698</x:v>
      </x:c>
      <x:c r="F553" s="16" t="n">
        <x:v>0</x:v>
      </x:c>
      <x:c r="G553" s="16" t="n">
        <x:v>0</x:v>
      </x:c>
      <x:c r="H553" s="16" t="str">
        <x:v>06-11-2013</x:v>
      </x:c>
      <x:c r="I553" s="16" t="n">
        <x:v>4</x:v>
      </x:c>
      <x:c r="J553" s="16" t="n">
        <x:v>179</x:v>
      </x:c>
      <x:c r="K553" s="16" t="n">
        <x:v>28</x:v>
      </x:c>
      <x:c r="L553" s="16" t="n">
        <x:v>520</x:v>
      </x:c>
      <x:c r="M553" s="16" t="n">
        <x:v>111</x:v>
      </x:c>
      <x:c r="N553" s="16" t="n">
        <x:v>123</x:v>
      </x:c>
      <x:c r="O553" s="16" t="n">
        <x:v>47</x:v>
      </x:c>
      <x:c r="P553" s="16" t="n">
        <x:v>1</x:v>
      </x:c>
      <x:c r="Q553" s="16" t="n">
        <x:v>3</x:v>
      </x:c>
      <x:c r="R553" s="16" t="n">
        <x:v>8</x:v>
      </x:c>
      <x:c r="S553" s="16" t="n">
        <x:v>13</x:v>
      </x:c>
      <x:c r="T553" s="16" t="n">
        <x:v>1</x:v>
      </x:c>
      <x:c r="U553" s="16" t="n">
        <x:v>0</x:v>
      </x:c>
      <x:c r="V553" s="16" t="n">
        <x:v>0</x:v>
      </x:c>
      <x:c r="W553" s="16" t="n">
        <x:v>0</x:v>
      </x:c>
      <x:c r="X553" s="16" t="n">
        <x:v>0</x:v>
      </x:c>
      <x:c r="Y553" s="16" t="n">
        <x:v>0</x:v>
      </x:c>
      <x:c r="Z553" s="16" t="n">
        <x:v>0</x:v>
      </x:c>
      <x:c r="AA553" s="16" t="n">
        <x:v>3</x:v>
      </x:c>
      <x:c r="AB553" s="16" t="n">
        <x:v>11</x:v>
      </x:c>
      <x:c r="AC553" s="16" t="n">
        <x:v>1</x:v>
      </x:c>
      <x:c r="AD553" s="21" t="n">
        <x:f>IF(E553="",MEDIAN($E$2:$E$2237),E553)</x:f>
        <x:v>81698</x:v>
      </x:c>
      <x:c r="AE553" s="17" t="n">
        <x:f>2014-B553</x:f>
        <x:v>65</x:v>
      </x:c>
      <x:c r="AF553" s="17" t="n">
        <x:f>F553+G553</x:f>
        <x:v>0</x:v>
      </x:c>
      <x:c r="AG553" s="21" t="n">
        <x:f>SUM(J553:O553)</x:f>
        <x:v>1008</x:v>
      </x:c>
      <x:c r="AH553" s="17" t="n">
        <x:f>SUM(Q553:S553)</x:f>
        <x:v>24</x:v>
      </x:c>
      <x:c r="AI553" s="17" t="n">
        <x:f>SUM(U553:Y553)</x:f>
        <x:v>0</x:v>
      </x:c>
      <x:c r="AJ553" s="17" t="str">
        <x:f>IF(AE553&lt;=34,"≤34",IF(AE553&lt;=44,"35–44",IF(AE553&lt;=54,"45–54",IF(AE553&lt;=64,"55–64","65+"))))</x:f>
        <x:v>65+</x:v>
      </x:c>
      <x:c r="AK553" s="17" t="str">
        <x:f>IF(AG553&gt;=1000,"High Value",IF(AG553&gt;=300,"Mid Value","Low Value"))</x:f>
        <x:v>High Value</x:v>
      </x:c>
      <x:c r="AL553" s="17" t="str">
        <x:f>IF(AND(AI553&gt;=1,I553&lt;=50),"Priority 1",IF(AND(AG553&gt;=1000,I553&lt;=60),"Priority 2",IF(I553&lt;=30,"Priority 3","Nurture")))</x:f>
        <x:v>Priority 2</x:v>
      </x:c>
    </x:row>
    <x:row r="554">
      <x:c r="A554" s="16" t="n">
        <x:v>8692</x:v>
      </x:c>
      <x:c r="B554" s="16" t="n">
        <x:v>1952</x:v>
      </x:c>
      <x:c r="C554" s="16" t="str">
        <x:v>Graduation</x:v>
      </x:c>
      <x:c r="D554" s="16" t="str">
        <x:v>Together</x:v>
      </x:c>
      <x:c r="E554" s="16" t="n">
        <x:v>43462</x:v>
      </x:c>
      <x:c r="F554" s="16" t="n">
        <x:v>1</x:v>
      </x:c>
      <x:c r="G554" s="16" t="n">
        <x:v>1</x:v>
      </x:c>
      <x:c r="H554" s="16" t="str">
        <x:v>12-09-2012</x:v>
      </x:c>
      <x:c r="I554" s="16" t="n">
        <x:v>50</x:v>
      </x:c>
      <x:c r="J554" s="16" t="n">
        <x:v>90</x:v>
      </x:c>
      <x:c r="K554" s="16" t="n">
        <x:v>17</x:v>
      </x:c>
      <x:c r="L554" s="16" t="n">
        <x:v>97</x:v>
      </x:c>
      <x:c r="M554" s="16" t="n">
        <x:v>15</x:v>
      </x:c>
      <x:c r="N554" s="16" t="n">
        <x:v>6</x:v>
      </x:c>
      <x:c r="O554" s="16" t="n">
        <x:v>15</x:v>
      </x:c>
      <x:c r="P554" s="16" t="n">
        <x:v>6</x:v>
      </x:c>
      <x:c r="Q554" s="16" t="n">
        <x:v>4</x:v>
      </x:c>
      <x:c r="R554" s="16" t="n">
        <x:v>1</x:v>
      </x:c>
      <x:c r="S554" s="16" t="n">
        <x:v>5</x:v>
      </x:c>
      <x:c r="T554" s="16" t="n">
        <x:v>8</x:v>
      </x:c>
      <x:c r="U554" s="16" t="n">
        <x:v>0</x:v>
      </x:c>
      <x:c r="V554" s="16" t="n">
        <x:v>0</x:v>
      </x:c>
      <x:c r="W554" s="16" t="n">
        <x:v>0</x:v>
      </x:c>
      <x:c r="X554" s="16" t="n">
        <x:v>0</x:v>
      </x:c>
      <x:c r="Y554" s="16" t="n">
        <x:v>0</x:v>
      </x:c>
      <x:c r="Z554" s="16" t="n">
        <x:v>0</x:v>
      </x:c>
      <x:c r="AA554" s="16" t="n">
        <x:v>3</x:v>
      </x:c>
      <x:c r="AB554" s="16" t="n">
        <x:v>11</x:v>
      </x:c>
      <x:c r="AC554" s="16" t="n">
        <x:v>0</x:v>
      </x:c>
      <x:c r="AD554" s="21" t="n">
        <x:f>IF(E554="",MEDIAN($E$2:$E$2237),E554)</x:f>
        <x:v>43462</x:v>
      </x:c>
      <x:c r="AE554" s="17" t="n">
        <x:f>2014-B554</x:f>
        <x:v>62</x:v>
      </x:c>
      <x:c r="AF554" s="17" t="n">
        <x:f>F554+G554</x:f>
        <x:v>2</x:v>
      </x:c>
      <x:c r="AG554" s="21" t="n">
        <x:f>SUM(J554:O554)</x:f>
        <x:v>240</x:v>
      </x:c>
      <x:c r="AH554" s="17" t="n">
        <x:f>SUM(Q554:S554)</x:f>
        <x:v>10</x:v>
      </x:c>
      <x:c r="AI554" s="17" t="n">
        <x:f>SUM(U554:Y554)</x:f>
        <x:v>0</x:v>
      </x:c>
      <x:c r="AJ554" s="17" t="str">
        <x:f>IF(AE554&lt;=34,"≤34",IF(AE554&lt;=44,"35–44",IF(AE554&lt;=54,"45–54",IF(AE554&lt;=64,"55–64","65+"))))</x:f>
        <x:v>55–64</x:v>
      </x:c>
      <x:c r="AK554" s="17" t="str">
        <x:f>IF(AG554&gt;=1000,"High Value",IF(AG554&gt;=300,"Mid Value","Low Value"))</x:f>
        <x:v>Low Value</x:v>
      </x:c>
      <x:c r="AL554" s="17" t="str">
        <x:f>IF(AND(AI554&gt;=1,I554&lt;=50),"Priority 1",IF(AND(AG554&gt;=1000,I554&lt;=60),"Priority 2",IF(I554&lt;=30,"Priority 3","Nurture")))</x:f>
        <x:v>Nurture</x:v>
      </x:c>
    </x:row>
    <x:row r="555">
      <x:c r="A555" s="16" t="n">
        <x:v>448</x:v>
      </x:c>
      <x:c r="B555" s="16" t="n">
        <x:v>1978</x:v>
      </x:c>
      <x:c r="C555" s="16" t="str">
        <x:v>PhD</x:v>
      </x:c>
      <x:c r="D555" s="16" t="str">
        <x:v>Single</x:v>
      </x:c>
      <x:c r="E555" s="16" t="n">
        <x:v>54880</x:v>
      </x:c>
      <x:c r="F555" s="16" t="n">
        <x:v>1</x:v>
      </x:c>
      <x:c r="G555" s="16" t="n">
        <x:v>0</x:v>
      </x:c>
      <x:c r="H555" s="16" t="str">
        <x:v>01-03-2013</x:v>
      </x:c>
      <x:c r="I555" s="16" t="n">
        <x:v>57</x:v>
      </x:c>
      <x:c r="J555" s="16" t="n">
        <x:v>308</x:v>
      </x:c>
      <x:c r="K555" s="16" t="n">
        <x:v>85</x:v>
      </x:c>
      <x:c r="L555" s="16" t="n">
        <x:v>137</x:v>
      </x:c>
      <x:c r="M555" s="16" t="n">
        <x:v>102</x:v>
      </x:c>
      <x:c r="N555" s="16" t="n">
        <x:v>45</x:v>
      </x:c>
      <x:c r="O555" s="16" t="n">
        <x:v>118</x:v>
      </x:c>
      <x:c r="P555" s="16" t="n">
        <x:v>2</x:v>
      </x:c>
      <x:c r="Q555" s="16" t="n">
        <x:v>6</x:v>
      </x:c>
      <x:c r="R555" s="16" t="n">
        <x:v>2</x:v>
      </x:c>
      <x:c r="S555" s="16" t="n">
        <x:v>11</x:v>
      </x:c>
      <x:c r="T555" s="16" t="n">
        <x:v>5</x:v>
      </x:c>
      <x:c r="U555" s="16" t="n">
        <x:v>0</x:v>
      </x:c>
      <x:c r="V555" s="16" t="n">
        <x:v>0</x:v>
      </x:c>
      <x:c r="W555" s="16" t="n">
        <x:v>0</x:v>
      </x:c>
      <x:c r="X555" s="16" t="n">
        <x:v>0</x:v>
      </x:c>
      <x:c r="Y555" s="16" t="n">
        <x:v>0</x:v>
      </x:c>
      <x:c r="Z555" s="16" t="n">
        <x:v>0</x:v>
      </x:c>
      <x:c r="AA555" s="16" t="n">
        <x:v>3</x:v>
      </x:c>
      <x:c r="AB555" s="16" t="n">
        <x:v>11</x:v>
      </x:c>
      <x:c r="AC555" s="16" t="n">
        <x:v>0</x:v>
      </x:c>
      <x:c r="AD555" s="21" t="n">
        <x:f>IF(E555="",MEDIAN($E$2:$E$2237),E555)</x:f>
        <x:v>54880</x:v>
      </x:c>
      <x:c r="AE555" s="17" t="n">
        <x:f>2014-B555</x:f>
        <x:v>36</x:v>
      </x:c>
      <x:c r="AF555" s="17" t="n">
        <x:f>F555+G555</x:f>
        <x:v>1</x:v>
      </x:c>
      <x:c r="AG555" s="21" t="n">
        <x:f>SUM(J555:O555)</x:f>
        <x:v>795</x:v>
      </x:c>
      <x:c r="AH555" s="17" t="n">
        <x:f>SUM(Q555:S555)</x:f>
        <x:v>19</x:v>
      </x:c>
      <x:c r="AI555" s="17" t="n">
        <x:f>SUM(U555:Y555)</x:f>
        <x:v>0</x:v>
      </x:c>
      <x:c r="AJ555" s="17" t="str">
        <x:f>IF(AE555&lt;=34,"≤34",IF(AE555&lt;=44,"35–44",IF(AE555&lt;=54,"45–54",IF(AE555&lt;=64,"55–64","65+"))))</x:f>
        <x:v>35–44</x:v>
      </x:c>
      <x:c r="AK555" s="17" t="str">
        <x:f>IF(AG555&gt;=1000,"High Value",IF(AG555&gt;=300,"Mid Value","Low Value"))</x:f>
        <x:v>Mid Value</x:v>
      </x:c>
      <x:c r="AL555" s="17" t="str">
        <x:f>IF(AND(AI555&gt;=1,I555&lt;=50),"Priority 1",IF(AND(AG555&gt;=1000,I555&lt;=60),"Priority 2",IF(I555&lt;=30,"Priority 3","Nurture")))</x:f>
        <x:v>Nurture</x:v>
      </x:c>
    </x:row>
    <x:row r="556">
      <x:c r="A556" s="16" t="n">
        <x:v>8314</x:v>
      </x:c>
      <x:c r="B556" s="16" t="n">
        <x:v>1982</x:v>
      </x:c>
      <x:c r="C556" s="16" t="str">
        <x:v>Graduation</x:v>
      </x:c>
      <x:c r="D556" s="16" t="str">
        <x:v>Married</x:v>
      </x:c>
      <x:c r="E556" s="16" t="n">
        <x:v>79908</x:v>
      </x:c>
      <x:c r="F556" s="16" t="n">
        <x:v>0</x:v>
      </x:c>
      <x:c r="G556" s="16" t="n">
        <x:v>0</x:v>
      </x:c>
      <x:c r="H556" s="16" t="str">
        <x:v>05-04-2013</x:v>
      </x:c>
      <x:c r="I556" s="16" t="n">
        <x:v>30</x:v>
      </x:c>
      <x:c r="J556" s="16" t="n">
        <x:v>557</x:v>
      </x:c>
      <x:c r="K556" s="16" t="n">
        <x:v>129</x:v>
      </x:c>
      <x:c r="L556" s="16" t="n">
        <x:v>761</x:v>
      </x:c>
      <x:c r="M556" s="16" t="n">
        <x:v>29</x:v>
      </x:c>
      <x:c r="N556" s="16" t="n">
        <x:v>185</x:v>
      </x:c>
      <x:c r="O556" s="16" t="n">
        <x:v>111</x:v>
      </x:c>
      <x:c r="P556" s="16" t="n">
        <x:v>1</x:v>
      </x:c>
      <x:c r="Q556" s="16" t="n">
        <x:v>5</x:v>
      </x:c>
      <x:c r="R556" s="16" t="n">
        <x:v>6</x:v>
      </x:c>
      <x:c r="S556" s="16" t="n">
        <x:v>7</x:v>
      </x:c>
      <x:c r="T556" s="16" t="n">
        <x:v>2</x:v>
      </x:c>
      <x:c r="U556" s="16" t="n">
        <x:v>0</x:v>
      </x:c>
      <x:c r="V556" s="16" t="n">
        <x:v>0</x:v>
      </x:c>
      <x:c r="W556" s="16" t="n">
        <x:v>1</x:v>
      </x:c>
      <x:c r="X556" s="16" t="n">
        <x:v>0</x:v>
      </x:c>
      <x:c r="Y556" s="16" t="n">
        <x:v>0</x:v>
      </x:c>
      <x:c r="Z556" s="16" t="n">
        <x:v>0</x:v>
      </x:c>
      <x:c r="AA556" s="16" t="n">
        <x:v>3</x:v>
      </x:c>
      <x:c r="AB556" s="16" t="n">
        <x:v>11</x:v>
      </x:c>
      <x:c r="AC556" s="16" t="n">
        <x:v>0</x:v>
      </x:c>
      <x:c r="AD556" s="21" t="n">
        <x:f>IF(E556="",MEDIAN($E$2:$E$2237),E556)</x:f>
        <x:v>79908</x:v>
      </x:c>
      <x:c r="AE556" s="17" t="n">
        <x:f>2014-B556</x:f>
        <x:v>32</x:v>
      </x:c>
      <x:c r="AF556" s="17" t="n">
        <x:f>F556+G556</x:f>
        <x:v>0</x:v>
      </x:c>
      <x:c r="AG556" s="21" t="n">
        <x:f>SUM(J556:O556)</x:f>
        <x:v>1772</x:v>
      </x:c>
      <x:c r="AH556" s="17" t="n">
        <x:f>SUM(Q556:S556)</x:f>
        <x:v>18</x:v>
      </x:c>
      <x:c r="AI556" s="17" t="n">
        <x:f>SUM(U556:Y556)</x:f>
        <x:v>1</x:v>
      </x:c>
      <x:c r="AJ556" s="17" t="str">
        <x:f>IF(AE556&lt;=34,"≤34",IF(AE556&lt;=44,"35–44",IF(AE556&lt;=54,"45–54",IF(AE556&lt;=64,"55–64","65+"))))</x:f>
        <x:v>≤34</x:v>
      </x:c>
      <x:c r="AK556" s="17" t="str">
        <x:f>IF(AG556&gt;=1000,"High Value",IF(AG556&gt;=300,"Mid Value","Low Value"))</x:f>
        <x:v>High Value</x:v>
      </x:c>
      <x:c r="AL556" s="17" t="str">
        <x:f>IF(AND(AI556&gt;=1,I556&lt;=50),"Priority 1",IF(AND(AG556&gt;=1000,I556&lt;=60),"Priority 2",IF(I556&lt;=30,"Priority 3","Nurture")))</x:f>
        <x:v>Priority 1</x:v>
      </x:c>
    </x:row>
    <x:row r="557">
      <x:c r="A557" s="16" t="n">
        <x:v>8420</x:v>
      </x:c>
      <x:c r="B557" s="16" t="n">
        <x:v>1970</x:v>
      </x:c>
      <x:c r="C557" s="16" t="str">
        <x:v>2n Cycle</x:v>
      </x:c>
      <x:c r="D557" s="16" t="str">
        <x:v>Married</x:v>
      </x:c>
      <x:c r="E557" s="16" t="n">
        <x:v>15315</x:v>
      </x:c>
      <x:c r="F557" s="16" t="n">
        <x:v>0</x:v>
      </x:c>
      <x:c r="G557" s="16" t="n">
        <x:v>0</x:v>
      </x:c>
      <x:c r="H557" s="16" t="str">
        <x:v>03-08-2013</x:v>
      </x:c>
      <x:c r="I557" s="16" t="n">
        <x:v>27</x:v>
      </x:c>
      <x:c r="J557" s="16" t="n">
        <x:v>7</x:v>
      </x:c>
      <x:c r="K557" s="16" t="n">
        <x:v>4</x:v>
      </x:c>
      <x:c r="L557" s="16" t="n">
        <x:v>13</x:v>
      </x:c>
      <x:c r="M557" s="16" t="n">
        <x:v>15</x:v>
      </x:c>
      <x:c r="N557" s="16" t="n">
        <x:v>8</x:v>
      </x:c>
      <x:c r="O557" s="16" t="n">
        <x:v>17</x:v>
      </x:c>
      <x:c r="P557" s="16" t="n">
        <x:v>2</x:v>
      </x:c>
      <x:c r="Q557" s="16" t="n">
        <x:v>2</x:v>
      </x:c>
      <x:c r="R557" s="16" t="n">
        <x:v>0</x:v>
      </x:c>
      <x:c r="S557" s="16" t="n">
        <x:v>4</x:v>
      </x:c>
      <x:c r="T557" s="16" t="n">
        <x:v>5</x:v>
      </x:c>
      <x:c r="U557" s="16" t="n">
        <x:v>0</x:v>
      </x:c>
      <x:c r="V557" s="16" t="n">
        <x:v>0</x:v>
      </x:c>
      <x:c r="W557" s="16" t="n">
        <x:v>0</x:v>
      </x:c>
      <x:c r="X557" s="16" t="n">
        <x:v>0</x:v>
      </x:c>
      <x:c r="Y557" s="16" t="n">
        <x:v>0</x:v>
      </x:c>
      <x:c r="Z557" s="16" t="n">
        <x:v>0</x:v>
      </x:c>
      <x:c r="AA557" s="16" t="n">
        <x:v>3</x:v>
      </x:c>
      <x:c r="AB557" s="16" t="n">
        <x:v>11</x:v>
      </x:c>
      <x:c r="AC557" s="16" t="n">
        <x:v>0</x:v>
      </x:c>
      <x:c r="AD557" s="21" t="n">
        <x:f>IF(E557="",MEDIAN($E$2:$E$2237),E557)</x:f>
        <x:v>15315</x:v>
      </x:c>
      <x:c r="AE557" s="17" t="n">
        <x:f>2014-B557</x:f>
        <x:v>44</x:v>
      </x:c>
      <x:c r="AF557" s="17" t="n">
        <x:f>F557+G557</x:f>
        <x:v>0</x:v>
      </x:c>
      <x:c r="AG557" s="21" t="n">
        <x:f>SUM(J557:O557)</x:f>
        <x:v>64</x:v>
      </x:c>
      <x:c r="AH557" s="17" t="n">
        <x:f>SUM(Q557:S557)</x:f>
        <x:v>6</x:v>
      </x:c>
      <x:c r="AI557" s="17" t="n">
        <x:f>SUM(U557:Y557)</x:f>
        <x:v>0</x:v>
      </x:c>
      <x:c r="AJ557" s="17" t="str">
        <x:f>IF(AE557&lt;=34,"≤34",IF(AE557&lt;=44,"35–44",IF(AE557&lt;=54,"45–54",IF(AE557&lt;=64,"55–64","65+"))))</x:f>
        <x:v>35–44</x:v>
      </x:c>
      <x:c r="AK557" s="17" t="str">
        <x:f>IF(AG557&gt;=1000,"High Value",IF(AG557&gt;=300,"Mid Value","Low Value"))</x:f>
        <x:v>Low Value</x:v>
      </x:c>
      <x:c r="AL557" s="17" t="str">
        <x:f>IF(AND(AI557&gt;=1,I557&lt;=50),"Priority 1",IF(AND(AG557&gt;=1000,I557&lt;=60),"Priority 2",IF(I557&lt;=30,"Priority 3","Nurture")))</x:f>
        <x:v>Priority 3</x:v>
      </x:c>
    </x:row>
    <x:row r="558">
      <x:c r="A558" s="16" t="n">
        <x:v>3174</x:v>
      </x:c>
      <x:c r="B558" s="16" t="n">
        <x:v>1959</x:v>
      </x:c>
      <x:c r="C558" s="16" t="str">
        <x:v>Graduation</x:v>
      </x:c>
      <x:c r="D558" s="16" t="str">
        <x:v>Together</x:v>
      </x:c>
      <x:c r="E558" s="16" t="n">
        <x:v>87771</x:v>
      </x:c>
      <x:c r="F558" s="16" t="n">
        <x:v>0</x:v>
      </x:c>
      <x:c r="G558" s="16" t="n">
        <x:v>1</x:v>
      </x:c>
      <x:c r="H558" s="16" t="str">
        <x:v>22-05-2013</x:v>
      </x:c>
      <x:c r="I558" s="16" t="n">
        <x:v>61</x:v>
      </x:c>
      <x:c r="J558" s="16" t="n">
        <x:v>1492</x:v>
      </x:c>
      <x:c r="K558" s="16" t="n">
        <x:v>38</x:v>
      </x:c>
      <x:c r="L558" s="16" t="n">
        <x:v>287</x:v>
      </x:c>
      <x:c r="M558" s="16" t="n">
        <x:v>50</x:v>
      </x:c>
      <x:c r="N558" s="16" t="n">
        <x:v>57</x:v>
      </x:c>
      <x:c r="O558" s="16" t="n">
        <x:v>33</x:v>
      </x:c>
      <x:c r="P558" s="16" t="n">
        <x:v>1</x:v>
      </x:c>
      <x:c r="Q558" s="16" t="n">
        <x:v>5</x:v>
      </x:c>
      <x:c r="R558" s="16" t="n">
        <x:v>10</x:v>
      </x:c>
      <x:c r="S558" s="16" t="n">
        <x:v>4</x:v>
      </x:c>
      <x:c r="T558" s="16" t="n">
        <x:v>6</x:v>
      </x:c>
      <x:c r="U558" s="16" t="n">
        <x:v>0</x:v>
      </x:c>
      <x:c r="V558" s="16" t="n">
        <x:v>1</x:v>
      </x:c>
      <x:c r="W558" s="16" t="n">
        <x:v>1</x:v>
      </x:c>
      <x:c r="X558" s="16" t="n">
        <x:v>1</x:v>
      </x:c>
      <x:c r="Y558" s="16" t="n">
        <x:v>1</x:v>
      </x:c>
      <x:c r="Z558" s="16" t="n">
        <x:v>0</x:v>
      </x:c>
      <x:c r="AA558" s="16" t="n">
        <x:v>3</x:v>
      </x:c>
      <x:c r="AB558" s="16" t="n">
        <x:v>11</x:v>
      </x:c>
      <x:c r="AC558" s="16" t="n">
        <x:v>1</x:v>
      </x:c>
      <x:c r="AD558" s="21" t="n">
        <x:f>IF(E558="",MEDIAN($E$2:$E$2237),E558)</x:f>
        <x:v>87771</x:v>
      </x:c>
      <x:c r="AE558" s="17" t="n">
        <x:f>2014-B558</x:f>
        <x:v>55</x:v>
      </x:c>
      <x:c r="AF558" s="17" t="n">
        <x:f>F558+G558</x:f>
        <x:v>1</x:v>
      </x:c>
      <x:c r="AG558" s="21" t="n">
        <x:f>SUM(J558:O558)</x:f>
        <x:v>1957</x:v>
      </x:c>
      <x:c r="AH558" s="17" t="n">
        <x:f>SUM(Q558:S558)</x:f>
        <x:v>19</x:v>
      </x:c>
      <x:c r="AI558" s="17" t="n">
        <x:f>SUM(U558:Y558)</x:f>
        <x:v>4</x:v>
      </x:c>
      <x:c r="AJ558" s="17" t="str">
        <x:f>IF(AE558&lt;=34,"≤34",IF(AE558&lt;=44,"35–44",IF(AE558&lt;=54,"45–54",IF(AE558&lt;=64,"55–64","65+"))))</x:f>
        <x:v>55–64</x:v>
      </x:c>
      <x:c r="AK558" s="17" t="str">
        <x:f>IF(AG558&gt;=1000,"High Value",IF(AG558&gt;=300,"Mid Value","Low Value"))</x:f>
        <x:v>High Value</x:v>
      </x:c>
      <x:c r="AL558" s="17" t="str">
        <x:f>IF(AND(AI558&gt;=1,I558&lt;=50),"Priority 1",IF(AND(AG558&gt;=1000,I558&lt;=60),"Priority 2",IF(I558&lt;=30,"Priority 3","Nurture")))</x:f>
        <x:v>Nurture</x:v>
      </x:c>
    </x:row>
    <x:row r="559">
      <x:c r="A559" s="16" t="n">
        <x:v>7685</x:v>
      </x:c>
      <x:c r="B559" s="16" t="n">
        <x:v>1978</x:v>
      </x:c>
      <x:c r="C559" s="16" t="str">
        <x:v>Graduation</x:v>
      </x:c>
      <x:c r="D559" s="16" t="str">
        <x:v>Married</x:v>
      </x:c>
      <x:c r="E559" s="16" t="n">
        <x:v>33039</x:v>
      </x:c>
      <x:c r="F559" s="16" t="n">
        <x:v>1</x:v>
      </x:c>
      <x:c r="G559" s="16" t="n">
        <x:v>0</x:v>
      </x:c>
      <x:c r="H559" s="16" t="str">
        <x:v>09-09-2013</x:v>
      </x:c>
      <x:c r="I559" s="16" t="n">
        <x:v>4</x:v>
      </x:c>
      <x:c r="J559" s="16" t="n">
        <x:v>30</x:v>
      </x:c>
      <x:c r="K559" s="16" t="n">
        <x:v>8</x:v>
      </x:c>
      <x:c r="L559" s="16" t="n">
        <x:v>12</x:v>
      </x:c>
      <x:c r="M559" s="16" t="n">
        <x:v>8</x:v>
      </x:c>
      <x:c r="N559" s="16" t="n">
        <x:v>8</x:v>
      </x:c>
      <x:c r="O559" s="16" t="n">
        <x:v>12</x:v>
      </x:c>
      <x:c r="P559" s="16" t="n">
        <x:v>1</x:v>
      </x:c>
      <x:c r="Q559" s="16" t="n">
        <x:v>2</x:v>
      </x:c>
      <x:c r="R559" s="16" t="n">
        <x:v>0</x:v>
      </x:c>
      <x:c r="S559" s="16" t="n">
        <x:v>4</x:v>
      </x:c>
      <x:c r="T559" s="16" t="n">
        <x:v>5</x:v>
      </x:c>
      <x:c r="U559" s="16" t="n">
        <x:v>0</x:v>
      </x:c>
      <x:c r="V559" s="16" t="n">
        <x:v>0</x:v>
      </x:c>
      <x:c r="W559" s="16" t="n">
        <x:v>0</x:v>
      </x:c>
      <x:c r="X559" s="16" t="n">
        <x:v>0</x:v>
      </x:c>
      <x:c r="Y559" s="16" t="n">
        <x:v>0</x:v>
      </x:c>
      <x:c r="Z559" s="16" t="n">
        <x:v>0</x:v>
      </x:c>
      <x:c r="AA559" s="16" t="n">
        <x:v>3</x:v>
      </x:c>
      <x:c r="AB559" s="16" t="n">
        <x:v>11</x:v>
      </x:c>
      <x:c r="AC559" s="16" t="n">
        <x:v>0</x:v>
      </x:c>
      <x:c r="AD559" s="21" t="n">
        <x:f>IF(E559="",MEDIAN($E$2:$E$2237),E559)</x:f>
        <x:v>33039</x:v>
      </x:c>
      <x:c r="AE559" s="17" t="n">
        <x:f>2014-B559</x:f>
        <x:v>36</x:v>
      </x:c>
      <x:c r="AF559" s="17" t="n">
        <x:f>F559+G559</x:f>
        <x:v>1</x:v>
      </x:c>
      <x:c r="AG559" s="21" t="n">
        <x:f>SUM(J559:O559)</x:f>
        <x:v>78</x:v>
      </x:c>
      <x:c r="AH559" s="17" t="n">
        <x:f>SUM(Q559:S559)</x:f>
        <x:v>6</x:v>
      </x:c>
      <x:c r="AI559" s="17" t="n">
        <x:f>SUM(U559:Y559)</x:f>
        <x:v>0</x:v>
      </x:c>
      <x:c r="AJ559" s="17" t="str">
        <x:f>IF(AE559&lt;=34,"≤34",IF(AE559&lt;=44,"35–44",IF(AE559&lt;=54,"45–54",IF(AE559&lt;=64,"55–64","65+"))))</x:f>
        <x:v>35–44</x:v>
      </x:c>
      <x:c r="AK559" s="17" t="str">
        <x:f>IF(AG559&gt;=1000,"High Value",IF(AG559&gt;=300,"Mid Value","Low Value"))</x:f>
        <x:v>Low Value</x:v>
      </x:c>
      <x:c r="AL559" s="17" t="str">
        <x:f>IF(AND(AI559&gt;=1,I559&lt;=50),"Priority 1",IF(AND(AG559&gt;=1000,I559&lt;=60),"Priority 2",IF(I559&lt;=30,"Priority 3","Nurture")))</x:f>
        <x:v>Priority 3</x:v>
      </x:c>
    </x:row>
    <x:row r="560">
      <x:c r="A560" s="16" t="n">
        <x:v>3179</x:v>
      </x:c>
      <x:c r="B560" s="16" t="n">
        <x:v>1980</x:v>
      </x:c>
      <x:c r="C560" s="16" t="str">
        <x:v>Graduation</x:v>
      </x:c>
      <x:c r="D560" s="16" t="str">
        <x:v>Single</x:v>
      </x:c>
      <x:c r="E560" s="16" t="n">
        <x:v>81741</x:v>
      </x:c>
      <x:c r="F560" s="16" t="n">
        <x:v>0</x:v>
      </x:c>
      <x:c r="G560" s="16" t="n">
        <x:v>0</x:v>
      </x:c>
      <x:c r="H560" s="16" t="str">
        <x:v>16-06-2013</x:v>
      </x:c>
      <x:c r="I560" s="16" t="n">
        <x:v>75</x:v>
      </x:c>
      <x:c r="J560" s="16" t="n">
        <x:v>249</x:v>
      </x:c>
      <x:c r="K560" s="16" t="n">
        <x:v>153</x:v>
      </x:c>
      <x:c r="L560" s="16" t="n">
        <x:v>940</x:v>
      </x:c>
      <x:c r="M560" s="16" t="n">
        <x:v>58</x:v>
      </x:c>
      <x:c r="N560" s="16" t="n">
        <x:v>134</x:v>
      </x:c>
      <x:c r="O560" s="16" t="n">
        <x:v>38</x:v>
      </x:c>
      <x:c r="P560" s="16" t="n">
        <x:v>0</x:v>
      </x:c>
      <x:c r="Q560" s="16" t="n">
        <x:v>6</x:v>
      </x:c>
      <x:c r="R560" s="16" t="n">
        <x:v>6</x:v>
      </x:c>
      <x:c r="S560" s="16" t="n">
        <x:v>7</x:v>
      </x:c>
      <x:c r="T560" s="16" t="n">
        <x:v>2</x:v>
      </x:c>
      <x:c r="U560" s="16" t="n">
        <x:v>0</x:v>
      </x:c>
      <x:c r="V560" s="16" t="n">
        <x:v>0</x:v>
      </x:c>
      <x:c r="W560" s="16" t="n">
        <x:v>0</x:v>
      </x:c>
      <x:c r="X560" s="16" t="n">
        <x:v>0</x:v>
      </x:c>
      <x:c r="Y560" s="16" t="n">
        <x:v>0</x:v>
      </x:c>
      <x:c r="Z560" s="16" t="n">
        <x:v>0</x:v>
      </x:c>
      <x:c r="AA560" s="16" t="n">
        <x:v>3</x:v>
      </x:c>
      <x:c r="AB560" s="16" t="n">
        <x:v>11</x:v>
      </x:c>
      <x:c r="AC560" s="16" t="n">
        <x:v>0</x:v>
      </x:c>
      <x:c r="AD560" s="21" t="n">
        <x:f>IF(E560="",MEDIAN($E$2:$E$2237),E560)</x:f>
        <x:v>81741</x:v>
      </x:c>
      <x:c r="AE560" s="17" t="n">
        <x:f>2014-B560</x:f>
        <x:v>34</x:v>
      </x:c>
      <x:c r="AF560" s="17" t="n">
        <x:f>F560+G560</x:f>
        <x:v>0</x:v>
      </x:c>
      <x:c r="AG560" s="21" t="n">
        <x:f>SUM(J560:O560)</x:f>
        <x:v>1572</x:v>
      </x:c>
      <x:c r="AH560" s="17" t="n">
        <x:f>SUM(Q560:S560)</x:f>
        <x:v>19</x:v>
      </x:c>
      <x:c r="AI560" s="17" t="n">
        <x:f>SUM(U560:Y560)</x:f>
        <x:v>0</x:v>
      </x:c>
      <x:c r="AJ560" s="17" t="str">
        <x:f>IF(AE560&lt;=34,"≤34",IF(AE560&lt;=44,"35–44",IF(AE560&lt;=54,"45–54",IF(AE560&lt;=64,"55–64","65+"))))</x:f>
        <x:v>≤34</x:v>
      </x:c>
      <x:c r="AK560" s="17" t="str">
        <x:f>IF(AG560&gt;=1000,"High Value",IF(AG560&gt;=300,"Mid Value","Low Value"))</x:f>
        <x:v>High Value</x:v>
      </x:c>
      <x:c r="AL560" s="17" t="str">
        <x:f>IF(AND(AI560&gt;=1,I560&lt;=50),"Priority 1",IF(AND(AG560&gt;=1000,I560&lt;=60),"Priority 2",IF(I560&lt;=30,"Priority 3","Nurture")))</x:f>
        <x:v>Nurture</x:v>
      </x:c>
    </x:row>
    <x:row r="561">
      <x:c r="A561" s="16" t="n">
        <x:v>9780</x:v>
      </x:c>
      <x:c r="B561" s="16" t="n">
        <x:v>1971</x:v>
      </x:c>
      <x:c r="C561" s="16" t="str">
        <x:v>Master</x:v>
      </x:c>
      <x:c r="D561" s="16" t="str">
        <x:v>Together</x:v>
      </x:c>
      <x:c r="E561" s="16" t="n">
        <x:v>71499</x:v>
      </x:c>
      <x:c r="F561" s="16" t="n">
        <x:v>0</x:v>
      </x:c>
      <x:c r="G561" s="16" t="n">
        <x:v>1</x:v>
      </x:c>
      <x:c r="H561" s="16" t="str">
        <x:v>25-06-2013</x:v>
      </x:c>
      <x:c r="I561" s="16" t="n">
        <x:v>12</x:v>
      </x:c>
      <x:c r="J561" s="16" t="n">
        <x:v>465</x:v>
      </x:c>
      <x:c r="K561" s="16" t="n">
        <x:v>25</x:v>
      </x:c>
      <x:c r="L561" s="16" t="n">
        <x:v>132</x:v>
      </x:c>
      <x:c r="M561" s="16" t="n">
        <x:v>136</x:v>
      </x:c>
      <x:c r="N561" s="16" t="n">
        <x:v>0</x:v>
      </x:c>
      <x:c r="O561" s="16" t="n">
        <x:v>37</x:v>
      </x:c>
      <x:c r="P561" s="16" t="n">
        <x:v>2</x:v>
      </x:c>
      <x:c r="Q561" s="16" t="n">
        <x:v>8</x:v>
      </x:c>
      <x:c r="R561" s="16" t="n">
        <x:v>3</x:v>
      </x:c>
      <x:c r="S561" s="16" t="n">
        <x:v>13</x:v>
      </x:c>
      <x:c r="T561" s="16" t="n">
        <x:v>4</x:v>
      </x:c>
      <x:c r="U561" s="16" t="n">
        <x:v>0</x:v>
      </x:c>
      <x:c r="V561" s="16" t="n">
        <x:v>0</x:v>
      </x:c>
      <x:c r="W561" s="16" t="n">
        <x:v>0</x:v>
      </x:c>
      <x:c r="X561" s="16" t="n">
        <x:v>0</x:v>
      </x:c>
      <x:c r="Y561" s="16" t="n">
        <x:v>0</x:v>
      </x:c>
      <x:c r="Z561" s="16" t="n">
        <x:v>0</x:v>
      </x:c>
      <x:c r="AA561" s="16" t="n">
        <x:v>3</x:v>
      </x:c>
      <x:c r="AB561" s="16" t="n">
        <x:v>11</x:v>
      </x:c>
      <x:c r="AC561" s="16" t="n">
        <x:v>0</x:v>
      </x:c>
      <x:c r="AD561" s="21" t="n">
        <x:f>IF(E561="",MEDIAN($E$2:$E$2237),E561)</x:f>
        <x:v>71499</x:v>
      </x:c>
      <x:c r="AE561" s="17" t="n">
        <x:f>2014-B561</x:f>
        <x:v>43</x:v>
      </x:c>
      <x:c r="AF561" s="17" t="n">
        <x:f>F561+G561</x:f>
        <x:v>1</x:v>
      </x:c>
      <x:c r="AG561" s="21" t="n">
        <x:f>SUM(J561:O561)</x:f>
        <x:v>795</x:v>
      </x:c>
      <x:c r="AH561" s="17" t="n">
        <x:f>SUM(Q561:S561)</x:f>
        <x:v>24</x:v>
      </x:c>
      <x:c r="AI561" s="17" t="n">
        <x:f>SUM(U561:Y561)</x:f>
        <x:v>0</x:v>
      </x:c>
      <x:c r="AJ561" s="17" t="str">
        <x:f>IF(AE561&lt;=34,"≤34",IF(AE561&lt;=44,"35–44",IF(AE561&lt;=54,"45–54",IF(AE561&lt;=64,"55–64","65+"))))</x:f>
        <x:v>35–44</x:v>
      </x:c>
      <x:c r="AK561" s="17" t="str">
        <x:f>IF(AG561&gt;=1000,"High Value",IF(AG561&gt;=300,"Mid Value","Low Value"))</x:f>
        <x:v>Mid Value</x:v>
      </x:c>
      <x:c r="AL561" s="17" t="str">
        <x:f>IF(AND(AI561&gt;=1,I561&lt;=50),"Priority 1",IF(AND(AG561&gt;=1000,I561&lt;=60),"Priority 2",IF(I561&lt;=30,"Priority 3","Nurture")))</x:f>
        <x:v>Priority 3</x:v>
      </x:c>
    </x:row>
    <x:row r="562">
      <x:c r="A562" s="16" t="n">
        <x:v>10681</x:v>
      </x:c>
      <x:c r="B562" s="16" t="n">
        <x:v>1970</x:v>
      </x:c>
      <x:c r="C562" s="16" t="str">
        <x:v>2n Cycle</x:v>
      </x:c>
      <x:c r="D562" s="16" t="str">
        <x:v>Married</x:v>
      </x:c>
      <x:c r="E562" s="16" t="n">
        <x:v>62466</x:v>
      </x:c>
      <x:c r="F562" s="16" t="n">
        <x:v>0</x:v>
      </x:c>
      <x:c r="G562" s="16" t="n">
        <x:v>1</x:v>
      </x:c>
      <x:c r="H562" s="16" t="str">
        <x:v>15-01-2014</x:v>
      </x:c>
      <x:c r="I562" s="16" t="n">
        <x:v>13</x:v>
      </x:c>
      <x:c r="J562" s="16" t="n">
        <x:v>129</x:v>
      </x:c>
      <x:c r="K562" s="16" t="n">
        <x:v>129</x:v>
      </x:c>
      <x:c r="L562" s="16" t="n">
        <x:v>259</x:v>
      </x:c>
      <x:c r="M562" s="16" t="n">
        <x:v>168</x:v>
      </x:c>
      <x:c r="N562" s="16" t="n">
        <x:v>121</x:v>
      </x:c>
      <x:c r="O562" s="16" t="n">
        <x:v>83</x:v>
      </x:c>
      <x:c r="P562" s="16" t="n">
        <x:v>5</x:v>
      </x:c>
      <x:c r="Q562" s="16" t="n">
        <x:v>6</x:v>
      </x:c>
      <x:c r="R562" s="16" t="n">
        <x:v>3</x:v>
      </x:c>
      <x:c r="S562" s="16" t="n">
        <x:v>12</x:v>
      </x:c>
      <x:c r="T562" s="16" t="n">
        <x:v>4</x:v>
      </x:c>
      <x:c r="U562" s="16" t="n">
        <x:v>0</x:v>
      </x:c>
      <x:c r="V562" s="16" t="n">
        <x:v>0</x:v>
      </x:c>
      <x:c r="W562" s="16" t="n">
        <x:v>0</x:v>
      </x:c>
      <x:c r="X562" s="16" t="n">
        <x:v>0</x:v>
      </x:c>
      <x:c r="Y562" s="16" t="n">
        <x:v>0</x:v>
      </x:c>
      <x:c r="Z562" s="16" t="n">
        <x:v>0</x:v>
      </x:c>
      <x:c r="AA562" s="16" t="n">
        <x:v>3</x:v>
      </x:c>
      <x:c r="AB562" s="16" t="n">
        <x:v>11</x:v>
      </x:c>
      <x:c r="AC562" s="16" t="n">
        <x:v>0</x:v>
      </x:c>
      <x:c r="AD562" s="21" t="n">
        <x:f>IF(E562="",MEDIAN($E$2:$E$2237),E562)</x:f>
        <x:v>62466</x:v>
      </x:c>
      <x:c r="AE562" s="17" t="n">
        <x:f>2014-B562</x:f>
        <x:v>44</x:v>
      </x:c>
      <x:c r="AF562" s="17" t="n">
        <x:f>F562+G562</x:f>
        <x:v>1</x:v>
      </x:c>
      <x:c r="AG562" s="21" t="n">
        <x:f>SUM(J562:O562)</x:f>
        <x:v>889</x:v>
      </x:c>
      <x:c r="AH562" s="17" t="n">
        <x:f>SUM(Q562:S562)</x:f>
        <x:v>21</x:v>
      </x:c>
      <x:c r="AI562" s="17" t="n">
        <x:f>SUM(U562:Y562)</x:f>
        <x:v>0</x:v>
      </x:c>
      <x:c r="AJ562" s="17" t="str">
        <x:f>IF(AE562&lt;=34,"≤34",IF(AE562&lt;=44,"35–44",IF(AE562&lt;=54,"45–54",IF(AE562&lt;=64,"55–64","65+"))))</x:f>
        <x:v>35–44</x:v>
      </x:c>
      <x:c r="AK562" s="17" t="str">
        <x:f>IF(AG562&gt;=1000,"High Value",IF(AG562&gt;=300,"Mid Value","Low Value"))</x:f>
        <x:v>Mid Value</x:v>
      </x:c>
      <x:c r="AL562" s="17" t="str">
        <x:f>IF(AND(AI562&gt;=1,I562&lt;=50),"Priority 1",IF(AND(AG562&gt;=1000,I562&lt;=60),"Priority 2",IF(I562&lt;=30,"Priority 3","Nurture")))</x:f>
        <x:v>Priority 3</x:v>
      </x:c>
    </x:row>
    <x:row r="563">
      <x:c r="A563" s="16" t="n">
        <x:v>10232</x:v>
      </x:c>
      <x:c r="B563" s="16" t="n">
        <x:v>1963</x:v>
      </x:c>
      <x:c r="C563" s="16" t="str">
        <x:v>PhD</x:v>
      </x:c>
      <x:c r="D563" s="16" t="str">
        <x:v>Divorced</x:v>
      </x:c>
      <x:c r="E563" s="16" t="n">
        <x:v>48799</x:v>
      </x:c>
      <x:c r="F563" s="16" t="n">
        <x:v>0</x:v>
      </x:c>
      <x:c r="G563" s="16" t="n">
        <x:v>1</x:v>
      </x:c>
      <x:c r="H563" s="16" t="str">
        <x:v>05-11-2013</x:v>
      </x:c>
      <x:c r="I563" s="16" t="n">
        <x:v>9</x:v>
      </x:c>
      <x:c r="J563" s="16" t="n">
        <x:v>174</x:v>
      </x:c>
      <x:c r="K563" s="16" t="n">
        <x:v>18</x:v>
      </x:c>
      <x:c r="L563" s="16" t="n">
        <x:v>81</x:v>
      </x:c>
      <x:c r="M563" s="16" t="n">
        <x:v>28</x:v>
      </x:c>
      <x:c r="N563" s="16" t="n">
        <x:v>6</x:v>
      </x:c>
      <x:c r="O563" s="16" t="n">
        <x:v>24</x:v>
      </x:c>
      <x:c r="P563" s="16" t="n">
        <x:v>3</x:v>
      </x:c>
      <x:c r="Q563" s="16" t="n">
        <x:v>3</x:v>
      </x:c>
      <x:c r="R563" s="16" t="n">
        <x:v>2</x:v>
      </x:c>
      <x:c r="S563" s="16" t="n">
        <x:v>7</x:v>
      </x:c>
      <x:c r="T563" s="16" t="n">
        <x:v>3</x:v>
      </x:c>
      <x:c r="U563" s="16" t="n">
        <x:v>0</x:v>
      </x:c>
      <x:c r="V563" s="16" t="n">
        <x:v>0</x:v>
      </x:c>
      <x:c r="W563" s="16" t="n">
        <x:v>0</x:v>
      </x:c>
      <x:c r="X563" s="16" t="n">
        <x:v>0</x:v>
      </x:c>
      <x:c r="Y563" s="16" t="n">
        <x:v>0</x:v>
      </x:c>
      <x:c r="Z563" s="16" t="n">
        <x:v>0</x:v>
      </x:c>
      <x:c r="AA563" s="16" t="n">
        <x:v>3</x:v>
      </x:c>
      <x:c r="AB563" s="16" t="n">
        <x:v>11</x:v>
      </x:c>
      <x:c r="AC563" s="16" t="n">
        <x:v>0</x:v>
      </x:c>
      <x:c r="AD563" s="21" t="n">
        <x:f>IF(E563="",MEDIAN($E$2:$E$2237),E563)</x:f>
        <x:v>48799</x:v>
      </x:c>
      <x:c r="AE563" s="17" t="n">
        <x:f>2014-B563</x:f>
        <x:v>51</x:v>
      </x:c>
      <x:c r="AF563" s="17" t="n">
        <x:f>F563+G563</x:f>
        <x:v>1</x:v>
      </x:c>
      <x:c r="AG563" s="21" t="n">
        <x:f>SUM(J563:O563)</x:f>
        <x:v>331</x:v>
      </x:c>
      <x:c r="AH563" s="17" t="n">
        <x:f>SUM(Q563:S563)</x:f>
        <x:v>12</x:v>
      </x:c>
      <x:c r="AI563" s="17" t="n">
        <x:f>SUM(U563:Y563)</x:f>
        <x:v>0</x:v>
      </x:c>
      <x:c r="AJ563" s="17" t="str">
        <x:f>IF(AE563&lt;=34,"≤34",IF(AE563&lt;=44,"35–44",IF(AE563&lt;=54,"45–54",IF(AE563&lt;=64,"55–64","65+"))))</x:f>
        <x:v>45–54</x:v>
      </x:c>
      <x:c r="AK563" s="17" t="str">
        <x:f>IF(AG563&gt;=1000,"High Value",IF(AG563&gt;=300,"Mid Value","Low Value"))</x:f>
        <x:v>Mid Value</x:v>
      </x:c>
      <x:c r="AL563" s="17" t="str">
        <x:f>IF(AND(AI563&gt;=1,I563&lt;=50),"Priority 1",IF(AND(AG563&gt;=1000,I563&lt;=60),"Priority 2",IF(I563&lt;=30,"Priority 3","Nurture")))</x:f>
        <x:v>Priority 3</x:v>
      </x:c>
    </x:row>
    <x:row r="564">
      <x:c r="A564" s="16" t="n">
        <x:v>4184</x:v>
      </x:c>
      <x:c r="B564" s="16" t="n">
        <x:v>1950</x:v>
      </x:c>
      <x:c r="C564" s="16" t="str">
        <x:v>PhD</x:v>
      </x:c>
      <x:c r="D564" s="16" t="str">
        <x:v>Together</x:v>
      </x:c>
      <x:c r="E564" s="16" t="n">
        <x:v>52157</x:v>
      </x:c>
      <x:c r="F564" s="16" t="n">
        <x:v>0</x:v>
      </x:c>
      <x:c r="G564" s="16" t="n">
        <x:v>1</x:v>
      </x:c>
      <x:c r="H564" s="16" t="str">
        <x:v>07-06-2014</x:v>
      </x:c>
      <x:c r="I564" s="16" t="n">
        <x:v>48</x:v>
      </x:c>
      <x:c r="J564" s="16" t="n">
        <x:v>189</x:v>
      </x:c>
      <x:c r="K564" s="16" t="n">
        <x:v>2</x:v>
      </x:c>
      <x:c r="L564" s="16" t="n">
        <x:v>29</x:v>
      </x:c>
      <x:c r="M564" s="16" t="n">
        <x:v>3</x:v>
      </x:c>
      <x:c r="N564" s="16" t="n">
        <x:v>2</x:v>
      </x:c>
      <x:c r="O564" s="16" t="n">
        <x:v>40</x:v>
      </x:c>
      <x:c r="P564" s="16" t="n">
        <x:v>2</x:v>
      </x:c>
      <x:c r="Q564" s="16" t="n">
        <x:v>3</x:v>
      </x:c>
      <x:c r="R564" s="16" t="n">
        <x:v>2</x:v>
      </x:c>
      <x:c r="S564" s="16" t="n">
        <x:v>5</x:v>
      </x:c>
      <x:c r="T564" s="16" t="n">
        <x:v>4</x:v>
      </x:c>
      <x:c r="U564" s="16" t="n">
        <x:v>0</x:v>
      </x:c>
      <x:c r="V564" s="16" t="n">
        <x:v>0</x:v>
      </x:c>
      <x:c r="W564" s="16" t="n">
        <x:v>0</x:v>
      </x:c>
      <x:c r="X564" s="16" t="n">
        <x:v>0</x:v>
      </x:c>
      <x:c r="Y564" s="16" t="n">
        <x:v>0</x:v>
      </x:c>
      <x:c r="Z564" s="16" t="n">
        <x:v>0</x:v>
      </x:c>
      <x:c r="AA564" s="16" t="n">
        <x:v>3</x:v>
      </x:c>
      <x:c r="AB564" s="16" t="n">
        <x:v>11</x:v>
      </x:c>
      <x:c r="AC564" s="16" t="n">
        <x:v>0</x:v>
      </x:c>
      <x:c r="AD564" s="21" t="n">
        <x:f>IF(E564="",MEDIAN($E$2:$E$2237),E564)</x:f>
        <x:v>52157</x:v>
      </x:c>
      <x:c r="AE564" s="17" t="n">
        <x:f>2014-B564</x:f>
        <x:v>64</x:v>
      </x:c>
      <x:c r="AF564" s="17" t="n">
        <x:f>F564+G564</x:f>
        <x:v>1</x:v>
      </x:c>
      <x:c r="AG564" s="21" t="n">
        <x:f>SUM(J564:O564)</x:f>
        <x:v>265</x:v>
      </x:c>
      <x:c r="AH564" s="17" t="n">
        <x:f>SUM(Q564:S564)</x:f>
        <x:v>10</x:v>
      </x:c>
      <x:c r="AI564" s="17" t="n">
        <x:f>SUM(U564:Y564)</x:f>
        <x:v>0</x:v>
      </x:c>
      <x:c r="AJ564" s="17" t="str">
        <x:f>IF(AE564&lt;=34,"≤34",IF(AE564&lt;=44,"35–44",IF(AE564&lt;=54,"45–54",IF(AE564&lt;=64,"55–64","65+"))))</x:f>
        <x:v>55–64</x:v>
      </x:c>
      <x:c r="AK564" s="17" t="str">
        <x:f>IF(AG564&gt;=1000,"High Value",IF(AG564&gt;=300,"Mid Value","Low Value"))</x:f>
        <x:v>Low Value</x:v>
      </x:c>
      <x:c r="AL564" s="17" t="str">
        <x:f>IF(AND(AI564&gt;=1,I564&lt;=50),"Priority 1",IF(AND(AG564&gt;=1000,I564&lt;=60),"Priority 2",IF(I564&lt;=30,"Priority 3","Nurture")))</x:f>
        <x:v>Nurture</x:v>
      </x:c>
    </x:row>
    <x:row r="565">
      <x:c r="A565" s="16" t="n">
        <x:v>9120</x:v>
      </x:c>
      <x:c r="B565" s="16" t="n">
        <x:v>1962</x:v>
      </x:c>
      <x:c r="C565" s="16" t="str">
        <x:v>Graduation</x:v>
      </x:c>
      <x:c r="D565" s="16" t="str">
        <x:v>Single</x:v>
      </x:c>
      <x:c r="E565" s="16" t="n">
        <x:v>66565</x:v>
      </x:c>
      <x:c r="F565" s="16" t="n">
        <x:v>0</x:v>
      </x:c>
      <x:c r="G565" s="16" t="n">
        <x:v>1</x:v>
      </x:c>
      <x:c r="H565" s="16" t="str">
        <x:v>05-12-2012</x:v>
      </x:c>
      <x:c r="I565" s="16" t="n">
        <x:v>80</x:v>
      </x:c>
      <x:c r="J565" s="16" t="n">
        <x:v>747</x:v>
      </x:c>
      <x:c r="K565" s="16" t="n">
        <x:v>10</x:v>
      </x:c>
      <x:c r="L565" s="16" t="n">
        <x:v>161</x:v>
      </x:c>
      <x:c r="M565" s="16" t="n">
        <x:v>65</x:v>
      </x:c>
      <x:c r="N565" s="16" t="n">
        <x:v>40</x:v>
      </x:c>
      <x:c r="O565" s="16" t="n">
        <x:v>42</x:v>
      </x:c>
      <x:c r="P565" s="16" t="n">
        <x:v>4</x:v>
      </x:c>
      <x:c r="Q565" s="16" t="n">
        <x:v>4</x:v>
      </x:c>
      <x:c r="R565" s="16" t="n">
        <x:v>2</x:v>
      </x:c>
      <x:c r="S565" s="16" t="n">
        <x:v>9</x:v>
      </x:c>
      <x:c r="T565" s="16" t="n">
        <x:v>8</x:v>
      </x:c>
      <x:c r="U565" s="16" t="n">
        <x:v>0</x:v>
      </x:c>
      <x:c r="V565" s="16" t="n">
        <x:v>0</x:v>
      </x:c>
      <x:c r="W565" s="16" t="n">
        <x:v>0</x:v>
      </x:c>
      <x:c r="X565" s="16" t="n">
        <x:v>0</x:v>
      </x:c>
      <x:c r="Y565" s="16" t="n">
        <x:v>0</x:v>
      </x:c>
      <x:c r="Z565" s="16" t="n">
        <x:v>0</x:v>
      </x:c>
      <x:c r="AA565" s="16" t="n">
        <x:v>3</x:v>
      </x:c>
      <x:c r="AB565" s="16" t="n">
        <x:v>11</x:v>
      </x:c>
      <x:c r="AC565" s="16" t="n">
        <x:v>0</x:v>
      </x:c>
      <x:c r="AD565" s="21" t="n">
        <x:f>IF(E565="",MEDIAN($E$2:$E$2237),E565)</x:f>
        <x:v>66565</x:v>
      </x:c>
      <x:c r="AE565" s="17" t="n">
        <x:f>2014-B565</x:f>
        <x:v>52</x:v>
      </x:c>
      <x:c r="AF565" s="17" t="n">
        <x:f>F565+G565</x:f>
        <x:v>1</x:v>
      </x:c>
      <x:c r="AG565" s="21" t="n">
        <x:f>SUM(J565:O565)</x:f>
        <x:v>1065</x:v>
      </x:c>
      <x:c r="AH565" s="17" t="n">
        <x:f>SUM(Q565:S565)</x:f>
        <x:v>15</x:v>
      </x:c>
      <x:c r="AI565" s="17" t="n">
        <x:f>SUM(U565:Y565)</x:f>
        <x:v>0</x:v>
      </x:c>
      <x:c r="AJ565" s="17" t="str">
        <x:f>IF(AE565&lt;=34,"≤34",IF(AE565&lt;=44,"35–44",IF(AE565&lt;=54,"45–54",IF(AE565&lt;=64,"55–64","65+"))))</x:f>
        <x:v>45–54</x:v>
      </x:c>
      <x:c r="AK565" s="17" t="str">
        <x:f>IF(AG565&gt;=1000,"High Value",IF(AG565&gt;=300,"Mid Value","Low Value"))</x:f>
        <x:v>High Value</x:v>
      </x:c>
      <x:c r="AL565" s="17" t="str">
        <x:f>IF(AND(AI565&gt;=1,I565&lt;=50),"Priority 1",IF(AND(AG565&gt;=1000,I565&lt;=60),"Priority 2",IF(I565&lt;=30,"Priority 3","Nurture")))</x:f>
        <x:v>Nurture</x:v>
      </x:c>
    </x:row>
    <x:row r="566">
      <x:c r="A566" s="16" t="n">
        <x:v>891</x:v>
      </x:c>
      <x:c r="B566" s="16" t="n">
        <x:v>1951</x:v>
      </x:c>
      <x:c r="C566" s="16" t="str">
        <x:v>Master</x:v>
      </x:c>
      <x:c r="D566" s="16" t="str">
        <x:v>Together</x:v>
      </x:c>
      <x:c r="E566" s="16" t="n">
        <x:v>29298</x:v>
      </x:c>
      <x:c r="F566" s="16" t="n">
        <x:v>1</x:v>
      </x:c>
      <x:c r="G566" s="16" t="n">
        <x:v>1</x:v>
      </x:c>
      <x:c r="H566" s="16" t="str">
        <x:v>07-09-2013</x:v>
      </x:c>
      <x:c r="I566" s="16" t="n">
        <x:v>60</x:v>
      </x:c>
      <x:c r="J566" s="16" t="n">
        <x:v>6</x:v>
      </x:c>
      <x:c r="K566" s="16" t="n">
        <x:v>0</x:v>
      </x:c>
      <x:c r="L566" s="16" t="n">
        <x:v>2</x:v>
      </x:c>
      <x:c r="M566" s="16" t="n">
        <x:v>2</x:v>
      </x:c>
      <x:c r="N566" s="16" t="n">
        <x:v>0</x:v>
      </x:c>
      <x:c r="O566" s="16" t="n">
        <x:v>1</x:v>
      </x:c>
      <x:c r="P566" s="16" t="n">
        <x:v>1</x:v>
      </x:c>
      <x:c r="Q566" s="16" t="n">
        <x:v>1</x:v>
      </x:c>
      <x:c r="R566" s="16" t="n">
        <x:v>0</x:v>
      </x:c>
      <x:c r="S566" s="16" t="n">
        <x:v>2</x:v>
      </x:c>
      <x:c r="T566" s="16" t="n">
        <x:v>5</x:v>
      </x:c>
      <x:c r="U566" s="16" t="n">
        <x:v>0</x:v>
      </x:c>
      <x:c r="V566" s="16" t="n">
        <x:v>0</x:v>
      </x:c>
      <x:c r="W566" s="16" t="n">
        <x:v>0</x:v>
      </x:c>
      <x:c r="X566" s="16" t="n">
        <x:v>0</x:v>
      </x:c>
      <x:c r="Y566" s="16" t="n">
        <x:v>0</x:v>
      </x:c>
      <x:c r="Z566" s="16" t="n">
        <x:v>0</x:v>
      </x:c>
      <x:c r="AA566" s="16" t="n">
        <x:v>3</x:v>
      </x:c>
      <x:c r="AB566" s="16" t="n">
        <x:v>11</x:v>
      </x:c>
      <x:c r="AC566" s="16" t="n">
        <x:v>0</x:v>
      </x:c>
      <x:c r="AD566" s="21" t="n">
        <x:f>IF(E566="",MEDIAN($E$2:$E$2237),E566)</x:f>
        <x:v>29298</x:v>
      </x:c>
      <x:c r="AE566" s="17" t="n">
        <x:f>2014-B566</x:f>
        <x:v>63</x:v>
      </x:c>
      <x:c r="AF566" s="17" t="n">
        <x:f>F566+G566</x:f>
        <x:v>2</x:v>
      </x:c>
      <x:c r="AG566" s="21" t="n">
        <x:f>SUM(J566:O566)</x:f>
        <x:v>11</x:v>
      </x:c>
      <x:c r="AH566" s="17" t="n">
        <x:f>SUM(Q566:S566)</x:f>
        <x:v>3</x:v>
      </x:c>
      <x:c r="AI566" s="17" t="n">
        <x:f>SUM(U566:Y566)</x:f>
        <x:v>0</x:v>
      </x:c>
      <x:c r="AJ566" s="17" t="str">
        <x:f>IF(AE566&lt;=34,"≤34",IF(AE566&lt;=44,"35–44",IF(AE566&lt;=54,"45–54",IF(AE566&lt;=64,"55–64","65+"))))</x:f>
        <x:v>55–64</x:v>
      </x:c>
      <x:c r="AK566" s="17" t="str">
        <x:f>IF(AG566&gt;=1000,"High Value",IF(AG566&gt;=300,"Mid Value","Low Value"))</x:f>
        <x:v>Low Value</x:v>
      </x:c>
      <x:c r="AL566" s="17" t="str">
        <x:f>IF(AND(AI566&gt;=1,I566&lt;=50),"Priority 1",IF(AND(AG566&gt;=1000,I566&lt;=60),"Priority 2",IF(I566&lt;=30,"Priority 3","Nurture")))</x:f>
        <x:v>Nurture</x:v>
      </x:c>
    </x:row>
    <x:row r="567">
      <x:c r="A567" s="16" t="n">
        <x:v>10381</x:v>
      </x:c>
      <x:c r="B567" s="16" t="n">
        <x:v>1979</x:v>
      </x:c>
      <x:c r="C567" s="16" t="str">
        <x:v>Graduation</x:v>
      </x:c>
      <x:c r="D567" s="16" t="str">
        <x:v>Single</x:v>
      </x:c>
      <x:c r="E567" s="16" t="n">
        <x:v>47691</x:v>
      </x:c>
      <x:c r="F567" s="16" t="n">
        <x:v>0</x:v>
      </x:c>
      <x:c r="G567" s="16" t="n">
        <x:v>1</x:v>
      </x:c>
      <x:c r="H567" s="16" t="str">
        <x:v>05-07-2013</x:v>
      </x:c>
      <x:c r="I567" s="16" t="n">
        <x:v>43</x:v>
      </x:c>
      <x:c r="J567" s="16" t="n">
        <x:v>14</x:v>
      </x:c>
      <x:c r="K567" s="16" t="n">
        <x:v>0</x:v>
      </x:c>
      <x:c r="L567" s="16" t="n">
        <x:v>3</x:v>
      </x:c>
      <x:c r="M567" s="16" t="n">
        <x:v>0</x:v>
      </x:c>
      <x:c r="N567" s="16" t="n">
        <x:v>0</x:v>
      </x:c>
      <x:c r="O567" s="16" t="n">
        <x:v>4</x:v>
      </x:c>
      <x:c r="P567" s="16" t="n">
        <x:v>1</x:v>
      </x:c>
      <x:c r="Q567" s="16" t="n">
        <x:v>1</x:v>
      </x:c>
      <x:c r="R567" s="16" t="n">
        <x:v>0</x:v>
      </x:c>
      <x:c r="S567" s="16" t="n">
        <x:v>2</x:v>
      </x:c>
      <x:c r="T567" s="16" t="n">
        <x:v>6</x:v>
      </x:c>
      <x:c r="U567" s="16" t="n">
        <x:v>0</x:v>
      </x:c>
      <x:c r="V567" s="16" t="n">
        <x:v>0</x:v>
      </x:c>
      <x:c r="W567" s="16" t="n">
        <x:v>0</x:v>
      </x:c>
      <x:c r="X567" s="16" t="n">
        <x:v>0</x:v>
      </x:c>
      <x:c r="Y567" s="16" t="n">
        <x:v>0</x:v>
      </x:c>
      <x:c r="Z567" s="16" t="n">
        <x:v>0</x:v>
      </x:c>
      <x:c r="AA567" s="16" t="n">
        <x:v>3</x:v>
      </x:c>
      <x:c r="AB567" s="16" t="n">
        <x:v>11</x:v>
      </x:c>
      <x:c r="AC567" s="16" t="n">
        <x:v>0</x:v>
      </x:c>
      <x:c r="AD567" s="21" t="n">
        <x:f>IF(E567="",MEDIAN($E$2:$E$2237),E567)</x:f>
        <x:v>47691</x:v>
      </x:c>
      <x:c r="AE567" s="17" t="n">
        <x:f>2014-B567</x:f>
        <x:v>35</x:v>
      </x:c>
      <x:c r="AF567" s="17" t="n">
        <x:f>F567+G567</x:f>
        <x:v>1</x:v>
      </x:c>
      <x:c r="AG567" s="21" t="n">
        <x:f>SUM(J567:O567)</x:f>
        <x:v>21</x:v>
      </x:c>
      <x:c r="AH567" s="17" t="n">
        <x:f>SUM(Q567:S567)</x:f>
        <x:v>3</x:v>
      </x:c>
      <x:c r="AI567" s="17" t="n">
        <x:f>SUM(U567:Y567)</x:f>
        <x:v>0</x:v>
      </x:c>
      <x:c r="AJ567" s="17" t="str">
        <x:f>IF(AE567&lt;=34,"≤34",IF(AE567&lt;=44,"35–44",IF(AE567&lt;=54,"45–54",IF(AE567&lt;=64,"55–64","65+"))))</x:f>
        <x:v>35–44</x:v>
      </x:c>
      <x:c r="AK567" s="17" t="str">
        <x:f>IF(AG567&gt;=1000,"High Value",IF(AG567&gt;=300,"Mid Value","Low Value"))</x:f>
        <x:v>Low Value</x:v>
      </x:c>
      <x:c r="AL567" s="17" t="str">
        <x:f>IF(AND(AI567&gt;=1,I567&lt;=50),"Priority 1",IF(AND(AG567&gt;=1000,I567&lt;=60),"Priority 2",IF(I567&lt;=30,"Priority 3","Nurture")))</x:f>
        <x:v>Nurture</x:v>
      </x:c>
    </x:row>
    <x:row r="568">
      <x:c r="A568" s="16" t="n">
        <x:v>3525</x:v>
      </x:c>
      <x:c r="B568" s="16" t="n">
        <x:v>1970</x:v>
      </x:c>
      <x:c r="C568" s="16" t="str">
        <x:v>Graduation</x:v>
      </x:c>
      <x:c r="D568" s="16" t="str">
        <x:v>Together</x:v>
      </x:c>
      <x:c r="E568" s="16" t="n">
        <x:v>38200</x:v>
      </x:c>
      <x:c r="F568" s="16" t="n">
        <x:v>1</x:v>
      </x:c>
      <x:c r="G568" s="16" t="n">
        <x:v>1</x:v>
      </x:c>
      <x:c r="H568" s="16" t="str">
        <x:v>07-12-2012</x:v>
      </x:c>
      <x:c r="I568" s="16" t="n">
        <x:v>19</x:v>
      </x:c>
      <x:c r="J568" s="16" t="n">
        <x:v>12</x:v>
      </x:c>
      <x:c r="K568" s="16" t="n">
        <x:v>0</x:v>
      </x:c>
      <x:c r="L568" s="16" t="n">
        <x:v>4</x:v>
      </x:c>
      <x:c r="M568" s="16" t="n">
        <x:v>0</x:v>
      </x:c>
      <x:c r="N568" s="16" t="n">
        <x:v>0</x:v>
      </x:c>
      <x:c r="O568" s="16" t="n">
        <x:v>1</x:v>
      </x:c>
      <x:c r="P568" s="16" t="n">
        <x:v>1</x:v>
      </x:c>
      <x:c r="Q568" s="16" t="n">
        <x:v>1</x:v>
      </x:c>
      <x:c r="R568" s="16" t="n">
        <x:v>0</x:v>
      </x:c>
      <x:c r="S568" s="16" t="n">
        <x:v>2</x:v>
      </x:c>
      <x:c r="T568" s="16" t="n">
        <x:v>7</x:v>
      </x:c>
      <x:c r="U568" s="16" t="n">
        <x:v>0</x:v>
      </x:c>
      <x:c r="V568" s="16" t="n">
        <x:v>0</x:v>
      </x:c>
      <x:c r="W568" s="16" t="n">
        <x:v>0</x:v>
      </x:c>
      <x:c r="X568" s="16" t="n">
        <x:v>0</x:v>
      </x:c>
      <x:c r="Y568" s="16" t="n">
        <x:v>0</x:v>
      </x:c>
      <x:c r="Z568" s="16" t="n">
        <x:v>0</x:v>
      </x:c>
      <x:c r="AA568" s="16" t="n">
        <x:v>3</x:v>
      </x:c>
      <x:c r="AB568" s="16" t="n">
        <x:v>11</x:v>
      </x:c>
      <x:c r="AC568" s="16" t="n">
        <x:v>0</x:v>
      </x:c>
      <x:c r="AD568" s="21" t="n">
        <x:f>IF(E568="",MEDIAN($E$2:$E$2237),E568)</x:f>
        <x:v>38200</x:v>
      </x:c>
      <x:c r="AE568" s="17" t="n">
        <x:f>2014-B568</x:f>
        <x:v>44</x:v>
      </x:c>
      <x:c r="AF568" s="17" t="n">
        <x:f>F568+G568</x:f>
        <x:v>2</x:v>
      </x:c>
      <x:c r="AG568" s="21" t="n">
        <x:f>SUM(J568:O568)</x:f>
        <x:v>17</x:v>
      </x:c>
      <x:c r="AH568" s="17" t="n">
        <x:f>SUM(Q568:S568)</x:f>
        <x:v>3</x:v>
      </x:c>
      <x:c r="AI568" s="17" t="n">
        <x:f>SUM(U568:Y568)</x:f>
        <x:v>0</x:v>
      </x:c>
      <x:c r="AJ568" s="17" t="str">
        <x:f>IF(AE568&lt;=34,"≤34",IF(AE568&lt;=44,"35–44",IF(AE568&lt;=54,"45–54",IF(AE568&lt;=64,"55–64","65+"))))</x:f>
        <x:v>35–44</x:v>
      </x:c>
      <x:c r="AK568" s="17" t="str">
        <x:f>IF(AG568&gt;=1000,"High Value",IF(AG568&gt;=300,"Mid Value","Low Value"))</x:f>
        <x:v>Low Value</x:v>
      </x:c>
      <x:c r="AL568" s="17" t="str">
        <x:f>IF(AND(AI568&gt;=1,I568&lt;=50),"Priority 1",IF(AND(AG568&gt;=1000,I568&lt;=60),"Priority 2",IF(I568&lt;=30,"Priority 3","Nurture")))</x:f>
        <x:v>Priority 3</x:v>
      </x:c>
    </x:row>
    <x:row r="569">
      <x:c r="A569" s="16" t="n">
        <x:v>6818</x:v>
      </x:c>
      <x:c r="B569" s="16" t="n">
        <x:v>1974</x:v>
      </x:c>
      <x:c r="C569" s="16" t="str">
        <x:v>Graduation</x:v>
      </x:c>
      <x:c r="D569" s="16" t="str">
        <x:v>Married</x:v>
      </x:c>
      <x:c r="E569" s="16" t="n">
        <x:v>44989</x:v>
      </x:c>
      <x:c r="F569" s="16" t="n">
        <x:v>0</x:v>
      </x:c>
      <x:c r="G569" s="16" t="n">
        <x:v>1</x:v>
      </x:c>
      <x:c r="H569" s="16" t="str">
        <x:v>12-09-2012</x:v>
      </x:c>
      <x:c r="I569" s="16" t="n">
        <x:v>26</x:v>
      </x:c>
      <x:c r="J569" s="16" t="n">
        <x:v>98</x:v>
      </x:c>
      <x:c r="K569" s="16" t="n">
        <x:v>0</x:v>
      </x:c>
      <x:c r="L569" s="16" t="n">
        <x:v>106</x:v>
      </x:c>
      <x:c r="M569" s="16" t="n">
        <x:v>49</x:v>
      </x:c>
      <x:c r="N569" s="16" t="n">
        <x:v>10</x:v>
      </x:c>
      <x:c r="O569" s="16" t="n">
        <x:v>106</x:v>
      </x:c>
      <x:c r="P569" s="16" t="n">
        <x:v>5</x:v>
      </x:c>
      <x:c r="Q569" s="16" t="n">
        <x:v>5</x:v>
      </x:c>
      <x:c r="R569" s="16" t="n">
        <x:v>1</x:v>
      </x:c>
      <x:c r="S569" s="16" t="n">
        <x:v>5</x:v>
      </x:c>
      <x:c r="T569" s="16" t="n">
        <x:v>6</x:v>
      </x:c>
      <x:c r="U569" s="16" t="n">
        <x:v>0</x:v>
      </x:c>
      <x:c r="V569" s="16" t="n">
        <x:v>0</x:v>
      </x:c>
      <x:c r="W569" s="16" t="n">
        <x:v>0</x:v>
      </x:c>
      <x:c r="X569" s="16" t="n">
        <x:v>0</x:v>
      </x:c>
      <x:c r="Y569" s="16" t="n">
        <x:v>0</x:v>
      </x:c>
      <x:c r="Z569" s="16" t="n">
        <x:v>0</x:v>
      </x:c>
      <x:c r="AA569" s="16" t="n">
        <x:v>3</x:v>
      </x:c>
      <x:c r="AB569" s="16" t="n">
        <x:v>11</x:v>
      </x:c>
      <x:c r="AC569" s="16" t="n">
        <x:v>0</x:v>
      </x:c>
      <x:c r="AD569" s="21" t="n">
        <x:f>IF(E569="",MEDIAN($E$2:$E$2237),E569)</x:f>
        <x:v>44989</x:v>
      </x:c>
      <x:c r="AE569" s="17" t="n">
        <x:f>2014-B569</x:f>
        <x:v>40</x:v>
      </x:c>
      <x:c r="AF569" s="17" t="n">
        <x:f>F569+G569</x:f>
        <x:v>1</x:v>
      </x:c>
      <x:c r="AG569" s="21" t="n">
        <x:f>SUM(J569:O569)</x:f>
        <x:v>369</x:v>
      </x:c>
      <x:c r="AH569" s="17" t="n">
        <x:f>SUM(Q569:S569)</x:f>
        <x:v>11</x:v>
      </x:c>
      <x:c r="AI569" s="17" t="n">
        <x:f>SUM(U569:Y569)</x:f>
        <x:v>0</x:v>
      </x:c>
      <x:c r="AJ569" s="17" t="str">
        <x:f>IF(AE569&lt;=34,"≤34",IF(AE569&lt;=44,"35–44",IF(AE569&lt;=54,"45–54",IF(AE569&lt;=64,"55–64","65+"))))</x:f>
        <x:v>35–44</x:v>
      </x:c>
      <x:c r="AK569" s="17" t="str">
        <x:f>IF(AG569&gt;=1000,"High Value",IF(AG569&gt;=300,"Mid Value","Low Value"))</x:f>
        <x:v>Mid Value</x:v>
      </x:c>
      <x:c r="AL569" s="17" t="str">
        <x:f>IF(AND(AI569&gt;=1,I569&lt;=50),"Priority 1",IF(AND(AG569&gt;=1000,I569&lt;=60),"Priority 2",IF(I569&lt;=30,"Priority 3","Nurture")))</x:f>
        <x:v>Priority 3</x:v>
      </x:c>
    </x:row>
    <x:row r="570">
      <x:c r="A570" s="16" t="n">
        <x:v>3526</x:v>
      </x:c>
      <x:c r="B570" s="16" t="n">
        <x:v>1968</x:v>
      </x:c>
      <x:c r="C570" s="16" t="str">
        <x:v>PhD</x:v>
      </x:c>
      <x:c r="D570" s="16" t="str">
        <x:v>Married</x:v>
      </x:c>
      <x:c r="E570" s="16" t="n">
        <x:v>38443</x:v>
      </x:c>
      <x:c r="F570" s="16" t="n">
        <x:v>1</x:v>
      </x:c>
      <x:c r="G570" s="16" t="n">
        <x:v>1</x:v>
      </x:c>
      <x:c r="H570" s="16" t="str">
        <x:v>27-01-2014</x:v>
      </x:c>
      <x:c r="I570" s="16" t="n">
        <x:v>58</x:v>
      </x:c>
      <x:c r="J570" s="16" t="n">
        <x:v>32</x:v>
      </x:c>
      <x:c r="K570" s="16" t="n">
        <x:v>0</x:v>
      </x:c>
      <x:c r="L570" s="16" t="n">
        <x:v>5</x:v>
      </x:c>
      <x:c r="M570" s="16" t="n">
        <x:v>0</x:v>
      </x:c>
      <x:c r="N570" s="16" t="n">
        <x:v>0</x:v>
      </x:c>
      <x:c r="O570" s="16" t="n">
        <x:v>1</x:v>
      </x:c>
      <x:c r="P570" s="16" t="n">
        <x:v>2</x:v>
      </x:c>
      <x:c r="Q570" s="16" t="n">
        <x:v>1</x:v>
      </x:c>
      <x:c r="R570" s="16" t="n">
        <x:v>0</x:v>
      </x:c>
      <x:c r="S570" s="16" t="n">
        <x:v>3</x:v>
      </x:c>
      <x:c r="T570" s="16" t="n">
        <x:v>7</x:v>
      </x:c>
      <x:c r="U570" s="16" t="n">
        <x:v>0</x:v>
      </x:c>
      <x:c r="V570" s="16" t="n">
        <x:v>0</x:v>
      </x:c>
      <x:c r="W570" s="16" t="n">
        <x:v>0</x:v>
      </x:c>
      <x:c r="X570" s="16" t="n">
        <x:v>0</x:v>
      </x:c>
      <x:c r="Y570" s="16" t="n">
        <x:v>0</x:v>
      </x:c>
      <x:c r="Z570" s="16" t="n">
        <x:v>0</x:v>
      </x:c>
      <x:c r="AA570" s="16" t="n">
        <x:v>3</x:v>
      </x:c>
      <x:c r="AB570" s="16" t="n">
        <x:v>11</x:v>
      </x:c>
      <x:c r="AC570" s="16" t="n">
        <x:v>0</x:v>
      </x:c>
      <x:c r="AD570" s="21" t="n">
        <x:f>IF(E570="",MEDIAN($E$2:$E$2237),E570)</x:f>
        <x:v>38443</x:v>
      </x:c>
      <x:c r="AE570" s="17" t="n">
        <x:f>2014-B570</x:f>
        <x:v>46</x:v>
      </x:c>
      <x:c r="AF570" s="17" t="n">
        <x:f>F570+G570</x:f>
        <x:v>2</x:v>
      </x:c>
      <x:c r="AG570" s="21" t="n">
        <x:f>SUM(J570:O570)</x:f>
        <x:v>38</x:v>
      </x:c>
      <x:c r="AH570" s="17" t="n">
        <x:f>SUM(Q570:S570)</x:f>
        <x:v>4</x:v>
      </x:c>
      <x:c r="AI570" s="17" t="n">
        <x:f>SUM(U570:Y570)</x:f>
        <x:v>0</x:v>
      </x:c>
      <x:c r="AJ570" s="17" t="str">
        <x:f>IF(AE570&lt;=34,"≤34",IF(AE570&lt;=44,"35–44",IF(AE570&lt;=54,"45–54",IF(AE570&lt;=64,"55–64","65+"))))</x:f>
        <x:v>45–54</x:v>
      </x:c>
      <x:c r="AK570" s="17" t="str">
        <x:f>IF(AG570&gt;=1000,"High Value",IF(AG570&gt;=300,"Mid Value","Low Value"))</x:f>
        <x:v>Low Value</x:v>
      </x:c>
      <x:c r="AL570" s="17" t="str">
        <x:f>IF(AND(AI570&gt;=1,I570&lt;=50),"Priority 1",IF(AND(AG570&gt;=1000,I570&lt;=60),"Priority 2",IF(I570&lt;=30,"Priority 3","Nurture")))</x:f>
        <x:v>Nurture</x:v>
      </x:c>
    </x:row>
    <x:row r="571">
      <x:c r="A571" s="16" t="n">
        <x:v>8181</x:v>
      </x:c>
      <x:c r="B571" s="16" t="n">
        <x:v>1978</x:v>
      </x:c>
      <x:c r="C571" s="16" t="str">
        <x:v>2n Cycle</x:v>
      </x:c>
      <x:c r="D571" s="16" t="str">
        <x:v>Single</x:v>
      </x:c>
      <x:c r="E571" s="16" t="n">
        <x:v>38593</x:v>
      </x:c>
      <x:c r="F571" s="16" t="n">
        <x:v>1</x:v>
      </x:c>
      <x:c r="G571" s="16" t="n">
        <x:v>0</x:v>
      </x:c>
      <x:c r="H571" s="16" t="str">
        <x:v>13-09-2013</x:v>
      </x:c>
      <x:c r="I571" s="16" t="n">
        <x:v>42</x:v>
      </x:c>
      <x:c r="J571" s="16" t="n">
        <x:v>51</x:v>
      </x:c>
      <x:c r="K571" s="16" t="n">
        <x:v>12</x:v>
      </x:c>
      <x:c r="L571" s="16" t="n">
        <x:v>49</x:v>
      </x:c>
      <x:c r="M571" s="16" t="n">
        <x:v>17</x:v>
      </x:c>
      <x:c r="N571" s="16" t="n">
        <x:v>24</x:v>
      </x:c>
      <x:c r="O571" s="16" t="n">
        <x:v>24</x:v>
      </x:c>
      <x:c r="P571" s="16" t="n">
        <x:v>3</x:v>
      </x:c>
      <x:c r="Q571" s="16" t="n">
        <x:v>4</x:v>
      </x:c>
      <x:c r="R571" s="16" t="n">
        <x:v>1</x:v>
      </x:c>
      <x:c r="S571" s="16" t="n">
        <x:v>3</x:v>
      </x:c>
      <x:c r="T571" s="16" t="n">
        <x:v>8</x:v>
      </x:c>
      <x:c r="U571" s="16" t="n">
        <x:v>0</x:v>
      </x:c>
      <x:c r="V571" s="16" t="n">
        <x:v>0</x:v>
      </x:c>
      <x:c r="W571" s="16" t="n">
        <x:v>0</x:v>
      </x:c>
      <x:c r="X571" s="16" t="n">
        <x:v>0</x:v>
      </x:c>
      <x:c r="Y571" s="16" t="n">
        <x:v>0</x:v>
      </x:c>
      <x:c r="Z571" s="16" t="n">
        <x:v>0</x:v>
      </x:c>
      <x:c r="AA571" s="16" t="n">
        <x:v>3</x:v>
      </x:c>
      <x:c r="AB571" s="16" t="n">
        <x:v>11</x:v>
      </x:c>
      <x:c r="AC571" s="16" t="n">
        <x:v>0</x:v>
      </x:c>
      <x:c r="AD571" s="21" t="n">
        <x:f>IF(E571="",MEDIAN($E$2:$E$2237),E571)</x:f>
        <x:v>38593</x:v>
      </x:c>
      <x:c r="AE571" s="17" t="n">
        <x:f>2014-B571</x:f>
        <x:v>36</x:v>
      </x:c>
      <x:c r="AF571" s="17" t="n">
        <x:f>F571+G571</x:f>
        <x:v>1</x:v>
      </x:c>
      <x:c r="AG571" s="21" t="n">
        <x:f>SUM(J571:O571)</x:f>
        <x:v>177</x:v>
      </x:c>
      <x:c r="AH571" s="17" t="n">
        <x:f>SUM(Q571:S571)</x:f>
        <x:v>8</x:v>
      </x:c>
      <x:c r="AI571" s="17" t="n">
        <x:f>SUM(U571:Y571)</x:f>
        <x:v>0</x:v>
      </x:c>
      <x:c r="AJ571" s="17" t="str">
        <x:f>IF(AE571&lt;=34,"≤34",IF(AE571&lt;=44,"35–44",IF(AE571&lt;=54,"45–54",IF(AE571&lt;=64,"55–64","65+"))))</x:f>
        <x:v>35–44</x:v>
      </x:c>
      <x:c r="AK571" s="17" t="str">
        <x:f>IF(AG571&gt;=1000,"High Value",IF(AG571&gt;=300,"Mid Value","Low Value"))</x:f>
        <x:v>Low Value</x:v>
      </x:c>
      <x:c r="AL571" s="17" t="str">
        <x:f>IF(AND(AI571&gt;=1,I571&lt;=50),"Priority 1",IF(AND(AG571&gt;=1000,I571&lt;=60),"Priority 2",IF(I571&lt;=30,"Priority 3","Nurture")))</x:f>
        <x:v>Nurture</x:v>
      </x:c>
    </x:row>
    <x:row r="572">
      <x:c r="A572" s="16" t="n">
        <x:v>1029</x:v>
      </x:c>
      <x:c r="B572" s="16" t="n">
        <x:v>1970</x:v>
      </x:c>
      <x:c r="C572" s="16" t="str">
        <x:v>PhD</x:v>
      </x:c>
      <x:c r="D572" s="16" t="str">
        <x:v>Together</x:v>
      </x:c>
      <x:c r="E572" s="16" t="n">
        <x:v>64413</x:v>
      </x:c>
      <x:c r="F572" s="16" t="n">
        <x:v>0</x:v>
      </x:c>
      <x:c r="G572" s="16" t="n">
        <x:v>1</x:v>
      </x:c>
      <x:c r="H572" s="16" t="str">
        <x:v>01-08-2013</x:v>
      </x:c>
      <x:c r="I572" s="16" t="n">
        <x:v>27</x:v>
      </x:c>
      <x:c r="J572" s="16" t="n">
        <x:v>200</x:v>
      </x:c>
      <x:c r="K572" s="16" t="n">
        <x:v>5</x:v>
      </x:c>
      <x:c r="L572" s="16" t="n">
        <x:v>44</x:v>
      </x:c>
      <x:c r="M572" s="16" t="n">
        <x:v>0</x:v>
      </x:c>
      <x:c r="N572" s="16" t="n">
        <x:v>10</x:v>
      </x:c>
      <x:c r="O572" s="16" t="n">
        <x:v>20</x:v>
      </x:c>
      <x:c r="P572" s="16" t="n">
        <x:v>1</x:v>
      </x:c>
      <x:c r="Q572" s="16" t="n">
        <x:v>5</x:v>
      </x:c>
      <x:c r="R572" s="16" t="n">
        <x:v>1</x:v>
      </x:c>
      <x:c r="S572" s="16" t="n">
        <x:v>5</x:v>
      </x:c>
      <x:c r="T572" s="16" t="n">
        <x:v>5</x:v>
      </x:c>
      <x:c r="U572" s="16" t="n">
        <x:v>0</x:v>
      </x:c>
      <x:c r="V572" s="16" t="n">
        <x:v>0</x:v>
      </x:c>
      <x:c r="W572" s="16" t="n">
        <x:v>0</x:v>
      </x:c>
      <x:c r="X572" s="16" t="n">
        <x:v>0</x:v>
      </x:c>
      <x:c r="Y572" s="16" t="n">
        <x:v>0</x:v>
      </x:c>
      <x:c r="Z572" s="16" t="n">
        <x:v>0</x:v>
      </x:c>
      <x:c r="AA572" s="16" t="n">
        <x:v>3</x:v>
      </x:c>
      <x:c r="AB572" s="16" t="n">
        <x:v>11</x:v>
      </x:c>
      <x:c r="AC572" s="16" t="n">
        <x:v>0</x:v>
      </x:c>
      <x:c r="AD572" s="21" t="n">
        <x:f>IF(E572="",MEDIAN($E$2:$E$2237),E572)</x:f>
        <x:v>64413</x:v>
      </x:c>
      <x:c r="AE572" s="17" t="n">
        <x:f>2014-B572</x:f>
        <x:v>44</x:v>
      </x:c>
      <x:c r="AF572" s="17" t="n">
        <x:f>F572+G572</x:f>
        <x:v>1</x:v>
      </x:c>
      <x:c r="AG572" s="21" t="n">
        <x:f>SUM(J572:O572)</x:f>
        <x:v>279</x:v>
      </x:c>
      <x:c r="AH572" s="17" t="n">
        <x:f>SUM(Q572:S572)</x:f>
        <x:v>11</x:v>
      </x:c>
      <x:c r="AI572" s="17" t="n">
        <x:f>SUM(U572:Y572)</x:f>
        <x:v>0</x:v>
      </x:c>
      <x:c r="AJ572" s="17" t="str">
        <x:f>IF(AE572&lt;=34,"≤34",IF(AE572&lt;=44,"35–44",IF(AE572&lt;=54,"45–54",IF(AE572&lt;=64,"55–64","65+"))))</x:f>
        <x:v>35–44</x:v>
      </x:c>
      <x:c r="AK572" s="17" t="str">
        <x:f>IF(AG572&gt;=1000,"High Value",IF(AG572&gt;=300,"Mid Value","Low Value"))</x:f>
        <x:v>Low Value</x:v>
      </x:c>
      <x:c r="AL572" s="17" t="str">
        <x:f>IF(AND(AI572&gt;=1,I572&lt;=50),"Priority 1",IF(AND(AG572&gt;=1000,I572&lt;=60),"Priority 2",IF(I572&lt;=30,"Priority 3","Nurture")))</x:f>
        <x:v>Priority 3</x:v>
      </x:c>
    </x:row>
    <x:row r="573">
      <x:c r="A573" s="16" t="n">
        <x:v>7369</x:v>
      </x:c>
      <x:c r="B573" s="16" t="n">
        <x:v>1981</x:v>
      </x:c>
      <x:c r="C573" s="16" t="str">
        <x:v>Master</x:v>
      </x:c>
      <x:c r="D573" s="16" t="str">
        <x:v>Married</x:v>
      </x:c>
      <x:c r="E573" s="16" t="n">
        <x:v>36959</x:v>
      </x:c>
      <x:c r="F573" s="16" t="n">
        <x:v>1</x:v>
      </x:c>
      <x:c r="G573" s="16" t="n">
        <x:v>0</x:v>
      </x:c>
      <x:c r="H573" s="16" t="str">
        <x:v>02-10-2013</x:v>
      </x:c>
      <x:c r="I573" s="16" t="n">
        <x:v>56</x:v>
      </x:c>
      <x:c r="J573" s="16" t="n">
        <x:v>25</x:v>
      </x:c>
      <x:c r="K573" s="16" t="n">
        <x:v>6</x:v>
      </x:c>
      <x:c r="L573" s="16" t="n">
        <x:v>25</x:v>
      </x:c>
      <x:c r="M573" s="16" t="n">
        <x:v>6</x:v>
      </x:c>
      <x:c r="N573" s="16" t="n">
        <x:v>0</x:v>
      </x:c>
      <x:c r="O573" s="16" t="n">
        <x:v>0</x:v>
      </x:c>
      <x:c r="P573" s="16" t="n">
        <x:v>2</x:v>
      </x:c>
      <x:c r="Q573" s="16" t="n">
        <x:v>2</x:v>
      </x:c>
      <x:c r="R573" s="16" t="n">
        <x:v>0</x:v>
      </x:c>
      <x:c r="S573" s="16" t="n">
        <x:v>3</x:v>
      </x:c>
      <x:c r="T573" s="16" t="n">
        <x:v>8</x:v>
      </x:c>
      <x:c r="U573" s="16" t="n">
        <x:v>0</x:v>
      </x:c>
      <x:c r="V573" s="16" t="n">
        <x:v>0</x:v>
      </x:c>
      <x:c r="W573" s="16" t="n">
        <x:v>0</x:v>
      </x:c>
      <x:c r="X573" s="16" t="n">
        <x:v>0</x:v>
      </x:c>
      <x:c r="Y573" s="16" t="n">
        <x:v>0</x:v>
      </x:c>
      <x:c r="Z573" s="16" t="n">
        <x:v>0</x:v>
      </x:c>
      <x:c r="AA573" s="16" t="n">
        <x:v>3</x:v>
      </x:c>
      <x:c r="AB573" s="16" t="n">
        <x:v>11</x:v>
      </x:c>
      <x:c r="AC573" s="16" t="n">
        <x:v>0</x:v>
      </x:c>
      <x:c r="AD573" s="21" t="n">
        <x:f>IF(E573="",MEDIAN($E$2:$E$2237),E573)</x:f>
        <x:v>36959</x:v>
      </x:c>
      <x:c r="AE573" s="17" t="n">
        <x:f>2014-B573</x:f>
        <x:v>33</x:v>
      </x:c>
      <x:c r="AF573" s="17" t="n">
        <x:f>F573+G573</x:f>
        <x:v>1</x:v>
      </x:c>
      <x:c r="AG573" s="21" t="n">
        <x:f>SUM(J573:O573)</x:f>
        <x:v>62</x:v>
      </x:c>
      <x:c r="AH573" s="17" t="n">
        <x:f>SUM(Q573:S573)</x:f>
        <x:v>5</x:v>
      </x:c>
      <x:c r="AI573" s="17" t="n">
        <x:f>SUM(U573:Y573)</x:f>
        <x:v>0</x:v>
      </x:c>
      <x:c r="AJ573" s="17" t="str">
        <x:f>IF(AE573&lt;=34,"≤34",IF(AE573&lt;=44,"35–44",IF(AE573&lt;=54,"45–54",IF(AE573&lt;=64,"55–64","65+"))))</x:f>
        <x:v>≤34</x:v>
      </x:c>
      <x:c r="AK573" s="17" t="str">
        <x:f>IF(AG573&gt;=1000,"High Value",IF(AG573&gt;=300,"Mid Value","Low Value"))</x:f>
        <x:v>Low Value</x:v>
      </x:c>
      <x:c r="AL573" s="17" t="str">
        <x:f>IF(AND(AI573&gt;=1,I573&lt;=50),"Priority 1",IF(AND(AG573&gt;=1000,I573&lt;=60),"Priority 2",IF(I573&lt;=30,"Priority 3","Nurture")))</x:f>
        <x:v>Nurture</x:v>
      </x:c>
    </x:row>
    <x:row r="574">
      <x:c r="A574" s="16" t="n">
        <x:v>2574</x:v>
      </x:c>
      <x:c r="B574" s="16" t="n">
        <x:v>1977</x:v>
      </x:c>
      <x:c r="C574" s="16" t="str">
        <x:v>PhD</x:v>
      </x:c>
      <x:c r="D574" s="16" t="str">
        <x:v>Married</x:v>
      </x:c>
      <x:c r="E574" s="16" t="n">
        <x:v>61996</x:v>
      </x:c>
      <x:c r="F574" s="16" t="n">
        <x:v>0</x:v>
      </x:c>
      <x:c r="G574" s="16" t="n">
        <x:v>1</x:v>
      </x:c>
      <x:c r="H574" s="16" t="str">
        <x:v>31-01-2013</x:v>
      </x:c>
      <x:c r="I574" s="16" t="n">
        <x:v>27</x:v>
      </x:c>
      <x:c r="J574" s="16" t="n">
        <x:v>1050</x:v>
      </x:c>
      <x:c r="K574" s="16" t="n">
        <x:v>12</x:v>
      </x:c>
      <x:c r="L574" s="16" t="n">
        <x:v>144</x:v>
      </x:c>
      <x:c r="M574" s="16" t="n">
        <x:v>0</x:v>
      </x:c>
      <x:c r="N574" s="16" t="n">
        <x:v>0</x:v>
      </x:c>
      <x:c r="O574" s="16" t="n">
        <x:v>24</x:v>
      </x:c>
      <x:c r="P574" s="16" t="n">
        <x:v>3</x:v>
      </x:c>
      <x:c r="Q574" s="16" t="n">
        <x:v>6</x:v>
      </x:c>
      <x:c r="R574" s="16" t="n">
        <x:v>4</x:v>
      </x:c>
      <x:c r="S574" s="16" t="n">
        <x:v>8</x:v>
      </x:c>
      <x:c r="T574" s="16" t="n">
        <x:v>5</x:v>
      </x:c>
      <x:c r="U574" s="16" t="n">
        <x:v>0</x:v>
      </x:c>
      <x:c r="V574" s="16" t="n">
        <x:v>1</x:v>
      </x:c>
      <x:c r="W574" s="16" t="n">
        <x:v>0</x:v>
      </x:c>
      <x:c r="X574" s="16" t="n">
        <x:v>1</x:v>
      </x:c>
      <x:c r="Y574" s="16" t="n">
        <x:v>1</x:v>
      </x:c>
      <x:c r="Z574" s="16" t="n">
        <x:v>0</x:v>
      </x:c>
      <x:c r="AA574" s="16" t="n">
        <x:v>3</x:v>
      </x:c>
      <x:c r="AB574" s="16" t="n">
        <x:v>11</x:v>
      </x:c>
      <x:c r="AC574" s="16" t="n">
        <x:v>1</x:v>
      </x:c>
      <x:c r="AD574" s="21" t="n">
        <x:f>IF(E574="",MEDIAN($E$2:$E$2237),E574)</x:f>
        <x:v>61996</x:v>
      </x:c>
      <x:c r="AE574" s="17" t="n">
        <x:f>2014-B574</x:f>
        <x:v>37</x:v>
      </x:c>
      <x:c r="AF574" s="17" t="n">
        <x:f>F574+G574</x:f>
        <x:v>1</x:v>
      </x:c>
      <x:c r="AG574" s="21" t="n">
        <x:f>SUM(J574:O574)</x:f>
        <x:v>1230</x:v>
      </x:c>
      <x:c r="AH574" s="17" t="n">
        <x:f>SUM(Q574:S574)</x:f>
        <x:v>18</x:v>
      </x:c>
      <x:c r="AI574" s="17" t="n">
        <x:f>SUM(U574:Y574)</x:f>
        <x:v>3</x:v>
      </x:c>
      <x:c r="AJ574" s="17" t="str">
        <x:f>IF(AE574&lt;=34,"≤34",IF(AE574&lt;=44,"35–44",IF(AE574&lt;=54,"45–54",IF(AE574&lt;=64,"55–64","65+"))))</x:f>
        <x:v>35–44</x:v>
      </x:c>
      <x:c r="AK574" s="17" t="str">
        <x:f>IF(AG574&gt;=1000,"High Value",IF(AG574&gt;=300,"Mid Value","Low Value"))</x:f>
        <x:v>High Value</x:v>
      </x:c>
      <x:c r="AL574" s="17" t="str">
        <x:f>IF(AND(AI574&gt;=1,I574&lt;=50),"Priority 1",IF(AND(AG574&gt;=1000,I574&lt;=60),"Priority 2",IF(I574&lt;=30,"Priority 3","Nurture")))</x:f>
        <x:v>Priority 1</x:v>
      </x:c>
    </x:row>
    <x:row r="575">
      <x:c r="A575" s="16" t="n">
        <x:v>8159</x:v>
      </x:c>
      <x:c r="B575" s="16" t="n">
        <x:v>1968</x:v>
      </x:c>
      <x:c r="C575" s="16" t="str">
        <x:v>Graduation</x:v>
      </x:c>
      <x:c r="D575" s="16" t="str">
        <x:v>Married</x:v>
      </x:c>
      <x:c r="E575" s="16" t="n">
        <x:v>51287</x:v>
      </x:c>
      <x:c r="F575" s="16" t="n">
        <x:v>1</x:v>
      </x:c>
      <x:c r="G575" s="16" t="n">
        <x:v>1</x:v>
      </x:c>
      <x:c r="H575" s="16" t="str">
        <x:v>01-04-2014</x:v>
      </x:c>
      <x:c r="I575" s="16" t="n">
        <x:v>10</x:v>
      </x:c>
      <x:c r="J575" s="16" t="n">
        <x:v>117</x:v>
      </x:c>
      <x:c r="K575" s="16" t="n">
        <x:v>0</x:v>
      </x:c>
      <x:c r="L575" s="16" t="n">
        <x:v>22</x:v>
      </x:c>
      <x:c r="M575" s="16" t="n">
        <x:v>13</x:v>
      </x:c>
      <x:c r="N575" s="16" t="n">
        <x:v>0</x:v>
      </x:c>
      <x:c r="O575" s="16" t="n">
        <x:v>30</x:v>
      </x:c>
      <x:c r="P575" s="16" t="n">
        <x:v>3</x:v>
      </x:c>
      <x:c r="Q575" s="16" t="n">
        <x:v>4</x:v>
      </x:c>
      <x:c r="R575" s="16" t="n">
        <x:v>1</x:v>
      </x:c>
      <x:c r="S575" s="16" t="n">
        <x:v>3</x:v>
      </x:c>
      <x:c r="T575" s="16" t="n">
        <x:v>7</x:v>
      </x:c>
      <x:c r="U575" s="16" t="n">
        <x:v>0</x:v>
      </x:c>
      <x:c r="V575" s="16" t="n">
        <x:v>0</x:v>
      </x:c>
      <x:c r="W575" s="16" t="n">
        <x:v>0</x:v>
      </x:c>
      <x:c r="X575" s="16" t="n">
        <x:v>0</x:v>
      </x:c>
      <x:c r="Y575" s="16" t="n">
        <x:v>0</x:v>
      </x:c>
      <x:c r="Z575" s="16" t="n">
        <x:v>0</x:v>
      </x:c>
      <x:c r="AA575" s="16" t="n">
        <x:v>3</x:v>
      </x:c>
      <x:c r="AB575" s="16" t="n">
        <x:v>11</x:v>
      </x:c>
      <x:c r="AC575" s="16" t="n">
        <x:v>0</x:v>
      </x:c>
      <x:c r="AD575" s="21" t="n">
        <x:f>IF(E575="",MEDIAN($E$2:$E$2237),E575)</x:f>
        <x:v>51287</x:v>
      </x:c>
      <x:c r="AE575" s="17" t="n">
        <x:f>2014-B575</x:f>
        <x:v>46</x:v>
      </x:c>
      <x:c r="AF575" s="17" t="n">
        <x:f>F575+G575</x:f>
        <x:v>2</x:v>
      </x:c>
      <x:c r="AG575" s="21" t="n">
        <x:f>SUM(J575:O575)</x:f>
        <x:v>182</x:v>
      </x:c>
      <x:c r="AH575" s="17" t="n">
        <x:f>SUM(Q575:S575)</x:f>
        <x:v>8</x:v>
      </x:c>
      <x:c r="AI575" s="17" t="n">
        <x:f>SUM(U575:Y575)</x:f>
        <x:v>0</x:v>
      </x:c>
      <x:c r="AJ575" s="17" t="str">
        <x:f>IF(AE575&lt;=34,"≤34",IF(AE575&lt;=44,"35–44",IF(AE575&lt;=54,"45–54",IF(AE575&lt;=64,"55–64","65+"))))</x:f>
        <x:v>45–54</x:v>
      </x:c>
      <x:c r="AK575" s="17" t="str">
        <x:f>IF(AG575&gt;=1000,"High Value",IF(AG575&gt;=300,"Mid Value","Low Value"))</x:f>
        <x:v>Low Value</x:v>
      </x:c>
      <x:c r="AL575" s="17" t="str">
        <x:f>IF(AND(AI575&gt;=1,I575&lt;=50),"Priority 1",IF(AND(AG575&gt;=1000,I575&lt;=60),"Priority 2",IF(I575&lt;=30,"Priority 3","Nurture")))</x:f>
        <x:v>Priority 3</x:v>
      </x:c>
    </x:row>
    <x:row r="576">
      <x:c r="A576" s="16" t="n">
        <x:v>1160</x:v>
      </x:c>
      <x:c r="B576" s="16" t="n">
        <x:v>1970</x:v>
      </x:c>
      <x:c r="C576" s="16" t="str">
        <x:v>Graduation</x:v>
      </x:c>
      <x:c r="D576" s="16" t="str">
        <x:v>Married</x:v>
      </x:c>
      <x:c r="E576" s="16" t="n">
        <x:v>13260</x:v>
      </x:c>
      <x:c r="F576" s="16" t="n">
        <x:v>1</x:v>
      </x:c>
      <x:c r="G576" s="16" t="n">
        <x:v>1</x:v>
      </x:c>
      <x:c r="H576" s="16" t="str">
        <x:v>23-08-2013</x:v>
      </x:c>
      <x:c r="I576" s="16" t="n">
        <x:v>48</x:v>
      </x:c>
      <x:c r="J576" s="16" t="n">
        <x:v>9</x:v>
      </x:c>
      <x:c r="K576" s="16" t="n">
        <x:v>4</x:v>
      </x:c>
      <x:c r="L576" s="16" t="n">
        <x:v>17</x:v>
      </x:c>
      <x:c r="M576" s="16" t="n">
        <x:v>10</x:v>
      </x:c>
      <x:c r="N576" s="16" t="n">
        <x:v>2</x:v>
      </x:c>
      <x:c r="O576" s="16" t="n">
        <x:v>7</x:v>
      </x:c>
      <x:c r="P576" s="16" t="n">
        <x:v>4</x:v>
      </x:c>
      <x:c r="Q576" s="16" t="n">
        <x:v>3</x:v>
      </x:c>
      <x:c r="R576" s="16" t="n">
        <x:v>0</x:v>
      </x:c>
      <x:c r="S576" s="16" t="n">
        <x:v>3</x:v>
      </x:c>
      <x:c r="T576" s="16" t="n">
        <x:v>8</x:v>
      </x:c>
      <x:c r="U576" s="16" t="n">
        <x:v>0</x:v>
      </x:c>
      <x:c r="V576" s="16" t="n">
        <x:v>0</x:v>
      </x:c>
      <x:c r="W576" s="16" t="n">
        <x:v>0</x:v>
      </x:c>
      <x:c r="X576" s="16" t="n">
        <x:v>0</x:v>
      </x:c>
      <x:c r="Y576" s="16" t="n">
        <x:v>0</x:v>
      </x:c>
      <x:c r="Z576" s="16" t="n">
        <x:v>0</x:v>
      </x:c>
      <x:c r="AA576" s="16" t="n">
        <x:v>3</x:v>
      </x:c>
      <x:c r="AB576" s="16" t="n">
        <x:v>11</x:v>
      </x:c>
      <x:c r="AC576" s="16" t="n">
        <x:v>0</x:v>
      </x:c>
      <x:c r="AD576" s="21" t="n">
        <x:f>IF(E576="",MEDIAN($E$2:$E$2237),E576)</x:f>
        <x:v>13260</x:v>
      </x:c>
      <x:c r="AE576" s="17" t="n">
        <x:f>2014-B576</x:f>
        <x:v>44</x:v>
      </x:c>
      <x:c r="AF576" s="17" t="n">
        <x:f>F576+G576</x:f>
        <x:v>2</x:v>
      </x:c>
      <x:c r="AG576" s="21" t="n">
        <x:f>SUM(J576:O576)</x:f>
        <x:v>49</x:v>
      </x:c>
      <x:c r="AH576" s="17" t="n">
        <x:f>SUM(Q576:S576)</x:f>
        <x:v>6</x:v>
      </x:c>
      <x:c r="AI576" s="17" t="n">
        <x:f>SUM(U576:Y576)</x:f>
        <x:v>0</x:v>
      </x:c>
      <x:c r="AJ576" s="17" t="str">
        <x:f>IF(AE576&lt;=34,"≤34",IF(AE576&lt;=44,"35–44",IF(AE576&lt;=54,"45–54",IF(AE576&lt;=64,"55–64","65+"))))</x:f>
        <x:v>35–44</x:v>
      </x:c>
      <x:c r="AK576" s="17" t="str">
        <x:f>IF(AG576&gt;=1000,"High Value",IF(AG576&gt;=300,"Mid Value","Low Value"))</x:f>
        <x:v>Low Value</x:v>
      </x:c>
      <x:c r="AL576" s="17" t="str">
        <x:f>IF(AND(AI576&gt;=1,I576&lt;=50),"Priority 1",IF(AND(AG576&gt;=1000,I576&lt;=60),"Priority 2",IF(I576&lt;=30,"Priority 3","Nurture")))</x:f>
        <x:v>Nurture</x:v>
      </x:c>
    </x:row>
    <x:row r="577">
      <x:c r="A577" s="16" t="n">
        <x:v>10242</x:v>
      </x:c>
      <x:c r="B577" s="16" t="n">
        <x:v>1966</x:v>
      </x:c>
      <x:c r="C577" s="16" t="str">
        <x:v>PhD</x:v>
      </x:c>
      <x:c r="D577" s="16" t="str">
        <x:v>Together</x:v>
      </x:c>
      <x:c r="E577" s="16" t="n">
        <x:v>47472</x:v>
      </x:c>
      <x:c r="F577" s="16" t="n">
        <x:v>1</x:v>
      </x:c>
      <x:c r="G577" s="16" t="n">
        <x:v>1</x:v>
      </x:c>
      <x:c r="H577" s="16" t="str">
        <x:v>16-09-2013</x:v>
      </x:c>
      <x:c r="I577" s="16" t="n">
        <x:v>39</x:v>
      </x:c>
      <x:c r="J577" s="16" t="n">
        <x:v>56</x:v>
      </x:c>
      <x:c r="K577" s="16" t="n">
        <x:v>0</x:v>
      </x:c>
      <x:c r="L577" s="16" t="n">
        <x:v>11</x:v>
      </x:c>
      <x:c r="M577" s="16" t="n">
        <x:v>0</x:v>
      </x:c>
      <x:c r="N577" s="16" t="n">
        <x:v>0</x:v>
      </x:c>
      <x:c r="O577" s="16" t="n">
        <x:v>8</x:v>
      </x:c>
      <x:c r="P577" s="16" t="n">
        <x:v>2</x:v>
      </x:c>
      <x:c r="Q577" s="16" t="n">
        <x:v>2</x:v>
      </x:c>
      <x:c r="R577" s="16" t="n">
        <x:v>0</x:v>
      </x:c>
      <x:c r="S577" s="16" t="n">
        <x:v>4</x:v>
      </x:c>
      <x:c r="T577" s="16" t="n">
        <x:v>5</x:v>
      </x:c>
      <x:c r="U577" s="16" t="n">
        <x:v>0</x:v>
      </x:c>
      <x:c r="V577" s="16" t="n">
        <x:v>0</x:v>
      </x:c>
      <x:c r="W577" s="16" t="n">
        <x:v>0</x:v>
      </x:c>
      <x:c r="X577" s="16" t="n">
        <x:v>0</x:v>
      </x:c>
      <x:c r="Y577" s="16" t="n">
        <x:v>0</x:v>
      </x:c>
      <x:c r="Z577" s="16" t="n">
        <x:v>0</x:v>
      </x:c>
      <x:c r="AA577" s="16" t="n">
        <x:v>3</x:v>
      </x:c>
      <x:c r="AB577" s="16" t="n">
        <x:v>11</x:v>
      </x:c>
      <x:c r="AC577" s="16" t="n">
        <x:v>0</x:v>
      </x:c>
      <x:c r="AD577" s="21" t="n">
        <x:f>IF(E577="",MEDIAN($E$2:$E$2237),E577)</x:f>
        <x:v>47472</x:v>
      </x:c>
      <x:c r="AE577" s="17" t="n">
        <x:f>2014-B577</x:f>
        <x:v>48</x:v>
      </x:c>
      <x:c r="AF577" s="17" t="n">
        <x:f>F577+G577</x:f>
        <x:v>2</x:v>
      </x:c>
      <x:c r="AG577" s="21" t="n">
        <x:f>SUM(J577:O577)</x:f>
        <x:v>75</x:v>
      </x:c>
      <x:c r="AH577" s="17" t="n">
        <x:f>SUM(Q577:S577)</x:f>
        <x:v>6</x:v>
      </x:c>
      <x:c r="AI577" s="17" t="n">
        <x:f>SUM(U577:Y577)</x:f>
        <x:v>0</x:v>
      </x:c>
      <x:c r="AJ577" s="17" t="str">
        <x:f>IF(AE577&lt;=34,"≤34",IF(AE577&lt;=44,"35–44",IF(AE577&lt;=54,"45–54",IF(AE577&lt;=64,"55–64","65+"))))</x:f>
        <x:v>45–54</x:v>
      </x:c>
      <x:c r="AK577" s="17" t="str">
        <x:f>IF(AG577&gt;=1000,"High Value",IF(AG577&gt;=300,"Mid Value","Low Value"))</x:f>
        <x:v>Low Value</x:v>
      </x:c>
      <x:c r="AL577" s="17" t="str">
        <x:f>IF(AND(AI577&gt;=1,I577&lt;=50),"Priority 1",IF(AND(AG577&gt;=1000,I577&lt;=60),"Priority 2",IF(I577&lt;=30,"Priority 3","Nurture")))</x:f>
        <x:v>Nurture</x:v>
      </x:c>
    </x:row>
    <x:row r="578">
      <x:c r="A578" s="16" t="n">
        <x:v>5253</x:v>
      </x:c>
      <x:c r="B578" s="16" t="n">
        <x:v>1956</x:v>
      </x:c>
      <x:c r="C578" s="16" t="str">
        <x:v>Master</x:v>
      </x:c>
      <x:c r="D578" s="16" t="str">
        <x:v>Together</x:v>
      </x:c>
      <x:c r="E578" s="16" t="n">
        <x:v>54603</x:v>
      </x:c>
      <x:c r="F578" s="16" t="n">
        <x:v>1</x:v>
      </x:c>
      <x:c r="G578" s="16" t="n">
        <x:v>1</x:v>
      </x:c>
      <x:c r="H578" s="16" t="str">
        <x:v>09-07-2013</x:v>
      </x:c>
      <x:c r="I578" s="16" t="n">
        <x:v>85</x:v>
      </x:c>
      <x:c r="J578" s="16" t="n">
        <x:v>145</x:v>
      </x:c>
      <x:c r="K578" s="16" t="n">
        <x:v>13</x:v>
      </x:c>
      <x:c r="L578" s="16" t="n">
        <x:v>46</x:v>
      </x:c>
      <x:c r="M578" s="16" t="n">
        <x:v>17</x:v>
      </x:c>
      <x:c r="N578" s="16" t="n">
        <x:v>2</x:v>
      </x:c>
      <x:c r="O578" s="16" t="n">
        <x:v>4</x:v>
      </x:c>
      <x:c r="P578" s="16" t="n">
        <x:v>6</x:v>
      </x:c>
      <x:c r="Q578" s="16" t="n">
        <x:v>4</x:v>
      </x:c>
      <x:c r="R578" s="16" t="n">
        <x:v>2</x:v>
      </x:c>
      <x:c r="S578" s="16" t="n">
        <x:v>4</x:v>
      </x:c>
      <x:c r="T578" s="16" t="n">
        <x:v>7</x:v>
      </x:c>
      <x:c r="U578" s="16" t="n">
        <x:v>0</x:v>
      </x:c>
      <x:c r="V578" s="16" t="n">
        <x:v>0</x:v>
      </x:c>
      <x:c r="W578" s="16" t="n">
        <x:v>0</x:v>
      </x:c>
      <x:c r="X578" s="16" t="n">
        <x:v>0</x:v>
      </x:c>
      <x:c r="Y578" s="16" t="n">
        <x:v>0</x:v>
      </x:c>
      <x:c r="Z578" s="16" t="n">
        <x:v>0</x:v>
      </x:c>
      <x:c r="AA578" s="16" t="n">
        <x:v>3</x:v>
      </x:c>
      <x:c r="AB578" s="16" t="n">
        <x:v>11</x:v>
      </x:c>
      <x:c r="AC578" s="16" t="n">
        <x:v>0</x:v>
      </x:c>
      <x:c r="AD578" s="21" t="n">
        <x:f>IF(E578="",MEDIAN($E$2:$E$2237),E578)</x:f>
        <x:v>54603</x:v>
      </x:c>
      <x:c r="AE578" s="17" t="n">
        <x:f>2014-B578</x:f>
        <x:v>58</x:v>
      </x:c>
      <x:c r="AF578" s="17" t="n">
        <x:f>F578+G578</x:f>
        <x:v>2</x:v>
      </x:c>
      <x:c r="AG578" s="21" t="n">
        <x:f>SUM(J578:O578)</x:f>
        <x:v>227</x:v>
      </x:c>
      <x:c r="AH578" s="17" t="n">
        <x:f>SUM(Q578:S578)</x:f>
        <x:v>10</x:v>
      </x:c>
      <x:c r="AI578" s="17" t="n">
        <x:f>SUM(U578:Y578)</x:f>
        <x:v>0</x:v>
      </x:c>
      <x:c r="AJ578" s="17" t="str">
        <x:f>IF(AE578&lt;=34,"≤34",IF(AE578&lt;=44,"35–44",IF(AE578&lt;=54,"45–54",IF(AE578&lt;=64,"55–64","65+"))))</x:f>
        <x:v>55–64</x:v>
      </x:c>
      <x:c r="AK578" s="17" t="str">
        <x:f>IF(AG578&gt;=1000,"High Value",IF(AG578&gt;=300,"Mid Value","Low Value"))</x:f>
        <x:v>Low Value</x:v>
      </x:c>
      <x:c r="AL578" s="17" t="str">
        <x:f>IF(AND(AI578&gt;=1,I578&lt;=50),"Priority 1",IF(AND(AG578&gt;=1000,I578&lt;=60),"Priority 2",IF(I578&lt;=30,"Priority 3","Nurture")))</x:f>
        <x:v>Nurture</x:v>
      </x:c>
    </x:row>
    <x:row r="579">
      <x:c r="A579" s="16" t="n">
        <x:v>5966</x:v>
      </x:c>
      <x:c r="B579" s="16" t="n">
        <x:v>1974</x:v>
      </x:c>
      <x:c r="C579" s="16" t="str">
        <x:v>PhD</x:v>
      </x:c>
      <x:c r="D579" s="16" t="str">
        <x:v>Married</x:v>
      </x:c>
      <x:c r="E579" s="16" t="n">
        <x:v>45207</x:v>
      </x:c>
      <x:c r="F579" s="16" t="n">
        <x:v>1</x:v>
      </x:c>
      <x:c r="G579" s="16" t="n">
        <x:v>1</x:v>
      </x:c>
      <x:c r="H579" s="16" t="str">
        <x:v>10-11-2012</x:v>
      </x:c>
      <x:c r="I579" s="16" t="n">
        <x:v>64</x:v>
      </x:c>
      <x:c r="J579" s="16" t="n">
        <x:v>203</x:v>
      </x:c>
      <x:c r="K579" s="16" t="n">
        <x:v>0</x:v>
      </x:c>
      <x:c r="L579" s="16" t="n">
        <x:v>10</x:v>
      </x:c>
      <x:c r="M579" s="16" t="n">
        <x:v>0</x:v>
      </x:c>
      <x:c r="N579" s="16" t="n">
        <x:v>0</x:v>
      </x:c>
      <x:c r="O579" s="16" t="n">
        <x:v>2</x:v>
      </x:c>
      <x:c r="P579" s="16" t="n">
        <x:v>5</x:v>
      </x:c>
      <x:c r="Q579" s="16" t="n">
        <x:v>3</x:v>
      </x:c>
      <x:c r="R579" s="16" t="n">
        <x:v>1</x:v>
      </x:c>
      <x:c r="S579" s="16" t="n">
        <x:v>6</x:v>
      </x:c>
      <x:c r="T579" s="16" t="n">
        <x:v>6</x:v>
      </x:c>
      <x:c r="U579" s="16" t="n">
        <x:v>0</x:v>
      </x:c>
      <x:c r="V579" s="16" t="n">
        <x:v>1</x:v>
      </x:c>
      <x:c r="W579" s="16" t="n">
        <x:v>0</x:v>
      </x:c>
      <x:c r="X579" s="16" t="n">
        <x:v>0</x:v>
      </x:c>
      <x:c r="Y579" s="16" t="n">
        <x:v>0</x:v>
      </x:c>
      <x:c r="Z579" s="16" t="n">
        <x:v>0</x:v>
      </x:c>
      <x:c r="AA579" s="16" t="n">
        <x:v>3</x:v>
      </x:c>
      <x:c r="AB579" s="16" t="n">
        <x:v>11</x:v>
      </x:c>
      <x:c r="AC579" s="16" t="n">
        <x:v>0</x:v>
      </x:c>
      <x:c r="AD579" s="21" t="n">
        <x:f>IF(E579="",MEDIAN($E$2:$E$2237),E579)</x:f>
        <x:v>45207</x:v>
      </x:c>
      <x:c r="AE579" s="17" t="n">
        <x:f>2014-B579</x:f>
        <x:v>40</x:v>
      </x:c>
      <x:c r="AF579" s="17" t="n">
        <x:f>F579+G579</x:f>
        <x:v>2</x:v>
      </x:c>
      <x:c r="AG579" s="21" t="n">
        <x:f>SUM(J579:O579)</x:f>
        <x:v>215</x:v>
      </x:c>
      <x:c r="AH579" s="17" t="n">
        <x:f>SUM(Q579:S579)</x:f>
        <x:v>10</x:v>
      </x:c>
      <x:c r="AI579" s="17" t="n">
        <x:f>SUM(U579:Y579)</x:f>
        <x:v>1</x:v>
      </x:c>
      <x:c r="AJ579" s="17" t="str">
        <x:f>IF(AE579&lt;=34,"≤34",IF(AE579&lt;=44,"35–44",IF(AE579&lt;=54,"45–54",IF(AE579&lt;=64,"55–64","65+"))))</x:f>
        <x:v>35–44</x:v>
      </x:c>
      <x:c r="AK579" s="17" t="str">
        <x:f>IF(AG579&gt;=1000,"High Value",IF(AG579&gt;=300,"Mid Value","Low Value"))</x:f>
        <x:v>Low Value</x:v>
      </x:c>
      <x:c r="AL579" s="17" t="str">
        <x:f>IF(AND(AI579&gt;=1,I579&lt;=50),"Priority 1",IF(AND(AG579&gt;=1000,I579&lt;=60),"Priority 2",IF(I579&lt;=30,"Priority 3","Nurture")))</x:f>
        <x:v>Nurture</x:v>
      </x:c>
    </x:row>
    <x:row r="580">
      <x:c r="A580" s="16" t="n">
        <x:v>5314</x:v>
      </x:c>
      <x:c r="B580" s="16" t="n">
        <x:v>1951</x:v>
      </x:c>
      <x:c r="C580" s="16" t="str">
        <x:v>Graduation</x:v>
      </x:c>
      <x:c r="D580" s="16" t="str">
        <x:v>Together</x:v>
      </x:c>
      <x:c r="E580" s="16" t="n">
        <x:v>40689</x:v>
      </x:c>
      <x:c r="F580" s="16" t="n">
        <x:v>0</x:v>
      </x:c>
      <x:c r="G580" s="16" t="n">
        <x:v>1</x:v>
      </x:c>
      <x:c r="H580" s="16" t="str">
        <x:v>18-03-2013</x:v>
      </x:c>
      <x:c r="I580" s="16" t="n">
        <x:v>69</x:v>
      </x:c>
      <x:c r="J580" s="16" t="n">
        <x:v>270</x:v>
      </x:c>
      <x:c r="K580" s="16" t="n">
        <x:v>3</x:v>
      </x:c>
      <x:c r="L580" s="16" t="n">
        <x:v>27</x:v>
      </x:c>
      <x:c r="M580" s="16" t="n">
        <x:v>39</x:v>
      </x:c>
      <x:c r="N580" s="16" t="n">
        <x:v>6</x:v>
      </x:c>
      <x:c r="O580" s="16" t="n">
        <x:v>99</x:v>
      </x:c>
      <x:c r="P580" s="16" t="n">
        <x:v>7</x:v>
      </x:c>
      <x:c r="Q580" s="16" t="n">
        <x:v>7</x:v>
      </x:c>
      <x:c r="R580" s="16" t="n">
        <x:v>1</x:v>
      </x:c>
      <x:c r="S580" s="16" t="n">
        <x:v>5</x:v>
      </x:c>
      <x:c r="T580" s="16" t="n">
        <x:v>8</x:v>
      </x:c>
      <x:c r="U580" s="16" t="n">
        <x:v>0</x:v>
      </x:c>
      <x:c r="V580" s="16" t="n">
        <x:v>0</x:v>
      </x:c>
      <x:c r="W580" s="16" t="n">
        <x:v>0</x:v>
      </x:c>
      <x:c r="X580" s="16" t="n">
        <x:v>0</x:v>
      </x:c>
      <x:c r="Y580" s="16" t="n">
        <x:v>0</x:v>
      </x:c>
      <x:c r="Z580" s="16" t="n">
        <x:v>0</x:v>
      </x:c>
      <x:c r="AA580" s="16" t="n">
        <x:v>3</x:v>
      </x:c>
      <x:c r="AB580" s="16" t="n">
        <x:v>11</x:v>
      </x:c>
      <x:c r="AC580" s="16" t="n">
        <x:v>0</x:v>
      </x:c>
      <x:c r="AD580" s="21" t="n">
        <x:f>IF(E580="",MEDIAN($E$2:$E$2237),E580)</x:f>
        <x:v>40689</x:v>
      </x:c>
      <x:c r="AE580" s="17" t="n">
        <x:f>2014-B580</x:f>
        <x:v>63</x:v>
      </x:c>
      <x:c r="AF580" s="17" t="n">
        <x:f>F580+G580</x:f>
        <x:v>1</x:v>
      </x:c>
      <x:c r="AG580" s="21" t="n">
        <x:f>SUM(J580:O580)</x:f>
        <x:v>444</x:v>
      </x:c>
      <x:c r="AH580" s="17" t="n">
        <x:f>SUM(Q580:S580)</x:f>
        <x:v>13</x:v>
      </x:c>
      <x:c r="AI580" s="17" t="n">
        <x:f>SUM(U580:Y580)</x:f>
        <x:v>0</x:v>
      </x:c>
      <x:c r="AJ580" s="17" t="str">
        <x:f>IF(AE580&lt;=34,"≤34",IF(AE580&lt;=44,"35–44",IF(AE580&lt;=54,"45–54",IF(AE580&lt;=64,"55–64","65+"))))</x:f>
        <x:v>55–64</x:v>
      </x:c>
      <x:c r="AK580" s="17" t="str">
        <x:f>IF(AG580&gt;=1000,"High Value",IF(AG580&gt;=300,"Mid Value","Low Value"))</x:f>
        <x:v>Mid Value</x:v>
      </x:c>
      <x:c r="AL580" s="17" t="str">
        <x:f>IF(AND(AI580&gt;=1,I580&lt;=50),"Priority 1",IF(AND(AG580&gt;=1000,I580&lt;=60),"Priority 2",IF(I580&lt;=30,"Priority 3","Nurture")))</x:f>
        <x:v>Nurture</x:v>
      </x:c>
    </x:row>
    <x:row r="581">
      <x:c r="A581" s="16" t="n">
        <x:v>5081</x:v>
      </x:c>
      <x:c r="B581" s="16" t="n">
        <x:v>1967</x:v>
      </x:c>
      <x:c r="C581" s="16" t="str">
        <x:v>2n Cycle</x:v>
      </x:c>
      <x:c r="D581" s="16" t="str">
        <x:v>Together</x:v>
      </x:c>
      <x:c r="E581" s="16" t="n">
        <x:v>47821</x:v>
      </x:c>
      <x:c r="F581" s="16" t="n">
        <x:v>1</x:v>
      </x:c>
      <x:c r="G581" s="16" t="n">
        <x:v>1</x:v>
      </x:c>
      <x:c r="H581" s="16" t="str">
        <x:v>20-10-2013</x:v>
      </x:c>
      <x:c r="I581" s="16" t="n">
        <x:v>54</x:v>
      </x:c>
      <x:c r="J581" s="16" t="n">
        <x:v>9</x:v>
      </x:c>
      <x:c r="K581" s="16" t="n">
        <x:v>0</x:v>
      </x:c>
      <x:c r="L581" s="16" t="n">
        <x:v>16</x:v>
      </x:c>
      <x:c r="M581" s="16" t="n">
        <x:v>6</x:v>
      </x:c>
      <x:c r="N581" s="16" t="n">
        <x:v>6</x:v>
      </x:c>
      <x:c r="O581" s="16" t="n">
        <x:v>10</x:v>
      </x:c>
      <x:c r="P581" s="16" t="n">
        <x:v>1</x:v>
      </x:c>
      <x:c r="Q581" s="16" t="n">
        <x:v>1</x:v>
      </x:c>
      <x:c r="R581" s="16" t="n">
        <x:v>0</x:v>
      </x:c>
      <x:c r="S581" s="16" t="n">
        <x:v>3</x:v>
      </x:c>
      <x:c r="T581" s="16" t="n">
        <x:v>8</x:v>
      </x:c>
      <x:c r="U581" s="16" t="n">
        <x:v>0</x:v>
      </x:c>
      <x:c r="V581" s="16" t="n">
        <x:v>0</x:v>
      </x:c>
      <x:c r="W581" s="16" t="n">
        <x:v>0</x:v>
      </x:c>
      <x:c r="X581" s="16" t="n">
        <x:v>0</x:v>
      </x:c>
      <x:c r="Y581" s="16" t="n">
        <x:v>0</x:v>
      </x:c>
      <x:c r="Z581" s="16" t="n">
        <x:v>0</x:v>
      </x:c>
      <x:c r="AA581" s="16" t="n">
        <x:v>3</x:v>
      </x:c>
      <x:c r="AB581" s="16" t="n">
        <x:v>11</x:v>
      </x:c>
      <x:c r="AC581" s="16" t="n">
        <x:v>0</x:v>
      </x:c>
      <x:c r="AD581" s="21" t="n">
        <x:f>IF(E581="",MEDIAN($E$2:$E$2237),E581)</x:f>
        <x:v>47821</x:v>
      </x:c>
      <x:c r="AE581" s="17" t="n">
        <x:f>2014-B581</x:f>
        <x:v>47</x:v>
      </x:c>
      <x:c r="AF581" s="17" t="n">
        <x:f>F581+G581</x:f>
        <x:v>2</x:v>
      </x:c>
      <x:c r="AG581" s="21" t="n">
        <x:f>SUM(J581:O581)</x:f>
        <x:v>47</x:v>
      </x:c>
      <x:c r="AH581" s="17" t="n">
        <x:f>SUM(Q581:S581)</x:f>
        <x:v>4</x:v>
      </x:c>
      <x:c r="AI581" s="17" t="n">
        <x:f>SUM(U581:Y581)</x:f>
        <x:v>0</x:v>
      </x:c>
      <x:c r="AJ581" s="17" t="str">
        <x:f>IF(AE581&lt;=34,"≤34",IF(AE581&lt;=44,"35–44",IF(AE581&lt;=54,"45–54",IF(AE581&lt;=64,"55–64","65+"))))</x:f>
        <x:v>45–54</x:v>
      </x:c>
      <x:c r="AK581" s="17" t="str">
        <x:f>IF(AG581&gt;=1000,"High Value",IF(AG581&gt;=300,"Mid Value","Low Value"))</x:f>
        <x:v>Low Value</x:v>
      </x:c>
      <x:c r="AL581" s="17" t="str">
        <x:f>IF(AND(AI581&gt;=1,I581&lt;=50),"Priority 1",IF(AND(AG581&gt;=1000,I581&lt;=60),"Priority 2",IF(I581&lt;=30,"Priority 3","Nurture")))</x:f>
        <x:v>Nurture</x:v>
      </x:c>
    </x:row>
    <x:row r="582">
      <x:c r="A582" s="16" t="n">
        <x:v>5123</x:v>
      </x:c>
      <x:c r="B582" s="16" t="n">
        <x:v>1951</x:v>
      </x:c>
      <x:c r="C582" s="16" t="str">
        <x:v>Master</x:v>
      </x:c>
      <x:c r="D582" s="16" t="str">
        <x:v>Married</x:v>
      </x:c>
      <x:c r="E582" s="16" t="n">
        <x:v>27450</x:v>
      </x:c>
      <x:c r="F582" s="16" t="n">
        <x:v>0</x:v>
      </x:c>
      <x:c r="G582" s="16" t="n">
        <x:v>0</x:v>
      </x:c>
      <x:c r="H582" s="16" t="str">
        <x:v>15-04-2013</x:v>
      </x:c>
      <x:c r="I582" s="16" t="n">
        <x:v>57</x:v>
      </x:c>
      <x:c r="J582" s="16" t="n">
        <x:v>37</x:v>
      </x:c>
      <x:c r="K582" s="16" t="n">
        <x:v>12</x:v>
      </x:c>
      <x:c r="L582" s="16" t="n">
        <x:v>23</x:v>
      </x:c>
      <x:c r="M582" s="16" t="n">
        <x:v>8</x:v>
      </x:c>
      <x:c r="N582" s="16" t="n">
        <x:v>11</x:v>
      </x:c>
      <x:c r="O582" s="16" t="n">
        <x:v>52</x:v>
      </x:c>
      <x:c r="P582" s="16" t="n">
        <x:v>1</x:v>
      </x:c>
      <x:c r="Q582" s="16" t="n">
        <x:v>2</x:v>
      </x:c>
      <x:c r="R582" s="16" t="n">
        <x:v>1</x:v>
      </x:c>
      <x:c r="S582" s="16" t="n">
        <x:v>3</x:v>
      </x:c>
      <x:c r="T582" s="16" t="n">
        <x:v>7</x:v>
      </x:c>
      <x:c r="U582" s="16" t="n">
        <x:v>0</x:v>
      </x:c>
      <x:c r="V582" s="16" t="n">
        <x:v>0</x:v>
      </x:c>
      <x:c r="W582" s="16" t="n">
        <x:v>0</x:v>
      </x:c>
      <x:c r="X582" s="16" t="n">
        <x:v>0</x:v>
      </x:c>
      <x:c r="Y582" s="16" t="n">
        <x:v>0</x:v>
      </x:c>
      <x:c r="Z582" s="16" t="n">
        <x:v>0</x:v>
      </x:c>
      <x:c r="AA582" s="16" t="n">
        <x:v>3</x:v>
      </x:c>
      <x:c r="AB582" s="16" t="n">
        <x:v>11</x:v>
      </x:c>
      <x:c r="AC582" s="16" t="n">
        <x:v>0</x:v>
      </x:c>
      <x:c r="AD582" s="21" t="n">
        <x:f>IF(E582="",MEDIAN($E$2:$E$2237),E582)</x:f>
        <x:v>27450</x:v>
      </x:c>
      <x:c r="AE582" s="17" t="n">
        <x:f>2014-B582</x:f>
        <x:v>63</x:v>
      </x:c>
      <x:c r="AF582" s="17" t="n">
        <x:f>F582+G582</x:f>
        <x:v>0</x:v>
      </x:c>
      <x:c r="AG582" s="21" t="n">
        <x:f>SUM(J582:O582)</x:f>
        <x:v>143</x:v>
      </x:c>
      <x:c r="AH582" s="17" t="n">
        <x:f>SUM(Q582:S582)</x:f>
        <x:v>6</x:v>
      </x:c>
      <x:c r="AI582" s="17" t="n">
        <x:f>SUM(U582:Y582)</x:f>
        <x:v>0</x:v>
      </x:c>
      <x:c r="AJ582" s="17" t="str">
        <x:f>IF(AE582&lt;=34,"≤34",IF(AE582&lt;=44,"35–44",IF(AE582&lt;=54,"45–54",IF(AE582&lt;=64,"55–64","65+"))))</x:f>
        <x:v>55–64</x:v>
      </x:c>
      <x:c r="AK582" s="17" t="str">
        <x:f>IF(AG582&gt;=1000,"High Value",IF(AG582&gt;=300,"Mid Value","Low Value"))</x:f>
        <x:v>Low Value</x:v>
      </x:c>
      <x:c r="AL582" s="17" t="str">
        <x:f>IF(AND(AI582&gt;=1,I582&lt;=50),"Priority 1",IF(AND(AG582&gt;=1000,I582&lt;=60),"Priority 2",IF(I582&lt;=30,"Priority 3","Nurture")))</x:f>
        <x:v>Nurture</x:v>
      </x:c>
    </x:row>
    <x:row r="583">
      <x:c r="A583" s="16" t="n">
        <x:v>5756</x:v>
      </x:c>
      <x:c r="B583" s="16" t="n">
        <x:v>1983</x:v>
      </x:c>
      <x:c r="C583" s="16" t="str">
        <x:v>Graduation</x:v>
      </x:c>
      <x:c r="D583" s="16" t="str">
        <x:v>Together</x:v>
      </x:c>
      <x:c r="E583" s="16" t="n">
        <x:v>39453</x:v>
      </x:c>
      <x:c r="F583" s="16" t="n">
        <x:v>1</x:v>
      </x:c>
      <x:c r="G583" s="16" t="n">
        <x:v>0</x:v>
      </x:c>
      <x:c r="H583" s="16" t="str">
        <x:v>03-04-2014</x:v>
      </x:c>
      <x:c r="I583" s="16" t="n">
        <x:v>64</x:v>
      </x:c>
      <x:c r="J583" s="16" t="n">
        <x:v>46</x:v>
      </x:c>
      <x:c r="K583" s="16" t="n">
        <x:v>0</x:v>
      </x:c>
      <x:c r="L583" s="16" t="n">
        <x:v>7</x:v>
      </x:c>
      <x:c r="M583" s="16" t="n">
        <x:v>0</x:v>
      </x:c>
      <x:c r="N583" s="16" t="n">
        <x:v>0</x:v>
      </x:c>
      <x:c r="O583" s="16" t="n">
        <x:v>2</x:v>
      </x:c>
      <x:c r="P583" s="16" t="n">
        <x:v>2</x:v>
      </x:c>
      <x:c r="Q583" s="16" t="n">
        <x:v>2</x:v>
      </x:c>
      <x:c r="R583" s="16" t="n">
        <x:v>0</x:v>
      </x:c>
      <x:c r="S583" s="16" t="n">
        <x:v>3</x:v>
      </x:c>
      <x:c r="T583" s="16" t="n">
        <x:v>6</x:v>
      </x:c>
      <x:c r="U583" s="16" t="n">
        <x:v>0</x:v>
      </x:c>
      <x:c r="V583" s="16" t="n">
        <x:v>0</x:v>
      </x:c>
      <x:c r="W583" s="16" t="n">
        <x:v>0</x:v>
      </x:c>
      <x:c r="X583" s="16" t="n">
        <x:v>0</x:v>
      </x:c>
      <x:c r="Y583" s="16" t="n">
        <x:v>0</x:v>
      </x:c>
      <x:c r="Z583" s="16" t="n">
        <x:v>0</x:v>
      </x:c>
      <x:c r="AA583" s="16" t="n">
        <x:v>3</x:v>
      </x:c>
      <x:c r="AB583" s="16" t="n">
        <x:v>11</x:v>
      </x:c>
      <x:c r="AC583" s="16" t="n">
        <x:v>0</x:v>
      </x:c>
      <x:c r="AD583" s="21" t="n">
        <x:f>IF(E583="",MEDIAN($E$2:$E$2237),E583)</x:f>
        <x:v>39453</x:v>
      </x:c>
      <x:c r="AE583" s="17" t="n">
        <x:f>2014-B583</x:f>
        <x:v>31</x:v>
      </x:c>
      <x:c r="AF583" s="17" t="n">
        <x:f>F583+G583</x:f>
        <x:v>1</x:v>
      </x:c>
      <x:c r="AG583" s="21" t="n">
        <x:f>SUM(J583:O583)</x:f>
        <x:v>55</x:v>
      </x:c>
      <x:c r="AH583" s="17" t="n">
        <x:f>SUM(Q583:S583)</x:f>
        <x:v>5</x:v>
      </x:c>
      <x:c r="AI583" s="17" t="n">
        <x:f>SUM(U583:Y583)</x:f>
        <x:v>0</x:v>
      </x:c>
      <x:c r="AJ583" s="17" t="str">
        <x:f>IF(AE583&lt;=34,"≤34",IF(AE583&lt;=44,"35–44",IF(AE583&lt;=54,"45–54",IF(AE583&lt;=64,"55–64","65+"))))</x:f>
        <x:v>≤34</x:v>
      </x:c>
      <x:c r="AK583" s="17" t="str">
        <x:f>IF(AG583&gt;=1000,"High Value",IF(AG583&gt;=300,"Mid Value","Low Value"))</x:f>
        <x:v>Low Value</x:v>
      </x:c>
      <x:c r="AL583" s="17" t="str">
        <x:f>IF(AND(AI583&gt;=1,I583&lt;=50),"Priority 1",IF(AND(AG583&gt;=1000,I583&lt;=60),"Priority 2",IF(I583&lt;=30,"Priority 3","Nurture")))</x:f>
        <x:v>Nurture</x:v>
      </x:c>
    </x:row>
    <x:row r="584">
      <x:c r="A584" s="16" t="n">
        <x:v>8036</x:v>
      </x:c>
      <x:c r="B584" s="16" t="n">
        <x:v>1971</x:v>
      </x:c>
      <x:c r="C584" s="16" t="str">
        <x:v>2n Cycle</x:v>
      </x:c>
      <x:c r="D584" s="16" t="str">
        <x:v>Together</x:v>
      </x:c>
      <x:c r="E584" s="16" t="n">
        <x:v>26850</x:v>
      </x:c>
      <x:c r="F584" s="16" t="n">
        <x:v>1</x:v>
      </x:c>
      <x:c r="G584" s="16" t="n">
        <x:v>1</x:v>
      </x:c>
      <x:c r="H584" s="16" t="str">
        <x:v>18-04-2014</x:v>
      </x:c>
      <x:c r="I584" s="16" t="n">
        <x:v>10</x:v>
      </x:c>
      <x:c r="J584" s="16" t="n">
        <x:v>31</x:v>
      </x:c>
      <x:c r="K584" s="16" t="n">
        <x:v>1</x:v>
      </x:c>
      <x:c r="L584" s="16" t="n">
        <x:v>13</x:v>
      </x:c>
      <x:c r="M584" s="16" t="n">
        <x:v>7</x:v>
      </x:c>
      <x:c r="N584" s="16" t="n">
        <x:v>2</x:v>
      </x:c>
      <x:c r="O584" s="16" t="n">
        <x:v>9</x:v>
      </x:c>
      <x:c r="P584" s="16" t="n">
        <x:v>4</x:v>
      </x:c>
      <x:c r="Q584" s="16" t="n">
        <x:v>2</x:v>
      </x:c>
      <x:c r="R584" s="16" t="n">
        <x:v>1</x:v>
      </x:c>
      <x:c r="S584" s="16" t="n">
        <x:v>4</x:v>
      </x:c>
      <x:c r="T584" s="16" t="n">
        <x:v>4</x:v>
      </x:c>
      <x:c r="U584" s="16" t="n">
        <x:v>0</x:v>
      </x:c>
      <x:c r="V584" s="16" t="n">
        <x:v>0</x:v>
      </x:c>
      <x:c r="W584" s="16" t="n">
        <x:v>0</x:v>
      </x:c>
      <x:c r="X584" s="16" t="n">
        <x:v>0</x:v>
      </x:c>
      <x:c r="Y584" s="16" t="n">
        <x:v>0</x:v>
      </x:c>
      <x:c r="Z584" s="16" t="n">
        <x:v>0</x:v>
      </x:c>
      <x:c r="AA584" s="16" t="n">
        <x:v>3</x:v>
      </x:c>
      <x:c r="AB584" s="16" t="n">
        <x:v>11</x:v>
      </x:c>
      <x:c r="AC584" s="16" t="n">
        <x:v>0</x:v>
      </x:c>
      <x:c r="AD584" s="21" t="n">
        <x:f>IF(E584="",MEDIAN($E$2:$E$2237),E584)</x:f>
        <x:v>26850</x:v>
      </x:c>
      <x:c r="AE584" s="17" t="n">
        <x:f>2014-B584</x:f>
        <x:v>43</x:v>
      </x:c>
      <x:c r="AF584" s="17" t="n">
        <x:f>F584+G584</x:f>
        <x:v>2</x:v>
      </x:c>
      <x:c r="AG584" s="21" t="n">
        <x:f>SUM(J584:O584)</x:f>
        <x:v>63</x:v>
      </x:c>
      <x:c r="AH584" s="17" t="n">
        <x:f>SUM(Q584:S584)</x:f>
        <x:v>7</x:v>
      </x:c>
      <x:c r="AI584" s="17" t="n">
        <x:f>SUM(U584:Y584)</x:f>
        <x:v>0</x:v>
      </x:c>
      <x:c r="AJ584" s="17" t="str">
        <x:f>IF(AE584&lt;=34,"≤34",IF(AE584&lt;=44,"35–44",IF(AE584&lt;=54,"45–54",IF(AE584&lt;=64,"55–64","65+"))))</x:f>
        <x:v>35–44</x:v>
      </x:c>
      <x:c r="AK584" s="17" t="str">
        <x:f>IF(AG584&gt;=1000,"High Value",IF(AG584&gt;=300,"Mid Value","Low Value"))</x:f>
        <x:v>Low Value</x:v>
      </x:c>
      <x:c r="AL584" s="17" t="str">
        <x:f>IF(AND(AI584&gt;=1,I584&lt;=50),"Priority 1",IF(AND(AG584&gt;=1000,I584&lt;=60),"Priority 2",IF(I584&lt;=30,"Priority 3","Nurture")))</x:f>
        <x:v>Priority 3</x:v>
      </x:c>
    </x:row>
    <x:row r="585">
      <x:c r="A585" s="16" t="n">
        <x:v>9058</x:v>
      </x:c>
      <x:c r="B585" s="16" t="n">
        <x:v>1955</x:v>
      </x:c>
      <x:c r="C585" s="16" t="str">
        <x:v>Graduation</x:v>
      </x:c>
      <x:c r="D585" s="16" t="str">
        <x:v>Widow</x:v>
      </x:c>
      <x:c r="E585" s="16" t="n">
        <x:v>79800</x:v>
      </x:c>
      <x:c r="F585" s="16" t="n">
        <x:v>0</x:v>
      </x:c>
      <x:c r="G585" s="16" t="n">
        <x:v>0</x:v>
      </x:c>
      <x:c r="H585" s="16" t="str">
        <x:v>23-09-2012</x:v>
      </x:c>
      <x:c r="I585" s="16" t="n">
        <x:v>65</x:v>
      </x:c>
      <x:c r="J585" s="16" t="n">
        <x:v>1060</x:v>
      </x:c>
      <x:c r="K585" s="16" t="n">
        <x:v>21</x:v>
      </x:c>
      <x:c r="L585" s="16" t="n">
        <x:v>530</x:v>
      </x:c>
      <x:c r="M585" s="16" t="n">
        <x:v>32</x:v>
      </x:c>
      <x:c r="N585" s="16" t="n">
        <x:v>0</x:v>
      </x:c>
      <x:c r="O585" s="16" t="n">
        <x:v>224</x:v>
      </x:c>
      <x:c r="P585" s="16" t="n">
        <x:v>1</x:v>
      </x:c>
      <x:c r="Q585" s="16" t="n">
        <x:v>5</x:v>
      </x:c>
      <x:c r="R585" s="16" t="n">
        <x:v>11</x:v>
      </x:c>
      <x:c r="S585" s="16" t="n">
        <x:v>5</x:v>
      </x:c>
      <x:c r="T585" s="16" t="n">
        <x:v>3</x:v>
      </x:c>
      <x:c r="U585" s="16" t="n">
        <x:v>1</x:v>
      </x:c>
      <x:c r="V585" s="16" t="n">
        <x:v>0</x:v>
      </x:c>
      <x:c r="W585" s="16" t="n">
        <x:v>1</x:v>
      </x:c>
      <x:c r="X585" s="16" t="n">
        <x:v>1</x:v>
      </x:c>
      <x:c r="Y585" s="16" t="n">
        <x:v>0</x:v>
      </x:c>
      <x:c r="Z585" s="16" t="n">
        <x:v>0</x:v>
      </x:c>
      <x:c r="AA585" s="16" t="n">
        <x:v>3</x:v>
      </x:c>
      <x:c r="AB585" s="16" t="n">
        <x:v>11</x:v>
      </x:c>
      <x:c r="AC585" s="16" t="n">
        <x:v>1</x:v>
      </x:c>
      <x:c r="AD585" s="21" t="n">
        <x:f>IF(E585="",MEDIAN($E$2:$E$2237),E585)</x:f>
        <x:v>79800</x:v>
      </x:c>
      <x:c r="AE585" s="17" t="n">
        <x:f>2014-B585</x:f>
        <x:v>59</x:v>
      </x:c>
      <x:c r="AF585" s="17" t="n">
        <x:f>F585+G585</x:f>
        <x:v>0</x:v>
      </x:c>
      <x:c r="AG585" s="21" t="n">
        <x:f>SUM(J585:O585)</x:f>
        <x:v>1867</x:v>
      </x:c>
      <x:c r="AH585" s="17" t="n">
        <x:f>SUM(Q585:S585)</x:f>
        <x:v>21</x:v>
      </x:c>
      <x:c r="AI585" s="17" t="n">
        <x:f>SUM(U585:Y585)</x:f>
        <x:v>3</x:v>
      </x:c>
      <x:c r="AJ585" s="17" t="str">
        <x:f>IF(AE585&lt;=34,"≤34",IF(AE585&lt;=44,"35–44",IF(AE585&lt;=54,"45–54",IF(AE585&lt;=64,"55–64","65+"))))</x:f>
        <x:v>55–64</x:v>
      </x:c>
      <x:c r="AK585" s="17" t="str">
        <x:f>IF(AG585&gt;=1000,"High Value",IF(AG585&gt;=300,"Mid Value","Low Value"))</x:f>
        <x:v>High Value</x:v>
      </x:c>
      <x:c r="AL585" s="17" t="str">
        <x:f>IF(AND(AI585&gt;=1,I585&lt;=50),"Priority 1",IF(AND(AG585&gt;=1000,I585&lt;=60),"Priority 2",IF(I585&lt;=30,"Priority 3","Nurture")))</x:f>
        <x:v>Nurture</x:v>
      </x:c>
    </x:row>
    <x:row r="586">
      <x:c r="A586" s="16" t="n">
        <x:v>5057</x:v>
      </x:c>
      <x:c r="B586" s="16" t="n">
        <x:v>1961</x:v>
      </x:c>
      <x:c r="C586" s="16" t="str">
        <x:v>Master</x:v>
      </x:c>
      <x:c r="D586" s="16" t="str">
        <x:v>Married</x:v>
      </x:c>
      <x:c r="E586" s="16" t="n">
        <x:v>61794</x:v>
      </x:c>
      <x:c r="F586" s="16" t="n">
        <x:v>0</x:v>
      </x:c>
      <x:c r="G586" s="16" t="n">
        <x:v>1</x:v>
      </x:c>
      <x:c r="H586" s="16" t="str">
        <x:v>14-09-2013</x:v>
      </x:c>
      <x:c r="I586" s="16" t="n">
        <x:v>74</x:v>
      </x:c>
      <x:c r="J586" s="16" t="n">
        <x:v>264</x:v>
      </x:c>
      <x:c r="K586" s="16" t="n">
        <x:v>47</x:v>
      </x:c>
      <x:c r="L586" s="16" t="n">
        <x:v>188</x:v>
      </x:c>
      <x:c r="M586" s="16" t="n">
        <x:v>54</x:v>
      </x:c>
      <x:c r="N586" s="16" t="n">
        <x:v>47</x:v>
      </x:c>
      <x:c r="O586" s="16" t="n">
        <x:v>11</x:v>
      </x:c>
      <x:c r="P586" s="16" t="n">
        <x:v>2</x:v>
      </x:c>
      <x:c r="Q586" s="16" t="n">
        <x:v>4</x:v>
      </x:c>
      <x:c r="R586" s="16" t="n">
        <x:v>4</x:v>
      </x:c>
      <x:c r="S586" s="16" t="n">
        <x:v>10</x:v>
      </x:c>
      <x:c r="T586" s="16" t="n">
        <x:v>2</x:v>
      </x:c>
      <x:c r="U586" s="16" t="n">
        <x:v>0</x:v>
      </x:c>
      <x:c r="V586" s="16" t="n">
        <x:v>0</x:v>
      </x:c>
      <x:c r="W586" s="16" t="n">
        <x:v>0</x:v>
      </x:c>
      <x:c r="X586" s="16" t="n">
        <x:v>0</x:v>
      </x:c>
      <x:c r="Y586" s="16" t="n">
        <x:v>0</x:v>
      </x:c>
      <x:c r="Z586" s="16" t="n">
        <x:v>0</x:v>
      </x:c>
      <x:c r="AA586" s="16" t="n">
        <x:v>3</x:v>
      </x:c>
      <x:c r="AB586" s="16" t="n">
        <x:v>11</x:v>
      </x:c>
      <x:c r="AC586" s="16" t="n">
        <x:v>0</x:v>
      </x:c>
      <x:c r="AD586" s="21" t="n">
        <x:f>IF(E586="",MEDIAN($E$2:$E$2237),E586)</x:f>
        <x:v>61794</x:v>
      </x:c>
      <x:c r="AE586" s="17" t="n">
        <x:f>2014-B586</x:f>
        <x:v>53</x:v>
      </x:c>
      <x:c r="AF586" s="17" t="n">
        <x:f>F586+G586</x:f>
        <x:v>1</x:v>
      </x:c>
      <x:c r="AG586" s="21" t="n">
        <x:f>SUM(J586:O586)</x:f>
        <x:v>611</x:v>
      </x:c>
      <x:c r="AH586" s="17" t="n">
        <x:f>SUM(Q586:S586)</x:f>
        <x:v>18</x:v>
      </x:c>
      <x:c r="AI586" s="17" t="n">
        <x:f>SUM(U586:Y586)</x:f>
        <x:v>0</x:v>
      </x:c>
      <x:c r="AJ586" s="17" t="str">
        <x:f>IF(AE586&lt;=34,"≤34",IF(AE586&lt;=44,"35–44",IF(AE586&lt;=54,"45–54",IF(AE586&lt;=64,"55–64","65+"))))</x:f>
        <x:v>45–54</x:v>
      </x:c>
      <x:c r="AK586" s="17" t="str">
        <x:f>IF(AG586&gt;=1000,"High Value",IF(AG586&gt;=300,"Mid Value","Low Value"))</x:f>
        <x:v>Mid Value</x:v>
      </x:c>
      <x:c r="AL586" s="17" t="str">
        <x:f>IF(AND(AI586&gt;=1,I586&lt;=50),"Priority 1",IF(AND(AG586&gt;=1000,I586&lt;=60),"Priority 2",IF(I586&lt;=30,"Priority 3","Nurture")))</x:f>
        <x:v>Nurture</x:v>
      </x:c>
    </x:row>
    <x:row r="587">
      <x:c r="A587" s="16" t="n">
        <x:v>254</x:v>
      </x:c>
      <x:c r="B587" s="16" t="n">
        <x:v>1955</x:v>
      </x:c>
      <x:c r="C587" s="16" t="str">
        <x:v>Graduation</x:v>
      </x:c>
      <x:c r="D587" s="16" t="str">
        <x:v>Together</x:v>
      </x:c>
      <x:c r="E587" s="16" t="n">
        <x:v>53863</x:v>
      </x:c>
      <x:c r="F587" s="16" t="n">
        <x:v>0</x:v>
      </x:c>
      <x:c r="G587" s="16" t="n">
        <x:v>1</x:v>
      </x:c>
      <x:c r="H587" s="16" t="str">
        <x:v>17-05-2014</x:v>
      </x:c>
      <x:c r="I587" s="16" t="n">
        <x:v>4</x:v>
      </x:c>
      <x:c r="J587" s="16" t="n">
        <x:v>399</x:v>
      </x:c>
      <x:c r="K587" s="16" t="n">
        <x:v>4</x:v>
      </x:c>
      <x:c r="L587" s="16" t="n">
        <x:v>30</x:v>
      </x:c>
      <x:c r="M587" s="16" t="n">
        <x:v>6</x:v>
      </x:c>
      <x:c r="N587" s="16" t="n">
        <x:v>4</x:v>
      </x:c>
      <x:c r="O587" s="16" t="n">
        <x:v>30</x:v>
      </x:c>
      <x:c r="P587" s="16" t="n">
        <x:v>3</x:v>
      </x:c>
      <x:c r="Q587" s="16" t="n">
        <x:v>7</x:v>
      </x:c>
      <x:c r="R587" s="16" t="n">
        <x:v>1</x:v>
      </x:c>
      <x:c r="S587" s="16" t="n">
        <x:v>7</x:v>
      </x:c>
      <x:c r="T587" s="16" t="n">
        <x:v>7</x:v>
      </x:c>
      <x:c r="U587" s="16" t="n">
        <x:v>0</x:v>
      </x:c>
      <x:c r="V587" s="16" t="n">
        <x:v>1</x:v>
      </x:c>
      <x:c r="W587" s="16" t="n">
        <x:v>0</x:v>
      </x:c>
      <x:c r="X587" s="16" t="n">
        <x:v>0</x:v>
      </x:c>
      <x:c r="Y587" s="16" t="n">
        <x:v>0</x:v>
      </x:c>
      <x:c r="Z587" s="16" t="n">
        <x:v>0</x:v>
      </x:c>
      <x:c r="AA587" s="16" t="n">
        <x:v>3</x:v>
      </x:c>
      <x:c r="AB587" s="16" t="n">
        <x:v>11</x:v>
      </x:c>
      <x:c r="AC587" s="16" t="n">
        <x:v>0</x:v>
      </x:c>
      <x:c r="AD587" s="21" t="n">
        <x:f>IF(E587="",MEDIAN($E$2:$E$2237),E587)</x:f>
        <x:v>53863</x:v>
      </x:c>
      <x:c r="AE587" s="17" t="n">
        <x:f>2014-B587</x:f>
        <x:v>59</x:v>
      </x:c>
      <x:c r="AF587" s="17" t="n">
        <x:f>F587+G587</x:f>
        <x:v>1</x:v>
      </x:c>
      <x:c r="AG587" s="21" t="n">
        <x:f>SUM(J587:O587)</x:f>
        <x:v>473</x:v>
      </x:c>
      <x:c r="AH587" s="17" t="n">
        <x:f>SUM(Q587:S587)</x:f>
        <x:v>15</x:v>
      </x:c>
      <x:c r="AI587" s="17" t="n">
        <x:f>SUM(U587:Y587)</x:f>
        <x:v>1</x:v>
      </x:c>
      <x:c r="AJ587" s="17" t="str">
        <x:f>IF(AE587&lt;=34,"≤34",IF(AE587&lt;=44,"35–44",IF(AE587&lt;=54,"45–54",IF(AE587&lt;=64,"55–64","65+"))))</x:f>
        <x:v>55–64</x:v>
      </x:c>
      <x:c r="AK587" s="17" t="str">
        <x:f>IF(AG587&gt;=1000,"High Value",IF(AG587&gt;=300,"Mid Value","Low Value"))</x:f>
        <x:v>Mid Value</x:v>
      </x:c>
      <x:c r="AL587" s="17" t="str">
        <x:f>IF(AND(AI587&gt;=1,I587&lt;=50),"Priority 1",IF(AND(AG587&gt;=1000,I587&lt;=60),"Priority 2",IF(I587&lt;=30,"Priority 3","Nurture")))</x:f>
        <x:v>Priority 1</x:v>
      </x:c>
    </x:row>
    <x:row r="588">
      <x:c r="A588" s="16" t="n">
        <x:v>4179</x:v>
      </x:c>
      <x:c r="B588" s="16" t="n">
        <x:v>1959</x:v>
      </x:c>
      <x:c r="C588" s="16" t="str">
        <x:v>Graduation</x:v>
      </x:c>
      <x:c r="D588" s="16" t="str">
        <x:v>Together</x:v>
      </x:c>
      <x:c r="E588" s="16" t="n">
        <x:v>24221</x:v>
      </x:c>
      <x:c r="F588" s="16" t="n">
        <x:v>0</x:v>
      </x:c>
      <x:c r="G588" s="16" t="n">
        <x:v>0</x:v>
      </x:c>
      <x:c r="H588" s="16" t="str">
        <x:v>20-08-2013</x:v>
      </x:c>
      <x:c r="I588" s="16" t="n">
        <x:v>94</x:v>
      </x:c>
      <x:c r="J588" s="16" t="n">
        <x:v>8</x:v>
      </x:c>
      <x:c r="K588" s="16" t="n">
        <x:v>9</x:v>
      </x:c>
      <x:c r="L588" s="16" t="n">
        <x:v>9</x:v>
      </x:c>
      <x:c r="M588" s="16" t="n">
        <x:v>2</x:v>
      </x:c>
      <x:c r="N588" s="16" t="n">
        <x:v>5</x:v>
      </x:c>
      <x:c r="O588" s="16" t="n">
        <x:v>22</x:v>
      </x:c>
      <x:c r="P588" s="16" t="n">
        <x:v>1</x:v>
      </x:c>
      <x:c r="Q588" s="16" t="n">
        <x:v>1</x:v>
      </x:c>
      <x:c r="R588" s="16" t="n">
        <x:v>1</x:v>
      </x:c>
      <x:c r="S588" s="16" t="n">
        <x:v>3</x:v>
      </x:c>
      <x:c r="T588" s="16" t="n">
        <x:v>4</x:v>
      </x:c>
      <x:c r="U588" s="16" t="n">
        <x:v>0</x:v>
      </x:c>
      <x:c r="V588" s="16" t="n">
        <x:v>0</x:v>
      </x:c>
      <x:c r="W588" s="16" t="n">
        <x:v>0</x:v>
      </x:c>
      <x:c r="X588" s="16" t="n">
        <x:v>0</x:v>
      </x:c>
      <x:c r="Y588" s="16" t="n">
        <x:v>0</x:v>
      </x:c>
      <x:c r="Z588" s="16" t="n">
        <x:v>0</x:v>
      </x:c>
      <x:c r="AA588" s="16" t="n">
        <x:v>3</x:v>
      </x:c>
      <x:c r="AB588" s="16" t="n">
        <x:v>11</x:v>
      </x:c>
      <x:c r="AC588" s="16" t="n">
        <x:v>0</x:v>
      </x:c>
      <x:c r="AD588" s="21" t="n">
        <x:f>IF(E588="",MEDIAN($E$2:$E$2237),E588)</x:f>
        <x:v>24221</x:v>
      </x:c>
      <x:c r="AE588" s="17" t="n">
        <x:f>2014-B588</x:f>
        <x:v>55</x:v>
      </x:c>
      <x:c r="AF588" s="17" t="n">
        <x:f>F588+G588</x:f>
        <x:v>0</x:v>
      </x:c>
      <x:c r="AG588" s="21" t="n">
        <x:f>SUM(J588:O588)</x:f>
        <x:v>55</x:v>
      </x:c>
      <x:c r="AH588" s="17" t="n">
        <x:f>SUM(Q588:S588)</x:f>
        <x:v>5</x:v>
      </x:c>
      <x:c r="AI588" s="17" t="n">
        <x:f>SUM(U588:Y588)</x:f>
        <x:v>0</x:v>
      </x:c>
      <x:c r="AJ588" s="17" t="str">
        <x:f>IF(AE588&lt;=34,"≤34",IF(AE588&lt;=44,"35–44",IF(AE588&lt;=54,"45–54",IF(AE588&lt;=64,"55–64","65+"))))</x:f>
        <x:v>55–64</x:v>
      </x:c>
      <x:c r="AK588" s="17" t="str">
        <x:f>IF(AG588&gt;=1000,"High Value",IF(AG588&gt;=300,"Mid Value","Low Value"))</x:f>
        <x:v>Low Value</x:v>
      </x:c>
      <x:c r="AL588" s="17" t="str">
        <x:f>IF(AND(AI588&gt;=1,I588&lt;=50),"Priority 1",IF(AND(AG588&gt;=1000,I588&lt;=60),"Priority 2",IF(I588&lt;=30,"Priority 3","Nurture")))</x:f>
        <x:v>Nurture</x:v>
      </x:c>
    </x:row>
    <x:row r="589">
      <x:c r="A589" s="16" t="n">
        <x:v>3710</x:v>
      </x:c>
      <x:c r="B589" s="16" t="n">
        <x:v>1984</x:v>
      </x:c>
      <x:c r="C589" s="16" t="str">
        <x:v>PhD</x:v>
      </x:c>
      <x:c r="D589" s="16" t="str">
        <x:v>Single</x:v>
      </x:c>
      <x:c r="E589" s="16" t="n">
        <x:v>39684</x:v>
      </x:c>
      <x:c r="F589" s="16" t="n">
        <x:v>1</x:v>
      </x:c>
      <x:c r="G589" s="16" t="n">
        <x:v>0</x:v>
      </x:c>
      <x:c r="H589" s="16" t="str">
        <x:v>12-10-2012</x:v>
      </x:c>
      <x:c r="I589" s="16" t="n">
        <x:v>41</x:v>
      </x:c>
      <x:c r="J589" s="16" t="n">
        <x:v>19</x:v>
      </x:c>
      <x:c r="K589" s="16" t="n">
        <x:v>0</x:v>
      </x:c>
      <x:c r="L589" s="16" t="n">
        <x:v>35</x:v>
      </x:c>
      <x:c r="M589" s="16" t="n">
        <x:v>6</x:v>
      </x:c>
      <x:c r="N589" s="16" t="n">
        <x:v>4</x:v>
      </x:c>
      <x:c r="O589" s="16" t="n">
        <x:v>17</x:v>
      </x:c>
      <x:c r="P589" s="16" t="n">
        <x:v>2</x:v>
      </x:c>
      <x:c r="Q589" s="16" t="n">
        <x:v>2</x:v>
      </x:c>
      <x:c r="R589" s="16" t="n">
        <x:v>1</x:v>
      </x:c>
      <x:c r="S589" s="16" t="n">
        <x:v>2</x:v>
      </x:c>
      <x:c r="T589" s="16" t="n">
        <x:v>7</x:v>
      </x:c>
      <x:c r="U589" s="16" t="n">
        <x:v>0</x:v>
      </x:c>
      <x:c r="V589" s="16" t="n">
        <x:v>0</x:v>
      </x:c>
      <x:c r="W589" s="16" t="n">
        <x:v>0</x:v>
      </x:c>
      <x:c r="X589" s="16" t="n">
        <x:v>0</x:v>
      </x:c>
      <x:c r="Y589" s="16" t="n">
        <x:v>0</x:v>
      </x:c>
      <x:c r="Z589" s="16" t="n">
        <x:v>1</x:v>
      </x:c>
      <x:c r="AA589" s="16" t="n">
        <x:v>3</x:v>
      </x:c>
      <x:c r="AB589" s="16" t="n">
        <x:v>11</x:v>
      </x:c>
      <x:c r="AC589" s="16" t="n">
        <x:v>1</x:v>
      </x:c>
      <x:c r="AD589" s="21" t="n">
        <x:f>IF(E589="",MEDIAN($E$2:$E$2237),E589)</x:f>
        <x:v>39684</x:v>
      </x:c>
      <x:c r="AE589" s="17" t="n">
        <x:f>2014-B589</x:f>
        <x:v>30</x:v>
      </x:c>
      <x:c r="AF589" s="17" t="n">
        <x:f>F589+G589</x:f>
        <x:v>1</x:v>
      </x:c>
      <x:c r="AG589" s="21" t="n">
        <x:f>SUM(J589:O589)</x:f>
        <x:v>81</x:v>
      </x:c>
      <x:c r="AH589" s="17" t="n">
        <x:f>SUM(Q589:S589)</x:f>
        <x:v>5</x:v>
      </x:c>
      <x:c r="AI589" s="17" t="n">
        <x:f>SUM(U589:Y589)</x:f>
        <x:v>0</x:v>
      </x:c>
      <x:c r="AJ589" s="17" t="str">
        <x:f>IF(AE589&lt;=34,"≤34",IF(AE589&lt;=44,"35–44",IF(AE589&lt;=54,"45–54",IF(AE589&lt;=64,"55–64","65+"))))</x:f>
        <x:v>≤34</x:v>
      </x:c>
      <x:c r="AK589" s="17" t="str">
        <x:f>IF(AG589&gt;=1000,"High Value",IF(AG589&gt;=300,"Mid Value","Low Value"))</x:f>
        <x:v>Low Value</x:v>
      </x:c>
      <x:c r="AL589" s="17" t="str">
        <x:f>IF(AND(AI589&gt;=1,I589&lt;=50),"Priority 1",IF(AND(AG589&gt;=1000,I589&lt;=60),"Priority 2",IF(I589&lt;=30,"Priority 3","Nurture")))</x:f>
        <x:v>Nurture</x:v>
      </x:c>
    </x:row>
    <x:row r="590">
      <x:c r="A590" s="16" t="n">
        <x:v>7627</x:v>
      </x:c>
      <x:c r="B590" s="16" t="n">
        <x:v>1975</x:v>
      </x:c>
      <x:c r="C590" s="16" t="str">
        <x:v>Master</x:v>
      </x:c>
      <x:c r="D590" s="16" t="str">
        <x:v>Married</x:v>
      </x:c>
      <x:c r="E590" s="16" t="n">
        <x:v>92163</x:v>
      </x:c>
      <x:c r="F590" s="16" t="n">
        <x:v>0</x:v>
      </x:c>
      <x:c r="G590" s="16" t="n">
        <x:v>0</x:v>
      </x:c>
      <x:c r="H590" s="16" t="str">
        <x:v>12-12-2012</x:v>
      </x:c>
      <x:c r="I590" s="16" t="n">
        <x:v>25</x:v>
      </x:c>
      <x:c r="J590" s="16" t="n">
        <x:v>817</x:v>
      </x:c>
      <x:c r="K590" s="16" t="n">
        <x:v>183</x:v>
      </x:c>
      <x:c r="L590" s="16" t="n">
        <x:v>797</x:v>
      </x:c>
      <x:c r="M590" s="16" t="n">
        <x:v>106</x:v>
      </x:c>
      <x:c r="N590" s="16" t="n">
        <x:v>163</x:v>
      </x:c>
      <x:c r="O590" s="16" t="n">
        <x:v>20</x:v>
      </x:c>
      <x:c r="P590" s="16" t="n">
        <x:v>0</x:v>
      </x:c>
      <x:c r="Q590" s="16" t="n">
        <x:v>5</x:v>
      </x:c>
      <x:c r="R590" s="16" t="n">
        <x:v>11</x:v>
      </x:c>
      <x:c r="S590" s="16" t="n">
        <x:v>5</x:v>
      </x:c>
      <x:c r="T590" s="16" t="n">
        <x:v>2</x:v>
      </x:c>
      <x:c r="U590" s="16" t="n">
        <x:v>0</x:v>
      </x:c>
      <x:c r="V590" s="16" t="n">
        <x:v>0</x:v>
      </x:c>
      <x:c r="W590" s="16" t="n">
        <x:v>1</x:v>
      </x:c>
      <x:c r="X590" s="16" t="n">
        <x:v>1</x:v>
      </x:c>
      <x:c r="Y590" s="16" t="n">
        <x:v>0</x:v>
      </x:c>
      <x:c r="Z590" s="16" t="n">
        <x:v>0</x:v>
      </x:c>
      <x:c r="AA590" s="16" t="n">
        <x:v>3</x:v>
      </x:c>
      <x:c r="AB590" s="16" t="n">
        <x:v>11</x:v>
      </x:c>
      <x:c r="AC590" s="16" t="n">
        <x:v>1</x:v>
      </x:c>
      <x:c r="AD590" s="21" t="n">
        <x:f>IF(E590="",MEDIAN($E$2:$E$2237),E590)</x:f>
        <x:v>92163</x:v>
      </x:c>
      <x:c r="AE590" s="17" t="n">
        <x:f>2014-B590</x:f>
        <x:v>39</x:v>
      </x:c>
      <x:c r="AF590" s="17" t="n">
        <x:f>F590+G590</x:f>
        <x:v>0</x:v>
      </x:c>
      <x:c r="AG590" s="21" t="n">
        <x:f>SUM(J590:O590)</x:f>
        <x:v>2086</x:v>
      </x:c>
      <x:c r="AH590" s="17" t="n">
        <x:f>SUM(Q590:S590)</x:f>
        <x:v>21</x:v>
      </x:c>
      <x:c r="AI590" s="17" t="n">
        <x:f>SUM(U590:Y590)</x:f>
        <x:v>2</x:v>
      </x:c>
      <x:c r="AJ590" s="17" t="str">
        <x:f>IF(AE590&lt;=34,"≤34",IF(AE590&lt;=44,"35–44",IF(AE590&lt;=54,"45–54",IF(AE590&lt;=64,"55–64","65+"))))</x:f>
        <x:v>35–44</x:v>
      </x:c>
      <x:c r="AK590" s="17" t="str">
        <x:f>IF(AG590&gt;=1000,"High Value",IF(AG590&gt;=300,"Mid Value","Low Value"))</x:f>
        <x:v>High Value</x:v>
      </x:c>
      <x:c r="AL590" s="17" t="str">
        <x:f>IF(AND(AI590&gt;=1,I590&lt;=50),"Priority 1",IF(AND(AG590&gt;=1000,I590&lt;=60),"Priority 2",IF(I590&lt;=30,"Priority 3","Nurture")))</x:f>
        <x:v>Priority 1</x:v>
      </x:c>
    </x:row>
    <x:row r="591">
      <x:c r="A591" s="16" t="n">
        <x:v>4501</x:v>
      </x:c>
      <x:c r="B591" s="16" t="n">
        <x:v>1965</x:v>
      </x:c>
      <x:c r="C591" s="16" t="str">
        <x:v>Master</x:v>
      </x:c>
      <x:c r="D591" s="16" t="str">
        <x:v>Single</x:v>
      </x:c>
      <x:c r="E591" s="16" t="n">
        <x:v>69882</x:v>
      </x:c>
      <x:c r="F591" s="16" t="n">
        <x:v>0</x:v>
      </x:c>
      <x:c r="G591" s="16" t="n">
        <x:v>0</x:v>
      </x:c>
      <x:c r="H591" s="16" t="str">
        <x:v>10-11-2013</x:v>
      </x:c>
      <x:c r="I591" s="16" t="n">
        <x:v>94</x:v>
      </x:c>
      <x:c r="J591" s="16" t="n">
        <x:v>292</x:v>
      </x:c>
      <x:c r="K591" s="16" t="n">
        <x:v>127</x:v>
      </x:c>
      <x:c r="L591" s="16" t="n">
        <x:v>635</x:v>
      </x:c>
      <x:c r="M591" s="16" t="n">
        <x:v>132</x:v>
      </x:c>
      <x:c r="N591" s="16" t="n">
        <x:v>127</x:v>
      </x:c>
      <x:c r="O591" s="16" t="n">
        <x:v>165</x:v>
      </x:c>
      <x:c r="P591" s="16" t="n">
        <x:v>1</x:v>
      </x:c>
      <x:c r="Q591" s="16" t="n">
        <x:v>3</x:v>
      </x:c>
      <x:c r="R591" s="16" t="n">
        <x:v>7</x:v>
      </x:c>
      <x:c r="S591" s="16" t="n">
        <x:v>9</x:v>
      </x:c>
      <x:c r="T591" s="16" t="n">
        <x:v>1</x:v>
      </x:c>
      <x:c r="U591" s="16" t="n">
        <x:v>0</x:v>
      </x:c>
      <x:c r="V591" s="16" t="n">
        <x:v>0</x:v>
      </x:c>
      <x:c r="W591" s="16" t="n">
        <x:v>0</x:v>
      </x:c>
      <x:c r="X591" s="16" t="n">
        <x:v>0</x:v>
      </x:c>
      <x:c r="Y591" s="16" t="n">
        <x:v>0</x:v>
      </x:c>
      <x:c r="Z591" s="16" t="n">
        <x:v>0</x:v>
      </x:c>
      <x:c r="AA591" s="16" t="n">
        <x:v>3</x:v>
      </x:c>
      <x:c r="AB591" s="16" t="n">
        <x:v>11</x:v>
      </x:c>
      <x:c r="AC591" s="16" t="n">
        <x:v>0</x:v>
      </x:c>
      <x:c r="AD591" s="21" t="n">
        <x:f>IF(E591="",MEDIAN($E$2:$E$2237),E591)</x:f>
        <x:v>69882</x:v>
      </x:c>
      <x:c r="AE591" s="17" t="n">
        <x:f>2014-B591</x:f>
        <x:v>49</x:v>
      </x:c>
      <x:c r="AF591" s="17" t="n">
        <x:f>F591+G591</x:f>
        <x:v>0</x:v>
      </x:c>
      <x:c r="AG591" s="21" t="n">
        <x:f>SUM(J591:O591)</x:f>
        <x:v>1478</x:v>
      </x:c>
      <x:c r="AH591" s="17" t="n">
        <x:f>SUM(Q591:S591)</x:f>
        <x:v>19</x:v>
      </x:c>
      <x:c r="AI591" s="17" t="n">
        <x:f>SUM(U591:Y591)</x:f>
        <x:v>0</x:v>
      </x:c>
      <x:c r="AJ591" s="17" t="str">
        <x:f>IF(AE591&lt;=34,"≤34",IF(AE591&lt;=44,"35–44",IF(AE591&lt;=54,"45–54",IF(AE591&lt;=64,"55–64","65+"))))</x:f>
        <x:v>45–54</x:v>
      </x:c>
      <x:c r="AK591" s="17" t="str">
        <x:f>IF(AG591&gt;=1000,"High Value",IF(AG591&gt;=300,"Mid Value","Low Value"))</x:f>
        <x:v>High Value</x:v>
      </x:c>
      <x:c r="AL591" s="17" t="str">
        <x:f>IF(AND(AI591&gt;=1,I591&lt;=50),"Priority 1",IF(AND(AG591&gt;=1000,I591&lt;=60),"Priority 2",IF(I591&lt;=30,"Priority 3","Nurture")))</x:f>
        <x:v>Nurture</x:v>
      </x:c>
    </x:row>
    <x:row r="592">
      <x:c r="A592" s="16" t="n">
        <x:v>6424</x:v>
      </x:c>
      <x:c r="B592" s="16" t="n">
        <x:v>1977</x:v>
      </x:c>
      <x:c r="C592" s="16" t="str">
        <x:v>Graduation</x:v>
      </x:c>
      <x:c r="D592" s="16" t="str">
        <x:v>Together</x:v>
      </x:c>
      <x:c r="E592" s="16" t="n">
        <x:v>33178</x:v>
      </x:c>
      <x:c r="F592" s="16" t="n">
        <x:v>1</x:v>
      </x:c>
      <x:c r="G592" s="16" t="n">
        <x:v>0</x:v>
      </x:c>
      <x:c r="H592" s="16" t="str">
        <x:v>30-01-2014</x:v>
      </x:c>
      <x:c r="I592" s="16" t="n">
        <x:v>9</x:v>
      </x:c>
      <x:c r="J592" s="16" t="n">
        <x:v>12</x:v>
      </x:c>
      <x:c r="K592" s="16" t="n">
        <x:v>6</x:v>
      </x:c>
      <x:c r="L592" s="16" t="n">
        <x:v>2</x:v>
      </x:c>
      <x:c r="M592" s="16" t="n">
        <x:v>11</x:v>
      </x:c>
      <x:c r="N592" s="16" t="n">
        <x:v>2</x:v>
      </x:c>
      <x:c r="O592" s="16" t="n">
        <x:v>16</x:v>
      </x:c>
      <x:c r="P592" s="16" t="n">
        <x:v>1</x:v>
      </x:c>
      <x:c r="Q592" s="16" t="n">
        <x:v>1</x:v>
      </x:c>
      <x:c r="R592" s="16" t="n">
        <x:v>0</x:v>
      </x:c>
      <x:c r="S592" s="16" t="n">
        <x:v>3</x:v>
      </x:c>
      <x:c r="T592" s="16" t="n">
        <x:v>4</x:v>
      </x:c>
      <x:c r="U592" s="16" t="n">
        <x:v>0</x:v>
      </x:c>
      <x:c r="V592" s="16" t="n">
        <x:v>0</x:v>
      </x:c>
      <x:c r="W592" s="16" t="n">
        <x:v>0</x:v>
      </x:c>
      <x:c r="X592" s="16" t="n">
        <x:v>0</x:v>
      </x:c>
      <x:c r="Y592" s="16" t="n">
        <x:v>0</x:v>
      </x:c>
      <x:c r="Z592" s="16" t="n">
        <x:v>0</x:v>
      </x:c>
      <x:c r="AA592" s="16" t="n">
        <x:v>3</x:v>
      </x:c>
      <x:c r="AB592" s="16" t="n">
        <x:v>11</x:v>
      </x:c>
      <x:c r="AC592" s="16" t="n">
        <x:v>0</x:v>
      </x:c>
      <x:c r="AD592" s="21" t="n">
        <x:f>IF(E592="",MEDIAN($E$2:$E$2237),E592)</x:f>
        <x:v>33178</x:v>
      </x:c>
      <x:c r="AE592" s="17" t="n">
        <x:f>2014-B592</x:f>
        <x:v>37</x:v>
      </x:c>
      <x:c r="AF592" s="17" t="n">
        <x:f>F592+G592</x:f>
        <x:v>1</x:v>
      </x:c>
      <x:c r="AG592" s="21" t="n">
        <x:f>SUM(J592:O592)</x:f>
        <x:v>49</x:v>
      </x:c>
      <x:c r="AH592" s="17" t="n">
        <x:f>SUM(Q592:S592)</x:f>
        <x:v>4</x:v>
      </x:c>
      <x:c r="AI592" s="17" t="n">
        <x:f>SUM(U592:Y592)</x:f>
        <x:v>0</x:v>
      </x:c>
      <x:c r="AJ592" s="17" t="str">
        <x:f>IF(AE592&lt;=34,"≤34",IF(AE592&lt;=44,"35–44",IF(AE592&lt;=54,"45–54",IF(AE592&lt;=64,"55–64","65+"))))</x:f>
        <x:v>35–44</x:v>
      </x:c>
      <x:c r="AK592" s="17" t="str">
        <x:f>IF(AG592&gt;=1000,"High Value",IF(AG592&gt;=300,"Mid Value","Low Value"))</x:f>
        <x:v>Low Value</x:v>
      </x:c>
      <x:c r="AL592" s="17" t="str">
        <x:f>IF(AND(AI592&gt;=1,I592&lt;=50),"Priority 1",IF(AND(AG592&gt;=1000,I592&lt;=60),"Priority 2",IF(I592&lt;=30,"Priority 3","Nurture")))</x:f>
        <x:v>Priority 3</x:v>
      </x:c>
    </x:row>
    <x:row r="593">
      <x:c r="A593" s="16" t="n">
        <x:v>3075</x:v>
      </x:c>
      <x:c r="B593" s="16" t="n">
        <x:v>1972</x:v>
      </x:c>
      <x:c r="C593" s="16" t="str">
        <x:v>PhD</x:v>
      </x:c>
      <x:c r="D593" s="16" t="str">
        <x:v>Married</x:v>
      </x:c>
      <x:c r="E593" s="16" t="n">
        <x:v>59973</x:v>
      </x:c>
      <x:c r="F593" s="16" t="n">
        <x:v>0</x:v>
      </x:c>
      <x:c r="G593" s="16" t="n">
        <x:v>0</x:v>
      </x:c>
      <x:c r="H593" s="16" t="str">
        <x:v>11-09-2013</x:v>
      </x:c>
      <x:c r="I593" s="16" t="n">
        <x:v>47</x:v>
      </x:c>
      <x:c r="J593" s="16" t="n">
        <x:v>130</x:v>
      </x:c>
      <x:c r="K593" s="16" t="n">
        <x:v>30</x:v>
      </x:c>
      <x:c r="L593" s="16" t="n">
        <x:v>168</x:v>
      </x:c>
      <x:c r="M593" s="16" t="n">
        <x:v>20</x:v>
      </x:c>
      <x:c r="N593" s="16" t="n">
        <x:v>34</x:v>
      </x:c>
      <x:c r="O593" s="16" t="n">
        <x:v>0</x:v>
      </x:c>
      <x:c r="P593" s="16" t="n">
        <x:v>1</x:v>
      </x:c>
      <x:c r="Q593" s="16" t="n">
        <x:v>3</x:v>
      </x:c>
      <x:c r="R593" s="16" t="n">
        <x:v>4</x:v>
      </x:c>
      <x:c r="S593" s="16" t="n">
        <x:v>7</x:v>
      </x:c>
      <x:c r="T593" s="16" t="n">
        <x:v>1</x:v>
      </x:c>
      <x:c r="U593" s="16" t="n">
        <x:v>0</x:v>
      </x:c>
      <x:c r="V593" s="16" t="n">
        <x:v>0</x:v>
      </x:c>
      <x:c r="W593" s="16" t="n">
        <x:v>0</x:v>
      </x:c>
      <x:c r="X593" s="16" t="n">
        <x:v>0</x:v>
      </x:c>
      <x:c r="Y593" s="16" t="n">
        <x:v>0</x:v>
      </x:c>
      <x:c r="Z593" s="16" t="n">
        <x:v>0</x:v>
      </x:c>
      <x:c r="AA593" s="16" t="n">
        <x:v>3</x:v>
      </x:c>
      <x:c r="AB593" s="16" t="n">
        <x:v>11</x:v>
      </x:c>
      <x:c r="AC593" s="16" t="n">
        <x:v>0</x:v>
      </x:c>
      <x:c r="AD593" s="21" t="n">
        <x:f>IF(E593="",MEDIAN($E$2:$E$2237),E593)</x:f>
        <x:v>59973</x:v>
      </x:c>
      <x:c r="AE593" s="17" t="n">
        <x:f>2014-B593</x:f>
        <x:v>42</x:v>
      </x:c>
      <x:c r="AF593" s="17" t="n">
        <x:f>F593+G593</x:f>
        <x:v>0</x:v>
      </x:c>
      <x:c r="AG593" s="21" t="n">
        <x:f>SUM(J593:O593)</x:f>
        <x:v>382</x:v>
      </x:c>
      <x:c r="AH593" s="17" t="n">
        <x:f>SUM(Q593:S593)</x:f>
        <x:v>14</x:v>
      </x:c>
      <x:c r="AI593" s="17" t="n">
        <x:f>SUM(U593:Y593)</x:f>
        <x:v>0</x:v>
      </x:c>
      <x:c r="AJ593" s="17" t="str">
        <x:f>IF(AE593&lt;=34,"≤34",IF(AE593&lt;=44,"35–44",IF(AE593&lt;=54,"45–54",IF(AE593&lt;=64,"55–64","65+"))))</x:f>
        <x:v>35–44</x:v>
      </x:c>
      <x:c r="AK593" s="17" t="str">
        <x:f>IF(AG593&gt;=1000,"High Value",IF(AG593&gt;=300,"Mid Value","Low Value"))</x:f>
        <x:v>Mid Value</x:v>
      </x:c>
      <x:c r="AL593" s="17" t="str">
        <x:f>IF(AND(AI593&gt;=1,I593&lt;=50),"Priority 1",IF(AND(AG593&gt;=1000,I593&lt;=60),"Priority 2",IF(I593&lt;=30,"Priority 3","Nurture")))</x:f>
        <x:v>Nurture</x:v>
      </x:c>
    </x:row>
    <x:row r="594">
      <x:c r="A594" s="16" t="n">
        <x:v>4992</x:v>
      </x:c>
      <x:c r="B594" s="16" t="n">
        <x:v>1975</x:v>
      </x:c>
      <x:c r="C594" s="16" t="str">
        <x:v>Master</x:v>
      </x:c>
      <x:c r="D594" s="16" t="str">
        <x:v>Together</x:v>
      </x:c>
      <x:c r="E594" s="16" t="n">
        <x:v>17459</x:v>
      </x:c>
      <x:c r="F594" s="16" t="n">
        <x:v>1</x:v>
      </x:c>
      <x:c r="G594" s="16" t="n">
        <x:v>0</x:v>
      </x:c>
      <x:c r="H594" s="16" t="str">
        <x:v>19-09-2013</x:v>
      </x:c>
      <x:c r="I594" s="16" t="n">
        <x:v>12</x:v>
      </x:c>
      <x:c r="J594" s="16" t="n">
        <x:v>6</x:v>
      </x:c>
      <x:c r="K594" s="16" t="n">
        <x:v>4</x:v>
      </x:c>
      <x:c r="L594" s="16" t="n">
        <x:v>16</x:v>
      </x:c>
      <x:c r="M594" s="16" t="n">
        <x:v>3</x:v>
      </x:c>
      <x:c r="N594" s="16" t="n">
        <x:v>10</x:v>
      </x:c>
      <x:c r="O594" s="16" t="n">
        <x:v>30</x:v>
      </x:c>
      <x:c r="P594" s="16" t="n">
        <x:v>3</x:v>
      </x:c>
      <x:c r="Q594" s="16" t="n">
        <x:v>3</x:v>
      </x:c>
      <x:c r="R594" s="16" t="n">
        <x:v>1</x:v>
      </x:c>
      <x:c r="S594" s="16" t="n">
        <x:v>2</x:v>
      </x:c>
      <x:c r="T594" s="16" t="n">
        <x:v>7</x:v>
      </x:c>
      <x:c r="U594" s="16" t="n">
        <x:v>0</x:v>
      </x:c>
      <x:c r="V594" s="16" t="n">
        <x:v>0</x:v>
      </x:c>
      <x:c r="W594" s="16" t="n">
        <x:v>0</x:v>
      </x:c>
      <x:c r="X594" s="16" t="n">
        <x:v>0</x:v>
      </x:c>
      <x:c r="Y594" s="16" t="n">
        <x:v>0</x:v>
      </x:c>
      <x:c r="Z594" s="16" t="n">
        <x:v>0</x:v>
      </x:c>
      <x:c r="AA594" s="16" t="n">
        <x:v>3</x:v>
      </x:c>
      <x:c r="AB594" s="16" t="n">
        <x:v>11</x:v>
      </x:c>
      <x:c r="AC594" s="16" t="n">
        <x:v>1</x:v>
      </x:c>
      <x:c r="AD594" s="21" t="n">
        <x:f>IF(E594="",MEDIAN($E$2:$E$2237),E594)</x:f>
        <x:v>17459</x:v>
      </x:c>
      <x:c r="AE594" s="17" t="n">
        <x:f>2014-B594</x:f>
        <x:v>39</x:v>
      </x:c>
      <x:c r="AF594" s="17" t="n">
        <x:f>F594+G594</x:f>
        <x:v>1</x:v>
      </x:c>
      <x:c r="AG594" s="21" t="n">
        <x:f>SUM(J594:O594)</x:f>
        <x:v>69</x:v>
      </x:c>
      <x:c r="AH594" s="17" t="n">
        <x:f>SUM(Q594:S594)</x:f>
        <x:v>6</x:v>
      </x:c>
      <x:c r="AI594" s="17" t="n">
        <x:f>SUM(U594:Y594)</x:f>
        <x:v>0</x:v>
      </x:c>
      <x:c r="AJ594" s="17" t="str">
        <x:f>IF(AE594&lt;=34,"≤34",IF(AE594&lt;=44,"35–44",IF(AE594&lt;=54,"45–54",IF(AE594&lt;=64,"55–64","65+"))))</x:f>
        <x:v>35–44</x:v>
      </x:c>
      <x:c r="AK594" s="17" t="str">
        <x:f>IF(AG594&gt;=1000,"High Value",IF(AG594&gt;=300,"Mid Value","Low Value"))</x:f>
        <x:v>Low Value</x:v>
      </x:c>
      <x:c r="AL594" s="17" t="str">
        <x:f>IF(AND(AI594&gt;=1,I594&lt;=50),"Priority 1",IF(AND(AG594&gt;=1000,I594&lt;=60),"Priority 2",IF(I594&lt;=30,"Priority 3","Nurture")))</x:f>
        <x:v>Priority 3</x:v>
      </x:c>
    </x:row>
    <x:row r="595">
      <x:c r="A595" s="16" t="n">
        <x:v>5252</x:v>
      </x:c>
      <x:c r="B595" s="16" t="n">
        <x:v>1969</x:v>
      </x:c>
      <x:c r="C595" s="16" t="str">
        <x:v>Graduation</x:v>
      </x:c>
      <x:c r="D595" s="16" t="str">
        <x:v>Divorced</x:v>
      </x:c>
      <x:c r="E595" s="16" t="n">
        <x:v>23910</x:v>
      </x:c>
      <x:c r="F595" s="16" t="n">
        <x:v>1</x:v>
      </x:c>
      <x:c r="G595" s="16" t="n">
        <x:v>0</x:v>
      </x:c>
      <x:c r="H595" s="16" t="str">
        <x:v>26-10-2012</x:v>
      </x:c>
      <x:c r="I595" s="16" t="n">
        <x:v>80</x:v>
      </x:c>
      <x:c r="J595" s="16" t="n">
        <x:v>16</x:v>
      </x:c>
      <x:c r="K595" s="16" t="n">
        <x:v>12</x:v>
      </x:c>
      <x:c r="L595" s="16" t="n">
        <x:v>18</x:v>
      </x:c>
      <x:c r="M595" s="16" t="n">
        <x:v>7</x:v>
      </x:c>
      <x:c r="N595" s="16" t="n">
        <x:v>1</x:v>
      </x:c>
      <x:c r="O595" s="16" t="n">
        <x:v>13</x:v>
      </x:c>
      <x:c r="P595" s="16" t="n">
        <x:v>1</x:v>
      </x:c>
      <x:c r="Q595" s="16" t="n">
        <x:v>2</x:v>
      </x:c>
      <x:c r="R595" s="16" t="n">
        <x:v>0</x:v>
      </x:c>
      <x:c r="S595" s="16" t="n">
        <x:v>3</x:v>
      </x:c>
      <x:c r="T595" s="16" t="n">
        <x:v>7</x:v>
      </x:c>
      <x:c r="U595" s="16" t="n">
        <x:v>0</x:v>
      </x:c>
      <x:c r="V595" s="16" t="n">
        <x:v>0</x:v>
      </x:c>
      <x:c r="W595" s="16" t="n">
        <x:v>0</x:v>
      </x:c>
      <x:c r="X595" s="16" t="n">
        <x:v>0</x:v>
      </x:c>
      <x:c r="Y595" s="16" t="n">
        <x:v>0</x:v>
      </x:c>
      <x:c r="Z595" s="16" t="n">
        <x:v>0</x:v>
      </x:c>
      <x:c r="AA595" s="16" t="n">
        <x:v>3</x:v>
      </x:c>
      <x:c r="AB595" s="16" t="n">
        <x:v>11</x:v>
      </x:c>
      <x:c r="AC595" s="16" t="n">
        <x:v>0</x:v>
      </x:c>
      <x:c r="AD595" s="21" t="n">
        <x:f>IF(E595="",MEDIAN($E$2:$E$2237),E595)</x:f>
        <x:v>23910</x:v>
      </x:c>
      <x:c r="AE595" s="17" t="n">
        <x:f>2014-B595</x:f>
        <x:v>45</x:v>
      </x:c>
      <x:c r="AF595" s="17" t="n">
        <x:f>F595+G595</x:f>
        <x:v>1</x:v>
      </x:c>
      <x:c r="AG595" s="21" t="n">
        <x:f>SUM(J595:O595)</x:f>
        <x:v>67</x:v>
      </x:c>
      <x:c r="AH595" s="17" t="n">
        <x:f>SUM(Q595:S595)</x:f>
        <x:v>5</x:v>
      </x:c>
      <x:c r="AI595" s="17" t="n">
        <x:f>SUM(U595:Y595)</x:f>
        <x:v>0</x:v>
      </x:c>
      <x:c r="AJ595" s="17" t="str">
        <x:f>IF(AE595&lt;=34,"≤34",IF(AE595&lt;=44,"35–44",IF(AE595&lt;=54,"45–54",IF(AE595&lt;=64,"55–64","65+"))))</x:f>
        <x:v>45–54</x:v>
      </x:c>
      <x:c r="AK595" s="17" t="str">
        <x:f>IF(AG595&gt;=1000,"High Value",IF(AG595&gt;=300,"Mid Value","Low Value"))</x:f>
        <x:v>Low Value</x:v>
      </x:c>
      <x:c r="AL595" s="17" t="str">
        <x:f>IF(AND(AI595&gt;=1,I595&lt;=50),"Priority 1",IF(AND(AG595&gt;=1000,I595&lt;=60),"Priority 2",IF(I595&lt;=30,"Priority 3","Nurture")))</x:f>
        <x:v>Nurture</x:v>
      </x:c>
    </x:row>
    <x:row r="596">
      <x:c r="A596" s="16" t="n">
        <x:v>7444</x:v>
      </x:c>
      <x:c r="B596" s="16" t="n">
        <x:v>1969</x:v>
      </x:c>
      <x:c r="C596" s="16" t="str">
        <x:v>Master</x:v>
      </x:c>
      <x:c r="D596" s="16" t="str">
        <x:v>Married</x:v>
      </x:c>
      <x:c r="E596" s="16" t="n">
        <x:v>42169</x:v>
      </x:c>
      <x:c r="F596" s="16" t="n">
        <x:v>1</x:v>
      </x:c>
      <x:c r="G596" s="16" t="n">
        <x:v>1</x:v>
      </x:c>
      <x:c r="H596" s="16" t="str">
        <x:v>19-10-2013</x:v>
      </x:c>
      <x:c r="I596" s="16" t="n">
        <x:v>20</x:v>
      </x:c>
      <x:c r="J596" s="16" t="n">
        <x:v>19</x:v>
      </x:c>
      <x:c r="K596" s="16" t="n">
        <x:v>0</x:v>
      </x:c>
      <x:c r="L596" s="16" t="n">
        <x:v>9</x:v>
      </x:c>
      <x:c r="M596" s="16" t="n">
        <x:v>0</x:v>
      </x:c>
      <x:c r="N596" s="16" t="n">
        <x:v>0</x:v>
      </x:c>
      <x:c r="O596" s="16" t="n">
        <x:v>2</x:v>
      </x:c>
      <x:c r="P596" s="16" t="n">
        <x:v>2</x:v>
      </x:c>
      <x:c r="Q596" s="16" t="n">
        <x:v>1</x:v>
      </x:c>
      <x:c r="R596" s="16" t="n">
        <x:v>0</x:v>
      </x:c>
      <x:c r="S596" s="16" t="n">
        <x:v>3</x:v>
      </x:c>
      <x:c r="T596" s="16" t="n">
        <x:v>8</x:v>
      </x:c>
      <x:c r="U596" s="16" t="n">
        <x:v>0</x:v>
      </x:c>
      <x:c r="V596" s="16" t="n">
        <x:v>0</x:v>
      </x:c>
      <x:c r="W596" s="16" t="n">
        <x:v>0</x:v>
      </x:c>
      <x:c r="X596" s="16" t="n">
        <x:v>0</x:v>
      </x:c>
      <x:c r="Y596" s="16" t="n">
        <x:v>0</x:v>
      </x:c>
      <x:c r="Z596" s="16" t="n">
        <x:v>0</x:v>
      </x:c>
      <x:c r="AA596" s="16" t="n">
        <x:v>3</x:v>
      </x:c>
      <x:c r="AB596" s="16" t="n">
        <x:v>11</x:v>
      </x:c>
      <x:c r="AC596" s="16" t="n">
        <x:v>0</x:v>
      </x:c>
      <x:c r="AD596" s="21" t="n">
        <x:f>IF(E596="",MEDIAN($E$2:$E$2237),E596)</x:f>
        <x:v>42169</x:v>
      </x:c>
      <x:c r="AE596" s="17" t="n">
        <x:f>2014-B596</x:f>
        <x:v>45</x:v>
      </x:c>
      <x:c r="AF596" s="17" t="n">
        <x:f>F596+G596</x:f>
        <x:v>2</x:v>
      </x:c>
      <x:c r="AG596" s="21" t="n">
        <x:f>SUM(J596:O596)</x:f>
        <x:v>30</x:v>
      </x:c>
      <x:c r="AH596" s="17" t="n">
        <x:f>SUM(Q596:S596)</x:f>
        <x:v>4</x:v>
      </x:c>
      <x:c r="AI596" s="17" t="n">
        <x:f>SUM(U596:Y596)</x:f>
        <x:v>0</x:v>
      </x:c>
      <x:c r="AJ596" s="17" t="str">
        <x:f>IF(AE596&lt;=34,"≤34",IF(AE596&lt;=44,"35–44",IF(AE596&lt;=54,"45–54",IF(AE596&lt;=64,"55–64","65+"))))</x:f>
        <x:v>45–54</x:v>
      </x:c>
      <x:c r="AK596" s="17" t="str">
        <x:f>IF(AG596&gt;=1000,"High Value",IF(AG596&gt;=300,"Mid Value","Low Value"))</x:f>
        <x:v>Low Value</x:v>
      </x:c>
      <x:c r="AL596" s="17" t="str">
        <x:f>IF(AND(AI596&gt;=1,I596&lt;=50),"Priority 1",IF(AND(AG596&gt;=1000,I596&lt;=60),"Priority 2",IF(I596&lt;=30,"Priority 3","Nurture")))</x:f>
        <x:v>Priority 3</x:v>
      </x:c>
    </x:row>
    <x:row r="597">
      <x:c r="A597" s="16" t="n">
        <x:v>6919</x:v>
      </x:c>
      <x:c r="B597" s="16" t="n">
        <x:v>1978</x:v>
      </x:c>
      <x:c r="C597" s="16" t="str">
        <x:v>2n Cycle</x:v>
      </x:c>
      <x:c r="D597" s="16" t="str">
        <x:v>Married</x:v>
      </x:c>
      <x:c r="E597" s="16" t="n">
        <x:v>26224</x:v>
      </x:c>
      <x:c r="F597" s="16" t="n">
        <x:v>1</x:v>
      </x:c>
      <x:c r="G597" s="16" t="n">
        <x:v>0</x:v>
      </x:c>
      <x:c r="H597" s="16" t="str">
        <x:v>04-06-2013</x:v>
      </x:c>
      <x:c r="I597" s="16" t="n">
        <x:v>39</x:v>
      </x:c>
      <x:c r="J597" s="16" t="n">
        <x:v>4</x:v>
      </x:c>
      <x:c r="K597" s="16" t="n">
        <x:v>7</x:v>
      </x:c>
      <x:c r="L597" s="16" t="n">
        <x:v>15</x:v>
      </x:c>
      <x:c r="M597" s="16" t="n">
        <x:v>13</x:v>
      </x:c>
      <x:c r="N597" s="16" t="n">
        <x:v>9</x:v>
      </x:c>
      <x:c r="O597" s="16" t="n">
        <x:v>15</x:v>
      </x:c>
      <x:c r="P597" s="16" t="n">
        <x:v>3</x:v>
      </x:c>
      <x:c r="Q597" s="16" t="n">
        <x:v>2</x:v>
      </x:c>
      <x:c r="R597" s="16" t="n">
        <x:v>1</x:v>
      </x:c>
      <x:c r="S597" s="16" t="n">
        <x:v>3</x:v>
      </x:c>
      <x:c r="T597" s="16" t="n">
        <x:v>6</x:v>
      </x:c>
      <x:c r="U597" s="16" t="n">
        <x:v>0</x:v>
      </x:c>
      <x:c r="V597" s="16" t="n">
        <x:v>0</x:v>
      </x:c>
      <x:c r="W597" s="16" t="n">
        <x:v>0</x:v>
      </x:c>
      <x:c r="X597" s="16" t="n">
        <x:v>0</x:v>
      </x:c>
      <x:c r="Y597" s="16" t="n">
        <x:v>0</x:v>
      </x:c>
      <x:c r="Z597" s="16" t="n">
        <x:v>0</x:v>
      </x:c>
      <x:c r="AA597" s="16" t="n">
        <x:v>3</x:v>
      </x:c>
      <x:c r="AB597" s="16" t="n">
        <x:v>11</x:v>
      </x:c>
      <x:c r="AC597" s="16" t="n">
        <x:v>0</x:v>
      </x:c>
      <x:c r="AD597" s="21" t="n">
        <x:f>IF(E597="",MEDIAN($E$2:$E$2237),E597)</x:f>
        <x:v>26224</x:v>
      </x:c>
      <x:c r="AE597" s="17" t="n">
        <x:f>2014-B597</x:f>
        <x:v>36</x:v>
      </x:c>
      <x:c r="AF597" s="17" t="n">
        <x:f>F597+G597</x:f>
        <x:v>1</x:v>
      </x:c>
      <x:c r="AG597" s="21" t="n">
        <x:f>SUM(J597:O597)</x:f>
        <x:v>63</x:v>
      </x:c>
      <x:c r="AH597" s="17" t="n">
        <x:f>SUM(Q597:S597)</x:f>
        <x:v>6</x:v>
      </x:c>
      <x:c r="AI597" s="17" t="n">
        <x:f>SUM(U597:Y597)</x:f>
        <x:v>0</x:v>
      </x:c>
      <x:c r="AJ597" s="17" t="str">
        <x:f>IF(AE597&lt;=34,"≤34",IF(AE597&lt;=44,"35–44",IF(AE597&lt;=54,"45–54",IF(AE597&lt;=64,"55–64","65+"))))</x:f>
        <x:v>35–44</x:v>
      </x:c>
      <x:c r="AK597" s="17" t="str">
        <x:f>IF(AG597&gt;=1000,"High Value",IF(AG597&gt;=300,"Mid Value","Low Value"))</x:f>
        <x:v>Low Value</x:v>
      </x:c>
      <x:c r="AL597" s="17" t="str">
        <x:f>IF(AND(AI597&gt;=1,I597&lt;=50),"Priority 1",IF(AND(AG597&gt;=1000,I597&lt;=60),"Priority 2",IF(I597&lt;=30,"Priority 3","Nurture")))</x:f>
        <x:v>Nurture</x:v>
      </x:c>
    </x:row>
    <x:row r="598">
      <x:c r="A598" s="16" t="n">
        <x:v>3537</x:v>
      </x:c>
      <x:c r="B598" s="16" t="n">
        <x:v>1981</x:v>
      </x:c>
      <x:c r="C598" s="16" t="str">
        <x:v>Graduation</x:v>
      </x:c>
      <x:c r="D598" s="16" t="str">
        <x:v>Together</x:v>
      </x:c>
      <x:c r="E598" s="16" t="n">
        <x:v>31089</x:v>
      </x:c>
      <x:c r="F598" s="16" t="n">
        <x:v>1</x:v>
      </x:c>
      <x:c r="G598" s="16" t="n">
        <x:v>0</x:v>
      </x:c>
      <x:c r="H598" s="16" t="str">
        <x:v>17-08-2012</x:v>
      </x:c>
      <x:c r="I598" s="16" t="n">
        <x:v>57</x:v>
      </x:c>
      <x:c r="J598" s="16" t="n">
        <x:v>31</x:v>
      </x:c>
      <x:c r="K598" s="16" t="n">
        <x:v>3</x:v>
      </x:c>
      <x:c r="L598" s="16" t="n">
        <x:v>31</x:v>
      </x:c>
      <x:c r="M598" s="16" t="n">
        <x:v>2</x:v>
      </x:c>
      <x:c r="N598" s="16" t="n">
        <x:v>8</x:v>
      </x:c>
      <x:c r="O598" s="16" t="n">
        <x:v>4</x:v>
      </x:c>
      <x:c r="P598" s="16" t="n">
        <x:v>3</x:v>
      </x:c>
      <x:c r="Q598" s="16" t="n">
        <x:v>3</x:v>
      </x:c>
      <x:c r="R598" s="16" t="n">
        <x:v>0</x:v>
      </x:c>
      <x:c r="S598" s="16" t="n">
        <x:v>4</x:v>
      </x:c>
      <x:c r="T598" s="16" t="n">
        <x:v>8</x:v>
      </x:c>
      <x:c r="U598" s="16" t="n">
        <x:v>0</x:v>
      </x:c>
      <x:c r="V598" s="16" t="n">
        <x:v>0</x:v>
      </x:c>
      <x:c r="W598" s="16" t="n">
        <x:v>0</x:v>
      </x:c>
      <x:c r="X598" s="16" t="n">
        <x:v>0</x:v>
      </x:c>
      <x:c r="Y598" s="16" t="n">
        <x:v>0</x:v>
      </x:c>
      <x:c r="Z598" s="16" t="n">
        <x:v>0</x:v>
      </x:c>
      <x:c r="AA598" s="16" t="n">
        <x:v>3</x:v>
      </x:c>
      <x:c r="AB598" s="16" t="n">
        <x:v>11</x:v>
      </x:c>
      <x:c r="AC598" s="16" t="n">
        <x:v>0</x:v>
      </x:c>
      <x:c r="AD598" s="21" t="n">
        <x:f>IF(E598="",MEDIAN($E$2:$E$2237),E598)</x:f>
        <x:v>31089</x:v>
      </x:c>
      <x:c r="AE598" s="17" t="n">
        <x:f>2014-B598</x:f>
        <x:v>33</x:v>
      </x:c>
      <x:c r="AF598" s="17" t="n">
        <x:f>F598+G598</x:f>
        <x:v>1</x:v>
      </x:c>
      <x:c r="AG598" s="21" t="n">
        <x:f>SUM(J598:O598)</x:f>
        <x:v>79</x:v>
      </x:c>
      <x:c r="AH598" s="17" t="n">
        <x:f>SUM(Q598:S598)</x:f>
        <x:v>7</x:v>
      </x:c>
      <x:c r="AI598" s="17" t="n">
        <x:f>SUM(U598:Y598)</x:f>
        <x:v>0</x:v>
      </x:c>
      <x:c r="AJ598" s="17" t="str">
        <x:f>IF(AE598&lt;=34,"≤34",IF(AE598&lt;=44,"35–44",IF(AE598&lt;=54,"45–54",IF(AE598&lt;=64,"55–64","65+"))))</x:f>
        <x:v>≤34</x:v>
      </x:c>
      <x:c r="AK598" s="17" t="str">
        <x:f>IF(AG598&gt;=1000,"High Value",IF(AG598&gt;=300,"Mid Value","Low Value"))</x:f>
        <x:v>Low Value</x:v>
      </x:c>
      <x:c r="AL598" s="17" t="str">
        <x:f>IF(AND(AI598&gt;=1,I598&lt;=50),"Priority 1",IF(AND(AG598&gt;=1000,I598&lt;=60),"Priority 2",IF(I598&lt;=30,"Priority 3","Nurture")))</x:f>
        <x:v>Nurture</x:v>
      </x:c>
    </x:row>
    <x:row r="599">
      <x:c r="A599" s="16" t="n">
        <x:v>10277</x:v>
      </x:c>
      <x:c r="B599" s="16" t="n">
        <x:v>1961</x:v>
      </x:c>
      <x:c r="C599" s="16" t="str">
        <x:v>Graduation</x:v>
      </x:c>
      <x:c r="D599" s="16" t="str">
        <x:v>Single</x:v>
      </x:c>
      <x:c r="E599" s="16" t="n">
        <x:v>30081</x:v>
      </x:c>
      <x:c r="F599" s="16" t="n">
        <x:v>0</x:v>
      </x:c>
      <x:c r="G599" s="16" t="n">
        <x:v>1</x:v>
      </x:c>
      <x:c r="H599" s="16" t="str">
        <x:v>21-02-2013</x:v>
      </x:c>
      <x:c r="I599" s="16" t="n">
        <x:v>27</x:v>
      </x:c>
      <x:c r="J599" s="16" t="n">
        <x:v>36</x:v>
      </x:c>
      <x:c r="K599" s="16" t="n">
        <x:v>0</x:v>
      </x:c>
      <x:c r="L599" s="16" t="n">
        <x:v>2</x:v>
      </x:c>
      <x:c r="M599" s="16" t="n">
        <x:v>0</x:v>
      </x:c>
      <x:c r="N599" s="16" t="n">
        <x:v>0</x:v>
      </x:c>
      <x:c r="O599" s="16" t="n">
        <x:v>4</x:v>
      </x:c>
      <x:c r="P599" s="16" t="n">
        <x:v>1</x:v>
      </x:c>
      <x:c r="Q599" s="16" t="n">
        <x:v>1</x:v>
      </x:c>
      <x:c r="R599" s="16" t="n">
        <x:v>0</x:v>
      </x:c>
      <x:c r="S599" s="16" t="n">
        <x:v>3</x:v>
      </x:c>
      <x:c r="T599" s="16" t="n">
        <x:v>7</x:v>
      </x:c>
      <x:c r="U599" s="16" t="n">
        <x:v>0</x:v>
      </x:c>
      <x:c r="V599" s="16" t="n">
        <x:v>0</x:v>
      </x:c>
      <x:c r="W599" s="16" t="n">
        <x:v>0</x:v>
      </x:c>
      <x:c r="X599" s="16" t="n">
        <x:v>0</x:v>
      </x:c>
      <x:c r="Y599" s="16" t="n">
        <x:v>0</x:v>
      </x:c>
      <x:c r="Z599" s="16" t="n">
        <x:v>0</x:v>
      </x:c>
      <x:c r="AA599" s="16" t="n">
        <x:v>3</x:v>
      </x:c>
      <x:c r="AB599" s="16" t="n">
        <x:v>11</x:v>
      </x:c>
      <x:c r="AC599" s="16" t="n">
        <x:v>0</x:v>
      </x:c>
      <x:c r="AD599" s="21" t="n">
        <x:f>IF(E599="",MEDIAN($E$2:$E$2237),E599)</x:f>
        <x:v>30081</x:v>
      </x:c>
      <x:c r="AE599" s="17" t="n">
        <x:f>2014-B599</x:f>
        <x:v>53</x:v>
      </x:c>
      <x:c r="AF599" s="17" t="n">
        <x:f>F599+G599</x:f>
        <x:v>1</x:v>
      </x:c>
      <x:c r="AG599" s="21" t="n">
        <x:f>SUM(J599:O599)</x:f>
        <x:v>42</x:v>
      </x:c>
      <x:c r="AH599" s="17" t="n">
        <x:f>SUM(Q599:S599)</x:f>
        <x:v>4</x:v>
      </x:c>
      <x:c r="AI599" s="17" t="n">
        <x:f>SUM(U599:Y599)</x:f>
        <x:v>0</x:v>
      </x:c>
      <x:c r="AJ599" s="17" t="str">
        <x:f>IF(AE599&lt;=34,"≤34",IF(AE599&lt;=44,"35–44",IF(AE599&lt;=54,"45–54",IF(AE599&lt;=64,"55–64","65+"))))</x:f>
        <x:v>45–54</x:v>
      </x:c>
      <x:c r="AK599" s="17" t="str">
        <x:f>IF(AG599&gt;=1000,"High Value",IF(AG599&gt;=300,"Mid Value","Low Value"))</x:f>
        <x:v>Low Value</x:v>
      </x:c>
      <x:c r="AL599" s="17" t="str">
        <x:f>IF(AND(AI599&gt;=1,I599&lt;=50),"Priority 1",IF(AND(AG599&gt;=1000,I599&lt;=60),"Priority 2",IF(I599&lt;=30,"Priority 3","Nurture")))</x:f>
        <x:v>Priority 3</x:v>
      </x:c>
    </x:row>
    <x:row r="600">
      <x:c r="A600" s="16" t="n">
        <x:v>2453</x:v>
      </x:c>
      <x:c r="B600" s="16" t="n">
        <x:v>1960</x:v>
      </x:c>
      <x:c r="C600" s="16" t="str">
        <x:v>Graduation</x:v>
      </x:c>
      <x:c r="D600" s="16" t="str">
        <x:v>Together</x:v>
      </x:c>
      <x:c r="E600" s="16" t="n">
        <x:v>62807</x:v>
      </x:c>
      <x:c r="F600" s="16" t="n">
        <x:v>0</x:v>
      </x:c>
      <x:c r="G600" s="16" t="n">
        <x:v>1</x:v>
      </x:c>
      <x:c r="H600" s="16" t="str">
        <x:v>31-08-2012</x:v>
      </x:c>
      <x:c r="I600" s="16" t="n">
        <x:v>83</x:v>
      </x:c>
      <x:c r="J600" s="16" t="n">
        <x:v>526</x:v>
      </x:c>
      <x:c r="K600" s="16" t="n">
        <x:v>28</x:v>
      </x:c>
      <x:c r="L600" s="16" t="n">
        <x:v>135</x:v>
      </x:c>
      <x:c r="M600" s="16" t="n">
        <x:v>10</x:v>
      </x:c>
      <x:c r="N600" s="16" t="n">
        <x:v>21</x:v>
      </x:c>
      <x:c r="O600" s="16" t="n">
        <x:v>99</x:v>
      </x:c>
      <x:c r="P600" s="16" t="n">
        <x:v>3</x:v>
      </x:c>
      <x:c r="Q600" s="16" t="n">
        <x:v>5</x:v>
      </x:c>
      <x:c r="R600" s="16" t="n">
        <x:v>3</x:v>
      </x:c>
      <x:c r="S600" s="16" t="n">
        <x:v>12</x:v>
      </x:c>
      <x:c r="T600" s="16" t="n">
        <x:v>5</x:v>
      </x:c>
      <x:c r="U600" s="16" t="n">
        <x:v>0</x:v>
      </x:c>
      <x:c r="V600" s="16" t="n">
        <x:v>0</x:v>
      </x:c>
      <x:c r="W600" s="16" t="n">
        <x:v>0</x:v>
      </x:c>
      <x:c r="X600" s="16" t="n">
        <x:v>0</x:v>
      </x:c>
      <x:c r="Y600" s="16" t="n">
        <x:v>0</x:v>
      </x:c>
      <x:c r="Z600" s="16" t="n">
        <x:v>0</x:v>
      </x:c>
      <x:c r="AA600" s="16" t="n">
        <x:v>3</x:v>
      </x:c>
      <x:c r="AB600" s="16" t="n">
        <x:v>11</x:v>
      </x:c>
      <x:c r="AC600" s="16" t="n">
        <x:v>0</x:v>
      </x:c>
      <x:c r="AD600" s="21" t="n">
        <x:f>IF(E600="",MEDIAN($E$2:$E$2237),E600)</x:f>
        <x:v>62807</x:v>
      </x:c>
      <x:c r="AE600" s="17" t="n">
        <x:f>2014-B600</x:f>
        <x:v>54</x:v>
      </x:c>
      <x:c r="AF600" s="17" t="n">
        <x:f>F600+G600</x:f>
        <x:v>1</x:v>
      </x:c>
      <x:c r="AG600" s="21" t="n">
        <x:f>SUM(J600:O600)</x:f>
        <x:v>819</x:v>
      </x:c>
      <x:c r="AH600" s="17" t="n">
        <x:f>SUM(Q600:S600)</x:f>
        <x:v>20</x:v>
      </x:c>
      <x:c r="AI600" s="17" t="n">
        <x:f>SUM(U600:Y600)</x:f>
        <x:v>0</x:v>
      </x:c>
      <x:c r="AJ600" s="17" t="str">
        <x:f>IF(AE600&lt;=34,"≤34",IF(AE600&lt;=44,"35–44",IF(AE600&lt;=54,"45–54",IF(AE600&lt;=64,"55–64","65+"))))</x:f>
        <x:v>45–54</x:v>
      </x:c>
      <x:c r="AK600" s="17" t="str">
        <x:f>IF(AG600&gt;=1000,"High Value",IF(AG600&gt;=300,"Mid Value","Low Value"))</x:f>
        <x:v>Mid Value</x:v>
      </x:c>
      <x:c r="AL600" s="17" t="str">
        <x:f>IF(AND(AI600&gt;=1,I600&lt;=50),"Priority 1",IF(AND(AG600&gt;=1000,I600&lt;=60),"Priority 2",IF(I600&lt;=30,"Priority 3","Nurture")))</x:f>
        <x:v>Nurture</x:v>
      </x:c>
    </x:row>
    <x:row r="601">
      <x:c r="A601" s="16" t="n">
        <x:v>7972</x:v>
      </x:c>
      <x:c r="B601" s="16" t="n">
        <x:v>1955</x:v>
      </x:c>
      <x:c r="C601" s="16" t="str">
        <x:v>Graduation</x:v>
      </x:c>
      <x:c r="D601" s="16" t="str">
        <x:v>Single</x:v>
      </x:c>
      <x:c r="E601" s="16" t="n">
        <x:v>72906</x:v>
      </x:c>
      <x:c r="F601" s="16" t="n">
        <x:v>0</x:v>
      </x:c>
      <x:c r="G601" s="16" t="n">
        <x:v>0</x:v>
      </x:c>
      <x:c r="H601" s="16" t="str">
        <x:v>17-09-2013</x:v>
      </x:c>
      <x:c r="I601" s="16" t="n">
        <x:v>79</x:v>
      </x:c>
      <x:c r="J601" s="16" t="n">
        <x:v>400</x:v>
      </x:c>
      <x:c r="K601" s="16" t="n">
        <x:v>32</x:v>
      </x:c>
      <x:c r="L601" s="16" t="n">
        <x:v>519</x:v>
      </x:c>
      <x:c r="M601" s="16" t="n">
        <x:v>71</x:v>
      </x:c>
      <x:c r="N601" s="16" t="n">
        <x:v>75</x:v>
      </x:c>
      <x:c r="O601" s="16" t="n">
        <x:v>54</x:v>
      </x:c>
      <x:c r="P601" s="16" t="n">
        <x:v>1</x:v>
      </x:c>
      <x:c r="Q601" s="16" t="n">
        <x:v>3</x:v>
      </x:c>
      <x:c r="R601" s="16" t="n">
        <x:v>4</x:v>
      </x:c>
      <x:c r="S601" s="16" t="n">
        <x:v>9</x:v>
      </x:c>
      <x:c r="T601" s="16" t="n">
        <x:v>1</x:v>
      </x:c>
      <x:c r="U601" s="16" t="n">
        <x:v>0</x:v>
      </x:c>
      <x:c r="V601" s="16" t="n">
        <x:v>0</x:v>
      </x:c>
      <x:c r="W601" s="16" t="n">
        <x:v>0</x:v>
      </x:c>
      <x:c r="X601" s="16" t="n">
        <x:v>0</x:v>
      </x:c>
      <x:c r="Y601" s="16" t="n">
        <x:v>0</x:v>
      </x:c>
      <x:c r="Z601" s="16" t="n">
        <x:v>0</x:v>
      </x:c>
      <x:c r="AA601" s="16" t="n">
        <x:v>3</x:v>
      </x:c>
      <x:c r="AB601" s="16" t="n">
        <x:v>11</x:v>
      </x:c>
      <x:c r="AC601" s="16" t="n">
        <x:v>0</x:v>
      </x:c>
      <x:c r="AD601" s="21" t="n">
        <x:f>IF(E601="",MEDIAN($E$2:$E$2237),E601)</x:f>
        <x:v>72906</x:v>
      </x:c>
      <x:c r="AE601" s="17" t="n">
        <x:f>2014-B601</x:f>
        <x:v>59</x:v>
      </x:c>
      <x:c r="AF601" s="17" t="n">
        <x:f>F601+G601</x:f>
        <x:v>0</x:v>
      </x:c>
      <x:c r="AG601" s="21" t="n">
        <x:f>SUM(J601:O601)</x:f>
        <x:v>1151</x:v>
      </x:c>
      <x:c r="AH601" s="17" t="n">
        <x:f>SUM(Q601:S601)</x:f>
        <x:v>16</x:v>
      </x:c>
      <x:c r="AI601" s="17" t="n">
        <x:f>SUM(U601:Y601)</x:f>
        <x:v>0</x:v>
      </x:c>
      <x:c r="AJ601" s="17" t="str">
        <x:f>IF(AE601&lt;=34,"≤34",IF(AE601&lt;=44,"35–44",IF(AE601&lt;=54,"45–54",IF(AE601&lt;=64,"55–64","65+"))))</x:f>
        <x:v>55–64</x:v>
      </x:c>
      <x:c r="AK601" s="17" t="str">
        <x:f>IF(AG601&gt;=1000,"High Value",IF(AG601&gt;=300,"Mid Value","Low Value"))</x:f>
        <x:v>High Value</x:v>
      </x:c>
      <x:c r="AL601" s="17" t="str">
        <x:f>IF(AND(AI601&gt;=1,I601&lt;=50),"Priority 1",IF(AND(AG601&gt;=1000,I601&lt;=60),"Priority 2",IF(I601&lt;=30,"Priority 3","Nurture")))</x:f>
        <x:v>Nurture</x:v>
      </x:c>
    </x:row>
    <x:row r="602">
      <x:c r="A602" s="16" t="n">
        <x:v>895</x:v>
      </x:c>
      <x:c r="B602" s="16" t="n">
        <x:v>1948</x:v>
      </x:c>
      <x:c r="C602" s="16" t="str">
        <x:v>PhD</x:v>
      </x:c>
      <x:c r="D602" s="16" t="str">
        <x:v>Married</x:v>
      </x:c>
      <x:c r="E602" s="16" t="n">
        <x:v>61467</x:v>
      </x:c>
      <x:c r="F602" s="16" t="n">
        <x:v>0</x:v>
      </x:c>
      <x:c r="G602" s="16" t="n">
        <x:v>2</x:v>
      </x:c>
      <x:c r="H602" s="16" t="str">
        <x:v>09-12-2012</x:v>
      </x:c>
      <x:c r="I602" s="16" t="n">
        <x:v>69</x:v>
      </x:c>
      <x:c r="J602" s="16" t="n">
        <x:v>410</x:v>
      </x:c>
      <x:c r="K602" s="16" t="n">
        <x:v>16</x:v>
      </x:c>
      <x:c r="L602" s="16" t="n">
        <x:v>114</x:v>
      </x:c>
      <x:c r="M602" s="16" t="n">
        <x:v>0</x:v>
      </x:c>
      <x:c r="N602" s="16" t="n">
        <x:v>5</x:v>
      </x:c>
      <x:c r="O602" s="16" t="n">
        <x:v>49</x:v>
      </x:c>
      <x:c r="P602" s="16" t="n">
        <x:v>3</x:v>
      </x:c>
      <x:c r="Q602" s="16" t="n">
        <x:v>5</x:v>
      </x:c>
      <x:c r="R602" s="16" t="n">
        <x:v>2</x:v>
      </x:c>
      <x:c r="S602" s="16" t="n">
        <x:v>10</x:v>
      </x:c>
      <x:c r="T602" s="16" t="n">
        <x:v>5</x:v>
      </x:c>
      <x:c r="U602" s="16" t="n">
        <x:v>0</x:v>
      </x:c>
      <x:c r="V602" s="16" t="n">
        <x:v>0</x:v>
      </x:c>
      <x:c r="W602" s="16" t="n">
        <x:v>0</x:v>
      </x:c>
      <x:c r="X602" s="16" t="n">
        <x:v>0</x:v>
      </x:c>
      <x:c r="Y602" s="16" t="n">
        <x:v>0</x:v>
      </x:c>
      <x:c r="Z602" s="16" t="n">
        <x:v>0</x:v>
      </x:c>
      <x:c r="AA602" s="16" t="n">
        <x:v>3</x:v>
      </x:c>
      <x:c r="AB602" s="16" t="n">
        <x:v>11</x:v>
      </x:c>
      <x:c r="AC602" s="16" t="n">
        <x:v>0</x:v>
      </x:c>
      <x:c r="AD602" s="21" t="n">
        <x:f>IF(E602="",MEDIAN($E$2:$E$2237),E602)</x:f>
        <x:v>61467</x:v>
      </x:c>
      <x:c r="AE602" s="17" t="n">
        <x:f>2014-B602</x:f>
        <x:v>66</x:v>
      </x:c>
      <x:c r="AF602" s="17" t="n">
        <x:f>F602+G602</x:f>
        <x:v>2</x:v>
      </x:c>
      <x:c r="AG602" s="21" t="n">
        <x:f>SUM(J602:O602)</x:f>
        <x:v>594</x:v>
      </x:c>
      <x:c r="AH602" s="17" t="n">
        <x:f>SUM(Q602:S602)</x:f>
        <x:v>17</x:v>
      </x:c>
      <x:c r="AI602" s="17" t="n">
        <x:f>SUM(U602:Y602)</x:f>
        <x:v>0</x:v>
      </x:c>
      <x:c r="AJ602" s="17" t="str">
        <x:f>IF(AE602&lt;=34,"≤34",IF(AE602&lt;=44,"35–44",IF(AE602&lt;=54,"45–54",IF(AE602&lt;=64,"55–64","65+"))))</x:f>
        <x:v>65+</x:v>
      </x:c>
      <x:c r="AK602" s="17" t="str">
        <x:f>IF(AG602&gt;=1000,"High Value",IF(AG602&gt;=300,"Mid Value","Low Value"))</x:f>
        <x:v>Mid Value</x:v>
      </x:c>
      <x:c r="AL602" s="17" t="str">
        <x:f>IF(AND(AI602&gt;=1,I602&lt;=50),"Priority 1",IF(AND(AG602&gt;=1000,I602&lt;=60),"Priority 2",IF(I602&lt;=30,"Priority 3","Nurture")))</x:f>
        <x:v>Nurture</x:v>
      </x:c>
    </x:row>
    <x:row r="603">
      <x:c r="A603" s="16" t="n">
        <x:v>1177</x:v>
      </x:c>
      <x:c r="B603" s="16" t="n">
        <x:v>1966</x:v>
      </x:c>
      <x:c r="C603" s="16" t="str">
        <x:v>Master</x:v>
      </x:c>
      <x:c r="D603" s="16" t="str">
        <x:v>Together</x:v>
      </x:c>
      <x:c r="E603" s="16" t="n">
        <x:v>49618</x:v>
      </x:c>
      <x:c r="F603" s="16" t="n">
        <x:v>1</x:v>
      </x:c>
      <x:c r="G603" s="16" t="n">
        <x:v>1</x:v>
      </x:c>
      <x:c r="H603" s="16" t="str">
        <x:v>26-01-2013</x:v>
      </x:c>
      <x:c r="I603" s="16" t="n">
        <x:v>77</x:v>
      </x:c>
      <x:c r="J603" s="16" t="n">
        <x:v>80</x:v>
      </x:c>
      <x:c r="K603" s="16" t="n">
        <x:v>3</x:v>
      </x:c>
      <x:c r="L603" s="16" t="n">
        <x:v>26</x:v>
      </x:c>
      <x:c r="M603" s="16" t="n">
        <x:v>4</x:v>
      </x:c>
      <x:c r="N603" s="16" t="n">
        <x:v>2</x:v>
      </x:c>
      <x:c r="O603" s="16" t="n">
        <x:v>14</x:v>
      </x:c>
      <x:c r="P603" s="16" t="n">
        <x:v>4</x:v>
      </x:c>
      <x:c r="Q603" s="16" t="n">
        <x:v>3</x:v>
      </x:c>
      <x:c r="R603" s="16" t="n">
        <x:v>1</x:v>
      </x:c>
      <x:c r="S603" s="16" t="n">
        <x:v>3</x:v>
      </x:c>
      <x:c r="T603" s="16" t="n">
        <x:v>7</x:v>
      </x:c>
      <x:c r="U603" s="16" t="n">
        <x:v>0</x:v>
      </x:c>
      <x:c r="V603" s="16" t="n">
        <x:v>0</x:v>
      </x:c>
      <x:c r="W603" s="16" t="n">
        <x:v>0</x:v>
      </x:c>
      <x:c r="X603" s="16" t="n">
        <x:v>0</x:v>
      </x:c>
      <x:c r="Y603" s="16" t="n">
        <x:v>0</x:v>
      </x:c>
      <x:c r="Z603" s="16" t="n">
        <x:v>0</x:v>
      </x:c>
      <x:c r="AA603" s="16" t="n">
        <x:v>3</x:v>
      </x:c>
      <x:c r="AB603" s="16" t="n">
        <x:v>11</x:v>
      </x:c>
      <x:c r="AC603" s="16" t="n">
        <x:v>0</x:v>
      </x:c>
      <x:c r="AD603" s="21" t="n">
        <x:f>IF(E603="",MEDIAN($E$2:$E$2237),E603)</x:f>
        <x:v>49618</x:v>
      </x:c>
      <x:c r="AE603" s="17" t="n">
        <x:f>2014-B603</x:f>
        <x:v>48</x:v>
      </x:c>
      <x:c r="AF603" s="17" t="n">
        <x:f>F603+G603</x:f>
        <x:v>2</x:v>
      </x:c>
      <x:c r="AG603" s="21" t="n">
        <x:f>SUM(J603:O603)</x:f>
        <x:v>129</x:v>
      </x:c>
      <x:c r="AH603" s="17" t="n">
        <x:f>SUM(Q603:S603)</x:f>
        <x:v>7</x:v>
      </x:c>
      <x:c r="AI603" s="17" t="n">
        <x:f>SUM(U603:Y603)</x:f>
        <x:v>0</x:v>
      </x:c>
      <x:c r="AJ603" s="17" t="str">
        <x:f>IF(AE603&lt;=34,"≤34",IF(AE603&lt;=44,"35–44",IF(AE603&lt;=54,"45–54",IF(AE603&lt;=64,"55–64","65+"))))</x:f>
        <x:v>45–54</x:v>
      </x:c>
      <x:c r="AK603" s="17" t="str">
        <x:f>IF(AG603&gt;=1000,"High Value",IF(AG603&gt;=300,"Mid Value","Low Value"))</x:f>
        <x:v>Low Value</x:v>
      </x:c>
      <x:c r="AL603" s="17" t="str">
        <x:f>IF(AND(AI603&gt;=1,I603&lt;=50),"Priority 1",IF(AND(AG603&gt;=1000,I603&lt;=60),"Priority 2",IF(I603&lt;=30,"Priority 3","Nurture")))</x:f>
        <x:v>Nurture</x:v>
      </x:c>
    </x:row>
    <x:row r="604">
      <x:c r="A604" s="16" t="n">
        <x:v>7141</x:v>
      </x:c>
      <x:c r="B604" s="16" t="n">
        <x:v>1986</x:v>
      </x:c>
      <x:c r="C604" s="16" t="str">
        <x:v>Master</x:v>
      </x:c>
      <x:c r="D604" s="16" t="str">
        <x:v>Single</x:v>
      </x:c>
      <x:c r="E604" s="16" t="n">
        <x:v>21888</x:v>
      </x:c>
      <x:c r="F604" s="16" t="n">
        <x:v>1</x:v>
      </x:c>
      <x:c r="G604" s="16" t="n">
        <x:v>0</x:v>
      </x:c>
      <x:c r="H604" s="16" t="str">
        <x:v>29-12-2012</x:v>
      </x:c>
      <x:c r="I604" s="16" t="n">
        <x:v>15</x:v>
      </x:c>
      <x:c r="J604" s="16" t="n">
        <x:v>88</x:v>
      </x:c>
      <x:c r="K604" s="16" t="n">
        <x:v>10</x:v>
      </x:c>
      <x:c r="L604" s="16" t="n">
        <x:v>46</x:v>
      </x:c>
      <x:c r="M604" s="16" t="n">
        <x:v>2</x:v>
      </x:c>
      <x:c r="N604" s="16" t="n">
        <x:v>3</x:v>
      </x:c>
      <x:c r="O604" s="16" t="n">
        <x:v>64</x:v>
      </x:c>
      <x:c r="P604" s="16" t="n">
        <x:v>4</x:v>
      </x:c>
      <x:c r="Q604" s="16" t="n">
        <x:v>5</x:v>
      </x:c>
      <x:c r="R604" s="16" t="n">
        <x:v>1</x:v>
      </x:c>
      <x:c r="S604" s="16" t="n">
        <x:v>2</x:v>
      </x:c>
      <x:c r="T604" s="16" t="n">
        <x:v>10</x:v>
      </x:c>
      <x:c r="U604" s="16" t="n">
        <x:v>0</x:v>
      </x:c>
      <x:c r="V604" s="16" t="n">
        <x:v>0</x:v>
      </x:c>
      <x:c r="W604" s="16" t="n">
        <x:v>0</x:v>
      </x:c>
      <x:c r="X604" s="16" t="n">
        <x:v>0</x:v>
      </x:c>
      <x:c r="Y604" s="16" t="n">
        <x:v>0</x:v>
      </x:c>
      <x:c r="Z604" s="16" t="n">
        <x:v>0</x:v>
      </x:c>
      <x:c r="AA604" s="16" t="n">
        <x:v>3</x:v>
      </x:c>
      <x:c r="AB604" s="16" t="n">
        <x:v>11</x:v>
      </x:c>
      <x:c r="AC604" s="16" t="n">
        <x:v>1</x:v>
      </x:c>
      <x:c r="AD604" s="21" t="n">
        <x:f>IF(E604="",MEDIAN($E$2:$E$2237),E604)</x:f>
        <x:v>21888</x:v>
      </x:c>
      <x:c r="AE604" s="17" t="n">
        <x:f>2014-B604</x:f>
        <x:v>28</x:v>
      </x:c>
      <x:c r="AF604" s="17" t="n">
        <x:f>F604+G604</x:f>
        <x:v>1</x:v>
      </x:c>
      <x:c r="AG604" s="21" t="n">
        <x:f>SUM(J604:O604)</x:f>
        <x:v>213</x:v>
      </x:c>
      <x:c r="AH604" s="17" t="n">
        <x:f>SUM(Q604:S604)</x:f>
        <x:v>8</x:v>
      </x:c>
      <x:c r="AI604" s="17" t="n">
        <x:f>SUM(U604:Y604)</x:f>
        <x:v>0</x:v>
      </x:c>
      <x:c r="AJ604" s="17" t="str">
        <x:f>IF(AE604&lt;=34,"≤34",IF(AE604&lt;=44,"35–44",IF(AE604&lt;=54,"45–54",IF(AE604&lt;=64,"55–64","65+"))))</x:f>
        <x:v>≤34</x:v>
      </x:c>
      <x:c r="AK604" s="17" t="str">
        <x:f>IF(AG604&gt;=1000,"High Value",IF(AG604&gt;=300,"Mid Value","Low Value"))</x:f>
        <x:v>Low Value</x:v>
      </x:c>
      <x:c r="AL604" s="17" t="str">
        <x:f>IF(AND(AI604&gt;=1,I604&lt;=50),"Priority 1",IF(AND(AG604&gt;=1000,I604&lt;=60),"Priority 2",IF(I604&lt;=30,"Priority 3","Nurture")))</x:f>
        <x:v>Priority 3</x:v>
      </x:c>
    </x:row>
    <x:row r="605">
      <x:c r="A605" s="16" t="n">
        <x:v>7232</x:v>
      </x:c>
      <x:c r="B605" s="16" t="n">
        <x:v>1973</x:v>
      </x:c>
      <x:c r="C605" s="16" t="str">
        <x:v>Graduation</x:v>
      </x:c>
      <x:c r="D605" s="16" t="str">
        <x:v>Widow</x:v>
      </x:c>
      <x:c r="E605" s="16" t="n">
        <x:v>42429</x:v>
      </x:c>
      <x:c r="F605" s="16" t="n">
        <x:v>0</x:v>
      </x:c>
      <x:c r="G605" s="16" t="n">
        <x:v>1</x:v>
      </x:c>
      <x:c r="H605" s="16" t="str">
        <x:v>11-02-2014</x:v>
      </x:c>
      <x:c r="I605" s="16" t="n">
        <x:v>99</x:v>
      </x:c>
      <x:c r="J605" s="16" t="n">
        <x:v>55</x:v>
      </x:c>
      <x:c r="K605" s="16" t="n">
        <x:v>0</x:v>
      </x:c>
      <x:c r="L605" s="16" t="n">
        <x:v>6</x:v>
      </x:c>
      <x:c r="M605" s="16" t="n">
        <x:v>2</x:v>
      </x:c>
      <x:c r="N605" s="16" t="n">
        <x:v>0</x:v>
      </x:c>
      <x:c r="O605" s="16" t="n">
        <x:v>4</x:v>
      </x:c>
      <x:c r="P605" s="16" t="n">
        <x:v>2</x:v>
      </x:c>
      <x:c r="Q605" s="16" t="n">
        <x:v>1</x:v>
      </x:c>
      <x:c r="R605" s="16" t="n">
        <x:v>1</x:v>
      </x:c>
      <x:c r="S605" s="16" t="n">
        <x:v>3</x:v>
      </x:c>
      <x:c r="T605" s="16" t="n">
        <x:v>5</x:v>
      </x:c>
      <x:c r="U605" s="16" t="n">
        <x:v>0</x:v>
      </x:c>
      <x:c r="V605" s="16" t="n">
        <x:v>0</x:v>
      </x:c>
      <x:c r="W605" s="16" t="n">
        <x:v>0</x:v>
      </x:c>
      <x:c r="X605" s="16" t="n">
        <x:v>0</x:v>
      </x:c>
      <x:c r="Y605" s="16" t="n">
        <x:v>0</x:v>
      </x:c>
      <x:c r="Z605" s="16" t="n">
        <x:v>0</x:v>
      </x:c>
      <x:c r="AA605" s="16" t="n">
        <x:v>3</x:v>
      </x:c>
      <x:c r="AB605" s="16" t="n">
        <x:v>11</x:v>
      </x:c>
      <x:c r="AC605" s="16" t="n">
        <x:v>0</x:v>
      </x:c>
      <x:c r="AD605" s="21" t="n">
        <x:f>IF(E605="",MEDIAN($E$2:$E$2237),E605)</x:f>
        <x:v>42429</x:v>
      </x:c>
      <x:c r="AE605" s="17" t="n">
        <x:f>2014-B605</x:f>
        <x:v>41</x:v>
      </x:c>
      <x:c r="AF605" s="17" t="n">
        <x:f>F605+G605</x:f>
        <x:v>1</x:v>
      </x:c>
      <x:c r="AG605" s="21" t="n">
        <x:f>SUM(J605:O605)</x:f>
        <x:v>67</x:v>
      </x:c>
      <x:c r="AH605" s="17" t="n">
        <x:f>SUM(Q605:S605)</x:f>
        <x:v>5</x:v>
      </x:c>
      <x:c r="AI605" s="17" t="n">
        <x:f>SUM(U605:Y605)</x:f>
        <x:v>0</x:v>
      </x:c>
      <x:c r="AJ605" s="17" t="str">
        <x:f>IF(AE605&lt;=34,"≤34",IF(AE605&lt;=44,"35–44",IF(AE605&lt;=54,"45–54",IF(AE605&lt;=64,"55–64","65+"))))</x:f>
        <x:v>35–44</x:v>
      </x:c>
      <x:c r="AK605" s="17" t="str">
        <x:f>IF(AG605&gt;=1000,"High Value",IF(AG605&gt;=300,"Mid Value","Low Value"))</x:f>
        <x:v>Low Value</x:v>
      </x:c>
      <x:c r="AL605" s="17" t="str">
        <x:f>IF(AND(AI605&gt;=1,I605&lt;=50),"Priority 1",IF(AND(AG605&gt;=1000,I605&lt;=60),"Priority 2",IF(I605&lt;=30,"Priority 3","Nurture")))</x:f>
        <x:v>Nurture</x:v>
      </x:c>
    </x:row>
    <x:row r="606">
      <x:c r="A606" s="16" t="n">
        <x:v>8477</x:v>
      </x:c>
      <x:c r="B606" s="16" t="n">
        <x:v>1956</x:v>
      </x:c>
      <x:c r="C606" s="16" t="str">
        <x:v>Graduation</x:v>
      </x:c>
      <x:c r="D606" s="16" t="str">
        <x:v>Divorced</x:v>
      </x:c>
      <x:c r="E606" s="16" t="n">
        <x:v>26150</x:v>
      </x:c>
      <x:c r="F606" s="16" t="n">
        <x:v>2</x:v>
      </x:c>
      <x:c r="G606" s="16" t="n">
        <x:v>1</x:v>
      </x:c>
      <x:c r="H606" s="16" t="str">
        <x:v>11-03-2013</x:v>
      </x:c>
      <x:c r="I606" s="16" t="n">
        <x:v>61</x:v>
      </x:c>
      <x:c r="J606" s="16" t="n">
        <x:v>5</x:v>
      </x:c>
      <x:c r="K606" s="16" t="n">
        <x:v>1</x:v>
      </x:c>
      <x:c r="L606" s="16" t="n">
        <x:v>13</x:v>
      </x:c>
      <x:c r="M606" s="16" t="n">
        <x:v>3</x:v>
      </x:c>
      <x:c r="N606" s="16" t="n">
        <x:v>5</x:v>
      </x:c>
      <x:c r="O606" s="16" t="n">
        <x:v>1</x:v>
      </x:c>
      <x:c r="P606" s="16" t="n">
        <x:v>1</x:v>
      </x:c>
      <x:c r="Q606" s="16" t="n">
        <x:v>1</x:v>
      </x:c>
      <x:c r="R606" s="16" t="n">
        <x:v>0</x:v>
      </x:c>
      <x:c r="S606" s="16" t="n">
        <x:v>3</x:v>
      </x:c>
      <x:c r="T606" s="16" t="n">
        <x:v>7</x:v>
      </x:c>
      <x:c r="U606" s="16" t="n">
        <x:v>0</x:v>
      </x:c>
      <x:c r="V606" s="16" t="n">
        <x:v>0</x:v>
      </x:c>
      <x:c r="W606" s="16" t="n">
        <x:v>0</x:v>
      </x:c>
      <x:c r="X606" s="16" t="n">
        <x:v>0</x:v>
      </x:c>
      <x:c r="Y606" s="16" t="n">
        <x:v>0</x:v>
      </x:c>
      <x:c r="Z606" s="16" t="n">
        <x:v>0</x:v>
      </x:c>
      <x:c r="AA606" s="16" t="n">
        <x:v>3</x:v>
      </x:c>
      <x:c r="AB606" s="16" t="n">
        <x:v>11</x:v>
      </x:c>
      <x:c r="AC606" s="16" t="n">
        <x:v>0</x:v>
      </x:c>
      <x:c r="AD606" s="21" t="n">
        <x:f>IF(E606="",MEDIAN($E$2:$E$2237),E606)</x:f>
        <x:v>26150</x:v>
      </x:c>
      <x:c r="AE606" s="17" t="n">
        <x:f>2014-B606</x:f>
        <x:v>58</x:v>
      </x:c>
      <x:c r="AF606" s="17" t="n">
        <x:f>F606+G606</x:f>
        <x:v>3</x:v>
      </x:c>
      <x:c r="AG606" s="21" t="n">
        <x:f>SUM(J606:O606)</x:f>
        <x:v>28</x:v>
      </x:c>
      <x:c r="AH606" s="17" t="n">
        <x:f>SUM(Q606:S606)</x:f>
        <x:v>4</x:v>
      </x:c>
      <x:c r="AI606" s="17" t="n">
        <x:f>SUM(U606:Y606)</x:f>
        <x:v>0</x:v>
      </x:c>
      <x:c r="AJ606" s="17" t="str">
        <x:f>IF(AE606&lt;=34,"≤34",IF(AE606&lt;=44,"35–44",IF(AE606&lt;=54,"45–54",IF(AE606&lt;=64,"55–64","65+"))))</x:f>
        <x:v>55–64</x:v>
      </x:c>
      <x:c r="AK606" s="17" t="str">
        <x:f>IF(AG606&gt;=1000,"High Value",IF(AG606&gt;=300,"Mid Value","Low Value"))</x:f>
        <x:v>Low Value</x:v>
      </x:c>
      <x:c r="AL606" s="17" t="str">
        <x:f>IF(AND(AI606&gt;=1,I606&lt;=50),"Priority 1",IF(AND(AG606&gt;=1000,I606&lt;=60),"Priority 2",IF(I606&lt;=30,"Priority 3","Nurture")))</x:f>
        <x:v>Nurture</x:v>
      </x:c>
    </x:row>
    <x:row r="607">
      <x:c r="A607" s="16" t="n">
        <x:v>2457</x:v>
      </x:c>
      <x:c r="B607" s="16" t="n">
        <x:v>1975</x:v>
      </x:c>
      <x:c r="C607" s="16" t="str">
        <x:v>Basic</x:v>
      </x:c>
      <x:c r="D607" s="16" t="str">
        <x:v>Married</x:v>
      </x:c>
      <x:c r="E607" s="16" t="n">
        <x:v>30801</x:v>
      </x:c>
      <x:c r="F607" s="16" t="n">
        <x:v>0</x:v>
      </x:c>
      <x:c r="G607" s="16" t="n">
        <x:v>1</x:v>
      </x:c>
      <x:c r="H607" s="16" t="str">
        <x:v>26-10-2012</x:v>
      </x:c>
      <x:c r="I607" s="16" t="n">
        <x:v>23</x:v>
      </x:c>
      <x:c r="J607" s="16" t="n">
        <x:v>8</x:v>
      </x:c>
      <x:c r="K607" s="16" t="n">
        <x:v>4</x:v>
      </x:c>
      <x:c r="L607" s="16" t="n">
        <x:v>5</x:v>
      </x:c>
      <x:c r="M607" s="16" t="n">
        <x:v>15</x:v>
      </x:c>
      <x:c r="N607" s="16" t="n">
        <x:v>2</x:v>
      </x:c>
      <x:c r="O607" s="16" t="n">
        <x:v>11</x:v>
      </x:c>
      <x:c r="P607" s="16" t="n">
        <x:v>2</x:v>
      </x:c>
      <x:c r="Q607" s="16" t="n">
        <x:v>1</x:v>
      </x:c>
      <x:c r="R607" s="16" t="n">
        <x:v>0</x:v>
      </x:c>
      <x:c r="S607" s="16" t="n">
        <x:v>3</x:v>
      </x:c>
      <x:c r="T607" s="16" t="n">
        <x:v>7</x:v>
      </x:c>
      <x:c r="U607" s="16" t="n">
        <x:v>0</x:v>
      </x:c>
      <x:c r="V607" s="16" t="n">
        <x:v>0</x:v>
      </x:c>
      <x:c r="W607" s="16" t="n">
        <x:v>0</x:v>
      </x:c>
      <x:c r="X607" s="16" t="n">
        <x:v>0</x:v>
      </x:c>
      <x:c r="Y607" s="16" t="n">
        <x:v>0</x:v>
      </x:c>
      <x:c r="Z607" s="16" t="n">
        <x:v>0</x:v>
      </x:c>
      <x:c r="AA607" s="16" t="n">
        <x:v>3</x:v>
      </x:c>
      <x:c r="AB607" s="16" t="n">
        <x:v>11</x:v>
      </x:c>
      <x:c r="AC607" s="16" t="n">
        <x:v>0</x:v>
      </x:c>
      <x:c r="AD607" s="21" t="n">
        <x:f>IF(E607="",MEDIAN($E$2:$E$2237),E607)</x:f>
        <x:v>30801</x:v>
      </x:c>
      <x:c r="AE607" s="17" t="n">
        <x:f>2014-B607</x:f>
        <x:v>39</x:v>
      </x:c>
      <x:c r="AF607" s="17" t="n">
        <x:f>F607+G607</x:f>
        <x:v>1</x:v>
      </x:c>
      <x:c r="AG607" s="21" t="n">
        <x:f>SUM(J607:O607)</x:f>
        <x:v>45</x:v>
      </x:c>
      <x:c r="AH607" s="17" t="n">
        <x:f>SUM(Q607:S607)</x:f>
        <x:v>4</x:v>
      </x:c>
      <x:c r="AI607" s="17" t="n">
        <x:f>SUM(U607:Y607)</x:f>
        <x:v>0</x:v>
      </x:c>
      <x:c r="AJ607" s="17" t="str">
        <x:f>IF(AE607&lt;=34,"≤34",IF(AE607&lt;=44,"35–44",IF(AE607&lt;=54,"45–54",IF(AE607&lt;=64,"55–64","65+"))))</x:f>
        <x:v>35–44</x:v>
      </x:c>
      <x:c r="AK607" s="17" t="str">
        <x:f>IF(AG607&gt;=1000,"High Value",IF(AG607&gt;=300,"Mid Value","Low Value"))</x:f>
        <x:v>Low Value</x:v>
      </x:c>
      <x:c r="AL607" s="17" t="str">
        <x:f>IF(AND(AI607&gt;=1,I607&lt;=50),"Priority 1",IF(AND(AG607&gt;=1000,I607&lt;=60),"Priority 2",IF(I607&lt;=30,"Priority 3","Nurture")))</x:f>
        <x:v>Priority 3</x:v>
      </x:c>
    </x:row>
    <x:row r="608">
      <x:c r="A608" s="16" t="n">
        <x:v>988</x:v>
      </x:c>
      <x:c r="B608" s="16" t="n">
        <x:v>1965</x:v>
      </x:c>
      <x:c r="C608" s="16" t="str">
        <x:v>Graduation</x:v>
      </x:c>
      <x:c r="D608" s="16" t="str">
        <x:v>Married</x:v>
      </x:c>
      <x:c r="E608" s="16" t="n">
        <x:v>81168</x:v>
      </x:c>
      <x:c r="F608" s="16" t="n">
        <x:v>0</x:v>
      </x:c>
      <x:c r="G608" s="16" t="n">
        <x:v>0</x:v>
      </x:c>
      <x:c r="H608" s="16" t="str">
        <x:v>07-05-2014</x:v>
      </x:c>
      <x:c r="I608" s="16" t="n">
        <x:v>84</x:v>
      </x:c>
      <x:c r="J608" s="16" t="n">
        <x:v>410</x:v>
      </x:c>
      <x:c r="K608" s="16" t="n">
        <x:v>0</x:v>
      </x:c>
      <x:c r="L608" s="16" t="n">
        <x:v>592</x:v>
      </x:c>
      <x:c r="M608" s="16" t="n">
        <x:v>147</x:v>
      </x:c>
      <x:c r="N608" s="16" t="n">
        <x:v>22</x:v>
      </x:c>
      <x:c r="O608" s="16" t="n">
        <x:v>22</x:v>
      </x:c>
      <x:c r="P608" s="16" t="n">
        <x:v>1</x:v>
      </x:c>
      <x:c r="Q608" s="16" t="n">
        <x:v>6</x:v>
      </x:c>
      <x:c r="R608" s="16" t="n">
        <x:v>4</x:v>
      </x:c>
      <x:c r="S608" s="16" t="n">
        <x:v>7</x:v>
      </x:c>
      <x:c r="T608" s="16" t="n">
        <x:v>3</x:v>
      </x:c>
      <x:c r="U608" s="16" t="n">
        <x:v>0</x:v>
      </x:c>
      <x:c r="V608" s="16" t="n">
        <x:v>0</x:v>
      </x:c>
      <x:c r="W608" s="16" t="n">
        <x:v>0</x:v>
      </x:c>
      <x:c r="X608" s="16" t="n">
        <x:v>1</x:v>
      </x:c>
      <x:c r="Y608" s="16" t="n">
        <x:v>0</x:v>
      </x:c>
      <x:c r="Z608" s="16" t="n">
        <x:v>0</x:v>
      </x:c>
      <x:c r="AA608" s="16" t="n">
        <x:v>3</x:v>
      </x:c>
      <x:c r="AB608" s="16" t="n">
        <x:v>11</x:v>
      </x:c>
      <x:c r="AC608" s="16" t="n">
        <x:v>0</x:v>
      </x:c>
      <x:c r="AD608" s="21" t="n">
        <x:f>IF(E608="",MEDIAN($E$2:$E$2237),E608)</x:f>
        <x:v>81168</x:v>
      </x:c>
      <x:c r="AE608" s="17" t="n">
        <x:f>2014-B608</x:f>
        <x:v>49</x:v>
      </x:c>
      <x:c r="AF608" s="17" t="n">
        <x:f>F608+G608</x:f>
        <x:v>0</x:v>
      </x:c>
      <x:c r="AG608" s="21" t="n">
        <x:f>SUM(J608:O608)</x:f>
        <x:v>1193</x:v>
      </x:c>
      <x:c r="AH608" s="17" t="n">
        <x:f>SUM(Q608:S608)</x:f>
        <x:v>17</x:v>
      </x:c>
      <x:c r="AI608" s="17" t="n">
        <x:f>SUM(U608:Y608)</x:f>
        <x:v>1</x:v>
      </x:c>
      <x:c r="AJ608" s="17" t="str">
        <x:f>IF(AE608&lt;=34,"≤34",IF(AE608&lt;=44,"35–44",IF(AE608&lt;=54,"45–54",IF(AE608&lt;=64,"55–64","65+"))))</x:f>
        <x:v>45–54</x:v>
      </x:c>
      <x:c r="AK608" s="17" t="str">
        <x:f>IF(AG608&gt;=1000,"High Value",IF(AG608&gt;=300,"Mid Value","Low Value"))</x:f>
        <x:v>High Value</x:v>
      </x:c>
      <x:c r="AL608" s="17" t="str">
        <x:f>IF(AND(AI608&gt;=1,I608&lt;=50),"Priority 1",IF(AND(AG608&gt;=1000,I608&lt;=60),"Priority 2",IF(I608&lt;=30,"Priority 3","Nurture")))</x:f>
        <x:v>Nurture</x:v>
      </x:c>
    </x:row>
    <x:row r="609">
      <x:c r="A609" s="16" t="n">
        <x:v>7930</x:v>
      </x:c>
      <x:c r="B609" s="16" t="n">
        <x:v>1969</x:v>
      </x:c>
      <x:c r="C609" s="16" t="str">
        <x:v>Master</x:v>
      </x:c>
      <x:c r="D609" s="16" t="str">
        <x:v>Single</x:v>
      </x:c>
      <x:c r="E609" s="16" t="n">
        <x:v>26877</x:v>
      </x:c>
      <x:c r="F609" s="16" t="n">
        <x:v>0</x:v>
      </x:c>
      <x:c r="G609" s="16" t="n">
        <x:v>0</x:v>
      </x:c>
      <x:c r="H609" s="16" t="str">
        <x:v>19-08-2013</x:v>
      </x:c>
      <x:c r="I609" s="16" t="n">
        <x:v>74</x:v>
      </x:c>
      <x:c r="J609" s="16" t="n">
        <x:v>101</x:v>
      </x:c>
      <x:c r="K609" s="16" t="n">
        <x:v>13</x:v>
      </x:c>
      <x:c r="L609" s="16" t="n">
        <x:v>76</x:v>
      </x:c>
      <x:c r="M609" s="16" t="n">
        <x:v>20</x:v>
      </x:c>
      <x:c r="N609" s="16" t="n">
        <x:v>18</x:v>
      </x:c>
      <x:c r="O609" s="16" t="n">
        <x:v>40</x:v>
      </x:c>
      <x:c r="P609" s="16" t="n">
        <x:v>2</x:v>
      </x:c>
      <x:c r="Q609" s="16" t="n">
        <x:v>3</x:v>
      </x:c>
      <x:c r="R609" s="16" t="n">
        <x:v>1</x:v>
      </x:c>
      <x:c r="S609" s="16" t="n">
        <x:v>6</x:v>
      </x:c>
      <x:c r="T609" s="16" t="n">
        <x:v>6</x:v>
      </x:c>
      <x:c r="U609" s="16" t="n">
        <x:v>0</x:v>
      </x:c>
      <x:c r="V609" s="16" t="n">
        <x:v>0</x:v>
      </x:c>
      <x:c r="W609" s="16" t="n">
        <x:v>0</x:v>
      </x:c>
      <x:c r="X609" s="16" t="n">
        <x:v>0</x:v>
      </x:c>
      <x:c r="Y609" s="16" t="n">
        <x:v>0</x:v>
      </x:c>
      <x:c r="Z609" s="16" t="n">
        <x:v>0</x:v>
      </x:c>
      <x:c r="AA609" s="16" t="n">
        <x:v>3</x:v>
      </x:c>
      <x:c r="AB609" s="16" t="n">
        <x:v>11</x:v>
      </x:c>
      <x:c r="AC609" s="16" t="n">
        <x:v>0</x:v>
      </x:c>
      <x:c r="AD609" s="21" t="n">
        <x:f>IF(E609="",MEDIAN($E$2:$E$2237),E609)</x:f>
        <x:v>26877</x:v>
      </x:c>
      <x:c r="AE609" s="17" t="n">
        <x:f>2014-B609</x:f>
        <x:v>45</x:v>
      </x:c>
      <x:c r="AF609" s="17" t="n">
        <x:f>F609+G609</x:f>
        <x:v>0</x:v>
      </x:c>
      <x:c r="AG609" s="21" t="n">
        <x:f>SUM(J609:O609)</x:f>
        <x:v>268</x:v>
      </x:c>
      <x:c r="AH609" s="17" t="n">
        <x:f>SUM(Q609:S609)</x:f>
        <x:v>10</x:v>
      </x:c>
      <x:c r="AI609" s="17" t="n">
        <x:f>SUM(U609:Y609)</x:f>
        <x:v>0</x:v>
      </x:c>
      <x:c r="AJ609" s="17" t="str">
        <x:f>IF(AE609&lt;=34,"≤34",IF(AE609&lt;=44,"35–44",IF(AE609&lt;=54,"45–54",IF(AE609&lt;=64,"55–64","65+"))))</x:f>
        <x:v>45–54</x:v>
      </x:c>
      <x:c r="AK609" s="17" t="str">
        <x:f>IF(AG609&gt;=1000,"High Value",IF(AG609&gt;=300,"Mid Value","Low Value"))</x:f>
        <x:v>Low Value</x:v>
      </x:c>
      <x:c r="AL609" s="17" t="str">
        <x:f>IF(AND(AI609&gt;=1,I609&lt;=50),"Priority 1",IF(AND(AG609&gt;=1000,I609&lt;=60),"Priority 2",IF(I609&lt;=30,"Priority 3","Nurture")))</x:f>
        <x:v>Nurture</x:v>
      </x:c>
    </x:row>
    <x:row r="610">
      <x:c r="A610" s="16" t="n">
        <x:v>4587</x:v>
      </x:c>
      <x:c r="B610" s="16" t="n">
        <x:v>1944</x:v>
      </x:c>
      <x:c r="C610" s="16" t="str">
        <x:v>Master</x:v>
      </x:c>
      <x:c r="D610" s="16" t="str">
        <x:v>Widow</x:v>
      </x:c>
      <x:c r="E610" s="16" t="n">
        <x:v>45006</x:v>
      </x:c>
      <x:c r="F610" s="16" t="n">
        <x:v>0</x:v>
      </x:c>
      <x:c r="G610" s="16" t="n">
        <x:v>0</x:v>
      </x:c>
      <x:c r="H610" s="16" t="str">
        <x:v>18-07-2013</x:v>
      </x:c>
      <x:c r="I610" s="16" t="n">
        <x:v>90</x:v>
      </x:c>
      <x:c r="J610" s="16" t="n">
        <x:v>162</x:v>
      </x:c>
      <x:c r="K610" s="16" t="n">
        <x:v>25</x:v>
      </x:c>
      <x:c r="L610" s="16" t="n">
        <x:v>53</x:v>
      </x:c>
      <x:c r="M610" s="16" t="n">
        <x:v>16</x:v>
      </x:c>
      <x:c r="N610" s="16" t="n">
        <x:v>0</x:v>
      </x:c>
      <x:c r="O610" s="16" t="n">
        <x:v>10</x:v>
      </x:c>
      <x:c r="P610" s="16" t="n">
        <x:v>1</x:v>
      </x:c>
      <x:c r="Q610" s="16" t="n">
        <x:v>3</x:v>
      </x:c>
      <x:c r="R610" s="16" t="n">
        <x:v>1</x:v>
      </x:c>
      <x:c r="S610" s="16" t="n">
        <x:v>7</x:v>
      </x:c>
      <x:c r="T610" s="16" t="n">
        <x:v>3</x:v>
      </x:c>
      <x:c r="U610" s="16" t="n">
        <x:v>0</x:v>
      </x:c>
      <x:c r="V610" s="16" t="n">
        <x:v>0</x:v>
      </x:c>
      <x:c r="W610" s="16" t="n">
        <x:v>0</x:v>
      </x:c>
      <x:c r="X610" s="16" t="n">
        <x:v>0</x:v>
      </x:c>
      <x:c r="Y610" s="16" t="n">
        <x:v>0</x:v>
      </x:c>
      <x:c r="Z610" s="16" t="n">
        <x:v>0</x:v>
      </x:c>
      <x:c r="AA610" s="16" t="n">
        <x:v>3</x:v>
      </x:c>
      <x:c r="AB610" s="16" t="n">
        <x:v>11</x:v>
      </x:c>
      <x:c r="AC610" s="16" t="n">
        <x:v>0</x:v>
      </x:c>
      <x:c r="AD610" s="21" t="n">
        <x:f>IF(E610="",MEDIAN($E$2:$E$2237),E610)</x:f>
        <x:v>45006</x:v>
      </x:c>
      <x:c r="AE610" s="17" t="n">
        <x:f>2014-B610</x:f>
        <x:v>70</x:v>
      </x:c>
      <x:c r="AF610" s="17" t="n">
        <x:f>F610+G610</x:f>
        <x:v>0</x:v>
      </x:c>
      <x:c r="AG610" s="21" t="n">
        <x:f>SUM(J610:O610)</x:f>
        <x:v>266</x:v>
      </x:c>
      <x:c r="AH610" s="17" t="n">
        <x:f>SUM(Q610:S610)</x:f>
        <x:v>11</x:v>
      </x:c>
      <x:c r="AI610" s="17" t="n">
        <x:f>SUM(U610:Y610)</x:f>
        <x:v>0</x:v>
      </x:c>
      <x:c r="AJ610" s="17" t="str">
        <x:f>IF(AE610&lt;=34,"≤34",IF(AE610&lt;=44,"35–44",IF(AE610&lt;=54,"45–54",IF(AE610&lt;=64,"55–64","65+"))))</x:f>
        <x:v>65+</x:v>
      </x:c>
      <x:c r="AK610" s="17" t="str">
        <x:f>IF(AG610&gt;=1000,"High Value",IF(AG610&gt;=300,"Mid Value","Low Value"))</x:f>
        <x:v>Low Value</x:v>
      </x:c>
      <x:c r="AL610" s="17" t="str">
        <x:f>IF(AND(AI610&gt;=1,I610&lt;=50),"Priority 1",IF(AND(AG610&gt;=1000,I610&lt;=60),"Priority 2",IF(I610&lt;=30,"Priority 3","Nurture")))</x:f>
        <x:v>Nurture</x:v>
      </x:c>
    </x:row>
    <x:row r="611">
      <x:c r="A611" s="16" t="n">
        <x:v>6682</x:v>
      </x:c>
      <x:c r="B611" s="16" t="n">
        <x:v>1973</x:v>
      </x:c>
      <x:c r="C611" s="16" t="str">
        <x:v>Basic</x:v>
      </x:c>
      <x:c r="D611" s="16" t="str">
        <x:v>Married</x:v>
      </x:c>
      <x:c r="E611" s="16" t="n">
        <x:v>18978</x:v>
      </x:c>
      <x:c r="F611" s="16" t="n">
        <x:v>1</x:v>
      </x:c>
      <x:c r="G611" s="16" t="n">
        <x:v>0</x:v>
      </x:c>
      <x:c r="H611" s="16" t="str">
        <x:v>11-12-2012</x:v>
      </x:c>
      <x:c r="I611" s="16" t="n">
        <x:v>41</x:v>
      </x:c>
      <x:c r="J611" s="16" t="n">
        <x:v>2</x:v>
      </x:c>
      <x:c r="K611" s="16" t="n">
        <x:v>8</x:v>
      </x:c>
      <x:c r="L611" s="16" t="n">
        <x:v>1</x:v>
      </x:c>
      <x:c r="M611" s="16" t="n">
        <x:v>4</x:v>
      </x:c>
      <x:c r="N611" s="16" t="n">
        <x:v>7</x:v>
      </x:c>
      <x:c r="O611" s="16" t="n">
        <x:v>15</x:v>
      </x:c>
      <x:c r="P611" s="16" t="n">
        <x:v>1</x:v>
      </x:c>
      <x:c r="Q611" s="16" t="n">
        <x:v>1</x:v>
      </x:c>
      <x:c r="R611" s="16" t="n">
        <x:v>0</x:v>
      </x:c>
      <x:c r="S611" s="16" t="n">
        <x:v>3</x:v>
      </x:c>
      <x:c r="T611" s="16" t="n">
        <x:v>8</x:v>
      </x:c>
      <x:c r="U611" s="16" t="n">
        <x:v>0</x:v>
      </x:c>
      <x:c r="V611" s="16" t="n">
        <x:v>0</x:v>
      </x:c>
      <x:c r="W611" s="16" t="n">
        <x:v>0</x:v>
      </x:c>
      <x:c r="X611" s="16" t="n">
        <x:v>0</x:v>
      </x:c>
      <x:c r="Y611" s="16" t="n">
        <x:v>0</x:v>
      </x:c>
      <x:c r="Z611" s="16" t="n">
        <x:v>0</x:v>
      </x:c>
      <x:c r="AA611" s="16" t="n">
        <x:v>3</x:v>
      </x:c>
      <x:c r="AB611" s="16" t="n">
        <x:v>11</x:v>
      </x:c>
      <x:c r="AC611" s="16" t="n">
        <x:v>0</x:v>
      </x:c>
      <x:c r="AD611" s="21" t="n">
        <x:f>IF(E611="",MEDIAN($E$2:$E$2237),E611)</x:f>
        <x:v>18978</x:v>
      </x:c>
      <x:c r="AE611" s="17" t="n">
        <x:f>2014-B611</x:f>
        <x:v>41</x:v>
      </x:c>
      <x:c r="AF611" s="17" t="n">
        <x:f>F611+G611</x:f>
        <x:v>1</x:v>
      </x:c>
      <x:c r="AG611" s="21" t="n">
        <x:f>SUM(J611:O611)</x:f>
        <x:v>37</x:v>
      </x:c>
      <x:c r="AH611" s="17" t="n">
        <x:f>SUM(Q611:S611)</x:f>
        <x:v>4</x:v>
      </x:c>
      <x:c r="AI611" s="17" t="n">
        <x:f>SUM(U611:Y611)</x:f>
        <x:v>0</x:v>
      </x:c>
      <x:c r="AJ611" s="17" t="str">
        <x:f>IF(AE611&lt;=34,"≤34",IF(AE611&lt;=44,"35–44",IF(AE611&lt;=54,"45–54",IF(AE611&lt;=64,"55–64","65+"))))</x:f>
        <x:v>35–44</x:v>
      </x:c>
      <x:c r="AK611" s="17" t="str">
        <x:f>IF(AG611&gt;=1000,"High Value",IF(AG611&gt;=300,"Mid Value","Low Value"))</x:f>
        <x:v>Low Value</x:v>
      </x:c>
      <x:c r="AL611" s="17" t="str">
        <x:f>IF(AND(AI611&gt;=1,I611&lt;=50),"Priority 1",IF(AND(AG611&gt;=1000,I611&lt;=60),"Priority 2",IF(I611&lt;=30,"Priority 3","Nurture")))</x:f>
        <x:v>Nurture</x:v>
      </x:c>
    </x:row>
    <x:row r="612">
      <x:c r="A612" s="16" t="n">
        <x:v>6222</x:v>
      </x:c>
      <x:c r="B612" s="16" t="n">
        <x:v>1967</x:v>
      </x:c>
      <x:c r="C612" s="16" t="str">
        <x:v>Graduation</x:v>
      </x:c>
      <x:c r="D612" s="16" t="str">
        <x:v>Married</x:v>
      </x:c>
      <x:c r="E612" s="16" t="n">
        <x:v>22574</x:v>
      </x:c>
      <x:c r="F612" s="16" t="n">
        <x:v>2</x:v>
      </x:c>
      <x:c r="G612" s="16" t="n">
        <x:v>1</x:v>
      </x:c>
      <x:c r="H612" s="16" t="str">
        <x:v>28-10-2013</x:v>
      </x:c>
      <x:c r="I612" s="16" t="n">
        <x:v>28</x:v>
      </x:c>
      <x:c r="J612" s="16" t="n">
        <x:v>25</x:v>
      </x:c>
      <x:c r="K612" s="16" t="n">
        <x:v>0</x:v>
      </x:c>
      <x:c r="L612" s="16" t="n">
        <x:v>8</x:v>
      </x:c>
      <x:c r="M612" s="16" t="n">
        <x:v>2</x:v>
      </x:c>
      <x:c r="N612" s="16" t="n">
        <x:v>0</x:v>
      </x:c>
      <x:c r="O612" s="16" t="n">
        <x:v>2</x:v>
      </x:c>
      <x:c r="P612" s="16" t="n">
        <x:v>2</x:v>
      </x:c>
      <x:c r="Q612" s="16" t="n">
        <x:v>2</x:v>
      </x:c>
      <x:c r="R612" s="16" t="n">
        <x:v>0</x:v>
      </x:c>
      <x:c r="S612" s="16" t="n">
        <x:v>3</x:v>
      </x:c>
      <x:c r="T612" s="16" t="n">
        <x:v>7</x:v>
      </x:c>
      <x:c r="U612" s="16" t="n">
        <x:v>0</x:v>
      </x:c>
      <x:c r="V612" s="16" t="n">
        <x:v>0</x:v>
      </x:c>
      <x:c r="W612" s="16" t="n">
        <x:v>0</x:v>
      </x:c>
      <x:c r="X612" s="16" t="n">
        <x:v>0</x:v>
      </x:c>
      <x:c r="Y612" s="16" t="n">
        <x:v>0</x:v>
      </x:c>
      <x:c r="Z612" s="16" t="n">
        <x:v>0</x:v>
      </x:c>
      <x:c r="AA612" s="16" t="n">
        <x:v>3</x:v>
      </x:c>
      <x:c r="AB612" s="16" t="n">
        <x:v>11</x:v>
      </x:c>
      <x:c r="AC612" s="16" t="n">
        <x:v>0</x:v>
      </x:c>
      <x:c r="AD612" s="21" t="n">
        <x:f>IF(E612="",MEDIAN($E$2:$E$2237),E612)</x:f>
        <x:v>22574</x:v>
      </x:c>
      <x:c r="AE612" s="17" t="n">
        <x:f>2014-B612</x:f>
        <x:v>47</x:v>
      </x:c>
      <x:c r="AF612" s="17" t="n">
        <x:f>F612+G612</x:f>
        <x:v>3</x:v>
      </x:c>
      <x:c r="AG612" s="21" t="n">
        <x:f>SUM(J612:O612)</x:f>
        <x:v>37</x:v>
      </x:c>
      <x:c r="AH612" s="17" t="n">
        <x:f>SUM(Q612:S612)</x:f>
        <x:v>5</x:v>
      </x:c>
      <x:c r="AI612" s="17" t="n">
        <x:f>SUM(U612:Y612)</x:f>
        <x:v>0</x:v>
      </x:c>
      <x:c r="AJ612" s="17" t="str">
        <x:f>IF(AE612&lt;=34,"≤34",IF(AE612&lt;=44,"35–44",IF(AE612&lt;=54,"45–54",IF(AE612&lt;=64,"55–64","65+"))))</x:f>
        <x:v>45–54</x:v>
      </x:c>
      <x:c r="AK612" s="17" t="str">
        <x:f>IF(AG612&gt;=1000,"High Value",IF(AG612&gt;=300,"Mid Value","Low Value"))</x:f>
        <x:v>Low Value</x:v>
      </x:c>
      <x:c r="AL612" s="17" t="str">
        <x:f>IF(AND(AI612&gt;=1,I612&lt;=50),"Priority 1",IF(AND(AG612&gt;=1000,I612&lt;=60),"Priority 2",IF(I612&lt;=30,"Priority 3","Nurture")))</x:f>
        <x:v>Priority 3</x:v>
      </x:c>
    </x:row>
    <x:row r="613">
      <x:c r="A613" s="16" t="n">
        <x:v>10299</x:v>
      </x:c>
      <x:c r="B613" s="16" t="n">
        <x:v>1969</x:v>
      </x:c>
      <x:c r="C613" s="16" t="str">
        <x:v>PhD</x:v>
      </x:c>
      <x:c r="D613" s="16" t="str">
        <x:v>Single</x:v>
      </x:c>
      <x:c r="E613" s="16" t="n">
        <x:v>48240</x:v>
      </x:c>
      <x:c r="F613" s="16" t="n">
        <x:v>0</x:v>
      </x:c>
      <x:c r="G613" s="16" t="n">
        <x:v>0</x:v>
      </x:c>
      <x:c r="H613" s="16" t="str">
        <x:v>09-11-2012</x:v>
      </x:c>
      <x:c r="I613" s="16" t="n">
        <x:v>73</x:v>
      </x:c>
      <x:c r="J613" s="16" t="n">
        <x:v>389</x:v>
      </x:c>
      <x:c r="K613" s="16" t="n">
        <x:v>91</x:v>
      </x:c>
      <x:c r="L613" s="16" t="n">
        <x:v>248</x:v>
      </x:c>
      <x:c r="M613" s="16" t="n">
        <x:v>64</x:v>
      </x:c>
      <x:c r="N613" s="16" t="n">
        <x:v>49</x:v>
      </x:c>
      <x:c r="O613" s="16" t="n">
        <x:v>41</x:v>
      </x:c>
      <x:c r="P613" s="16" t="n">
        <x:v>3</x:v>
      </x:c>
      <x:c r="Q613" s="16" t="n">
        <x:v>6</x:v>
      </x:c>
      <x:c r="R613" s="16" t="n">
        <x:v>3</x:v>
      </x:c>
      <x:c r="S613" s="16" t="n">
        <x:v>13</x:v>
      </x:c>
      <x:c r="T613" s="16" t="n">
        <x:v>5</x:v>
      </x:c>
      <x:c r="U613" s="16" t="n">
        <x:v>0</x:v>
      </x:c>
      <x:c r="V613" s="16" t="n">
        <x:v>0</x:v>
      </x:c>
      <x:c r="W613" s="16" t="n">
        <x:v>0</x:v>
      </x:c>
      <x:c r="X613" s="16" t="n">
        <x:v>0</x:v>
      </x:c>
      <x:c r="Y613" s="16" t="n">
        <x:v>0</x:v>
      </x:c>
      <x:c r="Z613" s="16" t="n">
        <x:v>0</x:v>
      </x:c>
      <x:c r="AA613" s="16" t="n">
        <x:v>3</x:v>
      </x:c>
      <x:c r="AB613" s="16" t="n">
        <x:v>11</x:v>
      </x:c>
      <x:c r="AC613" s="16" t="n">
        <x:v>1</x:v>
      </x:c>
      <x:c r="AD613" s="21" t="n">
        <x:f>IF(E613="",MEDIAN($E$2:$E$2237),E613)</x:f>
        <x:v>48240</x:v>
      </x:c>
      <x:c r="AE613" s="17" t="n">
        <x:f>2014-B613</x:f>
        <x:v>45</x:v>
      </x:c>
      <x:c r="AF613" s="17" t="n">
        <x:f>F613+G613</x:f>
        <x:v>0</x:v>
      </x:c>
      <x:c r="AG613" s="21" t="n">
        <x:f>SUM(J613:O613)</x:f>
        <x:v>882</x:v>
      </x:c>
      <x:c r="AH613" s="17" t="n">
        <x:f>SUM(Q613:S613)</x:f>
        <x:v>22</x:v>
      </x:c>
      <x:c r="AI613" s="17" t="n">
        <x:f>SUM(U613:Y613)</x:f>
        <x:v>0</x:v>
      </x:c>
      <x:c r="AJ613" s="17" t="str">
        <x:f>IF(AE613&lt;=34,"≤34",IF(AE613&lt;=44,"35–44",IF(AE613&lt;=54,"45–54",IF(AE613&lt;=64,"55–64","65+"))))</x:f>
        <x:v>45–54</x:v>
      </x:c>
      <x:c r="AK613" s="17" t="str">
        <x:f>IF(AG613&gt;=1000,"High Value",IF(AG613&gt;=300,"Mid Value","Low Value"))</x:f>
        <x:v>Mid Value</x:v>
      </x:c>
      <x:c r="AL613" s="17" t="str">
        <x:f>IF(AND(AI613&gt;=1,I613&lt;=50),"Priority 1",IF(AND(AG613&gt;=1000,I613&lt;=60),"Priority 2",IF(I613&lt;=30,"Priority 3","Nurture")))</x:f>
        <x:v>Nurture</x:v>
      </x:c>
    </x:row>
    <x:row r="614">
      <x:c r="A614" s="16" t="n">
        <x:v>3083</x:v>
      </x:c>
      <x:c r="B614" s="16" t="n">
        <x:v>1974</x:v>
      </x:c>
      <x:c r="C614" s="16" t="str">
        <x:v>Graduation</x:v>
      </x:c>
      <x:c r="D614" s="16" t="str">
        <x:v>Married</x:v>
      </x:c>
      <x:c r="E614" s="16" t="n">
        <x:v>45837</x:v>
      </x:c>
      <x:c r="F614" s="16" t="n">
        <x:v>1</x:v>
      </x:c>
      <x:c r="G614" s="16" t="n">
        <x:v>1</x:v>
      </x:c>
      <x:c r="H614" s="16" t="str">
        <x:v>26-07-2013</x:v>
      </x:c>
      <x:c r="I614" s="16" t="n">
        <x:v>88</x:v>
      </x:c>
      <x:c r="J614" s="16" t="n">
        <x:v>215</x:v>
      </x:c>
      <x:c r="K614" s="16" t="n">
        <x:v>13</x:v>
      </x:c>
      <x:c r="L614" s="16" t="n">
        <x:v>87</x:v>
      </x:c>
      <x:c r="M614" s="16" t="n">
        <x:v>17</x:v>
      </x:c>
      <x:c r="N614" s="16" t="n">
        <x:v>17</x:v>
      </x:c>
      <x:c r="O614" s="16" t="n">
        <x:v>24</x:v>
      </x:c>
      <x:c r="P614" s="16" t="n">
        <x:v>5</x:v>
      </x:c>
      <x:c r="Q614" s="16" t="n">
        <x:v>6</x:v>
      </x:c>
      <x:c r="R614" s="16" t="n">
        <x:v>2</x:v>
      </x:c>
      <x:c r="S614" s="16" t="n">
        <x:v>5</x:v>
      </x:c>
      <x:c r="T614" s="16" t="n">
        <x:v>7</x:v>
      </x:c>
      <x:c r="U614" s="16" t="n">
        <x:v>0</x:v>
      </x:c>
      <x:c r="V614" s="16" t="n">
        <x:v>0</x:v>
      </x:c>
      <x:c r="W614" s="16" t="n">
        <x:v>0</x:v>
      </x:c>
      <x:c r="X614" s="16" t="n">
        <x:v>0</x:v>
      </x:c>
      <x:c r="Y614" s="16" t="n">
        <x:v>0</x:v>
      </x:c>
      <x:c r="Z614" s="16" t="n">
        <x:v>0</x:v>
      </x:c>
      <x:c r="AA614" s="16" t="n">
        <x:v>3</x:v>
      </x:c>
      <x:c r="AB614" s="16" t="n">
        <x:v>11</x:v>
      </x:c>
      <x:c r="AC614" s="16" t="n">
        <x:v>0</x:v>
      </x:c>
      <x:c r="AD614" s="21" t="n">
        <x:f>IF(E614="",MEDIAN($E$2:$E$2237),E614)</x:f>
        <x:v>45837</x:v>
      </x:c>
      <x:c r="AE614" s="17" t="n">
        <x:f>2014-B614</x:f>
        <x:v>40</x:v>
      </x:c>
      <x:c r="AF614" s="17" t="n">
        <x:f>F614+G614</x:f>
        <x:v>2</x:v>
      </x:c>
      <x:c r="AG614" s="21" t="n">
        <x:f>SUM(J614:O614)</x:f>
        <x:v>373</x:v>
      </x:c>
      <x:c r="AH614" s="17" t="n">
        <x:f>SUM(Q614:S614)</x:f>
        <x:v>13</x:v>
      </x:c>
      <x:c r="AI614" s="17" t="n">
        <x:f>SUM(U614:Y614)</x:f>
        <x:v>0</x:v>
      </x:c>
      <x:c r="AJ614" s="17" t="str">
        <x:f>IF(AE614&lt;=34,"≤34",IF(AE614&lt;=44,"35–44",IF(AE614&lt;=54,"45–54",IF(AE614&lt;=64,"55–64","65+"))))</x:f>
        <x:v>35–44</x:v>
      </x:c>
      <x:c r="AK614" s="17" t="str">
        <x:f>IF(AG614&gt;=1000,"High Value",IF(AG614&gt;=300,"Mid Value","Low Value"))</x:f>
        <x:v>Mid Value</x:v>
      </x:c>
      <x:c r="AL614" s="17" t="str">
        <x:f>IF(AND(AI614&gt;=1,I614&lt;=50),"Priority 1",IF(AND(AG614&gt;=1000,I614&lt;=60),"Priority 2",IF(I614&lt;=30,"Priority 3","Nurture")))</x:f>
        <x:v>Nurture</x:v>
      </x:c>
    </x:row>
    <x:row r="615">
      <x:c r="A615" s="16" t="n">
        <x:v>8953</x:v>
      </x:c>
      <x:c r="B615" s="16" t="n">
        <x:v>1965</x:v>
      </x:c>
      <x:c r="C615" s="16" t="str">
        <x:v>Master</x:v>
      </x:c>
      <x:c r="D615" s="16" t="str">
        <x:v>Single</x:v>
      </x:c>
      <x:c r="E615" s="16" t="n">
        <x:v>35791</x:v>
      </x:c>
      <x:c r="F615" s="16" t="n">
        <x:v>2</x:v>
      </x:c>
      <x:c r="G615" s="16" t="n">
        <x:v>1</x:v>
      </x:c>
      <x:c r="H615" s="16" t="str">
        <x:v>06-05-2013</x:v>
      </x:c>
      <x:c r="I615" s="16" t="n">
        <x:v>94</x:v>
      </x:c>
      <x:c r="J615" s="16" t="n">
        <x:v>27</x:v>
      </x:c>
      <x:c r="K615" s="16" t="n">
        <x:v>0</x:v>
      </x:c>
      <x:c r="L615" s="16" t="n">
        <x:v>5</x:v>
      </x:c>
      <x:c r="M615" s="16" t="n">
        <x:v>0</x:v>
      </x:c>
      <x:c r="N615" s="16" t="n">
        <x:v>0</x:v>
      </x:c>
      <x:c r="O615" s="16" t="n">
        <x:v>3</x:v>
      </x:c>
      <x:c r="P615" s="16" t="n">
        <x:v>2</x:v>
      </x:c>
      <x:c r="Q615" s="16" t="n">
        <x:v>1</x:v>
      </x:c>
      <x:c r="R615" s="16" t="n">
        <x:v>0</x:v>
      </x:c>
      <x:c r="S615" s="16" t="n">
        <x:v>3</x:v>
      </x:c>
      <x:c r="T615" s="16" t="n">
        <x:v>8</x:v>
      </x:c>
      <x:c r="U615" s="16" t="n">
        <x:v>0</x:v>
      </x:c>
      <x:c r="V615" s="16" t="n">
        <x:v>0</x:v>
      </x:c>
      <x:c r="W615" s="16" t="n">
        <x:v>0</x:v>
      </x:c>
      <x:c r="X615" s="16" t="n">
        <x:v>0</x:v>
      </x:c>
      <x:c r="Y615" s="16" t="n">
        <x:v>0</x:v>
      </x:c>
      <x:c r="Z615" s="16" t="n">
        <x:v>0</x:v>
      </x:c>
      <x:c r="AA615" s="16" t="n">
        <x:v>3</x:v>
      </x:c>
      <x:c r="AB615" s="16" t="n">
        <x:v>11</x:v>
      </x:c>
      <x:c r="AC615" s="16" t="n">
        <x:v>0</x:v>
      </x:c>
      <x:c r="AD615" s="21" t="n">
        <x:f>IF(E615="",MEDIAN($E$2:$E$2237),E615)</x:f>
        <x:v>35791</x:v>
      </x:c>
      <x:c r="AE615" s="17" t="n">
        <x:f>2014-B615</x:f>
        <x:v>49</x:v>
      </x:c>
      <x:c r="AF615" s="17" t="n">
        <x:f>F615+G615</x:f>
        <x:v>3</x:v>
      </x:c>
      <x:c r="AG615" s="21" t="n">
        <x:f>SUM(J615:O615)</x:f>
        <x:v>35</x:v>
      </x:c>
      <x:c r="AH615" s="17" t="n">
        <x:f>SUM(Q615:S615)</x:f>
        <x:v>4</x:v>
      </x:c>
      <x:c r="AI615" s="17" t="n">
        <x:f>SUM(U615:Y615)</x:f>
        <x:v>0</x:v>
      </x:c>
      <x:c r="AJ615" s="17" t="str">
        <x:f>IF(AE615&lt;=34,"≤34",IF(AE615&lt;=44,"35–44",IF(AE615&lt;=54,"45–54",IF(AE615&lt;=64,"55–64","65+"))))</x:f>
        <x:v>45–54</x:v>
      </x:c>
      <x:c r="AK615" s="17" t="str">
        <x:f>IF(AG615&gt;=1000,"High Value",IF(AG615&gt;=300,"Mid Value","Low Value"))</x:f>
        <x:v>Low Value</x:v>
      </x:c>
      <x:c r="AL615" s="17" t="str">
        <x:f>IF(AND(AI615&gt;=1,I615&lt;=50),"Priority 1",IF(AND(AG615&gt;=1000,I615&lt;=60),"Priority 2",IF(I615&lt;=30,"Priority 3","Nurture")))</x:f>
        <x:v>Nurture</x:v>
      </x:c>
    </x:row>
    <x:row r="616">
      <x:c r="A616" s="16" t="n">
        <x:v>1503</x:v>
      </x:c>
      <x:c r="B616" s="16" t="n">
        <x:v>1976</x:v>
      </x:c>
      <x:c r="C616" s="16" t="str">
        <x:v>PhD</x:v>
      </x:c>
      <x:c r="D616" s="16" t="str">
        <x:v>Together</x:v>
      </x:c>
      <x:c r="E616" s="16" t="n">
        <x:v>162397</x:v>
      </x:c>
      <x:c r="F616" s="16" t="n">
        <x:v>1</x:v>
      </x:c>
      <x:c r="G616" s="16" t="n">
        <x:v>1</x:v>
      </x:c>
      <x:c r="H616" s="16" t="str">
        <x:v>03-06-2013</x:v>
      </x:c>
      <x:c r="I616" s="16" t="n">
        <x:v>31</x:v>
      </x:c>
      <x:c r="J616" s="16" t="n">
        <x:v>85</x:v>
      </x:c>
      <x:c r="K616" s="16" t="n">
        <x:v>1</x:v>
      </x:c>
      <x:c r="L616" s="16" t="n">
        <x:v>16</x:v>
      </x:c>
      <x:c r="M616" s="16" t="n">
        <x:v>2</x:v>
      </x:c>
      <x:c r="N616" s="16" t="n">
        <x:v>1</x:v>
      </x:c>
      <x:c r="O616" s="16" t="n">
        <x:v>2</x:v>
      </x:c>
      <x:c r="P616" s="16" t="n">
        <x:v>0</x:v>
      </x:c>
      <x:c r="Q616" s="16" t="n">
        <x:v>0</x:v>
      </x:c>
      <x:c r="R616" s="16" t="n">
        <x:v>0</x:v>
      </x:c>
      <x:c r="S616" s="16" t="n">
        <x:v>1</x:v>
      </x:c>
      <x:c r="T616" s="16" t="n">
        <x:v>1</x:v>
      </x:c>
      <x:c r="U616" s="16" t="n">
        <x:v>0</x:v>
      </x:c>
      <x:c r="V616" s="16" t="n">
        <x:v>0</x:v>
      </x:c>
      <x:c r="W616" s="16" t="n">
        <x:v>0</x:v>
      </x:c>
      <x:c r="X616" s="16" t="n">
        <x:v>0</x:v>
      </x:c>
      <x:c r="Y616" s="16" t="n">
        <x:v>0</x:v>
      </x:c>
      <x:c r="Z616" s="16" t="n">
        <x:v>0</x:v>
      </x:c>
      <x:c r="AA616" s="16" t="n">
        <x:v>3</x:v>
      </x:c>
      <x:c r="AB616" s="16" t="n">
        <x:v>11</x:v>
      </x:c>
      <x:c r="AC616" s="16" t="n">
        <x:v>0</x:v>
      </x:c>
      <x:c r="AD616" s="21" t="n">
        <x:f>IF(E616="",MEDIAN($E$2:$E$2237),E616)</x:f>
        <x:v>162397</x:v>
      </x:c>
      <x:c r="AE616" s="17" t="n">
        <x:f>2014-B616</x:f>
        <x:v>38</x:v>
      </x:c>
      <x:c r="AF616" s="17" t="n">
        <x:f>F616+G616</x:f>
        <x:v>2</x:v>
      </x:c>
      <x:c r="AG616" s="21" t="n">
        <x:f>SUM(J616:O616)</x:f>
        <x:v>107</x:v>
      </x:c>
      <x:c r="AH616" s="17" t="n">
        <x:f>SUM(Q616:S616)</x:f>
        <x:v>1</x:v>
      </x:c>
      <x:c r="AI616" s="17" t="n">
        <x:f>SUM(U616:Y616)</x:f>
        <x:v>0</x:v>
      </x:c>
      <x:c r="AJ616" s="17" t="str">
        <x:f>IF(AE616&lt;=34,"≤34",IF(AE616&lt;=44,"35–44",IF(AE616&lt;=54,"45–54",IF(AE616&lt;=64,"55–64","65+"))))</x:f>
        <x:v>35–44</x:v>
      </x:c>
      <x:c r="AK616" s="17" t="str">
        <x:f>IF(AG616&gt;=1000,"High Value",IF(AG616&gt;=300,"Mid Value","Low Value"))</x:f>
        <x:v>Low Value</x:v>
      </x:c>
      <x:c r="AL616" s="17" t="str">
        <x:f>IF(AND(AI616&gt;=1,I616&lt;=50),"Priority 1",IF(AND(AG616&gt;=1000,I616&lt;=60),"Priority 2",IF(I616&lt;=30,"Priority 3","Nurture")))</x:f>
        <x:v>Nurture</x:v>
      </x:c>
    </x:row>
    <x:row r="617">
      <x:c r="A617" s="16" t="n">
        <x:v>8650</x:v>
      </x:c>
      <x:c r="B617" s="16" t="n">
        <x:v>1978</x:v>
      </x:c>
      <x:c r="C617" s="16" t="str">
        <x:v>Graduation</x:v>
      </x:c>
      <x:c r="D617" s="16" t="str">
        <x:v>Widow</x:v>
      </x:c>
      <x:c r="E617" s="16" t="n">
        <x:v>54162</x:v>
      </x:c>
      <x:c r="F617" s="16" t="n">
        <x:v>1</x:v>
      </x:c>
      <x:c r="G617" s="16" t="n">
        <x:v>1</x:v>
      </x:c>
      <x:c r="H617" s="16" t="str">
        <x:v>18-03-2013</x:v>
      </x:c>
      <x:c r="I617" s="16" t="n">
        <x:v>31</x:v>
      </x:c>
      <x:c r="J617" s="16" t="n">
        <x:v>5</x:v>
      </x:c>
      <x:c r="K617" s="16" t="n">
        <x:v>6</x:v>
      </x:c>
      <x:c r="L617" s="16" t="n">
        <x:v>10</x:v>
      </x:c>
      <x:c r="M617" s="16" t="n">
        <x:v>6</x:v>
      </x:c>
      <x:c r="N617" s="16" t="n">
        <x:v>5</x:v>
      </x:c>
      <x:c r="O617" s="16" t="n">
        <x:v>10</x:v>
      </x:c>
      <x:c r="P617" s="16" t="n">
        <x:v>1</x:v>
      </x:c>
      <x:c r="Q617" s="16" t="n">
        <x:v>1</x:v>
      </x:c>
      <x:c r="R617" s="16" t="n">
        <x:v>0</x:v>
      </x:c>
      <x:c r="S617" s="16" t="n">
        <x:v>3</x:v>
      </x:c>
      <x:c r="T617" s="16" t="n">
        <x:v>4</x:v>
      </x:c>
      <x:c r="U617" s="16" t="n">
        <x:v>0</x:v>
      </x:c>
      <x:c r="V617" s="16" t="n">
        <x:v>0</x:v>
      </x:c>
      <x:c r="W617" s="16" t="n">
        <x:v>0</x:v>
      </x:c>
      <x:c r="X617" s="16" t="n">
        <x:v>0</x:v>
      </x:c>
      <x:c r="Y617" s="16" t="n">
        <x:v>0</x:v>
      </x:c>
      <x:c r="Z617" s="16" t="n">
        <x:v>0</x:v>
      </x:c>
      <x:c r="AA617" s="16" t="n">
        <x:v>3</x:v>
      </x:c>
      <x:c r="AB617" s="16" t="n">
        <x:v>11</x:v>
      </x:c>
      <x:c r="AC617" s="16" t="n">
        <x:v>0</x:v>
      </x:c>
      <x:c r="AD617" s="21" t="n">
        <x:f>IF(E617="",MEDIAN($E$2:$E$2237),E617)</x:f>
        <x:v>54162</x:v>
      </x:c>
      <x:c r="AE617" s="17" t="n">
        <x:f>2014-B617</x:f>
        <x:v>36</x:v>
      </x:c>
      <x:c r="AF617" s="17" t="n">
        <x:f>F617+G617</x:f>
        <x:v>2</x:v>
      </x:c>
      <x:c r="AG617" s="21" t="n">
        <x:f>SUM(J617:O617)</x:f>
        <x:v>42</x:v>
      </x:c>
      <x:c r="AH617" s="17" t="n">
        <x:f>SUM(Q617:S617)</x:f>
        <x:v>4</x:v>
      </x:c>
      <x:c r="AI617" s="17" t="n">
        <x:f>SUM(U617:Y617)</x:f>
        <x:v>0</x:v>
      </x:c>
      <x:c r="AJ617" s="17" t="str">
        <x:f>IF(AE617&lt;=34,"≤34",IF(AE617&lt;=44,"35–44",IF(AE617&lt;=54,"45–54",IF(AE617&lt;=64,"55–64","65+"))))</x:f>
        <x:v>35–44</x:v>
      </x:c>
      <x:c r="AK617" s="17" t="str">
        <x:f>IF(AG617&gt;=1000,"High Value",IF(AG617&gt;=300,"Mid Value","Low Value"))</x:f>
        <x:v>Low Value</x:v>
      </x:c>
      <x:c r="AL617" s="17" t="str">
        <x:f>IF(AND(AI617&gt;=1,I617&lt;=50),"Priority 1",IF(AND(AG617&gt;=1000,I617&lt;=60),"Priority 2",IF(I617&lt;=30,"Priority 3","Nurture")))</x:f>
        <x:v>Nurture</x:v>
      </x:c>
    </x:row>
    <x:row r="618">
      <x:c r="A618" s="16" t="n">
        <x:v>10862</x:v>
      </x:c>
      <x:c r="B618" s="16" t="n">
        <x:v>1960</x:v>
      </x:c>
      <x:c r="C618" s="16" t="str">
        <x:v>Master</x:v>
      </x:c>
      <x:c r="D618" s="16" t="str">
        <x:v>Married</x:v>
      </x:c>
      <x:c r="E618" s="16" t="n">
        <x:v>30522</x:v>
      </x:c>
      <x:c r="F618" s="16" t="n">
        <x:v>0</x:v>
      </x:c>
      <x:c r="G618" s="16" t="n">
        <x:v>1</x:v>
      </x:c>
      <x:c r="H618" s="16" t="str">
        <x:v>17-08-2012</x:v>
      </x:c>
      <x:c r="I618" s="16" t="n">
        <x:v>6</x:v>
      </x:c>
      <x:c r="J618" s="16" t="n">
        <x:v>179</x:v>
      </x:c>
      <x:c r="K618" s="16" t="n">
        <x:v>8</x:v>
      </x:c>
      <x:c r="L618" s="16" t="n">
        <x:v>83</x:v>
      </x:c>
      <x:c r="M618" s="16" t="n">
        <x:v>19</x:v>
      </x:c>
      <x:c r="N618" s="16" t="n">
        <x:v>11</x:v>
      </x:c>
      <x:c r="O618" s="16" t="n">
        <x:v>26</x:v>
      </x:c>
      <x:c r="P618" s="16" t="n">
        <x:v>5</x:v>
      </x:c>
      <x:c r="Q618" s="16" t="n">
        <x:v>1</x:v>
      </x:c>
      <x:c r="R618" s="16" t="n">
        <x:v>2</x:v>
      </x:c>
      <x:c r="S618" s="16" t="n">
        <x:v>9</x:v>
      </x:c>
      <x:c r="T618" s="16" t="n">
        <x:v>2</x:v>
      </x:c>
      <x:c r="U618" s="16" t="n">
        <x:v>0</x:v>
      </x:c>
      <x:c r="V618" s="16" t="n">
        <x:v>0</x:v>
      </x:c>
      <x:c r="W618" s="16" t="n">
        <x:v>0</x:v>
      </x:c>
      <x:c r="X618" s="16" t="n">
        <x:v>0</x:v>
      </x:c>
      <x:c r="Y618" s="16" t="n">
        <x:v>0</x:v>
      </x:c>
      <x:c r="Z618" s="16" t="n">
        <x:v>0</x:v>
      </x:c>
      <x:c r="AA618" s="16" t="n">
        <x:v>3</x:v>
      </x:c>
      <x:c r="AB618" s="16" t="n">
        <x:v>11</x:v>
      </x:c>
      <x:c r="AC618" s="16" t="n">
        <x:v>0</x:v>
      </x:c>
      <x:c r="AD618" s="21" t="n">
        <x:f>IF(E618="",MEDIAN($E$2:$E$2237),E618)</x:f>
        <x:v>30522</x:v>
      </x:c>
      <x:c r="AE618" s="17" t="n">
        <x:f>2014-B618</x:f>
        <x:v>54</x:v>
      </x:c>
      <x:c r="AF618" s="17" t="n">
        <x:f>F618+G618</x:f>
        <x:v>1</x:v>
      </x:c>
      <x:c r="AG618" s="21" t="n">
        <x:f>SUM(J618:O618)</x:f>
        <x:v>326</x:v>
      </x:c>
      <x:c r="AH618" s="17" t="n">
        <x:f>SUM(Q618:S618)</x:f>
        <x:v>12</x:v>
      </x:c>
      <x:c r="AI618" s="17" t="n">
        <x:f>SUM(U618:Y618)</x:f>
        <x:v>0</x:v>
      </x:c>
      <x:c r="AJ618" s="17" t="str">
        <x:f>IF(AE618&lt;=34,"≤34",IF(AE618&lt;=44,"35–44",IF(AE618&lt;=54,"45–54",IF(AE618&lt;=64,"55–64","65+"))))</x:f>
        <x:v>45–54</x:v>
      </x:c>
      <x:c r="AK618" s="17" t="str">
        <x:f>IF(AG618&gt;=1000,"High Value",IF(AG618&gt;=300,"Mid Value","Low Value"))</x:f>
        <x:v>Mid Value</x:v>
      </x:c>
      <x:c r="AL618" s="17" t="str">
        <x:f>IF(AND(AI618&gt;=1,I618&lt;=50),"Priority 1",IF(AND(AG618&gt;=1000,I618&lt;=60),"Priority 2",IF(I618&lt;=30,"Priority 3","Nurture")))</x:f>
        <x:v>Priority 3</x:v>
      </x:c>
    </x:row>
    <x:row r="619">
      <x:c r="A619" s="16" t="n">
        <x:v>2782</x:v>
      </x:c>
      <x:c r="B619" s="16" t="n">
        <x:v>1961</x:v>
      </x:c>
      <x:c r="C619" s="16" t="str">
        <x:v>PhD</x:v>
      </x:c>
      <x:c r="D619" s="16" t="str">
        <x:v>Married</x:v>
      </x:c>
      <x:c r="E619" s="16" t="n">
        <x:v>54456</x:v>
      </x:c>
      <x:c r="F619" s="16" t="n">
        <x:v>0</x:v>
      </x:c>
      <x:c r="G619" s="16" t="n">
        <x:v>1</x:v>
      </x:c>
      <x:c r="H619" s="16" t="str">
        <x:v>11-07-2013</x:v>
      </x:c>
      <x:c r="I619" s="16" t="n">
        <x:v>23</x:v>
      </x:c>
      <x:c r="J619" s="16" t="n">
        <x:v>352</x:v>
      </x:c>
      <x:c r="K619" s="16" t="n">
        <x:v>0</x:v>
      </x:c>
      <x:c r="L619" s="16" t="n">
        <x:v>27</x:v>
      </x:c>
      <x:c r="M619" s="16" t="n">
        <x:v>10</x:v>
      </x:c>
      <x:c r="N619" s="16" t="n">
        <x:v>0</x:v>
      </x:c>
      <x:c r="O619" s="16" t="n">
        <x:v>15</x:v>
      </x:c>
      <x:c r="P619" s="16" t="n">
        <x:v>3</x:v>
      </x:c>
      <x:c r="Q619" s="16" t="n">
        <x:v>6</x:v>
      </x:c>
      <x:c r="R619" s="16" t="n">
        <x:v>1</x:v>
      </x:c>
      <x:c r="S619" s="16" t="n">
        <x:v>7</x:v>
      </x:c>
      <x:c r="T619" s="16" t="n">
        <x:v>6</x:v>
      </x:c>
      <x:c r="U619" s="16" t="n">
        <x:v>0</x:v>
      </x:c>
      <x:c r="V619" s="16" t="n">
        <x:v>0</x:v>
      </x:c>
      <x:c r="W619" s="16" t="n">
        <x:v>0</x:v>
      </x:c>
      <x:c r="X619" s="16" t="n">
        <x:v>0</x:v>
      </x:c>
      <x:c r="Y619" s="16" t="n">
        <x:v>0</x:v>
      </x:c>
      <x:c r="Z619" s="16" t="n">
        <x:v>0</x:v>
      </x:c>
      <x:c r="AA619" s="16" t="n">
        <x:v>3</x:v>
      </x:c>
      <x:c r="AB619" s="16" t="n">
        <x:v>11</x:v>
      </x:c>
      <x:c r="AC619" s="16" t="n">
        <x:v>0</x:v>
      </x:c>
      <x:c r="AD619" s="21" t="n">
        <x:f>IF(E619="",MEDIAN($E$2:$E$2237),E619)</x:f>
        <x:v>54456</x:v>
      </x:c>
      <x:c r="AE619" s="17" t="n">
        <x:f>2014-B619</x:f>
        <x:v>53</x:v>
      </x:c>
      <x:c r="AF619" s="17" t="n">
        <x:f>F619+G619</x:f>
        <x:v>1</x:v>
      </x:c>
      <x:c r="AG619" s="21" t="n">
        <x:f>SUM(J619:O619)</x:f>
        <x:v>404</x:v>
      </x:c>
      <x:c r="AH619" s="17" t="n">
        <x:f>SUM(Q619:S619)</x:f>
        <x:v>14</x:v>
      </x:c>
      <x:c r="AI619" s="17" t="n">
        <x:f>SUM(U619:Y619)</x:f>
        <x:v>0</x:v>
      </x:c>
      <x:c r="AJ619" s="17" t="str">
        <x:f>IF(AE619&lt;=34,"≤34",IF(AE619&lt;=44,"35–44",IF(AE619&lt;=54,"45–54",IF(AE619&lt;=64,"55–64","65+"))))</x:f>
        <x:v>45–54</x:v>
      </x:c>
      <x:c r="AK619" s="17" t="str">
        <x:f>IF(AG619&gt;=1000,"High Value",IF(AG619&gt;=300,"Mid Value","Low Value"))</x:f>
        <x:v>Mid Value</x:v>
      </x:c>
      <x:c r="AL619" s="17" t="str">
        <x:f>IF(AND(AI619&gt;=1,I619&lt;=50),"Priority 1",IF(AND(AG619&gt;=1000,I619&lt;=60),"Priority 2",IF(I619&lt;=30,"Priority 3","Nurture")))</x:f>
        <x:v>Priority 3</x:v>
      </x:c>
    </x:row>
    <x:row r="620">
      <x:c r="A620" s="16" t="n">
        <x:v>6941</x:v>
      </x:c>
      <x:c r="B620" s="16" t="n">
        <x:v>1971</x:v>
      </x:c>
      <x:c r="C620" s="16" t="str">
        <x:v>Graduation</x:v>
      </x:c>
      <x:c r="D620" s="16" t="str">
        <x:v>Single</x:v>
      </x:c>
      <x:c r="E620" s="16" t="n">
        <x:v>31632</x:v>
      </x:c>
      <x:c r="F620" s="16" t="n">
        <x:v>0</x:v>
      </x:c>
      <x:c r="G620" s="16" t="n">
        <x:v>0</x:v>
      </x:c>
      <x:c r="H620" s="16" t="str">
        <x:v>14-07-2013</x:v>
      </x:c>
      <x:c r="I620" s="16" t="n">
        <x:v>92</x:v>
      </x:c>
      <x:c r="J620" s="16" t="n">
        <x:v>17</x:v>
      </x:c>
      <x:c r="K620" s="16" t="n">
        <x:v>8</x:v>
      </x:c>
      <x:c r="L620" s="16" t="n">
        <x:v>12</x:v>
      </x:c>
      <x:c r="M620" s="16" t="n">
        <x:v>11</x:v>
      </x:c>
      <x:c r="N620" s="16" t="n">
        <x:v>15</x:v>
      </x:c>
      <x:c r="O620" s="16" t="n">
        <x:v>32</x:v>
      </x:c>
      <x:c r="P620" s="16" t="n">
        <x:v>1</x:v>
      </x:c>
      <x:c r="Q620" s="16" t="n">
        <x:v>2</x:v>
      </x:c>
      <x:c r="R620" s="16" t="n">
        <x:v>1</x:v>
      </x:c>
      <x:c r="S620" s="16" t="n">
        <x:v>2</x:v>
      </x:c>
      <x:c r="T620" s="16" t="n">
        <x:v>7</x:v>
      </x:c>
      <x:c r="U620" s="16" t="n">
        <x:v>0</x:v>
      </x:c>
      <x:c r="V620" s="16" t="n">
        <x:v>0</x:v>
      </x:c>
      <x:c r="W620" s="16" t="n">
        <x:v>0</x:v>
      </x:c>
      <x:c r="X620" s="16" t="n">
        <x:v>0</x:v>
      </x:c>
      <x:c r="Y620" s="16" t="n">
        <x:v>0</x:v>
      </x:c>
      <x:c r="Z620" s="16" t="n">
        <x:v>0</x:v>
      </x:c>
      <x:c r="AA620" s="16" t="n">
        <x:v>3</x:v>
      </x:c>
      <x:c r="AB620" s="16" t="n">
        <x:v>11</x:v>
      </x:c>
      <x:c r="AC620" s="16" t="n">
        <x:v>0</x:v>
      </x:c>
      <x:c r="AD620" s="21" t="n">
        <x:f>IF(E620="",MEDIAN($E$2:$E$2237),E620)</x:f>
        <x:v>31632</x:v>
      </x:c>
      <x:c r="AE620" s="17" t="n">
        <x:f>2014-B620</x:f>
        <x:v>43</x:v>
      </x:c>
      <x:c r="AF620" s="17" t="n">
        <x:f>F620+G620</x:f>
        <x:v>0</x:v>
      </x:c>
      <x:c r="AG620" s="21" t="n">
        <x:f>SUM(J620:O620)</x:f>
        <x:v>95</x:v>
      </x:c>
      <x:c r="AH620" s="17" t="n">
        <x:f>SUM(Q620:S620)</x:f>
        <x:v>5</x:v>
      </x:c>
      <x:c r="AI620" s="17" t="n">
        <x:f>SUM(U620:Y620)</x:f>
        <x:v>0</x:v>
      </x:c>
      <x:c r="AJ620" s="17" t="str">
        <x:f>IF(AE620&lt;=34,"≤34",IF(AE620&lt;=44,"35–44",IF(AE620&lt;=54,"45–54",IF(AE620&lt;=64,"55–64","65+"))))</x:f>
        <x:v>35–44</x:v>
      </x:c>
      <x:c r="AK620" s="17" t="str">
        <x:f>IF(AG620&gt;=1000,"High Value",IF(AG620&gt;=300,"Mid Value","Low Value"))</x:f>
        <x:v>Low Value</x:v>
      </x:c>
      <x:c r="AL620" s="17" t="str">
        <x:f>IF(AND(AI620&gt;=1,I620&lt;=50),"Priority 1",IF(AND(AG620&gt;=1000,I620&lt;=60),"Priority 2",IF(I620&lt;=30,"Priority 3","Nurture")))</x:f>
        <x:v>Nurture</x:v>
      </x:c>
    </x:row>
    <x:row r="621">
      <x:c r="A621" s="16" t="n">
        <x:v>10972</x:v>
      </x:c>
      <x:c r="B621" s="16" t="n">
        <x:v>1949</x:v>
      </x:c>
      <x:c r="C621" s="16" t="str">
        <x:v>Graduation</x:v>
      </x:c>
      <x:c r="D621" s="16" t="str">
        <x:v>Widow</x:v>
      </x:c>
      <x:c r="E621" s="16" t="n">
        <x:v>72298</x:v>
      </x:c>
      <x:c r="F621" s="16" t="n">
        <x:v>0</x:v>
      </x:c>
      <x:c r="G621" s="16" t="n">
        <x:v>0</x:v>
      </x:c>
      <x:c r="H621" s="16" t="str">
        <x:v>10-03-2014</x:v>
      </x:c>
      <x:c r="I621" s="16" t="n">
        <x:v>52</x:v>
      </x:c>
      <x:c r="J621" s="16" t="n">
        <x:v>625</x:v>
      </x:c>
      <x:c r="K621" s="16" t="n">
        <x:v>35</x:v>
      </x:c>
      <x:c r="L621" s="16" t="n">
        <x:v>169</x:v>
      </x:c>
      <x:c r="M621" s="16" t="n">
        <x:v>58</x:v>
      </x:c>
      <x:c r="N621" s="16" t="n">
        <x:v>17</x:v>
      </x:c>
      <x:c r="O621" s="16" t="n">
        <x:v>35</x:v>
      </x:c>
      <x:c r="P621" s="16" t="n">
        <x:v>1</x:v>
      </x:c>
      <x:c r="Q621" s="16" t="n">
        <x:v>4</x:v>
      </x:c>
      <x:c r="R621" s="16" t="n">
        <x:v>3</x:v>
      </x:c>
      <x:c r="S621" s="16" t="n">
        <x:v>6</x:v>
      </x:c>
      <x:c r="T621" s="16" t="n">
        <x:v>1</x:v>
      </x:c>
      <x:c r="U621" s="16" t="n">
        <x:v>0</x:v>
      </x:c>
      <x:c r="V621" s="16" t="n">
        <x:v>1</x:v>
      </x:c>
      <x:c r="W621" s="16" t="n">
        <x:v>1</x:v>
      </x:c>
      <x:c r="X621" s="16" t="n">
        <x:v>0</x:v>
      </x:c>
      <x:c r="Y621" s="16" t="n">
        <x:v>0</x:v>
      </x:c>
      <x:c r="Z621" s="16" t="n">
        <x:v>0</x:v>
      </x:c>
      <x:c r="AA621" s="16" t="n">
        <x:v>3</x:v>
      </x:c>
      <x:c r="AB621" s="16" t="n">
        <x:v>11</x:v>
      </x:c>
      <x:c r="AC621" s="16" t="n">
        <x:v>0</x:v>
      </x:c>
      <x:c r="AD621" s="21" t="n">
        <x:f>IF(E621="",MEDIAN($E$2:$E$2237),E621)</x:f>
        <x:v>72298</x:v>
      </x:c>
      <x:c r="AE621" s="17" t="n">
        <x:f>2014-B621</x:f>
        <x:v>65</x:v>
      </x:c>
      <x:c r="AF621" s="17" t="n">
        <x:f>F621+G621</x:f>
        <x:v>0</x:v>
      </x:c>
      <x:c r="AG621" s="21" t="n">
        <x:f>SUM(J621:O621)</x:f>
        <x:v>939</x:v>
      </x:c>
      <x:c r="AH621" s="17" t="n">
        <x:f>SUM(Q621:S621)</x:f>
        <x:v>13</x:v>
      </x:c>
      <x:c r="AI621" s="17" t="n">
        <x:f>SUM(U621:Y621)</x:f>
        <x:v>2</x:v>
      </x:c>
      <x:c r="AJ621" s="17" t="str">
        <x:f>IF(AE621&lt;=34,"≤34",IF(AE621&lt;=44,"35–44",IF(AE621&lt;=54,"45–54",IF(AE621&lt;=64,"55–64","65+"))))</x:f>
        <x:v>65+</x:v>
      </x:c>
      <x:c r="AK621" s="17" t="str">
        <x:f>IF(AG621&gt;=1000,"High Value",IF(AG621&gt;=300,"Mid Value","Low Value"))</x:f>
        <x:v>Mid Value</x:v>
      </x:c>
      <x:c r="AL621" s="17" t="str">
        <x:f>IF(AND(AI621&gt;=1,I621&lt;=50),"Priority 1",IF(AND(AG621&gt;=1000,I621&lt;=60),"Priority 2",IF(I621&lt;=30,"Priority 3","Nurture")))</x:f>
        <x:v>Nurture</x:v>
      </x:c>
    </x:row>
    <x:row r="622">
      <x:c r="A622" s="16" t="n">
        <x:v>10708</x:v>
      </x:c>
      <x:c r="B622" s="16" t="n">
        <x:v>1978</x:v>
      </x:c>
      <x:c r="C622" s="16" t="str">
        <x:v>2n Cycle</x:v>
      </x:c>
      <x:c r="D622" s="16" t="str">
        <x:v>Single</x:v>
      </x:c>
      <x:c r="E622" s="16" t="n">
        <x:v>36975</x:v>
      </x:c>
      <x:c r="F622" s="16" t="n">
        <x:v>1</x:v>
      </x:c>
      <x:c r="G622" s="16" t="n">
        <x:v>0</x:v>
      </x:c>
      <x:c r="H622" s="16" t="str">
        <x:v>28-12-2013</x:v>
      </x:c>
      <x:c r="I622" s="16" t="n">
        <x:v>50</x:v>
      </x:c>
      <x:c r="J622" s="16" t="n">
        <x:v>10</x:v>
      </x:c>
      <x:c r="K622" s="16" t="n">
        <x:v>6</x:v>
      </x:c>
      <x:c r="L622" s="16" t="n">
        <x:v>11</x:v>
      </x:c>
      <x:c r="M622" s="16" t="n">
        <x:v>0</x:v>
      </x:c>
      <x:c r="N622" s="16" t="n">
        <x:v>4</x:v>
      </x:c>
      <x:c r="O622" s="16" t="n">
        <x:v>2</x:v>
      </x:c>
      <x:c r="P622" s="16" t="n">
        <x:v>1</x:v>
      </x:c>
      <x:c r="Q622" s="16" t="n">
        <x:v>1</x:v>
      </x:c>
      <x:c r="R622" s="16" t="n">
        <x:v>0</x:v>
      </x:c>
      <x:c r="S622" s="16" t="n">
        <x:v>3</x:v>
      </x:c>
      <x:c r="T622" s="16" t="n">
        <x:v>7</x:v>
      </x:c>
      <x:c r="U622" s="16" t="n">
        <x:v>0</x:v>
      </x:c>
      <x:c r="V622" s="16" t="n">
        <x:v>0</x:v>
      </x:c>
      <x:c r="W622" s="16" t="n">
        <x:v>0</x:v>
      </x:c>
      <x:c r="X622" s="16" t="n">
        <x:v>0</x:v>
      </x:c>
      <x:c r="Y622" s="16" t="n">
        <x:v>0</x:v>
      </x:c>
      <x:c r="Z622" s="16" t="n">
        <x:v>0</x:v>
      </x:c>
      <x:c r="AA622" s="16" t="n">
        <x:v>3</x:v>
      </x:c>
      <x:c r="AB622" s="16" t="n">
        <x:v>11</x:v>
      </x:c>
      <x:c r="AC622" s="16" t="n">
        <x:v>0</x:v>
      </x:c>
      <x:c r="AD622" s="21" t="n">
        <x:f>IF(E622="",MEDIAN($E$2:$E$2237),E622)</x:f>
        <x:v>36975</x:v>
      </x:c>
      <x:c r="AE622" s="17" t="n">
        <x:f>2014-B622</x:f>
        <x:v>36</x:v>
      </x:c>
      <x:c r="AF622" s="17" t="n">
        <x:f>F622+G622</x:f>
        <x:v>1</x:v>
      </x:c>
      <x:c r="AG622" s="21" t="n">
        <x:f>SUM(J622:O622)</x:f>
        <x:v>33</x:v>
      </x:c>
      <x:c r="AH622" s="17" t="n">
        <x:f>SUM(Q622:S622)</x:f>
        <x:v>4</x:v>
      </x:c>
      <x:c r="AI622" s="17" t="n">
        <x:f>SUM(U622:Y622)</x:f>
        <x:v>0</x:v>
      </x:c>
      <x:c r="AJ622" s="17" t="str">
        <x:f>IF(AE622&lt;=34,"≤34",IF(AE622&lt;=44,"35–44",IF(AE622&lt;=54,"45–54",IF(AE622&lt;=64,"55–64","65+"))))</x:f>
        <x:v>35–44</x:v>
      </x:c>
      <x:c r="AK622" s="17" t="str">
        <x:f>IF(AG622&gt;=1000,"High Value",IF(AG622&gt;=300,"Mid Value","Low Value"))</x:f>
        <x:v>Low Value</x:v>
      </x:c>
      <x:c r="AL622" s="17" t="str">
        <x:f>IF(AND(AI622&gt;=1,I622&lt;=50),"Priority 1",IF(AND(AG622&gt;=1000,I622&lt;=60),"Priority 2",IF(I622&lt;=30,"Priority 3","Nurture")))</x:f>
        <x:v>Nurture</x:v>
      </x:c>
    </x:row>
    <x:row r="623">
      <x:c r="A623" s="16" t="n">
        <x:v>6583</x:v>
      </x:c>
      <x:c r="B623" s="16" t="n">
        <x:v>1955</x:v>
      </x:c>
      <x:c r="C623" s="16" t="str">
        <x:v>2n Cycle</x:v>
      </x:c>
      <x:c r="D623" s="16" t="str">
        <x:v>Married</x:v>
      </x:c>
      <x:c r="E623" s="16" t="n">
        <x:v>72635</x:v>
      </x:c>
      <x:c r="F623" s="16" t="n">
        <x:v>0</x:v>
      </x:c>
      <x:c r="G623" s="16" t="n">
        <x:v>0</x:v>
      </x:c>
      <x:c r="H623" s="16" t="str">
        <x:v>03-06-2013</x:v>
      </x:c>
      <x:c r="I623" s="16" t="n">
        <x:v>54</x:v>
      </x:c>
      <x:c r="J623" s="16" t="n">
        <x:v>390</x:v>
      </x:c>
      <x:c r="K623" s="16" t="n">
        <x:v>22</x:v>
      </x:c>
      <x:c r="L623" s="16" t="n">
        <x:v>323</x:v>
      </x:c>
      <x:c r="M623" s="16" t="n">
        <x:v>104</x:v>
      </x:c>
      <x:c r="N623" s="16" t="n">
        <x:v>35</x:v>
      </x:c>
      <x:c r="O623" s="16" t="n">
        <x:v>107</x:v>
      </x:c>
      <x:c r="P623" s="16" t="n">
        <x:v>1</x:v>
      </x:c>
      <x:c r="Q623" s="16" t="n">
        <x:v>6</x:v>
      </x:c>
      <x:c r="R623" s="16" t="n">
        <x:v>8</x:v>
      </x:c>
      <x:c r="S623" s="16" t="n">
        <x:v>6</x:v>
      </x:c>
      <x:c r="T623" s="16" t="n">
        <x:v>3</x:v>
      </x:c>
      <x:c r="U623" s="16" t="n">
        <x:v>0</x:v>
      </x:c>
      <x:c r="V623" s="16" t="n">
        <x:v>0</x:v>
      </x:c>
      <x:c r="W623" s="16" t="n">
        <x:v>0</x:v>
      </x:c>
      <x:c r="X623" s="16" t="n">
        <x:v>1</x:v>
      </x:c>
      <x:c r="Y623" s="16" t="n">
        <x:v>0</x:v>
      </x:c>
      <x:c r="Z623" s="16" t="n">
        <x:v>0</x:v>
      </x:c>
      <x:c r="AA623" s="16" t="n">
        <x:v>3</x:v>
      </x:c>
      <x:c r="AB623" s="16" t="n">
        <x:v>11</x:v>
      </x:c>
      <x:c r="AC623" s="16" t="n">
        <x:v>0</x:v>
      </x:c>
      <x:c r="AD623" s="21" t="n">
        <x:f>IF(E623="",MEDIAN($E$2:$E$2237),E623)</x:f>
        <x:v>72635</x:v>
      </x:c>
      <x:c r="AE623" s="17" t="n">
        <x:f>2014-B623</x:f>
        <x:v>59</x:v>
      </x:c>
      <x:c r="AF623" s="17" t="n">
        <x:f>F623+G623</x:f>
        <x:v>0</x:v>
      </x:c>
      <x:c r="AG623" s="21" t="n">
        <x:f>SUM(J623:O623)</x:f>
        <x:v>981</x:v>
      </x:c>
      <x:c r="AH623" s="17" t="n">
        <x:f>SUM(Q623:S623)</x:f>
        <x:v>20</x:v>
      </x:c>
      <x:c r="AI623" s="17" t="n">
        <x:f>SUM(U623:Y623)</x:f>
        <x:v>1</x:v>
      </x:c>
      <x:c r="AJ623" s="17" t="str">
        <x:f>IF(AE623&lt;=34,"≤34",IF(AE623&lt;=44,"35–44",IF(AE623&lt;=54,"45–54",IF(AE623&lt;=64,"55–64","65+"))))</x:f>
        <x:v>55–64</x:v>
      </x:c>
      <x:c r="AK623" s="17" t="str">
        <x:f>IF(AG623&gt;=1000,"High Value",IF(AG623&gt;=300,"Mid Value","Low Value"))</x:f>
        <x:v>Mid Value</x:v>
      </x:c>
      <x:c r="AL623" s="17" t="str">
        <x:f>IF(AND(AI623&gt;=1,I623&lt;=50),"Priority 1",IF(AND(AG623&gt;=1000,I623&lt;=60),"Priority 2",IF(I623&lt;=30,"Priority 3","Nurture")))</x:f>
        <x:v>Nurture</x:v>
      </x:c>
    </x:row>
    <x:row r="624">
      <x:c r="A624" s="16" t="n">
        <x:v>3641</x:v>
      </x:c>
      <x:c r="B624" s="16" t="n">
        <x:v>1976</x:v>
      </x:c>
      <x:c r="C624" s="16" t="str">
        <x:v>Graduation</x:v>
      </x:c>
      <x:c r="D624" s="16" t="str">
        <x:v>Married</x:v>
      </x:c>
      <x:c r="E624" s="16" t="n">
        <x:v>13624</x:v>
      </x:c>
      <x:c r="F624" s="16" t="n">
        <x:v>1</x:v>
      </x:c>
      <x:c r="G624" s="16" t="n">
        <x:v>0</x:v>
      </x:c>
      <x:c r="H624" s="16" t="str">
        <x:v>20-01-2013</x:v>
      </x:c>
      <x:c r="I624" s="16" t="n">
        <x:v>93</x:v>
      </x:c>
      <x:c r="J624" s="16" t="n">
        <x:v>10</x:v>
      </x:c>
      <x:c r="K624" s="16" t="n">
        <x:v>2</x:v>
      </x:c>
      <x:c r="L624" s="16" t="n">
        <x:v>15</x:v>
      </x:c>
      <x:c r="M624" s="16" t="n">
        <x:v>2</x:v>
      </x:c>
      <x:c r="N624" s="16" t="n">
        <x:v>1</x:v>
      </x:c>
      <x:c r="O624" s="16" t="n">
        <x:v>6</x:v>
      </x:c>
      <x:c r="P624" s="16" t="n">
        <x:v>2</x:v>
      </x:c>
      <x:c r="Q624" s="16" t="n">
        <x:v>2</x:v>
      </x:c>
      <x:c r="R624" s="16" t="n">
        <x:v>0</x:v>
      </x:c>
      <x:c r="S624" s="16" t="n">
        <x:v>3</x:v>
      </x:c>
      <x:c r="T624" s="16" t="n">
        <x:v>6</x:v>
      </x:c>
      <x:c r="U624" s="16" t="n">
        <x:v>0</x:v>
      </x:c>
      <x:c r="V624" s="16" t="n">
        <x:v>0</x:v>
      </x:c>
      <x:c r="W624" s="16" t="n">
        <x:v>0</x:v>
      </x:c>
      <x:c r="X624" s="16" t="n">
        <x:v>0</x:v>
      </x:c>
      <x:c r="Y624" s="16" t="n">
        <x:v>0</x:v>
      </x:c>
      <x:c r="Z624" s="16" t="n">
        <x:v>0</x:v>
      </x:c>
      <x:c r="AA624" s="16" t="n">
        <x:v>3</x:v>
      </x:c>
      <x:c r="AB624" s="16" t="n">
        <x:v>11</x:v>
      </x:c>
      <x:c r="AC624" s="16" t="n">
        <x:v>0</x:v>
      </x:c>
      <x:c r="AD624" s="21" t="n">
        <x:f>IF(E624="",MEDIAN($E$2:$E$2237),E624)</x:f>
        <x:v>13624</x:v>
      </x:c>
      <x:c r="AE624" s="17" t="n">
        <x:f>2014-B624</x:f>
        <x:v>38</x:v>
      </x:c>
      <x:c r="AF624" s="17" t="n">
        <x:f>F624+G624</x:f>
        <x:v>1</x:v>
      </x:c>
      <x:c r="AG624" s="21" t="n">
        <x:f>SUM(J624:O624)</x:f>
        <x:v>36</x:v>
      </x:c>
      <x:c r="AH624" s="17" t="n">
        <x:f>SUM(Q624:S624)</x:f>
        <x:v>5</x:v>
      </x:c>
      <x:c r="AI624" s="17" t="n">
        <x:f>SUM(U624:Y624)</x:f>
        <x:v>0</x:v>
      </x:c>
      <x:c r="AJ624" s="17" t="str">
        <x:f>IF(AE624&lt;=34,"≤34",IF(AE624&lt;=44,"35–44",IF(AE624&lt;=54,"45–54",IF(AE624&lt;=64,"55–64","65+"))))</x:f>
        <x:v>35–44</x:v>
      </x:c>
      <x:c r="AK624" s="17" t="str">
        <x:f>IF(AG624&gt;=1000,"High Value",IF(AG624&gt;=300,"Mid Value","Low Value"))</x:f>
        <x:v>Low Value</x:v>
      </x:c>
      <x:c r="AL624" s="17" t="str">
        <x:f>IF(AND(AI624&gt;=1,I624&lt;=50),"Priority 1",IF(AND(AG624&gt;=1000,I624&lt;=60),"Priority 2",IF(I624&lt;=30,"Priority 3","Nurture")))</x:f>
        <x:v>Nurture</x:v>
      </x:c>
    </x:row>
    <x:row r="625">
      <x:c r="A625" s="16" t="n">
        <x:v>10156</x:v>
      </x:c>
      <x:c r="B625" s="16" t="n">
        <x:v>1975</x:v>
      </x:c>
      <x:c r="C625" s="16" t="str">
        <x:v>Graduation</x:v>
      </x:c>
      <x:c r="D625" s="16" t="str">
        <x:v>Single</x:v>
      </x:c>
      <x:c r="E625" s="16" t="n">
        <x:v>84196</x:v>
      </x:c>
      <x:c r="F625" s="16" t="n">
        <x:v>0</x:v>
      </x:c>
      <x:c r="G625" s="16" t="n">
        <x:v>1</x:v>
      </x:c>
      <x:c r="H625" s="16" t="str">
        <x:v>03-06-2013</x:v>
      </x:c>
      <x:c r="I625" s="16" t="n">
        <x:v>56</x:v>
      </x:c>
      <x:c r="J625" s="16" t="n">
        <x:v>215</x:v>
      </x:c>
      <x:c r="K625" s="16" t="n">
        <x:v>63</x:v>
      </x:c>
      <x:c r="L625" s="16" t="n">
        <x:v>507</x:v>
      </x:c>
      <x:c r="M625" s="16" t="n">
        <x:v>231</x:v>
      </x:c>
      <x:c r="N625" s="16" t="n">
        <x:v>31</x:v>
      </x:c>
      <x:c r="O625" s="16" t="n">
        <x:v>190</x:v>
      </x:c>
      <x:c r="P625" s="16" t="n">
        <x:v>1</x:v>
      </x:c>
      <x:c r="Q625" s="16" t="n">
        <x:v>8</x:v>
      </x:c>
      <x:c r="R625" s="16" t="n">
        <x:v>4</x:v>
      </x:c>
      <x:c r="S625" s="16" t="n">
        <x:v>7</x:v>
      </x:c>
      <x:c r="T625" s="16" t="n">
        <x:v>3</x:v>
      </x:c>
      <x:c r="U625" s="16" t="n">
        <x:v>0</x:v>
      </x:c>
      <x:c r="V625" s="16" t="n">
        <x:v>0</x:v>
      </x:c>
      <x:c r="W625" s="16" t="n">
        <x:v>0</x:v>
      </x:c>
      <x:c r="X625" s="16" t="n">
        <x:v>0</x:v>
      </x:c>
      <x:c r="Y625" s="16" t="n">
        <x:v>0</x:v>
      </x:c>
      <x:c r="Z625" s="16" t="n">
        <x:v>0</x:v>
      </x:c>
      <x:c r="AA625" s="16" t="n">
        <x:v>3</x:v>
      </x:c>
      <x:c r="AB625" s="16" t="n">
        <x:v>11</x:v>
      </x:c>
      <x:c r="AC625" s="16" t="n">
        <x:v>0</x:v>
      </x:c>
      <x:c r="AD625" s="21" t="n">
        <x:f>IF(E625="",MEDIAN($E$2:$E$2237),E625)</x:f>
        <x:v>84196</x:v>
      </x:c>
      <x:c r="AE625" s="17" t="n">
        <x:f>2014-B625</x:f>
        <x:v>39</x:v>
      </x:c>
      <x:c r="AF625" s="17" t="n">
        <x:f>F625+G625</x:f>
        <x:v>1</x:v>
      </x:c>
      <x:c r="AG625" s="21" t="n">
        <x:f>SUM(J625:O625)</x:f>
        <x:v>1237</x:v>
      </x:c>
      <x:c r="AH625" s="17" t="n">
        <x:f>SUM(Q625:S625)</x:f>
        <x:v>19</x:v>
      </x:c>
      <x:c r="AI625" s="17" t="n">
        <x:f>SUM(U625:Y625)</x:f>
        <x:v>0</x:v>
      </x:c>
      <x:c r="AJ625" s="17" t="str">
        <x:f>IF(AE625&lt;=34,"≤34",IF(AE625&lt;=44,"35–44",IF(AE625&lt;=54,"45–54",IF(AE625&lt;=64,"55–64","65+"))))</x:f>
        <x:v>35–44</x:v>
      </x:c>
      <x:c r="AK625" s="17" t="str">
        <x:f>IF(AG625&gt;=1000,"High Value",IF(AG625&gt;=300,"Mid Value","Low Value"))</x:f>
        <x:v>High Value</x:v>
      </x:c>
      <x:c r="AL625" s="17" t="str">
        <x:f>IF(AND(AI625&gt;=1,I625&lt;=50),"Priority 1",IF(AND(AG625&gt;=1000,I625&lt;=60),"Priority 2",IF(I625&lt;=30,"Priority 3","Nurture")))</x:f>
        <x:v>Priority 2</x:v>
      </x:c>
    </x:row>
    <x:row r="626">
      <x:c r="A626" s="16" t="n">
        <x:v>4299</x:v>
      </x:c>
      <x:c r="B626" s="16" t="n">
        <x:v>1960</x:v>
      </x:c>
      <x:c r="C626" s="16" t="str">
        <x:v>Graduation</x:v>
      </x:c>
      <x:c r="D626" s="16" t="str">
        <x:v>Together</x:v>
      </x:c>
      <x:c r="E626" s="16" t="n">
        <x:v>70971</x:v>
      </x:c>
      <x:c r="F626" s="16" t="n">
        <x:v>0</x:v>
      </x:c>
      <x:c r="G626" s="16" t="n">
        <x:v>1</x:v>
      </x:c>
      <x:c r="H626" s="16" t="str">
        <x:v>21-09-2012</x:v>
      </x:c>
      <x:c r="I626" s="16" t="n">
        <x:v>28</x:v>
      </x:c>
      <x:c r="J626" s="16" t="n">
        <x:v>1001</x:v>
      </x:c>
      <x:c r="K626" s="16" t="n">
        <x:v>17</x:v>
      </x:c>
      <x:c r="L626" s="16" t="n">
        <x:v>572</x:v>
      </x:c>
      <x:c r="M626" s="16" t="n">
        <x:v>93</x:v>
      </x:c>
      <x:c r="N626" s="16" t="n">
        <x:v>125</x:v>
      </x:c>
      <x:c r="O626" s="16" t="n">
        <x:v>17</x:v>
      </x:c>
      <x:c r="P626" s="16" t="n">
        <x:v>7</x:v>
      </x:c>
      <x:c r="Q626" s="16" t="n">
        <x:v>11</x:v>
      </x:c>
      <x:c r="R626" s="16" t="n">
        <x:v>11</x:v>
      </x:c>
      <x:c r="S626" s="16" t="n">
        <x:v>5</x:v>
      </x:c>
      <x:c r="T626" s="16" t="n">
        <x:v>7</x:v>
      </x:c>
      <x:c r="U626" s="16" t="n">
        <x:v>0</x:v>
      </x:c>
      <x:c r="V626" s="16" t="n">
        <x:v>0</x:v>
      </x:c>
      <x:c r="W626" s="16" t="n">
        <x:v>0</x:v>
      </x:c>
      <x:c r="X626" s="16" t="n">
        <x:v>0</x:v>
      </x:c>
      <x:c r="Y626" s="16" t="n">
        <x:v>0</x:v>
      </x:c>
      <x:c r="Z626" s="16" t="n">
        <x:v>0</x:v>
      </x:c>
      <x:c r="AA626" s="16" t="n">
        <x:v>3</x:v>
      </x:c>
      <x:c r="AB626" s="16" t="n">
        <x:v>11</x:v>
      </x:c>
      <x:c r="AC626" s="16" t="n">
        <x:v>1</x:v>
      </x:c>
      <x:c r="AD626" s="21" t="n">
        <x:f>IF(E626="",MEDIAN($E$2:$E$2237),E626)</x:f>
        <x:v>70971</x:v>
      </x:c>
      <x:c r="AE626" s="17" t="n">
        <x:f>2014-B626</x:f>
        <x:v>54</x:v>
      </x:c>
      <x:c r="AF626" s="17" t="n">
        <x:f>F626+G626</x:f>
        <x:v>1</x:v>
      </x:c>
      <x:c r="AG626" s="21" t="n">
        <x:f>SUM(J626:O626)</x:f>
        <x:v>1825</x:v>
      </x:c>
      <x:c r="AH626" s="17" t="n">
        <x:f>SUM(Q626:S626)</x:f>
        <x:v>27</x:v>
      </x:c>
      <x:c r="AI626" s="17" t="n">
        <x:f>SUM(U626:Y626)</x:f>
        <x:v>0</x:v>
      </x:c>
      <x:c r="AJ626" s="17" t="str">
        <x:f>IF(AE626&lt;=34,"≤34",IF(AE626&lt;=44,"35–44",IF(AE626&lt;=54,"45–54",IF(AE626&lt;=64,"55–64","65+"))))</x:f>
        <x:v>45–54</x:v>
      </x:c>
      <x:c r="AK626" s="17" t="str">
        <x:f>IF(AG626&gt;=1000,"High Value",IF(AG626&gt;=300,"Mid Value","Low Value"))</x:f>
        <x:v>High Value</x:v>
      </x:c>
      <x:c r="AL626" s="17" t="str">
        <x:f>IF(AND(AI626&gt;=1,I626&lt;=50),"Priority 1",IF(AND(AG626&gt;=1000,I626&lt;=60),"Priority 2",IF(I626&lt;=30,"Priority 3","Nurture")))</x:f>
        <x:v>Priority 2</x:v>
      </x:c>
    </x:row>
    <x:row r="627">
      <x:c r="A627" s="16" t="n">
        <x:v>3469</x:v>
      </x:c>
      <x:c r="B627" s="16" t="n">
        <x:v>1977</x:v>
      </x:c>
      <x:c r="C627" s="16" t="str">
        <x:v>PhD</x:v>
      </x:c>
      <x:c r="D627" s="16" t="str">
        <x:v>Divorced</x:v>
      </x:c>
      <x:c r="E627" s="16" t="n">
        <x:v>34487</x:v>
      </x:c>
      <x:c r="F627" s="16" t="n">
        <x:v>1</x:v>
      </x:c>
      <x:c r="G627" s="16" t="n">
        <x:v>1</x:v>
      </x:c>
      <x:c r="H627" s="16" t="str">
        <x:v>06-09-2012</x:v>
      </x:c>
      <x:c r="I627" s="16" t="n">
        <x:v>94</x:v>
      </x:c>
      <x:c r="J627" s="16" t="n">
        <x:v>19</x:v>
      </x:c>
      <x:c r="K627" s="16" t="n">
        <x:v>18</x:v>
      </x:c>
      <x:c r="L627" s="16" t="n">
        <x:v>33</x:v>
      </x:c>
      <x:c r="M627" s="16" t="n">
        <x:v>24</x:v>
      </x:c>
      <x:c r="N627" s="16" t="n">
        <x:v>1</x:v>
      </x:c>
      <x:c r="O627" s="16" t="n">
        <x:v>8</x:v>
      </x:c>
      <x:c r="P627" s="16" t="n">
        <x:v>3</x:v>
      </x:c>
      <x:c r="Q627" s="16" t="n">
        <x:v>3</x:v>
      </x:c>
      <x:c r="R627" s="16" t="n">
        <x:v>0</x:v>
      </x:c>
      <x:c r="S627" s="16" t="n">
        <x:v>3</x:v>
      </x:c>
      <x:c r="T627" s="16" t="n">
        <x:v>9</x:v>
      </x:c>
      <x:c r="U627" s="16" t="n">
        <x:v>0</x:v>
      </x:c>
      <x:c r="V627" s="16" t="n">
        <x:v>0</x:v>
      </x:c>
      <x:c r="W627" s="16" t="n">
        <x:v>0</x:v>
      </x:c>
      <x:c r="X627" s="16" t="n">
        <x:v>0</x:v>
      </x:c>
      <x:c r="Y627" s="16" t="n">
        <x:v>0</x:v>
      </x:c>
      <x:c r="Z627" s="16" t="n">
        <x:v>0</x:v>
      </x:c>
      <x:c r="AA627" s="16" t="n">
        <x:v>3</x:v>
      </x:c>
      <x:c r="AB627" s="16" t="n">
        <x:v>11</x:v>
      </x:c>
      <x:c r="AC627" s="16" t="n">
        <x:v>0</x:v>
      </x:c>
      <x:c r="AD627" s="21" t="n">
        <x:f>IF(E627="",MEDIAN($E$2:$E$2237),E627)</x:f>
        <x:v>34487</x:v>
      </x:c>
      <x:c r="AE627" s="17" t="n">
        <x:f>2014-B627</x:f>
        <x:v>37</x:v>
      </x:c>
      <x:c r="AF627" s="17" t="n">
        <x:f>F627+G627</x:f>
        <x:v>2</x:v>
      </x:c>
      <x:c r="AG627" s="21" t="n">
        <x:f>SUM(J627:O627)</x:f>
        <x:v>103</x:v>
      </x:c>
      <x:c r="AH627" s="17" t="n">
        <x:f>SUM(Q627:S627)</x:f>
        <x:v>6</x:v>
      </x:c>
      <x:c r="AI627" s="17" t="n">
        <x:f>SUM(U627:Y627)</x:f>
        <x:v>0</x:v>
      </x:c>
      <x:c r="AJ627" s="17" t="str">
        <x:f>IF(AE627&lt;=34,"≤34",IF(AE627&lt;=44,"35–44",IF(AE627&lt;=54,"45–54",IF(AE627&lt;=64,"55–64","65+"))))</x:f>
        <x:v>35–44</x:v>
      </x:c>
      <x:c r="AK627" s="17" t="str">
        <x:f>IF(AG627&gt;=1000,"High Value",IF(AG627&gt;=300,"Mid Value","Low Value"))</x:f>
        <x:v>Low Value</x:v>
      </x:c>
      <x:c r="AL627" s="17" t="str">
        <x:f>IF(AND(AI627&gt;=1,I627&lt;=50),"Priority 1",IF(AND(AG627&gt;=1000,I627&lt;=60),"Priority 2",IF(I627&lt;=30,"Priority 3","Nurture")))</x:f>
        <x:v>Nurture</x:v>
      </x:c>
    </x:row>
    <x:row r="628">
      <x:c r="A628" s="16" t="n">
        <x:v>5063</x:v>
      </x:c>
      <x:c r="B628" s="16" t="n">
        <x:v>1977</x:v>
      </x:c>
      <x:c r="C628" s="16" t="str">
        <x:v>Graduation</x:v>
      </x:c>
      <x:c r="D628" s="16" t="str">
        <x:v>Single</x:v>
      </x:c>
      <x:c r="E628" s="16" t="n">
        <x:v>28769</x:v>
      </x:c>
      <x:c r="F628" s="16" t="n">
        <x:v>1</x:v>
      </x:c>
      <x:c r="G628" s="16" t="n">
        <x:v>0</x:v>
      </x:c>
      <x:c r="H628" s="16" t="str">
        <x:v>18-12-2012</x:v>
      </x:c>
      <x:c r="I628" s="16" t="n">
        <x:v>76</x:v>
      </x:c>
      <x:c r="J628" s="16" t="n">
        <x:v>41</x:v>
      </x:c>
      <x:c r="K628" s="16" t="n">
        <x:v>5</x:v>
      </x:c>
      <x:c r="L628" s="16" t="n">
        <x:v>129</x:v>
      </x:c>
      <x:c r="M628" s="16" t="n">
        <x:v>10</x:v>
      </x:c>
      <x:c r="N628" s="16" t="n">
        <x:v>3</x:v>
      </x:c>
      <x:c r="O628" s="16" t="n">
        <x:v>3</x:v>
      </x:c>
      <x:c r="P628" s="16" t="n">
        <x:v>3</x:v>
      </x:c>
      <x:c r="Q628" s="16" t="n">
        <x:v>4</x:v>
      </x:c>
      <x:c r="R628" s="16" t="n">
        <x:v>1</x:v>
      </x:c>
      <x:c r="S628" s="16" t="n">
        <x:v>4</x:v>
      </x:c>
      <x:c r="T628" s="16" t="n">
        <x:v>9</x:v>
      </x:c>
      <x:c r="U628" s="16" t="n">
        <x:v>0</x:v>
      </x:c>
      <x:c r="V628" s="16" t="n">
        <x:v>0</x:v>
      </x:c>
      <x:c r="W628" s="16" t="n">
        <x:v>0</x:v>
      </x:c>
      <x:c r="X628" s="16" t="n">
        <x:v>0</x:v>
      </x:c>
      <x:c r="Y628" s="16" t="n">
        <x:v>0</x:v>
      </x:c>
      <x:c r="Z628" s="16" t="n">
        <x:v>0</x:v>
      </x:c>
      <x:c r="AA628" s="16" t="n">
        <x:v>3</x:v>
      </x:c>
      <x:c r="AB628" s="16" t="n">
        <x:v>11</x:v>
      </x:c>
      <x:c r="AC628" s="16" t="n">
        <x:v>0</x:v>
      </x:c>
      <x:c r="AD628" s="21" t="n">
        <x:f>IF(E628="",MEDIAN($E$2:$E$2237),E628)</x:f>
        <x:v>28769</x:v>
      </x:c>
      <x:c r="AE628" s="17" t="n">
        <x:f>2014-B628</x:f>
        <x:v>37</x:v>
      </x:c>
      <x:c r="AF628" s="17" t="n">
        <x:f>F628+G628</x:f>
        <x:v>1</x:v>
      </x:c>
      <x:c r="AG628" s="21" t="n">
        <x:f>SUM(J628:O628)</x:f>
        <x:v>191</x:v>
      </x:c>
      <x:c r="AH628" s="17" t="n">
        <x:f>SUM(Q628:S628)</x:f>
        <x:v>9</x:v>
      </x:c>
      <x:c r="AI628" s="17" t="n">
        <x:f>SUM(U628:Y628)</x:f>
        <x:v>0</x:v>
      </x:c>
      <x:c r="AJ628" s="17" t="str">
        <x:f>IF(AE628&lt;=34,"≤34",IF(AE628&lt;=44,"35–44",IF(AE628&lt;=54,"45–54",IF(AE628&lt;=64,"55–64","65+"))))</x:f>
        <x:v>35–44</x:v>
      </x:c>
      <x:c r="AK628" s="17" t="str">
        <x:f>IF(AG628&gt;=1000,"High Value",IF(AG628&gt;=300,"Mid Value","Low Value"))</x:f>
        <x:v>Low Value</x:v>
      </x:c>
      <x:c r="AL628" s="17" t="str">
        <x:f>IF(AND(AI628&gt;=1,I628&lt;=50),"Priority 1",IF(AND(AG628&gt;=1000,I628&lt;=60),"Priority 2",IF(I628&lt;=30,"Priority 3","Nurture")))</x:f>
        <x:v>Nurture</x:v>
      </x:c>
    </x:row>
    <x:row r="629">
      <x:c r="A629" s="16" t="n">
        <x:v>10727</x:v>
      </x:c>
      <x:c r="B629" s="16" t="n">
        <x:v>1970</x:v>
      </x:c>
      <x:c r="C629" s="16" t="str">
        <x:v>PhD</x:v>
      </x:c>
      <x:c r="D629" s="16" t="str">
        <x:v>Married</x:v>
      </x:c>
      <x:c r="E629" s="16" t="n">
        <x:v>69084</x:v>
      </x:c>
      <x:c r="F629" s="16" t="n">
        <x:v>1</x:v>
      </x:c>
      <x:c r="G629" s="16" t="n">
        <x:v>0</x:v>
      </x:c>
      <x:c r="H629" s="16" t="str">
        <x:v>19-11-2013</x:v>
      </x:c>
      <x:c r="I629" s="16" t="n">
        <x:v>43</x:v>
      </x:c>
      <x:c r="J629" s="16" t="n">
        <x:v>1181</x:v>
      </x:c>
      <x:c r="K629" s="16" t="n">
        <x:v>107</x:v>
      </x:c>
      <x:c r="L629" s="16" t="n">
        <x:v>199</x:v>
      </x:c>
      <x:c r="M629" s="16" t="n">
        <x:v>39</x:v>
      </x:c>
      <x:c r="N629" s="16" t="n">
        <x:v>30</x:v>
      </x:c>
      <x:c r="O629" s="16" t="n">
        <x:v>30</x:v>
      </x:c>
      <x:c r="P629" s="16" t="n">
        <x:v>2</x:v>
      </x:c>
      <x:c r="Q629" s="16" t="n">
        <x:v>7</x:v>
      </x:c>
      <x:c r="R629" s="16" t="n">
        <x:v>3</x:v>
      </x:c>
      <x:c r="S629" s="16" t="n">
        <x:v>13</x:v>
      </x:c>
      <x:c r="T629" s="16" t="n">
        <x:v>8</x:v>
      </x:c>
      <x:c r="U629" s="16" t="n">
        <x:v>0</x:v>
      </x:c>
      <x:c r="V629" s="16" t="n">
        <x:v>0</x:v>
      </x:c>
      <x:c r="W629" s="16" t="n">
        <x:v>0</x:v>
      </x:c>
      <x:c r="X629" s="16" t="n">
        <x:v>0</x:v>
      </x:c>
      <x:c r="Y629" s="16" t="n">
        <x:v>0</x:v>
      </x:c>
      <x:c r="Z629" s="16" t="n">
        <x:v>0</x:v>
      </x:c>
      <x:c r="AA629" s="16" t="n">
        <x:v>3</x:v>
      </x:c>
      <x:c r="AB629" s="16" t="n">
        <x:v>11</x:v>
      </x:c>
      <x:c r="AC629" s="16" t="n">
        <x:v>0</x:v>
      </x:c>
      <x:c r="AD629" s="21" t="n">
        <x:f>IF(E629="",MEDIAN($E$2:$E$2237),E629)</x:f>
        <x:v>69084</x:v>
      </x:c>
      <x:c r="AE629" s="17" t="n">
        <x:f>2014-B629</x:f>
        <x:v>44</x:v>
      </x:c>
      <x:c r="AF629" s="17" t="n">
        <x:f>F629+G629</x:f>
        <x:v>1</x:v>
      </x:c>
      <x:c r="AG629" s="21" t="n">
        <x:f>SUM(J629:O629)</x:f>
        <x:v>1586</x:v>
      </x:c>
      <x:c r="AH629" s="17" t="n">
        <x:f>SUM(Q629:S629)</x:f>
        <x:v>23</x:v>
      </x:c>
      <x:c r="AI629" s="17" t="n">
        <x:f>SUM(U629:Y629)</x:f>
        <x:v>0</x:v>
      </x:c>
      <x:c r="AJ629" s="17" t="str">
        <x:f>IF(AE629&lt;=34,"≤34",IF(AE629&lt;=44,"35–44",IF(AE629&lt;=54,"45–54",IF(AE629&lt;=64,"55–64","65+"))))</x:f>
        <x:v>35–44</x:v>
      </x:c>
      <x:c r="AK629" s="17" t="str">
        <x:f>IF(AG629&gt;=1000,"High Value",IF(AG629&gt;=300,"Mid Value","Low Value"))</x:f>
        <x:v>High Value</x:v>
      </x:c>
      <x:c r="AL629" s="17" t="str">
        <x:f>IF(AND(AI629&gt;=1,I629&lt;=50),"Priority 1",IF(AND(AG629&gt;=1000,I629&lt;=60),"Priority 2",IF(I629&lt;=30,"Priority 3","Nurture")))</x:f>
        <x:v>Priority 2</x:v>
      </x:c>
    </x:row>
    <x:row r="630">
      <x:c r="A630" s="16" t="n">
        <x:v>9624</x:v>
      </x:c>
      <x:c r="B630" s="16" t="n">
        <x:v>1958</x:v>
      </x:c>
      <x:c r="C630" s="16" t="str">
        <x:v>PhD</x:v>
      </x:c>
      <x:c r="D630" s="16" t="str">
        <x:v>Together</x:v>
      </x:c>
      <x:c r="E630" s="16" t="n">
        <x:v>65488</x:v>
      </x:c>
      <x:c r="F630" s="16" t="n">
        <x:v>0</x:v>
      </x:c>
      <x:c r="G630" s="16" t="n">
        <x:v>0</x:v>
      </x:c>
      <x:c r="H630" s="16" t="str">
        <x:v>13-06-2014</x:v>
      </x:c>
      <x:c r="I630" s="16" t="n">
        <x:v>46</x:v>
      </x:c>
      <x:c r="J630" s="16" t="n">
        <x:v>603</x:v>
      </x:c>
      <x:c r="K630" s="16" t="n">
        <x:v>45</x:v>
      </x:c>
      <x:c r="L630" s="16" t="n">
        <x:v>207</x:v>
      </x:c>
      <x:c r="M630" s="16" t="n">
        <x:v>36</x:v>
      </x:c>
      <x:c r="N630" s="16" t="n">
        <x:v>18</x:v>
      </x:c>
      <x:c r="O630" s="16" t="n">
        <x:v>54</x:v>
      </x:c>
      <x:c r="P630" s="16" t="n">
        <x:v>1</x:v>
      </x:c>
      <x:c r="Q630" s="16" t="n">
        <x:v>3</x:v>
      </x:c>
      <x:c r="R630" s="16" t="n">
        <x:v>4</x:v>
      </x:c>
      <x:c r="S630" s="16" t="n">
        <x:v>6</x:v>
      </x:c>
      <x:c r="T630" s="16" t="n">
        <x:v>1</x:v>
      </x:c>
      <x:c r="U630" s="16" t="n">
        <x:v>0</x:v>
      </x:c>
      <x:c r="V630" s="16" t="n">
        <x:v>0</x:v>
      </x:c>
      <x:c r="W630" s="16" t="n">
        <x:v>0</x:v>
      </x:c>
      <x:c r="X630" s="16" t="n">
        <x:v>0</x:v>
      </x:c>
      <x:c r="Y630" s="16" t="n">
        <x:v>0</x:v>
      </x:c>
      <x:c r="Z630" s="16" t="n">
        <x:v>0</x:v>
      </x:c>
      <x:c r="AA630" s="16" t="n">
        <x:v>3</x:v>
      </x:c>
      <x:c r="AB630" s="16" t="n">
        <x:v>11</x:v>
      </x:c>
      <x:c r="AC630" s="16" t="n">
        <x:v>0</x:v>
      </x:c>
      <x:c r="AD630" s="21" t="n">
        <x:f>IF(E630="",MEDIAN($E$2:$E$2237),E630)</x:f>
        <x:v>65488</x:v>
      </x:c>
      <x:c r="AE630" s="17" t="n">
        <x:f>2014-B630</x:f>
        <x:v>56</x:v>
      </x:c>
      <x:c r="AF630" s="17" t="n">
        <x:f>F630+G630</x:f>
        <x:v>0</x:v>
      </x:c>
      <x:c r="AG630" s="21" t="n">
        <x:f>SUM(J630:O630)</x:f>
        <x:v>963</x:v>
      </x:c>
      <x:c r="AH630" s="17" t="n">
        <x:f>SUM(Q630:S630)</x:f>
        <x:v>13</x:v>
      </x:c>
      <x:c r="AI630" s="17" t="n">
        <x:f>SUM(U630:Y630)</x:f>
        <x:v>0</x:v>
      </x:c>
      <x:c r="AJ630" s="17" t="str">
        <x:f>IF(AE630&lt;=34,"≤34",IF(AE630&lt;=44,"35–44",IF(AE630&lt;=54,"45–54",IF(AE630&lt;=64,"55–64","65+"))))</x:f>
        <x:v>55–64</x:v>
      </x:c>
      <x:c r="AK630" s="17" t="str">
        <x:f>IF(AG630&gt;=1000,"High Value",IF(AG630&gt;=300,"Mid Value","Low Value"))</x:f>
        <x:v>Mid Value</x:v>
      </x:c>
      <x:c r="AL630" s="17" t="str">
        <x:f>IF(AND(AI630&gt;=1,I630&lt;=50),"Priority 1",IF(AND(AG630&gt;=1000,I630&lt;=60),"Priority 2",IF(I630&lt;=30,"Priority 3","Nurture")))</x:f>
        <x:v>Nurture</x:v>
      </x:c>
    </x:row>
    <x:row r="631">
      <x:c r="A631" s="16" t="n">
        <x:v>5156</x:v>
      </x:c>
      <x:c r="B631" s="16" t="n">
        <x:v>1970</x:v>
      </x:c>
      <x:c r="C631" s="16" t="str">
        <x:v>2n Cycle</x:v>
      </x:c>
      <x:c r="D631" s="16" t="str">
        <x:v>Married</x:v>
      </x:c>
      <x:c r="E631" s="16" t="n">
        <x:v>62466</x:v>
      </x:c>
      <x:c r="F631" s="16" t="n">
        <x:v>0</x:v>
      </x:c>
      <x:c r="G631" s="16" t="n">
        <x:v>1</x:v>
      </x:c>
      <x:c r="H631" s="16" t="str">
        <x:v>15-01-2014</x:v>
      </x:c>
      <x:c r="I631" s="16" t="n">
        <x:v>13</x:v>
      </x:c>
      <x:c r="J631" s="16" t="n">
        <x:v>129</x:v>
      </x:c>
      <x:c r="K631" s="16" t="n">
        <x:v>129</x:v>
      </x:c>
      <x:c r="L631" s="16" t="n">
        <x:v>259</x:v>
      </x:c>
      <x:c r="M631" s="16" t="n">
        <x:v>168</x:v>
      </x:c>
      <x:c r="N631" s="16" t="n">
        <x:v>121</x:v>
      </x:c>
      <x:c r="O631" s="16" t="n">
        <x:v>83</x:v>
      </x:c>
      <x:c r="P631" s="16" t="n">
        <x:v>5</x:v>
      </x:c>
      <x:c r="Q631" s="16" t="n">
        <x:v>6</x:v>
      </x:c>
      <x:c r="R631" s="16" t="n">
        <x:v>3</x:v>
      </x:c>
      <x:c r="S631" s="16" t="n">
        <x:v>12</x:v>
      </x:c>
      <x:c r="T631" s="16" t="n">
        <x:v>4</x:v>
      </x:c>
      <x:c r="U631" s="16" t="n">
        <x:v>0</x:v>
      </x:c>
      <x:c r="V631" s="16" t="n">
        <x:v>0</x:v>
      </x:c>
      <x:c r="W631" s="16" t="n">
        <x:v>0</x:v>
      </x:c>
      <x:c r="X631" s="16" t="n">
        <x:v>0</x:v>
      </x:c>
      <x:c r="Y631" s="16" t="n">
        <x:v>0</x:v>
      </x:c>
      <x:c r="Z631" s="16" t="n">
        <x:v>0</x:v>
      </x:c>
      <x:c r="AA631" s="16" t="n">
        <x:v>3</x:v>
      </x:c>
      <x:c r="AB631" s="16" t="n">
        <x:v>11</x:v>
      </x:c>
      <x:c r="AC631" s="16" t="n">
        <x:v>0</x:v>
      </x:c>
      <x:c r="AD631" s="21" t="n">
        <x:f>IF(E631="",MEDIAN($E$2:$E$2237),E631)</x:f>
        <x:v>62466</x:v>
      </x:c>
      <x:c r="AE631" s="17" t="n">
        <x:f>2014-B631</x:f>
        <x:v>44</x:v>
      </x:c>
      <x:c r="AF631" s="17" t="n">
        <x:f>F631+G631</x:f>
        <x:v>1</x:v>
      </x:c>
      <x:c r="AG631" s="21" t="n">
        <x:f>SUM(J631:O631)</x:f>
        <x:v>889</x:v>
      </x:c>
      <x:c r="AH631" s="17" t="n">
        <x:f>SUM(Q631:S631)</x:f>
        <x:v>21</x:v>
      </x:c>
      <x:c r="AI631" s="17" t="n">
        <x:f>SUM(U631:Y631)</x:f>
        <x:v>0</x:v>
      </x:c>
      <x:c r="AJ631" s="17" t="str">
        <x:f>IF(AE631&lt;=34,"≤34",IF(AE631&lt;=44,"35–44",IF(AE631&lt;=54,"45–54",IF(AE631&lt;=64,"55–64","65+"))))</x:f>
        <x:v>35–44</x:v>
      </x:c>
      <x:c r="AK631" s="17" t="str">
        <x:f>IF(AG631&gt;=1000,"High Value",IF(AG631&gt;=300,"Mid Value","Low Value"))</x:f>
        <x:v>Mid Value</x:v>
      </x:c>
      <x:c r="AL631" s="17" t="str">
        <x:f>IF(AND(AI631&gt;=1,I631&lt;=50),"Priority 1",IF(AND(AG631&gt;=1000,I631&lt;=60),"Priority 2",IF(I631&lt;=30,"Priority 3","Nurture")))</x:f>
        <x:v>Priority 3</x:v>
      </x:c>
    </x:row>
    <x:row r="632">
      <x:c r="A632" s="16" t="n">
        <x:v>4376</x:v>
      </x:c>
      <x:c r="B632" s="16" t="n">
        <x:v>1960</x:v>
      </x:c>
      <x:c r="C632" s="16" t="str">
        <x:v>2n Cycle</x:v>
      </x:c>
      <x:c r="D632" s="16" t="str">
        <x:v>Single</x:v>
      </x:c>
      <x:c r="E632" s="16" t="n">
        <x:v>32218</x:v>
      </x:c>
      <x:c r="F632" s="16" t="n">
        <x:v>0</x:v>
      </x:c>
      <x:c r="G632" s="16" t="n">
        <x:v>0</x:v>
      </x:c>
      <x:c r="H632" s="16" t="str">
        <x:v>15-02-2014</x:v>
      </x:c>
      <x:c r="I632" s="16" t="n">
        <x:v>27</x:v>
      </x:c>
      <x:c r="J632" s="16" t="n">
        <x:v>10</x:v>
      </x:c>
      <x:c r="K632" s="16" t="n">
        <x:v>24</x:v>
      </x:c>
      <x:c r="L632" s="16" t="n">
        <x:v>15</x:v>
      </x:c>
      <x:c r="M632" s="16" t="n">
        <x:v>13</x:v>
      </x:c>
      <x:c r="N632" s="16" t="n">
        <x:v>1</x:v>
      </x:c>
      <x:c r="O632" s="16" t="n">
        <x:v>30</x:v>
      </x:c>
      <x:c r="P632" s="16" t="n">
        <x:v>1</x:v>
      </x:c>
      <x:c r="Q632" s="16" t="n">
        <x:v>2</x:v>
      </x:c>
      <x:c r="R632" s="16" t="n">
        <x:v>1</x:v>
      </x:c>
      <x:c r="S632" s="16" t="n">
        <x:v>3</x:v>
      </x:c>
      <x:c r="T632" s="16" t="n">
        <x:v>7</x:v>
      </x:c>
      <x:c r="U632" s="16" t="n">
        <x:v>1</x:v>
      </x:c>
      <x:c r="V632" s="16" t="n">
        <x:v>0</x:v>
      </x:c>
      <x:c r="W632" s="16" t="n">
        <x:v>0</x:v>
      </x:c>
      <x:c r="X632" s="16" t="n">
        <x:v>0</x:v>
      </x:c>
      <x:c r="Y632" s="16" t="n">
        <x:v>0</x:v>
      </x:c>
      <x:c r="Z632" s="16" t="n">
        <x:v>0</x:v>
      </x:c>
      <x:c r="AA632" s="16" t="n">
        <x:v>3</x:v>
      </x:c>
      <x:c r="AB632" s="16" t="n">
        <x:v>11</x:v>
      </x:c>
      <x:c r="AC632" s="16" t="n">
        <x:v>1</x:v>
      </x:c>
      <x:c r="AD632" s="21" t="n">
        <x:f>IF(E632="",MEDIAN($E$2:$E$2237),E632)</x:f>
        <x:v>32218</x:v>
      </x:c>
      <x:c r="AE632" s="17" t="n">
        <x:f>2014-B632</x:f>
        <x:v>54</x:v>
      </x:c>
      <x:c r="AF632" s="17" t="n">
        <x:f>F632+G632</x:f>
        <x:v>0</x:v>
      </x:c>
      <x:c r="AG632" s="21" t="n">
        <x:f>SUM(J632:O632)</x:f>
        <x:v>93</x:v>
      </x:c>
      <x:c r="AH632" s="17" t="n">
        <x:f>SUM(Q632:S632)</x:f>
        <x:v>6</x:v>
      </x:c>
      <x:c r="AI632" s="17" t="n">
        <x:f>SUM(U632:Y632)</x:f>
        <x:v>1</x:v>
      </x:c>
      <x:c r="AJ632" s="17" t="str">
        <x:f>IF(AE632&lt;=34,"≤34",IF(AE632&lt;=44,"35–44",IF(AE632&lt;=54,"45–54",IF(AE632&lt;=64,"55–64","65+"))))</x:f>
        <x:v>45–54</x:v>
      </x:c>
      <x:c r="AK632" s="17" t="str">
        <x:f>IF(AG632&gt;=1000,"High Value",IF(AG632&gt;=300,"Mid Value","Low Value"))</x:f>
        <x:v>Low Value</x:v>
      </x:c>
      <x:c r="AL632" s="17" t="str">
        <x:f>IF(AND(AI632&gt;=1,I632&lt;=50),"Priority 1",IF(AND(AG632&gt;=1000,I632&lt;=60),"Priority 2",IF(I632&lt;=30,"Priority 3","Nurture")))</x:f>
        <x:v>Priority 1</x:v>
      </x:c>
    </x:row>
    <x:row r="633">
      <x:c r="A633" s="16" t="n">
        <x:v>8923</x:v>
      </x:c>
      <x:c r="B633" s="16" t="n">
        <x:v>1973</x:v>
      </x:c>
      <x:c r="C633" s="16" t="str">
        <x:v>Graduation</x:v>
      </x:c>
      <x:c r="D633" s="16" t="str">
        <x:v>Single</x:v>
      </x:c>
      <x:c r="E633" s="16" t="n">
        <x:v>83917</x:v>
      </x:c>
      <x:c r="F633" s="16" t="n">
        <x:v>0</x:v>
      </x:c>
      <x:c r="G633" s="16" t="n">
        <x:v>0</x:v>
      </x:c>
      <x:c r="H633" s="16" t="str">
        <x:v>18-04-2013</x:v>
      </x:c>
      <x:c r="I633" s="16" t="n">
        <x:v>12</x:v>
      </x:c>
      <x:c r="J633" s="16" t="n">
        <x:v>514</x:v>
      </x:c>
      <x:c r="K633" s="16" t="n">
        <x:v>22</x:v>
      </x:c>
      <x:c r="L633" s="16" t="n">
        <x:v>732</x:v>
      </x:c>
      <x:c r="M633" s="16" t="n">
        <x:v>42</x:v>
      </x:c>
      <x:c r="N633" s="16" t="n">
        <x:v>198</x:v>
      </x:c>
      <x:c r="O633" s="16" t="n">
        <x:v>79</x:v>
      </x:c>
      <x:c r="P633" s="16" t="n">
        <x:v>1</x:v>
      </x:c>
      <x:c r="Q633" s="16" t="n">
        <x:v>6</x:v>
      </x:c>
      <x:c r="R633" s="16" t="n">
        <x:v>7</x:v>
      </x:c>
      <x:c r="S633" s="16" t="n">
        <x:v>7</x:v>
      </x:c>
      <x:c r="T633" s="16" t="n">
        <x:v>3</x:v>
      </x:c>
      <x:c r="U633" s="16" t="n">
        <x:v>0</x:v>
      </x:c>
      <x:c r="V633" s="16" t="n">
        <x:v>0</x:v>
      </x:c>
      <x:c r="W633" s="16" t="n">
        <x:v>0</x:v>
      </x:c>
      <x:c r="X633" s="16" t="n">
        <x:v>0</x:v>
      </x:c>
      <x:c r="Y633" s="16" t="n">
        <x:v>0</x:v>
      </x:c>
      <x:c r="Z633" s="16" t="n">
        <x:v>0</x:v>
      </x:c>
      <x:c r="AA633" s="16" t="n">
        <x:v>3</x:v>
      </x:c>
      <x:c r="AB633" s="16" t="n">
        <x:v>11</x:v>
      </x:c>
      <x:c r="AC633" s="16" t="n">
        <x:v>1</x:v>
      </x:c>
      <x:c r="AD633" s="21" t="n">
        <x:f>IF(E633="",MEDIAN($E$2:$E$2237),E633)</x:f>
        <x:v>83917</x:v>
      </x:c>
      <x:c r="AE633" s="17" t="n">
        <x:f>2014-B633</x:f>
        <x:v>41</x:v>
      </x:c>
      <x:c r="AF633" s="17" t="n">
        <x:f>F633+G633</x:f>
        <x:v>0</x:v>
      </x:c>
      <x:c r="AG633" s="21" t="n">
        <x:f>SUM(J633:O633)</x:f>
        <x:v>1587</x:v>
      </x:c>
      <x:c r="AH633" s="17" t="n">
        <x:f>SUM(Q633:S633)</x:f>
        <x:v>20</x:v>
      </x:c>
      <x:c r="AI633" s="17" t="n">
        <x:f>SUM(U633:Y633)</x:f>
        <x:v>0</x:v>
      </x:c>
      <x:c r="AJ633" s="17" t="str">
        <x:f>IF(AE633&lt;=34,"≤34",IF(AE633&lt;=44,"35–44",IF(AE633&lt;=54,"45–54",IF(AE633&lt;=64,"55–64","65+"))))</x:f>
        <x:v>35–44</x:v>
      </x:c>
      <x:c r="AK633" s="17" t="str">
        <x:f>IF(AG633&gt;=1000,"High Value",IF(AG633&gt;=300,"Mid Value","Low Value"))</x:f>
        <x:v>High Value</x:v>
      </x:c>
      <x:c r="AL633" s="17" t="str">
        <x:f>IF(AND(AI633&gt;=1,I633&lt;=50),"Priority 1",IF(AND(AG633&gt;=1000,I633&lt;=60),"Priority 2",IF(I633&lt;=30,"Priority 3","Nurture")))</x:f>
        <x:v>Priority 2</x:v>
      </x:c>
    </x:row>
    <x:row r="634">
      <x:c r="A634" s="16" t="n">
        <x:v>8461</x:v>
      </x:c>
      <x:c r="B634" s="16" t="n">
        <x:v>1962</x:v>
      </x:c>
      <x:c r="C634" s="16" t="str">
        <x:v>Graduation</x:v>
      </x:c>
      <x:c r="D634" s="16" t="str">
        <x:v>Divorced</x:v>
      </x:c>
      <x:c r="E634" s="16" t="n">
        <x:v>46102</x:v>
      </x:c>
      <x:c r="F634" s="16" t="n">
        <x:v>2</x:v>
      </x:c>
      <x:c r="G634" s="16" t="n">
        <x:v>1</x:v>
      </x:c>
      <x:c r="H634" s="16" t="str">
        <x:v>10-03-2014</x:v>
      </x:c>
      <x:c r="I634" s="16" t="n">
        <x:v>3</x:v>
      </x:c>
      <x:c r="J634" s="16" t="n">
        <x:v>14</x:v>
      </x:c>
      <x:c r="K634" s="16" t="n">
        <x:v>0</x:v>
      </x:c>
      <x:c r="L634" s="16" t="n">
        <x:v>1</x:v>
      </x:c>
      <x:c r="M634" s="16" t="n">
        <x:v>0</x:v>
      </x:c>
      <x:c r="N634" s="16" t="n">
        <x:v>0</x:v>
      </x:c>
      <x:c r="O634" s="16" t="n">
        <x:v>1</x:v>
      </x:c>
      <x:c r="P634" s="16" t="n">
        <x:v>1</x:v>
      </x:c>
      <x:c r="Q634" s="16" t="n">
        <x:v>1</x:v>
      </x:c>
      <x:c r="R634" s="16" t="n">
        <x:v>0</x:v>
      </x:c>
      <x:c r="S634" s="16" t="n">
        <x:v>2</x:v>
      </x:c>
      <x:c r="T634" s="16" t="n">
        <x:v>7</x:v>
      </x:c>
      <x:c r="U634" s="16" t="n">
        <x:v>0</x:v>
      </x:c>
      <x:c r="V634" s="16" t="n">
        <x:v>0</x:v>
      </x:c>
      <x:c r="W634" s="16" t="n">
        <x:v>0</x:v>
      </x:c>
      <x:c r="X634" s="16" t="n">
        <x:v>0</x:v>
      </x:c>
      <x:c r="Y634" s="16" t="n">
        <x:v>0</x:v>
      </x:c>
      <x:c r="Z634" s="16" t="n">
        <x:v>0</x:v>
      </x:c>
      <x:c r="AA634" s="16" t="n">
        <x:v>3</x:v>
      </x:c>
      <x:c r="AB634" s="16" t="n">
        <x:v>11</x:v>
      </x:c>
      <x:c r="AC634" s="16" t="n">
        <x:v>0</x:v>
      </x:c>
      <x:c r="AD634" s="21" t="n">
        <x:f>IF(E634="",MEDIAN($E$2:$E$2237),E634)</x:f>
        <x:v>46102</x:v>
      </x:c>
      <x:c r="AE634" s="17" t="n">
        <x:f>2014-B634</x:f>
        <x:v>52</x:v>
      </x:c>
      <x:c r="AF634" s="17" t="n">
        <x:f>F634+G634</x:f>
        <x:v>3</x:v>
      </x:c>
      <x:c r="AG634" s="21" t="n">
        <x:f>SUM(J634:O634)</x:f>
        <x:v>16</x:v>
      </x:c>
      <x:c r="AH634" s="17" t="n">
        <x:f>SUM(Q634:S634)</x:f>
        <x:v>3</x:v>
      </x:c>
      <x:c r="AI634" s="17" t="n">
        <x:f>SUM(U634:Y634)</x:f>
        <x:v>0</x:v>
      </x:c>
      <x:c r="AJ634" s="17" t="str">
        <x:f>IF(AE634&lt;=34,"≤34",IF(AE634&lt;=44,"35–44",IF(AE634&lt;=54,"45–54",IF(AE634&lt;=64,"55–64","65+"))))</x:f>
        <x:v>45–54</x:v>
      </x:c>
      <x:c r="AK634" s="17" t="str">
        <x:f>IF(AG634&gt;=1000,"High Value",IF(AG634&gt;=300,"Mid Value","Low Value"))</x:f>
        <x:v>Low Value</x:v>
      </x:c>
      <x:c r="AL634" s="17" t="str">
        <x:f>IF(AND(AI634&gt;=1,I634&lt;=50),"Priority 1",IF(AND(AG634&gt;=1000,I634&lt;=60),"Priority 2",IF(I634&lt;=30,"Priority 3","Nurture")))</x:f>
        <x:v>Priority 3</x:v>
      </x:c>
    </x:row>
    <x:row r="635">
      <x:c r="A635" s="16" t="n">
        <x:v>6945</x:v>
      </x:c>
      <x:c r="B635" s="16" t="n">
        <x:v>1952</x:v>
      </x:c>
      <x:c r="C635" s="16" t="str">
        <x:v>Graduation</x:v>
      </x:c>
      <x:c r="D635" s="16" t="str">
        <x:v>Single</x:v>
      </x:c>
      <x:c r="E635" s="16" t="n">
        <x:v>84574</x:v>
      </x:c>
      <x:c r="F635" s="16" t="n">
        <x:v>0</x:v>
      </x:c>
      <x:c r="G635" s="16" t="n">
        <x:v>0</x:v>
      </x:c>
      <x:c r="H635" s="16" t="str">
        <x:v>04-06-2013</x:v>
      </x:c>
      <x:c r="I635" s="16" t="n">
        <x:v>72</x:v>
      </x:c>
      <x:c r="J635" s="16" t="n">
        <x:v>387</x:v>
      </x:c>
      <x:c r="K635" s="16" t="n">
        <x:v>20</x:v>
      </x:c>
      <x:c r="L635" s="16" t="n">
        <x:v>713</x:v>
      </x:c>
      <x:c r="M635" s="16" t="n">
        <x:v>38</x:v>
      </x:c>
      <x:c r="N635" s="16" t="n">
        <x:v>54</x:v>
      </x:c>
      <x:c r="O635" s="16" t="n">
        <x:v>163</x:v>
      </x:c>
      <x:c r="P635" s="16" t="n">
        <x:v>1</x:v>
      </x:c>
      <x:c r="Q635" s="16" t="n">
        <x:v>9</x:v>
      </x:c>
      <x:c r="R635" s="16" t="n">
        <x:v>11</x:v>
      </x:c>
      <x:c r="S635" s="16" t="n">
        <x:v>11</x:v>
      </x:c>
      <x:c r="T635" s="16" t="n">
        <x:v>5</x:v>
      </x:c>
      <x:c r="U635" s="16" t="n">
        <x:v>0</x:v>
      </x:c>
      <x:c r="V635" s="16" t="n">
        <x:v>0</x:v>
      </x:c>
      <x:c r="W635" s="16" t="n">
        <x:v>0</x:v>
      </x:c>
      <x:c r="X635" s="16" t="n">
        <x:v>0</x:v>
      </x:c>
      <x:c r="Y635" s="16" t="n">
        <x:v>0</x:v>
      </x:c>
      <x:c r="Z635" s="16" t="n">
        <x:v>0</x:v>
      </x:c>
      <x:c r="AA635" s="16" t="n">
        <x:v>3</x:v>
      </x:c>
      <x:c r="AB635" s="16" t="n">
        <x:v>11</x:v>
      </x:c>
      <x:c r="AC635" s="16" t="n">
        <x:v>0</x:v>
      </x:c>
      <x:c r="AD635" s="21" t="n">
        <x:f>IF(E635="",MEDIAN($E$2:$E$2237),E635)</x:f>
        <x:v>84574</x:v>
      </x:c>
      <x:c r="AE635" s="17" t="n">
        <x:f>2014-B635</x:f>
        <x:v>62</x:v>
      </x:c>
      <x:c r="AF635" s="17" t="n">
        <x:f>F635+G635</x:f>
        <x:v>0</x:v>
      </x:c>
      <x:c r="AG635" s="21" t="n">
        <x:f>SUM(J635:O635)</x:f>
        <x:v>1375</x:v>
      </x:c>
      <x:c r="AH635" s="17" t="n">
        <x:f>SUM(Q635:S635)</x:f>
        <x:v>31</x:v>
      </x:c>
      <x:c r="AI635" s="17" t="n">
        <x:f>SUM(U635:Y635)</x:f>
        <x:v>0</x:v>
      </x:c>
      <x:c r="AJ635" s="17" t="str">
        <x:f>IF(AE635&lt;=34,"≤34",IF(AE635&lt;=44,"35–44",IF(AE635&lt;=54,"45–54",IF(AE635&lt;=64,"55–64","65+"))))</x:f>
        <x:v>55–64</x:v>
      </x:c>
      <x:c r="AK635" s="17" t="str">
        <x:f>IF(AG635&gt;=1000,"High Value",IF(AG635&gt;=300,"Mid Value","Low Value"))</x:f>
        <x:v>High Value</x:v>
      </x:c>
      <x:c r="AL635" s="17" t="str">
        <x:f>IF(AND(AI635&gt;=1,I635&lt;=50),"Priority 1",IF(AND(AG635&gt;=1000,I635&lt;=60),"Priority 2",IF(I635&lt;=30,"Priority 3","Nurture")))</x:f>
        <x:v>Nurture</x:v>
      </x:c>
    </x:row>
    <x:row r="636">
      <x:c r="A636" s="16" t="n">
        <x:v>944</x:v>
      </x:c>
      <x:c r="B636" s="16" t="n">
        <x:v>1962</x:v>
      </x:c>
      <x:c r="C636" s="16" t="str">
        <x:v>Graduation</x:v>
      </x:c>
      <x:c r="D636" s="16" t="str">
        <x:v>Married</x:v>
      </x:c>
      <x:c r="E636" s="16" t="n">
        <x:v>56181</x:v>
      </x:c>
      <x:c r="F636" s="16" t="n">
        <x:v>0</x:v>
      </x:c>
      <x:c r="G636" s="16" t="n">
        <x:v>1</x:v>
      </x:c>
      <x:c r="H636" s="16" t="str">
        <x:v>08-01-2013</x:v>
      </x:c>
      <x:c r="I636" s="16" t="n">
        <x:v>6</x:v>
      </x:c>
      <x:c r="J636" s="16" t="n">
        <x:v>121</x:v>
      </x:c>
      <x:c r="K636" s="16" t="n">
        <x:v>103</x:v>
      </x:c>
      <x:c r="L636" s="16" t="n">
        <x:v>69</x:v>
      </x:c>
      <x:c r="M636" s="16" t="n">
        <x:v>8</x:v>
      </x:c>
      <x:c r="N636" s="16" t="n">
        <x:v>44</x:v>
      </x:c>
      <x:c r="O636" s="16" t="n">
        <x:v>48</x:v>
      </x:c>
      <x:c r="P636" s="16" t="n">
        <x:v>1</x:v>
      </x:c>
      <x:c r="Q636" s="16" t="n">
        <x:v>4</x:v>
      </x:c>
      <x:c r="R636" s="16" t="n">
        <x:v>2</x:v>
      </x:c>
      <x:c r="S636" s="16" t="n">
        <x:v>7</x:v>
      </x:c>
      <x:c r="T636" s="16" t="n">
        <x:v>4</x:v>
      </x:c>
      <x:c r="U636" s="16" t="n">
        <x:v>0</x:v>
      </x:c>
      <x:c r="V636" s="16" t="n">
        <x:v>0</x:v>
      </x:c>
      <x:c r="W636" s="16" t="n">
        <x:v>0</x:v>
      </x:c>
      <x:c r="X636" s="16" t="n">
        <x:v>0</x:v>
      </x:c>
      <x:c r="Y636" s="16" t="n">
        <x:v>0</x:v>
      </x:c>
      <x:c r="Z636" s="16" t="n">
        <x:v>0</x:v>
      </x:c>
      <x:c r="AA636" s="16" t="n">
        <x:v>3</x:v>
      </x:c>
      <x:c r="AB636" s="16" t="n">
        <x:v>11</x:v>
      </x:c>
      <x:c r="AC636" s="16" t="n">
        <x:v>0</x:v>
      </x:c>
      <x:c r="AD636" s="21" t="n">
        <x:f>IF(E636="",MEDIAN($E$2:$E$2237),E636)</x:f>
        <x:v>56181</x:v>
      </x:c>
      <x:c r="AE636" s="17" t="n">
        <x:f>2014-B636</x:f>
        <x:v>52</x:v>
      </x:c>
      <x:c r="AF636" s="17" t="n">
        <x:f>F636+G636</x:f>
        <x:v>1</x:v>
      </x:c>
      <x:c r="AG636" s="21" t="n">
        <x:f>SUM(J636:O636)</x:f>
        <x:v>393</x:v>
      </x:c>
      <x:c r="AH636" s="17" t="n">
        <x:f>SUM(Q636:S636)</x:f>
        <x:v>13</x:v>
      </x:c>
      <x:c r="AI636" s="17" t="n">
        <x:f>SUM(U636:Y636)</x:f>
        <x:v>0</x:v>
      </x:c>
      <x:c r="AJ636" s="17" t="str">
        <x:f>IF(AE636&lt;=34,"≤34",IF(AE636&lt;=44,"35–44",IF(AE636&lt;=54,"45–54",IF(AE636&lt;=64,"55–64","65+"))))</x:f>
        <x:v>45–54</x:v>
      </x:c>
      <x:c r="AK636" s="17" t="str">
        <x:f>IF(AG636&gt;=1000,"High Value",IF(AG636&gt;=300,"Mid Value","Low Value"))</x:f>
        <x:v>Mid Value</x:v>
      </x:c>
      <x:c r="AL636" s="17" t="str">
        <x:f>IF(AND(AI636&gt;=1,I636&lt;=50),"Priority 1",IF(AND(AG636&gt;=1000,I636&lt;=60),"Priority 2",IF(I636&lt;=30,"Priority 3","Nurture")))</x:f>
        <x:v>Priority 3</x:v>
      </x:c>
    </x:row>
    <x:row r="637">
      <x:c r="A637" s="16" t="n">
        <x:v>1907</x:v>
      </x:c>
      <x:c r="B637" s="16" t="n">
        <x:v>1950</x:v>
      </x:c>
      <x:c r="C637" s="16" t="str">
        <x:v>Master</x:v>
      </x:c>
      <x:c r="D637" s="16" t="str">
        <x:v>Divorced</x:v>
      </x:c>
      <x:c r="E637" s="16" t="n">
        <x:v>63120</x:v>
      </x:c>
      <x:c r="F637" s="16" t="n">
        <x:v>0</x:v>
      </x:c>
      <x:c r="G637" s="16" t="n">
        <x:v>1</x:v>
      </x:c>
      <x:c r="H637" s="16" t="str">
        <x:v>28-09-2012</x:v>
      </x:c>
      <x:c r="I637" s="16" t="n">
        <x:v>53</x:v>
      </x:c>
      <x:c r="J637" s="16" t="n">
        <x:v>965</x:v>
      </x:c>
      <x:c r="K637" s="16" t="n">
        <x:v>69</x:v>
      </x:c>
      <x:c r="L637" s="16" t="n">
        <x:v>279</x:v>
      </x:c>
      <x:c r="M637" s="16" t="n">
        <x:v>54</x:v>
      </x:c>
      <x:c r="N637" s="16" t="n">
        <x:v>41</x:v>
      </x:c>
      <x:c r="O637" s="16" t="n">
        <x:v>69</x:v>
      </x:c>
      <x:c r="P637" s="16" t="n">
        <x:v>5</x:v>
      </x:c>
      <x:c r="Q637" s="16" t="n">
        <x:v>8</x:v>
      </x:c>
      <x:c r="R637" s="16" t="n">
        <x:v>4</x:v>
      </x:c>
      <x:c r="S637" s="16" t="n">
        <x:v>9</x:v>
      </x:c>
      <x:c r="T637" s="16" t="n">
        <x:v>7</x:v>
      </x:c>
      <x:c r="U637" s="16" t="n">
        <x:v>0</x:v>
      </x:c>
      <x:c r="V637" s="16" t="n">
        <x:v>0</x:v>
      </x:c>
      <x:c r="W637" s="16" t="n">
        <x:v>0</x:v>
      </x:c>
      <x:c r="X637" s="16" t="n">
        <x:v>0</x:v>
      </x:c>
      <x:c r="Y637" s="16" t="n">
        <x:v>0</x:v>
      </x:c>
      <x:c r="Z637" s="16" t="n">
        <x:v>0</x:v>
      </x:c>
      <x:c r="AA637" s="16" t="n">
        <x:v>3</x:v>
      </x:c>
      <x:c r="AB637" s="16" t="n">
        <x:v>11</x:v>
      </x:c>
      <x:c r="AC637" s="16" t="n">
        <x:v>1</x:v>
      </x:c>
      <x:c r="AD637" s="21" t="n">
        <x:f>IF(E637="",MEDIAN($E$2:$E$2237),E637)</x:f>
        <x:v>63120</x:v>
      </x:c>
      <x:c r="AE637" s="17" t="n">
        <x:f>2014-B637</x:f>
        <x:v>64</x:v>
      </x:c>
      <x:c r="AF637" s="17" t="n">
        <x:f>F637+G637</x:f>
        <x:v>1</x:v>
      </x:c>
      <x:c r="AG637" s="21" t="n">
        <x:f>SUM(J637:O637)</x:f>
        <x:v>1477</x:v>
      </x:c>
      <x:c r="AH637" s="17" t="n">
        <x:f>SUM(Q637:S637)</x:f>
        <x:v>21</x:v>
      </x:c>
      <x:c r="AI637" s="17" t="n">
        <x:f>SUM(U637:Y637)</x:f>
        <x:v>0</x:v>
      </x:c>
      <x:c r="AJ637" s="17" t="str">
        <x:f>IF(AE637&lt;=34,"≤34",IF(AE637&lt;=44,"35–44",IF(AE637&lt;=54,"45–54",IF(AE637&lt;=64,"55–64","65+"))))</x:f>
        <x:v>55–64</x:v>
      </x:c>
      <x:c r="AK637" s="17" t="str">
        <x:f>IF(AG637&gt;=1000,"High Value",IF(AG637&gt;=300,"Mid Value","Low Value"))</x:f>
        <x:v>High Value</x:v>
      </x:c>
      <x:c r="AL637" s="17" t="str">
        <x:f>IF(AND(AI637&gt;=1,I637&lt;=50),"Priority 1",IF(AND(AG637&gt;=1000,I637&lt;=60),"Priority 2",IF(I637&lt;=30,"Priority 3","Nurture")))</x:f>
        <x:v>Priority 2</x:v>
      </x:c>
    </x:row>
    <x:row r="638">
      <x:c r="A638" s="16" t="n">
        <x:v>701</x:v>
      </x:c>
      <x:c r="B638" s="16" t="n">
        <x:v>1971</x:v>
      </x:c>
      <x:c r="C638" s="16" t="str">
        <x:v>Graduation</x:v>
      </x:c>
      <x:c r="D638" s="16" t="str">
        <x:v>Married</x:v>
      </x:c>
      <x:c r="E638" s="16" t="n">
        <x:v>73691</x:v>
      </x:c>
      <x:c r="F638" s="16" t="n">
        <x:v>0</x:v>
      </x:c>
      <x:c r="G638" s="16" t="n">
        <x:v>1</x:v>
      </x:c>
      <x:c r="H638" s="16" t="str">
        <x:v>06-11-2013</x:v>
      </x:c>
      <x:c r="I638" s="16" t="n">
        <x:v>58</x:v>
      </x:c>
      <x:c r="J638" s="16" t="n">
        <x:v>707</x:v>
      </x:c>
      <x:c r="K638" s="16" t="n">
        <x:v>21</x:v>
      </x:c>
      <x:c r="L638" s="16" t="n">
        <x:v>250</x:v>
      </x:c>
      <x:c r="M638" s="16" t="n">
        <x:v>85</x:v>
      </x:c>
      <x:c r="N638" s="16" t="n">
        <x:v>43</x:v>
      </x:c>
      <x:c r="O638" s="16" t="n">
        <x:v>73</x:v>
      </x:c>
      <x:c r="P638" s="16" t="n">
        <x:v>2</x:v>
      </x:c>
      <x:c r="Q638" s="16" t="n">
        <x:v>6</x:v>
      </x:c>
      <x:c r="R638" s="16" t="n">
        <x:v>2</x:v>
      </x:c>
      <x:c r="S638" s="16" t="n">
        <x:v>8</x:v>
      </x:c>
      <x:c r="T638" s="16" t="n">
        <x:v>2</x:v>
      </x:c>
      <x:c r="U638" s="16" t="n">
        <x:v>1</x:v>
      </x:c>
      <x:c r="V638" s="16" t="n">
        <x:v>0</x:v>
      </x:c>
      <x:c r="W638" s="16" t="n">
        <x:v>0</x:v>
      </x:c>
      <x:c r="X638" s="16" t="n">
        <x:v>0</x:v>
      </x:c>
      <x:c r="Y638" s="16" t="n">
        <x:v>0</x:v>
      </x:c>
      <x:c r="Z638" s="16" t="n">
        <x:v>0</x:v>
      </x:c>
      <x:c r="AA638" s="16" t="n">
        <x:v>3</x:v>
      </x:c>
      <x:c r="AB638" s="16" t="n">
        <x:v>11</x:v>
      </x:c>
      <x:c r="AC638" s="16" t="n">
        <x:v>0</x:v>
      </x:c>
      <x:c r="AD638" s="21" t="n">
        <x:f>IF(E638="",MEDIAN($E$2:$E$2237),E638)</x:f>
        <x:v>73691</x:v>
      </x:c>
      <x:c r="AE638" s="17" t="n">
        <x:f>2014-B638</x:f>
        <x:v>43</x:v>
      </x:c>
      <x:c r="AF638" s="17" t="n">
        <x:f>F638+G638</x:f>
        <x:v>1</x:v>
      </x:c>
      <x:c r="AG638" s="21" t="n">
        <x:f>SUM(J638:O638)</x:f>
        <x:v>1179</x:v>
      </x:c>
      <x:c r="AH638" s="17" t="n">
        <x:f>SUM(Q638:S638)</x:f>
        <x:v>16</x:v>
      </x:c>
      <x:c r="AI638" s="17" t="n">
        <x:f>SUM(U638:Y638)</x:f>
        <x:v>1</x:v>
      </x:c>
      <x:c r="AJ638" s="17" t="str">
        <x:f>IF(AE638&lt;=34,"≤34",IF(AE638&lt;=44,"35–44",IF(AE638&lt;=54,"45–54",IF(AE638&lt;=64,"55–64","65+"))))</x:f>
        <x:v>35–44</x:v>
      </x:c>
      <x:c r="AK638" s="17" t="str">
        <x:f>IF(AG638&gt;=1000,"High Value",IF(AG638&gt;=300,"Mid Value","Low Value"))</x:f>
        <x:v>High Value</x:v>
      </x:c>
      <x:c r="AL638" s="17" t="str">
        <x:f>IF(AND(AI638&gt;=1,I638&lt;=50),"Priority 1",IF(AND(AG638&gt;=1000,I638&lt;=60),"Priority 2",IF(I638&lt;=30,"Priority 3","Nurture")))</x:f>
        <x:v>Priority 2</x:v>
      </x:c>
    </x:row>
    <x:row r="639">
      <x:c r="A639" s="16" t="n">
        <x:v>3856</x:v>
      </x:c>
      <x:c r="B639" s="16" t="n">
        <x:v>1960</x:v>
      </x:c>
      <x:c r="C639" s="16" t="str">
        <x:v>Graduation</x:v>
      </x:c>
      <x:c r="D639" s="16" t="str">
        <x:v>Together</x:v>
      </x:c>
      <x:c r="E639" s="16" t="n">
        <x:v>63381</x:v>
      </x:c>
      <x:c r="F639" s="16" t="n">
        <x:v>0</x:v>
      </x:c>
      <x:c r="G639" s="16" t="n">
        <x:v>1</x:v>
      </x:c>
      <x:c r="H639" s="16" t="str">
        <x:v>05-10-2012</x:v>
      </x:c>
      <x:c r="I639" s="16" t="n">
        <x:v>78</x:v>
      </x:c>
      <x:c r="J639" s="16" t="n">
        <x:v>571</x:v>
      </x:c>
      <x:c r="K639" s="16" t="n">
        <x:v>50</x:v>
      </x:c>
      <x:c r="L639" s="16" t="n">
        <x:v>142</x:v>
      </x:c>
      <x:c r="M639" s="16" t="n">
        <x:v>33</x:v>
      </x:c>
      <x:c r="N639" s="16" t="n">
        <x:v>50</x:v>
      </x:c>
      <x:c r="O639" s="16" t="n">
        <x:v>159</x:v>
      </x:c>
      <x:c r="P639" s="16" t="n">
        <x:v>4</x:v>
      </x:c>
      <x:c r="Q639" s="16" t="n">
        <x:v>4</x:v>
      </x:c>
      <x:c r="R639" s="16" t="n">
        <x:v>5</x:v>
      </x:c>
      <x:c r="S639" s="16" t="n">
        <x:v>13</x:v>
      </x:c>
      <x:c r="T639" s="16" t="n">
        <x:v>2</x:v>
      </x:c>
      <x:c r="U639" s="16" t="n">
        <x:v>0</x:v>
      </x:c>
      <x:c r="V639" s="16" t="n">
        <x:v>0</x:v>
      </x:c>
      <x:c r="W639" s="16" t="n">
        <x:v>0</x:v>
      </x:c>
      <x:c r="X639" s="16" t="n">
        <x:v>0</x:v>
      </x:c>
      <x:c r="Y639" s="16" t="n">
        <x:v>0</x:v>
      </x:c>
      <x:c r="Z639" s="16" t="n">
        <x:v>0</x:v>
      </x:c>
      <x:c r="AA639" s="16" t="n">
        <x:v>3</x:v>
      </x:c>
      <x:c r="AB639" s="16" t="n">
        <x:v>11</x:v>
      </x:c>
      <x:c r="AC639" s="16" t="n">
        <x:v>0</x:v>
      </x:c>
      <x:c r="AD639" s="21" t="n">
        <x:f>IF(E639="",MEDIAN($E$2:$E$2237),E639)</x:f>
        <x:v>63381</x:v>
      </x:c>
      <x:c r="AE639" s="17" t="n">
        <x:f>2014-B639</x:f>
        <x:v>54</x:v>
      </x:c>
      <x:c r="AF639" s="17" t="n">
        <x:f>F639+G639</x:f>
        <x:v>1</x:v>
      </x:c>
      <x:c r="AG639" s="21" t="n">
        <x:f>SUM(J639:O639)</x:f>
        <x:v>1005</x:v>
      </x:c>
      <x:c r="AH639" s="17" t="n">
        <x:f>SUM(Q639:S639)</x:f>
        <x:v>22</x:v>
      </x:c>
      <x:c r="AI639" s="17" t="n">
        <x:f>SUM(U639:Y639)</x:f>
        <x:v>0</x:v>
      </x:c>
      <x:c r="AJ639" s="17" t="str">
        <x:f>IF(AE639&lt;=34,"≤34",IF(AE639&lt;=44,"35–44",IF(AE639&lt;=54,"45–54",IF(AE639&lt;=64,"55–64","65+"))))</x:f>
        <x:v>45–54</x:v>
      </x:c>
      <x:c r="AK639" s="17" t="str">
        <x:f>IF(AG639&gt;=1000,"High Value",IF(AG639&gt;=300,"Mid Value","Low Value"))</x:f>
        <x:v>High Value</x:v>
      </x:c>
      <x:c r="AL639" s="17" t="str">
        <x:f>IF(AND(AI639&gt;=1,I639&lt;=50),"Priority 1",IF(AND(AG639&gt;=1000,I639&lt;=60),"Priority 2",IF(I639&lt;=30,"Priority 3","Nurture")))</x:f>
        <x:v>Nurture</x:v>
      </x:c>
    </x:row>
    <x:row r="640">
      <x:c r="A640" s="16" t="n">
        <x:v>4149</x:v>
      </x:c>
      <x:c r="B640" s="16" t="n">
        <x:v>1948</x:v>
      </x:c>
      <x:c r="C640" s="16" t="str">
        <x:v>PhD</x:v>
      </x:c>
      <x:c r="D640" s="16" t="str">
        <x:v>Together</x:v>
      </x:c>
      <x:c r="E640" s="16" t="n">
        <x:v>76140</x:v>
      </x:c>
      <x:c r="F640" s="16" t="n">
        <x:v>0</x:v>
      </x:c>
      <x:c r="G640" s="16" t="n">
        <x:v>0</x:v>
      </x:c>
      <x:c r="H640" s="16" t="str">
        <x:v>13-05-2014</x:v>
      </x:c>
      <x:c r="I640" s="16" t="n">
        <x:v>57</x:v>
      </x:c>
      <x:c r="J640" s="16" t="n">
        <x:v>586</x:v>
      </x:c>
      <x:c r="K640" s="16" t="n">
        <x:v>66</x:v>
      </x:c>
      <x:c r="L640" s="16" t="n">
        <x:v>653</x:v>
      </x:c>
      <x:c r="M640" s="16" t="n">
        <x:v>17</x:v>
      </x:c>
      <x:c r="N640" s="16" t="n">
        <x:v>0</x:v>
      </x:c>
      <x:c r="O640" s="16" t="n">
        <x:v>26</x:v>
      </x:c>
      <x:c r="P640" s="16" t="n">
        <x:v>1</x:v>
      </x:c>
      <x:c r="Q640" s="16" t="n">
        <x:v>5</x:v>
      </x:c>
      <x:c r="R640" s="16" t="n">
        <x:v>9</x:v>
      </x:c>
      <x:c r="S640" s="16" t="n">
        <x:v>6</x:v>
      </x:c>
      <x:c r="T640" s="16" t="n">
        <x:v>2</x:v>
      </x:c>
      <x:c r="U640" s="16" t="n">
        <x:v>0</x:v>
      </x:c>
      <x:c r="V640" s="16" t="n">
        <x:v>0</x:v>
      </x:c>
      <x:c r="W640" s="16" t="n">
        <x:v>0</x:v>
      </x:c>
      <x:c r="X640" s="16" t="n">
        <x:v>0</x:v>
      </x:c>
      <x:c r="Y640" s="16" t="n">
        <x:v>0</x:v>
      </x:c>
      <x:c r="Z640" s="16" t="n">
        <x:v>0</x:v>
      </x:c>
      <x:c r="AA640" s="16" t="n">
        <x:v>3</x:v>
      </x:c>
      <x:c r="AB640" s="16" t="n">
        <x:v>11</x:v>
      </x:c>
      <x:c r="AC640" s="16" t="n">
        <x:v>0</x:v>
      </x:c>
      <x:c r="AD640" s="21" t="n">
        <x:f>IF(E640="",MEDIAN($E$2:$E$2237),E640)</x:f>
        <x:v>76140</x:v>
      </x:c>
      <x:c r="AE640" s="17" t="n">
        <x:f>2014-B640</x:f>
        <x:v>66</x:v>
      </x:c>
      <x:c r="AF640" s="17" t="n">
        <x:f>F640+G640</x:f>
        <x:v>0</x:v>
      </x:c>
      <x:c r="AG640" s="21" t="n">
        <x:f>SUM(J640:O640)</x:f>
        <x:v>1348</x:v>
      </x:c>
      <x:c r="AH640" s="17" t="n">
        <x:f>SUM(Q640:S640)</x:f>
        <x:v>20</x:v>
      </x:c>
      <x:c r="AI640" s="17" t="n">
        <x:f>SUM(U640:Y640)</x:f>
        <x:v>0</x:v>
      </x:c>
      <x:c r="AJ640" s="17" t="str">
        <x:f>IF(AE640&lt;=34,"≤34",IF(AE640&lt;=44,"35–44",IF(AE640&lt;=54,"45–54",IF(AE640&lt;=64,"55–64","65+"))))</x:f>
        <x:v>65+</x:v>
      </x:c>
      <x:c r="AK640" s="17" t="str">
        <x:f>IF(AG640&gt;=1000,"High Value",IF(AG640&gt;=300,"Mid Value","Low Value"))</x:f>
        <x:v>High Value</x:v>
      </x:c>
      <x:c r="AL640" s="17" t="str">
        <x:f>IF(AND(AI640&gt;=1,I640&lt;=50),"Priority 1",IF(AND(AG640&gt;=1000,I640&lt;=60),"Priority 2",IF(I640&lt;=30,"Priority 3","Nurture")))</x:f>
        <x:v>Priority 2</x:v>
      </x:c>
    </x:row>
    <x:row r="641">
      <x:c r="A641" s="16" t="n">
        <x:v>2131</x:v>
      </x:c>
      <x:c r="B641" s="16" t="n">
        <x:v>1959</x:v>
      </x:c>
      <x:c r="C641" s="16" t="str">
        <x:v>PhD</x:v>
      </x:c>
      <x:c r="D641" s="16" t="str">
        <x:v>Divorced</x:v>
      </x:c>
      <x:c r="E641" s="16" t="n">
        <x:v>62859</x:v>
      </x:c>
      <x:c r="F641" s="16" t="n">
        <x:v>0</x:v>
      </x:c>
      <x:c r="G641" s="16" t="n">
        <x:v>1</x:v>
      </x:c>
      <x:c r="H641" s="16" t="str">
        <x:v>30-12-2012</x:v>
      </x:c>
      <x:c r="I641" s="16" t="n">
        <x:v>37</x:v>
      </x:c>
      <x:c r="J641" s="16" t="n">
        <x:v>1063</x:v>
      </x:c>
      <x:c r="K641" s="16" t="n">
        <x:v>89</x:v>
      </x:c>
      <x:c r="L641" s="16" t="n">
        <x:v>102</x:v>
      </x:c>
      <x:c r="M641" s="16" t="n">
        <x:v>16</x:v>
      </x:c>
      <x:c r="N641" s="16" t="n">
        <x:v>12</x:v>
      </x:c>
      <x:c r="O641" s="16" t="n">
        <x:v>25</x:v>
      </x:c>
      <x:c r="P641" s="16" t="n">
        <x:v>4</x:v>
      </x:c>
      <x:c r="Q641" s="16" t="n">
        <x:v>9</x:v>
      </x:c>
      <x:c r="R641" s="16" t="n">
        <x:v>4</x:v>
      </x:c>
      <x:c r="S641" s="16" t="n">
        <x:v>6</x:v>
      </x:c>
      <x:c r="T641" s="16" t="n">
        <x:v>6</x:v>
      </x:c>
      <x:c r="U641" s="16" t="n">
        <x:v>0</x:v>
      </x:c>
      <x:c r="V641" s="16" t="n">
        <x:v>0</x:v>
      </x:c>
      <x:c r="W641" s="16" t="n">
        <x:v>0</x:v>
      </x:c>
      <x:c r="X641" s="16" t="n">
        <x:v>0</x:v>
      </x:c>
      <x:c r="Y641" s="16" t="n">
        <x:v>0</x:v>
      </x:c>
      <x:c r="Z641" s="16" t="n">
        <x:v>0</x:v>
      </x:c>
      <x:c r="AA641" s="16" t="n">
        <x:v>3</x:v>
      </x:c>
      <x:c r="AB641" s="16" t="n">
        <x:v>11</x:v>
      </x:c>
      <x:c r="AC641" s="16" t="n">
        <x:v>0</x:v>
      </x:c>
      <x:c r="AD641" s="21" t="n">
        <x:f>IF(E641="",MEDIAN($E$2:$E$2237),E641)</x:f>
        <x:v>62859</x:v>
      </x:c>
      <x:c r="AE641" s="17" t="n">
        <x:f>2014-B641</x:f>
        <x:v>55</x:v>
      </x:c>
      <x:c r="AF641" s="17" t="n">
        <x:f>F641+G641</x:f>
        <x:v>1</x:v>
      </x:c>
      <x:c r="AG641" s="21" t="n">
        <x:f>SUM(J641:O641)</x:f>
        <x:v>1307</x:v>
      </x:c>
      <x:c r="AH641" s="17" t="n">
        <x:f>SUM(Q641:S641)</x:f>
        <x:v>19</x:v>
      </x:c>
      <x:c r="AI641" s="17" t="n">
        <x:f>SUM(U641:Y641)</x:f>
        <x:v>0</x:v>
      </x:c>
      <x:c r="AJ641" s="17" t="str">
        <x:f>IF(AE641&lt;=34,"≤34",IF(AE641&lt;=44,"35–44",IF(AE641&lt;=54,"45–54",IF(AE641&lt;=64,"55–64","65+"))))</x:f>
        <x:v>55–64</x:v>
      </x:c>
      <x:c r="AK641" s="17" t="str">
        <x:f>IF(AG641&gt;=1000,"High Value",IF(AG641&gt;=300,"Mid Value","Low Value"))</x:f>
        <x:v>High Value</x:v>
      </x:c>
      <x:c r="AL641" s="17" t="str">
        <x:f>IF(AND(AI641&gt;=1,I641&lt;=50),"Priority 1",IF(AND(AG641&gt;=1000,I641&lt;=60),"Priority 2",IF(I641&lt;=30,"Priority 3","Nurture")))</x:f>
        <x:v>Priority 2</x:v>
      </x:c>
    </x:row>
    <x:row r="642">
      <x:c r="A642" s="16" t="n">
        <x:v>2942</x:v>
      </x:c>
      <x:c r="B642" s="16" t="n">
        <x:v>1964</x:v>
      </x:c>
      <x:c r="C642" s="16" t="str">
        <x:v>Graduation</x:v>
      </x:c>
      <x:c r="D642" s="16" t="str">
        <x:v>Single</x:v>
      </x:c>
      <x:c r="E642" s="16" t="n">
        <x:v>45906</x:v>
      </x:c>
      <x:c r="F642" s="16" t="n">
        <x:v>0</x:v>
      </x:c>
      <x:c r="G642" s="16" t="n">
        <x:v>1</x:v>
      </x:c>
      <x:c r="H642" s="16" t="str">
        <x:v>07-05-2013</x:v>
      </x:c>
      <x:c r="I642" s="16" t="n">
        <x:v>20</x:v>
      </x:c>
      <x:c r="J642" s="16" t="n">
        <x:v>305</x:v>
      </x:c>
      <x:c r="K642" s="16" t="n">
        <x:v>3</x:v>
      </x:c>
      <x:c r="L642" s="16" t="n">
        <x:v>27</x:v>
      </x:c>
      <x:c r="M642" s="16" t="n">
        <x:v>4</x:v>
      </x:c>
      <x:c r="N642" s="16" t="n">
        <x:v>3</x:v>
      </x:c>
      <x:c r="O642" s="16" t="n">
        <x:v>144</x:v>
      </x:c>
      <x:c r="P642" s="16" t="n">
        <x:v>2</x:v>
      </x:c>
      <x:c r="Q642" s="16" t="n">
        <x:v>5</x:v>
      </x:c>
      <x:c r="R642" s="16" t="n">
        <x:v>4</x:v>
      </x:c>
      <x:c r="S642" s="16" t="n">
        <x:v>4</x:v>
      </x:c>
      <x:c r="T642" s="16" t="n">
        <x:v>5</x:v>
      </x:c>
      <x:c r="U642" s="16" t="n">
        <x:v>1</x:v>
      </x:c>
      <x:c r="V642" s="16" t="n">
        <x:v>0</x:v>
      </x:c>
      <x:c r="W642" s="16" t="n">
        <x:v>0</x:v>
      </x:c>
      <x:c r="X642" s="16" t="n">
        <x:v>0</x:v>
      </x:c>
      <x:c r="Y642" s="16" t="n">
        <x:v>0</x:v>
      </x:c>
      <x:c r="Z642" s="16" t="n">
        <x:v>0</x:v>
      </x:c>
      <x:c r="AA642" s="16" t="n">
        <x:v>3</x:v>
      </x:c>
      <x:c r="AB642" s="16" t="n">
        <x:v>11</x:v>
      </x:c>
      <x:c r="AC642" s="16" t="n">
        <x:v>0</x:v>
      </x:c>
      <x:c r="AD642" s="21" t="n">
        <x:f>IF(E642="",MEDIAN($E$2:$E$2237),E642)</x:f>
        <x:v>45906</x:v>
      </x:c>
      <x:c r="AE642" s="17" t="n">
        <x:f>2014-B642</x:f>
        <x:v>50</x:v>
      </x:c>
      <x:c r="AF642" s="17" t="n">
        <x:f>F642+G642</x:f>
        <x:v>1</x:v>
      </x:c>
      <x:c r="AG642" s="21" t="n">
        <x:f>SUM(J642:O642)</x:f>
        <x:v>486</x:v>
      </x:c>
      <x:c r="AH642" s="17" t="n">
        <x:f>SUM(Q642:S642)</x:f>
        <x:v>13</x:v>
      </x:c>
      <x:c r="AI642" s="17" t="n">
        <x:f>SUM(U642:Y642)</x:f>
        <x:v>1</x:v>
      </x:c>
      <x:c r="AJ642" s="17" t="str">
        <x:f>IF(AE642&lt;=34,"≤34",IF(AE642&lt;=44,"35–44",IF(AE642&lt;=54,"45–54",IF(AE642&lt;=64,"55–64","65+"))))</x:f>
        <x:v>45–54</x:v>
      </x:c>
      <x:c r="AK642" s="17" t="str">
        <x:f>IF(AG642&gt;=1000,"High Value",IF(AG642&gt;=300,"Mid Value","Low Value"))</x:f>
        <x:v>Mid Value</x:v>
      </x:c>
      <x:c r="AL642" s="17" t="str">
        <x:f>IF(AND(AI642&gt;=1,I642&lt;=50),"Priority 1",IF(AND(AG642&gt;=1000,I642&lt;=60),"Priority 2",IF(I642&lt;=30,"Priority 3","Nurture")))</x:f>
        <x:v>Priority 1</x:v>
      </x:c>
    </x:row>
    <x:row r="643">
      <x:c r="A643" s="16" t="n">
        <x:v>1173</x:v>
      </x:c>
      <x:c r="B643" s="16" t="n">
        <x:v>1947</x:v>
      </x:c>
      <x:c r="C643" s="16" t="str">
        <x:v>Master</x:v>
      </x:c>
      <x:c r="D643" s="16" t="str">
        <x:v>Together</x:v>
      </x:c>
      <x:c r="E643" s="16" t="n">
        <x:v>77632</x:v>
      </x:c>
      <x:c r="F643" s="16" t="n">
        <x:v>0</x:v>
      </x:c>
      <x:c r="G643" s="16" t="n">
        <x:v>0</x:v>
      </x:c>
      <x:c r="H643" s="16" t="str">
        <x:v>10-03-2013</x:v>
      </x:c>
      <x:c r="I643" s="16" t="n">
        <x:v>73</x:v>
      </x:c>
      <x:c r="J643" s="16" t="n">
        <x:v>1200</x:v>
      </x:c>
      <x:c r="K643" s="16" t="n">
        <x:v>105</x:v>
      </x:c>
      <x:c r="L643" s="16" t="n">
        <x:v>758</x:v>
      </x:c>
      <x:c r="M643" s="16" t="n">
        <x:v>0</x:v>
      </x:c>
      <x:c r="N643" s="16" t="n">
        <x:v>42</x:v>
      </x:c>
      <x:c r="O643" s="16" t="n">
        <x:v>147</x:v>
      </x:c>
      <x:c r="P643" s="16" t="n">
        <x:v>1</x:v>
      </x:c>
      <x:c r="Q643" s="16" t="n">
        <x:v>4</x:v>
      </x:c>
      <x:c r="R643" s="16" t="n">
        <x:v>2</x:v>
      </x:c>
      <x:c r="S643" s="16" t="n">
        <x:v>6</x:v>
      </x:c>
      <x:c r="T643" s="16" t="n">
        <x:v>2</x:v>
      </x:c>
      <x:c r="U643" s="16" t="n">
        <x:v>0</x:v>
      </x:c>
      <x:c r="V643" s="16" t="n">
        <x:v>1</x:v>
      </x:c>
      <x:c r="W643" s="16" t="n">
        <x:v>1</x:v>
      </x:c>
      <x:c r="X643" s="16" t="n">
        <x:v>0</x:v>
      </x:c>
      <x:c r="Y643" s="16" t="n">
        <x:v>0</x:v>
      </x:c>
      <x:c r="Z643" s="16" t="n">
        <x:v>0</x:v>
      </x:c>
      <x:c r="AA643" s="16" t="n">
        <x:v>3</x:v>
      </x:c>
      <x:c r="AB643" s="16" t="n">
        <x:v>11</x:v>
      </x:c>
      <x:c r="AC643" s="16" t="n">
        <x:v>1</x:v>
      </x:c>
      <x:c r="AD643" s="21" t="n">
        <x:f>IF(E643="",MEDIAN($E$2:$E$2237),E643)</x:f>
        <x:v>77632</x:v>
      </x:c>
      <x:c r="AE643" s="17" t="n">
        <x:f>2014-B643</x:f>
        <x:v>67</x:v>
      </x:c>
      <x:c r="AF643" s="17" t="n">
        <x:f>F643+G643</x:f>
        <x:v>0</x:v>
      </x:c>
      <x:c r="AG643" s="21" t="n">
        <x:f>SUM(J643:O643)</x:f>
        <x:v>2252</x:v>
      </x:c>
      <x:c r="AH643" s="17" t="n">
        <x:f>SUM(Q643:S643)</x:f>
        <x:v>12</x:v>
      </x:c>
      <x:c r="AI643" s="17" t="n">
        <x:f>SUM(U643:Y643)</x:f>
        <x:v>2</x:v>
      </x:c>
      <x:c r="AJ643" s="17" t="str">
        <x:f>IF(AE643&lt;=34,"≤34",IF(AE643&lt;=44,"35–44",IF(AE643&lt;=54,"45–54",IF(AE643&lt;=64,"55–64","65+"))))</x:f>
        <x:v>65+</x:v>
      </x:c>
      <x:c r="AK643" s="17" t="str">
        <x:f>IF(AG643&gt;=1000,"High Value",IF(AG643&gt;=300,"Mid Value","Low Value"))</x:f>
        <x:v>High Value</x:v>
      </x:c>
      <x:c r="AL643" s="17" t="str">
        <x:f>IF(AND(AI643&gt;=1,I643&lt;=50),"Priority 1",IF(AND(AG643&gt;=1000,I643&lt;=60),"Priority 2",IF(I643&lt;=30,"Priority 3","Nurture")))</x:f>
        <x:v>Nurture</x:v>
      </x:c>
    </x:row>
    <x:row r="644">
      <x:c r="A644" s="16" t="n">
        <x:v>4381</x:v>
      </x:c>
      <x:c r="B644" s="16" t="n">
        <x:v>1971</x:v>
      </x:c>
      <x:c r="C644" s="16" t="str">
        <x:v>PhD</x:v>
      </x:c>
      <x:c r="D644" s="16" t="str">
        <x:v>Married</x:v>
      </x:c>
      <x:c r="E644" s="16" t="n">
        <x:v>46463</x:v>
      </x:c>
      <x:c r="F644" s="16" t="n">
        <x:v>1</x:v>
      </x:c>
      <x:c r="G644" s="16" t="n">
        <x:v>1</x:v>
      </x:c>
      <x:c r="H644" s="16" t="str">
        <x:v>18-08-2013</x:v>
      </x:c>
      <x:c r="I644" s="16" t="n">
        <x:v>56</x:v>
      </x:c>
      <x:c r="J644" s="16" t="n">
        <x:v>163</x:v>
      </x:c>
      <x:c r="K644" s="16" t="n">
        <x:v>2</x:v>
      </x:c>
      <x:c r="L644" s="16" t="n">
        <x:v>40</x:v>
      </x:c>
      <x:c r="M644" s="16" t="n">
        <x:v>8</x:v>
      </x:c>
      <x:c r="N644" s="16" t="n">
        <x:v>11</x:v>
      </x:c>
      <x:c r="O644" s="16" t="n">
        <x:v>11</x:v>
      </x:c>
      <x:c r="P644" s="16" t="n">
        <x:v>7</x:v>
      </x:c>
      <x:c r="Q644" s="16" t="n">
        <x:v>3</x:v>
      </x:c>
      <x:c r="R644" s="16" t="n">
        <x:v>1</x:v>
      </x:c>
      <x:c r="S644" s="16" t="n">
        <x:v>6</x:v>
      </x:c>
      <x:c r="T644" s="16" t="n">
        <x:v>6</x:v>
      </x:c>
      <x:c r="U644" s="16" t="n">
        <x:v>0</x:v>
      </x:c>
      <x:c r="V644" s="16" t="n">
        <x:v>0</x:v>
      </x:c>
      <x:c r="W644" s="16" t="n">
        <x:v>0</x:v>
      </x:c>
      <x:c r="X644" s="16" t="n">
        <x:v>0</x:v>
      </x:c>
      <x:c r="Y644" s="16" t="n">
        <x:v>0</x:v>
      </x:c>
      <x:c r="Z644" s="16" t="n">
        <x:v>0</x:v>
      </x:c>
      <x:c r="AA644" s="16" t="n">
        <x:v>3</x:v>
      </x:c>
      <x:c r="AB644" s="16" t="n">
        <x:v>11</x:v>
      </x:c>
      <x:c r="AC644" s="16" t="n">
        <x:v>0</x:v>
      </x:c>
      <x:c r="AD644" s="21" t="n">
        <x:f>IF(E644="",MEDIAN($E$2:$E$2237),E644)</x:f>
        <x:v>46463</x:v>
      </x:c>
      <x:c r="AE644" s="17" t="n">
        <x:f>2014-B644</x:f>
        <x:v>43</x:v>
      </x:c>
      <x:c r="AF644" s="17" t="n">
        <x:f>F644+G644</x:f>
        <x:v>2</x:v>
      </x:c>
      <x:c r="AG644" s="21" t="n">
        <x:f>SUM(J644:O644)</x:f>
        <x:v>235</x:v>
      </x:c>
      <x:c r="AH644" s="17" t="n">
        <x:f>SUM(Q644:S644)</x:f>
        <x:v>10</x:v>
      </x:c>
      <x:c r="AI644" s="17" t="n">
        <x:f>SUM(U644:Y644)</x:f>
        <x:v>0</x:v>
      </x:c>
      <x:c r="AJ644" s="17" t="str">
        <x:f>IF(AE644&lt;=34,"≤34",IF(AE644&lt;=44,"35–44",IF(AE644&lt;=54,"45–54",IF(AE644&lt;=64,"55–64","65+"))))</x:f>
        <x:v>35–44</x:v>
      </x:c>
      <x:c r="AK644" s="17" t="str">
        <x:f>IF(AG644&gt;=1000,"High Value",IF(AG644&gt;=300,"Mid Value","Low Value"))</x:f>
        <x:v>Low Value</x:v>
      </x:c>
      <x:c r="AL644" s="17" t="str">
        <x:f>IF(AND(AI644&gt;=1,I644&lt;=50),"Priority 1",IF(AND(AG644&gt;=1000,I644&lt;=60),"Priority 2",IF(I644&lt;=30,"Priority 3","Nurture")))</x:f>
        <x:v>Nurture</x:v>
      </x:c>
    </x:row>
    <x:row r="645">
      <x:c r="A645" s="16" t="n">
        <x:v>4611</x:v>
      </x:c>
      <x:c r="B645" s="16" t="n">
        <x:v>1970</x:v>
      </x:c>
      <x:c r="C645" s="16" t="str">
        <x:v>Graduation</x:v>
      </x:c>
      <x:c r="D645" s="16" t="str">
        <x:v>Together</x:v>
      </x:c>
      <x:c r="E645" s="16" t="n">
        <x:v>105471</x:v>
      </x:c>
      <x:c r="F645" s="16" t="n">
        <x:v>0</x:v>
      </x:c>
      <x:c r="G645" s="16" t="n">
        <x:v>0</x:v>
      </x:c>
      <x:c r="H645" s="16" t="str">
        <x:v>21-01-2013</x:v>
      </x:c>
      <x:c r="I645" s="16" t="n">
        <x:v>36</x:v>
      </x:c>
      <x:c r="J645" s="16" t="n">
        <x:v>1009</x:v>
      </x:c>
      <x:c r="K645" s="16" t="n">
        <x:v>181</x:v>
      </x:c>
      <x:c r="L645" s="16" t="n">
        <x:v>104</x:v>
      </x:c>
      <x:c r="M645" s="16" t="n">
        <x:v>202</x:v>
      </x:c>
      <x:c r="N645" s="16" t="n">
        <x:v>21</x:v>
      </x:c>
      <x:c r="O645" s="16" t="n">
        <x:v>207</x:v>
      </x:c>
      <x:c r="P645" s="16" t="n">
        <x:v>0</x:v>
      </x:c>
      <x:c r="Q645" s="16" t="n">
        <x:v>9</x:v>
      </x:c>
      <x:c r="R645" s="16" t="n">
        <x:v>8</x:v>
      </x:c>
      <x:c r="S645" s="16" t="n">
        <x:v>13</x:v>
      </x:c>
      <x:c r="T645" s="16" t="n">
        <x:v>3</x:v>
      </x:c>
      <x:c r="U645" s="16" t="n">
        <x:v>0</x:v>
      </x:c>
      <x:c r="V645" s="16" t="n">
        <x:v>0</x:v>
      </x:c>
      <x:c r="W645" s="16" t="n">
        <x:v>1</x:v>
      </x:c>
      <x:c r="X645" s="16" t="n">
        <x:v>1</x:v>
      </x:c>
      <x:c r="Y645" s="16" t="n">
        <x:v>0</x:v>
      </x:c>
      <x:c r="Z645" s="16" t="n">
        <x:v>0</x:v>
      </x:c>
      <x:c r="AA645" s="16" t="n">
        <x:v>3</x:v>
      </x:c>
      <x:c r="AB645" s="16" t="n">
        <x:v>11</x:v>
      </x:c>
      <x:c r="AC645" s="16" t="n">
        <x:v>1</x:v>
      </x:c>
      <x:c r="AD645" s="21" t="n">
        <x:f>IF(E645="",MEDIAN($E$2:$E$2237),E645)</x:f>
        <x:v>105471</x:v>
      </x:c>
      <x:c r="AE645" s="17" t="n">
        <x:f>2014-B645</x:f>
        <x:v>44</x:v>
      </x:c>
      <x:c r="AF645" s="17" t="n">
        <x:f>F645+G645</x:f>
        <x:v>0</x:v>
      </x:c>
      <x:c r="AG645" s="21" t="n">
        <x:f>SUM(J645:O645)</x:f>
        <x:v>1724</x:v>
      </x:c>
      <x:c r="AH645" s="17" t="n">
        <x:f>SUM(Q645:S645)</x:f>
        <x:v>30</x:v>
      </x:c>
      <x:c r="AI645" s="17" t="n">
        <x:f>SUM(U645:Y645)</x:f>
        <x:v>2</x:v>
      </x:c>
      <x:c r="AJ645" s="17" t="str">
        <x:f>IF(AE645&lt;=34,"≤34",IF(AE645&lt;=44,"35–44",IF(AE645&lt;=54,"45–54",IF(AE645&lt;=64,"55–64","65+"))))</x:f>
        <x:v>35–44</x:v>
      </x:c>
      <x:c r="AK645" s="17" t="str">
        <x:f>IF(AG645&gt;=1000,"High Value",IF(AG645&gt;=300,"Mid Value","Low Value"))</x:f>
        <x:v>High Value</x:v>
      </x:c>
      <x:c r="AL645" s="17" t="str">
        <x:f>IF(AND(AI645&gt;=1,I645&lt;=50),"Priority 1",IF(AND(AG645&gt;=1000,I645&lt;=60),"Priority 2",IF(I645&lt;=30,"Priority 3","Nurture")))</x:f>
        <x:v>Priority 1</x:v>
      </x:c>
    </x:row>
    <x:row r="646">
      <x:c r="A646" s="16" t="n">
        <x:v>3376</x:v>
      </x:c>
      <x:c r="B646" s="16" t="n">
        <x:v>1970</x:v>
      </x:c>
      <x:c r="C646" s="16" t="str">
        <x:v>Master</x:v>
      </x:c>
      <x:c r="D646" s="16" t="str">
        <x:v>Divorced</x:v>
      </x:c>
      <x:c r="E646" s="16" t="n">
        <x:v>55282</x:v>
      </x:c>
      <x:c r="F646" s="16" t="n">
        <x:v>1</x:v>
      </x:c>
      <x:c r="G646" s="16" t="n">
        <x:v>0</x:v>
      </x:c>
      <x:c r="H646" s="16" t="str">
        <x:v>13-12-2013</x:v>
      </x:c>
      <x:c r="I646" s="16" t="n">
        <x:v>9</x:v>
      </x:c>
      <x:c r="J646" s="16" t="n">
        <x:v>125</x:v>
      </x:c>
      <x:c r="K646" s="16" t="n">
        <x:v>6</x:v>
      </x:c>
      <x:c r="L646" s="16" t="n">
        <x:v>73</x:v>
      </x:c>
      <x:c r="M646" s="16" t="n">
        <x:v>8</x:v>
      </x:c>
      <x:c r="N646" s="16" t="n">
        <x:v>4</x:v>
      </x:c>
      <x:c r="O646" s="16" t="n">
        <x:v>19</x:v>
      </x:c>
      <x:c r="P646" s="16" t="n">
        <x:v>1</x:v>
      </x:c>
      <x:c r="Q646" s="16" t="n">
        <x:v>3</x:v>
      </x:c>
      <x:c r="R646" s="16" t="n">
        <x:v>1</x:v>
      </x:c>
      <x:c r="S646" s="16" t="n">
        <x:v>6</x:v>
      </x:c>
      <x:c r="T646" s="16" t="n">
        <x:v>4</x:v>
      </x:c>
      <x:c r="U646" s="16" t="n">
        <x:v>0</x:v>
      </x:c>
      <x:c r="V646" s="16" t="n">
        <x:v>0</x:v>
      </x:c>
      <x:c r="W646" s="16" t="n">
        <x:v>0</x:v>
      </x:c>
      <x:c r="X646" s="16" t="n">
        <x:v>0</x:v>
      </x:c>
      <x:c r="Y646" s="16" t="n">
        <x:v>0</x:v>
      </x:c>
      <x:c r="Z646" s="16" t="n">
        <x:v>0</x:v>
      </x:c>
      <x:c r="AA646" s="16" t="n">
        <x:v>3</x:v>
      </x:c>
      <x:c r="AB646" s="16" t="n">
        <x:v>11</x:v>
      </x:c>
      <x:c r="AC646" s="16" t="n">
        <x:v>0</x:v>
      </x:c>
      <x:c r="AD646" s="21" t="n">
        <x:f>IF(E646="",MEDIAN($E$2:$E$2237),E646)</x:f>
        <x:v>55282</x:v>
      </x:c>
      <x:c r="AE646" s="17" t="n">
        <x:f>2014-B646</x:f>
        <x:v>44</x:v>
      </x:c>
      <x:c r="AF646" s="17" t="n">
        <x:f>F646+G646</x:f>
        <x:v>1</x:v>
      </x:c>
      <x:c r="AG646" s="21" t="n">
        <x:f>SUM(J646:O646)</x:f>
        <x:v>235</x:v>
      </x:c>
      <x:c r="AH646" s="17" t="n">
        <x:f>SUM(Q646:S646)</x:f>
        <x:v>10</x:v>
      </x:c>
      <x:c r="AI646" s="17" t="n">
        <x:f>SUM(U646:Y646)</x:f>
        <x:v>0</x:v>
      </x:c>
      <x:c r="AJ646" s="17" t="str">
        <x:f>IF(AE646&lt;=34,"≤34",IF(AE646&lt;=44,"35–44",IF(AE646&lt;=54,"45–54",IF(AE646&lt;=64,"55–64","65+"))))</x:f>
        <x:v>35–44</x:v>
      </x:c>
      <x:c r="AK646" s="17" t="str">
        <x:f>IF(AG646&gt;=1000,"High Value",IF(AG646&gt;=300,"Mid Value","Low Value"))</x:f>
        <x:v>Low Value</x:v>
      </x:c>
      <x:c r="AL646" s="17" t="str">
        <x:f>IF(AND(AI646&gt;=1,I646&lt;=50),"Priority 1",IF(AND(AG646&gt;=1000,I646&lt;=60),"Priority 2",IF(I646&lt;=30,"Priority 3","Nurture")))</x:f>
        <x:v>Priority 3</x:v>
      </x:c>
    </x:row>
    <x:row r="647">
      <x:c r="A647" s="16" t="n">
        <x:v>4679</x:v>
      </x:c>
      <x:c r="B647" s="16" t="n">
        <x:v>1977</x:v>
      </x:c>
      <x:c r="C647" s="16" t="str">
        <x:v>Master</x:v>
      </x:c>
      <x:c r="D647" s="16" t="str">
        <x:v>Married</x:v>
      </x:c>
      <x:c r="E647" s="16" t="n">
        <x:v>78710</x:v>
      </x:c>
      <x:c r="F647" s="16" t="n">
        <x:v>0</x:v>
      </x:c>
      <x:c r="G647" s="16" t="n">
        <x:v>1</x:v>
      </x:c>
      <x:c r="H647" s="16" t="str">
        <x:v>23-05-2014</x:v>
      </x:c>
      <x:c r="I647" s="16" t="n">
        <x:v>42</x:v>
      </x:c>
      <x:c r="J647" s="16" t="n">
        <x:v>721</x:v>
      </x:c>
      <x:c r="K647" s="16" t="n">
        <x:v>0</x:v>
      </x:c>
      <x:c r="L647" s="16" t="n">
        <x:v>152</x:v>
      </x:c>
      <x:c r="M647" s="16" t="n">
        <x:v>119</x:v>
      </x:c>
      <x:c r="N647" s="16" t="n">
        <x:v>50</x:v>
      </x:c>
      <x:c r="O647" s="16" t="n">
        <x:v>50</x:v>
      </x:c>
      <x:c r="P647" s="16" t="n">
        <x:v>3</x:v>
      </x:c>
      <x:c r="Q647" s="16" t="n">
        <x:v>7</x:v>
      </x:c>
      <x:c r="R647" s="16" t="n">
        <x:v>6</x:v>
      </x:c>
      <x:c r="S647" s="16" t="n">
        <x:v>12</x:v>
      </x:c>
      <x:c r="T647" s="16" t="n">
        <x:v>4</x:v>
      </x:c>
      <x:c r="U647" s="16" t="n">
        <x:v>0</x:v>
      </x:c>
      <x:c r="V647" s="16" t="n">
        <x:v>0</x:v>
      </x:c>
      <x:c r="W647" s="16" t="n">
        <x:v>0</x:v>
      </x:c>
      <x:c r="X647" s="16" t="n">
        <x:v>0</x:v>
      </x:c>
      <x:c r="Y647" s="16" t="n">
        <x:v>0</x:v>
      </x:c>
      <x:c r="Z647" s="16" t="n">
        <x:v>0</x:v>
      </x:c>
      <x:c r="AA647" s="16" t="n">
        <x:v>3</x:v>
      </x:c>
      <x:c r="AB647" s="16" t="n">
        <x:v>11</x:v>
      </x:c>
      <x:c r="AC647" s="16" t="n">
        <x:v>0</x:v>
      </x:c>
      <x:c r="AD647" s="21" t="n">
        <x:f>IF(E647="",MEDIAN($E$2:$E$2237),E647)</x:f>
        <x:v>78710</x:v>
      </x:c>
      <x:c r="AE647" s="17" t="n">
        <x:f>2014-B647</x:f>
        <x:v>37</x:v>
      </x:c>
      <x:c r="AF647" s="17" t="n">
        <x:f>F647+G647</x:f>
        <x:v>1</x:v>
      </x:c>
      <x:c r="AG647" s="21" t="n">
        <x:f>SUM(J647:O647)</x:f>
        <x:v>1092</x:v>
      </x:c>
      <x:c r="AH647" s="17" t="n">
        <x:f>SUM(Q647:S647)</x:f>
        <x:v>25</x:v>
      </x:c>
      <x:c r="AI647" s="17" t="n">
        <x:f>SUM(U647:Y647)</x:f>
        <x:v>0</x:v>
      </x:c>
      <x:c r="AJ647" s="17" t="str">
        <x:f>IF(AE647&lt;=34,"≤34",IF(AE647&lt;=44,"35–44",IF(AE647&lt;=54,"45–54",IF(AE647&lt;=64,"55–64","65+"))))</x:f>
        <x:v>35–44</x:v>
      </x:c>
      <x:c r="AK647" s="17" t="str">
        <x:f>IF(AG647&gt;=1000,"High Value",IF(AG647&gt;=300,"Mid Value","Low Value"))</x:f>
        <x:v>High Value</x:v>
      </x:c>
      <x:c r="AL647" s="17" t="str">
        <x:f>IF(AND(AI647&gt;=1,I647&lt;=50),"Priority 1",IF(AND(AG647&gt;=1000,I647&lt;=60),"Priority 2",IF(I647&lt;=30,"Priority 3","Nurture")))</x:f>
        <x:v>Priority 2</x:v>
      </x:c>
    </x:row>
    <x:row r="648">
      <x:c r="A648" s="16" t="n">
        <x:v>10928</x:v>
      </x:c>
      <x:c r="B648" s="16" t="n">
        <x:v>1958</x:v>
      </x:c>
      <x:c r="C648" s="16" t="str">
        <x:v>Graduation</x:v>
      </x:c>
      <x:c r="D648" s="16" t="str">
        <x:v>Together</x:v>
      </x:c>
      <x:c r="E648" s="16" t="n">
        <x:v>66886</x:v>
      </x:c>
      <x:c r="F648" s="16" t="n">
        <x:v>0</x:v>
      </x:c>
      <x:c r="G648" s="16" t="n">
        <x:v>1</x:v>
      </x:c>
      <x:c r="H648" s="16" t="str">
        <x:v>16-09-2013</x:v>
      </x:c>
      <x:c r="I648" s="16" t="n">
        <x:v>28</x:v>
      </x:c>
      <x:c r="J648" s="16" t="n">
        <x:v>315</x:v>
      </x:c>
      <x:c r="K648" s="16" t="n">
        <x:v>4</x:v>
      </x:c>
      <x:c r="L648" s="16" t="n">
        <x:v>62</x:v>
      </x:c>
      <x:c r="M648" s="16" t="n">
        <x:v>41</x:v>
      </x:c>
      <x:c r="N648" s="16" t="n">
        <x:v>31</x:v>
      </x:c>
      <x:c r="O648" s="16" t="n">
        <x:v>146</x:v>
      </x:c>
      <x:c r="P648" s="16" t="n">
        <x:v>2</x:v>
      </x:c>
      <x:c r="Q648" s="16" t="n">
        <x:v>7</x:v>
      </x:c>
      <x:c r="R648" s="16" t="n">
        <x:v>1</x:v>
      </x:c>
      <x:c r="S648" s="16" t="n">
        <x:v>7</x:v>
      </x:c>
      <x:c r="T648" s="16" t="n">
        <x:v>5</x:v>
      </x:c>
      <x:c r="U648" s="16" t="n">
        <x:v>0</x:v>
      </x:c>
      <x:c r="V648" s="16" t="n">
        <x:v>0</x:v>
      </x:c>
      <x:c r="W648" s="16" t="n">
        <x:v>0</x:v>
      </x:c>
      <x:c r="X648" s="16" t="n">
        <x:v>0</x:v>
      </x:c>
      <x:c r="Y648" s="16" t="n">
        <x:v>0</x:v>
      </x:c>
      <x:c r="Z648" s="16" t="n">
        <x:v>0</x:v>
      </x:c>
      <x:c r="AA648" s="16" t="n">
        <x:v>3</x:v>
      </x:c>
      <x:c r="AB648" s="16" t="n">
        <x:v>11</x:v>
      </x:c>
      <x:c r="AC648" s="16" t="n">
        <x:v>0</x:v>
      </x:c>
      <x:c r="AD648" s="21" t="n">
        <x:f>IF(E648="",MEDIAN($E$2:$E$2237),E648)</x:f>
        <x:v>66886</x:v>
      </x:c>
      <x:c r="AE648" s="17" t="n">
        <x:f>2014-B648</x:f>
        <x:v>56</x:v>
      </x:c>
      <x:c r="AF648" s="17" t="n">
        <x:f>F648+G648</x:f>
        <x:v>1</x:v>
      </x:c>
      <x:c r="AG648" s="21" t="n">
        <x:f>SUM(J648:O648)</x:f>
        <x:v>599</x:v>
      </x:c>
      <x:c r="AH648" s="17" t="n">
        <x:f>SUM(Q648:S648)</x:f>
        <x:v>15</x:v>
      </x:c>
      <x:c r="AI648" s="17" t="n">
        <x:f>SUM(U648:Y648)</x:f>
        <x:v>0</x:v>
      </x:c>
      <x:c r="AJ648" s="17" t="str">
        <x:f>IF(AE648&lt;=34,"≤34",IF(AE648&lt;=44,"35–44",IF(AE648&lt;=54,"45–54",IF(AE648&lt;=64,"55–64","65+"))))</x:f>
        <x:v>55–64</x:v>
      </x:c>
      <x:c r="AK648" s="17" t="str">
        <x:f>IF(AG648&gt;=1000,"High Value",IF(AG648&gt;=300,"Mid Value","Low Value"))</x:f>
        <x:v>Mid Value</x:v>
      </x:c>
      <x:c r="AL648" s="17" t="str">
        <x:f>IF(AND(AI648&gt;=1,I648&lt;=50),"Priority 1",IF(AND(AG648&gt;=1000,I648&lt;=60),"Priority 2",IF(I648&lt;=30,"Priority 3","Nurture")))</x:f>
        <x:v>Priority 3</x:v>
      </x:c>
    </x:row>
    <x:row r="649">
      <x:c r="A649" s="16" t="n">
        <x:v>4248</x:v>
      </x:c>
      <x:c r="B649" s="16" t="n">
        <x:v>1960</x:v>
      </x:c>
      <x:c r="C649" s="16" t="str">
        <x:v>Master</x:v>
      </x:c>
      <x:c r="D649" s="16" t="str">
        <x:v>Single</x:v>
      </x:c>
      <x:c r="E649" s="16" t="n">
        <x:v>98777</x:v>
      </x:c>
      <x:c r="F649" s="16" t="n">
        <x:v>0</x:v>
      </x:c>
      <x:c r="G649" s="16" t="n">
        <x:v>0</x:v>
      </x:c>
      <x:c r="H649" s="16" t="str">
        <x:v>17-02-2014</x:v>
      </x:c>
      <x:c r="I649" s="16" t="n">
        <x:v>23</x:v>
      </x:c>
      <x:c r="J649" s="16" t="n">
        <x:v>1000</x:v>
      </x:c>
      <x:c r="K649" s="16" t="n">
        <x:v>19</x:v>
      </x:c>
      <x:c r="L649" s="16" t="n">
        <x:v>711</x:v>
      </x:c>
      <x:c r="M649" s="16" t="n">
        <x:v>125</x:v>
      </x:c>
      <x:c r="N649" s="16" t="n">
        <x:v>115</x:v>
      </x:c>
      <x:c r="O649" s="16" t="n">
        <x:v>38</x:v>
      </x:c>
      <x:c r="P649" s="16" t="n">
        <x:v>0</x:v>
      </x:c>
      <x:c r="Q649" s="16" t="n">
        <x:v>4</x:v>
      </x:c>
      <x:c r="R649" s="16" t="n">
        <x:v>6</x:v>
      </x:c>
      <x:c r="S649" s="16" t="n">
        <x:v>9</x:v>
      </x:c>
      <x:c r="T649" s="16" t="n">
        <x:v>1</x:v>
      </x:c>
      <x:c r="U649" s="16" t="n">
        <x:v>0</x:v>
      </x:c>
      <x:c r="V649" s="16" t="n">
        <x:v>1</x:v>
      </x:c>
      <x:c r="W649" s="16" t="n">
        <x:v>0</x:v>
      </x:c>
      <x:c r="X649" s="16" t="n">
        <x:v>0</x:v>
      </x:c>
      <x:c r="Y649" s="16" t="n">
        <x:v>0</x:v>
      </x:c>
      <x:c r="Z649" s="16" t="n">
        <x:v>0</x:v>
      </x:c>
      <x:c r="AA649" s="16" t="n">
        <x:v>3</x:v>
      </x:c>
      <x:c r="AB649" s="16" t="n">
        <x:v>11</x:v>
      </x:c>
      <x:c r="AC649" s="16" t="n">
        <x:v>0</x:v>
      </x:c>
      <x:c r="AD649" s="21" t="n">
        <x:f>IF(E649="",MEDIAN($E$2:$E$2237),E649)</x:f>
        <x:v>98777</x:v>
      </x:c>
      <x:c r="AE649" s="17" t="n">
        <x:f>2014-B649</x:f>
        <x:v>54</x:v>
      </x:c>
      <x:c r="AF649" s="17" t="n">
        <x:f>F649+G649</x:f>
        <x:v>0</x:v>
      </x:c>
      <x:c r="AG649" s="21" t="n">
        <x:f>SUM(J649:O649)</x:f>
        <x:v>2008</x:v>
      </x:c>
      <x:c r="AH649" s="17" t="n">
        <x:f>SUM(Q649:S649)</x:f>
        <x:v>19</x:v>
      </x:c>
      <x:c r="AI649" s="17" t="n">
        <x:f>SUM(U649:Y649)</x:f>
        <x:v>1</x:v>
      </x:c>
      <x:c r="AJ649" s="17" t="str">
        <x:f>IF(AE649&lt;=34,"≤34",IF(AE649&lt;=44,"35–44",IF(AE649&lt;=54,"45–54",IF(AE649&lt;=64,"55–64","65+"))))</x:f>
        <x:v>45–54</x:v>
      </x:c>
      <x:c r="AK649" s="17" t="str">
        <x:f>IF(AG649&gt;=1000,"High Value",IF(AG649&gt;=300,"Mid Value","Low Value"))</x:f>
        <x:v>High Value</x:v>
      </x:c>
      <x:c r="AL649" s="17" t="str">
        <x:f>IF(AND(AI649&gt;=1,I649&lt;=50),"Priority 1",IF(AND(AG649&gt;=1000,I649&lt;=60),"Priority 2",IF(I649&lt;=30,"Priority 3","Nurture")))</x:f>
        <x:v>Priority 1</x:v>
      </x:c>
    </x:row>
    <x:row r="650">
      <x:c r="A650" s="16" t="n">
        <x:v>6728</x:v>
      </x:c>
      <x:c r="B650" s="16" t="n">
        <x:v>1985</x:v>
      </x:c>
      <x:c r="C650" s="16" t="str">
        <x:v>Graduation</x:v>
      </x:c>
      <x:c r="D650" s="16" t="str">
        <x:v>Together</x:v>
      </x:c>
      <x:c r="E650" s="16" t="n">
        <x:v>29103</x:v>
      </x:c>
      <x:c r="F650" s="16" t="n">
        <x:v>1</x:v>
      </x:c>
      <x:c r="G650" s="16" t="n">
        <x:v>0</x:v>
      </x:c>
      <x:c r="H650" s="16" t="str">
        <x:v>27-08-2012</x:v>
      </x:c>
      <x:c r="I650" s="16" t="n">
        <x:v>38</x:v>
      </x:c>
      <x:c r="J650" s="16" t="n">
        <x:v>16</x:v>
      </x:c>
      <x:c r="K650" s="16" t="n">
        <x:v>0</x:v>
      </x:c>
      <x:c r="L650" s="16" t="n">
        <x:v>17</x:v>
      </x:c>
      <x:c r="M650" s="16" t="n">
        <x:v>6</x:v>
      </x:c>
      <x:c r="N650" s="16" t="n">
        <x:v>3</x:v>
      </x:c>
      <x:c r="O650" s="16" t="n">
        <x:v>6</x:v>
      </x:c>
      <x:c r="P650" s="16" t="n">
        <x:v>2</x:v>
      </x:c>
      <x:c r="Q650" s="16" t="n">
        <x:v>1</x:v>
      </x:c>
      <x:c r="R650" s="16" t="n">
        <x:v>0</x:v>
      </x:c>
      <x:c r="S650" s="16" t="n">
        <x:v>3</x:v>
      </x:c>
      <x:c r="T650" s="16" t="n">
        <x:v>9</x:v>
      </x:c>
      <x:c r="U650" s="16" t="n">
        <x:v>0</x:v>
      </x:c>
      <x:c r="V650" s="16" t="n">
        <x:v>0</x:v>
      </x:c>
      <x:c r="W650" s="16" t="n">
        <x:v>0</x:v>
      </x:c>
      <x:c r="X650" s="16" t="n">
        <x:v>0</x:v>
      </x:c>
      <x:c r="Y650" s="16" t="n">
        <x:v>0</x:v>
      </x:c>
      <x:c r="Z650" s="16" t="n">
        <x:v>0</x:v>
      </x:c>
      <x:c r="AA650" s="16" t="n">
        <x:v>3</x:v>
      </x:c>
      <x:c r="AB650" s="16" t="n">
        <x:v>11</x:v>
      </x:c>
      <x:c r="AC650" s="16" t="n">
        <x:v>0</x:v>
      </x:c>
      <x:c r="AD650" s="21" t="n">
        <x:f>IF(E650="",MEDIAN($E$2:$E$2237),E650)</x:f>
        <x:v>29103</x:v>
      </x:c>
      <x:c r="AE650" s="17" t="n">
        <x:f>2014-B650</x:f>
        <x:v>29</x:v>
      </x:c>
      <x:c r="AF650" s="17" t="n">
        <x:f>F650+G650</x:f>
        <x:v>1</x:v>
      </x:c>
      <x:c r="AG650" s="21" t="n">
        <x:f>SUM(J650:O650)</x:f>
        <x:v>48</x:v>
      </x:c>
      <x:c r="AH650" s="17" t="n">
        <x:f>SUM(Q650:S650)</x:f>
        <x:v>4</x:v>
      </x:c>
      <x:c r="AI650" s="17" t="n">
        <x:f>SUM(U650:Y650)</x:f>
        <x:v>0</x:v>
      </x:c>
      <x:c r="AJ650" s="17" t="str">
        <x:f>IF(AE650&lt;=34,"≤34",IF(AE650&lt;=44,"35–44",IF(AE650&lt;=54,"45–54",IF(AE650&lt;=64,"55–64","65+"))))</x:f>
        <x:v>≤34</x:v>
      </x:c>
      <x:c r="AK650" s="17" t="str">
        <x:f>IF(AG650&gt;=1000,"High Value",IF(AG650&gt;=300,"Mid Value","Low Value"))</x:f>
        <x:v>Low Value</x:v>
      </x:c>
      <x:c r="AL650" s="17" t="str">
        <x:f>IF(AND(AI650&gt;=1,I650&lt;=50),"Priority 1",IF(AND(AG650&gt;=1000,I650&lt;=60),"Priority 2",IF(I650&lt;=30,"Priority 3","Nurture")))</x:f>
        <x:v>Nurture</x:v>
      </x:c>
    </x:row>
    <x:row r="651">
      <x:c r="A651" s="16" t="n">
        <x:v>6661</x:v>
      </x:c>
      <x:c r="B651" s="16" t="n">
        <x:v>1974</x:v>
      </x:c>
      <x:c r="C651" s="16" t="str">
        <x:v>Graduation</x:v>
      </x:c>
      <x:c r="D651" s="16" t="str">
        <x:v>Married</x:v>
      </x:c>
      <x:c r="E651" s="16" t="n">
        <x:v>67445</x:v>
      </x:c>
      <x:c r="F651" s="16" t="n">
        <x:v>0</x:v>
      </x:c>
      <x:c r="G651" s="16" t="n">
        <x:v>1</x:v>
      </x:c>
      <x:c r="H651" s="16" t="str">
        <x:v>12-08-2012</x:v>
      </x:c>
      <x:c r="I651" s="16" t="n">
        <x:v>63</x:v>
      </x:c>
      <x:c r="J651" s="16" t="n">
        <x:v>757</x:v>
      </x:c>
      <x:c r="K651" s="16" t="n">
        <x:v>80</x:v>
      </x:c>
      <x:c r="L651" s="16" t="n">
        <x:v>217</x:v>
      </x:c>
      <x:c r="M651" s="16" t="n">
        <x:v>29</x:v>
      </x:c>
      <x:c r="N651" s="16" t="n">
        <x:v>80</x:v>
      </x:c>
      <x:c r="O651" s="16" t="n">
        <x:v>11</x:v>
      </x:c>
      <x:c r="P651" s="16" t="n">
        <x:v>5</x:v>
      </x:c>
      <x:c r="Q651" s="16" t="n">
        <x:v>9</x:v>
      </x:c>
      <x:c r="R651" s="16" t="n">
        <x:v>6</x:v>
      </x:c>
      <x:c r="S651" s="16" t="n">
        <x:v>12</x:v>
      </x:c>
      <x:c r="T651" s="16" t="n">
        <x:v>6</x:v>
      </x:c>
      <x:c r="U651" s="16" t="n">
        <x:v>0</x:v>
      </x:c>
      <x:c r="V651" s="16" t="n">
        <x:v>0</x:v>
      </x:c>
      <x:c r="W651" s="16" t="n">
        <x:v>0</x:v>
      </x:c>
      <x:c r="X651" s="16" t="n">
        <x:v>0</x:v>
      </x:c>
      <x:c r="Y651" s="16" t="n">
        <x:v>0</x:v>
      </x:c>
      <x:c r="Z651" s="16" t="n">
        <x:v>0</x:v>
      </x:c>
      <x:c r="AA651" s="16" t="n">
        <x:v>3</x:v>
      </x:c>
      <x:c r="AB651" s="16" t="n">
        <x:v>11</x:v>
      </x:c>
      <x:c r="AC651" s="16" t="n">
        <x:v>0</x:v>
      </x:c>
      <x:c r="AD651" s="21" t="n">
        <x:f>IF(E651="",MEDIAN($E$2:$E$2237),E651)</x:f>
        <x:v>67445</x:v>
      </x:c>
      <x:c r="AE651" s="17" t="n">
        <x:f>2014-B651</x:f>
        <x:v>40</x:v>
      </x:c>
      <x:c r="AF651" s="17" t="n">
        <x:f>F651+G651</x:f>
        <x:v>1</x:v>
      </x:c>
      <x:c r="AG651" s="21" t="n">
        <x:f>SUM(J651:O651)</x:f>
        <x:v>1174</x:v>
      </x:c>
      <x:c r="AH651" s="17" t="n">
        <x:f>SUM(Q651:S651)</x:f>
        <x:v>27</x:v>
      </x:c>
      <x:c r="AI651" s="17" t="n">
        <x:f>SUM(U651:Y651)</x:f>
        <x:v>0</x:v>
      </x:c>
      <x:c r="AJ651" s="17" t="str">
        <x:f>IF(AE651&lt;=34,"≤34",IF(AE651&lt;=44,"35–44",IF(AE651&lt;=54,"45–54",IF(AE651&lt;=64,"55–64","65+"))))</x:f>
        <x:v>35–44</x:v>
      </x:c>
      <x:c r="AK651" s="17" t="str">
        <x:f>IF(AG651&gt;=1000,"High Value",IF(AG651&gt;=300,"Mid Value","Low Value"))</x:f>
        <x:v>High Value</x:v>
      </x:c>
      <x:c r="AL651" s="17" t="str">
        <x:f>IF(AND(AI651&gt;=1,I651&lt;=50),"Priority 1",IF(AND(AG651&gt;=1000,I651&lt;=60),"Priority 2",IF(I651&lt;=30,"Priority 3","Nurture")))</x:f>
        <x:v>Nurture</x:v>
      </x:c>
    </x:row>
    <x:row r="652">
      <x:c r="A652" s="16" t="n">
        <x:v>4725</x:v>
      </x:c>
      <x:c r="B652" s="16" t="n">
        <x:v>1950</x:v>
      </x:c>
      <x:c r="C652" s="16" t="str">
        <x:v>PhD</x:v>
      </x:c>
      <x:c r="D652" s="16" t="str">
        <x:v>Together</x:v>
      </x:c>
      <x:c r="E652" s="16" t="n">
        <x:v>50616</x:v>
      </x:c>
      <x:c r="F652" s="16" t="n">
        <x:v>0</x:v>
      </x:c>
      <x:c r="G652" s="16" t="n">
        <x:v>1</x:v>
      </x:c>
      <x:c r="H652" s="16" t="str">
        <x:v>13-04-2014</x:v>
      </x:c>
      <x:c r="I652" s="16" t="n">
        <x:v>71</x:v>
      </x:c>
      <x:c r="J652" s="16" t="n">
        <x:v>30</x:v>
      </x:c>
      <x:c r="K652" s="16" t="n">
        <x:v>2</x:v>
      </x:c>
      <x:c r="L652" s="16" t="n">
        <x:v>25</x:v>
      </x:c>
      <x:c r="M652" s="16" t="n">
        <x:v>0</x:v>
      </x:c>
      <x:c r="N652" s="16" t="n">
        <x:v>1</x:v>
      </x:c>
      <x:c r="O652" s="16" t="n">
        <x:v>9</x:v>
      </x:c>
      <x:c r="P652" s="16" t="n">
        <x:v>1</x:v>
      </x:c>
      <x:c r="Q652" s="16" t="n">
        <x:v>1</x:v>
      </x:c>
      <x:c r="R652" s="16" t="n">
        <x:v>1</x:v>
      </x:c>
      <x:c r="S652" s="16" t="n">
        <x:v>4</x:v>
      </x:c>
      <x:c r="T652" s="16" t="n">
        <x:v>2</x:v>
      </x:c>
      <x:c r="U652" s="16" t="n">
        <x:v>0</x:v>
      </x:c>
      <x:c r="V652" s="16" t="n">
        <x:v>0</x:v>
      </x:c>
      <x:c r="W652" s="16" t="n">
        <x:v>0</x:v>
      </x:c>
      <x:c r="X652" s="16" t="n">
        <x:v>0</x:v>
      </x:c>
      <x:c r="Y652" s="16" t="n">
        <x:v>0</x:v>
      </x:c>
      <x:c r="Z652" s="16" t="n">
        <x:v>0</x:v>
      </x:c>
      <x:c r="AA652" s="16" t="n">
        <x:v>3</x:v>
      </x:c>
      <x:c r="AB652" s="16" t="n">
        <x:v>11</x:v>
      </x:c>
      <x:c r="AC652" s="16" t="n">
        <x:v>0</x:v>
      </x:c>
      <x:c r="AD652" s="21" t="n">
        <x:f>IF(E652="",MEDIAN($E$2:$E$2237),E652)</x:f>
        <x:v>50616</x:v>
      </x:c>
      <x:c r="AE652" s="17" t="n">
        <x:f>2014-B652</x:f>
        <x:v>64</x:v>
      </x:c>
      <x:c r="AF652" s="17" t="n">
        <x:f>F652+G652</x:f>
        <x:v>1</x:v>
      </x:c>
      <x:c r="AG652" s="21" t="n">
        <x:f>SUM(J652:O652)</x:f>
        <x:v>67</x:v>
      </x:c>
      <x:c r="AH652" s="17" t="n">
        <x:f>SUM(Q652:S652)</x:f>
        <x:v>6</x:v>
      </x:c>
      <x:c r="AI652" s="17" t="n">
        <x:f>SUM(U652:Y652)</x:f>
        <x:v>0</x:v>
      </x:c>
      <x:c r="AJ652" s="17" t="str">
        <x:f>IF(AE652&lt;=34,"≤34",IF(AE652&lt;=44,"35–44",IF(AE652&lt;=54,"45–54",IF(AE652&lt;=64,"55–64","65+"))))</x:f>
        <x:v>55–64</x:v>
      </x:c>
      <x:c r="AK652" s="17" t="str">
        <x:f>IF(AG652&gt;=1000,"High Value",IF(AG652&gt;=300,"Mid Value","Low Value"))</x:f>
        <x:v>Low Value</x:v>
      </x:c>
      <x:c r="AL652" s="17" t="str">
        <x:f>IF(AND(AI652&gt;=1,I652&lt;=50),"Priority 1",IF(AND(AG652&gt;=1000,I652&lt;=60),"Priority 2",IF(I652&lt;=30,"Priority 3","Nurture")))</x:f>
        <x:v>Nurture</x:v>
      </x:c>
    </x:row>
    <x:row r="653">
      <x:c r="A653" s="16" t="n">
        <x:v>3277</x:v>
      </x:c>
      <x:c r="B653" s="16" t="n">
        <x:v>1955</x:v>
      </x:c>
      <x:c r="C653" s="16" t="str">
        <x:v>Graduation</x:v>
      </x:c>
      <x:c r="D653" s="16" t="str">
        <x:v>Divorced</x:v>
      </x:c>
      <x:c r="E653" s="16" t="n">
        <x:v>49431</x:v>
      </x:c>
      <x:c r="F653" s="16" t="n">
        <x:v>0</x:v>
      </x:c>
      <x:c r="G653" s="16" t="n">
        <x:v>1</x:v>
      </x:c>
      <x:c r="H653" s="16" t="str">
        <x:v>03-08-2012</x:v>
      </x:c>
      <x:c r="I653" s="16" t="n">
        <x:v>9</x:v>
      </x:c>
      <x:c r="J653" s="16" t="n">
        <x:v>219</x:v>
      </x:c>
      <x:c r="K653" s="16" t="n">
        <x:v>3</x:v>
      </x:c>
      <x:c r="L653" s="16" t="n">
        <x:v>100</x:v>
      </x:c>
      <x:c r="M653" s="16" t="n">
        <x:v>26</x:v>
      </x:c>
      <x:c r="N653" s="16" t="n">
        <x:v>0</x:v>
      </x:c>
      <x:c r="O653" s="16" t="n">
        <x:v>17</x:v>
      </x:c>
      <x:c r="P653" s="16" t="n">
        <x:v>2</x:v>
      </x:c>
      <x:c r="Q653" s="16" t="n">
        <x:v>7</x:v>
      </x:c>
      <x:c r="R653" s="16" t="n">
        <x:v>1</x:v>
      </x:c>
      <x:c r="S653" s="16" t="n">
        <x:v>5</x:v>
      </x:c>
      <x:c r="T653" s="16" t="n">
        <x:v>8</x:v>
      </x:c>
      <x:c r="U653" s="16" t="n">
        <x:v>0</x:v>
      </x:c>
      <x:c r="V653" s="16" t="n">
        <x:v>0</x:v>
      </x:c>
      <x:c r="W653" s="16" t="n">
        <x:v>0</x:v>
      </x:c>
      <x:c r="X653" s="16" t="n">
        <x:v>0</x:v>
      </x:c>
      <x:c r="Y653" s="16" t="n">
        <x:v>0</x:v>
      </x:c>
      <x:c r="Z653" s="16" t="n">
        <x:v>0</x:v>
      </x:c>
      <x:c r="AA653" s="16" t="n">
        <x:v>3</x:v>
      </x:c>
      <x:c r="AB653" s="16" t="n">
        <x:v>11</x:v>
      </x:c>
      <x:c r="AC653" s="16" t="n">
        <x:v>0</x:v>
      </x:c>
      <x:c r="AD653" s="21" t="n">
        <x:f>IF(E653="",MEDIAN($E$2:$E$2237),E653)</x:f>
        <x:v>49431</x:v>
      </x:c>
      <x:c r="AE653" s="17" t="n">
        <x:f>2014-B653</x:f>
        <x:v>59</x:v>
      </x:c>
      <x:c r="AF653" s="17" t="n">
        <x:f>F653+G653</x:f>
        <x:v>1</x:v>
      </x:c>
      <x:c r="AG653" s="21" t="n">
        <x:f>SUM(J653:O653)</x:f>
        <x:v>365</x:v>
      </x:c>
      <x:c r="AH653" s="17" t="n">
        <x:f>SUM(Q653:S653)</x:f>
        <x:v>13</x:v>
      </x:c>
      <x:c r="AI653" s="17" t="n">
        <x:f>SUM(U653:Y653)</x:f>
        <x:v>0</x:v>
      </x:c>
      <x:c r="AJ653" s="17" t="str">
        <x:f>IF(AE653&lt;=34,"≤34",IF(AE653&lt;=44,"35–44",IF(AE653&lt;=54,"45–54",IF(AE653&lt;=64,"55–64","65+"))))</x:f>
        <x:v>55–64</x:v>
      </x:c>
      <x:c r="AK653" s="17" t="str">
        <x:f>IF(AG653&gt;=1000,"High Value",IF(AG653&gt;=300,"Mid Value","Low Value"))</x:f>
        <x:v>Mid Value</x:v>
      </x:c>
      <x:c r="AL653" s="17" t="str">
        <x:f>IF(AND(AI653&gt;=1,I653&lt;=50),"Priority 1",IF(AND(AG653&gt;=1000,I653&lt;=60),"Priority 2",IF(I653&lt;=30,"Priority 3","Nurture")))</x:f>
        <x:v>Priority 3</x:v>
      </x:c>
    </x:row>
    <x:row r="654">
      <x:c r="A654" s="16" t="n">
        <x:v>5555</x:v>
      </x:c>
      <x:c r="B654" s="16" t="n">
        <x:v>1975</x:v>
      </x:c>
      <x:c r="C654" s="16" t="str">
        <x:v>Graduation</x:v>
      </x:c>
      <x:c r="D654" s="16" t="str">
        <x:v>Divorced</x:v>
      </x:c>
      <x:c r="E654" s="16" t="n">
        <x:v>153924</x:v>
      </x:c>
      <x:c r="F654" s="16" t="n">
        <x:v>0</x:v>
      </x:c>
      <x:c r="G654" s="16" t="n">
        <x:v>0</x:v>
      </x:c>
      <x:c r="H654" s="16" t="str">
        <x:v>07-02-2014</x:v>
      </x:c>
      <x:c r="I654" s="16" t="n">
        <x:v>81</x:v>
      </x:c>
      <x:c r="J654" s="16" t="n">
        <x:v>1</x:v>
      </x:c>
      <x:c r="K654" s="16" t="n">
        <x:v>1</x:v>
      </x:c>
      <x:c r="L654" s="16" t="n">
        <x:v>1</x:v>
      </x:c>
      <x:c r="M654" s="16" t="n">
        <x:v>1</x:v>
      </x:c>
      <x:c r="N654" s="16" t="n">
        <x:v>1</x:v>
      </x:c>
      <x:c r="O654" s="16" t="n">
        <x:v>1</x:v>
      </x:c>
      <x:c r="P654" s="16" t="n">
        <x:v>0</x:v>
      </x:c>
      <x:c r="Q654" s="16" t="n">
        <x:v>0</x:v>
      </x:c>
      <x:c r="R654" s="16" t="n">
        <x:v>0</x:v>
      </x:c>
      <x:c r="S654" s="16" t="n">
        <x:v>0</x:v>
      </x:c>
      <x:c r="T654" s="16" t="n">
        <x:v>0</x:v>
      </x:c>
      <x:c r="U654" s="16" t="n">
        <x:v>0</x:v>
      </x:c>
      <x:c r="V654" s="16" t="n">
        <x:v>0</x:v>
      </x:c>
      <x:c r="W654" s="16" t="n">
        <x:v>0</x:v>
      </x:c>
      <x:c r="X654" s="16" t="n">
        <x:v>0</x:v>
      </x:c>
      <x:c r="Y654" s="16" t="n">
        <x:v>0</x:v>
      </x:c>
      <x:c r="Z654" s="16" t="n">
        <x:v>0</x:v>
      </x:c>
      <x:c r="AA654" s="16" t="n">
        <x:v>3</x:v>
      </x:c>
      <x:c r="AB654" s="16" t="n">
        <x:v>11</x:v>
      </x:c>
      <x:c r="AC654" s="16" t="n">
        <x:v>0</x:v>
      </x:c>
      <x:c r="AD654" s="21" t="n">
        <x:f>IF(E654="",MEDIAN($E$2:$E$2237),E654)</x:f>
        <x:v>153924</x:v>
      </x:c>
      <x:c r="AE654" s="17" t="n">
        <x:f>2014-B654</x:f>
        <x:v>39</x:v>
      </x:c>
      <x:c r="AF654" s="17" t="n">
        <x:f>F654+G654</x:f>
        <x:v>0</x:v>
      </x:c>
      <x:c r="AG654" s="21" t="n">
        <x:f>SUM(J654:O654)</x:f>
        <x:v>6</x:v>
      </x:c>
      <x:c r="AH654" s="17" t="n">
        <x:f>SUM(Q654:S654)</x:f>
        <x:v>0</x:v>
      </x:c>
      <x:c r="AI654" s="17" t="n">
        <x:f>SUM(U654:Y654)</x:f>
        <x:v>0</x:v>
      </x:c>
      <x:c r="AJ654" s="17" t="str">
        <x:f>IF(AE654&lt;=34,"≤34",IF(AE654&lt;=44,"35–44",IF(AE654&lt;=54,"45–54",IF(AE654&lt;=64,"55–64","65+"))))</x:f>
        <x:v>35–44</x:v>
      </x:c>
      <x:c r="AK654" s="17" t="str">
        <x:f>IF(AG654&gt;=1000,"High Value",IF(AG654&gt;=300,"Mid Value","Low Value"))</x:f>
        <x:v>Low Value</x:v>
      </x:c>
      <x:c r="AL654" s="17" t="str">
        <x:f>IF(AND(AI654&gt;=1,I654&lt;=50),"Priority 1",IF(AND(AG654&gt;=1000,I654&lt;=60),"Priority 2",IF(I654&lt;=30,"Priority 3","Nurture")))</x:f>
        <x:v>Nurture</x:v>
      </x:c>
    </x:row>
    <x:row r="655">
      <x:c r="A655" s="16" t="n">
        <x:v>2564</x:v>
      </x:c>
      <x:c r="B655" s="16" t="n">
        <x:v>1953</x:v>
      </x:c>
      <x:c r="C655" s="16" t="str">
        <x:v>Graduation</x:v>
      </x:c>
      <x:c r="D655" s="16" t="str">
        <x:v>Together</x:v>
      </x:c>
      <x:c r="E655" s="16" t="n">
        <x:v>61278</x:v>
      </x:c>
      <x:c r="F655" s="16" t="n">
        <x:v>0</x:v>
      </x:c>
      <x:c r="G655" s="16" t="n">
        <x:v>1</x:v>
      </x:c>
      <x:c r="H655" s="16" t="str">
        <x:v>04-01-2014</x:v>
      </x:c>
      <x:c r="I655" s="16" t="n">
        <x:v>87</x:v>
      </x:c>
      <x:c r="J655" s="16" t="n">
        <x:v>111</x:v>
      </x:c>
      <x:c r="K655" s="16" t="n">
        <x:v>3</x:v>
      </x:c>
      <x:c r="L655" s="16" t="n">
        <x:v>28</x:v>
      </x:c>
      <x:c r="M655" s="16" t="n">
        <x:v>2</x:v>
      </x:c>
      <x:c r="N655" s="16" t="n">
        <x:v>6</x:v>
      </x:c>
      <x:c r="O655" s="16" t="n">
        <x:v>15</x:v>
      </x:c>
      <x:c r="P655" s="16" t="n">
        <x:v>2</x:v>
      </x:c>
      <x:c r="Q655" s="16" t="n">
        <x:v>3</x:v>
      </x:c>
      <x:c r="R655" s="16" t="n">
        <x:v>1</x:v>
      </x:c>
      <x:c r="S655" s="16" t="n">
        <x:v>4</x:v>
      </x:c>
      <x:c r="T655" s="16" t="n">
        <x:v>6</x:v>
      </x:c>
      <x:c r="U655" s="16" t="n">
        <x:v>0</x:v>
      </x:c>
      <x:c r="V655" s="16" t="n">
        <x:v>0</x:v>
      </x:c>
      <x:c r="W655" s="16" t="n">
        <x:v>0</x:v>
      </x:c>
      <x:c r="X655" s="16" t="n">
        <x:v>0</x:v>
      </x:c>
      <x:c r="Y655" s="16" t="n">
        <x:v>0</x:v>
      </x:c>
      <x:c r="Z655" s="16" t="n">
        <x:v>0</x:v>
      </x:c>
      <x:c r="AA655" s="16" t="n">
        <x:v>3</x:v>
      </x:c>
      <x:c r="AB655" s="16" t="n">
        <x:v>11</x:v>
      </x:c>
      <x:c r="AC655" s="16" t="n">
        <x:v>0</x:v>
      </x:c>
      <x:c r="AD655" s="21" t="n">
        <x:f>IF(E655="",MEDIAN($E$2:$E$2237),E655)</x:f>
        <x:v>61278</x:v>
      </x:c>
      <x:c r="AE655" s="17" t="n">
        <x:f>2014-B655</x:f>
        <x:v>61</x:v>
      </x:c>
      <x:c r="AF655" s="17" t="n">
        <x:f>F655+G655</x:f>
        <x:v>1</x:v>
      </x:c>
      <x:c r="AG655" s="21" t="n">
        <x:f>SUM(J655:O655)</x:f>
        <x:v>165</x:v>
      </x:c>
      <x:c r="AH655" s="17" t="n">
        <x:f>SUM(Q655:S655)</x:f>
        <x:v>8</x:v>
      </x:c>
      <x:c r="AI655" s="17" t="n">
        <x:f>SUM(U655:Y655)</x:f>
        <x:v>0</x:v>
      </x:c>
      <x:c r="AJ655" s="17" t="str">
        <x:f>IF(AE655&lt;=34,"≤34",IF(AE655&lt;=44,"35–44",IF(AE655&lt;=54,"45–54",IF(AE655&lt;=64,"55–64","65+"))))</x:f>
        <x:v>55–64</x:v>
      </x:c>
      <x:c r="AK655" s="17" t="str">
        <x:f>IF(AG655&gt;=1000,"High Value",IF(AG655&gt;=300,"Mid Value","Low Value"))</x:f>
        <x:v>Low Value</x:v>
      </x:c>
      <x:c r="AL655" s="17" t="str">
        <x:f>IF(AND(AI655&gt;=1,I655&lt;=50),"Priority 1",IF(AND(AG655&gt;=1000,I655&lt;=60),"Priority 2",IF(I655&lt;=30,"Priority 3","Nurture")))</x:f>
        <x:v>Nurture</x:v>
      </x:c>
    </x:row>
    <x:row r="656">
      <x:c r="A656" s="16" t="n">
        <x:v>946</x:v>
      </x:c>
      <x:c r="B656" s="16" t="n">
        <x:v>1958</x:v>
      </x:c>
      <x:c r="C656" s="16" t="str">
        <x:v>2n Cycle</x:v>
      </x:c>
      <x:c r="D656" s="16" t="str">
        <x:v>Together</x:v>
      </x:c>
      <x:c r="E656" s="16" t="n">
        <x:v>26490</x:v>
      </x:c>
      <x:c r="F656" s="16" t="n">
        <x:v>0</x:v>
      </x:c>
      <x:c r="G656" s="16" t="n">
        <x:v>0</x:v>
      </x:c>
      <x:c r="H656" s="16" t="str">
        <x:v>22-09-2012</x:v>
      </x:c>
      <x:c r="I656" s="16" t="n">
        <x:v>92</x:v>
      </x:c>
      <x:c r="J656" s="16" t="n">
        <x:v>45</x:v>
      </x:c>
      <x:c r="K656" s="16" t="n">
        <x:v>47</x:v>
      </x:c>
      <x:c r="L656" s="16" t="n">
        <x:v>52</x:v>
      </x:c>
      <x:c r="M656" s="16" t="n">
        <x:v>21</x:v>
      </x:c>
      <x:c r="N656" s="16" t="n">
        <x:v>20</x:v>
      </x:c>
      <x:c r="O656" s="16" t="n">
        <x:v>25</x:v>
      </x:c>
      <x:c r="P656" s="16" t="n">
        <x:v>2</x:v>
      </x:c>
      <x:c r="Q656" s="16" t="n">
        <x:v>3</x:v>
      </x:c>
      <x:c r="R656" s="16" t="n">
        <x:v>1</x:v>
      </x:c>
      <x:c r="S656" s="16" t="n">
        <x:v>5</x:v>
      </x:c>
      <x:c r="T656" s="16" t="n">
        <x:v>6</x:v>
      </x:c>
      <x:c r="U656" s="16" t="n">
        <x:v>0</x:v>
      </x:c>
      <x:c r="V656" s="16" t="n">
        <x:v>0</x:v>
      </x:c>
      <x:c r="W656" s="16" t="n">
        <x:v>0</x:v>
      </x:c>
      <x:c r="X656" s="16" t="n">
        <x:v>0</x:v>
      </x:c>
      <x:c r="Y656" s="16" t="n">
        <x:v>0</x:v>
      </x:c>
      <x:c r="Z656" s="16" t="n">
        <x:v>0</x:v>
      </x:c>
      <x:c r="AA656" s="16" t="n">
        <x:v>3</x:v>
      </x:c>
      <x:c r="AB656" s="16" t="n">
        <x:v>11</x:v>
      </x:c>
      <x:c r="AC656" s="16" t="n">
        <x:v>0</x:v>
      </x:c>
      <x:c r="AD656" s="21" t="n">
        <x:f>IF(E656="",MEDIAN($E$2:$E$2237),E656)</x:f>
        <x:v>26490</x:v>
      </x:c>
      <x:c r="AE656" s="17" t="n">
        <x:f>2014-B656</x:f>
        <x:v>56</x:v>
      </x:c>
      <x:c r="AF656" s="17" t="n">
        <x:f>F656+G656</x:f>
        <x:v>0</x:v>
      </x:c>
      <x:c r="AG656" s="21" t="n">
        <x:f>SUM(J656:O656)</x:f>
        <x:v>210</x:v>
      </x:c>
      <x:c r="AH656" s="17" t="n">
        <x:f>SUM(Q656:S656)</x:f>
        <x:v>9</x:v>
      </x:c>
      <x:c r="AI656" s="17" t="n">
        <x:f>SUM(U656:Y656)</x:f>
        <x:v>0</x:v>
      </x:c>
      <x:c r="AJ656" s="17" t="str">
        <x:f>IF(AE656&lt;=34,"≤34",IF(AE656&lt;=44,"35–44",IF(AE656&lt;=54,"45–54",IF(AE656&lt;=64,"55–64","65+"))))</x:f>
        <x:v>55–64</x:v>
      </x:c>
      <x:c r="AK656" s="17" t="str">
        <x:f>IF(AG656&gt;=1000,"High Value",IF(AG656&gt;=300,"Mid Value","Low Value"))</x:f>
        <x:v>Low Value</x:v>
      </x:c>
      <x:c r="AL656" s="17" t="str">
        <x:f>IF(AND(AI656&gt;=1,I656&lt;=50),"Priority 1",IF(AND(AG656&gt;=1000,I656&lt;=60),"Priority 2",IF(I656&lt;=30,"Priority 3","Nurture")))</x:f>
        <x:v>Nurture</x:v>
      </x:c>
    </x:row>
    <x:row r="657">
      <x:c r="A657" s="16" t="n">
        <x:v>3867</x:v>
      </x:c>
      <x:c r="B657" s="16" t="n">
        <x:v>1947</x:v>
      </x:c>
      <x:c r="C657" s="16" t="str">
        <x:v>PhD</x:v>
      </x:c>
      <x:c r="D657" s="16" t="str">
        <x:v>Together</x:v>
      </x:c>
      <x:c r="E657" s="16" t="n">
        <x:v>73059</x:v>
      </x:c>
      <x:c r="F657" s="16" t="n">
        <x:v>0</x:v>
      </x:c>
      <x:c r="G657" s="16" t="n">
        <x:v>1</x:v>
      </x:c>
      <x:c r="H657" s="16" t="str">
        <x:v>31-08-2013</x:v>
      </x:c>
      <x:c r="I657" s="16" t="n">
        <x:v>36</x:v>
      </x:c>
      <x:c r="J657" s="16" t="n">
        <x:v>410</x:v>
      </x:c>
      <x:c r="K657" s="16" t="n">
        <x:v>112</x:v>
      </x:c>
      <x:c r="L657" s="16" t="n">
        <x:v>420</x:v>
      </x:c>
      <x:c r="M657" s="16" t="n">
        <x:v>0</x:v>
      </x:c>
      <x:c r="N657" s="16" t="n">
        <x:v>82</x:v>
      </x:c>
      <x:c r="O657" s="16" t="n">
        <x:v>71</x:v>
      </x:c>
      <x:c r="P657" s="16" t="n">
        <x:v>1</x:v>
      </x:c>
      <x:c r="Q657" s="16" t="n">
        <x:v>9</x:v>
      </x:c>
      <x:c r="R657" s="16" t="n">
        <x:v>3</x:v>
      </x:c>
      <x:c r="S657" s="16" t="n">
        <x:v>13</x:v>
      </x:c>
      <x:c r="T657" s="16" t="n">
        <x:v>4</x:v>
      </x:c>
      <x:c r="U657" s="16" t="n">
        <x:v>0</x:v>
      </x:c>
      <x:c r="V657" s="16" t="n">
        <x:v>0</x:v>
      </x:c>
      <x:c r="W657" s="16" t="n">
        <x:v>0</x:v>
      </x:c>
      <x:c r="X657" s="16" t="n">
        <x:v>0</x:v>
      </x:c>
      <x:c r="Y657" s="16" t="n">
        <x:v>0</x:v>
      </x:c>
      <x:c r="Z657" s="16" t="n">
        <x:v>0</x:v>
      </x:c>
      <x:c r="AA657" s="16" t="n">
        <x:v>3</x:v>
      </x:c>
      <x:c r="AB657" s="16" t="n">
        <x:v>11</x:v>
      </x:c>
      <x:c r="AC657" s="16" t="n">
        <x:v>0</x:v>
      </x:c>
      <x:c r="AD657" s="21" t="n">
        <x:f>IF(E657="",MEDIAN($E$2:$E$2237),E657)</x:f>
        <x:v>73059</x:v>
      </x:c>
      <x:c r="AE657" s="17" t="n">
        <x:f>2014-B657</x:f>
        <x:v>67</x:v>
      </x:c>
      <x:c r="AF657" s="17" t="n">
        <x:f>F657+G657</x:f>
        <x:v>1</x:v>
      </x:c>
      <x:c r="AG657" s="21" t="n">
        <x:f>SUM(J657:O657)</x:f>
        <x:v>1095</x:v>
      </x:c>
      <x:c r="AH657" s="17" t="n">
        <x:f>SUM(Q657:S657)</x:f>
        <x:v>25</x:v>
      </x:c>
      <x:c r="AI657" s="17" t="n">
        <x:f>SUM(U657:Y657)</x:f>
        <x:v>0</x:v>
      </x:c>
      <x:c r="AJ657" s="17" t="str">
        <x:f>IF(AE657&lt;=34,"≤34",IF(AE657&lt;=44,"35–44",IF(AE657&lt;=54,"45–54",IF(AE657&lt;=64,"55–64","65+"))))</x:f>
        <x:v>65+</x:v>
      </x:c>
      <x:c r="AK657" s="17" t="str">
        <x:f>IF(AG657&gt;=1000,"High Value",IF(AG657&gt;=300,"Mid Value","Low Value"))</x:f>
        <x:v>High Value</x:v>
      </x:c>
      <x:c r="AL657" s="17" t="str">
        <x:f>IF(AND(AI657&gt;=1,I657&lt;=50),"Priority 1",IF(AND(AG657&gt;=1000,I657&lt;=60),"Priority 2",IF(I657&lt;=30,"Priority 3","Nurture")))</x:f>
        <x:v>Priority 2</x:v>
      </x:c>
    </x:row>
    <x:row r="658">
      <x:c r="A658" s="16" t="n">
        <x:v>6940</x:v>
      </x:c>
      <x:c r="B658" s="16" t="n">
        <x:v>1966</x:v>
      </x:c>
      <x:c r="C658" s="16" t="str">
        <x:v>PhD</x:v>
      </x:c>
      <x:c r="D658" s="16" t="str">
        <x:v>Single</x:v>
      </x:c>
      <x:c r="E658" s="16" t="n">
        <x:v>46734</x:v>
      </x:c>
      <x:c r="F658" s="16" t="n">
        <x:v>1</x:v>
      </x:c>
      <x:c r="G658" s="16" t="n">
        <x:v>2</x:v>
      </x:c>
      <x:c r="H658" s="16" t="str">
        <x:v>21-10-2013</x:v>
      </x:c>
      <x:c r="I658" s="16" t="n">
        <x:v>86</x:v>
      </x:c>
      <x:c r="J658" s="16" t="n">
        <x:v>100</x:v>
      </x:c>
      <x:c r="K658" s="16" t="n">
        <x:v>1</x:v>
      </x:c>
      <x:c r="L658" s="16" t="n">
        <x:v>39</x:v>
      </x:c>
      <x:c r="M658" s="16" t="n">
        <x:v>6</x:v>
      </x:c>
      <x:c r="N658" s="16" t="n">
        <x:v>1</x:v>
      </x:c>
      <x:c r="O658" s="16" t="n">
        <x:v>76</x:v>
      </x:c>
      <x:c r="P658" s="16" t="n">
        <x:v>4</x:v>
      </x:c>
      <x:c r="Q658" s="16" t="n">
        <x:v>3</x:v>
      </x:c>
      <x:c r="R658" s="16" t="n">
        <x:v>2</x:v>
      </x:c>
      <x:c r="S658" s="16" t="n">
        <x:v>3</x:v>
      </x:c>
      <x:c r="T658" s="16" t="n">
        <x:v>6</x:v>
      </x:c>
      <x:c r="U658" s="16" t="n">
        <x:v>1</x:v>
      </x:c>
      <x:c r="V658" s="16" t="n">
        <x:v>0</x:v>
      </x:c>
      <x:c r="W658" s="16" t="n">
        <x:v>0</x:v>
      </x:c>
      <x:c r="X658" s="16" t="n">
        <x:v>0</x:v>
      </x:c>
      <x:c r="Y658" s="16" t="n">
        <x:v>0</x:v>
      </x:c>
      <x:c r="Z658" s="16" t="n">
        <x:v>0</x:v>
      </x:c>
      <x:c r="AA658" s="16" t="n">
        <x:v>3</x:v>
      </x:c>
      <x:c r="AB658" s="16" t="n">
        <x:v>11</x:v>
      </x:c>
      <x:c r="AC658" s="16" t="n">
        <x:v>0</x:v>
      </x:c>
      <x:c r="AD658" s="21" t="n">
        <x:f>IF(E658="",MEDIAN($E$2:$E$2237),E658)</x:f>
        <x:v>46734</x:v>
      </x:c>
      <x:c r="AE658" s="17" t="n">
        <x:f>2014-B658</x:f>
        <x:v>48</x:v>
      </x:c>
      <x:c r="AF658" s="17" t="n">
        <x:f>F658+G658</x:f>
        <x:v>3</x:v>
      </x:c>
      <x:c r="AG658" s="21" t="n">
        <x:f>SUM(J658:O658)</x:f>
        <x:v>223</x:v>
      </x:c>
      <x:c r="AH658" s="17" t="n">
        <x:f>SUM(Q658:S658)</x:f>
        <x:v>8</x:v>
      </x:c>
      <x:c r="AI658" s="17" t="n">
        <x:f>SUM(U658:Y658)</x:f>
        <x:v>1</x:v>
      </x:c>
      <x:c r="AJ658" s="17" t="str">
        <x:f>IF(AE658&lt;=34,"≤34",IF(AE658&lt;=44,"35–44",IF(AE658&lt;=54,"45–54",IF(AE658&lt;=64,"55–64","65+"))))</x:f>
        <x:v>45–54</x:v>
      </x:c>
      <x:c r="AK658" s="17" t="str">
        <x:f>IF(AG658&gt;=1000,"High Value",IF(AG658&gt;=300,"Mid Value","Low Value"))</x:f>
        <x:v>Low Value</x:v>
      </x:c>
      <x:c r="AL658" s="17" t="str">
        <x:f>IF(AND(AI658&gt;=1,I658&lt;=50),"Priority 1",IF(AND(AG658&gt;=1000,I658&lt;=60),"Priority 2",IF(I658&lt;=30,"Priority 3","Nurture")))</x:f>
        <x:v>Nurture</x:v>
      </x:c>
    </x:row>
    <x:row r="659">
      <x:c r="A659" s="16" t="n">
        <x:v>55</x:v>
      </x:c>
      <x:c r="B659" s="16" t="n">
        <x:v>1963</x:v>
      </x:c>
      <x:c r="C659" s="16" t="str">
        <x:v>Graduation</x:v>
      </x:c>
      <x:c r="D659" s="16" t="str">
        <x:v>Together</x:v>
      </x:c>
      <x:c r="E659" s="16" t="n">
        <x:v>56253</x:v>
      </x:c>
      <x:c r="F659" s="16" t="n">
        <x:v>0</x:v>
      </x:c>
      <x:c r="G659" s="16" t="n">
        <x:v>1</x:v>
      </x:c>
      <x:c r="H659" s="16" t="str">
        <x:v>07-12-2012</x:v>
      </x:c>
      <x:c r="I659" s="16" t="n">
        <x:v>83</x:v>
      </x:c>
      <x:c r="J659" s="16" t="n">
        <x:v>509</x:v>
      </x:c>
      <x:c r="K659" s="16" t="n">
        <x:v>0</x:v>
      </x:c>
      <x:c r="L659" s="16" t="n">
        <x:v>65</x:v>
      </x:c>
      <x:c r="M659" s="16" t="n">
        <x:v>7</x:v>
      </x:c>
      <x:c r="N659" s="16" t="n">
        <x:v>11</x:v>
      </x:c>
      <x:c r="O659" s="16" t="n">
        <x:v>5</x:v>
      </x:c>
      <x:c r="P659" s="16" t="n">
        <x:v>4</x:v>
      </x:c>
      <x:c r="Q659" s="16" t="n">
        <x:v>7</x:v>
      </x:c>
      <x:c r="R659" s="16" t="n">
        <x:v>2</x:v>
      </x:c>
      <x:c r="S659" s="16" t="n">
        <x:v>9</x:v>
      </x:c>
      <x:c r="T659" s="16" t="n">
        <x:v>6</x:v>
      </x:c>
      <x:c r="U659" s="16" t="n">
        <x:v>0</x:v>
      </x:c>
      <x:c r="V659" s="16" t="n">
        <x:v>0</x:v>
      </x:c>
      <x:c r="W659" s="16" t="n">
        <x:v>0</x:v>
      </x:c>
      <x:c r="X659" s="16" t="n">
        <x:v>0</x:v>
      </x:c>
      <x:c r="Y659" s="16" t="n">
        <x:v>0</x:v>
      </x:c>
      <x:c r="Z659" s="16" t="n">
        <x:v>0</x:v>
      </x:c>
      <x:c r="AA659" s="16" t="n">
        <x:v>3</x:v>
      </x:c>
      <x:c r="AB659" s="16" t="n">
        <x:v>11</x:v>
      </x:c>
      <x:c r="AC659" s="16" t="n">
        <x:v>0</x:v>
      </x:c>
      <x:c r="AD659" s="21" t="n">
        <x:f>IF(E659="",MEDIAN($E$2:$E$2237),E659)</x:f>
        <x:v>56253</x:v>
      </x:c>
      <x:c r="AE659" s="17" t="n">
        <x:f>2014-B659</x:f>
        <x:v>51</x:v>
      </x:c>
      <x:c r="AF659" s="17" t="n">
        <x:f>F659+G659</x:f>
        <x:v>1</x:v>
      </x:c>
      <x:c r="AG659" s="21" t="n">
        <x:f>SUM(J659:O659)</x:f>
        <x:v>597</x:v>
      </x:c>
      <x:c r="AH659" s="17" t="n">
        <x:f>SUM(Q659:S659)</x:f>
        <x:v>18</x:v>
      </x:c>
      <x:c r="AI659" s="17" t="n">
        <x:f>SUM(U659:Y659)</x:f>
        <x:v>0</x:v>
      </x:c>
      <x:c r="AJ659" s="17" t="str">
        <x:f>IF(AE659&lt;=34,"≤34",IF(AE659&lt;=44,"35–44",IF(AE659&lt;=54,"45–54",IF(AE659&lt;=64,"55–64","65+"))))</x:f>
        <x:v>45–54</x:v>
      </x:c>
      <x:c r="AK659" s="17" t="str">
        <x:f>IF(AG659&gt;=1000,"High Value",IF(AG659&gt;=300,"Mid Value","Low Value"))</x:f>
        <x:v>Mid Value</x:v>
      </x:c>
      <x:c r="AL659" s="17" t="str">
        <x:f>IF(AND(AI659&gt;=1,I659&lt;=50),"Priority 1",IF(AND(AG659&gt;=1000,I659&lt;=60),"Priority 2",IF(I659&lt;=30,"Priority 3","Nurture")))</x:f>
        <x:v>Nurture</x:v>
      </x:c>
    </x:row>
    <x:row r="660">
      <x:c r="A660" s="16" t="n">
        <x:v>7093</x:v>
      </x:c>
      <x:c r="B660" s="16" t="n">
        <x:v>1985</x:v>
      </x:c>
      <x:c r="C660" s="16" t="str">
        <x:v>Graduation</x:v>
      </x:c>
      <x:c r="D660" s="16" t="str">
        <x:v>Married</x:v>
      </x:c>
      <x:c r="E660" s="16" t="n">
        <x:v>19986</x:v>
      </x:c>
      <x:c r="F660" s="16" t="n">
        <x:v>1</x:v>
      </x:c>
      <x:c r="G660" s="16" t="n">
        <x:v>0</x:v>
      </x:c>
      <x:c r="H660" s="16" t="str">
        <x:v>14-11-2013</x:v>
      </x:c>
      <x:c r="I660" s="16" t="n">
        <x:v>74</x:v>
      </x:c>
      <x:c r="J660" s="16" t="n">
        <x:v>3</x:v>
      </x:c>
      <x:c r="K660" s="16" t="n">
        <x:v>6</x:v>
      </x:c>
      <x:c r="L660" s="16" t="n">
        <x:v>5</x:v>
      </x:c>
      <x:c r="M660" s="16" t="n">
        <x:v>0</x:v>
      </x:c>
      <x:c r="N660" s="16" t="n">
        <x:v>2</x:v>
      </x:c>
      <x:c r="O660" s="16" t="n">
        <x:v>6</x:v>
      </x:c>
      <x:c r="P660" s="16" t="n">
        <x:v>1</x:v>
      </x:c>
      <x:c r="Q660" s="16" t="n">
        <x:v>0</x:v>
      </x:c>
      <x:c r="R660" s="16" t="n">
        <x:v>0</x:v>
      </x:c>
      <x:c r="S660" s="16" t="n">
        <x:v>3</x:v>
      </x:c>
      <x:c r="T660" s="16" t="n">
        <x:v>7</x:v>
      </x:c>
      <x:c r="U660" s="16" t="n">
        <x:v>0</x:v>
      </x:c>
      <x:c r="V660" s="16" t="n">
        <x:v>0</x:v>
      </x:c>
      <x:c r="W660" s="16" t="n">
        <x:v>0</x:v>
      </x:c>
      <x:c r="X660" s="16" t="n">
        <x:v>0</x:v>
      </x:c>
      <x:c r="Y660" s="16" t="n">
        <x:v>0</x:v>
      </x:c>
      <x:c r="Z660" s="16" t="n">
        <x:v>0</x:v>
      </x:c>
      <x:c r="AA660" s="16" t="n">
        <x:v>3</x:v>
      </x:c>
      <x:c r="AB660" s="16" t="n">
        <x:v>11</x:v>
      </x:c>
      <x:c r="AC660" s="16" t="n">
        <x:v>0</x:v>
      </x:c>
      <x:c r="AD660" s="21" t="n">
        <x:f>IF(E660="",MEDIAN($E$2:$E$2237),E660)</x:f>
        <x:v>19986</x:v>
      </x:c>
      <x:c r="AE660" s="17" t="n">
        <x:f>2014-B660</x:f>
        <x:v>29</x:v>
      </x:c>
      <x:c r="AF660" s="17" t="n">
        <x:f>F660+G660</x:f>
        <x:v>1</x:v>
      </x:c>
      <x:c r="AG660" s="21" t="n">
        <x:f>SUM(J660:O660)</x:f>
        <x:v>22</x:v>
      </x:c>
      <x:c r="AH660" s="17" t="n">
        <x:f>SUM(Q660:S660)</x:f>
        <x:v>3</x:v>
      </x:c>
      <x:c r="AI660" s="17" t="n">
        <x:f>SUM(U660:Y660)</x:f>
        <x:v>0</x:v>
      </x:c>
      <x:c r="AJ660" s="17" t="str">
        <x:f>IF(AE660&lt;=34,"≤34",IF(AE660&lt;=44,"35–44",IF(AE660&lt;=54,"45–54",IF(AE660&lt;=64,"55–64","65+"))))</x:f>
        <x:v>≤34</x:v>
      </x:c>
      <x:c r="AK660" s="17" t="str">
        <x:f>IF(AG660&gt;=1000,"High Value",IF(AG660&gt;=300,"Mid Value","Low Value"))</x:f>
        <x:v>Low Value</x:v>
      </x:c>
      <x:c r="AL660" s="17" t="str">
        <x:f>IF(AND(AI660&gt;=1,I660&lt;=50),"Priority 1",IF(AND(AG660&gt;=1000,I660&lt;=60),"Priority 2",IF(I660&lt;=30,"Priority 3","Nurture")))</x:f>
        <x:v>Nurture</x:v>
      </x:c>
    </x:row>
    <x:row r="661">
      <x:c r="A661" s="16" t="n">
        <x:v>5084</x:v>
      </x:c>
      <x:c r="B661" s="16" t="n">
        <x:v>1975</x:v>
      </x:c>
      <x:c r="C661" s="16" t="str">
        <x:v>Graduation</x:v>
      </x:c>
      <x:c r="D661" s="16" t="str">
        <x:v>Widow</x:v>
      </x:c>
      <x:c r="E661" s="16" t="n">
        <x:v>58330</x:v>
      </x:c>
      <x:c r="F661" s="16" t="n">
        <x:v>0</x:v>
      </x:c>
      <x:c r="G661" s="16" t="n">
        <x:v>1</x:v>
      </x:c>
      <x:c r="H661" s="16" t="str">
        <x:v>25-12-2013</x:v>
      </x:c>
      <x:c r="I661" s="16" t="n">
        <x:v>87</x:v>
      </x:c>
      <x:c r="J661" s="16" t="n">
        <x:v>445</x:v>
      </x:c>
      <x:c r="K661" s="16" t="n">
        <x:v>53</x:v>
      </x:c>
      <x:c r="L661" s="16" t="n">
        <x:v>213</x:v>
      </x:c>
      <x:c r="M661" s="16" t="n">
        <x:v>104</x:v>
      </x:c>
      <x:c r="N661" s="16" t="n">
        <x:v>98</x:v>
      </x:c>
      <x:c r="O661" s="16" t="n">
        <x:v>151</x:v>
      </x:c>
      <x:c r="P661" s="16" t="n">
        <x:v>1</x:v>
      </x:c>
      <x:c r="Q661" s="16" t="n">
        <x:v>6</x:v>
      </x:c>
      <x:c r="R661" s="16" t="n">
        <x:v>4</x:v>
      </x:c>
      <x:c r="S661" s="16" t="n">
        <x:v>13</x:v>
      </x:c>
      <x:c r="T661" s="16" t="n">
        <x:v>4</x:v>
      </x:c>
      <x:c r="U661" s="16" t="n">
        <x:v>0</x:v>
      </x:c>
      <x:c r="V661" s="16" t="n">
        <x:v>0</x:v>
      </x:c>
      <x:c r="W661" s="16" t="n">
        <x:v>0</x:v>
      </x:c>
      <x:c r="X661" s="16" t="n">
        <x:v>0</x:v>
      </x:c>
      <x:c r="Y661" s="16" t="n">
        <x:v>0</x:v>
      </x:c>
      <x:c r="Z661" s="16" t="n">
        <x:v>0</x:v>
      </x:c>
      <x:c r="AA661" s="16" t="n">
        <x:v>3</x:v>
      </x:c>
      <x:c r="AB661" s="16" t="n">
        <x:v>11</x:v>
      </x:c>
      <x:c r="AC661" s="16" t="n">
        <x:v>0</x:v>
      </x:c>
      <x:c r="AD661" s="21" t="n">
        <x:f>IF(E661="",MEDIAN($E$2:$E$2237),E661)</x:f>
        <x:v>58330</x:v>
      </x:c>
      <x:c r="AE661" s="17" t="n">
        <x:f>2014-B661</x:f>
        <x:v>39</x:v>
      </x:c>
      <x:c r="AF661" s="17" t="n">
        <x:f>F661+G661</x:f>
        <x:v>1</x:v>
      </x:c>
      <x:c r="AG661" s="21" t="n">
        <x:f>SUM(J661:O661)</x:f>
        <x:v>1064</x:v>
      </x:c>
      <x:c r="AH661" s="17" t="n">
        <x:f>SUM(Q661:S661)</x:f>
        <x:v>23</x:v>
      </x:c>
      <x:c r="AI661" s="17" t="n">
        <x:f>SUM(U661:Y661)</x:f>
        <x:v>0</x:v>
      </x:c>
      <x:c r="AJ661" s="17" t="str">
        <x:f>IF(AE661&lt;=34,"≤34",IF(AE661&lt;=44,"35–44",IF(AE661&lt;=54,"45–54",IF(AE661&lt;=64,"55–64","65+"))))</x:f>
        <x:v>35–44</x:v>
      </x:c>
      <x:c r="AK661" s="17" t="str">
        <x:f>IF(AG661&gt;=1000,"High Value",IF(AG661&gt;=300,"Mid Value","Low Value"))</x:f>
        <x:v>High Value</x:v>
      </x:c>
      <x:c r="AL661" s="17" t="str">
        <x:f>IF(AND(AI661&gt;=1,I661&lt;=50),"Priority 1",IF(AND(AG661&gt;=1000,I661&lt;=60),"Priority 2",IF(I661&lt;=30,"Priority 3","Nurture")))</x:f>
        <x:v>Nurture</x:v>
      </x:c>
    </x:row>
    <x:row r="662">
      <x:c r="A662" s="16" t="n">
        <x:v>1777</x:v>
      </x:c>
      <x:c r="B662" s="16" t="n">
        <x:v>1980</x:v>
      </x:c>
      <x:c r="C662" s="16" t="str">
        <x:v>Basic</x:v>
      </x:c>
      <x:c r="D662" s="16" t="str">
        <x:v>Married</x:v>
      </x:c>
      <x:c r="E662" s="16" t="n">
        <x:v>25965</x:v>
      </x:c>
      <x:c r="F662" s="16" t="n">
        <x:v>0</x:v>
      </x:c>
      <x:c r="G662" s="16" t="n">
        <x:v>0</x:v>
      </x:c>
      <x:c r="H662" s="16" t="str">
        <x:v>07-09-2012</x:v>
      </x:c>
      <x:c r="I662" s="16" t="n">
        <x:v>29</x:v>
      </x:c>
      <x:c r="J662" s="16" t="n">
        <x:v>2</x:v>
      </x:c>
      <x:c r="K662" s="16" t="n">
        <x:v>2</x:v>
      </x:c>
      <x:c r="L662" s="16" t="n">
        <x:v>11</x:v>
      </x:c>
      <x:c r="M662" s="16" t="n">
        <x:v>41</x:v>
      </x:c>
      <x:c r="N662" s="16" t="n">
        <x:v>7</x:v>
      </x:c>
      <x:c r="O662" s="16" t="n">
        <x:v>11</x:v>
      </x:c>
      <x:c r="P662" s="16" t="n">
        <x:v>1</x:v>
      </x:c>
      <x:c r="Q662" s="16" t="n">
        <x:v>2</x:v>
      </x:c>
      <x:c r="R662" s="16" t="n">
        <x:v>0</x:v>
      </x:c>
      <x:c r="S662" s="16" t="n">
        <x:v>3</x:v>
      </x:c>
      <x:c r="T662" s="16" t="n">
        <x:v>8</x:v>
      </x:c>
      <x:c r="U662" s="16" t="n">
        <x:v>0</x:v>
      </x:c>
      <x:c r="V662" s="16" t="n">
        <x:v>0</x:v>
      </x:c>
      <x:c r="W662" s="16" t="n">
        <x:v>0</x:v>
      </x:c>
      <x:c r="X662" s="16" t="n">
        <x:v>0</x:v>
      </x:c>
      <x:c r="Y662" s="16" t="n">
        <x:v>0</x:v>
      </x:c>
      <x:c r="Z662" s="16" t="n">
        <x:v>0</x:v>
      </x:c>
      <x:c r="AA662" s="16" t="n">
        <x:v>3</x:v>
      </x:c>
      <x:c r="AB662" s="16" t="n">
        <x:v>11</x:v>
      </x:c>
      <x:c r="AC662" s="16" t="n">
        <x:v>0</x:v>
      </x:c>
      <x:c r="AD662" s="21" t="n">
        <x:f>IF(E662="",MEDIAN($E$2:$E$2237),E662)</x:f>
        <x:v>25965</x:v>
      </x:c>
      <x:c r="AE662" s="17" t="n">
        <x:f>2014-B662</x:f>
        <x:v>34</x:v>
      </x:c>
      <x:c r="AF662" s="17" t="n">
        <x:f>F662+G662</x:f>
        <x:v>0</x:v>
      </x:c>
      <x:c r="AG662" s="21" t="n">
        <x:f>SUM(J662:O662)</x:f>
        <x:v>74</x:v>
      </x:c>
      <x:c r="AH662" s="17" t="n">
        <x:f>SUM(Q662:S662)</x:f>
        <x:v>5</x:v>
      </x:c>
      <x:c r="AI662" s="17" t="n">
        <x:f>SUM(U662:Y662)</x:f>
        <x:v>0</x:v>
      </x:c>
      <x:c r="AJ662" s="17" t="str">
        <x:f>IF(AE662&lt;=34,"≤34",IF(AE662&lt;=44,"35–44",IF(AE662&lt;=54,"45–54",IF(AE662&lt;=64,"55–64","65+"))))</x:f>
        <x:v>≤34</x:v>
      </x:c>
      <x:c r="AK662" s="17" t="str">
        <x:f>IF(AG662&gt;=1000,"High Value",IF(AG662&gt;=300,"Mid Value","Low Value"))</x:f>
        <x:v>Low Value</x:v>
      </x:c>
      <x:c r="AL662" s="17" t="str">
        <x:f>IF(AND(AI662&gt;=1,I662&lt;=50),"Priority 1",IF(AND(AG662&gt;=1000,I662&lt;=60),"Priority 2",IF(I662&lt;=30,"Priority 3","Nurture")))</x:f>
        <x:v>Priority 3</x:v>
      </x:c>
    </x:row>
    <x:row r="663">
      <x:c r="A663" s="16" t="n">
        <x:v>8162</x:v>
      </x:c>
      <x:c r="B663" s="16" t="n">
        <x:v>1956</x:v>
      </x:c>
      <x:c r="C663" s="16" t="str">
        <x:v>Master</x:v>
      </x:c>
      <x:c r="D663" s="16" t="str">
        <x:v>Together</x:v>
      </x:c>
      <x:c r="E663" s="16" t="n">
        <x:v>14661</x:v>
      </x:c>
      <x:c r="F663" s="16" t="n">
        <x:v>0</x:v>
      </x:c>
      <x:c r="G663" s="16" t="n">
        <x:v>0</x:v>
      </x:c>
      <x:c r="H663" s="16" t="str">
        <x:v>01-01-2013</x:v>
      </x:c>
      <x:c r="I663" s="16" t="n">
        <x:v>88</x:v>
      </x:c>
      <x:c r="J663" s="16" t="n">
        <x:v>4</x:v>
      </x:c>
      <x:c r="K663" s="16" t="n">
        <x:v>1</x:v>
      </x:c>
      <x:c r="L663" s="16" t="n">
        <x:v>11</x:v>
      </x:c>
      <x:c r="M663" s="16" t="n">
        <x:v>6</x:v>
      </x:c>
      <x:c r="N663" s="16" t="n">
        <x:v>2</x:v>
      </x:c>
      <x:c r="O663" s="16" t="n">
        <x:v>2</x:v>
      </x:c>
      <x:c r="P663" s="16" t="n">
        <x:v>1</x:v>
      </x:c>
      <x:c r="Q663" s="16" t="n">
        <x:v>1</x:v>
      </x:c>
      <x:c r="R663" s="16" t="n">
        <x:v>0</x:v>
      </x:c>
      <x:c r="S663" s="16" t="n">
        <x:v>3</x:v>
      </x:c>
      <x:c r="T663" s="16" t="n">
        <x:v>6</x:v>
      </x:c>
      <x:c r="U663" s="16" t="n">
        <x:v>0</x:v>
      </x:c>
      <x:c r="V663" s="16" t="n">
        <x:v>0</x:v>
      </x:c>
      <x:c r="W663" s="16" t="n">
        <x:v>0</x:v>
      </x:c>
      <x:c r="X663" s="16" t="n">
        <x:v>0</x:v>
      </x:c>
      <x:c r="Y663" s="16" t="n">
        <x:v>0</x:v>
      </x:c>
      <x:c r="Z663" s="16" t="n">
        <x:v>0</x:v>
      </x:c>
      <x:c r="AA663" s="16" t="n">
        <x:v>3</x:v>
      </x:c>
      <x:c r="AB663" s="16" t="n">
        <x:v>11</x:v>
      </x:c>
      <x:c r="AC663" s="16" t="n">
        <x:v>0</x:v>
      </x:c>
      <x:c r="AD663" s="21" t="n">
        <x:f>IF(E663="",MEDIAN($E$2:$E$2237),E663)</x:f>
        <x:v>14661</x:v>
      </x:c>
      <x:c r="AE663" s="17" t="n">
        <x:f>2014-B663</x:f>
        <x:v>58</x:v>
      </x:c>
      <x:c r="AF663" s="17" t="n">
        <x:f>F663+G663</x:f>
        <x:v>0</x:v>
      </x:c>
      <x:c r="AG663" s="21" t="n">
        <x:f>SUM(J663:O663)</x:f>
        <x:v>26</x:v>
      </x:c>
      <x:c r="AH663" s="17" t="n">
        <x:f>SUM(Q663:S663)</x:f>
        <x:v>4</x:v>
      </x:c>
      <x:c r="AI663" s="17" t="n">
        <x:f>SUM(U663:Y663)</x:f>
        <x:v>0</x:v>
      </x:c>
      <x:c r="AJ663" s="17" t="str">
        <x:f>IF(AE663&lt;=34,"≤34",IF(AE663&lt;=44,"35–44",IF(AE663&lt;=54,"45–54",IF(AE663&lt;=64,"55–64","65+"))))</x:f>
        <x:v>55–64</x:v>
      </x:c>
      <x:c r="AK663" s="17" t="str">
        <x:f>IF(AG663&gt;=1000,"High Value",IF(AG663&gt;=300,"Mid Value","Low Value"))</x:f>
        <x:v>Low Value</x:v>
      </x:c>
      <x:c r="AL663" s="17" t="str">
        <x:f>IF(AND(AI663&gt;=1,I663&lt;=50),"Priority 1",IF(AND(AG663&gt;=1000,I663&lt;=60),"Priority 2",IF(I663&lt;=30,"Priority 3","Nurture")))</x:f>
        <x:v>Nurture</x:v>
      </x:c>
    </x:row>
    <x:row r="664">
      <x:c r="A664" s="16" t="n">
        <x:v>10826</x:v>
      </x:c>
      <x:c r="B664" s="16" t="n">
        <x:v>1959</x:v>
      </x:c>
      <x:c r="C664" s="16" t="str">
        <x:v>Graduation</x:v>
      </x:c>
      <x:c r="D664" s="16" t="str">
        <x:v>Married</x:v>
      </x:c>
      <x:c r="E664" s="16" t="n">
        <x:v>18690</x:v>
      </x:c>
      <x:c r="F664" s="16" t="n">
        <x:v>0</x:v>
      </x:c>
      <x:c r="G664" s="16" t="n">
        <x:v>0</x:v>
      </x:c>
      <x:c r="H664" s="16" t="str">
        <x:v>28-12-2012</x:v>
      </x:c>
      <x:c r="I664" s="16" t="n">
        <x:v>77</x:v>
      </x:c>
      <x:c r="J664" s="16" t="n">
        <x:v>6</x:v>
      </x:c>
      <x:c r="K664" s="16" t="n">
        <x:v>1</x:v>
      </x:c>
      <x:c r="L664" s="16" t="n">
        <x:v>7</x:v>
      </x:c>
      <x:c r="M664" s="16" t="n">
        <x:v>23</x:v>
      </x:c>
      <x:c r="N664" s="16" t="n">
        <x:v>4</x:v>
      </x:c>
      <x:c r="O664" s="16" t="n">
        <x:v>19</x:v>
      </x:c>
      <x:c r="P664" s="16" t="n">
        <x:v>1</x:v>
      </x:c>
      <x:c r="Q664" s="16" t="n">
        <x:v>1</x:v>
      </x:c>
      <x:c r="R664" s="16" t="n">
        <x:v>1</x:v>
      </x:c>
      <x:c r="S664" s="16" t="n">
        <x:v>2</x:v>
      </x:c>
      <x:c r="T664" s="16" t="n">
        <x:v>8</x:v>
      </x:c>
      <x:c r="U664" s="16" t="n">
        <x:v>0</x:v>
      </x:c>
      <x:c r="V664" s="16" t="n">
        <x:v>0</x:v>
      </x:c>
      <x:c r="W664" s="16" t="n">
        <x:v>0</x:v>
      </x:c>
      <x:c r="X664" s="16" t="n">
        <x:v>0</x:v>
      </x:c>
      <x:c r="Y664" s="16" t="n">
        <x:v>0</x:v>
      </x:c>
      <x:c r="Z664" s="16" t="n">
        <x:v>0</x:v>
      </x:c>
      <x:c r="AA664" s="16" t="n">
        <x:v>3</x:v>
      </x:c>
      <x:c r="AB664" s="16" t="n">
        <x:v>11</x:v>
      </x:c>
      <x:c r="AC664" s="16" t="n">
        <x:v>0</x:v>
      </x:c>
      <x:c r="AD664" s="21" t="n">
        <x:f>IF(E664="",MEDIAN($E$2:$E$2237),E664)</x:f>
        <x:v>18690</x:v>
      </x:c>
      <x:c r="AE664" s="17" t="n">
        <x:f>2014-B664</x:f>
        <x:v>55</x:v>
      </x:c>
      <x:c r="AF664" s="17" t="n">
        <x:f>F664+G664</x:f>
        <x:v>0</x:v>
      </x:c>
      <x:c r="AG664" s="21" t="n">
        <x:f>SUM(J664:O664)</x:f>
        <x:v>60</x:v>
      </x:c>
      <x:c r="AH664" s="17" t="n">
        <x:f>SUM(Q664:S664)</x:f>
        <x:v>4</x:v>
      </x:c>
      <x:c r="AI664" s="17" t="n">
        <x:f>SUM(U664:Y664)</x:f>
        <x:v>0</x:v>
      </x:c>
      <x:c r="AJ664" s="17" t="str">
        <x:f>IF(AE664&lt;=34,"≤34",IF(AE664&lt;=44,"35–44",IF(AE664&lt;=54,"45–54",IF(AE664&lt;=64,"55–64","65+"))))</x:f>
        <x:v>55–64</x:v>
      </x:c>
      <x:c r="AK664" s="17" t="str">
        <x:f>IF(AG664&gt;=1000,"High Value",IF(AG664&gt;=300,"Mid Value","Low Value"))</x:f>
        <x:v>Low Value</x:v>
      </x:c>
      <x:c r="AL664" s="17" t="str">
        <x:f>IF(AND(AI664&gt;=1,I664&lt;=50),"Priority 1",IF(AND(AG664&gt;=1000,I664&lt;=60),"Priority 2",IF(I664&lt;=30,"Priority 3","Nurture")))</x:f>
        <x:v>Nurture</x:v>
      </x:c>
    </x:row>
    <x:row r="665">
      <x:c r="A665" s="16" t="n">
        <x:v>8754</x:v>
      </x:c>
      <x:c r="B665" s="16" t="n">
        <x:v>1974</x:v>
      </x:c>
      <x:c r="C665" s="16" t="str">
        <x:v>PhD</x:v>
      </x:c>
      <x:c r="D665" s="16" t="str">
        <x:v>Together</x:v>
      </x:c>
      <x:c r="E665" s="16" t="n">
        <x:v>45068</x:v>
      </x:c>
      <x:c r="F665" s="16" t="n">
        <x:v>0</x:v>
      </x:c>
      <x:c r="G665" s="16" t="n">
        <x:v>1</x:v>
      </x:c>
      <x:c r="H665" s="16" t="str">
        <x:v>16-05-2013</x:v>
      </x:c>
      <x:c r="I665" s="16" t="n">
        <x:v>25</x:v>
      </x:c>
      <x:c r="J665" s="16" t="n">
        <x:v>14</x:v>
      </x:c>
      <x:c r="K665" s="16" t="n">
        <x:v>0</x:v>
      </x:c>
      <x:c r="L665" s="16" t="n">
        <x:v>3</x:v>
      </x:c>
      <x:c r="M665" s="16" t="n">
        <x:v>0</x:v>
      </x:c>
      <x:c r="N665" s="16" t="n">
        <x:v>0</x:v>
      </x:c>
      <x:c r="O665" s="16" t="n">
        <x:v>3</x:v>
      </x:c>
      <x:c r="P665" s="16" t="n">
        <x:v>1</x:v>
      </x:c>
      <x:c r="Q665" s="16" t="n">
        <x:v>1</x:v>
      </x:c>
      <x:c r="R665" s="16" t="n">
        <x:v>0</x:v>
      </x:c>
      <x:c r="S665" s="16" t="n">
        <x:v>2</x:v>
      </x:c>
      <x:c r="T665" s="16" t="n">
        <x:v>7</x:v>
      </x:c>
      <x:c r="U665" s="16" t="n">
        <x:v>0</x:v>
      </x:c>
      <x:c r="V665" s="16" t="n">
        <x:v>0</x:v>
      </x:c>
      <x:c r="W665" s="16" t="n">
        <x:v>0</x:v>
      </x:c>
      <x:c r="X665" s="16" t="n">
        <x:v>0</x:v>
      </x:c>
      <x:c r="Y665" s="16" t="n">
        <x:v>0</x:v>
      </x:c>
      <x:c r="Z665" s="16" t="n">
        <x:v>0</x:v>
      </x:c>
      <x:c r="AA665" s="16" t="n">
        <x:v>3</x:v>
      </x:c>
      <x:c r="AB665" s="16" t="n">
        <x:v>11</x:v>
      </x:c>
      <x:c r="AC665" s="16" t="n">
        <x:v>0</x:v>
      </x:c>
      <x:c r="AD665" s="21" t="n">
        <x:f>IF(E665="",MEDIAN($E$2:$E$2237),E665)</x:f>
        <x:v>45068</x:v>
      </x:c>
      <x:c r="AE665" s="17" t="n">
        <x:f>2014-B665</x:f>
        <x:v>40</x:v>
      </x:c>
      <x:c r="AF665" s="17" t="n">
        <x:f>F665+G665</x:f>
        <x:v>1</x:v>
      </x:c>
      <x:c r="AG665" s="21" t="n">
        <x:f>SUM(J665:O665)</x:f>
        <x:v>20</x:v>
      </x:c>
      <x:c r="AH665" s="17" t="n">
        <x:f>SUM(Q665:S665)</x:f>
        <x:v>3</x:v>
      </x:c>
      <x:c r="AI665" s="17" t="n">
        <x:f>SUM(U665:Y665)</x:f>
        <x:v>0</x:v>
      </x:c>
      <x:c r="AJ665" s="17" t="str">
        <x:f>IF(AE665&lt;=34,"≤34",IF(AE665&lt;=44,"35–44",IF(AE665&lt;=54,"45–54",IF(AE665&lt;=64,"55–64","65+"))))</x:f>
        <x:v>35–44</x:v>
      </x:c>
      <x:c r="AK665" s="17" t="str">
        <x:f>IF(AG665&gt;=1000,"High Value",IF(AG665&gt;=300,"Mid Value","Low Value"))</x:f>
        <x:v>Low Value</x:v>
      </x:c>
      <x:c r="AL665" s="17" t="str">
        <x:f>IF(AND(AI665&gt;=1,I665&lt;=50),"Priority 1",IF(AND(AG665&gt;=1000,I665&lt;=60),"Priority 2",IF(I665&lt;=30,"Priority 3","Nurture")))</x:f>
        <x:v>Priority 3</x:v>
      </x:c>
    </x:row>
    <x:row r="666">
      <x:c r="A666" s="16" t="n">
        <x:v>1987</x:v>
      </x:c>
      <x:c r="B666" s="16" t="n">
        <x:v>1987</x:v>
      </x:c>
      <x:c r="C666" s="16" t="str">
        <x:v>Basic</x:v>
      </x:c>
      <x:c r="D666" s="16" t="str">
        <x:v>Single</x:v>
      </x:c>
      <x:c r="E666" s="16" t="n">
        <x:v>21063</x:v>
      </x:c>
      <x:c r="F666" s="16" t="n">
        <x:v>1</x:v>
      </x:c>
      <x:c r="G666" s="16" t="n">
        <x:v>0</x:v>
      </x:c>
      <x:c r="H666" s="16" t="str">
        <x:v>25-09-2013</x:v>
      </x:c>
      <x:c r="I666" s="16" t="n">
        <x:v>34</x:v>
      </x:c>
      <x:c r="J666" s="16" t="n">
        <x:v>1</x:v>
      </x:c>
      <x:c r="K666" s="16" t="n">
        <x:v>10</x:v>
      </x:c>
      <x:c r="L666" s="16" t="n">
        <x:v>11</x:v>
      </x:c>
      <x:c r="M666" s="16" t="n">
        <x:v>19</x:v>
      </x:c>
      <x:c r="N666" s="16" t="n">
        <x:v>3</x:v>
      </x:c>
      <x:c r="O666" s="16" t="n">
        <x:v>15</x:v>
      </x:c>
      <x:c r="P666" s="16" t="n">
        <x:v>2</x:v>
      </x:c>
      <x:c r="Q666" s="16" t="n">
        <x:v>2</x:v>
      </x:c>
      <x:c r="R666" s="16" t="n">
        <x:v>0</x:v>
      </x:c>
      <x:c r="S666" s="16" t="n">
        <x:v>3</x:v>
      </x:c>
      <x:c r="T666" s="16" t="n">
        <x:v>6</x:v>
      </x:c>
      <x:c r="U666" s="16" t="n">
        <x:v>0</x:v>
      </x:c>
      <x:c r="V666" s="16" t="n">
        <x:v>0</x:v>
      </x:c>
      <x:c r="W666" s="16" t="n">
        <x:v>0</x:v>
      </x:c>
      <x:c r="X666" s="16" t="n">
        <x:v>0</x:v>
      </x:c>
      <x:c r="Y666" s="16" t="n">
        <x:v>0</x:v>
      </x:c>
      <x:c r="Z666" s="16" t="n">
        <x:v>0</x:v>
      </x:c>
      <x:c r="AA666" s="16" t="n">
        <x:v>3</x:v>
      </x:c>
      <x:c r="AB666" s="16" t="n">
        <x:v>11</x:v>
      </x:c>
      <x:c r="AC666" s="16" t="n">
        <x:v>0</x:v>
      </x:c>
      <x:c r="AD666" s="21" t="n">
        <x:f>IF(E666="",MEDIAN($E$2:$E$2237),E666)</x:f>
        <x:v>21063</x:v>
      </x:c>
      <x:c r="AE666" s="17" t="n">
        <x:f>2014-B666</x:f>
        <x:v>27</x:v>
      </x:c>
      <x:c r="AF666" s="17" t="n">
        <x:f>F666+G666</x:f>
        <x:v>1</x:v>
      </x:c>
      <x:c r="AG666" s="21" t="n">
        <x:f>SUM(J666:O666)</x:f>
        <x:v>59</x:v>
      </x:c>
      <x:c r="AH666" s="17" t="n">
        <x:f>SUM(Q666:S666)</x:f>
        <x:v>5</x:v>
      </x:c>
      <x:c r="AI666" s="17" t="n">
        <x:f>SUM(U666:Y666)</x:f>
        <x:v>0</x:v>
      </x:c>
      <x:c r="AJ666" s="17" t="str">
        <x:f>IF(AE666&lt;=34,"≤34",IF(AE666&lt;=44,"35–44",IF(AE666&lt;=54,"45–54",IF(AE666&lt;=64,"55–64","65+"))))</x:f>
        <x:v>≤34</x:v>
      </x:c>
      <x:c r="AK666" s="17" t="str">
        <x:f>IF(AG666&gt;=1000,"High Value",IF(AG666&gt;=300,"Mid Value","Low Value"))</x:f>
        <x:v>Low Value</x:v>
      </x:c>
      <x:c r="AL666" s="17" t="str">
        <x:f>IF(AND(AI666&gt;=1,I666&lt;=50),"Priority 1",IF(AND(AG666&gt;=1000,I666&lt;=60),"Priority 2",IF(I666&lt;=30,"Priority 3","Nurture")))</x:f>
        <x:v>Nurture</x:v>
      </x:c>
    </x:row>
    <x:row r="667">
      <x:c r="A667" s="16" t="n">
        <x:v>11007</x:v>
      </x:c>
      <x:c r="B667" s="16" t="n">
        <x:v>1968</x:v>
      </x:c>
      <x:c r="C667" s="16" t="str">
        <x:v>PhD</x:v>
      </x:c>
      <x:c r="D667" s="16" t="str">
        <x:v>Married</x:v>
      </x:c>
      <x:c r="E667" s="16" t="n">
        <x:v>29187</x:v>
      </x:c>
      <x:c r="F667" s="16" t="n">
        <x:v>1</x:v>
      </x:c>
      <x:c r="G667" s="16" t="n">
        <x:v>0</x:v>
      </x:c>
      <x:c r="H667" s="16" t="str">
        <x:v>09-05-2013</x:v>
      </x:c>
      <x:c r="I667" s="16" t="n">
        <x:v>43</x:v>
      </x:c>
      <x:c r="J667" s="16" t="n">
        <x:v>26</x:v>
      </x:c>
      <x:c r="K667" s="16" t="n">
        <x:v>0</x:v>
      </x:c>
      <x:c r="L667" s="16" t="n">
        <x:v>6</x:v>
      </x:c>
      <x:c r="M667" s="16" t="n">
        <x:v>0</x:v>
      </x:c>
      <x:c r="N667" s="16" t="n">
        <x:v>0</x:v>
      </x:c>
      <x:c r="O667" s="16" t="n">
        <x:v>2</x:v>
      </x:c>
      <x:c r="P667" s="16" t="n">
        <x:v>1</x:v>
      </x:c>
      <x:c r="Q667" s="16" t="n">
        <x:v>1</x:v>
      </x:c>
      <x:c r="R667" s="16" t="n">
        <x:v>0</x:v>
      </x:c>
      <x:c r="S667" s="16" t="n">
        <x:v>3</x:v>
      </x:c>
      <x:c r="T667" s="16" t="n">
        <x:v>8</x:v>
      </x:c>
      <x:c r="U667" s="16" t="n">
        <x:v>0</x:v>
      </x:c>
      <x:c r="V667" s="16" t="n">
        <x:v>0</x:v>
      </x:c>
      <x:c r="W667" s="16" t="n">
        <x:v>0</x:v>
      </x:c>
      <x:c r="X667" s="16" t="n">
        <x:v>0</x:v>
      </x:c>
      <x:c r="Y667" s="16" t="n">
        <x:v>0</x:v>
      </x:c>
      <x:c r="Z667" s="16" t="n">
        <x:v>0</x:v>
      </x:c>
      <x:c r="AA667" s="16" t="n">
        <x:v>3</x:v>
      </x:c>
      <x:c r="AB667" s="16" t="n">
        <x:v>11</x:v>
      </x:c>
      <x:c r="AC667" s="16" t="n">
        <x:v>0</x:v>
      </x:c>
      <x:c r="AD667" s="21" t="n">
        <x:f>IF(E667="",MEDIAN($E$2:$E$2237),E667)</x:f>
        <x:v>29187</x:v>
      </x:c>
      <x:c r="AE667" s="17" t="n">
        <x:f>2014-B667</x:f>
        <x:v>46</x:v>
      </x:c>
      <x:c r="AF667" s="17" t="n">
        <x:f>F667+G667</x:f>
        <x:v>1</x:v>
      </x:c>
      <x:c r="AG667" s="21" t="n">
        <x:f>SUM(J667:O667)</x:f>
        <x:v>34</x:v>
      </x:c>
      <x:c r="AH667" s="17" t="n">
        <x:f>SUM(Q667:S667)</x:f>
        <x:v>4</x:v>
      </x:c>
      <x:c r="AI667" s="17" t="n">
        <x:f>SUM(U667:Y667)</x:f>
        <x:v>0</x:v>
      </x:c>
      <x:c r="AJ667" s="17" t="str">
        <x:f>IF(AE667&lt;=34,"≤34",IF(AE667&lt;=44,"35–44",IF(AE667&lt;=54,"45–54",IF(AE667&lt;=64,"55–64","65+"))))</x:f>
        <x:v>45–54</x:v>
      </x:c>
      <x:c r="AK667" s="17" t="str">
        <x:f>IF(AG667&gt;=1000,"High Value",IF(AG667&gt;=300,"Mid Value","Low Value"))</x:f>
        <x:v>Low Value</x:v>
      </x:c>
      <x:c r="AL667" s="17" t="str">
        <x:f>IF(AND(AI667&gt;=1,I667&lt;=50),"Priority 1",IF(AND(AG667&gt;=1000,I667&lt;=60),"Priority 2",IF(I667&lt;=30,"Priority 3","Nurture")))</x:f>
        <x:v>Nurture</x:v>
      </x:c>
    </x:row>
    <x:row r="668">
      <x:c r="A668" s="16" t="n">
        <x:v>7426</x:v>
      </x:c>
      <x:c r="B668" s="16" t="n">
        <x:v>1971</x:v>
      </x:c>
      <x:c r="C668" s="16" t="str">
        <x:v>2n Cycle</x:v>
      </x:c>
      <x:c r="D668" s="16" t="str">
        <x:v>Married</x:v>
      </x:c>
      <x:c r="E668" s="16" t="n">
        <x:v>54690</x:v>
      </x:c>
      <x:c r="F668" s="16" t="n">
        <x:v>1</x:v>
      </x:c>
      <x:c r="G668" s="16" t="n">
        <x:v>1</x:v>
      </x:c>
      <x:c r="H668" s="16" t="str">
        <x:v>07-11-2013</x:v>
      </x:c>
      <x:c r="I668" s="16" t="n">
        <x:v>76</x:v>
      </x:c>
      <x:c r="J668" s="16" t="n">
        <x:v>111</x:v>
      </x:c>
      <x:c r="K668" s="16" t="n">
        <x:v>16</x:v>
      </x:c>
      <x:c r="L668" s="16" t="n">
        <x:v>37</x:v>
      </x:c>
      <x:c r="M668" s="16" t="n">
        <x:v>7</x:v>
      </x:c>
      <x:c r="N668" s="16" t="n">
        <x:v>9</x:v>
      </x:c>
      <x:c r="O668" s="16" t="n">
        <x:v>18</x:v>
      </x:c>
      <x:c r="P668" s="16" t="n">
        <x:v>3</x:v>
      </x:c>
      <x:c r="Q668" s="16" t="n">
        <x:v>3</x:v>
      </x:c>
      <x:c r="R668" s="16" t="n">
        <x:v>1</x:v>
      </x:c>
      <x:c r="S668" s="16" t="n">
        <x:v>5</x:v>
      </x:c>
      <x:c r="T668" s="16" t="n">
        <x:v>3</x:v>
      </x:c>
      <x:c r="U668" s="16" t="n">
        <x:v>0</x:v>
      </x:c>
      <x:c r="V668" s="16" t="n">
        <x:v>0</x:v>
      </x:c>
      <x:c r="W668" s="16" t="n">
        <x:v>0</x:v>
      </x:c>
      <x:c r="X668" s="16" t="n">
        <x:v>0</x:v>
      </x:c>
      <x:c r="Y668" s="16" t="n">
        <x:v>0</x:v>
      </x:c>
      <x:c r="Z668" s="16" t="n">
        <x:v>0</x:v>
      </x:c>
      <x:c r="AA668" s="16" t="n">
        <x:v>3</x:v>
      </x:c>
      <x:c r="AB668" s="16" t="n">
        <x:v>11</x:v>
      </x:c>
      <x:c r="AC668" s="16" t="n">
        <x:v>0</x:v>
      </x:c>
      <x:c r="AD668" s="21" t="n">
        <x:f>IF(E668="",MEDIAN($E$2:$E$2237),E668)</x:f>
        <x:v>54690</x:v>
      </x:c>
      <x:c r="AE668" s="17" t="n">
        <x:f>2014-B668</x:f>
        <x:v>43</x:v>
      </x:c>
      <x:c r="AF668" s="17" t="n">
        <x:f>F668+G668</x:f>
        <x:v>2</x:v>
      </x:c>
      <x:c r="AG668" s="21" t="n">
        <x:f>SUM(J668:O668)</x:f>
        <x:v>198</x:v>
      </x:c>
      <x:c r="AH668" s="17" t="n">
        <x:f>SUM(Q668:S668)</x:f>
        <x:v>9</x:v>
      </x:c>
      <x:c r="AI668" s="17" t="n">
        <x:f>SUM(U668:Y668)</x:f>
        <x:v>0</x:v>
      </x:c>
      <x:c r="AJ668" s="17" t="str">
        <x:f>IF(AE668&lt;=34,"≤34",IF(AE668&lt;=44,"35–44",IF(AE668&lt;=54,"45–54",IF(AE668&lt;=64,"55–64","65+"))))</x:f>
        <x:v>35–44</x:v>
      </x:c>
      <x:c r="AK668" s="17" t="str">
        <x:f>IF(AG668&gt;=1000,"High Value",IF(AG668&gt;=300,"Mid Value","Low Value"))</x:f>
        <x:v>Low Value</x:v>
      </x:c>
      <x:c r="AL668" s="17" t="str">
        <x:f>IF(AND(AI668&gt;=1,I668&lt;=50),"Priority 1",IF(AND(AG668&gt;=1000,I668&lt;=60),"Priority 2",IF(I668&lt;=30,"Priority 3","Nurture")))</x:f>
        <x:v>Nurture</x:v>
      </x:c>
    </x:row>
    <x:row r="669">
      <x:c r="A669" s="16" t="n">
        <x:v>9153</x:v>
      </x:c>
      <x:c r="B669" s="16" t="n">
        <x:v>1964</x:v>
      </x:c>
      <x:c r="C669" s="16" t="str">
        <x:v>PhD</x:v>
      </x:c>
      <x:c r="D669" s="16" t="str">
        <x:v>Married</x:v>
      </x:c>
      <x:c r="E669" s="16" t="n">
        <x:v>59304</x:v>
      </x:c>
      <x:c r="F669" s="16" t="n">
        <x:v>0</x:v>
      </x:c>
      <x:c r="G669" s="16" t="n">
        <x:v>1</x:v>
      </x:c>
      <x:c r="H669" s="16" t="str">
        <x:v>29-07-2013</x:v>
      </x:c>
      <x:c r="I669" s="16" t="n">
        <x:v>81</x:v>
      </x:c>
      <x:c r="J669" s="16" t="n">
        <x:v>418</x:v>
      </x:c>
      <x:c r="K669" s="16" t="n">
        <x:v>61</x:v>
      </x:c>
      <x:c r="L669" s="16" t="n">
        <x:v>428</x:v>
      </x:c>
      <x:c r="M669" s="16" t="n">
        <x:v>80</x:v>
      </x:c>
      <x:c r="N669" s="16" t="n">
        <x:v>51</x:v>
      </x:c>
      <x:c r="O669" s="16" t="n">
        <x:v>10</x:v>
      </x:c>
      <x:c r="P669" s="16" t="n">
        <x:v>3</x:v>
      </x:c>
      <x:c r="Q669" s="16" t="n">
        <x:v>7</x:v>
      </x:c>
      <x:c r="R669" s="16" t="n">
        <x:v>8</x:v>
      </x:c>
      <x:c r="S669" s="16" t="n">
        <x:v>10</x:v>
      </x:c>
      <x:c r="T669" s="16" t="n">
        <x:v>5</x:v>
      </x:c>
      <x:c r="U669" s="16" t="n">
        <x:v>0</x:v>
      </x:c>
      <x:c r="V669" s="16" t="n">
        <x:v>0</x:v>
      </x:c>
      <x:c r="W669" s="16" t="n">
        <x:v>0</x:v>
      </x:c>
      <x:c r="X669" s="16" t="n">
        <x:v>0</x:v>
      </x:c>
      <x:c r="Y669" s="16" t="n">
        <x:v>0</x:v>
      </x:c>
      <x:c r="Z669" s="16" t="n">
        <x:v>0</x:v>
      </x:c>
      <x:c r="AA669" s="16" t="n">
        <x:v>3</x:v>
      </x:c>
      <x:c r="AB669" s="16" t="n">
        <x:v>11</x:v>
      </x:c>
      <x:c r="AC669" s="16" t="n">
        <x:v>0</x:v>
      </x:c>
      <x:c r="AD669" s="21" t="n">
        <x:f>IF(E669="",MEDIAN($E$2:$E$2237),E669)</x:f>
        <x:v>59304</x:v>
      </x:c>
      <x:c r="AE669" s="17" t="n">
        <x:f>2014-B669</x:f>
        <x:v>50</x:v>
      </x:c>
      <x:c r="AF669" s="17" t="n">
        <x:f>F669+G669</x:f>
        <x:v>1</x:v>
      </x:c>
      <x:c r="AG669" s="21" t="n">
        <x:f>SUM(J669:O669)</x:f>
        <x:v>1048</x:v>
      </x:c>
      <x:c r="AH669" s="17" t="n">
        <x:f>SUM(Q669:S669)</x:f>
        <x:v>25</x:v>
      </x:c>
      <x:c r="AI669" s="17" t="n">
        <x:f>SUM(U669:Y669)</x:f>
        <x:v>0</x:v>
      </x:c>
      <x:c r="AJ669" s="17" t="str">
        <x:f>IF(AE669&lt;=34,"≤34",IF(AE669&lt;=44,"35–44",IF(AE669&lt;=54,"45–54",IF(AE669&lt;=64,"55–64","65+"))))</x:f>
        <x:v>45–54</x:v>
      </x:c>
      <x:c r="AK669" s="17" t="str">
        <x:f>IF(AG669&gt;=1000,"High Value",IF(AG669&gt;=300,"Mid Value","Low Value"))</x:f>
        <x:v>High Value</x:v>
      </x:c>
      <x:c r="AL669" s="17" t="str">
        <x:f>IF(AND(AI669&gt;=1,I669&lt;=50),"Priority 1",IF(AND(AG669&gt;=1000,I669&lt;=60),"Priority 2",IF(I669&lt;=30,"Priority 3","Nurture")))</x:f>
        <x:v>Nurture</x:v>
      </x:c>
    </x:row>
    <x:row r="670">
      <x:c r="A670" s="16" t="n">
        <x:v>10379</x:v>
      </x:c>
      <x:c r="B670" s="16" t="n">
        <x:v>1962</x:v>
      </x:c>
      <x:c r="C670" s="16" t="str">
        <x:v>Master</x:v>
      </x:c>
      <x:c r="D670" s="16" t="str">
        <x:v>Single</x:v>
      </x:c>
      <x:c r="E670" s="16" t="n">
        <x:v>59247</x:v>
      </x:c>
      <x:c r="F670" s="16" t="n">
        <x:v>0</x:v>
      </x:c>
      <x:c r="G670" s="16" t="n">
        <x:v>2</x:v>
      </x:c>
      <x:c r="H670" s="16" t="str">
        <x:v>08-11-2013</x:v>
      </x:c>
      <x:c r="I670" s="16" t="n">
        <x:v>87</x:v>
      </x:c>
      <x:c r="J670" s="16" t="n">
        <x:v>327</x:v>
      </x:c>
      <x:c r="K670" s="16" t="n">
        <x:v>9</x:v>
      </x:c>
      <x:c r="L670" s="16" t="n">
        <x:v>122</x:v>
      </x:c>
      <x:c r="M670" s="16" t="n">
        <x:v>19</x:v>
      </x:c>
      <x:c r="N670" s="16" t="n">
        <x:v>14</x:v>
      </x:c>
      <x:c r="O670" s="16" t="n">
        <x:v>83</x:v>
      </x:c>
      <x:c r="P670" s="16" t="n">
        <x:v>5</x:v>
      </x:c>
      <x:c r="Q670" s="16" t="n">
        <x:v>5</x:v>
      </x:c>
      <x:c r="R670" s="16" t="n">
        <x:v>2</x:v>
      </x:c>
      <x:c r="S670" s="16" t="n">
        <x:v>9</x:v>
      </x:c>
      <x:c r="T670" s="16" t="n">
        <x:v>6</x:v>
      </x:c>
      <x:c r="U670" s="16" t="n">
        <x:v>0</x:v>
      </x:c>
      <x:c r="V670" s="16" t="n">
        <x:v>0</x:v>
      </x:c>
      <x:c r="W670" s="16" t="n">
        <x:v>0</x:v>
      </x:c>
      <x:c r="X670" s="16" t="n">
        <x:v>0</x:v>
      </x:c>
      <x:c r="Y670" s="16" t="n">
        <x:v>0</x:v>
      </x:c>
      <x:c r="Z670" s="16" t="n">
        <x:v>0</x:v>
      </x:c>
      <x:c r="AA670" s="16" t="n">
        <x:v>3</x:v>
      </x:c>
      <x:c r="AB670" s="16" t="n">
        <x:v>11</x:v>
      </x:c>
      <x:c r="AC670" s="16" t="n">
        <x:v>0</x:v>
      </x:c>
      <x:c r="AD670" s="21" t="n">
        <x:f>IF(E670="",MEDIAN($E$2:$E$2237),E670)</x:f>
        <x:v>59247</x:v>
      </x:c>
      <x:c r="AE670" s="17" t="n">
        <x:f>2014-B670</x:f>
        <x:v>52</x:v>
      </x:c>
      <x:c r="AF670" s="17" t="n">
        <x:f>F670+G670</x:f>
        <x:v>2</x:v>
      </x:c>
      <x:c r="AG670" s="21" t="n">
        <x:f>SUM(J670:O670)</x:f>
        <x:v>574</x:v>
      </x:c>
      <x:c r="AH670" s="17" t="n">
        <x:f>SUM(Q670:S670)</x:f>
        <x:v>16</x:v>
      </x:c>
      <x:c r="AI670" s="17" t="n">
        <x:f>SUM(U670:Y670)</x:f>
        <x:v>0</x:v>
      </x:c>
      <x:c r="AJ670" s="17" t="str">
        <x:f>IF(AE670&lt;=34,"≤34",IF(AE670&lt;=44,"35–44",IF(AE670&lt;=54,"45–54",IF(AE670&lt;=64,"55–64","65+"))))</x:f>
        <x:v>45–54</x:v>
      </x:c>
      <x:c r="AK670" s="17" t="str">
        <x:f>IF(AG670&gt;=1000,"High Value",IF(AG670&gt;=300,"Mid Value","Low Value"))</x:f>
        <x:v>Mid Value</x:v>
      </x:c>
      <x:c r="AL670" s="17" t="str">
        <x:f>IF(AND(AI670&gt;=1,I670&lt;=50),"Priority 1",IF(AND(AG670&gt;=1000,I670&lt;=60),"Priority 2",IF(I670&lt;=30,"Priority 3","Nurture")))</x:f>
        <x:v>Nurture</x:v>
      </x:c>
    </x:row>
    <x:row r="671">
      <x:c r="A671" s="16" t="n">
        <x:v>9204</x:v>
      </x:c>
      <x:c r="B671" s="16" t="n">
        <x:v>1970</x:v>
      </x:c>
      <x:c r="C671" s="16" t="str">
        <x:v>Graduation</x:v>
      </x:c>
      <x:c r="D671" s="16" t="str">
        <x:v>Widow</x:v>
      </x:c>
      <x:c r="E671" s="16" t="n">
        <x:v>66731</x:v>
      </x:c>
      <x:c r="F671" s="16" t="n">
        <x:v>0</x:v>
      </x:c>
      <x:c r="G671" s="16" t="n">
        <x:v>1</x:v>
      </x:c>
      <x:c r="H671" s="16" t="str">
        <x:v>12-09-2012</x:v>
      </x:c>
      <x:c r="I671" s="16" t="n">
        <x:v>33</x:v>
      </x:c>
      <x:c r="J671" s="16" t="n">
        <x:v>371</x:v>
      </x:c>
      <x:c r="K671" s="16" t="n">
        <x:v>159</x:v>
      </x:c>
      <x:c r="L671" s="16" t="n">
        <x:v>194</x:v>
      </x:c>
      <x:c r="M671" s="16" t="n">
        <x:v>58</x:v>
      </x:c>
      <x:c r="N671" s="16" t="n">
        <x:v>106</x:v>
      </x:c>
      <x:c r="O671" s="16" t="n">
        <x:v>141</x:v>
      </x:c>
      <x:c r="P671" s="16" t="n">
        <x:v>4</x:v>
      </x:c>
      <x:c r="Q671" s="16" t="n">
        <x:v>4</x:v>
      </x:c>
      <x:c r="R671" s="16" t="n">
        <x:v>3</x:v>
      </x:c>
      <x:c r="S671" s="16" t="n">
        <x:v>6</x:v>
      </x:c>
      <x:c r="T671" s="16" t="n">
        <x:v>3</x:v>
      </x:c>
      <x:c r="U671" s="16" t="n">
        <x:v>0</x:v>
      </x:c>
      <x:c r="V671" s="16" t="n">
        <x:v>0</x:v>
      </x:c>
      <x:c r="W671" s="16" t="n">
        <x:v>0</x:v>
      </x:c>
      <x:c r="X671" s="16" t="n">
        <x:v>0</x:v>
      </x:c>
      <x:c r="Y671" s="16" t="n">
        <x:v>0</x:v>
      </x:c>
      <x:c r="Z671" s="16" t="n">
        <x:v>0</x:v>
      </x:c>
      <x:c r="AA671" s="16" t="n">
        <x:v>3</x:v>
      </x:c>
      <x:c r="AB671" s="16" t="n">
        <x:v>11</x:v>
      </x:c>
      <x:c r="AC671" s="16" t="n">
        <x:v>0</x:v>
      </x:c>
      <x:c r="AD671" s="21" t="n">
        <x:f>IF(E671="",MEDIAN($E$2:$E$2237),E671)</x:f>
        <x:v>66731</x:v>
      </x:c>
      <x:c r="AE671" s="17" t="n">
        <x:f>2014-B671</x:f>
        <x:v>44</x:v>
      </x:c>
      <x:c r="AF671" s="17" t="n">
        <x:f>F671+G671</x:f>
        <x:v>1</x:v>
      </x:c>
      <x:c r="AG671" s="21" t="n">
        <x:f>SUM(J671:O671)</x:f>
        <x:v>1029</x:v>
      </x:c>
      <x:c r="AH671" s="17" t="n">
        <x:f>SUM(Q671:S671)</x:f>
        <x:v>13</x:v>
      </x:c>
      <x:c r="AI671" s="17" t="n">
        <x:f>SUM(U671:Y671)</x:f>
        <x:v>0</x:v>
      </x:c>
      <x:c r="AJ671" s="17" t="str">
        <x:f>IF(AE671&lt;=34,"≤34",IF(AE671&lt;=44,"35–44",IF(AE671&lt;=54,"45–54",IF(AE671&lt;=64,"55–64","65+"))))</x:f>
        <x:v>35–44</x:v>
      </x:c>
      <x:c r="AK671" s="17" t="str">
        <x:f>IF(AG671&gt;=1000,"High Value",IF(AG671&gt;=300,"Mid Value","Low Value"))</x:f>
        <x:v>High Value</x:v>
      </x:c>
      <x:c r="AL671" s="17" t="str">
        <x:f>IF(AND(AI671&gt;=1,I671&lt;=50),"Priority 1",IF(AND(AG671&gt;=1000,I671&lt;=60),"Priority 2",IF(I671&lt;=30,"Priority 3","Nurture")))</x:f>
        <x:v>Priority 2</x:v>
      </x:c>
    </x:row>
    <x:row r="672">
      <x:c r="A672" s="16" t="n">
        <x:v>3197</x:v>
      </x:c>
      <x:c r="B672" s="16" t="n">
        <x:v>1980</x:v>
      </x:c>
      <x:c r="C672" s="16" t="str">
        <x:v>Graduation</x:v>
      </x:c>
      <x:c r="D672" s="16" t="str">
        <x:v>Married</x:v>
      </x:c>
      <x:c r="E672" s="16" t="n">
        <x:v>77353</x:v>
      </x:c>
      <x:c r="F672" s="16" t="n">
        <x:v>0</x:v>
      </x:c>
      <x:c r="G672" s="16" t="n">
        <x:v>1</x:v>
      </x:c>
      <x:c r="H672" s="16" t="str">
        <x:v>16-12-2013</x:v>
      </x:c>
      <x:c r="I672" s="16" t="n">
        <x:v>38</x:v>
      </x:c>
      <x:c r="J672" s="16" t="n">
        <x:v>275</x:v>
      </x:c>
      <x:c r="K672" s="16" t="n">
        <x:v>59</x:v>
      </x:c>
      <x:c r="L672" s="16" t="n">
        <x:v>107</x:v>
      </x:c>
      <x:c r="M672" s="16" t="n">
        <x:v>69</x:v>
      </x:c>
      <x:c r="N672" s="16" t="n">
        <x:v>101</x:v>
      </x:c>
      <x:c r="O672" s="16" t="n">
        <x:v>59</x:v>
      </x:c>
      <x:c r="P672" s="16" t="n">
        <x:v>2</x:v>
      </x:c>
      <x:c r="Q672" s="16" t="n">
        <x:v>6</x:v>
      </x:c>
      <x:c r="R672" s="16" t="n">
        <x:v>4</x:v>
      </x:c>
      <x:c r="S672" s="16" t="n">
        <x:v>8</x:v>
      </x:c>
      <x:c r="T672" s="16" t="n">
        <x:v>4</x:v>
      </x:c>
      <x:c r="U672" s="16" t="n">
        <x:v>0</x:v>
      </x:c>
      <x:c r="V672" s="16" t="n">
        <x:v>0</x:v>
      </x:c>
      <x:c r="W672" s="16" t="n">
        <x:v>0</x:v>
      </x:c>
      <x:c r="X672" s="16" t="n">
        <x:v>0</x:v>
      </x:c>
      <x:c r="Y672" s="16" t="n">
        <x:v>0</x:v>
      </x:c>
      <x:c r="Z672" s="16" t="n">
        <x:v>0</x:v>
      </x:c>
      <x:c r="AA672" s="16" t="n">
        <x:v>3</x:v>
      </x:c>
      <x:c r="AB672" s="16" t="n">
        <x:v>11</x:v>
      </x:c>
      <x:c r="AC672" s="16" t="n">
        <x:v>0</x:v>
      </x:c>
      <x:c r="AD672" s="21" t="n">
        <x:f>IF(E672="",MEDIAN($E$2:$E$2237),E672)</x:f>
        <x:v>77353</x:v>
      </x:c>
      <x:c r="AE672" s="17" t="n">
        <x:f>2014-B672</x:f>
        <x:v>34</x:v>
      </x:c>
      <x:c r="AF672" s="17" t="n">
        <x:f>F672+G672</x:f>
        <x:v>1</x:v>
      </x:c>
      <x:c r="AG672" s="21" t="n">
        <x:f>SUM(J672:O672)</x:f>
        <x:v>670</x:v>
      </x:c>
      <x:c r="AH672" s="17" t="n">
        <x:f>SUM(Q672:S672)</x:f>
        <x:v>18</x:v>
      </x:c>
      <x:c r="AI672" s="17" t="n">
        <x:f>SUM(U672:Y672)</x:f>
        <x:v>0</x:v>
      </x:c>
      <x:c r="AJ672" s="17" t="str">
        <x:f>IF(AE672&lt;=34,"≤34",IF(AE672&lt;=44,"35–44",IF(AE672&lt;=54,"45–54",IF(AE672&lt;=64,"55–64","65+"))))</x:f>
        <x:v>≤34</x:v>
      </x:c>
      <x:c r="AK672" s="17" t="str">
        <x:f>IF(AG672&gt;=1000,"High Value",IF(AG672&gt;=300,"Mid Value","Low Value"))</x:f>
        <x:v>Mid Value</x:v>
      </x:c>
      <x:c r="AL672" s="17" t="str">
        <x:f>IF(AND(AI672&gt;=1,I672&lt;=50),"Priority 1",IF(AND(AG672&gt;=1000,I672&lt;=60),"Priority 2",IF(I672&lt;=30,"Priority 3","Nurture")))</x:f>
        <x:v>Nurture</x:v>
      </x:c>
    </x:row>
    <x:row r="673">
      <x:c r="A673" s="16" t="n">
        <x:v>2920</x:v>
      </x:c>
      <x:c r="B673" s="16" t="n">
        <x:v>1975</x:v>
      </x:c>
      <x:c r="C673" s="16" t="str">
        <x:v>PhD</x:v>
      </x:c>
      <x:c r="D673" s="16" t="str">
        <x:v>Single</x:v>
      </x:c>
      <x:c r="E673" s="16" t="n">
        <x:v>52614</x:v>
      </x:c>
      <x:c r="F673" s="16" t="n">
        <x:v>0</x:v>
      </x:c>
      <x:c r="G673" s="16" t="n">
        <x:v>1</x:v>
      </x:c>
      <x:c r="H673" s="16" t="str">
        <x:v>01-12-2012</x:v>
      </x:c>
      <x:c r="I673" s="16" t="n">
        <x:v>63</x:v>
      </x:c>
      <x:c r="J673" s="16" t="n">
        <x:v>789</x:v>
      </x:c>
      <x:c r="K673" s="16" t="n">
        <x:v>0</x:v>
      </x:c>
      <x:c r="L673" s="16" t="n">
        <x:v>142</x:v>
      </x:c>
      <x:c r="M673" s="16" t="n">
        <x:v>12</x:v>
      </x:c>
      <x:c r="N673" s="16" t="n">
        <x:v>9</x:v>
      </x:c>
      <x:c r="O673" s="16" t="n">
        <x:v>38</x:v>
      </x:c>
      <x:c r="P673" s="16" t="n">
        <x:v>2</x:v>
      </x:c>
      <x:c r="Q673" s="16" t="n">
        <x:v>2</x:v>
      </x:c>
      <x:c r="R673" s="16" t="n">
        <x:v>4</x:v>
      </x:c>
      <x:c r="S673" s="16" t="n">
        <x:v>8</x:v>
      </x:c>
      <x:c r="T673" s="16" t="n">
        <x:v>8</x:v>
      </x:c>
      <x:c r="U673" s="16" t="n">
        <x:v>0</x:v>
      </x:c>
      <x:c r="V673" s="16" t="n">
        <x:v>0</x:v>
      </x:c>
      <x:c r="W673" s="16" t="n">
        <x:v>0</x:v>
      </x:c>
      <x:c r="X673" s="16" t="n">
        <x:v>0</x:v>
      </x:c>
      <x:c r="Y673" s="16" t="n">
        <x:v>0</x:v>
      </x:c>
      <x:c r="Z673" s="16" t="n">
        <x:v>0</x:v>
      </x:c>
      <x:c r="AA673" s="16" t="n">
        <x:v>3</x:v>
      </x:c>
      <x:c r="AB673" s="16" t="n">
        <x:v>11</x:v>
      </x:c>
      <x:c r="AC673" s="16" t="n">
        <x:v>0</x:v>
      </x:c>
      <x:c r="AD673" s="21" t="n">
        <x:f>IF(E673="",MEDIAN($E$2:$E$2237),E673)</x:f>
        <x:v>52614</x:v>
      </x:c>
      <x:c r="AE673" s="17" t="n">
        <x:f>2014-B673</x:f>
        <x:v>39</x:v>
      </x:c>
      <x:c r="AF673" s="17" t="n">
        <x:f>F673+G673</x:f>
        <x:v>1</x:v>
      </x:c>
      <x:c r="AG673" s="21" t="n">
        <x:f>SUM(J673:O673)</x:f>
        <x:v>990</x:v>
      </x:c>
      <x:c r="AH673" s="17" t="n">
        <x:f>SUM(Q673:S673)</x:f>
        <x:v>14</x:v>
      </x:c>
      <x:c r="AI673" s="17" t="n">
        <x:f>SUM(U673:Y673)</x:f>
        <x:v>0</x:v>
      </x:c>
      <x:c r="AJ673" s="17" t="str">
        <x:f>IF(AE673&lt;=34,"≤34",IF(AE673&lt;=44,"35–44",IF(AE673&lt;=54,"45–54",IF(AE673&lt;=64,"55–64","65+"))))</x:f>
        <x:v>35–44</x:v>
      </x:c>
      <x:c r="AK673" s="17" t="str">
        <x:f>IF(AG673&gt;=1000,"High Value",IF(AG673&gt;=300,"Mid Value","Low Value"))</x:f>
        <x:v>Mid Value</x:v>
      </x:c>
      <x:c r="AL673" s="17" t="str">
        <x:f>IF(AND(AI673&gt;=1,I673&lt;=50),"Priority 1",IF(AND(AG673&gt;=1000,I673&lt;=60),"Priority 2",IF(I673&lt;=30,"Priority 3","Nurture")))</x:f>
        <x:v>Nurture</x:v>
      </x:c>
    </x:row>
    <x:row r="674">
      <x:c r="A674" s="16" t="n">
        <x:v>6961</x:v>
      </x:c>
      <x:c r="B674" s="16" t="n">
        <x:v>1974</x:v>
      </x:c>
      <x:c r="C674" s="16" t="str">
        <x:v>Graduation</x:v>
      </x:c>
      <x:c r="D674" s="16" t="str">
        <x:v>Married</x:v>
      </x:c>
      <x:c r="E674" s="16" t="n">
        <x:v>26751</x:v>
      </x:c>
      <x:c r="F674" s="16" t="n">
        <x:v>2</x:v>
      </x:c>
      <x:c r="G674" s="16" t="n">
        <x:v>0</x:v>
      </x:c>
      <x:c r="H674" s="16" t="str">
        <x:v>22-05-2014</x:v>
      </x:c>
      <x:c r="I674" s="16" t="n">
        <x:v>26</x:v>
      </x:c>
      <x:c r="J674" s="16" t="n">
        <x:v>1</x:v>
      </x:c>
      <x:c r="K674" s="16" t="n">
        <x:v>1</x:v>
      </x:c>
      <x:c r="L674" s="16" t="n">
        <x:v>5</x:v>
      </x:c>
      <x:c r="M674" s="16" t="n">
        <x:v>0</x:v>
      </x:c>
      <x:c r="N674" s="16" t="n">
        <x:v>3</x:v>
      </x:c>
      <x:c r="O674" s="16" t="n">
        <x:v>1</x:v>
      </x:c>
      <x:c r="P674" s="16" t="n">
        <x:v>1</x:v>
      </x:c>
      <x:c r="Q674" s="16" t="n">
        <x:v>1</x:v>
      </x:c>
      <x:c r="R674" s="16" t="n">
        <x:v>0</x:v>
      </x:c>
      <x:c r="S674" s="16" t="n">
        <x:v>2</x:v>
      </x:c>
      <x:c r="T674" s="16" t="n">
        <x:v>8</x:v>
      </x:c>
      <x:c r="U674" s="16" t="n">
        <x:v>0</x:v>
      </x:c>
      <x:c r="V674" s="16" t="n">
        <x:v>0</x:v>
      </x:c>
      <x:c r="W674" s="16" t="n">
        <x:v>0</x:v>
      </x:c>
      <x:c r="X674" s="16" t="n">
        <x:v>0</x:v>
      </x:c>
      <x:c r="Y674" s="16" t="n">
        <x:v>0</x:v>
      </x:c>
      <x:c r="Z674" s="16" t="n">
        <x:v>0</x:v>
      </x:c>
      <x:c r="AA674" s="16" t="n">
        <x:v>3</x:v>
      </x:c>
      <x:c r="AB674" s="16" t="n">
        <x:v>11</x:v>
      </x:c>
      <x:c r="AC674" s="16" t="n">
        <x:v>0</x:v>
      </x:c>
      <x:c r="AD674" s="21" t="n">
        <x:f>IF(E674="",MEDIAN($E$2:$E$2237),E674)</x:f>
        <x:v>26751</x:v>
      </x:c>
      <x:c r="AE674" s="17" t="n">
        <x:f>2014-B674</x:f>
        <x:v>40</x:v>
      </x:c>
      <x:c r="AF674" s="17" t="n">
        <x:f>F674+G674</x:f>
        <x:v>2</x:v>
      </x:c>
      <x:c r="AG674" s="21" t="n">
        <x:f>SUM(J674:O674)</x:f>
        <x:v>11</x:v>
      </x:c>
      <x:c r="AH674" s="17" t="n">
        <x:f>SUM(Q674:S674)</x:f>
        <x:v>3</x:v>
      </x:c>
      <x:c r="AI674" s="17" t="n">
        <x:f>SUM(U674:Y674)</x:f>
        <x:v>0</x:v>
      </x:c>
      <x:c r="AJ674" s="17" t="str">
        <x:f>IF(AE674&lt;=34,"≤34",IF(AE674&lt;=44,"35–44",IF(AE674&lt;=54,"45–54",IF(AE674&lt;=64,"55–64","65+"))))</x:f>
        <x:v>35–44</x:v>
      </x:c>
      <x:c r="AK674" s="17" t="str">
        <x:f>IF(AG674&gt;=1000,"High Value",IF(AG674&gt;=300,"Mid Value","Low Value"))</x:f>
        <x:v>Low Value</x:v>
      </x:c>
      <x:c r="AL674" s="17" t="str">
        <x:f>IF(AND(AI674&gt;=1,I674&lt;=50),"Priority 1",IF(AND(AG674&gt;=1000,I674&lt;=60),"Priority 2",IF(I674&lt;=30,"Priority 3","Nurture")))</x:f>
        <x:v>Priority 3</x:v>
      </x:c>
    </x:row>
    <x:row r="675">
      <x:c r="A675" s="16" t="n">
        <x:v>4673</x:v>
      </x:c>
      <x:c r="B675" s="16" t="n">
        <x:v>1963</x:v>
      </x:c>
      <x:c r="C675" s="16" t="str">
        <x:v>PhD</x:v>
      </x:c>
      <x:c r="D675" s="16" t="str">
        <x:v>Married</x:v>
      </x:c>
      <x:c r="E675" s="16" t="n">
        <x:v>81300</x:v>
      </x:c>
      <x:c r="F675" s="16" t="n">
        <x:v>0</x:v>
      </x:c>
      <x:c r="G675" s="16" t="n">
        <x:v>1</x:v>
      </x:c>
      <x:c r="H675" s="16" t="str">
        <x:v>30-10-2012</x:v>
      </x:c>
      <x:c r="I675" s="16" t="n">
        <x:v>17</x:v>
      </x:c>
      <x:c r="J675" s="16" t="n">
        <x:v>1004</x:v>
      </x:c>
      <x:c r="K675" s="16" t="n">
        <x:v>12</x:v>
      </x:c>
      <x:c r="L675" s="16" t="n">
        <x:v>145</x:v>
      </x:c>
      <x:c r="M675" s="16" t="n">
        <x:v>32</x:v>
      </x:c>
      <x:c r="N675" s="16" t="n">
        <x:v>12</x:v>
      </x:c>
      <x:c r="O675" s="16" t="n">
        <x:v>36</x:v>
      </x:c>
      <x:c r="P675" s="16" t="n">
        <x:v>3</x:v>
      </x:c>
      <x:c r="Q675" s="16" t="n">
        <x:v>10</x:v>
      </x:c>
      <x:c r="R675" s="16" t="n">
        <x:v>3</x:v>
      </x:c>
      <x:c r="S675" s="16" t="n">
        <x:v>5</x:v>
      </x:c>
      <x:c r="T675" s="16" t="n">
        <x:v>5</x:v>
      </x:c>
      <x:c r="U675" s="16" t="n">
        <x:v>0</x:v>
      </x:c>
      <x:c r="V675" s="16" t="n">
        <x:v>0</x:v>
      </x:c>
      <x:c r="W675" s="16" t="n">
        <x:v>0</x:v>
      </x:c>
      <x:c r="X675" s="16" t="n">
        <x:v>1</x:v>
      </x:c>
      <x:c r="Y675" s="16" t="n">
        <x:v>0</x:v>
      </x:c>
      <x:c r="Z675" s="16" t="n">
        <x:v>0</x:v>
      </x:c>
      <x:c r="AA675" s="16" t="n">
        <x:v>3</x:v>
      </x:c>
      <x:c r="AB675" s="16" t="n">
        <x:v>11</x:v>
      </x:c>
      <x:c r="AC675" s="16" t="n">
        <x:v>1</x:v>
      </x:c>
      <x:c r="AD675" s="21" t="n">
        <x:f>IF(E675="",MEDIAN($E$2:$E$2237),E675)</x:f>
        <x:v>81300</x:v>
      </x:c>
      <x:c r="AE675" s="17" t="n">
        <x:f>2014-B675</x:f>
        <x:v>51</x:v>
      </x:c>
      <x:c r="AF675" s="17" t="n">
        <x:f>F675+G675</x:f>
        <x:v>1</x:v>
      </x:c>
      <x:c r="AG675" s="21" t="n">
        <x:f>SUM(J675:O675)</x:f>
        <x:v>1241</x:v>
      </x:c>
      <x:c r="AH675" s="17" t="n">
        <x:f>SUM(Q675:S675)</x:f>
        <x:v>18</x:v>
      </x:c>
      <x:c r="AI675" s="17" t="n">
        <x:f>SUM(U675:Y675)</x:f>
        <x:v>1</x:v>
      </x:c>
      <x:c r="AJ675" s="17" t="str">
        <x:f>IF(AE675&lt;=34,"≤34",IF(AE675&lt;=44,"35–44",IF(AE675&lt;=54,"45–54",IF(AE675&lt;=64,"55–64","65+"))))</x:f>
        <x:v>45–54</x:v>
      </x:c>
      <x:c r="AK675" s="17" t="str">
        <x:f>IF(AG675&gt;=1000,"High Value",IF(AG675&gt;=300,"Mid Value","Low Value"))</x:f>
        <x:v>High Value</x:v>
      </x:c>
      <x:c r="AL675" s="17" t="str">
        <x:f>IF(AND(AI675&gt;=1,I675&lt;=50),"Priority 1",IF(AND(AG675&gt;=1000,I675&lt;=60),"Priority 2",IF(I675&lt;=30,"Priority 3","Nurture")))</x:f>
        <x:v>Priority 1</x:v>
      </x:c>
    </x:row>
    <x:row r="676">
      <x:c r="A676" s="16" t="n">
        <x:v>9937</x:v>
      </x:c>
      <x:c r="B676" s="16" t="n">
        <x:v>1979</x:v>
      </x:c>
      <x:c r="C676" s="16" t="str">
        <x:v>Graduation</x:v>
      </x:c>
      <x:c r="D676" s="16" t="str">
        <x:v>Single</x:v>
      </x:c>
      <x:c r="E676" s="16" t="n">
        <x:v>70337</x:v>
      </x:c>
      <x:c r="F676" s="16" t="n">
        <x:v>0</x:v>
      </x:c>
      <x:c r="G676" s="16" t="n">
        <x:v>0</x:v>
      </x:c>
      <x:c r="H676" s="16" t="str">
        <x:v>02-01-2014</x:v>
      </x:c>
      <x:c r="I676" s="16" t="n">
        <x:v>75</x:v>
      </x:c>
      <x:c r="J676" s="16" t="n">
        <x:v>187</x:v>
      </x:c>
      <x:c r="K676" s="16" t="n">
        <x:v>81</x:v>
      </x:c>
      <x:c r="L676" s="16" t="n">
        <x:v>149</x:v>
      </x:c>
      <x:c r="M676" s="16" t="n">
        <x:v>25</x:v>
      </x:c>
      <x:c r="N676" s="16" t="n">
        <x:v>43</x:v>
      </x:c>
      <x:c r="O676" s="16" t="n">
        <x:v>91</x:v>
      </x:c>
      <x:c r="P676" s="16" t="n">
        <x:v>1</x:v>
      </x:c>
      <x:c r="Q676" s="16" t="n">
        <x:v>2</x:v>
      </x:c>
      <x:c r="R676" s="16" t="n">
        <x:v>2</x:v>
      </x:c>
      <x:c r="S676" s="16" t="n">
        <x:v>12</x:v>
      </x:c>
      <x:c r="T676" s="16" t="n">
        <x:v>1</x:v>
      </x:c>
      <x:c r="U676" s="16" t="n">
        <x:v>0</x:v>
      </x:c>
      <x:c r="V676" s="16" t="n">
        <x:v>0</x:v>
      </x:c>
      <x:c r="W676" s="16" t="n">
        <x:v>0</x:v>
      </x:c>
      <x:c r="X676" s="16" t="n">
        <x:v>0</x:v>
      </x:c>
      <x:c r="Y676" s="16" t="n">
        <x:v>0</x:v>
      </x:c>
      <x:c r="Z676" s="16" t="n">
        <x:v>0</x:v>
      </x:c>
      <x:c r="AA676" s="16" t="n">
        <x:v>3</x:v>
      </x:c>
      <x:c r="AB676" s="16" t="n">
        <x:v>11</x:v>
      </x:c>
      <x:c r="AC676" s="16" t="n">
        <x:v>0</x:v>
      </x:c>
      <x:c r="AD676" s="21" t="n">
        <x:f>IF(E676="",MEDIAN($E$2:$E$2237),E676)</x:f>
        <x:v>70337</x:v>
      </x:c>
      <x:c r="AE676" s="17" t="n">
        <x:f>2014-B676</x:f>
        <x:v>35</x:v>
      </x:c>
      <x:c r="AF676" s="17" t="n">
        <x:f>F676+G676</x:f>
        <x:v>0</x:v>
      </x:c>
      <x:c r="AG676" s="21" t="n">
        <x:f>SUM(J676:O676)</x:f>
        <x:v>576</x:v>
      </x:c>
      <x:c r="AH676" s="17" t="n">
        <x:f>SUM(Q676:S676)</x:f>
        <x:v>16</x:v>
      </x:c>
      <x:c r="AI676" s="17" t="n">
        <x:f>SUM(U676:Y676)</x:f>
        <x:v>0</x:v>
      </x:c>
      <x:c r="AJ676" s="17" t="str">
        <x:f>IF(AE676&lt;=34,"≤34",IF(AE676&lt;=44,"35–44",IF(AE676&lt;=54,"45–54",IF(AE676&lt;=64,"55–64","65+"))))</x:f>
        <x:v>35–44</x:v>
      </x:c>
      <x:c r="AK676" s="17" t="str">
        <x:f>IF(AG676&gt;=1000,"High Value",IF(AG676&gt;=300,"Mid Value","Low Value"))</x:f>
        <x:v>Mid Value</x:v>
      </x:c>
      <x:c r="AL676" s="17" t="str">
        <x:f>IF(AND(AI676&gt;=1,I676&lt;=50),"Priority 1",IF(AND(AG676&gt;=1000,I676&lt;=60),"Priority 2",IF(I676&lt;=30,"Priority 3","Nurture")))</x:f>
        <x:v>Nurture</x:v>
      </x:c>
    </x:row>
    <x:row r="677">
      <x:c r="A677" s="16" t="n">
        <x:v>8779</x:v>
      </x:c>
      <x:c r="B677" s="16" t="n">
        <x:v>1985</x:v>
      </x:c>
      <x:c r="C677" s="16" t="str">
        <x:v>2n Cycle</x:v>
      </x:c>
      <x:c r="D677" s="16" t="str">
        <x:v>Married</x:v>
      </x:c>
      <x:c r="E677" s="16" t="n">
        <x:v>36145</x:v>
      </x:c>
      <x:c r="F677" s="16" t="n">
        <x:v>1</x:v>
      </x:c>
      <x:c r="G677" s="16" t="n">
        <x:v>0</x:v>
      </x:c>
      <x:c r="H677" s="16" t="str">
        <x:v>16-06-2013</x:v>
      </x:c>
      <x:c r="I677" s="16" t="n">
        <x:v>13</x:v>
      </x:c>
      <x:c r="J677" s="16" t="n">
        <x:v>56</x:v>
      </x:c>
      <x:c r="K677" s="16" t="n">
        <x:v>4</x:v>
      </x:c>
      <x:c r="L677" s="16" t="n">
        <x:v>76</x:v>
      </x:c>
      <x:c r="M677" s="16" t="n">
        <x:v>17</x:v>
      </x:c>
      <x:c r="N677" s="16" t="n">
        <x:v>1</x:v>
      </x:c>
      <x:c r="O677" s="16" t="n">
        <x:v>18</x:v>
      </x:c>
      <x:c r="P677" s="16" t="n">
        <x:v>4</x:v>
      </x:c>
      <x:c r="Q677" s="16" t="n">
        <x:v>4</x:v>
      </x:c>
      <x:c r="R677" s="16" t="n">
        <x:v>1</x:v>
      </x:c>
      <x:c r="S677" s="16" t="n">
        <x:v>3</x:v>
      </x:c>
      <x:c r="T677" s="16" t="n">
        <x:v>9</x:v>
      </x:c>
      <x:c r="U677" s="16" t="n">
        <x:v>1</x:v>
      </x:c>
      <x:c r="V677" s="16" t="n">
        <x:v>0</x:v>
      </x:c>
      <x:c r="W677" s="16" t="n">
        <x:v>0</x:v>
      </x:c>
      <x:c r="X677" s="16" t="n">
        <x:v>0</x:v>
      </x:c>
      <x:c r="Y677" s="16" t="n">
        <x:v>0</x:v>
      </x:c>
      <x:c r="Z677" s="16" t="n">
        <x:v>0</x:v>
      </x:c>
      <x:c r="AA677" s="16" t="n">
        <x:v>3</x:v>
      </x:c>
      <x:c r="AB677" s="16" t="n">
        <x:v>11</x:v>
      </x:c>
      <x:c r="AC677" s="16" t="n">
        <x:v>1</x:v>
      </x:c>
      <x:c r="AD677" s="21" t="n">
        <x:f>IF(E677="",MEDIAN($E$2:$E$2237),E677)</x:f>
        <x:v>36145</x:v>
      </x:c>
      <x:c r="AE677" s="17" t="n">
        <x:f>2014-B677</x:f>
        <x:v>29</x:v>
      </x:c>
      <x:c r="AF677" s="17" t="n">
        <x:f>F677+G677</x:f>
        <x:v>1</x:v>
      </x:c>
      <x:c r="AG677" s="21" t="n">
        <x:f>SUM(J677:O677)</x:f>
        <x:v>172</x:v>
      </x:c>
      <x:c r="AH677" s="17" t="n">
        <x:f>SUM(Q677:S677)</x:f>
        <x:v>8</x:v>
      </x:c>
      <x:c r="AI677" s="17" t="n">
        <x:f>SUM(U677:Y677)</x:f>
        <x:v>1</x:v>
      </x:c>
      <x:c r="AJ677" s="17" t="str">
        <x:f>IF(AE677&lt;=34,"≤34",IF(AE677&lt;=44,"35–44",IF(AE677&lt;=54,"45–54",IF(AE677&lt;=64,"55–64","65+"))))</x:f>
        <x:v>≤34</x:v>
      </x:c>
      <x:c r="AK677" s="17" t="str">
        <x:f>IF(AG677&gt;=1000,"High Value",IF(AG677&gt;=300,"Mid Value","Low Value"))</x:f>
        <x:v>Low Value</x:v>
      </x:c>
      <x:c r="AL677" s="17" t="str">
        <x:f>IF(AND(AI677&gt;=1,I677&lt;=50),"Priority 1",IF(AND(AG677&gt;=1000,I677&lt;=60),"Priority 2",IF(I677&lt;=30,"Priority 3","Nurture")))</x:f>
        <x:v>Priority 1</x:v>
      </x:c>
    </x:row>
    <x:row r="678">
      <x:c r="A678" s="16" t="n">
        <x:v>9596</x:v>
      </x:c>
      <x:c r="B678" s="16" t="n">
        <x:v>1980</x:v>
      </x:c>
      <x:c r="C678" s="16" t="str">
        <x:v>PhD</x:v>
      </x:c>
      <x:c r="D678" s="16" t="str">
        <x:v>Single</x:v>
      </x:c>
      <x:c r="E678" s="16" t="n">
        <x:v>65295</x:v>
      </x:c>
      <x:c r="F678" s="16" t="n">
        <x:v>0</x:v>
      </x:c>
      <x:c r="G678" s="16" t="n">
        <x:v>0</x:v>
      </x:c>
      <x:c r="H678" s="16" t="str">
        <x:v>23-12-2013</x:v>
      </x:c>
      <x:c r="I678" s="16" t="n">
        <x:v>19</x:v>
      </x:c>
      <x:c r="J678" s="16" t="n">
        <x:v>365</x:v>
      </x:c>
      <x:c r="K678" s="16" t="n">
        <x:v>32</x:v>
      </x:c>
      <x:c r="L678" s="16" t="n">
        <x:v>117</x:v>
      </x:c>
      <x:c r="M678" s="16" t="n">
        <x:v>34</x:v>
      </x:c>
      <x:c r="N678" s="16" t="n">
        <x:v>110</x:v>
      </x:c>
      <x:c r="O678" s="16" t="n">
        <x:v>6</x:v>
      </x:c>
      <x:c r="P678" s="16" t="n">
        <x:v>1</x:v>
      </x:c>
      <x:c r="Q678" s="16" t="n">
        <x:v>3</x:v>
      </x:c>
      <x:c r="R678" s="16" t="n">
        <x:v>3</x:v>
      </x:c>
      <x:c r="S678" s="16" t="n">
        <x:v>13</x:v>
      </x:c>
      <x:c r="T678" s="16" t="n">
        <x:v>2</x:v>
      </x:c>
      <x:c r="U678" s="16" t="n">
        <x:v>0</x:v>
      </x:c>
      <x:c r="V678" s="16" t="n">
        <x:v>0</x:v>
      </x:c>
      <x:c r="W678" s="16" t="n">
        <x:v>0</x:v>
      </x:c>
      <x:c r="X678" s="16" t="n">
        <x:v>0</x:v>
      </x:c>
      <x:c r="Y678" s="16" t="n">
        <x:v>0</x:v>
      </x:c>
      <x:c r="Z678" s="16" t="n">
        <x:v>0</x:v>
      </x:c>
      <x:c r="AA678" s="16" t="n">
        <x:v>3</x:v>
      </x:c>
      <x:c r="AB678" s="16" t="n">
        <x:v>11</x:v>
      </x:c>
      <x:c r="AC678" s="16" t="n">
        <x:v>0</x:v>
      </x:c>
      <x:c r="AD678" s="21" t="n">
        <x:f>IF(E678="",MEDIAN($E$2:$E$2237),E678)</x:f>
        <x:v>65295</x:v>
      </x:c>
      <x:c r="AE678" s="17" t="n">
        <x:f>2014-B678</x:f>
        <x:v>34</x:v>
      </x:c>
      <x:c r="AF678" s="17" t="n">
        <x:f>F678+G678</x:f>
        <x:v>0</x:v>
      </x:c>
      <x:c r="AG678" s="21" t="n">
        <x:f>SUM(J678:O678)</x:f>
        <x:v>664</x:v>
      </x:c>
      <x:c r="AH678" s="17" t="n">
        <x:f>SUM(Q678:S678)</x:f>
        <x:v>19</x:v>
      </x:c>
      <x:c r="AI678" s="17" t="n">
        <x:f>SUM(U678:Y678)</x:f>
        <x:v>0</x:v>
      </x:c>
      <x:c r="AJ678" s="17" t="str">
        <x:f>IF(AE678&lt;=34,"≤34",IF(AE678&lt;=44,"35–44",IF(AE678&lt;=54,"45–54",IF(AE678&lt;=64,"55–64","65+"))))</x:f>
        <x:v>≤34</x:v>
      </x:c>
      <x:c r="AK678" s="17" t="str">
        <x:f>IF(AG678&gt;=1000,"High Value",IF(AG678&gt;=300,"Mid Value","Low Value"))</x:f>
        <x:v>Mid Value</x:v>
      </x:c>
      <x:c r="AL678" s="17" t="str">
        <x:f>IF(AND(AI678&gt;=1,I678&lt;=50),"Priority 1",IF(AND(AG678&gt;=1000,I678&lt;=60),"Priority 2",IF(I678&lt;=30,"Priority 3","Nurture")))</x:f>
        <x:v>Priority 3</x:v>
      </x:c>
    </x:row>
    <x:row r="679">
      <x:c r="A679" s="16" t="n">
        <x:v>2891</x:v>
      </x:c>
      <x:c r="B679" s="16" t="n">
        <x:v>1963</x:v>
      </x:c>
      <x:c r="C679" s="16" t="str">
        <x:v>Graduation</x:v>
      </x:c>
      <x:c r="D679" s="16" t="str">
        <x:v>Divorced</x:v>
      </x:c>
      <x:c r="E679" s="16" t="n">
        <x:v>68118</x:v>
      </x:c>
      <x:c r="F679" s="16" t="n">
        <x:v>0</x:v>
      </x:c>
      <x:c r="G679" s="16" t="n">
        <x:v>1</x:v>
      </x:c>
      <x:c r="H679" s="16" t="str">
        <x:v>18-10-2013</x:v>
      </x:c>
      <x:c r="I679" s="16" t="n">
        <x:v>51</x:v>
      </x:c>
      <x:c r="J679" s="16" t="n">
        <x:v>595</x:v>
      </x:c>
      <x:c r="K679" s="16" t="n">
        <x:v>23</x:v>
      </x:c>
      <x:c r="L679" s="16" t="n">
        <x:v>123</x:v>
      </x:c>
      <x:c r="M679" s="16" t="n">
        <x:v>10</x:v>
      </x:c>
      <x:c r="N679" s="16" t="n">
        <x:v>23</x:v>
      </x:c>
      <x:c r="O679" s="16" t="n">
        <x:v>154</x:v>
      </x:c>
      <x:c r="P679" s="16" t="n">
        <x:v>2</x:v>
      </x:c>
      <x:c r="Q679" s="16" t="n">
        <x:v>8</x:v>
      </x:c>
      <x:c r="R679" s="16" t="n">
        <x:v>9</x:v>
      </x:c>
      <x:c r="S679" s="16" t="n">
        <x:v>4</x:v>
      </x:c>
      <x:c r="T679" s="16" t="n">
        <x:v>6</x:v>
      </x:c>
      <x:c r="U679" s="16" t="n">
        <x:v>0</x:v>
      </x:c>
      <x:c r="V679" s="16" t="n">
        <x:v>0</x:v>
      </x:c>
      <x:c r="W679" s="16" t="n">
        <x:v>0</x:v>
      </x:c>
      <x:c r="X679" s="16" t="n">
        <x:v>0</x:v>
      </x:c>
      <x:c r="Y679" s="16" t="n">
        <x:v>0</x:v>
      </x:c>
      <x:c r="Z679" s="16" t="n">
        <x:v>0</x:v>
      </x:c>
      <x:c r="AA679" s="16" t="n">
        <x:v>3</x:v>
      </x:c>
      <x:c r="AB679" s="16" t="n">
        <x:v>11</x:v>
      </x:c>
      <x:c r="AC679" s="16" t="n">
        <x:v>0</x:v>
      </x:c>
      <x:c r="AD679" s="21" t="n">
        <x:f>IF(E679="",MEDIAN($E$2:$E$2237),E679)</x:f>
        <x:v>68118</x:v>
      </x:c>
      <x:c r="AE679" s="17" t="n">
        <x:f>2014-B679</x:f>
        <x:v>51</x:v>
      </x:c>
      <x:c r="AF679" s="17" t="n">
        <x:f>F679+G679</x:f>
        <x:v>1</x:v>
      </x:c>
      <x:c r="AG679" s="21" t="n">
        <x:f>SUM(J679:O679)</x:f>
        <x:v>928</x:v>
      </x:c>
      <x:c r="AH679" s="17" t="n">
        <x:f>SUM(Q679:S679)</x:f>
        <x:v>21</x:v>
      </x:c>
      <x:c r="AI679" s="17" t="n">
        <x:f>SUM(U679:Y679)</x:f>
        <x:v>0</x:v>
      </x:c>
      <x:c r="AJ679" s="17" t="str">
        <x:f>IF(AE679&lt;=34,"≤34",IF(AE679&lt;=44,"35–44",IF(AE679&lt;=54,"45–54",IF(AE679&lt;=64,"55–64","65+"))))</x:f>
        <x:v>45–54</x:v>
      </x:c>
      <x:c r="AK679" s="17" t="str">
        <x:f>IF(AG679&gt;=1000,"High Value",IF(AG679&gt;=300,"Mid Value","Low Value"))</x:f>
        <x:v>Mid Value</x:v>
      </x:c>
      <x:c r="AL679" s="17" t="str">
        <x:f>IF(AND(AI679&gt;=1,I679&lt;=50),"Priority 1",IF(AND(AG679&gt;=1000,I679&lt;=60),"Priority 2",IF(I679&lt;=30,"Priority 3","Nurture")))</x:f>
        <x:v>Nurture</x:v>
      </x:c>
    </x:row>
    <x:row r="680">
      <x:c r="A680" s="16" t="n">
        <x:v>4910</x:v>
      </x:c>
      <x:c r="B680" s="16" t="n">
        <x:v>1967</x:v>
      </x:c>
      <x:c r="C680" s="16" t="str">
        <x:v>Graduation</x:v>
      </x:c>
      <x:c r="D680" s="16" t="str">
        <x:v>Divorced</x:v>
      </x:c>
      <x:c r="E680" s="16" t="n">
        <x:v>68743</x:v>
      </x:c>
      <x:c r="F680" s="16" t="n">
        <x:v>0</x:v>
      </x:c>
      <x:c r="G680" s="16" t="n">
        <x:v>0</x:v>
      </x:c>
      <x:c r="H680" s="16" t="str">
        <x:v>30-08-2012</x:v>
      </x:c>
      <x:c r="I680" s="16" t="n">
        <x:v>81</x:v>
      </x:c>
      <x:c r="J680" s="16" t="n">
        <x:v>1132</x:v>
      </x:c>
      <x:c r="K680" s="16" t="n">
        <x:v>134</x:v>
      </x:c>
      <x:c r="L680" s="16" t="n">
        <x:v>384</x:v>
      </x:c>
      <x:c r="M680" s="16" t="n">
        <x:v>175</x:v>
      </x:c>
      <x:c r="N680" s="16" t="n">
        <x:v>134</x:v>
      </x:c>
      <x:c r="O680" s="16" t="n">
        <x:v>115</x:v>
      </x:c>
      <x:c r="P680" s="16" t="n">
        <x:v>1</x:v>
      </x:c>
      <x:c r="Q680" s="16" t="n">
        <x:v>11</x:v>
      </x:c>
      <x:c r="R680" s="16" t="n">
        <x:v>5</x:v>
      </x:c>
      <x:c r="S680" s="16" t="n">
        <x:v>13</x:v>
      </x:c>
      <x:c r="T680" s="16" t="n">
        <x:v>7</x:v>
      </x:c>
      <x:c r="U680" s="16" t="n">
        <x:v>0</x:v>
      </x:c>
      <x:c r="V680" s="16" t="n">
        <x:v>0</x:v>
      </x:c>
      <x:c r="W680" s="16" t="n">
        <x:v>0</x:v>
      </x:c>
      <x:c r="X680" s="16" t="n">
        <x:v>0</x:v>
      </x:c>
      <x:c r="Y680" s="16" t="n">
        <x:v>0</x:v>
      </x:c>
      <x:c r="Z680" s="16" t="n">
        <x:v>0</x:v>
      </x:c>
      <x:c r="AA680" s="16" t="n">
        <x:v>3</x:v>
      </x:c>
      <x:c r="AB680" s="16" t="n">
        <x:v>11</x:v>
      </x:c>
      <x:c r="AC680" s="16" t="n">
        <x:v>0</x:v>
      </x:c>
      <x:c r="AD680" s="21" t="n">
        <x:f>IF(E680="",MEDIAN($E$2:$E$2237),E680)</x:f>
        <x:v>68743</x:v>
      </x:c>
      <x:c r="AE680" s="17" t="n">
        <x:f>2014-B680</x:f>
        <x:v>47</x:v>
      </x:c>
      <x:c r="AF680" s="17" t="n">
        <x:f>F680+G680</x:f>
        <x:v>0</x:v>
      </x:c>
      <x:c r="AG680" s="21" t="n">
        <x:f>SUM(J680:O680)</x:f>
        <x:v>2074</x:v>
      </x:c>
      <x:c r="AH680" s="17" t="n">
        <x:f>SUM(Q680:S680)</x:f>
        <x:v>29</x:v>
      </x:c>
      <x:c r="AI680" s="17" t="n">
        <x:f>SUM(U680:Y680)</x:f>
        <x:v>0</x:v>
      </x:c>
      <x:c r="AJ680" s="17" t="str">
        <x:f>IF(AE680&lt;=34,"≤34",IF(AE680&lt;=44,"35–44",IF(AE680&lt;=54,"45–54",IF(AE680&lt;=64,"55–64","65+"))))</x:f>
        <x:v>45–54</x:v>
      </x:c>
      <x:c r="AK680" s="17" t="str">
        <x:f>IF(AG680&gt;=1000,"High Value",IF(AG680&gt;=300,"Mid Value","Low Value"))</x:f>
        <x:v>High Value</x:v>
      </x:c>
      <x:c r="AL680" s="17" t="str">
        <x:f>IF(AND(AI680&gt;=1,I680&lt;=50),"Priority 1",IF(AND(AG680&gt;=1000,I680&lt;=60),"Priority 2",IF(I680&lt;=30,"Priority 3","Nurture")))</x:f>
        <x:v>Nurture</x:v>
      </x:c>
    </x:row>
    <x:row r="681">
      <x:c r="A681" s="16" t="n">
        <x:v>75</x:v>
      </x:c>
      <x:c r="B681" s="16" t="n">
        <x:v>1982</x:v>
      </x:c>
      <x:c r="C681" s="16" t="str">
        <x:v>2n Cycle</x:v>
      </x:c>
      <x:c r="D681" s="16" t="str">
        <x:v>Together</x:v>
      </x:c>
      <x:c r="E681" s="16" t="n">
        <x:v>41039</x:v>
      </x:c>
      <x:c r="F681" s="16" t="n">
        <x:v>0</x:v>
      </x:c>
      <x:c r="G681" s="16" t="n">
        <x:v>0</x:v>
      </x:c>
      <x:c r="H681" s="16" t="str">
        <x:v>25-07-2013</x:v>
      </x:c>
      <x:c r="I681" s="16" t="n">
        <x:v>32</x:v>
      </x:c>
      <x:c r="J681" s="16" t="n">
        <x:v>34</x:v>
      </x:c>
      <x:c r="K681" s="16" t="n">
        <x:v>11</x:v>
      </x:c>
      <x:c r="L681" s="16" t="n">
        <x:v>137</x:v>
      </x:c>
      <x:c r="M681" s="16" t="n">
        <x:v>179</x:v>
      </x:c>
      <x:c r="N681" s="16" t="n">
        <x:v>61</x:v>
      </x:c>
      <x:c r="O681" s="16" t="n">
        <x:v>45</x:v>
      </x:c>
      <x:c r="P681" s="16" t="n">
        <x:v>1</x:v>
      </x:c>
      <x:c r="Q681" s="16" t="n">
        <x:v>8</x:v>
      </x:c>
      <x:c r="R681" s="16" t="n">
        <x:v>1</x:v>
      </x:c>
      <x:c r="S681" s="16" t="n">
        <x:v>5</x:v>
      </x:c>
      <x:c r="T681" s="16" t="n">
        <x:v>8</x:v>
      </x:c>
      <x:c r="U681" s="16" t="n">
        <x:v>0</x:v>
      </x:c>
      <x:c r="V681" s="16" t="n">
        <x:v>0</x:v>
      </x:c>
      <x:c r="W681" s="16" t="n">
        <x:v>0</x:v>
      </x:c>
      <x:c r="X681" s="16" t="n">
        <x:v>0</x:v>
      </x:c>
      <x:c r="Y681" s="16" t="n">
        <x:v>0</x:v>
      </x:c>
      <x:c r="Z681" s="16" t="n">
        <x:v>0</x:v>
      </x:c>
      <x:c r="AA681" s="16" t="n">
        <x:v>3</x:v>
      </x:c>
      <x:c r="AB681" s="16" t="n">
        <x:v>11</x:v>
      </x:c>
      <x:c r="AC681" s="16" t="n">
        <x:v>0</x:v>
      </x:c>
      <x:c r="AD681" s="21" t="n">
        <x:f>IF(E681="",MEDIAN($E$2:$E$2237),E681)</x:f>
        <x:v>41039</x:v>
      </x:c>
      <x:c r="AE681" s="17" t="n">
        <x:f>2014-B681</x:f>
        <x:v>32</x:v>
      </x:c>
      <x:c r="AF681" s="17" t="n">
        <x:f>F681+G681</x:f>
        <x:v>0</x:v>
      </x:c>
      <x:c r="AG681" s="21" t="n">
        <x:f>SUM(J681:O681)</x:f>
        <x:v>467</x:v>
      </x:c>
      <x:c r="AH681" s="17" t="n">
        <x:f>SUM(Q681:S681)</x:f>
        <x:v>14</x:v>
      </x:c>
      <x:c r="AI681" s="17" t="n">
        <x:f>SUM(U681:Y681)</x:f>
        <x:v>0</x:v>
      </x:c>
      <x:c r="AJ681" s="17" t="str">
        <x:f>IF(AE681&lt;=34,"≤34",IF(AE681&lt;=44,"35–44",IF(AE681&lt;=54,"45–54",IF(AE681&lt;=64,"55–64","65+"))))</x:f>
        <x:v>≤34</x:v>
      </x:c>
      <x:c r="AK681" s="17" t="str">
        <x:f>IF(AG681&gt;=1000,"High Value",IF(AG681&gt;=300,"Mid Value","Low Value"))</x:f>
        <x:v>Mid Value</x:v>
      </x:c>
      <x:c r="AL681" s="17" t="str">
        <x:f>IF(AND(AI681&gt;=1,I681&lt;=50),"Priority 1",IF(AND(AG681&gt;=1000,I681&lt;=60),"Priority 2",IF(I681&lt;=30,"Priority 3","Nurture")))</x:f>
        <x:v>Nurture</x:v>
      </x:c>
    </x:row>
    <x:row r="682">
      <x:c r="A682" s="16" t="n">
        <x:v>10120</x:v>
      </x:c>
      <x:c r="B682" s="16" t="n">
        <x:v>1955</x:v>
      </x:c>
      <x:c r="C682" s="16" t="str">
        <x:v>Graduation</x:v>
      </x:c>
      <x:c r="D682" s="16" t="str">
        <x:v>Together</x:v>
      </x:c>
      <x:c r="E682" s="16" t="n">
        <x:v>38946</x:v>
      </x:c>
      <x:c r="F682" s="16" t="n">
        <x:v>0</x:v>
      </x:c>
      <x:c r="G682" s="16" t="n">
        <x:v>1</x:v>
      </x:c>
      <x:c r="H682" s="16" t="str">
        <x:v>24-10-2013</x:v>
      </x:c>
      <x:c r="I682" s="16" t="n">
        <x:v>84</x:v>
      </x:c>
      <x:c r="J682" s="16" t="n">
        <x:v>116</x:v>
      </x:c>
      <x:c r="K682" s="16" t="n">
        <x:v>6</x:v>
      </x:c>
      <x:c r="L682" s="16" t="n">
        <x:v>82</x:v>
      </x:c>
      <x:c r="M682" s="16" t="n">
        <x:v>6</x:v>
      </x:c>
      <x:c r="N682" s="16" t="n">
        <x:v>6</x:v>
      </x:c>
      <x:c r="O682" s="16" t="n">
        <x:v>41</x:v>
      </x:c>
      <x:c r="P682" s="16" t="n">
        <x:v>2</x:v>
      </x:c>
      <x:c r="Q682" s="16" t="n">
        <x:v>3</x:v>
      </x:c>
      <x:c r="R682" s="16" t="n">
        <x:v>1</x:v>
      </x:c>
      <x:c r="S682" s="16" t="n">
        <x:v>6</x:v>
      </x:c>
      <x:c r="T682" s="16" t="n">
        <x:v>5</x:v>
      </x:c>
      <x:c r="U682" s="16" t="n">
        <x:v>0</x:v>
      </x:c>
      <x:c r="V682" s="16" t="n">
        <x:v>0</x:v>
      </x:c>
      <x:c r="W682" s="16" t="n">
        <x:v>0</x:v>
      </x:c>
      <x:c r="X682" s="16" t="n">
        <x:v>0</x:v>
      </x:c>
      <x:c r="Y682" s="16" t="n">
        <x:v>0</x:v>
      </x:c>
      <x:c r="Z682" s="16" t="n">
        <x:v>0</x:v>
      </x:c>
      <x:c r="AA682" s="16" t="n">
        <x:v>3</x:v>
      </x:c>
      <x:c r="AB682" s="16" t="n">
        <x:v>11</x:v>
      </x:c>
      <x:c r="AC682" s="16" t="n">
        <x:v>0</x:v>
      </x:c>
      <x:c r="AD682" s="21" t="n">
        <x:f>IF(E682="",MEDIAN($E$2:$E$2237),E682)</x:f>
        <x:v>38946</x:v>
      </x:c>
      <x:c r="AE682" s="17" t="n">
        <x:f>2014-B682</x:f>
        <x:v>59</x:v>
      </x:c>
      <x:c r="AF682" s="17" t="n">
        <x:f>F682+G682</x:f>
        <x:v>1</x:v>
      </x:c>
      <x:c r="AG682" s="21" t="n">
        <x:f>SUM(J682:O682)</x:f>
        <x:v>257</x:v>
      </x:c>
      <x:c r="AH682" s="17" t="n">
        <x:f>SUM(Q682:S682)</x:f>
        <x:v>10</x:v>
      </x:c>
      <x:c r="AI682" s="17" t="n">
        <x:f>SUM(U682:Y682)</x:f>
        <x:v>0</x:v>
      </x:c>
      <x:c r="AJ682" s="17" t="str">
        <x:f>IF(AE682&lt;=34,"≤34",IF(AE682&lt;=44,"35–44",IF(AE682&lt;=54,"45–54",IF(AE682&lt;=64,"55–64","65+"))))</x:f>
        <x:v>55–64</x:v>
      </x:c>
      <x:c r="AK682" s="17" t="str">
        <x:f>IF(AG682&gt;=1000,"High Value",IF(AG682&gt;=300,"Mid Value","Low Value"))</x:f>
        <x:v>Low Value</x:v>
      </x:c>
      <x:c r="AL682" s="17" t="str">
        <x:f>IF(AND(AI682&gt;=1,I682&lt;=50),"Priority 1",IF(AND(AG682&gt;=1000,I682&lt;=60),"Priority 2",IF(I682&lt;=30,"Priority 3","Nurture")))</x:f>
        <x:v>Nurture</x:v>
      </x:c>
    </x:row>
    <x:row r="683">
      <x:c r="A683" s="16" t="n">
        <x:v>6327</x:v>
      </x:c>
      <x:c r="B683" s="16" t="n">
        <x:v>1967</x:v>
      </x:c>
      <x:c r="C683" s="16" t="str">
        <x:v>Graduation</x:v>
      </x:c>
      <x:c r="D683" s="16" t="str">
        <x:v>Together</x:v>
      </x:c>
      <x:c r="E683" s="16" t="n">
        <x:v>65777</x:v>
      </x:c>
      <x:c r="F683" s="16" t="n">
        <x:v>0</x:v>
      </x:c>
      <x:c r="G683" s="16" t="n">
        <x:v>0</x:v>
      </x:c>
      <x:c r="H683" s="16" t="str">
        <x:v>19-12-2013</x:v>
      </x:c>
      <x:c r="I683" s="16" t="n">
        <x:v>87</x:v>
      </x:c>
      <x:c r="J683" s="16" t="n">
        <x:v>565</x:v>
      </x:c>
      <x:c r="K683" s="16" t="n">
        <x:v>32</x:v>
      </x:c>
      <x:c r="L683" s="16" t="n">
        <x:v>435</x:v>
      </x:c>
      <x:c r="M683" s="16" t="n">
        <x:v>28</x:v>
      </x:c>
      <x:c r="N683" s="16" t="n">
        <x:v>32</x:v>
      </x:c>
      <x:c r="O683" s="16" t="n">
        <x:v>54</x:v>
      </x:c>
      <x:c r="P683" s="16" t="n">
        <x:v>1</x:v>
      </x:c>
      <x:c r="Q683" s="16" t="n">
        <x:v>2</x:v>
      </x:c>
      <x:c r="R683" s="16" t="n">
        <x:v>8</x:v>
      </x:c>
      <x:c r="S683" s="16" t="n">
        <x:v>6</x:v>
      </x:c>
      <x:c r="T683" s="16" t="n">
        <x:v>1</x:v>
      </x:c>
      <x:c r="U683" s="16" t="n">
        <x:v>0</x:v>
      </x:c>
      <x:c r="V683" s="16" t="n">
        <x:v>0</x:v>
      </x:c>
      <x:c r="W683" s="16" t="n">
        <x:v>0</x:v>
      </x:c>
      <x:c r="X683" s="16" t="n">
        <x:v>0</x:v>
      </x:c>
      <x:c r="Y683" s="16" t="n">
        <x:v>0</x:v>
      </x:c>
      <x:c r="Z683" s="16" t="n">
        <x:v>0</x:v>
      </x:c>
      <x:c r="AA683" s="16" t="n">
        <x:v>3</x:v>
      </x:c>
      <x:c r="AB683" s="16" t="n">
        <x:v>11</x:v>
      </x:c>
      <x:c r="AC683" s="16" t="n">
        <x:v>0</x:v>
      </x:c>
      <x:c r="AD683" s="21" t="n">
        <x:f>IF(E683="",MEDIAN($E$2:$E$2237),E683)</x:f>
        <x:v>65777</x:v>
      </x:c>
      <x:c r="AE683" s="17" t="n">
        <x:f>2014-B683</x:f>
        <x:v>47</x:v>
      </x:c>
      <x:c r="AF683" s="17" t="n">
        <x:f>F683+G683</x:f>
        <x:v>0</x:v>
      </x:c>
      <x:c r="AG683" s="21" t="n">
        <x:f>SUM(J683:O683)</x:f>
        <x:v>1146</x:v>
      </x:c>
      <x:c r="AH683" s="17" t="n">
        <x:f>SUM(Q683:S683)</x:f>
        <x:v>16</x:v>
      </x:c>
      <x:c r="AI683" s="17" t="n">
        <x:f>SUM(U683:Y683)</x:f>
        <x:v>0</x:v>
      </x:c>
      <x:c r="AJ683" s="17" t="str">
        <x:f>IF(AE683&lt;=34,"≤34",IF(AE683&lt;=44,"35–44",IF(AE683&lt;=54,"45–54",IF(AE683&lt;=64,"55–64","65+"))))</x:f>
        <x:v>45–54</x:v>
      </x:c>
      <x:c r="AK683" s="17" t="str">
        <x:f>IF(AG683&gt;=1000,"High Value",IF(AG683&gt;=300,"Mid Value","Low Value"))</x:f>
        <x:v>High Value</x:v>
      </x:c>
      <x:c r="AL683" s="17" t="str">
        <x:f>IF(AND(AI683&gt;=1,I683&lt;=50),"Priority 1",IF(AND(AG683&gt;=1000,I683&lt;=60),"Priority 2",IF(I683&lt;=30,"Priority 3","Nurture")))</x:f>
        <x:v>Nurture</x:v>
      </x:c>
    </x:row>
    <x:row r="684">
      <x:c r="A684" s="16" t="n">
        <x:v>10142</x:v>
      </x:c>
      <x:c r="B684" s="16" t="n">
        <x:v>1976</x:v>
      </x:c>
      <x:c r="C684" s="16" t="str">
        <x:v>PhD</x:v>
      </x:c>
      <x:c r="D684" s="16" t="str">
        <x:v>Divorced</x:v>
      </x:c>
      <x:c r="E684" s="16" t="n">
        <x:v>66476</x:v>
      </x:c>
      <x:c r="F684" s="16" t="n">
        <x:v>0</x:v>
      </x:c>
      <x:c r="G684" s="16" t="n">
        <x:v>1</x:v>
      </x:c>
      <x:c r="H684" s="16" t="str">
        <x:v>07-03-2013</x:v>
      </x:c>
      <x:c r="I684" s="16" t="n">
        <x:v>99</x:v>
      </x:c>
      <x:c r="J684" s="16" t="n">
        <x:v>372</x:v>
      </x:c>
      <x:c r="K684" s="16" t="n">
        <x:v>18</x:v>
      </x:c>
      <x:c r="L684" s="16" t="n">
        <x:v>126</x:v>
      </x:c>
      <x:c r="M684" s="16" t="n">
        <x:v>47</x:v>
      </x:c>
      <x:c r="N684" s="16" t="n">
        <x:v>48</x:v>
      </x:c>
      <x:c r="O684" s="16" t="n">
        <x:v>78</x:v>
      </x:c>
      <x:c r="P684" s="16" t="n">
        <x:v>2</x:v>
      </x:c>
      <x:c r="Q684" s="16" t="n">
        <x:v>5</x:v>
      </x:c>
      <x:c r="R684" s="16" t="n">
        <x:v>2</x:v>
      </x:c>
      <x:c r="S684" s="16" t="n">
        <x:v>11</x:v>
      </x:c>
      <x:c r="T684" s="16" t="n">
        <x:v>4</x:v>
      </x:c>
      <x:c r="U684" s="16" t="n">
        <x:v>0</x:v>
      </x:c>
      <x:c r="V684" s="16" t="n">
        <x:v>0</x:v>
      </x:c>
      <x:c r="W684" s="16" t="n">
        <x:v>0</x:v>
      </x:c>
      <x:c r="X684" s="16" t="n">
        <x:v>0</x:v>
      </x:c>
      <x:c r="Y684" s="16" t="n">
        <x:v>0</x:v>
      </x:c>
      <x:c r="Z684" s="16" t="n">
        <x:v>0</x:v>
      </x:c>
      <x:c r="AA684" s="16" t="n">
        <x:v>3</x:v>
      </x:c>
      <x:c r="AB684" s="16" t="n">
        <x:v>11</x:v>
      </x:c>
      <x:c r="AC684" s="16" t="n">
        <x:v>0</x:v>
      </x:c>
      <x:c r="AD684" s="21" t="n">
        <x:f>IF(E684="",MEDIAN($E$2:$E$2237),E684)</x:f>
        <x:v>66476</x:v>
      </x:c>
      <x:c r="AE684" s="17" t="n">
        <x:f>2014-B684</x:f>
        <x:v>38</x:v>
      </x:c>
      <x:c r="AF684" s="17" t="n">
        <x:f>F684+G684</x:f>
        <x:v>1</x:v>
      </x:c>
      <x:c r="AG684" s="21" t="n">
        <x:f>SUM(J684:O684)</x:f>
        <x:v>689</x:v>
      </x:c>
      <x:c r="AH684" s="17" t="n">
        <x:f>SUM(Q684:S684)</x:f>
        <x:v>18</x:v>
      </x:c>
      <x:c r="AI684" s="17" t="n">
        <x:f>SUM(U684:Y684)</x:f>
        <x:v>0</x:v>
      </x:c>
      <x:c r="AJ684" s="17" t="str">
        <x:f>IF(AE684&lt;=34,"≤34",IF(AE684&lt;=44,"35–44",IF(AE684&lt;=54,"45–54",IF(AE684&lt;=64,"55–64","65+"))))</x:f>
        <x:v>35–44</x:v>
      </x:c>
      <x:c r="AK684" s="17" t="str">
        <x:f>IF(AG684&gt;=1000,"High Value",IF(AG684&gt;=300,"Mid Value","Low Value"))</x:f>
        <x:v>Mid Value</x:v>
      </x:c>
      <x:c r="AL684" s="17" t="str">
        <x:f>IF(AND(AI684&gt;=1,I684&lt;=50),"Priority 1",IF(AND(AG684&gt;=1000,I684&lt;=60),"Priority 2",IF(I684&lt;=30,"Priority 3","Nurture")))</x:f>
        <x:v>Nurture</x:v>
      </x:c>
    </x:row>
    <x:row r="685">
      <x:c r="A685" s="16" t="n">
        <x:v>9826</x:v>
      </x:c>
      <x:c r="B685" s="16" t="n">
        <x:v>1972</x:v>
      </x:c>
      <x:c r="C685" s="16" t="str">
        <x:v>PhD</x:v>
      </x:c>
      <x:c r="D685" s="16" t="str">
        <x:v>Single</x:v>
      </x:c>
      <x:c r="E685" s="16" t="n">
        <x:v>86857</x:v>
      </x:c>
      <x:c r="F685" s="16" t="n">
        <x:v>0</x:v>
      </x:c>
      <x:c r="G685" s="16" t="n">
        <x:v>0</x:v>
      </x:c>
      <x:c r="H685" s="16" t="str">
        <x:v>12-09-2012</x:v>
      </x:c>
      <x:c r="I685" s="16" t="n">
        <x:v>96</x:v>
      </x:c>
      <x:c r="J685" s="16" t="n">
        <x:v>899</x:v>
      </x:c>
      <x:c r="K685" s="16" t="n">
        <x:v>102</x:v>
      </x:c>
      <x:c r="L685" s="16" t="n">
        <x:v>838</x:v>
      </x:c>
      <x:c r="M685" s="16" t="n">
        <x:v>133</x:v>
      </x:c>
      <x:c r="N685" s="16" t="n">
        <x:v>102</x:v>
      </x:c>
      <x:c r="O685" s="16" t="n">
        <x:v>40</x:v>
      </x:c>
      <x:c r="P685" s="16" t="n">
        <x:v>1</x:v>
      </x:c>
      <x:c r="Q685" s="16" t="n">
        <x:v>5</x:v>
      </x:c>
      <x:c r="R685" s="16" t="n">
        <x:v>6</x:v>
      </x:c>
      <x:c r="S685" s="16" t="n">
        <x:v>10</x:v>
      </x:c>
      <x:c r="T685" s="16" t="n">
        <x:v>2</x:v>
      </x:c>
      <x:c r="U685" s="16" t="n">
        <x:v>0</x:v>
      </x:c>
      <x:c r="V685" s="16" t="n">
        <x:v>0</x:v>
      </x:c>
      <x:c r="W685" s="16" t="n">
        <x:v>0</x:v>
      </x:c>
      <x:c r="X685" s="16" t="n">
        <x:v>0</x:v>
      </x:c>
      <x:c r="Y685" s="16" t="n">
        <x:v>0</x:v>
      </x:c>
      <x:c r="Z685" s="16" t="n">
        <x:v>0</x:v>
      </x:c>
      <x:c r="AA685" s="16" t="n">
        <x:v>3</x:v>
      </x:c>
      <x:c r="AB685" s="16" t="n">
        <x:v>11</x:v>
      </x:c>
      <x:c r="AC685" s="16" t="n">
        <x:v>1</x:v>
      </x:c>
      <x:c r="AD685" s="21" t="n">
        <x:f>IF(E685="",MEDIAN($E$2:$E$2237),E685)</x:f>
        <x:v>86857</x:v>
      </x:c>
      <x:c r="AE685" s="17" t="n">
        <x:f>2014-B685</x:f>
        <x:v>42</x:v>
      </x:c>
      <x:c r="AF685" s="17" t="n">
        <x:f>F685+G685</x:f>
        <x:v>0</x:v>
      </x:c>
      <x:c r="AG685" s="21" t="n">
        <x:f>SUM(J685:O685)</x:f>
        <x:v>2114</x:v>
      </x:c>
      <x:c r="AH685" s="17" t="n">
        <x:f>SUM(Q685:S685)</x:f>
        <x:v>21</x:v>
      </x:c>
      <x:c r="AI685" s="17" t="n">
        <x:f>SUM(U685:Y685)</x:f>
        <x:v>0</x:v>
      </x:c>
      <x:c r="AJ685" s="17" t="str">
        <x:f>IF(AE685&lt;=34,"≤34",IF(AE685&lt;=44,"35–44",IF(AE685&lt;=54,"45–54",IF(AE685&lt;=64,"55–64","65+"))))</x:f>
        <x:v>35–44</x:v>
      </x:c>
      <x:c r="AK685" s="17" t="str">
        <x:f>IF(AG685&gt;=1000,"High Value",IF(AG685&gt;=300,"Mid Value","Low Value"))</x:f>
        <x:v>High Value</x:v>
      </x:c>
      <x:c r="AL685" s="17" t="str">
        <x:f>IF(AND(AI685&gt;=1,I685&lt;=50),"Priority 1",IF(AND(AG685&gt;=1000,I685&lt;=60),"Priority 2",IF(I685&lt;=30,"Priority 3","Nurture")))</x:f>
        <x:v>Nurture</x:v>
      </x:c>
    </x:row>
    <x:row r="686">
      <x:c r="A686" s="16" t="n">
        <x:v>1501</x:v>
      </x:c>
      <x:c r="B686" s="16" t="n">
        <x:v>1982</x:v>
      </x:c>
      <x:c r="C686" s="16" t="str">
        <x:v>PhD</x:v>
      </x:c>
      <x:c r="D686" s="16" t="str">
        <x:v>Married</x:v>
      </x:c>
      <x:c r="E686" s="16" t="n">
        <x:v>160803</x:v>
      </x:c>
      <x:c r="F686" s="16" t="n">
        <x:v>0</x:v>
      </x:c>
      <x:c r="G686" s="16" t="n">
        <x:v>0</x:v>
      </x:c>
      <x:c r="H686" s="16" t="str">
        <x:v>04-08-2012</x:v>
      </x:c>
      <x:c r="I686" s="16" t="n">
        <x:v>21</x:v>
      </x:c>
      <x:c r="J686" s="16" t="n">
        <x:v>55</x:v>
      </x:c>
      <x:c r="K686" s="16" t="n">
        <x:v>16</x:v>
      </x:c>
      <x:c r="L686" s="16" t="n">
        <x:v>1622</x:v>
      </x:c>
      <x:c r="M686" s="16" t="n">
        <x:v>17</x:v>
      </x:c>
      <x:c r="N686" s="16" t="n">
        <x:v>3</x:v>
      </x:c>
      <x:c r="O686" s="16" t="n">
        <x:v>4</x:v>
      </x:c>
      <x:c r="P686" s="16" t="n">
        <x:v>15</x:v>
      </x:c>
      <x:c r="Q686" s="16" t="n">
        <x:v>0</x:v>
      </x:c>
      <x:c r="R686" s="16" t="n">
        <x:v>28</x:v>
      </x:c>
      <x:c r="S686" s="16" t="n">
        <x:v>1</x:v>
      </x:c>
      <x:c r="T686" s="16" t="n">
        <x:v>0</x:v>
      </x:c>
      <x:c r="U686" s="16" t="n">
        <x:v>0</x:v>
      </x:c>
      <x:c r="V686" s="16" t="n">
        <x:v>0</x:v>
      </x:c>
      <x:c r="W686" s="16" t="n">
        <x:v>0</x:v>
      </x:c>
      <x:c r="X686" s="16" t="n">
        <x:v>0</x:v>
      </x:c>
      <x:c r="Y686" s="16" t="n">
        <x:v>0</x:v>
      </x:c>
      <x:c r="Z686" s="16" t="n">
        <x:v>0</x:v>
      </x:c>
      <x:c r="AA686" s="16" t="n">
        <x:v>3</x:v>
      </x:c>
      <x:c r="AB686" s="16" t="n">
        <x:v>11</x:v>
      </x:c>
      <x:c r="AC686" s="16" t="n">
        <x:v>0</x:v>
      </x:c>
      <x:c r="AD686" s="21" t="n">
        <x:f>IF(E686="",MEDIAN($E$2:$E$2237),E686)</x:f>
        <x:v>160803</x:v>
      </x:c>
      <x:c r="AE686" s="17" t="n">
        <x:f>2014-B686</x:f>
        <x:v>32</x:v>
      </x:c>
      <x:c r="AF686" s="17" t="n">
        <x:f>F686+G686</x:f>
        <x:v>0</x:v>
      </x:c>
      <x:c r="AG686" s="21" t="n">
        <x:f>SUM(J686:O686)</x:f>
        <x:v>1717</x:v>
      </x:c>
      <x:c r="AH686" s="17" t="n">
        <x:f>SUM(Q686:S686)</x:f>
        <x:v>29</x:v>
      </x:c>
      <x:c r="AI686" s="17" t="n">
        <x:f>SUM(U686:Y686)</x:f>
        <x:v>0</x:v>
      </x:c>
      <x:c r="AJ686" s="17" t="str">
        <x:f>IF(AE686&lt;=34,"≤34",IF(AE686&lt;=44,"35–44",IF(AE686&lt;=54,"45–54",IF(AE686&lt;=64,"55–64","65+"))))</x:f>
        <x:v>≤34</x:v>
      </x:c>
      <x:c r="AK686" s="17" t="str">
        <x:f>IF(AG686&gt;=1000,"High Value",IF(AG686&gt;=300,"Mid Value","Low Value"))</x:f>
        <x:v>High Value</x:v>
      </x:c>
      <x:c r="AL686" s="17" t="str">
        <x:f>IF(AND(AI686&gt;=1,I686&lt;=50),"Priority 1",IF(AND(AG686&gt;=1000,I686&lt;=60),"Priority 2",IF(I686&lt;=30,"Priority 3","Nurture")))</x:f>
        <x:v>Priority 2</x:v>
      </x:c>
    </x:row>
    <x:row r="687">
      <x:c r="A687" s="16" t="n">
        <x:v>10767</x:v>
      </x:c>
      <x:c r="B687" s="16" t="n">
        <x:v>1989</x:v>
      </x:c>
      <x:c r="C687" s="16" t="str">
        <x:v>PhD</x:v>
      </x:c>
      <x:c r="D687" s="16" t="str">
        <x:v>Together</x:v>
      </x:c>
      <x:c r="E687" s="16" t="n">
        <x:v>77845</x:v>
      </x:c>
      <x:c r="F687" s="16" t="n">
        <x:v>0</x:v>
      </x:c>
      <x:c r="G687" s="16" t="n">
        <x:v>0</x:v>
      </x:c>
      <x:c r="H687" s="16" t="str">
        <x:v>16-05-2014</x:v>
      </x:c>
      <x:c r="I687" s="16" t="n">
        <x:v>40</x:v>
      </x:c>
      <x:c r="J687" s="16" t="n">
        <x:v>760</x:v>
      </x:c>
      <x:c r="K687" s="16" t="n">
        <x:v>40</x:v>
      </x:c>
      <x:c r="L687" s="16" t="n">
        <x:v>480</x:v>
      </x:c>
      <x:c r="M687" s="16" t="n">
        <x:v>0</x:v>
      </x:c>
      <x:c r="N687" s="16" t="n">
        <x:v>40</x:v>
      </x:c>
      <x:c r="O687" s="16" t="n">
        <x:v>26</x:v>
      </x:c>
      <x:c r="P687" s="16" t="n">
        <x:v>1</x:v>
      </x:c>
      <x:c r="Q687" s="16" t="n">
        <x:v>3</x:v>
      </x:c>
      <x:c r="R687" s="16" t="n">
        <x:v>5</x:v>
      </x:c>
      <x:c r="S687" s="16" t="n">
        <x:v>12</x:v>
      </x:c>
      <x:c r="T687" s="16" t="n">
        <x:v>1</x:v>
      </x:c>
      <x:c r="U687" s="16" t="n">
        <x:v>0</x:v>
      </x:c>
      <x:c r="V687" s="16" t="n">
        <x:v>0</x:v>
      </x:c>
      <x:c r="W687" s="16" t="n">
        <x:v>1</x:v>
      </x:c>
      <x:c r="X687" s="16" t="n">
        <x:v>1</x:v>
      </x:c>
      <x:c r="Y687" s="16" t="n">
        <x:v>0</x:v>
      </x:c>
      <x:c r="Z687" s="16" t="n">
        <x:v>0</x:v>
      </x:c>
      <x:c r="AA687" s="16" t="n">
        <x:v>3</x:v>
      </x:c>
      <x:c r="AB687" s="16" t="n">
        <x:v>11</x:v>
      </x:c>
      <x:c r="AC687" s="16" t="n">
        <x:v>0</x:v>
      </x:c>
      <x:c r="AD687" s="21" t="n">
        <x:f>IF(E687="",MEDIAN($E$2:$E$2237),E687)</x:f>
        <x:v>77845</x:v>
      </x:c>
      <x:c r="AE687" s="17" t="n">
        <x:f>2014-B687</x:f>
        <x:v>25</x:v>
      </x:c>
      <x:c r="AF687" s="17" t="n">
        <x:f>F687+G687</x:f>
        <x:v>0</x:v>
      </x:c>
      <x:c r="AG687" s="21" t="n">
        <x:f>SUM(J687:O687)</x:f>
        <x:v>1346</x:v>
      </x:c>
      <x:c r="AH687" s="17" t="n">
        <x:f>SUM(Q687:S687)</x:f>
        <x:v>20</x:v>
      </x:c>
      <x:c r="AI687" s="17" t="n">
        <x:f>SUM(U687:Y687)</x:f>
        <x:v>2</x:v>
      </x:c>
      <x:c r="AJ687" s="17" t="str">
        <x:f>IF(AE687&lt;=34,"≤34",IF(AE687&lt;=44,"35–44",IF(AE687&lt;=54,"45–54",IF(AE687&lt;=64,"55–64","65+"))))</x:f>
        <x:v>≤34</x:v>
      </x:c>
      <x:c r="AK687" s="17" t="str">
        <x:f>IF(AG687&gt;=1000,"High Value",IF(AG687&gt;=300,"Mid Value","Low Value"))</x:f>
        <x:v>High Value</x:v>
      </x:c>
      <x:c r="AL687" s="17" t="str">
        <x:f>IF(AND(AI687&gt;=1,I687&lt;=50),"Priority 1",IF(AND(AG687&gt;=1000,I687&lt;=60),"Priority 2",IF(I687&lt;=30,"Priority 3","Nurture")))</x:f>
        <x:v>Priority 1</x:v>
      </x:c>
    </x:row>
    <x:row r="688">
      <x:c r="A688" s="16" t="n">
        <x:v>7279</x:v>
      </x:c>
      <x:c r="B688" s="16" t="n">
        <x:v>1969</x:v>
      </x:c>
      <x:c r="C688" s="16" t="str">
        <x:v>PhD</x:v>
      </x:c>
      <x:c r="D688" s="16" t="str">
        <x:v>Together</x:v>
      </x:c>
      <x:c r="E688" s="16" t="n">
        <x:v>69476</x:v>
      </x:c>
      <x:c r="F688" s="16" t="n">
        <x:v>0</x:v>
      </x:c>
      <x:c r="G688" s="16" t="n">
        <x:v>0</x:v>
      </x:c>
      <x:c r="H688" s="16" t="str">
        <x:v>30-09-2013</x:v>
      </x:c>
      <x:c r="I688" s="16" t="n">
        <x:v>3</x:v>
      </x:c>
      <x:c r="J688" s="16" t="n">
        <x:v>260</x:v>
      </x:c>
      <x:c r="K688" s="16" t="n">
        <x:v>86</x:v>
      </x:c>
      <x:c r="L688" s="16" t="n">
        <x:v>559</x:v>
      </x:c>
      <x:c r="M688" s="16" t="n">
        <x:v>63</x:v>
      </x:c>
      <x:c r="N688" s="16" t="n">
        <x:v>9</x:v>
      </x:c>
      <x:c r="O688" s="16" t="n">
        <x:v>67</x:v>
      </x:c>
      <x:c r="P688" s="16" t="n">
        <x:v>1</x:v>
      </x:c>
      <x:c r="Q688" s="16" t="n">
        <x:v>4</x:v>
      </x:c>
      <x:c r="R688" s="16" t="n">
        <x:v>6</x:v>
      </x:c>
      <x:c r="S688" s="16" t="n">
        <x:v>4</x:v>
      </x:c>
      <x:c r="T688" s="16" t="n">
        <x:v>2</x:v>
      </x:c>
      <x:c r="U688" s="16" t="n">
        <x:v>0</x:v>
      </x:c>
      <x:c r="V688" s="16" t="n">
        <x:v>0</x:v>
      </x:c>
      <x:c r="W688" s="16" t="n">
        <x:v>0</x:v>
      </x:c>
      <x:c r="X688" s="16" t="n">
        <x:v>0</x:v>
      </x:c>
      <x:c r="Y688" s="16" t="n">
        <x:v>0</x:v>
      </x:c>
      <x:c r="Z688" s="16" t="n">
        <x:v>0</x:v>
      </x:c>
      <x:c r="AA688" s="16" t="n">
        <x:v>3</x:v>
      </x:c>
      <x:c r="AB688" s="16" t="n">
        <x:v>11</x:v>
      </x:c>
      <x:c r="AC688" s="16" t="n">
        <x:v>0</x:v>
      </x:c>
      <x:c r="AD688" s="21" t="n">
        <x:f>IF(E688="",MEDIAN($E$2:$E$2237),E688)</x:f>
        <x:v>69476</x:v>
      </x:c>
      <x:c r="AE688" s="17" t="n">
        <x:f>2014-B688</x:f>
        <x:v>45</x:v>
      </x:c>
      <x:c r="AF688" s="17" t="n">
        <x:f>F688+G688</x:f>
        <x:v>0</x:v>
      </x:c>
      <x:c r="AG688" s="21" t="n">
        <x:f>SUM(J688:O688)</x:f>
        <x:v>1044</x:v>
      </x:c>
      <x:c r="AH688" s="17" t="n">
        <x:f>SUM(Q688:S688)</x:f>
        <x:v>14</x:v>
      </x:c>
      <x:c r="AI688" s="17" t="n">
        <x:f>SUM(U688:Y688)</x:f>
        <x:v>0</x:v>
      </x:c>
      <x:c r="AJ688" s="17" t="str">
        <x:f>IF(AE688&lt;=34,"≤34",IF(AE688&lt;=44,"35–44",IF(AE688&lt;=54,"45–54",IF(AE688&lt;=64,"55–64","65+"))))</x:f>
        <x:v>45–54</x:v>
      </x:c>
      <x:c r="AK688" s="17" t="str">
        <x:f>IF(AG688&gt;=1000,"High Value",IF(AG688&gt;=300,"Mid Value","Low Value"))</x:f>
        <x:v>High Value</x:v>
      </x:c>
      <x:c r="AL688" s="17" t="str">
        <x:f>IF(AND(AI688&gt;=1,I688&lt;=50),"Priority 1",IF(AND(AG688&gt;=1000,I688&lt;=60),"Priority 2",IF(I688&lt;=30,"Priority 3","Nurture")))</x:f>
        <x:v>Priority 2</x:v>
      </x:c>
    </x:row>
    <x:row r="689">
      <x:c r="A689" s="16" t="n">
        <x:v>7230</x:v>
      </x:c>
      <x:c r="B689" s="16" t="n">
        <x:v>1960</x:v>
      </x:c>
      <x:c r="C689" s="16" t="str">
        <x:v>PhD</x:v>
      </x:c>
      <x:c r="D689" s="16" t="str">
        <x:v>Divorced</x:v>
      </x:c>
      <x:c r="E689" s="16" t="n">
        <x:v>50611</x:v>
      </x:c>
      <x:c r="F689" s="16" t="n">
        <x:v>0</x:v>
      </x:c>
      <x:c r="G689" s="16" t="n">
        <x:v>1</x:v>
      </x:c>
      <x:c r="H689" s="16" t="str">
        <x:v>04-10-2012</x:v>
      </x:c>
      <x:c r="I689" s="16" t="n">
        <x:v>98</x:v>
      </x:c>
      <x:c r="J689" s="16" t="n">
        <x:v>459</x:v>
      </x:c>
      <x:c r="K689" s="16" t="n">
        <x:v>0</x:v>
      </x:c>
      <x:c r="L689" s="16" t="n">
        <x:v>24</x:v>
      </x:c>
      <x:c r="M689" s="16" t="n">
        <x:v>6</x:v>
      </x:c>
      <x:c r="N689" s="16" t="n">
        <x:v>0</x:v>
      </x:c>
      <x:c r="O689" s="16" t="n">
        <x:v>4</x:v>
      </x:c>
      <x:c r="P689" s="16" t="n">
        <x:v>6</x:v>
      </x:c>
      <x:c r="Q689" s="16" t="n">
        <x:v>4</x:v>
      </x:c>
      <x:c r="R689" s="16" t="n">
        <x:v>5</x:v>
      </x:c>
      <x:c r="S689" s="16" t="n">
        <x:v>7</x:v>
      </x:c>
      <x:c r="T689" s="16" t="n">
        <x:v>6</x:v>
      </x:c>
      <x:c r="U689" s="16" t="n">
        <x:v>0</x:v>
      </x:c>
      <x:c r="V689" s="16" t="n">
        <x:v>1</x:v>
      </x:c>
      <x:c r="W689" s="16" t="n">
        <x:v>0</x:v>
      </x:c>
      <x:c r="X689" s="16" t="n">
        <x:v>0</x:v>
      </x:c>
      <x:c r="Y689" s="16" t="n">
        <x:v>0</x:v>
      </x:c>
      <x:c r="Z689" s="16" t="n">
        <x:v>0</x:v>
      </x:c>
      <x:c r="AA689" s="16" t="n">
        <x:v>3</x:v>
      </x:c>
      <x:c r="AB689" s="16" t="n">
        <x:v>11</x:v>
      </x:c>
      <x:c r="AC689" s="16" t="n">
        <x:v>1</x:v>
      </x:c>
      <x:c r="AD689" s="21" t="n">
        <x:f>IF(E689="",MEDIAN($E$2:$E$2237),E689)</x:f>
        <x:v>50611</x:v>
      </x:c>
      <x:c r="AE689" s="17" t="n">
        <x:f>2014-B689</x:f>
        <x:v>54</x:v>
      </x:c>
      <x:c r="AF689" s="17" t="n">
        <x:f>F689+G689</x:f>
        <x:v>1</x:v>
      </x:c>
      <x:c r="AG689" s="21" t="n">
        <x:f>SUM(J689:O689)</x:f>
        <x:v>493</x:v>
      </x:c>
      <x:c r="AH689" s="17" t="n">
        <x:f>SUM(Q689:S689)</x:f>
        <x:v>16</x:v>
      </x:c>
      <x:c r="AI689" s="17" t="n">
        <x:f>SUM(U689:Y689)</x:f>
        <x:v>1</x:v>
      </x:c>
      <x:c r="AJ689" s="17" t="str">
        <x:f>IF(AE689&lt;=34,"≤34",IF(AE689&lt;=44,"35–44",IF(AE689&lt;=54,"45–54",IF(AE689&lt;=64,"55–64","65+"))))</x:f>
        <x:v>45–54</x:v>
      </x:c>
      <x:c r="AK689" s="17" t="str">
        <x:f>IF(AG689&gt;=1000,"High Value",IF(AG689&gt;=300,"Mid Value","Low Value"))</x:f>
        <x:v>Mid Value</x:v>
      </x:c>
      <x:c r="AL689" s="17" t="str">
        <x:f>IF(AND(AI689&gt;=1,I689&lt;=50),"Priority 1",IF(AND(AG689&gt;=1000,I689&lt;=60),"Priority 2",IF(I689&lt;=30,"Priority 3","Nurture")))</x:f>
        <x:v>Nurture</x:v>
      </x:c>
    </x:row>
    <x:row r="690">
      <x:c r="A690" s="16" t="n">
        <x:v>143</x:v>
      </x:c>
      <x:c r="B690" s="16" t="n">
        <x:v>1970</x:v>
      </x:c>
      <x:c r="C690" s="16" t="str">
        <x:v>Graduation</x:v>
      </x:c>
      <x:c r="D690" s="16" t="str">
        <x:v>Single</x:v>
      </x:c>
      <x:c r="E690" s="16" t="n">
        <x:v>61209</x:v>
      </x:c>
      <x:c r="F690" s="16" t="n">
        <x:v>0</x:v>
      </x:c>
      <x:c r="G690" s="16" t="n">
        <x:v>0</x:v>
      </x:c>
      <x:c r="H690" s="16" t="str">
        <x:v>25-08-2013</x:v>
      </x:c>
      <x:c r="I690" s="16" t="n">
        <x:v>73</x:v>
      </x:c>
      <x:c r="J690" s="16" t="n">
        <x:v>466</x:v>
      </x:c>
      <x:c r="K690" s="16" t="n">
        <x:v>0</x:v>
      </x:c>
      <x:c r="L690" s="16" t="n">
        <x:v>224</x:v>
      </x:c>
      <x:c r="M690" s="16" t="n">
        <x:v>119</x:v>
      </x:c>
      <x:c r="N690" s="16" t="n">
        <x:v>49</x:v>
      </x:c>
      <x:c r="O690" s="16" t="n">
        <x:v>99</x:v>
      </x:c>
      <x:c r="P690" s="16" t="n">
        <x:v>1</x:v>
      </x:c>
      <x:c r="Q690" s="16" t="n">
        <x:v>5</x:v>
      </x:c>
      <x:c r="R690" s="16" t="n">
        <x:v>3</x:v>
      </x:c>
      <x:c r="S690" s="16" t="n">
        <x:v>4</x:v>
      </x:c>
      <x:c r="T690" s="16" t="n">
        <x:v>2</x:v>
      </x:c>
      <x:c r="U690" s="16" t="n">
        <x:v>0</x:v>
      </x:c>
      <x:c r="V690" s="16" t="n">
        <x:v>0</x:v>
      </x:c>
      <x:c r="W690" s="16" t="n">
        <x:v>0</x:v>
      </x:c>
      <x:c r="X690" s="16" t="n">
        <x:v>0</x:v>
      </x:c>
      <x:c r="Y690" s="16" t="n">
        <x:v>0</x:v>
      </x:c>
      <x:c r="Z690" s="16" t="n">
        <x:v>0</x:v>
      </x:c>
      <x:c r="AA690" s="16" t="n">
        <x:v>3</x:v>
      </x:c>
      <x:c r="AB690" s="16" t="n">
        <x:v>11</x:v>
      </x:c>
      <x:c r="AC690" s="16" t="n">
        <x:v>0</x:v>
      </x:c>
      <x:c r="AD690" s="21" t="n">
        <x:f>IF(E690="",MEDIAN($E$2:$E$2237),E690)</x:f>
        <x:v>61209</x:v>
      </x:c>
      <x:c r="AE690" s="17" t="n">
        <x:f>2014-B690</x:f>
        <x:v>44</x:v>
      </x:c>
      <x:c r="AF690" s="17" t="n">
        <x:f>F690+G690</x:f>
        <x:v>0</x:v>
      </x:c>
      <x:c r="AG690" s="21" t="n">
        <x:f>SUM(J690:O690)</x:f>
        <x:v>957</x:v>
      </x:c>
      <x:c r="AH690" s="17" t="n">
        <x:f>SUM(Q690:S690)</x:f>
        <x:v>12</x:v>
      </x:c>
      <x:c r="AI690" s="17" t="n">
        <x:f>SUM(U690:Y690)</x:f>
        <x:v>0</x:v>
      </x:c>
      <x:c r="AJ690" s="17" t="str">
        <x:f>IF(AE690&lt;=34,"≤34",IF(AE690&lt;=44,"35–44",IF(AE690&lt;=54,"45–54",IF(AE690&lt;=64,"55–64","65+"))))</x:f>
        <x:v>35–44</x:v>
      </x:c>
      <x:c r="AK690" s="17" t="str">
        <x:f>IF(AG690&gt;=1000,"High Value",IF(AG690&gt;=300,"Mid Value","Low Value"))</x:f>
        <x:v>Mid Value</x:v>
      </x:c>
      <x:c r="AL690" s="17" t="str">
        <x:f>IF(AND(AI690&gt;=1,I690&lt;=50),"Priority 1",IF(AND(AG690&gt;=1000,I690&lt;=60),"Priority 2",IF(I690&lt;=30,"Priority 3","Nurture")))</x:f>
        <x:v>Nurture</x:v>
      </x:c>
    </x:row>
    <x:row r="691">
      <x:c r="A691" s="16" t="n">
        <x:v>450</x:v>
      </x:c>
      <x:c r="B691" s="16" t="n">
        <x:v>1958</x:v>
      </x:c>
      <x:c r="C691" s="16" t="str">
        <x:v>Master</x:v>
      </x:c>
      <x:c r="D691" s="16" t="str">
        <x:v>Together</x:v>
      </x:c>
      <x:c r="E691" s="16" t="n">
        <x:v>42315</x:v>
      </x:c>
      <x:c r="F691" s="16" t="n">
        <x:v>0</x:v>
      </x:c>
      <x:c r="G691" s="16" t="n">
        <x:v>1</x:v>
      </x:c>
      <x:c r="H691" s="16" t="str">
        <x:v>12-07-2013</x:v>
      </x:c>
      <x:c r="I691" s="16" t="n">
        <x:v>90</x:v>
      </x:c>
      <x:c r="J691" s="16" t="n">
        <x:v>67</x:v>
      </x:c>
      <x:c r="K691" s="16" t="n">
        <x:v>15</x:v>
      </x:c>
      <x:c r="L691" s="16" t="n">
        <x:v>80</x:v>
      </x:c>
      <x:c r="M691" s="16" t="n">
        <x:v>17</x:v>
      </x:c>
      <x:c r="N691" s="16" t="n">
        <x:v>11</x:v>
      </x:c>
      <x:c r="O691" s="16" t="n">
        <x:v>80</x:v>
      </x:c>
      <x:c r="P691" s="16" t="n">
        <x:v>3</x:v>
      </x:c>
      <x:c r="Q691" s="16" t="n">
        <x:v>1</x:v>
      </x:c>
      <x:c r="R691" s="16" t="n">
        <x:v>4</x:v>
      </x:c>
      <x:c r="S691" s="16" t="n">
        <x:v>4</x:v>
      </x:c>
      <x:c r="T691" s="16" t="n">
        <x:v>3</x:v>
      </x:c>
      <x:c r="U691" s="16" t="n">
        <x:v>0</x:v>
      </x:c>
      <x:c r="V691" s="16" t="n">
        <x:v>0</x:v>
      </x:c>
      <x:c r="W691" s="16" t="n">
        <x:v>0</x:v>
      </x:c>
      <x:c r="X691" s="16" t="n">
        <x:v>0</x:v>
      </x:c>
      <x:c r="Y691" s="16" t="n">
        <x:v>0</x:v>
      </x:c>
      <x:c r="Z691" s="16" t="n">
        <x:v>0</x:v>
      </x:c>
      <x:c r="AA691" s="16" t="n">
        <x:v>3</x:v>
      </x:c>
      <x:c r="AB691" s="16" t="n">
        <x:v>11</x:v>
      </x:c>
      <x:c r="AC691" s="16" t="n">
        <x:v>0</x:v>
      </x:c>
      <x:c r="AD691" s="21" t="n">
        <x:f>IF(E691="",MEDIAN($E$2:$E$2237),E691)</x:f>
        <x:v>42315</x:v>
      </x:c>
      <x:c r="AE691" s="17" t="n">
        <x:f>2014-B691</x:f>
        <x:v>56</x:v>
      </x:c>
      <x:c r="AF691" s="17" t="n">
        <x:f>F691+G691</x:f>
        <x:v>1</x:v>
      </x:c>
      <x:c r="AG691" s="21" t="n">
        <x:f>SUM(J691:O691)</x:f>
        <x:v>270</x:v>
      </x:c>
      <x:c r="AH691" s="17" t="n">
        <x:f>SUM(Q691:S691)</x:f>
        <x:v>9</x:v>
      </x:c>
      <x:c r="AI691" s="17" t="n">
        <x:f>SUM(U691:Y691)</x:f>
        <x:v>0</x:v>
      </x:c>
      <x:c r="AJ691" s="17" t="str">
        <x:f>IF(AE691&lt;=34,"≤34",IF(AE691&lt;=44,"35–44",IF(AE691&lt;=54,"45–54",IF(AE691&lt;=64,"55–64","65+"))))</x:f>
        <x:v>55–64</x:v>
      </x:c>
      <x:c r="AK691" s="17" t="str">
        <x:f>IF(AG691&gt;=1000,"High Value",IF(AG691&gt;=300,"Mid Value","Low Value"))</x:f>
        <x:v>Low Value</x:v>
      </x:c>
      <x:c r="AL691" s="17" t="str">
        <x:f>IF(AND(AI691&gt;=1,I691&lt;=50),"Priority 1",IF(AND(AG691&gt;=1000,I691&lt;=60),"Priority 2",IF(I691&lt;=30,"Priority 3","Nurture")))</x:f>
        <x:v>Nurture</x:v>
      </x:c>
    </x:row>
    <x:row r="692">
      <x:c r="A692" s="16" t="n">
        <x:v>9316</x:v>
      </x:c>
      <x:c r="B692" s="16" t="n">
        <x:v>1952</x:v>
      </x:c>
      <x:c r="C692" s="16" t="str">
        <x:v>Basic</x:v>
      </x:c>
      <x:c r="D692" s="16" t="str">
        <x:v>Together</x:v>
      </x:c>
      <x:c r="E692" s="16" t="n">
        <x:v>13084</x:v>
      </x:c>
      <x:c r="F692" s="16" t="n">
        <x:v>0</x:v>
      </x:c>
      <x:c r="G692" s="16" t="n">
        <x:v>0</x:v>
      </x:c>
      <x:c r="H692" s="16" t="str">
        <x:v>02-11-2013</x:v>
      </x:c>
      <x:c r="I692" s="16" t="n">
        <x:v>29</x:v>
      </x:c>
      <x:c r="J692" s="16" t="n">
        <x:v>2</x:v>
      </x:c>
      <x:c r="K692" s="16" t="n">
        <x:v>0</x:v>
      </x:c>
      <x:c r="L692" s="16" t="n">
        <x:v>7</x:v>
      </x:c>
      <x:c r="M692" s="16" t="n">
        <x:v>3</x:v>
      </x:c>
      <x:c r="N692" s="16" t="n">
        <x:v>7</x:v>
      </x:c>
      <x:c r="O692" s="16" t="n">
        <x:v>10</x:v>
      </x:c>
      <x:c r="P692" s="16" t="n">
        <x:v>1</x:v>
      </x:c>
      <x:c r="Q692" s="16" t="n">
        <x:v>1</x:v>
      </x:c>
      <x:c r="R692" s="16" t="n">
        <x:v>0</x:v>
      </x:c>
      <x:c r="S692" s="16" t="n">
        <x:v>3</x:v>
      </x:c>
      <x:c r="T692" s="16" t="n">
        <x:v>6</x:v>
      </x:c>
      <x:c r="U692" s="16" t="n">
        <x:v>0</x:v>
      </x:c>
      <x:c r="V692" s="16" t="n">
        <x:v>0</x:v>
      </x:c>
      <x:c r="W692" s="16" t="n">
        <x:v>0</x:v>
      </x:c>
      <x:c r="X692" s="16" t="n">
        <x:v>0</x:v>
      </x:c>
      <x:c r="Y692" s="16" t="n">
        <x:v>0</x:v>
      </x:c>
      <x:c r="Z692" s="16" t="n">
        <x:v>0</x:v>
      </x:c>
      <x:c r="AA692" s="16" t="n">
        <x:v>3</x:v>
      </x:c>
      <x:c r="AB692" s="16" t="n">
        <x:v>11</x:v>
      </x:c>
      <x:c r="AC692" s="16" t="n">
        <x:v>0</x:v>
      </x:c>
      <x:c r="AD692" s="21" t="n">
        <x:f>IF(E692="",MEDIAN($E$2:$E$2237),E692)</x:f>
        <x:v>13084</x:v>
      </x:c>
      <x:c r="AE692" s="17" t="n">
        <x:f>2014-B692</x:f>
        <x:v>62</x:v>
      </x:c>
      <x:c r="AF692" s="17" t="n">
        <x:f>F692+G692</x:f>
        <x:v>0</x:v>
      </x:c>
      <x:c r="AG692" s="21" t="n">
        <x:f>SUM(J692:O692)</x:f>
        <x:v>29</x:v>
      </x:c>
      <x:c r="AH692" s="17" t="n">
        <x:f>SUM(Q692:S692)</x:f>
        <x:v>4</x:v>
      </x:c>
      <x:c r="AI692" s="17" t="n">
        <x:f>SUM(U692:Y692)</x:f>
        <x:v>0</x:v>
      </x:c>
      <x:c r="AJ692" s="17" t="str">
        <x:f>IF(AE692&lt;=34,"≤34",IF(AE692&lt;=44,"35–44",IF(AE692&lt;=54,"45–54",IF(AE692&lt;=64,"55–64","65+"))))</x:f>
        <x:v>55–64</x:v>
      </x:c>
      <x:c r="AK692" s="17" t="str">
        <x:f>IF(AG692&gt;=1000,"High Value",IF(AG692&gt;=300,"Mid Value","Low Value"))</x:f>
        <x:v>Low Value</x:v>
      </x:c>
      <x:c r="AL692" s="17" t="str">
        <x:f>IF(AND(AI692&gt;=1,I692&lt;=50),"Priority 1",IF(AND(AG692&gt;=1000,I692&lt;=60),"Priority 2",IF(I692&lt;=30,"Priority 3","Nurture")))</x:f>
        <x:v>Priority 3</x:v>
      </x:c>
    </x:row>
    <x:row r="693">
      <x:c r="A693" s="16" t="n">
        <x:v>6379</x:v>
      </x:c>
      <x:c r="B693" s="16" t="n">
        <x:v>1949</x:v>
      </x:c>
      <x:c r="C693" s="16" t="str">
        <x:v>Master</x:v>
      </x:c>
      <x:c r="D693" s="16" t="str">
        <x:v>Widow</x:v>
      </x:c>
      <x:c r="E693" s="16" t="n">
        <x:v>47570</x:v>
      </x:c>
      <x:c r="F693" s="16" t="n">
        <x:v>1</x:v>
      </x:c>
      <x:c r="G693" s="16" t="n">
        <x:v>1</x:v>
      </x:c>
      <x:c r="H693" s="16" t="str">
        <x:v>29-05-2013</x:v>
      </x:c>
      <x:c r="I693" s="16" t="n">
        <x:v>3</x:v>
      </x:c>
      <x:c r="J693" s="16" t="n">
        <x:v>67</x:v>
      </x:c>
      <x:c r="K693" s="16" t="n">
        <x:v>1</x:v>
      </x:c>
      <x:c r="L693" s="16" t="n">
        <x:v>20</x:v>
      </x:c>
      <x:c r="M693" s="16" t="n">
        <x:v>0</x:v>
      </x:c>
      <x:c r="N693" s="16" t="n">
        <x:v>2</x:v>
      </x:c>
      <x:c r="O693" s="16" t="n">
        <x:v>31</x:v>
      </x:c>
      <x:c r="P693" s="16" t="n">
        <x:v>3</x:v>
      </x:c>
      <x:c r="Q693" s="16" t="n">
        <x:v>2</x:v>
      </x:c>
      <x:c r="R693" s="16" t="n">
        <x:v>2</x:v>
      </x:c>
      <x:c r="S693" s="16" t="n">
        <x:v>2</x:v>
      </x:c>
      <x:c r="T693" s="16" t="n">
        <x:v>7</x:v>
      </x:c>
      <x:c r="U693" s="16" t="n">
        <x:v>0</x:v>
      </x:c>
      <x:c r="V693" s="16" t="n">
        <x:v>0</x:v>
      </x:c>
      <x:c r="W693" s="16" t="n">
        <x:v>0</x:v>
      </x:c>
      <x:c r="X693" s="16" t="n">
        <x:v>0</x:v>
      </x:c>
      <x:c r="Y693" s="16" t="n">
        <x:v>0</x:v>
      </x:c>
      <x:c r="Z693" s="16" t="n">
        <x:v>0</x:v>
      </x:c>
      <x:c r="AA693" s="16" t="n">
        <x:v>3</x:v>
      </x:c>
      <x:c r="AB693" s="16" t="n">
        <x:v>11</x:v>
      </x:c>
      <x:c r="AC693" s="16" t="n">
        <x:v>1</x:v>
      </x:c>
      <x:c r="AD693" s="21" t="n">
        <x:f>IF(E693="",MEDIAN($E$2:$E$2237),E693)</x:f>
        <x:v>47570</x:v>
      </x:c>
      <x:c r="AE693" s="17" t="n">
        <x:f>2014-B693</x:f>
        <x:v>65</x:v>
      </x:c>
      <x:c r="AF693" s="17" t="n">
        <x:f>F693+G693</x:f>
        <x:v>2</x:v>
      </x:c>
      <x:c r="AG693" s="21" t="n">
        <x:f>SUM(J693:O693)</x:f>
        <x:v>121</x:v>
      </x:c>
      <x:c r="AH693" s="17" t="n">
        <x:f>SUM(Q693:S693)</x:f>
        <x:v>6</x:v>
      </x:c>
      <x:c r="AI693" s="17" t="n">
        <x:f>SUM(U693:Y693)</x:f>
        <x:v>0</x:v>
      </x:c>
      <x:c r="AJ693" s="17" t="str">
        <x:f>IF(AE693&lt;=34,"≤34",IF(AE693&lt;=44,"35–44",IF(AE693&lt;=54,"45–54",IF(AE693&lt;=64,"55–64","65+"))))</x:f>
        <x:v>65+</x:v>
      </x:c>
      <x:c r="AK693" s="17" t="str">
        <x:f>IF(AG693&gt;=1000,"High Value",IF(AG693&gt;=300,"Mid Value","Low Value"))</x:f>
        <x:v>Low Value</x:v>
      </x:c>
      <x:c r="AL693" s="17" t="str">
        <x:f>IF(AND(AI693&gt;=1,I693&lt;=50),"Priority 1",IF(AND(AG693&gt;=1000,I693&lt;=60),"Priority 2",IF(I693&lt;=30,"Priority 3","Nurture")))</x:f>
        <x:v>Priority 3</x:v>
      </x:c>
    </x:row>
    <x:row r="694">
      <x:c r="A694" s="16" t="n">
        <x:v>9239</x:v>
      </x:c>
      <x:c r="B694" s="16" t="n">
        <x:v>1961</x:v>
      </x:c>
      <x:c r="C694" s="16" t="str">
        <x:v>Master</x:v>
      </x:c>
      <x:c r="D694" s="16" t="str">
        <x:v>Married</x:v>
      </x:c>
      <x:c r="E694" s="16" t="n">
        <x:v>61923</x:v>
      </x:c>
      <x:c r="F694" s="16" t="n">
        <x:v>0</x:v>
      </x:c>
      <x:c r="G694" s="16" t="n">
        <x:v>2</x:v>
      </x:c>
      <x:c r="H694" s="16" t="str">
        <x:v>26-07-2013</x:v>
      </x:c>
      <x:c r="I694" s="16" t="n">
        <x:v>94</x:v>
      </x:c>
      <x:c r="J694" s="16" t="n">
        <x:v>92</x:v>
      </x:c>
      <x:c r="K694" s="16" t="n">
        <x:v>4</x:v>
      </x:c>
      <x:c r="L694" s="16" t="n">
        <x:v>18</x:v>
      </x:c>
      <x:c r="M694" s="16" t="n">
        <x:v>3</x:v>
      </x:c>
      <x:c r="N694" s="16" t="n">
        <x:v>3</x:v>
      </x:c>
      <x:c r="O694" s="16" t="n">
        <x:v>6</x:v>
      </x:c>
      <x:c r="P694" s="16" t="n">
        <x:v>1</x:v>
      </x:c>
      <x:c r="Q694" s="16" t="n">
        <x:v>2</x:v>
      </x:c>
      <x:c r="R694" s="16" t="n">
        <x:v>1</x:v>
      </x:c>
      <x:c r="S694" s="16" t="n">
        <x:v>4</x:v>
      </x:c>
      <x:c r="T694" s="16" t="n">
        <x:v>3</x:v>
      </x:c>
      <x:c r="U694" s="16" t="n">
        <x:v>0</x:v>
      </x:c>
      <x:c r="V694" s="16" t="n">
        <x:v>0</x:v>
      </x:c>
      <x:c r="W694" s="16" t="n">
        <x:v>0</x:v>
      </x:c>
      <x:c r="X694" s="16" t="n">
        <x:v>0</x:v>
      </x:c>
      <x:c r="Y694" s="16" t="n">
        <x:v>0</x:v>
      </x:c>
      <x:c r="Z694" s="16" t="n">
        <x:v>0</x:v>
      </x:c>
      <x:c r="AA694" s="16" t="n">
        <x:v>3</x:v>
      </x:c>
      <x:c r="AB694" s="16" t="n">
        <x:v>11</x:v>
      </x:c>
      <x:c r="AC694" s="16" t="n">
        <x:v>0</x:v>
      </x:c>
      <x:c r="AD694" s="21" t="n">
        <x:f>IF(E694="",MEDIAN($E$2:$E$2237),E694)</x:f>
        <x:v>61923</x:v>
      </x:c>
      <x:c r="AE694" s="17" t="n">
        <x:f>2014-B694</x:f>
        <x:v>53</x:v>
      </x:c>
      <x:c r="AF694" s="17" t="n">
        <x:f>F694+G694</x:f>
        <x:v>2</x:v>
      </x:c>
      <x:c r="AG694" s="21" t="n">
        <x:f>SUM(J694:O694)</x:f>
        <x:v>126</x:v>
      </x:c>
      <x:c r="AH694" s="17" t="n">
        <x:f>SUM(Q694:S694)</x:f>
        <x:v>7</x:v>
      </x:c>
      <x:c r="AI694" s="17" t="n">
        <x:f>SUM(U694:Y694)</x:f>
        <x:v>0</x:v>
      </x:c>
      <x:c r="AJ694" s="17" t="str">
        <x:f>IF(AE694&lt;=34,"≤34",IF(AE694&lt;=44,"35–44",IF(AE694&lt;=54,"45–54",IF(AE694&lt;=64,"55–64","65+"))))</x:f>
        <x:v>45–54</x:v>
      </x:c>
      <x:c r="AK694" s="17" t="str">
        <x:f>IF(AG694&gt;=1000,"High Value",IF(AG694&gt;=300,"Mid Value","Low Value"))</x:f>
        <x:v>Low Value</x:v>
      </x:c>
      <x:c r="AL694" s="17" t="str">
        <x:f>IF(AND(AI694&gt;=1,I694&lt;=50),"Priority 1",IF(AND(AG694&gt;=1000,I694&lt;=60),"Priority 2",IF(I694&lt;=30,"Priority 3","Nurture")))</x:f>
        <x:v>Nurture</x:v>
      </x:c>
    </x:row>
    <x:row r="695">
      <x:c r="A695" s="16" t="n">
        <x:v>8315</x:v>
      </x:c>
      <x:c r="B695" s="16" t="n">
        <x:v>1995</x:v>
      </x:c>
      <x:c r="C695" s="16" t="str">
        <x:v>Graduation</x:v>
      </x:c>
      <x:c r="D695" s="16" t="str">
        <x:v>Single</x:v>
      </x:c>
      <x:c r="E695" s="16" t="n">
        <x:v>34824</x:v>
      </x:c>
      <x:c r="F695" s="16" t="n">
        <x:v>0</x:v>
      </x:c>
      <x:c r="G695" s="16" t="n">
        <x:v>0</x:v>
      </x:c>
      <x:c r="H695" s="16" t="str">
        <x:v>26-03-2014</x:v>
      </x:c>
      <x:c r="I695" s="16" t="n">
        <x:v>65</x:v>
      </x:c>
      <x:c r="J695" s="16" t="n">
        <x:v>4</x:v>
      </x:c>
      <x:c r="K695" s="16" t="n">
        <x:v>2</x:v>
      </x:c>
      <x:c r="L695" s="16" t="n">
        <x:v>11</x:v>
      </x:c>
      <x:c r="M695" s="16" t="n">
        <x:v>2</x:v>
      </x:c>
      <x:c r="N695" s="16" t="n">
        <x:v>0</x:v>
      </x:c>
      <x:c r="O695" s="16" t="n">
        <x:v>4</x:v>
      </x:c>
      <x:c r="P695" s="16" t="n">
        <x:v>1</x:v>
      </x:c>
      <x:c r="Q695" s="16" t="n">
        <x:v>1</x:v>
      </x:c>
      <x:c r="R695" s="16" t="n">
        <x:v>0</x:v>
      </x:c>
      <x:c r="S695" s="16" t="n">
        <x:v>2</x:v>
      </x:c>
      <x:c r="T695" s="16" t="n">
        <x:v>6</x:v>
      </x:c>
      <x:c r="U695" s="16" t="n">
        <x:v>0</x:v>
      </x:c>
      <x:c r="V695" s="16" t="n">
        <x:v>0</x:v>
      </x:c>
      <x:c r="W695" s="16" t="n">
        <x:v>0</x:v>
      </x:c>
      <x:c r="X695" s="16" t="n">
        <x:v>0</x:v>
      </x:c>
      <x:c r="Y695" s="16" t="n">
        <x:v>0</x:v>
      </x:c>
      <x:c r="Z695" s="16" t="n">
        <x:v>0</x:v>
      </x:c>
      <x:c r="AA695" s="16" t="n">
        <x:v>3</x:v>
      </x:c>
      <x:c r="AB695" s="16" t="n">
        <x:v>11</x:v>
      </x:c>
      <x:c r="AC695" s="16" t="n">
        <x:v>0</x:v>
      </x:c>
      <x:c r="AD695" s="21" t="n">
        <x:f>IF(E695="",MEDIAN($E$2:$E$2237),E695)</x:f>
        <x:v>34824</x:v>
      </x:c>
      <x:c r="AE695" s="17" t="n">
        <x:f>2014-B695</x:f>
        <x:v>19</x:v>
      </x:c>
      <x:c r="AF695" s="17" t="n">
        <x:f>F695+G695</x:f>
        <x:v>0</x:v>
      </x:c>
      <x:c r="AG695" s="21" t="n">
        <x:f>SUM(J695:O695)</x:f>
        <x:v>23</x:v>
      </x:c>
      <x:c r="AH695" s="17" t="n">
        <x:f>SUM(Q695:S695)</x:f>
        <x:v>3</x:v>
      </x:c>
      <x:c r="AI695" s="17" t="n">
        <x:f>SUM(U695:Y695)</x:f>
        <x:v>0</x:v>
      </x:c>
      <x:c r="AJ695" s="17" t="str">
        <x:f>IF(AE695&lt;=34,"≤34",IF(AE695&lt;=44,"35–44",IF(AE695&lt;=54,"45–54",IF(AE695&lt;=64,"55–64","65+"))))</x:f>
        <x:v>≤34</x:v>
      </x:c>
      <x:c r="AK695" s="17" t="str">
        <x:f>IF(AG695&gt;=1000,"High Value",IF(AG695&gt;=300,"Mid Value","Low Value"))</x:f>
        <x:v>Low Value</x:v>
      </x:c>
      <x:c r="AL695" s="17" t="str">
        <x:f>IF(AND(AI695&gt;=1,I695&lt;=50),"Priority 1",IF(AND(AG695&gt;=1000,I695&lt;=60),"Priority 2",IF(I695&lt;=30,"Priority 3","Nurture")))</x:f>
        <x:v>Nurture</x:v>
      </x:c>
    </x:row>
    <x:row r="696">
      <x:c r="A696" s="16" t="n">
        <x:v>2868</x:v>
      </x:c>
      <x:c r="B696" s="16" t="n">
        <x:v>1949</x:v>
      </x:c>
      <x:c r="C696" s="16" t="str">
        <x:v>PhD</x:v>
      </x:c>
      <x:c r="D696" s="16" t="str">
        <x:v>Single</x:v>
      </x:c>
      <x:c r="E696" s="16" t="n">
        <x:v>26518</x:v>
      </x:c>
      <x:c r="F696" s="16" t="n">
        <x:v>1</x:v>
      </x:c>
      <x:c r="G696" s="16" t="n">
        <x:v>1</x:v>
      </x:c>
      <x:c r="H696" s="16" t="str">
        <x:v>08-04-2013</x:v>
      </x:c>
      <x:c r="I696" s="16" t="n">
        <x:v>33</x:v>
      </x:c>
      <x:c r="J696" s="16" t="n">
        <x:v>20</x:v>
      </x:c>
      <x:c r="K696" s="16" t="n">
        <x:v>1</x:v>
      </x:c>
      <x:c r="L696" s="16" t="n">
        <x:v>28</x:v>
      </x:c>
      <x:c r="M696" s="16" t="n">
        <x:v>3</x:v>
      </x:c>
      <x:c r="N696" s="16" t="n">
        <x:v>3</x:v>
      </x:c>
      <x:c r="O696" s="16" t="n">
        <x:v>2</x:v>
      </x:c>
      <x:c r="P696" s="16" t="n">
        <x:v>3</x:v>
      </x:c>
      <x:c r="Q696" s="16" t="n">
        <x:v>2</x:v>
      </x:c>
      <x:c r="R696" s="16" t="n">
        <x:v>0</x:v>
      </x:c>
      <x:c r="S696" s="16" t="n">
        <x:v>3</x:v>
      </x:c>
      <x:c r="T696" s="16" t="n">
        <x:v>8</x:v>
      </x:c>
      <x:c r="U696" s="16" t="n">
        <x:v>0</x:v>
      </x:c>
      <x:c r="V696" s="16" t="n">
        <x:v>0</x:v>
      </x:c>
      <x:c r="W696" s="16" t="n">
        <x:v>0</x:v>
      </x:c>
      <x:c r="X696" s="16" t="n">
        <x:v>0</x:v>
      </x:c>
      <x:c r="Y696" s="16" t="n">
        <x:v>0</x:v>
      </x:c>
      <x:c r="Z696" s="16" t="n">
        <x:v>0</x:v>
      </x:c>
      <x:c r="AA696" s="16" t="n">
        <x:v>3</x:v>
      </x:c>
      <x:c r="AB696" s="16" t="n">
        <x:v>11</x:v>
      </x:c>
      <x:c r="AC696" s="16" t="n">
        <x:v>1</x:v>
      </x:c>
      <x:c r="AD696" s="21" t="n">
        <x:f>IF(E696="",MEDIAN($E$2:$E$2237),E696)</x:f>
        <x:v>26518</x:v>
      </x:c>
      <x:c r="AE696" s="17" t="n">
        <x:f>2014-B696</x:f>
        <x:v>65</x:v>
      </x:c>
      <x:c r="AF696" s="17" t="n">
        <x:f>F696+G696</x:f>
        <x:v>2</x:v>
      </x:c>
      <x:c r="AG696" s="21" t="n">
        <x:f>SUM(J696:O696)</x:f>
        <x:v>57</x:v>
      </x:c>
      <x:c r="AH696" s="17" t="n">
        <x:f>SUM(Q696:S696)</x:f>
        <x:v>5</x:v>
      </x:c>
      <x:c r="AI696" s="17" t="n">
        <x:f>SUM(U696:Y696)</x:f>
        <x:v>0</x:v>
      </x:c>
      <x:c r="AJ696" s="17" t="str">
        <x:f>IF(AE696&lt;=34,"≤34",IF(AE696&lt;=44,"35–44",IF(AE696&lt;=54,"45–54",IF(AE696&lt;=64,"55–64","65+"))))</x:f>
        <x:v>65+</x:v>
      </x:c>
      <x:c r="AK696" s="17" t="str">
        <x:f>IF(AG696&gt;=1000,"High Value",IF(AG696&gt;=300,"Mid Value","Low Value"))</x:f>
        <x:v>Low Value</x:v>
      </x:c>
      <x:c r="AL696" s="17" t="str">
        <x:f>IF(AND(AI696&gt;=1,I696&lt;=50),"Priority 1",IF(AND(AG696&gt;=1000,I696&lt;=60),"Priority 2",IF(I696&lt;=30,"Priority 3","Nurture")))</x:f>
        <x:v>Nurture</x:v>
      </x:c>
    </x:row>
    <x:row r="697">
      <x:c r="A697" s="16" t="n">
        <x:v>10888</x:v>
      </x:c>
      <x:c r="B697" s="16" t="n">
        <x:v>1961</x:v>
      </x:c>
      <x:c r="C697" s="16" t="str">
        <x:v>Graduation</x:v>
      </x:c>
      <x:c r="D697" s="16" t="str">
        <x:v>Single</x:v>
      </x:c>
      <x:c r="E697" s="16" t="n">
        <x:v>45938</x:v>
      </x:c>
      <x:c r="F697" s="16" t="n">
        <x:v>0</x:v>
      </x:c>
      <x:c r="G697" s="16" t="n">
        <x:v>0</x:v>
      </x:c>
      <x:c r="H697" s="16" t="str">
        <x:v>03-11-2013</x:v>
      </x:c>
      <x:c r="I697" s="16" t="n">
        <x:v>46</x:v>
      </x:c>
      <x:c r="J697" s="16" t="n">
        <x:v>273</x:v>
      </x:c>
      <x:c r="K697" s="16" t="n">
        <x:v>11</x:v>
      </x:c>
      <x:c r="L697" s="16" t="n">
        <x:v>178</x:v>
      </x:c>
      <x:c r="M697" s="16" t="n">
        <x:v>62</x:v>
      </x:c>
      <x:c r="N697" s="16" t="n">
        <x:v>83</x:v>
      </x:c>
      <x:c r="O697" s="16" t="n">
        <x:v>29</x:v>
      </x:c>
      <x:c r="P697" s="16" t="n">
        <x:v>2</x:v>
      </x:c>
      <x:c r="Q697" s="16" t="n">
        <x:v>8</x:v>
      </x:c>
      <x:c r="R697" s="16" t="n">
        <x:v>4</x:v>
      </x:c>
      <x:c r="S697" s="16" t="n">
        <x:v>6</x:v>
      </x:c>
      <x:c r="T697" s="16" t="n">
        <x:v>6</x:v>
      </x:c>
      <x:c r="U697" s="16" t="n">
        <x:v>0</x:v>
      </x:c>
      <x:c r="V697" s="16" t="n">
        <x:v>0</x:v>
      </x:c>
      <x:c r="W697" s="16" t="n">
        <x:v>0</x:v>
      </x:c>
      <x:c r="X697" s="16" t="n">
        <x:v>0</x:v>
      </x:c>
      <x:c r="Y697" s="16" t="n">
        <x:v>0</x:v>
      </x:c>
      <x:c r="Z697" s="16" t="n">
        <x:v>0</x:v>
      </x:c>
      <x:c r="AA697" s="16" t="n">
        <x:v>3</x:v>
      </x:c>
      <x:c r="AB697" s="16" t="n">
        <x:v>11</x:v>
      </x:c>
      <x:c r="AC697" s="16" t="n">
        <x:v>0</x:v>
      </x:c>
      <x:c r="AD697" s="21" t="n">
        <x:f>IF(E697="",MEDIAN($E$2:$E$2237),E697)</x:f>
        <x:v>45938</x:v>
      </x:c>
      <x:c r="AE697" s="17" t="n">
        <x:f>2014-B697</x:f>
        <x:v>53</x:v>
      </x:c>
      <x:c r="AF697" s="17" t="n">
        <x:f>F697+G697</x:f>
        <x:v>0</x:v>
      </x:c>
      <x:c r="AG697" s="21" t="n">
        <x:f>SUM(J697:O697)</x:f>
        <x:v>636</x:v>
      </x:c>
      <x:c r="AH697" s="17" t="n">
        <x:f>SUM(Q697:S697)</x:f>
        <x:v>18</x:v>
      </x:c>
      <x:c r="AI697" s="17" t="n">
        <x:f>SUM(U697:Y697)</x:f>
        <x:v>0</x:v>
      </x:c>
      <x:c r="AJ697" s="17" t="str">
        <x:f>IF(AE697&lt;=34,"≤34",IF(AE697&lt;=44,"35–44",IF(AE697&lt;=54,"45–54",IF(AE697&lt;=64,"55–64","65+"))))</x:f>
        <x:v>45–54</x:v>
      </x:c>
      <x:c r="AK697" s="17" t="str">
        <x:f>IF(AG697&gt;=1000,"High Value",IF(AG697&gt;=300,"Mid Value","Low Value"))</x:f>
        <x:v>Mid Value</x:v>
      </x:c>
      <x:c r="AL697" s="17" t="str">
        <x:f>IF(AND(AI697&gt;=1,I697&lt;=50),"Priority 1",IF(AND(AG697&gt;=1000,I697&lt;=60),"Priority 2",IF(I697&lt;=30,"Priority 3","Nurture")))</x:f>
        <x:v>Nurture</x:v>
      </x:c>
    </x:row>
    <x:row r="698">
      <x:c r="A698" s="16" t="n">
        <x:v>1277</x:v>
      </x:c>
      <x:c r="B698" s="16" t="n">
        <x:v>1960</x:v>
      </x:c>
      <x:c r="C698" s="16" t="str">
        <x:v>Graduation</x:v>
      </x:c>
      <x:c r="D698" s="16" t="str">
        <x:v>Together</x:v>
      </x:c>
      <x:c r="E698" s="16" t="n">
        <x:v>78468</x:v>
      </x:c>
      <x:c r="F698" s="16" t="n">
        <x:v>0</x:v>
      </x:c>
      <x:c r="G698" s="16" t="n">
        <x:v>0</x:v>
      </x:c>
      <x:c r="H698" s="16" t="str">
        <x:v>09-04-2014</x:v>
      </x:c>
      <x:c r="I698" s="16" t="n">
        <x:v>29</x:v>
      </x:c>
      <x:c r="J698" s="16" t="n">
        <x:v>434</x:v>
      </x:c>
      <x:c r="K698" s="16" t="n">
        <x:v>22</x:v>
      </x:c>
      <x:c r="L698" s="16" t="n">
        <x:v>388</x:v>
      </x:c>
      <x:c r="M698" s="16" t="n">
        <x:v>104</x:v>
      </x:c>
      <x:c r="N698" s="16" t="n">
        <x:v>22</x:v>
      </x:c>
      <x:c r="O698" s="16" t="n">
        <x:v>34</x:v>
      </x:c>
      <x:c r="P698" s="16" t="n">
        <x:v>1</x:v>
      </x:c>
      <x:c r="Q698" s="16" t="n">
        <x:v>10</x:v>
      </x:c>
      <x:c r="R698" s="16" t="n">
        <x:v>7</x:v>
      </x:c>
      <x:c r="S698" s="16" t="n">
        <x:v>10</x:v>
      </x:c>
      <x:c r="T698" s="16" t="n">
        <x:v>4</x:v>
      </x:c>
      <x:c r="U698" s="16" t="n">
        <x:v>0</x:v>
      </x:c>
      <x:c r="V698" s="16" t="n">
        <x:v>0</x:v>
      </x:c>
      <x:c r="W698" s="16" t="n">
        <x:v>0</x:v>
      </x:c>
      <x:c r="X698" s="16" t="n">
        <x:v>1</x:v>
      </x:c>
      <x:c r="Y698" s="16" t="n">
        <x:v>0</x:v>
      </x:c>
      <x:c r="Z698" s="16" t="n">
        <x:v>0</x:v>
      </x:c>
      <x:c r="AA698" s="16" t="n">
        <x:v>3</x:v>
      </x:c>
      <x:c r="AB698" s="16" t="n">
        <x:v>11</x:v>
      </x:c>
      <x:c r="AC698" s="16" t="n">
        <x:v>0</x:v>
      </x:c>
      <x:c r="AD698" s="21" t="n">
        <x:f>IF(E698="",MEDIAN($E$2:$E$2237),E698)</x:f>
        <x:v>78468</x:v>
      </x:c>
      <x:c r="AE698" s="17" t="n">
        <x:f>2014-B698</x:f>
        <x:v>54</x:v>
      </x:c>
      <x:c r="AF698" s="17" t="n">
        <x:f>F698+G698</x:f>
        <x:v>0</x:v>
      </x:c>
      <x:c r="AG698" s="21" t="n">
        <x:f>SUM(J698:O698)</x:f>
        <x:v>1004</x:v>
      </x:c>
      <x:c r="AH698" s="17" t="n">
        <x:f>SUM(Q698:S698)</x:f>
        <x:v>27</x:v>
      </x:c>
      <x:c r="AI698" s="17" t="n">
        <x:f>SUM(U698:Y698)</x:f>
        <x:v>1</x:v>
      </x:c>
      <x:c r="AJ698" s="17" t="str">
        <x:f>IF(AE698&lt;=34,"≤34",IF(AE698&lt;=44,"35–44",IF(AE698&lt;=54,"45–54",IF(AE698&lt;=64,"55–64","65+"))))</x:f>
        <x:v>45–54</x:v>
      </x:c>
      <x:c r="AK698" s="17" t="str">
        <x:f>IF(AG698&gt;=1000,"High Value",IF(AG698&gt;=300,"Mid Value","Low Value"))</x:f>
        <x:v>High Value</x:v>
      </x:c>
      <x:c r="AL698" s="17" t="str">
        <x:f>IF(AND(AI698&gt;=1,I698&lt;=50),"Priority 1",IF(AND(AG698&gt;=1000,I698&lt;=60),"Priority 2",IF(I698&lt;=30,"Priority 3","Nurture")))</x:f>
        <x:v>Priority 1</x:v>
      </x:c>
    </x:row>
    <x:row r="699">
      <x:c r="A699" s="16" t="n">
        <x:v>9977</x:v>
      </x:c>
      <x:c r="B699" s="16" t="n">
        <x:v>1973</x:v>
      </x:c>
      <x:c r="C699" s="16" t="str">
        <x:v>Graduation</x:v>
      </x:c>
      <x:c r="D699" s="16" t="str">
        <x:v>Divorced</x:v>
      </x:c>
      <x:c r="E699" s="16" t="n">
        <x:v>78901</x:v>
      </x:c>
      <x:c r="F699" s="16" t="n">
        <x:v>0</x:v>
      </x:c>
      <x:c r="G699" s="16" t="n">
        <x:v>1</x:v>
      </x:c>
      <x:c r="H699" s="16" t="str">
        <x:v>17-09-2013</x:v>
      </x:c>
      <x:c r="I699" s="16" t="n">
        <x:v>99</x:v>
      </x:c>
      <x:c r="J699" s="16" t="n">
        <x:v>321</x:v>
      </x:c>
      <x:c r="K699" s="16" t="n">
        <x:v>11</x:v>
      </x:c>
      <x:c r="L699" s="16" t="n">
        <x:v>309</x:v>
      </x:c>
      <x:c r="M699" s="16" t="n">
        <x:v>33</x:v>
      </x:c>
      <x:c r="N699" s="16" t="n">
        <x:v>26</x:v>
      </x:c>
      <x:c r="O699" s="16" t="n">
        <x:v>34</x:v>
      </x:c>
      <x:c r="P699" s="16" t="n">
        <x:v>3</x:v>
      </x:c>
      <x:c r="Q699" s="16" t="n">
        <x:v>9</x:v>
      </x:c>
      <x:c r="R699" s="16" t="n">
        <x:v>3</x:v>
      </x:c>
      <x:c r="S699" s="16" t="n">
        <x:v>5</x:v>
      </x:c>
      <x:c r="T699" s="16" t="n">
        <x:v>4</x:v>
      </x:c>
      <x:c r="U699" s="16" t="n">
        <x:v>0</x:v>
      </x:c>
      <x:c r="V699" s="16" t="n">
        <x:v>0</x:v>
      </x:c>
      <x:c r="W699" s="16" t="n">
        <x:v>0</x:v>
      </x:c>
      <x:c r="X699" s="16" t="n">
        <x:v>0</x:v>
      </x:c>
      <x:c r="Y699" s="16" t="n">
        <x:v>0</x:v>
      </x:c>
      <x:c r="Z699" s="16" t="n">
        <x:v>0</x:v>
      </x:c>
      <x:c r="AA699" s="16" t="n">
        <x:v>3</x:v>
      </x:c>
      <x:c r="AB699" s="16" t="n">
        <x:v>11</x:v>
      </x:c>
      <x:c r="AC699" s="16" t="n">
        <x:v>0</x:v>
      </x:c>
      <x:c r="AD699" s="21" t="n">
        <x:f>IF(E699="",MEDIAN($E$2:$E$2237),E699)</x:f>
        <x:v>78901</x:v>
      </x:c>
      <x:c r="AE699" s="17" t="n">
        <x:f>2014-B699</x:f>
        <x:v>41</x:v>
      </x:c>
      <x:c r="AF699" s="17" t="n">
        <x:f>F699+G699</x:f>
        <x:v>1</x:v>
      </x:c>
      <x:c r="AG699" s="21" t="n">
        <x:f>SUM(J699:O699)</x:f>
        <x:v>734</x:v>
      </x:c>
      <x:c r="AH699" s="17" t="n">
        <x:f>SUM(Q699:S699)</x:f>
        <x:v>17</x:v>
      </x:c>
      <x:c r="AI699" s="17" t="n">
        <x:f>SUM(U699:Y699)</x:f>
        <x:v>0</x:v>
      </x:c>
      <x:c r="AJ699" s="17" t="str">
        <x:f>IF(AE699&lt;=34,"≤34",IF(AE699&lt;=44,"35–44",IF(AE699&lt;=54,"45–54",IF(AE699&lt;=64,"55–64","65+"))))</x:f>
        <x:v>35–44</x:v>
      </x:c>
      <x:c r="AK699" s="17" t="str">
        <x:f>IF(AG699&gt;=1000,"High Value",IF(AG699&gt;=300,"Mid Value","Low Value"))</x:f>
        <x:v>Mid Value</x:v>
      </x:c>
      <x:c r="AL699" s="17" t="str">
        <x:f>IF(AND(AI699&gt;=1,I699&lt;=50),"Priority 1",IF(AND(AG699&gt;=1000,I699&lt;=60),"Priority 2",IF(I699&lt;=30,"Priority 3","Nurture")))</x:f>
        <x:v>Nurture</x:v>
      </x:c>
    </x:row>
    <x:row r="700">
      <x:c r="A700" s="16" t="n">
        <x:v>10196</x:v>
      </x:c>
      <x:c r="B700" s="16" t="n">
        <x:v>1978</x:v>
      </x:c>
      <x:c r="C700" s="16" t="str">
        <x:v>Graduation</x:v>
      </x:c>
      <x:c r="D700" s="16" t="str">
        <x:v>Married</x:v>
      </x:c>
      <x:c r="E700" s="16" t="n">
        <x:v>71427</x:v>
      </x:c>
      <x:c r="F700" s="16" t="n">
        <x:v>2</x:v>
      </x:c>
      <x:c r="G700" s="16" t="n">
        <x:v>0</x:v>
      </x:c>
      <x:c r="H700" s="16" t="str">
        <x:v>12-03-2014</x:v>
      </x:c>
      <x:c r="I700" s="16" t="n">
        <x:v>26</x:v>
      </x:c>
      <x:c r="J700" s="16" t="n">
        <x:v>212</x:v>
      </x:c>
      <x:c r="K700" s="16" t="n">
        <x:v>123</x:v>
      </x:c>
      <x:c r="L700" s="16" t="n">
        <x:v>177</x:v>
      </x:c>
      <x:c r="M700" s="16" t="n">
        <x:v>15</x:v>
      </x:c>
      <x:c r="N700" s="16" t="n">
        <x:v>64</x:v>
      </x:c>
      <x:c r="O700" s="16" t="n">
        <x:v>23</x:v>
      </x:c>
      <x:c r="P700" s="16" t="n">
        <x:v>2</x:v>
      </x:c>
      <x:c r="Q700" s="16" t="n">
        <x:v>8</x:v>
      </x:c>
      <x:c r="R700" s="16" t="n">
        <x:v>2</x:v>
      </x:c>
      <x:c r="S700" s="16" t="n">
        <x:v>8</x:v>
      </x:c>
      <x:c r="T700" s="16" t="n">
        <x:v>4</x:v>
      </x:c>
      <x:c r="U700" s="16" t="n">
        <x:v>0</x:v>
      </x:c>
      <x:c r="V700" s="16" t="n">
        <x:v>0</x:v>
      </x:c>
      <x:c r="W700" s="16" t="n">
        <x:v>0</x:v>
      </x:c>
      <x:c r="X700" s="16" t="n">
        <x:v>0</x:v>
      </x:c>
      <x:c r="Y700" s="16" t="n">
        <x:v>0</x:v>
      </x:c>
      <x:c r="Z700" s="16" t="n">
        <x:v>0</x:v>
      </x:c>
      <x:c r="AA700" s="16" t="n">
        <x:v>3</x:v>
      </x:c>
      <x:c r="AB700" s="16" t="n">
        <x:v>11</x:v>
      </x:c>
      <x:c r="AC700" s="16" t="n">
        <x:v>0</x:v>
      </x:c>
      <x:c r="AD700" s="21" t="n">
        <x:f>IF(E700="",MEDIAN($E$2:$E$2237),E700)</x:f>
        <x:v>71427</x:v>
      </x:c>
      <x:c r="AE700" s="17" t="n">
        <x:f>2014-B700</x:f>
        <x:v>36</x:v>
      </x:c>
      <x:c r="AF700" s="17" t="n">
        <x:f>F700+G700</x:f>
        <x:v>2</x:v>
      </x:c>
      <x:c r="AG700" s="21" t="n">
        <x:f>SUM(J700:O700)</x:f>
        <x:v>614</x:v>
      </x:c>
      <x:c r="AH700" s="17" t="n">
        <x:f>SUM(Q700:S700)</x:f>
        <x:v>18</x:v>
      </x:c>
      <x:c r="AI700" s="17" t="n">
        <x:f>SUM(U700:Y700)</x:f>
        <x:v>0</x:v>
      </x:c>
      <x:c r="AJ700" s="17" t="str">
        <x:f>IF(AE700&lt;=34,"≤34",IF(AE700&lt;=44,"35–44",IF(AE700&lt;=54,"45–54",IF(AE700&lt;=64,"55–64","65+"))))</x:f>
        <x:v>35–44</x:v>
      </x:c>
      <x:c r="AK700" s="17" t="str">
        <x:f>IF(AG700&gt;=1000,"High Value",IF(AG700&gt;=300,"Mid Value","Low Value"))</x:f>
        <x:v>Mid Value</x:v>
      </x:c>
      <x:c r="AL700" s="17" t="str">
        <x:f>IF(AND(AI700&gt;=1,I700&lt;=50),"Priority 1",IF(AND(AG700&gt;=1000,I700&lt;=60),"Priority 2",IF(I700&lt;=30,"Priority 3","Nurture")))</x:f>
        <x:v>Priority 3</x:v>
      </x:c>
    </x:row>
    <x:row r="701">
      <x:c r="A701" s="16" t="n">
        <x:v>6384</x:v>
      </x:c>
      <x:c r="B701" s="16" t="n">
        <x:v>1978</x:v>
      </x:c>
      <x:c r="C701" s="16" t="str">
        <x:v>Graduation</x:v>
      </x:c>
      <x:c r="D701" s="16" t="str">
        <x:v>Divorced</x:v>
      </x:c>
      <x:c r="E701" s="16" t="n">
        <x:v>71022</x:v>
      </x:c>
      <x:c r="F701" s="16" t="n">
        <x:v>0</x:v>
      </x:c>
      <x:c r="G701" s="16" t="n">
        <x:v>1</x:v>
      </x:c>
      <x:c r="H701" s="16" t="str">
        <x:v>11-02-2014</x:v>
      </x:c>
      <x:c r="I701" s="16" t="n">
        <x:v>30</x:v>
      </x:c>
      <x:c r="J701" s="16" t="n">
        <x:v>909</x:v>
      </x:c>
      <x:c r="K701" s="16" t="n">
        <x:v>12</x:v>
      </x:c>
      <x:c r="L701" s="16" t="n">
        <x:v>278</x:v>
      </x:c>
      <x:c r="M701" s="16" t="n">
        <x:v>0</x:v>
      </x:c>
      <x:c r="N701" s="16" t="n">
        <x:v>12</x:v>
      </x:c>
      <x:c r="O701" s="16" t="n">
        <x:v>242</x:v>
      </x:c>
      <x:c r="P701" s="16" t="n">
        <x:v>3</x:v>
      </x:c>
      <x:c r="Q701" s="16" t="n">
        <x:v>5</x:v>
      </x:c>
      <x:c r="R701" s="16" t="n">
        <x:v>2</x:v>
      </x:c>
      <x:c r="S701" s="16" t="n">
        <x:v>11</x:v>
      </x:c>
      <x:c r="T701" s="16" t="n">
        <x:v>8</x:v>
      </x:c>
      <x:c r="U701" s="16" t="n">
        <x:v>1</x:v>
      </x:c>
      <x:c r="V701" s="16" t="n">
        <x:v>0</x:v>
      </x:c>
      <x:c r="W701" s="16" t="n">
        <x:v>0</x:v>
      </x:c>
      <x:c r="X701" s="16" t="n">
        <x:v>0</x:v>
      </x:c>
      <x:c r="Y701" s="16" t="n">
        <x:v>0</x:v>
      </x:c>
      <x:c r="Z701" s="16" t="n">
        <x:v>0</x:v>
      </x:c>
      <x:c r="AA701" s="16" t="n">
        <x:v>3</x:v>
      </x:c>
      <x:c r="AB701" s="16" t="n">
        <x:v>11</x:v>
      </x:c>
      <x:c r="AC701" s="16" t="n">
        <x:v>0</x:v>
      </x:c>
      <x:c r="AD701" s="21" t="n">
        <x:f>IF(E701="",MEDIAN($E$2:$E$2237),E701)</x:f>
        <x:v>71022</x:v>
      </x:c>
      <x:c r="AE701" s="17" t="n">
        <x:f>2014-B701</x:f>
        <x:v>36</x:v>
      </x:c>
      <x:c r="AF701" s="17" t="n">
        <x:f>F701+G701</x:f>
        <x:v>1</x:v>
      </x:c>
      <x:c r="AG701" s="21" t="n">
        <x:f>SUM(J701:O701)</x:f>
        <x:v>1453</x:v>
      </x:c>
      <x:c r="AH701" s="17" t="n">
        <x:f>SUM(Q701:S701)</x:f>
        <x:v>18</x:v>
      </x:c>
      <x:c r="AI701" s="17" t="n">
        <x:f>SUM(U701:Y701)</x:f>
        <x:v>1</x:v>
      </x:c>
      <x:c r="AJ701" s="17" t="str">
        <x:f>IF(AE701&lt;=34,"≤34",IF(AE701&lt;=44,"35–44",IF(AE701&lt;=54,"45–54",IF(AE701&lt;=64,"55–64","65+"))))</x:f>
        <x:v>35–44</x:v>
      </x:c>
      <x:c r="AK701" s="17" t="str">
        <x:f>IF(AG701&gt;=1000,"High Value",IF(AG701&gt;=300,"Mid Value","Low Value"))</x:f>
        <x:v>High Value</x:v>
      </x:c>
      <x:c r="AL701" s="17" t="str">
        <x:f>IF(AND(AI701&gt;=1,I701&lt;=50),"Priority 1",IF(AND(AG701&gt;=1000,I701&lt;=60),"Priority 2",IF(I701&lt;=30,"Priority 3","Nurture")))</x:f>
        <x:v>Priority 1</x:v>
      </x:c>
    </x:row>
    <x:row r="702">
      <x:c r="A702" s="16" t="n">
        <x:v>8029</x:v>
      </x:c>
      <x:c r="B702" s="16" t="n">
        <x:v>1988</x:v>
      </x:c>
      <x:c r="C702" s="16" t="str">
        <x:v>Master</x:v>
      </x:c>
      <x:c r="D702" s="16" t="str">
        <x:v>Single</x:v>
      </x:c>
      <x:c r="E702" s="16" t="n">
        <x:v>90247</x:v>
      </x:c>
      <x:c r="F702" s="16" t="n">
        <x:v>0</x:v>
      </x:c>
      <x:c r="G702" s="16" t="n">
        <x:v>0</x:v>
      </x:c>
      <x:c r="H702" s="16" t="str">
        <x:v>29-04-2014</x:v>
      </x:c>
      <x:c r="I702" s="16" t="n">
        <x:v>27</x:v>
      </x:c>
      <x:c r="J702" s="16" t="n">
        <x:v>1184</x:v>
      </x:c>
      <x:c r="K702" s="16" t="n">
        <x:v>32</x:v>
      </x:c>
      <x:c r="L702" s="16" t="n">
        <x:v>352</x:v>
      </x:c>
      <x:c r="M702" s="16" t="n">
        <x:v>21</x:v>
      </x:c>
      <x:c r="N702" s="16" t="n">
        <x:v>16</x:v>
      </x:c>
      <x:c r="O702" s="16" t="n">
        <x:v>16</x:v>
      </x:c>
      <x:c r="P702" s="16" t="n">
        <x:v>1</x:v>
      </x:c>
      <x:c r="Q702" s="16" t="n">
        <x:v>3</x:v>
      </x:c>
      <x:c r="R702" s="16" t="n">
        <x:v>4</x:v>
      </x:c>
      <x:c r="S702" s="16" t="n">
        <x:v>7</x:v>
      </x:c>
      <x:c r="T702" s="16" t="n">
        <x:v>1</x:v>
      </x:c>
      <x:c r="U702" s="16" t="n">
        <x:v>0</x:v>
      </x:c>
      <x:c r="V702" s="16" t="n">
        <x:v>1</x:v>
      </x:c>
      <x:c r="W702" s="16" t="n">
        <x:v>1</x:v>
      </x:c>
      <x:c r="X702" s="16" t="n">
        <x:v>1</x:v>
      </x:c>
      <x:c r="Y702" s="16" t="n">
        <x:v>0</x:v>
      </x:c>
      <x:c r="Z702" s="16" t="n">
        <x:v>0</x:v>
      </x:c>
      <x:c r="AA702" s="16" t="n">
        <x:v>3</x:v>
      </x:c>
      <x:c r="AB702" s="16" t="n">
        <x:v>11</x:v>
      </x:c>
      <x:c r="AC702" s="16" t="n">
        <x:v>1</x:v>
      </x:c>
      <x:c r="AD702" s="21" t="n">
        <x:f>IF(E702="",MEDIAN($E$2:$E$2237),E702)</x:f>
        <x:v>90247</x:v>
      </x:c>
      <x:c r="AE702" s="17" t="n">
        <x:f>2014-B702</x:f>
        <x:v>26</x:v>
      </x:c>
      <x:c r="AF702" s="17" t="n">
        <x:f>F702+G702</x:f>
        <x:v>0</x:v>
      </x:c>
      <x:c r="AG702" s="21" t="n">
        <x:f>SUM(J702:O702)</x:f>
        <x:v>1621</x:v>
      </x:c>
      <x:c r="AH702" s="17" t="n">
        <x:f>SUM(Q702:S702)</x:f>
        <x:v>14</x:v>
      </x:c>
      <x:c r="AI702" s="17" t="n">
        <x:f>SUM(U702:Y702)</x:f>
        <x:v>3</x:v>
      </x:c>
      <x:c r="AJ702" s="17" t="str">
        <x:f>IF(AE702&lt;=34,"≤34",IF(AE702&lt;=44,"35–44",IF(AE702&lt;=54,"45–54",IF(AE702&lt;=64,"55–64","65+"))))</x:f>
        <x:v>≤34</x:v>
      </x:c>
      <x:c r="AK702" s="17" t="str">
        <x:f>IF(AG702&gt;=1000,"High Value",IF(AG702&gt;=300,"Mid Value","Low Value"))</x:f>
        <x:v>High Value</x:v>
      </x:c>
      <x:c r="AL702" s="17" t="str">
        <x:f>IF(AND(AI702&gt;=1,I702&lt;=50),"Priority 1",IF(AND(AG702&gt;=1000,I702&lt;=60),"Priority 2",IF(I702&lt;=30,"Priority 3","Nurture")))</x:f>
        <x:v>Priority 1</x:v>
      </x:c>
    </x:row>
    <x:row r="703">
      <x:c r="A703" s="16" t="n">
        <x:v>968</x:v>
      </x:c>
      <x:c r="B703" s="16" t="n">
        <x:v>1968</x:v>
      </x:c>
      <x:c r="C703" s="16" t="str">
        <x:v>Master</x:v>
      </x:c>
      <x:c r="D703" s="16" t="str">
        <x:v>Divorced</x:v>
      </x:c>
      <x:c r="E703" s="16" t="n">
        <x:v>41335</x:v>
      </x:c>
      <x:c r="F703" s="16" t="n">
        <x:v>1</x:v>
      </x:c>
      <x:c r="G703" s="16" t="n">
        <x:v>0</x:v>
      </x:c>
      <x:c r="H703" s="16" t="str">
        <x:v>26-12-2013</x:v>
      </x:c>
      <x:c r="I703" s="16" t="n">
        <x:v>24</x:v>
      </x:c>
      <x:c r="J703" s="16" t="n">
        <x:v>112</x:v>
      </x:c>
      <x:c r="K703" s="16" t="n">
        <x:v>19</x:v>
      </x:c>
      <x:c r="L703" s="16" t="n">
        <x:v>21</x:v>
      </x:c>
      <x:c r="M703" s="16" t="n">
        <x:v>16</x:v>
      </x:c>
      <x:c r="N703" s="16" t="n">
        <x:v>14</x:v>
      </x:c>
      <x:c r="O703" s="16" t="n">
        <x:v>5</x:v>
      </x:c>
      <x:c r="P703" s="16" t="n">
        <x:v>3</x:v>
      </x:c>
      <x:c r="Q703" s="16" t="n">
        <x:v>4</x:v>
      </x:c>
      <x:c r="R703" s="16" t="n">
        <x:v>1</x:v>
      </x:c>
      <x:c r="S703" s="16" t="n">
        <x:v>4</x:v>
      </x:c>
      <x:c r="T703" s="16" t="n">
        <x:v>7</x:v>
      </x:c>
      <x:c r="U703" s="16" t="n">
        <x:v>0</x:v>
      </x:c>
      <x:c r="V703" s="16" t="n">
        <x:v>0</x:v>
      </x:c>
      <x:c r="W703" s="16" t="n">
        <x:v>0</x:v>
      </x:c>
      <x:c r="X703" s="16" t="n">
        <x:v>0</x:v>
      </x:c>
      <x:c r="Y703" s="16" t="n">
        <x:v>0</x:v>
      </x:c>
      <x:c r="Z703" s="16" t="n">
        <x:v>0</x:v>
      </x:c>
      <x:c r="AA703" s="16" t="n">
        <x:v>3</x:v>
      </x:c>
      <x:c r="AB703" s="16" t="n">
        <x:v>11</x:v>
      </x:c>
      <x:c r="AC703" s="16" t="n">
        <x:v>0</x:v>
      </x:c>
      <x:c r="AD703" s="21" t="n">
        <x:f>IF(E703="",MEDIAN($E$2:$E$2237),E703)</x:f>
        <x:v>41335</x:v>
      </x:c>
      <x:c r="AE703" s="17" t="n">
        <x:f>2014-B703</x:f>
        <x:v>46</x:v>
      </x:c>
      <x:c r="AF703" s="17" t="n">
        <x:f>F703+G703</x:f>
        <x:v>1</x:v>
      </x:c>
      <x:c r="AG703" s="21" t="n">
        <x:f>SUM(J703:O703)</x:f>
        <x:v>187</x:v>
      </x:c>
      <x:c r="AH703" s="17" t="n">
        <x:f>SUM(Q703:S703)</x:f>
        <x:v>9</x:v>
      </x:c>
      <x:c r="AI703" s="17" t="n">
        <x:f>SUM(U703:Y703)</x:f>
        <x:v>0</x:v>
      </x:c>
      <x:c r="AJ703" s="17" t="str">
        <x:f>IF(AE703&lt;=34,"≤34",IF(AE703&lt;=44,"35–44",IF(AE703&lt;=54,"45–54",IF(AE703&lt;=64,"55–64","65+"))))</x:f>
        <x:v>45–54</x:v>
      </x:c>
      <x:c r="AK703" s="17" t="str">
        <x:f>IF(AG703&gt;=1000,"High Value",IF(AG703&gt;=300,"Mid Value","Low Value"))</x:f>
        <x:v>Low Value</x:v>
      </x:c>
      <x:c r="AL703" s="17" t="str">
        <x:f>IF(AND(AI703&gt;=1,I703&lt;=50),"Priority 1",IF(AND(AG703&gt;=1000,I703&lt;=60),"Priority 2",IF(I703&lt;=30,"Priority 3","Nurture")))</x:f>
        <x:v>Priority 3</x:v>
      </x:c>
    </x:row>
    <x:row r="704">
      <x:c r="A704" s="16" t="n">
        <x:v>6988</x:v>
      </x:c>
      <x:c r="B704" s="16" t="n">
        <x:v>1986</x:v>
      </x:c>
      <x:c r="C704" s="16" t="str">
        <x:v>Graduation</x:v>
      </x:c>
      <x:c r="D704" s="16" t="str">
        <x:v>Married</x:v>
      </x:c>
      <x:c r="E704" s="16" t="n">
        <x:v>71952</x:v>
      </x:c>
      <x:c r="F704" s="16" t="n">
        <x:v>1</x:v>
      </x:c>
      <x:c r="G704" s="16" t="n">
        <x:v>0</x:v>
      </x:c>
      <x:c r="H704" s="16" t="str">
        <x:v>10-01-2013</x:v>
      </x:c>
      <x:c r="I704" s="16" t="n">
        <x:v>93</x:v>
      </x:c>
      <x:c r="J704" s="16" t="n">
        <x:v>656</x:v>
      </x:c>
      <x:c r="K704" s="16" t="n">
        <x:v>80</x:v>
      </x:c>
      <x:c r="L704" s="16" t="n">
        <x:v>455</x:v>
      </x:c>
      <x:c r="M704" s="16" t="n">
        <x:v>52</x:v>
      </x:c>
      <x:c r="N704" s="16" t="n">
        <x:v>107</x:v>
      </x:c>
      <x:c r="O704" s="16" t="n">
        <x:v>93</x:v>
      </x:c>
      <x:c r="P704" s="16" t="n">
        <x:v>2</x:v>
      </x:c>
      <x:c r="Q704" s="16" t="n">
        <x:v>8</x:v>
      </x:c>
      <x:c r="R704" s="16" t="n">
        <x:v>4</x:v>
      </x:c>
      <x:c r="S704" s="16" t="n">
        <x:v>8</x:v>
      </x:c>
      <x:c r="T704" s="16" t="n">
        <x:v>4</x:v>
      </x:c>
      <x:c r="U704" s="16" t="n">
        <x:v>1</x:v>
      </x:c>
      <x:c r="V704" s="16" t="n">
        <x:v>0</x:v>
      </x:c>
      <x:c r="W704" s="16" t="n">
        <x:v>1</x:v>
      </x:c>
      <x:c r="X704" s="16" t="n">
        <x:v>0</x:v>
      </x:c>
      <x:c r="Y704" s="16" t="n">
        <x:v>0</x:v>
      </x:c>
      <x:c r="Z704" s="16" t="n">
        <x:v>0</x:v>
      </x:c>
      <x:c r="AA704" s="16" t="n">
        <x:v>3</x:v>
      </x:c>
      <x:c r="AB704" s="16" t="n">
        <x:v>11</x:v>
      </x:c>
      <x:c r="AC704" s="16" t="n">
        <x:v>0</x:v>
      </x:c>
      <x:c r="AD704" s="21" t="n">
        <x:f>IF(E704="",MEDIAN($E$2:$E$2237),E704)</x:f>
        <x:v>71952</x:v>
      </x:c>
      <x:c r="AE704" s="17" t="n">
        <x:f>2014-B704</x:f>
        <x:v>28</x:v>
      </x:c>
      <x:c r="AF704" s="17" t="n">
        <x:f>F704+G704</x:f>
        <x:v>1</x:v>
      </x:c>
      <x:c r="AG704" s="21" t="n">
        <x:f>SUM(J704:O704)</x:f>
        <x:v>1443</x:v>
      </x:c>
      <x:c r="AH704" s="17" t="n">
        <x:f>SUM(Q704:S704)</x:f>
        <x:v>20</x:v>
      </x:c>
      <x:c r="AI704" s="17" t="n">
        <x:f>SUM(U704:Y704)</x:f>
        <x:v>2</x:v>
      </x:c>
      <x:c r="AJ704" s="17" t="str">
        <x:f>IF(AE704&lt;=34,"≤34",IF(AE704&lt;=44,"35–44",IF(AE704&lt;=54,"45–54",IF(AE704&lt;=64,"55–64","65+"))))</x:f>
        <x:v>≤34</x:v>
      </x:c>
      <x:c r="AK704" s="17" t="str">
        <x:f>IF(AG704&gt;=1000,"High Value",IF(AG704&gt;=300,"Mid Value","Low Value"))</x:f>
        <x:v>High Value</x:v>
      </x:c>
      <x:c r="AL704" s="17" t="str">
        <x:f>IF(AND(AI704&gt;=1,I704&lt;=50),"Priority 1",IF(AND(AG704&gt;=1000,I704&lt;=60),"Priority 2",IF(I704&lt;=30,"Priority 3","Nurture")))</x:f>
        <x:v>Nurture</x:v>
      </x:c>
    </x:row>
    <x:row r="705">
      <x:c r="A705" s="16" t="n">
        <x:v>4472</x:v>
      </x:c>
      <x:c r="B705" s="16" t="n">
        <x:v>1970</x:v>
      </x:c>
      <x:c r="C705" s="16" t="str">
        <x:v>PhD</x:v>
      </x:c>
      <x:c r="D705" s="16" t="str">
        <x:v>Divorced</x:v>
      </x:c>
      <x:c r="E705" s="16" t="n">
        <x:v>35682</x:v>
      </x:c>
      <x:c r="F705" s="16" t="n">
        <x:v>1</x:v>
      </x:c>
      <x:c r="G705" s="16" t="n">
        <x:v>0</x:v>
      </x:c>
      <x:c r="H705" s="16" t="str">
        <x:v>27-06-2014</x:v>
      </x:c>
      <x:c r="I705" s="16" t="n">
        <x:v>34</x:v>
      </x:c>
      <x:c r="J705" s="16" t="n">
        <x:v>23</x:v>
      </x:c>
      <x:c r="K705" s="16" t="n">
        <x:v>0</x:v>
      </x:c>
      <x:c r="L705" s="16" t="n">
        <x:v>8</x:v>
      </x:c>
      <x:c r="M705" s="16" t="n">
        <x:v>6</x:v>
      </x:c>
      <x:c r="N705" s="16" t="n">
        <x:v>2</x:v>
      </x:c>
      <x:c r="O705" s="16" t="n">
        <x:v>18</x:v>
      </x:c>
      <x:c r="P705" s="16" t="n">
        <x:v>1</x:v>
      </x:c>
      <x:c r="Q705" s="16" t="n">
        <x:v>1</x:v>
      </x:c>
      <x:c r="R705" s="16" t="n">
        <x:v>1</x:v>
      </x:c>
      <x:c r="S705" s="16" t="n">
        <x:v>3</x:v>
      </x:c>
      <x:c r="T705" s="16" t="n">
        <x:v>2</x:v>
      </x:c>
      <x:c r="U705" s="16" t="n">
        <x:v>0</x:v>
      </x:c>
      <x:c r="V705" s="16" t="n">
        <x:v>0</x:v>
      </x:c>
      <x:c r="W705" s="16" t="n">
        <x:v>0</x:v>
      </x:c>
      <x:c r="X705" s="16" t="n">
        <x:v>0</x:v>
      </x:c>
      <x:c r="Y705" s="16" t="n">
        <x:v>0</x:v>
      </x:c>
      <x:c r="Z705" s="16" t="n">
        <x:v>0</x:v>
      </x:c>
      <x:c r="AA705" s="16" t="n">
        <x:v>3</x:v>
      </x:c>
      <x:c r="AB705" s="16" t="n">
        <x:v>11</x:v>
      </x:c>
      <x:c r="AC705" s="16" t="n">
        <x:v>0</x:v>
      </x:c>
      <x:c r="AD705" s="21" t="n">
        <x:f>IF(E705="",MEDIAN($E$2:$E$2237),E705)</x:f>
        <x:v>35682</x:v>
      </x:c>
      <x:c r="AE705" s="17" t="n">
        <x:f>2014-B705</x:f>
        <x:v>44</x:v>
      </x:c>
      <x:c r="AF705" s="17" t="n">
        <x:f>F705+G705</x:f>
        <x:v>1</x:v>
      </x:c>
      <x:c r="AG705" s="21" t="n">
        <x:f>SUM(J705:O705)</x:f>
        <x:v>57</x:v>
      </x:c>
      <x:c r="AH705" s="17" t="n">
        <x:f>SUM(Q705:S705)</x:f>
        <x:v>5</x:v>
      </x:c>
      <x:c r="AI705" s="17" t="n">
        <x:f>SUM(U705:Y705)</x:f>
        <x:v>0</x:v>
      </x:c>
      <x:c r="AJ705" s="17" t="str">
        <x:f>IF(AE705&lt;=34,"≤34",IF(AE705&lt;=44,"35–44",IF(AE705&lt;=54,"45–54",IF(AE705&lt;=64,"55–64","65+"))))</x:f>
        <x:v>35–44</x:v>
      </x:c>
      <x:c r="AK705" s="17" t="str">
        <x:f>IF(AG705&gt;=1000,"High Value",IF(AG705&gt;=300,"Mid Value","Low Value"))</x:f>
        <x:v>Low Value</x:v>
      </x:c>
      <x:c r="AL705" s="17" t="str">
        <x:f>IF(AND(AI705&gt;=1,I705&lt;=50),"Priority 1",IF(AND(AG705&gt;=1000,I705&lt;=60),"Priority 2",IF(I705&lt;=30,"Priority 3","Nurture")))</x:f>
        <x:v>Nurture</x:v>
      </x:c>
    </x:row>
    <x:row r="706">
      <x:c r="A706" s="16" t="n">
        <x:v>6991</x:v>
      </x:c>
      <x:c r="B706" s="16" t="n">
        <x:v>1951</x:v>
      </x:c>
      <x:c r="C706" s="16" t="str">
        <x:v>Graduation</x:v>
      </x:c>
      <x:c r="D706" s="16" t="str">
        <x:v>Divorced</x:v>
      </x:c>
      <x:c r="E706" s="16" t="n">
        <x:v>43185</x:v>
      </x:c>
      <x:c r="F706" s="16" t="n">
        <x:v>0</x:v>
      </x:c>
      <x:c r="G706" s="16" t="n">
        <x:v>1</x:v>
      </x:c>
      <x:c r="H706" s="16" t="str">
        <x:v>10-04-2013</x:v>
      </x:c>
      <x:c r="I706" s="16" t="n">
        <x:v>88</x:v>
      </x:c>
      <x:c r="J706" s="16" t="n">
        <x:v>537</x:v>
      </x:c>
      <x:c r="K706" s="16" t="n">
        <x:v>6</x:v>
      </x:c>
      <x:c r="L706" s="16" t="n">
        <x:v>42</x:v>
      </x:c>
      <x:c r="M706" s="16" t="n">
        <x:v>16</x:v>
      </x:c>
      <x:c r="N706" s="16" t="n">
        <x:v>6</x:v>
      </x:c>
      <x:c r="O706" s="16" t="n">
        <x:v>30</x:v>
      </x:c>
      <x:c r="P706" s="16" t="n">
        <x:v>2</x:v>
      </x:c>
      <x:c r="Q706" s="16" t="n">
        <x:v>9</x:v>
      </x:c>
      <x:c r="R706" s="16" t="n">
        <x:v>3</x:v>
      </x:c>
      <x:c r="S706" s="16" t="n">
        <x:v>6</x:v>
      </x:c>
      <x:c r="T706" s="16" t="n">
        <x:v>8</x:v>
      </x:c>
      <x:c r="U706" s="16" t="n">
        <x:v>0</x:v>
      </x:c>
      <x:c r="V706" s="16" t="n">
        <x:v>0</x:v>
      </x:c>
      <x:c r="W706" s="16" t="n">
        <x:v>0</x:v>
      </x:c>
      <x:c r="X706" s="16" t="n">
        <x:v>0</x:v>
      </x:c>
      <x:c r="Y706" s="16" t="n">
        <x:v>0</x:v>
      </x:c>
      <x:c r="Z706" s="16" t="n">
        <x:v>0</x:v>
      </x:c>
      <x:c r="AA706" s="16" t="n">
        <x:v>3</x:v>
      </x:c>
      <x:c r="AB706" s="16" t="n">
        <x:v>11</x:v>
      </x:c>
      <x:c r="AC706" s="16" t="n">
        <x:v>0</x:v>
      </x:c>
      <x:c r="AD706" s="21" t="n">
        <x:f>IF(E706="",MEDIAN($E$2:$E$2237),E706)</x:f>
        <x:v>43185</x:v>
      </x:c>
      <x:c r="AE706" s="17" t="n">
        <x:f>2014-B706</x:f>
        <x:v>63</x:v>
      </x:c>
      <x:c r="AF706" s="17" t="n">
        <x:f>F706+G706</x:f>
        <x:v>1</x:v>
      </x:c>
      <x:c r="AG706" s="21" t="n">
        <x:f>SUM(J706:O706)</x:f>
        <x:v>637</x:v>
      </x:c>
      <x:c r="AH706" s="17" t="n">
        <x:f>SUM(Q706:S706)</x:f>
        <x:v>18</x:v>
      </x:c>
      <x:c r="AI706" s="17" t="n">
        <x:f>SUM(U706:Y706)</x:f>
        <x:v>0</x:v>
      </x:c>
      <x:c r="AJ706" s="17" t="str">
        <x:f>IF(AE706&lt;=34,"≤34",IF(AE706&lt;=44,"35–44",IF(AE706&lt;=54,"45–54",IF(AE706&lt;=64,"55–64","65+"))))</x:f>
        <x:v>55–64</x:v>
      </x:c>
      <x:c r="AK706" s="17" t="str">
        <x:f>IF(AG706&gt;=1000,"High Value",IF(AG706&gt;=300,"Mid Value","Low Value"))</x:f>
        <x:v>Mid Value</x:v>
      </x:c>
      <x:c r="AL706" s="17" t="str">
        <x:f>IF(AND(AI706&gt;=1,I706&lt;=50),"Priority 1",IF(AND(AG706&gt;=1000,I706&lt;=60),"Priority 2",IF(I706&lt;=30,"Priority 3","Nurture")))</x:f>
        <x:v>Nurture</x:v>
      </x:c>
    </x:row>
    <x:row r="707">
      <x:c r="A707" s="16" t="n">
        <x:v>3336</x:v>
      </x:c>
      <x:c r="B707" s="16" t="n">
        <x:v>1948</x:v>
      </x:c>
      <x:c r="C707" s="16" t="str">
        <x:v>PhD</x:v>
      </x:c>
      <x:c r="D707" s="16" t="str">
        <x:v>Together</x:v>
      </x:c>
      <x:c r="E707" s="16" t="n">
        <x:v>66375</x:v>
      </x:c>
      <x:c r="F707" s="16" t="n">
        <x:v>0</x:v>
      </x:c>
      <x:c r="G707" s="16" t="n">
        <x:v>1</x:v>
      </x:c>
      <x:c r="H707" s="16" t="str">
        <x:v>21-11-2013</x:v>
      </x:c>
      <x:c r="I707" s="16" t="n">
        <x:v>96</x:v>
      </x:c>
      <x:c r="J707" s="16" t="n">
        <x:v>712</x:v>
      </x:c>
      <x:c r="K707" s="16" t="n">
        <x:v>0</x:v>
      </x:c>
      <x:c r="L707" s="16" t="n">
        <x:v>45</x:v>
      </x:c>
      <x:c r="M707" s="16" t="n">
        <x:v>0</x:v>
      </x:c>
      <x:c r="N707" s="16" t="n">
        <x:v>0</x:v>
      </x:c>
      <x:c r="O707" s="16" t="n">
        <x:v>191</x:v>
      </x:c>
      <x:c r="P707" s="16" t="n">
        <x:v>3</x:v>
      </x:c>
      <x:c r="Q707" s="16" t="n">
        <x:v>2</x:v>
      </x:c>
      <x:c r="R707" s="16" t="n">
        <x:v>4</x:v>
      </x:c>
      <x:c r="S707" s="16" t="n">
        <x:v>5</x:v>
      </x:c>
      <x:c r="T707" s="16" t="n">
        <x:v>7</x:v>
      </x:c>
      <x:c r="U707" s="16" t="n">
        <x:v>1</x:v>
      </x:c>
      <x:c r="V707" s="16" t="n">
        <x:v>0</x:v>
      </x:c>
      <x:c r="W707" s="16" t="n">
        <x:v>0</x:v>
      </x:c>
      <x:c r="X707" s="16" t="n">
        <x:v>0</x:v>
      </x:c>
      <x:c r="Y707" s="16" t="n">
        <x:v>0</x:v>
      </x:c>
      <x:c r="Z707" s="16" t="n">
        <x:v>0</x:v>
      </x:c>
      <x:c r="AA707" s="16" t="n">
        <x:v>3</x:v>
      </x:c>
      <x:c r="AB707" s="16" t="n">
        <x:v>11</x:v>
      </x:c>
      <x:c r="AC707" s="16" t="n">
        <x:v>0</x:v>
      </x:c>
      <x:c r="AD707" s="21" t="n">
        <x:f>IF(E707="",MEDIAN($E$2:$E$2237),E707)</x:f>
        <x:v>66375</x:v>
      </x:c>
      <x:c r="AE707" s="17" t="n">
        <x:f>2014-B707</x:f>
        <x:v>66</x:v>
      </x:c>
      <x:c r="AF707" s="17" t="n">
        <x:f>F707+G707</x:f>
        <x:v>1</x:v>
      </x:c>
      <x:c r="AG707" s="21" t="n">
        <x:f>SUM(J707:O707)</x:f>
        <x:v>948</x:v>
      </x:c>
      <x:c r="AH707" s="17" t="n">
        <x:f>SUM(Q707:S707)</x:f>
        <x:v>11</x:v>
      </x:c>
      <x:c r="AI707" s="17" t="n">
        <x:f>SUM(U707:Y707)</x:f>
        <x:v>1</x:v>
      </x:c>
      <x:c r="AJ707" s="17" t="str">
        <x:f>IF(AE707&lt;=34,"≤34",IF(AE707&lt;=44,"35–44",IF(AE707&lt;=54,"45–54",IF(AE707&lt;=64,"55–64","65+"))))</x:f>
        <x:v>65+</x:v>
      </x:c>
      <x:c r="AK707" s="17" t="str">
        <x:f>IF(AG707&gt;=1000,"High Value",IF(AG707&gt;=300,"Mid Value","Low Value"))</x:f>
        <x:v>Mid Value</x:v>
      </x:c>
      <x:c r="AL707" s="17" t="str">
        <x:f>IF(AND(AI707&gt;=1,I707&lt;=50),"Priority 1",IF(AND(AG707&gt;=1000,I707&lt;=60),"Priority 2",IF(I707&lt;=30,"Priority 3","Nurture")))</x:f>
        <x:v>Nurture</x:v>
      </x:c>
    </x:row>
    <x:row r="708">
      <x:c r="A708" s="16" t="n">
        <x:v>4301</x:v>
      </x:c>
      <x:c r="B708" s="16" t="n">
        <x:v>1971</x:v>
      </x:c>
      <x:c r="C708" s="16" t="str">
        <x:v>Master</x:v>
      </x:c>
      <x:c r="D708" s="16" t="str">
        <x:v>Married</x:v>
      </x:c>
      <x:c r="E708" s="16" t="n">
        <x:v>35178</x:v>
      </x:c>
      <x:c r="F708" s="16" t="n">
        <x:v>1</x:v>
      </x:c>
      <x:c r="G708" s="16" t="n">
        <x:v>0</x:v>
      </x:c>
      <x:c r="H708" s="16" t="str">
        <x:v>10-01-2013</x:v>
      </x:c>
      <x:c r="I708" s="16" t="n">
        <x:v>10</x:v>
      </x:c>
      <x:c r="J708" s="16" t="n">
        <x:v>23</x:v>
      </x:c>
      <x:c r="K708" s="16" t="n">
        <x:v>1</x:v>
      </x:c>
      <x:c r="L708" s="16" t="n">
        <x:v>13</x:v>
      </x:c>
      <x:c r="M708" s="16" t="n">
        <x:v>2</x:v>
      </x:c>
      <x:c r="N708" s="16" t="n">
        <x:v>2</x:v>
      </x:c>
      <x:c r="O708" s="16" t="n">
        <x:v>18</x:v>
      </x:c>
      <x:c r="P708" s="16" t="n">
        <x:v>1</x:v>
      </x:c>
      <x:c r="Q708" s="16" t="n">
        <x:v>1</x:v>
      </x:c>
      <x:c r="R708" s="16" t="n">
        <x:v>1</x:v>
      </x:c>
      <x:c r="S708" s="16" t="n">
        <x:v>2</x:v>
      </x:c>
      <x:c r="T708" s="16" t="n">
        <x:v>7</x:v>
      </x:c>
      <x:c r="U708" s="16" t="n">
        <x:v>1</x:v>
      </x:c>
      <x:c r="V708" s="16" t="n">
        <x:v>0</x:v>
      </x:c>
      <x:c r="W708" s="16" t="n">
        <x:v>0</x:v>
      </x:c>
      <x:c r="X708" s="16" t="n">
        <x:v>0</x:v>
      </x:c>
      <x:c r="Y708" s="16" t="n">
        <x:v>0</x:v>
      </x:c>
      <x:c r="Z708" s="16" t="n">
        <x:v>0</x:v>
      </x:c>
      <x:c r="AA708" s="16" t="n">
        <x:v>3</x:v>
      </x:c>
      <x:c r="AB708" s="16" t="n">
        <x:v>11</x:v>
      </x:c>
      <x:c r="AC708" s="16" t="n">
        <x:v>1</x:v>
      </x:c>
      <x:c r="AD708" s="21" t="n">
        <x:f>IF(E708="",MEDIAN($E$2:$E$2237),E708)</x:f>
        <x:v>35178</x:v>
      </x:c>
      <x:c r="AE708" s="17" t="n">
        <x:f>2014-B708</x:f>
        <x:v>43</x:v>
      </x:c>
      <x:c r="AF708" s="17" t="n">
        <x:f>F708+G708</x:f>
        <x:v>1</x:v>
      </x:c>
      <x:c r="AG708" s="21" t="n">
        <x:f>SUM(J708:O708)</x:f>
        <x:v>59</x:v>
      </x:c>
      <x:c r="AH708" s="17" t="n">
        <x:f>SUM(Q708:S708)</x:f>
        <x:v>4</x:v>
      </x:c>
      <x:c r="AI708" s="17" t="n">
        <x:f>SUM(U708:Y708)</x:f>
        <x:v>1</x:v>
      </x:c>
      <x:c r="AJ708" s="17" t="str">
        <x:f>IF(AE708&lt;=34,"≤34",IF(AE708&lt;=44,"35–44",IF(AE708&lt;=54,"45–54",IF(AE708&lt;=64,"55–64","65+"))))</x:f>
        <x:v>35–44</x:v>
      </x:c>
      <x:c r="AK708" s="17" t="str">
        <x:f>IF(AG708&gt;=1000,"High Value",IF(AG708&gt;=300,"Mid Value","Low Value"))</x:f>
        <x:v>Low Value</x:v>
      </x:c>
      <x:c r="AL708" s="17" t="str">
        <x:f>IF(AND(AI708&gt;=1,I708&lt;=50),"Priority 1",IF(AND(AG708&gt;=1000,I708&lt;=60),"Priority 2",IF(I708&lt;=30,"Priority 3","Nurture")))</x:f>
        <x:v>Priority 1</x:v>
      </x:c>
    </x:row>
    <x:row r="709">
      <x:c r="A709" s="16" t="n">
        <x:v>1940</x:v>
      </x:c>
      <x:c r="B709" s="16" t="n">
        <x:v>1986</x:v>
      </x:c>
      <x:c r="C709" s="16" t="str">
        <x:v>Graduation</x:v>
      </x:c>
      <x:c r="D709" s="16" t="str">
        <x:v>Married</x:v>
      </x:c>
      <x:c r="E709" s="16" t="n">
        <x:v>25252</x:v>
      </x:c>
      <x:c r="F709" s="16" t="n">
        <x:v>1</x:v>
      </x:c>
      <x:c r="G709" s="16" t="n">
        <x:v>0</x:v>
      </x:c>
      <x:c r="H709" s="16" t="str">
        <x:v>12-07-2013</x:v>
      </x:c>
      <x:c r="I709" s="16" t="n">
        <x:v>26</x:v>
      </x:c>
      <x:c r="J709" s="16" t="n">
        <x:v>1</x:v>
      </x:c>
      <x:c r="K709" s="16" t="n">
        <x:v>3</x:v>
      </x:c>
      <x:c r="L709" s="16" t="n">
        <x:v>4</x:v>
      </x:c>
      <x:c r="M709" s="16" t="n">
        <x:v>2</x:v>
      </x:c>
      <x:c r="N709" s="16" t="n">
        <x:v>2</x:v>
      </x:c>
      <x:c r="O709" s="16" t="n">
        <x:v>6</x:v>
      </x:c>
      <x:c r="P709" s="16" t="n">
        <x:v>1</x:v>
      </x:c>
      <x:c r="Q709" s="16" t="n">
        <x:v>1</x:v>
      </x:c>
      <x:c r="R709" s="16" t="n">
        <x:v>0</x:v>
      </x:c>
      <x:c r="S709" s="16" t="n">
        <x:v>2</x:v>
      </x:c>
      <x:c r="T709" s="16" t="n">
        <x:v>8</x:v>
      </x:c>
      <x:c r="U709" s="16" t="n">
        <x:v>0</x:v>
      </x:c>
      <x:c r="V709" s="16" t="n">
        <x:v>0</x:v>
      </x:c>
      <x:c r="W709" s="16" t="n">
        <x:v>0</x:v>
      </x:c>
      <x:c r="X709" s="16" t="n">
        <x:v>0</x:v>
      </x:c>
      <x:c r="Y709" s="16" t="n">
        <x:v>0</x:v>
      </x:c>
      <x:c r="Z709" s="16" t="n">
        <x:v>0</x:v>
      </x:c>
      <x:c r="AA709" s="16" t="n">
        <x:v>3</x:v>
      </x:c>
      <x:c r="AB709" s="16" t="n">
        <x:v>11</x:v>
      </x:c>
      <x:c r="AC709" s="16" t="n">
        <x:v>0</x:v>
      </x:c>
      <x:c r="AD709" s="21" t="n">
        <x:f>IF(E709="",MEDIAN($E$2:$E$2237),E709)</x:f>
        <x:v>25252</x:v>
      </x:c>
      <x:c r="AE709" s="17" t="n">
        <x:f>2014-B709</x:f>
        <x:v>28</x:v>
      </x:c>
      <x:c r="AF709" s="17" t="n">
        <x:f>F709+G709</x:f>
        <x:v>1</x:v>
      </x:c>
      <x:c r="AG709" s="21" t="n">
        <x:f>SUM(J709:O709)</x:f>
        <x:v>18</x:v>
      </x:c>
      <x:c r="AH709" s="17" t="n">
        <x:f>SUM(Q709:S709)</x:f>
        <x:v>3</x:v>
      </x:c>
      <x:c r="AI709" s="17" t="n">
        <x:f>SUM(U709:Y709)</x:f>
        <x:v>0</x:v>
      </x:c>
      <x:c r="AJ709" s="17" t="str">
        <x:f>IF(AE709&lt;=34,"≤34",IF(AE709&lt;=44,"35–44",IF(AE709&lt;=54,"45–54",IF(AE709&lt;=64,"55–64","65+"))))</x:f>
        <x:v>≤34</x:v>
      </x:c>
      <x:c r="AK709" s="17" t="str">
        <x:f>IF(AG709&gt;=1000,"High Value",IF(AG709&gt;=300,"Mid Value","Low Value"))</x:f>
        <x:v>Low Value</x:v>
      </x:c>
      <x:c r="AL709" s="17" t="str">
        <x:f>IF(AND(AI709&gt;=1,I709&lt;=50),"Priority 1",IF(AND(AG709&gt;=1000,I709&lt;=60),"Priority 2",IF(I709&lt;=30,"Priority 3","Nurture")))</x:f>
        <x:v>Priority 3</x:v>
      </x:c>
    </x:row>
    <x:row r="710">
      <x:c r="A710" s="16" t="n">
        <x:v>1272</x:v>
      </x:c>
      <x:c r="B710" s="16" t="n">
        <x:v>1965</x:v>
      </x:c>
      <x:c r="C710" s="16" t="str">
        <x:v>Master</x:v>
      </x:c>
      <x:c r="D710" s="16" t="str">
        <x:v>Single</x:v>
      </x:c>
      <x:c r="E710" s="16" t="n">
        <x:v>55250</x:v>
      </x:c>
      <x:c r="F710" s="16" t="n">
        <x:v>0</x:v>
      </x:c>
      <x:c r="G710" s="16" t="n">
        <x:v>1</x:v>
      </x:c>
      <x:c r="H710" s="16" t="str">
        <x:v>21-10-2012</x:v>
      </x:c>
      <x:c r="I710" s="16" t="n">
        <x:v>49</x:v>
      </x:c>
      <x:c r="J710" s="16" t="n">
        <x:v>664</x:v>
      </x:c>
      <x:c r="K710" s="16" t="n">
        <x:v>58</x:v>
      </x:c>
      <x:c r="L710" s="16" t="n">
        <x:v>83</x:v>
      </x:c>
      <x:c r="M710" s="16" t="n">
        <x:v>32</x:v>
      </x:c>
      <x:c r="N710" s="16" t="n">
        <x:v>0</x:v>
      </x:c>
      <x:c r="O710" s="16" t="n">
        <x:v>66</x:v>
      </x:c>
      <x:c r="P710" s="16" t="n">
        <x:v>4</x:v>
      </x:c>
      <x:c r="Q710" s="16" t="n">
        <x:v>7</x:v>
      </x:c>
      <x:c r="R710" s="16" t="n">
        <x:v>5</x:v>
      </x:c>
      <x:c r="S710" s="16" t="n">
        <x:v>10</x:v>
      </x:c>
      <x:c r="T710" s="16" t="n">
        <x:v>5</x:v>
      </x:c>
      <x:c r="U710" s="16" t="n">
        <x:v>0</x:v>
      </x:c>
      <x:c r="V710" s="16" t="n">
        <x:v>0</x:v>
      </x:c>
      <x:c r="W710" s="16" t="n">
        <x:v>0</x:v>
      </x:c>
      <x:c r="X710" s="16" t="n">
        <x:v>0</x:v>
      </x:c>
      <x:c r="Y710" s="16" t="n">
        <x:v>0</x:v>
      </x:c>
      <x:c r="Z710" s="16" t="n">
        <x:v>0</x:v>
      </x:c>
      <x:c r="AA710" s="16" t="n">
        <x:v>3</x:v>
      </x:c>
      <x:c r="AB710" s="16" t="n">
        <x:v>11</x:v>
      </x:c>
      <x:c r="AC710" s="16" t="n">
        <x:v>0</x:v>
      </x:c>
      <x:c r="AD710" s="21" t="n">
        <x:f>IF(E710="",MEDIAN($E$2:$E$2237),E710)</x:f>
        <x:v>55250</x:v>
      </x:c>
      <x:c r="AE710" s="17" t="n">
        <x:f>2014-B710</x:f>
        <x:v>49</x:v>
      </x:c>
      <x:c r="AF710" s="17" t="n">
        <x:f>F710+G710</x:f>
        <x:v>1</x:v>
      </x:c>
      <x:c r="AG710" s="21" t="n">
        <x:f>SUM(J710:O710)</x:f>
        <x:v>903</x:v>
      </x:c>
      <x:c r="AH710" s="17" t="n">
        <x:f>SUM(Q710:S710)</x:f>
        <x:v>22</x:v>
      </x:c>
      <x:c r="AI710" s="17" t="n">
        <x:f>SUM(U710:Y710)</x:f>
        <x:v>0</x:v>
      </x:c>
      <x:c r="AJ710" s="17" t="str">
        <x:f>IF(AE710&lt;=34,"≤34",IF(AE710&lt;=44,"35–44",IF(AE710&lt;=54,"45–54",IF(AE710&lt;=64,"55–64","65+"))))</x:f>
        <x:v>45–54</x:v>
      </x:c>
      <x:c r="AK710" s="17" t="str">
        <x:f>IF(AG710&gt;=1000,"High Value",IF(AG710&gt;=300,"Mid Value","Low Value"))</x:f>
        <x:v>Mid Value</x:v>
      </x:c>
      <x:c r="AL710" s="17" t="str">
        <x:f>IF(AND(AI710&gt;=1,I710&lt;=50),"Priority 1",IF(AND(AG710&gt;=1000,I710&lt;=60),"Priority 2",IF(I710&lt;=30,"Priority 3","Nurture")))</x:f>
        <x:v>Nurture</x:v>
      </x:c>
    </x:row>
    <x:row r="711">
      <x:c r="A711" s="16" t="n">
        <x:v>1388</x:v>
      </x:c>
      <x:c r="B711" s="16" t="n">
        <x:v>1975</x:v>
      </x:c>
      <x:c r="C711" s="16" t="str">
        <x:v>Graduation</x:v>
      </x:c>
      <x:c r="D711" s="16" t="str">
        <x:v>Single</x:v>
      </x:c>
      <x:c r="E711" s="16" t="n">
        <x:v>33249</x:v>
      </x:c>
      <x:c r="F711" s="16" t="n">
        <x:v>1</x:v>
      </x:c>
      <x:c r="G711" s="16" t="n">
        <x:v>0</x:v>
      </x:c>
      <x:c r="H711" s="16" t="str">
        <x:v>20-02-2013</x:v>
      </x:c>
      <x:c r="I711" s="16" t="n">
        <x:v>11</x:v>
      </x:c>
      <x:c r="J711" s="16" t="n">
        <x:v>6</x:v>
      </x:c>
      <x:c r="K711" s="16" t="n">
        <x:v>10</x:v>
      </x:c>
      <x:c r="L711" s="16" t="n">
        <x:v>21</x:v>
      </x:c>
      <x:c r="M711" s="16" t="n">
        <x:v>19</x:v>
      </x:c>
      <x:c r="N711" s="16" t="n">
        <x:v>14</x:v>
      </x:c>
      <x:c r="O711" s="16" t="n">
        <x:v>42</x:v>
      </x:c>
      <x:c r="P711" s="16" t="n">
        <x:v>2</x:v>
      </x:c>
      <x:c r="Q711" s="16" t="n">
        <x:v>2</x:v>
      </x:c>
      <x:c r="R711" s="16" t="n">
        <x:v>1</x:v>
      </x:c>
      <x:c r="S711" s="16" t="n">
        <x:v>3</x:v>
      </x:c>
      <x:c r="T711" s="16" t="n">
        <x:v>6</x:v>
      </x:c>
      <x:c r="U711" s="16" t="n">
        <x:v>0</x:v>
      </x:c>
      <x:c r="V711" s="16" t="n">
        <x:v>0</x:v>
      </x:c>
      <x:c r="W711" s="16" t="n">
        <x:v>0</x:v>
      </x:c>
      <x:c r="X711" s="16" t="n">
        <x:v>0</x:v>
      </x:c>
      <x:c r="Y711" s="16" t="n">
        <x:v>0</x:v>
      </x:c>
      <x:c r="Z711" s="16" t="n">
        <x:v>0</x:v>
      </x:c>
      <x:c r="AA711" s="16" t="n">
        <x:v>3</x:v>
      </x:c>
      <x:c r="AB711" s="16" t="n">
        <x:v>11</x:v>
      </x:c>
      <x:c r="AC711" s="16" t="n">
        <x:v>0</x:v>
      </x:c>
      <x:c r="AD711" s="21" t="n">
        <x:f>IF(E711="",MEDIAN($E$2:$E$2237),E711)</x:f>
        <x:v>33249</x:v>
      </x:c>
      <x:c r="AE711" s="17" t="n">
        <x:f>2014-B711</x:f>
        <x:v>39</x:v>
      </x:c>
      <x:c r="AF711" s="17" t="n">
        <x:f>F711+G711</x:f>
        <x:v>1</x:v>
      </x:c>
      <x:c r="AG711" s="21" t="n">
        <x:f>SUM(J711:O711)</x:f>
        <x:v>112</x:v>
      </x:c>
      <x:c r="AH711" s="17" t="n">
        <x:f>SUM(Q711:S711)</x:f>
        <x:v>6</x:v>
      </x:c>
      <x:c r="AI711" s="17" t="n">
        <x:f>SUM(U711:Y711)</x:f>
        <x:v>0</x:v>
      </x:c>
      <x:c r="AJ711" s="17" t="str">
        <x:f>IF(AE711&lt;=34,"≤34",IF(AE711&lt;=44,"35–44",IF(AE711&lt;=54,"45–54",IF(AE711&lt;=64,"55–64","65+"))))</x:f>
        <x:v>35–44</x:v>
      </x:c>
      <x:c r="AK711" s="17" t="str">
        <x:f>IF(AG711&gt;=1000,"High Value",IF(AG711&gt;=300,"Mid Value","Low Value"))</x:f>
        <x:v>Low Value</x:v>
      </x:c>
      <x:c r="AL711" s="17" t="str">
        <x:f>IF(AND(AI711&gt;=1,I711&lt;=50),"Priority 1",IF(AND(AG711&gt;=1000,I711&lt;=60),"Priority 2",IF(I711&lt;=30,"Priority 3","Nurture")))</x:f>
        <x:v>Priority 3</x:v>
      </x:c>
    </x:row>
    <x:row r="712">
      <x:c r="A712" s="16" t="n">
        <x:v>1044</x:v>
      </x:c>
      <x:c r="B712" s="16" t="n">
        <x:v>1953</x:v>
      </x:c>
      <x:c r="C712" s="16" t="str">
        <x:v>Graduation</x:v>
      </x:c>
      <x:c r="D712" s="16" t="str">
        <x:v>Together</x:v>
      </x:c>
      <x:c r="E712" s="16" t="n">
        <x:v>58398</x:v>
      </x:c>
      <x:c r="F712" s="16" t="n">
        <x:v>0</x:v>
      </x:c>
      <x:c r="G712" s="16" t="n">
        <x:v>0</x:v>
      </x:c>
      <x:c r="H712" s="16" t="str">
        <x:v>14-05-2013</x:v>
      </x:c>
      <x:c r="I712" s="16" t="n">
        <x:v>44</x:v>
      </x:c>
      <x:c r="J712" s="16" t="n">
        <x:v>299</x:v>
      </x:c>
      <x:c r="K712" s="16" t="n">
        <x:v>5</x:v>
      </x:c>
      <x:c r="L712" s="16" t="n">
        <x:v>201</x:v>
      </x:c>
      <x:c r="M712" s="16" t="n">
        <x:v>21</x:v>
      </x:c>
      <x:c r="N712" s="16" t="n">
        <x:v>21</x:v>
      </x:c>
      <x:c r="O712" s="16" t="n">
        <x:v>49</x:v>
      </x:c>
      <x:c r="P712" s="16" t="n">
        <x:v>3</x:v>
      </x:c>
      <x:c r="Q712" s="16" t="n">
        <x:v>5</x:v>
      </x:c>
      <x:c r="R712" s="16" t="n">
        <x:v>4</x:v>
      </x:c>
      <x:c r="S712" s="16" t="n">
        <x:v>8</x:v>
      </x:c>
      <x:c r="T712" s="16" t="n">
        <x:v>4</x:v>
      </x:c>
      <x:c r="U712" s="16" t="n">
        <x:v>0</x:v>
      </x:c>
      <x:c r="V712" s="16" t="n">
        <x:v>0</x:v>
      </x:c>
      <x:c r="W712" s="16" t="n">
        <x:v>0</x:v>
      </x:c>
      <x:c r="X712" s="16" t="n">
        <x:v>0</x:v>
      </x:c>
      <x:c r="Y712" s="16" t="n">
        <x:v>0</x:v>
      </x:c>
      <x:c r="Z712" s="16" t="n">
        <x:v>0</x:v>
      </x:c>
      <x:c r="AA712" s="16" t="n">
        <x:v>3</x:v>
      </x:c>
      <x:c r="AB712" s="16" t="n">
        <x:v>11</x:v>
      </x:c>
      <x:c r="AC712" s="16" t="n">
        <x:v>0</x:v>
      </x:c>
      <x:c r="AD712" s="21" t="n">
        <x:f>IF(E712="",MEDIAN($E$2:$E$2237),E712)</x:f>
        <x:v>58398</x:v>
      </x:c>
      <x:c r="AE712" s="17" t="n">
        <x:f>2014-B712</x:f>
        <x:v>61</x:v>
      </x:c>
      <x:c r="AF712" s="17" t="n">
        <x:f>F712+G712</x:f>
        <x:v>0</x:v>
      </x:c>
      <x:c r="AG712" s="21" t="n">
        <x:f>SUM(J712:O712)</x:f>
        <x:v>596</x:v>
      </x:c>
      <x:c r="AH712" s="17" t="n">
        <x:f>SUM(Q712:S712)</x:f>
        <x:v>17</x:v>
      </x:c>
      <x:c r="AI712" s="17" t="n">
        <x:f>SUM(U712:Y712)</x:f>
        <x:v>0</x:v>
      </x:c>
      <x:c r="AJ712" s="17" t="str">
        <x:f>IF(AE712&lt;=34,"≤34",IF(AE712&lt;=44,"35–44",IF(AE712&lt;=54,"45–54",IF(AE712&lt;=64,"55–64","65+"))))</x:f>
        <x:v>55–64</x:v>
      </x:c>
      <x:c r="AK712" s="17" t="str">
        <x:f>IF(AG712&gt;=1000,"High Value",IF(AG712&gt;=300,"Mid Value","Low Value"))</x:f>
        <x:v>Mid Value</x:v>
      </x:c>
      <x:c r="AL712" s="17" t="str">
        <x:f>IF(AND(AI712&gt;=1,I712&lt;=50),"Priority 1",IF(AND(AG712&gt;=1000,I712&lt;=60),"Priority 2",IF(I712&lt;=30,"Priority 3","Nurture")))</x:f>
        <x:v>Nurture</x:v>
      </x:c>
    </x:row>
    <x:row r="713">
      <x:c r="A713" s="16" t="n">
        <x:v>6969</x:v>
      </x:c>
      <x:c r="B713" s="16" t="n">
        <x:v>1982</x:v>
      </x:c>
      <x:c r="C713" s="16" t="str">
        <x:v>Graduation</x:v>
      </x:c>
      <x:c r="D713" s="16" t="str">
        <x:v>Together</x:v>
      </x:c>
      <x:c r="E713" s="16" t="n">
        <x:v>50272</x:v>
      </x:c>
      <x:c r="F713" s="16" t="n">
        <x:v>1</x:v>
      </x:c>
      <x:c r="G713" s="16" t="n">
        <x:v>0</x:v>
      </x:c>
      <x:c r="H713" s="16" t="str">
        <x:v>07-08-2013</x:v>
      </x:c>
      <x:c r="I713" s="16" t="n">
        <x:v>75</x:v>
      </x:c>
      <x:c r="J713" s="16" t="n">
        <x:v>99</x:v>
      </x:c>
      <x:c r="K713" s="16" t="n">
        <x:v>13</x:v>
      </x:c>
      <x:c r="L713" s="16" t="n">
        <x:v>66</x:v>
      </x:c>
      <x:c r="M713" s="16" t="n">
        <x:v>43</x:v>
      </x:c>
      <x:c r="N713" s="16" t="n">
        <x:v>8</x:v>
      </x:c>
      <x:c r="O713" s="16" t="n">
        <x:v>4</x:v>
      </x:c>
      <x:c r="P713" s="16" t="n">
        <x:v>3</x:v>
      </x:c>
      <x:c r="Q713" s="16" t="n">
        <x:v>4</x:v>
      </x:c>
      <x:c r="R713" s="16" t="n">
        <x:v>1</x:v>
      </x:c>
      <x:c r="S713" s="16" t="n">
        <x:v>5</x:v>
      </x:c>
      <x:c r="T713" s="16" t="n">
        <x:v>7</x:v>
      </x:c>
      <x:c r="U713" s="16" t="n">
        <x:v>0</x:v>
      </x:c>
      <x:c r="V713" s="16" t="n">
        <x:v>0</x:v>
      </x:c>
      <x:c r="W713" s="16" t="n">
        <x:v>0</x:v>
      </x:c>
      <x:c r="X713" s="16" t="n">
        <x:v>0</x:v>
      </x:c>
      <x:c r="Y713" s="16" t="n">
        <x:v>0</x:v>
      </x:c>
      <x:c r="Z713" s="16" t="n">
        <x:v>0</x:v>
      </x:c>
      <x:c r="AA713" s="16" t="n">
        <x:v>3</x:v>
      </x:c>
      <x:c r="AB713" s="16" t="n">
        <x:v>11</x:v>
      </x:c>
      <x:c r="AC713" s="16" t="n">
        <x:v>0</x:v>
      </x:c>
      <x:c r="AD713" s="21" t="n">
        <x:f>IF(E713="",MEDIAN($E$2:$E$2237),E713)</x:f>
        <x:v>50272</x:v>
      </x:c>
      <x:c r="AE713" s="17" t="n">
        <x:f>2014-B713</x:f>
        <x:v>32</x:v>
      </x:c>
      <x:c r="AF713" s="17" t="n">
        <x:f>F713+G713</x:f>
        <x:v>1</x:v>
      </x:c>
      <x:c r="AG713" s="21" t="n">
        <x:f>SUM(J713:O713)</x:f>
        <x:v>233</x:v>
      </x:c>
      <x:c r="AH713" s="17" t="n">
        <x:f>SUM(Q713:S713)</x:f>
        <x:v>10</x:v>
      </x:c>
      <x:c r="AI713" s="17" t="n">
        <x:f>SUM(U713:Y713)</x:f>
        <x:v>0</x:v>
      </x:c>
      <x:c r="AJ713" s="17" t="str">
        <x:f>IF(AE713&lt;=34,"≤34",IF(AE713&lt;=44,"35–44",IF(AE713&lt;=54,"45–54",IF(AE713&lt;=64,"55–64","65+"))))</x:f>
        <x:v>≤34</x:v>
      </x:c>
      <x:c r="AK713" s="17" t="str">
        <x:f>IF(AG713&gt;=1000,"High Value",IF(AG713&gt;=300,"Mid Value","Low Value"))</x:f>
        <x:v>Low Value</x:v>
      </x:c>
      <x:c r="AL713" s="17" t="str">
        <x:f>IF(AND(AI713&gt;=1,I713&lt;=50),"Priority 1",IF(AND(AG713&gt;=1000,I713&lt;=60),"Priority 2",IF(I713&lt;=30,"Priority 3","Nurture")))</x:f>
        <x:v>Nurture</x:v>
      </x:c>
    </x:row>
    <x:row r="714">
      <x:c r="A714" s="16" t="n">
        <x:v>10479</x:v>
      </x:c>
      <x:c r="B714" s="16" t="n">
        <x:v>1975</x:v>
      </x:c>
      <x:c r="C714" s="16" t="str">
        <x:v>PhD</x:v>
      </x:c>
      <x:c r="D714" s="16" t="str">
        <x:v>Married</x:v>
      </x:c>
      <x:c r="E714" s="16" t="n">
        <x:v>76618</x:v>
      </x:c>
      <x:c r="F714" s="16" t="n">
        <x:v>0</x:v>
      </x:c>
      <x:c r="G714" s="16" t="n">
        <x:v>0</x:v>
      </x:c>
      <x:c r="H714" s="16" t="str">
        <x:v>07-12-2012</x:v>
      </x:c>
      <x:c r="I714" s="16" t="n">
        <x:v>64</x:v>
      </x:c>
      <x:c r="J714" s="16" t="n">
        <x:v>749</x:v>
      </x:c>
      <x:c r="K714" s="16" t="n">
        <x:v>40</x:v>
      </x:c>
      <x:c r="L714" s="16" t="n">
        <x:v>294</x:v>
      </x:c>
      <x:c r="M714" s="16" t="n">
        <x:v>121</x:v>
      </x:c>
      <x:c r="N714" s="16" t="n">
        <x:v>160</x:v>
      </x:c>
      <x:c r="O714" s="16" t="n">
        <x:v>147</x:v>
      </x:c>
      <x:c r="P714" s="16" t="n">
        <x:v>1</x:v>
      </x:c>
      <x:c r="Q714" s="16" t="n">
        <x:v>3</x:v>
      </x:c>
      <x:c r="R714" s="16" t="n">
        <x:v>2</x:v>
      </x:c>
      <x:c r="S714" s="16" t="n">
        <x:v>5</x:v>
      </x:c>
      <x:c r="T714" s="16" t="n">
        <x:v>1</x:v>
      </x:c>
      <x:c r="U714" s="16" t="n">
        <x:v>0</x:v>
      </x:c>
      <x:c r="V714" s="16" t="n">
        <x:v>0</x:v>
      </x:c>
      <x:c r="W714" s="16" t="n">
        <x:v>0</x:v>
      </x:c>
      <x:c r="X714" s="16" t="n">
        <x:v>0</x:v>
      </x:c>
      <x:c r="Y714" s="16" t="n">
        <x:v>0</x:v>
      </x:c>
      <x:c r="Z714" s="16" t="n">
        <x:v>0</x:v>
      </x:c>
      <x:c r="AA714" s="16" t="n">
        <x:v>3</x:v>
      </x:c>
      <x:c r="AB714" s="16" t="n">
        <x:v>11</x:v>
      </x:c>
      <x:c r="AC714" s="16" t="n">
        <x:v>0</x:v>
      </x:c>
      <x:c r="AD714" s="21" t="n">
        <x:f>IF(E714="",MEDIAN($E$2:$E$2237),E714)</x:f>
        <x:v>76618</x:v>
      </x:c>
      <x:c r="AE714" s="17" t="n">
        <x:f>2014-B714</x:f>
        <x:v>39</x:v>
      </x:c>
      <x:c r="AF714" s="17" t="n">
        <x:f>F714+G714</x:f>
        <x:v>0</x:v>
      </x:c>
      <x:c r="AG714" s="21" t="n">
        <x:f>SUM(J714:O714)</x:f>
        <x:v>1511</x:v>
      </x:c>
      <x:c r="AH714" s="17" t="n">
        <x:f>SUM(Q714:S714)</x:f>
        <x:v>10</x:v>
      </x:c>
      <x:c r="AI714" s="17" t="n">
        <x:f>SUM(U714:Y714)</x:f>
        <x:v>0</x:v>
      </x:c>
      <x:c r="AJ714" s="17" t="str">
        <x:f>IF(AE714&lt;=34,"≤34",IF(AE714&lt;=44,"35–44",IF(AE714&lt;=54,"45–54",IF(AE714&lt;=64,"55–64","65+"))))</x:f>
        <x:v>35–44</x:v>
      </x:c>
      <x:c r="AK714" s="17" t="str">
        <x:f>IF(AG714&gt;=1000,"High Value",IF(AG714&gt;=300,"Mid Value","Low Value"))</x:f>
        <x:v>High Value</x:v>
      </x:c>
      <x:c r="AL714" s="17" t="str">
        <x:f>IF(AND(AI714&gt;=1,I714&lt;=50),"Priority 1",IF(AND(AG714&gt;=1000,I714&lt;=60),"Priority 2",IF(I714&lt;=30,"Priority 3","Nurture")))</x:f>
        <x:v>Nurture</x:v>
      </x:c>
    </x:row>
    <x:row r="715">
      <x:c r="A715" s="16" t="n">
        <x:v>3619</x:v>
      </x:c>
      <x:c r="B715" s="16" t="n">
        <x:v>1960</x:v>
      </x:c>
      <x:c r="C715" s="16" t="str">
        <x:v>2n Cycle</x:v>
      </x:c>
      <x:c r="D715" s="16" t="str">
        <x:v>Divorced</x:v>
      </x:c>
      <x:c r="E715" s="16" t="n">
        <x:v>87305</x:v>
      </x:c>
      <x:c r="F715" s="16" t="n">
        <x:v>0</x:v>
      </x:c>
      <x:c r="G715" s="16" t="n">
        <x:v>0</x:v>
      </x:c>
      <x:c r="H715" s="16" t="str">
        <x:v>23-09-2012</x:v>
      </x:c>
      <x:c r="I715" s="16" t="n">
        <x:v>19</x:v>
      </x:c>
      <x:c r="J715" s="16" t="n">
        <x:v>345</x:v>
      </x:c>
      <x:c r="K715" s="16" t="n">
        <x:v>25</x:v>
      </x:c>
      <x:c r="L715" s="16" t="n">
        <x:v>501</x:v>
      </x:c>
      <x:c r="M715" s="16" t="n">
        <x:v>63</x:v>
      </x:c>
      <x:c r="N715" s="16" t="n">
        <x:v>138</x:v>
      </x:c>
      <x:c r="O715" s="16" t="n">
        <x:v>80</x:v>
      </x:c>
      <x:c r="P715" s="16" t="n">
        <x:v>1</x:v>
      </x:c>
      <x:c r="Q715" s="16" t="n">
        <x:v>5</x:v>
      </x:c>
      <x:c r="R715" s="16" t="n">
        <x:v>3</x:v>
      </x:c>
      <x:c r="S715" s="16" t="n">
        <x:v>8</x:v>
      </x:c>
      <x:c r="T715" s="16" t="n">
        <x:v>2</x:v>
      </x:c>
      <x:c r="U715" s="16" t="n">
        <x:v>0</x:v>
      </x:c>
      <x:c r="V715" s="16" t="n">
        <x:v>0</x:v>
      </x:c>
      <x:c r="W715" s="16" t="n">
        <x:v>1</x:v>
      </x:c>
      <x:c r="X715" s="16" t="n">
        <x:v>0</x:v>
      </x:c>
      <x:c r="Y715" s="16" t="n">
        <x:v>0</x:v>
      </x:c>
      <x:c r="Z715" s="16" t="n">
        <x:v>0</x:v>
      </x:c>
      <x:c r="AA715" s="16" t="n">
        <x:v>3</x:v>
      </x:c>
      <x:c r="AB715" s="16" t="n">
        <x:v>11</x:v>
      </x:c>
      <x:c r="AC715" s="16" t="n">
        <x:v>1</x:v>
      </x:c>
      <x:c r="AD715" s="21" t="n">
        <x:f>IF(E715="",MEDIAN($E$2:$E$2237),E715)</x:f>
        <x:v>87305</x:v>
      </x:c>
      <x:c r="AE715" s="17" t="n">
        <x:f>2014-B715</x:f>
        <x:v>54</x:v>
      </x:c>
      <x:c r="AF715" s="17" t="n">
        <x:f>F715+G715</x:f>
        <x:v>0</x:v>
      </x:c>
      <x:c r="AG715" s="21" t="n">
        <x:f>SUM(J715:O715)</x:f>
        <x:v>1152</x:v>
      </x:c>
      <x:c r="AH715" s="17" t="n">
        <x:f>SUM(Q715:S715)</x:f>
        <x:v>16</x:v>
      </x:c>
      <x:c r="AI715" s="17" t="n">
        <x:f>SUM(U715:Y715)</x:f>
        <x:v>1</x:v>
      </x:c>
      <x:c r="AJ715" s="17" t="str">
        <x:f>IF(AE715&lt;=34,"≤34",IF(AE715&lt;=44,"35–44",IF(AE715&lt;=54,"45–54",IF(AE715&lt;=64,"55–64","65+"))))</x:f>
        <x:v>45–54</x:v>
      </x:c>
      <x:c r="AK715" s="17" t="str">
        <x:f>IF(AG715&gt;=1000,"High Value",IF(AG715&gt;=300,"Mid Value","Low Value"))</x:f>
        <x:v>High Value</x:v>
      </x:c>
      <x:c r="AL715" s="17" t="str">
        <x:f>IF(AND(AI715&gt;=1,I715&lt;=50),"Priority 1",IF(AND(AG715&gt;=1000,I715&lt;=60),"Priority 2",IF(I715&lt;=30,"Priority 3","Nurture")))</x:f>
        <x:v>Priority 1</x:v>
      </x:c>
    </x:row>
    <x:row r="716">
      <x:c r="A716" s="16" t="n">
        <x:v>1715</x:v>
      </x:c>
      <x:c r="B716" s="16" t="n">
        <x:v>1978</x:v>
      </x:c>
      <x:c r="C716" s="16" t="str">
        <x:v>Graduation</x:v>
      </x:c>
      <x:c r="D716" s="16" t="str">
        <x:v>Together</x:v>
      </x:c>
      <x:c r="E716" s="16" t="n">
        <x:v>25851</x:v>
      </x:c>
      <x:c r="F716" s="16" t="n">
        <x:v>1</x:v>
      </x:c>
      <x:c r="G716" s="16" t="n">
        <x:v>0</x:v>
      </x:c>
      <x:c r="H716" s="16" t="str">
        <x:v>11-02-2013</x:v>
      </x:c>
      <x:c r="I716" s="16" t="n">
        <x:v>45</x:v>
      </x:c>
      <x:c r="J716" s="16" t="n">
        <x:v>9</x:v>
      </x:c>
      <x:c r="K716" s="16" t="n">
        <x:v>4</x:v>
      </x:c>
      <x:c r="L716" s="16" t="n">
        <x:v>18</x:v>
      </x:c>
      <x:c r="M716" s="16" t="n">
        <x:v>7</x:v>
      </x:c>
      <x:c r="N716" s="16" t="n">
        <x:v>5</x:v>
      </x:c>
      <x:c r="O716" s="16" t="n">
        <x:v>5</x:v>
      </x:c>
      <x:c r="P716" s="16" t="n">
        <x:v>2</x:v>
      </x:c>
      <x:c r="Q716" s="16" t="n">
        <x:v>2</x:v>
      </x:c>
      <x:c r="R716" s="16" t="n">
        <x:v>0</x:v>
      </x:c>
      <x:c r="S716" s="16" t="n">
        <x:v>3</x:v>
      </x:c>
      <x:c r="T716" s="16" t="n">
        <x:v>7</x:v>
      </x:c>
      <x:c r="U716" s="16" t="n">
        <x:v>0</x:v>
      </x:c>
      <x:c r="V716" s="16" t="n">
        <x:v>0</x:v>
      </x:c>
      <x:c r="W716" s="16" t="n">
        <x:v>0</x:v>
      </x:c>
      <x:c r="X716" s="16" t="n">
        <x:v>0</x:v>
      </x:c>
      <x:c r="Y716" s="16" t="n">
        <x:v>0</x:v>
      </x:c>
      <x:c r="Z716" s="16" t="n">
        <x:v>0</x:v>
      </x:c>
      <x:c r="AA716" s="16" t="n">
        <x:v>3</x:v>
      </x:c>
      <x:c r="AB716" s="16" t="n">
        <x:v>11</x:v>
      </x:c>
      <x:c r="AC716" s="16" t="n">
        <x:v>0</x:v>
      </x:c>
      <x:c r="AD716" s="21" t="n">
        <x:f>IF(E716="",MEDIAN($E$2:$E$2237),E716)</x:f>
        <x:v>25851</x:v>
      </x:c>
      <x:c r="AE716" s="17" t="n">
        <x:f>2014-B716</x:f>
        <x:v>36</x:v>
      </x:c>
      <x:c r="AF716" s="17" t="n">
        <x:f>F716+G716</x:f>
        <x:v>1</x:v>
      </x:c>
      <x:c r="AG716" s="21" t="n">
        <x:f>SUM(J716:O716)</x:f>
        <x:v>48</x:v>
      </x:c>
      <x:c r="AH716" s="17" t="n">
        <x:f>SUM(Q716:S716)</x:f>
        <x:v>5</x:v>
      </x:c>
      <x:c r="AI716" s="17" t="n">
        <x:f>SUM(U716:Y716)</x:f>
        <x:v>0</x:v>
      </x:c>
      <x:c r="AJ716" s="17" t="str">
        <x:f>IF(AE716&lt;=34,"≤34",IF(AE716&lt;=44,"35–44",IF(AE716&lt;=54,"45–54",IF(AE716&lt;=64,"55–64","65+"))))</x:f>
        <x:v>35–44</x:v>
      </x:c>
      <x:c r="AK716" s="17" t="str">
        <x:f>IF(AG716&gt;=1000,"High Value",IF(AG716&gt;=300,"Mid Value","Low Value"))</x:f>
        <x:v>Low Value</x:v>
      </x:c>
      <x:c r="AL716" s="17" t="str">
        <x:f>IF(AND(AI716&gt;=1,I716&lt;=50),"Priority 1",IF(AND(AG716&gt;=1000,I716&lt;=60),"Priority 2",IF(I716&lt;=30,"Priority 3","Nurture")))</x:f>
        <x:v>Nurture</x:v>
      </x:c>
    </x:row>
    <x:row r="717">
      <x:c r="A717" s="16" t="n">
        <x:v>10159</x:v>
      </x:c>
      <x:c r="B717" s="16" t="n">
        <x:v>1970</x:v>
      </x:c>
      <x:c r="C717" s="16" t="str">
        <x:v>Graduation</x:v>
      </x:c>
      <x:c r="D717" s="16" t="str">
        <x:v>Divorced</x:v>
      </x:c>
      <x:c r="E717" s="16" t="n">
        <x:v>58710</x:v>
      </x:c>
      <x:c r="F717" s="16" t="n">
        <x:v>0</x:v>
      </x:c>
      <x:c r="G717" s="16" t="n">
        <x:v>1</x:v>
      </x:c>
      <x:c r="H717" s="16" t="str">
        <x:v>31-03-2013</x:v>
      </x:c>
      <x:c r="I717" s="16" t="n">
        <x:v>77</x:v>
      </x:c>
      <x:c r="J717" s="16" t="n">
        <x:v>440</x:v>
      </x:c>
      <x:c r="K717" s="16" t="n">
        <x:v>81</x:v>
      </x:c>
      <x:c r="L717" s="16" t="n">
        <x:v>368</x:v>
      </x:c>
      <x:c r="M717" s="16" t="n">
        <x:v>0</x:v>
      </x:c>
      <x:c r="N717" s="16" t="n">
        <x:v>122</x:v>
      </x:c>
      <x:c r="O717" s="16" t="n">
        <x:v>174</x:v>
      </x:c>
      <x:c r="P717" s="16" t="n">
        <x:v>6</x:v>
      </x:c>
      <x:c r="Q717" s="16" t="n">
        <x:v>11</x:v>
      </x:c>
      <x:c r="R717" s="16" t="n">
        <x:v>5</x:v>
      </x:c>
      <x:c r="S717" s="16" t="n">
        <x:v>9</x:v>
      </x:c>
      <x:c r="T717" s="16" t="n">
        <x:v>6</x:v>
      </x:c>
      <x:c r="U717" s="16" t="n">
        <x:v>0</x:v>
      </x:c>
      <x:c r="V717" s="16" t="n">
        <x:v>0</x:v>
      </x:c>
      <x:c r="W717" s="16" t="n">
        <x:v>0</x:v>
      </x:c>
      <x:c r="X717" s="16" t="n">
        <x:v>0</x:v>
      </x:c>
      <x:c r="Y717" s="16" t="n">
        <x:v>0</x:v>
      </x:c>
      <x:c r="Z717" s="16" t="n">
        <x:v>0</x:v>
      </x:c>
      <x:c r="AA717" s="16" t="n">
        <x:v>3</x:v>
      </x:c>
      <x:c r="AB717" s="16" t="n">
        <x:v>11</x:v>
      </x:c>
      <x:c r="AC717" s="16" t="n">
        <x:v>0</x:v>
      </x:c>
      <x:c r="AD717" s="21" t="n">
        <x:f>IF(E717="",MEDIAN($E$2:$E$2237),E717)</x:f>
        <x:v>58710</x:v>
      </x:c>
      <x:c r="AE717" s="17" t="n">
        <x:f>2014-B717</x:f>
        <x:v>44</x:v>
      </x:c>
      <x:c r="AF717" s="17" t="n">
        <x:f>F717+G717</x:f>
        <x:v>1</x:v>
      </x:c>
      <x:c r="AG717" s="21" t="n">
        <x:f>SUM(J717:O717)</x:f>
        <x:v>1185</x:v>
      </x:c>
      <x:c r="AH717" s="17" t="n">
        <x:f>SUM(Q717:S717)</x:f>
        <x:v>25</x:v>
      </x:c>
      <x:c r="AI717" s="17" t="n">
        <x:f>SUM(U717:Y717)</x:f>
        <x:v>0</x:v>
      </x:c>
      <x:c r="AJ717" s="17" t="str">
        <x:f>IF(AE717&lt;=34,"≤34",IF(AE717&lt;=44,"35–44",IF(AE717&lt;=54,"45–54",IF(AE717&lt;=64,"55–64","65+"))))</x:f>
        <x:v>35–44</x:v>
      </x:c>
      <x:c r="AK717" s="17" t="str">
        <x:f>IF(AG717&gt;=1000,"High Value",IF(AG717&gt;=300,"Mid Value","Low Value"))</x:f>
        <x:v>High Value</x:v>
      </x:c>
      <x:c r="AL717" s="17" t="str">
        <x:f>IF(AND(AI717&gt;=1,I717&lt;=50),"Priority 1",IF(AND(AG717&gt;=1000,I717&lt;=60),"Priority 2",IF(I717&lt;=30,"Priority 3","Nurture")))</x:f>
        <x:v>Nurture</x:v>
      </x:c>
    </x:row>
    <x:row r="718">
      <x:c r="A718" s="16" t="n">
        <x:v>1463</x:v>
      </x:c>
      <x:c r="B718" s="16" t="n">
        <x:v>1958</x:v>
      </x:c>
      <x:c r="C718" s="16" t="str">
        <x:v>Graduation</x:v>
      </x:c>
      <x:c r="D718" s="16" t="str">
        <x:v>Single</x:v>
      </x:c>
      <x:c r="E718" s="16" t="n">
        <x:v>45160</x:v>
      </x:c>
      <x:c r="F718" s="16" t="n">
        <x:v>1</x:v>
      </x:c>
      <x:c r="G718" s="16" t="n">
        <x:v>1</x:v>
      </x:c>
      <x:c r="H718" s="16" t="str">
        <x:v>29-03-2014</x:v>
      </x:c>
      <x:c r="I718" s="16" t="n">
        <x:v>9</x:v>
      </x:c>
      <x:c r="J718" s="16" t="n">
        <x:v>8</x:v>
      </x:c>
      <x:c r="K718" s="16" t="n">
        <x:v>2</x:v>
      </x:c>
      <x:c r="L718" s="16" t="n">
        <x:v>5</x:v>
      </x:c>
      <x:c r="M718" s="16" t="n">
        <x:v>3</x:v>
      </x:c>
      <x:c r="N718" s="16" t="n">
        <x:v>0</x:v>
      </x:c>
      <x:c r="O718" s="16" t="n">
        <x:v>3</x:v>
      </x:c>
      <x:c r="P718" s="16" t="n">
        <x:v>1</x:v>
      </x:c>
      <x:c r="Q718" s="16" t="n">
        <x:v>1</x:v>
      </x:c>
      <x:c r="R718" s="16" t="n">
        <x:v>0</x:v>
      </x:c>
      <x:c r="S718" s="16" t="n">
        <x:v>2</x:v>
      </x:c>
      <x:c r="T718" s="16" t="n">
        <x:v>7</x:v>
      </x:c>
      <x:c r="U718" s="16" t="n">
        <x:v>0</x:v>
      </x:c>
      <x:c r="V718" s="16" t="n">
        <x:v>0</x:v>
      </x:c>
      <x:c r="W718" s="16" t="n">
        <x:v>0</x:v>
      </x:c>
      <x:c r="X718" s="16" t="n">
        <x:v>0</x:v>
      </x:c>
      <x:c r="Y718" s="16" t="n">
        <x:v>0</x:v>
      </x:c>
      <x:c r="Z718" s="16" t="n">
        <x:v>0</x:v>
      </x:c>
      <x:c r="AA718" s="16" t="n">
        <x:v>3</x:v>
      </x:c>
      <x:c r="AB718" s="16" t="n">
        <x:v>11</x:v>
      </x:c>
      <x:c r="AC718" s="16" t="n">
        <x:v>0</x:v>
      </x:c>
      <x:c r="AD718" s="21" t="n">
        <x:f>IF(E718="",MEDIAN($E$2:$E$2237),E718)</x:f>
        <x:v>45160</x:v>
      </x:c>
      <x:c r="AE718" s="17" t="n">
        <x:f>2014-B718</x:f>
        <x:v>56</x:v>
      </x:c>
      <x:c r="AF718" s="17" t="n">
        <x:f>F718+G718</x:f>
        <x:v>2</x:v>
      </x:c>
      <x:c r="AG718" s="21" t="n">
        <x:f>SUM(J718:O718)</x:f>
        <x:v>21</x:v>
      </x:c>
      <x:c r="AH718" s="17" t="n">
        <x:f>SUM(Q718:S718)</x:f>
        <x:v>3</x:v>
      </x:c>
      <x:c r="AI718" s="17" t="n">
        <x:f>SUM(U718:Y718)</x:f>
        <x:v>0</x:v>
      </x:c>
      <x:c r="AJ718" s="17" t="str">
        <x:f>IF(AE718&lt;=34,"≤34",IF(AE718&lt;=44,"35–44",IF(AE718&lt;=54,"45–54",IF(AE718&lt;=64,"55–64","65+"))))</x:f>
        <x:v>55–64</x:v>
      </x:c>
      <x:c r="AK718" s="17" t="str">
        <x:f>IF(AG718&gt;=1000,"High Value",IF(AG718&gt;=300,"Mid Value","Low Value"))</x:f>
        <x:v>Low Value</x:v>
      </x:c>
      <x:c r="AL718" s="17" t="str">
        <x:f>IF(AND(AI718&gt;=1,I718&lt;=50),"Priority 1",IF(AND(AG718&gt;=1000,I718&lt;=60),"Priority 2",IF(I718&lt;=30,"Priority 3","Nurture")))</x:f>
        <x:v>Priority 3</x:v>
      </x:c>
    </x:row>
    <x:row r="719">
      <x:c r="A719" s="16" t="n">
        <x:v>5114</x:v>
      </x:c>
      <x:c r="B719" s="16" t="n">
        <x:v>1965</x:v>
      </x:c>
      <x:c r="C719" s="16" t="str">
        <x:v>Master</x:v>
      </x:c>
      <x:c r="D719" s="16" t="str">
        <x:v>Married</x:v>
      </x:c>
      <x:c r="E719" s="16" t="n">
        <x:v>74806</x:v>
      </x:c>
      <x:c r="F719" s="16" t="n">
        <x:v>0</x:v>
      </x:c>
      <x:c r="G719" s="16" t="n">
        <x:v>1</x:v>
      </x:c>
      <x:c r="H719" s="16" t="str">
        <x:v>19-12-2012</x:v>
      </x:c>
      <x:c r="I719" s="16" t="n">
        <x:v>1</x:v>
      </x:c>
      <x:c r="J719" s="16" t="n">
        <x:v>670</x:v>
      </x:c>
      <x:c r="K719" s="16" t="n">
        <x:v>9</x:v>
      </x:c>
      <x:c r="L719" s="16" t="n">
        <x:v>249</x:v>
      </x:c>
      <x:c r="M719" s="16" t="n">
        <x:v>0</x:v>
      </x:c>
      <x:c r="N719" s="16" t="n">
        <x:v>28</x:v>
      </x:c>
      <x:c r="O719" s="16" t="n">
        <x:v>9</x:v>
      </x:c>
      <x:c r="P719" s="16" t="n">
        <x:v>2</x:v>
      </x:c>
      <x:c r="Q719" s="16" t="n">
        <x:v>5</x:v>
      </x:c>
      <x:c r="R719" s="16" t="n">
        <x:v>4</x:v>
      </x:c>
      <x:c r="S719" s="16" t="n">
        <x:v>5</x:v>
      </x:c>
      <x:c r="T719" s="16" t="n">
        <x:v>4</x:v>
      </x:c>
      <x:c r="U719" s="16" t="n">
        <x:v>0</x:v>
      </x:c>
      <x:c r="V719" s="16" t="n">
        <x:v>0</x:v>
      </x:c>
      <x:c r="W719" s="16" t="n">
        <x:v>0</x:v>
      </x:c>
      <x:c r="X719" s="16" t="n">
        <x:v>0</x:v>
      </x:c>
      <x:c r="Y719" s="16" t="n">
        <x:v>0</x:v>
      </x:c>
      <x:c r="Z719" s="16" t="n">
        <x:v>0</x:v>
      </x:c>
      <x:c r="AA719" s="16" t="n">
        <x:v>3</x:v>
      </x:c>
      <x:c r="AB719" s="16" t="n">
        <x:v>11</x:v>
      </x:c>
      <x:c r="AC719" s="16" t="n">
        <x:v>0</x:v>
      </x:c>
      <x:c r="AD719" s="21" t="n">
        <x:f>IF(E719="",MEDIAN($E$2:$E$2237),E719)</x:f>
        <x:v>74806</x:v>
      </x:c>
      <x:c r="AE719" s="17" t="n">
        <x:f>2014-B719</x:f>
        <x:v>49</x:v>
      </x:c>
      <x:c r="AF719" s="17" t="n">
        <x:f>F719+G719</x:f>
        <x:v>1</x:v>
      </x:c>
      <x:c r="AG719" s="21" t="n">
        <x:f>SUM(J719:O719)</x:f>
        <x:v>965</x:v>
      </x:c>
      <x:c r="AH719" s="17" t="n">
        <x:f>SUM(Q719:S719)</x:f>
        <x:v>14</x:v>
      </x:c>
      <x:c r="AI719" s="17" t="n">
        <x:f>SUM(U719:Y719)</x:f>
        <x:v>0</x:v>
      </x:c>
      <x:c r="AJ719" s="17" t="str">
        <x:f>IF(AE719&lt;=34,"≤34",IF(AE719&lt;=44,"35–44",IF(AE719&lt;=54,"45–54",IF(AE719&lt;=64,"55–64","65+"))))</x:f>
        <x:v>45–54</x:v>
      </x:c>
      <x:c r="AK719" s="17" t="str">
        <x:f>IF(AG719&gt;=1000,"High Value",IF(AG719&gt;=300,"Mid Value","Low Value"))</x:f>
        <x:v>Mid Value</x:v>
      </x:c>
      <x:c r="AL719" s="17" t="str">
        <x:f>IF(AND(AI719&gt;=1,I719&lt;=50),"Priority 1",IF(AND(AG719&gt;=1000,I719&lt;=60),"Priority 2",IF(I719&lt;=30,"Priority 3","Nurture")))</x:f>
        <x:v>Priority 3</x:v>
      </x:c>
    </x:row>
    <x:row r="720">
      <x:c r="A720" s="16" t="n">
        <x:v>4990</x:v>
      </x:c>
      <x:c r="B720" s="16" t="n">
        <x:v>1954</x:v>
      </x:c>
      <x:c r="C720" s="16" t="str">
        <x:v>Graduation</x:v>
      </x:c>
      <x:c r="D720" s="16" t="str">
        <x:v>Married</x:v>
      </x:c>
      <x:c r="E720" s="16" t="n">
        <x:v>59111</x:v>
      </x:c>
      <x:c r="F720" s="16" t="n">
        <x:v>0</x:v>
      </x:c>
      <x:c r="G720" s="16" t="n">
        <x:v>0</x:v>
      </x:c>
      <x:c r="H720" s="16" t="str">
        <x:v>02-05-2013</x:v>
      </x:c>
      <x:c r="I720" s="16" t="n">
        <x:v>90</x:v>
      </x:c>
      <x:c r="J720" s="16" t="n">
        <x:v>524</x:v>
      </x:c>
      <x:c r="K720" s="16" t="n">
        <x:v>0</x:v>
      </x:c>
      <x:c r="L720" s="16" t="n">
        <x:v>134</x:v>
      </x:c>
      <x:c r="M720" s="16" t="n">
        <x:v>28</x:v>
      </x:c>
      <x:c r="N720" s="16" t="n">
        <x:v>28</x:v>
      </x:c>
      <x:c r="O720" s="16" t="n">
        <x:v>155</x:v>
      </x:c>
      <x:c r="P720" s="16" t="n">
        <x:v>1</x:v>
      </x:c>
      <x:c r="Q720" s="16" t="n">
        <x:v>11</x:v>
      </x:c>
      <x:c r="R720" s="16" t="n">
        <x:v>1</x:v>
      </x:c>
      <x:c r="S720" s="16" t="n">
        <x:v>8</x:v>
      </x:c>
      <x:c r="T720" s="16" t="n">
        <x:v>7</x:v>
      </x:c>
      <x:c r="U720" s="16" t="n">
        <x:v>0</x:v>
      </x:c>
      <x:c r="V720" s="16" t="n">
        <x:v>0</x:v>
      </x:c>
      <x:c r="W720" s="16" t="n">
        <x:v>0</x:v>
      </x:c>
      <x:c r="X720" s="16" t="n">
        <x:v>0</x:v>
      </x:c>
      <x:c r="Y720" s="16" t="n">
        <x:v>0</x:v>
      </x:c>
      <x:c r="Z720" s="16" t="n">
        <x:v>0</x:v>
      </x:c>
      <x:c r="AA720" s="16" t="n">
        <x:v>3</x:v>
      </x:c>
      <x:c r="AB720" s="16" t="n">
        <x:v>11</x:v>
      </x:c>
      <x:c r="AC720" s="16" t="n">
        <x:v>0</x:v>
      </x:c>
      <x:c r="AD720" s="21" t="n">
        <x:f>IF(E720="",MEDIAN($E$2:$E$2237),E720)</x:f>
        <x:v>59111</x:v>
      </x:c>
      <x:c r="AE720" s="17" t="n">
        <x:f>2014-B720</x:f>
        <x:v>60</x:v>
      </x:c>
      <x:c r="AF720" s="17" t="n">
        <x:f>F720+G720</x:f>
        <x:v>0</x:v>
      </x:c>
      <x:c r="AG720" s="21" t="n">
        <x:f>SUM(J720:O720)</x:f>
        <x:v>869</x:v>
      </x:c>
      <x:c r="AH720" s="17" t="n">
        <x:f>SUM(Q720:S720)</x:f>
        <x:v>20</x:v>
      </x:c>
      <x:c r="AI720" s="17" t="n">
        <x:f>SUM(U720:Y720)</x:f>
        <x:v>0</x:v>
      </x:c>
      <x:c r="AJ720" s="17" t="str">
        <x:f>IF(AE720&lt;=34,"≤34",IF(AE720&lt;=44,"35–44",IF(AE720&lt;=54,"45–54",IF(AE720&lt;=64,"55–64","65+"))))</x:f>
        <x:v>55–64</x:v>
      </x:c>
      <x:c r="AK720" s="17" t="str">
        <x:f>IF(AG720&gt;=1000,"High Value",IF(AG720&gt;=300,"Mid Value","Low Value"))</x:f>
        <x:v>Mid Value</x:v>
      </x:c>
      <x:c r="AL720" s="17" t="str">
        <x:f>IF(AND(AI720&gt;=1,I720&lt;=50),"Priority 1",IF(AND(AG720&gt;=1000,I720&lt;=60),"Priority 2",IF(I720&lt;=30,"Priority 3","Nurture")))</x:f>
        <x:v>Nurture</x:v>
      </x:c>
    </x:row>
    <x:row r="721">
      <x:c r="A721" s="16" t="n">
        <x:v>4329</x:v>
      </x:c>
      <x:c r="B721" s="16" t="n">
        <x:v>1984</x:v>
      </x:c>
      <x:c r="C721" s="16" t="str">
        <x:v>PhD</x:v>
      </x:c>
      <x:c r="D721" s="16" t="str">
        <x:v>Married</x:v>
      </x:c>
      <x:c r="E721" s="16" t="n">
        <x:v>18988</x:v>
      </x:c>
      <x:c r="F721" s="16" t="n">
        <x:v>1</x:v>
      </x:c>
      <x:c r="G721" s="16" t="n">
        <x:v>0</x:v>
      </x:c>
      <x:c r="H721" s="16" t="str">
        <x:v>23-05-2014</x:v>
      </x:c>
      <x:c r="I721" s="16" t="n">
        <x:v>43</x:v>
      </x:c>
      <x:c r="J721" s="16" t="n">
        <x:v>6</x:v>
      </x:c>
      <x:c r="K721" s="16" t="n">
        <x:v>0</x:v>
      </x:c>
      <x:c r="L721" s="16" t="n">
        <x:v>6</x:v>
      </x:c>
      <x:c r="M721" s="16" t="n">
        <x:v>2</x:v>
      </x:c>
      <x:c r="N721" s="16" t="n">
        <x:v>1</x:v>
      </x:c>
      <x:c r="O721" s="16" t="n">
        <x:v>1</x:v>
      </x:c>
      <x:c r="P721" s="16" t="n">
        <x:v>2</x:v>
      </x:c>
      <x:c r="Q721" s="16" t="n">
        <x:v>1</x:v>
      </x:c>
      <x:c r="R721" s="16" t="n">
        <x:v>0</x:v>
      </x:c>
      <x:c r="S721" s="16" t="n">
        <x:v>3</x:v>
      </x:c>
      <x:c r="T721" s="16" t="n">
        <x:v>7</x:v>
      </x:c>
      <x:c r="U721" s="16" t="n">
        <x:v>0</x:v>
      </x:c>
      <x:c r="V721" s="16" t="n">
        <x:v>0</x:v>
      </x:c>
      <x:c r="W721" s="16" t="n">
        <x:v>0</x:v>
      </x:c>
      <x:c r="X721" s="16" t="n">
        <x:v>0</x:v>
      </x:c>
      <x:c r="Y721" s="16" t="n">
        <x:v>0</x:v>
      </x:c>
      <x:c r="Z721" s="16" t="n">
        <x:v>0</x:v>
      </x:c>
      <x:c r="AA721" s="16" t="n">
        <x:v>3</x:v>
      </x:c>
      <x:c r="AB721" s="16" t="n">
        <x:v>11</x:v>
      </x:c>
      <x:c r="AC721" s="16" t="n">
        <x:v>0</x:v>
      </x:c>
      <x:c r="AD721" s="21" t="n">
        <x:f>IF(E721="",MEDIAN($E$2:$E$2237),E721)</x:f>
        <x:v>18988</x:v>
      </x:c>
      <x:c r="AE721" s="17" t="n">
        <x:f>2014-B721</x:f>
        <x:v>30</x:v>
      </x:c>
      <x:c r="AF721" s="17" t="n">
        <x:f>F721+G721</x:f>
        <x:v>1</x:v>
      </x:c>
      <x:c r="AG721" s="21" t="n">
        <x:f>SUM(J721:O721)</x:f>
        <x:v>16</x:v>
      </x:c>
      <x:c r="AH721" s="17" t="n">
        <x:f>SUM(Q721:S721)</x:f>
        <x:v>4</x:v>
      </x:c>
      <x:c r="AI721" s="17" t="n">
        <x:f>SUM(U721:Y721)</x:f>
        <x:v>0</x:v>
      </x:c>
      <x:c r="AJ721" s="17" t="str">
        <x:f>IF(AE721&lt;=34,"≤34",IF(AE721&lt;=44,"35–44",IF(AE721&lt;=54,"45–54",IF(AE721&lt;=64,"55–64","65+"))))</x:f>
        <x:v>≤34</x:v>
      </x:c>
      <x:c r="AK721" s="17" t="str">
        <x:f>IF(AG721&gt;=1000,"High Value",IF(AG721&gt;=300,"Mid Value","Low Value"))</x:f>
        <x:v>Low Value</x:v>
      </x:c>
      <x:c r="AL721" s="17" t="str">
        <x:f>IF(AND(AI721&gt;=1,I721&lt;=50),"Priority 1",IF(AND(AG721&gt;=1000,I721&lt;=60),"Priority 2",IF(I721&lt;=30,"Priority 3","Nurture")))</x:f>
        <x:v>Nurture</x:v>
      </x:c>
    </x:row>
    <x:row r="722">
      <x:c r="A722" s="16" t="n">
        <x:v>10936</x:v>
      </x:c>
      <x:c r="B722" s="16" t="n">
        <x:v>1965</x:v>
      </x:c>
      <x:c r="C722" s="16" t="str">
        <x:v>Graduation</x:v>
      </x:c>
      <x:c r="D722" s="16" t="str">
        <x:v>Married</x:v>
      </x:c>
      <x:c r="E722" s="16" t="n">
        <x:v>72190</x:v>
      </x:c>
      <x:c r="F722" s="16" t="n">
        <x:v>0</x:v>
      </x:c>
      <x:c r="G722" s="16" t="n">
        <x:v>0</x:v>
      </x:c>
      <x:c r="H722" s="16" t="str">
        <x:v>13-02-2013</x:v>
      </x:c>
      <x:c r="I722" s="16" t="n">
        <x:v>79</x:v>
      </x:c>
      <x:c r="J722" s="16" t="n">
        <x:v>597</x:v>
      </x:c>
      <x:c r="K722" s="16" t="n">
        <x:v>166</x:v>
      </x:c>
      <x:c r="L722" s="16" t="n">
        <x:v>597</x:v>
      </x:c>
      <x:c r="M722" s="16" t="n">
        <x:v>172</x:v>
      </x:c>
      <x:c r="N722" s="16" t="n">
        <x:v>166</x:v>
      </x:c>
      <x:c r="O722" s="16" t="n">
        <x:v>249</x:v>
      </x:c>
      <x:c r="P722" s="16" t="n">
        <x:v>1</x:v>
      </x:c>
      <x:c r="Q722" s="16" t="n">
        <x:v>5</x:v>
      </x:c>
      <x:c r="R722" s="16" t="n">
        <x:v>6</x:v>
      </x:c>
      <x:c r="S722" s="16" t="n">
        <x:v>4</x:v>
      </x:c>
      <x:c r="T722" s="16" t="n">
        <x:v>3</x:v>
      </x:c>
      <x:c r="U722" s="16" t="n">
        <x:v>0</x:v>
      </x:c>
      <x:c r="V722" s="16" t="n">
        <x:v>0</x:v>
      </x:c>
      <x:c r="W722" s="16" t="n">
        <x:v>0</x:v>
      </x:c>
      <x:c r="X722" s="16" t="n">
        <x:v>0</x:v>
      </x:c>
      <x:c r="Y722" s="16" t="n">
        <x:v>0</x:v>
      </x:c>
      <x:c r="Z722" s="16" t="n">
        <x:v>0</x:v>
      </x:c>
      <x:c r="AA722" s="16" t="n">
        <x:v>3</x:v>
      </x:c>
      <x:c r="AB722" s="16" t="n">
        <x:v>11</x:v>
      </x:c>
      <x:c r="AC722" s="16" t="n">
        <x:v>0</x:v>
      </x:c>
      <x:c r="AD722" s="21" t="n">
        <x:f>IF(E722="",MEDIAN($E$2:$E$2237),E722)</x:f>
        <x:v>72190</x:v>
      </x:c>
      <x:c r="AE722" s="17" t="n">
        <x:f>2014-B722</x:f>
        <x:v>49</x:v>
      </x:c>
      <x:c r="AF722" s="17" t="n">
        <x:f>F722+G722</x:f>
        <x:v>0</x:v>
      </x:c>
      <x:c r="AG722" s="21" t="n">
        <x:f>SUM(J722:O722)</x:f>
        <x:v>1947</x:v>
      </x:c>
      <x:c r="AH722" s="17" t="n">
        <x:f>SUM(Q722:S722)</x:f>
        <x:v>15</x:v>
      </x:c>
      <x:c r="AI722" s="17" t="n">
        <x:f>SUM(U722:Y722)</x:f>
        <x:v>0</x:v>
      </x:c>
      <x:c r="AJ722" s="17" t="str">
        <x:f>IF(AE722&lt;=34,"≤34",IF(AE722&lt;=44,"35–44",IF(AE722&lt;=54,"45–54",IF(AE722&lt;=64,"55–64","65+"))))</x:f>
        <x:v>45–54</x:v>
      </x:c>
      <x:c r="AK722" s="17" t="str">
        <x:f>IF(AG722&gt;=1000,"High Value",IF(AG722&gt;=300,"Mid Value","Low Value"))</x:f>
        <x:v>High Value</x:v>
      </x:c>
      <x:c r="AL722" s="17" t="str">
        <x:f>IF(AND(AI722&gt;=1,I722&lt;=50),"Priority 1",IF(AND(AG722&gt;=1000,I722&lt;=60),"Priority 2",IF(I722&lt;=30,"Priority 3","Nurture")))</x:f>
        <x:v>Nurture</x:v>
      </x:c>
    </x:row>
    <x:row r="723">
      <x:c r="A723" s="16" t="n">
        <x:v>4692</x:v>
      </x:c>
      <x:c r="B723" s="16" t="n">
        <x:v>1976</x:v>
      </x:c>
      <x:c r="C723" s="16" t="str">
        <x:v>Graduation</x:v>
      </x:c>
      <x:c r="D723" s="16" t="str">
        <x:v>Married</x:v>
      </x:c>
      <x:c r="E723" s="16" t="n">
        <x:v>7500</x:v>
      </x:c>
      <x:c r="F723" s="16" t="n">
        <x:v>1</x:v>
      </x:c>
      <x:c r="G723" s="16" t="n">
        <x:v>0</x:v>
      </x:c>
      <x:c r="H723" s="16" t="str">
        <x:v>01-08-2012</x:v>
      </x:c>
      <x:c r="I723" s="16" t="n">
        <x:v>19</x:v>
      </x:c>
      <x:c r="J723" s="16" t="n">
        <x:v>7</x:v>
      </x:c>
      <x:c r="K723" s="16" t="n">
        <x:v>0</x:v>
      </x:c>
      <x:c r="L723" s="16" t="n">
        <x:v>12</x:v>
      </x:c>
      <x:c r="M723" s="16" t="n">
        <x:v>13</x:v>
      </x:c>
      <x:c r="N723" s="16" t="n">
        <x:v>7</x:v>
      </x:c>
      <x:c r="O723" s="16" t="n">
        <x:v>32</x:v>
      </x:c>
      <x:c r="P723" s="16" t="n">
        <x:v>5</x:v>
      </x:c>
      <x:c r="Q723" s="16" t="n">
        <x:v>4</x:v>
      </x:c>
      <x:c r="R723" s="16" t="n">
        <x:v>1</x:v>
      </x:c>
      <x:c r="S723" s="16" t="n">
        <x:v>2</x:v>
      </x:c>
      <x:c r="T723" s="16" t="n">
        <x:v>9</x:v>
      </x:c>
      <x:c r="U723" s="16" t="n">
        <x:v>1</x:v>
      </x:c>
      <x:c r="V723" s="16" t="n">
        <x:v>0</x:v>
      </x:c>
      <x:c r="W723" s="16" t="n">
        <x:v>0</x:v>
      </x:c>
      <x:c r="X723" s="16" t="n">
        <x:v>0</x:v>
      </x:c>
      <x:c r="Y723" s="16" t="n">
        <x:v>0</x:v>
      </x:c>
      <x:c r="Z723" s="16" t="n">
        <x:v>0</x:v>
      </x:c>
      <x:c r="AA723" s="16" t="n">
        <x:v>3</x:v>
      </x:c>
      <x:c r="AB723" s="16" t="n">
        <x:v>11</x:v>
      </x:c>
      <x:c r="AC723" s="16" t="n">
        <x:v>1</x:v>
      </x:c>
      <x:c r="AD723" s="21" t="n">
        <x:f>IF(E723="",MEDIAN($E$2:$E$2237),E723)</x:f>
        <x:v>7500</x:v>
      </x:c>
      <x:c r="AE723" s="17" t="n">
        <x:f>2014-B723</x:f>
        <x:v>38</x:v>
      </x:c>
      <x:c r="AF723" s="17" t="n">
        <x:f>F723+G723</x:f>
        <x:v>1</x:v>
      </x:c>
      <x:c r="AG723" s="21" t="n">
        <x:f>SUM(J723:O723)</x:f>
        <x:v>71</x:v>
      </x:c>
      <x:c r="AH723" s="17" t="n">
        <x:f>SUM(Q723:S723)</x:f>
        <x:v>7</x:v>
      </x:c>
      <x:c r="AI723" s="17" t="n">
        <x:f>SUM(U723:Y723)</x:f>
        <x:v>1</x:v>
      </x:c>
      <x:c r="AJ723" s="17" t="str">
        <x:f>IF(AE723&lt;=34,"≤34",IF(AE723&lt;=44,"35–44",IF(AE723&lt;=54,"45–54",IF(AE723&lt;=64,"55–64","65+"))))</x:f>
        <x:v>35–44</x:v>
      </x:c>
      <x:c r="AK723" s="17" t="str">
        <x:f>IF(AG723&gt;=1000,"High Value",IF(AG723&gt;=300,"Mid Value","Low Value"))</x:f>
        <x:v>Low Value</x:v>
      </x:c>
      <x:c r="AL723" s="17" t="str">
        <x:f>IF(AND(AI723&gt;=1,I723&lt;=50),"Priority 1",IF(AND(AG723&gt;=1000,I723&lt;=60),"Priority 2",IF(I723&lt;=30,"Priority 3","Nurture")))</x:f>
        <x:v>Priority 1</x:v>
      </x:c>
    </x:row>
    <x:row r="724">
      <x:c r="A724" s="16" t="n">
        <x:v>7212</x:v>
      </x:c>
      <x:c r="B724" s="16" t="n">
        <x:v>1966</x:v>
      </x:c>
      <x:c r="C724" s="16" t="str">
        <x:v>Graduation</x:v>
      </x:c>
      <x:c r="D724" s="16" t="str">
        <x:v>Married</x:v>
      </x:c>
      <x:c r="E724" s="16" t="n">
        <x:v>44794</x:v>
      </x:c>
      <x:c r="F724" s="16" t="n">
        <x:v>0</x:v>
      </x:c>
      <x:c r="G724" s="16" t="n">
        <x:v>1</x:v>
      </x:c>
      <x:c r="H724" s="16" t="str">
        <x:v>08-06-2014</x:v>
      </x:c>
      <x:c r="I724" s="16" t="n">
        <x:v>99</x:v>
      </x:c>
      <x:c r="J724" s="16" t="n">
        <x:v>54</x:v>
      </x:c>
      <x:c r="K724" s="16" t="n">
        <x:v>0</x:v>
      </x:c>
      <x:c r="L724" s="16" t="n">
        <x:v>7</x:v>
      </x:c>
      <x:c r="M724" s="16" t="n">
        <x:v>0</x:v>
      </x:c>
      <x:c r="N724" s="16" t="n">
        <x:v>0</x:v>
      </x:c>
      <x:c r="O724" s="16" t="n">
        <x:v>4</x:v>
      </x:c>
      <x:c r="P724" s="16" t="n">
        <x:v>1</x:v>
      </x:c>
      <x:c r="Q724" s="16" t="n">
        <x:v>2</x:v>
      </x:c>
      <x:c r="R724" s="16" t="n">
        <x:v>0</x:v>
      </x:c>
      <x:c r="S724" s="16" t="n">
        <x:v>3</x:v>
      </x:c>
      <x:c r="T724" s="16" t="n">
        <x:v>6</x:v>
      </x:c>
      <x:c r="U724" s="16" t="n">
        <x:v>0</x:v>
      </x:c>
      <x:c r="V724" s="16" t="n">
        <x:v>0</x:v>
      </x:c>
      <x:c r="W724" s="16" t="n">
        <x:v>0</x:v>
      </x:c>
      <x:c r="X724" s="16" t="n">
        <x:v>0</x:v>
      </x:c>
      <x:c r="Y724" s="16" t="n">
        <x:v>0</x:v>
      </x:c>
      <x:c r="Z724" s="16" t="n">
        <x:v>0</x:v>
      </x:c>
      <x:c r="AA724" s="16" t="n">
        <x:v>3</x:v>
      </x:c>
      <x:c r="AB724" s="16" t="n">
        <x:v>11</x:v>
      </x:c>
      <x:c r="AC724" s="16" t="n">
        <x:v>0</x:v>
      </x:c>
      <x:c r="AD724" s="21" t="n">
        <x:f>IF(E724="",MEDIAN($E$2:$E$2237),E724)</x:f>
        <x:v>44794</x:v>
      </x:c>
      <x:c r="AE724" s="17" t="n">
        <x:f>2014-B724</x:f>
        <x:v>48</x:v>
      </x:c>
      <x:c r="AF724" s="17" t="n">
        <x:f>F724+G724</x:f>
        <x:v>1</x:v>
      </x:c>
      <x:c r="AG724" s="21" t="n">
        <x:f>SUM(J724:O724)</x:f>
        <x:v>65</x:v>
      </x:c>
      <x:c r="AH724" s="17" t="n">
        <x:f>SUM(Q724:S724)</x:f>
        <x:v>5</x:v>
      </x:c>
      <x:c r="AI724" s="17" t="n">
        <x:f>SUM(U724:Y724)</x:f>
        <x:v>0</x:v>
      </x:c>
      <x:c r="AJ724" s="17" t="str">
        <x:f>IF(AE724&lt;=34,"≤34",IF(AE724&lt;=44,"35–44",IF(AE724&lt;=54,"45–54",IF(AE724&lt;=64,"55–64","65+"))))</x:f>
        <x:v>45–54</x:v>
      </x:c>
      <x:c r="AK724" s="17" t="str">
        <x:f>IF(AG724&gt;=1000,"High Value",IF(AG724&gt;=300,"Mid Value","Low Value"))</x:f>
        <x:v>Low Value</x:v>
      </x:c>
      <x:c r="AL724" s="17" t="str">
        <x:f>IF(AND(AI724&gt;=1,I724&lt;=50),"Priority 1",IF(AND(AG724&gt;=1000,I724&lt;=60),"Priority 2",IF(I724&lt;=30,"Priority 3","Nurture")))</x:f>
        <x:v>Nurture</x:v>
      </x:c>
    </x:row>
    <x:row r="725">
      <x:c r="A725" s="16" t="n">
        <x:v>6086</x:v>
      </x:c>
      <x:c r="B725" s="16" t="n">
        <x:v>1955</x:v>
      </x:c>
      <x:c r="C725" s="16" t="str">
        <x:v>Graduation</x:v>
      </x:c>
      <x:c r="D725" s="16" t="str">
        <x:v>Married</x:v>
      </x:c>
      <x:c r="E725" s="16" t="n">
        <x:v>80395</x:v>
      </x:c>
      <x:c r="F725" s="16" t="n">
        <x:v>0</x:v>
      </x:c>
      <x:c r="G725" s="16" t="n">
        <x:v>0</x:v>
      </x:c>
      <x:c r="H725" s="16" t="str">
        <x:v>23-11-2013</x:v>
      </x:c>
      <x:c r="I725" s="16" t="n">
        <x:v>62</x:v>
      </x:c>
      <x:c r="J725" s="16" t="n">
        <x:v>445</x:v>
      </x:c>
      <x:c r="K725" s="16" t="n">
        <x:v>25</x:v>
      </x:c>
      <x:c r="L725" s="16" t="n">
        <x:v>706</x:v>
      </x:c>
      <x:c r="M725" s="16" t="n">
        <x:v>80</x:v>
      </x:c>
      <x:c r="N725" s="16" t="n">
        <x:v>76</x:v>
      </x:c>
      <x:c r="O725" s="16" t="n">
        <x:v>48</x:v>
      </x:c>
      <x:c r="P725" s="16" t="n">
        <x:v>1</x:v>
      </x:c>
      <x:c r="Q725" s="16" t="n">
        <x:v>6</x:v>
      </x:c>
      <x:c r="R725" s="16" t="n">
        <x:v>5</x:v>
      </x:c>
      <x:c r="S725" s="16" t="n">
        <x:v>12</x:v>
      </x:c>
      <x:c r="T725" s="16" t="n">
        <x:v>2</x:v>
      </x:c>
      <x:c r="U725" s="16" t="n">
        <x:v>0</x:v>
      </x:c>
      <x:c r="V725" s="16" t="n">
        <x:v>0</x:v>
      </x:c>
      <x:c r="W725" s="16" t="n">
        <x:v>0</x:v>
      </x:c>
      <x:c r="X725" s="16" t="n">
        <x:v>1</x:v>
      </x:c>
      <x:c r="Y725" s="16" t="n">
        <x:v>0</x:v>
      </x:c>
      <x:c r="Z725" s="16" t="n">
        <x:v>0</x:v>
      </x:c>
      <x:c r="AA725" s="16" t="n">
        <x:v>3</x:v>
      </x:c>
      <x:c r="AB725" s="16" t="n">
        <x:v>11</x:v>
      </x:c>
      <x:c r="AC725" s="16" t="n">
        <x:v>0</x:v>
      </x:c>
      <x:c r="AD725" s="21" t="n">
        <x:f>IF(E725="",MEDIAN($E$2:$E$2237),E725)</x:f>
        <x:v>80395</x:v>
      </x:c>
      <x:c r="AE725" s="17" t="n">
        <x:f>2014-B725</x:f>
        <x:v>59</x:v>
      </x:c>
      <x:c r="AF725" s="17" t="n">
        <x:f>F725+G725</x:f>
        <x:v>0</x:v>
      </x:c>
      <x:c r="AG725" s="21" t="n">
        <x:f>SUM(J725:O725)</x:f>
        <x:v>1380</x:v>
      </x:c>
      <x:c r="AH725" s="17" t="n">
        <x:f>SUM(Q725:S725)</x:f>
        <x:v>23</x:v>
      </x:c>
      <x:c r="AI725" s="17" t="n">
        <x:f>SUM(U725:Y725)</x:f>
        <x:v>1</x:v>
      </x:c>
      <x:c r="AJ725" s="17" t="str">
        <x:f>IF(AE725&lt;=34,"≤34",IF(AE725&lt;=44,"35–44",IF(AE725&lt;=54,"45–54",IF(AE725&lt;=64,"55–64","65+"))))</x:f>
        <x:v>55–64</x:v>
      </x:c>
      <x:c r="AK725" s="17" t="str">
        <x:f>IF(AG725&gt;=1000,"High Value",IF(AG725&gt;=300,"Mid Value","Low Value"))</x:f>
        <x:v>High Value</x:v>
      </x:c>
      <x:c r="AL725" s="17" t="str">
        <x:f>IF(AND(AI725&gt;=1,I725&lt;=50),"Priority 1",IF(AND(AG725&gt;=1000,I725&lt;=60),"Priority 2",IF(I725&lt;=30,"Priority 3","Nurture")))</x:f>
        <x:v>Nurture</x:v>
      </x:c>
    </x:row>
    <x:row r="726">
      <x:c r="A726" s="16" t="n">
        <x:v>437</x:v>
      </x:c>
      <x:c r="B726" s="16" t="n">
        <x:v>1976</x:v>
      </x:c>
      <x:c r="C726" s="16" t="str">
        <x:v>Master</x:v>
      </x:c>
      <x:c r="D726" s="16" t="str">
        <x:v>Divorced</x:v>
      </x:c>
      <x:c r="E726" s="16" t="n">
        <x:v>75012</x:v>
      </x:c>
      <x:c r="F726" s="16" t="n">
        <x:v>0</x:v>
      </x:c>
      <x:c r="G726" s="16" t="n">
        <x:v>0</x:v>
      </x:c>
      <x:c r="H726" s="16" t="str">
        <x:v>25-01-2014</x:v>
      </x:c>
      <x:c r="I726" s="16" t="n">
        <x:v>41</x:v>
      </x:c>
      <x:c r="J726" s="16" t="n">
        <x:v>294</x:v>
      </x:c>
      <x:c r="K726" s="16" t="n">
        <x:v>142</x:v>
      </x:c>
      <x:c r="L726" s="16" t="n">
        <x:v>218</x:v>
      </x:c>
      <x:c r="M726" s="16" t="n">
        <x:v>164</x:v>
      </x:c>
      <x:c r="N726" s="16" t="n">
        <x:v>58</x:v>
      </x:c>
      <x:c r="O726" s="16" t="n">
        <x:v>151</x:v>
      </x:c>
      <x:c r="P726" s="16" t="n">
        <x:v>1</x:v>
      </x:c>
      <x:c r="Q726" s="16" t="n">
        <x:v>3</x:v>
      </x:c>
      <x:c r="R726" s="16" t="n">
        <x:v>8</x:v>
      </x:c>
      <x:c r="S726" s="16" t="n">
        <x:v>11</x:v>
      </x:c>
      <x:c r="T726" s="16" t="n">
        <x:v>1</x:v>
      </x:c>
      <x:c r="U726" s="16" t="n">
        <x:v>0</x:v>
      </x:c>
      <x:c r="V726" s="16" t="n">
        <x:v>0</x:v>
      </x:c>
      <x:c r="W726" s="16" t="n">
        <x:v>0</x:v>
      </x:c>
      <x:c r="X726" s="16" t="n">
        <x:v>0</x:v>
      </x:c>
      <x:c r="Y726" s="16" t="n">
        <x:v>0</x:v>
      </x:c>
      <x:c r="Z726" s="16" t="n">
        <x:v>0</x:v>
      </x:c>
      <x:c r="AA726" s="16" t="n">
        <x:v>3</x:v>
      </x:c>
      <x:c r="AB726" s="16" t="n">
        <x:v>11</x:v>
      </x:c>
      <x:c r="AC726" s="16" t="n">
        <x:v>0</x:v>
      </x:c>
      <x:c r="AD726" s="21" t="n">
        <x:f>IF(E726="",MEDIAN($E$2:$E$2237),E726)</x:f>
        <x:v>75012</x:v>
      </x:c>
      <x:c r="AE726" s="17" t="n">
        <x:f>2014-B726</x:f>
        <x:v>38</x:v>
      </x:c>
      <x:c r="AF726" s="17" t="n">
        <x:f>F726+G726</x:f>
        <x:v>0</x:v>
      </x:c>
      <x:c r="AG726" s="21" t="n">
        <x:f>SUM(J726:O726)</x:f>
        <x:v>1027</x:v>
      </x:c>
      <x:c r="AH726" s="17" t="n">
        <x:f>SUM(Q726:S726)</x:f>
        <x:v>22</x:v>
      </x:c>
      <x:c r="AI726" s="17" t="n">
        <x:f>SUM(U726:Y726)</x:f>
        <x:v>0</x:v>
      </x:c>
      <x:c r="AJ726" s="17" t="str">
        <x:f>IF(AE726&lt;=34,"≤34",IF(AE726&lt;=44,"35–44",IF(AE726&lt;=54,"45–54",IF(AE726&lt;=64,"55–64","65+"))))</x:f>
        <x:v>35–44</x:v>
      </x:c>
      <x:c r="AK726" s="17" t="str">
        <x:f>IF(AG726&gt;=1000,"High Value",IF(AG726&gt;=300,"Mid Value","Low Value"))</x:f>
        <x:v>High Value</x:v>
      </x:c>
      <x:c r="AL726" s="17" t="str">
        <x:f>IF(AND(AI726&gt;=1,I726&lt;=50),"Priority 1",IF(AND(AG726&gt;=1000,I726&lt;=60),"Priority 2",IF(I726&lt;=30,"Priority 3","Nurture")))</x:f>
        <x:v>Priority 2</x:v>
      </x:c>
    </x:row>
    <x:row r="727">
      <x:c r="A727" s="16" t="n">
        <x:v>11171</x:v>
      </x:c>
      <x:c r="B727" s="16" t="n">
        <x:v>1965</x:v>
      </x:c>
      <x:c r="C727" s="16" t="str">
        <x:v>Master</x:v>
      </x:c>
      <x:c r="D727" s="16" t="str">
        <x:v>Married</x:v>
      </x:c>
      <x:c r="E727" s="16" t="n">
        <x:v>56962</x:v>
      </x:c>
      <x:c r="F727" s="16" t="n">
        <x:v>2</x:v>
      </x:c>
      <x:c r="G727" s="16" t="n">
        <x:v>1</x:v>
      </x:c>
      <x:c r="H727" s="16" t="str">
        <x:v>11-10-2013</x:v>
      </x:c>
      <x:c r="I727" s="16" t="n">
        <x:v>60</x:v>
      </x:c>
      <x:c r="J727" s="16" t="n">
        <x:v>292</x:v>
      </x:c>
      <x:c r="K727" s="16" t="n">
        <x:v>3</x:v>
      </x:c>
      <x:c r="L727" s="16" t="n">
        <x:v>77</x:v>
      </x:c>
      <x:c r="M727" s="16" t="n">
        <x:v>10</x:v>
      </x:c>
      <x:c r="N727" s="16" t="n">
        <x:v>3</x:v>
      </x:c>
      <x:c r="O727" s="16" t="n">
        <x:v>26</x:v>
      </x:c>
      <x:c r="P727" s="16" t="n">
        <x:v>7</x:v>
      </x:c>
      <x:c r="Q727" s="16" t="n">
        <x:v>6</x:v>
      </x:c>
      <x:c r="R727" s="16" t="n">
        <x:v>3</x:v>
      </x:c>
      <x:c r="S727" s="16" t="n">
        <x:v>5</x:v>
      </x:c>
      <x:c r="T727" s="16" t="n">
        <x:v>7</x:v>
      </x:c>
      <x:c r="U727" s="16" t="n">
        <x:v>0</x:v>
      </x:c>
      <x:c r="V727" s="16" t="n">
        <x:v>0</x:v>
      </x:c>
      <x:c r="W727" s="16" t="n">
        <x:v>0</x:v>
      </x:c>
      <x:c r="X727" s="16" t="n">
        <x:v>0</x:v>
      </x:c>
      <x:c r="Y727" s="16" t="n">
        <x:v>0</x:v>
      </x:c>
      <x:c r="Z727" s="16" t="n">
        <x:v>0</x:v>
      </x:c>
      <x:c r="AA727" s="16" t="n">
        <x:v>3</x:v>
      </x:c>
      <x:c r="AB727" s="16" t="n">
        <x:v>11</x:v>
      </x:c>
      <x:c r="AC727" s="16" t="n">
        <x:v>0</x:v>
      </x:c>
      <x:c r="AD727" s="21" t="n">
        <x:f>IF(E727="",MEDIAN($E$2:$E$2237),E727)</x:f>
        <x:v>56962</x:v>
      </x:c>
      <x:c r="AE727" s="17" t="n">
        <x:f>2014-B727</x:f>
        <x:v>49</x:v>
      </x:c>
      <x:c r="AF727" s="17" t="n">
        <x:f>F727+G727</x:f>
        <x:v>3</x:v>
      </x:c>
      <x:c r="AG727" s="21" t="n">
        <x:f>SUM(J727:O727)</x:f>
        <x:v>411</x:v>
      </x:c>
      <x:c r="AH727" s="17" t="n">
        <x:f>SUM(Q727:S727)</x:f>
        <x:v>14</x:v>
      </x:c>
      <x:c r="AI727" s="17" t="n">
        <x:f>SUM(U727:Y727)</x:f>
        <x:v>0</x:v>
      </x:c>
      <x:c r="AJ727" s="17" t="str">
        <x:f>IF(AE727&lt;=34,"≤34",IF(AE727&lt;=44,"35–44",IF(AE727&lt;=54,"45–54",IF(AE727&lt;=64,"55–64","65+"))))</x:f>
        <x:v>45–54</x:v>
      </x:c>
      <x:c r="AK727" s="17" t="str">
        <x:f>IF(AG727&gt;=1000,"High Value",IF(AG727&gt;=300,"Mid Value","Low Value"))</x:f>
        <x:v>Mid Value</x:v>
      </x:c>
      <x:c r="AL727" s="17" t="str">
        <x:f>IF(AND(AI727&gt;=1,I727&lt;=50),"Priority 1",IF(AND(AG727&gt;=1000,I727&lt;=60),"Priority 2",IF(I727&lt;=30,"Priority 3","Nurture")))</x:f>
        <x:v>Nurture</x:v>
      </x:c>
    </x:row>
    <x:row r="728">
      <x:c r="A728" s="16" t="n">
        <x:v>11101</x:v>
      </x:c>
      <x:c r="B728" s="16" t="n">
        <x:v>1991</x:v>
      </x:c>
      <x:c r="C728" s="16" t="str">
        <x:v>Graduation</x:v>
      </x:c>
      <x:c r="D728" s="16" t="str">
        <x:v>Together</x:v>
      </x:c>
      <x:c r="E728" s="16" t="n">
        <x:v>89891</x:v>
      </x:c>
      <x:c r="F728" s="16" t="n">
        <x:v>0</x:v>
      </x:c>
      <x:c r="G728" s="16" t="n">
        <x:v>0</x:v>
      </x:c>
      <x:c r="H728" s="16" t="str">
        <x:v>15-04-2013</x:v>
      </x:c>
      <x:c r="I728" s="16" t="n">
        <x:v>17</x:v>
      </x:c>
      <x:c r="J728" s="16" t="n">
        <x:v>412</x:v>
      </x:c>
      <x:c r="K728" s="16" t="n">
        <x:v>22</x:v>
      </x:c>
      <x:c r="L728" s="16" t="n">
        <x:v>132</x:v>
      </x:c>
      <x:c r="M728" s="16" t="n">
        <x:v>59</x:v>
      </x:c>
      <x:c r="N728" s="16" t="n">
        <x:v>28</x:v>
      </x:c>
      <x:c r="O728" s="16" t="n">
        <x:v>183</x:v>
      </x:c>
      <x:c r="P728" s="16" t="n">
        <x:v>1</x:v>
      </x:c>
      <x:c r="Q728" s="16" t="n">
        <x:v>11</x:v>
      </x:c>
      <x:c r="R728" s="16" t="n">
        <x:v>6</x:v>
      </x:c>
      <x:c r="S728" s="16" t="n">
        <x:v>8</x:v>
      </x:c>
      <x:c r="T728" s="16" t="n">
        <x:v>4</x:v>
      </x:c>
      <x:c r="U728" s="16" t="n">
        <x:v>0</x:v>
      </x:c>
      <x:c r="V728" s="16" t="n">
        <x:v>0</x:v>
      </x:c>
      <x:c r="W728" s="16" t="n">
        <x:v>1</x:v>
      </x:c>
      <x:c r="X728" s="16" t="n">
        <x:v>0</x:v>
      </x:c>
      <x:c r="Y728" s="16" t="n">
        <x:v>0</x:v>
      </x:c>
      <x:c r="Z728" s="16" t="n">
        <x:v>0</x:v>
      </x:c>
      <x:c r="AA728" s="16" t="n">
        <x:v>3</x:v>
      </x:c>
      <x:c r="AB728" s="16" t="n">
        <x:v>11</x:v>
      </x:c>
      <x:c r="AC728" s="16" t="n">
        <x:v>0</x:v>
      </x:c>
      <x:c r="AD728" s="21" t="n">
        <x:f>IF(E728="",MEDIAN($E$2:$E$2237),E728)</x:f>
        <x:v>89891</x:v>
      </x:c>
      <x:c r="AE728" s="17" t="n">
        <x:f>2014-B728</x:f>
        <x:v>23</x:v>
      </x:c>
      <x:c r="AF728" s="17" t="n">
        <x:f>F728+G728</x:f>
        <x:v>0</x:v>
      </x:c>
      <x:c r="AG728" s="21" t="n">
        <x:f>SUM(J728:O728)</x:f>
        <x:v>836</x:v>
      </x:c>
      <x:c r="AH728" s="17" t="n">
        <x:f>SUM(Q728:S728)</x:f>
        <x:v>25</x:v>
      </x:c>
      <x:c r="AI728" s="17" t="n">
        <x:f>SUM(U728:Y728)</x:f>
        <x:v>1</x:v>
      </x:c>
      <x:c r="AJ728" s="17" t="str">
        <x:f>IF(AE728&lt;=34,"≤34",IF(AE728&lt;=44,"35–44",IF(AE728&lt;=54,"45–54",IF(AE728&lt;=64,"55–64","65+"))))</x:f>
        <x:v>≤34</x:v>
      </x:c>
      <x:c r="AK728" s="17" t="str">
        <x:f>IF(AG728&gt;=1000,"High Value",IF(AG728&gt;=300,"Mid Value","Low Value"))</x:f>
        <x:v>Mid Value</x:v>
      </x:c>
      <x:c r="AL728" s="17" t="str">
        <x:f>IF(AND(AI728&gt;=1,I728&lt;=50),"Priority 1",IF(AND(AG728&gt;=1000,I728&lt;=60),"Priority 2",IF(I728&lt;=30,"Priority 3","Nurture")))</x:f>
        <x:v>Priority 1</x:v>
      </x:c>
    </x:row>
    <x:row r="729">
      <x:c r="A729" s="16" t="n">
        <x:v>5329</x:v>
      </x:c>
      <x:c r="B729" s="16" t="n">
        <x:v>1949</x:v>
      </x:c>
      <x:c r="C729" s="16" t="str">
        <x:v>PhD</x:v>
      </x:c>
      <x:c r="D729" s="16" t="str">
        <x:v>Divorced</x:v>
      </x:c>
      <x:c r="E729" s="16" t="n">
        <x:v>35946</x:v>
      </x:c>
      <x:c r="F729" s="16" t="n">
        <x:v>1</x:v>
      </x:c>
      <x:c r="G729" s="16" t="n">
        <x:v>1</x:v>
      </x:c>
      <x:c r="H729" s="16" t="str">
        <x:v>27-09-2013</x:v>
      </x:c>
      <x:c r="I729" s="16" t="n">
        <x:v>24</x:v>
      </x:c>
      <x:c r="J729" s="16" t="n">
        <x:v>8</x:v>
      </x:c>
      <x:c r="K729" s="16" t="n">
        <x:v>0</x:v>
      </x:c>
      <x:c r="L729" s="16" t="n">
        <x:v>3</x:v>
      </x:c>
      <x:c r="M729" s="16" t="n">
        <x:v>0</x:v>
      </x:c>
      <x:c r="N729" s="16" t="n">
        <x:v>0</x:v>
      </x:c>
      <x:c r="O729" s="16" t="n">
        <x:v>0</x:v>
      </x:c>
      <x:c r="P729" s="16" t="n">
        <x:v>1</x:v>
      </x:c>
      <x:c r="Q729" s="16" t="n">
        <x:v>0</x:v>
      </x:c>
      <x:c r="R729" s="16" t="n">
        <x:v>0</x:v>
      </x:c>
      <x:c r="S729" s="16" t="n">
        <x:v>3</x:v>
      </x:c>
      <x:c r="T729" s="16" t="n">
        <x:v>5</x:v>
      </x:c>
      <x:c r="U729" s="16" t="n">
        <x:v>0</x:v>
      </x:c>
      <x:c r="V729" s="16" t="n">
        <x:v>0</x:v>
      </x:c>
      <x:c r="W729" s="16" t="n">
        <x:v>0</x:v>
      </x:c>
      <x:c r="X729" s="16" t="n">
        <x:v>0</x:v>
      </x:c>
      <x:c r="Y729" s="16" t="n">
        <x:v>0</x:v>
      </x:c>
      <x:c r="Z729" s="16" t="n">
        <x:v>0</x:v>
      </x:c>
      <x:c r="AA729" s="16" t="n">
        <x:v>3</x:v>
      </x:c>
      <x:c r="AB729" s="16" t="n">
        <x:v>11</x:v>
      </x:c>
      <x:c r="AC729" s="16" t="n">
        <x:v>0</x:v>
      </x:c>
      <x:c r="AD729" s="21" t="n">
        <x:f>IF(E729="",MEDIAN($E$2:$E$2237),E729)</x:f>
        <x:v>35946</x:v>
      </x:c>
      <x:c r="AE729" s="17" t="n">
        <x:f>2014-B729</x:f>
        <x:v>65</x:v>
      </x:c>
      <x:c r="AF729" s="17" t="n">
        <x:f>F729+G729</x:f>
        <x:v>2</x:v>
      </x:c>
      <x:c r="AG729" s="21" t="n">
        <x:f>SUM(J729:O729)</x:f>
        <x:v>11</x:v>
      </x:c>
      <x:c r="AH729" s="17" t="n">
        <x:f>SUM(Q729:S729)</x:f>
        <x:v>3</x:v>
      </x:c>
      <x:c r="AI729" s="17" t="n">
        <x:f>SUM(U729:Y729)</x:f>
        <x:v>0</x:v>
      </x:c>
      <x:c r="AJ729" s="17" t="str">
        <x:f>IF(AE729&lt;=34,"≤34",IF(AE729&lt;=44,"35–44",IF(AE729&lt;=54,"45–54",IF(AE729&lt;=64,"55–64","65+"))))</x:f>
        <x:v>65+</x:v>
      </x:c>
      <x:c r="AK729" s="17" t="str">
        <x:f>IF(AG729&gt;=1000,"High Value",IF(AG729&gt;=300,"Mid Value","Low Value"))</x:f>
        <x:v>Low Value</x:v>
      </x:c>
      <x:c r="AL729" s="17" t="str">
        <x:f>IF(AND(AI729&gt;=1,I729&lt;=50),"Priority 1",IF(AND(AG729&gt;=1000,I729&lt;=60),"Priority 2",IF(I729&lt;=30,"Priority 3","Nurture")))</x:f>
        <x:v>Priority 3</x:v>
      </x:c>
    </x:row>
    <x:row r="730">
      <x:c r="A730" s="16" t="n">
        <x:v>610</x:v>
      </x:c>
      <x:c r="B730" s="16" t="n">
        <x:v>1953</x:v>
      </x:c>
      <x:c r="C730" s="16" t="str">
        <x:v>PhD</x:v>
      </x:c>
      <x:c r="D730" s="16" t="str">
        <x:v>Together</x:v>
      </x:c>
      <x:c r="E730" s="16" t="n">
        <x:v>53593</x:v>
      </x:c>
      <x:c r="F730" s="16" t="n">
        <x:v>1</x:v>
      </x:c>
      <x:c r="G730" s="16" t="n">
        <x:v>1</x:v>
      </x:c>
      <x:c r="H730" s="16" t="str">
        <x:v>07-08-2012</x:v>
      </x:c>
      <x:c r="I730" s="16" t="n">
        <x:v>60</x:v>
      </x:c>
      <x:c r="J730" s="16" t="n">
        <x:v>349</x:v>
      </x:c>
      <x:c r="K730" s="16" t="n">
        <x:v>4</x:v>
      </x:c>
      <x:c r="L730" s="16" t="n">
        <x:v>78</x:v>
      </x:c>
      <x:c r="M730" s="16" t="n">
        <x:v>6</x:v>
      </x:c>
      <x:c r="N730" s="16" t="n">
        <x:v>0</x:v>
      </x:c>
      <x:c r="O730" s="16" t="n">
        <x:v>43</x:v>
      </x:c>
      <x:c r="P730" s="16" t="n">
        <x:v>8</x:v>
      </x:c>
      <x:c r="Q730" s="16" t="n">
        <x:v>7</x:v>
      </x:c>
      <x:c r="R730" s="16" t="n">
        <x:v>2</x:v>
      </x:c>
      <x:c r="S730" s="16" t="n">
        <x:v>6</x:v>
      </x:c>
      <x:c r="T730" s="16" t="n">
        <x:v>8</x:v>
      </x:c>
      <x:c r="U730" s="16" t="n">
        <x:v>0</x:v>
      </x:c>
      <x:c r="V730" s="16" t="n">
        <x:v>0</x:v>
      </x:c>
      <x:c r="W730" s="16" t="n">
        <x:v>0</x:v>
      </x:c>
      <x:c r="X730" s="16" t="n">
        <x:v>0</x:v>
      </x:c>
      <x:c r="Y730" s="16" t="n">
        <x:v>0</x:v>
      </x:c>
      <x:c r="Z730" s="16" t="n">
        <x:v>0</x:v>
      </x:c>
      <x:c r="AA730" s="16" t="n">
        <x:v>3</x:v>
      </x:c>
      <x:c r="AB730" s="16" t="n">
        <x:v>11</x:v>
      </x:c>
      <x:c r="AC730" s="16" t="n">
        <x:v>0</x:v>
      </x:c>
      <x:c r="AD730" s="21" t="n">
        <x:f>IF(E730="",MEDIAN($E$2:$E$2237),E730)</x:f>
        <x:v>53593</x:v>
      </x:c>
      <x:c r="AE730" s="17" t="n">
        <x:f>2014-B730</x:f>
        <x:v>61</x:v>
      </x:c>
      <x:c r="AF730" s="17" t="n">
        <x:f>F730+G730</x:f>
        <x:v>2</x:v>
      </x:c>
      <x:c r="AG730" s="21" t="n">
        <x:f>SUM(J730:O730)</x:f>
        <x:v>480</x:v>
      </x:c>
      <x:c r="AH730" s="17" t="n">
        <x:f>SUM(Q730:S730)</x:f>
        <x:v>15</x:v>
      </x:c>
      <x:c r="AI730" s="17" t="n">
        <x:f>SUM(U730:Y730)</x:f>
        <x:v>0</x:v>
      </x:c>
      <x:c r="AJ730" s="17" t="str">
        <x:f>IF(AE730&lt;=34,"≤34",IF(AE730&lt;=44,"35–44",IF(AE730&lt;=54,"45–54",IF(AE730&lt;=64,"55–64","65+"))))</x:f>
        <x:v>55–64</x:v>
      </x:c>
      <x:c r="AK730" s="17" t="str">
        <x:f>IF(AG730&gt;=1000,"High Value",IF(AG730&gt;=300,"Mid Value","Low Value"))</x:f>
        <x:v>Mid Value</x:v>
      </x:c>
      <x:c r="AL730" s="17" t="str">
        <x:f>IF(AND(AI730&gt;=1,I730&lt;=50),"Priority 1",IF(AND(AG730&gt;=1000,I730&lt;=60),"Priority 2",IF(I730&lt;=30,"Priority 3","Nurture")))</x:f>
        <x:v>Nurture</x:v>
      </x:c>
    </x:row>
    <x:row r="731">
      <x:c r="A731" s="16" t="n">
        <x:v>9384</x:v>
      </x:c>
      <x:c r="B731" s="16" t="n">
        <x:v>1978</x:v>
      </x:c>
      <x:c r="C731" s="16" t="str">
        <x:v>Graduation</x:v>
      </x:c>
      <x:c r="D731" s="16" t="str">
        <x:v>Married</x:v>
      </x:c>
      <x:c r="E731" s="16" t="n">
        <x:v>66373</x:v>
      </x:c>
      <x:c r="F731" s="16" t="n">
        <x:v>1</x:v>
      </x:c>
      <x:c r="G731" s="16" t="n">
        <x:v>1</x:v>
      </x:c>
      <x:c r="H731" s="16" t="str">
        <x:v>12-06-2013</x:v>
      </x:c>
      <x:c r="I731" s="16" t="n">
        <x:v>57</x:v>
      </x:c>
      <x:c r="J731" s="16" t="n">
        <x:v>328</x:v>
      </x:c>
      <x:c r="K731" s="16" t="n">
        <x:v>9</x:v>
      </x:c>
      <x:c r="L731" s="16" t="n">
        <x:v>124</x:v>
      </x:c>
      <x:c r="M731" s="16" t="n">
        <x:v>12</x:v>
      </x:c>
      <x:c r="N731" s="16" t="n">
        <x:v>24</x:v>
      </x:c>
      <x:c r="O731" s="16" t="n">
        <x:v>109</x:v>
      </x:c>
      <x:c r="P731" s="16" t="n">
        <x:v>7</x:v>
      </x:c>
      <x:c r="Q731" s="16" t="n">
        <x:v>4</x:v>
      </x:c>
      <x:c r="R731" s="16" t="n">
        <x:v>2</x:v>
      </x:c>
      <x:c r="S731" s="16" t="n">
        <x:v>10</x:v>
      </x:c>
      <x:c r="T731" s="16" t="n">
        <x:v>3</x:v>
      </x:c>
      <x:c r="U731" s="16" t="n">
        <x:v>0</x:v>
      </x:c>
      <x:c r="V731" s="16" t="n">
        <x:v>0</x:v>
      </x:c>
      <x:c r="W731" s="16" t="n">
        <x:v>0</x:v>
      </x:c>
      <x:c r="X731" s="16" t="n">
        <x:v>0</x:v>
      </x:c>
      <x:c r="Y731" s="16" t="n">
        <x:v>0</x:v>
      </x:c>
      <x:c r="Z731" s="16" t="n">
        <x:v>0</x:v>
      </x:c>
      <x:c r="AA731" s="16" t="n">
        <x:v>3</x:v>
      </x:c>
      <x:c r="AB731" s="16" t="n">
        <x:v>11</x:v>
      </x:c>
      <x:c r="AC731" s="16" t="n">
        <x:v>0</x:v>
      </x:c>
      <x:c r="AD731" s="21" t="n">
        <x:f>IF(E731="",MEDIAN($E$2:$E$2237),E731)</x:f>
        <x:v>66373</x:v>
      </x:c>
      <x:c r="AE731" s="17" t="n">
        <x:f>2014-B731</x:f>
        <x:v>36</x:v>
      </x:c>
      <x:c r="AF731" s="17" t="n">
        <x:f>F731+G731</x:f>
        <x:v>2</x:v>
      </x:c>
      <x:c r="AG731" s="21" t="n">
        <x:f>SUM(J731:O731)</x:f>
        <x:v>606</x:v>
      </x:c>
      <x:c r="AH731" s="17" t="n">
        <x:f>SUM(Q731:S731)</x:f>
        <x:v>16</x:v>
      </x:c>
      <x:c r="AI731" s="17" t="n">
        <x:f>SUM(U731:Y731)</x:f>
        <x:v>0</x:v>
      </x:c>
      <x:c r="AJ731" s="17" t="str">
        <x:f>IF(AE731&lt;=34,"≤34",IF(AE731&lt;=44,"35–44",IF(AE731&lt;=54,"45–54",IF(AE731&lt;=64,"55–64","65+"))))</x:f>
        <x:v>35–44</x:v>
      </x:c>
      <x:c r="AK731" s="17" t="str">
        <x:f>IF(AG731&gt;=1000,"High Value",IF(AG731&gt;=300,"Mid Value","Low Value"))</x:f>
        <x:v>Mid Value</x:v>
      </x:c>
      <x:c r="AL731" s="17" t="str">
        <x:f>IF(AND(AI731&gt;=1,I731&lt;=50),"Priority 1",IF(AND(AG731&gt;=1000,I731&lt;=60),"Priority 2",IF(I731&lt;=30,"Priority 3","Nurture")))</x:f>
        <x:v>Nurture</x:v>
      </x:c>
    </x:row>
    <x:row r="732">
      <x:c r="A732" s="16" t="n">
        <x:v>5956</x:v>
      </x:c>
      <x:c r="B732" s="16" t="n">
        <x:v>1948</x:v>
      </x:c>
      <x:c r="C732" s="16" t="str">
        <x:v>PhD</x:v>
      </x:c>
      <x:c r="D732" s="16" t="str">
        <x:v>Divorced</x:v>
      </x:c>
      <x:c r="E732" s="16" t="n">
        <x:v>45072</x:v>
      </x:c>
      <x:c r="F732" s="16" t="n">
        <x:v>1</x:v>
      </x:c>
      <x:c r="G732" s="16" t="n">
        <x:v>2</x:v>
      </x:c>
      <x:c r="H732" s="16" t="str">
        <x:v>16-10-2013</x:v>
      </x:c>
      <x:c r="I732" s="16" t="n">
        <x:v>74</x:v>
      </x:c>
      <x:c r="J732" s="16" t="n">
        <x:v>144</x:v>
      </x:c>
      <x:c r="K732" s="16" t="n">
        <x:v>2</x:v>
      </x:c>
      <x:c r="L732" s="16" t="n">
        <x:v>99</x:v>
      </x:c>
      <x:c r="M732" s="16" t="n">
        <x:v>7</x:v>
      </x:c>
      <x:c r="N732" s="16" t="n">
        <x:v>2</x:v>
      </x:c>
      <x:c r="O732" s="16" t="n">
        <x:v>30</x:v>
      </x:c>
      <x:c r="P732" s="16" t="n">
        <x:v>5</x:v>
      </x:c>
      <x:c r="Q732" s="16" t="n">
        <x:v>6</x:v>
      </x:c>
      <x:c r="R732" s="16" t="n">
        <x:v>1</x:v>
      </x:c>
      <x:c r="S732" s="16" t="n">
        <x:v>4</x:v>
      </x:c>
      <x:c r="T732" s="16" t="n">
        <x:v>8</x:v>
      </x:c>
      <x:c r="U732" s="16" t="n">
        <x:v>0</x:v>
      </x:c>
      <x:c r="V732" s="16" t="n">
        <x:v>0</x:v>
      </x:c>
      <x:c r="W732" s="16" t="n">
        <x:v>0</x:v>
      </x:c>
      <x:c r="X732" s="16" t="n">
        <x:v>0</x:v>
      </x:c>
      <x:c r="Y732" s="16" t="n">
        <x:v>0</x:v>
      </x:c>
      <x:c r="Z732" s="16" t="n">
        <x:v>0</x:v>
      </x:c>
      <x:c r="AA732" s="16" t="n">
        <x:v>3</x:v>
      </x:c>
      <x:c r="AB732" s="16" t="n">
        <x:v>11</x:v>
      </x:c>
      <x:c r="AC732" s="16" t="n">
        <x:v>0</x:v>
      </x:c>
      <x:c r="AD732" s="21" t="n">
        <x:f>IF(E732="",MEDIAN($E$2:$E$2237),E732)</x:f>
        <x:v>45072</x:v>
      </x:c>
      <x:c r="AE732" s="17" t="n">
        <x:f>2014-B732</x:f>
        <x:v>66</x:v>
      </x:c>
      <x:c r="AF732" s="17" t="n">
        <x:f>F732+G732</x:f>
        <x:v>3</x:v>
      </x:c>
      <x:c r="AG732" s="21" t="n">
        <x:f>SUM(J732:O732)</x:f>
        <x:v>284</x:v>
      </x:c>
      <x:c r="AH732" s="17" t="n">
        <x:f>SUM(Q732:S732)</x:f>
        <x:v>11</x:v>
      </x:c>
      <x:c r="AI732" s="17" t="n">
        <x:f>SUM(U732:Y732)</x:f>
        <x:v>0</x:v>
      </x:c>
      <x:c r="AJ732" s="17" t="str">
        <x:f>IF(AE732&lt;=34,"≤34",IF(AE732&lt;=44,"35–44",IF(AE732&lt;=54,"45–54",IF(AE732&lt;=64,"55–64","65+"))))</x:f>
        <x:v>65+</x:v>
      </x:c>
      <x:c r="AK732" s="17" t="str">
        <x:f>IF(AG732&gt;=1000,"High Value",IF(AG732&gt;=300,"Mid Value","Low Value"))</x:f>
        <x:v>Low Value</x:v>
      </x:c>
      <x:c r="AL732" s="17" t="str">
        <x:f>IF(AND(AI732&gt;=1,I732&lt;=50),"Priority 1",IF(AND(AG732&gt;=1000,I732&lt;=60),"Priority 2",IF(I732&lt;=30,"Priority 3","Nurture")))</x:f>
        <x:v>Nurture</x:v>
      </x:c>
    </x:row>
    <x:row r="733">
      <x:c r="A733" s="16" t="n">
        <x:v>10430</x:v>
      </x:c>
      <x:c r="B733" s="16" t="n">
        <x:v>1973</x:v>
      </x:c>
      <x:c r="C733" s="16" t="str">
        <x:v>Graduation</x:v>
      </x:c>
      <x:c r="D733" s="16" t="str">
        <x:v>Divorced</x:v>
      </x:c>
      <x:c r="E733" s="16" t="n">
        <x:v>89694</x:v>
      </x:c>
      <x:c r="F733" s="16" t="n">
        <x:v>1</x:v>
      </x:c>
      <x:c r="G733" s="16" t="n">
        <x:v>1</x:v>
      </x:c>
      <x:c r="H733" s="16" t="str">
        <x:v>09-10-2013</x:v>
      </x:c>
      <x:c r="I733" s="16" t="n">
        <x:v>22</x:v>
      </x:c>
      <x:c r="J733" s="16" t="n">
        <x:v>1126</x:v>
      </x:c>
      <x:c r="K733" s="16" t="n">
        <x:v>28</x:v>
      </x:c>
      <x:c r="L733" s="16" t="n">
        <x:v>211</x:v>
      </x:c>
      <x:c r="M733" s="16" t="n">
        <x:v>37</x:v>
      </x:c>
      <x:c r="N733" s="16" t="n">
        <x:v>28</x:v>
      </x:c>
      <x:c r="O733" s="16" t="n">
        <x:v>42</x:v>
      </x:c>
      <x:c r="P733" s="16" t="n">
        <x:v>3</x:v>
      </x:c>
      <x:c r="Q733" s="16" t="n">
        <x:v>4</x:v>
      </x:c>
      <x:c r="R733" s="16" t="n">
        <x:v>3</x:v>
      </x:c>
      <x:c r="S733" s="16" t="n">
        <x:v>4</x:v>
      </x:c>
      <x:c r="T733" s="16" t="n">
        <x:v>5</x:v>
      </x:c>
      <x:c r="U733" s="16" t="n">
        <x:v>0</x:v>
      </x:c>
      <x:c r="V733" s="16" t="n">
        <x:v>1</x:v>
      </x:c>
      <x:c r="W733" s="16" t="n">
        <x:v>1</x:v>
      </x:c>
      <x:c r="X733" s="16" t="n">
        <x:v>1</x:v>
      </x:c>
      <x:c r="Y733" s="16" t="n">
        <x:v>0</x:v>
      </x:c>
      <x:c r="Z733" s="16" t="n">
        <x:v>0</x:v>
      </x:c>
      <x:c r="AA733" s="16" t="n">
        <x:v>3</x:v>
      </x:c>
      <x:c r="AB733" s="16" t="n">
        <x:v>11</x:v>
      </x:c>
      <x:c r="AC733" s="16" t="n">
        <x:v>0</x:v>
      </x:c>
      <x:c r="AD733" s="21" t="n">
        <x:f>IF(E733="",MEDIAN($E$2:$E$2237),E733)</x:f>
        <x:v>89694</x:v>
      </x:c>
      <x:c r="AE733" s="17" t="n">
        <x:f>2014-B733</x:f>
        <x:v>41</x:v>
      </x:c>
      <x:c r="AF733" s="17" t="n">
        <x:f>F733+G733</x:f>
        <x:v>2</x:v>
      </x:c>
      <x:c r="AG733" s="21" t="n">
        <x:f>SUM(J733:O733)</x:f>
        <x:v>1472</x:v>
      </x:c>
      <x:c r="AH733" s="17" t="n">
        <x:f>SUM(Q733:S733)</x:f>
        <x:v>11</x:v>
      </x:c>
      <x:c r="AI733" s="17" t="n">
        <x:f>SUM(U733:Y733)</x:f>
        <x:v>3</x:v>
      </x:c>
      <x:c r="AJ733" s="17" t="str">
        <x:f>IF(AE733&lt;=34,"≤34",IF(AE733&lt;=44,"35–44",IF(AE733&lt;=54,"45–54",IF(AE733&lt;=64,"55–64","65+"))))</x:f>
        <x:v>35–44</x:v>
      </x:c>
      <x:c r="AK733" s="17" t="str">
        <x:f>IF(AG733&gt;=1000,"High Value",IF(AG733&gt;=300,"Mid Value","Low Value"))</x:f>
        <x:v>High Value</x:v>
      </x:c>
      <x:c r="AL733" s="17" t="str">
        <x:f>IF(AND(AI733&gt;=1,I733&lt;=50),"Priority 1",IF(AND(AG733&gt;=1000,I733&lt;=60),"Priority 2",IF(I733&lt;=30,"Priority 3","Nurture")))</x:f>
        <x:v>Priority 1</x:v>
      </x:c>
    </x:row>
    <x:row r="734">
      <x:c r="A734" s="16" t="n">
        <x:v>7875</x:v>
      </x:c>
      <x:c r="B734" s="16" t="n">
        <x:v>1949</x:v>
      </x:c>
      <x:c r="C734" s="16" t="str">
        <x:v>Graduation</x:v>
      </x:c>
      <x:c r="D734" s="16" t="str">
        <x:v>Married</x:v>
      </x:c>
      <x:c r="E734" s="16" t="n">
        <x:v>72025</x:v>
      </x:c>
      <x:c r="F734" s="16" t="n">
        <x:v>0</x:v>
      </x:c>
      <x:c r="G734" s="16" t="n">
        <x:v>0</x:v>
      </x:c>
      <x:c r="H734" s="16" t="str">
        <x:v>29-04-2014</x:v>
      </x:c>
      <x:c r="I734" s="16" t="n">
        <x:v>46</x:v>
      </x:c>
      <x:c r="J734" s="16" t="n">
        <x:v>967</x:v>
      </x:c>
      <x:c r="K734" s="16" t="n">
        <x:v>0</x:v>
      </x:c>
      <x:c r="L734" s="16" t="n">
        <x:v>617</x:v>
      </x:c>
      <x:c r="M734" s="16" t="n">
        <x:v>43</x:v>
      </x:c>
      <x:c r="N734" s="16" t="n">
        <x:v>50</x:v>
      </x:c>
      <x:c r="O734" s="16" t="n">
        <x:v>0</x:v>
      </x:c>
      <x:c r="P734" s="16" t="n">
        <x:v>1</x:v>
      </x:c>
      <x:c r="Q734" s="16" t="n">
        <x:v>4</x:v>
      </x:c>
      <x:c r="R734" s="16" t="n">
        <x:v>8</x:v>
      </x:c>
      <x:c r="S734" s="16" t="n">
        <x:v>13</x:v>
      </x:c>
      <x:c r="T734" s="16" t="n">
        <x:v>2</x:v>
      </x:c>
      <x:c r="U734" s="16" t="n">
        <x:v>0</x:v>
      </x:c>
      <x:c r="V734" s="16" t="n">
        <x:v>1</x:v>
      </x:c>
      <x:c r="W734" s="16" t="n">
        <x:v>1</x:v>
      </x:c>
      <x:c r="X734" s="16" t="n">
        <x:v>1</x:v>
      </x:c>
      <x:c r="Y734" s="16" t="n">
        <x:v>0</x:v>
      </x:c>
      <x:c r="Z734" s="16" t="n">
        <x:v>0</x:v>
      </x:c>
      <x:c r="AA734" s="16" t="n">
        <x:v>3</x:v>
      </x:c>
      <x:c r="AB734" s="16" t="n">
        <x:v>11</x:v>
      </x:c>
      <x:c r="AC734" s="16" t="n">
        <x:v>1</x:v>
      </x:c>
      <x:c r="AD734" s="21" t="n">
        <x:f>IF(E734="",MEDIAN($E$2:$E$2237),E734)</x:f>
        <x:v>72025</x:v>
      </x:c>
      <x:c r="AE734" s="17" t="n">
        <x:f>2014-B734</x:f>
        <x:v>65</x:v>
      </x:c>
      <x:c r="AF734" s="17" t="n">
        <x:f>F734+G734</x:f>
        <x:v>0</x:v>
      </x:c>
      <x:c r="AG734" s="21" t="n">
        <x:f>SUM(J734:O734)</x:f>
        <x:v>1677</x:v>
      </x:c>
      <x:c r="AH734" s="17" t="n">
        <x:f>SUM(Q734:S734)</x:f>
        <x:v>25</x:v>
      </x:c>
      <x:c r="AI734" s="17" t="n">
        <x:f>SUM(U734:Y734)</x:f>
        <x:v>3</x:v>
      </x:c>
      <x:c r="AJ734" s="17" t="str">
        <x:f>IF(AE734&lt;=34,"≤34",IF(AE734&lt;=44,"35–44",IF(AE734&lt;=54,"45–54",IF(AE734&lt;=64,"55–64","65+"))))</x:f>
        <x:v>65+</x:v>
      </x:c>
      <x:c r="AK734" s="17" t="str">
        <x:f>IF(AG734&gt;=1000,"High Value",IF(AG734&gt;=300,"Mid Value","Low Value"))</x:f>
        <x:v>High Value</x:v>
      </x:c>
      <x:c r="AL734" s="17" t="str">
        <x:f>IF(AND(AI734&gt;=1,I734&lt;=50),"Priority 1",IF(AND(AG734&gt;=1000,I734&lt;=60),"Priority 2",IF(I734&lt;=30,"Priority 3","Nurture")))</x:f>
        <x:v>Priority 1</x:v>
      </x:c>
    </x:row>
    <x:row r="735">
      <x:c r="A735" s="16" t="n">
        <x:v>7072</x:v>
      </x:c>
      <x:c r="B735" s="16" t="n">
        <x:v>1973</x:v>
      </x:c>
      <x:c r="C735" s="16" t="str">
        <x:v>Graduation</x:v>
      </x:c>
      <x:c r="D735" s="16" t="str">
        <x:v>Married</x:v>
      </x:c>
      <x:c r="E735" s="16" t="n">
        <x:v>67432</x:v>
      </x:c>
      <x:c r="F735" s="16" t="n">
        <x:v>0</x:v>
      </x:c>
      <x:c r="G735" s="16" t="n">
        <x:v>1</x:v>
      </x:c>
      <x:c r="H735" s="16" t="str">
        <x:v>29-03-2013</x:v>
      </x:c>
      <x:c r="I735" s="16" t="n">
        <x:v>69</x:v>
      </x:c>
      <x:c r="J735" s="16" t="n">
        <x:v>432</x:v>
      </x:c>
      <x:c r="K735" s="16" t="n">
        <x:v>79</x:v>
      </x:c>
      <x:c r="L735" s="16" t="n">
        <x:v>341</x:v>
      </x:c>
      <x:c r="M735" s="16" t="n">
        <x:v>177</x:v>
      </x:c>
      <x:c r="N735" s="16" t="n">
        <x:v>136</x:v>
      </x:c>
      <x:c r="O735" s="16" t="n">
        <x:v>170</x:v>
      </x:c>
      <x:c r="P735" s="16" t="n">
        <x:v>2</x:v>
      </x:c>
      <x:c r="Q735" s="16" t="n">
        <x:v>8</x:v>
      </x:c>
      <x:c r="R735" s="16" t="n">
        <x:v>5</x:v>
      </x:c>
      <x:c r="S735" s="16" t="n">
        <x:v>4</x:v>
      </x:c>
      <x:c r="T735" s="16" t="n">
        <x:v>4</x:v>
      </x:c>
      <x:c r="U735" s="16" t="n">
        <x:v>0</x:v>
      </x:c>
      <x:c r="V735" s="16" t="n">
        <x:v>0</x:v>
      </x:c>
      <x:c r="W735" s="16" t="n">
        <x:v>0</x:v>
      </x:c>
      <x:c r="X735" s="16" t="n">
        <x:v>0</x:v>
      </x:c>
      <x:c r="Y735" s="16" t="n">
        <x:v>0</x:v>
      </x:c>
      <x:c r="Z735" s="16" t="n">
        <x:v>0</x:v>
      </x:c>
      <x:c r="AA735" s="16" t="n">
        <x:v>3</x:v>
      </x:c>
      <x:c r="AB735" s="16" t="n">
        <x:v>11</x:v>
      </x:c>
      <x:c r="AC735" s="16" t="n">
        <x:v>0</x:v>
      </x:c>
      <x:c r="AD735" s="21" t="n">
        <x:f>IF(E735="",MEDIAN($E$2:$E$2237),E735)</x:f>
        <x:v>67432</x:v>
      </x:c>
      <x:c r="AE735" s="17" t="n">
        <x:f>2014-B735</x:f>
        <x:v>41</x:v>
      </x:c>
      <x:c r="AF735" s="17" t="n">
        <x:f>F735+G735</x:f>
        <x:v>1</x:v>
      </x:c>
      <x:c r="AG735" s="21" t="n">
        <x:f>SUM(J735:O735)</x:f>
        <x:v>1335</x:v>
      </x:c>
      <x:c r="AH735" s="17" t="n">
        <x:f>SUM(Q735:S735)</x:f>
        <x:v>17</x:v>
      </x:c>
      <x:c r="AI735" s="17" t="n">
        <x:f>SUM(U735:Y735)</x:f>
        <x:v>0</x:v>
      </x:c>
      <x:c r="AJ735" s="17" t="str">
        <x:f>IF(AE735&lt;=34,"≤34",IF(AE735&lt;=44,"35–44",IF(AE735&lt;=54,"45–54",IF(AE735&lt;=64,"55–64","65+"))))</x:f>
        <x:v>35–44</x:v>
      </x:c>
      <x:c r="AK735" s="17" t="str">
        <x:f>IF(AG735&gt;=1000,"High Value",IF(AG735&gt;=300,"Mid Value","Low Value"))</x:f>
        <x:v>High Value</x:v>
      </x:c>
      <x:c r="AL735" s="17" t="str">
        <x:f>IF(AND(AI735&gt;=1,I735&lt;=50),"Priority 1",IF(AND(AG735&gt;=1000,I735&lt;=60),"Priority 2",IF(I735&lt;=30,"Priority 3","Nurture")))</x:f>
        <x:v>Nurture</x:v>
      </x:c>
    </x:row>
    <x:row r="736">
      <x:c r="A736" s="16" t="n">
        <x:v>6255</x:v>
      </x:c>
      <x:c r="B736" s="16" t="n">
        <x:v>1952</x:v>
      </x:c>
      <x:c r="C736" s="16" t="str">
        <x:v>Master</x:v>
      </x:c>
      <x:c r="D736" s="16" t="str">
        <x:v>Together</x:v>
      </x:c>
      <x:c r="E736" s="16" t="n">
        <x:v>70545</x:v>
      </x:c>
      <x:c r="F736" s="16" t="n">
        <x:v>0</x:v>
      </x:c>
      <x:c r="G736" s="16" t="n">
        <x:v>1</x:v>
      </x:c>
      <x:c r="H736" s="16" t="str">
        <x:v>03-06-2014</x:v>
      </x:c>
      <x:c r="I736" s="16" t="n">
        <x:v>29</x:v>
      </x:c>
      <x:c r="J736" s="16" t="n">
        <x:v>138</x:v>
      </x:c>
      <x:c r="K736" s="16" t="n">
        <x:v>39</x:v>
      </x:c>
      <x:c r="L736" s="16" t="n">
        <x:v>63</x:v>
      </x:c>
      <x:c r="M736" s="16" t="n">
        <x:v>55</x:v>
      </x:c>
      <x:c r="N736" s="16" t="n">
        <x:v>18</x:v>
      </x:c>
      <x:c r="O736" s="16" t="n">
        <x:v>21</x:v>
      </x:c>
      <x:c r="P736" s="16" t="n">
        <x:v>1</x:v>
      </x:c>
      <x:c r="Q736" s="16" t="n">
        <x:v>4</x:v>
      </x:c>
      <x:c r="R736" s="16" t="n">
        <x:v>1</x:v>
      </x:c>
      <x:c r="S736" s="16" t="n">
        <x:v>7</x:v>
      </x:c>
      <x:c r="T736" s="16" t="n">
        <x:v>2</x:v>
      </x:c>
      <x:c r="U736" s="16" t="n">
        <x:v>0</x:v>
      </x:c>
      <x:c r="V736" s="16" t="n">
        <x:v>0</x:v>
      </x:c>
      <x:c r="W736" s="16" t="n">
        <x:v>0</x:v>
      </x:c>
      <x:c r="X736" s="16" t="n">
        <x:v>0</x:v>
      </x:c>
      <x:c r="Y736" s="16" t="n">
        <x:v>0</x:v>
      </x:c>
      <x:c r="Z736" s="16" t="n">
        <x:v>0</x:v>
      </x:c>
      <x:c r="AA736" s="16" t="n">
        <x:v>3</x:v>
      </x:c>
      <x:c r="AB736" s="16" t="n">
        <x:v>11</x:v>
      </x:c>
      <x:c r="AC736" s="16" t="n">
        <x:v>0</x:v>
      </x:c>
      <x:c r="AD736" s="21" t="n">
        <x:f>IF(E736="",MEDIAN($E$2:$E$2237),E736)</x:f>
        <x:v>70545</x:v>
      </x:c>
      <x:c r="AE736" s="17" t="n">
        <x:f>2014-B736</x:f>
        <x:v>62</x:v>
      </x:c>
      <x:c r="AF736" s="17" t="n">
        <x:f>F736+G736</x:f>
        <x:v>1</x:v>
      </x:c>
      <x:c r="AG736" s="21" t="n">
        <x:f>SUM(J736:O736)</x:f>
        <x:v>334</x:v>
      </x:c>
      <x:c r="AH736" s="17" t="n">
        <x:f>SUM(Q736:S736)</x:f>
        <x:v>12</x:v>
      </x:c>
      <x:c r="AI736" s="17" t="n">
        <x:f>SUM(U736:Y736)</x:f>
        <x:v>0</x:v>
      </x:c>
      <x:c r="AJ736" s="17" t="str">
        <x:f>IF(AE736&lt;=34,"≤34",IF(AE736&lt;=44,"35–44",IF(AE736&lt;=54,"45–54",IF(AE736&lt;=64,"55–64","65+"))))</x:f>
        <x:v>55–64</x:v>
      </x:c>
      <x:c r="AK736" s="17" t="str">
        <x:f>IF(AG736&gt;=1000,"High Value",IF(AG736&gt;=300,"Mid Value","Low Value"))</x:f>
        <x:v>Mid Value</x:v>
      </x:c>
      <x:c r="AL736" s="17" t="str">
        <x:f>IF(AND(AI736&gt;=1,I736&lt;=50),"Priority 1",IF(AND(AG736&gt;=1000,I736&lt;=60),"Priority 2",IF(I736&lt;=30,"Priority 3","Nurture")))</x:f>
        <x:v>Priority 3</x:v>
      </x:c>
    </x:row>
    <x:row r="737">
      <x:c r="A737" s="16" t="n">
        <x:v>6516</x:v>
      </x:c>
      <x:c r="B737" s="16" t="n">
        <x:v>1989</x:v>
      </x:c>
      <x:c r="C737" s="16" t="str">
        <x:v>Basic</x:v>
      </x:c>
      <x:c r="D737" s="16" t="str">
        <x:v>Married</x:v>
      </x:c>
      <x:c r="E737" s="16" t="n">
        <x:v>17487</x:v>
      </x:c>
      <x:c r="F737" s="16" t="n">
        <x:v>1</x:v>
      </x:c>
      <x:c r="G737" s="16" t="n">
        <x:v>0</x:v>
      </x:c>
      <x:c r="H737" s="16" t="str">
        <x:v>18-03-2013</x:v>
      </x:c>
      <x:c r="I737" s="16" t="n">
        <x:v>37</x:v>
      </x:c>
      <x:c r="J737" s="16" t="n">
        <x:v>0</x:v>
      </x:c>
      <x:c r="K737" s="16" t="n">
        <x:v>0</x:v>
      </x:c>
      <x:c r="L737" s="16" t="n">
        <x:v>1</x:v>
      </x:c>
      <x:c r="M737" s="16" t="n">
        <x:v>7</x:v>
      </x:c>
      <x:c r="N737" s="16" t="n">
        <x:v>4</x:v>
      </x:c>
      <x:c r="O737" s="16" t="n">
        <x:v>6</x:v>
      </x:c>
      <x:c r="P737" s="16" t="n">
        <x:v>1</x:v>
      </x:c>
      <x:c r="Q737" s="16" t="n">
        <x:v>1</x:v>
      </x:c>
      <x:c r="R737" s="16" t="n">
        <x:v>0</x:v>
      </x:c>
      <x:c r="S737" s="16" t="n">
        <x:v>2</x:v>
      </x:c>
      <x:c r="T737" s="16" t="n">
        <x:v>7</x:v>
      </x:c>
      <x:c r="U737" s="16" t="n">
        <x:v>0</x:v>
      </x:c>
      <x:c r="V737" s="16" t="n">
        <x:v>0</x:v>
      </x:c>
      <x:c r="W737" s="16" t="n">
        <x:v>0</x:v>
      </x:c>
      <x:c r="X737" s="16" t="n">
        <x:v>0</x:v>
      </x:c>
      <x:c r="Y737" s="16" t="n">
        <x:v>0</x:v>
      </x:c>
      <x:c r="Z737" s="16" t="n">
        <x:v>0</x:v>
      </x:c>
      <x:c r="AA737" s="16" t="n">
        <x:v>3</x:v>
      </x:c>
      <x:c r="AB737" s="16" t="n">
        <x:v>11</x:v>
      </x:c>
      <x:c r="AC737" s="16" t="n">
        <x:v>0</x:v>
      </x:c>
      <x:c r="AD737" s="21" t="n">
        <x:f>IF(E737="",MEDIAN($E$2:$E$2237),E737)</x:f>
        <x:v>17487</x:v>
      </x:c>
      <x:c r="AE737" s="17" t="n">
        <x:f>2014-B737</x:f>
        <x:v>25</x:v>
      </x:c>
      <x:c r="AF737" s="17" t="n">
        <x:f>F737+G737</x:f>
        <x:v>1</x:v>
      </x:c>
      <x:c r="AG737" s="21" t="n">
        <x:f>SUM(J737:O737)</x:f>
        <x:v>18</x:v>
      </x:c>
      <x:c r="AH737" s="17" t="n">
        <x:f>SUM(Q737:S737)</x:f>
        <x:v>3</x:v>
      </x:c>
      <x:c r="AI737" s="17" t="n">
        <x:f>SUM(U737:Y737)</x:f>
        <x:v>0</x:v>
      </x:c>
      <x:c r="AJ737" s="17" t="str">
        <x:f>IF(AE737&lt;=34,"≤34",IF(AE737&lt;=44,"35–44",IF(AE737&lt;=54,"45–54",IF(AE737&lt;=64,"55–64","65+"))))</x:f>
        <x:v>≤34</x:v>
      </x:c>
      <x:c r="AK737" s="17" t="str">
        <x:f>IF(AG737&gt;=1000,"High Value",IF(AG737&gt;=300,"Mid Value","Low Value"))</x:f>
        <x:v>Low Value</x:v>
      </x:c>
      <x:c r="AL737" s="17" t="str">
        <x:f>IF(AND(AI737&gt;=1,I737&lt;=50),"Priority 1",IF(AND(AG737&gt;=1000,I737&lt;=60),"Priority 2",IF(I737&lt;=30,"Priority 3","Nurture")))</x:f>
        <x:v>Nurture</x:v>
      </x:c>
    </x:row>
    <x:row r="738">
      <x:c r="A738" s="16" t="n">
        <x:v>5564</x:v>
      </x:c>
      <x:c r="B738" s="16" t="n">
        <x:v>1969</x:v>
      </x:c>
      <x:c r="C738" s="16" t="str">
        <x:v>Graduation</x:v>
      </x:c>
      <x:c r="D738" s="16" t="str">
        <x:v>Together</x:v>
      </x:c>
      <x:c r="E738" s="16" t="n">
        <x:v>62882</x:v>
      </x:c>
      <x:c r="F738" s="16" t="n">
        <x:v>0</x:v>
      </x:c>
      <x:c r="G738" s="16" t="n">
        <x:v>1</x:v>
      </x:c>
      <x:c r="H738" s="16" t="str">
        <x:v>09-08-2012</x:v>
      </x:c>
      <x:c r="I738" s="16" t="n">
        <x:v>26</x:v>
      </x:c>
      <x:c r="J738" s="16" t="n">
        <x:v>509</x:v>
      </x:c>
      <x:c r="K738" s="16" t="n">
        <x:v>133</x:v>
      </x:c>
      <x:c r="L738" s="16" t="n">
        <x:v>497</x:v>
      </x:c>
      <x:c r="M738" s="16" t="n">
        <x:v>78</x:v>
      </x:c>
      <x:c r="N738" s="16" t="n">
        <x:v>24</x:v>
      </x:c>
      <x:c r="O738" s="16" t="n">
        <x:v>97</x:v>
      </x:c>
      <x:c r="P738" s="16" t="n">
        <x:v>2</x:v>
      </x:c>
      <x:c r="Q738" s="16" t="n">
        <x:v>7</x:v>
      </x:c>
      <x:c r="R738" s="16" t="n">
        <x:v>5</x:v>
      </x:c>
      <x:c r="S738" s="16" t="n">
        <x:v>6</x:v>
      </x:c>
      <x:c r="T738" s="16" t="n">
        <x:v>4</x:v>
      </x:c>
      <x:c r="U738" s="16" t="n">
        <x:v>0</x:v>
      </x:c>
      <x:c r="V738" s="16" t="n">
        <x:v>0</x:v>
      </x:c>
      <x:c r="W738" s="16" t="n">
        <x:v>0</x:v>
      </x:c>
      <x:c r="X738" s="16" t="n">
        <x:v>0</x:v>
      </x:c>
      <x:c r="Y738" s="16" t="n">
        <x:v>0</x:v>
      </x:c>
      <x:c r="Z738" s="16" t="n">
        <x:v>0</x:v>
      </x:c>
      <x:c r="AA738" s="16" t="n">
        <x:v>3</x:v>
      </x:c>
      <x:c r="AB738" s="16" t="n">
        <x:v>11</x:v>
      </x:c>
      <x:c r="AC738" s="16" t="n">
        <x:v>0</x:v>
      </x:c>
      <x:c r="AD738" s="21" t="n">
        <x:f>IF(E738="",MEDIAN($E$2:$E$2237),E738)</x:f>
        <x:v>62882</x:v>
      </x:c>
      <x:c r="AE738" s="17" t="n">
        <x:f>2014-B738</x:f>
        <x:v>45</x:v>
      </x:c>
      <x:c r="AF738" s="17" t="n">
        <x:f>F738+G738</x:f>
        <x:v>1</x:v>
      </x:c>
      <x:c r="AG738" s="21" t="n">
        <x:f>SUM(J738:O738)</x:f>
        <x:v>1338</x:v>
      </x:c>
      <x:c r="AH738" s="17" t="n">
        <x:f>SUM(Q738:S738)</x:f>
        <x:v>18</x:v>
      </x:c>
      <x:c r="AI738" s="17" t="n">
        <x:f>SUM(U738:Y738)</x:f>
        <x:v>0</x:v>
      </x:c>
      <x:c r="AJ738" s="17" t="str">
        <x:f>IF(AE738&lt;=34,"≤34",IF(AE738&lt;=44,"35–44",IF(AE738&lt;=54,"45–54",IF(AE738&lt;=64,"55–64","65+"))))</x:f>
        <x:v>45–54</x:v>
      </x:c>
      <x:c r="AK738" s="17" t="str">
        <x:f>IF(AG738&gt;=1000,"High Value",IF(AG738&gt;=300,"Mid Value","Low Value"))</x:f>
        <x:v>High Value</x:v>
      </x:c>
      <x:c r="AL738" s="17" t="str">
        <x:f>IF(AND(AI738&gt;=1,I738&lt;=50),"Priority 1",IF(AND(AG738&gt;=1000,I738&lt;=60),"Priority 2",IF(I738&lt;=30,"Priority 3","Nurture")))</x:f>
        <x:v>Priority 2</x:v>
      </x:c>
    </x:row>
    <x:row r="739">
      <x:c r="A739" s="16" t="n">
        <x:v>5682</x:v>
      </x:c>
      <x:c r="B739" s="16" t="n">
        <x:v>1953</x:v>
      </x:c>
      <x:c r="C739" s="16" t="str">
        <x:v>PhD</x:v>
      </x:c>
      <x:c r="D739" s="16" t="str">
        <x:v>Single</x:v>
      </x:c>
      <x:c r="E739" s="16" t="n">
        <x:v>64108</x:v>
      </x:c>
      <x:c r="F739" s="16" t="n">
        <x:v>0</x:v>
      </x:c>
      <x:c r="G739" s="16" t="n">
        <x:v>1</x:v>
      </x:c>
      <x:c r="H739" s="16" t="str">
        <x:v>23-03-2013</x:v>
      </x:c>
      <x:c r="I739" s="16" t="n">
        <x:v>8</x:v>
      </x:c>
      <x:c r="J739" s="16" t="n">
        <x:v>948</x:v>
      </x:c>
      <x:c r="K739" s="16" t="n">
        <x:v>10</x:v>
      </x:c>
      <x:c r="L739" s="16" t="n">
        <x:v>86</x:v>
      </x:c>
      <x:c r="M739" s="16" t="n">
        <x:v>13</x:v>
      </x:c>
      <x:c r="N739" s="16" t="n">
        <x:v>21</x:v>
      </x:c>
      <x:c r="O739" s="16" t="n">
        <x:v>21</x:v>
      </x:c>
      <x:c r="P739" s="16" t="n">
        <x:v>4</x:v>
      </x:c>
      <x:c r="Q739" s="16" t="n">
        <x:v>6</x:v>
      </x:c>
      <x:c r="R739" s="16" t="n">
        <x:v>9</x:v>
      </x:c>
      <x:c r="S739" s="16" t="n">
        <x:v>11</x:v>
      </x:c>
      <x:c r="T739" s="16" t="n">
        <x:v>5</x:v>
      </x:c>
      <x:c r="U739" s="16" t="n">
        <x:v>0</x:v>
      </x:c>
      <x:c r="V739" s="16" t="n">
        <x:v>0</x:v>
      </x:c>
      <x:c r="W739" s="16" t="n">
        <x:v>0</x:v>
      </x:c>
      <x:c r="X739" s="16" t="n">
        <x:v>0</x:v>
      </x:c>
      <x:c r="Y739" s="16" t="n">
        <x:v>0</x:v>
      </x:c>
      <x:c r="Z739" s="16" t="n">
        <x:v>0</x:v>
      </x:c>
      <x:c r="AA739" s="16" t="n">
        <x:v>3</x:v>
      </x:c>
      <x:c r="AB739" s="16" t="n">
        <x:v>11</x:v>
      </x:c>
      <x:c r="AC739" s="16" t="n">
        <x:v>0</x:v>
      </x:c>
      <x:c r="AD739" s="21" t="n">
        <x:f>IF(E739="",MEDIAN($E$2:$E$2237),E739)</x:f>
        <x:v>64108</x:v>
      </x:c>
      <x:c r="AE739" s="17" t="n">
        <x:f>2014-B739</x:f>
        <x:v>61</x:v>
      </x:c>
      <x:c r="AF739" s="17" t="n">
        <x:f>F739+G739</x:f>
        <x:v>1</x:v>
      </x:c>
      <x:c r="AG739" s="21" t="n">
        <x:f>SUM(J739:O739)</x:f>
        <x:v>1099</x:v>
      </x:c>
      <x:c r="AH739" s="17" t="n">
        <x:f>SUM(Q739:S739)</x:f>
        <x:v>26</x:v>
      </x:c>
      <x:c r="AI739" s="17" t="n">
        <x:f>SUM(U739:Y739)</x:f>
        <x:v>0</x:v>
      </x:c>
      <x:c r="AJ739" s="17" t="str">
        <x:f>IF(AE739&lt;=34,"≤34",IF(AE739&lt;=44,"35–44",IF(AE739&lt;=54,"45–54",IF(AE739&lt;=64,"55–64","65+"))))</x:f>
        <x:v>55–64</x:v>
      </x:c>
      <x:c r="AK739" s="17" t="str">
        <x:f>IF(AG739&gt;=1000,"High Value",IF(AG739&gt;=300,"Mid Value","Low Value"))</x:f>
        <x:v>High Value</x:v>
      </x:c>
      <x:c r="AL739" s="17" t="str">
        <x:f>IF(AND(AI739&gt;=1,I739&lt;=50),"Priority 1",IF(AND(AG739&gt;=1000,I739&lt;=60),"Priority 2",IF(I739&lt;=30,"Priority 3","Nurture")))</x:f>
        <x:v>Priority 2</x:v>
      </x:c>
    </x:row>
    <x:row r="740">
      <x:c r="A740" s="16" t="n">
        <x:v>7458</x:v>
      </x:c>
      <x:c r="B740" s="16" t="n">
        <x:v>1956</x:v>
      </x:c>
      <x:c r="C740" s="16" t="str">
        <x:v>Master</x:v>
      </x:c>
      <x:c r="D740" s="16" t="str">
        <x:v>Together</x:v>
      </x:c>
      <x:c r="E740" s="16" t="n">
        <x:v>34941</x:v>
      </x:c>
      <x:c r="F740" s="16" t="n">
        <x:v>1</x:v>
      </x:c>
      <x:c r="G740" s="16" t="n">
        <x:v>1</x:v>
      </x:c>
      <x:c r="H740" s="16" t="str">
        <x:v>06-03-2013</x:v>
      </x:c>
      <x:c r="I740" s="16" t="n">
        <x:v>26</x:v>
      </x:c>
      <x:c r="J740" s="16" t="n">
        <x:v>39</x:v>
      </x:c>
      <x:c r="K740" s="16" t="n">
        <x:v>2</x:v>
      </x:c>
      <x:c r="L740" s="16" t="n">
        <x:v>25</x:v>
      </x:c>
      <x:c r="M740" s="16" t="n">
        <x:v>4</x:v>
      </x:c>
      <x:c r="N740" s="16" t="n">
        <x:v>3</x:v>
      </x:c>
      <x:c r="O740" s="16" t="n">
        <x:v>24</x:v>
      </x:c>
      <x:c r="P740" s="16" t="n">
        <x:v>2</x:v>
      </x:c>
      <x:c r="Q740" s="16" t="n">
        <x:v>3</x:v>
      </x:c>
      <x:c r="R740" s="16" t="n">
        <x:v>0</x:v>
      </x:c>
      <x:c r="S740" s="16" t="n">
        <x:v>3</x:v>
      </x:c>
      <x:c r="T740" s="16" t="n">
        <x:v>8</x:v>
      </x:c>
      <x:c r="U740" s="16" t="n">
        <x:v>0</x:v>
      </x:c>
      <x:c r="V740" s="16" t="n">
        <x:v>0</x:v>
      </x:c>
      <x:c r="W740" s="16" t="n">
        <x:v>0</x:v>
      </x:c>
      <x:c r="X740" s="16" t="n">
        <x:v>0</x:v>
      </x:c>
      <x:c r="Y740" s="16" t="n">
        <x:v>0</x:v>
      </x:c>
      <x:c r="Z740" s="16" t="n">
        <x:v>0</x:v>
      </x:c>
      <x:c r="AA740" s="16" t="n">
        <x:v>3</x:v>
      </x:c>
      <x:c r="AB740" s="16" t="n">
        <x:v>11</x:v>
      </x:c>
      <x:c r="AC740" s="16" t="n">
        <x:v>0</x:v>
      </x:c>
      <x:c r="AD740" s="21" t="n">
        <x:f>IF(E740="",MEDIAN($E$2:$E$2237),E740)</x:f>
        <x:v>34941</x:v>
      </x:c>
      <x:c r="AE740" s="17" t="n">
        <x:f>2014-B740</x:f>
        <x:v>58</x:v>
      </x:c>
      <x:c r="AF740" s="17" t="n">
        <x:f>F740+G740</x:f>
        <x:v>2</x:v>
      </x:c>
      <x:c r="AG740" s="21" t="n">
        <x:f>SUM(J740:O740)</x:f>
        <x:v>97</x:v>
      </x:c>
      <x:c r="AH740" s="17" t="n">
        <x:f>SUM(Q740:S740)</x:f>
        <x:v>6</x:v>
      </x:c>
      <x:c r="AI740" s="17" t="n">
        <x:f>SUM(U740:Y740)</x:f>
        <x:v>0</x:v>
      </x:c>
      <x:c r="AJ740" s="17" t="str">
        <x:f>IF(AE740&lt;=34,"≤34",IF(AE740&lt;=44,"35–44",IF(AE740&lt;=54,"45–54",IF(AE740&lt;=64,"55–64","65+"))))</x:f>
        <x:v>55–64</x:v>
      </x:c>
      <x:c r="AK740" s="17" t="str">
        <x:f>IF(AG740&gt;=1000,"High Value",IF(AG740&gt;=300,"Mid Value","Low Value"))</x:f>
        <x:v>Low Value</x:v>
      </x:c>
      <x:c r="AL740" s="17" t="str">
        <x:f>IF(AND(AI740&gt;=1,I740&lt;=50),"Priority 1",IF(AND(AG740&gt;=1000,I740&lt;=60),"Priority 2",IF(I740&lt;=30,"Priority 3","Nurture")))</x:f>
        <x:v>Priority 3</x:v>
      </x:c>
    </x:row>
    <x:row r="741">
      <x:c r="A741" s="16" t="n">
        <x:v>5237</x:v>
      </x:c>
      <x:c r="B741" s="16" t="n">
        <x:v>1950</x:v>
      </x:c>
      <x:c r="C741" s="16" t="str">
        <x:v>PhD</x:v>
      </x:c>
      <x:c r="D741" s="16" t="str">
        <x:v>Single</x:v>
      </x:c>
      <x:c r="E741" s="16" t="n">
        <x:v>48767</x:v>
      </x:c>
      <x:c r="F741" s="16" t="n">
        <x:v>1</x:v>
      </x:c>
      <x:c r="G741" s="16" t="n">
        <x:v>2</x:v>
      </x:c>
      <x:c r="H741" s="16" t="str">
        <x:v>01-01-2014</x:v>
      </x:c>
      <x:c r="I741" s="16" t="n">
        <x:v>79</x:v>
      </x:c>
      <x:c r="J741" s="16" t="n">
        <x:v>28</x:v>
      </x:c>
      <x:c r="K741" s="16" t="n">
        <x:v>1</x:v>
      </x:c>
      <x:c r="L741" s="16" t="n">
        <x:v>21</x:v>
      </x:c>
      <x:c r="M741" s="16" t="n">
        <x:v>3</x:v>
      </x:c>
      <x:c r="N741" s="16" t="n">
        <x:v>0</x:v>
      </x:c>
      <x:c r="O741" s="16" t="n">
        <x:v>10</x:v>
      </x:c>
      <x:c r="P741" s="16" t="n">
        <x:v>3</x:v>
      </x:c>
      <x:c r="Q741" s="16" t="n">
        <x:v>2</x:v>
      </x:c>
      <x:c r="R741" s="16" t="n">
        <x:v>1</x:v>
      </x:c>
      <x:c r="S741" s="16" t="n">
        <x:v>3</x:v>
      </x:c>
      <x:c r="T741" s="16" t="n">
        <x:v>5</x:v>
      </x:c>
      <x:c r="U741" s="16" t="n">
        <x:v>0</x:v>
      </x:c>
      <x:c r="V741" s="16" t="n">
        <x:v>0</x:v>
      </x:c>
      <x:c r="W741" s="16" t="n">
        <x:v>0</x:v>
      </x:c>
      <x:c r="X741" s="16" t="n">
        <x:v>0</x:v>
      </x:c>
      <x:c r="Y741" s="16" t="n">
        <x:v>0</x:v>
      </x:c>
      <x:c r="Z741" s="16" t="n">
        <x:v>0</x:v>
      </x:c>
      <x:c r="AA741" s="16" t="n">
        <x:v>3</x:v>
      </x:c>
      <x:c r="AB741" s="16" t="n">
        <x:v>11</x:v>
      </x:c>
      <x:c r="AC741" s="16" t="n">
        <x:v>0</x:v>
      </x:c>
      <x:c r="AD741" s="21" t="n">
        <x:f>IF(E741="",MEDIAN($E$2:$E$2237),E741)</x:f>
        <x:v>48767</x:v>
      </x:c>
      <x:c r="AE741" s="17" t="n">
        <x:f>2014-B741</x:f>
        <x:v>64</x:v>
      </x:c>
      <x:c r="AF741" s="17" t="n">
        <x:f>F741+G741</x:f>
        <x:v>3</x:v>
      </x:c>
      <x:c r="AG741" s="21" t="n">
        <x:f>SUM(J741:O741)</x:f>
        <x:v>63</x:v>
      </x:c>
      <x:c r="AH741" s="17" t="n">
        <x:f>SUM(Q741:S741)</x:f>
        <x:v>6</x:v>
      </x:c>
      <x:c r="AI741" s="17" t="n">
        <x:f>SUM(U741:Y741)</x:f>
        <x:v>0</x:v>
      </x:c>
      <x:c r="AJ741" s="17" t="str">
        <x:f>IF(AE741&lt;=34,"≤34",IF(AE741&lt;=44,"35–44",IF(AE741&lt;=54,"45–54",IF(AE741&lt;=64,"55–64","65+"))))</x:f>
        <x:v>55–64</x:v>
      </x:c>
      <x:c r="AK741" s="17" t="str">
        <x:f>IF(AG741&gt;=1000,"High Value",IF(AG741&gt;=300,"Mid Value","Low Value"))</x:f>
        <x:v>Low Value</x:v>
      </x:c>
      <x:c r="AL741" s="17" t="str">
        <x:f>IF(AND(AI741&gt;=1,I741&lt;=50),"Priority 1",IF(AND(AG741&gt;=1000,I741&lt;=60),"Priority 2",IF(I741&lt;=30,"Priority 3","Nurture")))</x:f>
        <x:v>Nurture</x:v>
      </x:c>
    </x:row>
    <x:row r="742">
      <x:c r="A742" s="16" t="n">
        <x:v>7761</x:v>
      </x:c>
      <x:c r="B742" s="16" t="n">
        <x:v>1978</x:v>
      </x:c>
      <x:c r="C742" s="16" t="str">
        <x:v>2n Cycle</x:v>
      </x:c>
      <x:c r="D742" s="16" t="str">
        <x:v>Together</x:v>
      </x:c>
      <x:c r="E742" s="16" t="n">
        <x:v>38702</x:v>
      </x:c>
      <x:c r="F742" s="16" t="n">
        <x:v>1</x:v>
      </x:c>
      <x:c r="G742" s="16" t="n">
        <x:v>0</x:v>
      </x:c>
      <x:c r="H742" s="16" t="str">
        <x:v>01-08-2013</x:v>
      </x:c>
      <x:c r="I742" s="16" t="n">
        <x:v>71</x:v>
      </x:c>
      <x:c r="J742" s="16" t="n">
        <x:v>13</x:v>
      </x:c>
      <x:c r="K742" s="16" t="n">
        <x:v>11</x:v>
      </x:c>
      <x:c r="L742" s="16" t="n">
        <x:v>24</x:v>
      </x:c>
      <x:c r="M742" s="16" t="n">
        <x:v>13</x:v>
      </x:c>
      <x:c r="N742" s="16" t="n">
        <x:v>8</x:v>
      </x:c>
      <x:c r="O742" s="16" t="n">
        <x:v>40</x:v>
      </x:c>
      <x:c r="P742" s="16" t="n">
        <x:v>2</x:v>
      </x:c>
      <x:c r="Q742" s="16" t="n">
        <x:v>3</x:v>
      </x:c>
      <x:c r="R742" s="16" t="n">
        <x:v>0</x:v>
      </x:c>
      <x:c r="S742" s="16" t="n">
        <x:v>4</x:v>
      </x:c>
      <x:c r="T742" s="16" t="n">
        <x:v>6</x:v>
      </x:c>
      <x:c r="U742" s="16" t="n">
        <x:v>0</x:v>
      </x:c>
      <x:c r="V742" s="16" t="n">
        <x:v>0</x:v>
      </x:c>
      <x:c r="W742" s="16" t="n">
        <x:v>0</x:v>
      </x:c>
      <x:c r="X742" s="16" t="n">
        <x:v>0</x:v>
      </x:c>
      <x:c r="Y742" s="16" t="n">
        <x:v>0</x:v>
      </x:c>
      <x:c r="Z742" s="16" t="n">
        <x:v>0</x:v>
      </x:c>
      <x:c r="AA742" s="16" t="n">
        <x:v>3</x:v>
      </x:c>
      <x:c r="AB742" s="16" t="n">
        <x:v>11</x:v>
      </x:c>
      <x:c r="AC742" s="16" t="n">
        <x:v>0</x:v>
      </x:c>
      <x:c r="AD742" s="21" t="n">
        <x:f>IF(E742="",MEDIAN($E$2:$E$2237),E742)</x:f>
        <x:v>38702</x:v>
      </x:c>
      <x:c r="AE742" s="17" t="n">
        <x:f>2014-B742</x:f>
        <x:v>36</x:v>
      </x:c>
      <x:c r="AF742" s="17" t="n">
        <x:f>F742+G742</x:f>
        <x:v>1</x:v>
      </x:c>
      <x:c r="AG742" s="21" t="n">
        <x:f>SUM(J742:O742)</x:f>
        <x:v>109</x:v>
      </x:c>
      <x:c r="AH742" s="17" t="n">
        <x:f>SUM(Q742:S742)</x:f>
        <x:v>7</x:v>
      </x:c>
      <x:c r="AI742" s="17" t="n">
        <x:f>SUM(U742:Y742)</x:f>
        <x:v>0</x:v>
      </x:c>
      <x:c r="AJ742" s="17" t="str">
        <x:f>IF(AE742&lt;=34,"≤34",IF(AE742&lt;=44,"35–44",IF(AE742&lt;=54,"45–54",IF(AE742&lt;=64,"55–64","65+"))))</x:f>
        <x:v>35–44</x:v>
      </x:c>
      <x:c r="AK742" s="17" t="str">
        <x:f>IF(AG742&gt;=1000,"High Value",IF(AG742&gt;=300,"Mid Value","Low Value"))</x:f>
        <x:v>Low Value</x:v>
      </x:c>
      <x:c r="AL742" s="17" t="str">
        <x:f>IF(AND(AI742&gt;=1,I742&lt;=50),"Priority 1",IF(AND(AG742&gt;=1000,I742&lt;=60),"Priority 2",IF(I742&lt;=30,"Priority 3","Nurture")))</x:f>
        <x:v>Nurture</x:v>
      </x:c>
    </x:row>
    <x:row r="743">
      <x:c r="A743" s="16" t="n">
        <x:v>5278</x:v>
      </x:c>
      <x:c r="B743" s="16" t="n">
        <x:v>1964</x:v>
      </x:c>
      <x:c r="C743" s="16" t="str">
        <x:v>Graduation</x:v>
      </x:c>
      <x:c r="D743" s="16" t="str">
        <x:v>Married</x:v>
      </x:c>
      <x:c r="E743" s="16" t="n">
        <x:v>82224</x:v>
      </x:c>
      <x:c r="F743" s="16" t="n">
        <x:v>0</x:v>
      </x:c>
      <x:c r="G743" s="16" t="n">
        <x:v>0</x:v>
      </x:c>
      <x:c r="H743" s="16" t="str">
        <x:v>25-01-2014</x:v>
      </x:c>
      <x:c r="I743" s="16" t="n">
        <x:v>83</x:v>
      </x:c>
      <x:c r="J743" s="16" t="n">
        <x:v>307</x:v>
      </x:c>
      <x:c r="K743" s="16" t="n">
        <x:v>26</x:v>
      </x:c>
      <x:c r="L743" s="16" t="n">
        <x:v>360</x:v>
      </x:c>
      <x:c r="M743" s="16" t="n">
        <x:v>138</x:v>
      </x:c>
      <x:c r="N743" s="16" t="n">
        <x:v>31</x:v>
      </x:c>
      <x:c r="O743" s="16" t="n">
        <x:v>40</x:v>
      </x:c>
      <x:c r="P743" s="16" t="n">
        <x:v>1</x:v>
      </x:c>
      <x:c r="Q743" s="16" t="n">
        <x:v>6</x:v>
      </x:c>
      <x:c r="R743" s="16" t="n">
        <x:v>9</x:v>
      </x:c>
      <x:c r="S743" s="16" t="n">
        <x:v>5</x:v>
      </x:c>
      <x:c r="T743" s="16" t="n">
        <x:v>3</x:v>
      </x:c>
      <x:c r="U743" s="16" t="n">
        <x:v>0</x:v>
      </x:c>
      <x:c r="V743" s="16" t="n">
        <x:v>0</x:v>
      </x:c>
      <x:c r="W743" s="16" t="n">
        <x:v>0</x:v>
      </x:c>
      <x:c r="X743" s="16" t="n">
        <x:v>1</x:v>
      </x:c>
      <x:c r="Y743" s="16" t="n">
        <x:v>0</x:v>
      </x:c>
      <x:c r="Z743" s="16" t="n">
        <x:v>0</x:v>
      </x:c>
      <x:c r="AA743" s="16" t="n">
        <x:v>3</x:v>
      </x:c>
      <x:c r="AB743" s="16" t="n">
        <x:v>11</x:v>
      </x:c>
      <x:c r="AC743" s="16" t="n">
        <x:v>0</x:v>
      </x:c>
      <x:c r="AD743" s="21" t="n">
        <x:f>IF(E743="",MEDIAN($E$2:$E$2237),E743)</x:f>
        <x:v>82224</x:v>
      </x:c>
      <x:c r="AE743" s="17" t="n">
        <x:f>2014-B743</x:f>
        <x:v>50</x:v>
      </x:c>
      <x:c r="AF743" s="17" t="n">
        <x:f>F743+G743</x:f>
        <x:v>0</x:v>
      </x:c>
      <x:c r="AG743" s="21" t="n">
        <x:f>SUM(J743:O743)</x:f>
        <x:v>902</x:v>
      </x:c>
      <x:c r="AH743" s="17" t="n">
        <x:f>SUM(Q743:S743)</x:f>
        <x:v>20</x:v>
      </x:c>
      <x:c r="AI743" s="17" t="n">
        <x:f>SUM(U743:Y743)</x:f>
        <x:v>1</x:v>
      </x:c>
      <x:c r="AJ743" s="17" t="str">
        <x:f>IF(AE743&lt;=34,"≤34",IF(AE743&lt;=44,"35–44",IF(AE743&lt;=54,"45–54",IF(AE743&lt;=64,"55–64","65+"))))</x:f>
        <x:v>45–54</x:v>
      </x:c>
      <x:c r="AK743" s="17" t="str">
        <x:f>IF(AG743&gt;=1000,"High Value",IF(AG743&gt;=300,"Mid Value","Low Value"))</x:f>
        <x:v>Mid Value</x:v>
      </x:c>
      <x:c r="AL743" s="17" t="str">
        <x:f>IF(AND(AI743&gt;=1,I743&lt;=50),"Priority 1",IF(AND(AG743&gt;=1000,I743&lt;=60),"Priority 2",IF(I743&lt;=30,"Priority 3","Nurture")))</x:f>
        <x:v>Nurture</x:v>
      </x:c>
    </x:row>
    <x:row r="744">
      <x:c r="A744" s="16" t="n">
        <x:v>3560</x:v>
      </x:c>
      <x:c r="B744" s="16" t="n">
        <x:v>1952</x:v>
      </x:c>
      <x:c r="C744" s="16" t="str">
        <x:v>Graduation</x:v>
      </x:c>
      <x:c r="D744" s="16" t="str">
        <x:v>Together</x:v>
      </x:c>
      <x:c r="E744" s="16" t="n">
        <x:v>83844</x:v>
      </x:c>
      <x:c r="F744" s="16" t="n">
        <x:v>0</x:v>
      </x:c>
      <x:c r="G744" s="16" t="n">
        <x:v>0</x:v>
      </x:c>
      <x:c r="H744" s="16" t="str">
        <x:v>12-05-2013</x:v>
      </x:c>
      <x:c r="I744" s="16" t="n">
        <x:v>57</x:v>
      </x:c>
      <x:c r="J744" s="16" t="n">
        <x:v>901</x:v>
      </x:c>
      <x:c r="K744" s="16" t="n">
        <x:v>31</x:v>
      </x:c>
      <x:c r="L744" s="16" t="n">
        <x:v>345</x:v>
      </x:c>
      <x:c r="M744" s="16" t="n">
        <x:v>75</x:v>
      </x:c>
      <x:c r="N744" s="16" t="n">
        <x:v>31</x:v>
      </x:c>
      <x:c r="O744" s="16" t="n">
        <x:v>191</x:v>
      </x:c>
      <x:c r="P744" s="16" t="n">
        <x:v>1</x:v>
      </x:c>
      <x:c r="Q744" s="16" t="n">
        <x:v>4</x:v>
      </x:c>
      <x:c r="R744" s="16" t="n">
        <x:v>4</x:v>
      </x:c>
      <x:c r="S744" s="16" t="n">
        <x:v>11</x:v>
      </x:c>
      <x:c r="T744" s="16" t="n">
        <x:v>1</x:v>
      </x:c>
      <x:c r="U744" s="16" t="n">
        <x:v>0</x:v>
      </x:c>
      <x:c r="V744" s="16" t="n">
        <x:v>0</x:v>
      </x:c>
      <x:c r="W744" s="16" t="n">
        <x:v>1</x:v>
      </x:c>
      <x:c r="X744" s="16" t="n">
        <x:v>0</x:v>
      </x:c>
      <x:c r="Y744" s="16" t="n">
        <x:v>0</x:v>
      </x:c>
      <x:c r="Z744" s="16" t="n">
        <x:v>0</x:v>
      </x:c>
      <x:c r="AA744" s="16" t="n">
        <x:v>3</x:v>
      </x:c>
      <x:c r="AB744" s="16" t="n">
        <x:v>11</x:v>
      </x:c>
      <x:c r="AC744" s="16" t="n">
        <x:v>0</x:v>
      </x:c>
      <x:c r="AD744" s="21" t="n">
        <x:f>IF(E744="",MEDIAN($E$2:$E$2237),E744)</x:f>
        <x:v>83844</x:v>
      </x:c>
      <x:c r="AE744" s="17" t="n">
        <x:f>2014-B744</x:f>
        <x:v>62</x:v>
      </x:c>
      <x:c r="AF744" s="17" t="n">
        <x:f>F744+G744</x:f>
        <x:v>0</x:v>
      </x:c>
      <x:c r="AG744" s="21" t="n">
        <x:f>SUM(J744:O744)</x:f>
        <x:v>1574</x:v>
      </x:c>
      <x:c r="AH744" s="17" t="n">
        <x:f>SUM(Q744:S744)</x:f>
        <x:v>19</x:v>
      </x:c>
      <x:c r="AI744" s="17" t="n">
        <x:f>SUM(U744:Y744)</x:f>
        <x:v>1</x:v>
      </x:c>
      <x:c r="AJ744" s="17" t="str">
        <x:f>IF(AE744&lt;=34,"≤34",IF(AE744&lt;=44,"35–44",IF(AE744&lt;=54,"45–54",IF(AE744&lt;=64,"55–64","65+"))))</x:f>
        <x:v>55–64</x:v>
      </x:c>
      <x:c r="AK744" s="17" t="str">
        <x:f>IF(AG744&gt;=1000,"High Value",IF(AG744&gt;=300,"Mid Value","Low Value"))</x:f>
        <x:v>High Value</x:v>
      </x:c>
      <x:c r="AL744" s="17" t="str">
        <x:f>IF(AND(AI744&gt;=1,I744&lt;=50),"Priority 1",IF(AND(AG744&gt;=1000,I744&lt;=60),"Priority 2",IF(I744&lt;=30,"Priority 3","Nurture")))</x:f>
        <x:v>Priority 2</x:v>
      </x:c>
    </x:row>
    <x:row r="745">
      <x:c r="A745" s="16" t="n">
        <x:v>7235</x:v>
      </x:c>
      <x:c r="B745" s="16" t="n">
        <x:v>1975</x:v>
      </x:c>
      <x:c r="C745" s="16" t="str">
        <x:v>2n Cycle</x:v>
      </x:c>
      <x:c r="D745" s="16" t="str">
        <x:v>Married</x:v>
      </x:c>
      <x:c r="E745" s="16" t="n">
        <x:v>17003</x:v>
      </x:c>
      <x:c r="F745" s="16" t="n">
        <x:v>1</x:v>
      </x:c>
      <x:c r="G745" s="16" t="n">
        <x:v>0</x:v>
      </x:c>
      <x:c r="H745" s="16" t="str">
        <x:v>09-12-2013</x:v>
      </x:c>
      <x:c r="I745" s="16" t="n">
        <x:v>37</x:v>
      </x:c>
      <x:c r="J745" s="16" t="n">
        <x:v>2</x:v>
      </x:c>
      <x:c r="K745" s="16" t="n">
        <x:v>5</x:v>
      </x:c>
      <x:c r="L745" s="16" t="n">
        <x:v>12</x:v>
      </x:c>
      <x:c r="M745" s="16" t="n">
        <x:v>4</x:v>
      </x:c>
      <x:c r="N745" s="16" t="n">
        <x:v>8</x:v>
      </x:c>
      <x:c r="O745" s="16" t="n">
        <x:v>7</x:v>
      </x:c>
      <x:c r="P745" s="16" t="n">
        <x:v>3</x:v>
      </x:c>
      <x:c r="Q745" s="16" t="n">
        <x:v>2</x:v>
      </x:c>
      <x:c r="R745" s="16" t="n">
        <x:v>0</x:v>
      </x:c>
      <x:c r="S745" s="16" t="n">
        <x:v>4</x:v>
      </x:c>
      <x:c r="T745" s="16" t="n">
        <x:v>5</x:v>
      </x:c>
      <x:c r="U745" s="16" t="n">
        <x:v>0</x:v>
      </x:c>
      <x:c r="V745" s="16" t="n">
        <x:v>0</x:v>
      </x:c>
      <x:c r="W745" s="16" t="n">
        <x:v>0</x:v>
      </x:c>
      <x:c r="X745" s="16" t="n">
        <x:v>0</x:v>
      </x:c>
      <x:c r="Y745" s="16" t="n">
        <x:v>0</x:v>
      </x:c>
      <x:c r="Z745" s="16" t="n">
        <x:v>0</x:v>
      </x:c>
      <x:c r="AA745" s="16" t="n">
        <x:v>3</x:v>
      </x:c>
      <x:c r="AB745" s="16" t="n">
        <x:v>11</x:v>
      </x:c>
      <x:c r="AC745" s="16" t="n">
        <x:v>0</x:v>
      </x:c>
      <x:c r="AD745" s="21" t="n">
        <x:f>IF(E745="",MEDIAN($E$2:$E$2237),E745)</x:f>
        <x:v>17003</x:v>
      </x:c>
      <x:c r="AE745" s="17" t="n">
        <x:f>2014-B745</x:f>
        <x:v>39</x:v>
      </x:c>
      <x:c r="AF745" s="17" t="n">
        <x:f>F745+G745</x:f>
        <x:v>1</x:v>
      </x:c>
      <x:c r="AG745" s="21" t="n">
        <x:f>SUM(J745:O745)</x:f>
        <x:v>38</x:v>
      </x:c>
      <x:c r="AH745" s="17" t="n">
        <x:f>SUM(Q745:S745)</x:f>
        <x:v>6</x:v>
      </x:c>
      <x:c r="AI745" s="17" t="n">
        <x:f>SUM(U745:Y745)</x:f>
        <x:v>0</x:v>
      </x:c>
      <x:c r="AJ745" s="17" t="str">
        <x:f>IF(AE745&lt;=34,"≤34",IF(AE745&lt;=44,"35–44",IF(AE745&lt;=54,"45–54",IF(AE745&lt;=64,"55–64","65+"))))</x:f>
        <x:v>35–44</x:v>
      </x:c>
      <x:c r="AK745" s="17" t="str">
        <x:f>IF(AG745&gt;=1000,"High Value",IF(AG745&gt;=300,"Mid Value","Low Value"))</x:f>
        <x:v>Low Value</x:v>
      </x:c>
      <x:c r="AL745" s="17" t="str">
        <x:f>IF(AND(AI745&gt;=1,I745&lt;=50),"Priority 1",IF(AND(AG745&gt;=1000,I745&lt;=60),"Priority 2",IF(I745&lt;=30,"Priority 3","Nurture")))</x:f>
        <x:v>Nurture</x:v>
      </x:c>
    </x:row>
    <x:row r="746">
      <x:c r="A746" s="16" t="n">
        <x:v>10548</x:v>
      </x:c>
      <x:c r="B746" s="16" t="n">
        <x:v>1995</x:v>
      </x:c>
      <x:c r="C746" s="16" t="str">
        <x:v>Graduation</x:v>
      </x:c>
      <x:c r="D746" s="16" t="str">
        <x:v>Single</x:v>
      </x:c>
      <x:c r="E746" s="16" t="n">
        <x:v>71163</x:v>
      </x:c>
      <x:c r="F746" s="16" t="n">
        <x:v>0</x:v>
      </x:c>
      <x:c r="G746" s="16" t="n">
        <x:v>0</x:v>
      </x:c>
      <x:c r="H746" s="16" t="str">
        <x:v>09-03-2014</x:v>
      </x:c>
      <x:c r="I746" s="16" t="n">
        <x:v>30</x:v>
      </x:c>
      <x:c r="J746" s="16" t="n">
        <x:v>283</x:v>
      </x:c>
      <x:c r="K746" s="16" t="n">
        <x:v>17</x:v>
      </x:c>
      <x:c r="L746" s="16" t="n">
        <x:v>372</x:v>
      </x:c>
      <x:c r="M746" s="16" t="n">
        <x:v>138</x:v>
      </x:c>
      <x:c r="N746" s="16" t="n">
        <x:v>106</x:v>
      </x:c>
      <x:c r="O746" s="16" t="n">
        <x:v>44</x:v>
      </x:c>
      <x:c r="P746" s="16" t="n">
        <x:v>1</x:v>
      </x:c>
      <x:c r="Q746" s="16" t="n">
        <x:v>3</x:v>
      </x:c>
      <x:c r="R746" s="16" t="n">
        <x:v>8</x:v>
      </x:c>
      <x:c r="S746" s="16" t="n">
        <x:v>12</x:v>
      </x:c>
      <x:c r="T746" s="16" t="n">
        <x:v>1</x:v>
      </x:c>
      <x:c r="U746" s="16" t="n">
        <x:v>0</x:v>
      </x:c>
      <x:c r="V746" s="16" t="n">
        <x:v>0</x:v>
      </x:c>
      <x:c r="W746" s="16" t="n">
        <x:v>0</x:v>
      </x:c>
      <x:c r="X746" s="16" t="n">
        <x:v>0</x:v>
      </x:c>
      <x:c r="Y746" s="16" t="n">
        <x:v>0</x:v>
      </x:c>
      <x:c r="Z746" s="16" t="n">
        <x:v>0</x:v>
      </x:c>
      <x:c r="AA746" s="16" t="n">
        <x:v>3</x:v>
      </x:c>
      <x:c r="AB746" s="16" t="n">
        <x:v>11</x:v>
      </x:c>
      <x:c r="AC746" s="16" t="n">
        <x:v>0</x:v>
      </x:c>
      <x:c r="AD746" s="21" t="n">
        <x:f>IF(E746="",MEDIAN($E$2:$E$2237),E746)</x:f>
        <x:v>71163</x:v>
      </x:c>
      <x:c r="AE746" s="17" t="n">
        <x:f>2014-B746</x:f>
        <x:v>19</x:v>
      </x:c>
      <x:c r="AF746" s="17" t="n">
        <x:f>F746+G746</x:f>
        <x:v>0</x:v>
      </x:c>
      <x:c r="AG746" s="21" t="n">
        <x:f>SUM(J746:O746)</x:f>
        <x:v>960</x:v>
      </x:c>
      <x:c r="AH746" s="17" t="n">
        <x:f>SUM(Q746:S746)</x:f>
        <x:v>23</x:v>
      </x:c>
      <x:c r="AI746" s="17" t="n">
        <x:f>SUM(U746:Y746)</x:f>
        <x:v>0</x:v>
      </x:c>
      <x:c r="AJ746" s="17" t="str">
        <x:f>IF(AE746&lt;=34,"≤34",IF(AE746&lt;=44,"35–44",IF(AE746&lt;=54,"45–54",IF(AE746&lt;=64,"55–64","65+"))))</x:f>
        <x:v>≤34</x:v>
      </x:c>
      <x:c r="AK746" s="17" t="str">
        <x:f>IF(AG746&gt;=1000,"High Value",IF(AG746&gt;=300,"Mid Value","Low Value"))</x:f>
        <x:v>Mid Value</x:v>
      </x:c>
      <x:c r="AL746" s="17" t="str">
        <x:f>IF(AND(AI746&gt;=1,I746&lt;=50),"Priority 1",IF(AND(AG746&gt;=1000,I746&lt;=60),"Priority 2",IF(I746&lt;=30,"Priority 3","Nurture")))</x:f>
        <x:v>Priority 3</x:v>
      </x:c>
    </x:row>
    <x:row r="747">
      <x:c r="A747" s="16" t="n">
        <x:v>2281</x:v>
      </x:c>
      <x:c r="B747" s="16" t="n">
        <x:v>1970</x:v>
      </x:c>
      <x:c r="C747" s="16" t="str">
        <x:v>Graduation</x:v>
      </x:c>
      <x:c r="D747" s="16" t="str">
        <x:v>Single</x:v>
      </x:c>
      <x:c r="E747" s="16" t="n">
        <x:v>33697</x:v>
      </x:c>
      <x:c r="F747" s="16" t="n">
        <x:v>1</x:v>
      </x:c>
      <x:c r="G747" s="16" t="n">
        <x:v>0</x:v>
      </x:c>
      <x:c r="H747" s="16" t="str">
        <x:v>15-09-2013</x:v>
      </x:c>
      <x:c r="I747" s="16" t="n">
        <x:v>34</x:v>
      </x:c>
      <x:c r="J747" s="16" t="n">
        <x:v>4</x:v>
      </x:c>
      <x:c r="K747" s="16" t="n">
        <x:v>3</x:v>
      </x:c>
      <x:c r="L747" s="16" t="n">
        <x:v>7</x:v>
      </x:c>
      <x:c r="M747" s="16" t="n">
        <x:v>0</x:v>
      </x:c>
      <x:c r="N747" s="16" t="n">
        <x:v>3</x:v>
      </x:c>
      <x:c r="O747" s="16" t="n">
        <x:v>11</x:v>
      </x:c>
      <x:c r="P747" s="16" t="n">
        <x:v>1</x:v>
      </x:c>
      <x:c r="Q747" s="16" t="n">
        <x:v>1</x:v>
      </x:c>
      <x:c r="R747" s="16" t="n">
        <x:v>0</x:v>
      </x:c>
      <x:c r="S747" s="16" t="n">
        <x:v>2</x:v>
      </x:c>
      <x:c r="T747" s="16" t="n">
        <x:v>7</x:v>
      </x:c>
      <x:c r="U747" s="16" t="n">
        <x:v>1</x:v>
      </x:c>
      <x:c r="V747" s="16" t="n">
        <x:v>0</x:v>
      </x:c>
      <x:c r="W747" s="16" t="n">
        <x:v>0</x:v>
      </x:c>
      <x:c r="X747" s="16" t="n">
        <x:v>0</x:v>
      </x:c>
      <x:c r="Y747" s="16" t="n">
        <x:v>0</x:v>
      </x:c>
      <x:c r="Z747" s="16" t="n">
        <x:v>0</x:v>
      </x:c>
      <x:c r="AA747" s="16" t="n">
        <x:v>3</x:v>
      </x:c>
      <x:c r="AB747" s="16" t="n">
        <x:v>11</x:v>
      </x:c>
      <x:c r="AC747" s="16" t="n">
        <x:v>0</x:v>
      </x:c>
      <x:c r="AD747" s="21" t="n">
        <x:f>IF(E747="",MEDIAN($E$2:$E$2237),E747)</x:f>
        <x:v>33697</x:v>
      </x:c>
      <x:c r="AE747" s="17" t="n">
        <x:f>2014-B747</x:f>
        <x:v>44</x:v>
      </x:c>
      <x:c r="AF747" s="17" t="n">
        <x:f>F747+G747</x:f>
        <x:v>1</x:v>
      </x:c>
      <x:c r="AG747" s="21" t="n">
        <x:f>SUM(J747:O747)</x:f>
        <x:v>28</x:v>
      </x:c>
      <x:c r="AH747" s="17" t="n">
        <x:f>SUM(Q747:S747)</x:f>
        <x:v>3</x:v>
      </x:c>
      <x:c r="AI747" s="17" t="n">
        <x:f>SUM(U747:Y747)</x:f>
        <x:v>1</x:v>
      </x:c>
      <x:c r="AJ747" s="17" t="str">
        <x:f>IF(AE747&lt;=34,"≤34",IF(AE747&lt;=44,"35–44",IF(AE747&lt;=54,"45–54",IF(AE747&lt;=64,"55–64","65+"))))</x:f>
        <x:v>35–44</x:v>
      </x:c>
      <x:c r="AK747" s="17" t="str">
        <x:f>IF(AG747&gt;=1000,"High Value",IF(AG747&gt;=300,"Mid Value","Low Value"))</x:f>
        <x:v>Low Value</x:v>
      </x:c>
      <x:c r="AL747" s="17" t="str">
        <x:f>IF(AND(AI747&gt;=1,I747&lt;=50),"Priority 1",IF(AND(AG747&gt;=1000,I747&lt;=60),"Priority 2",IF(I747&lt;=30,"Priority 3","Nurture")))</x:f>
        <x:v>Priority 1</x:v>
      </x:c>
    </x:row>
    <x:row r="748">
      <x:c r="A748" s="16" t="n">
        <x:v>4073</x:v>
      </x:c>
      <x:c r="B748" s="16" t="n">
        <x:v>1954</x:v>
      </x:c>
      <x:c r="C748" s="16" t="str">
        <x:v>2n Cycle</x:v>
      </x:c>
      <x:c r="D748" s="16" t="str">
        <x:v>Married</x:v>
      </x:c>
      <x:c r="E748" s="16" t="n">
        <x:v>63564</x:v>
      </x:c>
      <x:c r="F748" s="16" t="n">
        <x:v>0</x:v>
      </x:c>
      <x:c r="G748" s="16" t="n">
        <x:v>0</x:v>
      </x:c>
      <x:c r="H748" s="16" t="str">
        <x:v>29-01-2014</x:v>
      </x:c>
      <x:c r="I748" s="16" t="n">
        <x:v>0</x:v>
      </x:c>
      <x:c r="J748" s="16" t="n">
        <x:v>769</x:v>
      </x:c>
      <x:c r="K748" s="16" t="n">
        <x:v>80</x:v>
      </x:c>
      <x:c r="L748" s="16" t="n">
        <x:v>252</x:v>
      </x:c>
      <x:c r="M748" s="16" t="n">
        <x:v>15</x:v>
      </x:c>
      <x:c r="N748" s="16" t="n">
        <x:v>34</x:v>
      </x:c>
      <x:c r="O748" s="16" t="n">
        <x:v>65</x:v>
      </x:c>
      <x:c r="P748" s="16" t="n">
        <x:v>1</x:v>
      </x:c>
      <x:c r="Q748" s="16" t="n">
        <x:v>10</x:v>
      </x:c>
      <x:c r="R748" s="16" t="n">
        <x:v>10</x:v>
      </x:c>
      <x:c r="S748" s="16" t="n">
        <x:v>7</x:v>
      </x:c>
      <x:c r="T748" s="16" t="n">
        <x:v>6</x:v>
      </x:c>
      <x:c r="U748" s="16" t="n">
        <x:v>1</x:v>
      </x:c>
      <x:c r="V748" s="16" t="n">
        <x:v>0</x:v>
      </x:c>
      <x:c r="W748" s="16" t="n">
        <x:v>0</x:v>
      </x:c>
      <x:c r="X748" s="16" t="n">
        <x:v>0</x:v>
      </x:c>
      <x:c r="Y748" s="16" t="n">
        <x:v>0</x:v>
      </x:c>
      <x:c r="Z748" s="16" t="n">
        <x:v>0</x:v>
      </x:c>
      <x:c r="AA748" s="16" t="n">
        <x:v>3</x:v>
      </x:c>
      <x:c r="AB748" s="16" t="n">
        <x:v>11</x:v>
      </x:c>
      <x:c r="AC748" s="16" t="n">
        <x:v>1</x:v>
      </x:c>
      <x:c r="AD748" s="21" t="n">
        <x:f>IF(E748="",MEDIAN($E$2:$E$2237),E748)</x:f>
        <x:v>63564</x:v>
      </x:c>
      <x:c r="AE748" s="17" t="n">
        <x:f>2014-B748</x:f>
        <x:v>60</x:v>
      </x:c>
      <x:c r="AF748" s="17" t="n">
        <x:f>F748+G748</x:f>
        <x:v>0</x:v>
      </x:c>
      <x:c r="AG748" s="21" t="n">
        <x:f>SUM(J748:O748)</x:f>
        <x:v>1215</x:v>
      </x:c>
      <x:c r="AH748" s="17" t="n">
        <x:f>SUM(Q748:S748)</x:f>
        <x:v>27</x:v>
      </x:c>
      <x:c r="AI748" s="17" t="n">
        <x:f>SUM(U748:Y748)</x:f>
        <x:v>1</x:v>
      </x:c>
      <x:c r="AJ748" s="17" t="str">
        <x:f>IF(AE748&lt;=34,"≤34",IF(AE748&lt;=44,"35–44",IF(AE748&lt;=54,"45–54",IF(AE748&lt;=64,"55–64","65+"))))</x:f>
        <x:v>55–64</x:v>
      </x:c>
      <x:c r="AK748" s="17" t="str">
        <x:f>IF(AG748&gt;=1000,"High Value",IF(AG748&gt;=300,"Mid Value","Low Value"))</x:f>
        <x:v>High Value</x:v>
      </x:c>
      <x:c r="AL748" s="17" t="str">
        <x:f>IF(AND(AI748&gt;=1,I748&lt;=50),"Priority 1",IF(AND(AG748&gt;=1000,I748&lt;=60),"Priority 2",IF(I748&lt;=30,"Priority 3","Nurture")))</x:f>
        <x:v>Priority 1</x:v>
      </x:c>
    </x:row>
    <x:row r="749">
      <x:c r="A749" s="16" t="n">
        <x:v>6974</x:v>
      </x:c>
      <x:c r="B749" s="16" t="n">
        <x:v>1972</x:v>
      </x:c>
      <x:c r="C749" s="16" t="str">
        <x:v>PhD</x:v>
      </x:c>
      <x:c r="D749" s="16" t="str">
        <x:v>Together</x:v>
      </x:c>
      <x:c r="E749" s="16" t="n">
        <x:v>83443</x:v>
      </x:c>
      <x:c r="F749" s="16" t="n">
        <x:v>0</x:v>
      </x:c>
      <x:c r="G749" s="16" t="n">
        <x:v>0</x:v>
      </x:c>
      <x:c r="H749" s="16" t="str">
        <x:v>31-12-2013</x:v>
      </x:c>
      <x:c r="I749" s="16" t="n">
        <x:v>89</x:v>
      </x:c>
      <x:c r="J749" s="16" t="n">
        <x:v>518</x:v>
      </x:c>
      <x:c r="K749" s="16" t="n">
        <x:v>42</x:v>
      </x:c>
      <x:c r="L749" s="16" t="n">
        <x:v>742</x:v>
      </x:c>
      <x:c r="M749" s="16" t="n">
        <x:v>55</x:v>
      </x:c>
      <x:c r="N749" s="16" t="n">
        <x:v>56</x:v>
      </x:c>
      <x:c r="O749" s="16" t="n">
        <x:v>84</x:v>
      </x:c>
      <x:c r="P749" s="16" t="n">
        <x:v>1</x:v>
      </x:c>
      <x:c r="Q749" s="16" t="n">
        <x:v>6</x:v>
      </x:c>
      <x:c r="R749" s="16" t="n">
        <x:v>10</x:v>
      </x:c>
      <x:c r="S749" s="16" t="n">
        <x:v>5</x:v>
      </x:c>
      <x:c r="T749" s="16" t="n">
        <x:v>2</x:v>
      </x:c>
      <x:c r="U749" s="16" t="n">
        <x:v>0</x:v>
      </x:c>
      <x:c r="V749" s="16" t="n">
        <x:v>0</x:v>
      </x:c>
      <x:c r="W749" s="16" t="n">
        <x:v>0</x:v>
      </x:c>
      <x:c r="X749" s="16" t="n">
        <x:v>0</x:v>
      </x:c>
      <x:c r="Y749" s="16" t="n">
        <x:v>0</x:v>
      </x:c>
      <x:c r="Z749" s="16" t="n">
        <x:v>0</x:v>
      </x:c>
      <x:c r="AA749" s="16" t="n">
        <x:v>3</x:v>
      </x:c>
      <x:c r="AB749" s="16" t="n">
        <x:v>11</x:v>
      </x:c>
      <x:c r="AC749" s="16" t="n">
        <x:v>0</x:v>
      </x:c>
      <x:c r="AD749" s="21" t="n">
        <x:f>IF(E749="",MEDIAN($E$2:$E$2237),E749)</x:f>
        <x:v>83443</x:v>
      </x:c>
      <x:c r="AE749" s="17" t="n">
        <x:f>2014-B749</x:f>
        <x:v>42</x:v>
      </x:c>
      <x:c r="AF749" s="17" t="n">
        <x:f>F749+G749</x:f>
        <x:v>0</x:v>
      </x:c>
      <x:c r="AG749" s="21" t="n">
        <x:f>SUM(J749:O749)</x:f>
        <x:v>1497</x:v>
      </x:c>
      <x:c r="AH749" s="17" t="n">
        <x:f>SUM(Q749:S749)</x:f>
        <x:v>21</x:v>
      </x:c>
      <x:c r="AI749" s="17" t="n">
        <x:f>SUM(U749:Y749)</x:f>
        <x:v>0</x:v>
      </x:c>
      <x:c r="AJ749" s="17" t="str">
        <x:f>IF(AE749&lt;=34,"≤34",IF(AE749&lt;=44,"35–44",IF(AE749&lt;=54,"45–54",IF(AE749&lt;=64,"55–64","65+"))))</x:f>
        <x:v>35–44</x:v>
      </x:c>
      <x:c r="AK749" s="17" t="str">
        <x:f>IF(AG749&gt;=1000,"High Value",IF(AG749&gt;=300,"Mid Value","Low Value"))</x:f>
        <x:v>High Value</x:v>
      </x:c>
      <x:c r="AL749" s="17" t="str">
        <x:f>IF(AND(AI749&gt;=1,I749&lt;=50),"Priority 1",IF(AND(AG749&gt;=1000,I749&lt;=60),"Priority 2",IF(I749&lt;=30,"Priority 3","Nurture")))</x:f>
        <x:v>Nurture</x:v>
      </x:c>
    </x:row>
    <x:row r="750">
      <x:c r="A750" s="16" t="n">
        <x:v>7938</x:v>
      </x:c>
      <x:c r="B750" s="16" t="n">
        <x:v>1958</x:v>
      </x:c>
      <x:c r="C750" s="16" t="str">
        <x:v>PhD</x:v>
      </x:c>
      <x:c r="D750" s="16" t="str">
        <x:v>Together</x:v>
      </x:c>
      <x:c r="E750" s="16" t="n">
        <x:v>51518</x:v>
      </x:c>
      <x:c r="F750" s="16" t="n">
        <x:v>0</x:v>
      </x:c>
      <x:c r="G750" s="16" t="n">
        <x:v>1</x:v>
      </x:c>
      <x:c r="H750" s="16" t="str">
        <x:v>03-10-2013</x:v>
      </x:c>
      <x:c r="I750" s="16" t="n">
        <x:v>92</x:v>
      </x:c>
      <x:c r="J750" s="16" t="n">
        <x:v>350</x:v>
      </x:c>
      <x:c r="K750" s="16" t="n">
        <x:v>8</x:v>
      </x:c>
      <x:c r="L750" s="16" t="n">
        <x:v>66</x:v>
      </x:c>
      <x:c r="M750" s="16" t="n">
        <x:v>17</x:v>
      </x:c>
      <x:c r="N750" s="16" t="n">
        <x:v>4</x:v>
      </x:c>
      <x:c r="O750" s="16" t="n">
        <x:v>4</x:v>
      </x:c>
      <x:c r="P750" s="16" t="n">
        <x:v>2</x:v>
      </x:c>
      <x:c r="Q750" s="16" t="n">
        <x:v>3</x:v>
      </x:c>
      <x:c r="R750" s="16" t="n">
        <x:v>2</x:v>
      </x:c>
      <x:c r="S750" s="16" t="n">
        <x:v>10</x:v>
      </x:c>
      <x:c r="T750" s="16" t="n">
        <x:v>3</x:v>
      </x:c>
      <x:c r="U750" s="16" t="n">
        <x:v>0</x:v>
      </x:c>
      <x:c r="V750" s="16" t="n">
        <x:v>0</x:v>
      </x:c>
      <x:c r="W750" s="16" t="n">
        <x:v>0</x:v>
      </x:c>
      <x:c r="X750" s="16" t="n">
        <x:v>0</x:v>
      </x:c>
      <x:c r="Y750" s="16" t="n">
        <x:v>0</x:v>
      </x:c>
      <x:c r="Z750" s="16" t="n">
        <x:v>0</x:v>
      </x:c>
      <x:c r="AA750" s="16" t="n">
        <x:v>3</x:v>
      </x:c>
      <x:c r="AB750" s="16" t="n">
        <x:v>11</x:v>
      </x:c>
      <x:c r="AC750" s="16" t="n">
        <x:v>0</x:v>
      </x:c>
      <x:c r="AD750" s="21" t="n">
        <x:f>IF(E750="",MEDIAN($E$2:$E$2237),E750)</x:f>
        <x:v>51518</x:v>
      </x:c>
      <x:c r="AE750" s="17" t="n">
        <x:f>2014-B750</x:f>
        <x:v>56</x:v>
      </x:c>
      <x:c r="AF750" s="17" t="n">
        <x:f>F750+G750</x:f>
        <x:v>1</x:v>
      </x:c>
      <x:c r="AG750" s="21" t="n">
        <x:f>SUM(J750:O750)</x:f>
        <x:v>449</x:v>
      </x:c>
      <x:c r="AH750" s="17" t="n">
        <x:f>SUM(Q750:S750)</x:f>
        <x:v>15</x:v>
      </x:c>
      <x:c r="AI750" s="17" t="n">
        <x:f>SUM(U750:Y750)</x:f>
        <x:v>0</x:v>
      </x:c>
      <x:c r="AJ750" s="17" t="str">
        <x:f>IF(AE750&lt;=34,"≤34",IF(AE750&lt;=44,"35–44",IF(AE750&lt;=54,"45–54",IF(AE750&lt;=64,"55–64","65+"))))</x:f>
        <x:v>55–64</x:v>
      </x:c>
      <x:c r="AK750" s="17" t="str">
        <x:f>IF(AG750&gt;=1000,"High Value",IF(AG750&gt;=300,"Mid Value","Low Value"))</x:f>
        <x:v>Mid Value</x:v>
      </x:c>
      <x:c r="AL750" s="17" t="str">
        <x:f>IF(AND(AI750&gt;=1,I750&lt;=50),"Priority 1",IF(AND(AG750&gt;=1000,I750&lt;=60),"Priority 2",IF(I750&lt;=30,"Priority 3","Nurture")))</x:f>
        <x:v>Nurture</x:v>
      </x:c>
    </x:row>
    <x:row r="751">
      <x:c r="A751" s="16" t="n">
        <x:v>7094</x:v>
      </x:c>
      <x:c r="B751" s="16" t="n">
        <x:v>1975</x:v>
      </x:c>
      <x:c r="C751" s="16" t="str">
        <x:v>Graduation</x:v>
      </x:c>
      <x:c r="D751" s="16" t="str">
        <x:v>Widow</x:v>
      </x:c>
      <x:c r="E751" s="16" t="n">
        <x:v>58330</x:v>
      </x:c>
      <x:c r="F751" s="16" t="n">
        <x:v>0</x:v>
      </x:c>
      <x:c r="G751" s="16" t="n">
        <x:v>1</x:v>
      </x:c>
      <x:c r="H751" s="16" t="str">
        <x:v>25-12-2013</x:v>
      </x:c>
      <x:c r="I751" s="16" t="n">
        <x:v>87</x:v>
      </x:c>
      <x:c r="J751" s="16" t="n">
        <x:v>445</x:v>
      </x:c>
      <x:c r="K751" s="16" t="n">
        <x:v>53</x:v>
      </x:c>
      <x:c r="L751" s="16" t="n">
        <x:v>213</x:v>
      </x:c>
      <x:c r="M751" s="16" t="n">
        <x:v>104</x:v>
      </x:c>
      <x:c r="N751" s="16" t="n">
        <x:v>98</x:v>
      </x:c>
      <x:c r="O751" s="16" t="n">
        <x:v>151</x:v>
      </x:c>
      <x:c r="P751" s="16" t="n">
        <x:v>1</x:v>
      </x:c>
      <x:c r="Q751" s="16" t="n">
        <x:v>6</x:v>
      </x:c>
      <x:c r="R751" s="16" t="n">
        <x:v>4</x:v>
      </x:c>
      <x:c r="S751" s="16" t="n">
        <x:v>13</x:v>
      </x:c>
      <x:c r="T751" s="16" t="n">
        <x:v>4</x:v>
      </x:c>
      <x:c r="U751" s="16" t="n">
        <x:v>0</x:v>
      </x:c>
      <x:c r="V751" s="16" t="n">
        <x:v>0</x:v>
      </x:c>
      <x:c r="W751" s="16" t="n">
        <x:v>0</x:v>
      </x:c>
      <x:c r="X751" s="16" t="n">
        <x:v>0</x:v>
      </x:c>
      <x:c r="Y751" s="16" t="n">
        <x:v>0</x:v>
      </x:c>
      <x:c r="Z751" s="16" t="n">
        <x:v>0</x:v>
      </x:c>
      <x:c r="AA751" s="16" t="n">
        <x:v>3</x:v>
      </x:c>
      <x:c r="AB751" s="16" t="n">
        <x:v>11</x:v>
      </x:c>
      <x:c r="AC751" s="16" t="n">
        <x:v>0</x:v>
      </x:c>
      <x:c r="AD751" s="21" t="n">
        <x:f>IF(E751="",MEDIAN($E$2:$E$2237),E751)</x:f>
        <x:v>58330</x:v>
      </x:c>
      <x:c r="AE751" s="17" t="n">
        <x:f>2014-B751</x:f>
        <x:v>39</x:v>
      </x:c>
      <x:c r="AF751" s="17" t="n">
        <x:f>F751+G751</x:f>
        <x:v>1</x:v>
      </x:c>
      <x:c r="AG751" s="21" t="n">
        <x:f>SUM(J751:O751)</x:f>
        <x:v>1064</x:v>
      </x:c>
      <x:c r="AH751" s="17" t="n">
        <x:f>SUM(Q751:S751)</x:f>
        <x:v>23</x:v>
      </x:c>
      <x:c r="AI751" s="17" t="n">
        <x:f>SUM(U751:Y751)</x:f>
        <x:v>0</x:v>
      </x:c>
      <x:c r="AJ751" s="17" t="str">
        <x:f>IF(AE751&lt;=34,"≤34",IF(AE751&lt;=44,"35–44",IF(AE751&lt;=54,"45–54",IF(AE751&lt;=64,"55–64","65+"))))</x:f>
        <x:v>35–44</x:v>
      </x:c>
      <x:c r="AK751" s="17" t="str">
        <x:f>IF(AG751&gt;=1000,"High Value",IF(AG751&gt;=300,"Mid Value","Low Value"))</x:f>
        <x:v>High Value</x:v>
      </x:c>
      <x:c r="AL751" s="17" t="str">
        <x:f>IF(AND(AI751&gt;=1,I751&lt;=50),"Priority 1",IF(AND(AG751&gt;=1000,I751&lt;=60),"Priority 2",IF(I751&lt;=30,"Priority 3","Nurture")))</x:f>
        <x:v>Nurture</x:v>
      </x:c>
    </x:row>
    <x:row r="752">
      <x:c r="A752" s="16" t="n">
        <x:v>3667</x:v>
      </x:c>
      <x:c r="B752" s="16" t="n">
        <x:v>1969</x:v>
      </x:c>
      <x:c r="C752" s="16" t="str">
        <x:v>Graduation</x:v>
      </x:c>
      <x:c r="D752" s="16" t="str">
        <x:v>Married</x:v>
      </x:c>
      <x:c r="E752" s="16" t="n">
        <x:v>80952</x:v>
      </x:c>
      <x:c r="F752" s="16" t="n">
        <x:v>0</x:v>
      </x:c>
      <x:c r="G752" s="16" t="n">
        <x:v>0</x:v>
      </x:c>
      <x:c r="H752" s="16" t="str">
        <x:v>28-02-2013</x:v>
      </x:c>
      <x:c r="I752" s="16" t="n">
        <x:v>20</x:v>
      </x:c>
      <x:c r="J752" s="16" t="n">
        <x:v>778</x:v>
      </x:c>
      <x:c r="K752" s="16" t="n">
        <x:v>178</x:v>
      </x:c>
      <x:c r="L752" s="16" t="n">
        <x:v>689</x:v>
      </x:c>
      <x:c r="M752" s="16" t="n">
        <x:v>41</x:v>
      </x:c>
      <x:c r="N752" s="16" t="n">
        <x:v>27</x:v>
      </x:c>
      <x:c r="O752" s="16" t="n">
        <x:v>44</x:v>
      </x:c>
      <x:c r="P752" s="16" t="n">
        <x:v>1</x:v>
      </x:c>
      <x:c r="Q752" s="16" t="n">
        <x:v>8</x:v>
      </x:c>
      <x:c r="R752" s="16" t="n">
        <x:v>5</x:v>
      </x:c>
      <x:c r="S752" s="16" t="n">
        <x:v>11</x:v>
      </x:c>
      <x:c r="T752" s="16" t="n">
        <x:v>8</x:v>
      </x:c>
      <x:c r="U752" s="16" t="n">
        <x:v>0</x:v>
      </x:c>
      <x:c r="V752" s="16" t="n">
        <x:v>1</x:v>
      </x:c>
      <x:c r="W752" s="16" t="n">
        <x:v>1</x:v>
      </x:c>
      <x:c r="X752" s="16" t="n">
        <x:v>1</x:v>
      </x:c>
      <x:c r="Y752" s="16" t="n">
        <x:v>0</x:v>
      </x:c>
      <x:c r="Z752" s="16" t="n">
        <x:v>0</x:v>
      </x:c>
      <x:c r="AA752" s="16" t="n">
        <x:v>3</x:v>
      </x:c>
      <x:c r="AB752" s="16" t="n">
        <x:v>11</x:v>
      </x:c>
      <x:c r="AC752" s="16" t="n">
        <x:v>1</x:v>
      </x:c>
      <x:c r="AD752" s="21" t="n">
        <x:f>IF(E752="",MEDIAN($E$2:$E$2237),E752)</x:f>
        <x:v>80952</x:v>
      </x:c>
      <x:c r="AE752" s="17" t="n">
        <x:f>2014-B752</x:f>
        <x:v>45</x:v>
      </x:c>
      <x:c r="AF752" s="17" t="n">
        <x:f>F752+G752</x:f>
        <x:v>0</x:v>
      </x:c>
      <x:c r="AG752" s="21" t="n">
        <x:f>SUM(J752:O752)</x:f>
        <x:v>1757</x:v>
      </x:c>
      <x:c r="AH752" s="17" t="n">
        <x:f>SUM(Q752:S752)</x:f>
        <x:v>24</x:v>
      </x:c>
      <x:c r="AI752" s="17" t="n">
        <x:f>SUM(U752:Y752)</x:f>
        <x:v>3</x:v>
      </x:c>
      <x:c r="AJ752" s="17" t="str">
        <x:f>IF(AE752&lt;=34,"≤34",IF(AE752&lt;=44,"35–44",IF(AE752&lt;=54,"45–54",IF(AE752&lt;=64,"55–64","65+"))))</x:f>
        <x:v>45–54</x:v>
      </x:c>
      <x:c r="AK752" s="17" t="str">
        <x:f>IF(AG752&gt;=1000,"High Value",IF(AG752&gt;=300,"Mid Value","Low Value"))</x:f>
        <x:v>High Value</x:v>
      </x:c>
      <x:c r="AL752" s="17" t="str">
        <x:f>IF(AND(AI752&gt;=1,I752&lt;=50),"Priority 1",IF(AND(AG752&gt;=1000,I752&lt;=60),"Priority 2",IF(I752&lt;=30,"Priority 3","Nurture")))</x:f>
        <x:v>Priority 1</x:v>
      </x:c>
    </x:row>
    <x:row r="753">
      <x:c r="A753" s="16" t="n">
        <x:v>7723</x:v>
      </x:c>
      <x:c r="B753" s="16" t="n">
        <x:v>1979</x:v>
      </x:c>
      <x:c r="C753" s="16" t="str">
        <x:v>Graduation</x:v>
      </x:c>
      <x:c r="D753" s="16" t="str">
        <x:v>Together</x:v>
      </x:c>
      <x:c r="E753" s="16" t="n">
        <x:v>75507</x:v>
      </x:c>
      <x:c r="F753" s="16" t="n">
        <x:v>0</x:v>
      </x:c>
      <x:c r="G753" s="16" t="n">
        <x:v>0</x:v>
      </x:c>
      <x:c r="H753" s="16" t="str">
        <x:v>02-05-2014</x:v>
      </x:c>
      <x:c r="I753" s="16" t="n">
        <x:v>56</x:v>
      </x:c>
      <x:c r="J753" s="16" t="n">
        <x:v>709</x:v>
      </x:c>
      <x:c r="K753" s="16" t="n">
        <x:v>93</x:v>
      </x:c>
      <x:c r="L753" s="16" t="n">
        <x:v>374</x:v>
      </x:c>
      <x:c r="M753" s="16" t="n">
        <x:v>104</x:v>
      </x:c>
      <x:c r="N753" s="16" t="n">
        <x:v>80</x:v>
      </x:c>
      <x:c r="O753" s="16" t="n">
        <x:v>80</x:v>
      </x:c>
      <x:c r="P753" s="16" t="n">
        <x:v>1</x:v>
      </x:c>
      <x:c r="Q753" s="16" t="n">
        <x:v>8</x:v>
      </x:c>
      <x:c r="R753" s="16" t="n">
        <x:v>6</x:v>
      </x:c>
      <x:c r="S753" s="16" t="n">
        <x:v>6</x:v>
      </x:c>
      <x:c r="T753" s="16" t="n">
        <x:v>3</x:v>
      </x:c>
      <x:c r="U753" s="16" t="n">
        <x:v>0</x:v>
      </x:c>
      <x:c r="V753" s="16" t="n">
        <x:v>0</x:v>
      </x:c>
      <x:c r="W753" s="16" t="n">
        <x:v>0</x:v>
      </x:c>
      <x:c r="X753" s="16" t="n">
        <x:v>0</x:v>
      </x:c>
      <x:c r="Y753" s="16" t="n">
        <x:v>0</x:v>
      </x:c>
      <x:c r="Z753" s="16" t="n">
        <x:v>0</x:v>
      </x:c>
      <x:c r="AA753" s="16" t="n">
        <x:v>3</x:v>
      </x:c>
      <x:c r="AB753" s="16" t="n">
        <x:v>11</x:v>
      </x:c>
      <x:c r="AC753" s="16" t="n">
        <x:v>0</x:v>
      </x:c>
      <x:c r="AD753" s="21" t="n">
        <x:f>IF(E753="",MEDIAN($E$2:$E$2237),E753)</x:f>
        <x:v>75507</x:v>
      </x:c>
      <x:c r="AE753" s="17" t="n">
        <x:f>2014-B753</x:f>
        <x:v>35</x:v>
      </x:c>
      <x:c r="AF753" s="17" t="n">
        <x:f>F753+G753</x:f>
        <x:v>0</x:v>
      </x:c>
      <x:c r="AG753" s="21" t="n">
        <x:f>SUM(J753:O753)</x:f>
        <x:v>1440</x:v>
      </x:c>
      <x:c r="AH753" s="17" t="n">
        <x:f>SUM(Q753:S753)</x:f>
        <x:v>20</x:v>
      </x:c>
      <x:c r="AI753" s="17" t="n">
        <x:f>SUM(U753:Y753)</x:f>
        <x:v>0</x:v>
      </x:c>
      <x:c r="AJ753" s="17" t="str">
        <x:f>IF(AE753&lt;=34,"≤34",IF(AE753&lt;=44,"35–44",IF(AE753&lt;=54,"45–54",IF(AE753&lt;=64,"55–64","65+"))))</x:f>
        <x:v>35–44</x:v>
      </x:c>
      <x:c r="AK753" s="17" t="str">
        <x:f>IF(AG753&gt;=1000,"High Value",IF(AG753&gt;=300,"Mid Value","Low Value"))</x:f>
        <x:v>High Value</x:v>
      </x:c>
      <x:c r="AL753" s="17" t="str">
        <x:f>IF(AND(AI753&gt;=1,I753&lt;=50),"Priority 1",IF(AND(AG753&gt;=1000,I753&lt;=60),"Priority 2",IF(I753&lt;=30,"Priority 3","Nurture")))</x:f>
        <x:v>Priority 2</x:v>
      </x:c>
    </x:row>
    <x:row r="754">
      <x:c r="A754" s="16" t="n">
        <x:v>3870</x:v>
      </x:c>
      <x:c r="B754" s="16" t="n">
        <x:v>1978</x:v>
      </x:c>
      <x:c r="C754" s="16" t="str">
        <x:v>2n Cycle</x:v>
      </x:c>
      <x:c r="D754" s="16" t="str">
        <x:v>Together</x:v>
      </x:c>
      <x:c r="E754" s="16" t="n">
        <x:v>63855</x:v>
      </x:c>
      <x:c r="F754" s="16" t="n">
        <x:v>0</x:v>
      </x:c>
      <x:c r="G754" s="16" t="n">
        <x:v>0</x:v>
      </x:c>
      <x:c r="H754" s="16" t="str">
        <x:v>09-02-2013</x:v>
      </x:c>
      <x:c r="I754" s="16" t="n">
        <x:v>28</x:v>
      </x:c>
      <x:c r="J754" s="16" t="n">
        <x:v>359</x:v>
      </x:c>
      <x:c r="K754" s="16" t="n">
        <x:v>35</x:v>
      </x:c>
      <x:c r="L754" s="16" t="n">
        <x:v>314</x:v>
      </x:c>
      <x:c r="M754" s="16" t="n">
        <x:v>93</x:v>
      </x:c>
      <x:c r="N754" s="16" t="n">
        <x:v>116</x:v>
      </x:c>
      <x:c r="O754" s="16" t="n">
        <x:v>89</x:v>
      </x:c>
      <x:c r="P754" s="16" t="n">
        <x:v>1</x:v>
      </x:c>
      <x:c r="Q754" s="16" t="n">
        <x:v>7</x:v>
      </x:c>
      <x:c r="R754" s="16" t="n">
        <x:v>3</x:v>
      </x:c>
      <x:c r="S754" s="16" t="n">
        <x:v>13</x:v>
      </x:c>
      <x:c r="T754" s="16" t="n">
        <x:v>4</x:v>
      </x:c>
      <x:c r="U754" s="16" t="n">
        <x:v>0</x:v>
      </x:c>
      <x:c r="V754" s="16" t="n">
        <x:v>0</x:v>
      </x:c>
      <x:c r="W754" s="16" t="n">
        <x:v>0</x:v>
      </x:c>
      <x:c r="X754" s="16" t="n">
        <x:v>0</x:v>
      </x:c>
      <x:c r="Y754" s="16" t="n">
        <x:v>0</x:v>
      </x:c>
      <x:c r="Z754" s="16" t="n">
        <x:v>0</x:v>
      </x:c>
      <x:c r="AA754" s="16" t="n">
        <x:v>3</x:v>
      </x:c>
      <x:c r="AB754" s="16" t="n">
        <x:v>11</x:v>
      </x:c>
      <x:c r="AC754" s="16" t="n">
        <x:v>0</x:v>
      </x:c>
      <x:c r="AD754" s="21" t="n">
        <x:f>IF(E754="",MEDIAN($E$2:$E$2237),E754)</x:f>
        <x:v>63855</x:v>
      </x:c>
      <x:c r="AE754" s="17" t="n">
        <x:f>2014-B754</x:f>
        <x:v>36</x:v>
      </x:c>
      <x:c r="AF754" s="17" t="n">
        <x:f>F754+G754</x:f>
        <x:v>0</x:v>
      </x:c>
      <x:c r="AG754" s="21" t="n">
        <x:f>SUM(J754:O754)</x:f>
        <x:v>1006</x:v>
      </x:c>
      <x:c r="AH754" s="17" t="n">
        <x:f>SUM(Q754:S754)</x:f>
        <x:v>23</x:v>
      </x:c>
      <x:c r="AI754" s="17" t="n">
        <x:f>SUM(U754:Y754)</x:f>
        <x:v>0</x:v>
      </x:c>
      <x:c r="AJ754" s="17" t="str">
        <x:f>IF(AE754&lt;=34,"≤34",IF(AE754&lt;=44,"35–44",IF(AE754&lt;=54,"45–54",IF(AE754&lt;=64,"55–64","65+"))))</x:f>
        <x:v>35–44</x:v>
      </x:c>
      <x:c r="AK754" s="17" t="str">
        <x:f>IF(AG754&gt;=1000,"High Value",IF(AG754&gt;=300,"Mid Value","Low Value"))</x:f>
        <x:v>High Value</x:v>
      </x:c>
      <x:c r="AL754" s="17" t="str">
        <x:f>IF(AND(AI754&gt;=1,I754&lt;=50),"Priority 1",IF(AND(AG754&gt;=1000,I754&lt;=60),"Priority 2",IF(I754&lt;=30,"Priority 3","Nurture")))</x:f>
        <x:v>Priority 2</x:v>
      </x:c>
    </x:row>
    <x:row r="755">
      <x:c r="A755" s="16" t="n">
        <x:v>4012</x:v>
      </x:c>
      <x:c r="B755" s="16" t="n">
        <x:v>1972</x:v>
      </x:c>
      <x:c r="C755" s="16" t="str">
        <x:v>PhD</x:v>
      </x:c>
      <x:c r="D755" s="16" t="str">
        <x:v>Together</x:v>
      </x:c>
      <x:c r="E755" s="16" t="n">
        <x:v>62220</x:v>
      </x:c>
      <x:c r="F755" s="16" t="n">
        <x:v>0</x:v>
      </x:c>
      <x:c r="G755" s="16" t="n">
        <x:v>1</x:v>
      </x:c>
      <x:c r="H755" s="16" t="str">
        <x:v>11-08-2012</x:v>
      </x:c>
      <x:c r="I755" s="16" t="n">
        <x:v>55</x:v>
      </x:c>
      <x:c r="J755" s="16" t="n">
        <x:v>799</x:v>
      </x:c>
      <x:c r="K755" s="16" t="n">
        <x:v>12</x:v>
      </x:c>
      <x:c r="L755" s="16" t="n">
        <x:v>375</x:v>
      </x:c>
      <x:c r="M755" s="16" t="n">
        <x:v>16</x:v>
      </x:c>
      <x:c r="N755" s="16" t="n">
        <x:v>12</x:v>
      </x:c>
      <x:c r="O755" s="16" t="n">
        <x:v>12</x:v>
      </x:c>
      <x:c r="P755" s="16" t="n">
        <x:v>5</x:v>
      </x:c>
      <x:c r="Q755" s="16" t="n">
        <x:v>7</x:v>
      </x:c>
      <x:c r="R755" s="16" t="n">
        <x:v>6</x:v>
      </x:c>
      <x:c r="S755" s="16" t="n">
        <x:v>5</x:v>
      </x:c>
      <x:c r="T755" s="16" t="n">
        <x:v>6</x:v>
      </x:c>
      <x:c r="U755" s="16" t="n">
        <x:v>0</x:v>
      </x:c>
      <x:c r="V755" s="16" t="n">
        <x:v>0</x:v>
      </x:c>
      <x:c r="W755" s="16" t="n">
        <x:v>0</x:v>
      </x:c>
      <x:c r="X755" s="16" t="n">
        <x:v>0</x:v>
      </x:c>
      <x:c r="Y755" s="16" t="n">
        <x:v>0</x:v>
      </x:c>
      <x:c r="Z755" s="16" t="n">
        <x:v>0</x:v>
      </x:c>
      <x:c r="AA755" s="16" t="n">
        <x:v>3</x:v>
      </x:c>
      <x:c r="AB755" s="16" t="n">
        <x:v>11</x:v>
      </x:c>
      <x:c r="AC755" s="16" t="n">
        <x:v>1</x:v>
      </x:c>
      <x:c r="AD755" s="21" t="n">
        <x:f>IF(E755="",MEDIAN($E$2:$E$2237),E755)</x:f>
        <x:v>62220</x:v>
      </x:c>
      <x:c r="AE755" s="17" t="n">
        <x:f>2014-B755</x:f>
        <x:v>42</x:v>
      </x:c>
      <x:c r="AF755" s="17" t="n">
        <x:f>F755+G755</x:f>
        <x:v>1</x:v>
      </x:c>
      <x:c r="AG755" s="21" t="n">
        <x:f>SUM(J755:O755)</x:f>
        <x:v>1226</x:v>
      </x:c>
      <x:c r="AH755" s="17" t="n">
        <x:f>SUM(Q755:S755)</x:f>
        <x:v>18</x:v>
      </x:c>
      <x:c r="AI755" s="17" t="n">
        <x:f>SUM(U755:Y755)</x:f>
        <x:v>0</x:v>
      </x:c>
      <x:c r="AJ755" s="17" t="str">
        <x:f>IF(AE755&lt;=34,"≤34",IF(AE755&lt;=44,"35–44",IF(AE755&lt;=54,"45–54",IF(AE755&lt;=64,"55–64","65+"))))</x:f>
        <x:v>35–44</x:v>
      </x:c>
      <x:c r="AK755" s="17" t="str">
        <x:f>IF(AG755&gt;=1000,"High Value",IF(AG755&gt;=300,"Mid Value","Low Value"))</x:f>
        <x:v>High Value</x:v>
      </x:c>
      <x:c r="AL755" s="17" t="str">
        <x:f>IF(AND(AI755&gt;=1,I755&lt;=50),"Priority 1",IF(AND(AG755&gt;=1000,I755&lt;=60),"Priority 2",IF(I755&lt;=30,"Priority 3","Nurture")))</x:f>
        <x:v>Priority 2</x:v>
      </x:c>
    </x:row>
    <x:row r="756">
      <x:c r="A756" s="16" t="n">
        <x:v>5909</x:v>
      </x:c>
      <x:c r="B756" s="16" t="n">
        <x:v>1964</x:v>
      </x:c>
      <x:c r="C756" s="16" t="str">
        <x:v>Graduation</x:v>
      </x:c>
      <x:c r="D756" s="16" t="str">
        <x:v>Married</x:v>
      </x:c>
      <x:c r="E756" s="16" t="n">
        <x:v>58512</x:v>
      </x:c>
      <x:c r="F756" s="16" t="n">
        <x:v>0</x:v>
      </x:c>
      <x:c r="G756" s="16" t="n">
        <x:v>1</x:v>
      </x:c>
      <x:c r="H756" s="16" t="str">
        <x:v>19-09-2013</x:v>
      </x:c>
      <x:c r="I756" s="16" t="n">
        <x:v>25</x:v>
      </x:c>
      <x:c r="J756" s="16" t="n">
        <x:v>895</x:v>
      </x:c>
      <x:c r="K756" s="16" t="n">
        <x:v>10</x:v>
      </x:c>
      <x:c r="L756" s="16" t="n">
        <x:v>101</x:v>
      </x:c>
      <x:c r="M756" s="16" t="n">
        <x:v>13</x:v>
      </x:c>
      <x:c r="N756" s="16" t="n">
        <x:v>0</x:v>
      </x:c>
      <x:c r="O756" s="16" t="n">
        <x:v>152</x:v>
      </x:c>
      <x:c r="P756" s="16" t="n">
        <x:v>5</x:v>
      </x:c>
      <x:c r="Q756" s="16" t="n">
        <x:v>3</x:v>
      </x:c>
      <x:c r="R756" s="16" t="n">
        <x:v>4</x:v>
      </x:c>
      <x:c r="S756" s="16" t="n">
        <x:v>8</x:v>
      </x:c>
      <x:c r="T756" s="16" t="n">
        <x:v>8</x:v>
      </x:c>
      <x:c r="U756" s="16" t="n">
        <x:v>0</x:v>
      </x:c>
      <x:c r="V756" s="16" t="n">
        <x:v>0</x:v>
      </x:c>
      <x:c r="W756" s="16" t="n">
        <x:v>0</x:v>
      </x:c>
      <x:c r="X756" s="16" t="n">
        <x:v>0</x:v>
      </x:c>
      <x:c r="Y756" s="16" t="n">
        <x:v>0</x:v>
      </x:c>
      <x:c r="Z756" s="16" t="n">
        <x:v>0</x:v>
      </x:c>
      <x:c r="AA756" s="16" t="n">
        <x:v>3</x:v>
      </x:c>
      <x:c r="AB756" s="16" t="n">
        <x:v>11</x:v>
      </x:c>
      <x:c r="AC756" s="16" t="n">
        <x:v>0</x:v>
      </x:c>
      <x:c r="AD756" s="21" t="n">
        <x:f>IF(E756="",MEDIAN($E$2:$E$2237),E756)</x:f>
        <x:v>58512</x:v>
      </x:c>
      <x:c r="AE756" s="17" t="n">
        <x:f>2014-B756</x:f>
        <x:v>50</x:v>
      </x:c>
      <x:c r="AF756" s="17" t="n">
        <x:f>F756+G756</x:f>
        <x:v>1</x:v>
      </x:c>
      <x:c r="AG756" s="21" t="n">
        <x:f>SUM(J756:O756)</x:f>
        <x:v>1171</x:v>
      </x:c>
      <x:c r="AH756" s="17" t="n">
        <x:f>SUM(Q756:S756)</x:f>
        <x:v>15</x:v>
      </x:c>
      <x:c r="AI756" s="17" t="n">
        <x:f>SUM(U756:Y756)</x:f>
        <x:v>0</x:v>
      </x:c>
      <x:c r="AJ756" s="17" t="str">
        <x:f>IF(AE756&lt;=34,"≤34",IF(AE756&lt;=44,"35–44",IF(AE756&lt;=54,"45–54",IF(AE756&lt;=64,"55–64","65+"))))</x:f>
        <x:v>45–54</x:v>
      </x:c>
      <x:c r="AK756" s="17" t="str">
        <x:f>IF(AG756&gt;=1000,"High Value",IF(AG756&gt;=300,"Mid Value","Low Value"))</x:f>
        <x:v>High Value</x:v>
      </x:c>
      <x:c r="AL756" s="17" t="str">
        <x:f>IF(AND(AI756&gt;=1,I756&lt;=50),"Priority 1",IF(AND(AG756&gt;=1000,I756&lt;=60),"Priority 2",IF(I756&lt;=30,"Priority 3","Nurture")))</x:f>
        <x:v>Priority 2</x:v>
      </x:c>
    </x:row>
    <x:row r="757">
      <x:c r="A757" s="16" t="n">
        <x:v>10470</x:v>
      </x:c>
      <x:c r="B757" s="16" t="n">
        <x:v>1979</x:v>
      </x:c>
      <x:c r="C757" s="16" t="str">
        <x:v>Master</x:v>
      </x:c>
      <x:c r="D757" s="16" t="str">
        <x:v>Married</x:v>
      </x:c>
      <x:c r="E757" s="16" t="n">
        <x:v>40662</x:v>
      </x:c>
      <x:c r="F757" s="16" t="n">
        <x:v>1</x:v>
      </x:c>
      <x:c r="G757" s="16" t="n">
        <x:v>0</x:v>
      </x:c>
      <x:c r="H757" s="16" t="str">
        <x:v>15-03-2013</x:v>
      </x:c>
      <x:c r="I757" s="16" t="n">
        <x:v>0</x:v>
      </x:c>
      <x:c r="J757" s="16" t="n">
        <x:v>40</x:v>
      </x:c>
      <x:c r="K757" s="16" t="n">
        <x:v>2</x:v>
      </x:c>
      <x:c r="L757" s="16" t="n">
        <x:v>23</x:v>
      </x:c>
      <x:c r="M757" s="16" t="n">
        <x:v>0</x:v>
      </x:c>
      <x:c r="N757" s="16" t="n">
        <x:v>4</x:v>
      </x:c>
      <x:c r="O757" s="16" t="n">
        <x:v>23</x:v>
      </x:c>
      <x:c r="P757" s="16" t="n">
        <x:v>2</x:v>
      </x:c>
      <x:c r="Q757" s="16" t="n">
        <x:v>2</x:v>
      </x:c>
      <x:c r="R757" s="16" t="n">
        <x:v>1</x:v>
      </x:c>
      <x:c r="S757" s="16" t="n">
        <x:v>3</x:v>
      </x:c>
      <x:c r="T757" s="16" t="n">
        <x:v>4</x:v>
      </x:c>
      <x:c r="U757" s="16" t="n">
        <x:v>0</x:v>
      </x:c>
      <x:c r="V757" s="16" t="n">
        <x:v>0</x:v>
      </x:c>
      <x:c r="W757" s="16" t="n">
        <x:v>0</x:v>
      </x:c>
      <x:c r="X757" s="16" t="n">
        <x:v>0</x:v>
      </x:c>
      <x:c r="Y757" s="16" t="n">
        <x:v>0</x:v>
      </x:c>
      <x:c r="Z757" s="16" t="n">
        <x:v>0</x:v>
      </x:c>
      <x:c r="AA757" s="16" t="n">
        <x:v>3</x:v>
      </x:c>
      <x:c r="AB757" s="16" t="n">
        <x:v>11</x:v>
      </x:c>
      <x:c r="AC757" s="16" t="n">
        <x:v>0</x:v>
      </x:c>
      <x:c r="AD757" s="21" t="n">
        <x:f>IF(E757="",MEDIAN($E$2:$E$2237),E757)</x:f>
        <x:v>40662</x:v>
      </x:c>
      <x:c r="AE757" s="17" t="n">
        <x:f>2014-B757</x:f>
        <x:v>35</x:v>
      </x:c>
      <x:c r="AF757" s="17" t="n">
        <x:f>F757+G757</x:f>
        <x:v>1</x:v>
      </x:c>
      <x:c r="AG757" s="21" t="n">
        <x:f>SUM(J757:O757)</x:f>
        <x:v>92</x:v>
      </x:c>
      <x:c r="AH757" s="17" t="n">
        <x:f>SUM(Q757:S757)</x:f>
        <x:v>6</x:v>
      </x:c>
      <x:c r="AI757" s="17" t="n">
        <x:f>SUM(U757:Y757)</x:f>
        <x:v>0</x:v>
      </x:c>
      <x:c r="AJ757" s="17" t="str">
        <x:f>IF(AE757&lt;=34,"≤34",IF(AE757&lt;=44,"35–44",IF(AE757&lt;=54,"45–54",IF(AE757&lt;=64,"55–64","65+"))))</x:f>
        <x:v>35–44</x:v>
      </x:c>
      <x:c r="AK757" s="17" t="str">
        <x:f>IF(AG757&gt;=1000,"High Value",IF(AG757&gt;=300,"Mid Value","Low Value"))</x:f>
        <x:v>Low Value</x:v>
      </x:c>
      <x:c r="AL757" s="17" t="str">
        <x:f>IF(AND(AI757&gt;=1,I757&lt;=50),"Priority 1",IF(AND(AG757&gt;=1000,I757&lt;=60),"Priority 2",IF(I757&lt;=30,"Priority 3","Nurture")))</x:f>
        <x:v>Priority 3</x:v>
      </x:c>
    </x:row>
    <x:row r="758">
      <x:c r="A758" s="16" t="n">
        <x:v>6488</x:v>
      </x:c>
      <x:c r="B758" s="16" t="n">
        <x:v>1959</x:v>
      </x:c>
      <x:c r="C758" s="16" t="str">
        <x:v>PhD</x:v>
      </x:c>
      <x:c r="D758" s="16" t="str">
        <x:v>Married</x:v>
      </x:c>
      <x:c r="E758" s="16" t="n">
        <x:v>38829</x:v>
      </x:c>
      <x:c r="F758" s="16" t="n">
        <x:v>0</x:v>
      </x:c>
      <x:c r="G758" s="16" t="n">
        <x:v>1</x:v>
      </x:c>
      <x:c r="H758" s="16" t="str">
        <x:v>06-04-2014</x:v>
      </x:c>
      <x:c r="I758" s="16" t="n">
        <x:v>86</x:v>
      </x:c>
      <x:c r="J758" s="16" t="n">
        <x:v>76</x:v>
      </x:c>
      <x:c r="K758" s="16" t="n">
        <x:v>0</x:v>
      </x:c>
      <x:c r="L758" s="16" t="n">
        <x:v>7</x:v>
      </x:c>
      <x:c r="M758" s="16" t="n">
        <x:v>0</x:v>
      </x:c>
      <x:c r="N758" s="16" t="n">
        <x:v>0</x:v>
      </x:c>
      <x:c r="O758" s="16" t="n">
        <x:v>16</x:v>
      </x:c>
      <x:c r="P758" s="16" t="n">
        <x:v>1</x:v>
      </x:c>
      <x:c r="Q758" s="16" t="n">
        <x:v>3</x:v>
      </x:c>
      <x:c r="R758" s="16" t="n">
        <x:v>2</x:v>
      </x:c>
      <x:c r="S758" s="16" t="n">
        <x:v>2</x:v>
      </x:c>
      <x:c r="T758" s="16" t="n">
        <x:v>5</x:v>
      </x:c>
      <x:c r="U758" s="16" t="n">
        <x:v>0</x:v>
      </x:c>
      <x:c r="V758" s="16" t="n">
        <x:v>0</x:v>
      </x:c>
      <x:c r="W758" s="16" t="n">
        <x:v>0</x:v>
      </x:c>
      <x:c r="X758" s="16" t="n">
        <x:v>0</x:v>
      </x:c>
      <x:c r="Y758" s="16" t="n">
        <x:v>0</x:v>
      </x:c>
      <x:c r="Z758" s="16" t="n">
        <x:v>0</x:v>
      </x:c>
      <x:c r="AA758" s="16" t="n">
        <x:v>3</x:v>
      </x:c>
      <x:c r="AB758" s="16" t="n">
        <x:v>11</x:v>
      </x:c>
      <x:c r="AC758" s="16" t="n">
        <x:v>0</x:v>
      </x:c>
      <x:c r="AD758" s="21" t="n">
        <x:f>IF(E758="",MEDIAN($E$2:$E$2237),E758)</x:f>
        <x:v>38829</x:v>
      </x:c>
      <x:c r="AE758" s="17" t="n">
        <x:f>2014-B758</x:f>
        <x:v>55</x:v>
      </x:c>
      <x:c r="AF758" s="17" t="n">
        <x:f>F758+G758</x:f>
        <x:v>1</x:v>
      </x:c>
      <x:c r="AG758" s="21" t="n">
        <x:f>SUM(J758:O758)</x:f>
        <x:v>99</x:v>
      </x:c>
      <x:c r="AH758" s="17" t="n">
        <x:f>SUM(Q758:S758)</x:f>
        <x:v>7</x:v>
      </x:c>
      <x:c r="AI758" s="17" t="n">
        <x:f>SUM(U758:Y758)</x:f>
        <x:v>0</x:v>
      </x:c>
      <x:c r="AJ758" s="17" t="str">
        <x:f>IF(AE758&lt;=34,"≤34",IF(AE758&lt;=44,"35–44",IF(AE758&lt;=54,"45–54",IF(AE758&lt;=64,"55–64","65+"))))</x:f>
        <x:v>55–64</x:v>
      </x:c>
      <x:c r="AK758" s="17" t="str">
        <x:f>IF(AG758&gt;=1000,"High Value",IF(AG758&gt;=300,"Mid Value","Low Value"))</x:f>
        <x:v>Low Value</x:v>
      </x:c>
      <x:c r="AL758" s="17" t="str">
        <x:f>IF(AND(AI758&gt;=1,I758&lt;=50),"Priority 1",IF(AND(AG758&gt;=1000,I758&lt;=60),"Priority 2",IF(I758&lt;=30,"Priority 3","Nurture")))</x:f>
        <x:v>Nurture</x:v>
      </x:c>
    </x:row>
    <x:row r="759">
      <x:c r="A759" s="16" t="n">
        <x:v>10270</x:v>
      </x:c>
      <x:c r="B759" s="16" t="n">
        <x:v>1981</x:v>
      </x:c>
      <x:c r="C759" s="16" t="str">
        <x:v>2n Cycle</x:v>
      </x:c>
      <x:c r="D759" s="16" t="str">
        <x:v>Married</x:v>
      </x:c>
      <x:c r="E759" s="16" t="n">
        <x:v>35523</x:v>
      </x:c>
      <x:c r="F759" s="16" t="n">
        <x:v>1</x:v>
      </x:c>
      <x:c r="G759" s="16" t="n">
        <x:v>0</x:v>
      </x:c>
      <x:c r="H759" s="16" t="str">
        <x:v>03-10-2013</x:v>
      </x:c>
      <x:c r="I759" s="16" t="n">
        <x:v>8</x:v>
      </x:c>
      <x:c r="J759" s="16" t="n">
        <x:v>11</x:v>
      </x:c>
      <x:c r="K759" s="16" t="n">
        <x:v>5</x:v>
      </x:c>
      <x:c r="L759" s="16" t="n">
        <x:v>22</x:v>
      </x:c>
      <x:c r="M759" s="16" t="n">
        <x:v>12</x:v>
      </x:c>
      <x:c r="N759" s="16" t="n">
        <x:v>5</x:v>
      </x:c>
      <x:c r="O759" s="16" t="n">
        <x:v>11</x:v>
      </x:c>
      <x:c r="P759" s="16" t="n">
        <x:v>2</x:v>
      </x:c>
      <x:c r="Q759" s="16" t="n">
        <x:v>3</x:v>
      </x:c>
      <x:c r="R759" s="16" t="n">
        <x:v>0</x:v>
      </x:c>
      <x:c r="S759" s="16" t="n">
        <x:v>3</x:v>
      </x:c>
      <x:c r="T759" s="16" t="n">
        <x:v>7</x:v>
      </x:c>
      <x:c r="U759" s="16" t="n">
        <x:v>0</x:v>
      </x:c>
      <x:c r="V759" s="16" t="n">
        <x:v>0</x:v>
      </x:c>
      <x:c r="W759" s="16" t="n">
        <x:v>0</x:v>
      </x:c>
      <x:c r="X759" s="16" t="n">
        <x:v>0</x:v>
      </x:c>
      <x:c r="Y759" s="16" t="n">
        <x:v>0</x:v>
      </x:c>
      <x:c r="Z759" s="16" t="n">
        <x:v>0</x:v>
      </x:c>
      <x:c r="AA759" s="16" t="n">
        <x:v>3</x:v>
      </x:c>
      <x:c r="AB759" s="16" t="n">
        <x:v>11</x:v>
      </x:c>
      <x:c r="AC759" s="16" t="n">
        <x:v>0</x:v>
      </x:c>
      <x:c r="AD759" s="21" t="n">
        <x:f>IF(E759="",MEDIAN($E$2:$E$2237),E759)</x:f>
        <x:v>35523</x:v>
      </x:c>
      <x:c r="AE759" s="17" t="n">
        <x:f>2014-B759</x:f>
        <x:v>33</x:v>
      </x:c>
      <x:c r="AF759" s="17" t="n">
        <x:f>F759+G759</x:f>
        <x:v>1</x:v>
      </x:c>
      <x:c r="AG759" s="21" t="n">
        <x:f>SUM(J759:O759)</x:f>
        <x:v>66</x:v>
      </x:c>
      <x:c r="AH759" s="17" t="n">
        <x:f>SUM(Q759:S759)</x:f>
        <x:v>6</x:v>
      </x:c>
      <x:c r="AI759" s="17" t="n">
        <x:f>SUM(U759:Y759)</x:f>
        <x:v>0</x:v>
      </x:c>
      <x:c r="AJ759" s="17" t="str">
        <x:f>IF(AE759&lt;=34,"≤34",IF(AE759&lt;=44,"35–44",IF(AE759&lt;=54,"45–54",IF(AE759&lt;=64,"55–64","65+"))))</x:f>
        <x:v>≤34</x:v>
      </x:c>
      <x:c r="AK759" s="17" t="str">
        <x:f>IF(AG759&gt;=1000,"High Value",IF(AG759&gt;=300,"Mid Value","Low Value"))</x:f>
        <x:v>Low Value</x:v>
      </x:c>
      <x:c r="AL759" s="17" t="str">
        <x:f>IF(AND(AI759&gt;=1,I759&lt;=50),"Priority 1",IF(AND(AG759&gt;=1000,I759&lt;=60),"Priority 2",IF(I759&lt;=30,"Priority 3","Nurture")))</x:f>
        <x:v>Priority 3</x:v>
      </x:c>
    </x:row>
    <x:row r="760">
      <x:c r="A760" s="16" t="n">
        <x:v>6887</x:v>
      </x:c>
      <x:c r="B760" s="16" t="n">
        <x:v>1967</x:v>
      </x:c>
      <x:c r="C760" s="16" t="str">
        <x:v>Graduation</x:v>
      </x:c>
      <x:c r="D760" s="16" t="str">
        <x:v>Single</x:v>
      </x:c>
      <x:c r="E760" s="16" t="n">
        <x:v>79146</x:v>
      </x:c>
      <x:c r="F760" s="16" t="n">
        <x:v>1</x:v>
      </x:c>
      <x:c r="G760" s="16" t="n">
        <x:v>1</x:v>
      </x:c>
      <x:c r="H760" s="16" t="str">
        <x:v>24-04-2014</x:v>
      </x:c>
      <x:c r="I760" s="16" t="n">
        <x:v>33</x:v>
      </x:c>
      <x:c r="J760" s="16" t="n">
        <x:v>245</x:v>
      </x:c>
      <x:c r="K760" s="16" t="n">
        <x:v>16</x:v>
      </x:c>
      <x:c r="L760" s="16" t="n">
        <x:v>223</x:v>
      </x:c>
      <x:c r="M760" s="16" t="n">
        <x:v>21</x:v>
      </x:c>
      <x:c r="N760" s="16" t="n">
        <x:v>43</x:v>
      </x:c>
      <x:c r="O760" s="16" t="n">
        <x:v>16</x:v>
      </x:c>
      <x:c r="P760" s="16" t="n">
        <x:v>2</x:v>
      </x:c>
      <x:c r="Q760" s="16" t="n">
        <x:v>8</x:v>
      </x:c>
      <x:c r="R760" s="16" t="n">
        <x:v>1</x:v>
      </x:c>
      <x:c r="S760" s="16" t="n">
        <x:v>8</x:v>
      </x:c>
      <x:c r="T760" s="16" t="n">
        <x:v>6</x:v>
      </x:c>
      <x:c r="U760" s="16" t="n">
        <x:v>0</x:v>
      </x:c>
      <x:c r="V760" s="16" t="n">
        <x:v>0</x:v>
      </x:c>
      <x:c r="W760" s="16" t="n">
        <x:v>0</x:v>
      </x:c>
      <x:c r="X760" s="16" t="n">
        <x:v>0</x:v>
      </x:c>
      <x:c r="Y760" s="16" t="n">
        <x:v>0</x:v>
      </x:c>
      <x:c r="Z760" s="16" t="n">
        <x:v>0</x:v>
      </x:c>
      <x:c r="AA760" s="16" t="n">
        <x:v>3</x:v>
      </x:c>
      <x:c r="AB760" s="16" t="n">
        <x:v>11</x:v>
      </x:c>
      <x:c r="AC760" s="16" t="n">
        <x:v>0</x:v>
      </x:c>
      <x:c r="AD760" s="21" t="n">
        <x:f>IF(E760="",MEDIAN($E$2:$E$2237),E760)</x:f>
        <x:v>79146</x:v>
      </x:c>
      <x:c r="AE760" s="17" t="n">
        <x:f>2014-B760</x:f>
        <x:v>47</x:v>
      </x:c>
      <x:c r="AF760" s="17" t="n">
        <x:f>F760+G760</x:f>
        <x:v>2</x:v>
      </x:c>
      <x:c r="AG760" s="21" t="n">
        <x:f>SUM(J760:O760)</x:f>
        <x:v>564</x:v>
      </x:c>
      <x:c r="AH760" s="17" t="n">
        <x:f>SUM(Q760:S760)</x:f>
        <x:v>17</x:v>
      </x:c>
      <x:c r="AI760" s="17" t="n">
        <x:f>SUM(U760:Y760)</x:f>
        <x:v>0</x:v>
      </x:c>
      <x:c r="AJ760" s="17" t="str">
        <x:f>IF(AE760&lt;=34,"≤34",IF(AE760&lt;=44,"35–44",IF(AE760&lt;=54,"45–54",IF(AE760&lt;=64,"55–64","65+"))))</x:f>
        <x:v>45–54</x:v>
      </x:c>
      <x:c r="AK760" s="17" t="str">
        <x:f>IF(AG760&gt;=1000,"High Value",IF(AG760&gt;=300,"Mid Value","Low Value"))</x:f>
        <x:v>Mid Value</x:v>
      </x:c>
      <x:c r="AL760" s="17" t="str">
        <x:f>IF(AND(AI760&gt;=1,I760&lt;=50),"Priority 1",IF(AND(AG760&gt;=1000,I760&lt;=60),"Priority 2",IF(I760&lt;=30,"Priority 3","Nurture")))</x:f>
        <x:v>Nurture</x:v>
      </x:c>
    </x:row>
    <x:row r="761">
      <x:c r="A761" s="16" t="n">
        <x:v>6406</x:v>
      </x:c>
      <x:c r="B761" s="16" t="n">
        <x:v>1988</x:v>
      </x:c>
      <x:c r="C761" s="16" t="str">
        <x:v>Master</x:v>
      </x:c>
      <x:c r="D761" s="16" t="str">
        <x:v>Married</x:v>
      </x:c>
      <x:c r="E761" s="16" t="n">
        <x:v>78285</x:v>
      </x:c>
      <x:c r="F761" s="16" t="n">
        <x:v>0</x:v>
      </x:c>
      <x:c r="G761" s="16" t="n">
        <x:v>0</x:v>
      </x:c>
      <x:c r="H761" s="16" t="str">
        <x:v>28-10-2013</x:v>
      </x:c>
      <x:c r="I761" s="16" t="n">
        <x:v>13</x:v>
      </x:c>
      <x:c r="J761" s="16" t="n">
        <x:v>647</x:v>
      </x:c>
      <x:c r="K761" s="16" t="n">
        <x:v>107</x:v>
      </x:c>
      <x:c r="L761" s="16" t="n">
        <x:v>391</x:v>
      </x:c>
      <x:c r="M761" s="16" t="n">
        <x:v>175</x:v>
      </x:c>
      <x:c r="N761" s="16" t="n">
        <x:v>67</x:v>
      </x:c>
      <x:c r="O761" s="16" t="n">
        <x:v>40</x:v>
      </x:c>
      <x:c r="P761" s="16" t="n">
        <x:v>1</x:v>
      </x:c>
      <x:c r="Q761" s="16" t="n">
        <x:v>6</x:v>
      </x:c>
      <x:c r="R761" s="16" t="n">
        <x:v>4</x:v>
      </x:c>
      <x:c r="S761" s="16" t="n">
        <x:v>10</x:v>
      </x:c>
      <x:c r="T761" s="16" t="n">
        <x:v>3</x:v>
      </x:c>
      <x:c r="U761" s="16" t="n">
        <x:v>0</x:v>
      </x:c>
      <x:c r="V761" s="16" t="n">
        <x:v>0</x:v>
      </x:c>
      <x:c r="W761" s="16" t="n">
        <x:v>0</x:v>
      </x:c>
      <x:c r="X761" s="16" t="n">
        <x:v>0</x:v>
      </x:c>
      <x:c r="Y761" s="16" t="n">
        <x:v>0</x:v>
      </x:c>
      <x:c r="Z761" s="16" t="n">
        <x:v>0</x:v>
      </x:c>
      <x:c r="AA761" s="16" t="n">
        <x:v>3</x:v>
      </x:c>
      <x:c r="AB761" s="16" t="n">
        <x:v>11</x:v>
      </x:c>
      <x:c r="AC761" s="16" t="n">
        <x:v>0</x:v>
      </x:c>
      <x:c r="AD761" s="21" t="n">
        <x:f>IF(E761="",MEDIAN($E$2:$E$2237),E761)</x:f>
        <x:v>78285</x:v>
      </x:c>
      <x:c r="AE761" s="17" t="n">
        <x:f>2014-B761</x:f>
        <x:v>26</x:v>
      </x:c>
      <x:c r="AF761" s="17" t="n">
        <x:f>F761+G761</x:f>
        <x:v>0</x:v>
      </x:c>
      <x:c r="AG761" s="21" t="n">
        <x:f>SUM(J761:O761)</x:f>
        <x:v>1427</x:v>
      </x:c>
      <x:c r="AH761" s="17" t="n">
        <x:f>SUM(Q761:S761)</x:f>
        <x:v>20</x:v>
      </x:c>
      <x:c r="AI761" s="17" t="n">
        <x:f>SUM(U761:Y761)</x:f>
        <x:v>0</x:v>
      </x:c>
      <x:c r="AJ761" s="17" t="str">
        <x:f>IF(AE761&lt;=34,"≤34",IF(AE761&lt;=44,"35–44",IF(AE761&lt;=54,"45–54",IF(AE761&lt;=64,"55–64","65+"))))</x:f>
        <x:v>≤34</x:v>
      </x:c>
      <x:c r="AK761" s="17" t="str">
        <x:f>IF(AG761&gt;=1000,"High Value",IF(AG761&gt;=300,"Mid Value","Low Value"))</x:f>
        <x:v>High Value</x:v>
      </x:c>
      <x:c r="AL761" s="17" t="str">
        <x:f>IF(AND(AI761&gt;=1,I761&lt;=50),"Priority 1",IF(AND(AG761&gt;=1000,I761&lt;=60),"Priority 2",IF(I761&lt;=30,"Priority 3","Nurture")))</x:f>
        <x:v>Priority 2</x:v>
      </x:c>
    </x:row>
    <x:row r="762">
      <x:c r="A762" s="16" t="n">
        <x:v>7573</x:v>
      </x:c>
      <x:c r="B762" s="16" t="n">
        <x:v>1978</x:v>
      </x:c>
      <x:c r="C762" s="16" t="str">
        <x:v>PhD</x:v>
      </x:c>
      <x:c r="D762" s="16" t="str">
        <x:v>Single</x:v>
      </x:c>
      <x:c r="E762" s="16" t="n">
        <x:v>31626</x:v>
      </x:c>
      <x:c r="F762" s="16" t="n">
        <x:v>1</x:v>
      </x:c>
      <x:c r="G762" s="16" t="n">
        <x:v>0</x:v>
      </x:c>
      <x:c r="H762" s="16" t="str">
        <x:v>10-05-2013</x:v>
      </x:c>
      <x:c r="I762" s="16" t="n">
        <x:v>12</x:v>
      </x:c>
      <x:c r="J762" s="16" t="n">
        <x:v>39</x:v>
      </x:c>
      <x:c r="K762" s="16" t="n">
        <x:v>1</x:v>
      </x:c>
      <x:c r="L762" s="16" t="n">
        <x:v>9</x:v>
      </x:c>
      <x:c r="M762" s="16" t="n">
        <x:v>2</x:v>
      </x:c>
      <x:c r="N762" s="16" t="n">
        <x:v>1</x:v>
      </x:c>
      <x:c r="O762" s="16" t="n">
        <x:v>34</x:v>
      </x:c>
      <x:c r="P762" s="16" t="n">
        <x:v>1</x:v>
      </x:c>
      <x:c r="Q762" s="16" t="n">
        <x:v>2</x:v>
      </x:c>
      <x:c r="R762" s="16" t="n">
        <x:v>1</x:v>
      </x:c>
      <x:c r="S762" s="16" t="n">
        <x:v>2</x:v>
      </x:c>
      <x:c r="T762" s="16" t="n">
        <x:v>7</x:v>
      </x:c>
      <x:c r="U762" s="16" t="n">
        <x:v>1</x:v>
      </x:c>
      <x:c r="V762" s="16" t="n">
        <x:v>0</x:v>
      </x:c>
      <x:c r="W762" s="16" t="n">
        <x:v>0</x:v>
      </x:c>
      <x:c r="X762" s="16" t="n">
        <x:v>0</x:v>
      </x:c>
      <x:c r="Y762" s="16" t="n">
        <x:v>0</x:v>
      </x:c>
      <x:c r="Z762" s="16" t="n">
        <x:v>0</x:v>
      </x:c>
      <x:c r="AA762" s="16" t="n">
        <x:v>3</x:v>
      </x:c>
      <x:c r="AB762" s="16" t="n">
        <x:v>11</x:v>
      </x:c>
      <x:c r="AC762" s="16" t="n">
        <x:v>1</x:v>
      </x:c>
      <x:c r="AD762" s="21" t="n">
        <x:f>IF(E762="",MEDIAN($E$2:$E$2237),E762)</x:f>
        <x:v>31626</x:v>
      </x:c>
      <x:c r="AE762" s="17" t="n">
        <x:f>2014-B762</x:f>
        <x:v>36</x:v>
      </x:c>
      <x:c r="AF762" s="17" t="n">
        <x:f>F762+G762</x:f>
        <x:v>1</x:v>
      </x:c>
      <x:c r="AG762" s="21" t="n">
        <x:f>SUM(J762:O762)</x:f>
        <x:v>86</x:v>
      </x:c>
      <x:c r="AH762" s="17" t="n">
        <x:f>SUM(Q762:S762)</x:f>
        <x:v>5</x:v>
      </x:c>
      <x:c r="AI762" s="17" t="n">
        <x:f>SUM(U762:Y762)</x:f>
        <x:v>1</x:v>
      </x:c>
      <x:c r="AJ762" s="17" t="str">
        <x:f>IF(AE762&lt;=34,"≤34",IF(AE762&lt;=44,"35–44",IF(AE762&lt;=54,"45–54",IF(AE762&lt;=64,"55–64","65+"))))</x:f>
        <x:v>35–44</x:v>
      </x:c>
      <x:c r="AK762" s="17" t="str">
        <x:f>IF(AG762&gt;=1000,"High Value",IF(AG762&gt;=300,"Mid Value","Low Value"))</x:f>
        <x:v>Low Value</x:v>
      </x:c>
      <x:c r="AL762" s="17" t="str">
        <x:f>IF(AND(AI762&gt;=1,I762&lt;=50),"Priority 1",IF(AND(AG762&gt;=1000,I762&lt;=60),"Priority 2",IF(I762&lt;=30,"Priority 3","Nurture")))</x:f>
        <x:v>Priority 1</x:v>
      </x:c>
    </x:row>
    <x:row r="763">
      <x:c r="A763" s="16" t="n">
        <x:v>4508</x:v>
      </x:c>
      <x:c r="B763" s="16" t="n">
        <x:v>1952</x:v>
      </x:c>
      <x:c r="C763" s="16" t="str">
        <x:v>Graduation</x:v>
      </x:c>
      <x:c r="D763" s="16" t="str">
        <x:v>Single</x:v>
      </x:c>
      <x:c r="E763" s="16" t="n">
        <x:v>75127</x:v>
      </x:c>
      <x:c r="F763" s="16" t="n">
        <x:v>0</x:v>
      </x:c>
      <x:c r="G763" s="16" t="n">
        <x:v>0</x:v>
      </x:c>
      <x:c r="H763" s="16" t="str">
        <x:v>22-05-2014</x:v>
      </x:c>
      <x:c r="I763" s="16" t="n">
        <x:v>92</x:v>
      </x:c>
      <x:c r="J763" s="16" t="n">
        <x:v>203</x:v>
      </x:c>
      <x:c r="K763" s="16" t="n">
        <x:v>35</x:v>
      </x:c>
      <x:c r="L763" s="16" t="n">
        <x:v>305</x:v>
      </x:c>
      <x:c r="M763" s="16" t="n">
        <x:v>46</x:v>
      </x:c>
      <x:c r="N763" s="16" t="n">
        <x:v>17</x:v>
      </x:c>
      <x:c r="O763" s="16" t="n">
        <x:v>227</x:v>
      </x:c>
      <x:c r="P763" s="16" t="n">
        <x:v>1</x:v>
      </x:c>
      <x:c r="Q763" s="16" t="n">
        <x:v>2</x:v>
      </x:c>
      <x:c r="R763" s="16" t="n">
        <x:v>11</x:v>
      </x:c>
      <x:c r="S763" s="16" t="n">
        <x:v>5</x:v>
      </x:c>
      <x:c r="T763" s="16" t="n">
        <x:v>1</x:v>
      </x:c>
      <x:c r="U763" s="16" t="n">
        <x:v>0</x:v>
      </x:c>
      <x:c r="V763" s="16" t="n">
        <x:v>0</x:v>
      </x:c>
      <x:c r="W763" s="16" t="n">
        <x:v>0</x:v>
      </x:c>
      <x:c r="X763" s="16" t="n">
        <x:v>0</x:v>
      </x:c>
      <x:c r="Y763" s="16" t="n">
        <x:v>0</x:v>
      </x:c>
      <x:c r="Z763" s="16" t="n">
        <x:v>0</x:v>
      </x:c>
      <x:c r="AA763" s="16" t="n">
        <x:v>3</x:v>
      </x:c>
      <x:c r="AB763" s="16" t="n">
        <x:v>11</x:v>
      </x:c>
      <x:c r="AC763" s="16" t="n">
        <x:v>0</x:v>
      </x:c>
      <x:c r="AD763" s="21" t="n">
        <x:f>IF(E763="",MEDIAN($E$2:$E$2237),E763)</x:f>
        <x:v>75127</x:v>
      </x:c>
      <x:c r="AE763" s="17" t="n">
        <x:f>2014-B763</x:f>
        <x:v>62</x:v>
      </x:c>
      <x:c r="AF763" s="17" t="n">
        <x:f>F763+G763</x:f>
        <x:v>0</x:v>
      </x:c>
      <x:c r="AG763" s="21" t="n">
        <x:f>SUM(J763:O763)</x:f>
        <x:v>833</x:v>
      </x:c>
      <x:c r="AH763" s="17" t="n">
        <x:f>SUM(Q763:S763)</x:f>
        <x:v>18</x:v>
      </x:c>
      <x:c r="AI763" s="17" t="n">
        <x:f>SUM(U763:Y763)</x:f>
        <x:v>0</x:v>
      </x:c>
      <x:c r="AJ763" s="17" t="str">
        <x:f>IF(AE763&lt;=34,"≤34",IF(AE763&lt;=44,"35–44",IF(AE763&lt;=54,"45–54",IF(AE763&lt;=64,"55–64","65+"))))</x:f>
        <x:v>55–64</x:v>
      </x:c>
      <x:c r="AK763" s="17" t="str">
        <x:f>IF(AG763&gt;=1000,"High Value",IF(AG763&gt;=300,"Mid Value","Low Value"))</x:f>
        <x:v>Mid Value</x:v>
      </x:c>
      <x:c r="AL763" s="17" t="str">
        <x:f>IF(AND(AI763&gt;=1,I763&lt;=50),"Priority 1",IF(AND(AG763&gt;=1000,I763&lt;=60),"Priority 2",IF(I763&lt;=30,"Priority 3","Nurture")))</x:f>
        <x:v>Nurture</x:v>
      </x:c>
    </x:row>
    <x:row r="764">
      <x:c r="A764" s="16" t="n">
        <x:v>221</x:v>
      </x:c>
      <x:c r="B764" s="16" t="n">
        <x:v>1955</x:v>
      </x:c>
      <x:c r="C764" s="16" t="str">
        <x:v>Graduation</x:v>
      </x:c>
      <x:c r="D764" s="16" t="str">
        <x:v>Married</x:v>
      </x:c>
      <x:c r="E764" s="16" t="n">
        <x:v>48726</x:v>
      </x:c>
      <x:c r="F764" s="16" t="n">
        <x:v>0</x:v>
      </x:c>
      <x:c r="G764" s="16" t="n">
        <x:v>1</x:v>
      </x:c>
      <x:c r="H764" s="16" t="str">
        <x:v>27-04-2013</x:v>
      </x:c>
      <x:c r="I764" s="16" t="n">
        <x:v>90</x:v>
      </x:c>
      <x:c r="J764" s="16" t="n">
        <x:v>138</x:v>
      </x:c>
      <x:c r="K764" s="16" t="n">
        <x:v>3</x:v>
      </x:c>
      <x:c r="L764" s="16" t="n">
        <x:v>38</x:v>
      </x:c>
      <x:c r="M764" s="16" t="n">
        <x:v>4</x:v>
      </x:c>
      <x:c r="N764" s="16" t="n">
        <x:v>0</x:v>
      </x:c>
      <x:c r="O764" s="16" t="n">
        <x:v>59</x:v>
      </x:c>
      <x:c r="P764" s="16" t="n">
        <x:v>3</x:v>
      </x:c>
      <x:c r="Q764" s="16" t="n">
        <x:v>3</x:v>
      </x:c>
      <x:c r="R764" s="16" t="n">
        <x:v>2</x:v>
      </x:c>
      <x:c r="S764" s="16" t="n">
        <x:v>4</x:v>
      </x:c>
      <x:c r="T764" s="16" t="n">
        <x:v>6</x:v>
      </x:c>
      <x:c r="U764" s="16" t="n">
        <x:v>0</x:v>
      </x:c>
      <x:c r="V764" s="16" t="n">
        <x:v>0</x:v>
      </x:c>
      <x:c r="W764" s="16" t="n">
        <x:v>0</x:v>
      </x:c>
      <x:c r="X764" s="16" t="n">
        <x:v>0</x:v>
      </x:c>
      <x:c r="Y764" s="16" t="n">
        <x:v>0</x:v>
      </x:c>
      <x:c r="Z764" s="16" t="n">
        <x:v>0</x:v>
      </x:c>
      <x:c r="AA764" s="16" t="n">
        <x:v>3</x:v>
      </x:c>
      <x:c r="AB764" s="16" t="n">
        <x:v>11</x:v>
      </x:c>
      <x:c r="AC764" s="16" t="n">
        <x:v>0</x:v>
      </x:c>
      <x:c r="AD764" s="21" t="n">
        <x:f>IF(E764="",MEDIAN($E$2:$E$2237),E764)</x:f>
        <x:v>48726</x:v>
      </x:c>
      <x:c r="AE764" s="17" t="n">
        <x:f>2014-B764</x:f>
        <x:v>59</x:v>
      </x:c>
      <x:c r="AF764" s="17" t="n">
        <x:f>F764+G764</x:f>
        <x:v>1</x:v>
      </x:c>
      <x:c r="AG764" s="21" t="n">
        <x:f>SUM(J764:O764)</x:f>
        <x:v>242</x:v>
      </x:c>
      <x:c r="AH764" s="17" t="n">
        <x:f>SUM(Q764:S764)</x:f>
        <x:v>9</x:v>
      </x:c>
      <x:c r="AI764" s="17" t="n">
        <x:f>SUM(U764:Y764)</x:f>
        <x:v>0</x:v>
      </x:c>
      <x:c r="AJ764" s="17" t="str">
        <x:f>IF(AE764&lt;=34,"≤34",IF(AE764&lt;=44,"35–44",IF(AE764&lt;=54,"45–54",IF(AE764&lt;=64,"55–64","65+"))))</x:f>
        <x:v>55–64</x:v>
      </x:c>
      <x:c r="AK764" s="17" t="str">
        <x:f>IF(AG764&gt;=1000,"High Value",IF(AG764&gt;=300,"Mid Value","Low Value"))</x:f>
        <x:v>Low Value</x:v>
      </x:c>
      <x:c r="AL764" s="17" t="str">
        <x:f>IF(AND(AI764&gt;=1,I764&lt;=50),"Priority 1",IF(AND(AG764&gt;=1000,I764&lt;=60),"Priority 2",IF(I764&lt;=30,"Priority 3","Nurture")))</x:f>
        <x:v>Nurture</x:v>
      </x:c>
    </x:row>
    <x:row r="765">
      <x:c r="A765" s="16" t="n">
        <x:v>5331</x:v>
      </x:c>
      <x:c r="B765" s="16" t="n">
        <x:v>1977</x:v>
      </x:c>
      <x:c r="C765" s="16" t="str">
        <x:v>Graduation</x:v>
      </x:c>
      <x:c r="D765" s="16" t="str">
        <x:v>Married</x:v>
      </x:c>
      <x:c r="E765" s="16" t="n">
        <x:v>74985</x:v>
      </x:c>
      <x:c r="F765" s="16" t="n">
        <x:v>0</x:v>
      </x:c>
      <x:c r="G765" s="16" t="n">
        <x:v>0</x:v>
      </x:c>
      <x:c r="H765" s="16" t="str">
        <x:v>11-09-2012</x:v>
      </x:c>
      <x:c r="I765" s="16" t="n">
        <x:v>8</x:v>
      </x:c>
      <x:c r="J765" s="16" t="n">
        <x:v>587</x:v>
      </x:c>
      <x:c r="K765" s="16" t="n">
        <x:v>51</x:v>
      </x:c>
      <x:c r="L765" s="16" t="n">
        <x:v>898</x:v>
      </x:c>
      <x:c r="M765" s="16" t="n">
        <x:v>247</x:v>
      </x:c>
      <x:c r="N765" s="16" t="n">
        <x:v>0</x:v>
      </x:c>
      <x:c r="O765" s="16" t="n">
        <x:v>86</x:v>
      </x:c>
      <x:c r="P765" s="16" t="n">
        <x:v>1</x:v>
      </x:c>
      <x:c r="Q765" s="16" t="n">
        <x:v>3</x:v>
      </x:c>
      <x:c r="R765" s="16" t="n">
        <x:v>6</x:v>
      </x:c>
      <x:c r="S765" s="16" t="n">
        <x:v>7</x:v>
      </x:c>
      <x:c r="T765" s="16" t="n">
        <x:v>2</x:v>
      </x:c>
      <x:c r="U765" s="16" t="n">
        <x:v>0</x:v>
      </x:c>
      <x:c r="V765" s="16" t="n">
        <x:v>0</x:v>
      </x:c>
      <x:c r="W765" s="16" t="n">
        <x:v>0</x:v>
      </x:c>
      <x:c r="X765" s="16" t="n">
        <x:v>0</x:v>
      </x:c>
      <x:c r="Y765" s="16" t="n">
        <x:v>0</x:v>
      </x:c>
      <x:c r="Z765" s="16" t="n">
        <x:v>0</x:v>
      </x:c>
      <x:c r="AA765" s="16" t="n">
        <x:v>3</x:v>
      </x:c>
      <x:c r="AB765" s="16" t="n">
        <x:v>11</x:v>
      </x:c>
      <x:c r="AC765" s="16" t="n">
        <x:v>0</x:v>
      </x:c>
      <x:c r="AD765" s="21" t="n">
        <x:f>IF(E765="",MEDIAN($E$2:$E$2237),E765)</x:f>
        <x:v>74985</x:v>
      </x:c>
      <x:c r="AE765" s="17" t="n">
        <x:f>2014-B765</x:f>
        <x:v>37</x:v>
      </x:c>
      <x:c r="AF765" s="17" t="n">
        <x:f>F765+G765</x:f>
        <x:v>0</x:v>
      </x:c>
      <x:c r="AG765" s="21" t="n">
        <x:f>SUM(J765:O765)</x:f>
        <x:v>1869</x:v>
      </x:c>
      <x:c r="AH765" s="17" t="n">
        <x:f>SUM(Q765:S765)</x:f>
        <x:v>16</x:v>
      </x:c>
      <x:c r="AI765" s="17" t="n">
        <x:f>SUM(U765:Y765)</x:f>
        <x:v>0</x:v>
      </x:c>
      <x:c r="AJ765" s="17" t="str">
        <x:f>IF(AE765&lt;=34,"≤34",IF(AE765&lt;=44,"35–44",IF(AE765&lt;=54,"45–54",IF(AE765&lt;=64,"55–64","65+"))))</x:f>
        <x:v>35–44</x:v>
      </x:c>
      <x:c r="AK765" s="17" t="str">
        <x:f>IF(AG765&gt;=1000,"High Value",IF(AG765&gt;=300,"Mid Value","Low Value"))</x:f>
        <x:v>High Value</x:v>
      </x:c>
      <x:c r="AL765" s="17" t="str">
        <x:f>IF(AND(AI765&gt;=1,I765&lt;=50),"Priority 1",IF(AND(AG765&gt;=1000,I765&lt;=60),"Priority 2",IF(I765&lt;=30,"Priority 3","Nurture")))</x:f>
        <x:v>Priority 2</x:v>
      </x:c>
    </x:row>
    <x:row r="766">
      <x:c r="A766" s="16" t="n">
        <x:v>1911</x:v>
      </x:c>
      <x:c r="B766" s="16" t="n">
        <x:v>1987</x:v>
      </x:c>
      <x:c r="C766" s="16" t="str">
        <x:v>Graduation</x:v>
      </x:c>
      <x:c r="D766" s="16" t="str">
        <x:v>Together</x:v>
      </x:c>
      <x:c r="E766" s="16" t="n">
        <x:v>67430</x:v>
      </x:c>
      <x:c r="F766" s="16" t="n">
        <x:v>0</x:v>
      </x:c>
      <x:c r="G766" s="16" t="n">
        <x:v>0</x:v>
      </x:c>
      <x:c r="H766" s="16" t="str">
        <x:v>05-09-2012</x:v>
      </x:c>
      <x:c r="I766" s="16" t="n">
        <x:v>6</x:v>
      </x:c>
      <x:c r="J766" s="16" t="n">
        <x:v>595</x:v>
      </x:c>
      <x:c r="K766" s="16" t="n">
        <x:v>97</x:v>
      </x:c>
      <x:c r="L766" s="16" t="n">
        <x:v>291</x:v>
      </x:c>
      <x:c r="M766" s="16" t="n">
        <x:v>127</x:v>
      </x:c>
      <x:c r="N766" s="16" t="n">
        <x:v>133</x:v>
      </x:c>
      <x:c r="O766" s="16" t="n">
        <x:v>121</x:v>
      </x:c>
      <x:c r="P766" s="16" t="n">
        <x:v>1</x:v>
      </x:c>
      <x:c r="Q766" s="16" t="n">
        <x:v>11</x:v>
      </x:c>
      <x:c r="R766" s="16" t="n">
        <x:v>5</x:v>
      </x:c>
      <x:c r="S766" s="16" t="n">
        <x:v>12</x:v>
      </x:c>
      <x:c r="T766" s="16" t="n">
        <x:v>6</x:v>
      </x:c>
      <x:c r="U766" s="16" t="n">
        <x:v>0</x:v>
      </x:c>
      <x:c r="V766" s="16" t="n">
        <x:v>0</x:v>
      </x:c>
      <x:c r="W766" s="16" t="n">
        <x:v>0</x:v>
      </x:c>
      <x:c r="X766" s="16" t="n">
        <x:v>0</x:v>
      </x:c>
      <x:c r="Y766" s="16" t="n">
        <x:v>0</x:v>
      </x:c>
      <x:c r="Z766" s="16" t="n">
        <x:v>0</x:v>
      </x:c>
      <x:c r="AA766" s="16" t="n">
        <x:v>3</x:v>
      </x:c>
      <x:c r="AB766" s="16" t="n">
        <x:v>11</x:v>
      </x:c>
      <x:c r="AC766" s="16" t="n">
        <x:v>0</x:v>
      </x:c>
      <x:c r="AD766" s="21" t="n">
        <x:f>IF(E766="",MEDIAN($E$2:$E$2237),E766)</x:f>
        <x:v>67430</x:v>
      </x:c>
      <x:c r="AE766" s="17" t="n">
        <x:f>2014-B766</x:f>
        <x:v>27</x:v>
      </x:c>
      <x:c r="AF766" s="17" t="n">
        <x:f>F766+G766</x:f>
        <x:v>0</x:v>
      </x:c>
      <x:c r="AG766" s="21" t="n">
        <x:f>SUM(J766:O766)</x:f>
        <x:v>1364</x:v>
      </x:c>
      <x:c r="AH766" s="17" t="n">
        <x:f>SUM(Q766:S766)</x:f>
        <x:v>28</x:v>
      </x:c>
      <x:c r="AI766" s="17" t="n">
        <x:f>SUM(U766:Y766)</x:f>
        <x:v>0</x:v>
      </x:c>
      <x:c r="AJ766" s="17" t="str">
        <x:f>IF(AE766&lt;=34,"≤34",IF(AE766&lt;=44,"35–44",IF(AE766&lt;=54,"45–54",IF(AE766&lt;=64,"55–64","65+"))))</x:f>
        <x:v>≤34</x:v>
      </x:c>
      <x:c r="AK766" s="17" t="str">
        <x:f>IF(AG766&gt;=1000,"High Value",IF(AG766&gt;=300,"Mid Value","Low Value"))</x:f>
        <x:v>High Value</x:v>
      </x:c>
      <x:c r="AL766" s="17" t="str">
        <x:f>IF(AND(AI766&gt;=1,I766&lt;=50),"Priority 1",IF(AND(AG766&gt;=1000,I766&lt;=60),"Priority 2",IF(I766&lt;=30,"Priority 3","Nurture")))</x:f>
        <x:v>Priority 2</x:v>
      </x:c>
    </x:row>
    <x:row r="767">
      <x:c r="A767" s="16" t="n">
        <x:v>20</x:v>
      </x:c>
      <x:c r="B767" s="16" t="n">
        <x:v>1965</x:v>
      </x:c>
      <x:c r="C767" s="16" t="str">
        <x:v>2n Cycle</x:v>
      </x:c>
      <x:c r="D767" s="16" t="str">
        <x:v>Married</x:v>
      </x:c>
      <x:c r="E767" s="16" t="n">
        <x:v>46891</x:v>
      </x:c>
      <x:c r="F767" s="16" t="n">
        <x:v>0</x:v>
      </x:c>
      <x:c r="G767" s="16" t="n">
        <x:v>1</x:v>
      </x:c>
      <x:c r="H767" s="16" t="str">
        <x:v>01-09-2013</x:v>
      </x:c>
      <x:c r="I767" s="16" t="n">
        <x:v>91</x:v>
      </x:c>
      <x:c r="J767" s="16" t="n">
        <x:v>43</x:v>
      </x:c>
      <x:c r="K767" s="16" t="n">
        <x:v>12</x:v>
      </x:c>
      <x:c r="L767" s="16" t="n">
        <x:v>23</x:v>
      </x:c>
      <x:c r="M767" s="16" t="n">
        <x:v>29</x:v>
      </x:c>
      <x:c r="N767" s="16" t="n">
        <x:v>15</x:v>
      </x:c>
      <x:c r="O767" s="16" t="n">
        <x:v>61</x:v>
      </x:c>
      <x:c r="P767" s="16" t="n">
        <x:v>1</x:v>
      </x:c>
      <x:c r="Q767" s="16" t="n">
        <x:v>2</x:v>
      </x:c>
      <x:c r="R767" s="16" t="n">
        <x:v>1</x:v>
      </x:c>
      <x:c r="S767" s="16" t="n">
        <x:v>4</x:v>
      </x:c>
      <x:c r="T767" s="16" t="n">
        <x:v>4</x:v>
      </x:c>
      <x:c r="U767" s="16" t="n">
        <x:v>0</x:v>
      </x:c>
      <x:c r="V767" s="16" t="n">
        <x:v>0</x:v>
      </x:c>
      <x:c r="W767" s="16" t="n">
        <x:v>0</x:v>
      </x:c>
      <x:c r="X767" s="16" t="n">
        <x:v>0</x:v>
      </x:c>
      <x:c r="Y767" s="16" t="n">
        <x:v>0</x:v>
      </x:c>
      <x:c r="Z767" s="16" t="n">
        <x:v>0</x:v>
      </x:c>
      <x:c r="AA767" s="16" t="n">
        <x:v>3</x:v>
      </x:c>
      <x:c r="AB767" s="16" t="n">
        <x:v>11</x:v>
      </x:c>
      <x:c r="AC767" s="16" t="n">
        <x:v>0</x:v>
      </x:c>
      <x:c r="AD767" s="21" t="n">
        <x:f>IF(E767="",MEDIAN($E$2:$E$2237),E767)</x:f>
        <x:v>46891</x:v>
      </x:c>
      <x:c r="AE767" s="17" t="n">
        <x:f>2014-B767</x:f>
        <x:v>49</x:v>
      </x:c>
      <x:c r="AF767" s="17" t="n">
        <x:f>F767+G767</x:f>
        <x:v>1</x:v>
      </x:c>
      <x:c r="AG767" s="21" t="n">
        <x:f>SUM(J767:O767)</x:f>
        <x:v>183</x:v>
      </x:c>
      <x:c r="AH767" s="17" t="n">
        <x:f>SUM(Q767:S767)</x:f>
        <x:v>7</x:v>
      </x:c>
      <x:c r="AI767" s="17" t="n">
        <x:f>SUM(U767:Y767)</x:f>
        <x:v>0</x:v>
      </x:c>
      <x:c r="AJ767" s="17" t="str">
        <x:f>IF(AE767&lt;=34,"≤34",IF(AE767&lt;=44,"35–44",IF(AE767&lt;=54,"45–54",IF(AE767&lt;=64,"55–64","65+"))))</x:f>
        <x:v>45–54</x:v>
      </x:c>
      <x:c r="AK767" s="17" t="str">
        <x:f>IF(AG767&gt;=1000,"High Value",IF(AG767&gt;=300,"Mid Value","Low Value"))</x:f>
        <x:v>Low Value</x:v>
      </x:c>
      <x:c r="AL767" s="17" t="str">
        <x:f>IF(AND(AI767&gt;=1,I767&lt;=50),"Priority 1",IF(AND(AG767&gt;=1000,I767&lt;=60),"Priority 2",IF(I767&lt;=30,"Priority 3","Nurture")))</x:f>
        <x:v>Nurture</x:v>
      </x:c>
    </x:row>
    <x:row r="768">
      <x:c r="A768" s="16" t="n">
        <x:v>8786</x:v>
      </x:c>
      <x:c r="B768" s="16" t="n">
        <x:v>1956</x:v>
      </x:c>
      <x:c r="C768" s="16" t="str">
        <x:v>Master</x:v>
      </x:c>
      <x:c r="D768" s="16" t="str">
        <x:v>Married</x:v>
      </x:c>
      <x:c r="E768" s="16" t="n">
        <x:v>62058</x:v>
      </x:c>
      <x:c r="F768" s="16" t="n">
        <x:v>0</x:v>
      </x:c>
      <x:c r="G768" s="16" t="n">
        <x:v>1</x:v>
      </x:c>
      <x:c r="H768" s="16" t="str">
        <x:v>26-05-2013</x:v>
      </x:c>
      <x:c r="I768" s="16" t="n">
        <x:v>52</x:v>
      </x:c>
      <x:c r="J768" s="16" t="n">
        <x:v>301</x:v>
      </x:c>
      <x:c r="K768" s="16" t="n">
        <x:v>7</x:v>
      </x:c>
      <x:c r="L768" s="16" t="n">
        <x:v>74</x:v>
      </x:c>
      <x:c r="M768" s="16" t="n">
        <x:v>10</x:v>
      </x:c>
      <x:c r="N768" s="16" t="n">
        <x:v>0</x:v>
      </x:c>
      <x:c r="O768" s="16" t="n">
        <x:v>58</x:v>
      </x:c>
      <x:c r="P768" s="16" t="n">
        <x:v>4</x:v>
      </x:c>
      <x:c r="Q768" s="16" t="n">
        <x:v>6</x:v>
      </x:c>
      <x:c r="R768" s="16" t="n">
        <x:v>1</x:v>
      </x:c>
      <x:c r="S768" s="16" t="n">
        <x:v>7</x:v>
      </x:c>
      <x:c r="T768" s="16" t="n">
        <x:v>6</x:v>
      </x:c>
      <x:c r="U768" s="16" t="n">
        <x:v>0</x:v>
      </x:c>
      <x:c r="V768" s="16" t="n">
        <x:v>0</x:v>
      </x:c>
      <x:c r="W768" s="16" t="n">
        <x:v>0</x:v>
      </x:c>
      <x:c r="X768" s="16" t="n">
        <x:v>0</x:v>
      </x:c>
      <x:c r="Y768" s="16" t="n">
        <x:v>0</x:v>
      </x:c>
      <x:c r="Z768" s="16" t="n">
        <x:v>0</x:v>
      </x:c>
      <x:c r="AA768" s="16" t="n">
        <x:v>3</x:v>
      </x:c>
      <x:c r="AB768" s="16" t="n">
        <x:v>11</x:v>
      </x:c>
      <x:c r="AC768" s="16" t="n">
        <x:v>0</x:v>
      </x:c>
      <x:c r="AD768" s="21" t="n">
        <x:f>IF(E768="",MEDIAN($E$2:$E$2237),E768)</x:f>
        <x:v>62058</x:v>
      </x:c>
      <x:c r="AE768" s="17" t="n">
        <x:f>2014-B768</x:f>
        <x:v>58</x:v>
      </x:c>
      <x:c r="AF768" s="17" t="n">
        <x:f>F768+G768</x:f>
        <x:v>1</x:v>
      </x:c>
      <x:c r="AG768" s="21" t="n">
        <x:f>SUM(J768:O768)</x:f>
        <x:v>450</x:v>
      </x:c>
      <x:c r="AH768" s="17" t="n">
        <x:f>SUM(Q768:S768)</x:f>
        <x:v>14</x:v>
      </x:c>
      <x:c r="AI768" s="17" t="n">
        <x:f>SUM(U768:Y768)</x:f>
        <x:v>0</x:v>
      </x:c>
      <x:c r="AJ768" s="17" t="str">
        <x:f>IF(AE768&lt;=34,"≤34",IF(AE768&lt;=44,"35–44",IF(AE768&lt;=54,"45–54",IF(AE768&lt;=64,"55–64","65+"))))</x:f>
        <x:v>55–64</x:v>
      </x:c>
      <x:c r="AK768" s="17" t="str">
        <x:f>IF(AG768&gt;=1000,"High Value",IF(AG768&gt;=300,"Mid Value","Low Value"))</x:f>
        <x:v>Mid Value</x:v>
      </x:c>
      <x:c r="AL768" s="17" t="str">
        <x:f>IF(AND(AI768&gt;=1,I768&lt;=50),"Priority 1",IF(AND(AG768&gt;=1000,I768&lt;=60),"Priority 2",IF(I768&lt;=30,"Priority 3","Nurture")))</x:f>
        <x:v>Nurture</x:v>
      </x:c>
    </x:row>
    <x:row r="769">
      <x:c r="A769" s="16" t="n">
        <x:v>10582</x:v>
      </x:c>
      <x:c r="B769" s="16" t="n">
        <x:v>1979</x:v>
      </x:c>
      <x:c r="C769" s="16" t="str">
        <x:v>Graduation</x:v>
      </x:c>
      <x:c r="D769" s="16" t="str">
        <x:v>Married</x:v>
      </x:c>
      <x:c r="E769" s="16" t="n">
        <x:v>72063</x:v>
      </x:c>
      <x:c r="F769" s="16" t="n">
        <x:v>0</x:v>
      </x:c>
      <x:c r="G769" s="16" t="n">
        <x:v>1</x:v>
      </x:c>
      <x:c r="H769" s="16" t="str">
        <x:v>03-07-2013</x:v>
      </x:c>
      <x:c r="I769" s="16" t="n">
        <x:v>3</x:v>
      </x:c>
      <x:c r="J769" s="16" t="n">
        <x:v>180</x:v>
      </x:c>
      <x:c r="K769" s="16" t="n">
        <x:v>32</x:v>
      </x:c>
      <x:c r="L769" s="16" t="n">
        <x:v>348</x:v>
      </x:c>
      <x:c r="M769" s="16" t="n">
        <x:v>76</x:v>
      </x:c>
      <x:c r="N769" s="16" t="n">
        <x:v>32</x:v>
      </x:c>
      <x:c r="O769" s="16" t="n">
        <x:v>90</x:v>
      </x:c>
      <x:c r="P769" s="16" t="n">
        <x:v>2</x:v>
      </x:c>
      <x:c r="Q769" s="16" t="n">
        <x:v>5</x:v>
      </x:c>
      <x:c r="R769" s="16" t="n">
        <x:v>2</x:v>
      </x:c>
      <x:c r="S769" s="16" t="n">
        <x:v>12</x:v>
      </x:c>
      <x:c r="T769" s="16" t="n">
        <x:v>2</x:v>
      </x:c>
      <x:c r="U769" s="16" t="n">
        <x:v>0</x:v>
      </x:c>
      <x:c r="V769" s="16" t="n">
        <x:v>0</x:v>
      </x:c>
      <x:c r="W769" s="16" t="n">
        <x:v>0</x:v>
      </x:c>
      <x:c r="X769" s="16" t="n">
        <x:v>0</x:v>
      </x:c>
      <x:c r="Y769" s="16" t="n">
        <x:v>0</x:v>
      </x:c>
      <x:c r="Z769" s="16" t="n">
        <x:v>0</x:v>
      </x:c>
      <x:c r="AA769" s="16" t="n">
        <x:v>3</x:v>
      </x:c>
      <x:c r="AB769" s="16" t="n">
        <x:v>11</x:v>
      </x:c>
      <x:c r="AC769" s="16" t="n">
        <x:v>0</x:v>
      </x:c>
      <x:c r="AD769" s="21" t="n">
        <x:f>IF(E769="",MEDIAN($E$2:$E$2237),E769)</x:f>
        <x:v>72063</x:v>
      </x:c>
      <x:c r="AE769" s="17" t="n">
        <x:f>2014-B769</x:f>
        <x:v>35</x:v>
      </x:c>
      <x:c r="AF769" s="17" t="n">
        <x:f>F769+G769</x:f>
        <x:v>1</x:v>
      </x:c>
      <x:c r="AG769" s="21" t="n">
        <x:f>SUM(J769:O769)</x:f>
        <x:v>758</x:v>
      </x:c>
      <x:c r="AH769" s="17" t="n">
        <x:f>SUM(Q769:S769)</x:f>
        <x:v>19</x:v>
      </x:c>
      <x:c r="AI769" s="17" t="n">
        <x:f>SUM(U769:Y769)</x:f>
        <x:v>0</x:v>
      </x:c>
      <x:c r="AJ769" s="17" t="str">
        <x:f>IF(AE769&lt;=34,"≤34",IF(AE769&lt;=44,"35–44",IF(AE769&lt;=54,"45–54",IF(AE769&lt;=64,"55–64","65+"))))</x:f>
        <x:v>35–44</x:v>
      </x:c>
      <x:c r="AK769" s="17" t="str">
        <x:f>IF(AG769&gt;=1000,"High Value",IF(AG769&gt;=300,"Mid Value","Low Value"))</x:f>
        <x:v>Mid Value</x:v>
      </x:c>
      <x:c r="AL769" s="17" t="str">
        <x:f>IF(AND(AI769&gt;=1,I769&lt;=50),"Priority 1",IF(AND(AG769&gt;=1000,I769&lt;=60),"Priority 2",IF(I769&lt;=30,"Priority 3","Nurture")))</x:f>
        <x:v>Priority 3</x:v>
      </x:c>
    </x:row>
    <x:row r="770">
      <x:c r="A770" s="16" t="n">
        <x:v>1915</x:v>
      </x:c>
      <x:c r="B770" s="16" t="n">
        <x:v>1951</x:v>
      </x:c>
      <x:c r="C770" s="16" t="str">
        <x:v>PhD</x:v>
      </x:c>
      <x:c r="D770" s="16" t="str">
        <x:v>Married</x:v>
      </x:c>
      <x:c r="E770" s="16" t="n">
        <x:v>78939</x:v>
      </x:c>
      <x:c r="F770" s="16" t="n">
        <x:v>0</x:v>
      </x:c>
      <x:c r="G770" s="16" t="n">
        <x:v>0</x:v>
      </x:c>
      <x:c r="H770" s="16" t="str">
        <x:v>12-12-2013</x:v>
      </x:c>
      <x:c r="I770" s="16" t="n">
        <x:v>57</x:v>
      </x:c>
      <x:c r="J770" s="16" t="n">
        <x:v>794</x:v>
      </x:c>
      <x:c r="K770" s="16" t="n">
        <x:v>115</x:v>
      </x:c>
      <x:c r="L770" s="16" t="n">
        <x:v>243</x:v>
      </x:c>
      <x:c r="M770" s="16" t="n">
        <x:v>150</x:v>
      </x:c>
      <x:c r="N770" s="16" t="n">
        <x:v>0</x:v>
      </x:c>
      <x:c r="O770" s="16" t="n">
        <x:v>205</x:v>
      </x:c>
      <x:c r="P770" s="16" t="n">
        <x:v>1</x:v>
      </x:c>
      <x:c r="Q770" s="16" t="n">
        <x:v>8</x:v>
      </x:c>
      <x:c r="R770" s="16" t="n">
        <x:v>5</x:v>
      </x:c>
      <x:c r="S770" s="16" t="n">
        <x:v>6</x:v>
      </x:c>
      <x:c r="T770" s="16" t="n">
        <x:v>3</x:v>
      </x:c>
      <x:c r="U770" s="16" t="n">
        <x:v>0</x:v>
      </x:c>
      <x:c r="V770" s="16" t="n">
        <x:v>0</x:v>
      </x:c>
      <x:c r="W770" s="16" t="n">
        <x:v>0</x:v>
      </x:c>
      <x:c r="X770" s="16" t="n">
        <x:v>0</x:v>
      </x:c>
      <x:c r="Y770" s="16" t="n">
        <x:v>0</x:v>
      </x:c>
      <x:c r="Z770" s="16" t="n">
        <x:v>0</x:v>
      </x:c>
      <x:c r="AA770" s="16" t="n">
        <x:v>3</x:v>
      </x:c>
      <x:c r="AB770" s="16" t="n">
        <x:v>11</x:v>
      </x:c>
      <x:c r="AC770" s="16" t="n">
        <x:v>0</x:v>
      </x:c>
      <x:c r="AD770" s="21" t="n">
        <x:f>IF(E770="",MEDIAN($E$2:$E$2237),E770)</x:f>
        <x:v>78939</x:v>
      </x:c>
      <x:c r="AE770" s="17" t="n">
        <x:f>2014-B770</x:f>
        <x:v>63</x:v>
      </x:c>
      <x:c r="AF770" s="17" t="n">
        <x:f>F770+G770</x:f>
        <x:v>0</x:v>
      </x:c>
      <x:c r="AG770" s="21" t="n">
        <x:f>SUM(J770:O770)</x:f>
        <x:v>1507</x:v>
      </x:c>
      <x:c r="AH770" s="17" t="n">
        <x:f>SUM(Q770:S770)</x:f>
        <x:v>19</x:v>
      </x:c>
      <x:c r="AI770" s="17" t="n">
        <x:f>SUM(U770:Y770)</x:f>
        <x:v>0</x:v>
      </x:c>
      <x:c r="AJ770" s="17" t="str">
        <x:f>IF(AE770&lt;=34,"≤34",IF(AE770&lt;=44,"35–44",IF(AE770&lt;=54,"45–54",IF(AE770&lt;=64,"55–64","65+"))))</x:f>
        <x:v>55–64</x:v>
      </x:c>
      <x:c r="AK770" s="17" t="str">
        <x:f>IF(AG770&gt;=1000,"High Value",IF(AG770&gt;=300,"Mid Value","Low Value"))</x:f>
        <x:v>High Value</x:v>
      </x:c>
      <x:c r="AL770" s="17" t="str">
        <x:f>IF(AND(AI770&gt;=1,I770&lt;=50),"Priority 1",IF(AND(AG770&gt;=1000,I770&lt;=60),"Priority 2",IF(I770&lt;=30,"Priority 3","Nurture")))</x:f>
        <x:v>Priority 2</x:v>
      </x:c>
    </x:row>
    <x:row r="771">
      <x:c r="A771" s="16" t="n">
        <x:v>8897</x:v>
      </x:c>
      <x:c r="B771" s="16" t="n">
        <x:v>1965</x:v>
      </x:c>
      <x:c r="C771" s="16" t="str">
        <x:v>Graduation</x:v>
      </x:c>
      <x:c r="D771" s="16" t="str">
        <x:v>Single</x:v>
      </x:c>
      <x:c r="E771" s="16" t="n">
        <x:v>42720</x:v>
      </x:c>
      <x:c r="F771" s="16" t="n">
        <x:v>1</x:v>
      </x:c>
      <x:c r="G771" s="16" t="n">
        <x:v>1</x:v>
      </x:c>
      <x:c r="H771" s="16" t="str">
        <x:v>24-04-2013</x:v>
      </x:c>
      <x:c r="I771" s="16" t="n">
        <x:v>9</x:v>
      </x:c>
      <x:c r="J771" s="16" t="n">
        <x:v>392</x:v>
      </x:c>
      <x:c r="K771" s="16" t="n">
        <x:v>5</x:v>
      </x:c>
      <x:c r="L771" s="16" t="n">
        <x:v>91</x:v>
      </x:c>
      <x:c r="M771" s="16" t="n">
        <x:v>28</x:v>
      </x:c>
      <x:c r="N771" s="16" t="n">
        <x:v>26</x:v>
      </x:c>
      <x:c r="O771" s="16" t="n">
        <x:v>112</x:v>
      </x:c>
      <x:c r="P771" s="16" t="n">
        <x:v>8</x:v>
      </x:c>
      <x:c r="Q771" s="16" t="n">
        <x:v>7</x:v>
      </x:c>
      <x:c r="R771" s="16" t="n">
        <x:v>3</x:v>
      </x:c>
      <x:c r="S771" s="16" t="n">
        <x:v>7</x:v>
      </x:c>
      <x:c r="T771" s="16" t="n">
        <x:v>8</x:v>
      </x:c>
      <x:c r="U771" s="16" t="n">
        <x:v>0</x:v>
      </x:c>
      <x:c r="V771" s="16" t="n">
        <x:v>0</x:v>
      </x:c>
      <x:c r="W771" s="16" t="n">
        <x:v>0</x:v>
      </x:c>
      <x:c r="X771" s="16" t="n">
        <x:v>0</x:v>
      </x:c>
      <x:c r="Y771" s="16" t="n">
        <x:v>0</x:v>
      </x:c>
      <x:c r="Z771" s="16" t="n">
        <x:v>0</x:v>
      </x:c>
      <x:c r="AA771" s="16" t="n">
        <x:v>3</x:v>
      </x:c>
      <x:c r="AB771" s="16" t="n">
        <x:v>11</x:v>
      </x:c>
      <x:c r="AC771" s="16" t="n">
        <x:v>1</x:v>
      </x:c>
      <x:c r="AD771" s="21" t="n">
        <x:f>IF(E771="",MEDIAN($E$2:$E$2237),E771)</x:f>
        <x:v>42720</x:v>
      </x:c>
      <x:c r="AE771" s="17" t="n">
        <x:f>2014-B771</x:f>
        <x:v>49</x:v>
      </x:c>
      <x:c r="AF771" s="17" t="n">
        <x:f>F771+G771</x:f>
        <x:v>2</x:v>
      </x:c>
      <x:c r="AG771" s="21" t="n">
        <x:f>SUM(J771:O771)</x:f>
        <x:v>654</x:v>
      </x:c>
      <x:c r="AH771" s="17" t="n">
        <x:f>SUM(Q771:S771)</x:f>
        <x:v>17</x:v>
      </x:c>
      <x:c r="AI771" s="17" t="n">
        <x:f>SUM(U771:Y771)</x:f>
        <x:v>0</x:v>
      </x:c>
      <x:c r="AJ771" s="17" t="str">
        <x:f>IF(AE771&lt;=34,"≤34",IF(AE771&lt;=44,"35–44",IF(AE771&lt;=54,"45–54",IF(AE771&lt;=64,"55–64","65+"))))</x:f>
        <x:v>45–54</x:v>
      </x:c>
      <x:c r="AK771" s="17" t="str">
        <x:f>IF(AG771&gt;=1000,"High Value",IF(AG771&gt;=300,"Mid Value","Low Value"))</x:f>
        <x:v>Mid Value</x:v>
      </x:c>
      <x:c r="AL771" s="17" t="str">
        <x:f>IF(AND(AI771&gt;=1,I771&lt;=50),"Priority 1",IF(AND(AG771&gt;=1000,I771&lt;=60),"Priority 2",IF(I771&lt;=30,"Priority 3","Nurture")))</x:f>
        <x:v>Priority 3</x:v>
      </x:c>
    </x:row>
    <x:row r="772">
      <x:c r="A772" s="16" t="n">
        <x:v>2371</x:v>
      </x:c>
      <x:c r="B772" s="16" t="n">
        <x:v>1972</x:v>
      </x:c>
      <x:c r="C772" s="16" t="str">
        <x:v>Graduation</x:v>
      </x:c>
      <x:c r="D772" s="16" t="str">
        <x:v>Married</x:v>
      </x:c>
      <x:c r="E772" s="16" t="n">
        <x:v>33622</x:v>
      </x:c>
      <x:c r="F772" s="16" t="n">
        <x:v>1</x:v>
      </x:c>
      <x:c r="G772" s="16" t="n">
        <x:v>1</x:v>
      </x:c>
      <x:c r="H772" s="16" t="str">
        <x:v>13-04-2013</x:v>
      </x:c>
      <x:c r="I772" s="16" t="n">
        <x:v>22</x:v>
      </x:c>
      <x:c r="J772" s="16" t="n">
        <x:v>39</x:v>
      </x:c>
      <x:c r="K772" s="16" t="n">
        <x:v>1</x:v>
      </x:c>
      <x:c r="L772" s="16" t="n">
        <x:v>22</x:v>
      </x:c>
      <x:c r="M772" s="16" t="n">
        <x:v>3</x:v>
      </x:c>
      <x:c r="N772" s="16" t="n">
        <x:v>4</x:v>
      </x:c>
      <x:c r="O772" s="16" t="n">
        <x:v>12</x:v>
      </x:c>
      <x:c r="P772" s="16" t="n">
        <x:v>3</x:v>
      </x:c>
      <x:c r="Q772" s="16" t="n">
        <x:v>2</x:v>
      </x:c>
      <x:c r="R772" s="16" t="n">
        <x:v>0</x:v>
      </x:c>
      <x:c r="S772" s="16" t="n">
        <x:v>4</x:v>
      </x:c>
      <x:c r="T772" s="16" t="n">
        <x:v>7</x:v>
      </x:c>
      <x:c r="U772" s="16" t="n">
        <x:v>0</x:v>
      </x:c>
      <x:c r="V772" s="16" t="n">
        <x:v>0</x:v>
      </x:c>
      <x:c r="W772" s="16" t="n">
        <x:v>0</x:v>
      </x:c>
      <x:c r="X772" s="16" t="n">
        <x:v>0</x:v>
      </x:c>
      <x:c r="Y772" s="16" t="n">
        <x:v>0</x:v>
      </x:c>
      <x:c r="Z772" s="16" t="n">
        <x:v>0</x:v>
      </x:c>
      <x:c r="AA772" s="16" t="n">
        <x:v>3</x:v>
      </x:c>
      <x:c r="AB772" s="16" t="n">
        <x:v>11</x:v>
      </x:c>
      <x:c r="AC772" s="16" t="n">
        <x:v>0</x:v>
      </x:c>
      <x:c r="AD772" s="21" t="n">
        <x:f>IF(E772="",MEDIAN($E$2:$E$2237),E772)</x:f>
        <x:v>33622</x:v>
      </x:c>
      <x:c r="AE772" s="17" t="n">
        <x:f>2014-B772</x:f>
        <x:v>42</x:v>
      </x:c>
      <x:c r="AF772" s="17" t="n">
        <x:f>F772+G772</x:f>
        <x:v>2</x:v>
      </x:c>
      <x:c r="AG772" s="21" t="n">
        <x:f>SUM(J772:O772)</x:f>
        <x:v>81</x:v>
      </x:c>
      <x:c r="AH772" s="17" t="n">
        <x:f>SUM(Q772:S772)</x:f>
        <x:v>6</x:v>
      </x:c>
      <x:c r="AI772" s="17" t="n">
        <x:f>SUM(U772:Y772)</x:f>
        <x:v>0</x:v>
      </x:c>
      <x:c r="AJ772" s="17" t="str">
        <x:f>IF(AE772&lt;=34,"≤34",IF(AE772&lt;=44,"35–44",IF(AE772&lt;=54,"45–54",IF(AE772&lt;=64,"55–64","65+"))))</x:f>
        <x:v>35–44</x:v>
      </x:c>
      <x:c r="AK772" s="17" t="str">
        <x:f>IF(AG772&gt;=1000,"High Value",IF(AG772&gt;=300,"Mid Value","Low Value"))</x:f>
        <x:v>Low Value</x:v>
      </x:c>
      <x:c r="AL772" s="17" t="str">
        <x:f>IF(AND(AI772&gt;=1,I772&lt;=50),"Priority 1",IF(AND(AG772&gt;=1000,I772&lt;=60),"Priority 2",IF(I772&lt;=30,"Priority 3","Nurture")))</x:f>
        <x:v>Priority 3</x:v>
      </x:c>
    </x:row>
    <x:row r="773">
      <x:c r="A773" s="16" t="n">
        <x:v>4303</x:v>
      </x:c>
      <x:c r="B773" s="16" t="n">
        <x:v>1957</x:v>
      </x:c>
      <x:c r="C773" s="16" t="str">
        <x:v>PhD</x:v>
      </x:c>
      <x:c r="D773" s="16" t="str">
        <x:v>Together</x:v>
      </x:c>
      <x:c r="E773" s="16" t="n">
        <x:v>6835</x:v>
      </x:c>
      <x:c r="F773" s="16" t="n">
        <x:v>0</x:v>
      </x:c>
      <x:c r="G773" s="16" t="n">
        <x:v>1</x:v>
      </x:c>
      <x:c r="H773" s="16" t="str">
        <x:v>08-12-2012</x:v>
      </x:c>
      <x:c r="I773" s="16" t="n">
        <x:v>76</x:v>
      </x:c>
      <x:c r="J773" s="16" t="n">
        <x:v>107</x:v>
      </x:c>
      <x:c r="K773" s="16" t="n">
        <x:v>2</x:v>
      </x:c>
      <x:c r="L773" s="16" t="n">
        <x:v>12</x:v>
      </x:c>
      <x:c r="M773" s="16" t="n">
        <x:v>2</x:v>
      </x:c>
      <x:c r="N773" s="16" t="n">
        <x:v>2</x:v>
      </x:c>
      <x:c r="O773" s="16" t="n">
        <x:v>12</x:v>
      </x:c>
      <x:c r="P773" s="16" t="n">
        <x:v>0</x:v>
      </x:c>
      <x:c r="Q773" s="16" t="n">
        <x:v>0</x:v>
      </x:c>
      <x:c r="R773" s="16" t="n">
        <x:v>0</x:v>
      </x:c>
      <x:c r="S773" s="16" t="n">
        <x:v>1</x:v>
      </x:c>
      <x:c r="T773" s="16" t="n">
        <x:v>20</x:v>
      </x:c>
      <x:c r="U773" s="16" t="n">
        <x:v>0</x:v>
      </x:c>
      <x:c r="V773" s="16" t="n">
        <x:v>0</x:v>
      </x:c>
      <x:c r="W773" s="16" t="n">
        <x:v>0</x:v>
      </x:c>
      <x:c r="X773" s="16" t="n">
        <x:v>0</x:v>
      </x:c>
      <x:c r="Y773" s="16" t="n">
        <x:v>0</x:v>
      </x:c>
      <x:c r="Z773" s="16" t="n">
        <x:v>0</x:v>
      </x:c>
      <x:c r="AA773" s="16" t="n">
        <x:v>3</x:v>
      </x:c>
      <x:c r="AB773" s="16" t="n">
        <x:v>11</x:v>
      </x:c>
      <x:c r="AC773" s="16" t="n">
        <x:v>0</x:v>
      </x:c>
      <x:c r="AD773" s="21" t="n">
        <x:f>IF(E773="",MEDIAN($E$2:$E$2237),E773)</x:f>
        <x:v>6835</x:v>
      </x:c>
      <x:c r="AE773" s="17" t="n">
        <x:f>2014-B773</x:f>
        <x:v>57</x:v>
      </x:c>
      <x:c r="AF773" s="17" t="n">
        <x:f>F773+G773</x:f>
        <x:v>1</x:v>
      </x:c>
      <x:c r="AG773" s="21" t="n">
        <x:f>SUM(J773:O773)</x:f>
        <x:v>137</x:v>
      </x:c>
      <x:c r="AH773" s="17" t="n">
        <x:f>SUM(Q773:S773)</x:f>
        <x:v>1</x:v>
      </x:c>
      <x:c r="AI773" s="17" t="n">
        <x:f>SUM(U773:Y773)</x:f>
        <x:v>0</x:v>
      </x:c>
      <x:c r="AJ773" s="17" t="str">
        <x:f>IF(AE773&lt;=34,"≤34",IF(AE773&lt;=44,"35–44",IF(AE773&lt;=54,"45–54",IF(AE773&lt;=64,"55–64","65+"))))</x:f>
        <x:v>55–64</x:v>
      </x:c>
      <x:c r="AK773" s="17" t="str">
        <x:f>IF(AG773&gt;=1000,"High Value",IF(AG773&gt;=300,"Mid Value","Low Value"))</x:f>
        <x:v>Low Value</x:v>
      </x:c>
      <x:c r="AL773" s="17" t="str">
        <x:f>IF(AND(AI773&gt;=1,I773&lt;=50),"Priority 1",IF(AND(AG773&gt;=1000,I773&lt;=60),"Priority 2",IF(I773&lt;=30,"Priority 3","Nurture")))</x:f>
        <x:v>Nurture</x:v>
      </x:c>
    </x:row>
    <x:row r="774">
      <x:c r="A774" s="16" t="n">
        <x:v>6825</x:v>
      </x:c>
      <x:c r="B774" s="16" t="n">
        <x:v>1953</x:v>
      </x:c>
      <x:c r="C774" s="16" t="str">
        <x:v>Graduation</x:v>
      </x:c>
      <x:c r="D774" s="16" t="str">
        <x:v>Together</x:v>
      </x:c>
      <x:c r="E774" s="16" t="n">
        <x:v>41452</x:v>
      </x:c>
      <x:c r="F774" s="16" t="n">
        <x:v>1</x:v>
      </x:c>
      <x:c r="G774" s="16" t="n">
        <x:v>1</x:v>
      </x:c>
      <x:c r="H774" s="16" t="str">
        <x:v>06-03-2013</x:v>
      </x:c>
      <x:c r="I774" s="16" t="n">
        <x:v>86</x:v>
      </x:c>
      <x:c r="J774" s="16" t="n">
        <x:v>13</x:v>
      </x:c>
      <x:c r="K774" s="16" t="n">
        <x:v>0</x:v>
      </x:c>
      <x:c r="L774" s="16" t="n">
        <x:v>3</x:v>
      </x:c>
      <x:c r="M774" s="16" t="n">
        <x:v>0</x:v>
      </x:c>
      <x:c r="N774" s="16" t="n">
        <x:v>0</x:v>
      </x:c>
      <x:c r="O774" s="16" t="n">
        <x:v>0</x:v>
      </x:c>
      <x:c r="P774" s="16" t="n">
        <x:v>1</x:v>
      </x:c>
      <x:c r="Q774" s="16" t="n">
        <x:v>1</x:v>
      </x:c>
      <x:c r="R774" s="16" t="n">
        <x:v>0</x:v>
      </x:c>
      <x:c r="S774" s="16" t="n">
        <x:v>2</x:v>
      </x:c>
      <x:c r="T774" s="16" t="n">
        <x:v>7</x:v>
      </x:c>
      <x:c r="U774" s="16" t="n">
        <x:v>0</x:v>
      </x:c>
      <x:c r="V774" s="16" t="n">
        <x:v>0</x:v>
      </x:c>
      <x:c r="W774" s="16" t="n">
        <x:v>0</x:v>
      </x:c>
      <x:c r="X774" s="16" t="n">
        <x:v>0</x:v>
      </x:c>
      <x:c r="Y774" s="16" t="n">
        <x:v>0</x:v>
      </x:c>
      <x:c r="Z774" s="16" t="n">
        <x:v>0</x:v>
      </x:c>
      <x:c r="AA774" s="16" t="n">
        <x:v>3</x:v>
      </x:c>
      <x:c r="AB774" s="16" t="n">
        <x:v>11</x:v>
      </x:c>
      <x:c r="AC774" s="16" t="n">
        <x:v>0</x:v>
      </x:c>
      <x:c r="AD774" s="21" t="n">
        <x:f>IF(E774="",MEDIAN($E$2:$E$2237),E774)</x:f>
        <x:v>41452</x:v>
      </x:c>
      <x:c r="AE774" s="17" t="n">
        <x:f>2014-B774</x:f>
        <x:v>61</x:v>
      </x:c>
      <x:c r="AF774" s="17" t="n">
        <x:f>F774+G774</x:f>
        <x:v>2</x:v>
      </x:c>
      <x:c r="AG774" s="21" t="n">
        <x:f>SUM(J774:O774)</x:f>
        <x:v>16</x:v>
      </x:c>
      <x:c r="AH774" s="17" t="n">
        <x:f>SUM(Q774:S774)</x:f>
        <x:v>3</x:v>
      </x:c>
      <x:c r="AI774" s="17" t="n">
        <x:f>SUM(U774:Y774)</x:f>
        <x:v>0</x:v>
      </x:c>
      <x:c r="AJ774" s="17" t="str">
        <x:f>IF(AE774&lt;=34,"≤34",IF(AE774&lt;=44,"35–44",IF(AE774&lt;=54,"45–54",IF(AE774&lt;=64,"55–64","65+"))))</x:f>
        <x:v>55–64</x:v>
      </x:c>
      <x:c r="AK774" s="17" t="str">
        <x:f>IF(AG774&gt;=1000,"High Value",IF(AG774&gt;=300,"Mid Value","Low Value"))</x:f>
        <x:v>Low Value</x:v>
      </x:c>
      <x:c r="AL774" s="17" t="str">
        <x:f>IF(AND(AI774&gt;=1,I774&lt;=50),"Priority 1",IF(AND(AG774&gt;=1000,I774&lt;=60),"Priority 2",IF(I774&lt;=30,"Priority 3","Nurture")))</x:f>
        <x:v>Nurture</x:v>
      </x:c>
    </x:row>
    <x:row r="775">
      <x:c r="A775" s="16" t="n">
        <x:v>1072</x:v>
      </x:c>
      <x:c r="B775" s="16" t="n">
        <x:v>1965</x:v>
      </x:c>
      <x:c r="C775" s="16" t="str">
        <x:v>PhD</x:v>
      </x:c>
      <x:c r="D775" s="16" t="str">
        <x:v>Single</x:v>
      </x:c>
      <x:c r="E775" s="16" t="n">
        <x:v>40760</x:v>
      </x:c>
      <x:c r="F775" s="16" t="n">
        <x:v>0</x:v>
      </x:c>
      <x:c r="G775" s="16" t="n">
        <x:v>1</x:v>
      </x:c>
      <x:c r="H775" s="16" t="str">
        <x:v>30-08-2013</x:v>
      </x:c>
      <x:c r="I775" s="16" t="n">
        <x:v>64</x:v>
      </x:c>
      <x:c r="J775" s="16" t="n">
        <x:v>70</x:v>
      </x:c>
      <x:c r="K775" s="16" t="n">
        <x:v>0</x:v>
      </x:c>
      <x:c r="L775" s="16" t="n">
        <x:v>17</x:v>
      </x:c>
      <x:c r="M775" s="16" t="n">
        <x:v>0</x:v>
      </x:c>
      <x:c r="N775" s="16" t="n">
        <x:v>0</x:v>
      </x:c>
      <x:c r="O775" s="16" t="n">
        <x:v>6</x:v>
      </x:c>
      <x:c r="P775" s="16" t="n">
        <x:v>2</x:v>
      </x:c>
      <x:c r="Q775" s="16" t="n">
        <x:v>2</x:v>
      </x:c>
      <x:c r="R775" s="16" t="n">
        <x:v>1</x:v>
      </x:c>
      <x:c r="S775" s="16" t="n">
        <x:v>3</x:v>
      </x:c>
      <x:c r="T775" s="16" t="n">
        <x:v>6</x:v>
      </x:c>
      <x:c r="U775" s="16" t="n">
        <x:v>0</x:v>
      </x:c>
      <x:c r="V775" s="16" t="n">
        <x:v>0</x:v>
      </x:c>
      <x:c r="W775" s="16" t="n">
        <x:v>0</x:v>
      </x:c>
      <x:c r="X775" s="16" t="n">
        <x:v>0</x:v>
      </x:c>
      <x:c r="Y775" s="16" t="n">
        <x:v>0</x:v>
      </x:c>
      <x:c r="Z775" s="16" t="n">
        <x:v>0</x:v>
      </x:c>
      <x:c r="AA775" s="16" t="n">
        <x:v>3</x:v>
      </x:c>
      <x:c r="AB775" s="16" t="n">
        <x:v>11</x:v>
      </x:c>
      <x:c r="AC775" s="16" t="n">
        <x:v>0</x:v>
      </x:c>
      <x:c r="AD775" s="21" t="n">
        <x:f>IF(E775="",MEDIAN($E$2:$E$2237),E775)</x:f>
        <x:v>40760</x:v>
      </x:c>
      <x:c r="AE775" s="17" t="n">
        <x:f>2014-B775</x:f>
        <x:v>49</x:v>
      </x:c>
      <x:c r="AF775" s="17" t="n">
        <x:f>F775+G775</x:f>
        <x:v>1</x:v>
      </x:c>
      <x:c r="AG775" s="21" t="n">
        <x:f>SUM(J775:O775)</x:f>
        <x:v>93</x:v>
      </x:c>
      <x:c r="AH775" s="17" t="n">
        <x:f>SUM(Q775:S775)</x:f>
        <x:v>6</x:v>
      </x:c>
      <x:c r="AI775" s="17" t="n">
        <x:f>SUM(U775:Y775)</x:f>
        <x:v>0</x:v>
      </x:c>
      <x:c r="AJ775" s="17" t="str">
        <x:f>IF(AE775&lt;=34,"≤34",IF(AE775&lt;=44,"35–44",IF(AE775&lt;=54,"45–54",IF(AE775&lt;=64,"55–64","65+"))))</x:f>
        <x:v>45–54</x:v>
      </x:c>
      <x:c r="AK775" s="17" t="str">
        <x:f>IF(AG775&gt;=1000,"High Value",IF(AG775&gt;=300,"Mid Value","Low Value"))</x:f>
        <x:v>Low Value</x:v>
      </x:c>
      <x:c r="AL775" s="17" t="str">
        <x:f>IF(AND(AI775&gt;=1,I775&lt;=50),"Priority 1",IF(AND(AG775&gt;=1000,I775&lt;=60),"Priority 2",IF(I775&lt;=30,"Priority 3","Nurture")))</x:f>
        <x:v>Nurture</x:v>
      </x:c>
    </x:row>
    <x:row r="776">
      <x:c r="A776" s="16" t="n">
        <x:v>4964</x:v>
      </x:c>
      <x:c r="B776" s="16" t="n">
        <x:v>1958</x:v>
      </x:c>
      <x:c r="C776" s="16" t="str">
        <x:v>PhD</x:v>
      </x:c>
      <x:c r="D776" s="16" t="str">
        <x:v>Together</x:v>
      </x:c>
      <x:c r="E776" s="16" t="n">
        <x:v>74250</x:v>
      </x:c>
      <x:c r="F776" s="16" t="n">
        <x:v>0</x:v>
      </x:c>
      <x:c r="G776" s="16" t="n">
        <x:v>0</x:v>
      </x:c>
      <x:c r="H776" s="16" t="str">
        <x:v>26-01-2014</x:v>
      </x:c>
      <x:c r="I776" s="16" t="n">
        <x:v>90</x:v>
      </x:c>
      <x:c r="J776" s="16" t="n">
        <x:v>680</x:v>
      </x:c>
      <x:c r="K776" s="16" t="n">
        <x:v>11</x:v>
      </x:c>
      <x:c r="L776" s="16" t="n">
        <x:v>392</x:v>
      </x:c>
      <x:c r="M776" s="16" t="n">
        <x:v>75</x:v>
      </x:c>
      <x:c r="N776" s="16" t="n">
        <x:v>0</x:v>
      </x:c>
      <x:c r="O776" s="16" t="n">
        <x:v>0</x:v>
      </x:c>
      <x:c r="P776" s="16" t="n">
        <x:v>1</x:v>
      </x:c>
      <x:c r="Q776" s="16" t="n">
        <x:v>2</x:v>
      </x:c>
      <x:c r="R776" s="16" t="n">
        <x:v>11</x:v>
      </x:c>
      <x:c r="S776" s="16" t="n">
        <x:v>4</x:v>
      </x:c>
      <x:c r="T776" s="16" t="n">
        <x:v>1</x:v>
      </x:c>
      <x:c r="U776" s="16" t="n">
        <x:v>0</x:v>
      </x:c>
      <x:c r="V776" s="16" t="n">
        <x:v>0</x:v>
      </x:c>
      <x:c r="W776" s="16" t="n">
        <x:v>0</x:v>
      </x:c>
      <x:c r="X776" s="16" t="n">
        <x:v>0</x:v>
      </x:c>
      <x:c r="Y776" s="16" t="n">
        <x:v>0</x:v>
      </x:c>
      <x:c r="Z776" s="16" t="n">
        <x:v>0</x:v>
      </x:c>
      <x:c r="AA776" s="16" t="n">
        <x:v>3</x:v>
      </x:c>
      <x:c r="AB776" s="16" t="n">
        <x:v>11</x:v>
      </x:c>
      <x:c r="AC776" s="16" t="n">
        <x:v>0</x:v>
      </x:c>
      <x:c r="AD776" s="21" t="n">
        <x:f>IF(E776="",MEDIAN($E$2:$E$2237),E776)</x:f>
        <x:v>74250</x:v>
      </x:c>
      <x:c r="AE776" s="17" t="n">
        <x:f>2014-B776</x:f>
        <x:v>56</x:v>
      </x:c>
      <x:c r="AF776" s="17" t="n">
        <x:f>F776+G776</x:f>
        <x:v>0</x:v>
      </x:c>
      <x:c r="AG776" s="21" t="n">
        <x:f>SUM(J776:O776)</x:f>
        <x:v>1158</x:v>
      </x:c>
      <x:c r="AH776" s="17" t="n">
        <x:f>SUM(Q776:S776)</x:f>
        <x:v>17</x:v>
      </x:c>
      <x:c r="AI776" s="17" t="n">
        <x:f>SUM(U776:Y776)</x:f>
        <x:v>0</x:v>
      </x:c>
      <x:c r="AJ776" s="17" t="str">
        <x:f>IF(AE776&lt;=34,"≤34",IF(AE776&lt;=44,"35–44",IF(AE776&lt;=54,"45–54",IF(AE776&lt;=64,"55–64","65+"))))</x:f>
        <x:v>55–64</x:v>
      </x:c>
      <x:c r="AK776" s="17" t="str">
        <x:f>IF(AG776&gt;=1000,"High Value",IF(AG776&gt;=300,"Mid Value","Low Value"))</x:f>
        <x:v>High Value</x:v>
      </x:c>
      <x:c r="AL776" s="17" t="str">
        <x:f>IF(AND(AI776&gt;=1,I776&lt;=50),"Priority 1",IF(AND(AG776&gt;=1000,I776&lt;=60),"Priority 2",IF(I776&lt;=30,"Priority 3","Nurture")))</x:f>
        <x:v>Nurture</x:v>
      </x:c>
    </x:row>
    <x:row r="777">
      <x:c r="A777" s="16" t="n">
        <x:v>2461</x:v>
      </x:c>
      <x:c r="B777" s="16" t="n">
        <x:v>1955</x:v>
      </x:c>
      <x:c r="C777" s="16" t="str">
        <x:v>Master</x:v>
      </x:c>
      <x:c r="D777" s="16" t="str">
        <x:v>Single</x:v>
      </x:c>
      <x:c r="E777" s="16" t="n">
        <x:v>51124</x:v>
      </x:c>
      <x:c r="F777" s="16" t="n">
        <x:v>1</x:v>
      </x:c>
      <x:c r="G777" s="16" t="n">
        <x:v>1</x:v>
      </x:c>
      <x:c r="H777" s="16" t="str">
        <x:v>18-12-2013</x:v>
      </x:c>
      <x:c r="I777" s="16" t="n">
        <x:v>79</x:v>
      </x:c>
      <x:c r="J777" s="16" t="n">
        <x:v>26</x:v>
      </x:c>
      <x:c r="K777" s="16" t="n">
        <x:v>1</x:v>
      </x:c>
      <x:c r="L777" s="16" t="n">
        <x:v>11</x:v>
      </x:c>
      <x:c r="M777" s="16" t="n">
        <x:v>0</x:v>
      </x:c>
      <x:c r="N777" s="16" t="n">
        <x:v>1</x:v>
      </x:c>
      <x:c r="O777" s="16" t="n">
        <x:v>4</x:v>
      </x:c>
      <x:c r="P777" s="16" t="n">
        <x:v>2</x:v>
      </x:c>
      <x:c r="Q777" s="16" t="n">
        <x:v>1</x:v>
      </x:c>
      <x:c r="R777" s="16" t="n">
        <x:v>0</x:v>
      </x:c>
      <x:c r="S777" s="16" t="n">
        <x:v>3</x:v>
      </x:c>
      <x:c r="T777" s="16" t="n">
        <x:v>3</x:v>
      </x:c>
      <x:c r="U777" s="16" t="n">
        <x:v>0</x:v>
      </x:c>
      <x:c r="V777" s="16" t="n">
        <x:v>0</x:v>
      </x:c>
      <x:c r="W777" s="16" t="n">
        <x:v>0</x:v>
      </x:c>
      <x:c r="X777" s="16" t="n">
        <x:v>0</x:v>
      </x:c>
      <x:c r="Y777" s="16" t="n">
        <x:v>0</x:v>
      </x:c>
      <x:c r="Z777" s="16" t="n">
        <x:v>0</x:v>
      </x:c>
      <x:c r="AA777" s="16" t="n">
        <x:v>3</x:v>
      </x:c>
      <x:c r="AB777" s="16" t="n">
        <x:v>11</x:v>
      </x:c>
      <x:c r="AC777" s="16" t="n">
        <x:v>0</x:v>
      </x:c>
      <x:c r="AD777" s="21" t="n">
        <x:f>IF(E777="",MEDIAN($E$2:$E$2237),E777)</x:f>
        <x:v>51124</x:v>
      </x:c>
      <x:c r="AE777" s="17" t="n">
        <x:f>2014-B777</x:f>
        <x:v>59</x:v>
      </x:c>
      <x:c r="AF777" s="17" t="n">
        <x:f>F777+G777</x:f>
        <x:v>2</x:v>
      </x:c>
      <x:c r="AG777" s="21" t="n">
        <x:f>SUM(J777:O777)</x:f>
        <x:v>43</x:v>
      </x:c>
      <x:c r="AH777" s="17" t="n">
        <x:f>SUM(Q777:S777)</x:f>
        <x:v>4</x:v>
      </x:c>
      <x:c r="AI777" s="17" t="n">
        <x:f>SUM(U777:Y777)</x:f>
        <x:v>0</x:v>
      </x:c>
      <x:c r="AJ777" s="17" t="str">
        <x:f>IF(AE777&lt;=34,"≤34",IF(AE777&lt;=44,"35–44",IF(AE777&lt;=54,"45–54",IF(AE777&lt;=64,"55–64","65+"))))</x:f>
        <x:v>55–64</x:v>
      </x:c>
      <x:c r="AK777" s="17" t="str">
        <x:f>IF(AG777&gt;=1000,"High Value",IF(AG777&gt;=300,"Mid Value","Low Value"))</x:f>
        <x:v>Low Value</x:v>
      </x:c>
      <x:c r="AL777" s="17" t="str">
        <x:f>IF(AND(AI777&gt;=1,I777&lt;=50),"Priority 1",IF(AND(AG777&gt;=1000,I777&lt;=60),"Priority 2",IF(I777&lt;=30,"Priority 3","Nurture")))</x:f>
        <x:v>Nurture</x:v>
      </x:c>
    </x:row>
    <x:row r="778">
      <x:c r="A778" s="16" t="n">
        <x:v>10736</x:v>
      </x:c>
      <x:c r="B778" s="16" t="n">
        <x:v>1971</x:v>
      </x:c>
      <x:c r="C778" s="16" t="str">
        <x:v>Graduation</x:v>
      </x:c>
      <x:c r="D778" s="16" t="str">
        <x:v>Single</x:v>
      </x:c>
      <x:c r="E778" s="16" t="n">
        <x:v>72258</x:v>
      </x:c>
      <x:c r="F778" s="16" t="n">
        <x:v>0</x:v>
      </x:c>
      <x:c r="G778" s="16" t="n">
        <x:v>1</x:v>
      </x:c>
      <x:c r="H778" s="16" t="str">
        <x:v>12-09-2013</x:v>
      </x:c>
      <x:c r="I778" s="16" t="n">
        <x:v>28</x:v>
      </x:c>
      <x:c r="J778" s="16" t="n">
        <x:v>522</x:v>
      </x:c>
      <x:c r="K778" s="16" t="n">
        <x:v>0</x:v>
      </x:c>
      <x:c r="L778" s="16" t="n">
        <x:v>522</x:v>
      </x:c>
      <x:c r="M778" s="16" t="n">
        <x:v>227</x:v>
      </x:c>
      <x:c r="N778" s="16" t="n">
        <x:v>120</x:v>
      </x:c>
      <x:c r="O778" s="16" t="n">
        <x:v>134</x:v>
      </x:c>
      <x:c r="P778" s="16" t="n">
        <x:v>2</x:v>
      </x:c>
      <x:c r="Q778" s="16" t="n">
        <x:v>6</x:v>
      </x:c>
      <x:c r="R778" s="16" t="n">
        <x:v>9</x:v>
      </x:c>
      <x:c r="S778" s="16" t="n">
        <x:v>5</x:v>
      </x:c>
      <x:c r="T778" s="16" t="n">
        <x:v>2</x:v>
      </x:c>
      <x:c r="U778" s="16" t="n">
        <x:v>0</x:v>
      </x:c>
      <x:c r="V778" s="16" t="n">
        <x:v>0</x:v>
      </x:c>
      <x:c r="W778" s="16" t="n">
        <x:v>0</x:v>
      </x:c>
      <x:c r="X778" s="16" t="n">
        <x:v>0</x:v>
      </x:c>
      <x:c r="Y778" s="16" t="n">
        <x:v>0</x:v>
      </x:c>
      <x:c r="Z778" s="16" t="n">
        <x:v>0</x:v>
      </x:c>
      <x:c r="AA778" s="16" t="n">
        <x:v>3</x:v>
      </x:c>
      <x:c r="AB778" s="16" t="n">
        <x:v>11</x:v>
      </x:c>
      <x:c r="AC778" s="16" t="n">
        <x:v>0</x:v>
      </x:c>
      <x:c r="AD778" s="21" t="n">
        <x:f>IF(E778="",MEDIAN($E$2:$E$2237),E778)</x:f>
        <x:v>72258</x:v>
      </x:c>
      <x:c r="AE778" s="17" t="n">
        <x:f>2014-B778</x:f>
        <x:v>43</x:v>
      </x:c>
      <x:c r="AF778" s="17" t="n">
        <x:f>F778+G778</x:f>
        <x:v>1</x:v>
      </x:c>
      <x:c r="AG778" s="21" t="n">
        <x:f>SUM(J778:O778)</x:f>
        <x:v>1525</x:v>
      </x:c>
      <x:c r="AH778" s="17" t="n">
        <x:f>SUM(Q778:S778)</x:f>
        <x:v>20</x:v>
      </x:c>
      <x:c r="AI778" s="17" t="n">
        <x:f>SUM(U778:Y778)</x:f>
        <x:v>0</x:v>
      </x:c>
      <x:c r="AJ778" s="17" t="str">
        <x:f>IF(AE778&lt;=34,"≤34",IF(AE778&lt;=44,"35–44",IF(AE778&lt;=54,"45–54",IF(AE778&lt;=64,"55–64","65+"))))</x:f>
        <x:v>35–44</x:v>
      </x:c>
      <x:c r="AK778" s="17" t="str">
        <x:f>IF(AG778&gt;=1000,"High Value",IF(AG778&gt;=300,"Mid Value","Low Value"))</x:f>
        <x:v>High Value</x:v>
      </x:c>
      <x:c r="AL778" s="17" t="str">
        <x:f>IF(AND(AI778&gt;=1,I778&lt;=50),"Priority 1",IF(AND(AG778&gt;=1000,I778&lt;=60),"Priority 2",IF(I778&lt;=30,"Priority 3","Nurture")))</x:f>
        <x:v>Priority 2</x:v>
      </x:c>
    </x:row>
    <x:row r="779">
      <x:c r="A779" s="16" t="n">
        <x:v>3194</x:v>
      </x:c>
      <x:c r="B779" s="16" t="n">
        <x:v>1974</x:v>
      </x:c>
      <x:c r="C779" s="16" t="str">
        <x:v>PhD</x:v>
      </x:c>
      <x:c r="D779" s="16" t="str">
        <x:v>Single</x:v>
      </x:c>
      <x:c r="E779" s="16" t="n">
        <x:v>71466</x:v>
      </x:c>
      <x:c r="F779" s="16" t="n">
        <x:v>0</x:v>
      </x:c>
      <x:c r="G779" s="16" t="n">
        <x:v>0</x:v>
      </x:c>
      <x:c r="H779" s="16" t="str">
        <x:v>05-04-2014</x:v>
      </x:c>
      <x:c r="I779" s="16" t="n">
        <x:v>86</x:v>
      </x:c>
      <x:c r="J779" s="16" t="n">
        <x:v>412</x:v>
      </x:c>
      <x:c r="K779" s="16" t="n">
        <x:v>12</x:v>
      </x:c>
      <x:c r="L779" s="16" t="n">
        <x:v>546</x:v>
      </x:c>
      <x:c r="M779" s="16" t="n">
        <x:v>78</x:v>
      </x:c>
      <x:c r="N779" s="16" t="n">
        <x:v>182</x:v>
      </x:c>
      <x:c r="O779" s="16" t="n">
        <x:v>0</x:v>
      </x:c>
      <x:c r="P779" s="16" t="n">
        <x:v>1</x:v>
      </x:c>
      <x:c r="Q779" s="16" t="n">
        <x:v>4</x:v>
      </x:c>
      <x:c r="R779" s="16" t="n">
        <x:v>4</x:v>
      </x:c>
      <x:c r="S779" s="16" t="n">
        <x:v>10</x:v>
      </x:c>
      <x:c r="T779" s="16" t="n">
        <x:v>1</x:v>
      </x:c>
      <x:c r="U779" s="16" t="n">
        <x:v>0</x:v>
      </x:c>
      <x:c r="V779" s="16" t="n">
        <x:v>0</x:v>
      </x:c>
      <x:c r="W779" s="16" t="n">
        <x:v>0</x:v>
      </x:c>
      <x:c r="X779" s="16" t="n">
        <x:v>0</x:v>
      </x:c>
      <x:c r="Y779" s="16" t="n">
        <x:v>0</x:v>
      </x:c>
      <x:c r="Z779" s="16" t="n">
        <x:v>0</x:v>
      </x:c>
      <x:c r="AA779" s="16" t="n">
        <x:v>3</x:v>
      </x:c>
      <x:c r="AB779" s="16" t="n">
        <x:v>11</x:v>
      </x:c>
      <x:c r="AC779" s="16" t="n">
        <x:v>0</x:v>
      </x:c>
      <x:c r="AD779" s="21" t="n">
        <x:f>IF(E779="",MEDIAN($E$2:$E$2237),E779)</x:f>
        <x:v>71466</x:v>
      </x:c>
      <x:c r="AE779" s="17" t="n">
        <x:f>2014-B779</x:f>
        <x:v>40</x:v>
      </x:c>
      <x:c r="AF779" s="17" t="n">
        <x:f>F779+G779</x:f>
        <x:v>0</x:v>
      </x:c>
      <x:c r="AG779" s="21" t="n">
        <x:f>SUM(J779:O779)</x:f>
        <x:v>1230</x:v>
      </x:c>
      <x:c r="AH779" s="17" t="n">
        <x:f>SUM(Q779:S779)</x:f>
        <x:v>18</x:v>
      </x:c>
      <x:c r="AI779" s="17" t="n">
        <x:f>SUM(U779:Y779)</x:f>
        <x:v>0</x:v>
      </x:c>
      <x:c r="AJ779" s="17" t="str">
        <x:f>IF(AE779&lt;=34,"≤34",IF(AE779&lt;=44,"35–44",IF(AE779&lt;=54,"45–54",IF(AE779&lt;=64,"55–64","65+"))))</x:f>
        <x:v>35–44</x:v>
      </x:c>
      <x:c r="AK779" s="17" t="str">
        <x:f>IF(AG779&gt;=1000,"High Value",IF(AG779&gt;=300,"Mid Value","Low Value"))</x:f>
        <x:v>High Value</x:v>
      </x:c>
      <x:c r="AL779" s="17" t="str">
        <x:f>IF(AND(AI779&gt;=1,I779&lt;=50),"Priority 1",IF(AND(AG779&gt;=1000,I779&lt;=60),"Priority 2",IF(I779&lt;=30,"Priority 3","Nurture")))</x:f>
        <x:v>Nurture</x:v>
      </x:c>
    </x:row>
    <x:row r="780">
      <x:c r="A780" s="16" t="n">
        <x:v>10839</x:v>
      </x:c>
      <x:c r="B780" s="16" t="n">
        <x:v>1976</x:v>
      </x:c>
      <x:c r="C780" s="16" t="str">
        <x:v>Graduation</x:v>
      </x:c>
      <x:c r="D780" s="16" t="str">
        <x:v>Together</x:v>
      </x:c>
      <x:c r="E780" s="16" t="n">
        <x:v>36283</x:v>
      </x:c>
      <x:c r="F780" s="16" t="n">
        <x:v>1</x:v>
      </x:c>
      <x:c r="G780" s="16" t="n">
        <x:v>1</x:v>
      </x:c>
      <x:c r="H780" s="16" t="str">
        <x:v>14-04-2014</x:v>
      </x:c>
      <x:c r="I780" s="16" t="n">
        <x:v>42</x:v>
      </x:c>
      <x:c r="J780" s="16" t="n">
        <x:v>6</x:v>
      </x:c>
      <x:c r="K780" s="16" t="n">
        <x:v>5</x:v>
      </x:c>
      <x:c r="L780" s="16" t="n">
        <x:v>5</x:v>
      </x:c>
      <x:c r="M780" s="16" t="n">
        <x:v>8</x:v>
      </x:c>
      <x:c r="N780" s="16" t="n">
        <x:v>0</x:v>
      </x:c>
      <x:c r="O780" s="16" t="n">
        <x:v>5</x:v>
      </x:c>
      <x:c r="P780" s="16" t="n">
        <x:v>2</x:v>
      </x:c>
      <x:c r="Q780" s="16" t="n">
        <x:v>1</x:v>
      </x:c>
      <x:c r="R780" s="16" t="n">
        <x:v>0</x:v>
      </x:c>
      <x:c r="S780" s="16" t="n">
        <x:v>3</x:v>
      </x:c>
      <x:c r="T780" s="16" t="n">
        <x:v>4</x:v>
      </x:c>
      <x:c r="U780" s="16" t="n">
        <x:v>0</x:v>
      </x:c>
      <x:c r="V780" s="16" t="n">
        <x:v>0</x:v>
      </x:c>
      <x:c r="W780" s="16" t="n">
        <x:v>0</x:v>
      </x:c>
      <x:c r="X780" s="16" t="n">
        <x:v>0</x:v>
      </x:c>
      <x:c r="Y780" s="16" t="n">
        <x:v>0</x:v>
      </x:c>
      <x:c r="Z780" s="16" t="n">
        <x:v>0</x:v>
      </x:c>
      <x:c r="AA780" s="16" t="n">
        <x:v>3</x:v>
      </x:c>
      <x:c r="AB780" s="16" t="n">
        <x:v>11</x:v>
      </x:c>
      <x:c r="AC780" s="16" t="n">
        <x:v>0</x:v>
      </x:c>
      <x:c r="AD780" s="21" t="n">
        <x:f>IF(E780="",MEDIAN($E$2:$E$2237),E780)</x:f>
        <x:v>36283</x:v>
      </x:c>
      <x:c r="AE780" s="17" t="n">
        <x:f>2014-B780</x:f>
        <x:v>38</x:v>
      </x:c>
      <x:c r="AF780" s="17" t="n">
        <x:f>F780+G780</x:f>
        <x:v>2</x:v>
      </x:c>
      <x:c r="AG780" s="21" t="n">
        <x:f>SUM(J780:O780)</x:f>
        <x:v>29</x:v>
      </x:c>
      <x:c r="AH780" s="17" t="n">
        <x:f>SUM(Q780:S780)</x:f>
        <x:v>4</x:v>
      </x:c>
      <x:c r="AI780" s="17" t="n">
        <x:f>SUM(U780:Y780)</x:f>
        <x:v>0</x:v>
      </x:c>
      <x:c r="AJ780" s="17" t="str">
        <x:f>IF(AE780&lt;=34,"≤34",IF(AE780&lt;=44,"35–44",IF(AE780&lt;=54,"45–54",IF(AE780&lt;=64,"55–64","65+"))))</x:f>
        <x:v>35–44</x:v>
      </x:c>
      <x:c r="AK780" s="17" t="str">
        <x:f>IF(AG780&gt;=1000,"High Value",IF(AG780&gt;=300,"Mid Value","Low Value"))</x:f>
        <x:v>Low Value</x:v>
      </x:c>
      <x:c r="AL780" s="17" t="str">
        <x:f>IF(AND(AI780&gt;=1,I780&lt;=50),"Priority 1",IF(AND(AG780&gt;=1000,I780&lt;=60),"Priority 2",IF(I780&lt;=30,"Priority 3","Nurture")))</x:f>
        <x:v>Nurture</x:v>
      </x:c>
    </x:row>
    <x:row r="781">
      <x:c r="A781" s="16" t="n">
        <x:v>49</x:v>
      </x:c>
      <x:c r="B781" s="16" t="n">
        <x:v>1970</x:v>
      </x:c>
      <x:c r="C781" s="16" t="str">
        <x:v>Graduation</x:v>
      </x:c>
      <x:c r="D781" s="16" t="str">
        <x:v>Single</x:v>
      </x:c>
      <x:c r="E781" s="16" t="n">
        <x:v>20587</x:v>
      </x:c>
      <x:c r="F781" s="16" t="n">
        <x:v>1</x:v>
      </x:c>
      <x:c r="G781" s="16" t="n">
        <x:v>0</x:v>
      </x:c>
      <x:c r="H781" s="16" t="str">
        <x:v>11-05-2014</x:v>
      </x:c>
      <x:c r="I781" s="16" t="n">
        <x:v>39</x:v>
      </x:c>
      <x:c r="J781" s="16" t="n">
        <x:v>2</x:v>
      </x:c>
      <x:c r="K781" s="16" t="n">
        <x:v>3</x:v>
      </x:c>
      <x:c r="L781" s="16" t="n">
        <x:v>6</x:v>
      </x:c>
      <x:c r="M781" s="16" t="n">
        <x:v>4</x:v>
      </x:c>
      <x:c r="N781" s="16" t="n">
        <x:v>1</x:v>
      </x:c>
      <x:c r="O781" s="16" t="n">
        <x:v>9</x:v>
      </x:c>
      <x:c r="P781" s="16" t="n">
        <x:v>1</x:v>
      </x:c>
      <x:c r="Q781" s="16" t="n">
        <x:v>1</x:v>
      </x:c>
      <x:c r="R781" s="16" t="n">
        <x:v>1</x:v>
      </x:c>
      <x:c r="S781" s="16" t="n">
        <x:v>2</x:v>
      </x:c>
      <x:c r="T781" s="16" t="n">
        <x:v>7</x:v>
      </x:c>
      <x:c r="U781" s="16" t="n">
        <x:v>0</x:v>
      </x:c>
      <x:c r="V781" s="16" t="n">
        <x:v>0</x:v>
      </x:c>
      <x:c r="W781" s="16" t="n">
        <x:v>0</x:v>
      </x:c>
      <x:c r="X781" s="16" t="n">
        <x:v>0</x:v>
      </x:c>
      <x:c r="Y781" s="16" t="n">
        <x:v>0</x:v>
      </x:c>
      <x:c r="Z781" s="16" t="n">
        <x:v>0</x:v>
      </x:c>
      <x:c r="AA781" s="16" t="n">
        <x:v>3</x:v>
      </x:c>
      <x:c r="AB781" s="16" t="n">
        <x:v>11</x:v>
      </x:c>
      <x:c r="AC781" s="16" t="n">
        <x:v>0</x:v>
      </x:c>
      <x:c r="AD781" s="21" t="n">
        <x:f>IF(E781="",MEDIAN($E$2:$E$2237),E781)</x:f>
        <x:v>20587</x:v>
      </x:c>
      <x:c r="AE781" s="17" t="n">
        <x:f>2014-B781</x:f>
        <x:v>44</x:v>
      </x:c>
      <x:c r="AF781" s="17" t="n">
        <x:f>F781+G781</x:f>
        <x:v>1</x:v>
      </x:c>
      <x:c r="AG781" s="21" t="n">
        <x:f>SUM(J781:O781)</x:f>
        <x:v>25</x:v>
      </x:c>
      <x:c r="AH781" s="17" t="n">
        <x:f>SUM(Q781:S781)</x:f>
        <x:v>4</x:v>
      </x:c>
      <x:c r="AI781" s="17" t="n">
        <x:f>SUM(U781:Y781)</x:f>
        <x:v>0</x:v>
      </x:c>
      <x:c r="AJ781" s="17" t="str">
        <x:f>IF(AE781&lt;=34,"≤34",IF(AE781&lt;=44,"35–44",IF(AE781&lt;=54,"45–54",IF(AE781&lt;=64,"55–64","65+"))))</x:f>
        <x:v>35–44</x:v>
      </x:c>
      <x:c r="AK781" s="17" t="str">
        <x:f>IF(AG781&gt;=1000,"High Value",IF(AG781&gt;=300,"Mid Value","Low Value"))</x:f>
        <x:v>Low Value</x:v>
      </x:c>
      <x:c r="AL781" s="17" t="str">
        <x:f>IF(AND(AI781&gt;=1,I781&lt;=50),"Priority 1",IF(AND(AG781&gt;=1000,I781&lt;=60),"Priority 2",IF(I781&lt;=30,"Priority 3","Nurture")))</x:f>
        <x:v>Nurture</x:v>
      </x:c>
    </x:row>
    <x:row r="782">
      <x:c r="A782" s="16" t="n">
        <x:v>4290</x:v>
      </x:c>
      <x:c r="B782" s="16" t="n">
        <x:v>1972</x:v>
      </x:c>
      <x:c r="C782" s="16" t="str">
        <x:v>Graduation</x:v>
      </x:c>
      <x:c r="D782" s="16" t="str">
        <x:v>Married</x:v>
      </x:c>
      <x:c r="E782" s="16" t="n">
        <x:v>30467</x:v>
      </x:c>
      <x:c r="F782" s="16" t="n">
        <x:v>1</x:v>
      </x:c>
      <x:c r="G782" s="16" t="n">
        <x:v>0</x:v>
      </x:c>
      <x:c r="H782" s="16" t="str">
        <x:v>19-03-2014</x:v>
      </x:c>
      <x:c r="I782" s="16" t="n">
        <x:v>8</x:v>
      </x:c>
      <x:c r="J782" s="16" t="n">
        <x:v>1</x:v>
      </x:c>
      <x:c r="K782" s="16" t="n">
        <x:v>3</x:v>
      </x:c>
      <x:c r="L782" s="16" t="n">
        <x:v>8</x:v>
      </x:c>
      <x:c r="M782" s="16" t="n">
        <x:v>2</x:v>
      </x:c>
      <x:c r="N782" s="16" t="n">
        <x:v>5</x:v>
      </x:c>
      <x:c r="O782" s="16" t="n">
        <x:v>5</x:v>
      </x:c>
      <x:c r="P782" s="16" t="n">
        <x:v>1</x:v>
      </x:c>
      <x:c r="Q782" s="16" t="n">
        <x:v>1</x:v>
      </x:c>
      <x:c r="R782" s="16" t="n">
        <x:v>0</x:v>
      </x:c>
      <x:c r="S782" s="16" t="n">
        <x:v>2</x:v>
      </x:c>
      <x:c r="T782" s="16" t="n">
        <x:v>7</x:v>
      </x:c>
      <x:c r="U782" s="16" t="n">
        <x:v>0</x:v>
      </x:c>
      <x:c r="V782" s="16" t="n">
        <x:v>0</x:v>
      </x:c>
      <x:c r="W782" s="16" t="n">
        <x:v>0</x:v>
      </x:c>
      <x:c r="X782" s="16" t="n">
        <x:v>0</x:v>
      </x:c>
      <x:c r="Y782" s="16" t="n">
        <x:v>0</x:v>
      </x:c>
      <x:c r="Z782" s="16" t="n">
        <x:v>0</x:v>
      </x:c>
      <x:c r="AA782" s="16" t="n">
        <x:v>3</x:v>
      </x:c>
      <x:c r="AB782" s="16" t="n">
        <x:v>11</x:v>
      </x:c>
      <x:c r="AC782" s="16" t="n">
        <x:v>0</x:v>
      </x:c>
      <x:c r="AD782" s="21" t="n">
        <x:f>IF(E782="",MEDIAN($E$2:$E$2237),E782)</x:f>
        <x:v>30467</x:v>
      </x:c>
      <x:c r="AE782" s="17" t="n">
        <x:f>2014-B782</x:f>
        <x:v>42</x:v>
      </x:c>
      <x:c r="AF782" s="17" t="n">
        <x:f>F782+G782</x:f>
        <x:v>1</x:v>
      </x:c>
      <x:c r="AG782" s="21" t="n">
        <x:f>SUM(J782:O782)</x:f>
        <x:v>24</x:v>
      </x:c>
      <x:c r="AH782" s="17" t="n">
        <x:f>SUM(Q782:S782)</x:f>
        <x:v>3</x:v>
      </x:c>
      <x:c r="AI782" s="17" t="n">
        <x:f>SUM(U782:Y782)</x:f>
        <x:v>0</x:v>
      </x:c>
      <x:c r="AJ782" s="17" t="str">
        <x:f>IF(AE782&lt;=34,"≤34",IF(AE782&lt;=44,"35–44",IF(AE782&lt;=54,"45–54",IF(AE782&lt;=64,"55–64","65+"))))</x:f>
        <x:v>35–44</x:v>
      </x:c>
      <x:c r="AK782" s="17" t="str">
        <x:f>IF(AG782&gt;=1000,"High Value",IF(AG782&gt;=300,"Mid Value","Low Value"))</x:f>
        <x:v>Low Value</x:v>
      </x:c>
      <x:c r="AL782" s="17" t="str">
        <x:f>IF(AND(AI782&gt;=1,I782&lt;=50),"Priority 1",IF(AND(AG782&gt;=1000,I782&lt;=60),"Priority 2",IF(I782&lt;=30,"Priority 3","Nurture")))</x:f>
        <x:v>Priority 3</x:v>
      </x:c>
    </x:row>
    <x:row r="783">
      <x:c r="A783" s="16" t="n">
        <x:v>10219</x:v>
      </x:c>
      <x:c r="B783" s="16" t="n">
        <x:v>1972</x:v>
      </x:c>
      <x:c r="C783" s="16" t="str">
        <x:v>Graduation</x:v>
      </x:c>
      <x:c r="D783" s="16" t="str">
        <x:v>Together</x:v>
      </x:c>
      <x:c r="E783" s="16" t="n">
        <x:v>31590</x:v>
      </x:c>
      <x:c r="F783" s="16" t="n">
        <x:v>1</x:v>
      </x:c>
      <x:c r="G783" s="16" t="n">
        <x:v>0</x:v>
      </x:c>
      <x:c r="H783" s="16" t="str">
        <x:v>18-06-2013</x:v>
      </x:c>
      <x:c r="I783" s="16" t="n">
        <x:v>40</x:v>
      </x:c>
      <x:c r="J783" s="16" t="n">
        <x:v>6</x:v>
      </x:c>
      <x:c r="K783" s="16" t="n">
        <x:v>2</x:v>
      </x:c>
      <x:c r="L783" s="16" t="n">
        <x:v>15</x:v>
      </x:c>
      <x:c r="M783" s="16" t="n">
        <x:v>6</x:v>
      </x:c>
      <x:c r="N783" s="16" t="n">
        <x:v>6</x:v>
      </x:c>
      <x:c r="O783" s="16" t="n">
        <x:v>3</x:v>
      </x:c>
      <x:c r="P783" s="16" t="n">
        <x:v>1</x:v>
      </x:c>
      <x:c r="Q783" s="16" t="n">
        <x:v>1</x:v>
      </x:c>
      <x:c r="R783" s="16" t="n">
        <x:v>0</x:v>
      </x:c>
      <x:c r="S783" s="16" t="n">
        <x:v>3</x:v>
      </x:c>
      <x:c r="T783" s="16" t="n">
        <x:v>8</x:v>
      </x:c>
      <x:c r="U783" s="16" t="n">
        <x:v>0</x:v>
      </x:c>
      <x:c r="V783" s="16" t="n">
        <x:v>0</x:v>
      </x:c>
      <x:c r="W783" s="16" t="n">
        <x:v>0</x:v>
      </x:c>
      <x:c r="X783" s="16" t="n">
        <x:v>0</x:v>
      </x:c>
      <x:c r="Y783" s="16" t="n">
        <x:v>0</x:v>
      </x:c>
      <x:c r="Z783" s="16" t="n">
        <x:v>0</x:v>
      </x:c>
      <x:c r="AA783" s="16" t="n">
        <x:v>3</x:v>
      </x:c>
      <x:c r="AB783" s="16" t="n">
        <x:v>11</x:v>
      </x:c>
      <x:c r="AC783" s="16" t="n">
        <x:v>0</x:v>
      </x:c>
      <x:c r="AD783" s="21" t="n">
        <x:f>IF(E783="",MEDIAN($E$2:$E$2237),E783)</x:f>
        <x:v>31590</x:v>
      </x:c>
      <x:c r="AE783" s="17" t="n">
        <x:f>2014-B783</x:f>
        <x:v>42</x:v>
      </x:c>
      <x:c r="AF783" s="17" t="n">
        <x:f>F783+G783</x:f>
        <x:v>1</x:v>
      </x:c>
      <x:c r="AG783" s="21" t="n">
        <x:f>SUM(J783:O783)</x:f>
        <x:v>38</x:v>
      </x:c>
      <x:c r="AH783" s="17" t="n">
        <x:f>SUM(Q783:S783)</x:f>
        <x:v>4</x:v>
      </x:c>
      <x:c r="AI783" s="17" t="n">
        <x:f>SUM(U783:Y783)</x:f>
        <x:v>0</x:v>
      </x:c>
      <x:c r="AJ783" s="17" t="str">
        <x:f>IF(AE783&lt;=34,"≤34",IF(AE783&lt;=44,"35–44",IF(AE783&lt;=54,"45–54",IF(AE783&lt;=64,"55–64","65+"))))</x:f>
        <x:v>35–44</x:v>
      </x:c>
      <x:c r="AK783" s="17" t="str">
        <x:f>IF(AG783&gt;=1000,"High Value",IF(AG783&gt;=300,"Mid Value","Low Value"))</x:f>
        <x:v>Low Value</x:v>
      </x:c>
      <x:c r="AL783" s="17" t="str">
        <x:f>IF(AND(AI783&gt;=1,I783&lt;=50),"Priority 1",IF(AND(AG783&gt;=1000,I783&lt;=60),"Priority 2",IF(I783&lt;=30,"Priority 3","Nurture")))</x:f>
        <x:v>Nurture</x:v>
      </x:c>
    </x:row>
    <x:row r="784">
      <x:c r="A784" s="16" t="n">
        <x:v>4211</x:v>
      </x:c>
      <x:c r="B784" s="16" t="n">
        <x:v>1986</x:v>
      </x:c>
      <x:c r="C784" s="16" t="str">
        <x:v>Basic</x:v>
      </x:c>
      <x:c r="D784" s="16" t="str">
        <x:v>Married</x:v>
      </x:c>
      <x:c r="E784" s="16" t="n">
        <x:v>20425</x:v>
      </x:c>
      <x:c r="F784" s="16" t="n">
        <x:v>1</x:v>
      </x:c>
      <x:c r="G784" s="16" t="n">
        <x:v>0</x:v>
      </x:c>
      <x:c r="H784" s="16" t="str">
        <x:v>29-10-2012</x:v>
      </x:c>
      <x:c r="I784" s="16" t="n">
        <x:v>5</x:v>
      </x:c>
      <x:c r="J784" s="16" t="n">
        <x:v>4</x:v>
      </x:c>
      <x:c r="K784" s="16" t="n">
        <x:v>12</x:v>
      </x:c>
      <x:c r="L784" s="16" t="n">
        <x:v>5</x:v>
      </x:c>
      <x:c r="M784" s="16" t="n">
        <x:v>3</x:v>
      </x:c>
      <x:c r="N784" s="16" t="n">
        <x:v>16</x:v>
      </x:c>
      <x:c r="O784" s="16" t="n">
        <x:v>17</x:v>
      </x:c>
      <x:c r="P784" s="16" t="n">
        <x:v>2</x:v>
      </x:c>
      <x:c r="Q784" s="16" t="n">
        <x:v>2</x:v>
      </x:c>
      <x:c r="R784" s="16" t="n">
        <x:v>0</x:v>
      </x:c>
      <x:c r="S784" s="16" t="n">
        <x:v>3</x:v>
      </x:c>
      <x:c r="T784" s="16" t="n">
        <x:v>7</x:v>
      </x:c>
      <x:c r="U784" s="16" t="n">
        <x:v>0</x:v>
      </x:c>
      <x:c r="V784" s="16" t="n">
        <x:v>0</x:v>
      </x:c>
      <x:c r="W784" s="16" t="n">
        <x:v>0</x:v>
      </x:c>
      <x:c r="X784" s="16" t="n">
        <x:v>0</x:v>
      </x:c>
      <x:c r="Y784" s="16" t="n">
        <x:v>0</x:v>
      </x:c>
      <x:c r="Z784" s="16" t="n">
        <x:v>0</x:v>
      </x:c>
      <x:c r="AA784" s="16" t="n">
        <x:v>3</x:v>
      </x:c>
      <x:c r="AB784" s="16" t="n">
        <x:v>11</x:v>
      </x:c>
      <x:c r="AC784" s="16" t="n">
        <x:v>0</x:v>
      </x:c>
      <x:c r="AD784" s="21" t="n">
        <x:f>IF(E784="",MEDIAN($E$2:$E$2237),E784)</x:f>
        <x:v>20425</x:v>
      </x:c>
      <x:c r="AE784" s="17" t="n">
        <x:f>2014-B784</x:f>
        <x:v>28</x:v>
      </x:c>
      <x:c r="AF784" s="17" t="n">
        <x:f>F784+G784</x:f>
        <x:v>1</x:v>
      </x:c>
      <x:c r="AG784" s="21" t="n">
        <x:f>SUM(J784:O784)</x:f>
        <x:v>57</x:v>
      </x:c>
      <x:c r="AH784" s="17" t="n">
        <x:f>SUM(Q784:S784)</x:f>
        <x:v>5</x:v>
      </x:c>
      <x:c r="AI784" s="17" t="n">
        <x:f>SUM(U784:Y784)</x:f>
        <x:v>0</x:v>
      </x:c>
      <x:c r="AJ784" s="17" t="str">
        <x:f>IF(AE784&lt;=34,"≤34",IF(AE784&lt;=44,"35–44",IF(AE784&lt;=54,"45–54",IF(AE784&lt;=64,"55–64","65+"))))</x:f>
        <x:v>≤34</x:v>
      </x:c>
      <x:c r="AK784" s="17" t="str">
        <x:f>IF(AG784&gt;=1000,"High Value",IF(AG784&gt;=300,"Mid Value","Low Value"))</x:f>
        <x:v>Low Value</x:v>
      </x:c>
      <x:c r="AL784" s="17" t="str">
        <x:f>IF(AND(AI784&gt;=1,I784&lt;=50),"Priority 1",IF(AND(AG784&gt;=1000,I784&lt;=60),"Priority 2",IF(I784&lt;=30,"Priority 3","Nurture")))</x:f>
        <x:v>Priority 3</x:v>
      </x:c>
    </x:row>
    <x:row r="785">
      <x:c r="A785" s="16" t="n">
        <x:v>1135</x:v>
      </x:c>
      <x:c r="B785" s="16" t="n">
        <x:v>1960</x:v>
      </x:c>
      <x:c r="C785" s="16" t="str">
        <x:v>Master</x:v>
      </x:c>
      <x:c r="D785" s="16" t="str">
        <x:v>Together</x:v>
      </x:c>
      <x:c r="E785" s="16" t="n">
        <x:v>17144</x:v>
      </x:c>
      <x:c r="F785" s="16" t="n">
        <x:v>1</x:v>
      </x:c>
      <x:c r="G785" s="16" t="n">
        <x:v>1</x:v>
      </x:c>
      <x:c r="H785" s="16" t="str">
        <x:v>15-02-2014</x:v>
      </x:c>
      <x:c r="I785" s="16" t="n">
        <x:v>96</x:v>
      </x:c>
      <x:c r="J785" s="16" t="n">
        <x:v>18</x:v>
      </x:c>
      <x:c r="K785" s="16" t="n">
        <x:v>2</x:v>
      </x:c>
      <x:c r="L785" s="16" t="n">
        <x:v>19</x:v>
      </x:c>
      <x:c r="M785" s="16" t="n">
        <x:v>0</x:v>
      </x:c>
      <x:c r="N785" s="16" t="n">
        <x:v>2</x:v>
      </x:c>
      <x:c r="O785" s="16" t="n">
        <x:v>6</x:v>
      </x:c>
      <x:c r="P785" s="16" t="n">
        <x:v>5</x:v>
      </x:c>
      <x:c r="Q785" s="16" t="n">
        <x:v>3</x:v>
      </x:c>
      <x:c r="R785" s="16" t="n">
        <x:v>0</x:v>
      </x:c>
      <x:c r="S785" s="16" t="n">
        <x:v>4</x:v>
      </x:c>
      <x:c r="T785" s="16" t="n">
        <x:v>7</x:v>
      </x:c>
      <x:c r="U785" s="16" t="n">
        <x:v>0</x:v>
      </x:c>
      <x:c r="V785" s="16" t="n">
        <x:v>0</x:v>
      </x:c>
      <x:c r="W785" s="16" t="n">
        <x:v>0</x:v>
      </x:c>
      <x:c r="X785" s="16" t="n">
        <x:v>0</x:v>
      </x:c>
      <x:c r="Y785" s="16" t="n">
        <x:v>0</x:v>
      </x:c>
      <x:c r="Z785" s="16" t="n">
        <x:v>0</x:v>
      </x:c>
      <x:c r="AA785" s="16" t="n">
        <x:v>3</x:v>
      </x:c>
      <x:c r="AB785" s="16" t="n">
        <x:v>11</x:v>
      </x:c>
      <x:c r="AC785" s="16" t="n">
        <x:v>0</x:v>
      </x:c>
      <x:c r="AD785" s="21" t="n">
        <x:f>IF(E785="",MEDIAN($E$2:$E$2237),E785)</x:f>
        <x:v>17144</x:v>
      </x:c>
      <x:c r="AE785" s="17" t="n">
        <x:f>2014-B785</x:f>
        <x:v>54</x:v>
      </x:c>
      <x:c r="AF785" s="17" t="n">
        <x:f>F785+G785</x:f>
        <x:v>2</x:v>
      </x:c>
      <x:c r="AG785" s="21" t="n">
        <x:f>SUM(J785:O785)</x:f>
        <x:v>47</x:v>
      </x:c>
      <x:c r="AH785" s="17" t="n">
        <x:f>SUM(Q785:S785)</x:f>
        <x:v>7</x:v>
      </x:c>
      <x:c r="AI785" s="17" t="n">
        <x:f>SUM(U785:Y785)</x:f>
        <x:v>0</x:v>
      </x:c>
      <x:c r="AJ785" s="17" t="str">
        <x:f>IF(AE785&lt;=34,"≤34",IF(AE785&lt;=44,"35–44",IF(AE785&lt;=54,"45–54",IF(AE785&lt;=64,"55–64","65+"))))</x:f>
        <x:v>45–54</x:v>
      </x:c>
      <x:c r="AK785" s="17" t="str">
        <x:f>IF(AG785&gt;=1000,"High Value",IF(AG785&gt;=300,"Mid Value","Low Value"))</x:f>
        <x:v>Low Value</x:v>
      </x:c>
      <x:c r="AL785" s="17" t="str">
        <x:f>IF(AND(AI785&gt;=1,I785&lt;=50),"Priority 1",IF(AND(AG785&gt;=1000,I785&lt;=60),"Priority 2",IF(I785&lt;=30,"Priority 3","Nurture")))</x:f>
        <x:v>Nurture</x:v>
      </x:c>
    </x:row>
    <x:row r="786">
      <x:c r="A786" s="16" t="n">
        <x:v>6299</x:v>
      </x:c>
      <x:c r="B786" s="16" t="n">
        <x:v>1968</x:v>
      </x:c>
      <x:c r="C786" s="16" t="str">
        <x:v>PhD</x:v>
      </x:c>
      <x:c r="D786" s="16" t="str">
        <x:v>Divorced</x:v>
      </x:c>
      <x:c r="E786" s="16" t="n">
        <x:v>42564</x:v>
      </x:c>
      <x:c r="F786" s="16" t="n">
        <x:v>0</x:v>
      </x:c>
      <x:c r="G786" s="16" t="n">
        <x:v>1</x:v>
      </x:c>
      <x:c r="H786" s="16" t="str">
        <x:v>02-01-2013</x:v>
      </x:c>
      <x:c r="I786" s="16" t="n">
        <x:v>28</x:v>
      </x:c>
      <x:c r="J786" s="16" t="n">
        <x:v>324</x:v>
      </x:c>
      <x:c r="K786" s="16" t="n">
        <x:v>48</x:v>
      </x:c>
      <x:c r="L786" s="16" t="n">
        <x:v>186</x:v>
      </x:c>
      <x:c r="M786" s="16" t="n">
        <x:v>39</x:v>
      </x:c>
      <x:c r="N786" s="16" t="n">
        <x:v>18</x:v>
      </x:c>
      <x:c r="O786" s="16" t="n">
        <x:v>198</x:v>
      </x:c>
      <x:c r="P786" s="16" t="n">
        <x:v>6</x:v>
      </x:c>
      <x:c r="Q786" s="16" t="n">
        <x:v>6</x:v>
      </x:c>
      <x:c r="R786" s="16" t="n">
        <x:v>8</x:v>
      </x:c>
      <x:c r="S786" s="16" t="n">
        <x:v>4</x:v>
      </x:c>
      <x:c r="T786" s="16" t="n">
        <x:v>7</x:v>
      </x:c>
      <x:c r="U786" s="16" t="n">
        <x:v>1</x:v>
      </x:c>
      <x:c r="V786" s="16" t="n">
        <x:v>0</x:v>
      </x:c>
      <x:c r="W786" s="16" t="n">
        <x:v>0</x:v>
      </x:c>
      <x:c r="X786" s="16" t="n">
        <x:v>0</x:v>
      </x:c>
      <x:c r="Y786" s="16" t="n">
        <x:v>0</x:v>
      </x:c>
      <x:c r="Z786" s="16" t="n">
        <x:v>0</x:v>
      </x:c>
      <x:c r="AA786" s="16" t="n">
        <x:v>3</x:v>
      </x:c>
      <x:c r="AB786" s="16" t="n">
        <x:v>11</x:v>
      </x:c>
      <x:c r="AC786" s="16" t="n">
        <x:v>1</x:v>
      </x:c>
      <x:c r="AD786" s="21" t="n">
        <x:f>IF(E786="",MEDIAN($E$2:$E$2237),E786)</x:f>
        <x:v>42564</x:v>
      </x:c>
      <x:c r="AE786" s="17" t="n">
        <x:f>2014-B786</x:f>
        <x:v>46</x:v>
      </x:c>
      <x:c r="AF786" s="17" t="n">
        <x:f>F786+G786</x:f>
        <x:v>1</x:v>
      </x:c>
      <x:c r="AG786" s="21" t="n">
        <x:f>SUM(J786:O786)</x:f>
        <x:v>813</x:v>
      </x:c>
      <x:c r="AH786" s="17" t="n">
        <x:f>SUM(Q786:S786)</x:f>
        <x:v>18</x:v>
      </x:c>
      <x:c r="AI786" s="17" t="n">
        <x:f>SUM(U786:Y786)</x:f>
        <x:v>1</x:v>
      </x:c>
      <x:c r="AJ786" s="17" t="str">
        <x:f>IF(AE786&lt;=34,"≤34",IF(AE786&lt;=44,"35–44",IF(AE786&lt;=54,"45–54",IF(AE786&lt;=64,"55–64","65+"))))</x:f>
        <x:v>45–54</x:v>
      </x:c>
      <x:c r="AK786" s="17" t="str">
        <x:f>IF(AG786&gt;=1000,"High Value",IF(AG786&gt;=300,"Mid Value","Low Value"))</x:f>
        <x:v>Mid Value</x:v>
      </x:c>
      <x:c r="AL786" s="17" t="str">
        <x:f>IF(AND(AI786&gt;=1,I786&lt;=50),"Priority 1",IF(AND(AG786&gt;=1000,I786&lt;=60),"Priority 2",IF(I786&lt;=30,"Priority 3","Nurture")))</x:f>
        <x:v>Priority 1</x:v>
      </x:c>
    </x:row>
    <x:row r="787">
      <x:c r="A787" s="16" t="n">
        <x:v>10846</x:v>
      </x:c>
      <x:c r="B787" s="16" t="n">
        <x:v>1978</x:v>
      </x:c>
      <x:c r="C787" s="16" t="str">
        <x:v>Master</x:v>
      </x:c>
      <x:c r="D787" s="16" t="str">
        <x:v>Married</x:v>
      </x:c>
      <x:c r="E787" s="16" t="n">
        <x:v>43783</x:v>
      </x:c>
      <x:c r="F787" s="16" t="n">
        <x:v>1</x:v>
      </x:c>
      <x:c r="G787" s="16" t="n">
        <x:v>0</x:v>
      </x:c>
      <x:c r="H787" s="16" t="str">
        <x:v>29-05-2014</x:v>
      </x:c>
      <x:c r="I787" s="16" t="n">
        <x:v>22</x:v>
      </x:c>
      <x:c r="J787" s="16" t="n">
        <x:v>327</x:v>
      </x:c>
      <x:c r="K787" s="16" t="n">
        <x:v>9</x:v>
      </x:c>
      <x:c r="L787" s="16" t="n">
        <x:v>125</x:v>
      </x:c>
      <x:c r="M787" s="16" t="n">
        <x:v>25</x:v>
      </x:c>
      <x:c r="N787" s="16" t="n">
        <x:v>4</x:v>
      </x:c>
      <x:c r="O787" s="16" t="n">
        <x:v>139</x:v>
      </x:c>
      <x:c r="P787" s="16" t="n">
        <x:v>6</x:v>
      </x:c>
      <x:c r="Q787" s="16" t="n">
        <x:v>7</x:v>
      </x:c>
      <x:c r="R787" s="16" t="n">
        <x:v>1</x:v>
      </x:c>
      <x:c r="S787" s="16" t="n">
        <x:v>8</x:v>
      </x:c>
      <x:c r="T787" s="16" t="n">
        <x:v>7</x:v>
      </x:c>
      <x:c r="U787" s="16" t="n">
        <x:v>1</x:v>
      </x:c>
      <x:c r="V787" s="16" t="n">
        <x:v>0</x:v>
      </x:c>
      <x:c r="W787" s="16" t="n">
        <x:v>0</x:v>
      </x:c>
      <x:c r="X787" s="16" t="n">
        <x:v>0</x:v>
      </x:c>
      <x:c r="Y787" s="16" t="n">
        <x:v>0</x:v>
      </x:c>
      <x:c r="Z787" s="16" t="n">
        <x:v>0</x:v>
      </x:c>
      <x:c r="AA787" s="16" t="n">
        <x:v>3</x:v>
      </x:c>
      <x:c r="AB787" s="16" t="n">
        <x:v>11</x:v>
      </x:c>
      <x:c r="AC787" s="16" t="n">
        <x:v>0</x:v>
      </x:c>
      <x:c r="AD787" s="21" t="n">
        <x:f>IF(E787="",MEDIAN($E$2:$E$2237),E787)</x:f>
        <x:v>43783</x:v>
      </x:c>
      <x:c r="AE787" s="17" t="n">
        <x:f>2014-B787</x:f>
        <x:v>36</x:v>
      </x:c>
      <x:c r="AF787" s="17" t="n">
        <x:f>F787+G787</x:f>
        <x:v>1</x:v>
      </x:c>
      <x:c r="AG787" s="21" t="n">
        <x:f>SUM(J787:O787)</x:f>
        <x:v>629</x:v>
      </x:c>
      <x:c r="AH787" s="17" t="n">
        <x:f>SUM(Q787:S787)</x:f>
        <x:v>16</x:v>
      </x:c>
      <x:c r="AI787" s="17" t="n">
        <x:f>SUM(U787:Y787)</x:f>
        <x:v>1</x:v>
      </x:c>
      <x:c r="AJ787" s="17" t="str">
        <x:f>IF(AE787&lt;=34,"≤34",IF(AE787&lt;=44,"35–44",IF(AE787&lt;=54,"45–54",IF(AE787&lt;=64,"55–64","65+"))))</x:f>
        <x:v>35–44</x:v>
      </x:c>
      <x:c r="AK787" s="17" t="str">
        <x:f>IF(AG787&gt;=1000,"High Value",IF(AG787&gt;=300,"Mid Value","Low Value"))</x:f>
        <x:v>Mid Value</x:v>
      </x:c>
      <x:c r="AL787" s="17" t="str">
        <x:f>IF(AND(AI787&gt;=1,I787&lt;=50),"Priority 1",IF(AND(AG787&gt;=1000,I787&lt;=60),"Priority 2",IF(I787&lt;=30,"Priority 3","Nurture")))</x:f>
        <x:v>Priority 1</x:v>
      </x:c>
    </x:row>
    <x:row r="788">
      <x:c r="A788" s="16" t="n">
        <x:v>347</x:v>
      </x:c>
      <x:c r="B788" s="16" t="n">
        <x:v>1976</x:v>
      </x:c>
      <x:c r="C788" s="16" t="str">
        <x:v>Graduation</x:v>
      </x:c>
      <x:c r="D788" s="16" t="str">
        <x:v>Divorced</x:v>
      </x:c>
      <x:c r="E788" s="16" t="n">
        <x:v>40780</x:v>
      </x:c>
      <x:c r="F788" s="16" t="n">
        <x:v>0</x:v>
      </x:c>
      <x:c r="G788" s="16" t="n">
        <x:v>1</x:v>
      </x:c>
      <x:c r="H788" s="16" t="str">
        <x:v>08-09-2012</x:v>
      </x:c>
      <x:c r="I788" s="16" t="n">
        <x:v>30</x:v>
      </x:c>
      <x:c r="J788" s="16" t="n">
        <x:v>229</x:v>
      </x:c>
      <x:c r="K788" s="16" t="n">
        <x:v>27</x:v>
      </x:c>
      <x:c r="L788" s="16" t="n">
        <x:v>71</x:v>
      </x:c>
      <x:c r="M788" s="16" t="n">
        <x:v>13</x:v>
      </x:c>
      <x:c r="N788" s="16" t="n">
        <x:v>3</x:v>
      </x:c>
      <x:c r="O788" s="16" t="n">
        <x:v>34</x:v>
      </x:c>
      <x:c r="P788" s="16" t="n">
        <x:v>4</x:v>
      </x:c>
      <x:c r="Q788" s="16" t="n">
        <x:v>7</x:v>
      </x:c>
      <x:c r="R788" s="16" t="n">
        <x:v>1</x:v>
      </x:c>
      <x:c r="S788" s="16" t="n">
        <x:v>5</x:v>
      </x:c>
      <x:c r="T788" s="16" t="n">
        <x:v>9</x:v>
      </x:c>
      <x:c r="U788" s="16" t="n">
        <x:v>0</x:v>
      </x:c>
      <x:c r="V788" s="16" t="n">
        <x:v>0</x:v>
      </x:c>
      <x:c r="W788" s="16" t="n">
        <x:v>0</x:v>
      </x:c>
      <x:c r="X788" s="16" t="n">
        <x:v>0</x:v>
      </x:c>
      <x:c r="Y788" s="16" t="n">
        <x:v>0</x:v>
      </x:c>
      <x:c r="Z788" s="16" t="n">
        <x:v>0</x:v>
      </x:c>
      <x:c r="AA788" s="16" t="n">
        <x:v>3</x:v>
      </x:c>
      <x:c r="AB788" s="16" t="n">
        <x:v>11</x:v>
      </x:c>
      <x:c r="AC788" s="16" t="n">
        <x:v>0</x:v>
      </x:c>
      <x:c r="AD788" s="21" t="n">
        <x:f>IF(E788="",MEDIAN($E$2:$E$2237),E788)</x:f>
        <x:v>40780</x:v>
      </x:c>
      <x:c r="AE788" s="17" t="n">
        <x:f>2014-B788</x:f>
        <x:v>38</x:v>
      </x:c>
      <x:c r="AF788" s="17" t="n">
        <x:f>F788+G788</x:f>
        <x:v>1</x:v>
      </x:c>
      <x:c r="AG788" s="21" t="n">
        <x:f>SUM(J788:O788)</x:f>
        <x:v>377</x:v>
      </x:c>
      <x:c r="AH788" s="17" t="n">
        <x:f>SUM(Q788:S788)</x:f>
        <x:v>13</x:v>
      </x:c>
      <x:c r="AI788" s="17" t="n">
        <x:f>SUM(U788:Y788)</x:f>
        <x:v>0</x:v>
      </x:c>
      <x:c r="AJ788" s="17" t="str">
        <x:f>IF(AE788&lt;=34,"≤34",IF(AE788&lt;=44,"35–44",IF(AE788&lt;=54,"45–54",IF(AE788&lt;=64,"55–64","65+"))))</x:f>
        <x:v>35–44</x:v>
      </x:c>
      <x:c r="AK788" s="17" t="str">
        <x:f>IF(AG788&gt;=1000,"High Value",IF(AG788&gt;=300,"Mid Value","Low Value"))</x:f>
        <x:v>Mid Value</x:v>
      </x:c>
      <x:c r="AL788" s="17" t="str">
        <x:f>IF(AND(AI788&gt;=1,I788&lt;=50),"Priority 1",IF(AND(AG788&gt;=1000,I788&lt;=60),"Priority 2",IF(I788&lt;=30,"Priority 3","Nurture")))</x:f>
        <x:v>Priority 3</x:v>
      </x:c>
    </x:row>
    <x:row r="789">
      <x:c r="A789" s="16" t="n">
        <x:v>6543</x:v>
      </x:c>
      <x:c r="B789" s="16" t="n">
        <x:v>1945</x:v>
      </x:c>
      <x:c r="C789" s="16" t="str">
        <x:v>Master</x:v>
      </x:c>
      <x:c r="D789" s="16" t="str">
        <x:v>Together</x:v>
      </x:c>
      <x:c r="E789" s="16" t="n">
        <x:v>62847</x:v>
      </x:c>
      <x:c r="F789" s="16" t="n">
        <x:v>0</x:v>
      </x:c>
      <x:c r="G789" s="16" t="n">
        <x:v>0</x:v>
      </x:c>
      <x:c r="H789" s="16" t="str">
        <x:v>15-01-2013</x:v>
      </x:c>
      <x:c r="I789" s="16" t="n">
        <x:v>45</x:v>
      </x:c>
      <x:c r="J789" s="16" t="n">
        <x:v>521</x:v>
      </x:c>
      <x:c r="K789" s="16" t="n">
        <x:v>168</x:v>
      </x:c>
      <x:c r="L789" s="16" t="n">
        <x:v>706</x:v>
      </x:c>
      <x:c r="M789" s="16" t="n">
        <x:v>80</x:v>
      </x:c>
      <x:c r="N789" s="16" t="n">
        <x:v>76</x:v>
      </x:c>
      <x:c r="O789" s="16" t="n">
        <x:v>61</x:v>
      </x:c>
      <x:c r="P789" s="16" t="n">
        <x:v>1</x:v>
      </x:c>
      <x:c r="Q789" s="16" t="n">
        <x:v>3</x:v>
      </x:c>
      <x:c r="R789" s="16" t="n">
        <x:v>6</x:v>
      </x:c>
      <x:c r="S789" s="16" t="n">
        <x:v>4</x:v>
      </x:c>
      <x:c r="T789" s="16" t="n">
        <x:v>2</x:v>
      </x:c>
      <x:c r="U789" s="16" t="n">
        <x:v>0</x:v>
      </x:c>
      <x:c r="V789" s="16" t="n">
        <x:v>0</x:v>
      </x:c>
      <x:c r="W789" s="16" t="n">
        <x:v>0</x:v>
      </x:c>
      <x:c r="X789" s="16" t="n">
        <x:v>0</x:v>
      </x:c>
      <x:c r="Y789" s="16" t="n">
        <x:v>0</x:v>
      </x:c>
      <x:c r="Z789" s="16" t="n">
        <x:v>0</x:v>
      </x:c>
      <x:c r="AA789" s="16" t="n">
        <x:v>3</x:v>
      </x:c>
      <x:c r="AB789" s="16" t="n">
        <x:v>11</x:v>
      </x:c>
      <x:c r="AC789" s="16" t="n">
        <x:v>0</x:v>
      </x:c>
      <x:c r="AD789" s="21" t="n">
        <x:f>IF(E789="",MEDIAN($E$2:$E$2237),E789)</x:f>
        <x:v>62847</x:v>
      </x:c>
      <x:c r="AE789" s="17" t="n">
        <x:f>2014-B789</x:f>
        <x:v>69</x:v>
      </x:c>
      <x:c r="AF789" s="17" t="n">
        <x:f>F789+G789</x:f>
        <x:v>0</x:v>
      </x:c>
      <x:c r="AG789" s="21" t="n">
        <x:f>SUM(J789:O789)</x:f>
        <x:v>1612</x:v>
      </x:c>
      <x:c r="AH789" s="17" t="n">
        <x:f>SUM(Q789:S789)</x:f>
        <x:v>13</x:v>
      </x:c>
      <x:c r="AI789" s="17" t="n">
        <x:f>SUM(U789:Y789)</x:f>
        <x:v>0</x:v>
      </x:c>
      <x:c r="AJ789" s="17" t="str">
        <x:f>IF(AE789&lt;=34,"≤34",IF(AE789&lt;=44,"35–44",IF(AE789&lt;=54,"45–54",IF(AE789&lt;=64,"55–64","65+"))))</x:f>
        <x:v>65+</x:v>
      </x:c>
      <x:c r="AK789" s="17" t="str">
        <x:f>IF(AG789&gt;=1000,"High Value",IF(AG789&gt;=300,"Mid Value","Low Value"))</x:f>
        <x:v>High Value</x:v>
      </x:c>
      <x:c r="AL789" s="17" t="str">
        <x:f>IF(AND(AI789&gt;=1,I789&lt;=50),"Priority 1",IF(AND(AG789&gt;=1000,I789&lt;=60),"Priority 2",IF(I789&lt;=30,"Priority 3","Nurture")))</x:f>
        <x:v>Priority 2</x:v>
      </x:c>
    </x:row>
    <x:row r="790">
      <x:c r="A790" s="16" t="n">
        <x:v>10446</x:v>
      </x:c>
      <x:c r="B790" s="16" t="n">
        <x:v>1957</x:v>
      </x:c>
      <x:c r="C790" s="16" t="str">
        <x:v>PhD</x:v>
      </x:c>
      <x:c r="D790" s="16" t="str">
        <x:v>Married</x:v>
      </x:c>
      <x:c r="E790" s="16" t="n">
        <x:v>82017</x:v>
      </x:c>
      <x:c r="F790" s="16" t="n">
        <x:v>0</x:v>
      </x:c>
      <x:c r="G790" s="16" t="n">
        <x:v>0</x:v>
      </x:c>
      <x:c r="H790" s="16" t="str">
        <x:v>07-11-2012</x:v>
      </x:c>
      <x:c r="I790" s="16" t="n">
        <x:v>58</x:v>
      </x:c>
      <x:c r="J790" s="16" t="n">
        <x:v>184</x:v>
      </x:c>
      <x:c r="K790" s="16" t="n">
        <x:v>23</x:v>
      </x:c>
      <x:c r="L790" s="16" t="n">
        <x:v>446</x:v>
      </x:c>
      <x:c r="M790" s="16" t="n">
        <x:v>30</x:v>
      </x:c>
      <x:c r="N790" s="16" t="n">
        <x:v>23</x:v>
      </x:c>
      <x:c r="O790" s="16" t="n">
        <x:v>23</x:v>
      </x:c>
      <x:c r="P790" s="16" t="n">
        <x:v>1</x:v>
      </x:c>
      <x:c r="Q790" s="16" t="n">
        <x:v>5</x:v>
      </x:c>
      <x:c r="R790" s="16" t="n">
        <x:v>4</x:v>
      </x:c>
      <x:c r="S790" s="16" t="n">
        <x:v>7</x:v>
      </x:c>
      <x:c r="T790" s="16" t="n">
        <x:v>2</x:v>
      </x:c>
      <x:c r="U790" s="16" t="n">
        <x:v>0</x:v>
      </x:c>
      <x:c r="V790" s="16" t="n">
        <x:v>1</x:v>
      </x:c>
      <x:c r="W790" s="16" t="n">
        <x:v>1</x:v>
      </x:c>
      <x:c r="X790" s="16" t="n">
        <x:v>1</x:v>
      </x:c>
      <x:c r="Y790" s="16" t="n">
        <x:v>0</x:v>
      </x:c>
      <x:c r="Z790" s="16" t="n">
        <x:v>0</x:v>
      </x:c>
      <x:c r="AA790" s="16" t="n">
        <x:v>3</x:v>
      </x:c>
      <x:c r="AB790" s="16" t="n">
        <x:v>11</x:v>
      </x:c>
      <x:c r="AC790" s="16" t="n">
        <x:v>1</x:v>
      </x:c>
      <x:c r="AD790" s="21" t="n">
        <x:f>IF(E790="",MEDIAN($E$2:$E$2237),E790)</x:f>
        <x:v>82017</x:v>
      </x:c>
      <x:c r="AE790" s="17" t="n">
        <x:f>2014-B790</x:f>
        <x:v>57</x:v>
      </x:c>
      <x:c r="AF790" s="17" t="n">
        <x:f>F790+G790</x:f>
        <x:v>0</x:v>
      </x:c>
      <x:c r="AG790" s="21" t="n">
        <x:f>SUM(J790:O790)</x:f>
        <x:v>729</x:v>
      </x:c>
      <x:c r="AH790" s="17" t="n">
        <x:f>SUM(Q790:S790)</x:f>
        <x:v>16</x:v>
      </x:c>
      <x:c r="AI790" s="17" t="n">
        <x:f>SUM(U790:Y790)</x:f>
        <x:v>3</x:v>
      </x:c>
      <x:c r="AJ790" s="17" t="str">
        <x:f>IF(AE790&lt;=34,"≤34",IF(AE790&lt;=44,"35–44",IF(AE790&lt;=54,"45–54",IF(AE790&lt;=64,"55–64","65+"))))</x:f>
        <x:v>55–64</x:v>
      </x:c>
      <x:c r="AK790" s="17" t="str">
        <x:f>IF(AG790&gt;=1000,"High Value",IF(AG790&gt;=300,"Mid Value","Low Value"))</x:f>
        <x:v>Mid Value</x:v>
      </x:c>
      <x:c r="AL790" s="17" t="str">
        <x:f>IF(AND(AI790&gt;=1,I790&lt;=50),"Priority 1",IF(AND(AG790&gt;=1000,I790&lt;=60),"Priority 2",IF(I790&lt;=30,"Priority 3","Nurture")))</x:f>
        <x:v>Nurture</x:v>
      </x:c>
    </x:row>
    <x:row r="791">
      <x:c r="A791" s="16" t="n">
        <x:v>3479</x:v>
      </x:c>
      <x:c r="B791" s="16" t="n">
        <x:v>1950</x:v>
      </x:c>
      <x:c r="C791" s="16" t="str">
        <x:v>Graduation</x:v>
      </x:c>
      <x:c r="D791" s="16" t="str">
        <x:v>Single</x:v>
      </x:c>
      <x:c r="E791" s="16" t="n">
        <x:v>16813</x:v>
      </x:c>
      <x:c r="F791" s="16" t="n">
        <x:v>0</x:v>
      </x:c>
      <x:c r="G791" s="16" t="n">
        <x:v>0</x:v>
      </x:c>
      <x:c r="H791" s="16" t="str">
        <x:v>19-07-2013</x:v>
      </x:c>
      <x:c r="I791" s="16" t="n">
        <x:v>49</x:v>
      </x:c>
      <x:c r="J791" s="16" t="n">
        <x:v>4</x:v>
      </x:c>
      <x:c r="K791" s="16" t="n">
        <x:v>8</x:v>
      </x:c>
      <x:c r="L791" s="16" t="n">
        <x:v>11</x:v>
      </x:c>
      <x:c r="M791" s="16" t="n">
        <x:v>12</x:v>
      </x:c>
      <x:c r="N791" s="16" t="n">
        <x:v>2</x:v>
      </x:c>
      <x:c r="O791" s="16" t="n">
        <x:v>13</x:v>
      </x:c>
      <x:c r="P791" s="16" t="n">
        <x:v>1</x:v>
      </x:c>
      <x:c r="Q791" s="16" t="n">
        <x:v>2</x:v>
      </x:c>
      <x:c r="R791" s="16" t="n">
        <x:v>0</x:v>
      </x:c>
      <x:c r="S791" s="16" t="n">
        <x:v>3</x:v>
      </x:c>
      <x:c r="T791" s="16" t="n">
        <x:v>7</x:v>
      </x:c>
      <x:c r="U791" s="16" t="n">
        <x:v>1</x:v>
      </x:c>
      <x:c r="V791" s="16" t="n">
        <x:v>0</x:v>
      </x:c>
      <x:c r="W791" s="16" t="n">
        <x:v>0</x:v>
      </x:c>
      <x:c r="X791" s="16" t="n">
        <x:v>0</x:v>
      </x:c>
      <x:c r="Y791" s="16" t="n">
        <x:v>0</x:v>
      </x:c>
      <x:c r="Z791" s="16" t="n">
        <x:v>0</x:v>
      </x:c>
      <x:c r="AA791" s="16" t="n">
        <x:v>3</x:v>
      </x:c>
      <x:c r="AB791" s="16" t="n">
        <x:v>11</x:v>
      </x:c>
      <x:c r="AC791" s="16" t="n">
        <x:v>0</x:v>
      </x:c>
      <x:c r="AD791" s="21" t="n">
        <x:f>IF(E791="",MEDIAN($E$2:$E$2237),E791)</x:f>
        <x:v>16813</x:v>
      </x:c>
      <x:c r="AE791" s="17" t="n">
        <x:f>2014-B791</x:f>
        <x:v>64</x:v>
      </x:c>
      <x:c r="AF791" s="17" t="n">
        <x:f>F791+G791</x:f>
        <x:v>0</x:v>
      </x:c>
      <x:c r="AG791" s="21" t="n">
        <x:f>SUM(J791:O791)</x:f>
        <x:v>50</x:v>
      </x:c>
      <x:c r="AH791" s="17" t="n">
        <x:f>SUM(Q791:S791)</x:f>
        <x:v>5</x:v>
      </x:c>
      <x:c r="AI791" s="17" t="n">
        <x:f>SUM(U791:Y791)</x:f>
        <x:v>1</x:v>
      </x:c>
      <x:c r="AJ791" s="17" t="str">
        <x:f>IF(AE791&lt;=34,"≤34",IF(AE791&lt;=44,"35–44",IF(AE791&lt;=54,"45–54",IF(AE791&lt;=64,"55–64","65+"))))</x:f>
        <x:v>55–64</x:v>
      </x:c>
      <x:c r="AK791" s="17" t="str">
        <x:f>IF(AG791&gt;=1000,"High Value",IF(AG791&gt;=300,"Mid Value","Low Value"))</x:f>
        <x:v>Low Value</x:v>
      </x:c>
      <x:c r="AL791" s="17" t="str">
        <x:f>IF(AND(AI791&gt;=1,I791&lt;=50),"Priority 1",IF(AND(AG791&gt;=1000,I791&lt;=60),"Priority 2",IF(I791&lt;=30,"Priority 3","Nurture")))</x:f>
        <x:v>Priority 1</x:v>
      </x:c>
    </x:row>
    <x:row r="792">
      <x:c r="A792" s="16" t="n">
        <x:v>11075</x:v>
      </x:c>
      <x:c r="B792" s="16" t="n">
        <x:v>1978</x:v>
      </x:c>
      <x:c r="C792" s="16" t="str">
        <x:v>Graduation</x:v>
      </x:c>
      <x:c r="D792" s="16" t="str">
        <x:v>Married</x:v>
      </x:c>
      <x:c r="E792" s="16" t="n">
        <x:v>51267</x:v>
      </x:c>
      <x:c r="F792" s="16" t="n">
        <x:v>1</x:v>
      </x:c>
      <x:c r="G792" s="16" t="n">
        <x:v>1</x:v>
      </x:c>
      <x:c r="H792" s="16" t="str">
        <x:v>29-10-2013</x:v>
      </x:c>
      <x:c r="I792" s="16" t="n">
        <x:v>37</x:v>
      </x:c>
      <x:c r="J792" s="16" t="n">
        <x:v>183</x:v>
      </x:c>
      <x:c r="K792" s="16" t="n">
        <x:v>2</x:v>
      </x:c>
      <x:c r="L792" s="16" t="n">
        <x:v>64</x:v>
      </x:c>
      <x:c r="M792" s="16" t="n">
        <x:v>7</x:v>
      </x:c>
      <x:c r="N792" s="16" t="n">
        <x:v>2</x:v>
      </x:c>
      <x:c r="O792" s="16" t="n">
        <x:v>12</x:v>
      </x:c>
      <x:c r="P792" s="16" t="n">
        <x:v>4</x:v>
      </x:c>
      <x:c r="Q792" s="16" t="n">
        <x:v>3</x:v>
      </x:c>
      <x:c r="R792" s="16" t="n">
        <x:v>3</x:v>
      </x:c>
      <x:c r="S792" s="16" t="n">
        <x:v>5</x:v>
      </x:c>
      <x:c r="T792" s="16" t="n">
        <x:v>4</x:v>
      </x:c>
      <x:c r="U792" s="16" t="n">
        <x:v>0</x:v>
      </x:c>
      <x:c r="V792" s="16" t="n">
        <x:v>0</x:v>
      </x:c>
      <x:c r="W792" s="16" t="n">
        <x:v>0</x:v>
      </x:c>
      <x:c r="X792" s="16" t="n">
        <x:v>0</x:v>
      </x:c>
      <x:c r="Y792" s="16" t="n">
        <x:v>0</x:v>
      </x:c>
      <x:c r="Z792" s="16" t="n">
        <x:v>0</x:v>
      </x:c>
      <x:c r="AA792" s="16" t="n">
        <x:v>3</x:v>
      </x:c>
      <x:c r="AB792" s="16" t="n">
        <x:v>11</x:v>
      </x:c>
      <x:c r="AC792" s="16" t="n">
        <x:v>0</x:v>
      </x:c>
      <x:c r="AD792" s="21" t="n">
        <x:f>IF(E792="",MEDIAN($E$2:$E$2237),E792)</x:f>
        <x:v>51267</x:v>
      </x:c>
      <x:c r="AE792" s="17" t="n">
        <x:f>2014-B792</x:f>
        <x:v>36</x:v>
      </x:c>
      <x:c r="AF792" s="17" t="n">
        <x:f>F792+G792</x:f>
        <x:v>2</x:v>
      </x:c>
      <x:c r="AG792" s="21" t="n">
        <x:f>SUM(J792:O792)</x:f>
        <x:v>270</x:v>
      </x:c>
      <x:c r="AH792" s="17" t="n">
        <x:f>SUM(Q792:S792)</x:f>
        <x:v>11</x:v>
      </x:c>
      <x:c r="AI792" s="17" t="n">
        <x:f>SUM(U792:Y792)</x:f>
        <x:v>0</x:v>
      </x:c>
      <x:c r="AJ792" s="17" t="str">
        <x:f>IF(AE792&lt;=34,"≤34",IF(AE792&lt;=44,"35–44",IF(AE792&lt;=54,"45–54",IF(AE792&lt;=64,"55–64","65+"))))</x:f>
        <x:v>35–44</x:v>
      </x:c>
      <x:c r="AK792" s="17" t="str">
        <x:f>IF(AG792&gt;=1000,"High Value",IF(AG792&gt;=300,"Mid Value","Low Value"))</x:f>
        <x:v>Low Value</x:v>
      </x:c>
      <x:c r="AL792" s="17" t="str">
        <x:f>IF(AND(AI792&gt;=1,I792&lt;=50),"Priority 1",IF(AND(AG792&gt;=1000,I792&lt;=60),"Priority 2",IF(I792&lt;=30,"Priority 3","Nurture")))</x:f>
        <x:v>Nurture</x:v>
      </x:c>
    </x:row>
    <x:row r="793">
      <x:c r="A793" s="16" t="n">
        <x:v>4442</x:v>
      </x:c>
      <x:c r="B793" s="16" t="n">
        <x:v>1961</x:v>
      </x:c>
      <x:c r="C793" s="16" t="str">
        <x:v>Graduation</x:v>
      </x:c>
      <x:c r="D793" s="16" t="str">
        <x:v>Single</x:v>
      </x:c>
      <x:c r="E793" s="16" t="n">
        <x:v>46524</x:v>
      </x:c>
      <x:c r="F793" s="16" t="n">
        <x:v>0</x:v>
      </x:c>
      <x:c r="G793" s="16" t="n">
        <x:v>1</x:v>
      </x:c>
      <x:c r="H793" s="16" t="str">
        <x:v>05-04-2013</x:v>
      </x:c>
      <x:c r="I793" s="16" t="n">
        <x:v>70</x:v>
      </x:c>
      <x:c r="J793" s="16" t="n">
        <x:v>31</x:v>
      </x:c>
      <x:c r="K793" s="16" t="n">
        <x:v>19</x:v>
      </x:c>
      <x:c r="L793" s="16" t="n">
        <x:v>35</x:v>
      </x:c>
      <x:c r="M793" s="16" t="n">
        <x:v>26</x:v>
      </x:c>
      <x:c r="N793" s="16" t="n">
        <x:v>14</x:v>
      </x:c>
      <x:c r="O793" s="16" t="n">
        <x:v>52</x:v>
      </x:c>
      <x:c r="P793" s="16" t="n">
        <x:v>2</x:v>
      </x:c>
      <x:c r="Q793" s="16" t="n">
        <x:v>1</x:v>
      </x:c>
      <x:c r="R793" s="16" t="n">
        <x:v>1</x:v>
      </x:c>
      <x:c r="S793" s="16" t="n">
        <x:v>5</x:v>
      </x:c>
      <x:c r="T793" s="16" t="n">
        <x:v>3</x:v>
      </x:c>
      <x:c r="U793" s="16" t="n">
        <x:v>0</x:v>
      </x:c>
      <x:c r="V793" s="16" t="n">
        <x:v>0</x:v>
      </x:c>
      <x:c r="W793" s="16" t="n">
        <x:v>0</x:v>
      </x:c>
      <x:c r="X793" s="16" t="n">
        <x:v>0</x:v>
      </x:c>
      <x:c r="Y793" s="16" t="n">
        <x:v>0</x:v>
      </x:c>
      <x:c r="Z793" s="16" t="n">
        <x:v>0</x:v>
      </x:c>
      <x:c r="AA793" s="16" t="n">
        <x:v>3</x:v>
      </x:c>
      <x:c r="AB793" s="16" t="n">
        <x:v>11</x:v>
      </x:c>
      <x:c r="AC793" s="16" t="n">
        <x:v>0</x:v>
      </x:c>
      <x:c r="AD793" s="21" t="n">
        <x:f>IF(E793="",MEDIAN($E$2:$E$2237),E793)</x:f>
        <x:v>46524</x:v>
      </x:c>
      <x:c r="AE793" s="17" t="n">
        <x:f>2014-B793</x:f>
        <x:v>53</x:v>
      </x:c>
      <x:c r="AF793" s="17" t="n">
        <x:f>F793+G793</x:f>
        <x:v>1</x:v>
      </x:c>
      <x:c r="AG793" s="21" t="n">
        <x:f>SUM(J793:O793)</x:f>
        <x:v>177</x:v>
      </x:c>
      <x:c r="AH793" s="17" t="n">
        <x:f>SUM(Q793:S793)</x:f>
        <x:v>7</x:v>
      </x:c>
      <x:c r="AI793" s="17" t="n">
        <x:f>SUM(U793:Y793)</x:f>
        <x:v>0</x:v>
      </x:c>
      <x:c r="AJ793" s="17" t="str">
        <x:f>IF(AE793&lt;=34,"≤34",IF(AE793&lt;=44,"35–44",IF(AE793&lt;=54,"45–54",IF(AE793&lt;=64,"55–64","65+"))))</x:f>
        <x:v>45–54</x:v>
      </x:c>
      <x:c r="AK793" s="17" t="str">
        <x:f>IF(AG793&gt;=1000,"High Value",IF(AG793&gt;=300,"Mid Value","Low Value"))</x:f>
        <x:v>Low Value</x:v>
      </x:c>
      <x:c r="AL793" s="17" t="str">
        <x:f>IF(AND(AI793&gt;=1,I793&lt;=50),"Priority 1",IF(AND(AG793&gt;=1000,I793&lt;=60),"Priority 2",IF(I793&lt;=30,"Priority 3","Nurture")))</x:f>
        <x:v>Nurture</x:v>
      </x:c>
    </x:row>
    <x:row r="794">
      <x:c r="A794" s="16" t="n">
        <x:v>199</x:v>
      </x:c>
      <x:c r="B794" s="16" t="n">
        <x:v>1962</x:v>
      </x:c>
      <x:c r="C794" s="16" t="str">
        <x:v>Master</x:v>
      </x:c>
      <x:c r="D794" s="16" t="str">
        <x:v>Single</x:v>
      </x:c>
      <x:c r="E794" s="16" t="n">
        <x:v>45183</x:v>
      </x:c>
      <x:c r="F794" s="16" t="n">
        <x:v>0</x:v>
      </x:c>
      <x:c r="G794" s="16" t="n">
        <x:v>0</x:v>
      </x:c>
      <x:c r="H794" s="16" t="str">
        <x:v>20-01-2013</x:v>
      </x:c>
      <x:c r="I794" s="16" t="n">
        <x:v>33</x:v>
      </x:c>
      <x:c r="J794" s="16" t="n">
        <x:v>219</x:v>
      </x:c>
      <x:c r="K794" s="16" t="n">
        <x:v>3</x:v>
      </x:c>
      <x:c r="L794" s="16" t="n">
        <x:v>60</x:v>
      </x:c>
      <x:c r="M794" s="16" t="n">
        <x:v>12</x:v>
      </x:c>
      <x:c r="N794" s="16" t="n">
        <x:v>9</x:v>
      </x:c>
      <x:c r="O794" s="16" t="n">
        <x:v>12</x:v>
      </x:c>
      <x:c r="P794" s="16" t="n">
        <x:v>1</x:v>
      </x:c>
      <x:c r="Q794" s="16" t="n">
        <x:v>4</x:v>
      </x:c>
      <x:c r="R794" s="16" t="n">
        <x:v>1</x:v>
      </x:c>
      <x:c r="S794" s="16" t="n">
        <x:v>7</x:v>
      </x:c>
      <x:c r="T794" s="16" t="n">
        <x:v>7</x:v>
      </x:c>
      <x:c r="U794" s="16" t="n">
        <x:v>0</x:v>
      </x:c>
      <x:c r="V794" s="16" t="n">
        <x:v>1</x:v>
      </x:c>
      <x:c r="W794" s="16" t="n">
        <x:v>0</x:v>
      </x:c>
      <x:c r="X794" s="16" t="n">
        <x:v>0</x:v>
      </x:c>
      <x:c r="Y794" s="16" t="n">
        <x:v>0</x:v>
      </x:c>
      <x:c r="Z794" s="16" t="n">
        <x:v>0</x:v>
      </x:c>
      <x:c r="AA794" s="16" t="n">
        <x:v>3</x:v>
      </x:c>
      <x:c r="AB794" s="16" t="n">
        <x:v>11</x:v>
      </x:c>
      <x:c r="AC794" s="16" t="n">
        <x:v>0</x:v>
      </x:c>
      <x:c r="AD794" s="21" t="n">
        <x:f>IF(E794="",MEDIAN($E$2:$E$2237),E794)</x:f>
        <x:v>45183</x:v>
      </x:c>
      <x:c r="AE794" s="17" t="n">
        <x:f>2014-B794</x:f>
        <x:v>52</x:v>
      </x:c>
      <x:c r="AF794" s="17" t="n">
        <x:f>F794+G794</x:f>
        <x:v>0</x:v>
      </x:c>
      <x:c r="AG794" s="21" t="n">
        <x:f>SUM(J794:O794)</x:f>
        <x:v>315</x:v>
      </x:c>
      <x:c r="AH794" s="17" t="n">
        <x:f>SUM(Q794:S794)</x:f>
        <x:v>12</x:v>
      </x:c>
      <x:c r="AI794" s="17" t="n">
        <x:f>SUM(U794:Y794)</x:f>
        <x:v>1</x:v>
      </x:c>
      <x:c r="AJ794" s="17" t="str">
        <x:f>IF(AE794&lt;=34,"≤34",IF(AE794&lt;=44,"35–44",IF(AE794&lt;=54,"45–54",IF(AE794&lt;=64,"55–64","65+"))))</x:f>
        <x:v>45–54</x:v>
      </x:c>
      <x:c r="AK794" s="17" t="str">
        <x:f>IF(AG794&gt;=1000,"High Value",IF(AG794&gt;=300,"Mid Value","Low Value"))</x:f>
        <x:v>Mid Value</x:v>
      </x:c>
      <x:c r="AL794" s="17" t="str">
        <x:f>IF(AND(AI794&gt;=1,I794&lt;=50),"Priority 1",IF(AND(AG794&gt;=1000,I794&lt;=60),"Priority 2",IF(I794&lt;=30,"Priority 3","Nurture")))</x:f>
        <x:v>Priority 1</x:v>
      </x:c>
    </x:row>
    <x:row r="795">
      <x:c r="A795" s="16" t="n">
        <x:v>6722</x:v>
      </x:c>
      <x:c r="B795" s="16" t="n">
        <x:v>1954</x:v>
      </x:c>
      <x:c r="C795" s="16" t="str">
        <x:v>PhD</x:v>
      </x:c>
      <x:c r="D795" s="16" t="str">
        <x:v>Married</x:v>
      </x:c>
      <x:c r="E795" s="16" t="n">
        <x:v>70421</x:v>
      </x:c>
      <x:c r="F795" s="16" t="n">
        <x:v>0</x:v>
      </x:c>
      <x:c r="G795" s="16" t="n">
        <x:v>1</x:v>
      </x:c>
      <x:c r="H795" s="16" t="str">
        <x:v>28-06-2014</x:v>
      </x:c>
      <x:c r="I795" s="16" t="n">
        <x:v>98</x:v>
      </x:c>
      <x:c r="J795" s="16" t="n">
        <x:v>479</x:v>
      </x:c>
      <x:c r="K795" s="16" t="n">
        <x:v>28</x:v>
      </x:c>
      <x:c r="L795" s="16" t="n">
        <x:v>136</x:v>
      </x:c>
      <x:c r="M795" s="16" t="n">
        <x:v>75</x:v>
      </x:c>
      <x:c r="N795" s="16" t="n">
        <x:v>14</x:v>
      </x:c>
      <x:c r="O795" s="16" t="n">
        <x:v>35</x:v>
      </x:c>
      <x:c r="P795" s="16" t="n">
        <x:v>3</x:v>
      </x:c>
      <x:c r="Q795" s="16" t="n">
        <x:v>10</x:v>
      </x:c>
      <x:c r="R795" s="16" t="n">
        <x:v>3</x:v>
      </x:c>
      <x:c r="S795" s="16" t="n">
        <x:v>7</x:v>
      </x:c>
      <x:c r="T795" s="16" t="n">
        <x:v>6</x:v>
      </x:c>
      <x:c r="U795" s="16" t="n">
        <x:v>0</x:v>
      </x:c>
      <x:c r="V795" s="16" t="n">
        <x:v>0</x:v>
      </x:c>
      <x:c r="W795" s="16" t="n">
        <x:v>0</x:v>
      </x:c>
      <x:c r="X795" s="16" t="n">
        <x:v>0</x:v>
      </x:c>
      <x:c r="Y795" s="16" t="n">
        <x:v>0</x:v>
      </x:c>
      <x:c r="Z795" s="16" t="n">
        <x:v>0</x:v>
      </x:c>
      <x:c r="AA795" s="16" t="n">
        <x:v>3</x:v>
      </x:c>
      <x:c r="AB795" s="16" t="n">
        <x:v>11</x:v>
      </x:c>
      <x:c r="AC795" s="16" t="n">
        <x:v>0</x:v>
      </x:c>
      <x:c r="AD795" s="21" t="n">
        <x:f>IF(E795="",MEDIAN($E$2:$E$2237),E795)</x:f>
        <x:v>70421</x:v>
      </x:c>
      <x:c r="AE795" s="17" t="n">
        <x:f>2014-B795</x:f>
        <x:v>60</x:v>
      </x:c>
      <x:c r="AF795" s="17" t="n">
        <x:f>F795+G795</x:f>
        <x:v>1</x:v>
      </x:c>
      <x:c r="AG795" s="21" t="n">
        <x:f>SUM(J795:O795)</x:f>
        <x:v>767</x:v>
      </x:c>
      <x:c r="AH795" s="17" t="n">
        <x:f>SUM(Q795:S795)</x:f>
        <x:v>20</x:v>
      </x:c>
      <x:c r="AI795" s="17" t="n">
        <x:f>SUM(U795:Y795)</x:f>
        <x:v>0</x:v>
      </x:c>
      <x:c r="AJ795" s="17" t="str">
        <x:f>IF(AE795&lt;=34,"≤34",IF(AE795&lt;=44,"35–44",IF(AE795&lt;=54,"45–54",IF(AE795&lt;=64,"55–64","65+"))))</x:f>
        <x:v>55–64</x:v>
      </x:c>
      <x:c r="AK795" s="17" t="str">
        <x:f>IF(AG795&gt;=1000,"High Value",IF(AG795&gt;=300,"Mid Value","Low Value"))</x:f>
        <x:v>Mid Value</x:v>
      </x:c>
      <x:c r="AL795" s="17" t="str">
        <x:f>IF(AND(AI795&gt;=1,I795&lt;=50),"Priority 1",IF(AND(AG795&gt;=1000,I795&lt;=60),"Priority 2",IF(I795&lt;=30,"Priority 3","Nurture")))</x:f>
        <x:v>Nurture</x:v>
      </x:c>
    </x:row>
    <x:row r="796">
      <x:c r="A796" s="16" t="n">
        <x:v>796</x:v>
      </x:c>
      <x:c r="B796" s="16" t="n">
        <x:v>1965</x:v>
      </x:c>
      <x:c r="C796" s="16" t="str">
        <x:v>2n Cycle</x:v>
      </x:c>
      <x:c r="D796" s="16" t="str">
        <x:v>Divorced</x:v>
      </x:c>
      <x:c r="E796" s="16" t="n">
        <x:v>60161</x:v>
      </x:c>
      <x:c r="F796" s="16" t="n">
        <x:v>0</x:v>
      </x:c>
      <x:c r="G796" s="16" t="n">
        <x:v>1</x:v>
      </x:c>
      <x:c r="H796" s="16" t="str">
        <x:v>23-10-2012</x:v>
      </x:c>
      <x:c r="I796" s="16" t="n">
        <x:v>17</x:v>
      </x:c>
      <x:c r="J796" s="16" t="n">
        <x:v>584</x:v>
      </x:c>
      <x:c r="K796" s="16" t="n">
        <x:v>44</x:v>
      </x:c>
      <x:c r="L796" s="16" t="n">
        <x:v>212</x:v>
      </x:c>
      <x:c r="M796" s="16" t="n">
        <x:v>46</x:v>
      </x:c>
      <x:c r="N796" s="16" t="n">
        <x:v>8</x:v>
      </x:c>
      <x:c r="O796" s="16" t="n">
        <x:v>177</x:v>
      </x:c>
      <x:c r="P796" s="16" t="n">
        <x:v>3</x:v>
      </x:c>
      <x:c r="Q796" s="16" t="n">
        <x:v>11</x:v>
      </x:c>
      <x:c r="R796" s="16" t="n">
        <x:v>4</x:v>
      </x:c>
      <x:c r="S796" s="16" t="n">
        <x:v>8</x:v>
      </x:c>
      <x:c r="T796" s="16" t="n">
        <x:v>8</x:v>
      </x:c>
      <x:c r="U796" s="16" t="n">
        <x:v>0</x:v>
      </x:c>
      <x:c r="V796" s="16" t="n">
        <x:v>0</x:v>
      </x:c>
      <x:c r="W796" s="16" t="n">
        <x:v>0</x:v>
      </x:c>
      <x:c r="X796" s="16" t="n">
        <x:v>0</x:v>
      </x:c>
      <x:c r="Y796" s="16" t="n">
        <x:v>0</x:v>
      </x:c>
      <x:c r="Z796" s="16" t="n">
        <x:v>0</x:v>
      </x:c>
      <x:c r="AA796" s="16" t="n">
        <x:v>3</x:v>
      </x:c>
      <x:c r="AB796" s="16" t="n">
        <x:v>11</x:v>
      </x:c>
      <x:c r="AC796" s="16" t="n">
        <x:v>0</x:v>
      </x:c>
      <x:c r="AD796" s="21" t="n">
        <x:f>IF(E796="",MEDIAN($E$2:$E$2237),E796)</x:f>
        <x:v>60161</x:v>
      </x:c>
      <x:c r="AE796" s="17" t="n">
        <x:f>2014-B796</x:f>
        <x:v>49</x:v>
      </x:c>
      <x:c r="AF796" s="17" t="n">
        <x:f>F796+G796</x:f>
        <x:v>1</x:v>
      </x:c>
      <x:c r="AG796" s="21" t="n">
        <x:f>SUM(J796:O796)</x:f>
        <x:v>1071</x:v>
      </x:c>
      <x:c r="AH796" s="17" t="n">
        <x:f>SUM(Q796:S796)</x:f>
        <x:v>23</x:v>
      </x:c>
      <x:c r="AI796" s="17" t="n">
        <x:f>SUM(U796:Y796)</x:f>
        <x:v>0</x:v>
      </x:c>
      <x:c r="AJ796" s="17" t="str">
        <x:f>IF(AE796&lt;=34,"≤34",IF(AE796&lt;=44,"35–44",IF(AE796&lt;=54,"45–54",IF(AE796&lt;=64,"55–64","65+"))))</x:f>
        <x:v>45–54</x:v>
      </x:c>
      <x:c r="AK796" s="17" t="str">
        <x:f>IF(AG796&gt;=1000,"High Value",IF(AG796&gt;=300,"Mid Value","Low Value"))</x:f>
        <x:v>High Value</x:v>
      </x:c>
      <x:c r="AL796" s="17" t="str">
        <x:f>IF(AND(AI796&gt;=1,I796&lt;=50),"Priority 1",IF(AND(AG796&gt;=1000,I796&lt;=60),"Priority 2",IF(I796&lt;=30,"Priority 3","Nurture")))</x:f>
        <x:v>Priority 2</x:v>
      </x:c>
    </x:row>
    <x:row r="797">
      <x:c r="A797" s="16" t="n">
        <x:v>3749</x:v>
      </x:c>
      <x:c r="B797" s="16" t="n">
        <x:v>1973</x:v>
      </x:c>
      <x:c r="C797" s="16" t="str">
        <x:v>Graduation</x:v>
      </x:c>
      <x:c r="D797" s="16" t="str">
        <x:v>Together</x:v>
      </x:c>
      <x:c r="E797" s="16" t="n">
        <x:v>73926</x:v>
      </x:c>
      <x:c r="F797" s="16" t="n">
        <x:v>0</x:v>
      </x:c>
      <x:c r="G797" s="16" t="n">
        <x:v>0</x:v>
      </x:c>
      <x:c r="H797" s="16" t="str">
        <x:v>02-03-2013</x:v>
      </x:c>
      <x:c r="I797" s="16" t="n">
        <x:v>54</x:v>
      </x:c>
      <x:c r="J797" s="16" t="n">
        <x:v>627</x:v>
      </x:c>
      <x:c r="K797" s="16" t="n">
        <x:v>91</x:v>
      </x:c>
      <x:c r="L797" s="16" t="n">
        <x:v>597</x:v>
      </x:c>
      <x:c r="M797" s="16" t="n">
        <x:v>159</x:v>
      </x:c>
      <x:c r="N797" s="16" t="n">
        <x:v>91</x:v>
      </x:c>
      <x:c r="O797" s="16" t="n">
        <x:v>15</x:v>
      </x:c>
      <x:c r="P797" s="16" t="n">
        <x:v>1</x:v>
      </x:c>
      <x:c r="Q797" s="16" t="n">
        <x:v>6</x:v>
      </x:c>
      <x:c r="R797" s="16" t="n">
        <x:v>5</x:v>
      </x:c>
      <x:c r="S797" s="16" t="n">
        <x:v>12</x:v>
      </x:c>
      <x:c r="T797" s="16" t="n">
        <x:v>3</x:v>
      </x:c>
      <x:c r="U797" s="16" t="n">
        <x:v>0</x:v>
      </x:c>
      <x:c r="V797" s="16" t="n">
        <x:v>0</x:v>
      </x:c>
      <x:c r="W797" s="16" t="n">
        <x:v>0</x:v>
      </x:c>
      <x:c r="X797" s="16" t="n">
        <x:v>0</x:v>
      </x:c>
      <x:c r="Y797" s="16" t="n">
        <x:v>0</x:v>
      </x:c>
      <x:c r="Z797" s="16" t="n">
        <x:v>0</x:v>
      </x:c>
      <x:c r="AA797" s="16" t="n">
        <x:v>3</x:v>
      </x:c>
      <x:c r="AB797" s="16" t="n">
        <x:v>11</x:v>
      </x:c>
      <x:c r="AC797" s="16" t="n">
        <x:v>0</x:v>
      </x:c>
      <x:c r="AD797" s="21" t="n">
        <x:f>IF(E797="",MEDIAN($E$2:$E$2237),E797)</x:f>
        <x:v>73926</x:v>
      </x:c>
      <x:c r="AE797" s="17" t="n">
        <x:f>2014-B797</x:f>
        <x:v>41</x:v>
      </x:c>
      <x:c r="AF797" s="17" t="n">
        <x:f>F797+G797</x:f>
        <x:v>0</x:v>
      </x:c>
      <x:c r="AG797" s="21" t="n">
        <x:f>SUM(J797:O797)</x:f>
        <x:v>1580</x:v>
      </x:c>
      <x:c r="AH797" s="17" t="n">
        <x:f>SUM(Q797:S797)</x:f>
        <x:v>23</x:v>
      </x:c>
      <x:c r="AI797" s="17" t="n">
        <x:f>SUM(U797:Y797)</x:f>
        <x:v>0</x:v>
      </x:c>
      <x:c r="AJ797" s="17" t="str">
        <x:f>IF(AE797&lt;=34,"≤34",IF(AE797&lt;=44,"35–44",IF(AE797&lt;=54,"45–54",IF(AE797&lt;=64,"55–64","65+"))))</x:f>
        <x:v>35–44</x:v>
      </x:c>
      <x:c r="AK797" s="17" t="str">
        <x:f>IF(AG797&gt;=1000,"High Value",IF(AG797&gt;=300,"Mid Value","Low Value"))</x:f>
        <x:v>High Value</x:v>
      </x:c>
      <x:c r="AL797" s="17" t="str">
        <x:f>IF(AND(AI797&gt;=1,I797&lt;=50),"Priority 1",IF(AND(AG797&gt;=1000,I797&lt;=60),"Priority 2",IF(I797&lt;=30,"Priority 3","Nurture")))</x:f>
        <x:v>Priority 2</x:v>
      </x:c>
    </x:row>
    <x:row r="798">
      <x:c r="A798" s="16" t="n">
        <x:v>8523</x:v>
      </x:c>
      <x:c r="B798" s="16" t="n">
        <x:v>1968</x:v>
      </x:c>
      <x:c r="C798" s="16" t="str">
        <x:v>Graduation</x:v>
      </x:c>
      <x:c r="D798" s="16" t="str">
        <x:v>Married</x:v>
      </x:c>
      <x:c r="E798" s="16" t="n">
        <x:v>19329</x:v>
      </x:c>
      <x:c r="F798" s="16" t="n">
        <x:v>1</x:v>
      </x:c>
      <x:c r="G798" s="16" t="n">
        <x:v>0</x:v>
      </x:c>
      <x:c r="H798" s="16" t="str">
        <x:v>14-12-2013</x:v>
      </x:c>
      <x:c r="I798" s="16" t="n">
        <x:v>39</x:v>
      </x:c>
      <x:c r="J798" s="16" t="n">
        <x:v>24</x:v>
      </x:c>
      <x:c r="K798" s="16" t="n">
        <x:v>1</x:v>
      </x:c>
      <x:c r="L798" s="16" t="n">
        <x:v>16</x:v>
      </x:c>
      <x:c r="M798" s="16" t="n">
        <x:v>12</x:v>
      </x:c>
      <x:c r="N798" s="16" t="n">
        <x:v>2</x:v>
      </x:c>
      <x:c r="O798" s="16" t="n">
        <x:v>5</x:v>
      </x:c>
      <x:c r="P798" s="16" t="n">
        <x:v>3</x:v>
      </x:c>
      <x:c r="Q798" s="16" t="n">
        <x:v>4</x:v>
      </x:c>
      <x:c r="R798" s="16" t="n">
        <x:v>0</x:v>
      </x:c>
      <x:c r="S798" s="16" t="n">
        <x:v>3</x:v>
      </x:c>
      <x:c r="T798" s="16" t="n">
        <x:v>8</x:v>
      </x:c>
      <x:c r="U798" s="16" t="n">
        <x:v>0</x:v>
      </x:c>
      <x:c r="V798" s="16" t="n">
        <x:v>0</x:v>
      </x:c>
      <x:c r="W798" s="16" t="n">
        <x:v>0</x:v>
      </x:c>
      <x:c r="X798" s="16" t="n">
        <x:v>0</x:v>
      </x:c>
      <x:c r="Y798" s="16" t="n">
        <x:v>0</x:v>
      </x:c>
      <x:c r="Z798" s="16" t="n">
        <x:v>0</x:v>
      </x:c>
      <x:c r="AA798" s="16" t="n">
        <x:v>3</x:v>
      </x:c>
      <x:c r="AB798" s="16" t="n">
        <x:v>11</x:v>
      </x:c>
      <x:c r="AC798" s="16" t="n">
        <x:v>0</x:v>
      </x:c>
      <x:c r="AD798" s="21" t="n">
        <x:f>IF(E798="",MEDIAN($E$2:$E$2237),E798)</x:f>
        <x:v>19329</x:v>
      </x:c>
      <x:c r="AE798" s="17" t="n">
        <x:f>2014-B798</x:f>
        <x:v>46</x:v>
      </x:c>
      <x:c r="AF798" s="17" t="n">
        <x:f>F798+G798</x:f>
        <x:v>1</x:v>
      </x:c>
      <x:c r="AG798" s="21" t="n">
        <x:f>SUM(J798:O798)</x:f>
        <x:v>60</x:v>
      </x:c>
      <x:c r="AH798" s="17" t="n">
        <x:f>SUM(Q798:S798)</x:f>
        <x:v>7</x:v>
      </x:c>
      <x:c r="AI798" s="17" t="n">
        <x:f>SUM(U798:Y798)</x:f>
        <x:v>0</x:v>
      </x:c>
      <x:c r="AJ798" s="17" t="str">
        <x:f>IF(AE798&lt;=34,"≤34",IF(AE798&lt;=44,"35–44",IF(AE798&lt;=54,"45–54",IF(AE798&lt;=64,"55–64","65+"))))</x:f>
        <x:v>45–54</x:v>
      </x:c>
      <x:c r="AK798" s="17" t="str">
        <x:f>IF(AG798&gt;=1000,"High Value",IF(AG798&gt;=300,"Mid Value","Low Value"))</x:f>
        <x:v>Low Value</x:v>
      </x:c>
      <x:c r="AL798" s="17" t="str">
        <x:f>IF(AND(AI798&gt;=1,I798&lt;=50),"Priority 1",IF(AND(AG798&gt;=1000,I798&lt;=60),"Priority 2",IF(I798&lt;=30,"Priority 3","Nurture")))</x:f>
        <x:v>Nurture</x:v>
      </x:c>
    </x:row>
    <x:row r="799">
      <x:c r="A799" s="16" t="n">
        <x:v>310</x:v>
      </x:c>
      <x:c r="B799" s="16" t="n">
        <x:v>1970</x:v>
      </x:c>
      <x:c r="C799" s="16" t="str">
        <x:v>Master</x:v>
      </x:c>
      <x:c r="D799" s="16" t="str">
        <x:v>Married</x:v>
      </x:c>
      <x:c r="E799" s="16" t="n">
        <x:v>61872</x:v>
      </x:c>
      <x:c r="F799" s="16" t="n">
        <x:v>0</x:v>
      </x:c>
      <x:c r="G799" s="16" t="n">
        <x:v>1</x:v>
      </x:c>
      <x:c r="H799" s="16" t="str">
        <x:v>13-12-2013</x:v>
      </x:c>
      <x:c r="I799" s="16" t="n">
        <x:v>81</x:v>
      </x:c>
      <x:c r="J799" s="16" t="n">
        <x:v>330</x:v>
      </x:c>
      <x:c r="K799" s="16" t="n">
        <x:v>5</x:v>
      </x:c>
      <x:c r="L799" s="16" t="n">
        <x:v>159</x:v>
      </x:c>
      <x:c r="M799" s="16" t="n">
        <x:v>36</x:v>
      </x:c>
      <x:c r="N799" s="16" t="n">
        <x:v>27</x:v>
      </x:c>
      <x:c r="O799" s="16" t="n">
        <x:v>16</x:v>
      </x:c>
      <x:c r="P799" s="16" t="n">
        <x:v>4</x:v>
      </x:c>
      <x:c r="Q799" s="16" t="n">
        <x:v>4</x:v>
      </x:c>
      <x:c r="R799" s="16" t="n">
        <x:v>4</x:v>
      </x:c>
      <x:c r="S799" s="16" t="n">
        <x:v>9</x:v>
      </x:c>
      <x:c r="T799" s="16" t="n">
        <x:v>4</x:v>
      </x:c>
      <x:c r="U799" s="16" t="n">
        <x:v>0</x:v>
      </x:c>
      <x:c r="V799" s="16" t="n">
        <x:v>0</x:v>
      </x:c>
      <x:c r="W799" s="16" t="n">
        <x:v>0</x:v>
      </x:c>
      <x:c r="X799" s="16" t="n">
        <x:v>0</x:v>
      </x:c>
      <x:c r="Y799" s="16" t="n">
        <x:v>0</x:v>
      </x:c>
      <x:c r="Z799" s="16" t="n">
        <x:v>0</x:v>
      </x:c>
      <x:c r="AA799" s="16" t="n">
        <x:v>3</x:v>
      </x:c>
      <x:c r="AB799" s="16" t="n">
        <x:v>11</x:v>
      </x:c>
      <x:c r="AC799" s="16" t="n">
        <x:v>0</x:v>
      </x:c>
      <x:c r="AD799" s="21" t="n">
        <x:f>IF(E799="",MEDIAN($E$2:$E$2237),E799)</x:f>
        <x:v>61872</x:v>
      </x:c>
      <x:c r="AE799" s="17" t="n">
        <x:f>2014-B799</x:f>
        <x:v>44</x:v>
      </x:c>
      <x:c r="AF799" s="17" t="n">
        <x:f>F799+G799</x:f>
        <x:v>1</x:v>
      </x:c>
      <x:c r="AG799" s="21" t="n">
        <x:f>SUM(J799:O799)</x:f>
        <x:v>573</x:v>
      </x:c>
      <x:c r="AH799" s="17" t="n">
        <x:f>SUM(Q799:S799)</x:f>
        <x:v>17</x:v>
      </x:c>
      <x:c r="AI799" s="17" t="n">
        <x:f>SUM(U799:Y799)</x:f>
        <x:v>0</x:v>
      </x:c>
      <x:c r="AJ799" s="17" t="str">
        <x:f>IF(AE799&lt;=34,"≤34",IF(AE799&lt;=44,"35–44",IF(AE799&lt;=54,"45–54",IF(AE799&lt;=64,"55–64","65+"))))</x:f>
        <x:v>35–44</x:v>
      </x:c>
      <x:c r="AK799" s="17" t="str">
        <x:f>IF(AG799&gt;=1000,"High Value",IF(AG799&gt;=300,"Mid Value","Low Value"))</x:f>
        <x:v>Mid Value</x:v>
      </x:c>
      <x:c r="AL799" s="17" t="str">
        <x:f>IF(AND(AI799&gt;=1,I799&lt;=50),"Priority 1",IF(AND(AG799&gt;=1000,I799&lt;=60),"Priority 2",IF(I799&lt;=30,"Priority 3","Nurture")))</x:f>
        <x:v>Nurture</x:v>
      </x:c>
    </x:row>
    <x:row r="800">
      <x:c r="A800" s="16" t="n">
        <x:v>8629</x:v>
      </x:c>
      <x:c r="B800" s="16" t="n">
        <x:v>1956</x:v>
      </x:c>
      <x:c r="C800" s="16" t="str">
        <x:v>Graduation</x:v>
      </x:c>
      <x:c r="D800" s="16" t="str">
        <x:v>Widow</x:v>
      </x:c>
      <x:c r="E800" s="16" t="n">
        <x:v>46984</x:v>
      </x:c>
      <x:c r="F800" s="16" t="n">
        <x:v>1</x:v>
      </x:c>
      <x:c r="G800" s="16" t="n">
        <x:v>1</x:v>
      </x:c>
      <x:c r="H800" s="16" t="str">
        <x:v>26-03-2013</x:v>
      </x:c>
      <x:c r="I800" s="16" t="n">
        <x:v>71</x:v>
      </x:c>
      <x:c r="J800" s="16" t="n">
        <x:v>19</x:v>
      </x:c>
      <x:c r="K800" s="16" t="n">
        <x:v>1</x:v>
      </x:c>
      <x:c r="L800" s="16" t="n">
        <x:v>10</x:v>
      </x:c>
      <x:c r="M800" s="16" t="n">
        <x:v>2</x:v>
      </x:c>
      <x:c r="N800" s="16" t="n">
        <x:v>1</x:v>
      </x:c>
      <x:c r="O800" s="16" t="n">
        <x:v>8</x:v>
      </x:c>
      <x:c r="P800" s="16" t="n">
        <x:v>1</x:v>
      </x:c>
      <x:c r="Q800" s="16" t="n">
        <x:v>1</x:v>
      </x:c>
      <x:c r="R800" s="16" t="n">
        <x:v>0</x:v>
      </x:c>
      <x:c r="S800" s="16" t="n">
        <x:v>3</x:v>
      </x:c>
      <x:c r="T800" s="16" t="n">
        <x:v>5</x:v>
      </x:c>
      <x:c r="U800" s="16" t="n">
        <x:v>0</x:v>
      </x:c>
      <x:c r="V800" s="16" t="n">
        <x:v>0</x:v>
      </x:c>
      <x:c r="W800" s="16" t="n">
        <x:v>0</x:v>
      </x:c>
      <x:c r="X800" s="16" t="n">
        <x:v>0</x:v>
      </x:c>
      <x:c r="Y800" s="16" t="n">
        <x:v>0</x:v>
      </x:c>
      <x:c r="Z800" s="16" t="n">
        <x:v>0</x:v>
      </x:c>
      <x:c r="AA800" s="16" t="n">
        <x:v>3</x:v>
      </x:c>
      <x:c r="AB800" s="16" t="n">
        <x:v>11</x:v>
      </x:c>
      <x:c r="AC800" s="16" t="n">
        <x:v>0</x:v>
      </x:c>
      <x:c r="AD800" s="21" t="n">
        <x:f>IF(E800="",MEDIAN($E$2:$E$2237),E800)</x:f>
        <x:v>46984</x:v>
      </x:c>
      <x:c r="AE800" s="17" t="n">
        <x:f>2014-B800</x:f>
        <x:v>58</x:v>
      </x:c>
      <x:c r="AF800" s="17" t="n">
        <x:f>F800+G800</x:f>
        <x:v>2</x:v>
      </x:c>
      <x:c r="AG800" s="21" t="n">
        <x:f>SUM(J800:O800)</x:f>
        <x:v>41</x:v>
      </x:c>
      <x:c r="AH800" s="17" t="n">
        <x:f>SUM(Q800:S800)</x:f>
        <x:v>4</x:v>
      </x:c>
      <x:c r="AI800" s="17" t="n">
        <x:f>SUM(U800:Y800)</x:f>
        <x:v>0</x:v>
      </x:c>
      <x:c r="AJ800" s="17" t="str">
        <x:f>IF(AE800&lt;=34,"≤34",IF(AE800&lt;=44,"35–44",IF(AE800&lt;=54,"45–54",IF(AE800&lt;=64,"55–64","65+"))))</x:f>
        <x:v>55–64</x:v>
      </x:c>
      <x:c r="AK800" s="17" t="str">
        <x:f>IF(AG800&gt;=1000,"High Value",IF(AG800&gt;=300,"Mid Value","Low Value"))</x:f>
        <x:v>Low Value</x:v>
      </x:c>
      <x:c r="AL800" s="17" t="str">
        <x:f>IF(AND(AI800&gt;=1,I800&lt;=50),"Priority 1",IF(AND(AG800&gt;=1000,I800&lt;=60),"Priority 2",IF(I800&lt;=30,"Priority 3","Nurture")))</x:f>
        <x:v>Nurture</x:v>
      </x:c>
    </x:row>
    <x:row r="801">
      <x:c r="A801" s="16" t="n">
        <x:v>236</x:v>
      </x:c>
      <x:c r="B801" s="16" t="n">
        <x:v>1951</x:v>
      </x:c>
      <x:c r="C801" s="16" t="str">
        <x:v>Graduation</x:v>
      </x:c>
      <x:c r="D801" s="16" t="str">
        <x:v>Married</x:v>
      </x:c>
      <x:c r="E801" s="16" t="n">
        <x:v>34838</x:v>
      </x:c>
      <x:c r="F801" s="16" t="n">
        <x:v>1</x:v>
      </x:c>
      <x:c r="G801" s="16" t="n">
        <x:v>1</x:v>
      </x:c>
      <x:c r="H801" s="16" t="str">
        <x:v>19-01-2013</x:v>
      </x:c>
      <x:c r="I801" s="16" t="n">
        <x:v>62</x:v>
      </x:c>
      <x:c r="J801" s="16" t="n">
        <x:v>28</x:v>
      </x:c>
      <x:c r="K801" s="16" t="n">
        <x:v>23</x:v>
      </x:c>
      <x:c r="L801" s="16" t="n">
        <x:v>29</x:v>
      </x:c>
      <x:c r="M801" s="16" t="n">
        <x:v>29</x:v>
      </x:c>
      <x:c r="N801" s="16" t="n">
        <x:v>14</x:v>
      </x:c>
      <x:c r="O801" s="16" t="n">
        <x:v>47</x:v>
      </x:c>
      <x:c r="P801" s="16" t="n">
        <x:v>3</x:v>
      </x:c>
      <x:c r="Q801" s="16" t="n">
        <x:v>2</x:v>
      </x:c>
      <x:c r="R801" s="16" t="n">
        <x:v>1</x:v>
      </x:c>
      <x:c r="S801" s="16" t="n">
        <x:v>4</x:v>
      </x:c>
      <x:c r="T801" s="16" t="n">
        <x:v>6</x:v>
      </x:c>
      <x:c r="U801" s="16" t="n">
        <x:v>0</x:v>
      </x:c>
      <x:c r="V801" s="16" t="n">
        <x:v>0</x:v>
      </x:c>
      <x:c r="W801" s="16" t="n">
        <x:v>0</x:v>
      </x:c>
      <x:c r="X801" s="16" t="n">
        <x:v>0</x:v>
      </x:c>
      <x:c r="Y801" s="16" t="n">
        <x:v>0</x:v>
      </x:c>
      <x:c r="Z801" s="16" t="n">
        <x:v>0</x:v>
      </x:c>
      <x:c r="AA801" s="16" t="n">
        <x:v>3</x:v>
      </x:c>
      <x:c r="AB801" s="16" t="n">
        <x:v>11</x:v>
      </x:c>
      <x:c r="AC801" s="16" t="n">
        <x:v>0</x:v>
      </x:c>
      <x:c r="AD801" s="21" t="n">
        <x:f>IF(E801="",MEDIAN($E$2:$E$2237),E801)</x:f>
        <x:v>34838</x:v>
      </x:c>
      <x:c r="AE801" s="17" t="n">
        <x:f>2014-B801</x:f>
        <x:v>63</x:v>
      </x:c>
      <x:c r="AF801" s="17" t="n">
        <x:f>F801+G801</x:f>
        <x:v>2</x:v>
      </x:c>
      <x:c r="AG801" s="21" t="n">
        <x:f>SUM(J801:O801)</x:f>
        <x:v>170</x:v>
      </x:c>
      <x:c r="AH801" s="17" t="n">
        <x:f>SUM(Q801:S801)</x:f>
        <x:v>7</x:v>
      </x:c>
      <x:c r="AI801" s="17" t="n">
        <x:f>SUM(U801:Y801)</x:f>
        <x:v>0</x:v>
      </x:c>
      <x:c r="AJ801" s="17" t="str">
        <x:f>IF(AE801&lt;=34,"≤34",IF(AE801&lt;=44,"35–44",IF(AE801&lt;=54,"45–54",IF(AE801&lt;=64,"55–64","65+"))))</x:f>
        <x:v>55–64</x:v>
      </x:c>
      <x:c r="AK801" s="17" t="str">
        <x:f>IF(AG801&gt;=1000,"High Value",IF(AG801&gt;=300,"Mid Value","Low Value"))</x:f>
        <x:v>Low Value</x:v>
      </x:c>
      <x:c r="AL801" s="17" t="str">
        <x:f>IF(AND(AI801&gt;=1,I801&lt;=50),"Priority 1",IF(AND(AG801&gt;=1000,I801&lt;=60),"Priority 2",IF(I801&lt;=30,"Priority 3","Nurture")))</x:f>
        <x:v>Nurture</x:v>
      </x:c>
    </x:row>
    <x:row r="802">
      <x:c r="A802" s="16" t="n">
        <x:v>9930</x:v>
      </x:c>
      <x:c r="B802" s="16" t="n">
        <x:v>1944</x:v>
      </x:c>
      <x:c r="C802" s="16" t="str">
        <x:v>PhD</x:v>
      </x:c>
      <x:c r="D802" s="16" t="str">
        <x:v>Single</x:v>
      </x:c>
      <x:c r="E802" s="16" t="n">
        <x:v>82716</x:v>
      </x:c>
      <x:c r="F802" s="16" t="n">
        <x:v>0</x:v>
      </x:c>
      <x:c r="G802" s="16" t="n">
        <x:v>0</x:v>
      </x:c>
      <x:c r="H802" s="16" t="str">
        <x:v>05-11-2013</x:v>
      </x:c>
      <x:c r="I802" s="16" t="n">
        <x:v>8</x:v>
      </x:c>
      <x:c r="J802" s="16" t="n">
        <x:v>606</x:v>
      </x:c>
      <x:c r="K802" s="16" t="n">
        <x:v>148</x:v>
      </x:c>
      <x:c r="L802" s="16" t="n">
        <x:v>228</x:v>
      </x:c>
      <x:c r="M802" s="16" t="n">
        <x:v>15</x:v>
      </x:c>
      <x:c r="N802" s="16" t="n">
        <x:v>148</x:v>
      </x:c>
      <x:c r="O802" s="16" t="n">
        <x:v>22</x:v>
      </x:c>
      <x:c r="P802" s="16" t="n">
        <x:v>1</x:v>
      </x:c>
      <x:c r="Q802" s="16" t="n">
        <x:v>6</x:v>
      </x:c>
      <x:c r="R802" s="16" t="n">
        <x:v>8</x:v>
      </x:c>
      <x:c r="S802" s="16" t="n">
        <x:v>13</x:v>
      </x:c>
      <x:c r="T802" s="16" t="n">
        <x:v>2</x:v>
      </x:c>
      <x:c r="U802" s="16" t="n">
        <x:v>0</x:v>
      </x:c>
      <x:c r="V802" s="16" t="n">
        <x:v>0</x:v>
      </x:c>
      <x:c r="W802" s="16" t="n">
        <x:v>0</x:v>
      </x:c>
      <x:c r="X802" s="16" t="n">
        <x:v>0</x:v>
      </x:c>
      <x:c r="Y802" s="16" t="n">
        <x:v>0</x:v>
      </x:c>
      <x:c r="Z802" s="16" t="n">
        <x:v>0</x:v>
      </x:c>
      <x:c r="AA802" s="16" t="n">
        <x:v>3</x:v>
      </x:c>
      <x:c r="AB802" s="16" t="n">
        <x:v>11</x:v>
      </x:c>
      <x:c r="AC802" s="16" t="n">
        <x:v>0</x:v>
      </x:c>
      <x:c r="AD802" s="21" t="n">
        <x:f>IF(E802="",MEDIAN($E$2:$E$2237),E802)</x:f>
        <x:v>82716</x:v>
      </x:c>
      <x:c r="AE802" s="17" t="n">
        <x:f>2014-B802</x:f>
        <x:v>70</x:v>
      </x:c>
      <x:c r="AF802" s="17" t="n">
        <x:f>F802+G802</x:f>
        <x:v>0</x:v>
      </x:c>
      <x:c r="AG802" s="21" t="n">
        <x:f>SUM(J802:O802)</x:f>
        <x:v>1167</x:v>
      </x:c>
      <x:c r="AH802" s="17" t="n">
        <x:f>SUM(Q802:S802)</x:f>
        <x:v>27</x:v>
      </x:c>
      <x:c r="AI802" s="17" t="n">
        <x:f>SUM(U802:Y802)</x:f>
        <x:v>0</x:v>
      </x:c>
      <x:c r="AJ802" s="17" t="str">
        <x:f>IF(AE802&lt;=34,"≤34",IF(AE802&lt;=44,"35–44",IF(AE802&lt;=54,"45–54",IF(AE802&lt;=64,"55–64","65+"))))</x:f>
        <x:v>65+</x:v>
      </x:c>
      <x:c r="AK802" s="17" t="str">
        <x:f>IF(AG802&gt;=1000,"High Value",IF(AG802&gt;=300,"Mid Value","Low Value"))</x:f>
        <x:v>High Value</x:v>
      </x:c>
      <x:c r="AL802" s="17" t="str">
        <x:f>IF(AND(AI802&gt;=1,I802&lt;=50),"Priority 1",IF(AND(AG802&gt;=1000,I802&lt;=60),"Priority 2",IF(I802&lt;=30,"Priority 3","Nurture")))</x:f>
        <x:v>Priority 2</x:v>
      </x:c>
    </x:row>
    <x:row r="803">
      <x:c r="A803" s="16" t="n">
        <x:v>3483</x:v>
      </x:c>
      <x:c r="B803" s="16" t="n">
        <x:v>1958</x:v>
      </x:c>
      <x:c r="C803" s="16" t="str">
        <x:v>Graduation</x:v>
      </x:c>
      <x:c r="D803" s="16" t="str">
        <x:v>Married</x:v>
      </x:c>
      <x:c r="E803" s="16" t="n">
        <x:v>48192</x:v>
      </x:c>
      <x:c r="F803" s="16" t="n">
        <x:v>0</x:v>
      </x:c>
      <x:c r="G803" s="16" t="n">
        <x:v>0</x:v>
      </x:c>
      <x:c r="H803" s="16" t="str">
        <x:v>06-04-2013</x:v>
      </x:c>
      <x:c r="I803" s="16" t="n">
        <x:v>76</x:v>
      </x:c>
      <x:c r="J803" s="16" t="n">
        <x:v>1039</x:v>
      </x:c>
      <x:c r="K803" s="16" t="n">
        <x:v>43</x:v>
      </x:c>
      <x:c r="L803" s="16" t="n">
        <x:v>204</x:v>
      </x:c>
      <x:c r="M803" s="16" t="n">
        <x:v>153</x:v>
      </x:c>
      <x:c r="N803" s="16" t="n">
        <x:v>58</x:v>
      </x:c>
      <x:c r="O803" s="16" t="n">
        <x:v>29</x:v>
      </x:c>
      <x:c r="P803" s="16" t="n">
        <x:v>3</x:v>
      </x:c>
      <x:c r="Q803" s="16" t="n">
        <x:v>2</x:v>
      </x:c>
      <x:c r="R803" s="16" t="n">
        <x:v>8</x:v>
      </x:c>
      <x:c r="S803" s="16" t="n">
        <x:v>12</x:v>
      </x:c>
      <x:c r="T803" s="16" t="n">
        <x:v>8</x:v>
      </x:c>
      <x:c r="U803" s="16" t="n">
        <x:v>0</x:v>
      </x:c>
      <x:c r="V803" s="16" t="n">
        <x:v>1</x:v>
      </x:c>
      <x:c r="W803" s="16" t="n">
        <x:v>0</x:v>
      </x:c>
      <x:c r="X803" s="16" t="n">
        <x:v>1</x:v>
      </x:c>
      <x:c r="Y803" s="16" t="n">
        <x:v>1</x:v>
      </x:c>
      <x:c r="Z803" s="16" t="n">
        <x:v>0</x:v>
      </x:c>
      <x:c r="AA803" s="16" t="n">
        <x:v>3</x:v>
      </x:c>
      <x:c r="AB803" s="16" t="n">
        <x:v>11</x:v>
      </x:c>
      <x:c r="AC803" s="16" t="n">
        <x:v>1</x:v>
      </x:c>
      <x:c r="AD803" s="21" t="n">
        <x:f>IF(E803="",MEDIAN($E$2:$E$2237),E803)</x:f>
        <x:v>48192</x:v>
      </x:c>
      <x:c r="AE803" s="17" t="n">
        <x:f>2014-B803</x:f>
        <x:v>56</x:v>
      </x:c>
      <x:c r="AF803" s="17" t="n">
        <x:f>F803+G803</x:f>
        <x:v>0</x:v>
      </x:c>
      <x:c r="AG803" s="21" t="n">
        <x:f>SUM(J803:O803)</x:f>
        <x:v>1526</x:v>
      </x:c>
      <x:c r="AH803" s="17" t="n">
        <x:f>SUM(Q803:S803)</x:f>
        <x:v>22</x:v>
      </x:c>
      <x:c r="AI803" s="17" t="n">
        <x:f>SUM(U803:Y803)</x:f>
        <x:v>3</x:v>
      </x:c>
      <x:c r="AJ803" s="17" t="str">
        <x:f>IF(AE803&lt;=34,"≤34",IF(AE803&lt;=44,"35–44",IF(AE803&lt;=54,"45–54",IF(AE803&lt;=64,"55–64","65+"))))</x:f>
        <x:v>55–64</x:v>
      </x:c>
      <x:c r="AK803" s="17" t="str">
        <x:f>IF(AG803&gt;=1000,"High Value",IF(AG803&gt;=300,"Mid Value","Low Value"))</x:f>
        <x:v>High Value</x:v>
      </x:c>
      <x:c r="AL803" s="17" t="str">
        <x:f>IF(AND(AI803&gt;=1,I803&lt;=50),"Priority 1",IF(AND(AG803&gt;=1000,I803&lt;=60),"Priority 2",IF(I803&lt;=30,"Priority 3","Nurture")))</x:f>
        <x:v>Nurture</x:v>
      </x:c>
    </x:row>
    <x:row r="804">
      <x:c r="A804" s="16" t="n">
        <x:v>4599</x:v>
      </x:c>
      <x:c r="B804" s="16" t="n">
        <x:v>1976</x:v>
      </x:c>
      <x:c r="C804" s="16" t="str">
        <x:v>Master</x:v>
      </x:c>
      <x:c r="D804" s="16" t="str">
        <x:v>Married</x:v>
      </x:c>
      <x:c r="E804" s="16" t="n">
        <x:v>49681</x:v>
      </x:c>
      <x:c r="F804" s="16" t="n">
        <x:v>0</x:v>
      </x:c>
      <x:c r="G804" s="16" t="n">
        <x:v>2</x:v>
      </x:c>
      <x:c r="H804" s="16" t="str">
        <x:v>04-11-2013</x:v>
      </x:c>
      <x:c r="I804" s="16" t="n">
        <x:v>66</x:v>
      </x:c>
      <x:c r="J804" s="16" t="n">
        <x:v>411</x:v>
      </x:c>
      <x:c r="K804" s="16" t="n">
        <x:v>0</x:v>
      </x:c>
      <x:c r="L804" s="16" t="n">
        <x:v>26</x:v>
      </x:c>
      <x:c r="M804" s="16" t="n">
        <x:v>0</x:v>
      </x:c>
      <x:c r="N804" s="16" t="n">
        <x:v>0</x:v>
      </x:c>
      <x:c r="O804" s="16" t="n">
        <x:v>21</x:v>
      </x:c>
      <x:c r="P804" s="16" t="n">
        <x:v>6</x:v>
      </x:c>
      <x:c r="Q804" s="16" t="n">
        <x:v>7</x:v>
      </x:c>
      <x:c r="R804" s="16" t="n">
        <x:v>1</x:v>
      </x:c>
      <x:c r="S804" s="16" t="n">
        <x:v>7</x:v>
      </x:c>
      <x:c r="T804" s="16" t="n">
        <x:v>7</x:v>
      </x:c>
      <x:c r="U804" s="16" t="n">
        <x:v>0</x:v>
      </x:c>
      <x:c r="V804" s="16" t="n">
        <x:v>0</x:v>
      </x:c>
      <x:c r="W804" s="16" t="n">
        <x:v>0</x:v>
      </x:c>
      <x:c r="X804" s="16" t="n">
        <x:v>0</x:v>
      </x:c>
      <x:c r="Y804" s="16" t="n">
        <x:v>0</x:v>
      </x:c>
      <x:c r="Z804" s="16" t="n">
        <x:v>0</x:v>
      </x:c>
      <x:c r="AA804" s="16" t="n">
        <x:v>3</x:v>
      </x:c>
      <x:c r="AB804" s="16" t="n">
        <x:v>11</x:v>
      </x:c>
      <x:c r="AC804" s="16" t="n">
        <x:v>0</x:v>
      </x:c>
      <x:c r="AD804" s="21" t="n">
        <x:f>IF(E804="",MEDIAN($E$2:$E$2237),E804)</x:f>
        <x:v>49681</x:v>
      </x:c>
      <x:c r="AE804" s="17" t="n">
        <x:f>2014-B804</x:f>
        <x:v>38</x:v>
      </x:c>
      <x:c r="AF804" s="17" t="n">
        <x:f>F804+G804</x:f>
        <x:v>2</x:v>
      </x:c>
      <x:c r="AG804" s="21" t="n">
        <x:f>SUM(J804:O804)</x:f>
        <x:v>458</x:v>
      </x:c>
      <x:c r="AH804" s="17" t="n">
        <x:f>SUM(Q804:S804)</x:f>
        <x:v>15</x:v>
      </x:c>
      <x:c r="AI804" s="17" t="n">
        <x:f>SUM(U804:Y804)</x:f>
        <x:v>0</x:v>
      </x:c>
      <x:c r="AJ804" s="17" t="str">
        <x:f>IF(AE804&lt;=34,"≤34",IF(AE804&lt;=44,"35–44",IF(AE804&lt;=54,"45–54",IF(AE804&lt;=64,"55–64","65+"))))</x:f>
        <x:v>35–44</x:v>
      </x:c>
      <x:c r="AK804" s="17" t="str">
        <x:f>IF(AG804&gt;=1000,"High Value",IF(AG804&gt;=300,"Mid Value","Low Value"))</x:f>
        <x:v>Mid Value</x:v>
      </x:c>
      <x:c r="AL804" s="17" t="str">
        <x:f>IF(AND(AI804&gt;=1,I804&lt;=50),"Priority 1",IF(AND(AG804&gt;=1000,I804&lt;=60),"Priority 2",IF(I804&lt;=30,"Priority 3","Nurture")))</x:f>
        <x:v>Nurture</x:v>
      </x:c>
    </x:row>
    <x:row r="805">
      <x:c r="A805" s="16" t="n">
        <x:v>7326</x:v>
      </x:c>
      <x:c r="B805" s="16" t="n">
        <x:v>1971</x:v>
      </x:c>
      <x:c r="C805" s="16" t="str">
        <x:v>Master</x:v>
      </x:c>
      <x:c r="D805" s="16" t="str">
        <x:v>Married</x:v>
      </x:c>
      <x:c r="E805" s="16" t="n">
        <x:v>56850</x:v>
      </x:c>
      <x:c r="F805" s="16" t="n">
        <x:v>0</x:v>
      </x:c>
      <x:c r="G805" s="16" t="n">
        <x:v>1</x:v>
      </x:c>
      <x:c r="H805" s="16" t="str">
        <x:v>23-03-2014</x:v>
      </x:c>
      <x:c r="I805" s="16" t="n">
        <x:v>83</x:v>
      </x:c>
      <x:c r="J805" s="16" t="n">
        <x:v>34</x:v>
      </x:c>
      <x:c r="K805" s="16" t="n">
        <x:v>1</x:v>
      </x:c>
      <x:c r="L805" s="16" t="n">
        <x:v>19</x:v>
      </x:c>
      <x:c r="M805" s="16" t="n">
        <x:v>2</x:v>
      </x:c>
      <x:c r="N805" s="16" t="n">
        <x:v>7</x:v>
      </x:c>
      <x:c r="O805" s="16" t="n">
        <x:v>0</x:v>
      </x:c>
      <x:c r="P805" s="16" t="n">
        <x:v>1</x:v>
      </x:c>
      <x:c r="Q805" s="16" t="n">
        <x:v>1</x:v>
      </x:c>
      <x:c r="R805" s="16" t="n">
        <x:v>1</x:v>
      </x:c>
      <x:c r="S805" s="16" t="n">
        <x:v>3</x:v>
      </x:c>
      <x:c r="T805" s="16" t="n">
        <x:v>2</x:v>
      </x:c>
      <x:c r="U805" s="16" t="n">
        <x:v>0</x:v>
      </x:c>
      <x:c r="V805" s="16" t="n">
        <x:v>0</x:v>
      </x:c>
      <x:c r="W805" s="16" t="n">
        <x:v>0</x:v>
      </x:c>
      <x:c r="X805" s="16" t="n">
        <x:v>0</x:v>
      </x:c>
      <x:c r="Y805" s="16" t="n">
        <x:v>0</x:v>
      </x:c>
      <x:c r="Z805" s="16" t="n">
        <x:v>0</x:v>
      </x:c>
      <x:c r="AA805" s="16" t="n">
        <x:v>3</x:v>
      </x:c>
      <x:c r="AB805" s="16" t="n">
        <x:v>11</x:v>
      </x:c>
      <x:c r="AC805" s="16" t="n">
        <x:v>0</x:v>
      </x:c>
      <x:c r="AD805" s="21" t="n">
        <x:f>IF(E805="",MEDIAN($E$2:$E$2237),E805)</x:f>
        <x:v>56850</x:v>
      </x:c>
      <x:c r="AE805" s="17" t="n">
        <x:f>2014-B805</x:f>
        <x:v>43</x:v>
      </x:c>
      <x:c r="AF805" s="17" t="n">
        <x:f>F805+G805</x:f>
        <x:v>1</x:v>
      </x:c>
      <x:c r="AG805" s="21" t="n">
        <x:f>SUM(J805:O805)</x:f>
        <x:v>63</x:v>
      </x:c>
      <x:c r="AH805" s="17" t="n">
        <x:f>SUM(Q805:S805)</x:f>
        <x:v>5</x:v>
      </x:c>
      <x:c r="AI805" s="17" t="n">
        <x:f>SUM(U805:Y805)</x:f>
        <x:v>0</x:v>
      </x:c>
      <x:c r="AJ805" s="17" t="str">
        <x:f>IF(AE805&lt;=34,"≤34",IF(AE805&lt;=44,"35–44",IF(AE805&lt;=54,"45–54",IF(AE805&lt;=64,"55–64","65+"))))</x:f>
        <x:v>35–44</x:v>
      </x:c>
      <x:c r="AK805" s="17" t="str">
        <x:f>IF(AG805&gt;=1000,"High Value",IF(AG805&gt;=300,"Mid Value","Low Value"))</x:f>
        <x:v>Low Value</x:v>
      </x:c>
      <x:c r="AL805" s="17" t="str">
        <x:f>IF(AND(AI805&gt;=1,I805&lt;=50),"Priority 1",IF(AND(AG805&gt;=1000,I805&lt;=60),"Priority 2",IF(I805&lt;=30,"Priority 3","Nurture")))</x:f>
        <x:v>Nurture</x:v>
      </x:c>
    </x:row>
    <x:row r="806">
      <x:c r="A806" s="16" t="n">
        <x:v>7352</x:v>
      </x:c>
      <x:c r="B806" s="16" t="n">
        <x:v>1957</x:v>
      </x:c>
      <x:c r="C806" s="16" t="str">
        <x:v>Graduation</x:v>
      </x:c>
      <x:c r="D806" s="16" t="str">
        <x:v>Married</x:v>
      </x:c>
      <x:c r="E806" s="16" t="n">
        <x:v>55267</x:v>
      </x:c>
      <x:c r="F806" s="16" t="n">
        <x:v>0</x:v>
      </x:c>
      <x:c r="G806" s="16" t="n">
        <x:v>1</x:v>
      </x:c>
      <x:c r="H806" s="16" t="str">
        <x:v>21-10-2013</x:v>
      </x:c>
      <x:c r="I806" s="16" t="n">
        <x:v>28</x:v>
      </x:c>
      <x:c r="J806" s="16" t="n">
        <x:v>161</x:v>
      </x:c>
      <x:c r="K806" s="16" t="n">
        <x:v>28</x:v>
      </x:c>
      <x:c r="L806" s="16" t="n">
        <x:v>136</x:v>
      </x:c>
      <x:c r="M806" s="16" t="n">
        <x:v>32</x:v>
      </x:c>
      <x:c r="N806" s="16" t="n">
        <x:v>3</x:v>
      </x:c>
      <x:c r="O806" s="16" t="n">
        <x:v>45</x:v>
      </x:c>
      <x:c r="P806" s="16" t="n">
        <x:v>4</x:v>
      </x:c>
      <x:c r="Q806" s="16" t="n">
        <x:v>3</x:v>
      </x:c>
      <x:c r="R806" s="16" t="n">
        <x:v>4</x:v>
      </x:c>
      <x:c r="S806" s="16" t="n">
        <x:v>6</x:v>
      </x:c>
      <x:c r="T806" s="16" t="n">
        <x:v>3</x:v>
      </x:c>
      <x:c r="U806" s="16" t="n">
        <x:v>0</x:v>
      </x:c>
      <x:c r="V806" s="16" t="n">
        <x:v>0</x:v>
      </x:c>
      <x:c r="W806" s="16" t="n">
        <x:v>0</x:v>
      </x:c>
      <x:c r="X806" s="16" t="n">
        <x:v>0</x:v>
      </x:c>
      <x:c r="Y806" s="16" t="n">
        <x:v>0</x:v>
      </x:c>
      <x:c r="Z806" s="16" t="n">
        <x:v>0</x:v>
      </x:c>
      <x:c r="AA806" s="16" t="n">
        <x:v>3</x:v>
      </x:c>
      <x:c r="AB806" s="16" t="n">
        <x:v>11</x:v>
      </x:c>
      <x:c r="AC806" s="16" t="n">
        <x:v>0</x:v>
      </x:c>
      <x:c r="AD806" s="21" t="n">
        <x:f>IF(E806="",MEDIAN($E$2:$E$2237),E806)</x:f>
        <x:v>55267</x:v>
      </x:c>
      <x:c r="AE806" s="17" t="n">
        <x:f>2014-B806</x:f>
        <x:v>57</x:v>
      </x:c>
      <x:c r="AF806" s="17" t="n">
        <x:f>F806+G806</x:f>
        <x:v>1</x:v>
      </x:c>
      <x:c r="AG806" s="21" t="n">
        <x:f>SUM(J806:O806)</x:f>
        <x:v>405</x:v>
      </x:c>
      <x:c r="AH806" s="17" t="n">
        <x:f>SUM(Q806:S806)</x:f>
        <x:v>13</x:v>
      </x:c>
      <x:c r="AI806" s="17" t="n">
        <x:f>SUM(U806:Y806)</x:f>
        <x:v>0</x:v>
      </x:c>
      <x:c r="AJ806" s="17" t="str">
        <x:f>IF(AE806&lt;=34,"≤34",IF(AE806&lt;=44,"35–44",IF(AE806&lt;=54,"45–54",IF(AE806&lt;=64,"55–64","65+"))))</x:f>
        <x:v>55–64</x:v>
      </x:c>
      <x:c r="AK806" s="17" t="str">
        <x:f>IF(AG806&gt;=1000,"High Value",IF(AG806&gt;=300,"Mid Value","Low Value"))</x:f>
        <x:v>Mid Value</x:v>
      </x:c>
      <x:c r="AL806" s="17" t="str">
        <x:f>IF(AND(AI806&gt;=1,I806&lt;=50),"Priority 1",IF(AND(AG806&gt;=1000,I806&lt;=60),"Priority 2",IF(I806&lt;=30,"Priority 3","Nurture")))</x:f>
        <x:v>Priority 3</x:v>
      </x:c>
    </x:row>
    <x:row r="807">
      <x:c r="A807" s="16" t="n">
        <x:v>2350</x:v>
      </x:c>
      <x:c r="B807" s="16" t="n">
        <x:v>1972</x:v>
      </x:c>
      <x:c r="C807" s="16" t="str">
        <x:v>Graduation</x:v>
      </x:c>
      <x:c r="D807" s="16" t="str">
        <x:v>Married</x:v>
      </x:c>
      <x:c r="E807" s="16" t="n">
        <x:v>59666</x:v>
      </x:c>
      <x:c r="F807" s="16" t="n">
        <x:v>1</x:v>
      </x:c>
      <x:c r="G807" s="16" t="n">
        <x:v>1</x:v>
      </x:c>
      <x:c r="H807" s="16" t="str">
        <x:v>22-03-2013</x:v>
      </x:c>
      <x:c r="I807" s="16" t="n">
        <x:v>87</x:v>
      </x:c>
      <x:c r="J807" s="16" t="n">
        <x:v>623</x:v>
      </x:c>
      <x:c r="K807" s="16" t="n">
        <x:v>53</x:v>
      </x:c>
      <x:c r="L807" s="16" t="n">
        <x:v>178</x:v>
      </x:c>
      <x:c r="M807" s="16" t="n">
        <x:v>23</x:v>
      </x:c>
      <x:c r="N807" s="16" t="n">
        <x:v>17</x:v>
      </x:c>
      <x:c r="O807" s="16" t="n">
        <x:v>133</x:v>
      </x:c>
      <x:c r="P807" s="16" t="n">
        <x:v>7</x:v>
      </x:c>
      <x:c r="Q807" s="16" t="n">
        <x:v>3</x:v>
      </x:c>
      <x:c r="R807" s="16" t="n">
        <x:v>2</x:v>
      </x:c>
      <x:c r="S807" s="16" t="n">
        <x:v>8</x:v>
      </x:c>
      <x:c r="T807" s="16" t="n">
        <x:v>8</x:v>
      </x:c>
      <x:c r="U807" s="16" t="n">
        <x:v>0</x:v>
      </x:c>
      <x:c r="V807" s="16" t="n">
        <x:v>1</x:v>
      </x:c>
      <x:c r="W807" s="16" t="n">
        <x:v>0</x:v>
      </x:c>
      <x:c r="X807" s="16" t="n">
        <x:v>0</x:v>
      </x:c>
      <x:c r="Y807" s="16" t="n">
        <x:v>0</x:v>
      </x:c>
      <x:c r="Z807" s="16" t="n">
        <x:v>0</x:v>
      </x:c>
      <x:c r="AA807" s="16" t="n">
        <x:v>3</x:v>
      </x:c>
      <x:c r="AB807" s="16" t="n">
        <x:v>11</x:v>
      </x:c>
      <x:c r="AC807" s="16" t="n">
        <x:v>0</x:v>
      </x:c>
      <x:c r="AD807" s="21" t="n">
        <x:f>IF(E807="",MEDIAN($E$2:$E$2237),E807)</x:f>
        <x:v>59666</x:v>
      </x:c>
      <x:c r="AE807" s="17" t="n">
        <x:f>2014-B807</x:f>
        <x:v>42</x:v>
      </x:c>
      <x:c r="AF807" s="17" t="n">
        <x:f>F807+G807</x:f>
        <x:v>2</x:v>
      </x:c>
      <x:c r="AG807" s="21" t="n">
        <x:f>SUM(J807:O807)</x:f>
        <x:v>1027</x:v>
      </x:c>
      <x:c r="AH807" s="17" t="n">
        <x:f>SUM(Q807:S807)</x:f>
        <x:v>13</x:v>
      </x:c>
      <x:c r="AI807" s="17" t="n">
        <x:f>SUM(U807:Y807)</x:f>
        <x:v>1</x:v>
      </x:c>
      <x:c r="AJ807" s="17" t="str">
        <x:f>IF(AE807&lt;=34,"≤34",IF(AE807&lt;=44,"35–44",IF(AE807&lt;=54,"45–54",IF(AE807&lt;=64,"55–64","65+"))))</x:f>
        <x:v>35–44</x:v>
      </x:c>
      <x:c r="AK807" s="17" t="str">
        <x:f>IF(AG807&gt;=1000,"High Value",IF(AG807&gt;=300,"Mid Value","Low Value"))</x:f>
        <x:v>High Value</x:v>
      </x:c>
      <x:c r="AL807" s="17" t="str">
        <x:f>IF(AND(AI807&gt;=1,I807&lt;=50),"Priority 1",IF(AND(AG807&gt;=1000,I807&lt;=60),"Priority 2",IF(I807&lt;=30,"Priority 3","Nurture")))</x:f>
        <x:v>Nurture</x:v>
      </x:c>
    </x:row>
    <x:row r="808">
      <x:c r="A808" s="16" t="n">
        <x:v>9145</x:v>
      </x:c>
      <x:c r="B808" s="16" t="n">
        <x:v>1972</x:v>
      </x:c>
      <x:c r="C808" s="16" t="str">
        <x:v>Graduation</x:v>
      </x:c>
      <x:c r="D808" s="16" t="str">
        <x:v>Single</x:v>
      </x:c>
      <x:c r="E808" s="16" t="n">
        <x:v>72504</x:v>
      </x:c>
      <x:c r="F808" s="16" t="n">
        <x:v>0</x:v>
      </x:c>
      <x:c r="G808" s="16" t="n">
        <x:v>1</x:v>
      </x:c>
      <x:c r="H808" s="16" t="str">
        <x:v>06-04-2013</x:v>
      </x:c>
      <x:c r="I808" s="16" t="n">
        <x:v>43</x:v>
      </x:c>
      <x:c r="J808" s="16" t="n">
        <x:v>604</x:v>
      </x:c>
      <x:c r="K808" s="16" t="n">
        <x:v>26</x:v>
      </x:c>
      <x:c r="L808" s="16" t="n">
        <x:v>470</x:v>
      </x:c>
      <x:c r="M808" s="16" t="n">
        <x:v>123</x:v>
      </x:c>
      <x:c r="N808" s="16" t="n">
        <x:v>161</x:v>
      </x:c>
      <x:c r="O808" s="16" t="n">
        <x:v>94</x:v>
      </x:c>
      <x:c r="P808" s="16" t="n">
        <x:v>2</x:v>
      </x:c>
      <x:c r="Q808" s="16" t="n">
        <x:v>5</x:v>
      </x:c>
      <x:c r="R808" s="16" t="n">
        <x:v>9</x:v>
      </x:c>
      <x:c r="S808" s="16" t="n">
        <x:v>6</x:v>
      </x:c>
      <x:c r="T808" s="16" t="n">
        <x:v>2</x:v>
      </x:c>
      <x:c r="U808" s="16" t="n">
        <x:v>0</x:v>
      </x:c>
      <x:c r="V808" s="16" t="n">
        <x:v>0</x:v>
      </x:c>
      <x:c r="W808" s="16" t="n">
        <x:v>0</x:v>
      </x:c>
      <x:c r="X808" s="16" t="n">
        <x:v>0</x:v>
      </x:c>
      <x:c r="Y808" s="16" t="n">
        <x:v>0</x:v>
      </x:c>
      <x:c r="Z808" s="16" t="n">
        <x:v>0</x:v>
      </x:c>
      <x:c r="AA808" s="16" t="n">
        <x:v>3</x:v>
      </x:c>
      <x:c r="AB808" s="16" t="n">
        <x:v>11</x:v>
      </x:c>
      <x:c r="AC808" s="16" t="n">
        <x:v>0</x:v>
      </x:c>
      <x:c r="AD808" s="21" t="n">
        <x:f>IF(E808="",MEDIAN($E$2:$E$2237),E808)</x:f>
        <x:v>72504</x:v>
      </x:c>
      <x:c r="AE808" s="17" t="n">
        <x:f>2014-B808</x:f>
        <x:v>42</x:v>
      </x:c>
      <x:c r="AF808" s="17" t="n">
        <x:f>F808+G808</x:f>
        <x:v>1</x:v>
      </x:c>
      <x:c r="AG808" s="21" t="n">
        <x:f>SUM(J808:O808)</x:f>
        <x:v>1478</x:v>
      </x:c>
      <x:c r="AH808" s="17" t="n">
        <x:f>SUM(Q808:S808)</x:f>
        <x:v>20</x:v>
      </x:c>
      <x:c r="AI808" s="17" t="n">
        <x:f>SUM(U808:Y808)</x:f>
        <x:v>0</x:v>
      </x:c>
      <x:c r="AJ808" s="17" t="str">
        <x:f>IF(AE808&lt;=34,"≤34",IF(AE808&lt;=44,"35–44",IF(AE808&lt;=54,"45–54",IF(AE808&lt;=64,"55–64","65+"))))</x:f>
        <x:v>35–44</x:v>
      </x:c>
      <x:c r="AK808" s="17" t="str">
        <x:f>IF(AG808&gt;=1000,"High Value",IF(AG808&gt;=300,"Mid Value","Low Value"))</x:f>
        <x:v>High Value</x:v>
      </x:c>
      <x:c r="AL808" s="17" t="str">
        <x:f>IF(AND(AI808&gt;=1,I808&lt;=50),"Priority 1",IF(AND(AG808&gt;=1000,I808&lt;=60),"Priority 2",IF(I808&lt;=30,"Priority 3","Nurture")))</x:f>
        <x:v>Priority 2</x:v>
      </x:c>
    </x:row>
    <x:row r="809">
      <x:c r="A809" s="16" t="n">
        <x:v>2964</x:v>
      </x:c>
      <x:c r="B809" s="16" t="n">
        <x:v>1981</x:v>
      </x:c>
      <x:c r="C809" s="16" t="str">
        <x:v>Graduation</x:v>
      </x:c>
      <x:c r="D809" s="16" t="str">
        <x:v>Married</x:v>
      </x:c>
      <x:c r="E809" s="16" t="n">
        <x:v>26872</x:v>
      </x:c>
      <x:c r="F809" s="16" t="n">
        <x:v>0</x:v>
      </x:c>
      <x:c r="G809" s="16" t="n">
        <x:v>0</x:v>
      </x:c>
      <x:c r="H809" s="16" t="str">
        <x:v>16-10-2013</x:v>
      </x:c>
      <x:c r="I809" s="16" t="n">
        <x:v>0</x:v>
      </x:c>
      <x:c r="J809" s="16" t="n">
        <x:v>3</x:v>
      </x:c>
      <x:c r="K809" s="16" t="n">
        <x:v>10</x:v>
      </x:c>
      <x:c r="L809" s="16" t="n">
        <x:v>8</x:v>
      </x:c>
      <x:c r="M809" s="16" t="n">
        <x:v>3</x:v>
      </x:c>
      <x:c r="N809" s="16" t="n">
        <x:v>16</x:v>
      </x:c>
      <x:c r="O809" s="16" t="n">
        <x:v>32</x:v>
      </x:c>
      <x:c r="P809" s="16" t="n">
        <x:v>1</x:v>
      </x:c>
      <x:c r="Q809" s="16" t="n">
        <x:v>1</x:v>
      </x:c>
      <x:c r="R809" s="16" t="n">
        <x:v>1</x:v>
      </x:c>
      <x:c r="S809" s="16" t="n">
        <x:v>2</x:v>
      </x:c>
      <x:c r="T809" s="16" t="n">
        <x:v>6</x:v>
      </x:c>
      <x:c r="U809" s="16" t="n">
        <x:v>0</x:v>
      </x:c>
      <x:c r="V809" s="16" t="n">
        <x:v>0</x:v>
      </x:c>
      <x:c r="W809" s="16" t="n">
        <x:v>0</x:v>
      </x:c>
      <x:c r="X809" s="16" t="n">
        <x:v>0</x:v>
      </x:c>
      <x:c r="Y809" s="16" t="n">
        <x:v>0</x:v>
      </x:c>
      <x:c r="Z809" s="16" t="n">
        <x:v>0</x:v>
      </x:c>
      <x:c r="AA809" s="16" t="n">
        <x:v>3</x:v>
      </x:c>
      <x:c r="AB809" s="16" t="n">
        <x:v>11</x:v>
      </x:c>
      <x:c r="AC809" s="16" t="n">
        <x:v>0</x:v>
      </x:c>
      <x:c r="AD809" s="21" t="n">
        <x:f>IF(E809="",MEDIAN($E$2:$E$2237),E809)</x:f>
        <x:v>26872</x:v>
      </x:c>
      <x:c r="AE809" s="17" t="n">
        <x:f>2014-B809</x:f>
        <x:v>33</x:v>
      </x:c>
      <x:c r="AF809" s="17" t="n">
        <x:f>F809+G809</x:f>
        <x:v>0</x:v>
      </x:c>
      <x:c r="AG809" s="21" t="n">
        <x:f>SUM(J809:O809)</x:f>
        <x:v>72</x:v>
      </x:c>
      <x:c r="AH809" s="17" t="n">
        <x:f>SUM(Q809:S809)</x:f>
        <x:v>4</x:v>
      </x:c>
      <x:c r="AI809" s="17" t="n">
        <x:f>SUM(U809:Y809)</x:f>
        <x:v>0</x:v>
      </x:c>
      <x:c r="AJ809" s="17" t="str">
        <x:f>IF(AE809&lt;=34,"≤34",IF(AE809&lt;=44,"35–44",IF(AE809&lt;=54,"45–54",IF(AE809&lt;=64,"55–64","65+"))))</x:f>
        <x:v>≤34</x:v>
      </x:c>
      <x:c r="AK809" s="17" t="str">
        <x:f>IF(AG809&gt;=1000,"High Value",IF(AG809&gt;=300,"Mid Value","Low Value"))</x:f>
        <x:v>Low Value</x:v>
      </x:c>
      <x:c r="AL809" s="17" t="str">
        <x:f>IF(AND(AI809&gt;=1,I809&lt;=50),"Priority 1",IF(AND(AG809&gt;=1000,I809&lt;=60),"Priority 2",IF(I809&lt;=30,"Priority 3","Nurture")))</x:f>
        <x:v>Priority 3</x:v>
      </x:c>
    </x:row>
    <x:row r="810">
      <x:c r="A810" s="16" t="n">
        <x:v>5585</x:v>
      </x:c>
      <x:c r="B810" s="16" t="n">
        <x:v>1972</x:v>
      </x:c>
      <x:c r="C810" s="16" t="str">
        <x:v>Graduation</x:v>
      </x:c>
      <x:c r="D810" s="16" t="str">
        <x:v>Single</x:v>
      </x:c>
      <x:c r="E810" s="16" t="n">
        <x:v>21359</x:v>
      </x:c>
      <x:c r="F810" s="16" t="n">
        <x:v>1</x:v>
      </x:c>
      <x:c r="G810" s="16" t="n">
        <x:v>0</x:v>
      </x:c>
      <x:c r="H810" s="16" t="str">
        <x:v>20-04-2013</x:v>
      </x:c>
      <x:c r="I810" s="16" t="n">
        <x:v>1</x:v>
      </x:c>
      <x:c r="J810" s="16" t="n">
        <x:v>12</x:v>
      </x:c>
      <x:c r="K810" s="16" t="n">
        <x:v>2</x:v>
      </x:c>
      <x:c r="L810" s="16" t="n">
        <x:v>17</x:v>
      </x:c>
      <x:c r="M810" s="16" t="n">
        <x:v>6</x:v>
      </x:c>
      <x:c r="N810" s="16" t="n">
        <x:v>1</x:v>
      </x:c>
      <x:c r="O810" s="16" t="n">
        <x:v>10</x:v>
      </x:c>
      <x:c r="P810" s="16" t="n">
        <x:v>2</x:v>
      </x:c>
      <x:c r="Q810" s="16" t="n">
        <x:v>2</x:v>
      </x:c>
      <x:c r="R810" s="16" t="n">
        <x:v>0</x:v>
      </x:c>
      <x:c r="S810" s="16" t="n">
        <x:v>3</x:v>
      </x:c>
      <x:c r="T810" s="16" t="n">
        <x:v>8</x:v>
      </x:c>
      <x:c r="U810" s="16" t="n">
        <x:v>0</x:v>
      </x:c>
      <x:c r="V810" s="16" t="n">
        <x:v>0</x:v>
      </x:c>
      <x:c r="W810" s="16" t="n">
        <x:v>0</x:v>
      </x:c>
      <x:c r="X810" s="16" t="n">
        <x:v>0</x:v>
      </x:c>
      <x:c r="Y810" s="16" t="n">
        <x:v>0</x:v>
      </x:c>
      <x:c r="Z810" s="16" t="n">
        <x:v>0</x:v>
      </x:c>
      <x:c r="AA810" s="16" t="n">
        <x:v>3</x:v>
      </x:c>
      <x:c r="AB810" s="16" t="n">
        <x:v>11</x:v>
      </x:c>
      <x:c r="AC810" s="16" t="n">
        <x:v>1</x:v>
      </x:c>
      <x:c r="AD810" s="21" t="n">
        <x:f>IF(E810="",MEDIAN($E$2:$E$2237),E810)</x:f>
        <x:v>21359</x:v>
      </x:c>
      <x:c r="AE810" s="17" t="n">
        <x:f>2014-B810</x:f>
        <x:v>42</x:v>
      </x:c>
      <x:c r="AF810" s="17" t="n">
        <x:f>F810+G810</x:f>
        <x:v>1</x:v>
      </x:c>
      <x:c r="AG810" s="21" t="n">
        <x:f>SUM(J810:O810)</x:f>
        <x:v>48</x:v>
      </x:c>
      <x:c r="AH810" s="17" t="n">
        <x:f>SUM(Q810:S810)</x:f>
        <x:v>5</x:v>
      </x:c>
      <x:c r="AI810" s="17" t="n">
        <x:f>SUM(U810:Y810)</x:f>
        <x:v>0</x:v>
      </x:c>
      <x:c r="AJ810" s="17" t="str">
        <x:f>IF(AE810&lt;=34,"≤34",IF(AE810&lt;=44,"35–44",IF(AE810&lt;=54,"45–54",IF(AE810&lt;=64,"55–64","65+"))))</x:f>
        <x:v>35–44</x:v>
      </x:c>
      <x:c r="AK810" s="17" t="str">
        <x:f>IF(AG810&gt;=1000,"High Value",IF(AG810&gt;=300,"Mid Value","Low Value"))</x:f>
        <x:v>Low Value</x:v>
      </x:c>
      <x:c r="AL810" s="17" t="str">
        <x:f>IF(AND(AI810&gt;=1,I810&lt;=50),"Priority 1",IF(AND(AG810&gt;=1000,I810&lt;=60),"Priority 2",IF(I810&lt;=30,"Priority 3","Nurture")))</x:f>
        <x:v>Priority 3</x:v>
      </x:c>
    </x:row>
    <x:row r="811">
      <x:c r="A811" s="16" t="n">
        <x:v>9687</x:v>
      </x:c>
      <x:c r="B811" s="16" t="n">
        <x:v>1975</x:v>
      </x:c>
      <x:c r="C811" s="16" t="str">
        <x:v>Graduation</x:v>
      </x:c>
      <x:c r="D811" s="16" t="str">
        <x:v>Single</x:v>
      </x:c>
      <x:c r="E811" s="16" t="n">
        <x:v>73170</x:v>
      </x:c>
      <x:c r="F811" s="16" t="n">
        <x:v>0</x:v>
      </x:c>
      <x:c r="G811" s="16" t="n">
        <x:v>0</x:v>
      </x:c>
      <x:c r="H811" s="16" t="str">
        <x:v>31-05-2014</x:v>
      </x:c>
      <x:c r="I811" s="16" t="n">
        <x:v>1</x:v>
      </x:c>
      <x:c r="J811" s="16" t="n">
        <x:v>184</x:v>
      </x:c>
      <x:c r="K811" s="16" t="n">
        <x:v>174</x:v>
      </x:c>
      <x:c r="L811" s="16" t="n">
        <x:v>256</x:v>
      </x:c>
      <x:c r="M811" s="16" t="n">
        <x:v>50</x:v>
      </x:c>
      <x:c r="N811" s="16" t="n">
        <x:v>30</x:v>
      </x:c>
      <x:c r="O811" s="16" t="n">
        <x:v>32</x:v>
      </x:c>
      <x:c r="P811" s="16" t="n">
        <x:v>1</x:v>
      </x:c>
      <x:c r="Q811" s="16" t="n">
        <x:v>5</x:v>
      </x:c>
      <x:c r="R811" s="16" t="n">
        <x:v>4</x:v>
      </x:c>
      <x:c r="S811" s="16" t="n">
        <x:v>6</x:v>
      </x:c>
      <x:c r="T811" s="16" t="n">
        <x:v>2</x:v>
      </x:c>
      <x:c r="U811" s="16" t="n">
        <x:v>0</x:v>
      </x:c>
      <x:c r="V811" s="16" t="n">
        <x:v>0</x:v>
      </x:c>
      <x:c r="W811" s="16" t="n">
        <x:v>0</x:v>
      </x:c>
      <x:c r="X811" s="16" t="n">
        <x:v>0</x:v>
      </x:c>
      <x:c r="Y811" s="16" t="n">
        <x:v>0</x:v>
      </x:c>
      <x:c r="Z811" s="16" t="n">
        <x:v>0</x:v>
      </x:c>
      <x:c r="AA811" s="16" t="n">
        <x:v>3</x:v>
      </x:c>
      <x:c r="AB811" s="16" t="n">
        <x:v>11</x:v>
      </x:c>
      <x:c r="AC811" s="16" t="n">
        <x:v>0</x:v>
      </x:c>
      <x:c r="AD811" s="21" t="n">
        <x:f>IF(E811="",MEDIAN($E$2:$E$2237),E811)</x:f>
        <x:v>73170</x:v>
      </x:c>
      <x:c r="AE811" s="17" t="n">
        <x:f>2014-B811</x:f>
        <x:v>39</x:v>
      </x:c>
      <x:c r="AF811" s="17" t="n">
        <x:f>F811+G811</x:f>
        <x:v>0</x:v>
      </x:c>
      <x:c r="AG811" s="21" t="n">
        <x:f>SUM(J811:O811)</x:f>
        <x:v>726</x:v>
      </x:c>
      <x:c r="AH811" s="17" t="n">
        <x:f>SUM(Q811:S811)</x:f>
        <x:v>15</x:v>
      </x:c>
      <x:c r="AI811" s="17" t="n">
        <x:f>SUM(U811:Y811)</x:f>
        <x:v>0</x:v>
      </x:c>
      <x:c r="AJ811" s="17" t="str">
        <x:f>IF(AE811&lt;=34,"≤34",IF(AE811&lt;=44,"35–44",IF(AE811&lt;=54,"45–54",IF(AE811&lt;=64,"55–64","65+"))))</x:f>
        <x:v>35–44</x:v>
      </x:c>
      <x:c r="AK811" s="17" t="str">
        <x:f>IF(AG811&gt;=1000,"High Value",IF(AG811&gt;=300,"Mid Value","Low Value"))</x:f>
        <x:v>Mid Value</x:v>
      </x:c>
      <x:c r="AL811" s="17" t="str">
        <x:f>IF(AND(AI811&gt;=1,I811&lt;=50),"Priority 1",IF(AND(AG811&gt;=1000,I811&lt;=60),"Priority 2",IF(I811&lt;=30,"Priority 3","Nurture")))</x:f>
        <x:v>Priority 3</x:v>
      </x:c>
    </x:row>
    <x:row r="812">
      <x:c r="A812" s="16" t="n">
        <x:v>3732</x:v>
      </x:c>
      <x:c r="B812" s="16" t="n">
        <x:v>1955</x:v>
      </x:c>
      <x:c r="C812" s="16" t="str">
        <x:v>Master</x:v>
      </x:c>
      <x:c r="D812" s="16" t="str">
        <x:v>Married</x:v>
      </x:c>
      <x:c r="E812" s="16" t="n">
        <x:v>52750</x:v>
      </x:c>
      <x:c r="F812" s="16" t="n">
        <x:v>0</x:v>
      </x:c>
      <x:c r="G812" s="16" t="n">
        <x:v>1</x:v>
      </x:c>
      <x:c r="H812" s="16" t="str">
        <x:v>04-02-2013</x:v>
      </x:c>
      <x:c r="I812" s="16" t="n">
        <x:v>72</x:v>
      </x:c>
      <x:c r="J812" s="16" t="n">
        <x:v>393</x:v>
      </x:c>
      <x:c r="K812" s="16" t="n">
        <x:v>0</x:v>
      </x:c>
      <x:c r="L812" s="16" t="n">
        <x:v>239</x:v>
      </x:c>
      <x:c r="M812" s="16" t="n">
        <x:v>90</x:v>
      </x:c>
      <x:c r="N812" s="16" t="n">
        <x:v>69</x:v>
      </x:c>
      <x:c r="O812" s="16" t="n">
        <x:v>69</x:v>
      </x:c>
      <x:c r="P812" s="16" t="n">
        <x:v>6</x:v>
      </x:c>
      <x:c r="Q812" s="16" t="n">
        <x:v>5</x:v>
      </x:c>
      <x:c r="R812" s="16" t="n">
        <x:v>7</x:v>
      </x:c>
      <x:c r="S812" s="16" t="n">
        <x:v>9</x:v>
      </x:c>
      <x:c r="T812" s="16" t="n">
        <x:v>4</x:v>
      </x:c>
      <x:c r="U812" s="16" t="n">
        <x:v>0</x:v>
      </x:c>
      <x:c r="V812" s="16" t="n">
        <x:v>0</x:v>
      </x:c>
      <x:c r="W812" s="16" t="n">
        <x:v>0</x:v>
      </x:c>
      <x:c r="X812" s="16" t="n">
        <x:v>0</x:v>
      </x:c>
      <x:c r="Y812" s="16" t="n">
        <x:v>0</x:v>
      </x:c>
      <x:c r="Z812" s="16" t="n">
        <x:v>0</x:v>
      </x:c>
      <x:c r="AA812" s="16" t="n">
        <x:v>3</x:v>
      </x:c>
      <x:c r="AB812" s="16" t="n">
        <x:v>11</x:v>
      </x:c>
      <x:c r="AC812" s="16" t="n">
        <x:v>0</x:v>
      </x:c>
      <x:c r="AD812" s="21" t="n">
        <x:f>IF(E812="",MEDIAN($E$2:$E$2237),E812)</x:f>
        <x:v>52750</x:v>
      </x:c>
      <x:c r="AE812" s="17" t="n">
        <x:f>2014-B812</x:f>
        <x:v>59</x:v>
      </x:c>
      <x:c r="AF812" s="17" t="n">
        <x:f>F812+G812</x:f>
        <x:v>1</x:v>
      </x:c>
      <x:c r="AG812" s="21" t="n">
        <x:f>SUM(J812:O812)</x:f>
        <x:v>860</x:v>
      </x:c>
      <x:c r="AH812" s="17" t="n">
        <x:f>SUM(Q812:S812)</x:f>
        <x:v>21</x:v>
      </x:c>
      <x:c r="AI812" s="17" t="n">
        <x:f>SUM(U812:Y812)</x:f>
        <x:v>0</x:v>
      </x:c>
      <x:c r="AJ812" s="17" t="str">
        <x:f>IF(AE812&lt;=34,"≤34",IF(AE812&lt;=44,"35–44",IF(AE812&lt;=54,"45–54",IF(AE812&lt;=64,"55–64","65+"))))</x:f>
        <x:v>55–64</x:v>
      </x:c>
      <x:c r="AK812" s="17" t="str">
        <x:f>IF(AG812&gt;=1000,"High Value",IF(AG812&gt;=300,"Mid Value","Low Value"))</x:f>
        <x:v>Mid Value</x:v>
      </x:c>
      <x:c r="AL812" s="17" t="str">
        <x:f>IF(AND(AI812&gt;=1,I812&lt;=50),"Priority 1",IF(AND(AG812&gt;=1000,I812&lt;=60),"Priority 2",IF(I812&lt;=30,"Priority 3","Nurture")))</x:f>
        <x:v>Nurture</x:v>
      </x:c>
    </x:row>
    <x:row r="813">
      <x:c r="A813" s="16" t="n">
        <x:v>6303</x:v>
      </x:c>
      <x:c r="B813" s="16" t="n">
        <x:v>1986</x:v>
      </x:c>
      <x:c r="C813" s="16" t="str">
        <x:v>PhD</x:v>
      </x:c>
      <x:c r="D813" s="16" t="str">
        <x:v>Together</x:v>
      </x:c>
      <x:c r="E813" s="16" t="n">
        <x:v>91820</x:v>
      </x:c>
      <x:c r="F813" s="16" t="n">
        <x:v>0</x:v>
      </x:c>
      <x:c r="G813" s="16" t="n">
        <x:v>0</x:v>
      </x:c>
      <x:c r="H813" s="16" t="str">
        <x:v>23-11-2013</x:v>
      </x:c>
      <x:c r="I813" s="16" t="n">
        <x:v>72</x:v>
      </x:c>
      <x:c r="J813" s="16" t="n">
        <x:v>410</x:v>
      </x:c>
      <x:c r="K813" s="16" t="n">
        <x:v>73</x:v>
      </x:c>
      <x:c r="L813" s="16" t="n">
        <x:v>747</x:v>
      </x:c>
      <x:c r="M813" s="16" t="n">
        <x:v>76</x:v>
      </x:c>
      <x:c r="N813" s="16" t="n">
        <x:v>161</x:v>
      </x:c>
      <x:c r="O813" s="16" t="n">
        <x:v>30</x:v>
      </x:c>
      <x:c r="P813" s="16" t="n">
        <x:v>0</x:v>
      </x:c>
      <x:c r="Q813" s="16" t="n">
        <x:v>5</x:v>
      </x:c>
      <x:c r="R813" s="16" t="n">
        <x:v>5</x:v>
      </x:c>
      <x:c r="S813" s="16" t="n">
        <x:v>12</x:v>
      </x:c>
      <x:c r="T813" s="16" t="n">
        <x:v>1</x:v>
      </x:c>
      <x:c r="U813" s="16" t="n">
        <x:v>0</x:v>
      </x:c>
      <x:c r="V813" s="16" t="n">
        <x:v>0</x:v>
      </x:c>
      <x:c r="W813" s="16" t="n">
        <x:v>0</x:v>
      </x:c>
      <x:c r="X813" s="16" t="n">
        <x:v>0</x:v>
      </x:c>
      <x:c r="Y813" s="16" t="n">
        <x:v>0</x:v>
      </x:c>
      <x:c r="Z813" s="16" t="n">
        <x:v>0</x:v>
      </x:c>
      <x:c r="AA813" s="16" t="n">
        <x:v>3</x:v>
      </x:c>
      <x:c r="AB813" s="16" t="n">
        <x:v>11</x:v>
      </x:c>
      <x:c r="AC813" s="16" t="n">
        <x:v>0</x:v>
      </x:c>
      <x:c r="AD813" s="21" t="n">
        <x:f>IF(E813="",MEDIAN($E$2:$E$2237),E813)</x:f>
        <x:v>91820</x:v>
      </x:c>
      <x:c r="AE813" s="17" t="n">
        <x:f>2014-B813</x:f>
        <x:v>28</x:v>
      </x:c>
      <x:c r="AF813" s="17" t="n">
        <x:f>F813+G813</x:f>
        <x:v>0</x:v>
      </x:c>
      <x:c r="AG813" s="21" t="n">
        <x:f>SUM(J813:O813)</x:f>
        <x:v>1497</x:v>
      </x:c>
      <x:c r="AH813" s="17" t="n">
        <x:f>SUM(Q813:S813)</x:f>
        <x:v>22</x:v>
      </x:c>
      <x:c r="AI813" s="17" t="n">
        <x:f>SUM(U813:Y813)</x:f>
        <x:v>0</x:v>
      </x:c>
      <x:c r="AJ813" s="17" t="str">
        <x:f>IF(AE813&lt;=34,"≤34",IF(AE813&lt;=44,"35–44",IF(AE813&lt;=54,"45–54",IF(AE813&lt;=64,"55–64","65+"))))</x:f>
        <x:v>≤34</x:v>
      </x:c>
      <x:c r="AK813" s="17" t="str">
        <x:f>IF(AG813&gt;=1000,"High Value",IF(AG813&gt;=300,"Mid Value","Low Value"))</x:f>
        <x:v>High Value</x:v>
      </x:c>
      <x:c r="AL813" s="17" t="str">
        <x:f>IF(AND(AI813&gt;=1,I813&lt;=50),"Priority 1",IF(AND(AG813&gt;=1000,I813&lt;=60),"Priority 2",IF(I813&lt;=30,"Priority 3","Nurture")))</x:f>
        <x:v>Nurture</x:v>
      </x:c>
    </x:row>
    <x:row r="814">
      <x:c r="A814" s="16" t="n">
        <x:v>11176</x:v>
      </x:c>
      <x:c r="B814" s="16" t="n">
        <x:v>1970</x:v>
      </x:c>
      <x:c r="C814" s="16" t="str">
        <x:v>PhD</x:v>
      </x:c>
      <x:c r="D814" s="16" t="str">
        <x:v>Together</x:v>
      </x:c>
      <x:c r="E814" s="16" t="n">
        <x:v>65968</x:v>
      </x:c>
      <x:c r="F814" s="16" t="n">
        <x:v>0</x:v>
      </x:c>
      <x:c r="G814" s="16" t="n">
        <x:v>1</x:v>
      </x:c>
      <x:c r="H814" s="16" t="str">
        <x:v>12-05-2014</x:v>
      </x:c>
      <x:c r="I814" s="16" t="n">
        <x:v>12</x:v>
      </x:c>
      <x:c r="J814" s="16" t="n">
        <x:v>376</x:v>
      </x:c>
      <x:c r="K814" s="16" t="n">
        <x:v>9</x:v>
      </x:c>
      <x:c r="L814" s="16" t="n">
        <x:v>83</x:v>
      </x:c>
      <x:c r="M814" s="16" t="n">
        <x:v>19</x:v>
      </x:c>
      <x:c r="N814" s="16" t="n">
        <x:v>4</x:v>
      </x:c>
      <x:c r="O814" s="16" t="n">
        <x:v>4</x:v>
      </x:c>
      <x:c r="P814" s="16" t="n">
        <x:v>2</x:v>
      </x:c>
      <x:c r="Q814" s="16" t="n">
        <x:v>5</x:v>
      </x:c>
      <x:c r="R814" s="16" t="n">
        <x:v>4</x:v>
      </x:c>
      <x:c r="S814" s="16" t="n">
        <x:v>7</x:v>
      </x:c>
      <x:c r="T814" s="16" t="n">
        <x:v>3</x:v>
      </x:c>
      <x:c r="U814" s="16" t="n">
        <x:v>0</x:v>
      </x:c>
      <x:c r="V814" s="16" t="n">
        <x:v>0</x:v>
      </x:c>
      <x:c r="W814" s="16" t="n">
        <x:v>0</x:v>
      </x:c>
      <x:c r="X814" s="16" t="n">
        <x:v>0</x:v>
      </x:c>
      <x:c r="Y814" s="16" t="n">
        <x:v>0</x:v>
      </x:c>
      <x:c r="Z814" s="16" t="n">
        <x:v>0</x:v>
      </x:c>
      <x:c r="AA814" s="16" t="n">
        <x:v>3</x:v>
      </x:c>
      <x:c r="AB814" s="16" t="n">
        <x:v>11</x:v>
      </x:c>
      <x:c r="AC814" s="16" t="n">
        <x:v>0</x:v>
      </x:c>
      <x:c r="AD814" s="21" t="n">
        <x:f>IF(E814="",MEDIAN($E$2:$E$2237),E814)</x:f>
        <x:v>65968</x:v>
      </x:c>
      <x:c r="AE814" s="17" t="n">
        <x:f>2014-B814</x:f>
        <x:v>44</x:v>
      </x:c>
      <x:c r="AF814" s="17" t="n">
        <x:f>F814+G814</x:f>
        <x:v>1</x:v>
      </x:c>
      <x:c r="AG814" s="21" t="n">
        <x:f>SUM(J814:O814)</x:f>
        <x:v>495</x:v>
      </x:c>
      <x:c r="AH814" s="17" t="n">
        <x:f>SUM(Q814:S814)</x:f>
        <x:v>16</x:v>
      </x:c>
      <x:c r="AI814" s="17" t="n">
        <x:f>SUM(U814:Y814)</x:f>
        <x:v>0</x:v>
      </x:c>
      <x:c r="AJ814" s="17" t="str">
        <x:f>IF(AE814&lt;=34,"≤34",IF(AE814&lt;=44,"35–44",IF(AE814&lt;=54,"45–54",IF(AE814&lt;=64,"55–64","65+"))))</x:f>
        <x:v>35–44</x:v>
      </x:c>
      <x:c r="AK814" s="17" t="str">
        <x:f>IF(AG814&gt;=1000,"High Value",IF(AG814&gt;=300,"Mid Value","Low Value"))</x:f>
        <x:v>Mid Value</x:v>
      </x:c>
      <x:c r="AL814" s="17" t="str">
        <x:f>IF(AND(AI814&gt;=1,I814&lt;=50),"Priority 1",IF(AND(AG814&gt;=1000,I814&lt;=60),"Priority 2",IF(I814&lt;=30,"Priority 3","Nurture")))</x:f>
        <x:v>Priority 3</x:v>
      </x:c>
    </x:row>
    <x:row r="815">
      <x:c r="A815" s="16" t="n">
        <x:v>2986</x:v>
      </x:c>
      <x:c r="B815" s="16" t="n">
        <x:v>1976</x:v>
      </x:c>
      <x:c r="C815" s="16" t="str">
        <x:v>Graduation</x:v>
      </x:c>
      <x:c r="D815" s="16" t="str">
        <x:v>Married</x:v>
      </x:c>
      <x:c r="E815" s="16" t="n">
        <x:v>30772</x:v>
      </x:c>
      <x:c r="F815" s="16" t="n">
        <x:v>1</x:v>
      </x:c>
      <x:c r="G815" s="16" t="n">
        <x:v>1</x:v>
      </x:c>
      <x:c r="H815" s="16" t="str">
        <x:v>12-03-2014</x:v>
      </x:c>
      <x:c r="I815" s="16" t="n">
        <x:v>89</x:v>
      </x:c>
      <x:c r="J815" s="16" t="n">
        <x:v>7</x:v>
      </x:c>
      <x:c r="K815" s="16" t="n">
        <x:v>2</x:v>
      </x:c>
      <x:c r="L815" s="16" t="n">
        <x:v>4</x:v>
      </x:c>
      <x:c r="M815" s="16" t="n">
        <x:v>2</x:v>
      </x:c>
      <x:c r="N815" s="16" t="n">
        <x:v>1</x:v>
      </x:c>
      <x:c r="O815" s="16" t="n">
        <x:v>4</x:v>
      </x:c>
      <x:c r="P815" s="16" t="n">
        <x:v>1</x:v>
      </x:c>
      <x:c r="Q815" s="16" t="n">
        <x:v>1</x:v>
      </x:c>
      <x:c r="R815" s="16" t="n">
        <x:v>0</x:v>
      </x:c>
      <x:c r="S815" s="16" t="n">
        <x:v>2</x:v>
      </x:c>
      <x:c r="T815" s="16" t="n">
        <x:v>6</x:v>
      </x:c>
      <x:c r="U815" s="16" t="n">
        <x:v>0</x:v>
      </x:c>
      <x:c r="V815" s="16" t="n">
        <x:v>0</x:v>
      </x:c>
      <x:c r="W815" s="16" t="n">
        <x:v>0</x:v>
      </x:c>
      <x:c r="X815" s="16" t="n">
        <x:v>0</x:v>
      </x:c>
      <x:c r="Y815" s="16" t="n">
        <x:v>0</x:v>
      </x:c>
      <x:c r="Z815" s="16" t="n">
        <x:v>0</x:v>
      </x:c>
      <x:c r="AA815" s="16" t="n">
        <x:v>3</x:v>
      </x:c>
      <x:c r="AB815" s="16" t="n">
        <x:v>11</x:v>
      </x:c>
      <x:c r="AC815" s="16" t="n">
        <x:v>0</x:v>
      </x:c>
      <x:c r="AD815" s="21" t="n">
        <x:f>IF(E815="",MEDIAN($E$2:$E$2237),E815)</x:f>
        <x:v>30772</x:v>
      </x:c>
      <x:c r="AE815" s="17" t="n">
        <x:f>2014-B815</x:f>
        <x:v>38</x:v>
      </x:c>
      <x:c r="AF815" s="17" t="n">
        <x:f>F815+G815</x:f>
        <x:v>2</x:v>
      </x:c>
      <x:c r="AG815" s="21" t="n">
        <x:f>SUM(J815:O815)</x:f>
        <x:v>20</x:v>
      </x:c>
      <x:c r="AH815" s="17" t="n">
        <x:f>SUM(Q815:S815)</x:f>
        <x:v>3</x:v>
      </x:c>
      <x:c r="AI815" s="17" t="n">
        <x:f>SUM(U815:Y815)</x:f>
        <x:v>0</x:v>
      </x:c>
      <x:c r="AJ815" s="17" t="str">
        <x:f>IF(AE815&lt;=34,"≤34",IF(AE815&lt;=44,"35–44",IF(AE815&lt;=54,"45–54",IF(AE815&lt;=64,"55–64","65+"))))</x:f>
        <x:v>35–44</x:v>
      </x:c>
      <x:c r="AK815" s="17" t="str">
        <x:f>IF(AG815&gt;=1000,"High Value",IF(AG815&gt;=300,"Mid Value","Low Value"))</x:f>
        <x:v>Low Value</x:v>
      </x:c>
      <x:c r="AL815" s="17" t="str">
        <x:f>IF(AND(AI815&gt;=1,I815&lt;=50),"Priority 1",IF(AND(AG815&gt;=1000,I815&lt;=60),"Priority 2",IF(I815&lt;=30,"Priority 3","Nurture")))</x:f>
        <x:v>Nurture</x:v>
      </x:c>
    </x:row>
    <x:row r="816">
      <x:c r="A816" s="16" t="n">
        <x:v>7462</x:v>
      </x:c>
      <x:c r="B816" s="16" t="n">
        <x:v>1954</x:v>
      </x:c>
      <x:c r="C816" s="16" t="str">
        <x:v>Graduation</x:v>
      </x:c>
      <x:c r="D816" s="16" t="str">
        <x:v>Single</x:v>
      </x:c>
      <x:c r="E816" s="16" t="n">
        <x:v>22507</x:v>
      </x:c>
      <x:c r="F816" s="16" t="n">
        <x:v>0</x:v>
      </x:c>
      <x:c r="G816" s="16" t="n">
        <x:v>0</x:v>
      </x:c>
      <x:c r="H816" s="16" t="str">
        <x:v>24-11-2012</x:v>
      </x:c>
      <x:c r="I816" s="16" t="n">
        <x:v>67</x:v>
      </x:c>
      <x:c r="J816" s="16" t="n">
        <x:v>68</x:v>
      </x:c>
      <x:c r="K816" s="16" t="n">
        <x:v>0</x:v>
      </x:c>
      <x:c r="L816" s="16" t="n">
        <x:v>226</x:v>
      </x:c>
      <x:c r="M816" s="16" t="n">
        <x:v>51</x:v>
      </x:c>
      <x:c r="N816" s="16" t="n">
        <x:v>157</x:v>
      </x:c>
      <x:c r="O816" s="16" t="n">
        <x:v>68</x:v>
      </x:c>
      <x:c r="P816" s="16" t="n">
        <x:v>3</x:v>
      </x:c>
      <x:c r="Q816" s="16" t="n">
        <x:v>10</x:v>
      </x:c>
      <x:c r="R816" s="16" t="n">
        <x:v>2</x:v>
      </x:c>
      <x:c r="S816" s="16" t="n">
        <x:v>4</x:v>
      </x:c>
      <x:c r="T816" s="16" t="n">
        <x:v>9</x:v>
      </x:c>
      <x:c r="U816" s="16" t="n">
        <x:v>0</x:v>
      </x:c>
      <x:c r="V816" s="16" t="n">
        <x:v>0</x:v>
      </x:c>
      <x:c r="W816" s="16" t="n">
        <x:v>0</x:v>
      </x:c>
      <x:c r="X816" s="16" t="n">
        <x:v>0</x:v>
      </x:c>
      <x:c r="Y816" s="16" t="n">
        <x:v>0</x:v>
      </x:c>
      <x:c r="Z816" s="16" t="n">
        <x:v>0</x:v>
      </x:c>
      <x:c r="AA816" s="16" t="n">
        <x:v>3</x:v>
      </x:c>
      <x:c r="AB816" s="16" t="n">
        <x:v>11</x:v>
      </x:c>
      <x:c r="AC816" s="16" t="n">
        <x:v>0</x:v>
      </x:c>
      <x:c r="AD816" s="21" t="n">
        <x:f>IF(E816="",MEDIAN($E$2:$E$2237),E816)</x:f>
        <x:v>22507</x:v>
      </x:c>
      <x:c r="AE816" s="17" t="n">
        <x:f>2014-B816</x:f>
        <x:v>60</x:v>
      </x:c>
      <x:c r="AF816" s="17" t="n">
        <x:f>F816+G816</x:f>
        <x:v>0</x:v>
      </x:c>
      <x:c r="AG816" s="21" t="n">
        <x:f>SUM(J816:O816)</x:f>
        <x:v>570</x:v>
      </x:c>
      <x:c r="AH816" s="17" t="n">
        <x:f>SUM(Q816:S816)</x:f>
        <x:v>16</x:v>
      </x:c>
      <x:c r="AI816" s="17" t="n">
        <x:f>SUM(U816:Y816)</x:f>
        <x:v>0</x:v>
      </x:c>
      <x:c r="AJ816" s="17" t="str">
        <x:f>IF(AE816&lt;=34,"≤34",IF(AE816&lt;=44,"35–44",IF(AE816&lt;=54,"45–54",IF(AE816&lt;=64,"55–64","65+"))))</x:f>
        <x:v>55–64</x:v>
      </x:c>
      <x:c r="AK816" s="17" t="str">
        <x:f>IF(AG816&gt;=1000,"High Value",IF(AG816&gt;=300,"Mid Value","Low Value"))</x:f>
        <x:v>Mid Value</x:v>
      </x:c>
      <x:c r="AL816" s="17" t="str">
        <x:f>IF(AND(AI816&gt;=1,I816&lt;=50),"Priority 1",IF(AND(AG816&gt;=1000,I816&lt;=60),"Priority 2",IF(I816&lt;=30,"Priority 3","Nurture")))</x:f>
        <x:v>Nurture</x:v>
      </x:c>
    </x:row>
    <x:row r="817">
      <x:c r="A817" s="16" t="n">
        <x:v>3900</x:v>
      </x:c>
      <x:c r="B817" s="16" t="n">
        <x:v>1972</x:v>
      </x:c>
      <x:c r="C817" s="16" t="str">
        <x:v>Graduation</x:v>
      </x:c>
      <x:c r="D817" s="16" t="str">
        <x:v>Married</x:v>
      </x:c>
      <x:c r="E817" s="16" t="n">
        <x:v>65685</x:v>
      </x:c>
      <x:c r="F817" s="16" t="n">
        <x:v>0</x:v>
      </x:c>
      <x:c r="G817" s="16" t="n">
        <x:v>1</x:v>
      </x:c>
      <x:c r="H817" s="16" t="str">
        <x:v>29-03-2014</x:v>
      </x:c>
      <x:c r="I817" s="16" t="n">
        <x:v>54</x:v>
      </x:c>
      <x:c r="J817" s="16" t="n">
        <x:v>642</x:v>
      </x:c>
      <x:c r="K817" s="16" t="n">
        <x:v>14</x:v>
      </x:c>
      <x:c r="L817" s="16" t="n">
        <x:v>49</x:v>
      </x:c>
      <x:c r="M817" s="16" t="n">
        <x:v>0</x:v>
      </x:c>
      <x:c r="N817" s="16" t="n">
        <x:v>7</x:v>
      </x:c>
      <x:c r="O817" s="16" t="n">
        <x:v>57</x:v>
      </x:c>
      <x:c r="P817" s="16" t="n">
        <x:v>1</x:v>
      </x:c>
      <x:c r="Q817" s="16" t="n">
        <x:v>9</x:v>
      </x:c>
      <x:c r="R817" s="16" t="n">
        <x:v>2</x:v>
      </x:c>
      <x:c r="S817" s="16" t="n">
        <x:v>9</x:v>
      </x:c>
      <x:c r="T817" s="16" t="n">
        <x:v>5</x:v>
      </x:c>
      <x:c r="U817" s="16" t="n">
        <x:v>0</x:v>
      </x:c>
      <x:c r="V817" s="16" t="n">
        <x:v>0</x:v>
      </x:c>
      <x:c r="W817" s="16" t="n">
        <x:v>0</x:v>
      </x:c>
      <x:c r="X817" s="16" t="n">
        <x:v>0</x:v>
      </x:c>
      <x:c r="Y817" s="16" t="n">
        <x:v>0</x:v>
      </x:c>
      <x:c r="Z817" s="16" t="n">
        <x:v>0</x:v>
      </x:c>
      <x:c r="AA817" s="16" t="n">
        <x:v>3</x:v>
      </x:c>
      <x:c r="AB817" s="16" t="n">
        <x:v>11</x:v>
      </x:c>
      <x:c r="AC817" s="16" t="n">
        <x:v>0</x:v>
      </x:c>
      <x:c r="AD817" s="21" t="n">
        <x:f>IF(E817="",MEDIAN($E$2:$E$2237),E817)</x:f>
        <x:v>65685</x:v>
      </x:c>
      <x:c r="AE817" s="17" t="n">
        <x:f>2014-B817</x:f>
        <x:v>42</x:v>
      </x:c>
      <x:c r="AF817" s="17" t="n">
        <x:f>F817+G817</x:f>
        <x:v>1</x:v>
      </x:c>
      <x:c r="AG817" s="21" t="n">
        <x:f>SUM(J817:O817)</x:f>
        <x:v>769</x:v>
      </x:c>
      <x:c r="AH817" s="17" t="n">
        <x:f>SUM(Q817:S817)</x:f>
        <x:v>20</x:v>
      </x:c>
      <x:c r="AI817" s="17" t="n">
        <x:f>SUM(U817:Y817)</x:f>
        <x:v>0</x:v>
      </x:c>
      <x:c r="AJ817" s="17" t="str">
        <x:f>IF(AE817&lt;=34,"≤34",IF(AE817&lt;=44,"35–44",IF(AE817&lt;=54,"45–54",IF(AE817&lt;=64,"55–64","65+"))))</x:f>
        <x:v>35–44</x:v>
      </x:c>
      <x:c r="AK817" s="17" t="str">
        <x:f>IF(AG817&gt;=1000,"High Value",IF(AG817&gt;=300,"Mid Value","Low Value"))</x:f>
        <x:v>Mid Value</x:v>
      </x:c>
      <x:c r="AL817" s="17" t="str">
        <x:f>IF(AND(AI817&gt;=1,I817&lt;=50),"Priority 1",IF(AND(AG817&gt;=1000,I817&lt;=60),"Priority 2",IF(I817&lt;=30,"Priority 3","Nurture")))</x:f>
        <x:v>Nurture</x:v>
      </x:c>
    </x:row>
    <x:row r="818">
      <x:c r="A818" s="16" t="n">
        <x:v>7034</x:v>
      </x:c>
      <x:c r="B818" s="16" t="n">
        <x:v>1978</x:v>
      </x:c>
      <x:c r="C818" s="16" t="str">
        <x:v>2n Cycle</x:v>
      </x:c>
      <x:c r="D818" s="16" t="str">
        <x:v>Married</x:v>
      </x:c>
      <x:c r="E818" s="16" t="n">
        <x:v>25804</x:v>
      </x:c>
      <x:c r="F818" s="16" t="n">
        <x:v>1</x:v>
      </x:c>
      <x:c r="G818" s="16" t="n">
        <x:v>0</x:v>
      </x:c>
      <x:c r="H818" s="16" t="str">
        <x:v>01-09-2013</x:v>
      </x:c>
      <x:c r="I818" s="16" t="n">
        <x:v>34</x:v>
      </x:c>
      <x:c r="J818" s="16" t="n">
        <x:v>8</x:v>
      </x:c>
      <x:c r="K818" s="16" t="n">
        <x:v>7</x:v>
      </x:c>
      <x:c r="L818" s="16" t="n">
        <x:v>9</x:v>
      </x:c>
      <x:c r="M818" s="16" t="n">
        <x:v>13</x:v>
      </x:c>
      <x:c r="N818" s="16" t="n">
        <x:v>6</x:v>
      </x:c>
      <x:c r="O818" s="16" t="n">
        <x:v>12</x:v>
      </x:c>
      <x:c r="P818" s="16" t="n">
        <x:v>2</x:v>
      </x:c>
      <x:c r="Q818" s="16" t="n">
        <x:v>2</x:v>
      </x:c>
      <x:c r="R818" s="16" t="n">
        <x:v>0</x:v>
      </x:c>
      <x:c r="S818" s="16" t="n">
        <x:v>3</x:v>
      </x:c>
      <x:c r="T818" s="16" t="n">
        <x:v>8</x:v>
      </x:c>
      <x:c r="U818" s="16" t="n">
        <x:v>0</x:v>
      </x:c>
      <x:c r="V818" s="16" t="n">
        <x:v>0</x:v>
      </x:c>
      <x:c r="W818" s="16" t="n">
        <x:v>0</x:v>
      </x:c>
      <x:c r="X818" s="16" t="n">
        <x:v>0</x:v>
      </x:c>
      <x:c r="Y818" s="16" t="n">
        <x:v>0</x:v>
      </x:c>
      <x:c r="Z818" s="16" t="n">
        <x:v>0</x:v>
      </x:c>
      <x:c r="AA818" s="16" t="n">
        <x:v>3</x:v>
      </x:c>
      <x:c r="AB818" s="16" t="n">
        <x:v>11</x:v>
      </x:c>
      <x:c r="AC818" s="16" t="n">
        <x:v>0</x:v>
      </x:c>
      <x:c r="AD818" s="21" t="n">
        <x:f>IF(E818="",MEDIAN($E$2:$E$2237),E818)</x:f>
        <x:v>25804</x:v>
      </x:c>
      <x:c r="AE818" s="17" t="n">
        <x:f>2014-B818</x:f>
        <x:v>36</x:v>
      </x:c>
      <x:c r="AF818" s="17" t="n">
        <x:f>F818+G818</x:f>
        <x:v>1</x:v>
      </x:c>
      <x:c r="AG818" s="21" t="n">
        <x:f>SUM(J818:O818)</x:f>
        <x:v>55</x:v>
      </x:c>
      <x:c r="AH818" s="17" t="n">
        <x:f>SUM(Q818:S818)</x:f>
        <x:v>5</x:v>
      </x:c>
      <x:c r="AI818" s="17" t="n">
        <x:f>SUM(U818:Y818)</x:f>
        <x:v>0</x:v>
      </x:c>
      <x:c r="AJ818" s="17" t="str">
        <x:f>IF(AE818&lt;=34,"≤34",IF(AE818&lt;=44,"35–44",IF(AE818&lt;=54,"45–54",IF(AE818&lt;=64,"55–64","65+"))))</x:f>
        <x:v>35–44</x:v>
      </x:c>
      <x:c r="AK818" s="17" t="str">
        <x:f>IF(AG818&gt;=1000,"High Value",IF(AG818&gt;=300,"Mid Value","Low Value"))</x:f>
        <x:v>Low Value</x:v>
      </x:c>
      <x:c r="AL818" s="17" t="str">
        <x:f>IF(AND(AI818&gt;=1,I818&lt;=50),"Priority 1",IF(AND(AG818&gt;=1000,I818&lt;=60),"Priority 2",IF(I818&lt;=30,"Priority 3","Nurture")))</x:f>
        <x:v>Nurture</x:v>
      </x:c>
    </x:row>
    <x:row r="819">
      <x:c r="A819" s="16" t="n">
        <x:v>9493</x:v>
      </x:c>
      <x:c r="B819" s="16" t="n">
        <x:v>1980</x:v>
      </x:c>
      <x:c r="C819" s="16" t="str">
        <x:v>PhD</x:v>
      </x:c>
      <x:c r="D819" s="16" t="str">
        <x:v>Single</x:v>
      </x:c>
      <x:c r="E819" s="16" t="n">
        <x:v>76412</x:v>
      </x:c>
      <x:c r="F819" s="16" t="n">
        <x:v>0</x:v>
      </x:c>
      <x:c r="G819" s="16" t="n">
        <x:v>0</x:v>
      </x:c>
      <x:c r="H819" s="16" t="str">
        <x:v>05-05-2013</x:v>
      </x:c>
      <x:c r="I819" s="16" t="n">
        <x:v>15</x:v>
      </x:c>
      <x:c r="J819" s="16" t="n">
        <x:v>840</x:v>
      </x:c>
      <x:c r="K819" s="16" t="n">
        <x:v>53</x:v>
      </x:c>
      <x:c r="L819" s="16" t="n">
        <x:v>804</x:v>
      </x:c>
      <x:c r="M819" s="16" t="n">
        <x:v>23</x:v>
      </x:c>
      <x:c r="N819" s="16" t="n">
        <x:v>71</x:v>
      </x:c>
      <x:c r="O819" s="16" t="n">
        <x:v>17</x:v>
      </x:c>
      <x:c r="P819" s="16" t="n">
        <x:v>1</x:v>
      </x:c>
      <x:c r="Q819" s="16" t="n">
        <x:v>5</x:v>
      </x:c>
      <x:c r="R819" s="16" t="n">
        <x:v>4</x:v>
      </x:c>
      <x:c r="S819" s="16" t="n">
        <x:v>8</x:v>
      </x:c>
      <x:c r="T819" s="16" t="n">
        <x:v>3</x:v>
      </x:c>
      <x:c r="U819" s="16" t="n">
        <x:v>0</x:v>
      </x:c>
      <x:c r="V819" s="16" t="n">
        <x:v>0</x:v>
      </x:c>
      <x:c r="W819" s="16" t="n">
        <x:v>1</x:v>
      </x:c>
      <x:c r="X819" s="16" t="n">
        <x:v>1</x:v>
      </x:c>
      <x:c r="Y819" s="16" t="n">
        <x:v>0</x:v>
      </x:c>
      <x:c r="Z819" s="16" t="n">
        <x:v>0</x:v>
      </x:c>
      <x:c r="AA819" s="16" t="n">
        <x:v>3</x:v>
      </x:c>
      <x:c r="AB819" s="16" t="n">
        <x:v>11</x:v>
      </x:c>
      <x:c r="AC819" s="16" t="n">
        <x:v>1</x:v>
      </x:c>
      <x:c r="AD819" s="21" t="n">
        <x:f>IF(E819="",MEDIAN($E$2:$E$2237),E819)</x:f>
        <x:v>76412</x:v>
      </x:c>
      <x:c r="AE819" s="17" t="n">
        <x:f>2014-B819</x:f>
        <x:v>34</x:v>
      </x:c>
      <x:c r="AF819" s="17" t="n">
        <x:f>F819+G819</x:f>
        <x:v>0</x:v>
      </x:c>
      <x:c r="AG819" s="21" t="n">
        <x:f>SUM(J819:O819)</x:f>
        <x:v>1808</x:v>
      </x:c>
      <x:c r="AH819" s="17" t="n">
        <x:f>SUM(Q819:S819)</x:f>
        <x:v>17</x:v>
      </x:c>
      <x:c r="AI819" s="17" t="n">
        <x:f>SUM(U819:Y819)</x:f>
        <x:v>2</x:v>
      </x:c>
      <x:c r="AJ819" s="17" t="str">
        <x:f>IF(AE819&lt;=34,"≤34",IF(AE819&lt;=44,"35–44",IF(AE819&lt;=54,"45–54",IF(AE819&lt;=64,"55–64","65+"))))</x:f>
        <x:v>≤34</x:v>
      </x:c>
      <x:c r="AK819" s="17" t="str">
        <x:f>IF(AG819&gt;=1000,"High Value",IF(AG819&gt;=300,"Mid Value","Low Value"))</x:f>
        <x:v>High Value</x:v>
      </x:c>
      <x:c r="AL819" s="17" t="str">
        <x:f>IF(AND(AI819&gt;=1,I819&lt;=50),"Priority 1",IF(AND(AG819&gt;=1000,I819&lt;=60),"Priority 2",IF(I819&lt;=30,"Priority 3","Nurture")))</x:f>
        <x:v>Priority 1</x:v>
      </x:c>
    </x:row>
    <x:row r="820">
      <x:c r="A820" s="16" t="n">
        <x:v>1143</x:v>
      </x:c>
      <x:c r="B820" s="16" t="n">
        <x:v>1972</x:v>
      </x:c>
      <x:c r="C820" s="16" t="str">
        <x:v>Graduation</x:v>
      </x:c>
      <x:c r="D820" s="16" t="str">
        <x:v>Married</x:v>
      </x:c>
      <x:c r="E820" s="16" t="n">
        <x:v>22063</x:v>
      </x:c>
      <x:c r="F820" s="16" t="n">
        <x:v>1</x:v>
      </x:c>
      <x:c r="G820" s="16" t="n">
        <x:v>0</x:v>
      </x:c>
      <x:c r="H820" s="16" t="str">
        <x:v>08-08-2013</x:v>
      </x:c>
      <x:c r="I820" s="16" t="n">
        <x:v>43</x:v>
      </x:c>
      <x:c r="J820" s="16" t="n">
        <x:v>7</x:v>
      </x:c>
      <x:c r="K820" s="16" t="n">
        <x:v>10</x:v>
      </x:c>
      <x:c r="L820" s="16" t="n">
        <x:v>13</x:v>
      </x:c>
      <x:c r="M820" s="16" t="n">
        <x:v>3</x:v>
      </x:c>
      <x:c r="N820" s="16" t="n">
        <x:v>11</x:v>
      </x:c>
      <x:c r="O820" s="16" t="n">
        <x:v>11</x:v>
      </x:c>
      <x:c r="P820" s="16" t="n">
        <x:v>2</x:v>
      </x:c>
      <x:c r="Q820" s="16" t="n">
        <x:v>2</x:v>
      </x:c>
      <x:c r="R820" s="16" t="n">
        <x:v>0</x:v>
      </x:c>
      <x:c r="S820" s="16" t="n">
        <x:v>3</x:v>
      </x:c>
      <x:c r="T820" s="16" t="n">
        <x:v>7</x:v>
      </x:c>
      <x:c r="U820" s="16" t="n">
        <x:v>0</x:v>
      </x:c>
      <x:c r="V820" s="16" t="n">
        <x:v>0</x:v>
      </x:c>
      <x:c r="W820" s="16" t="n">
        <x:v>0</x:v>
      </x:c>
      <x:c r="X820" s="16" t="n">
        <x:v>0</x:v>
      </x:c>
      <x:c r="Y820" s="16" t="n">
        <x:v>0</x:v>
      </x:c>
      <x:c r="Z820" s="16" t="n">
        <x:v>0</x:v>
      </x:c>
      <x:c r="AA820" s="16" t="n">
        <x:v>3</x:v>
      </x:c>
      <x:c r="AB820" s="16" t="n">
        <x:v>11</x:v>
      </x:c>
      <x:c r="AC820" s="16" t="n">
        <x:v>0</x:v>
      </x:c>
      <x:c r="AD820" s="21" t="n">
        <x:f>IF(E820="",MEDIAN($E$2:$E$2237),E820)</x:f>
        <x:v>22063</x:v>
      </x:c>
      <x:c r="AE820" s="17" t="n">
        <x:f>2014-B820</x:f>
        <x:v>42</x:v>
      </x:c>
      <x:c r="AF820" s="17" t="n">
        <x:f>F820+G820</x:f>
        <x:v>1</x:v>
      </x:c>
      <x:c r="AG820" s="21" t="n">
        <x:f>SUM(J820:O820)</x:f>
        <x:v>55</x:v>
      </x:c>
      <x:c r="AH820" s="17" t="n">
        <x:f>SUM(Q820:S820)</x:f>
        <x:v>5</x:v>
      </x:c>
      <x:c r="AI820" s="17" t="n">
        <x:f>SUM(U820:Y820)</x:f>
        <x:v>0</x:v>
      </x:c>
      <x:c r="AJ820" s="17" t="str">
        <x:f>IF(AE820&lt;=34,"≤34",IF(AE820&lt;=44,"35–44",IF(AE820&lt;=54,"45–54",IF(AE820&lt;=64,"55–64","65+"))))</x:f>
        <x:v>35–44</x:v>
      </x:c>
      <x:c r="AK820" s="17" t="str">
        <x:f>IF(AG820&gt;=1000,"High Value",IF(AG820&gt;=300,"Mid Value","Low Value"))</x:f>
        <x:v>Low Value</x:v>
      </x:c>
      <x:c r="AL820" s="17" t="str">
        <x:f>IF(AND(AI820&gt;=1,I820&lt;=50),"Priority 1",IF(AND(AG820&gt;=1000,I820&lt;=60),"Priority 2",IF(I820&lt;=30,"Priority 3","Nurture")))</x:f>
        <x:v>Nurture</x:v>
      </x:c>
    </x:row>
    <x:row r="821">
      <x:c r="A821" s="16" t="n">
        <x:v>1</x:v>
      </x:c>
      <x:c r="B821" s="16" t="n">
        <x:v>1961</x:v>
      </x:c>
      <x:c r="C821" s="16" t="str">
        <x:v>Graduation</x:v>
      </x:c>
      <x:c r="D821" s="16" t="str">
        <x:v>Single</x:v>
      </x:c>
      <x:c r="E821" s="16" t="n">
        <x:v>57091</x:v>
      </x:c>
      <x:c r="F821" s="16" t="n">
        <x:v>0</x:v>
      </x:c>
      <x:c r="G821" s="16" t="n">
        <x:v>0</x:v>
      </x:c>
      <x:c r="H821" s="16" t="str">
        <x:v>15-06-2014</x:v>
      </x:c>
      <x:c r="I821" s="16" t="n">
        <x:v>0</x:v>
      </x:c>
      <x:c r="J821" s="16" t="n">
        <x:v>464</x:v>
      </x:c>
      <x:c r="K821" s="16" t="n">
        <x:v>5</x:v>
      </x:c>
      <x:c r="L821" s="16" t="n">
        <x:v>64</x:v>
      </x:c>
      <x:c r="M821" s="16" t="n">
        <x:v>7</x:v>
      </x:c>
      <x:c r="N821" s="16" t="n">
        <x:v>0</x:v>
      </x:c>
      <x:c r="O821" s="16" t="n">
        <x:v>37</x:v>
      </x:c>
      <x:c r="P821" s="16" t="n">
        <x:v>1</x:v>
      </x:c>
      <x:c r="Q821" s="16" t="n">
        <x:v>7</x:v>
      </x:c>
      <x:c r="R821" s="16" t="n">
        <x:v>3</x:v>
      </x:c>
      <x:c r="S821" s="16" t="n">
        <x:v>7</x:v>
      </x:c>
      <x:c r="T821" s="16" t="n">
        <x:v>5</x:v>
      </x:c>
      <x:c r="U821" s="16" t="n">
        <x:v>0</x:v>
      </x:c>
      <x:c r="V821" s="16" t="n">
        <x:v>0</x:v>
      </x:c>
      <x:c r="W821" s="16" t="n">
        <x:v>0</x:v>
      </x:c>
      <x:c r="X821" s="16" t="n">
        <x:v>0</x:v>
      </x:c>
      <x:c r="Y821" s="16" t="n">
        <x:v>1</x:v>
      </x:c>
      <x:c r="Z821" s="16" t="n">
        <x:v>0</x:v>
      </x:c>
      <x:c r="AA821" s="16" t="n">
        <x:v>3</x:v>
      </x:c>
      <x:c r="AB821" s="16" t="n">
        <x:v>11</x:v>
      </x:c>
      <x:c r="AC821" s="16" t="n">
        <x:v>1</x:v>
      </x:c>
      <x:c r="AD821" s="21" t="n">
        <x:f>IF(E821="",MEDIAN($E$2:$E$2237),E821)</x:f>
        <x:v>57091</x:v>
      </x:c>
      <x:c r="AE821" s="17" t="n">
        <x:f>2014-B821</x:f>
        <x:v>53</x:v>
      </x:c>
      <x:c r="AF821" s="17" t="n">
        <x:f>F821+G821</x:f>
        <x:v>0</x:v>
      </x:c>
      <x:c r="AG821" s="21" t="n">
        <x:f>SUM(J821:O821)</x:f>
        <x:v>577</x:v>
      </x:c>
      <x:c r="AH821" s="17" t="n">
        <x:f>SUM(Q821:S821)</x:f>
        <x:v>17</x:v>
      </x:c>
      <x:c r="AI821" s="17" t="n">
        <x:f>SUM(U821:Y821)</x:f>
        <x:v>1</x:v>
      </x:c>
      <x:c r="AJ821" s="17" t="str">
        <x:f>IF(AE821&lt;=34,"≤34",IF(AE821&lt;=44,"35–44",IF(AE821&lt;=54,"45–54",IF(AE821&lt;=64,"55–64","65+"))))</x:f>
        <x:v>45–54</x:v>
      </x:c>
      <x:c r="AK821" s="17" t="str">
        <x:f>IF(AG821&gt;=1000,"High Value",IF(AG821&gt;=300,"Mid Value","Low Value"))</x:f>
        <x:v>Mid Value</x:v>
      </x:c>
      <x:c r="AL821" s="17" t="str">
        <x:f>IF(AND(AI821&gt;=1,I821&lt;=50),"Priority 1",IF(AND(AG821&gt;=1000,I821&lt;=60),"Priority 2",IF(I821&lt;=30,"Priority 3","Nurture")))</x:f>
        <x:v>Priority 1</x:v>
      </x:c>
    </x:row>
    <x:row r="822">
      <x:c r="A822" s="16" t="n">
        <x:v>3855</x:v>
      </x:c>
      <x:c r="B822" s="16" t="n">
        <x:v>1963</x:v>
      </x:c>
      <x:c r="C822" s="16" t="str">
        <x:v>Graduation</x:v>
      </x:c>
      <x:c r="D822" s="16" t="str">
        <x:v>Married</x:v>
      </x:c>
      <x:c r="E822" s="16" t="n">
        <x:v>22419</x:v>
      </x:c>
      <x:c r="F822" s="16" t="n">
        <x:v>0</x:v>
      </x:c>
      <x:c r="G822" s="16" t="n">
        <x:v>0</x:v>
      </x:c>
      <x:c r="H822" s="16" t="str">
        <x:v>18-04-2013</x:v>
      </x:c>
      <x:c r="I822" s="16" t="n">
        <x:v>74</x:v>
      </x:c>
      <x:c r="J822" s="16" t="n">
        <x:v>30</x:v>
      </x:c>
      <x:c r="K822" s="16" t="n">
        <x:v>3</x:v>
      </x:c>
      <x:c r="L822" s="16" t="n">
        <x:v>47</x:v>
      </x:c>
      <x:c r="M822" s="16" t="n">
        <x:v>19</x:v>
      </x:c>
      <x:c r="N822" s="16" t="n">
        <x:v>21</x:v>
      </x:c>
      <x:c r="O822" s="16" t="n">
        <x:v>42</x:v>
      </x:c>
      <x:c r="P822" s="16" t="n">
        <x:v>1</x:v>
      </x:c>
      <x:c r="Q822" s="16" t="n">
        <x:v>3</x:v>
      </x:c>
      <x:c r="R822" s="16" t="n">
        <x:v>2</x:v>
      </x:c>
      <x:c r="S822" s="16" t="n">
        <x:v>2</x:v>
      </x:c>
      <x:c r="T822" s="16" t="n">
        <x:v>8</x:v>
      </x:c>
      <x:c r="U822" s="16" t="n">
        <x:v>0</x:v>
      </x:c>
      <x:c r="V822" s="16" t="n">
        <x:v>0</x:v>
      </x:c>
      <x:c r="W822" s="16" t="n">
        <x:v>0</x:v>
      </x:c>
      <x:c r="X822" s="16" t="n">
        <x:v>0</x:v>
      </x:c>
      <x:c r="Y822" s="16" t="n">
        <x:v>0</x:v>
      </x:c>
      <x:c r="Z822" s="16" t="n">
        <x:v>0</x:v>
      </x:c>
      <x:c r="AA822" s="16" t="n">
        <x:v>3</x:v>
      </x:c>
      <x:c r="AB822" s="16" t="n">
        <x:v>11</x:v>
      </x:c>
      <x:c r="AC822" s="16" t="n">
        <x:v>0</x:v>
      </x:c>
      <x:c r="AD822" s="21" t="n">
        <x:f>IF(E822="",MEDIAN($E$2:$E$2237),E822)</x:f>
        <x:v>22419</x:v>
      </x:c>
      <x:c r="AE822" s="17" t="n">
        <x:f>2014-B822</x:f>
        <x:v>51</x:v>
      </x:c>
      <x:c r="AF822" s="17" t="n">
        <x:f>F822+G822</x:f>
        <x:v>0</x:v>
      </x:c>
      <x:c r="AG822" s="21" t="n">
        <x:f>SUM(J822:O822)</x:f>
        <x:v>162</x:v>
      </x:c>
      <x:c r="AH822" s="17" t="n">
        <x:f>SUM(Q822:S822)</x:f>
        <x:v>7</x:v>
      </x:c>
      <x:c r="AI822" s="17" t="n">
        <x:f>SUM(U822:Y822)</x:f>
        <x:v>0</x:v>
      </x:c>
      <x:c r="AJ822" s="17" t="str">
        <x:f>IF(AE822&lt;=34,"≤34",IF(AE822&lt;=44,"35–44",IF(AE822&lt;=54,"45–54",IF(AE822&lt;=64,"55–64","65+"))))</x:f>
        <x:v>45–54</x:v>
      </x:c>
      <x:c r="AK822" s="17" t="str">
        <x:f>IF(AG822&gt;=1000,"High Value",IF(AG822&gt;=300,"Mid Value","Low Value"))</x:f>
        <x:v>Low Value</x:v>
      </x:c>
      <x:c r="AL822" s="17" t="str">
        <x:f>IF(AND(AI822&gt;=1,I822&lt;=50),"Priority 1",IF(AND(AG822&gt;=1000,I822&lt;=60),"Priority 2",IF(I822&lt;=30,"Priority 3","Nurture")))</x:f>
        <x:v>Nurture</x:v>
      </x:c>
    </x:row>
    <x:row r="823">
      <x:c r="A823" s="16" t="n">
        <x:v>5536</x:v>
      </x:c>
      <x:c r="B823" s="16" t="n">
        <x:v>1959</x:v>
      </x:c>
      <x:c r="C823" s="16" t="str">
        <x:v>Graduation</x:v>
      </x:c>
      <x:c r="D823" s="16" t="str">
        <x:v>Together</x:v>
      </x:c>
      <x:c r="E823" s="16" t="n">
        <x:v>87771</x:v>
      </x:c>
      <x:c r="F823" s="16" t="n">
        <x:v>0</x:v>
      </x:c>
      <x:c r="G823" s="16" t="n">
        <x:v>1</x:v>
      </x:c>
      <x:c r="H823" s="16" t="str">
        <x:v>22-05-2013</x:v>
      </x:c>
      <x:c r="I823" s="16" t="n">
        <x:v>61</x:v>
      </x:c>
      <x:c r="J823" s="16" t="n">
        <x:v>1492</x:v>
      </x:c>
      <x:c r="K823" s="16" t="n">
        <x:v>38</x:v>
      </x:c>
      <x:c r="L823" s="16" t="n">
        <x:v>287</x:v>
      </x:c>
      <x:c r="M823" s="16" t="n">
        <x:v>50</x:v>
      </x:c>
      <x:c r="N823" s="16" t="n">
        <x:v>57</x:v>
      </x:c>
      <x:c r="O823" s="16" t="n">
        <x:v>33</x:v>
      </x:c>
      <x:c r="P823" s="16" t="n">
        <x:v>1</x:v>
      </x:c>
      <x:c r="Q823" s="16" t="n">
        <x:v>5</x:v>
      </x:c>
      <x:c r="R823" s="16" t="n">
        <x:v>10</x:v>
      </x:c>
      <x:c r="S823" s="16" t="n">
        <x:v>4</x:v>
      </x:c>
      <x:c r="T823" s="16" t="n">
        <x:v>6</x:v>
      </x:c>
      <x:c r="U823" s="16" t="n">
        <x:v>0</x:v>
      </x:c>
      <x:c r="V823" s="16" t="n">
        <x:v>1</x:v>
      </x:c>
      <x:c r="W823" s="16" t="n">
        <x:v>1</x:v>
      </x:c>
      <x:c r="X823" s="16" t="n">
        <x:v>1</x:v>
      </x:c>
      <x:c r="Y823" s="16" t="n">
        <x:v>1</x:v>
      </x:c>
      <x:c r="Z823" s="16" t="n">
        <x:v>0</x:v>
      </x:c>
      <x:c r="AA823" s="16" t="n">
        <x:v>3</x:v>
      </x:c>
      <x:c r="AB823" s="16" t="n">
        <x:v>11</x:v>
      </x:c>
      <x:c r="AC823" s="16" t="n">
        <x:v>1</x:v>
      </x:c>
      <x:c r="AD823" s="21" t="n">
        <x:f>IF(E823="",MEDIAN($E$2:$E$2237),E823)</x:f>
        <x:v>87771</x:v>
      </x:c>
      <x:c r="AE823" s="17" t="n">
        <x:f>2014-B823</x:f>
        <x:v>55</x:v>
      </x:c>
      <x:c r="AF823" s="17" t="n">
        <x:f>F823+G823</x:f>
        <x:v>1</x:v>
      </x:c>
      <x:c r="AG823" s="21" t="n">
        <x:f>SUM(J823:O823)</x:f>
        <x:v>1957</x:v>
      </x:c>
      <x:c r="AH823" s="17" t="n">
        <x:f>SUM(Q823:S823)</x:f>
        <x:v>19</x:v>
      </x:c>
      <x:c r="AI823" s="17" t="n">
        <x:f>SUM(U823:Y823)</x:f>
        <x:v>4</x:v>
      </x:c>
      <x:c r="AJ823" s="17" t="str">
        <x:f>IF(AE823&lt;=34,"≤34",IF(AE823&lt;=44,"35–44",IF(AE823&lt;=54,"45–54",IF(AE823&lt;=64,"55–64","65+"))))</x:f>
        <x:v>55–64</x:v>
      </x:c>
      <x:c r="AK823" s="17" t="str">
        <x:f>IF(AG823&gt;=1000,"High Value",IF(AG823&gt;=300,"Mid Value","Low Value"))</x:f>
        <x:v>High Value</x:v>
      </x:c>
      <x:c r="AL823" s="17" t="str">
        <x:f>IF(AND(AI823&gt;=1,I823&lt;=50),"Priority 1",IF(AND(AG823&gt;=1000,I823&lt;=60),"Priority 2",IF(I823&lt;=30,"Priority 3","Nurture")))</x:f>
        <x:v>Nurture</x:v>
      </x:c>
    </x:row>
    <x:row r="824">
      <x:c r="A824" s="16" t="n">
        <x:v>5989</x:v>
      </x:c>
      <x:c r="B824" s="16" t="n">
        <x:v>1959</x:v>
      </x:c>
      <x:c r="C824" s="16" t="str">
        <x:v>2n Cycle</x:v>
      </x:c>
      <x:c r="D824" s="16" t="str">
        <x:v>Divorced</x:v>
      </x:c>
      <x:c r="E824" s="16" t="n">
        <x:v>78353</x:v>
      </x:c>
      <x:c r="F824" s="16" t="n">
        <x:v>0</x:v>
      </x:c>
      <x:c r="G824" s="16" t="n">
        <x:v>1</x:v>
      </x:c>
      <x:c r="H824" s="16" t="str">
        <x:v>16-04-2013</x:v>
      </x:c>
      <x:c r="I824" s="16" t="n">
        <x:v>51</x:v>
      </x:c>
      <x:c r="J824" s="16" t="n">
        <x:v>752</x:v>
      </x:c>
      <x:c r="K824" s="16" t="n">
        <x:v>122</x:v>
      </x:c>
      <x:c r="L824" s="16" t="n">
        <x:v>476</x:v>
      </x:c>
      <x:c r="M824" s="16" t="n">
        <x:v>39</x:v>
      </x:c>
      <x:c r="N824" s="16" t="n">
        <x:v>153</x:v>
      </x:c>
      <x:c r="O824" s="16" t="n">
        <x:v>34</x:v>
      </x:c>
      <x:c r="P824" s="16" t="n">
        <x:v>1</x:v>
      </x:c>
      <x:c r="Q824" s="16" t="n">
        <x:v>10</x:v>
      </x:c>
      <x:c r="R824" s="16" t="n">
        <x:v>2</x:v>
      </x:c>
      <x:c r="S824" s="16" t="n">
        <x:v>11</x:v>
      </x:c>
      <x:c r="T824" s="16" t="n">
        <x:v>8</x:v>
      </x:c>
      <x:c r="U824" s="16" t="n">
        <x:v>0</x:v>
      </x:c>
      <x:c r="V824" s="16" t="n">
        <x:v>0</x:v>
      </x:c>
      <x:c r="W824" s="16" t="n">
        <x:v>0</x:v>
      </x:c>
      <x:c r="X824" s="16" t="n">
        <x:v>0</x:v>
      </x:c>
      <x:c r="Y824" s="16" t="n">
        <x:v>0</x:v>
      </x:c>
      <x:c r="Z824" s="16" t="n">
        <x:v>0</x:v>
      </x:c>
      <x:c r="AA824" s="16" t="n">
        <x:v>3</x:v>
      </x:c>
      <x:c r="AB824" s="16" t="n">
        <x:v>11</x:v>
      </x:c>
      <x:c r="AC824" s="16" t="n">
        <x:v>0</x:v>
      </x:c>
      <x:c r="AD824" s="21" t="n">
        <x:f>IF(E824="",MEDIAN($E$2:$E$2237),E824)</x:f>
        <x:v>78353</x:v>
      </x:c>
      <x:c r="AE824" s="17" t="n">
        <x:f>2014-B824</x:f>
        <x:v>55</x:v>
      </x:c>
      <x:c r="AF824" s="17" t="n">
        <x:f>F824+G824</x:f>
        <x:v>1</x:v>
      </x:c>
      <x:c r="AG824" s="21" t="n">
        <x:f>SUM(J824:O824)</x:f>
        <x:v>1576</x:v>
      </x:c>
      <x:c r="AH824" s="17" t="n">
        <x:f>SUM(Q824:S824)</x:f>
        <x:v>23</x:v>
      </x:c>
      <x:c r="AI824" s="17" t="n">
        <x:f>SUM(U824:Y824)</x:f>
        <x:v>0</x:v>
      </x:c>
      <x:c r="AJ824" s="17" t="str">
        <x:f>IF(AE824&lt;=34,"≤34",IF(AE824&lt;=44,"35–44",IF(AE824&lt;=54,"45–54",IF(AE824&lt;=64,"55–64","65+"))))</x:f>
        <x:v>55–64</x:v>
      </x:c>
      <x:c r="AK824" s="17" t="str">
        <x:f>IF(AG824&gt;=1000,"High Value",IF(AG824&gt;=300,"Mid Value","Low Value"))</x:f>
        <x:v>High Value</x:v>
      </x:c>
      <x:c r="AL824" s="17" t="str">
        <x:f>IF(AND(AI824&gt;=1,I824&lt;=50),"Priority 1",IF(AND(AG824&gt;=1000,I824&lt;=60),"Priority 2",IF(I824&lt;=30,"Priority 3","Nurture")))</x:f>
        <x:v>Priority 2</x:v>
      </x:c>
    </x:row>
    <x:row r="825">
      <x:c r="A825" s="16" t="n">
        <x:v>9499</x:v>
      </x:c>
      <x:c r="B825" s="16" t="n">
        <x:v>1954</x:v>
      </x:c>
      <x:c r="C825" s="16" t="str">
        <x:v>Graduation</x:v>
      </x:c>
      <x:c r="D825" s="16" t="str">
        <x:v>Married</x:v>
      </x:c>
      <x:c r="E825" s="16" t="n">
        <x:v>93404</x:v>
      </x:c>
      <x:c r="F825" s="16" t="n">
        <x:v>1</x:v>
      </x:c>
      <x:c r="G825" s="16" t="n">
        <x:v>2</x:v>
      </x:c>
      <x:c r="H825" s="16" t="str">
        <x:v>07-05-2013</x:v>
      </x:c>
      <x:c r="I825" s="16" t="n">
        <x:v>97</x:v>
      </x:c>
      <x:c r="J825" s="16" t="n">
        <x:v>1279</x:v>
      </x:c>
      <x:c r="K825" s="16" t="n">
        <x:v>15</x:v>
      </x:c>
      <x:c r="L825" s="16" t="n">
        <x:v>287</x:v>
      </x:c>
      <x:c r="M825" s="16" t="n">
        <x:v>20</x:v>
      </x:c>
      <x:c r="N825" s="16" t="n">
        <x:v>0</x:v>
      </x:c>
      <x:c r="O825" s="16" t="n">
        <x:v>15</x:v>
      </x:c>
      <x:c r="P825" s="16" t="n">
        <x:v>3</x:v>
      </x:c>
      <x:c r="Q825" s="16" t="n">
        <x:v>3</x:v>
      </x:c>
      <x:c r="R825" s="16" t="n">
        <x:v>4</x:v>
      </x:c>
      <x:c r="S825" s="16" t="n">
        <x:v>7</x:v>
      </x:c>
      <x:c r="T825" s="16" t="n">
        <x:v>5</x:v>
      </x:c>
      <x:c r="U825" s="16" t="n">
        <x:v>0</x:v>
      </x:c>
      <x:c r="V825" s="16" t="n">
        <x:v>1</x:v>
      </x:c>
      <x:c r="W825" s="16" t="n">
        <x:v>1</x:v>
      </x:c>
      <x:c r="X825" s="16" t="n">
        <x:v>0</x:v>
      </x:c>
      <x:c r="Y825" s="16" t="n">
        <x:v>0</x:v>
      </x:c>
      <x:c r="Z825" s="16" t="n">
        <x:v>0</x:v>
      </x:c>
      <x:c r="AA825" s="16" t="n">
        <x:v>3</x:v>
      </x:c>
      <x:c r="AB825" s="16" t="n">
        <x:v>11</x:v>
      </x:c>
      <x:c r="AC825" s="16" t="n">
        <x:v>0</x:v>
      </x:c>
      <x:c r="AD825" s="21" t="n">
        <x:f>IF(E825="",MEDIAN($E$2:$E$2237),E825)</x:f>
        <x:v>93404</x:v>
      </x:c>
      <x:c r="AE825" s="17" t="n">
        <x:f>2014-B825</x:f>
        <x:v>60</x:v>
      </x:c>
      <x:c r="AF825" s="17" t="n">
        <x:f>F825+G825</x:f>
        <x:v>3</x:v>
      </x:c>
      <x:c r="AG825" s="21" t="n">
        <x:f>SUM(J825:O825)</x:f>
        <x:v>1616</x:v>
      </x:c>
      <x:c r="AH825" s="17" t="n">
        <x:f>SUM(Q825:S825)</x:f>
        <x:v>14</x:v>
      </x:c>
      <x:c r="AI825" s="17" t="n">
        <x:f>SUM(U825:Y825)</x:f>
        <x:v>2</x:v>
      </x:c>
      <x:c r="AJ825" s="17" t="str">
        <x:f>IF(AE825&lt;=34,"≤34",IF(AE825&lt;=44,"35–44",IF(AE825&lt;=54,"45–54",IF(AE825&lt;=64,"55–64","65+"))))</x:f>
        <x:v>55–64</x:v>
      </x:c>
      <x:c r="AK825" s="17" t="str">
        <x:f>IF(AG825&gt;=1000,"High Value",IF(AG825&gt;=300,"Mid Value","Low Value"))</x:f>
        <x:v>High Value</x:v>
      </x:c>
      <x:c r="AL825" s="17" t="str">
        <x:f>IF(AND(AI825&gt;=1,I825&lt;=50),"Priority 1",IF(AND(AG825&gt;=1000,I825&lt;=60),"Priority 2",IF(I825&lt;=30,"Priority 3","Nurture")))</x:f>
        <x:v>Nurture</x:v>
      </x:c>
    </x:row>
    <x:row r="826">
      <x:c r="A826" s="16" t="n">
        <x:v>6768</x:v>
      </x:c>
      <x:c r="B826" s="16" t="n">
        <x:v>1962</x:v>
      </x:c>
      <x:c r="C826" s="16" t="str">
        <x:v>Graduation</x:v>
      </x:c>
      <x:c r="D826" s="16" t="str">
        <x:v>Divorced</x:v>
      </x:c>
      <x:c r="E826" s="16" t="n">
        <x:v>37859</x:v>
      </x:c>
      <x:c r="F826" s="16" t="n">
        <x:v>1</x:v>
      </x:c>
      <x:c r="G826" s="16" t="n">
        <x:v>2</x:v>
      </x:c>
      <x:c r="H826" s="16" t="str">
        <x:v>12-01-2013</x:v>
      </x:c>
      <x:c r="I826" s="16" t="n">
        <x:v>75</x:v>
      </x:c>
      <x:c r="J826" s="16" t="n">
        <x:v>22</x:v>
      </x:c>
      <x:c r="K826" s="16" t="n">
        <x:v>1</x:v>
      </x:c>
      <x:c r="L826" s="16" t="n">
        <x:v>8</x:v>
      </x:c>
      <x:c r="M826" s="16" t="n">
        <x:v>2</x:v>
      </x:c>
      <x:c r="N826" s="16" t="n">
        <x:v>1</x:v>
      </x:c>
      <x:c r="O826" s="16" t="n">
        <x:v>2</x:v>
      </x:c>
      <x:c r="P826" s="16" t="n">
        <x:v>2</x:v>
      </x:c>
      <x:c r="Q826" s="16" t="n">
        <x:v>1</x:v>
      </x:c>
      <x:c r="R826" s="16" t="n">
        <x:v>0</x:v>
      </x:c>
      <x:c r="S826" s="16" t="n">
        <x:v>3</x:v>
      </x:c>
      <x:c r="T826" s="16" t="n">
        <x:v>8</x:v>
      </x:c>
      <x:c r="U826" s="16" t="n">
        <x:v>0</x:v>
      </x:c>
      <x:c r="V826" s="16" t="n">
        <x:v>0</x:v>
      </x:c>
      <x:c r="W826" s="16" t="n">
        <x:v>0</x:v>
      </x:c>
      <x:c r="X826" s="16" t="n">
        <x:v>0</x:v>
      </x:c>
      <x:c r="Y826" s="16" t="n">
        <x:v>0</x:v>
      </x:c>
      <x:c r="Z826" s="16" t="n">
        <x:v>0</x:v>
      </x:c>
      <x:c r="AA826" s="16" t="n">
        <x:v>3</x:v>
      </x:c>
      <x:c r="AB826" s="16" t="n">
        <x:v>11</x:v>
      </x:c>
      <x:c r="AC826" s="16" t="n">
        <x:v>0</x:v>
      </x:c>
      <x:c r="AD826" s="21" t="n">
        <x:f>IF(E826="",MEDIAN($E$2:$E$2237),E826)</x:f>
        <x:v>37859</x:v>
      </x:c>
      <x:c r="AE826" s="17" t="n">
        <x:f>2014-B826</x:f>
        <x:v>52</x:v>
      </x:c>
      <x:c r="AF826" s="17" t="n">
        <x:f>F826+G826</x:f>
        <x:v>3</x:v>
      </x:c>
      <x:c r="AG826" s="21" t="n">
        <x:f>SUM(J826:O826)</x:f>
        <x:v>36</x:v>
      </x:c>
      <x:c r="AH826" s="17" t="n">
        <x:f>SUM(Q826:S826)</x:f>
        <x:v>4</x:v>
      </x:c>
      <x:c r="AI826" s="17" t="n">
        <x:f>SUM(U826:Y826)</x:f>
        <x:v>0</x:v>
      </x:c>
      <x:c r="AJ826" s="17" t="str">
        <x:f>IF(AE826&lt;=34,"≤34",IF(AE826&lt;=44,"35–44",IF(AE826&lt;=54,"45–54",IF(AE826&lt;=64,"55–64","65+"))))</x:f>
        <x:v>45–54</x:v>
      </x:c>
      <x:c r="AK826" s="17" t="str">
        <x:f>IF(AG826&gt;=1000,"High Value",IF(AG826&gt;=300,"Mid Value","Low Value"))</x:f>
        <x:v>Low Value</x:v>
      </x:c>
      <x:c r="AL826" s="17" t="str">
        <x:f>IF(AND(AI826&gt;=1,I826&lt;=50),"Priority 1",IF(AND(AG826&gt;=1000,I826&lt;=60),"Priority 2",IF(I826&lt;=30,"Priority 3","Nurture")))</x:f>
        <x:v>Nurture</x:v>
      </x:c>
    </x:row>
    <x:row r="827">
      <x:c r="A827" s="16" t="n">
        <x:v>2150</x:v>
      </x:c>
      <x:c r="B827" s="16" t="n">
        <x:v>1958</x:v>
      </x:c>
      <x:c r="C827" s="16" t="str">
        <x:v>PhD</x:v>
      </x:c>
      <x:c r="D827" s="16" t="str">
        <x:v>Widow</x:v>
      </x:c>
      <x:c r="E827" s="16" t="n">
        <x:v>80995</x:v>
      </x:c>
      <x:c r="F827" s="16" t="n">
        <x:v>0</x:v>
      </x:c>
      <x:c r="G827" s="16" t="n">
        <x:v>1</x:v>
      </x:c>
      <x:c r="H827" s="16" t="str">
        <x:v>11-05-2013</x:v>
      </x:c>
      <x:c r="I827" s="16" t="n">
        <x:v>83</x:v>
      </x:c>
      <x:c r="J827" s="16" t="n">
        <x:v>860</x:v>
      </x:c>
      <x:c r="K827" s="16" t="n">
        <x:v>28</x:v>
      </x:c>
      <x:c r="L827" s="16" t="n">
        <x:v>409</x:v>
      </x:c>
      <x:c r="M827" s="16" t="n">
        <x:v>73</x:v>
      </x:c>
      <x:c r="N827" s="16" t="n">
        <x:v>56</x:v>
      </x:c>
      <x:c r="O827" s="16" t="n">
        <x:v>56</x:v>
      </x:c>
      <x:c r="P827" s="16" t="n">
        <x:v>1</x:v>
      </x:c>
      <x:c r="Q827" s="16" t="n">
        <x:v>8</x:v>
      </x:c>
      <x:c r="R827" s="16" t="n">
        <x:v>9</x:v>
      </x:c>
      <x:c r="S827" s="16" t="n">
        <x:v>4</x:v>
      </x:c>
      <x:c r="T827" s="16" t="n">
        <x:v>4</x:v>
      </x:c>
      <x:c r="U827" s="16" t="n">
        <x:v>0</x:v>
      </x:c>
      <x:c r="V827" s="16" t="n">
        <x:v>0</x:v>
      </x:c>
      <x:c r="W827" s="16" t="n">
        <x:v>0</x:v>
      </x:c>
      <x:c r="X827" s="16" t="n">
        <x:v>0</x:v>
      </x:c>
      <x:c r="Y827" s="16" t="n">
        <x:v>0</x:v>
      </x:c>
      <x:c r="Z827" s="16" t="n">
        <x:v>0</x:v>
      </x:c>
      <x:c r="AA827" s="16" t="n">
        <x:v>3</x:v>
      </x:c>
      <x:c r="AB827" s="16" t="n">
        <x:v>11</x:v>
      </x:c>
      <x:c r="AC827" s="16" t="n">
        <x:v>0</x:v>
      </x:c>
      <x:c r="AD827" s="21" t="n">
        <x:f>IF(E827="",MEDIAN($E$2:$E$2237),E827)</x:f>
        <x:v>80995</x:v>
      </x:c>
      <x:c r="AE827" s="17" t="n">
        <x:f>2014-B827</x:f>
        <x:v>56</x:v>
      </x:c>
      <x:c r="AF827" s="17" t="n">
        <x:f>F827+G827</x:f>
        <x:v>1</x:v>
      </x:c>
      <x:c r="AG827" s="21" t="n">
        <x:f>SUM(J827:O827)</x:f>
        <x:v>1482</x:v>
      </x:c>
      <x:c r="AH827" s="17" t="n">
        <x:f>SUM(Q827:S827)</x:f>
        <x:v>21</x:v>
      </x:c>
      <x:c r="AI827" s="17" t="n">
        <x:f>SUM(U827:Y827)</x:f>
        <x:v>0</x:v>
      </x:c>
      <x:c r="AJ827" s="17" t="str">
        <x:f>IF(AE827&lt;=34,"≤34",IF(AE827&lt;=44,"35–44",IF(AE827&lt;=54,"45–54",IF(AE827&lt;=64,"55–64","65+"))))</x:f>
        <x:v>55–64</x:v>
      </x:c>
      <x:c r="AK827" s="17" t="str">
        <x:f>IF(AG827&gt;=1000,"High Value",IF(AG827&gt;=300,"Mid Value","Low Value"))</x:f>
        <x:v>High Value</x:v>
      </x:c>
      <x:c r="AL827" s="17" t="str">
        <x:f>IF(AND(AI827&gt;=1,I827&lt;=50),"Priority 1",IF(AND(AG827&gt;=1000,I827&lt;=60),"Priority 2",IF(I827&lt;=30,"Priority 3","Nurture")))</x:f>
        <x:v>Nurture</x:v>
      </x:c>
    </x:row>
    <x:row r="828">
      <x:c r="A828" s="16" t="n">
        <x:v>6646</x:v>
      </x:c>
      <x:c r="B828" s="16" t="n">
        <x:v>1984</x:v>
      </x:c>
      <x:c r="C828" s="16" t="str">
        <x:v>Graduation</x:v>
      </x:c>
      <x:c r="D828" s="16" t="str">
        <x:v>Together</x:v>
      </x:c>
      <x:c r="E828" s="16" t="n">
        <x:v>16529</x:v>
      </x:c>
      <x:c r="F828" s="16" t="n">
        <x:v>1</x:v>
      </x:c>
      <x:c r="G828" s="16" t="n">
        <x:v>0</x:v>
      </x:c>
      <x:c r="H828" s="16" t="str">
        <x:v>01-03-2014</x:v>
      </x:c>
      <x:c r="I828" s="16" t="n">
        <x:v>23</x:v>
      </x:c>
      <x:c r="J828" s="16" t="n">
        <x:v>3</x:v>
      </x:c>
      <x:c r="K828" s="16" t="n">
        <x:v>0</x:v>
      </x:c>
      <x:c r="L828" s="16" t="n">
        <x:v>5</x:v>
      </x:c>
      <x:c r="M828" s="16" t="n">
        <x:v>13</x:v>
      </x:c>
      <x:c r="N828" s="16" t="n">
        <x:v>0</x:v>
      </x:c>
      <x:c r="O828" s="16" t="n">
        <x:v>1</x:v>
      </x:c>
      <x:c r="P828" s="16" t="n">
        <x:v>1</x:v>
      </x:c>
      <x:c r="Q828" s="16" t="n">
        <x:v>1</x:v>
      </x:c>
      <x:c r="R828" s="16" t="n">
        <x:v>0</x:v>
      </x:c>
      <x:c r="S828" s="16" t="n">
        <x:v>3</x:v>
      </x:c>
      <x:c r="T828" s="16" t="n">
        <x:v>6</x:v>
      </x:c>
      <x:c r="U828" s="16" t="n">
        <x:v>0</x:v>
      </x:c>
      <x:c r="V828" s="16" t="n">
        <x:v>0</x:v>
      </x:c>
      <x:c r="W828" s="16" t="n">
        <x:v>0</x:v>
      </x:c>
      <x:c r="X828" s="16" t="n">
        <x:v>0</x:v>
      </x:c>
      <x:c r="Y828" s="16" t="n">
        <x:v>0</x:v>
      </x:c>
      <x:c r="Z828" s="16" t="n">
        <x:v>0</x:v>
      </x:c>
      <x:c r="AA828" s="16" t="n">
        <x:v>3</x:v>
      </x:c>
      <x:c r="AB828" s="16" t="n">
        <x:v>11</x:v>
      </x:c>
      <x:c r="AC828" s="16" t="n">
        <x:v>0</x:v>
      </x:c>
      <x:c r="AD828" s="21" t="n">
        <x:f>IF(E828="",MEDIAN($E$2:$E$2237),E828)</x:f>
        <x:v>16529</x:v>
      </x:c>
      <x:c r="AE828" s="17" t="n">
        <x:f>2014-B828</x:f>
        <x:v>30</x:v>
      </x:c>
      <x:c r="AF828" s="17" t="n">
        <x:f>F828+G828</x:f>
        <x:v>1</x:v>
      </x:c>
      <x:c r="AG828" s="21" t="n">
        <x:f>SUM(J828:O828)</x:f>
        <x:v>22</x:v>
      </x:c>
      <x:c r="AH828" s="17" t="n">
        <x:f>SUM(Q828:S828)</x:f>
        <x:v>4</x:v>
      </x:c>
      <x:c r="AI828" s="17" t="n">
        <x:f>SUM(U828:Y828)</x:f>
        <x:v>0</x:v>
      </x:c>
      <x:c r="AJ828" s="17" t="str">
        <x:f>IF(AE828&lt;=34,"≤34",IF(AE828&lt;=44,"35–44",IF(AE828&lt;=54,"45–54",IF(AE828&lt;=64,"55–64","65+"))))</x:f>
        <x:v>≤34</x:v>
      </x:c>
      <x:c r="AK828" s="17" t="str">
        <x:f>IF(AG828&gt;=1000,"High Value",IF(AG828&gt;=300,"Mid Value","Low Value"))</x:f>
        <x:v>Low Value</x:v>
      </x:c>
      <x:c r="AL828" s="17" t="str">
        <x:f>IF(AND(AI828&gt;=1,I828&lt;=50),"Priority 1",IF(AND(AG828&gt;=1000,I828&lt;=60),"Priority 2",IF(I828&lt;=30,"Priority 3","Nurture")))</x:f>
        <x:v>Priority 3</x:v>
      </x:c>
    </x:row>
    <x:row r="829">
      <x:c r="A829" s="16" t="n">
        <x:v>4887</x:v>
      </x:c>
      <x:c r="B829" s="16" t="n">
        <x:v>1976</x:v>
      </x:c>
      <x:c r="C829" s="16" t="str">
        <x:v>PhD</x:v>
      </x:c>
      <x:c r="D829" s="16" t="str">
        <x:v>Divorced</x:v>
      </x:c>
      <x:c r="E829" s="16" t="n">
        <x:v>55412</x:v>
      </x:c>
      <x:c r="F829" s="16" t="n">
        <x:v>1</x:v>
      </x:c>
      <x:c r="G829" s="16" t="n">
        <x:v>1</x:v>
      </x:c>
      <x:c r="H829" s="16" t="str">
        <x:v>22-11-2013</x:v>
      </x:c>
      <x:c r="I829" s="16" t="n">
        <x:v>65</x:v>
      </x:c>
      <x:c r="J829" s="16" t="n">
        <x:v>10</x:v>
      </x:c>
      <x:c r="K829" s="16" t="n">
        <x:v>5</x:v>
      </x:c>
      <x:c r="L829" s="16" t="n">
        <x:v>28</x:v>
      </x:c>
      <x:c r="M829" s="16" t="n">
        <x:v>11</x:v>
      </x:c>
      <x:c r="N829" s="16" t="n">
        <x:v>1</x:v>
      </x:c>
      <x:c r="O829" s="16" t="n">
        <x:v>8</x:v>
      </x:c>
      <x:c r="P829" s="16" t="n">
        <x:v>1</x:v>
      </x:c>
      <x:c r="Q829" s="16" t="n">
        <x:v>2</x:v>
      </x:c>
      <x:c r="R829" s="16" t="n">
        <x:v>0</x:v>
      </x:c>
      <x:c r="S829" s="16" t="n">
        <x:v>3</x:v>
      </x:c>
      <x:c r="T829" s="16" t="n">
        <x:v>5</x:v>
      </x:c>
      <x:c r="U829" s="16" t="n">
        <x:v>0</x:v>
      </x:c>
      <x:c r="V829" s="16" t="n">
        <x:v>0</x:v>
      </x:c>
      <x:c r="W829" s="16" t="n">
        <x:v>0</x:v>
      </x:c>
      <x:c r="X829" s="16" t="n">
        <x:v>0</x:v>
      </x:c>
      <x:c r="Y829" s="16" t="n">
        <x:v>0</x:v>
      </x:c>
      <x:c r="Z829" s="16" t="n">
        <x:v>0</x:v>
      </x:c>
      <x:c r="AA829" s="16" t="n">
        <x:v>3</x:v>
      </x:c>
      <x:c r="AB829" s="16" t="n">
        <x:v>11</x:v>
      </x:c>
      <x:c r="AC829" s="16" t="n">
        <x:v>0</x:v>
      </x:c>
      <x:c r="AD829" s="21" t="n">
        <x:f>IF(E829="",MEDIAN($E$2:$E$2237),E829)</x:f>
        <x:v>55412</x:v>
      </x:c>
      <x:c r="AE829" s="17" t="n">
        <x:f>2014-B829</x:f>
        <x:v>38</x:v>
      </x:c>
      <x:c r="AF829" s="17" t="n">
        <x:f>F829+G829</x:f>
        <x:v>2</x:v>
      </x:c>
      <x:c r="AG829" s="21" t="n">
        <x:f>SUM(J829:O829)</x:f>
        <x:v>63</x:v>
      </x:c>
      <x:c r="AH829" s="17" t="n">
        <x:f>SUM(Q829:S829)</x:f>
        <x:v>5</x:v>
      </x:c>
      <x:c r="AI829" s="17" t="n">
        <x:f>SUM(U829:Y829)</x:f>
        <x:v>0</x:v>
      </x:c>
      <x:c r="AJ829" s="17" t="str">
        <x:f>IF(AE829&lt;=34,"≤34",IF(AE829&lt;=44,"35–44",IF(AE829&lt;=54,"45–54",IF(AE829&lt;=64,"55–64","65+"))))</x:f>
        <x:v>35–44</x:v>
      </x:c>
      <x:c r="AK829" s="17" t="str">
        <x:f>IF(AG829&gt;=1000,"High Value",IF(AG829&gt;=300,"Mid Value","Low Value"))</x:f>
        <x:v>Low Value</x:v>
      </x:c>
      <x:c r="AL829" s="17" t="str">
        <x:f>IF(AND(AI829&gt;=1,I829&lt;=50),"Priority 1",IF(AND(AG829&gt;=1000,I829&lt;=60),"Priority 2",IF(I829&lt;=30,"Priority 3","Nurture")))</x:f>
        <x:v>Nurture</x:v>
      </x:c>
    </x:row>
    <x:row r="830">
      <x:c r="A830" s="16" t="n">
        <x:v>8560</x:v>
      </x:c>
      <x:c r="B830" s="16" t="n">
        <x:v>1992</x:v>
      </x:c>
      <x:c r="C830" s="16" t="str">
        <x:v>Graduation</x:v>
      </x:c>
      <x:c r="D830" s="16" t="str">
        <x:v>Single</x:v>
      </x:c>
      <x:c r="E830" s="16" t="n">
        <x:v>48789</x:v>
      </x:c>
      <x:c r="F830" s="16" t="n">
        <x:v>0</x:v>
      </x:c>
      <x:c r="G830" s="16" t="n">
        <x:v>0</x:v>
      </x:c>
      <x:c r="H830" s="16" t="str">
        <x:v>10-09-2012</x:v>
      </x:c>
      <x:c r="I830" s="16" t="n">
        <x:v>94</x:v>
      </x:c>
      <x:c r="J830" s="16" t="n">
        <x:v>351</x:v>
      </x:c>
      <x:c r="K830" s="16" t="n">
        <x:v>16</x:v>
      </x:c>
      <x:c r="L830" s="16" t="n">
        <x:v>156</x:v>
      </x:c>
      <x:c r="M830" s="16" t="n">
        <x:v>7</x:v>
      </x:c>
      <x:c r="N830" s="16" t="n">
        <x:v>5</x:v>
      </x:c>
      <x:c r="O830" s="16" t="n">
        <x:v>145</x:v>
      </x:c>
      <x:c r="P830" s="16" t="n">
        <x:v>1</x:v>
      </x:c>
      <x:c r="Q830" s="16" t="n">
        <x:v>6</x:v>
      </x:c>
      <x:c r="R830" s="16" t="n">
        <x:v>4</x:v>
      </x:c>
      <x:c r="S830" s="16" t="n">
        <x:v>7</x:v>
      </x:c>
      <x:c r="T830" s="16" t="n">
        <x:v>6</x:v>
      </x:c>
      <x:c r="U830" s="16" t="n">
        <x:v>0</x:v>
      </x:c>
      <x:c r="V830" s="16" t="n">
        <x:v>0</x:v>
      </x:c>
      <x:c r="W830" s="16" t="n">
        <x:v>0</x:v>
      </x:c>
      <x:c r="X830" s="16" t="n">
        <x:v>0</x:v>
      </x:c>
      <x:c r="Y830" s="16" t="n">
        <x:v>0</x:v>
      </x:c>
      <x:c r="Z830" s="16" t="n">
        <x:v>0</x:v>
      </x:c>
      <x:c r="AA830" s="16" t="n">
        <x:v>3</x:v>
      </x:c>
      <x:c r="AB830" s="16" t="n">
        <x:v>11</x:v>
      </x:c>
      <x:c r="AC830" s="16" t="n">
        <x:v>0</x:v>
      </x:c>
      <x:c r="AD830" s="21" t="n">
        <x:f>IF(E830="",MEDIAN($E$2:$E$2237),E830)</x:f>
        <x:v>48789</x:v>
      </x:c>
      <x:c r="AE830" s="17" t="n">
        <x:f>2014-B830</x:f>
        <x:v>22</x:v>
      </x:c>
      <x:c r="AF830" s="17" t="n">
        <x:f>F830+G830</x:f>
        <x:v>0</x:v>
      </x:c>
      <x:c r="AG830" s="21" t="n">
        <x:f>SUM(J830:O830)</x:f>
        <x:v>680</x:v>
      </x:c>
      <x:c r="AH830" s="17" t="n">
        <x:f>SUM(Q830:S830)</x:f>
        <x:v>17</x:v>
      </x:c>
      <x:c r="AI830" s="17" t="n">
        <x:f>SUM(U830:Y830)</x:f>
        <x:v>0</x:v>
      </x:c>
      <x:c r="AJ830" s="17" t="str">
        <x:f>IF(AE830&lt;=34,"≤34",IF(AE830&lt;=44,"35–44",IF(AE830&lt;=54,"45–54",IF(AE830&lt;=64,"55–64","65+"))))</x:f>
        <x:v>≤34</x:v>
      </x:c>
      <x:c r="AK830" s="17" t="str">
        <x:f>IF(AG830&gt;=1000,"High Value",IF(AG830&gt;=300,"Mid Value","Low Value"))</x:f>
        <x:v>Mid Value</x:v>
      </x:c>
      <x:c r="AL830" s="17" t="str">
        <x:f>IF(AND(AI830&gt;=1,I830&lt;=50),"Priority 1",IF(AND(AG830&gt;=1000,I830&lt;=60),"Priority 2",IF(I830&lt;=30,"Priority 3","Nurture")))</x:f>
        <x:v>Nurture</x:v>
      </x:c>
    </x:row>
    <x:row r="831">
      <x:c r="A831" s="16" t="n">
        <x:v>3321</x:v>
      </x:c>
      <x:c r="B831" s="16" t="n">
        <x:v>1967</x:v>
      </x:c>
      <x:c r="C831" s="16" t="str">
        <x:v>PhD</x:v>
      </x:c>
      <x:c r="D831" s="16" t="str">
        <x:v>Together</x:v>
      </x:c>
      <x:c r="E831" s="16" t="n">
        <x:v>56575</x:v>
      </x:c>
      <x:c r="F831" s="16" t="n">
        <x:v>0</x:v>
      </x:c>
      <x:c r="G831" s="16" t="n">
        <x:v>2</x:v>
      </x:c>
      <x:c r="H831" s="16" t="str">
        <x:v>05-05-2013</x:v>
      </x:c>
      <x:c r="I831" s="16" t="n">
        <x:v>42</x:v>
      </x:c>
      <x:c r="J831" s="16" t="n">
        <x:v>421</x:v>
      </x:c>
      <x:c r="K831" s="16" t="n">
        <x:v>5</x:v>
      </x:c>
      <x:c r="L831" s="16" t="n">
        <x:v>90</x:v>
      </x:c>
      <x:c r="M831" s="16" t="n">
        <x:v>0</x:v>
      </x:c>
      <x:c r="N831" s="16" t="n">
        <x:v>16</x:v>
      </x:c>
      <x:c r="O831" s="16" t="n">
        <x:v>10</x:v>
      </x:c>
      <x:c r="P831" s="16" t="n">
        <x:v>3</x:v>
      </x:c>
      <x:c r="Q831" s="16" t="n">
        <x:v>7</x:v>
      </x:c>
      <x:c r="R831" s="16" t="n">
        <x:v>3</x:v>
      </x:c>
      <x:c r="S831" s="16" t="n">
        <x:v>7</x:v>
      </x:c>
      <x:c r="T831" s="16" t="n">
        <x:v>5</x:v>
      </x:c>
      <x:c r="U831" s="16" t="n">
        <x:v>0</x:v>
      </x:c>
      <x:c r="V831" s="16" t="n">
        <x:v>0</x:v>
      </x:c>
      <x:c r="W831" s="16" t="n">
        <x:v>0</x:v>
      </x:c>
      <x:c r="X831" s="16" t="n">
        <x:v>0</x:v>
      </x:c>
      <x:c r="Y831" s="16" t="n">
        <x:v>0</x:v>
      </x:c>
      <x:c r="Z831" s="16" t="n">
        <x:v>0</x:v>
      </x:c>
      <x:c r="AA831" s="16" t="n">
        <x:v>3</x:v>
      </x:c>
      <x:c r="AB831" s="16" t="n">
        <x:v>11</x:v>
      </x:c>
      <x:c r="AC831" s="16" t="n">
        <x:v>0</x:v>
      </x:c>
      <x:c r="AD831" s="21" t="n">
        <x:f>IF(E831="",MEDIAN($E$2:$E$2237),E831)</x:f>
        <x:v>56575</x:v>
      </x:c>
      <x:c r="AE831" s="17" t="n">
        <x:f>2014-B831</x:f>
        <x:v>47</x:v>
      </x:c>
      <x:c r="AF831" s="17" t="n">
        <x:f>F831+G831</x:f>
        <x:v>2</x:v>
      </x:c>
      <x:c r="AG831" s="21" t="n">
        <x:f>SUM(J831:O831)</x:f>
        <x:v>542</x:v>
      </x:c>
      <x:c r="AH831" s="17" t="n">
        <x:f>SUM(Q831:S831)</x:f>
        <x:v>17</x:v>
      </x:c>
      <x:c r="AI831" s="17" t="n">
        <x:f>SUM(U831:Y831)</x:f>
        <x:v>0</x:v>
      </x:c>
      <x:c r="AJ831" s="17" t="str">
        <x:f>IF(AE831&lt;=34,"≤34",IF(AE831&lt;=44,"35–44",IF(AE831&lt;=54,"45–54",IF(AE831&lt;=64,"55–64","65+"))))</x:f>
        <x:v>45–54</x:v>
      </x:c>
      <x:c r="AK831" s="17" t="str">
        <x:f>IF(AG831&gt;=1000,"High Value",IF(AG831&gt;=300,"Mid Value","Low Value"))</x:f>
        <x:v>Mid Value</x:v>
      </x:c>
      <x:c r="AL831" s="17" t="str">
        <x:f>IF(AND(AI831&gt;=1,I831&lt;=50),"Priority 1",IF(AND(AG831&gt;=1000,I831&lt;=60),"Priority 2",IF(I831&lt;=30,"Priority 3","Nurture")))</x:f>
        <x:v>Nurture</x:v>
      </x:c>
    </x:row>
    <x:row r="832">
      <x:c r="A832" s="16" t="n">
        <x:v>11003</x:v>
      </x:c>
      <x:c r="B832" s="16" t="n">
        <x:v>1980</x:v>
      </x:c>
      <x:c r="C832" s="16" t="str">
        <x:v>2n Cycle</x:v>
      </x:c>
      <x:c r="D832" s="16" t="str">
        <x:v>Together</x:v>
      </x:c>
      <x:c r="E832" s="16" t="n">
        <x:v>25130</x:v>
      </x:c>
      <x:c r="F832" s="16" t="n">
        <x:v>1</x:v>
      </x:c>
      <x:c r="G832" s="16" t="n">
        <x:v>0</x:v>
      </x:c>
      <x:c r="H832" s="16" t="str">
        <x:v>02-10-2013</x:v>
      </x:c>
      <x:c r="I832" s="16" t="n">
        <x:v>10</x:v>
      </x:c>
      <x:c r="J832" s="16" t="n">
        <x:v>2</x:v>
      </x:c>
      <x:c r="K832" s="16" t="n">
        <x:v>5</x:v>
      </x:c>
      <x:c r="L832" s="16" t="n">
        <x:v>7</x:v>
      </x:c>
      <x:c r="M832" s="16" t="n">
        <x:v>0</x:v>
      </x:c>
      <x:c r="N832" s="16" t="n">
        <x:v>18</x:v>
      </x:c>
      <x:c r="O832" s="16" t="n">
        <x:v>18</x:v>
      </x:c>
      <x:c r="P832" s="16" t="n">
        <x:v>2</x:v>
      </x:c>
      <x:c r="Q832" s="16" t="n">
        <x:v>2</x:v>
      </x:c>
      <x:c r="R832" s="16" t="n">
        <x:v>0</x:v>
      </x:c>
      <x:c r="S832" s="16" t="n">
        <x:v>3</x:v>
      </x:c>
      <x:c r="T832" s="16" t="n">
        <x:v>7</x:v>
      </x:c>
      <x:c r="U832" s="16" t="n">
        <x:v>0</x:v>
      </x:c>
      <x:c r="V832" s="16" t="n">
        <x:v>0</x:v>
      </x:c>
      <x:c r="W832" s="16" t="n">
        <x:v>0</x:v>
      </x:c>
      <x:c r="X832" s="16" t="n">
        <x:v>0</x:v>
      </x:c>
      <x:c r="Y832" s="16" t="n">
        <x:v>0</x:v>
      </x:c>
      <x:c r="Z832" s="16" t="n">
        <x:v>0</x:v>
      </x:c>
      <x:c r="AA832" s="16" t="n">
        <x:v>3</x:v>
      </x:c>
      <x:c r="AB832" s="16" t="n">
        <x:v>11</x:v>
      </x:c>
      <x:c r="AC832" s="16" t="n">
        <x:v>0</x:v>
      </x:c>
      <x:c r="AD832" s="21" t="n">
        <x:f>IF(E832="",MEDIAN($E$2:$E$2237),E832)</x:f>
        <x:v>25130</x:v>
      </x:c>
      <x:c r="AE832" s="17" t="n">
        <x:f>2014-B832</x:f>
        <x:v>34</x:v>
      </x:c>
      <x:c r="AF832" s="17" t="n">
        <x:f>F832+G832</x:f>
        <x:v>1</x:v>
      </x:c>
      <x:c r="AG832" s="21" t="n">
        <x:f>SUM(J832:O832)</x:f>
        <x:v>50</x:v>
      </x:c>
      <x:c r="AH832" s="17" t="n">
        <x:f>SUM(Q832:S832)</x:f>
        <x:v>5</x:v>
      </x:c>
      <x:c r="AI832" s="17" t="n">
        <x:f>SUM(U832:Y832)</x:f>
        <x:v>0</x:v>
      </x:c>
      <x:c r="AJ832" s="17" t="str">
        <x:f>IF(AE832&lt;=34,"≤34",IF(AE832&lt;=44,"35–44",IF(AE832&lt;=54,"45–54",IF(AE832&lt;=64,"55–64","65+"))))</x:f>
        <x:v>≤34</x:v>
      </x:c>
      <x:c r="AK832" s="17" t="str">
        <x:f>IF(AG832&gt;=1000,"High Value",IF(AG832&gt;=300,"Mid Value","Low Value"))</x:f>
        <x:v>Low Value</x:v>
      </x:c>
      <x:c r="AL832" s="17" t="str">
        <x:f>IF(AND(AI832&gt;=1,I832&lt;=50),"Priority 1",IF(AND(AG832&gt;=1000,I832&lt;=60),"Priority 2",IF(I832&lt;=30,"Priority 3","Nurture")))</x:f>
        <x:v>Priority 3</x:v>
      </x:c>
    </x:row>
    <x:row r="833">
      <x:c r="A833" s="16" t="n">
        <x:v>10402</x:v>
      </x:c>
      <x:c r="B833" s="16" t="n">
        <x:v>1967</x:v>
      </x:c>
      <x:c r="C833" s="16" t="str">
        <x:v>Graduation</x:v>
      </x:c>
      <x:c r="D833" s="16" t="str">
        <x:v>Married</x:v>
      </x:c>
      <x:c r="E833" s="16" t="n">
        <x:v>35441</x:v>
      </x:c>
      <x:c r="F833" s="16" t="n">
        <x:v>1</x:v>
      </x:c>
      <x:c r="G833" s="16" t="n">
        <x:v>1</x:v>
      </x:c>
      <x:c r="H833" s="16" t="str">
        <x:v>14-02-2013</x:v>
      </x:c>
      <x:c r="I833" s="16" t="n">
        <x:v>94</x:v>
      </x:c>
      <x:c r="J833" s="16" t="n">
        <x:v>25</x:v>
      </x:c>
      <x:c r="K833" s="16" t="n">
        <x:v>1</x:v>
      </x:c>
      <x:c r="L833" s="16" t="n">
        <x:v>9</x:v>
      </x:c>
      <x:c r="M833" s="16" t="n">
        <x:v>2</x:v>
      </x:c>
      <x:c r="N833" s="16" t="n">
        <x:v>1</x:v>
      </x:c>
      <x:c r="O833" s="16" t="n">
        <x:v>1</x:v>
      </x:c>
      <x:c r="P833" s="16" t="n">
        <x:v>2</x:v>
      </x:c>
      <x:c r="Q833" s="16" t="n">
        <x:v>1</x:v>
      </x:c>
      <x:c r="R833" s="16" t="n">
        <x:v>0</x:v>
      </x:c>
      <x:c r="S833" s="16" t="n">
        <x:v>3</x:v>
      </x:c>
      <x:c r="T833" s="16" t="n">
        <x:v>8</x:v>
      </x:c>
      <x:c r="U833" s="16" t="n">
        <x:v>0</x:v>
      </x:c>
      <x:c r="V833" s="16" t="n">
        <x:v>0</x:v>
      </x:c>
      <x:c r="W833" s="16" t="n">
        <x:v>0</x:v>
      </x:c>
      <x:c r="X833" s="16" t="n">
        <x:v>0</x:v>
      </x:c>
      <x:c r="Y833" s="16" t="n">
        <x:v>0</x:v>
      </x:c>
      <x:c r="Z833" s="16" t="n">
        <x:v>0</x:v>
      </x:c>
      <x:c r="AA833" s="16" t="n">
        <x:v>3</x:v>
      </x:c>
      <x:c r="AB833" s="16" t="n">
        <x:v>11</x:v>
      </x:c>
      <x:c r="AC833" s="16" t="n">
        <x:v>0</x:v>
      </x:c>
      <x:c r="AD833" s="21" t="n">
        <x:f>IF(E833="",MEDIAN($E$2:$E$2237),E833)</x:f>
        <x:v>35441</x:v>
      </x:c>
      <x:c r="AE833" s="17" t="n">
        <x:f>2014-B833</x:f>
        <x:v>47</x:v>
      </x:c>
      <x:c r="AF833" s="17" t="n">
        <x:f>F833+G833</x:f>
        <x:v>2</x:v>
      </x:c>
      <x:c r="AG833" s="21" t="n">
        <x:f>SUM(J833:O833)</x:f>
        <x:v>39</x:v>
      </x:c>
      <x:c r="AH833" s="17" t="n">
        <x:f>SUM(Q833:S833)</x:f>
        <x:v>4</x:v>
      </x:c>
      <x:c r="AI833" s="17" t="n">
        <x:f>SUM(U833:Y833)</x:f>
        <x:v>0</x:v>
      </x:c>
      <x:c r="AJ833" s="17" t="str">
        <x:f>IF(AE833&lt;=34,"≤34",IF(AE833&lt;=44,"35–44",IF(AE833&lt;=54,"45–54",IF(AE833&lt;=64,"55–64","65+"))))</x:f>
        <x:v>45–54</x:v>
      </x:c>
      <x:c r="AK833" s="17" t="str">
        <x:f>IF(AG833&gt;=1000,"High Value",IF(AG833&gt;=300,"Mid Value","Low Value"))</x:f>
        <x:v>Low Value</x:v>
      </x:c>
      <x:c r="AL833" s="17" t="str">
        <x:f>IF(AND(AI833&gt;=1,I833&lt;=50),"Priority 1",IF(AND(AG833&gt;=1000,I833&lt;=60),"Priority 2",IF(I833&lt;=30,"Priority 3","Nurture")))</x:f>
        <x:v>Nurture</x:v>
      </x:c>
    </x:row>
    <x:row r="834">
      <x:c r="A834" s="16" t="n">
        <x:v>9904</x:v>
      </x:c>
      <x:c r="B834" s="16" t="n">
        <x:v>1956</x:v>
      </x:c>
      <x:c r="C834" s="16" t="str">
        <x:v>Graduation</x:v>
      </x:c>
      <x:c r="D834" s="16" t="str">
        <x:v>Married</x:v>
      </x:c>
      <x:c r="E834" s="16" t="n">
        <x:v>71391</x:v>
      </x:c>
      <x:c r="F834" s="16" t="n">
        <x:v>0</x:v>
      </x:c>
      <x:c r="G834" s="16" t="n">
        <x:v>1</x:v>
      </x:c>
      <x:c r="H834" s="16" t="str">
        <x:v>29-03-2013</x:v>
      </x:c>
      <x:c r="I834" s="16" t="n">
        <x:v>50</x:v>
      </x:c>
      <x:c r="J834" s="16" t="n">
        <x:v>336</x:v>
      </x:c>
      <x:c r="K834" s="16" t="n">
        <x:v>123</x:v>
      </x:c>
      <x:c r="L834" s="16" t="n">
        <x:v>274</x:v>
      </x:c>
      <x:c r="M834" s="16" t="n">
        <x:v>46</x:v>
      </x:c>
      <x:c r="N834" s="16" t="n">
        <x:v>123</x:v>
      </x:c>
      <x:c r="O834" s="16" t="n">
        <x:v>141</x:v>
      </x:c>
      <x:c r="P834" s="16" t="n">
        <x:v>5</x:v>
      </x:c>
      <x:c r="Q834" s="16" t="n">
        <x:v>6</x:v>
      </x:c>
      <x:c r="R834" s="16" t="n">
        <x:v>5</x:v>
      </x:c>
      <x:c r="S834" s="16" t="n">
        <x:v>12</x:v>
      </x:c>
      <x:c r="T834" s="16" t="n">
        <x:v>3</x:v>
      </x:c>
      <x:c r="U834" s="16" t="n">
        <x:v>0</x:v>
      </x:c>
      <x:c r="V834" s="16" t="n">
        <x:v>0</x:v>
      </x:c>
      <x:c r="W834" s="16" t="n">
        <x:v>0</x:v>
      </x:c>
      <x:c r="X834" s="16" t="n">
        <x:v>0</x:v>
      </x:c>
      <x:c r="Y834" s="16" t="n">
        <x:v>0</x:v>
      </x:c>
      <x:c r="Z834" s="16" t="n">
        <x:v>0</x:v>
      </x:c>
      <x:c r="AA834" s="16" t="n">
        <x:v>3</x:v>
      </x:c>
      <x:c r="AB834" s="16" t="n">
        <x:v>11</x:v>
      </x:c>
      <x:c r="AC834" s="16" t="n">
        <x:v>0</x:v>
      </x:c>
      <x:c r="AD834" s="21" t="n">
        <x:f>IF(E834="",MEDIAN($E$2:$E$2237),E834)</x:f>
        <x:v>71391</x:v>
      </x:c>
      <x:c r="AE834" s="17" t="n">
        <x:f>2014-B834</x:f>
        <x:v>58</x:v>
      </x:c>
      <x:c r="AF834" s="17" t="n">
        <x:f>F834+G834</x:f>
        <x:v>1</x:v>
      </x:c>
      <x:c r="AG834" s="21" t="n">
        <x:f>SUM(J834:O834)</x:f>
        <x:v>1043</x:v>
      </x:c>
      <x:c r="AH834" s="17" t="n">
        <x:f>SUM(Q834:S834)</x:f>
        <x:v>23</x:v>
      </x:c>
      <x:c r="AI834" s="17" t="n">
        <x:f>SUM(U834:Y834)</x:f>
        <x:v>0</x:v>
      </x:c>
      <x:c r="AJ834" s="17" t="str">
        <x:f>IF(AE834&lt;=34,"≤34",IF(AE834&lt;=44,"35–44",IF(AE834&lt;=54,"45–54",IF(AE834&lt;=64,"55–64","65+"))))</x:f>
        <x:v>55–64</x:v>
      </x:c>
      <x:c r="AK834" s="17" t="str">
        <x:f>IF(AG834&gt;=1000,"High Value",IF(AG834&gt;=300,"Mid Value","Low Value"))</x:f>
        <x:v>High Value</x:v>
      </x:c>
      <x:c r="AL834" s="17" t="str">
        <x:f>IF(AND(AI834&gt;=1,I834&lt;=50),"Priority 1",IF(AND(AG834&gt;=1000,I834&lt;=60),"Priority 2",IF(I834&lt;=30,"Priority 3","Nurture")))</x:f>
        <x:v>Priority 2</x:v>
      </x:c>
    </x:row>
    <x:row r="835">
      <x:c r="A835" s="16" t="n">
        <x:v>6141</x:v>
      </x:c>
      <x:c r="B835" s="16" t="n">
        <x:v>1972</x:v>
      </x:c>
      <x:c r="C835" s="16" t="str">
        <x:v>Master</x:v>
      </x:c>
      <x:c r="D835" s="16" t="str">
        <x:v>Single</x:v>
      </x:c>
      <x:c r="E835" s="16" t="n">
        <x:v>49494</x:v>
      </x:c>
      <x:c r="F835" s="16" t="n">
        <x:v>1</x:v>
      </x:c>
      <x:c r="G835" s="16" t="n">
        <x:v>0</x:v>
      </x:c>
      <x:c r="H835" s="16" t="str">
        <x:v>25-04-2013</x:v>
      </x:c>
      <x:c r="I835" s="16" t="n">
        <x:v>46</x:v>
      </x:c>
      <x:c r="J835" s="16" t="n">
        <x:v>191</x:v>
      </x:c>
      <x:c r="K835" s="16" t="n">
        <x:v>9</x:v>
      </x:c>
      <x:c r="L835" s="16" t="n">
        <x:v>97</x:v>
      </x:c>
      <x:c r="M835" s="16" t="n">
        <x:v>0</x:v>
      </x:c>
      <x:c r="N835" s="16" t="n">
        <x:v>6</x:v>
      </x:c>
      <x:c r="O835" s="16" t="n">
        <x:v>82</x:v>
      </x:c>
      <x:c r="P835" s="16" t="n">
        <x:v>2</x:v>
      </x:c>
      <x:c r="Q835" s="16" t="n">
        <x:v>6</x:v>
      </x:c>
      <x:c r="R835" s="16" t="n">
        <x:v>1</x:v>
      </x:c>
      <x:c r="S835" s="16" t="n">
        <x:v>5</x:v>
      </x:c>
      <x:c r="T835" s="16" t="n">
        <x:v>7</x:v>
      </x:c>
      <x:c r="U835" s="16" t="n">
        <x:v>0</x:v>
      </x:c>
      <x:c r="V835" s="16" t="n">
        <x:v>0</x:v>
      </x:c>
      <x:c r="W835" s="16" t="n">
        <x:v>0</x:v>
      </x:c>
      <x:c r="X835" s="16" t="n">
        <x:v>0</x:v>
      </x:c>
      <x:c r="Y835" s="16" t="n">
        <x:v>0</x:v>
      </x:c>
      <x:c r="Z835" s="16" t="n">
        <x:v>0</x:v>
      </x:c>
      <x:c r="AA835" s="16" t="n">
        <x:v>3</x:v>
      </x:c>
      <x:c r="AB835" s="16" t="n">
        <x:v>11</x:v>
      </x:c>
      <x:c r="AC835" s="16" t="n">
        <x:v>0</x:v>
      </x:c>
      <x:c r="AD835" s="21" t="n">
        <x:f>IF(E835="",MEDIAN($E$2:$E$2237),E835)</x:f>
        <x:v>49494</x:v>
      </x:c>
      <x:c r="AE835" s="17" t="n">
        <x:f>2014-B835</x:f>
        <x:v>42</x:v>
      </x:c>
      <x:c r="AF835" s="17" t="n">
        <x:f>F835+G835</x:f>
        <x:v>1</x:v>
      </x:c>
      <x:c r="AG835" s="21" t="n">
        <x:f>SUM(J835:O835)</x:f>
        <x:v>385</x:v>
      </x:c>
      <x:c r="AH835" s="17" t="n">
        <x:f>SUM(Q835:S835)</x:f>
        <x:v>12</x:v>
      </x:c>
      <x:c r="AI835" s="17" t="n">
        <x:f>SUM(U835:Y835)</x:f>
        <x:v>0</x:v>
      </x:c>
      <x:c r="AJ835" s="17" t="str">
        <x:f>IF(AE835&lt;=34,"≤34",IF(AE835&lt;=44,"35–44",IF(AE835&lt;=54,"45–54",IF(AE835&lt;=64,"55–64","65+"))))</x:f>
        <x:v>35–44</x:v>
      </x:c>
      <x:c r="AK835" s="17" t="str">
        <x:f>IF(AG835&gt;=1000,"High Value",IF(AG835&gt;=300,"Mid Value","Low Value"))</x:f>
        <x:v>Mid Value</x:v>
      </x:c>
      <x:c r="AL835" s="17" t="str">
        <x:f>IF(AND(AI835&gt;=1,I835&lt;=50),"Priority 1",IF(AND(AG835&gt;=1000,I835&lt;=60),"Priority 2",IF(I835&lt;=30,"Priority 3","Nurture")))</x:f>
        <x:v>Nurture</x:v>
      </x:c>
    </x:row>
    <x:row r="836">
      <x:c r="A836" s="16" t="n">
        <x:v>5687</x:v>
      </x:c>
      <x:c r="B836" s="16" t="n">
        <x:v>1980</x:v>
      </x:c>
      <x:c r="C836" s="16" t="str">
        <x:v>Graduation</x:v>
      </x:c>
      <x:c r="D836" s="16" t="str">
        <x:v>Divorced</x:v>
      </x:c>
      <x:c r="E836" s="16" t="n">
        <x:v>81702</x:v>
      </x:c>
      <x:c r="F836" s="16" t="n">
        <x:v>0</x:v>
      </x:c>
      <x:c r="G836" s="16" t="n">
        <x:v>0</x:v>
      </x:c>
      <x:c r="H836" s="16" t="str">
        <x:v>23-09-2012</x:v>
      </x:c>
      <x:c r="I836" s="16" t="n">
        <x:v>98</x:v>
      </x:c>
      <x:c r="J836" s="16" t="n">
        <x:v>563</x:v>
      </x:c>
      <x:c r="K836" s="16" t="n">
        <x:v>50</x:v>
      </x:c>
      <x:c r="L836" s="16" t="n">
        <x:v>774</x:v>
      </x:c>
      <x:c r="M836" s="16" t="n">
        <x:v>28</x:v>
      </x:c>
      <x:c r="N836" s="16" t="n">
        <x:v>31</x:v>
      </x:c>
      <x:c r="O836" s="16" t="n">
        <x:v>187</x:v>
      </x:c>
      <x:c r="P836" s="16" t="n">
        <x:v>1</x:v>
      </x:c>
      <x:c r="Q836" s="16" t="n">
        <x:v>7</x:v>
      </x:c>
      <x:c r="R836" s="16" t="n">
        <x:v>7</x:v>
      </x:c>
      <x:c r="S836" s="16" t="n">
        <x:v>12</x:v>
      </x:c>
      <x:c r="T836" s="16" t="n">
        <x:v>3</x:v>
      </x:c>
      <x:c r="U836" s="16" t="n">
        <x:v>0</x:v>
      </x:c>
      <x:c r="V836" s="16" t="n">
        <x:v>0</x:v>
      </x:c>
      <x:c r="W836" s="16" t="n">
        <x:v>0</x:v>
      </x:c>
      <x:c r="X836" s="16" t="n">
        <x:v>0</x:v>
      </x:c>
      <x:c r="Y836" s="16" t="n">
        <x:v>0</x:v>
      </x:c>
      <x:c r="Z836" s="16" t="n">
        <x:v>0</x:v>
      </x:c>
      <x:c r="AA836" s="16" t="n">
        <x:v>3</x:v>
      </x:c>
      <x:c r="AB836" s="16" t="n">
        <x:v>11</x:v>
      </x:c>
      <x:c r="AC836" s="16" t="n">
        <x:v>0</x:v>
      </x:c>
      <x:c r="AD836" s="21" t="n">
        <x:f>IF(E836="",MEDIAN($E$2:$E$2237),E836)</x:f>
        <x:v>81702</x:v>
      </x:c>
      <x:c r="AE836" s="17" t="n">
        <x:f>2014-B836</x:f>
        <x:v>34</x:v>
      </x:c>
      <x:c r="AF836" s="17" t="n">
        <x:f>F836+G836</x:f>
        <x:v>0</x:v>
      </x:c>
      <x:c r="AG836" s="21" t="n">
        <x:f>SUM(J836:O836)</x:f>
        <x:v>1633</x:v>
      </x:c>
      <x:c r="AH836" s="17" t="n">
        <x:f>SUM(Q836:S836)</x:f>
        <x:v>26</x:v>
      </x:c>
      <x:c r="AI836" s="17" t="n">
        <x:f>SUM(U836:Y836)</x:f>
        <x:v>0</x:v>
      </x:c>
      <x:c r="AJ836" s="17" t="str">
        <x:f>IF(AE836&lt;=34,"≤34",IF(AE836&lt;=44,"35–44",IF(AE836&lt;=54,"45–54",IF(AE836&lt;=64,"55–64","65+"))))</x:f>
        <x:v>≤34</x:v>
      </x:c>
      <x:c r="AK836" s="17" t="str">
        <x:f>IF(AG836&gt;=1000,"High Value",IF(AG836&gt;=300,"Mid Value","Low Value"))</x:f>
        <x:v>High Value</x:v>
      </x:c>
      <x:c r="AL836" s="17" t="str">
        <x:f>IF(AND(AI836&gt;=1,I836&lt;=50),"Priority 1",IF(AND(AG836&gt;=1000,I836&lt;=60),"Priority 2",IF(I836&lt;=30,"Priority 3","Nurture")))</x:f>
        <x:v>Nurture</x:v>
      </x:c>
    </x:row>
    <x:row r="837">
      <x:c r="A837" s="16" t="n">
        <x:v>10856</x:v>
      </x:c>
      <x:c r="B837" s="16" t="n">
        <x:v>1980</x:v>
      </x:c>
      <x:c r="C837" s="16" t="str">
        <x:v>2n Cycle</x:v>
      </x:c>
      <x:c r="D837" s="16" t="str">
        <x:v>Single</x:v>
      </x:c>
      <x:c r="E837" s="16" t="n">
        <x:v>45889</x:v>
      </x:c>
      <x:c r="F837" s="16" t="n">
        <x:v>0</x:v>
      </x:c>
      <x:c r="G837" s="16" t="n">
        <x:v>1</x:v>
      </x:c>
      <x:c r="H837" s="16" t="str">
        <x:v>02-07-2013</x:v>
      </x:c>
      <x:c r="I837" s="16" t="n">
        <x:v>42</x:v>
      </x:c>
      <x:c r="J837" s="16" t="n">
        <x:v>31</x:v>
      </x:c>
      <x:c r="K837" s="16" t="n">
        <x:v>0</x:v>
      </x:c>
      <x:c r="L837" s="16" t="n">
        <x:v>6</x:v>
      </x:c>
      <x:c r="M837" s="16" t="n">
        <x:v>0</x:v>
      </x:c>
      <x:c r="N837" s="16" t="n">
        <x:v>1</x:v>
      </x:c>
      <x:c r="O837" s="16" t="n">
        <x:v>8</x:v>
      </x:c>
      <x:c r="P837" s="16" t="n">
        <x:v>1</x:v>
      </x:c>
      <x:c r="Q837" s="16" t="n">
        <x:v>1</x:v>
      </x:c>
      <x:c r="R837" s="16" t="n">
        <x:v>0</x:v>
      </x:c>
      <x:c r="S837" s="16" t="n">
        <x:v>3</x:v>
      </x:c>
      <x:c r="T837" s="16" t="n">
        <x:v>6</x:v>
      </x:c>
      <x:c r="U837" s="16" t="n">
        <x:v>0</x:v>
      </x:c>
      <x:c r="V837" s="16" t="n">
        <x:v>0</x:v>
      </x:c>
      <x:c r="W837" s="16" t="n">
        <x:v>0</x:v>
      </x:c>
      <x:c r="X837" s="16" t="n">
        <x:v>0</x:v>
      </x:c>
      <x:c r="Y837" s="16" t="n">
        <x:v>0</x:v>
      </x:c>
      <x:c r="Z837" s="16" t="n">
        <x:v>0</x:v>
      </x:c>
      <x:c r="AA837" s="16" t="n">
        <x:v>3</x:v>
      </x:c>
      <x:c r="AB837" s="16" t="n">
        <x:v>11</x:v>
      </x:c>
      <x:c r="AC837" s="16" t="n">
        <x:v>0</x:v>
      </x:c>
      <x:c r="AD837" s="21" t="n">
        <x:f>IF(E837="",MEDIAN($E$2:$E$2237),E837)</x:f>
        <x:v>45889</x:v>
      </x:c>
      <x:c r="AE837" s="17" t="n">
        <x:f>2014-B837</x:f>
        <x:v>34</x:v>
      </x:c>
      <x:c r="AF837" s="17" t="n">
        <x:f>F837+G837</x:f>
        <x:v>1</x:v>
      </x:c>
      <x:c r="AG837" s="21" t="n">
        <x:f>SUM(J837:O837)</x:f>
        <x:v>46</x:v>
      </x:c>
      <x:c r="AH837" s="17" t="n">
        <x:f>SUM(Q837:S837)</x:f>
        <x:v>4</x:v>
      </x:c>
      <x:c r="AI837" s="17" t="n">
        <x:f>SUM(U837:Y837)</x:f>
        <x:v>0</x:v>
      </x:c>
      <x:c r="AJ837" s="17" t="str">
        <x:f>IF(AE837&lt;=34,"≤34",IF(AE837&lt;=44,"35–44",IF(AE837&lt;=54,"45–54",IF(AE837&lt;=64,"55–64","65+"))))</x:f>
        <x:v>≤34</x:v>
      </x:c>
      <x:c r="AK837" s="17" t="str">
        <x:f>IF(AG837&gt;=1000,"High Value",IF(AG837&gt;=300,"Mid Value","Low Value"))</x:f>
        <x:v>Low Value</x:v>
      </x:c>
      <x:c r="AL837" s="17" t="str">
        <x:f>IF(AND(AI837&gt;=1,I837&lt;=50),"Priority 1",IF(AND(AG837&gt;=1000,I837&lt;=60),"Priority 2",IF(I837&lt;=30,"Priority 3","Nurture")))</x:f>
        <x:v>Nurture</x:v>
      </x:c>
    </x:row>
    <x:row r="838">
      <x:c r="A838" s="16" t="n">
        <x:v>5121</x:v>
      </x:c>
      <x:c r="B838" s="16" t="n">
        <x:v>1977</x:v>
      </x:c>
      <x:c r="C838" s="16" t="str">
        <x:v>Graduation</x:v>
      </x:c>
      <x:c r="D838" s="16" t="str">
        <x:v>Single</x:v>
      </x:c>
      <x:c r="E838" s="16" t="n">
        <x:v>56628</x:v>
      </x:c>
      <x:c r="F838" s="16" t="n">
        <x:v>0</x:v>
      </x:c>
      <x:c r="G838" s="16" t="n">
        <x:v>1</x:v>
      </x:c>
      <x:c r="H838" s="16" t="str">
        <x:v>21-03-2014</x:v>
      </x:c>
      <x:c r="I838" s="16" t="n">
        <x:v>30</x:v>
      </x:c>
      <x:c r="J838" s="16" t="n">
        <x:v>479</x:v>
      </x:c>
      <x:c r="K838" s="16" t="n">
        <x:v>5</x:v>
      </x:c>
      <x:c r="L838" s="16" t="n">
        <x:v>82</x:v>
      </x:c>
      <x:c r="M838" s="16" t="n">
        <x:v>7</x:v>
      </x:c>
      <x:c r="N838" s="16" t="n">
        <x:v>17</x:v>
      </x:c>
      <x:c r="O838" s="16" t="n">
        <x:v>171</x:v>
      </x:c>
      <x:c r="P838" s="16" t="n">
        <x:v>2</x:v>
      </x:c>
      <x:c r="Q838" s="16" t="n">
        <x:v>7</x:v>
      </x:c>
      <x:c r="R838" s="16" t="n">
        <x:v>6</x:v>
      </x:c>
      <x:c r="S838" s="16" t="n">
        <x:v>5</x:v>
      </x:c>
      <x:c r="T838" s="16" t="n">
        <x:v>5</x:v>
      </x:c>
      <x:c r="U838" s="16" t="n">
        <x:v>1</x:v>
      </x:c>
      <x:c r="V838" s="16" t="n">
        <x:v>0</x:v>
      </x:c>
      <x:c r="W838" s="16" t="n">
        <x:v>0</x:v>
      </x:c>
      <x:c r="X838" s="16" t="n">
        <x:v>0</x:v>
      </x:c>
      <x:c r="Y838" s="16" t="n">
        <x:v>0</x:v>
      </x:c>
      <x:c r="Z838" s="16" t="n">
        <x:v>0</x:v>
      </x:c>
      <x:c r="AA838" s="16" t="n">
        <x:v>3</x:v>
      </x:c>
      <x:c r="AB838" s="16" t="n">
        <x:v>11</x:v>
      </x:c>
      <x:c r="AC838" s="16" t="n">
        <x:v>0</x:v>
      </x:c>
      <x:c r="AD838" s="21" t="n">
        <x:f>IF(E838="",MEDIAN($E$2:$E$2237),E838)</x:f>
        <x:v>56628</x:v>
      </x:c>
      <x:c r="AE838" s="17" t="n">
        <x:f>2014-B838</x:f>
        <x:v>37</x:v>
      </x:c>
      <x:c r="AF838" s="17" t="n">
        <x:f>F838+G838</x:f>
        <x:v>1</x:v>
      </x:c>
      <x:c r="AG838" s="21" t="n">
        <x:f>SUM(J838:O838)</x:f>
        <x:v>761</x:v>
      </x:c>
      <x:c r="AH838" s="17" t="n">
        <x:f>SUM(Q838:S838)</x:f>
        <x:v>18</x:v>
      </x:c>
      <x:c r="AI838" s="17" t="n">
        <x:f>SUM(U838:Y838)</x:f>
        <x:v>1</x:v>
      </x:c>
      <x:c r="AJ838" s="17" t="str">
        <x:f>IF(AE838&lt;=34,"≤34",IF(AE838&lt;=44,"35–44",IF(AE838&lt;=54,"45–54",IF(AE838&lt;=64,"55–64","65+"))))</x:f>
        <x:v>35–44</x:v>
      </x:c>
      <x:c r="AK838" s="17" t="str">
        <x:f>IF(AG838&gt;=1000,"High Value",IF(AG838&gt;=300,"Mid Value","Low Value"))</x:f>
        <x:v>Mid Value</x:v>
      </x:c>
      <x:c r="AL838" s="17" t="str">
        <x:f>IF(AND(AI838&gt;=1,I838&lt;=50),"Priority 1",IF(AND(AG838&gt;=1000,I838&lt;=60),"Priority 2",IF(I838&lt;=30,"Priority 3","Nurture")))</x:f>
        <x:v>Priority 1</x:v>
      </x:c>
    </x:row>
    <x:row r="839">
      <x:c r="A839" s="16" t="n">
        <x:v>4186</x:v>
      </x:c>
      <x:c r="B839" s="16" t="n">
        <x:v>1950</x:v>
      </x:c>
      <x:c r="C839" s="16" t="str">
        <x:v>Graduation</x:v>
      </x:c>
      <x:c r="D839" s="16" t="str">
        <x:v>Together</x:v>
      </x:c>
      <x:c r="E839" s="16" t="n">
        <x:v>34026</x:v>
      </x:c>
      <x:c r="F839" s="16" t="n">
        <x:v>1</x:v>
      </x:c>
      <x:c r="G839" s="16" t="n">
        <x:v>1</x:v>
      </x:c>
      <x:c r="H839" s="16" t="str">
        <x:v>05-08-2013</x:v>
      </x:c>
      <x:c r="I839" s="16" t="n">
        <x:v>11</x:v>
      </x:c>
      <x:c r="J839" s="16" t="n">
        <x:v>18</x:v>
      </x:c>
      <x:c r="K839" s="16" t="n">
        <x:v>6</x:v>
      </x:c>
      <x:c r="L839" s="16" t="n">
        <x:v>15</x:v>
      </x:c>
      <x:c r="M839" s="16" t="n">
        <x:v>12</x:v>
      </x:c>
      <x:c r="N839" s="16" t="n">
        <x:v>8</x:v>
      </x:c>
      <x:c r="O839" s="16" t="n">
        <x:v>17</x:v>
      </x:c>
      <x:c r="P839" s="16" t="n">
        <x:v>3</x:v>
      </x:c>
      <x:c r="Q839" s="16" t="n">
        <x:v>2</x:v>
      </x:c>
      <x:c r="R839" s="16" t="n">
        <x:v>1</x:v>
      </x:c>
      <x:c r="S839" s="16" t="n">
        <x:v>3</x:v>
      </x:c>
      <x:c r="T839" s="16" t="n">
        <x:v>5</x:v>
      </x:c>
      <x:c r="U839" s="16" t="n">
        <x:v>0</x:v>
      </x:c>
      <x:c r="V839" s="16" t="n">
        <x:v>0</x:v>
      </x:c>
      <x:c r="W839" s="16" t="n">
        <x:v>0</x:v>
      </x:c>
      <x:c r="X839" s="16" t="n">
        <x:v>0</x:v>
      </x:c>
      <x:c r="Y839" s="16" t="n">
        <x:v>0</x:v>
      </x:c>
      <x:c r="Z839" s="16" t="n">
        <x:v>0</x:v>
      </x:c>
      <x:c r="AA839" s="16" t="n">
        <x:v>3</x:v>
      </x:c>
      <x:c r="AB839" s="16" t="n">
        <x:v>11</x:v>
      </x:c>
      <x:c r="AC839" s="16" t="n">
        <x:v>0</x:v>
      </x:c>
      <x:c r="AD839" s="21" t="n">
        <x:f>IF(E839="",MEDIAN($E$2:$E$2237),E839)</x:f>
        <x:v>34026</x:v>
      </x:c>
      <x:c r="AE839" s="17" t="n">
        <x:f>2014-B839</x:f>
        <x:v>64</x:v>
      </x:c>
      <x:c r="AF839" s="17" t="n">
        <x:f>F839+G839</x:f>
        <x:v>2</x:v>
      </x:c>
      <x:c r="AG839" s="21" t="n">
        <x:f>SUM(J839:O839)</x:f>
        <x:v>76</x:v>
      </x:c>
      <x:c r="AH839" s="17" t="n">
        <x:f>SUM(Q839:S839)</x:f>
        <x:v>6</x:v>
      </x:c>
      <x:c r="AI839" s="17" t="n">
        <x:f>SUM(U839:Y839)</x:f>
        <x:v>0</x:v>
      </x:c>
      <x:c r="AJ839" s="17" t="str">
        <x:f>IF(AE839&lt;=34,"≤34",IF(AE839&lt;=44,"35–44",IF(AE839&lt;=54,"45–54",IF(AE839&lt;=64,"55–64","65+"))))</x:f>
        <x:v>55–64</x:v>
      </x:c>
      <x:c r="AK839" s="17" t="str">
        <x:f>IF(AG839&gt;=1000,"High Value",IF(AG839&gt;=300,"Mid Value","Low Value"))</x:f>
        <x:v>Low Value</x:v>
      </x:c>
      <x:c r="AL839" s="17" t="str">
        <x:f>IF(AND(AI839&gt;=1,I839&lt;=50),"Priority 1",IF(AND(AG839&gt;=1000,I839&lt;=60),"Priority 2",IF(I839&lt;=30,"Priority 3","Nurture")))</x:f>
        <x:v>Priority 3</x:v>
      </x:c>
    </x:row>
    <x:row r="840">
      <x:c r="A840" s="16" t="n">
        <x:v>368</x:v>
      </x:c>
      <x:c r="B840" s="16" t="n">
        <x:v>1974</x:v>
      </x:c>
      <x:c r="C840" s="16" t="str">
        <x:v>Graduation</x:v>
      </x:c>
      <x:c r="D840" s="16" t="str">
        <x:v>Married</x:v>
      </x:c>
      <x:c r="E840" s="16" t="n">
        <x:v>40049</x:v>
      </x:c>
      <x:c r="F840" s="16" t="n">
        <x:v>0</x:v>
      </x:c>
      <x:c r="G840" s="16" t="n">
        <x:v>1</x:v>
      </x:c>
      <x:c r="H840" s="16" t="str">
        <x:v>29-11-2012</x:v>
      </x:c>
      <x:c r="I840" s="16" t="n">
        <x:v>61</x:v>
      </x:c>
      <x:c r="J840" s="16" t="n">
        <x:v>91</x:v>
      </x:c>
      <x:c r="K840" s="16" t="n">
        <x:v>65</x:v>
      </x:c>
      <x:c r="L840" s="16" t="n">
        <x:v>52</x:v>
      </x:c>
      <x:c r="M840" s="16" t="n">
        <x:v>10</x:v>
      </x:c>
      <x:c r="N840" s="16" t="n">
        <x:v>44</x:v>
      </x:c>
      <x:c r="O840" s="16" t="n">
        <x:v>28</x:v>
      </x:c>
      <x:c r="P840" s="16" t="n">
        <x:v>3</x:v>
      </x:c>
      <x:c r="Q840" s="16" t="n">
        <x:v>3</x:v>
      </x:c>
      <x:c r="R840" s="16" t="n">
        <x:v>2</x:v>
      </x:c>
      <x:c r="S840" s="16" t="n">
        <x:v>6</x:v>
      </x:c>
      <x:c r="T840" s="16" t="n">
        <x:v>5</x:v>
      </x:c>
      <x:c r="U840" s="16" t="n">
        <x:v>0</x:v>
      </x:c>
      <x:c r="V840" s="16" t="n">
        <x:v>0</x:v>
      </x:c>
      <x:c r="W840" s="16" t="n">
        <x:v>0</x:v>
      </x:c>
      <x:c r="X840" s="16" t="n">
        <x:v>0</x:v>
      </x:c>
      <x:c r="Y840" s="16" t="n">
        <x:v>0</x:v>
      </x:c>
      <x:c r="Z840" s="16" t="n">
        <x:v>0</x:v>
      </x:c>
      <x:c r="AA840" s="16" t="n">
        <x:v>3</x:v>
      </x:c>
      <x:c r="AB840" s="16" t="n">
        <x:v>11</x:v>
      </x:c>
      <x:c r="AC840" s="16" t="n">
        <x:v>0</x:v>
      </x:c>
      <x:c r="AD840" s="21" t="n">
        <x:f>IF(E840="",MEDIAN($E$2:$E$2237),E840)</x:f>
        <x:v>40049</x:v>
      </x:c>
      <x:c r="AE840" s="17" t="n">
        <x:f>2014-B840</x:f>
        <x:v>40</x:v>
      </x:c>
      <x:c r="AF840" s="17" t="n">
        <x:f>F840+G840</x:f>
        <x:v>1</x:v>
      </x:c>
      <x:c r="AG840" s="21" t="n">
        <x:f>SUM(J840:O840)</x:f>
        <x:v>290</x:v>
      </x:c>
      <x:c r="AH840" s="17" t="n">
        <x:f>SUM(Q840:S840)</x:f>
        <x:v>11</x:v>
      </x:c>
      <x:c r="AI840" s="17" t="n">
        <x:f>SUM(U840:Y840)</x:f>
        <x:v>0</x:v>
      </x:c>
      <x:c r="AJ840" s="17" t="str">
        <x:f>IF(AE840&lt;=34,"≤34",IF(AE840&lt;=44,"35–44",IF(AE840&lt;=54,"45–54",IF(AE840&lt;=64,"55–64","65+"))))</x:f>
        <x:v>35–44</x:v>
      </x:c>
      <x:c r="AK840" s="17" t="str">
        <x:f>IF(AG840&gt;=1000,"High Value",IF(AG840&gt;=300,"Mid Value","Low Value"))</x:f>
        <x:v>Low Value</x:v>
      </x:c>
      <x:c r="AL840" s="17" t="str">
        <x:f>IF(AND(AI840&gt;=1,I840&lt;=50),"Priority 1",IF(AND(AG840&gt;=1000,I840&lt;=60),"Priority 2",IF(I840&lt;=30,"Priority 3","Nurture")))</x:f>
        <x:v>Nurture</x:v>
      </x:c>
    </x:row>
    <x:row r="841">
      <x:c r="A841" s="16" t="n">
        <x:v>3312</x:v>
      </x:c>
      <x:c r="B841" s="16" t="n">
        <x:v>1988</x:v>
      </x:c>
      <x:c r="C841" s="16" t="str">
        <x:v>Graduation</x:v>
      </x:c>
      <x:c r="D841" s="16" t="str">
        <x:v>Single</x:v>
      </x:c>
      <x:c r="E841" s="16" t="n">
        <x:v>34176</x:v>
      </x:c>
      <x:c r="F841" s="16" t="n">
        <x:v>1</x:v>
      </x:c>
      <x:c r="G841" s="16" t="n">
        <x:v>0</x:v>
      </x:c>
      <x:c r="H841" s="16" t="str">
        <x:v>12-05-2014</x:v>
      </x:c>
      <x:c r="I841" s="16" t="n">
        <x:v>12</x:v>
      </x:c>
      <x:c r="J841" s="16" t="n">
        <x:v>5</x:v>
      </x:c>
      <x:c r="K841" s="16" t="n">
        <x:v>7</x:v>
      </x:c>
      <x:c r="L841" s="16" t="n">
        <x:v>24</x:v>
      </x:c>
      <x:c r="M841" s="16" t="n">
        <x:v>19</x:v>
      </x:c>
      <x:c r="N841" s="16" t="n">
        <x:v>14</x:v>
      </x:c>
      <x:c r="O841" s="16" t="n">
        <x:v>20</x:v>
      </x:c>
      <x:c r="P841" s="16" t="n">
        <x:v>4</x:v>
      </x:c>
      <x:c r="Q841" s="16" t="n">
        <x:v>3</x:v>
      </x:c>
      <x:c r="R841" s="16" t="n">
        <x:v>0</x:v>
      </x:c>
      <x:c r="S841" s="16" t="n">
        <x:v>4</x:v>
      </x:c>
      <x:c r="T841" s="16" t="n">
        <x:v>6</x:v>
      </x:c>
      <x:c r="U841" s="16" t="n">
        <x:v>0</x:v>
      </x:c>
      <x:c r="V841" s="16" t="n">
        <x:v>0</x:v>
      </x:c>
      <x:c r="W841" s="16" t="n">
        <x:v>0</x:v>
      </x:c>
      <x:c r="X841" s="16" t="n">
        <x:v>0</x:v>
      </x:c>
      <x:c r="Y841" s="16" t="n">
        <x:v>0</x:v>
      </x:c>
      <x:c r="Z841" s="16" t="n">
        <x:v>0</x:v>
      </x:c>
      <x:c r="AA841" s="16" t="n">
        <x:v>3</x:v>
      </x:c>
      <x:c r="AB841" s="16" t="n">
        <x:v>11</x:v>
      </x:c>
      <x:c r="AC841" s="16" t="n">
        <x:v>0</x:v>
      </x:c>
      <x:c r="AD841" s="21" t="n">
        <x:f>IF(E841="",MEDIAN($E$2:$E$2237),E841)</x:f>
        <x:v>34176</x:v>
      </x:c>
      <x:c r="AE841" s="17" t="n">
        <x:f>2014-B841</x:f>
        <x:v>26</x:v>
      </x:c>
      <x:c r="AF841" s="17" t="n">
        <x:f>F841+G841</x:f>
        <x:v>1</x:v>
      </x:c>
      <x:c r="AG841" s="21" t="n">
        <x:f>SUM(J841:O841)</x:f>
        <x:v>89</x:v>
      </x:c>
      <x:c r="AH841" s="17" t="n">
        <x:f>SUM(Q841:S841)</x:f>
        <x:v>7</x:v>
      </x:c>
      <x:c r="AI841" s="17" t="n">
        <x:f>SUM(U841:Y841)</x:f>
        <x:v>0</x:v>
      </x:c>
      <x:c r="AJ841" s="17" t="str">
        <x:f>IF(AE841&lt;=34,"≤34",IF(AE841&lt;=44,"35–44",IF(AE841&lt;=54,"45–54",IF(AE841&lt;=64,"55–64","65+"))))</x:f>
        <x:v>≤34</x:v>
      </x:c>
      <x:c r="AK841" s="17" t="str">
        <x:f>IF(AG841&gt;=1000,"High Value",IF(AG841&gt;=300,"Mid Value","Low Value"))</x:f>
        <x:v>Low Value</x:v>
      </x:c>
      <x:c r="AL841" s="17" t="str">
        <x:f>IF(AND(AI841&gt;=1,I841&lt;=50),"Priority 1",IF(AND(AG841&gt;=1000,I841&lt;=60),"Priority 2",IF(I841&lt;=30,"Priority 3","Nurture")))</x:f>
        <x:v>Priority 3</x:v>
      </x:c>
    </x:row>
    <x:row r="842">
      <x:c r="A842" s="16" t="n">
        <x:v>11121</x:v>
      </x:c>
      <x:c r="B842" s="16" t="n">
        <x:v>1981</x:v>
      </x:c>
      <x:c r="C842" s="16" t="str">
        <x:v>Graduation</x:v>
      </x:c>
      <x:c r="D842" s="16" t="str">
        <x:v>Married</x:v>
      </x:c>
      <x:c r="E842" s="16" t="n">
        <x:v>19419</x:v>
      </x:c>
      <x:c r="F842" s="16" t="n">
        <x:v>1</x:v>
      </x:c>
      <x:c r="G842" s="16" t="n">
        <x:v>0</x:v>
      </x:c>
      <x:c r="H842" s="16" t="str">
        <x:v>10-11-2012</x:v>
      </x:c>
      <x:c r="I842" s="16" t="n">
        <x:v>76</x:v>
      </x:c>
      <x:c r="J842" s="16" t="n">
        <x:v>2</x:v>
      </x:c>
      <x:c r="K842" s="16" t="n">
        <x:v>14</x:v>
      </x:c>
      <x:c r="L842" s="16" t="n">
        <x:v>28</x:v>
      </x:c>
      <x:c r="M842" s="16" t="n">
        <x:v>16</x:v>
      </x:c>
      <x:c r="N842" s="16" t="n">
        <x:v>3</x:v>
      </x:c>
      <x:c r="O842" s="16" t="n">
        <x:v>7</x:v>
      </x:c>
      <x:c r="P842" s="16" t="n">
        <x:v>4</x:v>
      </x:c>
      <x:c r="Q842" s="16" t="n">
        <x:v>4</x:v>
      </x:c>
      <x:c r="R842" s="16" t="n">
        <x:v>0</x:v>
      </x:c>
      <x:c r="S842" s="16" t="n">
        <x:v>3</x:v>
      </x:c>
      <x:c r="T842" s="16" t="n">
        <x:v>9</x:v>
      </x:c>
      <x:c r="U842" s="16" t="n">
        <x:v>0</x:v>
      </x:c>
      <x:c r="V842" s="16" t="n">
        <x:v>0</x:v>
      </x:c>
      <x:c r="W842" s="16" t="n">
        <x:v>0</x:v>
      </x:c>
      <x:c r="X842" s="16" t="n">
        <x:v>0</x:v>
      </x:c>
      <x:c r="Y842" s="16" t="n">
        <x:v>0</x:v>
      </x:c>
      <x:c r="Z842" s="16" t="n">
        <x:v>0</x:v>
      </x:c>
      <x:c r="AA842" s="16" t="n">
        <x:v>3</x:v>
      </x:c>
      <x:c r="AB842" s="16" t="n">
        <x:v>11</x:v>
      </x:c>
      <x:c r="AC842" s="16" t="n">
        <x:v>0</x:v>
      </x:c>
      <x:c r="AD842" s="21" t="n">
        <x:f>IF(E842="",MEDIAN($E$2:$E$2237),E842)</x:f>
        <x:v>19419</x:v>
      </x:c>
      <x:c r="AE842" s="17" t="n">
        <x:f>2014-B842</x:f>
        <x:v>33</x:v>
      </x:c>
      <x:c r="AF842" s="17" t="n">
        <x:f>F842+G842</x:f>
        <x:v>1</x:v>
      </x:c>
      <x:c r="AG842" s="21" t="n">
        <x:f>SUM(J842:O842)</x:f>
        <x:v>70</x:v>
      </x:c>
      <x:c r="AH842" s="17" t="n">
        <x:f>SUM(Q842:S842)</x:f>
        <x:v>7</x:v>
      </x:c>
      <x:c r="AI842" s="17" t="n">
        <x:f>SUM(U842:Y842)</x:f>
        <x:v>0</x:v>
      </x:c>
      <x:c r="AJ842" s="17" t="str">
        <x:f>IF(AE842&lt;=34,"≤34",IF(AE842&lt;=44,"35–44",IF(AE842&lt;=54,"45–54",IF(AE842&lt;=64,"55–64","65+"))))</x:f>
        <x:v>≤34</x:v>
      </x:c>
      <x:c r="AK842" s="17" t="str">
        <x:f>IF(AG842&gt;=1000,"High Value",IF(AG842&gt;=300,"Mid Value","Low Value"))</x:f>
        <x:v>Low Value</x:v>
      </x:c>
      <x:c r="AL842" s="17" t="str">
        <x:f>IF(AND(AI842&gt;=1,I842&lt;=50),"Priority 1",IF(AND(AG842&gt;=1000,I842&lt;=60),"Priority 2",IF(I842&lt;=30,"Priority 3","Nurture")))</x:f>
        <x:v>Nurture</x:v>
      </x:c>
    </x:row>
    <x:row r="843">
      <x:c r="A843" s="16" t="n">
        <x:v>5332</x:v>
      </x:c>
      <x:c r="B843" s="16" t="n">
        <x:v>1960</x:v>
      </x:c>
      <x:c r="C843" s="16" t="str">
        <x:v>2n Cycle</x:v>
      </x:c>
      <x:c r="D843" s="16" t="str">
        <x:v>Married</x:v>
      </x:c>
      <x:c r="E843" s="16" t="n">
        <x:v>82504</x:v>
      </x:c>
      <x:c r="F843" s="16" t="n">
        <x:v>0</x:v>
      </x:c>
      <x:c r="G843" s="16" t="n">
        <x:v>0</x:v>
      </x:c>
      <x:c r="H843" s="16" t="str">
        <x:v>27-07-2013</x:v>
      </x:c>
      <x:c r="I843" s="16" t="n">
        <x:v>2</x:v>
      </x:c>
      <x:c r="J843" s="16" t="n">
        <x:v>362</x:v>
      </x:c>
      <x:c r="K843" s="16" t="n">
        <x:v>50</x:v>
      </x:c>
      <x:c r="L843" s="16" t="n">
        <x:v>431</x:v>
      </x:c>
      <x:c r="M843" s="16" t="n">
        <x:v>134</x:v>
      </x:c>
      <x:c r="N843" s="16" t="n">
        <x:v>35</x:v>
      </x:c>
      <x:c r="O843" s="16" t="n">
        <x:v>54</x:v>
      </x:c>
      <x:c r="P843" s="16" t="n">
        <x:v>1</x:v>
      </x:c>
      <x:c r="Q843" s="16" t="n">
        <x:v>3</x:v>
      </x:c>
      <x:c r="R843" s="16" t="n">
        <x:v>6</x:v>
      </x:c>
      <x:c r="S843" s="16" t="n">
        <x:v>7</x:v>
      </x:c>
      <x:c r="T843" s="16" t="n">
        <x:v>1</x:v>
      </x:c>
      <x:c r="U843" s="16" t="n">
        <x:v>0</x:v>
      </x:c>
      <x:c r="V843" s="16" t="n">
        <x:v>0</x:v>
      </x:c>
      <x:c r="W843" s="16" t="n">
        <x:v>0</x:v>
      </x:c>
      <x:c r="X843" s="16" t="n">
        <x:v>0</x:v>
      </x:c>
      <x:c r="Y843" s="16" t="n">
        <x:v>0</x:v>
      </x:c>
      <x:c r="Z843" s="16" t="n">
        <x:v>0</x:v>
      </x:c>
      <x:c r="AA843" s="16" t="n">
        <x:v>3</x:v>
      </x:c>
      <x:c r="AB843" s="16" t="n">
        <x:v>11</x:v>
      </x:c>
      <x:c r="AC843" s="16" t="n">
        <x:v>0</x:v>
      </x:c>
      <x:c r="AD843" s="21" t="n">
        <x:f>IF(E843="",MEDIAN($E$2:$E$2237),E843)</x:f>
        <x:v>82504</x:v>
      </x:c>
      <x:c r="AE843" s="17" t="n">
        <x:f>2014-B843</x:f>
        <x:v>54</x:v>
      </x:c>
      <x:c r="AF843" s="17" t="n">
        <x:f>F843+G843</x:f>
        <x:v>0</x:v>
      </x:c>
      <x:c r="AG843" s="21" t="n">
        <x:f>SUM(J843:O843)</x:f>
        <x:v>1066</x:v>
      </x:c>
      <x:c r="AH843" s="17" t="n">
        <x:f>SUM(Q843:S843)</x:f>
        <x:v>16</x:v>
      </x:c>
      <x:c r="AI843" s="17" t="n">
        <x:f>SUM(U843:Y843)</x:f>
        <x:v>0</x:v>
      </x:c>
      <x:c r="AJ843" s="17" t="str">
        <x:f>IF(AE843&lt;=34,"≤34",IF(AE843&lt;=44,"35–44",IF(AE843&lt;=54,"45–54",IF(AE843&lt;=64,"55–64","65+"))))</x:f>
        <x:v>45–54</x:v>
      </x:c>
      <x:c r="AK843" s="17" t="str">
        <x:f>IF(AG843&gt;=1000,"High Value",IF(AG843&gt;=300,"Mid Value","Low Value"))</x:f>
        <x:v>High Value</x:v>
      </x:c>
      <x:c r="AL843" s="17" t="str">
        <x:f>IF(AND(AI843&gt;=1,I843&lt;=50),"Priority 1",IF(AND(AG843&gt;=1000,I843&lt;=60),"Priority 2",IF(I843&lt;=30,"Priority 3","Nurture")))</x:f>
        <x:v>Priority 2</x:v>
      </x:c>
    </x:row>
    <x:row r="844">
      <x:c r="A844" s="16" t="n">
        <x:v>5848</x:v>
      </x:c>
      <x:c r="B844" s="16" t="n">
        <x:v>1970</x:v>
      </x:c>
      <x:c r="C844" s="16" t="str">
        <x:v>Graduation</x:v>
      </x:c>
      <x:c r="D844" s="16" t="str">
        <x:v>Together</x:v>
      </x:c>
      <x:c r="E844" s="16" t="n">
        <x:v>81205</x:v>
      </x:c>
      <x:c r="F844" s="16" t="n">
        <x:v>0</x:v>
      </x:c>
      <x:c r="G844" s="16" t="n">
        <x:v>0</x:v>
      </x:c>
      <x:c r="H844" s="16" t="str">
        <x:v>13-01-2014</x:v>
      </x:c>
      <x:c r="I844" s="16" t="n">
        <x:v>43</x:v>
      </x:c>
      <x:c r="J844" s="16" t="n">
        <x:v>724</x:v>
      </x:c>
      <x:c r="K844" s="16" t="n">
        <x:v>74</x:v>
      </x:c>
      <x:c r="L844" s="16" t="n">
        <x:v>929</x:v>
      </x:c>
      <x:c r="M844" s="16" t="n">
        <x:v>97</x:v>
      </x:c>
      <x:c r="N844" s="16" t="n">
        <x:v>55</x:v>
      </x:c>
      <x:c r="O844" s="16" t="n">
        <x:v>130</x:v>
      </x:c>
      <x:c r="P844" s="16" t="n">
        <x:v>1</x:v>
      </x:c>
      <x:c r="Q844" s="16" t="n">
        <x:v>5</x:v>
      </x:c>
      <x:c r="R844" s="16" t="n">
        <x:v>6</x:v>
      </x:c>
      <x:c r="S844" s="16" t="n">
        <x:v>7</x:v>
      </x:c>
      <x:c r="T844" s="16" t="n">
        <x:v>2</x:v>
      </x:c>
      <x:c r="U844" s="16" t="n">
        <x:v>1</x:v>
      </x:c>
      <x:c r="V844" s="16" t="n">
        <x:v>0</x:v>
      </x:c>
      <x:c r="W844" s="16" t="n">
        <x:v>1</x:v>
      </x:c>
      <x:c r="X844" s="16" t="n">
        <x:v>0</x:v>
      </x:c>
      <x:c r="Y844" s="16" t="n">
        <x:v>1</x:v>
      </x:c>
      <x:c r="Z844" s="16" t="n">
        <x:v>0</x:v>
      </x:c>
      <x:c r="AA844" s="16" t="n">
        <x:v>3</x:v>
      </x:c>
      <x:c r="AB844" s="16" t="n">
        <x:v>11</x:v>
      </x:c>
      <x:c r="AC844" s="16" t="n">
        <x:v>1</x:v>
      </x:c>
      <x:c r="AD844" s="21" t="n">
        <x:f>IF(E844="",MEDIAN($E$2:$E$2237),E844)</x:f>
        <x:v>81205</x:v>
      </x:c>
      <x:c r="AE844" s="17" t="n">
        <x:f>2014-B844</x:f>
        <x:v>44</x:v>
      </x:c>
      <x:c r="AF844" s="17" t="n">
        <x:f>F844+G844</x:f>
        <x:v>0</x:v>
      </x:c>
      <x:c r="AG844" s="21" t="n">
        <x:f>SUM(J844:O844)</x:f>
        <x:v>2009</x:v>
      </x:c>
      <x:c r="AH844" s="17" t="n">
        <x:f>SUM(Q844:S844)</x:f>
        <x:v>18</x:v>
      </x:c>
      <x:c r="AI844" s="17" t="n">
        <x:f>SUM(U844:Y844)</x:f>
        <x:v>3</x:v>
      </x:c>
      <x:c r="AJ844" s="17" t="str">
        <x:f>IF(AE844&lt;=34,"≤34",IF(AE844&lt;=44,"35–44",IF(AE844&lt;=54,"45–54",IF(AE844&lt;=64,"55–64","65+"))))</x:f>
        <x:v>35–44</x:v>
      </x:c>
      <x:c r="AK844" s="17" t="str">
        <x:f>IF(AG844&gt;=1000,"High Value",IF(AG844&gt;=300,"Mid Value","Low Value"))</x:f>
        <x:v>High Value</x:v>
      </x:c>
      <x:c r="AL844" s="17" t="str">
        <x:f>IF(AND(AI844&gt;=1,I844&lt;=50),"Priority 1",IF(AND(AG844&gt;=1000,I844&lt;=60),"Priority 2",IF(I844&lt;=30,"Priority 3","Nurture")))</x:f>
        <x:v>Priority 1</x:v>
      </x:c>
    </x:row>
    <x:row r="845">
      <x:c r="A845" s="16" t="n">
        <x:v>10343</x:v>
      </x:c>
      <x:c r="B845" s="16" t="n">
        <x:v>1991</x:v>
      </x:c>
      <x:c r="C845" s="16" t="str">
        <x:v>2n Cycle</x:v>
      </x:c>
      <x:c r="D845" s="16" t="str">
        <x:v>Single</x:v>
      </x:c>
      <x:c r="E845" s="16" t="n">
        <x:v>61618</x:v>
      </x:c>
      <x:c r="F845" s="16" t="n">
        <x:v>0</x:v>
      </x:c>
      <x:c r="G845" s="16" t="n">
        <x:v>0</x:v>
      </x:c>
      <x:c r="H845" s="16" t="str">
        <x:v>29-09-2012</x:v>
      </x:c>
      <x:c r="I845" s="16" t="n">
        <x:v>27</x:v>
      </x:c>
      <x:c r="J845" s="16" t="n">
        <x:v>605</x:v>
      </x:c>
      <x:c r="K845" s="16" t="n">
        <x:v>91</x:v>
      </x:c>
      <x:c r="L845" s="16" t="n">
        <x:v>399</x:v>
      </x:c>
      <x:c r="M845" s="16" t="n">
        <x:v>0</x:v>
      </x:c>
      <x:c r="N845" s="16" t="n">
        <x:v>45</x:v>
      </x:c>
      <x:c r="O845" s="16" t="n">
        <x:v>205</x:v>
      </x:c>
      <x:c r="P845" s="16" t="n">
        <x:v>2</x:v>
      </x:c>
      <x:c r="Q845" s="16" t="n">
        <x:v>3</x:v>
      </x:c>
      <x:c r="R845" s="16" t="n">
        <x:v>6</x:v>
      </x:c>
      <x:c r="S845" s="16" t="n">
        <x:v>8</x:v>
      </x:c>
      <x:c r="T845" s="16" t="n">
        <x:v>3</x:v>
      </x:c>
      <x:c r="U845" s="16" t="n">
        <x:v>0</x:v>
      </x:c>
      <x:c r="V845" s="16" t="n">
        <x:v>0</x:v>
      </x:c>
      <x:c r="W845" s="16" t="n">
        <x:v>0</x:v>
      </x:c>
      <x:c r="X845" s="16" t="n">
        <x:v>0</x:v>
      </x:c>
      <x:c r="Y845" s="16" t="n">
        <x:v>0</x:v>
      </x:c>
      <x:c r="Z845" s="16" t="n">
        <x:v>0</x:v>
      </x:c>
      <x:c r="AA845" s="16" t="n">
        <x:v>3</x:v>
      </x:c>
      <x:c r="AB845" s="16" t="n">
        <x:v>11</x:v>
      </x:c>
      <x:c r="AC845" s="16" t="n">
        <x:v>0</x:v>
      </x:c>
      <x:c r="AD845" s="21" t="n">
        <x:f>IF(E845="",MEDIAN($E$2:$E$2237),E845)</x:f>
        <x:v>61618</x:v>
      </x:c>
      <x:c r="AE845" s="17" t="n">
        <x:f>2014-B845</x:f>
        <x:v>23</x:v>
      </x:c>
      <x:c r="AF845" s="17" t="n">
        <x:f>F845+G845</x:f>
        <x:v>0</x:v>
      </x:c>
      <x:c r="AG845" s="21" t="n">
        <x:f>SUM(J845:O845)</x:f>
        <x:v>1345</x:v>
      </x:c>
      <x:c r="AH845" s="17" t="n">
        <x:f>SUM(Q845:S845)</x:f>
        <x:v>17</x:v>
      </x:c>
      <x:c r="AI845" s="17" t="n">
        <x:f>SUM(U845:Y845)</x:f>
        <x:v>0</x:v>
      </x:c>
      <x:c r="AJ845" s="17" t="str">
        <x:f>IF(AE845&lt;=34,"≤34",IF(AE845&lt;=44,"35–44",IF(AE845&lt;=54,"45–54",IF(AE845&lt;=64,"55–64","65+"))))</x:f>
        <x:v>≤34</x:v>
      </x:c>
      <x:c r="AK845" s="17" t="str">
        <x:f>IF(AG845&gt;=1000,"High Value",IF(AG845&gt;=300,"Mid Value","Low Value"))</x:f>
        <x:v>High Value</x:v>
      </x:c>
      <x:c r="AL845" s="17" t="str">
        <x:f>IF(AND(AI845&gt;=1,I845&lt;=50),"Priority 1",IF(AND(AG845&gt;=1000,I845&lt;=60),"Priority 2",IF(I845&lt;=30,"Priority 3","Nurture")))</x:f>
        <x:v>Priority 2</x:v>
      </x:c>
    </x:row>
    <x:row r="846">
      <x:c r="A846" s="16" t="n">
        <x:v>5935</x:v>
      </x:c>
      <x:c r="B846" s="16" t="n">
        <x:v>1956</x:v>
      </x:c>
      <x:c r="C846" s="16" t="str">
        <x:v>Master</x:v>
      </x:c>
      <x:c r="D846" s="16" t="str">
        <x:v>Single</x:v>
      </x:c>
      <x:c r="E846" s="16" t="n">
        <x:v>55284</x:v>
      </x:c>
      <x:c r="F846" s="16" t="n">
        <x:v>0</x:v>
      </x:c>
      <x:c r="G846" s="16" t="n">
        <x:v>1</x:v>
      </x:c>
      <x:c r="H846" s="16" t="str">
        <x:v>24-12-2012</x:v>
      </x:c>
      <x:c r="I846" s="16" t="n">
        <x:v>60</x:v>
      </x:c>
      <x:c r="J846" s="16" t="n">
        <x:v>547</x:v>
      </x:c>
      <x:c r="K846" s="16" t="n">
        <x:v>7</x:v>
      </x:c>
      <x:c r="L846" s="16" t="n">
        <x:v>140</x:v>
      </x:c>
      <x:c r="M846" s="16" t="n">
        <x:v>0</x:v>
      </x:c>
      <x:c r="N846" s="16" t="n">
        <x:v>7</x:v>
      </x:c>
      <x:c r="O846" s="16" t="n">
        <x:v>63</x:v>
      </x:c>
      <x:c r="P846" s="16" t="n">
        <x:v>3</x:v>
      </x:c>
      <x:c r="Q846" s="16" t="n">
        <x:v>7</x:v>
      </x:c>
      <x:c r="R846" s="16" t="n">
        <x:v>5</x:v>
      </x:c>
      <x:c r="S846" s="16" t="n">
        <x:v>8</x:v>
      </x:c>
      <x:c r="T846" s="16" t="n">
        <x:v>5</x:v>
      </x:c>
      <x:c r="U846" s="16" t="n">
        <x:v>0</x:v>
      </x:c>
      <x:c r="V846" s="16" t="n">
        <x:v>0</x:v>
      </x:c>
      <x:c r="W846" s="16" t="n">
        <x:v>0</x:v>
      </x:c>
      <x:c r="X846" s="16" t="n">
        <x:v>0</x:v>
      </x:c>
      <x:c r="Y846" s="16" t="n">
        <x:v>0</x:v>
      </x:c>
      <x:c r="Z846" s="16" t="n">
        <x:v>0</x:v>
      </x:c>
      <x:c r="AA846" s="16" t="n">
        <x:v>3</x:v>
      </x:c>
      <x:c r="AB846" s="16" t="n">
        <x:v>11</x:v>
      </x:c>
      <x:c r="AC846" s="16" t="n">
        <x:v>0</x:v>
      </x:c>
      <x:c r="AD846" s="21" t="n">
        <x:f>IF(E846="",MEDIAN($E$2:$E$2237),E846)</x:f>
        <x:v>55284</x:v>
      </x:c>
      <x:c r="AE846" s="17" t="n">
        <x:f>2014-B846</x:f>
        <x:v>58</x:v>
      </x:c>
      <x:c r="AF846" s="17" t="n">
        <x:f>F846+G846</x:f>
        <x:v>1</x:v>
      </x:c>
      <x:c r="AG846" s="21" t="n">
        <x:f>SUM(J846:O846)</x:f>
        <x:v>764</x:v>
      </x:c>
      <x:c r="AH846" s="17" t="n">
        <x:f>SUM(Q846:S846)</x:f>
        <x:v>20</x:v>
      </x:c>
      <x:c r="AI846" s="17" t="n">
        <x:f>SUM(U846:Y846)</x:f>
        <x:v>0</x:v>
      </x:c>
      <x:c r="AJ846" s="17" t="str">
        <x:f>IF(AE846&lt;=34,"≤34",IF(AE846&lt;=44,"35–44",IF(AE846&lt;=54,"45–54",IF(AE846&lt;=64,"55–64","65+"))))</x:f>
        <x:v>55–64</x:v>
      </x:c>
      <x:c r="AK846" s="17" t="str">
        <x:f>IF(AG846&gt;=1000,"High Value",IF(AG846&gt;=300,"Mid Value","Low Value"))</x:f>
        <x:v>Mid Value</x:v>
      </x:c>
      <x:c r="AL846" s="17" t="str">
        <x:f>IF(AND(AI846&gt;=1,I846&lt;=50),"Priority 1",IF(AND(AG846&gt;=1000,I846&lt;=60),"Priority 2",IF(I846&lt;=30,"Priority 3","Nurture")))</x:f>
        <x:v>Nurture</x:v>
      </x:c>
    </x:row>
    <x:row r="847">
      <x:c r="A847" s="16" t="n">
        <x:v>2895</x:v>
      </x:c>
      <x:c r="B847" s="16" t="n">
        <x:v>1963</x:v>
      </x:c>
      <x:c r="C847" s="16" t="str">
        <x:v>Graduation</x:v>
      </x:c>
      <x:c r="D847" s="16" t="str">
        <x:v>Single</x:v>
      </x:c>
      <x:c r="E847" s="16" t="n">
        <x:v>49980</x:v>
      </x:c>
      <x:c r="F847" s="16" t="n">
        <x:v>0</x:v>
      </x:c>
      <x:c r="G847" s="16" t="n">
        <x:v>1</x:v>
      </x:c>
      <x:c r="H847" s="16" t="str">
        <x:v>23-10-2013</x:v>
      </x:c>
      <x:c r="I847" s="16" t="n">
        <x:v>79</x:v>
      </x:c>
      <x:c r="J847" s="16" t="n">
        <x:v>104</x:v>
      </x:c>
      <x:c r="K847" s="16" t="n">
        <x:v>1</x:v>
      </x:c>
      <x:c r="L847" s="16" t="n">
        <x:v>54</x:v>
      </x:c>
      <x:c r="M847" s="16" t="n">
        <x:v>13</x:v>
      </x:c>
      <x:c r="N847" s="16" t="n">
        <x:v>9</x:v>
      </x:c>
      <x:c r="O847" s="16" t="n">
        <x:v>14</x:v>
      </x:c>
      <x:c r="P847" s="16" t="n">
        <x:v>2</x:v>
      </x:c>
      <x:c r="Q847" s="16" t="n">
        <x:v>3</x:v>
      </x:c>
      <x:c r="R847" s="16" t="n">
        <x:v>1</x:v>
      </x:c>
      <x:c r="S847" s="16" t="n">
        <x:v>5</x:v>
      </x:c>
      <x:c r="T847" s="16" t="n">
        <x:v>5</x:v>
      </x:c>
      <x:c r="U847" s="16" t="n">
        <x:v>0</x:v>
      </x:c>
      <x:c r="V847" s="16" t="n">
        <x:v>0</x:v>
      </x:c>
      <x:c r="W847" s="16" t="n">
        <x:v>0</x:v>
      </x:c>
      <x:c r="X847" s="16" t="n">
        <x:v>0</x:v>
      </x:c>
      <x:c r="Y847" s="16" t="n">
        <x:v>0</x:v>
      </x:c>
      <x:c r="Z847" s="16" t="n">
        <x:v>0</x:v>
      </x:c>
      <x:c r="AA847" s="16" t="n">
        <x:v>3</x:v>
      </x:c>
      <x:c r="AB847" s="16" t="n">
        <x:v>11</x:v>
      </x:c>
      <x:c r="AC847" s="16" t="n">
        <x:v>0</x:v>
      </x:c>
      <x:c r="AD847" s="21" t="n">
        <x:f>IF(E847="",MEDIAN($E$2:$E$2237),E847)</x:f>
        <x:v>49980</x:v>
      </x:c>
      <x:c r="AE847" s="17" t="n">
        <x:f>2014-B847</x:f>
        <x:v>51</x:v>
      </x:c>
      <x:c r="AF847" s="17" t="n">
        <x:f>F847+G847</x:f>
        <x:v>1</x:v>
      </x:c>
      <x:c r="AG847" s="21" t="n">
        <x:f>SUM(J847:O847)</x:f>
        <x:v>195</x:v>
      </x:c>
      <x:c r="AH847" s="17" t="n">
        <x:f>SUM(Q847:S847)</x:f>
        <x:v>9</x:v>
      </x:c>
      <x:c r="AI847" s="17" t="n">
        <x:f>SUM(U847:Y847)</x:f>
        <x:v>0</x:v>
      </x:c>
      <x:c r="AJ847" s="17" t="str">
        <x:f>IF(AE847&lt;=34,"≤34",IF(AE847&lt;=44,"35–44",IF(AE847&lt;=54,"45–54",IF(AE847&lt;=64,"55–64","65+"))))</x:f>
        <x:v>45–54</x:v>
      </x:c>
      <x:c r="AK847" s="17" t="str">
        <x:f>IF(AG847&gt;=1000,"High Value",IF(AG847&gt;=300,"Mid Value","Low Value"))</x:f>
        <x:v>Low Value</x:v>
      </x:c>
      <x:c r="AL847" s="17" t="str">
        <x:f>IF(AND(AI847&gt;=1,I847&lt;=50),"Priority 1",IF(AND(AG847&gt;=1000,I847&lt;=60),"Priority 2",IF(I847&lt;=30,"Priority 3","Nurture")))</x:f>
        <x:v>Nurture</x:v>
      </x:c>
    </x:row>
    <x:row r="848">
      <x:c r="A848" s="16" t="n">
        <x:v>10262</x:v>
      </x:c>
      <x:c r="B848" s="16" t="n">
        <x:v>1980</x:v>
      </x:c>
      <x:c r="C848" s="16" t="str">
        <x:v>Graduation</x:v>
      </x:c>
      <x:c r="D848" s="16" t="str">
        <x:v>Married</x:v>
      </x:c>
      <x:c r="E848" s="16" t="n">
        <x:v>15072</x:v>
      </x:c>
      <x:c r="F848" s="16" t="n">
        <x:v>2</x:v>
      </x:c>
      <x:c r="G848" s="16" t="n">
        <x:v>0</x:v>
      </x:c>
      <x:c r="H848" s="16" t="str">
        <x:v>10-05-2013</x:v>
      </x:c>
      <x:c r="I848" s="16" t="n">
        <x:v>96</x:v>
      </x:c>
      <x:c r="J848" s="16" t="n">
        <x:v>8</x:v>
      </x:c>
      <x:c r="K848" s="16" t="n">
        <x:v>2</x:v>
      </x:c>
      <x:c r="L848" s="16" t="n">
        <x:v>15</x:v>
      </x:c>
      <x:c r="M848" s="16" t="n">
        <x:v>0</x:v>
      </x:c>
      <x:c r="N848" s="16" t="n">
        <x:v>10</x:v>
      </x:c>
      <x:c r="O848" s="16" t="n">
        <x:v>18</x:v>
      </x:c>
      <x:c r="P848" s="16" t="n">
        <x:v>4</x:v>
      </x:c>
      <x:c r="Q848" s="16" t="n">
        <x:v>3</x:v>
      </x:c>
      <x:c r="R848" s="16" t="n">
        <x:v>1</x:v>
      </x:c>
      <x:c r="S848" s="16" t="n">
        <x:v>3</x:v>
      </x:c>
      <x:c r="T848" s="16" t="n">
        <x:v>5</x:v>
      </x:c>
      <x:c r="U848" s="16" t="n">
        <x:v>0</x:v>
      </x:c>
      <x:c r="V848" s="16" t="n">
        <x:v>0</x:v>
      </x:c>
      <x:c r="W848" s="16" t="n">
        <x:v>0</x:v>
      </x:c>
      <x:c r="X848" s="16" t="n">
        <x:v>0</x:v>
      </x:c>
      <x:c r="Y848" s="16" t="n">
        <x:v>0</x:v>
      </x:c>
      <x:c r="Z848" s="16" t="n">
        <x:v>0</x:v>
      </x:c>
      <x:c r="AA848" s="16" t="n">
        <x:v>3</x:v>
      </x:c>
      <x:c r="AB848" s="16" t="n">
        <x:v>11</x:v>
      </x:c>
      <x:c r="AC848" s="16" t="n">
        <x:v>0</x:v>
      </x:c>
      <x:c r="AD848" s="21" t="n">
        <x:f>IF(E848="",MEDIAN($E$2:$E$2237),E848)</x:f>
        <x:v>15072</x:v>
      </x:c>
      <x:c r="AE848" s="17" t="n">
        <x:f>2014-B848</x:f>
        <x:v>34</x:v>
      </x:c>
      <x:c r="AF848" s="17" t="n">
        <x:f>F848+G848</x:f>
        <x:v>2</x:v>
      </x:c>
      <x:c r="AG848" s="21" t="n">
        <x:f>SUM(J848:O848)</x:f>
        <x:v>53</x:v>
      </x:c>
      <x:c r="AH848" s="17" t="n">
        <x:f>SUM(Q848:S848)</x:f>
        <x:v>7</x:v>
      </x:c>
      <x:c r="AI848" s="17" t="n">
        <x:f>SUM(U848:Y848)</x:f>
        <x:v>0</x:v>
      </x:c>
      <x:c r="AJ848" s="17" t="str">
        <x:f>IF(AE848&lt;=34,"≤34",IF(AE848&lt;=44,"35–44",IF(AE848&lt;=54,"45–54",IF(AE848&lt;=64,"55–64","65+"))))</x:f>
        <x:v>≤34</x:v>
      </x:c>
      <x:c r="AK848" s="17" t="str">
        <x:f>IF(AG848&gt;=1000,"High Value",IF(AG848&gt;=300,"Mid Value","Low Value"))</x:f>
        <x:v>Low Value</x:v>
      </x:c>
      <x:c r="AL848" s="17" t="str">
        <x:f>IF(AND(AI848&gt;=1,I848&lt;=50),"Priority 1",IF(AND(AG848&gt;=1000,I848&lt;=60),"Priority 2",IF(I848&lt;=30,"Priority 3","Nurture")))</x:f>
        <x:v>Nurture</x:v>
      </x:c>
    </x:row>
    <x:row r="849">
      <x:c r="A849" s="16" t="n">
        <x:v>7848</x:v>
      </x:c>
      <x:c r="B849" s="16" t="n">
        <x:v>1974</x:v>
      </x:c>
      <x:c r="C849" s="16" t="str">
        <x:v>Graduation</x:v>
      </x:c>
      <x:c r="D849" s="16" t="str">
        <x:v>Single</x:v>
      </x:c>
      <x:c r="E849" s="16" t="n">
        <x:v>49166</x:v>
      </x:c>
      <x:c r="F849" s="16" t="n">
        <x:v>0</x:v>
      </x:c>
      <x:c r="G849" s="16" t="n">
        <x:v>1</x:v>
      </x:c>
      <x:c r="H849" s="16" t="str">
        <x:v>13-06-2013</x:v>
      </x:c>
      <x:c r="I849" s="16" t="n">
        <x:v>17</x:v>
      </x:c>
      <x:c r="J849" s="16" t="n">
        <x:v>224</x:v>
      </x:c>
      <x:c r="K849" s="16" t="n">
        <x:v>2</x:v>
      </x:c>
      <x:c r="L849" s="16" t="n">
        <x:v>25</x:v>
      </x:c>
      <x:c r="M849" s="16" t="n">
        <x:v>7</x:v>
      </x:c>
      <x:c r="N849" s="16" t="n">
        <x:v>0</x:v>
      </x:c>
      <x:c r="O849" s="16" t="n">
        <x:v>110</x:v>
      </x:c>
      <x:c r="P849" s="16" t="n">
        <x:v>2</x:v>
      </x:c>
      <x:c r="Q849" s="16" t="n">
        <x:v>5</x:v>
      </x:c>
      <x:c r="R849" s="16" t="n">
        <x:v>3</x:v>
      </x:c>
      <x:c r="S849" s="16" t="n">
        <x:v>3</x:v>
      </x:c>
      <x:c r="T849" s="16" t="n">
        <x:v>6</x:v>
      </x:c>
      <x:c r="U849" s="16" t="n">
        <x:v>0</x:v>
      </x:c>
      <x:c r="V849" s="16" t="n">
        <x:v>0</x:v>
      </x:c>
      <x:c r="W849" s="16" t="n">
        <x:v>0</x:v>
      </x:c>
      <x:c r="X849" s="16" t="n">
        <x:v>0</x:v>
      </x:c>
      <x:c r="Y849" s="16" t="n">
        <x:v>0</x:v>
      </x:c>
      <x:c r="Z849" s="16" t="n">
        <x:v>0</x:v>
      </x:c>
      <x:c r="AA849" s="16" t="n">
        <x:v>3</x:v>
      </x:c>
      <x:c r="AB849" s="16" t="n">
        <x:v>11</x:v>
      </x:c>
      <x:c r="AC849" s="16" t="n">
        <x:v>0</x:v>
      </x:c>
      <x:c r="AD849" s="21" t="n">
        <x:f>IF(E849="",MEDIAN($E$2:$E$2237),E849)</x:f>
        <x:v>49166</x:v>
      </x:c>
      <x:c r="AE849" s="17" t="n">
        <x:f>2014-B849</x:f>
        <x:v>40</x:v>
      </x:c>
      <x:c r="AF849" s="17" t="n">
        <x:f>F849+G849</x:f>
        <x:v>1</x:v>
      </x:c>
      <x:c r="AG849" s="21" t="n">
        <x:f>SUM(J849:O849)</x:f>
        <x:v>368</x:v>
      </x:c>
      <x:c r="AH849" s="17" t="n">
        <x:f>SUM(Q849:S849)</x:f>
        <x:v>11</x:v>
      </x:c>
      <x:c r="AI849" s="17" t="n">
        <x:f>SUM(U849:Y849)</x:f>
        <x:v>0</x:v>
      </x:c>
      <x:c r="AJ849" s="17" t="str">
        <x:f>IF(AE849&lt;=34,"≤34",IF(AE849&lt;=44,"35–44",IF(AE849&lt;=54,"45–54",IF(AE849&lt;=64,"55–64","65+"))))</x:f>
        <x:v>35–44</x:v>
      </x:c>
      <x:c r="AK849" s="17" t="str">
        <x:f>IF(AG849&gt;=1000,"High Value",IF(AG849&gt;=300,"Mid Value","Low Value"))</x:f>
        <x:v>Mid Value</x:v>
      </x:c>
      <x:c r="AL849" s="17" t="str">
        <x:f>IF(AND(AI849&gt;=1,I849&lt;=50),"Priority 1",IF(AND(AG849&gt;=1000,I849&lt;=60),"Priority 2",IF(I849&lt;=30,"Priority 3","Nurture")))</x:f>
        <x:v>Priority 3</x:v>
      </x:c>
    </x:row>
    <x:row r="850">
      <x:c r="A850" s="16" t="n">
        <x:v>9477</x:v>
      </x:c>
      <x:c r="B850" s="16" t="n">
        <x:v>1954</x:v>
      </x:c>
      <x:c r="C850" s="16" t="str">
        <x:v>PhD</x:v>
      </x:c>
      <x:c r="D850" s="16" t="str">
        <x:v>Married</x:v>
      </x:c>
      <x:c r="E850" s="16" t="n">
        <x:v>65324</x:v>
      </x:c>
      <x:c r="F850" s="16" t="n">
        <x:v>0</x:v>
      </x:c>
      <x:c r="G850" s="16" t="n">
        <x:v>1</x:v>
      </x:c>
      <x:c r="H850" s="16" t="str">
        <x:v>11-01-2014</x:v>
      </x:c>
      <x:c r="I850" s="16" t="n">
        <x:v>0</x:v>
      </x:c>
      <x:c r="J850" s="16" t="n">
        <x:v>384</x:v>
      </x:c>
      <x:c r="K850" s="16" t="n">
        <x:v>0</x:v>
      </x:c>
      <x:c r="L850" s="16" t="n">
        <x:v>102</x:v>
      </x:c>
      <x:c r="M850" s="16" t="n">
        <x:v>21</x:v>
      </x:c>
      <x:c r="N850" s="16" t="n">
        <x:v>32</x:v>
      </x:c>
      <x:c r="O850" s="16" t="n">
        <x:v>5</x:v>
      </x:c>
      <x:c r="P850" s="16" t="n">
        <x:v>3</x:v>
      </x:c>
      <x:c r="Q850" s="16" t="n">
        <x:v>6</x:v>
      </x:c>
      <x:c r="R850" s="16" t="n">
        <x:v>2</x:v>
      </x:c>
      <x:c r="S850" s="16" t="n">
        <x:v>9</x:v>
      </x:c>
      <x:c r="T850" s="16" t="n">
        <x:v>4</x:v>
      </x:c>
      <x:c r="U850" s="16" t="n">
        <x:v>0</x:v>
      </x:c>
      <x:c r="V850" s="16" t="n">
        <x:v>0</x:v>
      </x:c>
      <x:c r="W850" s="16" t="n">
        <x:v>0</x:v>
      </x:c>
      <x:c r="X850" s="16" t="n">
        <x:v>0</x:v>
      </x:c>
      <x:c r="Y850" s="16" t="n">
        <x:v>0</x:v>
      </x:c>
      <x:c r="Z850" s="16" t="n">
        <x:v>0</x:v>
      </x:c>
      <x:c r="AA850" s="16" t="n">
        <x:v>3</x:v>
      </x:c>
      <x:c r="AB850" s="16" t="n">
        <x:v>11</x:v>
      </x:c>
      <x:c r="AC850" s="16" t="n">
        <x:v>0</x:v>
      </x:c>
      <x:c r="AD850" s="21" t="n">
        <x:f>IF(E850="",MEDIAN($E$2:$E$2237),E850)</x:f>
        <x:v>65324</x:v>
      </x:c>
      <x:c r="AE850" s="17" t="n">
        <x:f>2014-B850</x:f>
        <x:v>60</x:v>
      </x:c>
      <x:c r="AF850" s="17" t="n">
        <x:f>F850+G850</x:f>
        <x:v>1</x:v>
      </x:c>
      <x:c r="AG850" s="21" t="n">
        <x:f>SUM(J850:O850)</x:f>
        <x:v>544</x:v>
      </x:c>
      <x:c r="AH850" s="17" t="n">
        <x:f>SUM(Q850:S850)</x:f>
        <x:v>17</x:v>
      </x:c>
      <x:c r="AI850" s="17" t="n">
        <x:f>SUM(U850:Y850)</x:f>
        <x:v>0</x:v>
      </x:c>
      <x:c r="AJ850" s="17" t="str">
        <x:f>IF(AE850&lt;=34,"≤34",IF(AE850&lt;=44,"35–44",IF(AE850&lt;=54,"45–54",IF(AE850&lt;=64,"55–64","65+"))))</x:f>
        <x:v>55–64</x:v>
      </x:c>
      <x:c r="AK850" s="17" t="str">
        <x:f>IF(AG850&gt;=1000,"High Value",IF(AG850&gt;=300,"Mid Value","Low Value"))</x:f>
        <x:v>Mid Value</x:v>
      </x:c>
      <x:c r="AL850" s="17" t="str">
        <x:f>IF(AND(AI850&gt;=1,I850&lt;=50),"Priority 1",IF(AND(AG850&gt;=1000,I850&lt;=60),"Priority 2",IF(I850&lt;=30,"Priority 3","Nurture")))</x:f>
        <x:v>Priority 3</x:v>
      </x:c>
    </x:row>
    <x:row r="851">
      <x:c r="A851" s="16" t="n">
        <x:v>4856</x:v>
      </x:c>
      <x:c r="B851" s="16" t="n">
        <x:v>1957</x:v>
      </x:c>
      <x:c r="C851" s="16" t="str">
        <x:v>2n Cycle</x:v>
      </x:c>
      <x:c r="D851" s="16" t="str">
        <x:v>Married</x:v>
      </x:c>
      <x:c r="E851" s="16" t="n">
        <x:v>82347</x:v>
      </x:c>
      <x:c r="F851" s="16" t="n">
        <x:v>0</x:v>
      </x:c>
      <x:c r="G851" s="16" t="n">
        <x:v>0</x:v>
      </x:c>
      <x:c r="H851" s="16" t="str">
        <x:v>06-11-2012</x:v>
      </x:c>
      <x:c r="I851" s="16" t="n">
        <x:v>38</x:v>
      </x:c>
      <x:c r="J851" s="16" t="n">
        <x:v>556</x:v>
      </x:c>
      <x:c r="K851" s="16" t="n">
        <x:v>54</x:v>
      </x:c>
      <x:c r="L851" s="16" t="n">
        <x:v>845</x:v>
      </x:c>
      <x:c r="M851" s="16" t="n">
        <x:v>202</x:v>
      </x:c>
      <x:c r="N851" s="16" t="n">
        <x:v>133</x:v>
      </x:c>
      <x:c r="O851" s="16" t="n">
        <x:v>63</x:v>
      </x:c>
      <x:c r="P851" s="16" t="n">
        <x:v>1</x:v>
      </x:c>
      <x:c r="Q851" s="16" t="n">
        <x:v>7</x:v>
      </x:c>
      <x:c r="R851" s="16" t="n">
        <x:v>7</x:v>
      </x:c>
      <x:c r="S851" s="16" t="n">
        <x:v>10</x:v>
      </x:c>
      <x:c r="T851" s="16" t="n">
        <x:v>3</x:v>
      </x:c>
      <x:c r="U851" s="16" t="n">
        <x:v>1</x:v>
      </x:c>
      <x:c r="V851" s="16" t="n">
        <x:v>0</x:v>
      </x:c>
      <x:c r="W851" s="16" t="n">
        <x:v>0</x:v>
      </x:c>
      <x:c r="X851" s="16" t="n">
        <x:v>1</x:v>
      </x:c>
      <x:c r="Y851" s="16" t="n">
        <x:v>0</x:v>
      </x:c>
      <x:c r="Z851" s="16" t="n">
        <x:v>0</x:v>
      </x:c>
      <x:c r="AA851" s="16" t="n">
        <x:v>3</x:v>
      </x:c>
      <x:c r="AB851" s="16" t="n">
        <x:v>11</x:v>
      </x:c>
      <x:c r="AC851" s="16" t="n">
        <x:v>0</x:v>
      </x:c>
      <x:c r="AD851" s="21" t="n">
        <x:f>IF(E851="",MEDIAN($E$2:$E$2237),E851)</x:f>
        <x:v>82347</x:v>
      </x:c>
      <x:c r="AE851" s="17" t="n">
        <x:f>2014-B851</x:f>
        <x:v>57</x:v>
      </x:c>
      <x:c r="AF851" s="17" t="n">
        <x:f>F851+G851</x:f>
        <x:v>0</x:v>
      </x:c>
      <x:c r="AG851" s="21" t="n">
        <x:f>SUM(J851:O851)</x:f>
        <x:v>1853</x:v>
      </x:c>
      <x:c r="AH851" s="17" t="n">
        <x:f>SUM(Q851:S851)</x:f>
        <x:v>24</x:v>
      </x:c>
      <x:c r="AI851" s="17" t="n">
        <x:f>SUM(U851:Y851)</x:f>
        <x:v>2</x:v>
      </x:c>
      <x:c r="AJ851" s="17" t="str">
        <x:f>IF(AE851&lt;=34,"≤34",IF(AE851&lt;=44,"35–44",IF(AE851&lt;=54,"45–54",IF(AE851&lt;=64,"55–64","65+"))))</x:f>
        <x:v>55–64</x:v>
      </x:c>
      <x:c r="AK851" s="17" t="str">
        <x:f>IF(AG851&gt;=1000,"High Value",IF(AG851&gt;=300,"Mid Value","Low Value"))</x:f>
        <x:v>High Value</x:v>
      </x:c>
      <x:c r="AL851" s="17" t="str">
        <x:f>IF(AND(AI851&gt;=1,I851&lt;=50),"Priority 1",IF(AND(AG851&gt;=1000,I851&lt;=60),"Priority 2",IF(I851&lt;=30,"Priority 3","Nurture")))</x:f>
        <x:v>Priority 1</x:v>
      </x:c>
    </x:row>
    <x:row r="852">
      <x:c r="A852" s="16" t="n">
        <x:v>7186</x:v>
      </x:c>
      <x:c r="B852" s="16" t="n">
        <x:v>1966</x:v>
      </x:c>
      <x:c r="C852" s="16" t="str">
        <x:v>PhD</x:v>
      </x:c>
      <x:c r="D852" s="16" t="str">
        <x:v>Together</x:v>
      </x:c>
      <x:c r="E852" s="16" t="n">
        <x:v>30843</x:v>
      </x:c>
      <x:c r="F852" s="16" t="n">
        <x:v>1</x:v>
      </x:c>
      <x:c r="G852" s="16" t="n">
        <x:v>1</x:v>
      </x:c>
      <x:c r="H852" s="16" t="str">
        <x:v>26-05-2014</x:v>
      </x:c>
      <x:c r="I852" s="16" t="n">
        <x:v>43</x:v>
      </x:c>
      <x:c r="J852" s="16" t="n">
        <x:v>24</x:v>
      </x:c>
      <x:c r="K852" s="16" t="n">
        <x:v>0</x:v>
      </x:c>
      <x:c r="L852" s="16" t="n">
        <x:v>2</x:v>
      </x:c>
      <x:c r="M852" s="16" t="n">
        <x:v>0</x:v>
      </x:c>
      <x:c r="N852" s="16" t="n">
        <x:v>0</x:v>
      </x:c>
      <x:c r="O852" s="16" t="n">
        <x:v>9</x:v>
      </x:c>
      <x:c r="P852" s="16" t="n">
        <x:v>2</x:v>
      </x:c>
      <x:c r="Q852" s="16" t="n">
        <x:v>1</x:v>
      </x:c>
      <x:c r="R852" s="16" t="n">
        <x:v>1</x:v>
      </x:c>
      <x:c r="S852" s="16" t="n">
        <x:v>2</x:v>
      </x:c>
      <x:c r="T852" s="16" t="n">
        <x:v>5</x:v>
      </x:c>
      <x:c r="U852" s="16" t="n">
        <x:v>1</x:v>
      </x:c>
      <x:c r="V852" s="16" t="n">
        <x:v>0</x:v>
      </x:c>
      <x:c r="W852" s="16" t="n">
        <x:v>0</x:v>
      </x:c>
      <x:c r="X852" s="16" t="n">
        <x:v>0</x:v>
      </x:c>
      <x:c r="Y852" s="16" t="n">
        <x:v>0</x:v>
      </x:c>
      <x:c r="Z852" s="16" t="n">
        <x:v>0</x:v>
      </x:c>
      <x:c r="AA852" s="16" t="n">
        <x:v>3</x:v>
      </x:c>
      <x:c r="AB852" s="16" t="n">
        <x:v>11</x:v>
      </x:c>
      <x:c r="AC852" s="16" t="n">
        <x:v>0</x:v>
      </x:c>
      <x:c r="AD852" s="21" t="n">
        <x:f>IF(E852="",MEDIAN($E$2:$E$2237),E852)</x:f>
        <x:v>30843</x:v>
      </x:c>
      <x:c r="AE852" s="17" t="n">
        <x:f>2014-B852</x:f>
        <x:v>48</x:v>
      </x:c>
      <x:c r="AF852" s="17" t="n">
        <x:f>F852+G852</x:f>
        <x:v>2</x:v>
      </x:c>
      <x:c r="AG852" s="21" t="n">
        <x:f>SUM(J852:O852)</x:f>
        <x:v>35</x:v>
      </x:c>
      <x:c r="AH852" s="17" t="n">
        <x:f>SUM(Q852:S852)</x:f>
        <x:v>4</x:v>
      </x:c>
      <x:c r="AI852" s="17" t="n">
        <x:f>SUM(U852:Y852)</x:f>
        <x:v>1</x:v>
      </x:c>
      <x:c r="AJ852" s="17" t="str">
        <x:f>IF(AE852&lt;=34,"≤34",IF(AE852&lt;=44,"35–44",IF(AE852&lt;=54,"45–54",IF(AE852&lt;=64,"55–64","65+"))))</x:f>
        <x:v>45–54</x:v>
      </x:c>
      <x:c r="AK852" s="17" t="str">
        <x:f>IF(AG852&gt;=1000,"High Value",IF(AG852&gt;=300,"Mid Value","Low Value"))</x:f>
        <x:v>Low Value</x:v>
      </x:c>
      <x:c r="AL852" s="17" t="str">
        <x:f>IF(AND(AI852&gt;=1,I852&lt;=50),"Priority 1",IF(AND(AG852&gt;=1000,I852&lt;=60),"Priority 2",IF(I852&lt;=30,"Priority 3","Nurture")))</x:f>
        <x:v>Priority 1</x:v>
      </x:c>
    </x:row>
    <x:row r="853">
      <x:c r="A853" s="16" t="n">
        <x:v>5794</x:v>
      </x:c>
      <x:c r="B853" s="16" t="n">
        <x:v>1974</x:v>
      </x:c>
      <x:c r="C853" s="16" t="str">
        <x:v>PhD</x:v>
      </x:c>
      <x:c r="D853" s="16" t="str">
        <x:v>Married</x:v>
      </x:c>
      <x:c r="E853" s="16" t="n">
        <x:v>46374</x:v>
      </x:c>
      <x:c r="F853" s="16" t="n">
        <x:v>0</x:v>
      </x:c>
      <x:c r="G853" s="16" t="n">
        <x:v>1</x:v>
      </x:c>
      <x:c r="H853" s="16" t="str">
        <x:v>17-03-2014</x:v>
      </x:c>
      <x:c r="I853" s="16" t="n">
        <x:v>1</x:v>
      </x:c>
      <x:c r="J853" s="16" t="n">
        <x:v>408</x:v>
      </x:c>
      <x:c r="K853" s="16" t="n">
        <x:v>0</x:v>
      </x:c>
      <x:c r="L853" s="16" t="n">
        <x:v>21</x:v>
      </x:c>
      <x:c r="M853" s="16" t="n">
        <x:v>0</x:v>
      </x:c>
      <x:c r="N853" s="16" t="n">
        <x:v>0</x:v>
      </x:c>
      <x:c r="O853" s="16" t="n">
        <x:v>17</x:v>
      </x:c>
      <x:c r="P853" s="16" t="n">
        <x:v>3</x:v>
      </x:c>
      <x:c r="Q853" s="16" t="n">
        <x:v>7</x:v>
      </x:c>
      <x:c r="R853" s="16" t="n">
        <x:v>1</x:v>
      </x:c>
      <x:c r="S853" s="16" t="n">
        <x:v>7</x:v>
      </x:c>
      <x:c r="T853" s="16" t="n">
        <x:v>8</x:v>
      </x:c>
      <x:c r="U853" s="16" t="n">
        <x:v>0</x:v>
      </x:c>
      <x:c r="V853" s="16" t="n">
        <x:v>1</x:v>
      </x:c>
      <x:c r="W853" s="16" t="n">
        <x:v>0</x:v>
      </x:c>
      <x:c r="X853" s="16" t="n">
        <x:v>1</x:v>
      </x:c>
      <x:c r="Y853" s="16" t="n">
        <x:v>0</x:v>
      </x:c>
      <x:c r="Z853" s="16" t="n">
        <x:v>0</x:v>
      </x:c>
      <x:c r="AA853" s="16" t="n">
        <x:v>3</x:v>
      </x:c>
      <x:c r="AB853" s="16" t="n">
        <x:v>11</x:v>
      </x:c>
      <x:c r="AC853" s="16" t="n">
        <x:v>1</x:v>
      </x:c>
      <x:c r="AD853" s="21" t="n">
        <x:f>IF(E853="",MEDIAN($E$2:$E$2237),E853)</x:f>
        <x:v>46374</x:v>
      </x:c>
      <x:c r="AE853" s="17" t="n">
        <x:f>2014-B853</x:f>
        <x:v>40</x:v>
      </x:c>
      <x:c r="AF853" s="17" t="n">
        <x:f>F853+G853</x:f>
        <x:v>1</x:v>
      </x:c>
      <x:c r="AG853" s="21" t="n">
        <x:f>SUM(J853:O853)</x:f>
        <x:v>446</x:v>
      </x:c>
      <x:c r="AH853" s="17" t="n">
        <x:f>SUM(Q853:S853)</x:f>
        <x:v>15</x:v>
      </x:c>
      <x:c r="AI853" s="17" t="n">
        <x:f>SUM(U853:Y853)</x:f>
        <x:v>2</x:v>
      </x:c>
      <x:c r="AJ853" s="17" t="str">
        <x:f>IF(AE853&lt;=34,"≤34",IF(AE853&lt;=44,"35–44",IF(AE853&lt;=54,"45–54",IF(AE853&lt;=64,"55–64","65+"))))</x:f>
        <x:v>35–44</x:v>
      </x:c>
      <x:c r="AK853" s="17" t="str">
        <x:f>IF(AG853&gt;=1000,"High Value",IF(AG853&gt;=300,"Mid Value","Low Value"))</x:f>
        <x:v>Mid Value</x:v>
      </x:c>
      <x:c r="AL853" s="17" t="str">
        <x:f>IF(AND(AI853&gt;=1,I853&lt;=50),"Priority 1",IF(AND(AG853&gt;=1000,I853&lt;=60),"Priority 2",IF(I853&lt;=30,"Priority 3","Nurture")))</x:f>
        <x:v>Priority 1</x:v>
      </x:c>
    </x:row>
    <x:row r="854">
      <x:c r="A854" s="16" t="n">
        <x:v>1456</x:v>
      </x:c>
      <x:c r="B854" s="16" t="n">
        <x:v>1979</x:v>
      </x:c>
      <x:c r="C854" s="16" t="str">
        <x:v>Graduation</x:v>
      </x:c>
      <x:c r="D854" s="16" t="str">
        <x:v>Single</x:v>
      </x:c>
      <x:c r="E854" s="16" t="n">
        <x:v>60474</x:v>
      </x:c>
      <x:c r="F854" s="16" t="n">
        <x:v>0</x:v>
      </x:c>
      <x:c r="G854" s="16" t="n">
        <x:v>1</x:v>
      </x:c>
      <x:c r="H854" s="16" t="str">
        <x:v>01-04-2013</x:v>
      </x:c>
      <x:c r="I854" s="16" t="n">
        <x:v>25</x:v>
      </x:c>
      <x:c r="J854" s="16" t="n">
        <x:v>265</x:v>
      </x:c>
      <x:c r="K854" s="16" t="n">
        <x:v>199</x:v>
      </x:c>
      <x:c r="L854" s="16" t="n">
        <x:v>303</x:v>
      </x:c>
      <x:c r="M854" s="16" t="n">
        <x:v>234</x:v>
      </x:c>
      <x:c r="N854" s="16" t="n">
        <x:v>9</x:v>
      </x:c>
      <x:c r="O854" s="16" t="n">
        <x:v>170</x:v>
      </x:c>
      <x:c r="P854" s="16" t="n">
        <x:v>7</x:v>
      </x:c>
      <x:c r="Q854" s="16" t="n">
        <x:v>10</x:v>
      </x:c>
      <x:c r="R854" s="16" t="n">
        <x:v>2</x:v>
      </x:c>
      <x:c r="S854" s="16" t="n">
        <x:v>12</x:v>
      </x:c>
      <x:c r="T854" s="16" t="n">
        <x:v>7</x:v>
      </x:c>
      <x:c r="U854" s="16" t="n">
        <x:v>0</x:v>
      </x:c>
      <x:c r="V854" s="16" t="n">
        <x:v>0</x:v>
      </x:c>
      <x:c r="W854" s="16" t="n">
        <x:v>0</x:v>
      </x:c>
      <x:c r="X854" s="16" t="n">
        <x:v>0</x:v>
      </x:c>
      <x:c r="Y854" s="16" t="n">
        <x:v>0</x:v>
      </x:c>
      <x:c r="Z854" s="16" t="n">
        <x:v>0</x:v>
      </x:c>
      <x:c r="AA854" s="16" t="n">
        <x:v>3</x:v>
      </x:c>
      <x:c r="AB854" s="16" t="n">
        <x:v>11</x:v>
      </x:c>
      <x:c r="AC854" s="16" t="n">
        <x:v>0</x:v>
      </x:c>
      <x:c r="AD854" s="21" t="n">
        <x:f>IF(E854="",MEDIAN($E$2:$E$2237),E854)</x:f>
        <x:v>60474</x:v>
      </x:c>
      <x:c r="AE854" s="17" t="n">
        <x:f>2014-B854</x:f>
        <x:v>35</x:v>
      </x:c>
      <x:c r="AF854" s="17" t="n">
        <x:f>F854+G854</x:f>
        <x:v>1</x:v>
      </x:c>
      <x:c r="AG854" s="21" t="n">
        <x:f>SUM(J854:O854)</x:f>
        <x:v>1180</x:v>
      </x:c>
      <x:c r="AH854" s="17" t="n">
        <x:f>SUM(Q854:S854)</x:f>
        <x:v>24</x:v>
      </x:c>
      <x:c r="AI854" s="17" t="n">
        <x:f>SUM(U854:Y854)</x:f>
        <x:v>0</x:v>
      </x:c>
      <x:c r="AJ854" s="17" t="str">
        <x:f>IF(AE854&lt;=34,"≤34",IF(AE854&lt;=44,"35–44",IF(AE854&lt;=54,"45–54",IF(AE854&lt;=64,"55–64","65+"))))</x:f>
        <x:v>35–44</x:v>
      </x:c>
      <x:c r="AK854" s="17" t="str">
        <x:f>IF(AG854&gt;=1000,"High Value",IF(AG854&gt;=300,"Mid Value","Low Value"))</x:f>
        <x:v>High Value</x:v>
      </x:c>
      <x:c r="AL854" s="17" t="str">
        <x:f>IF(AND(AI854&gt;=1,I854&lt;=50),"Priority 1",IF(AND(AG854&gt;=1000,I854&lt;=60),"Priority 2",IF(I854&lt;=30,"Priority 3","Nurture")))</x:f>
        <x:v>Priority 2</x:v>
      </x:c>
    </x:row>
    <x:row r="855">
      <x:c r="A855" s="16" t="n">
        <x:v>4877</x:v>
      </x:c>
      <x:c r="B855" s="16" t="n">
        <x:v>1973</x:v>
      </x:c>
      <x:c r="C855" s="16" t="str">
        <x:v>Master</x:v>
      </x:c>
      <x:c r="D855" s="16" t="str">
        <x:v>Married</x:v>
      </x:c>
      <x:c r="E855" s="16" t="n">
        <x:v>38576</x:v>
      </x:c>
      <x:c r="F855" s="16" t="n">
        <x:v>0</x:v>
      </x:c>
      <x:c r="G855" s="16" t="n">
        <x:v>1</x:v>
      </x:c>
      <x:c r="H855" s="16" t="str">
        <x:v>04-03-2014</x:v>
      </x:c>
      <x:c r="I855" s="16" t="n">
        <x:v>2</x:v>
      </x:c>
      <x:c r="J855" s="16" t="n">
        <x:v>34</x:v>
      </x:c>
      <x:c r="K855" s="16" t="n">
        <x:v>0</x:v>
      </x:c>
      <x:c r="L855" s="16" t="n">
        <x:v>7</x:v>
      </x:c>
      <x:c r="M855" s="16" t="n">
        <x:v>0</x:v>
      </x:c>
      <x:c r="N855" s="16" t="n">
        <x:v>0</x:v>
      </x:c>
      <x:c r="O855" s="16" t="n">
        <x:v>0</x:v>
      </x:c>
      <x:c r="P855" s="16" t="n">
        <x:v>1</x:v>
      </x:c>
      <x:c r="Q855" s="16" t="n">
        <x:v>1</x:v>
      </x:c>
      <x:c r="R855" s="16" t="n">
        <x:v>0</x:v>
      </x:c>
      <x:c r="S855" s="16" t="n">
        <x:v>3</x:v>
      </x:c>
      <x:c r="T855" s="16" t="n">
        <x:v>7</x:v>
      </x:c>
      <x:c r="U855" s="16" t="n">
        <x:v>0</x:v>
      </x:c>
      <x:c r="V855" s="16" t="n">
        <x:v>0</x:v>
      </x:c>
      <x:c r="W855" s="16" t="n">
        <x:v>0</x:v>
      </x:c>
      <x:c r="X855" s="16" t="n">
        <x:v>0</x:v>
      </x:c>
      <x:c r="Y855" s="16" t="n">
        <x:v>0</x:v>
      </x:c>
      <x:c r="Z855" s="16" t="n">
        <x:v>0</x:v>
      </x:c>
      <x:c r="AA855" s="16" t="n">
        <x:v>3</x:v>
      </x:c>
      <x:c r="AB855" s="16" t="n">
        <x:v>11</x:v>
      </x:c>
      <x:c r="AC855" s="16" t="n">
        <x:v>0</x:v>
      </x:c>
      <x:c r="AD855" s="21" t="n">
        <x:f>IF(E855="",MEDIAN($E$2:$E$2237),E855)</x:f>
        <x:v>38576</x:v>
      </x:c>
      <x:c r="AE855" s="17" t="n">
        <x:f>2014-B855</x:f>
        <x:v>41</x:v>
      </x:c>
      <x:c r="AF855" s="17" t="n">
        <x:f>F855+G855</x:f>
        <x:v>1</x:v>
      </x:c>
      <x:c r="AG855" s="21" t="n">
        <x:f>SUM(J855:O855)</x:f>
        <x:v>41</x:v>
      </x:c>
      <x:c r="AH855" s="17" t="n">
        <x:f>SUM(Q855:S855)</x:f>
        <x:v>4</x:v>
      </x:c>
      <x:c r="AI855" s="17" t="n">
        <x:f>SUM(U855:Y855)</x:f>
        <x:v>0</x:v>
      </x:c>
      <x:c r="AJ855" s="17" t="str">
        <x:f>IF(AE855&lt;=34,"≤34",IF(AE855&lt;=44,"35–44",IF(AE855&lt;=54,"45–54",IF(AE855&lt;=64,"55–64","65+"))))</x:f>
        <x:v>35–44</x:v>
      </x:c>
      <x:c r="AK855" s="17" t="str">
        <x:f>IF(AG855&gt;=1000,"High Value",IF(AG855&gt;=300,"Mid Value","Low Value"))</x:f>
        <x:v>Low Value</x:v>
      </x:c>
      <x:c r="AL855" s="17" t="str">
        <x:f>IF(AND(AI855&gt;=1,I855&lt;=50),"Priority 1",IF(AND(AG855&gt;=1000,I855&lt;=60),"Priority 2",IF(I855&lt;=30,"Priority 3","Nurture")))</x:f>
        <x:v>Priority 3</x:v>
      </x:c>
    </x:row>
    <x:row r="856">
      <x:c r="A856" s="16" t="n">
        <x:v>425</x:v>
      </x:c>
      <x:c r="B856" s="16" t="n">
        <x:v>1985</x:v>
      </x:c>
      <x:c r="C856" s="16" t="str">
        <x:v>Graduation</x:v>
      </x:c>
      <x:c r="D856" s="16" t="str">
        <x:v>Married</x:v>
      </x:c>
      <x:c r="E856" s="16" t="n">
        <x:v>55357</x:v>
      </x:c>
      <x:c r="F856" s="16" t="n">
        <x:v>2</x:v>
      </x:c>
      <x:c r="G856" s="16" t="n">
        <x:v>0</x:v>
      </x:c>
      <x:c r="H856" s="16" t="str">
        <x:v>19-02-2013</x:v>
      </x:c>
      <x:c r="I856" s="16" t="n">
        <x:v>66</x:v>
      </x:c>
      <x:c r="J856" s="16" t="n">
        <x:v>374</x:v>
      </x:c>
      <x:c r="K856" s="16" t="n">
        <x:v>64</x:v>
      </x:c>
      <x:c r="L856" s="16" t="n">
        <x:v>116</x:v>
      </x:c>
      <x:c r="M856" s="16" t="n">
        <x:v>84</x:v>
      </x:c>
      <x:c r="N856" s="16" t="n">
        <x:v>25</x:v>
      </x:c>
      <x:c r="O856" s="16" t="n">
        <x:v>64</x:v>
      </x:c>
      <x:c r="P856" s="16" t="n">
        <x:v>3</x:v>
      </x:c>
      <x:c r="Q856" s="16" t="n">
        <x:v>6</x:v>
      </x:c>
      <x:c r="R856" s="16" t="n">
        <x:v>2</x:v>
      </x:c>
      <x:c r="S856" s="16" t="n">
        <x:v>11</x:v>
      </x:c>
      <x:c r="T856" s="16" t="n">
        <x:v>5</x:v>
      </x:c>
      <x:c r="U856" s="16" t="n">
        <x:v>0</x:v>
      </x:c>
      <x:c r="V856" s="16" t="n">
        <x:v>0</x:v>
      </x:c>
      <x:c r="W856" s="16" t="n">
        <x:v>0</x:v>
      </x:c>
      <x:c r="X856" s="16" t="n">
        <x:v>0</x:v>
      </x:c>
      <x:c r="Y856" s="16" t="n">
        <x:v>0</x:v>
      </x:c>
      <x:c r="Z856" s="16" t="n">
        <x:v>0</x:v>
      </x:c>
      <x:c r="AA856" s="16" t="n">
        <x:v>3</x:v>
      </x:c>
      <x:c r="AB856" s="16" t="n">
        <x:v>11</x:v>
      </x:c>
      <x:c r="AC856" s="16" t="n">
        <x:v>0</x:v>
      </x:c>
      <x:c r="AD856" s="21" t="n">
        <x:f>IF(E856="",MEDIAN($E$2:$E$2237),E856)</x:f>
        <x:v>55357</x:v>
      </x:c>
      <x:c r="AE856" s="17" t="n">
        <x:f>2014-B856</x:f>
        <x:v>29</x:v>
      </x:c>
      <x:c r="AF856" s="17" t="n">
        <x:f>F856+G856</x:f>
        <x:v>2</x:v>
      </x:c>
      <x:c r="AG856" s="21" t="n">
        <x:f>SUM(J856:O856)</x:f>
        <x:v>727</x:v>
      </x:c>
      <x:c r="AH856" s="17" t="n">
        <x:f>SUM(Q856:S856)</x:f>
        <x:v>19</x:v>
      </x:c>
      <x:c r="AI856" s="17" t="n">
        <x:f>SUM(U856:Y856)</x:f>
        <x:v>0</x:v>
      </x:c>
      <x:c r="AJ856" s="17" t="str">
        <x:f>IF(AE856&lt;=34,"≤34",IF(AE856&lt;=44,"35–44",IF(AE856&lt;=54,"45–54",IF(AE856&lt;=64,"55–64","65+"))))</x:f>
        <x:v>≤34</x:v>
      </x:c>
      <x:c r="AK856" s="17" t="str">
        <x:f>IF(AG856&gt;=1000,"High Value",IF(AG856&gt;=300,"Mid Value","Low Value"))</x:f>
        <x:v>Mid Value</x:v>
      </x:c>
      <x:c r="AL856" s="17" t="str">
        <x:f>IF(AND(AI856&gt;=1,I856&lt;=50),"Priority 1",IF(AND(AG856&gt;=1000,I856&lt;=60),"Priority 2",IF(I856&lt;=30,"Priority 3","Nurture")))</x:f>
        <x:v>Nurture</x:v>
      </x:c>
    </x:row>
    <x:row r="857">
      <x:c r="A857" s="16" t="n">
        <x:v>3007</x:v>
      </x:c>
      <x:c r="B857" s="16" t="n">
        <x:v>1966</x:v>
      </x:c>
      <x:c r="C857" s="16" t="str">
        <x:v>Graduation</x:v>
      </x:c>
      <x:c r="D857" s="16" t="str">
        <x:v>Together</x:v>
      </x:c>
      <x:c r="E857" s="16" t="n">
        <x:v>37758</x:v>
      </x:c>
      <x:c r="F857" s="16" t="n">
        <x:v>1</x:v>
      </x:c>
      <x:c r="G857" s="16" t="n">
        <x:v>1</x:v>
      </x:c>
      <x:c r="H857" s="16" t="str">
        <x:v>04-10-2012</x:v>
      </x:c>
      <x:c r="I857" s="16" t="n">
        <x:v>49</x:v>
      </x:c>
      <x:c r="J857" s="16" t="n">
        <x:v>27</x:v>
      </x:c>
      <x:c r="K857" s="16" t="n">
        <x:v>2</x:v>
      </x:c>
      <x:c r="L857" s="16" t="n">
        <x:v>10</x:v>
      </x:c>
      <x:c r="M857" s="16" t="n">
        <x:v>0</x:v>
      </x:c>
      <x:c r="N857" s="16" t="n">
        <x:v>0</x:v>
      </x:c>
      <x:c r="O857" s="16" t="n">
        <x:v>1</x:v>
      </x:c>
      <x:c r="P857" s="16" t="n">
        <x:v>2</x:v>
      </x:c>
      <x:c r="Q857" s="16" t="n">
        <x:v>1</x:v>
      </x:c>
      <x:c r="R857" s="16" t="n">
        <x:v>0</x:v>
      </x:c>
      <x:c r="S857" s="16" t="n">
        <x:v>3</x:v>
      </x:c>
      <x:c r="T857" s="16" t="n">
        <x:v>8</x:v>
      </x:c>
      <x:c r="U857" s="16" t="n">
        <x:v>0</x:v>
      </x:c>
      <x:c r="V857" s="16" t="n">
        <x:v>0</x:v>
      </x:c>
      <x:c r="W857" s="16" t="n">
        <x:v>0</x:v>
      </x:c>
      <x:c r="X857" s="16" t="n">
        <x:v>0</x:v>
      </x:c>
      <x:c r="Y857" s="16" t="n">
        <x:v>0</x:v>
      </x:c>
      <x:c r="Z857" s="16" t="n">
        <x:v>0</x:v>
      </x:c>
      <x:c r="AA857" s="16" t="n">
        <x:v>3</x:v>
      </x:c>
      <x:c r="AB857" s="16" t="n">
        <x:v>11</x:v>
      </x:c>
      <x:c r="AC857" s="16" t="n">
        <x:v>0</x:v>
      </x:c>
      <x:c r="AD857" s="21" t="n">
        <x:f>IF(E857="",MEDIAN($E$2:$E$2237),E857)</x:f>
        <x:v>37758</x:v>
      </x:c>
      <x:c r="AE857" s="17" t="n">
        <x:f>2014-B857</x:f>
        <x:v>48</x:v>
      </x:c>
      <x:c r="AF857" s="17" t="n">
        <x:f>F857+G857</x:f>
        <x:v>2</x:v>
      </x:c>
      <x:c r="AG857" s="21" t="n">
        <x:f>SUM(J857:O857)</x:f>
        <x:v>40</x:v>
      </x:c>
      <x:c r="AH857" s="17" t="n">
        <x:f>SUM(Q857:S857)</x:f>
        <x:v>4</x:v>
      </x:c>
      <x:c r="AI857" s="17" t="n">
        <x:f>SUM(U857:Y857)</x:f>
        <x:v>0</x:v>
      </x:c>
      <x:c r="AJ857" s="17" t="str">
        <x:f>IF(AE857&lt;=34,"≤34",IF(AE857&lt;=44,"35–44",IF(AE857&lt;=54,"45–54",IF(AE857&lt;=64,"55–64","65+"))))</x:f>
        <x:v>45–54</x:v>
      </x:c>
      <x:c r="AK857" s="17" t="str">
        <x:f>IF(AG857&gt;=1000,"High Value",IF(AG857&gt;=300,"Mid Value","Low Value"))</x:f>
        <x:v>Low Value</x:v>
      </x:c>
      <x:c r="AL857" s="17" t="str">
        <x:f>IF(AND(AI857&gt;=1,I857&lt;=50),"Priority 1",IF(AND(AG857&gt;=1000,I857&lt;=60),"Priority 2",IF(I857&lt;=30,"Priority 3","Nurture")))</x:f>
        <x:v>Nurture</x:v>
      </x:c>
    </x:row>
    <x:row r="858">
      <x:c r="A858" s="16" t="n">
        <x:v>1031</x:v>
      </x:c>
      <x:c r="B858" s="16" t="n">
        <x:v>1989</x:v>
      </x:c>
      <x:c r="C858" s="16" t="str">
        <x:v>2n Cycle</x:v>
      </x:c>
      <x:c r="D858" s="16" t="str">
        <x:v>Married</x:v>
      </x:c>
      <x:c r="E858" s="16" t="n">
        <x:v>85710</x:v>
      </x:c>
      <x:c r="F858" s="16" t="n">
        <x:v>0</x:v>
      </x:c>
      <x:c r="G858" s="16" t="n">
        <x:v>0</x:v>
      </x:c>
      <x:c r="H858" s="16" t="str">
        <x:v>05-05-2013</x:v>
      </x:c>
      <x:c r="I858" s="16" t="n">
        <x:v>5</x:v>
      </x:c>
      <x:c r="J858" s="16" t="n">
        <x:v>600</x:v>
      </x:c>
      <x:c r="K858" s="16" t="n">
        <x:v>20</x:v>
      </x:c>
      <x:c r="L858" s="16" t="n">
        <x:v>350</x:v>
      </x:c>
      <x:c r="M858" s="16" t="n">
        <x:v>29</x:v>
      </x:c>
      <x:c r="N858" s="16" t="n">
        <x:v>30</x:v>
      </x:c>
      <x:c r="O858" s="16" t="n">
        <x:v>33</x:v>
      </x:c>
      <x:c r="P858" s="16" t="n">
        <x:v>1</x:v>
      </x:c>
      <x:c r="Q858" s="16" t="n">
        <x:v>6</x:v>
      </x:c>
      <x:c r="R858" s="16" t="n">
        <x:v>9</x:v>
      </x:c>
      <x:c r="S858" s="16" t="n">
        <x:v>10</x:v>
      </x:c>
      <x:c r="T858" s="16" t="n">
        <x:v>2</x:v>
      </x:c>
      <x:c r="U858" s="16" t="n">
        <x:v>0</x:v>
      </x:c>
      <x:c r="V858" s="16" t="n">
        <x:v>0</x:v>
      </x:c>
      <x:c r="W858" s="16" t="n">
        <x:v>1</x:v>
      </x:c>
      <x:c r="X858" s="16" t="n">
        <x:v>0</x:v>
      </x:c>
      <x:c r="Y858" s="16" t="n">
        <x:v>0</x:v>
      </x:c>
      <x:c r="Z858" s="16" t="n">
        <x:v>0</x:v>
      </x:c>
      <x:c r="AA858" s="16" t="n">
        <x:v>3</x:v>
      </x:c>
      <x:c r="AB858" s="16" t="n">
        <x:v>11</x:v>
      </x:c>
      <x:c r="AC858" s="16" t="n">
        <x:v>0</x:v>
      </x:c>
      <x:c r="AD858" s="21" t="n">
        <x:f>IF(E858="",MEDIAN($E$2:$E$2237),E858)</x:f>
        <x:v>85710</x:v>
      </x:c>
      <x:c r="AE858" s="17" t="n">
        <x:f>2014-B858</x:f>
        <x:v>25</x:v>
      </x:c>
      <x:c r="AF858" s="17" t="n">
        <x:f>F858+G858</x:f>
        <x:v>0</x:v>
      </x:c>
      <x:c r="AG858" s="21" t="n">
        <x:f>SUM(J858:O858)</x:f>
        <x:v>1062</x:v>
      </x:c>
      <x:c r="AH858" s="17" t="n">
        <x:f>SUM(Q858:S858)</x:f>
        <x:v>25</x:v>
      </x:c>
      <x:c r="AI858" s="17" t="n">
        <x:f>SUM(U858:Y858)</x:f>
        <x:v>1</x:v>
      </x:c>
      <x:c r="AJ858" s="17" t="str">
        <x:f>IF(AE858&lt;=34,"≤34",IF(AE858&lt;=44,"35–44",IF(AE858&lt;=54,"45–54",IF(AE858&lt;=64,"55–64","65+"))))</x:f>
        <x:v>≤34</x:v>
      </x:c>
      <x:c r="AK858" s="17" t="str">
        <x:f>IF(AG858&gt;=1000,"High Value",IF(AG858&gt;=300,"Mid Value","Low Value"))</x:f>
        <x:v>High Value</x:v>
      </x:c>
      <x:c r="AL858" s="17" t="str">
        <x:f>IF(AND(AI858&gt;=1,I858&lt;=50),"Priority 1",IF(AND(AG858&gt;=1000,I858&lt;=60),"Priority 2",IF(I858&lt;=30,"Priority 3","Nurture")))</x:f>
        <x:v>Priority 1</x:v>
      </x:c>
    </x:row>
    <x:row r="859">
      <x:c r="A859" s="16" t="n">
        <x:v>4297</x:v>
      </x:c>
      <x:c r="B859" s="16" t="n">
        <x:v>1969</x:v>
      </x:c>
      <x:c r="C859" s="16" t="str">
        <x:v>Graduation</x:v>
      </x:c>
      <x:c r="D859" s="16" t="str">
        <x:v>Together</x:v>
      </x:c>
      <x:c r="E859" s="16" t="n">
        <x:v>23228</x:v>
      </x:c>
      <x:c r="F859" s="16" t="n">
        <x:v>1</x:v>
      </x:c>
      <x:c r="G859" s="16" t="n">
        <x:v>0</x:v>
      </x:c>
      <x:c r="H859" s="16" t="str">
        <x:v>26-01-2014</x:v>
      </x:c>
      <x:c r="I859" s="16" t="n">
        <x:v>71</x:v>
      </x:c>
      <x:c r="J859" s="16" t="n">
        <x:v>13</x:v>
      </x:c>
      <x:c r="K859" s="16" t="n">
        <x:v>2</x:v>
      </x:c>
      <x:c r="L859" s="16" t="n">
        <x:v>18</x:v>
      </x:c>
      <x:c r="M859" s="16" t="n">
        <x:v>6</x:v>
      </x:c>
      <x:c r="N859" s="16" t="n">
        <x:v>1</x:v>
      </x:c>
      <x:c r="O859" s="16" t="n">
        <x:v>0</x:v>
      </x:c>
      <x:c r="P859" s="16" t="n">
        <x:v>2</x:v>
      </x:c>
      <x:c r="Q859" s="16" t="n">
        <x:v>2</x:v>
      </x:c>
      <x:c r="R859" s="16" t="n">
        <x:v>0</x:v>
      </x:c>
      <x:c r="S859" s="16" t="n">
        <x:v>3</x:v>
      </x:c>
      <x:c r="T859" s="16" t="n">
        <x:v>8</x:v>
      </x:c>
      <x:c r="U859" s="16" t="n">
        <x:v>0</x:v>
      </x:c>
      <x:c r="V859" s="16" t="n">
        <x:v>0</x:v>
      </x:c>
      <x:c r="W859" s="16" t="n">
        <x:v>0</x:v>
      </x:c>
      <x:c r="X859" s="16" t="n">
        <x:v>0</x:v>
      </x:c>
      <x:c r="Y859" s="16" t="n">
        <x:v>0</x:v>
      </x:c>
      <x:c r="Z859" s="16" t="n">
        <x:v>0</x:v>
      </x:c>
      <x:c r="AA859" s="16" t="n">
        <x:v>3</x:v>
      </x:c>
      <x:c r="AB859" s="16" t="n">
        <x:v>11</x:v>
      </x:c>
      <x:c r="AC859" s="16" t="n">
        <x:v>0</x:v>
      </x:c>
      <x:c r="AD859" s="21" t="n">
        <x:f>IF(E859="",MEDIAN($E$2:$E$2237),E859)</x:f>
        <x:v>23228</x:v>
      </x:c>
      <x:c r="AE859" s="17" t="n">
        <x:f>2014-B859</x:f>
        <x:v>45</x:v>
      </x:c>
      <x:c r="AF859" s="17" t="n">
        <x:f>F859+G859</x:f>
        <x:v>1</x:v>
      </x:c>
      <x:c r="AG859" s="21" t="n">
        <x:f>SUM(J859:O859)</x:f>
        <x:v>40</x:v>
      </x:c>
      <x:c r="AH859" s="17" t="n">
        <x:f>SUM(Q859:S859)</x:f>
        <x:v>5</x:v>
      </x:c>
      <x:c r="AI859" s="17" t="n">
        <x:f>SUM(U859:Y859)</x:f>
        <x:v>0</x:v>
      </x:c>
      <x:c r="AJ859" s="17" t="str">
        <x:f>IF(AE859&lt;=34,"≤34",IF(AE859&lt;=44,"35–44",IF(AE859&lt;=54,"45–54",IF(AE859&lt;=64,"55–64","65+"))))</x:f>
        <x:v>45–54</x:v>
      </x:c>
      <x:c r="AK859" s="17" t="str">
        <x:f>IF(AG859&gt;=1000,"High Value",IF(AG859&gt;=300,"Mid Value","Low Value"))</x:f>
        <x:v>Low Value</x:v>
      </x:c>
      <x:c r="AL859" s="17" t="str">
        <x:f>IF(AND(AI859&gt;=1,I859&lt;=50),"Priority 1",IF(AND(AG859&gt;=1000,I859&lt;=60),"Priority 2",IF(I859&lt;=30,"Priority 3","Nurture")))</x:f>
        <x:v>Nurture</x:v>
      </x:c>
    </x:row>
    <x:row r="860">
      <x:c r="A860" s="16" t="n">
        <x:v>807</x:v>
      </x:c>
      <x:c r="B860" s="16" t="n">
        <x:v>1969</x:v>
      </x:c>
      <x:c r="C860" s="16" t="str">
        <x:v>Master</x:v>
      </x:c>
      <x:c r="D860" s="16" t="str">
        <x:v>Together</x:v>
      </x:c>
      <x:c r="E860" s="16" t="n">
        <x:v>44602</x:v>
      </x:c>
      <x:c r="F860" s="16" t="n">
        <x:v>1</x:v>
      </x:c>
      <x:c r="G860" s="16" t="n">
        <x:v>1</x:v>
      </x:c>
      <x:c r="H860" s="16" t="str">
        <x:v>15-02-2014</x:v>
      </x:c>
      <x:c r="I860" s="16" t="n">
        <x:v>35</x:v>
      </x:c>
      <x:c r="J860" s="16" t="n">
        <x:v>167</x:v>
      </x:c>
      <x:c r="K860" s="16" t="n">
        <x:v>2</x:v>
      </x:c>
      <x:c r="L860" s="16" t="n">
        <x:v>89</x:v>
      </x:c>
      <x:c r="M860" s="16" t="n">
        <x:v>0</x:v>
      </x:c>
      <x:c r="N860" s="16" t="n">
        <x:v>0</x:v>
      </x:c>
      <x:c r="O860" s="16" t="n">
        <x:v>34</x:v>
      </x:c>
      <x:c r="P860" s="16" t="n">
        <x:v>6</x:v>
      </x:c>
      <x:c r="Q860" s="16" t="n">
        <x:v>6</x:v>
      </x:c>
      <x:c r="R860" s="16" t="n">
        <x:v>1</x:v>
      </x:c>
      <x:c r="S860" s="16" t="n">
        <x:v>4</x:v>
      </x:c>
      <x:c r="T860" s="16" t="n">
        <x:v>8</x:v>
      </x:c>
      <x:c r="U860" s="16" t="n">
        <x:v>0</x:v>
      </x:c>
      <x:c r="V860" s="16" t="n">
        <x:v>0</x:v>
      </x:c>
      <x:c r="W860" s="16" t="n">
        <x:v>0</x:v>
      </x:c>
      <x:c r="X860" s="16" t="n">
        <x:v>0</x:v>
      </x:c>
      <x:c r="Y860" s="16" t="n">
        <x:v>0</x:v>
      </x:c>
      <x:c r="Z860" s="16" t="n">
        <x:v>0</x:v>
      </x:c>
      <x:c r="AA860" s="16" t="n">
        <x:v>3</x:v>
      </x:c>
      <x:c r="AB860" s="16" t="n">
        <x:v>11</x:v>
      </x:c>
      <x:c r="AC860" s="16" t="n">
        <x:v>0</x:v>
      </x:c>
      <x:c r="AD860" s="21" t="n">
        <x:f>IF(E860="",MEDIAN($E$2:$E$2237),E860)</x:f>
        <x:v>44602</x:v>
      </x:c>
      <x:c r="AE860" s="17" t="n">
        <x:f>2014-B860</x:f>
        <x:v>45</x:v>
      </x:c>
      <x:c r="AF860" s="17" t="n">
        <x:f>F860+G860</x:f>
        <x:v>2</x:v>
      </x:c>
      <x:c r="AG860" s="21" t="n">
        <x:f>SUM(J860:O860)</x:f>
        <x:v>292</x:v>
      </x:c>
      <x:c r="AH860" s="17" t="n">
        <x:f>SUM(Q860:S860)</x:f>
        <x:v>11</x:v>
      </x:c>
      <x:c r="AI860" s="17" t="n">
        <x:f>SUM(U860:Y860)</x:f>
        <x:v>0</x:v>
      </x:c>
      <x:c r="AJ860" s="17" t="str">
        <x:f>IF(AE860&lt;=34,"≤34",IF(AE860&lt;=44,"35–44",IF(AE860&lt;=54,"45–54",IF(AE860&lt;=64,"55–64","65+"))))</x:f>
        <x:v>45–54</x:v>
      </x:c>
      <x:c r="AK860" s="17" t="str">
        <x:f>IF(AG860&gt;=1000,"High Value",IF(AG860&gt;=300,"Mid Value","Low Value"))</x:f>
        <x:v>Low Value</x:v>
      </x:c>
      <x:c r="AL860" s="17" t="str">
        <x:f>IF(AND(AI860&gt;=1,I860&lt;=50),"Priority 1",IF(AND(AG860&gt;=1000,I860&lt;=60),"Priority 2",IF(I860&lt;=30,"Priority 3","Nurture")))</x:f>
        <x:v>Nurture</x:v>
      </x:c>
    </x:row>
    <x:row r="861">
      <x:c r="A861" s="16" t="n">
        <x:v>9553</x:v>
      </x:c>
      <x:c r="B861" s="16" t="n">
        <x:v>1987</x:v>
      </x:c>
      <x:c r="C861" s="16" t="str">
        <x:v>Graduation</x:v>
      </x:c>
      <x:c r="D861" s="16" t="str">
        <x:v>Married</x:v>
      </x:c>
      <x:c r="E861" s="16" t="n">
        <x:v>7500</x:v>
      </x:c>
      <x:c r="F861" s="16" t="n">
        <x:v>0</x:v>
      </x:c>
      <x:c r="G861" s="16" t="n">
        <x:v>0</x:v>
      </x:c>
      <x:c r="H861" s="16" t="str">
        <x:v>09-01-2013</x:v>
      </x:c>
      <x:c r="I861" s="16" t="n">
        <x:v>94</x:v>
      </x:c>
      <x:c r="J861" s="16" t="n">
        <x:v>0</x:v>
      </x:c>
      <x:c r="K861" s="16" t="n">
        <x:v>2</x:v>
      </x:c>
      <x:c r="L861" s="16" t="n">
        <x:v>3</x:v>
      </x:c>
      <x:c r="M861" s="16" t="n">
        <x:v>4</x:v>
      </x:c>
      <x:c r="N861" s="16" t="n">
        <x:v>1</x:v>
      </x:c>
      <x:c r="O861" s="16" t="n">
        <x:v>5</x:v>
      </x:c>
      <x:c r="P861" s="16" t="n">
        <x:v>1</x:v>
      </x:c>
      <x:c r="Q861" s="16" t="n">
        <x:v>0</x:v>
      </x:c>
      <x:c r="R861" s="16" t="n">
        <x:v>0</x:v>
      </x:c>
      <x:c r="S861" s="16" t="n">
        <x:v>3</x:v>
      </x:c>
      <x:c r="T861" s="16" t="n">
        <x:v>6</x:v>
      </x:c>
      <x:c r="U861" s="16" t="n">
        <x:v>0</x:v>
      </x:c>
      <x:c r="V861" s="16" t="n">
        <x:v>0</x:v>
      </x:c>
      <x:c r="W861" s="16" t="n">
        <x:v>0</x:v>
      </x:c>
      <x:c r="X861" s="16" t="n">
        <x:v>0</x:v>
      </x:c>
      <x:c r="Y861" s="16" t="n">
        <x:v>0</x:v>
      </x:c>
      <x:c r="Z861" s="16" t="n">
        <x:v>0</x:v>
      </x:c>
      <x:c r="AA861" s="16" t="n">
        <x:v>3</x:v>
      </x:c>
      <x:c r="AB861" s="16" t="n">
        <x:v>11</x:v>
      </x:c>
      <x:c r="AC861" s="16" t="n">
        <x:v>0</x:v>
      </x:c>
      <x:c r="AD861" s="21" t="n">
        <x:f>IF(E861="",MEDIAN($E$2:$E$2237),E861)</x:f>
        <x:v>7500</x:v>
      </x:c>
      <x:c r="AE861" s="17" t="n">
        <x:f>2014-B861</x:f>
        <x:v>27</x:v>
      </x:c>
      <x:c r="AF861" s="17" t="n">
        <x:f>F861+G861</x:f>
        <x:v>0</x:v>
      </x:c>
      <x:c r="AG861" s="21" t="n">
        <x:f>SUM(J861:O861)</x:f>
        <x:v>15</x:v>
      </x:c>
      <x:c r="AH861" s="17" t="n">
        <x:f>SUM(Q861:S861)</x:f>
        <x:v>3</x:v>
      </x:c>
      <x:c r="AI861" s="17" t="n">
        <x:f>SUM(U861:Y861)</x:f>
        <x:v>0</x:v>
      </x:c>
      <x:c r="AJ861" s="17" t="str">
        <x:f>IF(AE861&lt;=34,"≤34",IF(AE861&lt;=44,"35–44",IF(AE861&lt;=54,"45–54",IF(AE861&lt;=64,"55–64","65+"))))</x:f>
        <x:v>≤34</x:v>
      </x:c>
      <x:c r="AK861" s="17" t="str">
        <x:f>IF(AG861&gt;=1000,"High Value",IF(AG861&gt;=300,"Mid Value","Low Value"))</x:f>
        <x:v>Low Value</x:v>
      </x:c>
      <x:c r="AL861" s="17" t="str">
        <x:f>IF(AND(AI861&gt;=1,I861&lt;=50),"Priority 1",IF(AND(AG861&gt;=1000,I861&lt;=60),"Priority 2",IF(I861&lt;=30,"Priority 3","Nurture")))</x:f>
        <x:v>Nurture</x:v>
      </x:c>
    </x:row>
    <x:row r="862">
      <x:c r="A862" s="16" t="n">
        <x:v>4271</x:v>
      </x:c>
      <x:c r="B862" s="16" t="n">
        <x:v>1989</x:v>
      </x:c>
      <x:c r="C862" s="16" t="str">
        <x:v>2n Cycle</x:v>
      </x:c>
      <x:c r="D862" s="16" t="str">
        <x:v>Together</x:v>
      </x:c>
      <x:c r="E862" s="16" t="n">
        <x:v>38683</x:v>
      </x:c>
      <x:c r="F862" s="16" t="n">
        <x:v>1</x:v>
      </x:c>
      <x:c r="G862" s="16" t="n">
        <x:v>0</x:v>
      </x:c>
      <x:c r="H862" s="16" t="str">
        <x:v>04-10-2012</x:v>
      </x:c>
      <x:c r="I862" s="16" t="n">
        <x:v>80</x:v>
      </x:c>
      <x:c r="J862" s="16" t="n">
        <x:v>46</x:v>
      </x:c>
      <x:c r="K862" s="16" t="n">
        <x:v>35</x:v>
      </x:c>
      <x:c r="L862" s="16" t="n">
        <x:v>69</x:v>
      </x:c>
      <x:c r="M862" s="16" t="n">
        <x:v>84</x:v>
      </x:c>
      <x:c r="N862" s="16" t="n">
        <x:v>41</x:v>
      </x:c>
      <x:c r="O862" s="16" t="n">
        <x:v>66</x:v>
      </x:c>
      <x:c r="P862" s="16" t="n">
        <x:v>6</x:v>
      </x:c>
      <x:c r="Q862" s="16" t="n">
        <x:v>4</x:v>
      </x:c>
      <x:c r="R862" s="16" t="n">
        <x:v>1</x:v>
      </x:c>
      <x:c r="S862" s="16" t="n">
        <x:v>6</x:v>
      </x:c>
      <x:c r="T862" s="16" t="n">
        <x:v>7</x:v>
      </x:c>
      <x:c r="U862" s="16" t="n">
        <x:v>0</x:v>
      </x:c>
      <x:c r="V862" s="16" t="n">
        <x:v>0</x:v>
      </x:c>
      <x:c r="W862" s="16" t="n">
        <x:v>0</x:v>
      </x:c>
      <x:c r="X862" s="16" t="n">
        <x:v>0</x:v>
      </x:c>
      <x:c r="Y862" s="16" t="n">
        <x:v>0</x:v>
      </x:c>
      <x:c r="Z862" s="16" t="n">
        <x:v>0</x:v>
      </x:c>
      <x:c r="AA862" s="16" t="n">
        <x:v>3</x:v>
      </x:c>
      <x:c r="AB862" s="16" t="n">
        <x:v>11</x:v>
      </x:c>
      <x:c r="AC862" s="16" t="n">
        <x:v>0</x:v>
      </x:c>
      <x:c r="AD862" s="21" t="n">
        <x:f>IF(E862="",MEDIAN($E$2:$E$2237),E862)</x:f>
        <x:v>38683</x:v>
      </x:c>
      <x:c r="AE862" s="17" t="n">
        <x:f>2014-B862</x:f>
        <x:v>25</x:v>
      </x:c>
      <x:c r="AF862" s="17" t="n">
        <x:f>F862+G862</x:f>
        <x:v>1</x:v>
      </x:c>
      <x:c r="AG862" s="21" t="n">
        <x:f>SUM(J862:O862)</x:f>
        <x:v>341</x:v>
      </x:c>
      <x:c r="AH862" s="17" t="n">
        <x:f>SUM(Q862:S862)</x:f>
        <x:v>11</x:v>
      </x:c>
      <x:c r="AI862" s="17" t="n">
        <x:f>SUM(U862:Y862)</x:f>
        <x:v>0</x:v>
      </x:c>
      <x:c r="AJ862" s="17" t="str">
        <x:f>IF(AE862&lt;=34,"≤34",IF(AE862&lt;=44,"35–44",IF(AE862&lt;=54,"45–54",IF(AE862&lt;=64,"55–64","65+"))))</x:f>
        <x:v>≤34</x:v>
      </x:c>
      <x:c r="AK862" s="17" t="str">
        <x:f>IF(AG862&gt;=1000,"High Value",IF(AG862&gt;=300,"Mid Value","Low Value"))</x:f>
        <x:v>Mid Value</x:v>
      </x:c>
      <x:c r="AL862" s="17" t="str">
        <x:f>IF(AND(AI862&gt;=1,I862&lt;=50),"Priority 1",IF(AND(AG862&gt;=1000,I862&lt;=60),"Priority 2",IF(I862&lt;=30,"Priority 3","Nurture")))</x:f>
        <x:v>Nurture</x:v>
      </x:c>
    </x:row>
    <x:row r="863">
      <x:c r="A863" s="16" t="n">
        <x:v>4120</x:v>
      </x:c>
      <x:c r="B863" s="16" t="n">
        <x:v>1975</x:v>
      </x:c>
      <x:c r="C863" s="16" t="str">
        <x:v>2n Cycle</x:v>
      </x:c>
      <x:c r="D863" s="16" t="str">
        <x:v>Single</x:v>
      </x:c>
      <x:c r="E863" s="16" t="n">
        <x:v>49514</x:v>
      </x:c>
      <x:c r="F863" s="16" t="n">
        <x:v>1</x:v>
      </x:c>
      <x:c r="G863" s="16" t="n">
        <x:v>0</x:v>
      </x:c>
      <x:c r="H863" s="16" t="str">
        <x:v>17-12-2013</x:v>
      </x:c>
      <x:c r="I863" s="16" t="n">
        <x:v>61</x:v>
      </x:c>
      <x:c r="J863" s="16" t="n">
        <x:v>88</x:v>
      </x:c>
      <x:c r="K863" s="16" t="n">
        <x:v>39</x:v>
      </x:c>
      <x:c r="L863" s="16" t="n">
        <x:v>78</x:v>
      </x:c>
      <x:c r="M863" s="16" t="n">
        <x:v>58</x:v>
      </x:c>
      <x:c r="N863" s="16" t="n">
        <x:v>13</x:v>
      </x:c>
      <x:c r="O863" s="16" t="n">
        <x:v>93</x:v>
      </x:c>
      <x:c r="P863" s="16" t="n">
        <x:v>2</x:v>
      </x:c>
      <x:c r="Q863" s="16" t="n">
        <x:v>6</x:v>
      </x:c>
      <x:c r="R863" s="16" t="n">
        <x:v>1</x:v>
      </x:c>
      <x:c r="S863" s="16" t="n">
        <x:v>4</x:v>
      </x:c>
      <x:c r="T863" s="16" t="n">
        <x:v>7</x:v>
      </x:c>
      <x:c r="U863" s="16" t="n">
        <x:v>0</x:v>
      </x:c>
      <x:c r="V863" s="16" t="n">
        <x:v>0</x:v>
      </x:c>
      <x:c r="W863" s="16" t="n">
        <x:v>0</x:v>
      </x:c>
      <x:c r="X863" s="16" t="n">
        <x:v>0</x:v>
      </x:c>
      <x:c r="Y863" s="16" t="n">
        <x:v>0</x:v>
      </x:c>
      <x:c r="Z863" s="16" t="n">
        <x:v>0</x:v>
      </x:c>
      <x:c r="AA863" s="16" t="n">
        <x:v>3</x:v>
      </x:c>
      <x:c r="AB863" s="16" t="n">
        <x:v>11</x:v>
      </x:c>
      <x:c r="AC863" s="16" t="n">
        <x:v>0</x:v>
      </x:c>
      <x:c r="AD863" s="21" t="n">
        <x:f>IF(E863="",MEDIAN($E$2:$E$2237),E863)</x:f>
        <x:v>49514</x:v>
      </x:c>
      <x:c r="AE863" s="17" t="n">
        <x:f>2014-B863</x:f>
        <x:v>39</x:v>
      </x:c>
      <x:c r="AF863" s="17" t="n">
        <x:f>F863+G863</x:f>
        <x:v>1</x:v>
      </x:c>
      <x:c r="AG863" s="21" t="n">
        <x:f>SUM(J863:O863)</x:f>
        <x:v>369</x:v>
      </x:c>
      <x:c r="AH863" s="17" t="n">
        <x:f>SUM(Q863:S863)</x:f>
        <x:v>11</x:v>
      </x:c>
      <x:c r="AI863" s="17" t="n">
        <x:f>SUM(U863:Y863)</x:f>
        <x:v>0</x:v>
      </x:c>
      <x:c r="AJ863" s="17" t="str">
        <x:f>IF(AE863&lt;=34,"≤34",IF(AE863&lt;=44,"35–44",IF(AE863&lt;=54,"45–54",IF(AE863&lt;=64,"55–64","65+"))))</x:f>
        <x:v>35–44</x:v>
      </x:c>
      <x:c r="AK863" s="17" t="str">
        <x:f>IF(AG863&gt;=1000,"High Value",IF(AG863&gt;=300,"Mid Value","Low Value"))</x:f>
        <x:v>Mid Value</x:v>
      </x:c>
      <x:c r="AL863" s="17" t="str">
        <x:f>IF(AND(AI863&gt;=1,I863&lt;=50),"Priority 1",IF(AND(AG863&gt;=1000,I863&lt;=60),"Priority 2",IF(I863&lt;=30,"Priority 3","Nurture")))</x:f>
        <x:v>Nurture</x:v>
      </x:c>
    </x:row>
    <x:row r="864">
      <x:c r="A864" s="16" t="n">
        <x:v>2036</x:v>
      </x:c>
      <x:c r="B864" s="16" t="n">
        <x:v>1973</x:v>
      </x:c>
      <x:c r="C864" s="16" t="str">
        <x:v>PhD</x:v>
      </x:c>
      <x:c r="D864" s="16" t="str">
        <x:v>Together</x:v>
      </x:c>
      <x:c r="E864" s="16" t="n">
        <x:v>57906</x:v>
      </x:c>
      <x:c r="F864" s="16" t="n">
        <x:v>0</x:v>
      </x:c>
      <x:c r="G864" s="16" t="n">
        <x:v>1</x:v>
      </x:c>
      <x:c r="H864" s="16" t="str">
        <x:v>11-06-2013</x:v>
      </x:c>
      <x:c r="I864" s="16" t="n">
        <x:v>29</x:v>
      </x:c>
      <x:c r="J864" s="16" t="n">
        <x:v>243</x:v>
      </x:c>
      <x:c r="K864" s="16" t="n">
        <x:v>11</x:v>
      </x:c>
      <x:c r="L864" s="16" t="n">
        <x:v>119</x:v>
      </x:c>
      <x:c r="M864" s="16" t="n">
        <x:v>10</x:v>
      </x:c>
      <x:c r="N864" s="16" t="n">
        <x:v>3</x:v>
      </x:c>
      <x:c r="O864" s="16" t="n">
        <x:v>15</x:v>
      </x:c>
      <x:c r="P864" s="16" t="n">
        <x:v>3</x:v>
      </x:c>
      <x:c r="Q864" s="16" t="n">
        <x:v>4</x:v>
      </x:c>
      <x:c r="R864" s="16" t="n">
        <x:v>2</x:v>
      </x:c>
      <x:c r="S864" s="16" t="n">
        <x:v>8</x:v>
      </x:c>
      <x:c r="T864" s="16" t="n">
        <x:v>4</x:v>
      </x:c>
      <x:c r="U864" s="16" t="n">
        <x:v>0</x:v>
      </x:c>
      <x:c r="V864" s="16" t="n">
        <x:v>0</x:v>
      </x:c>
      <x:c r="W864" s="16" t="n">
        <x:v>0</x:v>
      </x:c>
      <x:c r="X864" s="16" t="n">
        <x:v>0</x:v>
      </x:c>
      <x:c r="Y864" s="16" t="n">
        <x:v>0</x:v>
      </x:c>
      <x:c r="Z864" s="16" t="n">
        <x:v>0</x:v>
      </x:c>
      <x:c r="AA864" s="16" t="n">
        <x:v>3</x:v>
      </x:c>
      <x:c r="AB864" s="16" t="n">
        <x:v>11</x:v>
      </x:c>
      <x:c r="AC864" s="16" t="n">
        <x:v>0</x:v>
      </x:c>
      <x:c r="AD864" s="21" t="n">
        <x:f>IF(E864="",MEDIAN($E$2:$E$2237),E864)</x:f>
        <x:v>57906</x:v>
      </x:c>
      <x:c r="AE864" s="17" t="n">
        <x:f>2014-B864</x:f>
        <x:v>41</x:v>
      </x:c>
      <x:c r="AF864" s="17" t="n">
        <x:f>F864+G864</x:f>
        <x:v>1</x:v>
      </x:c>
      <x:c r="AG864" s="21" t="n">
        <x:f>SUM(J864:O864)</x:f>
        <x:v>401</x:v>
      </x:c>
      <x:c r="AH864" s="17" t="n">
        <x:f>SUM(Q864:S864)</x:f>
        <x:v>14</x:v>
      </x:c>
      <x:c r="AI864" s="17" t="n">
        <x:f>SUM(U864:Y864)</x:f>
        <x:v>0</x:v>
      </x:c>
      <x:c r="AJ864" s="17" t="str">
        <x:f>IF(AE864&lt;=34,"≤34",IF(AE864&lt;=44,"35–44",IF(AE864&lt;=54,"45–54",IF(AE864&lt;=64,"55–64","65+"))))</x:f>
        <x:v>35–44</x:v>
      </x:c>
      <x:c r="AK864" s="17" t="str">
        <x:f>IF(AG864&gt;=1000,"High Value",IF(AG864&gt;=300,"Mid Value","Low Value"))</x:f>
        <x:v>Mid Value</x:v>
      </x:c>
      <x:c r="AL864" s="17" t="str">
        <x:f>IF(AND(AI864&gt;=1,I864&lt;=50),"Priority 1",IF(AND(AG864&gt;=1000,I864&lt;=60),"Priority 2",IF(I864&lt;=30,"Priority 3","Nurture")))</x:f>
        <x:v>Priority 3</x:v>
      </x:c>
    </x:row>
    <x:row r="865">
      <x:c r="A865" s="16" t="n">
        <x:v>115</x:v>
      </x:c>
      <x:c r="B865" s="16" t="n">
        <x:v>1966</x:v>
      </x:c>
      <x:c r="C865" s="16" t="str">
        <x:v>Master</x:v>
      </x:c>
      <x:c r="D865" s="16" t="str">
        <x:v>Single</x:v>
      </x:c>
      <x:c r="E865" s="16" t="n">
        <x:v>43456</x:v>
      </x:c>
      <x:c r="F865" s="16" t="n">
        <x:v>0</x:v>
      </x:c>
      <x:c r="G865" s="16" t="n">
        <x:v>1</x:v>
      </x:c>
      <x:c r="H865" s="16" t="str">
        <x:v>26-03-2013</x:v>
      </x:c>
      <x:c r="I865" s="16" t="n">
        <x:v>0</x:v>
      </x:c>
      <x:c r="J865" s="16" t="n">
        <x:v>275</x:v>
      </x:c>
      <x:c r="K865" s="16" t="n">
        <x:v>11</x:v>
      </x:c>
      <x:c r="L865" s="16" t="n">
        <x:v>68</x:v>
      </x:c>
      <x:c r="M865" s="16" t="n">
        <x:v>25</x:v>
      </x:c>
      <x:c r="N865" s="16" t="n">
        <x:v>7</x:v>
      </x:c>
      <x:c r="O865" s="16" t="n">
        <x:v>7</x:v>
      </x:c>
      <x:c r="P865" s="16" t="n">
        <x:v>3</x:v>
      </x:c>
      <x:c r="Q865" s="16" t="n">
        <x:v>5</x:v>
      </x:c>
      <x:c r="R865" s="16" t="n">
        <x:v>1</x:v>
      </x:c>
      <x:c r="S865" s="16" t="n">
        <x:v>8</x:v>
      </x:c>
      <x:c r="T865" s="16" t="n">
        <x:v>5</x:v>
      </x:c>
      <x:c r="U865" s="16" t="n">
        <x:v>0</x:v>
      </x:c>
      <x:c r="V865" s="16" t="n">
        <x:v>0</x:v>
      </x:c>
      <x:c r="W865" s="16" t="n">
        <x:v>0</x:v>
      </x:c>
      <x:c r="X865" s="16" t="n">
        <x:v>0</x:v>
      </x:c>
      <x:c r="Y865" s="16" t="n">
        <x:v>0</x:v>
      </x:c>
      <x:c r="Z865" s="16" t="n">
        <x:v>0</x:v>
      </x:c>
      <x:c r="AA865" s="16" t="n">
        <x:v>3</x:v>
      </x:c>
      <x:c r="AB865" s="16" t="n">
        <x:v>11</x:v>
      </x:c>
      <x:c r="AC865" s="16" t="n">
        <x:v>0</x:v>
      </x:c>
      <x:c r="AD865" s="21" t="n">
        <x:f>IF(E865="",MEDIAN($E$2:$E$2237),E865)</x:f>
        <x:v>43456</x:v>
      </x:c>
      <x:c r="AE865" s="17" t="n">
        <x:f>2014-B865</x:f>
        <x:v>48</x:v>
      </x:c>
      <x:c r="AF865" s="17" t="n">
        <x:f>F865+G865</x:f>
        <x:v>1</x:v>
      </x:c>
      <x:c r="AG865" s="21" t="n">
        <x:f>SUM(J865:O865)</x:f>
        <x:v>393</x:v>
      </x:c>
      <x:c r="AH865" s="17" t="n">
        <x:f>SUM(Q865:S865)</x:f>
        <x:v>14</x:v>
      </x:c>
      <x:c r="AI865" s="17" t="n">
        <x:f>SUM(U865:Y865)</x:f>
        <x:v>0</x:v>
      </x:c>
      <x:c r="AJ865" s="17" t="str">
        <x:f>IF(AE865&lt;=34,"≤34",IF(AE865&lt;=44,"35–44",IF(AE865&lt;=54,"45–54",IF(AE865&lt;=64,"55–64","65+"))))</x:f>
        <x:v>45–54</x:v>
      </x:c>
      <x:c r="AK865" s="17" t="str">
        <x:f>IF(AG865&gt;=1000,"High Value",IF(AG865&gt;=300,"Mid Value","Low Value"))</x:f>
        <x:v>Mid Value</x:v>
      </x:c>
      <x:c r="AL865" s="17" t="str">
        <x:f>IF(AND(AI865&gt;=1,I865&lt;=50),"Priority 1",IF(AND(AG865&gt;=1000,I865&lt;=60),"Priority 2",IF(I865&lt;=30,"Priority 3","Nurture")))</x:f>
        <x:v>Priority 3</x:v>
      </x:c>
    </x:row>
    <x:row r="866">
      <x:c r="A866" s="16" t="n">
        <x:v>4259</x:v>
      </x:c>
      <x:c r="B866" s="16" t="n">
        <x:v>1986</x:v>
      </x:c>
      <x:c r="C866" s="16" t="str">
        <x:v>Master</x:v>
      </x:c>
      <x:c r="D866" s="16" t="str">
        <x:v>Single</x:v>
      </x:c>
      <x:c r="E866" s="16" t="n">
        <x:v>19485</x:v>
      </x:c>
      <x:c r="F866" s="16" t="n">
        <x:v>2</x:v>
      </x:c>
      <x:c r="G866" s="16" t="n">
        <x:v>0</x:v>
      </x:c>
      <x:c r="H866" s="16" t="str">
        <x:v>24-09-2013</x:v>
      </x:c>
      <x:c r="I866" s="16" t="n">
        <x:v>80</x:v>
      </x:c>
      <x:c r="J866" s="16" t="n">
        <x:v>6</x:v>
      </x:c>
      <x:c r="K866" s="16" t="n">
        <x:v>0</x:v>
      </x:c>
      <x:c r="L866" s="16" t="n">
        <x:v>4</x:v>
      </x:c>
      <x:c r="M866" s="16" t="n">
        <x:v>0</x:v>
      </x:c>
      <x:c r="N866" s="16" t="n">
        <x:v>0</x:v>
      </x:c>
      <x:c r="O866" s="16" t="n">
        <x:v>0</x:v>
      </x:c>
      <x:c r="P866" s="16" t="n">
        <x:v>1</x:v>
      </x:c>
      <x:c r="Q866" s="16" t="n">
        <x:v>1</x:v>
      </x:c>
      <x:c r="R866" s="16" t="n">
        <x:v>0</x:v>
      </x:c>
      <x:c r="S866" s="16" t="n">
        <x:v>2</x:v>
      </x:c>
      <x:c r="T866" s="16" t="n">
        <x:v>7</x:v>
      </x:c>
      <x:c r="U866" s="16" t="n">
        <x:v>0</x:v>
      </x:c>
      <x:c r="V866" s="16" t="n">
        <x:v>0</x:v>
      </x:c>
      <x:c r="W866" s="16" t="n">
        <x:v>0</x:v>
      </x:c>
      <x:c r="X866" s="16" t="n">
        <x:v>0</x:v>
      </x:c>
      <x:c r="Y866" s="16" t="n">
        <x:v>0</x:v>
      </x:c>
      <x:c r="Z866" s="16" t="n">
        <x:v>0</x:v>
      </x:c>
      <x:c r="AA866" s="16" t="n">
        <x:v>3</x:v>
      </x:c>
      <x:c r="AB866" s="16" t="n">
        <x:v>11</x:v>
      </x:c>
      <x:c r="AC866" s="16" t="n">
        <x:v>0</x:v>
      </x:c>
      <x:c r="AD866" s="21" t="n">
        <x:f>IF(E866="",MEDIAN($E$2:$E$2237),E866)</x:f>
        <x:v>19485</x:v>
      </x:c>
      <x:c r="AE866" s="17" t="n">
        <x:f>2014-B866</x:f>
        <x:v>28</x:v>
      </x:c>
      <x:c r="AF866" s="17" t="n">
        <x:f>F866+G866</x:f>
        <x:v>2</x:v>
      </x:c>
      <x:c r="AG866" s="21" t="n">
        <x:f>SUM(J866:O866)</x:f>
        <x:v>10</x:v>
      </x:c>
      <x:c r="AH866" s="17" t="n">
        <x:f>SUM(Q866:S866)</x:f>
        <x:v>3</x:v>
      </x:c>
      <x:c r="AI866" s="17" t="n">
        <x:f>SUM(U866:Y866)</x:f>
        <x:v>0</x:v>
      </x:c>
      <x:c r="AJ866" s="17" t="str">
        <x:f>IF(AE866&lt;=34,"≤34",IF(AE866&lt;=44,"35–44",IF(AE866&lt;=54,"45–54",IF(AE866&lt;=64,"55–64","65+"))))</x:f>
        <x:v>≤34</x:v>
      </x:c>
      <x:c r="AK866" s="17" t="str">
        <x:f>IF(AG866&gt;=1000,"High Value",IF(AG866&gt;=300,"Mid Value","Low Value"))</x:f>
        <x:v>Low Value</x:v>
      </x:c>
      <x:c r="AL866" s="17" t="str">
        <x:f>IF(AND(AI866&gt;=1,I866&lt;=50),"Priority 1",IF(AND(AG866&gt;=1000,I866&lt;=60),"Priority 2",IF(I866&lt;=30,"Priority 3","Nurture")))</x:f>
        <x:v>Nurture</x:v>
      </x:c>
    </x:row>
    <x:row r="867">
      <x:c r="A867" s="16" t="n">
        <x:v>8687</x:v>
      </x:c>
      <x:c r="B867" s="16" t="n">
        <x:v>1978</x:v>
      </x:c>
      <x:c r="C867" s="16" t="str">
        <x:v>Graduation</x:v>
      </x:c>
      <x:c r="D867" s="16" t="str">
        <x:v>Together</x:v>
      </x:c>
      <x:c r="E867" s="16" t="n">
        <x:v>53172</x:v>
      </x:c>
      <x:c r="F867" s="16" t="n">
        <x:v>0</x:v>
      </x:c>
      <x:c r="G867" s="16" t="n">
        <x:v>1</x:v>
      </x:c>
      <x:c r="H867" s="16" t="str">
        <x:v>06-05-2013</x:v>
      </x:c>
      <x:c r="I867" s="16" t="n">
        <x:v>54</x:v>
      </x:c>
      <x:c r="J867" s="16" t="n">
        <x:v>121</x:v>
      </x:c>
      <x:c r="K867" s="16" t="n">
        <x:v>62</x:v>
      </x:c>
      <x:c r="L867" s="16" t="n">
        <x:v>90</x:v>
      </x:c>
      <x:c r="M867" s="16" t="n">
        <x:v>68</x:v>
      </x:c>
      <x:c r="N867" s="16" t="n">
        <x:v>20</x:v>
      </x:c>
      <x:c r="O867" s="16" t="n">
        <x:v>125</x:v>
      </x:c>
      <x:c r="P867" s="16" t="n">
        <x:v>3</x:v>
      </x:c>
      <x:c r="Q867" s="16" t="n">
        <x:v>2</x:v>
      </x:c>
      <x:c r="R867" s="16" t="n">
        <x:v>3</x:v>
      </x:c>
      <x:c r="S867" s="16" t="n">
        <x:v>8</x:v>
      </x:c>
      <x:c r="T867" s="16" t="n">
        <x:v>3</x:v>
      </x:c>
      <x:c r="U867" s="16" t="n">
        <x:v>0</x:v>
      </x:c>
      <x:c r="V867" s="16" t="n">
        <x:v>0</x:v>
      </x:c>
      <x:c r="W867" s="16" t="n">
        <x:v>0</x:v>
      </x:c>
      <x:c r="X867" s="16" t="n">
        <x:v>0</x:v>
      </x:c>
      <x:c r="Y867" s="16" t="n">
        <x:v>0</x:v>
      </x:c>
      <x:c r="Z867" s="16" t="n">
        <x:v>0</x:v>
      </x:c>
      <x:c r="AA867" s="16" t="n">
        <x:v>3</x:v>
      </x:c>
      <x:c r="AB867" s="16" t="n">
        <x:v>11</x:v>
      </x:c>
      <x:c r="AC867" s="16" t="n">
        <x:v>0</x:v>
      </x:c>
      <x:c r="AD867" s="21" t="n">
        <x:f>IF(E867="",MEDIAN($E$2:$E$2237),E867)</x:f>
        <x:v>53172</x:v>
      </x:c>
      <x:c r="AE867" s="17" t="n">
        <x:f>2014-B867</x:f>
        <x:v>36</x:v>
      </x:c>
      <x:c r="AF867" s="17" t="n">
        <x:f>F867+G867</x:f>
        <x:v>1</x:v>
      </x:c>
      <x:c r="AG867" s="21" t="n">
        <x:f>SUM(J867:O867)</x:f>
        <x:v>486</x:v>
      </x:c>
      <x:c r="AH867" s="17" t="n">
        <x:f>SUM(Q867:S867)</x:f>
        <x:v>13</x:v>
      </x:c>
      <x:c r="AI867" s="17" t="n">
        <x:f>SUM(U867:Y867)</x:f>
        <x:v>0</x:v>
      </x:c>
      <x:c r="AJ867" s="17" t="str">
        <x:f>IF(AE867&lt;=34,"≤34",IF(AE867&lt;=44,"35–44",IF(AE867&lt;=54,"45–54",IF(AE867&lt;=64,"55–64","65+"))))</x:f>
        <x:v>35–44</x:v>
      </x:c>
      <x:c r="AK867" s="17" t="str">
        <x:f>IF(AG867&gt;=1000,"High Value",IF(AG867&gt;=300,"Mid Value","Low Value"))</x:f>
        <x:v>Mid Value</x:v>
      </x:c>
      <x:c r="AL867" s="17" t="str">
        <x:f>IF(AND(AI867&gt;=1,I867&lt;=50),"Priority 1",IF(AND(AG867&gt;=1000,I867&lt;=60),"Priority 2",IF(I867&lt;=30,"Priority 3","Nurture")))</x:f>
        <x:v>Nurture</x:v>
      </x:c>
    </x:row>
    <x:row r="868">
      <x:c r="A868" s="16" t="n">
        <x:v>2447</x:v>
      </x:c>
      <x:c r="B868" s="16" t="n">
        <x:v>1979</x:v>
      </x:c>
      <x:c r="C868" s="16" t="str">
        <x:v>Graduation</x:v>
      </x:c>
      <x:c r="D868" s="16" t="str">
        <x:v>Together</x:v>
      </x:c>
      <x:c r="E868" s="16" t="n">
        <x:v>30545</x:v>
      </x:c>
      <x:c r="F868" s="16" t="n">
        <x:v>1</x:v>
      </x:c>
      <x:c r="G868" s="16" t="n">
        <x:v>0</x:v>
      </x:c>
      <x:c r="H868" s="16" t="str">
        <x:v>17-10-2012</x:v>
      </x:c>
      <x:c r="I868" s="16" t="n">
        <x:v>71</x:v>
      </x:c>
      <x:c r="J868" s="16" t="n">
        <x:v>4</x:v>
      </x:c>
      <x:c r="K868" s="16" t="n">
        <x:v>12</x:v>
      </x:c>
      <x:c r="L868" s="16" t="n">
        <x:v>15</x:v>
      </x:c>
      <x:c r="M868" s="16" t="n">
        <x:v>19</x:v>
      </x:c>
      <x:c r="N868" s="16" t="n">
        <x:v>7</x:v>
      </x:c>
      <x:c r="O868" s="16" t="n">
        <x:v>12</x:v>
      </x:c>
      <x:c r="P868" s="16" t="n">
        <x:v>2</x:v>
      </x:c>
      <x:c r="Q868" s="16" t="n">
        <x:v>2</x:v>
      </x:c>
      <x:c r="R868" s="16" t="n">
        <x:v>0</x:v>
      </x:c>
      <x:c r="S868" s="16" t="n">
        <x:v>3</x:v>
      </x:c>
      <x:c r="T868" s="16" t="n">
        <x:v>7</x:v>
      </x:c>
      <x:c r="U868" s="16" t="n">
        <x:v>0</x:v>
      </x:c>
      <x:c r="V868" s="16" t="n">
        <x:v>0</x:v>
      </x:c>
      <x:c r="W868" s="16" t="n">
        <x:v>0</x:v>
      </x:c>
      <x:c r="X868" s="16" t="n">
        <x:v>0</x:v>
      </x:c>
      <x:c r="Y868" s="16" t="n">
        <x:v>0</x:v>
      </x:c>
      <x:c r="Z868" s="16" t="n">
        <x:v>0</x:v>
      </x:c>
      <x:c r="AA868" s="16" t="n">
        <x:v>3</x:v>
      </x:c>
      <x:c r="AB868" s="16" t="n">
        <x:v>11</x:v>
      </x:c>
      <x:c r="AC868" s="16" t="n">
        <x:v>0</x:v>
      </x:c>
      <x:c r="AD868" s="21" t="n">
        <x:f>IF(E868="",MEDIAN($E$2:$E$2237),E868)</x:f>
        <x:v>30545</x:v>
      </x:c>
      <x:c r="AE868" s="17" t="n">
        <x:f>2014-B868</x:f>
        <x:v>35</x:v>
      </x:c>
      <x:c r="AF868" s="17" t="n">
        <x:f>F868+G868</x:f>
        <x:v>1</x:v>
      </x:c>
      <x:c r="AG868" s="21" t="n">
        <x:f>SUM(J868:O868)</x:f>
        <x:v>69</x:v>
      </x:c>
      <x:c r="AH868" s="17" t="n">
        <x:f>SUM(Q868:S868)</x:f>
        <x:v>5</x:v>
      </x:c>
      <x:c r="AI868" s="17" t="n">
        <x:f>SUM(U868:Y868)</x:f>
        <x:v>0</x:v>
      </x:c>
      <x:c r="AJ868" s="17" t="str">
        <x:f>IF(AE868&lt;=34,"≤34",IF(AE868&lt;=44,"35–44",IF(AE868&lt;=54,"45–54",IF(AE868&lt;=64,"55–64","65+"))))</x:f>
        <x:v>35–44</x:v>
      </x:c>
      <x:c r="AK868" s="17" t="str">
        <x:f>IF(AG868&gt;=1000,"High Value",IF(AG868&gt;=300,"Mid Value","Low Value"))</x:f>
        <x:v>Low Value</x:v>
      </x:c>
      <x:c r="AL868" s="17" t="str">
        <x:f>IF(AND(AI868&gt;=1,I868&lt;=50),"Priority 1",IF(AND(AG868&gt;=1000,I868&lt;=60),"Priority 2",IF(I868&lt;=30,"Priority 3","Nurture")))</x:f>
        <x:v>Nurture</x:v>
      </x:c>
    </x:row>
    <x:row r="869">
      <x:c r="A869" s="16" t="n">
        <x:v>10140</x:v>
      </x:c>
      <x:c r="B869" s="16" t="n">
        <x:v>1983</x:v>
      </x:c>
      <x:c r="C869" s="16" t="str">
        <x:v>PhD</x:v>
      </x:c>
      <x:c r="D869" s="16" t="str">
        <x:v>Together</x:v>
      </x:c>
      <x:c r="E869" s="16" t="n">
        <x:v>70123</x:v>
      </x:c>
      <x:c r="F869" s="16" t="n">
        <x:v>0</x:v>
      </x:c>
      <x:c r="G869" s="16" t="n">
        <x:v>0</x:v>
      </x:c>
      <x:c r="H869" s="16" t="str">
        <x:v>28-09-2013</x:v>
      </x:c>
      <x:c r="I869" s="16" t="n">
        <x:v>27</x:v>
      </x:c>
      <x:c r="J869" s="16" t="n">
        <x:v>1308</x:v>
      </x:c>
      <x:c r="K869" s="16" t="n">
        <x:v>0</x:v>
      </x:c>
      <x:c r="L869" s="16" t="n">
        <x:v>396</x:v>
      </x:c>
      <x:c r="M869" s="16" t="n">
        <x:v>23</x:v>
      </x:c>
      <x:c r="N869" s="16" t="n">
        <x:v>0</x:v>
      </x:c>
      <x:c r="O869" s="16" t="n">
        <x:v>0</x:v>
      </x:c>
      <x:c r="P869" s="16" t="n">
        <x:v>1</x:v>
      </x:c>
      <x:c r="Q869" s="16" t="n">
        <x:v>5</x:v>
      </x:c>
      <x:c r="R869" s="16" t="n">
        <x:v>7</x:v>
      </x:c>
      <x:c r="S869" s="16" t="n">
        <x:v>4</x:v>
      </x:c>
      <x:c r="T869" s="16" t="n">
        <x:v>3</x:v>
      </x:c>
      <x:c r="U869" s="16" t="n">
        <x:v>0</x:v>
      </x:c>
      <x:c r="V869" s="16" t="n">
        <x:v>1</x:v>
      </x:c>
      <x:c r="W869" s="16" t="n">
        <x:v>0</x:v>
      </x:c>
      <x:c r="X869" s="16" t="n">
        <x:v>0</x:v>
      </x:c>
      <x:c r="Y869" s="16" t="n">
        <x:v>1</x:v>
      </x:c>
      <x:c r="Z869" s="16" t="n">
        <x:v>0</x:v>
      </x:c>
      <x:c r="AA869" s="16" t="n">
        <x:v>3</x:v>
      </x:c>
      <x:c r="AB869" s="16" t="n">
        <x:v>11</x:v>
      </x:c>
      <x:c r="AC869" s="16" t="n">
        <x:v>0</x:v>
      </x:c>
      <x:c r="AD869" s="21" t="n">
        <x:f>IF(E869="",MEDIAN($E$2:$E$2237),E869)</x:f>
        <x:v>70123</x:v>
      </x:c>
      <x:c r="AE869" s="17" t="n">
        <x:f>2014-B869</x:f>
        <x:v>31</x:v>
      </x:c>
      <x:c r="AF869" s="17" t="n">
        <x:f>F869+G869</x:f>
        <x:v>0</x:v>
      </x:c>
      <x:c r="AG869" s="21" t="n">
        <x:f>SUM(J869:O869)</x:f>
        <x:v>1727</x:v>
      </x:c>
      <x:c r="AH869" s="17" t="n">
        <x:f>SUM(Q869:S869)</x:f>
        <x:v>16</x:v>
      </x:c>
      <x:c r="AI869" s="17" t="n">
        <x:f>SUM(U869:Y869)</x:f>
        <x:v>2</x:v>
      </x:c>
      <x:c r="AJ869" s="17" t="str">
        <x:f>IF(AE869&lt;=34,"≤34",IF(AE869&lt;=44,"35–44",IF(AE869&lt;=54,"45–54",IF(AE869&lt;=64,"55–64","65+"))))</x:f>
        <x:v>≤34</x:v>
      </x:c>
      <x:c r="AK869" s="17" t="str">
        <x:f>IF(AG869&gt;=1000,"High Value",IF(AG869&gt;=300,"Mid Value","Low Value"))</x:f>
        <x:v>High Value</x:v>
      </x:c>
      <x:c r="AL869" s="17" t="str">
        <x:f>IF(AND(AI869&gt;=1,I869&lt;=50),"Priority 1",IF(AND(AG869&gt;=1000,I869&lt;=60),"Priority 2",IF(I869&lt;=30,"Priority 3","Nurture")))</x:f>
        <x:v>Priority 1</x:v>
      </x:c>
    </x:row>
    <x:row r="870">
      <x:c r="A870" s="16" t="n">
        <x:v>9353</x:v>
      </x:c>
      <x:c r="B870" s="16" t="n">
        <x:v>1959</x:v>
      </x:c>
      <x:c r="C870" s="16" t="str">
        <x:v>Graduation</x:v>
      </x:c>
      <x:c r="D870" s="16" t="str">
        <x:v>Single</x:v>
      </x:c>
      <x:c r="E870" s="16" t="n">
        <x:v>62450</x:v>
      </x:c>
      <x:c r="F870" s="16" t="n">
        <x:v>0</x:v>
      </x:c>
      <x:c r="G870" s="16" t="n">
        <x:v>1</x:v>
      </x:c>
      <x:c r="H870" s="16" t="str">
        <x:v>06-01-2014</x:v>
      </x:c>
      <x:c r="I870" s="16" t="n">
        <x:v>61</x:v>
      </x:c>
      <x:c r="J870" s="16" t="n">
        <x:v>515</x:v>
      </x:c>
      <x:c r="K870" s="16" t="n">
        <x:v>47</x:v>
      </x:c>
      <x:c r="L870" s="16" t="n">
        <x:v>267</x:v>
      </x:c>
      <x:c r="M870" s="16" t="n">
        <x:v>62</x:v>
      </x:c>
      <x:c r="N870" s="16" t="n">
        <x:v>66</x:v>
      </x:c>
      <x:c r="O870" s="16" t="n">
        <x:v>38</x:v>
      </x:c>
      <x:c r="P870" s="16" t="n">
        <x:v>2</x:v>
      </x:c>
      <x:c r="Q870" s="16" t="n">
        <x:v>5</x:v>
      </x:c>
      <x:c r="R870" s="16" t="n">
        <x:v>5</x:v>
      </x:c>
      <x:c r="S870" s="16" t="n">
        <x:v>4</x:v>
      </x:c>
      <x:c r="T870" s="16" t="n">
        <x:v>3</x:v>
      </x:c>
      <x:c r="U870" s="16" t="n">
        <x:v>0</x:v>
      </x:c>
      <x:c r="V870" s="16" t="n">
        <x:v>1</x:v>
      </x:c>
      <x:c r="W870" s="16" t="n">
        <x:v>0</x:v>
      </x:c>
      <x:c r="X870" s="16" t="n">
        <x:v>0</x:v>
      </x:c>
      <x:c r="Y870" s="16" t="n">
        <x:v>0</x:v>
      </x:c>
      <x:c r="Z870" s="16" t="n">
        <x:v>0</x:v>
      </x:c>
      <x:c r="AA870" s="16" t="n">
        <x:v>3</x:v>
      </x:c>
      <x:c r="AB870" s="16" t="n">
        <x:v>11</x:v>
      </x:c>
      <x:c r="AC870" s="16" t="n">
        <x:v>0</x:v>
      </x:c>
      <x:c r="AD870" s="21" t="n">
        <x:f>IF(E870="",MEDIAN($E$2:$E$2237),E870)</x:f>
        <x:v>62450</x:v>
      </x:c>
      <x:c r="AE870" s="17" t="n">
        <x:f>2014-B870</x:f>
        <x:v>55</x:v>
      </x:c>
      <x:c r="AF870" s="17" t="n">
        <x:f>F870+G870</x:f>
        <x:v>1</x:v>
      </x:c>
      <x:c r="AG870" s="21" t="n">
        <x:f>SUM(J870:O870)</x:f>
        <x:v>995</x:v>
      </x:c>
      <x:c r="AH870" s="17" t="n">
        <x:f>SUM(Q870:S870)</x:f>
        <x:v>14</x:v>
      </x:c>
      <x:c r="AI870" s="17" t="n">
        <x:f>SUM(U870:Y870)</x:f>
        <x:v>1</x:v>
      </x:c>
      <x:c r="AJ870" s="17" t="str">
        <x:f>IF(AE870&lt;=34,"≤34",IF(AE870&lt;=44,"35–44",IF(AE870&lt;=54,"45–54",IF(AE870&lt;=64,"55–64","65+"))))</x:f>
        <x:v>55–64</x:v>
      </x:c>
      <x:c r="AK870" s="17" t="str">
        <x:f>IF(AG870&gt;=1000,"High Value",IF(AG870&gt;=300,"Mid Value","Low Value"))</x:f>
        <x:v>Mid Value</x:v>
      </x:c>
      <x:c r="AL870" s="17" t="str">
        <x:f>IF(AND(AI870&gt;=1,I870&lt;=50),"Priority 1",IF(AND(AG870&gt;=1000,I870&lt;=60),"Priority 2",IF(I870&lt;=30,"Priority 3","Nurture")))</x:f>
        <x:v>Nurture</x:v>
      </x:c>
    </x:row>
    <x:row r="871">
      <x:c r="A871" s="16" t="n">
        <x:v>3623</x:v>
      </x:c>
      <x:c r="B871" s="16" t="n">
        <x:v>1976</x:v>
      </x:c>
      <x:c r="C871" s="16" t="str">
        <x:v>Graduation</x:v>
      </x:c>
      <x:c r="D871" s="16" t="str">
        <x:v>Together</x:v>
      </x:c>
      <x:c r="E871" s="16" t="n">
        <x:v>21675</x:v>
      </x:c>
      <x:c r="F871" s="16" t="n">
        <x:v>1</x:v>
      </x:c>
      <x:c r="G871" s="16" t="n">
        <x:v>0</x:v>
      </x:c>
      <x:c r="H871" s="16" t="str">
        <x:v>11-06-2014</x:v>
      </x:c>
      <x:c r="I871" s="16" t="n">
        <x:v>55</x:v>
      </x:c>
      <x:c r="J871" s="16" t="n">
        <x:v>4</x:v>
      </x:c>
      <x:c r="K871" s="16" t="n">
        <x:v>0</x:v>
      </x:c>
      <x:c r="L871" s="16" t="n">
        <x:v>16</x:v>
      </x:c>
      <x:c r="M871" s="16" t="n">
        <x:v>17</x:v>
      </x:c>
      <x:c r="N871" s="16" t="n">
        <x:v>4</x:v>
      </x:c>
      <x:c r="O871" s="16" t="n">
        <x:v>4</x:v>
      </x:c>
      <x:c r="P871" s="16" t="n">
        <x:v>3</x:v>
      </x:c>
      <x:c r="Q871" s="16" t="n">
        <x:v>4</x:v>
      </x:c>
      <x:c r="R871" s="16" t="n">
        <x:v>0</x:v>
      </x:c>
      <x:c r="S871" s="16" t="n">
        <x:v>3</x:v>
      </x:c>
      <x:c r="T871" s="16" t="n">
        <x:v>7</x:v>
      </x:c>
      <x:c r="U871" s="16" t="n">
        <x:v>0</x:v>
      </x:c>
      <x:c r="V871" s="16" t="n">
        <x:v>0</x:v>
      </x:c>
      <x:c r="W871" s="16" t="n">
        <x:v>0</x:v>
      </x:c>
      <x:c r="X871" s="16" t="n">
        <x:v>0</x:v>
      </x:c>
      <x:c r="Y871" s="16" t="n">
        <x:v>0</x:v>
      </x:c>
      <x:c r="Z871" s="16" t="n">
        <x:v>0</x:v>
      </x:c>
      <x:c r="AA871" s="16" t="n">
        <x:v>3</x:v>
      </x:c>
      <x:c r="AB871" s="16" t="n">
        <x:v>11</x:v>
      </x:c>
      <x:c r="AC871" s="16" t="n">
        <x:v>0</x:v>
      </x:c>
      <x:c r="AD871" s="21" t="n">
        <x:f>IF(E871="",MEDIAN($E$2:$E$2237),E871)</x:f>
        <x:v>21675</x:v>
      </x:c>
      <x:c r="AE871" s="17" t="n">
        <x:f>2014-B871</x:f>
        <x:v>38</x:v>
      </x:c>
      <x:c r="AF871" s="17" t="n">
        <x:f>F871+G871</x:f>
        <x:v>1</x:v>
      </x:c>
      <x:c r="AG871" s="21" t="n">
        <x:f>SUM(J871:O871)</x:f>
        <x:v>45</x:v>
      </x:c>
      <x:c r="AH871" s="17" t="n">
        <x:f>SUM(Q871:S871)</x:f>
        <x:v>7</x:v>
      </x:c>
      <x:c r="AI871" s="17" t="n">
        <x:f>SUM(U871:Y871)</x:f>
        <x:v>0</x:v>
      </x:c>
      <x:c r="AJ871" s="17" t="str">
        <x:f>IF(AE871&lt;=34,"≤34",IF(AE871&lt;=44,"35–44",IF(AE871&lt;=54,"45–54",IF(AE871&lt;=64,"55–64","65+"))))</x:f>
        <x:v>35–44</x:v>
      </x:c>
      <x:c r="AK871" s="17" t="str">
        <x:f>IF(AG871&gt;=1000,"High Value",IF(AG871&gt;=300,"Mid Value","Low Value"))</x:f>
        <x:v>Low Value</x:v>
      </x:c>
      <x:c r="AL871" s="17" t="str">
        <x:f>IF(AND(AI871&gt;=1,I871&lt;=50),"Priority 1",IF(AND(AG871&gt;=1000,I871&lt;=60),"Priority 2",IF(I871&lt;=30,"Priority 3","Nurture")))</x:f>
        <x:v>Nurture</x:v>
      </x:c>
    </x:row>
    <x:row r="872">
      <x:c r="A872" s="16" t="n">
        <x:v>738</x:v>
      </x:c>
      <x:c r="B872" s="16" t="n">
        <x:v>1981</x:v>
      </x:c>
      <x:c r="C872" s="16" t="str">
        <x:v>2n Cycle</x:v>
      </x:c>
      <x:c r="D872" s="16" t="str">
        <x:v>Single</x:v>
      </x:c>
      <x:c r="E872" s="16" t="n">
        <x:v>42395</x:v>
      </x:c>
      <x:c r="F872" s="16" t="n">
        <x:v>1</x:v>
      </x:c>
      <x:c r="G872" s="16" t="n">
        <x:v>1</x:v>
      </x:c>
      <x:c r="H872" s="16" t="str">
        <x:v>04-04-2014</x:v>
      </x:c>
      <x:c r="I872" s="16" t="n">
        <x:v>35</x:v>
      </x:c>
      <x:c r="J872" s="16" t="n">
        <x:v>48</x:v>
      </x:c>
      <x:c r="K872" s="16" t="n">
        <x:v>13</x:v>
      </x:c>
      <x:c r="L872" s="16" t="n">
        <x:v>57</x:v>
      </x:c>
      <x:c r="M872" s="16" t="n">
        <x:v>24</x:v>
      </x:c>
      <x:c r="N872" s="16" t="n">
        <x:v>15</x:v>
      </x:c>
      <x:c r="O872" s="16" t="n">
        <x:v>25</x:v>
      </x:c>
      <x:c r="P872" s="16" t="n">
        <x:v>4</x:v>
      </x:c>
      <x:c r="Q872" s="16" t="n">
        <x:v>3</x:v>
      </x:c>
      <x:c r="R872" s="16" t="n">
        <x:v>1</x:v>
      </x:c>
      <x:c r="S872" s="16" t="n">
        <x:v>4</x:v>
      </x:c>
      <x:c r="T872" s="16" t="n">
        <x:v>7</x:v>
      </x:c>
      <x:c r="U872" s="16" t="n">
        <x:v>0</x:v>
      </x:c>
      <x:c r="V872" s="16" t="n">
        <x:v>0</x:v>
      </x:c>
      <x:c r="W872" s="16" t="n">
        <x:v>0</x:v>
      </x:c>
      <x:c r="X872" s="16" t="n">
        <x:v>0</x:v>
      </x:c>
      <x:c r="Y872" s="16" t="n">
        <x:v>0</x:v>
      </x:c>
      <x:c r="Z872" s="16" t="n">
        <x:v>0</x:v>
      </x:c>
      <x:c r="AA872" s="16" t="n">
        <x:v>3</x:v>
      </x:c>
      <x:c r="AB872" s="16" t="n">
        <x:v>11</x:v>
      </x:c>
      <x:c r="AC872" s="16" t="n">
        <x:v>0</x:v>
      </x:c>
      <x:c r="AD872" s="21" t="n">
        <x:f>IF(E872="",MEDIAN($E$2:$E$2237),E872)</x:f>
        <x:v>42395</x:v>
      </x:c>
      <x:c r="AE872" s="17" t="n">
        <x:f>2014-B872</x:f>
        <x:v>33</x:v>
      </x:c>
      <x:c r="AF872" s="17" t="n">
        <x:f>F872+G872</x:f>
        <x:v>2</x:v>
      </x:c>
      <x:c r="AG872" s="21" t="n">
        <x:f>SUM(J872:O872)</x:f>
        <x:v>182</x:v>
      </x:c>
      <x:c r="AH872" s="17" t="n">
        <x:f>SUM(Q872:S872)</x:f>
        <x:v>8</x:v>
      </x:c>
      <x:c r="AI872" s="17" t="n">
        <x:f>SUM(U872:Y872)</x:f>
        <x:v>0</x:v>
      </x:c>
      <x:c r="AJ872" s="17" t="str">
        <x:f>IF(AE872&lt;=34,"≤34",IF(AE872&lt;=44,"35–44",IF(AE872&lt;=54,"45–54",IF(AE872&lt;=64,"55–64","65+"))))</x:f>
        <x:v>≤34</x:v>
      </x:c>
      <x:c r="AK872" s="17" t="str">
        <x:f>IF(AG872&gt;=1000,"High Value",IF(AG872&gt;=300,"Mid Value","Low Value"))</x:f>
        <x:v>Low Value</x:v>
      </x:c>
      <x:c r="AL872" s="17" t="str">
        <x:f>IF(AND(AI872&gt;=1,I872&lt;=50),"Priority 1",IF(AND(AG872&gt;=1000,I872&lt;=60),"Priority 2",IF(I872&lt;=30,"Priority 3","Nurture")))</x:f>
        <x:v>Nurture</x:v>
      </x:c>
    </x:row>
    <x:row r="873">
      <x:c r="A873" s="16" t="n">
        <x:v>7631</x:v>
      </x:c>
      <x:c r="B873" s="16" t="n">
        <x:v>1978</x:v>
      </x:c>
      <x:c r="C873" s="16" t="str">
        <x:v>Master</x:v>
      </x:c>
      <x:c r="D873" s="16" t="str">
        <x:v>Together</x:v>
      </x:c>
      <x:c r="E873" s="16" t="n">
        <x:v>61346</x:v>
      </x:c>
      <x:c r="F873" s="16" t="n">
        <x:v>1</x:v>
      </x:c>
      <x:c r="G873" s="16" t="n">
        <x:v>0</x:v>
      </x:c>
      <x:c r="H873" s="16" t="str">
        <x:v>06-10-2013</x:v>
      </x:c>
      <x:c r="I873" s="16" t="n">
        <x:v>34</x:v>
      </x:c>
      <x:c r="J873" s="16" t="n">
        <x:v>562</x:v>
      </x:c>
      <x:c r="K873" s="16" t="n">
        <x:v>58</x:v>
      </x:c>
      <x:c r="L873" s="16" t="n">
        <x:v>168</x:v>
      </x:c>
      <x:c r="M873" s="16" t="n">
        <x:v>43</x:v>
      </x:c>
      <x:c r="N873" s="16" t="n">
        <x:v>16</x:v>
      </x:c>
      <x:c r="O873" s="16" t="n">
        <x:v>142</x:v>
      </x:c>
      <x:c r="P873" s="16" t="n">
        <x:v>1</x:v>
      </x:c>
      <x:c r="Q873" s="16" t="n">
        <x:v>5</x:v>
      </x:c>
      <x:c r="R873" s="16" t="n">
        <x:v>7</x:v>
      </x:c>
      <x:c r="S873" s="16" t="n">
        <x:v>10</x:v>
      </x:c>
      <x:c r="T873" s="16" t="n">
        <x:v>3</x:v>
      </x:c>
      <x:c r="U873" s="16" t="n">
        <x:v>0</x:v>
      </x:c>
      <x:c r="V873" s="16" t="n">
        <x:v>0</x:v>
      </x:c>
      <x:c r="W873" s="16" t="n">
        <x:v>0</x:v>
      </x:c>
      <x:c r="X873" s="16" t="n">
        <x:v>0</x:v>
      </x:c>
      <x:c r="Y873" s="16" t="n">
        <x:v>0</x:v>
      </x:c>
      <x:c r="Z873" s="16" t="n">
        <x:v>0</x:v>
      </x:c>
      <x:c r="AA873" s="16" t="n">
        <x:v>3</x:v>
      </x:c>
      <x:c r="AB873" s="16" t="n">
        <x:v>11</x:v>
      </x:c>
      <x:c r="AC873" s="16" t="n">
        <x:v>0</x:v>
      </x:c>
      <x:c r="AD873" s="21" t="n">
        <x:f>IF(E873="",MEDIAN($E$2:$E$2237),E873)</x:f>
        <x:v>61346</x:v>
      </x:c>
      <x:c r="AE873" s="17" t="n">
        <x:f>2014-B873</x:f>
        <x:v>36</x:v>
      </x:c>
      <x:c r="AF873" s="17" t="n">
        <x:f>F873+G873</x:f>
        <x:v>1</x:v>
      </x:c>
      <x:c r="AG873" s="21" t="n">
        <x:f>SUM(J873:O873)</x:f>
        <x:v>989</x:v>
      </x:c>
      <x:c r="AH873" s="17" t="n">
        <x:f>SUM(Q873:S873)</x:f>
        <x:v>22</x:v>
      </x:c>
      <x:c r="AI873" s="17" t="n">
        <x:f>SUM(U873:Y873)</x:f>
        <x:v>0</x:v>
      </x:c>
      <x:c r="AJ873" s="17" t="str">
        <x:f>IF(AE873&lt;=34,"≤34",IF(AE873&lt;=44,"35–44",IF(AE873&lt;=54,"45–54",IF(AE873&lt;=64,"55–64","65+"))))</x:f>
        <x:v>35–44</x:v>
      </x:c>
      <x:c r="AK873" s="17" t="str">
        <x:f>IF(AG873&gt;=1000,"High Value",IF(AG873&gt;=300,"Mid Value","Low Value"))</x:f>
        <x:v>Mid Value</x:v>
      </x:c>
      <x:c r="AL873" s="17" t="str">
        <x:f>IF(AND(AI873&gt;=1,I873&lt;=50),"Priority 1",IF(AND(AG873&gt;=1000,I873&lt;=60),"Priority 2",IF(I873&lt;=30,"Priority 3","Nurture")))</x:f>
        <x:v>Nurture</x:v>
      </x:c>
    </x:row>
    <x:row r="874">
      <x:c r="A874" s="16" t="n">
        <x:v>4789</x:v>
      </x:c>
      <x:c r="B874" s="16" t="n">
        <x:v>1953</x:v>
      </x:c>
      <x:c r="C874" s="16" t="str">
        <x:v>Graduation</x:v>
      </x:c>
      <x:c r="D874" s="16" t="str">
        <x:v>Together</x:v>
      </x:c>
      <x:c r="E874" s="16" t="n">
        <x:v>80812</x:v>
      </x:c>
      <x:c r="F874" s="16" t="n">
        <x:v>0</x:v>
      </x:c>
      <x:c r="G874" s="16" t="n">
        <x:v>0</x:v>
      </x:c>
      <x:c r="H874" s="16" t="str">
        <x:v>17-09-2013</x:v>
      </x:c>
      <x:c r="I874" s="16" t="n">
        <x:v>95</x:v>
      </x:c>
      <x:c r="J874" s="16" t="n">
        <x:v>769</x:v>
      </x:c>
      <x:c r="K874" s="16" t="n">
        <x:v>22</x:v>
      </x:c>
      <x:c r="L874" s="16" t="n">
        <x:v>500</x:v>
      </x:c>
      <x:c r="M874" s="16" t="n">
        <x:v>210</x:v>
      </x:c>
      <x:c r="N874" s="16" t="n">
        <x:v>143</x:v>
      </x:c>
      <x:c r="O874" s="16" t="n">
        <x:v>33</x:v>
      </x:c>
      <x:c r="P874" s="16" t="n">
        <x:v>1</x:v>
      </x:c>
      <x:c r="Q874" s="16" t="n">
        <x:v>4</x:v>
      </x:c>
      <x:c r="R874" s="16" t="n">
        <x:v>8</x:v>
      </x:c>
      <x:c r="S874" s="16" t="n">
        <x:v>5</x:v>
      </x:c>
      <x:c r="T874" s="16" t="n">
        <x:v>2</x:v>
      </x:c>
      <x:c r="U874" s="16" t="n">
        <x:v>1</x:v>
      </x:c>
      <x:c r="V874" s="16" t="n">
        <x:v>0</x:v>
      </x:c>
      <x:c r="W874" s="16" t="n">
        <x:v>1</x:v>
      </x:c>
      <x:c r="X874" s="16" t="n">
        <x:v>1</x:v>
      </x:c>
      <x:c r="Y874" s="16" t="n">
        <x:v>0</x:v>
      </x:c>
      <x:c r="Z874" s="16" t="n">
        <x:v>0</x:v>
      </x:c>
      <x:c r="AA874" s="16" t="n">
        <x:v>3</x:v>
      </x:c>
      <x:c r="AB874" s="16" t="n">
        <x:v>11</x:v>
      </x:c>
      <x:c r="AC874" s="16" t="n">
        <x:v>0</x:v>
      </x:c>
      <x:c r="AD874" s="21" t="n">
        <x:f>IF(E874="",MEDIAN($E$2:$E$2237),E874)</x:f>
        <x:v>80812</x:v>
      </x:c>
      <x:c r="AE874" s="17" t="n">
        <x:f>2014-B874</x:f>
        <x:v>61</x:v>
      </x:c>
      <x:c r="AF874" s="17" t="n">
        <x:f>F874+G874</x:f>
        <x:v>0</x:v>
      </x:c>
      <x:c r="AG874" s="21" t="n">
        <x:f>SUM(J874:O874)</x:f>
        <x:v>1677</x:v>
      </x:c>
      <x:c r="AH874" s="17" t="n">
        <x:f>SUM(Q874:S874)</x:f>
        <x:v>17</x:v>
      </x:c>
      <x:c r="AI874" s="17" t="n">
        <x:f>SUM(U874:Y874)</x:f>
        <x:v>3</x:v>
      </x:c>
      <x:c r="AJ874" s="17" t="str">
        <x:f>IF(AE874&lt;=34,"≤34",IF(AE874&lt;=44,"35–44",IF(AE874&lt;=54,"45–54",IF(AE874&lt;=64,"55–64","65+"))))</x:f>
        <x:v>55–64</x:v>
      </x:c>
      <x:c r="AK874" s="17" t="str">
        <x:f>IF(AG874&gt;=1000,"High Value",IF(AG874&gt;=300,"Mid Value","Low Value"))</x:f>
        <x:v>High Value</x:v>
      </x:c>
      <x:c r="AL874" s="17" t="str">
        <x:f>IF(AND(AI874&gt;=1,I874&lt;=50),"Priority 1",IF(AND(AG874&gt;=1000,I874&lt;=60),"Priority 2",IF(I874&lt;=30,"Priority 3","Nurture")))</x:f>
        <x:v>Nurture</x:v>
      </x:c>
    </x:row>
    <x:row r="875">
      <x:c r="A875" s="16" t="n">
        <x:v>773</x:v>
      </x:c>
      <x:c r="B875" s="16" t="n">
        <x:v>1971</x:v>
      </x:c>
      <x:c r="C875" s="16" t="str">
        <x:v>Master</x:v>
      </x:c>
      <x:c r="D875" s="16" t="str">
        <x:v>Divorced</x:v>
      </x:c>
      <x:c r="E875" s="16" t="n">
        <x:v>42835</x:v>
      </x:c>
      <x:c r="F875" s="16" t="n">
        <x:v>1</x:v>
      </x:c>
      <x:c r="G875" s="16" t="n">
        <x:v>1</x:v>
      </x:c>
      <x:c r="H875" s="16" t="str">
        <x:v>30-06-2013</x:v>
      </x:c>
      <x:c r="I875" s="16" t="n">
        <x:v>64</x:v>
      </x:c>
      <x:c r="J875" s="16" t="n">
        <x:v>379</x:v>
      </x:c>
      <x:c r="K875" s="16" t="n">
        <x:v>4</x:v>
      </x:c>
      <x:c r="L875" s="16" t="n">
        <x:v>93</x:v>
      </x:c>
      <x:c r="M875" s="16" t="n">
        <x:v>12</x:v>
      </x:c>
      <x:c r="N875" s="16" t="n">
        <x:v>9</x:v>
      </x:c>
      <x:c r="O875" s="16" t="n">
        <x:v>98</x:v>
      </x:c>
      <x:c r="P875" s="16" t="n">
        <x:v>7</x:v>
      </x:c>
      <x:c r="Q875" s="16" t="n">
        <x:v>6</x:v>
      </x:c>
      <x:c r="R875" s="16" t="n">
        <x:v>6</x:v>
      </x:c>
      <x:c r="S875" s="16" t="n">
        <x:v>4</x:v>
      </x:c>
      <x:c r="T875" s="16" t="n">
        <x:v>6</x:v>
      </x:c>
      <x:c r="U875" s="16" t="n">
        <x:v>0</x:v>
      </x:c>
      <x:c r="V875" s="16" t="n">
        <x:v>0</x:v>
      </x:c>
      <x:c r="W875" s="16" t="n">
        <x:v>0</x:v>
      </x:c>
      <x:c r="X875" s="16" t="n">
        <x:v>0</x:v>
      </x:c>
      <x:c r="Y875" s="16" t="n">
        <x:v>0</x:v>
      </x:c>
      <x:c r="Z875" s="16" t="n">
        <x:v>0</x:v>
      </x:c>
      <x:c r="AA875" s="16" t="n">
        <x:v>3</x:v>
      </x:c>
      <x:c r="AB875" s="16" t="n">
        <x:v>11</x:v>
      </x:c>
      <x:c r="AC875" s="16" t="n">
        <x:v>0</x:v>
      </x:c>
      <x:c r="AD875" s="21" t="n">
        <x:f>IF(E875="",MEDIAN($E$2:$E$2237),E875)</x:f>
        <x:v>42835</x:v>
      </x:c>
      <x:c r="AE875" s="17" t="n">
        <x:f>2014-B875</x:f>
        <x:v>43</x:v>
      </x:c>
      <x:c r="AF875" s="17" t="n">
        <x:f>F875+G875</x:f>
        <x:v>2</x:v>
      </x:c>
      <x:c r="AG875" s="21" t="n">
        <x:f>SUM(J875:O875)</x:f>
        <x:v>595</x:v>
      </x:c>
      <x:c r="AH875" s="17" t="n">
        <x:f>SUM(Q875:S875)</x:f>
        <x:v>16</x:v>
      </x:c>
      <x:c r="AI875" s="17" t="n">
        <x:f>SUM(U875:Y875)</x:f>
        <x:v>0</x:v>
      </x:c>
      <x:c r="AJ875" s="17" t="str">
        <x:f>IF(AE875&lt;=34,"≤34",IF(AE875&lt;=44,"35–44",IF(AE875&lt;=54,"45–54",IF(AE875&lt;=64,"55–64","65+"))))</x:f>
        <x:v>35–44</x:v>
      </x:c>
      <x:c r="AK875" s="17" t="str">
        <x:f>IF(AG875&gt;=1000,"High Value",IF(AG875&gt;=300,"Mid Value","Low Value"))</x:f>
        <x:v>Mid Value</x:v>
      </x:c>
      <x:c r="AL875" s="17" t="str">
        <x:f>IF(AND(AI875&gt;=1,I875&lt;=50),"Priority 1",IF(AND(AG875&gt;=1000,I875&lt;=60),"Priority 2",IF(I875&lt;=30,"Priority 3","Nurture")))</x:f>
        <x:v>Nurture</x:v>
      </x:c>
    </x:row>
    <x:row r="876">
      <x:c r="A876" s="16" t="n">
        <x:v>10602</x:v>
      </x:c>
      <x:c r="B876" s="16" t="n">
        <x:v>1983</x:v>
      </x:c>
      <x:c r="C876" s="16" t="str">
        <x:v>Graduation</x:v>
      </x:c>
      <x:c r="D876" s="16" t="str">
        <x:v>Married</x:v>
      </x:c>
      <x:c r="E876" s="16" t="n">
        <x:v>39922</x:v>
      </x:c>
      <x:c r="F876" s="16" t="n">
        <x:v>1</x:v>
      </x:c>
      <x:c r="G876" s="16" t="n">
        <x:v>0</x:v>
      </x:c>
      <x:c r="H876" s="16" t="str">
        <x:v>14-02-2013</x:v>
      </x:c>
      <x:c r="I876" s="16" t="n">
        <x:v>30</x:v>
      </x:c>
      <x:c r="J876" s="16" t="n">
        <x:v>29</x:v>
      </x:c>
      <x:c r="K876" s="16" t="n">
        <x:v>12</x:v>
      </x:c>
      <x:c r="L876" s="16" t="n">
        <x:v>59</x:v>
      </x:c>
      <x:c r="M876" s="16" t="n">
        <x:v>19</x:v>
      </x:c>
      <x:c r="N876" s="16" t="n">
        <x:v>1</x:v>
      </x:c>
      <x:c r="O876" s="16" t="n">
        <x:v>36</x:v>
      </x:c>
      <x:c r="P876" s="16" t="n">
        <x:v>2</x:v>
      </x:c>
      <x:c r="Q876" s="16" t="n">
        <x:v>3</x:v>
      </x:c>
      <x:c r="R876" s="16" t="n">
        <x:v>0</x:v>
      </x:c>
      <x:c r="S876" s="16" t="n">
        <x:v>4</x:v>
      </x:c>
      <x:c r="T876" s="16" t="n">
        <x:v>8</x:v>
      </x:c>
      <x:c r="U876" s="16" t="n">
        <x:v>0</x:v>
      </x:c>
      <x:c r="V876" s="16" t="n">
        <x:v>0</x:v>
      </x:c>
      <x:c r="W876" s="16" t="n">
        <x:v>0</x:v>
      </x:c>
      <x:c r="X876" s="16" t="n">
        <x:v>0</x:v>
      </x:c>
      <x:c r="Y876" s="16" t="n">
        <x:v>0</x:v>
      </x:c>
      <x:c r="Z876" s="16" t="n">
        <x:v>0</x:v>
      </x:c>
      <x:c r="AA876" s="16" t="n">
        <x:v>3</x:v>
      </x:c>
      <x:c r="AB876" s="16" t="n">
        <x:v>11</x:v>
      </x:c>
      <x:c r="AC876" s="16" t="n">
        <x:v>0</x:v>
      </x:c>
      <x:c r="AD876" s="21" t="n">
        <x:f>IF(E876="",MEDIAN($E$2:$E$2237),E876)</x:f>
        <x:v>39922</x:v>
      </x:c>
      <x:c r="AE876" s="17" t="n">
        <x:f>2014-B876</x:f>
        <x:v>31</x:v>
      </x:c>
      <x:c r="AF876" s="17" t="n">
        <x:f>F876+G876</x:f>
        <x:v>1</x:v>
      </x:c>
      <x:c r="AG876" s="21" t="n">
        <x:f>SUM(J876:O876)</x:f>
        <x:v>156</x:v>
      </x:c>
      <x:c r="AH876" s="17" t="n">
        <x:f>SUM(Q876:S876)</x:f>
        <x:v>7</x:v>
      </x:c>
      <x:c r="AI876" s="17" t="n">
        <x:f>SUM(U876:Y876)</x:f>
        <x:v>0</x:v>
      </x:c>
      <x:c r="AJ876" s="17" t="str">
        <x:f>IF(AE876&lt;=34,"≤34",IF(AE876&lt;=44,"35–44",IF(AE876&lt;=54,"45–54",IF(AE876&lt;=64,"55–64","65+"))))</x:f>
        <x:v>≤34</x:v>
      </x:c>
      <x:c r="AK876" s="17" t="str">
        <x:f>IF(AG876&gt;=1000,"High Value",IF(AG876&gt;=300,"Mid Value","Low Value"))</x:f>
        <x:v>Low Value</x:v>
      </x:c>
      <x:c r="AL876" s="17" t="str">
        <x:f>IF(AND(AI876&gt;=1,I876&lt;=50),"Priority 1",IF(AND(AG876&gt;=1000,I876&lt;=60),"Priority 2",IF(I876&lt;=30,"Priority 3","Nurture")))</x:f>
        <x:v>Priority 3</x:v>
      </x:c>
    </x:row>
    <x:row r="877">
      <x:c r="A877" s="16" t="n">
        <x:v>1446</x:v>
      </x:c>
      <x:c r="B877" s="16" t="n">
        <x:v>1956</x:v>
      </x:c>
      <x:c r="C877" s="16" t="str">
        <x:v>Master</x:v>
      </x:c>
      <x:c r="D877" s="16" t="str">
        <x:v>Single</x:v>
      </x:c>
      <x:c r="E877" s="16" t="n">
        <x:v>86424</x:v>
      </x:c>
      <x:c r="F877" s="16" t="n">
        <x:v>0</x:v>
      </x:c>
      <x:c r="G877" s="16" t="n">
        <x:v>0</x:v>
      </x:c>
      <x:c r="H877" s="16" t="str">
        <x:v>05-04-2014</x:v>
      </x:c>
      <x:c r="I877" s="16" t="n">
        <x:v>12</x:v>
      </x:c>
      <x:c r="J877" s="16" t="n">
        <x:v>387</x:v>
      </x:c>
      <x:c r="K877" s="16" t="n">
        <x:v>68</x:v>
      </x:c>
      <x:c r="L877" s="16" t="n">
        <x:v>569</x:v>
      </x:c>
      <x:c r="M877" s="16" t="n">
        <x:v>89</x:v>
      </x:c>
      <x:c r="N877" s="16" t="n">
        <x:v>45</x:v>
      </x:c>
      <x:c r="O877" s="16" t="n">
        <x:v>68</x:v>
      </x:c>
      <x:c r="P877" s="16" t="n">
        <x:v>1</x:v>
      </x:c>
      <x:c r="Q877" s="16" t="n">
        <x:v>6</x:v>
      </x:c>
      <x:c r="R877" s="16" t="n">
        <x:v>9</x:v>
      </x:c>
      <x:c r="S877" s="16" t="n">
        <x:v>12</x:v>
      </x:c>
      <x:c r="T877" s="16" t="n">
        <x:v>1</x:v>
      </x:c>
      <x:c r="U877" s="16" t="n">
        <x:v>0</x:v>
      </x:c>
      <x:c r="V877" s="16" t="n">
        <x:v>0</x:v>
      </x:c>
      <x:c r="W877" s="16" t="n">
        <x:v>0</x:v>
      </x:c>
      <x:c r="X877" s="16" t="n">
        <x:v>0</x:v>
      </x:c>
      <x:c r="Y877" s="16" t="n">
        <x:v>0</x:v>
      </x:c>
      <x:c r="Z877" s="16" t="n">
        <x:v>0</x:v>
      </x:c>
      <x:c r="AA877" s="16" t="n">
        <x:v>3</x:v>
      </x:c>
      <x:c r="AB877" s="16" t="n">
        <x:v>11</x:v>
      </x:c>
      <x:c r="AC877" s="16" t="n">
        <x:v>0</x:v>
      </x:c>
      <x:c r="AD877" s="21" t="n">
        <x:f>IF(E877="",MEDIAN($E$2:$E$2237),E877)</x:f>
        <x:v>86424</x:v>
      </x:c>
      <x:c r="AE877" s="17" t="n">
        <x:f>2014-B877</x:f>
        <x:v>58</x:v>
      </x:c>
      <x:c r="AF877" s="17" t="n">
        <x:f>F877+G877</x:f>
        <x:v>0</x:v>
      </x:c>
      <x:c r="AG877" s="21" t="n">
        <x:f>SUM(J877:O877)</x:f>
        <x:v>1226</x:v>
      </x:c>
      <x:c r="AH877" s="17" t="n">
        <x:f>SUM(Q877:S877)</x:f>
        <x:v>27</x:v>
      </x:c>
      <x:c r="AI877" s="17" t="n">
        <x:f>SUM(U877:Y877)</x:f>
        <x:v>0</x:v>
      </x:c>
      <x:c r="AJ877" s="17" t="str">
        <x:f>IF(AE877&lt;=34,"≤34",IF(AE877&lt;=44,"35–44",IF(AE877&lt;=54,"45–54",IF(AE877&lt;=64,"55–64","65+"))))</x:f>
        <x:v>55–64</x:v>
      </x:c>
      <x:c r="AK877" s="17" t="str">
        <x:f>IF(AG877&gt;=1000,"High Value",IF(AG877&gt;=300,"Mid Value","Low Value"))</x:f>
        <x:v>High Value</x:v>
      </x:c>
      <x:c r="AL877" s="17" t="str">
        <x:f>IF(AND(AI877&gt;=1,I877&lt;=50),"Priority 1",IF(AND(AG877&gt;=1000,I877&lt;=60),"Priority 2",IF(I877&lt;=30,"Priority 3","Nurture")))</x:f>
        <x:v>Priority 2</x:v>
      </x:c>
    </x:row>
    <x:row r="878">
      <x:c r="A878" s="16" t="n">
        <x:v>3270</x:v>
      </x:c>
      <x:c r="B878" s="16" t="n">
        <x:v>1978</x:v>
      </x:c>
      <x:c r="C878" s="16" t="str">
        <x:v>2n Cycle</x:v>
      </x:c>
      <x:c r="D878" s="16" t="str">
        <x:v>Together</x:v>
      </x:c>
      <x:c r="E878" s="16" t="n">
        <x:v>17117</x:v>
      </x:c>
      <x:c r="F878" s="16" t="n">
        <x:v>1</x:v>
      </x:c>
      <x:c r="G878" s="16" t="n">
        <x:v>0</x:v>
      </x:c>
      <x:c r="H878" s="16" t="str">
        <x:v>17-01-2013</x:v>
      </x:c>
      <x:c r="I878" s="16" t="n">
        <x:v>96</x:v>
      </x:c>
      <x:c r="J878" s="16" t="n">
        <x:v>12</x:v>
      </x:c>
      <x:c r="K878" s="16" t="n">
        <x:v>23</x:v>
      </x:c>
      <x:c r="L878" s="16" t="n">
        <x:v>38</x:v>
      </x:c>
      <x:c r="M878" s="16" t="n">
        <x:v>30</x:v>
      </x:c>
      <x:c r="N878" s="16" t="n">
        <x:v>18</x:v>
      </x:c>
      <x:c r="O878" s="16" t="n">
        <x:v>7</x:v>
      </x:c>
      <x:c r="P878" s="16" t="n">
        <x:v>4</x:v>
      </x:c>
      <x:c r="Q878" s="16" t="n">
        <x:v>3</x:v>
      </x:c>
      <x:c r="R878" s="16" t="n">
        <x:v>1</x:v>
      </x:c>
      <x:c r="S878" s="16" t="n">
        <x:v>3</x:v>
      </x:c>
      <x:c r="T878" s="16" t="n">
        <x:v>9</x:v>
      </x:c>
      <x:c r="U878" s="16" t="n">
        <x:v>0</x:v>
      </x:c>
      <x:c r="V878" s="16" t="n">
        <x:v>0</x:v>
      </x:c>
      <x:c r="W878" s="16" t="n">
        <x:v>0</x:v>
      </x:c>
      <x:c r="X878" s="16" t="n">
        <x:v>0</x:v>
      </x:c>
      <x:c r="Y878" s="16" t="n">
        <x:v>0</x:v>
      </x:c>
      <x:c r="Z878" s="16" t="n">
        <x:v>0</x:v>
      </x:c>
      <x:c r="AA878" s="16" t="n">
        <x:v>3</x:v>
      </x:c>
      <x:c r="AB878" s="16" t="n">
        <x:v>11</x:v>
      </x:c>
      <x:c r="AC878" s="16" t="n">
        <x:v>0</x:v>
      </x:c>
      <x:c r="AD878" s="21" t="n">
        <x:f>IF(E878="",MEDIAN($E$2:$E$2237),E878)</x:f>
        <x:v>17117</x:v>
      </x:c>
      <x:c r="AE878" s="17" t="n">
        <x:f>2014-B878</x:f>
        <x:v>36</x:v>
      </x:c>
      <x:c r="AF878" s="17" t="n">
        <x:f>F878+G878</x:f>
        <x:v>1</x:v>
      </x:c>
      <x:c r="AG878" s="21" t="n">
        <x:f>SUM(J878:O878)</x:f>
        <x:v>128</x:v>
      </x:c>
      <x:c r="AH878" s="17" t="n">
        <x:f>SUM(Q878:S878)</x:f>
        <x:v>7</x:v>
      </x:c>
      <x:c r="AI878" s="17" t="n">
        <x:f>SUM(U878:Y878)</x:f>
        <x:v>0</x:v>
      </x:c>
      <x:c r="AJ878" s="17" t="str">
        <x:f>IF(AE878&lt;=34,"≤34",IF(AE878&lt;=44,"35–44",IF(AE878&lt;=54,"45–54",IF(AE878&lt;=64,"55–64","65+"))))</x:f>
        <x:v>35–44</x:v>
      </x:c>
      <x:c r="AK878" s="17" t="str">
        <x:f>IF(AG878&gt;=1000,"High Value",IF(AG878&gt;=300,"Mid Value","Low Value"))</x:f>
        <x:v>Low Value</x:v>
      </x:c>
      <x:c r="AL878" s="17" t="str">
        <x:f>IF(AND(AI878&gt;=1,I878&lt;=50),"Priority 1",IF(AND(AG878&gt;=1000,I878&lt;=60),"Priority 2",IF(I878&lt;=30,"Priority 3","Nurture")))</x:f>
        <x:v>Nurture</x:v>
      </x:c>
    </x:row>
    <x:row r="879">
      <x:c r="A879" s="16" t="n">
        <x:v>8443</x:v>
      </x:c>
      <x:c r="B879" s="16" t="n">
        <x:v>1972</x:v>
      </x:c>
      <x:c r="C879" s="16" t="str">
        <x:v>Graduation</x:v>
      </x:c>
      <x:c r="D879" s="16" t="str">
        <x:v>Single</x:v>
      </x:c>
      <x:c r="E879" s="16" t="n">
        <x:v>24762</x:v>
      </x:c>
      <x:c r="F879" s="16" t="n">
        <x:v>1</x:v>
      </x:c>
      <x:c r="G879" s="16" t="n">
        <x:v>0</x:v>
      </x:c>
      <x:c r="H879" s="16" t="str">
        <x:v>10-02-2014</x:v>
      </x:c>
      <x:c r="I879" s="16" t="n">
        <x:v>16</x:v>
      </x:c>
      <x:c r="J879" s="16" t="n">
        <x:v>6</x:v>
      </x:c>
      <x:c r="K879" s="16" t="n">
        <x:v>10</x:v>
      </x:c>
      <x:c r="L879" s="16" t="n">
        <x:v>12</x:v>
      </x:c>
      <x:c r="M879" s="16" t="n">
        <x:v>3</x:v>
      </x:c>
      <x:c r="N879" s="16" t="n">
        <x:v>15</x:v>
      </x:c>
      <x:c r="O879" s="16" t="n">
        <x:v>40</x:v>
      </x:c>
      <x:c r="P879" s="16" t="n">
        <x:v>3</x:v>
      </x:c>
      <x:c r="Q879" s="16" t="n">
        <x:v>3</x:v>
      </x:c>
      <x:c r="R879" s="16" t="n">
        <x:v>1</x:v>
      </x:c>
      <x:c r="S879" s="16" t="n">
        <x:v>2</x:v>
      </x:c>
      <x:c r="T879" s="16" t="n">
        <x:v>8</x:v>
      </x:c>
      <x:c r="U879" s="16" t="n">
        <x:v>1</x:v>
      </x:c>
      <x:c r="V879" s="16" t="n">
        <x:v>0</x:v>
      </x:c>
      <x:c r="W879" s="16" t="n">
        <x:v>0</x:v>
      </x:c>
      <x:c r="X879" s="16" t="n">
        <x:v>0</x:v>
      </x:c>
      <x:c r="Y879" s="16" t="n">
        <x:v>0</x:v>
      </x:c>
      <x:c r="Z879" s="16" t="n">
        <x:v>0</x:v>
      </x:c>
      <x:c r="AA879" s="16" t="n">
        <x:v>3</x:v>
      </x:c>
      <x:c r="AB879" s="16" t="n">
        <x:v>11</x:v>
      </x:c>
      <x:c r="AC879" s="16" t="n">
        <x:v>1</x:v>
      </x:c>
      <x:c r="AD879" s="21" t="n">
        <x:f>IF(E879="",MEDIAN($E$2:$E$2237),E879)</x:f>
        <x:v>24762</x:v>
      </x:c>
      <x:c r="AE879" s="17" t="n">
        <x:f>2014-B879</x:f>
        <x:v>42</x:v>
      </x:c>
      <x:c r="AF879" s="17" t="n">
        <x:f>F879+G879</x:f>
        <x:v>1</x:v>
      </x:c>
      <x:c r="AG879" s="21" t="n">
        <x:f>SUM(J879:O879)</x:f>
        <x:v>86</x:v>
      </x:c>
      <x:c r="AH879" s="17" t="n">
        <x:f>SUM(Q879:S879)</x:f>
        <x:v>6</x:v>
      </x:c>
      <x:c r="AI879" s="17" t="n">
        <x:f>SUM(U879:Y879)</x:f>
        <x:v>1</x:v>
      </x:c>
      <x:c r="AJ879" s="17" t="str">
        <x:f>IF(AE879&lt;=34,"≤34",IF(AE879&lt;=44,"35–44",IF(AE879&lt;=54,"45–54",IF(AE879&lt;=64,"55–64","65+"))))</x:f>
        <x:v>35–44</x:v>
      </x:c>
      <x:c r="AK879" s="17" t="str">
        <x:f>IF(AG879&gt;=1000,"High Value",IF(AG879&gt;=300,"Mid Value","Low Value"))</x:f>
        <x:v>Low Value</x:v>
      </x:c>
      <x:c r="AL879" s="17" t="str">
        <x:f>IF(AND(AI879&gt;=1,I879&lt;=50),"Priority 1",IF(AND(AG879&gt;=1000,I879&lt;=60),"Priority 2",IF(I879&lt;=30,"Priority 3","Nurture")))</x:f>
        <x:v>Priority 1</x:v>
      </x:c>
    </x:row>
    <x:row r="880">
      <x:c r="A880" s="16" t="n">
        <x:v>9653</x:v>
      </x:c>
      <x:c r="B880" s="16" t="n">
        <x:v>1975</x:v>
      </x:c>
      <x:c r="C880" s="16" t="str">
        <x:v>Graduation</x:v>
      </x:c>
      <x:c r="D880" s="16" t="str">
        <x:v>Married</x:v>
      </x:c>
      <x:c r="E880" s="16" t="n">
        <x:v>35797</x:v>
      </x:c>
      <x:c r="F880" s="16" t="n">
        <x:v>0</x:v>
      </x:c>
      <x:c r="G880" s="16" t="n">
        <x:v>1</x:v>
      </x:c>
      <x:c r="H880" s="16" t="str">
        <x:v>16-10-2012</x:v>
      </x:c>
      <x:c r="I880" s="16" t="n">
        <x:v>16</x:v>
      </x:c>
      <x:c r="J880" s="16" t="n">
        <x:v>27</x:v>
      </x:c>
      <x:c r="K880" s="16" t="n">
        <x:v>1</x:v>
      </x:c>
      <x:c r="L880" s="16" t="n">
        <x:v>14</x:v>
      </x:c>
      <x:c r="M880" s="16" t="n">
        <x:v>4</x:v>
      </x:c>
      <x:c r="N880" s="16" t="n">
        <x:v>1</x:v>
      </x:c>
      <x:c r="O880" s="16" t="n">
        <x:v>21</x:v>
      </x:c>
      <x:c r="P880" s="16" t="n">
        <x:v>2</x:v>
      </x:c>
      <x:c r="Q880" s="16" t="n">
        <x:v>2</x:v>
      </x:c>
      <x:c r="R880" s="16" t="n">
        <x:v>0</x:v>
      </x:c>
      <x:c r="S880" s="16" t="n">
        <x:v>3</x:v>
      </x:c>
      <x:c r="T880" s="16" t="n">
        <x:v>8</x:v>
      </x:c>
      <x:c r="U880" s="16" t="n">
        <x:v>0</x:v>
      </x:c>
      <x:c r="V880" s="16" t="n">
        <x:v>0</x:v>
      </x:c>
      <x:c r="W880" s="16" t="n">
        <x:v>0</x:v>
      </x:c>
      <x:c r="X880" s="16" t="n">
        <x:v>0</x:v>
      </x:c>
      <x:c r="Y880" s="16" t="n">
        <x:v>0</x:v>
      </x:c>
      <x:c r="Z880" s="16" t="n">
        <x:v>0</x:v>
      </x:c>
      <x:c r="AA880" s="16" t="n">
        <x:v>3</x:v>
      </x:c>
      <x:c r="AB880" s="16" t="n">
        <x:v>11</x:v>
      </x:c>
      <x:c r="AC880" s="16" t="n">
        <x:v>0</x:v>
      </x:c>
      <x:c r="AD880" s="21" t="n">
        <x:f>IF(E880="",MEDIAN($E$2:$E$2237),E880)</x:f>
        <x:v>35797</x:v>
      </x:c>
      <x:c r="AE880" s="17" t="n">
        <x:f>2014-B880</x:f>
        <x:v>39</x:v>
      </x:c>
      <x:c r="AF880" s="17" t="n">
        <x:f>F880+G880</x:f>
        <x:v>1</x:v>
      </x:c>
      <x:c r="AG880" s="21" t="n">
        <x:f>SUM(J880:O880)</x:f>
        <x:v>68</x:v>
      </x:c>
      <x:c r="AH880" s="17" t="n">
        <x:f>SUM(Q880:S880)</x:f>
        <x:v>5</x:v>
      </x:c>
      <x:c r="AI880" s="17" t="n">
        <x:f>SUM(U880:Y880)</x:f>
        <x:v>0</x:v>
      </x:c>
      <x:c r="AJ880" s="17" t="str">
        <x:f>IF(AE880&lt;=34,"≤34",IF(AE880&lt;=44,"35–44",IF(AE880&lt;=54,"45–54",IF(AE880&lt;=64,"55–64","65+"))))</x:f>
        <x:v>35–44</x:v>
      </x:c>
      <x:c r="AK880" s="17" t="str">
        <x:f>IF(AG880&gt;=1000,"High Value",IF(AG880&gt;=300,"Mid Value","Low Value"))</x:f>
        <x:v>Low Value</x:v>
      </x:c>
      <x:c r="AL880" s="17" t="str">
        <x:f>IF(AND(AI880&gt;=1,I880&lt;=50),"Priority 1",IF(AND(AG880&gt;=1000,I880&lt;=60),"Priority 2",IF(I880&lt;=30,"Priority 3","Nurture")))</x:f>
        <x:v>Priority 3</x:v>
      </x:c>
    </x:row>
    <x:row r="881">
      <x:c r="A881" s="16" t="n">
        <x:v>8916</x:v>
      </x:c>
      <x:c r="B881" s="16" t="n">
        <x:v>1975</x:v>
      </x:c>
      <x:c r="C881" s="16" t="str">
        <x:v>Graduation</x:v>
      </x:c>
      <x:c r="D881" s="16" t="str">
        <x:v>Divorced</x:v>
      </x:c>
      <x:c r="E881" s="16" t="n">
        <x:v>36627</x:v>
      </x:c>
      <x:c r="F881" s="16" t="n">
        <x:v>2</x:v>
      </x:c>
      <x:c r="G881" s="16" t="n">
        <x:v>0</x:v>
      </x:c>
      <x:c r="H881" s="16" t="str">
        <x:v>23-07-2013</x:v>
      </x:c>
      <x:c r="I881" s="16" t="n">
        <x:v>78</x:v>
      </x:c>
      <x:c r="J881" s="16" t="n">
        <x:v>9</x:v>
      </x:c>
      <x:c r="K881" s="16" t="n">
        <x:v>1</x:v>
      </x:c>
      <x:c r="L881" s="16" t="n">
        <x:v>5</x:v>
      </x:c>
      <x:c r="M881" s="16" t="n">
        <x:v>0</x:v>
      </x:c>
      <x:c r="N881" s="16" t="n">
        <x:v>0</x:v>
      </x:c>
      <x:c r="O881" s="16" t="n">
        <x:v>1</x:v>
      </x:c>
      <x:c r="P881" s="16" t="n">
        <x:v>1</x:v>
      </x:c>
      <x:c r="Q881" s="16" t="n">
        <x:v>0</x:v>
      </x:c>
      <x:c r="R881" s="16" t="n">
        <x:v>0</x:v>
      </x:c>
      <x:c r="S881" s="16" t="n">
        <x:v>3</x:v>
      </x:c>
      <x:c r="T881" s="16" t="n">
        <x:v>5</x:v>
      </x:c>
      <x:c r="U881" s="16" t="n">
        <x:v>0</x:v>
      </x:c>
      <x:c r="V881" s="16" t="n">
        <x:v>0</x:v>
      </x:c>
      <x:c r="W881" s="16" t="n">
        <x:v>0</x:v>
      </x:c>
      <x:c r="X881" s="16" t="n">
        <x:v>0</x:v>
      </x:c>
      <x:c r="Y881" s="16" t="n">
        <x:v>0</x:v>
      </x:c>
      <x:c r="Z881" s="16" t="n">
        <x:v>0</x:v>
      </x:c>
      <x:c r="AA881" s="16" t="n">
        <x:v>3</x:v>
      </x:c>
      <x:c r="AB881" s="16" t="n">
        <x:v>11</x:v>
      </x:c>
      <x:c r="AC881" s="16" t="n">
        <x:v>0</x:v>
      </x:c>
      <x:c r="AD881" s="21" t="n">
        <x:f>IF(E881="",MEDIAN($E$2:$E$2237),E881)</x:f>
        <x:v>36627</x:v>
      </x:c>
      <x:c r="AE881" s="17" t="n">
        <x:f>2014-B881</x:f>
        <x:v>39</x:v>
      </x:c>
      <x:c r="AF881" s="17" t="n">
        <x:f>F881+G881</x:f>
        <x:v>2</x:v>
      </x:c>
      <x:c r="AG881" s="21" t="n">
        <x:f>SUM(J881:O881)</x:f>
        <x:v>16</x:v>
      </x:c>
      <x:c r="AH881" s="17" t="n">
        <x:f>SUM(Q881:S881)</x:f>
        <x:v>3</x:v>
      </x:c>
      <x:c r="AI881" s="17" t="n">
        <x:f>SUM(U881:Y881)</x:f>
        <x:v>0</x:v>
      </x:c>
      <x:c r="AJ881" s="17" t="str">
        <x:f>IF(AE881&lt;=34,"≤34",IF(AE881&lt;=44,"35–44",IF(AE881&lt;=54,"45–54",IF(AE881&lt;=64,"55–64","65+"))))</x:f>
        <x:v>35–44</x:v>
      </x:c>
      <x:c r="AK881" s="17" t="str">
        <x:f>IF(AG881&gt;=1000,"High Value",IF(AG881&gt;=300,"Mid Value","Low Value"))</x:f>
        <x:v>Low Value</x:v>
      </x:c>
      <x:c r="AL881" s="17" t="str">
        <x:f>IF(AND(AI881&gt;=1,I881&lt;=50),"Priority 1",IF(AND(AG881&gt;=1000,I881&lt;=60),"Priority 2",IF(I881&lt;=30,"Priority 3","Nurture")))</x:f>
        <x:v>Nurture</x:v>
      </x:c>
    </x:row>
    <x:row r="882">
      <x:c r="A882" s="16" t="n">
        <x:v>8017</x:v>
      </x:c>
      <x:c r="B882" s="16" t="n">
        <x:v>1981</x:v>
      </x:c>
      <x:c r="C882" s="16" t="str">
        <x:v>2n Cycle</x:v>
      </x:c>
      <x:c r="D882" s="16" t="str">
        <x:v>Married</x:v>
      </x:c>
      <x:c r="E882" s="16" t="n">
        <x:v>51111</x:v>
      </x:c>
      <x:c r="F882" s="16" t="n">
        <x:v>1</x:v>
      </x:c>
      <x:c r="G882" s="16" t="n">
        <x:v>1</x:v>
      </x:c>
      <x:c r="H882" s="16" t="str">
        <x:v>19-06-2014</x:v>
      </x:c>
      <x:c r="I882" s="16" t="n">
        <x:v>83</x:v>
      </x:c>
      <x:c r="J882" s="16" t="n">
        <x:v>22</x:v>
      </x:c>
      <x:c r="K882" s="16" t="n">
        <x:v>0</x:v>
      </x:c>
      <x:c r="L882" s="16" t="n">
        <x:v>19</x:v>
      </x:c>
      <x:c r="M882" s="16" t="n">
        <x:v>6</x:v>
      </x:c>
      <x:c r="N882" s="16" t="n">
        <x:v>5</x:v>
      </x:c>
      <x:c r="O882" s="16" t="n">
        <x:v>3</x:v>
      </x:c>
      <x:c r="P882" s="16" t="n">
        <x:v>2</x:v>
      </x:c>
      <x:c r="Q882" s="16" t="n">
        <x:v>2</x:v>
      </x:c>
      <x:c r="R882" s="16" t="n">
        <x:v>0</x:v>
      </x:c>
      <x:c r="S882" s="16" t="n">
        <x:v>3</x:v>
      </x:c>
      <x:c r="T882" s="16" t="n">
        <x:v>6</x:v>
      </x:c>
      <x:c r="U882" s="16" t="n">
        <x:v>0</x:v>
      </x:c>
      <x:c r="V882" s="16" t="n">
        <x:v>0</x:v>
      </x:c>
      <x:c r="W882" s="16" t="n">
        <x:v>0</x:v>
      </x:c>
      <x:c r="X882" s="16" t="n">
        <x:v>0</x:v>
      </x:c>
      <x:c r="Y882" s="16" t="n">
        <x:v>0</x:v>
      </x:c>
      <x:c r="Z882" s="16" t="n">
        <x:v>0</x:v>
      </x:c>
      <x:c r="AA882" s="16" t="n">
        <x:v>3</x:v>
      </x:c>
      <x:c r="AB882" s="16" t="n">
        <x:v>11</x:v>
      </x:c>
      <x:c r="AC882" s="16" t="n">
        <x:v>0</x:v>
      </x:c>
      <x:c r="AD882" s="21" t="n">
        <x:f>IF(E882="",MEDIAN($E$2:$E$2237),E882)</x:f>
        <x:v>51111</x:v>
      </x:c>
      <x:c r="AE882" s="17" t="n">
        <x:f>2014-B882</x:f>
        <x:v>33</x:v>
      </x:c>
      <x:c r="AF882" s="17" t="n">
        <x:f>F882+G882</x:f>
        <x:v>2</x:v>
      </x:c>
      <x:c r="AG882" s="21" t="n">
        <x:f>SUM(J882:O882)</x:f>
        <x:v>55</x:v>
      </x:c>
      <x:c r="AH882" s="17" t="n">
        <x:f>SUM(Q882:S882)</x:f>
        <x:v>5</x:v>
      </x:c>
      <x:c r="AI882" s="17" t="n">
        <x:f>SUM(U882:Y882)</x:f>
        <x:v>0</x:v>
      </x:c>
      <x:c r="AJ882" s="17" t="str">
        <x:f>IF(AE882&lt;=34,"≤34",IF(AE882&lt;=44,"35–44",IF(AE882&lt;=54,"45–54",IF(AE882&lt;=64,"55–64","65+"))))</x:f>
        <x:v>≤34</x:v>
      </x:c>
      <x:c r="AK882" s="17" t="str">
        <x:f>IF(AG882&gt;=1000,"High Value",IF(AG882&gt;=300,"Mid Value","Low Value"))</x:f>
        <x:v>Low Value</x:v>
      </x:c>
      <x:c r="AL882" s="17" t="str">
        <x:f>IF(AND(AI882&gt;=1,I882&lt;=50),"Priority 1",IF(AND(AG882&gt;=1000,I882&lt;=60),"Priority 2",IF(I882&lt;=30,"Priority 3","Nurture")))</x:f>
        <x:v>Nurture</x:v>
      </x:c>
    </x:row>
    <x:row r="883">
      <x:c r="A883" s="16" t="n">
        <x:v>5830</x:v>
      </x:c>
      <x:c r="B883" s="16" t="n">
        <x:v>1972</x:v>
      </x:c>
      <x:c r="C883" s="16" t="str">
        <x:v>PhD</x:v>
      </x:c>
      <x:c r="D883" s="16" t="str">
        <x:v>Single</x:v>
      </x:c>
      <x:c r="E883" s="16" t="n">
        <x:v>86857</x:v>
      </x:c>
      <x:c r="F883" s="16" t="n">
        <x:v>0</x:v>
      </x:c>
      <x:c r="G883" s="16" t="n">
        <x:v>0</x:v>
      </x:c>
      <x:c r="H883" s="16" t="str">
        <x:v>12-09-2012</x:v>
      </x:c>
      <x:c r="I883" s="16" t="n">
        <x:v>96</x:v>
      </x:c>
      <x:c r="J883" s="16" t="n">
        <x:v>899</x:v>
      </x:c>
      <x:c r="K883" s="16" t="n">
        <x:v>102</x:v>
      </x:c>
      <x:c r="L883" s="16" t="n">
        <x:v>838</x:v>
      </x:c>
      <x:c r="M883" s="16" t="n">
        <x:v>133</x:v>
      </x:c>
      <x:c r="N883" s="16" t="n">
        <x:v>102</x:v>
      </x:c>
      <x:c r="O883" s="16" t="n">
        <x:v>40</x:v>
      </x:c>
      <x:c r="P883" s="16" t="n">
        <x:v>1</x:v>
      </x:c>
      <x:c r="Q883" s="16" t="n">
        <x:v>5</x:v>
      </x:c>
      <x:c r="R883" s="16" t="n">
        <x:v>6</x:v>
      </x:c>
      <x:c r="S883" s="16" t="n">
        <x:v>10</x:v>
      </x:c>
      <x:c r="T883" s="16" t="n">
        <x:v>2</x:v>
      </x:c>
      <x:c r="U883" s="16" t="n">
        <x:v>0</x:v>
      </x:c>
      <x:c r="V883" s="16" t="n">
        <x:v>0</x:v>
      </x:c>
      <x:c r="W883" s="16" t="n">
        <x:v>0</x:v>
      </x:c>
      <x:c r="X883" s="16" t="n">
        <x:v>0</x:v>
      </x:c>
      <x:c r="Y883" s="16" t="n">
        <x:v>0</x:v>
      </x:c>
      <x:c r="Z883" s="16" t="n">
        <x:v>0</x:v>
      </x:c>
      <x:c r="AA883" s="16" t="n">
        <x:v>3</x:v>
      </x:c>
      <x:c r="AB883" s="16" t="n">
        <x:v>11</x:v>
      </x:c>
      <x:c r="AC883" s="16" t="n">
        <x:v>1</x:v>
      </x:c>
      <x:c r="AD883" s="21" t="n">
        <x:f>IF(E883="",MEDIAN($E$2:$E$2237),E883)</x:f>
        <x:v>86857</x:v>
      </x:c>
      <x:c r="AE883" s="17" t="n">
        <x:f>2014-B883</x:f>
        <x:v>42</x:v>
      </x:c>
      <x:c r="AF883" s="17" t="n">
        <x:f>F883+G883</x:f>
        <x:v>0</x:v>
      </x:c>
      <x:c r="AG883" s="21" t="n">
        <x:f>SUM(J883:O883)</x:f>
        <x:v>2114</x:v>
      </x:c>
      <x:c r="AH883" s="17" t="n">
        <x:f>SUM(Q883:S883)</x:f>
        <x:v>21</x:v>
      </x:c>
      <x:c r="AI883" s="17" t="n">
        <x:f>SUM(U883:Y883)</x:f>
        <x:v>0</x:v>
      </x:c>
      <x:c r="AJ883" s="17" t="str">
        <x:f>IF(AE883&lt;=34,"≤34",IF(AE883&lt;=44,"35–44",IF(AE883&lt;=54,"45–54",IF(AE883&lt;=64,"55–64","65+"))))</x:f>
        <x:v>35–44</x:v>
      </x:c>
      <x:c r="AK883" s="17" t="str">
        <x:f>IF(AG883&gt;=1000,"High Value",IF(AG883&gt;=300,"Mid Value","Low Value"))</x:f>
        <x:v>High Value</x:v>
      </x:c>
      <x:c r="AL883" s="17" t="str">
        <x:f>IF(AND(AI883&gt;=1,I883&lt;=50),"Priority 1",IF(AND(AG883&gt;=1000,I883&lt;=60),"Priority 2",IF(I883&lt;=30,"Priority 3","Nurture")))</x:f>
        <x:v>Nurture</x:v>
      </x:c>
    </x:row>
    <x:row r="884">
      <x:c r="A884" s="16" t="n">
        <x:v>4597</x:v>
      </x:c>
      <x:c r="B884" s="16" t="n">
        <x:v>1970</x:v>
      </x:c>
      <x:c r="C884" s="16" t="str">
        <x:v>PhD</x:v>
      </x:c>
      <x:c r="D884" s="16" t="str">
        <x:v>Together</x:v>
      </x:c>
      <x:c r="E884" s="16" t="n">
        <x:v>82072</x:v>
      </x:c>
      <x:c r="F884" s="16" t="n">
        <x:v>0</x:v>
      </x:c>
      <x:c r="G884" s="16" t="n">
        <x:v>0</x:v>
      </x:c>
      <x:c r="H884" s="16" t="str">
        <x:v>02-07-2013</x:v>
      </x:c>
      <x:c r="I884" s="16" t="n">
        <x:v>67</x:v>
      </x:c>
      <x:c r="J884" s="16" t="n">
        <x:v>889</x:v>
      </x:c>
      <x:c r="K884" s="16" t="n">
        <x:v>55</x:v>
      </x:c>
      <x:c r="L884" s="16" t="n">
        <x:v>685</x:v>
      </x:c>
      <x:c r="M884" s="16" t="n">
        <x:v>168</x:v>
      </x:c>
      <x:c r="N884" s="16" t="n">
        <x:v>92</x:v>
      </x:c>
      <x:c r="O884" s="16" t="n">
        <x:v>129</x:v>
      </x:c>
      <x:c r="P884" s="16" t="n">
        <x:v>1</x:v>
      </x:c>
      <x:c r="Q884" s="16" t="n">
        <x:v>3</x:v>
      </x:c>
      <x:c r="R884" s="16" t="n">
        <x:v>2</x:v>
      </x:c>
      <x:c r="S884" s="16" t="n">
        <x:v>13</x:v>
      </x:c>
      <x:c r="T884" s="16" t="n">
        <x:v>1</x:v>
      </x:c>
      <x:c r="U884" s="16" t="n">
        <x:v>0</x:v>
      </x:c>
      <x:c r="V884" s="16" t="n">
        <x:v>0</x:v>
      </x:c>
      <x:c r="W884" s="16" t="n">
        <x:v>0</x:v>
      </x:c>
      <x:c r="X884" s="16" t="n">
        <x:v>0</x:v>
      </x:c>
      <x:c r="Y884" s="16" t="n">
        <x:v>0</x:v>
      </x:c>
      <x:c r="Z884" s="16" t="n">
        <x:v>0</x:v>
      </x:c>
      <x:c r="AA884" s="16" t="n">
        <x:v>3</x:v>
      </x:c>
      <x:c r="AB884" s="16" t="n">
        <x:v>11</x:v>
      </x:c>
      <x:c r="AC884" s="16" t="n">
        <x:v>0</x:v>
      </x:c>
      <x:c r="AD884" s="21" t="n">
        <x:f>IF(E884="",MEDIAN($E$2:$E$2237),E884)</x:f>
        <x:v>82072</x:v>
      </x:c>
      <x:c r="AE884" s="17" t="n">
        <x:f>2014-B884</x:f>
        <x:v>44</x:v>
      </x:c>
      <x:c r="AF884" s="17" t="n">
        <x:f>F884+G884</x:f>
        <x:v>0</x:v>
      </x:c>
      <x:c r="AG884" s="21" t="n">
        <x:f>SUM(J884:O884)</x:f>
        <x:v>2018</x:v>
      </x:c>
      <x:c r="AH884" s="17" t="n">
        <x:f>SUM(Q884:S884)</x:f>
        <x:v>18</x:v>
      </x:c>
      <x:c r="AI884" s="17" t="n">
        <x:f>SUM(U884:Y884)</x:f>
        <x:v>0</x:v>
      </x:c>
      <x:c r="AJ884" s="17" t="str">
        <x:f>IF(AE884&lt;=34,"≤34",IF(AE884&lt;=44,"35–44",IF(AE884&lt;=54,"45–54",IF(AE884&lt;=64,"55–64","65+"))))</x:f>
        <x:v>35–44</x:v>
      </x:c>
      <x:c r="AK884" s="17" t="str">
        <x:f>IF(AG884&gt;=1000,"High Value",IF(AG884&gt;=300,"Mid Value","Low Value"))</x:f>
        <x:v>High Value</x:v>
      </x:c>
      <x:c r="AL884" s="17" t="str">
        <x:f>IF(AND(AI884&gt;=1,I884&lt;=50),"Priority 1",IF(AND(AG884&gt;=1000,I884&lt;=60),"Priority 2",IF(I884&lt;=30,"Priority 3","Nurture")))</x:f>
        <x:v>Nurture</x:v>
      </x:c>
    </x:row>
    <x:row r="885">
      <x:c r="A885" s="16" t="n">
        <x:v>7023</x:v>
      </x:c>
      <x:c r="B885" s="16" t="n">
        <x:v>1953</x:v>
      </x:c>
      <x:c r="C885" s="16" t="str">
        <x:v>PhD</x:v>
      </x:c>
      <x:c r="D885" s="16" t="str">
        <x:v>Single</x:v>
      </x:c>
      <x:c r="E885" s="16" t="n">
        <x:v>46231</x:v>
      </x:c>
      <x:c r="F885" s="16" t="n">
        <x:v>2</x:v>
      </x:c>
      <x:c r="G885" s="16" t="n">
        <x:v>1</x:v>
      </x:c>
      <x:c r="H885" s="16" t="str">
        <x:v>26-11-2012</x:v>
      </x:c>
      <x:c r="I885" s="16" t="n">
        <x:v>87</x:v>
      </x:c>
      <x:c r="J885" s="16" t="n">
        <x:v>189</x:v>
      </x:c>
      <x:c r="K885" s="16" t="n">
        <x:v>2</x:v>
      </x:c>
      <x:c r="L885" s="16" t="n">
        <x:v>55</x:v>
      </x:c>
      <x:c r="M885" s="16" t="n">
        <x:v>0</x:v>
      </x:c>
      <x:c r="N885" s="16" t="n">
        <x:v>5</x:v>
      </x:c>
      <x:c r="O885" s="16" t="n">
        <x:v>12</x:v>
      </x:c>
      <x:c r="P885" s="16" t="n">
        <x:v>4</x:v>
      </x:c>
      <x:c r="Q885" s="16" t="n">
        <x:v>6</x:v>
      </x:c>
      <x:c r="R885" s="16" t="n">
        <x:v>1</x:v>
      </x:c>
      <x:c r="S885" s="16" t="n">
        <x:v>4</x:v>
      </x:c>
      <x:c r="T885" s="16" t="n">
        <x:v>9</x:v>
      </x:c>
      <x:c r="U885" s="16" t="n">
        <x:v>0</x:v>
      </x:c>
      <x:c r="V885" s="16" t="n">
        <x:v>0</x:v>
      </x:c>
      <x:c r="W885" s="16" t="n">
        <x:v>0</x:v>
      </x:c>
      <x:c r="X885" s="16" t="n">
        <x:v>0</x:v>
      </x:c>
      <x:c r="Y885" s="16" t="n">
        <x:v>0</x:v>
      </x:c>
      <x:c r="Z885" s="16" t="n">
        <x:v>0</x:v>
      </x:c>
      <x:c r="AA885" s="16" t="n">
        <x:v>3</x:v>
      </x:c>
      <x:c r="AB885" s="16" t="n">
        <x:v>11</x:v>
      </x:c>
      <x:c r="AC885" s="16" t="n">
        <x:v>0</x:v>
      </x:c>
      <x:c r="AD885" s="21" t="n">
        <x:f>IF(E885="",MEDIAN($E$2:$E$2237),E885)</x:f>
        <x:v>46231</x:v>
      </x:c>
      <x:c r="AE885" s="17" t="n">
        <x:f>2014-B885</x:f>
        <x:v>61</x:v>
      </x:c>
      <x:c r="AF885" s="17" t="n">
        <x:f>F885+G885</x:f>
        <x:v>3</x:v>
      </x:c>
      <x:c r="AG885" s="21" t="n">
        <x:f>SUM(J885:O885)</x:f>
        <x:v>263</x:v>
      </x:c>
      <x:c r="AH885" s="17" t="n">
        <x:f>SUM(Q885:S885)</x:f>
        <x:v>11</x:v>
      </x:c>
      <x:c r="AI885" s="17" t="n">
        <x:f>SUM(U885:Y885)</x:f>
        <x:v>0</x:v>
      </x:c>
      <x:c r="AJ885" s="17" t="str">
        <x:f>IF(AE885&lt;=34,"≤34",IF(AE885&lt;=44,"35–44",IF(AE885&lt;=54,"45–54",IF(AE885&lt;=64,"55–64","65+"))))</x:f>
        <x:v>55–64</x:v>
      </x:c>
      <x:c r="AK885" s="17" t="str">
        <x:f>IF(AG885&gt;=1000,"High Value",IF(AG885&gt;=300,"Mid Value","Low Value"))</x:f>
        <x:v>Low Value</x:v>
      </x:c>
      <x:c r="AL885" s="17" t="str">
        <x:f>IF(AND(AI885&gt;=1,I885&lt;=50),"Priority 1",IF(AND(AG885&gt;=1000,I885&lt;=60),"Priority 2",IF(I885&lt;=30,"Priority 3","Nurture")))</x:f>
        <x:v>Nurture</x:v>
      </x:c>
    </x:row>
    <x:row r="886">
      <x:c r="A886" s="16" t="n">
        <x:v>8086</x:v>
      </x:c>
      <x:c r="B886" s="16" t="n">
        <x:v>1959</x:v>
      </x:c>
      <x:c r="C886" s="16" t="str">
        <x:v>Graduation</x:v>
      </x:c>
      <x:c r="D886" s="16" t="str">
        <x:v>Married</x:v>
      </x:c>
      <x:c r="E886" s="16" t="n">
        <x:v>42243</x:v>
      </x:c>
      <x:c r="F886" s="16" t="n">
        <x:v>1</x:v>
      </x:c>
      <x:c r="G886" s="16" t="n">
        <x:v>1</x:v>
      </x:c>
      <x:c r="H886" s="16" t="str">
        <x:v>11-12-2013</x:v>
      </x:c>
      <x:c r="I886" s="16" t="n">
        <x:v>34</x:v>
      </x:c>
      <x:c r="J886" s="16" t="n">
        <x:v>48</x:v>
      </x:c>
      <x:c r="K886" s="16" t="n">
        <x:v>0</x:v>
      </x:c>
      <x:c r="L886" s="16" t="n">
        <x:v>2</x:v>
      </x:c>
      <x:c r="M886" s="16" t="n">
        <x:v>0</x:v>
      </x:c>
      <x:c r="N886" s="16" t="n">
        <x:v>0</x:v>
      </x:c>
      <x:c r="O886" s="16" t="n">
        <x:v>5</x:v>
      </x:c>
      <x:c r="P886" s="16" t="n">
        <x:v>2</x:v>
      </x:c>
      <x:c r="Q886" s="16" t="n">
        <x:v>2</x:v>
      </x:c>
      <x:c r="R886" s="16" t="n">
        <x:v>0</x:v>
      </x:c>
      <x:c r="S886" s="16" t="n">
        <x:v>3</x:v>
      </x:c>
      <x:c r="T886" s="16" t="n">
        <x:v>7</x:v>
      </x:c>
      <x:c r="U886" s="16" t="n">
        <x:v>0</x:v>
      </x:c>
      <x:c r="V886" s="16" t="n">
        <x:v>0</x:v>
      </x:c>
      <x:c r="W886" s="16" t="n">
        <x:v>0</x:v>
      </x:c>
      <x:c r="X886" s="16" t="n">
        <x:v>0</x:v>
      </x:c>
      <x:c r="Y886" s="16" t="n">
        <x:v>0</x:v>
      </x:c>
      <x:c r="Z886" s="16" t="n">
        <x:v>0</x:v>
      </x:c>
      <x:c r="AA886" s="16" t="n">
        <x:v>3</x:v>
      </x:c>
      <x:c r="AB886" s="16" t="n">
        <x:v>11</x:v>
      </x:c>
      <x:c r="AC886" s="16" t="n">
        <x:v>0</x:v>
      </x:c>
      <x:c r="AD886" s="21" t="n">
        <x:f>IF(E886="",MEDIAN($E$2:$E$2237),E886)</x:f>
        <x:v>42243</x:v>
      </x:c>
      <x:c r="AE886" s="17" t="n">
        <x:f>2014-B886</x:f>
        <x:v>55</x:v>
      </x:c>
      <x:c r="AF886" s="17" t="n">
        <x:f>F886+G886</x:f>
        <x:v>2</x:v>
      </x:c>
      <x:c r="AG886" s="21" t="n">
        <x:f>SUM(J886:O886)</x:f>
        <x:v>55</x:v>
      </x:c>
      <x:c r="AH886" s="17" t="n">
        <x:f>SUM(Q886:S886)</x:f>
        <x:v>5</x:v>
      </x:c>
      <x:c r="AI886" s="17" t="n">
        <x:f>SUM(U886:Y886)</x:f>
        <x:v>0</x:v>
      </x:c>
      <x:c r="AJ886" s="17" t="str">
        <x:f>IF(AE886&lt;=34,"≤34",IF(AE886&lt;=44,"35–44",IF(AE886&lt;=54,"45–54",IF(AE886&lt;=64,"55–64","65+"))))</x:f>
        <x:v>55–64</x:v>
      </x:c>
      <x:c r="AK886" s="17" t="str">
        <x:f>IF(AG886&gt;=1000,"High Value",IF(AG886&gt;=300,"Mid Value","Low Value"))</x:f>
        <x:v>Low Value</x:v>
      </x:c>
      <x:c r="AL886" s="17" t="str">
        <x:f>IF(AND(AI886&gt;=1,I886&lt;=50),"Priority 1",IF(AND(AG886&gt;=1000,I886&lt;=60),"Priority 2",IF(I886&lt;=30,"Priority 3","Nurture")))</x:f>
        <x:v>Nurture</x:v>
      </x:c>
    </x:row>
    <x:row r="887">
      <x:c r="A887" s="16" t="n">
        <x:v>8825</x:v>
      </x:c>
      <x:c r="B887" s="16" t="n">
        <x:v>1962</x:v>
      </x:c>
      <x:c r="C887" s="16" t="str">
        <x:v>Graduation</x:v>
      </x:c>
      <x:c r="D887" s="16" t="str">
        <x:v>Together</x:v>
      </x:c>
      <x:c r="E887" s="16" t="n">
        <x:v>51195</x:v>
      </x:c>
      <x:c r="F887" s="16" t="n">
        <x:v>1</x:v>
      </x:c>
      <x:c r="G887" s="16" t="n">
        <x:v>1</x:v>
      </x:c>
      <x:c r="H887" s="16" t="str">
        <x:v>01-04-2013</x:v>
      </x:c>
      <x:c r="I887" s="16" t="n">
        <x:v>46</x:v>
      </x:c>
      <x:c r="J887" s="16" t="n">
        <x:v>230</x:v>
      </x:c>
      <x:c r="K887" s="16" t="n">
        <x:v>14</x:v>
      </x:c>
      <x:c r="L887" s="16" t="n">
        <x:v>156</x:v>
      </x:c>
      <x:c r="M887" s="16" t="n">
        <x:v>82</x:v>
      </x:c>
      <x:c r="N887" s="16" t="n">
        <x:v>24</x:v>
      </x:c>
      <x:c r="O887" s="16" t="n">
        <x:v>58</x:v>
      </x:c>
      <x:c r="P887" s="16" t="n">
        <x:v>8</x:v>
      </x:c>
      <x:c r="Q887" s="16" t="n">
        <x:v>9</x:v>
      </x:c>
      <x:c r="R887" s="16" t="n">
        <x:v>2</x:v>
      </x:c>
      <x:c r="S887" s="16" t="n">
        <x:v>5</x:v>
      </x:c>
      <x:c r="T887" s="16" t="n">
        <x:v>8</x:v>
      </x:c>
      <x:c r="U887" s="16" t="n">
        <x:v>0</x:v>
      </x:c>
      <x:c r="V887" s="16" t="n">
        <x:v>0</x:v>
      </x:c>
      <x:c r="W887" s="16" t="n">
        <x:v>0</x:v>
      </x:c>
      <x:c r="X887" s="16" t="n">
        <x:v>0</x:v>
      </x:c>
      <x:c r="Y887" s="16" t="n">
        <x:v>0</x:v>
      </x:c>
      <x:c r="Z887" s="16" t="n">
        <x:v>0</x:v>
      </x:c>
      <x:c r="AA887" s="16" t="n">
        <x:v>3</x:v>
      </x:c>
      <x:c r="AB887" s="16" t="n">
        <x:v>11</x:v>
      </x:c>
      <x:c r="AC887" s="16" t="n">
        <x:v>0</x:v>
      </x:c>
      <x:c r="AD887" s="21" t="n">
        <x:f>IF(E887="",MEDIAN($E$2:$E$2237),E887)</x:f>
        <x:v>51195</x:v>
      </x:c>
      <x:c r="AE887" s="17" t="n">
        <x:f>2014-B887</x:f>
        <x:v>52</x:v>
      </x:c>
      <x:c r="AF887" s="17" t="n">
        <x:f>F887+G887</x:f>
        <x:v>2</x:v>
      </x:c>
      <x:c r="AG887" s="21" t="n">
        <x:f>SUM(J887:O887)</x:f>
        <x:v>564</x:v>
      </x:c>
      <x:c r="AH887" s="17" t="n">
        <x:f>SUM(Q887:S887)</x:f>
        <x:v>16</x:v>
      </x:c>
      <x:c r="AI887" s="17" t="n">
        <x:f>SUM(U887:Y887)</x:f>
        <x:v>0</x:v>
      </x:c>
      <x:c r="AJ887" s="17" t="str">
        <x:f>IF(AE887&lt;=34,"≤34",IF(AE887&lt;=44,"35–44",IF(AE887&lt;=54,"45–54",IF(AE887&lt;=64,"55–64","65+"))))</x:f>
        <x:v>45–54</x:v>
      </x:c>
      <x:c r="AK887" s="17" t="str">
        <x:f>IF(AG887&gt;=1000,"High Value",IF(AG887&gt;=300,"Mid Value","Low Value"))</x:f>
        <x:v>Mid Value</x:v>
      </x:c>
      <x:c r="AL887" s="17" t="str">
        <x:f>IF(AND(AI887&gt;=1,I887&lt;=50),"Priority 1",IF(AND(AG887&gt;=1000,I887&lt;=60),"Priority 2",IF(I887&lt;=30,"Priority 3","Nurture")))</x:f>
        <x:v>Nurture</x:v>
      </x:c>
    </x:row>
    <x:row r="888">
      <x:c r="A888" s="16" t="n">
        <x:v>2930</x:v>
      </x:c>
      <x:c r="B888" s="16" t="n">
        <x:v>1978</x:v>
      </x:c>
      <x:c r="C888" s="16" t="str">
        <x:v>Master</x:v>
      </x:c>
      <x:c r="D888" s="16" t="str">
        <x:v>Single</x:v>
      </x:c>
      <x:c r="E888" s="16" t="n">
        <x:v>68092</x:v>
      </x:c>
      <x:c r="F888" s="16" t="n">
        <x:v>0</x:v>
      </x:c>
      <x:c r="G888" s="16" t="n">
        <x:v>0</x:v>
      </x:c>
      <x:c r="H888" s="16" t="str">
        <x:v>16-12-2013</x:v>
      </x:c>
      <x:c r="I888" s="16" t="n">
        <x:v>7</x:v>
      </x:c>
      <x:c r="J888" s="16" t="n">
        <x:v>852</x:v>
      </x:c>
      <x:c r="K888" s="16" t="n">
        <x:v>60</x:v>
      </x:c>
      <x:c r="L888" s="16" t="n">
        <x:v>207</x:v>
      </x:c>
      <x:c r="M888" s="16" t="n">
        <x:v>78</x:v>
      </x:c>
      <x:c r="N888" s="16" t="n">
        <x:v>36</x:v>
      </x:c>
      <x:c r="O888" s="16" t="n">
        <x:v>48</x:v>
      </x:c>
      <x:c r="P888" s="16" t="n">
        <x:v>2</x:v>
      </x:c>
      <x:c r="Q888" s="16" t="n">
        <x:v>2</x:v>
      </x:c>
      <x:c r="R888" s="16" t="n">
        <x:v>6</x:v>
      </x:c>
      <x:c r="S888" s="16" t="n">
        <x:v>10</x:v>
      </x:c>
      <x:c r="T888" s="16" t="n">
        <x:v>5</x:v>
      </x:c>
      <x:c r="U888" s="16" t="n">
        <x:v>0</x:v>
      </x:c>
      <x:c r="V888" s="16" t="n">
        <x:v>0</x:v>
      </x:c>
      <x:c r="W888" s="16" t="n">
        <x:v>0</x:v>
      </x:c>
      <x:c r="X888" s="16" t="n">
        <x:v>0</x:v>
      </x:c>
      <x:c r="Y888" s="16" t="n">
        <x:v>0</x:v>
      </x:c>
      <x:c r="Z888" s="16" t="n">
        <x:v>0</x:v>
      </x:c>
      <x:c r="AA888" s="16" t="n">
        <x:v>3</x:v>
      </x:c>
      <x:c r="AB888" s="16" t="n">
        <x:v>11</x:v>
      </x:c>
      <x:c r="AC888" s="16" t="n">
        <x:v>0</x:v>
      </x:c>
      <x:c r="AD888" s="21" t="n">
        <x:f>IF(E888="",MEDIAN($E$2:$E$2237),E888)</x:f>
        <x:v>68092</x:v>
      </x:c>
      <x:c r="AE888" s="17" t="n">
        <x:f>2014-B888</x:f>
        <x:v>36</x:v>
      </x:c>
      <x:c r="AF888" s="17" t="n">
        <x:f>F888+G888</x:f>
        <x:v>0</x:v>
      </x:c>
      <x:c r="AG888" s="21" t="n">
        <x:f>SUM(J888:O888)</x:f>
        <x:v>1281</x:v>
      </x:c>
      <x:c r="AH888" s="17" t="n">
        <x:f>SUM(Q888:S888)</x:f>
        <x:v>18</x:v>
      </x:c>
      <x:c r="AI888" s="17" t="n">
        <x:f>SUM(U888:Y888)</x:f>
        <x:v>0</x:v>
      </x:c>
      <x:c r="AJ888" s="17" t="str">
        <x:f>IF(AE888&lt;=34,"≤34",IF(AE888&lt;=44,"35–44",IF(AE888&lt;=54,"45–54",IF(AE888&lt;=64,"55–64","65+"))))</x:f>
        <x:v>35–44</x:v>
      </x:c>
      <x:c r="AK888" s="17" t="str">
        <x:f>IF(AG888&gt;=1000,"High Value",IF(AG888&gt;=300,"Mid Value","Low Value"))</x:f>
        <x:v>High Value</x:v>
      </x:c>
      <x:c r="AL888" s="17" t="str">
        <x:f>IF(AND(AI888&gt;=1,I888&lt;=50),"Priority 1",IF(AND(AG888&gt;=1000,I888&lt;=60),"Priority 2",IF(I888&lt;=30,"Priority 3","Nurture")))</x:f>
        <x:v>Priority 2</x:v>
      </x:c>
    </x:row>
    <x:row r="889">
      <x:c r="A889" s="16" t="n">
        <x:v>1928</x:v>
      </x:c>
      <x:c r="B889" s="16" t="n">
        <x:v>1973</x:v>
      </x:c>
      <x:c r="C889" s="16" t="str">
        <x:v>Graduation</x:v>
      </x:c>
      <x:c r="D889" s="16" t="str">
        <x:v>Married</x:v>
      </x:c>
      <x:c r="E889" s="16" t="n">
        <x:v>31814</x:v>
      </x:c>
      <x:c r="F889" s="16" t="n">
        <x:v>1</x:v>
      </x:c>
      <x:c r="G889" s="16" t="n">
        <x:v>0</x:v>
      </x:c>
      <x:c r="H889" s="16" t="str">
        <x:v>09-02-2013</x:v>
      </x:c>
      <x:c r="I889" s="16" t="n">
        <x:v>73</x:v>
      </x:c>
      <x:c r="J889" s="16" t="n">
        <x:v>35</x:v>
      </x:c>
      <x:c r="K889" s="16" t="n">
        <x:v>3</x:v>
      </x:c>
      <x:c r="L889" s="16" t="n">
        <x:v>20</x:v>
      </x:c>
      <x:c r="M889" s="16" t="n">
        <x:v>4</x:v>
      </x:c>
      <x:c r="N889" s="16" t="n">
        <x:v>1</x:v>
      </x:c>
      <x:c r="O889" s="16" t="n">
        <x:v>20</x:v>
      </x:c>
      <x:c r="P889" s="16" t="n">
        <x:v>2</x:v>
      </x:c>
      <x:c r="Q889" s="16" t="n">
        <x:v>2</x:v>
      </x:c>
      <x:c r="R889" s="16" t="n">
        <x:v>0</x:v>
      </x:c>
      <x:c r="S889" s="16" t="n">
        <x:v>3</x:v>
      </x:c>
      <x:c r="T889" s="16" t="n">
        <x:v>9</x:v>
      </x:c>
      <x:c r="U889" s="16" t="n">
        <x:v>1</x:v>
      </x:c>
      <x:c r="V889" s="16" t="n">
        <x:v>0</x:v>
      </x:c>
      <x:c r="W889" s="16" t="n">
        <x:v>0</x:v>
      </x:c>
      <x:c r="X889" s="16" t="n">
        <x:v>0</x:v>
      </x:c>
      <x:c r="Y889" s="16" t="n">
        <x:v>0</x:v>
      </x:c>
      <x:c r="Z889" s="16" t="n">
        <x:v>0</x:v>
      </x:c>
      <x:c r="AA889" s="16" t="n">
        <x:v>3</x:v>
      </x:c>
      <x:c r="AB889" s="16" t="n">
        <x:v>11</x:v>
      </x:c>
      <x:c r="AC889" s="16" t="n">
        <x:v>0</x:v>
      </x:c>
      <x:c r="AD889" s="21" t="n">
        <x:f>IF(E889="",MEDIAN($E$2:$E$2237),E889)</x:f>
        <x:v>31814</x:v>
      </x:c>
      <x:c r="AE889" s="17" t="n">
        <x:f>2014-B889</x:f>
        <x:v>41</x:v>
      </x:c>
      <x:c r="AF889" s="17" t="n">
        <x:f>F889+G889</x:f>
        <x:v>1</x:v>
      </x:c>
      <x:c r="AG889" s="21" t="n">
        <x:f>SUM(J889:O889)</x:f>
        <x:v>83</x:v>
      </x:c>
      <x:c r="AH889" s="17" t="n">
        <x:f>SUM(Q889:S889)</x:f>
        <x:v>5</x:v>
      </x:c>
      <x:c r="AI889" s="17" t="n">
        <x:f>SUM(U889:Y889)</x:f>
        <x:v>1</x:v>
      </x:c>
      <x:c r="AJ889" s="17" t="str">
        <x:f>IF(AE889&lt;=34,"≤34",IF(AE889&lt;=44,"35–44",IF(AE889&lt;=54,"45–54",IF(AE889&lt;=64,"55–64","65+"))))</x:f>
        <x:v>35–44</x:v>
      </x:c>
      <x:c r="AK889" s="17" t="str">
        <x:f>IF(AG889&gt;=1000,"High Value",IF(AG889&gt;=300,"Mid Value","Low Value"))</x:f>
        <x:v>Low Value</x:v>
      </x:c>
      <x:c r="AL889" s="17" t="str">
        <x:f>IF(AND(AI889&gt;=1,I889&lt;=50),"Priority 1",IF(AND(AG889&gt;=1000,I889&lt;=60),"Priority 2",IF(I889&lt;=30,"Priority 3","Nurture")))</x:f>
        <x:v>Nurture</x:v>
      </x:c>
    </x:row>
    <x:row r="890">
      <x:c r="A890" s="16" t="n">
        <x:v>7108</x:v>
      </x:c>
      <x:c r="B890" s="16" t="n">
        <x:v>1965</x:v>
      </x:c>
      <x:c r="C890" s="16" t="str">
        <x:v>Master</x:v>
      </x:c>
      <x:c r="D890" s="16" t="str">
        <x:v>Widow</x:v>
      </x:c>
      <x:c r="E890" s="16" t="n">
        <x:v>51390</x:v>
      </x:c>
      <x:c r="F890" s="16" t="n">
        <x:v>1</x:v>
      </x:c>
      <x:c r="G890" s="16" t="n">
        <x:v>1</x:v>
      </x:c>
      <x:c r="H890" s="16" t="str">
        <x:v>08-09-2012</x:v>
      </x:c>
      <x:c r="I890" s="16" t="n">
        <x:v>54</x:v>
      </x:c>
      <x:c r="J890" s="16" t="n">
        <x:v>205</x:v>
      </x:c>
      <x:c r="K890" s="16" t="n">
        <x:v>20</x:v>
      </x:c>
      <x:c r="L890" s="16" t="n">
        <x:v>47</x:v>
      </x:c>
      <x:c r="M890" s="16" t="n">
        <x:v>23</x:v>
      </x:c>
      <x:c r="N890" s="16" t="n">
        <x:v>2</x:v>
      </x:c>
      <x:c r="O890" s="16" t="n">
        <x:v>56</x:v>
      </x:c>
      <x:c r="P890" s="16" t="n">
        <x:v>6</x:v>
      </x:c>
      <x:c r="Q890" s="16" t="n">
        <x:v>5</x:v>
      </x:c>
      <x:c r="R890" s="16" t="n">
        <x:v>2</x:v>
      </x:c>
      <x:c r="S890" s="16" t="n">
        <x:v>5</x:v>
      </x:c>
      <x:c r="T890" s="16" t="n">
        <x:v>5</x:v>
      </x:c>
      <x:c r="U890" s="16" t="n">
        <x:v>0</x:v>
      </x:c>
      <x:c r="V890" s="16" t="n">
        <x:v>0</x:v>
      </x:c>
      <x:c r="W890" s="16" t="n">
        <x:v>0</x:v>
      </x:c>
      <x:c r="X890" s="16" t="n">
        <x:v>0</x:v>
      </x:c>
      <x:c r="Y890" s="16" t="n">
        <x:v>0</x:v>
      </x:c>
      <x:c r="Z890" s="16" t="n">
        <x:v>0</x:v>
      </x:c>
      <x:c r="AA890" s="16" t="n">
        <x:v>3</x:v>
      </x:c>
      <x:c r="AB890" s="16" t="n">
        <x:v>11</x:v>
      </x:c>
      <x:c r="AC890" s="16" t="n">
        <x:v>0</x:v>
      </x:c>
      <x:c r="AD890" s="21" t="n">
        <x:f>IF(E890="",MEDIAN($E$2:$E$2237),E890)</x:f>
        <x:v>51390</x:v>
      </x:c>
      <x:c r="AE890" s="17" t="n">
        <x:f>2014-B890</x:f>
        <x:v>49</x:v>
      </x:c>
      <x:c r="AF890" s="17" t="n">
        <x:f>F890+G890</x:f>
        <x:v>2</x:v>
      </x:c>
      <x:c r="AG890" s="21" t="n">
        <x:f>SUM(J890:O890)</x:f>
        <x:v>353</x:v>
      </x:c>
      <x:c r="AH890" s="17" t="n">
        <x:f>SUM(Q890:S890)</x:f>
        <x:v>12</x:v>
      </x:c>
      <x:c r="AI890" s="17" t="n">
        <x:f>SUM(U890:Y890)</x:f>
        <x:v>0</x:v>
      </x:c>
      <x:c r="AJ890" s="17" t="str">
        <x:f>IF(AE890&lt;=34,"≤34",IF(AE890&lt;=44,"35–44",IF(AE890&lt;=54,"45–54",IF(AE890&lt;=64,"55–64","65+"))))</x:f>
        <x:v>45–54</x:v>
      </x:c>
      <x:c r="AK890" s="17" t="str">
        <x:f>IF(AG890&gt;=1000,"High Value",IF(AG890&gt;=300,"Mid Value","Low Value"))</x:f>
        <x:v>Mid Value</x:v>
      </x:c>
      <x:c r="AL890" s="17" t="str">
        <x:f>IF(AND(AI890&gt;=1,I890&lt;=50),"Priority 1",IF(AND(AG890&gt;=1000,I890&lt;=60),"Priority 2",IF(I890&lt;=30,"Priority 3","Nurture")))</x:f>
        <x:v>Nurture</x:v>
      </x:c>
    </x:row>
    <x:row r="891">
      <x:c r="A891" s="16" t="n">
        <x:v>10925</x:v>
      </x:c>
      <x:c r="B891" s="16" t="n">
        <x:v>1983</x:v>
      </x:c>
      <x:c r="C891" s="16" t="str">
        <x:v>Graduation</x:v>
      </x:c>
      <x:c r="D891" s="16" t="str">
        <x:v>Married</x:v>
      </x:c>
      <x:c r="E891" s="16" t="n">
        <x:v>76630</x:v>
      </x:c>
      <x:c r="F891" s="16" t="n">
        <x:v>0</x:v>
      </x:c>
      <x:c r="G891" s="16" t="n">
        <x:v>0</x:v>
      </x:c>
      <x:c r="H891" s="16" t="str">
        <x:v>14-01-2014</x:v>
      </x:c>
      <x:c r="I891" s="16" t="n">
        <x:v>93</x:v>
      </x:c>
      <x:c r="J891" s="16" t="n">
        <x:v>255</x:v>
      </x:c>
      <x:c r="K891" s="16" t="n">
        <x:v>31</x:v>
      </x:c>
      <x:c r="L891" s="16" t="n">
        <x:v>446</x:v>
      </x:c>
      <x:c r="M891" s="16" t="n">
        <x:v>40</x:v>
      </x:c>
      <x:c r="N891" s="16" t="n">
        <x:v>56</x:v>
      </x:c>
      <x:c r="O891" s="16" t="n">
        <x:v>175</x:v>
      </x:c>
      <x:c r="P891" s="16" t="n">
        <x:v>1</x:v>
      </x:c>
      <x:c r="Q891" s="16" t="n">
        <x:v>3</x:v>
      </x:c>
      <x:c r="R891" s="16" t="n">
        <x:v>10</x:v>
      </x:c>
      <x:c r="S891" s="16" t="n">
        <x:v>11</x:v>
      </x:c>
      <x:c r="T891" s="16" t="n">
        <x:v>1</x:v>
      </x:c>
      <x:c r="U891" s="16" t="n">
        <x:v>0</x:v>
      </x:c>
      <x:c r="V891" s="16" t="n">
        <x:v>0</x:v>
      </x:c>
      <x:c r="W891" s="16" t="n">
        <x:v>0</x:v>
      </x:c>
      <x:c r="X891" s="16" t="n">
        <x:v>0</x:v>
      </x:c>
      <x:c r="Y891" s="16" t="n">
        <x:v>0</x:v>
      </x:c>
      <x:c r="Z891" s="16" t="n">
        <x:v>0</x:v>
      </x:c>
      <x:c r="AA891" s="16" t="n">
        <x:v>3</x:v>
      </x:c>
      <x:c r="AB891" s="16" t="n">
        <x:v>11</x:v>
      </x:c>
      <x:c r="AC891" s="16" t="n">
        <x:v>0</x:v>
      </x:c>
      <x:c r="AD891" s="21" t="n">
        <x:f>IF(E891="",MEDIAN($E$2:$E$2237),E891)</x:f>
        <x:v>76630</x:v>
      </x:c>
      <x:c r="AE891" s="17" t="n">
        <x:f>2014-B891</x:f>
        <x:v>31</x:v>
      </x:c>
      <x:c r="AF891" s="17" t="n">
        <x:f>F891+G891</x:f>
        <x:v>0</x:v>
      </x:c>
      <x:c r="AG891" s="21" t="n">
        <x:f>SUM(J891:O891)</x:f>
        <x:v>1003</x:v>
      </x:c>
      <x:c r="AH891" s="17" t="n">
        <x:f>SUM(Q891:S891)</x:f>
        <x:v>24</x:v>
      </x:c>
      <x:c r="AI891" s="17" t="n">
        <x:f>SUM(U891:Y891)</x:f>
        <x:v>0</x:v>
      </x:c>
      <x:c r="AJ891" s="17" t="str">
        <x:f>IF(AE891&lt;=34,"≤34",IF(AE891&lt;=44,"35–44",IF(AE891&lt;=54,"45–54",IF(AE891&lt;=64,"55–64","65+"))))</x:f>
        <x:v>≤34</x:v>
      </x:c>
      <x:c r="AK891" s="17" t="str">
        <x:f>IF(AG891&gt;=1000,"High Value",IF(AG891&gt;=300,"Mid Value","Low Value"))</x:f>
        <x:v>High Value</x:v>
      </x:c>
      <x:c r="AL891" s="17" t="str">
        <x:f>IF(AND(AI891&gt;=1,I891&lt;=50),"Priority 1",IF(AND(AG891&gt;=1000,I891&lt;=60),"Priority 2",IF(I891&lt;=30,"Priority 3","Nurture")))</x:f>
        <x:v>Nurture</x:v>
      </x:c>
    </x:row>
    <x:row r="892">
      <x:c r="A892" s="16" t="n">
        <x:v>9960</x:v>
      </x:c>
      <x:c r="B892" s="16" t="n">
        <x:v>1991</x:v>
      </x:c>
      <x:c r="C892" s="16" t="str">
        <x:v>Basic</x:v>
      </x:c>
      <x:c r="D892" s="16" t="str">
        <x:v>Single</x:v>
      </x:c>
      <x:c r="E892" s="16" t="n">
        <x:v>26868</x:v>
      </x:c>
      <x:c r="F892" s="16" t="n">
        <x:v>1</x:v>
      </x:c>
      <x:c r="G892" s="16" t="n">
        <x:v>0</x:v>
      </x:c>
      <x:c r="H892" s="16" t="str">
        <x:v>30-04-2014</x:v>
      </x:c>
      <x:c r="I892" s="16" t="n">
        <x:v>52</x:v>
      </x:c>
      <x:c r="J892" s="16" t="n">
        <x:v>0</x:v>
      </x:c>
      <x:c r="K892" s="16" t="n">
        <x:v>0</x:v>
      </x:c>
      <x:c r="L892" s="16" t="n">
        <x:v>1</x:v>
      </x:c>
      <x:c r="M892" s="16" t="n">
        <x:v>8</x:v>
      </x:c>
      <x:c r="N892" s="16" t="n">
        <x:v>3</x:v>
      </x:c>
      <x:c r="O892" s="16" t="n">
        <x:v>2</x:v>
      </x:c>
      <x:c r="P892" s="16" t="n">
        <x:v>1</x:v>
      </x:c>
      <x:c r="Q892" s="16" t="n">
        <x:v>1</x:v>
      </x:c>
      <x:c r="R892" s="16" t="n">
        <x:v>0</x:v>
      </x:c>
      <x:c r="S892" s="16" t="n">
        <x:v>2</x:v>
      </x:c>
      <x:c r="T892" s="16" t="n">
        <x:v>7</x:v>
      </x:c>
      <x:c r="U892" s="16" t="n">
        <x:v>0</x:v>
      </x:c>
      <x:c r="V892" s="16" t="n">
        <x:v>0</x:v>
      </x:c>
      <x:c r="W892" s="16" t="n">
        <x:v>0</x:v>
      </x:c>
      <x:c r="X892" s="16" t="n">
        <x:v>0</x:v>
      </x:c>
      <x:c r="Y892" s="16" t="n">
        <x:v>0</x:v>
      </x:c>
      <x:c r="Z892" s="16" t="n">
        <x:v>0</x:v>
      </x:c>
      <x:c r="AA892" s="16" t="n">
        <x:v>3</x:v>
      </x:c>
      <x:c r="AB892" s="16" t="n">
        <x:v>11</x:v>
      </x:c>
      <x:c r="AC892" s="16" t="n">
        <x:v>0</x:v>
      </x:c>
      <x:c r="AD892" s="21" t="n">
        <x:f>IF(E892="",MEDIAN($E$2:$E$2237),E892)</x:f>
        <x:v>26868</x:v>
      </x:c>
      <x:c r="AE892" s="17" t="n">
        <x:f>2014-B892</x:f>
        <x:v>23</x:v>
      </x:c>
      <x:c r="AF892" s="17" t="n">
        <x:f>F892+G892</x:f>
        <x:v>1</x:v>
      </x:c>
      <x:c r="AG892" s="21" t="n">
        <x:f>SUM(J892:O892)</x:f>
        <x:v>14</x:v>
      </x:c>
      <x:c r="AH892" s="17" t="n">
        <x:f>SUM(Q892:S892)</x:f>
        <x:v>3</x:v>
      </x:c>
      <x:c r="AI892" s="17" t="n">
        <x:f>SUM(U892:Y892)</x:f>
        <x:v>0</x:v>
      </x:c>
      <x:c r="AJ892" s="17" t="str">
        <x:f>IF(AE892&lt;=34,"≤34",IF(AE892&lt;=44,"35–44",IF(AE892&lt;=54,"45–54",IF(AE892&lt;=64,"55–64","65+"))))</x:f>
        <x:v>≤34</x:v>
      </x:c>
      <x:c r="AK892" s="17" t="str">
        <x:f>IF(AG892&gt;=1000,"High Value",IF(AG892&gt;=300,"Mid Value","Low Value"))</x:f>
        <x:v>Low Value</x:v>
      </x:c>
      <x:c r="AL892" s="17" t="str">
        <x:f>IF(AND(AI892&gt;=1,I892&lt;=50),"Priority 1",IF(AND(AG892&gt;=1000,I892&lt;=60),"Priority 2",IF(I892&lt;=30,"Priority 3","Nurture")))</x:f>
        <x:v>Nurture</x:v>
      </x:c>
    </x:row>
    <x:row r="893">
      <x:c r="A893" s="16" t="n">
        <x:v>8800</x:v>
      </x:c>
      <x:c r="B893" s="16" t="n">
        <x:v>1943</x:v>
      </x:c>
      <x:c r="C893" s="16" t="str">
        <x:v>PhD</x:v>
      </x:c>
      <x:c r="D893" s="16" t="str">
        <x:v>Divorced</x:v>
      </x:c>
      <x:c r="E893" s="16" t="n">
        <x:v>48948</x:v>
      </x:c>
      <x:c r="F893" s="16" t="n">
        <x:v>0</x:v>
      </x:c>
      <x:c r="G893" s="16" t="n">
        <x:v>0</x:v>
      </x:c>
      <x:c r="H893" s="16" t="str">
        <x:v>01-02-2013</x:v>
      </x:c>
      <x:c r="I893" s="16" t="n">
        <x:v>53</x:v>
      </x:c>
      <x:c r="J893" s="16" t="n">
        <x:v>437</x:v>
      </x:c>
      <x:c r="K893" s="16" t="n">
        <x:v>8</x:v>
      </x:c>
      <x:c r="L893" s="16" t="n">
        <x:v>206</x:v>
      </x:c>
      <x:c r="M893" s="16" t="n">
        <x:v>160</x:v>
      </x:c>
      <x:c r="N893" s="16" t="n">
        <x:v>49</x:v>
      </x:c>
      <x:c r="O893" s="16" t="n">
        <x:v>42</x:v>
      </x:c>
      <x:c r="P893" s="16" t="n">
        <x:v>2</x:v>
      </x:c>
      <x:c r="Q893" s="16" t="n">
        <x:v>7</x:v>
      </x:c>
      <x:c r="R893" s="16" t="n">
        <x:v>10</x:v>
      </x:c>
      <x:c r="S893" s="16" t="n">
        <x:v>5</x:v>
      </x:c>
      <x:c r="T893" s="16" t="n">
        <x:v>6</x:v>
      </x:c>
      <x:c r="U893" s="16" t="n">
        <x:v>1</x:v>
      </x:c>
      <x:c r="V893" s="16" t="n">
        <x:v>0</x:v>
      </x:c>
      <x:c r="W893" s="16" t="n">
        <x:v>0</x:v>
      </x:c>
      <x:c r="X893" s="16" t="n">
        <x:v>0</x:v>
      </x:c>
      <x:c r="Y893" s="16" t="n">
        <x:v>0</x:v>
      </x:c>
      <x:c r="Z893" s="16" t="n">
        <x:v>0</x:v>
      </x:c>
      <x:c r="AA893" s="16" t="n">
        <x:v>3</x:v>
      </x:c>
      <x:c r="AB893" s="16" t="n">
        <x:v>11</x:v>
      </x:c>
      <x:c r="AC893" s="16" t="n">
        <x:v>1</x:v>
      </x:c>
      <x:c r="AD893" s="21" t="n">
        <x:f>IF(E893="",MEDIAN($E$2:$E$2237),E893)</x:f>
        <x:v>48948</x:v>
      </x:c>
      <x:c r="AE893" s="17" t="n">
        <x:f>2014-B893</x:f>
        <x:v>71</x:v>
      </x:c>
      <x:c r="AF893" s="17" t="n">
        <x:f>F893+G893</x:f>
        <x:v>0</x:v>
      </x:c>
      <x:c r="AG893" s="21" t="n">
        <x:f>SUM(J893:O893)</x:f>
        <x:v>902</x:v>
      </x:c>
      <x:c r="AH893" s="17" t="n">
        <x:f>SUM(Q893:S893)</x:f>
        <x:v>22</x:v>
      </x:c>
      <x:c r="AI893" s="17" t="n">
        <x:f>SUM(U893:Y893)</x:f>
        <x:v>1</x:v>
      </x:c>
      <x:c r="AJ893" s="17" t="str">
        <x:f>IF(AE893&lt;=34,"≤34",IF(AE893&lt;=44,"35–44",IF(AE893&lt;=54,"45–54",IF(AE893&lt;=64,"55–64","65+"))))</x:f>
        <x:v>65+</x:v>
      </x:c>
      <x:c r="AK893" s="17" t="str">
        <x:f>IF(AG893&gt;=1000,"High Value",IF(AG893&gt;=300,"Mid Value","Low Value"))</x:f>
        <x:v>Mid Value</x:v>
      </x:c>
      <x:c r="AL893" s="17" t="str">
        <x:f>IF(AND(AI893&gt;=1,I893&lt;=50),"Priority 1",IF(AND(AG893&gt;=1000,I893&lt;=60),"Priority 2",IF(I893&lt;=30,"Priority 3","Nurture")))</x:f>
        <x:v>Nurture</x:v>
      </x:c>
    </x:row>
    <x:row r="894">
      <x:c r="A894" s="16" t="n">
        <x:v>9224</x:v>
      </x:c>
      <x:c r="B894" s="16" t="n">
        <x:v>1972</x:v>
      </x:c>
      <x:c r="C894" s="16" t="str">
        <x:v>PhD</x:v>
      </x:c>
      <x:c r="D894" s="16" t="str">
        <x:v>Single</x:v>
      </x:c>
      <x:c r="E894" s="16" t="n">
        <x:v>55260</x:v>
      </x:c>
      <x:c r="F894" s="16" t="n">
        <x:v>0</x:v>
      </x:c>
      <x:c r="G894" s="16" t="n">
        <x:v>1</x:v>
      </x:c>
      <x:c r="H894" s="16" t="str">
        <x:v>12-12-2012</x:v>
      </x:c>
      <x:c r="I894" s="16" t="n">
        <x:v>81</x:v>
      </x:c>
      <x:c r="J894" s="16" t="n">
        <x:v>825</x:v>
      </x:c>
      <x:c r="K894" s="16" t="n">
        <x:v>8</x:v>
      </x:c>
      <x:c r="L894" s="16" t="n">
        <x:v>53</x:v>
      </x:c>
      <x:c r="M894" s="16" t="n">
        <x:v>11</x:v>
      </x:c>
      <x:c r="N894" s="16" t="n">
        <x:v>0</x:v>
      </x:c>
      <x:c r="O894" s="16" t="n">
        <x:v>242</x:v>
      </x:c>
      <x:c r="P894" s="16" t="n">
        <x:v>2</x:v>
      </x:c>
      <x:c r="Q894" s="16" t="n">
        <x:v>8</x:v>
      </x:c>
      <x:c r="R894" s="16" t="n">
        <x:v>10</x:v>
      </x:c>
      <x:c r="S894" s="16" t="n">
        <x:v>5</x:v>
      </x:c>
      <x:c r="T894" s="16" t="n">
        <x:v>6</x:v>
      </x:c>
      <x:c r="U894" s="16" t="n">
        <x:v>0</x:v>
      </x:c>
      <x:c r="V894" s="16" t="n">
        <x:v>0</x:v>
      </x:c>
      <x:c r="W894" s="16" t="n">
        <x:v>0</x:v>
      </x:c>
      <x:c r="X894" s="16" t="n">
        <x:v>0</x:v>
      </x:c>
      <x:c r="Y894" s="16" t="n">
        <x:v>0</x:v>
      </x:c>
      <x:c r="Z894" s="16" t="n">
        <x:v>0</x:v>
      </x:c>
      <x:c r="AA894" s="16" t="n">
        <x:v>3</x:v>
      </x:c>
      <x:c r="AB894" s="16" t="n">
        <x:v>11</x:v>
      </x:c>
      <x:c r="AC894" s="16" t="n">
        <x:v>0</x:v>
      </x:c>
      <x:c r="AD894" s="21" t="n">
        <x:f>IF(E894="",MEDIAN($E$2:$E$2237),E894)</x:f>
        <x:v>55260</x:v>
      </x:c>
      <x:c r="AE894" s="17" t="n">
        <x:f>2014-B894</x:f>
        <x:v>42</x:v>
      </x:c>
      <x:c r="AF894" s="17" t="n">
        <x:f>F894+G894</x:f>
        <x:v>1</x:v>
      </x:c>
      <x:c r="AG894" s="21" t="n">
        <x:f>SUM(J894:O894)</x:f>
        <x:v>1139</x:v>
      </x:c>
      <x:c r="AH894" s="17" t="n">
        <x:f>SUM(Q894:S894)</x:f>
        <x:v>23</x:v>
      </x:c>
      <x:c r="AI894" s="17" t="n">
        <x:f>SUM(U894:Y894)</x:f>
        <x:v>0</x:v>
      </x:c>
      <x:c r="AJ894" s="17" t="str">
        <x:f>IF(AE894&lt;=34,"≤34",IF(AE894&lt;=44,"35–44",IF(AE894&lt;=54,"45–54",IF(AE894&lt;=64,"55–64","65+"))))</x:f>
        <x:v>35–44</x:v>
      </x:c>
      <x:c r="AK894" s="17" t="str">
        <x:f>IF(AG894&gt;=1000,"High Value",IF(AG894&gt;=300,"Mid Value","Low Value"))</x:f>
        <x:v>High Value</x:v>
      </x:c>
      <x:c r="AL894" s="17" t="str">
        <x:f>IF(AND(AI894&gt;=1,I894&lt;=50),"Priority 1",IF(AND(AG894&gt;=1000,I894&lt;=60),"Priority 2",IF(I894&lt;=30,"Priority 3","Nurture")))</x:f>
        <x:v>Nurture</x:v>
      </x:c>
    </x:row>
    <x:row r="895">
      <x:c r="A895" s="16" t="n">
        <x:v>5519</x:v>
      </x:c>
      <x:c r="B895" s="16" t="n">
        <x:v>1956</x:v>
      </x:c>
      <x:c r="C895" s="16" t="str">
        <x:v>Graduation</x:v>
      </x:c>
      <x:c r="D895" s="16" t="str">
        <x:v>Together</x:v>
      </x:c>
      <x:c r="E895" s="16" t="n">
        <x:v>64090</x:v>
      </x:c>
      <x:c r="F895" s="16" t="n">
        <x:v>0</x:v>
      </x:c>
      <x:c r="G895" s="16" t="n">
        <x:v>1</x:v>
      </x:c>
      <x:c r="H895" s="16" t="str">
        <x:v>07-08-2013</x:v>
      </x:c>
      <x:c r="I895" s="16" t="n">
        <x:v>8</x:v>
      </x:c>
      <x:c r="J895" s="16" t="n">
        <x:v>316</x:v>
      </x:c>
      <x:c r="K895" s="16" t="n">
        <x:v>58</x:v>
      </x:c>
      <x:c r="L895" s="16" t="n">
        <x:v>161</x:v>
      </x:c>
      <x:c r="M895" s="16" t="n">
        <x:v>76</x:v>
      </x:c>
      <x:c r="N895" s="16" t="n">
        <x:v>51</x:v>
      </x:c>
      <x:c r="O895" s="16" t="n">
        <x:v>135</x:v>
      </x:c>
      <x:c r="P895" s="16" t="n">
        <x:v>1</x:v>
      </x:c>
      <x:c r="Q895" s="16" t="n">
        <x:v>6</x:v>
      </x:c>
      <x:c r="R895" s="16" t="n">
        <x:v>9</x:v>
      </x:c>
      <x:c r="S895" s="16" t="n">
        <x:v>4</x:v>
      </x:c>
      <x:c r="T895" s="16" t="n">
        <x:v>5</x:v>
      </x:c>
      <x:c r="U895" s="16" t="n">
        <x:v>0</x:v>
      </x:c>
      <x:c r="V895" s="16" t="n">
        <x:v>0</x:v>
      </x:c>
      <x:c r="W895" s="16" t="n">
        <x:v>0</x:v>
      </x:c>
      <x:c r="X895" s="16" t="n">
        <x:v>0</x:v>
      </x:c>
      <x:c r="Y895" s="16" t="n">
        <x:v>0</x:v>
      </x:c>
      <x:c r="Z895" s="16" t="n">
        <x:v>0</x:v>
      </x:c>
      <x:c r="AA895" s="16" t="n">
        <x:v>3</x:v>
      </x:c>
      <x:c r="AB895" s="16" t="n">
        <x:v>11</x:v>
      </x:c>
      <x:c r="AC895" s="16" t="n">
        <x:v>1</x:v>
      </x:c>
      <x:c r="AD895" s="21" t="n">
        <x:f>IF(E895="",MEDIAN($E$2:$E$2237),E895)</x:f>
        <x:v>64090</x:v>
      </x:c>
      <x:c r="AE895" s="17" t="n">
        <x:f>2014-B895</x:f>
        <x:v>58</x:v>
      </x:c>
      <x:c r="AF895" s="17" t="n">
        <x:f>F895+G895</x:f>
        <x:v>1</x:v>
      </x:c>
      <x:c r="AG895" s="21" t="n">
        <x:f>SUM(J895:O895)</x:f>
        <x:v>797</x:v>
      </x:c>
      <x:c r="AH895" s="17" t="n">
        <x:f>SUM(Q895:S895)</x:f>
        <x:v>19</x:v>
      </x:c>
      <x:c r="AI895" s="17" t="n">
        <x:f>SUM(U895:Y895)</x:f>
        <x:v>0</x:v>
      </x:c>
      <x:c r="AJ895" s="17" t="str">
        <x:f>IF(AE895&lt;=34,"≤34",IF(AE895&lt;=44,"35–44",IF(AE895&lt;=54,"45–54",IF(AE895&lt;=64,"55–64","65+"))))</x:f>
        <x:v>55–64</x:v>
      </x:c>
      <x:c r="AK895" s="17" t="str">
        <x:f>IF(AG895&gt;=1000,"High Value",IF(AG895&gt;=300,"Mid Value","Low Value"))</x:f>
        <x:v>Mid Value</x:v>
      </x:c>
      <x:c r="AL895" s="17" t="str">
        <x:f>IF(AND(AI895&gt;=1,I895&lt;=50),"Priority 1",IF(AND(AG895&gt;=1000,I895&lt;=60),"Priority 2",IF(I895&lt;=30,"Priority 3","Nurture")))</x:f>
        <x:v>Priority 3</x:v>
      </x:c>
    </x:row>
    <x:row r="896">
      <x:c r="A896" s="16" t="n">
        <x:v>5046</x:v>
      </x:c>
      <x:c r="B896" s="16" t="n">
        <x:v>1958</x:v>
      </x:c>
      <x:c r="C896" s="16" t="str">
        <x:v>Graduation</x:v>
      </x:c>
      <x:c r="D896" s="16" t="str">
        <x:v>Divorced</x:v>
      </x:c>
      <x:c r="E896" s="16" t="n">
        <x:v>78331</x:v>
      </x:c>
      <x:c r="F896" s="16" t="n">
        <x:v>0</x:v>
      </x:c>
      <x:c r="G896" s="16" t="n">
        <x:v>1</x:v>
      </x:c>
      <x:c r="H896" s="16" t="str">
        <x:v>23-01-2014</x:v>
      </x:c>
      <x:c r="I896" s="16" t="n">
        <x:v>97</x:v>
      </x:c>
      <x:c r="J896" s="16" t="n">
        <x:v>756</x:v>
      </x:c>
      <x:c r="K896" s="16" t="n">
        <x:v>138</x:v>
      </x:c>
      <x:c r="L896" s="16" t="n">
        <x:v>354</x:v>
      </x:c>
      <x:c r="M896" s="16" t="n">
        <x:v>160</x:v>
      </x:c>
      <x:c r="N896" s="16" t="n">
        <x:v>169</x:v>
      </x:c>
      <x:c r="O896" s="16" t="n">
        <x:v>61</x:v>
      </x:c>
      <x:c r="P896" s="16" t="n">
        <x:v>2</x:v>
      </x:c>
      <x:c r="Q896" s="16" t="n">
        <x:v>10</x:v>
      </x:c>
      <x:c r="R896" s="16" t="n">
        <x:v>6</x:v>
      </x:c>
      <x:c r="S896" s="16" t="n">
        <x:v>7</x:v>
      </x:c>
      <x:c r="T896" s="16" t="n">
        <x:v>4</x:v>
      </x:c>
      <x:c r="U896" s="16" t="n">
        <x:v>0</x:v>
      </x:c>
      <x:c r="V896" s="16" t="n">
        <x:v>0</x:v>
      </x:c>
      <x:c r="W896" s="16" t="n">
        <x:v>0</x:v>
      </x:c>
      <x:c r="X896" s="16" t="n">
        <x:v>0</x:v>
      </x:c>
      <x:c r="Y896" s="16" t="n">
        <x:v>0</x:v>
      </x:c>
      <x:c r="Z896" s="16" t="n">
        <x:v>0</x:v>
      </x:c>
      <x:c r="AA896" s="16" t="n">
        <x:v>3</x:v>
      </x:c>
      <x:c r="AB896" s="16" t="n">
        <x:v>11</x:v>
      </x:c>
      <x:c r="AC896" s="16" t="n">
        <x:v>0</x:v>
      </x:c>
      <x:c r="AD896" s="21" t="n">
        <x:f>IF(E896="",MEDIAN($E$2:$E$2237),E896)</x:f>
        <x:v>78331</x:v>
      </x:c>
      <x:c r="AE896" s="17" t="n">
        <x:f>2014-B896</x:f>
        <x:v>56</x:v>
      </x:c>
      <x:c r="AF896" s="17" t="n">
        <x:f>F896+G896</x:f>
        <x:v>1</x:v>
      </x:c>
      <x:c r="AG896" s="21" t="n">
        <x:f>SUM(J896:O896)</x:f>
        <x:v>1638</x:v>
      </x:c>
      <x:c r="AH896" s="17" t="n">
        <x:f>SUM(Q896:S896)</x:f>
        <x:v>23</x:v>
      </x:c>
      <x:c r="AI896" s="17" t="n">
        <x:f>SUM(U896:Y896)</x:f>
        <x:v>0</x:v>
      </x:c>
      <x:c r="AJ896" s="17" t="str">
        <x:f>IF(AE896&lt;=34,"≤34",IF(AE896&lt;=44,"35–44",IF(AE896&lt;=54,"45–54",IF(AE896&lt;=64,"55–64","65+"))))</x:f>
        <x:v>55–64</x:v>
      </x:c>
      <x:c r="AK896" s="17" t="str">
        <x:f>IF(AG896&gt;=1000,"High Value",IF(AG896&gt;=300,"Mid Value","Low Value"))</x:f>
        <x:v>High Value</x:v>
      </x:c>
      <x:c r="AL896" s="17" t="str">
        <x:f>IF(AND(AI896&gt;=1,I896&lt;=50),"Priority 1",IF(AND(AG896&gt;=1000,I896&lt;=60),"Priority 2",IF(I896&lt;=30,"Priority 3","Nurture")))</x:f>
        <x:v>Nurture</x:v>
      </x:c>
    </x:row>
    <x:row r="897">
      <x:c r="A897" s="16" t="n">
        <x:v>7037</x:v>
      </x:c>
      <x:c r="B897" s="16" t="n">
        <x:v>1974</x:v>
      </x:c>
      <x:c r="C897" s="16" t="str">
        <x:v>PhD</x:v>
      </x:c>
      <x:c r="D897" s="16" t="str">
        <x:v>Married</x:v>
      </x:c>
      <x:c r="E897" s="16" t="n">
        <x:v>37087</x:v>
      </x:c>
      <x:c r="F897" s="16" t="n">
        <x:v>1</x:v>
      </x:c>
      <x:c r="G897" s="16" t="n">
        <x:v>0</x:v>
      </x:c>
      <x:c r="H897" s="16" t="str">
        <x:v>11-08-2013</x:v>
      </x:c>
      <x:c r="I897" s="16" t="n">
        <x:v>50</x:v>
      </x:c>
      <x:c r="J897" s="16" t="n">
        <x:v>194</x:v>
      </x:c>
      <x:c r="K897" s="16" t="n">
        <x:v>55</x:v>
      </x:c>
      <x:c r="L897" s="16" t="n">
        <x:v>134</x:v>
      </x:c>
      <x:c r="M897" s="16" t="n">
        <x:v>15</x:v>
      </x:c>
      <x:c r="N897" s="16" t="n">
        <x:v>0</x:v>
      </x:c>
      <x:c r="O897" s="16" t="n">
        <x:v>3</x:v>
      </x:c>
      <x:c r="P897" s="16" t="n">
        <x:v>3</x:v>
      </x:c>
      <x:c r="Q897" s="16" t="n">
        <x:v>4</x:v>
      </x:c>
      <x:c r="R897" s="16" t="n">
        <x:v>2</x:v>
      </x:c>
      <x:c r="S897" s="16" t="n">
        <x:v>8</x:v>
      </x:c>
      <x:c r="T897" s="16" t="n">
        <x:v>6</x:v>
      </x:c>
      <x:c r="U897" s="16" t="n">
        <x:v>0</x:v>
      </x:c>
      <x:c r="V897" s="16" t="n">
        <x:v>0</x:v>
      </x:c>
      <x:c r="W897" s="16" t="n">
        <x:v>0</x:v>
      </x:c>
      <x:c r="X897" s="16" t="n">
        <x:v>0</x:v>
      </x:c>
      <x:c r="Y897" s="16" t="n">
        <x:v>0</x:v>
      </x:c>
      <x:c r="Z897" s="16" t="n">
        <x:v>0</x:v>
      </x:c>
      <x:c r="AA897" s="16" t="n">
        <x:v>3</x:v>
      </x:c>
      <x:c r="AB897" s="16" t="n">
        <x:v>11</x:v>
      </x:c>
      <x:c r="AC897" s="16" t="n">
        <x:v>0</x:v>
      </x:c>
      <x:c r="AD897" s="21" t="n">
        <x:f>IF(E897="",MEDIAN($E$2:$E$2237),E897)</x:f>
        <x:v>37087</x:v>
      </x:c>
      <x:c r="AE897" s="17" t="n">
        <x:f>2014-B897</x:f>
        <x:v>40</x:v>
      </x:c>
      <x:c r="AF897" s="17" t="n">
        <x:f>F897+G897</x:f>
        <x:v>1</x:v>
      </x:c>
      <x:c r="AG897" s="21" t="n">
        <x:f>SUM(J897:O897)</x:f>
        <x:v>401</x:v>
      </x:c>
      <x:c r="AH897" s="17" t="n">
        <x:f>SUM(Q897:S897)</x:f>
        <x:v>14</x:v>
      </x:c>
      <x:c r="AI897" s="17" t="n">
        <x:f>SUM(U897:Y897)</x:f>
        <x:v>0</x:v>
      </x:c>
      <x:c r="AJ897" s="17" t="str">
        <x:f>IF(AE897&lt;=34,"≤34",IF(AE897&lt;=44,"35–44",IF(AE897&lt;=54,"45–54",IF(AE897&lt;=64,"55–64","65+"))))</x:f>
        <x:v>35–44</x:v>
      </x:c>
      <x:c r="AK897" s="17" t="str">
        <x:f>IF(AG897&gt;=1000,"High Value",IF(AG897&gt;=300,"Mid Value","Low Value"))</x:f>
        <x:v>Mid Value</x:v>
      </x:c>
      <x:c r="AL897" s="17" t="str">
        <x:f>IF(AND(AI897&gt;=1,I897&lt;=50),"Priority 1",IF(AND(AG897&gt;=1000,I897&lt;=60),"Priority 2",IF(I897&lt;=30,"Priority 3","Nurture")))</x:f>
        <x:v>Nurture</x:v>
      </x:c>
    </x:row>
    <x:row r="898">
      <x:c r="A898" s="16" t="n">
        <x:v>905</x:v>
      </x:c>
      <x:c r="B898" s="16" t="n">
        <x:v>1986</x:v>
      </x:c>
      <x:c r="C898" s="16" t="str">
        <x:v>Graduation</x:v>
      </x:c>
      <x:c r="D898" s="16" t="str">
        <x:v>Divorced</x:v>
      </x:c>
      <x:c r="E898" s="16" t="n">
        <x:v>21846</x:v>
      </x:c>
      <x:c r="F898" s="16" t="n">
        <x:v>1</x:v>
      </x:c>
      <x:c r="G898" s="16" t="n">
        <x:v>0</x:v>
      </x:c>
      <x:c r="H898" s="16" t="str">
        <x:v>22-10-2013</x:v>
      </x:c>
      <x:c r="I898" s="16" t="n">
        <x:v>38</x:v>
      </x:c>
      <x:c r="J898" s="16" t="n">
        <x:v>7</x:v>
      </x:c>
      <x:c r="K898" s="16" t="n">
        <x:v>17</x:v>
      </x:c>
      <x:c r="L898" s="16" t="n">
        <x:v>18</x:v>
      </x:c>
      <x:c r="M898" s="16" t="n">
        <x:v>6</x:v>
      </x:c>
      <x:c r="N898" s="16" t="n">
        <x:v>10</x:v>
      </x:c>
      <x:c r="O898" s="16" t="n">
        <x:v>26</x:v>
      </x:c>
      <x:c r="P898" s="16" t="n">
        <x:v>4</x:v>
      </x:c>
      <x:c r="Q898" s="16" t="n">
        <x:v>4</x:v>
      </x:c>
      <x:c r="R898" s="16" t="n">
        <x:v>0</x:v>
      </x:c>
      <x:c r="S898" s="16" t="n">
        <x:v>3</x:v>
      </x:c>
      <x:c r="T898" s="16" t="n">
        <x:v>8</x:v>
      </x:c>
      <x:c r="U898" s="16" t="n">
        <x:v>0</x:v>
      </x:c>
      <x:c r="V898" s="16" t="n">
        <x:v>0</x:v>
      </x:c>
      <x:c r="W898" s="16" t="n">
        <x:v>0</x:v>
      </x:c>
      <x:c r="X898" s="16" t="n">
        <x:v>0</x:v>
      </x:c>
      <x:c r="Y898" s="16" t="n">
        <x:v>0</x:v>
      </x:c>
      <x:c r="Z898" s="16" t="n">
        <x:v>0</x:v>
      </x:c>
      <x:c r="AA898" s="16" t="n">
        <x:v>3</x:v>
      </x:c>
      <x:c r="AB898" s="16" t="n">
        <x:v>11</x:v>
      </x:c>
      <x:c r="AC898" s="16" t="n">
        <x:v>0</x:v>
      </x:c>
      <x:c r="AD898" s="21" t="n">
        <x:f>IF(E898="",MEDIAN($E$2:$E$2237),E898)</x:f>
        <x:v>21846</x:v>
      </x:c>
      <x:c r="AE898" s="17" t="n">
        <x:f>2014-B898</x:f>
        <x:v>28</x:v>
      </x:c>
      <x:c r="AF898" s="17" t="n">
        <x:f>F898+G898</x:f>
        <x:v>1</x:v>
      </x:c>
      <x:c r="AG898" s="21" t="n">
        <x:f>SUM(J898:O898)</x:f>
        <x:v>84</x:v>
      </x:c>
      <x:c r="AH898" s="17" t="n">
        <x:f>SUM(Q898:S898)</x:f>
        <x:v>7</x:v>
      </x:c>
      <x:c r="AI898" s="17" t="n">
        <x:f>SUM(U898:Y898)</x:f>
        <x:v>0</x:v>
      </x:c>
      <x:c r="AJ898" s="17" t="str">
        <x:f>IF(AE898&lt;=34,"≤34",IF(AE898&lt;=44,"35–44",IF(AE898&lt;=54,"45–54",IF(AE898&lt;=64,"55–64","65+"))))</x:f>
        <x:v>≤34</x:v>
      </x:c>
      <x:c r="AK898" s="17" t="str">
        <x:f>IF(AG898&gt;=1000,"High Value",IF(AG898&gt;=300,"Mid Value","Low Value"))</x:f>
        <x:v>Low Value</x:v>
      </x:c>
      <x:c r="AL898" s="17" t="str">
        <x:f>IF(AND(AI898&gt;=1,I898&lt;=50),"Priority 1",IF(AND(AG898&gt;=1000,I898&lt;=60),"Priority 2",IF(I898&lt;=30,"Priority 3","Nurture")))</x:f>
        <x:v>Nurture</x:v>
      </x:c>
    </x:row>
    <x:row r="899">
      <x:c r="A899" s="16" t="n">
        <x:v>8624</x:v>
      </x:c>
      <x:c r="B899" s="16" t="n">
        <x:v>1958</x:v>
      </x:c>
      <x:c r="C899" s="16" t="str">
        <x:v>Graduation</x:v>
      </x:c>
      <x:c r="D899" s="16" t="str">
        <x:v>Married</x:v>
      </x:c>
      <x:c r="E899" s="16" t="n">
        <x:v>81320</x:v>
      </x:c>
      <x:c r="F899" s="16" t="n">
        <x:v>0</x:v>
      </x:c>
      <x:c r="G899" s="16" t="n">
        <x:v>0</x:v>
      </x:c>
      <x:c r="H899" s="16" t="str">
        <x:v>06-02-2013</x:v>
      </x:c>
      <x:c r="I899" s="16" t="n">
        <x:v>61</x:v>
      </x:c>
      <x:c r="J899" s="16" t="n">
        <x:v>183</x:v>
      </x:c>
      <x:c r="K899" s="16" t="n">
        <x:v>33</x:v>
      </x:c>
      <x:c r="L899" s="16" t="n">
        <x:v>493</x:v>
      </x:c>
      <x:c r="M899" s="16" t="n">
        <x:v>59</x:v>
      </x:c>
      <x:c r="N899" s="16" t="n">
        <x:v>103</x:v>
      </x:c>
      <x:c r="O899" s="16" t="n">
        <x:v>57</x:v>
      </x:c>
      <x:c r="P899" s="16" t="n">
        <x:v>1</x:v>
      </x:c>
      <x:c r="Q899" s="16" t="n">
        <x:v>4</x:v>
      </x:c>
      <x:c r="R899" s="16" t="n">
        <x:v>3</x:v>
      </x:c>
      <x:c r="S899" s="16" t="n">
        <x:v>10</x:v>
      </x:c>
      <x:c r="T899" s="16" t="n">
        <x:v>2</x:v>
      </x:c>
      <x:c r="U899" s="16" t="n">
        <x:v>0</x:v>
      </x:c>
      <x:c r="V899" s="16" t="n">
        <x:v>0</x:v>
      </x:c>
      <x:c r="W899" s="16" t="n">
        <x:v>0</x:v>
      </x:c>
      <x:c r="X899" s="16" t="n">
        <x:v>0</x:v>
      </x:c>
      <x:c r="Y899" s="16" t="n">
        <x:v>0</x:v>
      </x:c>
      <x:c r="Z899" s="16" t="n">
        <x:v>0</x:v>
      </x:c>
      <x:c r="AA899" s="16" t="n">
        <x:v>3</x:v>
      </x:c>
      <x:c r="AB899" s="16" t="n">
        <x:v>11</x:v>
      </x:c>
      <x:c r="AC899" s="16" t="n">
        <x:v>0</x:v>
      </x:c>
      <x:c r="AD899" s="21" t="n">
        <x:f>IF(E899="",MEDIAN($E$2:$E$2237),E899)</x:f>
        <x:v>81320</x:v>
      </x:c>
      <x:c r="AE899" s="17" t="n">
        <x:f>2014-B899</x:f>
        <x:v>56</x:v>
      </x:c>
      <x:c r="AF899" s="17" t="n">
        <x:f>F899+G899</x:f>
        <x:v>0</x:v>
      </x:c>
      <x:c r="AG899" s="21" t="n">
        <x:f>SUM(J899:O899)</x:f>
        <x:v>928</x:v>
      </x:c>
      <x:c r="AH899" s="17" t="n">
        <x:f>SUM(Q899:S899)</x:f>
        <x:v>17</x:v>
      </x:c>
      <x:c r="AI899" s="17" t="n">
        <x:f>SUM(U899:Y899)</x:f>
        <x:v>0</x:v>
      </x:c>
      <x:c r="AJ899" s="17" t="str">
        <x:f>IF(AE899&lt;=34,"≤34",IF(AE899&lt;=44,"35–44",IF(AE899&lt;=54,"45–54",IF(AE899&lt;=64,"55–64","65+"))))</x:f>
        <x:v>55–64</x:v>
      </x:c>
      <x:c r="AK899" s="17" t="str">
        <x:f>IF(AG899&gt;=1000,"High Value",IF(AG899&gt;=300,"Mid Value","Low Value"))</x:f>
        <x:v>Mid Value</x:v>
      </x:c>
      <x:c r="AL899" s="17" t="str">
        <x:f>IF(AND(AI899&gt;=1,I899&lt;=50),"Priority 1",IF(AND(AG899&gt;=1000,I899&lt;=60),"Priority 2",IF(I899&lt;=30,"Priority 3","Nurture")))</x:f>
        <x:v>Nurture</x:v>
      </x:c>
    </x:row>
    <x:row r="900">
      <x:c r="A900" s="16" t="n">
        <x:v>8945</x:v>
      </x:c>
      <x:c r="B900" s="16" t="n">
        <x:v>1970</x:v>
      </x:c>
      <x:c r="C900" s="16" t="str">
        <x:v>Graduation</x:v>
      </x:c>
      <x:c r="D900" s="16" t="str">
        <x:v>Divorced</x:v>
      </x:c>
      <x:c r="E900" s="16" t="n">
        <x:v>54137</x:v>
      </x:c>
      <x:c r="F900" s="16" t="n">
        <x:v>0</x:v>
      </x:c>
      <x:c r="G900" s="16" t="n">
        <x:v>1</x:v>
      </x:c>
      <x:c r="H900" s="16" t="str">
        <x:v>16-08-2013</x:v>
      </x:c>
      <x:c r="I900" s="16" t="n">
        <x:v>46</x:v>
      </x:c>
      <x:c r="J900" s="16" t="n">
        <x:v>171</x:v>
      </x:c>
      <x:c r="K900" s="16" t="n">
        <x:v>0</x:v>
      </x:c>
      <x:c r="L900" s="16" t="n">
        <x:v>11</x:v>
      </x:c>
      <x:c r="M900" s="16" t="n">
        <x:v>0</x:v>
      </x:c>
      <x:c r="N900" s="16" t="n">
        <x:v>1</x:v>
      </x:c>
      <x:c r="O900" s="16" t="n">
        <x:v>20</x:v>
      </x:c>
      <x:c r="P900" s="16" t="n">
        <x:v>2</x:v>
      </x:c>
      <x:c r="Q900" s="16" t="n">
        <x:v>4</x:v>
      </x:c>
      <x:c r="R900" s="16" t="n">
        <x:v>1</x:v>
      </x:c>
      <x:c r="S900" s="16" t="n">
        <x:v>4</x:v>
      </x:c>
      <x:c r="T900" s="16" t="n">
        <x:v>6</x:v>
      </x:c>
      <x:c r="U900" s="16" t="n">
        <x:v>0</x:v>
      </x:c>
      <x:c r="V900" s="16" t="n">
        <x:v>0</x:v>
      </x:c>
      <x:c r="W900" s="16" t="n">
        <x:v>0</x:v>
      </x:c>
      <x:c r="X900" s="16" t="n">
        <x:v>0</x:v>
      </x:c>
      <x:c r="Y900" s="16" t="n">
        <x:v>0</x:v>
      </x:c>
      <x:c r="Z900" s="16" t="n">
        <x:v>0</x:v>
      </x:c>
      <x:c r="AA900" s="16" t="n">
        <x:v>3</x:v>
      </x:c>
      <x:c r="AB900" s="16" t="n">
        <x:v>11</x:v>
      </x:c>
      <x:c r="AC900" s="16" t="n">
        <x:v>0</x:v>
      </x:c>
      <x:c r="AD900" s="21" t="n">
        <x:f>IF(E900="",MEDIAN($E$2:$E$2237),E900)</x:f>
        <x:v>54137</x:v>
      </x:c>
      <x:c r="AE900" s="17" t="n">
        <x:f>2014-B900</x:f>
        <x:v>44</x:v>
      </x:c>
      <x:c r="AF900" s="17" t="n">
        <x:f>F900+G900</x:f>
        <x:v>1</x:v>
      </x:c>
      <x:c r="AG900" s="21" t="n">
        <x:f>SUM(J900:O900)</x:f>
        <x:v>203</x:v>
      </x:c>
      <x:c r="AH900" s="17" t="n">
        <x:f>SUM(Q900:S900)</x:f>
        <x:v>9</x:v>
      </x:c>
      <x:c r="AI900" s="17" t="n">
        <x:f>SUM(U900:Y900)</x:f>
        <x:v>0</x:v>
      </x:c>
      <x:c r="AJ900" s="17" t="str">
        <x:f>IF(AE900&lt;=34,"≤34",IF(AE900&lt;=44,"35–44",IF(AE900&lt;=54,"45–54",IF(AE900&lt;=64,"55–64","65+"))))</x:f>
        <x:v>35–44</x:v>
      </x:c>
      <x:c r="AK900" s="17" t="str">
        <x:f>IF(AG900&gt;=1000,"High Value",IF(AG900&gt;=300,"Mid Value","Low Value"))</x:f>
        <x:v>Low Value</x:v>
      </x:c>
      <x:c r="AL900" s="17" t="str">
        <x:f>IF(AND(AI900&gt;=1,I900&lt;=50),"Priority 1",IF(AND(AG900&gt;=1000,I900&lt;=60),"Priority 2",IF(I900&lt;=30,"Priority 3","Nurture")))</x:f>
        <x:v>Nurture</x:v>
      </x:c>
    </x:row>
    <x:row r="901">
      <x:c r="A901" s="16" t="n">
        <x:v>6445</x:v>
      </x:c>
      <x:c r="B901" s="16" t="n">
        <x:v>1967</x:v>
      </x:c>
      <x:c r="C901" s="16" t="str">
        <x:v>Graduation</x:v>
      </x:c>
      <x:c r="D901" s="16" t="str">
        <x:v>Together</x:v>
      </x:c>
      <x:c r="E901" s="16" t="n">
        <x:v>66825</x:v>
      </x:c>
      <x:c r="F901" s="16" t="n">
        <x:v>0</x:v>
      </x:c>
      <x:c r="G901" s="16" t="n">
        <x:v>0</x:v>
      </x:c>
      <x:c r="H901" s="16" t="str">
        <x:v>14-07-2013</x:v>
      </x:c>
      <x:c r="I901" s="16" t="n">
        <x:v>73</x:v>
      </x:c>
      <x:c r="J901" s="16" t="n">
        <x:v>243</x:v>
      </x:c>
      <x:c r="K901" s="16" t="n">
        <x:v>101</x:v>
      </x:c>
      <x:c r="L901" s="16" t="n">
        <x:v>405</x:v>
      </x:c>
      <x:c r="M901" s="16" t="n">
        <x:v>29</x:v>
      </x:c>
      <x:c r="N901" s="16" t="n">
        <x:v>40</x:v>
      </x:c>
      <x:c r="O901" s="16" t="n">
        <x:v>40</x:v>
      </x:c>
      <x:c r="P901" s="16" t="n">
        <x:v>1</x:v>
      </x:c>
      <x:c r="Q901" s="16" t="n">
        <x:v>4</x:v>
      </x:c>
      <x:c r="R901" s="16" t="n">
        <x:v>5</x:v>
      </x:c>
      <x:c r="S901" s="16" t="n">
        <x:v>6</x:v>
      </x:c>
      <x:c r="T901" s="16" t="n">
        <x:v>2</x:v>
      </x:c>
      <x:c r="U901" s="16" t="n">
        <x:v>0</x:v>
      </x:c>
      <x:c r="V901" s="16" t="n">
        <x:v>0</x:v>
      </x:c>
      <x:c r="W901" s="16" t="n">
        <x:v>0</x:v>
      </x:c>
      <x:c r="X901" s="16" t="n">
        <x:v>0</x:v>
      </x:c>
      <x:c r="Y901" s="16" t="n">
        <x:v>0</x:v>
      </x:c>
      <x:c r="Z901" s="16" t="n">
        <x:v>0</x:v>
      </x:c>
      <x:c r="AA901" s="16" t="n">
        <x:v>3</x:v>
      </x:c>
      <x:c r="AB901" s="16" t="n">
        <x:v>11</x:v>
      </x:c>
      <x:c r="AC901" s="16" t="n">
        <x:v>0</x:v>
      </x:c>
      <x:c r="AD901" s="21" t="n">
        <x:f>IF(E901="",MEDIAN($E$2:$E$2237),E901)</x:f>
        <x:v>66825</x:v>
      </x:c>
      <x:c r="AE901" s="17" t="n">
        <x:f>2014-B901</x:f>
        <x:v>47</x:v>
      </x:c>
      <x:c r="AF901" s="17" t="n">
        <x:f>F901+G901</x:f>
        <x:v>0</x:v>
      </x:c>
      <x:c r="AG901" s="21" t="n">
        <x:f>SUM(J901:O901)</x:f>
        <x:v>858</x:v>
      </x:c>
      <x:c r="AH901" s="17" t="n">
        <x:f>SUM(Q901:S901)</x:f>
        <x:v>15</x:v>
      </x:c>
      <x:c r="AI901" s="17" t="n">
        <x:f>SUM(U901:Y901)</x:f>
        <x:v>0</x:v>
      </x:c>
      <x:c r="AJ901" s="17" t="str">
        <x:f>IF(AE901&lt;=34,"≤34",IF(AE901&lt;=44,"35–44",IF(AE901&lt;=54,"45–54",IF(AE901&lt;=64,"55–64","65+"))))</x:f>
        <x:v>45–54</x:v>
      </x:c>
      <x:c r="AK901" s="17" t="str">
        <x:f>IF(AG901&gt;=1000,"High Value",IF(AG901&gt;=300,"Mid Value","Low Value"))</x:f>
        <x:v>Mid Value</x:v>
      </x:c>
      <x:c r="AL901" s="17" t="str">
        <x:f>IF(AND(AI901&gt;=1,I901&lt;=50),"Priority 1",IF(AND(AG901&gt;=1000,I901&lt;=60),"Priority 2",IF(I901&lt;=30,"Priority 3","Nurture")))</x:f>
        <x:v>Nurture</x:v>
      </x:c>
    </x:row>
    <x:row r="902">
      <x:c r="A902" s="16" t="n">
        <x:v>2727</x:v>
      </x:c>
      <x:c r="B902" s="16" t="n">
        <x:v>1973</x:v>
      </x:c>
      <x:c r="C902" s="16" t="str">
        <x:v>Graduation</x:v>
      </x:c>
      <x:c r="D902" s="16" t="str">
        <x:v>Together</x:v>
      </x:c>
      <x:c r="E902" s="16" t="n">
        <x:v>57100</x:v>
      </x:c>
      <x:c r="F902" s="16" t="n">
        <x:v>0</x:v>
      </x:c>
      <x:c r="G902" s="16" t="n">
        <x:v>0</x:v>
      </x:c>
      <x:c r="H902" s="16" t="str">
        <x:v>04-12-2013</x:v>
      </x:c>
      <x:c r="I902" s="16" t="n">
        <x:v>19</x:v>
      </x:c>
      <x:c r="J902" s="16" t="n">
        <x:v>181</x:v>
      </x:c>
      <x:c r="K902" s="16" t="n">
        <x:v>21</x:v>
      </x:c>
      <x:c r="L902" s="16" t="n">
        <x:v>69</x:v>
      </x:c>
      <x:c r="M902" s="16" t="n">
        <x:v>39</x:v>
      </x:c>
      <x:c r="N902" s="16" t="n">
        <x:v>3</x:v>
      </x:c>
      <x:c r="O902" s="16" t="n">
        <x:v>96</x:v>
      </x:c>
      <x:c r="P902" s="16" t="n">
        <x:v>1</x:v>
      </x:c>
      <x:c r="Q902" s="16" t="n">
        <x:v>3</x:v>
      </x:c>
      <x:c r="R902" s="16" t="n">
        <x:v>3</x:v>
      </x:c>
      <x:c r="S902" s="16" t="n">
        <x:v>6</x:v>
      </x:c>
      <x:c r="T902" s="16" t="n">
        <x:v>3</x:v>
      </x:c>
      <x:c r="U902" s="16" t="n">
        <x:v>0</x:v>
      </x:c>
      <x:c r="V902" s="16" t="n">
        <x:v>0</x:v>
      </x:c>
      <x:c r="W902" s="16" t="n">
        <x:v>0</x:v>
      </x:c>
      <x:c r="X902" s="16" t="n">
        <x:v>0</x:v>
      </x:c>
      <x:c r="Y902" s="16" t="n">
        <x:v>0</x:v>
      </x:c>
      <x:c r="Z902" s="16" t="n">
        <x:v>0</x:v>
      </x:c>
      <x:c r="AA902" s="16" t="n">
        <x:v>3</x:v>
      </x:c>
      <x:c r="AB902" s="16" t="n">
        <x:v>11</x:v>
      </x:c>
      <x:c r="AC902" s="16" t="n">
        <x:v>0</x:v>
      </x:c>
      <x:c r="AD902" s="21" t="n">
        <x:f>IF(E902="",MEDIAN($E$2:$E$2237),E902)</x:f>
        <x:v>57100</x:v>
      </x:c>
      <x:c r="AE902" s="17" t="n">
        <x:f>2014-B902</x:f>
        <x:v>41</x:v>
      </x:c>
      <x:c r="AF902" s="17" t="n">
        <x:f>F902+G902</x:f>
        <x:v>0</x:v>
      </x:c>
      <x:c r="AG902" s="21" t="n">
        <x:f>SUM(J902:O902)</x:f>
        <x:v>409</x:v>
      </x:c>
      <x:c r="AH902" s="17" t="n">
        <x:f>SUM(Q902:S902)</x:f>
        <x:v>12</x:v>
      </x:c>
      <x:c r="AI902" s="17" t="n">
        <x:f>SUM(U902:Y902)</x:f>
        <x:v>0</x:v>
      </x:c>
      <x:c r="AJ902" s="17" t="str">
        <x:f>IF(AE902&lt;=34,"≤34",IF(AE902&lt;=44,"35–44",IF(AE902&lt;=54,"45–54",IF(AE902&lt;=64,"55–64","65+"))))</x:f>
        <x:v>35–44</x:v>
      </x:c>
      <x:c r="AK902" s="17" t="str">
        <x:f>IF(AG902&gt;=1000,"High Value",IF(AG902&gt;=300,"Mid Value","Low Value"))</x:f>
        <x:v>Mid Value</x:v>
      </x:c>
      <x:c r="AL902" s="17" t="str">
        <x:f>IF(AND(AI902&gt;=1,I902&lt;=50),"Priority 1",IF(AND(AG902&gt;=1000,I902&lt;=60),"Priority 2",IF(I902&lt;=30,"Priority 3","Nurture")))</x:f>
        <x:v>Priority 3</x:v>
      </x:c>
    </x:row>
    <x:row r="903">
      <x:c r="A903" s="16" t="n">
        <x:v>6404</x:v>
      </x:c>
      <x:c r="B903" s="16" t="n">
        <x:v>1969</x:v>
      </x:c>
      <x:c r="C903" s="16" t="str">
        <x:v>Graduation</x:v>
      </x:c>
      <x:c r="D903" s="16" t="str">
        <x:v>Together</x:v>
      </x:c>
      <x:c r="E903" s="16" t="n">
        <x:v>58917</x:v>
      </x:c>
      <x:c r="F903" s="16" t="n">
        <x:v>1</x:v>
      </x:c>
      <x:c r="G903" s="16" t="n">
        <x:v>2</x:v>
      </x:c>
      <x:c r="H903" s="16" t="str">
        <x:v>24-03-2013</x:v>
      </x:c>
      <x:c r="I903" s="16" t="n">
        <x:v>10</x:v>
      </x:c>
      <x:c r="J903" s="16" t="n">
        <x:v>151</x:v>
      </x:c>
      <x:c r="K903" s="16" t="n">
        <x:v>7</x:v>
      </x:c>
      <x:c r="L903" s="16" t="n">
        <x:v>89</x:v>
      </x:c>
      <x:c r="M903" s="16" t="n">
        <x:v>0</x:v>
      </x:c>
      <x:c r="N903" s="16" t="n">
        <x:v>7</x:v>
      </x:c>
      <x:c r="O903" s="16" t="n">
        <x:v>28</x:v>
      </x:c>
      <x:c r="P903" s="16" t="n">
        <x:v>5</x:v>
      </x:c>
      <x:c r="Q903" s="16" t="n">
        <x:v>4</x:v>
      </x:c>
      <x:c r="R903" s="16" t="n">
        <x:v>1</x:v>
      </x:c>
      <x:c r="S903" s="16" t="n">
        <x:v>6</x:v>
      </x:c>
      <x:c r="T903" s="16" t="n">
        <x:v>5</x:v>
      </x:c>
      <x:c r="U903" s="16" t="n">
        <x:v>0</x:v>
      </x:c>
      <x:c r="V903" s="16" t="n">
        <x:v>0</x:v>
      </x:c>
      <x:c r="W903" s="16" t="n">
        <x:v>0</x:v>
      </x:c>
      <x:c r="X903" s="16" t="n">
        <x:v>0</x:v>
      </x:c>
      <x:c r="Y903" s="16" t="n">
        <x:v>0</x:v>
      </x:c>
      <x:c r="Z903" s="16" t="n">
        <x:v>0</x:v>
      </x:c>
      <x:c r="AA903" s="16" t="n">
        <x:v>3</x:v>
      </x:c>
      <x:c r="AB903" s="16" t="n">
        <x:v>11</x:v>
      </x:c>
      <x:c r="AC903" s="16" t="n">
        <x:v>0</x:v>
      </x:c>
      <x:c r="AD903" s="21" t="n">
        <x:f>IF(E903="",MEDIAN($E$2:$E$2237),E903)</x:f>
        <x:v>58917</x:v>
      </x:c>
      <x:c r="AE903" s="17" t="n">
        <x:f>2014-B903</x:f>
        <x:v>45</x:v>
      </x:c>
      <x:c r="AF903" s="17" t="n">
        <x:f>F903+G903</x:f>
        <x:v>3</x:v>
      </x:c>
      <x:c r="AG903" s="21" t="n">
        <x:f>SUM(J903:O903)</x:f>
        <x:v>282</x:v>
      </x:c>
      <x:c r="AH903" s="17" t="n">
        <x:f>SUM(Q903:S903)</x:f>
        <x:v>11</x:v>
      </x:c>
      <x:c r="AI903" s="17" t="n">
        <x:f>SUM(U903:Y903)</x:f>
        <x:v>0</x:v>
      </x:c>
      <x:c r="AJ903" s="17" t="str">
        <x:f>IF(AE903&lt;=34,"≤34",IF(AE903&lt;=44,"35–44",IF(AE903&lt;=54,"45–54",IF(AE903&lt;=64,"55–64","65+"))))</x:f>
        <x:v>45–54</x:v>
      </x:c>
      <x:c r="AK903" s="17" t="str">
        <x:f>IF(AG903&gt;=1000,"High Value",IF(AG903&gt;=300,"Mid Value","Low Value"))</x:f>
        <x:v>Low Value</x:v>
      </x:c>
      <x:c r="AL903" s="17" t="str">
        <x:f>IF(AND(AI903&gt;=1,I903&lt;=50),"Priority 1",IF(AND(AG903&gt;=1000,I903&lt;=60),"Priority 2",IF(I903&lt;=30,"Priority 3","Nurture")))</x:f>
        <x:v>Priority 3</x:v>
      </x:c>
    </x:row>
    <x:row r="904">
      <x:c r="A904" s="16" t="n">
        <x:v>11074</x:v>
      </x:c>
      <x:c r="B904" s="16" t="n">
        <x:v>1977</x:v>
      </x:c>
      <x:c r="C904" s="16" t="str">
        <x:v>Graduation</x:v>
      </x:c>
      <x:c r="D904" s="16" t="str">
        <x:v>Single</x:v>
      </x:c>
      <x:c r="E904" s="16" t="n">
        <x:v>85072</x:v>
      </x:c>
      <x:c r="F904" s="16" t="n">
        <x:v>0</x:v>
      </x:c>
      <x:c r="G904" s="16" t="n">
        <x:v>0</x:v>
      </x:c>
      <x:c r="H904" s="16" t="str">
        <x:v>09-04-2014</x:v>
      </x:c>
      <x:c r="I904" s="16" t="n">
        <x:v>94</x:v>
      </x:c>
      <x:c r="J904" s="16" t="n">
        <x:v>494</x:v>
      </x:c>
      <x:c r="K904" s="16" t="n">
        <x:v>92</x:v>
      </x:c>
      <x:c r="L904" s="16" t="n">
        <x:v>391</x:v>
      </x:c>
      <x:c r="M904" s="16" t="n">
        <x:v>194</x:v>
      </x:c>
      <x:c r="N904" s="16" t="n">
        <x:v>11</x:v>
      </x:c>
      <x:c r="O904" s="16" t="n">
        <x:v>241</x:v>
      </x:c>
      <x:c r="P904" s="16" t="n">
        <x:v>1</x:v>
      </x:c>
      <x:c r="Q904" s="16" t="n">
        <x:v>3</x:v>
      </x:c>
      <x:c r="R904" s="16" t="n">
        <x:v>4</x:v>
      </x:c>
      <x:c r="S904" s="16" t="n">
        <x:v>10</x:v>
      </x:c>
      <x:c r="T904" s="16" t="n">
        <x:v>0</x:v>
      </x:c>
      <x:c r="U904" s="16" t="n">
        <x:v>0</x:v>
      </x:c>
      <x:c r="V904" s="16" t="n">
        <x:v>0</x:v>
      </x:c>
      <x:c r="W904" s="16" t="n">
        <x:v>0</x:v>
      </x:c>
      <x:c r="X904" s="16" t="n">
        <x:v>0</x:v>
      </x:c>
      <x:c r="Y904" s="16" t="n">
        <x:v>0</x:v>
      </x:c>
      <x:c r="Z904" s="16" t="n">
        <x:v>0</x:v>
      </x:c>
      <x:c r="AA904" s="16" t="n">
        <x:v>3</x:v>
      </x:c>
      <x:c r="AB904" s="16" t="n">
        <x:v>11</x:v>
      </x:c>
      <x:c r="AC904" s="16" t="n">
        <x:v>0</x:v>
      </x:c>
      <x:c r="AD904" s="21" t="n">
        <x:f>IF(E904="",MEDIAN($E$2:$E$2237),E904)</x:f>
        <x:v>85072</x:v>
      </x:c>
      <x:c r="AE904" s="17" t="n">
        <x:f>2014-B904</x:f>
        <x:v>37</x:v>
      </x:c>
      <x:c r="AF904" s="17" t="n">
        <x:f>F904+G904</x:f>
        <x:v>0</x:v>
      </x:c>
      <x:c r="AG904" s="21" t="n">
        <x:f>SUM(J904:O904)</x:f>
        <x:v>1423</x:v>
      </x:c>
      <x:c r="AH904" s="17" t="n">
        <x:f>SUM(Q904:S904)</x:f>
        <x:v>17</x:v>
      </x:c>
      <x:c r="AI904" s="17" t="n">
        <x:f>SUM(U904:Y904)</x:f>
        <x:v>0</x:v>
      </x:c>
      <x:c r="AJ904" s="17" t="str">
        <x:f>IF(AE904&lt;=34,"≤34",IF(AE904&lt;=44,"35–44",IF(AE904&lt;=54,"45–54",IF(AE904&lt;=64,"55–64","65+"))))</x:f>
        <x:v>35–44</x:v>
      </x:c>
      <x:c r="AK904" s="17" t="str">
        <x:f>IF(AG904&gt;=1000,"High Value",IF(AG904&gt;=300,"Mid Value","Low Value"))</x:f>
        <x:v>High Value</x:v>
      </x:c>
      <x:c r="AL904" s="17" t="str">
        <x:f>IF(AND(AI904&gt;=1,I904&lt;=50),"Priority 1",IF(AND(AG904&gt;=1000,I904&lt;=60),"Priority 2",IF(I904&lt;=30,"Priority 3","Nurture")))</x:f>
        <x:v>Nurture</x:v>
      </x:c>
    </x:row>
    <x:row r="905">
      <x:c r="A905" s="16" t="n">
        <x:v>10150</x:v>
      </x:c>
      <x:c r="B905" s="16" t="n">
        <x:v>1961</x:v>
      </x:c>
      <x:c r="C905" s="16" t="str">
        <x:v>Graduation</x:v>
      </x:c>
      <x:c r="D905" s="16" t="str">
        <x:v>Single</x:v>
      </x:c>
      <x:c r="E905" s="16" t="n">
        <x:v>86429</x:v>
      </x:c>
      <x:c r="F905" s="16" t="n">
        <x:v>0</x:v>
      </x:c>
      <x:c r="G905" s="16" t="n">
        <x:v>0</x:v>
      </x:c>
      <x:c r="H905" s="16" t="str">
        <x:v>21-11-2013</x:v>
      </x:c>
      <x:c r="I905" s="16" t="n">
        <x:v>10</x:v>
      </x:c>
      <x:c r="J905" s="16" t="n">
        <x:v>464</x:v>
      </x:c>
      <x:c r="K905" s="16" t="n">
        <x:v>28</x:v>
      </x:c>
      <x:c r="L905" s="16" t="n">
        <x:v>873</x:v>
      </x:c>
      <x:c r="M905" s="16" t="n">
        <x:v>29</x:v>
      </x:c>
      <x:c r="N905" s="16" t="n">
        <x:v>18</x:v>
      </x:c>
      <x:c r="O905" s="16" t="n">
        <x:v>37</x:v>
      </x:c>
      <x:c r="P905" s="16" t="n">
        <x:v>0</x:v>
      </x:c>
      <x:c r="Q905" s="16" t="n">
        <x:v>7</x:v>
      </x:c>
      <x:c r="R905" s="16" t="n">
        <x:v>4</x:v>
      </x:c>
      <x:c r="S905" s="16" t="n">
        <x:v>7</x:v>
      </x:c>
      <x:c r="T905" s="16" t="n">
        <x:v>2</x:v>
      </x:c>
      <x:c r="U905" s="16" t="n">
        <x:v>0</x:v>
      </x:c>
      <x:c r="V905" s="16" t="n">
        <x:v>0</x:v>
      </x:c>
      <x:c r="W905" s="16" t="n">
        <x:v>0</x:v>
      </x:c>
      <x:c r="X905" s="16" t="n">
        <x:v>1</x:v>
      </x:c>
      <x:c r="Y905" s="16" t="n">
        <x:v>0</x:v>
      </x:c>
      <x:c r="Z905" s="16" t="n">
        <x:v>0</x:v>
      </x:c>
      <x:c r="AA905" s="16" t="n">
        <x:v>3</x:v>
      </x:c>
      <x:c r="AB905" s="16" t="n">
        <x:v>11</x:v>
      </x:c>
      <x:c r="AC905" s="16" t="n">
        <x:v>1</x:v>
      </x:c>
      <x:c r="AD905" s="21" t="n">
        <x:f>IF(E905="",MEDIAN($E$2:$E$2237),E905)</x:f>
        <x:v>86429</x:v>
      </x:c>
      <x:c r="AE905" s="17" t="n">
        <x:f>2014-B905</x:f>
        <x:v>53</x:v>
      </x:c>
      <x:c r="AF905" s="17" t="n">
        <x:f>F905+G905</x:f>
        <x:v>0</x:v>
      </x:c>
      <x:c r="AG905" s="21" t="n">
        <x:f>SUM(J905:O905)</x:f>
        <x:v>1449</x:v>
      </x:c>
      <x:c r="AH905" s="17" t="n">
        <x:f>SUM(Q905:S905)</x:f>
        <x:v>18</x:v>
      </x:c>
      <x:c r="AI905" s="17" t="n">
        <x:f>SUM(U905:Y905)</x:f>
        <x:v>1</x:v>
      </x:c>
      <x:c r="AJ905" s="17" t="str">
        <x:f>IF(AE905&lt;=34,"≤34",IF(AE905&lt;=44,"35–44",IF(AE905&lt;=54,"45–54",IF(AE905&lt;=64,"55–64","65+"))))</x:f>
        <x:v>45–54</x:v>
      </x:c>
      <x:c r="AK905" s="17" t="str">
        <x:f>IF(AG905&gt;=1000,"High Value",IF(AG905&gt;=300,"Mid Value","Low Value"))</x:f>
        <x:v>High Value</x:v>
      </x:c>
      <x:c r="AL905" s="17" t="str">
        <x:f>IF(AND(AI905&gt;=1,I905&lt;=50),"Priority 1",IF(AND(AG905&gt;=1000,I905&lt;=60),"Priority 2",IF(I905&lt;=30,"Priority 3","Nurture")))</x:f>
        <x:v>Priority 1</x:v>
      </x:c>
    </x:row>
    <x:row r="906">
      <x:c r="A906" s="16" t="n">
        <x:v>1968</x:v>
      </x:c>
      <x:c r="B906" s="16" t="n">
        <x:v>1971</x:v>
      </x:c>
      <x:c r="C906" s="16" t="str">
        <x:v>Graduation</x:v>
      </x:c>
      <x:c r="D906" s="16" t="str">
        <x:v>Widow</x:v>
      </x:c>
      <x:c r="E906" s="16" t="n">
        <x:v>45684</x:v>
      </x:c>
      <x:c r="F906" s="16" t="n">
        <x:v>1</x:v>
      </x:c>
      <x:c r="G906" s="16" t="n">
        <x:v>0</x:v>
      </x:c>
      <x:c r="H906" s="16" t="str">
        <x:v>02-12-2013</x:v>
      </x:c>
      <x:c r="I906" s="16" t="n">
        <x:v>37</x:v>
      </x:c>
      <x:c r="J906" s="16" t="n">
        <x:v>5</x:v>
      </x:c>
      <x:c r="K906" s="16" t="n">
        <x:v>1</x:v>
      </x:c>
      <x:c r="L906" s="16" t="n">
        <x:v>5</x:v>
      </x:c>
      <x:c r="M906" s="16" t="n">
        <x:v>10</x:v>
      </x:c>
      <x:c r="N906" s="16" t="n">
        <x:v>0</x:v>
      </x:c>
      <x:c r="O906" s="16" t="n">
        <x:v>7</x:v>
      </x:c>
      <x:c r="P906" s="16" t="n">
        <x:v>1</x:v>
      </x:c>
      <x:c r="Q906" s="16" t="n">
        <x:v>1</x:v>
      </x:c>
      <x:c r="R906" s="16" t="n">
        <x:v>0</x:v>
      </x:c>
      <x:c r="S906" s="16" t="n">
        <x:v>2</x:v>
      </x:c>
      <x:c r="T906" s="16" t="n">
        <x:v>7</x:v>
      </x:c>
      <x:c r="U906" s="16" t="n">
        <x:v>0</x:v>
      </x:c>
      <x:c r="V906" s="16" t="n">
        <x:v>0</x:v>
      </x:c>
      <x:c r="W906" s="16" t="n">
        <x:v>0</x:v>
      </x:c>
      <x:c r="X906" s="16" t="n">
        <x:v>0</x:v>
      </x:c>
      <x:c r="Y906" s="16" t="n">
        <x:v>0</x:v>
      </x:c>
      <x:c r="Z906" s="16" t="n">
        <x:v>0</x:v>
      </x:c>
      <x:c r="AA906" s="16" t="n">
        <x:v>3</x:v>
      </x:c>
      <x:c r="AB906" s="16" t="n">
        <x:v>11</x:v>
      </x:c>
      <x:c r="AC906" s="16" t="n">
        <x:v>0</x:v>
      </x:c>
      <x:c r="AD906" s="21" t="n">
        <x:f>IF(E906="",MEDIAN($E$2:$E$2237),E906)</x:f>
        <x:v>45684</x:v>
      </x:c>
      <x:c r="AE906" s="17" t="n">
        <x:f>2014-B906</x:f>
        <x:v>43</x:v>
      </x:c>
      <x:c r="AF906" s="17" t="n">
        <x:f>F906+G906</x:f>
        <x:v>1</x:v>
      </x:c>
      <x:c r="AG906" s="21" t="n">
        <x:f>SUM(J906:O906)</x:f>
        <x:v>28</x:v>
      </x:c>
      <x:c r="AH906" s="17" t="n">
        <x:f>SUM(Q906:S906)</x:f>
        <x:v>3</x:v>
      </x:c>
      <x:c r="AI906" s="17" t="n">
        <x:f>SUM(U906:Y906)</x:f>
        <x:v>0</x:v>
      </x:c>
      <x:c r="AJ906" s="17" t="str">
        <x:f>IF(AE906&lt;=34,"≤34",IF(AE906&lt;=44,"35–44",IF(AE906&lt;=54,"45–54",IF(AE906&lt;=64,"55–64","65+"))))</x:f>
        <x:v>35–44</x:v>
      </x:c>
      <x:c r="AK906" s="17" t="str">
        <x:f>IF(AG906&gt;=1000,"High Value",IF(AG906&gt;=300,"Mid Value","Low Value"))</x:f>
        <x:v>Low Value</x:v>
      </x:c>
      <x:c r="AL906" s="17" t="str">
        <x:f>IF(AND(AI906&gt;=1,I906&lt;=50),"Priority 1",IF(AND(AG906&gt;=1000,I906&lt;=60),"Priority 2",IF(I906&lt;=30,"Priority 3","Nurture")))</x:f>
        <x:v>Nurture</x:v>
      </x:c>
    </x:row>
    <x:row r="907">
      <x:c r="A907" s="16" t="n">
        <x:v>6534</x:v>
      </x:c>
      <x:c r="B907" s="16" t="n">
        <x:v>1974</x:v>
      </x:c>
      <x:c r="C907" s="16" t="str">
        <x:v>Graduation</x:v>
      </x:c>
      <x:c r="D907" s="16" t="str">
        <x:v>Together</x:v>
      </x:c>
      <x:c r="E907" s="16" t="n">
        <x:v>47889</x:v>
      </x:c>
      <x:c r="F907" s="16" t="n">
        <x:v>1</x:v>
      </x:c>
      <x:c r="G907" s="16" t="n">
        <x:v>0</x:v>
      </x:c>
      <x:c r="H907" s="16" t="str">
        <x:v>04-01-2014</x:v>
      </x:c>
      <x:c r="I907" s="16" t="n">
        <x:v>94</x:v>
      </x:c>
      <x:c r="J907" s="16" t="n">
        <x:v>29</x:v>
      </x:c>
      <x:c r="K907" s="16" t="n">
        <x:v>0</x:v>
      </x:c>
      <x:c r="L907" s="16" t="n">
        <x:v>29</x:v>
      </x:c>
      <x:c r="M907" s="16" t="n">
        <x:v>0</x:v>
      </x:c>
      <x:c r="N907" s="16" t="n">
        <x:v>5</x:v>
      </x:c>
      <x:c r="O907" s="16" t="n">
        <x:v>4</x:v>
      </x:c>
      <x:c r="P907" s="16" t="n">
        <x:v>1</x:v>
      </x:c>
      <x:c r="Q907" s="16" t="n">
        <x:v>2</x:v>
      </x:c>
      <x:c r="R907" s="16" t="n">
        <x:v>0</x:v>
      </x:c>
      <x:c r="S907" s="16" t="n">
        <x:v>3</x:v>
      </x:c>
      <x:c r="T907" s="16" t="n">
        <x:v>5</x:v>
      </x:c>
      <x:c r="U907" s="16" t="n">
        <x:v>0</x:v>
      </x:c>
      <x:c r="V907" s="16" t="n">
        <x:v>0</x:v>
      </x:c>
      <x:c r="W907" s="16" t="n">
        <x:v>0</x:v>
      </x:c>
      <x:c r="X907" s="16" t="n">
        <x:v>0</x:v>
      </x:c>
      <x:c r="Y907" s="16" t="n">
        <x:v>0</x:v>
      </x:c>
      <x:c r="Z907" s="16" t="n">
        <x:v>0</x:v>
      </x:c>
      <x:c r="AA907" s="16" t="n">
        <x:v>3</x:v>
      </x:c>
      <x:c r="AB907" s="16" t="n">
        <x:v>11</x:v>
      </x:c>
      <x:c r="AC907" s="16" t="n">
        <x:v>0</x:v>
      </x:c>
      <x:c r="AD907" s="21" t="n">
        <x:f>IF(E907="",MEDIAN($E$2:$E$2237),E907)</x:f>
        <x:v>47889</x:v>
      </x:c>
      <x:c r="AE907" s="17" t="n">
        <x:f>2014-B907</x:f>
        <x:v>40</x:v>
      </x:c>
      <x:c r="AF907" s="17" t="n">
        <x:f>F907+G907</x:f>
        <x:v>1</x:v>
      </x:c>
      <x:c r="AG907" s="21" t="n">
        <x:f>SUM(J907:O907)</x:f>
        <x:v>67</x:v>
      </x:c>
      <x:c r="AH907" s="17" t="n">
        <x:f>SUM(Q907:S907)</x:f>
        <x:v>5</x:v>
      </x:c>
      <x:c r="AI907" s="17" t="n">
        <x:f>SUM(U907:Y907)</x:f>
        <x:v>0</x:v>
      </x:c>
      <x:c r="AJ907" s="17" t="str">
        <x:f>IF(AE907&lt;=34,"≤34",IF(AE907&lt;=44,"35–44",IF(AE907&lt;=54,"45–54",IF(AE907&lt;=64,"55–64","65+"))))</x:f>
        <x:v>35–44</x:v>
      </x:c>
      <x:c r="AK907" s="17" t="str">
        <x:f>IF(AG907&gt;=1000,"High Value",IF(AG907&gt;=300,"Mid Value","Low Value"))</x:f>
        <x:v>Low Value</x:v>
      </x:c>
      <x:c r="AL907" s="17" t="str">
        <x:f>IF(AND(AI907&gt;=1,I907&lt;=50),"Priority 1",IF(AND(AG907&gt;=1000,I907&lt;=60),"Priority 2",IF(I907&lt;=30,"Priority 3","Nurture")))</x:f>
        <x:v>Nurture</x:v>
      </x:c>
    </x:row>
    <x:row r="908">
      <x:c r="A908" s="16" t="n">
        <x:v>9485</x:v>
      </x:c>
      <x:c r="B908" s="16" t="n">
        <x:v>1986</x:v>
      </x:c>
      <x:c r="C908" s="16" t="str">
        <x:v>PhD</x:v>
      </x:c>
      <x:c r="D908" s="16" t="str">
        <x:v>Married</x:v>
      </x:c>
      <x:c r="E908" s="16" t="n">
        <x:v>45921</x:v>
      </x:c>
      <x:c r="F908" s="16" t="n">
        <x:v>0</x:v>
      </x:c>
      <x:c r="G908" s="16" t="n">
        <x:v>0</x:v>
      </x:c>
      <x:c r="H908" s="16" t="str">
        <x:v>10-03-2014</x:v>
      </x:c>
      <x:c r="I908" s="16" t="n">
        <x:v>23</x:v>
      </x:c>
      <x:c r="J908" s="16" t="n">
        <x:v>102</x:v>
      </x:c>
      <x:c r="K908" s="16" t="n">
        <x:v>9</x:v>
      </x:c>
      <x:c r="L908" s="16" t="n">
        <x:v>49</x:v>
      </x:c>
      <x:c r="M908" s="16" t="n">
        <x:v>24</x:v>
      </x:c>
      <x:c r="N908" s="16" t="n">
        <x:v>3</x:v>
      </x:c>
      <x:c r="O908" s="16" t="n">
        <x:v>12</x:v>
      </x:c>
      <x:c r="P908" s="16" t="n">
        <x:v>1</x:v>
      </x:c>
      <x:c r="Q908" s="16" t="n">
        <x:v>2</x:v>
      </x:c>
      <x:c r="R908" s="16" t="n">
        <x:v>1</x:v>
      </x:c>
      <x:c r="S908" s="16" t="n">
        <x:v>6</x:v>
      </x:c>
      <x:c r="T908" s="16" t="n">
        <x:v>4</x:v>
      </x:c>
      <x:c r="U908" s="16" t="n">
        <x:v>0</x:v>
      </x:c>
      <x:c r="V908" s="16" t="n">
        <x:v>0</x:v>
      </x:c>
      <x:c r="W908" s="16" t="n">
        <x:v>0</x:v>
      </x:c>
      <x:c r="X908" s="16" t="n">
        <x:v>0</x:v>
      </x:c>
      <x:c r="Y908" s="16" t="n">
        <x:v>0</x:v>
      </x:c>
      <x:c r="Z908" s="16" t="n">
        <x:v>0</x:v>
      </x:c>
      <x:c r="AA908" s="16" t="n">
        <x:v>3</x:v>
      </x:c>
      <x:c r="AB908" s="16" t="n">
        <x:v>11</x:v>
      </x:c>
      <x:c r="AC908" s="16" t="n">
        <x:v>0</x:v>
      </x:c>
      <x:c r="AD908" s="21" t="n">
        <x:f>IF(E908="",MEDIAN($E$2:$E$2237),E908)</x:f>
        <x:v>45921</x:v>
      </x:c>
      <x:c r="AE908" s="17" t="n">
        <x:f>2014-B908</x:f>
        <x:v>28</x:v>
      </x:c>
      <x:c r="AF908" s="17" t="n">
        <x:f>F908+G908</x:f>
        <x:v>0</x:v>
      </x:c>
      <x:c r="AG908" s="21" t="n">
        <x:f>SUM(J908:O908)</x:f>
        <x:v>199</x:v>
      </x:c>
      <x:c r="AH908" s="17" t="n">
        <x:f>SUM(Q908:S908)</x:f>
        <x:v>9</x:v>
      </x:c>
      <x:c r="AI908" s="17" t="n">
        <x:f>SUM(U908:Y908)</x:f>
        <x:v>0</x:v>
      </x:c>
      <x:c r="AJ908" s="17" t="str">
        <x:f>IF(AE908&lt;=34,"≤34",IF(AE908&lt;=44,"35–44",IF(AE908&lt;=54,"45–54",IF(AE908&lt;=64,"55–64","65+"))))</x:f>
        <x:v>≤34</x:v>
      </x:c>
      <x:c r="AK908" s="17" t="str">
        <x:f>IF(AG908&gt;=1000,"High Value",IF(AG908&gt;=300,"Mid Value","Low Value"))</x:f>
        <x:v>Low Value</x:v>
      </x:c>
      <x:c r="AL908" s="17" t="str">
        <x:f>IF(AND(AI908&gt;=1,I908&lt;=50),"Priority 1",IF(AND(AG908&gt;=1000,I908&lt;=60),"Priority 2",IF(I908&lt;=30,"Priority 3","Nurture")))</x:f>
        <x:v>Priority 3</x:v>
      </x:c>
    </x:row>
    <x:row r="909">
      <x:c r="A909" s="16" t="n">
        <x:v>7053</x:v>
      </x:c>
      <x:c r="B909" s="16" t="n">
        <x:v>1966</x:v>
      </x:c>
      <x:c r="C909" s="16" t="str">
        <x:v>PhD</x:v>
      </x:c>
      <x:c r="D909" s="16" t="str">
        <x:v>Single</x:v>
      </x:c>
      <x:c r="E909" s="16" t="n">
        <x:v>78420</x:v>
      </x:c>
      <x:c r="F909" s="16" t="n">
        <x:v>0</x:v>
      </x:c>
      <x:c r="G909" s="16" t="n">
        <x:v>0</x:v>
      </x:c>
      <x:c r="H909" s="16" t="str">
        <x:v>29-06-2013</x:v>
      </x:c>
      <x:c r="I909" s="16" t="n">
        <x:v>75</x:v>
      </x:c>
      <x:c r="J909" s="16" t="n">
        <x:v>604</x:v>
      </x:c>
      <x:c r="K909" s="16" t="n">
        <x:v>28</x:v>
      </x:c>
      <x:c r="L909" s="16" t="n">
        <x:v>674</x:v>
      </x:c>
      <x:c r="M909" s="16" t="n">
        <x:v>91</x:v>
      </x:c>
      <x:c r="N909" s="16" t="n">
        <x:v>28</x:v>
      </x:c>
      <x:c r="O909" s="16" t="n">
        <x:v>28</x:v>
      </x:c>
      <x:c r="P909" s="16" t="n">
        <x:v>1</x:v>
      </x:c>
      <x:c r="Q909" s="16" t="n">
        <x:v>3</x:v>
      </x:c>
      <x:c r="R909" s="16" t="n">
        <x:v>10</x:v>
      </x:c>
      <x:c r="S909" s="16" t="n">
        <x:v>8</x:v>
      </x:c>
      <x:c r="T909" s="16" t="n">
        <x:v>1</x:v>
      </x:c>
      <x:c r="U909" s="16" t="n">
        <x:v>0</x:v>
      </x:c>
      <x:c r="V909" s="16" t="n">
        <x:v>0</x:v>
      </x:c>
      <x:c r="W909" s="16" t="n">
        <x:v>0</x:v>
      </x:c>
      <x:c r="X909" s="16" t="n">
        <x:v>0</x:v>
      </x:c>
      <x:c r="Y909" s="16" t="n">
        <x:v>0</x:v>
      </x:c>
      <x:c r="Z909" s="16" t="n">
        <x:v>0</x:v>
      </x:c>
      <x:c r="AA909" s="16" t="n">
        <x:v>3</x:v>
      </x:c>
      <x:c r="AB909" s="16" t="n">
        <x:v>11</x:v>
      </x:c>
      <x:c r="AC909" s="16" t="n">
        <x:v>0</x:v>
      </x:c>
      <x:c r="AD909" s="21" t="n">
        <x:f>IF(E909="",MEDIAN($E$2:$E$2237),E909)</x:f>
        <x:v>78420</x:v>
      </x:c>
      <x:c r="AE909" s="17" t="n">
        <x:f>2014-B909</x:f>
        <x:v>48</x:v>
      </x:c>
      <x:c r="AF909" s="17" t="n">
        <x:f>F909+G909</x:f>
        <x:v>0</x:v>
      </x:c>
      <x:c r="AG909" s="21" t="n">
        <x:f>SUM(J909:O909)</x:f>
        <x:v>1453</x:v>
      </x:c>
      <x:c r="AH909" s="17" t="n">
        <x:f>SUM(Q909:S909)</x:f>
        <x:v>21</x:v>
      </x:c>
      <x:c r="AI909" s="17" t="n">
        <x:f>SUM(U909:Y909)</x:f>
        <x:v>0</x:v>
      </x:c>
      <x:c r="AJ909" s="17" t="str">
        <x:f>IF(AE909&lt;=34,"≤34",IF(AE909&lt;=44,"35–44",IF(AE909&lt;=54,"45–54",IF(AE909&lt;=64,"55–64","65+"))))</x:f>
        <x:v>45–54</x:v>
      </x:c>
      <x:c r="AK909" s="17" t="str">
        <x:f>IF(AG909&gt;=1000,"High Value",IF(AG909&gt;=300,"Mid Value","Low Value"))</x:f>
        <x:v>High Value</x:v>
      </x:c>
      <x:c r="AL909" s="17" t="str">
        <x:f>IF(AND(AI909&gt;=1,I909&lt;=50),"Priority 1",IF(AND(AG909&gt;=1000,I909&lt;=60),"Priority 2",IF(I909&lt;=30,"Priority 3","Nurture")))</x:f>
        <x:v>Nurture</x:v>
      </x:c>
    </x:row>
    <x:row r="910">
      <x:c r="A910" s="16" t="n">
        <x:v>4654</x:v>
      </x:c>
      <x:c r="B910" s="16" t="n">
        <x:v>1992</x:v>
      </x:c>
      <x:c r="C910" s="16" t="str">
        <x:v>Graduation</x:v>
      </x:c>
      <x:c r="D910" s="16" t="str">
        <x:v>Together</x:v>
      </x:c>
      <x:c r="E910" s="16" t="n">
        <x:v>75114</x:v>
      </x:c>
      <x:c r="F910" s="16" t="n">
        <x:v>0</x:v>
      </x:c>
      <x:c r="G910" s="16" t="n">
        <x:v>0</x:v>
      </x:c>
      <x:c r="H910" s="16" t="str">
        <x:v>07-11-2013</x:v>
      </x:c>
      <x:c r="I910" s="16" t="n">
        <x:v>40</x:v>
      </x:c>
      <x:c r="J910" s="16" t="n">
        <x:v>571</x:v>
      </x:c>
      <x:c r="K910" s="16" t="n">
        <x:v>12</x:v>
      </x:c>
      <x:c r="L910" s="16" t="n">
        <x:v>523</x:v>
      </x:c>
      <x:c r="M910" s="16" t="n">
        <x:v>63</x:v>
      </x:c>
      <x:c r="N910" s="16" t="n">
        <x:v>60</x:v>
      </x:c>
      <x:c r="O910" s="16" t="n">
        <x:v>24</x:v>
      </x:c>
      <x:c r="P910" s="16" t="n">
        <x:v>1</x:v>
      </x:c>
      <x:c r="Q910" s="16" t="n">
        <x:v>3</x:v>
      </x:c>
      <x:c r="R910" s="16" t="n">
        <x:v>10</x:v>
      </x:c>
      <x:c r="S910" s="16" t="n">
        <x:v>5</x:v>
      </x:c>
      <x:c r="T910" s="16" t="n">
        <x:v>2</x:v>
      </x:c>
      <x:c r="U910" s="16" t="n">
        <x:v>0</x:v>
      </x:c>
      <x:c r="V910" s="16" t="n">
        <x:v>0</x:v>
      </x:c>
      <x:c r="W910" s="16" t="n">
        <x:v>0</x:v>
      </x:c>
      <x:c r="X910" s="16" t="n">
        <x:v>0</x:v>
      </x:c>
      <x:c r="Y910" s="16" t="n">
        <x:v>0</x:v>
      </x:c>
      <x:c r="Z910" s="16" t="n">
        <x:v>0</x:v>
      </x:c>
      <x:c r="AA910" s="16" t="n">
        <x:v>3</x:v>
      </x:c>
      <x:c r="AB910" s="16" t="n">
        <x:v>11</x:v>
      </x:c>
      <x:c r="AC910" s="16" t="n">
        <x:v>0</x:v>
      </x:c>
      <x:c r="AD910" s="21" t="n">
        <x:f>IF(E910="",MEDIAN($E$2:$E$2237),E910)</x:f>
        <x:v>75114</x:v>
      </x:c>
      <x:c r="AE910" s="17" t="n">
        <x:f>2014-B910</x:f>
        <x:v>22</x:v>
      </x:c>
      <x:c r="AF910" s="17" t="n">
        <x:f>F910+G910</x:f>
        <x:v>0</x:v>
      </x:c>
      <x:c r="AG910" s="21" t="n">
        <x:f>SUM(J910:O910)</x:f>
        <x:v>1253</x:v>
      </x:c>
      <x:c r="AH910" s="17" t="n">
        <x:f>SUM(Q910:S910)</x:f>
        <x:v>18</x:v>
      </x:c>
      <x:c r="AI910" s="17" t="n">
        <x:f>SUM(U910:Y910)</x:f>
        <x:v>0</x:v>
      </x:c>
      <x:c r="AJ910" s="17" t="str">
        <x:f>IF(AE910&lt;=34,"≤34",IF(AE910&lt;=44,"35–44",IF(AE910&lt;=54,"45–54",IF(AE910&lt;=64,"55–64","65+"))))</x:f>
        <x:v>≤34</x:v>
      </x:c>
      <x:c r="AK910" s="17" t="str">
        <x:f>IF(AG910&gt;=1000,"High Value",IF(AG910&gt;=300,"Mid Value","Low Value"))</x:f>
        <x:v>High Value</x:v>
      </x:c>
      <x:c r="AL910" s="17" t="str">
        <x:f>IF(AND(AI910&gt;=1,I910&lt;=50),"Priority 1",IF(AND(AG910&gt;=1000,I910&lt;=60),"Priority 2",IF(I910&lt;=30,"Priority 3","Nurture")))</x:f>
        <x:v>Priority 2</x:v>
      </x:c>
    </x:row>
    <x:row r="911">
      <x:c r="A911" s="16" t="n">
        <x:v>9760</x:v>
      </x:c>
      <x:c r="B911" s="16" t="n">
        <x:v>1963</x:v>
      </x:c>
      <x:c r="C911" s="16" t="str">
        <x:v>PhD</x:v>
      </x:c>
      <x:c r="D911" s="16" t="str">
        <x:v>Widow</x:v>
      </x:c>
      <x:c r="E911" s="16" t="n">
        <x:v>52278</x:v>
      </x:c>
      <x:c r="F911" s="16" t="n">
        <x:v>0</x:v>
      </x:c>
      <x:c r="G911" s="16" t="n">
        <x:v>1</x:v>
      </x:c>
      <x:c r="H911" s="16" t="str">
        <x:v>25-01-2013</x:v>
      </x:c>
      <x:c r="I911" s="16" t="n">
        <x:v>24</x:v>
      </x:c>
      <x:c r="J911" s="16" t="n">
        <x:v>953</x:v>
      </x:c>
      <x:c r="K911" s="16" t="n">
        <x:v>0</x:v>
      </x:c>
      <x:c r="L911" s="16" t="n">
        <x:v>71</x:v>
      </x:c>
      <x:c r="M911" s="16" t="n">
        <x:v>0</x:v>
      </x:c>
      <x:c r="N911" s="16" t="n">
        <x:v>0</x:v>
      </x:c>
      <x:c r="O911" s="16" t="n">
        <x:v>174</x:v>
      </x:c>
      <x:c r="P911" s="16" t="n">
        <x:v>6</x:v>
      </x:c>
      <x:c r="Q911" s="16" t="n">
        <x:v>10</x:v>
      </x:c>
      <x:c r="R911" s="16" t="n">
        <x:v>5</x:v>
      </x:c>
      <x:c r="S911" s="16" t="n">
        <x:v>10</x:v>
      </x:c>
      <x:c r="T911" s="16" t="n">
        <x:v>8</x:v>
      </x:c>
      <x:c r="U911" s="16" t="n">
        <x:v>0</x:v>
      </x:c>
      <x:c r="V911" s="16" t="n">
        <x:v>0</x:v>
      </x:c>
      <x:c r="W911" s="16" t="n">
        <x:v>0</x:v>
      </x:c>
      <x:c r="X911" s="16" t="n">
        <x:v>0</x:v>
      </x:c>
      <x:c r="Y911" s="16" t="n">
        <x:v>0</x:v>
      </x:c>
      <x:c r="Z911" s="16" t="n">
        <x:v>0</x:v>
      </x:c>
      <x:c r="AA911" s="16" t="n">
        <x:v>3</x:v>
      </x:c>
      <x:c r="AB911" s="16" t="n">
        <x:v>11</x:v>
      </x:c>
      <x:c r="AC911" s="16" t="n">
        <x:v>1</x:v>
      </x:c>
      <x:c r="AD911" s="21" t="n">
        <x:f>IF(E911="",MEDIAN($E$2:$E$2237),E911)</x:f>
        <x:v>52278</x:v>
      </x:c>
      <x:c r="AE911" s="17" t="n">
        <x:f>2014-B911</x:f>
        <x:v>51</x:v>
      </x:c>
      <x:c r="AF911" s="17" t="n">
        <x:f>F911+G911</x:f>
        <x:v>1</x:v>
      </x:c>
      <x:c r="AG911" s="21" t="n">
        <x:f>SUM(J911:O911)</x:f>
        <x:v>1198</x:v>
      </x:c>
      <x:c r="AH911" s="17" t="n">
        <x:f>SUM(Q911:S911)</x:f>
        <x:v>25</x:v>
      </x:c>
      <x:c r="AI911" s="17" t="n">
        <x:f>SUM(U911:Y911)</x:f>
        <x:v>0</x:v>
      </x:c>
      <x:c r="AJ911" s="17" t="str">
        <x:f>IF(AE911&lt;=34,"≤34",IF(AE911&lt;=44,"35–44",IF(AE911&lt;=54,"45–54",IF(AE911&lt;=64,"55–64","65+"))))</x:f>
        <x:v>45–54</x:v>
      </x:c>
      <x:c r="AK911" s="17" t="str">
        <x:f>IF(AG911&gt;=1000,"High Value",IF(AG911&gt;=300,"Mid Value","Low Value"))</x:f>
        <x:v>High Value</x:v>
      </x:c>
      <x:c r="AL911" s="17" t="str">
        <x:f>IF(AND(AI911&gt;=1,I911&lt;=50),"Priority 1",IF(AND(AG911&gt;=1000,I911&lt;=60),"Priority 2",IF(I911&lt;=30,"Priority 3","Nurture")))</x:f>
        <x:v>Priority 2</x:v>
      </x:c>
    </x:row>
    <x:row r="912">
      <x:c r="A912" s="16" t="n">
        <x:v>1048</x:v>
      </x:c>
      <x:c r="B912" s="16" t="n">
        <x:v>1972</x:v>
      </x:c>
      <x:c r="C912" s="16" t="str">
        <x:v>Master</x:v>
      </x:c>
      <x:c r="D912" s="16" t="str">
        <x:v>Married</x:v>
      </x:c>
      <x:c r="E912" s="16" t="n">
        <x:v>35641</x:v>
      </x:c>
      <x:c r="F912" s="16" t="n">
        <x:v>1</x:v>
      </x:c>
      <x:c r="G912" s="16" t="n">
        <x:v>0</x:v>
      </x:c>
      <x:c r="H912" s="16" t="str">
        <x:v>14-07-2013</x:v>
      </x:c>
      <x:c r="I912" s="16" t="n">
        <x:v>11</x:v>
      </x:c>
      <x:c r="J912" s="16" t="n">
        <x:v>63</x:v>
      </x:c>
      <x:c r="K912" s="16" t="n">
        <x:v>3</x:v>
      </x:c>
      <x:c r="L912" s="16" t="n">
        <x:v>67</x:v>
      </x:c>
      <x:c r="M912" s="16" t="n">
        <x:v>8</x:v>
      </x:c>
      <x:c r="N912" s="16" t="n">
        <x:v>9</x:v>
      </x:c>
      <x:c r="O912" s="16" t="n">
        <x:v>28</x:v>
      </x:c>
      <x:c r="P912" s="16" t="n">
        <x:v>2</x:v>
      </x:c>
      <x:c r="Q912" s="16" t="n">
        <x:v>3</x:v>
      </x:c>
      <x:c r="R912" s="16" t="n">
        <x:v>1</x:v>
      </x:c>
      <x:c r="S912" s="16" t="n">
        <x:v>4</x:v>
      </x:c>
      <x:c r="T912" s="16" t="n">
        <x:v>7</x:v>
      </x:c>
      <x:c r="U912" s="16" t="n">
        <x:v>0</x:v>
      </x:c>
      <x:c r="V912" s="16" t="n">
        <x:v>0</x:v>
      </x:c>
      <x:c r="W912" s="16" t="n">
        <x:v>0</x:v>
      </x:c>
      <x:c r="X912" s="16" t="n">
        <x:v>0</x:v>
      </x:c>
      <x:c r="Y912" s="16" t="n">
        <x:v>0</x:v>
      </x:c>
      <x:c r="Z912" s="16" t="n">
        <x:v>0</x:v>
      </x:c>
      <x:c r="AA912" s="16" t="n">
        <x:v>3</x:v>
      </x:c>
      <x:c r="AB912" s="16" t="n">
        <x:v>11</x:v>
      </x:c>
      <x:c r="AC912" s="16" t="n">
        <x:v>1</x:v>
      </x:c>
      <x:c r="AD912" s="21" t="n">
        <x:f>IF(E912="",MEDIAN($E$2:$E$2237),E912)</x:f>
        <x:v>35641</x:v>
      </x:c>
      <x:c r="AE912" s="17" t="n">
        <x:f>2014-B912</x:f>
        <x:v>42</x:v>
      </x:c>
      <x:c r="AF912" s="17" t="n">
        <x:f>F912+G912</x:f>
        <x:v>1</x:v>
      </x:c>
      <x:c r="AG912" s="21" t="n">
        <x:f>SUM(J912:O912)</x:f>
        <x:v>178</x:v>
      </x:c>
      <x:c r="AH912" s="17" t="n">
        <x:f>SUM(Q912:S912)</x:f>
        <x:v>8</x:v>
      </x:c>
      <x:c r="AI912" s="17" t="n">
        <x:f>SUM(U912:Y912)</x:f>
        <x:v>0</x:v>
      </x:c>
      <x:c r="AJ912" s="17" t="str">
        <x:f>IF(AE912&lt;=34,"≤34",IF(AE912&lt;=44,"35–44",IF(AE912&lt;=54,"45–54",IF(AE912&lt;=64,"55–64","65+"))))</x:f>
        <x:v>35–44</x:v>
      </x:c>
      <x:c r="AK912" s="17" t="str">
        <x:f>IF(AG912&gt;=1000,"High Value",IF(AG912&gt;=300,"Mid Value","Low Value"))</x:f>
        <x:v>Low Value</x:v>
      </x:c>
      <x:c r="AL912" s="17" t="str">
        <x:f>IF(AND(AI912&gt;=1,I912&lt;=50),"Priority 1",IF(AND(AG912&gt;=1000,I912&lt;=60),"Priority 2",IF(I912&lt;=30,"Priority 3","Nurture")))</x:f>
        <x:v>Priority 3</x:v>
      </x:c>
    </x:row>
    <x:row r="913">
      <x:c r="A913" s="16" t="n">
        <x:v>10619</x:v>
      </x:c>
      <x:c r="B913" s="16" t="n">
        <x:v>1994</x:v>
      </x:c>
      <x:c r="C913" s="16" t="str">
        <x:v>Graduation</x:v>
      </x:c>
      <x:c r="D913" s="16" t="str">
        <x:v>Single</x:v>
      </x:c>
      <x:c r="E913" s="16" t="n">
        <x:v>95529</x:v>
      </x:c>
      <x:c r="F913" s="16" t="n">
        <x:v>0</x:v>
      </x:c>
      <x:c r="G913" s="16" t="n">
        <x:v>0</x:v>
      </x:c>
      <x:c r="H913" s="16" t="str">
        <x:v>03-12-2012</x:v>
      </x:c>
      <x:c r="I913" s="16" t="n">
        <x:v>29</x:v>
      </x:c>
      <x:c r="J913" s="16" t="n">
        <x:v>770</x:v>
      </x:c>
      <x:c r="K913" s="16" t="n">
        <x:v>29</x:v>
      </x:c>
      <x:c r="L913" s="16" t="n">
        <x:v>890</x:v>
      </x:c>
      <x:c r="M913" s="16" t="n">
        <x:v>250</x:v>
      </x:c>
      <x:c r="N913" s="16" t="n">
        <x:v>27</x:v>
      </x:c>
      <x:c r="O913" s="16" t="n">
        <x:v>24</x:v>
      </x:c>
      <x:c r="P913" s="16" t="n">
        <x:v>1</x:v>
      </x:c>
      <x:c r="Q913" s="16" t="n">
        <x:v>7</x:v>
      </x:c>
      <x:c r="R913" s="16" t="n">
        <x:v>3</x:v>
      </x:c>
      <x:c r="S913" s="16" t="n">
        <x:v>7</x:v>
      </x:c>
      <x:c r="T913" s="16" t="n">
        <x:v>3</x:v>
      </x:c>
      <x:c r="U913" s="16" t="n">
        <x:v>0</x:v>
      </x:c>
      <x:c r="V913" s="16" t="n">
        <x:v>0</x:v>
      </x:c>
      <x:c r="W913" s="16" t="n">
        <x:v>1</x:v>
      </x:c>
      <x:c r="X913" s="16" t="n">
        <x:v>0</x:v>
      </x:c>
      <x:c r="Y913" s="16" t="n">
        <x:v>0</x:v>
      </x:c>
      <x:c r="Z913" s="16" t="n">
        <x:v>0</x:v>
      </x:c>
      <x:c r="AA913" s="16" t="n">
        <x:v>3</x:v>
      </x:c>
      <x:c r="AB913" s="16" t="n">
        <x:v>11</x:v>
      </x:c>
      <x:c r="AC913" s="16" t="n">
        <x:v>1</x:v>
      </x:c>
      <x:c r="AD913" s="21" t="n">
        <x:f>IF(E913="",MEDIAN($E$2:$E$2237),E913)</x:f>
        <x:v>95529</x:v>
      </x:c>
      <x:c r="AE913" s="17" t="n">
        <x:f>2014-B913</x:f>
        <x:v>20</x:v>
      </x:c>
      <x:c r="AF913" s="17" t="n">
        <x:f>F913+G913</x:f>
        <x:v>0</x:v>
      </x:c>
      <x:c r="AG913" s="21" t="n">
        <x:f>SUM(J913:O913)</x:f>
        <x:v>1990</x:v>
      </x:c>
      <x:c r="AH913" s="17" t="n">
        <x:f>SUM(Q913:S913)</x:f>
        <x:v>17</x:v>
      </x:c>
      <x:c r="AI913" s="17" t="n">
        <x:f>SUM(U913:Y913)</x:f>
        <x:v>1</x:v>
      </x:c>
      <x:c r="AJ913" s="17" t="str">
        <x:f>IF(AE913&lt;=34,"≤34",IF(AE913&lt;=44,"35–44",IF(AE913&lt;=54,"45–54",IF(AE913&lt;=64,"55–64","65+"))))</x:f>
        <x:v>≤34</x:v>
      </x:c>
      <x:c r="AK913" s="17" t="str">
        <x:f>IF(AG913&gt;=1000,"High Value",IF(AG913&gt;=300,"Mid Value","Low Value"))</x:f>
        <x:v>High Value</x:v>
      </x:c>
      <x:c r="AL913" s="17" t="str">
        <x:f>IF(AND(AI913&gt;=1,I913&lt;=50),"Priority 1",IF(AND(AG913&gt;=1000,I913&lt;=60),"Priority 2",IF(I913&lt;=30,"Priority 3","Nurture")))</x:f>
        <x:v>Priority 1</x:v>
      </x:c>
    </x:row>
    <x:row r="914">
      <x:c r="A914" s="16" t="n">
        <x:v>9308</x:v>
      </x:c>
      <x:c r="B914" s="16" t="n">
        <x:v>1954</x:v>
      </x:c>
      <x:c r="C914" s="16" t="str">
        <x:v>Graduation</x:v>
      </x:c>
      <x:c r="D914" s="16" t="str">
        <x:v>Married</x:v>
      </x:c>
      <x:c r="E914" s="16" t="n">
        <x:v>62820</x:v>
      </x:c>
      <x:c r="F914" s="16" t="n">
        <x:v>0</x:v>
      </x:c>
      <x:c r="G914" s="16" t="n">
        <x:v>0</x:v>
      </x:c>
      <x:c r="H914" s="16" t="str">
        <x:v>11-05-2013</x:v>
      </x:c>
      <x:c r="I914" s="16" t="n">
        <x:v>51</x:v>
      </x:c>
      <x:c r="J914" s="16" t="n">
        <x:v>398</x:v>
      </x:c>
      <x:c r="K914" s="16" t="n">
        <x:v>61</x:v>
      </x:c>
      <x:c r="L914" s="16" t="n">
        <x:v>265</x:v>
      </x:c>
      <x:c r="M914" s="16" t="n">
        <x:v>138</x:v>
      </x:c>
      <x:c r="N914" s="16" t="n">
        <x:v>61</x:v>
      </x:c>
      <x:c r="O914" s="16" t="n">
        <x:v>53</x:v>
      </x:c>
      <x:c r="P914" s="16" t="n">
        <x:v>1</x:v>
      </x:c>
      <x:c r="Q914" s="16" t="n">
        <x:v>3</x:v>
      </x:c>
      <x:c r="R914" s="16" t="n">
        <x:v>4</x:v>
      </x:c>
      <x:c r="S914" s="16" t="n">
        <x:v>6</x:v>
      </x:c>
      <x:c r="T914" s="16" t="n">
        <x:v>1</x:v>
      </x:c>
      <x:c r="U914" s="16" t="n">
        <x:v>0</x:v>
      </x:c>
      <x:c r="V914" s="16" t="n">
        <x:v>0</x:v>
      </x:c>
      <x:c r="W914" s="16" t="n">
        <x:v>0</x:v>
      </x:c>
      <x:c r="X914" s="16" t="n">
        <x:v>0</x:v>
      </x:c>
      <x:c r="Y914" s="16" t="n">
        <x:v>0</x:v>
      </x:c>
      <x:c r="Z914" s="16" t="n">
        <x:v>0</x:v>
      </x:c>
      <x:c r="AA914" s="16" t="n">
        <x:v>3</x:v>
      </x:c>
      <x:c r="AB914" s="16" t="n">
        <x:v>11</x:v>
      </x:c>
      <x:c r="AC914" s="16" t="n">
        <x:v>0</x:v>
      </x:c>
      <x:c r="AD914" s="21" t="n">
        <x:f>IF(E914="",MEDIAN($E$2:$E$2237),E914)</x:f>
        <x:v>62820</x:v>
      </x:c>
      <x:c r="AE914" s="17" t="n">
        <x:f>2014-B914</x:f>
        <x:v>60</x:v>
      </x:c>
      <x:c r="AF914" s="17" t="n">
        <x:f>F914+G914</x:f>
        <x:v>0</x:v>
      </x:c>
      <x:c r="AG914" s="21" t="n">
        <x:f>SUM(J914:O914)</x:f>
        <x:v>976</x:v>
      </x:c>
      <x:c r="AH914" s="17" t="n">
        <x:f>SUM(Q914:S914)</x:f>
        <x:v>13</x:v>
      </x:c>
      <x:c r="AI914" s="17" t="n">
        <x:f>SUM(U914:Y914)</x:f>
        <x:v>0</x:v>
      </x:c>
      <x:c r="AJ914" s="17" t="str">
        <x:f>IF(AE914&lt;=34,"≤34",IF(AE914&lt;=44,"35–44",IF(AE914&lt;=54,"45–54",IF(AE914&lt;=64,"55–64","65+"))))</x:f>
        <x:v>55–64</x:v>
      </x:c>
      <x:c r="AK914" s="17" t="str">
        <x:f>IF(AG914&gt;=1000,"High Value",IF(AG914&gt;=300,"Mid Value","Low Value"))</x:f>
        <x:v>Mid Value</x:v>
      </x:c>
      <x:c r="AL914" s="17" t="str">
        <x:f>IF(AND(AI914&gt;=1,I914&lt;=50),"Priority 1",IF(AND(AG914&gt;=1000,I914&lt;=60),"Priority 2",IF(I914&lt;=30,"Priority 3","Nurture")))</x:f>
        <x:v>Nurture</x:v>
      </x:c>
    </x:row>
    <x:row r="915">
      <x:c r="A915" s="16" t="n">
        <x:v>10505</x:v>
      </x:c>
      <x:c r="B915" s="16" t="n">
        <x:v>1960</x:v>
      </x:c>
      <x:c r="C915" s="16" t="str">
        <x:v>Master</x:v>
      </x:c>
      <x:c r="D915" s="16" t="str">
        <x:v>Together</x:v>
      </x:c>
      <x:c r="E915" s="16" t="n">
        <x:v>73113</x:v>
      </x:c>
      <x:c r="F915" s="16" t="n">
        <x:v>0</x:v>
      </x:c>
      <x:c r="G915" s="16" t="n">
        <x:v>0</x:v>
      </x:c>
      <x:c r="H915" s="16" t="str">
        <x:v>26-12-2013</x:v>
      </x:c>
      <x:c r="I915" s="16" t="n">
        <x:v>86</x:v>
      </x:c>
      <x:c r="J915" s="16" t="n">
        <x:v>741</x:v>
      </x:c>
      <x:c r="K915" s="16" t="n">
        <x:v>19</x:v>
      </x:c>
      <x:c r="L915" s="16" t="n">
        <x:v>154</x:v>
      </x:c>
      <x:c r="M915" s="16" t="n">
        <x:v>50</x:v>
      </x:c>
      <x:c r="N915" s="16" t="n">
        <x:v>9</x:v>
      </x:c>
      <x:c r="O915" s="16" t="n">
        <x:v>28</x:v>
      </x:c>
      <x:c r="P915" s="16" t="n">
        <x:v>1</x:v>
      </x:c>
      <x:c r="Q915" s="16" t="n">
        <x:v>3</x:v>
      </x:c>
      <x:c r="R915" s="16" t="n">
        <x:v>4</x:v>
      </x:c>
      <x:c r="S915" s="16" t="n">
        <x:v>7</x:v>
      </x:c>
      <x:c r="T915" s="16" t="n">
        <x:v>2</x:v>
      </x:c>
      <x:c r="U915" s="16" t="n">
        <x:v>0</x:v>
      </x:c>
      <x:c r="V915" s="16" t="n">
        <x:v>0</x:v>
      </x:c>
      <x:c r="W915" s="16" t="n">
        <x:v>0</x:v>
      </x:c>
      <x:c r="X915" s="16" t="n">
        <x:v>0</x:v>
      </x:c>
      <x:c r="Y915" s="16" t="n">
        <x:v>0</x:v>
      </x:c>
      <x:c r="Z915" s="16" t="n">
        <x:v>0</x:v>
      </x:c>
      <x:c r="AA915" s="16" t="n">
        <x:v>3</x:v>
      </x:c>
      <x:c r="AB915" s="16" t="n">
        <x:v>11</x:v>
      </x:c>
      <x:c r="AC915" s="16" t="n">
        <x:v>0</x:v>
      </x:c>
      <x:c r="AD915" s="21" t="n">
        <x:f>IF(E915="",MEDIAN($E$2:$E$2237),E915)</x:f>
        <x:v>73113</x:v>
      </x:c>
      <x:c r="AE915" s="17" t="n">
        <x:f>2014-B915</x:f>
        <x:v>54</x:v>
      </x:c>
      <x:c r="AF915" s="17" t="n">
        <x:f>F915+G915</x:f>
        <x:v>0</x:v>
      </x:c>
      <x:c r="AG915" s="21" t="n">
        <x:f>SUM(J915:O915)</x:f>
        <x:v>1001</x:v>
      </x:c>
      <x:c r="AH915" s="17" t="n">
        <x:f>SUM(Q915:S915)</x:f>
        <x:v>14</x:v>
      </x:c>
      <x:c r="AI915" s="17" t="n">
        <x:f>SUM(U915:Y915)</x:f>
        <x:v>0</x:v>
      </x:c>
      <x:c r="AJ915" s="17" t="str">
        <x:f>IF(AE915&lt;=34,"≤34",IF(AE915&lt;=44,"35–44",IF(AE915&lt;=54,"45–54",IF(AE915&lt;=64,"55–64","65+"))))</x:f>
        <x:v>45–54</x:v>
      </x:c>
      <x:c r="AK915" s="17" t="str">
        <x:f>IF(AG915&gt;=1000,"High Value",IF(AG915&gt;=300,"Mid Value","Low Value"))</x:f>
        <x:v>High Value</x:v>
      </x:c>
      <x:c r="AL915" s="17" t="str">
        <x:f>IF(AND(AI915&gt;=1,I915&lt;=50),"Priority 1",IF(AND(AG915&gt;=1000,I915&lt;=60),"Priority 2",IF(I915&lt;=30,"Priority 3","Nurture")))</x:f>
        <x:v>Nurture</x:v>
      </x:c>
    </x:row>
    <x:row r="916">
      <x:c r="A916" s="16" t="n">
        <x:v>8362</x:v>
      </x:c>
      <x:c r="B916" s="16" t="n">
        <x:v>1982</x:v>
      </x:c>
      <x:c r="C916" s="16" t="str">
        <x:v>PhD</x:v>
      </x:c>
      <x:c r="D916" s="16" t="str">
        <x:v>Married</x:v>
      </x:c>
      <x:c r="E916" s="16" t="n">
        <x:v>84169</x:v>
      </x:c>
      <x:c r="F916" s="16" t="n">
        <x:v>0</x:v>
      </x:c>
      <x:c r="G916" s="16" t="n">
        <x:v>0</x:v>
      </x:c>
      <x:c r="H916" s="16" t="str">
        <x:v>07-08-2013</x:v>
      </x:c>
      <x:c r="I916" s="16" t="n">
        <x:v>9</x:v>
      </x:c>
      <x:c r="J916" s="16" t="n">
        <x:v>1478</x:v>
      </x:c>
      <x:c r="K916" s="16" t="n">
        <x:v>19</x:v>
      </x:c>
      <x:c r="L916" s="16" t="n">
        <x:v>403</x:v>
      </x:c>
      <x:c r="M916" s="16" t="n">
        <x:v>0</x:v>
      </x:c>
      <x:c r="N916" s="16" t="n">
        <x:v>19</x:v>
      </x:c>
      <x:c r="O916" s="16" t="n">
        <x:v>0</x:v>
      </x:c>
      <x:c r="P916" s="16" t="n">
        <x:v>1</x:v>
      </x:c>
      <x:c r="Q916" s="16" t="n">
        <x:v>7</x:v>
      </x:c>
      <x:c r="R916" s="16" t="n">
        <x:v>6</x:v>
      </x:c>
      <x:c r="S916" s="16" t="n">
        <x:v>6</x:v>
      </x:c>
      <x:c r="T916" s="16" t="n">
        <x:v>3</x:v>
      </x:c>
      <x:c r="U916" s="16" t="n">
        <x:v>0</x:v>
      </x:c>
      <x:c r="V916" s="16" t="n">
        <x:v>1</x:v>
      </x:c>
      <x:c r="W916" s="16" t="n">
        <x:v>1</x:v>
      </x:c>
      <x:c r="X916" s="16" t="n">
        <x:v>0</x:v>
      </x:c>
      <x:c r="Y916" s="16" t="n">
        <x:v>0</x:v>
      </x:c>
      <x:c r="Z916" s="16" t="n">
        <x:v>0</x:v>
      </x:c>
      <x:c r="AA916" s="16" t="n">
        <x:v>3</x:v>
      </x:c>
      <x:c r="AB916" s="16" t="n">
        <x:v>11</x:v>
      </x:c>
      <x:c r="AC916" s="16" t="n">
        <x:v>1</x:v>
      </x:c>
      <x:c r="AD916" s="21" t="n">
        <x:f>IF(E916="",MEDIAN($E$2:$E$2237),E916)</x:f>
        <x:v>84169</x:v>
      </x:c>
      <x:c r="AE916" s="17" t="n">
        <x:f>2014-B916</x:f>
        <x:v>32</x:v>
      </x:c>
      <x:c r="AF916" s="17" t="n">
        <x:f>F916+G916</x:f>
        <x:v>0</x:v>
      </x:c>
      <x:c r="AG916" s="21" t="n">
        <x:f>SUM(J916:O916)</x:f>
        <x:v>1919</x:v>
      </x:c>
      <x:c r="AH916" s="17" t="n">
        <x:f>SUM(Q916:S916)</x:f>
        <x:v>19</x:v>
      </x:c>
      <x:c r="AI916" s="17" t="n">
        <x:f>SUM(U916:Y916)</x:f>
        <x:v>2</x:v>
      </x:c>
      <x:c r="AJ916" s="17" t="str">
        <x:f>IF(AE916&lt;=34,"≤34",IF(AE916&lt;=44,"35–44",IF(AE916&lt;=54,"45–54",IF(AE916&lt;=64,"55–64","65+"))))</x:f>
        <x:v>≤34</x:v>
      </x:c>
      <x:c r="AK916" s="17" t="str">
        <x:f>IF(AG916&gt;=1000,"High Value",IF(AG916&gt;=300,"Mid Value","Low Value"))</x:f>
        <x:v>High Value</x:v>
      </x:c>
      <x:c r="AL916" s="17" t="str">
        <x:f>IF(AND(AI916&gt;=1,I916&lt;=50),"Priority 1",IF(AND(AG916&gt;=1000,I916&lt;=60),"Priority 2",IF(I916&lt;=30,"Priority 3","Nurture")))</x:f>
        <x:v>Priority 1</x:v>
      </x:c>
    </x:row>
    <x:row r="917">
      <x:c r="A917" s="16" t="n">
        <x:v>2625</x:v>
      </x:c>
      <x:c r="B917" s="16" t="n">
        <x:v>1954</x:v>
      </x:c>
      <x:c r="C917" s="16" t="str">
        <x:v>2n Cycle</x:v>
      </x:c>
      <x:c r="D917" s="16" t="str">
        <x:v>Single</x:v>
      </x:c>
      <x:c r="E917" s="16" t="n">
        <x:v>42607</x:v>
      </x:c>
      <x:c r="F917" s="16" t="n">
        <x:v>0</x:v>
      </x:c>
      <x:c r="G917" s="16" t="n">
        <x:v>1</x:v>
      </x:c>
      <x:c r="H917" s="16" t="str">
        <x:v>17-11-2013</x:v>
      </x:c>
      <x:c r="I917" s="16" t="n">
        <x:v>30</x:v>
      </x:c>
      <x:c r="J917" s="16" t="n">
        <x:v>156</x:v>
      </x:c>
      <x:c r="K917" s="16" t="n">
        <x:v>29</x:v>
      </x:c>
      <x:c r="L917" s="16" t="n">
        <x:v>56</x:v>
      </x:c>
      <x:c r="M917" s="16" t="n">
        <x:v>30</x:v>
      </x:c>
      <x:c r="N917" s="16" t="n">
        <x:v>32</x:v>
      </x:c>
      <x:c r="O917" s="16" t="n">
        <x:v>47</x:v>
      </x:c>
      <x:c r="P917" s="16" t="n">
        <x:v>2</x:v>
      </x:c>
      <x:c r="Q917" s="16" t="n">
        <x:v>3</x:v>
      </x:c>
      <x:c r="R917" s="16" t="n">
        <x:v>2</x:v>
      </x:c>
      <x:c r="S917" s="16" t="n">
        <x:v>7</x:v>
      </x:c>
      <x:c r="T917" s="16" t="n">
        <x:v>3</x:v>
      </x:c>
      <x:c r="U917" s="16" t="n">
        <x:v>0</x:v>
      </x:c>
      <x:c r="V917" s="16" t="n">
        <x:v>0</x:v>
      </x:c>
      <x:c r="W917" s="16" t="n">
        <x:v>0</x:v>
      </x:c>
      <x:c r="X917" s="16" t="n">
        <x:v>0</x:v>
      </x:c>
      <x:c r="Y917" s="16" t="n">
        <x:v>0</x:v>
      </x:c>
      <x:c r="Z917" s="16" t="n">
        <x:v>0</x:v>
      </x:c>
      <x:c r="AA917" s="16" t="n">
        <x:v>3</x:v>
      </x:c>
      <x:c r="AB917" s="16" t="n">
        <x:v>11</x:v>
      </x:c>
      <x:c r="AC917" s="16" t="n">
        <x:v>0</x:v>
      </x:c>
      <x:c r="AD917" s="21" t="n">
        <x:f>IF(E917="",MEDIAN($E$2:$E$2237),E917)</x:f>
        <x:v>42607</x:v>
      </x:c>
      <x:c r="AE917" s="17" t="n">
        <x:f>2014-B917</x:f>
        <x:v>60</x:v>
      </x:c>
      <x:c r="AF917" s="17" t="n">
        <x:f>F917+G917</x:f>
        <x:v>1</x:v>
      </x:c>
      <x:c r="AG917" s="21" t="n">
        <x:f>SUM(J917:O917)</x:f>
        <x:v>350</x:v>
      </x:c>
      <x:c r="AH917" s="17" t="n">
        <x:f>SUM(Q917:S917)</x:f>
        <x:v>12</x:v>
      </x:c>
      <x:c r="AI917" s="17" t="n">
        <x:f>SUM(U917:Y917)</x:f>
        <x:v>0</x:v>
      </x:c>
      <x:c r="AJ917" s="17" t="str">
        <x:f>IF(AE917&lt;=34,"≤34",IF(AE917&lt;=44,"35–44",IF(AE917&lt;=54,"45–54",IF(AE917&lt;=64,"55–64","65+"))))</x:f>
        <x:v>55–64</x:v>
      </x:c>
      <x:c r="AK917" s="17" t="str">
        <x:f>IF(AG917&gt;=1000,"High Value",IF(AG917&gt;=300,"Mid Value","Low Value"))</x:f>
        <x:v>Mid Value</x:v>
      </x:c>
      <x:c r="AL917" s="17" t="str">
        <x:f>IF(AND(AI917&gt;=1,I917&lt;=50),"Priority 1",IF(AND(AG917&gt;=1000,I917&lt;=60),"Priority 2",IF(I917&lt;=30,"Priority 3","Nurture")))</x:f>
        <x:v>Priority 3</x:v>
      </x:c>
    </x:row>
    <x:row r="918">
      <x:c r="A918" s="16" t="n">
        <x:v>4637</x:v>
      </x:c>
      <x:c r="B918" s="16" t="n">
        <x:v>1954</x:v>
      </x:c>
      <x:c r="C918" s="16" t="str">
        <x:v>PhD</x:v>
      </x:c>
      <x:c r="D918" s="16" t="str">
        <x:v>Single</x:v>
      </x:c>
      <x:c r="E918" s="16" t="n">
        <x:v>74637</x:v>
      </x:c>
      <x:c r="F918" s="16" t="n">
        <x:v>0</x:v>
      </x:c>
      <x:c r="G918" s="16" t="n">
        <x:v>0</x:v>
      </x:c>
      <x:c r="H918" s="16" t="str">
        <x:v>18-05-2013</x:v>
      </x:c>
      <x:c r="I918" s="16" t="n">
        <x:v>73</x:v>
      </x:c>
      <x:c r="J918" s="16" t="n">
        <x:v>960</x:v>
      </x:c>
      <x:c r="K918" s="16" t="n">
        <x:v>64</x:v>
      </x:c>
      <x:c r="L918" s="16" t="n">
        <x:v>464</x:v>
      </x:c>
      <x:c r="M918" s="16" t="n">
        <x:v>146</x:v>
      </x:c>
      <x:c r="N918" s="16" t="n">
        <x:v>0</x:v>
      </x:c>
      <x:c r="O918" s="16" t="n">
        <x:v>16</x:v>
      </x:c>
      <x:c r="P918" s="16" t="n">
        <x:v>1</x:v>
      </x:c>
      <x:c r="Q918" s="16" t="n">
        <x:v>6</x:v>
      </x:c>
      <x:c r="R918" s="16" t="n">
        <x:v>9</x:v>
      </x:c>
      <x:c r="S918" s="16" t="n">
        <x:v>9</x:v>
      </x:c>
      <x:c r="T918" s="16" t="n">
        <x:v>3</x:v>
      </x:c>
      <x:c r="U918" s="16" t="n">
        <x:v>0</x:v>
      </x:c>
      <x:c r="V918" s="16" t="n">
        <x:v>0</x:v>
      </x:c>
      <x:c r="W918" s="16" t="n">
        <x:v>0</x:v>
      </x:c>
      <x:c r="X918" s="16" t="n">
        <x:v>1</x:v>
      </x:c>
      <x:c r="Y918" s="16" t="n">
        <x:v>0</x:v>
      </x:c>
      <x:c r="Z918" s="16" t="n">
        <x:v>0</x:v>
      </x:c>
      <x:c r="AA918" s="16" t="n">
        <x:v>3</x:v>
      </x:c>
      <x:c r="AB918" s="16" t="n">
        <x:v>11</x:v>
      </x:c>
      <x:c r="AC918" s="16" t="n">
        <x:v>0</x:v>
      </x:c>
      <x:c r="AD918" s="21" t="n">
        <x:f>IF(E918="",MEDIAN($E$2:$E$2237),E918)</x:f>
        <x:v>74637</x:v>
      </x:c>
      <x:c r="AE918" s="17" t="n">
        <x:f>2014-B918</x:f>
        <x:v>60</x:v>
      </x:c>
      <x:c r="AF918" s="17" t="n">
        <x:f>F918+G918</x:f>
        <x:v>0</x:v>
      </x:c>
      <x:c r="AG918" s="21" t="n">
        <x:f>SUM(J918:O918)</x:f>
        <x:v>1650</x:v>
      </x:c>
      <x:c r="AH918" s="17" t="n">
        <x:f>SUM(Q918:S918)</x:f>
        <x:v>24</x:v>
      </x:c>
      <x:c r="AI918" s="17" t="n">
        <x:f>SUM(U918:Y918)</x:f>
        <x:v>1</x:v>
      </x:c>
      <x:c r="AJ918" s="17" t="str">
        <x:f>IF(AE918&lt;=34,"≤34",IF(AE918&lt;=44,"35–44",IF(AE918&lt;=54,"45–54",IF(AE918&lt;=64,"55–64","65+"))))</x:f>
        <x:v>55–64</x:v>
      </x:c>
      <x:c r="AK918" s="17" t="str">
        <x:f>IF(AG918&gt;=1000,"High Value",IF(AG918&gt;=300,"Mid Value","Low Value"))</x:f>
        <x:v>High Value</x:v>
      </x:c>
      <x:c r="AL918" s="17" t="str">
        <x:f>IF(AND(AI918&gt;=1,I918&lt;=50),"Priority 1",IF(AND(AG918&gt;=1000,I918&lt;=60),"Priority 2",IF(I918&lt;=30,"Priority 3","Nurture")))</x:f>
        <x:v>Nurture</x:v>
      </x:c>
    </x:row>
    <x:row r="919">
      <x:c r="A919" s="16" t="n">
        <x:v>9972</x:v>
      </x:c>
      <x:c r="B919" s="16" t="n">
        <x:v>1955</x:v>
      </x:c>
      <x:c r="C919" s="16" t="str">
        <x:v>PhD</x:v>
      </x:c>
      <x:c r="D919" s="16" t="str">
        <x:v>Together</x:v>
      </x:c>
      <x:c r="E919" s="16" t="n">
        <x:v>46015</x:v>
      </x:c>
      <x:c r="F919" s="16" t="n">
        <x:v>1</x:v>
      </x:c>
      <x:c r="G919" s="16" t="n">
        <x:v>1</x:v>
      </x:c>
      <x:c r="H919" s="16" t="str">
        <x:v>13-04-2014</x:v>
      </x:c>
      <x:c r="I919" s="16" t="n">
        <x:v>25</x:v>
      </x:c>
      <x:c r="J919" s="16" t="n">
        <x:v>38</x:v>
      </x:c>
      <x:c r="K919" s="16" t="n">
        <x:v>0</x:v>
      </x:c>
      <x:c r="L919" s="16" t="n">
        <x:v>2</x:v>
      </x:c>
      <x:c r="M919" s="16" t="n">
        <x:v>0</x:v>
      </x:c>
      <x:c r="N919" s="16" t="n">
        <x:v>0</x:v>
      </x:c>
      <x:c r="O919" s="16" t="n">
        <x:v>6</x:v>
      </x:c>
      <x:c r="P919" s="16" t="n">
        <x:v>1</x:v>
      </x:c>
      <x:c r="Q919" s="16" t="n">
        <x:v>1</x:v>
      </x:c>
      <x:c r="R919" s="16" t="n">
        <x:v>0</x:v>
      </x:c>
      <x:c r="S919" s="16" t="n">
        <x:v>3</x:v>
      </x:c>
      <x:c r="T919" s="16" t="n">
        <x:v>7</x:v>
      </x:c>
      <x:c r="U919" s="16" t="n">
        <x:v>1</x:v>
      </x:c>
      <x:c r="V919" s="16" t="n">
        <x:v>0</x:v>
      </x:c>
      <x:c r="W919" s="16" t="n">
        <x:v>0</x:v>
      </x:c>
      <x:c r="X919" s="16" t="n">
        <x:v>0</x:v>
      </x:c>
      <x:c r="Y919" s="16" t="n">
        <x:v>1</x:v>
      </x:c>
      <x:c r="Z919" s="16" t="n">
        <x:v>0</x:v>
      </x:c>
      <x:c r="AA919" s="16" t="n">
        <x:v>3</x:v>
      </x:c>
      <x:c r="AB919" s="16" t="n">
        <x:v>11</x:v>
      </x:c>
      <x:c r="AC919" s="16" t="n">
        <x:v>0</x:v>
      </x:c>
      <x:c r="AD919" s="21" t="n">
        <x:f>IF(E919="",MEDIAN($E$2:$E$2237),E919)</x:f>
        <x:v>46015</x:v>
      </x:c>
      <x:c r="AE919" s="17" t="n">
        <x:f>2014-B919</x:f>
        <x:v>59</x:v>
      </x:c>
      <x:c r="AF919" s="17" t="n">
        <x:f>F919+G919</x:f>
        <x:v>2</x:v>
      </x:c>
      <x:c r="AG919" s="21" t="n">
        <x:f>SUM(J919:O919)</x:f>
        <x:v>46</x:v>
      </x:c>
      <x:c r="AH919" s="17" t="n">
        <x:f>SUM(Q919:S919)</x:f>
        <x:v>4</x:v>
      </x:c>
      <x:c r="AI919" s="17" t="n">
        <x:f>SUM(U919:Y919)</x:f>
        <x:v>2</x:v>
      </x:c>
      <x:c r="AJ919" s="17" t="str">
        <x:f>IF(AE919&lt;=34,"≤34",IF(AE919&lt;=44,"35–44",IF(AE919&lt;=54,"45–54",IF(AE919&lt;=64,"55–64","65+"))))</x:f>
        <x:v>55–64</x:v>
      </x:c>
      <x:c r="AK919" s="17" t="str">
        <x:f>IF(AG919&gt;=1000,"High Value",IF(AG919&gt;=300,"Mid Value","Low Value"))</x:f>
        <x:v>Low Value</x:v>
      </x:c>
      <x:c r="AL919" s="17" t="str">
        <x:f>IF(AND(AI919&gt;=1,I919&lt;=50),"Priority 1",IF(AND(AG919&gt;=1000,I919&lt;=60),"Priority 2",IF(I919&lt;=30,"Priority 3","Nurture")))</x:f>
        <x:v>Priority 1</x:v>
      </x:c>
    </x:row>
    <x:row r="920">
      <x:c r="A920" s="16" t="n">
        <x:v>4483</x:v>
      </x:c>
      <x:c r="B920" s="16" t="n">
        <x:v>1993</x:v>
      </x:c>
      <x:c r="C920" s="16" t="str">
        <x:v>Graduation</x:v>
      </x:c>
      <x:c r="D920" s="16" t="str">
        <x:v>Single</x:v>
      </x:c>
      <x:c r="E920" s="16" t="n">
        <x:v>72354</x:v>
      </x:c>
      <x:c r="F920" s="16" t="n">
        <x:v>0</x:v>
      </x:c>
      <x:c r="G920" s="16" t="n">
        <x:v>0</x:v>
      </x:c>
      <x:c r="H920" s="16" t="str">
        <x:v>17-04-2013</x:v>
      </x:c>
      <x:c r="I920" s="16" t="n">
        <x:v>67</x:v>
      </x:c>
      <x:c r="J920" s="16" t="n">
        <x:v>315</x:v>
      </x:c>
      <x:c r="K920" s="16" t="n">
        <x:v>26</x:v>
      </x:c>
      <x:c r="L920" s="16" t="n">
        <x:v>473</x:v>
      </x:c>
      <x:c r="M920" s="16" t="n">
        <x:v>220</x:v>
      </x:c>
      <x:c r="N920" s="16" t="n">
        <x:v>12</x:v>
      </x:c>
      <x:c r="O920" s="16" t="n">
        <x:v>182</x:v>
      </x:c>
      <x:c r="P920" s="16" t="n">
        <x:v>1</x:v>
      </x:c>
      <x:c r="Q920" s="16" t="n">
        <x:v>2</x:v>
      </x:c>
      <x:c r="R920" s="16" t="n">
        <x:v>10</x:v>
      </x:c>
      <x:c r="S920" s="16" t="n">
        <x:v>6</x:v>
      </x:c>
      <x:c r="T920" s="16" t="n">
        <x:v>1</x:v>
      </x:c>
      <x:c r="U920" s="16" t="n">
        <x:v>0</x:v>
      </x:c>
      <x:c r="V920" s="16" t="n">
        <x:v>0</x:v>
      </x:c>
      <x:c r="W920" s="16" t="n">
        <x:v>0</x:v>
      </x:c>
      <x:c r="X920" s="16" t="n">
        <x:v>0</x:v>
      </x:c>
      <x:c r="Y920" s="16" t="n">
        <x:v>0</x:v>
      </x:c>
      <x:c r="Z920" s="16" t="n">
        <x:v>0</x:v>
      </x:c>
      <x:c r="AA920" s="16" t="n">
        <x:v>3</x:v>
      </x:c>
      <x:c r="AB920" s="16" t="n">
        <x:v>11</x:v>
      </x:c>
      <x:c r="AC920" s="16" t="n">
        <x:v>0</x:v>
      </x:c>
      <x:c r="AD920" s="21" t="n">
        <x:f>IF(E920="",MEDIAN($E$2:$E$2237),E920)</x:f>
        <x:v>72354</x:v>
      </x:c>
      <x:c r="AE920" s="17" t="n">
        <x:f>2014-B920</x:f>
        <x:v>21</x:v>
      </x:c>
      <x:c r="AF920" s="17" t="n">
        <x:f>F920+G920</x:f>
        <x:v>0</x:v>
      </x:c>
      <x:c r="AG920" s="21" t="n">
        <x:f>SUM(J920:O920)</x:f>
        <x:v>1228</x:v>
      </x:c>
      <x:c r="AH920" s="17" t="n">
        <x:f>SUM(Q920:S920)</x:f>
        <x:v>18</x:v>
      </x:c>
      <x:c r="AI920" s="17" t="n">
        <x:f>SUM(U920:Y920)</x:f>
        <x:v>0</x:v>
      </x:c>
      <x:c r="AJ920" s="17" t="str">
        <x:f>IF(AE920&lt;=34,"≤34",IF(AE920&lt;=44,"35–44",IF(AE920&lt;=54,"45–54",IF(AE920&lt;=64,"55–64","65+"))))</x:f>
        <x:v>≤34</x:v>
      </x:c>
      <x:c r="AK920" s="17" t="str">
        <x:f>IF(AG920&gt;=1000,"High Value",IF(AG920&gt;=300,"Mid Value","Low Value"))</x:f>
        <x:v>High Value</x:v>
      </x:c>
      <x:c r="AL920" s="17" t="str">
        <x:f>IF(AND(AI920&gt;=1,I920&lt;=50),"Priority 1",IF(AND(AG920&gt;=1000,I920&lt;=60),"Priority 2",IF(I920&lt;=30,"Priority 3","Nurture")))</x:f>
        <x:v>Nurture</x:v>
      </x:c>
    </x:row>
    <x:row r="921">
      <x:c r="A921" s="16" t="n">
        <x:v>4487</x:v>
      </x:c>
      <x:c r="B921" s="16" t="n">
        <x:v>1969</x:v>
      </x:c>
      <x:c r="C921" s="16" t="str">
        <x:v>Master</x:v>
      </x:c>
      <x:c r="D921" s="16" t="str">
        <x:v>Single</x:v>
      </x:c>
      <x:c r="E921" s="16" t="n">
        <x:v>39858</x:v>
      </x:c>
      <x:c r="F921" s="16" t="n">
        <x:v>1</x:v>
      </x:c>
      <x:c r="G921" s="16" t="n">
        <x:v>0</x:v>
      </x:c>
      <x:c r="H921" s="16" t="str">
        <x:v>24-01-2013</x:v>
      </x:c>
      <x:c r="I921" s="16" t="n">
        <x:v>67</x:v>
      </x:c>
      <x:c r="J921" s="16" t="n">
        <x:v>15</x:v>
      </x:c>
      <x:c r="K921" s="16" t="n">
        <x:v>20</x:v>
      </x:c>
      <x:c r="L921" s="16" t="n">
        <x:v>25</x:v>
      </x:c>
      <x:c r="M921" s="16" t="n">
        <x:v>2</x:v>
      </x:c>
      <x:c r="N921" s="16" t="n">
        <x:v>7</x:v>
      </x:c>
      <x:c r="O921" s="16" t="n">
        <x:v>26</x:v>
      </x:c>
      <x:c r="P921" s="16" t="n">
        <x:v>1</x:v>
      </x:c>
      <x:c r="Q921" s="16" t="n">
        <x:v>2</x:v>
      </x:c>
      <x:c r="R921" s="16" t="n">
        <x:v>0</x:v>
      </x:c>
      <x:c r="S921" s="16" t="n">
        <x:v>4</x:v>
      </x:c>
      <x:c r="T921" s="16" t="n">
        <x:v>6</x:v>
      </x:c>
      <x:c r="U921" s="16" t="n">
        <x:v>0</x:v>
      </x:c>
      <x:c r="V921" s="16" t="n">
        <x:v>0</x:v>
      </x:c>
      <x:c r="W921" s="16" t="n">
        <x:v>0</x:v>
      </x:c>
      <x:c r="X921" s="16" t="n">
        <x:v>0</x:v>
      </x:c>
      <x:c r="Y921" s="16" t="n">
        <x:v>0</x:v>
      </x:c>
      <x:c r="Z921" s="16" t="n">
        <x:v>0</x:v>
      </x:c>
      <x:c r="AA921" s="16" t="n">
        <x:v>3</x:v>
      </x:c>
      <x:c r="AB921" s="16" t="n">
        <x:v>11</x:v>
      </x:c>
      <x:c r="AC921" s="16" t="n">
        <x:v>1</x:v>
      </x:c>
      <x:c r="AD921" s="21" t="n">
        <x:f>IF(E921="",MEDIAN($E$2:$E$2237),E921)</x:f>
        <x:v>39858</x:v>
      </x:c>
      <x:c r="AE921" s="17" t="n">
        <x:f>2014-B921</x:f>
        <x:v>45</x:v>
      </x:c>
      <x:c r="AF921" s="17" t="n">
        <x:f>F921+G921</x:f>
        <x:v>1</x:v>
      </x:c>
      <x:c r="AG921" s="21" t="n">
        <x:f>SUM(J921:O921)</x:f>
        <x:v>95</x:v>
      </x:c>
      <x:c r="AH921" s="17" t="n">
        <x:f>SUM(Q921:S921)</x:f>
        <x:v>6</x:v>
      </x:c>
      <x:c r="AI921" s="17" t="n">
        <x:f>SUM(U921:Y921)</x:f>
        <x:v>0</x:v>
      </x:c>
      <x:c r="AJ921" s="17" t="str">
        <x:f>IF(AE921&lt;=34,"≤34",IF(AE921&lt;=44,"35–44",IF(AE921&lt;=54,"45–54",IF(AE921&lt;=64,"55–64","65+"))))</x:f>
        <x:v>45–54</x:v>
      </x:c>
      <x:c r="AK921" s="17" t="str">
        <x:f>IF(AG921&gt;=1000,"High Value",IF(AG921&gt;=300,"Mid Value","Low Value"))</x:f>
        <x:v>Low Value</x:v>
      </x:c>
      <x:c r="AL921" s="17" t="str">
        <x:f>IF(AND(AI921&gt;=1,I921&lt;=50),"Priority 1",IF(AND(AG921&gt;=1000,I921&lt;=60),"Priority 2",IF(I921&lt;=30,"Priority 3","Nurture")))</x:f>
        <x:v>Nurture</x:v>
      </x:c>
    </x:row>
    <x:row r="922">
      <x:c r="A922" s="16" t="n">
        <x:v>4988</x:v>
      </x:c>
      <x:c r="B922" s="16" t="n">
        <x:v>1948</x:v>
      </x:c>
      <x:c r="C922" s="16" t="str">
        <x:v>PhD</x:v>
      </x:c>
      <x:c r="D922" s="16" t="str">
        <x:v>Married</x:v>
      </x:c>
      <x:c r="E922" s="16" t="n">
        <x:v>34469</x:v>
      </x:c>
      <x:c r="F922" s="16" t="n">
        <x:v>1</x:v>
      </x:c>
      <x:c r="G922" s="16" t="n">
        <x:v>1</x:v>
      </x:c>
      <x:c r="H922" s="16" t="str">
        <x:v>04-05-2014</x:v>
      </x:c>
      <x:c r="I922" s="16" t="n">
        <x:v>58</x:v>
      </x:c>
      <x:c r="J922" s="16" t="n">
        <x:v>19</x:v>
      </x:c>
      <x:c r="K922" s="16" t="n">
        <x:v>6</x:v>
      </x:c>
      <x:c r="L922" s="16" t="n">
        <x:v>20</x:v>
      </x:c>
      <x:c r="M922" s="16" t="n">
        <x:v>0</x:v>
      </x:c>
      <x:c r="N922" s="16" t="n">
        <x:v>5</x:v>
      </x:c>
      <x:c r="O922" s="16" t="n">
        <x:v>12</x:v>
      </x:c>
      <x:c r="P922" s="16" t="n">
        <x:v>3</x:v>
      </x:c>
      <x:c r="Q922" s="16" t="n">
        <x:v>1</x:v>
      </x:c>
      <x:c r="R922" s="16" t="n">
        <x:v>1</x:v>
      </x:c>
      <x:c r="S922" s="16" t="n">
        <x:v>4</x:v>
      </x:c>
      <x:c r="T922" s="16" t="n">
        <x:v>4</x:v>
      </x:c>
      <x:c r="U922" s="16" t="n">
        <x:v>0</x:v>
      </x:c>
      <x:c r="V922" s="16" t="n">
        <x:v>0</x:v>
      </x:c>
      <x:c r="W922" s="16" t="n">
        <x:v>0</x:v>
      </x:c>
      <x:c r="X922" s="16" t="n">
        <x:v>0</x:v>
      </x:c>
      <x:c r="Y922" s="16" t="n">
        <x:v>0</x:v>
      </x:c>
      <x:c r="Z922" s="16" t="n">
        <x:v>0</x:v>
      </x:c>
      <x:c r="AA922" s="16" t="n">
        <x:v>3</x:v>
      </x:c>
      <x:c r="AB922" s="16" t="n">
        <x:v>11</x:v>
      </x:c>
      <x:c r="AC922" s="16" t="n">
        <x:v>0</x:v>
      </x:c>
      <x:c r="AD922" s="21" t="n">
        <x:f>IF(E922="",MEDIAN($E$2:$E$2237),E922)</x:f>
        <x:v>34469</x:v>
      </x:c>
      <x:c r="AE922" s="17" t="n">
        <x:f>2014-B922</x:f>
        <x:v>66</x:v>
      </x:c>
      <x:c r="AF922" s="17" t="n">
        <x:f>F922+G922</x:f>
        <x:v>2</x:v>
      </x:c>
      <x:c r="AG922" s="21" t="n">
        <x:f>SUM(J922:O922)</x:f>
        <x:v>62</x:v>
      </x:c>
      <x:c r="AH922" s="17" t="n">
        <x:f>SUM(Q922:S922)</x:f>
        <x:v>6</x:v>
      </x:c>
      <x:c r="AI922" s="17" t="n">
        <x:f>SUM(U922:Y922)</x:f>
        <x:v>0</x:v>
      </x:c>
      <x:c r="AJ922" s="17" t="str">
        <x:f>IF(AE922&lt;=34,"≤34",IF(AE922&lt;=44,"35–44",IF(AE922&lt;=54,"45–54",IF(AE922&lt;=64,"55–64","65+"))))</x:f>
        <x:v>65+</x:v>
      </x:c>
      <x:c r="AK922" s="17" t="str">
        <x:f>IF(AG922&gt;=1000,"High Value",IF(AG922&gt;=300,"Mid Value","Low Value"))</x:f>
        <x:v>Low Value</x:v>
      </x:c>
      <x:c r="AL922" s="17" t="str">
        <x:f>IF(AND(AI922&gt;=1,I922&lt;=50),"Priority 1",IF(AND(AG922&gt;=1000,I922&lt;=60),"Priority 2",IF(I922&lt;=30,"Priority 3","Nurture")))</x:f>
        <x:v>Nurture</x:v>
      </x:c>
    </x:row>
    <x:row r="923">
      <x:c r="A923" s="16" t="n">
        <x:v>8931</x:v>
      </x:c>
      <x:c r="B923" s="16" t="n">
        <x:v>1986</x:v>
      </x:c>
      <x:c r="C923" s="16" t="str">
        <x:v>Graduation</x:v>
      </x:c>
      <x:c r="D923" s="16" t="str">
        <x:v>Together</x:v>
      </x:c>
      <x:c r="E923" s="16" t="n">
        <x:v>83033</x:v>
      </x:c>
      <x:c r="F923" s="16" t="n">
        <x:v>1</x:v>
      </x:c>
      <x:c r="G923" s="16" t="n">
        <x:v>0</x:v>
      </x:c>
      <x:c r="H923" s="16" t="str">
        <x:v>18-05-2014</x:v>
      </x:c>
      <x:c r="I923" s="16" t="n">
        <x:v>82</x:v>
      </x:c>
      <x:c r="J923" s="16" t="n">
        <x:v>812</x:v>
      </x:c>
      <x:c r="K923" s="16" t="n">
        <x:v>99</x:v>
      </x:c>
      <x:c r="L923" s="16" t="n">
        <x:v>431</x:v>
      </x:c>
      <x:c r="M923" s="16" t="n">
        <x:v>237</x:v>
      </x:c>
      <x:c r="N923" s="16" t="n">
        <x:v>149</x:v>
      </x:c>
      <x:c r="O923" s="16" t="n">
        <x:v>33</x:v>
      </x:c>
      <x:c r="P923" s="16" t="n">
        <x:v>1</x:v>
      </x:c>
      <x:c r="Q923" s="16" t="n">
        <x:v>11</x:v>
      </x:c>
      <x:c r="R923" s="16" t="n">
        <x:v>4</x:v>
      </x:c>
      <x:c r="S923" s="16" t="n">
        <x:v>10</x:v>
      </x:c>
      <x:c r="T923" s="16" t="n">
        <x:v>5</x:v>
      </x:c>
      <x:c r="U923" s="16" t="n">
        <x:v>0</x:v>
      </x:c>
      <x:c r="V923" s="16" t="n">
        <x:v>0</x:v>
      </x:c>
      <x:c r="W923" s="16" t="n">
        <x:v>0</x:v>
      </x:c>
      <x:c r="X923" s="16" t="n">
        <x:v>1</x:v>
      </x:c>
      <x:c r="Y923" s="16" t="n">
        <x:v>0</x:v>
      </x:c>
      <x:c r="Z923" s="16" t="n">
        <x:v>0</x:v>
      </x:c>
      <x:c r="AA923" s="16" t="n">
        <x:v>3</x:v>
      </x:c>
      <x:c r="AB923" s="16" t="n">
        <x:v>11</x:v>
      </x:c>
      <x:c r="AC923" s="16" t="n">
        <x:v>0</x:v>
      </x:c>
      <x:c r="AD923" s="21" t="n">
        <x:f>IF(E923="",MEDIAN($E$2:$E$2237),E923)</x:f>
        <x:v>83033</x:v>
      </x:c>
      <x:c r="AE923" s="17" t="n">
        <x:f>2014-B923</x:f>
        <x:v>28</x:v>
      </x:c>
      <x:c r="AF923" s="17" t="n">
        <x:f>F923+G923</x:f>
        <x:v>1</x:v>
      </x:c>
      <x:c r="AG923" s="21" t="n">
        <x:f>SUM(J923:O923)</x:f>
        <x:v>1761</x:v>
      </x:c>
      <x:c r="AH923" s="17" t="n">
        <x:f>SUM(Q923:S923)</x:f>
        <x:v>25</x:v>
      </x:c>
      <x:c r="AI923" s="17" t="n">
        <x:f>SUM(U923:Y923)</x:f>
        <x:v>1</x:v>
      </x:c>
      <x:c r="AJ923" s="17" t="str">
        <x:f>IF(AE923&lt;=34,"≤34",IF(AE923&lt;=44,"35–44",IF(AE923&lt;=54,"45–54",IF(AE923&lt;=64,"55–64","65+"))))</x:f>
        <x:v>≤34</x:v>
      </x:c>
      <x:c r="AK923" s="17" t="str">
        <x:f>IF(AG923&gt;=1000,"High Value",IF(AG923&gt;=300,"Mid Value","Low Value"))</x:f>
        <x:v>High Value</x:v>
      </x:c>
      <x:c r="AL923" s="17" t="str">
        <x:f>IF(AND(AI923&gt;=1,I923&lt;=50),"Priority 1",IF(AND(AG923&gt;=1000,I923&lt;=60),"Priority 2",IF(I923&lt;=30,"Priority 3","Nurture")))</x:f>
        <x:v>Nurture</x:v>
      </x:c>
    </x:row>
    <x:row r="924">
      <x:c r="A924" s="16" t="n">
        <x:v>5871</x:v>
      </x:c>
      <x:c r="B924" s="16" t="n">
        <x:v>1979</x:v>
      </x:c>
      <x:c r="C924" s="16" t="str">
        <x:v>Master</x:v>
      </x:c>
      <x:c r="D924" s="16" t="str">
        <x:v>Together</x:v>
      </x:c>
      <x:c r="E924" s="16" t="n">
        <x:v>24401</x:v>
      </x:c>
      <x:c r="F924" s="16" t="n">
        <x:v>0</x:v>
      </x:c>
      <x:c r="G924" s="16" t="n">
        <x:v>0</x:v>
      </x:c>
      <x:c r="H924" s="16" t="str">
        <x:v>31-08-2012</x:v>
      </x:c>
      <x:c r="I924" s="16" t="n">
        <x:v>98</x:v>
      </x:c>
      <x:c r="J924" s="16" t="n">
        <x:v>73</x:v>
      </x:c>
      <x:c r="K924" s="16" t="n">
        <x:v>28</x:v>
      </x:c>
      <x:c r="L924" s="16" t="n">
        <x:v>217</x:v>
      </x:c>
      <x:c r="M924" s="16" t="n">
        <x:v>10</x:v>
      </x:c>
      <x:c r="N924" s="16" t="n">
        <x:v>24</x:v>
      </x:c>
      <x:c r="O924" s="16" t="n">
        <x:v>115</x:v>
      </x:c>
      <x:c r="P924" s="16" t="n">
        <x:v>3</x:v>
      </x:c>
      <x:c r="Q924" s="16" t="n">
        <x:v>6</x:v>
      </x:c>
      <x:c r="R924" s="16" t="n">
        <x:v>1</x:v>
      </x:c>
      <x:c r="S924" s="16" t="n">
        <x:v>6</x:v>
      </x:c>
      <x:c r="T924" s="16" t="n">
        <x:v>8</x:v>
      </x:c>
      <x:c r="U924" s="16" t="n">
        <x:v>0</x:v>
      </x:c>
      <x:c r="V924" s="16" t="n">
        <x:v>0</x:v>
      </x:c>
      <x:c r="W924" s="16" t="n">
        <x:v>0</x:v>
      </x:c>
      <x:c r="X924" s="16" t="n">
        <x:v>0</x:v>
      </x:c>
      <x:c r="Y924" s="16" t="n">
        <x:v>0</x:v>
      </x:c>
      <x:c r="Z924" s="16" t="n">
        <x:v>0</x:v>
      </x:c>
      <x:c r="AA924" s="16" t="n">
        <x:v>3</x:v>
      </x:c>
      <x:c r="AB924" s="16" t="n">
        <x:v>11</x:v>
      </x:c>
      <x:c r="AC924" s="16" t="n">
        <x:v>0</x:v>
      </x:c>
      <x:c r="AD924" s="21" t="n">
        <x:f>IF(E924="",MEDIAN($E$2:$E$2237),E924)</x:f>
        <x:v>24401</x:v>
      </x:c>
      <x:c r="AE924" s="17" t="n">
        <x:f>2014-B924</x:f>
        <x:v>35</x:v>
      </x:c>
      <x:c r="AF924" s="17" t="n">
        <x:f>F924+G924</x:f>
        <x:v>0</x:v>
      </x:c>
      <x:c r="AG924" s="21" t="n">
        <x:f>SUM(J924:O924)</x:f>
        <x:v>467</x:v>
      </x:c>
      <x:c r="AH924" s="17" t="n">
        <x:f>SUM(Q924:S924)</x:f>
        <x:v>13</x:v>
      </x:c>
      <x:c r="AI924" s="17" t="n">
        <x:f>SUM(U924:Y924)</x:f>
        <x:v>0</x:v>
      </x:c>
      <x:c r="AJ924" s="17" t="str">
        <x:f>IF(AE924&lt;=34,"≤34",IF(AE924&lt;=44,"35–44",IF(AE924&lt;=54,"45–54",IF(AE924&lt;=64,"55–64","65+"))))</x:f>
        <x:v>35–44</x:v>
      </x:c>
      <x:c r="AK924" s="17" t="str">
        <x:f>IF(AG924&gt;=1000,"High Value",IF(AG924&gt;=300,"Mid Value","Low Value"))</x:f>
        <x:v>Mid Value</x:v>
      </x:c>
      <x:c r="AL924" s="17" t="str">
        <x:f>IF(AND(AI924&gt;=1,I924&lt;=50),"Priority 1",IF(AND(AG924&gt;=1000,I924&lt;=60),"Priority 2",IF(I924&lt;=30,"Priority 3","Nurture")))</x:f>
        <x:v>Nurture</x:v>
      </x:c>
    </x:row>
    <x:row r="925">
      <x:c r="A925" s="16" t="n">
        <x:v>2008</x:v>
      </x:c>
      <x:c r="B925" s="16" t="n">
        <x:v>1978</x:v>
      </x:c>
      <x:c r="C925" s="16" t="str">
        <x:v>Graduation</x:v>
      </x:c>
      <x:c r="D925" s="16" t="str">
        <x:v>Married</x:v>
      </x:c>
      <x:c r="E925" s="16" t="n">
        <x:v>77583</x:v>
      </x:c>
      <x:c r="F925" s="16" t="n">
        <x:v>0</x:v>
      </x:c>
      <x:c r="G925" s="16" t="n">
        <x:v>0</x:v>
      </x:c>
      <x:c r="H925" s="16" t="str">
        <x:v>10-02-2014</x:v>
      </x:c>
      <x:c r="I925" s="16" t="n">
        <x:v>93</x:v>
      </x:c>
      <x:c r="J925" s="16" t="n">
        <x:v>372</x:v>
      </x:c>
      <x:c r="K925" s="16" t="n">
        <x:v>23</x:v>
      </x:c>
      <x:c r="L925" s="16" t="n">
        <x:v>384</x:v>
      </x:c>
      <x:c r="M925" s="16" t="n">
        <x:v>250</x:v>
      </x:c>
      <x:c r="N925" s="16" t="n">
        <x:v>12</x:v>
      </x:c>
      <x:c r="O925" s="16" t="n">
        <x:v>108</x:v>
      </x:c>
      <x:c r="P925" s="16" t="n">
        <x:v>1</x:v>
      </x:c>
      <x:c r="Q925" s="16" t="n">
        <x:v>4</x:v>
      </x:c>
      <x:c r="R925" s="16" t="n">
        <x:v>5</x:v>
      </x:c>
      <x:c r="S925" s="16" t="n">
        <x:v>9</x:v>
      </x:c>
      <x:c r="T925" s="16" t="n">
        <x:v>2</x:v>
      </x:c>
      <x:c r="U925" s="16" t="n">
        <x:v>0</x:v>
      </x:c>
      <x:c r="V925" s="16" t="n">
        <x:v>0</x:v>
      </x:c>
      <x:c r="W925" s="16" t="n">
        <x:v>0</x:v>
      </x:c>
      <x:c r="X925" s="16" t="n">
        <x:v>1</x:v>
      </x:c>
      <x:c r="Y925" s="16" t="n">
        <x:v>0</x:v>
      </x:c>
      <x:c r="Z925" s="16" t="n">
        <x:v>0</x:v>
      </x:c>
      <x:c r="AA925" s="16" t="n">
        <x:v>3</x:v>
      </x:c>
      <x:c r="AB925" s="16" t="n">
        <x:v>11</x:v>
      </x:c>
      <x:c r="AC925" s="16" t="n">
        <x:v>0</x:v>
      </x:c>
      <x:c r="AD925" s="21" t="n">
        <x:f>IF(E925="",MEDIAN($E$2:$E$2237),E925)</x:f>
        <x:v>77583</x:v>
      </x:c>
      <x:c r="AE925" s="17" t="n">
        <x:f>2014-B925</x:f>
        <x:v>36</x:v>
      </x:c>
      <x:c r="AF925" s="17" t="n">
        <x:f>F925+G925</x:f>
        <x:v>0</x:v>
      </x:c>
      <x:c r="AG925" s="21" t="n">
        <x:f>SUM(J925:O925)</x:f>
        <x:v>1149</x:v>
      </x:c>
      <x:c r="AH925" s="17" t="n">
        <x:f>SUM(Q925:S925)</x:f>
        <x:v>18</x:v>
      </x:c>
      <x:c r="AI925" s="17" t="n">
        <x:f>SUM(U925:Y925)</x:f>
        <x:v>1</x:v>
      </x:c>
      <x:c r="AJ925" s="17" t="str">
        <x:f>IF(AE925&lt;=34,"≤34",IF(AE925&lt;=44,"35–44",IF(AE925&lt;=54,"45–54",IF(AE925&lt;=64,"55–64","65+"))))</x:f>
        <x:v>35–44</x:v>
      </x:c>
      <x:c r="AK925" s="17" t="str">
        <x:f>IF(AG925&gt;=1000,"High Value",IF(AG925&gt;=300,"Mid Value","Low Value"))</x:f>
        <x:v>High Value</x:v>
      </x:c>
      <x:c r="AL925" s="17" t="str">
        <x:f>IF(AND(AI925&gt;=1,I925&lt;=50),"Priority 1",IF(AND(AG925&gt;=1000,I925&lt;=60),"Priority 2",IF(I925&lt;=30,"Priority 3","Nurture")))</x:f>
        <x:v>Nurture</x:v>
      </x:c>
    </x:row>
    <x:row r="926">
      <x:c r="A926" s="16" t="n">
        <x:v>3139</x:v>
      </x:c>
      <x:c r="B926" s="16" t="n">
        <x:v>1982</x:v>
      </x:c>
      <x:c r="C926" s="16" t="str">
        <x:v>2n Cycle</x:v>
      </x:c>
      <x:c r="D926" s="16" t="str">
        <x:v>Single</x:v>
      </x:c>
      <x:c r="E926" s="16" t="n">
        <x:v>74116</x:v>
      </x:c>
      <x:c r="F926" s="16" t="n">
        <x:v>0</x:v>
      </x:c>
      <x:c r="G926" s="16" t="n">
        <x:v>0</x:v>
      </x:c>
      <x:c r="H926" s="16" t="str">
        <x:v>30-12-2013</x:v>
      </x:c>
      <x:c r="I926" s="16" t="n">
        <x:v>53</x:v>
      </x:c>
      <x:c r="J926" s="16" t="n">
        <x:v>871</x:v>
      </x:c>
      <x:c r="K926" s="16" t="n">
        <x:v>111</x:v>
      </x:c>
      <x:c r="L926" s="16" t="n">
        <x:v>704</x:v>
      </x:c>
      <x:c r="M926" s="16" t="n">
        <x:v>145</x:v>
      </x:c>
      <x:c r="N926" s="16" t="n">
        <x:v>55</x:v>
      </x:c>
      <x:c r="O926" s="16" t="n">
        <x:v>166</x:v>
      </x:c>
      <x:c r="P926" s="16" t="n">
        <x:v>1</x:v>
      </x:c>
      <x:c r="Q926" s="16" t="n">
        <x:v>4</x:v>
      </x:c>
      <x:c r="R926" s="16" t="n">
        <x:v>4</x:v>
      </x:c>
      <x:c r="S926" s="16" t="n">
        <x:v>10</x:v>
      </x:c>
      <x:c r="T926" s="16" t="n">
        <x:v>2</x:v>
      </x:c>
      <x:c r="U926" s="16" t="n">
        <x:v>0</x:v>
      </x:c>
      <x:c r="V926" s="16" t="n">
        <x:v>1</x:v>
      </x:c>
      <x:c r="W926" s="16" t="n">
        <x:v>0</x:v>
      </x:c>
      <x:c r="X926" s="16" t="n">
        <x:v>0</x:v>
      </x:c>
      <x:c r="Y926" s="16" t="n">
        <x:v>0</x:v>
      </x:c>
      <x:c r="Z926" s="16" t="n">
        <x:v>0</x:v>
      </x:c>
      <x:c r="AA926" s="16" t="n">
        <x:v>3</x:v>
      </x:c>
      <x:c r="AB926" s="16" t="n">
        <x:v>11</x:v>
      </x:c>
      <x:c r="AC926" s="16" t="n">
        <x:v>0</x:v>
      </x:c>
      <x:c r="AD926" s="21" t="n">
        <x:f>IF(E926="",MEDIAN($E$2:$E$2237),E926)</x:f>
        <x:v>74116</x:v>
      </x:c>
      <x:c r="AE926" s="17" t="n">
        <x:f>2014-B926</x:f>
        <x:v>32</x:v>
      </x:c>
      <x:c r="AF926" s="17" t="n">
        <x:f>F926+G926</x:f>
        <x:v>0</x:v>
      </x:c>
      <x:c r="AG926" s="21" t="n">
        <x:f>SUM(J926:O926)</x:f>
        <x:v>2052</x:v>
      </x:c>
      <x:c r="AH926" s="17" t="n">
        <x:f>SUM(Q926:S926)</x:f>
        <x:v>18</x:v>
      </x:c>
      <x:c r="AI926" s="17" t="n">
        <x:f>SUM(U926:Y926)</x:f>
        <x:v>1</x:v>
      </x:c>
      <x:c r="AJ926" s="17" t="str">
        <x:f>IF(AE926&lt;=34,"≤34",IF(AE926&lt;=44,"35–44",IF(AE926&lt;=54,"45–54",IF(AE926&lt;=64,"55–64","65+"))))</x:f>
        <x:v>≤34</x:v>
      </x:c>
      <x:c r="AK926" s="17" t="str">
        <x:f>IF(AG926&gt;=1000,"High Value",IF(AG926&gt;=300,"Mid Value","Low Value"))</x:f>
        <x:v>High Value</x:v>
      </x:c>
      <x:c r="AL926" s="17" t="str">
        <x:f>IF(AND(AI926&gt;=1,I926&lt;=50),"Priority 1",IF(AND(AG926&gt;=1000,I926&lt;=60),"Priority 2",IF(I926&lt;=30,"Priority 3","Nurture")))</x:f>
        <x:v>Priority 2</x:v>
      </x:c>
    </x:row>
    <x:row r="927">
      <x:c r="A927" s="16" t="n">
        <x:v>10037</x:v>
      </x:c>
      <x:c r="B927" s="16" t="n">
        <x:v>1993</x:v>
      </x:c>
      <x:c r="C927" s="16" t="str">
        <x:v>Graduation</x:v>
      </x:c>
      <x:c r="D927" s="16" t="str">
        <x:v>Single</x:v>
      </x:c>
      <x:c r="E927" s="16" t="n">
        <x:v>74293</x:v>
      </x:c>
      <x:c r="F927" s="16" t="n">
        <x:v>0</x:v>
      </x:c>
      <x:c r="G927" s="16" t="n">
        <x:v>0</x:v>
      </x:c>
      <x:c r="H927" s="16" t="str">
        <x:v>04-05-2014</x:v>
      </x:c>
      <x:c r="I927" s="16" t="n">
        <x:v>66</x:v>
      </x:c>
      <x:c r="J927" s="16" t="n">
        <x:v>375</x:v>
      </x:c>
      <x:c r="K927" s="16" t="n">
        <x:v>152</x:v>
      </x:c>
      <x:c r="L927" s="16" t="n">
        <x:v>335</x:v>
      </x:c>
      <x:c r="M927" s="16" t="n">
        <x:v>93</x:v>
      </x:c>
      <x:c r="N927" s="16" t="n">
        <x:v>91</x:v>
      </x:c>
      <x:c r="O927" s="16" t="n">
        <x:v>81</x:v>
      </x:c>
      <x:c r="P927" s="16" t="n">
        <x:v>1</x:v>
      </x:c>
      <x:c r="Q927" s="16" t="n">
        <x:v>5</x:v>
      </x:c>
      <x:c r="R927" s="16" t="n">
        <x:v>4</x:v>
      </x:c>
      <x:c r="S927" s="16" t="n">
        <x:v>6</x:v>
      </x:c>
      <x:c r="T927" s="16" t="n">
        <x:v>2</x:v>
      </x:c>
      <x:c r="U927" s="16" t="n">
        <x:v>0</x:v>
      </x:c>
      <x:c r="V927" s="16" t="n">
        <x:v>0</x:v>
      </x:c>
      <x:c r="W927" s="16" t="n">
        <x:v>0</x:v>
      </x:c>
      <x:c r="X927" s="16" t="n">
        <x:v>0</x:v>
      </x:c>
      <x:c r="Y927" s="16" t="n">
        <x:v>0</x:v>
      </x:c>
      <x:c r="Z927" s="16" t="n">
        <x:v>0</x:v>
      </x:c>
      <x:c r="AA927" s="16" t="n">
        <x:v>3</x:v>
      </x:c>
      <x:c r="AB927" s="16" t="n">
        <x:v>11</x:v>
      </x:c>
      <x:c r="AC927" s="16" t="n">
        <x:v>0</x:v>
      </x:c>
      <x:c r="AD927" s="21" t="n">
        <x:f>IF(E927="",MEDIAN($E$2:$E$2237),E927)</x:f>
        <x:v>74293</x:v>
      </x:c>
      <x:c r="AE927" s="17" t="n">
        <x:f>2014-B927</x:f>
        <x:v>21</x:v>
      </x:c>
      <x:c r="AF927" s="17" t="n">
        <x:f>F927+G927</x:f>
        <x:v>0</x:v>
      </x:c>
      <x:c r="AG927" s="21" t="n">
        <x:f>SUM(J927:O927)</x:f>
        <x:v>1127</x:v>
      </x:c>
      <x:c r="AH927" s="17" t="n">
        <x:f>SUM(Q927:S927)</x:f>
        <x:v>15</x:v>
      </x:c>
      <x:c r="AI927" s="17" t="n">
        <x:f>SUM(U927:Y927)</x:f>
        <x:v>0</x:v>
      </x:c>
      <x:c r="AJ927" s="17" t="str">
        <x:f>IF(AE927&lt;=34,"≤34",IF(AE927&lt;=44,"35–44",IF(AE927&lt;=54,"45–54",IF(AE927&lt;=64,"55–64","65+"))))</x:f>
        <x:v>≤34</x:v>
      </x:c>
      <x:c r="AK927" s="17" t="str">
        <x:f>IF(AG927&gt;=1000,"High Value",IF(AG927&gt;=300,"Mid Value","Low Value"))</x:f>
        <x:v>High Value</x:v>
      </x:c>
      <x:c r="AL927" s="17" t="str">
        <x:f>IF(AND(AI927&gt;=1,I927&lt;=50),"Priority 1",IF(AND(AG927&gt;=1000,I927&lt;=60),"Priority 2",IF(I927&lt;=30,"Priority 3","Nurture")))</x:f>
        <x:v>Nurture</x:v>
      </x:c>
    </x:row>
    <x:row r="928">
      <x:c r="A928" s="16" t="n">
        <x:v>10673</x:v>
      </x:c>
      <x:c r="B928" s="16" t="n">
        <x:v>1976</x:v>
      </x:c>
      <x:c r="C928" s="16" t="str">
        <x:v>PhD</x:v>
      </x:c>
      <x:c r="D928" s="16" t="str">
        <x:v>Married</x:v>
      </x:c>
      <x:c r="E928" s="16" t="n">
        <x:v>68397</x:v>
      </x:c>
      <x:c r="F928" s="16" t="n">
        <x:v>0</x:v>
      </x:c>
      <x:c r="G928" s="16" t="n">
        <x:v>1</x:v>
      </x:c>
      <x:c r="H928" s="16" t="str">
        <x:v>17-11-2013</x:v>
      </x:c>
      <x:c r="I928" s="16" t="n">
        <x:v>6</x:v>
      </x:c>
      <x:c r="J928" s="16" t="n">
        <x:v>760</x:v>
      </x:c>
      <x:c r="K928" s="16" t="n">
        <x:v>80</x:v>
      </x:c>
      <x:c r="L928" s="16" t="n">
        <x:v>466</x:v>
      </x:c>
      <x:c r="M928" s="16" t="n">
        <x:v>17</x:v>
      </x:c>
      <x:c r="N928" s="16" t="n">
        <x:v>13</x:v>
      </x:c>
      <x:c r="O928" s="16" t="n">
        <x:v>80</x:v>
      </x:c>
      <x:c r="P928" s="16" t="n">
        <x:v>1</x:v>
      </x:c>
      <x:c r="Q928" s="16" t="n">
        <x:v>6</x:v>
      </x:c>
      <x:c r="R928" s="16" t="n">
        <x:v>9</x:v>
      </x:c>
      <x:c r="S928" s="16" t="n">
        <x:v>5</x:v>
      </x:c>
      <x:c r="T928" s="16" t="n">
        <x:v>3</x:v>
      </x:c>
      <x:c r="U928" s="16" t="n">
        <x:v>0</x:v>
      </x:c>
      <x:c r="V928" s="16" t="n">
        <x:v>0</x:v>
      </x:c>
      <x:c r="W928" s="16" t="n">
        <x:v>0</x:v>
      </x:c>
      <x:c r="X928" s="16" t="n">
        <x:v>0</x:v>
      </x:c>
      <x:c r="Y928" s="16" t="n">
        <x:v>0</x:v>
      </x:c>
      <x:c r="Z928" s="16" t="n">
        <x:v>0</x:v>
      </x:c>
      <x:c r="AA928" s="16" t="n">
        <x:v>3</x:v>
      </x:c>
      <x:c r="AB928" s="16" t="n">
        <x:v>11</x:v>
      </x:c>
      <x:c r="AC928" s="16" t="n">
        <x:v>0</x:v>
      </x:c>
      <x:c r="AD928" s="21" t="n">
        <x:f>IF(E928="",MEDIAN($E$2:$E$2237),E928)</x:f>
        <x:v>68397</x:v>
      </x:c>
      <x:c r="AE928" s="17" t="n">
        <x:f>2014-B928</x:f>
        <x:v>38</x:v>
      </x:c>
      <x:c r="AF928" s="17" t="n">
        <x:f>F928+G928</x:f>
        <x:v>1</x:v>
      </x:c>
      <x:c r="AG928" s="21" t="n">
        <x:f>SUM(J928:O928)</x:f>
        <x:v>1416</x:v>
      </x:c>
      <x:c r="AH928" s="17" t="n">
        <x:f>SUM(Q928:S928)</x:f>
        <x:v>20</x:v>
      </x:c>
      <x:c r="AI928" s="17" t="n">
        <x:f>SUM(U928:Y928)</x:f>
        <x:v>0</x:v>
      </x:c>
      <x:c r="AJ928" s="17" t="str">
        <x:f>IF(AE928&lt;=34,"≤34",IF(AE928&lt;=44,"35–44",IF(AE928&lt;=54,"45–54",IF(AE928&lt;=64,"55–64","65+"))))</x:f>
        <x:v>35–44</x:v>
      </x:c>
      <x:c r="AK928" s="17" t="str">
        <x:f>IF(AG928&gt;=1000,"High Value",IF(AG928&gt;=300,"Mid Value","Low Value"))</x:f>
        <x:v>High Value</x:v>
      </x:c>
      <x:c r="AL928" s="17" t="str">
        <x:f>IF(AND(AI928&gt;=1,I928&lt;=50),"Priority 1",IF(AND(AG928&gt;=1000,I928&lt;=60),"Priority 2",IF(I928&lt;=30,"Priority 3","Nurture")))</x:f>
        <x:v>Priority 2</x:v>
      </x:c>
    </x:row>
    <x:row r="929">
      <x:c r="A929" s="16" t="n">
        <x:v>5303</x:v>
      </x:c>
      <x:c r="B929" s="16" t="n">
        <x:v>1974</x:v>
      </x:c>
      <x:c r="C929" s="16" t="str">
        <x:v>PhD</x:v>
      </x:c>
      <x:c r="D929" s="16" t="str">
        <x:v>Together</x:v>
      </x:c>
      <x:c r="E929" s="16" t="n">
        <x:v>79632</x:v>
      </x:c>
      <x:c r="F929" s="16" t="n">
        <x:v>0</x:v>
      </x:c>
      <x:c r="G929" s="16" t="n">
        <x:v>0</x:v>
      </x:c>
      <x:c r="H929" s="16" t="str">
        <x:v>08-04-2014</x:v>
      </x:c>
      <x:c r="I929" s="16" t="n">
        <x:v>42</x:v>
      </x:c>
      <x:c r="J929" s="16" t="n">
        <x:v>471</x:v>
      </x:c>
      <x:c r="K929" s="16" t="n">
        <x:v>0</x:v>
      </x:c>
      <x:c r="L929" s="16" t="n">
        <x:v>510</x:v>
      </x:c>
      <x:c r="M929" s="16" t="n">
        <x:v>99</x:v>
      </x:c>
      <x:c r="N929" s="16" t="n">
        <x:v>21</x:v>
      </x:c>
      <x:c r="O929" s="16" t="n">
        <x:v>12</x:v>
      </x:c>
      <x:c r="P929" s="16" t="n">
        <x:v>1</x:v>
      </x:c>
      <x:c r="Q929" s="16" t="n">
        <x:v>6</x:v>
      </x:c>
      <x:c r="R929" s="16" t="n">
        <x:v>4</x:v>
      </x:c>
      <x:c r="S929" s="16" t="n">
        <x:v>9</x:v>
      </x:c>
      <x:c r="T929" s="16" t="n">
        <x:v>2</x:v>
      </x:c>
      <x:c r="U929" s="16" t="n">
        <x:v>0</x:v>
      </x:c>
      <x:c r="V929" s="16" t="n">
        <x:v>0</x:v>
      </x:c>
      <x:c r="W929" s="16" t="n">
        <x:v>0</x:v>
      </x:c>
      <x:c r="X929" s="16" t="n">
        <x:v>0</x:v>
      </x:c>
      <x:c r="Y929" s="16" t="n">
        <x:v>0</x:v>
      </x:c>
      <x:c r="Z929" s="16" t="n">
        <x:v>0</x:v>
      </x:c>
      <x:c r="AA929" s="16" t="n">
        <x:v>3</x:v>
      </x:c>
      <x:c r="AB929" s="16" t="n">
        <x:v>11</x:v>
      </x:c>
      <x:c r="AC929" s="16" t="n">
        <x:v>0</x:v>
      </x:c>
      <x:c r="AD929" s="21" t="n">
        <x:f>IF(E929="",MEDIAN($E$2:$E$2237),E929)</x:f>
        <x:v>79632</x:v>
      </x:c>
      <x:c r="AE929" s="17" t="n">
        <x:f>2014-B929</x:f>
        <x:v>40</x:v>
      </x:c>
      <x:c r="AF929" s="17" t="n">
        <x:f>F929+G929</x:f>
        <x:v>0</x:v>
      </x:c>
      <x:c r="AG929" s="21" t="n">
        <x:f>SUM(J929:O929)</x:f>
        <x:v>1113</x:v>
      </x:c>
      <x:c r="AH929" s="17" t="n">
        <x:f>SUM(Q929:S929)</x:f>
        <x:v>19</x:v>
      </x:c>
      <x:c r="AI929" s="17" t="n">
        <x:f>SUM(U929:Y929)</x:f>
        <x:v>0</x:v>
      </x:c>
      <x:c r="AJ929" s="17" t="str">
        <x:f>IF(AE929&lt;=34,"≤34",IF(AE929&lt;=44,"35–44",IF(AE929&lt;=54,"45–54",IF(AE929&lt;=64,"55–64","65+"))))</x:f>
        <x:v>35–44</x:v>
      </x:c>
      <x:c r="AK929" s="17" t="str">
        <x:f>IF(AG929&gt;=1000,"High Value",IF(AG929&gt;=300,"Mid Value","Low Value"))</x:f>
        <x:v>High Value</x:v>
      </x:c>
      <x:c r="AL929" s="17" t="str">
        <x:f>IF(AND(AI929&gt;=1,I929&lt;=50),"Priority 1",IF(AND(AG929&gt;=1000,I929&lt;=60),"Priority 2",IF(I929&lt;=30,"Priority 3","Nurture")))</x:f>
        <x:v>Priority 2</x:v>
      </x:c>
    </x:row>
    <x:row r="930">
      <x:c r="A930" s="16" t="n">
        <x:v>538</x:v>
      </x:c>
      <x:c r="B930" s="16" t="n">
        <x:v>1989</x:v>
      </x:c>
      <x:c r="C930" s="16" t="str">
        <x:v>Graduation</x:v>
      </x:c>
      <x:c r="D930" s="16" t="str">
        <x:v>Single</x:v>
      </x:c>
      <x:c r="E930" s="16" t="n">
        <x:v>46107</x:v>
      </x:c>
      <x:c r="F930" s="16" t="n">
        <x:v>1</x:v>
      </x:c>
      <x:c r="G930" s="16" t="n">
        <x:v>0</x:v>
      </x:c>
      <x:c r="H930" s="16" t="str">
        <x:v>10-02-2014</x:v>
      </x:c>
      <x:c r="I930" s="16" t="n">
        <x:v>78</x:v>
      </x:c>
      <x:c r="J930" s="16" t="n">
        <x:v>31</x:v>
      </x:c>
      <x:c r="K930" s="16" t="n">
        <x:v>9</x:v>
      </x:c>
      <x:c r="L930" s="16" t="n">
        <x:v>27</x:v>
      </x:c>
      <x:c r="M930" s="16" t="n">
        <x:v>16</x:v>
      </x:c>
      <x:c r="N930" s="16" t="n">
        <x:v>9</x:v>
      </x:c>
      <x:c r="O930" s="16" t="n">
        <x:v>33</x:v>
      </x:c>
      <x:c r="P930" s="16" t="n">
        <x:v>1</x:v>
      </x:c>
      <x:c r="Q930" s="16" t="n">
        <x:v>1</x:v>
      </x:c>
      <x:c r="R930" s="16" t="n">
        <x:v>1</x:v>
      </x:c>
      <x:c r="S930" s="16" t="n">
        <x:v>4</x:v>
      </x:c>
      <x:c r="T930" s="16" t="n">
        <x:v>3</x:v>
      </x:c>
      <x:c r="U930" s="16" t="n">
        <x:v>0</x:v>
      </x:c>
      <x:c r="V930" s="16" t="n">
        <x:v>0</x:v>
      </x:c>
      <x:c r="W930" s="16" t="n">
        <x:v>0</x:v>
      </x:c>
      <x:c r="X930" s="16" t="n">
        <x:v>0</x:v>
      </x:c>
      <x:c r="Y930" s="16" t="n">
        <x:v>0</x:v>
      </x:c>
      <x:c r="Z930" s="16" t="n">
        <x:v>0</x:v>
      </x:c>
      <x:c r="AA930" s="16" t="n">
        <x:v>3</x:v>
      </x:c>
      <x:c r="AB930" s="16" t="n">
        <x:v>11</x:v>
      </x:c>
      <x:c r="AC930" s="16" t="n">
        <x:v>0</x:v>
      </x:c>
      <x:c r="AD930" s="21" t="n">
        <x:f>IF(E930="",MEDIAN($E$2:$E$2237),E930)</x:f>
        <x:v>46107</x:v>
      </x:c>
      <x:c r="AE930" s="17" t="n">
        <x:f>2014-B930</x:f>
        <x:v>25</x:v>
      </x:c>
      <x:c r="AF930" s="17" t="n">
        <x:f>F930+G930</x:f>
        <x:v>1</x:v>
      </x:c>
      <x:c r="AG930" s="21" t="n">
        <x:f>SUM(J930:O930)</x:f>
        <x:v>125</x:v>
      </x:c>
      <x:c r="AH930" s="17" t="n">
        <x:f>SUM(Q930:S930)</x:f>
        <x:v>6</x:v>
      </x:c>
      <x:c r="AI930" s="17" t="n">
        <x:f>SUM(U930:Y930)</x:f>
        <x:v>0</x:v>
      </x:c>
      <x:c r="AJ930" s="17" t="str">
        <x:f>IF(AE930&lt;=34,"≤34",IF(AE930&lt;=44,"35–44",IF(AE930&lt;=54,"45–54",IF(AE930&lt;=64,"55–64","65+"))))</x:f>
        <x:v>≤34</x:v>
      </x:c>
      <x:c r="AK930" s="17" t="str">
        <x:f>IF(AG930&gt;=1000,"High Value",IF(AG930&gt;=300,"Mid Value","Low Value"))</x:f>
        <x:v>Low Value</x:v>
      </x:c>
      <x:c r="AL930" s="17" t="str">
        <x:f>IF(AND(AI930&gt;=1,I930&lt;=50),"Priority 1",IF(AND(AG930&gt;=1000,I930&lt;=60),"Priority 2",IF(I930&lt;=30,"Priority 3","Nurture")))</x:f>
        <x:v>Nurture</x:v>
      </x:c>
    </x:row>
    <x:row r="931">
      <x:c r="A931" s="16" t="n">
        <x:v>7922</x:v>
      </x:c>
      <x:c r="B931" s="16" t="n">
        <x:v>1951</x:v>
      </x:c>
      <x:c r="C931" s="16" t="str">
        <x:v>PhD</x:v>
      </x:c>
      <x:c r="D931" s="16" t="str">
        <x:v>Single</x:v>
      </x:c>
      <x:c r="E931" s="16" t="n">
        <x:v>64950</x:v>
      </x:c>
      <x:c r="F931" s="16" t="n">
        <x:v>0</x:v>
      </x:c>
      <x:c r="G931" s="16" t="n">
        <x:v>1</x:v>
      </x:c>
      <x:c r="H931" s="16" t="str">
        <x:v>12-08-2012</x:v>
      </x:c>
      <x:c r="I931" s="16" t="n">
        <x:v>29</x:v>
      </x:c>
      <x:c r="J931" s="16" t="n">
        <x:v>819</x:v>
      </x:c>
      <x:c r="K931" s="16" t="n">
        <x:v>0</x:v>
      </x:c>
      <x:c r="L931" s="16" t="n">
        <x:v>72</x:v>
      </x:c>
      <x:c r="M931" s="16" t="n">
        <x:v>12</x:v>
      </x:c>
      <x:c r="N931" s="16" t="n">
        <x:v>0</x:v>
      </x:c>
      <x:c r="O931" s="16" t="n">
        <x:v>63</x:v>
      </x:c>
      <x:c r="P931" s="16" t="n">
        <x:v>2</x:v>
      </x:c>
      <x:c r="Q931" s="16" t="n">
        <x:v>11</x:v>
      </x:c>
      <x:c r="R931" s="16" t="n">
        <x:v>2</x:v>
      </x:c>
      <x:c r="S931" s="16" t="n">
        <x:v>10</x:v>
      </x:c>
      <x:c r="T931" s="16" t="n">
        <x:v>7</x:v>
      </x:c>
      <x:c r="U931" s="16" t="n">
        <x:v>0</x:v>
      </x:c>
      <x:c r="V931" s="16" t="n">
        <x:v>1</x:v>
      </x:c>
      <x:c r="W931" s="16" t="n">
        <x:v>0</x:v>
      </x:c>
      <x:c r="X931" s="16" t="n">
        <x:v>0</x:v>
      </x:c>
      <x:c r="Y931" s="16" t="n">
        <x:v>0</x:v>
      </x:c>
      <x:c r="Z931" s="16" t="n">
        <x:v>0</x:v>
      </x:c>
      <x:c r="AA931" s="16" t="n">
        <x:v>3</x:v>
      </x:c>
      <x:c r="AB931" s="16" t="n">
        <x:v>11</x:v>
      </x:c>
      <x:c r="AC931" s="16" t="n">
        <x:v>0</x:v>
      </x:c>
      <x:c r="AD931" s="21" t="n">
        <x:f>IF(E931="",MEDIAN($E$2:$E$2237),E931)</x:f>
        <x:v>64950</x:v>
      </x:c>
      <x:c r="AE931" s="17" t="n">
        <x:f>2014-B931</x:f>
        <x:v>63</x:v>
      </x:c>
      <x:c r="AF931" s="17" t="n">
        <x:f>F931+G931</x:f>
        <x:v>1</x:v>
      </x:c>
      <x:c r="AG931" s="21" t="n">
        <x:f>SUM(J931:O931)</x:f>
        <x:v>966</x:v>
      </x:c>
      <x:c r="AH931" s="17" t="n">
        <x:f>SUM(Q931:S931)</x:f>
        <x:v>23</x:v>
      </x:c>
      <x:c r="AI931" s="17" t="n">
        <x:f>SUM(U931:Y931)</x:f>
        <x:v>1</x:v>
      </x:c>
      <x:c r="AJ931" s="17" t="str">
        <x:f>IF(AE931&lt;=34,"≤34",IF(AE931&lt;=44,"35–44",IF(AE931&lt;=54,"45–54",IF(AE931&lt;=64,"55–64","65+"))))</x:f>
        <x:v>55–64</x:v>
      </x:c>
      <x:c r="AK931" s="17" t="str">
        <x:f>IF(AG931&gt;=1000,"High Value",IF(AG931&gt;=300,"Mid Value","Low Value"))</x:f>
        <x:v>Mid Value</x:v>
      </x:c>
      <x:c r="AL931" s="17" t="str">
        <x:f>IF(AND(AI931&gt;=1,I931&lt;=50),"Priority 1",IF(AND(AG931&gt;=1000,I931&lt;=60),"Priority 2",IF(I931&lt;=30,"Priority 3","Nurture")))</x:f>
        <x:v>Priority 1</x:v>
      </x:c>
    </x:row>
    <x:row r="932">
      <x:c r="A932" s="16" t="n">
        <x:v>5692</x:v>
      </x:c>
      <x:c r="B932" s="16" t="n">
        <x:v>1989</x:v>
      </x:c>
      <x:c r="C932" s="16" t="str">
        <x:v>Basic</x:v>
      </x:c>
      <x:c r="D932" s="16" t="str">
        <x:v>Married</x:v>
      </x:c>
      <x:c r="E932" s="16" t="n">
        <x:v>25443</x:v>
      </x:c>
      <x:c r="F932" s="16" t="n">
        <x:v>1</x:v>
      </x:c>
      <x:c r="G932" s="16" t="n">
        <x:v>0</x:v>
      </x:c>
      <x:c r="H932" s="16" t="str">
        <x:v>22-12-2012</x:v>
      </x:c>
      <x:c r="I932" s="16" t="n">
        <x:v>82</x:v>
      </x:c>
      <x:c r="J932" s="16" t="n">
        <x:v>1</x:v>
      </x:c>
      <x:c r="K932" s="16" t="n">
        <x:v>4</x:v>
      </x:c>
      <x:c r="L932" s="16" t="n">
        <x:v>3</x:v>
      </x:c>
      <x:c r="M932" s="16" t="n">
        <x:v>8</x:v>
      </x:c>
      <x:c r="N932" s="16" t="n">
        <x:v>9</x:v>
      </x:c>
      <x:c r="O932" s="16" t="n">
        <x:v>7</x:v>
      </x:c>
      <x:c r="P932" s="16" t="n">
        <x:v>1</x:v>
      </x:c>
      <x:c r="Q932" s="16" t="n">
        <x:v>1</x:v>
      </x:c>
      <x:c r="R932" s="16" t="n">
        <x:v>0</x:v>
      </x:c>
      <x:c r="S932" s="16" t="n">
        <x:v>3</x:v>
      </x:c>
      <x:c r="T932" s="16" t="n">
        <x:v>8</x:v>
      </x:c>
      <x:c r="U932" s="16" t="n">
        <x:v>0</x:v>
      </x:c>
      <x:c r="V932" s="16" t="n">
        <x:v>0</x:v>
      </x:c>
      <x:c r="W932" s="16" t="n">
        <x:v>0</x:v>
      </x:c>
      <x:c r="X932" s="16" t="n">
        <x:v>0</x:v>
      </x:c>
      <x:c r="Y932" s="16" t="n">
        <x:v>0</x:v>
      </x:c>
      <x:c r="Z932" s="16" t="n">
        <x:v>0</x:v>
      </x:c>
      <x:c r="AA932" s="16" t="n">
        <x:v>3</x:v>
      </x:c>
      <x:c r="AB932" s="16" t="n">
        <x:v>11</x:v>
      </x:c>
      <x:c r="AC932" s="16" t="n">
        <x:v>0</x:v>
      </x:c>
      <x:c r="AD932" s="21" t="n">
        <x:f>IF(E932="",MEDIAN($E$2:$E$2237),E932)</x:f>
        <x:v>25443</x:v>
      </x:c>
      <x:c r="AE932" s="17" t="n">
        <x:f>2014-B932</x:f>
        <x:v>25</x:v>
      </x:c>
      <x:c r="AF932" s="17" t="n">
        <x:f>F932+G932</x:f>
        <x:v>1</x:v>
      </x:c>
      <x:c r="AG932" s="21" t="n">
        <x:f>SUM(J932:O932)</x:f>
        <x:v>32</x:v>
      </x:c>
      <x:c r="AH932" s="17" t="n">
        <x:f>SUM(Q932:S932)</x:f>
        <x:v>4</x:v>
      </x:c>
      <x:c r="AI932" s="17" t="n">
        <x:f>SUM(U932:Y932)</x:f>
        <x:v>0</x:v>
      </x:c>
      <x:c r="AJ932" s="17" t="str">
        <x:f>IF(AE932&lt;=34,"≤34",IF(AE932&lt;=44,"35–44",IF(AE932&lt;=54,"45–54",IF(AE932&lt;=64,"55–64","65+"))))</x:f>
        <x:v>≤34</x:v>
      </x:c>
      <x:c r="AK932" s="17" t="str">
        <x:f>IF(AG932&gt;=1000,"High Value",IF(AG932&gt;=300,"Mid Value","Low Value"))</x:f>
        <x:v>Low Value</x:v>
      </x:c>
      <x:c r="AL932" s="17" t="str">
        <x:f>IF(AND(AI932&gt;=1,I932&lt;=50),"Priority 1",IF(AND(AG932&gt;=1000,I932&lt;=60),"Priority 2",IF(I932&lt;=30,"Priority 3","Nurture")))</x:f>
        <x:v>Nurture</x:v>
      </x:c>
    </x:row>
    <x:row r="933">
      <x:c r="A933" s="16" t="n">
        <x:v>4843</x:v>
      </x:c>
      <x:c r="B933" s="16" t="n">
        <x:v>1952</x:v>
      </x:c>
      <x:c r="C933" s="16" t="str">
        <x:v>Graduation</x:v>
      </x:c>
      <x:c r="D933" s="16" t="str">
        <x:v>Single</x:v>
      </x:c>
      <x:c r="E933" s="16" t="n">
        <x:v>75127</x:v>
      </x:c>
      <x:c r="F933" s="16" t="n">
        <x:v>0</x:v>
      </x:c>
      <x:c r="G933" s="16" t="n">
        <x:v>0</x:v>
      </x:c>
      <x:c r="H933" s="16" t="str">
        <x:v>22-05-2014</x:v>
      </x:c>
      <x:c r="I933" s="16" t="n">
        <x:v>92</x:v>
      </x:c>
      <x:c r="J933" s="16" t="n">
        <x:v>203</x:v>
      </x:c>
      <x:c r="K933" s="16" t="n">
        <x:v>35</x:v>
      </x:c>
      <x:c r="L933" s="16" t="n">
        <x:v>305</x:v>
      </x:c>
      <x:c r="M933" s="16" t="n">
        <x:v>46</x:v>
      </x:c>
      <x:c r="N933" s="16" t="n">
        <x:v>17</x:v>
      </x:c>
      <x:c r="O933" s="16" t="n">
        <x:v>227</x:v>
      </x:c>
      <x:c r="P933" s="16" t="n">
        <x:v>1</x:v>
      </x:c>
      <x:c r="Q933" s="16" t="n">
        <x:v>2</x:v>
      </x:c>
      <x:c r="R933" s="16" t="n">
        <x:v>11</x:v>
      </x:c>
      <x:c r="S933" s="16" t="n">
        <x:v>5</x:v>
      </x:c>
      <x:c r="T933" s="16" t="n">
        <x:v>1</x:v>
      </x:c>
      <x:c r="U933" s="16" t="n">
        <x:v>0</x:v>
      </x:c>
      <x:c r="V933" s="16" t="n">
        <x:v>0</x:v>
      </x:c>
      <x:c r="W933" s="16" t="n">
        <x:v>0</x:v>
      </x:c>
      <x:c r="X933" s="16" t="n">
        <x:v>0</x:v>
      </x:c>
      <x:c r="Y933" s="16" t="n">
        <x:v>0</x:v>
      </x:c>
      <x:c r="Z933" s="16" t="n">
        <x:v>0</x:v>
      </x:c>
      <x:c r="AA933" s="16" t="n">
        <x:v>3</x:v>
      </x:c>
      <x:c r="AB933" s="16" t="n">
        <x:v>11</x:v>
      </x:c>
      <x:c r="AC933" s="16" t="n">
        <x:v>0</x:v>
      </x:c>
      <x:c r="AD933" s="21" t="n">
        <x:f>IF(E933="",MEDIAN($E$2:$E$2237),E933)</x:f>
        <x:v>75127</x:v>
      </x:c>
      <x:c r="AE933" s="17" t="n">
        <x:f>2014-B933</x:f>
        <x:v>62</x:v>
      </x:c>
      <x:c r="AF933" s="17" t="n">
        <x:f>F933+G933</x:f>
        <x:v>0</x:v>
      </x:c>
      <x:c r="AG933" s="21" t="n">
        <x:f>SUM(J933:O933)</x:f>
        <x:v>833</x:v>
      </x:c>
      <x:c r="AH933" s="17" t="n">
        <x:f>SUM(Q933:S933)</x:f>
        <x:v>18</x:v>
      </x:c>
      <x:c r="AI933" s="17" t="n">
        <x:f>SUM(U933:Y933)</x:f>
        <x:v>0</x:v>
      </x:c>
      <x:c r="AJ933" s="17" t="str">
        <x:f>IF(AE933&lt;=34,"≤34",IF(AE933&lt;=44,"35–44",IF(AE933&lt;=54,"45–54",IF(AE933&lt;=64,"55–64","65+"))))</x:f>
        <x:v>55–64</x:v>
      </x:c>
      <x:c r="AK933" s="17" t="str">
        <x:f>IF(AG933&gt;=1000,"High Value",IF(AG933&gt;=300,"Mid Value","Low Value"))</x:f>
        <x:v>Mid Value</x:v>
      </x:c>
      <x:c r="AL933" s="17" t="str">
        <x:f>IF(AND(AI933&gt;=1,I933&lt;=50),"Priority 1",IF(AND(AG933&gt;=1000,I933&lt;=60),"Priority 2",IF(I933&lt;=30,"Priority 3","Nurture")))</x:f>
        <x:v>Nurture</x:v>
      </x:c>
    </x:row>
    <x:row r="934">
      <x:c r="A934" s="16" t="n">
        <x:v>6383</x:v>
      </x:c>
      <x:c r="B934" s="16" t="n">
        <x:v>1971</x:v>
      </x:c>
      <x:c r="C934" s="16" t="str">
        <x:v>PhD</x:v>
      </x:c>
      <x:c r="D934" s="16" t="str">
        <x:v>Together</x:v>
      </x:c>
      <x:c r="E934" s="16" t="n">
        <x:v>32892</x:v>
      </x:c>
      <x:c r="F934" s="16" t="n">
        <x:v>1</x:v>
      </x:c>
      <x:c r="G934" s="16" t="n">
        <x:v>0</x:v>
      </x:c>
      <x:c r="H934" s="16" t="str">
        <x:v>25-05-2014</x:v>
      </x:c>
      <x:c r="I934" s="16" t="n">
        <x:v>78</x:v>
      </x:c>
      <x:c r="J934" s="16" t="n">
        <x:v>26</x:v>
      </x:c>
      <x:c r="K934" s="16" t="n">
        <x:v>0</x:v>
      </x:c>
      <x:c r="L934" s="16" t="n">
        <x:v>15</x:v>
      </x:c>
      <x:c r="M934" s="16" t="n">
        <x:v>2</x:v>
      </x:c>
      <x:c r="N934" s="16" t="n">
        <x:v>1</x:v>
      </x:c>
      <x:c r="O934" s="16" t="n">
        <x:v>2</x:v>
      </x:c>
      <x:c r="P934" s="16" t="n">
        <x:v>2</x:v>
      </x:c>
      <x:c r="Q934" s="16" t="n">
        <x:v>3</x:v>
      </x:c>
      <x:c r="R934" s="16" t="n">
        <x:v>0</x:v>
      </x:c>
      <x:c r="S934" s="16" t="n">
        <x:v>3</x:v>
      </x:c>
      <x:c r="T934" s="16" t="n">
        <x:v>8</x:v>
      </x:c>
      <x:c r="U934" s="16" t="n">
        <x:v>0</x:v>
      </x:c>
      <x:c r="V934" s="16" t="n">
        <x:v>0</x:v>
      </x:c>
      <x:c r="W934" s="16" t="n">
        <x:v>0</x:v>
      </x:c>
      <x:c r="X934" s="16" t="n">
        <x:v>0</x:v>
      </x:c>
      <x:c r="Y934" s="16" t="n">
        <x:v>0</x:v>
      </x:c>
      <x:c r="Z934" s="16" t="n">
        <x:v>0</x:v>
      </x:c>
      <x:c r="AA934" s="16" t="n">
        <x:v>3</x:v>
      </x:c>
      <x:c r="AB934" s="16" t="n">
        <x:v>11</x:v>
      </x:c>
      <x:c r="AC934" s="16" t="n">
        <x:v>0</x:v>
      </x:c>
      <x:c r="AD934" s="21" t="n">
        <x:f>IF(E934="",MEDIAN($E$2:$E$2237),E934)</x:f>
        <x:v>32892</x:v>
      </x:c>
      <x:c r="AE934" s="17" t="n">
        <x:f>2014-B934</x:f>
        <x:v>43</x:v>
      </x:c>
      <x:c r="AF934" s="17" t="n">
        <x:f>F934+G934</x:f>
        <x:v>1</x:v>
      </x:c>
      <x:c r="AG934" s="21" t="n">
        <x:f>SUM(J934:O934)</x:f>
        <x:v>46</x:v>
      </x:c>
      <x:c r="AH934" s="17" t="n">
        <x:f>SUM(Q934:S934)</x:f>
        <x:v>6</x:v>
      </x:c>
      <x:c r="AI934" s="17" t="n">
        <x:f>SUM(U934:Y934)</x:f>
        <x:v>0</x:v>
      </x:c>
      <x:c r="AJ934" s="17" t="str">
        <x:f>IF(AE934&lt;=34,"≤34",IF(AE934&lt;=44,"35–44",IF(AE934&lt;=54,"45–54",IF(AE934&lt;=64,"55–64","65+"))))</x:f>
        <x:v>35–44</x:v>
      </x:c>
      <x:c r="AK934" s="17" t="str">
        <x:f>IF(AG934&gt;=1000,"High Value",IF(AG934&gt;=300,"Mid Value","Low Value"))</x:f>
        <x:v>Low Value</x:v>
      </x:c>
      <x:c r="AL934" s="17" t="str">
        <x:f>IF(AND(AI934&gt;=1,I934&lt;=50),"Priority 1",IF(AND(AG934&gt;=1000,I934&lt;=60),"Priority 2",IF(I934&lt;=30,"Priority 3","Nurture")))</x:f>
        <x:v>Nurture</x:v>
      </x:c>
    </x:row>
    <x:row r="935">
      <x:c r="A935" s="16" t="n">
        <x:v>1628</x:v>
      </x:c>
      <x:c r="B935" s="16" t="n">
        <x:v>1971</x:v>
      </x:c>
      <x:c r="C935" s="16" t="str">
        <x:v>Graduation</x:v>
      </x:c>
      <x:c r="D935" s="16" t="str">
        <x:v>Together</x:v>
      </x:c>
      <x:c r="E935" s="16" t="n">
        <x:v>71796</x:v>
      </x:c>
      <x:c r="F935" s="16" t="n">
        <x:v>0</x:v>
      </x:c>
      <x:c r="G935" s="16" t="n">
        <x:v>0</x:v>
      </x:c>
      <x:c r="H935" s="16" t="str">
        <x:v>24-10-2013</x:v>
      </x:c>
      <x:c r="I935" s="16" t="n">
        <x:v>54</x:v>
      </x:c>
      <x:c r="J935" s="16" t="n">
        <x:v>354</x:v>
      </x:c>
      <x:c r="K935" s="16" t="n">
        <x:v>21</x:v>
      </x:c>
      <x:c r="L935" s="16" t="n">
        <x:v>311</x:v>
      </x:c>
      <x:c r="M935" s="16" t="n">
        <x:v>167</x:v>
      </x:c>
      <x:c r="N935" s="16" t="n">
        <x:v>75</x:v>
      </x:c>
      <x:c r="O935" s="16" t="n">
        <x:v>32</x:v>
      </x:c>
      <x:c r="P935" s="16" t="n">
        <x:v>1</x:v>
      </x:c>
      <x:c r="Q935" s="16" t="n">
        <x:v>9</x:v>
      </x:c>
      <x:c r="R935" s="16" t="n">
        <x:v>3</x:v>
      </x:c>
      <x:c r="S935" s="16" t="n">
        <x:v>4</x:v>
      </x:c>
      <x:c r="T935" s="16" t="n">
        <x:v>4</x:v>
      </x:c>
      <x:c r="U935" s="16" t="n">
        <x:v>0</x:v>
      </x:c>
      <x:c r="V935" s="16" t="n">
        <x:v>0</x:v>
      </x:c>
      <x:c r="W935" s="16" t="n">
        <x:v>0</x:v>
      </x:c>
      <x:c r="X935" s="16" t="n">
        <x:v>0</x:v>
      </x:c>
      <x:c r="Y935" s="16" t="n">
        <x:v>0</x:v>
      </x:c>
      <x:c r="Z935" s="16" t="n">
        <x:v>0</x:v>
      </x:c>
      <x:c r="AA935" s="16" t="n">
        <x:v>3</x:v>
      </x:c>
      <x:c r="AB935" s="16" t="n">
        <x:v>11</x:v>
      </x:c>
      <x:c r="AC935" s="16" t="n">
        <x:v>0</x:v>
      </x:c>
      <x:c r="AD935" s="21" t="n">
        <x:f>IF(E935="",MEDIAN($E$2:$E$2237),E935)</x:f>
        <x:v>71796</x:v>
      </x:c>
      <x:c r="AE935" s="17" t="n">
        <x:f>2014-B935</x:f>
        <x:v>43</x:v>
      </x:c>
      <x:c r="AF935" s="17" t="n">
        <x:f>F935+G935</x:f>
        <x:v>0</x:v>
      </x:c>
      <x:c r="AG935" s="21" t="n">
        <x:f>SUM(J935:O935)</x:f>
        <x:v>960</x:v>
      </x:c>
      <x:c r="AH935" s="17" t="n">
        <x:f>SUM(Q935:S935)</x:f>
        <x:v>16</x:v>
      </x:c>
      <x:c r="AI935" s="17" t="n">
        <x:f>SUM(U935:Y935)</x:f>
        <x:v>0</x:v>
      </x:c>
      <x:c r="AJ935" s="17" t="str">
        <x:f>IF(AE935&lt;=34,"≤34",IF(AE935&lt;=44,"35–44",IF(AE935&lt;=54,"45–54",IF(AE935&lt;=64,"55–64","65+"))))</x:f>
        <x:v>35–44</x:v>
      </x:c>
      <x:c r="AK935" s="17" t="str">
        <x:f>IF(AG935&gt;=1000,"High Value",IF(AG935&gt;=300,"Mid Value","Low Value"))</x:f>
        <x:v>Mid Value</x:v>
      </x:c>
      <x:c r="AL935" s="17" t="str">
        <x:f>IF(AND(AI935&gt;=1,I935&lt;=50),"Priority 1",IF(AND(AG935&gt;=1000,I935&lt;=60),"Priority 2",IF(I935&lt;=30,"Priority 3","Nurture")))</x:f>
        <x:v>Nurture</x:v>
      </x:c>
    </x:row>
    <x:row r="936">
      <x:c r="A936" s="16" t="n">
        <x:v>1204</x:v>
      </x:c>
      <x:c r="B936" s="16" t="n">
        <x:v>1970</x:v>
      </x:c>
      <x:c r="C936" s="16" t="str">
        <x:v>PhD</x:v>
      </x:c>
      <x:c r="D936" s="16" t="str">
        <x:v>Married</x:v>
      </x:c>
      <x:c r="E936" s="16" t="n">
        <x:v>67536</x:v>
      </x:c>
      <x:c r="F936" s="16" t="n">
        <x:v>0</x:v>
      </x:c>
      <x:c r="G936" s="16" t="n">
        <x:v>1</x:v>
      </x:c>
      <x:c r="H936" s="16" t="str">
        <x:v>22-05-2013</x:v>
      </x:c>
      <x:c r="I936" s="16" t="n">
        <x:v>45</x:v>
      </x:c>
      <x:c r="J936" s="16" t="n">
        <x:v>1253</x:v>
      </x:c>
      <x:c r="K936" s="16" t="n">
        <x:v>0</x:v>
      </x:c>
      <x:c r="L936" s="16" t="n">
        <x:v>447</x:v>
      </x:c>
      <x:c r="M936" s="16" t="n">
        <x:v>23</x:v>
      </x:c>
      <x:c r="N936" s="16" t="n">
        <x:v>71</x:v>
      </x:c>
      <x:c r="O936" s="16" t="n">
        <x:v>35</x:v>
      </x:c>
      <x:c r="P936" s="16" t="n">
        <x:v>3</x:v>
      </x:c>
      <x:c r="Q936" s="16" t="n">
        <x:v>11</x:v>
      </x:c>
      <x:c r="R936" s="16" t="n">
        <x:v>5</x:v>
      </x:c>
      <x:c r="S936" s="16" t="n">
        <x:v>11</x:v>
      </x:c>
      <x:c r="T936" s="16" t="n">
        <x:v>8</x:v>
      </x:c>
      <x:c r="U936" s="16" t="n">
        <x:v>0</x:v>
      </x:c>
      <x:c r="V936" s="16" t="n">
        <x:v>0</x:v>
      </x:c>
      <x:c r="W936" s="16" t="n">
        <x:v>0</x:v>
      </x:c>
      <x:c r="X936" s="16" t="n">
        <x:v>1</x:v>
      </x:c>
      <x:c r="Y936" s="16" t="n">
        <x:v>0</x:v>
      </x:c>
      <x:c r="Z936" s="16" t="n">
        <x:v>0</x:v>
      </x:c>
      <x:c r="AA936" s="16" t="n">
        <x:v>3</x:v>
      </x:c>
      <x:c r="AB936" s="16" t="n">
        <x:v>11</x:v>
      </x:c>
      <x:c r="AC936" s="16" t="n">
        <x:v>0</x:v>
      </x:c>
      <x:c r="AD936" s="21" t="n">
        <x:f>IF(E936="",MEDIAN($E$2:$E$2237),E936)</x:f>
        <x:v>67536</x:v>
      </x:c>
      <x:c r="AE936" s="17" t="n">
        <x:f>2014-B936</x:f>
        <x:v>44</x:v>
      </x:c>
      <x:c r="AF936" s="17" t="n">
        <x:f>F936+G936</x:f>
        <x:v>1</x:v>
      </x:c>
      <x:c r="AG936" s="21" t="n">
        <x:f>SUM(J936:O936)</x:f>
        <x:v>1829</x:v>
      </x:c>
      <x:c r="AH936" s="17" t="n">
        <x:f>SUM(Q936:S936)</x:f>
        <x:v>27</x:v>
      </x:c>
      <x:c r="AI936" s="17" t="n">
        <x:f>SUM(U936:Y936)</x:f>
        <x:v>1</x:v>
      </x:c>
      <x:c r="AJ936" s="17" t="str">
        <x:f>IF(AE936&lt;=34,"≤34",IF(AE936&lt;=44,"35–44",IF(AE936&lt;=54,"45–54",IF(AE936&lt;=64,"55–64","65+"))))</x:f>
        <x:v>35–44</x:v>
      </x:c>
      <x:c r="AK936" s="17" t="str">
        <x:f>IF(AG936&gt;=1000,"High Value",IF(AG936&gt;=300,"Mid Value","Low Value"))</x:f>
        <x:v>High Value</x:v>
      </x:c>
      <x:c r="AL936" s="17" t="str">
        <x:f>IF(AND(AI936&gt;=1,I936&lt;=50),"Priority 1",IF(AND(AG936&gt;=1000,I936&lt;=60),"Priority 2",IF(I936&lt;=30,"Priority 3","Nurture")))</x:f>
        <x:v>Priority 1</x:v>
      </x:c>
    </x:row>
    <x:row r="937">
      <x:c r="A937" s="16" t="n">
        <x:v>3673</x:v>
      </x:c>
      <x:c r="B937" s="16" t="n">
        <x:v>1971</x:v>
      </x:c>
      <x:c r="C937" s="16" t="str">
        <x:v>Graduation</x:v>
      </x:c>
      <x:c r="D937" s="16" t="str">
        <x:v>Single</x:v>
      </x:c>
      <x:c r="E937" s="16" t="n">
        <x:v>55239</x:v>
      </x:c>
      <x:c r="F937" s="16" t="n">
        <x:v>0</x:v>
      </x:c>
      <x:c r="G937" s="16" t="n">
        <x:v>1</x:v>
      </x:c>
      <x:c r="H937" s="16" t="str">
        <x:v>14-07-2013</x:v>
      </x:c>
      <x:c r="I937" s="16" t="n">
        <x:v>59</x:v>
      </x:c>
      <x:c r="J937" s="16" t="n">
        <x:v>371</x:v>
      </x:c>
      <x:c r="K937" s="16" t="n">
        <x:v>17</x:v>
      </x:c>
      <x:c r="L937" s="16" t="n">
        <x:v>238</x:v>
      </x:c>
      <x:c r="M937" s="16" t="n">
        <x:v>23</x:v>
      </x:c>
      <x:c r="N937" s="16" t="n">
        <x:v>24</x:v>
      </x:c>
      <x:c r="O937" s="16" t="n">
        <x:v>106</x:v>
      </x:c>
      <x:c r="P937" s="16" t="n">
        <x:v>3</x:v>
      </x:c>
      <x:c r="Q937" s="16" t="n">
        <x:v>7</x:v>
      </x:c>
      <x:c r="R937" s="16" t="n">
        <x:v>5</x:v>
      </x:c>
      <x:c r="S937" s="16" t="n">
        <x:v>11</x:v>
      </x:c>
      <x:c r="T937" s="16" t="n">
        <x:v>5</x:v>
      </x:c>
      <x:c r="U937" s="16" t="n">
        <x:v>0</x:v>
      </x:c>
      <x:c r="V937" s="16" t="n">
        <x:v>0</x:v>
      </x:c>
      <x:c r="W937" s="16" t="n">
        <x:v>0</x:v>
      </x:c>
      <x:c r="X937" s="16" t="n">
        <x:v>0</x:v>
      </x:c>
      <x:c r="Y937" s="16" t="n">
        <x:v>0</x:v>
      </x:c>
      <x:c r="Z937" s="16" t="n">
        <x:v>0</x:v>
      </x:c>
      <x:c r="AA937" s="16" t="n">
        <x:v>3</x:v>
      </x:c>
      <x:c r="AB937" s="16" t="n">
        <x:v>11</x:v>
      </x:c>
      <x:c r="AC937" s="16" t="n">
        <x:v>0</x:v>
      </x:c>
      <x:c r="AD937" s="21" t="n">
        <x:f>IF(E937="",MEDIAN($E$2:$E$2237),E937)</x:f>
        <x:v>55239</x:v>
      </x:c>
      <x:c r="AE937" s="17" t="n">
        <x:f>2014-B937</x:f>
        <x:v>43</x:v>
      </x:c>
      <x:c r="AF937" s="17" t="n">
        <x:f>F937+G937</x:f>
        <x:v>1</x:v>
      </x:c>
      <x:c r="AG937" s="21" t="n">
        <x:f>SUM(J937:O937)</x:f>
        <x:v>779</x:v>
      </x:c>
      <x:c r="AH937" s="17" t="n">
        <x:f>SUM(Q937:S937)</x:f>
        <x:v>23</x:v>
      </x:c>
      <x:c r="AI937" s="17" t="n">
        <x:f>SUM(U937:Y937)</x:f>
        <x:v>0</x:v>
      </x:c>
      <x:c r="AJ937" s="17" t="str">
        <x:f>IF(AE937&lt;=34,"≤34",IF(AE937&lt;=44,"35–44",IF(AE937&lt;=54,"45–54",IF(AE937&lt;=64,"55–64","65+"))))</x:f>
        <x:v>35–44</x:v>
      </x:c>
      <x:c r="AK937" s="17" t="str">
        <x:f>IF(AG937&gt;=1000,"High Value",IF(AG937&gt;=300,"Mid Value","Low Value"))</x:f>
        <x:v>Mid Value</x:v>
      </x:c>
      <x:c r="AL937" s="17" t="str">
        <x:f>IF(AND(AI937&gt;=1,I937&lt;=50),"Priority 1",IF(AND(AG937&gt;=1000,I937&lt;=60),"Priority 2",IF(I937&lt;=30,"Priority 3","Nurture")))</x:f>
        <x:v>Nurture</x:v>
      </x:c>
    </x:row>
    <x:row r="938">
      <x:c r="A938" s="16" t="n">
        <x:v>760</x:v>
      </x:c>
      <x:c r="B938" s="16" t="n">
        <x:v>1975</x:v>
      </x:c>
      <x:c r="C938" s="16" t="str">
        <x:v>PhD</x:v>
      </x:c>
      <x:c r="D938" s="16" t="str">
        <x:v>Divorced</x:v>
      </x:c>
      <x:c r="E938" s="16" t="n">
        <x:v>60554</x:v>
      </x:c>
      <x:c r="F938" s="16" t="n">
        <x:v>1</x:v>
      </x:c>
      <x:c r="G938" s="16" t="n">
        <x:v>0</x:v>
      </x:c>
      <x:c r="H938" s="16" t="str">
        <x:v>09-08-2013</x:v>
      </x:c>
      <x:c r="I938" s="16" t="n">
        <x:v>8</x:v>
      </x:c>
      <x:c r="J938" s="16" t="n">
        <x:v>588</x:v>
      </x:c>
      <x:c r="K938" s="16" t="n">
        <x:v>7</x:v>
      </x:c>
      <x:c r="L938" s="16" t="n">
        <x:v>76</x:v>
      </x:c>
      <x:c r="M938" s="16" t="n">
        <x:v>110</x:v>
      </x:c>
      <x:c r="N938" s="16" t="n">
        <x:v>15</x:v>
      </x:c>
      <x:c r="O938" s="16" t="n">
        <x:v>15</x:v>
      </x:c>
      <x:c r="P938" s="16" t="n">
        <x:v>2</x:v>
      </x:c>
      <x:c r="Q938" s="16" t="n">
        <x:v>8</x:v>
      </x:c>
      <x:c r="R938" s="16" t="n">
        <x:v>4</x:v>
      </x:c>
      <x:c r="S938" s="16" t="n">
        <x:v>9</x:v>
      </x:c>
      <x:c r="T938" s="16" t="n">
        <x:v>6</x:v>
      </x:c>
      <x:c r="U938" s="16" t="n">
        <x:v>0</x:v>
      </x:c>
      <x:c r="V938" s="16" t="n">
        <x:v>0</x:v>
      </x:c>
      <x:c r="W938" s="16" t="n">
        <x:v>0</x:v>
      </x:c>
      <x:c r="X938" s="16" t="n">
        <x:v>0</x:v>
      </x:c>
      <x:c r="Y938" s="16" t="n">
        <x:v>0</x:v>
      </x:c>
      <x:c r="Z938" s="16" t="n">
        <x:v>0</x:v>
      </x:c>
      <x:c r="AA938" s="16" t="n">
        <x:v>3</x:v>
      </x:c>
      <x:c r="AB938" s="16" t="n">
        <x:v>11</x:v>
      </x:c>
      <x:c r="AC938" s="16" t="n">
        <x:v>0</x:v>
      </x:c>
      <x:c r="AD938" s="21" t="n">
        <x:f>IF(E938="",MEDIAN($E$2:$E$2237),E938)</x:f>
        <x:v>60554</x:v>
      </x:c>
      <x:c r="AE938" s="17" t="n">
        <x:f>2014-B938</x:f>
        <x:v>39</x:v>
      </x:c>
      <x:c r="AF938" s="17" t="n">
        <x:f>F938+G938</x:f>
        <x:v>1</x:v>
      </x:c>
      <x:c r="AG938" s="21" t="n">
        <x:f>SUM(J938:O938)</x:f>
        <x:v>811</x:v>
      </x:c>
      <x:c r="AH938" s="17" t="n">
        <x:f>SUM(Q938:S938)</x:f>
        <x:v>21</x:v>
      </x:c>
      <x:c r="AI938" s="17" t="n">
        <x:f>SUM(U938:Y938)</x:f>
        <x:v>0</x:v>
      </x:c>
      <x:c r="AJ938" s="17" t="str">
        <x:f>IF(AE938&lt;=34,"≤34",IF(AE938&lt;=44,"35–44",IF(AE938&lt;=54,"45–54",IF(AE938&lt;=64,"55–64","65+"))))</x:f>
        <x:v>35–44</x:v>
      </x:c>
      <x:c r="AK938" s="17" t="str">
        <x:f>IF(AG938&gt;=1000,"High Value",IF(AG938&gt;=300,"Mid Value","Low Value"))</x:f>
        <x:v>Mid Value</x:v>
      </x:c>
      <x:c r="AL938" s="17" t="str">
        <x:f>IF(AND(AI938&gt;=1,I938&lt;=50),"Priority 1",IF(AND(AG938&gt;=1000,I938&lt;=60),"Priority 2",IF(I938&lt;=30,"Priority 3","Nurture")))</x:f>
        <x:v>Priority 3</x:v>
      </x:c>
    </x:row>
    <x:row r="939">
      <x:c r="A939" s="16" t="n">
        <x:v>8957</x:v>
      </x:c>
      <x:c r="B939" s="16" t="n">
        <x:v>1952</x:v>
      </x:c>
      <x:c r="C939" s="16" t="str">
        <x:v>2n Cycle</x:v>
      </x:c>
      <x:c r="D939" s="16" t="str">
        <x:v>Single</x:v>
      </x:c>
      <x:c r="E939" s="16" t="n">
        <x:v>64831</x:v>
      </x:c>
      <x:c r="F939" s="16" t="n">
        <x:v>1</x:v>
      </x:c>
      <x:c r="G939" s="16" t="n">
        <x:v>1</x:v>
      </x:c>
      <x:c r="H939" s="16" t="str">
        <x:v>10-06-2013</x:v>
      </x:c>
      <x:c r="I939" s="16" t="n">
        <x:v>51</x:v>
      </x:c>
      <x:c r="J939" s="16" t="n">
        <x:v>480</x:v>
      </x:c>
      <x:c r="K939" s="16" t="n">
        <x:v>86</x:v>
      </x:c>
      <x:c r="L939" s="16" t="n">
        <x:v>249</x:v>
      </x:c>
      <x:c r="M939" s="16" t="n">
        <x:v>75</x:v>
      </x:c>
      <x:c r="N939" s="16" t="n">
        <x:v>86</x:v>
      </x:c>
      <x:c r="O939" s="16" t="n">
        <x:v>144</x:v>
      </x:c>
      <x:c r="P939" s="16" t="n">
        <x:v>8</x:v>
      </x:c>
      <x:c r="Q939" s="16" t="n">
        <x:v>6</x:v>
      </x:c>
      <x:c r="R939" s="16" t="n">
        <x:v>3</x:v>
      </x:c>
      <x:c r="S939" s="16" t="n">
        <x:v>5</x:v>
      </x:c>
      <x:c r="T939" s="16" t="n">
        <x:v>6</x:v>
      </x:c>
      <x:c r="U939" s="16" t="n">
        <x:v>0</x:v>
      </x:c>
      <x:c r="V939" s="16" t="n">
        <x:v>0</x:v>
      </x:c>
      <x:c r="W939" s="16" t="n">
        <x:v>0</x:v>
      </x:c>
      <x:c r="X939" s="16" t="n">
        <x:v>0</x:v>
      </x:c>
      <x:c r="Y939" s="16" t="n">
        <x:v>0</x:v>
      </x:c>
      <x:c r="Z939" s="16" t="n">
        <x:v>0</x:v>
      </x:c>
      <x:c r="AA939" s="16" t="n">
        <x:v>3</x:v>
      </x:c>
      <x:c r="AB939" s="16" t="n">
        <x:v>11</x:v>
      </x:c>
      <x:c r="AC939" s="16" t="n">
        <x:v>0</x:v>
      </x:c>
      <x:c r="AD939" s="21" t="n">
        <x:f>IF(E939="",MEDIAN($E$2:$E$2237),E939)</x:f>
        <x:v>64831</x:v>
      </x:c>
      <x:c r="AE939" s="17" t="n">
        <x:f>2014-B939</x:f>
        <x:v>62</x:v>
      </x:c>
      <x:c r="AF939" s="17" t="n">
        <x:f>F939+G939</x:f>
        <x:v>2</x:v>
      </x:c>
      <x:c r="AG939" s="21" t="n">
        <x:f>SUM(J939:O939)</x:f>
        <x:v>1120</x:v>
      </x:c>
      <x:c r="AH939" s="17" t="n">
        <x:f>SUM(Q939:S939)</x:f>
        <x:v>14</x:v>
      </x:c>
      <x:c r="AI939" s="17" t="n">
        <x:f>SUM(U939:Y939)</x:f>
        <x:v>0</x:v>
      </x:c>
      <x:c r="AJ939" s="17" t="str">
        <x:f>IF(AE939&lt;=34,"≤34",IF(AE939&lt;=44,"35–44",IF(AE939&lt;=54,"45–54",IF(AE939&lt;=64,"55–64","65+"))))</x:f>
        <x:v>55–64</x:v>
      </x:c>
      <x:c r="AK939" s="17" t="str">
        <x:f>IF(AG939&gt;=1000,"High Value",IF(AG939&gt;=300,"Mid Value","Low Value"))</x:f>
        <x:v>High Value</x:v>
      </x:c>
      <x:c r="AL939" s="17" t="str">
        <x:f>IF(AND(AI939&gt;=1,I939&lt;=50),"Priority 1",IF(AND(AG939&gt;=1000,I939&lt;=60),"Priority 2",IF(I939&lt;=30,"Priority 3","Nurture")))</x:f>
        <x:v>Priority 2</x:v>
      </x:c>
    </x:row>
    <x:row r="940">
      <x:c r="A940" s="16" t="n">
        <x:v>4128</x:v>
      </x:c>
      <x:c r="B940" s="16" t="n">
        <x:v>1962</x:v>
      </x:c>
      <x:c r="C940" s="16" t="str">
        <x:v>PhD</x:v>
      </x:c>
      <x:c r="D940" s="16" t="str">
        <x:v>Together</x:v>
      </x:c>
      <x:c r="E940" s="16" t="n">
        <x:v>56067</x:v>
      </x:c>
      <x:c r="F940" s="16" t="n">
        <x:v>0</x:v>
      </x:c>
      <x:c r="G940" s="16" t="n">
        <x:v>1</x:v>
      </x:c>
      <x:c r="H940" s="16" t="str">
        <x:v>20-07-2013</x:v>
      </x:c>
      <x:c r="I940" s="16" t="n">
        <x:v>51</x:v>
      </x:c>
      <x:c r="J940" s="16" t="n">
        <x:v>517</x:v>
      </x:c>
      <x:c r="K940" s="16" t="n">
        <x:v>12</x:v>
      </x:c>
      <x:c r="L940" s="16" t="n">
        <x:v>54</x:v>
      </x:c>
      <x:c r="M940" s="16" t="n">
        <x:v>16</x:v>
      </x:c>
      <x:c r="N940" s="16" t="n">
        <x:v>6</x:v>
      </x:c>
      <x:c r="O940" s="16" t="n">
        <x:v>120</x:v>
      </x:c>
      <x:c r="P940" s="16" t="n">
        <x:v>2</x:v>
      </x:c>
      <x:c r="Q940" s="16" t="n">
        <x:v>7</x:v>
      </x:c>
      <x:c r="R940" s="16" t="n">
        <x:v>4</x:v>
      </x:c>
      <x:c r="S940" s="16" t="n">
        <x:v>7</x:v>
      </x:c>
      <x:c r="T940" s="16" t="n">
        <x:v>5</x:v>
      </x:c>
      <x:c r="U940" s="16" t="n">
        <x:v>0</x:v>
      </x:c>
      <x:c r="V940" s="16" t="n">
        <x:v>0</x:v>
      </x:c>
      <x:c r="W940" s="16" t="n">
        <x:v>0</x:v>
      </x:c>
      <x:c r="X940" s="16" t="n">
        <x:v>0</x:v>
      </x:c>
      <x:c r="Y940" s="16" t="n">
        <x:v>0</x:v>
      </x:c>
      <x:c r="Z940" s="16" t="n">
        <x:v>0</x:v>
      </x:c>
      <x:c r="AA940" s="16" t="n">
        <x:v>3</x:v>
      </x:c>
      <x:c r="AB940" s="16" t="n">
        <x:v>11</x:v>
      </x:c>
      <x:c r="AC940" s="16" t="n">
        <x:v>0</x:v>
      </x:c>
      <x:c r="AD940" s="21" t="n">
        <x:f>IF(E940="",MEDIAN($E$2:$E$2237),E940)</x:f>
        <x:v>56067</x:v>
      </x:c>
      <x:c r="AE940" s="17" t="n">
        <x:f>2014-B940</x:f>
        <x:v>52</x:v>
      </x:c>
      <x:c r="AF940" s="17" t="n">
        <x:f>F940+G940</x:f>
        <x:v>1</x:v>
      </x:c>
      <x:c r="AG940" s="21" t="n">
        <x:f>SUM(J940:O940)</x:f>
        <x:v>725</x:v>
      </x:c>
      <x:c r="AH940" s="17" t="n">
        <x:f>SUM(Q940:S940)</x:f>
        <x:v>18</x:v>
      </x:c>
      <x:c r="AI940" s="17" t="n">
        <x:f>SUM(U940:Y940)</x:f>
        <x:v>0</x:v>
      </x:c>
      <x:c r="AJ940" s="17" t="str">
        <x:f>IF(AE940&lt;=34,"≤34",IF(AE940&lt;=44,"35–44",IF(AE940&lt;=54,"45–54",IF(AE940&lt;=64,"55–64","65+"))))</x:f>
        <x:v>45–54</x:v>
      </x:c>
      <x:c r="AK940" s="17" t="str">
        <x:f>IF(AG940&gt;=1000,"High Value",IF(AG940&gt;=300,"Mid Value","Low Value"))</x:f>
        <x:v>Mid Value</x:v>
      </x:c>
      <x:c r="AL940" s="17" t="str">
        <x:f>IF(AND(AI940&gt;=1,I940&lt;=50),"Priority 1",IF(AND(AG940&gt;=1000,I940&lt;=60),"Priority 2",IF(I940&lt;=30,"Priority 3","Nurture")))</x:f>
        <x:v>Nurture</x:v>
      </x:c>
    </x:row>
    <x:row r="941">
      <x:c r="A941" s="16" t="n">
        <x:v>6810</x:v>
      </x:c>
      <x:c r="B941" s="16" t="n">
        <x:v>1983</x:v>
      </x:c>
      <x:c r="C941" s="16" t="str">
        <x:v>Graduation</x:v>
      </x:c>
      <x:c r="D941" s="16" t="str">
        <x:v>Divorced</x:v>
      </x:c>
      <x:c r="E941" s="16" t="n">
        <x:v>82025</x:v>
      </x:c>
      <x:c r="F941" s="16" t="n">
        <x:v>0</x:v>
      </x:c>
      <x:c r="G941" s="16" t="n">
        <x:v>0</x:v>
      </x:c>
      <x:c r="H941" s="16" t="str">
        <x:v>28-05-2013</x:v>
      </x:c>
      <x:c r="I941" s="16" t="n">
        <x:v>76</x:v>
      </x:c>
      <x:c r="J941" s="16" t="n">
        <x:v>267</x:v>
      </x:c>
      <x:c r="K941" s="16" t="n">
        <x:v>98</x:v>
      </x:c>
      <x:c r="L941" s="16" t="n">
        <x:v>606</x:v>
      </x:c>
      <x:c r="M941" s="16" t="n">
        <x:v>48</x:v>
      </x:c>
      <x:c r="N941" s="16" t="n">
        <x:v>70</x:v>
      </x:c>
      <x:c r="O941" s="16" t="n">
        <x:v>98</x:v>
      </x:c>
      <x:c r="P941" s="16" t="n">
        <x:v>1</x:v>
      </x:c>
      <x:c r="Q941" s="16" t="n">
        <x:v>3</x:v>
      </x:c>
      <x:c r="R941" s="16" t="n">
        <x:v>2</x:v>
      </x:c>
      <x:c r="S941" s="16" t="n">
        <x:v>6</x:v>
      </x:c>
      <x:c r="T941" s="16" t="n">
        <x:v>1</x:v>
      </x:c>
      <x:c r="U941" s="16" t="n">
        <x:v>0</x:v>
      </x:c>
      <x:c r="V941" s="16" t="n">
        <x:v>0</x:v>
      </x:c>
      <x:c r="W941" s="16" t="n">
        <x:v>1</x:v>
      </x:c>
      <x:c r="X941" s="16" t="n">
        <x:v>0</x:v>
      </x:c>
      <x:c r="Y941" s="16" t="n">
        <x:v>0</x:v>
      </x:c>
      <x:c r="Z941" s="16" t="n">
        <x:v>0</x:v>
      </x:c>
      <x:c r="AA941" s="16" t="n">
        <x:v>3</x:v>
      </x:c>
      <x:c r="AB941" s="16" t="n">
        <x:v>11</x:v>
      </x:c>
      <x:c r="AC941" s="16" t="n">
        <x:v>1</x:v>
      </x:c>
      <x:c r="AD941" s="21" t="n">
        <x:f>IF(E941="",MEDIAN($E$2:$E$2237),E941)</x:f>
        <x:v>82025</x:v>
      </x:c>
      <x:c r="AE941" s="17" t="n">
        <x:f>2014-B941</x:f>
        <x:v>31</x:v>
      </x:c>
      <x:c r="AF941" s="17" t="n">
        <x:f>F941+G941</x:f>
        <x:v>0</x:v>
      </x:c>
      <x:c r="AG941" s="21" t="n">
        <x:f>SUM(J941:O941)</x:f>
        <x:v>1187</x:v>
      </x:c>
      <x:c r="AH941" s="17" t="n">
        <x:f>SUM(Q941:S941)</x:f>
        <x:v>11</x:v>
      </x:c>
      <x:c r="AI941" s="17" t="n">
        <x:f>SUM(U941:Y941)</x:f>
        <x:v>1</x:v>
      </x:c>
      <x:c r="AJ941" s="17" t="str">
        <x:f>IF(AE941&lt;=34,"≤34",IF(AE941&lt;=44,"35–44",IF(AE941&lt;=54,"45–54",IF(AE941&lt;=64,"55–64","65+"))))</x:f>
        <x:v>≤34</x:v>
      </x:c>
      <x:c r="AK941" s="17" t="str">
        <x:f>IF(AG941&gt;=1000,"High Value",IF(AG941&gt;=300,"Mid Value","Low Value"))</x:f>
        <x:v>High Value</x:v>
      </x:c>
      <x:c r="AL941" s="17" t="str">
        <x:f>IF(AND(AI941&gt;=1,I941&lt;=50),"Priority 1",IF(AND(AG941&gt;=1000,I941&lt;=60),"Priority 2",IF(I941&lt;=30,"Priority 3","Nurture")))</x:f>
        <x:v>Nurture</x:v>
      </x:c>
    </x:row>
    <x:row r="942">
      <x:c r="A942" s="16" t="n">
        <x:v>5386</x:v>
      </x:c>
      <x:c r="B942" s="16" t="n">
        <x:v>1953</x:v>
      </x:c>
      <x:c r="C942" s="16" t="str">
        <x:v>Graduation</x:v>
      </x:c>
      <x:c r="D942" s="16" t="str">
        <x:v>Together</x:v>
      </x:c>
      <x:c r="E942" s="16" t="n">
        <x:v>94384</x:v>
      </x:c>
      <x:c r="F942" s="16" t="n">
        <x:v>0</x:v>
      </x:c>
      <x:c r="G942" s="16" t="n">
        <x:v>0</x:v>
      </x:c>
      <x:c r="H942" s="16" t="str">
        <x:v>04-03-2013</x:v>
      </x:c>
      <x:c r="I942" s="16" t="n">
        <x:v>62</x:v>
      </x:c>
      <x:c r="J942" s="16" t="n">
        <x:v>1111</x:v>
      </x:c>
      <x:c r="K942" s="16" t="n">
        <x:v>24</x:v>
      </x:c>
      <x:c r="L942" s="16" t="n">
        <x:v>790</x:v>
      </x:c>
      <x:c r="M942" s="16" t="n">
        <x:v>160</x:v>
      </x:c>
      <x:c r="N942" s="16" t="n">
        <x:v>45</x:v>
      </x:c>
      <x:c r="O942" s="16" t="n">
        <x:v>172</x:v>
      </x:c>
      <x:c r="P942" s="16" t="n">
        <x:v>0</x:v>
      </x:c>
      <x:c r="Q942" s="16" t="n">
        <x:v>5</x:v>
      </x:c>
      <x:c r="R942" s="16" t="n">
        <x:v>8</x:v>
      </x:c>
      <x:c r="S942" s="16" t="n">
        <x:v>5</x:v>
      </x:c>
      <x:c r="T942" s="16" t="n">
        <x:v>2</x:v>
      </x:c>
      <x:c r="U942" s="16" t="n">
        <x:v>0</x:v>
      </x:c>
      <x:c r="V942" s="16" t="n">
        <x:v>1</x:v>
      </x:c>
      <x:c r="W942" s="16" t="n">
        <x:v>1</x:v>
      </x:c>
      <x:c r="X942" s="16" t="n">
        <x:v>1</x:v>
      </x:c>
      <x:c r="Y942" s="16" t="n">
        <x:v>0</x:v>
      </x:c>
      <x:c r="Z942" s="16" t="n">
        <x:v>0</x:v>
      </x:c>
      <x:c r="AA942" s="16" t="n">
        <x:v>3</x:v>
      </x:c>
      <x:c r="AB942" s="16" t="n">
        <x:v>11</x:v>
      </x:c>
      <x:c r="AC942" s="16" t="n">
        <x:v>1</x:v>
      </x:c>
      <x:c r="AD942" s="21" t="n">
        <x:f>IF(E942="",MEDIAN($E$2:$E$2237),E942)</x:f>
        <x:v>94384</x:v>
      </x:c>
      <x:c r="AE942" s="17" t="n">
        <x:f>2014-B942</x:f>
        <x:v>61</x:v>
      </x:c>
      <x:c r="AF942" s="17" t="n">
        <x:f>F942+G942</x:f>
        <x:v>0</x:v>
      </x:c>
      <x:c r="AG942" s="21" t="n">
        <x:f>SUM(J942:O942)</x:f>
        <x:v>2302</x:v>
      </x:c>
      <x:c r="AH942" s="17" t="n">
        <x:f>SUM(Q942:S942)</x:f>
        <x:v>18</x:v>
      </x:c>
      <x:c r="AI942" s="17" t="n">
        <x:f>SUM(U942:Y942)</x:f>
        <x:v>3</x:v>
      </x:c>
      <x:c r="AJ942" s="17" t="str">
        <x:f>IF(AE942&lt;=34,"≤34",IF(AE942&lt;=44,"35–44",IF(AE942&lt;=54,"45–54",IF(AE942&lt;=64,"55–64","65+"))))</x:f>
        <x:v>55–64</x:v>
      </x:c>
      <x:c r="AK942" s="17" t="str">
        <x:f>IF(AG942&gt;=1000,"High Value",IF(AG942&gt;=300,"Mid Value","Low Value"))</x:f>
        <x:v>High Value</x:v>
      </x:c>
      <x:c r="AL942" s="17" t="str">
        <x:f>IF(AND(AI942&gt;=1,I942&lt;=50),"Priority 1",IF(AND(AG942&gt;=1000,I942&lt;=60),"Priority 2",IF(I942&lt;=30,"Priority 3","Nurture")))</x:f>
        <x:v>Nurture</x:v>
      </x:c>
    </x:row>
    <x:row r="943">
      <x:c r="A943" s="16" t="n">
        <x:v>8700</x:v>
      </x:c>
      <x:c r="B943" s="16" t="n">
        <x:v>1986</x:v>
      </x:c>
      <x:c r="C943" s="16" t="str">
        <x:v>Basic</x:v>
      </x:c>
      <x:c r="D943" s="16" t="str">
        <x:v>Single</x:v>
      </x:c>
      <x:c r="E943" s="16" t="n">
        <x:v>14906</x:v>
      </x:c>
      <x:c r="F943" s="16" t="n">
        <x:v>0</x:v>
      </x:c>
      <x:c r="G943" s="16" t="n">
        <x:v>0</x:v>
      </x:c>
      <x:c r="H943" s="16" t="str">
        <x:v>22-12-2012</x:v>
      </x:c>
      <x:c r="I943" s="16" t="n">
        <x:v>86</x:v>
      </x:c>
      <x:c r="J943" s="16" t="n">
        <x:v>7</x:v>
      </x:c>
      <x:c r="K943" s="16" t="n">
        <x:v>7</x:v>
      </x:c>
      <x:c r="L943" s="16" t="n">
        <x:v>14</x:v>
      </x:c>
      <x:c r="M943" s="16" t="n">
        <x:v>7</x:v>
      </x:c>
      <x:c r="N943" s="16" t="n">
        <x:v>16</x:v>
      </x:c>
      <x:c r="O943" s="16" t="n">
        <x:v>15</x:v>
      </x:c>
      <x:c r="P943" s="16" t="n">
        <x:v>3</x:v>
      </x:c>
      <x:c r="Q943" s="16" t="n">
        <x:v>2</x:v>
      </x:c>
      <x:c r="R943" s="16" t="n">
        <x:v>1</x:v>
      </x:c>
      <x:c r="S943" s="16" t="n">
        <x:v>3</x:v>
      </x:c>
      <x:c r="T943" s="16" t="n">
        <x:v>7</x:v>
      </x:c>
      <x:c r="U943" s="16" t="n">
        <x:v>0</x:v>
      </x:c>
      <x:c r="V943" s="16" t="n">
        <x:v>0</x:v>
      </x:c>
      <x:c r="W943" s="16" t="n">
        <x:v>0</x:v>
      </x:c>
      <x:c r="X943" s="16" t="n">
        <x:v>0</x:v>
      </x:c>
      <x:c r="Y943" s="16" t="n">
        <x:v>0</x:v>
      </x:c>
      <x:c r="Z943" s="16" t="n">
        <x:v>0</x:v>
      </x:c>
      <x:c r="AA943" s="16" t="n">
        <x:v>3</x:v>
      </x:c>
      <x:c r="AB943" s="16" t="n">
        <x:v>11</x:v>
      </x:c>
      <x:c r="AC943" s="16" t="n">
        <x:v>0</x:v>
      </x:c>
      <x:c r="AD943" s="21" t="n">
        <x:f>IF(E943="",MEDIAN($E$2:$E$2237),E943)</x:f>
        <x:v>14906</x:v>
      </x:c>
      <x:c r="AE943" s="17" t="n">
        <x:f>2014-B943</x:f>
        <x:v>28</x:v>
      </x:c>
      <x:c r="AF943" s="17" t="n">
        <x:f>F943+G943</x:f>
        <x:v>0</x:v>
      </x:c>
      <x:c r="AG943" s="21" t="n">
        <x:f>SUM(J943:O943)</x:f>
        <x:v>66</x:v>
      </x:c>
      <x:c r="AH943" s="17" t="n">
        <x:f>SUM(Q943:S943)</x:f>
        <x:v>6</x:v>
      </x:c>
      <x:c r="AI943" s="17" t="n">
        <x:f>SUM(U943:Y943)</x:f>
        <x:v>0</x:v>
      </x:c>
      <x:c r="AJ943" s="17" t="str">
        <x:f>IF(AE943&lt;=34,"≤34",IF(AE943&lt;=44,"35–44",IF(AE943&lt;=54,"45–54",IF(AE943&lt;=64,"55–64","65+"))))</x:f>
        <x:v>≤34</x:v>
      </x:c>
      <x:c r="AK943" s="17" t="str">
        <x:f>IF(AG943&gt;=1000,"High Value",IF(AG943&gt;=300,"Mid Value","Low Value"))</x:f>
        <x:v>Low Value</x:v>
      </x:c>
      <x:c r="AL943" s="17" t="str">
        <x:f>IF(AND(AI943&gt;=1,I943&lt;=50),"Priority 1",IF(AND(AG943&gt;=1000,I943&lt;=60),"Priority 2",IF(I943&lt;=30,"Priority 3","Nurture")))</x:f>
        <x:v>Nurture</x:v>
      </x:c>
    </x:row>
    <x:row r="944">
      <x:c r="A944" s="16" t="n">
        <x:v>3202</x:v>
      </x:c>
      <x:c r="B944" s="16" t="n">
        <x:v>1987</x:v>
      </x:c>
      <x:c r="C944" s="16" t="str">
        <x:v>PhD</x:v>
      </x:c>
      <x:c r="D944" s="16" t="str">
        <x:v>Married</x:v>
      </x:c>
      <x:c r="E944" s="16" t="n">
        <x:v>51563</x:v>
      </x:c>
      <x:c r="F944" s="16" t="n">
        <x:v>0</x:v>
      </x:c>
      <x:c r="G944" s="16" t="n">
        <x:v>0</x:v>
      </x:c>
      <x:c r="H944" s="16" t="str">
        <x:v>01-10-2012</x:v>
      </x:c>
      <x:c r="I944" s="16" t="n">
        <x:v>60</x:v>
      </x:c>
      <x:c r="J944" s="16" t="n">
        <x:v>1166</x:v>
      </x:c>
      <x:c r="K944" s="16" t="n">
        <x:v>0</x:v>
      </x:c>
      <x:c r="L944" s="16" t="n">
        <x:v>48</x:v>
      </x:c>
      <x:c r="M944" s="16" t="n">
        <x:v>0</x:v>
      </x:c>
      <x:c r="N944" s="16" t="n">
        <x:v>0</x:v>
      </x:c>
      <x:c r="O944" s="16" t="n">
        <x:v>36</x:v>
      </x:c>
      <x:c r="P944" s="16" t="n">
        <x:v>1</x:v>
      </x:c>
      <x:c r="Q944" s="16" t="n">
        <x:v>4</x:v>
      </x:c>
      <x:c r="R944" s="16" t="n">
        <x:v>4</x:v>
      </x:c>
      <x:c r="S944" s="16" t="n">
        <x:v>10</x:v>
      </x:c>
      <x:c r="T944" s="16" t="n">
        <x:v>8</x:v>
      </x:c>
      <x:c r="U944" s="16" t="n">
        <x:v>0</x:v>
      </x:c>
      <x:c r="V944" s="16" t="n">
        <x:v>1</x:v>
      </x:c>
      <x:c r="W944" s="16" t="n">
        <x:v>1</x:v>
      </x:c>
      <x:c r="X944" s="16" t="n">
        <x:v>0</x:v>
      </x:c>
      <x:c r="Y944" s="16" t="n">
        <x:v>0</x:v>
      </x:c>
      <x:c r="Z944" s="16" t="n">
        <x:v>0</x:v>
      </x:c>
      <x:c r="AA944" s="16" t="n">
        <x:v>3</x:v>
      </x:c>
      <x:c r="AB944" s="16" t="n">
        <x:v>11</x:v>
      </x:c>
      <x:c r="AC944" s="16" t="n">
        <x:v>0</x:v>
      </x:c>
      <x:c r="AD944" s="21" t="n">
        <x:f>IF(E944="",MEDIAN($E$2:$E$2237),E944)</x:f>
        <x:v>51563</x:v>
      </x:c>
      <x:c r="AE944" s="17" t="n">
        <x:f>2014-B944</x:f>
        <x:v>27</x:v>
      </x:c>
      <x:c r="AF944" s="17" t="n">
        <x:f>F944+G944</x:f>
        <x:v>0</x:v>
      </x:c>
      <x:c r="AG944" s="21" t="n">
        <x:f>SUM(J944:O944)</x:f>
        <x:v>1250</x:v>
      </x:c>
      <x:c r="AH944" s="17" t="n">
        <x:f>SUM(Q944:S944)</x:f>
        <x:v>18</x:v>
      </x:c>
      <x:c r="AI944" s="17" t="n">
        <x:f>SUM(U944:Y944)</x:f>
        <x:v>2</x:v>
      </x:c>
      <x:c r="AJ944" s="17" t="str">
        <x:f>IF(AE944&lt;=34,"≤34",IF(AE944&lt;=44,"35–44",IF(AE944&lt;=54,"45–54",IF(AE944&lt;=64,"55–64","65+"))))</x:f>
        <x:v>≤34</x:v>
      </x:c>
      <x:c r="AK944" s="17" t="str">
        <x:f>IF(AG944&gt;=1000,"High Value",IF(AG944&gt;=300,"Mid Value","Low Value"))</x:f>
        <x:v>High Value</x:v>
      </x:c>
      <x:c r="AL944" s="17" t="str">
        <x:f>IF(AND(AI944&gt;=1,I944&lt;=50),"Priority 1",IF(AND(AG944&gt;=1000,I944&lt;=60),"Priority 2",IF(I944&lt;=30,"Priority 3","Nurture")))</x:f>
        <x:v>Priority 2</x:v>
      </x:c>
    </x:row>
    <x:row r="945">
      <x:c r="A945" s="16" t="n">
        <x:v>1328</x:v>
      </x:c>
      <x:c r="B945" s="16" t="n">
        <x:v>1982</x:v>
      </x:c>
      <x:c r="C945" s="16" t="str">
        <x:v>2n Cycle</x:v>
      </x:c>
      <x:c r="D945" s="16" t="str">
        <x:v>Married</x:v>
      </x:c>
      <x:c r="E945" s="16" t="n">
        <x:v>57937</x:v>
      </x:c>
      <x:c r="F945" s="16" t="n">
        <x:v>0</x:v>
      </x:c>
      <x:c r="G945" s="16" t="n">
        <x:v>1</x:v>
      </x:c>
      <x:c r="H945" s="16" t="str">
        <x:v>16-02-2014</x:v>
      </x:c>
      <x:c r="I945" s="16" t="n">
        <x:v>56</x:v>
      </x:c>
      <x:c r="J945" s="16" t="n">
        <x:v>261</x:v>
      </x:c>
      <x:c r="K945" s="16" t="n">
        <x:v>42</x:v>
      </x:c>
      <x:c r="L945" s="16" t="n">
        <x:v>144</x:v>
      </x:c>
      <x:c r="M945" s="16" t="n">
        <x:v>55</x:v>
      </x:c>
      <x:c r="N945" s="16" t="n">
        <x:v>48</x:v>
      </x:c>
      <x:c r="O945" s="16" t="n">
        <x:v>133</x:v>
      </x:c>
      <x:c r="P945" s="16" t="n">
        <x:v>3</x:v>
      </x:c>
      <x:c r="Q945" s="16" t="n">
        <x:v>4</x:v>
      </x:c>
      <x:c r="R945" s="16" t="n">
        <x:v>4</x:v>
      </x:c>
      <x:c r="S945" s="16" t="n">
        <x:v>9</x:v>
      </x:c>
      <x:c r="T945" s="16" t="n">
        <x:v>3</x:v>
      </x:c>
      <x:c r="U945" s="16" t="n">
        <x:v>0</x:v>
      </x:c>
      <x:c r="V945" s="16" t="n">
        <x:v>0</x:v>
      </x:c>
      <x:c r="W945" s="16" t="n">
        <x:v>0</x:v>
      </x:c>
      <x:c r="X945" s="16" t="n">
        <x:v>0</x:v>
      </x:c>
      <x:c r="Y945" s="16" t="n">
        <x:v>0</x:v>
      </x:c>
      <x:c r="Z945" s="16" t="n">
        <x:v>0</x:v>
      </x:c>
      <x:c r="AA945" s="16" t="n">
        <x:v>3</x:v>
      </x:c>
      <x:c r="AB945" s="16" t="n">
        <x:v>11</x:v>
      </x:c>
      <x:c r="AC945" s="16" t="n">
        <x:v>0</x:v>
      </x:c>
      <x:c r="AD945" s="21" t="n">
        <x:f>IF(E945="",MEDIAN($E$2:$E$2237),E945)</x:f>
        <x:v>57937</x:v>
      </x:c>
      <x:c r="AE945" s="17" t="n">
        <x:f>2014-B945</x:f>
        <x:v>32</x:v>
      </x:c>
      <x:c r="AF945" s="17" t="n">
        <x:f>F945+G945</x:f>
        <x:v>1</x:v>
      </x:c>
      <x:c r="AG945" s="21" t="n">
        <x:f>SUM(J945:O945)</x:f>
        <x:v>683</x:v>
      </x:c>
      <x:c r="AH945" s="17" t="n">
        <x:f>SUM(Q945:S945)</x:f>
        <x:v>17</x:v>
      </x:c>
      <x:c r="AI945" s="17" t="n">
        <x:f>SUM(U945:Y945)</x:f>
        <x:v>0</x:v>
      </x:c>
      <x:c r="AJ945" s="17" t="str">
        <x:f>IF(AE945&lt;=34,"≤34",IF(AE945&lt;=44,"35–44",IF(AE945&lt;=54,"45–54",IF(AE945&lt;=64,"55–64","65+"))))</x:f>
        <x:v>≤34</x:v>
      </x:c>
      <x:c r="AK945" s="17" t="str">
        <x:f>IF(AG945&gt;=1000,"High Value",IF(AG945&gt;=300,"Mid Value","Low Value"))</x:f>
        <x:v>Mid Value</x:v>
      </x:c>
      <x:c r="AL945" s="17" t="str">
        <x:f>IF(AND(AI945&gt;=1,I945&lt;=50),"Priority 1",IF(AND(AG945&gt;=1000,I945&lt;=60),"Priority 2",IF(I945&lt;=30,"Priority 3","Nurture")))</x:f>
        <x:v>Nurture</x:v>
      </x:c>
    </x:row>
    <x:row r="946">
      <x:c r="A946" s="16" t="n">
        <x:v>8405</x:v>
      </x:c>
      <x:c r="B946" s="16" t="n">
        <x:v>1979</x:v>
      </x:c>
      <x:c r="C946" s="16" t="str">
        <x:v>Graduation</x:v>
      </x:c>
      <x:c r="D946" s="16" t="str">
        <x:v>Divorced</x:v>
      </x:c>
      <x:c r="E946" s="16" t="n">
        <x:v>68274</x:v>
      </x:c>
      <x:c r="F946" s="16" t="n">
        <x:v>1</x:v>
      </x:c>
      <x:c r="G946" s="16" t="n">
        <x:v>1</x:v>
      </x:c>
      <x:c r="H946" s="16" t="str">
        <x:v>30-09-2013</x:v>
      </x:c>
      <x:c r="I946" s="16" t="n">
        <x:v>83</x:v>
      </x:c>
      <x:c r="J946" s="16" t="n">
        <x:v>135</x:v>
      </x:c>
      <x:c r="K946" s="16" t="n">
        <x:v>25</x:v>
      </x:c>
      <x:c r="L946" s="16" t="n">
        <x:v>51</x:v>
      </x:c>
      <x:c r="M946" s="16" t="n">
        <x:v>23</x:v>
      </x:c>
      <x:c r="N946" s="16" t="n">
        <x:v>25</x:v>
      </x:c>
      <x:c r="O946" s="16" t="n">
        <x:v>46</x:v>
      </x:c>
      <x:c r="P946" s="16" t="n">
        <x:v>2</x:v>
      </x:c>
      <x:c r="Q946" s="16" t="n">
        <x:v>4</x:v>
      </x:c>
      <x:c r="R946" s="16" t="n">
        <x:v>2</x:v>
      </x:c>
      <x:c r="S946" s="16" t="n">
        <x:v>5</x:v>
      </x:c>
      <x:c r="T946" s="16" t="n">
        <x:v>3</x:v>
      </x:c>
      <x:c r="U946" s="16" t="n">
        <x:v>0</x:v>
      </x:c>
      <x:c r="V946" s="16" t="n">
        <x:v>0</x:v>
      </x:c>
      <x:c r="W946" s="16" t="n">
        <x:v>0</x:v>
      </x:c>
      <x:c r="X946" s="16" t="n">
        <x:v>0</x:v>
      </x:c>
      <x:c r="Y946" s="16" t="n">
        <x:v>0</x:v>
      </x:c>
      <x:c r="Z946" s="16" t="n">
        <x:v>0</x:v>
      </x:c>
      <x:c r="AA946" s="16" t="n">
        <x:v>3</x:v>
      </x:c>
      <x:c r="AB946" s="16" t="n">
        <x:v>11</x:v>
      </x:c>
      <x:c r="AC946" s="16" t="n">
        <x:v>0</x:v>
      </x:c>
      <x:c r="AD946" s="21" t="n">
        <x:f>IF(E946="",MEDIAN($E$2:$E$2237),E946)</x:f>
        <x:v>68274</x:v>
      </x:c>
      <x:c r="AE946" s="17" t="n">
        <x:f>2014-B946</x:f>
        <x:v>35</x:v>
      </x:c>
      <x:c r="AF946" s="17" t="n">
        <x:f>F946+G946</x:f>
        <x:v>2</x:v>
      </x:c>
      <x:c r="AG946" s="21" t="n">
        <x:f>SUM(J946:O946)</x:f>
        <x:v>305</x:v>
      </x:c>
      <x:c r="AH946" s="17" t="n">
        <x:f>SUM(Q946:S946)</x:f>
        <x:v>11</x:v>
      </x:c>
      <x:c r="AI946" s="17" t="n">
        <x:f>SUM(U946:Y946)</x:f>
        <x:v>0</x:v>
      </x:c>
      <x:c r="AJ946" s="17" t="str">
        <x:f>IF(AE946&lt;=34,"≤34",IF(AE946&lt;=44,"35–44",IF(AE946&lt;=54,"45–54",IF(AE946&lt;=64,"55–64","65+"))))</x:f>
        <x:v>35–44</x:v>
      </x:c>
      <x:c r="AK946" s="17" t="str">
        <x:f>IF(AG946&gt;=1000,"High Value",IF(AG946&gt;=300,"Mid Value","Low Value"))</x:f>
        <x:v>Mid Value</x:v>
      </x:c>
      <x:c r="AL946" s="17" t="str">
        <x:f>IF(AND(AI946&gt;=1,I946&lt;=50),"Priority 1",IF(AND(AG946&gt;=1000,I946&lt;=60),"Priority 2",IF(I946&lt;=30,"Priority 3","Nurture")))</x:f>
        <x:v>Nurture</x:v>
      </x:c>
    </x:row>
    <x:row r="947">
      <x:c r="A947" s="16" t="n">
        <x:v>6515</x:v>
      </x:c>
      <x:c r="B947" s="16" t="n">
        <x:v>1977</x:v>
      </x:c>
      <x:c r="C947" s="16" t="str">
        <x:v>Graduation</x:v>
      </x:c>
      <x:c r="D947" s="16" t="str">
        <x:v>Together</x:v>
      </x:c>
      <x:c r="E947" s="16" t="n">
        <x:v>39771</x:v>
      </x:c>
      <x:c r="F947" s="16" t="n">
        <x:v>1</x:v>
      </x:c>
      <x:c r="G947" s="16" t="n">
        <x:v>0</x:v>
      </x:c>
      <x:c r="H947" s="16" t="str">
        <x:v>06-12-2013</x:v>
      </x:c>
      <x:c r="I947" s="16" t="n">
        <x:v>92</x:v>
      </x:c>
      <x:c r="J947" s="16" t="n">
        <x:v>6</x:v>
      </x:c>
      <x:c r="K947" s="16" t="n">
        <x:v>2</x:v>
      </x:c>
      <x:c r="L947" s="16" t="n">
        <x:v>18</x:v>
      </x:c>
      <x:c r="M947" s="16" t="n">
        <x:v>2</x:v>
      </x:c>
      <x:c r="N947" s="16" t="n">
        <x:v>8</x:v>
      </x:c>
      <x:c r="O947" s="16" t="n">
        <x:v>14</x:v>
      </x:c>
      <x:c r="P947" s="16" t="n">
        <x:v>1</x:v>
      </x:c>
      <x:c r="Q947" s="16" t="n">
        <x:v>2</x:v>
      </x:c>
      <x:c r="R947" s="16" t="n">
        <x:v>0</x:v>
      </x:c>
      <x:c r="S947" s="16" t="n">
        <x:v>3</x:v>
      </x:c>
      <x:c r="T947" s="16" t="n">
        <x:v>4</x:v>
      </x:c>
      <x:c r="U947" s="16" t="n">
        <x:v>0</x:v>
      </x:c>
      <x:c r="V947" s="16" t="n">
        <x:v>0</x:v>
      </x:c>
      <x:c r="W947" s="16" t="n">
        <x:v>0</x:v>
      </x:c>
      <x:c r="X947" s="16" t="n">
        <x:v>0</x:v>
      </x:c>
      <x:c r="Y947" s="16" t="n">
        <x:v>0</x:v>
      </x:c>
      <x:c r="Z947" s="16" t="n">
        <x:v>0</x:v>
      </x:c>
      <x:c r="AA947" s="16" t="n">
        <x:v>3</x:v>
      </x:c>
      <x:c r="AB947" s="16" t="n">
        <x:v>11</x:v>
      </x:c>
      <x:c r="AC947" s="16" t="n">
        <x:v>0</x:v>
      </x:c>
      <x:c r="AD947" s="21" t="n">
        <x:f>IF(E947="",MEDIAN($E$2:$E$2237),E947)</x:f>
        <x:v>39771</x:v>
      </x:c>
      <x:c r="AE947" s="17" t="n">
        <x:f>2014-B947</x:f>
        <x:v>37</x:v>
      </x:c>
      <x:c r="AF947" s="17" t="n">
        <x:f>F947+G947</x:f>
        <x:v>1</x:v>
      </x:c>
      <x:c r="AG947" s="21" t="n">
        <x:f>SUM(J947:O947)</x:f>
        <x:v>50</x:v>
      </x:c>
      <x:c r="AH947" s="17" t="n">
        <x:f>SUM(Q947:S947)</x:f>
        <x:v>5</x:v>
      </x:c>
      <x:c r="AI947" s="17" t="n">
        <x:f>SUM(U947:Y947)</x:f>
        <x:v>0</x:v>
      </x:c>
      <x:c r="AJ947" s="17" t="str">
        <x:f>IF(AE947&lt;=34,"≤34",IF(AE947&lt;=44,"35–44",IF(AE947&lt;=54,"45–54",IF(AE947&lt;=64,"55–64","65+"))))</x:f>
        <x:v>35–44</x:v>
      </x:c>
      <x:c r="AK947" s="17" t="str">
        <x:f>IF(AG947&gt;=1000,"High Value",IF(AG947&gt;=300,"Mid Value","Low Value"))</x:f>
        <x:v>Low Value</x:v>
      </x:c>
      <x:c r="AL947" s="17" t="str">
        <x:f>IF(AND(AI947&gt;=1,I947&lt;=50),"Priority 1",IF(AND(AG947&gt;=1000,I947&lt;=60),"Priority 2",IF(I947&lt;=30,"Priority 3","Nurture")))</x:f>
        <x:v>Nurture</x:v>
      </x:c>
    </x:row>
    <x:row r="948">
      <x:c r="A948" s="16" t="n">
        <x:v>2882</x:v>
      </x:c>
      <x:c r="B948" s="16" t="n">
        <x:v>1975</x:v>
      </x:c>
      <x:c r="C948" s="16" t="str">
        <x:v>2n Cycle</x:v>
      </x:c>
      <x:c r="D948" s="16" t="str">
        <x:v>Divorced</x:v>
      </x:c>
      <x:c r="E948" s="16" t="n">
        <x:v>67893</x:v>
      </x:c>
      <x:c r="F948" s="16" t="n">
        <x:v>0</x:v>
      </x:c>
      <x:c r="G948" s="16" t="n">
        <x:v>1</x:v>
      </x:c>
      <x:c r="H948" s="16" t="str">
        <x:v>01-10-2012</x:v>
      </x:c>
      <x:c r="I948" s="16" t="n">
        <x:v>31</x:v>
      </x:c>
      <x:c r="J948" s="16" t="n">
        <x:v>711</x:v>
      </x:c>
      <x:c r="K948" s="16" t="n">
        <x:v>28</x:v>
      </x:c>
      <x:c r="L948" s="16" t="n">
        <x:v>142</x:v>
      </x:c>
      <x:c r="M948" s="16" t="n">
        <x:v>49</x:v>
      </x:c>
      <x:c r="N948" s="16" t="n">
        <x:v>18</x:v>
      </x:c>
      <x:c r="O948" s="16" t="n">
        <x:v>47</x:v>
      </x:c>
      <x:c r="P948" s="16" t="n">
        <x:v>2</x:v>
      </x:c>
      <x:c r="Q948" s="16" t="n">
        <x:v>3</x:v>
      </x:c>
      <x:c r="R948" s="16" t="n">
        <x:v>2</x:v>
      </x:c>
      <x:c r="S948" s="16" t="n">
        <x:v>9</x:v>
      </x:c>
      <x:c r="T948" s="16" t="n">
        <x:v>8</x:v>
      </x:c>
      <x:c r="U948" s="16" t="n">
        <x:v>0</x:v>
      </x:c>
      <x:c r="V948" s="16" t="n">
        <x:v>0</x:v>
      </x:c>
      <x:c r="W948" s="16" t="n">
        <x:v>0</x:v>
      </x:c>
      <x:c r="X948" s="16" t="n">
        <x:v>0</x:v>
      </x:c>
      <x:c r="Y948" s="16" t="n">
        <x:v>0</x:v>
      </x:c>
      <x:c r="Z948" s="16" t="n">
        <x:v>0</x:v>
      </x:c>
      <x:c r="AA948" s="16" t="n">
        <x:v>3</x:v>
      </x:c>
      <x:c r="AB948" s="16" t="n">
        <x:v>11</x:v>
      </x:c>
      <x:c r="AC948" s="16" t="n">
        <x:v>0</x:v>
      </x:c>
      <x:c r="AD948" s="21" t="n">
        <x:f>IF(E948="",MEDIAN($E$2:$E$2237),E948)</x:f>
        <x:v>67893</x:v>
      </x:c>
      <x:c r="AE948" s="17" t="n">
        <x:f>2014-B948</x:f>
        <x:v>39</x:v>
      </x:c>
      <x:c r="AF948" s="17" t="n">
        <x:f>F948+G948</x:f>
        <x:v>1</x:v>
      </x:c>
      <x:c r="AG948" s="21" t="n">
        <x:f>SUM(J948:O948)</x:f>
        <x:v>995</x:v>
      </x:c>
      <x:c r="AH948" s="17" t="n">
        <x:f>SUM(Q948:S948)</x:f>
        <x:v>14</x:v>
      </x:c>
      <x:c r="AI948" s="17" t="n">
        <x:f>SUM(U948:Y948)</x:f>
        <x:v>0</x:v>
      </x:c>
      <x:c r="AJ948" s="17" t="str">
        <x:f>IF(AE948&lt;=34,"≤34",IF(AE948&lt;=44,"35–44",IF(AE948&lt;=54,"45–54",IF(AE948&lt;=64,"55–64","65+"))))</x:f>
        <x:v>35–44</x:v>
      </x:c>
      <x:c r="AK948" s="17" t="str">
        <x:f>IF(AG948&gt;=1000,"High Value",IF(AG948&gt;=300,"Mid Value","Low Value"))</x:f>
        <x:v>Mid Value</x:v>
      </x:c>
      <x:c r="AL948" s="17" t="str">
        <x:f>IF(AND(AI948&gt;=1,I948&lt;=50),"Priority 1",IF(AND(AG948&gt;=1000,I948&lt;=60),"Priority 2",IF(I948&lt;=30,"Priority 3","Nurture")))</x:f>
        <x:v>Nurture</x:v>
      </x:c>
    </x:row>
    <x:row r="949">
      <x:c r="A949" s="16" t="n">
        <x:v>7574</x:v>
      </x:c>
      <x:c r="B949" s="16" t="n">
        <x:v>1979</x:v>
      </x:c>
      <x:c r="C949" s="16" t="str">
        <x:v>PhD</x:v>
      </x:c>
      <x:c r="D949" s="16" t="str">
        <x:v>Together</x:v>
      </x:c>
      <x:c r="E949" s="16" t="n">
        <x:v>27922</x:v>
      </x:c>
      <x:c r="F949" s="16" t="n">
        <x:v>1</x:v>
      </x:c>
      <x:c r="G949" s="16" t="n">
        <x:v>0</x:v>
      </x:c>
      <x:c r="H949" s="16" t="str">
        <x:v>10-05-2014</x:v>
      </x:c>
      <x:c r="I949" s="16" t="n">
        <x:v>80</x:v>
      </x:c>
      <x:c r="J949" s="16" t="n">
        <x:v>11</x:v>
      </x:c>
      <x:c r="K949" s="16" t="n">
        <x:v>0</x:v>
      </x:c>
      <x:c r="L949" s="16" t="n">
        <x:v>13</x:v>
      </x:c>
      <x:c r="M949" s="16" t="n">
        <x:v>2</x:v>
      </x:c>
      <x:c r="N949" s="16" t="n">
        <x:v>4</x:v>
      </x:c>
      <x:c r="O949" s="16" t="n">
        <x:v>11</x:v>
      </x:c>
      <x:c r="P949" s="16" t="n">
        <x:v>1</x:v>
      </x:c>
      <x:c r="Q949" s="16" t="n">
        <x:v>2</x:v>
      </x:c>
      <x:c r="R949" s="16" t="n">
        <x:v>0</x:v>
      </x:c>
      <x:c r="S949" s="16" t="n">
        <x:v>3</x:v>
      </x:c>
      <x:c r="T949" s="16" t="n">
        <x:v>4</x:v>
      </x:c>
      <x:c r="U949" s="16" t="n">
        <x:v>0</x:v>
      </x:c>
      <x:c r="V949" s="16" t="n">
        <x:v>0</x:v>
      </x:c>
      <x:c r="W949" s="16" t="n">
        <x:v>0</x:v>
      </x:c>
      <x:c r="X949" s="16" t="n">
        <x:v>0</x:v>
      </x:c>
      <x:c r="Y949" s="16" t="n">
        <x:v>0</x:v>
      </x:c>
      <x:c r="Z949" s="16" t="n">
        <x:v>0</x:v>
      </x:c>
      <x:c r="AA949" s="16" t="n">
        <x:v>3</x:v>
      </x:c>
      <x:c r="AB949" s="16" t="n">
        <x:v>11</x:v>
      </x:c>
      <x:c r="AC949" s="16" t="n">
        <x:v>0</x:v>
      </x:c>
      <x:c r="AD949" s="21" t="n">
        <x:f>IF(E949="",MEDIAN($E$2:$E$2237),E949)</x:f>
        <x:v>27922</x:v>
      </x:c>
      <x:c r="AE949" s="17" t="n">
        <x:f>2014-B949</x:f>
        <x:v>35</x:v>
      </x:c>
      <x:c r="AF949" s="17" t="n">
        <x:f>F949+G949</x:f>
        <x:v>1</x:v>
      </x:c>
      <x:c r="AG949" s="21" t="n">
        <x:f>SUM(J949:O949)</x:f>
        <x:v>41</x:v>
      </x:c>
      <x:c r="AH949" s="17" t="n">
        <x:f>SUM(Q949:S949)</x:f>
        <x:v>5</x:v>
      </x:c>
      <x:c r="AI949" s="17" t="n">
        <x:f>SUM(U949:Y949)</x:f>
        <x:v>0</x:v>
      </x:c>
      <x:c r="AJ949" s="17" t="str">
        <x:f>IF(AE949&lt;=34,"≤34",IF(AE949&lt;=44,"35–44",IF(AE949&lt;=54,"45–54",IF(AE949&lt;=64,"55–64","65+"))))</x:f>
        <x:v>35–44</x:v>
      </x:c>
      <x:c r="AK949" s="17" t="str">
        <x:f>IF(AG949&gt;=1000,"High Value",IF(AG949&gt;=300,"Mid Value","Low Value"))</x:f>
        <x:v>Low Value</x:v>
      </x:c>
      <x:c r="AL949" s="17" t="str">
        <x:f>IF(AND(AI949&gt;=1,I949&lt;=50),"Priority 1",IF(AND(AG949&gt;=1000,I949&lt;=60),"Priority 2",IF(I949&lt;=30,"Priority 3","Nurture")))</x:f>
        <x:v>Nurture</x:v>
      </x:c>
    </x:row>
    <x:row r="950">
      <x:c r="A950" s="16" t="n">
        <x:v>6387</x:v>
      </x:c>
      <x:c r="B950" s="16" t="n">
        <x:v>1976</x:v>
      </x:c>
      <x:c r="C950" s="16" t="str">
        <x:v>PhD</x:v>
      </x:c>
      <x:c r="D950" s="16" t="str">
        <x:v>Together</x:v>
      </x:c>
      <x:c r="E950" s="16" t="n">
        <x:v>52190</x:v>
      </x:c>
      <x:c r="F950" s="16" t="n">
        <x:v>1</x:v>
      </x:c>
      <x:c r="G950" s="16" t="n">
        <x:v>1</x:v>
      </x:c>
      <x:c r="H950" s="16" t="str">
        <x:v>08-05-2014</x:v>
      </x:c>
      <x:c r="I950" s="16" t="n">
        <x:v>39</x:v>
      </x:c>
      <x:c r="J950" s="16" t="n">
        <x:v>42</x:v>
      </x:c>
      <x:c r="K950" s="16" t="n">
        <x:v>0</x:v>
      </x:c>
      <x:c r="L950" s="16" t="n">
        <x:v>17</x:v>
      </x:c>
      <x:c r="M950" s="16" t="n">
        <x:v>0</x:v>
      </x:c>
      <x:c r="N950" s="16" t="n">
        <x:v>0</x:v>
      </x:c>
      <x:c r="O950" s="16" t="n">
        <x:v>18</x:v>
      </x:c>
      <x:c r="P950" s="16" t="n">
        <x:v>3</x:v>
      </x:c>
      <x:c r="Q950" s="16" t="n">
        <x:v>2</x:v>
      </x:c>
      <x:c r="R950" s="16" t="n">
        <x:v>1</x:v>
      </x:c>
      <x:c r="S950" s="16" t="n">
        <x:v>3</x:v>
      </x:c>
      <x:c r="T950" s="16" t="n">
        <x:v>5</x:v>
      </x:c>
      <x:c r="U950" s="16" t="n">
        <x:v>1</x:v>
      </x:c>
      <x:c r="V950" s="16" t="n">
        <x:v>0</x:v>
      </x:c>
      <x:c r="W950" s="16" t="n">
        <x:v>0</x:v>
      </x:c>
      <x:c r="X950" s="16" t="n">
        <x:v>0</x:v>
      </x:c>
      <x:c r="Y950" s="16" t="n">
        <x:v>0</x:v>
      </x:c>
      <x:c r="Z950" s="16" t="n">
        <x:v>0</x:v>
      </x:c>
      <x:c r="AA950" s="16" t="n">
        <x:v>3</x:v>
      </x:c>
      <x:c r="AB950" s="16" t="n">
        <x:v>11</x:v>
      </x:c>
      <x:c r="AC950" s="16" t="n">
        <x:v>0</x:v>
      </x:c>
      <x:c r="AD950" s="21" t="n">
        <x:f>IF(E950="",MEDIAN($E$2:$E$2237),E950)</x:f>
        <x:v>52190</x:v>
      </x:c>
      <x:c r="AE950" s="17" t="n">
        <x:f>2014-B950</x:f>
        <x:v>38</x:v>
      </x:c>
      <x:c r="AF950" s="17" t="n">
        <x:f>F950+G950</x:f>
        <x:v>2</x:v>
      </x:c>
      <x:c r="AG950" s="21" t="n">
        <x:f>SUM(J950:O950)</x:f>
        <x:v>77</x:v>
      </x:c>
      <x:c r="AH950" s="17" t="n">
        <x:f>SUM(Q950:S950)</x:f>
        <x:v>6</x:v>
      </x:c>
      <x:c r="AI950" s="17" t="n">
        <x:f>SUM(U950:Y950)</x:f>
        <x:v>1</x:v>
      </x:c>
      <x:c r="AJ950" s="17" t="str">
        <x:f>IF(AE950&lt;=34,"≤34",IF(AE950&lt;=44,"35–44",IF(AE950&lt;=54,"45–54",IF(AE950&lt;=64,"55–64","65+"))))</x:f>
        <x:v>35–44</x:v>
      </x:c>
      <x:c r="AK950" s="17" t="str">
        <x:f>IF(AG950&gt;=1000,"High Value",IF(AG950&gt;=300,"Mid Value","Low Value"))</x:f>
        <x:v>Low Value</x:v>
      </x:c>
      <x:c r="AL950" s="17" t="str">
        <x:f>IF(AND(AI950&gt;=1,I950&lt;=50),"Priority 1",IF(AND(AG950&gt;=1000,I950&lt;=60),"Priority 2",IF(I950&lt;=30,"Priority 3","Nurture")))</x:f>
        <x:v>Priority 1</x:v>
      </x:c>
    </x:row>
    <x:row r="951">
      <x:c r="A951" s="16" t="n">
        <x:v>5320</x:v>
      </x:c>
      <x:c r="B951" s="16" t="n">
        <x:v>1973</x:v>
      </x:c>
      <x:c r="C951" s="16" t="str">
        <x:v>Master</x:v>
      </x:c>
      <x:c r="D951" s="16" t="str">
        <x:v>Divorced</x:v>
      </x:c>
      <x:c r="E951" s="16" t="n">
        <x:v>44051</x:v>
      </x:c>
      <x:c r="F951" s="16" t="n">
        <x:v>1</x:v>
      </x:c>
      <x:c r="G951" s="16" t="n">
        <x:v>1</x:v>
      </x:c>
      <x:c r="H951" s="16" t="str">
        <x:v>29-01-2013</x:v>
      </x:c>
      <x:c r="I951" s="16" t="n">
        <x:v>20</x:v>
      </x:c>
      <x:c r="J951" s="16" t="n">
        <x:v>79</x:v>
      </x:c>
      <x:c r="K951" s="16" t="n">
        <x:v>7</x:v>
      </x:c>
      <x:c r="L951" s="16" t="n">
        <x:v>58</x:v>
      </x:c>
      <x:c r="M951" s="16" t="n">
        <x:v>6</x:v>
      </x:c>
      <x:c r="N951" s="16" t="n">
        <x:v>3</x:v>
      </x:c>
      <x:c r="O951" s="16" t="n">
        <x:v>18</x:v>
      </x:c>
      <x:c r="P951" s="16" t="n">
        <x:v>4</x:v>
      </x:c>
      <x:c r="Q951" s="16" t="n">
        <x:v>3</x:v>
      </x:c>
      <x:c r="R951" s="16" t="n">
        <x:v>1</x:v>
      </x:c>
      <x:c r="S951" s="16" t="n">
        <x:v>4</x:v>
      </x:c>
      <x:c r="T951" s="16" t="n">
        <x:v>6</x:v>
      </x:c>
      <x:c r="U951" s="16" t="n">
        <x:v>0</x:v>
      </x:c>
      <x:c r="V951" s="16" t="n">
        <x:v>0</x:v>
      </x:c>
      <x:c r="W951" s="16" t="n">
        <x:v>0</x:v>
      </x:c>
      <x:c r="X951" s="16" t="n">
        <x:v>0</x:v>
      </x:c>
      <x:c r="Y951" s="16" t="n">
        <x:v>0</x:v>
      </x:c>
      <x:c r="Z951" s="16" t="n">
        <x:v>0</x:v>
      </x:c>
      <x:c r="AA951" s="16" t="n">
        <x:v>3</x:v>
      </x:c>
      <x:c r="AB951" s="16" t="n">
        <x:v>11</x:v>
      </x:c>
      <x:c r="AC951" s="16" t="n">
        <x:v>1</x:v>
      </x:c>
      <x:c r="AD951" s="21" t="n">
        <x:f>IF(E951="",MEDIAN($E$2:$E$2237),E951)</x:f>
        <x:v>44051</x:v>
      </x:c>
      <x:c r="AE951" s="17" t="n">
        <x:f>2014-B951</x:f>
        <x:v>41</x:v>
      </x:c>
      <x:c r="AF951" s="17" t="n">
        <x:f>F951+G951</x:f>
        <x:v>2</x:v>
      </x:c>
      <x:c r="AG951" s="21" t="n">
        <x:f>SUM(J951:O951)</x:f>
        <x:v>171</x:v>
      </x:c>
      <x:c r="AH951" s="17" t="n">
        <x:f>SUM(Q951:S951)</x:f>
        <x:v>8</x:v>
      </x:c>
      <x:c r="AI951" s="17" t="n">
        <x:f>SUM(U951:Y951)</x:f>
        <x:v>0</x:v>
      </x:c>
      <x:c r="AJ951" s="17" t="str">
        <x:f>IF(AE951&lt;=34,"≤34",IF(AE951&lt;=44,"35–44",IF(AE951&lt;=54,"45–54",IF(AE951&lt;=64,"55–64","65+"))))</x:f>
        <x:v>35–44</x:v>
      </x:c>
      <x:c r="AK951" s="17" t="str">
        <x:f>IF(AG951&gt;=1000,"High Value",IF(AG951&gt;=300,"Mid Value","Low Value"))</x:f>
        <x:v>Low Value</x:v>
      </x:c>
      <x:c r="AL951" s="17" t="str">
        <x:f>IF(AND(AI951&gt;=1,I951&lt;=50),"Priority 1",IF(AND(AG951&gt;=1000,I951&lt;=60),"Priority 2",IF(I951&lt;=30,"Priority 3","Nurture")))</x:f>
        <x:v>Priority 3</x:v>
      </x:c>
    </x:row>
    <x:row r="952">
      <x:c r="A952" s="16" t="n">
        <x:v>5048</x:v>
      </x:c>
      <x:c r="B952" s="16" t="n">
        <x:v>1971</x:v>
      </x:c>
      <x:c r="C952" s="16" t="str">
        <x:v>PhD</x:v>
      </x:c>
      <x:c r="D952" s="16" t="str">
        <x:v>Single</x:v>
      </x:c>
      <x:c r="E952" s="16" t="n">
        <x:v>42767</x:v>
      </x:c>
      <x:c r="F952" s="16" t="n">
        <x:v>2</x:v>
      </x:c>
      <x:c r="G952" s="16" t="n">
        <x:v>0</x:v>
      </x:c>
      <x:c r="H952" s="16" t="str">
        <x:v>11-05-2013</x:v>
      </x:c>
      <x:c r="I952" s="16" t="n">
        <x:v>53</x:v>
      </x:c>
      <x:c r="J952" s="16" t="n">
        <x:v>20</x:v>
      </x:c>
      <x:c r="K952" s="16" t="n">
        <x:v>6</x:v>
      </x:c>
      <x:c r="L952" s="16" t="n">
        <x:v>43</x:v>
      </x:c>
      <x:c r="M952" s="16" t="n">
        <x:v>19</x:v>
      </x:c>
      <x:c r="N952" s="16" t="n">
        <x:v>5</x:v>
      </x:c>
      <x:c r="O952" s="16" t="n">
        <x:v>38</x:v>
      </x:c>
      <x:c r="P952" s="16" t="n">
        <x:v>1</x:v>
      </x:c>
      <x:c r="Q952" s="16" t="n">
        <x:v>3</x:v>
      </x:c>
      <x:c r="R952" s="16" t="n">
        <x:v>1</x:v>
      </x:c>
      <x:c r="S952" s="16" t="n">
        <x:v>2</x:v>
      </x:c>
      <x:c r="T952" s="16" t="n">
        <x:v>8</x:v>
      </x:c>
      <x:c r="U952" s="16" t="n">
        <x:v>0</x:v>
      </x:c>
      <x:c r="V952" s="16" t="n">
        <x:v>0</x:v>
      </x:c>
      <x:c r="W952" s="16" t="n">
        <x:v>0</x:v>
      </x:c>
      <x:c r="X952" s="16" t="n">
        <x:v>0</x:v>
      </x:c>
      <x:c r="Y952" s="16" t="n">
        <x:v>0</x:v>
      </x:c>
      <x:c r="Z952" s="16" t="n">
        <x:v>0</x:v>
      </x:c>
      <x:c r="AA952" s="16" t="n">
        <x:v>3</x:v>
      </x:c>
      <x:c r="AB952" s="16" t="n">
        <x:v>11</x:v>
      </x:c>
      <x:c r="AC952" s="16" t="n">
        <x:v>0</x:v>
      </x:c>
      <x:c r="AD952" s="21" t="n">
        <x:f>IF(E952="",MEDIAN($E$2:$E$2237),E952)</x:f>
        <x:v>42767</x:v>
      </x:c>
      <x:c r="AE952" s="17" t="n">
        <x:f>2014-B952</x:f>
        <x:v>43</x:v>
      </x:c>
      <x:c r="AF952" s="17" t="n">
        <x:f>F952+G952</x:f>
        <x:v>2</x:v>
      </x:c>
      <x:c r="AG952" s="21" t="n">
        <x:f>SUM(J952:O952)</x:f>
        <x:v>131</x:v>
      </x:c>
      <x:c r="AH952" s="17" t="n">
        <x:f>SUM(Q952:S952)</x:f>
        <x:v>6</x:v>
      </x:c>
      <x:c r="AI952" s="17" t="n">
        <x:f>SUM(U952:Y952)</x:f>
        <x:v>0</x:v>
      </x:c>
      <x:c r="AJ952" s="17" t="str">
        <x:f>IF(AE952&lt;=34,"≤34",IF(AE952&lt;=44,"35–44",IF(AE952&lt;=54,"45–54",IF(AE952&lt;=64,"55–64","65+"))))</x:f>
        <x:v>35–44</x:v>
      </x:c>
      <x:c r="AK952" s="17" t="str">
        <x:f>IF(AG952&gt;=1000,"High Value",IF(AG952&gt;=300,"Mid Value","Low Value"))</x:f>
        <x:v>Low Value</x:v>
      </x:c>
      <x:c r="AL952" s="17" t="str">
        <x:f>IF(AND(AI952&gt;=1,I952&lt;=50),"Priority 1",IF(AND(AG952&gt;=1000,I952&lt;=60),"Priority 2",IF(I952&lt;=30,"Priority 3","Nurture")))</x:f>
        <x:v>Nurture</x:v>
      </x:c>
    </x:row>
    <x:row r="953">
      <x:c r="A953" s="16" t="n">
        <x:v>8146</x:v>
      </x:c>
      <x:c r="B953" s="16" t="n">
        <x:v>1976</x:v>
      </x:c>
      <x:c r="C953" s="16" t="str">
        <x:v>Master</x:v>
      </x:c>
      <x:c r="D953" s="16" t="str">
        <x:v>Together</x:v>
      </x:c>
      <x:c r="E953" s="16" t="n">
        <x:v>46106</x:v>
      </x:c>
      <x:c r="F953" s="16" t="n">
        <x:v>1</x:v>
      </x:c>
      <x:c r="G953" s="16" t="n">
        <x:v>1</x:v>
      </x:c>
      <x:c r="H953" s="16" t="str">
        <x:v>11-05-2014</x:v>
      </x:c>
      <x:c r="I953" s="16" t="n">
        <x:v>84</x:v>
      </x:c>
      <x:c r="J953" s="16" t="n">
        <x:v>30</x:v>
      </x:c>
      <x:c r="K953" s="16" t="n">
        <x:v>0</x:v>
      </x:c>
      <x:c r="L953" s="16" t="n">
        <x:v>8</x:v>
      </x:c>
      <x:c r="M953" s="16" t="n">
        <x:v>2</x:v>
      </x:c>
      <x:c r="N953" s="16" t="n">
        <x:v>0</x:v>
      </x:c>
      <x:c r="O953" s="16" t="n">
        <x:v>14</x:v>
      </x:c>
      <x:c r="P953" s="16" t="n">
        <x:v>1</x:v>
      </x:c>
      <x:c r="Q953" s="16" t="n">
        <x:v>1</x:v>
      </x:c>
      <x:c r="R953" s="16" t="n">
        <x:v>1</x:v>
      </x:c>
      <x:c r="S953" s="16" t="n">
        <x:v>2</x:v>
      </x:c>
      <x:c r="T953" s="16" t="n">
        <x:v>6</x:v>
      </x:c>
      <x:c r="U953" s="16" t="n">
        <x:v>0</x:v>
      </x:c>
      <x:c r="V953" s="16" t="n">
        <x:v>0</x:v>
      </x:c>
      <x:c r="W953" s="16" t="n">
        <x:v>0</x:v>
      </x:c>
      <x:c r="X953" s="16" t="n">
        <x:v>0</x:v>
      </x:c>
      <x:c r="Y953" s="16" t="n">
        <x:v>0</x:v>
      </x:c>
      <x:c r="Z953" s="16" t="n">
        <x:v>0</x:v>
      </x:c>
      <x:c r="AA953" s="16" t="n">
        <x:v>3</x:v>
      </x:c>
      <x:c r="AB953" s="16" t="n">
        <x:v>11</x:v>
      </x:c>
      <x:c r="AC953" s="16" t="n">
        <x:v>0</x:v>
      </x:c>
      <x:c r="AD953" s="21" t="n">
        <x:f>IF(E953="",MEDIAN($E$2:$E$2237),E953)</x:f>
        <x:v>46106</x:v>
      </x:c>
      <x:c r="AE953" s="17" t="n">
        <x:f>2014-B953</x:f>
        <x:v>38</x:v>
      </x:c>
      <x:c r="AF953" s="17" t="n">
        <x:f>F953+G953</x:f>
        <x:v>2</x:v>
      </x:c>
      <x:c r="AG953" s="21" t="n">
        <x:f>SUM(J953:O953)</x:f>
        <x:v>54</x:v>
      </x:c>
      <x:c r="AH953" s="17" t="n">
        <x:f>SUM(Q953:S953)</x:f>
        <x:v>4</x:v>
      </x:c>
      <x:c r="AI953" s="17" t="n">
        <x:f>SUM(U953:Y953)</x:f>
        <x:v>0</x:v>
      </x:c>
      <x:c r="AJ953" s="17" t="str">
        <x:f>IF(AE953&lt;=34,"≤34",IF(AE953&lt;=44,"35–44",IF(AE953&lt;=54,"45–54",IF(AE953&lt;=64,"55–64","65+"))))</x:f>
        <x:v>35–44</x:v>
      </x:c>
      <x:c r="AK953" s="17" t="str">
        <x:f>IF(AG953&gt;=1000,"High Value",IF(AG953&gt;=300,"Mid Value","Low Value"))</x:f>
        <x:v>Low Value</x:v>
      </x:c>
      <x:c r="AL953" s="17" t="str">
        <x:f>IF(AND(AI953&gt;=1,I953&lt;=50),"Priority 1",IF(AND(AG953&gt;=1000,I953&lt;=60),"Priority 2",IF(I953&lt;=30,"Priority 3","Nurture")))</x:f>
        <x:v>Nurture</x:v>
      </x:c>
    </x:row>
    <x:row r="954">
      <x:c r="A954" s="16" t="n">
        <x:v>10031</x:v>
      </x:c>
      <x:c r="B954" s="16" t="n">
        <x:v>1976</x:v>
      </x:c>
      <x:c r="C954" s="16" t="str">
        <x:v>PhD</x:v>
      </x:c>
      <x:c r="D954" s="16" t="str">
        <x:v>Married</x:v>
      </x:c>
      <x:c r="E954" s="16" t="n">
        <x:v>16927</x:v>
      </x:c>
      <x:c r="F954" s="16" t="n">
        <x:v>1</x:v>
      </x:c>
      <x:c r="G954" s="16" t="n">
        <x:v>1</x:v>
      </x:c>
      <x:c r="H954" s="16" t="str">
        <x:v>10-02-2013</x:v>
      </x:c>
      <x:c r="I954" s="16" t="n">
        <x:v>50</x:v>
      </x:c>
      <x:c r="J954" s="16" t="n">
        <x:v>20</x:v>
      </x:c>
      <x:c r="K954" s="16" t="n">
        <x:v>2</x:v>
      </x:c>
      <x:c r="L954" s="16" t="n">
        <x:v>23</x:v>
      </x:c>
      <x:c r="M954" s="16" t="n">
        <x:v>3</x:v>
      </x:c>
      <x:c r="N954" s="16" t="n">
        <x:v>1</x:v>
      </x:c>
      <x:c r="O954" s="16" t="n">
        <x:v>4</x:v>
      </x:c>
      <x:c r="P954" s="16" t="n">
        <x:v>5</x:v>
      </x:c>
      <x:c r="Q954" s="16" t="n">
        <x:v>3</x:v>
      </x:c>
      <x:c r="R954" s="16" t="n">
        <x:v>0</x:v>
      </x:c>
      <x:c r="S954" s="16" t="n">
        <x:v>4</x:v>
      </x:c>
      <x:c r="T954" s="16" t="n">
        <x:v>8</x:v>
      </x:c>
      <x:c r="U954" s="16" t="n">
        <x:v>0</x:v>
      </x:c>
      <x:c r="V954" s="16" t="n">
        <x:v>0</x:v>
      </x:c>
      <x:c r="W954" s="16" t="n">
        <x:v>0</x:v>
      </x:c>
      <x:c r="X954" s="16" t="n">
        <x:v>0</x:v>
      </x:c>
      <x:c r="Y954" s="16" t="n">
        <x:v>0</x:v>
      </x:c>
      <x:c r="Z954" s="16" t="n">
        <x:v>0</x:v>
      </x:c>
      <x:c r="AA954" s="16" t="n">
        <x:v>3</x:v>
      </x:c>
      <x:c r="AB954" s="16" t="n">
        <x:v>11</x:v>
      </x:c>
      <x:c r="AC954" s="16" t="n">
        <x:v>0</x:v>
      </x:c>
      <x:c r="AD954" s="21" t="n">
        <x:f>IF(E954="",MEDIAN($E$2:$E$2237),E954)</x:f>
        <x:v>16927</x:v>
      </x:c>
      <x:c r="AE954" s="17" t="n">
        <x:f>2014-B954</x:f>
        <x:v>38</x:v>
      </x:c>
      <x:c r="AF954" s="17" t="n">
        <x:f>F954+G954</x:f>
        <x:v>2</x:v>
      </x:c>
      <x:c r="AG954" s="21" t="n">
        <x:f>SUM(J954:O954)</x:f>
        <x:v>53</x:v>
      </x:c>
      <x:c r="AH954" s="17" t="n">
        <x:f>SUM(Q954:S954)</x:f>
        <x:v>7</x:v>
      </x:c>
      <x:c r="AI954" s="17" t="n">
        <x:f>SUM(U954:Y954)</x:f>
        <x:v>0</x:v>
      </x:c>
      <x:c r="AJ954" s="17" t="str">
        <x:f>IF(AE954&lt;=34,"≤34",IF(AE954&lt;=44,"35–44",IF(AE954&lt;=54,"45–54",IF(AE954&lt;=64,"55–64","65+"))))</x:f>
        <x:v>35–44</x:v>
      </x:c>
      <x:c r="AK954" s="17" t="str">
        <x:f>IF(AG954&gt;=1000,"High Value",IF(AG954&gt;=300,"Mid Value","Low Value"))</x:f>
        <x:v>Low Value</x:v>
      </x:c>
      <x:c r="AL954" s="17" t="str">
        <x:f>IF(AND(AI954&gt;=1,I954&lt;=50),"Priority 1",IF(AND(AG954&gt;=1000,I954&lt;=60),"Priority 2",IF(I954&lt;=30,"Priority 3","Nurture")))</x:f>
        <x:v>Nurture</x:v>
      </x:c>
    </x:row>
    <x:row r="955">
      <x:c r="A955" s="16" t="n">
        <x:v>5748</x:v>
      </x:c>
      <x:c r="B955" s="16" t="n">
        <x:v>1965</x:v>
      </x:c>
      <x:c r="C955" s="16" t="str">
        <x:v>Graduation</x:v>
      </x:c>
      <x:c r="D955" s="16" t="str">
        <x:v>Married</x:v>
      </x:c>
      <x:c r="E955" s="16" t="n">
        <x:v>59754</x:v>
      </x:c>
      <x:c r="F955" s="16" t="n">
        <x:v>0</x:v>
      </x:c>
      <x:c r="G955" s="16" t="n">
        <x:v>1</x:v>
      </x:c>
      <x:c r="H955" s="16" t="str">
        <x:v>01-12-2012</x:v>
      </x:c>
      <x:c r="I955" s="16" t="n">
        <x:v>96</x:v>
      </x:c>
      <x:c r="J955" s="16" t="n">
        <x:v>115</x:v>
      </x:c>
      <x:c r="K955" s="16" t="n">
        <x:v>27</x:v>
      </x:c>
      <x:c r="L955" s="16" t="n">
        <x:v>44</x:v>
      </x:c>
      <x:c r="M955" s="16" t="n">
        <x:v>4</x:v>
      </x:c>
      <x:c r="N955" s="16" t="n">
        <x:v>146</x:v>
      </x:c>
      <x:c r="O955" s="16" t="n">
        <x:v>139</x:v>
      </x:c>
      <x:c r="P955" s="16" t="n">
        <x:v>3</x:v>
      </x:c>
      <x:c r="Q955" s="16" t="n">
        <x:v>5</x:v>
      </x:c>
      <x:c r="R955" s="16" t="n">
        <x:v>2</x:v>
      </x:c>
      <x:c r="S955" s="16" t="n">
        <x:v>6</x:v>
      </x:c>
      <x:c r="T955" s="16" t="n">
        <x:v>5</x:v>
      </x:c>
      <x:c r="U955" s="16" t="n">
        <x:v>0</x:v>
      </x:c>
      <x:c r="V955" s="16" t="n">
        <x:v>0</x:v>
      </x:c>
      <x:c r="W955" s="16" t="n">
        <x:v>0</x:v>
      </x:c>
      <x:c r="X955" s="16" t="n">
        <x:v>0</x:v>
      </x:c>
      <x:c r="Y955" s="16" t="n">
        <x:v>0</x:v>
      </x:c>
      <x:c r="Z955" s="16" t="n">
        <x:v>0</x:v>
      </x:c>
      <x:c r="AA955" s="16" t="n">
        <x:v>3</x:v>
      </x:c>
      <x:c r="AB955" s="16" t="n">
        <x:v>11</x:v>
      </x:c>
      <x:c r="AC955" s="16" t="n">
        <x:v>1</x:v>
      </x:c>
      <x:c r="AD955" s="21" t="n">
        <x:f>IF(E955="",MEDIAN($E$2:$E$2237),E955)</x:f>
        <x:v>59754</x:v>
      </x:c>
      <x:c r="AE955" s="17" t="n">
        <x:f>2014-B955</x:f>
        <x:v>49</x:v>
      </x:c>
      <x:c r="AF955" s="17" t="n">
        <x:f>F955+G955</x:f>
        <x:v>1</x:v>
      </x:c>
      <x:c r="AG955" s="21" t="n">
        <x:f>SUM(J955:O955)</x:f>
        <x:v>475</x:v>
      </x:c>
      <x:c r="AH955" s="17" t="n">
        <x:f>SUM(Q955:S955)</x:f>
        <x:v>13</x:v>
      </x:c>
      <x:c r="AI955" s="17" t="n">
        <x:f>SUM(U955:Y955)</x:f>
        <x:v>0</x:v>
      </x:c>
      <x:c r="AJ955" s="17" t="str">
        <x:f>IF(AE955&lt;=34,"≤34",IF(AE955&lt;=44,"35–44",IF(AE955&lt;=54,"45–54",IF(AE955&lt;=64,"55–64","65+"))))</x:f>
        <x:v>45–54</x:v>
      </x:c>
      <x:c r="AK955" s="17" t="str">
        <x:f>IF(AG955&gt;=1000,"High Value",IF(AG955&gt;=300,"Mid Value","Low Value"))</x:f>
        <x:v>Mid Value</x:v>
      </x:c>
      <x:c r="AL955" s="17" t="str">
        <x:f>IF(AND(AI955&gt;=1,I955&lt;=50),"Priority 1",IF(AND(AG955&gt;=1000,I955&lt;=60),"Priority 2",IF(I955&lt;=30,"Priority 3","Nurture")))</x:f>
        <x:v>Nurture</x:v>
      </x:c>
    </x:row>
    <x:row r="956">
      <x:c r="A956" s="16" t="n">
        <x:v>2134</x:v>
      </x:c>
      <x:c r="B956" s="16" t="n">
        <x:v>1952</x:v>
      </x:c>
      <x:c r="C956" s="16" t="str">
        <x:v>Graduation</x:v>
      </x:c>
      <x:c r="D956" s="16" t="str">
        <x:v>Single</x:v>
      </x:c>
      <x:c r="E956" s="16" t="n">
        <x:v>53700</x:v>
      </x:c>
      <x:c r="F956" s="16" t="n">
        <x:v>0</x:v>
      </x:c>
      <x:c r="G956" s="16" t="n">
        <x:v>1</x:v>
      </x:c>
      <x:c r="H956" s="16" t="str">
        <x:v>17-08-2012</x:v>
      </x:c>
      <x:c r="I956" s="16" t="n">
        <x:v>94</x:v>
      </x:c>
      <x:c r="J956" s="16" t="n">
        <x:v>263</x:v>
      </x:c>
      <x:c r="K956" s="16" t="n">
        <x:v>5</x:v>
      </x:c>
      <x:c r="L956" s="16" t="n">
        <x:v>233</x:v>
      </x:c>
      <x:c r="M956" s="16" t="n">
        <x:v>69</x:v>
      </x:c>
      <x:c r="N956" s="16" t="n">
        <x:v>41</x:v>
      </x:c>
      <x:c r="O956" s="16" t="n">
        <x:v>83</x:v>
      </x:c>
      <x:c r="P956" s="16" t="n">
        <x:v>4</x:v>
      </x:c>
      <x:c r="Q956" s="16" t="n">
        <x:v>5</x:v>
      </x:c>
      <x:c r="R956" s="16" t="n">
        <x:v>5</x:v>
      </x:c>
      <x:c r="S956" s="16" t="n">
        <x:v>8</x:v>
      </x:c>
      <x:c r="T956" s="16" t="n">
        <x:v>5</x:v>
      </x:c>
      <x:c r="U956" s="16" t="n">
        <x:v>0</x:v>
      </x:c>
      <x:c r="V956" s="16" t="n">
        <x:v>0</x:v>
      </x:c>
      <x:c r="W956" s="16" t="n">
        <x:v>0</x:v>
      </x:c>
      <x:c r="X956" s="16" t="n">
        <x:v>0</x:v>
      </x:c>
      <x:c r="Y956" s="16" t="n">
        <x:v>0</x:v>
      </x:c>
      <x:c r="Z956" s="16" t="n">
        <x:v>0</x:v>
      </x:c>
      <x:c r="AA956" s="16" t="n">
        <x:v>3</x:v>
      </x:c>
      <x:c r="AB956" s="16" t="n">
        <x:v>11</x:v>
      </x:c>
      <x:c r="AC956" s="16" t="n">
        <x:v>0</x:v>
      </x:c>
      <x:c r="AD956" s="21" t="n">
        <x:f>IF(E956="",MEDIAN($E$2:$E$2237),E956)</x:f>
        <x:v>53700</x:v>
      </x:c>
      <x:c r="AE956" s="17" t="n">
        <x:f>2014-B956</x:f>
        <x:v>62</x:v>
      </x:c>
      <x:c r="AF956" s="17" t="n">
        <x:f>F956+G956</x:f>
        <x:v>1</x:v>
      </x:c>
      <x:c r="AG956" s="21" t="n">
        <x:f>SUM(J956:O956)</x:f>
        <x:v>694</x:v>
      </x:c>
      <x:c r="AH956" s="17" t="n">
        <x:f>SUM(Q956:S956)</x:f>
        <x:v>18</x:v>
      </x:c>
      <x:c r="AI956" s="17" t="n">
        <x:f>SUM(U956:Y956)</x:f>
        <x:v>0</x:v>
      </x:c>
      <x:c r="AJ956" s="17" t="str">
        <x:f>IF(AE956&lt;=34,"≤34",IF(AE956&lt;=44,"35–44",IF(AE956&lt;=54,"45–54",IF(AE956&lt;=64,"55–64","65+"))))</x:f>
        <x:v>55–64</x:v>
      </x:c>
      <x:c r="AK956" s="17" t="str">
        <x:f>IF(AG956&gt;=1000,"High Value",IF(AG956&gt;=300,"Mid Value","Low Value"))</x:f>
        <x:v>Mid Value</x:v>
      </x:c>
      <x:c r="AL956" s="17" t="str">
        <x:f>IF(AND(AI956&gt;=1,I956&lt;=50),"Priority 1",IF(AND(AG956&gt;=1000,I956&lt;=60),"Priority 2",IF(I956&lt;=30,"Priority 3","Nurture")))</x:f>
        <x:v>Nurture</x:v>
      </x:c>
    </x:row>
    <x:row r="957">
      <x:c r="A957" s="16" t="n">
        <x:v>1523</x:v>
      </x:c>
      <x:c r="B957" s="16" t="n">
        <x:v>1973</x:v>
      </x:c>
      <x:c r="C957" s="16" t="str">
        <x:v>Graduation</x:v>
      </x:c>
      <x:c r="D957" s="16" t="str">
        <x:v>Married</x:v>
      </x:c>
      <x:c r="E957" s="16" t="n">
        <x:v>59041</x:v>
      </x:c>
      <x:c r="F957" s="16" t="n">
        <x:v>1</x:v>
      </x:c>
      <x:c r="G957" s="16" t="n">
        <x:v>1</x:v>
      </x:c>
      <x:c r="H957" s="16" t="str">
        <x:v>07-05-2014</x:v>
      </x:c>
      <x:c r="I957" s="16" t="n">
        <x:v>25</x:v>
      </x:c>
      <x:c r="J957" s="16" t="n">
        <x:v>69</x:v>
      </x:c>
      <x:c r="K957" s="16" t="n">
        <x:v>2</x:v>
      </x:c>
      <x:c r="L957" s="16" t="n">
        <x:v>15</x:v>
      </x:c>
      <x:c r="M957" s="16" t="n">
        <x:v>2</x:v>
      </x:c>
      <x:c r="N957" s="16" t="n">
        <x:v>2</x:v>
      </x:c>
      <x:c r="O957" s="16" t="n">
        <x:v>6</x:v>
      </x:c>
      <x:c r="P957" s="16" t="n">
        <x:v>2</x:v>
      </x:c>
      <x:c r="Q957" s="16" t="n">
        <x:v>2</x:v>
      </x:c>
      <x:c r="R957" s="16" t="n">
        <x:v>0</x:v>
      </x:c>
      <x:c r="S957" s="16" t="n">
        <x:v>4</x:v>
      </x:c>
      <x:c r="T957" s="16" t="n">
        <x:v>5</x:v>
      </x:c>
      <x:c r="U957" s="16" t="n">
        <x:v>0</x:v>
      </x:c>
      <x:c r="V957" s="16" t="n">
        <x:v>0</x:v>
      </x:c>
      <x:c r="W957" s="16" t="n">
        <x:v>0</x:v>
      </x:c>
      <x:c r="X957" s="16" t="n">
        <x:v>0</x:v>
      </x:c>
      <x:c r="Y957" s="16" t="n">
        <x:v>0</x:v>
      </x:c>
      <x:c r="Z957" s="16" t="n">
        <x:v>0</x:v>
      </x:c>
      <x:c r="AA957" s="16" t="n">
        <x:v>3</x:v>
      </x:c>
      <x:c r="AB957" s="16" t="n">
        <x:v>11</x:v>
      </x:c>
      <x:c r="AC957" s="16" t="n">
        <x:v>0</x:v>
      </x:c>
      <x:c r="AD957" s="21" t="n">
        <x:f>IF(E957="",MEDIAN($E$2:$E$2237),E957)</x:f>
        <x:v>59041</x:v>
      </x:c>
      <x:c r="AE957" s="17" t="n">
        <x:f>2014-B957</x:f>
        <x:v>41</x:v>
      </x:c>
      <x:c r="AF957" s="17" t="n">
        <x:f>F957+G957</x:f>
        <x:v>2</x:v>
      </x:c>
      <x:c r="AG957" s="21" t="n">
        <x:f>SUM(J957:O957)</x:f>
        <x:v>96</x:v>
      </x:c>
      <x:c r="AH957" s="17" t="n">
        <x:f>SUM(Q957:S957)</x:f>
        <x:v>6</x:v>
      </x:c>
      <x:c r="AI957" s="17" t="n">
        <x:f>SUM(U957:Y957)</x:f>
        <x:v>0</x:v>
      </x:c>
      <x:c r="AJ957" s="17" t="str">
        <x:f>IF(AE957&lt;=34,"≤34",IF(AE957&lt;=44,"35–44",IF(AE957&lt;=54,"45–54",IF(AE957&lt;=64,"55–64","65+"))))</x:f>
        <x:v>35–44</x:v>
      </x:c>
      <x:c r="AK957" s="17" t="str">
        <x:f>IF(AG957&gt;=1000,"High Value",IF(AG957&gt;=300,"Mid Value","Low Value"))</x:f>
        <x:v>Low Value</x:v>
      </x:c>
      <x:c r="AL957" s="17" t="str">
        <x:f>IF(AND(AI957&gt;=1,I957&lt;=50),"Priority 1",IF(AND(AG957&gt;=1000,I957&lt;=60),"Priority 2",IF(I957&lt;=30,"Priority 3","Nurture")))</x:f>
        <x:v>Priority 3</x:v>
      </x:c>
    </x:row>
    <x:row r="958">
      <x:c r="A958" s="16" t="n">
        <x:v>9665</x:v>
      </x:c>
      <x:c r="B958" s="16" t="n">
        <x:v>1957</x:v>
      </x:c>
      <x:c r="C958" s="16" t="str">
        <x:v>PhD</x:v>
      </x:c>
      <x:c r="D958" s="16" t="str">
        <x:v>Divorced</x:v>
      </x:c>
      <x:c r="E958" s="16" t="n">
        <x:v>54237</x:v>
      </x:c>
      <x:c r="F958" s="16" t="n">
        <x:v>0</x:v>
      </x:c>
      <x:c r="G958" s="16" t="n">
        <x:v>1</x:v>
      </x:c>
      <x:c r="H958" s="16" t="str">
        <x:v>27-04-2013</x:v>
      </x:c>
      <x:c r="I958" s="16" t="n">
        <x:v>48</x:v>
      </x:c>
      <x:c r="J958" s="16" t="n">
        <x:v>267</x:v>
      </x:c>
      <x:c r="K958" s="16" t="n">
        <x:v>3</x:v>
      </x:c>
      <x:c r="L958" s="16" t="n">
        <x:v>30</x:v>
      </x:c>
      <x:c r="M958" s="16" t="n">
        <x:v>4</x:v>
      </x:c>
      <x:c r="N958" s="16" t="n">
        <x:v>0</x:v>
      </x:c>
      <x:c r="O958" s="16" t="n">
        <x:v>57</x:v>
      </x:c>
      <x:c r="P958" s="16" t="n">
        <x:v>4</x:v>
      </x:c>
      <x:c r="Q958" s="16" t="n">
        <x:v>5</x:v>
      </x:c>
      <x:c r="R958" s="16" t="n">
        <x:v>2</x:v>
      </x:c>
      <x:c r="S958" s="16" t="n">
        <x:v>5</x:v>
      </x:c>
      <x:c r="T958" s="16" t="n">
        <x:v>6</x:v>
      </x:c>
      <x:c r="U958" s="16" t="n">
        <x:v>0</x:v>
      </x:c>
      <x:c r="V958" s="16" t="n">
        <x:v>0</x:v>
      </x:c>
      <x:c r="W958" s="16" t="n">
        <x:v>0</x:v>
      </x:c>
      <x:c r="X958" s="16" t="n">
        <x:v>0</x:v>
      </x:c>
      <x:c r="Y958" s="16" t="n">
        <x:v>0</x:v>
      </x:c>
      <x:c r="Z958" s="16" t="n">
        <x:v>0</x:v>
      </x:c>
      <x:c r="AA958" s="16" t="n">
        <x:v>3</x:v>
      </x:c>
      <x:c r="AB958" s="16" t="n">
        <x:v>11</x:v>
      </x:c>
      <x:c r="AC958" s="16" t="n">
        <x:v>0</x:v>
      </x:c>
      <x:c r="AD958" s="21" t="n">
        <x:f>IF(E958="",MEDIAN($E$2:$E$2237),E958)</x:f>
        <x:v>54237</x:v>
      </x:c>
      <x:c r="AE958" s="17" t="n">
        <x:f>2014-B958</x:f>
        <x:v>57</x:v>
      </x:c>
      <x:c r="AF958" s="17" t="n">
        <x:f>F958+G958</x:f>
        <x:v>1</x:v>
      </x:c>
      <x:c r="AG958" s="21" t="n">
        <x:f>SUM(J958:O958)</x:f>
        <x:v>361</x:v>
      </x:c>
      <x:c r="AH958" s="17" t="n">
        <x:f>SUM(Q958:S958)</x:f>
        <x:v>12</x:v>
      </x:c>
      <x:c r="AI958" s="17" t="n">
        <x:f>SUM(U958:Y958)</x:f>
        <x:v>0</x:v>
      </x:c>
      <x:c r="AJ958" s="17" t="str">
        <x:f>IF(AE958&lt;=34,"≤34",IF(AE958&lt;=44,"35–44",IF(AE958&lt;=54,"45–54",IF(AE958&lt;=64,"55–64","65+"))))</x:f>
        <x:v>55–64</x:v>
      </x:c>
      <x:c r="AK958" s="17" t="str">
        <x:f>IF(AG958&gt;=1000,"High Value",IF(AG958&gt;=300,"Mid Value","Low Value"))</x:f>
        <x:v>Mid Value</x:v>
      </x:c>
      <x:c r="AL958" s="17" t="str">
        <x:f>IF(AND(AI958&gt;=1,I958&lt;=50),"Priority 1",IF(AND(AG958&gt;=1000,I958&lt;=60),"Priority 2",IF(I958&lt;=30,"Priority 3","Nurture")))</x:f>
        <x:v>Nurture</x:v>
      </x:c>
    </x:row>
    <x:row r="959">
      <x:c r="A959" s="16" t="n">
        <x:v>4640</x:v>
      </x:c>
      <x:c r="B959" s="16" t="n">
        <x:v>1967</x:v>
      </x:c>
      <x:c r="C959" s="16" t="str">
        <x:v>Graduation</x:v>
      </x:c>
      <x:c r="D959" s="16" t="str">
        <x:v>Divorced</x:v>
      </x:c>
      <x:c r="E959" s="16" t="n">
        <x:v>70647</x:v>
      </x:c>
      <x:c r="F959" s="16" t="n">
        <x:v>0</x:v>
      </x:c>
      <x:c r="G959" s="16" t="n">
        <x:v>1</x:v>
      </x:c>
      <x:c r="H959" s="16" t="str">
        <x:v>21-09-2012</x:v>
      </x:c>
      <x:c r="I959" s="16" t="n">
        <x:v>65</x:v>
      </x:c>
      <x:c r="J959" s="16" t="n">
        <x:v>561</x:v>
      </x:c>
      <x:c r="K959" s="16" t="n">
        <x:v>85</x:v>
      </x:c>
      <x:c r="L959" s="16" t="n">
        <x:v>171</x:v>
      </x:c>
      <x:c r="M959" s="16" t="n">
        <x:v>25</x:v>
      </x:c>
      <x:c r="N959" s="16" t="n">
        <x:v>123</x:v>
      </x:c>
      <x:c r="O959" s="16" t="n">
        <x:v>114</x:v>
      </x:c>
      <x:c r="P959" s="16" t="n">
        <x:v>2</x:v>
      </x:c>
      <x:c r="Q959" s="16" t="n">
        <x:v>4</x:v>
      </x:c>
      <x:c r="R959" s="16" t="n">
        <x:v>7</x:v>
      </x:c>
      <x:c r="S959" s="16" t="n">
        <x:v>13</x:v>
      </x:c>
      <x:c r="T959" s="16" t="n">
        <x:v>2</x:v>
      </x:c>
      <x:c r="U959" s="16" t="n">
        <x:v>0</x:v>
      </x:c>
      <x:c r="V959" s="16" t="n">
        <x:v>0</x:v>
      </x:c>
      <x:c r="W959" s="16" t="n">
        <x:v>0</x:v>
      </x:c>
      <x:c r="X959" s="16" t="n">
        <x:v>0</x:v>
      </x:c>
      <x:c r="Y959" s="16" t="n">
        <x:v>0</x:v>
      </x:c>
      <x:c r="Z959" s="16" t="n">
        <x:v>0</x:v>
      </x:c>
      <x:c r="AA959" s="16" t="n">
        <x:v>3</x:v>
      </x:c>
      <x:c r="AB959" s="16" t="n">
        <x:v>11</x:v>
      </x:c>
      <x:c r="AC959" s="16" t="n">
        <x:v>0</x:v>
      </x:c>
      <x:c r="AD959" s="21" t="n">
        <x:f>IF(E959="",MEDIAN($E$2:$E$2237),E959)</x:f>
        <x:v>70647</x:v>
      </x:c>
      <x:c r="AE959" s="17" t="n">
        <x:f>2014-B959</x:f>
        <x:v>47</x:v>
      </x:c>
      <x:c r="AF959" s="17" t="n">
        <x:f>F959+G959</x:f>
        <x:v>1</x:v>
      </x:c>
      <x:c r="AG959" s="21" t="n">
        <x:f>SUM(J959:O959)</x:f>
        <x:v>1079</x:v>
      </x:c>
      <x:c r="AH959" s="17" t="n">
        <x:f>SUM(Q959:S959)</x:f>
        <x:v>24</x:v>
      </x:c>
      <x:c r="AI959" s="17" t="n">
        <x:f>SUM(U959:Y959)</x:f>
        <x:v>0</x:v>
      </x:c>
      <x:c r="AJ959" s="17" t="str">
        <x:f>IF(AE959&lt;=34,"≤34",IF(AE959&lt;=44,"35–44",IF(AE959&lt;=54,"45–54",IF(AE959&lt;=64,"55–64","65+"))))</x:f>
        <x:v>45–54</x:v>
      </x:c>
      <x:c r="AK959" s="17" t="str">
        <x:f>IF(AG959&gt;=1000,"High Value",IF(AG959&gt;=300,"Mid Value","Low Value"))</x:f>
        <x:v>High Value</x:v>
      </x:c>
      <x:c r="AL959" s="17" t="str">
        <x:f>IF(AND(AI959&gt;=1,I959&lt;=50),"Priority 1",IF(AND(AG959&gt;=1000,I959&lt;=60),"Priority 2",IF(I959&lt;=30,"Priority 3","Nurture")))</x:f>
        <x:v>Nurture</x:v>
      </x:c>
    </x:row>
    <x:row r="960">
      <x:c r="A960" s="16" t="n">
        <x:v>3635</x:v>
      </x:c>
      <x:c r="B960" s="16" t="n">
        <x:v>1962</x:v>
      </x:c>
      <x:c r="C960" s="16" t="str">
        <x:v>PhD</x:v>
      </x:c>
      <x:c r="D960" s="16" t="str">
        <x:v>Single</x:v>
      </x:c>
      <x:c r="E960" s="16" t="n">
        <x:v>52597</x:v>
      </x:c>
      <x:c r="F960" s="16" t="n">
        <x:v>0</x:v>
      </x:c>
      <x:c r="G960" s="16" t="n">
        <x:v>1</x:v>
      </x:c>
      <x:c r="H960" s="16" t="str">
        <x:v>07-05-2014</x:v>
      </x:c>
      <x:c r="I960" s="16" t="n">
        <x:v>69</x:v>
      </x:c>
      <x:c r="J960" s="16" t="n">
        <x:v>492</x:v>
      </x:c>
      <x:c r="K960" s="16" t="n">
        <x:v>0</x:v>
      </x:c>
      <x:c r="L960" s="16" t="n">
        <x:v>37</x:v>
      </x:c>
      <x:c r="M960" s="16" t="n">
        <x:v>7</x:v>
      </x:c>
      <x:c r="N960" s="16" t="n">
        <x:v>0</x:v>
      </x:c>
      <x:c r="O960" s="16" t="n">
        <x:v>42</x:v>
      </x:c>
      <x:c r="P960" s="16" t="n">
        <x:v>3</x:v>
      </x:c>
      <x:c r="Q960" s="16" t="n">
        <x:v>6</x:v>
      </x:c>
      <x:c r="R960" s="16" t="n">
        <x:v>3</x:v>
      </x:c>
      <x:c r="S960" s="16" t="n">
        <x:v>8</x:v>
      </x:c>
      <x:c r="T960" s="16" t="n">
        <x:v>5</x:v>
      </x:c>
      <x:c r="U960" s="16" t="n">
        <x:v>0</x:v>
      </x:c>
      <x:c r="V960" s="16" t="n">
        <x:v>0</x:v>
      </x:c>
      <x:c r="W960" s="16" t="n">
        <x:v>0</x:v>
      </x:c>
      <x:c r="X960" s="16" t="n">
        <x:v>0</x:v>
      </x:c>
      <x:c r="Y960" s="16" t="n">
        <x:v>0</x:v>
      </x:c>
      <x:c r="Z960" s="16" t="n">
        <x:v>0</x:v>
      </x:c>
      <x:c r="AA960" s="16" t="n">
        <x:v>3</x:v>
      </x:c>
      <x:c r="AB960" s="16" t="n">
        <x:v>11</x:v>
      </x:c>
      <x:c r="AC960" s="16" t="n">
        <x:v>0</x:v>
      </x:c>
      <x:c r="AD960" s="21" t="n">
        <x:f>IF(E960="",MEDIAN($E$2:$E$2237),E960)</x:f>
        <x:v>52597</x:v>
      </x:c>
      <x:c r="AE960" s="17" t="n">
        <x:f>2014-B960</x:f>
        <x:v>52</x:v>
      </x:c>
      <x:c r="AF960" s="17" t="n">
        <x:f>F960+G960</x:f>
        <x:v>1</x:v>
      </x:c>
      <x:c r="AG960" s="21" t="n">
        <x:f>SUM(J960:O960)</x:f>
        <x:v>578</x:v>
      </x:c>
      <x:c r="AH960" s="17" t="n">
        <x:f>SUM(Q960:S960)</x:f>
        <x:v>17</x:v>
      </x:c>
      <x:c r="AI960" s="17" t="n">
        <x:f>SUM(U960:Y960)</x:f>
        <x:v>0</x:v>
      </x:c>
      <x:c r="AJ960" s="17" t="str">
        <x:f>IF(AE960&lt;=34,"≤34",IF(AE960&lt;=44,"35–44",IF(AE960&lt;=54,"45–54",IF(AE960&lt;=64,"55–64","65+"))))</x:f>
        <x:v>45–54</x:v>
      </x:c>
      <x:c r="AK960" s="17" t="str">
        <x:f>IF(AG960&gt;=1000,"High Value",IF(AG960&gt;=300,"Mid Value","Low Value"))</x:f>
        <x:v>Mid Value</x:v>
      </x:c>
      <x:c r="AL960" s="17" t="str">
        <x:f>IF(AND(AI960&gt;=1,I960&lt;=50),"Priority 1",IF(AND(AG960&gt;=1000,I960&lt;=60),"Priority 2",IF(I960&lt;=30,"Priority 3","Nurture")))</x:f>
        <x:v>Nurture</x:v>
      </x:c>
    </x:row>
    <x:row r="961">
      <x:c r="A961" s="16" t="n">
        <x:v>3547</x:v>
      </x:c>
      <x:c r="B961" s="16" t="n">
        <x:v>1969</x:v>
      </x:c>
      <x:c r="C961" s="16" t="str">
        <x:v>Master</x:v>
      </x:c>
      <x:c r="D961" s="16" t="str">
        <x:v>Together</x:v>
      </x:c>
      <x:c r="E961" s="16" t="n">
        <x:v>41021</x:v>
      </x:c>
      <x:c r="F961" s="16" t="n">
        <x:v>1</x:v>
      </x:c>
      <x:c r="G961" s="16" t="n">
        <x:v>0</x:v>
      </x:c>
      <x:c r="H961" s="16" t="str">
        <x:v>30-12-2012</x:v>
      </x:c>
      <x:c r="I961" s="16" t="n">
        <x:v>12</x:v>
      </x:c>
      <x:c r="J961" s="16" t="n">
        <x:v>14</x:v>
      </x:c>
      <x:c r="K961" s="16" t="n">
        <x:v>7</x:v>
      </x:c>
      <x:c r="L961" s="16" t="n">
        <x:v>9</x:v>
      </x:c>
      <x:c r="M961" s="16" t="n">
        <x:v>6</x:v>
      </x:c>
      <x:c r="N961" s="16" t="n">
        <x:v>16</x:v>
      </x:c>
      <x:c r="O961" s="16" t="n">
        <x:v>12</x:v>
      </x:c>
      <x:c r="P961" s="16" t="n">
        <x:v>2</x:v>
      </x:c>
      <x:c r="Q961" s="16" t="n">
        <x:v>2</x:v>
      </x:c>
      <x:c r="R961" s="16" t="n">
        <x:v>0</x:v>
      </x:c>
      <x:c r="S961" s="16" t="n">
        <x:v>3</x:v>
      </x:c>
      <x:c r="T961" s="16" t="n">
        <x:v>6</x:v>
      </x:c>
      <x:c r="U961" s="16" t="n">
        <x:v>0</x:v>
      </x:c>
      <x:c r="V961" s="16" t="n">
        <x:v>0</x:v>
      </x:c>
      <x:c r="W961" s="16" t="n">
        <x:v>0</x:v>
      </x:c>
      <x:c r="X961" s="16" t="n">
        <x:v>0</x:v>
      </x:c>
      <x:c r="Y961" s="16" t="n">
        <x:v>0</x:v>
      </x:c>
      <x:c r="Z961" s="16" t="n">
        <x:v>0</x:v>
      </x:c>
      <x:c r="AA961" s="16" t="n">
        <x:v>3</x:v>
      </x:c>
      <x:c r="AB961" s="16" t="n">
        <x:v>11</x:v>
      </x:c>
      <x:c r="AC961" s="16" t="n">
        <x:v>1</x:v>
      </x:c>
      <x:c r="AD961" s="21" t="n">
        <x:f>IF(E961="",MEDIAN($E$2:$E$2237),E961)</x:f>
        <x:v>41021</x:v>
      </x:c>
      <x:c r="AE961" s="17" t="n">
        <x:f>2014-B961</x:f>
        <x:v>45</x:v>
      </x:c>
      <x:c r="AF961" s="17" t="n">
        <x:f>F961+G961</x:f>
        <x:v>1</x:v>
      </x:c>
      <x:c r="AG961" s="21" t="n">
        <x:f>SUM(J961:O961)</x:f>
        <x:v>64</x:v>
      </x:c>
      <x:c r="AH961" s="17" t="n">
        <x:f>SUM(Q961:S961)</x:f>
        <x:v>5</x:v>
      </x:c>
      <x:c r="AI961" s="17" t="n">
        <x:f>SUM(U961:Y961)</x:f>
        <x:v>0</x:v>
      </x:c>
      <x:c r="AJ961" s="17" t="str">
        <x:f>IF(AE961&lt;=34,"≤34",IF(AE961&lt;=44,"35–44",IF(AE961&lt;=54,"45–54",IF(AE961&lt;=64,"55–64","65+"))))</x:f>
        <x:v>45–54</x:v>
      </x:c>
      <x:c r="AK961" s="17" t="str">
        <x:f>IF(AG961&gt;=1000,"High Value",IF(AG961&gt;=300,"Mid Value","Low Value"))</x:f>
        <x:v>Low Value</x:v>
      </x:c>
      <x:c r="AL961" s="17" t="str">
        <x:f>IF(AND(AI961&gt;=1,I961&lt;=50),"Priority 1",IF(AND(AG961&gt;=1000,I961&lt;=60),"Priority 2",IF(I961&lt;=30,"Priority 3","Nurture")))</x:f>
        <x:v>Priority 3</x:v>
      </x:c>
    </x:row>
    <x:row r="962">
      <x:c r="A962" s="16" t="n">
        <x:v>2456</x:v>
      </x:c>
      <x:c r="B962" s="16" t="n">
        <x:v>1975</x:v>
      </x:c>
      <x:c r="C962" s="16" t="str">
        <x:v>PhD</x:v>
      </x:c>
      <x:c r="D962" s="16" t="str">
        <x:v>Married</x:v>
      </x:c>
      <x:c r="E962" s="16" t="n">
        <x:v>40233</x:v>
      </x:c>
      <x:c r="F962" s="16" t="n">
        <x:v>0</x:v>
      </x:c>
      <x:c r="G962" s="16" t="n">
        <x:v>1</x:v>
      </x:c>
      <x:c r="H962" s="16" t="str">
        <x:v>14-10-2013</x:v>
      </x:c>
      <x:c r="I962" s="16" t="n">
        <x:v>84</x:v>
      </x:c>
      <x:c r="J962" s="16" t="n">
        <x:v>80</x:v>
      </x:c>
      <x:c r="K962" s="16" t="n">
        <x:v>4</x:v>
      </x:c>
      <x:c r="L962" s="16" t="n">
        <x:v>46</x:v>
      </x:c>
      <x:c r="M962" s="16" t="n">
        <x:v>0</x:v>
      </x:c>
      <x:c r="N962" s="16" t="n">
        <x:v>17</x:v>
      </x:c>
      <x:c r="O962" s="16" t="n">
        <x:v>2</x:v>
      </x:c>
      <x:c r="P962" s="16" t="n">
        <x:v>5</x:v>
      </x:c>
      <x:c r="Q962" s="16" t="n">
        <x:v>2</x:v>
      </x:c>
      <x:c r="R962" s="16" t="n">
        <x:v>1</x:v>
      </x:c>
      <x:c r="S962" s="16" t="n">
        <x:v>5</x:v>
      </x:c>
      <x:c r="T962" s="16" t="n">
        <x:v>6</x:v>
      </x:c>
      <x:c r="U962" s="16" t="n">
        <x:v>0</x:v>
      </x:c>
      <x:c r="V962" s="16" t="n">
        <x:v>0</x:v>
      </x:c>
      <x:c r="W962" s="16" t="n">
        <x:v>0</x:v>
      </x:c>
      <x:c r="X962" s="16" t="n">
        <x:v>0</x:v>
      </x:c>
      <x:c r="Y962" s="16" t="n">
        <x:v>0</x:v>
      </x:c>
      <x:c r="Z962" s="16" t="n">
        <x:v>0</x:v>
      </x:c>
      <x:c r="AA962" s="16" t="n">
        <x:v>3</x:v>
      </x:c>
      <x:c r="AB962" s="16" t="n">
        <x:v>11</x:v>
      </x:c>
      <x:c r="AC962" s="16" t="n">
        <x:v>0</x:v>
      </x:c>
      <x:c r="AD962" s="21" t="n">
        <x:f>IF(E962="",MEDIAN($E$2:$E$2237),E962)</x:f>
        <x:v>40233</x:v>
      </x:c>
      <x:c r="AE962" s="17" t="n">
        <x:f>2014-B962</x:f>
        <x:v>39</x:v>
      </x:c>
      <x:c r="AF962" s="17" t="n">
        <x:f>F962+G962</x:f>
        <x:v>1</x:v>
      </x:c>
      <x:c r="AG962" s="21" t="n">
        <x:f>SUM(J962:O962)</x:f>
        <x:v>149</x:v>
      </x:c>
      <x:c r="AH962" s="17" t="n">
        <x:f>SUM(Q962:S962)</x:f>
        <x:v>8</x:v>
      </x:c>
      <x:c r="AI962" s="17" t="n">
        <x:f>SUM(U962:Y962)</x:f>
        <x:v>0</x:v>
      </x:c>
      <x:c r="AJ962" s="17" t="str">
        <x:f>IF(AE962&lt;=34,"≤34",IF(AE962&lt;=44,"35–44",IF(AE962&lt;=54,"45–54",IF(AE962&lt;=64,"55–64","65+"))))</x:f>
        <x:v>35–44</x:v>
      </x:c>
      <x:c r="AK962" s="17" t="str">
        <x:f>IF(AG962&gt;=1000,"High Value",IF(AG962&gt;=300,"Mid Value","Low Value"))</x:f>
        <x:v>Low Value</x:v>
      </x:c>
      <x:c r="AL962" s="17" t="str">
        <x:f>IF(AND(AI962&gt;=1,I962&lt;=50),"Priority 1",IF(AND(AG962&gt;=1000,I962&lt;=60),"Priority 2",IF(I962&lt;=30,"Priority 3","Nurture")))</x:f>
        <x:v>Nurture</x:v>
      </x:c>
    </x:row>
    <x:row r="963">
      <x:c r="A963" s="16" t="n">
        <x:v>5633</x:v>
      </x:c>
      <x:c r="B963" s="16" t="n">
        <x:v>1980</x:v>
      </x:c>
      <x:c r="C963" s="16" t="str">
        <x:v>Graduation</x:v>
      </x:c>
      <x:c r="D963" s="16" t="str">
        <x:v>Married</x:v>
      </x:c>
      <x:c r="E963" s="16" t="n">
        <x:v>50183</x:v>
      </x:c>
      <x:c r="F963" s="16" t="n">
        <x:v>1</x:v>
      </x:c>
      <x:c r="G963" s="16" t="n">
        <x:v>1</x:v>
      </x:c>
      <x:c r="H963" s="16" t="str">
        <x:v>25-06-2014</x:v>
      </x:c>
      <x:c r="I963" s="16" t="n">
        <x:v>47</x:v>
      </x:c>
      <x:c r="J963" s="16" t="n">
        <x:v>97</x:v>
      </x:c>
      <x:c r="K963" s="16" t="n">
        <x:v>12</x:v>
      </x:c>
      <x:c r="L963" s="16" t="n">
        <x:v>84</x:v>
      </x:c>
      <x:c r="M963" s="16" t="n">
        <x:v>13</x:v>
      </x:c>
      <x:c r="N963" s="16" t="n">
        <x:v>10</x:v>
      </x:c>
      <x:c r="O963" s="16" t="n">
        <x:v>15</x:v>
      </x:c>
      <x:c r="P963" s="16" t="n">
        <x:v>7</x:v>
      </x:c>
      <x:c r="Q963" s="16" t="n">
        <x:v>3</x:v>
      </x:c>
      <x:c r="R963" s="16" t="n">
        <x:v>1</x:v>
      </x:c>
      <x:c r="S963" s="16" t="n">
        <x:v>6</x:v>
      </x:c>
      <x:c r="T963" s="16" t="n">
        <x:v>5</x:v>
      </x:c>
      <x:c r="U963" s="16" t="n">
        <x:v>0</x:v>
      </x:c>
      <x:c r="V963" s="16" t="n">
        <x:v>0</x:v>
      </x:c>
      <x:c r="W963" s="16" t="n">
        <x:v>0</x:v>
      </x:c>
      <x:c r="X963" s="16" t="n">
        <x:v>0</x:v>
      </x:c>
      <x:c r="Y963" s="16" t="n">
        <x:v>0</x:v>
      </x:c>
      <x:c r="Z963" s="16" t="n">
        <x:v>0</x:v>
      </x:c>
      <x:c r="AA963" s="16" t="n">
        <x:v>3</x:v>
      </x:c>
      <x:c r="AB963" s="16" t="n">
        <x:v>11</x:v>
      </x:c>
      <x:c r="AC963" s="16" t="n">
        <x:v>0</x:v>
      </x:c>
      <x:c r="AD963" s="21" t="n">
        <x:f>IF(E963="",MEDIAN($E$2:$E$2237),E963)</x:f>
        <x:v>50183</x:v>
      </x:c>
      <x:c r="AE963" s="17" t="n">
        <x:f>2014-B963</x:f>
        <x:v>34</x:v>
      </x:c>
      <x:c r="AF963" s="17" t="n">
        <x:f>F963+G963</x:f>
        <x:v>2</x:v>
      </x:c>
      <x:c r="AG963" s="21" t="n">
        <x:f>SUM(J963:O963)</x:f>
        <x:v>231</x:v>
      </x:c>
      <x:c r="AH963" s="17" t="n">
        <x:f>SUM(Q963:S963)</x:f>
        <x:v>10</x:v>
      </x:c>
      <x:c r="AI963" s="17" t="n">
        <x:f>SUM(U963:Y963)</x:f>
        <x:v>0</x:v>
      </x:c>
      <x:c r="AJ963" s="17" t="str">
        <x:f>IF(AE963&lt;=34,"≤34",IF(AE963&lt;=44,"35–44",IF(AE963&lt;=54,"45–54",IF(AE963&lt;=64,"55–64","65+"))))</x:f>
        <x:v>≤34</x:v>
      </x:c>
      <x:c r="AK963" s="17" t="str">
        <x:f>IF(AG963&gt;=1000,"High Value",IF(AG963&gt;=300,"Mid Value","Low Value"))</x:f>
        <x:v>Low Value</x:v>
      </x:c>
      <x:c r="AL963" s="17" t="str">
        <x:f>IF(AND(AI963&gt;=1,I963&lt;=50),"Priority 1",IF(AND(AG963&gt;=1000,I963&lt;=60),"Priority 2",IF(I963&lt;=30,"Priority 3","Nurture")))</x:f>
        <x:v>Nurture</x:v>
      </x:c>
    </x:row>
    <x:row r="964">
      <x:c r="A964" s="16" t="n">
        <x:v>7801</x:v>
      </x:c>
      <x:c r="B964" s="16" t="n">
        <x:v>1959</x:v>
      </x:c>
      <x:c r="C964" s="16" t="str">
        <x:v>Graduation</x:v>
      </x:c>
      <x:c r="D964" s="16" t="str">
        <x:v>Together</x:v>
      </x:c>
      <x:c r="E964" s="16" t="n">
        <x:v>54753</x:v>
      </x:c>
      <x:c r="F964" s="16" t="n">
        <x:v>0</x:v>
      </x:c>
      <x:c r="G964" s="16" t="n">
        <x:v>1</x:v>
      </x:c>
      <x:c r="H964" s="16" t="str">
        <x:v>12-09-2013</x:v>
      </x:c>
      <x:c r="I964" s="16" t="n">
        <x:v>87</x:v>
      </x:c>
      <x:c r="J964" s="16" t="n">
        <x:v>197</x:v>
      </x:c>
      <x:c r="K964" s="16" t="n">
        <x:v>107</x:v>
      </x:c>
      <x:c r="L964" s="16" t="n">
        <x:v>227</x:v>
      </x:c>
      <x:c r="M964" s="16" t="n">
        <x:v>7</x:v>
      </x:c>
      <x:c r="N964" s="16" t="n">
        <x:v>59</x:v>
      </x:c>
      <x:c r="O964" s="16" t="n">
        <x:v>131</x:v>
      </x:c>
      <x:c r="P964" s="16" t="n">
        <x:v>3</x:v>
      </x:c>
      <x:c r="Q964" s="16" t="n">
        <x:v>5</x:v>
      </x:c>
      <x:c r="R964" s="16" t="n">
        <x:v>2</x:v>
      </x:c>
      <x:c r="S964" s="16" t="n">
        <x:v>11</x:v>
      </x:c>
      <x:c r="T964" s="16" t="n">
        <x:v>4</x:v>
      </x:c>
      <x:c r="U964" s="16" t="n">
        <x:v>0</x:v>
      </x:c>
      <x:c r="V964" s="16" t="n">
        <x:v>0</x:v>
      </x:c>
      <x:c r="W964" s="16" t="n">
        <x:v>0</x:v>
      </x:c>
      <x:c r="X964" s="16" t="n">
        <x:v>0</x:v>
      </x:c>
      <x:c r="Y964" s="16" t="n">
        <x:v>0</x:v>
      </x:c>
      <x:c r="Z964" s="16" t="n">
        <x:v>0</x:v>
      </x:c>
      <x:c r="AA964" s="16" t="n">
        <x:v>3</x:v>
      </x:c>
      <x:c r="AB964" s="16" t="n">
        <x:v>11</x:v>
      </x:c>
      <x:c r="AC964" s="16" t="n">
        <x:v>0</x:v>
      </x:c>
      <x:c r="AD964" s="21" t="n">
        <x:f>IF(E964="",MEDIAN($E$2:$E$2237),E964)</x:f>
        <x:v>54753</x:v>
      </x:c>
      <x:c r="AE964" s="17" t="n">
        <x:f>2014-B964</x:f>
        <x:v>55</x:v>
      </x:c>
      <x:c r="AF964" s="17" t="n">
        <x:f>F964+G964</x:f>
        <x:v>1</x:v>
      </x:c>
      <x:c r="AG964" s="21" t="n">
        <x:f>SUM(J964:O964)</x:f>
        <x:v>728</x:v>
      </x:c>
      <x:c r="AH964" s="17" t="n">
        <x:f>SUM(Q964:S964)</x:f>
        <x:v>18</x:v>
      </x:c>
      <x:c r="AI964" s="17" t="n">
        <x:f>SUM(U964:Y964)</x:f>
        <x:v>0</x:v>
      </x:c>
      <x:c r="AJ964" s="17" t="str">
        <x:f>IF(AE964&lt;=34,"≤34",IF(AE964&lt;=44,"35–44",IF(AE964&lt;=54,"45–54",IF(AE964&lt;=64,"55–64","65+"))))</x:f>
        <x:v>55–64</x:v>
      </x:c>
      <x:c r="AK964" s="17" t="str">
        <x:f>IF(AG964&gt;=1000,"High Value",IF(AG964&gt;=300,"Mid Value","Low Value"))</x:f>
        <x:v>Mid Value</x:v>
      </x:c>
      <x:c r="AL964" s="17" t="str">
        <x:f>IF(AND(AI964&gt;=1,I964&lt;=50),"Priority 1",IF(AND(AG964&gt;=1000,I964&lt;=60),"Priority 2",IF(I964&lt;=30,"Priority 3","Nurture")))</x:f>
        <x:v>Nurture</x:v>
      </x:c>
    </x:row>
    <x:row r="965">
      <x:c r="A965" s="16" t="n">
        <x:v>10489</x:v>
      </x:c>
      <x:c r="B965" s="16" t="n">
        <x:v>1973</x:v>
      </x:c>
      <x:c r="C965" s="16" t="str">
        <x:v>Graduation</x:v>
      </x:c>
      <x:c r="D965" s="16" t="str">
        <x:v>Married</x:v>
      </x:c>
      <x:c r="E965" s="16" t="n">
        <x:v>92955</x:v>
      </x:c>
      <x:c r="F965" s="16" t="n">
        <x:v>0</x:v>
      </x:c>
      <x:c r="G965" s="16" t="n">
        <x:v>0</x:v>
      </x:c>
      <x:c r="H965" s="16" t="str">
        <x:v>19-08-2013</x:v>
      </x:c>
      <x:c r="I965" s="16" t="n">
        <x:v>35</x:v>
      </x:c>
      <x:c r="J965" s="16" t="n">
        <x:v>693</x:v>
      </x:c>
      <x:c r="K965" s="16" t="n">
        <x:v>21</x:v>
      </x:c>
      <x:c r="L965" s="16" t="n">
        <x:v>925</x:v>
      </x:c>
      <x:c r="M965" s="16" t="n">
        <x:v>31</x:v>
      </x:c>
      <x:c r="N965" s="16" t="n">
        <x:v>24</x:v>
      </x:c>
      <x:c r="O965" s="16" t="n">
        <x:v>84</x:v>
      </x:c>
      <x:c r="P965" s="16" t="n">
        <x:v>1</x:v>
      </x:c>
      <x:c r="Q965" s="16" t="n">
        <x:v>6</x:v>
      </x:c>
      <x:c r="R965" s="16" t="n">
        <x:v>7</x:v>
      </x:c>
      <x:c r="S965" s="16" t="n">
        <x:v>9</x:v>
      </x:c>
      <x:c r="T965" s="16" t="n">
        <x:v>2</x:v>
      </x:c>
      <x:c r="U965" s="16" t="n">
        <x:v>0</x:v>
      </x:c>
      <x:c r="V965" s="16" t="n">
        <x:v>0</x:v>
      </x:c>
      <x:c r="W965" s="16" t="n">
        <x:v>1</x:v>
      </x:c>
      <x:c r="X965" s="16" t="n">
        <x:v>1</x:v>
      </x:c>
      <x:c r="Y965" s="16" t="n">
        <x:v>0</x:v>
      </x:c>
      <x:c r="Z965" s="16" t="n">
        <x:v>0</x:v>
      </x:c>
      <x:c r="AA965" s="16" t="n">
        <x:v>3</x:v>
      </x:c>
      <x:c r="AB965" s="16" t="n">
        <x:v>11</x:v>
      </x:c>
      <x:c r="AC965" s="16" t="n">
        <x:v>1</x:v>
      </x:c>
      <x:c r="AD965" s="21" t="n">
        <x:f>IF(E965="",MEDIAN($E$2:$E$2237),E965)</x:f>
        <x:v>92955</x:v>
      </x:c>
      <x:c r="AE965" s="17" t="n">
        <x:f>2014-B965</x:f>
        <x:v>41</x:v>
      </x:c>
      <x:c r="AF965" s="17" t="n">
        <x:f>F965+G965</x:f>
        <x:v>0</x:v>
      </x:c>
      <x:c r="AG965" s="21" t="n">
        <x:f>SUM(J965:O965)</x:f>
        <x:v>1778</x:v>
      </x:c>
      <x:c r="AH965" s="17" t="n">
        <x:f>SUM(Q965:S965)</x:f>
        <x:v>22</x:v>
      </x:c>
      <x:c r="AI965" s="17" t="n">
        <x:f>SUM(U965:Y965)</x:f>
        <x:v>2</x:v>
      </x:c>
      <x:c r="AJ965" s="17" t="str">
        <x:f>IF(AE965&lt;=34,"≤34",IF(AE965&lt;=44,"35–44",IF(AE965&lt;=54,"45–54",IF(AE965&lt;=64,"55–64","65+"))))</x:f>
        <x:v>35–44</x:v>
      </x:c>
      <x:c r="AK965" s="17" t="str">
        <x:f>IF(AG965&gt;=1000,"High Value",IF(AG965&gt;=300,"Mid Value","Low Value"))</x:f>
        <x:v>High Value</x:v>
      </x:c>
      <x:c r="AL965" s="17" t="str">
        <x:f>IF(AND(AI965&gt;=1,I965&lt;=50),"Priority 1",IF(AND(AG965&gt;=1000,I965&lt;=60),"Priority 2",IF(I965&lt;=30,"Priority 3","Nurture")))</x:f>
        <x:v>Priority 1</x:v>
      </x:c>
    </x:row>
    <x:row r="966">
      <x:c r="A966" s="16" t="n">
        <x:v>7011</x:v>
      </x:c>
      <x:c r="B966" s="16" t="n">
        <x:v>1973</x:v>
      </x:c>
      <x:c r="C966" s="16" t="str">
        <x:v>Graduation</x:v>
      </x:c>
      <x:c r="D966" s="16" t="str">
        <x:v>Married</x:v>
      </x:c>
      <x:c r="E966" s="16" t="n">
        <x:v>33471</x:v>
      </x:c>
      <x:c r="F966" s="16" t="n">
        <x:v>1</x:v>
      </x:c>
      <x:c r="G966" s="16" t="n">
        <x:v>0</x:v>
      </x:c>
      <x:c r="H966" s="16" t="str">
        <x:v>12-10-2012</x:v>
      </x:c>
      <x:c r="I966" s="16" t="n">
        <x:v>47</x:v>
      </x:c>
      <x:c r="J966" s="16" t="n">
        <x:v>43</x:v>
      </x:c>
      <x:c r="K966" s="16" t="n">
        <x:v>2</x:v>
      </x:c>
      <x:c r="L966" s="16" t="n">
        <x:v>27</x:v>
      </x:c>
      <x:c r="M966" s="16" t="n">
        <x:v>0</x:v>
      </x:c>
      <x:c r="N966" s="16" t="n">
        <x:v>9</x:v>
      </x:c>
      <x:c r="O966" s="16" t="n">
        <x:v>12</x:v>
      </x:c>
      <x:c r="P966" s="16" t="n">
        <x:v>3</x:v>
      </x:c>
      <x:c r="Q966" s="16" t="n">
        <x:v>3</x:v>
      </x:c>
      <x:c r="R966" s="16" t="n">
        <x:v>0</x:v>
      </x:c>
      <x:c r="S966" s="16" t="n">
        <x:v>4</x:v>
      </x:c>
      <x:c r="T966" s="16" t="n">
        <x:v>7</x:v>
      </x:c>
      <x:c r="U966" s="16" t="n">
        <x:v>0</x:v>
      </x:c>
      <x:c r="V966" s="16" t="n">
        <x:v>0</x:v>
      </x:c>
      <x:c r="W966" s="16" t="n">
        <x:v>0</x:v>
      </x:c>
      <x:c r="X966" s="16" t="n">
        <x:v>0</x:v>
      </x:c>
      <x:c r="Y966" s="16" t="n">
        <x:v>0</x:v>
      </x:c>
      <x:c r="Z966" s="16" t="n">
        <x:v>0</x:v>
      </x:c>
      <x:c r="AA966" s="16" t="n">
        <x:v>3</x:v>
      </x:c>
      <x:c r="AB966" s="16" t="n">
        <x:v>11</x:v>
      </x:c>
      <x:c r="AC966" s="16" t="n">
        <x:v>0</x:v>
      </x:c>
      <x:c r="AD966" s="21" t="n">
        <x:f>IF(E966="",MEDIAN($E$2:$E$2237),E966)</x:f>
        <x:v>33471</x:v>
      </x:c>
      <x:c r="AE966" s="17" t="n">
        <x:f>2014-B966</x:f>
        <x:v>41</x:v>
      </x:c>
      <x:c r="AF966" s="17" t="n">
        <x:f>F966+G966</x:f>
        <x:v>1</x:v>
      </x:c>
      <x:c r="AG966" s="21" t="n">
        <x:f>SUM(J966:O966)</x:f>
        <x:v>93</x:v>
      </x:c>
      <x:c r="AH966" s="17" t="n">
        <x:f>SUM(Q966:S966)</x:f>
        <x:v>7</x:v>
      </x:c>
      <x:c r="AI966" s="17" t="n">
        <x:f>SUM(U966:Y966)</x:f>
        <x:v>0</x:v>
      </x:c>
      <x:c r="AJ966" s="17" t="str">
        <x:f>IF(AE966&lt;=34,"≤34",IF(AE966&lt;=44,"35–44",IF(AE966&lt;=54,"45–54",IF(AE966&lt;=64,"55–64","65+"))))</x:f>
        <x:v>35–44</x:v>
      </x:c>
      <x:c r="AK966" s="17" t="str">
        <x:f>IF(AG966&gt;=1000,"High Value",IF(AG966&gt;=300,"Mid Value","Low Value"))</x:f>
        <x:v>Low Value</x:v>
      </x:c>
      <x:c r="AL966" s="17" t="str">
        <x:f>IF(AND(AI966&gt;=1,I966&lt;=50),"Priority 1",IF(AND(AG966&gt;=1000,I966&lt;=60),"Priority 2",IF(I966&lt;=30,"Priority 3","Nurture")))</x:f>
        <x:v>Nurture</x:v>
      </x:c>
    </x:row>
    <x:row r="967">
      <x:c r="A967" s="16" t="n">
        <x:v>2620</x:v>
      </x:c>
      <x:c r="B967" s="16" t="n">
        <x:v>1974</x:v>
      </x:c>
      <x:c r="C967" s="16" t="str">
        <x:v>PhD</x:v>
      </x:c>
      <x:c r="D967" s="16" t="str">
        <x:v>Married</x:v>
      </x:c>
      <x:c r="E967" s="16" t="n">
        <x:v>34596</x:v>
      </x:c>
      <x:c r="F967" s="16" t="n">
        <x:v>1</x:v>
      </x:c>
      <x:c r="G967" s="16" t="n">
        <x:v>0</x:v>
      </x:c>
      <x:c r="H967" s="16" t="str">
        <x:v>13-04-2013</x:v>
      </x:c>
      <x:c r="I967" s="16" t="n">
        <x:v>48</x:v>
      </x:c>
      <x:c r="J967" s="16" t="n">
        <x:v>14</x:v>
      </x:c>
      <x:c r="K967" s="16" t="n">
        <x:v>0</x:v>
      </x:c>
      <x:c r="L967" s="16" t="n">
        <x:v>2</x:v>
      </x:c>
      <x:c r="M967" s="16" t="n">
        <x:v>0</x:v>
      </x:c>
      <x:c r="N967" s="16" t="n">
        <x:v>0</x:v>
      </x:c>
      <x:c r="O967" s="16" t="n">
        <x:v>7</x:v>
      </x:c>
      <x:c r="P967" s="16" t="n">
        <x:v>1</x:v>
      </x:c>
      <x:c r="Q967" s="16" t="n">
        <x:v>1</x:v>
      </x:c>
      <x:c r="R967" s="16" t="n">
        <x:v>0</x:v>
      </x:c>
      <x:c r="S967" s="16" t="n">
        <x:v>2</x:v>
      </x:c>
      <x:c r="T967" s="16" t="n">
        <x:v>8</x:v>
      </x:c>
      <x:c r="U967" s="16" t="n">
        <x:v>0</x:v>
      </x:c>
      <x:c r="V967" s="16" t="n">
        <x:v>0</x:v>
      </x:c>
      <x:c r="W967" s="16" t="n">
        <x:v>0</x:v>
      </x:c>
      <x:c r="X967" s="16" t="n">
        <x:v>0</x:v>
      </x:c>
      <x:c r="Y967" s="16" t="n">
        <x:v>0</x:v>
      </x:c>
      <x:c r="Z967" s="16" t="n">
        <x:v>0</x:v>
      </x:c>
      <x:c r="AA967" s="16" t="n">
        <x:v>3</x:v>
      </x:c>
      <x:c r="AB967" s="16" t="n">
        <x:v>11</x:v>
      </x:c>
      <x:c r="AC967" s="16" t="n">
        <x:v>1</x:v>
      </x:c>
      <x:c r="AD967" s="21" t="n">
        <x:f>IF(E967="",MEDIAN($E$2:$E$2237),E967)</x:f>
        <x:v>34596</x:v>
      </x:c>
      <x:c r="AE967" s="17" t="n">
        <x:f>2014-B967</x:f>
        <x:v>40</x:v>
      </x:c>
      <x:c r="AF967" s="17" t="n">
        <x:f>F967+G967</x:f>
        <x:v>1</x:v>
      </x:c>
      <x:c r="AG967" s="21" t="n">
        <x:f>SUM(J967:O967)</x:f>
        <x:v>23</x:v>
      </x:c>
      <x:c r="AH967" s="17" t="n">
        <x:f>SUM(Q967:S967)</x:f>
        <x:v>3</x:v>
      </x:c>
      <x:c r="AI967" s="17" t="n">
        <x:f>SUM(U967:Y967)</x:f>
        <x:v>0</x:v>
      </x:c>
      <x:c r="AJ967" s="17" t="str">
        <x:f>IF(AE967&lt;=34,"≤34",IF(AE967&lt;=44,"35–44",IF(AE967&lt;=54,"45–54",IF(AE967&lt;=64,"55–64","65+"))))</x:f>
        <x:v>35–44</x:v>
      </x:c>
      <x:c r="AK967" s="17" t="str">
        <x:f>IF(AG967&gt;=1000,"High Value",IF(AG967&gt;=300,"Mid Value","Low Value"))</x:f>
        <x:v>Low Value</x:v>
      </x:c>
      <x:c r="AL967" s="17" t="str">
        <x:f>IF(AND(AI967&gt;=1,I967&lt;=50),"Priority 1",IF(AND(AG967&gt;=1000,I967&lt;=60),"Priority 2",IF(I967&lt;=30,"Priority 3","Nurture")))</x:f>
        <x:v>Nurture</x:v>
      </x:c>
    </x:row>
    <x:row r="968">
      <x:c r="A968" s="16" t="n">
        <x:v>3933</x:v>
      </x:c>
      <x:c r="B968" s="16" t="n">
        <x:v>1980</x:v>
      </x:c>
      <x:c r="C968" s="16" t="str">
        <x:v>Graduation</x:v>
      </x:c>
      <x:c r="D968" s="16" t="str">
        <x:v>Together</x:v>
      </x:c>
      <x:c r="E968" s="16" t="n">
        <x:v>44010</x:v>
      </x:c>
      <x:c r="F968" s="16" t="n">
        <x:v>1</x:v>
      </x:c>
      <x:c r="G968" s="16" t="n">
        <x:v>0</x:v>
      </x:c>
      <x:c r="H968" s="16" t="str">
        <x:v>13-10-2012</x:v>
      </x:c>
      <x:c r="I968" s="16" t="n">
        <x:v>46</x:v>
      </x:c>
      <x:c r="J968" s="16" t="n">
        <x:v>186</x:v>
      </x:c>
      <x:c r="K968" s="16" t="n">
        <x:v>36</x:v>
      </x:c>
      <x:c r="L968" s="16" t="n">
        <x:v>234</x:v>
      </x:c>
      <x:c r="M968" s="16" t="n">
        <x:v>86</x:v>
      </x:c>
      <x:c r="N968" s="16" t="n">
        <x:v>72</x:v>
      </x:c>
      <x:c r="O968" s="16" t="n">
        <x:v>48</x:v>
      </x:c>
      <x:c r="P968" s="16" t="n">
        <x:v>6</x:v>
      </x:c>
      <x:c r="Q968" s="16" t="n">
        <x:v>10</x:v>
      </x:c>
      <x:c r="R968" s="16" t="n">
        <x:v>2</x:v>
      </x:c>
      <x:c r="S968" s="16" t="n">
        <x:v>6</x:v>
      </x:c>
      <x:c r="T968" s="16" t="n">
        <x:v>9</x:v>
      </x:c>
      <x:c r="U968" s="16" t="n">
        <x:v>0</x:v>
      </x:c>
      <x:c r="V968" s="16" t="n">
        <x:v>0</x:v>
      </x:c>
      <x:c r="W968" s="16" t="n">
        <x:v>0</x:v>
      </x:c>
      <x:c r="X968" s="16" t="n">
        <x:v>0</x:v>
      </x:c>
      <x:c r="Y968" s="16" t="n">
        <x:v>0</x:v>
      </x:c>
      <x:c r="Z968" s="16" t="n">
        <x:v>0</x:v>
      </x:c>
      <x:c r="AA968" s="16" t="n">
        <x:v>3</x:v>
      </x:c>
      <x:c r="AB968" s="16" t="n">
        <x:v>11</x:v>
      </x:c>
      <x:c r="AC968" s="16" t="n">
        <x:v>0</x:v>
      </x:c>
      <x:c r="AD968" s="21" t="n">
        <x:f>IF(E968="",MEDIAN($E$2:$E$2237),E968)</x:f>
        <x:v>44010</x:v>
      </x:c>
      <x:c r="AE968" s="17" t="n">
        <x:f>2014-B968</x:f>
        <x:v>34</x:v>
      </x:c>
      <x:c r="AF968" s="17" t="n">
        <x:f>F968+G968</x:f>
        <x:v>1</x:v>
      </x:c>
      <x:c r="AG968" s="21" t="n">
        <x:f>SUM(J968:O968)</x:f>
        <x:v>662</x:v>
      </x:c>
      <x:c r="AH968" s="17" t="n">
        <x:f>SUM(Q968:S968)</x:f>
        <x:v>18</x:v>
      </x:c>
      <x:c r="AI968" s="17" t="n">
        <x:f>SUM(U968:Y968)</x:f>
        <x:v>0</x:v>
      </x:c>
      <x:c r="AJ968" s="17" t="str">
        <x:f>IF(AE968&lt;=34,"≤34",IF(AE968&lt;=44,"35–44",IF(AE968&lt;=54,"45–54",IF(AE968&lt;=64,"55–64","65+"))))</x:f>
        <x:v>≤34</x:v>
      </x:c>
      <x:c r="AK968" s="17" t="str">
        <x:f>IF(AG968&gt;=1000,"High Value",IF(AG968&gt;=300,"Mid Value","Low Value"))</x:f>
        <x:v>Mid Value</x:v>
      </x:c>
      <x:c r="AL968" s="17" t="str">
        <x:f>IF(AND(AI968&gt;=1,I968&lt;=50),"Priority 1",IF(AND(AG968&gt;=1000,I968&lt;=60),"Priority 2",IF(I968&lt;=30,"Priority 3","Nurture")))</x:f>
        <x:v>Nurture</x:v>
      </x:c>
    </x:row>
    <x:row r="969">
      <x:c r="A969" s="16" t="n">
        <x:v>10981</x:v>
      </x:c>
      <x:c r="B969" s="16" t="n">
        <x:v>1988</x:v>
      </x:c>
      <x:c r="C969" s="16" t="str">
        <x:v>Graduation</x:v>
      </x:c>
      <x:c r="D969" s="16" t="str">
        <x:v>Married</x:v>
      </x:c>
      <x:c r="E969" s="16" t="n">
        <x:v>84219</x:v>
      </x:c>
      <x:c r="F969" s="16" t="n">
        <x:v>0</x:v>
      </x:c>
      <x:c r="G969" s="16" t="n">
        <x:v>0</x:v>
      </x:c>
      <x:c r="H969" s="16" t="str">
        <x:v>02-02-2014</x:v>
      </x:c>
      <x:c r="I969" s="16" t="n">
        <x:v>27</x:v>
      </x:c>
      <x:c r="J969" s="16" t="n">
        <x:v>434</x:v>
      </x:c>
      <x:c r="K969" s="16" t="n">
        <x:v>137</x:v>
      </x:c>
      <x:c r="L969" s="16" t="n">
        <x:v>400</x:v>
      </x:c>
      <x:c r="M969" s="16" t="n">
        <x:v>45</x:v>
      </x:c>
      <x:c r="N969" s="16" t="n">
        <x:v>137</x:v>
      </x:c>
      <x:c r="O969" s="16" t="n">
        <x:v>45</x:v>
      </x:c>
      <x:c r="P969" s="16" t="n">
        <x:v>1</x:v>
      </x:c>
      <x:c r="Q969" s="16" t="n">
        <x:v>3</x:v>
      </x:c>
      <x:c r="R969" s="16" t="n">
        <x:v>4</x:v>
      </x:c>
      <x:c r="S969" s="16" t="n">
        <x:v>10</x:v>
      </x:c>
      <x:c r="T969" s="16" t="n">
        <x:v>1</x:v>
      </x:c>
      <x:c r="U969" s="16" t="n">
        <x:v>0</x:v>
      </x:c>
      <x:c r="V969" s="16" t="n">
        <x:v>0</x:v>
      </x:c>
      <x:c r="W969" s="16" t="n">
        <x:v>0</x:v>
      </x:c>
      <x:c r="X969" s="16" t="n">
        <x:v>0</x:v>
      </x:c>
      <x:c r="Y969" s="16" t="n">
        <x:v>0</x:v>
      </x:c>
      <x:c r="Z969" s="16" t="n">
        <x:v>0</x:v>
      </x:c>
      <x:c r="AA969" s="16" t="n">
        <x:v>3</x:v>
      </x:c>
      <x:c r="AB969" s="16" t="n">
        <x:v>11</x:v>
      </x:c>
      <x:c r="AC969" s="16" t="n">
        <x:v>0</x:v>
      </x:c>
      <x:c r="AD969" s="21" t="n">
        <x:f>IF(E969="",MEDIAN($E$2:$E$2237),E969)</x:f>
        <x:v>84219</x:v>
      </x:c>
      <x:c r="AE969" s="17" t="n">
        <x:f>2014-B969</x:f>
        <x:v>26</x:v>
      </x:c>
      <x:c r="AF969" s="17" t="n">
        <x:f>F969+G969</x:f>
        <x:v>0</x:v>
      </x:c>
      <x:c r="AG969" s="21" t="n">
        <x:f>SUM(J969:O969)</x:f>
        <x:v>1198</x:v>
      </x:c>
      <x:c r="AH969" s="17" t="n">
        <x:f>SUM(Q969:S969)</x:f>
        <x:v>17</x:v>
      </x:c>
      <x:c r="AI969" s="17" t="n">
        <x:f>SUM(U969:Y969)</x:f>
        <x:v>0</x:v>
      </x:c>
      <x:c r="AJ969" s="17" t="str">
        <x:f>IF(AE969&lt;=34,"≤34",IF(AE969&lt;=44,"35–44",IF(AE969&lt;=54,"45–54",IF(AE969&lt;=64,"55–64","65+"))))</x:f>
        <x:v>≤34</x:v>
      </x:c>
      <x:c r="AK969" s="17" t="str">
        <x:f>IF(AG969&gt;=1000,"High Value",IF(AG969&gt;=300,"Mid Value","Low Value"))</x:f>
        <x:v>High Value</x:v>
      </x:c>
      <x:c r="AL969" s="17" t="str">
        <x:f>IF(AND(AI969&gt;=1,I969&lt;=50),"Priority 1",IF(AND(AG969&gt;=1000,I969&lt;=60),"Priority 2",IF(I969&lt;=30,"Priority 3","Nurture")))</x:f>
        <x:v>Priority 2</x:v>
      </x:c>
    </x:row>
    <x:row r="970">
      <x:c r="A970" s="16" t="n">
        <x:v>1734</x:v>
      </x:c>
      <x:c r="B970" s="16" t="n">
        <x:v>1968</x:v>
      </x:c>
      <x:c r="C970" s="16" t="str">
        <x:v>PhD</x:v>
      </x:c>
      <x:c r="D970" s="16" t="str">
        <x:v>Together</x:v>
      </x:c>
      <x:c r="E970" s="16" t="n">
        <x:v>40706</x:v>
      </x:c>
      <x:c r="F970" s="16" t="n">
        <x:v>2</x:v>
      </x:c>
      <x:c r="G970" s="16" t="n">
        <x:v>1</x:v>
      </x:c>
      <x:c r="H970" s="16" t="str">
        <x:v>17-01-2013</x:v>
      </x:c>
      <x:c r="I970" s="16" t="n">
        <x:v>37</x:v>
      </x:c>
      <x:c r="J970" s="16" t="n">
        <x:v>59</x:v>
      </x:c>
      <x:c r="K970" s="16" t="n">
        <x:v>0</x:v>
      </x:c>
      <x:c r="L970" s="16" t="n">
        <x:v>11</x:v>
      </x:c>
      <x:c r="M970" s="16" t="n">
        <x:v>4</x:v>
      </x:c>
      <x:c r="N970" s="16" t="n">
        <x:v>2</x:v>
      </x:c>
      <x:c r="O970" s="16" t="n">
        <x:v>5</x:v>
      </x:c>
      <x:c r="P970" s="16" t="n">
        <x:v>4</x:v>
      </x:c>
      <x:c r="Q970" s="16" t="n">
        <x:v>3</x:v>
      </x:c>
      <x:c r="R970" s="16" t="n">
        <x:v>0</x:v>
      </x:c>
      <x:c r="S970" s="16" t="n">
        <x:v>4</x:v>
      </x:c>
      <x:c r="T970" s="16" t="n">
        <x:v>7</x:v>
      </x:c>
      <x:c r="U970" s="16" t="n">
        <x:v>0</x:v>
      </x:c>
      <x:c r="V970" s="16" t="n">
        <x:v>0</x:v>
      </x:c>
      <x:c r="W970" s="16" t="n">
        <x:v>0</x:v>
      </x:c>
      <x:c r="X970" s="16" t="n">
        <x:v>0</x:v>
      </x:c>
      <x:c r="Y970" s="16" t="n">
        <x:v>0</x:v>
      </x:c>
      <x:c r="Z970" s="16" t="n">
        <x:v>0</x:v>
      </x:c>
      <x:c r="AA970" s="16" t="n">
        <x:v>3</x:v>
      </x:c>
      <x:c r="AB970" s="16" t="n">
        <x:v>11</x:v>
      </x:c>
      <x:c r="AC970" s="16" t="n">
        <x:v>0</x:v>
      </x:c>
      <x:c r="AD970" s="21" t="n">
        <x:f>IF(E970="",MEDIAN($E$2:$E$2237),E970)</x:f>
        <x:v>40706</x:v>
      </x:c>
      <x:c r="AE970" s="17" t="n">
        <x:f>2014-B970</x:f>
        <x:v>46</x:v>
      </x:c>
      <x:c r="AF970" s="17" t="n">
        <x:f>F970+G970</x:f>
        <x:v>3</x:v>
      </x:c>
      <x:c r="AG970" s="21" t="n">
        <x:f>SUM(J970:O970)</x:f>
        <x:v>81</x:v>
      </x:c>
      <x:c r="AH970" s="17" t="n">
        <x:f>SUM(Q970:S970)</x:f>
        <x:v>7</x:v>
      </x:c>
      <x:c r="AI970" s="17" t="n">
        <x:f>SUM(U970:Y970)</x:f>
        <x:v>0</x:v>
      </x:c>
      <x:c r="AJ970" s="17" t="str">
        <x:f>IF(AE970&lt;=34,"≤34",IF(AE970&lt;=44,"35–44",IF(AE970&lt;=54,"45–54",IF(AE970&lt;=64,"55–64","65+"))))</x:f>
        <x:v>45–54</x:v>
      </x:c>
      <x:c r="AK970" s="17" t="str">
        <x:f>IF(AG970&gt;=1000,"High Value",IF(AG970&gt;=300,"Mid Value","Low Value"))</x:f>
        <x:v>Low Value</x:v>
      </x:c>
      <x:c r="AL970" s="17" t="str">
        <x:f>IF(AND(AI970&gt;=1,I970&lt;=50),"Priority 1",IF(AND(AG970&gt;=1000,I970&lt;=60),"Priority 2",IF(I970&lt;=30,"Priority 3","Nurture")))</x:f>
        <x:v>Nurture</x:v>
      </x:c>
    </x:row>
    <x:row r="971">
      <x:c r="A971" s="16" t="n">
        <x:v>10995</x:v>
      </x:c>
      <x:c r="B971" s="16" t="n">
        <x:v>1988</x:v>
      </x:c>
      <x:c r="C971" s="16" t="str">
        <x:v>2n Cycle</x:v>
      </x:c>
      <x:c r="D971" s="16" t="str">
        <x:v>Married</x:v>
      </x:c>
      <x:c r="E971" s="16" t="n">
        <x:v>15716</x:v>
      </x:c>
      <x:c r="F971" s="16" t="n">
        <x:v>1</x:v>
      </x:c>
      <x:c r="G971" s="16" t="n">
        <x:v>0</x:v>
      </x:c>
      <x:c r="H971" s="16" t="str">
        <x:v>12-11-2012</x:v>
      </x:c>
      <x:c r="I971" s="16" t="n">
        <x:v>8</x:v>
      </x:c>
      <x:c r="J971" s="16" t="n">
        <x:v>16</x:v>
      </x:c>
      <x:c r="K971" s="16" t="n">
        <x:v>5</x:v>
      </x:c>
      <x:c r="L971" s="16" t="n">
        <x:v>30</x:v>
      </x:c>
      <x:c r="M971" s="16" t="n">
        <x:v>8</x:v>
      </x:c>
      <x:c r="N971" s="16" t="n">
        <x:v>7</x:v>
      </x:c>
      <x:c r="O971" s="16" t="n">
        <x:v>26</x:v>
      </x:c>
      <x:c r="P971" s="16" t="n">
        <x:v>3</x:v>
      </x:c>
      <x:c r="Q971" s="16" t="n">
        <x:v>3</x:v>
      </x:c>
      <x:c r="R971" s="16" t="n">
        <x:v>0</x:v>
      </x:c>
      <x:c r="S971" s="16" t="n">
        <x:v>4</x:v>
      </x:c>
      <x:c r="T971" s="16" t="n">
        <x:v>8</x:v>
      </x:c>
      <x:c r="U971" s="16" t="n">
        <x:v>0</x:v>
      </x:c>
      <x:c r="V971" s="16" t="n">
        <x:v>0</x:v>
      </x:c>
      <x:c r="W971" s="16" t="n">
        <x:v>0</x:v>
      </x:c>
      <x:c r="X971" s="16" t="n">
        <x:v>0</x:v>
      </x:c>
      <x:c r="Y971" s="16" t="n">
        <x:v>0</x:v>
      </x:c>
      <x:c r="Z971" s="16" t="n">
        <x:v>1</x:v>
      </x:c>
      <x:c r="AA971" s="16" t="n">
        <x:v>3</x:v>
      </x:c>
      <x:c r="AB971" s="16" t="n">
        <x:v>11</x:v>
      </x:c>
      <x:c r="AC971" s="16" t="n">
        <x:v>0</x:v>
      </x:c>
      <x:c r="AD971" s="21" t="n">
        <x:f>IF(E971="",MEDIAN($E$2:$E$2237),E971)</x:f>
        <x:v>15716</x:v>
      </x:c>
      <x:c r="AE971" s="17" t="n">
        <x:f>2014-B971</x:f>
        <x:v>26</x:v>
      </x:c>
      <x:c r="AF971" s="17" t="n">
        <x:f>F971+G971</x:f>
        <x:v>1</x:v>
      </x:c>
      <x:c r="AG971" s="21" t="n">
        <x:f>SUM(J971:O971)</x:f>
        <x:v>92</x:v>
      </x:c>
      <x:c r="AH971" s="17" t="n">
        <x:f>SUM(Q971:S971)</x:f>
        <x:v>7</x:v>
      </x:c>
      <x:c r="AI971" s="17" t="n">
        <x:f>SUM(U971:Y971)</x:f>
        <x:v>0</x:v>
      </x:c>
      <x:c r="AJ971" s="17" t="str">
        <x:f>IF(AE971&lt;=34,"≤34",IF(AE971&lt;=44,"35–44",IF(AE971&lt;=54,"45–54",IF(AE971&lt;=64,"55–64","65+"))))</x:f>
        <x:v>≤34</x:v>
      </x:c>
      <x:c r="AK971" s="17" t="str">
        <x:f>IF(AG971&gt;=1000,"High Value",IF(AG971&gt;=300,"Mid Value","Low Value"))</x:f>
        <x:v>Low Value</x:v>
      </x:c>
      <x:c r="AL971" s="17" t="str">
        <x:f>IF(AND(AI971&gt;=1,I971&lt;=50),"Priority 1",IF(AND(AG971&gt;=1000,I971&lt;=60),"Priority 2",IF(I971&lt;=30,"Priority 3","Nurture")))</x:f>
        <x:v>Priority 3</x:v>
      </x:c>
    </x:row>
    <x:row r="972">
      <x:c r="A972" s="16" t="n">
        <x:v>6357</x:v>
      </x:c>
      <x:c r="B972" s="16" t="n">
        <x:v>1959</x:v>
      </x:c>
      <x:c r="C972" s="16" t="str">
        <x:v>2n Cycle</x:v>
      </x:c>
      <x:c r="D972" s="16" t="str">
        <x:v>Divorced</x:v>
      </x:c>
      <x:c r="E972" s="16" t="n">
        <x:v>59052</x:v>
      </x:c>
      <x:c r="F972" s="16" t="n">
        <x:v>0</x:v>
      </x:c>
      <x:c r="G972" s="16" t="n">
        <x:v>1</x:v>
      </x:c>
      <x:c r="H972" s="16" t="str">
        <x:v>17-11-2013</x:v>
      </x:c>
      <x:c r="I972" s="16" t="n">
        <x:v>29</x:v>
      </x:c>
      <x:c r="J972" s="16" t="n">
        <x:v>230</x:v>
      </x:c>
      <x:c r="K972" s="16" t="n">
        <x:v>35</x:v>
      </x:c>
      <x:c r="L972" s="16" t="n">
        <x:v>75</x:v>
      </x:c>
      <x:c r="M972" s="16" t="n">
        <x:v>63</x:v>
      </x:c>
      <x:c r="N972" s="16" t="n">
        <x:v>57</x:v>
      </x:c>
      <x:c r="O972" s="16" t="n">
        <x:v>31</x:v>
      </x:c>
      <x:c r="P972" s="16" t="n">
        <x:v>3</x:v>
      </x:c>
      <x:c r="Q972" s="16" t="n">
        <x:v>7</x:v>
      </x:c>
      <x:c r="R972" s="16" t="n">
        <x:v>1</x:v>
      </x:c>
      <x:c r="S972" s="16" t="n">
        <x:v>7</x:v>
      </x:c>
      <x:c r="T972" s="16" t="n">
        <x:v>5</x:v>
      </x:c>
      <x:c r="U972" s="16" t="n">
        <x:v>0</x:v>
      </x:c>
      <x:c r="V972" s="16" t="n">
        <x:v>0</x:v>
      </x:c>
      <x:c r="W972" s="16" t="n">
        <x:v>0</x:v>
      </x:c>
      <x:c r="X972" s="16" t="n">
        <x:v>0</x:v>
      </x:c>
      <x:c r="Y972" s="16" t="n">
        <x:v>0</x:v>
      </x:c>
      <x:c r="Z972" s="16" t="n">
        <x:v>0</x:v>
      </x:c>
      <x:c r="AA972" s="16" t="n">
        <x:v>3</x:v>
      </x:c>
      <x:c r="AB972" s="16" t="n">
        <x:v>11</x:v>
      </x:c>
      <x:c r="AC972" s="16" t="n">
        <x:v>0</x:v>
      </x:c>
      <x:c r="AD972" s="21" t="n">
        <x:f>IF(E972="",MEDIAN($E$2:$E$2237),E972)</x:f>
        <x:v>59052</x:v>
      </x:c>
      <x:c r="AE972" s="17" t="n">
        <x:f>2014-B972</x:f>
        <x:v>55</x:v>
      </x:c>
      <x:c r="AF972" s="17" t="n">
        <x:f>F972+G972</x:f>
        <x:v>1</x:v>
      </x:c>
      <x:c r="AG972" s="21" t="n">
        <x:f>SUM(J972:O972)</x:f>
        <x:v>491</x:v>
      </x:c>
      <x:c r="AH972" s="17" t="n">
        <x:f>SUM(Q972:S972)</x:f>
        <x:v>15</x:v>
      </x:c>
      <x:c r="AI972" s="17" t="n">
        <x:f>SUM(U972:Y972)</x:f>
        <x:v>0</x:v>
      </x:c>
      <x:c r="AJ972" s="17" t="str">
        <x:f>IF(AE972&lt;=34,"≤34",IF(AE972&lt;=44,"35–44",IF(AE972&lt;=54,"45–54",IF(AE972&lt;=64,"55–64","65+"))))</x:f>
        <x:v>55–64</x:v>
      </x:c>
      <x:c r="AK972" s="17" t="str">
        <x:f>IF(AG972&gt;=1000,"High Value",IF(AG972&gt;=300,"Mid Value","Low Value"))</x:f>
        <x:v>Mid Value</x:v>
      </x:c>
      <x:c r="AL972" s="17" t="str">
        <x:f>IF(AND(AI972&gt;=1,I972&lt;=50),"Priority 1",IF(AND(AG972&gt;=1000,I972&lt;=60),"Priority 2",IF(I972&lt;=30,"Priority 3","Nurture")))</x:f>
        <x:v>Priority 3</x:v>
      </x:c>
    </x:row>
    <x:row r="973">
      <x:c r="A973" s="16" t="n">
        <x:v>9209</x:v>
      </x:c>
      <x:c r="B973" s="16" t="n">
        <x:v>1971</x:v>
      </x:c>
      <x:c r="C973" s="16" t="str">
        <x:v>Master</x:v>
      </x:c>
      <x:c r="D973" s="16" t="str">
        <x:v>Together</x:v>
      </x:c>
      <x:c r="E973" s="16" t="n">
        <x:v>80573</x:v>
      </x:c>
      <x:c r="F973" s="16" t="n">
        <x:v>0</x:v>
      </x:c>
      <x:c r="G973" s="16" t="n">
        <x:v>0</x:v>
      </x:c>
      <x:c r="H973" s="16" t="str">
        <x:v>14-10-2012</x:v>
      </x:c>
      <x:c r="I973" s="16" t="n">
        <x:v>85</x:v>
      </x:c>
      <x:c r="J973" s="16" t="n">
        <x:v>829</x:v>
      </x:c>
      <x:c r="K973" s="16" t="n">
        <x:v>138</x:v>
      </x:c>
      <x:c r="L973" s="16" t="n">
        <x:v>430</x:v>
      </x:c>
      <x:c r="M973" s="16" t="n">
        <x:v>60</x:v>
      </x:c>
      <x:c r="N973" s="16" t="n">
        <x:v>92</x:v>
      </x:c>
      <x:c r="O973" s="16" t="n">
        <x:v>15</x:v>
      </x:c>
      <x:c r="P973" s="16" t="n">
        <x:v>1</x:v>
      </x:c>
      <x:c r="Q973" s="16" t="n">
        <x:v>4</x:v>
      </x:c>
      <x:c r="R973" s="16" t="n">
        <x:v>6</x:v>
      </x:c>
      <x:c r="S973" s="16" t="n">
        <x:v>13</x:v>
      </x:c>
      <x:c r="T973" s="16" t="n">
        <x:v>2</x:v>
      </x:c>
      <x:c r="U973" s="16" t="n">
        <x:v>0</x:v>
      </x:c>
      <x:c r="V973" s="16" t="n">
        <x:v>0</x:v>
      </x:c>
      <x:c r="W973" s="16" t="n">
        <x:v>0</x:v>
      </x:c>
      <x:c r="X973" s="16" t="n">
        <x:v>0</x:v>
      </x:c>
      <x:c r="Y973" s="16" t="n">
        <x:v>0</x:v>
      </x:c>
      <x:c r="Z973" s="16" t="n">
        <x:v>0</x:v>
      </x:c>
      <x:c r="AA973" s="16" t="n">
        <x:v>3</x:v>
      </x:c>
      <x:c r="AB973" s="16" t="n">
        <x:v>11</x:v>
      </x:c>
      <x:c r="AC973" s="16" t="n">
        <x:v>0</x:v>
      </x:c>
      <x:c r="AD973" s="21" t="n">
        <x:f>IF(E973="",MEDIAN($E$2:$E$2237),E973)</x:f>
        <x:v>80573</x:v>
      </x:c>
      <x:c r="AE973" s="17" t="n">
        <x:f>2014-B973</x:f>
        <x:v>43</x:v>
      </x:c>
      <x:c r="AF973" s="17" t="n">
        <x:f>F973+G973</x:f>
        <x:v>0</x:v>
      </x:c>
      <x:c r="AG973" s="21" t="n">
        <x:f>SUM(J973:O973)</x:f>
        <x:v>1564</x:v>
      </x:c>
      <x:c r="AH973" s="17" t="n">
        <x:f>SUM(Q973:S973)</x:f>
        <x:v>23</x:v>
      </x:c>
      <x:c r="AI973" s="17" t="n">
        <x:f>SUM(U973:Y973)</x:f>
        <x:v>0</x:v>
      </x:c>
      <x:c r="AJ973" s="17" t="str">
        <x:f>IF(AE973&lt;=34,"≤34",IF(AE973&lt;=44,"35–44",IF(AE973&lt;=54,"45–54",IF(AE973&lt;=64,"55–64","65+"))))</x:f>
        <x:v>35–44</x:v>
      </x:c>
      <x:c r="AK973" s="17" t="str">
        <x:f>IF(AG973&gt;=1000,"High Value",IF(AG973&gt;=300,"Mid Value","Low Value"))</x:f>
        <x:v>High Value</x:v>
      </x:c>
      <x:c r="AL973" s="17" t="str">
        <x:f>IF(AND(AI973&gt;=1,I973&lt;=50),"Priority 1",IF(AND(AG973&gt;=1000,I973&lt;=60),"Priority 2",IF(I973&lt;=30,"Priority 3","Nurture")))</x:f>
        <x:v>Nurture</x:v>
      </x:c>
    </x:row>
    <x:row r="974">
      <x:c r="A974" s="16" t="n">
        <x:v>10286</x:v>
      </x:c>
      <x:c r="B974" s="16" t="n">
        <x:v>1962</x:v>
      </x:c>
      <x:c r="C974" s="16" t="str">
        <x:v>Graduation</x:v>
      </x:c>
      <x:c r="D974" s="16" t="str">
        <x:v>Married</x:v>
      </x:c>
      <x:c r="E974" s="16" t="n">
        <x:v>83715</x:v>
      </x:c>
      <x:c r="F974" s="16" t="n">
        <x:v>0</x:v>
      </x:c>
      <x:c r="G974" s="16" t="n">
        <x:v>0</x:v>
      </x:c>
      <x:c r="H974" s="16" t="str">
        <x:v>03-02-2014</x:v>
      </x:c>
      <x:c r="I974" s="16" t="n">
        <x:v>2</x:v>
      </x:c>
      <x:c r="J974" s="16" t="n">
        <x:v>318</x:v>
      </x:c>
      <x:c r="K974" s="16" t="n">
        <x:v>8</x:v>
      </x:c>
      <x:c r="L974" s="16" t="n">
        <x:v>407</x:v>
      </x:c>
      <x:c r="M974" s="16" t="n">
        <x:v>150</x:v>
      </x:c>
      <x:c r="N974" s="16" t="n">
        <x:v>35</x:v>
      </x:c>
      <x:c r="O974" s="16" t="n">
        <x:v>8</x:v>
      </x:c>
      <x:c r="P974" s="16" t="n">
        <x:v>1</x:v>
      </x:c>
      <x:c r="Q974" s="16" t="n">
        <x:v>2</x:v>
      </x:c>
      <x:c r="R974" s="16" t="n">
        <x:v>8</x:v>
      </x:c>
      <x:c r="S974" s="16" t="n">
        <x:v>13</x:v>
      </x:c>
      <x:c r="T974" s="16" t="n">
        <x:v>0</x:v>
      </x:c>
      <x:c r="U974" s="16" t="n">
        <x:v>0</x:v>
      </x:c>
      <x:c r="V974" s="16" t="n">
        <x:v>0</x:v>
      </x:c>
      <x:c r="W974" s="16" t="n">
        <x:v>0</x:v>
      </x:c>
      <x:c r="X974" s="16" t="n">
        <x:v>0</x:v>
      </x:c>
      <x:c r="Y974" s="16" t="n">
        <x:v>0</x:v>
      </x:c>
      <x:c r="Z974" s="16" t="n">
        <x:v>0</x:v>
      </x:c>
      <x:c r="AA974" s="16" t="n">
        <x:v>3</x:v>
      </x:c>
      <x:c r="AB974" s="16" t="n">
        <x:v>11</x:v>
      </x:c>
      <x:c r="AC974" s="16" t="n">
        <x:v>0</x:v>
      </x:c>
      <x:c r="AD974" s="21" t="n">
        <x:f>IF(E974="",MEDIAN($E$2:$E$2237),E974)</x:f>
        <x:v>83715</x:v>
      </x:c>
      <x:c r="AE974" s="17" t="n">
        <x:f>2014-B974</x:f>
        <x:v>52</x:v>
      </x:c>
      <x:c r="AF974" s="17" t="n">
        <x:f>F974+G974</x:f>
        <x:v>0</x:v>
      </x:c>
      <x:c r="AG974" s="21" t="n">
        <x:f>SUM(J974:O974)</x:f>
        <x:v>926</x:v>
      </x:c>
      <x:c r="AH974" s="17" t="n">
        <x:f>SUM(Q974:S974)</x:f>
        <x:v>23</x:v>
      </x:c>
      <x:c r="AI974" s="17" t="n">
        <x:f>SUM(U974:Y974)</x:f>
        <x:v>0</x:v>
      </x:c>
      <x:c r="AJ974" s="17" t="str">
        <x:f>IF(AE974&lt;=34,"≤34",IF(AE974&lt;=44,"35–44",IF(AE974&lt;=54,"45–54",IF(AE974&lt;=64,"55–64","65+"))))</x:f>
        <x:v>45–54</x:v>
      </x:c>
      <x:c r="AK974" s="17" t="str">
        <x:f>IF(AG974&gt;=1000,"High Value",IF(AG974&gt;=300,"Mid Value","Low Value"))</x:f>
        <x:v>Mid Value</x:v>
      </x:c>
      <x:c r="AL974" s="17" t="str">
        <x:f>IF(AND(AI974&gt;=1,I974&lt;=50),"Priority 1",IF(AND(AG974&gt;=1000,I974&lt;=60),"Priority 2",IF(I974&lt;=30,"Priority 3","Nurture")))</x:f>
        <x:v>Priority 3</x:v>
      </x:c>
    </x:row>
    <x:row r="975">
      <x:c r="A975" s="16" t="n">
        <x:v>2611</x:v>
      </x:c>
      <x:c r="B975" s="16" t="n">
        <x:v>1959</x:v>
      </x:c>
      <x:c r="C975" s="16" t="str">
        <x:v>Master</x:v>
      </x:c>
      <x:c r="D975" s="16" t="str">
        <x:v>Together</x:v>
      </x:c>
      <x:c r="E975" s="16" t="n">
        <x:v>82576</x:v>
      </x:c>
      <x:c r="F975" s="16" t="n">
        <x:v>0</x:v>
      </x:c>
      <x:c r="G975" s="16" t="n">
        <x:v>0</x:v>
      </x:c>
      <x:c r="H975" s="16" t="str">
        <x:v>01-08-2012</x:v>
      </x:c>
      <x:c r="I975" s="16" t="n">
        <x:v>66</x:v>
      </x:c>
      <x:c r="J975" s="16" t="n">
        <x:v>1206</x:v>
      </x:c>
      <x:c r="K975" s="16" t="n">
        <x:v>55</x:v>
      </x:c>
      <x:c r="L975" s="16" t="n">
        <x:v>445</x:v>
      </x:c>
      <x:c r="M975" s="16" t="n">
        <x:v>168</x:v>
      </x:c>
      <x:c r="N975" s="16" t="n">
        <x:v>18</x:v>
      </x:c>
      <x:c r="O975" s="16" t="n">
        <x:v>18</x:v>
      </x:c>
      <x:c r="P975" s="16" t="n">
        <x:v>1</x:v>
      </x:c>
      <x:c r="Q975" s="16" t="n">
        <x:v>2</x:v>
      </x:c>
      <x:c r="R975" s="16" t="n">
        <x:v>4</x:v>
      </x:c>
      <x:c r="S975" s="16" t="n">
        <x:v>12</x:v>
      </x:c>
      <x:c r="T975" s="16" t="n">
        <x:v>1</x:v>
      </x:c>
      <x:c r="U975" s="16" t="n">
        <x:v>0</x:v>
      </x:c>
      <x:c r="V975" s="16" t="n">
        <x:v>0</x:v>
      </x:c>
      <x:c r="W975" s="16" t="n">
        <x:v>1</x:v>
      </x:c>
      <x:c r="X975" s="16" t="n">
        <x:v>0</x:v>
      </x:c>
      <x:c r="Y975" s="16" t="n">
        <x:v>0</x:v>
      </x:c>
      <x:c r="Z975" s="16" t="n">
        <x:v>0</x:v>
      </x:c>
      <x:c r="AA975" s="16" t="n">
        <x:v>3</x:v>
      </x:c>
      <x:c r="AB975" s="16" t="n">
        <x:v>11</x:v>
      </x:c>
      <x:c r="AC975" s="16" t="n">
        <x:v>0</x:v>
      </x:c>
      <x:c r="AD975" s="21" t="n">
        <x:f>IF(E975="",MEDIAN($E$2:$E$2237),E975)</x:f>
        <x:v>82576</x:v>
      </x:c>
      <x:c r="AE975" s="17" t="n">
        <x:f>2014-B975</x:f>
        <x:v>55</x:v>
      </x:c>
      <x:c r="AF975" s="17" t="n">
        <x:f>F975+G975</x:f>
        <x:v>0</x:v>
      </x:c>
      <x:c r="AG975" s="21" t="n">
        <x:f>SUM(J975:O975)</x:f>
        <x:v>1910</x:v>
      </x:c>
      <x:c r="AH975" s="17" t="n">
        <x:f>SUM(Q975:S975)</x:f>
        <x:v>18</x:v>
      </x:c>
      <x:c r="AI975" s="17" t="n">
        <x:f>SUM(U975:Y975)</x:f>
        <x:v>1</x:v>
      </x:c>
      <x:c r="AJ975" s="17" t="str">
        <x:f>IF(AE975&lt;=34,"≤34",IF(AE975&lt;=44,"35–44",IF(AE975&lt;=54,"45–54",IF(AE975&lt;=64,"55–64","65+"))))</x:f>
        <x:v>55–64</x:v>
      </x:c>
      <x:c r="AK975" s="17" t="str">
        <x:f>IF(AG975&gt;=1000,"High Value",IF(AG975&gt;=300,"Mid Value","Low Value"))</x:f>
        <x:v>High Value</x:v>
      </x:c>
      <x:c r="AL975" s="17" t="str">
        <x:f>IF(AND(AI975&gt;=1,I975&lt;=50),"Priority 1",IF(AND(AG975&gt;=1000,I975&lt;=60),"Priority 2",IF(I975&lt;=30,"Priority 3","Nurture")))</x:f>
        <x:v>Nurture</x:v>
      </x:c>
    </x:row>
    <x:row r="976">
      <x:c r="A976" s="16" t="n">
        <x:v>1600</x:v>
      </x:c>
      <x:c r="B976" s="16" t="n">
        <x:v>1965</x:v>
      </x:c>
      <x:c r="C976" s="16" t="str">
        <x:v>Master</x:v>
      </x:c>
      <x:c r="D976" s="16" t="str">
        <x:v>Married</x:v>
      </x:c>
      <x:c r="E976" s="16" t="n">
        <x:v>56962</x:v>
      </x:c>
      <x:c r="F976" s="16" t="n">
        <x:v>2</x:v>
      </x:c>
      <x:c r="G976" s="16" t="n">
        <x:v>1</x:v>
      </x:c>
      <x:c r="H976" s="16" t="str">
        <x:v>11-10-2013</x:v>
      </x:c>
      <x:c r="I976" s="16" t="n">
        <x:v>60</x:v>
      </x:c>
      <x:c r="J976" s="16" t="n">
        <x:v>292</x:v>
      </x:c>
      <x:c r="K976" s="16" t="n">
        <x:v>3</x:v>
      </x:c>
      <x:c r="L976" s="16" t="n">
        <x:v>77</x:v>
      </x:c>
      <x:c r="M976" s="16" t="n">
        <x:v>10</x:v>
      </x:c>
      <x:c r="N976" s="16" t="n">
        <x:v>3</x:v>
      </x:c>
      <x:c r="O976" s="16" t="n">
        <x:v>26</x:v>
      </x:c>
      <x:c r="P976" s="16" t="n">
        <x:v>7</x:v>
      </x:c>
      <x:c r="Q976" s="16" t="n">
        <x:v>6</x:v>
      </x:c>
      <x:c r="R976" s="16" t="n">
        <x:v>3</x:v>
      </x:c>
      <x:c r="S976" s="16" t="n">
        <x:v>5</x:v>
      </x:c>
      <x:c r="T976" s="16" t="n">
        <x:v>7</x:v>
      </x:c>
      <x:c r="U976" s="16" t="n">
        <x:v>0</x:v>
      </x:c>
      <x:c r="V976" s="16" t="n">
        <x:v>0</x:v>
      </x:c>
      <x:c r="W976" s="16" t="n">
        <x:v>0</x:v>
      </x:c>
      <x:c r="X976" s="16" t="n">
        <x:v>0</x:v>
      </x:c>
      <x:c r="Y976" s="16" t="n">
        <x:v>0</x:v>
      </x:c>
      <x:c r="Z976" s="16" t="n">
        <x:v>0</x:v>
      </x:c>
      <x:c r="AA976" s="16" t="n">
        <x:v>3</x:v>
      </x:c>
      <x:c r="AB976" s="16" t="n">
        <x:v>11</x:v>
      </x:c>
      <x:c r="AC976" s="16" t="n">
        <x:v>0</x:v>
      </x:c>
      <x:c r="AD976" s="21" t="n">
        <x:f>IF(E976="",MEDIAN($E$2:$E$2237),E976)</x:f>
        <x:v>56962</x:v>
      </x:c>
      <x:c r="AE976" s="17" t="n">
        <x:f>2014-B976</x:f>
        <x:v>49</x:v>
      </x:c>
      <x:c r="AF976" s="17" t="n">
        <x:f>F976+G976</x:f>
        <x:v>3</x:v>
      </x:c>
      <x:c r="AG976" s="21" t="n">
        <x:f>SUM(J976:O976)</x:f>
        <x:v>411</x:v>
      </x:c>
      <x:c r="AH976" s="17" t="n">
        <x:f>SUM(Q976:S976)</x:f>
        <x:v>14</x:v>
      </x:c>
      <x:c r="AI976" s="17" t="n">
        <x:f>SUM(U976:Y976)</x:f>
        <x:v>0</x:v>
      </x:c>
      <x:c r="AJ976" s="17" t="str">
        <x:f>IF(AE976&lt;=34,"≤34",IF(AE976&lt;=44,"35–44",IF(AE976&lt;=54,"45–54",IF(AE976&lt;=64,"55–64","65+"))))</x:f>
        <x:v>45–54</x:v>
      </x:c>
      <x:c r="AK976" s="17" t="str">
        <x:f>IF(AG976&gt;=1000,"High Value",IF(AG976&gt;=300,"Mid Value","Low Value"))</x:f>
        <x:v>Mid Value</x:v>
      </x:c>
      <x:c r="AL976" s="17" t="str">
        <x:f>IF(AND(AI976&gt;=1,I976&lt;=50),"Priority 1",IF(AND(AG976&gt;=1000,I976&lt;=60),"Priority 2",IF(I976&lt;=30,"Priority 3","Nurture")))</x:f>
        <x:v>Nurture</x:v>
      </x:c>
    </x:row>
    <x:row r="977">
      <x:c r="A977" s="16" t="n">
        <x:v>3308</x:v>
      </x:c>
      <x:c r="B977" s="16" t="n">
        <x:v>1952</x:v>
      </x:c>
      <x:c r="C977" s="16" t="str">
        <x:v>Graduation</x:v>
      </x:c>
      <x:c r="D977" s="16" t="str">
        <x:v>Married</x:v>
      </x:c>
      <x:c r="E977" s="16" t="n">
        <x:v>35704</x:v>
      </x:c>
      <x:c r="F977" s="16" t="n">
        <x:v>1</x:v>
      </x:c>
      <x:c r="G977" s="16" t="n">
        <x:v>1</x:v>
      </x:c>
      <x:c r="H977" s="16" t="str">
        <x:v>03-01-2014</x:v>
      </x:c>
      <x:c r="I977" s="16" t="n">
        <x:v>54</x:v>
      </x:c>
      <x:c r="J977" s="16" t="n">
        <x:v>30</x:v>
      </x:c>
      <x:c r="K977" s="16" t="n">
        <x:v>9</x:v>
      </x:c>
      <x:c r="L977" s="16" t="n">
        <x:v>12</x:v>
      </x:c>
      <x:c r="M977" s="16" t="n">
        <x:v>2</x:v>
      </x:c>
      <x:c r="N977" s="16" t="n">
        <x:v>11</x:v>
      </x:c>
      <x:c r="O977" s="16" t="n">
        <x:v>30</x:v>
      </x:c>
      <x:c r="P977" s="16" t="n">
        <x:v>3</x:v>
      </x:c>
      <x:c r="Q977" s="16" t="n">
        <x:v>2</x:v>
      </x:c>
      <x:c r="R977" s="16" t="n">
        <x:v>0</x:v>
      </x:c>
      <x:c r="S977" s="16" t="n">
        <x:v>4</x:v>
      </x:c>
      <x:c r="T977" s="16" t="n">
        <x:v>4</x:v>
      </x:c>
      <x:c r="U977" s="16" t="n">
        <x:v>0</x:v>
      </x:c>
      <x:c r="V977" s="16" t="n">
        <x:v>0</x:v>
      </x:c>
      <x:c r="W977" s="16" t="n">
        <x:v>0</x:v>
      </x:c>
      <x:c r="X977" s="16" t="n">
        <x:v>0</x:v>
      </x:c>
      <x:c r="Y977" s="16" t="n">
        <x:v>0</x:v>
      </x:c>
      <x:c r="Z977" s="16" t="n">
        <x:v>0</x:v>
      </x:c>
      <x:c r="AA977" s="16" t="n">
        <x:v>3</x:v>
      </x:c>
      <x:c r="AB977" s="16" t="n">
        <x:v>11</x:v>
      </x:c>
      <x:c r="AC977" s="16" t="n">
        <x:v>0</x:v>
      </x:c>
      <x:c r="AD977" s="21" t="n">
        <x:f>IF(E977="",MEDIAN($E$2:$E$2237),E977)</x:f>
        <x:v>35704</x:v>
      </x:c>
      <x:c r="AE977" s="17" t="n">
        <x:f>2014-B977</x:f>
        <x:v>62</x:v>
      </x:c>
      <x:c r="AF977" s="17" t="n">
        <x:f>F977+G977</x:f>
        <x:v>2</x:v>
      </x:c>
      <x:c r="AG977" s="21" t="n">
        <x:f>SUM(J977:O977)</x:f>
        <x:v>94</x:v>
      </x:c>
      <x:c r="AH977" s="17" t="n">
        <x:f>SUM(Q977:S977)</x:f>
        <x:v>6</x:v>
      </x:c>
      <x:c r="AI977" s="17" t="n">
        <x:f>SUM(U977:Y977)</x:f>
        <x:v>0</x:v>
      </x:c>
      <x:c r="AJ977" s="17" t="str">
        <x:f>IF(AE977&lt;=34,"≤34",IF(AE977&lt;=44,"35–44",IF(AE977&lt;=54,"45–54",IF(AE977&lt;=64,"55–64","65+"))))</x:f>
        <x:v>55–64</x:v>
      </x:c>
      <x:c r="AK977" s="17" t="str">
        <x:f>IF(AG977&gt;=1000,"High Value",IF(AG977&gt;=300,"Mid Value","Low Value"))</x:f>
        <x:v>Low Value</x:v>
      </x:c>
      <x:c r="AL977" s="17" t="str">
        <x:f>IF(AND(AI977&gt;=1,I977&lt;=50),"Priority 1",IF(AND(AG977&gt;=1000,I977&lt;=60),"Priority 2",IF(I977&lt;=30,"Priority 3","Nurture")))</x:f>
        <x:v>Nurture</x:v>
      </x:c>
    </x:row>
    <x:row r="978">
      <x:c r="A978" s="16" t="n">
        <x:v>5407</x:v>
      </x:c>
      <x:c r="B978" s="16" t="n">
        <x:v>1954</x:v>
      </x:c>
      <x:c r="C978" s="16" t="str">
        <x:v>Graduation</x:v>
      </x:c>
      <x:c r="D978" s="16" t="str">
        <x:v>Together</x:v>
      </x:c>
      <x:c r="E978" s="16" t="n">
        <x:v>53103</x:v>
      </x:c>
      <x:c r="F978" s="16" t="n">
        <x:v>0</x:v>
      </x:c>
      <x:c r="G978" s="16" t="n">
        <x:v>1</x:v>
      </x:c>
      <x:c r="H978" s="16" t="str">
        <x:v>12-09-2013</x:v>
      </x:c>
      <x:c r="I978" s="16" t="n">
        <x:v>70</x:v>
      </x:c>
      <x:c r="J978" s="16" t="n">
        <x:v>729</x:v>
      </x:c>
      <x:c r="K978" s="16" t="n">
        <x:v>17</x:v>
      </x:c>
      <x:c r="L978" s="16" t="n">
        <x:v>133</x:v>
      </x:c>
      <x:c r="M978" s="16" t="n">
        <x:v>11</x:v>
      </x:c>
      <x:c r="N978" s="16" t="n">
        <x:v>0</x:v>
      </x:c>
      <x:c r="O978" s="16" t="n">
        <x:v>195</x:v>
      </x:c>
      <x:c r="P978" s="16" t="n">
        <x:v>5</x:v>
      </x:c>
      <x:c r="Q978" s="16" t="n">
        <x:v>10</x:v>
      </x:c>
      <x:c r="R978" s="16" t="n">
        <x:v>6</x:v>
      </x:c>
      <x:c r="S978" s="16" t="n">
        <x:v>7</x:v>
      </x:c>
      <x:c r="T978" s="16" t="n">
        <x:v>7</x:v>
      </x:c>
      <x:c r="U978" s="16" t="n">
        <x:v>1</x:v>
      </x:c>
      <x:c r="V978" s="16" t="n">
        <x:v>0</x:v>
      </x:c>
      <x:c r="W978" s="16" t="n">
        <x:v>0</x:v>
      </x:c>
      <x:c r="X978" s="16" t="n">
        <x:v>0</x:v>
      </x:c>
      <x:c r="Y978" s="16" t="n">
        <x:v>0</x:v>
      </x:c>
      <x:c r="Z978" s="16" t="n">
        <x:v>0</x:v>
      </x:c>
      <x:c r="AA978" s="16" t="n">
        <x:v>3</x:v>
      </x:c>
      <x:c r="AB978" s="16" t="n">
        <x:v>11</x:v>
      </x:c>
      <x:c r="AC978" s="16" t="n">
        <x:v>0</x:v>
      </x:c>
      <x:c r="AD978" s="21" t="n">
        <x:f>IF(E978="",MEDIAN($E$2:$E$2237),E978)</x:f>
        <x:v>53103</x:v>
      </x:c>
      <x:c r="AE978" s="17" t="n">
        <x:f>2014-B978</x:f>
        <x:v>60</x:v>
      </x:c>
      <x:c r="AF978" s="17" t="n">
        <x:f>F978+G978</x:f>
        <x:v>1</x:v>
      </x:c>
      <x:c r="AG978" s="21" t="n">
        <x:f>SUM(J978:O978)</x:f>
        <x:v>1085</x:v>
      </x:c>
      <x:c r="AH978" s="17" t="n">
        <x:f>SUM(Q978:S978)</x:f>
        <x:v>23</x:v>
      </x:c>
      <x:c r="AI978" s="17" t="n">
        <x:f>SUM(U978:Y978)</x:f>
        <x:v>1</x:v>
      </x:c>
      <x:c r="AJ978" s="17" t="str">
        <x:f>IF(AE978&lt;=34,"≤34",IF(AE978&lt;=44,"35–44",IF(AE978&lt;=54,"45–54",IF(AE978&lt;=64,"55–64","65+"))))</x:f>
        <x:v>55–64</x:v>
      </x:c>
      <x:c r="AK978" s="17" t="str">
        <x:f>IF(AG978&gt;=1000,"High Value",IF(AG978&gt;=300,"Mid Value","Low Value"))</x:f>
        <x:v>High Value</x:v>
      </x:c>
      <x:c r="AL978" s="17" t="str">
        <x:f>IF(AND(AI978&gt;=1,I978&lt;=50),"Priority 1",IF(AND(AG978&gt;=1000,I978&lt;=60),"Priority 2",IF(I978&lt;=30,"Priority 3","Nurture")))</x:f>
        <x:v>Nurture</x:v>
      </x:c>
    </x:row>
    <x:row r="979">
      <x:c r="A979" s="16" t="n">
        <x:v>2166</x:v>
      </x:c>
      <x:c r="B979" s="16" t="n">
        <x:v>1960</x:v>
      </x:c>
      <x:c r="C979" s="16" t="str">
        <x:v>2n Cycle</x:v>
      </x:c>
      <x:c r="D979" s="16" t="str">
        <x:v>Widow</x:v>
      </x:c>
      <x:c r="E979" s="16" t="n">
        <x:v>46779</x:v>
      </x:c>
      <x:c r="F979" s="16" t="n">
        <x:v>1</x:v>
      </x:c>
      <x:c r="G979" s="16" t="n">
        <x:v>1</x:v>
      </x:c>
      <x:c r="H979" s="16" t="str">
        <x:v>12-07-2013</x:v>
      </x:c>
      <x:c r="I979" s="16" t="n">
        <x:v>55</x:v>
      </x:c>
      <x:c r="J979" s="16" t="n">
        <x:v>12</x:v>
      </x:c>
      <x:c r="K979" s="16" t="n">
        <x:v>1</x:v>
      </x:c>
      <x:c r="L979" s="16" t="n">
        <x:v>3</x:v>
      </x:c>
      <x:c r="M979" s="16" t="n">
        <x:v>0</x:v>
      </x:c>
      <x:c r="N979" s="16" t="n">
        <x:v>0</x:v>
      </x:c>
      <x:c r="O979" s="16" t="n">
        <x:v>7</x:v>
      </x:c>
      <x:c r="P979" s="16" t="n">
        <x:v>1</x:v>
      </x:c>
      <x:c r="Q979" s="16" t="n">
        <x:v>0</x:v>
      </x:c>
      <x:c r="R979" s="16" t="n">
        <x:v>1</x:v>
      </x:c>
      <x:c r="S979" s="16" t="n">
        <x:v>2</x:v>
      </x:c>
      <x:c r="T979" s="16" t="n">
        <x:v>4</x:v>
      </x:c>
      <x:c r="U979" s="16" t="n">
        <x:v>0</x:v>
      </x:c>
      <x:c r="V979" s="16" t="n">
        <x:v>0</x:v>
      </x:c>
      <x:c r="W979" s="16" t="n">
        <x:v>0</x:v>
      </x:c>
      <x:c r="X979" s="16" t="n">
        <x:v>0</x:v>
      </x:c>
      <x:c r="Y979" s="16" t="n">
        <x:v>0</x:v>
      </x:c>
      <x:c r="Z979" s="16" t="n">
        <x:v>0</x:v>
      </x:c>
      <x:c r="AA979" s="16" t="n">
        <x:v>3</x:v>
      </x:c>
      <x:c r="AB979" s="16" t="n">
        <x:v>11</x:v>
      </x:c>
      <x:c r="AC979" s="16" t="n">
        <x:v>0</x:v>
      </x:c>
      <x:c r="AD979" s="21" t="n">
        <x:f>IF(E979="",MEDIAN($E$2:$E$2237),E979)</x:f>
        <x:v>46779</x:v>
      </x:c>
      <x:c r="AE979" s="17" t="n">
        <x:f>2014-B979</x:f>
        <x:v>54</x:v>
      </x:c>
      <x:c r="AF979" s="17" t="n">
        <x:f>F979+G979</x:f>
        <x:v>2</x:v>
      </x:c>
      <x:c r="AG979" s="21" t="n">
        <x:f>SUM(J979:O979)</x:f>
        <x:v>23</x:v>
      </x:c>
      <x:c r="AH979" s="17" t="n">
        <x:f>SUM(Q979:S979)</x:f>
        <x:v>3</x:v>
      </x:c>
      <x:c r="AI979" s="17" t="n">
        <x:f>SUM(U979:Y979)</x:f>
        <x:v>0</x:v>
      </x:c>
      <x:c r="AJ979" s="17" t="str">
        <x:f>IF(AE979&lt;=34,"≤34",IF(AE979&lt;=44,"35–44",IF(AE979&lt;=54,"45–54",IF(AE979&lt;=64,"55–64","65+"))))</x:f>
        <x:v>45–54</x:v>
      </x:c>
      <x:c r="AK979" s="17" t="str">
        <x:f>IF(AG979&gt;=1000,"High Value",IF(AG979&gt;=300,"Mid Value","Low Value"))</x:f>
        <x:v>Low Value</x:v>
      </x:c>
      <x:c r="AL979" s="17" t="str">
        <x:f>IF(AND(AI979&gt;=1,I979&lt;=50),"Priority 1",IF(AND(AG979&gt;=1000,I979&lt;=60),"Priority 2",IF(I979&lt;=30,"Priority 3","Nurture")))</x:f>
        <x:v>Nurture</x:v>
      </x:c>
    </x:row>
    <x:row r="980">
      <x:c r="A980" s="16" t="n">
        <x:v>3955</x:v>
      </x:c>
      <x:c r="B980" s="16" t="n">
        <x:v>1965</x:v>
      </x:c>
      <x:c r="C980" s="16" t="str">
        <x:v>Graduation</x:v>
      </x:c>
      <x:c r="D980" s="16" t="str">
        <x:v>Divorced</x:v>
      </x:c>
      <x:c r="E980" s="16" t="n">
        <x:v>4861</x:v>
      </x:c>
      <x:c r="F980" s="16" t="n">
        <x:v>0</x:v>
      </x:c>
      <x:c r="G980" s="16" t="n">
        <x:v>0</x:v>
      </x:c>
      <x:c r="H980" s="16" t="str">
        <x:v>22-06-2014</x:v>
      </x:c>
      <x:c r="I980" s="16" t="n">
        <x:v>20</x:v>
      </x:c>
      <x:c r="J980" s="16" t="n">
        <x:v>2</x:v>
      </x:c>
      <x:c r="K980" s="16" t="n">
        <x:v>1</x:v>
      </x:c>
      <x:c r="L980" s="16" t="n">
        <x:v>1</x:v>
      </x:c>
      <x:c r="M980" s="16" t="n">
        <x:v>1</x:v>
      </x:c>
      <x:c r="N980" s="16" t="n">
        <x:v>0</x:v>
      </x:c>
      <x:c r="O980" s="16" t="n">
        <x:v>1</x:v>
      </x:c>
      <x:c r="P980" s="16" t="n">
        <x:v>0</x:v>
      </x:c>
      <x:c r="Q980" s="16" t="n">
        <x:v>0</x:v>
      </x:c>
      <x:c r="R980" s="16" t="n">
        <x:v>0</x:v>
      </x:c>
      <x:c r="S980" s="16" t="n">
        <x:v>0</x:v>
      </x:c>
      <x:c r="T980" s="16" t="n">
        <x:v>14</x:v>
      </x:c>
      <x:c r="U980" s="16" t="n">
        <x:v>0</x:v>
      </x:c>
      <x:c r="V980" s="16" t="n">
        <x:v>0</x:v>
      </x:c>
      <x:c r="W980" s="16" t="n">
        <x:v>0</x:v>
      </x:c>
      <x:c r="X980" s="16" t="n">
        <x:v>0</x:v>
      </x:c>
      <x:c r="Y980" s="16" t="n">
        <x:v>0</x:v>
      </x:c>
      <x:c r="Z980" s="16" t="n">
        <x:v>0</x:v>
      </x:c>
      <x:c r="AA980" s="16" t="n">
        <x:v>3</x:v>
      </x:c>
      <x:c r="AB980" s="16" t="n">
        <x:v>11</x:v>
      </x:c>
      <x:c r="AC980" s="16" t="n">
        <x:v>0</x:v>
      </x:c>
      <x:c r="AD980" s="21" t="n">
        <x:f>IF(E980="",MEDIAN($E$2:$E$2237),E980)</x:f>
        <x:v>4861</x:v>
      </x:c>
      <x:c r="AE980" s="17" t="n">
        <x:f>2014-B980</x:f>
        <x:v>49</x:v>
      </x:c>
      <x:c r="AF980" s="17" t="n">
        <x:f>F980+G980</x:f>
        <x:v>0</x:v>
      </x:c>
      <x:c r="AG980" s="21" t="n">
        <x:f>SUM(J980:O980)</x:f>
        <x:v>6</x:v>
      </x:c>
      <x:c r="AH980" s="17" t="n">
        <x:f>SUM(Q980:S980)</x:f>
        <x:v>0</x:v>
      </x:c>
      <x:c r="AI980" s="17" t="n">
        <x:f>SUM(U980:Y980)</x:f>
        <x:v>0</x:v>
      </x:c>
      <x:c r="AJ980" s="17" t="str">
        <x:f>IF(AE980&lt;=34,"≤34",IF(AE980&lt;=44,"35–44",IF(AE980&lt;=54,"45–54",IF(AE980&lt;=64,"55–64","65+"))))</x:f>
        <x:v>45–54</x:v>
      </x:c>
      <x:c r="AK980" s="17" t="str">
        <x:f>IF(AG980&gt;=1000,"High Value",IF(AG980&gt;=300,"Mid Value","Low Value"))</x:f>
        <x:v>Low Value</x:v>
      </x:c>
      <x:c r="AL980" s="17" t="str">
        <x:f>IF(AND(AI980&gt;=1,I980&lt;=50),"Priority 1",IF(AND(AG980&gt;=1000,I980&lt;=60),"Priority 2",IF(I980&lt;=30,"Priority 3","Nurture")))</x:f>
        <x:v>Priority 3</x:v>
      </x:c>
    </x:row>
    <x:row r="981">
      <x:c r="A981" s="16" t="n">
        <x:v>6634</x:v>
      </x:c>
      <x:c r="B981" s="16" t="n">
        <x:v>1979</x:v>
      </x:c>
      <x:c r="C981" s="16" t="str">
        <x:v>Master</x:v>
      </x:c>
      <x:c r="D981" s="16" t="str">
        <x:v>Divorced</x:v>
      </x:c>
      <x:c r="E981" s="16" t="n">
        <x:v>33462</x:v>
      </x:c>
      <x:c r="F981" s="16" t="n">
        <x:v>1</x:v>
      </x:c>
      <x:c r="G981" s="16" t="n">
        <x:v>0</x:v>
      </x:c>
      <x:c r="H981" s="16" t="str">
        <x:v>07-08-2013</x:v>
      </x:c>
      <x:c r="I981" s="16" t="n">
        <x:v>78</x:v>
      </x:c>
      <x:c r="J981" s="16" t="n">
        <x:v>22</x:v>
      </x:c>
      <x:c r="K981" s="16" t="n">
        <x:v>3</x:v>
      </x:c>
      <x:c r="L981" s="16" t="n">
        <x:v>18</x:v>
      </x:c>
      <x:c r="M981" s="16" t="n">
        <x:v>0</x:v>
      </x:c>
      <x:c r="N981" s="16" t="n">
        <x:v>0</x:v>
      </x:c>
      <x:c r="O981" s="16" t="n">
        <x:v>11</x:v>
      </x:c>
      <x:c r="P981" s="16" t="n">
        <x:v>1</x:v>
      </x:c>
      <x:c r="Q981" s="16" t="n">
        <x:v>2</x:v>
      </x:c>
      <x:c r="R981" s="16" t="n">
        <x:v>0</x:v>
      </x:c>
      <x:c r="S981" s="16" t="n">
        <x:v>3</x:v>
      </x:c>
      <x:c r="T981" s="16" t="n">
        <x:v>7</x:v>
      </x:c>
      <x:c r="U981" s="16" t="n">
        <x:v>0</x:v>
      </x:c>
      <x:c r="V981" s="16" t="n">
        <x:v>0</x:v>
      </x:c>
      <x:c r="W981" s="16" t="n">
        <x:v>0</x:v>
      </x:c>
      <x:c r="X981" s="16" t="n">
        <x:v>0</x:v>
      </x:c>
      <x:c r="Y981" s="16" t="n">
        <x:v>0</x:v>
      </x:c>
      <x:c r="Z981" s="16" t="n">
        <x:v>0</x:v>
      </x:c>
      <x:c r="AA981" s="16" t="n">
        <x:v>3</x:v>
      </x:c>
      <x:c r="AB981" s="16" t="n">
        <x:v>11</x:v>
      </x:c>
      <x:c r="AC981" s="16" t="n">
        <x:v>0</x:v>
      </x:c>
      <x:c r="AD981" s="21" t="n">
        <x:f>IF(E981="",MEDIAN($E$2:$E$2237),E981)</x:f>
        <x:v>33462</x:v>
      </x:c>
      <x:c r="AE981" s="17" t="n">
        <x:f>2014-B981</x:f>
        <x:v>35</x:v>
      </x:c>
      <x:c r="AF981" s="17" t="n">
        <x:f>F981+G981</x:f>
        <x:v>1</x:v>
      </x:c>
      <x:c r="AG981" s="21" t="n">
        <x:f>SUM(J981:O981)</x:f>
        <x:v>54</x:v>
      </x:c>
      <x:c r="AH981" s="17" t="n">
        <x:f>SUM(Q981:S981)</x:f>
        <x:v>5</x:v>
      </x:c>
      <x:c r="AI981" s="17" t="n">
        <x:f>SUM(U981:Y981)</x:f>
        <x:v>0</x:v>
      </x:c>
      <x:c r="AJ981" s="17" t="str">
        <x:f>IF(AE981&lt;=34,"≤34",IF(AE981&lt;=44,"35–44",IF(AE981&lt;=54,"45–54",IF(AE981&lt;=64,"55–64","65+"))))</x:f>
        <x:v>35–44</x:v>
      </x:c>
      <x:c r="AK981" s="17" t="str">
        <x:f>IF(AG981&gt;=1000,"High Value",IF(AG981&gt;=300,"Mid Value","Low Value"))</x:f>
        <x:v>Low Value</x:v>
      </x:c>
      <x:c r="AL981" s="17" t="str">
        <x:f>IF(AND(AI981&gt;=1,I981&lt;=50),"Priority 1",IF(AND(AG981&gt;=1000,I981&lt;=60),"Priority 2",IF(I981&lt;=30,"Priority 3","Nurture")))</x:f>
        <x:v>Nurture</x:v>
      </x:c>
    </x:row>
    <x:row r="982">
      <x:c r="A982" s="16" t="n">
        <x:v>3056</x:v>
      </x:c>
      <x:c r="B982" s="16" t="n">
        <x:v>1978</x:v>
      </x:c>
      <x:c r="C982" s="16" t="str">
        <x:v>Graduation</x:v>
      </x:c>
      <x:c r="D982" s="16" t="str">
        <x:v>Divorced</x:v>
      </x:c>
      <x:c r="E982" s="16" t="n">
        <x:v>63693</x:v>
      </x:c>
      <x:c r="F982" s="16" t="n">
        <x:v>0</x:v>
      </x:c>
      <x:c r="G982" s="16" t="n">
        <x:v>1</x:v>
      </x:c>
      <x:c r="H982" s="16" t="str">
        <x:v>14-10-2013</x:v>
      </x:c>
      <x:c r="I982" s="16" t="n">
        <x:v>63</x:v>
      </x:c>
      <x:c r="J982" s="16" t="n">
        <x:v>587</x:v>
      </x:c>
      <x:c r="K982" s="16" t="n">
        <x:v>43</x:v>
      </x:c>
      <x:c r="L982" s="16" t="n">
        <x:v>337</x:v>
      </x:c>
      <x:c r="M982" s="16" t="n">
        <x:v>42</x:v>
      </x:c>
      <x:c r="N982" s="16" t="n">
        <x:v>87</x:v>
      </x:c>
      <x:c r="O982" s="16" t="n">
        <x:v>54</x:v>
      </x:c>
      <x:c r="P982" s="16" t="n">
        <x:v>3</x:v>
      </x:c>
      <x:c r="Q982" s="16" t="n">
        <x:v>11</x:v>
      </x:c>
      <x:c r="R982" s="16" t="n">
        <x:v>6</x:v>
      </x:c>
      <x:c r="S982" s="16" t="n">
        <x:v>9</x:v>
      </x:c>
      <x:c r="T982" s="16" t="n">
        <x:v>6</x:v>
      </x:c>
      <x:c r="U982" s="16" t="n">
        <x:v>0</x:v>
      </x:c>
      <x:c r="V982" s="16" t="n">
        <x:v>0</x:v>
      </x:c>
      <x:c r="W982" s="16" t="n">
        <x:v>0</x:v>
      </x:c>
      <x:c r="X982" s="16" t="n">
        <x:v>0</x:v>
      </x:c>
      <x:c r="Y982" s="16" t="n">
        <x:v>0</x:v>
      </x:c>
      <x:c r="Z982" s="16" t="n">
        <x:v>0</x:v>
      </x:c>
      <x:c r="AA982" s="16" t="n">
        <x:v>3</x:v>
      </x:c>
      <x:c r="AB982" s="16" t="n">
        <x:v>11</x:v>
      </x:c>
      <x:c r="AC982" s="16" t="n">
        <x:v>0</x:v>
      </x:c>
      <x:c r="AD982" s="21" t="n">
        <x:f>IF(E982="",MEDIAN($E$2:$E$2237),E982)</x:f>
        <x:v>63693</x:v>
      </x:c>
      <x:c r="AE982" s="17" t="n">
        <x:f>2014-B982</x:f>
        <x:v>36</x:v>
      </x:c>
      <x:c r="AF982" s="17" t="n">
        <x:f>F982+G982</x:f>
        <x:v>1</x:v>
      </x:c>
      <x:c r="AG982" s="21" t="n">
        <x:f>SUM(J982:O982)</x:f>
        <x:v>1150</x:v>
      </x:c>
      <x:c r="AH982" s="17" t="n">
        <x:f>SUM(Q982:S982)</x:f>
        <x:v>26</x:v>
      </x:c>
      <x:c r="AI982" s="17" t="n">
        <x:f>SUM(U982:Y982)</x:f>
        <x:v>0</x:v>
      </x:c>
      <x:c r="AJ982" s="17" t="str">
        <x:f>IF(AE982&lt;=34,"≤34",IF(AE982&lt;=44,"35–44",IF(AE982&lt;=54,"45–54",IF(AE982&lt;=64,"55–64","65+"))))</x:f>
        <x:v>35–44</x:v>
      </x:c>
      <x:c r="AK982" s="17" t="str">
        <x:f>IF(AG982&gt;=1000,"High Value",IF(AG982&gt;=300,"Mid Value","Low Value"))</x:f>
        <x:v>High Value</x:v>
      </x:c>
      <x:c r="AL982" s="17" t="str">
        <x:f>IF(AND(AI982&gt;=1,I982&lt;=50),"Priority 1",IF(AND(AG982&gt;=1000,I982&lt;=60),"Priority 2",IF(I982&lt;=30,"Priority 3","Nurture")))</x:f>
        <x:v>Nurture</x:v>
      </x:c>
    </x:row>
    <x:row r="983">
      <x:c r="A983" s="16" t="n">
        <x:v>5718</x:v>
      </x:c>
      <x:c r="B983" s="16" t="n">
        <x:v>1950</x:v>
      </x:c>
      <x:c r="C983" s="16" t="str">
        <x:v>Graduation</x:v>
      </x:c>
      <x:c r="D983" s="16" t="str">
        <x:v>Married</x:v>
      </x:c>
      <x:c r="E983" s="16" t="n">
        <x:v>80763</x:v>
      </x:c>
      <x:c r="F983" s="16" t="n">
        <x:v>0</x:v>
      </x:c>
      <x:c r="G983" s="16" t="n">
        <x:v>0</x:v>
      </x:c>
      <x:c r="H983" s="16" t="str">
        <x:v>15-08-2013</x:v>
      </x:c>
      <x:c r="I983" s="16" t="n">
        <x:v>17</x:v>
      </x:c>
      <x:c r="J983" s="16" t="n">
        <x:v>674</x:v>
      </x:c>
      <x:c r="K983" s="16" t="n">
        <x:v>168</x:v>
      </x:c>
      <x:c r="L983" s="16" t="n">
        <x:v>108</x:v>
      </x:c>
      <x:c r="M983" s="16" t="n">
        <x:v>192</x:v>
      </x:c>
      <x:c r="N983" s="16" t="n">
        <x:v>42</x:v>
      </x:c>
      <x:c r="O983" s="16" t="n">
        <x:v>231</x:v>
      </x:c>
      <x:c r="P983" s="16" t="n">
        <x:v>1</x:v>
      </x:c>
      <x:c r="Q983" s="16" t="n">
        <x:v>5</x:v>
      </x:c>
      <x:c r="R983" s="16" t="n">
        <x:v>11</x:v>
      </x:c>
      <x:c r="S983" s="16" t="n">
        <x:v>6</x:v>
      </x:c>
      <x:c r="T983" s="16" t="n">
        <x:v>3</x:v>
      </x:c>
      <x:c r="U983" s="16" t="n">
        <x:v>0</x:v>
      </x:c>
      <x:c r="V983" s="16" t="n">
        <x:v>0</x:v>
      </x:c>
      <x:c r="W983" s="16" t="n">
        <x:v>1</x:v>
      </x:c>
      <x:c r="X983" s="16" t="n">
        <x:v>1</x:v>
      </x:c>
      <x:c r="Y983" s="16" t="n">
        <x:v>0</x:v>
      </x:c>
      <x:c r="Z983" s="16" t="n">
        <x:v>0</x:v>
      </x:c>
      <x:c r="AA983" s="16" t="n">
        <x:v>3</x:v>
      </x:c>
      <x:c r="AB983" s="16" t="n">
        <x:v>11</x:v>
      </x:c>
      <x:c r="AC983" s="16" t="n">
        <x:v>1</x:v>
      </x:c>
      <x:c r="AD983" s="21" t="n">
        <x:f>IF(E983="",MEDIAN($E$2:$E$2237),E983)</x:f>
        <x:v>80763</x:v>
      </x:c>
      <x:c r="AE983" s="17" t="n">
        <x:f>2014-B983</x:f>
        <x:v>64</x:v>
      </x:c>
      <x:c r="AF983" s="17" t="n">
        <x:f>F983+G983</x:f>
        <x:v>0</x:v>
      </x:c>
      <x:c r="AG983" s="21" t="n">
        <x:f>SUM(J983:O983)</x:f>
        <x:v>1415</x:v>
      </x:c>
      <x:c r="AH983" s="17" t="n">
        <x:f>SUM(Q983:S983)</x:f>
        <x:v>22</x:v>
      </x:c>
      <x:c r="AI983" s="17" t="n">
        <x:f>SUM(U983:Y983)</x:f>
        <x:v>2</x:v>
      </x:c>
      <x:c r="AJ983" s="17" t="str">
        <x:f>IF(AE983&lt;=34,"≤34",IF(AE983&lt;=44,"35–44",IF(AE983&lt;=54,"45–54",IF(AE983&lt;=64,"55–64","65+"))))</x:f>
        <x:v>55–64</x:v>
      </x:c>
      <x:c r="AK983" s="17" t="str">
        <x:f>IF(AG983&gt;=1000,"High Value",IF(AG983&gt;=300,"Mid Value","Low Value"))</x:f>
        <x:v>High Value</x:v>
      </x:c>
      <x:c r="AL983" s="17" t="str">
        <x:f>IF(AND(AI983&gt;=1,I983&lt;=50),"Priority 1",IF(AND(AG983&gt;=1000,I983&lt;=60),"Priority 2",IF(I983&lt;=30,"Priority 3","Nurture")))</x:f>
        <x:v>Priority 1</x:v>
      </x:c>
    </x:row>
    <x:row r="984">
      <x:c r="A984" s="16" t="n">
        <x:v>6872</x:v>
      </x:c>
      <x:c r="B984" s="16" t="n">
        <x:v>1974</x:v>
      </x:c>
      <x:c r="C984" s="16" t="str">
        <x:v>PhD</x:v>
      </x:c>
      <x:c r="D984" s="16" t="str">
        <x:v>Married</x:v>
      </x:c>
      <x:c r="E984" s="16" t="n">
        <x:v>65352</x:v>
      </x:c>
      <x:c r="F984" s="16" t="n">
        <x:v>0</x:v>
      </x:c>
      <x:c r="G984" s="16" t="n">
        <x:v>1</x:v>
      </x:c>
      <x:c r="H984" s="16" t="str">
        <x:v>21-08-2013</x:v>
      </x:c>
      <x:c r="I984" s="16" t="n">
        <x:v>43</x:v>
      </x:c>
      <x:c r="J984" s="16" t="n">
        <x:v>284</x:v>
      </x:c>
      <x:c r="K984" s="16" t="n">
        <x:v>3</x:v>
      </x:c>
      <x:c r="L984" s="16" t="n">
        <x:v>84</x:v>
      </x:c>
      <x:c r="M984" s="16" t="n">
        <x:v>4</x:v>
      </x:c>
      <x:c r="N984" s="16" t="n">
        <x:v>7</x:v>
      </x:c>
      <x:c r="O984" s="16" t="n">
        <x:v>23</x:v>
      </x:c>
      <x:c r="P984" s="16" t="n">
        <x:v>2</x:v>
      </x:c>
      <x:c r="Q984" s="16" t="n">
        <x:v>4</x:v>
      </x:c>
      <x:c r="R984" s="16" t="n">
        <x:v>2</x:v>
      </x:c>
      <x:c r="S984" s="16" t="n">
        <x:v>8</x:v>
      </x:c>
      <x:c r="T984" s="16" t="n">
        <x:v>4</x:v>
      </x:c>
      <x:c r="U984" s="16" t="n">
        <x:v>0</x:v>
      </x:c>
      <x:c r="V984" s="16" t="n">
        <x:v>0</x:v>
      </x:c>
      <x:c r="W984" s="16" t="n">
        <x:v>0</x:v>
      </x:c>
      <x:c r="X984" s="16" t="n">
        <x:v>0</x:v>
      </x:c>
      <x:c r="Y984" s="16" t="n">
        <x:v>0</x:v>
      </x:c>
      <x:c r="Z984" s="16" t="n">
        <x:v>0</x:v>
      </x:c>
      <x:c r="AA984" s="16" t="n">
        <x:v>3</x:v>
      </x:c>
      <x:c r="AB984" s="16" t="n">
        <x:v>11</x:v>
      </x:c>
      <x:c r="AC984" s="16" t="n">
        <x:v>0</x:v>
      </x:c>
      <x:c r="AD984" s="21" t="n">
        <x:f>IF(E984="",MEDIAN($E$2:$E$2237),E984)</x:f>
        <x:v>65352</x:v>
      </x:c>
      <x:c r="AE984" s="17" t="n">
        <x:f>2014-B984</x:f>
        <x:v>40</x:v>
      </x:c>
      <x:c r="AF984" s="17" t="n">
        <x:f>F984+G984</x:f>
        <x:v>1</x:v>
      </x:c>
      <x:c r="AG984" s="21" t="n">
        <x:f>SUM(J984:O984)</x:f>
        <x:v>405</x:v>
      </x:c>
      <x:c r="AH984" s="17" t="n">
        <x:f>SUM(Q984:S984)</x:f>
        <x:v>14</x:v>
      </x:c>
      <x:c r="AI984" s="17" t="n">
        <x:f>SUM(U984:Y984)</x:f>
        <x:v>0</x:v>
      </x:c>
      <x:c r="AJ984" s="17" t="str">
        <x:f>IF(AE984&lt;=34,"≤34",IF(AE984&lt;=44,"35–44",IF(AE984&lt;=54,"45–54",IF(AE984&lt;=64,"55–64","65+"))))</x:f>
        <x:v>35–44</x:v>
      </x:c>
      <x:c r="AK984" s="17" t="str">
        <x:f>IF(AG984&gt;=1000,"High Value",IF(AG984&gt;=300,"Mid Value","Low Value"))</x:f>
        <x:v>Mid Value</x:v>
      </x:c>
      <x:c r="AL984" s="17" t="str">
        <x:f>IF(AND(AI984&gt;=1,I984&lt;=50),"Priority 1",IF(AND(AG984&gt;=1000,I984&lt;=60),"Priority 2",IF(I984&lt;=30,"Priority 3","Nurture")))</x:f>
        <x:v>Nurture</x:v>
      </x:c>
    </x:row>
    <x:row r="985">
      <x:c r="A985" s="16" t="n">
        <x:v>8164</x:v>
      </x:c>
      <x:c r="B985" s="16" t="n">
        <x:v>1978</x:v>
      </x:c>
      <x:c r="C985" s="16" t="str">
        <x:v>PhD</x:v>
      </x:c>
      <x:c r="D985" s="16" t="str">
        <x:v>Married</x:v>
      </x:c>
      <x:c r="E985" s="16" t="n">
        <x:v>82170</x:v>
      </x:c>
      <x:c r="F985" s="16" t="n">
        <x:v>0</x:v>
      </x:c>
      <x:c r="G985" s="16" t="n">
        <x:v>0</x:v>
      </x:c>
      <x:c r="H985" s="16" t="str">
        <x:v>25-11-2013</x:v>
      </x:c>
      <x:c r="I985" s="16" t="n">
        <x:v>13</x:v>
      </x:c>
      <x:c r="J985" s="16" t="n">
        <x:v>1023</x:v>
      </x:c>
      <x:c r="K985" s="16" t="n">
        <x:v>93</x:v>
      </x:c>
      <x:c r="L985" s="16" t="n">
        <x:v>651</x:v>
      </x:c>
      <x:c r="M985" s="16" t="n">
        <x:v>49</x:v>
      </x:c>
      <x:c r="N985" s="16" t="n">
        <x:v>55</x:v>
      </x:c>
      <x:c r="O985" s="16" t="n">
        <x:v>37</x:v>
      </x:c>
      <x:c r="P985" s="16" t="n">
        <x:v>1</x:v>
      </x:c>
      <x:c r="Q985" s="16" t="n">
        <x:v>5</x:v>
      </x:c>
      <x:c r="R985" s="16" t="n">
        <x:v>6</x:v>
      </x:c>
      <x:c r="S985" s="16" t="n">
        <x:v>7</x:v>
      </x:c>
      <x:c r="T985" s="16" t="n">
        <x:v>2</x:v>
      </x:c>
      <x:c r="U985" s="16" t="n">
        <x:v>0</x:v>
      </x:c>
      <x:c r="V985" s="16" t="n">
        <x:v>0</x:v>
      </x:c>
      <x:c r="W985" s="16" t="n">
        <x:v>0</x:v>
      </x:c>
      <x:c r="X985" s="16" t="n">
        <x:v>0</x:v>
      </x:c>
      <x:c r="Y985" s="16" t="n">
        <x:v>0</x:v>
      </x:c>
      <x:c r="Z985" s="16" t="n">
        <x:v>0</x:v>
      </x:c>
      <x:c r="AA985" s="16" t="n">
        <x:v>3</x:v>
      </x:c>
      <x:c r="AB985" s="16" t="n">
        <x:v>11</x:v>
      </x:c>
      <x:c r="AC985" s="16" t="n">
        <x:v>0</x:v>
      </x:c>
      <x:c r="AD985" s="21" t="n">
        <x:f>IF(E985="",MEDIAN($E$2:$E$2237),E985)</x:f>
        <x:v>82170</x:v>
      </x:c>
      <x:c r="AE985" s="17" t="n">
        <x:f>2014-B985</x:f>
        <x:v>36</x:v>
      </x:c>
      <x:c r="AF985" s="17" t="n">
        <x:f>F985+G985</x:f>
        <x:v>0</x:v>
      </x:c>
      <x:c r="AG985" s="21" t="n">
        <x:f>SUM(J985:O985)</x:f>
        <x:v>1908</x:v>
      </x:c>
      <x:c r="AH985" s="17" t="n">
        <x:f>SUM(Q985:S985)</x:f>
        <x:v>18</x:v>
      </x:c>
      <x:c r="AI985" s="17" t="n">
        <x:f>SUM(U985:Y985)</x:f>
        <x:v>0</x:v>
      </x:c>
      <x:c r="AJ985" s="17" t="str">
        <x:f>IF(AE985&lt;=34,"≤34",IF(AE985&lt;=44,"35–44",IF(AE985&lt;=54,"45–54",IF(AE985&lt;=64,"55–64","65+"))))</x:f>
        <x:v>35–44</x:v>
      </x:c>
      <x:c r="AK985" s="17" t="str">
        <x:f>IF(AG985&gt;=1000,"High Value",IF(AG985&gt;=300,"Mid Value","Low Value"))</x:f>
        <x:v>High Value</x:v>
      </x:c>
      <x:c r="AL985" s="17" t="str">
        <x:f>IF(AND(AI985&gt;=1,I985&lt;=50),"Priority 1",IF(AND(AG985&gt;=1000,I985&lt;=60),"Priority 2",IF(I985&lt;=30,"Priority 3","Nurture")))</x:f>
        <x:v>Priority 2</x:v>
      </x:c>
    </x:row>
    <x:row r="986">
      <x:c r="A986" s="16" t="n">
        <x:v>4580</x:v>
      </x:c>
      <x:c r="B986" s="16" t="n">
        <x:v>1969</x:v>
      </x:c>
      <x:c r="C986" s="16" t="str">
        <x:v>Graduation</x:v>
      </x:c>
      <x:c r="D986" s="16" t="str">
        <x:v>Married</x:v>
      </x:c>
      <x:c r="E986" s="16" t="n">
        <x:v>75759</x:v>
      </x:c>
      <x:c r="F986" s="16" t="n">
        <x:v>0</x:v>
      </x:c>
      <x:c r="G986" s="16" t="n">
        <x:v>0</x:v>
      </x:c>
      <x:c r="H986" s="16" t="str">
        <x:v>25-10-2013</x:v>
      </x:c>
      <x:c r="I986" s="16" t="n">
        <x:v>46</x:v>
      </x:c>
      <x:c r="J986" s="16" t="n">
        <x:v>1394</x:v>
      </x:c>
      <x:c r="K986" s="16" t="n">
        <x:v>22</x:v>
      </x:c>
      <x:c r="L986" s="16" t="n">
        <x:v>708</x:v>
      </x:c>
      <x:c r="M986" s="16" t="n">
        <x:v>89</x:v>
      </x:c>
      <x:c r="N986" s="16" t="n">
        <x:v>91</x:v>
      </x:c>
      <x:c r="O986" s="16" t="n">
        <x:v>182</x:v>
      </x:c>
      <x:c r="P986" s="16" t="n">
        <x:v>1</x:v>
      </x:c>
      <x:c r="Q986" s="16" t="n">
        <x:v>9</x:v>
      </x:c>
      <x:c r="R986" s="16" t="n">
        <x:v>7</x:v>
      </x:c>
      <x:c r="S986" s="16" t="n">
        <x:v>9</x:v>
      </x:c>
      <x:c r="T986" s="16" t="n">
        <x:v>5</x:v>
      </x:c>
      <x:c r="U986" s="16" t="n">
        <x:v>1</x:v>
      </x:c>
      <x:c r="V986" s="16" t="n">
        <x:v>0</x:v>
      </x:c>
      <x:c r="W986" s="16" t="n">
        <x:v>1</x:v>
      </x:c>
      <x:c r="X986" s="16" t="n">
        <x:v>1</x:v>
      </x:c>
      <x:c r="Y986" s="16" t="n">
        <x:v>0</x:v>
      </x:c>
      <x:c r="Z986" s="16" t="n">
        <x:v>0</x:v>
      </x:c>
      <x:c r="AA986" s="16" t="n">
        <x:v>3</x:v>
      </x:c>
      <x:c r="AB986" s="16" t="n">
        <x:v>11</x:v>
      </x:c>
      <x:c r="AC986" s="16" t="n">
        <x:v>1</x:v>
      </x:c>
      <x:c r="AD986" s="21" t="n">
        <x:f>IF(E986="",MEDIAN($E$2:$E$2237),E986)</x:f>
        <x:v>75759</x:v>
      </x:c>
      <x:c r="AE986" s="17" t="n">
        <x:f>2014-B986</x:f>
        <x:v>45</x:v>
      </x:c>
      <x:c r="AF986" s="17" t="n">
        <x:f>F986+G986</x:f>
        <x:v>0</x:v>
      </x:c>
      <x:c r="AG986" s="21" t="n">
        <x:f>SUM(J986:O986)</x:f>
        <x:v>2486</x:v>
      </x:c>
      <x:c r="AH986" s="17" t="n">
        <x:f>SUM(Q986:S986)</x:f>
        <x:v>25</x:v>
      </x:c>
      <x:c r="AI986" s="17" t="n">
        <x:f>SUM(U986:Y986)</x:f>
        <x:v>3</x:v>
      </x:c>
      <x:c r="AJ986" s="17" t="str">
        <x:f>IF(AE986&lt;=34,"≤34",IF(AE986&lt;=44,"35–44",IF(AE986&lt;=54,"45–54",IF(AE986&lt;=64,"55–64","65+"))))</x:f>
        <x:v>45–54</x:v>
      </x:c>
      <x:c r="AK986" s="17" t="str">
        <x:f>IF(AG986&gt;=1000,"High Value",IF(AG986&gt;=300,"Mid Value","Low Value"))</x:f>
        <x:v>High Value</x:v>
      </x:c>
      <x:c r="AL986" s="17" t="str">
        <x:f>IF(AND(AI986&gt;=1,I986&lt;=50),"Priority 1",IF(AND(AG986&gt;=1000,I986&lt;=60),"Priority 2",IF(I986&lt;=30,"Priority 3","Nurture")))</x:f>
        <x:v>Priority 1</x:v>
      </x:c>
    </x:row>
    <x:row r="987">
      <x:c r="A987" s="16" t="n">
        <x:v>9305</x:v>
      </x:c>
      <x:c r="B987" s="16" t="n">
        <x:v>1976</x:v>
      </x:c>
      <x:c r="C987" s="16" t="str">
        <x:v>2n Cycle</x:v>
      </x:c>
      <x:c r="D987" s="16" t="str">
        <x:v>Single</x:v>
      </x:c>
      <x:c r="E987" s="16" t="n">
        <x:v>79689</x:v>
      </x:c>
      <x:c r="F987" s="16" t="n">
        <x:v>0</x:v>
      </x:c>
      <x:c r="G987" s="16" t="n">
        <x:v>0</x:v>
      </x:c>
      <x:c r="H987" s="16" t="str">
        <x:v>12-05-2013</x:v>
      </x:c>
      <x:c r="I987" s="16" t="n">
        <x:v>65</x:v>
      </x:c>
      <x:c r="J987" s="16" t="n">
        <x:v>311</x:v>
      </x:c>
      <x:c r="K987" s="16" t="n">
        <x:v>26</x:v>
      </x:c>
      <x:c r="L987" s="16" t="n">
        <x:v>640</x:v>
      </x:c>
      <x:c r="M987" s="16" t="n">
        <x:v>180</x:v>
      </x:c>
      <x:c r="N987" s="16" t="n">
        <x:v>37</x:v>
      </x:c>
      <x:c r="O987" s="16" t="n">
        <x:v>121</x:v>
      </x:c>
      <x:c r="P987" s="16" t="n">
        <x:v>1</x:v>
      </x:c>
      <x:c r="Q987" s="16" t="n">
        <x:v>4</x:v>
      </x:c>
      <x:c r="R987" s="16" t="n">
        <x:v>9</x:v>
      </x:c>
      <x:c r="S987" s="16" t="n">
        <x:v>13</x:v>
      </x:c>
      <x:c r="T987" s="16" t="n">
        <x:v>2</x:v>
      </x:c>
      <x:c r="U987" s="16" t="n">
        <x:v>0</x:v>
      </x:c>
      <x:c r="V987" s="16" t="n">
        <x:v>0</x:v>
      </x:c>
      <x:c r="W987" s="16" t="n">
        <x:v>0</x:v>
      </x:c>
      <x:c r="X987" s="16" t="n">
        <x:v>0</x:v>
      </x:c>
      <x:c r="Y987" s="16" t="n">
        <x:v>0</x:v>
      </x:c>
      <x:c r="Z987" s="16" t="n">
        <x:v>0</x:v>
      </x:c>
      <x:c r="AA987" s="16" t="n">
        <x:v>3</x:v>
      </x:c>
      <x:c r="AB987" s="16" t="n">
        <x:v>11</x:v>
      </x:c>
      <x:c r="AC987" s="16" t="n">
        <x:v>0</x:v>
      </x:c>
      <x:c r="AD987" s="21" t="n">
        <x:f>IF(E987="",MEDIAN($E$2:$E$2237),E987)</x:f>
        <x:v>79689</x:v>
      </x:c>
      <x:c r="AE987" s="17" t="n">
        <x:f>2014-B987</x:f>
        <x:v>38</x:v>
      </x:c>
      <x:c r="AF987" s="17" t="n">
        <x:f>F987+G987</x:f>
        <x:v>0</x:v>
      </x:c>
      <x:c r="AG987" s="21" t="n">
        <x:f>SUM(J987:O987)</x:f>
        <x:v>1315</x:v>
      </x:c>
      <x:c r="AH987" s="17" t="n">
        <x:f>SUM(Q987:S987)</x:f>
        <x:v>26</x:v>
      </x:c>
      <x:c r="AI987" s="17" t="n">
        <x:f>SUM(U987:Y987)</x:f>
        <x:v>0</x:v>
      </x:c>
      <x:c r="AJ987" s="17" t="str">
        <x:f>IF(AE987&lt;=34,"≤34",IF(AE987&lt;=44,"35–44",IF(AE987&lt;=54,"45–54",IF(AE987&lt;=64,"55–64","65+"))))</x:f>
        <x:v>35–44</x:v>
      </x:c>
      <x:c r="AK987" s="17" t="str">
        <x:f>IF(AG987&gt;=1000,"High Value",IF(AG987&gt;=300,"Mid Value","Low Value"))</x:f>
        <x:v>High Value</x:v>
      </x:c>
      <x:c r="AL987" s="17" t="str">
        <x:f>IF(AND(AI987&gt;=1,I987&lt;=50),"Priority 1",IF(AND(AG987&gt;=1000,I987&lt;=60),"Priority 2",IF(I987&lt;=30,"Priority 3","Nurture")))</x:f>
        <x:v>Nurture</x:v>
      </x:c>
    </x:row>
    <x:row r="988">
      <x:c r="A988" s="16" t="n">
        <x:v>453</x:v>
      </x:c>
      <x:c r="B988" s="16" t="n">
        <x:v>1956</x:v>
      </x:c>
      <x:c r="C988" s="16" t="str">
        <x:v>PhD</x:v>
      </x:c>
      <x:c r="D988" s="16" t="str">
        <x:v>Widow</x:v>
      </x:c>
      <x:c r="E988" s="16" t="n">
        <x:v>35340</x:v>
      </x:c>
      <x:c r="F988" s="16" t="n">
        <x:v>1</x:v>
      </x:c>
      <x:c r="G988" s="16" t="n">
        <x:v>1</x:v>
      </x:c>
      <x:c r="H988" s="16" t="str">
        <x:v>29-06-2014</x:v>
      </x:c>
      <x:c r="I988" s="16" t="n">
        <x:v>1</x:v>
      </x:c>
      <x:c r="J988" s="16" t="n">
        <x:v>27</x:v>
      </x:c>
      <x:c r="K988" s="16" t="n">
        <x:v>0</x:v>
      </x:c>
      <x:c r="L988" s="16" t="n">
        <x:v>12</x:v>
      </x:c>
      <x:c r="M988" s="16" t="n">
        <x:v>0</x:v>
      </x:c>
      <x:c r="N988" s="16" t="n">
        <x:v>1</x:v>
      </x:c>
      <x:c r="O988" s="16" t="n">
        <x:v>5</x:v>
      </x:c>
      <x:c r="P988" s="16" t="n">
        <x:v>2</x:v>
      </x:c>
      <x:c r="Q988" s="16" t="n">
        <x:v>2</x:v>
      </x:c>
      <x:c r="R988" s="16" t="n">
        <x:v>0</x:v>
      </x:c>
      <x:c r="S988" s="16" t="n">
        <x:v>3</x:v>
      </x:c>
      <x:c r="T988" s="16" t="n">
        <x:v>5</x:v>
      </x:c>
      <x:c r="U988" s="16" t="n">
        <x:v>0</x:v>
      </x:c>
      <x:c r="V988" s="16" t="n">
        <x:v>0</x:v>
      </x:c>
      <x:c r="W988" s="16" t="n">
        <x:v>0</x:v>
      </x:c>
      <x:c r="X988" s="16" t="n">
        <x:v>0</x:v>
      </x:c>
      <x:c r="Y988" s="16" t="n">
        <x:v>0</x:v>
      </x:c>
      <x:c r="Z988" s="16" t="n">
        <x:v>0</x:v>
      </x:c>
      <x:c r="AA988" s="16" t="n">
        <x:v>3</x:v>
      </x:c>
      <x:c r="AB988" s="16" t="n">
        <x:v>11</x:v>
      </x:c>
      <x:c r="AC988" s="16" t="n">
        <x:v>0</x:v>
      </x:c>
      <x:c r="AD988" s="21" t="n">
        <x:f>IF(E988="",MEDIAN($E$2:$E$2237),E988)</x:f>
        <x:v>35340</x:v>
      </x:c>
      <x:c r="AE988" s="17" t="n">
        <x:f>2014-B988</x:f>
        <x:v>58</x:v>
      </x:c>
      <x:c r="AF988" s="17" t="n">
        <x:f>F988+G988</x:f>
        <x:v>2</x:v>
      </x:c>
      <x:c r="AG988" s="21" t="n">
        <x:f>SUM(J988:O988)</x:f>
        <x:v>45</x:v>
      </x:c>
      <x:c r="AH988" s="17" t="n">
        <x:f>SUM(Q988:S988)</x:f>
        <x:v>5</x:v>
      </x:c>
      <x:c r="AI988" s="17" t="n">
        <x:f>SUM(U988:Y988)</x:f>
        <x:v>0</x:v>
      </x:c>
      <x:c r="AJ988" s="17" t="str">
        <x:f>IF(AE988&lt;=34,"≤34",IF(AE988&lt;=44,"35–44",IF(AE988&lt;=54,"45–54",IF(AE988&lt;=64,"55–64","65+"))))</x:f>
        <x:v>55–64</x:v>
      </x:c>
      <x:c r="AK988" s="17" t="str">
        <x:f>IF(AG988&gt;=1000,"High Value",IF(AG988&gt;=300,"Mid Value","Low Value"))</x:f>
        <x:v>Low Value</x:v>
      </x:c>
      <x:c r="AL988" s="17" t="str">
        <x:f>IF(AND(AI988&gt;=1,I988&lt;=50),"Priority 1",IF(AND(AG988&gt;=1000,I988&lt;=60),"Priority 2",IF(I988&lt;=30,"Priority 3","Nurture")))</x:f>
        <x:v>Priority 3</x:v>
      </x:c>
    </x:row>
    <x:row r="989">
      <x:c r="A989" s="16" t="n">
        <x:v>8545</x:v>
      </x:c>
      <x:c r="B989" s="16" t="n">
        <x:v>1954</x:v>
      </x:c>
      <x:c r="C989" s="16" t="str">
        <x:v>Graduation</x:v>
      </x:c>
      <x:c r="D989" s="16" t="str">
        <x:v>Divorced</x:v>
      </x:c>
      <x:c r="E989" s="16" t="n">
        <x:v>85683</x:v>
      </x:c>
      <x:c r="F989" s="16" t="n">
        <x:v>0</x:v>
      </x:c>
      <x:c r="G989" s="16" t="n">
        <x:v>0</x:v>
      </x:c>
      <x:c r="H989" s="16" t="str">
        <x:v>21-03-2014</x:v>
      </x:c>
      <x:c r="I989" s="16" t="n">
        <x:v>6</x:v>
      </x:c>
      <x:c r="J989" s="16" t="n">
        <x:v>1296</x:v>
      </x:c>
      <x:c r="K989" s="16" t="n">
        <x:v>17</x:v>
      </x:c>
      <x:c r="L989" s="16" t="n">
        <x:v>311</x:v>
      </x:c>
      <x:c r="M989" s="16" t="n">
        <x:v>45</x:v>
      </x:c>
      <x:c r="N989" s="16" t="n">
        <x:v>69</x:v>
      </x:c>
      <x:c r="O989" s="16" t="n">
        <x:v>51</x:v>
      </x:c>
      <x:c r="P989" s="16" t="n">
        <x:v>1</x:v>
      </x:c>
      <x:c r="Q989" s="16" t="n">
        <x:v>2</x:v>
      </x:c>
      <x:c r="R989" s="16" t="n">
        <x:v>4</x:v>
      </x:c>
      <x:c r="S989" s="16" t="n">
        <x:v>10</x:v>
      </x:c>
      <x:c r="T989" s="16" t="n">
        <x:v>1</x:v>
      </x:c>
      <x:c r="U989" s="16" t="n">
        <x:v>0</x:v>
      </x:c>
      <x:c r="V989" s="16" t="n">
        <x:v>1</x:v>
      </x:c>
      <x:c r="W989" s="16" t="n">
        <x:v>1</x:v>
      </x:c>
      <x:c r="X989" s="16" t="n">
        <x:v>1</x:v>
      </x:c>
      <x:c r="Y989" s="16" t="n">
        <x:v>1</x:v>
      </x:c>
      <x:c r="Z989" s="16" t="n">
        <x:v>0</x:v>
      </x:c>
      <x:c r="AA989" s="16" t="n">
        <x:v>3</x:v>
      </x:c>
      <x:c r="AB989" s="16" t="n">
        <x:v>11</x:v>
      </x:c>
      <x:c r="AC989" s="16" t="n">
        <x:v>1</x:v>
      </x:c>
      <x:c r="AD989" s="21" t="n">
        <x:f>IF(E989="",MEDIAN($E$2:$E$2237),E989)</x:f>
        <x:v>85683</x:v>
      </x:c>
      <x:c r="AE989" s="17" t="n">
        <x:f>2014-B989</x:f>
        <x:v>60</x:v>
      </x:c>
      <x:c r="AF989" s="17" t="n">
        <x:f>F989+G989</x:f>
        <x:v>0</x:v>
      </x:c>
      <x:c r="AG989" s="21" t="n">
        <x:f>SUM(J989:O989)</x:f>
        <x:v>1789</x:v>
      </x:c>
      <x:c r="AH989" s="17" t="n">
        <x:f>SUM(Q989:S989)</x:f>
        <x:v>16</x:v>
      </x:c>
      <x:c r="AI989" s="17" t="n">
        <x:f>SUM(U989:Y989)</x:f>
        <x:v>4</x:v>
      </x:c>
      <x:c r="AJ989" s="17" t="str">
        <x:f>IF(AE989&lt;=34,"≤34",IF(AE989&lt;=44,"35–44",IF(AE989&lt;=54,"45–54",IF(AE989&lt;=64,"55–64","65+"))))</x:f>
        <x:v>55–64</x:v>
      </x:c>
      <x:c r="AK989" s="17" t="str">
        <x:f>IF(AG989&gt;=1000,"High Value",IF(AG989&gt;=300,"Mid Value","Low Value"))</x:f>
        <x:v>High Value</x:v>
      </x:c>
      <x:c r="AL989" s="17" t="str">
        <x:f>IF(AND(AI989&gt;=1,I989&lt;=50),"Priority 1",IF(AND(AG989&gt;=1000,I989&lt;=60),"Priority 2",IF(I989&lt;=30,"Priority 3","Nurture")))</x:f>
        <x:v>Priority 1</x:v>
      </x:c>
    </x:row>
    <x:row r="990">
      <x:c r="A990" s="16" t="n">
        <x:v>9850</x:v>
      </x:c>
      <x:c r="B990" s="16" t="n">
        <x:v>1972</x:v>
      </x:c>
      <x:c r="C990" s="16" t="str">
        <x:v>2n Cycle</x:v>
      </x:c>
      <x:c r="D990" s="16" t="str">
        <x:v>Married</x:v>
      </x:c>
      <x:c r="E990" s="16" t="n">
        <x:v>24884</x:v>
      </x:c>
      <x:c r="F990" s="16" t="n">
        <x:v>1</x:v>
      </x:c>
      <x:c r="G990" s="16" t="n">
        <x:v>0</x:v>
      </x:c>
      <x:c r="H990" s="16" t="str">
        <x:v>29-11-2012</x:v>
      </x:c>
      <x:c r="I990" s="16" t="n">
        <x:v>32</x:v>
      </x:c>
      <x:c r="J990" s="16" t="n">
        <x:v>3</x:v>
      </x:c>
      <x:c r="K990" s="16" t="n">
        <x:v>6</x:v>
      </x:c>
      <x:c r="L990" s="16" t="n">
        <x:v>7</x:v>
      </x:c>
      <x:c r="M990" s="16" t="n">
        <x:v>0</x:v>
      </x:c>
      <x:c r="N990" s="16" t="n">
        <x:v>0</x:v>
      </x:c>
      <x:c r="O990" s="16" t="n">
        <x:v>3</x:v>
      </x:c>
      <x:c r="P990" s="16" t="n">
        <x:v>1</x:v>
      </x:c>
      <x:c r="Q990" s="16" t="n">
        <x:v>0</x:v>
      </x:c>
      <x:c r="R990" s="16" t="n">
        <x:v>0</x:v>
      </x:c>
      <x:c r="S990" s="16" t="n">
        <x:v>3</x:v>
      </x:c>
      <x:c r="T990" s="16" t="n">
        <x:v>7</x:v>
      </x:c>
      <x:c r="U990" s="16" t="n">
        <x:v>0</x:v>
      </x:c>
      <x:c r="V990" s="16" t="n">
        <x:v>0</x:v>
      </x:c>
      <x:c r="W990" s="16" t="n">
        <x:v>0</x:v>
      </x:c>
      <x:c r="X990" s="16" t="n">
        <x:v>0</x:v>
      </x:c>
      <x:c r="Y990" s="16" t="n">
        <x:v>0</x:v>
      </x:c>
      <x:c r="Z990" s="16" t="n">
        <x:v>0</x:v>
      </x:c>
      <x:c r="AA990" s="16" t="n">
        <x:v>3</x:v>
      </x:c>
      <x:c r="AB990" s="16" t="n">
        <x:v>11</x:v>
      </x:c>
      <x:c r="AC990" s="16" t="n">
        <x:v>0</x:v>
      </x:c>
      <x:c r="AD990" s="21" t="n">
        <x:f>IF(E990="",MEDIAN($E$2:$E$2237),E990)</x:f>
        <x:v>24884</x:v>
      </x:c>
      <x:c r="AE990" s="17" t="n">
        <x:f>2014-B990</x:f>
        <x:v>42</x:v>
      </x:c>
      <x:c r="AF990" s="17" t="n">
        <x:f>F990+G990</x:f>
        <x:v>1</x:v>
      </x:c>
      <x:c r="AG990" s="21" t="n">
        <x:f>SUM(J990:O990)</x:f>
        <x:v>19</x:v>
      </x:c>
      <x:c r="AH990" s="17" t="n">
        <x:f>SUM(Q990:S990)</x:f>
        <x:v>3</x:v>
      </x:c>
      <x:c r="AI990" s="17" t="n">
        <x:f>SUM(U990:Y990)</x:f>
        <x:v>0</x:v>
      </x:c>
      <x:c r="AJ990" s="17" t="str">
        <x:f>IF(AE990&lt;=34,"≤34",IF(AE990&lt;=44,"35–44",IF(AE990&lt;=54,"45–54",IF(AE990&lt;=64,"55–64","65+"))))</x:f>
        <x:v>35–44</x:v>
      </x:c>
      <x:c r="AK990" s="17" t="str">
        <x:f>IF(AG990&gt;=1000,"High Value",IF(AG990&gt;=300,"Mid Value","Low Value"))</x:f>
        <x:v>Low Value</x:v>
      </x:c>
      <x:c r="AL990" s="17" t="str">
        <x:f>IF(AND(AI990&gt;=1,I990&lt;=50),"Priority 1",IF(AND(AG990&gt;=1000,I990&lt;=60),"Priority 2",IF(I990&lt;=30,"Priority 3","Nurture")))</x:f>
        <x:v>Nurture</x:v>
      </x:c>
    </x:row>
    <x:row r="991">
      <x:c r="A991" s="16" t="n">
        <x:v>7378</x:v>
      </x:c>
      <x:c r="B991" s="16" t="n">
        <x:v>1981</x:v>
      </x:c>
      <x:c r="C991" s="16" t="str">
        <x:v>Master</x:v>
      </x:c>
      <x:c r="D991" s="16" t="str">
        <x:v>Together</x:v>
      </x:c>
      <x:c r="E991" s="16" t="n">
        <x:v>42021</x:v>
      </x:c>
      <x:c r="F991" s="16" t="n">
        <x:v>1</x:v>
      </x:c>
      <x:c r="G991" s="16" t="n">
        <x:v>0</x:v>
      </x:c>
      <x:c r="H991" s="16" t="str">
        <x:v>31-08-2012</x:v>
      </x:c>
      <x:c r="I991" s="16" t="n">
        <x:v>34</x:v>
      </x:c>
      <x:c r="J991" s="16" t="n">
        <x:v>393</x:v>
      </x:c>
      <x:c r="K991" s="16" t="n">
        <x:v>5</x:v>
      </x:c>
      <x:c r="L991" s="16" t="n">
        <x:v>136</x:v>
      </x:c>
      <x:c r="M991" s="16" t="n">
        <x:v>7</x:v>
      </x:c>
      <x:c r="N991" s="16" t="n">
        <x:v>5</x:v>
      </x:c>
      <x:c r="O991" s="16" t="n">
        <x:v>27</x:v>
      </x:c>
      <x:c r="P991" s="16" t="n">
        <x:v>5</x:v>
      </x:c>
      <x:c r="Q991" s="16" t="n">
        <x:v>10</x:v>
      </x:c>
      <x:c r="R991" s="16" t="n">
        <x:v>1</x:v>
      </x:c>
      <x:c r="S991" s="16" t="n">
        <x:v>6</x:v>
      </x:c>
      <x:c r="T991" s="16" t="n">
        <x:v>9</x:v>
      </x:c>
      <x:c r="U991" s="16" t="n">
        <x:v>1</x:v>
      </x:c>
      <x:c r="V991" s="16" t="n">
        <x:v>0</x:v>
      </x:c>
      <x:c r="W991" s="16" t="n">
        <x:v>0</x:v>
      </x:c>
      <x:c r="X991" s="16" t="n">
        <x:v>0</x:v>
      </x:c>
      <x:c r="Y991" s="16" t="n">
        <x:v>0</x:v>
      </x:c>
      <x:c r="Z991" s="16" t="n">
        <x:v>0</x:v>
      </x:c>
      <x:c r="AA991" s="16" t="n">
        <x:v>3</x:v>
      </x:c>
      <x:c r="AB991" s="16" t="n">
        <x:v>11</x:v>
      </x:c>
      <x:c r="AC991" s="16" t="n">
        <x:v>0</x:v>
      </x:c>
      <x:c r="AD991" s="21" t="n">
        <x:f>IF(E991="",MEDIAN($E$2:$E$2237),E991)</x:f>
        <x:v>42021</x:v>
      </x:c>
      <x:c r="AE991" s="17" t="n">
        <x:f>2014-B991</x:f>
        <x:v>33</x:v>
      </x:c>
      <x:c r="AF991" s="17" t="n">
        <x:f>F991+G991</x:f>
        <x:v>1</x:v>
      </x:c>
      <x:c r="AG991" s="21" t="n">
        <x:f>SUM(J991:O991)</x:f>
        <x:v>573</x:v>
      </x:c>
      <x:c r="AH991" s="17" t="n">
        <x:f>SUM(Q991:S991)</x:f>
        <x:v>17</x:v>
      </x:c>
      <x:c r="AI991" s="17" t="n">
        <x:f>SUM(U991:Y991)</x:f>
        <x:v>1</x:v>
      </x:c>
      <x:c r="AJ991" s="17" t="str">
        <x:f>IF(AE991&lt;=34,"≤34",IF(AE991&lt;=44,"35–44",IF(AE991&lt;=54,"45–54",IF(AE991&lt;=64,"55–64","65+"))))</x:f>
        <x:v>≤34</x:v>
      </x:c>
      <x:c r="AK991" s="17" t="str">
        <x:f>IF(AG991&gt;=1000,"High Value",IF(AG991&gt;=300,"Mid Value","Low Value"))</x:f>
        <x:v>Mid Value</x:v>
      </x:c>
      <x:c r="AL991" s="17" t="str">
        <x:f>IF(AND(AI991&gt;=1,I991&lt;=50),"Priority 1",IF(AND(AG991&gt;=1000,I991&lt;=60),"Priority 2",IF(I991&lt;=30,"Priority 3","Nurture")))</x:f>
        <x:v>Priority 1</x:v>
      </x:c>
    </x:row>
    <x:row r="992">
      <x:c r="A992" s="16" t="n">
        <x:v>7646</x:v>
      </x:c>
      <x:c r="B992" s="16" t="n">
        <x:v>1989</x:v>
      </x:c>
      <x:c r="C992" s="16" t="str">
        <x:v>Graduation</x:v>
      </x:c>
      <x:c r="D992" s="16" t="str">
        <x:v>Single</x:v>
      </x:c>
      <x:c r="E992" s="16" t="n">
        <x:v>64449</x:v>
      </x:c>
      <x:c r="F992" s="16" t="n">
        <x:v>1</x:v>
      </x:c>
      <x:c r="G992" s="16" t="n">
        <x:v>0</x:v>
      </x:c>
      <x:c r="H992" s="16" t="str">
        <x:v>18-02-2014</x:v>
      </x:c>
      <x:c r="I992" s="16" t="n">
        <x:v>70</x:v>
      </x:c>
      <x:c r="J992" s="16" t="n">
        <x:v>218</x:v>
      </x:c>
      <x:c r="K992" s="16" t="n">
        <x:v>63</x:v>
      </x:c>
      <x:c r="L992" s="16" t="n">
        <x:v>282</x:v>
      </x:c>
      <x:c r="M992" s="16" t="n">
        <x:v>137</x:v>
      </x:c>
      <x:c r="N992" s="16" t="n">
        <x:v>35</x:v>
      </x:c>
      <x:c r="O992" s="16" t="n">
        <x:v>70</x:v>
      </x:c>
      <x:c r="P992" s="16" t="n">
        <x:v>4</x:v>
      </x:c>
      <x:c r="Q992" s="16" t="n">
        <x:v>5</x:v>
      </x:c>
      <x:c r="R992" s="16" t="n">
        <x:v>3</x:v>
      </x:c>
      <x:c r="S992" s="16" t="n">
        <x:v>12</x:v>
      </x:c>
      <x:c r="T992" s="16" t="n">
        <x:v>4</x:v>
      </x:c>
      <x:c r="U992" s="16" t="n">
        <x:v>0</x:v>
      </x:c>
      <x:c r="V992" s="16" t="n">
        <x:v>0</x:v>
      </x:c>
      <x:c r="W992" s="16" t="n">
        <x:v>0</x:v>
      </x:c>
      <x:c r="X992" s="16" t="n">
        <x:v>0</x:v>
      </x:c>
      <x:c r="Y992" s="16" t="n">
        <x:v>0</x:v>
      </x:c>
      <x:c r="Z992" s="16" t="n">
        <x:v>0</x:v>
      </x:c>
      <x:c r="AA992" s="16" t="n">
        <x:v>3</x:v>
      </x:c>
      <x:c r="AB992" s="16" t="n">
        <x:v>11</x:v>
      </x:c>
      <x:c r="AC992" s="16" t="n">
        <x:v>0</x:v>
      </x:c>
      <x:c r="AD992" s="21" t="n">
        <x:f>IF(E992="",MEDIAN($E$2:$E$2237),E992)</x:f>
        <x:v>64449</x:v>
      </x:c>
      <x:c r="AE992" s="17" t="n">
        <x:f>2014-B992</x:f>
        <x:v>25</x:v>
      </x:c>
      <x:c r="AF992" s="17" t="n">
        <x:f>F992+G992</x:f>
        <x:v>1</x:v>
      </x:c>
      <x:c r="AG992" s="21" t="n">
        <x:f>SUM(J992:O992)</x:f>
        <x:v>805</x:v>
      </x:c>
      <x:c r="AH992" s="17" t="n">
        <x:f>SUM(Q992:S992)</x:f>
        <x:v>20</x:v>
      </x:c>
      <x:c r="AI992" s="17" t="n">
        <x:f>SUM(U992:Y992)</x:f>
        <x:v>0</x:v>
      </x:c>
      <x:c r="AJ992" s="17" t="str">
        <x:f>IF(AE992&lt;=34,"≤34",IF(AE992&lt;=44,"35–44",IF(AE992&lt;=54,"45–54",IF(AE992&lt;=64,"55–64","65+"))))</x:f>
        <x:v>≤34</x:v>
      </x:c>
      <x:c r="AK992" s="17" t="str">
        <x:f>IF(AG992&gt;=1000,"High Value",IF(AG992&gt;=300,"Mid Value","Low Value"))</x:f>
        <x:v>Mid Value</x:v>
      </x:c>
      <x:c r="AL992" s="17" t="str">
        <x:f>IF(AND(AI992&gt;=1,I992&lt;=50),"Priority 1",IF(AND(AG992&gt;=1000,I992&lt;=60),"Priority 2",IF(I992&lt;=30,"Priority 3","Nurture")))</x:f>
        <x:v>Nurture</x:v>
      </x:c>
    </x:row>
    <x:row r="993">
      <x:c r="A993" s="16" t="n">
        <x:v>1640</x:v>
      </x:c>
      <x:c r="B993" s="16" t="n">
        <x:v>1954</x:v>
      </x:c>
      <x:c r="C993" s="16" t="str">
        <x:v>Graduation</x:v>
      </x:c>
      <x:c r="D993" s="16" t="str">
        <x:v>Divorced</x:v>
      </x:c>
      <x:c r="E993" s="16" t="n">
        <x:v>64587</x:v>
      </x:c>
      <x:c r="F993" s="16" t="n">
        <x:v>1</x:v>
      </x:c>
      <x:c r="G993" s="16" t="n">
        <x:v>1</x:v>
      </x:c>
      <x:c r="H993" s="16" t="str">
        <x:v>22-06-2014</x:v>
      </x:c>
      <x:c r="I993" s="16" t="n">
        <x:v>49</x:v>
      </x:c>
      <x:c r="J993" s="16" t="n">
        <x:v>66</x:v>
      </x:c>
      <x:c r="K993" s="16" t="n">
        <x:v>0</x:v>
      </x:c>
      <x:c r="L993" s="16" t="n">
        <x:v>16</x:v>
      </x:c>
      <x:c r="M993" s="16" t="n">
        <x:v>0</x:v>
      </x:c>
      <x:c r="N993" s="16" t="n">
        <x:v>6</x:v>
      </x:c>
      <x:c r="O993" s="16" t="n">
        <x:v>20</x:v>
      </x:c>
      <x:c r="P993" s="16" t="n">
        <x:v>2</x:v>
      </x:c>
      <x:c r="Q993" s="16" t="n">
        <x:v>1</x:v>
      </x:c>
      <x:c r="R993" s="16" t="n">
        <x:v>1</x:v>
      </x:c>
      <x:c r="S993" s="16" t="n">
        <x:v>4</x:v>
      </x:c>
      <x:c r="T993" s="16" t="n">
        <x:v>3</x:v>
      </x:c>
      <x:c r="U993" s="16" t="n">
        <x:v>0</x:v>
      </x:c>
      <x:c r="V993" s="16" t="n">
        <x:v>0</x:v>
      </x:c>
      <x:c r="W993" s="16" t="n">
        <x:v>0</x:v>
      </x:c>
      <x:c r="X993" s="16" t="n">
        <x:v>0</x:v>
      </x:c>
      <x:c r="Y993" s="16" t="n">
        <x:v>0</x:v>
      </x:c>
      <x:c r="Z993" s="16" t="n">
        <x:v>0</x:v>
      </x:c>
      <x:c r="AA993" s="16" t="n">
        <x:v>3</x:v>
      </x:c>
      <x:c r="AB993" s="16" t="n">
        <x:v>11</x:v>
      </x:c>
      <x:c r="AC993" s="16" t="n">
        <x:v>0</x:v>
      </x:c>
      <x:c r="AD993" s="21" t="n">
        <x:f>IF(E993="",MEDIAN($E$2:$E$2237),E993)</x:f>
        <x:v>64587</x:v>
      </x:c>
      <x:c r="AE993" s="17" t="n">
        <x:f>2014-B993</x:f>
        <x:v>60</x:v>
      </x:c>
      <x:c r="AF993" s="17" t="n">
        <x:f>F993+G993</x:f>
        <x:v>2</x:v>
      </x:c>
      <x:c r="AG993" s="21" t="n">
        <x:f>SUM(J993:O993)</x:f>
        <x:v>108</x:v>
      </x:c>
      <x:c r="AH993" s="17" t="n">
        <x:f>SUM(Q993:S993)</x:f>
        <x:v>6</x:v>
      </x:c>
      <x:c r="AI993" s="17" t="n">
        <x:f>SUM(U993:Y993)</x:f>
        <x:v>0</x:v>
      </x:c>
      <x:c r="AJ993" s="17" t="str">
        <x:f>IF(AE993&lt;=34,"≤34",IF(AE993&lt;=44,"35–44",IF(AE993&lt;=54,"45–54",IF(AE993&lt;=64,"55–64","65+"))))</x:f>
        <x:v>55–64</x:v>
      </x:c>
      <x:c r="AK993" s="17" t="str">
        <x:f>IF(AG993&gt;=1000,"High Value",IF(AG993&gt;=300,"Mid Value","Low Value"))</x:f>
        <x:v>Low Value</x:v>
      </x:c>
      <x:c r="AL993" s="17" t="str">
        <x:f>IF(AND(AI993&gt;=1,I993&lt;=50),"Priority 1",IF(AND(AG993&gt;=1000,I993&lt;=60),"Priority 2",IF(I993&lt;=30,"Priority 3","Nurture")))</x:f>
        <x:v>Nurture</x:v>
      </x:c>
    </x:row>
    <x:row r="994">
      <x:c r="A994" s="16" t="n">
        <x:v>5184</x:v>
      </x:c>
      <x:c r="B994" s="16" t="n">
        <x:v>1995</x:v>
      </x:c>
      <x:c r="C994" s="16" t="str">
        <x:v>Graduation</x:v>
      </x:c>
      <x:c r="D994" s="16" t="str">
        <x:v>Single</x:v>
      </x:c>
      <x:c r="E994" s="16" t="n">
        <x:v>34824</x:v>
      </x:c>
      <x:c r="F994" s="16" t="n">
        <x:v>0</x:v>
      </x:c>
      <x:c r="G994" s="16" t="n">
        <x:v>0</x:v>
      </x:c>
      <x:c r="H994" s="16" t="str">
        <x:v>26-03-2014</x:v>
      </x:c>
      <x:c r="I994" s="16" t="n">
        <x:v>65</x:v>
      </x:c>
      <x:c r="J994" s="16" t="n">
        <x:v>4</x:v>
      </x:c>
      <x:c r="K994" s="16" t="n">
        <x:v>2</x:v>
      </x:c>
      <x:c r="L994" s="16" t="n">
        <x:v>11</x:v>
      </x:c>
      <x:c r="M994" s="16" t="n">
        <x:v>2</x:v>
      </x:c>
      <x:c r="N994" s="16" t="n">
        <x:v>0</x:v>
      </x:c>
      <x:c r="O994" s="16" t="n">
        <x:v>4</x:v>
      </x:c>
      <x:c r="P994" s="16" t="n">
        <x:v>1</x:v>
      </x:c>
      <x:c r="Q994" s="16" t="n">
        <x:v>1</x:v>
      </x:c>
      <x:c r="R994" s="16" t="n">
        <x:v>0</x:v>
      </x:c>
      <x:c r="S994" s="16" t="n">
        <x:v>2</x:v>
      </x:c>
      <x:c r="T994" s="16" t="n">
        <x:v>6</x:v>
      </x:c>
      <x:c r="U994" s="16" t="n">
        <x:v>0</x:v>
      </x:c>
      <x:c r="V994" s="16" t="n">
        <x:v>0</x:v>
      </x:c>
      <x:c r="W994" s="16" t="n">
        <x:v>0</x:v>
      </x:c>
      <x:c r="X994" s="16" t="n">
        <x:v>0</x:v>
      </x:c>
      <x:c r="Y994" s="16" t="n">
        <x:v>0</x:v>
      </x:c>
      <x:c r="Z994" s="16" t="n">
        <x:v>0</x:v>
      </x:c>
      <x:c r="AA994" s="16" t="n">
        <x:v>3</x:v>
      </x:c>
      <x:c r="AB994" s="16" t="n">
        <x:v>11</x:v>
      </x:c>
      <x:c r="AC994" s="16" t="n">
        <x:v>0</x:v>
      </x:c>
      <x:c r="AD994" s="21" t="n">
        <x:f>IF(E994="",MEDIAN($E$2:$E$2237),E994)</x:f>
        <x:v>34824</x:v>
      </x:c>
      <x:c r="AE994" s="17" t="n">
        <x:f>2014-B994</x:f>
        <x:v>19</x:v>
      </x:c>
      <x:c r="AF994" s="17" t="n">
        <x:f>F994+G994</x:f>
        <x:v>0</x:v>
      </x:c>
      <x:c r="AG994" s="21" t="n">
        <x:f>SUM(J994:O994)</x:f>
        <x:v>23</x:v>
      </x:c>
      <x:c r="AH994" s="17" t="n">
        <x:f>SUM(Q994:S994)</x:f>
        <x:v>3</x:v>
      </x:c>
      <x:c r="AI994" s="17" t="n">
        <x:f>SUM(U994:Y994)</x:f>
        <x:v>0</x:v>
      </x:c>
      <x:c r="AJ994" s="17" t="str">
        <x:f>IF(AE994&lt;=34,"≤34",IF(AE994&lt;=44,"35–44",IF(AE994&lt;=54,"45–54",IF(AE994&lt;=64,"55–64","65+"))))</x:f>
        <x:v>≤34</x:v>
      </x:c>
      <x:c r="AK994" s="17" t="str">
        <x:f>IF(AG994&gt;=1000,"High Value",IF(AG994&gt;=300,"Mid Value","Low Value"))</x:f>
        <x:v>Low Value</x:v>
      </x:c>
      <x:c r="AL994" s="17" t="str">
        <x:f>IF(AND(AI994&gt;=1,I994&lt;=50),"Priority 1",IF(AND(AG994&gt;=1000,I994&lt;=60),"Priority 2",IF(I994&lt;=30,"Priority 3","Nurture")))</x:f>
        <x:v>Nurture</x:v>
      </x:c>
    </x:row>
    <x:row r="995">
      <x:c r="A995" s="16" t="n">
        <x:v>8492</x:v>
      </x:c>
      <x:c r="B995" s="16" t="n">
        <x:v>1978</x:v>
      </x:c>
      <x:c r="C995" s="16" t="str">
        <x:v>Graduation</x:v>
      </x:c>
      <x:c r="D995" s="16" t="str">
        <x:v>Together</x:v>
      </x:c>
      <x:c r="E995" s="16" t="n">
        <x:v>75437</x:v>
      </x:c>
      <x:c r="F995" s="16" t="n">
        <x:v>0</x:v>
      </x:c>
      <x:c r="G995" s="16" t="n">
        <x:v>0</x:v>
      </x:c>
      <x:c r="H995" s="16" t="str">
        <x:v>09-11-2013</x:v>
      </x:c>
      <x:c r="I995" s="16" t="n">
        <x:v>25</x:v>
      </x:c>
      <x:c r="J995" s="16" t="n">
        <x:v>795</x:v>
      </x:c>
      <x:c r="K995" s="16" t="n">
        <x:v>0</x:v>
      </x:c>
      <x:c r="L995" s="16" t="n">
        <x:v>545</x:v>
      </x:c>
      <x:c r="M995" s="16" t="n">
        <x:v>95</x:v>
      </x:c>
      <x:c r="N995" s="16" t="n">
        <x:v>58</x:v>
      </x:c>
      <x:c r="O995" s="16" t="n">
        <x:v>0</x:v>
      </x:c>
      <x:c r="P995" s="16" t="n">
        <x:v>1</x:v>
      </x:c>
      <x:c r="Q995" s="16" t="n">
        <x:v>8</x:v>
      </x:c>
      <x:c r="R995" s="16" t="n">
        <x:v>4</x:v>
      </x:c>
      <x:c r="S995" s="16" t="n">
        <x:v>10</x:v>
      </x:c>
      <x:c r="T995" s="16" t="n">
        <x:v>6</x:v>
      </x:c>
      <x:c r="U995" s="16" t="n">
        <x:v>0</x:v>
      </x:c>
      <x:c r="V995" s="16" t="n">
        <x:v>0</x:v>
      </x:c>
      <x:c r="W995" s="16" t="n">
        <x:v>0</x:v>
      </x:c>
      <x:c r="X995" s="16" t="n">
        <x:v>1</x:v>
      </x:c>
      <x:c r="Y995" s="16" t="n">
        <x:v>0</x:v>
      </x:c>
      <x:c r="Z995" s="16" t="n">
        <x:v>0</x:v>
      </x:c>
      <x:c r="AA995" s="16" t="n">
        <x:v>3</x:v>
      </x:c>
      <x:c r="AB995" s="16" t="n">
        <x:v>11</x:v>
      </x:c>
      <x:c r="AC995" s="16" t="n">
        <x:v>0</x:v>
      </x:c>
      <x:c r="AD995" s="21" t="n">
        <x:f>IF(E995="",MEDIAN($E$2:$E$2237),E995)</x:f>
        <x:v>75437</x:v>
      </x:c>
      <x:c r="AE995" s="17" t="n">
        <x:f>2014-B995</x:f>
        <x:v>36</x:v>
      </x:c>
      <x:c r="AF995" s="17" t="n">
        <x:f>F995+G995</x:f>
        <x:v>0</x:v>
      </x:c>
      <x:c r="AG995" s="21" t="n">
        <x:f>SUM(J995:O995)</x:f>
        <x:v>1493</x:v>
      </x:c>
      <x:c r="AH995" s="17" t="n">
        <x:f>SUM(Q995:S995)</x:f>
        <x:v>22</x:v>
      </x:c>
      <x:c r="AI995" s="17" t="n">
        <x:f>SUM(U995:Y995)</x:f>
        <x:v>1</x:v>
      </x:c>
      <x:c r="AJ995" s="17" t="str">
        <x:f>IF(AE995&lt;=34,"≤34",IF(AE995&lt;=44,"35–44",IF(AE995&lt;=54,"45–54",IF(AE995&lt;=64,"55–64","65+"))))</x:f>
        <x:v>35–44</x:v>
      </x:c>
      <x:c r="AK995" s="17" t="str">
        <x:f>IF(AG995&gt;=1000,"High Value",IF(AG995&gt;=300,"Mid Value","Low Value"))</x:f>
        <x:v>High Value</x:v>
      </x:c>
      <x:c r="AL995" s="17" t="str">
        <x:f>IF(AND(AI995&gt;=1,I995&lt;=50),"Priority 1",IF(AND(AG995&gt;=1000,I995&lt;=60),"Priority 2",IF(I995&lt;=30,"Priority 3","Nurture")))</x:f>
        <x:v>Priority 1</x:v>
      </x:c>
    </x:row>
    <x:row r="996">
      <x:c r="A996" s="16" t="n">
        <x:v>11188</x:v>
      </x:c>
      <x:c r="B996" s="16" t="n">
        <x:v>1957</x:v>
      </x:c>
      <x:c r="C996" s="16" t="str">
        <x:v>Graduation</x:v>
      </x:c>
      <x:c r="D996" s="16" t="str">
        <x:v>Together</x:v>
      </x:c>
      <x:c r="E996" s="16" t="n">
        <x:v>26091</x:v>
      </x:c>
      <x:c r="F996" s="16" t="n">
        <x:v>1</x:v>
      </x:c>
      <x:c r="G996" s="16" t="n">
        <x:v>1</x:v>
      </x:c>
      <x:c r="H996" s="16" t="str">
        <x:v>25-02-2014</x:v>
      </x:c>
      <x:c r="I996" s="16" t="n">
        <x:v>84</x:v>
      </x:c>
      <x:c r="J996" s="16" t="n">
        <x:v>15</x:v>
      </x:c>
      <x:c r="K996" s="16" t="n">
        <x:v>10</x:v>
      </x:c>
      <x:c r="L996" s="16" t="n">
        <x:v>19</x:v>
      </x:c>
      <x:c r="M996" s="16" t="n">
        <x:v>8</x:v>
      </x:c>
      <x:c r="N996" s="16" t="n">
        <x:v>17</x:v>
      </x:c>
      <x:c r="O996" s="16" t="n">
        <x:v>20</x:v>
      </x:c>
      <x:c r="P996" s="16" t="n">
        <x:v>3</x:v>
      </x:c>
      <x:c r="Q996" s="16" t="n">
        <x:v>2</x:v>
      </x:c>
      <x:c r="R996" s="16" t="n">
        <x:v>1</x:v>
      </x:c>
      <x:c r="S996" s="16" t="n">
        <x:v>3</x:v>
      </x:c>
      <x:c r="T996" s="16" t="n">
        <x:v>5</x:v>
      </x:c>
      <x:c r="U996" s="16" t="n">
        <x:v>0</x:v>
      </x:c>
      <x:c r="V996" s="16" t="n">
        <x:v>0</x:v>
      </x:c>
      <x:c r="W996" s="16" t="n">
        <x:v>0</x:v>
      </x:c>
      <x:c r="X996" s="16" t="n">
        <x:v>0</x:v>
      </x:c>
      <x:c r="Y996" s="16" t="n">
        <x:v>0</x:v>
      </x:c>
      <x:c r="Z996" s="16" t="n">
        <x:v>0</x:v>
      </x:c>
      <x:c r="AA996" s="16" t="n">
        <x:v>3</x:v>
      </x:c>
      <x:c r="AB996" s="16" t="n">
        <x:v>11</x:v>
      </x:c>
      <x:c r="AC996" s="16" t="n">
        <x:v>0</x:v>
      </x:c>
      <x:c r="AD996" s="21" t="n">
        <x:f>IF(E996="",MEDIAN($E$2:$E$2237),E996)</x:f>
        <x:v>26091</x:v>
      </x:c>
      <x:c r="AE996" s="17" t="n">
        <x:f>2014-B996</x:f>
        <x:v>57</x:v>
      </x:c>
      <x:c r="AF996" s="17" t="n">
        <x:f>F996+G996</x:f>
        <x:v>2</x:v>
      </x:c>
      <x:c r="AG996" s="21" t="n">
        <x:f>SUM(J996:O996)</x:f>
        <x:v>89</x:v>
      </x:c>
      <x:c r="AH996" s="17" t="n">
        <x:f>SUM(Q996:S996)</x:f>
        <x:v>6</x:v>
      </x:c>
      <x:c r="AI996" s="17" t="n">
        <x:f>SUM(U996:Y996)</x:f>
        <x:v>0</x:v>
      </x:c>
      <x:c r="AJ996" s="17" t="str">
        <x:f>IF(AE996&lt;=34,"≤34",IF(AE996&lt;=44,"35–44",IF(AE996&lt;=54,"45–54",IF(AE996&lt;=64,"55–64","65+"))))</x:f>
        <x:v>55–64</x:v>
      </x:c>
      <x:c r="AK996" s="17" t="str">
        <x:f>IF(AG996&gt;=1000,"High Value",IF(AG996&gt;=300,"Mid Value","Low Value"))</x:f>
        <x:v>Low Value</x:v>
      </x:c>
      <x:c r="AL996" s="17" t="str">
        <x:f>IF(AND(AI996&gt;=1,I996&lt;=50),"Priority 1",IF(AND(AG996&gt;=1000,I996&lt;=60),"Priority 2",IF(I996&lt;=30,"Priority 3","Nurture")))</x:f>
        <x:v>Nurture</x:v>
      </x:c>
    </x:row>
    <x:row r="997">
      <x:c r="A997" s="16" t="n">
        <x:v>1212</x:v>
      </x:c>
      <x:c r="B997" s="16" t="n">
        <x:v>1973</x:v>
      </x:c>
      <x:c r="C997" s="16" t="str">
        <x:v>Graduation</x:v>
      </x:c>
      <x:c r="D997" s="16" t="str">
        <x:v>Married</x:v>
      </x:c>
      <x:c r="E997" s="16" t="n">
        <x:v>52845</x:v>
      </x:c>
      <x:c r="F997" s="16" t="n">
        <x:v>1</x:v>
      </x:c>
      <x:c r="G997" s="16" t="n">
        <x:v>0</x:v>
      </x:c>
      <x:c r="H997" s="16" t="str">
        <x:v>13-08-2013</x:v>
      </x:c>
      <x:c r="I997" s="16" t="n">
        <x:v>7</x:v>
      </x:c>
      <x:c r="J997" s="16" t="n">
        <x:v>384</x:v>
      </x:c>
      <x:c r="K997" s="16" t="n">
        <x:v>25</x:v>
      </x:c>
      <x:c r="L997" s="16" t="n">
        <x:v>292</x:v>
      </x:c>
      <x:c r="M997" s="16" t="n">
        <x:v>130</x:v>
      </x:c>
      <x:c r="N997" s="16" t="n">
        <x:v>41</x:v>
      </x:c>
      <x:c r="O997" s="16" t="n">
        <x:v>64</x:v>
      </x:c>
      <x:c r="P997" s="16" t="n">
        <x:v>3</x:v>
      </x:c>
      <x:c r="Q997" s="16" t="n">
        <x:v>8</x:v>
      </x:c>
      <x:c r="R997" s="16" t="n">
        <x:v>8</x:v>
      </x:c>
      <x:c r="S997" s="16" t="n">
        <x:v>6</x:v>
      </x:c>
      <x:c r="T997" s="16" t="n">
        <x:v>6</x:v>
      </x:c>
      <x:c r="U997" s="16" t="n">
        <x:v>1</x:v>
      </x:c>
      <x:c r="V997" s="16" t="n">
        <x:v>0</x:v>
      </x:c>
      <x:c r="W997" s="16" t="n">
        <x:v>0</x:v>
      </x:c>
      <x:c r="X997" s="16" t="n">
        <x:v>0</x:v>
      </x:c>
      <x:c r="Y997" s="16" t="n">
        <x:v>0</x:v>
      </x:c>
      <x:c r="Z997" s="16" t="n">
        <x:v>0</x:v>
      </x:c>
      <x:c r="AA997" s="16" t="n">
        <x:v>3</x:v>
      </x:c>
      <x:c r="AB997" s="16" t="n">
        <x:v>11</x:v>
      </x:c>
      <x:c r="AC997" s="16" t="n">
        <x:v>0</x:v>
      </x:c>
      <x:c r="AD997" s="21" t="n">
        <x:f>IF(E997="",MEDIAN($E$2:$E$2237),E997)</x:f>
        <x:v>52845</x:v>
      </x:c>
      <x:c r="AE997" s="17" t="n">
        <x:f>2014-B997</x:f>
        <x:v>41</x:v>
      </x:c>
      <x:c r="AF997" s="17" t="n">
        <x:f>F997+G997</x:f>
        <x:v>1</x:v>
      </x:c>
      <x:c r="AG997" s="21" t="n">
        <x:f>SUM(J997:O997)</x:f>
        <x:v>936</x:v>
      </x:c>
      <x:c r="AH997" s="17" t="n">
        <x:f>SUM(Q997:S997)</x:f>
        <x:v>22</x:v>
      </x:c>
      <x:c r="AI997" s="17" t="n">
        <x:f>SUM(U997:Y997)</x:f>
        <x:v>1</x:v>
      </x:c>
      <x:c r="AJ997" s="17" t="str">
        <x:f>IF(AE997&lt;=34,"≤34",IF(AE997&lt;=44,"35–44",IF(AE997&lt;=54,"45–54",IF(AE997&lt;=64,"55–64","65+"))))</x:f>
        <x:v>35–44</x:v>
      </x:c>
      <x:c r="AK997" s="17" t="str">
        <x:f>IF(AG997&gt;=1000,"High Value",IF(AG997&gt;=300,"Mid Value","Low Value"))</x:f>
        <x:v>Mid Value</x:v>
      </x:c>
      <x:c r="AL997" s="17" t="str">
        <x:f>IF(AND(AI997&gt;=1,I997&lt;=50),"Priority 1",IF(AND(AG997&gt;=1000,I997&lt;=60),"Priority 2",IF(I997&lt;=30,"Priority 3","Nurture")))</x:f>
        <x:v>Priority 1</x:v>
      </x:c>
    </x:row>
    <x:row r="998">
      <x:c r="A998" s="16" t="n">
        <x:v>9097</x:v>
      </x:c>
      <x:c r="B998" s="16" t="n">
        <x:v>1956</x:v>
      </x:c>
      <x:c r="C998" s="16" t="str">
        <x:v>Graduation</x:v>
      </x:c>
      <x:c r="D998" s="16" t="str">
        <x:v>Divorced</x:v>
      </x:c>
      <x:c r="E998" s="16" t="n">
        <x:v>46086</x:v>
      </x:c>
      <x:c r="F998" s="16" t="n">
        <x:v>0</x:v>
      </x:c>
      <x:c r="G998" s="16" t="n">
        <x:v>1</x:v>
      </x:c>
      <x:c r="H998" s="16" t="str">
        <x:v>03-11-2013</x:v>
      </x:c>
      <x:c r="I998" s="16" t="n">
        <x:v>34</x:v>
      </x:c>
      <x:c r="J998" s="16" t="n">
        <x:v>244</x:v>
      </x:c>
      <x:c r="K998" s="16" t="n">
        <x:v>8</x:v>
      </x:c>
      <x:c r="L998" s="16" t="n">
        <x:v>32</x:v>
      </x:c>
      <x:c r="M998" s="16" t="n">
        <x:v>7</x:v>
      </x:c>
      <x:c r="N998" s="16" t="n">
        <x:v>2</x:v>
      </x:c>
      <x:c r="O998" s="16" t="n">
        <x:v>50</x:v>
      </x:c>
      <x:c r="P998" s="16" t="n">
        <x:v>4</x:v>
      </x:c>
      <x:c r="Q998" s="16" t="n">
        <x:v>3</x:v>
      </x:c>
      <x:c r="R998" s="16" t="n">
        <x:v>1</x:v>
      </x:c>
      <x:c r="S998" s="16" t="n">
        <x:v>8</x:v>
      </x:c>
      <x:c r="T998" s="16" t="n">
        <x:v>4</x:v>
      </x:c>
      <x:c r="U998" s="16" t="n">
        <x:v>0</x:v>
      </x:c>
      <x:c r="V998" s="16" t="n">
        <x:v>0</x:v>
      </x:c>
      <x:c r="W998" s="16" t="n">
        <x:v>0</x:v>
      </x:c>
      <x:c r="X998" s="16" t="n">
        <x:v>0</x:v>
      </x:c>
      <x:c r="Y998" s="16" t="n">
        <x:v>0</x:v>
      </x:c>
      <x:c r="Z998" s="16" t="n">
        <x:v>0</x:v>
      </x:c>
      <x:c r="AA998" s="16" t="n">
        <x:v>3</x:v>
      </x:c>
      <x:c r="AB998" s="16" t="n">
        <x:v>11</x:v>
      </x:c>
      <x:c r="AC998" s="16" t="n">
        <x:v>0</x:v>
      </x:c>
      <x:c r="AD998" s="21" t="n">
        <x:f>IF(E998="",MEDIAN($E$2:$E$2237),E998)</x:f>
        <x:v>46086</x:v>
      </x:c>
      <x:c r="AE998" s="17" t="n">
        <x:f>2014-B998</x:f>
        <x:v>58</x:v>
      </x:c>
      <x:c r="AF998" s="17" t="n">
        <x:f>F998+G998</x:f>
        <x:v>1</x:v>
      </x:c>
      <x:c r="AG998" s="21" t="n">
        <x:f>SUM(J998:O998)</x:f>
        <x:v>343</x:v>
      </x:c>
      <x:c r="AH998" s="17" t="n">
        <x:f>SUM(Q998:S998)</x:f>
        <x:v>12</x:v>
      </x:c>
      <x:c r="AI998" s="17" t="n">
        <x:f>SUM(U998:Y998)</x:f>
        <x:v>0</x:v>
      </x:c>
      <x:c r="AJ998" s="17" t="str">
        <x:f>IF(AE998&lt;=34,"≤34",IF(AE998&lt;=44,"35–44",IF(AE998&lt;=54,"45–54",IF(AE998&lt;=64,"55–64","65+"))))</x:f>
        <x:v>55–64</x:v>
      </x:c>
      <x:c r="AK998" s="17" t="str">
        <x:f>IF(AG998&gt;=1000,"High Value",IF(AG998&gt;=300,"Mid Value","Low Value"))</x:f>
        <x:v>Mid Value</x:v>
      </x:c>
      <x:c r="AL998" s="17" t="str">
        <x:f>IF(AND(AI998&gt;=1,I998&lt;=50),"Priority 1",IF(AND(AG998&gt;=1000,I998&lt;=60),"Priority 2",IF(I998&lt;=30,"Priority 3","Nurture")))</x:f>
        <x:v>Nurture</x:v>
      </x:c>
    </x:row>
    <x:row r="999">
      <x:c r="A999" s="16" t="n">
        <x:v>10473</x:v>
      </x:c>
      <x:c r="B999" s="16" t="n">
        <x:v>1956</x:v>
      </x:c>
      <x:c r="C999" s="16" t="str">
        <x:v>PhD</x:v>
      </x:c>
      <x:c r="D999" s="16" t="str">
        <x:v>Widow</x:v>
      </x:c>
      <x:c r="E999" s="16" t="n">
        <x:v>78028</x:v>
      </x:c>
      <x:c r="F999" s="16" t="n">
        <x:v>0</x:v>
      </x:c>
      <x:c r="G999" s="16" t="n">
        <x:v>1</x:v>
      </x:c>
      <x:c r="H999" s="16" t="str">
        <x:v>10-09-2012</x:v>
      </x:c>
      <x:c r="I999" s="16" t="n">
        <x:v>38</x:v>
      </x:c>
      <x:c r="J999" s="16" t="n">
        <x:v>158</x:v>
      </x:c>
      <x:c r="K999" s="16" t="n">
        <x:v>19</x:v>
      </x:c>
      <x:c r="L999" s="16" t="n">
        <x:v>288</x:v>
      </x:c>
      <x:c r="M999" s="16" t="n">
        <x:v>25</x:v>
      </x:c>
      <x:c r="N999" s="16" t="n">
        <x:v>0</x:v>
      </x:c>
      <x:c r="O999" s="16" t="n">
        <x:v>38</x:v>
      </x:c>
      <x:c r="P999" s="16" t="n">
        <x:v>1</x:v>
      </x:c>
      <x:c r="Q999" s="16" t="n">
        <x:v>6</x:v>
      </x:c>
      <x:c r="R999" s="16" t="n">
        <x:v>4</x:v>
      </x:c>
      <x:c r="S999" s="16" t="n">
        <x:v>9</x:v>
      </x:c>
      <x:c r="T999" s="16" t="n">
        <x:v>7</x:v>
      </x:c>
      <x:c r="U999" s="16" t="n">
        <x:v>0</x:v>
      </x:c>
      <x:c r="V999" s="16" t="n">
        <x:v>1</x:v>
      </x:c>
      <x:c r="W999" s="16" t="n">
        <x:v>1</x:v>
      </x:c>
      <x:c r="X999" s="16" t="n">
        <x:v>0</x:v>
      </x:c>
      <x:c r="Y999" s="16" t="n">
        <x:v>0</x:v>
      </x:c>
      <x:c r="Z999" s="16" t="n">
        <x:v>0</x:v>
      </x:c>
      <x:c r="AA999" s="16" t="n">
        <x:v>3</x:v>
      </x:c>
      <x:c r="AB999" s="16" t="n">
        <x:v>11</x:v>
      </x:c>
      <x:c r="AC999" s="16" t="n">
        <x:v>1</x:v>
      </x:c>
      <x:c r="AD999" s="21" t="n">
        <x:f>IF(E999="",MEDIAN($E$2:$E$2237),E999)</x:f>
        <x:v>78028</x:v>
      </x:c>
      <x:c r="AE999" s="17" t="n">
        <x:f>2014-B999</x:f>
        <x:v>58</x:v>
      </x:c>
      <x:c r="AF999" s="17" t="n">
        <x:f>F999+G999</x:f>
        <x:v>1</x:v>
      </x:c>
      <x:c r="AG999" s="21" t="n">
        <x:f>SUM(J999:O999)</x:f>
        <x:v>528</x:v>
      </x:c>
      <x:c r="AH999" s="17" t="n">
        <x:f>SUM(Q999:S999)</x:f>
        <x:v>19</x:v>
      </x:c>
      <x:c r="AI999" s="17" t="n">
        <x:f>SUM(U999:Y999)</x:f>
        <x:v>2</x:v>
      </x:c>
      <x:c r="AJ999" s="17" t="str">
        <x:f>IF(AE999&lt;=34,"≤34",IF(AE999&lt;=44,"35–44",IF(AE999&lt;=54,"45–54",IF(AE999&lt;=64,"55–64","65+"))))</x:f>
        <x:v>55–64</x:v>
      </x:c>
      <x:c r="AK999" s="17" t="str">
        <x:f>IF(AG999&gt;=1000,"High Value",IF(AG999&gt;=300,"Mid Value","Low Value"))</x:f>
        <x:v>Mid Value</x:v>
      </x:c>
      <x:c r="AL999" s="17" t="str">
        <x:f>IF(AND(AI999&gt;=1,I999&lt;=50),"Priority 1",IF(AND(AG999&gt;=1000,I999&lt;=60),"Priority 2",IF(I999&lt;=30,"Priority 3","Nurture")))</x:f>
        <x:v>Priority 1</x:v>
      </x:c>
    </x:row>
    <x:row r="1000">
      <x:c r="A1000" s="16" t="n">
        <x:v>7962</x:v>
      </x:c>
      <x:c r="B1000" s="16" t="n">
        <x:v>1987</x:v>
      </x:c>
      <x:c r="C1000" s="16" t="str">
        <x:v>PhD</x:v>
      </x:c>
      <x:c r="D1000" s="16" t="str">
        <x:v>Single</x:v>
      </x:c>
      <x:c r="E1000" s="16" t="n">
        <x:v>95169</x:v>
      </x:c>
      <x:c r="F1000" s="16" t="n">
        <x:v>0</x:v>
      </x:c>
      <x:c r="G1000" s="16" t="n">
        <x:v>0</x:v>
      </x:c>
      <x:c r="H1000" s="16" t="str">
        <x:v>09-10-2013</x:v>
      </x:c>
      <x:c r="I1000" s="16" t="n">
        <x:v>1</x:v>
      </x:c>
      <x:c r="J1000" s="16" t="n">
        <x:v>1285</x:v>
      </x:c>
      <x:c r="K1000" s="16" t="n">
        <x:v>21</x:v>
      </x:c>
      <x:c r="L1000" s="16" t="n">
        <x:v>449</x:v>
      </x:c>
      <x:c r="M1000" s="16" t="n">
        <x:v>106</x:v>
      </x:c>
      <x:c r="N1000" s="16" t="n">
        <x:v>20</x:v>
      </x:c>
      <x:c r="O1000" s="16" t="n">
        <x:v>20</x:v>
      </x:c>
      <x:c r="P1000" s="16" t="n">
        <x:v>1</x:v>
      </x:c>
      <x:c r="Q1000" s="16" t="n">
        <x:v>4</x:v>
      </x:c>
      <x:c r="R1000" s="16" t="n">
        <x:v>3</x:v>
      </x:c>
      <x:c r="S1000" s="16" t="n">
        <x:v>4</x:v>
      </x:c>
      <x:c r="T1000" s="16" t="n">
        <x:v>1</x:v>
      </x:c>
      <x:c r="U1000" s="16" t="n">
        <x:v>0</x:v>
      </x:c>
      <x:c r="V1000" s="16" t="n">
        <x:v>0</x:v>
      </x:c>
      <x:c r="W1000" s="16" t="n">
        <x:v>1</x:v>
      </x:c>
      <x:c r="X1000" s="16" t="n">
        <x:v>1</x:v>
      </x:c>
      <x:c r="Y1000" s="16" t="n">
        <x:v>0</x:v>
      </x:c>
      <x:c r="Z1000" s="16" t="n">
        <x:v>0</x:v>
      </x:c>
      <x:c r="AA1000" s="16" t="n">
        <x:v>3</x:v>
      </x:c>
      <x:c r="AB1000" s="16" t="n">
        <x:v>11</x:v>
      </x:c>
      <x:c r="AC1000" s="16" t="n">
        <x:v>1</x:v>
      </x:c>
      <x:c r="AD1000" s="21" t="n">
        <x:f>IF(E1000="",MEDIAN($E$2:$E$2237),E1000)</x:f>
        <x:v>95169</x:v>
      </x:c>
      <x:c r="AE1000" s="17" t="n">
        <x:f>2014-B1000</x:f>
        <x:v>27</x:v>
      </x:c>
      <x:c r="AF1000" s="17" t="n">
        <x:f>F1000+G1000</x:f>
        <x:v>0</x:v>
      </x:c>
      <x:c r="AG1000" s="21" t="n">
        <x:f>SUM(J1000:O1000)</x:f>
        <x:v>1901</x:v>
      </x:c>
      <x:c r="AH1000" s="17" t="n">
        <x:f>SUM(Q1000:S1000)</x:f>
        <x:v>11</x:v>
      </x:c>
      <x:c r="AI1000" s="17" t="n">
        <x:f>SUM(U1000:Y1000)</x:f>
        <x:v>2</x:v>
      </x:c>
      <x:c r="AJ1000" s="17" t="str">
        <x:f>IF(AE1000&lt;=34,"≤34",IF(AE1000&lt;=44,"35–44",IF(AE1000&lt;=54,"45–54",IF(AE1000&lt;=64,"55–64","65+"))))</x:f>
        <x:v>≤34</x:v>
      </x:c>
      <x:c r="AK1000" s="17" t="str">
        <x:f>IF(AG1000&gt;=1000,"High Value",IF(AG1000&gt;=300,"Mid Value","Low Value"))</x:f>
        <x:v>High Value</x:v>
      </x:c>
      <x:c r="AL1000" s="17" t="str">
        <x:f>IF(AND(AI1000&gt;=1,I1000&lt;=50),"Priority 1",IF(AND(AG1000&gt;=1000,I1000&lt;=60),"Priority 2",IF(I1000&lt;=30,"Priority 3","Nurture")))</x:f>
        <x:v>Priority 1</x:v>
      </x:c>
    </x:row>
    <x:row r="1001">
      <x:c r="A1001" s="16" t="n">
        <x:v>9984</x:v>
      </x:c>
      <x:c r="B1001" s="16" t="n">
        <x:v>1981</x:v>
      </x:c>
      <x:c r="C1001" s="16" t="str">
        <x:v>2n Cycle</x:v>
      </x:c>
      <x:c r="D1001" s="16" t="str">
        <x:v>Married</x:v>
      </x:c>
      <x:c r="E1001" s="16" t="n">
        <x:v>56337</x:v>
      </x:c>
      <x:c r="F1001" s="16" t="n">
        <x:v>1</x:v>
      </x:c>
      <x:c r="G1001" s="16" t="n">
        <x:v>1</x:v>
      </x:c>
      <x:c r="H1001" s="16" t="str">
        <x:v>27-03-2013</x:v>
      </x:c>
      <x:c r="I1001" s="16" t="n">
        <x:v>25</x:v>
      </x:c>
      <x:c r="J1001" s="16" t="n">
        <x:v>349</x:v>
      </x:c>
      <x:c r="K1001" s="16" t="n">
        <x:v>16</x:v>
      </x:c>
      <x:c r="L1001" s="16" t="n">
        <x:v>144</x:v>
      </x:c>
      <x:c r="M1001" s="16" t="n">
        <x:v>28</x:v>
      </x:c>
      <x:c r="N1001" s="16" t="n">
        <x:v>5</x:v>
      </x:c>
      <x:c r="O1001" s="16" t="n">
        <x:v>182</x:v>
      </x:c>
      <x:c r="P1001" s="16" t="n">
        <x:v>5</x:v>
      </x:c>
      <x:c r="Q1001" s="16" t="n">
        <x:v>8</x:v>
      </x:c>
      <x:c r="R1001" s="16" t="n">
        <x:v>5</x:v>
      </x:c>
      <x:c r="S1001" s="16" t="n">
        <x:v>4</x:v>
      </x:c>
      <x:c r="T1001" s="16" t="n">
        <x:v>8</x:v>
      </x:c>
      <x:c r="U1001" s="16" t="n">
        <x:v>1</x:v>
      </x:c>
      <x:c r="V1001" s="16" t="n">
        <x:v>0</x:v>
      </x:c>
      <x:c r="W1001" s="16" t="n">
        <x:v>0</x:v>
      </x:c>
      <x:c r="X1001" s="16" t="n">
        <x:v>1</x:v>
      </x:c>
      <x:c r="Y1001" s="16" t="n">
        <x:v>0</x:v>
      </x:c>
      <x:c r="Z1001" s="16" t="n">
        <x:v>0</x:v>
      </x:c>
      <x:c r="AA1001" s="16" t="n">
        <x:v>3</x:v>
      </x:c>
      <x:c r="AB1001" s="16" t="n">
        <x:v>11</x:v>
      </x:c>
      <x:c r="AC1001" s="16" t="n">
        <x:v>1</x:v>
      </x:c>
      <x:c r="AD1001" s="21" t="n">
        <x:f>IF(E1001="",MEDIAN($E$2:$E$2237),E1001)</x:f>
        <x:v>56337</x:v>
      </x:c>
      <x:c r="AE1001" s="17" t="n">
        <x:f>2014-B1001</x:f>
        <x:v>33</x:v>
      </x:c>
      <x:c r="AF1001" s="17" t="n">
        <x:f>F1001+G1001</x:f>
        <x:v>2</x:v>
      </x:c>
      <x:c r="AG1001" s="21" t="n">
        <x:f>SUM(J1001:O1001)</x:f>
        <x:v>724</x:v>
      </x:c>
      <x:c r="AH1001" s="17" t="n">
        <x:f>SUM(Q1001:S1001)</x:f>
        <x:v>17</x:v>
      </x:c>
      <x:c r="AI1001" s="17" t="n">
        <x:f>SUM(U1001:Y1001)</x:f>
        <x:v>2</x:v>
      </x:c>
      <x:c r="AJ1001" s="17" t="str">
        <x:f>IF(AE1001&lt;=34,"≤34",IF(AE1001&lt;=44,"35–44",IF(AE1001&lt;=54,"45–54",IF(AE1001&lt;=64,"55–64","65+"))))</x:f>
        <x:v>≤34</x:v>
      </x:c>
      <x:c r="AK1001" s="17" t="str">
        <x:f>IF(AG1001&gt;=1000,"High Value",IF(AG1001&gt;=300,"Mid Value","Low Value"))</x:f>
        <x:v>Mid Value</x:v>
      </x:c>
      <x:c r="AL1001" s="17" t="str">
        <x:f>IF(AND(AI1001&gt;=1,I1001&lt;=50),"Priority 1",IF(AND(AG1001&gt;=1000,I1001&lt;=60),"Priority 2",IF(I1001&lt;=30,"Priority 3","Nurture")))</x:f>
        <x:v>Priority 1</x:v>
      </x:c>
    </x:row>
    <x:row r="1002">
      <x:c r="A1002" s="16" t="n">
        <x:v>5527</x:v>
      </x:c>
      <x:c r="B1002" s="16" t="n">
        <x:v>1987</x:v>
      </x:c>
      <x:c r="C1002" s="16" t="str">
        <x:v>Graduation</x:v>
      </x:c>
      <x:c r="D1002" s="16" t="str">
        <x:v>Together</x:v>
      </x:c>
      <x:c r="E1002" s="16" t="n">
        <x:v>22434</x:v>
      </x:c>
      <x:c r="F1002" s="16" t="n">
        <x:v>1</x:v>
      </x:c>
      <x:c r="G1002" s="16" t="n">
        <x:v>0</x:v>
      </x:c>
      <x:c r="H1002" s="16" t="str">
        <x:v>13-02-2013</x:v>
      </x:c>
      <x:c r="I1002" s="16" t="n">
        <x:v>25</x:v>
      </x:c>
      <x:c r="J1002" s="16" t="n">
        <x:v>4</x:v>
      </x:c>
      <x:c r="K1002" s="16" t="n">
        <x:v>12</x:v>
      </x:c>
      <x:c r="L1002" s="16" t="n">
        <x:v>11</x:v>
      </x:c>
      <x:c r="M1002" s="16" t="n">
        <x:v>3</x:v>
      </x:c>
      <x:c r="N1002" s="16" t="n">
        <x:v>13</x:v>
      </x:c>
      <x:c r="O1002" s="16" t="n">
        <x:v>15</x:v>
      </x:c>
      <x:c r="P1002" s="16" t="n">
        <x:v>2</x:v>
      </x:c>
      <x:c r="Q1002" s="16" t="n">
        <x:v>2</x:v>
      </x:c>
      <x:c r="R1002" s="16" t="n">
        <x:v>0</x:v>
      </x:c>
      <x:c r="S1002" s="16" t="n">
        <x:v>3</x:v>
      </x:c>
      <x:c r="T1002" s="16" t="n">
        <x:v>8</x:v>
      </x:c>
      <x:c r="U1002" s="16" t="n">
        <x:v>0</x:v>
      </x:c>
      <x:c r="V1002" s="16" t="n">
        <x:v>0</x:v>
      </x:c>
      <x:c r="W1002" s="16" t="n">
        <x:v>0</x:v>
      </x:c>
      <x:c r="X1002" s="16" t="n">
        <x:v>0</x:v>
      </x:c>
      <x:c r="Y1002" s="16" t="n">
        <x:v>0</x:v>
      </x:c>
      <x:c r="Z1002" s="16" t="n">
        <x:v>0</x:v>
      </x:c>
      <x:c r="AA1002" s="16" t="n">
        <x:v>3</x:v>
      </x:c>
      <x:c r="AB1002" s="16" t="n">
        <x:v>11</x:v>
      </x:c>
      <x:c r="AC1002" s="16" t="n">
        <x:v>0</x:v>
      </x:c>
      <x:c r="AD1002" s="21" t="n">
        <x:f>IF(E1002="",MEDIAN($E$2:$E$2237),E1002)</x:f>
        <x:v>22434</x:v>
      </x:c>
      <x:c r="AE1002" s="17" t="n">
        <x:f>2014-B1002</x:f>
        <x:v>27</x:v>
      </x:c>
      <x:c r="AF1002" s="17" t="n">
        <x:f>F1002+G1002</x:f>
        <x:v>1</x:v>
      </x:c>
      <x:c r="AG1002" s="21" t="n">
        <x:f>SUM(J1002:O1002)</x:f>
        <x:v>58</x:v>
      </x:c>
      <x:c r="AH1002" s="17" t="n">
        <x:f>SUM(Q1002:S1002)</x:f>
        <x:v>5</x:v>
      </x:c>
      <x:c r="AI1002" s="17" t="n">
        <x:f>SUM(U1002:Y1002)</x:f>
        <x:v>0</x:v>
      </x:c>
      <x:c r="AJ1002" s="17" t="str">
        <x:f>IF(AE1002&lt;=34,"≤34",IF(AE1002&lt;=44,"35–44",IF(AE1002&lt;=54,"45–54",IF(AE1002&lt;=64,"55–64","65+"))))</x:f>
        <x:v>≤34</x:v>
      </x:c>
      <x:c r="AK1002" s="17" t="str">
        <x:f>IF(AG1002&gt;=1000,"High Value",IF(AG1002&gt;=300,"Mid Value","Low Value"))</x:f>
        <x:v>Low Value</x:v>
      </x:c>
      <x:c r="AL1002" s="17" t="str">
        <x:f>IF(AND(AI1002&gt;=1,I1002&lt;=50),"Priority 1",IF(AND(AG1002&gt;=1000,I1002&lt;=60),"Priority 2",IF(I1002&lt;=30,"Priority 3","Nurture")))</x:f>
        <x:v>Priority 3</x:v>
      </x:c>
    </x:row>
    <x:row r="1003">
      <x:c r="A1003" s="16" t="n">
        <x:v>6374</x:v>
      </x:c>
      <x:c r="B1003" s="16" t="n">
        <x:v>1954</x:v>
      </x:c>
      <x:c r="C1003" s="16" t="str">
        <x:v>PhD</x:v>
      </x:c>
      <x:c r="D1003" s="16" t="str">
        <x:v>Married</x:v>
      </x:c>
      <x:c r="E1003" s="16" t="n">
        <x:v>36930</x:v>
      </x:c>
      <x:c r="F1003" s="16" t="n">
        <x:v>0</x:v>
      </x:c>
      <x:c r="G1003" s="16" t="n">
        <x:v>1</x:v>
      </x:c>
      <x:c r="H1003" s="16" t="str">
        <x:v>17-05-2013</x:v>
      </x:c>
      <x:c r="I1003" s="16" t="n">
        <x:v>50</x:v>
      </x:c>
      <x:c r="J1003" s="16" t="n">
        <x:v>223</x:v>
      </x:c>
      <x:c r="K1003" s="16" t="n">
        <x:v>2</x:v>
      </x:c>
      <x:c r="L1003" s="16" t="n">
        <x:v>31</x:v>
      </x:c>
      <x:c r="M1003" s="16" t="n">
        <x:v>0</x:v>
      </x:c>
      <x:c r="N1003" s="16" t="n">
        <x:v>2</x:v>
      </x:c>
      <x:c r="O1003" s="16" t="n">
        <x:v>39</x:v>
      </x:c>
      <x:c r="P1003" s="16" t="n">
        <x:v>5</x:v>
      </x:c>
      <x:c r="Q1003" s="16" t="n">
        <x:v>5</x:v>
      </x:c>
      <x:c r="R1003" s="16" t="n">
        <x:v>2</x:v>
      </x:c>
      <x:c r="S1003" s="16" t="n">
        <x:v>4</x:v>
      </x:c>
      <x:c r="T1003" s="16" t="n">
        <x:v>8</x:v>
      </x:c>
      <x:c r="U1003" s="16" t="n">
        <x:v>0</x:v>
      </x:c>
      <x:c r="V1003" s="16" t="n">
        <x:v>0</x:v>
      </x:c>
      <x:c r="W1003" s="16" t="n">
        <x:v>0</x:v>
      </x:c>
      <x:c r="X1003" s="16" t="n">
        <x:v>0</x:v>
      </x:c>
      <x:c r="Y1003" s="16" t="n">
        <x:v>0</x:v>
      </x:c>
      <x:c r="Z1003" s="16" t="n">
        <x:v>0</x:v>
      </x:c>
      <x:c r="AA1003" s="16" t="n">
        <x:v>3</x:v>
      </x:c>
      <x:c r="AB1003" s="16" t="n">
        <x:v>11</x:v>
      </x:c>
      <x:c r="AC1003" s="16" t="n">
        <x:v>0</x:v>
      </x:c>
      <x:c r="AD1003" s="21" t="n">
        <x:f>IF(E1003="",MEDIAN($E$2:$E$2237),E1003)</x:f>
        <x:v>36930</x:v>
      </x:c>
      <x:c r="AE1003" s="17" t="n">
        <x:f>2014-B1003</x:f>
        <x:v>60</x:v>
      </x:c>
      <x:c r="AF1003" s="17" t="n">
        <x:f>F1003+G1003</x:f>
        <x:v>1</x:v>
      </x:c>
      <x:c r="AG1003" s="21" t="n">
        <x:f>SUM(J1003:O1003)</x:f>
        <x:v>297</x:v>
      </x:c>
      <x:c r="AH1003" s="17" t="n">
        <x:f>SUM(Q1003:S1003)</x:f>
        <x:v>11</x:v>
      </x:c>
      <x:c r="AI1003" s="17" t="n">
        <x:f>SUM(U1003:Y1003)</x:f>
        <x:v>0</x:v>
      </x:c>
      <x:c r="AJ1003" s="17" t="str">
        <x:f>IF(AE1003&lt;=34,"≤34",IF(AE1003&lt;=44,"35–44",IF(AE1003&lt;=54,"45–54",IF(AE1003&lt;=64,"55–64","65+"))))</x:f>
        <x:v>55–64</x:v>
      </x:c>
      <x:c r="AK1003" s="17" t="str">
        <x:f>IF(AG1003&gt;=1000,"High Value",IF(AG1003&gt;=300,"Mid Value","Low Value"))</x:f>
        <x:v>Low Value</x:v>
      </x:c>
      <x:c r="AL1003" s="17" t="str">
        <x:f>IF(AND(AI1003&gt;=1,I1003&lt;=50),"Priority 1",IF(AND(AG1003&gt;=1000,I1003&lt;=60),"Priority 2",IF(I1003&lt;=30,"Priority 3","Nurture")))</x:f>
        <x:v>Nurture</x:v>
      </x:c>
    </x:row>
    <x:row r="1004">
      <x:c r="A1004" s="16" t="n">
        <x:v>7453</x:v>
      </x:c>
      <x:c r="B1004" s="16" t="n">
        <x:v>1954</x:v>
      </x:c>
      <x:c r="C1004" s="16" t="str">
        <x:v>Graduation</x:v>
      </x:c>
      <x:c r="D1004" s="16" t="str">
        <x:v>Single</x:v>
      </x:c>
      <x:c r="E1004" s="16" t="n">
        <x:v>36130</x:v>
      </x:c>
      <x:c r="F1004" s="16" t="n">
        <x:v>0</x:v>
      </x:c>
      <x:c r="G1004" s="16" t="n">
        <x:v>1</x:v>
      </x:c>
      <x:c r="H1004" s="16" t="str">
        <x:v>02-02-2013</x:v>
      </x:c>
      <x:c r="I1004" s="16" t="n">
        <x:v>46</x:v>
      </x:c>
      <x:c r="J1004" s="16" t="n">
        <x:v>157</x:v>
      </x:c>
      <x:c r="K1004" s="16" t="n">
        <x:v>43</x:v>
      </x:c>
      <x:c r="L1004" s="16" t="n">
        <x:v>127</x:v>
      </x:c>
      <x:c r="M1004" s="16" t="n">
        <x:v>68</x:v>
      </x:c>
      <x:c r="N1004" s="16" t="n">
        <x:v>56</x:v>
      </x:c>
      <x:c r="O1004" s="16" t="n">
        <x:v>37</x:v>
      </x:c>
      <x:c r="P1004" s="16" t="n">
        <x:v>6</x:v>
      </x:c>
      <x:c r="Q1004" s="16" t="n">
        <x:v>3</x:v>
      </x:c>
      <x:c r="R1004" s="16" t="n">
        <x:v>8</x:v>
      </x:c>
      <x:c r="S1004" s="16" t="n">
        <x:v>4</x:v>
      </x:c>
      <x:c r="T1004" s="16" t="n">
        <x:v>4</x:v>
      </x:c>
      <x:c r="U1004" s="16" t="n">
        <x:v>1</x:v>
      </x:c>
      <x:c r="V1004" s="16" t="n">
        <x:v>0</x:v>
      </x:c>
      <x:c r="W1004" s="16" t="n">
        <x:v>0</x:v>
      </x:c>
      <x:c r="X1004" s="16" t="n">
        <x:v>0</x:v>
      </x:c>
      <x:c r="Y1004" s="16" t="n">
        <x:v>0</x:v>
      </x:c>
      <x:c r="Z1004" s="16" t="n">
        <x:v>0</x:v>
      </x:c>
      <x:c r="AA1004" s="16" t="n">
        <x:v>3</x:v>
      </x:c>
      <x:c r="AB1004" s="16" t="n">
        <x:v>11</x:v>
      </x:c>
      <x:c r="AC1004" s="16" t="n">
        <x:v>1</x:v>
      </x:c>
      <x:c r="AD1004" s="21" t="n">
        <x:f>IF(E1004="",MEDIAN($E$2:$E$2237),E1004)</x:f>
        <x:v>36130</x:v>
      </x:c>
      <x:c r="AE1004" s="17" t="n">
        <x:f>2014-B1004</x:f>
        <x:v>60</x:v>
      </x:c>
      <x:c r="AF1004" s="17" t="n">
        <x:f>F1004+G1004</x:f>
        <x:v>1</x:v>
      </x:c>
      <x:c r="AG1004" s="21" t="n">
        <x:f>SUM(J1004:O1004)</x:f>
        <x:v>488</x:v>
      </x:c>
      <x:c r="AH1004" s="17" t="n">
        <x:f>SUM(Q1004:S1004)</x:f>
        <x:v>15</x:v>
      </x:c>
      <x:c r="AI1004" s="17" t="n">
        <x:f>SUM(U1004:Y1004)</x:f>
        <x:v>1</x:v>
      </x:c>
      <x:c r="AJ1004" s="17" t="str">
        <x:f>IF(AE1004&lt;=34,"≤34",IF(AE1004&lt;=44,"35–44",IF(AE1004&lt;=54,"45–54",IF(AE1004&lt;=64,"55–64","65+"))))</x:f>
        <x:v>55–64</x:v>
      </x:c>
      <x:c r="AK1004" s="17" t="str">
        <x:f>IF(AG1004&gt;=1000,"High Value",IF(AG1004&gt;=300,"Mid Value","Low Value"))</x:f>
        <x:v>Mid Value</x:v>
      </x:c>
      <x:c r="AL1004" s="17" t="str">
        <x:f>IF(AND(AI1004&gt;=1,I1004&lt;=50),"Priority 1",IF(AND(AG1004&gt;=1000,I1004&lt;=60),"Priority 2",IF(I1004&lt;=30,"Priority 3","Nurture")))</x:f>
        <x:v>Priority 1</x:v>
      </x:c>
    </x:row>
    <x:row r="1005">
      <x:c r="A1005" s="16" t="n">
        <x:v>8952</x:v>
      </x:c>
      <x:c r="B1005" s="16" t="n">
        <x:v>1953</x:v>
      </x:c>
      <x:c r="C1005" s="16" t="str">
        <x:v>Master</x:v>
      </x:c>
      <x:c r="D1005" s="16" t="str">
        <x:v>Married</x:v>
      </x:c>
      <x:c r="E1005" s="16" t="n">
        <x:v>65569</x:v>
      </x:c>
      <x:c r="F1005" s="16" t="n">
        <x:v>0</x:v>
      </x:c>
      <x:c r="G1005" s="16" t="n">
        <x:v>1</x:v>
      </x:c>
      <x:c r="H1005" s="16" t="str">
        <x:v>05-11-2012</x:v>
      </x:c>
      <x:c r="I1005" s="16" t="n">
        <x:v>96</x:v>
      </x:c>
      <x:c r="J1005" s="16" t="n">
        <x:v>397</x:v>
      </x:c>
      <x:c r="K1005" s="16" t="n">
        <x:v>46</x:v>
      </x:c>
      <x:c r="L1005" s="16" t="n">
        <x:v>288</x:v>
      </x:c>
      <x:c r="M1005" s="16" t="n">
        <x:v>20</x:v>
      </x:c>
      <x:c r="N1005" s="16" t="n">
        <x:v>38</x:v>
      </x:c>
      <x:c r="O1005" s="16" t="n">
        <x:v>70</x:v>
      </x:c>
      <x:c r="P1005" s="16" t="n">
        <x:v>2</x:v>
      </x:c>
      <x:c r="Q1005" s="16" t="n">
        <x:v>6</x:v>
      </x:c>
      <x:c r="R1005" s="16" t="n">
        <x:v>5</x:v>
      </x:c>
      <x:c r="S1005" s="16" t="n">
        <x:v>10</x:v>
      </x:c>
      <x:c r="T1005" s="16" t="n">
        <x:v>3</x:v>
      </x:c>
      <x:c r="U1005" s="16" t="n">
        <x:v>0</x:v>
      </x:c>
      <x:c r="V1005" s="16" t="n">
        <x:v>0</x:v>
      </x:c>
      <x:c r="W1005" s="16" t="n">
        <x:v>0</x:v>
      </x:c>
      <x:c r="X1005" s="16" t="n">
        <x:v>0</x:v>
      </x:c>
      <x:c r="Y1005" s="16" t="n">
        <x:v>0</x:v>
      </x:c>
      <x:c r="Z1005" s="16" t="n">
        <x:v>0</x:v>
      </x:c>
      <x:c r="AA1005" s="16" t="n">
        <x:v>3</x:v>
      </x:c>
      <x:c r="AB1005" s="16" t="n">
        <x:v>11</x:v>
      </x:c>
      <x:c r="AC1005" s="16" t="n">
        <x:v>0</x:v>
      </x:c>
      <x:c r="AD1005" s="21" t="n">
        <x:f>IF(E1005="",MEDIAN($E$2:$E$2237),E1005)</x:f>
        <x:v>65569</x:v>
      </x:c>
      <x:c r="AE1005" s="17" t="n">
        <x:f>2014-B1005</x:f>
        <x:v>61</x:v>
      </x:c>
      <x:c r="AF1005" s="17" t="n">
        <x:f>F1005+G1005</x:f>
        <x:v>1</x:v>
      </x:c>
      <x:c r="AG1005" s="21" t="n">
        <x:f>SUM(J1005:O1005)</x:f>
        <x:v>859</x:v>
      </x:c>
      <x:c r="AH1005" s="17" t="n">
        <x:f>SUM(Q1005:S1005)</x:f>
        <x:v>21</x:v>
      </x:c>
      <x:c r="AI1005" s="17" t="n">
        <x:f>SUM(U1005:Y1005)</x:f>
        <x:v>0</x:v>
      </x:c>
      <x:c r="AJ1005" s="17" t="str">
        <x:f>IF(AE1005&lt;=34,"≤34",IF(AE1005&lt;=44,"35–44",IF(AE1005&lt;=54,"45–54",IF(AE1005&lt;=64,"55–64","65+"))))</x:f>
        <x:v>55–64</x:v>
      </x:c>
      <x:c r="AK1005" s="17" t="str">
        <x:f>IF(AG1005&gt;=1000,"High Value",IF(AG1005&gt;=300,"Mid Value","Low Value"))</x:f>
        <x:v>Mid Value</x:v>
      </x:c>
      <x:c r="AL1005" s="17" t="str">
        <x:f>IF(AND(AI1005&gt;=1,I1005&lt;=50),"Priority 1",IF(AND(AG1005&gt;=1000,I1005&lt;=60),"Priority 2",IF(I1005&lt;=30,"Priority 3","Nurture")))</x:f>
        <x:v>Nurture</x:v>
      </x:c>
    </x:row>
    <x:row r="1006">
      <x:c r="A1006" s="16" t="n">
        <x:v>241</x:v>
      </x:c>
      <x:c r="B1006" s="16" t="n">
        <x:v>1952</x:v>
      </x:c>
      <x:c r="C1006" s="16" t="str">
        <x:v>Graduation</x:v>
      </x:c>
      <x:c r="D1006" s="16" t="str">
        <x:v>Together</x:v>
      </x:c>
      <x:c r="E1006" s="16" t="n">
        <x:v>83844</x:v>
      </x:c>
      <x:c r="F1006" s="16" t="n">
        <x:v>0</x:v>
      </x:c>
      <x:c r="G1006" s="16" t="n">
        <x:v>0</x:v>
      </x:c>
      <x:c r="H1006" s="16" t="str">
        <x:v>12-05-2013</x:v>
      </x:c>
      <x:c r="I1006" s="16" t="n">
        <x:v>57</x:v>
      </x:c>
      <x:c r="J1006" s="16" t="n">
        <x:v>901</x:v>
      </x:c>
      <x:c r="K1006" s="16" t="n">
        <x:v>31</x:v>
      </x:c>
      <x:c r="L1006" s="16" t="n">
        <x:v>345</x:v>
      </x:c>
      <x:c r="M1006" s="16" t="n">
        <x:v>75</x:v>
      </x:c>
      <x:c r="N1006" s="16" t="n">
        <x:v>31</x:v>
      </x:c>
      <x:c r="O1006" s="16" t="n">
        <x:v>191</x:v>
      </x:c>
      <x:c r="P1006" s="16" t="n">
        <x:v>1</x:v>
      </x:c>
      <x:c r="Q1006" s="16" t="n">
        <x:v>4</x:v>
      </x:c>
      <x:c r="R1006" s="16" t="n">
        <x:v>4</x:v>
      </x:c>
      <x:c r="S1006" s="16" t="n">
        <x:v>11</x:v>
      </x:c>
      <x:c r="T1006" s="16" t="n">
        <x:v>1</x:v>
      </x:c>
      <x:c r="U1006" s="16" t="n">
        <x:v>0</x:v>
      </x:c>
      <x:c r="V1006" s="16" t="n">
        <x:v>0</x:v>
      </x:c>
      <x:c r="W1006" s="16" t="n">
        <x:v>1</x:v>
      </x:c>
      <x:c r="X1006" s="16" t="n">
        <x:v>0</x:v>
      </x:c>
      <x:c r="Y1006" s="16" t="n">
        <x:v>0</x:v>
      </x:c>
      <x:c r="Z1006" s="16" t="n">
        <x:v>0</x:v>
      </x:c>
      <x:c r="AA1006" s="16" t="n">
        <x:v>3</x:v>
      </x:c>
      <x:c r="AB1006" s="16" t="n">
        <x:v>11</x:v>
      </x:c>
      <x:c r="AC1006" s="16" t="n">
        <x:v>0</x:v>
      </x:c>
      <x:c r="AD1006" s="21" t="n">
        <x:f>IF(E1006="",MEDIAN($E$2:$E$2237),E1006)</x:f>
        <x:v>83844</x:v>
      </x:c>
      <x:c r="AE1006" s="17" t="n">
        <x:f>2014-B1006</x:f>
        <x:v>62</x:v>
      </x:c>
      <x:c r="AF1006" s="17" t="n">
        <x:f>F1006+G1006</x:f>
        <x:v>0</x:v>
      </x:c>
      <x:c r="AG1006" s="21" t="n">
        <x:f>SUM(J1006:O1006)</x:f>
        <x:v>1574</x:v>
      </x:c>
      <x:c r="AH1006" s="17" t="n">
        <x:f>SUM(Q1006:S1006)</x:f>
        <x:v>19</x:v>
      </x:c>
      <x:c r="AI1006" s="17" t="n">
        <x:f>SUM(U1006:Y1006)</x:f>
        <x:v>1</x:v>
      </x:c>
      <x:c r="AJ1006" s="17" t="str">
        <x:f>IF(AE1006&lt;=34,"≤34",IF(AE1006&lt;=44,"35–44",IF(AE1006&lt;=54,"45–54",IF(AE1006&lt;=64,"55–64","65+"))))</x:f>
        <x:v>55–64</x:v>
      </x:c>
      <x:c r="AK1006" s="17" t="str">
        <x:f>IF(AG1006&gt;=1000,"High Value",IF(AG1006&gt;=300,"Mid Value","Low Value"))</x:f>
        <x:v>High Value</x:v>
      </x:c>
      <x:c r="AL1006" s="17" t="str">
        <x:f>IF(AND(AI1006&gt;=1,I1006&lt;=50),"Priority 1",IF(AND(AG1006&gt;=1000,I1006&lt;=60),"Priority 2",IF(I1006&lt;=30,"Priority 3","Nurture")))</x:f>
        <x:v>Priority 2</x:v>
      </x:c>
    </x:row>
    <x:row r="1007">
      <x:c r="A1007" s="16" t="n">
        <x:v>8975</x:v>
      </x:c>
      <x:c r="B1007" s="16" t="n">
        <x:v>1968</x:v>
      </x:c>
      <x:c r="C1007" s="16" t="str">
        <x:v>Graduation</x:v>
      </x:c>
      <x:c r="D1007" s="16" t="str">
        <x:v>Married</x:v>
      </x:c>
      <x:c r="E1007" s="16" t="n">
        <x:v>19514</x:v>
      </x:c>
      <x:c r="F1007" s="16" t="n">
        <x:v>1</x:v>
      </x:c>
      <x:c r="G1007" s="16" t="n">
        <x:v>1</x:v>
      </x:c>
      <x:c r="H1007" s="16" t="str">
        <x:v>26-01-2014</x:v>
      </x:c>
      <x:c r="I1007" s="16" t="n">
        <x:v>47</x:v>
      </x:c>
      <x:c r="J1007" s="16" t="n">
        <x:v>14</x:v>
      </x:c>
      <x:c r="K1007" s="16" t="n">
        <x:v>3</x:v>
      </x:c>
      <x:c r="L1007" s="16" t="n">
        <x:v>21</x:v>
      </x:c>
      <x:c r="M1007" s="16" t="n">
        <x:v>2</x:v>
      </x:c>
      <x:c r="N1007" s="16" t="n">
        <x:v>1</x:v>
      </x:c>
      <x:c r="O1007" s="16" t="n">
        <x:v>28</x:v>
      </x:c>
      <x:c r="P1007" s="16" t="n">
        <x:v>4</x:v>
      </x:c>
      <x:c r="Q1007" s="16" t="n">
        <x:v>3</x:v>
      </x:c>
      <x:c r="R1007" s="16" t="n">
        <x:v>1</x:v>
      </x:c>
      <x:c r="S1007" s="16" t="n">
        <x:v>2</x:v>
      </x:c>
      <x:c r="T1007" s="16" t="n">
        <x:v>8</x:v>
      </x:c>
      <x:c r="U1007" s="16" t="n">
        <x:v>1</x:v>
      </x:c>
      <x:c r="V1007" s="16" t="n">
        <x:v>0</x:v>
      </x:c>
      <x:c r="W1007" s="16" t="n">
        <x:v>0</x:v>
      </x:c>
      <x:c r="X1007" s="16" t="n">
        <x:v>0</x:v>
      </x:c>
      <x:c r="Y1007" s="16" t="n">
        <x:v>0</x:v>
      </x:c>
      <x:c r="Z1007" s="16" t="n">
        <x:v>0</x:v>
      </x:c>
      <x:c r="AA1007" s="16" t="n">
        <x:v>3</x:v>
      </x:c>
      <x:c r="AB1007" s="16" t="n">
        <x:v>11</x:v>
      </x:c>
      <x:c r="AC1007" s="16" t="n">
        <x:v>0</x:v>
      </x:c>
      <x:c r="AD1007" s="21" t="n">
        <x:f>IF(E1007="",MEDIAN($E$2:$E$2237),E1007)</x:f>
        <x:v>19514</x:v>
      </x:c>
      <x:c r="AE1007" s="17" t="n">
        <x:f>2014-B1007</x:f>
        <x:v>46</x:v>
      </x:c>
      <x:c r="AF1007" s="17" t="n">
        <x:f>F1007+G1007</x:f>
        <x:v>2</x:v>
      </x:c>
      <x:c r="AG1007" s="21" t="n">
        <x:f>SUM(J1007:O1007)</x:f>
        <x:v>69</x:v>
      </x:c>
      <x:c r="AH1007" s="17" t="n">
        <x:f>SUM(Q1007:S1007)</x:f>
        <x:v>6</x:v>
      </x:c>
      <x:c r="AI1007" s="17" t="n">
        <x:f>SUM(U1007:Y1007)</x:f>
        <x:v>1</x:v>
      </x:c>
      <x:c r="AJ1007" s="17" t="str">
        <x:f>IF(AE1007&lt;=34,"≤34",IF(AE1007&lt;=44,"35–44",IF(AE1007&lt;=54,"45–54",IF(AE1007&lt;=64,"55–64","65+"))))</x:f>
        <x:v>45–54</x:v>
      </x:c>
      <x:c r="AK1007" s="17" t="str">
        <x:f>IF(AG1007&gt;=1000,"High Value",IF(AG1007&gt;=300,"Mid Value","Low Value"))</x:f>
        <x:v>Low Value</x:v>
      </x:c>
      <x:c r="AL1007" s="17" t="str">
        <x:f>IF(AND(AI1007&gt;=1,I1007&lt;=50),"Priority 1",IF(AND(AG1007&gt;=1000,I1007&lt;=60),"Priority 2",IF(I1007&lt;=30,"Priority 3","Nurture")))</x:f>
        <x:v>Priority 1</x:v>
      </x:c>
    </x:row>
    <x:row r="1008">
      <x:c r="A1008" s="16" t="n">
        <x:v>6119</x:v>
      </x:c>
      <x:c r="B1008" s="16" t="n">
        <x:v>1963</x:v>
      </x:c>
      <x:c r="C1008" s="16" t="str">
        <x:v>PhD</x:v>
      </x:c>
      <x:c r="D1008" s="16" t="str">
        <x:v>Single</x:v>
      </x:c>
      <x:c r="E1008" s="16" t="n">
        <x:v>36736</x:v>
      </x:c>
      <x:c r="F1008" s="16" t="n">
        <x:v>1</x:v>
      </x:c>
      <x:c r="G1008" s="16" t="n">
        <x:v>1</x:v>
      </x:c>
      <x:c r="H1008" s="16" t="str">
        <x:v>10-05-2013</x:v>
      </x:c>
      <x:c r="I1008" s="16" t="n">
        <x:v>52</x:v>
      </x:c>
      <x:c r="J1008" s="16" t="n">
        <x:v>10</x:v>
      </x:c>
      <x:c r="K1008" s="16" t="n">
        <x:v>0</x:v>
      </x:c>
      <x:c r="L1008" s="16" t="n">
        <x:v>3</x:v>
      </x:c>
      <x:c r="M1008" s="16" t="n">
        <x:v>0</x:v>
      </x:c>
      <x:c r="N1008" s="16" t="n">
        <x:v>0</x:v>
      </x:c>
      <x:c r="O1008" s="16" t="n">
        <x:v>4</x:v>
      </x:c>
      <x:c r="P1008" s="16" t="n">
        <x:v>1</x:v>
      </x:c>
      <x:c r="Q1008" s="16" t="n">
        <x:v>1</x:v>
      </x:c>
      <x:c r="R1008" s="16" t="n">
        <x:v>0</x:v>
      </x:c>
      <x:c r="S1008" s="16" t="n">
        <x:v>2</x:v>
      </x:c>
      <x:c r="T1008" s="16" t="n">
        <x:v>6</x:v>
      </x:c>
      <x:c r="U1008" s="16" t="n">
        <x:v>0</x:v>
      </x:c>
      <x:c r="V1008" s="16" t="n">
        <x:v>0</x:v>
      </x:c>
      <x:c r="W1008" s="16" t="n">
        <x:v>0</x:v>
      </x:c>
      <x:c r="X1008" s="16" t="n">
        <x:v>0</x:v>
      </x:c>
      <x:c r="Y1008" s="16" t="n">
        <x:v>0</x:v>
      </x:c>
      <x:c r="Z1008" s="16" t="n">
        <x:v>0</x:v>
      </x:c>
      <x:c r="AA1008" s="16" t="n">
        <x:v>3</x:v>
      </x:c>
      <x:c r="AB1008" s="16" t="n">
        <x:v>11</x:v>
      </x:c>
      <x:c r="AC1008" s="16" t="n">
        <x:v>0</x:v>
      </x:c>
      <x:c r="AD1008" s="21" t="n">
        <x:f>IF(E1008="",MEDIAN($E$2:$E$2237),E1008)</x:f>
        <x:v>36736</x:v>
      </x:c>
      <x:c r="AE1008" s="17" t="n">
        <x:f>2014-B1008</x:f>
        <x:v>51</x:v>
      </x:c>
      <x:c r="AF1008" s="17" t="n">
        <x:f>F1008+G1008</x:f>
        <x:v>2</x:v>
      </x:c>
      <x:c r="AG1008" s="21" t="n">
        <x:f>SUM(J1008:O1008)</x:f>
        <x:v>17</x:v>
      </x:c>
      <x:c r="AH1008" s="17" t="n">
        <x:f>SUM(Q1008:S1008)</x:f>
        <x:v>3</x:v>
      </x:c>
      <x:c r="AI1008" s="17" t="n">
        <x:f>SUM(U1008:Y1008)</x:f>
        <x:v>0</x:v>
      </x:c>
      <x:c r="AJ1008" s="17" t="str">
        <x:f>IF(AE1008&lt;=34,"≤34",IF(AE1008&lt;=44,"35–44",IF(AE1008&lt;=54,"45–54",IF(AE1008&lt;=64,"55–64","65+"))))</x:f>
        <x:v>45–54</x:v>
      </x:c>
      <x:c r="AK1008" s="17" t="str">
        <x:f>IF(AG1008&gt;=1000,"High Value",IF(AG1008&gt;=300,"Mid Value","Low Value"))</x:f>
        <x:v>Low Value</x:v>
      </x:c>
      <x:c r="AL1008" s="17" t="str">
        <x:f>IF(AND(AI1008&gt;=1,I1008&lt;=50),"Priority 1",IF(AND(AG1008&gt;=1000,I1008&lt;=60),"Priority 2",IF(I1008&lt;=30,"Priority 3","Nurture")))</x:f>
        <x:v>Nurture</x:v>
      </x:c>
    </x:row>
    <x:row r="1009">
      <x:c r="A1009" s="16" t="n">
        <x:v>5236</x:v>
      </x:c>
      <x:c r="B1009" s="16" t="n">
        <x:v>1979</x:v>
      </x:c>
      <x:c r="C1009" s="16" t="str">
        <x:v>Graduation</x:v>
      </x:c>
      <x:c r="D1009" s="16" t="str">
        <x:v>Together</x:v>
      </x:c>
      <x:c r="E1009" s="16" t="n">
        <x:v>77568</x:v>
      </x:c>
      <x:c r="F1009" s="16" t="n">
        <x:v>0</x:v>
      </x:c>
      <x:c r="G1009" s="16" t="n">
        <x:v>1</x:v>
      </x:c>
      <x:c r="H1009" s="16" t="str">
        <x:v>25-08-2012</x:v>
      </x:c>
      <x:c r="I1009" s="16" t="n">
        <x:v>30</x:v>
      </x:c>
      <x:c r="J1009" s="16" t="n">
        <x:v>1230</x:v>
      </x:c>
      <x:c r="K1009" s="16" t="n">
        <x:v>0</x:v>
      </x:c>
      <x:c r="L1009" s="16" t="n">
        <x:v>396</x:v>
      </x:c>
      <x:c r="M1009" s="16" t="n">
        <x:v>232</x:v>
      </x:c>
      <x:c r="N1009" s="16" t="n">
        <x:v>178</x:v>
      </x:c>
      <x:c r="O1009" s="16" t="n">
        <x:v>158</x:v>
      </x:c>
      <x:c r="P1009" s="16" t="n">
        <x:v>1</x:v>
      </x:c>
      <x:c r="Q1009" s="16" t="n">
        <x:v>10</x:v>
      </x:c>
      <x:c r="R1009" s="16" t="n">
        <x:v>2</x:v>
      </x:c>
      <x:c r="S1009" s="16" t="n">
        <x:v>8</x:v>
      </x:c>
      <x:c r="T1009" s="16" t="n">
        <x:v>5</x:v>
      </x:c>
      <x:c r="U1009" s="16" t="n">
        <x:v>0</x:v>
      </x:c>
      <x:c r="V1009" s="16" t="n">
        <x:v>1</x:v>
      </x:c>
      <x:c r="W1009" s="16" t="n">
        <x:v>1</x:v>
      </x:c>
      <x:c r="X1009" s="16" t="n">
        <x:v>1</x:v>
      </x:c>
      <x:c r="Y1009" s="16" t="n">
        <x:v>0</x:v>
      </x:c>
      <x:c r="Z1009" s="16" t="n">
        <x:v>0</x:v>
      </x:c>
      <x:c r="AA1009" s="16" t="n">
        <x:v>3</x:v>
      </x:c>
      <x:c r="AB1009" s="16" t="n">
        <x:v>11</x:v>
      </x:c>
      <x:c r="AC1009" s="16" t="n">
        <x:v>0</x:v>
      </x:c>
      <x:c r="AD1009" s="21" t="n">
        <x:f>IF(E1009="",MEDIAN($E$2:$E$2237),E1009)</x:f>
        <x:v>77568</x:v>
      </x:c>
      <x:c r="AE1009" s="17" t="n">
        <x:f>2014-B1009</x:f>
        <x:v>35</x:v>
      </x:c>
      <x:c r="AF1009" s="17" t="n">
        <x:f>F1009+G1009</x:f>
        <x:v>1</x:v>
      </x:c>
      <x:c r="AG1009" s="21" t="n">
        <x:f>SUM(J1009:O1009)</x:f>
        <x:v>2194</x:v>
      </x:c>
      <x:c r="AH1009" s="17" t="n">
        <x:f>SUM(Q1009:S1009)</x:f>
        <x:v>20</x:v>
      </x:c>
      <x:c r="AI1009" s="17" t="n">
        <x:f>SUM(U1009:Y1009)</x:f>
        <x:v>3</x:v>
      </x:c>
      <x:c r="AJ1009" s="17" t="str">
        <x:f>IF(AE1009&lt;=34,"≤34",IF(AE1009&lt;=44,"35–44",IF(AE1009&lt;=54,"45–54",IF(AE1009&lt;=64,"55–64","65+"))))</x:f>
        <x:v>35–44</x:v>
      </x:c>
      <x:c r="AK1009" s="17" t="str">
        <x:f>IF(AG1009&gt;=1000,"High Value",IF(AG1009&gt;=300,"Mid Value","Low Value"))</x:f>
        <x:v>High Value</x:v>
      </x:c>
      <x:c r="AL1009" s="17" t="str">
        <x:f>IF(AND(AI1009&gt;=1,I1009&lt;=50),"Priority 1",IF(AND(AG1009&gt;=1000,I1009&lt;=60),"Priority 2",IF(I1009&lt;=30,"Priority 3","Nurture")))</x:f>
        <x:v>Priority 1</x:v>
      </x:c>
    </x:row>
    <x:row r="1010">
      <x:c r="A1010" s="16" t="n">
        <x:v>5723</x:v>
      </x:c>
      <x:c r="B1010" s="16" t="n">
        <x:v>1976</x:v>
      </x:c>
      <x:c r="C1010" s="16" t="str">
        <x:v>PhD</x:v>
      </x:c>
      <x:c r="D1010" s="16" t="str">
        <x:v>Together</x:v>
      </x:c>
      <x:c r="E1010" s="16" t="n">
        <x:v>49187</x:v>
      </x:c>
      <x:c r="F1010" s="16" t="n">
        <x:v>0</x:v>
      </x:c>
      <x:c r="G1010" s="16" t="n">
        <x:v>1</x:v>
      </x:c>
      <x:c r="H1010" s="16" t="str">
        <x:v>11-01-2014</x:v>
      </x:c>
      <x:c r="I1010" s="16" t="n">
        <x:v>63</x:v>
      </x:c>
      <x:c r="J1010" s="16" t="n">
        <x:v>81</x:v>
      </x:c>
      <x:c r="K1010" s="16" t="n">
        <x:v>1</x:v>
      </x:c>
      <x:c r="L1010" s="16" t="n">
        <x:v>31</x:v>
      </x:c>
      <x:c r="M1010" s="16" t="n">
        <x:v>2</x:v>
      </x:c>
      <x:c r="N1010" s="16" t="n">
        <x:v>1</x:v>
      </x:c>
      <x:c r="O1010" s="16" t="n">
        <x:v>0</x:v>
      </x:c>
      <x:c r="P1010" s="16" t="n">
        <x:v>1</x:v>
      </x:c>
      <x:c r="Q1010" s="16" t="n">
        <x:v>1</x:v>
      </x:c>
      <x:c r="R1010" s="16" t="n">
        <x:v>1</x:v>
      </x:c>
      <x:c r="S1010" s="16" t="n">
        <x:v>5</x:v>
      </x:c>
      <x:c r="T1010" s="16" t="n">
        <x:v>2</x:v>
      </x:c>
      <x:c r="U1010" s="16" t="n">
        <x:v>0</x:v>
      </x:c>
      <x:c r="V1010" s="16" t="n">
        <x:v>0</x:v>
      </x:c>
      <x:c r="W1010" s="16" t="n">
        <x:v>0</x:v>
      </x:c>
      <x:c r="X1010" s="16" t="n">
        <x:v>0</x:v>
      </x:c>
      <x:c r="Y1010" s="16" t="n">
        <x:v>0</x:v>
      </x:c>
      <x:c r="Z1010" s="16" t="n">
        <x:v>0</x:v>
      </x:c>
      <x:c r="AA1010" s="16" t="n">
        <x:v>3</x:v>
      </x:c>
      <x:c r="AB1010" s="16" t="n">
        <x:v>11</x:v>
      </x:c>
      <x:c r="AC1010" s="16" t="n">
        <x:v>0</x:v>
      </x:c>
      <x:c r="AD1010" s="21" t="n">
        <x:f>IF(E1010="",MEDIAN($E$2:$E$2237),E1010)</x:f>
        <x:v>49187</x:v>
      </x:c>
      <x:c r="AE1010" s="17" t="n">
        <x:f>2014-B1010</x:f>
        <x:v>38</x:v>
      </x:c>
      <x:c r="AF1010" s="17" t="n">
        <x:f>F1010+G1010</x:f>
        <x:v>1</x:v>
      </x:c>
      <x:c r="AG1010" s="21" t="n">
        <x:f>SUM(J1010:O1010)</x:f>
        <x:v>116</x:v>
      </x:c>
      <x:c r="AH1010" s="17" t="n">
        <x:f>SUM(Q1010:S1010)</x:f>
        <x:v>7</x:v>
      </x:c>
      <x:c r="AI1010" s="17" t="n">
        <x:f>SUM(U1010:Y1010)</x:f>
        <x:v>0</x:v>
      </x:c>
      <x:c r="AJ1010" s="17" t="str">
        <x:f>IF(AE1010&lt;=34,"≤34",IF(AE1010&lt;=44,"35–44",IF(AE1010&lt;=54,"45–54",IF(AE1010&lt;=64,"55–64","65+"))))</x:f>
        <x:v>35–44</x:v>
      </x:c>
      <x:c r="AK1010" s="17" t="str">
        <x:f>IF(AG1010&gt;=1000,"High Value",IF(AG1010&gt;=300,"Mid Value","Low Value"))</x:f>
        <x:v>Low Value</x:v>
      </x:c>
      <x:c r="AL1010" s="17" t="str">
        <x:f>IF(AND(AI1010&gt;=1,I1010&lt;=50),"Priority 1",IF(AND(AG1010&gt;=1000,I1010&lt;=60),"Priority 2",IF(I1010&lt;=30,"Priority 3","Nurture")))</x:f>
        <x:v>Nurture</x:v>
      </x:c>
    </x:row>
    <x:row r="1011">
      <x:c r="A1011" s="16" t="n">
        <x:v>1710</x:v>
      </x:c>
      <x:c r="B1011" s="16" t="n">
        <x:v>1978</x:v>
      </x:c>
      <x:c r="C1011" s="16" t="str">
        <x:v>Graduation</x:v>
      </x:c>
      <x:c r="D1011" s="16" t="str">
        <x:v>Single</x:v>
      </x:c>
      <x:c r="E1011" s="16" t="n">
        <x:v>30168</x:v>
      </x:c>
      <x:c r="F1011" s="16" t="n">
        <x:v>1</x:v>
      </x:c>
      <x:c r="G1011" s="16" t="n">
        <x:v>0</x:v>
      </x:c>
      <x:c r="H1011" s="16" t="str">
        <x:v>07-03-2013</x:v>
      </x:c>
      <x:c r="I1011" s="16" t="n">
        <x:v>51</x:v>
      </x:c>
      <x:c r="J1011" s="16" t="n">
        <x:v>154</x:v>
      </x:c>
      <x:c r="K1011" s="16" t="n">
        <x:v>20</x:v>
      </x:c>
      <x:c r="L1011" s="16" t="n">
        <x:v>66</x:v>
      </x:c>
      <x:c r="M1011" s="16" t="n">
        <x:v>0</x:v>
      </x:c>
      <x:c r="N1011" s="16" t="n">
        <x:v>12</x:v>
      </x:c>
      <x:c r="O1011" s="16" t="n">
        <x:v>27</x:v>
      </x:c>
      <x:c r="P1011" s="16" t="n">
        <x:v>7</x:v>
      </x:c>
      <x:c r="Q1011" s="16" t="n">
        <x:v>6</x:v>
      </x:c>
      <x:c r="R1011" s="16" t="n">
        <x:v>1</x:v>
      </x:c>
      <x:c r="S1011" s="16" t="n">
        <x:v>4</x:v>
      </x:c>
      <x:c r="T1011" s="16" t="n">
        <x:v>9</x:v>
      </x:c>
      <x:c r="U1011" s="16" t="n">
        <x:v>0</x:v>
      </x:c>
      <x:c r="V1011" s="16" t="n">
        <x:v>0</x:v>
      </x:c>
      <x:c r="W1011" s="16" t="n">
        <x:v>0</x:v>
      </x:c>
      <x:c r="X1011" s="16" t="n">
        <x:v>0</x:v>
      </x:c>
      <x:c r="Y1011" s="16" t="n">
        <x:v>0</x:v>
      </x:c>
      <x:c r="Z1011" s="16" t="n">
        <x:v>0</x:v>
      </x:c>
      <x:c r="AA1011" s="16" t="n">
        <x:v>3</x:v>
      </x:c>
      <x:c r="AB1011" s="16" t="n">
        <x:v>11</x:v>
      </x:c>
      <x:c r="AC1011" s="16" t="n">
        <x:v>0</x:v>
      </x:c>
      <x:c r="AD1011" s="21" t="n">
        <x:f>IF(E1011="",MEDIAN($E$2:$E$2237),E1011)</x:f>
        <x:v>30168</x:v>
      </x:c>
      <x:c r="AE1011" s="17" t="n">
        <x:f>2014-B1011</x:f>
        <x:v>36</x:v>
      </x:c>
      <x:c r="AF1011" s="17" t="n">
        <x:f>F1011+G1011</x:f>
        <x:v>1</x:v>
      </x:c>
      <x:c r="AG1011" s="21" t="n">
        <x:f>SUM(J1011:O1011)</x:f>
        <x:v>279</x:v>
      </x:c>
      <x:c r="AH1011" s="17" t="n">
        <x:f>SUM(Q1011:S1011)</x:f>
        <x:v>11</x:v>
      </x:c>
      <x:c r="AI1011" s="17" t="n">
        <x:f>SUM(U1011:Y1011)</x:f>
        <x:v>0</x:v>
      </x:c>
      <x:c r="AJ1011" s="17" t="str">
        <x:f>IF(AE1011&lt;=34,"≤34",IF(AE1011&lt;=44,"35–44",IF(AE1011&lt;=54,"45–54",IF(AE1011&lt;=64,"55–64","65+"))))</x:f>
        <x:v>35–44</x:v>
      </x:c>
      <x:c r="AK1011" s="17" t="str">
        <x:f>IF(AG1011&gt;=1000,"High Value",IF(AG1011&gt;=300,"Mid Value","Low Value"))</x:f>
        <x:v>Low Value</x:v>
      </x:c>
      <x:c r="AL1011" s="17" t="str">
        <x:f>IF(AND(AI1011&gt;=1,I1011&lt;=50),"Priority 1",IF(AND(AG1011&gt;=1000,I1011&lt;=60),"Priority 2",IF(I1011&lt;=30,"Priority 3","Nurture")))</x:f>
        <x:v>Nurture</x:v>
      </x:c>
    </x:row>
    <x:row r="1012">
      <x:c r="A1012" s="16" t="n">
        <x:v>1970</x:v>
      </x:c>
      <x:c r="B1012" s="16" t="n">
        <x:v>1968</x:v>
      </x:c>
      <x:c r="C1012" s="16" t="str">
        <x:v>Master</x:v>
      </x:c>
      <x:c r="D1012" s="16" t="str">
        <x:v>Together</x:v>
      </x:c>
      <x:c r="E1012" s="16" t="n">
        <x:v>34053</x:v>
      </x:c>
      <x:c r="F1012" s="16" t="n">
        <x:v>0</x:v>
      </x:c>
      <x:c r="G1012" s="16" t="n">
        <x:v>1</x:v>
      </x:c>
      <x:c r="H1012" s="16" t="str">
        <x:v>10-09-2012</x:v>
      </x:c>
      <x:c r="I1012" s="16" t="n">
        <x:v>14</x:v>
      </x:c>
      <x:c r="J1012" s="16" t="n">
        <x:v>63</x:v>
      </x:c>
      <x:c r="K1012" s="16" t="n">
        <x:v>0</x:v>
      </x:c>
      <x:c r="L1012" s="16" t="n">
        <x:v>21</x:v>
      </x:c>
      <x:c r="M1012" s="16" t="n">
        <x:v>7</x:v>
      </x:c>
      <x:c r="N1012" s="16" t="n">
        <x:v>0</x:v>
      </x:c>
      <x:c r="O1012" s="16" t="n">
        <x:v>12</x:v>
      </x:c>
      <x:c r="P1012" s="16" t="n">
        <x:v>1</x:v>
      </x:c>
      <x:c r="Q1012" s="16" t="n">
        <x:v>3</x:v>
      </x:c>
      <x:c r="R1012" s="16" t="n">
        <x:v>0</x:v>
      </x:c>
      <x:c r="S1012" s="16" t="n">
        <x:v>3</x:v>
      </x:c>
      <x:c r="T1012" s="16" t="n">
        <x:v>8</x:v>
      </x:c>
      <x:c r="U1012" s="16" t="n">
        <x:v>0</x:v>
      </x:c>
      <x:c r="V1012" s="16" t="n">
        <x:v>0</x:v>
      </x:c>
      <x:c r="W1012" s="16" t="n">
        <x:v>0</x:v>
      </x:c>
      <x:c r="X1012" s="16" t="n">
        <x:v>0</x:v>
      </x:c>
      <x:c r="Y1012" s="16" t="n">
        <x:v>0</x:v>
      </x:c>
      <x:c r="Z1012" s="16" t="n">
        <x:v>0</x:v>
      </x:c>
      <x:c r="AA1012" s="16" t="n">
        <x:v>3</x:v>
      </x:c>
      <x:c r="AB1012" s="16" t="n">
        <x:v>11</x:v>
      </x:c>
      <x:c r="AC1012" s="16" t="n">
        <x:v>0</x:v>
      </x:c>
      <x:c r="AD1012" s="21" t="n">
        <x:f>IF(E1012="",MEDIAN($E$2:$E$2237),E1012)</x:f>
        <x:v>34053</x:v>
      </x:c>
      <x:c r="AE1012" s="17" t="n">
        <x:f>2014-B1012</x:f>
        <x:v>46</x:v>
      </x:c>
      <x:c r="AF1012" s="17" t="n">
        <x:f>F1012+G1012</x:f>
        <x:v>1</x:v>
      </x:c>
      <x:c r="AG1012" s="21" t="n">
        <x:f>SUM(J1012:O1012)</x:f>
        <x:v>103</x:v>
      </x:c>
      <x:c r="AH1012" s="17" t="n">
        <x:f>SUM(Q1012:S1012)</x:f>
        <x:v>6</x:v>
      </x:c>
      <x:c r="AI1012" s="17" t="n">
        <x:f>SUM(U1012:Y1012)</x:f>
        <x:v>0</x:v>
      </x:c>
      <x:c r="AJ1012" s="17" t="str">
        <x:f>IF(AE1012&lt;=34,"≤34",IF(AE1012&lt;=44,"35–44",IF(AE1012&lt;=54,"45–54",IF(AE1012&lt;=64,"55–64","65+"))))</x:f>
        <x:v>45–54</x:v>
      </x:c>
      <x:c r="AK1012" s="17" t="str">
        <x:f>IF(AG1012&gt;=1000,"High Value",IF(AG1012&gt;=300,"Mid Value","Low Value"))</x:f>
        <x:v>Low Value</x:v>
      </x:c>
      <x:c r="AL1012" s="17" t="str">
        <x:f>IF(AND(AI1012&gt;=1,I1012&lt;=50),"Priority 1",IF(AND(AG1012&gt;=1000,I1012&lt;=60),"Priority 2",IF(I1012&lt;=30,"Priority 3","Nurture")))</x:f>
        <x:v>Priority 3</x:v>
      </x:c>
    </x:row>
    <x:row r="1013">
      <x:c r="A1013" s="16" t="n">
        <x:v>5313</x:v>
      </x:c>
      <x:c r="B1013" s="16" t="n">
        <x:v>1971</x:v>
      </x:c>
      <x:c r="C1013" s="16" t="str">
        <x:v>Master</x:v>
      </x:c>
      <x:c r="D1013" s="16" t="str">
        <x:v>Married</x:v>
      </x:c>
      <x:c r="E1013" s="16" t="n">
        <x:v>38196</x:v>
      </x:c>
      <x:c r="F1013" s="16" t="n">
        <x:v>1</x:v>
      </x:c>
      <x:c r="G1013" s="16" t="n">
        <x:v>1</x:v>
      </x:c>
      <x:c r="H1013" s="16" t="str">
        <x:v>18-04-2014</x:v>
      </x:c>
      <x:c r="I1013" s="16" t="n">
        <x:v>20</x:v>
      </x:c>
      <x:c r="J1013" s="16" t="n">
        <x:v>30</x:v>
      </x:c>
      <x:c r="K1013" s="16" t="n">
        <x:v>0</x:v>
      </x:c>
      <x:c r="L1013" s="16" t="n">
        <x:v>11</x:v>
      </x:c>
      <x:c r="M1013" s="16" t="n">
        <x:v>0</x:v>
      </x:c>
      <x:c r="N1013" s="16" t="n">
        <x:v>0</x:v>
      </x:c>
      <x:c r="O1013" s="16" t="n">
        <x:v>3</x:v>
      </x:c>
      <x:c r="P1013" s="16" t="n">
        <x:v>3</x:v>
      </x:c>
      <x:c r="Q1013" s="16" t="n">
        <x:v>2</x:v>
      </x:c>
      <x:c r="R1013" s="16" t="n">
        <x:v>0</x:v>
      </x:c>
      <x:c r="S1013" s="16" t="n">
        <x:v>4</x:v>
      </x:c>
      <x:c r="T1013" s="16" t="n">
        <x:v>5</x:v>
      </x:c>
      <x:c r="U1013" s="16" t="n">
        <x:v>0</x:v>
      </x:c>
      <x:c r="V1013" s="16" t="n">
        <x:v>0</x:v>
      </x:c>
      <x:c r="W1013" s="16" t="n">
        <x:v>0</x:v>
      </x:c>
      <x:c r="X1013" s="16" t="n">
        <x:v>0</x:v>
      </x:c>
      <x:c r="Y1013" s="16" t="n">
        <x:v>0</x:v>
      </x:c>
      <x:c r="Z1013" s="16" t="n">
        <x:v>0</x:v>
      </x:c>
      <x:c r="AA1013" s="16" t="n">
        <x:v>3</x:v>
      </x:c>
      <x:c r="AB1013" s="16" t="n">
        <x:v>11</x:v>
      </x:c>
      <x:c r="AC1013" s="16" t="n">
        <x:v>0</x:v>
      </x:c>
      <x:c r="AD1013" s="21" t="n">
        <x:f>IF(E1013="",MEDIAN($E$2:$E$2237),E1013)</x:f>
        <x:v>38196</x:v>
      </x:c>
      <x:c r="AE1013" s="17" t="n">
        <x:f>2014-B1013</x:f>
        <x:v>43</x:v>
      </x:c>
      <x:c r="AF1013" s="17" t="n">
        <x:f>F1013+G1013</x:f>
        <x:v>2</x:v>
      </x:c>
      <x:c r="AG1013" s="21" t="n">
        <x:f>SUM(J1013:O1013)</x:f>
        <x:v>44</x:v>
      </x:c>
      <x:c r="AH1013" s="17" t="n">
        <x:f>SUM(Q1013:S1013)</x:f>
        <x:v>6</x:v>
      </x:c>
      <x:c r="AI1013" s="17" t="n">
        <x:f>SUM(U1013:Y1013)</x:f>
        <x:v>0</x:v>
      </x:c>
      <x:c r="AJ1013" s="17" t="str">
        <x:f>IF(AE1013&lt;=34,"≤34",IF(AE1013&lt;=44,"35–44",IF(AE1013&lt;=54,"45–54",IF(AE1013&lt;=64,"55–64","65+"))))</x:f>
        <x:v>35–44</x:v>
      </x:c>
      <x:c r="AK1013" s="17" t="str">
        <x:f>IF(AG1013&gt;=1000,"High Value",IF(AG1013&gt;=300,"Mid Value","Low Value"))</x:f>
        <x:v>Low Value</x:v>
      </x:c>
      <x:c r="AL1013" s="17" t="str">
        <x:f>IF(AND(AI1013&gt;=1,I1013&lt;=50),"Priority 1",IF(AND(AG1013&gt;=1000,I1013&lt;=60),"Priority 2",IF(I1013&lt;=30,"Priority 3","Nurture")))</x:f>
        <x:v>Priority 3</x:v>
      </x:c>
    </x:row>
    <x:row r="1014">
      <x:c r="A1014" s="16" t="n">
        <x:v>10634</x:v>
      </x:c>
      <x:c r="B1014" s="16" t="n">
        <x:v>1951</x:v>
      </x:c>
      <x:c r="C1014" s="16" t="str">
        <x:v>Master</x:v>
      </x:c>
      <x:c r="D1014" s="16" t="str">
        <x:v>Married</x:v>
      </x:c>
      <x:c r="E1014" s="16" t="n">
        <x:v>59412</x:v>
      </x:c>
      <x:c r="F1014" s="16" t="n">
        <x:v>0</x:v>
      </x:c>
      <x:c r="G1014" s="16" t="n">
        <x:v>0</x:v>
      </x:c>
      <x:c r="H1014" s="16" t="str">
        <x:v>19-04-2014</x:v>
      </x:c>
      <x:c r="I1014" s="16" t="n">
        <x:v>56</x:v>
      </x:c>
      <x:c r="J1014" s="16" t="n">
        <x:v>90</x:v>
      </x:c>
      <x:c r="K1014" s="16" t="n">
        <x:v>67</x:v>
      </x:c>
      <x:c r="L1014" s="16" t="n">
        <x:v>165</x:v>
      </x:c>
      <x:c r="M1014" s="16" t="n">
        <x:v>30</x:v>
      </x:c>
      <x:c r="N1014" s="16" t="n">
        <x:v>43</x:v>
      </x:c>
      <x:c r="O1014" s="16" t="n">
        <x:v>11</x:v>
      </x:c>
      <x:c r="P1014" s="16" t="n">
        <x:v>1</x:v>
      </x:c>
      <x:c r="Q1014" s="16" t="n">
        <x:v>4</x:v>
      </x:c>
      <x:c r="R1014" s="16" t="n">
        <x:v>2</x:v>
      </x:c>
      <x:c r="S1014" s="16" t="n">
        <x:v>8</x:v>
      </x:c>
      <x:c r="T1014" s="16" t="n">
        <x:v>3</x:v>
      </x:c>
      <x:c r="U1014" s="16" t="n">
        <x:v>0</x:v>
      </x:c>
      <x:c r="V1014" s="16" t="n">
        <x:v>0</x:v>
      </x:c>
      <x:c r="W1014" s="16" t="n">
        <x:v>0</x:v>
      </x:c>
      <x:c r="X1014" s="16" t="n">
        <x:v>0</x:v>
      </x:c>
      <x:c r="Y1014" s="16" t="n">
        <x:v>0</x:v>
      </x:c>
      <x:c r="Z1014" s="16" t="n">
        <x:v>0</x:v>
      </x:c>
      <x:c r="AA1014" s="16" t="n">
        <x:v>3</x:v>
      </x:c>
      <x:c r="AB1014" s="16" t="n">
        <x:v>11</x:v>
      </x:c>
      <x:c r="AC1014" s="16" t="n">
        <x:v>0</x:v>
      </x:c>
      <x:c r="AD1014" s="21" t="n">
        <x:f>IF(E1014="",MEDIAN($E$2:$E$2237),E1014)</x:f>
        <x:v>59412</x:v>
      </x:c>
      <x:c r="AE1014" s="17" t="n">
        <x:f>2014-B1014</x:f>
        <x:v>63</x:v>
      </x:c>
      <x:c r="AF1014" s="17" t="n">
        <x:f>F1014+G1014</x:f>
        <x:v>0</x:v>
      </x:c>
      <x:c r="AG1014" s="21" t="n">
        <x:f>SUM(J1014:O1014)</x:f>
        <x:v>406</x:v>
      </x:c>
      <x:c r="AH1014" s="17" t="n">
        <x:f>SUM(Q1014:S1014)</x:f>
        <x:v>14</x:v>
      </x:c>
      <x:c r="AI1014" s="17" t="n">
        <x:f>SUM(U1014:Y1014)</x:f>
        <x:v>0</x:v>
      </x:c>
      <x:c r="AJ1014" s="17" t="str">
        <x:f>IF(AE1014&lt;=34,"≤34",IF(AE1014&lt;=44,"35–44",IF(AE1014&lt;=54,"45–54",IF(AE1014&lt;=64,"55–64","65+"))))</x:f>
        <x:v>55–64</x:v>
      </x:c>
      <x:c r="AK1014" s="17" t="str">
        <x:f>IF(AG1014&gt;=1000,"High Value",IF(AG1014&gt;=300,"Mid Value","Low Value"))</x:f>
        <x:v>Mid Value</x:v>
      </x:c>
      <x:c r="AL1014" s="17" t="str">
        <x:f>IF(AND(AI1014&gt;=1,I1014&lt;=50),"Priority 1",IF(AND(AG1014&gt;=1000,I1014&lt;=60),"Priority 2",IF(I1014&lt;=30,"Priority 3","Nurture")))</x:f>
        <x:v>Nurture</x:v>
      </x:c>
    </x:row>
    <x:row r="1015">
      <x:c r="A1015" s="16" t="n">
        <x:v>7010</x:v>
      </x:c>
      <x:c r="B1015" s="16" t="n">
        <x:v>1965</x:v>
      </x:c>
      <x:c r="C1015" s="16" t="str">
        <x:v>2n Cycle</x:v>
      </x:c>
      <x:c r="D1015" s="16" t="str">
        <x:v>Married</x:v>
      </x:c>
      <x:c r="E1015" s="16" t="n">
        <x:v>70924</x:v>
      </x:c>
      <x:c r="F1015" s="16" t="n">
        <x:v>0</x:v>
      </x:c>
      <x:c r="G1015" s="16" t="n">
        <x:v>0</x:v>
      </x:c>
      <x:c r="H1015" s="16" t="str">
        <x:v>07-04-2014</x:v>
      </x:c>
      <x:c r="I1015" s="16" t="n">
        <x:v>41</x:v>
      </x:c>
      <x:c r="J1015" s="16" t="n">
        <x:v>635</x:v>
      </x:c>
      <x:c r="K1015" s="16" t="n">
        <x:v>114</x:v>
      </x:c>
      <x:c r="L1015" s="16" t="n">
        <x:v>254</x:v>
      </x:c>
      <x:c r="M1015" s="16" t="n">
        <x:v>132</x:v>
      </x:c>
      <x:c r="N1015" s="16" t="n">
        <x:v>152</x:v>
      </x:c>
      <x:c r="O1015" s="16" t="n">
        <x:v>76</x:v>
      </x:c>
      <x:c r="P1015" s="16" t="n">
        <x:v>1</x:v>
      </x:c>
      <x:c r="Q1015" s="16" t="n">
        <x:v>6</x:v>
      </x:c>
      <x:c r="R1015" s="16" t="n">
        <x:v>6</x:v>
      </x:c>
      <x:c r="S1015" s="16" t="n">
        <x:v>7</x:v>
      </x:c>
      <x:c r="T1015" s="16" t="n">
        <x:v>3</x:v>
      </x:c>
      <x:c r="U1015" s="16" t="n">
        <x:v>0</x:v>
      </x:c>
      <x:c r="V1015" s="16" t="n">
        <x:v>0</x:v>
      </x:c>
      <x:c r="W1015" s="16" t="n">
        <x:v>1</x:v>
      </x:c>
      <x:c r="X1015" s="16" t="n">
        <x:v>0</x:v>
      </x:c>
      <x:c r="Y1015" s="16" t="n">
        <x:v>0</x:v>
      </x:c>
      <x:c r="Z1015" s="16" t="n">
        <x:v>0</x:v>
      </x:c>
      <x:c r="AA1015" s="16" t="n">
        <x:v>3</x:v>
      </x:c>
      <x:c r="AB1015" s="16" t="n">
        <x:v>11</x:v>
      </x:c>
      <x:c r="AC1015" s="16" t="n">
        <x:v>0</x:v>
      </x:c>
      <x:c r="AD1015" s="21" t="n">
        <x:f>IF(E1015="",MEDIAN($E$2:$E$2237),E1015)</x:f>
        <x:v>70924</x:v>
      </x:c>
      <x:c r="AE1015" s="17" t="n">
        <x:f>2014-B1015</x:f>
        <x:v>49</x:v>
      </x:c>
      <x:c r="AF1015" s="17" t="n">
        <x:f>F1015+G1015</x:f>
        <x:v>0</x:v>
      </x:c>
      <x:c r="AG1015" s="21" t="n">
        <x:f>SUM(J1015:O1015)</x:f>
        <x:v>1363</x:v>
      </x:c>
      <x:c r="AH1015" s="17" t="n">
        <x:f>SUM(Q1015:S1015)</x:f>
        <x:v>19</x:v>
      </x:c>
      <x:c r="AI1015" s="17" t="n">
        <x:f>SUM(U1015:Y1015)</x:f>
        <x:v>1</x:v>
      </x:c>
      <x:c r="AJ1015" s="17" t="str">
        <x:f>IF(AE1015&lt;=34,"≤34",IF(AE1015&lt;=44,"35–44",IF(AE1015&lt;=54,"45–54",IF(AE1015&lt;=64,"55–64","65+"))))</x:f>
        <x:v>45–54</x:v>
      </x:c>
      <x:c r="AK1015" s="17" t="str">
        <x:f>IF(AG1015&gt;=1000,"High Value",IF(AG1015&gt;=300,"Mid Value","Low Value"))</x:f>
        <x:v>High Value</x:v>
      </x:c>
      <x:c r="AL1015" s="17" t="str">
        <x:f>IF(AND(AI1015&gt;=1,I1015&lt;=50),"Priority 1",IF(AND(AG1015&gt;=1000,I1015&lt;=60),"Priority 2",IF(I1015&lt;=30,"Priority 3","Nurture")))</x:f>
        <x:v>Priority 1</x:v>
      </x:c>
    </x:row>
    <x:row r="1016">
      <x:c r="A1016" s="16" t="n">
        <x:v>8562</x:v>
      </x:c>
      <x:c r="B1016" s="16" t="n">
        <x:v>1969</x:v>
      </x:c>
      <x:c r="C1016" s="16" t="str">
        <x:v>Graduation</x:v>
      </x:c>
      <x:c r="D1016" s="16" t="str">
        <x:v>Together</x:v>
      </x:c>
      <x:c r="E1016" s="16" t="n">
        <x:v>54165</x:v>
      </x:c>
      <x:c r="F1016" s="16" t="n">
        <x:v>0</x:v>
      </x:c>
      <x:c r="G1016" s="16" t="n">
        <x:v>0</x:v>
      </x:c>
      <x:c r="H1016" s="16" t="str">
        <x:v>28-05-2013</x:v>
      </x:c>
      <x:c r="I1016" s="16" t="n">
        <x:v>72</x:v>
      </x:c>
      <x:c r="J1016" s="16" t="n">
        <x:v>127</x:v>
      </x:c>
      <x:c r="K1016" s="16" t="n">
        <x:v>4</x:v>
      </x:c>
      <x:c r="L1016" s="16" t="n">
        <x:v>73</x:v>
      </x:c>
      <x:c r="M1016" s="16" t="n">
        <x:v>15</x:v>
      </x:c>
      <x:c r="N1016" s="16" t="n">
        <x:v>6</x:v>
      </x:c>
      <x:c r="O1016" s="16" t="n">
        <x:v>11</x:v>
      </x:c>
      <x:c r="P1016" s="16" t="n">
        <x:v>1</x:v>
      </x:c>
      <x:c r="Q1016" s="16" t="n">
        <x:v>2</x:v>
      </x:c>
      <x:c r="R1016" s="16" t="n">
        <x:v>1</x:v>
      </x:c>
      <x:c r="S1016" s="16" t="n">
        <x:v>7</x:v>
      </x:c>
      <x:c r="T1016" s="16" t="n">
        <x:v>2</x:v>
      </x:c>
      <x:c r="U1016" s="16" t="n">
        <x:v>0</x:v>
      </x:c>
      <x:c r="V1016" s="16" t="n">
        <x:v>0</x:v>
      </x:c>
      <x:c r="W1016" s="16" t="n">
        <x:v>0</x:v>
      </x:c>
      <x:c r="X1016" s="16" t="n">
        <x:v>0</x:v>
      </x:c>
      <x:c r="Y1016" s="16" t="n">
        <x:v>0</x:v>
      </x:c>
      <x:c r="Z1016" s="16" t="n">
        <x:v>0</x:v>
      </x:c>
      <x:c r="AA1016" s="16" t="n">
        <x:v>3</x:v>
      </x:c>
      <x:c r="AB1016" s="16" t="n">
        <x:v>11</x:v>
      </x:c>
      <x:c r="AC1016" s="16" t="n">
        <x:v>0</x:v>
      </x:c>
      <x:c r="AD1016" s="21" t="n">
        <x:f>IF(E1016="",MEDIAN($E$2:$E$2237),E1016)</x:f>
        <x:v>54165</x:v>
      </x:c>
      <x:c r="AE1016" s="17" t="n">
        <x:f>2014-B1016</x:f>
        <x:v>45</x:v>
      </x:c>
      <x:c r="AF1016" s="17" t="n">
        <x:f>F1016+G1016</x:f>
        <x:v>0</x:v>
      </x:c>
      <x:c r="AG1016" s="21" t="n">
        <x:f>SUM(J1016:O1016)</x:f>
        <x:v>236</x:v>
      </x:c>
      <x:c r="AH1016" s="17" t="n">
        <x:f>SUM(Q1016:S1016)</x:f>
        <x:v>10</x:v>
      </x:c>
      <x:c r="AI1016" s="17" t="n">
        <x:f>SUM(U1016:Y1016)</x:f>
        <x:v>0</x:v>
      </x:c>
      <x:c r="AJ1016" s="17" t="str">
        <x:f>IF(AE1016&lt;=34,"≤34",IF(AE1016&lt;=44,"35–44",IF(AE1016&lt;=54,"45–54",IF(AE1016&lt;=64,"55–64","65+"))))</x:f>
        <x:v>45–54</x:v>
      </x:c>
      <x:c r="AK1016" s="17" t="str">
        <x:f>IF(AG1016&gt;=1000,"High Value",IF(AG1016&gt;=300,"Mid Value","Low Value"))</x:f>
        <x:v>Low Value</x:v>
      </x:c>
      <x:c r="AL1016" s="17" t="str">
        <x:f>IF(AND(AI1016&gt;=1,I1016&lt;=50),"Priority 1",IF(AND(AG1016&gt;=1000,I1016&lt;=60),"Priority 2",IF(I1016&lt;=30,"Priority 3","Nurture")))</x:f>
        <x:v>Nurture</x:v>
      </x:c>
    </x:row>
    <x:row r="1017">
      <x:c r="A1017" s="16" t="n">
        <x:v>3158</x:v>
      </x:c>
      <x:c r="B1017" s="16" t="n">
        <x:v>1973</x:v>
      </x:c>
      <x:c r="C1017" s="16" t="str">
        <x:v>Graduation</x:v>
      </x:c>
      <x:c r="D1017" s="16" t="str">
        <x:v>Married</x:v>
      </x:c>
      <x:c r="E1017" s="16" t="n">
        <x:v>32300</x:v>
      </x:c>
      <x:c r="F1017" s="16" t="n">
        <x:v>1</x:v>
      </x:c>
      <x:c r="G1017" s="16" t="n">
        <x:v>0</x:v>
      </x:c>
      <x:c r="H1017" s="16" t="str">
        <x:v>03-01-2013</x:v>
      </x:c>
      <x:c r="I1017" s="16" t="n">
        <x:v>1</x:v>
      </x:c>
      <x:c r="J1017" s="16" t="n">
        <x:v>13</x:v>
      </x:c>
      <x:c r="K1017" s="16" t="n">
        <x:v>3</x:v>
      </x:c>
      <x:c r="L1017" s="16" t="n">
        <x:v>6</x:v>
      </x:c>
      <x:c r="M1017" s="16" t="n">
        <x:v>6</x:v>
      </x:c>
      <x:c r="N1017" s="16" t="n">
        <x:v>5</x:v>
      </x:c>
      <x:c r="O1017" s="16" t="n">
        <x:v>6</x:v>
      </x:c>
      <x:c r="P1017" s="16" t="n">
        <x:v>1</x:v>
      </x:c>
      <x:c r="Q1017" s="16" t="n">
        <x:v>1</x:v>
      </x:c>
      <x:c r="R1017" s="16" t="n">
        <x:v>0</x:v>
      </x:c>
      <x:c r="S1017" s="16" t="n">
        <x:v>3</x:v>
      </x:c>
      <x:c r="T1017" s="16" t="n">
        <x:v>8</x:v>
      </x:c>
      <x:c r="U1017" s="16" t="n">
        <x:v>0</x:v>
      </x:c>
      <x:c r="V1017" s="16" t="n">
        <x:v>0</x:v>
      </x:c>
      <x:c r="W1017" s="16" t="n">
        <x:v>0</x:v>
      </x:c>
      <x:c r="X1017" s="16" t="n">
        <x:v>0</x:v>
      </x:c>
      <x:c r="Y1017" s="16" t="n">
        <x:v>0</x:v>
      </x:c>
      <x:c r="Z1017" s="16" t="n">
        <x:v>0</x:v>
      </x:c>
      <x:c r="AA1017" s="16" t="n">
        <x:v>3</x:v>
      </x:c>
      <x:c r="AB1017" s="16" t="n">
        <x:v>11</x:v>
      </x:c>
      <x:c r="AC1017" s="16" t="n">
        <x:v>0</x:v>
      </x:c>
      <x:c r="AD1017" s="21" t="n">
        <x:f>IF(E1017="",MEDIAN($E$2:$E$2237),E1017)</x:f>
        <x:v>32300</x:v>
      </x:c>
      <x:c r="AE1017" s="17" t="n">
        <x:f>2014-B1017</x:f>
        <x:v>41</x:v>
      </x:c>
      <x:c r="AF1017" s="17" t="n">
        <x:f>F1017+G1017</x:f>
        <x:v>1</x:v>
      </x:c>
      <x:c r="AG1017" s="21" t="n">
        <x:f>SUM(J1017:O1017)</x:f>
        <x:v>39</x:v>
      </x:c>
      <x:c r="AH1017" s="17" t="n">
        <x:f>SUM(Q1017:S1017)</x:f>
        <x:v>4</x:v>
      </x:c>
      <x:c r="AI1017" s="17" t="n">
        <x:f>SUM(U1017:Y1017)</x:f>
        <x:v>0</x:v>
      </x:c>
      <x:c r="AJ1017" s="17" t="str">
        <x:f>IF(AE1017&lt;=34,"≤34",IF(AE1017&lt;=44,"35–44",IF(AE1017&lt;=54,"45–54",IF(AE1017&lt;=64,"55–64","65+"))))</x:f>
        <x:v>35–44</x:v>
      </x:c>
      <x:c r="AK1017" s="17" t="str">
        <x:f>IF(AG1017&gt;=1000,"High Value",IF(AG1017&gt;=300,"Mid Value","Low Value"))</x:f>
        <x:v>Low Value</x:v>
      </x:c>
      <x:c r="AL1017" s="17" t="str">
        <x:f>IF(AND(AI1017&gt;=1,I1017&lt;=50),"Priority 1",IF(AND(AG1017&gt;=1000,I1017&lt;=60),"Priority 2",IF(I1017&lt;=30,"Priority 3","Nurture")))</x:f>
        <x:v>Priority 3</x:v>
      </x:c>
    </x:row>
    <x:row r="1018">
      <x:c r="A1018" s="16" t="n">
        <x:v>4436</x:v>
      </x:c>
      <x:c r="B1018" s="16" t="n">
        <x:v>1976</x:v>
      </x:c>
      <x:c r="C1018" s="16" t="str">
        <x:v>Graduation</x:v>
      </x:c>
      <x:c r="D1018" s="16" t="str">
        <x:v>Single</x:v>
      </x:c>
      <x:c r="E1018" s="16" t="n">
        <x:v>20180</x:v>
      </x:c>
      <x:c r="F1018" s="16" t="n">
        <x:v>0</x:v>
      </x:c>
      <x:c r="G1018" s="16" t="n">
        <x:v>0</x:v>
      </x:c>
      <x:c r="H1018" s="16" t="str">
        <x:v>20-02-2013</x:v>
      </x:c>
      <x:c r="I1018" s="16" t="n">
        <x:v>27</x:v>
      </x:c>
      <x:c r="J1018" s="16" t="n">
        <x:v>18</x:v>
      </x:c>
      <x:c r="K1018" s="16" t="n">
        <x:v>42</x:v>
      </x:c>
      <x:c r="L1018" s="16" t="n">
        <x:v>24</x:v>
      </x:c>
      <x:c r="M1018" s="16" t="n">
        <x:v>15</x:v>
      </x:c>
      <x:c r="N1018" s="16" t="n">
        <x:v>20</x:v>
      </x:c>
      <x:c r="O1018" s="16" t="n">
        <x:v>18</x:v>
      </x:c>
      <x:c r="P1018" s="16" t="n">
        <x:v>1</x:v>
      </x:c>
      <x:c r="Q1018" s="16" t="n">
        <x:v>2</x:v>
      </x:c>
      <x:c r="R1018" s="16" t="n">
        <x:v>1</x:v>
      </x:c>
      <x:c r="S1018" s="16" t="n">
        <x:v>4</x:v>
      </x:c>
      <x:c r="T1018" s="16" t="n">
        <x:v>7</x:v>
      </x:c>
      <x:c r="U1018" s="16" t="n">
        <x:v>0</x:v>
      </x:c>
      <x:c r="V1018" s="16" t="n">
        <x:v>0</x:v>
      </x:c>
      <x:c r="W1018" s="16" t="n">
        <x:v>0</x:v>
      </x:c>
      <x:c r="X1018" s="16" t="n">
        <x:v>0</x:v>
      </x:c>
      <x:c r="Y1018" s="16" t="n">
        <x:v>0</x:v>
      </x:c>
      <x:c r="Z1018" s="16" t="n">
        <x:v>0</x:v>
      </x:c>
      <x:c r="AA1018" s="16" t="n">
        <x:v>3</x:v>
      </x:c>
      <x:c r="AB1018" s="16" t="n">
        <x:v>11</x:v>
      </x:c>
      <x:c r="AC1018" s="16" t="n">
        <x:v>0</x:v>
      </x:c>
      <x:c r="AD1018" s="21" t="n">
        <x:f>IF(E1018="",MEDIAN($E$2:$E$2237),E1018)</x:f>
        <x:v>20180</x:v>
      </x:c>
      <x:c r="AE1018" s="17" t="n">
        <x:f>2014-B1018</x:f>
        <x:v>38</x:v>
      </x:c>
      <x:c r="AF1018" s="17" t="n">
        <x:f>F1018+G1018</x:f>
        <x:v>0</x:v>
      </x:c>
      <x:c r="AG1018" s="21" t="n">
        <x:f>SUM(J1018:O1018)</x:f>
        <x:v>137</x:v>
      </x:c>
      <x:c r="AH1018" s="17" t="n">
        <x:f>SUM(Q1018:S1018)</x:f>
        <x:v>7</x:v>
      </x:c>
      <x:c r="AI1018" s="17" t="n">
        <x:f>SUM(U1018:Y1018)</x:f>
        <x:v>0</x:v>
      </x:c>
      <x:c r="AJ1018" s="17" t="str">
        <x:f>IF(AE1018&lt;=34,"≤34",IF(AE1018&lt;=44,"35–44",IF(AE1018&lt;=54,"45–54",IF(AE1018&lt;=64,"55–64","65+"))))</x:f>
        <x:v>35–44</x:v>
      </x:c>
      <x:c r="AK1018" s="17" t="str">
        <x:f>IF(AG1018&gt;=1000,"High Value",IF(AG1018&gt;=300,"Mid Value","Low Value"))</x:f>
        <x:v>Low Value</x:v>
      </x:c>
      <x:c r="AL1018" s="17" t="str">
        <x:f>IF(AND(AI1018&gt;=1,I1018&lt;=50),"Priority 1",IF(AND(AG1018&gt;=1000,I1018&lt;=60),"Priority 2",IF(I1018&lt;=30,"Priority 3","Nurture")))</x:f>
        <x:v>Priority 3</x:v>
      </x:c>
    </x:row>
    <x:row r="1019">
      <x:c r="A1019" s="16" t="n">
        <x:v>5287</x:v>
      </x:c>
      <x:c r="B1019" s="16" t="n">
        <x:v>1973</x:v>
      </x:c>
      <x:c r="C1019" s="16" t="str">
        <x:v>Graduation</x:v>
      </x:c>
      <x:c r="D1019" s="16" t="str">
        <x:v>Married</x:v>
      </x:c>
      <x:c r="E1019" s="16" t="n">
        <x:v>34961</x:v>
      </x:c>
      <x:c r="F1019" s="16" t="n">
        <x:v>1</x:v>
      </x:c>
      <x:c r="G1019" s="16" t="n">
        <x:v>0</x:v>
      </x:c>
      <x:c r="H1019" s="16" t="str">
        <x:v>19-06-2014</x:v>
      </x:c>
      <x:c r="I1019" s="16" t="n">
        <x:v>77</x:v>
      </x:c>
      <x:c r="J1019" s="16" t="n">
        <x:v>45</x:v>
      </x:c>
      <x:c r="K1019" s="16" t="n">
        <x:v>2</x:v>
      </x:c>
      <x:c r="L1019" s="16" t="n">
        <x:v>26</x:v>
      </x:c>
      <x:c r="M1019" s="16" t="n">
        <x:v>4</x:v>
      </x:c>
      <x:c r="N1019" s="16" t="n">
        <x:v>1</x:v>
      </x:c>
      <x:c r="O1019" s="16" t="n">
        <x:v>1</x:v>
      </x:c>
      <x:c r="P1019" s="16" t="n">
        <x:v>3</x:v>
      </x:c>
      <x:c r="Q1019" s="16" t="n">
        <x:v>3</x:v>
      </x:c>
      <x:c r="R1019" s="16" t="n">
        <x:v>1</x:v>
      </x:c>
      <x:c r="S1019" s="16" t="n">
        <x:v>3</x:v>
      </x:c>
      <x:c r="T1019" s="16" t="n">
        <x:v>7</x:v>
      </x:c>
      <x:c r="U1019" s="16" t="n">
        <x:v>0</x:v>
      </x:c>
      <x:c r="V1019" s="16" t="n">
        <x:v>0</x:v>
      </x:c>
      <x:c r="W1019" s="16" t="n">
        <x:v>0</x:v>
      </x:c>
      <x:c r="X1019" s="16" t="n">
        <x:v>0</x:v>
      </x:c>
      <x:c r="Y1019" s="16" t="n">
        <x:v>0</x:v>
      </x:c>
      <x:c r="Z1019" s="16" t="n">
        <x:v>0</x:v>
      </x:c>
      <x:c r="AA1019" s="16" t="n">
        <x:v>3</x:v>
      </x:c>
      <x:c r="AB1019" s="16" t="n">
        <x:v>11</x:v>
      </x:c>
      <x:c r="AC1019" s="16" t="n">
        <x:v>0</x:v>
      </x:c>
      <x:c r="AD1019" s="21" t="n">
        <x:f>IF(E1019="",MEDIAN($E$2:$E$2237),E1019)</x:f>
        <x:v>34961</x:v>
      </x:c>
      <x:c r="AE1019" s="17" t="n">
        <x:f>2014-B1019</x:f>
        <x:v>41</x:v>
      </x:c>
      <x:c r="AF1019" s="17" t="n">
        <x:f>F1019+G1019</x:f>
        <x:v>1</x:v>
      </x:c>
      <x:c r="AG1019" s="21" t="n">
        <x:f>SUM(J1019:O1019)</x:f>
        <x:v>79</x:v>
      </x:c>
      <x:c r="AH1019" s="17" t="n">
        <x:f>SUM(Q1019:S1019)</x:f>
        <x:v>7</x:v>
      </x:c>
      <x:c r="AI1019" s="17" t="n">
        <x:f>SUM(U1019:Y1019)</x:f>
        <x:v>0</x:v>
      </x:c>
      <x:c r="AJ1019" s="17" t="str">
        <x:f>IF(AE1019&lt;=34,"≤34",IF(AE1019&lt;=44,"35–44",IF(AE1019&lt;=54,"45–54",IF(AE1019&lt;=64,"55–64","65+"))))</x:f>
        <x:v>35–44</x:v>
      </x:c>
      <x:c r="AK1019" s="17" t="str">
        <x:f>IF(AG1019&gt;=1000,"High Value",IF(AG1019&gt;=300,"Mid Value","Low Value"))</x:f>
        <x:v>Low Value</x:v>
      </x:c>
      <x:c r="AL1019" s="17" t="str">
        <x:f>IF(AND(AI1019&gt;=1,I1019&lt;=50),"Priority 1",IF(AND(AG1019&gt;=1000,I1019&lt;=60),"Priority 2",IF(I1019&lt;=30,"Priority 3","Nurture")))</x:f>
        <x:v>Nurture</x:v>
      </x:c>
    </x:row>
    <x:row r="1020">
      <x:c r="A1020" s="16" t="n">
        <x:v>2445</x:v>
      </x:c>
      <x:c r="B1020" s="16" t="n">
        <x:v>1974</x:v>
      </x:c>
      <x:c r="C1020" s="16" t="str">
        <x:v>PhD</x:v>
      </x:c>
      <x:c r="D1020" s="16" t="str">
        <x:v>Together</x:v>
      </x:c>
      <x:c r="E1020" s="16" t="n">
        <x:v>28440</x:v>
      </x:c>
      <x:c r="F1020" s="16" t="n">
        <x:v>1</x:v>
      </x:c>
      <x:c r="G1020" s="16" t="n">
        <x:v>0</x:v>
      </x:c>
      <x:c r="H1020" s="16" t="str">
        <x:v>07-07-2013</x:v>
      </x:c>
      <x:c r="I1020" s="16" t="n">
        <x:v>87</x:v>
      </x:c>
      <x:c r="J1020" s="16" t="n">
        <x:v>38</x:v>
      </x:c>
      <x:c r="K1020" s="16" t="n">
        <x:v>1</x:v>
      </x:c>
      <x:c r="L1020" s="16" t="n">
        <x:v>24</x:v>
      </x:c>
      <x:c r="M1020" s="16" t="n">
        <x:v>0</x:v>
      </x:c>
      <x:c r="N1020" s="16" t="n">
        <x:v>0</x:v>
      </x:c>
      <x:c r="O1020" s="16" t="n">
        <x:v>0</x:v>
      </x:c>
      <x:c r="P1020" s="16" t="n">
        <x:v>1</x:v>
      </x:c>
      <x:c r="Q1020" s="16" t="n">
        <x:v>2</x:v>
      </x:c>
      <x:c r="R1020" s="16" t="n">
        <x:v>0</x:v>
      </x:c>
      <x:c r="S1020" s="16" t="n">
        <x:v>3</x:v>
      </x:c>
      <x:c r="T1020" s="16" t="n">
        <x:v>8</x:v>
      </x:c>
      <x:c r="U1020" s="16" t="n">
        <x:v>0</x:v>
      </x:c>
      <x:c r="V1020" s="16" t="n">
        <x:v>0</x:v>
      </x:c>
      <x:c r="W1020" s="16" t="n">
        <x:v>0</x:v>
      </x:c>
      <x:c r="X1020" s="16" t="n">
        <x:v>0</x:v>
      </x:c>
      <x:c r="Y1020" s="16" t="n">
        <x:v>0</x:v>
      </x:c>
      <x:c r="Z1020" s="16" t="n">
        <x:v>0</x:v>
      </x:c>
      <x:c r="AA1020" s="16" t="n">
        <x:v>3</x:v>
      </x:c>
      <x:c r="AB1020" s="16" t="n">
        <x:v>11</x:v>
      </x:c>
      <x:c r="AC1020" s="16" t="n">
        <x:v>0</x:v>
      </x:c>
      <x:c r="AD1020" s="21" t="n">
        <x:f>IF(E1020="",MEDIAN($E$2:$E$2237),E1020)</x:f>
        <x:v>28440</x:v>
      </x:c>
      <x:c r="AE1020" s="17" t="n">
        <x:f>2014-B1020</x:f>
        <x:v>40</x:v>
      </x:c>
      <x:c r="AF1020" s="17" t="n">
        <x:f>F1020+G1020</x:f>
        <x:v>1</x:v>
      </x:c>
      <x:c r="AG1020" s="21" t="n">
        <x:f>SUM(J1020:O1020)</x:f>
        <x:v>63</x:v>
      </x:c>
      <x:c r="AH1020" s="17" t="n">
        <x:f>SUM(Q1020:S1020)</x:f>
        <x:v>5</x:v>
      </x:c>
      <x:c r="AI1020" s="17" t="n">
        <x:f>SUM(U1020:Y1020)</x:f>
        <x:v>0</x:v>
      </x:c>
      <x:c r="AJ1020" s="17" t="str">
        <x:f>IF(AE1020&lt;=34,"≤34",IF(AE1020&lt;=44,"35–44",IF(AE1020&lt;=54,"45–54",IF(AE1020&lt;=64,"55–64","65+"))))</x:f>
        <x:v>35–44</x:v>
      </x:c>
      <x:c r="AK1020" s="17" t="str">
        <x:f>IF(AG1020&gt;=1000,"High Value",IF(AG1020&gt;=300,"Mid Value","Low Value"))</x:f>
        <x:v>Low Value</x:v>
      </x:c>
      <x:c r="AL1020" s="17" t="str">
        <x:f>IF(AND(AI1020&gt;=1,I1020&lt;=50),"Priority 1",IF(AND(AG1020&gt;=1000,I1020&lt;=60),"Priority 2",IF(I1020&lt;=30,"Priority 3","Nurture")))</x:f>
        <x:v>Nurture</x:v>
      </x:c>
    </x:row>
    <x:row r="1021">
      <x:c r="A1021" s="16" t="n">
        <x:v>6059</x:v>
      </x:c>
      <x:c r="B1021" s="16" t="n">
        <x:v>1953</x:v>
      </x:c>
      <x:c r="C1021" s="16" t="str">
        <x:v>PhD</x:v>
      </x:c>
      <x:c r="D1021" s="16" t="str">
        <x:v>Together</x:v>
      </x:c>
      <x:c r="E1021" s="16" t="n">
        <x:v>64504</x:v>
      </x:c>
      <x:c r="F1021" s="16" t="n">
        <x:v>1</x:v>
      </x:c>
      <x:c r="G1021" s="16" t="n">
        <x:v>2</x:v>
      </x:c>
      <x:c r="H1021" s="16" t="str">
        <x:v>04-03-2013</x:v>
      </x:c>
      <x:c r="I1021" s="16" t="n">
        <x:v>81</x:v>
      </x:c>
      <x:c r="J1021" s="16" t="n">
        <x:v>986</x:v>
      </x:c>
      <x:c r="K1021" s="16" t="n">
        <x:v>36</x:v>
      </x:c>
      <x:c r="L1021" s="16" t="n">
        <x:v>168</x:v>
      </x:c>
      <x:c r="M1021" s="16" t="n">
        <x:v>16</x:v>
      </x:c>
      <x:c r="N1021" s="16" t="n">
        <x:v>0</x:v>
      </x:c>
      <x:c r="O1021" s="16" t="n">
        <x:v>108</x:v>
      </x:c>
      <x:c r="P1021" s="16" t="n">
        <x:v>7</x:v>
      </x:c>
      <x:c r="Q1021" s="16" t="n">
        <x:v>11</x:v>
      </x:c>
      <x:c r="R1021" s="16" t="n">
        <x:v>3</x:v>
      </x:c>
      <x:c r="S1021" s="16" t="n">
        <x:v>4</x:v>
      </x:c>
      <x:c r="T1021" s="16" t="n">
        <x:v>7</x:v>
      </x:c>
      <x:c r="U1021" s="16" t="n">
        <x:v>0</x:v>
      </x:c>
      <x:c r="V1021" s="16" t="n">
        <x:v>0</x:v>
      </x:c>
      <x:c r="W1021" s="16" t="n">
        <x:v>0</x:v>
      </x:c>
      <x:c r="X1021" s="16" t="n">
        <x:v>0</x:v>
      </x:c>
      <x:c r="Y1021" s="16" t="n">
        <x:v>0</x:v>
      </x:c>
      <x:c r="Z1021" s="16" t="n">
        <x:v>0</x:v>
      </x:c>
      <x:c r="AA1021" s="16" t="n">
        <x:v>3</x:v>
      </x:c>
      <x:c r="AB1021" s="16" t="n">
        <x:v>11</x:v>
      </x:c>
      <x:c r="AC1021" s="16" t="n">
        <x:v>1</x:v>
      </x:c>
      <x:c r="AD1021" s="21" t="n">
        <x:f>IF(E1021="",MEDIAN($E$2:$E$2237),E1021)</x:f>
        <x:v>64504</x:v>
      </x:c>
      <x:c r="AE1021" s="17" t="n">
        <x:f>2014-B1021</x:f>
        <x:v>61</x:v>
      </x:c>
      <x:c r="AF1021" s="17" t="n">
        <x:f>F1021+G1021</x:f>
        <x:v>3</x:v>
      </x:c>
      <x:c r="AG1021" s="21" t="n">
        <x:f>SUM(J1021:O1021)</x:f>
        <x:v>1314</x:v>
      </x:c>
      <x:c r="AH1021" s="17" t="n">
        <x:f>SUM(Q1021:S1021)</x:f>
        <x:v>18</x:v>
      </x:c>
      <x:c r="AI1021" s="17" t="n">
        <x:f>SUM(U1021:Y1021)</x:f>
        <x:v>0</x:v>
      </x:c>
      <x:c r="AJ1021" s="17" t="str">
        <x:f>IF(AE1021&lt;=34,"≤34",IF(AE1021&lt;=44,"35–44",IF(AE1021&lt;=54,"45–54",IF(AE1021&lt;=64,"55–64","65+"))))</x:f>
        <x:v>55–64</x:v>
      </x:c>
      <x:c r="AK1021" s="17" t="str">
        <x:f>IF(AG1021&gt;=1000,"High Value",IF(AG1021&gt;=300,"Mid Value","Low Value"))</x:f>
        <x:v>High Value</x:v>
      </x:c>
      <x:c r="AL1021" s="17" t="str">
        <x:f>IF(AND(AI1021&gt;=1,I1021&lt;=50),"Priority 1",IF(AND(AG1021&gt;=1000,I1021&lt;=60),"Priority 2",IF(I1021&lt;=30,"Priority 3","Nurture")))</x:f>
        <x:v>Nurture</x:v>
      </x:c>
    </x:row>
    <x:row r="1022">
      <x:c r="A1022" s="16" t="n">
        <x:v>4550</x:v>
      </x:c>
      <x:c r="B1022" s="16" t="n">
        <x:v>1966</x:v>
      </x:c>
      <x:c r="C1022" s="16" t="str">
        <x:v>Master</x:v>
      </x:c>
      <x:c r="D1022" s="16" t="str">
        <x:v>Together</x:v>
      </x:c>
      <x:c r="E1022" s="16" t="n">
        <x:v>33564</x:v>
      </x:c>
      <x:c r="F1022" s="16" t="n">
        <x:v>0</x:v>
      </x:c>
      <x:c r="G1022" s="16" t="n">
        <x:v>1</x:v>
      </x:c>
      <x:c r="H1022" s="16" t="str">
        <x:v>24-06-2014</x:v>
      </x:c>
      <x:c r="I1022" s="16" t="n">
        <x:v>51</x:v>
      </x:c>
      <x:c r="J1022" s="16" t="n">
        <x:v>61</x:v>
      </x:c>
      <x:c r="K1022" s="16" t="n">
        <x:v>0</x:v>
      </x:c>
      <x:c r="L1022" s="16" t="n">
        <x:v>3</x:v>
      </x:c>
      <x:c r="M1022" s="16" t="n">
        <x:v>0</x:v>
      </x:c>
      <x:c r="N1022" s="16" t="n">
        <x:v>0</x:v>
      </x:c>
      <x:c r="O1022" s="16" t="n">
        <x:v>7</x:v>
      </x:c>
      <x:c r="P1022" s="16" t="n">
        <x:v>1</x:v>
      </x:c>
      <x:c r="Q1022" s="16" t="n">
        <x:v>1</x:v>
      </x:c>
      <x:c r="R1022" s="16" t="n">
        <x:v>1</x:v>
      </x:c>
      <x:c r="S1022" s="16" t="n">
        <x:v>3</x:v>
      </x:c>
      <x:c r="T1022" s="16" t="n">
        <x:v>5</x:v>
      </x:c>
      <x:c r="U1022" s="16" t="n">
        <x:v>0</x:v>
      </x:c>
      <x:c r="V1022" s="16" t="n">
        <x:v>0</x:v>
      </x:c>
      <x:c r="W1022" s="16" t="n">
        <x:v>0</x:v>
      </x:c>
      <x:c r="X1022" s="16" t="n">
        <x:v>0</x:v>
      </x:c>
      <x:c r="Y1022" s="16" t="n">
        <x:v>0</x:v>
      </x:c>
      <x:c r="Z1022" s="16" t="n">
        <x:v>0</x:v>
      </x:c>
      <x:c r="AA1022" s="16" t="n">
        <x:v>3</x:v>
      </x:c>
      <x:c r="AB1022" s="16" t="n">
        <x:v>11</x:v>
      </x:c>
      <x:c r="AC1022" s="16" t="n">
        <x:v>0</x:v>
      </x:c>
      <x:c r="AD1022" s="21" t="n">
        <x:f>IF(E1022="",MEDIAN($E$2:$E$2237),E1022)</x:f>
        <x:v>33564</x:v>
      </x:c>
      <x:c r="AE1022" s="17" t="n">
        <x:f>2014-B1022</x:f>
        <x:v>48</x:v>
      </x:c>
      <x:c r="AF1022" s="17" t="n">
        <x:f>F1022+G1022</x:f>
        <x:v>1</x:v>
      </x:c>
      <x:c r="AG1022" s="21" t="n">
        <x:f>SUM(J1022:O1022)</x:f>
        <x:v>71</x:v>
      </x:c>
      <x:c r="AH1022" s="17" t="n">
        <x:f>SUM(Q1022:S1022)</x:f>
        <x:v>5</x:v>
      </x:c>
      <x:c r="AI1022" s="17" t="n">
        <x:f>SUM(U1022:Y1022)</x:f>
        <x:v>0</x:v>
      </x:c>
      <x:c r="AJ1022" s="17" t="str">
        <x:f>IF(AE1022&lt;=34,"≤34",IF(AE1022&lt;=44,"35–44",IF(AE1022&lt;=54,"45–54",IF(AE1022&lt;=64,"55–64","65+"))))</x:f>
        <x:v>45–54</x:v>
      </x:c>
      <x:c r="AK1022" s="17" t="str">
        <x:f>IF(AG1022&gt;=1000,"High Value",IF(AG1022&gt;=300,"Mid Value","Low Value"))</x:f>
        <x:v>Low Value</x:v>
      </x:c>
      <x:c r="AL1022" s="17" t="str">
        <x:f>IF(AND(AI1022&gt;=1,I1022&lt;=50),"Priority 1",IF(AND(AG1022&gt;=1000,I1022&lt;=60),"Priority 2",IF(I1022&lt;=30,"Priority 3","Nurture")))</x:f>
        <x:v>Nurture</x:v>
      </x:c>
    </x:row>
    <x:row r="1023">
      <x:c r="A1023" s="16" t="n">
        <x:v>4240</x:v>
      </x:c>
      <x:c r="B1023" s="16" t="n">
        <x:v>1978</x:v>
      </x:c>
      <x:c r="C1023" s="16" t="str">
        <x:v>Graduation</x:v>
      </x:c>
      <x:c r="D1023" s="16" t="str">
        <x:v>Married</x:v>
      </x:c>
      <x:c r="E1023" s="16" t="n">
        <x:v>17345</x:v>
      </x:c>
      <x:c r="F1023" s="16" t="n">
        <x:v>1</x:v>
      </x:c>
      <x:c r="G1023" s="16" t="n">
        <x:v>0</x:v>
      </x:c>
      <x:c r="H1023" s="16" t="str">
        <x:v>03-11-2012</x:v>
      </x:c>
      <x:c r="I1023" s="16" t="n">
        <x:v>79</x:v>
      </x:c>
      <x:c r="J1023" s="16" t="n">
        <x:v>4</x:v>
      </x:c>
      <x:c r="K1023" s="16" t="n">
        <x:v>9</x:v>
      </x:c>
      <x:c r="L1023" s="16" t="n">
        <x:v>16</x:v>
      </x:c>
      <x:c r="M1023" s="16" t="n">
        <x:v>17</x:v>
      </x:c>
      <x:c r="N1023" s="16" t="n">
        <x:v>0</x:v>
      </x:c>
      <x:c r="O1023" s="16" t="n">
        <x:v>12</x:v>
      </x:c>
      <x:c r="P1023" s="16" t="n">
        <x:v>2</x:v>
      </x:c>
      <x:c r="Q1023" s="16" t="n">
        <x:v>2</x:v>
      </x:c>
      <x:c r="R1023" s="16" t="n">
        <x:v>1</x:v>
      </x:c>
      <x:c r="S1023" s="16" t="n">
        <x:v>2</x:v>
      </x:c>
      <x:c r="T1023" s="16" t="n">
        <x:v>8</x:v>
      </x:c>
      <x:c r="U1023" s="16" t="n">
        <x:v>0</x:v>
      </x:c>
      <x:c r="V1023" s="16" t="n">
        <x:v>0</x:v>
      </x:c>
      <x:c r="W1023" s="16" t="n">
        <x:v>0</x:v>
      </x:c>
      <x:c r="X1023" s="16" t="n">
        <x:v>0</x:v>
      </x:c>
      <x:c r="Y1023" s="16" t="n">
        <x:v>0</x:v>
      </x:c>
      <x:c r="Z1023" s="16" t="n">
        <x:v>0</x:v>
      </x:c>
      <x:c r="AA1023" s="16" t="n">
        <x:v>3</x:v>
      </x:c>
      <x:c r="AB1023" s="16" t="n">
        <x:v>11</x:v>
      </x:c>
      <x:c r="AC1023" s="16" t="n">
        <x:v>0</x:v>
      </x:c>
      <x:c r="AD1023" s="21" t="n">
        <x:f>IF(E1023="",MEDIAN($E$2:$E$2237),E1023)</x:f>
        <x:v>17345</x:v>
      </x:c>
      <x:c r="AE1023" s="17" t="n">
        <x:f>2014-B1023</x:f>
        <x:v>36</x:v>
      </x:c>
      <x:c r="AF1023" s="17" t="n">
        <x:f>F1023+G1023</x:f>
        <x:v>1</x:v>
      </x:c>
      <x:c r="AG1023" s="21" t="n">
        <x:f>SUM(J1023:O1023)</x:f>
        <x:v>58</x:v>
      </x:c>
      <x:c r="AH1023" s="17" t="n">
        <x:f>SUM(Q1023:S1023)</x:f>
        <x:v>5</x:v>
      </x:c>
      <x:c r="AI1023" s="17" t="n">
        <x:f>SUM(U1023:Y1023)</x:f>
        <x:v>0</x:v>
      </x:c>
      <x:c r="AJ1023" s="17" t="str">
        <x:f>IF(AE1023&lt;=34,"≤34",IF(AE1023&lt;=44,"35–44",IF(AE1023&lt;=54,"45–54",IF(AE1023&lt;=64,"55–64","65+"))))</x:f>
        <x:v>35–44</x:v>
      </x:c>
      <x:c r="AK1023" s="17" t="str">
        <x:f>IF(AG1023&gt;=1000,"High Value",IF(AG1023&gt;=300,"Mid Value","Low Value"))</x:f>
        <x:v>Low Value</x:v>
      </x:c>
      <x:c r="AL1023" s="17" t="str">
        <x:f>IF(AND(AI1023&gt;=1,I1023&lt;=50),"Priority 1",IF(AND(AG1023&gt;=1000,I1023&lt;=60),"Priority 2",IF(I1023&lt;=30,"Priority 3","Nurture")))</x:f>
        <x:v>Nurture</x:v>
      </x:c>
    </x:row>
    <x:row r="1024">
      <x:c r="A1024" s="16" t="n">
        <x:v>8911</x:v>
      </x:c>
      <x:c r="B1024" s="16" t="n">
        <x:v>1967</x:v>
      </x:c>
      <x:c r="C1024" s="16" t="str">
        <x:v>PhD</x:v>
      </x:c>
      <x:c r="D1024" s="16" t="str">
        <x:v>Married</x:v>
      </x:c>
      <x:c r="E1024" s="16" t="n">
        <x:v>56320</x:v>
      </x:c>
      <x:c r="F1024" s="16" t="n">
        <x:v>0</x:v>
      </x:c>
      <x:c r="G1024" s="16" t="n">
        <x:v>1</x:v>
      </x:c>
      <x:c r="H1024" s="16" t="str">
        <x:v>08-04-2013</x:v>
      </x:c>
      <x:c r="I1024" s="16" t="n">
        <x:v>11</x:v>
      </x:c>
      <x:c r="J1024" s="16" t="n">
        <x:v>201</x:v>
      </x:c>
      <x:c r="K1024" s="16" t="n">
        <x:v>53</x:v>
      </x:c>
      <x:c r="L1024" s="16" t="n">
        <x:v>172</x:v>
      </x:c>
      <x:c r="M1024" s="16" t="n">
        <x:v>116</x:v>
      </x:c>
      <x:c r="N1024" s="16" t="n">
        <x:v>77</x:v>
      </x:c>
      <x:c r="O1024" s="16" t="n">
        <x:v>83</x:v>
      </x:c>
      <x:c r="P1024" s="16" t="n">
        <x:v>3</x:v>
      </x:c>
      <x:c r="Q1024" s="16" t="n">
        <x:v>5</x:v>
      </x:c>
      <x:c r="R1024" s="16" t="n">
        <x:v>4</x:v>
      </x:c>
      <x:c r="S1024" s="16" t="n">
        <x:v>9</x:v>
      </x:c>
      <x:c r="T1024" s="16" t="n">
        <x:v>4</x:v>
      </x:c>
      <x:c r="U1024" s="16" t="n">
        <x:v>0</x:v>
      </x:c>
      <x:c r="V1024" s="16" t="n">
        <x:v>0</x:v>
      </x:c>
      <x:c r="W1024" s="16" t="n">
        <x:v>0</x:v>
      </x:c>
      <x:c r="X1024" s="16" t="n">
        <x:v>0</x:v>
      </x:c>
      <x:c r="Y1024" s="16" t="n">
        <x:v>0</x:v>
      </x:c>
      <x:c r="Z1024" s="16" t="n">
        <x:v>0</x:v>
      </x:c>
      <x:c r="AA1024" s="16" t="n">
        <x:v>3</x:v>
      </x:c>
      <x:c r="AB1024" s="16" t="n">
        <x:v>11</x:v>
      </x:c>
      <x:c r="AC1024" s="16" t="n">
        <x:v>0</x:v>
      </x:c>
      <x:c r="AD1024" s="21" t="n">
        <x:f>IF(E1024="",MEDIAN($E$2:$E$2237),E1024)</x:f>
        <x:v>56320</x:v>
      </x:c>
      <x:c r="AE1024" s="17" t="n">
        <x:f>2014-B1024</x:f>
        <x:v>47</x:v>
      </x:c>
      <x:c r="AF1024" s="17" t="n">
        <x:f>F1024+G1024</x:f>
        <x:v>1</x:v>
      </x:c>
      <x:c r="AG1024" s="21" t="n">
        <x:f>SUM(J1024:O1024)</x:f>
        <x:v>702</x:v>
      </x:c>
      <x:c r="AH1024" s="17" t="n">
        <x:f>SUM(Q1024:S1024)</x:f>
        <x:v>18</x:v>
      </x:c>
      <x:c r="AI1024" s="17" t="n">
        <x:f>SUM(U1024:Y1024)</x:f>
        <x:v>0</x:v>
      </x:c>
      <x:c r="AJ1024" s="17" t="str">
        <x:f>IF(AE1024&lt;=34,"≤34",IF(AE1024&lt;=44,"35–44",IF(AE1024&lt;=54,"45–54",IF(AE1024&lt;=64,"55–64","65+"))))</x:f>
        <x:v>45–54</x:v>
      </x:c>
      <x:c r="AK1024" s="17" t="str">
        <x:f>IF(AG1024&gt;=1000,"High Value",IF(AG1024&gt;=300,"Mid Value","Low Value"))</x:f>
        <x:v>Mid Value</x:v>
      </x:c>
      <x:c r="AL1024" s="17" t="str">
        <x:f>IF(AND(AI1024&gt;=1,I1024&lt;=50),"Priority 1",IF(AND(AG1024&gt;=1000,I1024&lt;=60),"Priority 2",IF(I1024&lt;=30,"Priority 3","Nurture")))</x:f>
        <x:v>Priority 3</x:v>
      </x:c>
    </x:row>
    <x:row r="1025">
      <x:c r="A1025" s="16" t="n">
        <x:v>3706</x:v>
      </x:c>
      <x:c r="B1025" s="16" t="n">
        <x:v>1978</x:v>
      </x:c>
      <x:c r="C1025" s="16" t="str">
        <x:v>Graduation</x:v>
      </x:c>
      <x:c r="D1025" s="16" t="str">
        <x:v>Single</x:v>
      </x:c>
      <x:c r="E1025" s="16" t="n">
        <x:v>28647</x:v>
      </x:c>
      <x:c r="F1025" s="16" t="n">
        <x:v>1</x:v>
      </x:c>
      <x:c r="G1025" s="16" t="n">
        <x:v>0</x:v>
      </x:c>
      <x:c r="H1025" s="16" t="str">
        <x:v>21-08-2013</x:v>
      </x:c>
      <x:c r="I1025" s="16" t="n">
        <x:v>54</x:v>
      </x:c>
      <x:c r="J1025" s="16" t="n">
        <x:v>19</x:v>
      </x:c>
      <x:c r="K1025" s="16" t="n">
        <x:v>8</x:v>
      </x:c>
      <x:c r="L1025" s="16" t="n">
        <x:v>29</x:v>
      </x:c>
      <x:c r="M1025" s="16" t="n">
        <x:v>0</x:v>
      </x:c>
      <x:c r="N1025" s="16" t="n">
        <x:v>12</x:v>
      </x:c>
      <x:c r="O1025" s="16" t="n">
        <x:v>26</x:v>
      </x:c>
      <x:c r="P1025" s="16" t="n">
        <x:v>1</x:v>
      </x:c>
      <x:c r="Q1025" s="16" t="n">
        <x:v>2</x:v>
      </x:c>
      <x:c r="R1025" s="16" t="n">
        <x:v>2</x:v>
      </x:c>
      <x:c r="S1025" s="16" t="n">
        <x:v>2</x:v>
      </x:c>
      <x:c r="T1025" s="16" t="n">
        <x:v>7</x:v>
      </x:c>
      <x:c r="U1025" s="16" t="n">
        <x:v>1</x:v>
      </x:c>
      <x:c r="V1025" s="16" t="n">
        <x:v>0</x:v>
      </x:c>
      <x:c r="W1025" s="16" t="n">
        <x:v>0</x:v>
      </x:c>
      <x:c r="X1025" s="16" t="n">
        <x:v>0</x:v>
      </x:c>
      <x:c r="Y1025" s="16" t="n">
        <x:v>0</x:v>
      </x:c>
      <x:c r="Z1025" s="16" t="n">
        <x:v>0</x:v>
      </x:c>
      <x:c r="AA1025" s="16" t="n">
        <x:v>3</x:v>
      </x:c>
      <x:c r="AB1025" s="16" t="n">
        <x:v>11</x:v>
      </x:c>
      <x:c r="AC1025" s="16" t="n">
        <x:v>1</x:v>
      </x:c>
      <x:c r="AD1025" s="21" t="n">
        <x:f>IF(E1025="",MEDIAN($E$2:$E$2237),E1025)</x:f>
        <x:v>28647</x:v>
      </x:c>
      <x:c r="AE1025" s="17" t="n">
        <x:f>2014-B1025</x:f>
        <x:v>36</x:v>
      </x:c>
      <x:c r="AF1025" s="17" t="n">
        <x:f>F1025+G1025</x:f>
        <x:v>1</x:v>
      </x:c>
      <x:c r="AG1025" s="21" t="n">
        <x:f>SUM(J1025:O1025)</x:f>
        <x:v>94</x:v>
      </x:c>
      <x:c r="AH1025" s="17" t="n">
        <x:f>SUM(Q1025:S1025)</x:f>
        <x:v>6</x:v>
      </x:c>
      <x:c r="AI1025" s="17" t="n">
        <x:f>SUM(U1025:Y1025)</x:f>
        <x:v>1</x:v>
      </x:c>
      <x:c r="AJ1025" s="17" t="str">
        <x:f>IF(AE1025&lt;=34,"≤34",IF(AE1025&lt;=44,"35–44",IF(AE1025&lt;=54,"45–54",IF(AE1025&lt;=64,"55–64","65+"))))</x:f>
        <x:v>35–44</x:v>
      </x:c>
      <x:c r="AK1025" s="17" t="str">
        <x:f>IF(AG1025&gt;=1000,"High Value",IF(AG1025&gt;=300,"Mid Value","Low Value"))</x:f>
        <x:v>Low Value</x:v>
      </x:c>
      <x:c r="AL1025" s="17" t="str">
        <x:f>IF(AND(AI1025&gt;=1,I1025&lt;=50),"Priority 1",IF(AND(AG1025&gt;=1000,I1025&lt;=60),"Priority 2",IF(I1025&lt;=30,"Priority 3","Nurture")))</x:f>
        <x:v>Nurture</x:v>
      </x:c>
    </x:row>
    <x:row r="1026">
      <x:c r="A1026" s="16" t="n">
        <x:v>3628</x:v>
      </x:c>
      <x:c r="B1026" s="16" t="n">
        <x:v>1987</x:v>
      </x:c>
      <x:c r="C1026" s="16" t="str">
        <x:v>Basic</x:v>
      </x:c>
      <x:c r="D1026" s="16" t="str">
        <x:v>Single</x:v>
      </x:c>
      <x:c r="E1026" s="16" t="n">
        <x:v>15038</x:v>
      </x:c>
      <x:c r="F1026" s="16" t="n">
        <x:v>1</x:v>
      </x:c>
      <x:c r="G1026" s="16" t="n">
        <x:v>0</x:v>
      </x:c>
      <x:c r="H1026" s="16" t="str">
        <x:v>29-01-2013</x:v>
      </x:c>
      <x:c r="I1026" s="16" t="n">
        <x:v>93</x:v>
      </x:c>
      <x:c r="J1026" s="16" t="n">
        <x:v>4</x:v>
      </x:c>
      <x:c r="K1026" s="16" t="n">
        <x:v>8</x:v>
      </x:c>
      <x:c r="L1026" s="16" t="n">
        <x:v>11</x:v>
      </x:c>
      <x:c r="M1026" s="16" t="n">
        <x:v>19</x:v>
      </x:c>
      <x:c r="N1026" s="16" t="n">
        <x:v>12</x:v>
      </x:c>
      <x:c r="O1026" s="16" t="n">
        <x:v>26</x:v>
      </x:c>
      <x:c r="P1026" s="16" t="n">
        <x:v>2</x:v>
      </x:c>
      <x:c r="Q1026" s="16" t="n">
        <x:v>2</x:v>
      </x:c>
      <x:c r="R1026" s="16" t="n">
        <x:v>1</x:v>
      </x:c>
      <x:c r="S1026" s="16" t="n">
        <x:v>2</x:v>
      </x:c>
      <x:c r="T1026" s="16" t="n">
        <x:v>9</x:v>
      </x:c>
      <x:c r="U1026" s="16" t="n">
        <x:v>0</x:v>
      </x:c>
      <x:c r="V1026" s="16" t="n">
        <x:v>0</x:v>
      </x:c>
      <x:c r="W1026" s="16" t="n">
        <x:v>0</x:v>
      </x:c>
      <x:c r="X1026" s="16" t="n">
        <x:v>0</x:v>
      </x:c>
      <x:c r="Y1026" s="16" t="n">
        <x:v>0</x:v>
      </x:c>
      <x:c r="Z1026" s="16" t="n">
        <x:v>0</x:v>
      </x:c>
      <x:c r="AA1026" s="16" t="n">
        <x:v>3</x:v>
      </x:c>
      <x:c r="AB1026" s="16" t="n">
        <x:v>11</x:v>
      </x:c>
      <x:c r="AC1026" s="16" t="n">
        <x:v>0</x:v>
      </x:c>
      <x:c r="AD1026" s="21" t="n">
        <x:f>IF(E1026="",MEDIAN($E$2:$E$2237),E1026)</x:f>
        <x:v>15038</x:v>
      </x:c>
      <x:c r="AE1026" s="17" t="n">
        <x:f>2014-B1026</x:f>
        <x:v>27</x:v>
      </x:c>
      <x:c r="AF1026" s="17" t="n">
        <x:f>F1026+G1026</x:f>
        <x:v>1</x:v>
      </x:c>
      <x:c r="AG1026" s="21" t="n">
        <x:f>SUM(J1026:O1026)</x:f>
        <x:v>80</x:v>
      </x:c>
      <x:c r="AH1026" s="17" t="n">
        <x:f>SUM(Q1026:S1026)</x:f>
        <x:v>5</x:v>
      </x:c>
      <x:c r="AI1026" s="17" t="n">
        <x:f>SUM(U1026:Y1026)</x:f>
        <x:v>0</x:v>
      </x:c>
      <x:c r="AJ1026" s="17" t="str">
        <x:f>IF(AE1026&lt;=34,"≤34",IF(AE1026&lt;=44,"35–44",IF(AE1026&lt;=54,"45–54",IF(AE1026&lt;=64,"55–64","65+"))))</x:f>
        <x:v>≤34</x:v>
      </x:c>
      <x:c r="AK1026" s="17" t="str">
        <x:f>IF(AG1026&gt;=1000,"High Value",IF(AG1026&gt;=300,"Mid Value","Low Value"))</x:f>
        <x:v>Low Value</x:v>
      </x:c>
      <x:c r="AL1026" s="17" t="str">
        <x:f>IF(AND(AI1026&gt;=1,I1026&lt;=50),"Priority 1",IF(AND(AG1026&gt;=1000,I1026&lt;=60),"Priority 2",IF(I1026&lt;=30,"Priority 3","Nurture")))</x:f>
        <x:v>Nurture</x:v>
      </x:c>
    </x:row>
    <x:row r="1027">
      <x:c r="A1027" s="16" t="n">
        <x:v>10175</x:v>
      </x:c>
      <x:c r="B1027" s="16" t="n">
        <x:v>1958</x:v>
      </x:c>
      <x:c r="C1027" s="16" t="str">
        <x:v>PhD</x:v>
      </x:c>
      <x:c r="D1027" s="16" t="str">
        <x:v>Divorced</x:v>
      </x:c>
      <x:c r="E1027" s="16" t="n">
        <x:v>32173</x:v>
      </x:c>
      <x:c r="F1027" s="16" t="n">
        <x:v>0</x:v>
      </x:c>
      <x:c r="G1027" s="16" t="n">
        <x:v>1</x:v>
      </x:c>
      <x:c r="H1027" s="16" t="str">
        <x:v>01-08-2013</x:v>
      </x:c>
      <x:c r="I1027" s="16" t="n">
        <x:v>0</x:v>
      </x:c>
      <x:c r="J1027" s="16" t="n">
        <x:v>18</x:v>
      </x:c>
      <x:c r="K1027" s="16" t="n">
        <x:v>0</x:v>
      </x:c>
      <x:c r="L1027" s="16" t="n">
        <x:v>2</x:v>
      </x:c>
      <x:c r="M1027" s="16" t="n">
        <x:v>0</x:v>
      </x:c>
      <x:c r="N1027" s="16" t="n">
        <x:v>0</x:v>
      </x:c>
      <x:c r="O1027" s="16" t="n">
        <x:v>2</x:v>
      </x:c>
      <x:c r="P1027" s="16" t="n">
        <x:v>1</x:v>
      </x:c>
      <x:c r="Q1027" s="16" t="n">
        <x:v>1</x:v>
      </x:c>
      <x:c r="R1027" s="16" t="n">
        <x:v>0</x:v>
      </x:c>
      <x:c r="S1027" s="16" t="n">
        <x:v>3</x:v>
      </x:c>
      <x:c r="T1027" s="16" t="n">
        <x:v>4</x:v>
      </x:c>
      <x:c r="U1027" s="16" t="n">
        <x:v>0</x:v>
      </x:c>
      <x:c r="V1027" s="16" t="n">
        <x:v>0</x:v>
      </x:c>
      <x:c r="W1027" s="16" t="n">
        <x:v>0</x:v>
      </x:c>
      <x:c r="X1027" s="16" t="n">
        <x:v>0</x:v>
      </x:c>
      <x:c r="Y1027" s="16" t="n">
        <x:v>0</x:v>
      </x:c>
      <x:c r="Z1027" s="16" t="n">
        <x:v>0</x:v>
      </x:c>
      <x:c r="AA1027" s="16" t="n">
        <x:v>3</x:v>
      </x:c>
      <x:c r="AB1027" s="16" t="n">
        <x:v>11</x:v>
      </x:c>
      <x:c r="AC1027" s="16" t="n">
        <x:v>0</x:v>
      </x:c>
      <x:c r="AD1027" s="21" t="n">
        <x:f>IF(E1027="",MEDIAN($E$2:$E$2237),E1027)</x:f>
        <x:v>32173</x:v>
      </x:c>
      <x:c r="AE1027" s="17" t="n">
        <x:f>2014-B1027</x:f>
        <x:v>56</x:v>
      </x:c>
      <x:c r="AF1027" s="17" t="n">
        <x:f>F1027+G1027</x:f>
        <x:v>1</x:v>
      </x:c>
      <x:c r="AG1027" s="21" t="n">
        <x:f>SUM(J1027:O1027)</x:f>
        <x:v>22</x:v>
      </x:c>
      <x:c r="AH1027" s="17" t="n">
        <x:f>SUM(Q1027:S1027)</x:f>
        <x:v>4</x:v>
      </x:c>
      <x:c r="AI1027" s="17" t="n">
        <x:f>SUM(U1027:Y1027)</x:f>
        <x:v>0</x:v>
      </x:c>
      <x:c r="AJ1027" s="17" t="str">
        <x:f>IF(AE1027&lt;=34,"≤34",IF(AE1027&lt;=44,"35–44",IF(AE1027&lt;=54,"45–54",IF(AE1027&lt;=64,"55–64","65+"))))</x:f>
        <x:v>55–64</x:v>
      </x:c>
      <x:c r="AK1027" s="17" t="str">
        <x:f>IF(AG1027&gt;=1000,"High Value",IF(AG1027&gt;=300,"Mid Value","Low Value"))</x:f>
        <x:v>Low Value</x:v>
      </x:c>
      <x:c r="AL1027" s="17" t="str">
        <x:f>IF(AND(AI1027&gt;=1,I1027&lt;=50),"Priority 1",IF(AND(AG1027&gt;=1000,I1027&lt;=60),"Priority 2",IF(I1027&lt;=30,"Priority 3","Nurture")))</x:f>
        <x:v>Priority 3</x:v>
      </x:c>
    </x:row>
    <x:row r="1028">
      <x:c r="A1028" s="16" t="n">
        <x:v>8985</x:v>
      </x:c>
      <x:c r="B1028" s="16" t="n">
        <x:v>1964</x:v>
      </x:c>
      <x:c r="C1028" s="16" t="str">
        <x:v>2n Cycle</x:v>
      </x:c>
      <x:c r="D1028" s="16" t="str">
        <x:v>Together</x:v>
      </x:c>
      <x:c r="E1028" s="16" t="n">
        <x:v>68316</x:v>
      </x:c>
      <x:c r="F1028" s="16" t="n">
        <x:v>0</x:v>
      </x:c>
      <x:c r="G1028" s="16" t="n">
        <x:v>1</x:v>
      </x:c>
      <x:c r="H1028" s="16" t="str">
        <x:v>04-11-2012</x:v>
      </x:c>
      <x:c r="I1028" s="16" t="n">
        <x:v>54</x:v>
      </x:c>
      <x:c r="J1028" s="16" t="n">
        <x:v>806</x:v>
      </x:c>
      <x:c r="K1028" s="16" t="n">
        <x:v>80</x:v>
      </x:c>
      <x:c r="L1028" s="16" t="n">
        <x:v>161</x:v>
      </x:c>
      <x:c r="M1028" s="16" t="n">
        <x:v>120</x:v>
      </x:c>
      <x:c r="N1028" s="16" t="n">
        <x:v>11</x:v>
      </x:c>
      <x:c r="O1028" s="16" t="n">
        <x:v>33</x:v>
      </x:c>
      <x:c r="P1028" s="16" t="n">
        <x:v>5</x:v>
      </x:c>
      <x:c r="Q1028" s="16" t="n">
        <x:v>10</x:v>
      </x:c>
      <x:c r="R1028" s="16" t="n">
        <x:v>7</x:v>
      </x:c>
      <x:c r="S1028" s="16" t="n">
        <x:v>10</x:v>
      </x:c>
      <x:c r="T1028" s="16" t="n">
        <x:v>6</x:v>
      </x:c>
      <x:c r="U1028" s="16" t="n">
        <x:v>0</x:v>
      </x:c>
      <x:c r="V1028" s="16" t="n">
        <x:v>0</x:v>
      </x:c>
      <x:c r="W1028" s="16" t="n">
        <x:v>0</x:v>
      </x:c>
      <x:c r="X1028" s="16" t="n">
        <x:v>0</x:v>
      </x:c>
      <x:c r="Y1028" s="16" t="n">
        <x:v>0</x:v>
      </x:c>
      <x:c r="Z1028" s="16" t="n">
        <x:v>0</x:v>
      </x:c>
      <x:c r="AA1028" s="16" t="n">
        <x:v>3</x:v>
      </x:c>
      <x:c r="AB1028" s="16" t="n">
        <x:v>11</x:v>
      </x:c>
      <x:c r="AC1028" s="16" t="n">
        <x:v>0</x:v>
      </x:c>
      <x:c r="AD1028" s="21" t="n">
        <x:f>IF(E1028="",MEDIAN($E$2:$E$2237),E1028)</x:f>
        <x:v>68316</x:v>
      </x:c>
      <x:c r="AE1028" s="17" t="n">
        <x:f>2014-B1028</x:f>
        <x:v>50</x:v>
      </x:c>
      <x:c r="AF1028" s="17" t="n">
        <x:f>F1028+G1028</x:f>
        <x:v>1</x:v>
      </x:c>
      <x:c r="AG1028" s="21" t="n">
        <x:f>SUM(J1028:O1028)</x:f>
        <x:v>1211</x:v>
      </x:c>
      <x:c r="AH1028" s="17" t="n">
        <x:f>SUM(Q1028:S1028)</x:f>
        <x:v>27</x:v>
      </x:c>
      <x:c r="AI1028" s="17" t="n">
        <x:f>SUM(U1028:Y1028)</x:f>
        <x:v>0</x:v>
      </x:c>
      <x:c r="AJ1028" s="17" t="str">
        <x:f>IF(AE1028&lt;=34,"≤34",IF(AE1028&lt;=44,"35–44",IF(AE1028&lt;=54,"45–54",IF(AE1028&lt;=64,"55–64","65+"))))</x:f>
        <x:v>45–54</x:v>
      </x:c>
      <x:c r="AK1028" s="17" t="str">
        <x:f>IF(AG1028&gt;=1000,"High Value",IF(AG1028&gt;=300,"Mid Value","Low Value"))</x:f>
        <x:v>High Value</x:v>
      </x:c>
      <x:c r="AL1028" s="17" t="str">
        <x:f>IF(AND(AI1028&gt;=1,I1028&lt;=50),"Priority 1",IF(AND(AG1028&gt;=1000,I1028&lt;=60),"Priority 2",IF(I1028&lt;=30,"Priority 3","Nurture")))</x:f>
        <x:v>Priority 2</x:v>
      </x:c>
    </x:row>
    <x:row r="1029">
      <x:c r="A1029" s="16" t="n">
        <x:v>5204</x:v>
      </x:c>
      <x:c r="B1029" s="16" t="n">
        <x:v>1971</x:v>
      </x:c>
      <x:c r="C1029" s="16" t="str">
        <x:v>Graduation</x:v>
      </x:c>
      <x:c r="D1029" s="16" t="str">
        <x:v>Together</x:v>
      </x:c>
      <x:c r="E1029" s="16" t="n">
        <x:v>74538</x:v>
      </x:c>
      <x:c r="F1029" s="16" t="n">
        <x:v>0</x:v>
      </x:c>
      <x:c r="G1029" s="16" t="n">
        <x:v>0</x:v>
      </x:c>
      <x:c r="H1029" s="16" t="str">
        <x:v>29-06-2013</x:v>
      </x:c>
      <x:c r="I1029" s="16" t="n">
        <x:v>21</x:v>
      </x:c>
      <x:c r="J1029" s="16" t="n">
        <x:v>380</x:v>
      </x:c>
      <x:c r="K1029" s="16" t="n">
        <x:v>98</x:v>
      </x:c>
      <x:c r="L1029" s="16" t="n">
        <x:v>733</x:v>
      </x:c>
      <x:c r="M1029" s="16" t="n">
        <x:v>110</x:v>
      </x:c>
      <x:c r="N1029" s="16" t="n">
        <x:v>112</x:v>
      </x:c>
      <x:c r="O1029" s="16" t="n">
        <x:v>28</x:v>
      </x:c>
      <x:c r="P1029" s="16" t="n">
        <x:v>1</x:v>
      </x:c>
      <x:c r="Q1029" s="16" t="n">
        <x:v>8</x:v>
      </x:c>
      <x:c r="R1029" s="16" t="n">
        <x:v>8</x:v>
      </x:c>
      <x:c r="S1029" s="16" t="n">
        <x:v>5</x:v>
      </x:c>
      <x:c r="T1029" s="16" t="n">
        <x:v>3</x:v>
      </x:c>
      <x:c r="U1029" s="16" t="n">
        <x:v>0</x:v>
      </x:c>
      <x:c r="V1029" s="16" t="n">
        <x:v>0</x:v>
      </x:c>
      <x:c r="W1029" s="16" t="n">
        <x:v>1</x:v>
      </x:c>
      <x:c r="X1029" s="16" t="n">
        <x:v>0</x:v>
      </x:c>
      <x:c r="Y1029" s="16" t="n">
        <x:v>0</x:v>
      </x:c>
      <x:c r="Z1029" s="16" t="n">
        <x:v>0</x:v>
      </x:c>
      <x:c r="AA1029" s="16" t="n">
        <x:v>3</x:v>
      </x:c>
      <x:c r="AB1029" s="16" t="n">
        <x:v>11</x:v>
      </x:c>
      <x:c r="AC1029" s="16" t="n">
        <x:v>1</x:v>
      </x:c>
      <x:c r="AD1029" s="21" t="n">
        <x:f>IF(E1029="",MEDIAN($E$2:$E$2237),E1029)</x:f>
        <x:v>74538</x:v>
      </x:c>
      <x:c r="AE1029" s="17" t="n">
        <x:f>2014-B1029</x:f>
        <x:v>43</x:v>
      </x:c>
      <x:c r="AF1029" s="17" t="n">
        <x:f>F1029+G1029</x:f>
        <x:v>0</x:v>
      </x:c>
      <x:c r="AG1029" s="21" t="n">
        <x:f>SUM(J1029:O1029)</x:f>
        <x:v>1461</x:v>
      </x:c>
      <x:c r="AH1029" s="17" t="n">
        <x:f>SUM(Q1029:S1029)</x:f>
        <x:v>21</x:v>
      </x:c>
      <x:c r="AI1029" s="17" t="n">
        <x:f>SUM(U1029:Y1029)</x:f>
        <x:v>1</x:v>
      </x:c>
      <x:c r="AJ1029" s="17" t="str">
        <x:f>IF(AE1029&lt;=34,"≤34",IF(AE1029&lt;=44,"35–44",IF(AE1029&lt;=54,"45–54",IF(AE1029&lt;=64,"55–64","65+"))))</x:f>
        <x:v>35–44</x:v>
      </x:c>
      <x:c r="AK1029" s="17" t="str">
        <x:f>IF(AG1029&gt;=1000,"High Value",IF(AG1029&gt;=300,"Mid Value","Low Value"))</x:f>
        <x:v>High Value</x:v>
      </x:c>
      <x:c r="AL1029" s="17" t="str">
        <x:f>IF(AND(AI1029&gt;=1,I1029&lt;=50),"Priority 1",IF(AND(AG1029&gt;=1000,I1029&lt;=60),"Priority 2",IF(I1029&lt;=30,"Priority 3","Nurture")))</x:f>
        <x:v>Priority 1</x:v>
      </x:c>
    </x:row>
    <x:row r="1030">
      <x:c r="A1030" s="16" t="n">
        <x:v>9220</x:v>
      </x:c>
      <x:c r="B1030" s="16" t="n">
        <x:v>1971</x:v>
      </x:c>
      <x:c r="C1030" s="16" t="str">
        <x:v>Graduation</x:v>
      </x:c>
      <x:c r="D1030" s="16" t="str">
        <x:v>Single</x:v>
      </x:c>
      <x:c r="E1030" s="16" t="n">
        <x:v>91700</x:v>
      </x:c>
      <x:c r="F1030" s="16" t="n">
        <x:v>0</x:v>
      </x:c>
      <x:c r="G1030" s="16" t="n">
        <x:v>0</x:v>
      </x:c>
      <x:c r="H1030" s="16" t="str">
        <x:v>17-01-2013</x:v>
      </x:c>
      <x:c r="I1030" s="16" t="n">
        <x:v>58</x:v>
      </x:c>
      <x:c r="J1030" s="16" t="n">
        <x:v>576</x:v>
      </x:c>
      <x:c r="K1030" s="16" t="n">
        <x:v>172</x:v>
      </x:c>
      <x:c r="L1030" s="16" t="n">
        <x:v>961</x:v>
      </x:c>
      <x:c r="M1030" s="16" t="n">
        <x:v>125</x:v>
      </x:c>
      <x:c r="N1030" s="16" t="n">
        <x:v>115</x:v>
      </x:c>
      <x:c r="O1030" s="16" t="n">
        <x:v>19</x:v>
      </x:c>
      <x:c r="P1030" s="16" t="n">
        <x:v>1</x:v>
      </x:c>
      <x:c r="Q1030" s="16" t="n">
        <x:v>8</x:v>
      </x:c>
      <x:c r="R1030" s="16" t="n">
        <x:v>6</x:v>
      </x:c>
      <x:c r="S1030" s="16" t="n">
        <x:v>5</x:v>
      </x:c>
      <x:c r="T1030" s="16" t="n">
        <x:v>3</x:v>
      </x:c>
      <x:c r="U1030" s="16" t="n">
        <x:v>0</x:v>
      </x:c>
      <x:c r="V1030" s="16" t="n">
        <x:v>0</x:v>
      </x:c>
      <x:c r="W1030" s="16" t="n">
        <x:v>0</x:v>
      </x:c>
      <x:c r="X1030" s="16" t="n">
        <x:v>0</x:v>
      </x:c>
      <x:c r="Y1030" s="16" t="n">
        <x:v>0</x:v>
      </x:c>
      <x:c r="Z1030" s="16" t="n">
        <x:v>0</x:v>
      </x:c>
      <x:c r="AA1030" s="16" t="n">
        <x:v>3</x:v>
      </x:c>
      <x:c r="AB1030" s="16" t="n">
        <x:v>11</x:v>
      </x:c>
      <x:c r="AC1030" s="16" t="n">
        <x:v>1</x:v>
      </x:c>
      <x:c r="AD1030" s="21" t="n">
        <x:f>IF(E1030="",MEDIAN($E$2:$E$2237),E1030)</x:f>
        <x:v>91700</x:v>
      </x:c>
      <x:c r="AE1030" s="17" t="n">
        <x:f>2014-B1030</x:f>
        <x:v>43</x:v>
      </x:c>
      <x:c r="AF1030" s="17" t="n">
        <x:f>F1030+G1030</x:f>
        <x:v>0</x:v>
      </x:c>
      <x:c r="AG1030" s="21" t="n">
        <x:f>SUM(J1030:O1030)</x:f>
        <x:v>1968</x:v>
      </x:c>
      <x:c r="AH1030" s="17" t="n">
        <x:f>SUM(Q1030:S1030)</x:f>
        <x:v>19</x:v>
      </x:c>
      <x:c r="AI1030" s="17" t="n">
        <x:f>SUM(U1030:Y1030)</x:f>
        <x:v>0</x:v>
      </x:c>
      <x:c r="AJ1030" s="17" t="str">
        <x:f>IF(AE1030&lt;=34,"≤34",IF(AE1030&lt;=44,"35–44",IF(AE1030&lt;=54,"45–54",IF(AE1030&lt;=64,"55–64","65+"))))</x:f>
        <x:v>35–44</x:v>
      </x:c>
      <x:c r="AK1030" s="17" t="str">
        <x:f>IF(AG1030&gt;=1000,"High Value",IF(AG1030&gt;=300,"Mid Value","Low Value"))</x:f>
        <x:v>High Value</x:v>
      </x:c>
      <x:c r="AL1030" s="17" t="str">
        <x:f>IF(AND(AI1030&gt;=1,I1030&lt;=50),"Priority 1",IF(AND(AG1030&gt;=1000,I1030&lt;=60),"Priority 2",IF(I1030&lt;=30,"Priority 3","Nurture")))</x:f>
        <x:v>Priority 2</x:v>
      </x:c>
    </x:row>
    <x:row r="1031">
      <x:c r="A1031" s="16" t="n">
        <x:v>9888</x:v>
      </x:c>
      <x:c r="B1031" s="16" t="n">
        <x:v>1969</x:v>
      </x:c>
      <x:c r="C1031" s="16" t="str">
        <x:v>Graduation</x:v>
      </x:c>
      <x:c r="D1031" s="16" t="str">
        <x:v>Together</x:v>
      </x:c>
      <x:c r="E1031" s="16" t="n">
        <x:v>68695</x:v>
      </x:c>
      <x:c r="F1031" s="16" t="n">
        <x:v>0</x:v>
      </x:c>
      <x:c r="G1031" s="16" t="n">
        <x:v>0</x:v>
      </x:c>
      <x:c r="H1031" s="16" t="str">
        <x:v>25-06-2014</x:v>
      </x:c>
      <x:c r="I1031" s="16" t="n">
        <x:v>3</x:v>
      </x:c>
      <x:c r="J1031" s="16" t="n">
        <x:v>458</x:v>
      </x:c>
      <x:c r="K1031" s="16" t="n">
        <x:v>81</x:v>
      </x:c>
      <x:c r="L1031" s="16" t="n">
        <x:v>356</x:v>
      </x:c>
      <x:c r="M1031" s="16" t="n">
        <x:v>106</x:v>
      </x:c>
      <x:c r="N1031" s="16" t="n">
        <x:v>50</x:v>
      </x:c>
      <x:c r="O1031" s="16" t="n">
        <x:v>40</x:v>
      </x:c>
      <x:c r="P1031" s="16" t="n">
        <x:v>1</x:v>
      </x:c>
      <x:c r="Q1031" s="16" t="n">
        <x:v>4</x:v>
      </x:c>
      <x:c r="R1031" s="16" t="n">
        <x:v>4</x:v>
      </x:c>
      <x:c r="S1031" s="16" t="n">
        <x:v>7</x:v>
      </x:c>
      <x:c r="T1031" s="16" t="n">
        <x:v>2</x:v>
      </x:c>
      <x:c r="U1031" s="16" t="n">
        <x:v>0</x:v>
      </x:c>
      <x:c r="V1031" s="16" t="n">
        <x:v>0</x:v>
      </x:c>
      <x:c r="W1031" s="16" t="n">
        <x:v>0</x:v>
      </x:c>
      <x:c r="X1031" s="16" t="n">
        <x:v>0</x:v>
      </x:c>
      <x:c r="Y1031" s="16" t="n">
        <x:v>0</x:v>
      </x:c>
      <x:c r="Z1031" s="16" t="n">
        <x:v>0</x:v>
      </x:c>
      <x:c r="AA1031" s="16" t="n">
        <x:v>3</x:v>
      </x:c>
      <x:c r="AB1031" s="16" t="n">
        <x:v>11</x:v>
      </x:c>
      <x:c r="AC1031" s="16" t="n">
        <x:v>0</x:v>
      </x:c>
      <x:c r="AD1031" s="21" t="n">
        <x:f>IF(E1031="",MEDIAN($E$2:$E$2237),E1031)</x:f>
        <x:v>68695</x:v>
      </x:c>
      <x:c r="AE1031" s="17" t="n">
        <x:f>2014-B1031</x:f>
        <x:v>45</x:v>
      </x:c>
      <x:c r="AF1031" s="17" t="n">
        <x:f>F1031+G1031</x:f>
        <x:v>0</x:v>
      </x:c>
      <x:c r="AG1031" s="21" t="n">
        <x:f>SUM(J1031:O1031)</x:f>
        <x:v>1091</x:v>
      </x:c>
      <x:c r="AH1031" s="17" t="n">
        <x:f>SUM(Q1031:S1031)</x:f>
        <x:v>15</x:v>
      </x:c>
      <x:c r="AI1031" s="17" t="n">
        <x:f>SUM(U1031:Y1031)</x:f>
        <x:v>0</x:v>
      </x:c>
      <x:c r="AJ1031" s="17" t="str">
        <x:f>IF(AE1031&lt;=34,"≤34",IF(AE1031&lt;=44,"35–44",IF(AE1031&lt;=54,"45–54",IF(AE1031&lt;=64,"55–64","65+"))))</x:f>
        <x:v>45–54</x:v>
      </x:c>
      <x:c r="AK1031" s="17" t="str">
        <x:f>IF(AG1031&gt;=1000,"High Value",IF(AG1031&gt;=300,"Mid Value","Low Value"))</x:f>
        <x:v>High Value</x:v>
      </x:c>
      <x:c r="AL1031" s="17" t="str">
        <x:f>IF(AND(AI1031&gt;=1,I1031&lt;=50),"Priority 1",IF(AND(AG1031&gt;=1000,I1031&lt;=60),"Priority 2",IF(I1031&lt;=30,"Priority 3","Nurture")))</x:f>
        <x:v>Priority 2</x:v>
      </x:c>
    </x:row>
    <x:row r="1032">
      <x:c r="A1032" s="16" t="n">
        <x:v>5263</x:v>
      </x:c>
      <x:c r="B1032" s="16" t="n">
        <x:v>1977</x:v>
      </x:c>
      <x:c r="C1032" s="16" t="str">
        <x:v>2n Cycle</x:v>
      </x:c>
      <x:c r="D1032" s="16" t="str">
        <x:v>Married</x:v>
      </x:c>
      <x:c r="E1032" s="16" t="n">
        <x:v>31056</x:v>
      </x:c>
      <x:c r="F1032" s="16" t="n">
        <x:v>1</x:v>
      </x:c>
      <x:c r="G1032" s="16" t="n">
        <x:v>0</x:v>
      </x:c>
      <x:c r="H1032" s="16" t="str">
        <x:v>22-01-2013</x:v>
      </x:c>
      <x:c r="I1032" s="16" t="n">
        <x:v>99</x:v>
      </x:c>
      <x:c r="J1032" s="16" t="n">
        <x:v>5</x:v>
      </x:c>
      <x:c r="K1032" s="16" t="n">
        <x:v>10</x:v>
      </x:c>
      <x:c r="L1032" s="16" t="n">
        <x:v>13</x:v>
      </x:c>
      <x:c r="M1032" s="16" t="n">
        <x:v>3</x:v>
      </x:c>
      <x:c r="N1032" s="16" t="n">
        <x:v>8</x:v>
      </x:c>
      <x:c r="O1032" s="16" t="n">
        <x:v>16</x:v>
      </x:c>
      <x:c r="P1032" s="16" t="n">
        <x:v>1</x:v>
      </x:c>
      <x:c r="Q1032" s="16" t="n">
        <x:v>1</x:v>
      </x:c>
      <x:c r="R1032" s="16" t="n">
        <x:v>0</x:v>
      </x:c>
      <x:c r="S1032" s="16" t="n">
        <x:v>3</x:v>
      </x:c>
      <x:c r="T1032" s="16" t="n">
        <x:v>8</x:v>
      </x:c>
      <x:c r="U1032" s="16" t="n">
        <x:v>0</x:v>
      </x:c>
      <x:c r="V1032" s="16" t="n">
        <x:v>0</x:v>
      </x:c>
      <x:c r="W1032" s="16" t="n">
        <x:v>0</x:v>
      </x:c>
      <x:c r="X1032" s="16" t="n">
        <x:v>0</x:v>
      </x:c>
      <x:c r="Y1032" s="16" t="n">
        <x:v>0</x:v>
      </x:c>
      <x:c r="Z1032" s="16" t="n">
        <x:v>0</x:v>
      </x:c>
      <x:c r="AA1032" s="16" t="n">
        <x:v>3</x:v>
      </x:c>
      <x:c r="AB1032" s="16" t="n">
        <x:v>11</x:v>
      </x:c>
      <x:c r="AC1032" s="16" t="n">
        <x:v>0</x:v>
      </x:c>
      <x:c r="AD1032" s="21" t="n">
        <x:f>IF(E1032="",MEDIAN($E$2:$E$2237),E1032)</x:f>
        <x:v>31056</x:v>
      </x:c>
      <x:c r="AE1032" s="17" t="n">
        <x:f>2014-B1032</x:f>
        <x:v>37</x:v>
      </x:c>
      <x:c r="AF1032" s="17" t="n">
        <x:f>F1032+G1032</x:f>
        <x:v>1</x:v>
      </x:c>
      <x:c r="AG1032" s="21" t="n">
        <x:f>SUM(J1032:O1032)</x:f>
        <x:v>55</x:v>
      </x:c>
      <x:c r="AH1032" s="17" t="n">
        <x:f>SUM(Q1032:S1032)</x:f>
        <x:v>4</x:v>
      </x:c>
      <x:c r="AI1032" s="17" t="n">
        <x:f>SUM(U1032:Y1032)</x:f>
        <x:v>0</x:v>
      </x:c>
      <x:c r="AJ1032" s="17" t="str">
        <x:f>IF(AE1032&lt;=34,"≤34",IF(AE1032&lt;=44,"35–44",IF(AE1032&lt;=54,"45–54",IF(AE1032&lt;=64,"55–64","65+"))))</x:f>
        <x:v>35–44</x:v>
      </x:c>
      <x:c r="AK1032" s="17" t="str">
        <x:f>IF(AG1032&gt;=1000,"High Value",IF(AG1032&gt;=300,"Mid Value","Low Value"))</x:f>
        <x:v>Low Value</x:v>
      </x:c>
      <x:c r="AL1032" s="17" t="str">
        <x:f>IF(AND(AI1032&gt;=1,I1032&lt;=50),"Priority 1",IF(AND(AG1032&gt;=1000,I1032&lt;=60),"Priority 2",IF(I1032&lt;=30,"Priority 3","Nurture")))</x:f>
        <x:v>Nurture</x:v>
      </x:c>
    </x:row>
    <x:row r="1033">
      <x:c r="A1033" s="16" t="n">
        <x:v>1020</x:v>
      </x:c>
      <x:c r="B1033" s="16" t="n">
        <x:v>1973</x:v>
      </x:c>
      <x:c r="C1033" s="16" t="str">
        <x:v>Graduation</x:v>
      </x:c>
      <x:c r="D1033" s="16" t="str">
        <x:v>Married</x:v>
      </x:c>
      <x:c r="E1033" s="16" t="n">
        <x:v>79593</x:v>
      </x:c>
      <x:c r="F1033" s="16" t="n">
        <x:v>0</x:v>
      </x:c>
      <x:c r="G1033" s="16" t="n">
        <x:v>0</x:v>
      </x:c>
      <x:c r="H1033" s="16" t="str">
        <x:v>12-05-2014</x:v>
      </x:c>
      <x:c r="I1033" s="16" t="n">
        <x:v>70</x:v>
      </x:c>
      <x:c r="J1033" s="16" t="n">
        <x:v>350</x:v>
      </x:c>
      <x:c r="K1033" s="16" t="n">
        <x:v>60</x:v>
      </x:c>
      <x:c r="L1033" s="16" t="n">
        <x:v>568</x:v>
      </x:c>
      <x:c r="M1033" s="16" t="n">
        <x:v>110</x:v>
      </x:c>
      <x:c r="N1033" s="16" t="n">
        <x:v>133</x:v>
      </x:c>
      <x:c r="O1033" s="16" t="n">
        <x:v>145</x:v>
      </x:c>
      <x:c r="P1033" s="16" t="n">
        <x:v>1</x:v>
      </x:c>
      <x:c r="Q1033" s="16" t="n">
        <x:v>5</x:v>
      </x:c>
      <x:c r="R1033" s="16" t="n">
        <x:v>6</x:v>
      </x:c>
      <x:c r="S1033" s="16" t="n">
        <x:v>7</x:v>
      </x:c>
      <x:c r="T1033" s="16" t="n">
        <x:v>2</x:v>
      </x:c>
      <x:c r="U1033" s="16" t="n">
        <x:v>0</x:v>
      </x:c>
      <x:c r="V1033" s="16" t="n">
        <x:v>0</x:v>
      </x:c>
      <x:c r="W1033" s="16" t="n">
        <x:v>1</x:v>
      </x:c>
      <x:c r="X1033" s="16" t="n">
        <x:v>0</x:v>
      </x:c>
      <x:c r="Y1033" s="16" t="n">
        <x:v>0</x:v>
      </x:c>
      <x:c r="Z1033" s="16" t="n">
        <x:v>0</x:v>
      </x:c>
      <x:c r="AA1033" s="16" t="n">
        <x:v>3</x:v>
      </x:c>
      <x:c r="AB1033" s="16" t="n">
        <x:v>11</x:v>
      </x:c>
      <x:c r="AC1033" s="16" t="n">
        <x:v>0</x:v>
      </x:c>
      <x:c r="AD1033" s="21" t="n">
        <x:f>IF(E1033="",MEDIAN($E$2:$E$2237),E1033)</x:f>
        <x:v>79593</x:v>
      </x:c>
      <x:c r="AE1033" s="17" t="n">
        <x:f>2014-B1033</x:f>
        <x:v>41</x:v>
      </x:c>
      <x:c r="AF1033" s="17" t="n">
        <x:f>F1033+G1033</x:f>
        <x:v>0</x:v>
      </x:c>
      <x:c r="AG1033" s="21" t="n">
        <x:f>SUM(J1033:O1033)</x:f>
        <x:v>1366</x:v>
      </x:c>
      <x:c r="AH1033" s="17" t="n">
        <x:f>SUM(Q1033:S1033)</x:f>
        <x:v>18</x:v>
      </x:c>
      <x:c r="AI1033" s="17" t="n">
        <x:f>SUM(U1033:Y1033)</x:f>
        <x:v>1</x:v>
      </x:c>
      <x:c r="AJ1033" s="17" t="str">
        <x:f>IF(AE1033&lt;=34,"≤34",IF(AE1033&lt;=44,"35–44",IF(AE1033&lt;=54,"45–54",IF(AE1033&lt;=64,"55–64","65+"))))</x:f>
        <x:v>35–44</x:v>
      </x:c>
      <x:c r="AK1033" s="17" t="str">
        <x:f>IF(AG1033&gt;=1000,"High Value",IF(AG1033&gt;=300,"Mid Value","Low Value"))</x:f>
        <x:v>High Value</x:v>
      </x:c>
      <x:c r="AL1033" s="17" t="str">
        <x:f>IF(AND(AI1033&gt;=1,I1033&lt;=50),"Priority 1",IF(AND(AG1033&gt;=1000,I1033&lt;=60),"Priority 2",IF(I1033&lt;=30,"Priority 3","Nurture")))</x:f>
        <x:v>Nurture</x:v>
      </x:c>
    </x:row>
    <x:row r="1034">
      <x:c r="A1034" s="16" t="n">
        <x:v>9503</x:v>
      </x:c>
      <x:c r="B1034" s="16" t="n">
        <x:v>1980</x:v>
      </x:c>
      <x:c r="C1034" s="16" t="str">
        <x:v>Graduation</x:v>
      </x:c>
      <x:c r="D1034" s="16" t="str">
        <x:v>Single</x:v>
      </x:c>
      <x:c r="E1034" s="16" t="n">
        <x:v>28071</x:v>
      </x:c>
      <x:c r="F1034" s="16" t="n">
        <x:v>0</x:v>
      </x:c>
      <x:c r="G1034" s="16" t="n">
        <x:v>0</x:v>
      </x:c>
      <x:c r="H1034" s="16" t="str">
        <x:v>29-08-2012</x:v>
      </x:c>
      <x:c r="I1034" s="16" t="n">
        <x:v>65</x:v>
      </x:c>
      <x:c r="J1034" s="16" t="n">
        <x:v>39</x:v>
      </x:c>
      <x:c r="K1034" s="16" t="n">
        <x:v>33</x:v>
      </x:c>
      <x:c r="L1034" s="16" t="n">
        <x:v>130</x:v>
      </x:c>
      <x:c r="M1034" s="16" t="n">
        <x:v>41</x:v>
      </x:c>
      <x:c r="N1034" s="16" t="n">
        <x:v>26</x:v>
      </x:c>
      <x:c r="O1034" s="16" t="n">
        <x:v>44</x:v>
      </x:c>
      <x:c r="P1034" s="16" t="n">
        <x:v>2</x:v>
      </x:c>
      <x:c r="Q1034" s="16" t="n">
        <x:v>5</x:v>
      </x:c>
      <x:c r="R1034" s="16" t="n">
        <x:v>1</x:v>
      </x:c>
      <x:c r="S1034" s="16" t="n">
        <x:v>5</x:v>
      </x:c>
      <x:c r="T1034" s="16" t="n">
        <x:v>8</x:v>
      </x:c>
      <x:c r="U1034" s="16" t="n">
        <x:v>0</x:v>
      </x:c>
      <x:c r="V1034" s="16" t="n">
        <x:v>0</x:v>
      </x:c>
      <x:c r="W1034" s="16" t="n">
        <x:v>0</x:v>
      </x:c>
      <x:c r="X1034" s="16" t="n">
        <x:v>0</x:v>
      </x:c>
      <x:c r="Y1034" s="16" t="n">
        <x:v>0</x:v>
      </x:c>
      <x:c r="Z1034" s="16" t="n">
        <x:v>0</x:v>
      </x:c>
      <x:c r="AA1034" s="16" t="n">
        <x:v>3</x:v>
      </x:c>
      <x:c r="AB1034" s="16" t="n">
        <x:v>11</x:v>
      </x:c>
      <x:c r="AC1034" s="16" t="n">
        <x:v>0</x:v>
      </x:c>
      <x:c r="AD1034" s="21" t="n">
        <x:f>IF(E1034="",MEDIAN($E$2:$E$2237),E1034)</x:f>
        <x:v>28071</x:v>
      </x:c>
      <x:c r="AE1034" s="17" t="n">
        <x:f>2014-B1034</x:f>
        <x:v>34</x:v>
      </x:c>
      <x:c r="AF1034" s="17" t="n">
        <x:f>F1034+G1034</x:f>
        <x:v>0</x:v>
      </x:c>
      <x:c r="AG1034" s="21" t="n">
        <x:f>SUM(J1034:O1034)</x:f>
        <x:v>313</x:v>
      </x:c>
      <x:c r="AH1034" s="17" t="n">
        <x:f>SUM(Q1034:S1034)</x:f>
        <x:v>11</x:v>
      </x:c>
      <x:c r="AI1034" s="17" t="n">
        <x:f>SUM(U1034:Y1034)</x:f>
        <x:v>0</x:v>
      </x:c>
      <x:c r="AJ1034" s="17" t="str">
        <x:f>IF(AE1034&lt;=34,"≤34",IF(AE1034&lt;=44,"35–44",IF(AE1034&lt;=54,"45–54",IF(AE1034&lt;=64,"55–64","65+"))))</x:f>
        <x:v>≤34</x:v>
      </x:c>
      <x:c r="AK1034" s="17" t="str">
        <x:f>IF(AG1034&gt;=1000,"High Value",IF(AG1034&gt;=300,"Mid Value","Low Value"))</x:f>
        <x:v>Mid Value</x:v>
      </x:c>
      <x:c r="AL1034" s="17" t="str">
        <x:f>IF(AND(AI1034&gt;=1,I1034&lt;=50),"Priority 1",IF(AND(AG1034&gt;=1000,I1034&lt;=60),"Priority 2",IF(I1034&lt;=30,"Priority 3","Nurture")))</x:f>
        <x:v>Nurture</x:v>
      </x:c>
    </x:row>
    <x:row r="1035">
      <x:c r="A1035" s="16" t="n">
        <x:v>10613</x:v>
      </x:c>
      <x:c r="B1035" s="16" t="n">
        <x:v>1958</x:v>
      </x:c>
      <x:c r="C1035" s="16" t="str">
        <x:v>PhD</x:v>
      </x:c>
      <x:c r="D1035" s="16" t="str">
        <x:v>Together</x:v>
      </x:c>
      <x:c r="E1035" s="16" t="n">
        <x:v>37334</x:v>
      </x:c>
      <x:c r="F1035" s="16" t="n">
        <x:v>1</x:v>
      </x:c>
      <x:c r="G1035" s="16" t="n">
        <x:v>1</x:v>
      </x:c>
      <x:c r="H1035" s="16" t="str">
        <x:v>26-02-2014</x:v>
      </x:c>
      <x:c r="I1035" s="16" t="n">
        <x:v>44</x:v>
      </x:c>
      <x:c r="J1035" s="16" t="n">
        <x:v>26</x:v>
      </x:c>
      <x:c r="K1035" s="16" t="n">
        <x:v>1</x:v>
      </x:c>
      <x:c r="L1035" s="16" t="n">
        <x:v>16</x:v>
      </x:c>
      <x:c r="M1035" s="16" t="n">
        <x:v>2</x:v>
      </x:c>
      <x:c r="N1035" s="16" t="n">
        <x:v>2</x:v>
      </x:c>
      <x:c r="O1035" s="16" t="n">
        <x:v>15</x:v>
      </x:c>
      <x:c r="P1035" s="16" t="n">
        <x:v>4</x:v>
      </x:c>
      <x:c r="Q1035" s="16" t="n">
        <x:v>3</x:v>
      </x:c>
      <x:c r="R1035" s="16" t="n">
        <x:v>0</x:v>
      </x:c>
      <x:c r="S1035" s="16" t="n">
        <x:v>4</x:v>
      </x:c>
      <x:c r="T1035" s="16" t="n">
        <x:v>4</x:v>
      </x:c>
      <x:c r="U1035" s="16" t="n">
        <x:v>0</x:v>
      </x:c>
      <x:c r="V1035" s="16" t="n">
        <x:v>0</x:v>
      </x:c>
      <x:c r="W1035" s="16" t="n">
        <x:v>0</x:v>
      </x:c>
      <x:c r="X1035" s="16" t="n">
        <x:v>0</x:v>
      </x:c>
      <x:c r="Y1035" s="16" t="n">
        <x:v>0</x:v>
      </x:c>
      <x:c r="Z1035" s="16" t="n">
        <x:v>0</x:v>
      </x:c>
      <x:c r="AA1035" s="16" t="n">
        <x:v>3</x:v>
      </x:c>
      <x:c r="AB1035" s="16" t="n">
        <x:v>11</x:v>
      </x:c>
      <x:c r="AC1035" s="16" t="n">
        <x:v>0</x:v>
      </x:c>
      <x:c r="AD1035" s="21" t="n">
        <x:f>IF(E1035="",MEDIAN($E$2:$E$2237),E1035)</x:f>
        <x:v>37334</x:v>
      </x:c>
      <x:c r="AE1035" s="17" t="n">
        <x:f>2014-B1035</x:f>
        <x:v>56</x:v>
      </x:c>
      <x:c r="AF1035" s="17" t="n">
        <x:f>F1035+G1035</x:f>
        <x:v>2</x:v>
      </x:c>
      <x:c r="AG1035" s="21" t="n">
        <x:f>SUM(J1035:O1035)</x:f>
        <x:v>62</x:v>
      </x:c>
      <x:c r="AH1035" s="17" t="n">
        <x:f>SUM(Q1035:S1035)</x:f>
        <x:v>7</x:v>
      </x:c>
      <x:c r="AI1035" s="17" t="n">
        <x:f>SUM(U1035:Y1035)</x:f>
        <x:v>0</x:v>
      </x:c>
      <x:c r="AJ1035" s="17" t="str">
        <x:f>IF(AE1035&lt;=34,"≤34",IF(AE1035&lt;=44,"35–44",IF(AE1035&lt;=54,"45–54",IF(AE1035&lt;=64,"55–64","65+"))))</x:f>
        <x:v>55–64</x:v>
      </x:c>
      <x:c r="AK1035" s="17" t="str">
        <x:f>IF(AG1035&gt;=1000,"High Value",IF(AG1035&gt;=300,"Mid Value","Low Value"))</x:f>
        <x:v>Low Value</x:v>
      </x:c>
      <x:c r="AL1035" s="17" t="str">
        <x:f>IF(AND(AI1035&gt;=1,I1035&lt;=50),"Priority 1",IF(AND(AG1035&gt;=1000,I1035&lt;=60),"Priority 2",IF(I1035&lt;=30,"Priority 3","Nurture")))</x:f>
        <x:v>Nurture</x:v>
      </x:c>
    </x:row>
    <x:row r="1036">
      <x:c r="A1036" s="16" t="n">
        <x:v>67</x:v>
      </x:c>
      <x:c r="B1036" s="16" t="n">
        <x:v>1972</x:v>
      </x:c>
      <x:c r="C1036" s="16" t="str">
        <x:v>Master</x:v>
      </x:c>
      <x:c r="D1036" s="16" t="str">
        <x:v>Single</x:v>
      </x:c>
      <x:c r="E1036" s="16" t="n">
        <x:v>46423</x:v>
      </x:c>
      <x:c r="F1036" s="16" t="n">
        <x:v>1</x:v>
      </x:c>
      <x:c r="G1036" s="16" t="n">
        <x:v>1</x:v>
      </x:c>
      <x:c r="H1036" s="16" t="str">
        <x:v>18-09-2013</x:v>
      </x:c>
      <x:c r="I1036" s="16" t="n">
        <x:v>6</x:v>
      </x:c>
      <x:c r="J1036" s="16" t="n">
        <x:v>68</x:v>
      </x:c>
      <x:c r="K1036" s="16" t="n">
        <x:v>0</x:v>
      </x:c>
      <x:c r="L1036" s="16" t="n">
        <x:v>16</x:v>
      </x:c>
      <x:c r="M1036" s="16" t="n">
        <x:v>0</x:v>
      </x:c>
      <x:c r="N1036" s="16" t="n">
        <x:v>0</x:v>
      </x:c>
      <x:c r="O1036" s="16" t="n">
        <x:v>8</x:v>
      </x:c>
      <x:c r="P1036" s="16" t="n">
        <x:v>3</x:v>
      </x:c>
      <x:c r="Q1036" s="16" t="n">
        <x:v>2</x:v>
      </x:c>
      <x:c r="R1036" s="16" t="n">
        <x:v>0</x:v>
      </x:c>
      <x:c r="S1036" s="16" t="n">
        <x:v>4</x:v>
      </x:c>
      <x:c r="T1036" s="16" t="n">
        <x:v>7</x:v>
      </x:c>
      <x:c r="U1036" s="16" t="n">
        <x:v>0</x:v>
      </x:c>
      <x:c r="V1036" s="16" t="n">
        <x:v>0</x:v>
      </x:c>
      <x:c r="W1036" s="16" t="n">
        <x:v>0</x:v>
      </x:c>
      <x:c r="X1036" s="16" t="n">
        <x:v>0</x:v>
      </x:c>
      <x:c r="Y1036" s="16" t="n">
        <x:v>0</x:v>
      </x:c>
      <x:c r="Z1036" s="16" t="n">
        <x:v>0</x:v>
      </x:c>
      <x:c r="AA1036" s="16" t="n">
        <x:v>3</x:v>
      </x:c>
      <x:c r="AB1036" s="16" t="n">
        <x:v>11</x:v>
      </x:c>
      <x:c r="AC1036" s="16" t="n">
        <x:v>0</x:v>
      </x:c>
      <x:c r="AD1036" s="21" t="n">
        <x:f>IF(E1036="",MEDIAN($E$2:$E$2237),E1036)</x:f>
        <x:v>46423</x:v>
      </x:c>
      <x:c r="AE1036" s="17" t="n">
        <x:f>2014-B1036</x:f>
        <x:v>42</x:v>
      </x:c>
      <x:c r="AF1036" s="17" t="n">
        <x:f>F1036+G1036</x:f>
        <x:v>2</x:v>
      </x:c>
      <x:c r="AG1036" s="21" t="n">
        <x:f>SUM(J1036:O1036)</x:f>
        <x:v>92</x:v>
      </x:c>
      <x:c r="AH1036" s="17" t="n">
        <x:f>SUM(Q1036:S1036)</x:f>
        <x:v>6</x:v>
      </x:c>
      <x:c r="AI1036" s="17" t="n">
        <x:f>SUM(U1036:Y1036)</x:f>
        <x:v>0</x:v>
      </x:c>
      <x:c r="AJ1036" s="17" t="str">
        <x:f>IF(AE1036&lt;=34,"≤34",IF(AE1036&lt;=44,"35–44",IF(AE1036&lt;=54,"45–54",IF(AE1036&lt;=64,"55–64","65+"))))</x:f>
        <x:v>35–44</x:v>
      </x:c>
      <x:c r="AK1036" s="17" t="str">
        <x:f>IF(AG1036&gt;=1000,"High Value",IF(AG1036&gt;=300,"Mid Value","Low Value"))</x:f>
        <x:v>Low Value</x:v>
      </x:c>
      <x:c r="AL1036" s="17" t="str">
        <x:f>IF(AND(AI1036&gt;=1,I1036&lt;=50),"Priority 1",IF(AND(AG1036&gt;=1000,I1036&lt;=60),"Priority 2",IF(I1036&lt;=30,"Priority 3","Nurture")))</x:f>
        <x:v>Priority 3</x:v>
      </x:c>
    </x:row>
    <x:row r="1037">
      <x:c r="A1037" s="16" t="n">
        <x:v>6019</x:v>
      </x:c>
      <x:c r="B1037" s="16" t="n">
        <x:v>1971</x:v>
      </x:c>
      <x:c r="C1037" s="16" t="str">
        <x:v>PhD</x:v>
      </x:c>
      <x:c r="D1037" s="16" t="str">
        <x:v>Married</x:v>
      </x:c>
      <x:c r="E1037" s="16" t="n">
        <x:v>37126</x:v>
      </x:c>
      <x:c r="F1037" s="16" t="n">
        <x:v>1</x:v>
      </x:c>
      <x:c r="G1037" s="16" t="n">
        <x:v>0</x:v>
      </x:c>
      <x:c r="H1037" s="16" t="str">
        <x:v>30-03-2014</x:v>
      </x:c>
      <x:c r="I1037" s="16" t="n">
        <x:v>9</x:v>
      </x:c>
      <x:c r="J1037" s="16" t="n">
        <x:v>45</x:v>
      </x:c>
      <x:c r="K1037" s="16" t="n">
        <x:v>3</x:v>
      </x:c>
      <x:c r="L1037" s="16" t="n">
        <x:v>9</x:v>
      </x:c>
      <x:c r="M1037" s="16" t="n">
        <x:v>4</x:v>
      </x:c>
      <x:c r="N1037" s="16" t="n">
        <x:v>4</x:v>
      </x:c>
      <x:c r="O1037" s="16" t="n">
        <x:v>7</x:v>
      </x:c>
      <x:c r="P1037" s="16" t="n">
        <x:v>1</x:v>
      </x:c>
      <x:c r="Q1037" s="16" t="n">
        <x:v>1</x:v>
      </x:c>
      <x:c r="R1037" s="16" t="n">
        <x:v>2</x:v>
      </x:c>
      <x:c r="S1037" s="16" t="n">
        <x:v>2</x:v>
      </x:c>
      <x:c r="T1037" s="16" t="n">
        <x:v>6</x:v>
      </x:c>
      <x:c r="U1037" s="16" t="n">
        <x:v>1</x:v>
      </x:c>
      <x:c r="V1037" s="16" t="n">
        <x:v>0</x:v>
      </x:c>
      <x:c r="W1037" s="16" t="n">
        <x:v>0</x:v>
      </x:c>
      <x:c r="X1037" s="16" t="n">
        <x:v>0</x:v>
      </x:c>
      <x:c r="Y1037" s="16" t="n">
        <x:v>0</x:v>
      </x:c>
      <x:c r="Z1037" s="16" t="n">
        <x:v>0</x:v>
      </x:c>
      <x:c r="AA1037" s="16" t="n">
        <x:v>3</x:v>
      </x:c>
      <x:c r="AB1037" s="16" t="n">
        <x:v>11</x:v>
      </x:c>
      <x:c r="AC1037" s="16" t="n">
        <x:v>1</x:v>
      </x:c>
      <x:c r="AD1037" s="21" t="n">
        <x:f>IF(E1037="",MEDIAN($E$2:$E$2237),E1037)</x:f>
        <x:v>37126</x:v>
      </x:c>
      <x:c r="AE1037" s="17" t="n">
        <x:f>2014-B1037</x:f>
        <x:v>43</x:v>
      </x:c>
      <x:c r="AF1037" s="17" t="n">
        <x:f>F1037+G1037</x:f>
        <x:v>1</x:v>
      </x:c>
      <x:c r="AG1037" s="21" t="n">
        <x:f>SUM(J1037:O1037)</x:f>
        <x:v>72</x:v>
      </x:c>
      <x:c r="AH1037" s="17" t="n">
        <x:f>SUM(Q1037:S1037)</x:f>
        <x:v>5</x:v>
      </x:c>
      <x:c r="AI1037" s="17" t="n">
        <x:f>SUM(U1037:Y1037)</x:f>
        <x:v>1</x:v>
      </x:c>
      <x:c r="AJ1037" s="17" t="str">
        <x:f>IF(AE1037&lt;=34,"≤34",IF(AE1037&lt;=44,"35–44",IF(AE1037&lt;=54,"45–54",IF(AE1037&lt;=64,"55–64","65+"))))</x:f>
        <x:v>35–44</x:v>
      </x:c>
      <x:c r="AK1037" s="17" t="str">
        <x:f>IF(AG1037&gt;=1000,"High Value",IF(AG1037&gt;=300,"Mid Value","Low Value"))</x:f>
        <x:v>Low Value</x:v>
      </x:c>
      <x:c r="AL1037" s="17" t="str">
        <x:f>IF(AND(AI1037&gt;=1,I1037&lt;=50),"Priority 1",IF(AND(AG1037&gt;=1000,I1037&lt;=60),"Priority 2",IF(I1037&lt;=30,"Priority 3","Nurture")))</x:f>
        <x:v>Priority 1</x:v>
      </x:c>
    </x:row>
    <x:row r="1038">
      <x:c r="A1038" s="16" t="n">
        <x:v>5863</x:v>
      </x:c>
      <x:c r="B1038" s="16" t="n">
        <x:v>1953</x:v>
      </x:c>
      <x:c r="C1038" s="16" t="str">
        <x:v>Graduation</x:v>
      </x:c>
      <x:c r="D1038" s="16" t="str">
        <x:v>Married</x:v>
      </x:c>
      <x:c r="E1038" s="16" t="n">
        <x:v>47703</x:v>
      </x:c>
      <x:c r="F1038" s="16" t="n">
        <x:v>0</x:v>
      </x:c>
      <x:c r="G1038" s="16" t="n">
        <x:v>1</x:v>
      </x:c>
      <x:c r="H1038" s="16" t="str">
        <x:v>29-05-2013</x:v>
      </x:c>
      <x:c r="I1038" s="16" t="n">
        <x:v>95</x:v>
      </x:c>
      <x:c r="J1038" s="16" t="n">
        <x:v>359</x:v>
      </x:c>
      <x:c r="K1038" s="16" t="n">
        <x:v>0</x:v>
      </x:c>
      <x:c r="L1038" s="16" t="n">
        <x:v>134</x:v>
      </x:c>
      <x:c r="M1038" s="16" t="n">
        <x:v>13</x:v>
      </x:c>
      <x:c r="N1038" s="16" t="n">
        <x:v>26</x:v>
      </x:c>
      <x:c r="O1038" s="16" t="n">
        <x:v>123</x:v>
      </x:c>
      <x:c r="P1038" s="16" t="n">
        <x:v>4</x:v>
      </x:c>
      <x:c r="Q1038" s="16" t="n">
        <x:v>6</x:v>
      </x:c>
      <x:c r="R1038" s="16" t="n">
        <x:v>3</x:v>
      </x:c>
      <x:c r="S1038" s="16" t="n">
        <x:v>8</x:v>
      </x:c>
      <x:c r="T1038" s="16" t="n">
        <x:v>5</x:v>
      </x:c>
      <x:c r="U1038" s="16" t="n">
        <x:v>0</x:v>
      </x:c>
      <x:c r="V1038" s="16" t="n">
        <x:v>0</x:v>
      </x:c>
      <x:c r="W1038" s="16" t="n">
        <x:v>0</x:v>
      </x:c>
      <x:c r="X1038" s="16" t="n">
        <x:v>0</x:v>
      </x:c>
      <x:c r="Y1038" s="16" t="n">
        <x:v>0</x:v>
      </x:c>
      <x:c r="Z1038" s="16" t="n">
        <x:v>0</x:v>
      </x:c>
      <x:c r="AA1038" s="16" t="n">
        <x:v>3</x:v>
      </x:c>
      <x:c r="AB1038" s="16" t="n">
        <x:v>11</x:v>
      </x:c>
      <x:c r="AC1038" s="16" t="n">
        <x:v>0</x:v>
      </x:c>
      <x:c r="AD1038" s="21" t="n">
        <x:f>IF(E1038="",MEDIAN($E$2:$E$2237),E1038)</x:f>
        <x:v>47703</x:v>
      </x:c>
      <x:c r="AE1038" s="17" t="n">
        <x:f>2014-B1038</x:f>
        <x:v>61</x:v>
      </x:c>
      <x:c r="AF1038" s="17" t="n">
        <x:f>F1038+G1038</x:f>
        <x:v>1</x:v>
      </x:c>
      <x:c r="AG1038" s="21" t="n">
        <x:f>SUM(J1038:O1038)</x:f>
        <x:v>655</x:v>
      </x:c>
      <x:c r="AH1038" s="17" t="n">
        <x:f>SUM(Q1038:S1038)</x:f>
        <x:v>17</x:v>
      </x:c>
      <x:c r="AI1038" s="17" t="n">
        <x:f>SUM(U1038:Y1038)</x:f>
        <x:v>0</x:v>
      </x:c>
      <x:c r="AJ1038" s="17" t="str">
        <x:f>IF(AE1038&lt;=34,"≤34",IF(AE1038&lt;=44,"35–44",IF(AE1038&lt;=54,"45–54",IF(AE1038&lt;=64,"55–64","65+"))))</x:f>
        <x:v>55–64</x:v>
      </x:c>
      <x:c r="AK1038" s="17" t="str">
        <x:f>IF(AG1038&gt;=1000,"High Value",IF(AG1038&gt;=300,"Mid Value","Low Value"))</x:f>
        <x:v>Mid Value</x:v>
      </x:c>
      <x:c r="AL1038" s="17" t="str">
        <x:f>IF(AND(AI1038&gt;=1,I1038&lt;=50),"Priority 1",IF(AND(AG1038&gt;=1000,I1038&lt;=60),"Priority 2",IF(I1038&lt;=30,"Priority 3","Nurture")))</x:f>
        <x:v>Nurture</x:v>
      </x:c>
    </x:row>
    <x:row r="1039">
      <x:c r="A1039" s="16" t="n">
        <x:v>3717</x:v>
      </x:c>
      <x:c r="B1039" s="16" t="n">
        <x:v>1959</x:v>
      </x:c>
      <x:c r="C1039" s="16" t="str">
        <x:v>Graduation</x:v>
      </x:c>
      <x:c r="D1039" s="16" t="str">
        <x:v>Married</x:v>
      </x:c>
      <x:c r="E1039" s="16" t="n">
        <x:v>61180</x:v>
      </x:c>
      <x:c r="F1039" s="16" t="n">
        <x:v>0</x:v>
      </x:c>
      <x:c r="G1039" s="16" t="n">
        <x:v>1</x:v>
      </x:c>
      <x:c r="H1039" s="16" t="str">
        <x:v>23-04-2014</x:v>
      </x:c>
      <x:c r="I1039" s="16" t="n">
        <x:v>70</x:v>
      </x:c>
      <x:c r="J1039" s="16" t="n">
        <x:v>403</x:v>
      </x:c>
      <x:c r="K1039" s="16" t="n">
        <x:v>24</x:v>
      </x:c>
      <x:c r="L1039" s="16" t="n">
        <x:v>29</x:v>
      </x:c>
      <x:c r="M1039" s="16" t="n">
        <x:v>6</x:v>
      </x:c>
      <x:c r="N1039" s="16" t="n">
        <x:v>24</x:v>
      </x:c>
      <x:c r="O1039" s="16" t="n">
        <x:v>218</x:v>
      </x:c>
      <x:c r="P1039" s="16" t="n">
        <x:v>2</x:v>
      </x:c>
      <x:c r="Q1039" s="16" t="n">
        <x:v>5</x:v>
      </x:c>
      <x:c r="R1039" s="16" t="n">
        <x:v>5</x:v>
      </x:c>
      <x:c r="S1039" s="16" t="n">
        <x:v>6</x:v>
      </x:c>
      <x:c r="T1039" s="16" t="n">
        <x:v>3</x:v>
      </x:c>
      <x:c r="U1039" s="16" t="n">
        <x:v>1</x:v>
      </x:c>
      <x:c r="V1039" s="16" t="n">
        <x:v>0</x:v>
      </x:c>
      <x:c r="W1039" s="16" t="n">
        <x:v>0</x:v>
      </x:c>
      <x:c r="X1039" s="16" t="n">
        <x:v>0</x:v>
      </x:c>
      <x:c r="Y1039" s="16" t="n">
        <x:v>0</x:v>
      </x:c>
      <x:c r="Z1039" s="16" t="n">
        <x:v>0</x:v>
      </x:c>
      <x:c r="AA1039" s="16" t="n">
        <x:v>3</x:v>
      </x:c>
      <x:c r="AB1039" s="16" t="n">
        <x:v>11</x:v>
      </x:c>
      <x:c r="AC1039" s="16" t="n">
        <x:v>0</x:v>
      </x:c>
      <x:c r="AD1039" s="21" t="n">
        <x:f>IF(E1039="",MEDIAN($E$2:$E$2237),E1039)</x:f>
        <x:v>61180</x:v>
      </x:c>
      <x:c r="AE1039" s="17" t="n">
        <x:f>2014-B1039</x:f>
        <x:v>55</x:v>
      </x:c>
      <x:c r="AF1039" s="17" t="n">
        <x:f>F1039+G1039</x:f>
        <x:v>1</x:v>
      </x:c>
      <x:c r="AG1039" s="21" t="n">
        <x:f>SUM(J1039:O1039)</x:f>
        <x:v>704</x:v>
      </x:c>
      <x:c r="AH1039" s="17" t="n">
        <x:f>SUM(Q1039:S1039)</x:f>
        <x:v>16</x:v>
      </x:c>
      <x:c r="AI1039" s="17" t="n">
        <x:f>SUM(U1039:Y1039)</x:f>
        <x:v>1</x:v>
      </x:c>
      <x:c r="AJ1039" s="17" t="str">
        <x:f>IF(AE1039&lt;=34,"≤34",IF(AE1039&lt;=44,"35–44",IF(AE1039&lt;=54,"45–54",IF(AE1039&lt;=64,"55–64","65+"))))</x:f>
        <x:v>55–64</x:v>
      </x:c>
      <x:c r="AK1039" s="17" t="str">
        <x:f>IF(AG1039&gt;=1000,"High Value",IF(AG1039&gt;=300,"Mid Value","Low Value"))</x:f>
        <x:v>Mid Value</x:v>
      </x:c>
      <x:c r="AL1039" s="17" t="str">
        <x:f>IF(AND(AI1039&gt;=1,I1039&lt;=50),"Priority 1",IF(AND(AG1039&gt;=1000,I1039&lt;=60),"Priority 2",IF(I1039&lt;=30,"Priority 3","Nurture")))</x:f>
        <x:v>Nurture</x:v>
      </x:c>
    </x:row>
    <x:row r="1040">
      <x:c r="A1040" s="16" t="n">
        <x:v>6730</x:v>
      </x:c>
      <x:c r="B1040" s="16" t="n">
        <x:v>1954</x:v>
      </x:c>
      <x:c r="C1040" s="16" t="str">
        <x:v>Graduation</x:v>
      </x:c>
      <x:c r="D1040" s="16" t="str">
        <x:v>Married</x:v>
      </x:c>
      <x:c r="E1040" s="16" t="n">
        <x:v>38998</x:v>
      </x:c>
      <x:c r="F1040" s="16" t="n">
        <x:v>1</x:v>
      </x:c>
      <x:c r="G1040" s="16" t="n">
        <x:v>1</x:v>
      </x:c>
      <x:c r="H1040" s="16" t="str">
        <x:v>03-11-2012</x:v>
      </x:c>
      <x:c r="I1040" s="16" t="n">
        <x:v>92</x:v>
      </x:c>
      <x:c r="J1040" s="16" t="n">
        <x:v>34</x:v>
      </x:c>
      <x:c r="K1040" s="16" t="n">
        <x:v>1</x:v>
      </x:c>
      <x:c r="L1040" s="16" t="n">
        <x:v>14</x:v>
      </x:c>
      <x:c r="M1040" s="16" t="n">
        <x:v>0</x:v>
      </x:c>
      <x:c r="N1040" s="16" t="n">
        <x:v>0</x:v>
      </x:c>
      <x:c r="O1040" s="16" t="n">
        <x:v>5</x:v>
      </x:c>
      <x:c r="P1040" s="16" t="n">
        <x:v>3</x:v>
      </x:c>
      <x:c r="Q1040" s="16" t="n">
        <x:v>2</x:v>
      </x:c>
      <x:c r="R1040" s="16" t="n">
        <x:v>0</x:v>
      </x:c>
      <x:c r="S1040" s="16" t="n">
        <x:v>3</x:v>
      </x:c>
      <x:c r="T1040" s="16" t="n">
        <x:v>8</x:v>
      </x:c>
      <x:c r="U1040" s="16" t="n">
        <x:v>0</x:v>
      </x:c>
      <x:c r="V1040" s="16" t="n">
        <x:v>0</x:v>
      </x:c>
      <x:c r="W1040" s="16" t="n">
        <x:v>0</x:v>
      </x:c>
      <x:c r="X1040" s="16" t="n">
        <x:v>0</x:v>
      </x:c>
      <x:c r="Y1040" s="16" t="n">
        <x:v>0</x:v>
      </x:c>
      <x:c r="Z1040" s="16" t="n">
        <x:v>1</x:v>
      </x:c>
      <x:c r="AA1040" s="16" t="n">
        <x:v>3</x:v>
      </x:c>
      <x:c r="AB1040" s="16" t="n">
        <x:v>11</x:v>
      </x:c>
      <x:c r="AC1040" s="16" t="n">
        <x:v>0</x:v>
      </x:c>
      <x:c r="AD1040" s="21" t="n">
        <x:f>IF(E1040="",MEDIAN($E$2:$E$2237),E1040)</x:f>
        <x:v>38998</x:v>
      </x:c>
      <x:c r="AE1040" s="17" t="n">
        <x:f>2014-B1040</x:f>
        <x:v>60</x:v>
      </x:c>
      <x:c r="AF1040" s="17" t="n">
        <x:f>F1040+G1040</x:f>
        <x:v>2</x:v>
      </x:c>
      <x:c r="AG1040" s="21" t="n">
        <x:f>SUM(J1040:O1040)</x:f>
        <x:v>54</x:v>
      </x:c>
      <x:c r="AH1040" s="17" t="n">
        <x:f>SUM(Q1040:S1040)</x:f>
        <x:v>5</x:v>
      </x:c>
      <x:c r="AI1040" s="17" t="n">
        <x:f>SUM(U1040:Y1040)</x:f>
        <x:v>0</x:v>
      </x:c>
      <x:c r="AJ1040" s="17" t="str">
        <x:f>IF(AE1040&lt;=34,"≤34",IF(AE1040&lt;=44,"35–44",IF(AE1040&lt;=54,"45–54",IF(AE1040&lt;=64,"55–64","65+"))))</x:f>
        <x:v>55–64</x:v>
      </x:c>
      <x:c r="AK1040" s="17" t="str">
        <x:f>IF(AG1040&gt;=1000,"High Value",IF(AG1040&gt;=300,"Mid Value","Low Value"))</x:f>
        <x:v>Low Value</x:v>
      </x:c>
      <x:c r="AL1040" s="17" t="str">
        <x:f>IF(AND(AI1040&gt;=1,I1040&lt;=50),"Priority 1",IF(AND(AG1040&gt;=1000,I1040&lt;=60),"Priority 2",IF(I1040&lt;=30,"Priority 3","Nurture")))</x:f>
        <x:v>Nurture</x:v>
      </x:c>
    </x:row>
    <x:row r="1041">
      <x:c r="A1041" s="16" t="n">
        <x:v>10749</x:v>
      </x:c>
      <x:c r="B1041" s="16" t="n">
        <x:v>1991</x:v>
      </x:c>
      <x:c r="C1041" s="16" t="str">
        <x:v>Graduation</x:v>
      </x:c>
      <x:c r="D1041" s="16" t="str">
        <x:v>Single</x:v>
      </x:c>
      <x:c r="E1041" s="16" t="n">
        <x:v>8028</x:v>
      </x:c>
      <x:c r="F1041" s="16" t="n">
        <x:v>0</x:v>
      </x:c>
      <x:c r="G1041" s="16" t="n">
        <x:v>0</x:v>
      </x:c>
      <x:c r="H1041" s="16" t="str">
        <x:v>18-09-2012</x:v>
      </x:c>
      <x:c r="I1041" s="16" t="n">
        <x:v>62</x:v>
      </x:c>
      <x:c r="J1041" s="16" t="n">
        <x:v>73</x:v>
      </x:c>
      <x:c r="K1041" s="16" t="n">
        <x:v>18</x:v>
      </x:c>
      <x:c r="L1041" s="16" t="n">
        <x:v>66</x:v>
      </x:c>
      <x:c r="M1041" s="16" t="n">
        <x:v>7</x:v>
      </x:c>
      <x:c r="N1041" s="16" t="n">
        <x:v>12</x:v>
      </x:c>
      <x:c r="O1041" s="16" t="n">
        <x:v>2</x:v>
      </x:c>
      <x:c r="P1041" s="16" t="n">
        <x:v>15</x:v>
      </x:c>
      <x:c r="Q1041" s="16" t="n">
        <x:v>0</x:v>
      </x:c>
      <x:c r="R1041" s="16" t="n">
        <x:v>1</x:v>
      </x:c>
      <x:c r="S1041" s="16" t="n">
        <x:v>0</x:v>
      </x:c>
      <x:c r="T1041" s="16" t="n">
        <x:v>19</x:v>
      </x:c>
      <x:c r="U1041" s="16" t="n">
        <x:v>0</x:v>
      </x:c>
      <x:c r="V1041" s="16" t="n">
        <x:v>0</x:v>
      </x:c>
      <x:c r="W1041" s="16" t="n">
        <x:v>0</x:v>
      </x:c>
      <x:c r="X1041" s="16" t="n">
        <x:v>0</x:v>
      </x:c>
      <x:c r="Y1041" s="16" t="n">
        <x:v>0</x:v>
      </x:c>
      <x:c r="Z1041" s="16" t="n">
        <x:v>0</x:v>
      </x:c>
      <x:c r="AA1041" s="16" t="n">
        <x:v>3</x:v>
      </x:c>
      <x:c r="AB1041" s="16" t="n">
        <x:v>11</x:v>
      </x:c>
      <x:c r="AC1041" s="16" t="n">
        <x:v>0</x:v>
      </x:c>
      <x:c r="AD1041" s="21" t="n">
        <x:f>IF(E1041="",MEDIAN($E$2:$E$2237),E1041)</x:f>
        <x:v>8028</x:v>
      </x:c>
      <x:c r="AE1041" s="17" t="n">
        <x:f>2014-B1041</x:f>
        <x:v>23</x:v>
      </x:c>
      <x:c r="AF1041" s="17" t="n">
        <x:f>F1041+G1041</x:f>
        <x:v>0</x:v>
      </x:c>
      <x:c r="AG1041" s="21" t="n">
        <x:f>SUM(J1041:O1041)</x:f>
        <x:v>178</x:v>
      </x:c>
      <x:c r="AH1041" s="17" t="n">
        <x:f>SUM(Q1041:S1041)</x:f>
        <x:v>1</x:v>
      </x:c>
      <x:c r="AI1041" s="17" t="n">
        <x:f>SUM(U1041:Y1041)</x:f>
        <x:v>0</x:v>
      </x:c>
      <x:c r="AJ1041" s="17" t="str">
        <x:f>IF(AE1041&lt;=34,"≤34",IF(AE1041&lt;=44,"35–44",IF(AE1041&lt;=54,"45–54",IF(AE1041&lt;=64,"55–64","65+"))))</x:f>
        <x:v>≤34</x:v>
      </x:c>
      <x:c r="AK1041" s="17" t="str">
        <x:f>IF(AG1041&gt;=1000,"High Value",IF(AG1041&gt;=300,"Mid Value","Low Value"))</x:f>
        <x:v>Low Value</x:v>
      </x:c>
      <x:c r="AL1041" s="17" t="str">
        <x:f>IF(AND(AI1041&gt;=1,I1041&lt;=50),"Priority 1",IF(AND(AG1041&gt;=1000,I1041&lt;=60),"Priority 2",IF(I1041&lt;=30,"Priority 3","Nurture")))</x:f>
        <x:v>Nurture</x:v>
      </x:c>
    </x:row>
    <x:row r="1042">
      <x:c r="A1042" s="16" t="n">
        <x:v>4998</x:v>
      </x:c>
      <x:c r="B1042" s="16" t="n">
        <x:v>1962</x:v>
      </x:c>
      <x:c r="C1042" s="16" t="str">
        <x:v>Graduation</x:v>
      </x:c>
      <x:c r="D1042" s="16" t="str">
        <x:v>Together</x:v>
      </x:c>
      <x:c r="E1042" s="16" t="n">
        <x:v>76081</x:v>
      </x:c>
      <x:c r="F1042" s="16" t="n">
        <x:v>0</x:v>
      </x:c>
      <x:c r="G1042" s="16" t="n">
        <x:v>0</x:v>
      </x:c>
      <x:c r="H1042" s="16" t="str">
        <x:v>23-05-2014</x:v>
      </x:c>
      <x:c r="I1042" s="16" t="n">
        <x:v>85</x:v>
      </x:c>
      <x:c r="J1042" s="16" t="n">
        <x:v>292</x:v>
      </x:c>
      <x:c r="K1042" s="16" t="n">
        <x:v>30</x:v>
      </x:c>
      <x:c r="L1042" s="16" t="n">
        <x:v>415</x:v>
      </x:c>
      <x:c r="M1042" s="16" t="n">
        <x:v>63</x:v>
      </x:c>
      <x:c r="N1042" s="16" t="n">
        <x:v>33</x:v>
      </x:c>
      <x:c r="O1042" s="16" t="n">
        <x:v>200</x:v>
      </x:c>
      <x:c r="P1042" s="16" t="n">
        <x:v>1</x:v>
      </x:c>
      <x:c r="Q1042" s="16" t="n">
        <x:v>4</x:v>
      </x:c>
      <x:c r="R1042" s="16" t="n">
        <x:v>5</x:v>
      </x:c>
      <x:c r="S1042" s="16" t="n">
        <x:v>4</x:v>
      </x:c>
      <x:c r="T1042" s="16" t="n">
        <x:v>2</x:v>
      </x:c>
      <x:c r="U1042" s="16" t="n">
        <x:v>0</x:v>
      </x:c>
      <x:c r="V1042" s="16" t="n">
        <x:v>0</x:v>
      </x:c>
      <x:c r="W1042" s="16" t="n">
        <x:v>0</x:v>
      </x:c>
      <x:c r="X1042" s="16" t="n">
        <x:v>1</x:v>
      </x:c>
      <x:c r="Y1042" s="16" t="n">
        <x:v>0</x:v>
      </x:c>
      <x:c r="Z1042" s="16" t="n">
        <x:v>0</x:v>
      </x:c>
      <x:c r="AA1042" s="16" t="n">
        <x:v>3</x:v>
      </x:c>
      <x:c r="AB1042" s="16" t="n">
        <x:v>11</x:v>
      </x:c>
      <x:c r="AC1042" s="16" t="n">
        <x:v>0</x:v>
      </x:c>
      <x:c r="AD1042" s="21" t="n">
        <x:f>IF(E1042="",MEDIAN($E$2:$E$2237),E1042)</x:f>
        <x:v>76081</x:v>
      </x:c>
      <x:c r="AE1042" s="17" t="n">
        <x:f>2014-B1042</x:f>
        <x:v>52</x:v>
      </x:c>
      <x:c r="AF1042" s="17" t="n">
        <x:f>F1042+G1042</x:f>
        <x:v>0</x:v>
      </x:c>
      <x:c r="AG1042" s="21" t="n">
        <x:f>SUM(J1042:O1042)</x:f>
        <x:v>1033</x:v>
      </x:c>
      <x:c r="AH1042" s="17" t="n">
        <x:f>SUM(Q1042:S1042)</x:f>
        <x:v>13</x:v>
      </x:c>
      <x:c r="AI1042" s="17" t="n">
        <x:f>SUM(U1042:Y1042)</x:f>
        <x:v>1</x:v>
      </x:c>
      <x:c r="AJ1042" s="17" t="str">
        <x:f>IF(AE1042&lt;=34,"≤34",IF(AE1042&lt;=44,"35–44",IF(AE1042&lt;=54,"45–54",IF(AE1042&lt;=64,"55–64","65+"))))</x:f>
        <x:v>45–54</x:v>
      </x:c>
      <x:c r="AK1042" s="17" t="str">
        <x:f>IF(AG1042&gt;=1000,"High Value",IF(AG1042&gt;=300,"Mid Value","Low Value"))</x:f>
        <x:v>High Value</x:v>
      </x:c>
      <x:c r="AL1042" s="17" t="str">
        <x:f>IF(AND(AI1042&gt;=1,I1042&lt;=50),"Priority 1",IF(AND(AG1042&gt;=1000,I1042&lt;=60),"Priority 2",IF(I1042&lt;=30,"Priority 3","Nurture")))</x:f>
        <x:v>Nurture</x:v>
      </x:c>
    </x:row>
    <x:row r="1043">
      <x:c r="A1043" s="16" t="n">
        <x:v>6287</x:v>
      </x:c>
      <x:c r="B1043" s="16" t="n">
        <x:v>1986</x:v>
      </x:c>
      <x:c r="C1043" s="16" t="str">
        <x:v>Graduation</x:v>
      </x:c>
      <x:c r="D1043" s="16" t="str">
        <x:v>Together</x:v>
      </x:c>
      <x:c r="E1043" s="16" t="n">
        <x:v>34728</x:v>
      </x:c>
      <x:c r="F1043" s="16" t="n">
        <x:v>1</x:v>
      </x:c>
      <x:c r="G1043" s="16" t="n">
        <x:v>0</x:v>
      </x:c>
      <x:c r="H1043" s="16" t="str">
        <x:v>30-07-2013</x:v>
      </x:c>
      <x:c r="I1043" s="16" t="n">
        <x:v>2</x:v>
      </x:c>
      <x:c r="J1043" s="16" t="n">
        <x:v>14</x:v>
      </x:c>
      <x:c r="K1043" s="16" t="n">
        <x:v>0</x:v>
      </x:c>
      <x:c r="L1043" s="16" t="n">
        <x:v>16</x:v>
      </x:c>
      <x:c r="M1043" s="16" t="n">
        <x:v>0</x:v>
      </x:c>
      <x:c r="N1043" s="16" t="n">
        <x:v>0</x:v>
      </x:c>
      <x:c r="O1043" s="16" t="n">
        <x:v>6</x:v>
      </x:c>
      <x:c r="P1043" s="16" t="n">
        <x:v>1</x:v>
      </x:c>
      <x:c r="Q1043" s="16" t="n">
        <x:v>1</x:v>
      </x:c>
      <x:c r="R1043" s="16" t="n">
        <x:v>1</x:v>
      </x:c>
      <x:c r="S1043" s="16" t="n">
        <x:v>2</x:v>
      </x:c>
      <x:c r="T1043" s="16" t="n">
        <x:v>6</x:v>
      </x:c>
      <x:c r="U1043" s="16" t="n">
        <x:v>0</x:v>
      </x:c>
      <x:c r="V1043" s="16" t="n">
        <x:v>0</x:v>
      </x:c>
      <x:c r="W1043" s="16" t="n">
        <x:v>0</x:v>
      </x:c>
      <x:c r="X1043" s="16" t="n">
        <x:v>0</x:v>
      </x:c>
      <x:c r="Y1043" s="16" t="n">
        <x:v>0</x:v>
      </x:c>
      <x:c r="Z1043" s="16" t="n">
        <x:v>0</x:v>
      </x:c>
      <x:c r="AA1043" s="16" t="n">
        <x:v>3</x:v>
      </x:c>
      <x:c r="AB1043" s="16" t="n">
        <x:v>11</x:v>
      </x:c>
      <x:c r="AC1043" s="16" t="n">
        <x:v>1</x:v>
      </x:c>
      <x:c r="AD1043" s="21" t="n">
        <x:f>IF(E1043="",MEDIAN($E$2:$E$2237),E1043)</x:f>
        <x:v>34728</x:v>
      </x:c>
      <x:c r="AE1043" s="17" t="n">
        <x:f>2014-B1043</x:f>
        <x:v>28</x:v>
      </x:c>
      <x:c r="AF1043" s="17" t="n">
        <x:f>F1043+G1043</x:f>
        <x:v>1</x:v>
      </x:c>
      <x:c r="AG1043" s="21" t="n">
        <x:f>SUM(J1043:O1043)</x:f>
        <x:v>36</x:v>
      </x:c>
      <x:c r="AH1043" s="17" t="n">
        <x:f>SUM(Q1043:S1043)</x:f>
        <x:v>4</x:v>
      </x:c>
      <x:c r="AI1043" s="17" t="n">
        <x:f>SUM(U1043:Y1043)</x:f>
        <x:v>0</x:v>
      </x:c>
      <x:c r="AJ1043" s="17" t="str">
        <x:f>IF(AE1043&lt;=34,"≤34",IF(AE1043&lt;=44,"35–44",IF(AE1043&lt;=54,"45–54",IF(AE1043&lt;=64,"55–64","65+"))))</x:f>
        <x:v>≤34</x:v>
      </x:c>
      <x:c r="AK1043" s="17" t="str">
        <x:f>IF(AG1043&gt;=1000,"High Value",IF(AG1043&gt;=300,"Mid Value","Low Value"))</x:f>
        <x:v>Low Value</x:v>
      </x:c>
      <x:c r="AL1043" s="17" t="str">
        <x:f>IF(AND(AI1043&gt;=1,I1043&lt;=50),"Priority 1",IF(AND(AG1043&gt;=1000,I1043&lt;=60),"Priority 2",IF(I1043&lt;=30,"Priority 3","Nurture")))</x:f>
        <x:v>Priority 3</x:v>
      </x:c>
    </x:row>
    <x:row r="1044">
      <x:c r="A1044" s="16" t="n">
        <x:v>5985</x:v>
      </x:c>
      <x:c r="B1044" s="16" t="n">
        <x:v>1965</x:v>
      </x:c>
      <x:c r="C1044" s="16" t="str">
        <x:v>Master</x:v>
      </x:c>
      <x:c r="D1044" s="16" t="str">
        <x:v>Single</x:v>
      </x:c>
      <x:c r="E1044" s="16" t="n">
        <x:v>33168</x:v>
      </x:c>
      <x:c r="F1044" s="16" t="n">
        <x:v>0</x:v>
      </x:c>
      <x:c r="G1044" s="16" t="n">
        <x:v>1</x:v>
      </x:c>
      <x:c r="H1044" s="16" t="str">
        <x:v>13-10-2012</x:v>
      </x:c>
      <x:c r="I1044" s="16" t="n">
        <x:v>0</x:v>
      </x:c>
      <x:c r="J1044" s="16" t="n">
        <x:v>80</x:v>
      </x:c>
      <x:c r="K1044" s="16" t="n">
        <x:v>1</x:v>
      </x:c>
      <x:c r="L1044" s="16" t="n">
        <x:v>37</x:v>
      </x:c>
      <x:c r="M1044" s="16" t="n">
        <x:v>0</x:v>
      </x:c>
      <x:c r="N1044" s="16" t="n">
        <x:v>1</x:v>
      </x:c>
      <x:c r="O1044" s="16" t="n">
        <x:v>3</x:v>
      </x:c>
      <x:c r="P1044" s="16" t="n">
        <x:v>3</x:v>
      </x:c>
      <x:c r="Q1044" s="16" t="n">
        <x:v>2</x:v>
      </x:c>
      <x:c r="R1044" s="16" t="n">
        <x:v>1</x:v>
      </x:c>
      <x:c r="S1044" s="16" t="n">
        <x:v>4</x:v>
      </x:c>
      <x:c r="T1044" s="16" t="n">
        <x:v>7</x:v>
      </x:c>
      <x:c r="U1044" s="16" t="n">
        <x:v>0</x:v>
      </x:c>
      <x:c r="V1044" s="16" t="n">
        <x:v>0</x:v>
      </x:c>
      <x:c r="W1044" s="16" t="n">
        <x:v>0</x:v>
      </x:c>
      <x:c r="X1044" s="16" t="n">
        <x:v>0</x:v>
      </x:c>
      <x:c r="Y1044" s="16" t="n">
        <x:v>0</x:v>
      </x:c>
      <x:c r="Z1044" s="16" t="n">
        <x:v>0</x:v>
      </x:c>
      <x:c r="AA1044" s="16" t="n">
        <x:v>3</x:v>
      </x:c>
      <x:c r="AB1044" s="16" t="n">
        <x:v>11</x:v>
      </x:c>
      <x:c r="AC1044" s="16" t="n">
        <x:v>0</x:v>
      </x:c>
      <x:c r="AD1044" s="21" t="n">
        <x:f>IF(E1044="",MEDIAN($E$2:$E$2237),E1044)</x:f>
        <x:v>33168</x:v>
      </x:c>
      <x:c r="AE1044" s="17" t="n">
        <x:f>2014-B1044</x:f>
        <x:v>49</x:v>
      </x:c>
      <x:c r="AF1044" s="17" t="n">
        <x:f>F1044+G1044</x:f>
        <x:v>1</x:v>
      </x:c>
      <x:c r="AG1044" s="21" t="n">
        <x:f>SUM(J1044:O1044)</x:f>
        <x:v>122</x:v>
      </x:c>
      <x:c r="AH1044" s="17" t="n">
        <x:f>SUM(Q1044:S1044)</x:f>
        <x:v>7</x:v>
      </x:c>
      <x:c r="AI1044" s="17" t="n">
        <x:f>SUM(U1044:Y1044)</x:f>
        <x:v>0</x:v>
      </x:c>
      <x:c r="AJ1044" s="17" t="str">
        <x:f>IF(AE1044&lt;=34,"≤34",IF(AE1044&lt;=44,"35–44",IF(AE1044&lt;=54,"45–54",IF(AE1044&lt;=64,"55–64","65+"))))</x:f>
        <x:v>45–54</x:v>
      </x:c>
      <x:c r="AK1044" s="17" t="str">
        <x:f>IF(AG1044&gt;=1000,"High Value",IF(AG1044&gt;=300,"Mid Value","Low Value"))</x:f>
        <x:v>Low Value</x:v>
      </x:c>
      <x:c r="AL1044" s="17" t="str">
        <x:f>IF(AND(AI1044&gt;=1,I1044&lt;=50),"Priority 1",IF(AND(AG1044&gt;=1000,I1044&lt;=60),"Priority 2",IF(I1044&lt;=30,"Priority 3","Nurture")))</x:f>
        <x:v>Priority 3</x:v>
      </x:c>
    </x:row>
    <x:row r="1045">
      <x:c r="A1045" s="16" t="n">
        <x:v>4754</x:v>
      </x:c>
      <x:c r="B1045" s="16" t="n">
        <x:v>1966</x:v>
      </x:c>
      <x:c r="C1045" s="16" t="str">
        <x:v>Master</x:v>
      </x:c>
      <x:c r="D1045" s="16" t="str">
        <x:v>Married</x:v>
      </x:c>
      <x:c r="E1045" s="16" t="n">
        <x:v>33585</x:v>
      </x:c>
      <x:c r="F1045" s="16" t="n">
        <x:v>0</x:v>
      </x:c>
      <x:c r="G1045" s="16" t="n">
        <x:v>1</x:v>
      </x:c>
      <x:c r="H1045" s="16" t="str">
        <x:v>25-09-2013</x:v>
      </x:c>
      <x:c r="I1045" s="16" t="n">
        <x:v>91</x:v>
      </x:c>
      <x:c r="J1045" s="16" t="n">
        <x:v>30</x:v>
      </x:c>
      <x:c r="K1045" s="16" t="n">
        <x:v>11</x:v>
      </x:c>
      <x:c r="L1045" s="16" t="n">
        <x:v>33</x:v>
      </x:c>
      <x:c r="M1045" s="16" t="n">
        <x:v>13</x:v>
      </x:c>
      <x:c r="N1045" s="16" t="n">
        <x:v>6</x:v>
      </x:c>
      <x:c r="O1045" s="16" t="n">
        <x:v>29</x:v>
      </x:c>
      <x:c r="P1045" s="16" t="n">
        <x:v>1</x:v>
      </x:c>
      <x:c r="Q1045" s="16" t="n">
        <x:v>2</x:v>
      </x:c>
      <x:c r="R1045" s="16" t="n">
        <x:v>0</x:v>
      </x:c>
      <x:c r="S1045" s="16" t="n">
        <x:v>4</x:v>
      </x:c>
      <x:c r="T1045" s="16" t="n">
        <x:v>4</x:v>
      </x:c>
      <x:c r="U1045" s="16" t="n">
        <x:v>0</x:v>
      </x:c>
      <x:c r="V1045" s="16" t="n">
        <x:v>0</x:v>
      </x:c>
      <x:c r="W1045" s="16" t="n">
        <x:v>0</x:v>
      </x:c>
      <x:c r="X1045" s="16" t="n">
        <x:v>0</x:v>
      </x:c>
      <x:c r="Y1045" s="16" t="n">
        <x:v>0</x:v>
      </x:c>
      <x:c r="Z1045" s="16" t="n">
        <x:v>0</x:v>
      </x:c>
      <x:c r="AA1045" s="16" t="n">
        <x:v>3</x:v>
      </x:c>
      <x:c r="AB1045" s="16" t="n">
        <x:v>11</x:v>
      </x:c>
      <x:c r="AC1045" s="16" t="n">
        <x:v>0</x:v>
      </x:c>
      <x:c r="AD1045" s="21" t="n">
        <x:f>IF(E1045="",MEDIAN($E$2:$E$2237),E1045)</x:f>
        <x:v>33585</x:v>
      </x:c>
      <x:c r="AE1045" s="17" t="n">
        <x:f>2014-B1045</x:f>
        <x:v>48</x:v>
      </x:c>
      <x:c r="AF1045" s="17" t="n">
        <x:f>F1045+G1045</x:f>
        <x:v>1</x:v>
      </x:c>
      <x:c r="AG1045" s="21" t="n">
        <x:f>SUM(J1045:O1045)</x:f>
        <x:v>122</x:v>
      </x:c>
      <x:c r="AH1045" s="17" t="n">
        <x:f>SUM(Q1045:S1045)</x:f>
        <x:v>6</x:v>
      </x:c>
      <x:c r="AI1045" s="17" t="n">
        <x:f>SUM(U1045:Y1045)</x:f>
        <x:v>0</x:v>
      </x:c>
      <x:c r="AJ1045" s="17" t="str">
        <x:f>IF(AE1045&lt;=34,"≤34",IF(AE1045&lt;=44,"35–44",IF(AE1045&lt;=54,"45–54",IF(AE1045&lt;=64,"55–64","65+"))))</x:f>
        <x:v>45–54</x:v>
      </x:c>
      <x:c r="AK1045" s="17" t="str">
        <x:f>IF(AG1045&gt;=1000,"High Value",IF(AG1045&gt;=300,"Mid Value","Low Value"))</x:f>
        <x:v>Low Value</x:v>
      </x:c>
      <x:c r="AL1045" s="17" t="str">
        <x:f>IF(AND(AI1045&gt;=1,I1045&lt;=50),"Priority 1",IF(AND(AG1045&gt;=1000,I1045&lt;=60),"Priority 2",IF(I1045&lt;=30,"Priority 3","Nurture")))</x:f>
        <x:v>Nurture</x:v>
      </x:c>
    </x:row>
    <x:row r="1046">
      <x:c r="A1046" s="16" t="n">
        <x:v>4002</x:v>
      </x:c>
      <x:c r="B1046" s="16" t="n">
        <x:v>1960</x:v>
      </x:c>
      <x:c r="C1046" s="16" t="str">
        <x:v>PhD</x:v>
      </x:c>
      <x:c r="D1046" s="16" t="str">
        <x:v>Married</x:v>
      </x:c>
      <x:c r="E1046" s="16" t="n">
        <x:v>77037</x:v>
      </x:c>
      <x:c r="F1046" s="16" t="n">
        <x:v>0</x:v>
      </x:c>
      <x:c r="G1046" s="16" t="n">
        <x:v>1</x:v>
      </x:c>
      <x:c r="H1046" s="16" t="str">
        <x:v>13-10-2013</x:v>
      </x:c>
      <x:c r="I1046" s="16" t="n">
        <x:v>3</x:v>
      </x:c>
      <x:c r="J1046" s="16" t="n">
        <x:v>463</x:v>
      </x:c>
      <x:c r="K1046" s="16" t="n">
        <x:v>96</x:v>
      </x:c>
      <x:c r="L1046" s="16" t="n">
        <x:v>333</x:v>
      </x:c>
      <x:c r="M1046" s="16" t="n">
        <x:v>168</x:v>
      </x:c>
      <x:c r="N1046" s="16" t="n">
        <x:v>53</x:v>
      </x:c>
      <x:c r="O1046" s="16" t="n">
        <x:v>10</x:v>
      </x:c>
      <x:c r="P1046" s="16" t="n">
        <x:v>1</x:v>
      </x:c>
      <x:c r="Q1046" s="16" t="n">
        <x:v>7</x:v>
      </x:c>
      <x:c r="R1046" s="16" t="n">
        <x:v>7</x:v>
      </x:c>
      <x:c r="S1046" s="16" t="n">
        <x:v>12</x:v>
      </x:c>
      <x:c r="T1046" s="16" t="n">
        <x:v>3</x:v>
      </x:c>
      <x:c r="U1046" s="16" t="n">
        <x:v>0</x:v>
      </x:c>
      <x:c r="V1046" s="16" t="n">
        <x:v>0</x:v>
      </x:c>
      <x:c r="W1046" s="16" t="n">
        <x:v>0</x:v>
      </x:c>
      <x:c r="X1046" s="16" t="n">
        <x:v>0</x:v>
      </x:c>
      <x:c r="Y1046" s="16" t="n">
        <x:v>0</x:v>
      </x:c>
      <x:c r="Z1046" s="16" t="n">
        <x:v>0</x:v>
      </x:c>
      <x:c r="AA1046" s="16" t="n">
        <x:v>3</x:v>
      </x:c>
      <x:c r="AB1046" s="16" t="n">
        <x:v>11</x:v>
      </x:c>
      <x:c r="AC1046" s="16" t="n">
        <x:v>0</x:v>
      </x:c>
      <x:c r="AD1046" s="21" t="n">
        <x:f>IF(E1046="",MEDIAN($E$2:$E$2237),E1046)</x:f>
        <x:v>77037</x:v>
      </x:c>
      <x:c r="AE1046" s="17" t="n">
        <x:f>2014-B1046</x:f>
        <x:v>54</x:v>
      </x:c>
      <x:c r="AF1046" s="17" t="n">
        <x:f>F1046+G1046</x:f>
        <x:v>1</x:v>
      </x:c>
      <x:c r="AG1046" s="21" t="n">
        <x:f>SUM(J1046:O1046)</x:f>
        <x:v>1123</x:v>
      </x:c>
      <x:c r="AH1046" s="17" t="n">
        <x:f>SUM(Q1046:S1046)</x:f>
        <x:v>26</x:v>
      </x:c>
      <x:c r="AI1046" s="17" t="n">
        <x:f>SUM(U1046:Y1046)</x:f>
        <x:v>0</x:v>
      </x:c>
      <x:c r="AJ1046" s="17" t="str">
        <x:f>IF(AE1046&lt;=34,"≤34",IF(AE1046&lt;=44,"35–44",IF(AE1046&lt;=54,"45–54",IF(AE1046&lt;=64,"55–64","65+"))))</x:f>
        <x:v>45–54</x:v>
      </x:c>
      <x:c r="AK1046" s="17" t="str">
        <x:f>IF(AG1046&gt;=1000,"High Value",IF(AG1046&gt;=300,"Mid Value","Low Value"))</x:f>
        <x:v>High Value</x:v>
      </x:c>
      <x:c r="AL1046" s="17" t="str">
        <x:f>IF(AND(AI1046&gt;=1,I1046&lt;=50),"Priority 1",IF(AND(AG1046&gt;=1000,I1046&lt;=60),"Priority 2",IF(I1046&lt;=30,"Priority 3","Nurture")))</x:f>
        <x:v>Priority 2</x:v>
      </x:c>
    </x:row>
    <x:row r="1047">
      <x:c r="A1047" s="16" t="n">
        <x:v>8870</x:v>
      </x:c>
      <x:c r="B1047" s="16" t="n">
        <x:v>1984</x:v>
      </x:c>
      <x:c r="C1047" s="16" t="str">
        <x:v>Graduation</x:v>
      </x:c>
      <x:c r="D1047" s="16" t="str">
        <x:v>Together</x:v>
      </x:c>
      <x:c r="E1047" s="16" t="n">
        <x:v>35196</x:v>
      </x:c>
      <x:c r="F1047" s="16" t="n">
        <x:v>1</x:v>
      </x:c>
      <x:c r="G1047" s="16" t="n">
        <x:v>0</x:v>
      </x:c>
      <x:c r="H1047" s="16" t="str">
        <x:v>13-11-2012</x:v>
      </x:c>
      <x:c r="I1047" s="16" t="n">
        <x:v>68</x:v>
      </x:c>
      <x:c r="J1047" s="16" t="n">
        <x:v>75</x:v>
      </x:c>
      <x:c r="K1047" s="16" t="n">
        <x:v>12</x:v>
      </x:c>
      <x:c r="L1047" s="16" t="n">
        <x:v>141</x:v>
      </x:c>
      <x:c r="M1047" s="16" t="n">
        <x:v>43</x:v>
      </x:c>
      <x:c r="N1047" s="16" t="n">
        <x:v>39</x:v>
      </x:c>
      <x:c r="O1047" s="16" t="n">
        <x:v>187</x:v>
      </x:c>
      <x:c r="P1047" s="16" t="n">
        <x:v>6</x:v>
      </x:c>
      <x:c r="Q1047" s="16" t="n">
        <x:v>6</x:v>
      </x:c>
      <x:c r="R1047" s="16" t="n">
        <x:v>1</x:v>
      </x:c>
      <x:c r="S1047" s="16" t="n">
        <x:v>5</x:v>
      </x:c>
      <x:c r="T1047" s="16" t="n">
        <x:v>8</x:v>
      </x:c>
      <x:c r="U1047" s="16" t="n">
        <x:v>0</x:v>
      </x:c>
      <x:c r="V1047" s="16" t="n">
        <x:v>0</x:v>
      </x:c>
      <x:c r="W1047" s="16" t="n">
        <x:v>0</x:v>
      </x:c>
      <x:c r="X1047" s="16" t="n">
        <x:v>0</x:v>
      </x:c>
      <x:c r="Y1047" s="16" t="n">
        <x:v>0</x:v>
      </x:c>
      <x:c r="Z1047" s="16" t="n">
        <x:v>0</x:v>
      </x:c>
      <x:c r="AA1047" s="16" t="n">
        <x:v>3</x:v>
      </x:c>
      <x:c r="AB1047" s="16" t="n">
        <x:v>11</x:v>
      </x:c>
      <x:c r="AC1047" s="16" t="n">
        <x:v>1</x:v>
      </x:c>
      <x:c r="AD1047" s="21" t="n">
        <x:f>IF(E1047="",MEDIAN($E$2:$E$2237),E1047)</x:f>
        <x:v>35196</x:v>
      </x:c>
      <x:c r="AE1047" s="17" t="n">
        <x:f>2014-B1047</x:f>
        <x:v>30</x:v>
      </x:c>
      <x:c r="AF1047" s="17" t="n">
        <x:f>F1047+G1047</x:f>
        <x:v>1</x:v>
      </x:c>
      <x:c r="AG1047" s="21" t="n">
        <x:f>SUM(J1047:O1047)</x:f>
        <x:v>497</x:v>
      </x:c>
      <x:c r="AH1047" s="17" t="n">
        <x:f>SUM(Q1047:S1047)</x:f>
        <x:v>12</x:v>
      </x:c>
      <x:c r="AI1047" s="17" t="n">
        <x:f>SUM(U1047:Y1047)</x:f>
        <x:v>0</x:v>
      </x:c>
      <x:c r="AJ1047" s="17" t="str">
        <x:f>IF(AE1047&lt;=34,"≤34",IF(AE1047&lt;=44,"35–44",IF(AE1047&lt;=54,"45–54",IF(AE1047&lt;=64,"55–64","65+"))))</x:f>
        <x:v>≤34</x:v>
      </x:c>
      <x:c r="AK1047" s="17" t="str">
        <x:f>IF(AG1047&gt;=1000,"High Value",IF(AG1047&gt;=300,"Mid Value","Low Value"))</x:f>
        <x:v>Mid Value</x:v>
      </x:c>
      <x:c r="AL1047" s="17" t="str">
        <x:f>IF(AND(AI1047&gt;=1,I1047&lt;=50),"Priority 1",IF(AND(AG1047&gt;=1000,I1047&lt;=60),"Priority 2",IF(I1047&lt;=30,"Priority 3","Nurture")))</x:f>
        <x:v>Nurture</x:v>
      </x:c>
    </x:row>
    <x:row r="1048">
      <x:c r="A1048" s="16" t="n">
        <x:v>966</x:v>
      </x:c>
      <x:c r="B1048" s="16" t="n">
        <x:v>1966</x:v>
      </x:c>
      <x:c r="C1048" s="16" t="str">
        <x:v>Graduation</x:v>
      </x:c>
      <x:c r="D1048" s="16" t="str">
        <x:v>Married</x:v>
      </x:c>
      <x:c r="E1048" s="16" t="n">
        <x:v>44529</x:v>
      </x:c>
      <x:c r="F1048" s="16" t="n">
        <x:v>0</x:v>
      </x:c>
      <x:c r="G1048" s="16" t="n">
        <x:v>1</x:v>
      </x:c>
      <x:c r="H1048" s="16" t="str">
        <x:v>05-07-2013</x:v>
      </x:c>
      <x:c r="I1048" s="16" t="n">
        <x:v>98</x:v>
      </x:c>
      <x:c r="J1048" s="16" t="n">
        <x:v>538</x:v>
      </x:c>
      <x:c r="K1048" s="16" t="n">
        <x:v>13</x:v>
      </x:c>
      <x:c r="L1048" s="16" t="n">
        <x:v>91</x:v>
      </x:c>
      <x:c r="M1048" s="16" t="n">
        <x:v>17</x:v>
      </x:c>
      <x:c r="N1048" s="16" t="n">
        <x:v>6</x:v>
      </x:c>
      <x:c r="O1048" s="16" t="n">
        <x:v>26</x:v>
      </x:c>
      <x:c r="P1048" s="16" t="n">
        <x:v>6</x:v>
      </x:c>
      <x:c r="Q1048" s="16" t="n">
        <x:v>6</x:v>
      </x:c>
      <x:c r="R1048" s="16" t="n">
        <x:v>2</x:v>
      </x:c>
      <x:c r="S1048" s="16" t="n">
        <x:v>11</x:v>
      </x:c>
      <x:c r="T1048" s="16" t="n">
        <x:v>5</x:v>
      </x:c>
      <x:c r="U1048" s="16" t="n">
        <x:v>0</x:v>
      </x:c>
      <x:c r="V1048" s="16" t="n">
        <x:v>1</x:v>
      </x:c>
      <x:c r="W1048" s="16" t="n">
        <x:v>0</x:v>
      </x:c>
      <x:c r="X1048" s="16" t="n">
        <x:v>0</x:v>
      </x:c>
      <x:c r="Y1048" s="16" t="n">
        <x:v>0</x:v>
      </x:c>
      <x:c r="Z1048" s="16" t="n">
        <x:v>0</x:v>
      </x:c>
      <x:c r="AA1048" s="16" t="n">
        <x:v>3</x:v>
      </x:c>
      <x:c r="AB1048" s="16" t="n">
        <x:v>11</x:v>
      </x:c>
      <x:c r="AC1048" s="16" t="n">
        <x:v>0</x:v>
      </x:c>
      <x:c r="AD1048" s="21" t="n">
        <x:f>IF(E1048="",MEDIAN($E$2:$E$2237),E1048)</x:f>
        <x:v>44529</x:v>
      </x:c>
      <x:c r="AE1048" s="17" t="n">
        <x:f>2014-B1048</x:f>
        <x:v>48</x:v>
      </x:c>
      <x:c r="AF1048" s="17" t="n">
        <x:f>F1048+G1048</x:f>
        <x:v>1</x:v>
      </x:c>
      <x:c r="AG1048" s="21" t="n">
        <x:f>SUM(J1048:O1048)</x:f>
        <x:v>691</x:v>
      </x:c>
      <x:c r="AH1048" s="17" t="n">
        <x:f>SUM(Q1048:S1048)</x:f>
        <x:v>19</x:v>
      </x:c>
      <x:c r="AI1048" s="17" t="n">
        <x:f>SUM(U1048:Y1048)</x:f>
        <x:v>1</x:v>
      </x:c>
      <x:c r="AJ1048" s="17" t="str">
        <x:f>IF(AE1048&lt;=34,"≤34",IF(AE1048&lt;=44,"35–44",IF(AE1048&lt;=54,"45–54",IF(AE1048&lt;=64,"55–64","65+"))))</x:f>
        <x:v>45–54</x:v>
      </x:c>
      <x:c r="AK1048" s="17" t="str">
        <x:f>IF(AG1048&gt;=1000,"High Value",IF(AG1048&gt;=300,"Mid Value","Low Value"))</x:f>
        <x:v>Mid Value</x:v>
      </x:c>
      <x:c r="AL1048" s="17" t="str">
        <x:f>IF(AND(AI1048&gt;=1,I1048&lt;=50),"Priority 1",IF(AND(AG1048&gt;=1000,I1048&lt;=60),"Priority 2",IF(I1048&lt;=30,"Priority 3","Nurture")))</x:f>
        <x:v>Nurture</x:v>
      </x:c>
    </x:row>
    <x:row r="1049">
      <x:c r="A1049" s="16" t="n">
        <x:v>4767</x:v>
      </x:c>
      <x:c r="B1049" s="16" t="n">
        <x:v>1965</x:v>
      </x:c>
      <x:c r="C1049" s="16" t="str">
        <x:v>2n Cycle</x:v>
      </x:c>
      <x:c r="D1049" s="16" t="str">
        <x:v>Married</x:v>
      </x:c>
      <x:c r="E1049" s="16" t="n">
        <x:v>70924</x:v>
      </x:c>
      <x:c r="F1049" s="16" t="n">
        <x:v>0</x:v>
      </x:c>
      <x:c r="G1049" s="16" t="n">
        <x:v>0</x:v>
      </x:c>
      <x:c r="H1049" s="16" t="str">
        <x:v>07-04-2014</x:v>
      </x:c>
      <x:c r="I1049" s="16" t="n">
        <x:v>41</x:v>
      </x:c>
      <x:c r="J1049" s="16" t="n">
        <x:v>635</x:v>
      </x:c>
      <x:c r="K1049" s="16" t="n">
        <x:v>114</x:v>
      </x:c>
      <x:c r="L1049" s="16" t="n">
        <x:v>254</x:v>
      </x:c>
      <x:c r="M1049" s="16" t="n">
        <x:v>132</x:v>
      </x:c>
      <x:c r="N1049" s="16" t="n">
        <x:v>152</x:v>
      </x:c>
      <x:c r="O1049" s="16" t="n">
        <x:v>76</x:v>
      </x:c>
      <x:c r="P1049" s="16" t="n">
        <x:v>1</x:v>
      </x:c>
      <x:c r="Q1049" s="16" t="n">
        <x:v>6</x:v>
      </x:c>
      <x:c r="R1049" s="16" t="n">
        <x:v>6</x:v>
      </x:c>
      <x:c r="S1049" s="16" t="n">
        <x:v>7</x:v>
      </x:c>
      <x:c r="T1049" s="16" t="n">
        <x:v>3</x:v>
      </x:c>
      <x:c r="U1049" s="16" t="n">
        <x:v>0</x:v>
      </x:c>
      <x:c r="V1049" s="16" t="n">
        <x:v>0</x:v>
      </x:c>
      <x:c r="W1049" s="16" t="n">
        <x:v>1</x:v>
      </x:c>
      <x:c r="X1049" s="16" t="n">
        <x:v>0</x:v>
      </x:c>
      <x:c r="Y1049" s="16" t="n">
        <x:v>0</x:v>
      </x:c>
      <x:c r="Z1049" s="16" t="n">
        <x:v>0</x:v>
      </x:c>
      <x:c r="AA1049" s="16" t="n">
        <x:v>3</x:v>
      </x:c>
      <x:c r="AB1049" s="16" t="n">
        <x:v>11</x:v>
      </x:c>
      <x:c r="AC1049" s="16" t="n">
        <x:v>0</x:v>
      </x:c>
      <x:c r="AD1049" s="21" t="n">
        <x:f>IF(E1049="",MEDIAN($E$2:$E$2237),E1049)</x:f>
        <x:v>70924</x:v>
      </x:c>
      <x:c r="AE1049" s="17" t="n">
        <x:f>2014-B1049</x:f>
        <x:v>49</x:v>
      </x:c>
      <x:c r="AF1049" s="17" t="n">
        <x:f>F1049+G1049</x:f>
        <x:v>0</x:v>
      </x:c>
      <x:c r="AG1049" s="21" t="n">
        <x:f>SUM(J1049:O1049)</x:f>
        <x:v>1363</x:v>
      </x:c>
      <x:c r="AH1049" s="17" t="n">
        <x:f>SUM(Q1049:S1049)</x:f>
        <x:v>19</x:v>
      </x:c>
      <x:c r="AI1049" s="17" t="n">
        <x:f>SUM(U1049:Y1049)</x:f>
        <x:v>1</x:v>
      </x:c>
      <x:c r="AJ1049" s="17" t="str">
        <x:f>IF(AE1049&lt;=34,"≤34",IF(AE1049&lt;=44,"35–44",IF(AE1049&lt;=54,"45–54",IF(AE1049&lt;=64,"55–64","65+"))))</x:f>
        <x:v>45–54</x:v>
      </x:c>
      <x:c r="AK1049" s="17" t="str">
        <x:f>IF(AG1049&gt;=1000,"High Value",IF(AG1049&gt;=300,"Mid Value","Low Value"))</x:f>
        <x:v>High Value</x:v>
      </x:c>
      <x:c r="AL1049" s="17" t="str">
        <x:f>IF(AND(AI1049&gt;=1,I1049&lt;=50),"Priority 1",IF(AND(AG1049&gt;=1000,I1049&lt;=60),"Priority 2",IF(I1049&lt;=30,"Priority 3","Nurture")))</x:f>
        <x:v>Priority 1</x:v>
      </x:c>
    </x:row>
    <x:row r="1050">
      <x:c r="A1050" s="16" t="n">
        <x:v>9725</x:v>
      </x:c>
      <x:c r="B1050" s="16" t="n">
        <x:v>1966</x:v>
      </x:c>
      <x:c r="C1050" s="16" t="str">
        <x:v>PhD</x:v>
      </x:c>
      <x:c r="D1050" s="16" t="str">
        <x:v>Together</x:v>
      </x:c>
      <x:c r="E1050" s="16" t="n">
        <x:v>28764</x:v>
      </x:c>
      <x:c r="F1050" s="16" t="n">
        <x:v>1</x:v>
      </x:c>
      <x:c r="G1050" s="16" t="n">
        <x:v>1</x:v>
      </x:c>
      <x:c r="H1050" s="16" t="str">
        <x:v>05-06-2014</x:v>
      </x:c>
      <x:c r="I1050" s="16" t="n">
        <x:v>16</x:v>
      </x:c>
      <x:c r="J1050" s="16" t="n">
        <x:v>8</x:v>
      </x:c>
      <x:c r="K1050" s="16" t="n">
        <x:v>0</x:v>
      </x:c>
      <x:c r="L1050" s="16" t="n">
        <x:v>3</x:v>
      </x:c>
      <x:c r="M1050" s="16" t="n">
        <x:v>0</x:v>
      </x:c>
      <x:c r="N1050" s="16" t="n">
        <x:v>0</x:v>
      </x:c>
      <x:c r="O1050" s="16" t="n">
        <x:v>1</x:v>
      </x:c>
      <x:c r="P1050" s="16" t="n">
        <x:v>1</x:v>
      </x:c>
      <x:c r="Q1050" s="16" t="n">
        <x:v>1</x:v>
      </x:c>
      <x:c r="R1050" s="16" t="n">
        <x:v>0</x:v>
      </x:c>
      <x:c r="S1050" s="16" t="n">
        <x:v>2</x:v>
      </x:c>
      <x:c r="T1050" s="16" t="n">
        <x:v>8</x:v>
      </x:c>
      <x:c r="U1050" s="16" t="n">
        <x:v>1</x:v>
      </x:c>
      <x:c r="V1050" s="16" t="n">
        <x:v>0</x:v>
      </x:c>
      <x:c r="W1050" s="16" t="n">
        <x:v>0</x:v>
      </x:c>
      <x:c r="X1050" s="16" t="n">
        <x:v>0</x:v>
      </x:c>
      <x:c r="Y1050" s="16" t="n">
        <x:v>0</x:v>
      </x:c>
      <x:c r="Z1050" s="16" t="n">
        <x:v>0</x:v>
      </x:c>
      <x:c r="AA1050" s="16" t="n">
        <x:v>3</x:v>
      </x:c>
      <x:c r="AB1050" s="16" t="n">
        <x:v>11</x:v>
      </x:c>
      <x:c r="AC1050" s="16" t="n">
        <x:v>0</x:v>
      </x:c>
      <x:c r="AD1050" s="21" t="n">
        <x:f>IF(E1050="",MEDIAN($E$2:$E$2237),E1050)</x:f>
        <x:v>28764</x:v>
      </x:c>
      <x:c r="AE1050" s="17" t="n">
        <x:f>2014-B1050</x:f>
        <x:v>48</x:v>
      </x:c>
      <x:c r="AF1050" s="17" t="n">
        <x:f>F1050+G1050</x:f>
        <x:v>2</x:v>
      </x:c>
      <x:c r="AG1050" s="21" t="n">
        <x:f>SUM(J1050:O1050)</x:f>
        <x:v>12</x:v>
      </x:c>
      <x:c r="AH1050" s="17" t="n">
        <x:f>SUM(Q1050:S1050)</x:f>
        <x:v>3</x:v>
      </x:c>
      <x:c r="AI1050" s="17" t="n">
        <x:f>SUM(U1050:Y1050)</x:f>
        <x:v>1</x:v>
      </x:c>
      <x:c r="AJ1050" s="17" t="str">
        <x:f>IF(AE1050&lt;=34,"≤34",IF(AE1050&lt;=44,"35–44",IF(AE1050&lt;=54,"45–54",IF(AE1050&lt;=64,"55–64","65+"))))</x:f>
        <x:v>45–54</x:v>
      </x:c>
      <x:c r="AK1050" s="17" t="str">
        <x:f>IF(AG1050&gt;=1000,"High Value",IF(AG1050&gt;=300,"Mid Value","Low Value"))</x:f>
        <x:v>Low Value</x:v>
      </x:c>
      <x:c r="AL1050" s="17" t="str">
        <x:f>IF(AND(AI1050&gt;=1,I1050&lt;=50),"Priority 1",IF(AND(AG1050&gt;=1000,I1050&lt;=60),"Priority 2",IF(I1050&lt;=30,"Priority 3","Nurture")))</x:f>
        <x:v>Priority 1</x:v>
      </x:c>
    </x:row>
    <x:row r="1051">
      <x:c r="A1051" s="16" t="n">
        <x:v>4475</x:v>
      </x:c>
      <x:c r="B1051" s="16" t="n">
        <x:v>1949</x:v>
      </x:c>
      <x:c r="C1051" s="16" t="str">
        <x:v>PhD</x:v>
      </x:c>
      <x:c r="D1051" s="16" t="str">
        <x:v>Married</x:v>
      </x:c>
      <x:c r="E1051" s="16" t="n">
        <x:v>69098</x:v>
      </x:c>
      <x:c r="F1051" s="16" t="n">
        <x:v>0</x:v>
      </x:c>
      <x:c r="G1051" s="16" t="n">
        <x:v>0</x:v>
      </x:c>
      <x:c r="H1051" s="16" t="str">
        <x:v>16-02-2013</x:v>
      </x:c>
      <x:c r="I1051" s="16" t="n">
        <x:v>82</x:v>
      </x:c>
      <x:c r="J1051" s="16" t="n">
        <x:v>1315</x:v>
      </x:c>
      <x:c r="K1051" s="16" t="n">
        <x:v>22</x:v>
      </x:c>
      <x:c r="L1051" s="16" t="n">
        <x:v>780</x:v>
      </x:c>
      <x:c r="M1051" s="16" t="n">
        <x:v>145</x:v>
      </x:c>
      <x:c r="N1051" s="16" t="n">
        <x:v>0</x:v>
      </x:c>
      <x:c r="O1051" s="16" t="n">
        <x:v>178</x:v>
      </x:c>
      <x:c r="P1051" s="16" t="n">
        <x:v>1</x:v>
      </x:c>
      <x:c r="Q1051" s="16" t="n">
        <x:v>7</x:v>
      </x:c>
      <x:c r="R1051" s="16" t="n">
        <x:v>8</x:v>
      </x:c>
      <x:c r="S1051" s="16" t="n">
        <x:v>9</x:v>
      </x:c>
      <x:c r="T1051" s="16" t="n">
        <x:v>5</x:v>
      </x:c>
      <x:c r="U1051" s="16" t="n">
        <x:v>0</x:v>
      </x:c>
      <x:c r="V1051" s="16" t="n">
        <x:v>0</x:v>
      </x:c>
      <x:c r="W1051" s="16" t="n">
        <x:v>0</x:v>
      </x:c>
      <x:c r="X1051" s="16" t="n">
        <x:v>0</x:v>
      </x:c>
      <x:c r="Y1051" s="16" t="n">
        <x:v>0</x:v>
      </x:c>
      <x:c r="Z1051" s="16" t="n">
        <x:v>0</x:v>
      </x:c>
      <x:c r="AA1051" s="16" t="n">
        <x:v>3</x:v>
      </x:c>
      <x:c r="AB1051" s="16" t="n">
        <x:v>11</x:v>
      </x:c>
      <x:c r="AC1051" s="16" t="n">
        <x:v>0</x:v>
      </x:c>
      <x:c r="AD1051" s="21" t="n">
        <x:f>IF(E1051="",MEDIAN($E$2:$E$2237),E1051)</x:f>
        <x:v>69098</x:v>
      </x:c>
      <x:c r="AE1051" s="17" t="n">
        <x:f>2014-B1051</x:f>
        <x:v>65</x:v>
      </x:c>
      <x:c r="AF1051" s="17" t="n">
        <x:f>F1051+G1051</x:f>
        <x:v>0</x:v>
      </x:c>
      <x:c r="AG1051" s="21" t="n">
        <x:f>SUM(J1051:O1051)</x:f>
        <x:v>2440</x:v>
      </x:c>
      <x:c r="AH1051" s="17" t="n">
        <x:f>SUM(Q1051:S1051)</x:f>
        <x:v>24</x:v>
      </x:c>
      <x:c r="AI1051" s="17" t="n">
        <x:f>SUM(U1051:Y1051)</x:f>
        <x:v>0</x:v>
      </x:c>
      <x:c r="AJ1051" s="17" t="str">
        <x:f>IF(AE1051&lt;=34,"≤34",IF(AE1051&lt;=44,"35–44",IF(AE1051&lt;=54,"45–54",IF(AE1051&lt;=64,"55–64","65+"))))</x:f>
        <x:v>65+</x:v>
      </x:c>
      <x:c r="AK1051" s="17" t="str">
        <x:f>IF(AG1051&gt;=1000,"High Value",IF(AG1051&gt;=300,"Mid Value","Low Value"))</x:f>
        <x:v>High Value</x:v>
      </x:c>
      <x:c r="AL1051" s="17" t="str">
        <x:f>IF(AND(AI1051&gt;=1,I1051&lt;=50),"Priority 1",IF(AND(AG1051&gt;=1000,I1051&lt;=60),"Priority 2",IF(I1051&lt;=30,"Priority 3","Nurture")))</x:f>
        <x:v>Nurture</x:v>
      </x:c>
    </x:row>
    <x:row r="1052">
      <x:c r="A1052" s="16" t="n">
        <x:v>5740</x:v>
      </x:c>
      <x:c r="B1052" s="16" t="n">
        <x:v>1970</x:v>
      </x:c>
      <x:c r="C1052" s="16" t="str">
        <x:v>2n Cycle</x:v>
      </x:c>
      <x:c r="D1052" s="16" t="str">
        <x:v>Divorced</x:v>
      </x:c>
      <x:c r="E1052" s="16" t="n">
        <x:v>25959</x:v>
      </x:c>
      <x:c r="F1052" s="16" t="n">
        <x:v>1</x:v>
      </x:c>
      <x:c r="G1052" s="16" t="n">
        <x:v>1</x:v>
      </x:c>
      <x:c r="H1052" s="16" t="str">
        <x:v>14-02-2013</x:v>
      </x:c>
      <x:c r="I1052" s="16" t="n">
        <x:v>1</x:v>
      </x:c>
      <x:c r="J1052" s="16" t="n">
        <x:v>4</x:v>
      </x:c>
      <x:c r="K1052" s="16" t="n">
        <x:v>2</x:v>
      </x:c>
      <x:c r="L1052" s="16" t="n">
        <x:v>12</x:v>
      </x:c>
      <x:c r="M1052" s="16" t="n">
        <x:v>7</x:v>
      </x:c>
      <x:c r="N1052" s="16" t="n">
        <x:v>5</x:v>
      </x:c>
      <x:c r="O1052" s="16" t="n">
        <x:v>26</x:v>
      </x:c>
      <x:c r="P1052" s="16" t="n">
        <x:v>2</x:v>
      </x:c>
      <x:c r="Q1052" s="16" t="n">
        <x:v>1</x:v>
      </x:c>
      <x:c r="R1052" s="16" t="n">
        <x:v>2</x:v>
      </x:c>
      <x:c r="S1052" s="16" t="n">
        <x:v>2</x:v>
      </x:c>
      <x:c r="T1052" s="16" t="n">
        <x:v>6</x:v>
      </x:c>
      <x:c r="U1052" s="16" t="n">
        <x:v>0</x:v>
      </x:c>
      <x:c r="V1052" s="16" t="n">
        <x:v>0</x:v>
      </x:c>
      <x:c r="W1052" s="16" t="n">
        <x:v>0</x:v>
      </x:c>
      <x:c r="X1052" s="16" t="n">
        <x:v>0</x:v>
      </x:c>
      <x:c r="Y1052" s="16" t="n">
        <x:v>0</x:v>
      </x:c>
      <x:c r="Z1052" s="16" t="n">
        <x:v>0</x:v>
      </x:c>
      <x:c r="AA1052" s="16" t="n">
        <x:v>3</x:v>
      </x:c>
      <x:c r="AB1052" s="16" t="n">
        <x:v>11</x:v>
      </x:c>
      <x:c r="AC1052" s="16" t="n">
        <x:v>1</x:v>
      </x:c>
      <x:c r="AD1052" s="21" t="n">
        <x:f>IF(E1052="",MEDIAN($E$2:$E$2237),E1052)</x:f>
        <x:v>25959</x:v>
      </x:c>
      <x:c r="AE1052" s="17" t="n">
        <x:f>2014-B1052</x:f>
        <x:v>44</x:v>
      </x:c>
      <x:c r="AF1052" s="17" t="n">
        <x:f>F1052+G1052</x:f>
        <x:v>2</x:v>
      </x:c>
      <x:c r="AG1052" s="21" t="n">
        <x:f>SUM(J1052:O1052)</x:f>
        <x:v>56</x:v>
      </x:c>
      <x:c r="AH1052" s="17" t="n">
        <x:f>SUM(Q1052:S1052)</x:f>
        <x:v>5</x:v>
      </x:c>
      <x:c r="AI1052" s="17" t="n">
        <x:f>SUM(U1052:Y1052)</x:f>
        <x:v>0</x:v>
      </x:c>
      <x:c r="AJ1052" s="17" t="str">
        <x:f>IF(AE1052&lt;=34,"≤34",IF(AE1052&lt;=44,"35–44",IF(AE1052&lt;=54,"45–54",IF(AE1052&lt;=64,"55–64","65+"))))</x:f>
        <x:v>35–44</x:v>
      </x:c>
      <x:c r="AK1052" s="17" t="str">
        <x:f>IF(AG1052&gt;=1000,"High Value",IF(AG1052&gt;=300,"Mid Value","Low Value"))</x:f>
        <x:v>Low Value</x:v>
      </x:c>
      <x:c r="AL1052" s="17" t="str">
        <x:f>IF(AND(AI1052&gt;=1,I1052&lt;=50),"Priority 1",IF(AND(AG1052&gt;=1000,I1052&lt;=60),"Priority 2",IF(I1052&lt;=30,"Priority 3","Nurture")))</x:f>
        <x:v>Priority 3</x:v>
      </x:c>
    </x:row>
    <x:row r="1053">
      <x:c r="A1053" s="16" t="n">
        <x:v>5731</x:v>
      </x:c>
      <x:c r="B1053" s="16" t="n">
        <x:v>1983</x:v>
      </x:c>
      <x:c r="C1053" s="16" t="str">
        <x:v>Master</x:v>
      </x:c>
      <x:c r="D1053" s="16" t="str">
        <x:v>Married</x:v>
      </x:c>
      <x:c r="E1053" s="16" t="n">
        <x:v>27100</x:v>
      </x:c>
      <x:c r="F1053" s="16" t="n">
        <x:v>1</x:v>
      </x:c>
      <x:c r="G1053" s="16" t="n">
        <x:v>0</x:v>
      </x:c>
      <x:c r="H1053" s="16" t="str">
        <x:v>05-04-2013</x:v>
      </x:c>
      <x:c r="I1053" s="16" t="n">
        <x:v>64</x:v>
      </x:c>
      <x:c r="J1053" s="16" t="n">
        <x:v>12</x:v>
      </x:c>
      <x:c r="K1053" s="16" t="n">
        <x:v>0</x:v>
      </x:c>
      <x:c r="L1053" s="16" t="n">
        <x:v>13</x:v>
      </x:c>
      <x:c r="M1053" s="16" t="n">
        <x:v>2</x:v>
      </x:c>
      <x:c r="N1053" s="16" t="n">
        <x:v>0</x:v>
      </x:c>
      <x:c r="O1053" s="16" t="n">
        <x:v>10</x:v>
      </x:c>
      <x:c r="P1053" s="16" t="n">
        <x:v>1</x:v>
      </x:c>
      <x:c r="Q1053" s="16" t="n">
        <x:v>1</x:v>
      </x:c>
      <x:c r="R1053" s="16" t="n">
        <x:v>0</x:v>
      </x:c>
      <x:c r="S1053" s="16" t="n">
        <x:v>3</x:v>
      </x:c>
      <x:c r="T1053" s="16" t="n">
        <x:v>7</x:v>
      </x:c>
      <x:c r="U1053" s="16" t="n">
        <x:v>0</x:v>
      </x:c>
      <x:c r="V1053" s="16" t="n">
        <x:v>0</x:v>
      </x:c>
      <x:c r="W1053" s="16" t="n">
        <x:v>0</x:v>
      </x:c>
      <x:c r="X1053" s="16" t="n">
        <x:v>0</x:v>
      </x:c>
      <x:c r="Y1053" s="16" t="n">
        <x:v>0</x:v>
      </x:c>
      <x:c r="Z1053" s="16" t="n">
        <x:v>0</x:v>
      </x:c>
      <x:c r="AA1053" s="16" t="n">
        <x:v>3</x:v>
      </x:c>
      <x:c r="AB1053" s="16" t="n">
        <x:v>11</x:v>
      </x:c>
      <x:c r="AC1053" s="16" t="n">
        <x:v>0</x:v>
      </x:c>
      <x:c r="AD1053" s="21" t="n">
        <x:f>IF(E1053="",MEDIAN($E$2:$E$2237),E1053)</x:f>
        <x:v>27100</x:v>
      </x:c>
      <x:c r="AE1053" s="17" t="n">
        <x:f>2014-B1053</x:f>
        <x:v>31</x:v>
      </x:c>
      <x:c r="AF1053" s="17" t="n">
        <x:f>F1053+G1053</x:f>
        <x:v>1</x:v>
      </x:c>
      <x:c r="AG1053" s="21" t="n">
        <x:f>SUM(J1053:O1053)</x:f>
        <x:v>37</x:v>
      </x:c>
      <x:c r="AH1053" s="17" t="n">
        <x:f>SUM(Q1053:S1053)</x:f>
        <x:v>4</x:v>
      </x:c>
      <x:c r="AI1053" s="17" t="n">
        <x:f>SUM(U1053:Y1053)</x:f>
        <x:v>0</x:v>
      </x:c>
      <x:c r="AJ1053" s="17" t="str">
        <x:f>IF(AE1053&lt;=34,"≤34",IF(AE1053&lt;=44,"35–44",IF(AE1053&lt;=54,"45–54",IF(AE1053&lt;=64,"55–64","65+"))))</x:f>
        <x:v>≤34</x:v>
      </x:c>
      <x:c r="AK1053" s="17" t="str">
        <x:f>IF(AG1053&gt;=1000,"High Value",IF(AG1053&gt;=300,"Mid Value","Low Value"))</x:f>
        <x:v>Low Value</x:v>
      </x:c>
      <x:c r="AL1053" s="17" t="str">
        <x:f>IF(AND(AI1053&gt;=1,I1053&lt;=50),"Priority 1",IF(AND(AG1053&gt;=1000,I1053&lt;=60),"Priority 2",IF(I1053&lt;=30,"Priority 3","Nurture")))</x:f>
        <x:v>Nurture</x:v>
      </x:c>
    </x:row>
    <x:row r="1054">
      <x:c r="A1054" s="16" t="n">
        <x:v>7290</x:v>
      </x:c>
      <x:c r="B1054" s="16" t="n">
        <x:v>1985</x:v>
      </x:c>
      <x:c r="C1054" s="16" t="str">
        <x:v>Graduation</x:v>
      </x:c>
      <x:c r="D1054" s="16" t="str">
        <x:v>Single</x:v>
      </x:c>
      <x:c r="E1054" s="16" t="n">
        <x:v>70596</x:v>
      </x:c>
      <x:c r="F1054" s="16" t="n">
        <x:v>0</x:v>
      </x:c>
      <x:c r="G1054" s="16" t="n">
        <x:v>0</x:v>
      </x:c>
      <x:c r="H1054" s="16" t="str">
        <x:v>05-10-2012</x:v>
      </x:c>
      <x:c r="I1054" s="16" t="n">
        <x:v>68</x:v>
      </x:c>
      <x:c r="J1054" s="16" t="n">
        <x:v>347</x:v>
      </x:c>
      <x:c r="K1054" s="16" t="n">
        <x:v>44</x:v>
      </x:c>
      <x:c r="L1054" s="16" t="n">
        <x:v>534</x:v>
      </x:c>
      <x:c r="M1054" s="16" t="n">
        <x:v>17</x:v>
      </x:c>
      <x:c r="N1054" s="16" t="n">
        <x:v>0</x:v>
      </x:c>
      <x:c r="O1054" s="16" t="n">
        <x:v>26</x:v>
      </x:c>
      <x:c r="P1054" s="16" t="n">
        <x:v>1</x:v>
      </x:c>
      <x:c r="Q1054" s="16" t="n">
        <x:v>3</x:v>
      </x:c>
      <x:c r="R1054" s="16" t="n">
        <x:v>5</x:v>
      </x:c>
      <x:c r="S1054" s="16" t="n">
        <x:v>12</x:v>
      </x:c>
      <x:c r="T1054" s="16" t="n">
        <x:v>2</x:v>
      </x:c>
      <x:c r="U1054" s="16" t="n">
        <x:v>0</x:v>
      </x:c>
      <x:c r="V1054" s="16" t="n">
        <x:v>0</x:v>
      </x:c>
      <x:c r="W1054" s="16" t="n">
        <x:v>0</x:v>
      </x:c>
      <x:c r="X1054" s="16" t="n">
        <x:v>0</x:v>
      </x:c>
      <x:c r="Y1054" s="16" t="n">
        <x:v>0</x:v>
      </x:c>
      <x:c r="Z1054" s="16" t="n">
        <x:v>0</x:v>
      </x:c>
      <x:c r="AA1054" s="16" t="n">
        <x:v>3</x:v>
      </x:c>
      <x:c r="AB1054" s="16" t="n">
        <x:v>11</x:v>
      </x:c>
      <x:c r="AC1054" s="16" t="n">
        <x:v>0</x:v>
      </x:c>
      <x:c r="AD1054" s="21" t="n">
        <x:f>IF(E1054="",MEDIAN($E$2:$E$2237),E1054)</x:f>
        <x:v>70596</x:v>
      </x:c>
      <x:c r="AE1054" s="17" t="n">
        <x:f>2014-B1054</x:f>
        <x:v>29</x:v>
      </x:c>
      <x:c r="AF1054" s="17" t="n">
        <x:f>F1054+G1054</x:f>
        <x:v>0</x:v>
      </x:c>
      <x:c r="AG1054" s="21" t="n">
        <x:f>SUM(J1054:O1054)</x:f>
        <x:v>968</x:v>
      </x:c>
      <x:c r="AH1054" s="17" t="n">
        <x:f>SUM(Q1054:S1054)</x:f>
        <x:v>20</x:v>
      </x:c>
      <x:c r="AI1054" s="17" t="n">
        <x:f>SUM(U1054:Y1054)</x:f>
        <x:v>0</x:v>
      </x:c>
      <x:c r="AJ1054" s="17" t="str">
        <x:f>IF(AE1054&lt;=34,"≤34",IF(AE1054&lt;=44,"35–44",IF(AE1054&lt;=54,"45–54",IF(AE1054&lt;=64,"55–64","65+"))))</x:f>
        <x:v>≤34</x:v>
      </x:c>
      <x:c r="AK1054" s="17" t="str">
        <x:f>IF(AG1054&gt;=1000,"High Value",IF(AG1054&gt;=300,"Mid Value","Low Value"))</x:f>
        <x:v>Mid Value</x:v>
      </x:c>
      <x:c r="AL1054" s="17" t="str">
        <x:f>IF(AND(AI1054&gt;=1,I1054&lt;=50),"Priority 1",IF(AND(AG1054&gt;=1000,I1054&lt;=60),"Priority 2",IF(I1054&lt;=30,"Priority 3","Nurture")))</x:f>
        <x:v>Nurture</x:v>
      </x:c>
    </x:row>
    <x:row r="1055">
      <x:c r="A1055" s="16" t="n">
        <x:v>3846</x:v>
      </x:c>
      <x:c r="B1055" s="16" t="n">
        <x:v>1974</x:v>
      </x:c>
      <x:c r="C1055" s="16" t="str">
        <x:v>Graduation</x:v>
      </x:c>
      <x:c r="D1055" s="16" t="str">
        <x:v>Married</x:v>
      </x:c>
      <x:c r="E1055" s="16" t="n">
        <x:v>42557</x:v>
      </x:c>
      <x:c r="F1055" s="16" t="n">
        <x:v>0</x:v>
      </x:c>
      <x:c r="G1055" s="16" t="n">
        <x:v>1</x:v>
      </x:c>
      <x:c r="H1055" s="16" t="str">
        <x:v>29-08-2012</x:v>
      </x:c>
      <x:c r="I1055" s="16" t="n">
        <x:v>98</x:v>
      </x:c>
      <x:c r="J1055" s="16" t="n">
        <x:v>192</x:v>
      </x:c>
      <x:c r="K1055" s="16" t="n">
        <x:v>5</x:v>
      </x:c>
      <x:c r="L1055" s="16" t="n">
        <x:v>53</x:v>
      </x:c>
      <x:c r="M1055" s="16" t="n">
        <x:v>0</x:v>
      </x:c>
      <x:c r="N1055" s="16" t="n">
        <x:v>5</x:v>
      </x:c>
      <x:c r="O1055" s="16" t="n">
        <x:v>15</x:v>
      </x:c>
      <x:c r="P1055" s="16" t="n">
        <x:v>4</x:v>
      </x:c>
      <x:c r="Q1055" s="16" t="n">
        <x:v>6</x:v>
      </x:c>
      <x:c r="R1055" s="16" t="n">
        <x:v>1</x:v>
      </x:c>
      <x:c r="S1055" s="16" t="n">
        <x:v>4</x:v>
      </x:c>
      <x:c r="T1055" s="16" t="n">
        <x:v>8</x:v>
      </x:c>
      <x:c r="U1055" s="16" t="n">
        <x:v>0</x:v>
      </x:c>
      <x:c r="V1055" s="16" t="n">
        <x:v>0</x:v>
      </x:c>
      <x:c r="W1055" s="16" t="n">
        <x:v>0</x:v>
      </x:c>
      <x:c r="X1055" s="16" t="n">
        <x:v>0</x:v>
      </x:c>
      <x:c r="Y1055" s="16" t="n">
        <x:v>0</x:v>
      </x:c>
      <x:c r="Z1055" s="16" t="n">
        <x:v>0</x:v>
      </x:c>
      <x:c r="AA1055" s="16" t="n">
        <x:v>3</x:v>
      </x:c>
      <x:c r="AB1055" s="16" t="n">
        <x:v>11</x:v>
      </x:c>
      <x:c r="AC1055" s="16" t="n">
        <x:v>0</x:v>
      </x:c>
      <x:c r="AD1055" s="21" t="n">
        <x:f>IF(E1055="",MEDIAN($E$2:$E$2237),E1055)</x:f>
        <x:v>42557</x:v>
      </x:c>
      <x:c r="AE1055" s="17" t="n">
        <x:f>2014-B1055</x:f>
        <x:v>40</x:v>
      </x:c>
      <x:c r="AF1055" s="17" t="n">
        <x:f>F1055+G1055</x:f>
        <x:v>1</x:v>
      </x:c>
      <x:c r="AG1055" s="21" t="n">
        <x:f>SUM(J1055:O1055)</x:f>
        <x:v>270</x:v>
      </x:c>
      <x:c r="AH1055" s="17" t="n">
        <x:f>SUM(Q1055:S1055)</x:f>
        <x:v>11</x:v>
      </x:c>
      <x:c r="AI1055" s="17" t="n">
        <x:f>SUM(U1055:Y1055)</x:f>
        <x:v>0</x:v>
      </x:c>
      <x:c r="AJ1055" s="17" t="str">
        <x:f>IF(AE1055&lt;=34,"≤34",IF(AE1055&lt;=44,"35–44",IF(AE1055&lt;=54,"45–54",IF(AE1055&lt;=64,"55–64","65+"))))</x:f>
        <x:v>35–44</x:v>
      </x:c>
      <x:c r="AK1055" s="17" t="str">
        <x:f>IF(AG1055&gt;=1000,"High Value",IF(AG1055&gt;=300,"Mid Value","Low Value"))</x:f>
        <x:v>Low Value</x:v>
      </x:c>
      <x:c r="AL1055" s="17" t="str">
        <x:f>IF(AND(AI1055&gt;=1,I1055&lt;=50),"Priority 1",IF(AND(AG1055&gt;=1000,I1055&lt;=60),"Priority 2",IF(I1055&lt;=30,"Priority 3","Nurture")))</x:f>
        <x:v>Nurture</x:v>
      </x:c>
    </x:row>
    <x:row r="1056">
      <x:c r="A1056" s="16" t="n">
        <x:v>8104</x:v>
      </x:c>
      <x:c r="B1056" s="16" t="n">
        <x:v>1951</x:v>
      </x:c>
      <x:c r="C1056" s="16" t="str">
        <x:v>PhD</x:v>
      </x:c>
      <x:c r="D1056" s="16" t="str">
        <x:v>Married</x:v>
      </x:c>
      <x:c r="E1056" s="16" t="n">
        <x:v>53312</x:v>
      </x:c>
      <x:c r="F1056" s="16" t="n">
        <x:v>0</x:v>
      </x:c>
      <x:c r="G1056" s="16" t="n">
        <x:v>0</x:v>
      </x:c>
      <x:c r="H1056" s="16" t="str">
        <x:v>09-08-2013</x:v>
      </x:c>
      <x:c r="I1056" s="16" t="n">
        <x:v>32</x:v>
      </x:c>
      <x:c r="J1056" s="16" t="n">
        <x:v>241</x:v>
      </x:c>
      <x:c r="K1056" s="16" t="n">
        <x:v>0</x:v>
      </x:c>
      <x:c r="L1056" s="16" t="n">
        <x:v>12</x:v>
      </x:c>
      <x:c r="M1056" s="16" t="n">
        <x:v>0</x:v>
      </x:c>
      <x:c r="N1056" s="16" t="n">
        <x:v>0</x:v>
      </x:c>
      <x:c r="O1056" s="16" t="n">
        <x:v>25</x:v>
      </x:c>
      <x:c r="P1056" s="16" t="n">
        <x:v>1</x:v>
      </x:c>
      <x:c r="Q1056" s="16" t="n">
        <x:v>5</x:v>
      </x:c>
      <x:c r="R1056" s="16" t="n">
        <x:v>1</x:v>
      </x:c>
      <x:c r="S1056" s="16" t="n">
        <x:v>5</x:v>
      </x:c>
      <x:c r="T1056" s="16" t="n">
        <x:v>7</x:v>
      </x:c>
      <x:c r="U1056" s="16" t="n">
        <x:v>0</x:v>
      </x:c>
      <x:c r="V1056" s="16" t="n">
        <x:v>0</x:v>
      </x:c>
      <x:c r="W1056" s="16" t="n">
        <x:v>0</x:v>
      </x:c>
      <x:c r="X1056" s="16" t="n">
        <x:v>0</x:v>
      </x:c>
      <x:c r="Y1056" s="16" t="n">
        <x:v>0</x:v>
      </x:c>
      <x:c r="Z1056" s="16" t="n">
        <x:v>0</x:v>
      </x:c>
      <x:c r="AA1056" s="16" t="n">
        <x:v>3</x:v>
      </x:c>
      <x:c r="AB1056" s="16" t="n">
        <x:v>11</x:v>
      </x:c>
      <x:c r="AC1056" s="16" t="n">
        <x:v>0</x:v>
      </x:c>
      <x:c r="AD1056" s="21" t="n">
        <x:f>IF(E1056="",MEDIAN($E$2:$E$2237),E1056)</x:f>
        <x:v>53312</x:v>
      </x:c>
      <x:c r="AE1056" s="17" t="n">
        <x:f>2014-B1056</x:f>
        <x:v>63</x:v>
      </x:c>
      <x:c r="AF1056" s="17" t="n">
        <x:f>F1056+G1056</x:f>
        <x:v>0</x:v>
      </x:c>
      <x:c r="AG1056" s="21" t="n">
        <x:f>SUM(J1056:O1056)</x:f>
        <x:v>278</x:v>
      </x:c>
      <x:c r="AH1056" s="17" t="n">
        <x:f>SUM(Q1056:S1056)</x:f>
        <x:v>11</x:v>
      </x:c>
      <x:c r="AI1056" s="17" t="n">
        <x:f>SUM(U1056:Y1056)</x:f>
        <x:v>0</x:v>
      </x:c>
      <x:c r="AJ1056" s="17" t="str">
        <x:f>IF(AE1056&lt;=34,"≤34",IF(AE1056&lt;=44,"35–44",IF(AE1056&lt;=54,"45–54",IF(AE1056&lt;=64,"55–64","65+"))))</x:f>
        <x:v>55–64</x:v>
      </x:c>
      <x:c r="AK1056" s="17" t="str">
        <x:f>IF(AG1056&gt;=1000,"High Value",IF(AG1056&gt;=300,"Mid Value","Low Value"))</x:f>
        <x:v>Low Value</x:v>
      </x:c>
      <x:c r="AL1056" s="17" t="str">
        <x:f>IF(AND(AI1056&gt;=1,I1056&lt;=50),"Priority 1",IF(AND(AG1056&gt;=1000,I1056&lt;=60),"Priority 2",IF(I1056&lt;=30,"Priority 3","Nurture")))</x:f>
        <x:v>Nurture</x:v>
      </x:c>
    </x:row>
    <x:row r="1057">
      <x:c r="A1057" s="16" t="n">
        <x:v>4507</x:v>
      </x:c>
      <x:c r="B1057" s="16" t="n">
        <x:v>1952</x:v>
      </x:c>
      <x:c r="C1057" s="16" t="str">
        <x:v>Graduation</x:v>
      </x:c>
      <x:c r="D1057" s="16" t="str">
        <x:v>Single</x:v>
      </x:c>
      <x:c r="E1057" s="16" t="n">
        <x:v>72228</x:v>
      </x:c>
      <x:c r="F1057" s="16" t="n">
        <x:v>0</x:v>
      </x:c>
      <x:c r="G1057" s="16" t="n">
        <x:v>0</x:v>
      </x:c>
      <x:c r="H1057" s="16" t="str">
        <x:v>27-11-2012</x:v>
      </x:c>
      <x:c r="I1057" s="16" t="n">
        <x:v>87</x:v>
      </x:c>
      <x:c r="J1057" s="16" t="n">
        <x:v>631</x:v>
      </x:c>
      <x:c r="K1057" s="16" t="n">
        <x:v>28</x:v>
      </x:c>
      <x:c r="L1057" s="16" t="n">
        <x:v>491</x:v>
      </x:c>
      <x:c r="M1057" s="16" t="n">
        <x:v>30</x:v>
      </x:c>
      <x:c r="N1057" s="16" t="n">
        <x:v>14</x:v>
      </x:c>
      <x:c r="O1057" s="16" t="n">
        <x:v>56</x:v>
      </x:c>
      <x:c r="P1057" s="16" t="n">
        <x:v>1</x:v>
      </x:c>
      <x:c r="Q1057" s="16" t="n">
        <x:v>6</x:v>
      </x:c>
      <x:c r="R1057" s="16" t="n">
        <x:v>7</x:v>
      </x:c>
      <x:c r="S1057" s="16" t="n">
        <x:v>8</x:v>
      </x:c>
      <x:c r="T1057" s="16" t="n">
        <x:v>3</x:v>
      </x:c>
      <x:c r="U1057" s="16" t="n">
        <x:v>0</x:v>
      </x:c>
      <x:c r="V1057" s="16" t="n">
        <x:v>0</x:v>
      </x:c>
      <x:c r="W1057" s="16" t="n">
        <x:v>0</x:v>
      </x:c>
      <x:c r="X1057" s="16" t="n">
        <x:v>0</x:v>
      </x:c>
      <x:c r="Y1057" s="16" t="n">
        <x:v>0</x:v>
      </x:c>
      <x:c r="Z1057" s="16" t="n">
        <x:v>0</x:v>
      </x:c>
      <x:c r="AA1057" s="16" t="n">
        <x:v>3</x:v>
      </x:c>
      <x:c r="AB1057" s="16" t="n">
        <x:v>11</x:v>
      </x:c>
      <x:c r="AC1057" s="16" t="n">
        <x:v>0</x:v>
      </x:c>
      <x:c r="AD1057" s="21" t="n">
        <x:f>IF(E1057="",MEDIAN($E$2:$E$2237),E1057)</x:f>
        <x:v>72228</x:v>
      </x:c>
      <x:c r="AE1057" s="17" t="n">
        <x:f>2014-B1057</x:f>
        <x:v>62</x:v>
      </x:c>
      <x:c r="AF1057" s="17" t="n">
        <x:f>F1057+G1057</x:f>
        <x:v>0</x:v>
      </x:c>
      <x:c r="AG1057" s="21" t="n">
        <x:f>SUM(J1057:O1057)</x:f>
        <x:v>1250</x:v>
      </x:c>
      <x:c r="AH1057" s="17" t="n">
        <x:f>SUM(Q1057:S1057)</x:f>
        <x:v>21</x:v>
      </x:c>
      <x:c r="AI1057" s="17" t="n">
        <x:f>SUM(U1057:Y1057)</x:f>
        <x:v>0</x:v>
      </x:c>
      <x:c r="AJ1057" s="17" t="str">
        <x:f>IF(AE1057&lt;=34,"≤34",IF(AE1057&lt;=44,"35–44",IF(AE1057&lt;=54,"45–54",IF(AE1057&lt;=64,"55–64","65+"))))</x:f>
        <x:v>55–64</x:v>
      </x:c>
      <x:c r="AK1057" s="17" t="str">
        <x:f>IF(AG1057&gt;=1000,"High Value",IF(AG1057&gt;=300,"Mid Value","Low Value"))</x:f>
        <x:v>High Value</x:v>
      </x:c>
      <x:c r="AL1057" s="17" t="str">
        <x:f>IF(AND(AI1057&gt;=1,I1057&lt;=50),"Priority 1",IF(AND(AG1057&gt;=1000,I1057&lt;=60),"Priority 2",IF(I1057&lt;=30,"Priority 3","Nurture")))</x:f>
        <x:v>Nurture</x:v>
      </x:c>
    </x:row>
    <x:row r="1058">
      <x:c r="A1058" s="16" t="n">
        <x:v>11013</x:v>
      </x:c>
      <x:c r="B1058" s="16" t="n">
        <x:v>1987</x:v>
      </x:c>
      <x:c r="C1058" s="16" t="str">
        <x:v>Graduation</x:v>
      </x:c>
      <x:c r="D1058" s="16" t="str">
        <x:v>Together</x:v>
      </x:c>
      <x:c r="E1058" s="16" t="n">
        <x:v>67605</x:v>
      </x:c>
      <x:c r="F1058" s="16" t="n">
        <x:v>0</x:v>
      </x:c>
      <x:c r="G1058" s="16" t="n">
        <x:v>0</x:v>
      </x:c>
      <x:c r="H1058" s="16" t="str">
        <x:v>31-03-2013</x:v>
      </x:c>
      <x:c r="I1058" s="16" t="n">
        <x:v>84</x:v>
      </x:c>
      <x:c r="J1058" s="16" t="n">
        <x:v>336</x:v>
      </x:c>
      <x:c r="K1058" s="16" t="n">
        <x:v>28</x:v>
      </x:c>
      <x:c r="L1058" s="16" t="n">
        <x:v>282</x:v>
      </x:c>
      <x:c r="M1058" s="16" t="n">
        <x:v>184</x:v>
      </x:c>
      <x:c r="N1058" s="16" t="n">
        <x:v>54</x:v>
      </x:c>
      <x:c r="O1058" s="16" t="n">
        <x:v>54</x:v>
      </x:c>
      <x:c r="P1058" s="16" t="n">
        <x:v>1</x:v>
      </x:c>
      <x:c r="Q1058" s="16" t="n">
        <x:v>2</x:v>
      </x:c>
      <x:c r="R1058" s="16" t="n">
        <x:v>8</x:v>
      </x:c>
      <x:c r="S1058" s="16" t="n">
        <x:v>6</x:v>
      </x:c>
      <x:c r="T1058" s="16" t="n">
        <x:v>1</x:v>
      </x:c>
      <x:c r="U1058" s="16" t="n">
        <x:v>0</x:v>
      </x:c>
      <x:c r="V1058" s="16" t="n">
        <x:v>0</x:v>
      </x:c>
      <x:c r="W1058" s="16" t="n">
        <x:v>0</x:v>
      </x:c>
      <x:c r="X1058" s="16" t="n">
        <x:v>0</x:v>
      </x:c>
      <x:c r="Y1058" s="16" t="n">
        <x:v>0</x:v>
      </x:c>
      <x:c r="Z1058" s="16" t="n">
        <x:v>0</x:v>
      </x:c>
      <x:c r="AA1058" s="16" t="n">
        <x:v>3</x:v>
      </x:c>
      <x:c r="AB1058" s="16" t="n">
        <x:v>11</x:v>
      </x:c>
      <x:c r="AC1058" s="16" t="n">
        <x:v>0</x:v>
      </x:c>
      <x:c r="AD1058" s="21" t="n">
        <x:f>IF(E1058="",MEDIAN($E$2:$E$2237),E1058)</x:f>
        <x:v>67605</x:v>
      </x:c>
      <x:c r="AE1058" s="17" t="n">
        <x:f>2014-B1058</x:f>
        <x:v>27</x:v>
      </x:c>
      <x:c r="AF1058" s="17" t="n">
        <x:f>F1058+G1058</x:f>
        <x:v>0</x:v>
      </x:c>
      <x:c r="AG1058" s="21" t="n">
        <x:f>SUM(J1058:O1058)</x:f>
        <x:v>938</x:v>
      </x:c>
      <x:c r="AH1058" s="17" t="n">
        <x:f>SUM(Q1058:S1058)</x:f>
        <x:v>16</x:v>
      </x:c>
      <x:c r="AI1058" s="17" t="n">
        <x:f>SUM(U1058:Y1058)</x:f>
        <x:v>0</x:v>
      </x:c>
      <x:c r="AJ1058" s="17" t="str">
        <x:f>IF(AE1058&lt;=34,"≤34",IF(AE1058&lt;=44,"35–44",IF(AE1058&lt;=54,"45–54",IF(AE1058&lt;=64,"55–64","65+"))))</x:f>
        <x:v>≤34</x:v>
      </x:c>
      <x:c r="AK1058" s="17" t="str">
        <x:f>IF(AG1058&gt;=1000,"High Value",IF(AG1058&gt;=300,"Mid Value","Low Value"))</x:f>
        <x:v>Mid Value</x:v>
      </x:c>
      <x:c r="AL1058" s="17" t="str">
        <x:f>IF(AND(AI1058&gt;=1,I1058&lt;=50),"Priority 1",IF(AND(AG1058&gt;=1000,I1058&lt;=60),"Priority 2",IF(I1058&lt;=30,"Priority 3","Nurture")))</x:f>
        <x:v>Nurture</x:v>
      </x:c>
    </x:row>
    <x:row r="1059">
      <x:c r="A1059" s="16" t="n">
        <x:v>4491</x:v>
      </x:c>
      <x:c r="B1059" s="16" t="n">
        <x:v>1949</x:v>
      </x:c>
      <x:c r="C1059" s="16" t="str">
        <x:v>Master</x:v>
      </x:c>
      <x:c r="D1059" s="16" t="str">
        <x:v>Married</x:v>
      </x:c>
      <x:c r="E1059" s="16" t="n">
        <x:v>62845</x:v>
      </x:c>
      <x:c r="F1059" s="16" t="n">
        <x:v>1</x:v>
      </x:c>
      <x:c r="G1059" s="16" t="n">
        <x:v>1</x:v>
      </x:c>
      <x:c r="H1059" s="16" t="str">
        <x:v>01-10-2012</x:v>
      </x:c>
      <x:c r="I1059" s="16" t="n">
        <x:v>3</x:v>
      </x:c>
      <x:c r="J1059" s="16" t="n">
        <x:v>1099</x:v>
      </x:c>
      <x:c r="K1059" s="16" t="n">
        <x:v>0</x:v>
      </x:c>
      <x:c r="L1059" s="16" t="n">
        <x:v>45</x:v>
      </x:c>
      <x:c r="M1059" s="16" t="n">
        <x:v>0</x:v>
      </x:c>
      <x:c r="N1059" s="16" t="n">
        <x:v>0</x:v>
      </x:c>
      <x:c r="O1059" s="16" t="n">
        <x:v>34</x:v>
      </x:c>
      <x:c r="P1059" s="16" t="n">
        <x:v>11</x:v>
      </x:c>
      <x:c r="Q1059" s="16" t="n">
        <x:v>3</x:v>
      </x:c>
      <x:c r="R1059" s="16" t="n">
        <x:v>4</x:v>
      </x:c>
      <x:c r="S1059" s="16" t="n">
        <x:v>10</x:v>
      </x:c>
      <x:c r="T1059" s="16" t="n">
        <x:v>8</x:v>
      </x:c>
      <x:c r="U1059" s="16" t="n">
        <x:v>0</x:v>
      </x:c>
      <x:c r="V1059" s="16" t="n">
        <x:v>1</x:v>
      </x:c>
      <x:c r="W1059" s="16" t="n">
        <x:v>0</x:v>
      </x:c>
      <x:c r="X1059" s="16" t="n">
        <x:v>0</x:v>
      </x:c>
      <x:c r="Y1059" s="16" t="n">
        <x:v>0</x:v>
      </x:c>
      <x:c r="Z1059" s="16" t="n">
        <x:v>0</x:v>
      </x:c>
      <x:c r="AA1059" s="16" t="n">
        <x:v>3</x:v>
      </x:c>
      <x:c r="AB1059" s="16" t="n">
        <x:v>11</x:v>
      </x:c>
      <x:c r="AC1059" s="16" t="n">
        <x:v>0</x:v>
      </x:c>
      <x:c r="AD1059" s="21" t="n">
        <x:f>IF(E1059="",MEDIAN($E$2:$E$2237),E1059)</x:f>
        <x:v>62845</x:v>
      </x:c>
      <x:c r="AE1059" s="17" t="n">
        <x:f>2014-B1059</x:f>
        <x:v>65</x:v>
      </x:c>
      <x:c r="AF1059" s="17" t="n">
        <x:f>F1059+G1059</x:f>
        <x:v>2</x:v>
      </x:c>
      <x:c r="AG1059" s="21" t="n">
        <x:f>SUM(J1059:O1059)</x:f>
        <x:v>1178</x:v>
      </x:c>
      <x:c r="AH1059" s="17" t="n">
        <x:f>SUM(Q1059:S1059)</x:f>
        <x:v>17</x:v>
      </x:c>
      <x:c r="AI1059" s="17" t="n">
        <x:f>SUM(U1059:Y1059)</x:f>
        <x:v>1</x:v>
      </x:c>
      <x:c r="AJ1059" s="17" t="str">
        <x:f>IF(AE1059&lt;=34,"≤34",IF(AE1059&lt;=44,"35–44",IF(AE1059&lt;=54,"45–54",IF(AE1059&lt;=64,"55–64","65+"))))</x:f>
        <x:v>65+</x:v>
      </x:c>
      <x:c r="AK1059" s="17" t="str">
        <x:f>IF(AG1059&gt;=1000,"High Value",IF(AG1059&gt;=300,"Mid Value","Low Value"))</x:f>
        <x:v>High Value</x:v>
      </x:c>
      <x:c r="AL1059" s="17" t="str">
        <x:f>IF(AND(AI1059&gt;=1,I1059&lt;=50),"Priority 1",IF(AND(AG1059&gt;=1000,I1059&lt;=60),"Priority 2",IF(I1059&lt;=30,"Priority 3","Nurture")))</x:f>
        <x:v>Priority 1</x:v>
      </x:c>
    </x:row>
    <x:row r="1060">
      <x:c r="A1060" s="16" t="n">
        <x:v>3759</x:v>
      </x:c>
      <x:c r="B1060" s="16" t="n">
        <x:v>1958</x:v>
      </x:c>
      <x:c r="C1060" s="16" t="str">
        <x:v>Graduation</x:v>
      </x:c>
      <x:c r="D1060" s="16" t="str">
        <x:v>Together</x:v>
      </x:c>
      <x:c r="E1060" s="16" t="n">
        <x:v>65196</x:v>
      </x:c>
      <x:c r="F1060" s="16" t="n">
        <x:v>0</x:v>
      </x:c>
      <x:c r="G1060" s="16" t="n">
        <x:v>2</x:v>
      </x:c>
      <x:c r="H1060" s="16" t="str">
        <x:v>25-07-2013</x:v>
      </x:c>
      <x:c r="I1060" s="16" t="n">
        <x:v>34</x:v>
      </x:c>
      <x:c r="J1060" s="16" t="n">
        <x:v>743</x:v>
      </x:c>
      <x:c r="K1060" s="16" t="n">
        <x:v>19</x:v>
      </x:c>
      <x:c r="L1060" s="16" t="n">
        <x:v>181</x:v>
      </x:c>
      <x:c r="M1060" s="16" t="n">
        <x:v>12</x:v>
      </x:c>
      <x:c r="N1060" s="16" t="n">
        <x:v>0</x:v>
      </x:c>
      <x:c r="O1060" s="16" t="n">
        <x:v>200</x:v>
      </x:c>
      <x:c r="P1060" s="16" t="n">
        <x:v>2</x:v>
      </x:c>
      <x:c r="Q1060" s="16" t="n">
        <x:v>7</x:v>
      </x:c>
      <x:c r="R1060" s="16" t="n">
        <x:v>6</x:v>
      </x:c>
      <x:c r="S1060" s="16" t="n">
        <x:v>11</x:v>
      </x:c>
      <x:c r="T1060" s="16" t="n">
        <x:v>5</x:v>
      </x:c>
      <x:c r="U1060" s="16" t="n">
        <x:v>1</x:v>
      </x:c>
      <x:c r="V1060" s="16" t="n">
        <x:v>0</x:v>
      </x:c>
      <x:c r="W1060" s="16" t="n">
        <x:v>0</x:v>
      </x:c>
      <x:c r="X1060" s="16" t="n">
        <x:v>0</x:v>
      </x:c>
      <x:c r="Y1060" s="16" t="n">
        <x:v>0</x:v>
      </x:c>
      <x:c r="Z1060" s="16" t="n">
        <x:v>0</x:v>
      </x:c>
      <x:c r="AA1060" s="16" t="n">
        <x:v>3</x:v>
      </x:c>
      <x:c r="AB1060" s="16" t="n">
        <x:v>11</x:v>
      </x:c>
      <x:c r="AC1060" s="16" t="n">
        <x:v>0</x:v>
      </x:c>
      <x:c r="AD1060" s="21" t="n">
        <x:f>IF(E1060="",MEDIAN($E$2:$E$2237),E1060)</x:f>
        <x:v>65196</x:v>
      </x:c>
      <x:c r="AE1060" s="17" t="n">
        <x:f>2014-B1060</x:f>
        <x:v>56</x:v>
      </x:c>
      <x:c r="AF1060" s="17" t="n">
        <x:f>F1060+G1060</x:f>
        <x:v>2</x:v>
      </x:c>
      <x:c r="AG1060" s="21" t="n">
        <x:f>SUM(J1060:O1060)</x:f>
        <x:v>1155</x:v>
      </x:c>
      <x:c r="AH1060" s="17" t="n">
        <x:f>SUM(Q1060:S1060)</x:f>
        <x:v>24</x:v>
      </x:c>
      <x:c r="AI1060" s="17" t="n">
        <x:f>SUM(U1060:Y1060)</x:f>
        <x:v>1</x:v>
      </x:c>
      <x:c r="AJ1060" s="17" t="str">
        <x:f>IF(AE1060&lt;=34,"≤34",IF(AE1060&lt;=44,"35–44",IF(AE1060&lt;=54,"45–54",IF(AE1060&lt;=64,"55–64","65+"))))</x:f>
        <x:v>55–64</x:v>
      </x:c>
      <x:c r="AK1060" s="17" t="str">
        <x:f>IF(AG1060&gt;=1000,"High Value",IF(AG1060&gt;=300,"Mid Value","Low Value"))</x:f>
        <x:v>High Value</x:v>
      </x:c>
      <x:c r="AL1060" s="17" t="str">
        <x:f>IF(AND(AI1060&gt;=1,I1060&lt;=50),"Priority 1",IF(AND(AG1060&gt;=1000,I1060&lt;=60),"Priority 2",IF(I1060&lt;=30,"Priority 3","Nurture")))</x:f>
        <x:v>Priority 1</x:v>
      </x:c>
    </x:row>
    <x:row r="1061">
      <x:c r="A1061" s="16" t="n">
        <x:v>1162</x:v>
      </x:c>
      <x:c r="B1061" s="16" t="n">
        <x:v>1987</x:v>
      </x:c>
      <x:c r="C1061" s="16" t="str">
        <x:v>PhD</x:v>
      </x:c>
      <x:c r="D1061" s="16" t="str">
        <x:v>Single</x:v>
      </x:c>
      <x:c r="E1061" s="16" t="n">
        <x:v>42000</x:v>
      </x:c>
      <x:c r="F1061" s="16" t="n">
        <x:v>0</x:v>
      </x:c>
      <x:c r="G1061" s="16" t="n">
        <x:v>0</x:v>
      </x:c>
      <x:c r="H1061" s="16" t="str">
        <x:v>10-01-2013</x:v>
      </x:c>
      <x:c r="I1061" s="16" t="n">
        <x:v>23</x:v>
      </x:c>
      <x:c r="J1061" s="16" t="n">
        <x:v>124</x:v>
      </x:c>
      <x:c r="K1061" s="16" t="n">
        <x:v>83</x:v>
      </x:c>
      <x:c r="L1061" s="16" t="n">
        <x:v>267</x:v>
      </x:c>
      <x:c r="M1061" s="16" t="n">
        <x:v>85</x:v>
      </x:c>
      <x:c r="N1061" s="16" t="n">
        <x:v>59</x:v>
      </x:c>
      <x:c r="O1061" s="16" t="n">
        <x:v>35</x:v>
      </x:c>
      <x:c r="P1061" s="16" t="n">
        <x:v>2</x:v>
      </x:c>
      <x:c r="Q1061" s="16" t="n">
        <x:v>5</x:v>
      </x:c>
      <x:c r="R1061" s="16" t="n">
        <x:v>2</x:v>
      </x:c>
      <x:c r="S1061" s="16" t="n">
        <x:v>11</x:v>
      </x:c>
      <x:c r="T1061" s="16" t="n">
        <x:v>5</x:v>
      </x:c>
      <x:c r="U1061" s="16" t="n">
        <x:v>0</x:v>
      </x:c>
      <x:c r="V1061" s="16" t="n">
        <x:v>0</x:v>
      </x:c>
      <x:c r="W1061" s="16" t="n">
        <x:v>0</x:v>
      </x:c>
      <x:c r="X1061" s="16" t="n">
        <x:v>0</x:v>
      </x:c>
      <x:c r="Y1061" s="16" t="n">
        <x:v>0</x:v>
      </x:c>
      <x:c r="Z1061" s="16" t="n">
        <x:v>0</x:v>
      </x:c>
      <x:c r="AA1061" s="16" t="n">
        <x:v>3</x:v>
      </x:c>
      <x:c r="AB1061" s="16" t="n">
        <x:v>11</x:v>
      </x:c>
      <x:c r="AC1061" s="16" t="n">
        <x:v>1</x:v>
      </x:c>
      <x:c r="AD1061" s="21" t="n">
        <x:f>IF(E1061="",MEDIAN($E$2:$E$2237),E1061)</x:f>
        <x:v>42000</x:v>
      </x:c>
      <x:c r="AE1061" s="17" t="n">
        <x:f>2014-B1061</x:f>
        <x:v>27</x:v>
      </x:c>
      <x:c r="AF1061" s="17" t="n">
        <x:f>F1061+G1061</x:f>
        <x:v>0</x:v>
      </x:c>
      <x:c r="AG1061" s="21" t="n">
        <x:f>SUM(J1061:O1061)</x:f>
        <x:v>653</x:v>
      </x:c>
      <x:c r="AH1061" s="17" t="n">
        <x:f>SUM(Q1061:S1061)</x:f>
        <x:v>18</x:v>
      </x:c>
      <x:c r="AI1061" s="17" t="n">
        <x:f>SUM(U1061:Y1061)</x:f>
        <x:v>0</x:v>
      </x:c>
      <x:c r="AJ1061" s="17" t="str">
        <x:f>IF(AE1061&lt;=34,"≤34",IF(AE1061&lt;=44,"35–44",IF(AE1061&lt;=54,"45–54",IF(AE1061&lt;=64,"55–64","65+"))))</x:f>
        <x:v>≤34</x:v>
      </x:c>
      <x:c r="AK1061" s="17" t="str">
        <x:f>IF(AG1061&gt;=1000,"High Value",IF(AG1061&gt;=300,"Mid Value","Low Value"))</x:f>
        <x:v>Mid Value</x:v>
      </x:c>
      <x:c r="AL1061" s="17" t="str">
        <x:f>IF(AND(AI1061&gt;=1,I1061&lt;=50),"Priority 1",IF(AND(AG1061&gt;=1000,I1061&lt;=60),"Priority 2",IF(I1061&lt;=30,"Priority 3","Nurture")))</x:f>
        <x:v>Priority 3</x:v>
      </x:c>
    </x:row>
    <x:row r="1062">
      <x:c r="A1062" s="16" t="n">
        <x:v>2055</x:v>
      </x:c>
      <x:c r="B1062" s="16" t="n">
        <x:v>1973</x:v>
      </x:c>
      <x:c r="C1062" s="16" t="str">
        <x:v>PhD</x:v>
      </x:c>
      <x:c r="D1062" s="16" t="str">
        <x:v>Divorced</x:v>
      </x:c>
      <x:c r="E1062" s="16" t="n">
        <x:v>35860</x:v>
      </x:c>
      <x:c r="F1062" s="16" t="n">
        <x:v>1</x:v>
      </x:c>
      <x:c r="G1062" s="16" t="n">
        <x:v>1</x:v>
      </x:c>
      <x:c r="H1062" s="16" t="str">
        <x:v>19-05-2014</x:v>
      </x:c>
      <x:c r="I1062" s="16" t="n">
        <x:v>37</x:v>
      </x:c>
      <x:c r="J1062" s="16" t="n">
        <x:v>15</x:v>
      </x:c>
      <x:c r="K1062" s="16" t="n">
        <x:v>0</x:v>
      </x:c>
      <x:c r="L1062" s="16" t="n">
        <x:v>8</x:v>
      </x:c>
      <x:c r="M1062" s="16" t="n">
        <x:v>4</x:v>
      </x:c>
      <x:c r="N1062" s="16" t="n">
        <x:v>2</x:v>
      </x:c>
      <x:c r="O1062" s="16" t="n">
        <x:v>20</x:v>
      </x:c>
      <x:c r="P1062" s="16" t="n">
        <x:v>2</x:v>
      </x:c>
      <x:c r="Q1062" s="16" t="n">
        <x:v>1</x:v>
      </x:c>
      <x:c r="R1062" s="16" t="n">
        <x:v>1</x:v>
      </x:c>
      <x:c r="S1062" s="16" t="n">
        <x:v>2</x:v>
      </x:c>
      <x:c r="T1062" s="16" t="n">
        <x:v>5</x:v>
      </x:c>
      <x:c r="U1062" s="16" t="n">
        <x:v>1</x:v>
      </x:c>
      <x:c r="V1062" s="16" t="n">
        <x:v>0</x:v>
      </x:c>
      <x:c r="W1062" s="16" t="n">
        <x:v>0</x:v>
      </x:c>
      <x:c r="X1062" s="16" t="n">
        <x:v>0</x:v>
      </x:c>
      <x:c r="Y1062" s="16" t="n">
        <x:v>0</x:v>
      </x:c>
      <x:c r="Z1062" s="16" t="n">
        <x:v>0</x:v>
      </x:c>
      <x:c r="AA1062" s="16" t="n">
        <x:v>3</x:v>
      </x:c>
      <x:c r="AB1062" s="16" t="n">
        <x:v>11</x:v>
      </x:c>
      <x:c r="AC1062" s="16" t="n">
        <x:v>0</x:v>
      </x:c>
      <x:c r="AD1062" s="21" t="n">
        <x:f>IF(E1062="",MEDIAN($E$2:$E$2237),E1062)</x:f>
        <x:v>35860</x:v>
      </x:c>
      <x:c r="AE1062" s="17" t="n">
        <x:f>2014-B1062</x:f>
        <x:v>41</x:v>
      </x:c>
      <x:c r="AF1062" s="17" t="n">
        <x:f>F1062+G1062</x:f>
        <x:v>2</x:v>
      </x:c>
      <x:c r="AG1062" s="21" t="n">
        <x:f>SUM(J1062:O1062)</x:f>
        <x:v>49</x:v>
      </x:c>
      <x:c r="AH1062" s="17" t="n">
        <x:f>SUM(Q1062:S1062)</x:f>
        <x:v>4</x:v>
      </x:c>
      <x:c r="AI1062" s="17" t="n">
        <x:f>SUM(U1062:Y1062)</x:f>
        <x:v>1</x:v>
      </x:c>
      <x:c r="AJ1062" s="17" t="str">
        <x:f>IF(AE1062&lt;=34,"≤34",IF(AE1062&lt;=44,"35–44",IF(AE1062&lt;=54,"45–54",IF(AE1062&lt;=64,"55–64","65+"))))</x:f>
        <x:v>35–44</x:v>
      </x:c>
      <x:c r="AK1062" s="17" t="str">
        <x:f>IF(AG1062&gt;=1000,"High Value",IF(AG1062&gt;=300,"Mid Value","Low Value"))</x:f>
        <x:v>Low Value</x:v>
      </x:c>
      <x:c r="AL1062" s="17" t="str">
        <x:f>IF(AND(AI1062&gt;=1,I1062&lt;=50),"Priority 1",IF(AND(AG1062&gt;=1000,I1062&lt;=60),"Priority 2",IF(I1062&lt;=30,"Priority 3","Nurture")))</x:f>
        <x:v>Priority 1</x:v>
      </x:c>
    </x:row>
    <x:row r="1063">
      <x:c r="A1063" s="16" t="n">
        <x:v>10766</x:v>
      </x:c>
      <x:c r="B1063" s="16" t="n">
        <x:v>1964</x:v>
      </x:c>
      <x:c r="C1063" s="16" t="str">
        <x:v>PhD</x:v>
      </x:c>
      <x:c r="D1063" s="16" t="str">
        <x:v>Married</x:v>
      </x:c>
      <x:c r="E1063" s="16" t="n">
        <x:v>65526</x:v>
      </x:c>
      <x:c r="F1063" s="16" t="n">
        <x:v>0</x:v>
      </x:c>
      <x:c r="G1063" s="16" t="n">
        <x:v>1</x:v>
      </x:c>
      <x:c r="H1063" s="16" t="str">
        <x:v>11-04-2014</x:v>
      </x:c>
      <x:c r="I1063" s="16" t="n">
        <x:v>22</x:v>
      </x:c>
      <x:c r="J1063" s="16" t="n">
        <x:v>397</x:v>
      </x:c>
      <x:c r="K1063" s="16" t="n">
        <x:v>19</x:v>
      </x:c>
      <x:c r="L1063" s="16" t="n">
        <x:v>69</x:v>
      </x:c>
      <x:c r="M1063" s="16" t="n">
        <x:v>12</x:v>
      </x:c>
      <x:c r="N1063" s="16" t="n">
        <x:v>0</x:v>
      </x:c>
      <x:c r="O1063" s="16" t="n">
        <x:v>9</x:v>
      </x:c>
      <x:c r="P1063" s="16" t="n">
        <x:v>1</x:v>
      </x:c>
      <x:c r="Q1063" s="16" t="n">
        <x:v>4</x:v>
      </x:c>
      <x:c r="R1063" s="16" t="n">
        <x:v>4</x:v>
      </x:c>
      <x:c r="S1063" s="16" t="n">
        <x:v>8</x:v>
      </x:c>
      <x:c r="T1063" s="16" t="n">
        <x:v>2</x:v>
      </x:c>
      <x:c r="U1063" s="16" t="n">
        <x:v>0</x:v>
      </x:c>
      <x:c r="V1063" s="16" t="n">
        <x:v>0</x:v>
      </x:c>
      <x:c r="W1063" s="16" t="n">
        <x:v>0</x:v>
      </x:c>
      <x:c r="X1063" s="16" t="n">
        <x:v>0</x:v>
      </x:c>
      <x:c r="Y1063" s="16" t="n">
        <x:v>0</x:v>
      </x:c>
      <x:c r="Z1063" s="16" t="n">
        <x:v>0</x:v>
      </x:c>
      <x:c r="AA1063" s="16" t="n">
        <x:v>3</x:v>
      </x:c>
      <x:c r="AB1063" s="16" t="n">
        <x:v>11</x:v>
      </x:c>
      <x:c r="AC1063" s="16" t="n">
        <x:v>0</x:v>
      </x:c>
      <x:c r="AD1063" s="21" t="n">
        <x:f>IF(E1063="",MEDIAN($E$2:$E$2237),E1063)</x:f>
        <x:v>65526</x:v>
      </x:c>
      <x:c r="AE1063" s="17" t="n">
        <x:f>2014-B1063</x:f>
        <x:v>50</x:v>
      </x:c>
      <x:c r="AF1063" s="17" t="n">
        <x:f>F1063+G1063</x:f>
        <x:v>1</x:v>
      </x:c>
      <x:c r="AG1063" s="21" t="n">
        <x:f>SUM(J1063:O1063)</x:f>
        <x:v>506</x:v>
      </x:c>
      <x:c r="AH1063" s="17" t="n">
        <x:f>SUM(Q1063:S1063)</x:f>
        <x:v>16</x:v>
      </x:c>
      <x:c r="AI1063" s="17" t="n">
        <x:f>SUM(U1063:Y1063)</x:f>
        <x:v>0</x:v>
      </x:c>
      <x:c r="AJ1063" s="17" t="str">
        <x:f>IF(AE1063&lt;=34,"≤34",IF(AE1063&lt;=44,"35–44",IF(AE1063&lt;=54,"45–54",IF(AE1063&lt;=64,"55–64","65+"))))</x:f>
        <x:v>45–54</x:v>
      </x:c>
      <x:c r="AK1063" s="17" t="str">
        <x:f>IF(AG1063&gt;=1000,"High Value",IF(AG1063&gt;=300,"Mid Value","Low Value"))</x:f>
        <x:v>Mid Value</x:v>
      </x:c>
      <x:c r="AL1063" s="17" t="str">
        <x:f>IF(AND(AI1063&gt;=1,I1063&lt;=50),"Priority 1",IF(AND(AG1063&gt;=1000,I1063&lt;=60),"Priority 2",IF(I1063&lt;=30,"Priority 3","Nurture")))</x:f>
        <x:v>Priority 3</x:v>
      </x:c>
    </x:row>
    <x:row r="1064">
      <x:c r="A1064" s="16" t="n">
        <x:v>4415</x:v>
      </x:c>
      <x:c r="B1064" s="16" t="n">
        <x:v>1961</x:v>
      </x:c>
      <x:c r="C1064" s="16" t="str">
        <x:v>Graduation</x:v>
      </x:c>
      <x:c r="D1064" s="16" t="str">
        <x:v>Married</x:v>
      </x:c>
      <x:c r="E1064" s="16" t="n">
        <x:v>16860</x:v>
      </x:c>
      <x:c r="F1064" s="16" t="n">
        <x:v>1</x:v>
      </x:c>
      <x:c r="G1064" s="16" t="n">
        <x:v>1</x:v>
      </x:c>
      <x:c r="H1064" s="16" t="str">
        <x:v>12-09-2012</x:v>
      </x:c>
      <x:c r="I1064" s="16" t="n">
        <x:v>19</x:v>
      </x:c>
      <x:c r="J1064" s="16" t="n">
        <x:v>10</x:v>
      </x:c>
      <x:c r="K1064" s="16" t="n">
        <x:v>4</x:v>
      </x:c>
      <x:c r="L1064" s="16" t="n">
        <x:v>4</x:v>
      </x:c>
      <x:c r="M1064" s="16" t="n">
        <x:v>3</x:v>
      </x:c>
      <x:c r="N1064" s="16" t="n">
        <x:v>3</x:v>
      </x:c>
      <x:c r="O1064" s="16" t="n">
        <x:v>14</x:v>
      </x:c>
      <x:c r="P1064" s="16" t="n">
        <x:v>3</x:v>
      </x:c>
      <x:c r="Q1064" s="16" t="n">
        <x:v>1</x:v>
      </x:c>
      <x:c r="R1064" s="16" t="n">
        <x:v>1</x:v>
      </x:c>
      <x:c r="S1064" s="16" t="n">
        <x:v>3</x:v>
      </x:c>
      <x:c r="T1064" s="16" t="n">
        <x:v>7</x:v>
      </x:c>
      <x:c r="U1064" s="16" t="n">
        <x:v>0</x:v>
      </x:c>
      <x:c r="V1064" s="16" t="n">
        <x:v>0</x:v>
      </x:c>
      <x:c r="W1064" s="16" t="n">
        <x:v>0</x:v>
      </x:c>
      <x:c r="X1064" s="16" t="n">
        <x:v>0</x:v>
      </x:c>
      <x:c r="Y1064" s="16" t="n">
        <x:v>0</x:v>
      </x:c>
      <x:c r="Z1064" s="16" t="n">
        <x:v>0</x:v>
      </x:c>
      <x:c r="AA1064" s="16" t="n">
        <x:v>3</x:v>
      </x:c>
      <x:c r="AB1064" s="16" t="n">
        <x:v>11</x:v>
      </x:c>
      <x:c r="AC1064" s="16" t="n">
        <x:v>0</x:v>
      </x:c>
      <x:c r="AD1064" s="21" t="n">
        <x:f>IF(E1064="",MEDIAN($E$2:$E$2237),E1064)</x:f>
        <x:v>16860</x:v>
      </x:c>
      <x:c r="AE1064" s="17" t="n">
        <x:f>2014-B1064</x:f>
        <x:v>53</x:v>
      </x:c>
      <x:c r="AF1064" s="17" t="n">
        <x:f>F1064+G1064</x:f>
        <x:v>2</x:v>
      </x:c>
      <x:c r="AG1064" s="21" t="n">
        <x:f>SUM(J1064:O1064)</x:f>
        <x:v>38</x:v>
      </x:c>
      <x:c r="AH1064" s="17" t="n">
        <x:f>SUM(Q1064:S1064)</x:f>
        <x:v>5</x:v>
      </x:c>
      <x:c r="AI1064" s="17" t="n">
        <x:f>SUM(U1064:Y1064)</x:f>
        <x:v>0</x:v>
      </x:c>
      <x:c r="AJ1064" s="17" t="str">
        <x:f>IF(AE1064&lt;=34,"≤34",IF(AE1064&lt;=44,"35–44",IF(AE1064&lt;=54,"45–54",IF(AE1064&lt;=64,"55–64","65+"))))</x:f>
        <x:v>45–54</x:v>
      </x:c>
      <x:c r="AK1064" s="17" t="str">
        <x:f>IF(AG1064&gt;=1000,"High Value",IF(AG1064&gt;=300,"Mid Value","Low Value"))</x:f>
        <x:v>Low Value</x:v>
      </x:c>
      <x:c r="AL1064" s="17" t="str">
        <x:f>IF(AND(AI1064&gt;=1,I1064&lt;=50),"Priority 1",IF(AND(AG1064&gt;=1000,I1064&lt;=60),"Priority 2",IF(I1064&lt;=30,"Priority 3","Nurture")))</x:f>
        <x:v>Priority 3</x:v>
      </x:c>
    </x:row>
    <x:row r="1065">
      <x:c r="A1065" s="16" t="n">
        <x:v>3005</x:v>
      </x:c>
      <x:c r="B1065" s="16" t="n">
        <x:v>1992</x:v>
      </x:c>
      <x:c r="C1065" s="16" t="str">
        <x:v>Graduation</x:v>
      </x:c>
      <x:c r="D1065" s="16" t="str">
        <x:v>Single</x:v>
      </x:c>
      <x:c r="E1065" s="16" t="n">
        <x:v>83528</x:v>
      </x:c>
      <x:c r="F1065" s="16" t="n">
        <x:v>0</x:v>
      </x:c>
      <x:c r="G1065" s="16" t="n">
        <x:v>0</x:v>
      </x:c>
      <x:c r="H1065" s="16" t="str">
        <x:v>01-05-2014</x:v>
      </x:c>
      <x:c r="I1065" s="16" t="n">
        <x:v>7</x:v>
      </x:c>
      <x:c r="J1065" s="16" t="n">
        <x:v>530</x:v>
      </x:c>
      <x:c r="K1065" s="16" t="n">
        <x:v>117</x:v>
      </x:c>
      <x:c r="L1065" s="16" t="n">
        <x:v>678</x:v>
      </x:c>
      <x:c r="M1065" s="16" t="n">
        <x:v>134</x:v>
      </x:c>
      <x:c r="N1065" s="16" t="n">
        <x:v>44</x:v>
      </x:c>
      <x:c r="O1065" s="16" t="n">
        <x:v>147</x:v>
      </x:c>
      <x:c r="P1065" s="16" t="n">
        <x:v>1</x:v>
      </x:c>
      <x:c r="Q1065" s="16" t="n">
        <x:v>4</x:v>
      </x:c>
      <x:c r="R1065" s="16" t="n">
        <x:v>10</x:v>
      </x:c>
      <x:c r="S1065" s="16" t="n">
        <x:v>8</x:v>
      </x:c>
      <x:c r="T1065" s="16" t="n">
        <x:v>1</x:v>
      </x:c>
      <x:c r="U1065" s="16" t="n">
        <x:v>1</x:v>
      </x:c>
      <x:c r="V1065" s="16" t="n">
        <x:v>0</x:v>
      </x:c>
      <x:c r="W1065" s="16" t="n">
        <x:v>0</x:v>
      </x:c>
      <x:c r="X1065" s="16" t="n">
        <x:v>1</x:v>
      </x:c>
      <x:c r="Y1065" s="16" t="n">
        <x:v>0</x:v>
      </x:c>
      <x:c r="Z1065" s="16" t="n">
        <x:v>0</x:v>
      </x:c>
      <x:c r="AA1065" s="16" t="n">
        <x:v>3</x:v>
      </x:c>
      <x:c r="AB1065" s="16" t="n">
        <x:v>11</x:v>
      </x:c>
      <x:c r="AC1065" s="16" t="n">
        <x:v>1</x:v>
      </x:c>
      <x:c r="AD1065" s="21" t="n">
        <x:f>IF(E1065="",MEDIAN($E$2:$E$2237),E1065)</x:f>
        <x:v>83528</x:v>
      </x:c>
      <x:c r="AE1065" s="17" t="n">
        <x:f>2014-B1065</x:f>
        <x:v>22</x:v>
      </x:c>
      <x:c r="AF1065" s="17" t="n">
        <x:f>F1065+G1065</x:f>
        <x:v>0</x:v>
      </x:c>
      <x:c r="AG1065" s="21" t="n">
        <x:f>SUM(J1065:O1065)</x:f>
        <x:v>1650</x:v>
      </x:c>
      <x:c r="AH1065" s="17" t="n">
        <x:f>SUM(Q1065:S1065)</x:f>
        <x:v>22</x:v>
      </x:c>
      <x:c r="AI1065" s="17" t="n">
        <x:f>SUM(U1065:Y1065)</x:f>
        <x:v>2</x:v>
      </x:c>
      <x:c r="AJ1065" s="17" t="str">
        <x:f>IF(AE1065&lt;=34,"≤34",IF(AE1065&lt;=44,"35–44",IF(AE1065&lt;=54,"45–54",IF(AE1065&lt;=64,"55–64","65+"))))</x:f>
        <x:v>≤34</x:v>
      </x:c>
      <x:c r="AK1065" s="17" t="str">
        <x:f>IF(AG1065&gt;=1000,"High Value",IF(AG1065&gt;=300,"Mid Value","Low Value"))</x:f>
        <x:v>High Value</x:v>
      </x:c>
      <x:c r="AL1065" s="17" t="str">
        <x:f>IF(AND(AI1065&gt;=1,I1065&lt;=50),"Priority 1",IF(AND(AG1065&gt;=1000,I1065&lt;=60),"Priority 2",IF(I1065&lt;=30,"Priority 3","Nurture")))</x:f>
        <x:v>Priority 1</x:v>
      </x:c>
    </x:row>
    <x:row r="1066">
      <x:c r="A1066" s="16" t="n">
        <x:v>2223</x:v>
      </x:c>
      <x:c r="B1066" s="16" t="n">
        <x:v>1965</x:v>
      </x:c>
      <x:c r="C1066" s="16" t="str">
        <x:v>2n Cycle</x:v>
      </x:c>
      <x:c r="D1066" s="16" t="str">
        <x:v>Divorced</x:v>
      </x:c>
      <x:c r="E1066" s="16" t="n">
        <x:v>64176</x:v>
      </x:c>
      <x:c r="F1066" s="16" t="n">
        <x:v>0</x:v>
      </x:c>
      <x:c r="G1066" s="16" t="n">
        <x:v>1</x:v>
      </x:c>
      <x:c r="H1066" s="16" t="str">
        <x:v>03-08-2012</x:v>
      </x:c>
      <x:c r="I1066" s="16" t="n">
        <x:v>52</x:v>
      </x:c>
      <x:c r="J1066" s="16" t="n">
        <x:v>1215</x:v>
      </x:c>
      <x:c r="K1066" s="16" t="n">
        <x:v>33</x:v>
      </x:c>
      <x:c r="L1066" s="16" t="n">
        <x:v>249</x:v>
      </x:c>
      <x:c r="M1066" s="16" t="n">
        <x:v>64</x:v>
      </x:c>
      <x:c r="N1066" s="16" t="n">
        <x:v>116</x:v>
      </x:c>
      <x:c r="O1066" s="16" t="n">
        <x:v>149</x:v>
      </x:c>
      <x:c r="P1066" s="16" t="n">
        <x:v>8</x:v>
      </x:c>
      <x:c r="Q1066" s="16" t="n">
        <x:v>8</x:v>
      </x:c>
      <x:c r="R1066" s="16" t="n">
        <x:v>9</x:v>
      </x:c>
      <x:c r="S1066" s="16" t="n">
        <x:v>8</x:v>
      </x:c>
      <x:c r="T1066" s="16" t="n">
        <x:v>6</x:v>
      </x:c>
      <x:c r="U1066" s="16" t="n">
        <x:v>0</x:v>
      </x:c>
      <x:c r="V1066" s="16" t="n">
        <x:v>0</x:v>
      </x:c>
      <x:c r="W1066" s="16" t="n">
        <x:v>0</x:v>
      </x:c>
      <x:c r="X1066" s="16" t="n">
        <x:v>0</x:v>
      </x:c>
      <x:c r="Y1066" s="16" t="n">
        <x:v>0</x:v>
      </x:c>
      <x:c r="Z1066" s="16" t="n">
        <x:v>0</x:v>
      </x:c>
      <x:c r="AA1066" s="16" t="n">
        <x:v>3</x:v>
      </x:c>
      <x:c r="AB1066" s="16" t="n">
        <x:v>11</x:v>
      </x:c>
      <x:c r="AC1066" s="16" t="n">
        <x:v>0</x:v>
      </x:c>
      <x:c r="AD1066" s="21" t="n">
        <x:f>IF(E1066="",MEDIAN($E$2:$E$2237),E1066)</x:f>
        <x:v>64176</x:v>
      </x:c>
      <x:c r="AE1066" s="17" t="n">
        <x:f>2014-B1066</x:f>
        <x:v>49</x:v>
      </x:c>
      <x:c r="AF1066" s="17" t="n">
        <x:f>F1066+G1066</x:f>
        <x:v>1</x:v>
      </x:c>
      <x:c r="AG1066" s="21" t="n">
        <x:f>SUM(J1066:O1066)</x:f>
        <x:v>1826</x:v>
      </x:c>
      <x:c r="AH1066" s="17" t="n">
        <x:f>SUM(Q1066:S1066)</x:f>
        <x:v>25</x:v>
      </x:c>
      <x:c r="AI1066" s="17" t="n">
        <x:f>SUM(U1066:Y1066)</x:f>
        <x:v>0</x:v>
      </x:c>
      <x:c r="AJ1066" s="17" t="str">
        <x:f>IF(AE1066&lt;=34,"≤34",IF(AE1066&lt;=44,"35–44",IF(AE1066&lt;=54,"45–54",IF(AE1066&lt;=64,"55–64","65+"))))</x:f>
        <x:v>45–54</x:v>
      </x:c>
      <x:c r="AK1066" s="17" t="str">
        <x:f>IF(AG1066&gt;=1000,"High Value",IF(AG1066&gt;=300,"Mid Value","Low Value"))</x:f>
        <x:v>High Value</x:v>
      </x:c>
      <x:c r="AL1066" s="17" t="str">
        <x:f>IF(AND(AI1066&gt;=1,I1066&lt;=50),"Priority 1",IF(AND(AG1066&gt;=1000,I1066&lt;=60),"Priority 2",IF(I1066&lt;=30,"Priority 3","Nurture")))</x:f>
        <x:v>Priority 2</x:v>
      </x:c>
    </x:row>
    <x:row r="1067">
      <x:c r="A1067" s="16" t="n">
        <x:v>4817</x:v>
      </x:c>
      <x:c r="B1067" s="16" t="n">
        <x:v>1956</x:v>
      </x:c>
      <x:c r="C1067" s="16" t="str">
        <x:v>Graduation</x:v>
      </x:c>
      <x:c r="D1067" s="16" t="str">
        <x:v>Divorced</x:v>
      </x:c>
      <x:c r="E1067" s="16" t="n">
        <x:v>22304</x:v>
      </x:c>
      <x:c r="F1067" s="16" t="n">
        <x:v>0</x:v>
      </x:c>
      <x:c r="G1067" s="16" t="n">
        <x:v>0</x:v>
      </x:c>
      <x:c r="H1067" s="16" t="str">
        <x:v>04-08-2012</x:v>
      </x:c>
      <x:c r="I1067" s="16" t="n">
        <x:v>91</x:v>
      </x:c>
      <x:c r="J1067" s="16" t="n">
        <x:v>3</x:v>
      </x:c>
      <x:c r="K1067" s="16" t="n">
        <x:v>2</x:v>
      </x:c>
      <x:c r="L1067" s="16" t="n">
        <x:v>7</x:v>
      </x:c>
      <x:c r="M1067" s="16" t="n">
        <x:v>0</x:v>
      </x:c>
      <x:c r="N1067" s="16" t="n">
        <x:v>4</x:v>
      </x:c>
      <x:c r="O1067" s="16" t="n">
        <x:v>2</x:v>
      </x:c>
      <x:c r="P1067" s="16" t="n">
        <x:v>1</x:v>
      </x:c>
      <x:c r="Q1067" s="16" t="n">
        <x:v>1</x:v>
      </x:c>
      <x:c r="R1067" s="16" t="n">
        <x:v>0</x:v>
      </x:c>
      <x:c r="S1067" s="16" t="n">
        <x:v>2</x:v>
      </x:c>
      <x:c r="T1067" s="16" t="n">
        <x:v>8</x:v>
      </x:c>
      <x:c r="U1067" s="16" t="n">
        <x:v>0</x:v>
      </x:c>
      <x:c r="V1067" s="16" t="n">
        <x:v>0</x:v>
      </x:c>
      <x:c r="W1067" s="16" t="n">
        <x:v>0</x:v>
      </x:c>
      <x:c r="X1067" s="16" t="n">
        <x:v>0</x:v>
      </x:c>
      <x:c r="Y1067" s="16" t="n">
        <x:v>0</x:v>
      </x:c>
      <x:c r="Z1067" s="16" t="n">
        <x:v>0</x:v>
      </x:c>
      <x:c r="AA1067" s="16" t="n">
        <x:v>3</x:v>
      </x:c>
      <x:c r="AB1067" s="16" t="n">
        <x:v>11</x:v>
      </x:c>
      <x:c r="AC1067" s="16" t="n">
        <x:v>0</x:v>
      </x:c>
      <x:c r="AD1067" s="21" t="n">
        <x:f>IF(E1067="",MEDIAN($E$2:$E$2237),E1067)</x:f>
        <x:v>22304</x:v>
      </x:c>
      <x:c r="AE1067" s="17" t="n">
        <x:f>2014-B1067</x:f>
        <x:v>58</x:v>
      </x:c>
      <x:c r="AF1067" s="17" t="n">
        <x:f>F1067+G1067</x:f>
        <x:v>0</x:v>
      </x:c>
      <x:c r="AG1067" s="21" t="n">
        <x:f>SUM(J1067:O1067)</x:f>
        <x:v>18</x:v>
      </x:c>
      <x:c r="AH1067" s="17" t="n">
        <x:f>SUM(Q1067:S1067)</x:f>
        <x:v>3</x:v>
      </x:c>
      <x:c r="AI1067" s="17" t="n">
        <x:f>SUM(U1067:Y1067)</x:f>
        <x:v>0</x:v>
      </x:c>
      <x:c r="AJ1067" s="17" t="str">
        <x:f>IF(AE1067&lt;=34,"≤34",IF(AE1067&lt;=44,"35–44",IF(AE1067&lt;=54,"45–54",IF(AE1067&lt;=64,"55–64","65+"))))</x:f>
        <x:v>55–64</x:v>
      </x:c>
      <x:c r="AK1067" s="17" t="str">
        <x:f>IF(AG1067&gt;=1000,"High Value",IF(AG1067&gt;=300,"Mid Value","Low Value"))</x:f>
        <x:v>Low Value</x:v>
      </x:c>
      <x:c r="AL1067" s="17" t="str">
        <x:f>IF(AND(AI1067&gt;=1,I1067&lt;=50),"Priority 1",IF(AND(AG1067&gt;=1000,I1067&lt;=60),"Priority 2",IF(I1067&lt;=30,"Priority 3","Nurture")))</x:f>
        <x:v>Nurture</x:v>
      </x:c>
    </x:row>
    <x:row r="1068">
      <x:c r="A1068" s="16" t="n">
        <x:v>2875</x:v>
      </x:c>
      <x:c r="B1068" s="16" t="n">
        <x:v>1978</x:v>
      </x:c>
      <x:c r="C1068" s="16" t="str">
        <x:v>Graduation</x:v>
      </x:c>
      <x:c r="D1068" s="16" t="str">
        <x:v>Married</x:v>
      </x:c>
      <x:c r="E1068" s="16" t="n">
        <x:v>67023</x:v>
      </x:c>
      <x:c r="F1068" s="16" t="n">
        <x:v>0</x:v>
      </x:c>
      <x:c r="G1068" s="16" t="n">
        <x:v>0</x:v>
      </x:c>
      <x:c r="H1068" s="16" t="str">
        <x:v>04-03-2014</x:v>
      </x:c>
      <x:c r="I1068" s="16" t="n">
        <x:v>93</x:v>
      </x:c>
      <x:c r="J1068" s="16" t="n">
        <x:v>444</x:v>
      </x:c>
      <x:c r="K1068" s="16" t="n">
        <x:v>44</x:v>
      </x:c>
      <x:c r="L1068" s="16" t="n">
        <x:v>382</x:v>
      </x:c>
      <x:c r="M1068" s="16" t="n">
        <x:v>11</x:v>
      </x:c>
      <x:c r="N1068" s="16" t="n">
        <x:v>8</x:v>
      </x:c>
      <x:c r="O1068" s="16" t="n">
        <x:v>17</x:v>
      </x:c>
      <x:c r="P1068" s="16" t="n">
        <x:v>1</x:v>
      </x:c>
      <x:c r="Q1068" s="16" t="n">
        <x:v>3</x:v>
      </x:c>
      <x:c r="R1068" s="16" t="n">
        <x:v>7</x:v>
      </x:c>
      <x:c r="S1068" s="16" t="n">
        <x:v>13</x:v>
      </x:c>
      <x:c r="T1068" s="16" t="n">
        <x:v>2</x:v>
      </x:c>
      <x:c r="U1068" s="16" t="n">
        <x:v>0</x:v>
      </x:c>
      <x:c r="V1068" s="16" t="n">
        <x:v>0</x:v>
      </x:c>
      <x:c r="W1068" s="16" t="n">
        <x:v>0</x:v>
      </x:c>
      <x:c r="X1068" s="16" t="n">
        <x:v>0</x:v>
      </x:c>
      <x:c r="Y1068" s="16" t="n">
        <x:v>0</x:v>
      </x:c>
      <x:c r="Z1068" s="16" t="n">
        <x:v>1</x:v>
      </x:c>
      <x:c r="AA1068" s="16" t="n">
        <x:v>3</x:v>
      </x:c>
      <x:c r="AB1068" s="16" t="n">
        <x:v>11</x:v>
      </x:c>
      <x:c r="AC1068" s="16" t="n">
        <x:v>0</x:v>
      </x:c>
      <x:c r="AD1068" s="21" t="n">
        <x:f>IF(E1068="",MEDIAN($E$2:$E$2237),E1068)</x:f>
        <x:v>67023</x:v>
      </x:c>
      <x:c r="AE1068" s="17" t="n">
        <x:f>2014-B1068</x:f>
        <x:v>36</x:v>
      </x:c>
      <x:c r="AF1068" s="17" t="n">
        <x:f>F1068+G1068</x:f>
        <x:v>0</x:v>
      </x:c>
      <x:c r="AG1068" s="21" t="n">
        <x:f>SUM(J1068:O1068)</x:f>
        <x:v>906</x:v>
      </x:c>
      <x:c r="AH1068" s="17" t="n">
        <x:f>SUM(Q1068:S1068)</x:f>
        <x:v>23</x:v>
      </x:c>
      <x:c r="AI1068" s="17" t="n">
        <x:f>SUM(U1068:Y1068)</x:f>
        <x:v>0</x:v>
      </x:c>
      <x:c r="AJ1068" s="17" t="str">
        <x:f>IF(AE1068&lt;=34,"≤34",IF(AE1068&lt;=44,"35–44",IF(AE1068&lt;=54,"45–54",IF(AE1068&lt;=64,"55–64","65+"))))</x:f>
        <x:v>35–44</x:v>
      </x:c>
      <x:c r="AK1068" s="17" t="str">
        <x:f>IF(AG1068&gt;=1000,"High Value",IF(AG1068&gt;=300,"Mid Value","Low Value"))</x:f>
        <x:v>Mid Value</x:v>
      </x:c>
      <x:c r="AL1068" s="17" t="str">
        <x:f>IF(AND(AI1068&gt;=1,I1068&lt;=50),"Priority 1",IF(AND(AG1068&gt;=1000,I1068&lt;=60),"Priority 2",IF(I1068&lt;=30,"Priority 3","Nurture")))</x:f>
        <x:v>Nurture</x:v>
      </x:c>
    </x:row>
    <x:row r="1069">
      <x:c r="A1069" s="16" t="n">
        <x:v>10536</x:v>
      </x:c>
      <x:c r="B1069" s="16" t="n">
        <x:v>1971</x:v>
      </x:c>
      <x:c r="C1069" s="16" t="str">
        <x:v>PhD</x:v>
      </x:c>
      <x:c r="D1069" s="16" t="str">
        <x:v>Together</x:v>
      </x:c>
      <x:c r="E1069" s="16" t="n">
        <x:v>32892</x:v>
      </x:c>
      <x:c r="F1069" s="16" t="n">
        <x:v>1</x:v>
      </x:c>
      <x:c r="G1069" s="16" t="n">
        <x:v>0</x:v>
      </x:c>
      <x:c r="H1069" s="16" t="str">
        <x:v>25-05-2014</x:v>
      </x:c>
      <x:c r="I1069" s="16" t="n">
        <x:v>78</x:v>
      </x:c>
      <x:c r="J1069" s="16" t="n">
        <x:v>26</x:v>
      </x:c>
      <x:c r="K1069" s="16" t="n">
        <x:v>0</x:v>
      </x:c>
      <x:c r="L1069" s="16" t="n">
        <x:v>15</x:v>
      </x:c>
      <x:c r="M1069" s="16" t="n">
        <x:v>2</x:v>
      </x:c>
      <x:c r="N1069" s="16" t="n">
        <x:v>1</x:v>
      </x:c>
      <x:c r="O1069" s="16" t="n">
        <x:v>2</x:v>
      </x:c>
      <x:c r="P1069" s="16" t="n">
        <x:v>2</x:v>
      </x:c>
      <x:c r="Q1069" s="16" t="n">
        <x:v>3</x:v>
      </x:c>
      <x:c r="R1069" s="16" t="n">
        <x:v>0</x:v>
      </x:c>
      <x:c r="S1069" s="16" t="n">
        <x:v>3</x:v>
      </x:c>
      <x:c r="T1069" s="16" t="n">
        <x:v>8</x:v>
      </x:c>
      <x:c r="U1069" s="16" t="n">
        <x:v>0</x:v>
      </x:c>
      <x:c r="V1069" s="16" t="n">
        <x:v>0</x:v>
      </x:c>
      <x:c r="W1069" s="16" t="n">
        <x:v>0</x:v>
      </x:c>
      <x:c r="X1069" s="16" t="n">
        <x:v>0</x:v>
      </x:c>
      <x:c r="Y1069" s="16" t="n">
        <x:v>0</x:v>
      </x:c>
      <x:c r="Z1069" s="16" t="n">
        <x:v>0</x:v>
      </x:c>
      <x:c r="AA1069" s="16" t="n">
        <x:v>3</x:v>
      </x:c>
      <x:c r="AB1069" s="16" t="n">
        <x:v>11</x:v>
      </x:c>
      <x:c r="AC1069" s="16" t="n">
        <x:v>0</x:v>
      </x:c>
      <x:c r="AD1069" s="21" t="n">
        <x:f>IF(E1069="",MEDIAN($E$2:$E$2237),E1069)</x:f>
        <x:v>32892</x:v>
      </x:c>
      <x:c r="AE1069" s="17" t="n">
        <x:f>2014-B1069</x:f>
        <x:v>43</x:v>
      </x:c>
      <x:c r="AF1069" s="17" t="n">
        <x:f>F1069+G1069</x:f>
        <x:v>1</x:v>
      </x:c>
      <x:c r="AG1069" s="21" t="n">
        <x:f>SUM(J1069:O1069)</x:f>
        <x:v>46</x:v>
      </x:c>
      <x:c r="AH1069" s="17" t="n">
        <x:f>SUM(Q1069:S1069)</x:f>
        <x:v>6</x:v>
      </x:c>
      <x:c r="AI1069" s="17" t="n">
        <x:f>SUM(U1069:Y1069)</x:f>
        <x:v>0</x:v>
      </x:c>
      <x:c r="AJ1069" s="17" t="str">
        <x:f>IF(AE1069&lt;=34,"≤34",IF(AE1069&lt;=44,"35–44",IF(AE1069&lt;=54,"45–54",IF(AE1069&lt;=64,"55–64","65+"))))</x:f>
        <x:v>35–44</x:v>
      </x:c>
      <x:c r="AK1069" s="17" t="str">
        <x:f>IF(AG1069&gt;=1000,"High Value",IF(AG1069&gt;=300,"Mid Value","Low Value"))</x:f>
        <x:v>Low Value</x:v>
      </x:c>
      <x:c r="AL1069" s="17" t="str">
        <x:f>IF(AND(AI1069&gt;=1,I1069&lt;=50),"Priority 1",IF(AND(AG1069&gt;=1000,I1069&lt;=60),"Priority 2",IF(I1069&lt;=30,"Priority 3","Nurture")))</x:f>
        <x:v>Nurture</x:v>
      </x:c>
    </x:row>
    <x:row r="1070">
      <x:c r="A1070" s="16" t="n">
        <x:v>11112</x:v>
      </x:c>
      <x:c r="B1070" s="16" t="n">
        <x:v>1966</x:v>
      </x:c>
      <x:c r="C1070" s="16" t="str">
        <x:v>Graduation</x:v>
      </x:c>
      <x:c r="D1070" s="16" t="str">
        <x:v>Together</x:v>
      </x:c>
      <x:c r="E1070" s="16" t="n">
        <x:v>70713</x:v>
      </x:c>
      <x:c r="F1070" s="16" t="n">
        <x:v>0</x:v>
      </x:c>
      <x:c r="G1070" s="16" t="n">
        <x:v>1</x:v>
      </x:c>
      <x:c r="H1070" s="16" t="str">
        <x:v>03-12-2012</x:v>
      </x:c>
      <x:c r="I1070" s="16" t="n">
        <x:v>23</x:v>
      </x:c>
      <x:c r="J1070" s="16" t="n">
        <x:v>736</x:v>
      </x:c>
      <x:c r="K1070" s="16" t="n">
        <x:v>114</x:v>
      </x:c>
      <x:c r="L1070" s="16" t="n">
        <x:v>279</x:v>
      </x:c>
      <x:c r="M1070" s="16" t="n">
        <x:v>82</x:v>
      </x:c>
      <x:c r="N1070" s="16" t="n">
        <x:v>76</x:v>
      </x:c>
      <x:c r="O1070" s="16" t="n">
        <x:v>190</x:v>
      </x:c>
      <x:c r="P1070" s="16" t="n">
        <x:v>6</x:v>
      </x:c>
      <x:c r="Q1070" s="16" t="n">
        <x:v>5</x:v>
      </x:c>
      <x:c r="R1070" s="16" t="n">
        <x:v>6</x:v>
      </x:c>
      <x:c r="S1070" s="16" t="n">
        <x:v>8</x:v>
      </x:c>
      <x:c r="T1070" s="16" t="n">
        <x:v>3</x:v>
      </x:c>
      <x:c r="U1070" s="16" t="n">
        <x:v>0</x:v>
      </x:c>
      <x:c r="V1070" s="16" t="n">
        <x:v>0</x:v>
      </x:c>
      <x:c r="W1070" s="16" t="n">
        <x:v>0</x:v>
      </x:c>
      <x:c r="X1070" s="16" t="n">
        <x:v>0</x:v>
      </x:c>
      <x:c r="Y1070" s="16" t="n">
        <x:v>0</x:v>
      </x:c>
      <x:c r="Z1070" s="16" t="n">
        <x:v>0</x:v>
      </x:c>
      <x:c r="AA1070" s="16" t="n">
        <x:v>3</x:v>
      </x:c>
      <x:c r="AB1070" s="16" t="n">
        <x:v>11</x:v>
      </x:c>
      <x:c r="AC1070" s="16" t="n">
        <x:v>0</x:v>
      </x:c>
      <x:c r="AD1070" s="21" t="n">
        <x:f>IF(E1070="",MEDIAN($E$2:$E$2237),E1070)</x:f>
        <x:v>70713</x:v>
      </x:c>
      <x:c r="AE1070" s="17" t="n">
        <x:f>2014-B1070</x:f>
        <x:v>48</x:v>
      </x:c>
      <x:c r="AF1070" s="17" t="n">
        <x:f>F1070+G1070</x:f>
        <x:v>1</x:v>
      </x:c>
      <x:c r="AG1070" s="21" t="n">
        <x:f>SUM(J1070:O1070)</x:f>
        <x:v>1477</x:v>
      </x:c>
      <x:c r="AH1070" s="17" t="n">
        <x:f>SUM(Q1070:S1070)</x:f>
        <x:v>19</x:v>
      </x:c>
      <x:c r="AI1070" s="17" t="n">
        <x:f>SUM(U1070:Y1070)</x:f>
        <x:v>0</x:v>
      </x:c>
      <x:c r="AJ1070" s="17" t="str">
        <x:f>IF(AE1070&lt;=34,"≤34",IF(AE1070&lt;=44,"35–44",IF(AE1070&lt;=54,"45–54",IF(AE1070&lt;=64,"55–64","65+"))))</x:f>
        <x:v>45–54</x:v>
      </x:c>
      <x:c r="AK1070" s="17" t="str">
        <x:f>IF(AG1070&gt;=1000,"High Value",IF(AG1070&gt;=300,"Mid Value","Low Value"))</x:f>
        <x:v>High Value</x:v>
      </x:c>
      <x:c r="AL1070" s="17" t="str">
        <x:f>IF(AND(AI1070&gt;=1,I1070&lt;=50),"Priority 1",IF(AND(AG1070&gt;=1000,I1070&lt;=60),"Priority 2",IF(I1070&lt;=30,"Priority 3","Nurture")))</x:f>
        <x:v>Priority 2</x:v>
      </x:c>
    </x:row>
    <x:row r="1071">
      <x:c r="A1071" s="16" t="n">
        <x:v>3807</x:v>
      </x:c>
      <x:c r="B1071" s="16" t="n">
        <x:v>1955</x:v>
      </x:c>
      <x:c r="C1071" s="16" t="str">
        <x:v>Graduation</x:v>
      </x:c>
      <x:c r="D1071" s="16" t="str">
        <x:v>Together</x:v>
      </x:c>
      <x:c r="E1071" s="16" t="n">
        <x:v>59925</x:v>
      </x:c>
      <x:c r="F1071" s="16" t="n">
        <x:v>0</x:v>
      </x:c>
      <x:c r="G1071" s="16" t="n">
        <x:v>1</x:v>
      </x:c>
      <x:c r="H1071" s="16" t="str">
        <x:v>30-11-2012</x:v>
      </x:c>
      <x:c r="I1071" s="16" t="n">
        <x:v>83</x:v>
      </x:c>
      <x:c r="J1071" s="16" t="n">
        <x:v>473</x:v>
      </x:c>
      <x:c r="K1071" s="16" t="n">
        <x:v>21</x:v>
      </x:c>
      <x:c r="L1071" s="16" t="n">
        <x:v>176</x:v>
      </x:c>
      <x:c r="M1071" s="16" t="n">
        <x:v>19</x:v>
      </x:c>
      <x:c r="N1071" s="16" t="n">
        <x:v>21</x:v>
      </x:c>
      <x:c r="O1071" s="16" t="n">
        <x:v>56</x:v>
      </x:c>
      <x:c r="P1071" s="16" t="n">
        <x:v>3</x:v>
      </x:c>
      <x:c r="Q1071" s="16" t="n">
        <x:v>9</x:v>
      </x:c>
      <x:c r="R1071" s="16" t="n">
        <x:v>2</x:v>
      </x:c>
      <x:c r="S1071" s="16" t="n">
        <x:v>9</x:v>
      </x:c>
      <x:c r="T1071" s="16" t="n">
        <x:v>6</x:v>
      </x:c>
      <x:c r="U1071" s="16" t="n">
        <x:v>0</x:v>
      </x:c>
      <x:c r="V1071" s="16" t="n">
        <x:v>0</x:v>
      </x:c>
      <x:c r="W1071" s="16" t="n">
        <x:v>0</x:v>
      </x:c>
      <x:c r="X1071" s="16" t="n">
        <x:v>0</x:v>
      </x:c>
      <x:c r="Y1071" s="16" t="n">
        <x:v>0</x:v>
      </x:c>
      <x:c r="Z1071" s="16" t="n">
        <x:v>0</x:v>
      </x:c>
      <x:c r="AA1071" s="16" t="n">
        <x:v>3</x:v>
      </x:c>
      <x:c r="AB1071" s="16" t="n">
        <x:v>11</x:v>
      </x:c>
      <x:c r="AC1071" s="16" t="n">
        <x:v>0</x:v>
      </x:c>
      <x:c r="AD1071" s="21" t="n">
        <x:f>IF(E1071="",MEDIAN($E$2:$E$2237),E1071)</x:f>
        <x:v>59925</x:v>
      </x:c>
      <x:c r="AE1071" s="17" t="n">
        <x:f>2014-B1071</x:f>
        <x:v>59</x:v>
      </x:c>
      <x:c r="AF1071" s="17" t="n">
        <x:f>F1071+G1071</x:f>
        <x:v>1</x:v>
      </x:c>
      <x:c r="AG1071" s="21" t="n">
        <x:f>SUM(J1071:O1071)</x:f>
        <x:v>766</x:v>
      </x:c>
      <x:c r="AH1071" s="17" t="n">
        <x:f>SUM(Q1071:S1071)</x:f>
        <x:v>20</x:v>
      </x:c>
      <x:c r="AI1071" s="17" t="n">
        <x:f>SUM(U1071:Y1071)</x:f>
        <x:v>0</x:v>
      </x:c>
      <x:c r="AJ1071" s="17" t="str">
        <x:f>IF(AE1071&lt;=34,"≤34",IF(AE1071&lt;=44,"35–44",IF(AE1071&lt;=54,"45–54",IF(AE1071&lt;=64,"55–64","65+"))))</x:f>
        <x:v>55–64</x:v>
      </x:c>
      <x:c r="AK1071" s="17" t="str">
        <x:f>IF(AG1071&gt;=1000,"High Value",IF(AG1071&gt;=300,"Mid Value","Low Value"))</x:f>
        <x:v>Mid Value</x:v>
      </x:c>
      <x:c r="AL1071" s="17" t="str">
        <x:f>IF(AND(AI1071&gt;=1,I1071&lt;=50),"Priority 1",IF(AND(AG1071&gt;=1000,I1071&lt;=60),"Priority 2",IF(I1071&lt;=30,"Priority 3","Nurture")))</x:f>
        <x:v>Nurture</x:v>
      </x:c>
    </x:row>
    <x:row r="1072">
      <x:c r="A1072" s="16" t="n">
        <x:v>9197</x:v>
      </x:c>
      <x:c r="B1072" s="16" t="n">
        <x:v>1953</x:v>
      </x:c>
      <x:c r="C1072" s="16" t="str">
        <x:v>Graduation</x:v>
      </x:c>
      <x:c r="D1072" s="16" t="str">
        <x:v>Married</x:v>
      </x:c>
      <x:c r="E1072" s="16" t="n">
        <x:v>39722</x:v>
      </x:c>
      <x:c r="F1072" s="16" t="n">
        <x:v>0</x:v>
      </x:c>
      <x:c r="G1072" s="16" t="n">
        <x:v>1</x:v>
      </x:c>
      <x:c r="H1072" s="16" t="str">
        <x:v>24-02-2014</x:v>
      </x:c>
      <x:c r="I1072" s="16" t="n">
        <x:v>92</x:v>
      </x:c>
      <x:c r="J1072" s="16" t="n">
        <x:v>32</x:v>
      </x:c>
      <x:c r="K1072" s="16" t="n">
        <x:v>0</x:v>
      </x:c>
      <x:c r="L1072" s="16" t="n">
        <x:v>5</x:v>
      </x:c>
      <x:c r="M1072" s="16" t="n">
        <x:v>2</x:v>
      </x:c>
      <x:c r="N1072" s="16" t="n">
        <x:v>0</x:v>
      </x:c>
      <x:c r="O1072" s="16" t="n">
        <x:v>8</x:v>
      </x:c>
      <x:c r="P1072" s="16" t="n">
        <x:v>2</x:v>
      </x:c>
      <x:c r="Q1072" s="16" t="n">
        <x:v>2</x:v>
      </x:c>
      <x:c r="R1072" s="16" t="n">
        <x:v>0</x:v>
      </x:c>
      <x:c r="S1072" s="16" t="n">
        <x:v>3</x:v>
      </x:c>
      <x:c r="T1072" s="16" t="n">
        <x:v>5</x:v>
      </x:c>
      <x:c r="U1072" s="16" t="n">
        <x:v>0</x:v>
      </x:c>
      <x:c r="V1072" s="16" t="n">
        <x:v>0</x:v>
      </x:c>
      <x:c r="W1072" s="16" t="n">
        <x:v>0</x:v>
      </x:c>
      <x:c r="X1072" s="16" t="n">
        <x:v>0</x:v>
      </x:c>
      <x:c r="Y1072" s="16" t="n">
        <x:v>0</x:v>
      </x:c>
      <x:c r="Z1072" s="16" t="n">
        <x:v>0</x:v>
      </x:c>
      <x:c r="AA1072" s="16" t="n">
        <x:v>3</x:v>
      </x:c>
      <x:c r="AB1072" s="16" t="n">
        <x:v>11</x:v>
      </x:c>
      <x:c r="AC1072" s="16" t="n">
        <x:v>0</x:v>
      </x:c>
      <x:c r="AD1072" s="21" t="n">
        <x:f>IF(E1072="",MEDIAN($E$2:$E$2237),E1072)</x:f>
        <x:v>39722</x:v>
      </x:c>
      <x:c r="AE1072" s="17" t="n">
        <x:f>2014-B1072</x:f>
        <x:v>61</x:v>
      </x:c>
      <x:c r="AF1072" s="17" t="n">
        <x:f>F1072+G1072</x:f>
        <x:v>1</x:v>
      </x:c>
      <x:c r="AG1072" s="21" t="n">
        <x:f>SUM(J1072:O1072)</x:f>
        <x:v>47</x:v>
      </x:c>
      <x:c r="AH1072" s="17" t="n">
        <x:f>SUM(Q1072:S1072)</x:f>
        <x:v>5</x:v>
      </x:c>
      <x:c r="AI1072" s="17" t="n">
        <x:f>SUM(U1072:Y1072)</x:f>
        <x:v>0</x:v>
      </x:c>
      <x:c r="AJ1072" s="17" t="str">
        <x:f>IF(AE1072&lt;=34,"≤34",IF(AE1072&lt;=44,"35–44",IF(AE1072&lt;=54,"45–54",IF(AE1072&lt;=64,"55–64","65+"))))</x:f>
        <x:v>55–64</x:v>
      </x:c>
      <x:c r="AK1072" s="17" t="str">
        <x:f>IF(AG1072&gt;=1000,"High Value",IF(AG1072&gt;=300,"Mid Value","Low Value"))</x:f>
        <x:v>Low Value</x:v>
      </x:c>
      <x:c r="AL1072" s="17" t="str">
        <x:f>IF(AND(AI1072&gt;=1,I1072&lt;=50),"Priority 1",IF(AND(AG1072&gt;=1000,I1072&lt;=60),"Priority 2",IF(I1072&lt;=30,"Priority 3","Nurture")))</x:f>
        <x:v>Nurture</x:v>
      </x:c>
    </x:row>
    <x:row r="1073">
      <x:c r="A1073" s="16" t="n">
        <x:v>10832</x:v>
      </x:c>
      <x:c r="B1073" s="16" t="n">
        <x:v>1958</x:v>
      </x:c>
      <x:c r="C1073" s="16" t="str">
        <x:v>Graduation</x:v>
      </x:c>
      <x:c r="D1073" s="16" t="str">
        <x:v>Together</x:v>
      </x:c>
      <x:c r="E1073" s="16" t="n">
        <x:v>46610</x:v>
      </x:c>
      <x:c r="F1073" s="16" t="n">
        <x:v>0</x:v>
      </x:c>
      <x:c r="G1073" s="16" t="n">
        <x:v>0</x:v>
      </x:c>
      <x:c r="H1073" s="16" t="str">
        <x:v>18-07-2013</x:v>
      </x:c>
      <x:c r="I1073" s="16" t="n">
        <x:v>4</x:v>
      </x:c>
      <x:c r="J1073" s="16" t="n">
        <x:v>288</x:v>
      </x:c>
      <x:c r="K1073" s="16" t="n">
        <x:v>10</x:v>
      </x:c>
      <x:c r="L1073" s="16" t="n">
        <x:v>30</x:v>
      </x:c>
      <x:c r="M1073" s="16" t="n">
        <x:v>4</x:v>
      </x:c>
      <x:c r="N1073" s="16" t="n">
        <x:v>10</x:v>
      </x:c>
      <x:c r="O1073" s="16" t="n">
        <x:v>125</x:v>
      </x:c>
      <x:c r="P1073" s="16" t="n">
        <x:v>1</x:v>
      </x:c>
      <x:c r="Q1073" s="16" t="n">
        <x:v>6</x:v>
      </x:c>
      <x:c r="R1073" s="16" t="n">
        <x:v>1</x:v>
      </x:c>
      <x:c r="S1073" s="16" t="n">
        <x:v>6</x:v>
      </x:c>
      <x:c r="T1073" s="16" t="n">
        <x:v>6</x:v>
      </x:c>
      <x:c r="U1073" s="16" t="n">
        <x:v>0</x:v>
      </x:c>
      <x:c r="V1073" s="16" t="n">
        <x:v>0</x:v>
      </x:c>
      <x:c r="W1073" s="16" t="n">
        <x:v>0</x:v>
      </x:c>
      <x:c r="X1073" s="16" t="n">
        <x:v>0</x:v>
      </x:c>
      <x:c r="Y1073" s="16" t="n">
        <x:v>0</x:v>
      </x:c>
      <x:c r="Z1073" s="16" t="n">
        <x:v>0</x:v>
      </x:c>
      <x:c r="AA1073" s="16" t="n">
        <x:v>3</x:v>
      </x:c>
      <x:c r="AB1073" s="16" t="n">
        <x:v>11</x:v>
      </x:c>
      <x:c r="AC1073" s="16" t="n">
        <x:v>0</x:v>
      </x:c>
      <x:c r="AD1073" s="21" t="n">
        <x:f>IF(E1073="",MEDIAN($E$2:$E$2237),E1073)</x:f>
        <x:v>46610</x:v>
      </x:c>
      <x:c r="AE1073" s="17" t="n">
        <x:f>2014-B1073</x:f>
        <x:v>56</x:v>
      </x:c>
      <x:c r="AF1073" s="17" t="n">
        <x:f>F1073+G1073</x:f>
        <x:v>0</x:v>
      </x:c>
      <x:c r="AG1073" s="21" t="n">
        <x:f>SUM(J1073:O1073)</x:f>
        <x:v>467</x:v>
      </x:c>
      <x:c r="AH1073" s="17" t="n">
        <x:f>SUM(Q1073:S1073)</x:f>
        <x:v>13</x:v>
      </x:c>
      <x:c r="AI1073" s="17" t="n">
        <x:f>SUM(U1073:Y1073)</x:f>
        <x:v>0</x:v>
      </x:c>
      <x:c r="AJ1073" s="17" t="str">
        <x:f>IF(AE1073&lt;=34,"≤34",IF(AE1073&lt;=44,"35–44",IF(AE1073&lt;=54,"45–54",IF(AE1073&lt;=64,"55–64","65+"))))</x:f>
        <x:v>55–64</x:v>
      </x:c>
      <x:c r="AK1073" s="17" t="str">
        <x:f>IF(AG1073&gt;=1000,"High Value",IF(AG1073&gt;=300,"Mid Value","Low Value"))</x:f>
        <x:v>Mid Value</x:v>
      </x:c>
      <x:c r="AL1073" s="17" t="str">
        <x:f>IF(AND(AI1073&gt;=1,I1073&lt;=50),"Priority 1",IF(AND(AG1073&gt;=1000,I1073&lt;=60),"Priority 2",IF(I1073&lt;=30,"Priority 3","Nurture")))</x:f>
        <x:v>Priority 3</x:v>
      </x:c>
    </x:row>
    <x:row r="1074">
      <x:c r="A1074" s="16" t="n">
        <x:v>6421</x:v>
      </x:c>
      <x:c r="B1074" s="16" t="n">
        <x:v>1961</x:v>
      </x:c>
      <x:c r="C1074" s="16" t="str">
        <x:v>Graduation</x:v>
      </x:c>
      <x:c r="D1074" s="16" t="str">
        <x:v>Together</x:v>
      </x:c>
      <x:c r="E1074" s="16" t="n">
        <x:v>88347</x:v>
      </x:c>
      <x:c r="F1074" s="16" t="n">
        <x:v>0</x:v>
      </x:c>
      <x:c r="G1074" s="16" t="n">
        <x:v>0</x:v>
      </x:c>
      <x:c r="H1074" s="16" t="str">
        <x:v>03-07-2013</x:v>
      </x:c>
      <x:c r="I1074" s="16" t="n">
        <x:v>32</x:v>
      </x:c>
      <x:c r="J1074" s="16" t="n">
        <x:v>1050</x:v>
      </x:c>
      <x:c r="K1074" s="16" t="n">
        <x:v>178</x:v>
      </x:c>
      <x:c r="L1074" s="16" t="n">
        <x:v>555</x:v>
      </x:c>
      <x:c r="M1074" s="16" t="n">
        <x:v>77</x:v>
      </x:c>
      <x:c r="N1074" s="16" t="n">
        <x:v>138</x:v>
      </x:c>
      <x:c r="O1074" s="16" t="n">
        <x:v>118</x:v>
      </x:c>
      <x:c r="P1074" s="16" t="n">
        <x:v>1</x:v>
      </x:c>
      <x:c r="Q1074" s="16" t="n">
        <x:v>4</x:v>
      </x:c>
      <x:c r="R1074" s="16" t="n">
        <x:v>7</x:v>
      </x:c>
      <x:c r="S1074" s="16" t="n">
        <x:v>9</x:v>
      </x:c>
      <x:c r="T1074" s="16" t="n">
        <x:v>1</x:v>
      </x:c>
      <x:c r="U1074" s="16" t="n">
        <x:v>0</x:v>
      </x:c>
      <x:c r="V1074" s="16" t="n">
        <x:v>0</x:v>
      </x:c>
      <x:c r="W1074" s="16" t="n">
        <x:v>0</x:v>
      </x:c>
      <x:c r="X1074" s="16" t="n">
        <x:v>1</x:v>
      </x:c>
      <x:c r="Y1074" s="16" t="n">
        <x:v>0</x:v>
      </x:c>
      <x:c r="Z1074" s="16" t="n">
        <x:v>0</x:v>
      </x:c>
      <x:c r="AA1074" s="16" t="n">
        <x:v>3</x:v>
      </x:c>
      <x:c r="AB1074" s="16" t="n">
        <x:v>11</x:v>
      </x:c>
      <x:c r="AC1074" s="16" t="n">
        <x:v>0</x:v>
      </x:c>
      <x:c r="AD1074" s="21" t="n">
        <x:f>IF(E1074="",MEDIAN($E$2:$E$2237),E1074)</x:f>
        <x:v>88347</x:v>
      </x:c>
      <x:c r="AE1074" s="17" t="n">
        <x:f>2014-B1074</x:f>
        <x:v>53</x:v>
      </x:c>
      <x:c r="AF1074" s="17" t="n">
        <x:f>F1074+G1074</x:f>
        <x:v>0</x:v>
      </x:c>
      <x:c r="AG1074" s="21" t="n">
        <x:f>SUM(J1074:O1074)</x:f>
        <x:v>2116</x:v>
      </x:c>
      <x:c r="AH1074" s="17" t="n">
        <x:f>SUM(Q1074:S1074)</x:f>
        <x:v>20</x:v>
      </x:c>
      <x:c r="AI1074" s="17" t="n">
        <x:f>SUM(U1074:Y1074)</x:f>
        <x:v>1</x:v>
      </x:c>
      <x:c r="AJ1074" s="17" t="str">
        <x:f>IF(AE1074&lt;=34,"≤34",IF(AE1074&lt;=44,"35–44",IF(AE1074&lt;=54,"45–54",IF(AE1074&lt;=64,"55–64","65+"))))</x:f>
        <x:v>45–54</x:v>
      </x:c>
      <x:c r="AK1074" s="17" t="str">
        <x:f>IF(AG1074&gt;=1000,"High Value",IF(AG1074&gt;=300,"Mid Value","Low Value"))</x:f>
        <x:v>High Value</x:v>
      </x:c>
      <x:c r="AL1074" s="17" t="str">
        <x:f>IF(AND(AI1074&gt;=1,I1074&lt;=50),"Priority 1",IF(AND(AG1074&gt;=1000,I1074&lt;=60),"Priority 2",IF(I1074&lt;=30,"Priority 3","Nurture")))</x:f>
        <x:v>Priority 1</x:v>
      </x:c>
    </x:row>
    <x:row r="1075">
      <x:c r="A1075" s="16" t="n">
        <x:v>4207</x:v>
      </x:c>
      <x:c r="B1075" s="16" t="n">
        <x:v>1981</x:v>
      </x:c>
      <x:c r="C1075" s="16" t="str">
        <x:v>PhD</x:v>
      </x:c>
      <x:c r="D1075" s="16" t="str">
        <x:v>Married</x:v>
      </x:c>
      <x:c r="E1075" s="16" t="n">
        <x:v>87171</x:v>
      </x:c>
      <x:c r="F1075" s="16" t="n">
        <x:v>0</x:v>
      </x:c>
      <x:c r="G1075" s="16" t="n">
        <x:v>0</x:v>
      </x:c>
      <x:c r="H1075" s="16" t="str">
        <x:v>01-05-2013</x:v>
      </x:c>
      <x:c r="I1075" s="16" t="n">
        <x:v>27</x:v>
      </x:c>
      <x:c r="J1075" s="16" t="n">
        <x:v>1001</x:v>
      </x:c>
      <x:c r="K1075" s="16" t="n">
        <x:v>44</x:v>
      </x:c>
      <x:c r="L1075" s="16" t="n">
        <x:v>107</x:v>
      </x:c>
      <x:c r="M1075" s="16" t="n">
        <x:v>58</x:v>
      </x:c>
      <x:c r="N1075" s="16" t="n">
        <x:v>44</x:v>
      </x:c>
      <x:c r="O1075" s="16" t="n">
        <x:v>44</x:v>
      </x:c>
      <x:c r="P1075" s="16" t="n">
        <x:v>1</x:v>
      </x:c>
      <x:c r="Q1075" s="16" t="n">
        <x:v>6</x:v>
      </x:c>
      <x:c r="R1075" s="16" t="n">
        <x:v>7</x:v>
      </x:c>
      <x:c r="S1075" s="16" t="n">
        <x:v>11</x:v>
      </x:c>
      <x:c r="T1075" s="16" t="n">
        <x:v>2</x:v>
      </x:c>
      <x:c r="U1075" s="16" t="n">
        <x:v>1</x:v>
      </x:c>
      <x:c r="V1075" s="16" t="n">
        <x:v>0</x:v>
      </x:c>
      <x:c r="W1075" s="16" t="n">
        <x:v>1</x:v>
      </x:c>
      <x:c r="X1075" s="16" t="n">
        <x:v>0</x:v>
      </x:c>
      <x:c r="Y1075" s="16" t="n">
        <x:v>0</x:v>
      </x:c>
      <x:c r="Z1075" s="16" t="n">
        <x:v>0</x:v>
      </x:c>
      <x:c r="AA1075" s="16" t="n">
        <x:v>3</x:v>
      </x:c>
      <x:c r="AB1075" s="16" t="n">
        <x:v>11</x:v>
      </x:c>
      <x:c r="AC1075" s="16" t="n">
        <x:v>0</x:v>
      </x:c>
      <x:c r="AD1075" s="21" t="n">
        <x:f>IF(E1075="",MEDIAN($E$2:$E$2237),E1075)</x:f>
        <x:v>87171</x:v>
      </x:c>
      <x:c r="AE1075" s="17" t="n">
        <x:f>2014-B1075</x:f>
        <x:v>33</x:v>
      </x:c>
      <x:c r="AF1075" s="17" t="n">
        <x:f>F1075+G1075</x:f>
        <x:v>0</x:v>
      </x:c>
      <x:c r="AG1075" s="21" t="n">
        <x:f>SUM(J1075:O1075)</x:f>
        <x:v>1298</x:v>
      </x:c>
      <x:c r="AH1075" s="17" t="n">
        <x:f>SUM(Q1075:S1075)</x:f>
        <x:v>24</x:v>
      </x:c>
      <x:c r="AI1075" s="17" t="n">
        <x:f>SUM(U1075:Y1075)</x:f>
        <x:v>2</x:v>
      </x:c>
      <x:c r="AJ1075" s="17" t="str">
        <x:f>IF(AE1075&lt;=34,"≤34",IF(AE1075&lt;=44,"35–44",IF(AE1075&lt;=54,"45–54",IF(AE1075&lt;=64,"55–64","65+"))))</x:f>
        <x:v>≤34</x:v>
      </x:c>
      <x:c r="AK1075" s="17" t="str">
        <x:f>IF(AG1075&gt;=1000,"High Value",IF(AG1075&gt;=300,"Mid Value","Low Value"))</x:f>
        <x:v>High Value</x:v>
      </x:c>
      <x:c r="AL1075" s="17" t="str">
        <x:f>IF(AND(AI1075&gt;=1,I1075&lt;=50),"Priority 1",IF(AND(AG1075&gt;=1000,I1075&lt;=60),"Priority 2",IF(I1075&lt;=30,"Priority 3","Nurture")))</x:f>
        <x:v>Priority 1</x:v>
      </x:c>
    </x:row>
    <x:row r="1076">
      <x:c r="A1076" s="16" t="n">
        <x:v>577</x:v>
      </x:c>
      <x:c r="B1076" s="16" t="n">
        <x:v>1976</x:v>
      </x:c>
      <x:c r="C1076" s="16" t="str">
        <x:v>2n Cycle</x:v>
      </x:c>
      <x:c r="D1076" s="16" t="str">
        <x:v>Together</x:v>
      </x:c>
      <x:c r="E1076" s="16" t="n">
        <x:v>26907</x:v>
      </x:c>
      <x:c r="F1076" s="16" t="n">
        <x:v>1</x:v>
      </x:c>
      <x:c r="G1076" s="16" t="n">
        <x:v>1</x:v>
      </x:c>
      <x:c r="H1076" s="16" t="str">
        <x:v>20-08-2013</x:v>
      </x:c>
      <x:c r="I1076" s="16" t="n">
        <x:v>10</x:v>
      </x:c>
      <x:c r="J1076" s="16" t="n">
        <x:v>9</x:v>
      </x:c>
      <x:c r="K1076" s="16" t="n">
        <x:v>1</x:v>
      </x:c>
      <x:c r="L1076" s="16" t="n">
        <x:v>7</x:v>
      </x:c>
      <x:c r="M1076" s="16" t="n">
        <x:v>0</x:v>
      </x:c>
      <x:c r="N1076" s="16" t="n">
        <x:v>3</x:v>
      </x:c>
      <x:c r="O1076" s="16" t="n">
        <x:v>2</x:v>
      </x:c>
      <x:c r="P1076" s="16" t="n">
        <x:v>2</x:v>
      </x:c>
      <x:c r="Q1076" s="16" t="n">
        <x:v>1</x:v>
      </x:c>
      <x:c r="R1076" s="16" t="n">
        <x:v>0</x:v>
      </x:c>
      <x:c r="S1076" s="16" t="n">
        <x:v>3</x:v>
      </x:c>
      <x:c r="T1076" s="16" t="n">
        <x:v>7</x:v>
      </x:c>
      <x:c r="U1076" s="16" t="n">
        <x:v>0</x:v>
      </x:c>
      <x:c r="V1076" s="16" t="n">
        <x:v>0</x:v>
      </x:c>
      <x:c r="W1076" s="16" t="n">
        <x:v>0</x:v>
      </x:c>
      <x:c r="X1076" s="16" t="n">
        <x:v>0</x:v>
      </x:c>
      <x:c r="Y1076" s="16" t="n">
        <x:v>0</x:v>
      </x:c>
      <x:c r="Z1076" s="16" t="n">
        <x:v>0</x:v>
      </x:c>
      <x:c r="AA1076" s="16" t="n">
        <x:v>3</x:v>
      </x:c>
      <x:c r="AB1076" s="16" t="n">
        <x:v>11</x:v>
      </x:c>
      <x:c r="AC1076" s="16" t="n">
        <x:v>0</x:v>
      </x:c>
      <x:c r="AD1076" s="21" t="n">
        <x:f>IF(E1076="",MEDIAN($E$2:$E$2237),E1076)</x:f>
        <x:v>26907</x:v>
      </x:c>
      <x:c r="AE1076" s="17" t="n">
        <x:f>2014-B1076</x:f>
        <x:v>38</x:v>
      </x:c>
      <x:c r="AF1076" s="17" t="n">
        <x:f>F1076+G1076</x:f>
        <x:v>2</x:v>
      </x:c>
      <x:c r="AG1076" s="21" t="n">
        <x:f>SUM(J1076:O1076)</x:f>
        <x:v>22</x:v>
      </x:c>
      <x:c r="AH1076" s="17" t="n">
        <x:f>SUM(Q1076:S1076)</x:f>
        <x:v>4</x:v>
      </x:c>
      <x:c r="AI1076" s="17" t="n">
        <x:f>SUM(U1076:Y1076)</x:f>
        <x:v>0</x:v>
      </x:c>
      <x:c r="AJ1076" s="17" t="str">
        <x:f>IF(AE1076&lt;=34,"≤34",IF(AE1076&lt;=44,"35–44",IF(AE1076&lt;=54,"45–54",IF(AE1076&lt;=64,"55–64","65+"))))</x:f>
        <x:v>35–44</x:v>
      </x:c>
      <x:c r="AK1076" s="17" t="str">
        <x:f>IF(AG1076&gt;=1000,"High Value",IF(AG1076&gt;=300,"Mid Value","Low Value"))</x:f>
        <x:v>Low Value</x:v>
      </x:c>
      <x:c r="AL1076" s="17" t="str">
        <x:f>IF(AND(AI1076&gt;=1,I1076&lt;=50),"Priority 1",IF(AND(AG1076&gt;=1000,I1076&lt;=60),"Priority 2",IF(I1076&lt;=30,"Priority 3","Nurture")))</x:f>
        <x:v>Priority 3</x:v>
      </x:c>
    </x:row>
    <x:row r="1077">
      <x:c r="A1077" s="16" t="n">
        <x:v>10855</x:v>
      </x:c>
      <x:c r="B1077" s="16" t="n">
        <x:v>1968</x:v>
      </x:c>
      <x:c r="C1077" s="16" t="str">
        <x:v>Master</x:v>
      </x:c>
      <x:c r="D1077" s="16" t="str">
        <x:v>Single</x:v>
      </x:c>
      <x:c r="E1077" s="16" t="n">
        <x:v>50014</x:v>
      </x:c>
      <x:c r="F1077" s="16" t="n">
        <x:v>1</x:v>
      </x:c>
      <x:c r="G1077" s="16" t="n">
        <x:v>0</x:v>
      </x:c>
      <x:c r="H1077" s="16" t="str">
        <x:v>22-01-2014</x:v>
      </x:c>
      <x:c r="I1077" s="16" t="n">
        <x:v>9</x:v>
      </x:c>
      <x:c r="J1077" s="16" t="n">
        <x:v>234</x:v>
      </x:c>
      <x:c r="K1077" s="16" t="n">
        <x:v>14</x:v>
      </x:c>
      <x:c r="L1077" s="16" t="n">
        <x:v>77</x:v>
      </x:c>
      <x:c r="M1077" s="16" t="n">
        <x:v>19</x:v>
      </x:c>
      <x:c r="N1077" s="16" t="n">
        <x:v>10</x:v>
      </x:c>
      <x:c r="O1077" s="16" t="n">
        <x:v>42</x:v>
      </x:c>
      <x:c r="P1077" s="16" t="n">
        <x:v>2</x:v>
      </x:c>
      <x:c r="Q1077" s="16" t="n">
        <x:v>4</x:v>
      </x:c>
      <x:c r="R1077" s="16" t="n">
        <x:v>1</x:v>
      </x:c>
      <x:c r="S1077" s="16" t="n">
        <x:v>8</x:v>
      </x:c>
      <x:c r="T1077" s="16" t="n">
        <x:v>5</x:v>
      </x:c>
      <x:c r="U1077" s="16" t="n">
        <x:v>0</x:v>
      </x:c>
      <x:c r="V1077" s="16" t="n">
        <x:v>0</x:v>
      </x:c>
      <x:c r="W1077" s="16" t="n">
        <x:v>0</x:v>
      </x:c>
      <x:c r="X1077" s="16" t="n">
        <x:v>0</x:v>
      </x:c>
      <x:c r="Y1077" s="16" t="n">
        <x:v>0</x:v>
      </x:c>
      <x:c r="Z1077" s="16" t="n">
        <x:v>0</x:v>
      </x:c>
      <x:c r="AA1077" s="16" t="n">
        <x:v>3</x:v>
      </x:c>
      <x:c r="AB1077" s="16" t="n">
        <x:v>11</x:v>
      </x:c>
      <x:c r="AC1077" s="16" t="n">
        <x:v>0</x:v>
      </x:c>
      <x:c r="AD1077" s="21" t="n">
        <x:f>IF(E1077="",MEDIAN($E$2:$E$2237),E1077)</x:f>
        <x:v>50014</x:v>
      </x:c>
      <x:c r="AE1077" s="17" t="n">
        <x:f>2014-B1077</x:f>
        <x:v>46</x:v>
      </x:c>
      <x:c r="AF1077" s="17" t="n">
        <x:f>F1077+G1077</x:f>
        <x:v>1</x:v>
      </x:c>
      <x:c r="AG1077" s="21" t="n">
        <x:f>SUM(J1077:O1077)</x:f>
        <x:v>396</x:v>
      </x:c>
      <x:c r="AH1077" s="17" t="n">
        <x:f>SUM(Q1077:S1077)</x:f>
        <x:v>13</x:v>
      </x:c>
      <x:c r="AI1077" s="17" t="n">
        <x:f>SUM(U1077:Y1077)</x:f>
        <x:v>0</x:v>
      </x:c>
      <x:c r="AJ1077" s="17" t="str">
        <x:f>IF(AE1077&lt;=34,"≤34",IF(AE1077&lt;=44,"35–44",IF(AE1077&lt;=54,"45–54",IF(AE1077&lt;=64,"55–64","65+"))))</x:f>
        <x:v>45–54</x:v>
      </x:c>
      <x:c r="AK1077" s="17" t="str">
        <x:f>IF(AG1077&gt;=1000,"High Value",IF(AG1077&gt;=300,"Mid Value","Low Value"))</x:f>
        <x:v>Mid Value</x:v>
      </x:c>
      <x:c r="AL1077" s="17" t="str">
        <x:f>IF(AND(AI1077&gt;=1,I1077&lt;=50),"Priority 1",IF(AND(AG1077&gt;=1000,I1077&lt;=60),"Priority 2",IF(I1077&lt;=30,"Priority 3","Nurture")))</x:f>
        <x:v>Priority 3</x:v>
      </x:c>
    </x:row>
    <x:row r="1078">
      <x:c r="A1078" s="16" t="n">
        <x:v>3081</x:v>
      </x:c>
      <x:c r="B1078" s="16" t="n">
        <x:v>1978</x:v>
      </x:c>
      <x:c r="C1078" s="16" t="str">
        <x:v>PhD</x:v>
      </x:c>
      <x:c r="D1078" s="16" t="str">
        <x:v>Married</x:v>
      </x:c>
      <x:c r="E1078" s="16" t="n">
        <x:v>41014</x:v>
      </x:c>
      <x:c r="F1078" s="16" t="n">
        <x:v>1</x:v>
      </x:c>
      <x:c r="G1078" s="16" t="n">
        <x:v>0</x:v>
      </x:c>
      <x:c r="H1078" s="16" t="str">
        <x:v>22-04-2013</x:v>
      </x:c>
      <x:c r="I1078" s="16" t="n">
        <x:v>65</x:v>
      </x:c>
      <x:c r="J1078" s="16" t="n">
        <x:v>7</x:v>
      </x:c>
      <x:c r="K1078" s="16" t="n">
        <x:v>2</x:v>
      </x:c>
      <x:c r="L1078" s="16" t="n">
        <x:v>6</x:v>
      </x:c>
      <x:c r="M1078" s="16" t="n">
        <x:v>2</x:v>
      </x:c>
      <x:c r="N1078" s="16" t="n">
        <x:v>0</x:v>
      </x:c>
      <x:c r="O1078" s="16" t="n">
        <x:v>3</x:v>
      </x:c>
      <x:c r="P1078" s="16" t="n">
        <x:v>1</x:v>
      </x:c>
      <x:c r="Q1078" s="16" t="n">
        <x:v>1</x:v>
      </x:c>
      <x:c r="R1078" s="16" t="n">
        <x:v>0</x:v>
      </x:c>
      <x:c r="S1078" s="16" t="n">
        <x:v>2</x:v>
      </x:c>
      <x:c r="T1078" s="16" t="n">
        <x:v>7</x:v>
      </x:c>
      <x:c r="U1078" s="16" t="n">
        <x:v>0</x:v>
      </x:c>
      <x:c r="V1078" s="16" t="n">
        <x:v>0</x:v>
      </x:c>
      <x:c r="W1078" s="16" t="n">
        <x:v>0</x:v>
      </x:c>
      <x:c r="X1078" s="16" t="n">
        <x:v>0</x:v>
      </x:c>
      <x:c r="Y1078" s="16" t="n">
        <x:v>0</x:v>
      </x:c>
      <x:c r="Z1078" s="16" t="n">
        <x:v>0</x:v>
      </x:c>
      <x:c r="AA1078" s="16" t="n">
        <x:v>3</x:v>
      </x:c>
      <x:c r="AB1078" s="16" t="n">
        <x:v>11</x:v>
      </x:c>
      <x:c r="AC1078" s="16" t="n">
        <x:v>0</x:v>
      </x:c>
      <x:c r="AD1078" s="21" t="n">
        <x:f>IF(E1078="",MEDIAN($E$2:$E$2237),E1078)</x:f>
        <x:v>41014</x:v>
      </x:c>
      <x:c r="AE1078" s="17" t="n">
        <x:f>2014-B1078</x:f>
        <x:v>36</x:v>
      </x:c>
      <x:c r="AF1078" s="17" t="n">
        <x:f>F1078+G1078</x:f>
        <x:v>1</x:v>
      </x:c>
      <x:c r="AG1078" s="21" t="n">
        <x:f>SUM(J1078:O1078)</x:f>
        <x:v>20</x:v>
      </x:c>
      <x:c r="AH1078" s="17" t="n">
        <x:f>SUM(Q1078:S1078)</x:f>
        <x:v>3</x:v>
      </x:c>
      <x:c r="AI1078" s="17" t="n">
        <x:f>SUM(U1078:Y1078)</x:f>
        <x:v>0</x:v>
      </x:c>
      <x:c r="AJ1078" s="17" t="str">
        <x:f>IF(AE1078&lt;=34,"≤34",IF(AE1078&lt;=44,"35–44",IF(AE1078&lt;=54,"45–54",IF(AE1078&lt;=64,"55–64","65+"))))</x:f>
        <x:v>35–44</x:v>
      </x:c>
      <x:c r="AK1078" s="17" t="str">
        <x:f>IF(AG1078&gt;=1000,"High Value",IF(AG1078&gt;=300,"Mid Value","Low Value"))</x:f>
        <x:v>Low Value</x:v>
      </x:c>
      <x:c r="AL1078" s="17" t="str">
        <x:f>IF(AND(AI1078&gt;=1,I1078&lt;=50),"Priority 1",IF(AND(AG1078&gt;=1000,I1078&lt;=60),"Priority 2",IF(I1078&lt;=30,"Priority 3","Nurture")))</x:f>
        <x:v>Nurture</x:v>
      </x:c>
    </x:row>
    <x:row r="1079">
      <x:c r="A1079" s="16" t="n">
        <x:v>3535</x:v>
      </x:c>
      <x:c r="B1079" s="16" t="n">
        <x:v>1965</x:v>
      </x:c>
      <x:c r="C1079" s="16" t="str">
        <x:v>Graduation</x:v>
      </x:c>
      <x:c r="D1079" s="16" t="str">
        <x:v>Single</x:v>
      </x:c>
      <x:c r="E1079" s="16" t="n">
        <x:v>66294</x:v>
      </x:c>
      <x:c r="F1079" s="16" t="n">
        <x:v>0</x:v>
      </x:c>
      <x:c r="G1079" s="16" t="n">
        <x:v>0</x:v>
      </x:c>
      <x:c r="H1079" s="16" t="str">
        <x:v>17-03-2014</x:v>
      </x:c>
      <x:c r="I1079" s="16" t="n">
        <x:v>68</x:v>
      </x:c>
      <x:c r="J1079" s="16" t="n">
        <x:v>251</x:v>
      </x:c>
      <x:c r="K1079" s="16" t="n">
        <x:v>108</x:v>
      </x:c>
      <x:c r="L1079" s="16" t="n">
        <x:v>334</x:v>
      </x:c>
      <x:c r="M1079" s="16" t="n">
        <x:v>65</x:v>
      </x:c>
      <x:c r="N1079" s="16" t="n">
        <x:v>92</x:v>
      </x:c>
      <x:c r="O1079" s="16" t="n">
        <x:v>117</x:v>
      </x:c>
      <x:c r="P1079" s="16" t="n">
        <x:v>1</x:v>
      </x:c>
      <x:c r="Q1079" s="16" t="n">
        <x:v>4</x:v>
      </x:c>
      <x:c r="R1079" s="16" t="n">
        <x:v>3</x:v>
      </x:c>
      <x:c r="S1079" s="16" t="n">
        <x:v>5</x:v>
      </x:c>
      <x:c r="T1079" s="16" t="n">
        <x:v>2</x:v>
      </x:c>
      <x:c r="U1079" s="16" t="n">
        <x:v>0</x:v>
      </x:c>
      <x:c r="V1079" s="16" t="n">
        <x:v>0</x:v>
      </x:c>
      <x:c r="W1079" s="16" t="n">
        <x:v>0</x:v>
      </x:c>
      <x:c r="X1079" s="16" t="n">
        <x:v>0</x:v>
      </x:c>
      <x:c r="Y1079" s="16" t="n">
        <x:v>0</x:v>
      </x:c>
      <x:c r="Z1079" s="16" t="n">
        <x:v>0</x:v>
      </x:c>
      <x:c r="AA1079" s="16" t="n">
        <x:v>3</x:v>
      </x:c>
      <x:c r="AB1079" s="16" t="n">
        <x:v>11</x:v>
      </x:c>
      <x:c r="AC1079" s="16" t="n">
        <x:v>0</x:v>
      </x:c>
      <x:c r="AD1079" s="21" t="n">
        <x:f>IF(E1079="",MEDIAN($E$2:$E$2237),E1079)</x:f>
        <x:v>66294</x:v>
      </x:c>
      <x:c r="AE1079" s="17" t="n">
        <x:f>2014-B1079</x:f>
        <x:v>49</x:v>
      </x:c>
      <x:c r="AF1079" s="17" t="n">
        <x:f>F1079+G1079</x:f>
        <x:v>0</x:v>
      </x:c>
      <x:c r="AG1079" s="21" t="n">
        <x:f>SUM(J1079:O1079)</x:f>
        <x:v>967</x:v>
      </x:c>
      <x:c r="AH1079" s="17" t="n">
        <x:f>SUM(Q1079:S1079)</x:f>
        <x:v>12</x:v>
      </x:c>
      <x:c r="AI1079" s="17" t="n">
        <x:f>SUM(U1079:Y1079)</x:f>
        <x:v>0</x:v>
      </x:c>
      <x:c r="AJ1079" s="17" t="str">
        <x:f>IF(AE1079&lt;=34,"≤34",IF(AE1079&lt;=44,"35–44",IF(AE1079&lt;=54,"45–54",IF(AE1079&lt;=64,"55–64","65+"))))</x:f>
        <x:v>45–54</x:v>
      </x:c>
      <x:c r="AK1079" s="17" t="str">
        <x:f>IF(AG1079&gt;=1000,"High Value",IF(AG1079&gt;=300,"Mid Value","Low Value"))</x:f>
        <x:v>Mid Value</x:v>
      </x:c>
      <x:c r="AL1079" s="17" t="str">
        <x:f>IF(AND(AI1079&gt;=1,I1079&lt;=50),"Priority 1",IF(AND(AG1079&gt;=1000,I1079&lt;=60),"Priority 2",IF(I1079&lt;=30,"Priority 3","Nurture")))</x:f>
        <x:v>Nurture</x:v>
      </x:c>
    </x:row>
    <x:row r="1080">
      <x:c r="A1080" s="16" t="n">
        <x:v>247</x:v>
      </x:c>
      <x:c r="B1080" s="16" t="n">
        <x:v>1971</x:v>
      </x:c>
      <x:c r="C1080" s="16" t="str">
        <x:v>Graduation</x:v>
      </x:c>
      <x:c r="D1080" s="16" t="str">
        <x:v>Married</x:v>
      </x:c>
      <x:c r="E1080" s="16" t="n">
        <x:v>36715</x:v>
      </x:c>
      <x:c r="F1080" s="16" t="n">
        <x:v>1</x:v>
      </x:c>
      <x:c r="G1080" s="16" t="n">
        <x:v>0</x:v>
      </x:c>
      <x:c r="H1080" s="16" t="str">
        <x:v>17-11-2012</x:v>
      </x:c>
      <x:c r="I1080" s="16" t="n">
        <x:v>16</x:v>
      </x:c>
      <x:c r="J1080" s="16" t="n">
        <x:v>172</x:v>
      </x:c>
      <x:c r="K1080" s="16" t="n">
        <x:v>10</x:v>
      </x:c>
      <x:c r="L1080" s="16" t="n">
        <x:v>125</x:v>
      </x:c>
      <x:c r="M1080" s="16" t="n">
        <x:v>21</x:v>
      </x:c>
      <x:c r="N1080" s="16" t="n">
        <x:v>13</x:v>
      </x:c>
      <x:c r="O1080" s="16" t="n">
        <x:v>16</x:v>
      </x:c>
      <x:c r="P1080" s="16" t="n">
        <x:v>6</x:v>
      </x:c>
      <x:c r="Q1080" s="16" t="n">
        <x:v>7</x:v>
      </x:c>
      <x:c r="R1080" s="16" t="n">
        <x:v>2</x:v>
      </x:c>
      <x:c r="S1080" s="16" t="n">
        <x:v>4</x:v>
      </x:c>
      <x:c r="T1080" s="16" t="n">
        <x:v>9</x:v>
      </x:c>
      <x:c r="U1080" s="16" t="n">
        <x:v>0</x:v>
      </x:c>
      <x:c r="V1080" s="16" t="n">
        <x:v>0</x:v>
      </x:c>
      <x:c r="W1080" s="16" t="n">
        <x:v>0</x:v>
      </x:c>
      <x:c r="X1080" s="16" t="n">
        <x:v>0</x:v>
      </x:c>
      <x:c r="Y1080" s="16" t="n">
        <x:v>0</x:v>
      </x:c>
      <x:c r="Z1080" s="16" t="n">
        <x:v>0</x:v>
      </x:c>
      <x:c r="AA1080" s="16" t="n">
        <x:v>3</x:v>
      </x:c>
      <x:c r="AB1080" s="16" t="n">
        <x:v>11</x:v>
      </x:c>
      <x:c r="AC1080" s="16" t="n">
        <x:v>1</x:v>
      </x:c>
      <x:c r="AD1080" s="21" t="n">
        <x:f>IF(E1080="",MEDIAN($E$2:$E$2237),E1080)</x:f>
        <x:v>36715</x:v>
      </x:c>
      <x:c r="AE1080" s="17" t="n">
        <x:f>2014-B1080</x:f>
        <x:v>43</x:v>
      </x:c>
      <x:c r="AF1080" s="17" t="n">
        <x:f>F1080+G1080</x:f>
        <x:v>1</x:v>
      </x:c>
      <x:c r="AG1080" s="21" t="n">
        <x:f>SUM(J1080:O1080)</x:f>
        <x:v>357</x:v>
      </x:c>
      <x:c r="AH1080" s="17" t="n">
        <x:f>SUM(Q1080:S1080)</x:f>
        <x:v>13</x:v>
      </x:c>
      <x:c r="AI1080" s="17" t="n">
        <x:f>SUM(U1080:Y1080)</x:f>
        <x:v>0</x:v>
      </x:c>
      <x:c r="AJ1080" s="17" t="str">
        <x:f>IF(AE1080&lt;=34,"≤34",IF(AE1080&lt;=44,"35–44",IF(AE1080&lt;=54,"45–54",IF(AE1080&lt;=64,"55–64","65+"))))</x:f>
        <x:v>35–44</x:v>
      </x:c>
      <x:c r="AK1080" s="17" t="str">
        <x:f>IF(AG1080&gt;=1000,"High Value",IF(AG1080&gt;=300,"Mid Value","Low Value"))</x:f>
        <x:v>Mid Value</x:v>
      </x:c>
      <x:c r="AL1080" s="17" t="str">
        <x:f>IF(AND(AI1080&gt;=1,I1080&lt;=50),"Priority 1",IF(AND(AG1080&gt;=1000,I1080&lt;=60),"Priority 2",IF(I1080&lt;=30,"Priority 3","Nurture")))</x:f>
        <x:v>Priority 3</x:v>
      </x:c>
    </x:row>
    <x:row r="1081">
      <x:c r="A1081" s="16" t="n">
        <x:v>8707</x:v>
      </x:c>
      <x:c r="B1081" s="16" t="n">
        <x:v>1956</x:v>
      </x:c>
      <x:c r="C1081" s="16" t="str">
        <x:v>Graduation</x:v>
      </x:c>
      <x:c r="D1081" s="16" t="str">
        <x:v>Married</x:v>
      </x:c>
      <x:c r="E1081" s="16" t="n">
        <x:v>79456</x:v>
      </x:c>
      <x:c r="F1081" s="16" t="n">
        <x:v>0</x:v>
      </x:c>
      <x:c r="G1081" s="16" t="n">
        <x:v>0</x:v>
      </x:c>
      <x:c r="H1081" s="16" t="str">
        <x:v>22-08-2012</x:v>
      </x:c>
      <x:c r="I1081" s="16" t="n">
        <x:v>12</x:v>
      </x:c>
      <x:c r="J1081" s="16" t="n">
        <x:v>565</x:v>
      </x:c>
      <x:c r="K1081" s="16" t="n">
        <x:v>42</x:v>
      </x:c>
      <x:c r="L1081" s="16" t="n">
        <x:v>548</x:v>
      </x:c>
      <x:c r="M1081" s="16" t="n">
        <x:v>64</x:v>
      </x:c>
      <x:c r="N1081" s="16" t="n">
        <x:v>83</x:v>
      </x:c>
      <x:c r="O1081" s="16" t="n">
        <x:v>99</x:v>
      </x:c>
      <x:c r="P1081" s="16" t="n">
        <x:v>1</x:v>
      </x:c>
      <x:c r="Q1081" s="16" t="n">
        <x:v>5</x:v>
      </x:c>
      <x:c r="R1081" s="16" t="n">
        <x:v>6</x:v>
      </x:c>
      <x:c r="S1081" s="16" t="n">
        <x:v>4</x:v>
      </x:c>
      <x:c r="T1081" s="16" t="n">
        <x:v>3</x:v>
      </x:c>
      <x:c r="U1081" s="16" t="n">
        <x:v>0</x:v>
      </x:c>
      <x:c r="V1081" s="16" t="n">
        <x:v>0</x:v>
      </x:c>
      <x:c r="W1081" s="16" t="n">
        <x:v>0</x:v>
      </x:c>
      <x:c r="X1081" s="16" t="n">
        <x:v>0</x:v>
      </x:c>
      <x:c r="Y1081" s="16" t="n">
        <x:v>0</x:v>
      </x:c>
      <x:c r="Z1081" s="16" t="n">
        <x:v>0</x:v>
      </x:c>
      <x:c r="AA1081" s="16" t="n">
        <x:v>3</x:v>
      </x:c>
      <x:c r="AB1081" s="16" t="n">
        <x:v>11</x:v>
      </x:c>
      <x:c r="AC1081" s="16" t="n">
        <x:v>1</x:v>
      </x:c>
      <x:c r="AD1081" s="21" t="n">
        <x:f>IF(E1081="",MEDIAN($E$2:$E$2237),E1081)</x:f>
        <x:v>79456</x:v>
      </x:c>
      <x:c r="AE1081" s="17" t="n">
        <x:f>2014-B1081</x:f>
        <x:v>58</x:v>
      </x:c>
      <x:c r="AF1081" s="17" t="n">
        <x:f>F1081+G1081</x:f>
        <x:v>0</x:v>
      </x:c>
      <x:c r="AG1081" s="21" t="n">
        <x:f>SUM(J1081:O1081)</x:f>
        <x:v>1401</x:v>
      </x:c>
      <x:c r="AH1081" s="17" t="n">
        <x:f>SUM(Q1081:S1081)</x:f>
        <x:v>15</x:v>
      </x:c>
      <x:c r="AI1081" s="17" t="n">
        <x:f>SUM(U1081:Y1081)</x:f>
        <x:v>0</x:v>
      </x:c>
      <x:c r="AJ1081" s="17" t="str">
        <x:f>IF(AE1081&lt;=34,"≤34",IF(AE1081&lt;=44,"35–44",IF(AE1081&lt;=54,"45–54",IF(AE1081&lt;=64,"55–64","65+"))))</x:f>
        <x:v>55–64</x:v>
      </x:c>
      <x:c r="AK1081" s="17" t="str">
        <x:f>IF(AG1081&gt;=1000,"High Value",IF(AG1081&gt;=300,"Mid Value","Low Value"))</x:f>
        <x:v>High Value</x:v>
      </x:c>
      <x:c r="AL1081" s="17" t="str">
        <x:f>IF(AND(AI1081&gt;=1,I1081&lt;=50),"Priority 1",IF(AND(AG1081&gt;=1000,I1081&lt;=60),"Priority 2",IF(I1081&lt;=30,"Priority 3","Nurture")))</x:f>
        <x:v>Priority 2</x:v>
      </x:c>
    </x:row>
    <x:row r="1082">
      <x:c r="A1082" s="16" t="n">
        <x:v>9523</x:v>
      </x:c>
      <x:c r="B1082" s="16" t="n">
        <x:v>1982</x:v>
      </x:c>
      <x:c r="C1082" s="16" t="str">
        <x:v>Graduation</x:v>
      </x:c>
      <x:c r="D1082" s="16" t="str">
        <x:v>Together</x:v>
      </x:c>
      <x:c r="E1082" s="16" t="n">
        <x:v>40479</x:v>
      </x:c>
      <x:c r="F1082" s="16" t="n">
        <x:v>1</x:v>
      </x:c>
      <x:c r="G1082" s="16" t="n">
        <x:v>0</x:v>
      </x:c>
      <x:c r="H1082" s="16" t="str">
        <x:v>17-08-2013</x:v>
      </x:c>
      <x:c r="I1082" s="16" t="n">
        <x:v>95</x:v>
      </x:c>
      <x:c r="J1082" s="16" t="n">
        <x:v>5</x:v>
      </x:c>
      <x:c r="K1082" s="16" t="n">
        <x:v>0</x:v>
      </x:c>
      <x:c r="L1082" s="16" t="n">
        <x:v>8</x:v>
      </x:c>
      <x:c r="M1082" s="16" t="n">
        <x:v>2</x:v>
      </x:c>
      <x:c r="N1082" s="16" t="n">
        <x:v>0</x:v>
      </x:c>
      <x:c r="O1082" s="16" t="n">
        <x:v>0</x:v>
      </x:c>
      <x:c r="P1082" s="16" t="n">
        <x:v>1</x:v>
      </x:c>
      <x:c r="Q1082" s="16" t="n">
        <x:v>0</x:v>
      </x:c>
      <x:c r="R1082" s="16" t="n">
        <x:v>0</x:v>
      </x:c>
      <x:c r="S1082" s="16" t="n">
        <x:v>3</x:v>
      </x:c>
      <x:c r="T1082" s="16" t="n">
        <x:v>4</x:v>
      </x:c>
      <x:c r="U1082" s="16" t="n">
        <x:v>0</x:v>
      </x:c>
      <x:c r="V1082" s="16" t="n">
        <x:v>0</x:v>
      </x:c>
      <x:c r="W1082" s="16" t="n">
        <x:v>0</x:v>
      </x:c>
      <x:c r="X1082" s="16" t="n">
        <x:v>0</x:v>
      </x:c>
      <x:c r="Y1082" s="16" t="n">
        <x:v>0</x:v>
      </x:c>
      <x:c r="Z1082" s="16" t="n">
        <x:v>0</x:v>
      </x:c>
      <x:c r="AA1082" s="16" t="n">
        <x:v>3</x:v>
      </x:c>
      <x:c r="AB1082" s="16" t="n">
        <x:v>11</x:v>
      </x:c>
      <x:c r="AC1082" s="16" t="n">
        <x:v>0</x:v>
      </x:c>
      <x:c r="AD1082" s="21" t="n">
        <x:f>IF(E1082="",MEDIAN($E$2:$E$2237),E1082)</x:f>
        <x:v>40479</x:v>
      </x:c>
      <x:c r="AE1082" s="17" t="n">
        <x:f>2014-B1082</x:f>
        <x:v>32</x:v>
      </x:c>
      <x:c r="AF1082" s="17" t="n">
        <x:f>F1082+G1082</x:f>
        <x:v>1</x:v>
      </x:c>
      <x:c r="AG1082" s="21" t="n">
        <x:f>SUM(J1082:O1082)</x:f>
        <x:v>15</x:v>
      </x:c>
      <x:c r="AH1082" s="17" t="n">
        <x:f>SUM(Q1082:S1082)</x:f>
        <x:v>3</x:v>
      </x:c>
      <x:c r="AI1082" s="17" t="n">
        <x:f>SUM(U1082:Y1082)</x:f>
        <x:v>0</x:v>
      </x:c>
      <x:c r="AJ1082" s="17" t="str">
        <x:f>IF(AE1082&lt;=34,"≤34",IF(AE1082&lt;=44,"35–44",IF(AE1082&lt;=54,"45–54",IF(AE1082&lt;=64,"55–64","65+"))))</x:f>
        <x:v>≤34</x:v>
      </x:c>
      <x:c r="AK1082" s="17" t="str">
        <x:f>IF(AG1082&gt;=1000,"High Value",IF(AG1082&gt;=300,"Mid Value","Low Value"))</x:f>
        <x:v>Low Value</x:v>
      </x:c>
      <x:c r="AL1082" s="17" t="str">
        <x:f>IF(AND(AI1082&gt;=1,I1082&lt;=50),"Priority 1",IF(AND(AG1082&gt;=1000,I1082&lt;=60),"Priority 2",IF(I1082&lt;=30,"Priority 3","Nurture")))</x:f>
        <x:v>Nurture</x:v>
      </x:c>
    </x:row>
    <x:row r="1083">
      <x:c r="A1083" s="16" t="n">
        <x:v>6072</x:v>
      </x:c>
      <x:c r="B1083" s="16" t="n">
        <x:v>1970</x:v>
      </x:c>
      <x:c r="C1083" s="16" t="str">
        <x:v>Master</x:v>
      </x:c>
      <x:c r="D1083" s="16" t="str">
        <x:v>Single</x:v>
      </x:c>
      <x:c r="E1083" s="16" t="n">
        <x:v>75345</x:v>
      </x:c>
      <x:c r="F1083" s="16" t="n">
        <x:v>0</x:v>
      </x:c>
      <x:c r="G1083" s="16" t="n">
        <x:v>0</x:v>
      </x:c>
      <x:c r="H1083" s="16" t="str">
        <x:v>02-02-2013</x:v>
      </x:c>
      <x:c r="I1083" s="16" t="n">
        <x:v>16</x:v>
      </x:c>
      <x:c r="J1083" s="16" t="n">
        <x:v>918</x:v>
      </x:c>
      <x:c r="K1083" s="16" t="n">
        <x:v>57</x:v>
      </x:c>
      <x:c r="L1083" s="16" t="n">
        <x:v>842</x:v>
      </x:c>
      <x:c r="M1083" s="16" t="n">
        <x:v>99</x:v>
      </x:c>
      <x:c r="N1083" s="16" t="n">
        <x:v>38</x:v>
      </x:c>
      <x:c r="O1083" s="16" t="n">
        <x:v>133</x:v>
      </x:c>
      <x:c r="P1083" s="16" t="n">
        <x:v>1</x:v>
      </x:c>
      <x:c r="Q1083" s="16" t="n">
        <x:v>5</x:v>
      </x:c>
      <x:c r="R1083" s="16" t="n">
        <x:v>8</x:v>
      </x:c>
      <x:c r="S1083" s="16" t="n">
        <x:v>6</x:v>
      </x:c>
      <x:c r="T1083" s="16" t="n">
        <x:v>3</x:v>
      </x:c>
      <x:c r="U1083" s="16" t="n">
        <x:v>0</x:v>
      </x:c>
      <x:c r="V1083" s="16" t="n">
        <x:v>0</x:v>
      </x:c>
      <x:c r="W1083" s="16" t="n">
        <x:v>0</x:v>
      </x:c>
      <x:c r="X1083" s="16" t="n">
        <x:v>1</x:v>
      </x:c>
      <x:c r="Y1083" s="16" t="n">
        <x:v>0</x:v>
      </x:c>
      <x:c r="Z1083" s="16" t="n">
        <x:v>0</x:v>
      </x:c>
      <x:c r="AA1083" s="16" t="n">
        <x:v>3</x:v>
      </x:c>
      <x:c r="AB1083" s="16" t="n">
        <x:v>11</x:v>
      </x:c>
      <x:c r="AC1083" s="16" t="n">
        <x:v>1</x:v>
      </x:c>
      <x:c r="AD1083" s="21" t="n">
        <x:f>IF(E1083="",MEDIAN($E$2:$E$2237),E1083)</x:f>
        <x:v>75345</x:v>
      </x:c>
      <x:c r="AE1083" s="17" t="n">
        <x:f>2014-B1083</x:f>
        <x:v>44</x:v>
      </x:c>
      <x:c r="AF1083" s="17" t="n">
        <x:f>F1083+G1083</x:f>
        <x:v>0</x:v>
      </x:c>
      <x:c r="AG1083" s="21" t="n">
        <x:f>SUM(J1083:O1083)</x:f>
        <x:v>2087</x:v>
      </x:c>
      <x:c r="AH1083" s="17" t="n">
        <x:f>SUM(Q1083:S1083)</x:f>
        <x:v>19</x:v>
      </x:c>
      <x:c r="AI1083" s="17" t="n">
        <x:f>SUM(U1083:Y1083)</x:f>
        <x:v>1</x:v>
      </x:c>
      <x:c r="AJ1083" s="17" t="str">
        <x:f>IF(AE1083&lt;=34,"≤34",IF(AE1083&lt;=44,"35–44",IF(AE1083&lt;=54,"45–54",IF(AE1083&lt;=64,"55–64","65+"))))</x:f>
        <x:v>35–44</x:v>
      </x:c>
      <x:c r="AK1083" s="17" t="str">
        <x:f>IF(AG1083&gt;=1000,"High Value",IF(AG1083&gt;=300,"Mid Value","Low Value"))</x:f>
        <x:v>High Value</x:v>
      </x:c>
      <x:c r="AL1083" s="17" t="str">
        <x:f>IF(AND(AI1083&gt;=1,I1083&lt;=50),"Priority 1",IF(AND(AG1083&gt;=1000,I1083&lt;=60),"Priority 2",IF(I1083&lt;=30,"Priority 3","Nurture")))</x:f>
        <x:v>Priority 1</x:v>
      </x:c>
    </x:row>
    <x:row r="1084">
      <x:c r="A1084" s="16" t="n">
        <x:v>6295</x:v>
      </x:c>
      <x:c r="B1084" s="16" t="n">
        <x:v>1977</x:v>
      </x:c>
      <x:c r="C1084" s="16" t="str">
        <x:v>Graduation</x:v>
      </x:c>
      <x:c r="D1084" s="16" t="str">
        <x:v>Married</x:v>
      </x:c>
      <x:c r="E1084" s="16" t="n">
        <x:v>54233</x:v>
      </x:c>
      <x:c r="F1084" s="16" t="n">
        <x:v>0</x:v>
      </x:c>
      <x:c r="G1084" s="16" t="n">
        <x:v>1</x:v>
      </x:c>
      <x:c r="H1084" s="16" t="str">
        <x:v>04-02-2013</x:v>
      </x:c>
      <x:c r="I1084" s="16" t="n">
        <x:v>46</x:v>
      </x:c>
      <x:c r="J1084" s="16" t="n">
        <x:v>652</x:v>
      </x:c>
      <x:c r="K1084" s="16" t="n">
        <x:v>8</x:v>
      </x:c>
      <x:c r="L1084" s="16" t="n">
        <x:v>158</x:v>
      </x:c>
      <x:c r="M1084" s="16" t="n">
        <x:v>21</x:v>
      </x:c>
      <x:c r="N1084" s="16" t="n">
        <x:v>0</x:v>
      </x:c>
      <x:c r="O1084" s="16" t="n">
        <x:v>142</x:v>
      </x:c>
      <x:c r="P1084" s="16" t="n">
        <x:v>4</x:v>
      </x:c>
      <x:c r="Q1084" s="16" t="n">
        <x:v>11</x:v>
      </x:c>
      <x:c r="R1084" s="16" t="n">
        <x:v>6</x:v>
      </x:c>
      <x:c r="S1084" s="16" t="n">
        <x:v>5</x:v>
      </x:c>
      <x:c r="T1084" s="16" t="n">
        <x:v>8</x:v>
      </x:c>
      <x:c r="U1084" s="16" t="n">
        <x:v>0</x:v>
      </x:c>
      <x:c r="V1084" s="16" t="n">
        <x:v>0</x:v>
      </x:c>
      <x:c r="W1084" s="16" t="n">
        <x:v>0</x:v>
      </x:c>
      <x:c r="X1084" s="16" t="n">
        <x:v>0</x:v>
      </x:c>
      <x:c r="Y1084" s="16" t="n">
        <x:v>0</x:v>
      </x:c>
      <x:c r="Z1084" s="16" t="n">
        <x:v>0</x:v>
      </x:c>
      <x:c r="AA1084" s="16" t="n">
        <x:v>3</x:v>
      </x:c>
      <x:c r="AB1084" s="16" t="n">
        <x:v>11</x:v>
      </x:c>
      <x:c r="AC1084" s="16" t="n">
        <x:v>0</x:v>
      </x:c>
      <x:c r="AD1084" s="21" t="n">
        <x:f>IF(E1084="",MEDIAN($E$2:$E$2237),E1084)</x:f>
        <x:v>54233</x:v>
      </x:c>
      <x:c r="AE1084" s="17" t="n">
        <x:f>2014-B1084</x:f>
        <x:v>37</x:v>
      </x:c>
      <x:c r="AF1084" s="17" t="n">
        <x:f>F1084+G1084</x:f>
        <x:v>1</x:v>
      </x:c>
      <x:c r="AG1084" s="21" t="n">
        <x:f>SUM(J1084:O1084)</x:f>
        <x:v>981</x:v>
      </x:c>
      <x:c r="AH1084" s="17" t="n">
        <x:f>SUM(Q1084:S1084)</x:f>
        <x:v>22</x:v>
      </x:c>
      <x:c r="AI1084" s="17" t="n">
        <x:f>SUM(U1084:Y1084)</x:f>
        <x:v>0</x:v>
      </x:c>
      <x:c r="AJ1084" s="17" t="str">
        <x:f>IF(AE1084&lt;=34,"≤34",IF(AE1084&lt;=44,"35–44",IF(AE1084&lt;=54,"45–54",IF(AE1084&lt;=64,"55–64","65+"))))</x:f>
        <x:v>35–44</x:v>
      </x:c>
      <x:c r="AK1084" s="17" t="str">
        <x:f>IF(AG1084&gt;=1000,"High Value",IF(AG1084&gt;=300,"Mid Value","Low Value"))</x:f>
        <x:v>Mid Value</x:v>
      </x:c>
      <x:c r="AL1084" s="17" t="str">
        <x:f>IF(AND(AI1084&gt;=1,I1084&lt;=50),"Priority 1",IF(AND(AG1084&gt;=1000,I1084&lt;=60),"Priority 2",IF(I1084&lt;=30,"Priority 3","Nurture")))</x:f>
        <x:v>Nurture</x:v>
      </x:c>
    </x:row>
    <x:row r="1085">
      <x:c r="A1085" s="16" t="n">
        <x:v>10914</x:v>
      </x:c>
      <x:c r="B1085" s="16" t="n">
        <x:v>1970</x:v>
      </x:c>
      <x:c r="C1085" s="16" t="str">
        <x:v>Graduation</x:v>
      </x:c>
      <x:c r="D1085" s="16" t="str">
        <x:v>Single</x:v>
      </x:c>
      <x:c r="E1085" s="16" t="n">
        <x:v>24163</x:v>
      </x:c>
      <x:c r="F1085" s="16" t="n">
        <x:v>1</x:v>
      </x:c>
      <x:c r="G1085" s="16" t="n">
        <x:v>1</x:v>
      </x:c>
      <x:c r="H1085" s="16" t="str">
        <x:v>12-10-2013</x:v>
      </x:c>
      <x:c r="I1085" s="16" t="n">
        <x:v>3</x:v>
      </x:c>
      <x:c r="J1085" s="16" t="n">
        <x:v>4</x:v>
      </x:c>
      <x:c r="K1085" s="16" t="n">
        <x:v>1</x:v>
      </x:c>
      <x:c r="L1085" s="16" t="n">
        <x:v>7</x:v>
      </x:c>
      <x:c r="M1085" s="16" t="n">
        <x:v>2</x:v>
      </x:c>
      <x:c r="N1085" s="16" t="n">
        <x:v>1</x:v>
      </x:c>
      <x:c r="O1085" s="16" t="n">
        <x:v>2</x:v>
      </x:c>
      <x:c r="P1085" s="16" t="n">
        <x:v>2</x:v>
      </x:c>
      <x:c r="Q1085" s="16" t="n">
        <x:v>1</x:v>
      </x:c>
      <x:c r="R1085" s="16" t="n">
        <x:v>0</x:v>
      </x:c>
      <x:c r="S1085" s="16" t="n">
        <x:v>3</x:v>
      </x:c>
      <x:c r="T1085" s="16" t="n">
        <x:v>4</x:v>
      </x:c>
      <x:c r="U1085" s="16" t="n">
        <x:v>0</x:v>
      </x:c>
      <x:c r="V1085" s="16" t="n">
        <x:v>0</x:v>
      </x:c>
      <x:c r="W1085" s="16" t="n">
        <x:v>0</x:v>
      </x:c>
      <x:c r="X1085" s="16" t="n">
        <x:v>0</x:v>
      </x:c>
      <x:c r="Y1085" s="16" t="n">
        <x:v>0</x:v>
      </x:c>
      <x:c r="Z1085" s="16" t="n">
        <x:v>0</x:v>
      </x:c>
      <x:c r="AA1085" s="16" t="n">
        <x:v>3</x:v>
      </x:c>
      <x:c r="AB1085" s="16" t="n">
        <x:v>11</x:v>
      </x:c>
      <x:c r="AC1085" s="16" t="n">
        <x:v>0</x:v>
      </x:c>
      <x:c r="AD1085" s="21" t="n">
        <x:f>IF(E1085="",MEDIAN($E$2:$E$2237),E1085)</x:f>
        <x:v>24163</x:v>
      </x:c>
      <x:c r="AE1085" s="17" t="n">
        <x:f>2014-B1085</x:f>
        <x:v>44</x:v>
      </x:c>
      <x:c r="AF1085" s="17" t="n">
        <x:f>F1085+G1085</x:f>
        <x:v>2</x:v>
      </x:c>
      <x:c r="AG1085" s="21" t="n">
        <x:f>SUM(J1085:O1085)</x:f>
        <x:v>17</x:v>
      </x:c>
      <x:c r="AH1085" s="17" t="n">
        <x:f>SUM(Q1085:S1085)</x:f>
        <x:v>4</x:v>
      </x:c>
      <x:c r="AI1085" s="17" t="n">
        <x:f>SUM(U1085:Y1085)</x:f>
        <x:v>0</x:v>
      </x:c>
      <x:c r="AJ1085" s="17" t="str">
        <x:f>IF(AE1085&lt;=34,"≤34",IF(AE1085&lt;=44,"35–44",IF(AE1085&lt;=54,"45–54",IF(AE1085&lt;=64,"55–64","65+"))))</x:f>
        <x:v>35–44</x:v>
      </x:c>
      <x:c r="AK1085" s="17" t="str">
        <x:f>IF(AG1085&gt;=1000,"High Value",IF(AG1085&gt;=300,"Mid Value","Low Value"))</x:f>
        <x:v>Low Value</x:v>
      </x:c>
      <x:c r="AL1085" s="17" t="str">
        <x:f>IF(AND(AI1085&gt;=1,I1085&lt;=50),"Priority 1",IF(AND(AG1085&gt;=1000,I1085&lt;=60),"Priority 2",IF(I1085&lt;=30,"Priority 3","Nurture")))</x:f>
        <x:v>Priority 3</x:v>
      </x:c>
    </x:row>
    <x:row r="1086">
      <x:c r="A1086" s="16" t="n">
        <x:v>1509</x:v>
      </x:c>
      <x:c r="B1086" s="16" t="n">
        <x:v>1958</x:v>
      </x:c>
      <x:c r="C1086" s="16" t="str">
        <x:v>PhD</x:v>
      </x:c>
      <x:c r="D1086" s="16" t="str">
        <x:v>Together</x:v>
      </x:c>
      <x:c r="E1086" s="16" t="n">
        <x:v>84460</x:v>
      </x:c>
      <x:c r="F1086" s="16" t="n">
        <x:v>0</x:v>
      </x:c>
      <x:c r="G1086" s="16" t="n">
        <x:v>0</x:v>
      </x:c>
      <x:c r="H1086" s="16" t="str">
        <x:v>04-01-2013</x:v>
      </x:c>
      <x:c r="I1086" s="16" t="n">
        <x:v>80</x:v>
      </x:c>
      <x:c r="J1086" s="16" t="n">
        <x:v>152</x:v>
      </x:c>
      <x:c r="K1086" s="16" t="n">
        <x:v>27</x:v>
      </x:c>
      <x:c r="L1086" s="16" t="n">
        <x:v>103</x:v>
      </x:c>
      <x:c r="M1086" s="16" t="n">
        <x:v>106</x:v>
      </x:c>
      <x:c r="N1086" s="16" t="n">
        <x:v>54</x:v>
      </x:c>
      <x:c r="O1086" s="16" t="n">
        <x:v>81</x:v>
      </x:c>
      <x:c r="P1086" s="16" t="n">
        <x:v>0</x:v>
      </x:c>
      <x:c r="Q1086" s="16" t="n">
        <x:v>9</x:v>
      </x:c>
      <x:c r="R1086" s="16" t="n">
        <x:v>9</x:v>
      </x:c>
      <x:c r="S1086" s="16" t="n">
        <x:v>4</x:v>
      </x:c>
      <x:c r="T1086" s="16" t="n">
        <x:v>5</x:v>
      </x:c>
      <x:c r="U1086" s="16" t="n">
        <x:v>0</x:v>
      </x:c>
      <x:c r="V1086" s="16" t="n">
        <x:v>1</x:v>
      </x:c>
      <x:c r="W1086" s="16" t="n">
        <x:v>1</x:v>
      </x:c>
      <x:c r="X1086" s="16" t="n">
        <x:v>1</x:v>
      </x:c>
      <x:c r="Y1086" s="16" t="n">
        <x:v>1</x:v>
      </x:c>
      <x:c r="Z1086" s="16" t="n">
        <x:v>0</x:v>
      </x:c>
      <x:c r="AA1086" s="16" t="n">
        <x:v>3</x:v>
      </x:c>
      <x:c r="AB1086" s="16" t="n">
        <x:v>11</x:v>
      </x:c>
      <x:c r="AC1086" s="16" t="n">
        <x:v>1</x:v>
      </x:c>
      <x:c r="AD1086" s="21" t="n">
        <x:f>IF(E1086="",MEDIAN($E$2:$E$2237),E1086)</x:f>
        <x:v>84460</x:v>
      </x:c>
      <x:c r="AE1086" s="17" t="n">
        <x:f>2014-B1086</x:f>
        <x:v>56</x:v>
      </x:c>
      <x:c r="AF1086" s="17" t="n">
        <x:f>F1086+G1086</x:f>
        <x:v>0</x:v>
      </x:c>
      <x:c r="AG1086" s="21" t="n">
        <x:f>SUM(J1086:O1086)</x:f>
        <x:v>523</x:v>
      </x:c>
      <x:c r="AH1086" s="17" t="n">
        <x:f>SUM(Q1086:S1086)</x:f>
        <x:v>22</x:v>
      </x:c>
      <x:c r="AI1086" s="17" t="n">
        <x:f>SUM(U1086:Y1086)</x:f>
        <x:v>4</x:v>
      </x:c>
      <x:c r="AJ1086" s="17" t="str">
        <x:f>IF(AE1086&lt;=34,"≤34",IF(AE1086&lt;=44,"35–44",IF(AE1086&lt;=54,"45–54",IF(AE1086&lt;=64,"55–64","65+"))))</x:f>
        <x:v>55–64</x:v>
      </x:c>
      <x:c r="AK1086" s="17" t="str">
        <x:f>IF(AG1086&gt;=1000,"High Value",IF(AG1086&gt;=300,"Mid Value","Low Value"))</x:f>
        <x:v>Mid Value</x:v>
      </x:c>
      <x:c r="AL1086" s="17" t="str">
        <x:f>IF(AND(AI1086&gt;=1,I1086&lt;=50),"Priority 1",IF(AND(AG1086&gt;=1000,I1086&lt;=60),"Priority 2",IF(I1086&lt;=30,"Priority 3","Nurture")))</x:f>
        <x:v>Nurture</x:v>
      </x:c>
    </x:row>
    <x:row r="1087">
      <x:c r="A1087" s="16" t="n">
        <x:v>5577</x:v>
      </x:c>
      <x:c r="B1087" s="16" t="n">
        <x:v>1983</x:v>
      </x:c>
      <x:c r="C1087" s="16" t="str">
        <x:v>Graduation</x:v>
      </x:c>
      <x:c r="D1087" s="16" t="str">
        <x:v>Together</x:v>
      </x:c>
      <x:c r="E1087" s="16" t="n">
        <x:v>43776</x:v>
      </x:c>
      <x:c r="F1087" s="16" t="n">
        <x:v>1</x:v>
      </x:c>
      <x:c r="G1087" s="16" t="n">
        <x:v>0</x:v>
      </x:c>
      <x:c r="H1087" s="16" t="str">
        <x:v>03-05-2014</x:v>
      </x:c>
      <x:c r="I1087" s="16" t="n">
        <x:v>77</x:v>
      </x:c>
      <x:c r="J1087" s="16" t="n">
        <x:v>8</x:v>
      </x:c>
      <x:c r="K1087" s="16" t="n">
        <x:v>0</x:v>
      </x:c>
      <x:c r="L1087" s="16" t="n">
        <x:v>9</x:v>
      </x:c>
      <x:c r="M1087" s="16" t="n">
        <x:v>2</x:v>
      </x:c>
      <x:c r="N1087" s="16" t="n">
        <x:v>1</x:v>
      </x:c>
      <x:c r="O1087" s="16" t="n">
        <x:v>3</x:v>
      </x:c>
      <x:c r="P1087" s="16" t="n">
        <x:v>1</x:v>
      </x:c>
      <x:c r="Q1087" s="16" t="n">
        <x:v>1</x:v>
      </x:c>
      <x:c r="R1087" s="16" t="n">
        <x:v>0</x:v>
      </x:c>
      <x:c r="S1087" s="16" t="n">
        <x:v>2</x:v>
      </x:c>
      <x:c r="T1087" s="16" t="n">
        <x:v>6</x:v>
      </x:c>
      <x:c r="U1087" s="16" t="n">
        <x:v>0</x:v>
      </x:c>
      <x:c r="V1087" s="16" t="n">
        <x:v>0</x:v>
      </x:c>
      <x:c r="W1087" s="16" t="n">
        <x:v>0</x:v>
      </x:c>
      <x:c r="X1087" s="16" t="n">
        <x:v>0</x:v>
      </x:c>
      <x:c r="Y1087" s="16" t="n">
        <x:v>0</x:v>
      </x:c>
      <x:c r="Z1087" s="16" t="n">
        <x:v>0</x:v>
      </x:c>
      <x:c r="AA1087" s="16" t="n">
        <x:v>3</x:v>
      </x:c>
      <x:c r="AB1087" s="16" t="n">
        <x:v>11</x:v>
      </x:c>
      <x:c r="AC1087" s="16" t="n">
        <x:v>0</x:v>
      </x:c>
      <x:c r="AD1087" s="21" t="n">
        <x:f>IF(E1087="",MEDIAN($E$2:$E$2237),E1087)</x:f>
        <x:v>43776</x:v>
      </x:c>
      <x:c r="AE1087" s="17" t="n">
        <x:f>2014-B1087</x:f>
        <x:v>31</x:v>
      </x:c>
      <x:c r="AF1087" s="17" t="n">
        <x:f>F1087+G1087</x:f>
        <x:v>1</x:v>
      </x:c>
      <x:c r="AG1087" s="21" t="n">
        <x:f>SUM(J1087:O1087)</x:f>
        <x:v>23</x:v>
      </x:c>
      <x:c r="AH1087" s="17" t="n">
        <x:f>SUM(Q1087:S1087)</x:f>
        <x:v>3</x:v>
      </x:c>
      <x:c r="AI1087" s="17" t="n">
        <x:f>SUM(U1087:Y1087)</x:f>
        <x:v>0</x:v>
      </x:c>
      <x:c r="AJ1087" s="17" t="str">
        <x:f>IF(AE1087&lt;=34,"≤34",IF(AE1087&lt;=44,"35–44",IF(AE1087&lt;=54,"45–54",IF(AE1087&lt;=64,"55–64","65+"))))</x:f>
        <x:v>≤34</x:v>
      </x:c>
      <x:c r="AK1087" s="17" t="str">
        <x:f>IF(AG1087&gt;=1000,"High Value",IF(AG1087&gt;=300,"Mid Value","Low Value"))</x:f>
        <x:v>Low Value</x:v>
      </x:c>
      <x:c r="AL1087" s="17" t="str">
        <x:f>IF(AND(AI1087&gt;=1,I1087&lt;=50),"Priority 1",IF(AND(AG1087&gt;=1000,I1087&lt;=60),"Priority 2",IF(I1087&lt;=30,"Priority 3","Nurture")))</x:f>
        <x:v>Nurture</x:v>
      </x:c>
    </x:row>
    <x:row r="1088">
      <x:c r="A1088" s="16" t="n">
        <x:v>7348</x:v>
      </x:c>
      <x:c r="B1088" s="16" t="n">
        <x:v>1958</x:v>
      </x:c>
      <x:c r="C1088" s="16" t="str">
        <x:v>PhD</x:v>
      </x:c>
      <x:c r="D1088" s="16" t="str">
        <x:v>Single</x:v>
      </x:c>
      <x:c r="E1088" s="16" t="n">
        <x:v>71691</x:v>
      </x:c>
      <x:c r="F1088" s="16" t="n">
        <x:v>0</x:v>
      </x:c>
      <x:c r="G1088" s="16" t="n">
        <x:v>0</x:v>
      </x:c>
      <x:c r="H1088" s="16" t="str">
        <x:v>17-03-2014</x:v>
      </x:c>
      <x:c r="I1088" s="16" t="n">
        <x:v>0</x:v>
      </x:c>
      <x:c r="J1088" s="16" t="n">
        <x:v>336</x:v>
      </x:c>
      <x:c r="K1088" s="16" t="n">
        <x:v>130</x:v>
      </x:c>
      <x:c r="L1088" s="16" t="n">
        <x:v>411</x:v>
      </x:c>
      <x:c r="M1088" s="16" t="n">
        <x:v>240</x:v>
      </x:c>
      <x:c r="N1088" s="16" t="n">
        <x:v>32</x:v>
      </x:c>
      <x:c r="O1088" s="16" t="n">
        <x:v>43</x:v>
      </x:c>
      <x:c r="P1088" s="16" t="n">
        <x:v>1</x:v>
      </x:c>
      <x:c r="Q1088" s="16" t="n">
        <x:v>4</x:v>
      </x:c>
      <x:c r="R1088" s="16" t="n">
        <x:v>7</x:v>
      </x:c>
      <x:c r="S1088" s="16" t="n">
        <x:v>5</x:v>
      </x:c>
      <x:c r="T1088" s="16" t="n">
        <x:v>2</x:v>
      </x:c>
      <x:c r="U1088" s="16" t="n">
        <x:v>0</x:v>
      </x:c>
      <x:c r="V1088" s="16" t="n">
        <x:v>0</x:v>
      </x:c>
      <x:c r="W1088" s="16" t="n">
        <x:v>0</x:v>
      </x:c>
      <x:c r="X1088" s="16" t="n">
        <x:v>0</x:v>
      </x:c>
      <x:c r="Y1088" s="16" t="n">
        <x:v>0</x:v>
      </x:c>
      <x:c r="Z1088" s="16" t="n">
        <x:v>0</x:v>
      </x:c>
      <x:c r="AA1088" s="16" t="n">
        <x:v>3</x:v>
      </x:c>
      <x:c r="AB1088" s="16" t="n">
        <x:v>11</x:v>
      </x:c>
      <x:c r="AC1088" s="16" t="n">
        <x:v>1</x:v>
      </x:c>
      <x:c r="AD1088" s="21" t="n">
        <x:f>IF(E1088="",MEDIAN($E$2:$E$2237),E1088)</x:f>
        <x:v>71691</x:v>
      </x:c>
      <x:c r="AE1088" s="17" t="n">
        <x:f>2014-B1088</x:f>
        <x:v>56</x:v>
      </x:c>
      <x:c r="AF1088" s="17" t="n">
        <x:f>F1088+G1088</x:f>
        <x:v>0</x:v>
      </x:c>
      <x:c r="AG1088" s="21" t="n">
        <x:f>SUM(J1088:O1088)</x:f>
        <x:v>1192</x:v>
      </x:c>
      <x:c r="AH1088" s="17" t="n">
        <x:f>SUM(Q1088:S1088)</x:f>
        <x:v>16</x:v>
      </x:c>
      <x:c r="AI1088" s="17" t="n">
        <x:f>SUM(U1088:Y1088)</x:f>
        <x:v>0</x:v>
      </x:c>
      <x:c r="AJ1088" s="17" t="str">
        <x:f>IF(AE1088&lt;=34,"≤34",IF(AE1088&lt;=44,"35–44",IF(AE1088&lt;=54,"45–54",IF(AE1088&lt;=64,"55–64","65+"))))</x:f>
        <x:v>55–64</x:v>
      </x:c>
      <x:c r="AK1088" s="17" t="str">
        <x:f>IF(AG1088&gt;=1000,"High Value",IF(AG1088&gt;=300,"Mid Value","Low Value"))</x:f>
        <x:v>High Value</x:v>
      </x:c>
      <x:c r="AL1088" s="17" t="str">
        <x:f>IF(AND(AI1088&gt;=1,I1088&lt;=50),"Priority 1",IF(AND(AG1088&gt;=1000,I1088&lt;=60),"Priority 2",IF(I1088&lt;=30,"Priority 3","Nurture")))</x:f>
        <x:v>Priority 2</x:v>
      </x:c>
    </x:row>
    <x:row r="1089">
      <x:c r="A1089" s="16" t="n">
        <x:v>1127</x:v>
      </x:c>
      <x:c r="B1089" s="16" t="n">
        <x:v>1973</x:v>
      </x:c>
      <x:c r="C1089" s="16" t="str">
        <x:v>PhD</x:v>
      </x:c>
      <x:c r="D1089" s="16" t="str">
        <x:v>Married</x:v>
      </x:c>
      <x:c r="E1089" s="16" t="n">
        <x:v>85844</x:v>
      </x:c>
      <x:c r="F1089" s="16" t="n">
        <x:v>0</x:v>
      </x:c>
      <x:c r="G1089" s="16" t="n">
        <x:v>0</x:v>
      </x:c>
      <x:c r="H1089" s="16" t="str">
        <x:v>29-05-2014</x:v>
      </x:c>
      <x:c r="I1089" s="16" t="n">
        <x:v>62</x:v>
      </x:c>
      <x:c r="J1089" s="16" t="n">
        <x:v>938</x:v>
      </x:c>
      <x:c r="K1089" s="16" t="n">
        <x:v>19</x:v>
      </x:c>
      <x:c r="L1089" s="16" t="n">
        <x:v>843</x:v>
      </x:c>
      <x:c r="M1089" s="16" t="n">
        <x:v>25</x:v>
      </x:c>
      <x:c r="N1089" s="16" t="n">
        <x:v>95</x:v>
      </x:c>
      <x:c r="O1089" s="16" t="n">
        <x:v>38</x:v>
      </x:c>
      <x:c r="P1089" s="16" t="n">
        <x:v>1</x:v>
      </x:c>
      <x:c r="Q1089" s="16" t="n">
        <x:v>6</x:v>
      </x:c>
      <x:c r="R1089" s="16" t="n">
        <x:v>6</x:v>
      </x:c>
      <x:c r="S1089" s="16" t="n">
        <x:v>7</x:v>
      </x:c>
      <x:c r="T1089" s="16" t="n">
        <x:v>2</x:v>
      </x:c>
      <x:c r="U1089" s="16" t="n">
        <x:v>0</x:v>
      </x:c>
      <x:c r="V1089" s="16" t="n">
        <x:v>0</x:v>
      </x:c>
      <x:c r="W1089" s="16" t="n">
        <x:v>1</x:v>
      </x:c>
      <x:c r="X1089" s="16" t="n">
        <x:v>0</x:v>
      </x:c>
      <x:c r="Y1089" s="16" t="n">
        <x:v>0</x:v>
      </x:c>
      <x:c r="Z1089" s="16" t="n">
        <x:v>0</x:v>
      </x:c>
      <x:c r="AA1089" s="16" t="n">
        <x:v>3</x:v>
      </x:c>
      <x:c r="AB1089" s="16" t="n">
        <x:v>11</x:v>
      </x:c>
      <x:c r="AC1089" s="16" t="n">
        <x:v>0</x:v>
      </x:c>
      <x:c r="AD1089" s="21" t="n">
        <x:f>IF(E1089="",MEDIAN($E$2:$E$2237),E1089)</x:f>
        <x:v>85844</x:v>
      </x:c>
      <x:c r="AE1089" s="17" t="n">
        <x:f>2014-B1089</x:f>
        <x:v>41</x:v>
      </x:c>
      <x:c r="AF1089" s="17" t="n">
        <x:f>F1089+G1089</x:f>
        <x:v>0</x:v>
      </x:c>
      <x:c r="AG1089" s="21" t="n">
        <x:f>SUM(J1089:O1089)</x:f>
        <x:v>1958</x:v>
      </x:c>
      <x:c r="AH1089" s="17" t="n">
        <x:f>SUM(Q1089:S1089)</x:f>
        <x:v>19</x:v>
      </x:c>
      <x:c r="AI1089" s="17" t="n">
        <x:f>SUM(U1089:Y1089)</x:f>
        <x:v>1</x:v>
      </x:c>
      <x:c r="AJ1089" s="17" t="str">
        <x:f>IF(AE1089&lt;=34,"≤34",IF(AE1089&lt;=44,"35–44",IF(AE1089&lt;=54,"45–54",IF(AE1089&lt;=64,"55–64","65+"))))</x:f>
        <x:v>35–44</x:v>
      </x:c>
      <x:c r="AK1089" s="17" t="str">
        <x:f>IF(AG1089&gt;=1000,"High Value",IF(AG1089&gt;=300,"Mid Value","Low Value"))</x:f>
        <x:v>High Value</x:v>
      </x:c>
      <x:c r="AL1089" s="17" t="str">
        <x:f>IF(AND(AI1089&gt;=1,I1089&lt;=50),"Priority 1",IF(AND(AG1089&gt;=1000,I1089&lt;=60),"Priority 2",IF(I1089&lt;=30,"Priority 3","Nurture")))</x:f>
        <x:v>Nurture</x:v>
      </x:c>
    </x:row>
    <x:row r="1090">
      <x:c r="A1090" s="16" t="n">
        <x:v>1833</x:v>
      </x:c>
      <x:c r="B1090" s="16" t="n">
        <x:v>1974</x:v>
      </x:c>
      <x:c r="C1090" s="16" t="str">
        <x:v>PhD</x:v>
      </x:c>
      <x:c r="D1090" s="16" t="str">
        <x:v>Single</x:v>
      </x:c>
      <x:c r="E1090" s="16" t="n">
        <x:v>39190</x:v>
      </x:c>
      <x:c r="F1090" s="16" t="n">
        <x:v>1</x:v>
      </x:c>
      <x:c r="G1090" s="16" t="n">
        <x:v>0</x:v>
      </x:c>
      <x:c r="H1090" s="16" t="str">
        <x:v>26-04-2014</x:v>
      </x:c>
      <x:c r="I1090" s="16" t="n">
        <x:v>91</x:v>
      </x:c>
      <x:c r="J1090" s="16" t="n">
        <x:v>68</x:v>
      </x:c>
      <x:c r="K1090" s="16" t="n">
        <x:v>8</x:v>
      </x:c>
      <x:c r="L1090" s="16" t="n">
        <x:v>18</x:v>
      </x:c>
      <x:c r="M1090" s="16" t="n">
        <x:v>19</x:v>
      </x:c>
      <x:c r="N1090" s="16" t="n">
        <x:v>8</x:v>
      </x:c>
      <x:c r="O1090" s="16" t="n">
        <x:v>12</x:v>
      </x:c>
      <x:c r="P1090" s="16" t="n">
        <x:v>2</x:v>
      </x:c>
      <x:c r="Q1090" s="16" t="n">
        <x:v>2</x:v>
      </x:c>
      <x:c r="R1090" s="16" t="n">
        <x:v>1</x:v>
      </x:c>
      <x:c r="S1090" s="16" t="n">
        <x:v>4</x:v>
      </x:c>
      <x:c r="T1090" s="16" t="n">
        <x:v>5</x:v>
      </x:c>
      <x:c r="U1090" s="16" t="n">
        <x:v>0</x:v>
      </x:c>
      <x:c r="V1090" s="16" t="n">
        <x:v>0</x:v>
      </x:c>
      <x:c r="W1090" s="16" t="n">
        <x:v>0</x:v>
      </x:c>
      <x:c r="X1090" s="16" t="n">
        <x:v>0</x:v>
      </x:c>
      <x:c r="Y1090" s="16" t="n">
        <x:v>0</x:v>
      </x:c>
      <x:c r="Z1090" s="16" t="n">
        <x:v>0</x:v>
      </x:c>
      <x:c r="AA1090" s="16" t="n">
        <x:v>3</x:v>
      </x:c>
      <x:c r="AB1090" s="16" t="n">
        <x:v>11</x:v>
      </x:c>
      <x:c r="AC1090" s="16" t="n">
        <x:v>0</x:v>
      </x:c>
      <x:c r="AD1090" s="21" t="n">
        <x:f>IF(E1090="",MEDIAN($E$2:$E$2237),E1090)</x:f>
        <x:v>39190</x:v>
      </x:c>
      <x:c r="AE1090" s="17" t="n">
        <x:f>2014-B1090</x:f>
        <x:v>40</x:v>
      </x:c>
      <x:c r="AF1090" s="17" t="n">
        <x:f>F1090+G1090</x:f>
        <x:v>1</x:v>
      </x:c>
      <x:c r="AG1090" s="21" t="n">
        <x:f>SUM(J1090:O1090)</x:f>
        <x:v>133</x:v>
      </x:c>
      <x:c r="AH1090" s="17" t="n">
        <x:f>SUM(Q1090:S1090)</x:f>
        <x:v>7</x:v>
      </x:c>
      <x:c r="AI1090" s="17" t="n">
        <x:f>SUM(U1090:Y1090)</x:f>
        <x:v>0</x:v>
      </x:c>
      <x:c r="AJ1090" s="17" t="str">
        <x:f>IF(AE1090&lt;=34,"≤34",IF(AE1090&lt;=44,"35–44",IF(AE1090&lt;=54,"45–54",IF(AE1090&lt;=64,"55–64","65+"))))</x:f>
        <x:v>35–44</x:v>
      </x:c>
      <x:c r="AK1090" s="17" t="str">
        <x:f>IF(AG1090&gt;=1000,"High Value",IF(AG1090&gt;=300,"Mid Value","Low Value"))</x:f>
        <x:v>Low Value</x:v>
      </x:c>
      <x:c r="AL1090" s="17" t="str">
        <x:f>IF(AND(AI1090&gt;=1,I1090&lt;=50),"Priority 1",IF(AND(AG1090&gt;=1000,I1090&lt;=60),"Priority 2",IF(I1090&lt;=30,"Priority 3","Nurture")))</x:f>
        <x:v>Nurture</x:v>
      </x:c>
    </x:row>
    <x:row r="1091">
      <x:c r="A1091" s="16" t="n">
        <x:v>4944</x:v>
      </x:c>
      <x:c r="B1091" s="16" t="n">
        <x:v>1959</x:v>
      </x:c>
      <x:c r="C1091" s="16" t="str">
        <x:v>Graduation</x:v>
      </x:c>
      <x:c r="D1091" s="16" t="str">
        <x:v>Together</x:v>
      </x:c>
      <x:c r="E1091" s="16" t="n">
        <x:v>71367</x:v>
      </x:c>
      <x:c r="F1091" s="16" t="n">
        <x:v>0</x:v>
      </x:c>
      <x:c r="G1091" s="16" t="n">
        <x:v>0</x:v>
      </x:c>
      <x:c r="H1091" s="16" t="str">
        <x:v>23-08-2013</x:v>
      </x:c>
      <x:c r="I1091" s="16" t="n">
        <x:v>24</x:v>
      </x:c>
      <x:c r="J1091" s="16" t="n">
        <x:v>227</x:v>
      </x:c>
      <x:c r="K1091" s="16" t="n">
        <x:v>23</x:v>
      </x:c>
      <x:c r="L1091" s="16" t="n">
        <x:v>389</x:v>
      </x:c>
      <x:c r="M1091" s="16" t="n">
        <x:v>42</x:v>
      </x:c>
      <x:c r="N1091" s="16" t="n">
        <x:v>21</x:v>
      </x:c>
      <x:c r="O1091" s="16" t="n">
        <x:v>75</x:v>
      </x:c>
      <x:c r="P1091" s="16" t="n">
        <x:v>1</x:v>
      </x:c>
      <x:c r="Q1091" s="16" t="n">
        <x:v>4</x:v>
      </x:c>
      <x:c r="R1091" s="16" t="n">
        <x:v>5</x:v>
      </x:c>
      <x:c r="S1091" s="16" t="n">
        <x:v>7</x:v>
      </x:c>
      <x:c r="T1091" s="16" t="n">
        <x:v>2</x:v>
      </x:c>
      <x:c r="U1091" s="16" t="n">
        <x:v>0</x:v>
      </x:c>
      <x:c r="V1091" s="16" t="n">
        <x:v>0</x:v>
      </x:c>
      <x:c r="W1091" s="16" t="n">
        <x:v>0</x:v>
      </x:c>
      <x:c r="X1091" s="16" t="n">
        <x:v>0</x:v>
      </x:c>
      <x:c r="Y1091" s="16" t="n">
        <x:v>0</x:v>
      </x:c>
      <x:c r="Z1091" s="16" t="n">
        <x:v>0</x:v>
      </x:c>
      <x:c r="AA1091" s="16" t="n">
        <x:v>3</x:v>
      </x:c>
      <x:c r="AB1091" s="16" t="n">
        <x:v>11</x:v>
      </x:c>
      <x:c r="AC1091" s="16" t="n">
        <x:v>0</x:v>
      </x:c>
      <x:c r="AD1091" s="21" t="n">
        <x:f>IF(E1091="",MEDIAN($E$2:$E$2237),E1091)</x:f>
        <x:v>71367</x:v>
      </x:c>
      <x:c r="AE1091" s="17" t="n">
        <x:f>2014-B1091</x:f>
        <x:v>55</x:v>
      </x:c>
      <x:c r="AF1091" s="17" t="n">
        <x:f>F1091+G1091</x:f>
        <x:v>0</x:v>
      </x:c>
      <x:c r="AG1091" s="21" t="n">
        <x:f>SUM(J1091:O1091)</x:f>
        <x:v>777</x:v>
      </x:c>
      <x:c r="AH1091" s="17" t="n">
        <x:f>SUM(Q1091:S1091)</x:f>
        <x:v>16</x:v>
      </x:c>
      <x:c r="AI1091" s="17" t="n">
        <x:f>SUM(U1091:Y1091)</x:f>
        <x:v>0</x:v>
      </x:c>
      <x:c r="AJ1091" s="17" t="str">
        <x:f>IF(AE1091&lt;=34,"≤34",IF(AE1091&lt;=44,"35–44",IF(AE1091&lt;=54,"45–54",IF(AE1091&lt;=64,"55–64","65+"))))</x:f>
        <x:v>55–64</x:v>
      </x:c>
      <x:c r="AK1091" s="17" t="str">
        <x:f>IF(AG1091&gt;=1000,"High Value",IF(AG1091&gt;=300,"Mid Value","Low Value"))</x:f>
        <x:v>Mid Value</x:v>
      </x:c>
      <x:c r="AL1091" s="17" t="str">
        <x:f>IF(AND(AI1091&gt;=1,I1091&lt;=50),"Priority 1",IF(AND(AG1091&gt;=1000,I1091&lt;=60),"Priority 2",IF(I1091&lt;=30,"Priority 3","Nurture")))</x:f>
        <x:v>Priority 3</x:v>
      </x:c>
    </x:row>
    <x:row r="1092">
      <x:c r="A1092" s="16" t="n">
        <x:v>9080</x:v>
      </x:c>
      <x:c r="B1092" s="16" t="n">
        <x:v>1972</x:v>
      </x:c>
      <x:c r="C1092" s="16" t="str">
        <x:v>PhD</x:v>
      </x:c>
      <x:c r="D1092" s="16" t="str">
        <x:v>Single</x:v>
      </x:c>
      <x:c r="E1092" s="16" t="n">
        <x:v>38578</x:v>
      </x:c>
      <x:c r="F1092" s="16" t="n">
        <x:v>1</x:v>
      </x:c>
      <x:c r="G1092" s="16" t="n">
        <x:v>1</x:v>
      </x:c>
      <x:c r="H1092" s="16" t="str">
        <x:v>22-06-2013</x:v>
      </x:c>
      <x:c r="I1092" s="16" t="n">
        <x:v>2</x:v>
      </x:c>
      <x:c r="J1092" s="16" t="n">
        <x:v>38</x:v>
      </x:c>
      <x:c r="K1092" s="16" t="n">
        <x:v>4</x:v>
      </x:c>
      <x:c r="L1092" s="16" t="n">
        <x:v>22</x:v>
      </x:c>
      <x:c r="M1092" s="16" t="n">
        <x:v>3</x:v>
      </x:c>
      <x:c r="N1092" s="16" t="n">
        <x:v>3</x:v>
      </x:c>
      <x:c r="O1092" s="16" t="n">
        <x:v>3</x:v>
      </x:c>
      <x:c r="P1092" s="16" t="n">
        <x:v>3</x:v>
      </x:c>
      <x:c r="Q1092" s="16" t="n">
        <x:v>3</x:v>
      </x:c>
      <x:c r="R1092" s="16" t="n">
        <x:v>0</x:v>
      </x:c>
      <x:c r="S1092" s="16" t="n">
        <x:v>3</x:v>
      </x:c>
      <x:c r="T1092" s="16" t="n">
        <x:v>8</x:v>
      </x:c>
      <x:c r="U1092" s="16" t="n">
        <x:v>0</x:v>
      </x:c>
      <x:c r="V1092" s="16" t="n">
        <x:v>0</x:v>
      </x:c>
      <x:c r="W1092" s="16" t="n">
        <x:v>0</x:v>
      </x:c>
      <x:c r="X1092" s="16" t="n">
        <x:v>0</x:v>
      </x:c>
      <x:c r="Y1092" s="16" t="n">
        <x:v>0</x:v>
      </x:c>
      <x:c r="Z1092" s="16" t="n">
        <x:v>0</x:v>
      </x:c>
      <x:c r="AA1092" s="16" t="n">
        <x:v>3</x:v>
      </x:c>
      <x:c r="AB1092" s="16" t="n">
        <x:v>11</x:v>
      </x:c>
      <x:c r="AC1092" s="16" t="n">
        <x:v>0</x:v>
      </x:c>
      <x:c r="AD1092" s="21" t="n">
        <x:f>IF(E1092="",MEDIAN($E$2:$E$2237),E1092)</x:f>
        <x:v>38578</x:v>
      </x:c>
      <x:c r="AE1092" s="17" t="n">
        <x:f>2014-B1092</x:f>
        <x:v>42</x:v>
      </x:c>
      <x:c r="AF1092" s="17" t="n">
        <x:f>F1092+G1092</x:f>
        <x:v>2</x:v>
      </x:c>
      <x:c r="AG1092" s="21" t="n">
        <x:f>SUM(J1092:O1092)</x:f>
        <x:v>73</x:v>
      </x:c>
      <x:c r="AH1092" s="17" t="n">
        <x:f>SUM(Q1092:S1092)</x:f>
        <x:v>6</x:v>
      </x:c>
      <x:c r="AI1092" s="17" t="n">
        <x:f>SUM(U1092:Y1092)</x:f>
        <x:v>0</x:v>
      </x:c>
      <x:c r="AJ1092" s="17" t="str">
        <x:f>IF(AE1092&lt;=34,"≤34",IF(AE1092&lt;=44,"35–44",IF(AE1092&lt;=54,"45–54",IF(AE1092&lt;=64,"55–64","65+"))))</x:f>
        <x:v>35–44</x:v>
      </x:c>
      <x:c r="AK1092" s="17" t="str">
        <x:f>IF(AG1092&gt;=1000,"High Value",IF(AG1092&gt;=300,"Mid Value","Low Value"))</x:f>
        <x:v>Low Value</x:v>
      </x:c>
      <x:c r="AL1092" s="17" t="str">
        <x:f>IF(AND(AI1092&gt;=1,I1092&lt;=50),"Priority 1",IF(AND(AG1092&gt;=1000,I1092&lt;=60),"Priority 2",IF(I1092&lt;=30,"Priority 3","Nurture")))</x:f>
        <x:v>Priority 3</x:v>
      </x:c>
    </x:row>
    <x:row r="1093">
      <x:c r="A1093" s="16" t="n">
        <x:v>6466</x:v>
      </x:c>
      <x:c r="B1093" s="16" t="n">
        <x:v>1965</x:v>
      </x:c>
      <x:c r="C1093" s="16" t="str">
        <x:v>PhD</x:v>
      </x:c>
      <x:c r="D1093" s="16" t="str">
        <x:v>Married</x:v>
      </x:c>
      <x:c r="E1093" s="16" t="n">
        <x:v>57236</x:v>
      </x:c>
      <x:c r="F1093" s="16" t="n">
        <x:v>1</x:v>
      </x:c>
      <x:c r="G1093" s="16" t="n">
        <x:v>1</x:v>
      </x:c>
      <x:c r="H1093" s="16" t="str">
        <x:v>12-03-2014</x:v>
      </x:c>
      <x:c r="I1093" s="16" t="n">
        <x:v>22</x:v>
      </x:c>
      <x:c r="J1093" s="16" t="n">
        <x:v>105</x:v>
      </x:c>
      <x:c r="K1093" s="16" t="n">
        <x:v>0</x:v>
      </x:c>
      <x:c r="L1093" s="16" t="n">
        <x:v>9</x:v>
      </x:c>
      <x:c r="M1093" s="16" t="n">
        <x:v>2</x:v>
      </x:c>
      <x:c r="N1093" s="16" t="n">
        <x:v>1</x:v>
      </x:c>
      <x:c r="O1093" s="16" t="n">
        <x:v>4</x:v>
      </x:c>
      <x:c r="P1093" s="16" t="n">
        <x:v>3</x:v>
      </x:c>
      <x:c r="Q1093" s="16" t="n">
        <x:v>2</x:v>
      </x:c>
      <x:c r="R1093" s="16" t="n">
        <x:v>1</x:v>
      </x:c>
      <x:c r="S1093" s="16" t="n">
        <x:v>4</x:v>
      </x:c>
      <x:c r="T1093" s="16" t="n">
        <x:v>3</x:v>
      </x:c>
      <x:c r="U1093" s="16" t="n">
        <x:v>0</x:v>
      </x:c>
      <x:c r="V1093" s="16" t="n">
        <x:v>0</x:v>
      </x:c>
      <x:c r="W1093" s="16" t="n">
        <x:v>0</x:v>
      </x:c>
      <x:c r="X1093" s="16" t="n">
        <x:v>0</x:v>
      </x:c>
      <x:c r="Y1093" s="16" t="n">
        <x:v>0</x:v>
      </x:c>
      <x:c r="Z1093" s="16" t="n">
        <x:v>0</x:v>
      </x:c>
      <x:c r="AA1093" s="16" t="n">
        <x:v>3</x:v>
      </x:c>
      <x:c r="AB1093" s="16" t="n">
        <x:v>11</x:v>
      </x:c>
      <x:c r="AC1093" s="16" t="n">
        <x:v>0</x:v>
      </x:c>
      <x:c r="AD1093" s="21" t="n">
        <x:f>IF(E1093="",MEDIAN($E$2:$E$2237),E1093)</x:f>
        <x:v>57236</x:v>
      </x:c>
      <x:c r="AE1093" s="17" t="n">
        <x:f>2014-B1093</x:f>
        <x:v>49</x:v>
      </x:c>
      <x:c r="AF1093" s="17" t="n">
        <x:f>F1093+G1093</x:f>
        <x:v>2</x:v>
      </x:c>
      <x:c r="AG1093" s="21" t="n">
        <x:f>SUM(J1093:O1093)</x:f>
        <x:v>121</x:v>
      </x:c>
      <x:c r="AH1093" s="17" t="n">
        <x:f>SUM(Q1093:S1093)</x:f>
        <x:v>7</x:v>
      </x:c>
      <x:c r="AI1093" s="17" t="n">
        <x:f>SUM(U1093:Y1093)</x:f>
        <x:v>0</x:v>
      </x:c>
      <x:c r="AJ1093" s="17" t="str">
        <x:f>IF(AE1093&lt;=34,"≤34",IF(AE1093&lt;=44,"35–44",IF(AE1093&lt;=54,"45–54",IF(AE1093&lt;=64,"55–64","65+"))))</x:f>
        <x:v>45–54</x:v>
      </x:c>
      <x:c r="AK1093" s="17" t="str">
        <x:f>IF(AG1093&gt;=1000,"High Value",IF(AG1093&gt;=300,"Mid Value","Low Value"))</x:f>
        <x:v>Low Value</x:v>
      </x:c>
      <x:c r="AL1093" s="17" t="str">
        <x:f>IF(AND(AI1093&gt;=1,I1093&lt;=50),"Priority 1",IF(AND(AG1093&gt;=1000,I1093&lt;=60),"Priority 2",IF(I1093&lt;=30,"Priority 3","Nurture")))</x:f>
        <x:v>Priority 3</x:v>
      </x:c>
    </x:row>
    <x:row r="1094">
      <x:c r="A1094" s="16" t="n">
        <x:v>9964</x:v>
      </x:c>
      <x:c r="B1094" s="16" t="n">
        <x:v>1979</x:v>
      </x:c>
      <x:c r="C1094" s="16" t="str">
        <x:v>Graduation</x:v>
      </x:c>
      <x:c r="D1094" s="16" t="str">
        <x:v>Single</x:v>
      </x:c>
      <x:c r="E1094" s="16" t="n">
        <x:v>61825</x:v>
      </x:c>
      <x:c r="F1094" s="16" t="n">
        <x:v>0</x:v>
      </x:c>
      <x:c r="G1094" s="16" t="n">
        <x:v>1</x:v>
      </x:c>
      <x:c r="H1094" s="16" t="str">
        <x:v>07-08-2013</x:v>
      </x:c>
      <x:c r="I1094" s="16" t="n">
        <x:v>56</x:v>
      </x:c>
      <x:c r="J1094" s="16" t="n">
        <x:v>162</x:v>
      </x:c>
      <x:c r="K1094" s="16" t="n">
        <x:v>50</x:v>
      </x:c>
      <x:c r="L1094" s="16" t="n">
        <x:v>100</x:v>
      </x:c>
      <x:c r="M1094" s="16" t="n">
        <x:v>55</x:v>
      </x:c>
      <x:c r="N1094" s="16" t="n">
        <x:v>30</x:v>
      </x:c>
      <x:c r="O1094" s="16" t="n">
        <x:v>27</x:v>
      </x:c>
      <x:c r="P1094" s="16" t="n">
        <x:v>1</x:v>
      </x:c>
      <x:c r="Q1094" s="16" t="n">
        <x:v>4</x:v>
      </x:c>
      <x:c r="R1094" s="16" t="n">
        <x:v>2</x:v>
      </x:c>
      <x:c r="S1094" s="16" t="n">
        <x:v>8</x:v>
      </x:c>
      <x:c r="T1094" s="16" t="n">
        <x:v>4</x:v>
      </x:c>
      <x:c r="U1094" s="16" t="n">
        <x:v>0</x:v>
      </x:c>
      <x:c r="V1094" s="16" t="n">
        <x:v>0</x:v>
      </x:c>
      <x:c r="W1094" s="16" t="n">
        <x:v>0</x:v>
      </x:c>
      <x:c r="X1094" s="16" t="n">
        <x:v>0</x:v>
      </x:c>
      <x:c r="Y1094" s="16" t="n">
        <x:v>0</x:v>
      </x:c>
      <x:c r="Z1094" s="16" t="n">
        <x:v>0</x:v>
      </x:c>
      <x:c r="AA1094" s="16" t="n">
        <x:v>3</x:v>
      </x:c>
      <x:c r="AB1094" s="16" t="n">
        <x:v>11</x:v>
      </x:c>
      <x:c r="AC1094" s="16" t="n">
        <x:v>0</x:v>
      </x:c>
      <x:c r="AD1094" s="21" t="n">
        <x:f>IF(E1094="",MEDIAN($E$2:$E$2237),E1094)</x:f>
        <x:v>61825</x:v>
      </x:c>
      <x:c r="AE1094" s="17" t="n">
        <x:f>2014-B1094</x:f>
        <x:v>35</x:v>
      </x:c>
      <x:c r="AF1094" s="17" t="n">
        <x:f>F1094+G1094</x:f>
        <x:v>1</x:v>
      </x:c>
      <x:c r="AG1094" s="21" t="n">
        <x:f>SUM(J1094:O1094)</x:f>
        <x:v>424</x:v>
      </x:c>
      <x:c r="AH1094" s="17" t="n">
        <x:f>SUM(Q1094:S1094)</x:f>
        <x:v>14</x:v>
      </x:c>
      <x:c r="AI1094" s="17" t="n">
        <x:f>SUM(U1094:Y1094)</x:f>
        <x:v>0</x:v>
      </x:c>
      <x:c r="AJ1094" s="17" t="str">
        <x:f>IF(AE1094&lt;=34,"≤34",IF(AE1094&lt;=44,"35–44",IF(AE1094&lt;=54,"45–54",IF(AE1094&lt;=64,"55–64","65+"))))</x:f>
        <x:v>35–44</x:v>
      </x:c>
      <x:c r="AK1094" s="17" t="str">
        <x:f>IF(AG1094&gt;=1000,"High Value",IF(AG1094&gt;=300,"Mid Value","Low Value"))</x:f>
        <x:v>Mid Value</x:v>
      </x:c>
      <x:c r="AL1094" s="17" t="str">
        <x:f>IF(AND(AI1094&gt;=1,I1094&lt;=50),"Priority 1",IF(AND(AG1094&gt;=1000,I1094&lt;=60),"Priority 2",IF(I1094&lt;=30,"Priority 3","Nurture")))</x:f>
        <x:v>Nurture</x:v>
      </x:c>
    </x:row>
    <x:row r="1095">
      <x:c r="A1095" s="16" t="n">
        <x:v>4790</x:v>
      </x:c>
      <x:c r="B1095" s="16" t="n">
        <x:v>1958</x:v>
      </x:c>
      <x:c r="C1095" s="16" t="str">
        <x:v>Graduation</x:v>
      </x:c>
      <x:c r="D1095" s="16" t="str">
        <x:v>Divorced</x:v>
      </x:c>
      <x:c r="E1095" s="16" t="n">
        <x:v>79803</x:v>
      </x:c>
      <x:c r="F1095" s="16" t="n">
        <x:v>0</x:v>
      </x:c>
      <x:c r="G1095" s="16" t="n">
        <x:v>1</x:v>
      </x:c>
      <x:c r="H1095" s="16" t="str">
        <x:v>02-06-2014</x:v>
      </x:c>
      <x:c r="I1095" s="16" t="n">
        <x:v>54</x:v>
      </x:c>
      <x:c r="J1095" s="16" t="n">
        <x:v>574</x:v>
      </x:c>
      <x:c r="K1095" s="16" t="n">
        <x:v>8</x:v>
      </x:c>
      <x:c r="L1095" s="16" t="n">
        <x:v>216</x:v>
      </x:c>
      <x:c r="M1095" s="16" t="n">
        <x:v>21</x:v>
      </x:c>
      <x:c r="N1095" s="16" t="n">
        <x:v>16</x:v>
      </x:c>
      <x:c r="O1095" s="16" t="n">
        <x:v>33</x:v>
      </x:c>
      <x:c r="P1095" s="16" t="n">
        <x:v>1</x:v>
      </x:c>
      <x:c r="Q1095" s="16" t="n">
        <x:v>4</x:v>
      </x:c>
      <x:c r="R1095" s="16" t="n">
        <x:v>3</x:v>
      </x:c>
      <x:c r="S1095" s="16" t="n">
        <x:v>5</x:v>
      </x:c>
      <x:c r="T1095" s="16" t="n">
        <x:v>1</x:v>
      </x:c>
      <x:c r="U1095" s="16" t="n">
        <x:v>0</x:v>
      </x:c>
      <x:c r="V1095" s="16" t="n">
        <x:v>0</x:v>
      </x:c>
      <x:c r="W1095" s="16" t="n">
        <x:v>0</x:v>
      </x:c>
      <x:c r="X1095" s="16" t="n">
        <x:v>0</x:v>
      </x:c>
      <x:c r="Y1095" s="16" t="n">
        <x:v>0</x:v>
      </x:c>
      <x:c r="Z1095" s="16" t="n">
        <x:v>0</x:v>
      </x:c>
      <x:c r="AA1095" s="16" t="n">
        <x:v>3</x:v>
      </x:c>
      <x:c r="AB1095" s="16" t="n">
        <x:v>11</x:v>
      </x:c>
      <x:c r="AC1095" s="16" t="n">
        <x:v>0</x:v>
      </x:c>
      <x:c r="AD1095" s="21" t="n">
        <x:f>IF(E1095="",MEDIAN($E$2:$E$2237),E1095)</x:f>
        <x:v>79803</x:v>
      </x:c>
      <x:c r="AE1095" s="17" t="n">
        <x:f>2014-B1095</x:f>
        <x:v>56</x:v>
      </x:c>
      <x:c r="AF1095" s="17" t="n">
        <x:f>F1095+G1095</x:f>
        <x:v>1</x:v>
      </x:c>
      <x:c r="AG1095" s="21" t="n">
        <x:f>SUM(J1095:O1095)</x:f>
        <x:v>868</x:v>
      </x:c>
      <x:c r="AH1095" s="17" t="n">
        <x:f>SUM(Q1095:S1095)</x:f>
        <x:v>12</x:v>
      </x:c>
      <x:c r="AI1095" s="17" t="n">
        <x:f>SUM(U1095:Y1095)</x:f>
        <x:v>0</x:v>
      </x:c>
      <x:c r="AJ1095" s="17" t="str">
        <x:f>IF(AE1095&lt;=34,"≤34",IF(AE1095&lt;=44,"35–44",IF(AE1095&lt;=54,"45–54",IF(AE1095&lt;=64,"55–64","65+"))))</x:f>
        <x:v>55–64</x:v>
      </x:c>
      <x:c r="AK1095" s="17" t="str">
        <x:f>IF(AG1095&gt;=1000,"High Value",IF(AG1095&gt;=300,"Mid Value","Low Value"))</x:f>
        <x:v>Mid Value</x:v>
      </x:c>
      <x:c r="AL1095" s="17" t="str">
        <x:f>IF(AND(AI1095&gt;=1,I1095&lt;=50),"Priority 1",IF(AND(AG1095&gt;=1000,I1095&lt;=60),"Priority 2",IF(I1095&lt;=30,"Priority 3","Nurture")))</x:f>
        <x:v>Nurture</x:v>
      </x:c>
    </x:row>
    <x:row r="1096">
      <x:c r="A1096" s="16" t="n">
        <x:v>10245</x:v>
      </x:c>
      <x:c r="B1096" s="16" t="n">
        <x:v>1986</x:v>
      </x:c>
      <x:c r="C1096" s="16" t="str">
        <x:v>2n Cycle</x:v>
      </x:c>
      <x:c r="D1096" s="16" t="str">
        <x:v>Single</x:v>
      </x:c>
      <x:c r="E1096" s="16" t="n">
        <x:v>80910</x:v>
      </x:c>
      <x:c r="F1096" s="16" t="n">
        <x:v>0</x:v>
      </x:c>
      <x:c r="G1096" s="16" t="n">
        <x:v>0</x:v>
      </x:c>
      <x:c r="H1096" s="16" t="str">
        <x:v>31-10-2012</x:v>
      </x:c>
      <x:c r="I1096" s="16" t="n">
        <x:v>71</x:v>
      </x:c>
      <x:c r="J1096" s="16" t="n">
        <x:v>160</x:v>
      </x:c>
      <x:c r="K1096" s="16" t="n">
        <x:v>80</x:v>
      </x:c>
      <x:c r="L1096" s="16" t="n">
        <x:v>369</x:v>
      </x:c>
      <x:c r="M1096" s="16" t="n">
        <x:v>67</x:v>
      </x:c>
      <x:c r="N1096" s="16" t="n">
        <x:v>39</x:v>
      </x:c>
      <x:c r="O1096" s="16" t="n">
        <x:v>41</x:v>
      </x:c>
      <x:c r="P1096" s="16" t="n">
        <x:v>1</x:v>
      </x:c>
      <x:c r="Q1096" s="16" t="n">
        <x:v>3</x:v>
      </x:c>
      <x:c r="R1096" s="16" t="n">
        <x:v>3</x:v>
      </x:c>
      <x:c r="S1096" s="16" t="n">
        <x:v>8</x:v>
      </x:c>
      <x:c r="T1096" s="16" t="n">
        <x:v>1</x:v>
      </x:c>
      <x:c r="U1096" s="16" t="n">
        <x:v>0</x:v>
      </x:c>
      <x:c r="V1096" s="16" t="n">
        <x:v>0</x:v>
      </x:c>
      <x:c r="W1096" s="16" t="n">
        <x:v>0</x:v>
      </x:c>
      <x:c r="X1096" s="16" t="n">
        <x:v>0</x:v>
      </x:c>
      <x:c r="Y1096" s="16" t="n">
        <x:v>0</x:v>
      </x:c>
      <x:c r="Z1096" s="16" t="n">
        <x:v>0</x:v>
      </x:c>
      <x:c r="AA1096" s="16" t="n">
        <x:v>3</x:v>
      </x:c>
      <x:c r="AB1096" s="16" t="n">
        <x:v>11</x:v>
      </x:c>
      <x:c r="AC1096" s="16" t="n">
        <x:v>0</x:v>
      </x:c>
      <x:c r="AD1096" s="21" t="n">
        <x:f>IF(E1096="",MEDIAN($E$2:$E$2237),E1096)</x:f>
        <x:v>80910</x:v>
      </x:c>
      <x:c r="AE1096" s="17" t="n">
        <x:f>2014-B1096</x:f>
        <x:v>28</x:v>
      </x:c>
      <x:c r="AF1096" s="17" t="n">
        <x:f>F1096+G1096</x:f>
        <x:v>0</x:v>
      </x:c>
      <x:c r="AG1096" s="21" t="n">
        <x:f>SUM(J1096:O1096)</x:f>
        <x:v>756</x:v>
      </x:c>
      <x:c r="AH1096" s="17" t="n">
        <x:f>SUM(Q1096:S1096)</x:f>
        <x:v>14</x:v>
      </x:c>
      <x:c r="AI1096" s="17" t="n">
        <x:f>SUM(U1096:Y1096)</x:f>
        <x:v>0</x:v>
      </x:c>
      <x:c r="AJ1096" s="17" t="str">
        <x:f>IF(AE1096&lt;=34,"≤34",IF(AE1096&lt;=44,"35–44",IF(AE1096&lt;=54,"45–54",IF(AE1096&lt;=64,"55–64","65+"))))</x:f>
        <x:v>≤34</x:v>
      </x:c>
      <x:c r="AK1096" s="17" t="str">
        <x:f>IF(AG1096&gt;=1000,"High Value",IF(AG1096&gt;=300,"Mid Value","Low Value"))</x:f>
        <x:v>Mid Value</x:v>
      </x:c>
      <x:c r="AL1096" s="17" t="str">
        <x:f>IF(AND(AI1096&gt;=1,I1096&lt;=50),"Priority 1",IF(AND(AG1096&gt;=1000,I1096&lt;=60),"Priority 2",IF(I1096&lt;=30,"Priority 3","Nurture")))</x:f>
        <x:v>Nurture</x:v>
      </x:c>
    </x:row>
    <x:row r="1097">
      <x:c r="A1097" s="16" t="n">
        <x:v>1109</x:v>
      </x:c>
      <x:c r="B1097" s="16" t="n">
        <x:v>1982</x:v>
      </x:c>
      <x:c r="C1097" s="16" t="str">
        <x:v>Master</x:v>
      </x:c>
      <x:c r="D1097" s="16" t="str">
        <x:v>Together</x:v>
      </x:c>
      <x:c r="E1097" s="16" t="n">
        <x:v>27590</x:v>
      </x:c>
      <x:c r="F1097" s="16" t="n">
        <x:v>1</x:v>
      </x:c>
      <x:c r="G1097" s="16" t="n">
        <x:v>0</x:v>
      </x:c>
      <x:c r="H1097" s="16" t="str">
        <x:v>23-04-2013</x:v>
      </x:c>
      <x:c r="I1097" s="16" t="n">
        <x:v>38</x:v>
      </x:c>
      <x:c r="J1097" s="16" t="n">
        <x:v>6</x:v>
      </x:c>
      <x:c r="K1097" s="16" t="n">
        <x:v>0</x:v>
      </x:c>
      <x:c r="L1097" s="16" t="n">
        <x:v>5</x:v>
      </x:c>
      <x:c r="M1097" s="16" t="n">
        <x:v>0</x:v>
      </x:c>
      <x:c r="N1097" s="16" t="n">
        <x:v>0</x:v>
      </x:c>
      <x:c r="O1097" s="16" t="n">
        <x:v>1</x:v>
      </x:c>
      <x:c r="P1097" s="16" t="n">
        <x:v>1</x:v>
      </x:c>
      <x:c r="Q1097" s="16" t="n">
        <x:v>1</x:v>
      </x:c>
      <x:c r="R1097" s="16" t="n">
        <x:v>0</x:v>
      </x:c>
      <x:c r="S1097" s="16" t="n">
        <x:v>2</x:v>
      </x:c>
      <x:c r="T1097" s="16" t="n">
        <x:v>7</x:v>
      </x:c>
      <x:c r="U1097" s="16" t="n">
        <x:v>0</x:v>
      </x:c>
      <x:c r="V1097" s="16" t="n">
        <x:v>0</x:v>
      </x:c>
      <x:c r="W1097" s="16" t="n">
        <x:v>0</x:v>
      </x:c>
      <x:c r="X1097" s="16" t="n">
        <x:v>0</x:v>
      </x:c>
      <x:c r="Y1097" s="16" t="n">
        <x:v>0</x:v>
      </x:c>
      <x:c r="Z1097" s="16" t="n">
        <x:v>0</x:v>
      </x:c>
      <x:c r="AA1097" s="16" t="n">
        <x:v>3</x:v>
      </x:c>
      <x:c r="AB1097" s="16" t="n">
        <x:v>11</x:v>
      </x:c>
      <x:c r="AC1097" s="16" t="n">
        <x:v>0</x:v>
      </x:c>
      <x:c r="AD1097" s="21" t="n">
        <x:f>IF(E1097="",MEDIAN($E$2:$E$2237),E1097)</x:f>
        <x:v>27590</x:v>
      </x:c>
      <x:c r="AE1097" s="17" t="n">
        <x:f>2014-B1097</x:f>
        <x:v>32</x:v>
      </x:c>
      <x:c r="AF1097" s="17" t="n">
        <x:f>F1097+G1097</x:f>
        <x:v>1</x:v>
      </x:c>
      <x:c r="AG1097" s="21" t="n">
        <x:f>SUM(J1097:O1097)</x:f>
        <x:v>12</x:v>
      </x:c>
      <x:c r="AH1097" s="17" t="n">
        <x:f>SUM(Q1097:S1097)</x:f>
        <x:v>3</x:v>
      </x:c>
      <x:c r="AI1097" s="17" t="n">
        <x:f>SUM(U1097:Y1097)</x:f>
        <x:v>0</x:v>
      </x:c>
      <x:c r="AJ1097" s="17" t="str">
        <x:f>IF(AE1097&lt;=34,"≤34",IF(AE1097&lt;=44,"35–44",IF(AE1097&lt;=54,"45–54",IF(AE1097&lt;=64,"55–64","65+"))))</x:f>
        <x:v>≤34</x:v>
      </x:c>
      <x:c r="AK1097" s="17" t="str">
        <x:f>IF(AG1097&gt;=1000,"High Value",IF(AG1097&gt;=300,"Mid Value","Low Value"))</x:f>
        <x:v>Low Value</x:v>
      </x:c>
      <x:c r="AL1097" s="17" t="str">
        <x:f>IF(AND(AI1097&gt;=1,I1097&lt;=50),"Priority 1",IF(AND(AG1097&gt;=1000,I1097&lt;=60),"Priority 2",IF(I1097&lt;=30,"Priority 3","Nurture")))</x:f>
        <x:v>Nurture</x:v>
      </x:c>
    </x:row>
    <x:row r="1098">
      <x:c r="A1098" s="16" t="n">
        <x:v>6001</x:v>
      </x:c>
      <x:c r="B1098" s="16" t="n">
        <x:v>1979</x:v>
      </x:c>
      <x:c r="C1098" s="16" t="str">
        <x:v>Graduation</x:v>
      </x:c>
      <x:c r="D1098" s="16" t="str">
        <x:v>Married</x:v>
      </x:c>
      <x:c r="E1098" s="16" t="n">
        <x:v>56775</x:v>
      </x:c>
      <x:c r="F1098" s="16" t="n">
        <x:v>0</x:v>
      </x:c>
      <x:c r="G1098" s="16" t="n">
        <x:v>1</x:v>
      </x:c>
      <x:c r="H1098" s="16" t="str">
        <x:v>02-01-2013</x:v>
      </x:c>
      <x:c r="I1098" s="16" t="n">
        <x:v>62</x:v>
      </x:c>
      <x:c r="J1098" s="16" t="n">
        <x:v>614</x:v>
      </x:c>
      <x:c r="K1098" s="16" t="n">
        <x:v>35</x:v>
      </x:c>
      <x:c r="L1098" s="16" t="n">
        <x:v>160</x:v>
      </x:c>
      <x:c r="M1098" s="16" t="n">
        <x:v>58</x:v>
      </x:c>
      <x:c r="N1098" s="16" t="n">
        <x:v>35</x:v>
      </x:c>
      <x:c r="O1098" s="16" t="n">
        <x:v>35</x:v>
      </x:c>
      <x:c r="P1098" s="16" t="n">
        <x:v>2</x:v>
      </x:c>
      <x:c r="Q1098" s="16" t="n">
        <x:v>5</x:v>
      </x:c>
      <x:c r="R1098" s="16" t="n">
        <x:v>8</x:v>
      </x:c>
      <x:c r="S1098" s="16" t="n">
        <x:v>10</x:v>
      </x:c>
      <x:c r="T1098" s="16" t="n">
        <x:v>5</x:v>
      </x:c>
      <x:c r="U1098" s="16" t="n">
        <x:v>0</x:v>
      </x:c>
      <x:c r="V1098" s="16" t="n">
        <x:v>0</x:v>
      </x:c>
      <x:c r="W1098" s="16" t="n">
        <x:v>0</x:v>
      </x:c>
      <x:c r="X1098" s="16" t="n">
        <x:v>0</x:v>
      </x:c>
      <x:c r="Y1098" s="16" t="n">
        <x:v>0</x:v>
      </x:c>
      <x:c r="Z1098" s="16" t="n">
        <x:v>0</x:v>
      </x:c>
      <x:c r="AA1098" s="16" t="n">
        <x:v>3</x:v>
      </x:c>
      <x:c r="AB1098" s="16" t="n">
        <x:v>11</x:v>
      </x:c>
      <x:c r="AC1098" s="16" t="n">
        <x:v>0</x:v>
      </x:c>
      <x:c r="AD1098" s="21" t="n">
        <x:f>IF(E1098="",MEDIAN($E$2:$E$2237),E1098)</x:f>
        <x:v>56775</x:v>
      </x:c>
      <x:c r="AE1098" s="17" t="n">
        <x:f>2014-B1098</x:f>
        <x:v>35</x:v>
      </x:c>
      <x:c r="AF1098" s="17" t="n">
        <x:f>F1098+G1098</x:f>
        <x:v>1</x:v>
      </x:c>
      <x:c r="AG1098" s="21" t="n">
        <x:f>SUM(J1098:O1098)</x:f>
        <x:v>937</x:v>
      </x:c>
      <x:c r="AH1098" s="17" t="n">
        <x:f>SUM(Q1098:S1098)</x:f>
        <x:v>23</x:v>
      </x:c>
      <x:c r="AI1098" s="17" t="n">
        <x:f>SUM(U1098:Y1098)</x:f>
        <x:v>0</x:v>
      </x:c>
      <x:c r="AJ1098" s="17" t="str">
        <x:f>IF(AE1098&lt;=34,"≤34",IF(AE1098&lt;=44,"35–44",IF(AE1098&lt;=54,"45–54",IF(AE1098&lt;=64,"55–64","65+"))))</x:f>
        <x:v>35–44</x:v>
      </x:c>
      <x:c r="AK1098" s="17" t="str">
        <x:f>IF(AG1098&gt;=1000,"High Value",IF(AG1098&gt;=300,"Mid Value","Low Value"))</x:f>
        <x:v>Mid Value</x:v>
      </x:c>
      <x:c r="AL1098" s="17" t="str">
        <x:f>IF(AND(AI1098&gt;=1,I1098&lt;=50),"Priority 1",IF(AND(AG1098&gt;=1000,I1098&lt;=60),"Priority 2",IF(I1098&lt;=30,"Priority 3","Nurture")))</x:f>
        <x:v>Nurture</x:v>
      </x:c>
    </x:row>
    <x:row r="1099">
      <x:c r="A1099" s="16" t="n">
        <x:v>5538</x:v>
      </x:c>
      <x:c r="B1099" s="16" t="n">
        <x:v>1975</x:v>
      </x:c>
      <x:c r="C1099" s="16" t="str">
        <x:v>Graduation</x:v>
      </x:c>
      <x:c r="D1099" s="16" t="str">
        <x:v>Divorced</x:v>
      </x:c>
      <x:c r="E1099" s="16" t="n">
        <x:v>83829</x:v>
      </x:c>
      <x:c r="F1099" s="16" t="n">
        <x:v>0</x:v>
      </x:c>
      <x:c r="G1099" s="16" t="n">
        <x:v>0</x:v>
      </x:c>
      <x:c r="H1099" s="16" t="str">
        <x:v>08-10-2013</x:v>
      </x:c>
      <x:c r="I1099" s="16" t="n">
        <x:v>78</x:v>
      </x:c>
      <x:c r="J1099" s="16" t="n">
        <x:v>897</x:v>
      </x:c>
      <x:c r="K1099" s="16" t="n">
        <x:v>161</x:v>
      </x:c>
      <x:c r="L1099" s="16" t="n">
        <x:v>430</x:v>
      </x:c>
      <x:c r="M1099" s="16" t="n">
        <x:v>186</x:v>
      </x:c>
      <x:c r="N1099" s="16" t="n">
        <x:v>161</x:v>
      </x:c>
      <x:c r="O1099" s="16" t="n">
        <x:v>27</x:v>
      </x:c>
      <x:c r="P1099" s="16" t="n">
        <x:v>0</x:v>
      </x:c>
      <x:c r="Q1099" s="16" t="n">
        <x:v>4</x:v>
      </x:c>
      <x:c r="R1099" s="16" t="n">
        <x:v>7</x:v>
      </x:c>
      <x:c r="S1099" s="16" t="n">
        <x:v>6</x:v>
      </x:c>
      <x:c r="T1099" s="16" t="n">
        <x:v>1</x:v>
      </x:c>
      <x:c r="U1099" s="16" t="n">
        <x:v>1</x:v>
      </x:c>
      <x:c r="V1099" s="16" t="n">
        <x:v>0</x:v>
      </x:c>
      <x:c r="W1099" s="16" t="n">
        <x:v>1</x:v>
      </x:c>
      <x:c r="X1099" s="16" t="n">
        <x:v>1</x:v>
      </x:c>
      <x:c r="Y1099" s="16" t="n">
        <x:v>0</x:v>
      </x:c>
      <x:c r="Z1099" s="16" t="n">
        <x:v>0</x:v>
      </x:c>
      <x:c r="AA1099" s="16" t="n">
        <x:v>3</x:v>
      </x:c>
      <x:c r="AB1099" s="16" t="n">
        <x:v>11</x:v>
      </x:c>
      <x:c r="AC1099" s="16" t="n">
        <x:v>1</x:v>
      </x:c>
      <x:c r="AD1099" s="21" t="n">
        <x:f>IF(E1099="",MEDIAN($E$2:$E$2237),E1099)</x:f>
        <x:v>83829</x:v>
      </x:c>
      <x:c r="AE1099" s="17" t="n">
        <x:f>2014-B1099</x:f>
        <x:v>39</x:v>
      </x:c>
      <x:c r="AF1099" s="17" t="n">
        <x:f>F1099+G1099</x:f>
        <x:v>0</x:v>
      </x:c>
      <x:c r="AG1099" s="21" t="n">
        <x:f>SUM(J1099:O1099)</x:f>
        <x:v>1862</x:v>
      </x:c>
      <x:c r="AH1099" s="17" t="n">
        <x:f>SUM(Q1099:S1099)</x:f>
        <x:v>17</x:v>
      </x:c>
      <x:c r="AI1099" s="17" t="n">
        <x:f>SUM(U1099:Y1099)</x:f>
        <x:v>3</x:v>
      </x:c>
      <x:c r="AJ1099" s="17" t="str">
        <x:f>IF(AE1099&lt;=34,"≤34",IF(AE1099&lt;=44,"35–44",IF(AE1099&lt;=54,"45–54",IF(AE1099&lt;=64,"55–64","65+"))))</x:f>
        <x:v>35–44</x:v>
      </x:c>
      <x:c r="AK1099" s="17" t="str">
        <x:f>IF(AG1099&gt;=1000,"High Value",IF(AG1099&gt;=300,"Mid Value","Low Value"))</x:f>
        <x:v>High Value</x:v>
      </x:c>
      <x:c r="AL1099" s="17" t="str">
        <x:f>IF(AND(AI1099&gt;=1,I1099&lt;=50),"Priority 1",IF(AND(AG1099&gt;=1000,I1099&lt;=60),"Priority 2",IF(I1099&lt;=30,"Priority 3","Nurture")))</x:f>
        <x:v>Nurture</x:v>
      </x:c>
    </x:row>
    <x:row r="1100">
      <x:c r="A1100" s="16" t="n">
        <x:v>10552</x:v>
      </x:c>
      <x:c r="B1100" s="16" t="n">
        <x:v>1979</x:v>
      </x:c>
      <x:c r="C1100" s="16" t="str">
        <x:v>2n Cycle</x:v>
      </x:c>
      <x:c r="D1100" s="16" t="str">
        <x:v>Married</x:v>
      </x:c>
      <x:c r="E1100" s="16" t="n">
        <x:v>54210</x:v>
      </x:c>
      <x:c r="F1100" s="16" t="n">
        <x:v>0</x:v>
      </x:c>
      <x:c r="G1100" s="16" t="n">
        <x:v>1</x:v>
      </x:c>
      <x:c r="H1100" s="16" t="str">
        <x:v>20-05-2013</x:v>
      </x:c>
      <x:c r="I1100" s="16" t="n">
        <x:v>18</x:v>
      </x:c>
      <x:c r="J1100" s="16" t="n">
        <x:v>70</x:v>
      </x:c>
      <x:c r="K1100" s="16" t="n">
        <x:v>54</x:v>
      </x:c>
      <x:c r="L1100" s="16" t="n">
        <x:v>109</x:v>
      </x:c>
      <x:c r="M1100" s="16" t="n">
        <x:v>80</x:v>
      </x:c>
      <x:c r="N1100" s="16" t="n">
        <x:v>9</x:v>
      </x:c>
      <x:c r="O1100" s="16" t="n">
        <x:v>45</x:v>
      </x:c>
      <x:c r="P1100" s="16" t="n">
        <x:v>2</x:v>
      </x:c>
      <x:c r="Q1100" s="16" t="n">
        <x:v>4</x:v>
      </x:c>
      <x:c r="R1100" s="16" t="n">
        <x:v>1</x:v>
      </x:c>
      <x:c r="S1100" s="16" t="n">
        <x:v>7</x:v>
      </x:c>
      <x:c r="T1100" s="16" t="n">
        <x:v>5</x:v>
      </x:c>
      <x:c r="U1100" s="16" t="n">
        <x:v>0</x:v>
      </x:c>
      <x:c r="V1100" s="16" t="n">
        <x:v>0</x:v>
      </x:c>
      <x:c r="W1100" s="16" t="n">
        <x:v>0</x:v>
      </x:c>
      <x:c r="X1100" s="16" t="n">
        <x:v>0</x:v>
      </x:c>
      <x:c r="Y1100" s="16" t="n">
        <x:v>0</x:v>
      </x:c>
      <x:c r="Z1100" s="16" t="n">
        <x:v>0</x:v>
      </x:c>
      <x:c r="AA1100" s="16" t="n">
        <x:v>3</x:v>
      </x:c>
      <x:c r="AB1100" s="16" t="n">
        <x:v>11</x:v>
      </x:c>
      <x:c r="AC1100" s="16" t="n">
        <x:v>0</x:v>
      </x:c>
      <x:c r="AD1100" s="21" t="n">
        <x:f>IF(E1100="",MEDIAN($E$2:$E$2237),E1100)</x:f>
        <x:v>54210</x:v>
      </x:c>
      <x:c r="AE1100" s="17" t="n">
        <x:f>2014-B1100</x:f>
        <x:v>35</x:v>
      </x:c>
      <x:c r="AF1100" s="17" t="n">
        <x:f>F1100+G1100</x:f>
        <x:v>1</x:v>
      </x:c>
      <x:c r="AG1100" s="21" t="n">
        <x:f>SUM(J1100:O1100)</x:f>
        <x:v>367</x:v>
      </x:c>
      <x:c r="AH1100" s="17" t="n">
        <x:f>SUM(Q1100:S1100)</x:f>
        <x:v>12</x:v>
      </x:c>
      <x:c r="AI1100" s="17" t="n">
        <x:f>SUM(U1100:Y1100)</x:f>
        <x:v>0</x:v>
      </x:c>
      <x:c r="AJ1100" s="17" t="str">
        <x:f>IF(AE1100&lt;=34,"≤34",IF(AE1100&lt;=44,"35–44",IF(AE1100&lt;=54,"45–54",IF(AE1100&lt;=64,"55–64","65+"))))</x:f>
        <x:v>35–44</x:v>
      </x:c>
      <x:c r="AK1100" s="17" t="str">
        <x:f>IF(AG1100&gt;=1000,"High Value",IF(AG1100&gt;=300,"Mid Value","Low Value"))</x:f>
        <x:v>Mid Value</x:v>
      </x:c>
      <x:c r="AL1100" s="17" t="str">
        <x:f>IF(AND(AI1100&gt;=1,I1100&lt;=50),"Priority 1",IF(AND(AG1100&gt;=1000,I1100&lt;=60),"Priority 2",IF(I1100&lt;=30,"Priority 3","Nurture")))</x:f>
        <x:v>Priority 3</x:v>
      </x:c>
    </x:row>
    <x:row r="1101">
      <x:c r="A1101" s="16" t="n">
        <x:v>1545</x:v>
      </x:c>
      <x:c r="B1101" s="16" t="n">
        <x:v>1986</x:v>
      </x:c>
      <x:c r="C1101" s="16" t="str">
        <x:v>Graduation</x:v>
      </x:c>
      <x:c r="D1101" s="16" t="str">
        <x:v>Married</x:v>
      </x:c>
      <x:c r="E1101" s="16" t="n">
        <x:v>38508</x:v>
      </x:c>
      <x:c r="F1101" s="16" t="n">
        <x:v>1</x:v>
      </x:c>
      <x:c r="G1101" s="16" t="n">
        <x:v>0</x:v>
      </x:c>
      <x:c r="H1101" s="16" t="str">
        <x:v>02-08-2013</x:v>
      </x:c>
      <x:c r="I1101" s="16" t="n">
        <x:v>95</x:v>
      </x:c>
      <x:c r="J1101" s="16" t="n">
        <x:v>120</x:v>
      </x:c>
      <x:c r="K1101" s="16" t="n">
        <x:v>19</x:v>
      </x:c>
      <x:c r="L1101" s="16" t="n">
        <x:v>206</x:v>
      </x:c>
      <x:c r="M1101" s="16" t="n">
        <x:v>25</x:v>
      </x:c>
      <x:c r="N1101" s="16" t="n">
        <x:v>19</x:v>
      </x:c>
      <x:c r="O1101" s="16" t="n">
        <x:v>54</x:v>
      </x:c>
      <x:c r="P1101" s="16" t="n">
        <x:v>6</x:v>
      </x:c>
      <x:c r="Q1101" s="16" t="n">
        <x:v>7</x:v>
      </x:c>
      <x:c r="R1101" s="16" t="n">
        <x:v>2</x:v>
      </x:c>
      <x:c r="S1101" s="16" t="n">
        <x:v>5</x:v>
      </x:c>
      <x:c r="T1101" s="16" t="n">
        <x:v>8</x:v>
      </x:c>
      <x:c r="U1101" s="16" t="n">
        <x:v>0</x:v>
      </x:c>
      <x:c r="V1101" s="16" t="n">
        <x:v>0</x:v>
      </x:c>
      <x:c r="W1101" s="16" t="n">
        <x:v>0</x:v>
      </x:c>
      <x:c r="X1101" s="16" t="n">
        <x:v>0</x:v>
      </x:c>
      <x:c r="Y1101" s="16" t="n">
        <x:v>0</x:v>
      </x:c>
      <x:c r="Z1101" s="16" t="n">
        <x:v>0</x:v>
      </x:c>
      <x:c r="AA1101" s="16" t="n">
        <x:v>3</x:v>
      </x:c>
      <x:c r="AB1101" s="16" t="n">
        <x:v>11</x:v>
      </x:c>
      <x:c r="AC1101" s="16" t="n">
        <x:v>0</x:v>
      </x:c>
      <x:c r="AD1101" s="21" t="n">
        <x:f>IF(E1101="",MEDIAN($E$2:$E$2237),E1101)</x:f>
        <x:v>38508</x:v>
      </x:c>
      <x:c r="AE1101" s="17" t="n">
        <x:f>2014-B1101</x:f>
        <x:v>28</x:v>
      </x:c>
      <x:c r="AF1101" s="17" t="n">
        <x:f>F1101+G1101</x:f>
        <x:v>1</x:v>
      </x:c>
      <x:c r="AG1101" s="21" t="n">
        <x:f>SUM(J1101:O1101)</x:f>
        <x:v>443</x:v>
      </x:c>
      <x:c r="AH1101" s="17" t="n">
        <x:f>SUM(Q1101:S1101)</x:f>
        <x:v>14</x:v>
      </x:c>
      <x:c r="AI1101" s="17" t="n">
        <x:f>SUM(U1101:Y1101)</x:f>
        <x:v>0</x:v>
      </x:c>
      <x:c r="AJ1101" s="17" t="str">
        <x:f>IF(AE1101&lt;=34,"≤34",IF(AE1101&lt;=44,"35–44",IF(AE1101&lt;=54,"45–54",IF(AE1101&lt;=64,"55–64","65+"))))</x:f>
        <x:v>≤34</x:v>
      </x:c>
      <x:c r="AK1101" s="17" t="str">
        <x:f>IF(AG1101&gt;=1000,"High Value",IF(AG1101&gt;=300,"Mid Value","Low Value"))</x:f>
        <x:v>Mid Value</x:v>
      </x:c>
      <x:c r="AL1101" s="17" t="str">
        <x:f>IF(AND(AI1101&gt;=1,I1101&lt;=50),"Priority 1",IF(AND(AG1101&gt;=1000,I1101&lt;=60),"Priority 2",IF(I1101&lt;=30,"Priority 3","Nurture")))</x:f>
        <x:v>Nurture</x:v>
      </x:c>
    </x:row>
    <x:row r="1102">
      <x:c r="A1102" s="16" t="n">
        <x:v>7409</x:v>
      </x:c>
      <x:c r="B1102" s="16" t="n">
        <x:v>1970</x:v>
      </x:c>
      <x:c r="C1102" s="16" t="str">
        <x:v>Graduation</x:v>
      </x:c>
      <x:c r="D1102" s="16" t="str">
        <x:v>Together</x:v>
      </x:c>
      <x:c r="E1102" s="16" t="n">
        <x:v>53187</x:v>
      </x:c>
      <x:c r="F1102" s="16" t="n">
        <x:v>1</x:v>
      </x:c>
      <x:c r="G1102" s="16" t="n">
        <x:v>0</x:v>
      </x:c>
      <x:c r="H1102" s="16" t="str">
        <x:v>26-10-2013</x:v>
      </x:c>
      <x:c r="I1102" s="16" t="n">
        <x:v>66</x:v>
      </x:c>
      <x:c r="J1102" s="16" t="n">
        <x:v>211</x:v>
      </x:c>
      <x:c r="K1102" s="16" t="n">
        <x:v>2</x:v>
      </x:c>
      <x:c r="L1102" s="16" t="n">
        <x:v>30</x:v>
      </x:c>
      <x:c r="M1102" s="16" t="n">
        <x:v>7</x:v>
      </x:c>
      <x:c r="N1102" s="16" t="n">
        <x:v>7</x:v>
      </x:c>
      <x:c r="O1102" s="16" t="n">
        <x:v>10</x:v>
      </x:c>
      <x:c r="P1102" s="16" t="n">
        <x:v>2</x:v>
      </x:c>
      <x:c r="Q1102" s="16" t="n">
        <x:v>4</x:v>
      </x:c>
      <x:c r="R1102" s="16" t="n">
        <x:v>1</x:v>
      </x:c>
      <x:c r="S1102" s="16" t="n">
        <x:v>6</x:v>
      </x:c>
      <x:c r="T1102" s="16" t="n">
        <x:v>5</x:v>
      </x:c>
      <x:c r="U1102" s="16" t="n">
        <x:v>0</x:v>
      </x:c>
      <x:c r="V1102" s="16" t="n">
        <x:v>0</x:v>
      </x:c>
      <x:c r="W1102" s="16" t="n">
        <x:v>0</x:v>
      </x:c>
      <x:c r="X1102" s="16" t="n">
        <x:v>0</x:v>
      </x:c>
      <x:c r="Y1102" s="16" t="n">
        <x:v>0</x:v>
      </x:c>
      <x:c r="Z1102" s="16" t="n">
        <x:v>0</x:v>
      </x:c>
      <x:c r="AA1102" s="16" t="n">
        <x:v>3</x:v>
      </x:c>
      <x:c r="AB1102" s="16" t="n">
        <x:v>11</x:v>
      </x:c>
      <x:c r="AC1102" s="16" t="n">
        <x:v>0</x:v>
      </x:c>
      <x:c r="AD1102" s="21" t="n">
        <x:f>IF(E1102="",MEDIAN($E$2:$E$2237),E1102)</x:f>
        <x:v>53187</x:v>
      </x:c>
      <x:c r="AE1102" s="17" t="n">
        <x:f>2014-B1102</x:f>
        <x:v>44</x:v>
      </x:c>
      <x:c r="AF1102" s="17" t="n">
        <x:f>F1102+G1102</x:f>
        <x:v>1</x:v>
      </x:c>
      <x:c r="AG1102" s="21" t="n">
        <x:f>SUM(J1102:O1102)</x:f>
        <x:v>267</x:v>
      </x:c>
      <x:c r="AH1102" s="17" t="n">
        <x:f>SUM(Q1102:S1102)</x:f>
        <x:v>11</x:v>
      </x:c>
      <x:c r="AI1102" s="17" t="n">
        <x:f>SUM(U1102:Y1102)</x:f>
        <x:v>0</x:v>
      </x:c>
      <x:c r="AJ1102" s="17" t="str">
        <x:f>IF(AE1102&lt;=34,"≤34",IF(AE1102&lt;=44,"35–44",IF(AE1102&lt;=54,"45–54",IF(AE1102&lt;=64,"55–64","65+"))))</x:f>
        <x:v>35–44</x:v>
      </x:c>
      <x:c r="AK1102" s="17" t="str">
        <x:f>IF(AG1102&gt;=1000,"High Value",IF(AG1102&gt;=300,"Mid Value","Low Value"))</x:f>
        <x:v>Low Value</x:v>
      </x:c>
      <x:c r="AL1102" s="17" t="str">
        <x:f>IF(AND(AI1102&gt;=1,I1102&lt;=50),"Priority 1",IF(AND(AG1102&gt;=1000,I1102&lt;=60),"Priority 2",IF(I1102&lt;=30,"Priority 3","Nurture")))</x:f>
        <x:v>Nurture</x:v>
      </x:c>
    </x:row>
    <x:row r="1103">
      <x:c r="A1103" s="16" t="n">
        <x:v>4444</x:v>
      </x:c>
      <x:c r="B1103" s="16" t="n">
        <x:v>1972</x:v>
      </x:c>
      <x:c r="C1103" s="16" t="str">
        <x:v>Graduation</x:v>
      </x:c>
      <x:c r="D1103" s="16" t="str">
        <x:v>Married</x:v>
      </x:c>
      <x:c r="E1103" s="16" t="n">
        <x:v>30023</x:v>
      </x:c>
      <x:c r="F1103" s="16" t="n">
        <x:v>1</x:v>
      </x:c>
      <x:c r="G1103" s="16" t="n">
        <x:v>0</x:v>
      </x:c>
      <x:c r="H1103" s="16" t="str">
        <x:v>24-03-2014</x:v>
      </x:c>
      <x:c r="I1103" s="16" t="n">
        <x:v>28</x:v>
      </x:c>
      <x:c r="J1103" s="16" t="n">
        <x:v>11</x:v>
      </x:c>
      <x:c r="K1103" s="16" t="n">
        <x:v>0</x:v>
      </x:c>
      <x:c r="L1103" s="16" t="n">
        <x:v>16</x:v>
      </x:c>
      <x:c r="M1103" s="16" t="n">
        <x:v>7</x:v>
      </x:c>
      <x:c r="N1103" s="16" t="n">
        <x:v>6</x:v>
      </x:c>
      <x:c r="O1103" s="16" t="n">
        <x:v>21</x:v>
      </x:c>
      <x:c r="P1103" s="16" t="n">
        <x:v>1</x:v>
      </x:c>
      <x:c r="Q1103" s="16" t="n">
        <x:v>2</x:v>
      </x:c>
      <x:c r="R1103" s="16" t="n">
        <x:v>0</x:v>
      </x:c>
      <x:c r="S1103" s="16" t="n">
        <x:v>3</x:v>
      </x:c>
      <x:c r="T1103" s="16" t="n">
        <x:v>8</x:v>
      </x:c>
      <x:c r="U1103" s="16" t="n">
        <x:v>0</x:v>
      </x:c>
      <x:c r="V1103" s="16" t="n">
        <x:v>0</x:v>
      </x:c>
      <x:c r="W1103" s="16" t="n">
        <x:v>0</x:v>
      </x:c>
      <x:c r="X1103" s="16" t="n">
        <x:v>0</x:v>
      </x:c>
      <x:c r="Y1103" s="16" t="n">
        <x:v>0</x:v>
      </x:c>
      <x:c r="Z1103" s="16" t="n">
        <x:v>0</x:v>
      </x:c>
      <x:c r="AA1103" s="16" t="n">
        <x:v>3</x:v>
      </x:c>
      <x:c r="AB1103" s="16" t="n">
        <x:v>11</x:v>
      </x:c>
      <x:c r="AC1103" s="16" t="n">
        <x:v>0</x:v>
      </x:c>
      <x:c r="AD1103" s="21" t="n">
        <x:f>IF(E1103="",MEDIAN($E$2:$E$2237),E1103)</x:f>
        <x:v>30023</x:v>
      </x:c>
      <x:c r="AE1103" s="17" t="n">
        <x:f>2014-B1103</x:f>
        <x:v>42</x:v>
      </x:c>
      <x:c r="AF1103" s="17" t="n">
        <x:f>F1103+G1103</x:f>
        <x:v>1</x:v>
      </x:c>
      <x:c r="AG1103" s="21" t="n">
        <x:f>SUM(J1103:O1103)</x:f>
        <x:v>61</x:v>
      </x:c>
      <x:c r="AH1103" s="17" t="n">
        <x:f>SUM(Q1103:S1103)</x:f>
        <x:v>5</x:v>
      </x:c>
      <x:c r="AI1103" s="17" t="n">
        <x:f>SUM(U1103:Y1103)</x:f>
        <x:v>0</x:v>
      </x:c>
      <x:c r="AJ1103" s="17" t="str">
        <x:f>IF(AE1103&lt;=34,"≤34",IF(AE1103&lt;=44,"35–44",IF(AE1103&lt;=54,"45–54",IF(AE1103&lt;=64,"55–64","65+"))))</x:f>
        <x:v>35–44</x:v>
      </x:c>
      <x:c r="AK1103" s="17" t="str">
        <x:f>IF(AG1103&gt;=1000,"High Value",IF(AG1103&gt;=300,"Mid Value","Low Value"))</x:f>
        <x:v>Low Value</x:v>
      </x:c>
      <x:c r="AL1103" s="17" t="str">
        <x:f>IF(AND(AI1103&gt;=1,I1103&lt;=50),"Priority 1",IF(AND(AG1103&gt;=1000,I1103&lt;=60),"Priority 2",IF(I1103&lt;=30,"Priority 3","Nurture")))</x:f>
        <x:v>Priority 3</x:v>
      </x:c>
    </x:row>
    <x:row r="1104">
      <x:c r="A1104" s="16" t="n">
        <x:v>146</x:v>
      </x:c>
      <x:c r="B1104" s="16" t="n">
        <x:v>1960</x:v>
      </x:c>
      <x:c r="C1104" s="16" t="str">
        <x:v>PhD</x:v>
      </x:c>
      <x:c r="D1104" s="16" t="str">
        <x:v>Single</x:v>
      </x:c>
      <x:c r="E1104" s="16" t="n">
        <x:v>76045</x:v>
      </x:c>
      <x:c r="F1104" s="16" t="n">
        <x:v>0</x:v>
      </x:c>
      <x:c r="G1104" s="16" t="n">
        <x:v>0</x:v>
      </x:c>
      <x:c r="H1104" s="16" t="str">
        <x:v>15-11-2013</x:v>
      </x:c>
      <x:c r="I1104" s="16" t="n">
        <x:v>78</x:v>
      </x:c>
      <x:c r="J1104" s="16" t="n">
        <x:v>760</x:v>
      </x:c>
      <x:c r="K1104" s="16" t="n">
        <x:v>53</x:v>
      </x:c>
      <x:c r="L1104" s="16" t="n">
        <x:v>400</x:v>
      </x:c>
      <x:c r="M1104" s="16" t="n">
        <x:v>17</x:v>
      </x:c>
      <x:c r="N1104" s="16" t="n">
        <x:v>93</x:v>
      </x:c>
      <x:c r="O1104" s="16" t="n">
        <x:v>0</x:v>
      </x:c>
      <x:c r="P1104" s="16" t="n">
        <x:v>1</x:v>
      </x:c>
      <x:c r="Q1104" s="16" t="n">
        <x:v>4</x:v>
      </x:c>
      <x:c r="R1104" s="16" t="n">
        <x:v>5</x:v>
      </x:c>
      <x:c r="S1104" s="16" t="n">
        <x:v>11</x:v>
      </x:c>
      <x:c r="T1104" s="16" t="n">
        <x:v>2</x:v>
      </x:c>
      <x:c r="U1104" s="16" t="n">
        <x:v>0</x:v>
      </x:c>
      <x:c r="V1104" s="16" t="n">
        <x:v>0</x:v>
      </x:c>
      <x:c r="W1104" s="16" t="n">
        <x:v>0</x:v>
      </x:c>
      <x:c r="X1104" s="16" t="n">
        <x:v>1</x:v>
      </x:c>
      <x:c r="Y1104" s="16" t="n">
        <x:v>0</x:v>
      </x:c>
      <x:c r="Z1104" s="16" t="n">
        <x:v>0</x:v>
      </x:c>
      <x:c r="AA1104" s="16" t="n">
        <x:v>3</x:v>
      </x:c>
      <x:c r="AB1104" s="16" t="n">
        <x:v>11</x:v>
      </x:c>
      <x:c r="AC1104" s="16" t="n">
        <x:v>0</x:v>
      </x:c>
      <x:c r="AD1104" s="21" t="n">
        <x:f>IF(E1104="",MEDIAN($E$2:$E$2237),E1104)</x:f>
        <x:v>76045</x:v>
      </x:c>
      <x:c r="AE1104" s="17" t="n">
        <x:f>2014-B1104</x:f>
        <x:v>54</x:v>
      </x:c>
      <x:c r="AF1104" s="17" t="n">
        <x:f>F1104+G1104</x:f>
        <x:v>0</x:v>
      </x:c>
      <x:c r="AG1104" s="21" t="n">
        <x:f>SUM(J1104:O1104)</x:f>
        <x:v>1323</x:v>
      </x:c>
      <x:c r="AH1104" s="17" t="n">
        <x:f>SUM(Q1104:S1104)</x:f>
        <x:v>20</x:v>
      </x:c>
      <x:c r="AI1104" s="17" t="n">
        <x:f>SUM(U1104:Y1104)</x:f>
        <x:v>1</x:v>
      </x:c>
      <x:c r="AJ1104" s="17" t="str">
        <x:f>IF(AE1104&lt;=34,"≤34",IF(AE1104&lt;=44,"35–44",IF(AE1104&lt;=54,"45–54",IF(AE1104&lt;=64,"55–64","65+"))))</x:f>
        <x:v>45–54</x:v>
      </x:c>
      <x:c r="AK1104" s="17" t="str">
        <x:f>IF(AG1104&gt;=1000,"High Value",IF(AG1104&gt;=300,"Mid Value","Low Value"))</x:f>
        <x:v>High Value</x:v>
      </x:c>
      <x:c r="AL1104" s="17" t="str">
        <x:f>IF(AND(AI1104&gt;=1,I1104&lt;=50),"Priority 1",IF(AND(AG1104&gt;=1000,I1104&lt;=60),"Priority 2",IF(I1104&lt;=30,"Priority 3","Nurture")))</x:f>
        <x:v>Nurture</x:v>
      </x:c>
    </x:row>
    <x:row r="1105">
      <x:c r="A1105" s="16" t="n">
        <x:v>6271</x:v>
      </x:c>
      <x:c r="B1105" s="16" t="n">
        <x:v>1952</x:v>
      </x:c>
      <x:c r="C1105" s="16" t="str">
        <x:v>PhD</x:v>
      </x:c>
      <x:c r="D1105" s="16" t="str">
        <x:v>Married</x:v>
      </x:c>
      <x:c r="E1105" s="16" t="n">
        <x:v>50870</x:v>
      </x:c>
      <x:c r="F1105" s="16" t="n">
        <x:v>0</x:v>
      </x:c>
      <x:c r="G1105" s="16" t="n">
        <x:v>1</x:v>
      </x:c>
      <x:c r="H1105" s="16" t="str">
        <x:v>19-06-2014</x:v>
      </x:c>
      <x:c r="I1105" s="16" t="n">
        <x:v>13</x:v>
      </x:c>
      <x:c r="J1105" s="16" t="n">
        <x:v>53</x:v>
      </x:c>
      <x:c r="K1105" s="16" t="n">
        <x:v>0</x:v>
      </x:c>
      <x:c r="L1105" s="16" t="n">
        <x:v>8</x:v>
      </x:c>
      <x:c r="M1105" s="16" t="n">
        <x:v>0</x:v>
      </x:c>
      <x:c r="N1105" s="16" t="n">
        <x:v>0</x:v>
      </x:c>
      <x:c r="O1105" s="16" t="n">
        <x:v>2</x:v>
      </x:c>
      <x:c r="P1105" s="16" t="n">
        <x:v>1</x:v>
      </x:c>
      <x:c r="Q1105" s="16" t="n">
        <x:v>2</x:v>
      </x:c>
      <x:c r="R1105" s="16" t="n">
        <x:v>0</x:v>
      </x:c>
      <x:c r="S1105" s="16" t="n">
        <x:v>3</x:v>
      </x:c>
      <x:c r="T1105" s="16" t="n">
        <x:v>5</x:v>
      </x:c>
      <x:c r="U1105" s="16" t="n">
        <x:v>0</x:v>
      </x:c>
      <x:c r="V1105" s="16" t="n">
        <x:v>0</x:v>
      </x:c>
      <x:c r="W1105" s="16" t="n">
        <x:v>0</x:v>
      </x:c>
      <x:c r="X1105" s="16" t="n">
        <x:v>0</x:v>
      </x:c>
      <x:c r="Y1105" s="16" t="n">
        <x:v>0</x:v>
      </x:c>
      <x:c r="Z1105" s="16" t="n">
        <x:v>0</x:v>
      </x:c>
      <x:c r="AA1105" s="16" t="n">
        <x:v>3</x:v>
      </x:c>
      <x:c r="AB1105" s="16" t="n">
        <x:v>11</x:v>
      </x:c>
      <x:c r="AC1105" s="16" t="n">
        <x:v>0</x:v>
      </x:c>
      <x:c r="AD1105" s="21" t="n">
        <x:f>IF(E1105="",MEDIAN($E$2:$E$2237),E1105)</x:f>
        <x:v>50870</x:v>
      </x:c>
      <x:c r="AE1105" s="17" t="n">
        <x:f>2014-B1105</x:f>
        <x:v>62</x:v>
      </x:c>
      <x:c r="AF1105" s="17" t="n">
        <x:f>F1105+G1105</x:f>
        <x:v>1</x:v>
      </x:c>
      <x:c r="AG1105" s="21" t="n">
        <x:f>SUM(J1105:O1105)</x:f>
        <x:v>63</x:v>
      </x:c>
      <x:c r="AH1105" s="17" t="n">
        <x:f>SUM(Q1105:S1105)</x:f>
        <x:v>5</x:v>
      </x:c>
      <x:c r="AI1105" s="17" t="n">
        <x:f>SUM(U1105:Y1105)</x:f>
        <x:v>0</x:v>
      </x:c>
      <x:c r="AJ1105" s="17" t="str">
        <x:f>IF(AE1105&lt;=34,"≤34",IF(AE1105&lt;=44,"35–44",IF(AE1105&lt;=54,"45–54",IF(AE1105&lt;=64,"55–64","65+"))))</x:f>
        <x:v>55–64</x:v>
      </x:c>
      <x:c r="AK1105" s="17" t="str">
        <x:f>IF(AG1105&gt;=1000,"High Value",IF(AG1105&gt;=300,"Mid Value","Low Value"))</x:f>
        <x:v>Low Value</x:v>
      </x:c>
      <x:c r="AL1105" s="17" t="str">
        <x:f>IF(AND(AI1105&gt;=1,I1105&lt;=50),"Priority 1",IF(AND(AG1105&gt;=1000,I1105&lt;=60),"Priority 2",IF(I1105&lt;=30,"Priority 3","Nurture")))</x:f>
        <x:v>Priority 3</x:v>
      </x:c>
    </x:row>
    <x:row r="1106">
      <x:c r="A1106" s="16" t="n">
        <x:v>10065</x:v>
      </x:c>
      <x:c r="B1106" s="16" t="n">
        <x:v>1970</x:v>
      </x:c>
      <x:c r="C1106" s="16" t="str">
        <x:v>2n Cycle</x:v>
      </x:c>
      <x:c r="D1106" s="16" t="str">
        <x:v>Married</x:v>
      </x:c>
      <x:c r="E1106" s="16" t="n">
        <x:v>15315</x:v>
      </x:c>
      <x:c r="F1106" s="16" t="n">
        <x:v>0</x:v>
      </x:c>
      <x:c r="G1106" s="16" t="n">
        <x:v>0</x:v>
      </x:c>
      <x:c r="H1106" s="16" t="str">
        <x:v>03-08-2013</x:v>
      </x:c>
      <x:c r="I1106" s="16" t="n">
        <x:v>27</x:v>
      </x:c>
      <x:c r="J1106" s="16" t="n">
        <x:v>7</x:v>
      </x:c>
      <x:c r="K1106" s="16" t="n">
        <x:v>4</x:v>
      </x:c>
      <x:c r="L1106" s="16" t="n">
        <x:v>13</x:v>
      </x:c>
      <x:c r="M1106" s="16" t="n">
        <x:v>15</x:v>
      </x:c>
      <x:c r="N1106" s="16" t="n">
        <x:v>8</x:v>
      </x:c>
      <x:c r="O1106" s="16" t="n">
        <x:v>17</x:v>
      </x:c>
      <x:c r="P1106" s="16" t="n">
        <x:v>2</x:v>
      </x:c>
      <x:c r="Q1106" s="16" t="n">
        <x:v>2</x:v>
      </x:c>
      <x:c r="R1106" s="16" t="n">
        <x:v>0</x:v>
      </x:c>
      <x:c r="S1106" s="16" t="n">
        <x:v>4</x:v>
      </x:c>
      <x:c r="T1106" s="16" t="n">
        <x:v>5</x:v>
      </x:c>
      <x:c r="U1106" s="16" t="n">
        <x:v>0</x:v>
      </x:c>
      <x:c r="V1106" s="16" t="n">
        <x:v>0</x:v>
      </x:c>
      <x:c r="W1106" s="16" t="n">
        <x:v>0</x:v>
      </x:c>
      <x:c r="X1106" s="16" t="n">
        <x:v>0</x:v>
      </x:c>
      <x:c r="Y1106" s="16" t="n">
        <x:v>0</x:v>
      </x:c>
      <x:c r="Z1106" s="16" t="n">
        <x:v>0</x:v>
      </x:c>
      <x:c r="AA1106" s="16" t="n">
        <x:v>3</x:v>
      </x:c>
      <x:c r="AB1106" s="16" t="n">
        <x:v>11</x:v>
      </x:c>
      <x:c r="AC1106" s="16" t="n">
        <x:v>0</x:v>
      </x:c>
      <x:c r="AD1106" s="21" t="n">
        <x:f>IF(E1106="",MEDIAN($E$2:$E$2237),E1106)</x:f>
        <x:v>15315</x:v>
      </x:c>
      <x:c r="AE1106" s="17" t="n">
        <x:f>2014-B1106</x:f>
        <x:v>44</x:v>
      </x:c>
      <x:c r="AF1106" s="17" t="n">
        <x:f>F1106+G1106</x:f>
        <x:v>0</x:v>
      </x:c>
      <x:c r="AG1106" s="21" t="n">
        <x:f>SUM(J1106:O1106)</x:f>
        <x:v>64</x:v>
      </x:c>
      <x:c r="AH1106" s="17" t="n">
        <x:f>SUM(Q1106:S1106)</x:f>
        <x:v>6</x:v>
      </x:c>
      <x:c r="AI1106" s="17" t="n">
        <x:f>SUM(U1106:Y1106)</x:f>
        <x:v>0</x:v>
      </x:c>
      <x:c r="AJ1106" s="17" t="str">
        <x:f>IF(AE1106&lt;=34,"≤34",IF(AE1106&lt;=44,"35–44",IF(AE1106&lt;=54,"45–54",IF(AE1106&lt;=64,"55–64","65+"))))</x:f>
        <x:v>35–44</x:v>
      </x:c>
      <x:c r="AK1106" s="17" t="str">
        <x:f>IF(AG1106&gt;=1000,"High Value",IF(AG1106&gt;=300,"Mid Value","Low Value"))</x:f>
        <x:v>Low Value</x:v>
      </x:c>
      <x:c r="AL1106" s="17" t="str">
        <x:f>IF(AND(AI1106&gt;=1,I1106&lt;=50),"Priority 1",IF(AND(AG1106&gt;=1000,I1106&lt;=60),"Priority 2",IF(I1106&lt;=30,"Priority 3","Nurture")))</x:f>
        <x:v>Priority 3</x:v>
      </x:c>
    </x:row>
    <x:row r="1107">
      <x:c r="A1107" s="16" t="n">
        <x:v>4741</x:v>
      </x:c>
      <x:c r="B1107" s="16" t="n">
        <x:v>1974</x:v>
      </x:c>
      <x:c r="C1107" s="16" t="str">
        <x:v>2n Cycle</x:v>
      </x:c>
      <x:c r="D1107" s="16" t="str">
        <x:v>Married</x:v>
      </x:c>
      <x:c r="E1107" s="16" t="n">
        <x:v>65463</x:v>
      </x:c>
      <x:c r="F1107" s="16" t="n">
        <x:v>1</x:v>
      </x:c>
      <x:c r="G1107" s="16" t="n">
        <x:v>0</x:v>
      </x:c>
      <x:c r="H1107" s="16" t="str">
        <x:v>30-01-2014</x:v>
      </x:c>
      <x:c r="I1107" s="16" t="n">
        <x:v>17</x:v>
      </x:c>
      <x:c r="J1107" s="16" t="n">
        <x:v>391</x:v>
      </x:c>
      <x:c r="K1107" s="16" t="n">
        <x:v>32</x:v>
      </x:c>
      <x:c r="L1107" s="16" t="n">
        <x:v>70</x:v>
      </x:c>
      <x:c r="M1107" s="16" t="n">
        <x:v>21</x:v>
      </x:c>
      <x:c r="N1107" s="16" t="n">
        <x:v>32</x:v>
      </x:c>
      <x:c r="O1107" s="16" t="n">
        <x:v>16</x:v>
      </x:c>
      <x:c r="P1107" s="16" t="n">
        <x:v>2</x:v>
      </x:c>
      <x:c r="Q1107" s="16" t="n">
        <x:v>6</x:v>
      </x:c>
      <x:c r="R1107" s="16" t="n">
        <x:v>2</x:v>
      </x:c>
      <x:c r="S1107" s="16" t="n">
        <x:v>9</x:v>
      </x:c>
      <x:c r="T1107" s="16" t="n">
        <x:v>5</x:v>
      </x:c>
      <x:c r="U1107" s="16" t="n">
        <x:v>0</x:v>
      </x:c>
      <x:c r="V1107" s="16" t="n">
        <x:v>1</x:v>
      </x:c>
      <x:c r="W1107" s="16" t="n">
        <x:v>0</x:v>
      </x:c>
      <x:c r="X1107" s="16" t="n">
        <x:v>0</x:v>
      </x:c>
      <x:c r="Y1107" s="16" t="n">
        <x:v>0</x:v>
      </x:c>
      <x:c r="Z1107" s="16" t="n">
        <x:v>0</x:v>
      </x:c>
      <x:c r="AA1107" s="16" t="n">
        <x:v>3</x:v>
      </x:c>
      <x:c r="AB1107" s="16" t="n">
        <x:v>11</x:v>
      </x:c>
      <x:c r="AC1107" s="16" t="n">
        <x:v>0</x:v>
      </x:c>
      <x:c r="AD1107" s="21" t="n">
        <x:f>IF(E1107="",MEDIAN($E$2:$E$2237),E1107)</x:f>
        <x:v>65463</x:v>
      </x:c>
      <x:c r="AE1107" s="17" t="n">
        <x:f>2014-B1107</x:f>
        <x:v>40</x:v>
      </x:c>
      <x:c r="AF1107" s="17" t="n">
        <x:f>F1107+G1107</x:f>
        <x:v>1</x:v>
      </x:c>
      <x:c r="AG1107" s="21" t="n">
        <x:f>SUM(J1107:O1107)</x:f>
        <x:v>562</x:v>
      </x:c>
      <x:c r="AH1107" s="17" t="n">
        <x:f>SUM(Q1107:S1107)</x:f>
        <x:v>17</x:v>
      </x:c>
      <x:c r="AI1107" s="17" t="n">
        <x:f>SUM(U1107:Y1107)</x:f>
        <x:v>1</x:v>
      </x:c>
      <x:c r="AJ1107" s="17" t="str">
        <x:f>IF(AE1107&lt;=34,"≤34",IF(AE1107&lt;=44,"35–44",IF(AE1107&lt;=54,"45–54",IF(AE1107&lt;=64,"55–64","65+"))))</x:f>
        <x:v>35–44</x:v>
      </x:c>
      <x:c r="AK1107" s="17" t="str">
        <x:f>IF(AG1107&gt;=1000,"High Value",IF(AG1107&gt;=300,"Mid Value","Low Value"))</x:f>
        <x:v>Mid Value</x:v>
      </x:c>
      <x:c r="AL1107" s="17" t="str">
        <x:f>IF(AND(AI1107&gt;=1,I1107&lt;=50),"Priority 1",IF(AND(AG1107&gt;=1000,I1107&lt;=60),"Priority 2",IF(I1107&lt;=30,"Priority 3","Nurture")))</x:f>
        <x:v>Priority 1</x:v>
      </x:c>
    </x:row>
    <x:row r="1108">
      <x:c r="A1108" s="16" t="n">
        <x:v>246</x:v>
      </x:c>
      <x:c r="B1108" s="16" t="n">
        <x:v>1965</x:v>
      </x:c>
      <x:c r="C1108" s="16" t="str">
        <x:v>Graduation</x:v>
      </x:c>
      <x:c r="D1108" s="16" t="str">
        <x:v>Married</x:v>
      </x:c>
      <x:c r="E1108" s="16" t="n">
        <x:v>66480</x:v>
      </x:c>
      <x:c r="F1108" s="16" t="n">
        <x:v>1</x:v>
      </x:c>
      <x:c r="G1108" s="16" t="n">
        <x:v>1</x:v>
      </x:c>
      <x:c r="H1108" s="16" t="str">
        <x:v>31-05-2014</x:v>
      </x:c>
      <x:c r="I1108" s="16" t="n">
        <x:v>71</x:v>
      </x:c>
      <x:c r="J1108" s="16" t="n">
        <x:v>199</x:v>
      </x:c>
      <x:c r="K1108" s="16" t="n">
        <x:v>9</x:v>
      </x:c>
      <x:c r="L1108" s="16" t="n">
        <x:v>57</x:v>
      </x:c>
      <x:c r="M1108" s="16" t="n">
        <x:v>20</x:v>
      </x:c>
      <x:c r="N1108" s="16" t="n">
        <x:v>21</x:v>
      </x:c>
      <x:c r="O1108" s="16" t="n">
        <x:v>6</x:v>
      </x:c>
      <x:c r="P1108" s="16" t="n">
        <x:v>7</x:v>
      </x:c>
      <x:c r="Q1108" s="16" t="n">
        <x:v>4</x:v>
      </x:c>
      <x:c r="R1108" s="16" t="n">
        <x:v>1</x:v>
      </x:c>
      <x:c r="S1108" s="16" t="n">
        <x:v>7</x:v>
      </x:c>
      <x:c r="T1108" s="16" t="n">
        <x:v>4</x:v>
      </x:c>
      <x:c r="U1108" s="16" t="n">
        <x:v>0</x:v>
      </x:c>
      <x:c r="V1108" s="16" t="n">
        <x:v>0</x:v>
      </x:c>
      <x:c r="W1108" s="16" t="n">
        <x:v>0</x:v>
      </x:c>
      <x:c r="X1108" s="16" t="n">
        <x:v>0</x:v>
      </x:c>
      <x:c r="Y1108" s="16" t="n">
        <x:v>0</x:v>
      </x:c>
      <x:c r="Z1108" s="16" t="n">
        <x:v>0</x:v>
      </x:c>
      <x:c r="AA1108" s="16" t="n">
        <x:v>3</x:v>
      </x:c>
      <x:c r="AB1108" s="16" t="n">
        <x:v>11</x:v>
      </x:c>
      <x:c r="AC1108" s="16" t="n">
        <x:v>0</x:v>
      </x:c>
      <x:c r="AD1108" s="21" t="n">
        <x:f>IF(E1108="",MEDIAN($E$2:$E$2237),E1108)</x:f>
        <x:v>66480</x:v>
      </x:c>
      <x:c r="AE1108" s="17" t="n">
        <x:f>2014-B1108</x:f>
        <x:v>49</x:v>
      </x:c>
      <x:c r="AF1108" s="17" t="n">
        <x:f>F1108+G1108</x:f>
        <x:v>2</x:v>
      </x:c>
      <x:c r="AG1108" s="21" t="n">
        <x:f>SUM(J1108:O1108)</x:f>
        <x:v>312</x:v>
      </x:c>
      <x:c r="AH1108" s="17" t="n">
        <x:f>SUM(Q1108:S1108)</x:f>
        <x:v>12</x:v>
      </x:c>
      <x:c r="AI1108" s="17" t="n">
        <x:f>SUM(U1108:Y1108)</x:f>
        <x:v>0</x:v>
      </x:c>
      <x:c r="AJ1108" s="17" t="str">
        <x:f>IF(AE1108&lt;=34,"≤34",IF(AE1108&lt;=44,"35–44",IF(AE1108&lt;=54,"45–54",IF(AE1108&lt;=64,"55–64","65+"))))</x:f>
        <x:v>45–54</x:v>
      </x:c>
      <x:c r="AK1108" s="17" t="str">
        <x:f>IF(AG1108&gt;=1000,"High Value",IF(AG1108&gt;=300,"Mid Value","Low Value"))</x:f>
        <x:v>Mid Value</x:v>
      </x:c>
      <x:c r="AL1108" s="17" t="str">
        <x:f>IF(AND(AI1108&gt;=1,I1108&lt;=50),"Priority 1",IF(AND(AG1108&gt;=1000,I1108&lt;=60),"Priority 2",IF(I1108&lt;=30,"Priority 3","Nurture")))</x:f>
        <x:v>Nurture</x:v>
      </x:c>
    </x:row>
    <x:row r="1109">
      <x:c r="A1109" s="16" t="n">
        <x:v>375</x:v>
      </x:c>
      <x:c r="B1109" s="16" t="n">
        <x:v>1954</x:v>
      </x:c>
      <x:c r="C1109" s="16" t="str">
        <x:v>Graduation</x:v>
      </x:c>
      <x:c r="D1109" s="16" t="str">
        <x:v>Divorced</x:v>
      </x:c>
      <x:c r="E1109" s="16" t="n">
        <x:v>76773</x:v>
      </x:c>
      <x:c r="F1109" s="16" t="n">
        <x:v>0</x:v>
      </x:c>
      <x:c r="G1109" s="16" t="n">
        <x:v>0</x:v>
      </x:c>
      <x:c r="H1109" s="16" t="str">
        <x:v>25-02-2013</x:v>
      </x:c>
      <x:c r="I1109" s="16" t="n">
        <x:v>79</x:v>
      </x:c>
      <x:c r="J1109" s="16" t="n">
        <x:v>516</x:v>
      </x:c>
      <x:c r="K1109" s="16" t="n">
        <x:v>56</x:v>
      </x:c>
      <x:c r="L1109" s="16" t="n">
        <x:v>449</x:v>
      </x:c>
      <x:c r="M1109" s="16" t="n">
        <x:v>86</x:v>
      </x:c>
      <x:c r="N1109" s="16" t="n">
        <x:v>33</x:v>
      </x:c>
      <x:c r="O1109" s="16" t="n">
        <x:v>16</x:v>
      </x:c>
      <x:c r="P1109" s="16" t="n">
        <x:v>1</x:v>
      </x:c>
      <x:c r="Q1109" s="16" t="n">
        <x:v>2</x:v>
      </x:c>
      <x:c r="R1109" s="16" t="n">
        <x:v>2</x:v>
      </x:c>
      <x:c r="S1109" s="16" t="n">
        <x:v>11</x:v>
      </x:c>
      <x:c r="T1109" s="16" t="n">
        <x:v>1</x:v>
      </x:c>
      <x:c r="U1109" s="16" t="n">
        <x:v>0</x:v>
      </x:c>
      <x:c r="V1109" s="16" t="n">
        <x:v>0</x:v>
      </x:c>
      <x:c r="W1109" s="16" t="n">
        <x:v>0</x:v>
      </x:c>
      <x:c r="X1109" s="16" t="n">
        <x:v>0</x:v>
      </x:c>
      <x:c r="Y1109" s="16" t="n">
        <x:v>0</x:v>
      </x:c>
      <x:c r="Z1109" s="16" t="n">
        <x:v>0</x:v>
      </x:c>
      <x:c r="AA1109" s="16" t="n">
        <x:v>3</x:v>
      </x:c>
      <x:c r="AB1109" s="16" t="n">
        <x:v>11</x:v>
      </x:c>
      <x:c r="AC1109" s="16" t="n">
        <x:v>0</x:v>
      </x:c>
      <x:c r="AD1109" s="21" t="n">
        <x:f>IF(E1109="",MEDIAN($E$2:$E$2237),E1109)</x:f>
        <x:v>76773</x:v>
      </x:c>
      <x:c r="AE1109" s="17" t="n">
        <x:f>2014-B1109</x:f>
        <x:v>60</x:v>
      </x:c>
      <x:c r="AF1109" s="17" t="n">
        <x:f>F1109+G1109</x:f>
        <x:v>0</x:v>
      </x:c>
      <x:c r="AG1109" s="21" t="n">
        <x:f>SUM(J1109:O1109)</x:f>
        <x:v>1156</x:v>
      </x:c>
      <x:c r="AH1109" s="17" t="n">
        <x:f>SUM(Q1109:S1109)</x:f>
        <x:v>15</x:v>
      </x:c>
      <x:c r="AI1109" s="17" t="n">
        <x:f>SUM(U1109:Y1109)</x:f>
        <x:v>0</x:v>
      </x:c>
      <x:c r="AJ1109" s="17" t="str">
        <x:f>IF(AE1109&lt;=34,"≤34",IF(AE1109&lt;=44,"35–44",IF(AE1109&lt;=54,"45–54",IF(AE1109&lt;=64,"55–64","65+"))))</x:f>
        <x:v>55–64</x:v>
      </x:c>
      <x:c r="AK1109" s="17" t="str">
        <x:f>IF(AG1109&gt;=1000,"High Value",IF(AG1109&gt;=300,"Mid Value","Low Value"))</x:f>
        <x:v>High Value</x:v>
      </x:c>
      <x:c r="AL1109" s="17" t="str">
        <x:f>IF(AND(AI1109&gt;=1,I1109&lt;=50),"Priority 1",IF(AND(AG1109&gt;=1000,I1109&lt;=60),"Priority 2",IF(I1109&lt;=30,"Priority 3","Nurture")))</x:f>
        <x:v>Nurture</x:v>
      </x:c>
    </x:row>
    <x:row r="1110">
      <x:c r="A1110" s="16" t="n">
        <x:v>1524</x:v>
      </x:c>
      <x:c r="B1110" s="16" t="n">
        <x:v>1983</x:v>
      </x:c>
      <x:c r="C1110" s="16" t="str">
        <x:v>2n Cycle</x:v>
      </x:c>
      <x:c r="D1110" s="16" t="str">
        <x:v>Single</x:v>
      </x:c>
      <x:c r="E1110" s="16" t="n">
        <x:v>81698</x:v>
      </x:c>
      <x:c r="F1110" s="16" t="n">
        <x:v>0</x:v>
      </x:c>
      <x:c r="G1110" s="16" t="n">
        <x:v>0</x:v>
      </x:c>
      <x:c r="H1110" s="16" t="str">
        <x:v>01-03-2013</x:v>
      </x:c>
      <x:c r="I1110" s="16" t="n">
        <x:v>1</x:v>
      </x:c>
      <x:c r="J1110" s="16" t="n">
        <x:v>709</x:v>
      </x:c>
      <x:c r="K1110" s="16" t="n">
        <x:v>45</x:v>
      </x:c>
      <x:c r="L1110" s="16" t="n">
        <x:v>115</x:v>
      </x:c>
      <x:c r="M1110" s="16" t="n">
        <x:v>30</x:v>
      </x:c>
      <x:c r="N1110" s="16" t="n">
        <x:v>160</x:v>
      </x:c>
      <x:c r="O1110" s="16" t="n">
        <x:v>45</x:v>
      </x:c>
      <x:c r="P1110" s="16" t="n">
        <x:v>1</x:v>
      </x:c>
      <x:c r="Q1110" s="16" t="n">
        <x:v>8</x:v>
      </x:c>
      <x:c r="R1110" s="16" t="n">
        <x:v>2</x:v>
      </x:c>
      <x:c r="S1110" s="16" t="n">
        <x:v>5</x:v>
      </x:c>
      <x:c r="T1110" s="16" t="n">
        <x:v>5</x:v>
      </x:c>
      <x:c r="U1110" s="16" t="n">
        <x:v>0</x:v>
      </x:c>
      <x:c r="V1110" s="16" t="n">
        <x:v>0</x:v>
      </x:c>
      <x:c r="W1110" s="16" t="n">
        <x:v>0</x:v>
      </x:c>
      <x:c r="X1110" s="16" t="n">
        <x:v>1</x:v>
      </x:c>
      <x:c r="Y1110" s="16" t="n">
        <x:v>0</x:v>
      </x:c>
      <x:c r="Z1110" s="16" t="n">
        <x:v>0</x:v>
      </x:c>
      <x:c r="AA1110" s="16" t="n">
        <x:v>3</x:v>
      </x:c>
      <x:c r="AB1110" s="16" t="n">
        <x:v>11</x:v>
      </x:c>
      <x:c r="AC1110" s="16" t="n">
        <x:v>1</x:v>
      </x:c>
      <x:c r="AD1110" s="21" t="n">
        <x:f>IF(E1110="",MEDIAN($E$2:$E$2237),E1110)</x:f>
        <x:v>81698</x:v>
      </x:c>
      <x:c r="AE1110" s="17" t="n">
        <x:f>2014-B1110</x:f>
        <x:v>31</x:v>
      </x:c>
      <x:c r="AF1110" s="17" t="n">
        <x:f>F1110+G1110</x:f>
        <x:v>0</x:v>
      </x:c>
      <x:c r="AG1110" s="21" t="n">
        <x:f>SUM(J1110:O1110)</x:f>
        <x:v>1104</x:v>
      </x:c>
      <x:c r="AH1110" s="17" t="n">
        <x:f>SUM(Q1110:S1110)</x:f>
        <x:v>15</x:v>
      </x:c>
      <x:c r="AI1110" s="17" t="n">
        <x:f>SUM(U1110:Y1110)</x:f>
        <x:v>1</x:v>
      </x:c>
      <x:c r="AJ1110" s="17" t="str">
        <x:f>IF(AE1110&lt;=34,"≤34",IF(AE1110&lt;=44,"35–44",IF(AE1110&lt;=54,"45–54",IF(AE1110&lt;=64,"55–64","65+"))))</x:f>
        <x:v>≤34</x:v>
      </x:c>
      <x:c r="AK1110" s="17" t="str">
        <x:f>IF(AG1110&gt;=1000,"High Value",IF(AG1110&gt;=300,"Mid Value","Low Value"))</x:f>
        <x:v>High Value</x:v>
      </x:c>
      <x:c r="AL1110" s="17" t="str">
        <x:f>IF(AND(AI1110&gt;=1,I1110&lt;=50),"Priority 1",IF(AND(AG1110&gt;=1000,I1110&lt;=60),"Priority 2",IF(I1110&lt;=30,"Priority 3","Nurture")))</x:f>
        <x:v>Priority 1</x:v>
      </x:c>
    </x:row>
    <x:row r="1111">
      <x:c r="A1111" s="16" t="n">
        <x:v>10022</x:v>
      </x:c>
      <x:c r="B1111" s="16" t="n">
        <x:v>1973</x:v>
      </x:c>
      <x:c r="C1111" s="16" t="str">
        <x:v>PhD</x:v>
      </x:c>
      <x:c r="D1111" s="16" t="str">
        <x:v>Single</x:v>
      </x:c>
      <x:c r="E1111" s="16" t="n">
        <x:v>54466</x:v>
      </x:c>
      <x:c r="F1111" s="16" t="n">
        <x:v>1</x:v>
      </x:c>
      <x:c r="G1111" s="16" t="n">
        <x:v>1</x:v>
      </x:c>
      <x:c r="H1111" s="16" t="str">
        <x:v>09-02-2014</x:v>
      </x:c>
      <x:c r="I1111" s="16" t="n">
        <x:v>78</x:v>
      </x:c>
      <x:c r="J1111" s="16" t="n">
        <x:v>12</x:v>
      </x:c>
      <x:c r="K1111" s="16" t="n">
        <x:v>0</x:v>
      </x:c>
      <x:c r="L1111" s="16" t="n">
        <x:v>4</x:v>
      </x:c>
      <x:c r="M1111" s="16" t="n">
        <x:v>0</x:v>
      </x:c>
      <x:c r="N1111" s="16" t="n">
        <x:v>0</x:v>
      </x:c>
      <x:c r="O1111" s="16" t="n">
        <x:v>0</x:v>
      </x:c>
      <x:c r="P1111" s="16" t="n">
        <x:v>1</x:v>
      </x:c>
      <x:c r="Q1111" s="16" t="n">
        <x:v>1</x:v>
      </x:c>
      <x:c r="R1111" s="16" t="n">
        <x:v>0</x:v>
      </x:c>
      <x:c r="S1111" s="16" t="n">
        <x:v>2</x:v>
      </x:c>
      <x:c r="T1111" s="16" t="n">
        <x:v>5</x:v>
      </x:c>
      <x:c r="U1111" s="16" t="n">
        <x:v>0</x:v>
      </x:c>
      <x:c r="V1111" s="16" t="n">
        <x:v>0</x:v>
      </x:c>
      <x:c r="W1111" s="16" t="n">
        <x:v>0</x:v>
      </x:c>
      <x:c r="X1111" s="16" t="n">
        <x:v>0</x:v>
      </x:c>
      <x:c r="Y1111" s="16" t="n">
        <x:v>0</x:v>
      </x:c>
      <x:c r="Z1111" s="16" t="n">
        <x:v>0</x:v>
      </x:c>
      <x:c r="AA1111" s="16" t="n">
        <x:v>3</x:v>
      </x:c>
      <x:c r="AB1111" s="16" t="n">
        <x:v>11</x:v>
      </x:c>
      <x:c r="AC1111" s="16" t="n">
        <x:v>0</x:v>
      </x:c>
      <x:c r="AD1111" s="21" t="n">
        <x:f>IF(E1111="",MEDIAN($E$2:$E$2237),E1111)</x:f>
        <x:v>54466</x:v>
      </x:c>
      <x:c r="AE1111" s="17" t="n">
        <x:f>2014-B1111</x:f>
        <x:v>41</x:v>
      </x:c>
      <x:c r="AF1111" s="17" t="n">
        <x:f>F1111+G1111</x:f>
        <x:v>2</x:v>
      </x:c>
      <x:c r="AG1111" s="21" t="n">
        <x:f>SUM(J1111:O1111)</x:f>
        <x:v>16</x:v>
      </x:c>
      <x:c r="AH1111" s="17" t="n">
        <x:f>SUM(Q1111:S1111)</x:f>
        <x:v>3</x:v>
      </x:c>
      <x:c r="AI1111" s="17" t="n">
        <x:f>SUM(U1111:Y1111)</x:f>
        <x:v>0</x:v>
      </x:c>
      <x:c r="AJ1111" s="17" t="str">
        <x:f>IF(AE1111&lt;=34,"≤34",IF(AE1111&lt;=44,"35–44",IF(AE1111&lt;=54,"45–54",IF(AE1111&lt;=64,"55–64","65+"))))</x:f>
        <x:v>35–44</x:v>
      </x:c>
      <x:c r="AK1111" s="17" t="str">
        <x:f>IF(AG1111&gt;=1000,"High Value",IF(AG1111&gt;=300,"Mid Value","Low Value"))</x:f>
        <x:v>Low Value</x:v>
      </x:c>
      <x:c r="AL1111" s="17" t="str">
        <x:f>IF(AND(AI1111&gt;=1,I1111&lt;=50),"Priority 1",IF(AND(AG1111&gt;=1000,I1111&lt;=60),"Priority 2",IF(I1111&lt;=30,"Priority 3","Nurture")))</x:f>
        <x:v>Nurture</x:v>
      </x:c>
    </x:row>
    <x:row r="1112">
      <x:c r="A1112" s="16" t="n">
        <x:v>7451</x:v>
      </x:c>
      <x:c r="B1112" s="16" t="n">
        <x:v>1960</x:v>
      </x:c>
      <x:c r="C1112" s="16" t="str">
        <x:v>Master</x:v>
      </x:c>
      <x:c r="D1112" s="16" t="str">
        <x:v>Single</x:v>
      </x:c>
      <x:c r="E1112" s="16" t="n">
        <x:v>98777</x:v>
      </x:c>
      <x:c r="F1112" s="16" t="n">
        <x:v>0</x:v>
      </x:c>
      <x:c r="G1112" s="16" t="n">
        <x:v>0</x:v>
      </x:c>
      <x:c r="H1112" s="16" t="str">
        <x:v>17-02-2014</x:v>
      </x:c>
      <x:c r="I1112" s="16" t="n">
        <x:v>23</x:v>
      </x:c>
      <x:c r="J1112" s="16" t="n">
        <x:v>1000</x:v>
      </x:c>
      <x:c r="K1112" s="16" t="n">
        <x:v>19</x:v>
      </x:c>
      <x:c r="L1112" s="16" t="n">
        <x:v>711</x:v>
      </x:c>
      <x:c r="M1112" s="16" t="n">
        <x:v>125</x:v>
      </x:c>
      <x:c r="N1112" s="16" t="n">
        <x:v>115</x:v>
      </x:c>
      <x:c r="O1112" s="16" t="n">
        <x:v>38</x:v>
      </x:c>
      <x:c r="P1112" s="16" t="n">
        <x:v>0</x:v>
      </x:c>
      <x:c r="Q1112" s="16" t="n">
        <x:v>4</x:v>
      </x:c>
      <x:c r="R1112" s="16" t="n">
        <x:v>6</x:v>
      </x:c>
      <x:c r="S1112" s="16" t="n">
        <x:v>9</x:v>
      </x:c>
      <x:c r="T1112" s="16" t="n">
        <x:v>1</x:v>
      </x:c>
      <x:c r="U1112" s="16" t="n">
        <x:v>0</x:v>
      </x:c>
      <x:c r="V1112" s="16" t="n">
        <x:v>1</x:v>
      </x:c>
      <x:c r="W1112" s="16" t="n">
        <x:v>0</x:v>
      </x:c>
      <x:c r="X1112" s="16" t="n">
        <x:v>0</x:v>
      </x:c>
      <x:c r="Y1112" s="16" t="n">
        <x:v>0</x:v>
      </x:c>
      <x:c r="Z1112" s="16" t="n">
        <x:v>0</x:v>
      </x:c>
      <x:c r="AA1112" s="16" t="n">
        <x:v>3</x:v>
      </x:c>
      <x:c r="AB1112" s="16" t="n">
        <x:v>11</x:v>
      </x:c>
      <x:c r="AC1112" s="16" t="n">
        <x:v>0</x:v>
      </x:c>
      <x:c r="AD1112" s="21" t="n">
        <x:f>IF(E1112="",MEDIAN($E$2:$E$2237),E1112)</x:f>
        <x:v>98777</x:v>
      </x:c>
      <x:c r="AE1112" s="17" t="n">
        <x:f>2014-B1112</x:f>
        <x:v>54</x:v>
      </x:c>
      <x:c r="AF1112" s="17" t="n">
        <x:f>F1112+G1112</x:f>
        <x:v>0</x:v>
      </x:c>
      <x:c r="AG1112" s="21" t="n">
        <x:f>SUM(J1112:O1112)</x:f>
        <x:v>2008</x:v>
      </x:c>
      <x:c r="AH1112" s="17" t="n">
        <x:f>SUM(Q1112:S1112)</x:f>
        <x:v>19</x:v>
      </x:c>
      <x:c r="AI1112" s="17" t="n">
        <x:f>SUM(U1112:Y1112)</x:f>
        <x:v>1</x:v>
      </x:c>
      <x:c r="AJ1112" s="17" t="str">
        <x:f>IF(AE1112&lt;=34,"≤34",IF(AE1112&lt;=44,"35–44",IF(AE1112&lt;=54,"45–54",IF(AE1112&lt;=64,"55–64","65+"))))</x:f>
        <x:v>45–54</x:v>
      </x:c>
      <x:c r="AK1112" s="17" t="str">
        <x:f>IF(AG1112&gt;=1000,"High Value",IF(AG1112&gt;=300,"Mid Value","Low Value"))</x:f>
        <x:v>High Value</x:v>
      </x:c>
      <x:c r="AL1112" s="17" t="str">
        <x:f>IF(AND(AI1112&gt;=1,I1112&lt;=50),"Priority 1",IF(AND(AG1112&gt;=1000,I1112&lt;=60),"Priority 2",IF(I1112&lt;=30,"Priority 3","Nurture")))</x:f>
        <x:v>Priority 1</x:v>
      </x:c>
    </x:row>
    <x:row r="1113">
      <x:c r="A1113" s="16" t="n">
        <x:v>11010</x:v>
      </x:c>
      <x:c r="B1113" s="16" t="n">
        <x:v>1984</x:v>
      </x:c>
      <x:c r="C1113" s="16" t="str">
        <x:v>PhD</x:v>
      </x:c>
      <x:c r="D1113" s="16" t="str">
        <x:v>Single</x:v>
      </x:c>
      <x:c r="E1113" s="16" t="n">
        <x:v>16269</x:v>
      </x:c>
      <x:c r="F1113" s="16" t="n">
        <x:v>1</x:v>
      </x:c>
      <x:c r="G1113" s="16" t="n">
        <x:v>0</x:v>
      </x:c>
      <x:c r="H1113" s="16" t="str">
        <x:v>30-08-2013</x:v>
      </x:c>
      <x:c r="I1113" s="16" t="n">
        <x:v>75</x:v>
      </x:c>
      <x:c r="J1113" s="16" t="n">
        <x:v>19</x:v>
      </x:c>
      <x:c r="K1113" s="16" t="n">
        <x:v>3</x:v>
      </x:c>
      <x:c r="L1113" s="16" t="n">
        <x:v>18</x:v>
      </x:c>
      <x:c r="M1113" s="16" t="n">
        <x:v>3</x:v>
      </x:c>
      <x:c r="N1113" s="16" t="n">
        <x:v>1</x:v>
      </x:c>
      <x:c r="O1113" s="16" t="n">
        <x:v>0</x:v>
      </x:c>
      <x:c r="P1113" s="16" t="n">
        <x:v>3</x:v>
      </x:c>
      <x:c r="Q1113" s="16" t="n">
        <x:v>3</x:v>
      </x:c>
      <x:c r="R1113" s="16" t="n">
        <x:v>0</x:v>
      </x:c>
      <x:c r="S1113" s="16" t="n">
        <x:v>3</x:v>
      </x:c>
      <x:c r="T1113" s="16" t="n">
        <x:v>8</x:v>
      </x:c>
      <x:c r="U1113" s="16" t="n">
        <x:v>0</x:v>
      </x:c>
      <x:c r="V1113" s="16" t="n">
        <x:v>0</x:v>
      </x:c>
      <x:c r="W1113" s="16" t="n">
        <x:v>0</x:v>
      </x:c>
      <x:c r="X1113" s="16" t="n">
        <x:v>0</x:v>
      </x:c>
      <x:c r="Y1113" s="16" t="n">
        <x:v>0</x:v>
      </x:c>
      <x:c r="Z1113" s="16" t="n">
        <x:v>0</x:v>
      </x:c>
      <x:c r="AA1113" s="16" t="n">
        <x:v>3</x:v>
      </x:c>
      <x:c r="AB1113" s="16" t="n">
        <x:v>11</x:v>
      </x:c>
      <x:c r="AC1113" s="16" t="n">
        <x:v>0</x:v>
      </x:c>
      <x:c r="AD1113" s="21" t="n">
        <x:f>IF(E1113="",MEDIAN($E$2:$E$2237),E1113)</x:f>
        <x:v>16269</x:v>
      </x:c>
      <x:c r="AE1113" s="17" t="n">
        <x:f>2014-B1113</x:f>
        <x:v>30</x:v>
      </x:c>
      <x:c r="AF1113" s="17" t="n">
        <x:f>F1113+G1113</x:f>
        <x:v>1</x:v>
      </x:c>
      <x:c r="AG1113" s="21" t="n">
        <x:f>SUM(J1113:O1113)</x:f>
        <x:v>44</x:v>
      </x:c>
      <x:c r="AH1113" s="17" t="n">
        <x:f>SUM(Q1113:S1113)</x:f>
        <x:v>6</x:v>
      </x:c>
      <x:c r="AI1113" s="17" t="n">
        <x:f>SUM(U1113:Y1113)</x:f>
        <x:v>0</x:v>
      </x:c>
      <x:c r="AJ1113" s="17" t="str">
        <x:f>IF(AE1113&lt;=34,"≤34",IF(AE1113&lt;=44,"35–44",IF(AE1113&lt;=54,"45–54",IF(AE1113&lt;=64,"55–64","65+"))))</x:f>
        <x:v>≤34</x:v>
      </x:c>
      <x:c r="AK1113" s="17" t="str">
        <x:f>IF(AG1113&gt;=1000,"High Value",IF(AG1113&gt;=300,"Mid Value","Low Value"))</x:f>
        <x:v>Low Value</x:v>
      </x:c>
      <x:c r="AL1113" s="17" t="str">
        <x:f>IF(AND(AI1113&gt;=1,I1113&lt;=50),"Priority 1",IF(AND(AG1113&gt;=1000,I1113&lt;=60),"Priority 2",IF(I1113&lt;=30,"Priority 3","Nurture")))</x:f>
        <x:v>Nurture</x:v>
      </x:c>
    </x:row>
    <x:row r="1114">
      <x:c r="A1114" s="16" t="n">
        <x:v>4356</x:v>
      </x:c>
      <x:c r="B1114" s="16" t="n">
        <x:v>1971</x:v>
      </x:c>
      <x:c r="C1114" s="16" t="str">
        <x:v>Graduation</x:v>
      </x:c>
      <x:c r="D1114" s="16" t="str">
        <x:v>Together</x:v>
      </x:c>
      <x:c r="E1114" s="16" t="n">
        <x:v>71819</x:v>
      </x:c>
      <x:c r="F1114" s="16" t="n">
        <x:v>0</x:v>
      </x:c>
      <x:c r="G1114" s="16" t="n">
        <x:v>1</x:v>
      </x:c>
      <x:c r="H1114" s="16" t="str">
        <x:v>28-08-2013</x:v>
      </x:c>
      <x:c r="I1114" s="16" t="n">
        <x:v>70</x:v>
      </x:c>
      <x:c r="J1114" s="16" t="n">
        <x:v>1224</x:v>
      </x:c>
      <x:c r="K1114" s="16" t="n">
        <x:v>28</x:v>
      </x:c>
      <x:c r="L1114" s="16" t="n">
        <x:v>140</x:v>
      </x:c>
      <x:c r="M1114" s="16" t="n">
        <x:v>0</x:v>
      </x:c>
      <x:c r="N1114" s="16" t="n">
        <x:v>14</x:v>
      </x:c>
      <x:c r="O1114" s="16" t="n">
        <x:v>168</x:v>
      </x:c>
      <x:c r="P1114" s="16" t="n">
        <x:v>3</x:v>
      </x:c>
      <x:c r="Q1114" s="16" t="n">
        <x:v>3</x:v>
      </x:c>
      <x:c r="R1114" s="16" t="n">
        <x:v>3</x:v>
      </x:c>
      <x:c r="S1114" s="16" t="n">
        <x:v>5</x:v>
      </x:c>
      <x:c r="T1114" s="16" t="n">
        <x:v>6</x:v>
      </x:c>
      <x:c r="U1114" s="16" t="n">
        <x:v>0</x:v>
      </x:c>
      <x:c r="V1114" s="16" t="n">
        <x:v>1</x:v>
      </x:c>
      <x:c r="W1114" s="16" t="n">
        <x:v>1</x:v>
      </x:c>
      <x:c r="X1114" s="16" t="n">
        <x:v>0</x:v>
      </x:c>
      <x:c r="Y1114" s="16" t="n">
        <x:v>0</x:v>
      </x:c>
      <x:c r="Z1114" s="16" t="n">
        <x:v>0</x:v>
      </x:c>
      <x:c r="AA1114" s="16" t="n">
        <x:v>3</x:v>
      </x:c>
      <x:c r="AB1114" s="16" t="n">
        <x:v>11</x:v>
      </x:c>
      <x:c r="AC1114" s="16" t="n">
        <x:v>0</x:v>
      </x:c>
      <x:c r="AD1114" s="21" t="n">
        <x:f>IF(E1114="",MEDIAN($E$2:$E$2237),E1114)</x:f>
        <x:v>71819</x:v>
      </x:c>
      <x:c r="AE1114" s="17" t="n">
        <x:f>2014-B1114</x:f>
        <x:v>43</x:v>
      </x:c>
      <x:c r="AF1114" s="17" t="n">
        <x:f>F1114+G1114</x:f>
        <x:v>1</x:v>
      </x:c>
      <x:c r="AG1114" s="21" t="n">
        <x:f>SUM(J1114:O1114)</x:f>
        <x:v>1574</x:v>
      </x:c>
      <x:c r="AH1114" s="17" t="n">
        <x:f>SUM(Q1114:S1114)</x:f>
        <x:v>11</x:v>
      </x:c>
      <x:c r="AI1114" s="17" t="n">
        <x:f>SUM(U1114:Y1114)</x:f>
        <x:v>2</x:v>
      </x:c>
      <x:c r="AJ1114" s="17" t="str">
        <x:f>IF(AE1114&lt;=34,"≤34",IF(AE1114&lt;=44,"35–44",IF(AE1114&lt;=54,"45–54",IF(AE1114&lt;=64,"55–64","65+"))))</x:f>
        <x:v>35–44</x:v>
      </x:c>
      <x:c r="AK1114" s="17" t="str">
        <x:f>IF(AG1114&gt;=1000,"High Value",IF(AG1114&gt;=300,"Mid Value","Low Value"))</x:f>
        <x:v>High Value</x:v>
      </x:c>
      <x:c r="AL1114" s="17" t="str">
        <x:f>IF(AND(AI1114&gt;=1,I1114&lt;=50),"Priority 1",IF(AND(AG1114&gt;=1000,I1114&lt;=60),"Priority 2",IF(I1114&lt;=30,"Priority 3","Nurture")))</x:f>
        <x:v>Nurture</x:v>
      </x:c>
    </x:row>
    <x:row r="1115">
      <x:c r="A1115" s="16" t="n">
        <x:v>3885</x:v>
      </x:c>
      <x:c r="B1115" s="16" t="n">
        <x:v>1983</x:v>
      </x:c>
      <x:c r="C1115" s="16" t="str">
        <x:v>PhD</x:v>
      </x:c>
      <x:c r="D1115" s="16" t="str">
        <x:v>Married</x:v>
      </x:c>
      <x:c r="E1115" s="16" t="n">
        <x:v>33569</x:v>
      </x:c>
      <x:c r="F1115" s="16" t="n">
        <x:v>1</x:v>
      </x:c>
      <x:c r="G1115" s="16" t="n">
        <x:v>0</x:v>
      </x:c>
      <x:c r="H1115" s="16" t="str">
        <x:v>16-10-2013</x:v>
      </x:c>
      <x:c r="I1115" s="16" t="n">
        <x:v>10</x:v>
      </x:c>
      <x:c r="J1115" s="16" t="n">
        <x:v>16</x:v>
      </x:c>
      <x:c r="K1115" s="16" t="n">
        <x:v>2</x:v>
      </x:c>
      <x:c r="L1115" s="16" t="n">
        <x:v>18</x:v>
      </x:c>
      <x:c r="M1115" s="16" t="n">
        <x:v>3</x:v>
      </x:c>
      <x:c r="N1115" s="16" t="n">
        <x:v>0</x:v>
      </x:c>
      <x:c r="O1115" s="16" t="n">
        <x:v>24</x:v>
      </x:c>
      <x:c r="P1115" s="16" t="n">
        <x:v>1</x:v>
      </x:c>
      <x:c r="Q1115" s="16" t="n">
        <x:v>1</x:v>
      </x:c>
      <x:c r="R1115" s="16" t="n">
        <x:v>1</x:v>
      </x:c>
      <x:c r="S1115" s="16" t="n">
        <x:v>2</x:v>
      </x:c>
      <x:c r="T1115" s="16" t="n">
        <x:v>8</x:v>
      </x:c>
      <x:c r="U1115" s="16" t="n">
        <x:v>1</x:v>
      </x:c>
      <x:c r="V1115" s="16" t="n">
        <x:v>0</x:v>
      </x:c>
      <x:c r="W1115" s="16" t="n">
        <x:v>0</x:v>
      </x:c>
      <x:c r="X1115" s="16" t="n">
        <x:v>0</x:v>
      </x:c>
      <x:c r="Y1115" s="16" t="n">
        <x:v>0</x:v>
      </x:c>
      <x:c r="Z1115" s="16" t="n">
        <x:v>0</x:v>
      </x:c>
      <x:c r="AA1115" s="16" t="n">
        <x:v>3</x:v>
      </x:c>
      <x:c r="AB1115" s="16" t="n">
        <x:v>11</x:v>
      </x:c>
      <x:c r="AC1115" s="16" t="n">
        <x:v>1</x:v>
      </x:c>
      <x:c r="AD1115" s="21" t="n">
        <x:f>IF(E1115="",MEDIAN($E$2:$E$2237),E1115)</x:f>
        <x:v>33569</x:v>
      </x:c>
      <x:c r="AE1115" s="17" t="n">
        <x:f>2014-B1115</x:f>
        <x:v>31</x:v>
      </x:c>
      <x:c r="AF1115" s="17" t="n">
        <x:f>F1115+G1115</x:f>
        <x:v>1</x:v>
      </x:c>
      <x:c r="AG1115" s="21" t="n">
        <x:f>SUM(J1115:O1115)</x:f>
        <x:v>63</x:v>
      </x:c>
      <x:c r="AH1115" s="17" t="n">
        <x:f>SUM(Q1115:S1115)</x:f>
        <x:v>4</x:v>
      </x:c>
      <x:c r="AI1115" s="17" t="n">
        <x:f>SUM(U1115:Y1115)</x:f>
        <x:v>1</x:v>
      </x:c>
      <x:c r="AJ1115" s="17" t="str">
        <x:f>IF(AE1115&lt;=34,"≤34",IF(AE1115&lt;=44,"35–44",IF(AE1115&lt;=54,"45–54",IF(AE1115&lt;=64,"55–64","65+"))))</x:f>
        <x:v>≤34</x:v>
      </x:c>
      <x:c r="AK1115" s="17" t="str">
        <x:f>IF(AG1115&gt;=1000,"High Value",IF(AG1115&gt;=300,"Mid Value","Low Value"))</x:f>
        <x:v>Low Value</x:v>
      </x:c>
      <x:c r="AL1115" s="17" t="str">
        <x:f>IF(AND(AI1115&gt;=1,I1115&lt;=50),"Priority 1",IF(AND(AG1115&gt;=1000,I1115&lt;=60),"Priority 2",IF(I1115&lt;=30,"Priority 3","Nurture")))</x:f>
        <x:v>Priority 1</x:v>
      </x:c>
    </x:row>
    <x:row r="1116">
      <x:c r="A1116" s="16" t="n">
        <x:v>1175</x:v>
      </x:c>
      <x:c r="B1116" s="16" t="n">
        <x:v>1983</x:v>
      </x:c>
      <x:c r="C1116" s="16" t="str">
        <x:v>Master</x:v>
      </x:c>
      <x:c r="D1116" s="16" t="str">
        <x:v>Married</x:v>
      </x:c>
      <x:c r="E1116" s="16" t="n">
        <x:v>36262</x:v>
      </x:c>
      <x:c r="F1116" s="16" t="n">
        <x:v>0</x:v>
      </x:c>
      <x:c r="G1116" s="16" t="n">
        <x:v>0</x:v>
      </x:c>
      <x:c r="H1116" s="16" t="str">
        <x:v>20-09-2013</x:v>
      </x:c>
      <x:c r="I1116" s="16" t="n">
        <x:v>24</x:v>
      </x:c>
      <x:c r="J1116" s="16" t="n">
        <x:v>88</x:v>
      </x:c>
      <x:c r="K1116" s="16" t="n">
        <x:v>39</x:v>
      </x:c>
      <x:c r="L1116" s="16" t="n">
        <x:v>54</x:v>
      </x:c>
      <x:c r="M1116" s="16" t="n">
        <x:v>64</x:v>
      </x:c>
      <x:c r="N1116" s="16" t="n">
        <x:v>28</x:v>
      </x:c>
      <x:c r="O1116" s="16" t="n">
        <x:v>153</x:v>
      </x:c>
      <x:c r="P1116" s="16" t="n">
        <x:v>1</x:v>
      </x:c>
      <x:c r="Q1116" s="16" t="n">
        <x:v>3</x:v>
      </x:c>
      <x:c r="R1116" s="16" t="n">
        <x:v>5</x:v>
      </x:c>
      <x:c r="S1116" s="16" t="n">
        <x:v>3</x:v>
      </x:c>
      <x:c r="T1116" s="16" t="n">
        <x:v>6</x:v>
      </x:c>
      <x:c r="U1116" s="16" t="n">
        <x:v>1</x:v>
      </x:c>
      <x:c r="V1116" s="16" t="n">
        <x:v>0</x:v>
      </x:c>
      <x:c r="W1116" s="16" t="n">
        <x:v>0</x:v>
      </x:c>
      <x:c r="X1116" s="16" t="n">
        <x:v>0</x:v>
      </x:c>
      <x:c r="Y1116" s="16" t="n">
        <x:v>0</x:v>
      </x:c>
      <x:c r="Z1116" s="16" t="n">
        <x:v>0</x:v>
      </x:c>
      <x:c r="AA1116" s="16" t="n">
        <x:v>3</x:v>
      </x:c>
      <x:c r="AB1116" s="16" t="n">
        <x:v>11</x:v>
      </x:c>
      <x:c r="AC1116" s="16" t="n">
        <x:v>1</x:v>
      </x:c>
      <x:c r="AD1116" s="21" t="n">
        <x:f>IF(E1116="",MEDIAN($E$2:$E$2237),E1116)</x:f>
        <x:v>36262</x:v>
      </x:c>
      <x:c r="AE1116" s="17" t="n">
        <x:f>2014-B1116</x:f>
        <x:v>31</x:v>
      </x:c>
      <x:c r="AF1116" s="17" t="n">
        <x:f>F1116+G1116</x:f>
        <x:v>0</x:v>
      </x:c>
      <x:c r="AG1116" s="21" t="n">
        <x:f>SUM(J1116:O1116)</x:f>
        <x:v>426</x:v>
      </x:c>
      <x:c r="AH1116" s="17" t="n">
        <x:f>SUM(Q1116:S1116)</x:f>
        <x:v>11</x:v>
      </x:c>
      <x:c r="AI1116" s="17" t="n">
        <x:f>SUM(U1116:Y1116)</x:f>
        <x:v>1</x:v>
      </x:c>
      <x:c r="AJ1116" s="17" t="str">
        <x:f>IF(AE1116&lt;=34,"≤34",IF(AE1116&lt;=44,"35–44",IF(AE1116&lt;=54,"45–54",IF(AE1116&lt;=64,"55–64","65+"))))</x:f>
        <x:v>≤34</x:v>
      </x:c>
      <x:c r="AK1116" s="17" t="str">
        <x:f>IF(AG1116&gt;=1000,"High Value",IF(AG1116&gt;=300,"Mid Value","Low Value"))</x:f>
        <x:v>Mid Value</x:v>
      </x:c>
      <x:c r="AL1116" s="17" t="str">
        <x:f>IF(AND(AI1116&gt;=1,I1116&lt;=50),"Priority 1",IF(AND(AG1116&gt;=1000,I1116&lt;=60),"Priority 2",IF(I1116&lt;=30,"Priority 3","Nurture")))</x:f>
        <x:v>Priority 1</x:v>
      </x:c>
    </x:row>
    <x:row r="1117">
      <x:c r="A1117" s="16" t="n">
        <x:v>880</x:v>
      </x:c>
      <x:c r="B1117" s="16" t="n">
        <x:v>1966</x:v>
      </x:c>
      <x:c r="C1117" s="16" t="str">
        <x:v>Basic</x:v>
      </x:c>
      <x:c r="D1117" s="16" t="str">
        <x:v>Together</x:v>
      </x:c>
      <x:c r="E1117" s="16" t="n">
        <x:v>22634</x:v>
      </x:c>
      <x:c r="F1117" s="16" t="n">
        <x:v>0</x:v>
      </x:c>
      <x:c r="G1117" s="16" t="n">
        <x:v>0</x:v>
      </x:c>
      <x:c r="H1117" s="16" t="str">
        <x:v>16-01-2013</x:v>
      </x:c>
      <x:c r="I1117" s="16" t="n">
        <x:v>47</x:v>
      </x:c>
      <x:c r="J1117" s="16" t="n">
        <x:v>2</x:v>
      </x:c>
      <x:c r="K1117" s="16" t="n">
        <x:v>23</x:v>
      </x:c>
      <x:c r="L1117" s="16" t="n">
        <x:v>11</x:v>
      </x:c>
      <x:c r="M1117" s="16" t="n">
        <x:v>8</x:v>
      </x:c>
      <x:c r="N1117" s="16" t="n">
        <x:v>6</x:v>
      </x:c>
      <x:c r="O1117" s="16" t="n">
        <x:v>46</x:v>
      </x:c>
      <x:c r="P1117" s="16" t="n">
        <x:v>1</x:v>
      </x:c>
      <x:c r="Q1117" s="16" t="n">
        <x:v>2</x:v>
      </x:c>
      <x:c r="R1117" s="16" t="n">
        <x:v>1</x:v>
      </x:c>
      <x:c r="S1117" s="16" t="n">
        <x:v>2</x:v>
      </x:c>
      <x:c r="T1117" s="16" t="n">
        <x:v>8</x:v>
      </x:c>
      <x:c r="U1117" s="16" t="n">
        <x:v>0</x:v>
      </x:c>
      <x:c r="V1117" s="16" t="n">
        <x:v>0</x:v>
      </x:c>
      <x:c r="W1117" s="16" t="n">
        <x:v>0</x:v>
      </x:c>
      <x:c r="X1117" s="16" t="n">
        <x:v>0</x:v>
      </x:c>
      <x:c r="Y1117" s="16" t="n">
        <x:v>0</x:v>
      </x:c>
      <x:c r="Z1117" s="16" t="n">
        <x:v>0</x:v>
      </x:c>
      <x:c r="AA1117" s="16" t="n">
        <x:v>3</x:v>
      </x:c>
      <x:c r="AB1117" s="16" t="n">
        <x:v>11</x:v>
      </x:c>
      <x:c r="AC1117" s="16" t="n">
        <x:v>0</x:v>
      </x:c>
      <x:c r="AD1117" s="21" t="n">
        <x:f>IF(E1117="",MEDIAN($E$2:$E$2237),E1117)</x:f>
        <x:v>22634</x:v>
      </x:c>
      <x:c r="AE1117" s="17" t="n">
        <x:f>2014-B1117</x:f>
        <x:v>48</x:v>
      </x:c>
      <x:c r="AF1117" s="17" t="n">
        <x:f>F1117+G1117</x:f>
        <x:v>0</x:v>
      </x:c>
      <x:c r="AG1117" s="21" t="n">
        <x:f>SUM(J1117:O1117)</x:f>
        <x:v>96</x:v>
      </x:c>
      <x:c r="AH1117" s="17" t="n">
        <x:f>SUM(Q1117:S1117)</x:f>
        <x:v>5</x:v>
      </x:c>
      <x:c r="AI1117" s="17" t="n">
        <x:f>SUM(U1117:Y1117)</x:f>
        <x:v>0</x:v>
      </x:c>
      <x:c r="AJ1117" s="17" t="str">
        <x:f>IF(AE1117&lt;=34,"≤34",IF(AE1117&lt;=44,"35–44",IF(AE1117&lt;=54,"45–54",IF(AE1117&lt;=64,"55–64","65+"))))</x:f>
        <x:v>45–54</x:v>
      </x:c>
      <x:c r="AK1117" s="17" t="str">
        <x:f>IF(AG1117&gt;=1000,"High Value",IF(AG1117&gt;=300,"Mid Value","Low Value"))</x:f>
        <x:v>Low Value</x:v>
      </x:c>
      <x:c r="AL1117" s="17" t="str">
        <x:f>IF(AND(AI1117&gt;=1,I1117&lt;=50),"Priority 1",IF(AND(AG1117&gt;=1000,I1117&lt;=60),"Priority 2",IF(I1117&lt;=30,"Priority 3","Nurture")))</x:f>
        <x:v>Nurture</x:v>
      </x:c>
    </x:row>
    <x:row r="1118">
      <x:c r="A1118" s="16" t="n">
        <x:v>2320</x:v>
      </x:c>
      <x:c r="B1118" s="16" t="n">
        <x:v>1978</x:v>
      </x:c>
      <x:c r="C1118" s="16" t="str">
        <x:v>2n Cycle</x:v>
      </x:c>
      <x:c r="D1118" s="16" t="str">
        <x:v>Married</x:v>
      </x:c>
      <x:c r="E1118" s="16" t="n">
        <x:v>47025</x:v>
      </x:c>
      <x:c r="F1118" s="16" t="n">
        <x:v>0</x:v>
      </x:c>
      <x:c r="G1118" s="16" t="n">
        <x:v>1</x:v>
      </x:c>
      <x:c r="H1118" s="16" t="str">
        <x:v>12-09-2013</x:v>
      </x:c>
      <x:c r="I1118" s="16" t="n">
        <x:v>98</x:v>
      </x:c>
      <x:c r="J1118" s="16" t="n">
        <x:v>508</x:v>
      </x:c>
      <x:c r="K1118" s="16" t="n">
        <x:v>11</x:v>
      </x:c>
      <x:c r="L1118" s="16" t="n">
        <x:v>59</x:v>
      </x:c>
      <x:c r="M1118" s="16" t="n">
        <x:v>23</x:v>
      </x:c>
      <x:c r="N1118" s="16" t="n">
        <x:v>5</x:v>
      </x:c>
      <x:c r="O1118" s="16" t="n">
        <x:v>29</x:v>
      </x:c>
      <x:c r="P1118" s="16" t="n">
        <x:v>5</x:v>
      </x:c>
      <x:c r="Q1118" s="16" t="n">
        <x:v>11</x:v>
      </x:c>
      <x:c r="R1118" s="16" t="n">
        <x:v>1</x:v>
      </x:c>
      <x:c r="S1118" s="16" t="n">
        <x:v>6</x:v>
      </x:c>
      <x:c r="T1118" s="16" t="n">
        <x:v>9</x:v>
      </x:c>
      <x:c r="U1118" s="16" t="n">
        <x:v>0</x:v>
      </x:c>
      <x:c r="V1118" s="16" t="n">
        <x:v>0</x:v>
      </x:c>
      <x:c r="W1118" s="16" t="n">
        <x:v>0</x:v>
      </x:c>
      <x:c r="X1118" s="16" t="n">
        <x:v>0</x:v>
      </x:c>
      <x:c r="Y1118" s="16" t="n">
        <x:v>0</x:v>
      </x:c>
      <x:c r="Z1118" s="16" t="n">
        <x:v>0</x:v>
      </x:c>
      <x:c r="AA1118" s="16" t="n">
        <x:v>3</x:v>
      </x:c>
      <x:c r="AB1118" s="16" t="n">
        <x:v>11</x:v>
      </x:c>
      <x:c r="AC1118" s="16" t="n">
        <x:v>0</x:v>
      </x:c>
      <x:c r="AD1118" s="21" t="n">
        <x:f>IF(E1118="",MEDIAN($E$2:$E$2237),E1118)</x:f>
        <x:v>47025</x:v>
      </x:c>
      <x:c r="AE1118" s="17" t="n">
        <x:f>2014-B1118</x:f>
        <x:v>36</x:v>
      </x:c>
      <x:c r="AF1118" s="17" t="n">
        <x:f>F1118+G1118</x:f>
        <x:v>1</x:v>
      </x:c>
      <x:c r="AG1118" s="21" t="n">
        <x:f>SUM(J1118:O1118)</x:f>
        <x:v>635</x:v>
      </x:c>
      <x:c r="AH1118" s="17" t="n">
        <x:f>SUM(Q1118:S1118)</x:f>
        <x:v>18</x:v>
      </x:c>
      <x:c r="AI1118" s="17" t="n">
        <x:f>SUM(U1118:Y1118)</x:f>
        <x:v>0</x:v>
      </x:c>
      <x:c r="AJ1118" s="17" t="str">
        <x:f>IF(AE1118&lt;=34,"≤34",IF(AE1118&lt;=44,"35–44",IF(AE1118&lt;=54,"45–54",IF(AE1118&lt;=64,"55–64","65+"))))</x:f>
        <x:v>35–44</x:v>
      </x:c>
      <x:c r="AK1118" s="17" t="str">
        <x:f>IF(AG1118&gt;=1000,"High Value",IF(AG1118&gt;=300,"Mid Value","Low Value"))</x:f>
        <x:v>Mid Value</x:v>
      </x:c>
      <x:c r="AL1118" s="17" t="str">
        <x:f>IF(AND(AI1118&gt;=1,I1118&lt;=50),"Priority 1",IF(AND(AG1118&gt;=1000,I1118&lt;=60),"Priority 2",IF(I1118&lt;=30,"Priority 3","Nurture")))</x:f>
        <x:v>Nurture</x:v>
      </x:c>
    </x:row>
    <x:row r="1119">
      <x:c r="A1119" s="16" t="n">
        <x:v>850</x:v>
      </x:c>
      <x:c r="B1119" s="16" t="n">
        <x:v>1968</x:v>
      </x:c>
      <x:c r="C1119" s="16" t="str">
        <x:v>Graduation</x:v>
      </x:c>
      <x:c r="D1119" s="16" t="str">
        <x:v>Single</x:v>
      </x:c>
      <x:c r="E1119" s="16" t="n">
        <x:v>70566</x:v>
      </x:c>
      <x:c r="F1119" s="16" t="n">
        <x:v>0</x:v>
      </x:c>
      <x:c r="G1119" s="16" t="n">
        <x:v>1</x:v>
      </x:c>
      <x:c r="H1119" s="16" t="str">
        <x:v>06-10-2013</x:v>
      </x:c>
      <x:c r="I1119" s="16" t="n">
        <x:v>4</x:v>
      </x:c>
      <x:c r="J1119" s="16" t="n">
        <x:v>381</x:v>
      </x:c>
      <x:c r="K1119" s="16" t="n">
        <x:v>28</x:v>
      </x:c>
      <x:c r="L1119" s="16" t="n">
        <x:v>215</x:v>
      </x:c>
      <x:c r="M1119" s="16" t="n">
        <x:v>84</x:v>
      </x:c>
      <x:c r="N1119" s="16" t="n">
        <x:v>28</x:v>
      </x:c>
      <x:c r="O1119" s="16" t="n">
        <x:v>21</x:v>
      </x:c>
      <x:c r="P1119" s="16" t="n">
        <x:v>2</x:v>
      </x:c>
      <x:c r="Q1119" s="16" t="n">
        <x:v>6</x:v>
      </x:c>
      <x:c r="R1119" s="16" t="n">
        <x:v>5</x:v>
      </x:c>
      <x:c r="S1119" s="16" t="n">
        <x:v>9</x:v>
      </x:c>
      <x:c r="T1119" s="16" t="n">
        <x:v>3</x:v>
      </x:c>
      <x:c r="U1119" s="16" t="n">
        <x:v>0</x:v>
      </x:c>
      <x:c r="V1119" s="16" t="n">
        <x:v>0</x:v>
      </x:c>
      <x:c r="W1119" s="16" t="n">
        <x:v>0</x:v>
      </x:c>
      <x:c r="X1119" s="16" t="n">
        <x:v>0</x:v>
      </x:c>
      <x:c r="Y1119" s="16" t="n">
        <x:v>0</x:v>
      </x:c>
      <x:c r="Z1119" s="16" t="n">
        <x:v>0</x:v>
      </x:c>
      <x:c r="AA1119" s="16" t="n">
        <x:v>3</x:v>
      </x:c>
      <x:c r="AB1119" s="16" t="n">
        <x:v>11</x:v>
      </x:c>
      <x:c r="AC1119" s="16" t="n">
        <x:v>0</x:v>
      </x:c>
      <x:c r="AD1119" s="21" t="n">
        <x:f>IF(E1119="",MEDIAN($E$2:$E$2237),E1119)</x:f>
        <x:v>70566</x:v>
      </x:c>
      <x:c r="AE1119" s="17" t="n">
        <x:f>2014-B1119</x:f>
        <x:v>46</x:v>
      </x:c>
      <x:c r="AF1119" s="17" t="n">
        <x:f>F1119+G1119</x:f>
        <x:v>1</x:v>
      </x:c>
      <x:c r="AG1119" s="21" t="n">
        <x:f>SUM(J1119:O1119)</x:f>
        <x:v>757</x:v>
      </x:c>
      <x:c r="AH1119" s="17" t="n">
        <x:f>SUM(Q1119:S1119)</x:f>
        <x:v>20</x:v>
      </x:c>
      <x:c r="AI1119" s="17" t="n">
        <x:f>SUM(U1119:Y1119)</x:f>
        <x:v>0</x:v>
      </x:c>
      <x:c r="AJ1119" s="17" t="str">
        <x:f>IF(AE1119&lt;=34,"≤34",IF(AE1119&lt;=44,"35–44",IF(AE1119&lt;=54,"45–54",IF(AE1119&lt;=64,"55–64","65+"))))</x:f>
        <x:v>45–54</x:v>
      </x:c>
      <x:c r="AK1119" s="17" t="str">
        <x:f>IF(AG1119&gt;=1000,"High Value",IF(AG1119&gt;=300,"Mid Value","Low Value"))</x:f>
        <x:v>Mid Value</x:v>
      </x:c>
      <x:c r="AL1119" s="17" t="str">
        <x:f>IF(AND(AI1119&gt;=1,I1119&lt;=50),"Priority 1",IF(AND(AG1119&gt;=1000,I1119&lt;=60),"Priority 2",IF(I1119&lt;=30,"Priority 3","Nurture")))</x:f>
        <x:v>Priority 3</x:v>
      </x:c>
    </x:row>
    <x:row r="1120">
      <x:c r="A1120" s="16" t="n">
        <x:v>4713</x:v>
      </x:c>
      <x:c r="B1120" s="16" t="n">
        <x:v>1979</x:v>
      </x:c>
      <x:c r="C1120" s="16" t="str">
        <x:v>PhD</x:v>
      </x:c>
      <x:c r="D1120" s="16" t="str">
        <x:v>Married</x:v>
      </x:c>
      <x:c r="E1120" s="16" t="n">
        <x:v>31605</x:v>
      </x:c>
      <x:c r="F1120" s="16" t="n">
        <x:v>1</x:v>
      </x:c>
      <x:c r="G1120" s="16" t="n">
        <x:v>0</x:v>
      </x:c>
      <x:c r="H1120" s="16" t="str">
        <x:v>22-11-2012</x:v>
      </x:c>
      <x:c r="I1120" s="16" t="n">
        <x:v>15</x:v>
      </x:c>
      <x:c r="J1120" s="16" t="n">
        <x:v>74</x:v>
      </x:c>
      <x:c r="K1120" s="16" t="n">
        <x:v>0</x:v>
      </x:c>
      <x:c r="L1120" s="16" t="n">
        <x:v>42</x:v>
      </x:c>
      <x:c r="M1120" s="16" t="n">
        <x:v>2</x:v>
      </x:c>
      <x:c r="N1120" s="16" t="n">
        <x:v>1</x:v>
      </x:c>
      <x:c r="O1120" s="16" t="n">
        <x:v>6</x:v>
      </x:c>
      <x:c r="P1120" s="16" t="n">
        <x:v>2</x:v>
      </x:c>
      <x:c r="Q1120" s="16" t="n">
        <x:v>2</x:v>
      </x:c>
      <x:c r="R1120" s="16" t="n">
        <x:v>1</x:v>
      </x:c>
      <x:c r="S1120" s="16" t="n">
        <x:v>4</x:v>
      </x:c>
      <x:c r="T1120" s="16" t="n">
        <x:v>7</x:v>
      </x:c>
      <x:c r="U1120" s="16" t="n">
        <x:v>0</x:v>
      </x:c>
      <x:c r="V1120" s="16" t="n">
        <x:v>0</x:v>
      </x:c>
      <x:c r="W1120" s="16" t="n">
        <x:v>0</x:v>
      </x:c>
      <x:c r="X1120" s="16" t="n">
        <x:v>0</x:v>
      </x:c>
      <x:c r="Y1120" s="16" t="n">
        <x:v>0</x:v>
      </x:c>
      <x:c r="Z1120" s="16" t="n">
        <x:v>0</x:v>
      </x:c>
      <x:c r="AA1120" s="16" t="n">
        <x:v>3</x:v>
      </x:c>
      <x:c r="AB1120" s="16" t="n">
        <x:v>11</x:v>
      </x:c>
      <x:c r="AC1120" s="16" t="n">
        <x:v>0</x:v>
      </x:c>
      <x:c r="AD1120" s="21" t="n">
        <x:f>IF(E1120="",MEDIAN($E$2:$E$2237),E1120)</x:f>
        <x:v>31605</x:v>
      </x:c>
      <x:c r="AE1120" s="17" t="n">
        <x:f>2014-B1120</x:f>
        <x:v>35</x:v>
      </x:c>
      <x:c r="AF1120" s="17" t="n">
        <x:f>F1120+G1120</x:f>
        <x:v>1</x:v>
      </x:c>
      <x:c r="AG1120" s="21" t="n">
        <x:f>SUM(J1120:O1120)</x:f>
        <x:v>125</x:v>
      </x:c>
      <x:c r="AH1120" s="17" t="n">
        <x:f>SUM(Q1120:S1120)</x:f>
        <x:v>7</x:v>
      </x:c>
      <x:c r="AI1120" s="17" t="n">
        <x:f>SUM(U1120:Y1120)</x:f>
        <x:v>0</x:v>
      </x:c>
      <x:c r="AJ1120" s="17" t="str">
        <x:f>IF(AE1120&lt;=34,"≤34",IF(AE1120&lt;=44,"35–44",IF(AE1120&lt;=54,"45–54",IF(AE1120&lt;=64,"55–64","65+"))))</x:f>
        <x:v>35–44</x:v>
      </x:c>
      <x:c r="AK1120" s="17" t="str">
        <x:f>IF(AG1120&gt;=1000,"High Value",IF(AG1120&gt;=300,"Mid Value","Low Value"))</x:f>
        <x:v>Low Value</x:v>
      </x:c>
      <x:c r="AL1120" s="17" t="str">
        <x:f>IF(AND(AI1120&gt;=1,I1120&lt;=50),"Priority 1",IF(AND(AG1120&gt;=1000,I1120&lt;=60),"Priority 2",IF(I1120&lt;=30,"Priority 3","Nurture")))</x:f>
        <x:v>Priority 3</x:v>
      </x:c>
    </x:row>
    <x:row r="1121">
      <x:c r="A1121" s="16" t="n">
        <x:v>675</x:v>
      </x:c>
      <x:c r="B1121" s="16" t="n">
        <x:v>1973</x:v>
      </x:c>
      <x:c r="C1121" s="16" t="str">
        <x:v>Master</x:v>
      </x:c>
      <x:c r="D1121" s="16" t="str">
        <x:v>Divorced</x:v>
      </x:c>
      <x:c r="E1121" s="16" t="n">
        <x:v>52034</x:v>
      </x:c>
      <x:c r="F1121" s="16" t="n">
        <x:v>1</x:v>
      </x:c>
      <x:c r="G1121" s="16" t="n">
        <x:v>1</x:v>
      </x:c>
      <x:c r="H1121" s="16" t="str">
        <x:v>17-05-2013</x:v>
      </x:c>
      <x:c r="I1121" s="16" t="n">
        <x:v>67</x:v>
      </x:c>
      <x:c r="J1121" s="16" t="n">
        <x:v>146</x:v>
      </x:c>
      <x:c r="K1121" s="16" t="n">
        <x:v>0</x:v>
      </x:c>
      <x:c r="L1121" s="16" t="n">
        <x:v>93</x:v>
      </x:c>
      <x:c r="M1121" s="16" t="n">
        <x:v>7</x:v>
      </x:c>
      <x:c r="N1121" s="16" t="n">
        <x:v>13</x:v>
      </x:c>
      <x:c r="O1121" s="16" t="n">
        <x:v>73</x:v>
      </x:c>
      <x:c r="P1121" s="16" t="n">
        <x:v>5</x:v>
      </x:c>
      <x:c r="Q1121" s="16" t="n">
        <x:v>4</x:v>
      </x:c>
      <x:c r="R1121" s="16" t="n">
        <x:v>2</x:v>
      </x:c>
      <x:c r="S1121" s="16" t="n">
        <x:v>5</x:v>
      </x:c>
      <x:c r="T1121" s="16" t="n">
        <x:v>7</x:v>
      </x:c>
      <x:c r="U1121" s="16" t="n">
        <x:v>0</x:v>
      </x:c>
      <x:c r="V1121" s="16" t="n">
        <x:v>0</x:v>
      </x:c>
      <x:c r="W1121" s="16" t="n">
        <x:v>0</x:v>
      </x:c>
      <x:c r="X1121" s="16" t="n">
        <x:v>0</x:v>
      </x:c>
      <x:c r="Y1121" s="16" t="n">
        <x:v>0</x:v>
      </x:c>
      <x:c r="Z1121" s="16" t="n">
        <x:v>0</x:v>
      </x:c>
      <x:c r="AA1121" s="16" t="n">
        <x:v>3</x:v>
      </x:c>
      <x:c r="AB1121" s="16" t="n">
        <x:v>11</x:v>
      </x:c>
      <x:c r="AC1121" s="16" t="n">
        <x:v>0</x:v>
      </x:c>
      <x:c r="AD1121" s="21" t="n">
        <x:f>IF(E1121="",MEDIAN($E$2:$E$2237),E1121)</x:f>
        <x:v>52034</x:v>
      </x:c>
      <x:c r="AE1121" s="17" t="n">
        <x:f>2014-B1121</x:f>
        <x:v>41</x:v>
      </x:c>
      <x:c r="AF1121" s="17" t="n">
        <x:f>F1121+G1121</x:f>
        <x:v>2</x:v>
      </x:c>
      <x:c r="AG1121" s="21" t="n">
        <x:f>SUM(J1121:O1121)</x:f>
        <x:v>332</x:v>
      </x:c>
      <x:c r="AH1121" s="17" t="n">
        <x:f>SUM(Q1121:S1121)</x:f>
        <x:v>11</x:v>
      </x:c>
      <x:c r="AI1121" s="17" t="n">
        <x:f>SUM(U1121:Y1121)</x:f>
        <x:v>0</x:v>
      </x:c>
      <x:c r="AJ1121" s="17" t="str">
        <x:f>IF(AE1121&lt;=34,"≤34",IF(AE1121&lt;=44,"35–44",IF(AE1121&lt;=54,"45–54",IF(AE1121&lt;=64,"55–64","65+"))))</x:f>
        <x:v>35–44</x:v>
      </x:c>
      <x:c r="AK1121" s="17" t="str">
        <x:f>IF(AG1121&gt;=1000,"High Value",IF(AG1121&gt;=300,"Mid Value","Low Value"))</x:f>
        <x:v>Mid Value</x:v>
      </x:c>
      <x:c r="AL1121" s="17" t="str">
        <x:f>IF(AND(AI1121&gt;=1,I1121&lt;=50),"Priority 1",IF(AND(AG1121&gt;=1000,I1121&lt;=60),"Priority 2",IF(I1121&lt;=30,"Priority 3","Nurture")))</x:f>
        <x:v>Nurture</x:v>
      </x:c>
    </x:row>
    <x:row r="1122">
      <x:c r="A1122" s="16" t="n">
        <x:v>5025</x:v>
      </x:c>
      <x:c r="B1122" s="16" t="n">
        <x:v>1979</x:v>
      </x:c>
      <x:c r="C1122" s="16" t="str">
        <x:v>Graduation</x:v>
      </x:c>
      <x:c r="D1122" s="16" t="str">
        <x:v>Single</x:v>
      </x:c>
      <x:c r="E1122" s="16" t="n">
        <x:v>48526</x:v>
      </x:c>
      <x:c r="F1122" s="16" t="n">
        <x:v>1</x:v>
      </x:c>
      <x:c r="G1122" s="16" t="n">
        <x:v>0</x:v>
      </x:c>
      <x:c r="H1122" s="16" t="str">
        <x:v>24-12-2013</x:v>
      </x:c>
      <x:c r="I1122" s="16" t="n">
        <x:v>32</x:v>
      </x:c>
      <x:c r="J1122" s="16" t="n">
        <x:v>23</x:v>
      </x:c>
      <x:c r="K1122" s="16" t="n">
        <x:v>17</x:v>
      </x:c>
      <x:c r="L1122" s="16" t="n">
        <x:v>23</x:v>
      </x:c>
      <x:c r="M1122" s="16" t="n">
        <x:v>43</x:v>
      </x:c>
      <x:c r="N1122" s="16" t="n">
        <x:v>20</x:v>
      </x:c>
      <x:c r="O1122" s="16" t="n">
        <x:v>9</x:v>
      </x:c>
      <x:c r="P1122" s="16" t="n">
        <x:v>1</x:v>
      </x:c>
      <x:c r="Q1122" s="16" t="n">
        <x:v>2</x:v>
      </x:c>
      <x:c r="R1122" s="16" t="n">
        <x:v>1</x:v>
      </x:c>
      <x:c r="S1122" s="16" t="n">
        <x:v>4</x:v>
      </x:c>
      <x:c r="T1122" s="16" t="n">
        <x:v>3</x:v>
      </x:c>
      <x:c r="U1122" s="16" t="n">
        <x:v>0</x:v>
      </x:c>
      <x:c r="V1122" s="16" t="n">
        <x:v>0</x:v>
      </x:c>
      <x:c r="W1122" s="16" t="n">
        <x:v>0</x:v>
      </x:c>
      <x:c r="X1122" s="16" t="n">
        <x:v>0</x:v>
      </x:c>
      <x:c r="Y1122" s="16" t="n">
        <x:v>0</x:v>
      </x:c>
      <x:c r="Z1122" s="16" t="n">
        <x:v>0</x:v>
      </x:c>
      <x:c r="AA1122" s="16" t="n">
        <x:v>3</x:v>
      </x:c>
      <x:c r="AB1122" s="16" t="n">
        <x:v>11</x:v>
      </x:c>
      <x:c r="AC1122" s="16" t="n">
        <x:v>0</x:v>
      </x:c>
      <x:c r="AD1122" s="21" t="n">
        <x:f>IF(E1122="",MEDIAN($E$2:$E$2237),E1122)</x:f>
        <x:v>48526</x:v>
      </x:c>
      <x:c r="AE1122" s="17" t="n">
        <x:f>2014-B1122</x:f>
        <x:v>35</x:v>
      </x:c>
      <x:c r="AF1122" s="17" t="n">
        <x:f>F1122+G1122</x:f>
        <x:v>1</x:v>
      </x:c>
      <x:c r="AG1122" s="21" t="n">
        <x:f>SUM(J1122:O1122)</x:f>
        <x:v>135</x:v>
      </x:c>
      <x:c r="AH1122" s="17" t="n">
        <x:f>SUM(Q1122:S1122)</x:f>
        <x:v>7</x:v>
      </x:c>
      <x:c r="AI1122" s="17" t="n">
        <x:f>SUM(U1122:Y1122)</x:f>
        <x:v>0</x:v>
      </x:c>
      <x:c r="AJ1122" s="17" t="str">
        <x:f>IF(AE1122&lt;=34,"≤34",IF(AE1122&lt;=44,"35–44",IF(AE1122&lt;=54,"45–54",IF(AE1122&lt;=64,"55–64","65+"))))</x:f>
        <x:v>35–44</x:v>
      </x:c>
      <x:c r="AK1122" s="17" t="str">
        <x:f>IF(AG1122&gt;=1000,"High Value",IF(AG1122&gt;=300,"Mid Value","Low Value"))</x:f>
        <x:v>Low Value</x:v>
      </x:c>
      <x:c r="AL1122" s="17" t="str">
        <x:f>IF(AND(AI1122&gt;=1,I1122&lt;=50),"Priority 1",IF(AND(AG1122&gt;=1000,I1122&lt;=60),"Priority 2",IF(I1122&lt;=30,"Priority 3","Nurture")))</x:f>
        <x:v>Nurture</x:v>
      </x:c>
    </x:row>
    <x:row r="1123">
      <x:c r="A1123" s="16" t="n">
        <x:v>2308</x:v>
      </x:c>
      <x:c r="B1123" s="16" t="n">
        <x:v>1954</x:v>
      </x:c>
      <x:c r="C1123" s="16" t="str">
        <x:v>Graduation</x:v>
      </x:c>
      <x:c r="D1123" s="16" t="str">
        <x:v>Married</x:v>
      </x:c>
      <x:c r="E1123" s="16" t="n">
        <x:v>46734</x:v>
      </x:c>
      <x:c r="F1123" s="16" t="n">
        <x:v>0</x:v>
      </x:c>
      <x:c r="G1123" s="16" t="n">
        <x:v>1</x:v>
      </x:c>
      <x:c r="H1123" s="16" t="str">
        <x:v>18-11-2012</x:v>
      </x:c>
      <x:c r="I1123" s="16" t="n">
        <x:v>40</x:v>
      </x:c>
      <x:c r="J1123" s="16" t="n">
        <x:v>110</x:v>
      </x:c>
      <x:c r="K1123" s="16" t="n">
        <x:v>5</x:v>
      </x:c>
      <x:c r="L1123" s="16" t="n">
        <x:v>137</x:v>
      </x:c>
      <x:c r="M1123" s="16" t="n">
        <x:v>26</x:v>
      </x:c>
      <x:c r="N1123" s="16" t="n">
        <x:v>23</x:v>
      </x:c>
      <x:c r="O1123" s="16" t="n">
        <x:v>29</x:v>
      </x:c>
      <x:c r="P1123" s="16" t="n">
        <x:v>2</x:v>
      </x:c>
      <x:c r="Q1123" s="16" t="n">
        <x:v>6</x:v>
      </x:c>
      <x:c r="R1123" s="16" t="n">
        <x:v>1</x:v>
      </x:c>
      <x:c r="S1123" s="16" t="n">
        <x:v>5</x:v>
      </x:c>
      <x:c r="T1123" s="16" t="n">
        <x:v>7</x:v>
      </x:c>
      <x:c r="U1123" s="16" t="n">
        <x:v>0</x:v>
      </x:c>
      <x:c r="V1123" s="16" t="n">
        <x:v>0</x:v>
      </x:c>
      <x:c r="W1123" s="16" t="n">
        <x:v>0</x:v>
      </x:c>
      <x:c r="X1123" s="16" t="n">
        <x:v>0</x:v>
      </x:c>
      <x:c r="Y1123" s="16" t="n">
        <x:v>0</x:v>
      </x:c>
      <x:c r="Z1123" s="16" t="n">
        <x:v>0</x:v>
      </x:c>
      <x:c r="AA1123" s="16" t="n">
        <x:v>3</x:v>
      </x:c>
      <x:c r="AB1123" s="16" t="n">
        <x:v>11</x:v>
      </x:c>
      <x:c r="AC1123" s="16" t="n">
        <x:v>0</x:v>
      </x:c>
      <x:c r="AD1123" s="21" t="n">
        <x:f>IF(E1123="",MEDIAN($E$2:$E$2237),E1123)</x:f>
        <x:v>46734</x:v>
      </x:c>
      <x:c r="AE1123" s="17" t="n">
        <x:f>2014-B1123</x:f>
        <x:v>60</x:v>
      </x:c>
      <x:c r="AF1123" s="17" t="n">
        <x:f>F1123+G1123</x:f>
        <x:v>1</x:v>
      </x:c>
      <x:c r="AG1123" s="21" t="n">
        <x:f>SUM(J1123:O1123)</x:f>
        <x:v>330</x:v>
      </x:c>
      <x:c r="AH1123" s="17" t="n">
        <x:f>SUM(Q1123:S1123)</x:f>
        <x:v>12</x:v>
      </x:c>
      <x:c r="AI1123" s="17" t="n">
        <x:f>SUM(U1123:Y1123)</x:f>
        <x:v>0</x:v>
      </x:c>
      <x:c r="AJ1123" s="17" t="str">
        <x:f>IF(AE1123&lt;=34,"≤34",IF(AE1123&lt;=44,"35–44",IF(AE1123&lt;=54,"45–54",IF(AE1123&lt;=64,"55–64","65+"))))</x:f>
        <x:v>55–64</x:v>
      </x:c>
      <x:c r="AK1123" s="17" t="str">
        <x:f>IF(AG1123&gt;=1000,"High Value",IF(AG1123&gt;=300,"Mid Value","Low Value"))</x:f>
        <x:v>Mid Value</x:v>
      </x:c>
      <x:c r="AL1123" s="17" t="str">
        <x:f>IF(AND(AI1123&gt;=1,I1123&lt;=50),"Priority 1",IF(AND(AG1123&gt;=1000,I1123&lt;=60),"Priority 2",IF(I1123&lt;=30,"Priority 3","Nurture")))</x:f>
        <x:v>Nurture</x:v>
      </x:c>
    </x:row>
    <x:row r="1124">
      <x:c r="A1124" s="16" t="n">
        <x:v>5995</x:v>
      </x:c>
      <x:c r="B1124" s="16" t="n">
        <x:v>1962</x:v>
      </x:c>
      <x:c r="C1124" s="16" t="str">
        <x:v>Graduation</x:v>
      </x:c>
      <x:c r="D1124" s="16" t="str">
        <x:v>Divorced</x:v>
      </x:c>
      <x:c r="E1124" s="16" t="n">
        <x:v>39552</x:v>
      </x:c>
      <x:c r="F1124" s="16" t="n">
        <x:v>1</x:v>
      </x:c>
      <x:c r="G1124" s="16" t="n">
        <x:v>1</x:v>
      </x:c>
      <x:c r="H1124" s="16" t="str">
        <x:v>18-12-2012</x:v>
      </x:c>
      <x:c r="I1124" s="16" t="n">
        <x:v>54</x:v>
      </x:c>
      <x:c r="J1124" s="16" t="n">
        <x:v>165</x:v>
      </x:c>
      <x:c r="K1124" s="16" t="n">
        <x:v>3</x:v>
      </x:c>
      <x:c r="L1124" s="16" t="n">
        <x:v>147</x:v>
      </x:c>
      <x:c r="M1124" s="16" t="n">
        <x:v>4</x:v>
      </x:c>
      <x:c r="N1124" s="16" t="n">
        <x:v>24</x:v>
      </x:c>
      <x:c r="O1124" s="16" t="n">
        <x:v>41</x:v>
      </x:c>
      <x:c r="P1124" s="16" t="n">
        <x:v>7</x:v>
      </x:c>
      <x:c r="Q1124" s="16" t="n">
        <x:v>6</x:v>
      </x:c>
      <x:c r="R1124" s="16" t="n">
        <x:v>2</x:v>
      </x:c>
      <x:c r="S1124" s="16" t="n">
        <x:v>5</x:v>
      </x:c>
      <x:c r="T1124" s="16" t="n">
        <x:v>8</x:v>
      </x:c>
      <x:c r="U1124" s="16" t="n">
        <x:v>0</x:v>
      </x:c>
      <x:c r="V1124" s="16" t="n">
        <x:v>0</x:v>
      </x:c>
      <x:c r="W1124" s="16" t="n">
        <x:v>0</x:v>
      </x:c>
      <x:c r="X1124" s="16" t="n">
        <x:v>0</x:v>
      </x:c>
      <x:c r="Y1124" s="16" t="n">
        <x:v>0</x:v>
      </x:c>
      <x:c r="Z1124" s="16" t="n">
        <x:v>0</x:v>
      </x:c>
      <x:c r="AA1124" s="16" t="n">
        <x:v>3</x:v>
      </x:c>
      <x:c r="AB1124" s="16" t="n">
        <x:v>11</x:v>
      </x:c>
      <x:c r="AC1124" s="16" t="n">
        <x:v>1</x:v>
      </x:c>
      <x:c r="AD1124" s="21" t="n">
        <x:f>IF(E1124="",MEDIAN($E$2:$E$2237),E1124)</x:f>
        <x:v>39552</x:v>
      </x:c>
      <x:c r="AE1124" s="17" t="n">
        <x:f>2014-B1124</x:f>
        <x:v>52</x:v>
      </x:c>
      <x:c r="AF1124" s="17" t="n">
        <x:f>F1124+G1124</x:f>
        <x:v>2</x:v>
      </x:c>
      <x:c r="AG1124" s="21" t="n">
        <x:f>SUM(J1124:O1124)</x:f>
        <x:v>384</x:v>
      </x:c>
      <x:c r="AH1124" s="17" t="n">
        <x:f>SUM(Q1124:S1124)</x:f>
        <x:v>13</x:v>
      </x:c>
      <x:c r="AI1124" s="17" t="n">
        <x:f>SUM(U1124:Y1124)</x:f>
        <x:v>0</x:v>
      </x:c>
      <x:c r="AJ1124" s="17" t="str">
        <x:f>IF(AE1124&lt;=34,"≤34",IF(AE1124&lt;=44,"35–44",IF(AE1124&lt;=54,"45–54",IF(AE1124&lt;=64,"55–64","65+"))))</x:f>
        <x:v>45–54</x:v>
      </x:c>
      <x:c r="AK1124" s="17" t="str">
        <x:f>IF(AG1124&gt;=1000,"High Value",IF(AG1124&gt;=300,"Mid Value","Low Value"))</x:f>
        <x:v>Mid Value</x:v>
      </x:c>
      <x:c r="AL1124" s="17" t="str">
        <x:f>IF(AND(AI1124&gt;=1,I1124&lt;=50),"Priority 1",IF(AND(AG1124&gt;=1000,I1124&lt;=60),"Priority 2",IF(I1124&lt;=30,"Priority 3","Nurture")))</x:f>
        <x:v>Nurture</x:v>
      </x:c>
    </x:row>
    <x:row r="1125">
      <x:c r="A1125" s="16" t="n">
        <x:v>6749</x:v>
      </x:c>
      <x:c r="B1125" s="16" t="n">
        <x:v>1966</x:v>
      </x:c>
      <x:c r="C1125" s="16" t="str">
        <x:v>Graduation</x:v>
      </x:c>
      <x:c r="D1125" s="16" t="str">
        <x:v>Single</x:v>
      </x:c>
      <x:c r="E1125" s="16" t="n">
        <x:v>86358</x:v>
      </x:c>
      <x:c r="F1125" s="16" t="n">
        <x:v>1</x:v>
      </x:c>
      <x:c r="G1125" s="16" t="n">
        <x:v>1</x:v>
      </x:c>
      <x:c r="H1125" s="16" t="str">
        <x:v>08-08-2012</x:v>
      </x:c>
      <x:c r="I1125" s="16" t="n">
        <x:v>78</x:v>
      </x:c>
      <x:c r="J1125" s="16" t="n">
        <x:v>957</x:v>
      </x:c>
      <x:c r="K1125" s="16" t="n">
        <x:v>47</x:v>
      </x:c>
      <x:c r="L1125" s="16" t="n">
        <x:v>494</x:v>
      </x:c>
      <x:c r="M1125" s="16" t="n">
        <x:v>82</x:v>
      </x:c>
      <x:c r="N1125" s="16" t="n">
        <x:v>47</x:v>
      </x:c>
      <x:c r="O1125" s="16" t="n">
        <x:v>95</x:v>
      </x:c>
      <x:c r="P1125" s="16" t="n">
        <x:v>4</x:v>
      </x:c>
      <x:c r="Q1125" s="16" t="n">
        <x:v>5</x:v>
      </x:c>
      <x:c r="R1125" s="16" t="n">
        <x:v>3</x:v>
      </x:c>
      <x:c r="S1125" s="16" t="n">
        <x:v>6</x:v>
      </x:c>
      <x:c r="T1125" s="16" t="n">
        <x:v>8</x:v>
      </x:c>
      <x:c r="U1125" s="16" t="n">
        <x:v>0</x:v>
      </x:c>
      <x:c r="V1125" s="16" t="n">
        <x:v>0</x:v>
      </x:c>
      <x:c r="W1125" s="16" t="n">
        <x:v>0</x:v>
      </x:c>
      <x:c r="X1125" s="16" t="n">
        <x:v>0</x:v>
      </x:c>
      <x:c r="Y1125" s="16" t="n">
        <x:v>0</x:v>
      </x:c>
      <x:c r="Z1125" s="16" t="n">
        <x:v>0</x:v>
      </x:c>
      <x:c r="AA1125" s="16" t="n">
        <x:v>3</x:v>
      </x:c>
      <x:c r="AB1125" s="16" t="n">
        <x:v>11</x:v>
      </x:c>
      <x:c r="AC1125" s="16" t="n">
        <x:v>0</x:v>
      </x:c>
      <x:c r="AD1125" s="21" t="n">
        <x:f>IF(E1125="",MEDIAN($E$2:$E$2237),E1125)</x:f>
        <x:v>86358</x:v>
      </x:c>
      <x:c r="AE1125" s="17" t="n">
        <x:f>2014-B1125</x:f>
        <x:v>48</x:v>
      </x:c>
      <x:c r="AF1125" s="17" t="n">
        <x:f>F1125+G1125</x:f>
        <x:v>2</x:v>
      </x:c>
      <x:c r="AG1125" s="21" t="n">
        <x:f>SUM(J1125:O1125)</x:f>
        <x:v>1722</x:v>
      </x:c>
      <x:c r="AH1125" s="17" t="n">
        <x:f>SUM(Q1125:S1125)</x:f>
        <x:v>14</x:v>
      </x:c>
      <x:c r="AI1125" s="17" t="n">
        <x:f>SUM(U1125:Y1125)</x:f>
        <x:v>0</x:v>
      </x:c>
      <x:c r="AJ1125" s="17" t="str">
        <x:f>IF(AE1125&lt;=34,"≤34",IF(AE1125&lt;=44,"35–44",IF(AE1125&lt;=54,"45–54",IF(AE1125&lt;=64,"55–64","65+"))))</x:f>
        <x:v>45–54</x:v>
      </x:c>
      <x:c r="AK1125" s="17" t="str">
        <x:f>IF(AG1125&gt;=1000,"High Value",IF(AG1125&gt;=300,"Mid Value","Low Value"))</x:f>
        <x:v>High Value</x:v>
      </x:c>
      <x:c r="AL1125" s="17" t="str">
        <x:f>IF(AND(AI1125&gt;=1,I1125&lt;=50),"Priority 1",IF(AND(AG1125&gt;=1000,I1125&lt;=60),"Priority 2",IF(I1125&lt;=30,"Priority 3","Nurture")))</x:f>
        <x:v>Nurture</x:v>
      </x:c>
    </x:row>
    <x:row r="1126">
      <x:c r="A1126" s="16" t="n">
        <x:v>1010</x:v>
      </x:c>
      <x:c r="B1126" s="16" t="n">
        <x:v>1977</x:v>
      </x:c>
      <x:c r="C1126" s="16" t="str">
        <x:v>Graduation</x:v>
      </x:c>
      <x:c r="D1126" s="16" t="str">
        <x:v>Together</x:v>
      </x:c>
      <x:c r="E1126" s="16" t="n">
        <x:v>46931</x:v>
      </x:c>
      <x:c r="F1126" s="16" t="n">
        <x:v>2</x:v>
      </x:c>
      <x:c r="G1126" s="16" t="n">
        <x:v>1</x:v>
      </x:c>
      <x:c r="H1126" s="16" t="str">
        <x:v>24-04-2014</x:v>
      </x:c>
      <x:c r="I1126" s="16" t="n">
        <x:v>94</x:v>
      </x:c>
      <x:c r="J1126" s="16" t="n">
        <x:v>41</x:v>
      </x:c>
      <x:c r="K1126" s="16" t="n">
        <x:v>0</x:v>
      </x:c>
      <x:c r="L1126" s="16" t="n">
        <x:v>17</x:v>
      </x:c>
      <x:c r="M1126" s="16" t="n">
        <x:v>3</x:v>
      </x:c>
      <x:c r="N1126" s="16" t="n">
        <x:v>1</x:v>
      </x:c>
      <x:c r="O1126" s="16" t="n">
        <x:v>16</x:v>
      </x:c>
      <x:c r="P1126" s="16" t="n">
        <x:v>2</x:v>
      </x:c>
      <x:c r="Q1126" s="16" t="n">
        <x:v>1</x:v>
      </x:c>
      <x:c r="R1126" s="16" t="n">
        <x:v>1</x:v>
      </x:c>
      <x:c r="S1126" s="16" t="n">
        <x:v>3</x:v>
      </x:c>
      <x:c r="T1126" s="16" t="n">
        <x:v>3</x:v>
      </x:c>
      <x:c r="U1126" s="16" t="n">
        <x:v>0</x:v>
      </x:c>
      <x:c r="V1126" s="16" t="n">
        <x:v>0</x:v>
      </x:c>
      <x:c r="W1126" s="16" t="n">
        <x:v>0</x:v>
      </x:c>
      <x:c r="X1126" s="16" t="n">
        <x:v>0</x:v>
      </x:c>
      <x:c r="Y1126" s="16" t="n">
        <x:v>0</x:v>
      </x:c>
      <x:c r="Z1126" s="16" t="n">
        <x:v>0</x:v>
      </x:c>
      <x:c r="AA1126" s="16" t="n">
        <x:v>3</x:v>
      </x:c>
      <x:c r="AB1126" s="16" t="n">
        <x:v>11</x:v>
      </x:c>
      <x:c r="AC1126" s="16" t="n">
        <x:v>0</x:v>
      </x:c>
      <x:c r="AD1126" s="21" t="n">
        <x:f>IF(E1126="",MEDIAN($E$2:$E$2237),E1126)</x:f>
        <x:v>46931</x:v>
      </x:c>
      <x:c r="AE1126" s="17" t="n">
        <x:f>2014-B1126</x:f>
        <x:v>37</x:v>
      </x:c>
      <x:c r="AF1126" s="17" t="n">
        <x:f>F1126+G1126</x:f>
        <x:v>3</x:v>
      </x:c>
      <x:c r="AG1126" s="21" t="n">
        <x:f>SUM(J1126:O1126)</x:f>
        <x:v>78</x:v>
      </x:c>
      <x:c r="AH1126" s="17" t="n">
        <x:f>SUM(Q1126:S1126)</x:f>
        <x:v>5</x:v>
      </x:c>
      <x:c r="AI1126" s="17" t="n">
        <x:f>SUM(U1126:Y1126)</x:f>
        <x:v>0</x:v>
      </x:c>
      <x:c r="AJ1126" s="17" t="str">
        <x:f>IF(AE1126&lt;=34,"≤34",IF(AE1126&lt;=44,"35–44",IF(AE1126&lt;=54,"45–54",IF(AE1126&lt;=64,"55–64","65+"))))</x:f>
        <x:v>35–44</x:v>
      </x:c>
      <x:c r="AK1126" s="17" t="str">
        <x:f>IF(AG1126&gt;=1000,"High Value",IF(AG1126&gt;=300,"Mid Value","Low Value"))</x:f>
        <x:v>Low Value</x:v>
      </x:c>
      <x:c r="AL1126" s="17" t="str">
        <x:f>IF(AND(AI1126&gt;=1,I1126&lt;=50),"Priority 1",IF(AND(AG1126&gt;=1000,I1126&lt;=60),"Priority 2",IF(I1126&lt;=30,"Priority 3","Nurture")))</x:f>
        <x:v>Nurture</x:v>
      </x:c>
    </x:row>
    <x:row r="1127">
      <x:c r="A1127" s="16" t="n">
        <x:v>8977</x:v>
      </x:c>
      <x:c r="B1127" s="16" t="n">
        <x:v>1985</x:v>
      </x:c>
      <x:c r="C1127" s="16" t="str">
        <x:v>Basic</x:v>
      </x:c>
      <x:c r="D1127" s="16" t="str">
        <x:v>Single</x:v>
      </x:c>
      <x:c r="E1127" s="16" t="n">
        <x:v>16581</x:v>
      </x:c>
      <x:c r="F1127" s="16" t="n">
        <x:v>0</x:v>
      </x:c>
      <x:c r="G1127" s="16" t="n">
        <x:v>0</x:v>
      </x:c>
      <x:c r="H1127" s="16" t="str">
        <x:v>12-01-2013</x:v>
      </x:c>
      <x:c r="I1127" s="16" t="n">
        <x:v>51</x:v>
      </x:c>
      <x:c r="J1127" s="16" t="n">
        <x:v>1</x:v>
      </x:c>
      <x:c r="K1127" s="16" t="n">
        <x:v>3</x:v>
      </x:c>
      <x:c r="L1127" s="16" t="n">
        <x:v>4</x:v>
      </x:c>
      <x:c r="M1127" s="16" t="n">
        <x:v>2</x:v>
      </x:c>
      <x:c r="N1127" s="16" t="n">
        <x:v>3</x:v>
      </x:c>
      <x:c r="O1127" s="16" t="n">
        <x:v>11</x:v>
      </x:c>
      <x:c r="P1127" s="16" t="n">
        <x:v>1</x:v>
      </x:c>
      <x:c r="Q1127" s="16" t="n">
        <x:v>0</x:v>
      </x:c>
      <x:c r="R1127" s="16" t="n">
        <x:v>0</x:v>
      </x:c>
      <x:c r="S1127" s="16" t="n">
        <x:v>3</x:v>
      </x:c>
      <x:c r="T1127" s="16" t="n">
        <x:v>4</x:v>
      </x:c>
      <x:c r="U1127" s="16" t="n">
        <x:v>0</x:v>
      </x:c>
      <x:c r="V1127" s="16" t="n">
        <x:v>0</x:v>
      </x:c>
      <x:c r="W1127" s="16" t="n">
        <x:v>0</x:v>
      </x:c>
      <x:c r="X1127" s="16" t="n">
        <x:v>0</x:v>
      </x:c>
      <x:c r="Y1127" s="16" t="n">
        <x:v>0</x:v>
      </x:c>
      <x:c r="Z1127" s="16" t="n">
        <x:v>0</x:v>
      </x:c>
      <x:c r="AA1127" s="16" t="n">
        <x:v>3</x:v>
      </x:c>
      <x:c r="AB1127" s="16" t="n">
        <x:v>11</x:v>
      </x:c>
      <x:c r="AC1127" s="16" t="n">
        <x:v>0</x:v>
      </x:c>
      <x:c r="AD1127" s="21" t="n">
        <x:f>IF(E1127="",MEDIAN($E$2:$E$2237),E1127)</x:f>
        <x:v>16581</x:v>
      </x:c>
      <x:c r="AE1127" s="17" t="n">
        <x:f>2014-B1127</x:f>
        <x:v>29</x:v>
      </x:c>
      <x:c r="AF1127" s="17" t="n">
        <x:f>F1127+G1127</x:f>
        <x:v>0</x:v>
      </x:c>
      <x:c r="AG1127" s="21" t="n">
        <x:f>SUM(J1127:O1127)</x:f>
        <x:v>24</x:v>
      </x:c>
      <x:c r="AH1127" s="17" t="n">
        <x:f>SUM(Q1127:S1127)</x:f>
        <x:v>3</x:v>
      </x:c>
      <x:c r="AI1127" s="17" t="n">
        <x:f>SUM(U1127:Y1127)</x:f>
        <x:v>0</x:v>
      </x:c>
      <x:c r="AJ1127" s="17" t="str">
        <x:f>IF(AE1127&lt;=34,"≤34",IF(AE1127&lt;=44,"35–44",IF(AE1127&lt;=54,"45–54",IF(AE1127&lt;=64,"55–64","65+"))))</x:f>
        <x:v>≤34</x:v>
      </x:c>
      <x:c r="AK1127" s="17" t="str">
        <x:f>IF(AG1127&gt;=1000,"High Value",IF(AG1127&gt;=300,"Mid Value","Low Value"))</x:f>
        <x:v>Low Value</x:v>
      </x:c>
      <x:c r="AL1127" s="17" t="str">
        <x:f>IF(AND(AI1127&gt;=1,I1127&lt;=50),"Priority 1",IF(AND(AG1127&gt;=1000,I1127&lt;=60),"Priority 2",IF(I1127&lt;=30,"Priority 3","Nurture")))</x:f>
        <x:v>Nurture</x:v>
      </x:c>
    </x:row>
    <x:row r="1128">
      <x:c r="A1128" s="16" t="n">
        <x:v>4756</x:v>
      </x:c>
      <x:c r="B1128" s="16" t="n">
        <x:v>1952</x:v>
      </x:c>
      <x:c r="C1128" s="16" t="str">
        <x:v>2n Cycle</x:v>
      </x:c>
      <x:c r="D1128" s="16" t="str">
        <x:v>Divorced</x:v>
      </x:c>
      <x:c r="E1128" s="16" t="n">
        <x:v>63998</x:v>
      </x:c>
      <x:c r="F1128" s="16" t="n">
        <x:v>0</x:v>
      </x:c>
      <x:c r="G1128" s="16" t="n">
        <x:v>0</x:v>
      </x:c>
      <x:c r="H1128" s="16" t="str">
        <x:v>20-12-2013</x:v>
      </x:c>
      <x:c r="I1128" s="16" t="n">
        <x:v>42</x:v>
      </x:c>
      <x:c r="J1128" s="16" t="n">
        <x:v>176</x:v>
      </x:c>
      <x:c r="K1128" s="16" t="n">
        <x:v>29</x:v>
      </x:c>
      <x:c r="L1128" s="16" t="n">
        <x:v>818</x:v>
      </x:c>
      <x:c r="M1128" s="16" t="n">
        <x:v>0</x:v>
      </x:c>
      <x:c r="N1128" s="16" t="n">
        <x:v>33</x:v>
      </x:c>
      <x:c r="O1128" s="16" t="n">
        <x:v>112</x:v>
      </x:c>
      <x:c r="P1128" s="16" t="n">
        <x:v>1</x:v>
      </x:c>
      <x:c r="Q1128" s="16" t="n">
        <x:v>7</x:v>
      </x:c>
      <x:c r="R1128" s="16" t="n">
        <x:v>6</x:v>
      </x:c>
      <x:c r="S1128" s="16" t="n">
        <x:v>11</x:v>
      </x:c>
      <x:c r="T1128" s="16" t="n">
        <x:v>4</x:v>
      </x:c>
      <x:c r="U1128" s="16" t="n">
        <x:v>0</x:v>
      </x:c>
      <x:c r="V1128" s="16" t="n">
        <x:v>0</x:v>
      </x:c>
      <x:c r="W1128" s="16" t="n">
        <x:v>0</x:v>
      </x:c>
      <x:c r="X1128" s="16" t="n">
        <x:v>0</x:v>
      </x:c>
      <x:c r="Y1128" s="16" t="n">
        <x:v>0</x:v>
      </x:c>
      <x:c r="Z1128" s="16" t="n">
        <x:v>0</x:v>
      </x:c>
      <x:c r="AA1128" s="16" t="n">
        <x:v>3</x:v>
      </x:c>
      <x:c r="AB1128" s="16" t="n">
        <x:v>11</x:v>
      </x:c>
      <x:c r="AC1128" s="16" t="n">
        <x:v>1</x:v>
      </x:c>
      <x:c r="AD1128" s="21" t="n">
        <x:f>IF(E1128="",MEDIAN($E$2:$E$2237),E1128)</x:f>
        <x:v>63998</x:v>
      </x:c>
      <x:c r="AE1128" s="17" t="n">
        <x:f>2014-B1128</x:f>
        <x:v>62</x:v>
      </x:c>
      <x:c r="AF1128" s="17" t="n">
        <x:f>F1128+G1128</x:f>
        <x:v>0</x:v>
      </x:c>
      <x:c r="AG1128" s="21" t="n">
        <x:f>SUM(J1128:O1128)</x:f>
        <x:v>1168</x:v>
      </x:c>
      <x:c r="AH1128" s="17" t="n">
        <x:f>SUM(Q1128:S1128)</x:f>
        <x:v>24</x:v>
      </x:c>
      <x:c r="AI1128" s="17" t="n">
        <x:f>SUM(U1128:Y1128)</x:f>
        <x:v>0</x:v>
      </x:c>
      <x:c r="AJ1128" s="17" t="str">
        <x:f>IF(AE1128&lt;=34,"≤34",IF(AE1128&lt;=44,"35–44",IF(AE1128&lt;=54,"45–54",IF(AE1128&lt;=64,"55–64","65+"))))</x:f>
        <x:v>55–64</x:v>
      </x:c>
      <x:c r="AK1128" s="17" t="str">
        <x:f>IF(AG1128&gt;=1000,"High Value",IF(AG1128&gt;=300,"Mid Value","Low Value"))</x:f>
        <x:v>High Value</x:v>
      </x:c>
      <x:c r="AL1128" s="17" t="str">
        <x:f>IF(AND(AI1128&gt;=1,I1128&lt;=50),"Priority 1",IF(AND(AG1128&gt;=1000,I1128&lt;=60),"Priority 2",IF(I1128&lt;=30,"Priority 3","Nurture")))</x:f>
        <x:v>Priority 2</x:v>
      </x:c>
    </x:row>
    <x:row r="1129">
      <x:c r="A1129" s="16" t="n">
        <x:v>3412</x:v>
      </x:c>
      <x:c r="B1129" s="16" t="n">
        <x:v>1951</x:v>
      </x:c>
      <x:c r="C1129" s="16" t="str">
        <x:v>Master</x:v>
      </x:c>
      <x:c r="D1129" s="16" t="str">
        <x:v>Married</x:v>
      </x:c>
      <x:c r="E1129" s="16" t="n">
        <x:v>67381</x:v>
      </x:c>
      <x:c r="F1129" s="16" t="n">
        <x:v>0</x:v>
      </x:c>
      <x:c r="G1129" s="16" t="n">
        <x:v>1</x:v>
      </x:c>
      <x:c r="H1129" s="16" t="str">
        <x:v>15-01-2013</x:v>
      </x:c>
      <x:c r="I1129" s="16" t="n">
        <x:v>67</x:v>
      </x:c>
      <x:c r="J1129" s="16" t="n">
        <x:v>815</x:v>
      </x:c>
      <x:c r="K1129" s="16" t="n">
        <x:v>8</x:v>
      </x:c>
      <x:c r="L1129" s="16" t="n">
        <x:v>53</x:v>
      </x:c>
      <x:c r="M1129" s="16" t="n">
        <x:v>11</x:v>
      </x:c>
      <x:c r="N1129" s="16" t="n">
        <x:v>0</x:v>
      </x:c>
      <x:c r="O1129" s="16" t="n">
        <x:v>70</x:v>
      </x:c>
      <x:c r="P1129" s="16" t="n">
        <x:v>4</x:v>
      </x:c>
      <x:c r="Q1129" s="16" t="n">
        <x:v>2</x:v>
      </x:c>
      <x:c r="R1129" s="16" t="n">
        <x:v>2</x:v>
      </x:c>
      <x:c r="S1129" s="16" t="n">
        <x:v>9</x:v>
      </x:c>
      <x:c r="T1129" s="16" t="n">
        <x:v>7</x:v>
      </x:c>
      <x:c r="U1129" s="16" t="n">
        <x:v>0</x:v>
      </x:c>
      <x:c r="V1129" s="16" t="n">
        <x:v>1</x:v>
      </x:c>
      <x:c r="W1129" s="16" t="n">
        <x:v>0</x:v>
      </x:c>
      <x:c r="X1129" s="16" t="n">
        <x:v>0</x:v>
      </x:c>
      <x:c r="Y1129" s="16" t="n">
        <x:v>0</x:v>
      </x:c>
      <x:c r="Z1129" s="16" t="n">
        <x:v>0</x:v>
      </x:c>
      <x:c r="AA1129" s="16" t="n">
        <x:v>3</x:v>
      </x:c>
      <x:c r="AB1129" s="16" t="n">
        <x:v>11</x:v>
      </x:c>
      <x:c r="AC1129" s="16" t="n">
        <x:v>0</x:v>
      </x:c>
      <x:c r="AD1129" s="21" t="n">
        <x:f>IF(E1129="",MEDIAN($E$2:$E$2237),E1129)</x:f>
        <x:v>67381</x:v>
      </x:c>
      <x:c r="AE1129" s="17" t="n">
        <x:f>2014-B1129</x:f>
        <x:v>63</x:v>
      </x:c>
      <x:c r="AF1129" s="17" t="n">
        <x:f>F1129+G1129</x:f>
        <x:v>1</x:v>
      </x:c>
      <x:c r="AG1129" s="21" t="n">
        <x:f>SUM(J1129:O1129)</x:f>
        <x:v>957</x:v>
      </x:c>
      <x:c r="AH1129" s="17" t="n">
        <x:f>SUM(Q1129:S1129)</x:f>
        <x:v>13</x:v>
      </x:c>
      <x:c r="AI1129" s="17" t="n">
        <x:f>SUM(U1129:Y1129)</x:f>
        <x:v>1</x:v>
      </x:c>
      <x:c r="AJ1129" s="17" t="str">
        <x:f>IF(AE1129&lt;=34,"≤34",IF(AE1129&lt;=44,"35–44",IF(AE1129&lt;=54,"45–54",IF(AE1129&lt;=64,"55–64","65+"))))</x:f>
        <x:v>55–64</x:v>
      </x:c>
      <x:c r="AK1129" s="17" t="str">
        <x:f>IF(AG1129&gt;=1000,"High Value",IF(AG1129&gt;=300,"Mid Value","Low Value"))</x:f>
        <x:v>Mid Value</x:v>
      </x:c>
      <x:c r="AL1129" s="17" t="str">
        <x:f>IF(AND(AI1129&gt;=1,I1129&lt;=50),"Priority 1",IF(AND(AG1129&gt;=1000,I1129&lt;=60),"Priority 2",IF(I1129&lt;=30,"Priority 3","Nurture")))</x:f>
        <x:v>Nurture</x:v>
      </x:c>
    </x:row>
    <x:row r="1130">
      <x:c r="A1130" s="16" t="n">
        <x:v>606</x:v>
      </x:c>
      <x:c r="B1130" s="16" t="n">
        <x:v>1967</x:v>
      </x:c>
      <x:c r="C1130" s="16" t="str">
        <x:v>Graduation</x:v>
      </x:c>
      <x:c r="D1130" s="16" t="str">
        <x:v>Single</x:v>
      </x:c>
      <x:c r="E1130" s="16" t="n">
        <x:v>25930</x:v>
      </x:c>
      <x:c r="F1130" s="16" t="n">
        <x:v>1</x:v>
      </x:c>
      <x:c r="G1130" s="16" t="n">
        <x:v>1</x:v>
      </x:c>
      <x:c r="H1130" s="16" t="str">
        <x:v>10-10-2013</x:v>
      </x:c>
      <x:c r="I1130" s="16" t="n">
        <x:v>87</x:v>
      </x:c>
      <x:c r="J1130" s="16" t="n">
        <x:v>6</x:v>
      </x:c>
      <x:c r="K1130" s="16" t="n">
        <x:v>1</x:v>
      </x:c>
      <x:c r="L1130" s="16" t="n">
        <x:v>2</x:v>
      </x:c>
      <x:c r="M1130" s="16" t="n">
        <x:v>2</x:v>
      </x:c>
      <x:c r="N1130" s="16" t="n">
        <x:v>0</x:v>
      </x:c>
      <x:c r="O1130" s="16" t="n">
        <x:v>4</x:v>
      </x:c>
      <x:c r="P1130" s="16" t="n">
        <x:v>1</x:v>
      </x:c>
      <x:c r="Q1130" s="16" t="n">
        <x:v>1</x:v>
      </x:c>
      <x:c r="R1130" s="16" t="n">
        <x:v>0</x:v>
      </x:c>
      <x:c r="S1130" s="16" t="n">
        <x:v>2</x:v>
      </x:c>
      <x:c r="T1130" s="16" t="n">
        <x:v>7</x:v>
      </x:c>
      <x:c r="U1130" s="16" t="n">
        <x:v>0</x:v>
      </x:c>
      <x:c r="V1130" s="16" t="n">
        <x:v>0</x:v>
      </x:c>
      <x:c r="W1130" s="16" t="n">
        <x:v>0</x:v>
      </x:c>
      <x:c r="X1130" s="16" t="n">
        <x:v>0</x:v>
      </x:c>
      <x:c r="Y1130" s="16" t="n">
        <x:v>0</x:v>
      </x:c>
      <x:c r="Z1130" s="16" t="n">
        <x:v>0</x:v>
      </x:c>
      <x:c r="AA1130" s="16" t="n">
        <x:v>3</x:v>
      </x:c>
      <x:c r="AB1130" s="16" t="n">
        <x:v>11</x:v>
      </x:c>
      <x:c r="AC1130" s="16" t="n">
        <x:v>0</x:v>
      </x:c>
      <x:c r="AD1130" s="21" t="n">
        <x:f>IF(E1130="",MEDIAN($E$2:$E$2237),E1130)</x:f>
        <x:v>25930</x:v>
      </x:c>
      <x:c r="AE1130" s="17" t="n">
        <x:f>2014-B1130</x:f>
        <x:v>47</x:v>
      </x:c>
      <x:c r="AF1130" s="17" t="n">
        <x:f>F1130+G1130</x:f>
        <x:v>2</x:v>
      </x:c>
      <x:c r="AG1130" s="21" t="n">
        <x:f>SUM(J1130:O1130)</x:f>
        <x:v>15</x:v>
      </x:c>
      <x:c r="AH1130" s="17" t="n">
        <x:f>SUM(Q1130:S1130)</x:f>
        <x:v>3</x:v>
      </x:c>
      <x:c r="AI1130" s="17" t="n">
        <x:f>SUM(U1130:Y1130)</x:f>
        <x:v>0</x:v>
      </x:c>
      <x:c r="AJ1130" s="17" t="str">
        <x:f>IF(AE1130&lt;=34,"≤34",IF(AE1130&lt;=44,"35–44",IF(AE1130&lt;=54,"45–54",IF(AE1130&lt;=64,"55–64","65+"))))</x:f>
        <x:v>45–54</x:v>
      </x:c>
      <x:c r="AK1130" s="17" t="str">
        <x:f>IF(AG1130&gt;=1000,"High Value",IF(AG1130&gt;=300,"Mid Value","Low Value"))</x:f>
        <x:v>Low Value</x:v>
      </x:c>
      <x:c r="AL1130" s="17" t="str">
        <x:f>IF(AND(AI1130&gt;=1,I1130&lt;=50),"Priority 1",IF(AND(AG1130&gt;=1000,I1130&lt;=60),"Priority 2",IF(I1130&lt;=30,"Priority 3","Nurture")))</x:f>
        <x:v>Nurture</x:v>
      </x:c>
    </x:row>
    <x:row r="1131">
      <x:c r="A1131" s="16" t="n">
        <x:v>5961</x:v>
      </x:c>
      <x:c r="B1131" s="16" t="n">
        <x:v>1978</x:v>
      </x:c>
      <x:c r="C1131" s="16" t="str">
        <x:v>Graduation</x:v>
      </x:c>
      <x:c r="D1131" s="16" t="str">
        <x:v>Married</x:v>
      </x:c>
      <x:c r="E1131" s="16" t="n">
        <x:v>42693</x:v>
      </x:c>
      <x:c r="F1131" s="16" t="n">
        <x:v>1</x:v>
      </x:c>
      <x:c r="G1131" s="16" t="n">
        <x:v>0</x:v>
      </x:c>
      <x:c r="H1131" s="16" t="str">
        <x:v>07-06-2014</x:v>
      </x:c>
      <x:c r="I1131" s="16" t="n">
        <x:v>29</x:v>
      </x:c>
      <x:c r="J1131" s="16" t="n">
        <x:v>8</x:v>
      </x:c>
      <x:c r="K1131" s="16" t="n">
        <x:v>4</x:v>
      </x:c>
      <x:c r="L1131" s="16" t="n">
        <x:v>20</x:v>
      </x:c>
      <x:c r="M1131" s="16" t="n">
        <x:v>6</x:v>
      </x:c>
      <x:c r="N1131" s="16" t="n">
        <x:v>3</x:v>
      </x:c>
      <x:c r="O1131" s="16" t="n">
        <x:v>16</x:v>
      </x:c>
      <x:c r="P1131" s="16" t="n">
        <x:v>1</x:v>
      </x:c>
      <x:c r="Q1131" s="16" t="n">
        <x:v>1</x:v>
      </x:c>
      <x:c r="R1131" s="16" t="n">
        <x:v>0</x:v>
      </x:c>
      <x:c r="S1131" s="16" t="n">
        <x:v>3</x:v>
      </x:c>
      <x:c r="T1131" s="16" t="n">
        <x:v>5</x:v>
      </x:c>
      <x:c r="U1131" s="16" t="n">
        <x:v>0</x:v>
      </x:c>
      <x:c r="V1131" s="16" t="n">
        <x:v>0</x:v>
      </x:c>
      <x:c r="W1131" s="16" t="n">
        <x:v>0</x:v>
      </x:c>
      <x:c r="X1131" s="16" t="n">
        <x:v>0</x:v>
      </x:c>
      <x:c r="Y1131" s="16" t="n">
        <x:v>0</x:v>
      </x:c>
      <x:c r="Z1131" s="16" t="n">
        <x:v>0</x:v>
      </x:c>
      <x:c r="AA1131" s="16" t="n">
        <x:v>3</x:v>
      </x:c>
      <x:c r="AB1131" s="16" t="n">
        <x:v>11</x:v>
      </x:c>
      <x:c r="AC1131" s="16" t="n">
        <x:v>0</x:v>
      </x:c>
      <x:c r="AD1131" s="21" t="n">
        <x:f>IF(E1131="",MEDIAN($E$2:$E$2237),E1131)</x:f>
        <x:v>42693</x:v>
      </x:c>
      <x:c r="AE1131" s="17" t="n">
        <x:f>2014-B1131</x:f>
        <x:v>36</x:v>
      </x:c>
      <x:c r="AF1131" s="17" t="n">
        <x:f>F1131+G1131</x:f>
        <x:v>1</x:v>
      </x:c>
      <x:c r="AG1131" s="21" t="n">
        <x:f>SUM(J1131:O1131)</x:f>
        <x:v>57</x:v>
      </x:c>
      <x:c r="AH1131" s="17" t="n">
        <x:f>SUM(Q1131:S1131)</x:f>
        <x:v>4</x:v>
      </x:c>
      <x:c r="AI1131" s="17" t="n">
        <x:f>SUM(U1131:Y1131)</x:f>
        <x:v>0</x:v>
      </x:c>
      <x:c r="AJ1131" s="17" t="str">
        <x:f>IF(AE1131&lt;=34,"≤34",IF(AE1131&lt;=44,"35–44",IF(AE1131&lt;=54,"45–54",IF(AE1131&lt;=64,"55–64","65+"))))</x:f>
        <x:v>35–44</x:v>
      </x:c>
      <x:c r="AK1131" s="17" t="str">
        <x:f>IF(AG1131&gt;=1000,"High Value",IF(AG1131&gt;=300,"Mid Value","Low Value"))</x:f>
        <x:v>Low Value</x:v>
      </x:c>
      <x:c r="AL1131" s="17" t="str">
        <x:f>IF(AND(AI1131&gt;=1,I1131&lt;=50),"Priority 1",IF(AND(AG1131&gt;=1000,I1131&lt;=60),"Priority 2",IF(I1131&lt;=30,"Priority 3","Nurture")))</x:f>
        <x:v>Priority 3</x:v>
      </x:c>
    </x:row>
    <x:row r="1132">
      <x:c r="A1132" s="16" t="n">
        <x:v>2975</x:v>
      </x:c>
      <x:c r="B1132" s="16" t="n">
        <x:v>1976</x:v>
      </x:c>
      <x:c r="C1132" s="16" t="str">
        <x:v>Graduation</x:v>
      </x:c>
      <x:c r="D1132" s="16" t="str">
        <x:v>Together</x:v>
      </x:c>
      <x:c r="E1132" s="16" t="n">
        <x:v>85606</x:v>
      </x:c>
      <x:c r="F1132" s="16" t="n">
        <x:v>0</x:v>
      </x:c>
      <x:c r="G1132" s="16" t="n">
        <x:v>1</x:v>
      </x:c>
      <x:c r="H1132" s="16" t="str">
        <x:v>12-11-2012</x:v>
      </x:c>
      <x:c r="I1132" s="16" t="n">
        <x:v>89</x:v>
      </x:c>
      <x:c r="J1132" s="16" t="n">
        <x:v>717</x:v>
      </x:c>
      <x:c r="K1132" s="16" t="n">
        <x:v>42</x:v>
      </x:c>
      <x:c r="L1132" s="16" t="n">
        <x:v>864</x:v>
      </x:c>
      <x:c r="M1132" s="16" t="n">
        <x:v>219</x:v>
      </x:c>
      <x:c r="N1132" s="16" t="n">
        <x:v>30</x:v>
      </x:c>
      <x:c r="O1132" s="16" t="n">
        <x:v>84</x:v>
      </x:c>
      <x:c r="P1132" s="16" t="n">
        <x:v>2</x:v>
      </x:c>
      <x:c r="Q1132" s="16" t="n">
        <x:v>6</x:v>
      </x:c>
      <x:c r="R1132" s="16" t="n">
        <x:v>7</x:v>
      </x:c>
      <x:c r="S1132" s="16" t="n">
        <x:v>9</x:v>
      </x:c>
      <x:c r="T1132" s="16" t="n">
        <x:v>3</x:v>
      </x:c>
      <x:c r="U1132" s="16" t="n">
        <x:v>0</x:v>
      </x:c>
      <x:c r="V1132" s="16" t="n">
        <x:v>0</x:v>
      </x:c>
      <x:c r="W1132" s="16" t="n">
        <x:v>0</x:v>
      </x:c>
      <x:c r="X1132" s="16" t="n">
        <x:v>1</x:v>
      </x:c>
      <x:c r="Y1132" s="16" t="n">
        <x:v>0</x:v>
      </x:c>
      <x:c r="Z1132" s="16" t="n">
        <x:v>0</x:v>
      </x:c>
      <x:c r="AA1132" s="16" t="n">
        <x:v>3</x:v>
      </x:c>
      <x:c r="AB1132" s="16" t="n">
        <x:v>11</x:v>
      </x:c>
      <x:c r="AC1132" s="16" t="n">
        <x:v>0</x:v>
      </x:c>
      <x:c r="AD1132" s="21" t="n">
        <x:f>IF(E1132="",MEDIAN($E$2:$E$2237),E1132)</x:f>
        <x:v>85606</x:v>
      </x:c>
      <x:c r="AE1132" s="17" t="n">
        <x:f>2014-B1132</x:f>
        <x:v>38</x:v>
      </x:c>
      <x:c r="AF1132" s="17" t="n">
        <x:f>F1132+G1132</x:f>
        <x:v>1</x:v>
      </x:c>
      <x:c r="AG1132" s="21" t="n">
        <x:f>SUM(J1132:O1132)</x:f>
        <x:v>1956</x:v>
      </x:c>
      <x:c r="AH1132" s="17" t="n">
        <x:f>SUM(Q1132:S1132)</x:f>
        <x:v>22</x:v>
      </x:c>
      <x:c r="AI1132" s="17" t="n">
        <x:f>SUM(U1132:Y1132)</x:f>
        <x:v>1</x:v>
      </x:c>
      <x:c r="AJ1132" s="17" t="str">
        <x:f>IF(AE1132&lt;=34,"≤34",IF(AE1132&lt;=44,"35–44",IF(AE1132&lt;=54,"45–54",IF(AE1132&lt;=64,"55–64","65+"))))</x:f>
        <x:v>35–44</x:v>
      </x:c>
      <x:c r="AK1132" s="17" t="str">
        <x:f>IF(AG1132&gt;=1000,"High Value",IF(AG1132&gt;=300,"Mid Value","Low Value"))</x:f>
        <x:v>High Value</x:v>
      </x:c>
      <x:c r="AL1132" s="17" t="str">
        <x:f>IF(AND(AI1132&gt;=1,I1132&lt;=50),"Priority 1",IF(AND(AG1132&gt;=1000,I1132&lt;=60),"Priority 2",IF(I1132&lt;=30,"Priority 3","Nurture")))</x:f>
        <x:v>Nurture</x:v>
      </x:c>
    </x:row>
    <x:row r="1133">
      <x:c r="A1133" s="16" t="n">
        <x:v>2894</x:v>
      </x:c>
      <x:c r="B1133" s="16" t="n">
        <x:v>1985</x:v>
      </x:c>
      <x:c r="C1133" s="16" t="str">
        <x:v>Graduation</x:v>
      </x:c>
      <x:c r="D1133" s="16" t="str">
        <x:v>Single</x:v>
      </x:c>
      <x:c r="E1133" s="16" t="n">
        <x:v>72903</x:v>
      </x:c>
      <x:c r="F1133" s="16" t="n">
        <x:v>0</x:v>
      </x:c>
      <x:c r="G1133" s="16" t="n">
        <x:v>0</x:v>
      </x:c>
      <x:c r="H1133" s="16" t="str">
        <x:v>29-10-2013</x:v>
      </x:c>
      <x:c r="I1133" s="16" t="n">
        <x:v>74</x:v>
      </x:c>
      <x:c r="J1133" s="16" t="n">
        <x:v>1067</x:v>
      </x:c>
      <x:c r="K1133" s="16" t="n">
        <x:v>138</x:v>
      </x:c>
      <x:c r="L1133" s="16" t="n">
        <x:v>750</x:v>
      </x:c>
      <x:c r="M1133" s="16" t="n">
        <x:v>0</x:v>
      </x:c>
      <x:c r="N1133" s="16" t="n">
        <x:v>19</x:v>
      </x:c>
      <x:c r="O1133" s="16" t="n">
        <x:v>39</x:v>
      </x:c>
      <x:c r="P1133" s="16" t="n">
        <x:v>1</x:v>
      </x:c>
      <x:c r="Q1133" s="16" t="n">
        <x:v>7</x:v>
      </x:c>
      <x:c r="R1133" s="16" t="n">
        <x:v>5</x:v>
      </x:c>
      <x:c r="S1133" s="16" t="n">
        <x:v>8</x:v>
      </x:c>
      <x:c r="T1133" s="16" t="n">
        <x:v>4</x:v>
      </x:c>
      <x:c r="U1133" s="16" t="n">
        <x:v>0</x:v>
      </x:c>
      <x:c r="V1133" s="16" t="n">
        <x:v>1</x:v>
      </x:c>
      <x:c r="W1133" s="16" t="n">
        <x:v>1</x:v>
      </x:c>
      <x:c r="X1133" s="16" t="n">
        <x:v>1</x:v>
      </x:c>
      <x:c r="Y1133" s="16" t="n">
        <x:v>0</x:v>
      </x:c>
      <x:c r="Z1133" s="16" t="n">
        <x:v>0</x:v>
      </x:c>
      <x:c r="AA1133" s="16" t="n">
        <x:v>3</x:v>
      </x:c>
      <x:c r="AB1133" s="16" t="n">
        <x:v>11</x:v>
      </x:c>
      <x:c r="AC1133" s="16" t="n">
        <x:v>1</x:v>
      </x:c>
      <x:c r="AD1133" s="21" t="n">
        <x:f>IF(E1133="",MEDIAN($E$2:$E$2237),E1133)</x:f>
        <x:v>72903</x:v>
      </x:c>
      <x:c r="AE1133" s="17" t="n">
        <x:f>2014-B1133</x:f>
        <x:v>29</x:v>
      </x:c>
      <x:c r="AF1133" s="17" t="n">
        <x:f>F1133+G1133</x:f>
        <x:v>0</x:v>
      </x:c>
      <x:c r="AG1133" s="21" t="n">
        <x:f>SUM(J1133:O1133)</x:f>
        <x:v>2013</x:v>
      </x:c>
      <x:c r="AH1133" s="17" t="n">
        <x:f>SUM(Q1133:S1133)</x:f>
        <x:v>20</x:v>
      </x:c>
      <x:c r="AI1133" s="17" t="n">
        <x:f>SUM(U1133:Y1133)</x:f>
        <x:v>3</x:v>
      </x:c>
      <x:c r="AJ1133" s="17" t="str">
        <x:f>IF(AE1133&lt;=34,"≤34",IF(AE1133&lt;=44,"35–44",IF(AE1133&lt;=54,"45–54",IF(AE1133&lt;=64,"55–64","65+"))))</x:f>
        <x:v>≤34</x:v>
      </x:c>
      <x:c r="AK1133" s="17" t="str">
        <x:f>IF(AG1133&gt;=1000,"High Value",IF(AG1133&gt;=300,"Mid Value","Low Value"))</x:f>
        <x:v>High Value</x:v>
      </x:c>
      <x:c r="AL1133" s="17" t="str">
        <x:f>IF(AND(AI1133&gt;=1,I1133&lt;=50),"Priority 1",IF(AND(AG1133&gt;=1000,I1133&lt;=60),"Priority 2",IF(I1133&lt;=30,"Priority 3","Nurture")))</x:f>
        <x:v>Nurture</x:v>
      </x:c>
    </x:row>
    <x:row r="1134">
      <x:c r="A1134" s="16" t="n">
        <x:v>7613</x:v>
      </x:c>
      <x:c r="B1134" s="16" t="n">
        <x:v>1974</x:v>
      </x:c>
      <x:c r="C1134" s="16" t="str">
        <x:v>2n Cycle</x:v>
      </x:c>
      <x:c r="D1134" s="16" t="str">
        <x:v>Together</x:v>
      </x:c>
      <x:c r="E1134" s="16" t="n">
        <x:v>49669</x:v>
      </x:c>
      <x:c r="F1134" s="16" t="n">
        <x:v>1</x:v>
      </x:c>
      <x:c r="G1134" s="16" t="n">
        <x:v>0</x:v>
      </x:c>
      <x:c r="H1134" s="16" t="str">
        <x:v>24-05-2014</x:v>
      </x:c>
      <x:c r="I1134" s="16" t="n">
        <x:v>97</x:v>
      </x:c>
      <x:c r="J1134" s="16" t="n">
        <x:v>166</x:v>
      </x:c>
      <x:c r="K1134" s="16" t="n">
        <x:v>5</x:v>
      </x:c>
      <x:c r="L1134" s="16" t="n">
        <x:v>107</x:v>
      </x:c>
      <x:c r="M1134" s="16" t="n">
        <x:v>11</x:v>
      </x:c>
      <x:c r="N1134" s="16" t="n">
        <x:v>8</x:v>
      </x:c>
      <x:c r="O1134" s="16" t="n">
        <x:v>29</x:v>
      </x:c>
      <x:c r="P1134" s="16" t="n">
        <x:v>2</x:v>
      </x:c>
      <x:c r="Q1134" s="16" t="n">
        <x:v>5</x:v>
      </x:c>
      <x:c r="R1134" s="16" t="n">
        <x:v>1</x:v>
      </x:c>
      <x:c r="S1134" s="16" t="n">
        <x:v>6</x:v>
      </x:c>
      <x:c r="T1134" s="16" t="n">
        <x:v>6</x:v>
      </x:c>
      <x:c r="U1134" s="16" t="n">
        <x:v>0</x:v>
      </x:c>
      <x:c r="V1134" s="16" t="n">
        <x:v>0</x:v>
      </x:c>
      <x:c r="W1134" s="16" t="n">
        <x:v>0</x:v>
      </x:c>
      <x:c r="X1134" s="16" t="n">
        <x:v>0</x:v>
      </x:c>
      <x:c r="Y1134" s="16" t="n">
        <x:v>0</x:v>
      </x:c>
      <x:c r="Z1134" s="16" t="n">
        <x:v>0</x:v>
      </x:c>
      <x:c r="AA1134" s="16" t="n">
        <x:v>3</x:v>
      </x:c>
      <x:c r="AB1134" s="16" t="n">
        <x:v>11</x:v>
      </x:c>
      <x:c r="AC1134" s="16" t="n">
        <x:v>0</x:v>
      </x:c>
      <x:c r="AD1134" s="21" t="n">
        <x:f>IF(E1134="",MEDIAN($E$2:$E$2237),E1134)</x:f>
        <x:v>49669</x:v>
      </x:c>
      <x:c r="AE1134" s="17" t="n">
        <x:f>2014-B1134</x:f>
        <x:v>40</x:v>
      </x:c>
      <x:c r="AF1134" s="17" t="n">
        <x:f>F1134+G1134</x:f>
        <x:v>1</x:v>
      </x:c>
      <x:c r="AG1134" s="21" t="n">
        <x:f>SUM(J1134:O1134)</x:f>
        <x:v>326</x:v>
      </x:c>
      <x:c r="AH1134" s="17" t="n">
        <x:f>SUM(Q1134:S1134)</x:f>
        <x:v>12</x:v>
      </x:c>
      <x:c r="AI1134" s="17" t="n">
        <x:f>SUM(U1134:Y1134)</x:f>
        <x:v>0</x:v>
      </x:c>
      <x:c r="AJ1134" s="17" t="str">
        <x:f>IF(AE1134&lt;=34,"≤34",IF(AE1134&lt;=44,"35–44",IF(AE1134&lt;=54,"45–54",IF(AE1134&lt;=64,"55–64","65+"))))</x:f>
        <x:v>35–44</x:v>
      </x:c>
      <x:c r="AK1134" s="17" t="str">
        <x:f>IF(AG1134&gt;=1000,"High Value",IF(AG1134&gt;=300,"Mid Value","Low Value"))</x:f>
        <x:v>Mid Value</x:v>
      </x:c>
      <x:c r="AL1134" s="17" t="str">
        <x:f>IF(AND(AI1134&gt;=1,I1134&lt;=50),"Priority 1",IF(AND(AG1134&gt;=1000,I1134&lt;=60),"Priority 2",IF(I1134&lt;=30,"Priority 3","Nurture")))</x:f>
        <x:v>Nurture</x:v>
      </x:c>
    </x:row>
    <x:row r="1135">
      <x:c r="A1135" s="16" t="n">
        <x:v>10542</x:v>
      </x:c>
      <x:c r="B1135" s="16" t="n">
        <x:v>1968</x:v>
      </x:c>
      <x:c r="C1135" s="16" t="str">
        <x:v>PhD</x:v>
      </x:c>
      <x:c r="D1135" s="16" t="str">
        <x:v>Married</x:v>
      </x:c>
      <x:c r="E1135" s="16" t="n">
        <x:v>36778</x:v>
      </x:c>
      <x:c r="F1135" s="16" t="n">
        <x:v>1</x:v>
      </x:c>
      <x:c r="G1135" s="16" t="n">
        <x:v>1</x:v>
      </x:c>
      <x:c r="H1135" s="16" t="str">
        <x:v>05-08-2012</x:v>
      </x:c>
      <x:c r="I1135" s="16" t="n">
        <x:v>63</x:v>
      </x:c>
      <x:c r="J1135" s="16" t="n">
        <x:v>29</x:v>
      </x:c>
      <x:c r="K1135" s="16" t="n">
        <x:v>4</x:v>
      </x:c>
      <x:c r="L1135" s="16" t="n">
        <x:v>34</x:v>
      </x:c>
      <x:c r="M1135" s="16" t="n">
        <x:v>2</x:v>
      </x:c>
      <x:c r="N1135" s="16" t="n">
        <x:v>4</x:v>
      </x:c>
      <x:c r="O1135" s="16" t="n">
        <x:v>4</x:v>
      </x:c>
      <x:c r="P1135" s="16" t="n">
        <x:v>3</x:v>
      </x:c>
      <x:c r="Q1135" s="16" t="n">
        <x:v>3</x:v>
      </x:c>
      <x:c r="R1135" s="16" t="n">
        <x:v>0</x:v>
      </x:c>
      <x:c r="S1135" s="16" t="n">
        <x:v>3</x:v>
      </x:c>
      <x:c r="T1135" s="16" t="n">
        <x:v>9</x:v>
      </x:c>
      <x:c r="U1135" s="16" t="n">
        <x:v>0</x:v>
      </x:c>
      <x:c r="V1135" s="16" t="n">
        <x:v>0</x:v>
      </x:c>
      <x:c r="W1135" s="16" t="n">
        <x:v>0</x:v>
      </x:c>
      <x:c r="X1135" s="16" t="n">
        <x:v>0</x:v>
      </x:c>
      <x:c r="Y1135" s="16" t="n">
        <x:v>0</x:v>
      </x:c>
      <x:c r="Z1135" s="16" t="n">
        <x:v>0</x:v>
      </x:c>
      <x:c r="AA1135" s="16" t="n">
        <x:v>3</x:v>
      </x:c>
      <x:c r="AB1135" s="16" t="n">
        <x:v>11</x:v>
      </x:c>
      <x:c r="AC1135" s="16" t="n">
        <x:v>0</x:v>
      </x:c>
      <x:c r="AD1135" s="21" t="n">
        <x:f>IF(E1135="",MEDIAN($E$2:$E$2237),E1135)</x:f>
        <x:v>36778</x:v>
      </x:c>
      <x:c r="AE1135" s="17" t="n">
        <x:f>2014-B1135</x:f>
        <x:v>46</x:v>
      </x:c>
      <x:c r="AF1135" s="17" t="n">
        <x:f>F1135+G1135</x:f>
        <x:v>2</x:v>
      </x:c>
      <x:c r="AG1135" s="21" t="n">
        <x:f>SUM(J1135:O1135)</x:f>
        <x:v>77</x:v>
      </x:c>
      <x:c r="AH1135" s="17" t="n">
        <x:f>SUM(Q1135:S1135)</x:f>
        <x:v>6</x:v>
      </x:c>
      <x:c r="AI1135" s="17" t="n">
        <x:f>SUM(U1135:Y1135)</x:f>
        <x:v>0</x:v>
      </x:c>
      <x:c r="AJ1135" s="17" t="str">
        <x:f>IF(AE1135&lt;=34,"≤34",IF(AE1135&lt;=44,"35–44",IF(AE1135&lt;=54,"45–54",IF(AE1135&lt;=64,"55–64","65+"))))</x:f>
        <x:v>45–54</x:v>
      </x:c>
      <x:c r="AK1135" s="17" t="str">
        <x:f>IF(AG1135&gt;=1000,"High Value",IF(AG1135&gt;=300,"Mid Value","Low Value"))</x:f>
        <x:v>Low Value</x:v>
      </x:c>
      <x:c r="AL1135" s="17" t="str">
        <x:f>IF(AND(AI1135&gt;=1,I1135&lt;=50),"Priority 1",IF(AND(AG1135&gt;=1000,I1135&lt;=60),"Priority 2",IF(I1135&lt;=30,"Priority 3","Nurture")))</x:f>
        <x:v>Nurture</x:v>
      </x:c>
    </x:row>
    <x:row r="1136">
      <x:c r="A1136" s="16" t="n">
        <x:v>8015</x:v>
      </x:c>
      <x:c r="B1136" s="16" t="n">
        <x:v>1962</x:v>
      </x:c>
      <x:c r="C1136" s="16" t="str">
        <x:v>PhD</x:v>
      </x:c>
      <x:c r="D1136" s="16" t="str">
        <x:v>Divorced</x:v>
      </x:c>
      <x:c r="E1136" s="16" t="n">
        <x:v>85696</x:v>
      </x:c>
      <x:c r="F1136" s="16" t="n">
        <x:v>0</x:v>
      </x:c>
      <x:c r="G1136" s="16" t="n">
        <x:v>0</x:v>
      </x:c>
      <x:c r="H1136" s="16" t="str">
        <x:v>03-05-2013</x:v>
      </x:c>
      <x:c r="I1136" s="16" t="n">
        <x:v>88</x:v>
      </x:c>
      <x:c r="J1136" s="16" t="n">
        <x:v>714</x:v>
      </x:c>
      <x:c r="K1136" s="16" t="n">
        <x:v>76</x:v>
      </x:c>
      <x:c r="L1136" s="16" t="n">
        <x:v>395</x:v>
      </x:c>
      <x:c r="M1136" s="16" t="n">
        <x:v>116</x:v>
      </x:c>
      <x:c r="N1136" s="16" t="n">
        <x:v>0</x:v>
      </x:c>
      <x:c r="O1136" s="16" t="n">
        <x:v>12</x:v>
      </x:c>
      <x:c r="P1136" s="16" t="n">
        <x:v>1</x:v>
      </x:c>
      <x:c r="Q1136" s="16" t="n">
        <x:v>4</x:v>
      </x:c>
      <x:c r="R1136" s="16" t="n">
        <x:v>6</x:v>
      </x:c>
      <x:c r="S1136" s="16" t="n">
        <x:v>9</x:v>
      </x:c>
      <x:c r="T1136" s="16" t="n">
        <x:v>1</x:v>
      </x:c>
      <x:c r="U1136" s="16" t="n">
        <x:v>0</x:v>
      </x:c>
      <x:c r="V1136" s="16" t="n">
        <x:v>0</x:v>
      </x:c>
      <x:c r="W1136" s="16" t="n">
        <x:v>0</x:v>
      </x:c>
      <x:c r="X1136" s="16" t="n">
        <x:v>0</x:v>
      </x:c>
      <x:c r="Y1136" s="16" t="n">
        <x:v>0</x:v>
      </x:c>
      <x:c r="Z1136" s="16" t="n">
        <x:v>0</x:v>
      </x:c>
      <x:c r="AA1136" s="16" t="n">
        <x:v>3</x:v>
      </x:c>
      <x:c r="AB1136" s="16" t="n">
        <x:v>11</x:v>
      </x:c>
      <x:c r="AC1136" s="16" t="n">
        <x:v>1</x:v>
      </x:c>
      <x:c r="AD1136" s="21" t="n">
        <x:f>IF(E1136="",MEDIAN($E$2:$E$2237),E1136)</x:f>
        <x:v>85696</x:v>
      </x:c>
      <x:c r="AE1136" s="17" t="n">
        <x:f>2014-B1136</x:f>
        <x:v>52</x:v>
      </x:c>
      <x:c r="AF1136" s="17" t="n">
        <x:f>F1136+G1136</x:f>
        <x:v>0</x:v>
      </x:c>
      <x:c r="AG1136" s="21" t="n">
        <x:f>SUM(J1136:O1136)</x:f>
        <x:v>1313</x:v>
      </x:c>
      <x:c r="AH1136" s="17" t="n">
        <x:f>SUM(Q1136:S1136)</x:f>
        <x:v>19</x:v>
      </x:c>
      <x:c r="AI1136" s="17" t="n">
        <x:f>SUM(U1136:Y1136)</x:f>
        <x:v>0</x:v>
      </x:c>
      <x:c r="AJ1136" s="17" t="str">
        <x:f>IF(AE1136&lt;=34,"≤34",IF(AE1136&lt;=44,"35–44",IF(AE1136&lt;=54,"45–54",IF(AE1136&lt;=64,"55–64","65+"))))</x:f>
        <x:v>45–54</x:v>
      </x:c>
      <x:c r="AK1136" s="17" t="str">
        <x:f>IF(AG1136&gt;=1000,"High Value",IF(AG1136&gt;=300,"Mid Value","Low Value"))</x:f>
        <x:v>High Value</x:v>
      </x:c>
      <x:c r="AL1136" s="17" t="str">
        <x:f>IF(AND(AI1136&gt;=1,I1136&lt;=50),"Priority 1",IF(AND(AG1136&gt;=1000,I1136&lt;=60),"Priority 2",IF(I1136&lt;=30,"Priority 3","Nurture")))</x:f>
        <x:v>Nurture</x:v>
      </x:c>
    </x:row>
    <x:row r="1137">
      <x:c r="A1137" s="16" t="n">
        <x:v>10617</x:v>
      </x:c>
      <x:c r="B1137" s="16" t="n">
        <x:v>1989</x:v>
      </x:c>
      <x:c r="C1137" s="16" t="str">
        <x:v>Master</x:v>
      </x:c>
      <x:c r="D1137" s="16" t="str">
        <x:v>Divorced</x:v>
      </x:c>
      <x:c r="E1137" s="16" t="n">
        <x:v>10979</x:v>
      </x:c>
      <x:c r="F1137" s="16" t="n">
        <x:v>0</x:v>
      </x:c>
      <x:c r="G1137" s="16" t="n">
        <x:v>0</x:v>
      </x:c>
      <x:c r="H1137" s="16" t="str">
        <x:v>22-05-2014</x:v>
      </x:c>
      <x:c r="I1137" s="16" t="n">
        <x:v>34</x:v>
      </x:c>
      <x:c r="J1137" s="16" t="n">
        <x:v>8</x:v>
      </x:c>
      <x:c r="K1137" s="16" t="n">
        <x:v>4</x:v>
      </x:c>
      <x:c r="L1137" s="16" t="n">
        <x:v>10</x:v>
      </x:c>
      <x:c r="M1137" s="16" t="n">
        <x:v>2</x:v>
      </x:c>
      <x:c r="N1137" s="16" t="n">
        <x:v>2</x:v>
      </x:c>
      <x:c r="O1137" s="16" t="n">
        <x:v>4</x:v>
      </x:c>
      <x:c r="P1137" s="16" t="n">
        <x:v>2</x:v>
      </x:c>
      <x:c r="Q1137" s="16" t="n">
        <x:v>3</x:v>
      </x:c>
      <x:c r="R1137" s="16" t="n">
        <x:v>0</x:v>
      </x:c>
      <x:c r="S1137" s="16" t="n">
        <x:v>3</x:v>
      </x:c>
      <x:c r="T1137" s="16" t="n">
        <x:v>5</x:v>
      </x:c>
      <x:c r="U1137" s="16" t="n">
        <x:v>0</x:v>
      </x:c>
      <x:c r="V1137" s="16" t="n">
        <x:v>0</x:v>
      </x:c>
      <x:c r="W1137" s="16" t="n">
        <x:v>0</x:v>
      </x:c>
      <x:c r="X1137" s="16" t="n">
        <x:v>0</x:v>
      </x:c>
      <x:c r="Y1137" s="16" t="n">
        <x:v>0</x:v>
      </x:c>
      <x:c r="Z1137" s="16" t="n">
        <x:v>0</x:v>
      </x:c>
      <x:c r="AA1137" s="16" t="n">
        <x:v>3</x:v>
      </x:c>
      <x:c r="AB1137" s="16" t="n">
        <x:v>11</x:v>
      </x:c>
      <x:c r="AC1137" s="16" t="n">
        <x:v>0</x:v>
      </x:c>
      <x:c r="AD1137" s="21" t="n">
        <x:f>IF(E1137="",MEDIAN($E$2:$E$2237),E1137)</x:f>
        <x:v>10979</x:v>
      </x:c>
      <x:c r="AE1137" s="17" t="n">
        <x:f>2014-B1137</x:f>
        <x:v>25</x:v>
      </x:c>
      <x:c r="AF1137" s="17" t="n">
        <x:f>F1137+G1137</x:f>
        <x:v>0</x:v>
      </x:c>
      <x:c r="AG1137" s="21" t="n">
        <x:f>SUM(J1137:O1137)</x:f>
        <x:v>30</x:v>
      </x:c>
      <x:c r="AH1137" s="17" t="n">
        <x:f>SUM(Q1137:S1137)</x:f>
        <x:v>6</x:v>
      </x:c>
      <x:c r="AI1137" s="17" t="n">
        <x:f>SUM(U1137:Y1137)</x:f>
        <x:v>0</x:v>
      </x:c>
      <x:c r="AJ1137" s="17" t="str">
        <x:f>IF(AE1137&lt;=34,"≤34",IF(AE1137&lt;=44,"35–44",IF(AE1137&lt;=54,"45–54",IF(AE1137&lt;=64,"55–64","65+"))))</x:f>
        <x:v>≤34</x:v>
      </x:c>
      <x:c r="AK1137" s="17" t="str">
        <x:f>IF(AG1137&gt;=1000,"High Value",IF(AG1137&gt;=300,"Mid Value","Low Value"))</x:f>
        <x:v>Low Value</x:v>
      </x:c>
      <x:c r="AL1137" s="17" t="str">
        <x:f>IF(AND(AI1137&gt;=1,I1137&lt;=50),"Priority 1",IF(AND(AG1137&gt;=1000,I1137&lt;=60),"Priority 2",IF(I1137&lt;=30,"Priority 3","Nurture")))</x:f>
        <x:v>Nurture</x:v>
      </x:c>
    </x:row>
    <x:row r="1138">
      <x:c r="A1138" s="16" t="n">
        <x:v>11166</x:v>
      </x:c>
      <x:c r="B1138" s="16" t="n">
        <x:v>1961</x:v>
      </x:c>
      <x:c r="C1138" s="16" t="str">
        <x:v>Graduation</x:v>
      </x:c>
      <x:c r="D1138" s="16" t="str">
        <x:v>Married</x:v>
      </x:c>
      <x:c r="E1138" s="16" t="n">
        <x:v>49678</x:v>
      </x:c>
      <x:c r="F1138" s="16" t="n">
        <x:v>0</x:v>
      </x:c>
      <x:c r="G1138" s="16" t="n">
        <x:v>1</x:v>
      </x:c>
      <x:c r="H1138" s="16" t="str">
        <x:v>02-02-2013</x:v>
      </x:c>
      <x:c r="I1138" s="16" t="n">
        <x:v>81</x:v>
      </x:c>
      <x:c r="J1138" s="16" t="n">
        <x:v>229</x:v>
      </x:c>
      <x:c r="K1138" s="16" t="n">
        <x:v>5</x:v>
      </x:c>
      <x:c r="L1138" s="16" t="n">
        <x:v>56</x:v>
      </x:c>
      <x:c r="M1138" s="16" t="n">
        <x:v>3</x:v>
      </x:c>
      <x:c r="N1138" s="16" t="n">
        <x:v>2</x:v>
      </x:c>
      <x:c r="O1138" s="16" t="n">
        <x:v>20</x:v>
      </x:c>
      <x:c r="P1138" s="16" t="n">
        <x:v>2</x:v>
      </x:c>
      <x:c r="Q1138" s="16" t="n">
        <x:v>6</x:v>
      </x:c>
      <x:c r="R1138" s="16" t="n">
        <x:v>2</x:v>
      </x:c>
      <x:c r="S1138" s="16" t="n">
        <x:v>4</x:v>
      </x:c>
      <x:c r="T1138" s="16" t="n">
        <x:v>7</x:v>
      </x:c>
      <x:c r="U1138" s="16" t="n">
        <x:v>0</x:v>
      </x:c>
      <x:c r="V1138" s="16" t="n">
        <x:v>0</x:v>
      </x:c>
      <x:c r="W1138" s="16" t="n">
        <x:v>0</x:v>
      </x:c>
      <x:c r="X1138" s="16" t="n">
        <x:v>0</x:v>
      </x:c>
      <x:c r="Y1138" s="16" t="n">
        <x:v>0</x:v>
      </x:c>
      <x:c r="Z1138" s="16" t="n">
        <x:v>0</x:v>
      </x:c>
      <x:c r="AA1138" s="16" t="n">
        <x:v>3</x:v>
      </x:c>
      <x:c r="AB1138" s="16" t="n">
        <x:v>11</x:v>
      </x:c>
      <x:c r="AC1138" s="16" t="n">
        <x:v>0</x:v>
      </x:c>
      <x:c r="AD1138" s="21" t="n">
        <x:f>IF(E1138="",MEDIAN($E$2:$E$2237),E1138)</x:f>
        <x:v>49678</x:v>
      </x:c>
      <x:c r="AE1138" s="17" t="n">
        <x:f>2014-B1138</x:f>
        <x:v>53</x:v>
      </x:c>
      <x:c r="AF1138" s="17" t="n">
        <x:f>F1138+G1138</x:f>
        <x:v>1</x:v>
      </x:c>
      <x:c r="AG1138" s="21" t="n">
        <x:f>SUM(J1138:O1138)</x:f>
        <x:v>315</x:v>
      </x:c>
      <x:c r="AH1138" s="17" t="n">
        <x:f>SUM(Q1138:S1138)</x:f>
        <x:v>12</x:v>
      </x:c>
      <x:c r="AI1138" s="17" t="n">
        <x:f>SUM(U1138:Y1138)</x:f>
        <x:v>0</x:v>
      </x:c>
      <x:c r="AJ1138" s="17" t="str">
        <x:f>IF(AE1138&lt;=34,"≤34",IF(AE1138&lt;=44,"35–44",IF(AE1138&lt;=54,"45–54",IF(AE1138&lt;=64,"55–64","65+"))))</x:f>
        <x:v>45–54</x:v>
      </x:c>
      <x:c r="AK1138" s="17" t="str">
        <x:f>IF(AG1138&gt;=1000,"High Value",IF(AG1138&gt;=300,"Mid Value","Low Value"))</x:f>
        <x:v>Mid Value</x:v>
      </x:c>
      <x:c r="AL1138" s="17" t="str">
        <x:f>IF(AND(AI1138&gt;=1,I1138&lt;=50),"Priority 1",IF(AND(AG1138&gt;=1000,I1138&lt;=60),"Priority 2",IF(I1138&lt;=30,"Priority 3","Nurture")))</x:f>
        <x:v>Nurture</x:v>
      </x:c>
    </x:row>
    <x:row r="1139">
      <x:c r="A1139" s="16" t="n">
        <x:v>849</x:v>
      </x:c>
      <x:c r="B1139" s="16" t="n">
        <x:v>1953</x:v>
      </x:c>
      <x:c r="C1139" s="16" t="str">
        <x:v>Master</x:v>
      </x:c>
      <x:c r="D1139" s="16" t="str">
        <x:v>Together</x:v>
      </x:c>
      <x:c r="E1139" s="16" t="n">
        <x:v>56129</x:v>
      </x:c>
      <x:c r="F1139" s="16" t="n">
        <x:v>0</x:v>
      </x:c>
      <x:c r="G1139" s="16" t="n">
        <x:v>1</x:v>
      </x:c>
      <x:c r="H1139" s="16" t="str">
        <x:v>20-06-2013</x:v>
      </x:c>
      <x:c r="I1139" s="16" t="n">
        <x:v>65</x:v>
      </x:c>
      <x:c r="J1139" s="16" t="n">
        <x:v>320</x:v>
      </x:c>
      <x:c r="K1139" s="16" t="n">
        <x:v>48</x:v>
      </x:c>
      <x:c r="L1139" s="16" t="n">
        <x:v>133</x:v>
      </x:c>
      <x:c r="M1139" s="16" t="n">
        <x:v>39</x:v>
      </x:c>
      <x:c r="N1139" s="16" t="n">
        <x:v>72</x:v>
      </x:c>
      <x:c r="O1139" s="16" t="n">
        <x:v>48</x:v>
      </x:c>
      <x:c r="P1139" s="16" t="n">
        <x:v>4</x:v>
      </x:c>
      <x:c r="Q1139" s="16" t="n">
        <x:v>6</x:v>
      </x:c>
      <x:c r="R1139" s="16" t="n">
        <x:v>2</x:v>
      </x:c>
      <x:c r="S1139" s="16" t="n">
        <x:v>10</x:v>
      </x:c>
      <x:c r="T1139" s="16" t="n">
        <x:v>4</x:v>
      </x:c>
      <x:c r="U1139" s="16" t="n">
        <x:v>0</x:v>
      </x:c>
      <x:c r="V1139" s="16" t="n">
        <x:v>0</x:v>
      </x:c>
      <x:c r="W1139" s="16" t="n">
        <x:v>0</x:v>
      </x:c>
      <x:c r="X1139" s="16" t="n">
        <x:v>0</x:v>
      </x:c>
      <x:c r="Y1139" s="16" t="n">
        <x:v>0</x:v>
      </x:c>
      <x:c r="Z1139" s="16" t="n">
        <x:v>0</x:v>
      </x:c>
      <x:c r="AA1139" s="16" t="n">
        <x:v>3</x:v>
      </x:c>
      <x:c r="AB1139" s="16" t="n">
        <x:v>11</x:v>
      </x:c>
      <x:c r="AC1139" s="16" t="n">
        <x:v>0</x:v>
      </x:c>
      <x:c r="AD1139" s="21" t="n">
        <x:f>IF(E1139="",MEDIAN($E$2:$E$2237),E1139)</x:f>
        <x:v>56129</x:v>
      </x:c>
      <x:c r="AE1139" s="17" t="n">
        <x:f>2014-B1139</x:f>
        <x:v>61</x:v>
      </x:c>
      <x:c r="AF1139" s="17" t="n">
        <x:f>F1139+G1139</x:f>
        <x:v>1</x:v>
      </x:c>
      <x:c r="AG1139" s="21" t="n">
        <x:f>SUM(J1139:O1139)</x:f>
        <x:v>660</x:v>
      </x:c>
      <x:c r="AH1139" s="17" t="n">
        <x:f>SUM(Q1139:S1139)</x:f>
        <x:v>18</x:v>
      </x:c>
      <x:c r="AI1139" s="17" t="n">
        <x:f>SUM(U1139:Y1139)</x:f>
        <x:v>0</x:v>
      </x:c>
      <x:c r="AJ1139" s="17" t="str">
        <x:f>IF(AE1139&lt;=34,"≤34",IF(AE1139&lt;=44,"35–44",IF(AE1139&lt;=54,"45–54",IF(AE1139&lt;=64,"55–64","65+"))))</x:f>
        <x:v>55–64</x:v>
      </x:c>
      <x:c r="AK1139" s="17" t="str">
        <x:f>IF(AG1139&gt;=1000,"High Value",IF(AG1139&gt;=300,"Mid Value","Low Value"))</x:f>
        <x:v>Mid Value</x:v>
      </x:c>
      <x:c r="AL1139" s="17" t="str">
        <x:f>IF(AND(AI1139&gt;=1,I1139&lt;=50),"Priority 1",IF(AND(AG1139&gt;=1000,I1139&lt;=60),"Priority 2",IF(I1139&lt;=30,"Priority 3","Nurture")))</x:f>
        <x:v>Nurture</x:v>
      </x:c>
    </x:row>
    <x:row r="1140">
      <x:c r="A1140" s="16" t="n">
        <x:v>523</x:v>
      </x:c>
      <x:c r="B1140" s="16" t="n">
        <x:v>1989</x:v>
      </x:c>
      <x:c r="C1140" s="16" t="str">
        <x:v>Graduation</x:v>
      </x:c>
      <x:c r="D1140" s="16" t="str">
        <x:v>Married</x:v>
      </x:c>
      <x:c r="E1140" s="16" t="n">
        <x:v>37155</x:v>
      </x:c>
      <x:c r="F1140" s="16" t="n">
        <x:v>1</x:v>
      </x:c>
      <x:c r="G1140" s="16" t="n">
        <x:v>0</x:v>
      </x:c>
      <x:c r="H1140" s="16" t="str">
        <x:v>31-01-2013</x:v>
      </x:c>
      <x:c r="I1140" s="16" t="n">
        <x:v>51</x:v>
      </x:c>
      <x:c r="J1140" s="16" t="n">
        <x:v>23</x:v>
      </x:c>
      <x:c r="K1140" s="16" t="n">
        <x:v>0</x:v>
      </x:c>
      <x:c r="L1140" s="16" t="n">
        <x:v>26</x:v>
      </x:c>
      <x:c r="M1140" s="16" t="n">
        <x:v>7</x:v>
      </x:c>
      <x:c r="N1140" s="16" t="n">
        <x:v>15</x:v>
      </x:c>
      <x:c r="O1140" s="16" t="n">
        <x:v>3</x:v>
      </x:c>
      <x:c r="P1140" s="16" t="n">
        <x:v>1</x:v>
      </x:c>
      <x:c r="Q1140" s="16" t="n">
        <x:v>2</x:v>
      </x:c>
      <x:c r="R1140" s="16" t="n">
        <x:v>0</x:v>
      </x:c>
      <x:c r="S1140" s="16" t="n">
        <x:v>4</x:v>
      </x:c>
      <x:c r="T1140" s="16" t="n">
        <x:v>5</x:v>
      </x:c>
      <x:c r="U1140" s="16" t="n">
        <x:v>0</x:v>
      </x:c>
      <x:c r="V1140" s="16" t="n">
        <x:v>0</x:v>
      </x:c>
      <x:c r="W1140" s="16" t="n">
        <x:v>0</x:v>
      </x:c>
      <x:c r="X1140" s="16" t="n">
        <x:v>0</x:v>
      </x:c>
      <x:c r="Y1140" s="16" t="n">
        <x:v>0</x:v>
      </x:c>
      <x:c r="Z1140" s="16" t="n">
        <x:v>0</x:v>
      </x:c>
      <x:c r="AA1140" s="16" t="n">
        <x:v>3</x:v>
      </x:c>
      <x:c r="AB1140" s="16" t="n">
        <x:v>11</x:v>
      </x:c>
      <x:c r="AC1140" s="16" t="n">
        <x:v>0</x:v>
      </x:c>
      <x:c r="AD1140" s="21" t="n">
        <x:f>IF(E1140="",MEDIAN($E$2:$E$2237),E1140)</x:f>
        <x:v>37155</x:v>
      </x:c>
      <x:c r="AE1140" s="17" t="n">
        <x:f>2014-B1140</x:f>
        <x:v>25</x:v>
      </x:c>
      <x:c r="AF1140" s="17" t="n">
        <x:f>F1140+G1140</x:f>
        <x:v>1</x:v>
      </x:c>
      <x:c r="AG1140" s="21" t="n">
        <x:f>SUM(J1140:O1140)</x:f>
        <x:v>74</x:v>
      </x:c>
      <x:c r="AH1140" s="17" t="n">
        <x:f>SUM(Q1140:S1140)</x:f>
        <x:v>6</x:v>
      </x:c>
      <x:c r="AI1140" s="17" t="n">
        <x:f>SUM(U1140:Y1140)</x:f>
        <x:v>0</x:v>
      </x:c>
      <x:c r="AJ1140" s="17" t="str">
        <x:f>IF(AE1140&lt;=34,"≤34",IF(AE1140&lt;=44,"35–44",IF(AE1140&lt;=54,"45–54",IF(AE1140&lt;=64,"55–64","65+"))))</x:f>
        <x:v>≤34</x:v>
      </x:c>
      <x:c r="AK1140" s="17" t="str">
        <x:f>IF(AG1140&gt;=1000,"High Value",IF(AG1140&gt;=300,"Mid Value","Low Value"))</x:f>
        <x:v>Low Value</x:v>
      </x:c>
      <x:c r="AL1140" s="17" t="str">
        <x:f>IF(AND(AI1140&gt;=1,I1140&lt;=50),"Priority 1",IF(AND(AG1140&gt;=1000,I1140&lt;=60),"Priority 2",IF(I1140&lt;=30,"Priority 3","Nurture")))</x:f>
        <x:v>Nurture</x:v>
      </x:c>
    </x:row>
    <x:row r="1141">
      <x:c r="A1141" s="16" t="n">
        <x:v>4066</x:v>
      </x:c>
      <x:c r="B1141" s="16" t="n">
        <x:v>1978</x:v>
      </x:c>
      <x:c r="C1141" s="16" t="str">
        <x:v>2n Cycle</x:v>
      </x:c>
      <x:c r="D1141" s="16" t="str">
        <x:v>Divorced</x:v>
      </x:c>
      <x:c r="E1141" s="16" t="n">
        <x:v>21282</x:v>
      </x:c>
      <x:c r="F1141" s="16" t="n">
        <x:v>1</x:v>
      </x:c>
      <x:c r="G1141" s="16" t="n">
        <x:v>0</x:v>
      </x:c>
      <x:c r="H1141" s="16" t="str">
        <x:v>11-05-2014</x:v>
      </x:c>
      <x:c r="I1141" s="16" t="n">
        <x:v>76</x:v>
      </x:c>
      <x:c r="J1141" s="16" t="n">
        <x:v>1</x:v>
      </x:c>
      <x:c r="K1141" s="16" t="n">
        <x:v>5</x:v>
      </x:c>
      <x:c r="L1141" s="16" t="n">
        <x:v>8</x:v>
      </x:c>
      <x:c r="M1141" s="16" t="n">
        <x:v>4</x:v>
      </x:c>
      <x:c r="N1141" s="16" t="n">
        <x:v>8</x:v>
      </x:c>
      <x:c r="O1141" s="16" t="n">
        <x:v>20</x:v>
      </x:c>
      <x:c r="P1141" s="16" t="n">
        <x:v>2</x:v>
      </x:c>
      <x:c r="Q1141" s="16" t="n">
        <x:v>2</x:v>
      </x:c>
      <x:c r="R1141" s="16" t="n">
        <x:v>1</x:v>
      </x:c>
      <x:c r="S1141" s="16" t="n">
        <x:v>2</x:v>
      </x:c>
      <x:c r="T1141" s="16" t="n">
        <x:v>6</x:v>
      </x:c>
      <x:c r="U1141" s="16" t="n">
        <x:v>0</x:v>
      </x:c>
      <x:c r="V1141" s="16" t="n">
        <x:v>0</x:v>
      </x:c>
      <x:c r="W1141" s="16" t="n">
        <x:v>0</x:v>
      </x:c>
      <x:c r="X1141" s="16" t="n">
        <x:v>0</x:v>
      </x:c>
      <x:c r="Y1141" s="16" t="n">
        <x:v>0</x:v>
      </x:c>
      <x:c r="Z1141" s="16" t="n">
        <x:v>0</x:v>
      </x:c>
      <x:c r="AA1141" s="16" t="n">
        <x:v>3</x:v>
      </x:c>
      <x:c r="AB1141" s="16" t="n">
        <x:v>11</x:v>
      </x:c>
      <x:c r="AC1141" s="16" t="n">
        <x:v>0</x:v>
      </x:c>
      <x:c r="AD1141" s="21" t="n">
        <x:f>IF(E1141="",MEDIAN($E$2:$E$2237),E1141)</x:f>
        <x:v>21282</x:v>
      </x:c>
      <x:c r="AE1141" s="17" t="n">
        <x:f>2014-B1141</x:f>
        <x:v>36</x:v>
      </x:c>
      <x:c r="AF1141" s="17" t="n">
        <x:f>F1141+G1141</x:f>
        <x:v>1</x:v>
      </x:c>
      <x:c r="AG1141" s="21" t="n">
        <x:f>SUM(J1141:O1141)</x:f>
        <x:v>46</x:v>
      </x:c>
      <x:c r="AH1141" s="17" t="n">
        <x:f>SUM(Q1141:S1141)</x:f>
        <x:v>5</x:v>
      </x:c>
      <x:c r="AI1141" s="17" t="n">
        <x:f>SUM(U1141:Y1141)</x:f>
        <x:v>0</x:v>
      </x:c>
      <x:c r="AJ1141" s="17" t="str">
        <x:f>IF(AE1141&lt;=34,"≤34",IF(AE1141&lt;=44,"35–44",IF(AE1141&lt;=54,"45–54",IF(AE1141&lt;=64,"55–64","65+"))))</x:f>
        <x:v>35–44</x:v>
      </x:c>
      <x:c r="AK1141" s="17" t="str">
        <x:f>IF(AG1141&gt;=1000,"High Value",IF(AG1141&gt;=300,"Mid Value","Low Value"))</x:f>
        <x:v>Low Value</x:v>
      </x:c>
      <x:c r="AL1141" s="17" t="str">
        <x:f>IF(AND(AI1141&gt;=1,I1141&lt;=50),"Priority 1",IF(AND(AG1141&gt;=1000,I1141&lt;=60),"Priority 2",IF(I1141&lt;=30,"Priority 3","Nurture")))</x:f>
        <x:v>Nurture</x:v>
      </x:c>
    </x:row>
    <x:row r="1142">
      <x:c r="A1142" s="16" t="n">
        <x:v>8414</x:v>
      </x:c>
      <x:c r="B1142" s="16" t="n">
        <x:v>1962</x:v>
      </x:c>
      <x:c r="C1142" s="16" t="str">
        <x:v>PhD</x:v>
      </x:c>
      <x:c r="D1142" s="16" t="str">
        <x:v>Single</x:v>
      </x:c>
      <x:c r="E1142" s="16" t="n">
        <x:v>33419</x:v>
      </x:c>
      <x:c r="F1142" s="16" t="n">
        <x:v>0</x:v>
      </x:c>
      <x:c r="G1142" s="16" t="n">
        <x:v>1</x:v>
      </x:c>
      <x:c r="H1142" s="16" t="str">
        <x:v>17-08-2013</x:v>
      </x:c>
      <x:c r="I1142" s="16" t="n">
        <x:v>76</x:v>
      </x:c>
      <x:c r="J1142" s="16" t="n">
        <x:v>56</x:v>
      </x:c>
      <x:c r="K1142" s="16" t="n">
        <x:v>0</x:v>
      </x:c>
      <x:c r="L1142" s="16" t="n">
        <x:v>12</x:v>
      </x:c>
      <x:c r="M1142" s="16" t="n">
        <x:v>0</x:v>
      </x:c>
      <x:c r="N1142" s="16" t="n">
        <x:v>0</x:v>
      </x:c>
      <x:c r="O1142" s="16" t="n">
        <x:v>18</x:v>
      </x:c>
      <x:c r="P1142" s="16" t="n">
        <x:v>2</x:v>
      </x:c>
      <x:c r="Q1142" s="16" t="n">
        <x:v>2</x:v>
      </x:c>
      <x:c r="R1142" s="16" t="n">
        <x:v>0</x:v>
      </x:c>
      <x:c r="S1142" s="16" t="n">
        <x:v>4</x:v>
      </x:c>
      <x:c r="T1142" s="16" t="n">
        <x:v>7</x:v>
      </x:c>
      <x:c r="U1142" s="16" t="n">
        <x:v>0</x:v>
      </x:c>
      <x:c r="V1142" s="16" t="n">
        <x:v>0</x:v>
      </x:c>
      <x:c r="W1142" s="16" t="n">
        <x:v>0</x:v>
      </x:c>
      <x:c r="X1142" s="16" t="n">
        <x:v>0</x:v>
      </x:c>
      <x:c r="Y1142" s="16" t="n">
        <x:v>0</x:v>
      </x:c>
      <x:c r="Z1142" s="16" t="n">
        <x:v>0</x:v>
      </x:c>
      <x:c r="AA1142" s="16" t="n">
        <x:v>3</x:v>
      </x:c>
      <x:c r="AB1142" s="16" t="n">
        <x:v>11</x:v>
      </x:c>
      <x:c r="AC1142" s="16" t="n">
        <x:v>0</x:v>
      </x:c>
      <x:c r="AD1142" s="21" t="n">
        <x:f>IF(E1142="",MEDIAN($E$2:$E$2237),E1142)</x:f>
        <x:v>33419</x:v>
      </x:c>
      <x:c r="AE1142" s="17" t="n">
        <x:f>2014-B1142</x:f>
        <x:v>52</x:v>
      </x:c>
      <x:c r="AF1142" s="17" t="n">
        <x:f>F1142+G1142</x:f>
        <x:v>1</x:v>
      </x:c>
      <x:c r="AG1142" s="21" t="n">
        <x:f>SUM(J1142:O1142)</x:f>
        <x:v>86</x:v>
      </x:c>
      <x:c r="AH1142" s="17" t="n">
        <x:f>SUM(Q1142:S1142)</x:f>
        <x:v>6</x:v>
      </x:c>
      <x:c r="AI1142" s="17" t="n">
        <x:f>SUM(U1142:Y1142)</x:f>
        <x:v>0</x:v>
      </x:c>
      <x:c r="AJ1142" s="17" t="str">
        <x:f>IF(AE1142&lt;=34,"≤34",IF(AE1142&lt;=44,"35–44",IF(AE1142&lt;=54,"45–54",IF(AE1142&lt;=64,"55–64","65+"))))</x:f>
        <x:v>45–54</x:v>
      </x:c>
      <x:c r="AK1142" s="17" t="str">
        <x:f>IF(AG1142&gt;=1000,"High Value",IF(AG1142&gt;=300,"Mid Value","Low Value"))</x:f>
        <x:v>Low Value</x:v>
      </x:c>
      <x:c r="AL1142" s="17" t="str">
        <x:f>IF(AND(AI1142&gt;=1,I1142&lt;=50),"Priority 1",IF(AND(AG1142&gt;=1000,I1142&lt;=60),"Priority 2",IF(I1142&lt;=30,"Priority 3","Nurture")))</x:f>
        <x:v>Nurture</x:v>
      </x:c>
    </x:row>
    <x:row r="1143">
      <x:c r="A1143" s="16" t="n">
        <x:v>819</x:v>
      </x:c>
      <x:c r="B1143" s="16" t="n">
        <x:v>1945</x:v>
      </x:c>
      <x:c r="C1143" s="16" t="str">
        <x:v>Graduation</x:v>
      </x:c>
      <x:c r="D1143" s="16" t="str">
        <x:v>Widow</x:v>
      </x:c>
      <x:c r="E1143" s="16" t="n">
        <x:v>63285</x:v>
      </x:c>
      <x:c r="F1143" s="16" t="n">
        <x:v>0</x:v>
      </x:c>
      <x:c r="G1143" s="16" t="n">
        <x:v>0</x:v>
      </x:c>
      <x:c r="H1143" s="16" t="str">
        <x:v>05-11-2013</x:v>
      </x:c>
      <x:c r="I1143" s="16" t="n">
        <x:v>84</x:v>
      </x:c>
      <x:c r="J1143" s="16" t="n">
        <x:v>508</x:v>
      </x:c>
      <x:c r="K1143" s="16" t="n">
        <x:v>124</x:v>
      </x:c>
      <x:c r="L1143" s="16" t="n">
        <x:v>249</x:v>
      </x:c>
      <x:c r="M1143" s="16" t="n">
        <x:v>50</x:v>
      </x:c>
      <x:c r="N1143" s="16" t="n">
        <x:v>38</x:v>
      </x:c>
      <x:c r="O1143" s="16" t="n">
        <x:v>134</x:v>
      </x:c>
      <x:c r="P1143" s="16" t="n">
        <x:v>1</x:v>
      </x:c>
      <x:c r="Q1143" s="16" t="n">
        <x:v>6</x:v>
      </x:c>
      <x:c r="R1143" s="16" t="n">
        <x:v>5</x:v>
      </x:c>
      <x:c r="S1143" s="16" t="n">
        <x:v>13</x:v>
      </x:c>
      <x:c r="T1143" s="16" t="n">
        <x:v>3</x:v>
      </x:c>
      <x:c r="U1143" s="16" t="n">
        <x:v>0</x:v>
      </x:c>
      <x:c r="V1143" s="16" t="n">
        <x:v>0</x:v>
      </x:c>
      <x:c r="W1143" s="16" t="n">
        <x:v>0</x:v>
      </x:c>
      <x:c r="X1143" s="16" t="n">
        <x:v>0</x:v>
      </x:c>
      <x:c r="Y1143" s="16" t="n">
        <x:v>0</x:v>
      </x:c>
      <x:c r="Z1143" s="16" t="n">
        <x:v>0</x:v>
      </x:c>
      <x:c r="AA1143" s="16" t="n">
        <x:v>3</x:v>
      </x:c>
      <x:c r="AB1143" s="16" t="n">
        <x:v>11</x:v>
      </x:c>
      <x:c r="AC1143" s="16" t="n">
        <x:v>0</x:v>
      </x:c>
      <x:c r="AD1143" s="21" t="n">
        <x:f>IF(E1143="",MEDIAN($E$2:$E$2237),E1143)</x:f>
        <x:v>63285</x:v>
      </x:c>
      <x:c r="AE1143" s="17" t="n">
        <x:f>2014-B1143</x:f>
        <x:v>69</x:v>
      </x:c>
      <x:c r="AF1143" s="17" t="n">
        <x:f>F1143+G1143</x:f>
        <x:v>0</x:v>
      </x:c>
      <x:c r="AG1143" s="21" t="n">
        <x:f>SUM(J1143:O1143)</x:f>
        <x:v>1103</x:v>
      </x:c>
      <x:c r="AH1143" s="17" t="n">
        <x:f>SUM(Q1143:S1143)</x:f>
        <x:v>24</x:v>
      </x:c>
      <x:c r="AI1143" s="17" t="n">
        <x:f>SUM(U1143:Y1143)</x:f>
        <x:v>0</x:v>
      </x:c>
      <x:c r="AJ1143" s="17" t="str">
        <x:f>IF(AE1143&lt;=34,"≤34",IF(AE1143&lt;=44,"35–44",IF(AE1143&lt;=54,"45–54",IF(AE1143&lt;=64,"55–64","65+"))))</x:f>
        <x:v>65+</x:v>
      </x:c>
      <x:c r="AK1143" s="17" t="str">
        <x:f>IF(AG1143&gt;=1000,"High Value",IF(AG1143&gt;=300,"Mid Value","Low Value"))</x:f>
        <x:v>High Value</x:v>
      </x:c>
      <x:c r="AL1143" s="17" t="str">
        <x:f>IF(AND(AI1143&gt;=1,I1143&lt;=50),"Priority 1",IF(AND(AG1143&gt;=1000,I1143&lt;=60),"Priority 2",IF(I1143&lt;=30,"Priority 3","Nurture")))</x:f>
        <x:v>Nurture</x:v>
      </x:c>
    </x:row>
    <x:row r="1144">
      <x:c r="A1144" s="16" t="n">
        <x:v>4961</x:v>
      </x:c>
      <x:c r="B1144" s="16" t="n">
        <x:v>1974</x:v>
      </x:c>
      <x:c r="C1144" s="16" t="str">
        <x:v>Master</x:v>
      </x:c>
      <x:c r="D1144" s="16" t="str">
        <x:v>Together</x:v>
      </x:c>
      <x:c r="E1144" s="16" t="n">
        <x:v>21255</x:v>
      </x:c>
      <x:c r="F1144" s="16" t="n">
        <x:v>1</x:v>
      </x:c>
      <x:c r="G1144" s="16" t="n">
        <x:v>0</x:v>
      </x:c>
      <x:c r="H1144" s="16" t="str">
        <x:v>21-01-2014</x:v>
      </x:c>
      <x:c r="I1144" s="16" t="n">
        <x:v>56</x:v>
      </x:c>
      <x:c r="J1144" s="16" t="n">
        <x:v>29</x:v>
      </x:c>
      <x:c r="K1144" s="16" t="n">
        <x:v>0</x:v>
      </x:c>
      <x:c r="L1144" s="16" t="n">
        <x:v>25</x:v>
      </x:c>
      <x:c r="M1144" s="16" t="n">
        <x:v>2</x:v>
      </x:c>
      <x:c r="N1144" s="16" t="n">
        <x:v>2</x:v>
      </x:c>
      <x:c r="O1144" s="16" t="n">
        <x:v>3</x:v>
      </x:c>
      <x:c r="P1144" s="16" t="n">
        <x:v>4</x:v>
      </x:c>
      <x:c r="Q1144" s="16" t="n">
        <x:v>2</x:v>
      </x:c>
      <x:c r="R1144" s="16" t="n">
        <x:v>1</x:v>
      </x:c>
      <x:c r="S1144" s="16" t="n">
        <x:v>4</x:v>
      </x:c>
      <x:c r="T1144" s="16" t="n">
        <x:v>4</x:v>
      </x:c>
      <x:c r="U1144" s="16" t="n">
        <x:v>0</x:v>
      </x:c>
      <x:c r="V1144" s="16" t="n">
        <x:v>0</x:v>
      </x:c>
      <x:c r="W1144" s="16" t="n">
        <x:v>0</x:v>
      </x:c>
      <x:c r="X1144" s="16" t="n">
        <x:v>0</x:v>
      </x:c>
      <x:c r="Y1144" s="16" t="n">
        <x:v>0</x:v>
      </x:c>
      <x:c r="Z1144" s="16" t="n">
        <x:v>0</x:v>
      </x:c>
      <x:c r="AA1144" s="16" t="n">
        <x:v>3</x:v>
      </x:c>
      <x:c r="AB1144" s="16" t="n">
        <x:v>11</x:v>
      </x:c>
      <x:c r="AC1144" s="16" t="n">
        <x:v>0</x:v>
      </x:c>
      <x:c r="AD1144" s="21" t="n">
        <x:f>IF(E1144="",MEDIAN($E$2:$E$2237),E1144)</x:f>
        <x:v>21255</x:v>
      </x:c>
      <x:c r="AE1144" s="17" t="n">
        <x:f>2014-B1144</x:f>
        <x:v>40</x:v>
      </x:c>
      <x:c r="AF1144" s="17" t="n">
        <x:f>F1144+G1144</x:f>
        <x:v>1</x:v>
      </x:c>
      <x:c r="AG1144" s="21" t="n">
        <x:f>SUM(J1144:O1144)</x:f>
        <x:v>61</x:v>
      </x:c>
      <x:c r="AH1144" s="17" t="n">
        <x:f>SUM(Q1144:S1144)</x:f>
        <x:v>7</x:v>
      </x:c>
      <x:c r="AI1144" s="17" t="n">
        <x:f>SUM(U1144:Y1144)</x:f>
        <x:v>0</x:v>
      </x:c>
      <x:c r="AJ1144" s="17" t="str">
        <x:f>IF(AE1144&lt;=34,"≤34",IF(AE1144&lt;=44,"35–44",IF(AE1144&lt;=54,"45–54",IF(AE1144&lt;=64,"55–64","65+"))))</x:f>
        <x:v>35–44</x:v>
      </x:c>
      <x:c r="AK1144" s="17" t="str">
        <x:f>IF(AG1144&gt;=1000,"High Value",IF(AG1144&gt;=300,"Mid Value","Low Value"))</x:f>
        <x:v>Low Value</x:v>
      </x:c>
      <x:c r="AL1144" s="17" t="str">
        <x:f>IF(AND(AI1144&gt;=1,I1144&lt;=50),"Priority 1",IF(AND(AG1144&gt;=1000,I1144&lt;=60),"Priority 2",IF(I1144&lt;=30,"Priority 3","Nurture")))</x:f>
        <x:v>Nurture</x:v>
      </x:c>
    </x:row>
    <x:row r="1145">
      <x:c r="A1145" s="16" t="n">
        <x:v>749</x:v>
      </x:c>
      <x:c r="B1145" s="16" t="n">
        <x:v>1981</x:v>
      </x:c>
      <x:c r="C1145" s="16" t="str">
        <x:v>Graduation</x:v>
      </x:c>
      <x:c r="D1145" s="16" t="str">
        <x:v>Together</x:v>
      </x:c>
      <x:c r="E1145" s="16" t="n">
        <x:v>42162</x:v>
      </x:c>
      <x:c r="F1145" s="16" t="n">
        <x:v>1</x:v>
      </x:c>
      <x:c r="G1145" s="16" t="n">
        <x:v>0</x:v>
      </x:c>
      <x:c r="H1145" s="16" t="str">
        <x:v>19-11-2013</x:v>
      </x:c>
      <x:c r="I1145" s="16" t="n">
        <x:v>31</x:v>
      </x:c>
      <x:c r="J1145" s="16" t="n">
        <x:v>46</x:v>
      </x:c>
      <x:c r="K1145" s="16" t="n">
        <x:v>7</x:v>
      </x:c>
      <x:c r="L1145" s="16" t="n">
        <x:v>59</x:v>
      </x:c>
      <x:c r="M1145" s="16" t="n">
        <x:v>2</x:v>
      </x:c>
      <x:c r="N1145" s="16" t="n">
        <x:v>4</x:v>
      </x:c>
      <x:c r="O1145" s="16" t="n">
        <x:v>27</x:v>
      </x:c>
      <x:c r="P1145" s="16" t="n">
        <x:v>2</x:v>
      </x:c>
      <x:c r="Q1145" s="16" t="n">
        <x:v>3</x:v>
      </x:c>
      <x:c r="R1145" s="16" t="n">
        <x:v>1</x:v>
      </x:c>
      <x:c r="S1145" s="16" t="n">
        <x:v>3</x:v>
      </x:c>
      <x:c r="T1145" s="16" t="n">
        <x:v>6</x:v>
      </x:c>
      <x:c r="U1145" s="16" t="n">
        <x:v>1</x:v>
      </x:c>
      <x:c r="V1145" s="16" t="n">
        <x:v>0</x:v>
      </x:c>
      <x:c r="W1145" s="16" t="n">
        <x:v>0</x:v>
      </x:c>
      <x:c r="X1145" s="16" t="n">
        <x:v>0</x:v>
      </x:c>
      <x:c r="Y1145" s="16" t="n">
        <x:v>0</x:v>
      </x:c>
      <x:c r="Z1145" s="16" t="n">
        <x:v>0</x:v>
      </x:c>
      <x:c r="AA1145" s="16" t="n">
        <x:v>3</x:v>
      </x:c>
      <x:c r="AB1145" s="16" t="n">
        <x:v>11</x:v>
      </x:c>
      <x:c r="AC1145" s="16" t="n">
        <x:v>1</x:v>
      </x:c>
      <x:c r="AD1145" s="21" t="n">
        <x:f>IF(E1145="",MEDIAN($E$2:$E$2237),E1145)</x:f>
        <x:v>42162</x:v>
      </x:c>
      <x:c r="AE1145" s="17" t="n">
        <x:f>2014-B1145</x:f>
        <x:v>33</x:v>
      </x:c>
      <x:c r="AF1145" s="17" t="n">
        <x:f>F1145+G1145</x:f>
        <x:v>1</x:v>
      </x:c>
      <x:c r="AG1145" s="21" t="n">
        <x:f>SUM(J1145:O1145)</x:f>
        <x:v>145</x:v>
      </x:c>
      <x:c r="AH1145" s="17" t="n">
        <x:f>SUM(Q1145:S1145)</x:f>
        <x:v>7</x:v>
      </x:c>
      <x:c r="AI1145" s="17" t="n">
        <x:f>SUM(U1145:Y1145)</x:f>
        <x:v>1</x:v>
      </x:c>
      <x:c r="AJ1145" s="17" t="str">
        <x:f>IF(AE1145&lt;=34,"≤34",IF(AE1145&lt;=44,"35–44",IF(AE1145&lt;=54,"45–54",IF(AE1145&lt;=64,"55–64","65+"))))</x:f>
        <x:v>≤34</x:v>
      </x:c>
      <x:c r="AK1145" s="17" t="str">
        <x:f>IF(AG1145&gt;=1000,"High Value",IF(AG1145&gt;=300,"Mid Value","Low Value"))</x:f>
        <x:v>Low Value</x:v>
      </x:c>
      <x:c r="AL1145" s="17" t="str">
        <x:f>IF(AND(AI1145&gt;=1,I1145&lt;=50),"Priority 1",IF(AND(AG1145&gt;=1000,I1145&lt;=60),"Priority 2",IF(I1145&lt;=30,"Priority 3","Nurture")))</x:f>
        <x:v>Priority 1</x:v>
      </x:c>
    </x:row>
    <x:row r="1146">
      <x:c r="A1146" s="16" t="n">
        <x:v>5430</x:v>
      </x:c>
      <x:c r="B1146" s="16" t="n">
        <x:v>1956</x:v>
      </x:c>
      <x:c r="C1146" s="16" t="str">
        <x:v>Graduation</x:v>
      </x:c>
      <x:c r="D1146" s="16" t="str">
        <x:v>Together</x:v>
      </x:c>
      <x:c r="E1146" s="16" t="n">
        <x:v>54450</x:v>
      </x:c>
      <x:c r="F1146" s="16" t="n">
        <x:v>1</x:v>
      </x:c>
      <x:c r="G1146" s="16" t="n">
        <x:v>1</x:v>
      </x:c>
      <x:c r="H1146" s="16" t="str">
        <x:v>14-09-2012</x:v>
      </x:c>
      <x:c r="I1146" s="16" t="n">
        <x:v>0</x:v>
      </x:c>
      <x:c r="J1146" s="16" t="n">
        <x:v>454</x:v>
      </x:c>
      <x:c r="K1146" s="16" t="n">
        <x:v>0</x:v>
      </x:c>
      <x:c r="L1146" s="16" t="n">
        <x:v>171</x:v>
      </x:c>
      <x:c r="M1146" s="16" t="n">
        <x:v>8</x:v>
      </x:c>
      <x:c r="N1146" s="16" t="n">
        <x:v>19</x:v>
      </x:c>
      <x:c r="O1146" s="16" t="n">
        <x:v>32</x:v>
      </x:c>
      <x:c r="P1146" s="16" t="n">
        <x:v>12</x:v>
      </x:c>
      <x:c r="Q1146" s="16" t="n">
        <x:v>9</x:v>
      </x:c>
      <x:c r="R1146" s="16" t="n">
        <x:v>2</x:v>
      </x:c>
      <x:c r="S1146" s="16" t="n">
        <x:v>8</x:v>
      </x:c>
      <x:c r="T1146" s="16" t="n">
        <x:v>8</x:v>
      </x:c>
      <x:c r="U1146" s="16" t="n">
        <x:v>0</x:v>
      </x:c>
      <x:c r="V1146" s="16" t="n">
        <x:v>0</x:v>
      </x:c>
      <x:c r="W1146" s="16" t="n">
        <x:v>0</x:v>
      </x:c>
      <x:c r="X1146" s="16" t="n">
        <x:v>0</x:v>
      </x:c>
      <x:c r="Y1146" s="16" t="n">
        <x:v>0</x:v>
      </x:c>
      <x:c r="Z1146" s="16" t="n">
        <x:v>0</x:v>
      </x:c>
      <x:c r="AA1146" s="16" t="n">
        <x:v>3</x:v>
      </x:c>
      <x:c r="AB1146" s="16" t="n">
        <x:v>11</x:v>
      </x:c>
      <x:c r="AC1146" s="16" t="n">
        <x:v>0</x:v>
      </x:c>
      <x:c r="AD1146" s="21" t="n">
        <x:f>IF(E1146="",MEDIAN($E$2:$E$2237),E1146)</x:f>
        <x:v>54450</x:v>
      </x:c>
      <x:c r="AE1146" s="17" t="n">
        <x:f>2014-B1146</x:f>
        <x:v>58</x:v>
      </x:c>
      <x:c r="AF1146" s="17" t="n">
        <x:f>F1146+G1146</x:f>
        <x:v>2</x:v>
      </x:c>
      <x:c r="AG1146" s="21" t="n">
        <x:f>SUM(J1146:O1146)</x:f>
        <x:v>684</x:v>
      </x:c>
      <x:c r="AH1146" s="17" t="n">
        <x:f>SUM(Q1146:S1146)</x:f>
        <x:v>19</x:v>
      </x:c>
      <x:c r="AI1146" s="17" t="n">
        <x:f>SUM(U1146:Y1146)</x:f>
        <x:v>0</x:v>
      </x:c>
      <x:c r="AJ1146" s="17" t="str">
        <x:f>IF(AE1146&lt;=34,"≤34",IF(AE1146&lt;=44,"35–44",IF(AE1146&lt;=54,"45–54",IF(AE1146&lt;=64,"55–64","65+"))))</x:f>
        <x:v>55–64</x:v>
      </x:c>
      <x:c r="AK1146" s="17" t="str">
        <x:f>IF(AG1146&gt;=1000,"High Value",IF(AG1146&gt;=300,"Mid Value","Low Value"))</x:f>
        <x:v>Mid Value</x:v>
      </x:c>
      <x:c r="AL1146" s="17" t="str">
        <x:f>IF(AND(AI1146&gt;=1,I1146&lt;=50),"Priority 1",IF(AND(AG1146&gt;=1000,I1146&lt;=60),"Priority 2",IF(I1146&lt;=30,"Priority 3","Nurture")))</x:f>
        <x:v>Priority 3</x:v>
      </x:c>
    </x:row>
    <x:row r="1147">
      <x:c r="A1147" s="16" t="n">
        <x:v>7755</x:v>
      </x:c>
      <x:c r="B1147" s="16" t="n">
        <x:v>1954</x:v>
      </x:c>
      <x:c r="C1147" s="16" t="str">
        <x:v>PhD</x:v>
      </x:c>
      <x:c r="D1147" s="16" t="str">
        <x:v>Married</x:v>
      </x:c>
      <x:c r="E1147" s="16" t="n">
        <x:v>57744</x:v>
      </x:c>
      <x:c r="F1147" s="16" t="n">
        <x:v>0</x:v>
      </x:c>
      <x:c r="G1147" s="16" t="n">
        <x:v>1</x:v>
      </x:c>
      <x:c r="H1147" s="16" t="str">
        <x:v>12-11-2013</x:v>
      </x:c>
      <x:c r="I1147" s="16" t="n">
        <x:v>91</x:v>
      </x:c>
      <x:c r="J1147" s="16" t="n">
        <x:v>350</x:v>
      </x:c>
      <x:c r="K1147" s="16" t="n">
        <x:v>3</x:v>
      </x:c>
      <x:c r="L1147" s="16" t="n">
        <x:v>39</x:v>
      </x:c>
      <x:c r="M1147" s="16" t="n">
        <x:v>0</x:v>
      </x:c>
      <x:c r="N1147" s="16" t="n">
        <x:v>0</x:v>
      </x:c>
      <x:c r="O1147" s="16" t="n">
        <x:v>19</x:v>
      </x:c>
      <x:c r="P1147" s="16" t="n">
        <x:v>2</x:v>
      </x:c>
      <x:c r="Q1147" s="16" t="n">
        <x:v>9</x:v>
      </x:c>
      <x:c r="R1147" s="16" t="n">
        <x:v>1</x:v>
      </x:c>
      <x:c r="S1147" s="16" t="n">
        <x:v>4</x:v>
      </x:c>
      <x:c r="T1147" s="16" t="n">
        <x:v>8</x:v>
      </x:c>
      <x:c r="U1147" s="16" t="n">
        <x:v>0</x:v>
      </x:c>
      <x:c r="V1147" s="16" t="n">
        <x:v>0</x:v>
      </x:c>
      <x:c r="W1147" s="16" t="n">
        <x:v>0</x:v>
      </x:c>
      <x:c r="X1147" s="16" t="n">
        <x:v>0</x:v>
      </x:c>
      <x:c r="Y1147" s="16" t="n">
        <x:v>0</x:v>
      </x:c>
      <x:c r="Z1147" s="16" t="n">
        <x:v>0</x:v>
      </x:c>
      <x:c r="AA1147" s="16" t="n">
        <x:v>3</x:v>
      </x:c>
      <x:c r="AB1147" s="16" t="n">
        <x:v>11</x:v>
      </x:c>
      <x:c r="AC1147" s="16" t="n">
        <x:v>0</x:v>
      </x:c>
      <x:c r="AD1147" s="21" t="n">
        <x:f>IF(E1147="",MEDIAN($E$2:$E$2237),E1147)</x:f>
        <x:v>57744</x:v>
      </x:c>
      <x:c r="AE1147" s="17" t="n">
        <x:f>2014-B1147</x:f>
        <x:v>60</x:v>
      </x:c>
      <x:c r="AF1147" s="17" t="n">
        <x:f>F1147+G1147</x:f>
        <x:v>1</x:v>
      </x:c>
      <x:c r="AG1147" s="21" t="n">
        <x:f>SUM(J1147:O1147)</x:f>
        <x:v>411</x:v>
      </x:c>
      <x:c r="AH1147" s="17" t="n">
        <x:f>SUM(Q1147:S1147)</x:f>
        <x:v>14</x:v>
      </x:c>
      <x:c r="AI1147" s="17" t="n">
        <x:f>SUM(U1147:Y1147)</x:f>
        <x:v>0</x:v>
      </x:c>
      <x:c r="AJ1147" s="17" t="str">
        <x:f>IF(AE1147&lt;=34,"≤34",IF(AE1147&lt;=44,"35–44",IF(AE1147&lt;=54,"45–54",IF(AE1147&lt;=64,"55–64","65+"))))</x:f>
        <x:v>55–64</x:v>
      </x:c>
      <x:c r="AK1147" s="17" t="str">
        <x:f>IF(AG1147&gt;=1000,"High Value",IF(AG1147&gt;=300,"Mid Value","Low Value"))</x:f>
        <x:v>Mid Value</x:v>
      </x:c>
      <x:c r="AL1147" s="17" t="str">
        <x:f>IF(AND(AI1147&gt;=1,I1147&lt;=50),"Priority 1",IF(AND(AG1147&gt;=1000,I1147&lt;=60),"Priority 2",IF(I1147&lt;=30,"Priority 3","Nurture")))</x:f>
        <x:v>Nurture</x:v>
      </x:c>
    </x:row>
    <x:row r="1148">
      <x:c r="A1148" s="16" t="n">
        <x:v>10525</x:v>
      </x:c>
      <x:c r="B1148" s="16" t="n">
        <x:v>1986</x:v>
      </x:c>
      <x:c r="C1148" s="16" t="str">
        <x:v>Graduation</x:v>
      </x:c>
      <x:c r="D1148" s="16" t="str">
        <x:v>Single</x:v>
      </x:c>
      <x:c r="E1148" s="16" t="n">
        <x:v>26576</x:v>
      </x:c>
      <x:c r="F1148" s="16" t="n">
        <x:v>1</x:v>
      </x:c>
      <x:c r="G1148" s="16" t="n">
        <x:v>0</x:v>
      </x:c>
      <x:c r="H1148" s="16" t="str">
        <x:v>13-10-2012</x:v>
      </x:c>
      <x:c r="I1148" s="16" t="n">
        <x:v>40</x:v>
      </x:c>
      <x:c r="J1148" s="16" t="n">
        <x:v>10</x:v>
      </x:c>
      <x:c r="K1148" s="16" t="n">
        <x:v>0</x:v>
      </x:c>
      <x:c r="L1148" s="16" t="n">
        <x:v>8</x:v>
      </x:c>
      <x:c r="M1148" s="16" t="n">
        <x:v>0</x:v>
      </x:c>
      <x:c r="N1148" s="16" t="n">
        <x:v>0</x:v>
      </x:c>
      <x:c r="O1148" s="16" t="n">
        <x:v>9</x:v>
      </x:c>
      <x:c r="P1148" s="16" t="n">
        <x:v>1</x:v>
      </x:c>
      <x:c r="Q1148" s="16" t="n">
        <x:v>1</x:v>
      </x:c>
      <x:c r="R1148" s="16" t="n">
        <x:v>0</x:v>
      </x:c>
      <x:c r="S1148" s="16" t="n">
        <x:v>2</x:v>
      </x:c>
      <x:c r="T1148" s="16" t="n">
        <x:v>9</x:v>
      </x:c>
      <x:c r="U1148" s="16" t="n">
        <x:v>1</x:v>
      </x:c>
      <x:c r="V1148" s="16" t="n">
        <x:v>0</x:v>
      </x:c>
      <x:c r="W1148" s="16" t="n">
        <x:v>0</x:v>
      </x:c>
      <x:c r="X1148" s="16" t="n">
        <x:v>0</x:v>
      </x:c>
      <x:c r="Y1148" s="16" t="n">
        <x:v>0</x:v>
      </x:c>
      <x:c r="Z1148" s="16" t="n">
        <x:v>0</x:v>
      </x:c>
      <x:c r="AA1148" s="16" t="n">
        <x:v>3</x:v>
      </x:c>
      <x:c r="AB1148" s="16" t="n">
        <x:v>11</x:v>
      </x:c>
      <x:c r="AC1148" s="16" t="n">
        <x:v>1</x:v>
      </x:c>
      <x:c r="AD1148" s="21" t="n">
        <x:f>IF(E1148="",MEDIAN($E$2:$E$2237),E1148)</x:f>
        <x:v>26576</x:v>
      </x:c>
      <x:c r="AE1148" s="17" t="n">
        <x:f>2014-B1148</x:f>
        <x:v>28</x:v>
      </x:c>
      <x:c r="AF1148" s="17" t="n">
        <x:f>F1148+G1148</x:f>
        <x:v>1</x:v>
      </x:c>
      <x:c r="AG1148" s="21" t="n">
        <x:f>SUM(J1148:O1148)</x:f>
        <x:v>27</x:v>
      </x:c>
      <x:c r="AH1148" s="17" t="n">
        <x:f>SUM(Q1148:S1148)</x:f>
        <x:v>3</x:v>
      </x:c>
      <x:c r="AI1148" s="17" t="n">
        <x:f>SUM(U1148:Y1148)</x:f>
        <x:v>1</x:v>
      </x:c>
      <x:c r="AJ1148" s="17" t="str">
        <x:f>IF(AE1148&lt;=34,"≤34",IF(AE1148&lt;=44,"35–44",IF(AE1148&lt;=54,"45–54",IF(AE1148&lt;=64,"55–64","65+"))))</x:f>
        <x:v>≤34</x:v>
      </x:c>
      <x:c r="AK1148" s="17" t="str">
        <x:f>IF(AG1148&gt;=1000,"High Value",IF(AG1148&gt;=300,"Mid Value","Low Value"))</x:f>
        <x:v>Low Value</x:v>
      </x:c>
      <x:c r="AL1148" s="17" t="str">
        <x:f>IF(AND(AI1148&gt;=1,I1148&lt;=50),"Priority 1",IF(AND(AG1148&gt;=1000,I1148&lt;=60),"Priority 2",IF(I1148&lt;=30,"Priority 3","Nurture")))</x:f>
        <x:v>Priority 1</x:v>
      </x:c>
    </x:row>
    <x:row r="1149">
      <x:c r="A1149" s="16" t="n">
        <x:v>1453</x:v>
      </x:c>
      <x:c r="B1149" s="16" t="n">
        <x:v>1943</x:v>
      </x:c>
      <x:c r="C1149" s="16" t="str">
        <x:v>PhD</x:v>
      </x:c>
      <x:c r="D1149" s="16" t="str">
        <x:v>Widow</x:v>
      </x:c>
      <x:c r="E1149" s="16" t="n">
        <x:v>57513</x:v>
      </x:c>
      <x:c r="F1149" s="16" t="n">
        <x:v>0</x:v>
      </x:c>
      <x:c r="G1149" s="16" t="n">
        <x:v>0</x:v>
      </x:c>
      <x:c r="H1149" s="16" t="str">
        <x:v>06-07-2013</x:v>
      </x:c>
      <x:c r="I1149" s="16" t="n">
        <x:v>59</x:v>
      </x:c>
      <x:c r="J1149" s="16" t="n">
        <x:v>735</x:v>
      </x:c>
      <x:c r="K1149" s="16" t="n">
        <x:v>40</x:v>
      </x:c>
      <x:c r="L1149" s="16" t="n">
        <x:v>183</x:v>
      </x:c>
      <x:c r="M1149" s="16" t="n">
        <x:v>52</x:v>
      </x:c>
      <x:c r="N1149" s="16" t="n">
        <x:v>20</x:v>
      </x:c>
      <x:c r="O1149" s="16" t="n">
        <x:v>30</x:v>
      </x:c>
      <x:c r="P1149" s="16" t="n">
        <x:v>2</x:v>
      </x:c>
      <x:c r="Q1149" s="16" t="n">
        <x:v>9</x:v>
      </x:c>
      <x:c r="R1149" s="16" t="n">
        <x:v>3</x:v>
      </x:c>
      <x:c r="S1149" s="16" t="n">
        <x:v>13</x:v>
      </x:c>
      <x:c r="T1149" s="16" t="n">
        <x:v>6</x:v>
      </x:c>
      <x:c r="U1149" s="16" t="n">
        <x:v>0</x:v>
      </x:c>
      <x:c r="V1149" s="16" t="n">
        <x:v>0</x:v>
      </x:c>
      <x:c r="W1149" s="16" t="n">
        <x:v>0</x:v>
      </x:c>
      <x:c r="X1149" s="16" t="n">
        <x:v>0</x:v>
      </x:c>
      <x:c r="Y1149" s="16" t="n">
        <x:v>0</x:v>
      </x:c>
      <x:c r="Z1149" s="16" t="n">
        <x:v>0</x:v>
      </x:c>
      <x:c r="AA1149" s="16" t="n">
        <x:v>3</x:v>
      </x:c>
      <x:c r="AB1149" s="16" t="n">
        <x:v>11</x:v>
      </x:c>
      <x:c r="AC1149" s="16" t="n">
        <x:v>0</x:v>
      </x:c>
      <x:c r="AD1149" s="21" t="n">
        <x:f>IF(E1149="",MEDIAN($E$2:$E$2237),E1149)</x:f>
        <x:v>57513</x:v>
      </x:c>
      <x:c r="AE1149" s="17" t="n">
        <x:f>2014-B1149</x:f>
        <x:v>71</x:v>
      </x:c>
      <x:c r="AF1149" s="17" t="n">
        <x:f>F1149+G1149</x:f>
        <x:v>0</x:v>
      </x:c>
      <x:c r="AG1149" s="21" t="n">
        <x:f>SUM(J1149:O1149)</x:f>
        <x:v>1060</x:v>
      </x:c>
      <x:c r="AH1149" s="17" t="n">
        <x:f>SUM(Q1149:S1149)</x:f>
        <x:v>25</x:v>
      </x:c>
      <x:c r="AI1149" s="17" t="n">
        <x:f>SUM(U1149:Y1149)</x:f>
        <x:v>0</x:v>
      </x:c>
      <x:c r="AJ1149" s="17" t="str">
        <x:f>IF(AE1149&lt;=34,"≤34",IF(AE1149&lt;=44,"35–44",IF(AE1149&lt;=54,"45–54",IF(AE1149&lt;=64,"55–64","65+"))))</x:f>
        <x:v>65+</x:v>
      </x:c>
      <x:c r="AK1149" s="17" t="str">
        <x:f>IF(AG1149&gt;=1000,"High Value",IF(AG1149&gt;=300,"Mid Value","Low Value"))</x:f>
        <x:v>High Value</x:v>
      </x:c>
      <x:c r="AL1149" s="17" t="str">
        <x:f>IF(AND(AI1149&gt;=1,I1149&lt;=50),"Priority 1",IF(AND(AG1149&gt;=1000,I1149&lt;=60),"Priority 2",IF(I1149&lt;=30,"Priority 3","Nurture")))</x:f>
        <x:v>Priority 2</x:v>
      </x:c>
    </x:row>
    <x:row r="1150">
      <x:c r="A1150" s="16" t="n">
        <x:v>8310</x:v>
      </x:c>
      <x:c r="B1150" s="16" t="n">
        <x:v>1964</x:v>
      </x:c>
      <x:c r="C1150" s="16" t="str">
        <x:v>Graduation</x:v>
      </x:c>
      <x:c r="D1150" s="16" t="str">
        <x:v>Together</x:v>
      </x:c>
      <x:c r="E1150" s="16" t="n">
        <x:v>68142</x:v>
      </x:c>
      <x:c r="F1150" s="16" t="n">
        <x:v>0</x:v>
      </x:c>
      <x:c r="G1150" s="16" t="n">
        <x:v>1</x:v>
      </x:c>
      <x:c r="H1150" s="16" t="str">
        <x:v>29-08-2012</x:v>
      </x:c>
      <x:c r="I1150" s="16" t="n">
        <x:v>96</x:v>
      </x:c>
      <x:c r="J1150" s="16" t="n">
        <x:v>897</x:v>
      </x:c>
      <x:c r="K1150" s="16" t="n">
        <x:v>126</x:v>
      </x:c>
      <x:c r="L1150" s="16" t="n">
        <x:v>196</x:v>
      </x:c>
      <x:c r="M1150" s="16" t="n">
        <x:v>91</x:v>
      </x:c>
      <x:c r="N1150" s="16" t="n">
        <x:v>112</x:v>
      </x:c>
      <x:c r="O1150" s="16" t="n">
        <x:v>37</x:v>
      </x:c>
      <x:c r="P1150" s="16" t="n">
        <x:v>3</x:v>
      </x:c>
      <x:c r="Q1150" s="16" t="n">
        <x:v>10</x:v>
      </x:c>
      <x:c r="R1150" s="16" t="n">
        <x:v>4</x:v>
      </x:c>
      <x:c r="S1150" s="16" t="n">
        <x:v>7</x:v>
      </x:c>
      <x:c r="T1150" s="16" t="n">
        <x:v>6</x:v>
      </x:c>
      <x:c r="U1150" s="16" t="n">
        <x:v>0</x:v>
      </x:c>
      <x:c r="V1150" s="16" t="n">
        <x:v>0</x:v>
      </x:c>
      <x:c r="W1150" s="16" t="n">
        <x:v>0</x:v>
      </x:c>
      <x:c r="X1150" s="16" t="n">
        <x:v>0</x:v>
      </x:c>
      <x:c r="Y1150" s="16" t="n">
        <x:v>0</x:v>
      </x:c>
      <x:c r="Z1150" s="16" t="n">
        <x:v>0</x:v>
      </x:c>
      <x:c r="AA1150" s="16" t="n">
        <x:v>3</x:v>
      </x:c>
      <x:c r="AB1150" s="16" t="n">
        <x:v>11</x:v>
      </x:c>
      <x:c r="AC1150" s="16" t="n">
        <x:v>0</x:v>
      </x:c>
      <x:c r="AD1150" s="21" t="n">
        <x:f>IF(E1150="",MEDIAN($E$2:$E$2237),E1150)</x:f>
        <x:v>68142</x:v>
      </x:c>
      <x:c r="AE1150" s="17" t="n">
        <x:f>2014-B1150</x:f>
        <x:v>50</x:v>
      </x:c>
      <x:c r="AF1150" s="17" t="n">
        <x:f>F1150+G1150</x:f>
        <x:v>1</x:v>
      </x:c>
      <x:c r="AG1150" s="21" t="n">
        <x:f>SUM(J1150:O1150)</x:f>
        <x:v>1459</x:v>
      </x:c>
      <x:c r="AH1150" s="17" t="n">
        <x:f>SUM(Q1150:S1150)</x:f>
        <x:v>21</x:v>
      </x:c>
      <x:c r="AI1150" s="17" t="n">
        <x:f>SUM(U1150:Y1150)</x:f>
        <x:v>0</x:v>
      </x:c>
      <x:c r="AJ1150" s="17" t="str">
        <x:f>IF(AE1150&lt;=34,"≤34",IF(AE1150&lt;=44,"35–44",IF(AE1150&lt;=54,"45–54",IF(AE1150&lt;=64,"55–64","65+"))))</x:f>
        <x:v>45–54</x:v>
      </x:c>
      <x:c r="AK1150" s="17" t="str">
        <x:f>IF(AG1150&gt;=1000,"High Value",IF(AG1150&gt;=300,"Mid Value","Low Value"))</x:f>
        <x:v>High Value</x:v>
      </x:c>
      <x:c r="AL1150" s="17" t="str">
        <x:f>IF(AND(AI1150&gt;=1,I1150&lt;=50),"Priority 1",IF(AND(AG1150&gt;=1000,I1150&lt;=60),"Priority 2",IF(I1150&lt;=30,"Priority 3","Nurture")))</x:f>
        <x:v>Nurture</x:v>
      </x:c>
    </x:row>
    <x:row r="1151">
      <x:c r="A1151" s="16" t="n">
        <x:v>10710</x:v>
      </x:c>
      <x:c r="B1151" s="16" t="n">
        <x:v>1979</x:v>
      </x:c>
      <x:c r="C1151" s="16" t="str">
        <x:v>Graduation</x:v>
      </x:c>
      <x:c r="D1151" s="16" t="str">
        <x:v>Married</x:v>
      </x:c>
      <x:c r="E1151" s="16" t="n">
        <x:v>7500</x:v>
      </x:c>
      <x:c r="F1151" s="16" t="n">
        <x:v>0</x:v>
      </x:c>
      <x:c r="G1151" s="16" t="n">
        <x:v>1</x:v>
      </x:c>
      <x:c r="H1151" s="16" t="str">
        <x:v>29-08-2012</x:v>
      </x:c>
      <x:c r="I1151" s="16" t="n">
        <x:v>61</x:v>
      </x:c>
      <x:c r="J1151" s="16" t="n">
        <x:v>5</x:v>
      </x:c>
      <x:c r="K1151" s="16" t="n">
        <x:v>2</x:v>
      </x:c>
      <x:c r="L1151" s="16" t="n">
        <x:v>3</x:v>
      </x:c>
      <x:c r="M1151" s="16" t="n">
        <x:v>3</x:v>
      </x:c>
      <x:c r="N1151" s="16" t="n">
        <x:v>0</x:v>
      </x:c>
      <x:c r="O1151" s="16" t="n">
        <x:v>5</x:v>
      </x:c>
      <x:c r="P1151" s="16" t="n">
        <x:v>1</x:v>
      </x:c>
      <x:c r="Q1151" s="16" t="n">
        <x:v>1</x:v>
      </x:c>
      <x:c r="R1151" s="16" t="n">
        <x:v>0</x:v>
      </x:c>
      <x:c r="S1151" s="16" t="n">
        <x:v>2</x:v>
      </x:c>
      <x:c r="T1151" s="16" t="n">
        <x:v>8</x:v>
      </x:c>
      <x:c r="U1151" s="16" t="n">
        <x:v>0</x:v>
      </x:c>
      <x:c r="V1151" s="16" t="n">
        <x:v>0</x:v>
      </x:c>
      <x:c r="W1151" s="16" t="n">
        <x:v>0</x:v>
      </x:c>
      <x:c r="X1151" s="16" t="n">
        <x:v>0</x:v>
      </x:c>
      <x:c r="Y1151" s="16" t="n">
        <x:v>0</x:v>
      </x:c>
      <x:c r="Z1151" s="16" t="n">
        <x:v>0</x:v>
      </x:c>
      <x:c r="AA1151" s="16" t="n">
        <x:v>3</x:v>
      </x:c>
      <x:c r="AB1151" s="16" t="n">
        <x:v>11</x:v>
      </x:c>
      <x:c r="AC1151" s="16" t="n">
        <x:v>0</x:v>
      </x:c>
      <x:c r="AD1151" s="21" t="n">
        <x:f>IF(E1151="",MEDIAN($E$2:$E$2237),E1151)</x:f>
        <x:v>7500</x:v>
      </x:c>
      <x:c r="AE1151" s="17" t="n">
        <x:f>2014-B1151</x:f>
        <x:v>35</x:v>
      </x:c>
      <x:c r="AF1151" s="17" t="n">
        <x:f>F1151+G1151</x:f>
        <x:v>1</x:v>
      </x:c>
      <x:c r="AG1151" s="21" t="n">
        <x:f>SUM(J1151:O1151)</x:f>
        <x:v>18</x:v>
      </x:c>
      <x:c r="AH1151" s="17" t="n">
        <x:f>SUM(Q1151:S1151)</x:f>
        <x:v>3</x:v>
      </x:c>
      <x:c r="AI1151" s="17" t="n">
        <x:f>SUM(U1151:Y1151)</x:f>
        <x:v>0</x:v>
      </x:c>
      <x:c r="AJ1151" s="17" t="str">
        <x:f>IF(AE1151&lt;=34,"≤34",IF(AE1151&lt;=44,"35–44",IF(AE1151&lt;=54,"45–54",IF(AE1151&lt;=64,"55–64","65+"))))</x:f>
        <x:v>35–44</x:v>
      </x:c>
      <x:c r="AK1151" s="17" t="str">
        <x:f>IF(AG1151&gt;=1000,"High Value",IF(AG1151&gt;=300,"Mid Value","Low Value"))</x:f>
        <x:v>Low Value</x:v>
      </x:c>
      <x:c r="AL1151" s="17" t="str">
        <x:f>IF(AND(AI1151&gt;=1,I1151&lt;=50),"Priority 1",IF(AND(AG1151&gt;=1000,I1151&lt;=60),"Priority 2",IF(I1151&lt;=30,"Priority 3","Nurture")))</x:f>
        <x:v>Nurture</x:v>
      </x:c>
    </x:row>
    <x:row r="1152">
      <x:c r="A1152" s="16" t="n">
        <x:v>5031</x:v>
      </x:c>
      <x:c r="B1152" s="16" t="n">
        <x:v>1974</x:v>
      </x:c>
      <x:c r="C1152" s="16" t="str">
        <x:v>Graduation</x:v>
      </x:c>
      <x:c r="D1152" s="16" t="str">
        <x:v>Together</x:v>
      </x:c>
      <x:c r="E1152" s="16" t="n">
        <x:v>83145</x:v>
      </x:c>
      <x:c r="F1152" s="16" t="n">
        <x:v>0</x:v>
      </x:c>
      <x:c r="G1152" s="16" t="n">
        <x:v>0</x:v>
      </x:c>
      <x:c r="H1152" s="16" t="str">
        <x:v>22-09-2012</x:v>
      </x:c>
      <x:c r="I1152" s="16" t="n">
        <x:v>14</x:v>
      </x:c>
      <x:c r="J1152" s="16" t="n">
        <x:v>777</x:v>
      </x:c>
      <x:c r="K1152" s="16" t="n">
        <x:v>35</x:v>
      </x:c>
      <x:c r="L1152" s="16" t="n">
        <x:v>731</x:v>
      </x:c>
      <x:c r="M1152" s="16" t="n">
        <x:v>39</x:v>
      </x:c>
      <x:c r="N1152" s="16" t="n">
        <x:v>137</x:v>
      </x:c>
      <x:c r="O1152" s="16" t="n">
        <x:v>114</x:v>
      </x:c>
      <x:c r="P1152" s="16" t="n">
        <x:v>1</x:v>
      </x:c>
      <x:c r="Q1152" s="16" t="n">
        <x:v>5</x:v>
      </x:c>
      <x:c r="R1152" s="16" t="n">
        <x:v>9</x:v>
      </x:c>
      <x:c r="S1152" s="16" t="n">
        <x:v>11</x:v>
      </x:c>
      <x:c r="T1152" s="16" t="n">
        <x:v>2</x:v>
      </x:c>
      <x:c r="U1152" s="16" t="n">
        <x:v>0</x:v>
      </x:c>
      <x:c r="V1152" s="16" t="n">
        <x:v>0</x:v>
      </x:c>
      <x:c r="W1152" s="16" t="n">
        <x:v>1</x:v>
      </x:c>
      <x:c r="X1152" s="16" t="n">
        <x:v>0</x:v>
      </x:c>
      <x:c r="Y1152" s="16" t="n">
        <x:v>0</x:v>
      </x:c>
      <x:c r="Z1152" s="16" t="n">
        <x:v>0</x:v>
      </x:c>
      <x:c r="AA1152" s="16" t="n">
        <x:v>3</x:v>
      </x:c>
      <x:c r="AB1152" s="16" t="n">
        <x:v>11</x:v>
      </x:c>
      <x:c r="AC1152" s="16" t="n">
        <x:v>1</x:v>
      </x:c>
      <x:c r="AD1152" s="21" t="n">
        <x:f>IF(E1152="",MEDIAN($E$2:$E$2237),E1152)</x:f>
        <x:v>83145</x:v>
      </x:c>
      <x:c r="AE1152" s="17" t="n">
        <x:f>2014-B1152</x:f>
        <x:v>40</x:v>
      </x:c>
      <x:c r="AF1152" s="17" t="n">
        <x:f>F1152+G1152</x:f>
        <x:v>0</x:v>
      </x:c>
      <x:c r="AG1152" s="21" t="n">
        <x:f>SUM(J1152:O1152)</x:f>
        <x:v>1833</x:v>
      </x:c>
      <x:c r="AH1152" s="17" t="n">
        <x:f>SUM(Q1152:S1152)</x:f>
        <x:v>25</x:v>
      </x:c>
      <x:c r="AI1152" s="17" t="n">
        <x:f>SUM(U1152:Y1152)</x:f>
        <x:v>1</x:v>
      </x:c>
      <x:c r="AJ1152" s="17" t="str">
        <x:f>IF(AE1152&lt;=34,"≤34",IF(AE1152&lt;=44,"35–44",IF(AE1152&lt;=54,"45–54",IF(AE1152&lt;=64,"55–64","65+"))))</x:f>
        <x:v>35–44</x:v>
      </x:c>
      <x:c r="AK1152" s="17" t="str">
        <x:f>IF(AG1152&gt;=1000,"High Value",IF(AG1152&gt;=300,"Mid Value","Low Value"))</x:f>
        <x:v>High Value</x:v>
      </x:c>
      <x:c r="AL1152" s="17" t="str">
        <x:f>IF(AND(AI1152&gt;=1,I1152&lt;=50),"Priority 1",IF(AND(AG1152&gt;=1000,I1152&lt;=60),"Priority 2",IF(I1152&lt;=30,"Priority 3","Nurture")))</x:f>
        <x:v>Priority 1</x:v>
      </x:c>
    </x:row>
    <x:row r="1153">
      <x:c r="A1153" s="16" t="n">
        <x:v>2613</x:v>
      </x:c>
      <x:c r="B1153" s="16" t="n">
        <x:v>1960</x:v>
      </x:c>
      <x:c r="C1153" s="16" t="str">
        <x:v>Master</x:v>
      </x:c>
      <x:c r="D1153" s="16" t="str">
        <x:v>Married</x:v>
      </x:c>
      <x:c r="E1153" s="16" t="n">
        <x:v>54197</x:v>
      </x:c>
      <x:c r="F1153" s="16" t="n">
        <x:v>0</x:v>
      </x:c>
      <x:c r="G1153" s="16" t="n">
        <x:v>1</x:v>
      </x:c>
      <x:c r="H1153" s="16" t="str">
        <x:v>03-04-2014</x:v>
      </x:c>
      <x:c r="I1153" s="16" t="n">
        <x:v>16</x:v>
      </x:c>
      <x:c r="J1153" s="16" t="n">
        <x:v>162</x:v>
      </x:c>
      <x:c r="K1153" s="16" t="n">
        <x:v>6</x:v>
      </x:c>
      <x:c r="L1153" s="16" t="n">
        <x:v>37</x:v>
      </x:c>
      <x:c r="M1153" s="16" t="n">
        <x:v>6</x:v>
      </x:c>
      <x:c r="N1153" s="16" t="n">
        <x:v>13</x:v>
      </x:c>
      <x:c r="O1153" s="16" t="n">
        <x:v>13</x:v>
      </x:c>
      <x:c r="P1153" s="16" t="n">
        <x:v>2</x:v>
      </x:c>
      <x:c r="Q1153" s="16" t="n">
        <x:v>1</x:v>
      </x:c>
      <x:c r="R1153" s="16" t="n">
        <x:v>3</x:v>
      </x:c>
      <x:c r="S1153" s="16" t="n">
        <x:v>6</x:v>
      </x:c>
      <x:c r="T1153" s="16" t="n">
        <x:v>1</x:v>
      </x:c>
      <x:c r="U1153" s="16" t="n">
        <x:v>0</x:v>
      </x:c>
      <x:c r="V1153" s="16" t="n">
        <x:v>0</x:v>
      </x:c>
      <x:c r="W1153" s="16" t="n">
        <x:v>0</x:v>
      </x:c>
      <x:c r="X1153" s="16" t="n">
        <x:v>0</x:v>
      </x:c>
      <x:c r="Y1153" s="16" t="n">
        <x:v>0</x:v>
      </x:c>
      <x:c r="Z1153" s="16" t="n">
        <x:v>0</x:v>
      </x:c>
      <x:c r="AA1153" s="16" t="n">
        <x:v>3</x:v>
      </x:c>
      <x:c r="AB1153" s="16" t="n">
        <x:v>11</x:v>
      </x:c>
      <x:c r="AC1153" s="16" t="n">
        <x:v>0</x:v>
      </x:c>
      <x:c r="AD1153" s="21" t="n">
        <x:f>IF(E1153="",MEDIAN($E$2:$E$2237),E1153)</x:f>
        <x:v>54197</x:v>
      </x:c>
      <x:c r="AE1153" s="17" t="n">
        <x:f>2014-B1153</x:f>
        <x:v>54</x:v>
      </x:c>
      <x:c r="AF1153" s="17" t="n">
        <x:f>F1153+G1153</x:f>
        <x:v>1</x:v>
      </x:c>
      <x:c r="AG1153" s="21" t="n">
        <x:f>SUM(J1153:O1153)</x:f>
        <x:v>237</x:v>
      </x:c>
      <x:c r="AH1153" s="17" t="n">
        <x:f>SUM(Q1153:S1153)</x:f>
        <x:v>10</x:v>
      </x:c>
      <x:c r="AI1153" s="17" t="n">
        <x:f>SUM(U1153:Y1153)</x:f>
        <x:v>0</x:v>
      </x:c>
      <x:c r="AJ1153" s="17" t="str">
        <x:f>IF(AE1153&lt;=34,"≤34",IF(AE1153&lt;=44,"35–44",IF(AE1153&lt;=54,"45–54",IF(AE1153&lt;=64,"55–64","65+"))))</x:f>
        <x:v>45–54</x:v>
      </x:c>
      <x:c r="AK1153" s="17" t="str">
        <x:f>IF(AG1153&gt;=1000,"High Value",IF(AG1153&gt;=300,"Mid Value","Low Value"))</x:f>
        <x:v>Low Value</x:v>
      </x:c>
      <x:c r="AL1153" s="17" t="str">
        <x:f>IF(AND(AI1153&gt;=1,I1153&lt;=50),"Priority 1",IF(AND(AG1153&gt;=1000,I1153&lt;=60),"Priority 2",IF(I1153&lt;=30,"Priority 3","Nurture")))</x:f>
        <x:v>Priority 3</x:v>
      </x:c>
    </x:row>
    <x:row r="1154">
      <x:c r="A1154" s="16" t="n">
        <x:v>213</x:v>
      </x:c>
      <x:c r="B1154" s="16" t="n">
        <x:v>1963</x:v>
      </x:c>
      <x:c r="C1154" s="16" t="str">
        <x:v>PhD</x:v>
      </x:c>
      <x:c r="D1154" s="16" t="str">
        <x:v>Single</x:v>
      </x:c>
      <x:c r="E1154" s="16" t="n">
        <x:v>23091</x:v>
      </x:c>
      <x:c r="F1154" s="16" t="n">
        <x:v>1</x:v>
      </x:c>
      <x:c r="G1154" s="16" t="n">
        <x:v>1</x:v>
      </x:c>
      <x:c r="H1154" s="16" t="str">
        <x:v>28-05-2014</x:v>
      </x:c>
      <x:c r="I1154" s="16" t="n">
        <x:v>98</x:v>
      </x:c>
      <x:c r="J1154" s="16" t="n">
        <x:v>35</x:v>
      </x:c>
      <x:c r="K1154" s="16" t="n">
        <x:v>0</x:v>
      </x:c>
      <x:c r="L1154" s="16" t="n">
        <x:v>11</x:v>
      </x:c>
      <x:c r="M1154" s="16" t="n">
        <x:v>0</x:v>
      </x:c>
      <x:c r="N1154" s="16" t="n">
        <x:v>0</x:v>
      </x:c>
      <x:c r="O1154" s="16" t="n">
        <x:v>2</x:v>
      </x:c>
      <x:c r="P1154" s="16" t="n">
        <x:v>4</x:v>
      </x:c>
      <x:c r="Q1154" s="16" t="n">
        <x:v>2</x:v>
      </x:c>
      <x:c r="R1154" s="16" t="n">
        <x:v>1</x:v>
      </x:c>
      <x:c r="S1154" s="16" t="n">
        <x:v>3</x:v>
      </x:c>
      <x:c r="T1154" s="16" t="n">
        <x:v>7</x:v>
      </x:c>
      <x:c r="U1154" s="16" t="n">
        <x:v>0</x:v>
      </x:c>
      <x:c r="V1154" s="16" t="n">
        <x:v>0</x:v>
      </x:c>
      <x:c r="W1154" s="16" t="n">
        <x:v>0</x:v>
      </x:c>
      <x:c r="X1154" s="16" t="n">
        <x:v>0</x:v>
      </x:c>
      <x:c r="Y1154" s="16" t="n">
        <x:v>0</x:v>
      </x:c>
      <x:c r="Z1154" s="16" t="n">
        <x:v>0</x:v>
      </x:c>
      <x:c r="AA1154" s="16" t="n">
        <x:v>3</x:v>
      </x:c>
      <x:c r="AB1154" s="16" t="n">
        <x:v>11</x:v>
      </x:c>
      <x:c r="AC1154" s="16" t="n">
        <x:v>0</x:v>
      </x:c>
      <x:c r="AD1154" s="21" t="n">
        <x:f>IF(E1154="",MEDIAN($E$2:$E$2237),E1154)</x:f>
        <x:v>23091</x:v>
      </x:c>
      <x:c r="AE1154" s="17" t="n">
        <x:f>2014-B1154</x:f>
        <x:v>51</x:v>
      </x:c>
      <x:c r="AF1154" s="17" t="n">
        <x:f>F1154+G1154</x:f>
        <x:v>2</x:v>
      </x:c>
      <x:c r="AG1154" s="21" t="n">
        <x:f>SUM(J1154:O1154)</x:f>
        <x:v>48</x:v>
      </x:c>
      <x:c r="AH1154" s="17" t="n">
        <x:f>SUM(Q1154:S1154)</x:f>
        <x:v>6</x:v>
      </x:c>
      <x:c r="AI1154" s="17" t="n">
        <x:f>SUM(U1154:Y1154)</x:f>
        <x:v>0</x:v>
      </x:c>
      <x:c r="AJ1154" s="17" t="str">
        <x:f>IF(AE1154&lt;=34,"≤34",IF(AE1154&lt;=44,"35–44",IF(AE1154&lt;=54,"45–54",IF(AE1154&lt;=64,"55–64","65+"))))</x:f>
        <x:v>45–54</x:v>
      </x:c>
      <x:c r="AK1154" s="17" t="str">
        <x:f>IF(AG1154&gt;=1000,"High Value",IF(AG1154&gt;=300,"Mid Value","Low Value"))</x:f>
        <x:v>Low Value</x:v>
      </x:c>
      <x:c r="AL1154" s="17" t="str">
        <x:f>IF(AND(AI1154&gt;=1,I1154&lt;=50),"Priority 1",IF(AND(AG1154&gt;=1000,I1154&lt;=60),"Priority 2",IF(I1154&lt;=30,"Priority 3","Nurture")))</x:f>
        <x:v>Nurture</x:v>
      </x:c>
    </x:row>
    <x:row r="1155">
      <x:c r="A1155" s="16" t="n">
        <x:v>967</x:v>
      </x:c>
      <x:c r="B1155" s="16" t="n">
        <x:v>1976</x:v>
      </x:c>
      <x:c r="C1155" s="16" t="str">
        <x:v>Graduation</x:v>
      </x:c>
      <x:c r="D1155" s="16" t="str">
        <x:v>Married</x:v>
      </x:c>
      <x:c r="E1155" s="16" t="n">
        <x:v>46049</x:v>
      </x:c>
      <x:c r="F1155" s="16" t="n">
        <x:v>1</x:v>
      </x:c>
      <x:c r="G1155" s="16" t="n">
        <x:v>1</x:v>
      </x:c>
      <x:c r="H1155" s="16" t="str">
        <x:v>21-07-2013</x:v>
      </x:c>
      <x:c r="I1155" s="16" t="n">
        <x:v>11</x:v>
      </x:c>
      <x:c r="J1155" s="16" t="n">
        <x:v>342</x:v>
      </x:c>
      <x:c r="K1155" s="16" t="n">
        <x:v>9</x:v>
      </x:c>
      <x:c r="L1155" s="16" t="n">
        <x:v>112</x:v>
      </x:c>
      <x:c r="M1155" s="16" t="n">
        <x:v>19</x:v>
      </x:c>
      <x:c r="N1155" s="16" t="n">
        <x:v>14</x:v>
      </x:c>
      <x:c r="O1155" s="16" t="n">
        <x:v>19</x:v>
      </x:c>
      <x:c r="P1155" s="16" t="n">
        <x:v>10</x:v>
      </x:c>
      <x:c r="Q1155" s="16" t="n">
        <x:v>5</x:v>
      </x:c>
      <x:c r="R1155" s="16" t="n">
        <x:v>2</x:v>
      </x:c>
      <x:c r="S1155" s="16" t="n">
        <x:v>9</x:v>
      </x:c>
      <x:c r="T1155" s="16" t="n">
        <x:v>7</x:v>
      </x:c>
      <x:c r="U1155" s="16" t="n">
        <x:v>0</x:v>
      </x:c>
      <x:c r="V1155" s="16" t="n">
        <x:v>0</x:v>
      </x:c>
      <x:c r="W1155" s="16" t="n">
        <x:v>0</x:v>
      </x:c>
      <x:c r="X1155" s="16" t="n">
        <x:v>0</x:v>
      </x:c>
      <x:c r="Y1155" s="16" t="n">
        <x:v>0</x:v>
      </x:c>
      <x:c r="Z1155" s="16" t="n">
        <x:v>0</x:v>
      </x:c>
      <x:c r="AA1155" s="16" t="n">
        <x:v>3</x:v>
      </x:c>
      <x:c r="AB1155" s="16" t="n">
        <x:v>11</x:v>
      </x:c>
      <x:c r="AC1155" s="16" t="n">
        <x:v>1</x:v>
      </x:c>
      <x:c r="AD1155" s="21" t="n">
        <x:f>IF(E1155="",MEDIAN($E$2:$E$2237),E1155)</x:f>
        <x:v>46049</x:v>
      </x:c>
      <x:c r="AE1155" s="17" t="n">
        <x:f>2014-B1155</x:f>
        <x:v>38</x:v>
      </x:c>
      <x:c r="AF1155" s="17" t="n">
        <x:f>F1155+G1155</x:f>
        <x:v>2</x:v>
      </x:c>
      <x:c r="AG1155" s="21" t="n">
        <x:f>SUM(J1155:O1155)</x:f>
        <x:v>515</x:v>
      </x:c>
      <x:c r="AH1155" s="17" t="n">
        <x:f>SUM(Q1155:S1155)</x:f>
        <x:v>16</x:v>
      </x:c>
      <x:c r="AI1155" s="17" t="n">
        <x:f>SUM(U1155:Y1155)</x:f>
        <x:v>0</x:v>
      </x:c>
      <x:c r="AJ1155" s="17" t="str">
        <x:f>IF(AE1155&lt;=34,"≤34",IF(AE1155&lt;=44,"35–44",IF(AE1155&lt;=54,"45–54",IF(AE1155&lt;=64,"55–64","65+"))))</x:f>
        <x:v>35–44</x:v>
      </x:c>
      <x:c r="AK1155" s="17" t="str">
        <x:f>IF(AG1155&gt;=1000,"High Value",IF(AG1155&gt;=300,"Mid Value","Low Value"))</x:f>
        <x:v>Mid Value</x:v>
      </x:c>
      <x:c r="AL1155" s="17" t="str">
        <x:f>IF(AND(AI1155&gt;=1,I1155&lt;=50),"Priority 1",IF(AND(AG1155&gt;=1000,I1155&lt;=60),"Priority 2",IF(I1155&lt;=30,"Priority 3","Nurture")))</x:f>
        <x:v>Priority 3</x:v>
      </x:c>
    </x:row>
    <x:row r="1156">
      <x:c r="A1156" s="16" t="n">
        <x:v>1077</x:v>
      </x:c>
      <x:c r="B1156" s="16" t="n">
        <x:v>1974</x:v>
      </x:c>
      <x:c r="C1156" s="16" t="str">
        <x:v>Graduation</x:v>
      </x:c>
      <x:c r="D1156" s="16" t="str">
        <x:v>Together</x:v>
      </x:c>
      <x:c r="E1156" s="16" t="n">
        <x:v>56715</x:v>
      </x:c>
      <x:c r="F1156" s="16" t="n">
        <x:v>0</x:v>
      </x:c>
      <x:c r="G1156" s="16" t="n">
        <x:v>0</x:v>
      </x:c>
      <x:c r="H1156" s="16" t="str">
        <x:v>05-12-2012</x:v>
      </x:c>
      <x:c r="I1156" s="16" t="n">
        <x:v>52</x:v>
      </x:c>
      <x:c r="J1156" s="16" t="n">
        <x:v>258</x:v>
      </x:c>
      <x:c r="K1156" s="16" t="n">
        <x:v>105</x:v>
      </x:c>
      <x:c r="L1156" s="16" t="n">
        <x:v>239</x:v>
      </x:c>
      <x:c r="M1156" s="16" t="n">
        <x:v>237</x:v>
      </x:c>
      <x:c r="N1156" s="16" t="n">
        <x:v>172</x:v>
      </x:c>
      <x:c r="O1156" s="16" t="n">
        <x:v>9</x:v>
      </x:c>
      <x:c r="P1156" s="16" t="n">
        <x:v>1</x:v>
      </x:c>
      <x:c r="Q1156" s="16" t="n">
        <x:v>7</x:v>
      </x:c>
      <x:c r="R1156" s="16" t="n">
        <x:v>3</x:v>
      </x:c>
      <x:c r="S1156" s="16" t="n">
        <x:v>4</x:v>
      </x:c>
      <x:c r="T1156" s="16" t="n">
        <x:v>4</x:v>
      </x:c>
      <x:c r="U1156" s="16" t="n">
        <x:v>0</x:v>
      </x:c>
      <x:c r="V1156" s="16" t="n">
        <x:v>0</x:v>
      </x:c>
      <x:c r="W1156" s="16" t="n">
        <x:v>0</x:v>
      </x:c>
      <x:c r="X1156" s="16" t="n">
        <x:v>0</x:v>
      </x:c>
      <x:c r="Y1156" s="16" t="n">
        <x:v>0</x:v>
      </x:c>
      <x:c r="Z1156" s="16" t="n">
        <x:v>0</x:v>
      </x:c>
      <x:c r="AA1156" s="16" t="n">
        <x:v>3</x:v>
      </x:c>
      <x:c r="AB1156" s="16" t="n">
        <x:v>11</x:v>
      </x:c>
      <x:c r="AC1156" s="16" t="n">
        <x:v>0</x:v>
      </x:c>
      <x:c r="AD1156" s="21" t="n">
        <x:f>IF(E1156="",MEDIAN($E$2:$E$2237),E1156)</x:f>
        <x:v>56715</x:v>
      </x:c>
      <x:c r="AE1156" s="17" t="n">
        <x:f>2014-B1156</x:f>
        <x:v>40</x:v>
      </x:c>
      <x:c r="AF1156" s="17" t="n">
        <x:f>F1156+G1156</x:f>
        <x:v>0</x:v>
      </x:c>
      <x:c r="AG1156" s="21" t="n">
        <x:f>SUM(J1156:O1156)</x:f>
        <x:v>1020</x:v>
      </x:c>
      <x:c r="AH1156" s="17" t="n">
        <x:f>SUM(Q1156:S1156)</x:f>
        <x:v>14</x:v>
      </x:c>
      <x:c r="AI1156" s="17" t="n">
        <x:f>SUM(U1156:Y1156)</x:f>
        <x:v>0</x:v>
      </x:c>
      <x:c r="AJ1156" s="17" t="str">
        <x:f>IF(AE1156&lt;=34,"≤34",IF(AE1156&lt;=44,"35–44",IF(AE1156&lt;=54,"45–54",IF(AE1156&lt;=64,"55–64","65+"))))</x:f>
        <x:v>35–44</x:v>
      </x:c>
      <x:c r="AK1156" s="17" t="str">
        <x:f>IF(AG1156&gt;=1000,"High Value",IF(AG1156&gt;=300,"Mid Value","Low Value"))</x:f>
        <x:v>High Value</x:v>
      </x:c>
      <x:c r="AL1156" s="17" t="str">
        <x:f>IF(AND(AI1156&gt;=1,I1156&lt;=50),"Priority 1",IF(AND(AG1156&gt;=1000,I1156&lt;=60),"Priority 2",IF(I1156&lt;=30,"Priority 3","Nurture")))</x:f>
        <x:v>Priority 2</x:v>
      </x:c>
    </x:row>
    <x:row r="1157">
      <x:c r="A1157" s="16" t="n">
        <x:v>7959</x:v>
      </x:c>
      <x:c r="B1157" s="16" t="n">
        <x:v>1961</x:v>
      </x:c>
      <x:c r="C1157" s="16" t="str">
        <x:v>Graduation</x:v>
      </x:c>
      <x:c r="D1157" s="16" t="str">
        <x:v>Married</x:v>
      </x:c>
      <x:c r="E1157" s="16" t="n">
        <x:v>79410</x:v>
      </x:c>
      <x:c r="F1157" s="16" t="n">
        <x:v>0</x:v>
      </x:c>
      <x:c r="G1157" s="16" t="n">
        <x:v>0</x:v>
      </x:c>
      <x:c r="H1157" s="16" t="str">
        <x:v>29-05-2014</x:v>
      </x:c>
      <x:c r="I1157" s="16" t="n">
        <x:v>19</x:v>
      </x:c>
      <x:c r="J1157" s="16" t="n">
        <x:v>658</x:v>
      </x:c>
      <x:c r="K1157" s="16" t="n">
        <x:v>80</x:v>
      </x:c>
      <x:c r="L1157" s="16" t="n">
        <x:v>483</x:v>
      </x:c>
      <x:c r="M1157" s="16" t="n">
        <x:v>123</x:v>
      </x:c>
      <x:c r="N1157" s="16" t="n">
        <x:v>13</x:v>
      </x:c>
      <x:c r="O1157" s="16" t="n">
        <x:v>13</x:v>
      </x:c>
      <x:c r="P1157" s="16" t="n">
        <x:v>1</x:v>
      </x:c>
      <x:c r="Q1157" s="16" t="n">
        <x:v>3</x:v>
      </x:c>
      <x:c r="R1157" s="16" t="n">
        <x:v>2</x:v>
      </x:c>
      <x:c r="S1157" s="16" t="n">
        <x:v>5</x:v>
      </x:c>
      <x:c r="T1157" s="16" t="n">
        <x:v>1</x:v>
      </x:c>
      <x:c r="U1157" s="16" t="n">
        <x:v>0</x:v>
      </x:c>
      <x:c r="V1157" s="16" t="n">
        <x:v>0</x:v>
      </x:c>
      <x:c r="W1157" s="16" t="n">
        <x:v>0</x:v>
      </x:c>
      <x:c r="X1157" s="16" t="n">
        <x:v>0</x:v>
      </x:c>
      <x:c r="Y1157" s="16" t="n">
        <x:v>0</x:v>
      </x:c>
      <x:c r="Z1157" s="16" t="n">
        <x:v>0</x:v>
      </x:c>
      <x:c r="AA1157" s="16" t="n">
        <x:v>3</x:v>
      </x:c>
      <x:c r="AB1157" s="16" t="n">
        <x:v>11</x:v>
      </x:c>
      <x:c r="AC1157" s="16" t="n">
        <x:v>0</x:v>
      </x:c>
      <x:c r="AD1157" s="21" t="n">
        <x:f>IF(E1157="",MEDIAN($E$2:$E$2237),E1157)</x:f>
        <x:v>79410</x:v>
      </x:c>
      <x:c r="AE1157" s="17" t="n">
        <x:f>2014-B1157</x:f>
        <x:v>53</x:v>
      </x:c>
      <x:c r="AF1157" s="17" t="n">
        <x:f>F1157+G1157</x:f>
        <x:v>0</x:v>
      </x:c>
      <x:c r="AG1157" s="21" t="n">
        <x:f>SUM(J1157:O1157)</x:f>
        <x:v>1370</x:v>
      </x:c>
      <x:c r="AH1157" s="17" t="n">
        <x:f>SUM(Q1157:S1157)</x:f>
        <x:v>10</x:v>
      </x:c>
      <x:c r="AI1157" s="17" t="n">
        <x:f>SUM(U1157:Y1157)</x:f>
        <x:v>0</x:v>
      </x:c>
      <x:c r="AJ1157" s="17" t="str">
        <x:f>IF(AE1157&lt;=34,"≤34",IF(AE1157&lt;=44,"35–44",IF(AE1157&lt;=54,"45–54",IF(AE1157&lt;=64,"55–64","65+"))))</x:f>
        <x:v>45–54</x:v>
      </x:c>
      <x:c r="AK1157" s="17" t="str">
        <x:f>IF(AG1157&gt;=1000,"High Value",IF(AG1157&gt;=300,"Mid Value","Low Value"))</x:f>
        <x:v>High Value</x:v>
      </x:c>
      <x:c r="AL1157" s="17" t="str">
        <x:f>IF(AND(AI1157&gt;=1,I1157&lt;=50),"Priority 1",IF(AND(AG1157&gt;=1000,I1157&lt;=60),"Priority 2",IF(I1157&lt;=30,"Priority 3","Nurture")))</x:f>
        <x:v>Priority 2</x:v>
      </x:c>
    </x:row>
    <x:row r="1158">
      <x:c r="A1158" s="16" t="n">
        <x:v>640</x:v>
      </x:c>
      <x:c r="B1158" s="16" t="n">
        <x:v>1951</x:v>
      </x:c>
      <x:c r="C1158" s="16" t="str">
        <x:v>Graduation</x:v>
      </x:c>
      <x:c r="D1158" s="16" t="str">
        <x:v>Married</x:v>
      </x:c>
      <x:c r="E1158" s="16" t="n">
        <x:v>57304</x:v>
      </x:c>
      <x:c r="F1158" s="16" t="n">
        <x:v>0</x:v>
      </x:c>
      <x:c r="G1158" s="16" t="n">
        <x:v>1</x:v>
      </x:c>
      <x:c r="H1158" s="16" t="str">
        <x:v>11-03-2013</x:v>
      </x:c>
      <x:c r="I1158" s="16" t="n">
        <x:v>61</x:v>
      </x:c>
      <x:c r="J1158" s="16" t="n">
        <x:v>356</x:v>
      </x:c>
      <x:c r="K1158" s="16" t="n">
        <x:v>80</x:v>
      </x:c>
      <x:c r="L1158" s="16" t="n">
        <x:v>329</x:v>
      </x:c>
      <x:c r="M1158" s="16" t="n">
        <x:v>138</x:v>
      </x:c>
      <x:c r="N1158" s="16" t="n">
        <x:v>17</x:v>
      </x:c>
      <x:c r="O1158" s="16" t="n">
        <x:v>106</x:v>
      </x:c>
      <x:c r="P1158" s="16" t="n">
        <x:v>2</x:v>
      </x:c>
      <x:c r="Q1158" s="16" t="n">
        <x:v>7</x:v>
      </x:c>
      <x:c r="R1158" s="16" t="n">
        <x:v>6</x:v>
      </x:c>
      <x:c r="S1158" s="16" t="n">
        <x:v>10</x:v>
      </x:c>
      <x:c r="T1158" s="16" t="n">
        <x:v>5</x:v>
      </x:c>
      <x:c r="U1158" s="16" t="n">
        <x:v>0</x:v>
      </x:c>
      <x:c r="V1158" s="16" t="n">
        <x:v>0</x:v>
      </x:c>
      <x:c r="W1158" s="16" t="n">
        <x:v>0</x:v>
      </x:c>
      <x:c r="X1158" s="16" t="n">
        <x:v>0</x:v>
      </x:c>
      <x:c r="Y1158" s="16" t="n">
        <x:v>0</x:v>
      </x:c>
      <x:c r="Z1158" s="16" t="n">
        <x:v>0</x:v>
      </x:c>
      <x:c r="AA1158" s="16" t="n">
        <x:v>3</x:v>
      </x:c>
      <x:c r="AB1158" s="16" t="n">
        <x:v>11</x:v>
      </x:c>
      <x:c r="AC1158" s="16" t="n">
        <x:v>0</x:v>
      </x:c>
      <x:c r="AD1158" s="21" t="n">
        <x:f>IF(E1158="",MEDIAN($E$2:$E$2237),E1158)</x:f>
        <x:v>57304</x:v>
      </x:c>
      <x:c r="AE1158" s="17" t="n">
        <x:f>2014-B1158</x:f>
        <x:v>63</x:v>
      </x:c>
      <x:c r="AF1158" s="17" t="n">
        <x:f>F1158+G1158</x:f>
        <x:v>1</x:v>
      </x:c>
      <x:c r="AG1158" s="21" t="n">
        <x:f>SUM(J1158:O1158)</x:f>
        <x:v>1026</x:v>
      </x:c>
      <x:c r="AH1158" s="17" t="n">
        <x:f>SUM(Q1158:S1158)</x:f>
        <x:v>23</x:v>
      </x:c>
      <x:c r="AI1158" s="17" t="n">
        <x:f>SUM(U1158:Y1158)</x:f>
        <x:v>0</x:v>
      </x:c>
      <x:c r="AJ1158" s="17" t="str">
        <x:f>IF(AE1158&lt;=34,"≤34",IF(AE1158&lt;=44,"35–44",IF(AE1158&lt;=54,"45–54",IF(AE1158&lt;=64,"55–64","65+"))))</x:f>
        <x:v>55–64</x:v>
      </x:c>
      <x:c r="AK1158" s="17" t="str">
        <x:f>IF(AG1158&gt;=1000,"High Value",IF(AG1158&gt;=300,"Mid Value","Low Value"))</x:f>
        <x:v>High Value</x:v>
      </x:c>
      <x:c r="AL1158" s="17" t="str">
        <x:f>IF(AND(AI1158&gt;=1,I1158&lt;=50),"Priority 1",IF(AND(AG1158&gt;=1000,I1158&lt;=60),"Priority 2",IF(I1158&lt;=30,"Priority 3","Nurture")))</x:f>
        <x:v>Nurture</x:v>
      </x:c>
    </x:row>
    <x:row r="1159">
      <x:c r="A1159" s="16" t="n">
        <x:v>4252</x:v>
      </x:c>
      <x:c r="B1159" s="16" t="n">
        <x:v>1965</x:v>
      </x:c>
      <x:c r="C1159" s="16" t="str">
        <x:v>Graduation</x:v>
      </x:c>
      <x:c r="D1159" s="16" t="str">
        <x:v>Married</x:v>
      </x:c>
      <x:c r="E1159" s="16" t="n">
        <x:v>44375</x:v>
      </x:c>
      <x:c r="F1159" s="16" t="n">
        <x:v>0</x:v>
      </x:c>
      <x:c r="G1159" s="16" t="n">
        <x:v>1</x:v>
      </x:c>
      <x:c r="H1159" s="16" t="str">
        <x:v>23-03-2014</x:v>
      </x:c>
      <x:c r="I1159" s="16" t="n">
        <x:v>73</x:v>
      </x:c>
      <x:c r="J1159" s="16" t="n">
        <x:v>213</x:v>
      </x:c>
      <x:c r="K1159" s="16" t="n">
        <x:v>5</x:v>
      </x:c>
      <x:c r="L1159" s="16" t="n">
        <x:v>28</x:v>
      </x:c>
      <x:c r="M1159" s="16" t="n">
        <x:v>7</x:v>
      </x:c>
      <x:c r="N1159" s="16" t="n">
        <x:v>7</x:v>
      </x:c>
      <x:c r="O1159" s="16" t="n">
        <x:v>41</x:v>
      </x:c>
      <x:c r="P1159" s="16" t="n">
        <x:v>1</x:v>
      </x:c>
      <x:c r="Q1159" s="16" t="n">
        <x:v>4</x:v>
      </x:c>
      <x:c r="R1159" s="16" t="n">
        <x:v>1</x:v>
      </x:c>
      <x:c r="S1159" s="16" t="n">
        <x:v>6</x:v>
      </x:c>
      <x:c r="T1159" s="16" t="n">
        <x:v>5</x:v>
      </x:c>
      <x:c r="U1159" s="16" t="n">
        <x:v>0</x:v>
      </x:c>
      <x:c r="V1159" s="16" t="n">
        <x:v>0</x:v>
      </x:c>
      <x:c r="W1159" s="16" t="n">
        <x:v>0</x:v>
      </x:c>
      <x:c r="X1159" s="16" t="n">
        <x:v>0</x:v>
      </x:c>
      <x:c r="Y1159" s="16" t="n">
        <x:v>0</x:v>
      </x:c>
      <x:c r="Z1159" s="16" t="n">
        <x:v>0</x:v>
      </x:c>
      <x:c r="AA1159" s="16" t="n">
        <x:v>3</x:v>
      </x:c>
      <x:c r="AB1159" s="16" t="n">
        <x:v>11</x:v>
      </x:c>
      <x:c r="AC1159" s="16" t="n">
        <x:v>0</x:v>
      </x:c>
      <x:c r="AD1159" s="21" t="n">
        <x:f>IF(E1159="",MEDIAN($E$2:$E$2237),E1159)</x:f>
        <x:v>44375</x:v>
      </x:c>
      <x:c r="AE1159" s="17" t="n">
        <x:f>2014-B1159</x:f>
        <x:v>49</x:v>
      </x:c>
      <x:c r="AF1159" s="17" t="n">
        <x:f>F1159+G1159</x:f>
        <x:v>1</x:v>
      </x:c>
      <x:c r="AG1159" s="21" t="n">
        <x:f>SUM(J1159:O1159)</x:f>
        <x:v>301</x:v>
      </x:c>
      <x:c r="AH1159" s="17" t="n">
        <x:f>SUM(Q1159:S1159)</x:f>
        <x:v>11</x:v>
      </x:c>
      <x:c r="AI1159" s="17" t="n">
        <x:f>SUM(U1159:Y1159)</x:f>
        <x:v>0</x:v>
      </x:c>
      <x:c r="AJ1159" s="17" t="str">
        <x:f>IF(AE1159&lt;=34,"≤34",IF(AE1159&lt;=44,"35–44",IF(AE1159&lt;=54,"45–54",IF(AE1159&lt;=64,"55–64","65+"))))</x:f>
        <x:v>45–54</x:v>
      </x:c>
      <x:c r="AK1159" s="17" t="str">
        <x:f>IF(AG1159&gt;=1000,"High Value",IF(AG1159&gt;=300,"Mid Value","Low Value"))</x:f>
        <x:v>Mid Value</x:v>
      </x:c>
      <x:c r="AL1159" s="17" t="str">
        <x:f>IF(AND(AI1159&gt;=1,I1159&lt;=50),"Priority 1",IF(AND(AG1159&gt;=1000,I1159&lt;=60),"Priority 2",IF(I1159&lt;=30,"Priority 3","Nurture")))</x:f>
        <x:v>Nurture</x:v>
      </x:c>
    </x:row>
    <x:row r="1160">
      <x:c r="A1160" s="16" t="n">
        <x:v>8432</x:v>
      </x:c>
      <x:c r="B1160" s="16" t="n">
        <x:v>1956</x:v>
      </x:c>
      <x:c r="C1160" s="16" t="str">
        <x:v>Graduation</x:v>
      </x:c>
      <x:c r="D1160" s="16" t="str">
        <x:v>Together</x:v>
      </x:c>
      <x:c r="E1160" s="16" t="n">
        <x:v>54450</x:v>
      </x:c>
      <x:c r="F1160" s="16" t="n">
        <x:v>1</x:v>
      </x:c>
      <x:c r="G1160" s="16" t="n">
        <x:v>1</x:v>
      </x:c>
      <x:c r="H1160" s="16" t="str">
        <x:v>14-09-2012</x:v>
      </x:c>
      <x:c r="I1160" s="16" t="n">
        <x:v>0</x:v>
      </x:c>
      <x:c r="J1160" s="16" t="n">
        <x:v>454</x:v>
      </x:c>
      <x:c r="K1160" s="16" t="n">
        <x:v>0</x:v>
      </x:c>
      <x:c r="L1160" s="16" t="n">
        <x:v>171</x:v>
      </x:c>
      <x:c r="M1160" s="16" t="n">
        <x:v>8</x:v>
      </x:c>
      <x:c r="N1160" s="16" t="n">
        <x:v>19</x:v>
      </x:c>
      <x:c r="O1160" s="16" t="n">
        <x:v>32</x:v>
      </x:c>
      <x:c r="P1160" s="16" t="n">
        <x:v>12</x:v>
      </x:c>
      <x:c r="Q1160" s="16" t="n">
        <x:v>9</x:v>
      </x:c>
      <x:c r="R1160" s="16" t="n">
        <x:v>2</x:v>
      </x:c>
      <x:c r="S1160" s="16" t="n">
        <x:v>8</x:v>
      </x:c>
      <x:c r="T1160" s="16" t="n">
        <x:v>8</x:v>
      </x:c>
      <x:c r="U1160" s="16" t="n">
        <x:v>0</x:v>
      </x:c>
      <x:c r="V1160" s="16" t="n">
        <x:v>0</x:v>
      </x:c>
      <x:c r="W1160" s="16" t="n">
        <x:v>0</x:v>
      </x:c>
      <x:c r="X1160" s="16" t="n">
        <x:v>0</x:v>
      </x:c>
      <x:c r="Y1160" s="16" t="n">
        <x:v>0</x:v>
      </x:c>
      <x:c r="Z1160" s="16" t="n">
        <x:v>0</x:v>
      </x:c>
      <x:c r="AA1160" s="16" t="n">
        <x:v>3</x:v>
      </x:c>
      <x:c r="AB1160" s="16" t="n">
        <x:v>11</x:v>
      </x:c>
      <x:c r="AC1160" s="16" t="n">
        <x:v>0</x:v>
      </x:c>
      <x:c r="AD1160" s="21" t="n">
        <x:f>IF(E1160="",MEDIAN($E$2:$E$2237),E1160)</x:f>
        <x:v>54450</x:v>
      </x:c>
      <x:c r="AE1160" s="17" t="n">
        <x:f>2014-B1160</x:f>
        <x:v>58</x:v>
      </x:c>
      <x:c r="AF1160" s="17" t="n">
        <x:f>F1160+G1160</x:f>
        <x:v>2</x:v>
      </x:c>
      <x:c r="AG1160" s="21" t="n">
        <x:f>SUM(J1160:O1160)</x:f>
        <x:v>684</x:v>
      </x:c>
      <x:c r="AH1160" s="17" t="n">
        <x:f>SUM(Q1160:S1160)</x:f>
        <x:v>19</x:v>
      </x:c>
      <x:c r="AI1160" s="17" t="n">
        <x:f>SUM(U1160:Y1160)</x:f>
        <x:v>0</x:v>
      </x:c>
      <x:c r="AJ1160" s="17" t="str">
        <x:f>IF(AE1160&lt;=34,"≤34",IF(AE1160&lt;=44,"35–44",IF(AE1160&lt;=54,"45–54",IF(AE1160&lt;=64,"55–64","65+"))))</x:f>
        <x:v>55–64</x:v>
      </x:c>
      <x:c r="AK1160" s="17" t="str">
        <x:f>IF(AG1160&gt;=1000,"High Value",IF(AG1160&gt;=300,"Mid Value","Low Value"))</x:f>
        <x:v>Mid Value</x:v>
      </x:c>
      <x:c r="AL1160" s="17" t="str">
        <x:f>IF(AND(AI1160&gt;=1,I1160&lt;=50),"Priority 1",IF(AND(AG1160&gt;=1000,I1160&lt;=60),"Priority 2",IF(I1160&lt;=30,"Priority 3","Nurture")))</x:f>
        <x:v>Priority 3</x:v>
      </x:c>
    </x:row>
    <x:row r="1161">
      <x:c r="A1161" s="16" t="n">
        <x:v>6218</x:v>
      </x:c>
      <x:c r="B1161" s="16" t="n">
        <x:v>1965</x:v>
      </x:c>
      <x:c r="C1161" s="16" t="str">
        <x:v>Graduation</x:v>
      </x:c>
      <x:c r="D1161" s="16" t="str">
        <x:v>Married</x:v>
      </x:c>
      <x:c r="E1161" s="16" t="n">
        <x:v>59594</x:v>
      </x:c>
      <x:c r="F1161" s="16" t="n">
        <x:v>0</x:v>
      </x:c>
      <x:c r="G1161" s="16" t="n">
        <x:v>1</x:v>
      </x:c>
      <x:c r="H1161" s="16" t="str">
        <x:v>20-10-2012</x:v>
      </x:c>
      <x:c r="I1161" s="16" t="n">
        <x:v>74</x:v>
      </x:c>
      <x:c r="J1161" s="16" t="n">
        <x:v>457</x:v>
      </x:c>
      <x:c r="K1161" s="16" t="n">
        <x:v>4</x:v>
      </x:c>
      <x:c r="L1161" s="16" t="n">
        <x:v>29</x:v>
      </x:c>
      <x:c r="M1161" s="16" t="n">
        <x:v>0</x:v>
      </x:c>
      <x:c r="N1161" s="16" t="n">
        <x:v>0</x:v>
      </x:c>
      <x:c r="O1161" s="16" t="n">
        <x:v>9</x:v>
      </x:c>
      <x:c r="P1161" s="16" t="n">
        <x:v>1</x:v>
      </x:c>
      <x:c r="Q1161" s="16" t="n">
        <x:v>8</x:v>
      </x:c>
      <x:c r="R1161" s="16" t="n">
        <x:v>1</x:v>
      </x:c>
      <x:c r="S1161" s="16" t="n">
        <x:v>7</x:v>
      </x:c>
      <x:c r="T1161" s="16" t="n">
        <x:v>7</x:v>
      </x:c>
      <x:c r="U1161" s="16" t="n">
        <x:v>0</x:v>
      </x:c>
      <x:c r="V1161" s="16" t="n">
        <x:v>1</x:v>
      </x:c>
      <x:c r="W1161" s="16" t="n">
        <x:v>0</x:v>
      </x:c>
      <x:c r="X1161" s="16" t="n">
        <x:v>0</x:v>
      </x:c>
      <x:c r="Y1161" s="16" t="n">
        <x:v>0</x:v>
      </x:c>
      <x:c r="Z1161" s="16" t="n">
        <x:v>0</x:v>
      </x:c>
      <x:c r="AA1161" s="16" t="n">
        <x:v>3</x:v>
      </x:c>
      <x:c r="AB1161" s="16" t="n">
        <x:v>11</x:v>
      </x:c>
      <x:c r="AC1161" s="16" t="n">
        <x:v>0</x:v>
      </x:c>
      <x:c r="AD1161" s="21" t="n">
        <x:f>IF(E1161="",MEDIAN($E$2:$E$2237),E1161)</x:f>
        <x:v>59594</x:v>
      </x:c>
      <x:c r="AE1161" s="17" t="n">
        <x:f>2014-B1161</x:f>
        <x:v>49</x:v>
      </x:c>
      <x:c r="AF1161" s="17" t="n">
        <x:f>F1161+G1161</x:f>
        <x:v>1</x:v>
      </x:c>
      <x:c r="AG1161" s="21" t="n">
        <x:f>SUM(J1161:O1161)</x:f>
        <x:v>499</x:v>
      </x:c>
      <x:c r="AH1161" s="17" t="n">
        <x:f>SUM(Q1161:S1161)</x:f>
        <x:v>16</x:v>
      </x:c>
      <x:c r="AI1161" s="17" t="n">
        <x:f>SUM(U1161:Y1161)</x:f>
        <x:v>1</x:v>
      </x:c>
      <x:c r="AJ1161" s="17" t="str">
        <x:f>IF(AE1161&lt;=34,"≤34",IF(AE1161&lt;=44,"35–44",IF(AE1161&lt;=54,"45–54",IF(AE1161&lt;=64,"55–64","65+"))))</x:f>
        <x:v>45–54</x:v>
      </x:c>
      <x:c r="AK1161" s="17" t="str">
        <x:f>IF(AG1161&gt;=1000,"High Value",IF(AG1161&gt;=300,"Mid Value","Low Value"))</x:f>
        <x:v>Mid Value</x:v>
      </x:c>
      <x:c r="AL1161" s="17" t="str">
        <x:f>IF(AND(AI1161&gt;=1,I1161&lt;=50),"Priority 1",IF(AND(AG1161&gt;=1000,I1161&lt;=60),"Priority 2",IF(I1161&lt;=30,"Priority 3","Nurture")))</x:f>
        <x:v>Nurture</x:v>
      </x:c>
    </x:row>
    <x:row r="1162">
      <x:c r="A1162" s="16" t="n">
        <x:v>6905</x:v>
      </x:c>
      <x:c r="B1162" s="16" t="n">
        <x:v>1994</x:v>
      </x:c>
      <x:c r="C1162" s="16" t="str">
        <x:v>Graduation</x:v>
      </x:c>
      <x:c r="D1162" s="16" t="str">
        <x:v>Together</x:v>
      </x:c>
      <x:c r="E1162" s="16" t="n">
        <x:v>80685</x:v>
      </x:c>
      <x:c r="F1162" s="16" t="n">
        <x:v>0</x:v>
      </x:c>
      <x:c r="G1162" s="16" t="n">
        <x:v>0</x:v>
      </x:c>
      <x:c r="H1162" s="16" t="str">
        <x:v>22-08-2012</x:v>
      </x:c>
      <x:c r="I1162" s="16" t="n">
        <x:v>55</x:v>
      </x:c>
      <x:c r="J1162" s="16" t="n">
        <x:v>241</x:v>
      </x:c>
      <x:c r="K1162" s="16" t="n">
        <x:v>45</x:v>
      </x:c>
      <x:c r="L1162" s="16" t="n">
        <x:v>604</x:v>
      </x:c>
      <x:c r="M1162" s="16" t="n">
        <x:v>34</x:v>
      </x:c>
      <x:c r="N1162" s="16" t="n">
        <x:v>26</x:v>
      </x:c>
      <x:c r="O1162" s="16" t="n">
        <x:v>54</x:v>
      </x:c>
      <x:c r="P1162" s="16" t="n">
        <x:v>1</x:v>
      </x:c>
      <x:c r="Q1162" s="16" t="n">
        <x:v>6</x:v>
      </x:c>
      <x:c r="R1162" s="16" t="n">
        <x:v>4</x:v>
      </x:c>
      <x:c r="S1162" s="16" t="n">
        <x:v>10</x:v>
      </x:c>
      <x:c r="T1162" s="16" t="n">
        <x:v>2</x:v>
      </x:c>
      <x:c r="U1162" s="16" t="n">
        <x:v>0</x:v>
      </x:c>
      <x:c r="V1162" s="16" t="n">
        <x:v>0</x:v>
      </x:c>
      <x:c r="W1162" s="16" t="n">
        <x:v>0</x:v>
      </x:c>
      <x:c r="X1162" s="16" t="n">
        <x:v>0</x:v>
      </x:c>
      <x:c r="Y1162" s="16" t="n">
        <x:v>0</x:v>
      </x:c>
      <x:c r="Z1162" s="16" t="n">
        <x:v>0</x:v>
      </x:c>
      <x:c r="AA1162" s="16" t="n">
        <x:v>3</x:v>
      </x:c>
      <x:c r="AB1162" s="16" t="n">
        <x:v>11</x:v>
      </x:c>
      <x:c r="AC1162" s="16" t="n">
        <x:v>0</x:v>
      </x:c>
      <x:c r="AD1162" s="21" t="n">
        <x:f>IF(E1162="",MEDIAN($E$2:$E$2237),E1162)</x:f>
        <x:v>80685</x:v>
      </x:c>
      <x:c r="AE1162" s="17" t="n">
        <x:f>2014-B1162</x:f>
        <x:v>20</x:v>
      </x:c>
      <x:c r="AF1162" s="17" t="n">
        <x:f>F1162+G1162</x:f>
        <x:v>0</x:v>
      </x:c>
      <x:c r="AG1162" s="21" t="n">
        <x:f>SUM(J1162:O1162)</x:f>
        <x:v>1004</x:v>
      </x:c>
      <x:c r="AH1162" s="17" t="n">
        <x:f>SUM(Q1162:S1162)</x:f>
        <x:v>20</x:v>
      </x:c>
      <x:c r="AI1162" s="17" t="n">
        <x:f>SUM(U1162:Y1162)</x:f>
        <x:v>0</x:v>
      </x:c>
      <x:c r="AJ1162" s="17" t="str">
        <x:f>IF(AE1162&lt;=34,"≤34",IF(AE1162&lt;=44,"35–44",IF(AE1162&lt;=54,"45–54",IF(AE1162&lt;=64,"55–64","65+"))))</x:f>
        <x:v>≤34</x:v>
      </x:c>
      <x:c r="AK1162" s="17" t="str">
        <x:f>IF(AG1162&gt;=1000,"High Value",IF(AG1162&gt;=300,"Mid Value","Low Value"))</x:f>
        <x:v>High Value</x:v>
      </x:c>
      <x:c r="AL1162" s="17" t="str">
        <x:f>IF(AND(AI1162&gt;=1,I1162&lt;=50),"Priority 1",IF(AND(AG1162&gt;=1000,I1162&lt;=60),"Priority 2",IF(I1162&lt;=30,"Priority 3","Nurture")))</x:f>
        <x:v>Priority 2</x:v>
      </x:c>
    </x:row>
    <x:row r="1163">
      <x:c r="A1163" s="16" t="n">
        <x:v>5922</x:v>
      </x:c>
      <x:c r="B1163" s="16" t="n">
        <x:v>1974</x:v>
      </x:c>
      <x:c r="C1163" s="16" t="str">
        <x:v>PhD</x:v>
      </x:c>
      <x:c r="D1163" s="16" t="str">
        <x:v>Married</x:v>
      </x:c>
      <x:c r="E1163" s="16" t="n">
        <x:v>40344</x:v>
      </x:c>
      <x:c r="F1163" s="16" t="n">
        <x:v>0</x:v>
      </x:c>
      <x:c r="G1163" s="16" t="n">
        <x:v>1</x:v>
      </x:c>
      <x:c r="H1163" s="16" t="str">
        <x:v>13-10-2013</x:v>
      </x:c>
      <x:c r="I1163" s="16" t="n">
        <x:v>48</x:v>
      </x:c>
      <x:c r="J1163" s="16" t="n">
        <x:v>210</x:v>
      </x:c>
      <x:c r="K1163" s="16" t="n">
        <x:v>0</x:v>
      </x:c>
      <x:c r="L1163" s="16" t="n">
        <x:v>6</x:v>
      </x:c>
      <x:c r="M1163" s="16" t="n">
        <x:v>0</x:v>
      </x:c>
      <x:c r="N1163" s="16" t="n">
        <x:v>0</x:v>
      </x:c>
      <x:c r="O1163" s="16" t="n">
        <x:v>2</x:v>
      </x:c>
      <x:c r="P1163" s="16" t="n">
        <x:v>2</x:v>
      </x:c>
      <x:c r="Q1163" s="16" t="n">
        <x:v>4</x:v>
      </x:c>
      <x:c r="R1163" s="16" t="n">
        <x:v>1</x:v>
      </x:c>
      <x:c r="S1163" s="16" t="n">
        <x:v>5</x:v>
      </x:c>
      <x:c r="T1163" s="16" t="n">
        <x:v>7</x:v>
      </x:c>
      <x:c r="U1163" s="16" t="n">
        <x:v>0</x:v>
      </x:c>
      <x:c r="V1163" s="16" t="n">
        <x:v>0</x:v>
      </x:c>
      <x:c r="W1163" s="16" t="n">
        <x:v>0</x:v>
      </x:c>
      <x:c r="X1163" s="16" t="n">
        <x:v>0</x:v>
      </x:c>
      <x:c r="Y1163" s="16" t="n">
        <x:v>0</x:v>
      </x:c>
      <x:c r="Z1163" s="16" t="n">
        <x:v>0</x:v>
      </x:c>
      <x:c r="AA1163" s="16" t="n">
        <x:v>3</x:v>
      </x:c>
      <x:c r="AB1163" s="16" t="n">
        <x:v>11</x:v>
      </x:c>
      <x:c r="AC1163" s="16" t="n">
        <x:v>0</x:v>
      </x:c>
      <x:c r="AD1163" s="21" t="n">
        <x:f>IF(E1163="",MEDIAN($E$2:$E$2237),E1163)</x:f>
        <x:v>40344</x:v>
      </x:c>
      <x:c r="AE1163" s="17" t="n">
        <x:f>2014-B1163</x:f>
        <x:v>40</x:v>
      </x:c>
      <x:c r="AF1163" s="17" t="n">
        <x:f>F1163+G1163</x:f>
        <x:v>1</x:v>
      </x:c>
      <x:c r="AG1163" s="21" t="n">
        <x:f>SUM(J1163:O1163)</x:f>
        <x:v>218</x:v>
      </x:c>
      <x:c r="AH1163" s="17" t="n">
        <x:f>SUM(Q1163:S1163)</x:f>
        <x:v>10</x:v>
      </x:c>
      <x:c r="AI1163" s="17" t="n">
        <x:f>SUM(U1163:Y1163)</x:f>
        <x:v>0</x:v>
      </x:c>
      <x:c r="AJ1163" s="17" t="str">
        <x:f>IF(AE1163&lt;=34,"≤34",IF(AE1163&lt;=44,"35–44",IF(AE1163&lt;=54,"45–54",IF(AE1163&lt;=64,"55–64","65+"))))</x:f>
        <x:v>35–44</x:v>
      </x:c>
      <x:c r="AK1163" s="17" t="str">
        <x:f>IF(AG1163&gt;=1000,"High Value",IF(AG1163&gt;=300,"Mid Value","Low Value"))</x:f>
        <x:v>Low Value</x:v>
      </x:c>
      <x:c r="AL1163" s="17" t="str">
        <x:f>IF(AND(AI1163&gt;=1,I1163&lt;=50),"Priority 1",IF(AND(AG1163&gt;=1000,I1163&lt;=60),"Priority 2",IF(I1163&lt;=30,"Priority 3","Nurture")))</x:f>
        <x:v>Nurture</x:v>
      </x:c>
    </x:row>
    <x:row r="1164">
      <x:c r="A1164" s="16" t="n">
        <x:v>3598</x:v>
      </x:c>
      <x:c r="B1164" s="16" t="n">
        <x:v>1972</x:v>
      </x:c>
      <x:c r="C1164" s="16" t="str">
        <x:v>Graduation</x:v>
      </x:c>
      <x:c r="D1164" s="16" t="str">
        <x:v>Married</x:v>
      </x:c>
      <x:c r="E1164" s="16" t="n">
        <x:v>62710</x:v>
      </x:c>
      <x:c r="F1164" s="16" t="n">
        <x:v>0</x:v>
      </x:c>
      <x:c r="G1164" s="16" t="n">
        <x:v>1</x:v>
      </x:c>
      <x:c r="H1164" s="16" t="str">
        <x:v>23-05-2013</x:v>
      </x:c>
      <x:c r="I1164" s="16" t="n">
        <x:v>53</x:v>
      </x:c>
      <x:c r="J1164" s="16" t="n">
        <x:v>441</x:v>
      </x:c>
      <x:c r="K1164" s="16" t="n">
        <x:v>35</x:v>
      </x:c>
      <x:c r="L1164" s="16" t="n">
        <x:v>83</x:v>
      </x:c>
      <x:c r="M1164" s="16" t="n">
        <x:v>7</x:v>
      </x:c>
      <x:c r="N1164" s="16" t="n">
        <x:v>29</x:v>
      </x:c>
      <x:c r="O1164" s="16" t="n">
        <x:v>11</x:v>
      </x:c>
      <x:c r="P1164" s="16" t="n">
        <x:v>4</x:v>
      </x:c>
      <x:c r="Q1164" s="16" t="n">
        <x:v>4</x:v>
      </x:c>
      <x:c r="R1164" s="16" t="n">
        <x:v>2</x:v>
      </x:c>
      <x:c r="S1164" s="16" t="n">
        <x:v>12</x:v>
      </x:c>
      <x:c r="T1164" s="16" t="n">
        <x:v>4</x:v>
      </x:c>
      <x:c r="U1164" s="16" t="n">
        <x:v>0</x:v>
      </x:c>
      <x:c r="V1164" s="16" t="n">
        <x:v>0</x:v>
      </x:c>
      <x:c r="W1164" s="16" t="n">
        <x:v>0</x:v>
      </x:c>
      <x:c r="X1164" s="16" t="n">
        <x:v>0</x:v>
      </x:c>
      <x:c r="Y1164" s="16" t="n">
        <x:v>0</x:v>
      </x:c>
      <x:c r="Z1164" s="16" t="n">
        <x:v>0</x:v>
      </x:c>
      <x:c r="AA1164" s="16" t="n">
        <x:v>3</x:v>
      </x:c>
      <x:c r="AB1164" s="16" t="n">
        <x:v>11</x:v>
      </x:c>
      <x:c r="AC1164" s="16" t="n">
        <x:v>0</x:v>
      </x:c>
      <x:c r="AD1164" s="21" t="n">
        <x:f>IF(E1164="",MEDIAN($E$2:$E$2237),E1164)</x:f>
        <x:v>62710</x:v>
      </x:c>
      <x:c r="AE1164" s="17" t="n">
        <x:f>2014-B1164</x:f>
        <x:v>42</x:v>
      </x:c>
      <x:c r="AF1164" s="17" t="n">
        <x:f>F1164+G1164</x:f>
        <x:v>1</x:v>
      </x:c>
      <x:c r="AG1164" s="21" t="n">
        <x:f>SUM(J1164:O1164)</x:f>
        <x:v>606</x:v>
      </x:c>
      <x:c r="AH1164" s="17" t="n">
        <x:f>SUM(Q1164:S1164)</x:f>
        <x:v>18</x:v>
      </x:c>
      <x:c r="AI1164" s="17" t="n">
        <x:f>SUM(U1164:Y1164)</x:f>
        <x:v>0</x:v>
      </x:c>
      <x:c r="AJ1164" s="17" t="str">
        <x:f>IF(AE1164&lt;=34,"≤34",IF(AE1164&lt;=44,"35–44",IF(AE1164&lt;=54,"45–54",IF(AE1164&lt;=64,"55–64","65+"))))</x:f>
        <x:v>35–44</x:v>
      </x:c>
      <x:c r="AK1164" s="17" t="str">
        <x:f>IF(AG1164&gt;=1000,"High Value",IF(AG1164&gt;=300,"Mid Value","Low Value"))</x:f>
        <x:v>Mid Value</x:v>
      </x:c>
      <x:c r="AL1164" s="17" t="str">
        <x:f>IF(AND(AI1164&gt;=1,I1164&lt;=50),"Priority 1",IF(AND(AG1164&gt;=1000,I1164&lt;=60),"Priority 2",IF(I1164&lt;=30,"Priority 3","Nurture")))</x:f>
        <x:v>Nurture</x:v>
      </x:c>
    </x:row>
    <x:row r="1165">
      <x:c r="A1165" s="16" t="n">
        <x:v>6116</x:v>
      </x:c>
      <x:c r="B1165" s="16" t="n">
        <x:v>1968</x:v>
      </x:c>
      <x:c r="C1165" s="16" t="str">
        <x:v>2n Cycle</x:v>
      </x:c>
      <x:c r="D1165" s="16" t="str">
        <x:v>Married</x:v>
      </x:c>
      <x:c r="E1165" s="16" t="n">
        <x:v>48985</x:v>
      </x:c>
      <x:c r="F1165" s="16" t="n">
        <x:v>0</x:v>
      </x:c>
      <x:c r="G1165" s="16" t="n">
        <x:v>1</x:v>
      </x:c>
      <x:c r="H1165" s="16" t="str">
        <x:v>05-07-2013</x:v>
      </x:c>
      <x:c r="I1165" s="16" t="n">
        <x:v>13</x:v>
      </x:c>
      <x:c r="J1165" s="16" t="n">
        <x:v>19</x:v>
      </x:c>
      <x:c r="K1165" s="16" t="n">
        <x:v>13</x:v>
      </x:c>
      <x:c r="L1165" s="16" t="n">
        <x:v>18</x:v>
      </x:c>
      <x:c r="M1165" s="16" t="n">
        <x:v>10</x:v>
      </x:c>
      <x:c r="N1165" s="16" t="n">
        <x:v>7</x:v>
      </x:c>
      <x:c r="O1165" s="16" t="n">
        <x:v>8</x:v>
      </x:c>
      <x:c r="P1165" s="16" t="n">
        <x:v>1</x:v>
      </x:c>
      <x:c r="Q1165" s="16" t="n">
        <x:v>1</x:v>
      </x:c>
      <x:c r="R1165" s="16" t="n">
        <x:v>1</x:v>
      </x:c>
      <x:c r="S1165" s="16" t="n">
        <x:v>3</x:v>
      </x:c>
      <x:c r="T1165" s="16" t="n">
        <x:v>3</x:v>
      </x:c>
      <x:c r="U1165" s="16" t="n">
        <x:v>0</x:v>
      </x:c>
      <x:c r="V1165" s="16" t="n">
        <x:v>0</x:v>
      </x:c>
      <x:c r="W1165" s="16" t="n">
        <x:v>0</x:v>
      </x:c>
      <x:c r="X1165" s="16" t="n">
        <x:v>0</x:v>
      </x:c>
      <x:c r="Y1165" s="16" t="n">
        <x:v>0</x:v>
      </x:c>
      <x:c r="Z1165" s="16" t="n">
        <x:v>0</x:v>
      </x:c>
      <x:c r="AA1165" s="16" t="n">
        <x:v>3</x:v>
      </x:c>
      <x:c r="AB1165" s="16" t="n">
        <x:v>11</x:v>
      </x:c>
      <x:c r="AC1165" s="16" t="n">
        <x:v>0</x:v>
      </x:c>
      <x:c r="AD1165" s="21" t="n">
        <x:f>IF(E1165="",MEDIAN($E$2:$E$2237),E1165)</x:f>
        <x:v>48985</x:v>
      </x:c>
      <x:c r="AE1165" s="17" t="n">
        <x:f>2014-B1165</x:f>
        <x:v>46</x:v>
      </x:c>
      <x:c r="AF1165" s="17" t="n">
        <x:f>F1165+G1165</x:f>
        <x:v>1</x:v>
      </x:c>
      <x:c r="AG1165" s="21" t="n">
        <x:f>SUM(J1165:O1165)</x:f>
        <x:v>75</x:v>
      </x:c>
      <x:c r="AH1165" s="17" t="n">
        <x:f>SUM(Q1165:S1165)</x:f>
        <x:v>5</x:v>
      </x:c>
      <x:c r="AI1165" s="17" t="n">
        <x:f>SUM(U1165:Y1165)</x:f>
        <x:v>0</x:v>
      </x:c>
      <x:c r="AJ1165" s="17" t="str">
        <x:f>IF(AE1165&lt;=34,"≤34",IF(AE1165&lt;=44,"35–44",IF(AE1165&lt;=54,"45–54",IF(AE1165&lt;=64,"55–64","65+"))))</x:f>
        <x:v>45–54</x:v>
      </x:c>
      <x:c r="AK1165" s="17" t="str">
        <x:f>IF(AG1165&gt;=1000,"High Value",IF(AG1165&gt;=300,"Mid Value","Low Value"))</x:f>
        <x:v>Low Value</x:v>
      </x:c>
      <x:c r="AL1165" s="17" t="str">
        <x:f>IF(AND(AI1165&gt;=1,I1165&lt;=50),"Priority 1",IF(AND(AG1165&gt;=1000,I1165&lt;=60),"Priority 2",IF(I1165&lt;=30,"Priority 3","Nurture")))</x:f>
        <x:v>Priority 3</x:v>
      </x:c>
    </x:row>
    <x:row r="1166">
      <x:c r="A1166" s="16" t="n">
        <x:v>6263</x:v>
      </x:c>
      <x:c r="B1166" s="16" t="n">
        <x:v>1968</x:v>
      </x:c>
      <x:c r="C1166" s="16" t="str">
        <x:v>Graduation</x:v>
      </x:c>
      <x:c r="D1166" s="16" t="str">
        <x:v>Together</x:v>
      </x:c>
      <x:c r="E1166" s="16" t="n">
        <x:v>35322</x:v>
      </x:c>
      <x:c r="F1166" s="16" t="n">
        <x:v>1</x:v>
      </x:c>
      <x:c r="G1166" s="16" t="n">
        <x:v>2</x:v>
      </x:c>
      <x:c r="H1166" s="16" t="str">
        <x:v>22-08-2012</x:v>
      </x:c>
      <x:c r="I1166" s="16" t="n">
        <x:v>34</x:v>
      </x:c>
      <x:c r="J1166" s="16" t="n">
        <x:v>28</x:v>
      </x:c>
      <x:c r="K1166" s="16" t="n">
        <x:v>9</x:v>
      </x:c>
      <x:c r="L1166" s="16" t="n">
        <x:v>37</x:v>
      </x:c>
      <x:c r="M1166" s="16" t="n">
        <x:v>12</x:v>
      </x:c>
      <x:c r="N1166" s="16" t="n">
        <x:v>7</x:v>
      </x:c>
      <x:c r="O1166" s="16" t="n">
        <x:v>13</x:v>
      </x:c>
      <x:c r="P1166" s="16" t="n">
        <x:v>3</x:v>
      </x:c>
      <x:c r="Q1166" s="16" t="n">
        <x:v>2</x:v>
      </x:c>
      <x:c r="R1166" s="16" t="n">
        <x:v>0</x:v>
      </x:c>
      <x:c r="S1166" s="16" t="n">
        <x:v>4</x:v>
      </x:c>
      <x:c r="T1166" s="16" t="n">
        <x:v>8</x:v>
      </x:c>
      <x:c r="U1166" s="16" t="n">
        <x:v>0</x:v>
      </x:c>
      <x:c r="V1166" s="16" t="n">
        <x:v>0</x:v>
      </x:c>
      <x:c r="W1166" s="16" t="n">
        <x:v>0</x:v>
      </x:c>
      <x:c r="X1166" s="16" t="n">
        <x:v>0</x:v>
      </x:c>
      <x:c r="Y1166" s="16" t="n">
        <x:v>0</x:v>
      </x:c>
      <x:c r="Z1166" s="16" t="n">
        <x:v>0</x:v>
      </x:c>
      <x:c r="AA1166" s="16" t="n">
        <x:v>3</x:v>
      </x:c>
      <x:c r="AB1166" s="16" t="n">
        <x:v>11</x:v>
      </x:c>
      <x:c r="AC1166" s="16" t="n">
        <x:v>0</x:v>
      </x:c>
      <x:c r="AD1166" s="21" t="n">
        <x:f>IF(E1166="",MEDIAN($E$2:$E$2237),E1166)</x:f>
        <x:v>35322</x:v>
      </x:c>
      <x:c r="AE1166" s="17" t="n">
        <x:f>2014-B1166</x:f>
        <x:v>46</x:v>
      </x:c>
      <x:c r="AF1166" s="17" t="n">
        <x:f>F1166+G1166</x:f>
        <x:v>3</x:v>
      </x:c>
      <x:c r="AG1166" s="21" t="n">
        <x:f>SUM(J1166:O1166)</x:f>
        <x:v>106</x:v>
      </x:c>
      <x:c r="AH1166" s="17" t="n">
        <x:f>SUM(Q1166:S1166)</x:f>
        <x:v>6</x:v>
      </x:c>
      <x:c r="AI1166" s="17" t="n">
        <x:f>SUM(U1166:Y1166)</x:f>
        <x:v>0</x:v>
      </x:c>
      <x:c r="AJ1166" s="17" t="str">
        <x:f>IF(AE1166&lt;=34,"≤34",IF(AE1166&lt;=44,"35–44",IF(AE1166&lt;=54,"45–54",IF(AE1166&lt;=64,"55–64","65+"))))</x:f>
        <x:v>45–54</x:v>
      </x:c>
      <x:c r="AK1166" s="17" t="str">
        <x:f>IF(AG1166&gt;=1000,"High Value",IF(AG1166&gt;=300,"Mid Value","Low Value"))</x:f>
        <x:v>Low Value</x:v>
      </x:c>
      <x:c r="AL1166" s="17" t="str">
        <x:f>IF(AND(AI1166&gt;=1,I1166&lt;=50),"Priority 1",IF(AND(AG1166&gt;=1000,I1166&lt;=60),"Priority 2",IF(I1166&lt;=30,"Priority 3","Nurture")))</x:f>
        <x:v>Nurture</x:v>
      </x:c>
    </x:row>
    <x:row r="1167">
      <x:c r="A1167" s="16" t="n">
        <x:v>10486</x:v>
      </x:c>
      <x:c r="B1167" s="16" t="n">
        <x:v>1948</x:v>
      </x:c>
      <x:c r="C1167" s="16" t="str">
        <x:v>Graduation</x:v>
      </x:c>
      <x:c r="D1167" s="16" t="str">
        <x:v>Married</x:v>
      </x:c>
      <x:c r="E1167" s="16" t="n">
        <x:v>77142</x:v>
      </x:c>
      <x:c r="F1167" s="16" t="n">
        <x:v>0</x:v>
      </x:c>
      <x:c r="G1167" s="16" t="n">
        <x:v>0</x:v>
      </x:c>
      <x:c r="H1167" s="16" t="str">
        <x:v>29-05-2013</x:v>
      </x:c>
      <x:c r="I1167" s="16" t="n">
        <x:v>54</x:v>
      </x:c>
      <x:c r="J1167" s="16" t="n">
        <x:v>476</x:v>
      </x:c>
      <x:c r="K1167" s="16" t="n">
        <x:v>75</x:v>
      </x:c>
      <x:c r="L1167" s="16" t="n">
        <x:v>162</x:v>
      </x:c>
      <x:c r="M1167" s="16" t="n">
        <x:v>29</x:v>
      </x:c>
      <x:c r="N1167" s="16" t="n">
        <x:v>151</x:v>
      </x:c>
      <x:c r="O1167" s="16" t="n">
        <x:v>97</x:v>
      </x:c>
      <x:c r="P1167" s="16" t="n">
        <x:v>1</x:v>
      </x:c>
      <x:c r="Q1167" s="16" t="n">
        <x:v>4</x:v>
      </x:c>
      <x:c r="R1167" s="16" t="n">
        <x:v>4</x:v>
      </x:c>
      <x:c r="S1167" s="16" t="n">
        <x:v>8</x:v>
      </x:c>
      <x:c r="T1167" s="16" t="n">
        <x:v>2</x:v>
      </x:c>
      <x:c r="U1167" s="16" t="n">
        <x:v>0</x:v>
      </x:c>
      <x:c r="V1167" s="16" t="n">
        <x:v>0</x:v>
      </x:c>
      <x:c r="W1167" s="16" t="n">
        <x:v>0</x:v>
      </x:c>
      <x:c r="X1167" s="16" t="n">
        <x:v>0</x:v>
      </x:c>
      <x:c r="Y1167" s="16" t="n">
        <x:v>0</x:v>
      </x:c>
      <x:c r="Z1167" s="16" t="n">
        <x:v>0</x:v>
      </x:c>
      <x:c r="AA1167" s="16" t="n">
        <x:v>3</x:v>
      </x:c>
      <x:c r="AB1167" s="16" t="n">
        <x:v>11</x:v>
      </x:c>
      <x:c r="AC1167" s="16" t="n">
        <x:v>0</x:v>
      </x:c>
      <x:c r="AD1167" s="21" t="n">
        <x:f>IF(E1167="",MEDIAN($E$2:$E$2237),E1167)</x:f>
        <x:v>77142</x:v>
      </x:c>
      <x:c r="AE1167" s="17" t="n">
        <x:f>2014-B1167</x:f>
        <x:v>66</x:v>
      </x:c>
      <x:c r="AF1167" s="17" t="n">
        <x:f>F1167+G1167</x:f>
        <x:v>0</x:v>
      </x:c>
      <x:c r="AG1167" s="21" t="n">
        <x:f>SUM(J1167:O1167)</x:f>
        <x:v>990</x:v>
      </x:c>
      <x:c r="AH1167" s="17" t="n">
        <x:f>SUM(Q1167:S1167)</x:f>
        <x:v>16</x:v>
      </x:c>
      <x:c r="AI1167" s="17" t="n">
        <x:f>SUM(U1167:Y1167)</x:f>
        <x:v>0</x:v>
      </x:c>
      <x:c r="AJ1167" s="17" t="str">
        <x:f>IF(AE1167&lt;=34,"≤34",IF(AE1167&lt;=44,"35–44",IF(AE1167&lt;=54,"45–54",IF(AE1167&lt;=64,"55–64","65+"))))</x:f>
        <x:v>65+</x:v>
      </x:c>
      <x:c r="AK1167" s="17" t="str">
        <x:f>IF(AG1167&gt;=1000,"High Value",IF(AG1167&gt;=300,"Mid Value","Low Value"))</x:f>
        <x:v>Mid Value</x:v>
      </x:c>
      <x:c r="AL1167" s="17" t="str">
        <x:f>IF(AND(AI1167&gt;=1,I1167&lt;=50),"Priority 1",IF(AND(AG1167&gt;=1000,I1167&lt;=60),"Priority 2",IF(I1167&lt;=30,"Priority 3","Nurture")))</x:f>
        <x:v>Nurture</x:v>
      </x:c>
    </x:row>
    <x:row r="1168">
      <x:c r="A1168" s="16" t="n">
        <x:v>2410</x:v>
      </x:c>
      <x:c r="B1168" s="16" t="n">
        <x:v>1969</x:v>
      </x:c>
      <x:c r="C1168" s="16" t="str">
        <x:v>Graduation</x:v>
      </x:c>
      <x:c r="D1168" s="16" t="str">
        <x:v>Single</x:v>
      </x:c>
      <x:c r="E1168" s="16" t="n">
        <x:v>81657</x:v>
      </x:c>
      <x:c r="F1168" s="16" t="n">
        <x:v>0</x:v>
      </x:c>
      <x:c r="G1168" s="16" t="n">
        <x:v>0</x:v>
      </x:c>
      <x:c r="H1168" s="16" t="str">
        <x:v>22-01-2014</x:v>
      </x:c>
      <x:c r="I1168" s="16" t="n">
        <x:v>69</x:v>
      </x:c>
      <x:c r="J1168" s="16" t="n">
        <x:v>364</x:v>
      </x:c>
      <x:c r="K1168" s="16" t="n">
        <x:v>40</x:v>
      </x:c>
      <x:c r="L1168" s="16" t="n">
        <x:v>425</x:v>
      </x:c>
      <x:c r="M1168" s="16" t="n">
        <x:v>158</x:v>
      </x:c>
      <x:c r="N1168" s="16" t="n">
        <x:v>60</x:v>
      </x:c>
      <x:c r="O1168" s="16" t="n">
        <x:v>50</x:v>
      </x:c>
      <x:c r="P1168" s="16" t="n">
        <x:v>1</x:v>
      </x:c>
      <x:c r="Q1168" s="16" t="n">
        <x:v>3</x:v>
      </x:c>
      <x:c r="R1168" s="16" t="n">
        <x:v>4</x:v>
      </x:c>
      <x:c r="S1168" s="16" t="n">
        <x:v>8</x:v>
      </x:c>
      <x:c r="T1168" s="16" t="n">
        <x:v>1</x:v>
      </x:c>
      <x:c r="U1168" s="16" t="n">
        <x:v>0</x:v>
      </x:c>
      <x:c r="V1168" s="16" t="n">
        <x:v>0</x:v>
      </x:c>
      <x:c r="W1168" s="16" t="n">
        <x:v>0</x:v>
      </x:c>
      <x:c r="X1168" s="16" t="n">
        <x:v>0</x:v>
      </x:c>
      <x:c r="Y1168" s="16" t="n">
        <x:v>0</x:v>
      </x:c>
      <x:c r="Z1168" s="16" t="n">
        <x:v>0</x:v>
      </x:c>
      <x:c r="AA1168" s="16" t="n">
        <x:v>3</x:v>
      </x:c>
      <x:c r="AB1168" s="16" t="n">
        <x:v>11</x:v>
      </x:c>
      <x:c r="AC1168" s="16" t="n">
        <x:v>0</x:v>
      </x:c>
      <x:c r="AD1168" s="21" t="n">
        <x:f>IF(E1168="",MEDIAN($E$2:$E$2237),E1168)</x:f>
        <x:v>81657</x:v>
      </x:c>
      <x:c r="AE1168" s="17" t="n">
        <x:f>2014-B1168</x:f>
        <x:v>45</x:v>
      </x:c>
      <x:c r="AF1168" s="17" t="n">
        <x:f>F1168+G1168</x:f>
        <x:v>0</x:v>
      </x:c>
      <x:c r="AG1168" s="21" t="n">
        <x:f>SUM(J1168:O1168)</x:f>
        <x:v>1097</x:v>
      </x:c>
      <x:c r="AH1168" s="17" t="n">
        <x:f>SUM(Q1168:S1168)</x:f>
        <x:v>15</x:v>
      </x:c>
      <x:c r="AI1168" s="17" t="n">
        <x:f>SUM(U1168:Y1168)</x:f>
        <x:v>0</x:v>
      </x:c>
      <x:c r="AJ1168" s="17" t="str">
        <x:f>IF(AE1168&lt;=34,"≤34",IF(AE1168&lt;=44,"35–44",IF(AE1168&lt;=54,"45–54",IF(AE1168&lt;=64,"55–64","65+"))))</x:f>
        <x:v>45–54</x:v>
      </x:c>
      <x:c r="AK1168" s="17" t="str">
        <x:f>IF(AG1168&gt;=1000,"High Value",IF(AG1168&gt;=300,"Mid Value","Low Value"))</x:f>
        <x:v>High Value</x:v>
      </x:c>
      <x:c r="AL1168" s="17" t="str">
        <x:f>IF(AND(AI1168&gt;=1,I1168&lt;=50),"Priority 1",IF(AND(AG1168&gt;=1000,I1168&lt;=60),"Priority 2",IF(I1168&lt;=30,"Priority 3","Nurture")))</x:f>
        <x:v>Nurture</x:v>
      </x:c>
    </x:row>
    <x:row r="1169">
      <x:c r="A1169" s="16" t="n">
        <x:v>193</x:v>
      </x:c>
      <x:c r="B1169" s="16" t="n">
        <x:v>1996</x:v>
      </x:c>
      <x:c r="C1169" s="16" t="str">
        <x:v>Basic</x:v>
      </x:c>
      <x:c r="D1169" s="16" t="str">
        <x:v>Married</x:v>
      </x:c>
      <x:c r="E1169" s="16" t="n">
        <x:v>14421</x:v>
      </x:c>
      <x:c r="F1169" s="16" t="n">
        <x:v>0</x:v>
      </x:c>
      <x:c r="G1169" s="16" t="n">
        <x:v>0</x:v>
      </x:c>
      <x:c r="H1169" s="16" t="str">
        <x:v>17-02-2014</x:v>
      </x:c>
      <x:c r="I1169" s="16" t="n">
        <x:v>81</x:v>
      </x:c>
      <x:c r="J1169" s="16" t="n">
        <x:v>0</x:v>
      </x:c>
      <x:c r="K1169" s="16" t="n">
        <x:v>0</x:v>
      </x:c>
      <x:c r="L1169" s="16" t="n">
        <x:v>2</x:v>
      </x:c>
      <x:c r="M1169" s="16" t="n">
        <x:v>3</x:v>
      </x:c>
      <x:c r="N1169" s="16" t="n">
        <x:v>3</x:v>
      </x:c>
      <x:c r="O1169" s="16" t="n">
        <x:v>8</x:v>
      </x:c>
      <x:c r="P1169" s="16" t="n">
        <x:v>1</x:v>
      </x:c>
      <x:c r="Q1169" s="16" t="n">
        <x:v>1</x:v>
      </x:c>
      <x:c r="R1169" s="16" t="n">
        <x:v>0</x:v>
      </x:c>
      <x:c r="S1169" s="16" t="n">
        <x:v>2</x:v>
      </x:c>
      <x:c r="T1169" s="16" t="n">
        <x:v>5</x:v>
      </x:c>
      <x:c r="U1169" s="16" t="n">
        <x:v>1</x:v>
      </x:c>
      <x:c r="V1169" s="16" t="n">
        <x:v>0</x:v>
      </x:c>
      <x:c r="W1169" s="16" t="n">
        <x:v>0</x:v>
      </x:c>
      <x:c r="X1169" s="16" t="n">
        <x:v>0</x:v>
      </x:c>
      <x:c r="Y1169" s="16" t="n">
        <x:v>0</x:v>
      </x:c>
      <x:c r="Z1169" s="16" t="n">
        <x:v>0</x:v>
      </x:c>
      <x:c r="AA1169" s="16" t="n">
        <x:v>3</x:v>
      </x:c>
      <x:c r="AB1169" s="16" t="n">
        <x:v>11</x:v>
      </x:c>
      <x:c r="AC1169" s="16" t="n">
        <x:v>0</x:v>
      </x:c>
      <x:c r="AD1169" s="21" t="n">
        <x:f>IF(E1169="",MEDIAN($E$2:$E$2237),E1169)</x:f>
        <x:v>14421</x:v>
      </x:c>
      <x:c r="AE1169" s="17" t="n">
        <x:f>2014-B1169</x:f>
        <x:v>18</x:v>
      </x:c>
      <x:c r="AF1169" s="17" t="n">
        <x:f>F1169+G1169</x:f>
        <x:v>0</x:v>
      </x:c>
      <x:c r="AG1169" s="21" t="n">
        <x:f>SUM(J1169:O1169)</x:f>
        <x:v>16</x:v>
      </x:c>
      <x:c r="AH1169" s="17" t="n">
        <x:f>SUM(Q1169:S1169)</x:f>
        <x:v>3</x:v>
      </x:c>
      <x:c r="AI1169" s="17" t="n">
        <x:f>SUM(U1169:Y1169)</x:f>
        <x:v>1</x:v>
      </x:c>
      <x:c r="AJ1169" s="17" t="str">
        <x:f>IF(AE1169&lt;=34,"≤34",IF(AE1169&lt;=44,"35–44",IF(AE1169&lt;=54,"45–54",IF(AE1169&lt;=64,"55–64","65+"))))</x:f>
        <x:v>≤34</x:v>
      </x:c>
      <x:c r="AK1169" s="17" t="str">
        <x:f>IF(AG1169&gt;=1000,"High Value",IF(AG1169&gt;=300,"Mid Value","Low Value"))</x:f>
        <x:v>Low Value</x:v>
      </x:c>
      <x:c r="AL1169" s="17" t="str">
        <x:f>IF(AND(AI1169&gt;=1,I1169&lt;=50),"Priority 1",IF(AND(AG1169&gt;=1000,I1169&lt;=60),"Priority 2",IF(I1169&lt;=30,"Priority 3","Nurture")))</x:f>
        <x:v>Nurture</x:v>
      </x:c>
    </x:row>
    <x:row r="1170">
      <x:c r="A1170" s="16" t="n">
        <x:v>3363</x:v>
      </x:c>
      <x:c r="B1170" s="16" t="n">
        <x:v>1974</x:v>
      </x:c>
      <x:c r="C1170" s="16" t="str">
        <x:v>2n Cycle</x:v>
      </x:c>
      <x:c r="D1170" s="16" t="str">
        <x:v>Married</x:v>
      </x:c>
      <x:c r="E1170" s="16" t="n">
        <x:v>20130</x:v>
      </x:c>
      <x:c r="F1170" s="16" t="n">
        <x:v>0</x:v>
      </x:c>
      <x:c r="G1170" s="16" t="n">
        <x:v>0</x:v>
      </x:c>
      <x:c r="H1170" s="16" t="str">
        <x:v>17-03-2014</x:v>
      </x:c>
      <x:c r="I1170" s="16" t="n">
        <x:v>99</x:v>
      </x:c>
      <x:c r="J1170" s="16" t="n">
        <x:v>0</x:v>
      </x:c>
      <x:c r="K1170" s="16" t="n">
        <x:v>6</x:v>
      </x:c>
      <x:c r="L1170" s="16" t="n">
        <x:v>3</x:v>
      </x:c>
      <x:c r="M1170" s="16" t="n">
        <x:v>7</x:v>
      </x:c>
      <x:c r="N1170" s="16" t="n">
        <x:v>6</x:v>
      </x:c>
      <x:c r="O1170" s="16" t="n">
        <x:v>12</x:v>
      </x:c>
      <x:c r="P1170" s="16" t="n">
        <x:v>1</x:v>
      </x:c>
      <x:c r="Q1170" s="16" t="n">
        <x:v>1</x:v>
      </x:c>
      <x:c r="R1170" s="16" t="n">
        <x:v>0</x:v>
      </x:c>
      <x:c r="S1170" s="16" t="n">
        <x:v>3</x:v>
      </x:c>
      <x:c r="T1170" s="16" t="n">
        <x:v>8</x:v>
      </x:c>
      <x:c r="U1170" s="16" t="n">
        <x:v>0</x:v>
      </x:c>
      <x:c r="V1170" s="16" t="n">
        <x:v>0</x:v>
      </x:c>
      <x:c r="W1170" s="16" t="n">
        <x:v>0</x:v>
      </x:c>
      <x:c r="X1170" s="16" t="n">
        <x:v>0</x:v>
      </x:c>
      <x:c r="Y1170" s="16" t="n">
        <x:v>0</x:v>
      </x:c>
      <x:c r="Z1170" s="16" t="n">
        <x:v>0</x:v>
      </x:c>
      <x:c r="AA1170" s="16" t="n">
        <x:v>3</x:v>
      </x:c>
      <x:c r="AB1170" s="16" t="n">
        <x:v>11</x:v>
      </x:c>
      <x:c r="AC1170" s="16" t="n">
        <x:v>0</x:v>
      </x:c>
      <x:c r="AD1170" s="21" t="n">
        <x:f>IF(E1170="",MEDIAN($E$2:$E$2237),E1170)</x:f>
        <x:v>20130</x:v>
      </x:c>
      <x:c r="AE1170" s="17" t="n">
        <x:f>2014-B1170</x:f>
        <x:v>40</x:v>
      </x:c>
      <x:c r="AF1170" s="17" t="n">
        <x:f>F1170+G1170</x:f>
        <x:v>0</x:v>
      </x:c>
      <x:c r="AG1170" s="21" t="n">
        <x:f>SUM(J1170:O1170)</x:f>
        <x:v>34</x:v>
      </x:c>
      <x:c r="AH1170" s="17" t="n">
        <x:f>SUM(Q1170:S1170)</x:f>
        <x:v>4</x:v>
      </x:c>
      <x:c r="AI1170" s="17" t="n">
        <x:f>SUM(U1170:Y1170)</x:f>
        <x:v>0</x:v>
      </x:c>
      <x:c r="AJ1170" s="17" t="str">
        <x:f>IF(AE1170&lt;=34,"≤34",IF(AE1170&lt;=44,"35–44",IF(AE1170&lt;=54,"45–54",IF(AE1170&lt;=64,"55–64","65+"))))</x:f>
        <x:v>35–44</x:v>
      </x:c>
      <x:c r="AK1170" s="17" t="str">
        <x:f>IF(AG1170&gt;=1000,"High Value",IF(AG1170&gt;=300,"Mid Value","Low Value"))</x:f>
        <x:v>Low Value</x:v>
      </x:c>
      <x:c r="AL1170" s="17" t="str">
        <x:f>IF(AND(AI1170&gt;=1,I1170&lt;=50),"Priority 1",IF(AND(AG1170&gt;=1000,I1170&lt;=60),"Priority 2",IF(I1170&lt;=30,"Priority 3","Nurture")))</x:f>
        <x:v>Nurture</x:v>
      </x:c>
    </x:row>
    <x:row r="1171">
      <x:c r="A1171" s="16" t="n">
        <x:v>8278</x:v>
      </x:c>
      <x:c r="B1171" s="16" t="n">
        <x:v>1990</x:v>
      </x:c>
      <x:c r="C1171" s="16" t="str">
        <x:v>PhD</x:v>
      </x:c>
      <x:c r="D1171" s="16" t="str">
        <x:v>Married</x:v>
      </x:c>
      <x:c r="E1171" s="16" t="n">
        <x:v>74214</x:v>
      </x:c>
      <x:c r="F1171" s="16" t="n">
        <x:v>0</x:v>
      </x:c>
      <x:c r="G1171" s="16" t="n">
        <x:v>0</x:v>
      </x:c>
      <x:c r="H1171" s="16" t="str">
        <x:v>26-08-2012</x:v>
      </x:c>
      <x:c r="I1171" s="16" t="n">
        <x:v>3</x:v>
      </x:c>
      <x:c r="J1171" s="16" t="n">
        <x:v>863</x:v>
      </x:c>
      <x:c r="K1171" s="16" t="n">
        <x:v>83</x:v>
      </x:c>
      <x:c r="L1171" s="16" t="n">
        <x:v>547</x:v>
      </x:c>
      <x:c r="M1171" s="16" t="n">
        <x:v>86</x:v>
      </x:c>
      <x:c r="N1171" s="16" t="n">
        <x:v>99</x:v>
      </x:c>
      <x:c r="O1171" s="16" t="n">
        <x:v>33</x:v>
      </x:c>
      <x:c r="P1171" s="16" t="n">
        <x:v>1</x:v>
      </x:c>
      <x:c r="Q1171" s="16" t="n">
        <x:v>8</x:v>
      </x:c>
      <x:c r="R1171" s="16" t="n">
        <x:v>2</x:v>
      </x:c>
      <x:c r="S1171" s="16" t="n">
        <x:v>5</x:v>
      </x:c>
      <x:c r="T1171" s="16" t="n">
        <x:v>5</x:v>
      </x:c>
      <x:c r="U1171" s="16" t="n">
        <x:v>0</x:v>
      </x:c>
      <x:c r="V1171" s="16" t="n">
        <x:v>0</x:v>
      </x:c>
      <x:c r="W1171" s="16" t="n">
        <x:v>0</x:v>
      </x:c>
      <x:c r="X1171" s="16" t="n">
        <x:v>0</x:v>
      </x:c>
      <x:c r="Y1171" s="16" t="n">
        <x:v>0</x:v>
      </x:c>
      <x:c r="Z1171" s="16" t="n">
        <x:v>0</x:v>
      </x:c>
      <x:c r="AA1171" s="16" t="n">
        <x:v>3</x:v>
      </x:c>
      <x:c r="AB1171" s="16" t="n">
        <x:v>11</x:v>
      </x:c>
      <x:c r="AC1171" s="16" t="n">
        <x:v>0</x:v>
      </x:c>
      <x:c r="AD1171" s="21" t="n">
        <x:f>IF(E1171="",MEDIAN($E$2:$E$2237),E1171)</x:f>
        <x:v>74214</x:v>
      </x:c>
      <x:c r="AE1171" s="17" t="n">
        <x:f>2014-B1171</x:f>
        <x:v>24</x:v>
      </x:c>
      <x:c r="AF1171" s="17" t="n">
        <x:f>F1171+G1171</x:f>
        <x:v>0</x:v>
      </x:c>
      <x:c r="AG1171" s="21" t="n">
        <x:f>SUM(J1171:O1171)</x:f>
        <x:v>1711</x:v>
      </x:c>
      <x:c r="AH1171" s="17" t="n">
        <x:f>SUM(Q1171:S1171)</x:f>
        <x:v>15</x:v>
      </x:c>
      <x:c r="AI1171" s="17" t="n">
        <x:f>SUM(U1171:Y1171)</x:f>
        <x:v>0</x:v>
      </x:c>
      <x:c r="AJ1171" s="17" t="str">
        <x:f>IF(AE1171&lt;=34,"≤34",IF(AE1171&lt;=44,"35–44",IF(AE1171&lt;=54,"45–54",IF(AE1171&lt;=64,"55–64","65+"))))</x:f>
        <x:v>≤34</x:v>
      </x:c>
      <x:c r="AK1171" s="17" t="str">
        <x:f>IF(AG1171&gt;=1000,"High Value",IF(AG1171&gt;=300,"Mid Value","Low Value"))</x:f>
        <x:v>High Value</x:v>
      </x:c>
      <x:c r="AL1171" s="17" t="str">
        <x:f>IF(AND(AI1171&gt;=1,I1171&lt;=50),"Priority 1",IF(AND(AG1171&gt;=1000,I1171&lt;=60),"Priority 2",IF(I1171&lt;=30,"Priority 3","Nurture")))</x:f>
        <x:v>Priority 2</x:v>
      </x:c>
    </x:row>
    <x:row r="1172">
      <x:c r="A1172" s="16" t="n">
        <x:v>10660</x:v>
      </x:c>
      <x:c r="B1172" s="16" t="n">
        <x:v>1957</x:v>
      </x:c>
      <x:c r="C1172" s="16" t="str">
        <x:v>Master</x:v>
      </x:c>
      <x:c r="D1172" s="16" t="str">
        <x:v>Married</x:v>
      </x:c>
      <x:c r="E1172" s="16" t="n">
        <x:v>66726</x:v>
      </x:c>
      <x:c r="F1172" s="16" t="n">
        <x:v>1</x:v>
      </x:c>
      <x:c r="G1172" s="16" t="n">
        <x:v>1</x:v>
      </x:c>
      <x:c r="H1172" s="16" t="str">
        <x:v>12-01-2014</x:v>
      </x:c>
      <x:c r="I1172" s="16" t="n">
        <x:v>61</x:v>
      </x:c>
      <x:c r="J1172" s="16" t="n">
        <x:v>349</x:v>
      </x:c>
      <x:c r="K1172" s="16" t="n">
        <x:v>7</x:v>
      </x:c>
      <x:c r="L1172" s="16" t="n">
        <x:v>35</x:v>
      </x:c>
      <x:c r="M1172" s="16" t="n">
        <x:v>0</x:v>
      </x:c>
      <x:c r="N1172" s="16" t="n">
        <x:v>0</x:v>
      </x:c>
      <x:c r="O1172" s="16" t="n">
        <x:v>47</x:v>
      </x:c>
      <x:c r="P1172" s="16" t="n">
        <x:v>3</x:v>
      </x:c>
      <x:c r="Q1172" s="16" t="n">
        <x:v>8</x:v>
      </x:c>
      <x:c r="R1172" s="16" t="n">
        <x:v>2</x:v>
      </x:c>
      <x:c r="S1172" s="16" t="n">
        <x:v>4</x:v>
      </x:c>
      <x:c r="T1172" s="16" t="n">
        <x:v>7</x:v>
      </x:c>
      <x:c r="U1172" s="16" t="n">
        <x:v>0</x:v>
      </x:c>
      <x:c r="V1172" s="16" t="n">
        <x:v>1</x:v>
      </x:c>
      <x:c r="W1172" s="16" t="n">
        <x:v>0</x:v>
      </x:c>
      <x:c r="X1172" s="16" t="n">
        <x:v>0</x:v>
      </x:c>
      <x:c r="Y1172" s="16" t="n">
        <x:v>0</x:v>
      </x:c>
      <x:c r="Z1172" s="16" t="n">
        <x:v>0</x:v>
      </x:c>
      <x:c r="AA1172" s="16" t="n">
        <x:v>3</x:v>
      </x:c>
      <x:c r="AB1172" s="16" t="n">
        <x:v>11</x:v>
      </x:c>
      <x:c r="AC1172" s="16" t="n">
        <x:v>0</x:v>
      </x:c>
      <x:c r="AD1172" s="21" t="n">
        <x:f>IF(E1172="",MEDIAN($E$2:$E$2237),E1172)</x:f>
        <x:v>66726</x:v>
      </x:c>
      <x:c r="AE1172" s="17" t="n">
        <x:f>2014-B1172</x:f>
        <x:v>57</x:v>
      </x:c>
      <x:c r="AF1172" s="17" t="n">
        <x:f>F1172+G1172</x:f>
        <x:v>2</x:v>
      </x:c>
      <x:c r="AG1172" s="21" t="n">
        <x:f>SUM(J1172:O1172)</x:f>
        <x:v>438</x:v>
      </x:c>
      <x:c r="AH1172" s="17" t="n">
        <x:f>SUM(Q1172:S1172)</x:f>
        <x:v>14</x:v>
      </x:c>
      <x:c r="AI1172" s="17" t="n">
        <x:f>SUM(U1172:Y1172)</x:f>
        <x:v>1</x:v>
      </x:c>
      <x:c r="AJ1172" s="17" t="str">
        <x:f>IF(AE1172&lt;=34,"≤34",IF(AE1172&lt;=44,"35–44",IF(AE1172&lt;=54,"45–54",IF(AE1172&lt;=64,"55–64","65+"))))</x:f>
        <x:v>55–64</x:v>
      </x:c>
      <x:c r="AK1172" s="17" t="str">
        <x:f>IF(AG1172&gt;=1000,"High Value",IF(AG1172&gt;=300,"Mid Value","Low Value"))</x:f>
        <x:v>Mid Value</x:v>
      </x:c>
      <x:c r="AL1172" s="17" t="str">
        <x:f>IF(AND(AI1172&gt;=1,I1172&lt;=50),"Priority 1",IF(AND(AG1172&gt;=1000,I1172&lt;=60),"Priority 2",IF(I1172&lt;=30,"Priority 3","Nurture")))</x:f>
        <x:v>Nurture</x:v>
      </x:c>
    </x:row>
    <x:row r="1173">
      <x:c r="A1173" s="16" t="n">
        <x:v>8686</x:v>
      </x:c>
      <x:c r="B1173" s="16" t="n">
        <x:v>1979</x:v>
      </x:c>
      <x:c r="C1173" s="16" t="str">
        <x:v>Basic</x:v>
      </x:c>
      <x:c r="D1173" s="16" t="str">
        <x:v>Together</x:v>
      </x:c>
      <x:c r="E1173" s="16" t="n">
        <x:v>23724</x:v>
      </x:c>
      <x:c r="F1173" s="16" t="n">
        <x:v>1</x:v>
      </x:c>
      <x:c r="G1173" s="16" t="n">
        <x:v>0</x:v>
      </x:c>
      <x:c r="H1173" s="16" t="str">
        <x:v>08-01-2013</x:v>
      </x:c>
      <x:c r="I1173" s="16" t="n">
        <x:v>65</x:v>
      </x:c>
      <x:c r="J1173" s="16" t="n">
        <x:v>5</x:v>
      </x:c>
      <x:c r="K1173" s="16" t="n">
        <x:v>23</x:v>
      </x:c>
      <x:c r="L1173" s="16" t="n">
        <x:v>15</x:v>
      </x:c>
      <x:c r="M1173" s="16" t="n">
        <x:v>0</x:v>
      </x:c>
      <x:c r="N1173" s="16" t="n">
        <x:v>18</x:v>
      </x:c>
      <x:c r="O1173" s="16" t="n">
        <x:v>14</x:v>
      </x:c>
      <x:c r="P1173" s="16" t="n">
        <x:v>2</x:v>
      </x:c>
      <x:c r="Q1173" s="16" t="n">
        <x:v>2</x:v>
      </x:c>
      <x:c r="R1173" s="16" t="n">
        <x:v>0</x:v>
      </x:c>
      <x:c r="S1173" s="16" t="n">
        <x:v>3</x:v>
      </x:c>
      <x:c r="T1173" s="16" t="n">
        <x:v>8</x:v>
      </x:c>
      <x:c r="U1173" s="16" t="n">
        <x:v>0</x:v>
      </x:c>
      <x:c r="V1173" s="16" t="n">
        <x:v>0</x:v>
      </x:c>
      <x:c r="W1173" s="16" t="n">
        <x:v>0</x:v>
      </x:c>
      <x:c r="X1173" s="16" t="n">
        <x:v>0</x:v>
      </x:c>
      <x:c r="Y1173" s="16" t="n">
        <x:v>0</x:v>
      </x:c>
      <x:c r="Z1173" s="16" t="n">
        <x:v>0</x:v>
      </x:c>
      <x:c r="AA1173" s="16" t="n">
        <x:v>3</x:v>
      </x:c>
      <x:c r="AB1173" s="16" t="n">
        <x:v>11</x:v>
      </x:c>
      <x:c r="AC1173" s="16" t="n">
        <x:v>0</x:v>
      </x:c>
      <x:c r="AD1173" s="21" t="n">
        <x:f>IF(E1173="",MEDIAN($E$2:$E$2237),E1173)</x:f>
        <x:v>23724</x:v>
      </x:c>
      <x:c r="AE1173" s="17" t="n">
        <x:f>2014-B1173</x:f>
        <x:v>35</x:v>
      </x:c>
      <x:c r="AF1173" s="17" t="n">
        <x:f>F1173+G1173</x:f>
        <x:v>1</x:v>
      </x:c>
      <x:c r="AG1173" s="21" t="n">
        <x:f>SUM(J1173:O1173)</x:f>
        <x:v>75</x:v>
      </x:c>
      <x:c r="AH1173" s="17" t="n">
        <x:f>SUM(Q1173:S1173)</x:f>
        <x:v>5</x:v>
      </x:c>
      <x:c r="AI1173" s="17" t="n">
        <x:f>SUM(U1173:Y1173)</x:f>
        <x:v>0</x:v>
      </x:c>
      <x:c r="AJ1173" s="17" t="str">
        <x:f>IF(AE1173&lt;=34,"≤34",IF(AE1173&lt;=44,"35–44",IF(AE1173&lt;=54,"45–54",IF(AE1173&lt;=64,"55–64","65+"))))</x:f>
        <x:v>35–44</x:v>
      </x:c>
      <x:c r="AK1173" s="17" t="str">
        <x:f>IF(AG1173&gt;=1000,"High Value",IF(AG1173&gt;=300,"Mid Value","Low Value"))</x:f>
        <x:v>Low Value</x:v>
      </x:c>
      <x:c r="AL1173" s="17" t="str">
        <x:f>IF(AND(AI1173&gt;=1,I1173&lt;=50),"Priority 1",IF(AND(AG1173&gt;=1000,I1173&lt;=60),"Priority 2",IF(I1173&lt;=30,"Priority 3","Nurture")))</x:f>
        <x:v>Nurture</x:v>
      </x:c>
    </x:row>
    <x:row r="1174">
      <x:c r="A1174" s="16" t="n">
        <x:v>1604</x:v>
      </x:c>
      <x:c r="B1174" s="16" t="n">
        <x:v>1960</x:v>
      </x:c>
      <x:c r="C1174" s="16" t="str">
        <x:v>Master</x:v>
      </x:c>
      <x:c r="D1174" s="16" t="str">
        <x:v>Married</x:v>
      </x:c>
      <x:c r="E1174" s="16" t="n">
        <x:v>47353</x:v>
      </x:c>
      <x:c r="F1174" s="16" t="n">
        <x:v>0</x:v>
      </x:c>
      <x:c r="G1174" s="16" t="n">
        <x:v>1</x:v>
      </x:c>
      <x:c r="H1174" s="16" t="str">
        <x:v>13-11-2013</x:v>
      </x:c>
      <x:c r="I1174" s="16" t="n">
        <x:v>93</x:v>
      </x:c>
      <x:c r="J1174" s="16" t="n">
        <x:v>184</x:v>
      </x:c>
      <x:c r="K1174" s="16" t="n">
        <x:v>2</x:v>
      </x:c>
      <x:c r="L1174" s="16" t="n">
        <x:v>19</x:v>
      </x:c>
      <x:c r="M1174" s="16" t="n">
        <x:v>8</x:v>
      </x:c>
      <x:c r="N1174" s="16" t="n">
        <x:v>8</x:v>
      </x:c>
      <x:c r="O1174" s="16" t="n">
        <x:v>4</x:v>
      </x:c>
      <x:c r="P1174" s="16" t="n">
        <x:v>3</x:v>
      </x:c>
      <x:c r="Q1174" s="16" t="n">
        <x:v>2</x:v>
      </x:c>
      <x:c r="R1174" s="16" t="n">
        <x:v>2</x:v>
      </x:c>
      <x:c r="S1174" s="16" t="n">
        <x:v>6</x:v>
      </x:c>
      <x:c r="T1174" s="16" t="n">
        <x:v>5</x:v>
      </x:c>
      <x:c r="U1174" s="16" t="n">
        <x:v>0</x:v>
      </x:c>
      <x:c r="V1174" s="16" t="n">
        <x:v>0</x:v>
      </x:c>
      <x:c r="W1174" s="16" t="n">
        <x:v>0</x:v>
      </x:c>
      <x:c r="X1174" s="16" t="n">
        <x:v>0</x:v>
      </x:c>
      <x:c r="Y1174" s="16" t="n">
        <x:v>0</x:v>
      </x:c>
      <x:c r="Z1174" s="16" t="n">
        <x:v>0</x:v>
      </x:c>
      <x:c r="AA1174" s="16" t="n">
        <x:v>3</x:v>
      </x:c>
      <x:c r="AB1174" s="16" t="n">
        <x:v>11</x:v>
      </x:c>
      <x:c r="AC1174" s="16" t="n">
        <x:v>0</x:v>
      </x:c>
      <x:c r="AD1174" s="21" t="n">
        <x:f>IF(E1174="",MEDIAN($E$2:$E$2237),E1174)</x:f>
        <x:v>47353</x:v>
      </x:c>
      <x:c r="AE1174" s="17" t="n">
        <x:f>2014-B1174</x:f>
        <x:v>54</x:v>
      </x:c>
      <x:c r="AF1174" s="17" t="n">
        <x:f>F1174+G1174</x:f>
        <x:v>1</x:v>
      </x:c>
      <x:c r="AG1174" s="21" t="n">
        <x:f>SUM(J1174:O1174)</x:f>
        <x:v>225</x:v>
      </x:c>
      <x:c r="AH1174" s="17" t="n">
        <x:f>SUM(Q1174:S1174)</x:f>
        <x:v>10</x:v>
      </x:c>
      <x:c r="AI1174" s="17" t="n">
        <x:f>SUM(U1174:Y1174)</x:f>
        <x:v>0</x:v>
      </x:c>
      <x:c r="AJ1174" s="17" t="str">
        <x:f>IF(AE1174&lt;=34,"≤34",IF(AE1174&lt;=44,"35–44",IF(AE1174&lt;=54,"45–54",IF(AE1174&lt;=64,"55–64","65+"))))</x:f>
        <x:v>45–54</x:v>
      </x:c>
      <x:c r="AK1174" s="17" t="str">
        <x:f>IF(AG1174&gt;=1000,"High Value",IF(AG1174&gt;=300,"Mid Value","Low Value"))</x:f>
        <x:v>Low Value</x:v>
      </x:c>
      <x:c r="AL1174" s="17" t="str">
        <x:f>IF(AND(AI1174&gt;=1,I1174&lt;=50),"Priority 1",IF(AND(AG1174&gt;=1000,I1174&lt;=60),"Priority 2",IF(I1174&lt;=30,"Priority 3","Nurture")))</x:f>
        <x:v>Nurture</x:v>
      </x:c>
    </x:row>
    <x:row r="1175">
      <x:c r="A1175" s="16" t="n">
        <x:v>5907</x:v>
      </x:c>
      <x:c r="B1175" s="16" t="n">
        <x:v>1952</x:v>
      </x:c>
      <x:c r="C1175" s="16" t="str">
        <x:v>Master</x:v>
      </x:c>
      <x:c r="D1175" s="16" t="str">
        <x:v>Married</x:v>
      </x:c>
      <x:c r="E1175" s="16" t="n">
        <x:v>33444</x:v>
      </x:c>
      <x:c r="F1175" s="16" t="n">
        <x:v>1</x:v>
      </x:c>
      <x:c r="G1175" s="16" t="n">
        <x:v>1</x:v>
      </x:c>
      <x:c r="H1175" s="16" t="str">
        <x:v>03-11-2012</x:v>
      </x:c>
      <x:c r="I1175" s="16" t="n">
        <x:v>24</x:v>
      </x:c>
      <x:c r="J1175" s="16" t="n">
        <x:v>8</x:v>
      </x:c>
      <x:c r="K1175" s="16" t="n">
        <x:v>0</x:v>
      </x:c>
      <x:c r="L1175" s="16" t="n">
        <x:v>8</x:v>
      </x:c>
      <x:c r="M1175" s="16" t="n">
        <x:v>0</x:v>
      </x:c>
      <x:c r="N1175" s="16" t="n">
        <x:v>0</x:v>
      </x:c>
      <x:c r="O1175" s="16" t="n">
        <x:v>2</x:v>
      </x:c>
      <x:c r="P1175" s="16" t="n">
        <x:v>1</x:v>
      </x:c>
      <x:c r="Q1175" s="16" t="n">
        <x:v>1</x:v>
      </x:c>
      <x:c r="R1175" s="16" t="n">
        <x:v>0</x:v>
      </x:c>
      <x:c r="S1175" s="16" t="n">
        <x:v>2</x:v>
      </x:c>
      <x:c r="T1175" s="16" t="n">
        <x:v>8</x:v>
      </x:c>
      <x:c r="U1175" s="16" t="n">
        <x:v>0</x:v>
      </x:c>
      <x:c r="V1175" s="16" t="n">
        <x:v>0</x:v>
      </x:c>
      <x:c r="W1175" s="16" t="n">
        <x:v>0</x:v>
      </x:c>
      <x:c r="X1175" s="16" t="n">
        <x:v>0</x:v>
      </x:c>
      <x:c r="Y1175" s="16" t="n">
        <x:v>0</x:v>
      </x:c>
      <x:c r="Z1175" s="16" t="n">
        <x:v>0</x:v>
      </x:c>
      <x:c r="AA1175" s="16" t="n">
        <x:v>3</x:v>
      </x:c>
      <x:c r="AB1175" s="16" t="n">
        <x:v>11</x:v>
      </x:c>
      <x:c r="AC1175" s="16" t="n">
        <x:v>0</x:v>
      </x:c>
      <x:c r="AD1175" s="21" t="n">
        <x:f>IF(E1175="",MEDIAN($E$2:$E$2237),E1175)</x:f>
        <x:v>33444</x:v>
      </x:c>
      <x:c r="AE1175" s="17" t="n">
        <x:f>2014-B1175</x:f>
        <x:v>62</x:v>
      </x:c>
      <x:c r="AF1175" s="17" t="n">
        <x:f>F1175+G1175</x:f>
        <x:v>2</x:v>
      </x:c>
      <x:c r="AG1175" s="21" t="n">
        <x:f>SUM(J1175:O1175)</x:f>
        <x:v>18</x:v>
      </x:c>
      <x:c r="AH1175" s="17" t="n">
        <x:f>SUM(Q1175:S1175)</x:f>
        <x:v>3</x:v>
      </x:c>
      <x:c r="AI1175" s="17" t="n">
        <x:f>SUM(U1175:Y1175)</x:f>
        <x:v>0</x:v>
      </x:c>
      <x:c r="AJ1175" s="17" t="str">
        <x:f>IF(AE1175&lt;=34,"≤34",IF(AE1175&lt;=44,"35–44",IF(AE1175&lt;=54,"45–54",IF(AE1175&lt;=64,"55–64","65+"))))</x:f>
        <x:v>55–64</x:v>
      </x:c>
      <x:c r="AK1175" s="17" t="str">
        <x:f>IF(AG1175&gt;=1000,"High Value",IF(AG1175&gt;=300,"Mid Value","Low Value"))</x:f>
        <x:v>Low Value</x:v>
      </x:c>
      <x:c r="AL1175" s="17" t="str">
        <x:f>IF(AND(AI1175&gt;=1,I1175&lt;=50),"Priority 1",IF(AND(AG1175&gt;=1000,I1175&lt;=60),"Priority 2",IF(I1175&lt;=30,"Priority 3","Nurture")))</x:f>
        <x:v>Priority 3</x:v>
      </x:c>
    </x:row>
    <x:row r="1176">
      <x:c r="A1176" s="16" t="n">
        <x:v>10669</x:v>
      </x:c>
      <x:c r="B1176" s="16" t="n">
        <x:v>1981</x:v>
      </x:c>
      <x:c r="C1176" s="16" t="str">
        <x:v>Graduation</x:v>
      </x:c>
      <x:c r="D1176" s="16" t="str">
        <x:v>Married</x:v>
      </x:c>
      <x:c r="E1176" s="16" t="n">
        <x:v>54386</x:v>
      </x:c>
      <x:c r="F1176" s="16" t="n">
        <x:v>0</x:v>
      </x:c>
      <x:c r="G1176" s="16" t="n">
        <x:v>1</x:v>
      </x:c>
      <x:c r="H1176" s="16" t="str">
        <x:v>17-05-2013</x:v>
      </x:c>
      <x:c r="I1176" s="16" t="n">
        <x:v>8</x:v>
      </x:c>
      <x:c r="J1176" s="16" t="n">
        <x:v>277</x:v>
      </x:c>
      <x:c r="K1176" s="16" t="n">
        <x:v>21</x:v>
      </x:c>
      <x:c r="L1176" s="16" t="n">
        <x:v>64</x:v>
      </x:c>
      <x:c r="M1176" s="16" t="n">
        <x:v>62</x:v>
      </x:c>
      <x:c r="N1176" s="16" t="n">
        <x:v>21</x:v>
      </x:c>
      <x:c r="O1176" s="16" t="n">
        <x:v>25</x:v>
      </x:c>
      <x:c r="P1176" s="16" t="n">
        <x:v>2</x:v>
      </x:c>
      <x:c r="Q1176" s="16" t="n">
        <x:v>3</x:v>
      </x:c>
      <x:c r="R1176" s="16" t="n">
        <x:v>2</x:v>
      </x:c>
      <x:c r="S1176" s="16" t="n">
        <x:v>10</x:v>
      </x:c>
      <x:c r="T1176" s="16" t="n">
        <x:v>3</x:v>
      </x:c>
      <x:c r="U1176" s="16" t="n">
        <x:v>0</x:v>
      </x:c>
      <x:c r="V1176" s="16" t="n">
        <x:v>0</x:v>
      </x:c>
      <x:c r="W1176" s="16" t="n">
        <x:v>0</x:v>
      </x:c>
      <x:c r="X1176" s="16" t="n">
        <x:v>0</x:v>
      </x:c>
      <x:c r="Y1176" s="16" t="n">
        <x:v>0</x:v>
      </x:c>
      <x:c r="Z1176" s="16" t="n">
        <x:v>0</x:v>
      </x:c>
      <x:c r="AA1176" s="16" t="n">
        <x:v>3</x:v>
      </x:c>
      <x:c r="AB1176" s="16" t="n">
        <x:v>11</x:v>
      </x:c>
      <x:c r="AC1176" s="16" t="n">
        <x:v>0</x:v>
      </x:c>
      <x:c r="AD1176" s="21" t="n">
        <x:f>IF(E1176="",MEDIAN($E$2:$E$2237),E1176)</x:f>
        <x:v>54386</x:v>
      </x:c>
      <x:c r="AE1176" s="17" t="n">
        <x:f>2014-B1176</x:f>
        <x:v>33</x:v>
      </x:c>
      <x:c r="AF1176" s="17" t="n">
        <x:f>F1176+G1176</x:f>
        <x:v>1</x:v>
      </x:c>
      <x:c r="AG1176" s="21" t="n">
        <x:f>SUM(J1176:O1176)</x:f>
        <x:v>470</x:v>
      </x:c>
      <x:c r="AH1176" s="17" t="n">
        <x:f>SUM(Q1176:S1176)</x:f>
        <x:v>15</x:v>
      </x:c>
      <x:c r="AI1176" s="17" t="n">
        <x:f>SUM(U1176:Y1176)</x:f>
        <x:v>0</x:v>
      </x:c>
      <x:c r="AJ1176" s="17" t="str">
        <x:f>IF(AE1176&lt;=34,"≤34",IF(AE1176&lt;=44,"35–44",IF(AE1176&lt;=54,"45–54",IF(AE1176&lt;=64,"55–64","65+"))))</x:f>
        <x:v>≤34</x:v>
      </x:c>
      <x:c r="AK1176" s="17" t="str">
        <x:f>IF(AG1176&gt;=1000,"High Value",IF(AG1176&gt;=300,"Mid Value","Low Value"))</x:f>
        <x:v>Mid Value</x:v>
      </x:c>
      <x:c r="AL1176" s="17" t="str">
        <x:f>IF(AND(AI1176&gt;=1,I1176&lt;=50),"Priority 1",IF(AND(AG1176&gt;=1000,I1176&lt;=60),"Priority 2",IF(I1176&lt;=30,"Priority 3","Nurture")))</x:f>
        <x:v>Priority 3</x:v>
      </x:c>
    </x:row>
    <x:row r="1177">
      <x:c r="A1177" s="16" t="n">
        <x:v>2918</x:v>
      </x:c>
      <x:c r="B1177" s="16" t="n">
        <x:v>1981</x:v>
      </x:c>
      <x:c r="C1177" s="16" t="str">
        <x:v>Graduation</x:v>
      </x:c>
      <x:c r="D1177" s="16" t="str">
        <x:v>Divorced</x:v>
      </x:c>
      <x:c r="E1177" s="16" t="n">
        <x:v>28510</x:v>
      </x:c>
      <x:c r="F1177" s="16" t="n">
        <x:v>1</x:v>
      </x:c>
      <x:c r="G1177" s="16" t="n">
        <x:v>1</x:v>
      </x:c>
      <x:c r="H1177" s="16" t="str">
        <x:v>13-04-2013</x:v>
      </x:c>
      <x:c r="I1177" s="16" t="n">
        <x:v>72</x:v>
      </x:c>
      <x:c r="J1177" s="16" t="n">
        <x:v>44</x:v>
      </x:c>
      <x:c r="K1177" s="16" t="n">
        <x:v>5</x:v>
      </x:c>
      <x:c r="L1177" s="16" t="n">
        <x:v>19</x:v>
      </x:c>
      <x:c r="M1177" s="16" t="n">
        <x:v>0</x:v>
      </x:c>
      <x:c r="N1177" s="16" t="n">
        <x:v>4</x:v>
      </x:c>
      <x:c r="O1177" s="16" t="n">
        <x:v>19</x:v>
      </x:c>
      <x:c r="P1177" s="16" t="n">
        <x:v>3</x:v>
      </x:c>
      <x:c r="Q1177" s="16" t="n">
        <x:v>2</x:v>
      </x:c>
      <x:c r="R1177" s="16" t="n">
        <x:v>0</x:v>
      </x:c>
      <x:c r="S1177" s="16" t="n">
        <x:v>4</x:v>
      </x:c>
      <x:c r="T1177" s="16" t="n">
        <x:v>5</x:v>
      </x:c>
      <x:c r="U1177" s="16" t="n">
        <x:v>0</x:v>
      </x:c>
      <x:c r="V1177" s="16" t="n">
        <x:v>0</x:v>
      </x:c>
      <x:c r="W1177" s="16" t="n">
        <x:v>0</x:v>
      </x:c>
      <x:c r="X1177" s="16" t="n">
        <x:v>0</x:v>
      </x:c>
      <x:c r="Y1177" s="16" t="n">
        <x:v>0</x:v>
      </x:c>
      <x:c r="Z1177" s="16" t="n">
        <x:v>0</x:v>
      </x:c>
      <x:c r="AA1177" s="16" t="n">
        <x:v>3</x:v>
      </x:c>
      <x:c r="AB1177" s="16" t="n">
        <x:v>11</x:v>
      </x:c>
      <x:c r="AC1177" s="16" t="n">
        <x:v>0</x:v>
      </x:c>
      <x:c r="AD1177" s="21" t="n">
        <x:f>IF(E1177="",MEDIAN($E$2:$E$2237),E1177)</x:f>
        <x:v>28510</x:v>
      </x:c>
      <x:c r="AE1177" s="17" t="n">
        <x:f>2014-B1177</x:f>
        <x:v>33</x:v>
      </x:c>
      <x:c r="AF1177" s="17" t="n">
        <x:f>F1177+G1177</x:f>
        <x:v>2</x:v>
      </x:c>
      <x:c r="AG1177" s="21" t="n">
        <x:f>SUM(J1177:O1177)</x:f>
        <x:v>91</x:v>
      </x:c>
      <x:c r="AH1177" s="17" t="n">
        <x:f>SUM(Q1177:S1177)</x:f>
        <x:v>6</x:v>
      </x:c>
      <x:c r="AI1177" s="17" t="n">
        <x:f>SUM(U1177:Y1177)</x:f>
        <x:v>0</x:v>
      </x:c>
      <x:c r="AJ1177" s="17" t="str">
        <x:f>IF(AE1177&lt;=34,"≤34",IF(AE1177&lt;=44,"35–44",IF(AE1177&lt;=54,"45–54",IF(AE1177&lt;=64,"55–64","65+"))))</x:f>
        <x:v>≤34</x:v>
      </x:c>
      <x:c r="AK1177" s="17" t="str">
        <x:f>IF(AG1177&gt;=1000,"High Value",IF(AG1177&gt;=300,"Mid Value","Low Value"))</x:f>
        <x:v>Low Value</x:v>
      </x:c>
      <x:c r="AL1177" s="17" t="str">
        <x:f>IF(AND(AI1177&gt;=1,I1177&lt;=50),"Priority 1",IF(AND(AG1177&gt;=1000,I1177&lt;=60),"Priority 2",IF(I1177&lt;=30,"Priority 3","Nurture")))</x:f>
        <x:v>Nurture</x:v>
      </x:c>
    </x:row>
    <x:row r="1178">
      <x:c r="A1178" s="16" t="n">
        <x:v>5735</x:v>
      </x:c>
      <x:c r="B1178" s="16" t="n">
        <x:v>1991</x:v>
      </x:c>
      <x:c r="C1178" s="16" t="str">
        <x:v>Master</x:v>
      </x:c>
      <x:c r="D1178" s="16" t="str">
        <x:v>Single</x:v>
      </x:c>
      <x:c r="E1178" s="16" t="n">
        <x:v>90638</x:v>
      </x:c>
      <x:c r="F1178" s="16" t="n">
        <x:v>0</x:v>
      </x:c>
      <x:c r="G1178" s="16" t="n">
        <x:v>0</x:v>
      </x:c>
      <x:c r="H1178" s="16" t="str">
        <x:v>13-02-2014</x:v>
      </x:c>
      <x:c r="I1178" s="16" t="n">
        <x:v>29</x:v>
      </x:c>
      <x:c r="J1178" s="16" t="n">
        <x:v>1156</x:v>
      </x:c>
      <x:c r="K1178" s="16" t="n">
        <x:v>120</x:v>
      </x:c>
      <x:c r="L1178" s="16" t="n">
        <x:v>915</x:v>
      </x:c>
      <x:c r="M1178" s="16" t="n">
        <x:v>94</x:v>
      </x:c>
      <x:c r="N1178" s="16" t="n">
        <x:v>144</x:v>
      </x:c>
      <x:c r="O1178" s="16" t="n">
        <x:v>96</x:v>
      </x:c>
      <x:c r="P1178" s="16" t="n">
        <x:v>1</x:v>
      </x:c>
      <x:c r="Q1178" s="16" t="n">
        <x:v>3</x:v>
      </x:c>
      <x:c r="R1178" s="16" t="n">
        <x:v>4</x:v>
      </x:c>
      <x:c r="S1178" s="16" t="n">
        <x:v>10</x:v>
      </x:c>
      <x:c r="T1178" s="16" t="n">
        <x:v>1</x:v>
      </x:c>
      <x:c r="U1178" s="16" t="n">
        <x:v>0</x:v>
      </x:c>
      <x:c r="V1178" s="16" t="n">
        <x:v>0</x:v>
      </x:c>
      <x:c r="W1178" s="16" t="n">
        <x:v>1</x:v>
      </x:c>
      <x:c r="X1178" s="16" t="n">
        <x:v>0</x:v>
      </x:c>
      <x:c r="Y1178" s="16" t="n">
        <x:v>0</x:v>
      </x:c>
      <x:c r="Z1178" s="16" t="n">
        <x:v>0</x:v>
      </x:c>
      <x:c r="AA1178" s="16" t="n">
        <x:v>3</x:v>
      </x:c>
      <x:c r="AB1178" s="16" t="n">
        <x:v>11</x:v>
      </x:c>
      <x:c r="AC1178" s="16" t="n">
        <x:v>0</x:v>
      </x:c>
      <x:c r="AD1178" s="21" t="n">
        <x:f>IF(E1178="",MEDIAN($E$2:$E$2237),E1178)</x:f>
        <x:v>90638</x:v>
      </x:c>
      <x:c r="AE1178" s="17" t="n">
        <x:f>2014-B1178</x:f>
        <x:v>23</x:v>
      </x:c>
      <x:c r="AF1178" s="17" t="n">
        <x:f>F1178+G1178</x:f>
        <x:v>0</x:v>
      </x:c>
      <x:c r="AG1178" s="21" t="n">
        <x:f>SUM(J1178:O1178)</x:f>
        <x:v>2525</x:v>
      </x:c>
      <x:c r="AH1178" s="17" t="n">
        <x:f>SUM(Q1178:S1178)</x:f>
        <x:v>17</x:v>
      </x:c>
      <x:c r="AI1178" s="17" t="n">
        <x:f>SUM(U1178:Y1178)</x:f>
        <x:v>1</x:v>
      </x:c>
      <x:c r="AJ1178" s="17" t="str">
        <x:f>IF(AE1178&lt;=34,"≤34",IF(AE1178&lt;=44,"35–44",IF(AE1178&lt;=54,"45–54",IF(AE1178&lt;=64,"55–64","65+"))))</x:f>
        <x:v>≤34</x:v>
      </x:c>
      <x:c r="AK1178" s="17" t="str">
        <x:f>IF(AG1178&gt;=1000,"High Value",IF(AG1178&gt;=300,"Mid Value","Low Value"))</x:f>
        <x:v>High Value</x:v>
      </x:c>
      <x:c r="AL1178" s="17" t="str">
        <x:f>IF(AND(AI1178&gt;=1,I1178&lt;=50),"Priority 1",IF(AND(AG1178&gt;=1000,I1178&lt;=60),"Priority 2",IF(I1178&lt;=30,"Priority 3","Nurture")))</x:f>
        <x:v>Priority 1</x:v>
      </x:c>
    </x:row>
    <x:row r="1179">
      <x:c r="A1179" s="16" t="n">
        <x:v>359</x:v>
      </x:c>
      <x:c r="B1179" s="16" t="n">
        <x:v>1950</x:v>
      </x:c>
      <x:c r="C1179" s="16" t="str">
        <x:v>Graduation</x:v>
      </x:c>
      <x:c r="D1179" s="16" t="str">
        <x:v>Together</x:v>
      </x:c>
      <x:c r="E1179" s="16" t="n">
        <x:v>48070</x:v>
      </x:c>
      <x:c r="F1179" s="16" t="n">
        <x:v>0</x:v>
      </x:c>
      <x:c r="G1179" s="16" t="n">
        <x:v>1</x:v>
      </x:c>
      <x:c r="H1179" s="16" t="str">
        <x:v>13-01-2013</x:v>
      </x:c>
      <x:c r="I1179" s="16" t="n">
        <x:v>33</x:v>
      </x:c>
      <x:c r="J1179" s="16" t="n">
        <x:v>373</x:v>
      </x:c>
      <x:c r="K1179" s="16" t="n">
        <x:v>14</x:v>
      </x:c>
      <x:c r="L1179" s="16" t="n">
        <x:v>83</x:v>
      </x:c>
      <x:c r="M1179" s="16" t="n">
        <x:v>6</x:v>
      </x:c>
      <x:c r="N1179" s="16" t="n">
        <x:v>9</x:v>
      </x:c>
      <x:c r="O1179" s="16" t="n">
        <x:v>19</x:v>
      </x:c>
      <x:c r="P1179" s="16" t="n">
        <x:v>3</x:v>
      </x:c>
      <x:c r="Q1179" s="16" t="n">
        <x:v>8</x:v>
      </x:c>
      <x:c r="R1179" s="16" t="n">
        <x:v>2</x:v>
      </x:c>
      <x:c r="S1179" s="16" t="n">
        <x:v>6</x:v>
      </x:c>
      <x:c r="T1179" s="16" t="n">
        <x:v>7</x:v>
      </x:c>
      <x:c r="U1179" s="16" t="n">
        <x:v>0</x:v>
      </x:c>
      <x:c r="V1179" s="16" t="n">
        <x:v>0</x:v>
      </x:c>
      <x:c r="W1179" s="16" t="n">
        <x:v>0</x:v>
      </x:c>
      <x:c r="X1179" s="16" t="n">
        <x:v>0</x:v>
      </x:c>
      <x:c r="Y1179" s="16" t="n">
        <x:v>0</x:v>
      </x:c>
      <x:c r="Z1179" s="16" t="n">
        <x:v>1</x:v>
      </x:c>
      <x:c r="AA1179" s="16" t="n">
        <x:v>3</x:v>
      </x:c>
      <x:c r="AB1179" s="16" t="n">
        <x:v>11</x:v>
      </x:c>
      <x:c r="AC1179" s="16" t="n">
        <x:v>0</x:v>
      </x:c>
      <x:c r="AD1179" s="21" t="n">
        <x:f>IF(E1179="",MEDIAN($E$2:$E$2237),E1179)</x:f>
        <x:v>48070</x:v>
      </x:c>
      <x:c r="AE1179" s="17" t="n">
        <x:f>2014-B1179</x:f>
        <x:v>64</x:v>
      </x:c>
      <x:c r="AF1179" s="17" t="n">
        <x:f>F1179+G1179</x:f>
        <x:v>1</x:v>
      </x:c>
      <x:c r="AG1179" s="21" t="n">
        <x:f>SUM(J1179:O1179)</x:f>
        <x:v>504</x:v>
      </x:c>
      <x:c r="AH1179" s="17" t="n">
        <x:f>SUM(Q1179:S1179)</x:f>
        <x:v>16</x:v>
      </x:c>
      <x:c r="AI1179" s="17" t="n">
        <x:f>SUM(U1179:Y1179)</x:f>
        <x:v>0</x:v>
      </x:c>
      <x:c r="AJ1179" s="17" t="str">
        <x:f>IF(AE1179&lt;=34,"≤34",IF(AE1179&lt;=44,"35–44",IF(AE1179&lt;=54,"45–54",IF(AE1179&lt;=64,"55–64","65+"))))</x:f>
        <x:v>55–64</x:v>
      </x:c>
      <x:c r="AK1179" s="17" t="str">
        <x:f>IF(AG1179&gt;=1000,"High Value",IF(AG1179&gt;=300,"Mid Value","Low Value"))</x:f>
        <x:v>Mid Value</x:v>
      </x:c>
      <x:c r="AL1179" s="17" t="str">
        <x:f>IF(AND(AI1179&gt;=1,I1179&lt;=50),"Priority 1",IF(AND(AG1179&gt;=1000,I1179&lt;=60),"Priority 2",IF(I1179&lt;=30,"Priority 3","Nurture")))</x:f>
        <x:v>Nurture</x:v>
      </x:c>
    </x:row>
    <x:row r="1180">
      <x:c r="A1180" s="16" t="n">
        <x:v>8387</x:v>
      </x:c>
      <x:c r="B1180" s="16" t="n">
        <x:v>1957</x:v>
      </x:c>
      <x:c r="C1180" s="16" t="str">
        <x:v>Graduation</x:v>
      </x:c>
      <x:c r="D1180" s="16" t="str">
        <x:v>Married</x:v>
      </x:c>
      <x:c r="E1180" s="16" t="n">
        <x:v>43140</x:v>
      </x:c>
      <x:c r="F1180" s="16" t="n">
        <x:v>0</x:v>
      </x:c>
      <x:c r="G1180" s="16" t="n">
        <x:v>1</x:v>
      </x:c>
      <x:c r="H1180" s="16" t="str">
        <x:v>05-01-2013</x:v>
      </x:c>
      <x:c r="I1180" s="16" t="n">
        <x:v>68</x:v>
      </x:c>
      <x:c r="J1180" s="16" t="n">
        <x:v>134</x:v>
      </x:c>
      <x:c r="K1180" s="16" t="n">
        <x:v>8</x:v>
      </x:c>
      <x:c r="L1180" s="16" t="n">
        <x:v>76</x:v>
      </x:c>
      <x:c r="M1180" s="16" t="n">
        <x:v>6</x:v>
      </x:c>
      <x:c r="N1180" s="16" t="n">
        <x:v>0</x:v>
      </x:c>
      <x:c r="O1180" s="16" t="n">
        <x:v>11</x:v>
      </x:c>
      <x:c r="P1180" s="16" t="n">
        <x:v>1</x:v>
      </x:c>
      <x:c r="Q1180" s="16" t="n">
        <x:v>4</x:v>
      </x:c>
      <x:c r="R1180" s="16" t="n">
        <x:v>1</x:v>
      </x:c>
      <x:c r="S1180" s="16" t="n">
        <x:v>5</x:v>
      </x:c>
      <x:c r="T1180" s="16" t="n">
        <x:v>6</x:v>
      </x:c>
      <x:c r="U1180" s="16" t="n">
        <x:v>0</x:v>
      </x:c>
      <x:c r="V1180" s="16" t="n">
        <x:v>0</x:v>
      </x:c>
      <x:c r="W1180" s="16" t="n">
        <x:v>0</x:v>
      </x:c>
      <x:c r="X1180" s="16" t="n">
        <x:v>0</x:v>
      </x:c>
      <x:c r="Y1180" s="16" t="n">
        <x:v>0</x:v>
      </x:c>
      <x:c r="Z1180" s="16" t="n">
        <x:v>0</x:v>
      </x:c>
      <x:c r="AA1180" s="16" t="n">
        <x:v>3</x:v>
      </x:c>
      <x:c r="AB1180" s="16" t="n">
        <x:v>11</x:v>
      </x:c>
      <x:c r="AC1180" s="16" t="n">
        <x:v>0</x:v>
      </x:c>
      <x:c r="AD1180" s="21" t="n">
        <x:f>IF(E1180="",MEDIAN($E$2:$E$2237),E1180)</x:f>
        <x:v>43140</x:v>
      </x:c>
      <x:c r="AE1180" s="17" t="n">
        <x:f>2014-B1180</x:f>
        <x:v>57</x:v>
      </x:c>
      <x:c r="AF1180" s="17" t="n">
        <x:f>F1180+G1180</x:f>
        <x:v>1</x:v>
      </x:c>
      <x:c r="AG1180" s="21" t="n">
        <x:f>SUM(J1180:O1180)</x:f>
        <x:v>235</x:v>
      </x:c>
      <x:c r="AH1180" s="17" t="n">
        <x:f>SUM(Q1180:S1180)</x:f>
        <x:v>10</x:v>
      </x:c>
      <x:c r="AI1180" s="17" t="n">
        <x:f>SUM(U1180:Y1180)</x:f>
        <x:v>0</x:v>
      </x:c>
      <x:c r="AJ1180" s="17" t="str">
        <x:f>IF(AE1180&lt;=34,"≤34",IF(AE1180&lt;=44,"35–44",IF(AE1180&lt;=54,"45–54",IF(AE1180&lt;=64,"55–64","65+"))))</x:f>
        <x:v>55–64</x:v>
      </x:c>
      <x:c r="AK1180" s="17" t="str">
        <x:f>IF(AG1180&gt;=1000,"High Value",IF(AG1180&gt;=300,"Mid Value","Low Value"))</x:f>
        <x:v>Low Value</x:v>
      </x:c>
      <x:c r="AL1180" s="17" t="str">
        <x:f>IF(AND(AI1180&gt;=1,I1180&lt;=50),"Priority 1",IF(AND(AG1180&gt;=1000,I1180&lt;=60),"Priority 2",IF(I1180&lt;=30,"Priority 3","Nurture")))</x:f>
        <x:v>Nurture</x:v>
      </x:c>
    </x:row>
    <x:row r="1181">
      <x:c r="A1181" s="16" t="n">
        <x:v>1829</x:v>
      </x:c>
      <x:c r="B1181" s="16" t="n">
        <x:v>1961</x:v>
      </x:c>
      <x:c r="C1181" s="16" t="str">
        <x:v>PhD</x:v>
      </x:c>
      <x:c r="D1181" s="16" t="str">
        <x:v>Divorced</x:v>
      </x:c>
      <x:c r="E1181" s="16" t="n">
        <x:v>54959</x:v>
      </x:c>
      <x:c r="F1181" s="16" t="n">
        <x:v>0</x:v>
      </x:c>
      <x:c r="G1181" s="16" t="n">
        <x:v>1</x:v>
      </x:c>
      <x:c r="H1181" s="16" t="str">
        <x:v>19-01-2013</x:v>
      </x:c>
      <x:c r="I1181" s="16" t="n">
        <x:v>55</x:v>
      </x:c>
      <x:c r="J1181" s="16" t="n">
        <x:v>1148</x:v>
      </x:c>
      <x:c r="K1181" s="16" t="n">
        <x:v>0</x:v>
      </x:c>
      <x:c r="L1181" s="16" t="n">
        <x:v>60</x:v>
      </x:c>
      <x:c r="M1181" s="16" t="n">
        <x:v>0</x:v>
      </x:c>
      <x:c r="N1181" s="16" t="n">
        <x:v>0</x:v>
      </x:c>
      <x:c r="O1181" s="16" t="n">
        <x:v>24</x:v>
      </x:c>
      <x:c r="P1181" s="16" t="n">
        <x:v>3</x:v>
      </x:c>
      <x:c r="Q1181" s="16" t="n">
        <x:v>9</x:v>
      </x:c>
      <x:c r="R1181" s="16" t="n">
        <x:v>5</x:v>
      </x:c>
      <x:c r="S1181" s="16" t="n">
        <x:v>4</x:v>
      </x:c>
      <x:c r="T1181" s="16" t="n">
        <x:v>7</x:v>
      </x:c>
      <x:c r="U1181" s="16" t="n">
        <x:v>0</x:v>
      </x:c>
      <x:c r="V1181" s="16" t="n">
        <x:v>1</x:v>
      </x:c>
      <x:c r="W1181" s="16" t="n">
        <x:v>0</x:v>
      </x:c>
      <x:c r="X1181" s="16" t="n">
        <x:v>0</x:v>
      </x:c>
      <x:c r="Y1181" s="16" t="n">
        <x:v>0</x:v>
      </x:c>
      <x:c r="Z1181" s="16" t="n">
        <x:v>0</x:v>
      </x:c>
      <x:c r="AA1181" s="16" t="n">
        <x:v>3</x:v>
      </x:c>
      <x:c r="AB1181" s="16" t="n">
        <x:v>11</x:v>
      </x:c>
      <x:c r="AC1181" s="16" t="n">
        <x:v>1</x:v>
      </x:c>
      <x:c r="AD1181" s="21" t="n">
        <x:f>IF(E1181="",MEDIAN($E$2:$E$2237),E1181)</x:f>
        <x:v>54959</x:v>
      </x:c>
      <x:c r="AE1181" s="17" t="n">
        <x:f>2014-B1181</x:f>
        <x:v>53</x:v>
      </x:c>
      <x:c r="AF1181" s="17" t="n">
        <x:f>F1181+G1181</x:f>
        <x:v>1</x:v>
      </x:c>
      <x:c r="AG1181" s="21" t="n">
        <x:f>SUM(J1181:O1181)</x:f>
        <x:v>1232</x:v>
      </x:c>
      <x:c r="AH1181" s="17" t="n">
        <x:f>SUM(Q1181:S1181)</x:f>
        <x:v>18</x:v>
      </x:c>
      <x:c r="AI1181" s="17" t="n">
        <x:f>SUM(U1181:Y1181)</x:f>
        <x:v>1</x:v>
      </x:c>
      <x:c r="AJ1181" s="17" t="str">
        <x:f>IF(AE1181&lt;=34,"≤34",IF(AE1181&lt;=44,"35–44",IF(AE1181&lt;=54,"45–54",IF(AE1181&lt;=64,"55–64","65+"))))</x:f>
        <x:v>45–54</x:v>
      </x:c>
      <x:c r="AK1181" s="17" t="str">
        <x:f>IF(AG1181&gt;=1000,"High Value",IF(AG1181&gt;=300,"Mid Value","Low Value"))</x:f>
        <x:v>High Value</x:v>
      </x:c>
      <x:c r="AL1181" s="17" t="str">
        <x:f>IF(AND(AI1181&gt;=1,I1181&lt;=50),"Priority 1",IF(AND(AG1181&gt;=1000,I1181&lt;=60),"Priority 2",IF(I1181&lt;=30,"Priority 3","Nurture")))</x:f>
        <x:v>Priority 2</x:v>
      </x:c>
    </x:row>
    <x:row r="1182">
      <x:c r="A1182" s="16" t="n">
        <x:v>3839</x:v>
      </x:c>
      <x:c r="B1182" s="16" t="n">
        <x:v>1958</x:v>
      </x:c>
      <x:c r="C1182" s="16" t="str">
        <x:v>Basic</x:v>
      </x:c>
      <x:c r="D1182" s="16" t="str">
        <x:v>Single</x:v>
      </x:c>
      <x:c r="E1182" s="16" t="n">
        <x:v>15056</x:v>
      </x:c>
      <x:c r="F1182" s="16" t="n">
        <x:v>1</x:v>
      </x:c>
      <x:c r="G1182" s="16" t="n">
        <x:v>1</x:v>
      </x:c>
      <x:c r="H1182" s="16" t="str">
        <x:v>03-05-2013</x:v>
      </x:c>
      <x:c r="I1182" s="16" t="n">
        <x:v>76</x:v>
      </x:c>
      <x:c r="J1182" s="16" t="n">
        <x:v>6</x:v>
      </x:c>
      <x:c r="K1182" s="16" t="n">
        <x:v>12</x:v>
      </x:c>
      <x:c r="L1182" s="16" t="n">
        <x:v>3</x:v>
      </x:c>
      <x:c r="M1182" s="16" t="n">
        <x:v>21</x:v>
      </x:c>
      <x:c r="N1182" s="16" t="n">
        <x:v>6</x:v>
      </x:c>
      <x:c r="O1182" s="16" t="n">
        <x:v>40</x:v>
      </x:c>
      <x:c r="P1182" s="16" t="n">
        <x:v>5</x:v>
      </x:c>
      <x:c r="Q1182" s="16" t="n">
        <x:v>2</x:v>
      </x:c>
      <x:c r="R1182" s="16" t="n">
        <x:v>2</x:v>
      </x:c>
      <x:c r="S1182" s="16" t="n">
        <x:v>3</x:v>
      </x:c>
      <x:c r="T1182" s="16" t="n">
        <x:v>5</x:v>
      </x:c>
      <x:c r="U1182" s="16" t="n">
        <x:v>0</x:v>
      </x:c>
      <x:c r="V1182" s="16" t="n">
        <x:v>0</x:v>
      </x:c>
      <x:c r="W1182" s="16" t="n">
        <x:v>0</x:v>
      </x:c>
      <x:c r="X1182" s="16" t="n">
        <x:v>0</x:v>
      </x:c>
      <x:c r="Y1182" s="16" t="n">
        <x:v>0</x:v>
      </x:c>
      <x:c r="Z1182" s="16" t="n">
        <x:v>0</x:v>
      </x:c>
      <x:c r="AA1182" s="16" t="n">
        <x:v>3</x:v>
      </x:c>
      <x:c r="AB1182" s="16" t="n">
        <x:v>11</x:v>
      </x:c>
      <x:c r="AC1182" s="16" t="n">
        <x:v>0</x:v>
      </x:c>
      <x:c r="AD1182" s="21" t="n">
        <x:f>IF(E1182="",MEDIAN($E$2:$E$2237),E1182)</x:f>
        <x:v>15056</x:v>
      </x:c>
      <x:c r="AE1182" s="17" t="n">
        <x:f>2014-B1182</x:f>
        <x:v>56</x:v>
      </x:c>
      <x:c r="AF1182" s="17" t="n">
        <x:f>F1182+G1182</x:f>
        <x:v>2</x:v>
      </x:c>
      <x:c r="AG1182" s="21" t="n">
        <x:f>SUM(J1182:O1182)</x:f>
        <x:v>88</x:v>
      </x:c>
      <x:c r="AH1182" s="17" t="n">
        <x:f>SUM(Q1182:S1182)</x:f>
        <x:v>7</x:v>
      </x:c>
      <x:c r="AI1182" s="17" t="n">
        <x:f>SUM(U1182:Y1182)</x:f>
        <x:v>0</x:v>
      </x:c>
      <x:c r="AJ1182" s="17" t="str">
        <x:f>IF(AE1182&lt;=34,"≤34",IF(AE1182&lt;=44,"35–44",IF(AE1182&lt;=54,"45–54",IF(AE1182&lt;=64,"55–64","65+"))))</x:f>
        <x:v>55–64</x:v>
      </x:c>
      <x:c r="AK1182" s="17" t="str">
        <x:f>IF(AG1182&gt;=1000,"High Value",IF(AG1182&gt;=300,"Mid Value","Low Value"))</x:f>
        <x:v>Low Value</x:v>
      </x:c>
      <x:c r="AL1182" s="17" t="str">
        <x:f>IF(AND(AI1182&gt;=1,I1182&lt;=50),"Priority 1",IF(AND(AG1182&gt;=1000,I1182&lt;=60),"Priority 2",IF(I1182&lt;=30,"Priority 3","Nurture")))</x:f>
        <x:v>Nurture</x:v>
      </x:c>
    </x:row>
    <x:row r="1183">
      <x:c r="A1183" s="16" t="n">
        <x:v>9392</x:v>
      </x:c>
      <x:c r="B1183" s="16" t="n">
        <x:v>1971</x:v>
      </x:c>
      <x:c r="C1183" s="16" t="str">
        <x:v>Graduation</x:v>
      </x:c>
      <x:c r="D1183" s="16" t="str">
        <x:v>Single</x:v>
      </x:c>
      <x:c r="E1183" s="16" t="n">
        <x:v>26954</x:v>
      </x:c>
      <x:c r="F1183" s="16" t="n">
        <x:v>1</x:v>
      </x:c>
      <x:c r="G1183" s="16" t="n">
        <x:v>0</x:v>
      </x:c>
      <x:c r="H1183" s="16" t="str">
        <x:v>08-05-2014</x:v>
      </x:c>
      <x:c r="I1183" s="16" t="n">
        <x:v>17</x:v>
      </x:c>
      <x:c r="J1183" s="16" t="n">
        <x:v>4</x:v>
      </x:c>
      <x:c r="K1183" s="16" t="n">
        <x:v>1</x:v>
      </x:c>
      <x:c r="L1183" s="16" t="n">
        <x:v>11</x:v>
      </x:c>
      <x:c r="M1183" s="16" t="n">
        <x:v>0</x:v>
      </x:c>
      <x:c r="N1183" s="16" t="n">
        <x:v>0</x:v>
      </x:c>
      <x:c r="O1183" s="16" t="n">
        <x:v>1</x:v>
      </x:c>
      <x:c r="P1183" s="16" t="n">
        <x:v>1</x:v>
      </x:c>
      <x:c r="Q1183" s="16" t="n">
        <x:v>1</x:v>
      </x:c>
      <x:c r="R1183" s="16" t="n">
        <x:v>0</x:v>
      </x:c>
      <x:c r="S1183" s="16" t="n">
        <x:v>2</x:v>
      </x:c>
      <x:c r="T1183" s="16" t="n">
        <x:v>7</x:v>
      </x:c>
      <x:c r="U1183" s="16" t="n">
        <x:v>0</x:v>
      </x:c>
      <x:c r="V1183" s="16" t="n">
        <x:v>0</x:v>
      </x:c>
      <x:c r="W1183" s="16" t="n">
        <x:v>0</x:v>
      </x:c>
      <x:c r="X1183" s="16" t="n">
        <x:v>0</x:v>
      </x:c>
      <x:c r="Y1183" s="16" t="n">
        <x:v>0</x:v>
      </x:c>
      <x:c r="Z1183" s="16" t="n">
        <x:v>0</x:v>
      </x:c>
      <x:c r="AA1183" s="16" t="n">
        <x:v>3</x:v>
      </x:c>
      <x:c r="AB1183" s="16" t="n">
        <x:v>11</x:v>
      </x:c>
      <x:c r="AC1183" s="16" t="n">
        <x:v>0</x:v>
      </x:c>
      <x:c r="AD1183" s="21" t="n">
        <x:f>IF(E1183="",MEDIAN($E$2:$E$2237),E1183)</x:f>
        <x:v>26954</x:v>
      </x:c>
      <x:c r="AE1183" s="17" t="n">
        <x:f>2014-B1183</x:f>
        <x:v>43</x:v>
      </x:c>
      <x:c r="AF1183" s="17" t="n">
        <x:f>F1183+G1183</x:f>
        <x:v>1</x:v>
      </x:c>
      <x:c r="AG1183" s="21" t="n">
        <x:f>SUM(J1183:O1183)</x:f>
        <x:v>17</x:v>
      </x:c>
      <x:c r="AH1183" s="17" t="n">
        <x:f>SUM(Q1183:S1183)</x:f>
        <x:v>3</x:v>
      </x:c>
      <x:c r="AI1183" s="17" t="n">
        <x:f>SUM(U1183:Y1183)</x:f>
        <x:v>0</x:v>
      </x:c>
      <x:c r="AJ1183" s="17" t="str">
        <x:f>IF(AE1183&lt;=34,"≤34",IF(AE1183&lt;=44,"35–44",IF(AE1183&lt;=54,"45–54",IF(AE1183&lt;=64,"55–64","65+"))))</x:f>
        <x:v>35–44</x:v>
      </x:c>
      <x:c r="AK1183" s="17" t="str">
        <x:f>IF(AG1183&gt;=1000,"High Value",IF(AG1183&gt;=300,"Mid Value","Low Value"))</x:f>
        <x:v>Low Value</x:v>
      </x:c>
      <x:c r="AL1183" s="17" t="str">
        <x:f>IF(AND(AI1183&gt;=1,I1183&lt;=50),"Priority 1",IF(AND(AG1183&gt;=1000,I1183&lt;=60),"Priority 2",IF(I1183&lt;=30,"Priority 3","Nurture")))</x:f>
        <x:v>Priority 3</x:v>
      </x:c>
    </x:row>
    <x:row r="1184">
      <x:c r="A1184" s="16" t="n">
        <x:v>2292</x:v>
      </x:c>
      <x:c r="B1184" s="16" t="n">
        <x:v>1985</x:v>
      </x:c>
      <x:c r="C1184" s="16" t="str">
        <x:v>Graduation</x:v>
      </x:c>
      <x:c r="D1184" s="16" t="str">
        <x:v>Single</x:v>
      </x:c>
      <x:c r="E1184" s="16" t="n">
        <x:v>22327</x:v>
      </x:c>
      <x:c r="F1184" s="16" t="n">
        <x:v>1</x:v>
      </x:c>
      <x:c r="G1184" s="16" t="n">
        <x:v>0</x:v>
      </x:c>
      <x:c r="H1184" s="16" t="str">
        <x:v>02-08-2013</x:v>
      </x:c>
      <x:c r="I1184" s="16" t="n">
        <x:v>94</x:v>
      </x:c>
      <x:c r="J1184" s="16" t="n">
        <x:v>5</x:v>
      </x:c>
      <x:c r="K1184" s="16" t="n">
        <x:v>4</x:v>
      </x:c>
      <x:c r="L1184" s="16" t="n">
        <x:v>8</x:v>
      </x:c>
      <x:c r="M1184" s="16" t="n">
        <x:v>2</x:v>
      </x:c>
      <x:c r="N1184" s="16" t="n">
        <x:v>0</x:v>
      </x:c>
      <x:c r="O1184" s="16" t="n">
        <x:v>5</x:v>
      </x:c>
      <x:c r="P1184" s="16" t="n">
        <x:v>1</x:v>
      </x:c>
      <x:c r="Q1184" s="16" t="n">
        <x:v>1</x:v>
      </x:c>
      <x:c r="R1184" s="16" t="n">
        <x:v>0</x:v>
      </x:c>
      <x:c r="S1184" s="16" t="n">
        <x:v>3</x:v>
      </x:c>
      <x:c r="T1184" s="16" t="n">
        <x:v>5</x:v>
      </x:c>
      <x:c r="U1184" s="16" t="n">
        <x:v>0</x:v>
      </x:c>
      <x:c r="V1184" s="16" t="n">
        <x:v>0</x:v>
      </x:c>
      <x:c r="W1184" s="16" t="n">
        <x:v>0</x:v>
      </x:c>
      <x:c r="X1184" s="16" t="n">
        <x:v>0</x:v>
      </x:c>
      <x:c r="Y1184" s="16" t="n">
        <x:v>0</x:v>
      </x:c>
      <x:c r="Z1184" s="16" t="n">
        <x:v>0</x:v>
      </x:c>
      <x:c r="AA1184" s="16" t="n">
        <x:v>3</x:v>
      </x:c>
      <x:c r="AB1184" s="16" t="n">
        <x:v>11</x:v>
      </x:c>
      <x:c r="AC1184" s="16" t="n">
        <x:v>0</x:v>
      </x:c>
      <x:c r="AD1184" s="21" t="n">
        <x:f>IF(E1184="",MEDIAN($E$2:$E$2237),E1184)</x:f>
        <x:v>22327</x:v>
      </x:c>
      <x:c r="AE1184" s="17" t="n">
        <x:f>2014-B1184</x:f>
        <x:v>29</x:v>
      </x:c>
      <x:c r="AF1184" s="17" t="n">
        <x:f>F1184+G1184</x:f>
        <x:v>1</x:v>
      </x:c>
      <x:c r="AG1184" s="21" t="n">
        <x:f>SUM(J1184:O1184)</x:f>
        <x:v>24</x:v>
      </x:c>
      <x:c r="AH1184" s="17" t="n">
        <x:f>SUM(Q1184:S1184)</x:f>
        <x:v>4</x:v>
      </x:c>
      <x:c r="AI1184" s="17" t="n">
        <x:f>SUM(U1184:Y1184)</x:f>
        <x:v>0</x:v>
      </x:c>
      <x:c r="AJ1184" s="17" t="str">
        <x:f>IF(AE1184&lt;=34,"≤34",IF(AE1184&lt;=44,"35–44",IF(AE1184&lt;=54,"45–54",IF(AE1184&lt;=64,"55–64","65+"))))</x:f>
        <x:v>≤34</x:v>
      </x:c>
      <x:c r="AK1184" s="17" t="str">
        <x:f>IF(AG1184&gt;=1000,"High Value",IF(AG1184&gt;=300,"Mid Value","Low Value"))</x:f>
        <x:v>Low Value</x:v>
      </x:c>
      <x:c r="AL1184" s="17" t="str">
        <x:f>IF(AND(AI1184&gt;=1,I1184&lt;=50),"Priority 1",IF(AND(AG1184&gt;=1000,I1184&lt;=60),"Priority 2",IF(I1184&lt;=30,"Priority 3","Nurture")))</x:f>
        <x:v>Nurture</x:v>
      </x:c>
    </x:row>
    <x:row r="1185">
      <x:c r="A1185" s="16" t="n">
        <x:v>10466</x:v>
      </x:c>
      <x:c r="B1185" s="16" t="n">
        <x:v>1965</x:v>
      </x:c>
      <x:c r="C1185" s="16" t="str">
        <x:v>Graduation</x:v>
      </x:c>
      <x:c r="D1185" s="16" t="str">
        <x:v>Married</x:v>
      </x:c>
      <x:c r="E1185" s="16" t="n">
        <x:v>44393</x:v>
      </x:c>
      <x:c r="F1185" s="16" t="n">
        <x:v>1</x:v>
      </x:c>
      <x:c r="G1185" s="16" t="n">
        <x:v>1</x:v>
      </x:c>
      <x:c r="H1185" s="16" t="str">
        <x:v>22-08-2013</x:v>
      </x:c>
      <x:c r="I1185" s="16" t="n">
        <x:v>86</x:v>
      </x:c>
      <x:c r="J1185" s="16" t="n">
        <x:v>24</x:v>
      </x:c>
      <x:c r="K1185" s="16" t="n">
        <x:v>2</x:v>
      </x:c>
      <x:c r="L1185" s="16" t="n">
        <x:v>20</x:v>
      </x:c>
      <x:c r="M1185" s="16" t="n">
        <x:v>2</x:v>
      </x:c>
      <x:c r="N1185" s="16" t="n">
        <x:v>2</x:v>
      </x:c>
      <x:c r="O1185" s="16" t="n">
        <x:v>10</x:v>
      </x:c>
      <x:c r="P1185" s="16" t="n">
        <x:v>2</x:v>
      </x:c>
      <x:c r="Q1185" s="16" t="n">
        <x:v>1</x:v>
      </x:c>
      <x:c r="R1185" s="16" t="n">
        <x:v>0</x:v>
      </x:c>
      <x:c r="S1185" s="16" t="n">
        <x:v>4</x:v>
      </x:c>
      <x:c r="T1185" s="16" t="n">
        <x:v>4</x:v>
      </x:c>
      <x:c r="U1185" s="16" t="n">
        <x:v>0</x:v>
      </x:c>
      <x:c r="V1185" s="16" t="n">
        <x:v>0</x:v>
      </x:c>
      <x:c r="W1185" s="16" t="n">
        <x:v>0</x:v>
      </x:c>
      <x:c r="X1185" s="16" t="n">
        <x:v>0</x:v>
      </x:c>
      <x:c r="Y1185" s="16" t="n">
        <x:v>0</x:v>
      </x:c>
      <x:c r="Z1185" s="16" t="n">
        <x:v>0</x:v>
      </x:c>
      <x:c r="AA1185" s="16" t="n">
        <x:v>3</x:v>
      </x:c>
      <x:c r="AB1185" s="16" t="n">
        <x:v>11</x:v>
      </x:c>
      <x:c r="AC1185" s="16" t="n">
        <x:v>0</x:v>
      </x:c>
      <x:c r="AD1185" s="21" t="n">
        <x:f>IF(E1185="",MEDIAN($E$2:$E$2237),E1185)</x:f>
        <x:v>44393</x:v>
      </x:c>
      <x:c r="AE1185" s="17" t="n">
        <x:f>2014-B1185</x:f>
        <x:v>49</x:v>
      </x:c>
      <x:c r="AF1185" s="17" t="n">
        <x:f>F1185+G1185</x:f>
        <x:v>2</x:v>
      </x:c>
      <x:c r="AG1185" s="21" t="n">
        <x:f>SUM(J1185:O1185)</x:f>
        <x:v>60</x:v>
      </x:c>
      <x:c r="AH1185" s="17" t="n">
        <x:f>SUM(Q1185:S1185)</x:f>
        <x:v>5</x:v>
      </x:c>
      <x:c r="AI1185" s="17" t="n">
        <x:f>SUM(U1185:Y1185)</x:f>
        <x:v>0</x:v>
      </x:c>
      <x:c r="AJ1185" s="17" t="str">
        <x:f>IF(AE1185&lt;=34,"≤34",IF(AE1185&lt;=44,"35–44",IF(AE1185&lt;=54,"45–54",IF(AE1185&lt;=64,"55–64","65+"))))</x:f>
        <x:v>45–54</x:v>
      </x:c>
      <x:c r="AK1185" s="17" t="str">
        <x:f>IF(AG1185&gt;=1000,"High Value",IF(AG1185&gt;=300,"Mid Value","Low Value"))</x:f>
        <x:v>Low Value</x:v>
      </x:c>
      <x:c r="AL1185" s="17" t="str">
        <x:f>IF(AND(AI1185&gt;=1,I1185&lt;=50),"Priority 1",IF(AND(AG1185&gt;=1000,I1185&lt;=60),"Priority 2",IF(I1185&lt;=30,"Priority 3","Nurture")))</x:f>
        <x:v>Nurture</x:v>
      </x:c>
    </x:row>
    <x:row r="1186">
      <x:c r="A1186" s="16" t="n">
        <x:v>9855</x:v>
      </x:c>
      <x:c r="B1186" s="16" t="n">
        <x:v>1952</x:v>
      </x:c>
      <x:c r="C1186" s="16" t="str">
        <x:v>PhD</x:v>
      </x:c>
      <x:c r="D1186" s="16" t="str">
        <x:v>Single</x:v>
      </x:c>
      <x:c r="E1186" s="16" t="n">
        <x:v>62000</x:v>
      </x:c>
      <x:c r="F1186" s="16" t="n">
        <x:v>0</x:v>
      </x:c>
      <x:c r="G1186" s="16" t="n">
        <x:v>1</x:v>
      </x:c>
      <x:c r="H1186" s="16" t="str">
        <x:v>25-08-2013</x:v>
      </x:c>
      <x:c r="I1186" s="16" t="n">
        <x:v>25</x:v>
      </x:c>
      <x:c r="J1186" s="16" t="n">
        <x:v>899</x:v>
      </x:c>
      <x:c r="K1186" s="16" t="n">
        <x:v>0</x:v>
      </x:c>
      <x:c r="L1186" s="16" t="n">
        <x:v>101</x:v>
      </x:c>
      <x:c r="M1186" s="16" t="n">
        <x:v>0</x:v>
      </x:c>
      <x:c r="N1186" s="16" t="n">
        <x:v>0</x:v>
      </x:c>
      <x:c r="O1186" s="16" t="n">
        <x:v>20</x:v>
      </x:c>
      <x:c r="P1186" s="16" t="n">
        <x:v>1</x:v>
      </x:c>
      <x:c r="Q1186" s="16" t="n">
        <x:v>6</x:v>
      </x:c>
      <x:c r="R1186" s="16" t="n">
        <x:v>6</x:v>
      </x:c>
      <x:c r="S1186" s="16" t="n">
        <x:v>13</x:v>
      </x:c>
      <x:c r="T1186" s="16" t="n">
        <x:v>4</x:v>
      </x:c>
      <x:c r="U1186" s="16" t="n">
        <x:v>0</x:v>
      </x:c>
      <x:c r="V1186" s="16" t="n">
        <x:v>0</x:v>
      </x:c>
      <x:c r="W1186" s="16" t="n">
        <x:v>0</x:v>
      </x:c>
      <x:c r="X1186" s="16" t="n">
        <x:v>1</x:v>
      </x:c>
      <x:c r="Y1186" s="16" t="n">
        <x:v>0</x:v>
      </x:c>
      <x:c r="Z1186" s="16" t="n">
        <x:v>0</x:v>
      </x:c>
      <x:c r="AA1186" s="16" t="n">
        <x:v>3</x:v>
      </x:c>
      <x:c r="AB1186" s="16" t="n">
        <x:v>11</x:v>
      </x:c>
      <x:c r="AC1186" s="16" t="n">
        <x:v>0</x:v>
      </x:c>
      <x:c r="AD1186" s="21" t="n">
        <x:f>IF(E1186="",MEDIAN($E$2:$E$2237),E1186)</x:f>
        <x:v>62000</x:v>
      </x:c>
      <x:c r="AE1186" s="17" t="n">
        <x:f>2014-B1186</x:f>
        <x:v>62</x:v>
      </x:c>
      <x:c r="AF1186" s="17" t="n">
        <x:f>F1186+G1186</x:f>
        <x:v>1</x:v>
      </x:c>
      <x:c r="AG1186" s="21" t="n">
        <x:f>SUM(J1186:O1186)</x:f>
        <x:v>1020</x:v>
      </x:c>
      <x:c r="AH1186" s="17" t="n">
        <x:f>SUM(Q1186:S1186)</x:f>
        <x:v>25</x:v>
      </x:c>
      <x:c r="AI1186" s="17" t="n">
        <x:f>SUM(U1186:Y1186)</x:f>
        <x:v>1</x:v>
      </x:c>
      <x:c r="AJ1186" s="17" t="str">
        <x:f>IF(AE1186&lt;=34,"≤34",IF(AE1186&lt;=44,"35–44",IF(AE1186&lt;=54,"45–54",IF(AE1186&lt;=64,"55–64","65+"))))</x:f>
        <x:v>55–64</x:v>
      </x:c>
      <x:c r="AK1186" s="17" t="str">
        <x:f>IF(AG1186&gt;=1000,"High Value",IF(AG1186&gt;=300,"Mid Value","Low Value"))</x:f>
        <x:v>High Value</x:v>
      </x:c>
      <x:c r="AL1186" s="17" t="str">
        <x:f>IF(AND(AI1186&gt;=1,I1186&lt;=50),"Priority 1",IF(AND(AG1186&gt;=1000,I1186&lt;=60),"Priority 2",IF(I1186&lt;=30,"Priority 3","Nurture")))</x:f>
        <x:v>Priority 1</x:v>
      </x:c>
    </x:row>
    <x:row r="1187">
      <x:c r="A1187" s="16" t="n">
        <x:v>4088</x:v>
      </x:c>
      <x:c r="B1187" s="16" t="n">
        <x:v>1962</x:v>
      </x:c>
      <x:c r="C1187" s="16" t="str">
        <x:v>PhD</x:v>
      </x:c>
      <x:c r="D1187" s="16" t="str">
        <x:v>Together</x:v>
      </x:c>
      <x:c r="E1187" s="16" t="n">
        <x:v>31497</x:v>
      </x:c>
      <x:c r="F1187" s="16" t="n">
        <x:v>0</x:v>
      </x:c>
      <x:c r="G1187" s="16" t="n">
        <x:v>1</x:v>
      </x:c>
      <x:c r="H1187" s="16" t="str">
        <x:v>06-12-2012</x:v>
      </x:c>
      <x:c r="I1187" s="16" t="n">
        <x:v>22</x:v>
      </x:c>
      <x:c r="J1187" s="16" t="n">
        <x:v>108</x:v>
      </x:c>
      <x:c r="K1187" s="16" t="n">
        <x:v>1</x:v>
      </x:c>
      <x:c r="L1187" s="16" t="n">
        <x:v>28</x:v>
      </x:c>
      <x:c r="M1187" s="16" t="n">
        <x:v>13</x:v>
      </x:c>
      <x:c r="N1187" s="16" t="n">
        <x:v>1</x:v>
      </x:c>
      <x:c r="O1187" s="16" t="n">
        <x:v>4</x:v>
      </x:c>
      <x:c r="P1187" s="16" t="n">
        <x:v>2</x:v>
      </x:c>
      <x:c r="Q1187" s="16" t="n">
        <x:v>3</x:v>
      </x:c>
      <x:c r="R1187" s="16" t="n">
        <x:v>1</x:v>
      </x:c>
      <x:c r="S1187" s="16" t="n">
        <x:v>4</x:v>
      </x:c>
      <x:c r="T1187" s="16" t="n">
        <x:v>8</x:v>
      </x:c>
      <x:c r="U1187" s="16" t="n">
        <x:v>0</x:v>
      </x:c>
      <x:c r="V1187" s="16" t="n">
        <x:v>0</x:v>
      </x:c>
      <x:c r="W1187" s="16" t="n">
        <x:v>0</x:v>
      </x:c>
      <x:c r="X1187" s="16" t="n">
        <x:v>0</x:v>
      </x:c>
      <x:c r="Y1187" s="16" t="n">
        <x:v>0</x:v>
      </x:c>
      <x:c r="Z1187" s="16" t="n">
        <x:v>0</x:v>
      </x:c>
      <x:c r="AA1187" s="16" t="n">
        <x:v>3</x:v>
      </x:c>
      <x:c r="AB1187" s="16" t="n">
        <x:v>11</x:v>
      </x:c>
      <x:c r="AC1187" s="16" t="n">
        <x:v>0</x:v>
      </x:c>
      <x:c r="AD1187" s="21" t="n">
        <x:f>IF(E1187="",MEDIAN($E$2:$E$2237),E1187)</x:f>
        <x:v>31497</x:v>
      </x:c>
      <x:c r="AE1187" s="17" t="n">
        <x:f>2014-B1187</x:f>
        <x:v>52</x:v>
      </x:c>
      <x:c r="AF1187" s="17" t="n">
        <x:f>F1187+G1187</x:f>
        <x:v>1</x:v>
      </x:c>
      <x:c r="AG1187" s="21" t="n">
        <x:f>SUM(J1187:O1187)</x:f>
        <x:v>155</x:v>
      </x:c>
      <x:c r="AH1187" s="17" t="n">
        <x:f>SUM(Q1187:S1187)</x:f>
        <x:v>8</x:v>
      </x:c>
      <x:c r="AI1187" s="17" t="n">
        <x:f>SUM(U1187:Y1187)</x:f>
        <x:v>0</x:v>
      </x:c>
      <x:c r="AJ1187" s="17" t="str">
        <x:f>IF(AE1187&lt;=34,"≤34",IF(AE1187&lt;=44,"35–44",IF(AE1187&lt;=54,"45–54",IF(AE1187&lt;=64,"55–64","65+"))))</x:f>
        <x:v>45–54</x:v>
      </x:c>
      <x:c r="AK1187" s="17" t="str">
        <x:f>IF(AG1187&gt;=1000,"High Value",IF(AG1187&gt;=300,"Mid Value","Low Value"))</x:f>
        <x:v>Low Value</x:v>
      </x:c>
      <x:c r="AL1187" s="17" t="str">
        <x:f>IF(AND(AI1187&gt;=1,I1187&lt;=50),"Priority 1",IF(AND(AG1187&gt;=1000,I1187&lt;=60),"Priority 2",IF(I1187&lt;=30,"Priority 3","Nurture")))</x:f>
        <x:v>Priority 3</x:v>
      </x:c>
    </x:row>
    <x:row r="1188">
      <x:c r="A1188" s="16" t="n">
        <x:v>5231</x:v>
      </x:c>
      <x:c r="B1188" s="16" t="n">
        <x:v>1974</x:v>
      </x:c>
      <x:c r="C1188" s="16" t="str">
        <x:v>2n Cycle</x:v>
      </x:c>
      <x:c r="D1188" s="16" t="str">
        <x:v>Married</x:v>
      </x:c>
      <x:c r="E1188" s="16" t="n">
        <x:v>45894</x:v>
      </x:c>
      <x:c r="F1188" s="16" t="n">
        <x:v>0</x:v>
      </x:c>
      <x:c r="G1188" s="16" t="n">
        <x:v>2</x:v>
      </x:c>
      <x:c r="H1188" s="16" t="str">
        <x:v>27-02-2014</x:v>
      </x:c>
      <x:c r="I1188" s="16" t="n">
        <x:v>15</x:v>
      </x:c>
      <x:c r="J1188" s="16" t="n">
        <x:v>27</x:v>
      </x:c>
      <x:c r="K1188" s="16" t="n">
        <x:v>2</x:v>
      </x:c>
      <x:c r="L1188" s="16" t="n">
        <x:v>7</x:v>
      </x:c>
      <x:c r="M1188" s="16" t="n">
        <x:v>0</x:v>
      </x:c>
      <x:c r="N1188" s="16" t="n">
        <x:v>2</x:v>
      </x:c>
      <x:c r="O1188" s="16" t="n">
        <x:v>13</x:v>
      </x:c>
      <x:c r="P1188" s="16" t="n">
        <x:v>1</x:v>
      </x:c>
      <x:c r="Q1188" s="16" t="n">
        <x:v>1</x:v>
      </x:c>
      <x:c r="R1188" s="16" t="n">
        <x:v>0</x:v>
      </x:c>
      <x:c r="S1188" s="16" t="n">
        <x:v>3</x:v>
      </x:c>
      <x:c r="T1188" s="16" t="n">
        <x:v>5</x:v>
      </x:c>
      <x:c r="U1188" s="16" t="n">
        <x:v>0</x:v>
      </x:c>
      <x:c r="V1188" s="16" t="n">
        <x:v>0</x:v>
      </x:c>
      <x:c r="W1188" s="16" t="n">
        <x:v>0</x:v>
      </x:c>
      <x:c r="X1188" s="16" t="n">
        <x:v>0</x:v>
      </x:c>
      <x:c r="Y1188" s="16" t="n">
        <x:v>0</x:v>
      </x:c>
      <x:c r="Z1188" s="16" t="n">
        <x:v>0</x:v>
      </x:c>
      <x:c r="AA1188" s="16" t="n">
        <x:v>3</x:v>
      </x:c>
      <x:c r="AB1188" s="16" t="n">
        <x:v>11</x:v>
      </x:c>
      <x:c r="AC1188" s="16" t="n">
        <x:v>0</x:v>
      </x:c>
      <x:c r="AD1188" s="21" t="n">
        <x:f>IF(E1188="",MEDIAN($E$2:$E$2237),E1188)</x:f>
        <x:v>45894</x:v>
      </x:c>
      <x:c r="AE1188" s="17" t="n">
        <x:f>2014-B1188</x:f>
        <x:v>40</x:v>
      </x:c>
      <x:c r="AF1188" s="17" t="n">
        <x:f>F1188+G1188</x:f>
        <x:v>2</x:v>
      </x:c>
      <x:c r="AG1188" s="21" t="n">
        <x:f>SUM(J1188:O1188)</x:f>
        <x:v>51</x:v>
      </x:c>
      <x:c r="AH1188" s="17" t="n">
        <x:f>SUM(Q1188:S1188)</x:f>
        <x:v>4</x:v>
      </x:c>
      <x:c r="AI1188" s="17" t="n">
        <x:f>SUM(U1188:Y1188)</x:f>
        <x:v>0</x:v>
      </x:c>
      <x:c r="AJ1188" s="17" t="str">
        <x:f>IF(AE1188&lt;=34,"≤34",IF(AE1188&lt;=44,"35–44",IF(AE1188&lt;=54,"45–54",IF(AE1188&lt;=64,"55–64","65+"))))</x:f>
        <x:v>35–44</x:v>
      </x:c>
      <x:c r="AK1188" s="17" t="str">
        <x:f>IF(AG1188&gt;=1000,"High Value",IF(AG1188&gt;=300,"Mid Value","Low Value"))</x:f>
        <x:v>Low Value</x:v>
      </x:c>
      <x:c r="AL1188" s="17" t="str">
        <x:f>IF(AND(AI1188&gt;=1,I1188&lt;=50),"Priority 1",IF(AND(AG1188&gt;=1000,I1188&lt;=60),"Priority 2",IF(I1188&lt;=30,"Priority 3","Nurture")))</x:f>
        <x:v>Priority 3</x:v>
      </x:c>
    </x:row>
    <x:row r="1189">
      <x:c r="A1189" s="16" t="n">
        <x:v>590</x:v>
      </x:c>
      <x:c r="B1189" s="16" t="n">
        <x:v>1970</x:v>
      </x:c>
      <x:c r="C1189" s="16" t="str">
        <x:v>Master</x:v>
      </x:c>
      <x:c r="D1189" s="16" t="str">
        <x:v>Divorced</x:v>
      </x:c>
      <x:c r="E1189" s="16" t="n">
        <x:v>78579</x:v>
      </x:c>
      <x:c r="F1189" s="16" t="n">
        <x:v>0</x:v>
      </x:c>
      <x:c r="G1189" s="16" t="n">
        <x:v>0</x:v>
      </x:c>
      <x:c r="H1189" s="16" t="str">
        <x:v>22-12-2012</x:v>
      </x:c>
      <x:c r="I1189" s="16" t="n">
        <x:v>35</x:v>
      </x:c>
      <x:c r="J1189" s="16" t="n">
        <x:v>816</x:v>
      </x:c>
      <x:c r="K1189" s="16" t="n">
        <x:v>66</x:v>
      </x:c>
      <x:c r="L1189" s="16" t="n">
        <x:v>549</x:v>
      </x:c>
      <x:c r="M1189" s="16" t="n">
        <x:v>216</x:v>
      </x:c>
      <x:c r="N1189" s="16" t="n">
        <x:v>66</x:v>
      </x:c>
      <x:c r="O1189" s="16" t="n">
        <x:v>99</x:v>
      </x:c>
      <x:c r="P1189" s="16" t="n">
        <x:v>1</x:v>
      </x:c>
      <x:c r="Q1189" s="16" t="n">
        <x:v>5</x:v>
      </x:c>
      <x:c r="R1189" s="16" t="n">
        <x:v>6</x:v>
      </x:c>
      <x:c r="S1189" s="16" t="n">
        <x:v>4</x:v>
      </x:c>
      <x:c r="T1189" s="16" t="n">
        <x:v>3</x:v>
      </x:c>
      <x:c r="U1189" s="16" t="n">
        <x:v>0</x:v>
      </x:c>
      <x:c r="V1189" s="16" t="n">
        <x:v>0</x:v>
      </x:c>
      <x:c r="W1189" s="16" t="n">
        <x:v>0</x:v>
      </x:c>
      <x:c r="X1189" s="16" t="n">
        <x:v>0</x:v>
      </x:c>
      <x:c r="Y1189" s="16" t="n">
        <x:v>0</x:v>
      </x:c>
      <x:c r="Z1189" s="16" t="n">
        <x:v>0</x:v>
      </x:c>
      <x:c r="AA1189" s="16" t="n">
        <x:v>3</x:v>
      </x:c>
      <x:c r="AB1189" s="16" t="n">
        <x:v>11</x:v>
      </x:c>
      <x:c r="AC1189" s="16" t="n">
        <x:v>1</x:v>
      </x:c>
      <x:c r="AD1189" s="21" t="n">
        <x:f>IF(E1189="",MEDIAN($E$2:$E$2237),E1189)</x:f>
        <x:v>78579</x:v>
      </x:c>
      <x:c r="AE1189" s="17" t="n">
        <x:f>2014-B1189</x:f>
        <x:v>44</x:v>
      </x:c>
      <x:c r="AF1189" s="17" t="n">
        <x:f>F1189+G1189</x:f>
        <x:v>0</x:v>
      </x:c>
      <x:c r="AG1189" s="21" t="n">
        <x:f>SUM(J1189:O1189)</x:f>
        <x:v>1812</x:v>
      </x:c>
      <x:c r="AH1189" s="17" t="n">
        <x:f>SUM(Q1189:S1189)</x:f>
        <x:v>15</x:v>
      </x:c>
      <x:c r="AI1189" s="17" t="n">
        <x:f>SUM(U1189:Y1189)</x:f>
        <x:v>0</x:v>
      </x:c>
      <x:c r="AJ1189" s="17" t="str">
        <x:f>IF(AE1189&lt;=34,"≤34",IF(AE1189&lt;=44,"35–44",IF(AE1189&lt;=54,"45–54",IF(AE1189&lt;=64,"55–64","65+"))))</x:f>
        <x:v>35–44</x:v>
      </x:c>
      <x:c r="AK1189" s="17" t="str">
        <x:f>IF(AG1189&gt;=1000,"High Value",IF(AG1189&gt;=300,"Mid Value","Low Value"))</x:f>
        <x:v>High Value</x:v>
      </x:c>
      <x:c r="AL1189" s="17" t="str">
        <x:f>IF(AND(AI1189&gt;=1,I1189&lt;=50),"Priority 1",IF(AND(AG1189&gt;=1000,I1189&lt;=60),"Priority 2",IF(I1189&lt;=30,"Priority 3","Nurture")))</x:f>
        <x:v>Priority 2</x:v>
      </x:c>
    </x:row>
    <x:row r="1190">
      <x:c r="A1190" s="16" t="n">
        <x:v>8732</x:v>
      </x:c>
      <x:c r="B1190" s="16" t="n">
        <x:v>1969</x:v>
      </x:c>
      <x:c r="C1190" s="16" t="str">
        <x:v>Master</x:v>
      </x:c>
      <x:c r="D1190" s="16" t="str">
        <x:v>Widow</x:v>
      </x:c>
      <x:c r="E1190" s="16" t="n">
        <x:v>67369</x:v>
      </x:c>
      <x:c r="F1190" s="16" t="n">
        <x:v>0</x:v>
      </x:c>
      <x:c r="G1190" s="16" t="n">
        <x:v>1</x:v>
      </x:c>
      <x:c r="H1190" s="16" t="str">
        <x:v>17-11-2012</x:v>
      </x:c>
      <x:c r="I1190" s="16" t="n">
        <x:v>81</x:v>
      </x:c>
      <x:c r="J1190" s="16" t="n">
        <x:v>1298</x:v>
      </x:c>
      <x:c r="K1190" s="16" t="n">
        <x:v>0</x:v>
      </x:c>
      <x:c r="L1190" s="16" t="n">
        <x:v>70</x:v>
      </x:c>
      <x:c r="M1190" s="16" t="n">
        <x:v>37</x:v>
      </x:c>
      <x:c r="N1190" s="16" t="n">
        <x:v>14</x:v>
      </x:c>
      <x:c r="O1190" s="16" t="n">
        <x:v>42</x:v>
      </x:c>
      <x:c r="P1190" s="16" t="n">
        <x:v>4</x:v>
      </x:c>
      <x:c r="Q1190" s="16" t="n">
        <x:v>7</x:v>
      </x:c>
      <x:c r="R1190" s="16" t="n">
        <x:v>4</x:v>
      </x:c>
      <x:c r="S1190" s="16" t="n">
        <x:v>10</x:v>
      </x:c>
      <x:c r="T1190" s="16" t="n">
        <x:v>4</x:v>
      </x:c>
      <x:c r="U1190" s="16" t="n">
        <x:v>0</x:v>
      </x:c>
      <x:c r="V1190" s="16" t="n">
        <x:v>1</x:v>
      </x:c>
      <x:c r="W1190" s="16" t="n">
        <x:v>1</x:v>
      </x:c>
      <x:c r="X1190" s="16" t="n">
        <x:v>0</x:v>
      </x:c>
      <x:c r="Y1190" s="16" t="n">
        <x:v>0</x:v>
      </x:c>
      <x:c r="Z1190" s="16" t="n">
        <x:v>0</x:v>
      </x:c>
      <x:c r="AA1190" s="16" t="n">
        <x:v>3</x:v>
      </x:c>
      <x:c r="AB1190" s="16" t="n">
        <x:v>11</x:v>
      </x:c>
      <x:c r="AC1190" s="16" t="n">
        <x:v>1</x:v>
      </x:c>
      <x:c r="AD1190" s="21" t="n">
        <x:f>IF(E1190="",MEDIAN($E$2:$E$2237),E1190)</x:f>
        <x:v>67369</x:v>
      </x:c>
      <x:c r="AE1190" s="17" t="n">
        <x:f>2014-B1190</x:f>
        <x:v>45</x:v>
      </x:c>
      <x:c r="AF1190" s="17" t="n">
        <x:f>F1190+G1190</x:f>
        <x:v>1</x:v>
      </x:c>
      <x:c r="AG1190" s="21" t="n">
        <x:f>SUM(J1190:O1190)</x:f>
        <x:v>1461</x:v>
      </x:c>
      <x:c r="AH1190" s="17" t="n">
        <x:f>SUM(Q1190:S1190)</x:f>
        <x:v>21</x:v>
      </x:c>
      <x:c r="AI1190" s="17" t="n">
        <x:f>SUM(U1190:Y1190)</x:f>
        <x:v>2</x:v>
      </x:c>
      <x:c r="AJ1190" s="17" t="str">
        <x:f>IF(AE1190&lt;=34,"≤34",IF(AE1190&lt;=44,"35–44",IF(AE1190&lt;=54,"45–54",IF(AE1190&lt;=64,"55–64","65+"))))</x:f>
        <x:v>45–54</x:v>
      </x:c>
      <x:c r="AK1190" s="17" t="str">
        <x:f>IF(AG1190&gt;=1000,"High Value",IF(AG1190&gt;=300,"Mid Value","Low Value"))</x:f>
        <x:v>High Value</x:v>
      </x:c>
      <x:c r="AL1190" s="17" t="str">
        <x:f>IF(AND(AI1190&gt;=1,I1190&lt;=50),"Priority 1",IF(AND(AG1190&gt;=1000,I1190&lt;=60),"Priority 2",IF(I1190&lt;=30,"Priority 3","Nurture")))</x:f>
        <x:v>Nurture</x:v>
      </x:c>
    </x:row>
    <x:row r="1191">
      <x:c r="A1191" s="16" t="n">
        <x:v>2315</x:v>
      </x:c>
      <x:c r="B1191" s="16" t="n">
        <x:v>1960</x:v>
      </x:c>
      <x:c r="C1191" s="16" t="str">
        <x:v>Graduation</x:v>
      </x:c>
      <x:c r="D1191" s="16" t="str">
        <x:v>Divorced</x:v>
      </x:c>
      <x:c r="E1191" s="16" t="n">
        <x:v>58401</x:v>
      </x:c>
      <x:c r="F1191" s="16" t="n">
        <x:v>0</x:v>
      </x:c>
      <x:c r="G1191" s="16" t="n">
        <x:v>1</x:v>
      </x:c>
      <x:c r="H1191" s="16" t="str">
        <x:v>20-04-2014</x:v>
      </x:c>
      <x:c r="I1191" s="16" t="n">
        <x:v>55</x:v>
      </x:c>
      <x:c r="J1191" s="16" t="n">
        <x:v>10</x:v>
      </x:c>
      <x:c r="K1191" s="16" t="n">
        <x:v>0</x:v>
      </x:c>
      <x:c r="L1191" s="16" t="n">
        <x:v>11</x:v>
      </x:c>
      <x:c r="M1191" s="16" t="n">
        <x:v>17</x:v>
      </x:c>
      <x:c r="N1191" s="16" t="n">
        <x:v>29</x:v>
      </x:c>
      <x:c r="O1191" s="16" t="n">
        <x:v>29</x:v>
      </x:c>
      <x:c r="P1191" s="16" t="n">
        <x:v>1</x:v>
      </x:c>
      <x:c r="Q1191" s="16" t="n">
        <x:v>1</x:v>
      </x:c>
      <x:c r="R1191" s="16" t="n">
        <x:v>2</x:v>
      </x:c>
      <x:c r="S1191" s="16" t="n">
        <x:v>2</x:v>
      </x:c>
      <x:c r="T1191" s="16" t="n">
        <x:v>4</x:v>
      </x:c>
      <x:c r="U1191" s="16" t="n">
        <x:v>0</x:v>
      </x:c>
      <x:c r="V1191" s="16" t="n">
        <x:v>0</x:v>
      </x:c>
      <x:c r="W1191" s="16" t="n">
        <x:v>0</x:v>
      </x:c>
      <x:c r="X1191" s="16" t="n">
        <x:v>0</x:v>
      </x:c>
      <x:c r="Y1191" s="16" t="n">
        <x:v>0</x:v>
      </x:c>
      <x:c r="Z1191" s="16" t="n">
        <x:v>0</x:v>
      </x:c>
      <x:c r="AA1191" s="16" t="n">
        <x:v>3</x:v>
      </x:c>
      <x:c r="AB1191" s="16" t="n">
        <x:v>11</x:v>
      </x:c>
      <x:c r="AC1191" s="16" t="n">
        <x:v>0</x:v>
      </x:c>
      <x:c r="AD1191" s="21" t="n">
        <x:f>IF(E1191="",MEDIAN($E$2:$E$2237),E1191)</x:f>
        <x:v>58401</x:v>
      </x:c>
      <x:c r="AE1191" s="17" t="n">
        <x:f>2014-B1191</x:f>
        <x:v>54</x:v>
      </x:c>
      <x:c r="AF1191" s="17" t="n">
        <x:f>F1191+G1191</x:f>
        <x:v>1</x:v>
      </x:c>
      <x:c r="AG1191" s="21" t="n">
        <x:f>SUM(J1191:O1191)</x:f>
        <x:v>96</x:v>
      </x:c>
      <x:c r="AH1191" s="17" t="n">
        <x:f>SUM(Q1191:S1191)</x:f>
        <x:v>5</x:v>
      </x:c>
      <x:c r="AI1191" s="17" t="n">
        <x:f>SUM(U1191:Y1191)</x:f>
        <x:v>0</x:v>
      </x:c>
      <x:c r="AJ1191" s="17" t="str">
        <x:f>IF(AE1191&lt;=34,"≤34",IF(AE1191&lt;=44,"35–44",IF(AE1191&lt;=54,"45–54",IF(AE1191&lt;=64,"55–64","65+"))))</x:f>
        <x:v>45–54</x:v>
      </x:c>
      <x:c r="AK1191" s="17" t="str">
        <x:f>IF(AG1191&gt;=1000,"High Value",IF(AG1191&gt;=300,"Mid Value","Low Value"))</x:f>
        <x:v>Low Value</x:v>
      </x:c>
      <x:c r="AL1191" s="17" t="str">
        <x:f>IF(AND(AI1191&gt;=1,I1191&lt;=50),"Priority 1",IF(AND(AG1191&gt;=1000,I1191&lt;=60),"Priority 2",IF(I1191&lt;=30,"Priority 3","Nurture")))</x:f>
        <x:v>Nurture</x:v>
      </x:c>
    </x:row>
    <x:row r="1192">
      <x:c r="A1192" s="16" t="n">
        <x:v>3515</x:v>
      </x:c>
      <x:c r="B1192" s="16" t="n">
        <x:v>1952</x:v>
      </x:c>
      <x:c r="C1192" s="16" t="str">
        <x:v>Graduation</x:v>
      </x:c>
      <x:c r="D1192" s="16" t="str">
        <x:v>Single</x:v>
      </x:c>
      <x:c r="E1192" s="16" t="n">
        <x:v>62307</x:v>
      </x:c>
      <x:c r="F1192" s="16" t="n">
        <x:v>0</x:v>
      </x:c>
      <x:c r="G1192" s="16" t="n">
        <x:v>1</x:v>
      </x:c>
      <x:c r="H1192" s="16" t="str">
        <x:v>17-02-2014</x:v>
      </x:c>
      <x:c r="I1192" s="16" t="n">
        <x:v>94</x:v>
      </x:c>
      <x:c r="J1192" s="16" t="n">
        <x:v>87</x:v>
      </x:c>
      <x:c r="K1192" s="16" t="n">
        <x:v>13</x:v>
      </x:c>
      <x:c r="L1192" s="16" t="n">
        <x:v>34</x:v>
      </x:c>
      <x:c r="M1192" s="16" t="n">
        <x:v>10</x:v>
      </x:c>
      <x:c r="N1192" s="16" t="n">
        <x:v>6</x:v>
      </x:c>
      <x:c r="O1192" s="16" t="n">
        <x:v>10</x:v>
      </x:c>
      <x:c r="P1192" s="16" t="n">
        <x:v>1</x:v>
      </x:c>
      <x:c r="Q1192" s="16" t="n">
        <x:v>4</x:v>
      </x:c>
      <x:c r="R1192" s="16" t="n">
        <x:v>0</x:v>
      </x:c>
      <x:c r="S1192" s="16" t="n">
        <x:v>4</x:v>
      </x:c>
      <x:c r="T1192" s="16" t="n">
        <x:v>5</x:v>
      </x:c>
      <x:c r="U1192" s="16" t="n">
        <x:v>0</x:v>
      </x:c>
      <x:c r="V1192" s="16" t="n">
        <x:v>0</x:v>
      </x:c>
      <x:c r="W1192" s="16" t="n">
        <x:v>0</x:v>
      </x:c>
      <x:c r="X1192" s="16" t="n">
        <x:v>0</x:v>
      </x:c>
      <x:c r="Y1192" s="16" t="n">
        <x:v>0</x:v>
      </x:c>
      <x:c r="Z1192" s="16" t="n">
        <x:v>0</x:v>
      </x:c>
      <x:c r="AA1192" s="16" t="n">
        <x:v>3</x:v>
      </x:c>
      <x:c r="AB1192" s="16" t="n">
        <x:v>11</x:v>
      </x:c>
      <x:c r="AC1192" s="16" t="n">
        <x:v>0</x:v>
      </x:c>
      <x:c r="AD1192" s="21" t="n">
        <x:f>IF(E1192="",MEDIAN($E$2:$E$2237),E1192)</x:f>
        <x:v>62307</x:v>
      </x:c>
      <x:c r="AE1192" s="17" t="n">
        <x:f>2014-B1192</x:f>
        <x:v>62</x:v>
      </x:c>
      <x:c r="AF1192" s="17" t="n">
        <x:f>F1192+G1192</x:f>
        <x:v>1</x:v>
      </x:c>
      <x:c r="AG1192" s="21" t="n">
        <x:f>SUM(J1192:O1192)</x:f>
        <x:v>160</x:v>
      </x:c>
      <x:c r="AH1192" s="17" t="n">
        <x:f>SUM(Q1192:S1192)</x:f>
        <x:v>8</x:v>
      </x:c>
      <x:c r="AI1192" s="17" t="n">
        <x:f>SUM(U1192:Y1192)</x:f>
        <x:v>0</x:v>
      </x:c>
      <x:c r="AJ1192" s="17" t="str">
        <x:f>IF(AE1192&lt;=34,"≤34",IF(AE1192&lt;=44,"35–44",IF(AE1192&lt;=54,"45–54",IF(AE1192&lt;=64,"55–64","65+"))))</x:f>
        <x:v>55–64</x:v>
      </x:c>
      <x:c r="AK1192" s="17" t="str">
        <x:f>IF(AG1192&gt;=1000,"High Value",IF(AG1192&gt;=300,"Mid Value","Low Value"))</x:f>
        <x:v>Low Value</x:v>
      </x:c>
      <x:c r="AL1192" s="17" t="str">
        <x:f>IF(AND(AI1192&gt;=1,I1192&lt;=50),"Priority 1",IF(AND(AG1192&gt;=1000,I1192&lt;=60),"Priority 2",IF(I1192&lt;=30,"Priority 3","Nurture")))</x:f>
        <x:v>Nurture</x:v>
      </x:c>
    </x:row>
    <x:row r="1193">
      <x:c r="A1193" s="16" t="n">
        <x:v>2245</x:v>
      </x:c>
      <x:c r="B1193" s="16" t="n">
        <x:v>1969</x:v>
      </x:c>
      <x:c r="C1193" s="16" t="str">
        <x:v>Master</x:v>
      </x:c>
      <x:c r="D1193" s="16" t="str">
        <x:v>Married</x:v>
      </x:c>
      <x:c r="E1193" s="16" t="n">
        <x:v>43641</x:v>
      </x:c>
      <x:c r="F1193" s="16" t="n">
        <x:v>1</x:v>
      </x:c>
      <x:c r="G1193" s="16" t="n">
        <x:v>1</x:v>
      </x:c>
      <x:c r="H1193" s="16" t="str">
        <x:v>22-04-2013</x:v>
      </x:c>
      <x:c r="I1193" s="16" t="n">
        <x:v>50</x:v>
      </x:c>
      <x:c r="J1193" s="16" t="n">
        <x:v>57</x:v>
      </x:c>
      <x:c r="K1193" s="16" t="n">
        <x:v>2</x:v>
      </x:c>
      <x:c r="L1193" s="16" t="n">
        <x:v>51</x:v>
      </x:c>
      <x:c r="M1193" s="16" t="n">
        <x:v>4</x:v>
      </x:c>
      <x:c r="N1193" s="16" t="n">
        <x:v>2</x:v>
      </x:c>
      <x:c r="O1193" s="16" t="n">
        <x:v>23</x:v>
      </x:c>
      <x:c r="P1193" s="16" t="n">
        <x:v>3</x:v>
      </x:c>
      <x:c r="Q1193" s="16" t="n">
        <x:v>2</x:v>
      </x:c>
      <x:c r="R1193" s="16" t="n">
        <x:v>1</x:v>
      </x:c>
      <x:c r="S1193" s="16" t="n">
        <x:v>4</x:v>
      </x:c>
      <x:c r="T1193" s="16" t="n">
        <x:v>6</x:v>
      </x:c>
      <x:c r="U1193" s="16" t="n">
        <x:v>0</x:v>
      </x:c>
      <x:c r="V1193" s="16" t="n">
        <x:v>0</x:v>
      </x:c>
      <x:c r="W1193" s="16" t="n">
        <x:v>0</x:v>
      </x:c>
      <x:c r="X1193" s="16" t="n">
        <x:v>0</x:v>
      </x:c>
      <x:c r="Y1193" s="16" t="n">
        <x:v>0</x:v>
      </x:c>
      <x:c r="Z1193" s="16" t="n">
        <x:v>0</x:v>
      </x:c>
      <x:c r="AA1193" s="16" t="n">
        <x:v>3</x:v>
      </x:c>
      <x:c r="AB1193" s="16" t="n">
        <x:v>11</x:v>
      </x:c>
      <x:c r="AC1193" s="16" t="n">
        <x:v>0</x:v>
      </x:c>
      <x:c r="AD1193" s="21" t="n">
        <x:f>IF(E1193="",MEDIAN($E$2:$E$2237),E1193)</x:f>
        <x:v>43641</x:v>
      </x:c>
      <x:c r="AE1193" s="17" t="n">
        <x:f>2014-B1193</x:f>
        <x:v>45</x:v>
      </x:c>
      <x:c r="AF1193" s="17" t="n">
        <x:f>F1193+G1193</x:f>
        <x:v>2</x:v>
      </x:c>
      <x:c r="AG1193" s="21" t="n">
        <x:f>SUM(J1193:O1193)</x:f>
        <x:v>139</x:v>
      </x:c>
      <x:c r="AH1193" s="17" t="n">
        <x:f>SUM(Q1193:S1193)</x:f>
        <x:v>7</x:v>
      </x:c>
      <x:c r="AI1193" s="17" t="n">
        <x:f>SUM(U1193:Y1193)</x:f>
        <x:v>0</x:v>
      </x:c>
      <x:c r="AJ1193" s="17" t="str">
        <x:f>IF(AE1193&lt;=34,"≤34",IF(AE1193&lt;=44,"35–44",IF(AE1193&lt;=54,"45–54",IF(AE1193&lt;=64,"55–64","65+"))))</x:f>
        <x:v>45–54</x:v>
      </x:c>
      <x:c r="AK1193" s="17" t="str">
        <x:f>IF(AG1193&gt;=1000,"High Value",IF(AG1193&gt;=300,"Mid Value","Low Value"))</x:f>
        <x:v>Low Value</x:v>
      </x:c>
      <x:c r="AL1193" s="17" t="str">
        <x:f>IF(AND(AI1193&gt;=1,I1193&lt;=50),"Priority 1",IF(AND(AG1193&gt;=1000,I1193&lt;=60),"Priority 2",IF(I1193&lt;=30,"Priority 3","Nurture")))</x:f>
        <x:v>Nurture</x:v>
      </x:c>
    </x:row>
    <x:row r="1194">
      <x:c r="A1194" s="16" t="n">
        <x:v>6283</x:v>
      </x:c>
      <x:c r="B1194" s="16" t="n">
        <x:v>1968</x:v>
      </x:c>
      <x:c r="C1194" s="16" t="str">
        <x:v>Master</x:v>
      </x:c>
      <x:c r="D1194" s="16" t="str">
        <x:v>Divorced</x:v>
      </x:c>
      <x:c r="E1194" s="16" t="n">
        <x:v>63841</x:v>
      </x:c>
      <x:c r="F1194" s="16" t="n">
        <x:v>0</x:v>
      </x:c>
      <x:c r="G1194" s="16" t="n">
        <x:v>1</x:v>
      </x:c>
      <x:c r="H1194" s="16" t="str">
        <x:v>21-04-2013</x:v>
      </x:c>
      <x:c r="I1194" s="16" t="n">
        <x:v>64</x:v>
      </x:c>
      <x:c r="J1194" s="16" t="n">
        <x:v>635</x:v>
      </x:c>
      <x:c r="K1194" s="16" t="n">
        <x:v>15</x:v>
      </x:c>
      <x:c r="L1194" s="16" t="n">
        <x:v>100</x:v>
      </x:c>
      <x:c r="M1194" s="16" t="n">
        <x:v>20</x:v>
      </x:c>
      <x:c r="N1194" s="16" t="n">
        <x:v>7</x:v>
      </x:c>
      <x:c r="O1194" s="16" t="n">
        <x:v>131</x:v>
      </x:c>
      <x:c r="P1194" s="16" t="n">
        <x:v>1</x:v>
      </x:c>
      <x:c r="Q1194" s="16" t="n">
        <x:v>9</x:v>
      </x:c>
      <x:c r="R1194" s="16" t="n">
        <x:v>3</x:v>
      </x:c>
      <x:c r="S1194" s="16" t="n">
        <x:v>9</x:v>
      </x:c>
      <x:c r="T1194" s="16" t="n">
        <x:v>6</x:v>
      </x:c>
      <x:c r="U1194" s="16" t="n">
        <x:v>0</x:v>
      </x:c>
      <x:c r="V1194" s="16" t="n">
        <x:v>0</x:v>
      </x:c>
      <x:c r="W1194" s="16" t="n">
        <x:v>0</x:v>
      </x:c>
      <x:c r="X1194" s="16" t="n">
        <x:v>0</x:v>
      </x:c>
      <x:c r="Y1194" s="16" t="n">
        <x:v>0</x:v>
      </x:c>
      <x:c r="Z1194" s="16" t="n">
        <x:v>0</x:v>
      </x:c>
      <x:c r="AA1194" s="16" t="n">
        <x:v>3</x:v>
      </x:c>
      <x:c r="AB1194" s="16" t="n">
        <x:v>11</x:v>
      </x:c>
      <x:c r="AC1194" s="16" t="n">
        <x:v>0</x:v>
      </x:c>
      <x:c r="AD1194" s="21" t="n">
        <x:f>IF(E1194="",MEDIAN($E$2:$E$2237),E1194)</x:f>
        <x:v>63841</x:v>
      </x:c>
      <x:c r="AE1194" s="17" t="n">
        <x:f>2014-B1194</x:f>
        <x:v>46</x:v>
      </x:c>
      <x:c r="AF1194" s="17" t="n">
        <x:f>F1194+G1194</x:f>
        <x:v>1</x:v>
      </x:c>
      <x:c r="AG1194" s="21" t="n">
        <x:f>SUM(J1194:O1194)</x:f>
        <x:v>908</x:v>
      </x:c>
      <x:c r="AH1194" s="17" t="n">
        <x:f>SUM(Q1194:S1194)</x:f>
        <x:v>21</x:v>
      </x:c>
      <x:c r="AI1194" s="17" t="n">
        <x:f>SUM(U1194:Y1194)</x:f>
        <x:v>0</x:v>
      </x:c>
      <x:c r="AJ1194" s="17" t="str">
        <x:f>IF(AE1194&lt;=34,"≤34",IF(AE1194&lt;=44,"35–44",IF(AE1194&lt;=54,"45–54",IF(AE1194&lt;=64,"55–64","65+"))))</x:f>
        <x:v>45–54</x:v>
      </x:c>
      <x:c r="AK1194" s="17" t="str">
        <x:f>IF(AG1194&gt;=1000,"High Value",IF(AG1194&gt;=300,"Mid Value","Low Value"))</x:f>
        <x:v>Mid Value</x:v>
      </x:c>
      <x:c r="AL1194" s="17" t="str">
        <x:f>IF(AND(AI1194&gt;=1,I1194&lt;=50),"Priority 1",IF(AND(AG1194&gt;=1000,I1194&lt;=60),"Priority 2",IF(I1194&lt;=30,"Priority 3","Nurture")))</x:f>
        <x:v>Nurture</x:v>
      </x:c>
    </x:row>
    <x:row r="1195">
      <x:c r="A1195" s="16" t="n">
        <x:v>2246</x:v>
      </x:c>
      <x:c r="B1195" s="16" t="n">
        <x:v>1965</x:v>
      </x:c>
      <x:c r="C1195" s="16" t="str">
        <x:v>2n Cycle</x:v>
      </x:c>
      <x:c r="D1195" s="16" t="str">
        <x:v>Married</x:v>
      </x:c>
      <x:c r="E1195" s="16" t="n">
        <x:v>46891</x:v>
      </x:c>
      <x:c r="F1195" s="16" t="n">
        <x:v>0</x:v>
      </x:c>
      <x:c r="G1195" s="16" t="n">
        <x:v>1</x:v>
      </x:c>
      <x:c r="H1195" s="16" t="str">
        <x:v>01-09-2013</x:v>
      </x:c>
      <x:c r="I1195" s="16" t="n">
        <x:v>91</x:v>
      </x:c>
      <x:c r="J1195" s="16" t="n">
        <x:v>43</x:v>
      </x:c>
      <x:c r="K1195" s="16" t="n">
        <x:v>12</x:v>
      </x:c>
      <x:c r="L1195" s="16" t="n">
        <x:v>23</x:v>
      </x:c>
      <x:c r="M1195" s="16" t="n">
        <x:v>29</x:v>
      </x:c>
      <x:c r="N1195" s="16" t="n">
        <x:v>15</x:v>
      </x:c>
      <x:c r="O1195" s="16" t="n">
        <x:v>61</x:v>
      </x:c>
      <x:c r="P1195" s="16" t="n">
        <x:v>1</x:v>
      </x:c>
      <x:c r="Q1195" s="16" t="n">
        <x:v>2</x:v>
      </x:c>
      <x:c r="R1195" s="16" t="n">
        <x:v>1</x:v>
      </x:c>
      <x:c r="S1195" s="16" t="n">
        <x:v>4</x:v>
      </x:c>
      <x:c r="T1195" s="16" t="n">
        <x:v>4</x:v>
      </x:c>
      <x:c r="U1195" s="16" t="n">
        <x:v>0</x:v>
      </x:c>
      <x:c r="V1195" s="16" t="n">
        <x:v>0</x:v>
      </x:c>
      <x:c r="W1195" s="16" t="n">
        <x:v>0</x:v>
      </x:c>
      <x:c r="X1195" s="16" t="n">
        <x:v>0</x:v>
      </x:c>
      <x:c r="Y1195" s="16" t="n">
        <x:v>0</x:v>
      </x:c>
      <x:c r="Z1195" s="16" t="n">
        <x:v>0</x:v>
      </x:c>
      <x:c r="AA1195" s="16" t="n">
        <x:v>3</x:v>
      </x:c>
      <x:c r="AB1195" s="16" t="n">
        <x:v>11</x:v>
      </x:c>
      <x:c r="AC1195" s="16" t="n">
        <x:v>0</x:v>
      </x:c>
      <x:c r="AD1195" s="21" t="n">
        <x:f>IF(E1195="",MEDIAN($E$2:$E$2237),E1195)</x:f>
        <x:v>46891</x:v>
      </x:c>
      <x:c r="AE1195" s="17" t="n">
        <x:f>2014-B1195</x:f>
        <x:v>49</x:v>
      </x:c>
      <x:c r="AF1195" s="17" t="n">
        <x:f>F1195+G1195</x:f>
        <x:v>1</x:v>
      </x:c>
      <x:c r="AG1195" s="21" t="n">
        <x:f>SUM(J1195:O1195)</x:f>
        <x:v>183</x:v>
      </x:c>
      <x:c r="AH1195" s="17" t="n">
        <x:f>SUM(Q1195:S1195)</x:f>
        <x:v>7</x:v>
      </x:c>
      <x:c r="AI1195" s="17" t="n">
        <x:f>SUM(U1195:Y1195)</x:f>
        <x:v>0</x:v>
      </x:c>
      <x:c r="AJ1195" s="17" t="str">
        <x:f>IF(AE1195&lt;=34,"≤34",IF(AE1195&lt;=44,"35–44",IF(AE1195&lt;=54,"45–54",IF(AE1195&lt;=64,"55–64","65+"))))</x:f>
        <x:v>45–54</x:v>
      </x:c>
      <x:c r="AK1195" s="17" t="str">
        <x:f>IF(AG1195&gt;=1000,"High Value",IF(AG1195&gt;=300,"Mid Value","Low Value"))</x:f>
        <x:v>Low Value</x:v>
      </x:c>
      <x:c r="AL1195" s="17" t="str">
        <x:f>IF(AND(AI1195&gt;=1,I1195&lt;=50),"Priority 1",IF(AND(AG1195&gt;=1000,I1195&lt;=60),"Priority 2",IF(I1195&lt;=30,"Priority 3","Nurture")))</x:f>
        <x:v>Nurture</x:v>
      </x:c>
    </x:row>
    <x:row r="1196">
      <x:c r="A1196" s="16" t="n">
        <x:v>6606</x:v>
      </x:c>
      <x:c r="B1196" s="16" t="n">
        <x:v>1969</x:v>
      </x:c>
      <x:c r="C1196" s="16" t="str">
        <x:v>Master</x:v>
      </x:c>
      <x:c r="D1196" s="16" t="str">
        <x:v>Married</x:v>
      </x:c>
      <x:c r="E1196" s="16" t="n">
        <x:v>70091</x:v>
      </x:c>
      <x:c r="F1196" s="16" t="n">
        <x:v>1</x:v>
      </x:c>
      <x:c r="G1196" s="16" t="n">
        <x:v>0</x:v>
      </x:c>
      <x:c r="H1196" s="16" t="str">
        <x:v>31-03-2013</x:v>
      </x:c>
      <x:c r="I1196" s="16" t="n">
        <x:v>11</x:v>
      </x:c>
      <x:c r="J1196" s="16" t="n">
        <x:v>964</x:v>
      </x:c>
      <x:c r="K1196" s="16" t="n">
        <x:v>34</x:v>
      </x:c>
      <x:c r="L1196" s="16" t="n">
        <x:v>137</x:v>
      </x:c>
      <x:c r="M1196" s="16" t="n">
        <x:v>15</x:v>
      </x:c>
      <x:c r="N1196" s="16" t="n">
        <x:v>0</x:v>
      </x:c>
      <x:c r="O1196" s="16" t="n">
        <x:v>11</x:v>
      </x:c>
      <x:c r="P1196" s="16" t="n">
        <x:v>2</x:v>
      </x:c>
      <x:c r="Q1196" s="16" t="n">
        <x:v>5</x:v>
      </x:c>
      <x:c r="R1196" s="16" t="n">
        <x:v>2</x:v>
      </x:c>
      <x:c r="S1196" s="16" t="n">
        <x:v>10</x:v>
      </x:c>
      <x:c r="T1196" s="16" t="n">
        <x:v>8</x:v>
      </x:c>
      <x:c r="U1196" s="16" t="n">
        <x:v>0</x:v>
      </x:c>
      <x:c r="V1196" s="16" t="n">
        <x:v>1</x:v>
      </x:c>
      <x:c r="W1196" s="16" t="n">
        <x:v>0</x:v>
      </x:c>
      <x:c r="X1196" s="16" t="n">
        <x:v>0</x:v>
      </x:c>
      <x:c r="Y1196" s="16" t="n">
        <x:v>0</x:v>
      </x:c>
      <x:c r="Z1196" s="16" t="n">
        <x:v>0</x:v>
      </x:c>
      <x:c r="AA1196" s="16" t="n">
        <x:v>3</x:v>
      </x:c>
      <x:c r="AB1196" s="16" t="n">
        <x:v>11</x:v>
      </x:c>
      <x:c r="AC1196" s="16" t="n">
        <x:v>0</x:v>
      </x:c>
      <x:c r="AD1196" s="21" t="n">
        <x:f>IF(E1196="",MEDIAN($E$2:$E$2237),E1196)</x:f>
        <x:v>70091</x:v>
      </x:c>
      <x:c r="AE1196" s="17" t="n">
        <x:f>2014-B1196</x:f>
        <x:v>45</x:v>
      </x:c>
      <x:c r="AF1196" s="17" t="n">
        <x:f>F1196+G1196</x:f>
        <x:v>1</x:v>
      </x:c>
      <x:c r="AG1196" s="21" t="n">
        <x:f>SUM(J1196:O1196)</x:f>
        <x:v>1161</x:v>
      </x:c>
      <x:c r="AH1196" s="17" t="n">
        <x:f>SUM(Q1196:S1196)</x:f>
        <x:v>17</x:v>
      </x:c>
      <x:c r="AI1196" s="17" t="n">
        <x:f>SUM(U1196:Y1196)</x:f>
        <x:v>1</x:v>
      </x:c>
      <x:c r="AJ1196" s="17" t="str">
        <x:f>IF(AE1196&lt;=34,"≤34",IF(AE1196&lt;=44,"35–44",IF(AE1196&lt;=54,"45–54",IF(AE1196&lt;=64,"55–64","65+"))))</x:f>
        <x:v>45–54</x:v>
      </x:c>
      <x:c r="AK1196" s="17" t="str">
        <x:f>IF(AG1196&gt;=1000,"High Value",IF(AG1196&gt;=300,"Mid Value","Low Value"))</x:f>
        <x:v>High Value</x:v>
      </x:c>
      <x:c r="AL1196" s="17" t="str">
        <x:f>IF(AND(AI1196&gt;=1,I1196&lt;=50),"Priority 1",IF(AND(AG1196&gt;=1000,I1196&lt;=60),"Priority 2",IF(I1196&lt;=30,"Priority 3","Nurture")))</x:f>
        <x:v>Priority 1</x:v>
      </x:c>
    </x:row>
    <x:row r="1197">
      <x:c r="A1197" s="16" t="n">
        <x:v>5545</x:v>
      </x:c>
      <x:c r="B1197" s="16" t="n">
        <x:v>1972</x:v>
      </x:c>
      <x:c r="C1197" s="16" t="str">
        <x:v>PhD</x:v>
      </x:c>
      <x:c r="D1197" s="16" t="str">
        <x:v>Married</x:v>
      </x:c>
      <x:c r="E1197" s="16" t="n">
        <x:v>78075</x:v>
      </x:c>
      <x:c r="F1197" s="16" t="n">
        <x:v>0</x:v>
      </x:c>
      <x:c r="G1197" s="16" t="n">
        <x:v>0</x:v>
      </x:c>
      <x:c r="H1197" s="16" t="str">
        <x:v>05-04-2014</x:v>
      </x:c>
      <x:c r="I1197" s="16" t="n">
        <x:v>72</x:v>
      </x:c>
      <x:c r="J1197" s="16" t="n">
        <x:v>572</x:v>
      </x:c>
      <x:c r="K1197" s="16" t="n">
        <x:v>8</x:v>
      </x:c>
      <x:c r="L1197" s="16" t="n">
        <x:v>259</x:v>
      </x:c>
      <x:c r="M1197" s="16" t="n">
        <x:v>34</x:v>
      </x:c>
      <x:c r="N1197" s="16" t="n">
        <x:v>35</x:v>
      </x:c>
      <x:c r="O1197" s="16" t="n">
        <x:v>80</x:v>
      </x:c>
      <x:c r="P1197" s="16" t="n">
        <x:v>1</x:v>
      </x:c>
      <x:c r="Q1197" s="16" t="n">
        <x:v>3</x:v>
      </x:c>
      <x:c r="R1197" s="16" t="n">
        <x:v>5</x:v>
      </x:c>
      <x:c r="S1197" s="16" t="n">
        <x:v>5</x:v>
      </x:c>
      <x:c r="T1197" s="16" t="n">
        <x:v>1</x:v>
      </x:c>
      <x:c r="U1197" s="16" t="n">
        <x:v>0</x:v>
      </x:c>
      <x:c r="V1197" s="16" t="n">
        <x:v>0</x:v>
      </x:c>
      <x:c r="W1197" s="16" t="n">
        <x:v>0</x:v>
      </x:c>
      <x:c r="X1197" s="16" t="n">
        <x:v>0</x:v>
      </x:c>
      <x:c r="Y1197" s="16" t="n">
        <x:v>0</x:v>
      </x:c>
      <x:c r="Z1197" s="16" t="n">
        <x:v>0</x:v>
      </x:c>
      <x:c r="AA1197" s="16" t="n">
        <x:v>3</x:v>
      </x:c>
      <x:c r="AB1197" s="16" t="n">
        <x:v>11</x:v>
      </x:c>
      <x:c r="AC1197" s="16" t="n">
        <x:v>0</x:v>
      </x:c>
      <x:c r="AD1197" s="21" t="n">
        <x:f>IF(E1197="",MEDIAN($E$2:$E$2237),E1197)</x:f>
        <x:v>78075</x:v>
      </x:c>
      <x:c r="AE1197" s="17" t="n">
        <x:f>2014-B1197</x:f>
        <x:v>42</x:v>
      </x:c>
      <x:c r="AF1197" s="17" t="n">
        <x:f>F1197+G1197</x:f>
        <x:v>0</x:v>
      </x:c>
      <x:c r="AG1197" s="21" t="n">
        <x:f>SUM(J1197:O1197)</x:f>
        <x:v>988</x:v>
      </x:c>
      <x:c r="AH1197" s="17" t="n">
        <x:f>SUM(Q1197:S1197)</x:f>
        <x:v>13</x:v>
      </x:c>
      <x:c r="AI1197" s="17" t="n">
        <x:f>SUM(U1197:Y1197)</x:f>
        <x:v>0</x:v>
      </x:c>
      <x:c r="AJ1197" s="17" t="str">
        <x:f>IF(AE1197&lt;=34,"≤34",IF(AE1197&lt;=44,"35–44",IF(AE1197&lt;=54,"45–54",IF(AE1197&lt;=64,"55–64","65+"))))</x:f>
        <x:v>35–44</x:v>
      </x:c>
      <x:c r="AK1197" s="17" t="str">
        <x:f>IF(AG1197&gt;=1000,"High Value",IF(AG1197&gt;=300,"Mid Value","Low Value"))</x:f>
        <x:v>Mid Value</x:v>
      </x:c>
      <x:c r="AL1197" s="17" t="str">
        <x:f>IF(AND(AI1197&gt;=1,I1197&lt;=50),"Priority 1",IF(AND(AG1197&gt;=1000,I1197&lt;=60),"Priority 2",IF(I1197&lt;=30,"Priority 3","Nurture")))</x:f>
        <x:v>Nurture</x:v>
      </x:c>
    </x:row>
    <x:row r="1198">
      <x:c r="A1198" s="16" t="n">
        <x:v>7342</x:v>
      </x:c>
      <x:c r="B1198" s="16" t="n">
        <x:v>1961</x:v>
      </x:c>
      <x:c r="C1198" s="16" t="str">
        <x:v>2n Cycle</x:v>
      </x:c>
      <x:c r="D1198" s="16" t="str">
        <x:v>Widow</x:v>
      </x:c>
      <x:c r="E1198" s="16" t="n">
        <x:v>59184</x:v>
      </x:c>
      <x:c r="F1198" s="16" t="n">
        <x:v>0</x:v>
      </x:c>
      <x:c r="G1198" s="16" t="n">
        <x:v>1</x:v>
      </x:c>
      <x:c r="H1198" s="16" t="str">
        <x:v>09-09-2012</x:v>
      </x:c>
      <x:c r="I1198" s="16" t="n">
        <x:v>6</x:v>
      </x:c>
      <x:c r="J1198" s="16" t="n">
        <x:v>341</x:v>
      </x:c>
      <x:c r="K1198" s="16" t="n">
        <x:v>142</x:v>
      </x:c>
      <x:c r="L1198" s="16" t="n">
        <x:v>113</x:v>
      </x:c>
      <x:c r="M1198" s="16" t="n">
        <x:v>259</x:v>
      </x:c>
      <x:c r="N1198" s="16" t="n">
        <x:v>151</x:v>
      </x:c>
      <x:c r="O1198" s="16" t="n">
        <x:v>66</x:v>
      </x:c>
      <x:c r="P1198" s="16" t="n">
        <x:v>3</x:v>
      </x:c>
      <x:c r="Q1198" s="16" t="n">
        <x:v>6</x:v>
      </x:c>
      <x:c r="R1198" s="16" t="n">
        <x:v>6</x:v>
      </x:c>
      <x:c r="S1198" s="16" t="n">
        <x:v>12</x:v>
      </x:c>
      <x:c r="T1198" s="16" t="n">
        <x:v>5</x:v>
      </x:c>
      <x:c r="U1198" s="16" t="n">
        <x:v>0</x:v>
      </x:c>
      <x:c r="V1198" s="16" t="n">
        <x:v>0</x:v>
      </x:c>
      <x:c r="W1198" s="16" t="n">
        <x:v>0</x:v>
      </x:c>
      <x:c r="X1198" s="16" t="n">
        <x:v>0</x:v>
      </x:c>
      <x:c r="Y1198" s="16" t="n">
        <x:v>0</x:v>
      </x:c>
      <x:c r="Z1198" s="16" t="n">
        <x:v>0</x:v>
      </x:c>
      <x:c r="AA1198" s="16" t="n">
        <x:v>3</x:v>
      </x:c>
      <x:c r="AB1198" s="16" t="n">
        <x:v>11</x:v>
      </x:c>
      <x:c r="AC1198" s="16" t="n">
        <x:v>0</x:v>
      </x:c>
      <x:c r="AD1198" s="21" t="n">
        <x:f>IF(E1198="",MEDIAN($E$2:$E$2237),E1198)</x:f>
        <x:v>59184</x:v>
      </x:c>
      <x:c r="AE1198" s="17" t="n">
        <x:f>2014-B1198</x:f>
        <x:v>53</x:v>
      </x:c>
      <x:c r="AF1198" s="17" t="n">
        <x:f>F1198+G1198</x:f>
        <x:v>1</x:v>
      </x:c>
      <x:c r="AG1198" s="21" t="n">
        <x:f>SUM(J1198:O1198)</x:f>
        <x:v>1072</x:v>
      </x:c>
      <x:c r="AH1198" s="17" t="n">
        <x:f>SUM(Q1198:S1198)</x:f>
        <x:v>24</x:v>
      </x:c>
      <x:c r="AI1198" s="17" t="n">
        <x:f>SUM(U1198:Y1198)</x:f>
        <x:v>0</x:v>
      </x:c>
      <x:c r="AJ1198" s="17" t="str">
        <x:f>IF(AE1198&lt;=34,"≤34",IF(AE1198&lt;=44,"35–44",IF(AE1198&lt;=54,"45–54",IF(AE1198&lt;=64,"55–64","65+"))))</x:f>
        <x:v>45–54</x:v>
      </x:c>
      <x:c r="AK1198" s="17" t="str">
        <x:f>IF(AG1198&gt;=1000,"High Value",IF(AG1198&gt;=300,"Mid Value","Low Value"))</x:f>
        <x:v>High Value</x:v>
      </x:c>
      <x:c r="AL1198" s="17" t="str">
        <x:f>IF(AND(AI1198&gt;=1,I1198&lt;=50),"Priority 1",IF(AND(AG1198&gt;=1000,I1198&lt;=60),"Priority 2",IF(I1198&lt;=30,"Priority 3","Nurture")))</x:f>
        <x:v>Priority 2</x:v>
      </x:c>
    </x:row>
    <x:row r="1199">
      <x:c r="A1199" s="16" t="n">
        <x:v>837</x:v>
      </x:c>
      <x:c r="B1199" s="16" t="n">
        <x:v>1977</x:v>
      </x:c>
      <x:c r="C1199" s="16" t="str">
        <x:v>Graduation</x:v>
      </x:c>
      <x:c r="D1199" s="16" t="str">
        <x:v>Married</x:v>
      </x:c>
      <x:c r="E1199" s="16" t="n">
        <x:v>54809</x:v>
      </x:c>
      <x:c r="F1199" s="16" t="n">
        <x:v>1</x:v>
      </x:c>
      <x:c r="G1199" s="16" t="n">
        <x:v>1</x:v>
      </x:c>
      <x:c r="H1199" s="16" t="str">
        <x:v>11-09-2013</x:v>
      </x:c>
      <x:c r="I1199" s="16" t="n">
        <x:v>0</x:v>
      </x:c>
      <x:c r="J1199" s="16" t="n">
        <x:v>63</x:v>
      </x:c>
      <x:c r="K1199" s="16" t="n">
        <x:v>6</x:v>
      </x:c>
      <x:c r="L1199" s="16" t="n">
        <x:v>57</x:v>
      </x:c>
      <x:c r="M1199" s="16" t="n">
        <x:v>13</x:v>
      </x:c>
      <x:c r="N1199" s="16" t="n">
        <x:v>13</x:v>
      </x:c>
      <x:c r="O1199" s="16" t="n">
        <x:v>22</x:v>
      </x:c>
      <x:c r="P1199" s="16" t="n">
        <x:v>4</x:v>
      </x:c>
      <x:c r="Q1199" s="16" t="n">
        <x:v>2</x:v>
      </x:c>
      <x:c r="R1199" s="16" t="n">
        <x:v>1</x:v>
      </x:c>
      <x:c r="S1199" s="16" t="n">
        <x:v>5</x:v>
      </x:c>
      <x:c r="T1199" s="16" t="n">
        <x:v>4</x:v>
      </x:c>
      <x:c r="U1199" s="16" t="n">
        <x:v>0</x:v>
      </x:c>
      <x:c r="V1199" s="16" t="n">
        <x:v>0</x:v>
      </x:c>
      <x:c r="W1199" s="16" t="n">
        <x:v>0</x:v>
      </x:c>
      <x:c r="X1199" s="16" t="n">
        <x:v>0</x:v>
      </x:c>
      <x:c r="Y1199" s="16" t="n">
        <x:v>0</x:v>
      </x:c>
      <x:c r="Z1199" s="16" t="n">
        <x:v>0</x:v>
      </x:c>
      <x:c r="AA1199" s="16" t="n">
        <x:v>3</x:v>
      </x:c>
      <x:c r="AB1199" s="16" t="n">
        <x:v>11</x:v>
      </x:c>
      <x:c r="AC1199" s="16" t="n">
        <x:v>0</x:v>
      </x:c>
      <x:c r="AD1199" s="21" t="n">
        <x:f>IF(E1199="",MEDIAN($E$2:$E$2237),E1199)</x:f>
        <x:v>54809</x:v>
      </x:c>
      <x:c r="AE1199" s="17" t="n">
        <x:f>2014-B1199</x:f>
        <x:v>37</x:v>
      </x:c>
      <x:c r="AF1199" s="17" t="n">
        <x:f>F1199+G1199</x:f>
        <x:v>2</x:v>
      </x:c>
      <x:c r="AG1199" s="21" t="n">
        <x:f>SUM(J1199:O1199)</x:f>
        <x:v>174</x:v>
      </x:c>
      <x:c r="AH1199" s="17" t="n">
        <x:f>SUM(Q1199:S1199)</x:f>
        <x:v>8</x:v>
      </x:c>
      <x:c r="AI1199" s="17" t="n">
        <x:f>SUM(U1199:Y1199)</x:f>
        <x:v>0</x:v>
      </x:c>
      <x:c r="AJ1199" s="17" t="str">
        <x:f>IF(AE1199&lt;=34,"≤34",IF(AE1199&lt;=44,"35–44",IF(AE1199&lt;=54,"45–54",IF(AE1199&lt;=64,"55–64","65+"))))</x:f>
        <x:v>35–44</x:v>
      </x:c>
      <x:c r="AK1199" s="17" t="str">
        <x:f>IF(AG1199&gt;=1000,"High Value",IF(AG1199&gt;=300,"Mid Value","Low Value"))</x:f>
        <x:v>Low Value</x:v>
      </x:c>
      <x:c r="AL1199" s="17" t="str">
        <x:f>IF(AND(AI1199&gt;=1,I1199&lt;=50),"Priority 1",IF(AND(AG1199&gt;=1000,I1199&lt;=60),"Priority 2",IF(I1199&lt;=30,"Priority 3","Nurture")))</x:f>
        <x:v>Priority 3</x:v>
      </x:c>
    </x:row>
    <x:row r="1200">
      <x:c r="A1200" s="16" t="n">
        <x:v>9500</x:v>
      </x:c>
      <x:c r="B1200" s="16" t="n">
        <x:v>1959</x:v>
      </x:c>
      <x:c r="C1200" s="16" t="str">
        <x:v>Graduation</x:v>
      </x:c>
      <x:c r="D1200" s="16" t="str">
        <x:v>Married</x:v>
      </x:c>
      <x:c r="E1200" s="16" t="n">
        <x:v>58113</x:v>
      </x:c>
      <x:c r="F1200" s="16" t="n">
        <x:v>0</x:v>
      </x:c>
      <x:c r="G1200" s="16" t="n">
        <x:v>1</x:v>
      </x:c>
      <x:c r="H1200" s="16" t="str">
        <x:v>25-01-2013</x:v>
      </x:c>
      <x:c r="I1200" s="16" t="n">
        <x:v>66</x:v>
      </x:c>
      <x:c r="J1200" s="16" t="n">
        <x:v>221</x:v>
      </x:c>
      <x:c r="K1200" s="16" t="n">
        <x:v>104</x:v>
      </x:c>
      <x:c r="L1200" s="16" t="n">
        <x:v>169</x:v>
      </x:c>
      <x:c r="M1200" s="16" t="n">
        <x:v>102</x:v>
      </x:c>
      <x:c r="N1200" s="16" t="n">
        <x:v>78</x:v>
      </x:c>
      <x:c r="O1200" s="16" t="n">
        <x:v>84</x:v>
      </x:c>
      <x:c r="P1200" s="16" t="n">
        <x:v>3</x:v>
      </x:c>
      <x:c r="Q1200" s="16" t="n">
        <x:v>9</x:v>
      </x:c>
      <x:c r="R1200" s="16" t="n">
        <x:v>2</x:v>
      </x:c>
      <x:c r="S1200" s="16" t="n">
        <x:v>8</x:v>
      </x:c>
      <x:c r="T1200" s="16" t="n">
        <x:v>7</x:v>
      </x:c>
      <x:c r="U1200" s="16" t="n">
        <x:v>0</x:v>
      </x:c>
      <x:c r="V1200" s="16" t="n">
        <x:v>0</x:v>
      </x:c>
      <x:c r="W1200" s="16" t="n">
        <x:v>0</x:v>
      </x:c>
      <x:c r="X1200" s="16" t="n">
        <x:v>0</x:v>
      </x:c>
      <x:c r="Y1200" s="16" t="n">
        <x:v>0</x:v>
      </x:c>
      <x:c r="Z1200" s="16" t="n">
        <x:v>1</x:v>
      </x:c>
      <x:c r="AA1200" s="16" t="n">
        <x:v>3</x:v>
      </x:c>
      <x:c r="AB1200" s="16" t="n">
        <x:v>11</x:v>
      </x:c>
      <x:c r="AC1200" s="16" t="n">
        <x:v>0</x:v>
      </x:c>
      <x:c r="AD1200" s="21" t="n">
        <x:f>IF(E1200="",MEDIAN($E$2:$E$2237),E1200)</x:f>
        <x:v>58113</x:v>
      </x:c>
      <x:c r="AE1200" s="17" t="n">
        <x:f>2014-B1200</x:f>
        <x:v>55</x:v>
      </x:c>
      <x:c r="AF1200" s="17" t="n">
        <x:f>F1200+G1200</x:f>
        <x:v>1</x:v>
      </x:c>
      <x:c r="AG1200" s="21" t="n">
        <x:f>SUM(J1200:O1200)</x:f>
        <x:v>758</x:v>
      </x:c>
      <x:c r="AH1200" s="17" t="n">
        <x:f>SUM(Q1200:S1200)</x:f>
        <x:v>19</x:v>
      </x:c>
      <x:c r="AI1200" s="17" t="n">
        <x:f>SUM(U1200:Y1200)</x:f>
        <x:v>0</x:v>
      </x:c>
      <x:c r="AJ1200" s="17" t="str">
        <x:f>IF(AE1200&lt;=34,"≤34",IF(AE1200&lt;=44,"35–44",IF(AE1200&lt;=54,"45–54",IF(AE1200&lt;=64,"55–64","65+"))))</x:f>
        <x:v>55–64</x:v>
      </x:c>
      <x:c r="AK1200" s="17" t="str">
        <x:f>IF(AG1200&gt;=1000,"High Value",IF(AG1200&gt;=300,"Mid Value","Low Value"))</x:f>
        <x:v>Mid Value</x:v>
      </x:c>
      <x:c r="AL1200" s="17" t="str">
        <x:f>IF(AND(AI1200&gt;=1,I1200&lt;=50),"Priority 1",IF(AND(AG1200&gt;=1000,I1200&lt;=60),"Priority 2",IF(I1200&lt;=30,"Priority 3","Nurture")))</x:f>
        <x:v>Nurture</x:v>
      </x:c>
    </x:row>
    <x:row r="1201">
      <x:c r="A1201" s="16" t="n">
        <x:v>3602</x:v>
      </x:c>
      <x:c r="B1201" s="16" t="n">
        <x:v>1958</x:v>
      </x:c>
      <x:c r="C1201" s="16" t="str">
        <x:v>Master</x:v>
      </x:c>
      <x:c r="D1201" s="16" t="str">
        <x:v>Married</x:v>
      </x:c>
      <x:c r="E1201" s="16" t="n">
        <x:v>51412</x:v>
      </x:c>
      <x:c r="F1201" s="16" t="n">
        <x:v>0</x:v>
      </x:c>
      <x:c r="G1201" s="16" t="n">
        <x:v>1</x:v>
      </x:c>
      <x:c r="H1201" s="16" t="str">
        <x:v>31-12-2013</x:v>
      </x:c>
      <x:c r="I1201" s="16" t="n">
        <x:v>42</x:v>
      </x:c>
      <x:c r="J1201" s="16" t="n">
        <x:v>140</x:v>
      </x:c>
      <x:c r="K1201" s="16" t="n">
        <x:v>3</x:v>
      </x:c>
      <x:c r="L1201" s="16" t="n">
        <x:v>29</x:v>
      </x:c>
      <x:c r="M1201" s="16" t="n">
        <x:v>4</x:v>
      </x:c>
      <x:c r="N1201" s="16" t="n">
        <x:v>5</x:v>
      </x:c>
      <x:c r="O1201" s="16" t="n">
        <x:v>14</x:v>
      </x:c>
      <x:c r="P1201" s="16" t="n">
        <x:v>2</x:v>
      </x:c>
      <x:c r="Q1201" s="16" t="n">
        <x:v>3</x:v>
      </x:c>
      <x:c r="R1201" s="16" t="n">
        <x:v>2</x:v>
      </x:c>
      <x:c r="S1201" s="16" t="n">
        <x:v>4</x:v>
      </x:c>
      <x:c r="T1201" s="16" t="n">
        <x:v>4</x:v>
      </x:c>
      <x:c r="U1201" s="16" t="n">
        <x:v>0</x:v>
      </x:c>
      <x:c r="V1201" s="16" t="n">
        <x:v>0</x:v>
      </x:c>
      <x:c r="W1201" s="16" t="n">
        <x:v>0</x:v>
      </x:c>
      <x:c r="X1201" s="16" t="n">
        <x:v>0</x:v>
      </x:c>
      <x:c r="Y1201" s="16" t="n">
        <x:v>0</x:v>
      </x:c>
      <x:c r="Z1201" s="16" t="n">
        <x:v>0</x:v>
      </x:c>
      <x:c r="AA1201" s="16" t="n">
        <x:v>3</x:v>
      </x:c>
      <x:c r="AB1201" s="16" t="n">
        <x:v>11</x:v>
      </x:c>
      <x:c r="AC1201" s="16" t="n">
        <x:v>0</x:v>
      </x:c>
      <x:c r="AD1201" s="21" t="n">
        <x:f>IF(E1201="",MEDIAN($E$2:$E$2237),E1201)</x:f>
        <x:v>51412</x:v>
      </x:c>
      <x:c r="AE1201" s="17" t="n">
        <x:f>2014-B1201</x:f>
        <x:v>56</x:v>
      </x:c>
      <x:c r="AF1201" s="17" t="n">
        <x:f>F1201+G1201</x:f>
        <x:v>1</x:v>
      </x:c>
      <x:c r="AG1201" s="21" t="n">
        <x:f>SUM(J1201:O1201)</x:f>
        <x:v>195</x:v>
      </x:c>
      <x:c r="AH1201" s="17" t="n">
        <x:f>SUM(Q1201:S1201)</x:f>
        <x:v>9</x:v>
      </x:c>
      <x:c r="AI1201" s="17" t="n">
        <x:f>SUM(U1201:Y1201)</x:f>
        <x:v>0</x:v>
      </x:c>
      <x:c r="AJ1201" s="17" t="str">
        <x:f>IF(AE1201&lt;=34,"≤34",IF(AE1201&lt;=44,"35–44",IF(AE1201&lt;=54,"45–54",IF(AE1201&lt;=64,"55–64","65+"))))</x:f>
        <x:v>55–64</x:v>
      </x:c>
      <x:c r="AK1201" s="17" t="str">
        <x:f>IF(AG1201&gt;=1000,"High Value",IF(AG1201&gt;=300,"Mid Value","Low Value"))</x:f>
        <x:v>Low Value</x:v>
      </x:c>
      <x:c r="AL1201" s="17" t="str">
        <x:f>IF(AND(AI1201&gt;=1,I1201&lt;=50),"Priority 1",IF(AND(AG1201&gt;=1000,I1201&lt;=60),"Priority 2",IF(I1201&lt;=30,"Priority 3","Nurture")))</x:f>
        <x:v>Nurture</x:v>
      </x:c>
    </x:row>
    <x:row r="1202">
      <x:c r="A1202" s="16" t="n">
        <x:v>234</x:v>
      </x:c>
      <x:c r="B1202" s="16" t="n">
        <x:v>1979</x:v>
      </x:c>
      <x:c r="C1202" s="16" t="str">
        <x:v>Graduation</x:v>
      </x:c>
      <x:c r="D1202" s="16" t="str">
        <x:v>Divorced</x:v>
      </x:c>
      <x:c r="E1202" s="16" t="n">
        <x:v>15287</x:v>
      </x:c>
      <x:c r="F1202" s="16" t="n">
        <x:v>1</x:v>
      </x:c>
      <x:c r="G1202" s="16" t="n">
        <x:v>0</x:v>
      </x:c>
      <x:c r="H1202" s="16" t="str">
        <x:v>10-10-2012</x:v>
      </x:c>
      <x:c r="I1202" s="16" t="n">
        <x:v>60</x:v>
      </x:c>
      <x:c r="J1202" s="16" t="n">
        <x:v>1</x:v>
      </x:c>
      <x:c r="K1202" s="16" t="n">
        <x:v>2</x:v>
      </x:c>
      <x:c r="L1202" s="16" t="n">
        <x:v>8</x:v>
      </x:c>
      <x:c r="M1202" s="16" t="n">
        <x:v>4</x:v>
      </x:c>
      <x:c r="N1202" s="16" t="n">
        <x:v>3</x:v>
      </x:c>
      <x:c r="O1202" s="16" t="n">
        <x:v>13</x:v>
      </x:c>
      <x:c r="P1202" s="16" t="n">
        <x:v>2</x:v>
      </x:c>
      <x:c r="Q1202" s="16" t="n">
        <x:v>1</x:v>
      </x:c>
      <x:c r="R1202" s="16" t="n">
        <x:v>1</x:v>
      </x:c>
      <x:c r="S1202" s="16" t="n">
        <x:v>2</x:v>
      </x:c>
      <x:c r="T1202" s="16" t="n">
        <x:v>7</x:v>
      </x:c>
      <x:c r="U1202" s="16" t="n">
        <x:v>1</x:v>
      </x:c>
      <x:c r="V1202" s="16" t="n">
        <x:v>0</x:v>
      </x:c>
      <x:c r="W1202" s="16" t="n">
        <x:v>0</x:v>
      </x:c>
      <x:c r="X1202" s="16" t="n">
        <x:v>0</x:v>
      </x:c>
      <x:c r="Y1202" s="16" t="n">
        <x:v>0</x:v>
      </x:c>
      <x:c r="Z1202" s="16" t="n">
        <x:v>0</x:v>
      </x:c>
      <x:c r="AA1202" s="16" t="n">
        <x:v>3</x:v>
      </x:c>
      <x:c r="AB1202" s="16" t="n">
        <x:v>11</x:v>
      </x:c>
      <x:c r="AC1202" s="16" t="n">
        <x:v>1</x:v>
      </x:c>
      <x:c r="AD1202" s="21" t="n">
        <x:f>IF(E1202="",MEDIAN($E$2:$E$2237),E1202)</x:f>
        <x:v>15287</x:v>
      </x:c>
      <x:c r="AE1202" s="17" t="n">
        <x:f>2014-B1202</x:f>
        <x:v>35</x:v>
      </x:c>
      <x:c r="AF1202" s="17" t="n">
        <x:f>F1202+G1202</x:f>
        <x:v>1</x:v>
      </x:c>
      <x:c r="AG1202" s="21" t="n">
        <x:f>SUM(J1202:O1202)</x:f>
        <x:v>31</x:v>
      </x:c>
      <x:c r="AH1202" s="17" t="n">
        <x:f>SUM(Q1202:S1202)</x:f>
        <x:v>4</x:v>
      </x:c>
      <x:c r="AI1202" s="17" t="n">
        <x:f>SUM(U1202:Y1202)</x:f>
        <x:v>1</x:v>
      </x:c>
      <x:c r="AJ1202" s="17" t="str">
        <x:f>IF(AE1202&lt;=34,"≤34",IF(AE1202&lt;=44,"35–44",IF(AE1202&lt;=54,"45–54",IF(AE1202&lt;=64,"55–64","65+"))))</x:f>
        <x:v>35–44</x:v>
      </x:c>
      <x:c r="AK1202" s="17" t="str">
        <x:f>IF(AG1202&gt;=1000,"High Value",IF(AG1202&gt;=300,"Mid Value","Low Value"))</x:f>
        <x:v>Low Value</x:v>
      </x:c>
      <x:c r="AL1202" s="17" t="str">
        <x:f>IF(AND(AI1202&gt;=1,I1202&lt;=50),"Priority 1",IF(AND(AG1202&gt;=1000,I1202&lt;=60),"Priority 2",IF(I1202&lt;=30,"Priority 3","Nurture")))</x:f>
        <x:v>Nurture</x:v>
      </x:c>
    </x:row>
    <x:row r="1203">
      <x:c r="A1203" s="16" t="n">
        <x:v>2995</x:v>
      </x:c>
      <x:c r="B1203" s="16" t="n">
        <x:v>1957</x:v>
      </x:c>
      <x:c r="C1203" s="16" t="str">
        <x:v>Master</x:v>
      </x:c>
      <x:c r="D1203" s="16" t="str">
        <x:v>Together</x:v>
      </x:c>
      <x:c r="E1203" s="16" t="n">
        <x:v>66636</x:v>
      </x:c>
      <x:c r="F1203" s="16" t="n">
        <x:v>0</x:v>
      </x:c>
      <x:c r="G1203" s="16" t="n">
        <x:v>0</x:v>
      </x:c>
      <x:c r="H1203" s="16" t="str">
        <x:v>17-08-2013</x:v>
      </x:c>
      <x:c r="I1203" s="16" t="n">
        <x:v>64</x:v>
      </x:c>
      <x:c r="J1203" s="16" t="n">
        <x:v>291</x:v>
      </x:c>
      <x:c r="K1203" s="16" t="n">
        <x:v>10</x:v>
      </x:c>
      <x:c r="L1203" s="16" t="n">
        <x:v>689</x:v>
      </x:c>
      <x:c r="M1203" s="16" t="n">
        <x:v>84</x:v>
      </x:c>
      <x:c r="N1203" s="16" t="n">
        <x:v>10</x:v>
      </x:c>
      <x:c r="O1203" s="16" t="n">
        <x:v>0</x:v>
      </x:c>
      <x:c r="P1203" s="16" t="n">
        <x:v>1</x:v>
      </x:c>
      <x:c r="Q1203" s="16" t="n">
        <x:v>3</x:v>
      </x:c>
      <x:c r="R1203" s="16" t="n">
        <x:v>4</x:v>
      </x:c>
      <x:c r="S1203" s="16" t="n">
        <x:v>9</x:v>
      </x:c>
      <x:c r="T1203" s="16" t="n">
        <x:v>1</x:v>
      </x:c>
      <x:c r="U1203" s="16" t="n">
        <x:v>0</x:v>
      </x:c>
      <x:c r="V1203" s="16" t="n">
        <x:v>0</x:v>
      </x:c>
      <x:c r="W1203" s="16" t="n">
        <x:v>0</x:v>
      </x:c>
      <x:c r="X1203" s="16" t="n">
        <x:v>0</x:v>
      </x:c>
      <x:c r="Y1203" s="16" t="n">
        <x:v>0</x:v>
      </x:c>
      <x:c r="Z1203" s="16" t="n">
        <x:v>0</x:v>
      </x:c>
      <x:c r="AA1203" s="16" t="n">
        <x:v>3</x:v>
      </x:c>
      <x:c r="AB1203" s="16" t="n">
        <x:v>11</x:v>
      </x:c>
      <x:c r="AC1203" s="16" t="n">
        <x:v>0</x:v>
      </x:c>
      <x:c r="AD1203" s="21" t="n">
        <x:f>IF(E1203="",MEDIAN($E$2:$E$2237),E1203)</x:f>
        <x:v>66636</x:v>
      </x:c>
      <x:c r="AE1203" s="17" t="n">
        <x:f>2014-B1203</x:f>
        <x:v>57</x:v>
      </x:c>
      <x:c r="AF1203" s="17" t="n">
        <x:f>F1203+G1203</x:f>
        <x:v>0</x:v>
      </x:c>
      <x:c r="AG1203" s="21" t="n">
        <x:f>SUM(J1203:O1203)</x:f>
        <x:v>1084</x:v>
      </x:c>
      <x:c r="AH1203" s="17" t="n">
        <x:f>SUM(Q1203:S1203)</x:f>
        <x:v>16</x:v>
      </x:c>
      <x:c r="AI1203" s="17" t="n">
        <x:f>SUM(U1203:Y1203)</x:f>
        <x:v>0</x:v>
      </x:c>
      <x:c r="AJ1203" s="17" t="str">
        <x:f>IF(AE1203&lt;=34,"≤34",IF(AE1203&lt;=44,"35–44",IF(AE1203&lt;=54,"45–54",IF(AE1203&lt;=64,"55–64","65+"))))</x:f>
        <x:v>55–64</x:v>
      </x:c>
      <x:c r="AK1203" s="17" t="str">
        <x:f>IF(AG1203&gt;=1000,"High Value",IF(AG1203&gt;=300,"Mid Value","Low Value"))</x:f>
        <x:v>High Value</x:v>
      </x:c>
      <x:c r="AL1203" s="17" t="str">
        <x:f>IF(AND(AI1203&gt;=1,I1203&lt;=50),"Priority 1",IF(AND(AG1203&gt;=1000,I1203&lt;=60),"Priority 2",IF(I1203&lt;=30,"Priority 3","Nurture")))</x:f>
        <x:v>Nurture</x:v>
      </x:c>
    </x:row>
    <x:row r="1204">
      <x:c r="A1204" s="16" t="n">
        <x:v>1118</x:v>
      </x:c>
      <x:c r="B1204" s="16" t="n">
        <x:v>1956</x:v>
      </x:c>
      <x:c r="C1204" s="16" t="str">
        <x:v>Master</x:v>
      </x:c>
      <x:c r="D1204" s="16" t="str">
        <x:v>Married</x:v>
      </x:c>
      <x:c r="E1204" s="16" t="n">
        <x:v>50965</x:v>
      </x:c>
      <x:c r="F1204" s="16" t="n">
        <x:v>0</x:v>
      </x:c>
      <x:c r="G1204" s="16" t="n">
        <x:v>1</x:v>
      </x:c>
      <x:c r="H1204" s="16" t="str">
        <x:v>20-02-2013</x:v>
      </x:c>
      <x:c r="I1204" s="16" t="n">
        <x:v>87</x:v>
      </x:c>
      <x:c r="J1204" s="16" t="n">
        <x:v>544</x:v>
      </x:c>
      <x:c r="K1204" s="16" t="n">
        <x:v>13</x:v>
      </x:c>
      <x:c r="L1204" s="16" t="n">
        <x:v>85</x:v>
      </x:c>
      <x:c r="M1204" s="16" t="n">
        <x:v>8</x:v>
      </x:c>
      <x:c r="N1204" s="16" t="n">
        <x:v>6</x:v>
      </x:c>
      <x:c r="O1204" s="16" t="n">
        <x:v>29</x:v>
      </x:c>
      <x:c r="P1204" s="16" t="n">
        <x:v>3</x:v>
      </x:c>
      <x:c r="Q1204" s="16" t="n">
        <x:v>10</x:v>
      </x:c>
      <x:c r="R1204" s="16" t="n">
        <x:v>4</x:v>
      </x:c>
      <x:c r="S1204" s="16" t="n">
        <x:v>5</x:v>
      </x:c>
      <x:c r="T1204" s="16" t="n">
        <x:v>8</x:v>
      </x:c>
      <x:c r="U1204" s="16" t="n">
        <x:v>1</x:v>
      </x:c>
      <x:c r="V1204" s="16" t="n">
        <x:v>0</x:v>
      </x:c>
      <x:c r="W1204" s="16" t="n">
        <x:v>0</x:v>
      </x:c>
      <x:c r="X1204" s="16" t="n">
        <x:v>0</x:v>
      </x:c>
      <x:c r="Y1204" s="16" t="n">
        <x:v>0</x:v>
      </x:c>
      <x:c r="Z1204" s="16" t="n">
        <x:v>0</x:v>
      </x:c>
      <x:c r="AA1204" s="16" t="n">
        <x:v>3</x:v>
      </x:c>
      <x:c r="AB1204" s="16" t="n">
        <x:v>11</x:v>
      </x:c>
      <x:c r="AC1204" s="16" t="n">
        <x:v>0</x:v>
      </x:c>
      <x:c r="AD1204" s="21" t="n">
        <x:f>IF(E1204="",MEDIAN($E$2:$E$2237),E1204)</x:f>
        <x:v>50965</x:v>
      </x:c>
      <x:c r="AE1204" s="17" t="n">
        <x:f>2014-B1204</x:f>
        <x:v>58</x:v>
      </x:c>
      <x:c r="AF1204" s="17" t="n">
        <x:f>F1204+G1204</x:f>
        <x:v>1</x:v>
      </x:c>
      <x:c r="AG1204" s="21" t="n">
        <x:f>SUM(J1204:O1204)</x:f>
        <x:v>685</x:v>
      </x:c>
      <x:c r="AH1204" s="17" t="n">
        <x:f>SUM(Q1204:S1204)</x:f>
        <x:v>19</x:v>
      </x:c>
      <x:c r="AI1204" s="17" t="n">
        <x:f>SUM(U1204:Y1204)</x:f>
        <x:v>1</x:v>
      </x:c>
      <x:c r="AJ1204" s="17" t="str">
        <x:f>IF(AE1204&lt;=34,"≤34",IF(AE1204&lt;=44,"35–44",IF(AE1204&lt;=54,"45–54",IF(AE1204&lt;=64,"55–64","65+"))))</x:f>
        <x:v>55–64</x:v>
      </x:c>
      <x:c r="AK1204" s="17" t="str">
        <x:f>IF(AG1204&gt;=1000,"High Value",IF(AG1204&gt;=300,"Mid Value","Low Value"))</x:f>
        <x:v>Mid Value</x:v>
      </x:c>
      <x:c r="AL1204" s="17" t="str">
        <x:f>IF(AND(AI1204&gt;=1,I1204&lt;=50),"Priority 1",IF(AND(AG1204&gt;=1000,I1204&lt;=60),"Priority 2",IF(I1204&lt;=30,"Priority 3","Nurture")))</x:f>
        <x:v>Nurture</x:v>
      </x:c>
    </x:row>
    <x:row r="1205">
      <x:c r="A1205" s="16" t="n">
        <x:v>7789</x:v>
      </x:c>
      <x:c r="B1205" s="16" t="n">
        <x:v>1965</x:v>
      </x:c>
      <x:c r="C1205" s="16" t="str">
        <x:v>PhD</x:v>
      </x:c>
      <x:c r="D1205" s="16" t="str">
        <x:v>Married</x:v>
      </x:c>
      <x:c r="E1205" s="16" t="n">
        <x:v>84618</x:v>
      </x:c>
      <x:c r="F1205" s="16" t="n">
        <x:v>0</x:v>
      </x:c>
      <x:c r="G1205" s="16" t="n">
        <x:v>0</x:v>
      </x:c>
      <x:c r="H1205" s="16" t="str">
        <x:v>22-11-2013</x:v>
      </x:c>
      <x:c r="I1205" s="16" t="n">
        <x:v>96</x:v>
      </x:c>
      <x:c r="J1205" s="16" t="n">
        <x:v>684</x:v>
      </x:c>
      <x:c r="K1205" s="16" t="n">
        <x:v>100</x:v>
      </x:c>
      <x:c r="L1205" s="16" t="n">
        <x:v>801</x:v>
      </x:c>
      <x:c r="M1205" s="16" t="n">
        <x:v>21</x:v>
      </x:c>
      <x:c r="N1205" s="16" t="n">
        <x:v>66</x:v>
      </x:c>
      <x:c r="O1205" s="16" t="n">
        <x:v>0</x:v>
      </x:c>
      <x:c r="P1205" s="16" t="n">
        <x:v>1</x:v>
      </x:c>
      <x:c r="Q1205" s="16" t="n">
        <x:v>6</x:v>
      </x:c>
      <x:c r="R1205" s="16" t="n">
        <x:v>9</x:v>
      </x:c>
      <x:c r="S1205" s="16" t="n">
        <x:v>10</x:v>
      </x:c>
      <x:c r="T1205" s="16" t="n">
        <x:v>2</x:v>
      </x:c>
      <x:c r="U1205" s="16" t="n">
        <x:v>0</x:v>
      </x:c>
      <x:c r="V1205" s="16" t="n">
        <x:v>0</x:v>
      </x:c>
      <x:c r="W1205" s="16" t="n">
        <x:v>1</x:v>
      </x:c>
      <x:c r="X1205" s="16" t="n">
        <x:v>0</x:v>
      </x:c>
      <x:c r="Y1205" s="16" t="n">
        <x:v>0</x:v>
      </x:c>
      <x:c r="Z1205" s="16" t="n">
        <x:v>0</x:v>
      </x:c>
      <x:c r="AA1205" s="16" t="n">
        <x:v>3</x:v>
      </x:c>
      <x:c r="AB1205" s="16" t="n">
        <x:v>11</x:v>
      </x:c>
      <x:c r="AC1205" s="16" t="n">
        <x:v>0</x:v>
      </x:c>
      <x:c r="AD1205" s="21" t="n">
        <x:f>IF(E1205="",MEDIAN($E$2:$E$2237),E1205)</x:f>
        <x:v>84618</x:v>
      </x:c>
      <x:c r="AE1205" s="17" t="n">
        <x:f>2014-B1205</x:f>
        <x:v>49</x:v>
      </x:c>
      <x:c r="AF1205" s="17" t="n">
        <x:f>F1205+G1205</x:f>
        <x:v>0</x:v>
      </x:c>
      <x:c r="AG1205" s="21" t="n">
        <x:f>SUM(J1205:O1205)</x:f>
        <x:v>1672</x:v>
      </x:c>
      <x:c r="AH1205" s="17" t="n">
        <x:f>SUM(Q1205:S1205)</x:f>
        <x:v>25</x:v>
      </x:c>
      <x:c r="AI1205" s="17" t="n">
        <x:f>SUM(U1205:Y1205)</x:f>
        <x:v>1</x:v>
      </x:c>
      <x:c r="AJ1205" s="17" t="str">
        <x:f>IF(AE1205&lt;=34,"≤34",IF(AE1205&lt;=44,"35–44",IF(AE1205&lt;=54,"45–54",IF(AE1205&lt;=64,"55–64","65+"))))</x:f>
        <x:v>45–54</x:v>
      </x:c>
      <x:c r="AK1205" s="17" t="str">
        <x:f>IF(AG1205&gt;=1000,"High Value",IF(AG1205&gt;=300,"Mid Value","Low Value"))</x:f>
        <x:v>High Value</x:v>
      </x:c>
      <x:c r="AL1205" s="17" t="str">
        <x:f>IF(AND(AI1205&gt;=1,I1205&lt;=50),"Priority 1",IF(AND(AG1205&gt;=1000,I1205&lt;=60),"Priority 2",IF(I1205&lt;=30,"Priority 3","Nurture")))</x:f>
        <x:v>Nurture</x:v>
      </x:c>
    </x:row>
    <x:row r="1206">
      <x:c r="A1206" s="16" t="n">
        <x:v>3068</x:v>
      </x:c>
      <x:c r="B1206" s="16" t="n">
        <x:v>1990</x:v>
      </x:c>
      <x:c r="C1206" s="16" t="str">
        <x:v>Graduation</x:v>
      </x:c>
      <x:c r="D1206" s="16" t="str">
        <x:v>Married</x:v>
      </x:c>
      <x:c r="E1206" s="16" t="n">
        <x:v>18351</x:v>
      </x:c>
      <x:c r="F1206" s="16" t="n">
        <x:v>0</x:v>
      </x:c>
      <x:c r="G1206" s="16" t="n">
        <x:v>0</x:v>
      </x:c>
      <x:c r="H1206" s="16" t="str">
        <x:v>29-10-2013</x:v>
      </x:c>
      <x:c r="I1206" s="16" t="n">
        <x:v>1</x:v>
      </x:c>
      <x:c r="J1206" s="16" t="n">
        <x:v>1</x:v>
      </x:c>
      <x:c r="K1206" s="16" t="n">
        <x:v>12</x:v>
      </x:c>
      <x:c r="L1206" s="16" t="n">
        <x:v>9</x:v>
      </x:c>
      <x:c r="M1206" s="16" t="n">
        <x:v>0</x:v>
      </x:c>
      <x:c r="N1206" s="16" t="n">
        <x:v>14</x:v>
      </x:c>
      <x:c r="O1206" s="16" t="n">
        <x:v>7</x:v>
      </x:c>
      <x:c r="P1206" s="16" t="n">
        <x:v>1</x:v>
      </x:c>
      <x:c r="Q1206" s="16" t="n">
        <x:v>2</x:v>
      </x:c>
      <x:c r="R1206" s="16" t="n">
        <x:v>0</x:v>
      </x:c>
      <x:c r="S1206" s="16" t="n">
        <x:v>3</x:v>
      </x:c>
      <x:c r="T1206" s="16" t="n">
        <x:v>7</x:v>
      </x:c>
      <x:c r="U1206" s="16" t="n">
        <x:v>0</x:v>
      </x:c>
      <x:c r="V1206" s="16" t="n">
        <x:v>0</x:v>
      </x:c>
      <x:c r="W1206" s="16" t="n">
        <x:v>0</x:v>
      </x:c>
      <x:c r="X1206" s="16" t="n">
        <x:v>0</x:v>
      </x:c>
      <x:c r="Y1206" s="16" t="n">
        <x:v>0</x:v>
      </x:c>
      <x:c r="Z1206" s="16" t="n">
        <x:v>0</x:v>
      </x:c>
      <x:c r="AA1206" s="16" t="n">
        <x:v>3</x:v>
      </x:c>
      <x:c r="AB1206" s="16" t="n">
        <x:v>11</x:v>
      </x:c>
      <x:c r="AC1206" s="16" t="n">
        <x:v>0</x:v>
      </x:c>
      <x:c r="AD1206" s="21" t="n">
        <x:f>IF(E1206="",MEDIAN($E$2:$E$2237),E1206)</x:f>
        <x:v>18351</x:v>
      </x:c>
      <x:c r="AE1206" s="17" t="n">
        <x:f>2014-B1206</x:f>
        <x:v>24</x:v>
      </x:c>
      <x:c r="AF1206" s="17" t="n">
        <x:f>F1206+G1206</x:f>
        <x:v>0</x:v>
      </x:c>
      <x:c r="AG1206" s="21" t="n">
        <x:f>SUM(J1206:O1206)</x:f>
        <x:v>43</x:v>
      </x:c>
      <x:c r="AH1206" s="17" t="n">
        <x:f>SUM(Q1206:S1206)</x:f>
        <x:v>5</x:v>
      </x:c>
      <x:c r="AI1206" s="17" t="n">
        <x:f>SUM(U1206:Y1206)</x:f>
        <x:v>0</x:v>
      </x:c>
      <x:c r="AJ1206" s="17" t="str">
        <x:f>IF(AE1206&lt;=34,"≤34",IF(AE1206&lt;=44,"35–44",IF(AE1206&lt;=54,"45–54",IF(AE1206&lt;=64,"55–64","65+"))))</x:f>
        <x:v>≤34</x:v>
      </x:c>
      <x:c r="AK1206" s="17" t="str">
        <x:f>IF(AG1206&gt;=1000,"High Value",IF(AG1206&gt;=300,"Mid Value","Low Value"))</x:f>
        <x:v>Low Value</x:v>
      </x:c>
      <x:c r="AL1206" s="17" t="str">
        <x:f>IF(AND(AI1206&gt;=1,I1206&lt;=50),"Priority 1",IF(AND(AG1206&gt;=1000,I1206&lt;=60),"Priority 2",IF(I1206&lt;=30,"Priority 3","Nurture")))</x:f>
        <x:v>Priority 3</x:v>
      </x:c>
    </x:row>
    <x:row r="1207">
      <x:c r="A1207" s="16" t="n">
        <x:v>8955</x:v>
      </x:c>
      <x:c r="B1207" s="16" t="n">
        <x:v>1957</x:v>
      </x:c>
      <x:c r="C1207" s="16" t="str">
        <x:v>PhD</x:v>
      </x:c>
      <x:c r="D1207" s="16" t="str">
        <x:v>Together</x:v>
      </x:c>
      <x:c r="E1207" s="16" t="n">
        <x:v>40451</x:v>
      </x:c>
      <x:c r="F1207" s="16" t="n">
        <x:v>0</x:v>
      </x:c>
      <x:c r="G1207" s="16" t="n">
        <x:v>2</x:v>
      </x:c>
      <x:c r="H1207" s="16" t="str">
        <x:v>16-02-2014</x:v>
      </x:c>
      <x:c r="I1207" s="16" t="n">
        <x:v>54</x:v>
      </x:c>
      <x:c r="J1207" s="16" t="n">
        <x:v>35</x:v>
      </x:c>
      <x:c r="K1207" s="16" t="n">
        <x:v>0</x:v>
      </x:c>
      <x:c r="L1207" s="16" t="n">
        <x:v>4</x:v>
      </x:c>
      <x:c r="M1207" s="16" t="n">
        <x:v>0</x:v>
      </x:c>
      <x:c r="N1207" s="16" t="n">
        <x:v>0</x:v>
      </x:c>
      <x:c r="O1207" s="16" t="n">
        <x:v>10</x:v>
      </x:c>
      <x:c r="P1207" s="16" t="n">
        <x:v>1</x:v>
      </x:c>
      <x:c r="Q1207" s="16" t="n">
        <x:v>1</x:v>
      </x:c>
      <x:c r="R1207" s="16" t="n">
        <x:v>1</x:v>
      </x:c>
      <x:c r="S1207" s="16" t="n">
        <x:v>2</x:v>
      </x:c>
      <x:c r="T1207" s="16" t="n">
        <x:v>5</x:v>
      </x:c>
      <x:c r="U1207" s="16" t="n">
        <x:v>1</x:v>
      </x:c>
      <x:c r="V1207" s="16" t="n">
        <x:v>0</x:v>
      </x:c>
      <x:c r="W1207" s="16" t="n">
        <x:v>0</x:v>
      </x:c>
      <x:c r="X1207" s="16" t="n">
        <x:v>0</x:v>
      </x:c>
      <x:c r="Y1207" s="16" t="n">
        <x:v>0</x:v>
      </x:c>
      <x:c r="Z1207" s="16" t="n">
        <x:v>0</x:v>
      </x:c>
      <x:c r="AA1207" s="16" t="n">
        <x:v>3</x:v>
      </x:c>
      <x:c r="AB1207" s="16" t="n">
        <x:v>11</x:v>
      </x:c>
      <x:c r="AC1207" s="16" t="n">
        <x:v>0</x:v>
      </x:c>
      <x:c r="AD1207" s="21" t="n">
        <x:f>IF(E1207="",MEDIAN($E$2:$E$2237),E1207)</x:f>
        <x:v>40451</x:v>
      </x:c>
      <x:c r="AE1207" s="17" t="n">
        <x:f>2014-B1207</x:f>
        <x:v>57</x:v>
      </x:c>
      <x:c r="AF1207" s="17" t="n">
        <x:f>F1207+G1207</x:f>
        <x:v>2</x:v>
      </x:c>
      <x:c r="AG1207" s="21" t="n">
        <x:f>SUM(J1207:O1207)</x:f>
        <x:v>49</x:v>
      </x:c>
      <x:c r="AH1207" s="17" t="n">
        <x:f>SUM(Q1207:S1207)</x:f>
        <x:v>4</x:v>
      </x:c>
      <x:c r="AI1207" s="17" t="n">
        <x:f>SUM(U1207:Y1207)</x:f>
        <x:v>1</x:v>
      </x:c>
      <x:c r="AJ1207" s="17" t="str">
        <x:f>IF(AE1207&lt;=34,"≤34",IF(AE1207&lt;=44,"35–44",IF(AE1207&lt;=54,"45–54",IF(AE1207&lt;=64,"55–64","65+"))))</x:f>
        <x:v>55–64</x:v>
      </x:c>
      <x:c r="AK1207" s="17" t="str">
        <x:f>IF(AG1207&gt;=1000,"High Value",IF(AG1207&gt;=300,"Mid Value","Low Value"))</x:f>
        <x:v>Low Value</x:v>
      </x:c>
      <x:c r="AL1207" s="17" t="str">
        <x:f>IF(AND(AI1207&gt;=1,I1207&lt;=50),"Priority 1",IF(AND(AG1207&gt;=1000,I1207&lt;=60),"Priority 2",IF(I1207&lt;=30,"Priority 3","Nurture")))</x:f>
        <x:v>Nurture</x:v>
      </x:c>
    </x:row>
    <x:row r="1208">
      <x:c r="A1208" s="16" t="n">
        <x:v>945</x:v>
      </x:c>
      <x:c r="B1208" s="16" t="n">
        <x:v>1965</x:v>
      </x:c>
      <x:c r="C1208" s="16" t="str">
        <x:v>Graduation</x:v>
      </x:c>
      <x:c r="D1208" s="16" t="str">
        <x:v>Together</x:v>
      </x:c>
      <x:c r="E1208" s="16" t="n">
        <x:v>36317</x:v>
      </x:c>
      <x:c r="F1208" s="16" t="n">
        <x:v>0</x:v>
      </x:c>
      <x:c r="G1208" s="16" t="n">
        <x:v>1</x:v>
      </x:c>
      <x:c r="H1208" s="16" t="str">
        <x:v>22-05-2013</x:v>
      </x:c>
      <x:c r="I1208" s="16" t="n">
        <x:v>53</x:v>
      </x:c>
      <x:c r="J1208" s="16" t="n">
        <x:v>87</x:v>
      </x:c>
      <x:c r="K1208" s="16" t="n">
        <x:v>3</x:v>
      </x:c>
      <x:c r="L1208" s="16" t="n">
        <x:v>25</x:v>
      </x:c>
      <x:c r="M1208" s="16" t="n">
        <x:v>3</x:v>
      </x:c>
      <x:c r="N1208" s="16" t="n">
        <x:v>2</x:v>
      </x:c>
      <x:c r="O1208" s="16" t="n">
        <x:v>13</x:v>
      </x:c>
      <x:c r="P1208" s="16" t="n">
        <x:v>2</x:v>
      </x:c>
      <x:c r="Q1208" s="16" t="n">
        <x:v>3</x:v>
      </x:c>
      <x:c r="R1208" s="16" t="n">
        <x:v>0</x:v>
      </x:c>
      <x:c r="S1208" s="16" t="n">
        <x:v>4</x:v>
      </x:c>
      <x:c r="T1208" s="16" t="n">
        <x:v>7</x:v>
      </x:c>
      <x:c r="U1208" s="16" t="n">
        <x:v>0</x:v>
      </x:c>
      <x:c r="V1208" s="16" t="n">
        <x:v>0</x:v>
      </x:c>
      <x:c r="W1208" s="16" t="n">
        <x:v>0</x:v>
      </x:c>
      <x:c r="X1208" s="16" t="n">
        <x:v>0</x:v>
      </x:c>
      <x:c r="Y1208" s="16" t="n">
        <x:v>0</x:v>
      </x:c>
      <x:c r="Z1208" s="16" t="n">
        <x:v>0</x:v>
      </x:c>
      <x:c r="AA1208" s="16" t="n">
        <x:v>3</x:v>
      </x:c>
      <x:c r="AB1208" s="16" t="n">
        <x:v>11</x:v>
      </x:c>
      <x:c r="AC1208" s="16" t="n">
        <x:v>0</x:v>
      </x:c>
      <x:c r="AD1208" s="21" t="n">
        <x:f>IF(E1208="",MEDIAN($E$2:$E$2237),E1208)</x:f>
        <x:v>36317</x:v>
      </x:c>
      <x:c r="AE1208" s="17" t="n">
        <x:f>2014-B1208</x:f>
        <x:v>49</x:v>
      </x:c>
      <x:c r="AF1208" s="17" t="n">
        <x:f>F1208+G1208</x:f>
        <x:v>1</x:v>
      </x:c>
      <x:c r="AG1208" s="21" t="n">
        <x:f>SUM(J1208:O1208)</x:f>
        <x:v>133</x:v>
      </x:c>
      <x:c r="AH1208" s="17" t="n">
        <x:f>SUM(Q1208:S1208)</x:f>
        <x:v>7</x:v>
      </x:c>
      <x:c r="AI1208" s="17" t="n">
        <x:f>SUM(U1208:Y1208)</x:f>
        <x:v>0</x:v>
      </x:c>
      <x:c r="AJ1208" s="17" t="str">
        <x:f>IF(AE1208&lt;=34,"≤34",IF(AE1208&lt;=44,"35–44",IF(AE1208&lt;=54,"45–54",IF(AE1208&lt;=64,"55–64","65+"))))</x:f>
        <x:v>45–54</x:v>
      </x:c>
      <x:c r="AK1208" s="17" t="str">
        <x:f>IF(AG1208&gt;=1000,"High Value",IF(AG1208&gt;=300,"Mid Value","Low Value"))</x:f>
        <x:v>Low Value</x:v>
      </x:c>
      <x:c r="AL1208" s="17" t="str">
        <x:f>IF(AND(AI1208&gt;=1,I1208&lt;=50),"Priority 1",IF(AND(AG1208&gt;=1000,I1208&lt;=60),"Priority 2",IF(I1208&lt;=30,"Priority 3","Nurture")))</x:f>
        <x:v>Nurture</x:v>
      </x:c>
    </x:row>
    <x:row r="1209">
      <x:c r="A1209" s="16" t="n">
        <x:v>5644</x:v>
      </x:c>
      <x:c r="B1209" s="16" t="n">
        <x:v>1957</x:v>
      </x:c>
      <x:c r="C1209" s="16" t="str">
        <x:v>Graduation</x:v>
      </x:c>
      <x:c r="D1209" s="16" t="str">
        <x:v>Together</x:v>
      </x:c>
      <x:c r="E1209" s="16" t="n">
        <x:v>42213</x:v>
      </x:c>
      <x:c r="F1209" s="16" t="n">
        <x:v>0</x:v>
      </x:c>
      <x:c r="G1209" s="16" t="n">
        <x:v>1</x:v>
      </x:c>
      <x:c r="H1209" s="16" t="str">
        <x:v>12-10-2013</x:v>
      </x:c>
      <x:c r="I1209" s="16" t="n">
        <x:v>96</x:v>
      </x:c>
      <x:c r="J1209" s="16" t="n">
        <x:v>309</x:v>
      </x:c>
      <x:c r="K1209" s="16" t="n">
        <x:v>3</x:v>
      </x:c>
      <x:c r="L1209" s="16" t="n">
        <x:v>24</x:v>
      </x:c>
      <x:c r="M1209" s="16" t="n">
        <x:v>4</x:v>
      </x:c>
      <x:c r="N1209" s="16" t="n">
        <x:v>3</x:v>
      </x:c>
      <x:c r="O1209" s="16" t="n">
        <x:v>20</x:v>
      </x:c>
      <x:c r="P1209" s="16" t="n">
        <x:v>2</x:v>
      </x:c>
      <x:c r="Q1209" s="16" t="n">
        <x:v>5</x:v>
      </x:c>
      <x:c r="R1209" s="16" t="n">
        <x:v>1</x:v>
      </x:c>
      <x:c r="S1209" s="16" t="n">
        <x:v>7</x:v>
      </x:c>
      <x:c r="T1209" s="16" t="n">
        <x:v>7</x:v>
      </x:c>
      <x:c r="U1209" s="16" t="n">
        <x:v>0</x:v>
      </x:c>
      <x:c r="V1209" s="16" t="n">
        <x:v>1</x:v>
      </x:c>
      <x:c r="W1209" s="16" t="n">
        <x:v>0</x:v>
      </x:c>
      <x:c r="X1209" s="16" t="n">
        <x:v>0</x:v>
      </x:c>
      <x:c r="Y1209" s="16" t="n">
        <x:v>0</x:v>
      </x:c>
      <x:c r="Z1209" s="16" t="n">
        <x:v>0</x:v>
      </x:c>
      <x:c r="AA1209" s="16" t="n">
        <x:v>3</x:v>
      </x:c>
      <x:c r="AB1209" s="16" t="n">
        <x:v>11</x:v>
      </x:c>
      <x:c r="AC1209" s="16" t="n">
        <x:v>0</x:v>
      </x:c>
      <x:c r="AD1209" s="21" t="n">
        <x:f>IF(E1209="",MEDIAN($E$2:$E$2237),E1209)</x:f>
        <x:v>42213</x:v>
      </x:c>
      <x:c r="AE1209" s="17" t="n">
        <x:f>2014-B1209</x:f>
        <x:v>57</x:v>
      </x:c>
      <x:c r="AF1209" s="17" t="n">
        <x:f>F1209+G1209</x:f>
        <x:v>1</x:v>
      </x:c>
      <x:c r="AG1209" s="21" t="n">
        <x:f>SUM(J1209:O1209)</x:f>
        <x:v>363</x:v>
      </x:c>
      <x:c r="AH1209" s="17" t="n">
        <x:f>SUM(Q1209:S1209)</x:f>
        <x:v>13</x:v>
      </x:c>
      <x:c r="AI1209" s="17" t="n">
        <x:f>SUM(U1209:Y1209)</x:f>
        <x:v>1</x:v>
      </x:c>
      <x:c r="AJ1209" s="17" t="str">
        <x:f>IF(AE1209&lt;=34,"≤34",IF(AE1209&lt;=44,"35–44",IF(AE1209&lt;=54,"45–54",IF(AE1209&lt;=64,"55–64","65+"))))</x:f>
        <x:v>55–64</x:v>
      </x:c>
      <x:c r="AK1209" s="17" t="str">
        <x:f>IF(AG1209&gt;=1000,"High Value",IF(AG1209&gt;=300,"Mid Value","Low Value"))</x:f>
        <x:v>Mid Value</x:v>
      </x:c>
      <x:c r="AL1209" s="17" t="str">
        <x:f>IF(AND(AI1209&gt;=1,I1209&lt;=50),"Priority 1",IF(AND(AG1209&gt;=1000,I1209&lt;=60),"Priority 2",IF(I1209&lt;=30,"Priority 3","Nurture")))</x:f>
        <x:v>Nurture</x:v>
      </x:c>
    </x:row>
    <x:row r="1210">
      <x:c r="A1210" s="16" t="n">
        <x:v>7192</x:v>
      </x:c>
      <x:c r="B1210" s="16" t="n">
        <x:v>1955</x:v>
      </x:c>
      <x:c r="C1210" s="16" t="str">
        <x:v>Graduation</x:v>
      </x:c>
      <x:c r="D1210" s="16" t="str">
        <x:v>Together</x:v>
      </x:c>
      <x:c r="E1210" s="16" t="n">
        <x:v>65748</x:v>
      </x:c>
      <x:c r="F1210" s="16" t="n">
        <x:v>0</x:v>
      </x:c>
      <x:c r="G1210" s="16" t="n">
        <x:v>1</x:v>
      </x:c>
      <x:c r="H1210" s="16" t="str">
        <x:v>15-04-2013</x:v>
      </x:c>
      <x:c r="I1210" s="16" t="n">
        <x:v>58</x:v>
      </x:c>
      <x:c r="J1210" s="16" t="n">
        <x:v>172</x:v>
      </x:c>
      <x:c r="K1210" s="16" t="n">
        <x:v>73</x:v>
      </x:c>
      <x:c r="L1210" s="16" t="n">
        <x:v>93</x:v>
      </x:c>
      <x:c r="M1210" s="16" t="n">
        <x:v>95</x:v>
      </x:c>
      <x:c r="N1210" s="16" t="n">
        <x:v>78</x:v>
      </x:c>
      <x:c r="O1210" s="16" t="n">
        <x:v>34</x:v>
      </x:c>
      <x:c r="P1210" s="16" t="n">
        <x:v>2</x:v>
      </x:c>
      <x:c r="Q1210" s="16" t="n">
        <x:v>2</x:v>
      </x:c>
      <x:c r="R1210" s="16" t="n">
        <x:v>4</x:v>
      </x:c>
      <x:c r="S1210" s="16" t="n">
        <x:v>10</x:v>
      </x:c>
      <x:c r="T1210" s="16" t="n">
        <x:v>1</x:v>
      </x:c>
      <x:c r="U1210" s="16" t="n">
        <x:v>0</x:v>
      </x:c>
      <x:c r="V1210" s="16" t="n">
        <x:v>0</x:v>
      </x:c>
      <x:c r="W1210" s="16" t="n">
        <x:v>0</x:v>
      </x:c>
      <x:c r="X1210" s="16" t="n">
        <x:v>0</x:v>
      </x:c>
      <x:c r="Y1210" s="16" t="n">
        <x:v>0</x:v>
      </x:c>
      <x:c r="Z1210" s="16" t="n">
        <x:v>1</x:v>
      </x:c>
      <x:c r="AA1210" s="16" t="n">
        <x:v>3</x:v>
      </x:c>
      <x:c r="AB1210" s="16" t="n">
        <x:v>11</x:v>
      </x:c>
      <x:c r="AC1210" s="16" t="n">
        <x:v>0</x:v>
      </x:c>
      <x:c r="AD1210" s="21" t="n">
        <x:f>IF(E1210="",MEDIAN($E$2:$E$2237),E1210)</x:f>
        <x:v>65748</x:v>
      </x:c>
      <x:c r="AE1210" s="17" t="n">
        <x:f>2014-B1210</x:f>
        <x:v>59</x:v>
      </x:c>
      <x:c r="AF1210" s="17" t="n">
        <x:f>F1210+G1210</x:f>
        <x:v>1</x:v>
      </x:c>
      <x:c r="AG1210" s="21" t="n">
        <x:f>SUM(J1210:O1210)</x:f>
        <x:v>545</x:v>
      </x:c>
      <x:c r="AH1210" s="17" t="n">
        <x:f>SUM(Q1210:S1210)</x:f>
        <x:v>16</x:v>
      </x:c>
      <x:c r="AI1210" s="17" t="n">
        <x:f>SUM(U1210:Y1210)</x:f>
        <x:v>0</x:v>
      </x:c>
      <x:c r="AJ1210" s="17" t="str">
        <x:f>IF(AE1210&lt;=34,"≤34",IF(AE1210&lt;=44,"35–44",IF(AE1210&lt;=54,"45–54",IF(AE1210&lt;=64,"55–64","65+"))))</x:f>
        <x:v>55–64</x:v>
      </x:c>
      <x:c r="AK1210" s="17" t="str">
        <x:f>IF(AG1210&gt;=1000,"High Value",IF(AG1210&gt;=300,"Mid Value","Low Value"))</x:f>
        <x:v>Mid Value</x:v>
      </x:c>
      <x:c r="AL1210" s="17" t="str">
        <x:f>IF(AND(AI1210&gt;=1,I1210&lt;=50),"Priority 1",IF(AND(AG1210&gt;=1000,I1210&lt;=60),"Priority 2",IF(I1210&lt;=30,"Priority 3","Nurture")))</x:f>
        <x:v>Nurture</x:v>
      </x:c>
    </x:row>
    <x:row r="1211">
      <x:c r="A1211" s="16" t="n">
        <x:v>2324</x:v>
      </x:c>
      <x:c r="B1211" s="16" t="n">
        <x:v>1972</x:v>
      </x:c>
      <x:c r="C1211" s="16" t="str">
        <x:v>Graduation</x:v>
      </x:c>
      <x:c r="D1211" s="16" t="str">
        <x:v>Together</x:v>
      </x:c>
      <x:c r="E1211" s="16" t="n">
        <x:v>77044</x:v>
      </x:c>
      <x:c r="F1211" s="16" t="n">
        <x:v>0</x:v>
      </x:c>
      <x:c r="G1211" s="16" t="n">
        <x:v>1</x:v>
      </x:c>
      <x:c r="H1211" s="16" t="str">
        <x:v>27-10-2013</x:v>
      </x:c>
      <x:c r="I1211" s="16" t="n">
        <x:v>12</x:v>
      </x:c>
      <x:c r="J1211" s="16" t="n">
        <x:v>625</x:v>
      </x:c>
      <x:c r="K1211" s="16" t="n">
        <x:v>38</x:v>
      </x:c>
      <x:c r="L1211" s="16" t="n">
        <x:v>242</x:v>
      </x:c>
      <x:c r="M1211" s="16" t="n">
        <x:v>50</x:v>
      </x:c>
      <x:c r="N1211" s="16" t="n">
        <x:v>34</x:v>
      </x:c>
      <x:c r="O1211" s="16" t="n">
        <x:v>76</x:v>
      </x:c>
      <x:c r="P1211" s="16" t="n">
        <x:v>2</x:v>
      </x:c>
      <x:c r="Q1211" s="16" t="n">
        <x:v>7</x:v>
      </x:c>
      <x:c r="R1211" s="16" t="n">
        <x:v>11</x:v>
      </x:c>
      <x:c r="S1211" s="16" t="n">
        <x:v>11</x:v>
      </x:c>
      <x:c r="T1211" s="16" t="n">
        <x:v>4</x:v>
      </x:c>
      <x:c r="U1211" s="16" t="n">
        <x:v>1</x:v>
      </x:c>
      <x:c r="V1211" s="16" t="n">
        <x:v>0</x:v>
      </x:c>
      <x:c r="W1211" s="16" t="n">
        <x:v>0</x:v>
      </x:c>
      <x:c r="X1211" s="16" t="n">
        <x:v>0</x:v>
      </x:c>
      <x:c r="Y1211" s="16" t="n">
        <x:v>0</x:v>
      </x:c>
      <x:c r="Z1211" s="16" t="n">
        <x:v>0</x:v>
      </x:c>
      <x:c r="AA1211" s="16" t="n">
        <x:v>3</x:v>
      </x:c>
      <x:c r="AB1211" s="16" t="n">
        <x:v>11</x:v>
      </x:c>
      <x:c r="AC1211" s="16" t="n">
        <x:v>0</x:v>
      </x:c>
      <x:c r="AD1211" s="21" t="n">
        <x:f>IF(E1211="",MEDIAN($E$2:$E$2237),E1211)</x:f>
        <x:v>77044</x:v>
      </x:c>
      <x:c r="AE1211" s="17" t="n">
        <x:f>2014-B1211</x:f>
        <x:v>42</x:v>
      </x:c>
      <x:c r="AF1211" s="17" t="n">
        <x:f>F1211+G1211</x:f>
        <x:v>1</x:v>
      </x:c>
      <x:c r="AG1211" s="21" t="n">
        <x:f>SUM(J1211:O1211)</x:f>
        <x:v>1065</x:v>
      </x:c>
      <x:c r="AH1211" s="17" t="n">
        <x:f>SUM(Q1211:S1211)</x:f>
        <x:v>29</x:v>
      </x:c>
      <x:c r="AI1211" s="17" t="n">
        <x:f>SUM(U1211:Y1211)</x:f>
        <x:v>1</x:v>
      </x:c>
      <x:c r="AJ1211" s="17" t="str">
        <x:f>IF(AE1211&lt;=34,"≤34",IF(AE1211&lt;=44,"35–44",IF(AE1211&lt;=54,"45–54",IF(AE1211&lt;=64,"55–64","65+"))))</x:f>
        <x:v>35–44</x:v>
      </x:c>
      <x:c r="AK1211" s="17" t="str">
        <x:f>IF(AG1211&gt;=1000,"High Value",IF(AG1211&gt;=300,"Mid Value","Low Value"))</x:f>
        <x:v>High Value</x:v>
      </x:c>
      <x:c r="AL1211" s="17" t="str">
        <x:f>IF(AND(AI1211&gt;=1,I1211&lt;=50),"Priority 1",IF(AND(AG1211&gt;=1000,I1211&lt;=60),"Priority 2",IF(I1211&lt;=30,"Priority 3","Nurture")))</x:f>
        <x:v>Priority 1</x:v>
      </x:c>
    </x:row>
    <x:row r="1212">
      <x:c r="A1212" s="16" t="n">
        <x:v>697</x:v>
      </x:c>
      <x:c r="B1212" s="16" t="n">
        <x:v>1969</x:v>
      </x:c>
      <x:c r="C1212" s="16" t="str">
        <x:v>Graduation</x:v>
      </x:c>
      <x:c r="D1212" s="16" t="str">
        <x:v>Together</x:v>
      </x:c>
      <x:c r="E1212" s="16" t="n">
        <x:v>74918</x:v>
      </x:c>
      <x:c r="F1212" s="16" t="n">
        <x:v>0</x:v>
      </x:c>
      <x:c r="G1212" s="16" t="n">
        <x:v>0</x:v>
      </x:c>
      <x:c r="H1212" s="16" t="str">
        <x:v>12-03-2013</x:v>
      </x:c>
      <x:c r="I1212" s="16" t="n">
        <x:v>78</x:v>
      </x:c>
      <x:c r="J1212" s="16" t="n">
        <x:v>972</x:v>
      </x:c>
      <x:c r="K1212" s="16" t="n">
        <x:v>59</x:v>
      </x:c>
      <x:c r="L1212" s="16" t="n">
        <x:v>913</x:v>
      </x:c>
      <x:c r="M1212" s="16" t="n">
        <x:v>25</x:v>
      </x:c>
      <x:c r="N1212" s="16" t="n">
        <x:v>19</x:v>
      </x:c>
      <x:c r="O1212" s="16" t="n">
        <x:v>59</x:v>
      </x:c>
      <x:c r="P1212" s="16" t="n">
        <x:v>1</x:v>
      </x:c>
      <x:c r="Q1212" s="16" t="n">
        <x:v>5</x:v>
      </x:c>
      <x:c r="R1212" s="16" t="n">
        <x:v>9</x:v>
      </x:c>
      <x:c r="S1212" s="16" t="n">
        <x:v>6</x:v>
      </x:c>
      <x:c r="T1212" s="16" t="n">
        <x:v>3</x:v>
      </x:c>
      <x:c r="U1212" s="16" t="n">
        <x:v>0</x:v>
      </x:c>
      <x:c r="V1212" s="16" t="n">
        <x:v>0</x:v>
      </x:c>
      <x:c r="W1212" s="16" t="n">
        <x:v>1</x:v>
      </x:c>
      <x:c r="X1212" s="16" t="n">
        <x:v>0</x:v>
      </x:c>
      <x:c r="Y1212" s="16" t="n">
        <x:v>0</x:v>
      </x:c>
      <x:c r="Z1212" s="16" t="n">
        <x:v>0</x:v>
      </x:c>
      <x:c r="AA1212" s="16" t="n">
        <x:v>3</x:v>
      </x:c>
      <x:c r="AB1212" s="16" t="n">
        <x:v>11</x:v>
      </x:c>
      <x:c r="AC1212" s="16" t="n">
        <x:v>0</x:v>
      </x:c>
      <x:c r="AD1212" s="21" t="n">
        <x:f>IF(E1212="",MEDIAN($E$2:$E$2237),E1212)</x:f>
        <x:v>74918</x:v>
      </x:c>
      <x:c r="AE1212" s="17" t="n">
        <x:f>2014-B1212</x:f>
        <x:v>45</x:v>
      </x:c>
      <x:c r="AF1212" s="17" t="n">
        <x:f>F1212+G1212</x:f>
        <x:v>0</x:v>
      </x:c>
      <x:c r="AG1212" s="21" t="n">
        <x:f>SUM(J1212:O1212)</x:f>
        <x:v>2047</x:v>
      </x:c>
      <x:c r="AH1212" s="17" t="n">
        <x:f>SUM(Q1212:S1212)</x:f>
        <x:v>20</x:v>
      </x:c>
      <x:c r="AI1212" s="17" t="n">
        <x:f>SUM(U1212:Y1212)</x:f>
        <x:v>1</x:v>
      </x:c>
      <x:c r="AJ1212" s="17" t="str">
        <x:f>IF(AE1212&lt;=34,"≤34",IF(AE1212&lt;=44,"35–44",IF(AE1212&lt;=54,"45–54",IF(AE1212&lt;=64,"55–64","65+"))))</x:f>
        <x:v>45–54</x:v>
      </x:c>
      <x:c r="AK1212" s="17" t="str">
        <x:f>IF(AG1212&gt;=1000,"High Value",IF(AG1212&gt;=300,"Mid Value","Low Value"))</x:f>
        <x:v>High Value</x:v>
      </x:c>
      <x:c r="AL1212" s="17" t="str">
        <x:f>IF(AND(AI1212&gt;=1,I1212&lt;=50),"Priority 1",IF(AND(AG1212&gt;=1000,I1212&lt;=60),"Priority 2",IF(I1212&lt;=30,"Priority 3","Nurture")))</x:f>
        <x:v>Nurture</x:v>
      </x:c>
    </x:row>
    <x:row r="1213">
      <x:c r="A1213" s="16" t="n">
        <x:v>3439</x:v>
      </x:c>
      <x:c r="B1213" s="16" t="n">
        <x:v>1972</x:v>
      </x:c>
      <x:c r="C1213" s="16" t="str">
        <x:v>Graduation</x:v>
      </x:c>
      <x:c r="D1213" s="16" t="str">
        <x:v>Married</x:v>
      </x:c>
      <x:c r="E1213" s="16" t="n">
        <x:v>56721</x:v>
      </x:c>
      <x:c r="F1213" s="16" t="n">
        <x:v>1</x:v>
      </x:c>
      <x:c r="G1213" s="16" t="n">
        <x:v>1</x:v>
      </x:c>
      <x:c r="H1213" s="16" t="str">
        <x:v>31-10-2012</x:v>
      </x:c>
      <x:c r="I1213" s="16" t="n">
        <x:v>64</x:v>
      </x:c>
      <x:c r="J1213" s="16" t="n">
        <x:v>157</x:v>
      </x:c>
      <x:c r="K1213" s="16" t="n">
        <x:v>6</x:v>
      </x:c>
      <x:c r="L1213" s="16" t="n">
        <x:v>39</x:v>
      </x:c>
      <x:c r="M1213" s="16" t="n">
        <x:v>6</x:v>
      </x:c>
      <x:c r="N1213" s="16" t="n">
        <x:v>13</x:v>
      </x:c>
      <x:c r="O1213" s="16" t="n">
        <x:v>75</x:v>
      </x:c>
      <x:c r="P1213" s="16" t="n">
        <x:v>5</x:v>
      </x:c>
      <x:c r="Q1213" s="16" t="n">
        <x:v>4</x:v>
      </x:c>
      <x:c r="R1213" s="16" t="n">
        <x:v>1</x:v>
      </x:c>
      <x:c r="S1213" s="16" t="n">
        <x:v>5</x:v>
      </x:c>
      <x:c r="T1213" s="16" t="n">
        <x:v>6</x:v>
      </x:c>
      <x:c r="U1213" s="16" t="n">
        <x:v>0</x:v>
      </x:c>
      <x:c r="V1213" s="16" t="n">
        <x:v>0</x:v>
      </x:c>
      <x:c r="W1213" s="16" t="n">
        <x:v>0</x:v>
      </x:c>
      <x:c r="X1213" s="16" t="n">
        <x:v>0</x:v>
      </x:c>
      <x:c r="Y1213" s="16" t="n">
        <x:v>0</x:v>
      </x:c>
      <x:c r="Z1213" s="16" t="n">
        <x:v>0</x:v>
      </x:c>
      <x:c r="AA1213" s="16" t="n">
        <x:v>3</x:v>
      </x:c>
      <x:c r="AB1213" s="16" t="n">
        <x:v>11</x:v>
      </x:c>
      <x:c r="AC1213" s="16" t="n">
        <x:v>0</x:v>
      </x:c>
      <x:c r="AD1213" s="21" t="n">
        <x:f>IF(E1213="",MEDIAN($E$2:$E$2237),E1213)</x:f>
        <x:v>56721</x:v>
      </x:c>
      <x:c r="AE1213" s="17" t="n">
        <x:f>2014-B1213</x:f>
        <x:v>42</x:v>
      </x:c>
      <x:c r="AF1213" s="17" t="n">
        <x:f>F1213+G1213</x:f>
        <x:v>2</x:v>
      </x:c>
      <x:c r="AG1213" s="21" t="n">
        <x:f>SUM(J1213:O1213)</x:f>
        <x:v>296</x:v>
      </x:c>
      <x:c r="AH1213" s="17" t="n">
        <x:f>SUM(Q1213:S1213)</x:f>
        <x:v>10</x:v>
      </x:c>
      <x:c r="AI1213" s="17" t="n">
        <x:f>SUM(U1213:Y1213)</x:f>
        <x:v>0</x:v>
      </x:c>
      <x:c r="AJ1213" s="17" t="str">
        <x:f>IF(AE1213&lt;=34,"≤34",IF(AE1213&lt;=44,"35–44",IF(AE1213&lt;=54,"45–54",IF(AE1213&lt;=64,"55–64","65+"))))</x:f>
        <x:v>35–44</x:v>
      </x:c>
      <x:c r="AK1213" s="17" t="str">
        <x:f>IF(AG1213&gt;=1000,"High Value",IF(AG1213&gt;=300,"Mid Value","Low Value"))</x:f>
        <x:v>Low Value</x:v>
      </x:c>
      <x:c r="AL1213" s="17" t="str">
        <x:f>IF(AND(AI1213&gt;=1,I1213&lt;=50),"Priority 1",IF(AND(AG1213&gt;=1000,I1213&lt;=60),"Priority 2",IF(I1213&lt;=30,"Priority 3","Nurture")))</x:f>
        <x:v>Nurture</x:v>
      </x:c>
    </x:row>
    <x:row r="1214">
      <x:c r="A1214" s="16" t="n">
        <x:v>1506</x:v>
      </x:c>
      <x:c r="B1214" s="16" t="n">
        <x:v>1975</x:v>
      </x:c>
      <x:c r="C1214" s="16" t="str">
        <x:v>Graduation</x:v>
      </x:c>
      <x:c r="D1214" s="16" t="str">
        <x:v>Single</x:v>
      </x:c>
      <x:c r="E1214" s="16" t="n">
        <x:v>42160</x:v>
      </x:c>
      <x:c r="F1214" s="16" t="n">
        <x:v>1</x:v>
      </x:c>
      <x:c r="G1214" s="16" t="n">
        <x:v>1</x:v>
      </x:c>
      <x:c r="H1214" s="16" t="str">
        <x:v>28-06-2013</x:v>
      </x:c>
      <x:c r="I1214" s="16" t="n">
        <x:v>26</x:v>
      </x:c>
      <x:c r="J1214" s="16" t="n">
        <x:v>48</x:v>
      </x:c>
      <x:c r="K1214" s="16" t="n">
        <x:v>9</x:v>
      </x:c>
      <x:c r="L1214" s="16" t="n">
        <x:v>45</x:v>
      </x:c>
      <x:c r="M1214" s="16" t="n">
        <x:v>3</x:v>
      </x:c>
      <x:c r="N1214" s="16" t="n">
        <x:v>15</x:v>
      </x:c>
      <x:c r="O1214" s="16" t="n">
        <x:v>20</x:v>
      </x:c>
      <x:c r="P1214" s="16" t="n">
        <x:v>4</x:v>
      </x:c>
      <x:c r="Q1214" s="16" t="n">
        <x:v>2</x:v>
      </x:c>
      <x:c r="R1214" s="16" t="n">
        <x:v>1</x:v>
      </x:c>
      <x:c r="S1214" s="16" t="n">
        <x:v>4</x:v>
      </x:c>
      <x:c r="T1214" s="16" t="n">
        <x:v>6</x:v>
      </x:c>
      <x:c r="U1214" s="16" t="n">
        <x:v>0</x:v>
      </x:c>
      <x:c r="V1214" s="16" t="n">
        <x:v>0</x:v>
      </x:c>
      <x:c r="W1214" s="16" t="n">
        <x:v>0</x:v>
      </x:c>
      <x:c r="X1214" s="16" t="n">
        <x:v>0</x:v>
      </x:c>
      <x:c r="Y1214" s="16" t="n">
        <x:v>0</x:v>
      </x:c>
      <x:c r="Z1214" s="16" t="n">
        <x:v>0</x:v>
      </x:c>
      <x:c r="AA1214" s="16" t="n">
        <x:v>3</x:v>
      </x:c>
      <x:c r="AB1214" s="16" t="n">
        <x:v>11</x:v>
      </x:c>
      <x:c r="AC1214" s="16" t="n">
        <x:v>1</x:v>
      </x:c>
      <x:c r="AD1214" s="21" t="n">
        <x:f>IF(E1214="",MEDIAN($E$2:$E$2237),E1214)</x:f>
        <x:v>42160</x:v>
      </x:c>
      <x:c r="AE1214" s="17" t="n">
        <x:f>2014-B1214</x:f>
        <x:v>39</x:v>
      </x:c>
      <x:c r="AF1214" s="17" t="n">
        <x:f>F1214+G1214</x:f>
        <x:v>2</x:v>
      </x:c>
      <x:c r="AG1214" s="21" t="n">
        <x:f>SUM(J1214:O1214)</x:f>
        <x:v>140</x:v>
      </x:c>
      <x:c r="AH1214" s="17" t="n">
        <x:f>SUM(Q1214:S1214)</x:f>
        <x:v>7</x:v>
      </x:c>
      <x:c r="AI1214" s="17" t="n">
        <x:f>SUM(U1214:Y1214)</x:f>
        <x:v>0</x:v>
      </x:c>
      <x:c r="AJ1214" s="17" t="str">
        <x:f>IF(AE1214&lt;=34,"≤34",IF(AE1214&lt;=44,"35–44",IF(AE1214&lt;=54,"45–54",IF(AE1214&lt;=64,"55–64","65+"))))</x:f>
        <x:v>35–44</x:v>
      </x:c>
      <x:c r="AK1214" s="17" t="str">
        <x:f>IF(AG1214&gt;=1000,"High Value",IF(AG1214&gt;=300,"Mid Value","Low Value"))</x:f>
        <x:v>Low Value</x:v>
      </x:c>
      <x:c r="AL1214" s="17" t="str">
        <x:f>IF(AND(AI1214&gt;=1,I1214&lt;=50),"Priority 1",IF(AND(AG1214&gt;=1000,I1214&lt;=60),"Priority 2",IF(I1214&lt;=30,"Priority 3","Nurture")))</x:f>
        <x:v>Priority 3</x:v>
      </x:c>
    </x:row>
    <x:row r="1215">
      <x:c r="A1215" s="16" t="n">
        <x:v>232</x:v>
      </x:c>
      <x:c r="B1215" s="16" t="n">
        <x:v>1965</x:v>
      </x:c>
      <x:c r="C1215" s="16" t="str">
        <x:v>Graduation</x:v>
      </x:c>
      <x:c r="D1215" s="16" t="str">
        <x:v>Single</x:v>
      </x:c>
      <x:c r="E1215" s="16" t="n">
        <x:v>61559</x:v>
      </x:c>
      <x:c r="F1215" s="16" t="n">
        <x:v>0</x:v>
      </x:c>
      <x:c r="G1215" s="16" t="n">
        <x:v>1</x:v>
      </x:c>
      <x:c r="H1215" s="16" t="str">
        <x:v>17-07-2013</x:v>
      </x:c>
      <x:c r="I1215" s="16" t="n">
        <x:v>8</x:v>
      </x:c>
      <x:c r="J1215" s="16" t="n">
        <x:v>279</x:v>
      </x:c>
      <x:c r="K1215" s="16" t="n">
        <x:v>83</x:v>
      </x:c>
      <x:c r="L1215" s="16" t="n">
        <x:v>88</x:v>
      </x:c>
      <x:c r="M1215" s="16" t="n">
        <x:v>32</x:v>
      </x:c>
      <x:c r="N1215" s="16" t="n">
        <x:v>14</x:v>
      </x:c>
      <x:c r="O1215" s="16" t="n">
        <x:v>34</x:v>
      </x:c>
      <x:c r="P1215" s="16" t="n">
        <x:v>1</x:v>
      </x:c>
      <x:c r="Q1215" s="16" t="n">
        <x:v>4</x:v>
      </x:c>
      <x:c r="R1215" s="16" t="n">
        <x:v>2</x:v>
      </x:c>
      <x:c r="S1215" s="16" t="n">
        <x:v>10</x:v>
      </x:c>
      <x:c r="T1215" s="16" t="n">
        <x:v>3</x:v>
      </x:c>
      <x:c r="U1215" s="16" t="n">
        <x:v>0</x:v>
      </x:c>
      <x:c r="V1215" s="16" t="n">
        <x:v>0</x:v>
      </x:c>
      <x:c r="W1215" s="16" t="n">
        <x:v>0</x:v>
      </x:c>
      <x:c r="X1215" s="16" t="n">
        <x:v>0</x:v>
      </x:c>
      <x:c r="Y1215" s="16" t="n">
        <x:v>0</x:v>
      </x:c>
      <x:c r="Z1215" s="16" t="n">
        <x:v>0</x:v>
      </x:c>
      <x:c r="AA1215" s="16" t="n">
        <x:v>3</x:v>
      </x:c>
      <x:c r="AB1215" s="16" t="n">
        <x:v>11</x:v>
      </x:c>
      <x:c r="AC1215" s="16" t="n">
        <x:v>0</x:v>
      </x:c>
      <x:c r="AD1215" s="21" t="n">
        <x:f>IF(E1215="",MEDIAN($E$2:$E$2237),E1215)</x:f>
        <x:v>61559</x:v>
      </x:c>
      <x:c r="AE1215" s="17" t="n">
        <x:f>2014-B1215</x:f>
        <x:v>49</x:v>
      </x:c>
      <x:c r="AF1215" s="17" t="n">
        <x:f>F1215+G1215</x:f>
        <x:v>1</x:v>
      </x:c>
      <x:c r="AG1215" s="21" t="n">
        <x:f>SUM(J1215:O1215)</x:f>
        <x:v>530</x:v>
      </x:c>
      <x:c r="AH1215" s="17" t="n">
        <x:f>SUM(Q1215:S1215)</x:f>
        <x:v>16</x:v>
      </x:c>
      <x:c r="AI1215" s="17" t="n">
        <x:f>SUM(U1215:Y1215)</x:f>
        <x:v>0</x:v>
      </x:c>
      <x:c r="AJ1215" s="17" t="str">
        <x:f>IF(AE1215&lt;=34,"≤34",IF(AE1215&lt;=44,"35–44",IF(AE1215&lt;=54,"45–54",IF(AE1215&lt;=64,"55–64","65+"))))</x:f>
        <x:v>45–54</x:v>
      </x:c>
      <x:c r="AK1215" s="17" t="str">
        <x:f>IF(AG1215&gt;=1000,"High Value",IF(AG1215&gt;=300,"Mid Value","Low Value"))</x:f>
        <x:v>Mid Value</x:v>
      </x:c>
      <x:c r="AL1215" s="17" t="str">
        <x:f>IF(AND(AI1215&gt;=1,I1215&lt;=50),"Priority 1",IF(AND(AG1215&gt;=1000,I1215&lt;=60),"Priority 2",IF(I1215&lt;=30,"Priority 3","Nurture")))</x:f>
        <x:v>Priority 3</x:v>
      </x:c>
    </x:row>
    <x:row r="1216">
      <x:c r="A1216" s="16" t="n">
        <x:v>8876</x:v>
      </x:c>
      <x:c r="B1216" s="16" t="n">
        <x:v>1963</x:v>
      </x:c>
      <x:c r="C1216" s="16" t="str">
        <x:v>PhD</x:v>
      </x:c>
      <x:c r="D1216" s="16" t="str">
        <x:v>Together</x:v>
      </x:c>
      <x:c r="E1216" s="16" t="n">
        <x:v>33629</x:v>
      </x:c>
      <x:c r="F1216" s="16" t="n">
        <x:v>1</x:v>
      </x:c>
      <x:c r="G1216" s="16" t="n">
        <x:v>1</x:v>
      </x:c>
      <x:c r="H1216" s="16" t="str">
        <x:v>08-08-2012</x:v>
      </x:c>
      <x:c r="I1216" s="16" t="n">
        <x:v>49</x:v>
      </x:c>
      <x:c r="J1216" s="16" t="n">
        <x:v>132</x:v>
      </x:c>
      <x:c r="K1216" s="16" t="n">
        <x:v>0</x:v>
      </x:c>
      <x:c r="L1216" s="16" t="n">
        <x:v>16</x:v>
      </x:c>
      <x:c r="M1216" s="16" t="n">
        <x:v>0</x:v>
      </x:c>
      <x:c r="N1216" s="16" t="n">
        <x:v>0</x:v>
      </x:c>
      <x:c r="O1216" s="16" t="n">
        <x:v>4</x:v>
      </x:c>
      <x:c r="P1216" s="16" t="n">
        <x:v>5</x:v>
      </x:c>
      <x:c r="Q1216" s="16" t="n">
        <x:v>3</x:v>
      </x:c>
      <x:c r="R1216" s="16" t="n">
        <x:v>1</x:v>
      </x:c>
      <x:c r="S1216" s="16" t="n">
        <x:v>4</x:v>
      </x:c>
      <x:c r="T1216" s="16" t="n">
        <x:v>9</x:v>
      </x:c>
      <x:c r="U1216" s="16" t="n">
        <x:v>0</x:v>
      </x:c>
      <x:c r="V1216" s="16" t="n">
        <x:v>0</x:v>
      </x:c>
      <x:c r="W1216" s="16" t="n">
        <x:v>0</x:v>
      </x:c>
      <x:c r="X1216" s="16" t="n">
        <x:v>0</x:v>
      </x:c>
      <x:c r="Y1216" s="16" t="n">
        <x:v>0</x:v>
      </x:c>
      <x:c r="Z1216" s="16" t="n">
        <x:v>0</x:v>
      </x:c>
      <x:c r="AA1216" s="16" t="n">
        <x:v>3</x:v>
      </x:c>
      <x:c r="AB1216" s="16" t="n">
        <x:v>11</x:v>
      </x:c>
      <x:c r="AC1216" s="16" t="n">
        <x:v>0</x:v>
      </x:c>
      <x:c r="AD1216" s="21" t="n">
        <x:f>IF(E1216="",MEDIAN($E$2:$E$2237),E1216)</x:f>
        <x:v>33629</x:v>
      </x:c>
      <x:c r="AE1216" s="17" t="n">
        <x:f>2014-B1216</x:f>
        <x:v>51</x:v>
      </x:c>
      <x:c r="AF1216" s="17" t="n">
        <x:f>F1216+G1216</x:f>
        <x:v>2</x:v>
      </x:c>
      <x:c r="AG1216" s="21" t="n">
        <x:f>SUM(J1216:O1216)</x:f>
        <x:v>152</x:v>
      </x:c>
      <x:c r="AH1216" s="17" t="n">
        <x:f>SUM(Q1216:S1216)</x:f>
        <x:v>8</x:v>
      </x:c>
      <x:c r="AI1216" s="17" t="n">
        <x:f>SUM(U1216:Y1216)</x:f>
        <x:v>0</x:v>
      </x:c>
      <x:c r="AJ1216" s="17" t="str">
        <x:f>IF(AE1216&lt;=34,"≤34",IF(AE1216&lt;=44,"35–44",IF(AE1216&lt;=54,"45–54",IF(AE1216&lt;=64,"55–64","65+"))))</x:f>
        <x:v>45–54</x:v>
      </x:c>
      <x:c r="AK1216" s="17" t="str">
        <x:f>IF(AG1216&gt;=1000,"High Value",IF(AG1216&gt;=300,"Mid Value","Low Value"))</x:f>
        <x:v>Low Value</x:v>
      </x:c>
      <x:c r="AL1216" s="17" t="str">
        <x:f>IF(AND(AI1216&gt;=1,I1216&lt;=50),"Priority 1",IF(AND(AG1216&gt;=1000,I1216&lt;=60),"Priority 2",IF(I1216&lt;=30,"Priority 3","Nurture")))</x:f>
        <x:v>Nurture</x:v>
      </x:c>
    </x:row>
    <x:row r="1217">
      <x:c r="A1217" s="16" t="n">
        <x:v>4500</x:v>
      </x:c>
      <x:c r="B1217" s="16" t="n">
        <x:v>1991</x:v>
      </x:c>
      <x:c r="C1217" s="16" t="str">
        <x:v>PhD</x:v>
      </x:c>
      <x:c r="D1217" s="16" t="str">
        <x:v>Together</x:v>
      </x:c>
      <x:c r="E1217" s="16" t="n">
        <x:v>68682</x:v>
      </x:c>
      <x:c r="F1217" s="16" t="n">
        <x:v>0</x:v>
      </x:c>
      <x:c r="G1217" s="16" t="n">
        <x:v>0</x:v>
      </x:c>
      <x:c r="H1217" s="16" t="str">
        <x:v>06-10-2013</x:v>
      </x:c>
      <x:c r="I1217" s="16" t="n">
        <x:v>56</x:v>
      </x:c>
      <x:c r="J1217" s="16" t="n">
        <x:v>919</x:v>
      </x:c>
      <x:c r="K1217" s="16" t="n">
        <x:v>0</x:v>
      </x:c>
      <x:c r="L1217" s="16" t="n">
        <x:v>505</x:v>
      </x:c>
      <x:c r="M1217" s="16" t="n">
        <x:v>99</x:v>
      </x:c>
      <x:c r="N1217" s="16" t="n">
        <x:v>30</x:v>
      </x:c>
      <x:c r="O1217" s="16" t="n">
        <x:v>45</x:v>
      </x:c>
      <x:c r="P1217" s="16" t="n">
        <x:v>1</x:v>
      </x:c>
      <x:c r="Q1217" s="16" t="n">
        <x:v>4</x:v>
      </x:c>
      <x:c r="R1217" s="16" t="n">
        <x:v>9</x:v>
      </x:c>
      <x:c r="S1217" s="16" t="n">
        <x:v>10</x:v>
      </x:c>
      <x:c r="T1217" s="16" t="n">
        <x:v>2</x:v>
      </x:c>
      <x:c r="U1217" s="16" t="n">
        <x:v>0</x:v>
      </x:c>
      <x:c r="V1217" s="16" t="n">
        <x:v>0</x:v>
      </x:c>
      <x:c r="W1217" s="16" t="n">
        <x:v>0</x:v>
      </x:c>
      <x:c r="X1217" s="16" t="n">
        <x:v>0</x:v>
      </x:c>
      <x:c r="Y1217" s="16" t="n">
        <x:v>0</x:v>
      </x:c>
      <x:c r="Z1217" s="16" t="n">
        <x:v>0</x:v>
      </x:c>
      <x:c r="AA1217" s="16" t="n">
        <x:v>3</x:v>
      </x:c>
      <x:c r="AB1217" s="16" t="n">
        <x:v>11</x:v>
      </x:c>
      <x:c r="AC1217" s="16" t="n">
        <x:v>0</x:v>
      </x:c>
      <x:c r="AD1217" s="21" t="n">
        <x:f>IF(E1217="",MEDIAN($E$2:$E$2237),E1217)</x:f>
        <x:v>68682</x:v>
      </x:c>
      <x:c r="AE1217" s="17" t="n">
        <x:f>2014-B1217</x:f>
        <x:v>23</x:v>
      </x:c>
      <x:c r="AF1217" s="17" t="n">
        <x:f>F1217+G1217</x:f>
        <x:v>0</x:v>
      </x:c>
      <x:c r="AG1217" s="21" t="n">
        <x:f>SUM(J1217:O1217)</x:f>
        <x:v>1598</x:v>
      </x:c>
      <x:c r="AH1217" s="17" t="n">
        <x:f>SUM(Q1217:S1217)</x:f>
        <x:v>23</x:v>
      </x:c>
      <x:c r="AI1217" s="17" t="n">
        <x:f>SUM(U1217:Y1217)</x:f>
        <x:v>0</x:v>
      </x:c>
      <x:c r="AJ1217" s="17" t="str">
        <x:f>IF(AE1217&lt;=34,"≤34",IF(AE1217&lt;=44,"35–44",IF(AE1217&lt;=54,"45–54",IF(AE1217&lt;=64,"55–64","65+"))))</x:f>
        <x:v>≤34</x:v>
      </x:c>
      <x:c r="AK1217" s="17" t="str">
        <x:f>IF(AG1217&gt;=1000,"High Value",IF(AG1217&gt;=300,"Mid Value","Low Value"))</x:f>
        <x:v>High Value</x:v>
      </x:c>
      <x:c r="AL1217" s="17" t="str">
        <x:f>IF(AND(AI1217&gt;=1,I1217&lt;=50),"Priority 1",IF(AND(AG1217&gt;=1000,I1217&lt;=60),"Priority 2",IF(I1217&lt;=30,"Priority 3","Nurture")))</x:f>
        <x:v>Priority 2</x:v>
      </x:c>
    </x:row>
    <x:row r="1218">
      <x:c r="A1218" s="16" t="n">
        <x:v>9739</x:v>
      </x:c>
      <x:c r="B1218" s="16" t="n">
        <x:v>1963</x:v>
      </x:c>
      <x:c r="C1218" s="16" t="str">
        <x:v>Graduation</x:v>
      </x:c>
      <x:c r="D1218" s="16" t="str">
        <x:v>Single</x:v>
      </x:c>
      <x:c r="E1218" s="16" t="n">
        <x:v>34377</x:v>
      </x:c>
      <x:c r="F1218" s="16" t="n">
        <x:v>0</x:v>
      </x:c>
      <x:c r="G1218" s="16" t="n">
        <x:v>1</x:v>
      </x:c>
      <x:c r="H1218" s="16" t="str">
        <x:v>19-01-2013</x:v>
      </x:c>
      <x:c r="I1218" s="16" t="n">
        <x:v>55</x:v>
      </x:c>
      <x:c r="J1218" s="16" t="n">
        <x:v>62</x:v>
      </x:c>
      <x:c r="K1218" s="16" t="n">
        <x:v>0</x:v>
      </x:c>
      <x:c r="L1218" s="16" t="n">
        <x:v>22</x:v>
      </x:c>
      <x:c r="M1218" s="16" t="n">
        <x:v>3</x:v>
      </x:c>
      <x:c r="N1218" s="16" t="n">
        <x:v>1</x:v>
      </x:c>
      <x:c r="O1218" s="16" t="n">
        <x:v>26</x:v>
      </x:c>
      <x:c r="P1218" s="16" t="n">
        <x:v>2</x:v>
      </x:c>
      <x:c r="Q1218" s="16" t="n">
        <x:v>2</x:v>
      </x:c>
      <x:c r="R1218" s="16" t="n">
        <x:v>2</x:v>
      </x:c>
      <x:c r="S1218" s="16" t="n">
        <x:v>2</x:v>
      </x:c>
      <x:c r="T1218" s="16" t="n">
        <x:v>7</x:v>
      </x:c>
      <x:c r="U1218" s="16" t="n">
        <x:v>0</x:v>
      </x:c>
      <x:c r="V1218" s="16" t="n">
        <x:v>0</x:v>
      </x:c>
      <x:c r="W1218" s="16" t="n">
        <x:v>0</x:v>
      </x:c>
      <x:c r="X1218" s="16" t="n">
        <x:v>0</x:v>
      </x:c>
      <x:c r="Y1218" s="16" t="n">
        <x:v>0</x:v>
      </x:c>
      <x:c r="Z1218" s="16" t="n">
        <x:v>0</x:v>
      </x:c>
      <x:c r="AA1218" s="16" t="n">
        <x:v>3</x:v>
      </x:c>
      <x:c r="AB1218" s="16" t="n">
        <x:v>11</x:v>
      </x:c>
      <x:c r="AC1218" s="16" t="n">
        <x:v>0</x:v>
      </x:c>
      <x:c r="AD1218" s="21" t="n">
        <x:f>IF(E1218="",MEDIAN($E$2:$E$2237),E1218)</x:f>
        <x:v>34377</x:v>
      </x:c>
      <x:c r="AE1218" s="17" t="n">
        <x:f>2014-B1218</x:f>
        <x:v>51</x:v>
      </x:c>
      <x:c r="AF1218" s="17" t="n">
        <x:f>F1218+G1218</x:f>
        <x:v>1</x:v>
      </x:c>
      <x:c r="AG1218" s="21" t="n">
        <x:f>SUM(J1218:O1218)</x:f>
        <x:v>114</x:v>
      </x:c>
      <x:c r="AH1218" s="17" t="n">
        <x:f>SUM(Q1218:S1218)</x:f>
        <x:v>6</x:v>
      </x:c>
      <x:c r="AI1218" s="17" t="n">
        <x:f>SUM(U1218:Y1218)</x:f>
        <x:v>0</x:v>
      </x:c>
      <x:c r="AJ1218" s="17" t="str">
        <x:f>IF(AE1218&lt;=34,"≤34",IF(AE1218&lt;=44,"35–44",IF(AE1218&lt;=54,"45–54",IF(AE1218&lt;=64,"55–64","65+"))))</x:f>
        <x:v>45–54</x:v>
      </x:c>
      <x:c r="AK1218" s="17" t="str">
        <x:f>IF(AG1218&gt;=1000,"High Value",IF(AG1218&gt;=300,"Mid Value","Low Value"))</x:f>
        <x:v>Low Value</x:v>
      </x:c>
      <x:c r="AL1218" s="17" t="str">
        <x:f>IF(AND(AI1218&gt;=1,I1218&lt;=50),"Priority 1",IF(AND(AG1218&gt;=1000,I1218&lt;=60),"Priority 2",IF(I1218&lt;=30,"Priority 3","Nurture")))</x:f>
        <x:v>Nurture</x:v>
      </x:c>
    </x:row>
    <x:row r="1219">
      <x:c r="A1219" s="16" t="n">
        <x:v>10395</x:v>
      </x:c>
      <x:c r="B1219" s="16" t="n">
        <x:v>1986</x:v>
      </x:c>
      <x:c r="C1219" s="16" t="str">
        <x:v>Basic</x:v>
      </x:c>
      <x:c r="D1219" s="16" t="str">
        <x:v>Single</x:v>
      </x:c>
      <x:c r="E1219" s="16" t="n">
        <x:v>8940</x:v>
      </x:c>
      <x:c r="F1219" s="16" t="n">
        <x:v>1</x:v>
      </x:c>
      <x:c r="G1219" s="16" t="n">
        <x:v>0</x:v>
      </x:c>
      <x:c r="H1219" s="16" t="str">
        <x:v>22-08-2012</x:v>
      </x:c>
      <x:c r="I1219" s="16" t="n">
        <x:v>25</x:v>
      </x:c>
      <x:c r="J1219" s="16" t="n">
        <x:v>1</x:v>
      </x:c>
      <x:c r="K1219" s="16" t="n">
        <x:v>45</x:v>
      </x:c>
      <x:c r="L1219" s="16" t="n">
        <x:v>3</x:v>
      </x:c>
      <x:c r="M1219" s="16" t="n">
        <x:v>4</x:v>
      </x:c>
      <x:c r="N1219" s="16" t="n">
        <x:v>6</x:v>
      </x:c>
      <x:c r="O1219" s="16" t="n">
        <x:v>42</x:v>
      </x:c>
      <x:c r="P1219" s="16" t="n">
        <x:v>3</x:v>
      </x:c>
      <x:c r="Q1219" s="16" t="n">
        <x:v>3</x:v>
      </x:c>
      <x:c r="R1219" s="16" t="n">
        <x:v>1</x:v>
      </x:c>
      <x:c r="S1219" s="16" t="n">
        <x:v>3</x:v>
      </x:c>
      <x:c r="T1219" s="16" t="n">
        <x:v>8</x:v>
      </x:c>
      <x:c r="U1219" s="16" t="n">
        <x:v>0</x:v>
      </x:c>
      <x:c r="V1219" s="16" t="n">
        <x:v>0</x:v>
      </x:c>
      <x:c r="W1219" s="16" t="n">
        <x:v>0</x:v>
      </x:c>
      <x:c r="X1219" s="16" t="n">
        <x:v>0</x:v>
      </x:c>
      <x:c r="Y1219" s="16" t="n">
        <x:v>0</x:v>
      </x:c>
      <x:c r="Z1219" s="16" t="n">
        <x:v>0</x:v>
      </x:c>
      <x:c r="AA1219" s="16" t="n">
        <x:v>3</x:v>
      </x:c>
      <x:c r="AB1219" s="16" t="n">
        <x:v>11</x:v>
      </x:c>
      <x:c r="AC1219" s="16" t="n">
        <x:v>0</x:v>
      </x:c>
      <x:c r="AD1219" s="21" t="n">
        <x:f>IF(E1219="",MEDIAN($E$2:$E$2237),E1219)</x:f>
        <x:v>8940</x:v>
      </x:c>
      <x:c r="AE1219" s="17" t="n">
        <x:f>2014-B1219</x:f>
        <x:v>28</x:v>
      </x:c>
      <x:c r="AF1219" s="17" t="n">
        <x:f>F1219+G1219</x:f>
        <x:v>1</x:v>
      </x:c>
      <x:c r="AG1219" s="21" t="n">
        <x:f>SUM(J1219:O1219)</x:f>
        <x:v>101</x:v>
      </x:c>
      <x:c r="AH1219" s="17" t="n">
        <x:f>SUM(Q1219:S1219)</x:f>
        <x:v>7</x:v>
      </x:c>
      <x:c r="AI1219" s="17" t="n">
        <x:f>SUM(U1219:Y1219)</x:f>
        <x:v>0</x:v>
      </x:c>
      <x:c r="AJ1219" s="17" t="str">
        <x:f>IF(AE1219&lt;=34,"≤34",IF(AE1219&lt;=44,"35–44",IF(AE1219&lt;=54,"45–54",IF(AE1219&lt;=64,"55–64","65+"))))</x:f>
        <x:v>≤34</x:v>
      </x:c>
      <x:c r="AK1219" s="17" t="str">
        <x:f>IF(AG1219&gt;=1000,"High Value",IF(AG1219&gt;=300,"Mid Value","Low Value"))</x:f>
        <x:v>Low Value</x:v>
      </x:c>
      <x:c r="AL1219" s="17" t="str">
        <x:f>IF(AND(AI1219&gt;=1,I1219&lt;=50),"Priority 1",IF(AND(AG1219&gt;=1000,I1219&lt;=60),"Priority 2",IF(I1219&lt;=30,"Priority 3","Nurture")))</x:f>
        <x:v>Priority 3</x:v>
      </x:c>
    </x:row>
    <x:row r="1220">
      <x:c r="A1220" s="16" t="n">
        <x:v>1176</x:v>
      </x:c>
      <x:c r="B1220" s="16" t="n">
        <x:v>1973</x:v>
      </x:c>
      <x:c r="C1220" s="16" t="str">
        <x:v>Graduation</x:v>
      </x:c>
      <x:c r="D1220" s="16" t="str">
        <x:v>Married</x:v>
      </x:c>
      <x:c r="E1220" s="16" t="n">
        <x:v>26228</x:v>
      </x:c>
      <x:c r="F1220" s="16" t="n">
        <x:v>1</x:v>
      </x:c>
      <x:c r="G1220" s="16" t="n">
        <x:v>0</x:v>
      </x:c>
      <x:c r="H1220" s="16" t="str">
        <x:v>22-09-2013</x:v>
      </x:c>
      <x:c r="I1220" s="16" t="n">
        <x:v>50</x:v>
      </x:c>
      <x:c r="J1220" s="16" t="n">
        <x:v>2</x:v>
      </x:c>
      <x:c r="K1220" s="16" t="n">
        <x:v>6</x:v>
      </x:c>
      <x:c r="L1220" s="16" t="n">
        <x:v>4</x:v>
      </x:c>
      <x:c r="M1220" s="16" t="n">
        <x:v>3</x:v>
      </x:c>
      <x:c r="N1220" s="16" t="n">
        <x:v>1</x:v>
      </x:c>
      <x:c r="O1220" s="16" t="n">
        <x:v>9</x:v>
      </x:c>
      <x:c r="P1220" s="16" t="n">
        <x:v>1</x:v>
      </x:c>
      <x:c r="Q1220" s="16" t="n">
        <x:v>1</x:v>
      </x:c>
      <x:c r="R1220" s="16" t="n">
        <x:v>0</x:v>
      </x:c>
      <x:c r="S1220" s="16" t="n">
        <x:v>2</x:v>
      </x:c>
      <x:c r="T1220" s="16" t="n">
        <x:v>8</x:v>
      </x:c>
      <x:c r="U1220" s="16" t="n">
        <x:v>0</x:v>
      </x:c>
      <x:c r="V1220" s="16" t="n">
        <x:v>0</x:v>
      </x:c>
      <x:c r="W1220" s="16" t="n">
        <x:v>0</x:v>
      </x:c>
      <x:c r="X1220" s="16" t="n">
        <x:v>0</x:v>
      </x:c>
      <x:c r="Y1220" s="16" t="n">
        <x:v>0</x:v>
      </x:c>
      <x:c r="Z1220" s="16" t="n">
        <x:v>0</x:v>
      </x:c>
      <x:c r="AA1220" s="16" t="n">
        <x:v>3</x:v>
      </x:c>
      <x:c r="AB1220" s="16" t="n">
        <x:v>11</x:v>
      </x:c>
      <x:c r="AC1220" s="16" t="n">
        <x:v>0</x:v>
      </x:c>
      <x:c r="AD1220" s="21" t="n">
        <x:f>IF(E1220="",MEDIAN($E$2:$E$2237),E1220)</x:f>
        <x:v>26228</x:v>
      </x:c>
      <x:c r="AE1220" s="17" t="n">
        <x:f>2014-B1220</x:f>
        <x:v>41</x:v>
      </x:c>
      <x:c r="AF1220" s="17" t="n">
        <x:f>F1220+G1220</x:f>
        <x:v>1</x:v>
      </x:c>
      <x:c r="AG1220" s="21" t="n">
        <x:f>SUM(J1220:O1220)</x:f>
        <x:v>25</x:v>
      </x:c>
      <x:c r="AH1220" s="17" t="n">
        <x:f>SUM(Q1220:S1220)</x:f>
        <x:v>3</x:v>
      </x:c>
      <x:c r="AI1220" s="17" t="n">
        <x:f>SUM(U1220:Y1220)</x:f>
        <x:v>0</x:v>
      </x:c>
      <x:c r="AJ1220" s="17" t="str">
        <x:f>IF(AE1220&lt;=34,"≤34",IF(AE1220&lt;=44,"35–44",IF(AE1220&lt;=54,"45–54",IF(AE1220&lt;=64,"55–64","65+"))))</x:f>
        <x:v>35–44</x:v>
      </x:c>
      <x:c r="AK1220" s="17" t="str">
        <x:f>IF(AG1220&gt;=1000,"High Value",IF(AG1220&gt;=300,"Mid Value","Low Value"))</x:f>
        <x:v>Low Value</x:v>
      </x:c>
      <x:c r="AL1220" s="17" t="str">
        <x:f>IF(AND(AI1220&gt;=1,I1220&lt;=50),"Priority 1",IF(AND(AG1220&gt;=1000,I1220&lt;=60),"Priority 2",IF(I1220&lt;=30,"Priority 3","Nurture")))</x:f>
        <x:v>Nurture</x:v>
      </x:c>
    </x:row>
    <x:row r="1221">
      <x:c r="A1221" s="16" t="n">
        <x:v>1627</x:v>
      </x:c>
      <x:c r="B1221" s="16" t="n">
        <x:v>1957</x:v>
      </x:c>
      <x:c r="C1221" s="16" t="str">
        <x:v>2n Cycle</x:v>
      </x:c>
      <x:c r="D1221" s="16" t="str">
        <x:v>Divorced</x:v>
      </x:c>
      <x:c r="E1221" s="16" t="n">
        <x:v>77297</x:v>
      </x:c>
      <x:c r="F1221" s="16" t="n">
        <x:v>0</x:v>
      </x:c>
      <x:c r="G1221" s="16" t="n">
        <x:v>0</x:v>
      </x:c>
      <x:c r="H1221" s="16" t="str">
        <x:v>26-01-2013</x:v>
      </x:c>
      <x:c r="I1221" s="16" t="n">
        <x:v>84</x:v>
      </x:c>
      <x:c r="J1221" s="16" t="n">
        <x:v>408</x:v>
      </x:c>
      <x:c r="K1221" s="16" t="n">
        <x:v>61</x:v>
      </x:c>
      <x:c r="L1221" s="16" t="n">
        <x:v>109</x:v>
      </x:c>
      <x:c r="M1221" s="16" t="n">
        <x:v>48</x:v>
      </x:c>
      <x:c r="N1221" s="16" t="n">
        <x:v>122</x:v>
      </x:c>
      <x:c r="O1221" s="16" t="n">
        <x:v>41</x:v>
      </x:c>
      <x:c r="P1221" s="16" t="n">
        <x:v>1</x:v>
      </x:c>
      <x:c r="Q1221" s="16" t="n">
        <x:v>5</x:v>
      </x:c>
      <x:c r="R1221" s="16" t="n">
        <x:v>7</x:v>
      </x:c>
      <x:c r="S1221" s="16" t="n">
        <x:v>9</x:v>
      </x:c>
      <x:c r="T1221" s="16" t="n">
        <x:v>4</x:v>
      </x:c>
      <x:c r="U1221" s="16" t="n">
        <x:v>0</x:v>
      </x:c>
      <x:c r="V1221" s="16" t="n">
        <x:v>0</x:v>
      </x:c>
      <x:c r="W1221" s="16" t="n">
        <x:v>0</x:v>
      </x:c>
      <x:c r="X1221" s="16" t="n">
        <x:v>1</x:v>
      </x:c>
      <x:c r="Y1221" s="16" t="n">
        <x:v>0</x:v>
      </x:c>
      <x:c r="Z1221" s="16" t="n">
        <x:v>0</x:v>
      </x:c>
      <x:c r="AA1221" s="16" t="n">
        <x:v>3</x:v>
      </x:c>
      <x:c r="AB1221" s="16" t="n">
        <x:v>11</x:v>
      </x:c>
      <x:c r="AC1221" s="16" t="n">
        <x:v>0</x:v>
      </x:c>
      <x:c r="AD1221" s="21" t="n">
        <x:f>IF(E1221="",MEDIAN($E$2:$E$2237),E1221)</x:f>
        <x:v>77297</x:v>
      </x:c>
      <x:c r="AE1221" s="17" t="n">
        <x:f>2014-B1221</x:f>
        <x:v>57</x:v>
      </x:c>
      <x:c r="AF1221" s="17" t="n">
        <x:f>F1221+G1221</x:f>
        <x:v>0</x:v>
      </x:c>
      <x:c r="AG1221" s="21" t="n">
        <x:f>SUM(J1221:O1221)</x:f>
        <x:v>789</x:v>
      </x:c>
      <x:c r="AH1221" s="17" t="n">
        <x:f>SUM(Q1221:S1221)</x:f>
        <x:v>21</x:v>
      </x:c>
      <x:c r="AI1221" s="17" t="n">
        <x:f>SUM(U1221:Y1221)</x:f>
        <x:v>1</x:v>
      </x:c>
      <x:c r="AJ1221" s="17" t="str">
        <x:f>IF(AE1221&lt;=34,"≤34",IF(AE1221&lt;=44,"35–44",IF(AE1221&lt;=54,"45–54",IF(AE1221&lt;=64,"55–64","65+"))))</x:f>
        <x:v>55–64</x:v>
      </x:c>
      <x:c r="AK1221" s="17" t="str">
        <x:f>IF(AG1221&gt;=1000,"High Value",IF(AG1221&gt;=300,"Mid Value","Low Value"))</x:f>
        <x:v>Mid Value</x:v>
      </x:c>
      <x:c r="AL1221" s="17" t="str">
        <x:f>IF(AND(AI1221&gt;=1,I1221&lt;=50),"Priority 1",IF(AND(AG1221&gt;=1000,I1221&lt;=60),"Priority 2",IF(I1221&lt;=30,"Priority 3","Nurture")))</x:f>
        <x:v>Nurture</x:v>
      </x:c>
    </x:row>
    <x:row r="1222">
      <x:c r="A1222" s="16" t="n">
        <x:v>938</x:v>
      </x:c>
      <x:c r="B1222" s="16" t="n">
        <x:v>1981</x:v>
      </x:c>
      <x:c r="C1222" s="16" t="str">
        <x:v>Graduation</x:v>
      </x:c>
      <x:c r="D1222" s="16" t="str">
        <x:v>Married</x:v>
      </x:c>
      <x:c r="E1222" s="16" t="n">
        <x:v>40211</x:v>
      </x:c>
      <x:c r="F1222" s="16" t="n">
        <x:v>1</x:v>
      </x:c>
      <x:c r="G1222" s="16" t="n">
        <x:v>1</x:v>
      </x:c>
      <x:c r="H1222" s="16" t="str">
        <x:v>30-07-2013</x:v>
      </x:c>
      <x:c r="I1222" s="16" t="n">
        <x:v>30</x:v>
      </x:c>
      <x:c r="J1222" s="16" t="n">
        <x:v>51</x:v>
      </x:c>
      <x:c r="K1222" s="16" t="n">
        <x:v>1</x:v>
      </x:c>
      <x:c r="L1222" s="16" t="n">
        <x:v>7</x:v>
      </x:c>
      <x:c r="M1222" s="16" t="n">
        <x:v>2</x:v>
      </x:c>
      <x:c r="N1222" s="16" t="n">
        <x:v>1</x:v>
      </x:c>
      <x:c r="O1222" s="16" t="n">
        <x:v>25</x:v>
      </x:c>
      <x:c r="P1222" s="16" t="n">
        <x:v>2</x:v>
      </x:c>
      <x:c r="Q1222" s="16" t="n">
        <x:v>2</x:v>
      </x:c>
      <x:c r="R1222" s="16" t="n">
        <x:v>1</x:v>
      </x:c>
      <x:c r="S1222" s="16" t="n">
        <x:v>2</x:v>
      </x:c>
      <x:c r="T1222" s="16" t="n">
        <x:v>8</x:v>
      </x:c>
      <x:c r="U1222" s="16" t="n">
        <x:v>1</x:v>
      </x:c>
      <x:c r="V1222" s="16" t="n">
        <x:v>0</x:v>
      </x:c>
      <x:c r="W1222" s="16" t="n">
        <x:v>0</x:v>
      </x:c>
      <x:c r="X1222" s="16" t="n">
        <x:v>0</x:v>
      </x:c>
      <x:c r="Y1222" s="16" t="n">
        <x:v>0</x:v>
      </x:c>
      <x:c r="Z1222" s="16" t="n">
        <x:v>0</x:v>
      </x:c>
      <x:c r="AA1222" s="16" t="n">
        <x:v>3</x:v>
      </x:c>
      <x:c r="AB1222" s="16" t="n">
        <x:v>11</x:v>
      </x:c>
      <x:c r="AC1222" s="16" t="n">
        <x:v>0</x:v>
      </x:c>
      <x:c r="AD1222" s="21" t="n">
        <x:f>IF(E1222="",MEDIAN($E$2:$E$2237),E1222)</x:f>
        <x:v>40211</x:v>
      </x:c>
      <x:c r="AE1222" s="17" t="n">
        <x:f>2014-B1222</x:f>
        <x:v>33</x:v>
      </x:c>
      <x:c r="AF1222" s="17" t="n">
        <x:f>F1222+G1222</x:f>
        <x:v>2</x:v>
      </x:c>
      <x:c r="AG1222" s="21" t="n">
        <x:f>SUM(J1222:O1222)</x:f>
        <x:v>87</x:v>
      </x:c>
      <x:c r="AH1222" s="17" t="n">
        <x:f>SUM(Q1222:S1222)</x:f>
        <x:v>5</x:v>
      </x:c>
      <x:c r="AI1222" s="17" t="n">
        <x:f>SUM(U1222:Y1222)</x:f>
        <x:v>1</x:v>
      </x:c>
      <x:c r="AJ1222" s="17" t="str">
        <x:f>IF(AE1222&lt;=34,"≤34",IF(AE1222&lt;=44,"35–44",IF(AE1222&lt;=54,"45–54",IF(AE1222&lt;=64,"55–64","65+"))))</x:f>
        <x:v>≤34</x:v>
      </x:c>
      <x:c r="AK1222" s="17" t="str">
        <x:f>IF(AG1222&gt;=1000,"High Value",IF(AG1222&gt;=300,"Mid Value","Low Value"))</x:f>
        <x:v>Low Value</x:v>
      </x:c>
      <x:c r="AL1222" s="17" t="str">
        <x:f>IF(AND(AI1222&gt;=1,I1222&lt;=50),"Priority 1",IF(AND(AG1222&gt;=1000,I1222&lt;=60),"Priority 2",IF(I1222&lt;=30,"Priority 3","Nurture")))</x:f>
        <x:v>Priority 1</x:v>
      </x:c>
    </x:row>
    <x:row r="1223">
      <x:c r="A1223" s="16" t="n">
        <x:v>2740</x:v>
      </x:c>
      <x:c r="B1223" s="16" t="n">
        <x:v>1958</x:v>
      </x:c>
      <x:c r="C1223" s="16" t="str">
        <x:v>PhD</x:v>
      </x:c>
      <x:c r="D1223" s="16" t="str">
        <x:v>Widow</x:v>
      </x:c>
      <x:c r="E1223" s="16" t="n">
        <x:v>33438</x:v>
      </x:c>
      <x:c r="F1223" s="16" t="n">
        <x:v>1</x:v>
      </x:c>
      <x:c r="G1223" s="16" t="n">
        <x:v>1</x:v>
      </x:c>
      <x:c r="H1223" s="16" t="str">
        <x:v>22-09-2013</x:v>
      </x:c>
      <x:c r="I1223" s="16" t="n">
        <x:v>81</x:v>
      </x:c>
      <x:c r="J1223" s="16" t="n">
        <x:v>62</x:v>
      </x:c>
      <x:c r="K1223" s="16" t="n">
        <x:v>1</x:v>
      </x:c>
      <x:c r="L1223" s="16" t="n">
        <x:v>16</x:v>
      </x:c>
      <x:c r="M1223" s="16" t="n">
        <x:v>3</x:v>
      </x:c>
      <x:c r="N1223" s="16" t="n">
        <x:v>2</x:v>
      </x:c>
      <x:c r="O1223" s="16" t="n">
        <x:v>6</x:v>
      </x:c>
      <x:c r="P1223" s="16" t="n">
        <x:v>4</x:v>
      </x:c>
      <x:c r="Q1223" s="16" t="n">
        <x:v>2</x:v>
      </x:c>
      <x:c r="R1223" s="16" t="n">
        <x:v>1</x:v>
      </x:c>
      <x:c r="S1223" s="16" t="n">
        <x:v>4</x:v>
      </x:c>
      <x:c r="T1223" s="16" t="n">
        <x:v>5</x:v>
      </x:c>
      <x:c r="U1223" s="16" t="n">
        <x:v>0</x:v>
      </x:c>
      <x:c r="V1223" s="16" t="n">
        <x:v>0</x:v>
      </x:c>
      <x:c r="W1223" s="16" t="n">
        <x:v>0</x:v>
      </x:c>
      <x:c r="X1223" s="16" t="n">
        <x:v>0</x:v>
      </x:c>
      <x:c r="Y1223" s="16" t="n">
        <x:v>0</x:v>
      </x:c>
      <x:c r="Z1223" s="16" t="n">
        <x:v>0</x:v>
      </x:c>
      <x:c r="AA1223" s="16" t="n">
        <x:v>3</x:v>
      </x:c>
      <x:c r="AB1223" s="16" t="n">
        <x:v>11</x:v>
      </x:c>
      <x:c r="AC1223" s="16" t="n">
        <x:v>0</x:v>
      </x:c>
      <x:c r="AD1223" s="21" t="n">
        <x:f>IF(E1223="",MEDIAN($E$2:$E$2237),E1223)</x:f>
        <x:v>33438</x:v>
      </x:c>
      <x:c r="AE1223" s="17" t="n">
        <x:f>2014-B1223</x:f>
        <x:v>56</x:v>
      </x:c>
      <x:c r="AF1223" s="17" t="n">
        <x:f>F1223+G1223</x:f>
        <x:v>2</x:v>
      </x:c>
      <x:c r="AG1223" s="21" t="n">
        <x:f>SUM(J1223:O1223)</x:f>
        <x:v>90</x:v>
      </x:c>
      <x:c r="AH1223" s="17" t="n">
        <x:f>SUM(Q1223:S1223)</x:f>
        <x:v>7</x:v>
      </x:c>
      <x:c r="AI1223" s="17" t="n">
        <x:f>SUM(U1223:Y1223)</x:f>
        <x:v>0</x:v>
      </x:c>
      <x:c r="AJ1223" s="17" t="str">
        <x:f>IF(AE1223&lt;=34,"≤34",IF(AE1223&lt;=44,"35–44",IF(AE1223&lt;=54,"45–54",IF(AE1223&lt;=64,"55–64","65+"))))</x:f>
        <x:v>55–64</x:v>
      </x:c>
      <x:c r="AK1223" s="17" t="str">
        <x:f>IF(AG1223&gt;=1000,"High Value",IF(AG1223&gt;=300,"Mid Value","Low Value"))</x:f>
        <x:v>Low Value</x:v>
      </x:c>
      <x:c r="AL1223" s="17" t="str">
        <x:f>IF(AND(AI1223&gt;=1,I1223&lt;=50),"Priority 1",IF(AND(AG1223&gt;=1000,I1223&lt;=60),"Priority 2",IF(I1223&lt;=30,"Priority 3","Nurture")))</x:f>
        <x:v>Nurture</x:v>
      </x:c>
    </x:row>
    <x:row r="1224">
      <x:c r="A1224" s="16" t="n">
        <x:v>257</x:v>
      </x:c>
      <x:c r="B1224" s="16" t="n">
        <x:v>1959</x:v>
      </x:c>
      <x:c r="C1224" s="16" t="str">
        <x:v>PhD</x:v>
      </x:c>
      <x:c r="D1224" s="16" t="str">
        <x:v>Married</x:v>
      </x:c>
      <x:c r="E1224" s="16" t="n">
        <x:v>75032</x:v>
      </x:c>
      <x:c r="F1224" s="16" t="n">
        <x:v>0</x:v>
      </x:c>
      <x:c r="G1224" s="16" t="n">
        <x:v>1</x:v>
      </x:c>
      <x:c r="H1224" s="16" t="str">
        <x:v>28-04-2013</x:v>
      </x:c>
      <x:c r="I1224" s="16" t="n">
        <x:v>74</x:v>
      </x:c>
      <x:c r="J1224" s="16" t="n">
        <x:v>952</x:v>
      </x:c>
      <x:c r="K1224" s="16" t="n">
        <x:v>12</x:v>
      </x:c>
      <x:c r="L1224" s="16" t="n">
        <x:v>180</x:v>
      </x:c>
      <x:c r="M1224" s="16" t="n">
        <x:v>47</x:v>
      </x:c>
      <x:c r="N1224" s="16" t="n">
        <x:v>12</x:v>
      </x:c>
      <x:c r="O1224" s="16" t="n">
        <x:v>12</x:v>
      </x:c>
      <x:c r="P1224" s="16" t="n">
        <x:v>2</x:v>
      </x:c>
      <x:c r="Q1224" s="16" t="n">
        <x:v>5</x:v>
      </x:c>
      <x:c r="R1224" s="16" t="n">
        <x:v>4</x:v>
      </x:c>
      <x:c r="S1224" s="16" t="n">
        <x:v>9</x:v>
      </x:c>
      <x:c r="T1224" s="16" t="n">
        <x:v>3</x:v>
      </x:c>
      <x:c r="U1224" s="16" t="n">
        <x:v>0</x:v>
      </x:c>
      <x:c r="V1224" s="16" t="n">
        <x:v>0</x:v>
      </x:c>
      <x:c r="W1224" s="16" t="n">
        <x:v>0</x:v>
      </x:c>
      <x:c r="X1224" s="16" t="n">
        <x:v>0</x:v>
      </x:c>
      <x:c r="Y1224" s="16" t="n">
        <x:v>0</x:v>
      </x:c>
      <x:c r="Z1224" s="16" t="n">
        <x:v>0</x:v>
      </x:c>
      <x:c r="AA1224" s="16" t="n">
        <x:v>3</x:v>
      </x:c>
      <x:c r="AB1224" s="16" t="n">
        <x:v>11</x:v>
      </x:c>
      <x:c r="AC1224" s="16" t="n">
        <x:v>0</x:v>
      </x:c>
      <x:c r="AD1224" s="21" t="n">
        <x:f>IF(E1224="",MEDIAN($E$2:$E$2237),E1224)</x:f>
        <x:v>75032</x:v>
      </x:c>
      <x:c r="AE1224" s="17" t="n">
        <x:f>2014-B1224</x:f>
        <x:v>55</x:v>
      </x:c>
      <x:c r="AF1224" s="17" t="n">
        <x:f>F1224+G1224</x:f>
        <x:v>1</x:v>
      </x:c>
      <x:c r="AG1224" s="21" t="n">
        <x:f>SUM(J1224:O1224)</x:f>
        <x:v>1215</x:v>
      </x:c>
      <x:c r="AH1224" s="17" t="n">
        <x:f>SUM(Q1224:S1224)</x:f>
        <x:v>18</x:v>
      </x:c>
      <x:c r="AI1224" s="17" t="n">
        <x:f>SUM(U1224:Y1224)</x:f>
        <x:v>0</x:v>
      </x:c>
      <x:c r="AJ1224" s="17" t="str">
        <x:f>IF(AE1224&lt;=34,"≤34",IF(AE1224&lt;=44,"35–44",IF(AE1224&lt;=54,"45–54",IF(AE1224&lt;=64,"55–64","65+"))))</x:f>
        <x:v>55–64</x:v>
      </x:c>
      <x:c r="AK1224" s="17" t="str">
        <x:f>IF(AG1224&gt;=1000,"High Value",IF(AG1224&gt;=300,"Mid Value","Low Value"))</x:f>
        <x:v>High Value</x:v>
      </x:c>
      <x:c r="AL1224" s="17" t="str">
        <x:f>IF(AND(AI1224&gt;=1,I1224&lt;=50),"Priority 1",IF(AND(AG1224&gt;=1000,I1224&lt;=60),"Priority 2",IF(I1224&lt;=30,"Priority 3","Nurture")))</x:f>
        <x:v>Nurture</x:v>
      </x:c>
    </x:row>
    <x:row r="1225">
      <x:c r="A1225" s="16" t="n">
        <x:v>4058</x:v>
      </x:c>
      <x:c r="B1225" s="16" t="n">
        <x:v>1955</x:v>
      </x:c>
      <x:c r="C1225" s="16" t="str">
        <x:v>PhD</x:v>
      </x:c>
      <x:c r="D1225" s="16" t="str">
        <x:v>Single</x:v>
      </x:c>
      <x:c r="E1225" s="16" t="n">
        <x:v>61284</x:v>
      </x:c>
      <x:c r="F1225" s="16" t="n">
        <x:v>0</x:v>
      </x:c>
      <x:c r="G1225" s="16" t="n">
        <x:v>0</x:v>
      </x:c>
      <x:c r="H1225" s="16" t="str">
        <x:v>12-10-2013</x:v>
      </x:c>
      <x:c r="I1225" s="16" t="n">
        <x:v>76</x:v>
      </x:c>
      <x:c r="J1225" s="16" t="n">
        <x:v>618</x:v>
      </x:c>
      <x:c r="K1225" s="16" t="n">
        <x:v>15</x:v>
      </x:c>
      <x:c r="L1225" s="16" t="n">
        <x:v>106</x:v>
      </x:c>
      <x:c r="M1225" s="16" t="n">
        <x:v>20</x:v>
      </x:c>
      <x:c r="N1225" s="16" t="n">
        <x:v>7</x:v>
      </x:c>
      <x:c r="O1225" s="16" t="n">
        <x:v>45</x:v>
      </x:c>
      <x:c r="P1225" s="16" t="n">
        <x:v>1</x:v>
      </x:c>
      <x:c r="Q1225" s="16" t="n">
        <x:v>11</x:v>
      </x:c>
      <x:c r="R1225" s="16" t="n">
        <x:v>2</x:v>
      </x:c>
      <x:c r="S1225" s="16" t="n">
        <x:v>8</x:v>
      </x:c>
      <x:c r="T1225" s="16" t="n">
        <x:v>6</x:v>
      </x:c>
      <x:c r="U1225" s="16" t="n">
        <x:v>0</x:v>
      </x:c>
      <x:c r="V1225" s="16" t="n">
        <x:v>1</x:v>
      </x:c>
      <x:c r="W1225" s="16" t="n">
        <x:v>0</x:v>
      </x:c>
      <x:c r="X1225" s="16" t="n">
        <x:v>0</x:v>
      </x:c>
      <x:c r="Y1225" s="16" t="n">
        <x:v>0</x:v>
      </x:c>
      <x:c r="Z1225" s="16" t="n">
        <x:v>0</x:v>
      </x:c>
      <x:c r="AA1225" s="16" t="n">
        <x:v>3</x:v>
      </x:c>
      <x:c r="AB1225" s="16" t="n">
        <x:v>11</x:v>
      </x:c>
      <x:c r="AC1225" s="16" t="n">
        <x:v>0</x:v>
      </x:c>
      <x:c r="AD1225" s="21" t="n">
        <x:f>IF(E1225="",MEDIAN($E$2:$E$2237),E1225)</x:f>
        <x:v>61284</x:v>
      </x:c>
      <x:c r="AE1225" s="17" t="n">
        <x:f>2014-B1225</x:f>
        <x:v>59</x:v>
      </x:c>
      <x:c r="AF1225" s="17" t="n">
        <x:f>F1225+G1225</x:f>
        <x:v>0</x:v>
      </x:c>
      <x:c r="AG1225" s="21" t="n">
        <x:f>SUM(J1225:O1225)</x:f>
        <x:v>811</x:v>
      </x:c>
      <x:c r="AH1225" s="17" t="n">
        <x:f>SUM(Q1225:S1225)</x:f>
        <x:v>21</x:v>
      </x:c>
      <x:c r="AI1225" s="17" t="n">
        <x:f>SUM(U1225:Y1225)</x:f>
        <x:v>1</x:v>
      </x:c>
      <x:c r="AJ1225" s="17" t="str">
        <x:f>IF(AE1225&lt;=34,"≤34",IF(AE1225&lt;=44,"35–44",IF(AE1225&lt;=54,"45–54",IF(AE1225&lt;=64,"55–64","65+"))))</x:f>
        <x:v>55–64</x:v>
      </x:c>
      <x:c r="AK1225" s="17" t="str">
        <x:f>IF(AG1225&gt;=1000,"High Value",IF(AG1225&gt;=300,"Mid Value","Low Value"))</x:f>
        <x:v>Mid Value</x:v>
      </x:c>
      <x:c r="AL1225" s="17" t="str">
        <x:f>IF(AND(AI1225&gt;=1,I1225&lt;=50),"Priority 1",IF(AND(AG1225&gt;=1000,I1225&lt;=60),"Priority 2",IF(I1225&lt;=30,"Priority 3","Nurture")))</x:f>
        <x:v>Nurture</x:v>
      </x:c>
    </x:row>
    <x:row r="1226">
      <x:c r="A1226" s="16" t="n">
        <x:v>7736</x:v>
      </x:c>
      <x:c r="B1226" s="16" t="n">
        <x:v>1986</x:v>
      </x:c>
      <x:c r="C1226" s="16" t="str">
        <x:v>Graduation</x:v>
      </x:c>
      <x:c r="D1226" s="16" t="str">
        <x:v>Married</x:v>
      </x:c>
      <x:c r="E1226" s="16" t="n">
        <x:v>22518</x:v>
      </x:c>
      <x:c r="F1226" s="16" t="n">
        <x:v>1</x:v>
      </x:c>
      <x:c r="G1226" s="16" t="n">
        <x:v>0</x:v>
      </x:c>
      <x:c r="H1226" s="16" t="str">
        <x:v>22-10-2012</x:v>
      </x:c>
      <x:c r="I1226" s="16" t="n">
        <x:v>36</x:v>
      </x:c>
      <x:c r="J1226" s="16" t="n">
        <x:v>11</x:v>
      </x:c>
      <x:c r="K1226" s="16" t="n">
        <x:v>7</x:v>
      </x:c>
      <x:c r="L1226" s="16" t="n">
        <x:v>12</x:v>
      </x:c>
      <x:c r="M1226" s="16" t="n">
        <x:v>2</x:v>
      </x:c>
      <x:c r="N1226" s="16" t="n">
        <x:v>2</x:v>
      </x:c>
      <x:c r="O1226" s="16" t="n">
        <x:v>27</x:v>
      </x:c>
      <x:c r="P1226" s="16" t="n">
        <x:v>2</x:v>
      </x:c>
      <x:c r="Q1226" s="16" t="n">
        <x:v>2</x:v>
      </x:c>
      <x:c r="R1226" s="16" t="n">
        <x:v>1</x:v>
      </x:c>
      <x:c r="S1226" s="16" t="n">
        <x:v>2</x:v>
      </x:c>
      <x:c r="T1226" s="16" t="n">
        <x:v>5</x:v>
      </x:c>
      <x:c r="U1226" s="16" t="n">
        <x:v>1</x:v>
      </x:c>
      <x:c r="V1226" s="16" t="n">
        <x:v>0</x:v>
      </x:c>
      <x:c r="W1226" s="16" t="n">
        <x:v>0</x:v>
      </x:c>
      <x:c r="X1226" s="16" t="n">
        <x:v>0</x:v>
      </x:c>
      <x:c r="Y1226" s="16" t="n">
        <x:v>0</x:v>
      </x:c>
      <x:c r="Z1226" s="16" t="n">
        <x:v>0</x:v>
      </x:c>
      <x:c r="AA1226" s="16" t="n">
        <x:v>3</x:v>
      </x:c>
      <x:c r="AB1226" s="16" t="n">
        <x:v>11</x:v>
      </x:c>
      <x:c r="AC1226" s="16" t="n">
        <x:v>1</x:v>
      </x:c>
      <x:c r="AD1226" s="21" t="n">
        <x:f>IF(E1226="",MEDIAN($E$2:$E$2237),E1226)</x:f>
        <x:v>22518</x:v>
      </x:c>
      <x:c r="AE1226" s="17" t="n">
        <x:f>2014-B1226</x:f>
        <x:v>28</x:v>
      </x:c>
      <x:c r="AF1226" s="17" t="n">
        <x:f>F1226+G1226</x:f>
        <x:v>1</x:v>
      </x:c>
      <x:c r="AG1226" s="21" t="n">
        <x:f>SUM(J1226:O1226)</x:f>
        <x:v>61</x:v>
      </x:c>
      <x:c r="AH1226" s="17" t="n">
        <x:f>SUM(Q1226:S1226)</x:f>
        <x:v>5</x:v>
      </x:c>
      <x:c r="AI1226" s="17" t="n">
        <x:f>SUM(U1226:Y1226)</x:f>
        <x:v>1</x:v>
      </x:c>
      <x:c r="AJ1226" s="17" t="str">
        <x:f>IF(AE1226&lt;=34,"≤34",IF(AE1226&lt;=44,"35–44",IF(AE1226&lt;=54,"45–54",IF(AE1226&lt;=64,"55–64","65+"))))</x:f>
        <x:v>≤34</x:v>
      </x:c>
      <x:c r="AK1226" s="17" t="str">
        <x:f>IF(AG1226&gt;=1000,"High Value",IF(AG1226&gt;=300,"Mid Value","Low Value"))</x:f>
        <x:v>Low Value</x:v>
      </x:c>
      <x:c r="AL1226" s="17" t="str">
        <x:f>IF(AND(AI1226&gt;=1,I1226&lt;=50),"Priority 1",IF(AND(AG1226&gt;=1000,I1226&lt;=60),"Priority 2",IF(I1226&lt;=30,"Priority 3","Nurture")))</x:f>
        <x:v>Priority 1</x:v>
      </x:c>
    </x:row>
    <x:row r="1227">
      <x:c r="A1227" s="16" t="n">
        <x:v>8210</x:v>
      </x:c>
      <x:c r="B1227" s="16" t="n">
        <x:v>1975</x:v>
      </x:c>
      <x:c r="C1227" s="16" t="str">
        <x:v>Master</x:v>
      </x:c>
      <x:c r="D1227" s="16" t="str">
        <x:v>Married</x:v>
      </x:c>
      <x:c r="E1227" s="16" t="n">
        <x:v>54730</x:v>
      </x:c>
      <x:c r="F1227" s="16" t="n">
        <x:v>0</x:v>
      </x:c>
      <x:c r="G1227" s="16" t="n">
        <x:v>1</x:v>
      </x:c>
      <x:c r="H1227" s="16" t="str">
        <x:v>15-08-2013</x:v>
      </x:c>
      <x:c r="I1227" s="16" t="n">
        <x:v>64</x:v>
      </x:c>
      <x:c r="J1227" s="16" t="n">
        <x:v>318</x:v>
      </x:c>
      <x:c r="K1227" s="16" t="n">
        <x:v>3</x:v>
      </x:c>
      <x:c r="L1227" s="16" t="n">
        <x:v>17</x:v>
      </x:c>
      <x:c r="M1227" s="16" t="n">
        <x:v>4</x:v>
      </x:c>
      <x:c r="N1227" s="16" t="n">
        <x:v>7</x:v>
      </x:c>
      <x:c r="O1227" s="16" t="n">
        <x:v>56</x:v>
      </x:c>
      <x:c r="P1227" s="16" t="n">
        <x:v>5</x:v>
      </x:c>
      <x:c r="Q1227" s="16" t="n">
        <x:v>4</x:v>
      </x:c>
      <x:c r="R1227" s="16" t="n">
        <x:v>1</x:v>
      </x:c>
      <x:c r="S1227" s="16" t="n">
        <x:v>8</x:v>
      </x:c>
      <x:c r="T1227" s="16" t="n">
        <x:v>4</x:v>
      </x:c>
      <x:c r="U1227" s="16" t="n">
        <x:v>0</x:v>
      </x:c>
      <x:c r="V1227" s="16" t="n">
        <x:v>0</x:v>
      </x:c>
      <x:c r="W1227" s="16" t="n">
        <x:v>0</x:v>
      </x:c>
      <x:c r="X1227" s="16" t="n">
        <x:v>0</x:v>
      </x:c>
      <x:c r="Y1227" s="16" t="n">
        <x:v>0</x:v>
      </x:c>
      <x:c r="Z1227" s="16" t="n">
        <x:v>0</x:v>
      </x:c>
      <x:c r="AA1227" s="16" t="n">
        <x:v>3</x:v>
      </x:c>
      <x:c r="AB1227" s="16" t="n">
        <x:v>11</x:v>
      </x:c>
      <x:c r="AC1227" s="16" t="n">
        <x:v>0</x:v>
      </x:c>
      <x:c r="AD1227" s="21" t="n">
        <x:f>IF(E1227="",MEDIAN($E$2:$E$2237),E1227)</x:f>
        <x:v>54730</x:v>
      </x:c>
      <x:c r="AE1227" s="17" t="n">
        <x:f>2014-B1227</x:f>
        <x:v>39</x:v>
      </x:c>
      <x:c r="AF1227" s="17" t="n">
        <x:f>F1227+G1227</x:f>
        <x:v>1</x:v>
      </x:c>
      <x:c r="AG1227" s="21" t="n">
        <x:f>SUM(J1227:O1227)</x:f>
        <x:v>405</x:v>
      </x:c>
      <x:c r="AH1227" s="17" t="n">
        <x:f>SUM(Q1227:S1227)</x:f>
        <x:v>13</x:v>
      </x:c>
      <x:c r="AI1227" s="17" t="n">
        <x:f>SUM(U1227:Y1227)</x:f>
        <x:v>0</x:v>
      </x:c>
      <x:c r="AJ1227" s="17" t="str">
        <x:f>IF(AE1227&lt;=34,"≤34",IF(AE1227&lt;=44,"35–44",IF(AE1227&lt;=54,"45–54",IF(AE1227&lt;=64,"55–64","65+"))))</x:f>
        <x:v>35–44</x:v>
      </x:c>
      <x:c r="AK1227" s="17" t="str">
        <x:f>IF(AG1227&gt;=1000,"High Value",IF(AG1227&gt;=300,"Mid Value","Low Value"))</x:f>
        <x:v>Mid Value</x:v>
      </x:c>
      <x:c r="AL1227" s="17" t="str">
        <x:f>IF(AND(AI1227&gt;=1,I1227&lt;=50),"Priority 1",IF(AND(AG1227&gt;=1000,I1227&lt;=60),"Priority 2",IF(I1227&lt;=30,"Priority 3","Nurture")))</x:f>
        <x:v>Nurture</x:v>
      </x:c>
    </x:row>
    <x:row r="1228">
      <x:c r="A1228" s="16" t="n">
        <x:v>833</x:v>
      </x:c>
      <x:c r="B1228" s="16" t="n">
        <x:v>1955</x:v>
      </x:c>
      <x:c r="C1228" s="16" t="str">
        <x:v>Master</x:v>
      </x:c>
      <x:c r="D1228" s="16" t="str">
        <x:v>Married</x:v>
      </x:c>
      <x:c r="E1228" s="16" t="n">
        <x:v>38452</x:v>
      </x:c>
      <x:c r="F1228" s="16" t="n">
        <x:v>1</x:v>
      </x:c>
      <x:c r="G1228" s="16" t="n">
        <x:v>1</x:v>
      </x:c>
      <x:c r="H1228" s="16" t="str">
        <x:v>30-03-2014</x:v>
      </x:c>
      <x:c r="I1228" s="16" t="n">
        <x:v>62</x:v>
      </x:c>
      <x:c r="J1228" s="16" t="n">
        <x:v>56</x:v>
      </x:c>
      <x:c r="K1228" s="16" t="n">
        <x:v>0</x:v>
      </x:c>
      <x:c r="L1228" s="16" t="n">
        <x:v>14</x:v>
      </x:c>
      <x:c r="M1228" s="16" t="n">
        <x:v>0</x:v>
      </x:c>
      <x:c r="N1228" s="16" t="n">
        <x:v>0</x:v>
      </x:c>
      <x:c r="O1228" s="16" t="n">
        <x:v>2</x:v>
      </x:c>
      <x:c r="P1228" s="16" t="n">
        <x:v>3</x:v>
      </x:c>
      <x:c r="Q1228" s="16" t="n">
        <x:v>3</x:v>
      </x:c>
      <x:c r="R1228" s="16" t="n">
        <x:v>0</x:v>
      </x:c>
      <x:c r="S1228" s="16" t="n">
        <x:v>3</x:v>
      </x:c>
      <x:c r="T1228" s="16" t="n">
        <x:v>7</x:v>
      </x:c>
      <x:c r="U1228" s="16" t="n">
        <x:v>0</x:v>
      </x:c>
      <x:c r="V1228" s="16" t="n">
        <x:v>0</x:v>
      </x:c>
      <x:c r="W1228" s="16" t="n">
        <x:v>0</x:v>
      </x:c>
      <x:c r="X1228" s="16" t="n">
        <x:v>0</x:v>
      </x:c>
      <x:c r="Y1228" s="16" t="n">
        <x:v>0</x:v>
      </x:c>
      <x:c r="Z1228" s="16" t="n">
        <x:v>0</x:v>
      </x:c>
      <x:c r="AA1228" s="16" t="n">
        <x:v>3</x:v>
      </x:c>
      <x:c r="AB1228" s="16" t="n">
        <x:v>11</x:v>
      </x:c>
      <x:c r="AC1228" s="16" t="n">
        <x:v>0</x:v>
      </x:c>
      <x:c r="AD1228" s="21" t="n">
        <x:f>IF(E1228="",MEDIAN($E$2:$E$2237),E1228)</x:f>
        <x:v>38452</x:v>
      </x:c>
      <x:c r="AE1228" s="17" t="n">
        <x:f>2014-B1228</x:f>
        <x:v>59</x:v>
      </x:c>
      <x:c r="AF1228" s="17" t="n">
        <x:f>F1228+G1228</x:f>
        <x:v>2</x:v>
      </x:c>
      <x:c r="AG1228" s="21" t="n">
        <x:f>SUM(J1228:O1228)</x:f>
        <x:v>72</x:v>
      </x:c>
      <x:c r="AH1228" s="17" t="n">
        <x:f>SUM(Q1228:S1228)</x:f>
        <x:v>6</x:v>
      </x:c>
      <x:c r="AI1228" s="17" t="n">
        <x:f>SUM(U1228:Y1228)</x:f>
        <x:v>0</x:v>
      </x:c>
      <x:c r="AJ1228" s="17" t="str">
        <x:f>IF(AE1228&lt;=34,"≤34",IF(AE1228&lt;=44,"35–44",IF(AE1228&lt;=54,"45–54",IF(AE1228&lt;=64,"55–64","65+"))))</x:f>
        <x:v>55–64</x:v>
      </x:c>
      <x:c r="AK1228" s="17" t="str">
        <x:f>IF(AG1228&gt;=1000,"High Value",IF(AG1228&gt;=300,"Mid Value","Low Value"))</x:f>
        <x:v>Low Value</x:v>
      </x:c>
      <x:c r="AL1228" s="17" t="str">
        <x:f>IF(AND(AI1228&gt;=1,I1228&lt;=50),"Priority 1",IF(AND(AG1228&gt;=1000,I1228&lt;=60),"Priority 2",IF(I1228&lt;=30,"Priority 3","Nurture")))</x:f>
        <x:v>Nurture</x:v>
      </x:c>
    </x:row>
    <x:row r="1229">
      <x:c r="A1229" s="16" t="n">
        <x:v>6230</x:v>
      </x:c>
      <x:c r="B1229" s="16" t="n">
        <x:v>1971</x:v>
      </x:c>
      <x:c r="C1229" s="16" t="str">
        <x:v>Graduation</x:v>
      </x:c>
      <x:c r="D1229" s="16" t="str">
        <x:v>Divorced</x:v>
      </x:c>
      <x:c r="E1229" s="16" t="n">
        <x:v>44421</x:v>
      </x:c>
      <x:c r="F1229" s="16" t="n">
        <x:v>1</x:v>
      </x:c>
      <x:c r="G1229" s="16" t="n">
        <x:v>1</x:v>
      </x:c>
      <x:c r="H1229" s="16" t="str">
        <x:v>15-02-2013</x:v>
      </x:c>
      <x:c r="I1229" s="16" t="n">
        <x:v>53</x:v>
      </x:c>
      <x:c r="J1229" s="16" t="n">
        <x:v>110</x:v>
      </x:c>
      <x:c r="K1229" s="16" t="n">
        <x:v>5</x:v>
      </x:c>
      <x:c r="L1229" s="16" t="n">
        <x:v>59</x:v>
      </x:c>
      <x:c r="M1229" s="16" t="n">
        <x:v>7</x:v>
      </x:c>
      <x:c r="N1229" s="16" t="n">
        <x:v>1</x:v>
      </x:c>
      <x:c r="O1229" s="16" t="n">
        <x:v>7</x:v>
      </x:c>
      <x:c r="P1229" s="16" t="n">
        <x:v>5</x:v>
      </x:c>
      <x:c r="Q1229" s="16" t="n">
        <x:v>5</x:v>
      </x:c>
      <x:c r="R1229" s="16" t="n">
        <x:v>0</x:v>
      </x:c>
      <x:c r="S1229" s="16" t="n">
        <x:v>4</x:v>
      </x:c>
      <x:c r="T1229" s="16" t="n">
        <x:v>8</x:v>
      </x:c>
      <x:c r="U1229" s="16" t="n">
        <x:v>0</x:v>
      </x:c>
      <x:c r="V1229" s="16" t="n">
        <x:v>0</x:v>
      </x:c>
      <x:c r="W1229" s="16" t="n">
        <x:v>0</x:v>
      </x:c>
      <x:c r="X1229" s="16" t="n">
        <x:v>0</x:v>
      </x:c>
      <x:c r="Y1229" s="16" t="n">
        <x:v>0</x:v>
      </x:c>
      <x:c r="Z1229" s="16" t="n">
        <x:v>0</x:v>
      </x:c>
      <x:c r="AA1229" s="16" t="n">
        <x:v>3</x:v>
      </x:c>
      <x:c r="AB1229" s="16" t="n">
        <x:v>11</x:v>
      </x:c>
      <x:c r="AC1229" s="16" t="n">
        <x:v>0</x:v>
      </x:c>
      <x:c r="AD1229" s="21" t="n">
        <x:f>IF(E1229="",MEDIAN($E$2:$E$2237),E1229)</x:f>
        <x:v>44421</x:v>
      </x:c>
      <x:c r="AE1229" s="17" t="n">
        <x:f>2014-B1229</x:f>
        <x:v>43</x:v>
      </x:c>
      <x:c r="AF1229" s="17" t="n">
        <x:f>F1229+G1229</x:f>
        <x:v>2</x:v>
      </x:c>
      <x:c r="AG1229" s="21" t="n">
        <x:f>SUM(J1229:O1229)</x:f>
        <x:v>189</x:v>
      </x:c>
      <x:c r="AH1229" s="17" t="n">
        <x:f>SUM(Q1229:S1229)</x:f>
        <x:v>9</x:v>
      </x:c>
      <x:c r="AI1229" s="17" t="n">
        <x:f>SUM(U1229:Y1229)</x:f>
        <x:v>0</x:v>
      </x:c>
      <x:c r="AJ1229" s="17" t="str">
        <x:f>IF(AE1229&lt;=34,"≤34",IF(AE1229&lt;=44,"35–44",IF(AE1229&lt;=54,"45–54",IF(AE1229&lt;=64,"55–64","65+"))))</x:f>
        <x:v>35–44</x:v>
      </x:c>
      <x:c r="AK1229" s="17" t="str">
        <x:f>IF(AG1229&gt;=1000,"High Value",IF(AG1229&gt;=300,"Mid Value","Low Value"))</x:f>
        <x:v>Low Value</x:v>
      </x:c>
      <x:c r="AL1229" s="17" t="str">
        <x:f>IF(AND(AI1229&gt;=1,I1229&lt;=50),"Priority 1",IF(AND(AG1229&gt;=1000,I1229&lt;=60),"Priority 2",IF(I1229&lt;=30,"Priority 3","Nurture")))</x:f>
        <x:v>Nurture</x:v>
      </x:c>
    </x:row>
    <x:row r="1230">
      <x:c r="A1230" s="16" t="n">
        <x:v>7325</x:v>
      </x:c>
      <x:c r="B1230" s="16" t="n">
        <x:v>1986</x:v>
      </x:c>
      <x:c r="C1230" s="16" t="str">
        <x:v>PhD</x:v>
      </x:c>
      <x:c r="D1230" s="16" t="str">
        <x:v>Together</x:v>
      </x:c>
      <x:c r="E1230" s="16" t="n">
        <x:v>38197</x:v>
      </x:c>
      <x:c r="F1230" s="16" t="n">
        <x:v>1</x:v>
      </x:c>
      <x:c r="G1230" s="16" t="n">
        <x:v>0</x:v>
      </x:c>
      <x:c r="H1230" s="16" t="str">
        <x:v>29-06-2013</x:v>
      </x:c>
      <x:c r="I1230" s="16" t="n">
        <x:v>86</x:v>
      </x:c>
      <x:c r="J1230" s="16" t="n">
        <x:v>23</x:v>
      </x:c>
      <x:c r="K1230" s="16" t="n">
        <x:v>0</x:v>
      </x:c>
      <x:c r="L1230" s="16" t="n">
        <x:v>11</x:v>
      </x:c>
      <x:c r="M1230" s="16" t="n">
        <x:v>2</x:v>
      </x:c>
      <x:c r="N1230" s="16" t="n">
        <x:v>1</x:v>
      </x:c>
      <x:c r="O1230" s="16" t="n">
        <x:v>3</x:v>
      </x:c>
      <x:c r="P1230" s="16" t="n">
        <x:v>1</x:v>
      </x:c>
      <x:c r="Q1230" s="16" t="n">
        <x:v>1</x:v>
      </x:c>
      <x:c r="R1230" s="16" t="n">
        <x:v>0</x:v>
      </x:c>
      <x:c r="S1230" s="16" t="n">
        <x:v>3</x:v>
      </x:c>
      <x:c r="T1230" s="16" t="n">
        <x:v>5</x:v>
      </x:c>
      <x:c r="U1230" s="16" t="n">
        <x:v>0</x:v>
      </x:c>
      <x:c r="V1230" s="16" t="n">
        <x:v>0</x:v>
      </x:c>
      <x:c r="W1230" s="16" t="n">
        <x:v>0</x:v>
      </x:c>
      <x:c r="X1230" s="16" t="n">
        <x:v>0</x:v>
      </x:c>
      <x:c r="Y1230" s="16" t="n">
        <x:v>0</x:v>
      </x:c>
      <x:c r="Z1230" s="16" t="n">
        <x:v>0</x:v>
      </x:c>
      <x:c r="AA1230" s="16" t="n">
        <x:v>3</x:v>
      </x:c>
      <x:c r="AB1230" s="16" t="n">
        <x:v>11</x:v>
      </x:c>
      <x:c r="AC1230" s="16" t="n">
        <x:v>0</x:v>
      </x:c>
      <x:c r="AD1230" s="21" t="n">
        <x:f>IF(E1230="",MEDIAN($E$2:$E$2237),E1230)</x:f>
        <x:v>38197</x:v>
      </x:c>
      <x:c r="AE1230" s="17" t="n">
        <x:f>2014-B1230</x:f>
        <x:v>28</x:v>
      </x:c>
      <x:c r="AF1230" s="17" t="n">
        <x:f>F1230+G1230</x:f>
        <x:v>1</x:v>
      </x:c>
      <x:c r="AG1230" s="21" t="n">
        <x:f>SUM(J1230:O1230)</x:f>
        <x:v>40</x:v>
      </x:c>
      <x:c r="AH1230" s="17" t="n">
        <x:f>SUM(Q1230:S1230)</x:f>
        <x:v>4</x:v>
      </x:c>
      <x:c r="AI1230" s="17" t="n">
        <x:f>SUM(U1230:Y1230)</x:f>
        <x:v>0</x:v>
      </x:c>
      <x:c r="AJ1230" s="17" t="str">
        <x:f>IF(AE1230&lt;=34,"≤34",IF(AE1230&lt;=44,"35–44",IF(AE1230&lt;=54,"45–54",IF(AE1230&lt;=64,"55–64","65+"))))</x:f>
        <x:v>≤34</x:v>
      </x:c>
      <x:c r="AK1230" s="17" t="str">
        <x:f>IF(AG1230&gt;=1000,"High Value",IF(AG1230&gt;=300,"Mid Value","Low Value"))</x:f>
        <x:v>Low Value</x:v>
      </x:c>
      <x:c r="AL1230" s="17" t="str">
        <x:f>IF(AND(AI1230&gt;=1,I1230&lt;=50),"Priority 1",IF(AND(AG1230&gt;=1000,I1230&lt;=60),"Priority 2",IF(I1230&lt;=30,"Priority 3","Nurture")))</x:f>
        <x:v>Nurture</x:v>
      </x:c>
    </x:row>
    <x:row r="1231">
      <x:c r="A1231" s="16" t="n">
        <x:v>1307</x:v>
      </x:c>
      <x:c r="B1231" s="16" t="n">
        <x:v>1978</x:v>
      </x:c>
      <x:c r="C1231" s="16" t="str">
        <x:v>Graduation</x:v>
      </x:c>
      <x:c r="D1231" s="16" t="str">
        <x:v>Divorced</x:v>
      </x:c>
      <x:c r="E1231" s="16" t="n">
        <x:v>41986</x:v>
      </x:c>
      <x:c r="F1231" s="16" t="n">
        <x:v>0</x:v>
      </x:c>
      <x:c r="G1231" s="16" t="n">
        <x:v>1</x:v>
      </x:c>
      <x:c r="H1231" s="16" t="str">
        <x:v>09-02-2014</x:v>
      </x:c>
      <x:c r="I1231" s="16" t="n">
        <x:v>15</x:v>
      </x:c>
      <x:c r="J1231" s="16" t="n">
        <x:v>27</x:v>
      </x:c>
      <x:c r="K1231" s="16" t="n">
        <x:v>5</x:v>
      </x:c>
      <x:c r="L1231" s="16" t="n">
        <x:v>8</x:v>
      </x:c>
      <x:c r="M1231" s="16" t="n">
        <x:v>8</x:v>
      </x:c>
      <x:c r="N1231" s="16" t="n">
        <x:v>3</x:v>
      </x:c>
      <x:c r="O1231" s="16" t="n">
        <x:v>12</x:v>
      </x:c>
      <x:c r="P1231" s="16" t="n">
        <x:v>3</x:v>
      </x:c>
      <x:c r="Q1231" s="16" t="n">
        <x:v>3</x:v>
      </x:c>
      <x:c r="R1231" s="16" t="n">
        <x:v>0</x:v>
      </x:c>
      <x:c r="S1231" s="16" t="n">
        <x:v>4</x:v>
      </x:c>
      <x:c r="T1231" s="16" t="n">
        <x:v>4</x:v>
      </x:c>
      <x:c r="U1231" s="16" t="n">
        <x:v>0</x:v>
      </x:c>
      <x:c r="V1231" s="16" t="n">
        <x:v>0</x:v>
      </x:c>
      <x:c r="W1231" s="16" t="n">
        <x:v>0</x:v>
      </x:c>
      <x:c r="X1231" s="16" t="n">
        <x:v>0</x:v>
      </x:c>
      <x:c r="Y1231" s="16" t="n">
        <x:v>0</x:v>
      </x:c>
      <x:c r="Z1231" s="16" t="n">
        <x:v>0</x:v>
      </x:c>
      <x:c r="AA1231" s="16" t="n">
        <x:v>3</x:v>
      </x:c>
      <x:c r="AB1231" s="16" t="n">
        <x:v>11</x:v>
      </x:c>
      <x:c r="AC1231" s="16" t="n">
        <x:v>0</x:v>
      </x:c>
      <x:c r="AD1231" s="21" t="n">
        <x:f>IF(E1231="",MEDIAN($E$2:$E$2237),E1231)</x:f>
        <x:v>41986</x:v>
      </x:c>
      <x:c r="AE1231" s="17" t="n">
        <x:f>2014-B1231</x:f>
        <x:v>36</x:v>
      </x:c>
      <x:c r="AF1231" s="17" t="n">
        <x:f>F1231+G1231</x:f>
        <x:v>1</x:v>
      </x:c>
      <x:c r="AG1231" s="21" t="n">
        <x:f>SUM(J1231:O1231)</x:f>
        <x:v>63</x:v>
      </x:c>
      <x:c r="AH1231" s="17" t="n">
        <x:f>SUM(Q1231:S1231)</x:f>
        <x:v>7</x:v>
      </x:c>
      <x:c r="AI1231" s="17" t="n">
        <x:f>SUM(U1231:Y1231)</x:f>
        <x:v>0</x:v>
      </x:c>
      <x:c r="AJ1231" s="17" t="str">
        <x:f>IF(AE1231&lt;=34,"≤34",IF(AE1231&lt;=44,"35–44",IF(AE1231&lt;=54,"45–54",IF(AE1231&lt;=64,"55–64","65+"))))</x:f>
        <x:v>35–44</x:v>
      </x:c>
      <x:c r="AK1231" s="17" t="str">
        <x:f>IF(AG1231&gt;=1000,"High Value",IF(AG1231&gt;=300,"Mid Value","Low Value"))</x:f>
        <x:v>Low Value</x:v>
      </x:c>
      <x:c r="AL1231" s="17" t="str">
        <x:f>IF(AND(AI1231&gt;=1,I1231&lt;=50),"Priority 1",IF(AND(AG1231&gt;=1000,I1231&lt;=60),"Priority 2",IF(I1231&lt;=30,"Priority 3","Nurture")))</x:f>
        <x:v>Priority 3</x:v>
      </x:c>
    </x:row>
    <x:row r="1232">
      <x:c r="A1232" s="16" t="n">
        <x:v>1502</x:v>
      </x:c>
      <x:c r="B1232" s="16" t="n">
        <x:v>1983</x:v>
      </x:c>
      <x:c r="C1232" s="16" t="str">
        <x:v>Graduation</x:v>
      </x:c>
      <x:c r="D1232" s="16" t="str">
        <x:v>Together</x:v>
      </x:c>
      <x:c r="E1232" s="16" t="n">
        <x:v>28427</x:v>
      </x:c>
      <x:c r="F1232" s="16" t="n">
        <x:v>1</x:v>
      </x:c>
      <x:c r="G1232" s="16" t="n">
        <x:v>0</x:v>
      </x:c>
      <x:c r="H1232" s="16" t="str">
        <x:v>21-03-2013</x:v>
      </x:c>
      <x:c r="I1232" s="16" t="n">
        <x:v>67</x:v>
      </x:c>
      <x:c r="J1232" s="16" t="n">
        <x:v>18</x:v>
      </x:c>
      <x:c r="K1232" s="16" t="n">
        <x:v>3</x:v>
      </x:c>
      <x:c r="L1232" s="16" t="n">
        <x:v>19</x:v>
      </x:c>
      <x:c r="M1232" s="16" t="n">
        <x:v>3</x:v>
      </x:c>
      <x:c r="N1232" s="16" t="n">
        <x:v>3</x:v>
      </x:c>
      <x:c r="O1232" s="16" t="n">
        <x:v>6</x:v>
      </x:c>
      <x:c r="P1232" s="16" t="n">
        <x:v>2</x:v>
      </x:c>
      <x:c r="Q1232" s="16" t="n">
        <x:v>2</x:v>
      </x:c>
      <x:c r="R1232" s="16" t="n">
        <x:v>0</x:v>
      </x:c>
      <x:c r="S1232" s="16" t="n">
        <x:v>3</x:v>
      </x:c>
      <x:c r="T1232" s="16" t="n">
        <x:v>8</x:v>
      </x:c>
      <x:c r="U1232" s="16" t="n">
        <x:v>0</x:v>
      </x:c>
      <x:c r="V1232" s="16" t="n">
        <x:v>0</x:v>
      </x:c>
      <x:c r="W1232" s="16" t="n">
        <x:v>0</x:v>
      </x:c>
      <x:c r="X1232" s="16" t="n">
        <x:v>0</x:v>
      </x:c>
      <x:c r="Y1232" s="16" t="n">
        <x:v>0</x:v>
      </x:c>
      <x:c r="Z1232" s="16" t="n">
        <x:v>0</x:v>
      </x:c>
      <x:c r="AA1232" s="16" t="n">
        <x:v>3</x:v>
      </x:c>
      <x:c r="AB1232" s="16" t="n">
        <x:v>11</x:v>
      </x:c>
      <x:c r="AC1232" s="16" t="n">
        <x:v>0</x:v>
      </x:c>
      <x:c r="AD1232" s="21" t="n">
        <x:f>IF(E1232="",MEDIAN($E$2:$E$2237),E1232)</x:f>
        <x:v>28427</x:v>
      </x:c>
      <x:c r="AE1232" s="17" t="n">
        <x:f>2014-B1232</x:f>
        <x:v>31</x:v>
      </x:c>
      <x:c r="AF1232" s="17" t="n">
        <x:f>F1232+G1232</x:f>
        <x:v>1</x:v>
      </x:c>
      <x:c r="AG1232" s="21" t="n">
        <x:f>SUM(J1232:O1232)</x:f>
        <x:v>52</x:v>
      </x:c>
      <x:c r="AH1232" s="17" t="n">
        <x:f>SUM(Q1232:S1232)</x:f>
        <x:v>5</x:v>
      </x:c>
      <x:c r="AI1232" s="17" t="n">
        <x:f>SUM(U1232:Y1232)</x:f>
        <x:v>0</x:v>
      </x:c>
      <x:c r="AJ1232" s="17" t="str">
        <x:f>IF(AE1232&lt;=34,"≤34",IF(AE1232&lt;=44,"35–44",IF(AE1232&lt;=54,"45–54",IF(AE1232&lt;=64,"55–64","65+"))))</x:f>
        <x:v>≤34</x:v>
      </x:c>
      <x:c r="AK1232" s="17" t="str">
        <x:f>IF(AG1232&gt;=1000,"High Value",IF(AG1232&gt;=300,"Mid Value","Low Value"))</x:f>
        <x:v>Low Value</x:v>
      </x:c>
      <x:c r="AL1232" s="17" t="str">
        <x:f>IF(AND(AI1232&gt;=1,I1232&lt;=50),"Priority 1",IF(AND(AG1232&gt;=1000,I1232&lt;=60),"Priority 2",IF(I1232&lt;=30,"Priority 3","Nurture")))</x:f>
        <x:v>Nurture</x:v>
      </x:c>
    </x:row>
    <x:row r="1233">
      <x:c r="A1233" s="16" t="n">
        <x:v>6211</x:v>
      </x:c>
      <x:c r="B1233" s="16" t="n">
        <x:v>1976</x:v>
      </x:c>
      <x:c r="C1233" s="16" t="str">
        <x:v>PhD</x:v>
      </x:c>
      <x:c r="D1233" s="16" t="str">
        <x:v>Together</x:v>
      </x:c>
      <x:c r="E1233" s="16" t="n">
        <x:v>37395</x:v>
      </x:c>
      <x:c r="F1233" s="16" t="n">
        <x:v>1</x:v>
      </x:c>
      <x:c r="G1233" s="16" t="n">
        <x:v>0</x:v>
      </x:c>
      <x:c r="H1233" s="16" t="str">
        <x:v>02-05-2014</x:v>
      </x:c>
      <x:c r="I1233" s="16" t="n">
        <x:v>47</x:v>
      </x:c>
      <x:c r="J1233" s="16" t="n">
        <x:v>18</x:v>
      </x:c>
      <x:c r="K1233" s="16" t="n">
        <x:v>0</x:v>
      </x:c>
      <x:c r="L1233" s="16" t="n">
        <x:v>9</x:v>
      </x:c>
      <x:c r="M1233" s="16" t="n">
        <x:v>0</x:v>
      </x:c>
      <x:c r="N1233" s="16" t="n">
        <x:v>1</x:v>
      </x:c>
      <x:c r="O1233" s="16" t="n">
        <x:v>11</x:v>
      </x:c>
      <x:c r="P1233" s="16" t="n">
        <x:v>1</x:v>
      </x:c>
      <x:c r="Q1233" s="16" t="n">
        <x:v>1</x:v>
      </x:c>
      <x:c r="R1233" s="16" t="n">
        <x:v>0</x:v>
      </x:c>
      <x:c r="S1233" s="16" t="n">
        <x:v>3</x:v>
      </x:c>
      <x:c r="T1233" s="16" t="n">
        <x:v>6</x:v>
      </x:c>
      <x:c r="U1233" s="16" t="n">
        <x:v>0</x:v>
      </x:c>
      <x:c r="V1233" s="16" t="n">
        <x:v>0</x:v>
      </x:c>
      <x:c r="W1233" s="16" t="n">
        <x:v>0</x:v>
      </x:c>
      <x:c r="X1233" s="16" t="n">
        <x:v>0</x:v>
      </x:c>
      <x:c r="Y1233" s="16" t="n">
        <x:v>0</x:v>
      </x:c>
      <x:c r="Z1233" s="16" t="n">
        <x:v>0</x:v>
      </x:c>
      <x:c r="AA1233" s="16" t="n">
        <x:v>3</x:v>
      </x:c>
      <x:c r="AB1233" s="16" t="n">
        <x:v>11</x:v>
      </x:c>
      <x:c r="AC1233" s="16" t="n">
        <x:v>0</x:v>
      </x:c>
      <x:c r="AD1233" s="21" t="n">
        <x:f>IF(E1233="",MEDIAN($E$2:$E$2237),E1233)</x:f>
        <x:v>37395</x:v>
      </x:c>
      <x:c r="AE1233" s="17" t="n">
        <x:f>2014-B1233</x:f>
        <x:v>38</x:v>
      </x:c>
      <x:c r="AF1233" s="17" t="n">
        <x:f>F1233+G1233</x:f>
        <x:v>1</x:v>
      </x:c>
      <x:c r="AG1233" s="21" t="n">
        <x:f>SUM(J1233:O1233)</x:f>
        <x:v>39</x:v>
      </x:c>
      <x:c r="AH1233" s="17" t="n">
        <x:f>SUM(Q1233:S1233)</x:f>
        <x:v>4</x:v>
      </x:c>
      <x:c r="AI1233" s="17" t="n">
        <x:f>SUM(U1233:Y1233)</x:f>
        <x:v>0</x:v>
      </x:c>
      <x:c r="AJ1233" s="17" t="str">
        <x:f>IF(AE1233&lt;=34,"≤34",IF(AE1233&lt;=44,"35–44",IF(AE1233&lt;=54,"45–54",IF(AE1233&lt;=64,"55–64","65+"))))</x:f>
        <x:v>35–44</x:v>
      </x:c>
      <x:c r="AK1233" s="17" t="str">
        <x:f>IF(AG1233&gt;=1000,"High Value",IF(AG1233&gt;=300,"Mid Value","Low Value"))</x:f>
        <x:v>Low Value</x:v>
      </x:c>
      <x:c r="AL1233" s="17" t="str">
        <x:f>IF(AND(AI1233&gt;=1,I1233&lt;=50),"Priority 1",IF(AND(AG1233&gt;=1000,I1233&lt;=60),"Priority 2",IF(I1233&lt;=30,"Priority 3","Nurture")))</x:f>
        <x:v>Nurture</x:v>
      </x:c>
    </x:row>
    <x:row r="1234">
      <x:c r="A1234" s="16" t="n">
        <x:v>843</x:v>
      </x:c>
      <x:c r="B1234" s="16" t="n">
        <x:v>1971</x:v>
      </x:c>
      <x:c r="C1234" s="16" t="str">
        <x:v>Graduation</x:v>
      </x:c>
      <x:c r="D1234" s="16" t="str">
        <x:v>Married</x:v>
      </x:c>
      <x:c r="E1234" s="16" t="n">
        <x:v>64722</x:v>
      </x:c>
      <x:c r="F1234" s="16" t="n">
        <x:v>1</x:v>
      </x:c>
      <x:c r="G1234" s="16" t="n">
        <x:v>0</x:v>
      </x:c>
      <x:c r="H1234" s="16" t="str">
        <x:v>26-05-2014</x:v>
      </x:c>
      <x:c r="I1234" s="16" t="n">
        <x:v>47</x:v>
      </x:c>
      <x:c r="J1234" s="16" t="n">
        <x:v>303</x:v>
      </x:c>
      <x:c r="K1234" s="16" t="n">
        <x:v>0</x:v>
      </x:c>
      <x:c r="L1234" s="16" t="n">
        <x:v>280</x:v>
      </x:c>
      <x:c r="M1234" s="16" t="n">
        <x:v>60</x:v>
      </x:c>
      <x:c r="N1234" s="16" t="n">
        <x:v>147</x:v>
      </x:c>
      <x:c r="O1234" s="16" t="n">
        <x:v>15</x:v>
      </x:c>
      <x:c r="P1234" s="16" t="n">
        <x:v>4</x:v>
      </x:c>
      <x:c r="Q1234" s="16" t="n">
        <x:v>8</x:v>
      </x:c>
      <x:c r="R1234" s="16" t="n">
        <x:v>2</x:v>
      </x:c>
      <x:c r="S1234" s="16" t="n">
        <x:v>11</x:v>
      </x:c>
      <x:c r="T1234" s="16" t="n">
        <x:v>6</x:v>
      </x:c>
      <x:c r="U1234" s="16" t="n">
        <x:v>0</x:v>
      </x:c>
      <x:c r="V1234" s="16" t="n">
        <x:v>0</x:v>
      </x:c>
      <x:c r="W1234" s="16" t="n">
        <x:v>0</x:v>
      </x:c>
      <x:c r="X1234" s="16" t="n">
        <x:v>0</x:v>
      </x:c>
      <x:c r="Y1234" s="16" t="n">
        <x:v>0</x:v>
      </x:c>
      <x:c r="Z1234" s="16" t="n">
        <x:v>0</x:v>
      </x:c>
      <x:c r="AA1234" s="16" t="n">
        <x:v>3</x:v>
      </x:c>
      <x:c r="AB1234" s="16" t="n">
        <x:v>11</x:v>
      </x:c>
      <x:c r="AC1234" s="16" t="n">
        <x:v>0</x:v>
      </x:c>
      <x:c r="AD1234" s="21" t="n">
        <x:f>IF(E1234="",MEDIAN($E$2:$E$2237),E1234)</x:f>
        <x:v>64722</x:v>
      </x:c>
      <x:c r="AE1234" s="17" t="n">
        <x:f>2014-B1234</x:f>
        <x:v>43</x:v>
      </x:c>
      <x:c r="AF1234" s="17" t="n">
        <x:f>F1234+G1234</x:f>
        <x:v>1</x:v>
      </x:c>
      <x:c r="AG1234" s="21" t="n">
        <x:f>SUM(J1234:O1234)</x:f>
        <x:v>805</x:v>
      </x:c>
      <x:c r="AH1234" s="17" t="n">
        <x:f>SUM(Q1234:S1234)</x:f>
        <x:v>21</x:v>
      </x:c>
      <x:c r="AI1234" s="17" t="n">
        <x:f>SUM(U1234:Y1234)</x:f>
        <x:v>0</x:v>
      </x:c>
      <x:c r="AJ1234" s="17" t="str">
        <x:f>IF(AE1234&lt;=34,"≤34",IF(AE1234&lt;=44,"35–44",IF(AE1234&lt;=54,"45–54",IF(AE1234&lt;=64,"55–64","65+"))))</x:f>
        <x:v>35–44</x:v>
      </x:c>
      <x:c r="AK1234" s="17" t="str">
        <x:f>IF(AG1234&gt;=1000,"High Value",IF(AG1234&gt;=300,"Mid Value","Low Value"))</x:f>
        <x:v>Mid Value</x:v>
      </x:c>
      <x:c r="AL1234" s="17" t="str">
        <x:f>IF(AND(AI1234&gt;=1,I1234&lt;=50),"Priority 1",IF(AND(AG1234&gt;=1000,I1234&lt;=60),"Priority 2",IF(I1234&lt;=30,"Priority 3","Nurture")))</x:f>
        <x:v>Nurture</x:v>
      </x:c>
    </x:row>
    <x:row r="1235">
      <x:c r="A1235" s="16" t="n">
        <x:v>4174</x:v>
      </x:c>
      <x:c r="B1235" s="16" t="n">
        <x:v>1956</x:v>
      </x:c>
      <x:c r="C1235" s="16" t="str">
        <x:v>Master</x:v>
      </x:c>
      <x:c r="D1235" s="16" t="str">
        <x:v>Together</x:v>
      </x:c>
      <x:c r="E1235" s="16" t="n">
        <x:v>55249</x:v>
      </x:c>
      <x:c r="F1235" s="16" t="n">
        <x:v>0</x:v>
      </x:c>
      <x:c r="G1235" s="16" t="n">
        <x:v>1</x:v>
      </x:c>
      <x:c r="H1235" s="16" t="str">
        <x:v>17-04-2014</x:v>
      </x:c>
      <x:c r="I1235" s="16" t="n">
        <x:v>81</x:v>
      </x:c>
      <x:c r="J1235" s="16" t="n">
        <x:v>97</x:v>
      </x:c>
      <x:c r="K1235" s="16" t="n">
        <x:v>1</x:v>
      </x:c>
      <x:c r="L1235" s="16" t="n">
        <x:v>19</x:v>
      </x:c>
      <x:c r="M1235" s="16" t="n">
        <x:v>2</x:v>
      </x:c>
      <x:c r="N1235" s="16" t="n">
        <x:v>0</x:v>
      </x:c>
      <x:c r="O1235" s="16" t="n">
        <x:v>11</x:v>
      </x:c>
      <x:c r="P1235" s="16" t="n">
        <x:v>1</x:v>
      </x:c>
      <x:c r="Q1235" s="16" t="n">
        <x:v>2</x:v>
      </x:c>
      <x:c r="R1235" s="16" t="n">
        <x:v>1</x:v>
      </x:c>
      <x:c r="S1235" s="16" t="n">
        <x:v>4</x:v>
      </x:c>
      <x:c r="T1235" s="16" t="n">
        <x:v>3</x:v>
      </x:c>
      <x:c r="U1235" s="16" t="n">
        <x:v>0</x:v>
      </x:c>
      <x:c r="V1235" s="16" t="n">
        <x:v>0</x:v>
      </x:c>
      <x:c r="W1235" s="16" t="n">
        <x:v>0</x:v>
      </x:c>
      <x:c r="X1235" s="16" t="n">
        <x:v>0</x:v>
      </x:c>
      <x:c r="Y1235" s="16" t="n">
        <x:v>0</x:v>
      </x:c>
      <x:c r="Z1235" s="16" t="n">
        <x:v>0</x:v>
      </x:c>
      <x:c r="AA1235" s="16" t="n">
        <x:v>3</x:v>
      </x:c>
      <x:c r="AB1235" s="16" t="n">
        <x:v>11</x:v>
      </x:c>
      <x:c r="AC1235" s="16" t="n">
        <x:v>0</x:v>
      </x:c>
      <x:c r="AD1235" s="21" t="n">
        <x:f>IF(E1235="",MEDIAN($E$2:$E$2237),E1235)</x:f>
        <x:v>55249</x:v>
      </x:c>
      <x:c r="AE1235" s="17" t="n">
        <x:f>2014-B1235</x:f>
        <x:v>58</x:v>
      </x:c>
      <x:c r="AF1235" s="17" t="n">
        <x:f>F1235+G1235</x:f>
        <x:v>1</x:v>
      </x:c>
      <x:c r="AG1235" s="21" t="n">
        <x:f>SUM(J1235:O1235)</x:f>
        <x:v>130</x:v>
      </x:c>
      <x:c r="AH1235" s="17" t="n">
        <x:f>SUM(Q1235:S1235)</x:f>
        <x:v>7</x:v>
      </x:c>
      <x:c r="AI1235" s="17" t="n">
        <x:f>SUM(U1235:Y1235)</x:f>
        <x:v>0</x:v>
      </x:c>
      <x:c r="AJ1235" s="17" t="str">
        <x:f>IF(AE1235&lt;=34,"≤34",IF(AE1235&lt;=44,"35–44",IF(AE1235&lt;=54,"45–54",IF(AE1235&lt;=64,"55–64","65+"))))</x:f>
        <x:v>55–64</x:v>
      </x:c>
      <x:c r="AK1235" s="17" t="str">
        <x:f>IF(AG1235&gt;=1000,"High Value",IF(AG1235&gt;=300,"Mid Value","Low Value"))</x:f>
        <x:v>Low Value</x:v>
      </x:c>
      <x:c r="AL1235" s="17" t="str">
        <x:f>IF(AND(AI1235&gt;=1,I1235&lt;=50),"Priority 1",IF(AND(AG1235&gt;=1000,I1235&lt;=60),"Priority 2",IF(I1235&lt;=30,"Priority 3","Nurture")))</x:f>
        <x:v>Nurture</x:v>
      </x:c>
    </x:row>
    <x:row r="1236">
      <x:c r="A1236" s="16" t="n">
        <x:v>9757</x:v>
      </x:c>
      <x:c r="B1236" s="16" t="n">
        <x:v>1972</x:v>
      </x:c>
      <x:c r="C1236" s="16" t="str">
        <x:v>Graduation</x:v>
      </x:c>
      <x:c r="D1236" s="16" t="str">
        <x:v>Together</x:v>
      </x:c>
      <x:c r="E1236" s="16" t="n">
        <x:v>84906</x:v>
      </x:c>
      <x:c r="F1236" s="16" t="n">
        <x:v>0</x:v>
      </x:c>
      <x:c r="G1236" s="16" t="n">
        <x:v>0</x:v>
      </x:c>
      <x:c r="H1236" s="16" t="str">
        <x:v>04-10-2013</x:v>
      </x:c>
      <x:c r="I1236" s="16" t="n">
        <x:v>98</x:v>
      </x:c>
      <x:c r="J1236" s="16" t="n">
        <x:v>997</x:v>
      </x:c>
      <x:c r="K1236" s="16" t="n">
        <x:v>15</x:v>
      </x:c>
      <x:c r="L1236" s="16" t="n">
        <x:v>414</x:v>
      </x:c>
      <x:c r="M1236" s="16" t="n">
        <x:v>99</x:v>
      </x:c>
      <x:c r="N1236" s="16" t="n">
        <x:v>30</x:v>
      </x:c>
      <x:c r="O1236" s="16" t="n">
        <x:v>76</x:v>
      </x:c>
      <x:c r="P1236" s="16" t="n">
        <x:v>1</x:v>
      </x:c>
      <x:c r="Q1236" s="16" t="n">
        <x:v>5</x:v>
      </x:c>
      <x:c r="R1236" s="16" t="n">
        <x:v>6</x:v>
      </x:c>
      <x:c r="S1236" s="16" t="n">
        <x:v>12</x:v>
      </x:c>
      <x:c r="T1236" s="16" t="n">
        <x:v>2</x:v>
      </x:c>
      <x:c r="U1236" s="16" t="n">
        <x:v>0</x:v>
      </x:c>
      <x:c r="V1236" s="16" t="n">
        <x:v>1</x:v>
      </x:c>
      <x:c r="W1236" s="16" t="n">
        <x:v>1</x:v>
      </x:c>
      <x:c r="X1236" s="16" t="n">
        <x:v>0</x:v>
      </x:c>
      <x:c r="Y1236" s="16" t="n">
        <x:v>1</x:v>
      </x:c>
      <x:c r="Z1236" s="16" t="n">
        <x:v>0</x:v>
      </x:c>
      <x:c r="AA1236" s="16" t="n">
        <x:v>3</x:v>
      </x:c>
      <x:c r="AB1236" s="16" t="n">
        <x:v>11</x:v>
      </x:c>
      <x:c r="AC1236" s="16" t="n">
        <x:v>0</x:v>
      </x:c>
      <x:c r="AD1236" s="21" t="n">
        <x:f>IF(E1236="",MEDIAN($E$2:$E$2237),E1236)</x:f>
        <x:v>84906</x:v>
      </x:c>
      <x:c r="AE1236" s="17" t="n">
        <x:f>2014-B1236</x:f>
        <x:v>42</x:v>
      </x:c>
      <x:c r="AF1236" s="17" t="n">
        <x:f>F1236+G1236</x:f>
        <x:v>0</x:v>
      </x:c>
      <x:c r="AG1236" s="21" t="n">
        <x:f>SUM(J1236:O1236)</x:f>
        <x:v>1631</x:v>
      </x:c>
      <x:c r="AH1236" s="17" t="n">
        <x:f>SUM(Q1236:S1236)</x:f>
        <x:v>23</x:v>
      </x:c>
      <x:c r="AI1236" s="17" t="n">
        <x:f>SUM(U1236:Y1236)</x:f>
        <x:v>3</x:v>
      </x:c>
      <x:c r="AJ1236" s="17" t="str">
        <x:f>IF(AE1236&lt;=34,"≤34",IF(AE1236&lt;=44,"35–44",IF(AE1236&lt;=54,"45–54",IF(AE1236&lt;=64,"55–64","65+"))))</x:f>
        <x:v>35–44</x:v>
      </x:c>
      <x:c r="AK1236" s="17" t="str">
        <x:f>IF(AG1236&gt;=1000,"High Value",IF(AG1236&gt;=300,"Mid Value","Low Value"))</x:f>
        <x:v>High Value</x:v>
      </x:c>
      <x:c r="AL1236" s="17" t="str">
        <x:f>IF(AND(AI1236&gt;=1,I1236&lt;=50),"Priority 1",IF(AND(AG1236&gt;=1000,I1236&lt;=60),"Priority 2",IF(I1236&lt;=30,"Priority 3","Nurture")))</x:f>
        <x:v>Nurture</x:v>
      </x:c>
    </x:row>
    <x:row r="1237">
      <x:c r="A1237" s="16" t="n">
        <x:v>6918</x:v>
      </x:c>
      <x:c r="B1237" s="16" t="n">
        <x:v>1989</x:v>
      </x:c>
      <x:c r="C1237" s="16" t="str">
        <x:v>Graduation</x:v>
      </x:c>
      <x:c r="D1237" s="16" t="str">
        <x:v>Married</x:v>
      </x:c>
      <x:c r="E1237" s="16" t="n">
        <x:v>28691</x:v>
      </x:c>
      <x:c r="F1237" s="16" t="n">
        <x:v>1</x:v>
      </x:c>
      <x:c r="G1237" s="16" t="n">
        <x:v>0</x:v>
      </x:c>
      <x:c r="H1237" s="16" t="str">
        <x:v>04-07-2013</x:v>
      </x:c>
      <x:c r="I1237" s="16" t="n">
        <x:v>56</x:v>
      </x:c>
      <x:c r="J1237" s="16" t="n">
        <x:v>5</x:v>
      </x:c>
      <x:c r="K1237" s="16" t="n">
        <x:v>4</x:v>
      </x:c>
      <x:c r="L1237" s="16" t="n">
        <x:v>13</x:v>
      </x:c>
      <x:c r="M1237" s="16" t="n">
        <x:v>8</x:v>
      </x:c>
      <x:c r="N1237" s="16" t="n">
        <x:v>0</x:v>
      </x:c>
      <x:c r="O1237" s="16" t="n">
        <x:v>4</x:v>
      </x:c>
      <x:c r="P1237" s="16" t="n">
        <x:v>1</x:v>
      </x:c>
      <x:c r="Q1237" s="16" t="n">
        <x:v>1</x:v>
      </x:c>
      <x:c r="R1237" s="16" t="n">
        <x:v>0</x:v>
      </x:c>
      <x:c r="S1237" s="16" t="n">
        <x:v>3</x:v>
      </x:c>
      <x:c r="T1237" s="16" t="n">
        <x:v>8</x:v>
      </x:c>
      <x:c r="U1237" s="16" t="n">
        <x:v>0</x:v>
      </x:c>
      <x:c r="V1237" s="16" t="n">
        <x:v>0</x:v>
      </x:c>
      <x:c r="W1237" s="16" t="n">
        <x:v>0</x:v>
      </x:c>
      <x:c r="X1237" s="16" t="n">
        <x:v>0</x:v>
      </x:c>
      <x:c r="Y1237" s="16" t="n">
        <x:v>0</x:v>
      </x:c>
      <x:c r="Z1237" s="16" t="n">
        <x:v>0</x:v>
      </x:c>
      <x:c r="AA1237" s="16" t="n">
        <x:v>3</x:v>
      </x:c>
      <x:c r="AB1237" s="16" t="n">
        <x:v>11</x:v>
      </x:c>
      <x:c r="AC1237" s="16" t="n">
        <x:v>0</x:v>
      </x:c>
      <x:c r="AD1237" s="21" t="n">
        <x:f>IF(E1237="",MEDIAN($E$2:$E$2237),E1237)</x:f>
        <x:v>28691</x:v>
      </x:c>
      <x:c r="AE1237" s="17" t="n">
        <x:f>2014-B1237</x:f>
        <x:v>25</x:v>
      </x:c>
      <x:c r="AF1237" s="17" t="n">
        <x:f>F1237+G1237</x:f>
        <x:v>1</x:v>
      </x:c>
      <x:c r="AG1237" s="21" t="n">
        <x:f>SUM(J1237:O1237)</x:f>
        <x:v>34</x:v>
      </x:c>
      <x:c r="AH1237" s="17" t="n">
        <x:f>SUM(Q1237:S1237)</x:f>
        <x:v>4</x:v>
      </x:c>
      <x:c r="AI1237" s="17" t="n">
        <x:f>SUM(U1237:Y1237)</x:f>
        <x:v>0</x:v>
      </x:c>
      <x:c r="AJ1237" s="17" t="str">
        <x:f>IF(AE1237&lt;=34,"≤34",IF(AE1237&lt;=44,"35–44",IF(AE1237&lt;=54,"45–54",IF(AE1237&lt;=64,"55–64","65+"))))</x:f>
        <x:v>≤34</x:v>
      </x:c>
      <x:c r="AK1237" s="17" t="str">
        <x:f>IF(AG1237&gt;=1000,"High Value",IF(AG1237&gt;=300,"Mid Value","Low Value"))</x:f>
        <x:v>Low Value</x:v>
      </x:c>
      <x:c r="AL1237" s="17" t="str">
        <x:f>IF(AND(AI1237&gt;=1,I1237&lt;=50),"Priority 1",IF(AND(AG1237&gt;=1000,I1237&lt;=60),"Priority 2",IF(I1237&lt;=30,"Priority 3","Nurture")))</x:f>
        <x:v>Nurture</x:v>
      </x:c>
    </x:row>
    <x:row r="1238">
      <x:c r="A1238" s="16" t="n">
        <x:v>286</x:v>
      </x:c>
      <x:c r="B1238" s="16" t="n">
        <x:v>1952</x:v>
      </x:c>
      <x:c r="C1238" s="16" t="str">
        <x:v>Graduation</x:v>
      </x:c>
      <x:c r="D1238" s="16" t="str">
        <x:v>Single</x:v>
      </x:c>
      <x:c r="E1238" s="16" t="n">
        <x:v>44213</x:v>
      </x:c>
      <x:c r="F1238" s="16" t="n">
        <x:v>1</x:v>
      </x:c>
      <x:c r="G1238" s="16" t="n">
        <x:v>1</x:v>
      </x:c>
      <x:c r="H1238" s="16" t="str">
        <x:v>29-11-2013</x:v>
      </x:c>
      <x:c r="I1238" s="16" t="n">
        <x:v>48</x:v>
      </x:c>
      <x:c r="J1238" s="16" t="n">
        <x:v>95</x:v>
      </x:c>
      <x:c r="K1238" s="16" t="n">
        <x:v>11</x:v>
      </x:c>
      <x:c r="L1238" s="16" t="n">
        <x:v>35</x:v>
      </x:c>
      <x:c r="M1238" s="16" t="n">
        <x:v>0</x:v>
      </x:c>
      <x:c r="N1238" s="16" t="n">
        <x:v>4</x:v>
      </x:c>
      <x:c r="O1238" s="16" t="n">
        <x:v>7</x:v>
      </x:c>
      <x:c r="P1238" s="16" t="n">
        <x:v>4</x:v>
      </x:c>
      <x:c r="Q1238" s="16" t="n">
        <x:v>2</x:v>
      </x:c>
      <x:c r="R1238" s="16" t="n">
        <x:v>1</x:v>
      </x:c>
      <x:c r="S1238" s="16" t="n">
        <x:v>5</x:v>
      </x:c>
      <x:c r="T1238" s="16" t="n">
        <x:v>6</x:v>
      </x:c>
      <x:c r="U1238" s="16" t="n">
        <x:v>0</x:v>
      </x:c>
      <x:c r="V1238" s="16" t="n">
        <x:v>0</x:v>
      </x:c>
      <x:c r="W1238" s="16" t="n">
        <x:v>0</x:v>
      </x:c>
      <x:c r="X1238" s="16" t="n">
        <x:v>0</x:v>
      </x:c>
      <x:c r="Y1238" s="16" t="n">
        <x:v>0</x:v>
      </x:c>
      <x:c r="Z1238" s="16" t="n">
        <x:v>0</x:v>
      </x:c>
      <x:c r="AA1238" s="16" t="n">
        <x:v>3</x:v>
      </x:c>
      <x:c r="AB1238" s="16" t="n">
        <x:v>11</x:v>
      </x:c>
      <x:c r="AC1238" s="16" t="n">
        <x:v>0</x:v>
      </x:c>
      <x:c r="AD1238" s="21" t="n">
        <x:f>IF(E1238="",MEDIAN($E$2:$E$2237),E1238)</x:f>
        <x:v>44213</x:v>
      </x:c>
      <x:c r="AE1238" s="17" t="n">
        <x:f>2014-B1238</x:f>
        <x:v>62</x:v>
      </x:c>
      <x:c r="AF1238" s="17" t="n">
        <x:f>F1238+G1238</x:f>
        <x:v>2</x:v>
      </x:c>
      <x:c r="AG1238" s="21" t="n">
        <x:f>SUM(J1238:O1238)</x:f>
        <x:v>152</x:v>
      </x:c>
      <x:c r="AH1238" s="17" t="n">
        <x:f>SUM(Q1238:S1238)</x:f>
        <x:v>8</x:v>
      </x:c>
      <x:c r="AI1238" s="17" t="n">
        <x:f>SUM(U1238:Y1238)</x:f>
        <x:v>0</x:v>
      </x:c>
      <x:c r="AJ1238" s="17" t="str">
        <x:f>IF(AE1238&lt;=34,"≤34",IF(AE1238&lt;=44,"35–44",IF(AE1238&lt;=54,"45–54",IF(AE1238&lt;=64,"55–64","65+"))))</x:f>
        <x:v>55–64</x:v>
      </x:c>
      <x:c r="AK1238" s="17" t="str">
        <x:f>IF(AG1238&gt;=1000,"High Value",IF(AG1238&gt;=300,"Mid Value","Low Value"))</x:f>
        <x:v>Low Value</x:v>
      </x:c>
      <x:c r="AL1238" s="17" t="str">
        <x:f>IF(AND(AI1238&gt;=1,I1238&lt;=50),"Priority 1",IF(AND(AG1238&gt;=1000,I1238&lt;=60),"Priority 2",IF(I1238&lt;=30,"Priority 3","Nurture")))</x:f>
        <x:v>Nurture</x:v>
      </x:c>
    </x:row>
    <x:row r="1239">
      <x:c r="A1239" s="16" t="n">
        <x:v>11086</x:v>
      </x:c>
      <x:c r="B1239" s="16" t="n">
        <x:v>1984</x:v>
      </x:c>
      <x:c r="C1239" s="16" t="str">
        <x:v>Basic</x:v>
      </x:c>
      <x:c r="D1239" s="16" t="str">
        <x:v>Single</x:v>
      </x:c>
      <x:c r="E1239" s="16" t="n">
        <x:v>25707</x:v>
      </x:c>
      <x:c r="F1239" s="16" t="n">
        <x:v>1</x:v>
      </x:c>
      <x:c r="G1239" s="16" t="n">
        <x:v>0</x:v>
      </x:c>
      <x:c r="H1239" s="16" t="str">
        <x:v>18-01-2014</x:v>
      </x:c>
      <x:c r="I1239" s="16" t="n">
        <x:v>18</x:v>
      </x:c>
      <x:c r="J1239" s="16" t="n">
        <x:v>1</x:v>
      </x:c>
      <x:c r="K1239" s="16" t="n">
        <x:v>6</x:v>
      </x:c>
      <x:c r="L1239" s="16" t="n">
        <x:v>2</x:v>
      </x:c>
      <x:c r="M1239" s="16" t="n">
        <x:v>3</x:v>
      </x:c>
      <x:c r="N1239" s="16" t="n">
        <x:v>6</x:v>
      </x:c>
      <x:c r="O1239" s="16" t="n">
        <x:v>3</x:v>
      </x:c>
      <x:c r="P1239" s="16" t="n">
        <x:v>1</x:v>
      </x:c>
      <x:c r="Q1239" s="16" t="n">
        <x:v>1</x:v>
      </x:c>
      <x:c r="R1239" s="16" t="n">
        <x:v>0</x:v>
      </x:c>
      <x:c r="S1239" s="16" t="n">
        <x:v>3</x:v>
      </x:c>
      <x:c r="T1239" s="16" t="n">
        <x:v>7</x:v>
      </x:c>
      <x:c r="U1239" s="16" t="n">
        <x:v>0</x:v>
      </x:c>
      <x:c r="V1239" s="16" t="n">
        <x:v>0</x:v>
      </x:c>
      <x:c r="W1239" s="16" t="n">
        <x:v>0</x:v>
      </x:c>
      <x:c r="X1239" s="16" t="n">
        <x:v>0</x:v>
      </x:c>
      <x:c r="Y1239" s="16" t="n">
        <x:v>0</x:v>
      </x:c>
      <x:c r="Z1239" s="16" t="n">
        <x:v>0</x:v>
      </x:c>
      <x:c r="AA1239" s="16" t="n">
        <x:v>3</x:v>
      </x:c>
      <x:c r="AB1239" s="16" t="n">
        <x:v>11</x:v>
      </x:c>
      <x:c r="AC1239" s="16" t="n">
        <x:v>0</x:v>
      </x:c>
      <x:c r="AD1239" s="21" t="n">
        <x:f>IF(E1239="",MEDIAN($E$2:$E$2237),E1239)</x:f>
        <x:v>25707</x:v>
      </x:c>
      <x:c r="AE1239" s="17" t="n">
        <x:f>2014-B1239</x:f>
        <x:v>30</x:v>
      </x:c>
      <x:c r="AF1239" s="17" t="n">
        <x:f>F1239+G1239</x:f>
        <x:v>1</x:v>
      </x:c>
      <x:c r="AG1239" s="21" t="n">
        <x:f>SUM(J1239:O1239)</x:f>
        <x:v>21</x:v>
      </x:c>
      <x:c r="AH1239" s="17" t="n">
        <x:f>SUM(Q1239:S1239)</x:f>
        <x:v>4</x:v>
      </x:c>
      <x:c r="AI1239" s="17" t="n">
        <x:f>SUM(U1239:Y1239)</x:f>
        <x:v>0</x:v>
      </x:c>
      <x:c r="AJ1239" s="17" t="str">
        <x:f>IF(AE1239&lt;=34,"≤34",IF(AE1239&lt;=44,"35–44",IF(AE1239&lt;=54,"45–54",IF(AE1239&lt;=64,"55–64","65+"))))</x:f>
        <x:v>≤34</x:v>
      </x:c>
      <x:c r="AK1239" s="17" t="str">
        <x:f>IF(AG1239&gt;=1000,"High Value",IF(AG1239&gt;=300,"Mid Value","Low Value"))</x:f>
        <x:v>Low Value</x:v>
      </x:c>
      <x:c r="AL1239" s="17" t="str">
        <x:f>IF(AND(AI1239&gt;=1,I1239&lt;=50),"Priority 1",IF(AND(AG1239&gt;=1000,I1239&lt;=60),"Priority 2",IF(I1239&lt;=30,"Priority 3","Nurture")))</x:f>
        <x:v>Priority 3</x:v>
      </x:c>
    </x:row>
    <x:row r="1240">
      <x:c r="A1240" s="16" t="n">
        <x:v>1921</x:v>
      </x:c>
      <x:c r="B1240" s="16" t="n">
        <x:v>1967</x:v>
      </x:c>
      <x:c r="C1240" s="16" t="str">
        <x:v>PhD</x:v>
      </x:c>
      <x:c r="D1240" s="16" t="str">
        <x:v>Married</x:v>
      </x:c>
      <x:c r="E1240" s="16" t="n">
        <x:v>59062</x:v>
      </x:c>
      <x:c r="F1240" s="16" t="n">
        <x:v>2</x:v>
      </x:c>
      <x:c r="G1240" s="16" t="n">
        <x:v>1</x:v>
      </x:c>
      <x:c r="H1240" s="16" t="str">
        <x:v>03-10-2013</x:v>
      </x:c>
      <x:c r="I1240" s="16" t="n">
        <x:v>74</x:v>
      </x:c>
      <x:c r="J1240" s="16" t="n">
        <x:v>46</x:v>
      </x:c>
      <x:c r="K1240" s="16" t="n">
        <x:v>1</x:v>
      </x:c>
      <x:c r="L1240" s="16" t="n">
        <x:v>12</x:v>
      </x:c>
      <x:c r="M1240" s="16" t="n">
        <x:v>3</x:v>
      </x:c>
      <x:c r="N1240" s="16" t="n">
        <x:v>0</x:v>
      </x:c>
      <x:c r="O1240" s="16" t="n">
        <x:v>9</x:v>
      </x:c>
      <x:c r="P1240" s="16" t="n">
        <x:v>2</x:v>
      </x:c>
      <x:c r="Q1240" s="16" t="n">
        <x:v>2</x:v>
      </x:c>
      <x:c r="R1240" s="16" t="n">
        <x:v>0</x:v>
      </x:c>
      <x:c r="S1240" s="16" t="n">
        <x:v>3</x:v>
      </x:c>
      <x:c r="T1240" s="16" t="n">
        <x:v>4</x:v>
      </x:c>
      <x:c r="U1240" s="16" t="n">
        <x:v>0</x:v>
      </x:c>
      <x:c r="V1240" s="16" t="n">
        <x:v>0</x:v>
      </x:c>
      <x:c r="W1240" s="16" t="n">
        <x:v>0</x:v>
      </x:c>
      <x:c r="X1240" s="16" t="n">
        <x:v>0</x:v>
      </x:c>
      <x:c r="Y1240" s="16" t="n">
        <x:v>0</x:v>
      </x:c>
      <x:c r="Z1240" s="16" t="n">
        <x:v>0</x:v>
      </x:c>
      <x:c r="AA1240" s="16" t="n">
        <x:v>3</x:v>
      </x:c>
      <x:c r="AB1240" s="16" t="n">
        <x:v>11</x:v>
      </x:c>
      <x:c r="AC1240" s="16" t="n">
        <x:v>0</x:v>
      </x:c>
      <x:c r="AD1240" s="21" t="n">
        <x:f>IF(E1240="",MEDIAN($E$2:$E$2237),E1240)</x:f>
        <x:v>59062</x:v>
      </x:c>
      <x:c r="AE1240" s="17" t="n">
        <x:f>2014-B1240</x:f>
        <x:v>47</x:v>
      </x:c>
      <x:c r="AF1240" s="17" t="n">
        <x:f>F1240+G1240</x:f>
        <x:v>3</x:v>
      </x:c>
      <x:c r="AG1240" s="21" t="n">
        <x:f>SUM(J1240:O1240)</x:f>
        <x:v>71</x:v>
      </x:c>
      <x:c r="AH1240" s="17" t="n">
        <x:f>SUM(Q1240:S1240)</x:f>
        <x:v>5</x:v>
      </x:c>
      <x:c r="AI1240" s="17" t="n">
        <x:f>SUM(U1240:Y1240)</x:f>
        <x:v>0</x:v>
      </x:c>
      <x:c r="AJ1240" s="17" t="str">
        <x:f>IF(AE1240&lt;=34,"≤34",IF(AE1240&lt;=44,"35–44",IF(AE1240&lt;=54,"45–54",IF(AE1240&lt;=64,"55–64","65+"))))</x:f>
        <x:v>45–54</x:v>
      </x:c>
      <x:c r="AK1240" s="17" t="str">
        <x:f>IF(AG1240&gt;=1000,"High Value",IF(AG1240&gt;=300,"Mid Value","Low Value"))</x:f>
        <x:v>Low Value</x:v>
      </x:c>
      <x:c r="AL1240" s="17" t="str">
        <x:f>IF(AND(AI1240&gt;=1,I1240&lt;=50),"Priority 1",IF(AND(AG1240&gt;=1000,I1240&lt;=60),"Priority 2",IF(I1240&lt;=30,"Priority 3","Nurture")))</x:f>
        <x:v>Nurture</x:v>
      </x:c>
    </x:row>
    <x:row r="1241">
      <x:c r="A1241" s="16" t="n">
        <x:v>4138</x:v>
      </x:c>
      <x:c r="B1241" s="16" t="n">
        <x:v>1962</x:v>
      </x:c>
      <x:c r="C1241" s="16" t="str">
        <x:v>Graduation</x:v>
      </x:c>
      <x:c r="D1241" s="16" t="str">
        <x:v>Single</x:v>
      </x:c>
      <x:c r="E1241" s="16" t="n">
        <x:v>76624</x:v>
      </x:c>
      <x:c r="F1241" s="16" t="n">
        <x:v>0</x:v>
      </x:c>
      <x:c r="G1241" s="16" t="n">
        <x:v>1</x:v>
      </x:c>
      <x:c r="H1241" s="16" t="str">
        <x:v>24-05-2014</x:v>
      </x:c>
      <x:c r="I1241" s="16" t="n">
        <x:v>68</x:v>
      </x:c>
      <x:c r="J1241" s="16" t="n">
        <x:v>411</x:v>
      </x:c>
      <x:c r="K1241" s="16" t="n">
        <x:v>106</x:v>
      </x:c>
      <x:c r="L1241" s="16" t="n">
        <x:v>147</x:v>
      </x:c>
      <x:c r="M1241" s="16" t="n">
        <x:v>54</x:v>
      </x:c>
      <x:c r="N1241" s="16" t="n">
        <x:v>115</x:v>
      </x:c>
      <x:c r="O1241" s="16" t="n">
        <x:v>66</x:v>
      </x:c>
      <x:c r="P1241" s="16" t="n">
        <x:v>1</x:v>
      </x:c>
      <x:c r="Q1241" s="16" t="n">
        <x:v>5</x:v>
      </x:c>
      <x:c r="R1241" s="16" t="n">
        <x:v>10</x:v>
      </x:c>
      <x:c r="S1241" s="16" t="n">
        <x:v>7</x:v>
      </x:c>
      <x:c r="T1241" s="16" t="n">
        <x:v>1</x:v>
      </x:c>
      <x:c r="U1241" s="16" t="n">
        <x:v>1</x:v>
      </x:c>
      <x:c r="V1241" s="16" t="n">
        <x:v>0</x:v>
      </x:c>
      <x:c r="W1241" s="16" t="n">
        <x:v>0</x:v>
      </x:c>
      <x:c r="X1241" s="16" t="n">
        <x:v>0</x:v>
      </x:c>
      <x:c r="Y1241" s="16" t="n">
        <x:v>0</x:v>
      </x:c>
      <x:c r="Z1241" s="16" t="n">
        <x:v>0</x:v>
      </x:c>
      <x:c r="AA1241" s="16" t="n">
        <x:v>3</x:v>
      </x:c>
      <x:c r="AB1241" s="16" t="n">
        <x:v>11</x:v>
      </x:c>
      <x:c r="AC1241" s="16" t="n">
        <x:v>0</x:v>
      </x:c>
      <x:c r="AD1241" s="21" t="n">
        <x:f>IF(E1241="",MEDIAN($E$2:$E$2237),E1241)</x:f>
        <x:v>76624</x:v>
      </x:c>
      <x:c r="AE1241" s="17" t="n">
        <x:f>2014-B1241</x:f>
        <x:v>52</x:v>
      </x:c>
      <x:c r="AF1241" s="17" t="n">
        <x:f>F1241+G1241</x:f>
        <x:v>1</x:v>
      </x:c>
      <x:c r="AG1241" s="21" t="n">
        <x:f>SUM(J1241:O1241)</x:f>
        <x:v>899</x:v>
      </x:c>
      <x:c r="AH1241" s="17" t="n">
        <x:f>SUM(Q1241:S1241)</x:f>
        <x:v>22</x:v>
      </x:c>
      <x:c r="AI1241" s="17" t="n">
        <x:f>SUM(U1241:Y1241)</x:f>
        <x:v>1</x:v>
      </x:c>
      <x:c r="AJ1241" s="17" t="str">
        <x:f>IF(AE1241&lt;=34,"≤34",IF(AE1241&lt;=44,"35–44",IF(AE1241&lt;=54,"45–54",IF(AE1241&lt;=64,"55–64","65+"))))</x:f>
        <x:v>45–54</x:v>
      </x:c>
      <x:c r="AK1241" s="17" t="str">
        <x:f>IF(AG1241&gt;=1000,"High Value",IF(AG1241&gt;=300,"Mid Value","Low Value"))</x:f>
        <x:v>Mid Value</x:v>
      </x:c>
      <x:c r="AL1241" s="17" t="str">
        <x:f>IF(AND(AI1241&gt;=1,I1241&lt;=50),"Priority 1",IF(AND(AG1241&gt;=1000,I1241&lt;=60),"Priority 2",IF(I1241&lt;=30,"Priority 3","Nurture")))</x:f>
        <x:v>Nurture</x:v>
      </x:c>
    </x:row>
    <x:row r="1242">
      <x:c r="A1242" s="16" t="n">
        <x:v>7718</x:v>
      </x:c>
      <x:c r="B1242" s="16" t="n">
        <x:v>1947</x:v>
      </x:c>
      <x:c r="C1242" s="16" t="str">
        <x:v>Master</x:v>
      </x:c>
      <x:c r="D1242" s="16" t="str">
        <x:v>Together</x:v>
      </x:c>
      <x:c r="E1242" s="16" t="n">
        <x:v>66000</x:v>
      </x:c>
      <x:c r="F1242" s="16" t="n">
        <x:v>0</x:v>
      </x:c>
      <x:c r="G1242" s="16" t="n">
        <x:v>0</x:v>
      </x:c>
      <x:c r="H1242" s="16" t="str">
        <x:v>20-04-2014</x:v>
      </x:c>
      <x:c r="I1242" s="16" t="n">
        <x:v>36</x:v>
      </x:c>
      <x:c r="J1242" s="16" t="n">
        <x:v>244</x:v>
      </x:c>
      <x:c r="K1242" s="16" t="n">
        <x:v>51</x:v>
      </x:c>
      <x:c r="L1242" s="16" t="n">
        <x:v>270</x:v>
      </x:c>
      <x:c r="M1242" s="16" t="n">
        <x:v>101</x:v>
      </x:c>
      <x:c r="N1242" s="16" t="n">
        <x:v>0</x:v>
      </x:c>
      <x:c r="O1242" s="16" t="n">
        <x:v>45</x:v>
      </x:c>
      <x:c r="P1242" s="16" t="n">
        <x:v>1</x:v>
      </x:c>
      <x:c r="Q1242" s="16" t="n">
        <x:v>1</x:v>
      </x:c>
      <x:c r="R1242" s="16" t="n">
        <x:v>3</x:v>
      </x:c>
      <x:c r="S1242" s="16" t="n">
        <x:v>5</x:v>
      </x:c>
      <x:c r="T1242" s="16" t="n">
        <x:v>1</x:v>
      </x:c>
      <x:c r="U1242" s="16" t="n">
        <x:v>0</x:v>
      </x:c>
      <x:c r="V1242" s="16" t="n">
        <x:v>0</x:v>
      </x:c>
      <x:c r="W1242" s="16" t="n">
        <x:v>0</x:v>
      </x:c>
      <x:c r="X1242" s="16" t="n">
        <x:v>0</x:v>
      </x:c>
      <x:c r="Y1242" s="16" t="n">
        <x:v>0</x:v>
      </x:c>
      <x:c r="Z1242" s="16" t="n">
        <x:v>0</x:v>
      </x:c>
      <x:c r="AA1242" s="16" t="n">
        <x:v>3</x:v>
      </x:c>
      <x:c r="AB1242" s="16" t="n">
        <x:v>11</x:v>
      </x:c>
      <x:c r="AC1242" s="16" t="n">
        <x:v>0</x:v>
      </x:c>
      <x:c r="AD1242" s="21" t="n">
        <x:f>IF(E1242="",MEDIAN($E$2:$E$2237),E1242)</x:f>
        <x:v>66000</x:v>
      </x:c>
      <x:c r="AE1242" s="17" t="n">
        <x:f>2014-B1242</x:f>
        <x:v>67</x:v>
      </x:c>
      <x:c r="AF1242" s="17" t="n">
        <x:f>F1242+G1242</x:f>
        <x:v>0</x:v>
      </x:c>
      <x:c r="AG1242" s="21" t="n">
        <x:f>SUM(J1242:O1242)</x:f>
        <x:v>711</x:v>
      </x:c>
      <x:c r="AH1242" s="17" t="n">
        <x:f>SUM(Q1242:S1242)</x:f>
        <x:v>9</x:v>
      </x:c>
      <x:c r="AI1242" s="17" t="n">
        <x:f>SUM(U1242:Y1242)</x:f>
        <x:v>0</x:v>
      </x:c>
      <x:c r="AJ1242" s="17" t="str">
        <x:f>IF(AE1242&lt;=34,"≤34",IF(AE1242&lt;=44,"35–44",IF(AE1242&lt;=54,"45–54",IF(AE1242&lt;=64,"55–64","65+"))))</x:f>
        <x:v>65+</x:v>
      </x:c>
      <x:c r="AK1242" s="17" t="str">
        <x:f>IF(AG1242&gt;=1000,"High Value",IF(AG1242&gt;=300,"Mid Value","Low Value"))</x:f>
        <x:v>Mid Value</x:v>
      </x:c>
      <x:c r="AL1242" s="17" t="str">
        <x:f>IF(AND(AI1242&gt;=1,I1242&lt;=50),"Priority 1",IF(AND(AG1242&gt;=1000,I1242&lt;=60),"Priority 2",IF(I1242&lt;=30,"Priority 3","Nurture")))</x:f>
        <x:v>Nurture</x:v>
      </x:c>
    </x:row>
    <x:row r="1243">
      <x:c r="A1243" s="16" t="n">
        <x:v>1291</x:v>
      </x:c>
      <x:c r="B1243" s="16" t="n">
        <x:v>1978</x:v>
      </x:c>
      <x:c r="C1243" s="16" t="str">
        <x:v>PhD</x:v>
      </x:c>
      <x:c r="D1243" s="16" t="str">
        <x:v>Together</x:v>
      </x:c>
      <x:c r="E1243" s="16" t="n">
        <x:v>27683</x:v>
      </x:c>
      <x:c r="F1243" s="16" t="n">
        <x:v>1</x:v>
      </x:c>
      <x:c r="G1243" s="16" t="n">
        <x:v>0</x:v>
      </x:c>
      <x:c r="H1243" s="16" t="str">
        <x:v>04-08-2012</x:v>
      </x:c>
      <x:c r="I1243" s="16" t="n">
        <x:v>90</x:v>
      </x:c>
      <x:c r="J1243" s="16" t="n">
        <x:v>152</x:v>
      </x:c>
      <x:c r="K1243" s="16" t="n">
        <x:v>9</x:v>
      </x:c>
      <x:c r="L1243" s="16" t="n">
        <x:v>121</x:v>
      </x:c>
      <x:c r="M1243" s="16" t="n">
        <x:v>12</x:v>
      </x:c>
      <x:c r="N1243" s="16" t="n">
        <x:v>12</x:v>
      </x:c>
      <x:c r="O1243" s="16" t="n">
        <x:v>45</x:v>
      </x:c>
      <x:c r="P1243" s="16" t="n">
        <x:v>4</x:v>
      </x:c>
      <x:c r="Q1243" s="16" t="n">
        <x:v>6</x:v>
      </x:c>
      <x:c r="R1243" s="16" t="n">
        <x:v>2</x:v>
      </x:c>
      <x:c r="S1243" s="16" t="n">
        <x:v>4</x:v>
      </x:c>
      <x:c r="T1243" s="16" t="n">
        <x:v>8</x:v>
      </x:c>
      <x:c r="U1243" s="16" t="n">
        <x:v>0</x:v>
      </x:c>
      <x:c r="V1243" s="16" t="n">
        <x:v>0</x:v>
      </x:c>
      <x:c r="W1243" s="16" t="n">
        <x:v>0</x:v>
      </x:c>
      <x:c r="X1243" s="16" t="n">
        <x:v>0</x:v>
      </x:c>
      <x:c r="Y1243" s="16" t="n">
        <x:v>0</x:v>
      </x:c>
      <x:c r="Z1243" s="16" t="n">
        <x:v>0</x:v>
      </x:c>
      <x:c r="AA1243" s="16" t="n">
        <x:v>3</x:v>
      </x:c>
      <x:c r="AB1243" s="16" t="n">
        <x:v>11</x:v>
      </x:c>
      <x:c r="AC1243" s="16" t="n">
        <x:v>0</x:v>
      </x:c>
      <x:c r="AD1243" s="21" t="n">
        <x:f>IF(E1243="",MEDIAN($E$2:$E$2237),E1243)</x:f>
        <x:v>27683</x:v>
      </x:c>
      <x:c r="AE1243" s="17" t="n">
        <x:f>2014-B1243</x:f>
        <x:v>36</x:v>
      </x:c>
      <x:c r="AF1243" s="17" t="n">
        <x:f>F1243+G1243</x:f>
        <x:v>1</x:v>
      </x:c>
      <x:c r="AG1243" s="21" t="n">
        <x:f>SUM(J1243:O1243)</x:f>
        <x:v>351</x:v>
      </x:c>
      <x:c r="AH1243" s="17" t="n">
        <x:f>SUM(Q1243:S1243)</x:f>
        <x:v>12</x:v>
      </x:c>
      <x:c r="AI1243" s="17" t="n">
        <x:f>SUM(U1243:Y1243)</x:f>
        <x:v>0</x:v>
      </x:c>
      <x:c r="AJ1243" s="17" t="str">
        <x:f>IF(AE1243&lt;=34,"≤34",IF(AE1243&lt;=44,"35–44",IF(AE1243&lt;=54,"45–54",IF(AE1243&lt;=64,"55–64","65+"))))</x:f>
        <x:v>35–44</x:v>
      </x:c>
      <x:c r="AK1243" s="17" t="str">
        <x:f>IF(AG1243&gt;=1000,"High Value",IF(AG1243&gt;=300,"Mid Value","Low Value"))</x:f>
        <x:v>Mid Value</x:v>
      </x:c>
      <x:c r="AL1243" s="17" t="str">
        <x:f>IF(AND(AI1243&gt;=1,I1243&lt;=50),"Priority 1",IF(AND(AG1243&gt;=1000,I1243&lt;=60),"Priority 2",IF(I1243&lt;=30,"Priority 3","Nurture")))</x:f>
        <x:v>Nurture</x:v>
      </x:c>
    </x:row>
    <x:row r="1244">
      <x:c r="A1244" s="16" t="n">
        <x:v>6862</x:v>
      </x:c>
      <x:c r="B1244" s="16" t="n">
        <x:v>1971</x:v>
      </x:c>
      <x:c r="C1244" s="16" t="str">
        <x:v>Graduation</x:v>
      </x:c>
      <x:c r="D1244" s="16" t="str">
        <x:v>Divorced</x:v>
      </x:c>
      <x:c r="E1244" s="16" t="n">
        <x:v>1730</x:v>
      </x:c>
      <x:c r="F1244" s="16" t="n">
        <x:v>0</x:v>
      </x:c>
      <x:c r="G1244" s="16" t="n">
        <x:v>0</x:v>
      </x:c>
      <x:c r="H1244" s="16" t="str">
        <x:v>18-05-2014</x:v>
      </x:c>
      <x:c r="I1244" s="16" t="n">
        <x:v>65</x:v>
      </x:c>
      <x:c r="J1244" s="16" t="n">
        <x:v>1</x:v>
      </x:c>
      <x:c r="K1244" s="16" t="n">
        <x:v>1</x:v>
      </x:c>
      <x:c r="L1244" s="16" t="n">
        <x:v>3</x:v>
      </x:c>
      <x:c r="M1244" s="16" t="n">
        <x:v>1</x:v>
      </x:c>
      <x:c r="N1244" s="16" t="n">
        <x:v>1</x:v>
      </x:c>
      <x:c r="O1244" s="16" t="n">
        <x:v>1</x:v>
      </x:c>
      <x:c r="P1244" s="16" t="n">
        <x:v>15</x:v>
      </x:c>
      <x:c r="Q1244" s="16" t="n">
        <x:v>0</x:v>
      </x:c>
      <x:c r="R1244" s="16" t="n">
        <x:v>0</x:v>
      </x:c>
      <x:c r="S1244" s="16" t="n">
        <x:v>0</x:v>
      </x:c>
      <x:c r="T1244" s="16" t="n">
        <x:v>20</x:v>
      </x:c>
      <x:c r="U1244" s="16" t="n">
        <x:v>0</x:v>
      </x:c>
      <x:c r="V1244" s="16" t="n">
        <x:v>0</x:v>
      </x:c>
      <x:c r="W1244" s="16" t="n">
        <x:v>0</x:v>
      </x:c>
      <x:c r="X1244" s="16" t="n">
        <x:v>0</x:v>
      </x:c>
      <x:c r="Y1244" s="16" t="n">
        <x:v>0</x:v>
      </x:c>
      <x:c r="Z1244" s="16" t="n">
        <x:v>0</x:v>
      </x:c>
      <x:c r="AA1244" s="16" t="n">
        <x:v>3</x:v>
      </x:c>
      <x:c r="AB1244" s="16" t="n">
        <x:v>11</x:v>
      </x:c>
      <x:c r="AC1244" s="16" t="n">
        <x:v>0</x:v>
      </x:c>
      <x:c r="AD1244" s="21" t="n">
        <x:f>IF(E1244="",MEDIAN($E$2:$E$2237),E1244)</x:f>
        <x:v>1730</x:v>
      </x:c>
      <x:c r="AE1244" s="17" t="n">
        <x:f>2014-B1244</x:f>
        <x:v>43</x:v>
      </x:c>
      <x:c r="AF1244" s="17" t="n">
        <x:f>F1244+G1244</x:f>
        <x:v>0</x:v>
      </x:c>
      <x:c r="AG1244" s="21" t="n">
        <x:f>SUM(J1244:O1244)</x:f>
        <x:v>8</x:v>
      </x:c>
      <x:c r="AH1244" s="17" t="n">
        <x:f>SUM(Q1244:S1244)</x:f>
        <x:v>0</x:v>
      </x:c>
      <x:c r="AI1244" s="17" t="n">
        <x:f>SUM(U1244:Y1244)</x:f>
        <x:v>0</x:v>
      </x:c>
      <x:c r="AJ1244" s="17" t="str">
        <x:f>IF(AE1244&lt;=34,"≤34",IF(AE1244&lt;=44,"35–44",IF(AE1244&lt;=54,"45–54",IF(AE1244&lt;=64,"55–64","65+"))))</x:f>
        <x:v>35–44</x:v>
      </x:c>
      <x:c r="AK1244" s="17" t="str">
        <x:f>IF(AG1244&gt;=1000,"High Value",IF(AG1244&gt;=300,"Mid Value","Low Value"))</x:f>
        <x:v>Low Value</x:v>
      </x:c>
      <x:c r="AL1244" s="17" t="str">
        <x:f>IF(AND(AI1244&gt;=1,I1244&lt;=50),"Priority 1",IF(AND(AG1244&gt;=1000,I1244&lt;=60),"Priority 2",IF(I1244&lt;=30,"Priority 3","Nurture")))</x:f>
        <x:v>Nurture</x:v>
      </x:c>
    </x:row>
    <x:row r="1245">
      <x:c r="A1245" s="16" t="n">
        <x:v>4136</x:v>
      </x:c>
      <x:c r="B1245" s="16" t="n">
        <x:v>1992</x:v>
      </x:c>
      <x:c r="C1245" s="16" t="str">
        <x:v>Basic</x:v>
      </x:c>
      <x:c r="D1245" s="16" t="str">
        <x:v>Single</x:v>
      </x:c>
      <x:c r="E1245" s="16" t="n">
        <x:v>7500</x:v>
      </x:c>
      <x:c r="F1245" s="16" t="n">
        <x:v>1</x:v>
      </x:c>
      <x:c r="G1245" s="16" t="n">
        <x:v>0</x:v>
      </x:c>
      <x:c r="H1245" s="16" t="str">
        <x:v>03-12-2012</x:v>
      </x:c>
      <x:c r="I1245" s="16" t="n">
        <x:v>63</x:v>
      </x:c>
      <x:c r="J1245" s="16" t="n">
        <x:v>10</x:v>
      </x:c>
      <x:c r="K1245" s="16" t="n">
        <x:v>17</x:v>
      </x:c>
      <x:c r="L1245" s="16" t="n">
        <x:v>18</x:v>
      </x:c>
      <x:c r="M1245" s="16" t="n">
        <x:v>8</x:v>
      </x:c>
      <x:c r="N1245" s="16" t="n">
        <x:v>26</x:v>
      </x:c>
      <x:c r="O1245" s="16" t="n">
        <x:v>40</x:v>
      </x:c>
      <x:c r="P1245" s="16" t="n">
        <x:v>4</x:v>
      </x:c>
      <x:c r="Q1245" s="16" t="n">
        <x:v>3</x:v>
      </x:c>
      <x:c r="R1245" s="16" t="n">
        <x:v>2</x:v>
      </x:c>
      <x:c r="S1245" s="16" t="n">
        <x:v>2</x:v>
      </x:c>
      <x:c r="T1245" s="16" t="n">
        <x:v>9</x:v>
      </x:c>
      <x:c r="U1245" s="16" t="n">
        <x:v>0</x:v>
      </x:c>
      <x:c r="V1245" s="16" t="n">
        <x:v>0</x:v>
      </x:c>
      <x:c r="W1245" s="16" t="n">
        <x:v>0</x:v>
      </x:c>
      <x:c r="X1245" s="16" t="n">
        <x:v>0</x:v>
      </x:c>
      <x:c r="Y1245" s="16" t="n">
        <x:v>0</x:v>
      </x:c>
      <x:c r="Z1245" s="16" t="n">
        <x:v>0</x:v>
      </x:c>
      <x:c r="AA1245" s="16" t="n">
        <x:v>3</x:v>
      </x:c>
      <x:c r="AB1245" s="16" t="n">
        <x:v>11</x:v>
      </x:c>
      <x:c r="AC1245" s="16" t="n">
        <x:v>0</x:v>
      </x:c>
      <x:c r="AD1245" s="21" t="n">
        <x:f>IF(E1245="",MEDIAN($E$2:$E$2237),E1245)</x:f>
        <x:v>7500</x:v>
      </x:c>
      <x:c r="AE1245" s="17" t="n">
        <x:f>2014-B1245</x:f>
        <x:v>22</x:v>
      </x:c>
      <x:c r="AF1245" s="17" t="n">
        <x:f>F1245+G1245</x:f>
        <x:v>1</x:v>
      </x:c>
      <x:c r="AG1245" s="21" t="n">
        <x:f>SUM(J1245:O1245)</x:f>
        <x:v>119</x:v>
      </x:c>
      <x:c r="AH1245" s="17" t="n">
        <x:f>SUM(Q1245:S1245)</x:f>
        <x:v>7</x:v>
      </x:c>
      <x:c r="AI1245" s="17" t="n">
        <x:f>SUM(U1245:Y1245)</x:f>
        <x:v>0</x:v>
      </x:c>
      <x:c r="AJ1245" s="17" t="str">
        <x:f>IF(AE1245&lt;=34,"≤34",IF(AE1245&lt;=44,"35–44",IF(AE1245&lt;=54,"45–54",IF(AE1245&lt;=64,"55–64","65+"))))</x:f>
        <x:v>≤34</x:v>
      </x:c>
      <x:c r="AK1245" s="17" t="str">
        <x:f>IF(AG1245&gt;=1000,"High Value",IF(AG1245&gt;=300,"Mid Value","Low Value"))</x:f>
        <x:v>Low Value</x:v>
      </x:c>
      <x:c r="AL1245" s="17" t="str">
        <x:f>IF(AND(AI1245&gt;=1,I1245&lt;=50),"Priority 1",IF(AND(AG1245&gt;=1000,I1245&lt;=60),"Priority 2",IF(I1245&lt;=30,"Priority 3","Nurture")))</x:f>
        <x:v>Nurture</x:v>
      </x:c>
    </x:row>
    <x:row r="1246">
      <x:c r="A1246" s="16" t="n">
        <x:v>803</x:v>
      </x:c>
      <x:c r="B1246" s="16" t="n">
        <x:v>1968</x:v>
      </x:c>
      <x:c r="C1246" s="16" t="str">
        <x:v>Graduation</x:v>
      </x:c>
      <x:c r="D1246" s="16" t="str">
        <x:v>Together</x:v>
      </x:c>
      <x:c r="E1246" s="16" t="n">
        <x:v>40521</x:v>
      </x:c>
      <x:c r="F1246" s="16" t="n">
        <x:v>1</x:v>
      </x:c>
      <x:c r="G1246" s="16" t="n">
        <x:v>1</x:v>
      </x:c>
      <x:c r="H1246" s="16" t="str">
        <x:v>05-04-2013</x:v>
      </x:c>
      <x:c r="I1246" s="16" t="n">
        <x:v>82</x:v>
      </x:c>
      <x:c r="J1246" s="16" t="n">
        <x:v>12</x:v>
      </x:c>
      <x:c r="K1246" s="16" t="n">
        <x:v>0</x:v>
      </x:c>
      <x:c r="L1246" s="16" t="n">
        <x:v>5</x:v>
      </x:c>
      <x:c r="M1246" s="16" t="n">
        <x:v>0</x:v>
      </x:c>
      <x:c r="N1246" s="16" t="n">
        <x:v>0</x:v>
      </x:c>
      <x:c r="O1246" s="16" t="n">
        <x:v>4</x:v>
      </x:c>
      <x:c r="P1246" s="16" t="n">
        <x:v>1</x:v>
      </x:c>
      <x:c r="Q1246" s="16" t="n">
        <x:v>0</x:v>
      </x:c>
      <x:c r="R1246" s="16" t="n">
        <x:v>1</x:v>
      </x:c>
      <x:c r="S1246" s="16" t="n">
        <x:v>2</x:v>
      </x:c>
      <x:c r="T1246" s="16" t="n">
        <x:v>5</x:v>
      </x:c>
      <x:c r="U1246" s="16" t="n">
        <x:v>0</x:v>
      </x:c>
      <x:c r="V1246" s="16" t="n">
        <x:v>0</x:v>
      </x:c>
      <x:c r="W1246" s="16" t="n">
        <x:v>0</x:v>
      </x:c>
      <x:c r="X1246" s="16" t="n">
        <x:v>0</x:v>
      </x:c>
      <x:c r="Y1246" s="16" t="n">
        <x:v>0</x:v>
      </x:c>
      <x:c r="Z1246" s="16" t="n">
        <x:v>0</x:v>
      </x:c>
      <x:c r="AA1246" s="16" t="n">
        <x:v>3</x:v>
      </x:c>
      <x:c r="AB1246" s="16" t="n">
        <x:v>11</x:v>
      </x:c>
      <x:c r="AC1246" s="16" t="n">
        <x:v>0</x:v>
      </x:c>
      <x:c r="AD1246" s="21" t="n">
        <x:f>IF(E1246="",MEDIAN($E$2:$E$2237),E1246)</x:f>
        <x:v>40521</x:v>
      </x:c>
      <x:c r="AE1246" s="17" t="n">
        <x:f>2014-B1246</x:f>
        <x:v>46</x:v>
      </x:c>
      <x:c r="AF1246" s="17" t="n">
        <x:f>F1246+G1246</x:f>
        <x:v>2</x:v>
      </x:c>
      <x:c r="AG1246" s="21" t="n">
        <x:f>SUM(J1246:O1246)</x:f>
        <x:v>21</x:v>
      </x:c>
      <x:c r="AH1246" s="17" t="n">
        <x:f>SUM(Q1246:S1246)</x:f>
        <x:v>3</x:v>
      </x:c>
      <x:c r="AI1246" s="17" t="n">
        <x:f>SUM(U1246:Y1246)</x:f>
        <x:v>0</x:v>
      </x:c>
      <x:c r="AJ1246" s="17" t="str">
        <x:f>IF(AE1246&lt;=34,"≤34",IF(AE1246&lt;=44,"35–44",IF(AE1246&lt;=54,"45–54",IF(AE1246&lt;=64,"55–64","65+"))))</x:f>
        <x:v>45–54</x:v>
      </x:c>
      <x:c r="AK1246" s="17" t="str">
        <x:f>IF(AG1246&gt;=1000,"High Value",IF(AG1246&gt;=300,"Mid Value","Low Value"))</x:f>
        <x:v>Low Value</x:v>
      </x:c>
      <x:c r="AL1246" s="17" t="str">
        <x:f>IF(AND(AI1246&gt;=1,I1246&lt;=50),"Priority 1",IF(AND(AG1246&gt;=1000,I1246&lt;=60),"Priority 2",IF(I1246&lt;=30,"Priority 3","Nurture")))</x:f>
        <x:v>Nurture</x:v>
      </x:c>
    </x:row>
    <x:row r="1247">
      <x:c r="A1247" s="16" t="n">
        <x:v>4298</x:v>
      </x:c>
      <x:c r="B1247" s="16" t="n">
        <x:v>1973</x:v>
      </x:c>
      <x:c r="C1247" s="16" t="str">
        <x:v>PhD</x:v>
      </x:c>
      <x:c r="D1247" s="16" t="str">
        <x:v>Together</x:v>
      </x:c>
      <x:c r="E1247" s="16" t="n">
        <x:v>20427</x:v>
      </x:c>
      <x:c r="F1247" s="16" t="n">
        <x:v>1</x:v>
      </x:c>
      <x:c r="G1247" s="16" t="n">
        <x:v>0</x:v>
      </x:c>
      <x:c r="H1247" s="16" t="str">
        <x:v>24-03-2014</x:v>
      </x:c>
      <x:c r="I1247" s="16" t="n">
        <x:v>63</x:v>
      </x:c>
      <x:c r="J1247" s="16" t="n">
        <x:v>5</x:v>
      </x:c>
      <x:c r="K1247" s="16" t="n">
        <x:v>0</x:v>
      </x:c>
      <x:c r="L1247" s="16" t="n">
        <x:v>4</x:v>
      </x:c>
      <x:c r="M1247" s="16" t="n">
        <x:v>0</x:v>
      </x:c>
      <x:c r="N1247" s="16" t="n">
        <x:v>0</x:v>
      </x:c>
      <x:c r="O1247" s="16" t="n">
        <x:v>1</x:v>
      </x:c>
      <x:c r="P1247" s="16" t="n">
        <x:v>1</x:v>
      </x:c>
      <x:c r="Q1247" s="16" t="n">
        <x:v>1</x:v>
      </x:c>
      <x:c r="R1247" s="16" t="n">
        <x:v>0</x:v>
      </x:c>
      <x:c r="S1247" s="16" t="n">
        <x:v>2</x:v>
      </x:c>
      <x:c r="T1247" s="16" t="n">
        <x:v>8</x:v>
      </x:c>
      <x:c r="U1247" s="16" t="n">
        <x:v>0</x:v>
      </x:c>
      <x:c r="V1247" s="16" t="n">
        <x:v>0</x:v>
      </x:c>
      <x:c r="W1247" s="16" t="n">
        <x:v>0</x:v>
      </x:c>
      <x:c r="X1247" s="16" t="n">
        <x:v>0</x:v>
      </x:c>
      <x:c r="Y1247" s="16" t="n">
        <x:v>0</x:v>
      </x:c>
      <x:c r="Z1247" s="16" t="n">
        <x:v>0</x:v>
      </x:c>
      <x:c r="AA1247" s="16" t="n">
        <x:v>3</x:v>
      </x:c>
      <x:c r="AB1247" s="16" t="n">
        <x:v>11</x:v>
      </x:c>
      <x:c r="AC1247" s="16" t="n">
        <x:v>0</x:v>
      </x:c>
      <x:c r="AD1247" s="21" t="n">
        <x:f>IF(E1247="",MEDIAN($E$2:$E$2237),E1247)</x:f>
        <x:v>20427</x:v>
      </x:c>
      <x:c r="AE1247" s="17" t="n">
        <x:f>2014-B1247</x:f>
        <x:v>41</x:v>
      </x:c>
      <x:c r="AF1247" s="17" t="n">
        <x:f>F1247+G1247</x:f>
        <x:v>1</x:v>
      </x:c>
      <x:c r="AG1247" s="21" t="n">
        <x:f>SUM(J1247:O1247)</x:f>
        <x:v>10</x:v>
      </x:c>
      <x:c r="AH1247" s="17" t="n">
        <x:f>SUM(Q1247:S1247)</x:f>
        <x:v>3</x:v>
      </x:c>
      <x:c r="AI1247" s="17" t="n">
        <x:f>SUM(U1247:Y1247)</x:f>
        <x:v>0</x:v>
      </x:c>
      <x:c r="AJ1247" s="17" t="str">
        <x:f>IF(AE1247&lt;=34,"≤34",IF(AE1247&lt;=44,"35–44",IF(AE1247&lt;=54,"45–54",IF(AE1247&lt;=64,"55–64","65+"))))</x:f>
        <x:v>35–44</x:v>
      </x:c>
      <x:c r="AK1247" s="17" t="str">
        <x:f>IF(AG1247&gt;=1000,"High Value",IF(AG1247&gt;=300,"Mid Value","Low Value"))</x:f>
        <x:v>Low Value</x:v>
      </x:c>
      <x:c r="AL1247" s="17" t="str">
        <x:f>IF(AND(AI1247&gt;=1,I1247&lt;=50),"Priority 1",IF(AND(AG1247&gt;=1000,I1247&lt;=60),"Priority 2",IF(I1247&lt;=30,"Priority 3","Nurture")))</x:f>
        <x:v>Nurture</x:v>
      </x:c>
    </x:row>
    <x:row r="1248">
      <x:c r="A1248" s="16" t="n">
        <x:v>10833</x:v>
      </x:c>
      <x:c r="B1248" s="16" t="n">
        <x:v>1975</x:v>
      </x:c>
      <x:c r="C1248" s="16" t="str">
        <x:v>Graduation</x:v>
      </x:c>
      <x:c r="D1248" s="16" t="str">
        <x:v>Married</x:v>
      </x:c>
      <x:c r="E1248" s="16" t="n">
        <x:v>65106</x:v>
      </x:c>
      <x:c r="F1248" s="16" t="n">
        <x:v>0</x:v>
      </x:c>
      <x:c r="G1248" s="16" t="n">
        <x:v>1</x:v>
      </x:c>
      <x:c r="H1248" s="16" t="str">
        <x:v>24-05-2014</x:v>
      </x:c>
      <x:c r="I1248" s="16" t="n">
        <x:v>55</x:v>
      </x:c>
      <x:c r="J1248" s="16" t="n">
        <x:v>790</x:v>
      </x:c>
      <x:c r="K1248" s="16" t="n">
        <x:v>19</x:v>
      </x:c>
      <x:c r="L1248" s="16" t="n">
        <x:v>133</x:v>
      </x:c>
      <x:c r="M1248" s="16" t="n">
        <x:v>12</x:v>
      </x:c>
      <x:c r="N1248" s="16" t="n">
        <x:v>0</x:v>
      </x:c>
      <x:c r="O1248" s="16" t="n">
        <x:v>19</x:v>
      </x:c>
      <x:c r="P1248" s="16" t="n">
        <x:v>3</x:v>
      </x:c>
      <x:c r="Q1248" s="16" t="n">
        <x:v>8</x:v>
      </x:c>
      <x:c r="R1248" s="16" t="n">
        <x:v>3</x:v>
      </x:c>
      <x:c r="S1248" s="16" t="n">
        <x:v>13</x:v>
      </x:c>
      <x:c r="T1248" s="16" t="n">
        <x:v>6</x:v>
      </x:c>
      <x:c r="U1248" s="16" t="n">
        <x:v>0</x:v>
      </x:c>
      <x:c r="V1248" s="16" t="n">
        <x:v>1</x:v>
      </x:c>
      <x:c r="W1248" s="16" t="n">
        <x:v>0</x:v>
      </x:c>
      <x:c r="X1248" s="16" t="n">
        <x:v>0</x:v>
      </x:c>
      <x:c r="Y1248" s="16" t="n">
        <x:v>0</x:v>
      </x:c>
      <x:c r="Z1248" s="16" t="n">
        <x:v>0</x:v>
      </x:c>
      <x:c r="AA1248" s="16" t="n">
        <x:v>3</x:v>
      </x:c>
      <x:c r="AB1248" s="16" t="n">
        <x:v>11</x:v>
      </x:c>
      <x:c r="AC1248" s="16" t="n">
        <x:v>0</x:v>
      </x:c>
      <x:c r="AD1248" s="21" t="n">
        <x:f>IF(E1248="",MEDIAN($E$2:$E$2237),E1248)</x:f>
        <x:v>65106</x:v>
      </x:c>
      <x:c r="AE1248" s="17" t="n">
        <x:f>2014-B1248</x:f>
        <x:v>39</x:v>
      </x:c>
      <x:c r="AF1248" s="17" t="n">
        <x:f>F1248+G1248</x:f>
        <x:v>1</x:v>
      </x:c>
      <x:c r="AG1248" s="21" t="n">
        <x:f>SUM(J1248:O1248)</x:f>
        <x:v>973</x:v>
      </x:c>
      <x:c r="AH1248" s="17" t="n">
        <x:f>SUM(Q1248:S1248)</x:f>
        <x:v>24</x:v>
      </x:c>
      <x:c r="AI1248" s="17" t="n">
        <x:f>SUM(U1248:Y1248)</x:f>
        <x:v>1</x:v>
      </x:c>
      <x:c r="AJ1248" s="17" t="str">
        <x:f>IF(AE1248&lt;=34,"≤34",IF(AE1248&lt;=44,"35–44",IF(AE1248&lt;=54,"45–54",IF(AE1248&lt;=64,"55–64","65+"))))</x:f>
        <x:v>35–44</x:v>
      </x:c>
      <x:c r="AK1248" s="17" t="str">
        <x:f>IF(AG1248&gt;=1000,"High Value",IF(AG1248&gt;=300,"Mid Value","Low Value"))</x:f>
        <x:v>Mid Value</x:v>
      </x:c>
      <x:c r="AL1248" s="17" t="str">
        <x:f>IF(AND(AI1248&gt;=1,I1248&lt;=50),"Priority 1",IF(AND(AG1248&gt;=1000,I1248&lt;=60),"Priority 2",IF(I1248&lt;=30,"Priority 3","Nurture")))</x:f>
        <x:v>Nurture</x:v>
      </x:c>
    </x:row>
    <x:row r="1249">
      <x:c r="A1249" s="16" t="n">
        <x:v>9606</x:v>
      </x:c>
      <x:c r="B1249" s="16" t="n">
        <x:v>1965</x:v>
      </x:c>
      <x:c r="C1249" s="16" t="str">
        <x:v>PhD</x:v>
      </x:c>
      <x:c r="D1249" s="16" t="str">
        <x:v>Married</x:v>
      </x:c>
      <x:c r="E1249" s="16" t="n">
        <x:v>69969</x:v>
      </x:c>
      <x:c r="F1249" s="16" t="n">
        <x:v>0</x:v>
      </x:c>
      <x:c r="G1249" s="16" t="n">
        <x:v>0</x:v>
      </x:c>
      <x:c r="H1249" s="16" t="str">
        <x:v>27-08-2013</x:v>
      </x:c>
      <x:c r="I1249" s="16" t="n">
        <x:v>64</x:v>
      </x:c>
      <x:c r="J1249" s="16" t="n">
        <x:v>882</x:v>
      </x:c>
      <x:c r="K1249" s="16" t="n">
        <x:v>29</x:v>
      </x:c>
      <x:c r="L1249" s="16" t="n">
        <x:v>514</x:v>
      </x:c>
      <x:c r="M1249" s="16" t="n">
        <x:v>38</x:v>
      </x:c>
      <x:c r="N1249" s="16" t="n">
        <x:v>29</x:v>
      </x:c>
      <x:c r="O1249" s="16" t="n">
        <x:v>44</x:v>
      </x:c>
      <x:c r="P1249" s="16" t="n">
        <x:v>1</x:v>
      </x:c>
      <x:c r="Q1249" s="16" t="n">
        <x:v>4</x:v>
      </x:c>
      <x:c r="R1249" s="16" t="n">
        <x:v>2</x:v>
      </x:c>
      <x:c r="S1249" s="16" t="n">
        <x:v>6</x:v>
      </x:c>
      <x:c r="T1249" s="16" t="n">
        <x:v>3</x:v>
      </x:c>
      <x:c r="U1249" s="16" t="n">
        <x:v>0</x:v>
      </x:c>
      <x:c r="V1249" s="16" t="n">
        <x:v>0</x:v>
      </x:c>
      <x:c r="W1249" s="16" t="n">
        <x:v>1</x:v>
      </x:c>
      <x:c r="X1249" s="16" t="n">
        <x:v>1</x:v>
      </x:c>
      <x:c r="Y1249" s="16" t="n">
        <x:v>0</x:v>
      </x:c>
      <x:c r="Z1249" s="16" t="n">
        <x:v>0</x:v>
      </x:c>
      <x:c r="AA1249" s="16" t="n">
        <x:v>3</x:v>
      </x:c>
      <x:c r="AB1249" s="16" t="n">
        <x:v>11</x:v>
      </x:c>
      <x:c r="AC1249" s="16" t="n">
        <x:v>1</x:v>
      </x:c>
      <x:c r="AD1249" s="21" t="n">
        <x:f>IF(E1249="",MEDIAN($E$2:$E$2237),E1249)</x:f>
        <x:v>69969</x:v>
      </x:c>
      <x:c r="AE1249" s="17" t="n">
        <x:f>2014-B1249</x:f>
        <x:v>49</x:v>
      </x:c>
      <x:c r="AF1249" s="17" t="n">
        <x:f>F1249+G1249</x:f>
        <x:v>0</x:v>
      </x:c>
      <x:c r="AG1249" s="21" t="n">
        <x:f>SUM(J1249:O1249)</x:f>
        <x:v>1536</x:v>
      </x:c>
      <x:c r="AH1249" s="17" t="n">
        <x:f>SUM(Q1249:S1249)</x:f>
        <x:v>12</x:v>
      </x:c>
      <x:c r="AI1249" s="17" t="n">
        <x:f>SUM(U1249:Y1249)</x:f>
        <x:v>2</x:v>
      </x:c>
      <x:c r="AJ1249" s="17" t="str">
        <x:f>IF(AE1249&lt;=34,"≤34",IF(AE1249&lt;=44,"35–44",IF(AE1249&lt;=54,"45–54",IF(AE1249&lt;=64,"55–64","65+"))))</x:f>
        <x:v>45–54</x:v>
      </x:c>
      <x:c r="AK1249" s="17" t="str">
        <x:f>IF(AG1249&gt;=1000,"High Value",IF(AG1249&gt;=300,"Mid Value","Low Value"))</x:f>
        <x:v>High Value</x:v>
      </x:c>
      <x:c r="AL1249" s="17" t="str">
        <x:f>IF(AND(AI1249&gt;=1,I1249&lt;=50),"Priority 1",IF(AND(AG1249&gt;=1000,I1249&lt;=60),"Priority 2",IF(I1249&lt;=30,"Priority 3","Nurture")))</x:f>
        <x:v>Nurture</x:v>
      </x:c>
    </x:row>
    <x:row r="1250">
      <x:c r="A1250" s="16" t="n">
        <x:v>8534</x:v>
      </x:c>
      <x:c r="B1250" s="16" t="n">
        <x:v>1952</x:v>
      </x:c>
      <x:c r="C1250" s="16" t="str">
        <x:v>Graduation</x:v>
      </x:c>
      <x:c r="D1250" s="16" t="str">
        <x:v>Married</x:v>
      </x:c>
      <x:c r="E1250" s="16" t="n">
        <x:v>67433</x:v>
      </x:c>
      <x:c r="F1250" s="16" t="n">
        <x:v>0</x:v>
      </x:c>
      <x:c r="G1250" s="16" t="n">
        <x:v>2</x:v>
      </x:c>
      <x:c r="H1250" s="16" t="str">
        <x:v>16-07-2013</x:v>
      </x:c>
      <x:c r="I1250" s="16" t="n">
        <x:v>51</x:v>
      </x:c>
      <x:c r="J1250" s="16" t="n">
        <x:v>615</x:v>
      </x:c>
      <x:c r="K1250" s="16" t="n">
        <x:v>28</x:v>
      </x:c>
      <x:c r="L1250" s="16" t="n">
        <x:v>259</x:v>
      </x:c>
      <x:c r="M1250" s="16" t="n">
        <x:v>12</x:v>
      </x:c>
      <x:c r="N1250" s="16" t="n">
        <x:v>48</x:v>
      </x:c>
      <x:c r="O1250" s="16" t="n">
        <x:v>30</x:v>
      </x:c>
      <x:c r="P1250" s="16" t="n">
        <x:v>4</x:v>
      </x:c>
      <x:c r="Q1250" s="16" t="n">
        <x:v>6</x:v>
      </x:c>
      <x:c r="R1250" s="16" t="n">
        <x:v>5</x:v>
      </x:c>
      <x:c r="S1250" s="16" t="n">
        <x:v>13</x:v>
      </x:c>
      <x:c r="T1250" s="16" t="n">
        <x:v>4</x:v>
      </x:c>
      <x:c r="U1250" s="16" t="n">
        <x:v>0</x:v>
      </x:c>
      <x:c r="V1250" s="16" t="n">
        <x:v>1</x:v>
      </x:c>
      <x:c r="W1250" s="16" t="n">
        <x:v>0</x:v>
      </x:c>
      <x:c r="X1250" s="16" t="n">
        <x:v>0</x:v>
      </x:c>
      <x:c r="Y1250" s="16" t="n">
        <x:v>0</x:v>
      </x:c>
      <x:c r="Z1250" s="16" t="n">
        <x:v>0</x:v>
      </x:c>
      <x:c r="AA1250" s="16" t="n">
        <x:v>3</x:v>
      </x:c>
      <x:c r="AB1250" s="16" t="n">
        <x:v>11</x:v>
      </x:c>
      <x:c r="AC1250" s="16" t="n">
        <x:v>0</x:v>
      </x:c>
      <x:c r="AD1250" s="21" t="n">
        <x:f>IF(E1250="",MEDIAN($E$2:$E$2237),E1250)</x:f>
        <x:v>67433</x:v>
      </x:c>
      <x:c r="AE1250" s="17" t="n">
        <x:f>2014-B1250</x:f>
        <x:v>62</x:v>
      </x:c>
      <x:c r="AF1250" s="17" t="n">
        <x:f>F1250+G1250</x:f>
        <x:v>2</x:v>
      </x:c>
      <x:c r="AG1250" s="21" t="n">
        <x:f>SUM(J1250:O1250)</x:f>
        <x:v>992</x:v>
      </x:c>
      <x:c r="AH1250" s="17" t="n">
        <x:f>SUM(Q1250:S1250)</x:f>
        <x:v>24</x:v>
      </x:c>
      <x:c r="AI1250" s="17" t="n">
        <x:f>SUM(U1250:Y1250)</x:f>
        <x:v>1</x:v>
      </x:c>
      <x:c r="AJ1250" s="17" t="str">
        <x:f>IF(AE1250&lt;=34,"≤34",IF(AE1250&lt;=44,"35–44",IF(AE1250&lt;=54,"45–54",IF(AE1250&lt;=64,"55–64","65+"))))</x:f>
        <x:v>55–64</x:v>
      </x:c>
      <x:c r="AK1250" s="17" t="str">
        <x:f>IF(AG1250&gt;=1000,"High Value",IF(AG1250&gt;=300,"Mid Value","Low Value"))</x:f>
        <x:v>Mid Value</x:v>
      </x:c>
      <x:c r="AL1250" s="17" t="str">
        <x:f>IF(AND(AI1250&gt;=1,I1250&lt;=50),"Priority 1",IF(AND(AG1250&gt;=1000,I1250&lt;=60),"Priority 2",IF(I1250&lt;=30,"Priority 3","Nurture")))</x:f>
        <x:v>Nurture</x:v>
      </x:c>
    </x:row>
    <x:row r="1251">
      <x:c r="A1251" s="16" t="n">
        <x:v>5153</x:v>
      </x:c>
      <x:c r="B1251" s="16" t="n">
        <x:v>1967</x:v>
      </x:c>
      <x:c r="C1251" s="16" t="str">
        <x:v>PhD</x:v>
      </x:c>
      <x:c r="D1251" s="16" t="str">
        <x:v>Married</x:v>
      </x:c>
      <x:c r="E1251" s="16" t="n">
        <x:v>77766</x:v>
      </x:c>
      <x:c r="F1251" s="16" t="n">
        <x:v>0</x:v>
      </x:c>
      <x:c r="G1251" s="16" t="n">
        <x:v>1</x:v>
      </x:c>
      <x:c r="H1251" s="16" t="str">
        <x:v>22-02-2013</x:v>
      </x:c>
      <x:c r="I1251" s="16" t="n">
        <x:v>97</x:v>
      </x:c>
      <x:c r="J1251" s="16" t="n">
        <x:v>1004</x:v>
      </x:c>
      <x:c r="K1251" s="16" t="n">
        <x:v>59</x:v>
      </x:c>
      <x:c r="L1251" s="16" t="n">
        <x:v>265</x:v>
      </x:c>
      <x:c r="M1251" s="16" t="n">
        <x:v>115</x:v>
      </x:c>
      <x:c r="N1251" s="16" t="n">
        <x:v>59</x:v>
      </x:c>
      <x:c r="O1251" s="16" t="n">
        <x:v>27</x:v>
      </x:c>
      <x:c r="P1251" s="16" t="n">
        <x:v>2</x:v>
      </x:c>
      <x:c r="Q1251" s="16" t="n">
        <x:v>11</x:v>
      </x:c>
      <x:c r="R1251" s="16" t="n">
        <x:v>10</x:v>
      </x:c>
      <x:c r="S1251" s="16" t="n">
        <x:v>11</x:v>
      </x:c>
      <x:c r="T1251" s="16" t="n">
        <x:v>6</x:v>
      </x:c>
      <x:c r="U1251" s="16" t="n">
        <x:v>1</x:v>
      </x:c>
      <x:c r="V1251" s="16" t="n">
        <x:v>0</x:v>
      </x:c>
      <x:c r="W1251" s="16" t="n">
        <x:v>0</x:v>
      </x:c>
      <x:c r="X1251" s="16" t="n">
        <x:v>0</x:v>
      </x:c>
      <x:c r="Y1251" s="16" t="n">
        <x:v>0</x:v>
      </x:c>
      <x:c r="Z1251" s="16" t="n">
        <x:v>0</x:v>
      </x:c>
      <x:c r="AA1251" s="16" t="n">
        <x:v>3</x:v>
      </x:c>
      <x:c r="AB1251" s="16" t="n">
        <x:v>11</x:v>
      </x:c>
      <x:c r="AC1251" s="16" t="n">
        <x:v>1</x:v>
      </x:c>
      <x:c r="AD1251" s="21" t="n">
        <x:f>IF(E1251="",MEDIAN($E$2:$E$2237),E1251)</x:f>
        <x:v>77766</x:v>
      </x:c>
      <x:c r="AE1251" s="17" t="n">
        <x:f>2014-B1251</x:f>
        <x:v>47</x:v>
      </x:c>
      <x:c r="AF1251" s="17" t="n">
        <x:f>F1251+G1251</x:f>
        <x:v>1</x:v>
      </x:c>
      <x:c r="AG1251" s="21" t="n">
        <x:f>SUM(J1251:O1251)</x:f>
        <x:v>1529</x:v>
      </x:c>
      <x:c r="AH1251" s="17" t="n">
        <x:f>SUM(Q1251:S1251)</x:f>
        <x:v>32</x:v>
      </x:c>
      <x:c r="AI1251" s="17" t="n">
        <x:f>SUM(U1251:Y1251)</x:f>
        <x:v>1</x:v>
      </x:c>
      <x:c r="AJ1251" s="17" t="str">
        <x:f>IF(AE1251&lt;=34,"≤34",IF(AE1251&lt;=44,"35–44",IF(AE1251&lt;=54,"45–54",IF(AE1251&lt;=64,"55–64","65+"))))</x:f>
        <x:v>45–54</x:v>
      </x:c>
      <x:c r="AK1251" s="17" t="str">
        <x:f>IF(AG1251&gt;=1000,"High Value",IF(AG1251&gt;=300,"Mid Value","Low Value"))</x:f>
        <x:v>High Value</x:v>
      </x:c>
      <x:c r="AL1251" s="17" t="str">
        <x:f>IF(AND(AI1251&gt;=1,I1251&lt;=50),"Priority 1",IF(AND(AG1251&gt;=1000,I1251&lt;=60),"Priority 2",IF(I1251&lt;=30,"Priority 3","Nurture")))</x:f>
        <x:v>Nurture</x:v>
      </x:c>
    </x:row>
    <x:row r="1252">
      <x:c r="A1252" s="16" t="n">
        <x:v>961</x:v>
      </x:c>
      <x:c r="B1252" s="16" t="n">
        <x:v>1972</x:v>
      </x:c>
      <x:c r="C1252" s="16" t="str">
        <x:v>Graduation</x:v>
      </x:c>
      <x:c r="D1252" s="16" t="str">
        <x:v>Married</x:v>
      </x:c>
      <x:c r="E1252" s="16" t="n">
        <x:v>74716</x:v>
      </x:c>
      <x:c r="F1252" s="16" t="n">
        <x:v>0</x:v>
      </x:c>
      <x:c r="G1252" s="16" t="n">
        <x:v>1</x:v>
      </x:c>
      <x:c r="H1252" s="16" t="str">
        <x:v>12-09-2013</x:v>
      </x:c>
      <x:c r="I1252" s="16" t="n">
        <x:v>92</x:v>
      </x:c>
      <x:c r="J1252" s="16" t="n">
        <x:v>133</x:v>
      </x:c>
      <x:c r="K1252" s="16" t="n">
        <x:v>27</x:v>
      </x:c>
      <x:c r="L1252" s="16" t="n">
        <x:v>421</x:v>
      </x:c>
      <x:c r="M1252" s="16" t="n">
        <x:v>13</x:v>
      </x:c>
      <x:c r="N1252" s="16" t="n">
        <x:v>195</x:v>
      </x:c>
      <x:c r="O1252" s="16" t="n">
        <x:v>71</x:v>
      </x:c>
      <x:c r="P1252" s="16" t="n">
        <x:v>2</x:v>
      </x:c>
      <x:c r="Q1252" s="16" t="n">
        <x:v>7</x:v>
      </x:c>
      <x:c r="R1252" s="16" t="n">
        <x:v>3</x:v>
      </x:c>
      <x:c r="S1252" s="16" t="n">
        <x:v>5</x:v>
      </x:c>
      <x:c r="T1252" s="16" t="n">
        <x:v>4</x:v>
      </x:c>
      <x:c r="U1252" s="16" t="n">
        <x:v>0</x:v>
      </x:c>
      <x:c r="V1252" s="16" t="n">
        <x:v>0</x:v>
      </x:c>
      <x:c r="W1252" s="16" t="n">
        <x:v>0</x:v>
      </x:c>
      <x:c r="X1252" s="16" t="n">
        <x:v>0</x:v>
      </x:c>
      <x:c r="Y1252" s="16" t="n">
        <x:v>0</x:v>
      </x:c>
      <x:c r="Z1252" s="16" t="n">
        <x:v>0</x:v>
      </x:c>
      <x:c r="AA1252" s="16" t="n">
        <x:v>3</x:v>
      </x:c>
      <x:c r="AB1252" s="16" t="n">
        <x:v>11</x:v>
      </x:c>
      <x:c r="AC1252" s="16" t="n">
        <x:v>0</x:v>
      </x:c>
      <x:c r="AD1252" s="21" t="n">
        <x:f>IF(E1252="",MEDIAN($E$2:$E$2237),E1252)</x:f>
        <x:v>74716</x:v>
      </x:c>
      <x:c r="AE1252" s="17" t="n">
        <x:f>2014-B1252</x:f>
        <x:v>42</x:v>
      </x:c>
      <x:c r="AF1252" s="17" t="n">
        <x:f>F1252+G1252</x:f>
        <x:v>1</x:v>
      </x:c>
      <x:c r="AG1252" s="21" t="n">
        <x:f>SUM(J1252:O1252)</x:f>
        <x:v>860</x:v>
      </x:c>
      <x:c r="AH1252" s="17" t="n">
        <x:f>SUM(Q1252:S1252)</x:f>
        <x:v>15</x:v>
      </x:c>
      <x:c r="AI1252" s="17" t="n">
        <x:f>SUM(U1252:Y1252)</x:f>
        <x:v>0</x:v>
      </x:c>
      <x:c r="AJ1252" s="17" t="str">
        <x:f>IF(AE1252&lt;=34,"≤34",IF(AE1252&lt;=44,"35–44",IF(AE1252&lt;=54,"45–54",IF(AE1252&lt;=64,"55–64","65+"))))</x:f>
        <x:v>35–44</x:v>
      </x:c>
      <x:c r="AK1252" s="17" t="str">
        <x:f>IF(AG1252&gt;=1000,"High Value",IF(AG1252&gt;=300,"Mid Value","Low Value"))</x:f>
        <x:v>Mid Value</x:v>
      </x:c>
      <x:c r="AL1252" s="17" t="str">
        <x:f>IF(AND(AI1252&gt;=1,I1252&lt;=50),"Priority 1",IF(AND(AG1252&gt;=1000,I1252&lt;=60),"Priority 2",IF(I1252&lt;=30,"Priority 3","Nurture")))</x:f>
        <x:v>Nurture</x:v>
      </x:c>
    </x:row>
    <x:row r="1253">
      <x:c r="A1253" s="16" t="n">
        <x:v>5011</x:v>
      </x:c>
      <x:c r="B1253" s="16" t="n">
        <x:v>1963</x:v>
      </x:c>
      <x:c r="C1253" s="16" t="str">
        <x:v>Graduation</x:v>
      </x:c>
      <x:c r="D1253" s="16" t="str">
        <x:v>Divorced</x:v>
      </x:c>
      <x:c r="E1253" s="16" t="n">
        <x:v>68118</x:v>
      </x:c>
      <x:c r="F1253" s="16" t="n">
        <x:v>0</x:v>
      </x:c>
      <x:c r="G1253" s="16" t="n">
        <x:v>1</x:v>
      </x:c>
      <x:c r="H1253" s="16" t="str">
        <x:v>18-10-2013</x:v>
      </x:c>
      <x:c r="I1253" s="16" t="n">
        <x:v>51</x:v>
      </x:c>
      <x:c r="J1253" s="16" t="n">
        <x:v>595</x:v>
      </x:c>
      <x:c r="K1253" s="16" t="n">
        <x:v>23</x:v>
      </x:c>
      <x:c r="L1253" s="16" t="n">
        <x:v>123</x:v>
      </x:c>
      <x:c r="M1253" s="16" t="n">
        <x:v>10</x:v>
      </x:c>
      <x:c r="N1253" s="16" t="n">
        <x:v>23</x:v>
      </x:c>
      <x:c r="O1253" s="16" t="n">
        <x:v>154</x:v>
      </x:c>
      <x:c r="P1253" s="16" t="n">
        <x:v>2</x:v>
      </x:c>
      <x:c r="Q1253" s="16" t="n">
        <x:v>8</x:v>
      </x:c>
      <x:c r="R1253" s="16" t="n">
        <x:v>9</x:v>
      </x:c>
      <x:c r="S1253" s="16" t="n">
        <x:v>4</x:v>
      </x:c>
      <x:c r="T1253" s="16" t="n">
        <x:v>6</x:v>
      </x:c>
      <x:c r="U1253" s="16" t="n">
        <x:v>0</x:v>
      </x:c>
      <x:c r="V1253" s="16" t="n">
        <x:v>0</x:v>
      </x:c>
      <x:c r="W1253" s="16" t="n">
        <x:v>0</x:v>
      </x:c>
      <x:c r="X1253" s="16" t="n">
        <x:v>0</x:v>
      </x:c>
      <x:c r="Y1253" s="16" t="n">
        <x:v>0</x:v>
      </x:c>
      <x:c r="Z1253" s="16" t="n">
        <x:v>0</x:v>
      </x:c>
      <x:c r="AA1253" s="16" t="n">
        <x:v>3</x:v>
      </x:c>
      <x:c r="AB1253" s="16" t="n">
        <x:v>11</x:v>
      </x:c>
      <x:c r="AC1253" s="16" t="n">
        <x:v>0</x:v>
      </x:c>
      <x:c r="AD1253" s="21" t="n">
        <x:f>IF(E1253="",MEDIAN($E$2:$E$2237),E1253)</x:f>
        <x:v>68118</x:v>
      </x:c>
      <x:c r="AE1253" s="17" t="n">
        <x:f>2014-B1253</x:f>
        <x:v>51</x:v>
      </x:c>
      <x:c r="AF1253" s="17" t="n">
        <x:f>F1253+G1253</x:f>
        <x:v>1</x:v>
      </x:c>
      <x:c r="AG1253" s="21" t="n">
        <x:f>SUM(J1253:O1253)</x:f>
        <x:v>928</x:v>
      </x:c>
      <x:c r="AH1253" s="17" t="n">
        <x:f>SUM(Q1253:S1253)</x:f>
        <x:v>21</x:v>
      </x:c>
      <x:c r="AI1253" s="17" t="n">
        <x:f>SUM(U1253:Y1253)</x:f>
        <x:v>0</x:v>
      </x:c>
      <x:c r="AJ1253" s="17" t="str">
        <x:f>IF(AE1253&lt;=34,"≤34",IF(AE1253&lt;=44,"35–44",IF(AE1253&lt;=54,"45–54",IF(AE1253&lt;=64,"55–64","65+"))))</x:f>
        <x:v>45–54</x:v>
      </x:c>
      <x:c r="AK1253" s="17" t="str">
        <x:f>IF(AG1253&gt;=1000,"High Value",IF(AG1253&gt;=300,"Mid Value","Low Value"))</x:f>
        <x:v>Mid Value</x:v>
      </x:c>
      <x:c r="AL1253" s="17" t="str">
        <x:f>IF(AND(AI1253&gt;=1,I1253&lt;=50),"Priority 1",IF(AND(AG1253&gt;=1000,I1253&lt;=60),"Priority 2",IF(I1253&lt;=30,"Priority 3","Nurture")))</x:f>
        <x:v>Nurture</x:v>
      </x:c>
    </x:row>
    <x:row r="1254">
      <x:c r="A1254" s="16" t="n">
        <x:v>6653</x:v>
      </x:c>
      <x:c r="B1254" s="16" t="n">
        <x:v>1970</x:v>
      </x:c>
      <x:c r="C1254" s="16" t="str">
        <x:v>PhD</x:v>
      </x:c>
      <x:c r="D1254" s="16" t="str">
        <x:v>Married</x:v>
      </x:c>
      <x:c r="E1254" s="16" t="n">
        <x:v>55158</x:v>
      </x:c>
      <x:c r="F1254" s="16" t="n">
        <x:v>1</x:v>
      </x:c>
      <x:c r="G1254" s="16" t="n">
        <x:v>1</x:v>
      </x:c>
      <x:c r="H1254" s="16" t="str">
        <x:v>30-07-2012</x:v>
      </x:c>
      <x:c r="I1254" s="16" t="n">
        <x:v>72</x:v>
      </x:c>
      <x:c r="J1254" s="16" t="n">
        <x:v>293</x:v>
      </x:c>
      <x:c r="K1254" s="16" t="n">
        <x:v>0</x:v>
      </x:c>
      <x:c r="L1254" s="16" t="n">
        <x:v>87</x:v>
      </x:c>
      <x:c r="M1254" s="16" t="n">
        <x:v>4</x:v>
      </x:c>
      <x:c r="N1254" s="16" t="n">
        <x:v>11</x:v>
      </x:c>
      <x:c r="O1254" s="16" t="n">
        <x:v>23</x:v>
      </x:c>
      <x:c r="P1254" s="16" t="n">
        <x:v>4</x:v>
      </x:c>
      <x:c r="Q1254" s="16" t="n">
        <x:v>7</x:v>
      </x:c>
      <x:c r="R1254" s="16" t="n">
        <x:v>2</x:v>
      </x:c>
      <x:c r="S1254" s="16" t="n">
        <x:v>5</x:v>
      </x:c>
      <x:c r="T1254" s="16" t="n">
        <x:v>7</x:v>
      </x:c>
      <x:c r="U1254" s="16" t="n">
        <x:v>0</x:v>
      </x:c>
      <x:c r="V1254" s="16" t="n">
        <x:v>0</x:v>
      </x:c>
      <x:c r="W1254" s="16" t="n">
        <x:v>0</x:v>
      </x:c>
      <x:c r="X1254" s="16" t="n">
        <x:v>0</x:v>
      </x:c>
      <x:c r="Y1254" s="16" t="n">
        <x:v>0</x:v>
      </x:c>
      <x:c r="Z1254" s="16" t="n">
        <x:v>0</x:v>
      </x:c>
      <x:c r="AA1254" s="16" t="n">
        <x:v>3</x:v>
      </x:c>
      <x:c r="AB1254" s="16" t="n">
        <x:v>11</x:v>
      </x:c>
      <x:c r="AC1254" s="16" t="n">
        <x:v>1</x:v>
      </x:c>
      <x:c r="AD1254" s="21" t="n">
        <x:f>IF(E1254="",MEDIAN($E$2:$E$2237),E1254)</x:f>
        <x:v>55158</x:v>
      </x:c>
      <x:c r="AE1254" s="17" t="n">
        <x:f>2014-B1254</x:f>
        <x:v>44</x:v>
      </x:c>
      <x:c r="AF1254" s="17" t="n">
        <x:f>F1254+G1254</x:f>
        <x:v>2</x:v>
      </x:c>
      <x:c r="AG1254" s="21" t="n">
        <x:f>SUM(J1254:O1254)</x:f>
        <x:v>418</x:v>
      </x:c>
      <x:c r="AH1254" s="17" t="n">
        <x:f>SUM(Q1254:S1254)</x:f>
        <x:v>14</x:v>
      </x:c>
      <x:c r="AI1254" s="17" t="n">
        <x:f>SUM(U1254:Y1254)</x:f>
        <x:v>0</x:v>
      </x:c>
      <x:c r="AJ1254" s="17" t="str">
        <x:f>IF(AE1254&lt;=34,"≤34",IF(AE1254&lt;=44,"35–44",IF(AE1254&lt;=54,"45–54",IF(AE1254&lt;=64,"55–64","65+"))))</x:f>
        <x:v>35–44</x:v>
      </x:c>
      <x:c r="AK1254" s="17" t="str">
        <x:f>IF(AG1254&gt;=1000,"High Value",IF(AG1254&gt;=300,"Mid Value","Low Value"))</x:f>
        <x:v>Mid Value</x:v>
      </x:c>
      <x:c r="AL1254" s="17" t="str">
        <x:f>IF(AND(AI1254&gt;=1,I1254&lt;=50),"Priority 1",IF(AND(AG1254&gt;=1000,I1254&lt;=60),"Priority 2",IF(I1254&lt;=30,"Priority 3","Nurture")))</x:f>
        <x:v>Nurture</x:v>
      </x:c>
    </x:row>
    <x:row r="1255">
      <x:c r="A1255" s="16" t="n">
        <x:v>9094</x:v>
      </x:c>
      <x:c r="B1255" s="16" t="n">
        <x:v>1955</x:v>
      </x:c>
      <x:c r="C1255" s="16" t="str">
        <x:v>2n Cycle</x:v>
      </x:c>
      <x:c r="D1255" s="16" t="str">
        <x:v>Married</x:v>
      </x:c>
      <x:c r="E1255" s="16" t="n">
        <x:v>62972</x:v>
      </x:c>
      <x:c r="F1255" s="16" t="n">
        <x:v>0</x:v>
      </x:c>
      <x:c r="G1255" s="16" t="n">
        <x:v>1</x:v>
      </x:c>
      <x:c r="H1255" s="16" t="str">
        <x:v>03-08-2012</x:v>
      </x:c>
      <x:c r="I1255" s="16" t="n">
        <x:v>39</x:v>
      </x:c>
      <x:c r="J1255" s="16" t="n">
        <x:v>313</x:v>
      </x:c>
      <x:c r="K1255" s="16" t="n">
        <x:v>15</x:v>
      </x:c>
      <x:c r="L1255" s="16" t="n">
        <x:v>47</x:v>
      </x:c>
      <x:c r="M1255" s="16" t="n">
        <x:v>20</x:v>
      </x:c>
      <x:c r="N1255" s="16" t="n">
        <x:v>0</x:v>
      </x:c>
      <x:c r="O1255" s="16" t="n">
        <x:v>192</x:v>
      </x:c>
      <x:c r="P1255" s="16" t="n">
        <x:v>2</x:v>
      </x:c>
      <x:c r="Q1255" s="16" t="n">
        <x:v>7</x:v>
      </x:c>
      <x:c r="R1255" s="16" t="n">
        <x:v>4</x:v>
      </x:c>
      <x:c r="S1255" s="16" t="n">
        <x:v>3</x:v>
      </x:c>
      <x:c r="T1255" s="16" t="n">
        <x:v>6</x:v>
      </x:c>
      <x:c r="U1255" s="16" t="n">
        <x:v>0</x:v>
      </x:c>
      <x:c r="V1255" s="16" t="n">
        <x:v>0</x:v>
      </x:c>
      <x:c r="W1255" s="16" t="n">
        <x:v>0</x:v>
      </x:c>
      <x:c r="X1255" s="16" t="n">
        <x:v>0</x:v>
      </x:c>
      <x:c r="Y1255" s="16" t="n">
        <x:v>0</x:v>
      </x:c>
      <x:c r="Z1255" s="16" t="n">
        <x:v>0</x:v>
      </x:c>
      <x:c r="AA1255" s="16" t="n">
        <x:v>3</x:v>
      </x:c>
      <x:c r="AB1255" s="16" t="n">
        <x:v>11</x:v>
      </x:c>
      <x:c r="AC1255" s="16" t="n">
        <x:v>1</x:v>
      </x:c>
      <x:c r="AD1255" s="21" t="n">
        <x:f>IF(E1255="",MEDIAN($E$2:$E$2237),E1255)</x:f>
        <x:v>62972</x:v>
      </x:c>
      <x:c r="AE1255" s="17" t="n">
        <x:f>2014-B1255</x:f>
        <x:v>59</x:v>
      </x:c>
      <x:c r="AF1255" s="17" t="n">
        <x:f>F1255+G1255</x:f>
        <x:v>1</x:v>
      </x:c>
      <x:c r="AG1255" s="21" t="n">
        <x:f>SUM(J1255:O1255)</x:f>
        <x:v>587</x:v>
      </x:c>
      <x:c r="AH1255" s="17" t="n">
        <x:f>SUM(Q1255:S1255)</x:f>
        <x:v>14</x:v>
      </x:c>
      <x:c r="AI1255" s="17" t="n">
        <x:f>SUM(U1255:Y1255)</x:f>
        <x:v>0</x:v>
      </x:c>
      <x:c r="AJ1255" s="17" t="str">
        <x:f>IF(AE1255&lt;=34,"≤34",IF(AE1255&lt;=44,"35–44",IF(AE1255&lt;=54,"45–54",IF(AE1255&lt;=64,"55–64","65+"))))</x:f>
        <x:v>55–64</x:v>
      </x:c>
      <x:c r="AK1255" s="17" t="str">
        <x:f>IF(AG1255&gt;=1000,"High Value",IF(AG1255&gt;=300,"Mid Value","Low Value"))</x:f>
        <x:v>Mid Value</x:v>
      </x:c>
      <x:c r="AL1255" s="17" t="str">
        <x:f>IF(AND(AI1255&gt;=1,I1255&lt;=50),"Priority 1",IF(AND(AG1255&gt;=1000,I1255&lt;=60),"Priority 2",IF(I1255&lt;=30,"Priority 3","Nurture")))</x:f>
        <x:v>Nurture</x:v>
      </x:c>
    </x:row>
    <x:row r="1256">
      <x:c r="A1256" s="16" t="n">
        <x:v>810</x:v>
      </x:c>
      <x:c r="B1256" s="16" t="n">
        <x:v>1975</x:v>
      </x:c>
      <x:c r="C1256" s="16" t="str">
        <x:v>Graduation</x:v>
      </x:c>
      <x:c r="D1256" s="16" t="str">
        <x:v>Married</x:v>
      </x:c>
      <x:c r="E1256" s="16" t="n">
        <x:v>74190</x:v>
      </x:c>
      <x:c r="F1256" s="16" t="n">
        <x:v>0</x:v>
      </x:c>
      <x:c r="G1256" s="16" t="n">
        <x:v>1</x:v>
      </x:c>
      <x:c r="H1256" s="16" t="str">
        <x:v>12-05-2014</x:v>
      </x:c>
      <x:c r="I1256" s="16" t="n">
        <x:v>49</x:v>
      </x:c>
      <x:c r="J1256" s="16" t="n">
        <x:v>151</x:v>
      </x:c>
      <x:c r="K1256" s="16" t="n">
        <x:v>81</x:v>
      </x:c>
      <x:c r="L1256" s="16" t="n">
        <x:v>86</x:v>
      </x:c>
      <x:c r="M1256" s="16" t="n">
        <x:v>168</x:v>
      </x:c>
      <x:c r="N1256" s="16" t="n">
        <x:v>91</x:v>
      </x:c>
      <x:c r="O1256" s="16" t="n">
        <x:v>64</x:v>
      </x:c>
      <x:c r="P1256" s="16" t="n">
        <x:v>2</x:v>
      </x:c>
      <x:c r="Q1256" s="16" t="n">
        <x:v>4</x:v>
      </x:c>
      <x:c r="R1256" s="16" t="n">
        <x:v>2</x:v>
      </x:c>
      <x:c r="S1256" s="16" t="n">
        <x:v>11</x:v>
      </x:c>
      <x:c r="T1256" s="16" t="n">
        <x:v>2</x:v>
      </x:c>
      <x:c r="U1256" s="16" t="n">
        <x:v>0</x:v>
      </x:c>
      <x:c r="V1256" s="16" t="n">
        <x:v>0</x:v>
      </x:c>
      <x:c r="W1256" s="16" t="n">
        <x:v>0</x:v>
      </x:c>
      <x:c r="X1256" s="16" t="n">
        <x:v>0</x:v>
      </x:c>
      <x:c r="Y1256" s="16" t="n">
        <x:v>0</x:v>
      </x:c>
      <x:c r="Z1256" s="16" t="n">
        <x:v>0</x:v>
      </x:c>
      <x:c r="AA1256" s="16" t="n">
        <x:v>3</x:v>
      </x:c>
      <x:c r="AB1256" s="16" t="n">
        <x:v>11</x:v>
      </x:c>
      <x:c r="AC1256" s="16" t="n">
        <x:v>0</x:v>
      </x:c>
      <x:c r="AD1256" s="21" t="n">
        <x:f>IF(E1256="",MEDIAN($E$2:$E$2237),E1256)</x:f>
        <x:v>74190</x:v>
      </x:c>
      <x:c r="AE1256" s="17" t="n">
        <x:f>2014-B1256</x:f>
        <x:v>39</x:v>
      </x:c>
      <x:c r="AF1256" s="17" t="n">
        <x:f>F1256+G1256</x:f>
        <x:v>1</x:v>
      </x:c>
      <x:c r="AG1256" s="21" t="n">
        <x:f>SUM(J1256:O1256)</x:f>
        <x:v>641</x:v>
      </x:c>
      <x:c r="AH1256" s="17" t="n">
        <x:f>SUM(Q1256:S1256)</x:f>
        <x:v>17</x:v>
      </x:c>
      <x:c r="AI1256" s="17" t="n">
        <x:f>SUM(U1256:Y1256)</x:f>
        <x:v>0</x:v>
      </x:c>
      <x:c r="AJ1256" s="17" t="str">
        <x:f>IF(AE1256&lt;=34,"≤34",IF(AE1256&lt;=44,"35–44",IF(AE1256&lt;=54,"45–54",IF(AE1256&lt;=64,"55–64","65+"))))</x:f>
        <x:v>35–44</x:v>
      </x:c>
      <x:c r="AK1256" s="17" t="str">
        <x:f>IF(AG1256&gt;=1000,"High Value",IF(AG1256&gt;=300,"Mid Value","Low Value"))</x:f>
        <x:v>Mid Value</x:v>
      </x:c>
      <x:c r="AL1256" s="17" t="str">
        <x:f>IF(AND(AI1256&gt;=1,I1256&lt;=50),"Priority 1",IF(AND(AG1256&gt;=1000,I1256&lt;=60),"Priority 2",IF(I1256&lt;=30,"Priority 3","Nurture")))</x:f>
        <x:v>Nurture</x:v>
      </x:c>
    </x:row>
    <x:row r="1257">
      <x:c r="A1257" s="16" t="n">
        <x:v>5493</x:v>
      </x:c>
      <x:c r="B1257" s="16" t="n">
        <x:v>1976</x:v>
      </x:c>
      <x:c r="C1257" s="16" t="str">
        <x:v>Graduation</x:v>
      </x:c>
      <x:c r="D1257" s="16" t="str">
        <x:v>Married</x:v>
      </x:c>
      <x:c r="E1257" s="16" t="n">
        <x:v>39356</x:v>
      </x:c>
      <x:c r="F1257" s="16" t="n">
        <x:v>1</x:v>
      </x:c>
      <x:c r="G1257" s="16" t="n">
        <x:v>1</x:v>
      </x:c>
      <x:c r="H1257" s="16" t="str">
        <x:v>19-03-2014</x:v>
      </x:c>
      <x:c r="I1257" s="16" t="n">
        <x:v>21</x:v>
      </x:c>
      <x:c r="J1257" s="16" t="n">
        <x:v>15</x:v>
      </x:c>
      <x:c r="K1257" s="16" t="n">
        <x:v>0</x:v>
      </x:c>
      <x:c r="L1257" s="16" t="n">
        <x:v>2</x:v>
      </x:c>
      <x:c r="M1257" s="16" t="n">
        <x:v>0</x:v>
      </x:c>
      <x:c r="N1257" s="16" t="n">
        <x:v>0</x:v>
      </x:c>
      <x:c r="O1257" s="16" t="n">
        <x:v>6</x:v>
      </x:c>
      <x:c r="P1257" s="16" t="n">
        <x:v>1</x:v>
      </x:c>
      <x:c r="Q1257" s="16" t="n">
        <x:v>1</x:v>
      </x:c>
      <x:c r="R1257" s="16" t="n">
        <x:v>0</x:v>
      </x:c>
      <x:c r="S1257" s="16" t="n">
        <x:v>2</x:v>
      </x:c>
      <x:c r="T1257" s="16" t="n">
        <x:v>6</x:v>
      </x:c>
      <x:c r="U1257" s="16" t="n">
        <x:v>1</x:v>
      </x:c>
      <x:c r="V1257" s="16" t="n">
        <x:v>0</x:v>
      </x:c>
      <x:c r="W1257" s="16" t="n">
        <x:v>0</x:v>
      </x:c>
      <x:c r="X1257" s="16" t="n">
        <x:v>0</x:v>
      </x:c>
      <x:c r="Y1257" s="16" t="n">
        <x:v>0</x:v>
      </x:c>
      <x:c r="Z1257" s="16" t="n">
        <x:v>0</x:v>
      </x:c>
      <x:c r="AA1257" s="16" t="n">
        <x:v>3</x:v>
      </x:c>
      <x:c r="AB1257" s="16" t="n">
        <x:v>11</x:v>
      </x:c>
      <x:c r="AC1257" s="16" t="n">
        <x:v>0</x:v>
      </x:c>
      <x:c r="AD1257" s="21" t="n">
        <x:f>IF(E1257="",MEDIAN($E$2:$E$2237),E1257)</x:f>
        <x:v>39356</x:v>
      </x:c>
      <x:c r="AE1257" s="17" t="n">
        <x:f>2014-B1257</x:f>
        <x:v>38</x:v>
      </x:c>
      <x:c r="AF1257" s="17" t="n">
        <x:f>F1257+G1257</x:f>
        <x:v>2</x:v>
      </x:c>
      <x:c r="AG1257" s="21" t="n">
        <x:f>SUM(J1257:O1257)</x:f>
        <x:v>23</x:v>
      </x:c>
      <x:c r="AH1257" s="17" t="n">
        <x:f>SUM(Q1257:S1257)</x:f>
        <x:v>3</x:v>
      </x:c>
      <x:c r="AI1257" s="17" t="n">
        <x:f>SUM(U1257:Y1257)</x:f>
        <x:v>1</x:v>
      </x:c>
      <x:c r="AJ1257" s="17" t="str">
        <x:f>IF(AE1257&lt;=34,"≤34",IF(AE1257&lt;=44,"35–44",IF(AE1257&lt;=54,"45–54",IF(AE1257&lt;=64,"55–64","65+"))))</x:f>
        <x:v>35–44</x:v>
      </x:c>
      <x:c r="AK1257" s="17" t="str">
        <x:f>IF(AG1257&gt;=1000,"High Value",IF(AG1257&gt;=300,"Mid Value","Low Value"))</x:f>
        <x:v>Low Value</x:v>
      </x:c>
      <x:c r="AL1257" s="17" t="str">
        <x:f>IF(AND(AI1257&gt;=1,I1257&lt;=50),"Priority 1",IF(AND(AG1257&gt;=1000,I1257&lt;=60),"Priority 2",IF(I1257&lt;=30,"Priority 3","Nurture")))</x:f>
        <x:v>Priority 1</x:v>
      </x:c>
    </x:row>
    <x:row r="1258">
      <x:c r="A1258" s="16" t="n">
        <x:v>2147</x:v>
      </x:c>
      <x:c r="B1258" s="16" t="n">
        <x:v>1969</x:v>
      </x:c>
      <x:c r="C1258" s="16" t="str">
        <x:v>Graduation</x:v>
      </x:c>
      <x:c r="D1258" s="16" t="str">
        <x:v>Together</x:v>
      </x:c>
      <x:c r="E1258" s="16" t="n">
        <x:v>76653</x:v>
      </x:c>
      <x:c r="F1258" s="16" t="n">
        <x:v>0</x:v>
      </x:c>
      <x:c r="G1258" s="16" t="n">
        <x:v>0</x:v>
      </x:c>
      <x:c r="H1258" s="16" t="str">
        <x:v>16-08-2013</x:v>
      </x:c>
      <x:c r="I1258" s="16" t="n">
        <x:v>91</x:v>
      </x:c>
      <x:c r="J1258" s="16" t="n">
        <x:v>736</x:v>
      </x:c>
      <x:c r="K1258" s="16" t="n">
        <x:v>63</x:v>
      </x:c>
      <x:c r="L1258" s="16" t="n">
        <x:v>946</x:v>
      </x:c>
      <x:c r="M1258" s="16" t="n">
        <x:v>219</x:v>
      </x:c>
      <x:c r="N1258" s="16" t="n">
        <x:v>189</x:v>
      </x:c>
      <x:c r="O1258" s="16" t="n">
        <x:v>126</x:v>
      </x:c>
      <x:c r="P1258" s="16" t="n">
        <x:v>1</x:v>
      </x:c>
      <x:c r="Q1258" s="16" t="n">
        <x:v>4</x:v>
      </x:c>
      <x:c r="R1258" s="16" t="n">
        <x:v>7</x:v>
      </x:c>
      <x:c r="S1258" s="16" t="n">
        <x:v>11</x:v>
      </x:c>
      <x:c r="T1258" s="16" t="n">
        <x:v>2</x:v>
      </x:c>
      <x:c r="U1258" s="16" t="n">
        <x:v>0</x:v>
      </x:c>
      <x:c r="V1258" s="16" t="n">
        <x:v>0</x:v>
      </x:c>
      <x:c r="W1258" s="16" t="n">
        <x:v>1</x:v>
      </x:c>
      <x:c r="X1258" s="16" t="n">
        <x:v>1</x:v>
      </x:c>
      <x:c r="Y1258" s="16" t="n">
        <x:v>0</x:v>
      </x:c>
      <x:c r="Z1258" s="16" t="n">
        <x:v>0</x:v>
      </x:c>
      <x:c r="AA1258" s="16" t="n">
        <x:v>3</x:v>
      </x:c>
      <x:c r="AB1258" s="16" t="n">
        <x:v>11</x:v>
      </x:c>
      <x:c r="AC1258" s="16" t="n">
        <x:v>0</x:v>
      </x:c>
      <x:c r="AD1258" s="21" t="n">
        <x:f>IF(E1258="",MEDIAN($E$2:$E$2237),E1258)</x:f>
        <x:v>76653</x:v>
      </x:c>
      <x:c r="AE1258" s="17" t="n">
        <x:f>2014-B1258</x:f>
        <x:v>45</x:v>
      </x:c>
      <x:c r="AF1258" s="17" t="n">
        <x:f>F1258+G1258</x:f>
        <x:v>0</x:v>
      </x:c>
      <x:c r="AG1258" s="21" t="n">
        <x:f>SUM(J1258:O1258)</x:f>
        <x:v>2279</x:v>
      </x:c>
      <x:c r="AH1258" s="17" t="n">
        <x:f>SUM(Q1258:S1258)</x:f>
        <x:v>22</x:v>
      </x:c>
      <x:c r="AI1258" s="17" t="n">
        <x:f>SUM(U1258:Y1258)</x:f>
        <x:v>2</x:v>
      </x:c>
      <x:c r="AJ1258" s="17" t="str">
        <x:f>IF(AE1258&lt;=34,"≤34",IF(AE1258&lt;=44,"35–44",IF(AE1258&lt;=54,"45–54",IF(AE1258&lt;=64,"55–64","65+"))))</x:f>
        <x:v>45–54</x:v>
      </x:c>
      <x:c r="AK1258" s="17" t="str">
        <x:f>IF(AG1258&gt;=1000,"High Value",IF(AG1258&gt;=300,"Mid Value","Low Value"))</x:f>
        <x:v>High Value</x:v>
      </x:c>
      <x:c r="AL1258" s="17" t="str">
        <x:f>IF(AND(AI1258&gt;=1,I1258&lt;=50),"Priority 1",IF(AND(AG1258&gt;=1000,I1258&lt;=60),"Priority 2",IF(I1258&lt;=30,"Priority 3","Nurture")))</x:f>
        <x:v>Nurture</x:v>
      </x:c>
    </x:row>
    <x:row r="1259">
      <x:c r="A1259" s="16" t="n">
        <x:v>5107</x:v>
      </x:c>
      <x:c r="B1259" s="16" t="n">
        <x:v>1973</x:v>
      </x:c>
      <x:c r="C1259" s="16" t="str">
        <x:v>PhD</x:v>
      </x:c>
      <x:c r="D1259" s="16" t="str">
        <x:v>Divorced</x:v>
      </x:c>
      <x:c r="E1259" s="16" t="n">
        <x:v>35860</x:v>
      </x:c>
      <x:c r="F1259" s="16" t="n">
        <x:v>1</x:v>
      </x:c>
      <x:c r="G1259" s="16" t="n">
        <x:v>1</x:v>
      </x:c>
      <x:c r="H1259" s="16" t="str">
        <x:v>19-05-2014</x:v>
      </x:c>
      <x:c r="I1259" s="16" t="n">
        <x:v>37</x:v>
      </x:c>
      <x:c r="J1259" s="16" t="n">
        <x:v>15</x:v>
      </x:c>
      <x:c r="K1259" s="16" t="n">
        <x:v>0</x:v>
      </x:c>
      <x:c r="L1259" s="16" t="n">
        <x:v>8</x:v>
      </x:c>
      <x:c r="M1259" s="16" t="n">
        <x:v>4</x:v>
      </x:c>
      <x:c r="N1259" s="16" t="n">
        <x:v>2</x:v>
      </x:c>
      <x:c r="O1259" s="16" t="n">
        <x:v>20</x:v>
      </x:c>
      <x:c r="P1259" s="16" t="n">
        <x:v>2</x:v>
      </x:c>
      <x:c r="Q1259" s="16" t="n">
        <x:v>1</x:v>
      </x:c>
      <x:c r="R1259" s="16" t="n">
        <x:v>1</x:v>
      </x:c>
      <x:c r="S1259" s="16" t="n">
        <x:v>2</x:v>
      </x:c>
      <x:c r="T1259" s="16" t="n">
        <x:v>5</x:v>
      </x:c>
      <x:c r="U1259" s="16" t="n">
        <x:v>1</x:v>
      </x:c>
      <x:c r="V1259" s="16" t="n">
        <x:v>0</x:v>
      </x:c>
      <x:c r="W1259" s="16" t="n">
        <x:v>0</x:v>
      </x:c>
      <x:c r="X1259" s="16" t="n">
        <x:v>0</x:v>
      </x:c>
      <x:c r="Y1259" s="16" t="n">
        <x:v>0</x:v>
      </x:c>
      <x:c r="Z1259" s="16" t="n">
        <x:v>0</x:v>
      </x:c>
      <x:c r="AA1259" s="16" t="n">
        <x:v>3</x:v>
      </x:c>
      <x:c r="AB1259" s="16" t="n">
        <x:v>11</x:v>
      </x:c>
      <x:c r="AC1259" s="16" t="n">
        <x:v>0</x:v>
      </x:c>
      <x:c r="AD1259" s="21" t="n">
        <x:f>IF(E1259="",MEDIAN($E$2:$E$2237),E1259)</x:f>
        <x:v>35860</x:v>
      </x:c>
      <x:c r="AE1259" s="17" t="n">
        <x:f>2014-B1259</x:f>
        <x:v>41</x:v>
      </x:c>
      <x:c r="AF1259" s="17" t="n">
        <x:f>F1259+G1259</x:f>
        <x:v>2</x:v>
      </x:c>
      <x:c r="AG1259" s="21" t="n">
        <x:f>SUM(J1259:O1259)</x:f>
        <x:v>49</x:v>
      </x:c>
      <x:c r="AH1259" s="17" t="n">
        <x:f>SUM(Q1259:S1259)</x:f>
        <x:v>4</x:v>
      </x:c>
      <x:c r="AI1259" s="17" t="n">
        <x:f>SUM(U1259:Y1259)</x:f>
        <x:v>1</x:v>
      </x:c>
      <x:c r="AJ1259" s="17" t="str">
        <x:f>IF(AE1259&lt;=34,"≤34",IF(AE1259&lt;=44,"35–44",IF(AE1259&lt;=54,"45–54",IF(AE1259&lt;=64,"55–64","65+"))))</x:f>
        <x:v>35–44</x:v>
      </x:c>
      <x:c r="AK1259" s="17" t="str">
        <x:f>IF(AG1259&gt;=1000,"High Value",IF(AG1259&gt;=300,"Mid Value","Low Value"))</x:f>
        <x:v>Low Value</x:v>
      </x:c>
      <x:c r="AL1259" s="17" t="str">
        <x:f>IF(AND(AI1259&gt;=1,I1259&lt;=50),"Priority 1",IF(AND(AG1259&gt;=1000,I1259&lt;=60),"Priority 2",IF(I1259&lt;=30,"Priority 3","Nurture")))</x:f>
        <x:v>Priority 1</x:v>
      </x:c>
    </x:row>
    <x:row r="1260">
      <x:c r="A1260" s="16" t="n">
        <x:v>3979</x:v>
      </x:c>
      <x:c r="B1260" s="16" t="n">
        <x:v>1983</x:v>
      </x:c>
      <x:c r="C1260" s="16" t="str">
        <x:v>PhD</x:v>
      </x:c>
      <x:c r="D1260" s="16" t="str">
        <x:v>Divorced</x:v>
      </x:c>
      <x:c r="E1260" s="16" t="n">
        <x:v>90687</x:v>
      </x:c>
      <x:c r="F1260" s="16" t="n">
        <x:v>0</x:v>
      </x:c>
      <x:c r="G1260" s="16" t="n">
        <x:v>0</x:v>
      </x:c>
      <x:c r="H1260" s="16" t="str">
        <x:v>22-05-2013</x:v>
      </x:c>
      <x:c r="I1260" s="16" t="n">
        <x:v>98</x:v>
      </x:c>
      <x:c r="J1260" s="16" t="n">
        <x:v>982</x:v>
      </x:c>
      <x:c r="K1260" s="16" t="n">
        <x:v>17</x:v>
      </x:c>
      <x:c r="L1260" s="16" t="n">
        <x:v>672</x:v>
      </x:c>
      <x:c r="M1260" s="16" t="n">
        <x:v>23</x:v>
      </x:c>
      <x:c r="N1260" s="16" t="n">
        <x:v>34</x:v>
      </x:c>
      <x:c r="O1260" s="16" t="n">
        <x:v>51</x:v>
      </x:c>
      <x:c r="P1260" s="16" t="n">
        <x:v>1</x:v>
      </x:c>
      <x:c r="Q1260" s="16" t="n">
        <x:v>6</x:v>
      </x:c>
      <x:c r="R1260" s="16" t="n">
        <x:v>2</x:v>
      </x:c>
      <x:c r="S1260" s="16" t="n">
        <x:v>8</x:v>
      </x:c>
      <x:c r="T1260" s="16" t="n">
        <x:v>2</x:v>
      </x:c>
      <x:c r="U1260" s="16" t="n">
        <x:v>0</x:v>
      </x:c>
      <x:c r="V1260" s="16" t="n">
        <x:v>0</x:v>
      </x:c>
      <x:c r="W1260" s="16" t="n">
        <x:v>1</x:v>
      </x:c>
      <x:c r="X1260" s="16" t="n">
        <x:v>0</x:v>
      </x:c>
      <x:c r="Y1260" s="16" t="n">
        <x:v>0</x:v>
      </x:c>
      <x:c r="Z1260" s="16" t="n">
        <x:v>0</x:v>
      </x:c>
      <x:c r="AA1260" s="16" t="n">
        <x:v>3</x:v>
      </x:c>
      <x:c r="AB1260" s="16" t="n">
        <x:v>11</x:v>
      </x:c>
      <x:c r="AC1260" s="16" t="n">
        <x:v>1</x:v>
      </x:c>
      <x:c r="AD1260" s="21" t="n">
        <x:f>IF(E1260="",MEDIAN($E$2:$E$2237),E1260)</x:f>
        <x:v>90687</x:v>
      </x:c>
      <x:c r="AE1260" s="17" t="n">
        <x:f>2014-B1260</x:f>
        <x:v>31</x:v>
      </x:c>
      <x:c r="AF1260" s="17" t="n">
        <x:f>F1260+G1260</x:f>
        <x:v>0</x:v>
      </x:c>
      <x:c r="AG1260" s="21" t="n">
        <x:f>SUM(J1260:O1260)</x:f>
        <x:v>1779</x:v>
      </x:c>
      <x:c r="AH1260" s="17" t="n">
        <x:f>SUM(Q1260:S1260)</x:f>
        <x:v>16</x:v>
      </x:c>
      <x:c r="AI1260" s="17" t="n">
        <x:f>SUM(U1260:Y1260)</x:f>
        <x:v>1</x:v>
      </x:c>
      <x:c r="AJ1260" s="17" t="str">
        <x:f>IF(AE1260&lt;=34,"≤34",IF(AE1260&lt;=44,"35–44",IF(AE1260&lt;=54,"45–54",IF(AE1260&lt;=64,"55–64","65+"))))</x:f>
        <x:v>≤34</x:v>
      </x:c>
      <x:c r="AK1260" s="17" t="str">
        <x:f>IF(AG1260&gt;=1000,"High Value",IF(AG1260&gt;=300,"Mid Value","Low Value"))</x:f>
        <x:v>High Value</x:v>
      </x:c>
      <x:c r="AL1260" s="17" t="str">
        <x:f>IF(AND(AI1260&gt;=1,I1260&lt;=50),"Priority 1",IF(AND(AG1260&gt;=1000,I1260&lt;=60),"Priority 2",IF(I1260&lt;=30,"Priority 3","Nurture")))</x:f>
        <x:v>Nurture</x:v>
      </x:c>
    </x:row>
    <x:row r="1261">
      <x:c r="A1261" s="16" t="n">
        <x:v>6049</x:v>
      </x:c>
      <x:c r="B1261" s="16" t="n">
        <x:v>1982</x:v>
      </x:c>
      <x:c r="C1261" s="16" t="str">
        <x:v>Master</x:v>
      </x:c>
      <x:c r="D1261" s="16" t="str">
        <x:v>Together</x:v>
      </x:c>
      <x:c r="E1261" s="16" t="n">
        <x:v>73450</x:v>
      </x:c>
      <x:c r="F1261" s="16" t="n">
        <x:v>0</x:v>
      </x:c>
      <x:c r="G1261" s="16" t="n">
        <x:v>0</x:v>
      </x:c>
      <x:c r="H1261" s="16" t="str">
        <x:v>05-12-2013</x:v>
      </x:c>
      <x:c r="I1261" s="16" t="n">
        <x:v>85</x:v>
      </x:c>
      <x:c r="J1261" s="16" t="n">
        <x:v>1142</x:v>
      </x:c>
      <x:c r="K1261" s="16" t="n">
        <x:v>51</x:v>
      </x:c>
      <x:c r="L1261" s="16" t="n">
        <x:v>415</x:v>
      </x:c>
      <x:c r="M1261" s="16" t="n">
        <x:v>90</x:v>
      </x:c>
      <x:c r="N1261" s="16" t="n">
        <x:v>69</x:v>
      </x:c>
      <x:c r="O1261" s="16" t="n">
        <x:v>37</x:v>
      </x:c>
      <x:c r="P1261" s="16" t="n">
        <x:v>1</x:v>
      </x:c>
      <x:c r="Q1261" s="16" t="n">
        <x:v>7</x:v>
      </x:c>
      <x:c r="R1261" s="16" t="n">
        <x:v>8</x:v>
      </x:c>
      <x:c r="S1261" s="16" t="n">
        <x:v>11</x:v>
      </x:c>
      <x:c r="T1261" s="16" t="n">
        <x:v>3</x:v>
      </x:c>
      <x:c r="U1261" s="16" t="n">
        <x:v>1</x:v>
      </x:c>
      <x:c r="V1261" s="16" t="n">
        <x:v>0</x:v>
      </x:c>
      <x:c r="W1261" s="16" t="n">
        <x:v>0</x:v>
      </x:c>
      <x:c r="X1261" s="16" t="n">
        <x:v>1</x:v>
      </x:c>
      <x:c r="Y1261" s="16" t="n">
        <x:v>0</x:v>
      </x:c>
      <x:c r="Z1261" s="16" t="n">
        <x:v>0</x:v>
      </x:c>
      <x:c r="AA1261" s="16" t="n">
        <x:v>3</x:v>
      </x:c>
      <x:c r="AB1261" s="16" t="n">
        <x:v>11</x:v>
      </x:c>
      <x:c r="AC1261" s="16" t="n">
        <x:v>0</x:v>
      </x:c>
      <x:c r="AD1261" s="21" t="n">
        <x:f>IF(E1261="",MEDIAN($E$2:$E$2237),E1261)</x:f>
        <x:v>73450</x:v>
      </x:c>
      <x:c r="AE1261" s="17" t="n">
        <x:f>2014-B1261</x:f>
        <x:v>32</x:v>
      </x:c>
      <x:c r="AF1261" s="17" t="n">
        <x:f>F1261+G1261</x:f>
        <x:v>0</x:v>
      </x:c>
      <x:c r="AG1261" s="21" t="n">
        <x:f>SUM(J1261:O1261)</x:f>
        <x:v>1804</x:v>
      </x:c>
      <x:c r="AH1261" s="17" t="n">
        <x:f>SUM(Q1261:S1261)</x:f>
        <x:v>26</x:v>
      </x:c>
      <x:c r="AI1261" s="17" t="n">
        <x:f>SUM(U1261:Y1261)</x:f>
        <x:v>2</x:v>
      </x:c>
      <x:c r="AJ1261" s="17" t="str">
        <x:f>IF(AE1261&lt;=34,"≤34",IF(AE1261&lt;=44,"35–44",IF(AE1261&lt;=54,"45–54",IF(AE1261&lt;=64,"55–64","65+"))))</x:f>
        <x:v>≤34</x:v>
      </x:c>
      <x:c r="AK1261" s="17" t="str">
        <x:f>IF(AG1261&gt;=1000,"High Value",IF(AG1261&gt;=300,"Mid Value","Low Value"))</x:f>
        <x:v>High Value</x:v>
      </x:c>
      <x:c r="AL1261" s="17" t="str">
        <x:f>IF(AND(AI1261&gt;=1,I1261&lt;=50),"Priority 1",IF(AND(AG1261&gt;=1000,I1261&lt;=60),"Priority 2",IF(I1261&lt;=30,"Priority 3","Nurture")))</x:f>
        <x:v>Nurture</x:v>
      </x:c>
    </x:row>
    <x:row r="1262">
      <x:c r="A1262" s="16" t="n">
        <x:v>8147</x:v>
      </x:c>
      <x:c r="B1262" s="16" t="n">
        <x:v>1960</x:v>
      </x:c>
      <x:c r="C1262" s="16" t="str">
        <x:v>Graduation</x:v>
      </x:c>
      <x:c r="D1262" s="16" t="str">
        <x:v>Married</x:v>
      </x:c>
      <x:c r="E1262" s="16" t="n">
        <x:v>31454</x:v>
      </x:c>
      <x:c r="F1262" s="16" t="n">
        <x:v>1</x:v>
      </x:c>
      <x:c r="G1262" s="16" t="n">
        <x:v>1</x:v>
      </x:c>
      <x:c r="H1262" s="16" t="str">
        <x:v>06-07-2013</x:v>
      </x:c>
      <x:c r="I1262" s="16" t="n">
        <x:v>40</x:v>
      </x:c>
      <x:c r="J1262" s="16" t="n">
        <x:v>28</x:v>
      </x:c>
      <x:c r="K1262" s="16" t="n">
        <x:v>0</x:v>
      </x:c>
      <x:c r="L1262" s="16" t="n">
        <x:v>11</x:v>
      </x:c>
      <x:c r="M1262" s="16" t="n">
        <x:v>0</x:v>
      </x:c>
      <x:c r="N1262" s="16" t="n">
        <x:v>0</x:v>
      </x:c>
      <x:c r="O1262" s="16" t="n">
        <x:v>9</x:v>
      </x:c>
      <x:c r="P1262" s="16" t="n">
        <x:v>3</x:v>
      </x:c>
      <x:c r="Q1262" s="16" t="n">
        <x:v>2</x:v>
      </x:c>
      <x:c r="R1262" s="16" t="n">
        <x:v>0</x:v>
      </x:c>
      <x:c r="S1262" s="16" t="n">
        <x:v>3</x:v>
      </x:c>
      <x:c r="T1262" s="16" t="n">
        <x:v>8</x:v>
      </x:c>
      <x:c r="U1262" s="16" t="n">
        <x:v>0</x:v>
      </x:c>
      <x:c r="V1262" s="16" t="n">
        <x:v>0</x:v>
      </x:c>
      <x:c r="W1262" s="16" t="n">
        <x:v>0</x:v>
      </x:c>
      <x:c r="X1262" s="16" t="n">
        <x:v>0</x:v>
      </x:c>
      <x:c r="Y1262" s="16" t="n">
        <x:v>0</x:v>
      </x:c>
      <x:c r="Z1262" s="16" t="n">
        <x:v>0</x:v>
      </x:c>
      <x:c r="AA1262" s="16" t="n">
        <x:v>3</x:v>
      </x:c>
      <x:c r="AB1262" s="16" t="n">
        <x:v>11</x:v>
      </x:c>
      <x:c r="AC1262" s="16" t="n">
        <x:v>0</x:v>
      </x:c>
      <x:c r="AD1262" s="21" t="n">
        <x:f>IF(E1262="",MEDIAN($E$2:$E$2237),E1262)</x:f>
        <x:v>31454</x:v>
      </x:c>
      <x:c r="AE1262" s="17" t="n">
        <x:f>2014-B1262</x:f>
        <x:v>54</x:v>
      </x:c>
      <x:c r="AF1262" s="17" t="n">
        <x:f>F1262+G1262</x:f>
        <x:v>2</x:v>
      </x:c>
      <x:c r="AG1262" s="21" t="n">
        <x:f>SUM(J1262:O1262)</x:f>
        <x:v>48</x:v>
      </x:c>
      <x:c r="AH1262" s="17" t="n">
        <x:f>SUM(Q1262:S1262)</x:f>
        <x:v>5</x:v>
      </x:c>
      <x:c r="AI1262" s="17" t="n">
        <x:f>SUM(U1262:Y1262)</x:f>
        <x:v>0</x:v>
      </x:c>
      <x:c r="AJ1262" s="17" t="str">
        <x:f>IF(AE1262&lt;=34,"≤34",IF(AE1262&lt;=44,"35–44",IF(AE1262&lt;=54,"45–54",IF(AE1262&lt;=64,"55–64","65+"))))</x:f>
        <x:v>45–54</x:v>
      </x:c>
      <x:c r="AK1262" s="17" t="str">
        <x:f>IF(AG1262&gt;=1000,"High Value",IF(AG1262&gt;=300,"Mid Value","Low Value"))</x:f>
        <x:v>Low Value</x:v>
      </x:c>
      <x:c r="AL1262" s="17" t="str">
        <x:f>IF(AND(AI1262&gt;=1,I1262&lt;=50),"Priority 1",IF(AND(AG1262&gt;=1000,I1262&lt;=60),"Priority 2",IF(I1262&lt;=30,"Priority 3","Nurture")))</x:f>
        <x:v>Nurture</x:v>
      </x:c>
    </x:row>
    <x:row r="1263">
      <x:c r="A1263" s="16" t="n">
        <x:v>1857</x:v>
      </x:c>
      <x:c r="B1263" s="16" t="n">
        <x:v>1952</x:v>
      </x:c>
      <x:c r="C1263" s="16" t="str">
        <x:v>Graduation</x:v>
      </x:c>
      <x:c r="D1263" s="16" t="str">
        <x:v>Single</x:v>
      </x:c>
      <x:c r="E1263" s="16" t="n">
        <x:v>47139</x:v>
      </x:c>
      <x:c r="F1263" s="16" t="n">
        <x:v>1</x:v>
      </x:c>
      <x:c r="G1263" s="16" t="n">
        <x:v>1</x:v>
      </x:c>
      <x:c r="H1263" s="16" t="str">
        <x:v>06-03-2014</x:v>
      </x:c>
      <x:c r="I1263" s="16" t="n">
        <x:v>2</x:v>
      </x:c>
      <x:c r="J1263" s="16" t="n">
        <x:v>46</x:v>
      </x:c>
      <x:c r="K1263" s="16" t="n">
        <x:v>0</x:v>
      </x:c>
      <x:c r="L1263" s="16" t="n">
        <x:v>12</x:v>
      </x:c>
      <x:c r="M1263" s="16" t="n">
        <x:v>0</x:v>
      </x:c>
      <x:c r="N1263" s="16" t="n">
        <x:v>2</x:v>
      </x:c>
      <x:c r="O1263" s="16" t="n">
        <x:v>23</x:v>
      </x:c>
      <x:c r="P1263" s="16" t="n">
        <x:v>2</x:v>
      </x:c>
      <x:c r="Q1263" s="16" t="n">
        <x:v>2</x:v>
      </x:c>
      <x:c r="R1263" s="16" t="n">
        <x:v>1</x:v>
      </x:c>
      <x:c r="S1263" s="16" t="n">
        <x:v>2</x:v>
      </x:c>
      <x:c r="T1263" s="16" t="n">
        <x:v>7</x:v>
      </x:c>
      <x:c r="U1263" s="16" t="n">
        <x:v>0</x:v>
      </x:c>
      <x:c r="V1263" s="16" t="n">
        <x:v>0</x:v>
      </x:c>
      <x:c r="W1263" s="16" t="n">
        <x:v>0</x:v>
      </x:c>
      <x:c r="X1263" s="16" t="n">
        <x:v>0</x:v>
      </x:c>
      <x:c r="Y1263" s="16" t="n">
        <x:v>0</x:v>
      </x:c>
      <x:c r="Z1263" s="16" t="n">
        <x:v>0</x:v>
      </x:c>
      <x:c r="AA1263" s="16" t="n">
        <x:v>3</x:v>
      </x:c>
      <x:c r="AB1263" s="16" t="n">
        <x:v>11</x:v>
      </x:c>
      <x:c r="AC1263" s="16" t="n">
        <x:v>1</x:v>
      </x:c>
      <x:c r="AD1263" s="21" t="n">
        <x:f>IF(E1263="",MEDIAN($E$2:$E$2237),E1263)</x:f>
        <x:v>47139</x:v>
      </x:c>
      <x:c r="AE1263" s="17" t="n">
        <x:f>2014-B1263</x:f>
        <x:v>62</x:v>
      </x:c>
      <x:c r="AF1263" s="17" t="n">
        <x:f>F1263+G1263</x:f>
        <x:v>2</x:v>
      </x:c>
      <x:c r="AG1263" s="21" t="n">
        <x:f>SUM(J1263:O1263)</x:f>
        <x:v>83</x:v>
      </x:c>
      <x:c r="AH1263" s="17" t="n">
        <x:f>SUM(Q1263:S1263)</x:f>
        <x:v>5</x:v>
      </x:c>
      <x:c r="AI1263" s="17" t="n">
        <x:f>SUM(U1263:Y1263)</x:f>
        <x:v>0</x:v>
      </x:c>
      <x:c r="AJ1263" s="17" t="str">
        <x:f>IF(AE1263&lt;=34,"≤34",IF(AE1263&lt;=44,"35–44",IF(AE1263&lt;=54,"45–54",IF(AE1263&lt;=64,"55–64","65+"))))</x:f>
        <x:v>55–64</x:v>
      </x:c>
      <x:c r="AK1263" s="17" t="str">
        <x:f>IF(AG1263&gt;=1000,"High Value",IF(AG1263&gt;=300,"Mid Value","Low Value"))</x:f>
        <x:v>Low Value</x:v>
      </x:c>
      <x:c r="AL1263" s="17" t="str">
        <x:f>IF(AND(AI1263&gt;=1,I1263&lt;=50),"Priority 1",IF(AND(AG1263&gt;=1000,I1263&lt;=60),"Priority 2",IF(I1263&lt;=30,"Priority 3","Nurture")))</x:f>
        <x:v>Priority 3</x:v>
      </x:c>
    </x:row>
    <x:row r="1264">
      <x:c r="A1264" s="16" t="n">
        <x:v>3910</x:v>
      </x:c>
      <x:c r="B1264" s="16" t="n">
        <x:v>1975</x:v>
      </x:c>
      <x:c r="C1264" s="16" t="str">
        <x:v>Graduation</x:v>
      </x:c>
      <x:c r="D1264" s="16" t="str">
        <x:v>Divorced</x:v>
      </x:c>
      <x:c r="E1264" s="16" t="n">
        <x:v>83829</x:v>
      </x:c>
      <x:c r="F1264" s="16" t="n">
        <x:v>0</x:v>
      </x:c>
      <x:c r="G1264" s="16" t="n">
        <x:v>0</x:v>
      </x:c>
      <x:c r="H1264" s="16" t="str">
        <x:v>08-10-2013</x:v>
      </x:c>
      <x:c r="I1264" s="16" t="n">
        <x:v>78</x:v>
      </x:c>
      <x:c r="J1264" s="16" t="n">
        <x:v>897</x:v>
      </x:c>
      <x:c r="K1264" s="16" t="n">
        <x:v>161</x:v>
      </x:c>
      <x:c r="L1264" s="16" t="n">
        <x:v>430</x:v>
      </x:c>
      <x:c r="M1264" s="16" t="n">
        <x:v>186</x:v>
      </x:c>
      <x:c r="N1264" s="16" t="n">
        <x:v>161</x:v>
      </x:c>
      <x:c r="O1264" s="16" t="n">
        <x:v>27</x:v>
      </x:c>
      <x:c r="P1264" s="16" t="n">
        <x:v>0</x:v>
      </x:c>
      <x:c r="Q1264" s="16" t="n">
        <x:v>4</x:v>
      </x:c>
      <x:c r="R1264" s="16" t="n">
        <x:v>7</x:v>
      </x:c>
      <x:c r="S1264" s="16" t="n">
        <x:v>6</x:v>
      </x:c>
      <x:c r="T1264" s="16" t="n">
        <x:v>1</x:v>
      </x:c>
      <x:c r="U1264" s="16" t="n">
        <x:v>1</x:v>
      </x:c>
      <x:c r="V1264" s="16" t="n">
        <x:v>0</x:v>
      </x:c>
      <x:c r="W1264" s="16" t="n">
        <x:v>1</x:v>
      </x:c>
      <x:c r="X1264" s="16" t="n">
        <x:v>1</x:v>
      </x:c>
      <x:c r="Y1264" s="16" t="n">
        <x:v>0</x:v>
      </x:c>
      <x:c r="Z1264" s="16" t="n">
        <x:v>0</x:v>
      </x:c>
      <x:c r="AA1264" s="16" t="n">
        <x:v>3</x:v>
      </x:c>
      <x:c r="AB1264" s="16" t="n">
        <x:v>11</x:v>
      </x:c>
      <x:c r="AC1264" s="16" t="n">
        <x:v>1</x:v>
      </x:c>
      <x:c r="AD1264" s="21" t="n">
        <x:f>IF(E1264="",MEDIAN($E$2:$E$2237),E1264)</x:f>
        <x:v>83829</x:v>
      </x:c>
      <x:c r="AE1264" s="17" t="n">
        <x:f>2014-B1264</x:f>
        <x:v>39</x:v>
      </x:c>
      <x:c r="AF1264" s="17" t="n">
        <x:f>F1264+G1264</x:f>
        <x:v>0</x:v>
      </x:c>
      <x:c r="AG1264" s="21" t="n">
        <x:f>SUM(J1264:O1264)</x:f>
        <x:v>1862</x:v>
      </x:c>
      <x:c r="AH1264" s="17" t="n">
        <x:f>SUM(Q1264:S1264)</x:f>
        <x:v>17</x:v>
      </x:c>
      <x:c r="AI1264" s="17" t="n">
        <x:f>SUM(U1264:Y1264)</x:f>
        <x:v>3</x:v>
      </x:c>
      <x:c r="AJ1264" s="17" t="str">
        <x:f>IF(AE1264&lt;=34,"≤34",IF(AE1264&lt;=44,"35–44",IF(AE1264&lt;=54,"45–54",IF(AE1264&lt;=64,"55–64","65+"))))</x:f>
        <x:v>35–44</x:v>
      </x:c>
      <x:c r="AK1264" s="17" t="str">
        <x:f>IF(AG1264&gt;=1000,"High Value",IF(AG1264&gt;=300,"Mid Value","Low Value"))</x:f>
        <x:v>High Value</x:v>
      </x:c>
      <x:c r="AL1264" s="17" t="str">
        <x:f>IF(AND(AI1264&gt;=1,I1264&lt;=50),"Priority 1",IF(AND(AG1264&gt;=1000,I1264&lt;=60),"Priority 2",IF(I1264&lt;=30,"Priority 3","Nurture")))</x:f>
        <x:v>Nurture</x:v>
      </x:c>
    </x:row>
    <x:row r="1265">
      <x:c r="A1265" s="16" t="n">
        <x:v>5207</x:v>
      </x:c>
      <x:c r="B1265" s="16" t="n">
        <x:v>1963</x:v>
      </x:c>
      <x:c r="C1265" s="16" t="str">
        <x:v>PhD</x:v>
      </x:c>
      <x:c r="D1265" s="16" t="str">
        <x:v>Married</x:v>
      </x:c>
      <x:c r="E1265" s="16" t="n">
        <x:v>53378</x:v>
      </x:c>
      <x:c r="F1265" s="16" t="n">
        <x:v>1</x:v>
      </x:c>
      <x:c r="G1265" s="16" t="n">
        <x:v>1</x:v>
      </x:c>
      <x:c r="H1265" s="16" t="str">
        <x:v>24-09-2012</x:v>
      </x:c>
      <x:c r="I1265" s="16" t="n">
        <x:v>41</x:v>
      </x:c>
      <x:c r="J1265" s="16" t="n">
        <x:v>489</x:v>
      </x:c>
      <x:c r="K1265" s="16" t="n">
        <x:v>6</x:v>
      </x:c>
      <x:c r="L1265" s="16" t="n">
        <x:v>152</x:v>
      </x:c>
      <x:c r="M1265" s="16" t="n">
        <x:v>8</x:v>
      </x:c>
      <x:c r="N1265" s="16" t="n">
        <x:v>6</x:v>
      </x:c>
      <x:c r="O1265" s="16" t="n">
        <x:v>132</x:v>
      </x:c>
      <x:c r="P1265" s="16" t="n">
        <x:v>10</x:v>
      </x:c>
      <x:c r="Q1265" s="16" t="n">
        <x:v>9</x:v>
      </x:c>
      <x:c r="R1265" s="16" t="n">
        <x:v>4</x:v>
      </x:c>
      <x:c r="S1265" s="16" t="n">
        <x:v>6</x:v>
      </x:c>
      <x:c r="T1265" s="16" t="n">
        <x:v>8</x:v>
      </x:c>
      <x:c r="U1265" s="16" t="n">
        <x:v>0</x:v>
      </x:c>
      <x:c r="V1265" s="16" t="n">
        <x:v>0</x:v>
      </x:c>
      <x:c r="W1265" s="16" t="n">
        <x:v>0</x:v>
      </x:c>
      <x:c r="X1265" s="16" t="n">
        <x:v>0</x:v>
      </x:c>
      <x:c r="Y1265" s="16" t="n">
        <x:v>0</x:v>
      </x:c>
      <x:c r="Z1265" s="16" t="n">
        <x:v>0</x:v>
      </x:c>
      <x:c r="AA1265" s="16" t="n">
        <x:v>3</x:v>
      </x:c>
      <x:c r="AB1265" s="16" t="n">
        <x:v>11</x:v>
      </x:c>
      <x:c r="AC1265" s="16" t="n">
        <x:v>1</x:v>
      </x:c>
      <x:c r="AD1265" s="21" t="n">
        <x:f>IF(E1265="",MEDIAN($E$2:$E$2237),E1265)</x:f>
        <x:v>53378</x:v>
      </x:c>
      <x:c r="AE1265" s="17" t="n">
        <x:f>2014-B1265</x:f>
        <x:v>51</x:v>
      </x:c>
      <x:c r="AF1265" s="17" t="n">
        <x:f>F1265+G1265</x:f>
        <x:v>2</x:v>
      </x:c>
      <x:c r="AG1265" s="21" t="n">
        <x:f>SUM(J1265:O1265)</x:f>
        <x:v>793</x:v>
      </x:c>
      <x:c r="AH1265" s="17" t="n">
        <x:f>SUM(Q1265:S1265)</x:f>
        <x:v>19</x:v>
      </x:c>
      <x:c r="AI1265" s="17" t="n">
        <x:f>SUM(U1265:Y1265)</x:f>
        <x:v>0</x:v>
      </x:c>
      <x:c r="AJ1265" s="17" t="str">
        <x:f>IF(AE1265&lt;=34,"≤34",IF(AE1265&lt;=44,"35–44",IF(AE1265&lt;=54,"45–54",IF(AE1265&lt;=64,"55–64","65+"))))</x:f>
        <x:v>45–54</x:v>
      </x:c>
      <x:c r="AK1265" s="17" t="str">
        <x:f>IF(AG1265&gt;=1000,"High Value",IF(AG1265&gt;=300,"Mid Value","Low Value"))</x:f>
        <x:v>Mid Value</x:v>
      </x:c>
      <x:c r="AL1265" s="17" t="str">
        <x:f>IF(AND(AI1265&gt;=1,I1265&lt;=50),"Priority 1",IF(AND(AG1265&gt;=1000,I1265&lt;=60),"Priority 2",IF(I1265&lt;=30,"Priority 3","Nurture")))</x:f>
        <x:v>Nurture</x:v>
      </x:c>
    </x:row>
    <x:row r="1266">
      <x:c r="A1266" s="16" t="n">
        <x:v>11114</x:v>
      </x:c>
      <x:c r="B1266" s="16" t="n">
        <x:v>1970</x:v>
      </x:c>
      <x:c r="C1266" s="16" t="str">
        <x:v>Graduation</x:v>
      </x:c>
      <x:c r="D1266" s="16" t="str">
        <x:v>Together</x:v>
      </x:c>
      <x:c r="E1266" s="16" t="n">
        <x:v>19656</x:v>
      </x:c>
      <x:c r="F1266" s="16" t="n">
        <x:v>1</x:v>
      </x:c>
      <x:c r="G1266" s="16" t="n">
        <x:v>0</x:v>
      </x:c>
      <x:c r="H1266" s="16" t="str">
        <x:v>08-02-2013</x:v>
      </x:c>
      <x:c r="I1266" s="16" t="n">
        <x:v>94</x:v>
      </x:c>
      <x:c r="J1266" s="16" t="n">
        <x:v>25</x:v>
      </x:c>
      <x:c r="K1266" s="16" t="n">
        <x:v>4</x:v>
      </x:c>
      <x:c r="L1266" s="16" t="n">
        <x:v>9</x:v>
      </x:c>
      <x:c r="M1266" s="16" t="n">
        <x:v>6</x:v>
      </x:c>
      <x:c r="N1266" s="16" t="n">
        <x:v>8</x:v>
      </x:c>
      <x:c r="O1266" s="16" t="n">
        <x:v>32</x:v>
      </x:c>
      <x:c r="P1266" s="16" t="n">
        <x:v>3</x:v>
      </x:c>
      <x:c r="Q1266" s="16" t="n">
        <x:v>2</x:v>
      </x:c>
      <x:c r="R1266" s="16" t="n">
        <x:v>1</x:v>
      </x:c>
      <x:c r="S1266" s="16" t="n">
        <x:v>3</x:v>
      </x:c>
      <x:c r="T1266" s="16" t="n">
        <x:v>7</x:v>
      </x:c>
      <x:c r="U1266" s="16" t="n">
        <x:v>0</x:v>
      </x:c>
      <x:c r="V1266" s="16" t="n">
        <x:v>0</x:v>
      </x:c>
      <x:c r="W1266" s="16" t="n">
        <x:v>0</x:v>
      </x:c>
      <x:c r="X1266" s="16" t="n">
        <x:v>0</x:v>
      </x:c>
      <x:c r="Y1266" s="16" t="n">
        <x:v>0</x:v>
      </x:c>
      <x:c r="Z1266" s="16" t="n">
        <x:v>0</x:v>
      </x:c>
      <x:c r="AA1266" s="16" t="n">
        <x:v>3</x:v>
      </x:c>
      <x:c r="AB1266" s="16" t="n">
        <x:v>11</x:v>
      </x:c>
      <x:c r="AC1266" s="16" t="n">
        <x:v>0</x:v>
      </x:c>
      <x:c r="AD1266" s="21" t="n">
        <x:f>IF(E1266="",MEDIAN($E$2:$E$2237),E1266)</x:f>
        <x:v>19656</x:v>
      </x:c>
      <x:c r="AE1266" s="17" t="n">
        <x:f>2014-B1266</x:f>
        <x:v>44</x:v>
      </x:c>
      <x:c r="AF1266" s="17" t="n">
        <x:f>F1266+G1266</x:f>
        <x:v>1</x:v>
      </x:c>
      <x:c r="AG1266" s="21" t="n">
        <x:f>SUM(J1266:O1266)</x:f>
        <x:v>84</x:v>
      </x:c>
      <x:c r="AH1266" s="17" t="n">
        <x:f>SUM(Q1266:S1266)</x:f>
        <x:v>6</x:v>
      </x:c>
      <x:c r="AI1266" s="17" t="n">
        <x:f>SUM(U1266:Y1266)</x:f>
        <x:v>0</x:v>
      </x:c>
      <x:c r="AJ1266" s="17" t="str">
        <x:f>IF(AE1266&lt;=34,"≤34",IF(AE1266&lt;=44,"35–44",IF(AE1266&lt;=54,"45–54",IF(AE1266&lt;=64,"55–64","65+"))))</x:f>
        <x:v>35–44</x:v>
      </x:c>
      <x:c r="AK1266" s="17" t="str">
        <x:f>IF(AG1266&gt;=1000,"High Value",IF(AG1266&gt;=300,"Mid Value","Low Value"))</x:f>
        <x:v>Low Value</x:v>
      </x:c>
      <x:c r="AL1266" s="17" t="str">
        <x:f>IF(AND(AI1266&gt;=1,I1266&lt;=50),"Priority 1",IF(AND(AG1266&gt;=1000,I1266&lt;=60),"Priority 2",IF(I1266&lt;=30,"Priority 3","Nurture")))</x:f>
        <x:v>Nurture</x:v>
      </x:c>
    </x:row>
    <x:row r="1267">
      <x:c r="A1267" s="16" t="n">
        <x:v>5429</x:v>
      </x:c>
      <x:c r="B1267" s="16" t="n">
        <x:v>1948</x:v>
      </x:c>
      <x:c r="C1267" s="16" t="str">
        <x:v>PhD</x:v>
      </x:c>
      <x:c r="D1267" s="16" t="str">
        <x:v>Married</x:v>
      </x:c>
      <x:c r="E1267" s="16" t="n">
        <x:v>45579</x:v>
      </x:c>
      <x:c r="F1267" s="16" t="n">
        <x:v>0</x:v>
      </x:c>
      <x:c r="G1267" s="16" t="n">
        <x:v>1</x:v>
      </x:c>
      <x:c r="H1267" s="16" t="str">
        <x:v>20-08-2013</x:v>
      </x:c>
      <x:c r="I1267" s="16" t="n">
        <x:v>10</x:v>
      </x:c>
      <x:c r="J1267" s="16" t="n">
        <x:v>145</x:v>
      </x:c>
      <x:c r="K1267" s="16" t="n">
        <x:v>1</x:v>
      </x:c>
      <x:c r="L1267" s="16" t="n">
        <x:v>33</x:v>
      </x:c>
      <x:c r="M1267" s="16" t="n">
        <x:v>2</x:v>
      </x:c>
      <x:c r="N1267" s="16" t="n">
        <x:v>1</x:v>
      </x:c>
      <x:c r="O1267" s="16" t="n">
        <x:v>1</x:v>
      </x:c>
      <x:c r="P1267" s="16" t="n">
        <x:v>1</x:v>
      </x:c>
      <x:c r="Q1267" s="16" t="n">
        <x:v>4</x:v>
      </x:c>
      <x:c r="R1267" s="16" t="n">
        <x:v>1</x:v>
      </x:c>
      <x:c r="S1267" s="16" t="n">
        <x:v>4</x:v>
      </x:c>
      <x:c r="T1267" s="16" t="n">
        <x:v>6</x:v>
      </x:c>
      <x:c r="U1267" s="16" t="n">
        <x:v>0</x:v>
      </x:c>
      <x:c r="V1267" s="16" t="n">
        <x:v>0</x:v>
      </x:c>
      <x:c r="W1267" s="16" t="n">
        <x:v>0</x:v>
      </x:c>
      <x:c r="X1267" s="16" t="n">
        <x:v>0</x:v>
      </x:c>
      <x:c r="Y1267" s="16" t="n">
        <x:v>0</x:v>
      </x:c>
      <x:c r="Z1267" s="16" t="n">
        <x:v>0</x:v>
      </x:c>
      <x:c r="AA1267" s="16" t="n">
        <x:v>3</x:v>
      </x:c>
      <x:c r="AB1267" s="16" t="n">
        <x:v>11</x:v>
      </x:c>
      <x:c r="AC1267" s="16" t="n">
        <x:v>0</x:v>
      </x:c>
      <x:c r="AD1267" s="21" t="n">
        <x:f>IF(E1267="",MEDIAN($E$2:$E$2237),E1267)</x:f>
        <x:v>45579</x:v>
      </x:c>
      <x:c r="AE1267" s="17" t="n">
        <x:f>2014-B1267</x:f>
        <x:v>66</x:v>
      </x:c>
      <x:c r="AF1267" s="17" t="n">
        <x:f>F1267+G1267</x:f>
        <x:v>1</x:v>
      </x:c>
      <x:c r="AG1267" s="21" t="n">
        <x:f>SUM(J1267:O1267)</x:f>
        <x:v>183</x:v>
      </x:c>
      <x:c r="AH1267" s="17" t="n">
        <x:f>SUM(Q1267:S1267)</x:f>
        <x:v>9</x:v>
      </x:c>
      <x:c r="AI1267" s="17" t="n">
        <x:f>SUM(U1267:Y1267)</x:f>
        <x:v>0</x:v>
      </x:c>
      <x:c r="AJ1267" s="17" t="str">
        <x:f>IF(AE1267&lt;=34,"≤34",IF(AE1267&lt;=44,"35–44",IF(AE1267&lt;=54,"45–54",IF(AE1267&lt;=64,"55–64","65+"))))</x:f>
        <x:v>65+</x:v>
      </x:c>
      <x:c r="AK1267" s="17" t="str">
        <x:f>IF(AG1267&gt;=1000,"High Value",IF(AG1267&gt;=300,"Mid Value","Low Value"))</x:f>
        <x:v>Low Value</x:v>
      </x:c>
      <x:c r="AL1267" s="17" t="str">
        <x:f>IF(AND(AI1267&gt;=1,I1267&lt;=50),"Priority 1",IF(AND(AG1267&gt;=1000,I1267&lt;=60),"Priority 2",IF(I1267&lt;=30,"Priority 3","Nurture")))</x:f>
        <x:v>Priority 3</x:v>
      </x:c>
    </x:row>
    <x:row r="1268">
      <x:c r="A1268" s="16" t="n">
        <x:v>9400</x:v>
      </x:c>
      <x:c r="B1268" s="16" t="n">
        <x:v>1958</x:v>
      </x:c>
      <x:c r="C1268" s="16" t="str">
        <x:v>2n Cycle</x:v>
      </x:c>
      <x:c r="D1268" s="16" t="str">
        <x:v>Single</x:v>
      </x:c>
      <x:c r="E1268" s="16" t="n">
        <x:v>85485</x:v>
      </x:c>
      <x:c r="F1268" s="16" t="n">
        <x:v>0</x:v>
      </x:c>
      <x:c r="G1268" s="16" t="n">
        <x:v>0</x:v>
      </x:c>
      <x:c r="H1268" s="16" t="str">
        <x:v>21-06-2014</x:v>
      </x:c>
      <x:c r="I1268" s="16" t="n">
        <x:v>73</x:v>
      </x:c>
      <x:c r="J1268" s="16" t="n">
        <x:v>630</x:v>
      </x:c>
      <x:c r="K1268" s="16" t="n">
        <x:v>26</x:v>
      </x:c>
      <x:c r="L1268" s="16" t="n">
        <x:v>611</x:v>
      </x:c>
      <x:c r="M1268" s="16" t="n">
        <x:v>44</x:v>
      </x:c>
      <x:c r="N1268" s="16" t="n">
        <x:v>18</x:v>
      </x:c>
      <x:c r="O1268" s="16" t="n">
        <x:v>54</x:v>
      </x:c>
      <x:c r="P1268" s="16" t="n">
        <x:v>1</x:v>
      </x:c>
      <x:c r="Q1268" s="16" t="n">
        <x:v>6</x:v>
      </x:c>
      <x:c r="R1268" s="16" t="n">
        <x:v>6</x:v>
      </x:c>
      <x:c r="S1268" s="16" t="n">
        <x:v>6</x:v>
      </x:c>
      <x:c r="T1268" s="16" t="n">
        <x:v>2</x:v>
      </x:c>
      <x:c r="U1268" s="16" t="n">
        <x:v>0</x:v>
      </x:c>
      <x:c r="V1268" s="16" t="n">
        <x:v>0</x:v>
      </x:c>
      <x:c r="W1268" s="16" t="n">
        <x:v>0</x:v>
      </x:c>
      <x:c r="X1268" s="16" t="n">
        <x:v>0</x:v>
      </x:c>
      <x:c r="Y1268" s="16" t="n">
        <x:v>0</x:v>
      </x:c>
      <x:c r="Z1268" s="16" t="n">
        <x:v>0</x:v>
      </x:c>
      <x:c r="AA1268" s="16" t="n">
        <x:v>3</x:v>
      </x:c>
      <x:c r="AB1268" s="16" t="n">
        <x:v>11</x:v>
      </x:c>
      <x:c r="AC1268" s="16" t="n">
        <x:v>0</x:v>
      </x:c>
      <x:c r="AD1268" s="21" t="n">
        <x:f>IF(E1268="",MEDIAN($E$2:$E$2237),E1268)</x:f>
        <x:v>85485</x:v>
      </x:c>
      <x:c r="AE1268" s="17" t="n">
        <x:f>2014-B1268</x:f>
        <x:v>56</x:v>
      </x:c>
      <x:c r="AF1268" s="17" t="n">
        <x:f>F1268+G1268</x:f>
        <x:v>0</x:v>
      </x:c>
      <x:c r="AG1268" s="21" t="n">
        <x:f>SUM(J1268:O1268)</x:f>
        <x:v>1383</x:v>
      </x:c>
      <x:c r="AH1268" s="17" t="n">
        <x:f>SUM(Q1268:S1268)</x:f>
        <x:v>18</x:v>
      </x:c>
      <x:c r="AI1268" s="17" t="n">
        <x:f>SUM(U1268:Y1268)</x:f>
        <x:v>0</x:v>
      </x:c>
      <x:c r="AJ1268" s="17" t="str">
        <x:f>IF(AE1268&lt;=34,"≤34",IF(AE1268&lt;=44,"35–44",IF(AE1268&lt;=54,"45–54",IF(AE1268&lt;=64,"55–64","65+"))))</x:f>
        <x:v>55–64</x:v>
      </x:c>
      <x:c r="AK1268" s="17" t="str">
        <x:f>IF(AG1268&gt;=1000,"High Value",IF(AG1268&gt;=300,"Mid Value","Low Value"))</x:f>
        <x:v>High Value</x:v>
      </x:c>
      <x:c r="AL1268" s="17" t="str">
        <x:f>IF(AND(AI1268&gt;=1,I1268&lt;=50),"Priority 1",IF(AND(AG1268&gt;=1000,I1268&lt;=60),"Priority 2",IF(I1268&lt;=30,"Priority 3","Nurture")))</x:f>
        <x:v>Nurture</x:v>
      </x:c>
    </x:row>
    <x:row r="1269">
      <x:c r="A1269" s="16" t="n">
        <x:v>1740</x:v>
      </x:c>
      <x:c r="B1269" s="16" t="n">
        <x:v>1944</x:v>
      </x:c>
      <x:c r="C1269" s="16" t="str">
        <x:v>Graduation</x:v>
      </x:c>
      <x:c r="D1269" s="16" t="str">
        <x:v>Married</x:v>
      </x:c>
      <x:c r="E1269" s="16" t="n">
        <x:v>55956</x:v>
      </x:c>
      <x:c r="F1269" s="16" t="n">
        <x:v>0</x:v>
      </x:c>
      <x:c r="G1269" s="16" t="n">
        <x:v>0</x:v>
      </x:c>
      <x:c r="H1269" s="16" t="str">
        <x:v>07-04-2014</x:v>
      </x:c>
      <x:c r="I1269" s="16" t="n">
        <x:v>22</x:v>
      </x:c>
      <x:c r="J1269" s="16" t="n">
        <x:v>760</x:v>
      </x:c>
      <x:c r="K1269" s="16" t="n">
        <x:v>38</x:v>
      </x:c>
      <x:c r="L1269" s="16" t="n">
        <x:v>104</x:v>
      </x:c>
      <x:c r="M1269" s="16" t="n">
        <x:v>50</x:v>
      </x:c>
      <x:c r="N1269" s="16" t="n">
        <x:v>9</x:v>
      </x:c>
      <x:c r="O1269" s="16" t="n">
        <x:v>38</x:v>
      </x:c>
      <x:c r="P1269" s="16" t="n">
        <x:v>2</x:v>
      </x:c>
      <x:c r="Q1269" s="16" t="n">
        <x:v>7</x:v>
      </x:c>
      <x:c r="R1269" s="16" t="n">
        <x:v>3</x:v>
      </x:c>
      <x:c r="S1269" s="16" t="n">
        <x:v>4</x:v>
      </x:c>
      <x:c r="T1269" s="16" t="n">
        <x:v>4</x:v>
      </x:c>
      <x:c r="U1269" s="16" t="n">
        <x:v>0</x:v>
      </x:c>
      <x:c r="V1269" s="16" t="n">
        <x:v>1</x:v>
      </x:c>
      <x:c r="W1269" s="16" t="n">
        <x:v>0</x:v>
      </x:c>
      <x:c r="X1269" s="16" t="n">
        <x:v>0</x:v>
      </x:c>
      <x:c r="Y1269" s="16" t="n">
        <x:v>0</x:v>
      </x:c>
      <x:c r="Z1269" s="16" t="n">
        <x:v>0</x:v>
      </x:c>
      <x:c r="AA1269" s="16" t="n">
        <x:v>3</x:v>
      </x:c>
      <x:c r="AB1269" s="16" t="n">
        <x:v>11</x:v>
      </x:c>
      <x:c r="AC1269" s="16" t="n">
        <x:v>0</x:v>
      </x:c>
      <x:c r="AD1269" s="21" t="n">
        <x:f>IF(E1269="",MEDIAN($E$2:$E$2237),E1269)</x:f>
        <x:v>55956</x:v>
      </x:c>
      <x:c r="AE1269" s="17" t="n">
        <x:f>2014-B1269</x:f>
        <x:v>70</x:v>
      </x:c>
      <x:c r="AF1269" s="17" t="n">
        <x:f>F1269+G1269</x:f>
        <x:v>0</x:v>
      </x:c>
      <x:c r="AG1269" s="21" t="n">
        <x:f>SUM(J1269:O1269)</x:f>
        <x:v>999</x:v>
      </x:c>
      <x:c r="AH1269" s="17" t="n">
        <x:f>SUM(Q1269:S1269)</x:f>
        <x:v>14</x:v>
      </x:c>
      <x:c r="AI1269" s="17" t="n">
        <x:f>SUM(U1269:Y1269)</x:f>
        <x:v>1</x:v>
      </x:c>
      <x:c r="AJ1269" s="17" t="str">
        <x:f>IF(AE1269&lt;=34,"≤34",IF(AE1269&lt;=44,"35–44",IF(AE1269&lt;=54,"45–54",IF(AE1269&lt;=64,"55–64","65+"))))</x:f>
        <x:v>65+</x:v>
      </x:c>
      <x:c r="AK1269" s="17" t="str">
        <x:f>IF(AG1269&gt;=1000,"High Value",IF(AG1269&gt;=300,"Mid Value","Low Value"))</x:f>
        <x:v>Mid Value</x:v>
      </x:c>
      <x:c r="AL1269" s="17" t="str">
        <x:f>IF(AND(AI1269&gt;=1,I1269&lt;=50),"Priority 1",IF(AND(AG1269&gt;=1000,I1269&lt;=60),"Priority 2",IF(I1269&lt;=30,"Priority 3","Nurture")))</x:f>
        <x:v>Priority 1</x:v>
      </x:c>
    </x:row>
    <x:row r="1270">
      <x:c r="A1270" s="16" t="n">
        <x:v>7488</x:v>
      </x:c>
      <x:c r="B1270" s="16" t="n">
        <x:v>1963</x:v>
      </x:c>
      <x:c r="C1270" s="16" t="str">
        <x:v>Master</x:v>
      </x:c>
      <x:c r="D1270" s="16" t="str">
        <x:v>Single</x:v>
      </x:c>
      <x:c r="E1270" s="16" t="n">
        <x:v>64191</x:v>
      </x:c>
      <x:c r="F1270" s="16" t="n">
        <x:v>0</x:v>
      </x:c>
      <x:c r="G1270" s="16" t="n">
        <x:v>1</x:v>
      </x:c>
      <x:c r="H1270" s="16" t="str">
        <x:v>22-01-2013</x:v>
      </x:c>
      <x:c r="I1270" s="16" t="n">
        <x:v>30</x:v>
      </x:c>
      <x:c r="J1270" s="16" t="n">
        <x:v>420</x:v>
      </x:c>
      <x:c r="K1270" s="16" t="n">
        <x:v>15</x:v>
      </x:c>
      <x:c r="L1270" s="16" t="n">
        <x:v>186</x:v>
      </x:c>
      <x:c r="M1270" s="16" t="n">
        <x:v>151</x:v>
      </x:c>
      <x:c r="N1270" s="16" t="n">
        <x:v>38</x:v>
      </x:c>
      <x:c r="O1270" s="16" t="n">
        <x:v>15</x:v>
      </x:c>
      <x:c r="P1270" s="16" t="n">
        <x:v>3</x:v>
      </x:c>
      <x:c r="Q1270" s="16" t="n">
        <x:v>5</x:v>
      </x:c>
      <x:c r="R1270" s="16" t="n">
        <x:v>3</x:v>
      </x:c>
      <x:c r="S1270" s="16" t="n">
        <x:v>13</x:v>
      </x:c>
      <x:c r="T1270" s="16" t="n">
        <x:v>3</x:v>
      </x:c>
      <x:c r="U1270" s="16" t="n">
        <x:v>0</x:v>
      </x:c>
      <x:c r="V1270" s="16" t="n">
        <x:v>0</x:v>
      </x:c>
      <x:c r="W1270" s="16" t="n">
        <x:v>0</x:v>
      </x:c>
      <x:c r="X1270" s="16" t="n">
        <x:v>0</x:v>
      </x:c>
      <x:c r="Y1270" s="16" t="n">
        <x:v>0</x:v>
      </x:c>
      <x:c r="Z1270" s="16" t="n">
        <x:v>0</x:v>
      </x:c>
      <x:c r="AA1270" s="16" t="n">
        <x:v>3</x:v>
      </x:c>
      <x:c r="AB1270" s="16" t="n">
        <x:v>11</x:v>
      </x:c>
      <x:c r="AC1270" s="16" t="n">
        <x:v>0</x:v>
      </x:c>
      <x:c r="AD1270" s="21" t="n">
        <x:f>IF(E1270="",MEDIAN($E$2:$E$2237),E1270)</x:f>
        <x:v>64191</x:v>
      </x:c>
      <x:c r="AE1270" s="17" t="n">
        <x:f>2014-B1270</x:f>
        <x:v>51</x:v>
      </x:c>
      <x:c r="AF1270" s="17" t="n">
        <x:f>F1270+G1270</x:f>
        <x:v>1</x:v>
      </x:c>
      <x:c r="AG1270" s="21" t="n">
        <x:f>SUM(J1270:O1270)</x:f>
        <x:v>825</x:v>
      </x:c>
      <x:c r="AH1270" s="17" t="n">
        <x:f>SUM(Q1270:S1270)</x:f>
        <x:v>21</x:v>
      </x:c>
      <x:c r="AI1270" s="17" t="n">
        <x:f>SUM(U1270:Y1270)</x:f>
        <x:v>0</x:v>
      </x:c>
      <x:c r="AJ1270" s="17" t="str">
        <x:f>IF(AE1270&lt;=34,"≤34",IF(AE1270&lt;=44,"35–44",IF(AE1270&lt;=54,"45–54",IF(AE1270&lt;=64,"55–64","65+"))))</x:f>
        <x:v>45–54</x:v>
      </x:c>
      <x:c r="AK1270" s="17" t="str">
        <x:f>IF(AG1270&gt;=1000,"High Value",IF(AG1270&gt;=300,"Mid Value","Low Value"))</x:f>
        <x:v>Mid Value</x:v>
      </x:c>
      <x:c r="AL1270" s="17" t="str">
        <x:f>IF(AND(AI1270&gt;=1,I1270&lt;=50),"Priority 1",IF(AND(AG1270&gt;=1000,I1270&lt;=60),"Priority 2",IF(I1270&lt;=30,"Priority 3","Nurture")))</x:f>
        <x:v>Priority 3</x:v>
      </x:c>
    </x:row>
    <x:row r="1271">
      <x:c r="A1271" s="16" t="n">
        <x:v>195</x:v>
      </x:c>
      <x:c r="B1271" s="16" t="n">
        <x:v>1972</x:v>
      </x:c>
      <x:c r="C1271" s="16" t="str">
        <x:v>Graduation</x:v>
      </x:c>
      <x:c r="D1271" s="16" t="str">
        <x:v>Single</x:v>
      </x:c>
      <x:c r="E1271" s="16" t="n">
        <x:v>38808</x:v>
      </x:c>
      <x:c r="F1271" s="16" t="n">
        <x:v>1</x:v>
      </x:c>
      <x:c r="G1271" s="16" t="n">
        <x:v>0</x:v>
      </x:c>
      <x:c r="H1271" s="16" t="str">
        <x:v>26-08-2012</x:v>
      </x:c>
      <x:c r="I1271" s="16" t="n">
        <x:v>21</x:v>
      </x:c>
      <x:c r="J1271" s="16" t="n">
        <x:v>125</x:v>
      </x:c>
      <x:c r="K1271" s="16" t="n">
        <x:v>17</x:v>
      </x:c>
      <x:c r="L1271" s="16" t="n">
        <x:v>52</x:v>
      </x:c>
      <x:c r="M1271" s="16" t="n">
        <x:v>3</x:v>
      </x:c>
      <x:c r="N1271" s="16" t="n">
        <x:v>19</x:v>
      </x:c>
      <x:c r="O1271" s="16" t="n">
        <x:v>30</x:v>
      </x:c>
      <x:c r="P1271" s="16" t="n">
        <x:v>4</x:v>
      </x:c>
      <x:c r="Q1271" s="16" t="n">
        <x:v>5</x:v>
      </x:c>
      <x:c r="R1271" s="16" t="n">
        <x:v>1</x:v>
      </x:c>
      <x:c r="S1271" s="16" t="n">
        <x:v>4</x:v>
      </x:c>
      <x:c r="T1271" s="16" t="n">
        <x:v>8</x:v>
      </x:c>
      <x:c r="U1271" s="16" t="n">
        <x:v>1</x:v>
      </x:c>
      <x:c r="V1271" s="16" t="n">
        <x:v>0</x:v>
      </x:c>
      <x:c r="W1271" s="16" t="n">
        <x:v>0</x:v>
      </x:c>
      <x:c r="X1271" s="16" t="n">
        <x:v>0</x:v>
      </x:c>
      <x:c r="Y1271" s="16" t="n">
        <x:v>0</x:v>
      </x:c>
      <x:c r="Z1271" s="16" t="n">
        <x:v>0</x:v>
      </x:c>
      <x:c r="AA1271" s="16" t="n">
        <x:v>3</x:v>
      </x:c>
      <x:c r="AB1271" s="16" t="n">
        <x:v>11</x:v>
      </x:c>
      <x:c r="AC1271" s="16" t="n">
        <x:v>1</x:v>
      </x:c>
      <x:c r="AD1271" s="21" t="n">
        <x:f>IF(E1271="",MEDIAN($E$2:$E$2237),E1271)</x:f>
        <x:v>38808</x:v>
      </x:c>
      <x:c r="AE1271" s="17" t="n">
        <x:f>2014-B1271</x:f>
        <x:v>42</x:v>
      </x:c>
      <x:c r="AF1271" s="17" t="n">
        <x:f>F1271+G1271</x:f>
        <x:v>1</x:v>
      </x:c>
      <x:c r="AG1271" s="21" t="n">
        <x:f>SUM(J1271:O1271)</x:f>
        <x:v>246</x:v>
      </x:c>
      <x:c r="AH1271" s="17" t="n">
        <x:f>SUM(Q1271:S1271)</x:f>
        <x:v>10</x:v>
      </x:c>
      <x:c r="AI1271" s="17" t="n">
        <x:f>SUM(U1271:Y1271)</x:f>
        <x:v>1</x:v>
      </x:c>
      <x:c r="AJ1271" s="17" t="str">
        <x:f>IF(AE1271&lt;=34,"≤34",IF(AE1271&lt;=44,"35–44",IF(AE1271&lt;=54,"45–54",IF(AE1271&lt;=64,"55–64","65+"))))</x:f>
        <x:v>35–44</x:v>
      </x:c>
      <x:c r="AK1271" s="17" t="str">
        <x:f>IF(AG1271&gt;=1000,"High Value",IF(AG1271&gt;=300,"Mid Value","Low Value"))</x:f>
        <x:v>Low Value</x:v>
      </x:c>
      <x:c r="AL1271" s="17" t="str">
        <x:f>IF(AND(AI1271&gt;=1,I1271&lt;=50),"Priority 1",IF(AND(AG1271&gt;=1000,I1271&lt;=60),"Priority 2",IF(I1271&lt;=30,"Priority 3","Nurture")))</x:f>
        <x:v>Priority 1</x:v>
      </x:c>
    </x:row>
    <x:row r="1272">
      <x:c r="A1272" s="16" t="n">
        <x:v>635</x:v>
      </x:c>
      <x:c r="B1272" s="16" t="n">
        <x:v>1966</x:v>
      </x:c>
      <x:c r="C1272" s="16" t="str">
        <x:v>Master</x:v>
      </x:c>
      <x:c r="D1272" s="16" t="str">
        <x:v>Married</x:v>
      </x:c>
      <x:c r="E1272" s="16" t="n">
        <x:v>57183</x:v>
      </x:c>
      <x:c r="F1272" s="16" t="n">
        <x:v>1</x:v>
      </x:c>
      <x:c r="G1272" s="16" t="n">
        <x:v>1</x:v>
      </x:c>
      <x:c r="H1272" s="16" t="str">
        <x:v>19-03-2013</x:v>
      </x:c>
      <x:c r="I1272" s="16" t="n">
        <x:v>51</x:v>
      </x:c>
      <x:c r="J1272" s="16" t="n">
        <x:v>464</x:v>
      </x:c>
      <x:c r="K1272" s="16" t="n">
        <x:v>5</x:v>
      </x:c>
      <x:c r="L1272" s="16" t="n">
        <x:v>64</x:v>
      </x:c>
      <x:c r="M1272" s="16" t="n">
        <x:v>7</x:v>
      </x:c>
      <x:c r="N1272" s="16" t="n">
        <x:v>0</x:v>
      </x:c>
      <x:c r="O1272" s="16" t="n">
        <x:v>70</x:v>
      </x:c>
      <x:c r="P1272" s="16" t="n">
        <x:v>8</x:v>
      </x:c>
      <x:c r="Q1272" s="16" t="n">
        <x:v>9</x:v>
      </x:c>
      <x:c r="R1272" s="16" t="n">
        <x:v>1</x:v>
      </x:c>
      <x:c r="S1272" s="16" t="n">
        <x:v>7</x:v>
      </x:c>
      <x:c r="T1272" s="16" t="n">
        <x:v>8</x:v>
      </x:c>
      <x:c r="U1272" s="16" t="n">
        <x:v>0</x:v>
      </x:c>
      <x:c r="V1272" s="16" t="n">
        <x:v>0</x:v>
      </x:c>
      <x:c r="W1272" s="16" t="n">
        <x:v>0</x:v>
      </x:c>
      <x:c r="X1272" s="16" t="n">
        <x:v>0</x:v>
      </x:c>
      <x:c r="Y1272" s="16" t="n">
        <x:v>0</x:v>
      </x:c>
      <x:c r="Z1272" s="16" t="n">
        <x:v>0</x:v>
      </x:c>
      <x:c r="AA1272" s="16" t="n">
        <x:v>3</x:v>
      </x:c>
      <x:c r="AB1272" s="16" t="n">
        <x:v>11</x:v>
      </x:c>
      <x:c r="AC1272" s="16" t="n">
        <x:v>0</x:v>
      </x:c>
      <x:c r="AD1272" s="21" t="n">
        <x:f>IF(E1272="",MEDIAN($E$2:$E$2237),E1272)</x:f>
        <x:v>57183</x:v>
      </x:c>
      <x:c r="AE1272" s="17" t="n">
        <x:f>2014-B1272</x:f>
        <x:v>48</x:v>
      </x:c>
      <x:c r="AF1272" s="17" t="n">
        <x:f>F1272+G1272</x:f>
        <x:v>2</x:v>
      </x:c>
      <x:c r="AG1272" s="21" t="n">
        <x:f>SUM(J1272:O1272)</x:f>
        <x:v>610</x:v>
      </x:c>
      <x:c r="AH1272" s="17" t="n">
        <x:f>SUM(Q1272:S1272)</x:f>
        <x:v>17</x:v>
      </x:c>
      <x:c r="AI1272" s="17" t="n">
        <x:f>SUM(U1272:Y1272)</x:f>
        <x:v>0</x:v>
      </x:c>
      <x:c r="AJ1272" s="17" t="str">
        <x:f>IF(AE1272&lt;=34,"≤34",IF(AE1272&lt;=44,"35–44",IF(AE1272&lt;=54,"45–54",IF(AE1272&lt;=64,"55–64","65+"))))</x:f>
        <x:v>45–54</x:v>
      </x:c>
      <x:c r="AK1272" s="17" t="str">
        <x:f>IF(AG1272&gt;=1000,"High Value",IF(AG1272&gt;=300,"Mid Value","Low Value"))</x:f>
        <x:v>Mid Value</x:v>
      </x:c>
      <x:c r="AL1272" s="17" t="str">
        <x:f>IF(AND(AI1272&gt;=1,I1272&lt;=50),"Priority 1",IF(AND(AG1272&gt;=1000,I1272&lt;=60),"Priority 2",IF(I1272&lt;=30,"Priority 3","Nurture")))</x:f>
        <x:v>Nurture</x:v>
      </x:c>
    </x:row>
    <x:row r="1273">
      <x:c r="A1273" s="16" t="n">
        <x:v>7527</x:v>
      </x:c>
      <x:c r="B1273" s="16" t="n">
        <x:v>1968</x:v>
      </x:c>
      <x:c r="C1273" s="16" t="str">
        <x:v>Master</x:v>
      </x:c>
      <x:c r="D1273" s="16" t="str">
        <x:v>Divorced</x:v>
      </x:c>
      <x:c r="E1273" s="16" t="n">
        <x:v>23748</x:v>
      </x:c>
      <x:c r="F1273" s="16" t="n">
        <x:v>1</x:v>
      </x:c>
      <x:c r="G1273" s="16" t="n">
        <x:v>0</x:v>
      </x:c>
      <x:c r="H1273" s="16" t="str">
        <x:v>21-11-2012</x:v>
      </x:c>
      <x:c r="I1273" s="16" t="n">
        <x:v>97</x:v>
      </x:c>
      <x:c r="J1273" s="16" t="n">
        <x:v>6</x:v>
      </x:c>
      <x:c r="K1273" s="16" t="n">
        <x:v>6</x:v>
      </x:c>
      <x:c r="L1273" s="16" t="n">
        <x:v>29</x:v>
      </x:c>
      <x:c r="M1273" s="16" t="n">
        <x:v>12</x:v>
      </x:c>
      <x:c r="N1273" s="16" t="n">
        <x:v>15</x:v>
      </x:c>
      <x:c r="O1273" s="16" t="n">
        <x:v>8</x:v>
      </x:c>
      <x:c r="P1273" s="16" t="n">
        <x:v>3</x:v>
      </x:c>
      <x:c r="Q1273" s="16" t="n">
        <x:v>2</x:v>
      </x:c>
      <x:c r="R1273" s="16" t="n">
        <x:v>1</x:v>
      </x:c>
      <x:c r="S1273" s="16" t="n">
        <x:v>3</x:v>
      </x:c>
      <x:c r="T1273" s="16" t="n">
        <x:v>8</x:v>
      </x:c>
      <x:c r="U1273" s="16" t="n">
        <x:v>0</x:v>
      </x:c>
      <x:c r="V1273" s="16" t="n">
        <x:v>0</x:v>
      </x:c>
      <x:c r="W1273" s="16" t="n">
        <x:v>0</x:v>
      </x:c>
      <x:c r="X1273" s="16" t="n">
        <x:v>0</x:v>
      </x:c>
      <x:c r="Y1273" s="16" t="n">
        <x:v>0</x:v>
      </x:c>
      <x:c r="Z1273" s="16" t="n">
        <x:v>0</x:v>
      </x:c>
      <x:c r="AA1273" s="16" t="n">
        <x:v>3</x:v>
      </x:c>
      <x:c r="AB1273" s="16" t="n">
        <x:v>11</x:v>
      </x:c>
      <x:c r="AC1273" s="16" t="n">
        <x:v>0</x:v>
      </x:c>
      <x:c r="AD1273" s="21" t="n">
        <x:f>IF(E1273="",MEDIAN($E$2:$E$2237),E1273)</x:f>
        <x:v>23748</x:v>
      </x:c>
      <x:c r="AE1273" s="17" t="n">
        <x:f>2014-B1273</x:f>
        <x:v>46</x:v>
      </x:c>
      <x:c r="AF1273" s="17" t="n">
        <x:f>F1273+G1273</x:f>
        <x:v>1</x:v>
      </x:c>
      <x:c r="AG1273" s="21" t="n">
        <x:f>SUM(J1273:O1273)</x:f>
        <x:v>76</x:v>
      </x:c>
      <x:c r="AH1273" s="17" t="n">
        <x:f>SUM(Q1273:S1273)</x:f>
        <x:v>6</x:v>
      </x:c>
      <x:c r="AI1273" s="17" t="n">
        <x:f>SUM(U1273:Y1273)</x:f>
        <x:v>0</x:v>
      </x:c>
      <x:c r="AJ1273" s="17" t="str">
        <x:f>IF(AE1273&lt;=34,"≤34",IF(AE1273&lt;=44,"35–44",IF(AE1273&lt;=54,"45–54",IF(AE1273&lt;=64,"55–64","65+"))))</x:f>
        <x:v>45–54</x:v>
      </x:c>
      <x:c r="AK1273" s="17" t="str">
        <x:f>IF(AG1273&gt;=1000,"High Value",IF(AG1273&gt;=300,"Mid Value","Low Value"))</x:f>
        <x:v>Low Value</x:v>
      </x:c>
      <x:c r="AL1273" s="17" t="str">
        <x:f>IF(AND(AI1273&gt;=1,I1273&lt;=50),"Priority 1",IF(AND(AG1273&gt;=1000,I1273&lt;=60),"Priority 2",IF(I1273&lt;=30,"Priority 3","Nurture")))</x:f>
        <x:v>Nurture</x:v>
      </x:c>
    </x:row>
    <x:row r="1274">
      <x:c r="A1274" s="16" t="n">
        <x:v>10319</x:v>
      </x:c>
      <x:c r="B1274" s="16" t="n">
        <x:v>1971</x:v>
      </x:c>
      <x:c r="C1274" s="16" t="str">
        <x:v>Graduation</x:v>
      </x:c>
      <x:c r="D1274" s="16" t="str">
        <x:v>Married</x:v>
      </x:c>
      <x:c r="E1274" s="16" t="n">
        <x:v>66303</x:v>
      </x:c>
      <x:c r="F1274" s="16" t="n">
        <x:v>0</x:v>
      </x:c>
      <x:c r="G1274" s="16" t="n">
        <x:v>1</x:v>
      </x:c>
      <x:c r="H1274" s="16" t="str">
        <x:v>26-02-2013</x:v>
      </x:c>
      <x:c r="I1274" s="16" t="n">
        <x:v>56</x:v>
      </x:c>
      <x:c r="J1274" s="16" t="n">
        <x:v>1090</x:v>
      </x:c>
      <x:c r="K1274" s="16" t="n">
        <x:v>12</x:v>
      </x:c>
      <x:c r="L1274" s="16" t="n">
        <x:v>96</x:v>
      </x:c>
      <x:c r="M1274" s="16" t="n">
        <x:v>16</x:v>
      </x:c>
      <x:c r="N1274" s="16" t="n">
        <x:v>12</x:v>
      </x:c>
      <x:c r="O1274" s="16" t="n">
        <x:v>60</x:v>
      </x:c>
      <x:c r="P1274" s="16" t="n">
        <x:v>4</x:v>
      </x:c>
      <x:c r="Q1274" s="16" t="n">
        <x:v>3</x:v>
      </x:c>
      <x:c r="R1274" s="16" t="n">
        <x:v>4</x:v>
      </x:c>
      <x:c r="S1274" s="16" t="n">
        <x:v>11</x:v>
      </x:c>
      <x:c r="T1274" s="16" t="n">
        <x:v>8</x:v>
      </x:c>
      <x:c r="U1274" s="16" t="n">
        <x:v>0</x:v>
      </x:c>
      <x:c r="V1274" s="16" t="n">
        <x:v>1</x:v>
      </x:c>
      <x:c r="W1274" s="16" t="n">
        <x:v>0</x:v>
      </x:c>
      <x:c r="X1274" s="16" t="n">
        <x:v>0</x:v>
      </x:c>
      <x:c r="Y1274" s="16" t="n">
        <x:v>0</x:v>
      </x:c>
      <x:c r="Z1274" s="16" t="n">
        <x:v>0</x:v>
      </x:c>
      <x:c r="AA1274" s="16" t="n">
        <x:v>3</x:v>
      </x:c>
      <x:c r="AB1274" s="16" t="n">
        <x:v>11</x:v>
      </x:c>
      <x:c r="AC1274" s="16" t="n">
        <x:v>0</x:v>
      </x:c>
      <x:c r="AD1274" s="21" t="n">
        <x:f>IF(E1274="",MEDIAN($E$2:$E$2237),E1274)</x:f>
        <x:v>66303</x:v>
      </x:c>
      <x:c r="AE1274" s="17" t="n">
        <x:f>2014-B1274</x:f>
        <x:v>43</x:v>
      </x:c>
      <x:c r="AF1274" s="17" t="n">
        <x:f>F1274+G1274</x:f>
        <x:v>1</x:v>
      </x:c>
      <x:c r="AG1274" s="21" t="n">
        <x:f>SUM(J1274:O1274)</x:f>
        <x:v>1286</x:v>
      </x:c>
      <x:c r="AH1274" s="17" t="n">
        <x:f>SUM(Q1274:S1274)</x:f>
        <x:v>18</x:v>
      </x:c>
      <x:c r="AI1274" s="17" t="n">
        <x:f>SUM(U1274:Y1274)</x:f>
        <x:v>1</x:v>
      </x:c>
      <x:c r="AJ1274" s="17" t="str">
        <x:f>IF(AE1274&lt;=34,"≤34",IF(AE1274&lt;=44,"35–44",IF(AE1274&lt;=54,"45–54",IF(AE1274&lt;=64,"55–64","65+"))))</x:f>
        <x:v>35–44</x:v>
      </x:c>
      <x:c r="AK1274" s="17" t="str">
        <x:f>IF(AG1274&gt;=1000,"High Value",IF(AG1274&gt;=300,"Mid Value","Low Value"))</x:f>
        <x:v>High Value</x:v>
      </x:c>
      <x:c r="AL1274" s="17" t="str">
        <x:f>IF(AND(AI1274&gt;=1,I1274&lt;=50),"Priority 1",IF(AND(AG1274&gt;=1000,I1274&lt;=60),"Priority 2",IF(I1274&lt;=30,"Priority 3","Nurture")))</x:f>
        <x:v>Priority 2</x:v>
      </x:c>
    </x:row>
    <x:row r="1275">
      <x:c r="A1275" s="16" t="n">
        <x:v>2296</x:v>
      </x:c>
      <x:c r="B1275" s="16" t="n">
        <x:v>1975</x:v>
      </x:c>
      <x:c r="C1275" s="16" t="str">
        <x:v>Master</x:v>
      </x:c>
      <x:c r="D1275" s="16" t="str">
        <x:v>Married</x:v>
      </x:c>
      <x:c r="E1275" s="16" t="n">
        <x:v>37368</x:v>
      </x:c>
      <x:c r="F1275" s="16" t="n">
        <x:v>1</x:v>
      </x:c>
      <x:c r="G1275" s="16" t="n">
        <x:v>0</x:v>
      </x:c>
      <x:c r="H1275" s="16" t="str">
        <x:v>16-12-2013</x:v>
      </x:c>
      <x:c r="I1275" s="16" t="n">
        <x:v>4</x:v>
      </x:c>
      <x:c r="J1275" s="16" t="n">
        <x:v>3</x:v>
      </x:c>
      <x:c r="K1275" s="16" t="n">
        <x:v>2</x:v>
      </x:c>
      <x:c r="L1275" s="16" t="n">
        <x:v>11</x:v>
      </x:c>
      <x:c r="M1275" s="16" t="n">
        <x:v>2</x:v>
      </x:c>
      <x:c r="N1275" s="16" t="n">
        <x:v>2</x:v>
      </x:c>
      <x:c r="O1275" s="16" t="n">
        <x:v>10</x:v>
      </x:c>
      <x:c r="P1275" s="16" t="n">
        <x:v>1</x:v>
      </x:c>
      <x:c r="Q1275" s="16" t="n">
        <x:v>1</x:v>
      </x:c>
      <x:c r="R1275" s="16" t="n">
        <x:v>0</x:v>
      </x:c>
      <x:c r="S1275" s="16" t="n">
        <x:v>2</x:v>
      </x:c>
      <x:c r="T1275" s="16" t="n">
        <x:v>6</x:v>
      </x:c>
      <x:c r="U1275" s="16" t="n">
        <x:v>1</x:v>
      </x:c>
      <x:c r="V1275" s="16" t="n">
        <x:v>0</x:v>
      </x:c>
      <x:c r="W1275" s="16" t="n">
        <x:v>0</x:v>
      </x:c>
      <x:c r="X1275" s="16" t="n">
        <x:v>0</x:v>
      </x:c>
      <x:c r="Y1275" s="16" t="n">
        <x:v>0</x:v>
      </x:c>
      <x:c r="Z1275" s="16" t="n">
        <x:v>0</x:v>
      </x:c>
      <x:c r="AA1275" s="16" t="n">
        <x:v>3</x:v>
      </x:c>
      <x:c r="AB1275" s="16" t="n">
        <x:v>11</x:v>
      </x:c>
      <x:c r="AC1275" s="16" t="n">
        <x:v>0</x:v>
      </x:c>
      <x:c r="AD1275" s="21" t="n">
        <x:f>IF(E1275="",MEDIAN($E$2:$E$2237),E1275)</x:f>
        <x:v>37368</x:v>
      </x:c>
      <x:c r="AE1275" s="17" t="n">
        <x:f>2014-B1275</x:f>
        <x:v>39</x:v>
      </x:c>
      <x:c r="AF1275" s="17" t="n">
        <x:f>F1275+G1275</x:f>
        <x:v>1</x:v>
      </x:c>
      <x:c r="AG1275" s="21" t="n">
        <x:f>SUM(J1275:O1275)</x:f>
        <x:v>30</x:v>
      </x:c>
      <x:c r="AH1275" s="17" t="n">
        <x:f>SUM(Q1275:S1275)</x:f>
        <x:v>3</x:v>
      </x:c>
      <x:c r="AI1275" s="17" t="n">
        <x:f>SUM(U1275:Y1275)</x:f>
        <x:v>1</x:v>
      </x:c>
      <x:c r="AJ1275" s="17" t="str">
        <x:f>IF(AE1275&lt;=34,"≤34",IF(AE1275&lt;=44,"35–44",IF(AE1275&lt;=54,"45–54",IF(AE1275&lt;=64,"55–64","65+"))))</x:f>
        <x:v>35–44</x:v>
      </x:c>
      <x:c r="AK1275" s="17" t="str">
        <x:f>IF(AG1275&gt;=1000,"High Value",IF(AG1275&gt;=300,"Mid Value","Low Value"))</x:f>
        <x:v>Low Value</x:v>
      </x:c>
      <x:c r="AL1275" s="17" t="str">
        <x:f>IF(AND(AI1275&gt;=1,I1275&lt;=50),"Priority 1",IF(AND(AG1275&gt;=1000,I1275&lt;=60),"Priority 2",IF(I1275&lt;=30,"Priority 3","Nurture")))</x:f>
        <x:v>Priority 1</x:v>
      </x:c>
    </x:row>
    <x:row r="1276">
      <x:c r="A1276" s="16" t="n">
        <x:v>10637</x:v>
      </x:c>
      <x:c r="B1276" s="16" t="n">
        <x:v>1964</x:v>
      </x:c>
      <x:c r="C1276" s="16" t="str">
        <x:v>Graduation</x:v>
      </x:c>
      <x:c r="D1276" s="16" t="str">
        <x:v>Married</x:v>
      </x:c>
      <x:c r="E1276" s="16" t="n">
        <x:v>40800</x:v>
      </x:c>
      <x:c r="F1276" s="16" t="n">
        <x:v>1</x:v>
      </x:c>
      <x:c r="G1276" s="16" t="n">
        <x:v>2</x:v>
      </x:c>
      <x:c r="H1276" s="16" t="str">
        <x:v>01-01-2013</x:v>
      </x:c>
      <x:c r="I1276" s="16" t="n">
        <x:v>77</x:v>
      </x:c>
      <x:c r="J1276" s="16" t="n">
        <x:v>24</x:v>
      </x:c>
      <x:c r="K1276" s="16" t="n">
        <x:v>0</x:v>
      </x:c>
      <x:c r="L1276" s="16" t="n">
        <x:v>27</x:v>
      </x:c>
      <x:c r="M1276" s="16" t="n">
        <x:v>8</x:v>
      </x:c>
      <x:c r="N1276" s="16" t="n">
        <x:v>30</x:v>
      </x:c>
      <x:c r="O1276" s="16" t="n">
        <x:v>10</x:v>
      </x:c>
      <x:c r="P1276" s="16" t="n">
        <x:v>2</x:v>
      </x:c>
      <x:c r="Q1276" s="16" t="n">
        <x:v>3</x:v>
      </x:c>
      <x:c r="R1276" s="16" t="n">
        <x:v>0</x:v>
      </x:c>
      <x:c r="S1276" s="16" t="n">
        <x:v>3</x:v>
      </x:c>
      <x:c r="T1276" s="16" t="n">
        <x:v>7</x:v>
      </x:c>
      <x:c r="U1276" s="16" t="n">
        <x:v>0</x:v>
      </x:c>
      <x:c r="V1276" s="16" t="n">
        <x:v>0</x:v>
      </x:c>
      <x:c r="W1276" s="16" t="n">
        <x:v>0</x:v>
      </x:c>
      <x:c r="X1276" s="16" t="n">
        <x:v>0</x:v>
      </x:c>
      <x:c r="Y1276" s="16" t="n">
        <x:v>0</x:v>
      </x:c>
      <x:c r="Z1276" s="16" t="n">
        <x:v>1</x:v>
      </x:c>
      <x:c r="AA1276" s="16" t="n">
        <x:v>3</x:v>
      </x:c>
      <x:c r="AB1276" s="16" t="n">
        <x:v>11</x:v>
      </x:c>
      <x:c r="AC1276" s="16" t="n">
        <x:v>0</x:v>
      </x:c>
      <x:c r="AD1276" s="21" t="n">
        <x:f>IF(E1276="",MEDIAN($E$2:$E$2237),E1276)</x:f>
        <x:v>40800</x:v>
      </x:c>
      <x:c r="AE1276" s="17" t="n">
        <x:f>2014-B1276</x:f>
        <x:v>50</x:v>
      </x:c>
      <x:c r="AF1276" s="17" t="n">
        <x:f>F1276+G1276</x:f>
        <x:v>3</x:v>
      </x:c>
      <x:c r="AG1276" s="21" t="n">
        <x:f>SUM(J1276:O1276)</x:f>
        <x:v>99</x:v>
      </x:c>
      <x:c r="AH1276" s="17" t="n">
        <x:f>SUM(Q1276:S1276)</x:f>
        <x:v>6</x:v>
      </x:c>
      <x:c r="AI1276" s="17" t="n">
        <x:f>SUM(U1276:Y1276)</x:f>
        <x:v>0</x:v>
      </x:c>
      <x:c r="AJ1276" s="17" t="str">
        <x:f>IF(AE1276&lt;=34,"≤34",IF(AE1276&lt;=44,"35–44",IF(AE1276&lt;=54,"45–54",IF(AE1276&lt;=64,"55–64","65+"))))</x:f>
        <x:v>45–54</x:v>
      </x:c>
      <x:c r="AK1276" s="17" t="str">
        <x:f>IF(AG1276&gt;=1000,"High Value",IF(AG1276&gt;=300,"Mid Value","Low Value"))</x:f>
        <x:v>Low Value</x:v>
      </x:c>
      <x:c r="AL1276" s="17" t="str">
        <x:f>IF(AND(AI1276&gt;=1,I1276&lt;=50),"Priority 1",IF(AND(AG1276&gt;=1000,I1276&lt;=60),"Priority 2",IF(I1276&lt;=30,"Priority 3","Nurture")))</x:f>
        <x:v>Nurture</x:v>
      </x:c>
    </x:row>
    <x:row r="1277">
      <x:c r="A1277" s="16" t="n">
        <x:v>2931</x:v>
      </x:c>
      <x:c r="B1277" s="16" t="n">
        <x:v>1978</x:v>
      </x:c>
      <x:c r="C1277" s="16" t="str">
        <x:v>Graduation</x:v>
      </x:c>
      <x:c r="D1277" s="16" t="str">
        <x:v>Divorced</x:v>
      </x:c>
      <x:c r="E1277" s="16" t="n">
        <x:v>71847</x:v>
      </x:c>
      <x:c r="F1277" s="16" t="n">
        <x:v>0</x:v>
      </x:c>
      <x:c r="G1277" s="16" t="n">
        <x:v>0</x:v>
      </x:c>
      <x:c r="H1277" s="16" t="str">
        <x:v>21-09-2012</x:v>
      </x:c>
      <x:c r="I1277" s="16" t="n">
        <x:v>95</x:v>
      </x:c>
      <x:c r="J1277" s="16" t="n">
        <x:v>737</x:v>
      </x:c>
      <x:c r="K1277" s="16" t="n">
        <x:v>21</x:v>
      </x:c>
      <x:c r="L1277" s="16" t="n">
        <x:v>106</x:v>
      </x:c>
      <x:c r="M1277" s="16" t="n">
        <x:v>55</x:v>
      </x:c>
      <x:c r="N1277" s="16" t="n">
        <x:v>63</x:v>
      </x:c>
      <x:c r="O1277" s="16" t="n">
        <x:v>210</x:v>
      </x:c>
      <x:c r="P1277" s="16" t="n">
        <x:v>0</x:v>
      </x:c>
      <x:c r="Q1277" s="16" t="n">
        <x:v>6</x:v>
      </x:c>
      <x:c r="R1277" s="16" t="n">
        <x:v>7</x:v>
      </x:c>
      <x:c r="S1277" s="16" t="n">
        <x:v>9</x:v>
      </x:c>
      <x:c r="T1277" s="16" t="n">
        <x:v>3</x:v>
      </x:c>
      <x:c r="U1277" s="16" t="n">
        <x:v>0</x:v>
      </x:c>
      <x:c r="V1277" s="16" t="n">
        <x:v>0</x:v>
      </x:c>
      <x:c r="W1277" s="16" t="n">
        <x:v>0</x:v>
      </x:c>
      <x:c r="X1277" s="16" t="n">
        <x:v>1</x:v>
      </x:c>
      <x:c r="Y1277" s="16" t="n">
        <x:v>0</x:v>
      </x:c>
      <x:c r="Z1277" s="16" t="n">
        <x:v>0</x:v>
      </x:c>
      <x:c r="AA1277" s="16" t="n">
        <x:v>3</x:v>
      </x:c>
      <x:c r="AB1277" s="16" t="n">
        <x:v>11</x:v>
      </x:c>
      <x:c r="AC1277" s="16" t="n">
        <x:v>0</x:v>
      </x:c>
      <x:c r="AD1277" s="21" t="n">
        <x:f>IF(E1277="",MEDIAN($E$2:$E$2237),E1277)</x:f>
        <x:v>71847</x:v>
      </x:c>
      <x:c r="AE1277" s="17" t="n">
        <x:f>2014-B1277</x:f>
        <x:v>36</x:v>
      </x:c>
      <x:c r="AF1277" s="17" t="n">
        <x:f>F1277+G1277</x:f>
        <x:v>0</x:v>
      </x:c>
      <x:c r="AG1277" s="21" t="n">
        <x:f>SUM(J1277:O1277)</x:f>
        <x:v>1192</x:v>
      </x:c>
      <x:c r="AH1277" s="17" t="n">
        <x:f>SUM(Q1277:S1277)</x:f>
        <x:v>22</x:v>
      </x:c>
      <x:c r="AI1277" s="17" t="n">
        <x:f>SUM(U1277:Y1277)</x:f>
        <x:v>1</x:v>
      </x:c>
      <x:c r="AJ1277" s="17" t="str">
        <x:f>IF(AE1277&lt;=34,"≤34",IF(AE1277&lt;=44,"35–44",IF(AE1277&lt;=54,"45–54",IF(AE1277&lt;=64,"55–64","65+"))))</x:f>
        <x:v>35–44</x:v>
      </x:c>
      <x:c r="AK1277" s="17" t="str">
        <x:f>IF(AG1277&gt;=1000,"High Value",IF(AG1277&gt;=300,"Mid Value","Low Value"))</x:f>
        <x:v>High Value</x:v>
      </x:c>
      <x:c r="AL1277" s="17" t="str">
        <x:f>IF(AND(AI1277&gt;=1,I1277&lt;=50),"Priority 1",IF(AND(AG1277&gt;=1000,I1277&lt;=60),"Priority 2",IF(I1277&lt;=30,"Priority 3","Nurture")))</x:f>
        <x:v>Nurture</x:v>
      </x:c>
    </x:row>
    <x:row r="1278">
      <x:c r="A1278" s="16" t="n">
        <x:v>907</x:v>
      </x:c>
      <x:c r="B1278" s="16" t="n">
        <x:v>1975</x:v>
      </x:c>
      <x:c r="C1278" s="16" t="str">
        <x:v>Graduation</x:v>
      </x:c>
      <x:c r="D1278" s="16" t="str">
        <x:v>Married</x:v>
      </x:c>
      <x:c r="E1278" s="16" t="n">
        <x:v>46149</x:v>
      </x:c>
      <x:c r="F1278" s="16" t="n">
        <x:v>0</x:v>
      </x:c>
      <x:c r="G1278" s="16" t="n">
        <x:v>1</x:v>
      </x:c>
      <x:c r="H1278" s="16" t="str">
        <x:v>29-11-2013</x:v>
      </x:c>
      <x:c r="I1278" s="16" t="n">
        <x:v>36</x:v>
      </x:c>
      <x:c r="J1278" s="16" t="n">
        <x:v>254</x:v>
      </x:c>
      <x:c r="K1278" s="16" t="n">
        <x:v>6</x:v>
      </x:c>
      <x:c r="L1278" s="16" t="n">
        <x:v>71</x:v>
      </x:c>
      <x:c r="M1278" s="16" t="n">
        <x:v>4</x:v>
      </x:c>
      <x:c r="N1278" s="16" t="n">
        <x:v>0</x:v>
      </x:c>
      <x:c r="O1278" s="16" t="n">
        <x:v>27</x:v>
      </x:c>
      <x:c r="P1278" s="16" t="n">
        <x:v>5</x:v>
      </x:c>
      <x:c r="Q1278" s="16" t="n">
        <x:v>5</x:v>
      </x:c>
      <x:c r="R1278" s="16" t="n">
        <x:v>1</x:v>
      </x:c>
      <x:c r="S1278" s="16" t="n">
        <x:v>7</x:v>
      </x:c>
      <x:c r="T1278" s="16" t="n">
        <x:v>5</x:v>
      </x:c>
      <x:c r="U1278" s="16" t="n">
        <x:v>0</x:v>
      </x:c>
      <x:c r="V1278" s="16" t="n">
        <x:v>0</x:v>
      </x:c>
      <x:c r="W1278" s="16" t="n">
        <x:v>0</x:v>
      </x:c>
      <x:c r="X1278" s="16" t="n">
        <x:v>0</x:v>
      </x:c>
      <x:c r="Y1278" s="16" t="n">
        <x:v>0</x:v>
      </x:c>
      <x:c r="Z1278" s="16" t="n">
        <x:v>0</x:v>
      </x:c>
      <x:c r="AA1278" s="16" t="n">
        <x:v>3</x:v>
      </x:c>
      <x:c r="AB1278" s="16" t="n">
        <x:v>11</x:v>
      </x:c>
      <x:c r="AC1278" s="16" t="n">
        <x:v>0</x:v>
      </x:c>
      <x:c r="AD1278" s="21" t="n">
        <x:f>IF(E1278="",MEDIAN($E$2:$E$2237),E1278)</x:f>
        <x:v>46149</x:v>
      </x:c>
      <x:c r="AE1278" s="17" t="n">
        <x:f>2014-B1278</x:f>
        <x:v>39</x:v>
      </x:c>
      <x:c r="AF1278" s="17" t="n">
        <x:f>F1278+G1278</x:f>
        <x:v>1</x:v>
      </x:c>
      <x:c r="AG1278" s="21" t="n">
        <x:f>SUM(J1278:O1278)</x:f>
        <x:v>362</x:v>
      </x:c>
      <x:c r="AH1278" s="17" t="n">
        <x:f>SUM(Q1278:S1278)</x:f>
        <x:v>13</x:v>
      </x:c>
      <x:c r="AI1278" s="17" t="n">
        <x:f>SUM(U1278:Y1278)</x:f>
        <x:v>0</x:v>
      </x:c>
      <x:c r="AJ1278" s="17" t="str">
        <x:f>IF(AE1278&lt;=34,"≤34",IF(AE1278&lt;=44,"35–44",IF(AE1278&lt;=54,"45–54",IF(AE1278&lt;=64,"55–64","65+"))))</x:f>
        <x:v>35–44</x:v>
      </x:c>
      <x:c r="AK1278" s="17" t="str">
        <x:f>IF(AG1278&gt;=1000,"High Value",IF(AG1278&gt;=300,"Mid Value","Low Value"))</x:f>
        <x:v>Mid Value</x:v>
      </x:c>
      <x:c r="AL1278" s="17" t="str">
        <x:f>IF(AND(AI1278&gt;=1,I1278&lt;=50),"Priority 1",IF(AND(AG1278&gt;=1000,I1278&lt;=60),"Priority 2",IF(I1278&lt;=30,"Priority 3","Nurture")))</x:f>
        <x:v>Nurture</x:v>
      </x:c>
    </x:row>
    <x:row r="1279">
      <x:c r="A1279" s="16" t="n">
        <x:v>3698</x:v>
      </x:c>
      <x:c r="B1279" s="16" t="n">
        <x:v>1983</x:v>
      </x:c>
      <x:c r="C1279" s="16" t="str">
        <x:v>Graduation</x:v>
      </x:c>
      <x:c r="D1279" s="16" t="str">
        <x:v>Together</x:v>
      </x:c>
      <x:c r="E1279" s="16" t="n">
        <x:v>78687</x:v>
      </x:c>
      <x:c r="F1279" s="16" t="n">
        <x:v>0</x:v>
      </x:c>
      <x:c r="G1279" s="16" t="n">
        <x:v>0</x:v>
      </x:c>
      <x:c r="H1279" s="16" t="str">
        <x:v>09-08-2012</x:v>
      </x:c>
      <x:c r="I1279" s="16" t="n">
        <x:v>13</x:v>
      </x:c>
      <x:c r="J1279" s="16" t="n">
        <x:v>817</x:v>
      </x:c>
      <x:c r="K1279" s="16" t="n">
        <x:v>185</x:v>
      </x:c>
      <x:c r="L1279" s="16" t="n">
        <x:v>687</x:v>
      </x:c>
      <x:c r="M1279" s="16" t="n">
        <x:v>145</x:v>
      </x:c>
      <x:c r="N1279" s="16" t="n">
        <x:v>55</x:v>
      </x:c>
      <x:c r="O1279" s="16" t="n">
        <x:v>241</x:v>
      </x:c>
      <x:c r="P1279" s="16" t="n">
        <x:v>1</x:v>
      </x:c>
      <x:c r="Q1279" s="16" t="n">
        <x:v>4</x:v>
      </x:c>
      <x:c r="R1279" s="16" t="n">
        <x:v>6</x:v>
      </x:c>
      <x:c r="S1279" s="16" t="n">
        <x:v>8</x:v>
      </x:c>
      <x:c r="T1279" s="16" t="n">
        <x:v>2</x:v>
      </x:c>
      <x:c r="U1279" s="16" t="n">
        <x:v>0</x:v>
      </x:c>
      <x:c r="V1279" s="16" t="n">
        <x:v>0</x:v>
      </x:c>
      <x:c r="W1279" s="16" t="n">
        <x:v>1</x:v>
      </x:c>
      <x:c r="X1279" s="16" t="n">
        <x:v>0</x:v>
      </x:c>
      <x:c r="Y1279" s="16" t="n">
        <x:v>0</x:v>
      </x:c>
      <x:c r="Z1279" s="16" t="n">
        <x:v>0</x:v>
      </x:c>
      <x:c r="AA1279" s="16" t="n">
        <x:v>3</x:v>
      </x:c>
      <x:c r="AB1279" s="16" t="n">
        <x:v>11</x:v>
      </x:c>
      <x:c r="AC1279" s="16" t="n">
        <x:v>1</x:v>
      </x:c>
      <x:c r="AD1279" s="21" t="n">
        <x:f>IF(E1279="",MEDIAN($E$2:$E$2237),E1279)</x:f>
        <x:v>78687</x:v>
      </x:c>
      <x:c r="AE1279" s="17" t="n">
        <x:f>2014-B1279</x:f>
        <x:v>31</x:v>
      </x:c>
      <x:c r="AF1279" s="17" t="n">
        <x:f>F1279+G1279</x:f>
        <x:v>0</x:v>
      </x:c>
      <x:c r="AG1279" s="21" t="n">
        <x:f>SUM(J1279:O1279)</x:f>
        <x:v>2130</x:v>
      </x:c>
      <x:c r="AH1279" s="17" t="n">
        <x:f>SUM(Q1279:S1279)</x:f>
        <x:v>18</x:v>
      </x:c>
      <x:c r="AI1279" s="17" t="n">
        <x:f>SUM(U1279:Y1279)</x:f>
        <x:v>1</x:v>
      </x:c>
      <x:c r="AJ1279" s="17" t="str">
        <x:f>IF(AE1279&lt;=34,"≤34",IF(AE1279&lt;=44,"35–44",IF(AE1279&lt;=54,"45–54",IF(AE1279&lt;=64,"55–64","65+"))))</x:f>
        <x:v>≤34</x:v>
      </x:c>
      <x:c r="AK1279" s="17" t="str">
        <x:f>IF(AG1279&gt;=1000,"High Value",IF(AG1279&gt;=300,"Mid Value","Low Value"))</x:f>
        <x:v>High Value</x:v>
      </x:c>
      <x:c r="AL1279" s="17" t="str">
        <x:f>IF(AND(AI1279&gt;=1,I1279&lt;=50),"Priority 1",IF(AND(AG1279&gt;=1000,I1279&lt;=60),"Priority 2",IF(I1279&lt;=30,"Priority 3","Nurture")))</x:f>
        <x:v>Priority 1</x:v>
      </x:c>
    </x:row>
    <x:row r="1280">
      <x:c r="A1280" s="16" t="n">
        <x:v>9516</x:v>
      </x:c>
      <x:c r="B1280" s="16" t="n">
        <x:v>1971</x:v>
      </x:c>
      <x:c r="C1280" s="16" t="str">
        <x:v>2n Cycle</x:v>
      </x:c>
      <x:c r="D1280" s="16" t="str">
        <x:v>Divorced</x:v>
      </x:c>
      <x:c r="E1280" s="16" t="n">
        <x:v>49118</x:v>
      </x:c>
      <x:c r="F1280" s="16" t="n">
        <x:v>0</x:v>
      </x:c>
      <x:c r="G1280" s="16" t="n">
        <x:v>0</x:v>
      </x:c>
      <x:c r="H1280" s="16" t="str">
        <x:v>18-08-2012</x:v>
      </x:c>
      <x:c r="I1280" s="16" t="n">
        <x:v>90</x:v>
      </x:c>
      <x:c r="J1280" s="16" t="n">
        <x:v>620</x:v>
      </x:c>
      <x:c r="K1280" s="16" t="n">
        <x:v>54</x:v>
      </x:c>
      <x:c r="L1280" s="16" t="n">
        <x:v>239</x:v>
      </x:c>
      <x:c r="M1280" s="16" t="n">
        <x:v>99</x:v>
      </x:c>
      <x:c r="N1280" s="16" t="n">
        <x:v>98</x:v>
      </x:c>
      <x:c r="O1280" s="16" t="n">
        <x:v>119</x:v>
      </x:c>
      <x:c r="P1280" s="16" t="n">
        <x:v>2</x:v>
      </x:c>
      <x:c r="Q1280" s="16" t="n">
        <x:v>9</x:v>
      </x:c>
      <x:c r="R1280" s="16" t="n">
        <x:v>7</x:v>
      </x:c>
      <x:c r="S1280" s="16" t="n">
        <x:v>10</x:v>
      </x:c>
      <x:c r="T1280" s="16" t="n">
        <x:v>7</x:v>
      </x:c>
      <x:c r="U1280" s="16" t="n">
        <x:v>0</x:v>
      </x:c>
      <x:c r="V1280" s="16" t="n">
        <x:v>1</x:v>
      </x:c>
      <x:c r="W1280" s="16" t="n">
        <x:v>0</x:v>
      </x:c>
      <x:c r="X1280" s="16" t="n">
        <x:v>0</x:v>
      </x:c>
      <x:c r="Y1280" s="16" t="n">
        <x:v>1</x:v>
      </x:c>
      <x:c r="Z1280" s="16" t="n">
        <x:v>0</x:v>
      </x:c>
      <x:c r="AA1280" s="16" t="n">
        <x:v>3</x:v>
      </x:c>
      <x:c r="AB1280" s="16" t="n">
        <x:v>11</x:v>
      </x:c>
      <x:c r="AC1280" s="16" t="n">
        <x:v>1</x:v>
      </x:c>
      <x:c r="AD1280" s="21" t="n">
        <x:f>IF(E1280="",MEDIAN($E$2:$E$2237),E1280)</x:f>
        <x:v>49118</x:v>
      </x:c>
      <x:c r="AE1280" s="17" t="n">
        <x:f>2014-B1280</x:f>
        <x:v>43</x:v>
      </x:c>
      <x:c r="AF1280" s="17" t="n">
        <x:f>F1280+G1280</x:f>
        <x:v>0</x:v>
      </x:c>
      <x:c r="AG1280" s="21" t="n">
        <x:f>SUM(J1280:O1280)</x:f>
        <x:v>1229</x:v>
      </x:c>
      <x:c r="AH1280" s="17" t="n">
        <x:f>SUM(Q1280:S1280)</x:f>
        <x:v>26</x:v>
      </x:c>
      <x:c r="AI1280" s="17" t="n">
        <x:f>SUM(U1280:Y1280)</x:f>
        <x:v>2</x:v>
      </x:c>
      <x:c r="AJ1280" s="17" t="str">
        <x:f>IF(AE1280&lt;=34,"≤34",IF(AE1280&lt;=44,"35–44",IF(AE1280&lt;=54,"45–54",IF(AE1280&lt;=64,"55–64","65+"))))</x:f>
        <x:v>35–44</x:v>
      </x:c>
      <x:c r="AK1280" s="17" t="str">
        <x:f>IF(AG1280&gt;=1000,"High Value",IF(AG1280&gt;=300,"Mid Value","Low Value"))</x:f>
        <x:v>High Value</x:v>
      </x:c>
      <x:c r="AL1280" s="17" t="str">
        <x:f>IF(AND(AI1280&gt;=1,I1280&lt;=50),"Priority 1",IF(AND(AG1280&gt;=1000,I1280&lt;=60),"Priority 2",IF(I1280&lt;=30,"Priority 3","Nurture")))</x:f>
        <x:v>Nurture</x:v>
      </x:c>
    </x:row>
    <x:row r="1281">
      <x:c r="A1281" s="16" t="n">
        <x:v>679</x:v>
      </x:c>
      <x:c r="B1281" s="16" t="n">
        <x:v>1957</x:v>
      </x:c>
      <x:c r="C1281" s="16" t="str">
        <x:v>PhD</x:v>
      </x:c>
      <x:c r="D1281" s="16" t="str">
        <x:v>Married</x:v>
      </x:c>
      <x:c r="E1281" s="16" t="n">
        <x:v>37633</x:v>
      </x:c>
      <x:c r="F1281" s="16" t="n">
        <x:v>1</x:v>
      </x:c>
      <x:c r="G1281" s="16" t="n">
        <x:v>1</x:v>
      </x:c>
      <x:c r="H1281" s="16" t="str">
        <x:v>20-09-2012</x:v>
      </x:c>
      <x:c r="I1281" s="16" t="n">
        <x:v>49</x:v>
      </x:c>
      <x:c r="J1281" s="16" t="n">
        <x:v>13</x:v>
      </x:c>
      <x:c r="K1281" s="16" t="n">
        <x:v>4</x:v>
      </x:c>
      <x:c r="L1281" s="16" t="n">
        <x:v>20</x:v>
      </x:c>
      <x:c r="M1281" s="16" t="n">
        <x:v>0</x:v>
      </x:c>
      <x:c r="N1281" s="16" t="n">
        <x:v>0</x:v>
      </x:c>
      <x:c r="O1281" s="16" t="n">
        <x:v>1</x:v>
      </x:c>
      <x:c r="P1281" s="16" t="n">
        <x:v>2</x:v>
      </x:c>
      <x:c r="Q1281" s="16" t="n">
        <x:v>1</x:v>
      </x:c>
      <x:c r="R1281" s="16" t="n">
        <x:v>0</x:v>
      </x:c>
      <x:c r="S1281" s="16" t="n">
        <x:v>3</x:v>
      </x:c>
      <x:c r="T1281" s="16" t="n">
        <x:v>9</x:v>
      </x:c>
      <x:c r="U1281" s="16" t="n">
        <x:v>0</x:v>
      </x:c>
      <x:c r="V1281" s="16" t="n">
        <x:v>0</x:v>
      </x:c>
      <x:c r="W1281" s="16" t="n">
        <x:v>0</x:v>
      </x:c>
      <x:c r="X1281" s="16" t="n">
        <x:v>0</x:v>
      </x:c>
      <x:c r="Y1281" s="16" t="n">
        <x:v>0</x:v>
      </x:c>
      <x:c r="Z1281" s="16" t="n">
        <x:v>0</x:v>
      </x:c>
      <x:c r="AA1281" s="16" t="n">
        <x:v>3</x:v>
      </x:c>
      <x:c r="AB1281" s="16" t="n">
        <x:v>11</x:v>
      </x:c>
      <x:c r="AC1281" s="16" t="n">
        <x:v>0</x:v>
      </x:c>
      <x:c r="AD1281" s="21" t="n">
        <x:f>IF(E1281="",MEDIAN($E$2:$E$2237),E1281)</x:f>
        <x:v>37633</x:v>
      </x:c>
      <x:c r="AE1281" s="17" t="n">
        <x:f>2014-B1281</x:f>
        <x:v>57</x:v>
      </x:c>
      <x:c r="AF1281" s="17" t="n">
        <x:f>F1281+G1281</x:f>
        <x:v>2</x:v>
      </x:c>
      <x:c r="AG1281" s="21" t="n">
        <x:f>SUM(J1281:O1281)</x:f>
        <x:v>38</x:v>
      </x:c>
      <x:c r="AH1281" s="17" t="n">
        <x:f>SUM(Q1281:S1281)</x:f>
        <x:v>4</x:v>
      </x:c>
      <x:c r="AI1281" s="17" t="n">
        <x:f>SUM(U1281:Y1281)</x:f>
        <x:v>0</x:v>
      </x:c>
      <x:c r="AJ1281" s="17" t="str">
        <x:f>IF(AE1281&lt;=34,"≤34",IF(AE1281&lt;=44,"35–44",IF(AE1281&lt;=54,"45–54",IF(AE1281&lt;=64,"55–64","65+"))))</x:f>
        <x:v>55–64</x:v>
      </x:c>
      <x:c r="AK1281" s="17" t="str">
        <x:f>IF(AG1281&gt;=1000,"High Value",IF(AG1281&gt;=300,"Mid Value","Low Value"))</x:f>
        <x:v>Low Value</x:v>
      </x:c>
      <x:c r="AL1281" s="17" t="str">
        <x:f>IF(AND(AI1281&gt;=1,I1281&lt;=50),"Priority 1",IF(AND(AG1281&gt;=1000,I1281&lt;=60),"Priority 2",IF(I1281&lt;=30,"Priority 3","Nurture")))</x:f>
        <x:v>Nurture</x:v>
      </x:c>
    </x:row>
    <x:row r="1282">
      <x:c r="A1282" s="16" t="n">
        <x:v>7384</x:v>
      </x:c>
      <x:c r="B1282" s="16" t="n">
        <x:v>1951</x:v>
      </x:c>
      <x:c r="C1282" s="16" t="str">
        <x:v>Master</x:v>
      </x:c>
      <x:c r="D1282" s="16" t="str">
        <x:v>Together</x:v>
      </x:c>
      <x:c r="E1282" s="16" t="n">
        <x:v>39767</x:v>
      </x:c>
      <x:c r="F1282" s="16" t="n">
        <x:v>0</x:v>
      </x:c>
      <x:c r="G1282" s="16" t="n">
        <x:v>0</x:v>
      </x:c>
      <x:c r="H1282" s="16" t="str">
        <x:v>21-07-2013</x:v>
      </x:c>
      <x:c r="I1282" s="16" t="n">
        <x:v>18</x:v>
      </x:c>
      <x:c r="J1282" s="16" t="n">
        <x:v>113</x:v>
      </x:c>
      <x:c r="K1282" s="16" t="n">
        <x:v>61</x:v>
      </x:c>
      <x:c r="L1282" s="16" t="n">
        <x:v>204</x:v>
      </x:c>
      <x:c r="M1282" s="16" t="n">
        <x:v>34</x:v>
      </x:c>
      <x:c r="N1282" s="16" t="n">
        <x:v>26</x:v>
      </x:c>
      <x:c r="O1282" s="16" t="n">
        <x:v>47</x:v>
      </x:c>
      <x:c r="P1282" s="16" t="n">
        <x:v>2</x:v>
      </x:c>
      <x:c r="Q1282" s="16" t="n">
        <x:v>7</x:v>
      </x:c>
      <x:c r="R1282" s="16" t="n">
        <x:v>1</x:v>
      </x:c>
      <x:c r="S1282" s="16" t="n">
        <x:v>7</x:v>
      </x:c>
      <x:c r="T1282" s="16" t="n">
        <x:v>8</x:v>
      </x:c>
      <x:c r="U1282" s="16" t="n">
        <x:v>0</x:v>
      </x:c>
      <x:c r="V1282" s="16" t="n">
        <x:v>0</x:v>
      </x:c>
      <x:c r="W1282" s="16" t="n">
        <x:v>0</x:v>
      </x:c>
      <x:c r="X1282" s="16" t="n">
        <x:v>0</x:v>
      </x:c>
      <x:c r="Y1282" s="16" t="n">
        <x:v>0</x:v>
      </x:c>
      <x:c r="Z1282" s="16" t="n">
        <x:v>0</x:v>
      </x:c>
      <x:c r="AA1282" s="16" t="n">
        <x:v>3</x:v>
      </x:c>
      <x:c r="AB1282" s="16" t="n">
        <x:v>11</x:v>
      </x:c>
      <x:c r="AC1282" s="16" t="n">
        <x:v>0</x:v>
      </x:c>
      <x:c r="AD1282" s="21" t="n">
        <x:f>IF(E1282="",MEDIAN($E$2:$E$2237),E1282)</x:f>
        <x:v>39767</x:v>
      </x:c>
      <x:c r="AE1282" s="17" t="n">
        <x:f>2014-B1282</x:f>
        <x:v>63</x:v>
      </x:c>
      <x:c r="AF1282" s="17" t="n">
        <x:f>F1282+G1282</x:f>
        <x:v>0</x:v>
      </x:c>
      <x:c r="AG1282" s="21" t="n">
        <x:f>SUM(J1282:O1282)</x:f>
        <x:v>485</x:v>
      </x:c>
      <x:c r="AH1282" s="17" t="n">
        <x:f>SUM(Q1282:S1282)</x:f>
        <x:v>15</x:v>
      </x:c>
      <x:c r="AI1282" s="17" t="n">
        <x:f>SUM(U1282:Y1282)</x:f>
        <x:v>0</x:v>
      </x:c>
      <x:c r="AJ1282" s="17" t="str">
        <x:f>IF(AE1282&lt;=34,"≤34",IF(AE1282&lt;=44,"35–44",IF(AE1282&lt;=54,"45–54",IF(AE1282&lt;=64,"55–64","65+"))))</x:f>
        <x:v>55–64</x:v>
      </x:c>
      <x:c r="AK1282" s="17" t="str">
        <x:f>IF(AG1282&gt;=1000,"High Value",IF(AG1282&gt;=300,"Mid Value","Low Value"))</x:f>
        <x:v>Mid Value</x:v>
      </x:c>
      <x:c r="AL1282" s="17" t="str">
        <x:f>IF(AND(AI1282&gt;=1,I1282&lt;=50),"Priority 1",IF(AND(AG1282&gt;=1000,I1282&lt;=60),"Priority 2",IF(I1282&lt;=30,"Priority 3","Nurture")))</x:f>
        <x:v>Priority 3</x:v>
      </x:c>
    </x:row>
    <x:row r="1283">
      <x:c r="A1283" s="16" t="n">
        <x:v>5043</x:v>
      </x:c>
      <x:c r="B1283" s="16" t="n">
        <x:v>1951</x:v>
      </x:c>
      <x:c r="C1283" s="16" t="str">
        <x:v>Basic</x:v>
      </x:c>
      <x:c r="D1283" s="16" t="str">
        <x:v>Married</x:v>
      </x:c>
      <x:c r="E1283" s="16" t="n">
        <x:v>26997</x:v>
      </x:c>
      <x:c r="F1283" s="16" t="n">
        <x:v>0</x:v>
      </x:c>
      <x:c r="G1283" s="16" t="n">
        <x:v>0</x:v>
      </x:c>
      <x:c r="H1283" s="16" t="str">
        <x:v>05-11-2012</x:v>
      </x:c>
      <x:c r="I1283" s="16" t="n">
        <x:v>89</x:v>
      </x:c>
      <x:c r="J1283" s="16" t="n">
        <x:v>7</x:v>
      </x:c>
      <x:c r="K1283" s="16" t="n">
        <x:v>23</x:v>
      </x:c>
      <x:c r="L1283" s="16" t="n">
        <x:v>78</x:v>
      </x:c>
      <x:c r="M1283" s="16" t="n">
        <x:v>133</x:v>
      </x:c>
      <x:c r="N1283" s="16" t="n">
        <x:v>49</x:v>
      </x:c>
      <x:c r="O1283" s="16" t="n">
        <x:v>144</x:v>
      </x:c>
      <x:c r="P1283" s="16" t="n">
        <x:v>2</x:v>
      </x:c>
      <x:c r="Q1283" s="16" t="n">
        <x:v>4</x:v>
      </x:c>
      <x:c r="R1283" s="16" t="n">
        <x:v>2</x:v>
      </x:c>
      <x:c r="S1283" s="16" t="n">
        <x:v>5</x:v>
      </x:c>
      <x:c r="T1283" s="16" t="n">
        <x:v>7</x:v>
      </x:c>
      <x:c r="U1283" s="16" t="n">
        <x:v>0</x:v>
      </x:c>
      <x:c r="V1283" s="16" t="n">
        <x:v>0</x:v>
      </x:c>
      <x:c r="W1283" s="16" t="n">
        <x:v>0</x:v>
      </x:c>
      <x:c r="X1283" s="16" t="n">
        <x:v>0</x:v>
      </x:c>
      <x:c r="Y1283" s="16" t="n">
        <x:v>0</x:v>
      </x:c>
      <x:c r="Z1283" s="16" t="n">
        <x:v>0</x:v>
      </x:c>
      <x:c r="AA1283" s="16" t="n">
        <x:v>3</x:v>
      </x:c>
      <x:c r="AB1283" s="16" t="n">
        <x:v>11</x:v>
      </x:c>
      <x:c r="AC1283" s="16" t="n">
        <x:v>0</x:v>
      </x:c>
      <x:c r="AD1283" s="21" t="n">
        <x:f>IF(E1283="",MEDIAN($E$2:$E$2237),E1283)</x:f>
        <x:v>26997</x:v>
      </x:c>
      <x:c r="AE1283" s="17" t="n">
        <x:f>2014-B1283</x:f>
        <x:v>63</x:v>
      </x:c>
      <x:c r="AF1283" s="17" t="n">
        <x:f>F1283+G1283</x:f>
        <x:v>0</x:v>
      </x:c>
      <x:c r="AG1283" s="21" t="n">
        <x:f>SUM(J1283:O1283)</x:f>
        <x:v>434</x:v>
      </x:c>
      <x:c r="AH1283" s="17" t="n">
        <x:f>SUM(Q1283:S1283)</x:f>
        <x:v>11</x:v>
      </x:c>
      <x:c r="AI1283" s="17" t="n">
        <x:f>SUM(U1283:Y1283)</x:f>
        <x:v>0</x:v>
      </x:c>
      <x:c r="AJ1283" s="17" t="str">
        <x:f>IF(AE1283&lt;=34,"≤34",IF(AE1283&lt;=44,"35–44",IF(AE1283&lt;=54,"45–54",IF(AE1283&lt;=64,"55–64","65+"))))</x:f>
        <x:v>55–64</x:v>
      </x:c>
      <x:c r="AK1283" s="17" t="str">
        <x:f>IF(AG1283&gt;=1000,"High Value",IF(AG1283&gt;=300,"Mid Value","Low Value"))</x:f>
        <x:v>Mid Value</x:v>
      </x:c>
      <x:c r="AL1283" s="17" t="str">
        <x:f>IF(AND(AI1283&gt;=1,I1283&lt;=50),"Priority 1",IF(AND(AG1283&gt;=1000,I1283&lt;=60),"Priority 2",IF(I1283&lt;=30,"Priority 3","Nurture")))</x:f>
        <x:v>Nurture</x:v>
      </x:c>
    </x:row>
    <x:row r="1284">
      <x:c r="A1284" s="16" t="n">
        <x:v>5267</x:v>
      </x:c>
      <x:c r="B1284" s="16" t="n">
        <x:v>1970</x:v>
      </x:c>
      <x:c r="C1284" s="16" t="str">
        <x:v>Graduation</x:v>
      </x:c>
      <x:c r="D1284" s="16" t="str">
        <x:v>Divorced</x:v>
      </x:c>
      <x:c r="E1284" s="16" t="n">
        <x:v>33986</x:v>
      </x:c>
      <x:c r="F1284" s="16" t="n">
        <x:v>1</x:v>
      </x:c>
      <x:c r="G1284" s="16" t="n">
        <x:v>0</x:v>
      </x:c>
      <x:c r="H1284" s="16" t="str">
        <x:v>14-03-2013</x:v>
      </x:c>
      <x:c r="I1284" s="16" t="n">
        <x:v>43</x:v>
      </x:c>
      <x:c r="J1284" s="16" t="n">
        <x:v>16</x:v>
      </x:c>
      <x:c r="K1284" s="16" t="n">
        <x:v>2</x:v>
      </x:c>
      <x:c r="L1284" s="16" t="n">
        <x:v>18</x:v>
      </x:c>
      <x:c r="M1284" s="16" t="n">
        <x:v>2</x:v>
      </x:c>
      <x:c r="N1284" s="16" t="n">
        <x:v>1</x:v>
      </x:c>
      <x:c r="O1284" s="16" t="n">
        <x:v>5</x:v>
      </x:c>
      <x:c r="P1284" s="16" t="n">
        <x:v>1</x:v>
      </x:c>
      <x:c r="Q1284" s="16" t="n">
        <x:v>1</x:v>
      </x:c>
      <x:c r="R1284" s="16" t="n">
        <x:v>0</x:v>
      </x:c>
      <x:c r="S1284" s="16" t="n">
        <x:v>3</x:v>
      </x:c>
      <x:c r="T1284" s="16" t="n">
        <x:v>7</x:v>
      </x:c>
      <x:c r="U1284" s="16" t="n">
        <x:v>0</x:v>
      </x:c>
      <x:c r="V1284" s="16" t="n">
        <x:v>0</x:v>
      </x:c>
      <x:c r="W1284" s="16" t="n">
        <x:v>0</x:v>
      </x:c>
      <x:c r="X1284" s="16" t="n">
        <x:v>0</x:v>
      </x:c>
      <x:c r="Y1284" s="16" t="n">
        <x:v>0</x:v>
      </x:c>
      <x:c r="Z1284" s="16" t="n">
        <x:v>0</x:v>
      </x:c>
      <x:c r="AA1284" s="16" t="n">
        <x:v>3</x:v>
      </x:c>
      <x:c r="AB1284" s="16" t="n">
        <x:v>11</x:v>
      </x:c>
      <x:c r="AC1284" s="16" t="n">
        <x:v>0</x:v>
      </x:c>
      <x:c r="AD1284" s="21" t="n">
        <x:f>IF(E1284="",MEDIAN($E$2:$E$2237),E1284)</x:f>
        <x:v>33986</x:v>
      </x:c>
      <x:c r="AE1284" s="17" t="n">
        <x:f>2014-B1284</x:f>
        <x:v>44</x:v>
      </x:c>
      <x:c r="AF1284" s="17" t="n">
        <x:f>F1284+G1284</x:f>
        <x:v>1</x:v>
      </x:c>
      <x:c r="AG1284" s="21" t="n">
        <x:f>SUM(J1284:O1284)</x:f>
        <x:v>44</x:v>
      </x:c>
      <x:c r="AH1284" s="17" t="n">
        <x:f>SUM(Q1284:S1284)</x:f>
        <x:v>4</x:v>
      </x:c>
      <x:c r="AI1284" s="17" t="n">
        <x:f>SUM(U1284:Y1284)</x:f>
        <x:v>0</x:v>
      </x:c>
      <x:c r="AJ1284" s="17" t="str">
        <x:f>IF(AE1284&lt;=34,"≤34",IF(AE1284&lt;=44,"35–44",IF(AE1284&lt;=54,"45–54",IF(AE1284&lt;=64,"55–64","65+"))))</x:f>
        <x:v>35–44</x:v>
      </x:c>
      <x:c r="AK1284" s="17" t="str">
        <x:f>IF(AG1284&gt;=1000,"High Value",IF(AG1284&gt;=300,"Mid Value","Low Value"))</x:f>
        <x:v>Low Value</x:v>
      </x:c>
      <x:c r="AL1284" s="17" t="str">
        <x:f>IF(AND(AI1284&gt;=1,I1284&lt;=50),"Priority 1",IF(AND(AG1284&gt;=1000,I1284&lt;=60),"Priority 2",IF(I1284&lt;=30,"Priority 3","Nurture")))</x:f>
        <x:v>Nurture</x:v>
      </x:c>
    </x:row>
    <x:row r="1285">
      <x:c r="A1285" s="16" t="n">
        <x:v>339</x:v>
      </x:c>
      <x:c r="B1285" s="16" t="n">
        <x:v>1972</x:v>
      </x:c>
      <x:c r="C1285" s="16" t="str">
        <x:v>PhD</x:v>
      </x:c>
      <x:c r="D1285" s="16" t="str">
        <x:v>Married</x:v>
      </x:c>
      <x:c r="E1285" s="16" t="n">
        <x:v>57091</x:v>
      </x:c>
      <x:c r="F1285" s="16" t="n">
        <x:v>0</x:v>
      </x:c>
      <x:c r="G1285" s="16" t="n">
        <x:v>1</x:v>
      </x:c>
      <x:c r="H1285" s="16" t="str">
        <x:v>23-11-2012</x:v>
      </x:c>
      <x:c r="I1285" s="16" t="n">
        <x:v>82</x:v>
      </x:c>
      <x:c r="J1285" s="16" t="n">
        <x:v>462</x:v>
      </x:c>
      <x:c r="K1285" s="16" t="n">
        <x:v>0</x:v>
      </x:c>
      <x:c r="L1285" s="16" t="n">
        <x:v>24</x:v>
      </x:c>
      <x:c r="M1285" s="16" t="n">
        <x:v>6</x:v>
      </x:c>
      <x:c r="N1285" s="16" t="n">
        <x:v>0</x:v>
      </x:c>
      <x:c r="O1285" s="16" t="n">
        <x:v>4</x:v>
      </x:c>
      <x:c r="P1285" s="16" t="n">
        <x:v>2</x:v>
      </x:c>
      <x:c r="Q1285" s="16" t="n">
        <x:v>9</x:v>
      </x:c>
      <x:c r="R1285" s="16" t="n">
        <x:v>2</x:v>
      </x:c>
      <x:c r="S1285" s="16" t="n">
        <x:v>5</x:v>
      </x:c>
      <x:c r="T1285" s="16" t="n">
        <x:v>7</x:v>
      </x:c>
      <x:c r="U1285" s="16" t="n">
        <x:v>0</x:v>
      </x:c>
      <x:c r="V1285" s="16" t="n">
        <x:v>1</x:v>
      </x:c>
      <x:c r="W1285" s="16" t="n">
        <x:v>0</x:v>
      </x:c>
      <x:c r="X1285" s="16" t="n">
        <x:v>0</x:v>
      </x:c>
      <x:c r="Y1285" s="16" t="n">
        <x:v>0</x:v>
      </x:c>
      <x:c r="Z1285" s="16" t="n">
        <x:v>0</x:v>
      </x:c>
      <x:c r="AA1285" s="16" t="n">
        <x:v>3</x:v>
      </x:c>
      <x:c r="AB1285" s="16" t="n">
        <x:v>11</x:v>
      </x:c>
      <x:c r="AC1285" s="16" t="n">
        <x:v>1</x:v>
      </x:c>
      <x:c r="AD1285" s="21" t="n">
        <x:f>IF(E1285="",MEDIAN($E$2:$E$2237),E1285)</x:f>
        <x:v>57091</x:v>
      </x:c>
      <x:c r="AE1285" s="17" t="n">
        <x:f>2014-B1285</x:f>
        <x:v>42</x:v>
      </x:c>
      <x:c r="AF1285" s="17" t="n">
        <x:f>F1285+G1285</x:f>
        <x:v>1</x:v>
      </x:c>
      <x:c r="AG1285" s="21" t="n">
        <x:f>SUM(J1285:O1285)</x:f>
        <x:v>496</x:v>
      </x:c>
      <x:c r="AH1285" s="17" t="n">
        <x:f>SUM(Q1285:S1285)</x:f>
        <x:v>16</x:v>
      </x:c>
      <x:c r="AI1285" s="17" t="n">
        <x:f>SUM(U1285:Y1285)</x:f>
        <x:v>1</x:v>
      </x:c>
      <x:c r="AJ1285" s="17" t="str">
        <x:f>IF(AE1285&lt;=34,"≤34",IF(AE1285&lt;=44,"35–44",IF(AE1285&lt;=54,"45–54",IF(AE1285&lt;=64,"55–64","65+"))))</x:f>
        <x:v>35–44</x:v>
      </x:c>
      <x:c r="AK1285" s="17" t="str">
        <x:f>IF(AG1285&gt;=1000,"High Value",IF(AG1285&gt;=300,"Mid Value","Low Value"))</x:f>
        <x:v>Mid Value</x:v>
      </x:c>
      <x:c r="AL1285" s="17" t="str">
        <x:f>IF(AND(AI1285&gt;=1,I1285&lt;=50),"Priority 1",IF(AND(AG1285&gt;=1000,I1285&lt;=60),"Priority 2",IF(I1285&lt;=30,"Priority 3","Nurture")))</x:f>
        <x:v>Nurture</x:v>
      </x:c>
    </x:row>
    <x:row r="1286">
      <x:c r="A1286" s="16" t="n">
        <x:v>2516</x:v>
      </x:c>
      <x:c r="B1286" s="16" t="n">
        <x:v>1969</x:v>
      </x:c>
      <x:c r="C1286" s="16" t="str">
        <x:v>2n Cycle</x:v>
      </x:c>
      <x:c r="D1286" s="16" t="str">
        <x:v>Married</x:v>
      </x:c>
      <x:c r="E1286" s="16" t="n">
        <x:v>46831</x:v>
      </x:c>
      <x:c r="F1286" s="16" t="n">
        <x:v>1</x:v>
      </x:c>
      <x:c r="G1286" s="16" t="n">
        <x:v>1</x:v>
      </x:c>
      <x:c r="H1286" s="16" t="str">
        <x:v>08-06-2013</x:v>
      </x:c>
      <x:c r="I1286" s="16" t="n">
        <x:v>84</x:v>
      </x:c>
      <x:c r="J1286" s="16" t="n">
        <x:v>22</x:v>
      </x:c>
      <x:c r="K1286" s="16" t="n">
        <x:v>2</x:v>
      </x:c>
      <x:c r="L1286" s="16" t="n">
        <x:v>10</x:v>
      </x:c>
      <x:c r="M1286" s="16" t="n">
        <x:v>6</x:v>
      </x:c>
      <x:c r="N1286" s="16" t="n">
        <x:v>4</x:v>
      </x:c>
      <x:c r="O1286" s="16" t="n">
        <x:v>34</x:v>
      </x:c>
      <x:c r="P1286" s="16" t="n">
        <x:v>2</x:v>
      </x:c>
      <x:c r="Q1286" s="16" t="n">
        <x:v>1</x:v>
      </x:c>
      <x:c r="R1286" s="16" t="n">
        <x:v>2</x:v>
      </x:c>
      <x:c r="S1286" s="16" t="n">
        <x:v>2</x:v>
      </x:c>
      <x:c r="T1286" s="16" t="n">
        <x:v>4</x:v>
      </x:c>
      <x:c r="U1286" s="16" t="n">
        <x:v>0</x:v>
      </x:c>
      <x:c r="V1286" s="16" t="n">
        <x:v>0</x:v>
      </x:c>
      <x:c r="W1286" s="16" t="n">
        <x:v>0</x:v>
      </x:c>
      <x:c r="X1286" s="16" t="n">
        <x:v>0</x:v>
      </x:c>
      <x:c r="Y1286" s="16" t="n">
        <x:v>0</x:v>
      </x:c>
      <x:c r="Z1286" s="16" t="n">
        <x:v>0</x:v>
      </x:c>
      <x:c r="AA1286" s="16" t="n">
        <x:v>3</x:v>
      </x:c>
      <x:c r="AB1286" s="16" t="n">
        <x:v>11</x:v>
      </x:c>
      <x:c r="AC1286" s="16" t="n">
        <x:v>0</x:v>
      </x:c>
      <x:c r="AD1286" s="21" t="n">
        <x:f>IF(E1286="",MEDIAN($E$2:$E$2237),E1286)</x:f>
        <x:v>46831</x:v>
      </x:c>
      <x:c r="AE1286" s="17" t="n">
        <x:f>2014-B1286</x:f>
        <x:v>45</x:v>
      </x:c>
      <x:c r="AF1286" s="17" t="n">
        <x:f>F1286+G1286</x:f>
        <x:v>2</x:v>
      </x:c>
      <x:c r="AG1286" s="21" t="n">
        <x:f>SUM(J1286:O1286)</x:f>
        <x:v>78</x:v>
      </x:c>
      <x:c r="AH1286" s="17" t="n">
        <x:f>SUM(Q1286:S1286)</x:f>
        <x:v>5</x:v>
      </x:c>
      <x:c r="AI1286" s="17" t="n">
        <x:f>SUM(U1286:Y1286)</x:f>
        <x:v>0</x:v>
      </x:c>
      <x:c r="AJ1286" s="17" t="str">
        <x:f>IF(AE1286&lt;=34,"≤34",IF(AE1286&lt;=44,"35–44",IF(AE1286&lt;=54,"45–54",IF(AE1286&lt;=64,"55–64","65+"))))</x:f>
        <x:v>45–54</x:v>
      </x:c>
      <x:c r="AK1286" s="17" t="str">
        <x:f>IF(AG1286&gt;=1000,"High Value",IF(AG1286&gt;=300,"Mid Value","Low Value"))</x:f>
        <x:v>Low Value</x:v>
      </x:c>
      <x:c r="AL1286" s="17" t="str">
        <x:f>IF(AND(AI1286&gt;=1,I1286&lt;=50),"Priority 1",IF(AND(AG1286&gt;=1000,I1286&lt;=60),"Priority 2",IF(I1286&lt;=30,"Priority 3","Nurture")))</x:f>
        <x:v>Nurture</x:v>
      </x:c>
    </x:row>
    <x:row r="1287">
      <x:c r="A1287" s="16" t="n">
        <x:v>9010</x:v>
      </x:c>
      <x:c r="B1287" s="16" t="n">
        <x:v>1972</x:v>
      </x:c>
      <x:c r="C1287" s="16" t="str">
        <x:v>Master</x:v>
      </x:c>
      <x:c r="D1287" s="16" t="str">
        <x:v>Married</x:v>
      </x:c>
      <x:c r="E1287" s="16" t="n">
        <x:v>83151</x:v>
      </x:c>
      <x:c r="F1287" s="16" t="n">
        <x:v>0</x:v>
      </x:c>
      <x:c r="G1287" s="16" t="n">
        <x:v>0</x:v>
      </x:c>
      <x:c r="H1287" s="16" t="str">
        <x:v>10-02-2013</x:v>
      </x:c>
      <x:c r="I1287" s="16" t="n">
        <x:v>80</x:v>
      </x:c>
      <x:c r="J1287" s="16" t="n">
        <x:v>968</x:v>
      </x:c>
      <x:c r="K1287" s="16" t="n">
        <x:v>147</x:v>
      </x:c>
      <x:c r="L1287" s="16" t="n">
        <x:v>842</x:v>
      </x:c>
      <x:c r="M1287" s="16" t="n">
        <x:v>137</x:v>
      </x:c>
      <x:c r="N1287" s="16" t="n">
        <x:v>42</x:v>
      </x:c>
      <x:c r="O1287" s="16" t="n">
        <x:v>210</x:v>
      </x:c>
      <x:c r="P1287" s="16" t="n">
        <x:v>1</x:v>
      </x:c>
      <x:c r="Q1287" s="16" t="n">
        <x:v>5</x:v>
      </x:c>
      <x:c r="R1287" s="16" t="n">
        <x:v>7</x:v>
      </x:c>
      <x:c r="S1287" s="16" t="n">
        <x:v>10</x:v>
      </x:c>
      <x:c r="T1287" s="16" t="n">
        <x:v>2</x:v>
      </x:c>
      <x:c r="U1287" s="16" t="n">
        <x:v>1</x:v>
      </x:c>
      <x:c r="V1287" s="16" t="n">
        <x:v>0</x:v>
      </x:c>
      <x:c r="W1287" s="16" t="n">
        <x:v>1</x:v>
      </x:c>
      <x:c r="X1287" s="16" t="n">
        <x:v>1</x:v>
      </x:c>
      <x:c r="Y1287" s="16" t="n">
        <x:v>0</x:v>
      </x:c>
      <x:c r="Z1287" s="16" t="n">
        <x:v>0</x:v>
      </x:c>
      <x:c r="AA1287" s="16" t="n">
        <x:v>3</x:v>
      </x:c>
      <x:c r="AB1287" s="16" t="n">
        <x:v>11</x:v>
      </x:c>
      <x:c r="AC1287" s="16" t="n">
        <x:v>1</x:v>
      </x:c>
      <x:c r="AD1287" s="21" t="n">
        <x:f>IF(E1287="",MEDIAN($E$2:$E$2237),E1287)</x:f>
        <x:v>83151</x:v>
      </x:c>
      <x:c r="AE1287" s="17" t="n">
        <x:f>2014-B1287</x:f>
        <x:v>42</x:v>
      </x:c>
      <x:c r="AF1287" s="17" t="n">
        <x:f>F1287+G1287</x:f>
        <x:v>0</x:v>
      </x:c>
      <x:c r="AG1287" s="21" t="n">
        <x:f>SUM(J1287:O1287)</x:f>
        <x:v>2346</x:v>
      </x:c>
      <x:c r="AH1287" s="17" t="n">
        <x:f>SUM(Q1287:S1287)</x:f>
        <x:v>22</x:v>
      </x:c>
      <x:c r="AI1287" s="17" t="n">
        <x:f>SUM(U1287:Y1287)</x:f>
        <x:v>3</x:v>
      </x:c>
      <x:c r="AJ1287" s="17" t="str">
        <x:f>IF(AE1287&lt;=34,"≤34",IF(AE1287&lt;=44,"35–44",IF(AE1287&lt;=54,"45–54",IF(AE1287&lt;=64,"55–64","65+"))))</x:f>
        <x:v>35–44</x:v>
      </x:c>
      <x:c r="AK1287" s="17" t="str">
        <x:f>IF(AG1287&gt;=1000,"High Value",IF(AG1287&gt;=300,"Mid Value","Low Value"))</x:f>
        <x:v>High Value</x:v>
      </x:c>
      <x:c r="AL1287" s="17" t="str">
        <x:f>IF(AND(AI1287&gt;=1,I1287&lt;=50),"Priority 1",IF(AND(AG1287&gt;=1000,I1287&lt;=60),"Priority 2",IF(I1287&lt;=30,"Priority 3","Nurture")))</x:f>
        <x:v>Nurture</x:v>
      </x:c>
    </x:row>
    <x:row r="1288">
      <x:c r="A1288" s="16" t="n">
        <x:v>378</x:v>
      </x:c>
      <x:c r="B1288" s="16" t="n">
        <x:v>1971</x:v>
      </x:c>
      <x:c r="C1288" s="16" t="str">
        <x:v>Graduation</x:v>
      </x:c>
      <x:c r="D1288" s="16" t="str">
        <x:v>Married</x:v>
      </x:c>
      <x:c r="E1288" s="16" t="n">
        <x:v>52531</x:v>
      </x:c>
      <x:c r="F1288" s="16" t="n">
        <x:v>0</x:v>
      </x:c>
      <x:c r="G1288" s="16" t="n">
        <x:v>0</x:v>
      </x:c>
      <x:c r="H1288" s="16" t="str">
        <x:v>30-12-2012</x:v>
      </x:c>
      <x:c r="I1288" s="16" t="n">
        <x:v>68</x:v>
      </x:c>
      <x:c r="J1288" s="16" t="n">
        <x:v>283</x:v>
      </x:c>
      <x:c r="K1288" s="16" t="n">
        <x:v>112</x:v>
      </x:c>
      <x:c r="L1288" s="16" t="n">
        <x:v>151</x:v>
      </x:c>
      <x:c r="M1288" s="16" t="n">
        <x:v>51</x:v>
      </x:c>
      <x:c r="N1288" s="16" t="n">
        <x:v>72</x:v>
      </x:c>
      <x:c r="O1288" s="16" t="n">
        <x:v>125</x:v>
      </x:c>
      <x:c r="P1288" s="16" t="n">
        <x:v>2</x:v>
      </x:c>
      <x:c r="Q1288" s="16" t="n">
        <x:v>7</x:v>
      </x:c>
      <x:c r="R1288" s="16" t="n">
        <x:v>2</x:v>
      </x:c>
      <x:c r="S1288" s="16" t="n">
        <x:v>10</x:v>
      </x:c>
      <x:c r="T1288" s="16" t="n">
        <x:v>6</x:v>
      </x:c>
      <x:c r="U1288" s="16" t="n">
        <x:v>0</x:v>
      </x:c>
      <x:c r="V1288" s="16" t="n">
        <x:v>0</x:v>
      </x:c>
      <x:c r="W1288" s="16" t="n">
        <x:v>0</x:v>
      </x:c>
      <x:c r="X1288" s="16" t="n">
        <x:v>0</x:v>
      </x:c>
      <x:c r="Y1288" s="16" t="n">
        <x:v>0</x:v>
      </x:c>
      <x:c r="Z1288" s="16" t="n">
        <x:v>0</x:v>
      </x:c>
      <x:c r="AA1288" s="16" t="n">
        <x:v>3</x:v>
      </x:c>
      <x:c r="AB1288" s="16" t="n">
        <x:v>11</x:v>
      </x:c>
      <x:c r="AC1288" s="16" t="n">
        <x:v>0</x:v>
      </x:c>
      <x:c r="AD1288" s="21" t="n">
        <x:f>IF(E1288="",MEDIAN($E$2:$E$2237),E1288)</x:f>
        <x:v>52531</x:v>
      </x:c>
      <x:c r="AE1288" s="17" t="n">
        <x:f>2014-B1288</x:f>
        <x:v>43</x:v>
      </x:c>
      <x:c r="AF1288" s="17" t="n">
        <x:f>F1288+G1288</x:f>
        <x:v>0</x:v>
      </x:c>
      <x:c r="AG1288" s="21" t="n">
        <x:f>SUM(J1288:O1288)</x:f>
        <x:v>794</x:v>
      </x:c>
      <x:c r="AH1288" s="17" t="n">
        <x:f>SUM(Q1288:S1288)</x:f>
        <x:v>19</x:v>
      </x:c>
      <x:c r="AI1288" s="17" t="n">
        <x:f>SUM(U1288:Y1288)</x:f>
        <x:v>0</x:v>
      </x:c>
      <x:c r="AJ1288" s="17" t="str">
        <x:f>IF(AE1288&lt;=34,"≤34",IF(AE1288&lt;=44,"35–44",IF(AE1288&lt;=54,"45–54",IF(AE1288&lt;=64,"55–64","65+"))))</x:f>
        <x:v>35–44</x:v>
      </x:c>
      <x:c r="AK1288" s="17" t="str">
        <x:f>IF(AG1288&gt;=1000,"High Value",IF(AG1288&gt;=300,"Mid Value","Low Value"))</x:f>
        <x:v>Mid Value</x:v>
      </x:c>
      <x:c r="AL1288" s="17" t="str">
        <x:f>IF(AND(AI1288&gt;=1,I1288&lt;=50),"Priority 1",IF(AND(AG1288&gt;=1000,I1288&lt;=60),"Priority 2",IF(I1288&lt;=30,"Priority 3","Nurture")))</x:f>
        <x:v>Nurture</x:v>
      </x:c>
    </x:row>
    <x:row r="1289">
      <x:c r="A1289" s="16" t="n">
        <x:v>4808</x:v>
      </x:c>
      <x:c r="B1289" s="16" t="n">
        <x:v>1956</x:v>
      </x:c>
      <x:c r="C1289" s="16" t="str">
        <x:v>Graduation</x:v>
      </x:c>
      <x:c r="D1289" s="16" t="str">
        <x:v>Married</x:v>
      </x:c>
      <x:c r="E1289" s="16" t="n">
        <x:v>15759</x:v>
      </x:c>
      <x:c r="F1289" s="16" t="n">
        <x:v>0</x:v>
      </x:c>
      <x:c r="G1289" s="16" t="n">
        <x:v>0</x:v>
      </x:c>
      <x:c r="H1289" s="16" t="str">
        <x:v>05-09-2013</x:v>
      </x:c>
      <x:c r="I1289" s="16" t="n">
        <x:v>12</x:v>
      </x:c>
      <x:c r="J1289" s="16" t="n">
        <x:v>1</x:v>
      </x:c>
      <x:c r="K1289" s="16" t="n">
        <x:v>2</x:v>
      </x:c>
      <x:c r="L1289" s="16" t="n">
        <x:v>5</x:v>
      </x:c>
      <x:c r="M1289" s="16" t="n">
        <x:v>6</x:v>
      </x:c>
      <x:c r="N1289" s="16" t="n">
        <x:v>0</x:v>
      </x:c>
      <x:c r="O1289" s="16" t="n">
        <x:v>3</x:v>
      </x:c>
      <x:c r="P1289" s="16" t="n">
        <x:v>1</x:v>
      </x:c>
      <x:c r="Q1289" s="16" t="n">
        <x:v>1</x:v>
      </x:c>
      <x:c r="R1289" s="16" t="n">
        <x:v>0</x:v>
      </x:c>
      <x:c r="S1289" s="16" t="n">
        <x:v>2</x:v>
      </x:c>
      <x:c r="T1289" s="16" t="n">
        <x:v>7</x:v>
      </x:c>
      <x:c r="U1289" s="16" t="n">
        <x:v>0</x:v>
      </x:c>
      <x:c r="V1289" s="16" t="n">
        <x:v>0</x:v>
      </x:c>
      <x:c r="W1289" s="16" t="n">
        <x:v>0</x:v>
      </x:c>
      <x:c r="X1289" s="16" t="n">
        <x:v>0</x:v>
      </x:c>
      <x:c r="Y1289" s="16" t="n">
        <x:v>0</x:v>
      </x:c>
      <x:c r="Z1289" s="16" t="n">
        <x:v>0</x:v>
      </x:c>
      <x:c r="AA1289" s="16" t="n">
        <x:v>3</x:v>
      </x:c>
      <x:c r="AB1289" s="16" t="n">
        <x:v>11</x:v>
      </x:c>
      <x:c r="AC1289" s="16" t="n">
        <x:v>0</x:v>
      </x:c>
      <x:c r="AD1289" s="21" t="n">
        <x:f>IF(E1289="",MEDIAN($E$2:$E$2237),E1289)</x:f>
        <x:v>15759</x:v>
      </x:c>
      <x:c r="AE1289" s="17" t="n">
        <x:f>2014-B1289</x:f>
        <x:v>58</x:v>
      </x:c>
      <x:c r="AF1289" s="17" t="n">
        <x:f>F1289+G1289</x:f>
        <x:v>0</x:v>
      </x:c>
      <x:c r="AG1289" s="21" t="n">
        <x:f>SUM(J1289:O1289)</x:f>
        <x:v>17</x:v>
      </x:c>
      <x:c r="AH1289" s="17" t="n">
        <x:f>SUM(Q1289:S1289)</x:f>
        <x:v>3</x:v>
      </x:c>
      <x:c r="AI1289" s="17" t="n">
        <x:f>SUM(U1289:Y1289)</x:f>
        <x:v>0</x:v>
      </x:c>
      <x:c r="AJ1289" s="17" t="str">
        <x:f>IF(AE1289&lt;=34,"≤34",IF(AE1289&lt;=44,"35–44",IF(AE1289&lt;=54,"45–54",IF(AE1289&lt;=64,"55–64","65+"))))</x:f>
        <x:v>55–64</x:v>
      </x:c>
      <x:c r="AK1289" s="17" t="str">
        <x:f>IF(AG1289&gt;=1000,"High Value",IF(AG1289&gt;=300,"Mid Value","Low Value"))</x:f>
        <x:v>Low Value</x:v>
      </x:c>
      <x:c r="AL1289" s="17" t="str">
        <x:f>IF(AND(AI1289&gt;=1,I1289&lt;=50),"Priority 1",IF(AND(AG1289&gt;=1000,I1289&lt;=60),"Priority 2",IF(I1289&lt;=30,"Priority 3","Nurture")))</x:f>
        <x:v>Priority 3</x:v>
      </x:c>
    </x:row>
    <x:row r="1290">
      <x:c r="A1290" s="16" t="n">
        <x:v>5068</x:v>
      </x:c>
      <x:c r="B1290" s="16" t="n">
        <x:v>1971</x:v>
      </x:c>
      <x:c r="C1290" s="16" t="str">
        <x:v>Graduation</x:v>
      </x:c>
      <x:c r="D1290" s="16" t="str">
        <x:v>Single</x:v>
      </x:c>
      <x:c r="E1290" s="16" t="n">
        <x:v>22804</x:v>
      </x:c>
      <x:c r="F1290" s="16" t="n">
        <x:v>1</x:v>
      </x:c>
      <x:c r="G1290" s="16" t="n">
        <x:v>0</x:v>
      </x:c>
      <x:c r="H1290" s="16" t="str">
        <x:v>31-07-2013</x:v>
      </x:c>
      <x:c r="I1290" s="16" t="n">
        <x:v>75</x:v>
      </x:c>
      <x:c r="J1290" s="16" t="n">
        <x:v>14</x:v>
      </x:c>
      <x:c r="K1290" s="16" t="n">
        <x:v>1</x:v>
      </x:c>
      <x:c r="L1290" s="16" t="n">
        <x:v>7</x:v>
      </x:c>
      <x:c r="M1290" s="16" t="n">
        <x:v>2</x:v>
      </x:c>
      <x:c r="N1290" s="16" t="n">
        <x:v>1</x:v>
      </x:c>
      <x:c r="O1290" s="16" t="n">
        <x:v>1</x:v>
      </x:c>
      <x:c r="P1290" s="16" t="n">
        <x:v>1</x:v>
      </x:c>
      <x:c r="Q1290" s="16" t="n">
        <x:v>2</x:v>
      </x:c>
      <x:c r="R1290" s="16" t="n">
        <x:v>0</x:v>
      </x:c>
      <x:c r="S1290" s="16" t="n">
        <x:v>2</x:v>
      </x:c>
      <x:c r="T1290" s="16" t="n">
        <x:v>9</x:v>
      </x:c>
      <x:c r="U1290" s="16" t="n">
        <x:v>0</x:v>
      </x:c>
      <x:c r="V1290" s="16" t="n">
        <x:v>0</x:v>
      </x:c>
      <x:c r="W1290" s="16" t="n">
        <x:v>0</x:v>
      </x:c>
      <x:c r="X1290" s="16" t="n">
        <x:v>0</x:v>
      </x:c>
      <x:c r="Y1290" s="16" t="n">
        <x:v>0</x:v>
      </x:c>
      <x:c r="Z1290" s="16" t="n">
        <x:v>0</x:v>
      </x:c>
      <x:c r="AA1290" s="16" t="n">
        <x:v>3</x:v>
      </x:c>
      <x:c r="AB1290" s="16" t="n">
        <x:v>11</x:v>
      </x:c>
      <x:c r="AC1290" s="16" t="n">
        <x:v>0</x:v>
      </x:c>
      <x:c r="AD1290" s="21" t="n">
        <x:f>IF(E1290="",MEDIAN($E$2:$E$2237),E1290)</x:f>
        <x:v>22804</x:v>
      </x:c>
      <x:c r="AE1290" s="17" t="n">
        <x:f>2014-B1290</x:f>
        <x:v>43</x:v>
      </x:c>
      <x:c r="AF1290" s="17" t="n">
        <x:f>F1290+G1290</x:f>
        <x:v>1</x:v>
      </x:c>
      <x:c r="AG1290" s="21" t="n">
        <x:f>SUM(J1290:O1290)</x:f>
        <x:v>26</x:v>
      </x:c>
      <x:c r="AH1290" s="17" t="n">
        <x:f>SUM(Q1290:S1290)</x:f>
        <x:v>4</x:v>
      </x:c>
      <x:c r="AI1290" s="17" t="n">
        <x:f>SUM(U1290:Y1290)</x:f>
        <x:v>0</x:v>
      </x:c>
      <x:c r="AJ1290" s="17" t="str">
        <x:f>IF(AE1290&lt;=34,"≤34",IF(AE1290&lt;=44,"35–44",IF(AE1290&lt;=54,"45–54",IF(AE1290&lt;=64,"55–64","65+"))))</x:f>
        <x:v>35–44</x:v>
      </x:c>
      <x:c r="AK1290" s="17" t="str">
        <x:f>IF(AG1290&gt;=1000,"High Value",IF(AG1290&gt;=300,"Mid Value","Low Value"))</x:f>
        <x:v>Low Value</x:v>
      </x:c>
      <x:c r="AL1290" s="17" t="str">
        <x:f>IF(AND(AI1290&gt;=1,I1290&lt;=50),"Priority 1",IF(AND(AG1290&gt;=1000,I1290&lt;=60),"Priority 2",IF(I1290&lt;=30,"Priority 3","Nurture")))</x:f>
        <x:v>Nurture</x:v>
      </x:c>
    </x:row>
    <x:row r="1291">
      <x:c r="A1291" s="16" t="n">
        <x:v>7628</x:v>
      </x:c>
      <x:c r="B1291" s="16" t="n">
        <x:v>1973</x:v>
      </x:c>
      <x:c r="C1291" s="16" t="str">
        <x:v>2n Cycle</x:v>
      </x:c>
      <x:c r="D1291" s="16" t="str">
        <x:v>Married</x:v>
      </x:c>
      <x:c r="E1291" s="16" t="n">
        <x:v>43050</x:v>
      </x:c>
      <x:c r="F1291" s="16" t="n">
        <x:v>1</x:v>
      </x:c>
      <x:c r="G1291" s="16" t="n">
        <x:v>0</x:v>
      </x:c>
      <x:c r="H1291" s="16" t="str">
        <x:v>18-03-2014</x:v>
      </x:c>
      <x:c r="I1291" s="16" t="n">
        <x:v>10</x:v>
      </x:c>
      <x:c r="J1291" s="16" t="n">
        <x:v>30</x:v>
      </x:c>
      <x:c r="K1291" s="16" t="n">
        <x:v>5</x:v>
      </x:c>
      <x:c r="L1291" s="16" t="n">
        <x:v>24</x:v>
      </x:c>
      <x:c r="M1291" s="16" t="n">
        <x:v>6</x:v>
      </x:c>
      <x:c r="N1291" s="16" t="n">
        <x:v>3</x:v>
      </x:c>
      <x:c r="O1291" s="16" t="n">
        <x:v>8</x:v>
      </x:c>
      <x:c r="P1291" s="16" t="n">
        <x:v>2</x:v>
      </x:c>
      <x:c r="Q1291" s="16" t="n">
        <x:v>2</x:v>
      </x:c>
      <x:c r="R1291" s="16" t="n">
        <x:v>0</x:v>
      </x:c>
      <x:c r="S1291" s="16" t="n">
        <x:v>4</x:v>
      </x:c>
      <x:c r="T1291" s="16" t="n">
        <x:v>5</x:v>
      </x:c>
      <x:c r="U1291" s="16" t="n">
        <x:v>0</x:v>
      </x:c>
      <x:c r="V1291" s="16" t="n">
        <x:v>0</x:v>
      </x:c>
      <x:c r="W1291" s="16" t="n">
        <x:v>0</x:v>
      </x:c>
      <x:c r="X1291" s="16" t="n">
        <x:v>0</x:v>
      </x:c>
      <x:c r="Y1291" s="16" t="n">
        <x:v>0</x:v>
      </x:c>
      <x:c r="Z1291" s="16" t="n">
        <x:v>0</x:v>
      </x:c>
      <x:c r="AA1291" s="16" t="n">
        <x:v>3</x:v>
      </x:c>
      <x:c r="AB1291" s="16" t="n">
        <x:v>11</x:v>
      </x:c>
      <x:c r="AC1291" s="16" t="n">
        <x:v>0</x:v>
      </x:c>
      <x:c r="AD1291" s="21" t="n">
        <x:f>IF(E1291="",MEDIAN($E$2:$E$2237),E1291)</x:f>
        <x:v>43050</x:v>
      </x:c>
      <x:c r="AE1291" s="17" t="n">
        <x:f>2014-B1291</x:f>
        <x:v>41</x:v>
      </x:c>
      <x:c r="AF1291" s="17" t="n">
        <x:f>F1291+G1291</x:f>
        <x:v>1</x:v>
      </x:c>
      <x:c r="AG1291" s="21" t="n">
        <x:f>SUM(J1291:O1291)</x:f>
        <x:v>76</x:v>
      </x:c>
      <x:c r="AH1291" s="17" t="n">
        <x:f>SUM(Q1291:S1291)</x:f>
        <x:v>6</x:v>
      </x:c>
      <x:c r="AI1291" s="17" t="n">
        <x:f>SUM(U1291:Y1291)</x:f>
        <x:v>0</x:v>
      </x:c>
      <x:c r="AJ1291" s="17" t="str">
        <x:f>IF(AE1291&lt;=34,"≤34",IF(AE1291&lt;=44,"35–44",IF(AE1291&lt;=54,"45–54",IF(AE1291&lt;=64,"55–64","65+"))))</x:f>
        <x:v>35–44</x:v>
      </x:c>
      <x:c r="AK1291" s="17" t="str">
        <x:f>IF(AG1291&gt;=1000,"High Value",IF(AG1291&gt;=300,"Mid Value","Low Value"))</x:f>
        <x:v>Low Value</x:v>
      </x:c>
      <x:c r="AL1291" s="17" t="str">
        <x:f>IF(AND(AI1291&gt;=1,I1291&lt;=50),"Priority 1",IF(AND(AG1291&gt;=1000,I1291&lt;=60),"Priority 2",IF(I1291&lt;=30,"Priority 3","Nurture")))</x:f>
        <x:v>Priority 3</x:v>
      </x:c>
    </x:row>
    <x:row r="1292">
      <x:c r="A1292" s="16" t="n">
        <x:v>7128</x:v>
      </x:c>
      <x:c r="B1292" s="16" t="n">
        <x:v>1977</x:v>
      </x:c>
      <x:c r="C1292" s="16" t="str">
        <x:v>PhD</x:v>
      </x:c>
      <x:c r="D1292" s="16" t="str">
        <x:v>Single</x:v>
      </x:c>
      <x:c r="E1292" s="16" t="n">
        <x:v>42997</x:v>
      </x:c>
      <x:c r="F1292" s="16" t="n">
        <x:v>1</x:v>
      </x:c>
      <x:c r="G1292" s="16" t="n">
        <x:v>1</x:v>
      </x:c>
      <x:c r="H1292" s="16" t="str">
        <x:v>07-12-2013</x:v>
      </x:c>
      <x:c r="I1292" s="16" t="n">
        <x:v>91</x:v>
      </x:c>
      <x:c r="J1292" s="16" t="n">
        <x:v>4</x:v>
      </x:c>
      <x:c r="K1292" s="16" t="n">
        <x:v>0</x:v>
      </x:c>
      <x:c r="L1292" s="16" t="n">
        <x:v>5</x:v>
      </x:c>
      <x:c r="M1292" s="16" t="n">
        <x:v>0</x:v>
      </x:c>
      <x:c r="N1292" s="16" t="n">
        <x:v>1</x:v>
      </x:c>
      <x:c r="O1292" s="16" t="n">
        <x:v>5</x:v>
      </x:c>
      <x:c r="P1292" s="16" t="n">
        <x:v>1</x:v>
      </x:c>
      <x:c r="Q1292" s="16" t="n">
        <x:v>1</x:v>
      </x:c>
      <x:c r="R1292" s="16" t="n">
        <x:v>0</x:v>
      </x:c>
      <x:c r="S1292" s="16" t="n">
        <x:v>2</x:v>
      </x:c>
      <x:c r="T1292" s="16" t="n">
        <x:v>7</x:v>
      </x:c>
      <x:c r="U1292" s="16" t="n">
        <x:v>0</x:v>
      </x:c>
      <x:c r="V1292" s="16" t="n">
        <x:v>0</x:v>
      </x:c>
      <x:c r="W1292" s="16" t="n">
        <x:v>0</x:v>
      </x:c>
      <x:c r="X1292" s="16" t="n">
        <x:v>0</x:v>
      </x:c>
      <x:c r="Y1292" s="16" t="n">
        <x:v>0</x:v>
      </x:c>
      <x:c r="Z1292" s="16" t="n">
        <x:v>0</x:v>
      </x:c>
      <x:c r="AA1292" s="16" t="n">
        <x:v>3</x:v>
      </x:c>
      <x:c r="AB1292" s="16" t="n">
        <x:v>11</x:v>
      </x:c>
      <x:c r="AC1292" s="16" t="n">
        <x:v>0</x:v>
      </x:c>
      <x:c r="AD1292" s="21" t="n">
        <x:f>IF(E1292="",MEDIAN($E$2:$E$2237),E1292)</x:f>
        <x:v>42997</x:v>
      </x:c>
      <x:c r="AE1292" s="17" t="n">
        <x:f>2014-B1292</x:f>
        <x:v>37</x:v>
      </x:c>
      <x:c r="AF1292" s="17" t="n">
        <x:f>F1292+G1292</x:f>
        <x:v>2</x:v>
      </x:c>
      <x:c r="AG1292" s="21" t="n">
        <x:f>SUM(J1292:O1292)</x:f>
        <x:v>15</x:v>
      </x:c>
      <x:c r="AH1292" s="17" t="n">
        <x:f>SUM(Q1292:S1292)</x:f>
        <x:v>3</x:v>
      </x:c>
      <x:c r="AI1292" s="17" t="n">
        <x:f>SUM(U1292:Y1292)</x:f>
        <x:v>0</x:v>
      </x:c>
      <x:c r="AJ1292" s="17" t="str">
        <x:f>IF(AE1292&lt;=34,"≤34",IF(AE1292&lt;=44,"35–44",IF(AE1292&lt;=54,"45–54",IF(AE1292&lt;=64,"55–64","65+"))))</x:f>
        <x:v>35–44</x:v>
      </x:c>
      <x:c r="AK1292" s="17" t="str">
        <x:f>IF(AG1292&gt;=1000,"High Value",IF(AG1292&gt;=300,"Mid Value","Low Value"))</x:f>
        <x:v>Low Value</x:v>
      </x:c>
      <x:c r="AL1292" s="17" t="str">
        <x:f>IF(AND(AI1292&gt;=1,I1292&lt;=50),"Priority 1",IF(AND(AG1292&gt;=1000,I1292&lt;=60),"Priority 2",IF(I1292&lt;=30,"Priority 3","Nurture")))</x:f>
        <x:v>Nurture</x:v>
      </x:c>
    </x:row>
    <x:row r="1293">
      <x:c r="A1293" s="16" t="n">
        <x:v>2811</x:v>
      </x:c>
      <x:c r="B1293" s="16" t="n">
        <x:v>1963</x:v>
      </x:c>
      <x:c r="C1293" s="16" t="str">
        <x:v>PhD</x:v>
      </x:c>
      <x:c r="D1293" s="16" t="str">
        <x:v>Single</x:v>
      </x:c>
      <x:c r="E1293" s="16" t="n">
        <x:v>48918</x:v>
      </x:c>
      <x:c r="F1293" s="16" t="n">
        <x:v>1</x:v>
      </x:c>
      <x:c r="G1293" s="16" t="n">
        <x:v>1</x:v>
      </x:c>
      <x:c r="H1293" s="16" t="str">
        <x:v>12-04-2014</x:v>
      </x:c>
      <x:c r="I1293" s="16" t="n">
        <x:v>21</x:v>
      </x:c>
      <x:c r="J1293" s="16" t="n">
        <x:v>52</x:v>
      </x:c>
      <x:c r="K1293" s="16" t="n">
        <x:v>0</x:v>
      </x:c>
      <x:c r="L1293" s="16" t="n">
        <x:v>9</x:v>
      </x:c>
      <x:c r="M1293" s="16" t="n">
        <x:v>0</x:v>
      </x:c>
      <x:c r="N1293" s="16" t="n">
        <x:v>0</x:v>
      </x:c>
      <x:c r="O1293" s="16" t="n">
        <x:v>1</x:v>
      </x:c>
      <x:c r="P1293" s="16" t="n">
        <x:v>2</x:v>
      </x:c>
      <x:c r="Q1293" s="16" t="n">
        <x:v>1</x:v>
      </x:c>
      <x:c r="R1293" s="16" t="n">
        <x:v>0</x:v>
      </x:c>
      <x:c r="S1293" s="16" t="n">
        <x:v>4</x:v>
      </x:c>
      <x:c r="T1293" s="16" t="n">
        <x:v>4</x:v>
      </x:c>
      <x:c r="U1293" s="16" t="n">
        <x:v>0</x:v>
      </x:c>
      <x:c r="V1293" s="16" t="n">
        <x:v>0</x:v>
      </x:c>
      <x:c r="W1293" s="16" t="n">
        <x:v>0</x:v>
      </x:c>
      <x:c r="X1293" s="16" t="n">
        <x:v>0</x:v>
      </x:c>
      <x:c r="Y1293" s="16" t="n">
        <x:v>0</x:v>
      </x:c>
      <x:c r="Z1293" s="16" t="n">
        <x:v>0</x:v>
      </x:c>
      <x:c r="AA1293" s="16" t="n">
        <x:v>3</x:v>
      </x:c>
      <x:c r="AB1293" s="16" t="n">
        <x:v>11</x:v>
      </x:c>
      <x:c r="AC1293" s="16" t="n">
        <x:v>0</x:v>
      </x:c>
      <x:c r="AD1293" s="21" t="n">
        <x:f>IF(E1293="",MEDIAN($E$2:$E$2237),E1293)</x:f>
        <x:v>48918</x:v>
      </x:c>
      <x:c r="AE1293" s="17" t="n">
        <x:f>2014-B1293</x:f>
        <x:v>51</x:v>
      </x:c>
      <x:c r="AF1293" s="17" t="n">
        <x:f>F1293+G1293</x:f>
        <x:v>2</x:v>
      </x:c>
      <x:c r="AG1293" s="21" t="n">
        <x:f>SUM(J1293:O1293)</x:f>
        <x:v>62</x:v>
      </x:c>
      <x:c r="AH1293" s="17" t="n">
        <x:f>SUM(Q1293:S1293)</x:f>
        <x:v>5</x:v>
      </x:c>
      <x:c r="AI1293" s="17" t="n">
        <x:f>SUM(U1293:Y1293)</x:f>
        <x:v>0</x:v>
      </x:c>
      <x:c r="AJ1293" s="17" t="str">
        <x:f>IF(AE1293&lt;=34,"≤34",IF(AE1293&lt;=44,"35–44",IF(AE1293&lt;=54,"45–54",IF(AE1293&lt;=64,"55–64","65+"))))</x:f>
        <x:v>45–54</x:v>
      </x:c>
      <x:c r="AK1293" s="17" t="str">
        <x:f>IF(AG1293&gt;=1000,"High Value",IF(AG1293&gt;=300,"Mid Value","Low Value"))</x:f>
        <x:v>Low Value</x:v>
      </x:c>
      <x:c r="AL1293" s="17" t="str">
        <x:f>IF(AND(AI1293&gt;=1,I1293&lt;=50),"Priority 1",IF(AND(AG1293&gt;=1000,I1293&lt;=60),"Priority 2",IF(I1293&lt;=30,"Priority 3","Nurture")))</x:f>
        <x:v>Priority 3</x:v>
      </x:c>
    </x:row>
    <x:row r="1294">
      <x:c r="A1294" s="16" t="n">
        <x:v>3551</x:v>
      </x:c>
      <x:c r="B1294" s="16" t="n">
        <x:v>1954</x:v>
      </x:c>
      <x:c r="C1294" s="16" t="str">
        <x:v>Master</x:v>
      </x:c>
      <x:c r="D1294" s="16" t="str">
        <x:v>Together</x:v>
      </x:c>
      <x:c r="E1294" s="16" t="n">
        <x:v>60033</x:v>
      </x:c>
      <x:c r="F1294" s="16" t="n">
        <x:v>0</x:v>
      </x:c>
      <x:c r="G1294" s="16" t="n">
        <x:v>1</x:v>
      </x:c>
      <x:c r="H1294" s="16" t="str">
        <x:v>29-03-2014</x:v>
      </x:c>
      <x:c r="I1294" s="16" t="n">
        <x:v>28</x:v>
      </x:c>
      <x:c r="J1294" s="16" t="n">
        <x:v>62</x:v>
      </x:c>
      <x:c r="K1294" s="16" t="n">
        <x:v>1</x:v>
      </x:c>
      <x:c r="L1294" s="16" t="n">
        <x:v>57</x:v>
      </x:c>
      <x:c r="M1294" s="16" t="n">
        <x:v>19</x:v>
      </x:c>
      <x:c r="N1294" s="16" t="n">
        <x:v>11</x:v>
      </x:c>
      <x:c r="O1294" s="16" t="n">
        <x:v>48</x:v>
      </x:c>
      <x:c r="P1294" s="16" t="n">
        <x:v>2</x:v>
      </x:c>
      <x:c r="Q1294" s="16" t="n">
        <x:v>2</x:v>
      </x:c>
      <x:c r="R1294" s="16" t="n">
        <x:v>1</x:v>
      </x:c>
      <x:c r="S1294" s="16" t="n">
        <x:v>5</x:v>
      </x:c>
      <x:c r="T1294" s="16" t="n">
        <x:v>2</x:v>
      </x:c>
      <x:c r="U1294" s="16" t="n">
        <x:v>0</x:v>
      </x:c>
      <x:c r="V1294" s="16" t="n">
        <x:v>0</x:v>
      </x:c>
      <x:c r="W1294" s="16" t="n">
        <x:v>0</x:v>
      </x:c>
      <x:c r="X1294" s="16" t="n">
        <x:v>0</x:v>
      </x:c>
      <x:c r="Y1294" s="16" t="n">
        <x:v>0</x:v>
      </x:c>
      <x:c r="Z1294" s="16" t="n">
        <x:v>0</x:v>
      </x:c>
      <x:c r="AA1294" s="16" t="n">
        <x:v>3</x:v>
      </x:c>
      <x:c r="AB1294" s="16" t="n">
        <x:v>11</x:v>
      </x:c>
      <x:c r="AC1294" s="16" t="n">
        <x:v>0</x:v>
      </x:c>
      <x:c r="AD1294" s="21" t="n">
        <x:f>IF(E1294="",MEDIAN($E$2:$E$2237),E1294)</x:f>
        <x:v>60033</x:v>
      </x:c>
      <x:c r="AE1294" s="17" t="n">
        <x:f>2014-B1294</x:f>
        <x:v>60</x:v>
      </x:c>
      <x:c r="AF1294" s="17" t="n">
        <x:f>F1294+G1294</x:f>
        <x:v>1</x:v>
      </x:c>
      <x:c r="AG1294" s="21" t="n">
        <x:f>SUM(J1294:O1294)</x:f>
        <x:v>198</x:v>
      </x:c>
      <x:c r="AH1294" s="17" t="n">
        <x:f>SUM(Q1294:S1294)</x:f>
        <x:v>8</x:v>
      </x:c>
      <x:c r="AI1294" s="17" t="n">
        <x:f>SUM(U1294:Y1294)</x:f>
        <x:v>0</x:v>
      </x:c>
      <x:c r="AJ1294" s="17" t="str">
        <x:f>IF(AE1294&lt;=34,"≤34",IF(AE1294&lt;=44,"35–44",IF(AE1294&lt;=54,"45–54",IF(AE1294&lt;=64,"55–64","65+"))))</x:f>
        <x:v>55–64</x:v>
      </x:c>
      <x:c r="AK1294" s="17" t="str">
        <x:f>IF(AG1294&gt;=1000,"High Value",IF(AG1294&gt;=300,"Mid Value","Low Value"))</x:f>
        <x:v>Low Value</x:v>
      </x:c>
      <x:c r="AL1294" s="17" t="str">
        <x:f>IF(AND(AI1294&gt;=1,I1294&lt;=50),"Priority 1",IF(AND(AG1294&gt;=1000,I1294&lt;=60),"Priority 2",IF(I1294&lt;=30,"Priority 3","Nurture")))</x:f>
        <x:v>Priority 3</x:v>
      </x:c>
    </x:row>
    <x:row r="1295">
      <x:c r="A1295" s="16" t="n">
        <x:v>1663</x:v>
      </x:c>
      <x:c r="B1295" s="16" t="n">
        <x:v>1978</x:v>
      </x:c>
      <x:c r="C1295" s="16" t="str">
        <x:v>PhD</x:v>
      </x:c>
      <x:c r="D1295" s="16" t="str">
        <x:v>Together</x:v>
      </x:c>
      <x:c r="E1295" s="16" t="n">
        <x:v>34043</x:v>
      </x:c>
      <x:c r="F1295" s="16" t="n">
        <x:v>1</x:v>
      </x:c>
      <x:c r="G1295" s="16" t="n">
        <x:v>0</x:v>
      </x:c>
      <x:c r="H1295" s="16" t="str">
        <x:v>25-10-2013</x:v>
      </x:c>
      <x:c r="I1295" s="16" t="n">
        <x:v>97</x:v>
      </x:c>
      <x:c r="J1295" s="16" t="n">
        <x:v>20</x:v>
      </x:c>
      <x:c r="K1295" s="16" t="n">
        <x:v>2</x:v>
      </x:c>
      <x:c r="L1295" s="16" t="n">
        <x:v>14</x:v>
      </x:c>
      <x:c r="M1295" s="16" t="n">
        <x:v>3</x:v>
      </x:c>
      <x:c r="N1295" s="16" t="n">
        <x:v>0</x:v>
      </x:c>
      <x:c r="O1295" s="16" t="n">
        <x:v>10</x:v>
      </x:c>
      <x:c r="P1295" s="16" t="n">
        <x:v>1</x:v>
      </x:c>
      <x:c r="Q1295" s="16" t="n">
        <x:v>2</x:v>
      </x:c>
      <x:c r="R1295" s="16" t="n">
        <x:v>0</x:v>
      </x:c>
      <x:c r="S1295" s="16" t="n">
        <x:v>2</x:v>
      </x:c>
      <x:c r="T1295" s="16" t="n">
        <x:v>9</x:v>
      </x:c>
      <x:c r="U1295" s="16" t="n">
        <x:v>0</x:v>
      </x:c>
      <x:c r="V1295" s="16" t="n">
        <x:v>0</x:v>
      </x:c>
      <x:c r="W1295" s="16" t="n">
        <x:v>0</x:v>
      </x:c>
      <x:c r="X1295" s="16" t="n">
        <x:v>0</x:v>
      </x:c>
      <x:c r="Y1295" s="16" t="n">
        <x:v>0</x:v>
      </x:c>
      <x:c r="Z1295" s="16" t="n">
        <x:v>0</x:v>
      </x:c>
      <x:c r="AA1295" s="16" t="n">
        <x:v>3</x:v>
      </x:c>
      <x:c r="AB1295" s="16" t="n">
        <x:v>11</x:v>
      </x:c>
      <x:c r="AC1295" s="16" t="n">
        <x:v>0</x:v>
      </x:c>
      <x:c r="AD1295" s="21" t="n">
        <x:f>IF(E1295="",MEDIAN($E$2:$E$2237),E1295)</x:f>
        <x:v>34043</x:v>
      </x:c>
      <x:c r="AE1295" s="17" t="n">
        <x:f>2014-B1295</x:f>
        <x:v>36</x:v>
      </x:c>
      <x:c r="AF1295" s="17" t="n">
        <x:f>F1295+G1295</x:f>
        <x:v>1</x:v>
      </x:c>
      <x:c r="AG1295" s="21" t="n">
        <x:f>SUM(J1295:O1295)</x:f>
        <x:v>49</x:v>
      </x:c>
      <x:c r="AH1295" s="17" t="n">
        <x:f>SUM(Q1295:S1295)</x:f>
        <x:v>4</x:v>
      </x:c>
      <x:c r="AI1295" s="17" t="n">
        <x:f>SUM(U1295:Y1295)</x:f>
        <x:v>0</x:v>
      </x:c>
      <x:c r="AJ1295" s="17" t="str">
        <x:f>IF(AE1295&lt;=34,"≤34",IF(AE1295&lt;=44,"35–44",IF(AE1295&lt;=54,"45–54",IF(AE1295&lt;=64,"55–64","65+"))))</x:f>
        <x:v>35–44</x:v>
      </x:c>
      <x:c r="AK1295" s="17" t="str">
        <x:f>IF(AG1295&gt;=1000,"High Value",IF(AG1295&gt;=300,"Mid Value","Low Value"))</x:f>
        <x:v>Low Value</x:v>
      </x:c>
      <x:c r="AL1295" s="17" t="str">
        <x:f>IF(AND(AI1295&gt;=1,I1295&lt;=50),"Priority 1",IF(AND(AG1295&gt;=1000,I1295&lt;=60),"Priority 2",IF(I1295&lt;=30,"Priority 3","Nurture")))</x:f>
        <x:v>Nurture</x:v>
      </x:c>
    </x:row>
    <x:row r="1296">
      <x:c r="A1296" s="16" t="n">
        <x:v>5543</x:v>
      </x:c>
      <x:c r="B1296" s="16" t="n">
        <x:v>1966</x:v>
      </x:c>
      <x:c r="C1296" s="16" t="str">
        <x:v>Graduation</x:v>
      </x:c>
      <x:c r="D1296" s="16" t="str">
        <x:v>Together</x:v>
      </x:c>
      <x:c r="E1296" s="16" t="n">
        <x:v>57811</x:v>
      </x:c>
      <x:c r="F1296" s="16" t="n">
        <x:v>0</x:v>
      </x:c>
      <x:c r="G1296" s="16" t="n">
        <x:v>1</x:v>
      </x:c>
      <x:c r="H1296" s="16" t="str">
        <x:v>24-06-2013</x:v>
      </x:c>
      <x:c r="I1296" s="16" t="n">
        <x:v>49</x:v>
      </x:c>
      <x:c r="J1296" s="16" t="n">
        <x:v>545</x:v>
      </x:c>
      <x:c r="K1296" s="16" t="n">
        <x:v>7</x:v>
      </x:c>
      <x:c r="L1296" s="16" t="n">
        <x:v>114</x:v>
      </x:c>
      <x:c r="M1296" s="16" t="n">
        <x:v>37</x:v>
      </x:c>
      <x:c r="N1296" s="16" t="n">
        <x:v>21</x:v>
      </x:c>
      <x:c r="O1296" s="16" t="n">
        <x:v>78</x:v>
      </x:c>
      <x:c r="P1296" s="16" t="n">
        <x:v>5</x:v>
      </x:c>
      <x:c r="Q1296" s="16" t="n">
        <x:v>7</x:v>
      </x:c>
      <x:c r="R1296" s="16" t="n">
        <x:v>2</x:v>
      </x:c>
      <x:c r="S1296" s="16" t="n">
        <x:v>11</x:v>
      </x:c>
      <x:c r="T1296" s="16" t="n">
        <x:v>5</x:v>
      </x:c>
      <x:c r="U1296" s="16" t="n">
        <x:v>0</x:v>
      </x:c>
      <x:c r="V1296" s="16" t="n">
        <x:v>1</x:v>
      </x:c>
      <x:c r="W1296" s="16" t="n">
        <x:v>0</x:v>
      </x:c>
      <x:c r="X1296" s="16" t="n">
        <x:v>0</x:v>
      </x:c>
      <x:c r="Y1296" s="16" t="n">
        <x:v>0</x:v>
      </x:c>
      <x:c r="Z1296" s="16" t="n">
        <x:v>0</x:v>
      </x:c>
      <x:c r="AA1296" s="16" t="n">
        <x:v>3</x:v>
      </x:c>
      <x:c r="AB1296" s="16" t="n">
        <x:v>11</x:v>
      </x:c>
      <x:c r="AC1296" s="16" t="n">
        <x:v>0</x:v>
      </x:c>
      <x:c r="AD1296" s="21" t="n">
        <x:f>IF(E1296="",MEDIAN($E$2:$E$2237),E1296)</x:f>
        <x:v>57811</x:v>
      </x:c>
      <x:c r="AE1296" s="17" t="n">
        <x:f>2014-B1296</x:f>
        <x:v>48</x:v>
      </x:c>
      <x:c r="AF1296" s="17" t="n">
        <x:f>F1296+G1296</x:f>
        <x:v>1</x:v>
      </x:c>
      <x:c r="AG1296" s="21" t="n">
        <x:f>SUM(J1296:O1296)</x:f>
        <x:v>802</x:v>
      </x:c>
      <x:c r="AH1296" s="17" t="n">
        <x:f>SUM(Q1296:S1296)</x:f>
        <x:v>20</x:v>
      </x:c>
      <x:c r="AI1296" s="17" t="n">
        <x:f>SUM(U1296:Y1296)</x:f>
        <x:v>1</x:v>
      </x:c>
      <x:c r="AJ1296" s="17" t="str">
        <x:f>IF(AE1296&lt;=34,"≤34",IF(AE1296&lt;=44,"35–44",IF(AE1296&lt;=54,"45–54",IF(AE1296&lt;=64,"55–64","65+"))))</x:f>
        <x:v>45–54</x:v>
      </x:c>
      <x:c r="AK1296" s="17" t="str">
        <x:f>IF(AG1296&gt;=1000,"High Value",IF(AG1296&gt;=300,"Mid Value","Low Value"))</x:f>
        <x:v>Mid Value</x:v>
      </x:c>
      <x:c r="AL1296" s="17" t="str">
        <x:f>IF(AND(AI1296&gt;=1,I1296&lt;=50),"Priority 1",IF(AND(AG1296&gt;=1000,I1296&lt;=60),"Priority 2",IF(I1296&lt;=30,"Priority 3","Nurture")))</x:f>
        <x:v>Priority 1</x:v>
      </x:c>
    </x:row>
    <x:row r="1297">
      <x:c r="A1297" s="16" t="n">
        <x:v>1577</x:v>
      </x:c>
      <x:c r="B1297" s="16" t="n">
        <x:v>1946</x:v>
      </x:c>
      <x:c r="C1297" s="16" t="str">
        <x:v>Graduation</x:v>
      </x:c>
      <x:c r="D1297" s="16" t="str">
        <x:v>Married</x:v>
      </x:c>
      <x:c r="E1297" s="16" t="n">
        <x:v>78569</x:v>
      </x:c>
      <x:c r="F1297" s="16" t="n">
        <x:v>0</x:v>
      </x:c>
      <x:c r="G1297" s="16" t="n">
        <x:v>0</x:v>
      </x:c>
      <x:c r="H1297" s="16" t="str">
        <x:v>19-02-2014</x:v>
      </x:c>
      <x:c r="I1297" s="16" t="n">
        <x:v>14</x:v>
      </x:c>
      <x:c r="J1297" s="16" t="n">
        <x:v>558</x:v>
      </x:c>
      <x:c r="K1297" s="16" t="n">
        <x:v>79</x:v>
      </x:c>
      <x:c r="L1297" s="16" t="n">
        <x:v>622</x:v>
      </x:c>
      <x:c r="M1297" s="16" t="n">
        <x:v>207</x:v>
      </x:c>
      <x:c r="N1297" s="16" t="n">
        <x:v>175</x:v>
      </x:c>
      <x:c r="O1297" s="16" t="n">
        <x:v>95</x:v>
      </x:c>
      <x:c r="P1297" s="16" t="n">
        <x:v>1</x:v>
      </x:c>
      <x:c r="Q1297" s="16" t="n">
        <x:v>4</x:v>
      </x:c>
      <x:c r="R1297" s="16" t="n">
        <x:v>6</x:v>
      </x:c>
      <x:c r="S1297" s="16" t="n">
        <x:v>4</x:v>
      </x:c>
      <x:c r="T1297" s="16" t="n">
        <x:v>1</x:v>
      </x:c>
      <x:c r="U1297" s="16" t="n">
        <x:v>0</x:v>
      </x:c>
      <x:c r="V1297" s="16" t="n">
        <x:v>0</x:v>
      </x:c>
      <x:c r="W1297" s="16" t="n">
        <x:v>1</x:v>
      </x:c>
      <x:c r="X1297" s="16" t="n">
        <x:v>0</x:v>
      </x:c>
      <x:c r="Y1297" s="16" t="n">
        <x:v>0</x:v>
      </x:c>
      <x:c r="Z1297" s="16" t="n">
        <x:v>0</x:v>
      </x:c>
      <x:c r="AA1297" s="16" t="n">
        <x:v>3</x:v>
      </x:c>
      <x:c r="AB1297" s="16" t="n">
        <x:v>11</x:v>
      </x:c>
      <x:c r="AC1297" s="16" t="n">
        <x:v>1</x:v>
      </x:c>
      <x:c r="AD1297" s="21" t="n">
        <x:f>IF(E1297="",MEDIAN($E$2:$E$2237),E1297)</x:f>
        <x:v>78569</x:v>
      </x:c>
      <x:c r="AE1297" s="17" t="n">
        <x:f>2014-B1297</x:f>
        <x:v>68</x:v>
      </x:c>
      <x:c r="AF1297" s="17" t="n">
        <x:f>F1297+G1297</x:f>
        <x:v>0</x:v>
      </x:c>
      <x:c r="AG1297" s="21" t="n">
        <x:f>SUM(J1297:O1297)</x:f>
        <x:v>1736</x:v>
      </x:c>
      <x:c r="AH1297" s="17" t="n">
        <x:f>SUM(Q1297:S1297)</x:f>
        <x:v>14</x:v>
      </x:c>
      <x:c r="AI1297" s="17" t="n">
        <x:f>SUM(U1297:Y1297)</x:f>
        <x:v>1</x:v>
      </x:c>
      <x:c r="AJ1297" s="17" t="str">
        <x:f>IF(AE1297&lt;=34,"≤34",IF(AE1297&lt;=44,"35–44",IF(AE1297&lt;=54,"45–54",IF(AE1297&lt;=64,"55–64","65+"))))</x:f>
        <x:v>65+</x:v>
      </x:c>
      <x:c r="AK1297" s="17" t="str">
        <x:f>IF(AG1297&gt;=1000,"High Value",IF(AG1297&gt;=300,"Mid Value","Low Value"))</x:f>
        <x:v>High Value</x:v>
      </x:c>
      <x:c r="AL1297" s="17" t="str">
        <x:f>IF(AND(AI1297&gt;=1,I1297&lt;=50),"Priority 1",IF(AND(AG1297&gt;=1000,I1297&lt;=60),"Priority 2",IF(I1297&lt;=30,"Priority 3","Nurture")))</x:f>
        <x:v>Priority 1</x:v>
      </x:c>
    </x:row>
    <x:row r="1298">
      <x:c r="A1298" s="16" t="n">
        <x:v>10641</x:v>
      </x:c>
      <x:c r="B1298" s="16" t="n">
        <x:v>1978</x:v>
      </x:c>
      <x:c r="C1298" s="16" t="str">
        <x:v>Graduation</x:v>
      </x:c>
      <x:c r="D1298" s="16" t="str">
        <x:v>Single</x:v>
      </x:c>
      <x:c r="E1298" s="16" t="n">
        <x:v>7500</x:v>
      </x:c>
      <x:c r="F1298" s="16" t="n">
        <x:v>1</x:v>
      </x:c>
      <x:c r="G1298" s="16" t="n">
        <x:v>1</x:v>
      </x:c>
      <x:c r="H1298" s="16" t="str">
        <x:v>27-12-2012</x:v>
      </x:c>
      <x:c r="I1298" s="16" t="n">
        <x:v>5</x:v>
      </x:c>
      <x:c r="J1298" s="16" t="n">
        <x:v>6</x:v>
      </x:c>
      <x:c r="K1298" s="16" t="n">
        <x:v>5</x:v>
      </x:c>
      <x:c r="L1298" s="16" t="n">
        <x:v>4</x:v>
      </x:c>
      <x:c r="M1298" s="16" t="n">
        <x:v>13</x:v>
      </x:c>
      <x:c r="N1298" s="16" t="n">
        <x:v>4</x:v>
      </x:c>
      <x:c r="O1298" s="16" t="n">
        <x:v>25</x:v>
      </x:c>
      <x:c r="P1298" s="16" t="n">
        <x:v>4</x:v>
      </x:c>
      <x:c r="Q1298" s="16" t="n">
        <x:v>2</x:v>
      </x:c>
      <x:c r="R1298" s="16" t="n">
        <x:v>1</x:v>
      </x:c>
      <x:c r="S1298" s="16" t="n">
        <x:v>3</x:v>
      </x:c>
      <x:c r="T1298" s="16" t="n">
        <x:v>6</x:v>
      </x:c>
      <x:c r="U1298" s="16" t="n">
        <x:v>0</x:v>
      </x:c>
      <x:c r="V1298" s="16" t="n">
        <x:v>0</x:v>
      </x:c>
      <x:c r="W1298" s="16" t="n">
        <x:v>0</x:v>
      </x:c>
      <x:c r="X1298" s="16" t="n">
        <x:v>0</x:v>
      </x:c>
      <x:c r="Y1298" s="16" t="n">
        <x:v>0</x:v>
      </x:c>
      <x:c r="Z1298" s="16" t="n">
        <x:v>0</x:v>
      </x:c>
      <x:c r="AA1298" s="16" t="n">
        <x:v>3</x:v>
      </x:c>
      <x:c r="AB1298" s="16" t="n">
        <x:v>11</x:v>
      </x:c>
      <x:c r="AC1298" s="16" t="n">
        <x:v>0</x:v>
      </x:c>
      <x:c r="AD1298" s="21" t="n">
        <x:f>IF(E1298="",MEDIAN($E$2:$E$2237),E1298)</x:f>
        <x:v>7500</x:v>
      </x:c>
      <x:c r="AE1298" s="17" t="n">
        <x:f>2014-B1298</x:f>
        <x:v>36</x:v>
      </x:c>
      <x:c r="AF1298" s="17" t="n">
        <x:f>F1298+G1298</x:f>
        <x:v>2</x:v>
      </x:c>
      <x:c r="AG1298" s="21" t="n">
        <x:f>SUM(J1298:O1298)</x:f>
        <x:v>57</x:v>
      </x:c>
      <x:c r="AH1298" s="17" t="n">
        <x:f>SUM(Q1298:S1298)</x:f>
        <x:v>6</x:v>
      </x:c>
      <x:c r="AI1298" s="17" t="n">
        <x:f>SUM(U1298:Y1298)</x:f>
        <x:v>0</x:v>
      </x:c>
      <x:c r="AJ1298" s="17" t="str">
        <x:f>IF(AE1298&lt;=34,"≤34",IF(AE1298&lt;=44,"35–44",IF(AE1298&lt;=54,"45–54",IF(AE1298&lt;=64,"55–64","65+"))))</x:f>
        <x:v>35–44</x:v>
      </x:c>
      <x:c r="AK1298" s="17" t="str">
        <x:f>IF(AG1298&gt;=1000,"High Value",IF(AG1298&gt;=300,"Mid Value","Low Value"))</x:f>
        <x:v>Low Value</x:v>
      </x:c>
      <x:c r="AL1298" s="17" t="str">
        <x:f>IF(AND(AI1298&gt;=1,I1298&lt;=50),"Priority 1",IF(AND(AG1298&gt;=1000,I1298&lt;=60),"Priority 2",IF(I1298&lt;=30,"Priority 3","Nurture")))</x:f>
        <x:v>Priority 3</x:v>
      </x:c>
    </x:row>
    <x:row r="1299">
      <x:c r="A1299" s="16" t="n">
        <x:v>5336</x:v>
      </x:c>
      <x:c r="B1299" s="16" t="n">
        <x:v>1971</x:v>
      </x:c>
      <x:c r="C1299" s="16" t="str">
        <x:v>Master</x:v>
      </x:c>
      <x:c r="D1299" s="16" t="str">
        <x:v>Together</x:v>
      </x:c>
      <x:c r="E1299" s="16" t="n">
        <x:v>157733</x:v>
      </x:c>
      <x:c r="F1299" s="16" t="n">
        <x:v>1</x:v>
      </x:c>
      <x:c r="G1299" s="16" t="n">
        <x:v>0</x:v>
      </x:c>
      <x:c r="H1299" s="16" t="str">
        <x:v>04-06-2013</x:v>
      </x:c>
      <x:c r="I1299" s="16" t="n">
        <x:v>37</x:v>
      </x:c>
      <x:c r="J1299" s="16" t="n">
        <x:v>39</x:v>
      </x:c>
      <x:c r="K1299" s="16" t="n">
        <x:v>1</x:v>
      </x:c>
      <x:c r="L1299" s="16" t="n">
        <x:v>9</x:v>
      </x:c>
      <x:c r="M1299" s="16" t="n">
        <x:v>2</x:v>
      </x:c>
      <x:c r="N1299" s="16" t="n">
        <x:v>0</x:v>
      </x:c>
      <x:c r="O1299" s="16" t="n">
        <x:v>8</x:v>
      </x:c>
      <x:c r="P1299" s="16" t="n">
        <x:v>0</x:v>
      </x:c>
      <x:c r="Q1299" s="16" t="n">
        <x:v>1</x:v>
      </x:c>
      <x:c r="R1299" s="16" t="n">
        <x:v>0</x:v>
      </x:c>
      <x:c r="S1299" s="16" t="n">
        <x:v>1</x:v>
      </x:c>
      <x:c r="T1299" s="16" t="n">
        <x:v>1</x:v>
      </x:c>
      <x:c r="U1299" s="16" t="n">
        <x:v>0</x:v>
      </x:c>
      <x:c r="V1299" s="16" t="n">
        <x:v>0</x:v>
      </x:c>
      <x:c r="W1299" s="16" t="n">
        <x:v>0</x:v>
      </x:c>
      <x:c r="X1299" s="16" t="n">
        <x:v>0</x:v>
      </x:c>
      <x:c r="Y1299" s="16" t="n">
        <x:v>0</x:v>
      </x:c>
      <x:c r="Z1299" s="16" t="n">
        <x:v>0</x:v>
      </x:c>
      <x:c r="AA1299" s="16" t="n">
        <x:v>3</x:v>
      </x:c>
      <x:c r="AB1299" s="16" t="n">
        <x:v>11</x:v>
      </x:c>
      <x:c r="AC1299" s="16" t="n">
        <x:v>0</x:v>
      </x:c>
      <x:c r="AD1299" s="21" t="n">
        <x:f>IF(E1299="",MEDIAN($E$2:$E$2237),E1299)</x:f>
        <x:v>157733</x:v>
      </x:c>
      <x:c r="AE1299" s="17" t="n">
        <x:f>2014-B1299</x:f>
        <x:v>43</x:v>
      </x:c>
      <x:c r="AF1299" s="17" t="n">
        <x:f>F1299+G1299</x:f>
        <x:v>1</x:v>
      </x:c>
      <x:c r="AG1299" s="21" t="n">
        <x:f>SUM(J1299:O1299)</x:f>
        <x:v>59</x:v>
      </x:c>
      <x:c r="AH1299" s="17" t="n">
        <x:f>SUM(Q1299:S1299)</x:f>
        <x:v>2</x:v>
      </x:c>
      <x:c r="AI1299" s="17" t="n">
        <x:f>SUM(U1299:Y1299)</x:f>
        <x:v>0</x:v>
      </x:c>
      <x:c r="AJ1299" s="17" t="str">
        <x:f>IF(AE1299&lt;=34,"≤34",IF(AE1299&lt;=44,"35–44",IF(AE1299&lt;=54,"45–54",IF(AE1299&lt;=64,"55–64","65+"))))</x:f>
        <x:v>35–44</x:v>
      </x:c>
      <x:c r="AK1299" s="17" t="str">
        <x:f>IF(AG1299&gt;=1000,"High Value",IF(AG1299&gt;=300,"Mid Value","Low Value"))</x:f>
        <x:v>Low Value</x:v>
      </x:c>
      <x:c r="AL1299" s="17" t="str">
        <x:f>IF(AND(AI1299&gt;=1,I1299&lt;=50),"Priority 1",IF(AND(AG1299&gt;=1000,I1299&lt;=60),"Priority 2",IF(I1299&lt;=30,"Priority 3","Nurture")))</x:f>
        <x:v>Nurture</x:v>
      </x:c>
    </x:row>
    <x:row r="1300">
      <x:c r="A1300" s="16" t="n">
        <x:v>6024</x:v>
      </x:c>
      <x:c r="B1300" s="16" t="n">
        <x:v>1953</x:v>
      </x:c>
      <x:c r="C1300" s="16" t="str">
        <x:v>Graduation</x:v>
      </x:c>
      <x:c r="D1300" s="16" t="str">
        <x:v>Together</x:v>
      </x:c>
      <x:c r="E1300" s="16" t="n">
        <x:v>94384</x:v>
      </x:c>
      <x:c r="F1300" s="16" t="n">
        <x:v>0</x:v>
      </x:c>
      <x:c r="G1300" s="16" t="n">
        <x:v>0</x:v>
      </x:c>
      <x:c r="H1300" s="16" t="str">
        <x:v>04-03-2013</x:v>
      </x:c>
      <x:c r="I1300" s="16" t="n">
        <x:v>62</x:v>
      </x:c>
      <x:c r="J1300" s="16" t="n">
        <x:v>1111</x:v>
      </x:c>
      <x:c r="K1300" s="16" t="n">
        <x:v>24</x:v>
      </x:c>
      <x:c r="L1300" s="16" t="n">
        <x:v>790</x:v>
      </x:c>
      <x:c r="M1300" s="16" t="n">
        <x:v>160</x:v>
      </x:c>
      <x:c r="N1300" s="16" t="n">
        <x:v>45</x:v>
      </x:c>
      <x:c r="O1300" s="16" t="n">
        <x:v>172</x:v>
      </x:c>
      <x:c r="P1300" s="16" t="n">
        <x:v>0</x:v>
      </x:c>
      <x:c r="Q1300" s="16" t="n">
        <x:v>5</x:v>
      </x:c>
      <x:c r="R1300" s="16" t="n">
        <x:v>8</x:v>
      </x:c>
      <x:c r="S1300" s="16" t="n">
        <x:v>5</x:v>
      </x:c>
      <x:c r="T1300" s="16" t="n">
        <x:v>2</x:v>
      </x:c>
      <x:c r="U1300" s="16" t="n">
        <x:v>0</x:v>
      </x:c>
      <x:c r="V1300" s="16" t="n">
        <x:v>1</x:v>
      </x:c>
      <x:c r="W1300" s="16" t="n">
        <x:v>1</x:v>
      </x:c>
      <x:c r="X1300" s="16" t="n">
        <x:v>1</x:v>
      </x:c>
      <x:c r="Y1300" s="16" t="n">
        <x:v>0</x:v>
      </x:c>
      <x:c r="Z1300" s="16" t="n">
        <x:v>0</x:v>
      </x:c>
      <x:c r="AA1300" s="16" t="n">
        <x:v>3</x:v>
      </x:c>
      <x:c r="AB1300" s="16" t="n">
        <x:v>11</x:v>
      </x:c>
      <x:c r="AC1300" s="16" t="n">
        <x:v>1</x:v>
      </x:c>
      <x:c r="AD1300" s="21" t="n">
        <x:f>IF(E1300="",MEDIAN($E$2:$E$2237),E1300)</x:f>
        <x:v>94384</x:v>
      </x:c>
      <x:c r="AE1300" s="17" t="n">
        <x:f>2014-B1300</x:f>
        <x:v>61</x:v>
      </x:c>
      <x:c r="AF1300" s="17" t="n">
        <x:f>F1300+G1300</x:f>
        <x:v>0</x:v>
      </x:c>
      <x:c r="AG1300" s="21" t="n">
        <x:f>SUM(J1300:O1300)</x:f>
        <x:v>2302</x:v>
      </x:c>
      <x:c r="AH1300" s="17" t="n">
        <x:f>SUM(Q1300:S1300)</x:f>
        <x:v>18</x:v>
      </x:c>
      <x:c r="AI1300" s="17" t="n">
        <x:f>SUM(U1300:Y1300)</x:f>
        <x:v>3</x:v>
      </x:c>
      <x:c r="AJ1300" s="17" t="str">
        <x:f>IF(AE1300&lt;=34,"≤34",IF(AE1300&lt;=44,"35–44",IF(AE1300&lt;=54,"45–54",IF(AE1300&lt;=64,"55–64","65+"))))</x:f>
        <x:v>55–64</x:v>
      </x:c>
      <x:c r="AK1300" s="17" t="str">
        <x:f>IF(AG1300&gt;=1000,"High Value",IF(AG1300&gt;=300,"Mid Value","Low Value"))</x:f>
        <x:v>High Value</x:v>
      </x:c>
      <x:c r="AL1300" s="17" t="str">
        <x:f>IF(AND(AI1300&gt;=1,I1300&lt;=50),"Priority 1",IF(AND(AG1300&gt;=1000,I1300&lt;=60),"Priority 2",IF(I1300&lt;=30,"Priority 3","Nurture")))</x:f>
        <x:v>Nurture</x:v>
      </x:c>
    </x:row>
    <x:row r="1301">
      <x:c r="A1301" s="16" t="n">
        <x:v>1878</x:v>
      </x:c>
      <x:c r="B1301" s="16" t="n">
        <x:v>1985</x:v>
      </x:c>
      <x:c r="C1301" s="16" t="str">
        <x:v>2n Cycle</x:v>
      </x:c>
      <x:c r="D1301" s="16" t="str">
        <x:v>Married</x:v>
      </x:c>
      <x:c r="E1301" s="16" t="n">
        <x:v>23148</x:v>
      </x:c>
      <x:c r="F1301" s="16" t="n">
        <x:v>0</x:v>
      </x:c>
      <x:c r="G1301" s="16" t="n">
        <x:v>0</x:v>
      </x:c>
      <x:c r="H1301" s="16" t="str">
        <x:v>18-02-2014</x:v>
      </x:c>
      <x:c r="I1301" s="16" t="n">
        <x:v>83</x:v>
      </x:c>
      <x:c r="J1301" s="16" t="n">
        <x:v>4</x:v>
      </x:c>
      <x:c r="K1301" s="16" t="n">
        <x:v>6</x:v>
      </x:c>
      <x:c r="L1301" s="16" t="n">
        <x:v>8</x:v>
      </x:c>
      <x:c r="M1301" s="16" t="n">
        <x:v>6</x:v>
      </x:c>
      <x:c r="N1301" s="16" t="n">
        <x:v>3</x:v>
      </x:c>
      <x:c r="O1301" s="16" t="n">
        <x:v>10</x:v>
      </x:c>
      <x:c r="P1301" s="16" t="n">
        <x:v>1</x:v>
      </x:c>
      <x:c r="Q1301" s="16" t="n">
        <x:v>2</x:v>
      </x:c>
      <x:c r="R1301" s="16" t="n">
        <x:v>0</x:v>
      </x:c>
      <x:c r="S1301" s="16" t="n">
        <x:v>3</x:v>
      </x:c>
      <x:c r="T1301" s="16" t="n">
        <x:v>7</x:v>
      </x:c>
      <x:c r="U1301" s="16" t="n">
        <x:v>0</x:v>
      </x:c>
      <x:c r="V1301" s="16" t="n">
        <x:v>0</x:v>
      </x:c>
      <x:c r="W1301" s="16" t="n">
        <x:v>0</x:v>
      </x:c>
      <x:c r="X1301" s="16" t="n">
        <x:v>0</x:v>
      </x:c>
      <x:c r="Y1301" s="16" t="n">
        <x:v>0</x:v>
      </x:c>
      <x:c r="Z1301" s="16" t="n">
        <x:v>0</x:v>
      </x:c>
      <x:c r="AA1301" s="16" t="n">
        <x:v>3</x:v>
      </x:c>
      <x:c r="AB1301" s="16" t="n">
        <x:v>11</x:v>
      </x:c>
      <x:c r="AC1301" s="16" t="n">
        <x:v>0</x:v>
      </x:c>
      <x:c r="AD1301" s="21" t="n">
        <x:f>IF(E1301="",MEDIAN($E$2:$E$2237),E1301)</x:f>
        <x:v>23148</x:v>
      </x:c>
      <x:c r="AE1301" s="17" t="n">
        <x:f>2014-B1301</x:f>
        <x:v>29</x:v>
      </x:c>
      <x:c r="AF1301" s="17" t="n">
        <x:f>F1301+G1301</x:f>
        <x:v>0</x:v>
      </x:c>
      <x:c r="AG1301" s="21" t="n">
        <x:f>SUM(J1301:O1301)</x:f>
        <x:v>37</x:v>
      </x:c>
      <x:c r="AH1301" s="17" t="n">
        <x:f>SUM(Q1301:S1301)</x:f>
        <x:v>5</x:v>
      </x:c>
      <x:c r="AI1301" s="17" t="n">
        <x:f>SUM(U1301:Y1301)</x:f>
        <x:v>0</x:v>
      </x:c>
      <x:c r="AJ1301" s="17" t="str">
        <x:f>IF(AE1301&lt;=34,"≤34",IF(AE1301&lt;=44,"35–44",IF(AE1301&lt;=54,"45–54",IF(AE1301&lt;=64,"55–64","65+"))))</x:f>
        <x:v>≤34</x:v>
      </x:c>
      <x:c r="AK1301" s="17" t="str">
        <x:f>IF(AG1301&gt;=1000,"High Value",IF(AG1301&gt;=300,"Mid Value","Low Value"))</x:f>
        <x:v>Low Value</x:v>
      </x:c>
      <x:c r="AL1301" s="17" t="str">
        <x:f>IF(AND(AI1301&gt;=1,I1301&lt;=50),"Priority 1",IF(AND(AG1301&gt;=1000,I1301&lt;=60),"Priority 2",IF(I1301&lt;=30,"Priority 3","Nurture")))</x:f>
        <x:v>Nurture</x:v>
      </x:c>
    </x:row>
    <x:row r="1302">
      <x:c r="A1302" s="16" t="n">
        <x:v>3099</x:v>
      </x:c>
      <x:c r="B1302" s="16" t="n">
        <x:v>1970</x:v>
      </x:c>
      <x:c r="C1302" s="16" t="str">
        <x:v>Graduation</x:v>
      </x:c>
      <x:c r="D1302" s="16" t="str">
        <x:v>Divorced</x:v>
      </x:c>
      <x:c r="E1302" s="16" t="n">
        <x:v>44267</x:v>
      </x:c>
      <x:c r="F1302" s="16" t="n">
        <x:v>1</x:v>
      </x:c>
      <x:c r="G1302" s="16" t="n">
        <x:v>1</x:v>
      </x:c>
      <x:c r="H1302" s="16" t="str">
        <x:v>25-02-2013</x:v>
      </x:c>
      <x:c r="I1302" s="16" t="n">
        <x:v>48</x:v>
      </x:c>
      <x:c r="J1302" s="16" t="n">
        <x:v>183</x:v>
      </x:c>
      <x:c r="K1302" s="16" t="n">
        <x:v>5</x:v>
      </x:c>
      <x:c r="L1302" s="16" t="n">
        <x:v>65</x:v>
      </x:c>
      <x:c r="M1302" s="16" t="n">
        <x:v>3</x:v>
      </x:c>
      <x:c r="N1302" s="16" t="n">
        <x:v>5</x:v>
      </x:c>
      <x:c r="O1302" s="16" t="n">
        <x:v>49</x:v>
      </x:c>
      <x:c r="P1302" s="16" t="n">
        <x:v>5</x:v>
      </x:c>
      <x:c r="Q1302" s="16" t="n">
        <x:v>5</x:v>
      </x:c>
      <x:c r="R1302" s="16" t="n">
        <x:v>2</x:v>
      </x:c>
      <x:c r="S1302" s="16" t="n">
        <x:v>4</x:v>
      </x:c>
      <x:c r="T1302" s="16" t="n">
        <x:v>9</x:v>
      </x:c>
      <x:c r="U1302" s="16" t="n">
        <x:v>0</x:v>
      </x:c>
      <x:c r="V1302" s="16" t="n">
        <x:v>0</x:v>
      </x:c>
      <x:c r="W1302" s="16" t="n">
        <x:v>0</x:v>
      </x:c>
      <x:c r="X1302" s="16" t="n">
        <x:v>0</x:v>
      </x:c>
      <x:c r="Y1302" s="16" t="n">
        <x:v>0</x:v>
      </x:c>
      <x:c r="Z1302" s="16" t="n">
        <x:v>0</x:v>
      </x:c>
      <x:c r="AA1302" s="16" t="n">
        <x:v>3</x:v>
      </x:c>
      <x:c r="AB1302" s="16" t="n">
        <x:v>11</x:v>
      </x:c>
      <x:c r="AC1302" s="16" t="n">
        <x:v>0</x:v>
      </x:c>
      <x:c r="AD1302" s="21" t="n">
        <x:f>IF(E1302="",MEDIAN($E$2:$E$2237),E1302)</x:f>
        <x:v>44267</x:v>
      </x:c>
      <x:c r="AE1302" s="17" t="n">
        <x:f>2014-B1302</x:f>
        <x:v>44</x:v>
      </x:c>
      <x:c r="AF1302" s="17" t="n">
        <x:f>F1302+G1302</x:f>
        <x:v>2</x:v>
      </x:c>
      <x:c r="AG1302" s="21" t="n">
        <x:f>SUM(J1302:O1302)</x:f>
        <x:v>310</x:v>
      </x:c>
      <x:c r="AH1302" s="17" t="n">
        <x:f>SUM(Q1302:S1302)</x:f>
        <x:v>11</x:v>
      </x:c>
      <x:c r="AI1302" s="17" t="n">
        <x:f>SUM(U1302:Y1302)</x:f>
        <x:v>0</x:v>
      </x:c>
      <x:c r="AJ1302" s="17" t="str">
        <x:f>IF(AE1302&lt;=34,"≤34",IF(AE1302&lt;=44,"35–44",IF(AE1302&lt;=54,"45–54",IF(AE1302&lt;=64,"55–64","65+"))))</x:f>
        <x:v>35–44</x:v>
      </x:c>
      <x:c r="AK1302" s="17" t="str">
        <x:f>IF(AG1302&gt;=1000,"High Value",IF(AG1302&gt;=300,"Mid Value","Low Value"))</x:f>
        <x:v>Mid Value</x:v>
      </x:c>
      <x:c r="AL1302" s="17" t="str">
        <x:f>IF(AND(AI1302&gt;=1,I1302&lt;=50),"Priority 1",IF(AND(AG1302&gt;=1000,I1302&lt;=60),"Priority 2",IF(I1302&lt;=30,"Priority 3","Nurture")))</x:f>
        <x:v>Nurture</x:v>
      </x:c>
    </x:row>
    <x:row r="1303">
      <x:c r="A1303" s="16" t="n">
        <x:v>6055</x:v>
      </x:c>
      <x:c r="B1303" s="16" t="n">
        <x:v>1979</x:v>
      </x:c>
      <x:c r="C1303" s="16" t="str">
        <x:v>Graduation</x:v>
      </x:c>
      <x:c r="D1303" s="16" t="str">
        <x:v>Married</x:v>
      </x:c>
      <x:c r="E1303" s="16" t="n">
        <x:v>71626</x:v>
      </x:c>
      <x:c r="F1303" s="16" t="n">
        <x:v>0</x:v>
      </x:c>
      <x:c r="G1303" s="16" t="n">
        <x:v>0</x:v>
      </x:c>
      <x:c r="H1303" s="16" t="str">
        <x:v>01-11-2012</x:v>
      </x:c>
      <x:c r="I1303" s="16" t="n">
        <x:v>94</x:v>
      </x:c>
      <x:c r="J1303" s="16" t="n">
        <x:v>546</x:v>
      </x:c>
      <x:c r="K1303" s="16" t="n">
        <x:v>72</x:v>
      </x:c>
      <x:c r="L1303" s="16" t="n">
        <x:v>376</x:v>
      </x:c>
      <x:c r="M1303" s="16" t="n">
        <x:v>94</x:v>
      </x:c>
      <x:c r="N1303" s="16" t="n">
        <x:v>145</x:v>
      </x:c>
      <x:c r="O1303" s="16" t="n">
        <x:v>72</x:v>
      </x:c>
      <x:c r="P1303" s="16" t="n">
        <x:v>1</x:v>
      </x:c>
      <x:c r="Q1303" s="16" t="n">
        <x:v>5</x:v>
      </x:c>
      <x:c r="R1303" s="16" t="n">
        <x:v>5</x:v>
      </x:c>
      <x:c r="S1303" s="16" t="n">
        <x:v>8</x:v>
      </x:c>
      <x:c r="T1303" s="16" t="n">
        <x:v>3</x:v>
      </x:c>
      <x:c r="U1303" s="16" t="n">
        <x:v>0</x:v>
      </x:c>
      <x:c r="V1303" s="16" t="n">
        <x:v>1</x:v>
      </x:c>
      <x:c r="W1303" s="16" t="n">
        <x:v>0</x:v>
      </x:c>
      <x:c r="X1303" s="16" t="n">
        <x:v>0</x:v>
      </x:c>
      <x:c r="Y1303" s="16" t="n">
        <x:v>0</x:v>
      </x:c>
      <x:c r="Z1303" s="16" t="n">
        <x:v>0</x:v>
      </x:c>
      <x:c r="AA1303" s="16" t="n">
        <x:v>3</x:v>
      </x:c>
      <x:c r="AB1303" s="16" t="n">
        <x:v>11</x:v>
      </x:c>
      <x:c r="AC1303" s="16" t="n">
        <x:v>0</x:v>
      </x:c>
      <x:c r="AD1303" s="21" t="n">
        <x:f>IF(E1303="",MEDIAN($E$2:$E$2237),E1303)</x:f>
        <x:v>71626</x:v>
      </x:c>
      <x:c r="AE1303" s="17" t="n">
        <x:f>2014-B1303</x:f>
        <x:v>35</x:v>
      </x:c>
      <x:c r="AF1303" s="17" t="n">
        <x:f>F1303+G1303</x:f>
        <x:v>0</x:v>
      </x:c>
      <x:c r="AG1303" s="21" t="n">
        <x:f>SUM(J1303:O1303)</x:f>
        <x:v>1305</x:v>
      </x:c>
      <x:c r="AH1303" s="17" t="n">
        <x:f>SUM(Q1303:S1303)</x:f>
        <x:v>18</x:v>
      </x:c>
      <x:c r="AI1303" s="17" t="n">
        <x:f>SUM(U1303:Y1303)</x:f>
        <x:v>1</x:v>
      </x:c>
      <x:c r="AJ1303" s="17" t="str">
        <x:f>IF(AE1303&lt;=34,"≤34",IF(AE1303&lt;=44,"35–44",IF(AE1303&lt;=54,"45–54",IF(AE1303&lt;=64,"55–64","65+"))))</x:f>
        <x:v>35–44</x:v>
      </x:c>
      <x:c r="AK1303" s="17" t="str">
        <x:f>IF(AG1303&gt;=1000,"High Value",IF(AG1303&gt;=300,"Mid Value","Low Value"))</x:f>
        <x:v>High Value</x:v>
      </x:c>
      <x:c r="AL1303" s="17" t="str">
        <x:f>IF(AND(AI1303&gt;=1,I1303&lt;=50),"Priority 1",IF(AND(AG1303&gt;=1000,I1303&lt;=60),"Priority 2",IF(I1303&lt;=30,"Priority 3","Nurture")))</x:f>
        <x:v>Nurture</x:v>
      </x:c>
    </x:row>
    <x:row r="1304">
      <x:c r="A1304" s="16" t="n">
        <x:v>5841</x:v>
      </x:c>
      <x:c r="B1304" s="16" t="n">
        <x:v>1966</x:v>
      </x:c>
      <x:c r="C1304" s="16" t="str">
        <x:v>Graduation</x:v>
      </x:c>
      <x:c r="D1304" s="16" t="str">
        <x:v>Together</x:v>
      </x:c>
      <x:c r="E1304" s="16" t="n">
        <x:v>60894</x:v>
      </x:c>
      <x:c r="F1304" s="16" t="n">
        <x:v>0</x:v>
      </x:c>
      <x:c r="G1304" s="16" t="n">
        <x:v>1</x:v>
      </x:c>
      <x:c r="H1304" s="16" t="str">
        <x:v>28-06-2013</x:v>
      </x:c>
      <x:c r="I1304" s="16" t="n">
        <x:v>61</x:v>
      </x:c>
      <x:c r="J1304" s="16" t="n">
        <x:v>606</x:v>
      </x:c>
      <x:c r="K1304" s="16" t="n">
        <x:v>7</x:v>
      </x:c>
      <x:c r="L1304" s="16" t="n">
        <x:v>155</x:v>
      </x:c>
      <x:c r="M1304" s="16" t="n">
        <x:v>10</x:v>
      </x:c>
      <x:c r="N1304" s="16" t="n">
        <x:v>0</x:v>
      </x:c>
      <x:c r="O1304" s="16" t="n">
        <x:v>54</x:v>
      </x:c>
      <x:c r="P1304" s="16" t="n">
        <x:v>5</x:v>
      </x:c>
      <x:c r="Q1304" s="16" t="n">
        <x:v>10</x:v>
      </x:c>
      <x:c r="R1304" s="16" t="n">
        <x:v>3</x:v>
      </x:c>
      <x:c r="S1304" s="16" t="n">
        <x:v>8</x:v>
      </x:c>
      <x:c r="T1304" s="16" t="n">
        <x:v>7</x:v>
      </x:c>
      <x:c r="U1304" s="16" t="n">
        <x:v>0</x:v>
      </x:c>
      <x:c r="V1304" s="16" t="n">
        <x:v>0</x:v>
      </x:c>
      <x:c r="W1304" s="16" t="n">
        <x:v>0</x:v>
      </x:c>
      <x:c r="X1304" s="16" t="n">
        <x:v>0</x:v>
      </x:c>
      <x:c r="Y1304" s="16" t="n">
        <x:v>0</x:v>
      </x:c>
      <x:c r="Z1304" s="16" t="n">
        <x:v>0</x:v>
      </x:c>
      <x:c r="AA1304" s="16" t="n">
        <x:v>3</x:v>
      </x:c>
      <x:c r="AB1304" s="16" t="n">
        <x:v>11</x:v>
      </x:c>
      <x:c r="AC1304" s="16" t="n">
        <x:v>0</x:v>
      </x:c>
      <x:c r="AD1304" s="21" t="n">
        <x:f>IF(E1304="",MEDIAN($E$2:$E$2237),E1304)</x:f>
        <x:v>60894</x:v>
      </x:c>
      <x:c r="AE1304" s="17" t="n">
        <x:f>2014-B1304</x:f>
        <x:v>48</x:v>
      </x:c>
      <x:c r="AF1304" s="17" t="n">
        <x:f>F1304+G1304</x:f>
        <x:v>1</x:v>
      </x:c>
      <x:c r="AG1304" s="21" t="n">
        <x:f>SUM(J1304:O1304)</x:f>
        <x:v>832</x:v>
      </x:c>
      <x:c r="AH1304" s="17" t="n">
        <x:f>SUM(Q1304:S1304)</x:f>
        <x:v>21</x:v>
      </x:c>
      <x:c r="AI1304" s="17" t="n">
        <x:f>SUM(U1304:Y1304)</x:f>
        <x:v>0</x:v>
      </x:c>
      <x:c r="AJ1304" s="17" t="str">
        <x:f>IF(AE1304&lt;=34,"≤34",IF(AE1304&lt;=44,"35–44",IF(AE1304&lt;=54,"45–54",IF(AE1304&lt;=64,"55–64","65+"))))</x:f>
        <x:v>45–54</x:v>
      </x:c>
      <x:c r="AK1304" s="17" t="str">
        <x:f>IF(AG1304&gt;=1000,"High Value",IF(AG1304&gt;=300,"Mid Value","Low Value"))</x:f>
        <x:v>Mid Value</x:v>
      </x:c>
      <x:c r="AL1304" s="17" t="str">
        <x:f>IF(AND(AI1304&gt;=1,I1304&lt;=50),"Priority 1",IF(AND(AG1304&gt;=1000,I1304&lt;=60),"Priority 2",IF(I1304&lt;=30,"Priority 3","Nurture")))</x:f>
        <x:v>Nurture</x:v>
      </x:c>
    </x:row>
    <x:row r="1305">
      <x:c r="A1305" s="16" t="n">
        <x:v>3972</x:v>
      </x:c>
      <x:c r="B1305" s="16" t="n">
        <x:v>1976</x:v>
      </x:c>
      <x:c r="C1305" s="16" t="str">
        <x:v>Graduation</x:v>
      </x:c>
      <x:c r="D1305" s="16" t="str">
        <x:v>Together</x:v>
      </x:c>
      <x:c r="E1305" s="16" t="n">
        <x:v>50200</x:v>
      </x:c>
      <x:c r="F1305" s="16" t="n">
        <x:v>1</x:v>
      </x:c>
      <x:c r="G1305" s="16" t="n">
        <x:v>1</x:v>
      </x:c>
      <x:c r="H1305" s="16" t="str">
        <x:v>03-04-2013</x:v>
      </x:c>
      <x:c r="I1305" s="16" t="n">
        <x:v>70</x:v>
      </x:c>
      <x:c r="J1305" s="16" t="n">
        <x:v>266</x:v>
      </x:c>
      <x:c r="K1305" s="16" t="n">
        <x:v>6</x:v>
      </x:c>
      <x:c r="L1305" s="16" t="n">
        <x:v>51</x:v>
      </x:c>
      <x:c r="M1305" s="16" t="n">
        <x:v>8</x:v>
      </x:c>
      <x:c r="N1305" s="16" t="n">
        <x:v>6</x:v>
      </x:c>
      <x:c r="O1305" s="16" t="n">
        <x:v>64</x:v>
      </x:c>
      <x:c r="P1305" s="16" t="n">
        <x:v>6</x:v>
      </x:c>
      <x:c r="Q1305" s="16" t="n">
        <x:v>7</x:v>
      </x:c>
      <x:c r="R1305" s="16" t="n">
        <x:v>1</x:v>
      </x:c>
      <x:c r="S1305" s="16" t="n">
        <x:v>5</x:v>
      </x:c>
      <x:c r="T1305" s="16" t="n">
        <x:v>8</x:v>
      </x:c>
      <x:c r="U1305" s="16" t="n">
        <x:v>0</x:v>
      </x:c>
      <x:c r="V1305" s="16" t="n">
        <x:v>0</x:v>
      </x:c>
      <x:c r="W1305" s="16" t="n">
        <x:v>0</x:v>
      </x:c>
      <x:c r="X1305" s="16" t="n">
        <x:v>0</x:v>
      </x:c>
      <x:c r="Y1305" s="16" t="n">
        <x:v>0</x:v>
      </x:c>
      <x:c r="Z1305" s="16" t="n">
        <x:v>0</x:v>
      </x:c>
      <x:c r="AA1305" s="16" t="n">
        <x:v>3</x:v>
      </x:c>
      <x:c r="AB1305" s="16" t="n">
        <x:v>11</x:v>
      </x:c>
      <x:c r="AC1305" s="16" t="n">
        <x:v>0</x:v>
      </x:c>
      <x:c r="AD1305" s="21" t="n">
        <x:f>IF(E1305="",MEDIAN($E$2:$E$2237),E1305)</x:f>
        <x:v>50200</x:v>
      </x:c>
      <x:c r="AE1305" s="17" t="n">
        <x:f>2014-B1305</x:f>
        <x:v>38</x:v>
      </x:c>
      <x:c r="AF1305" s="17" t="n">
        <x:f>F1305+G1305</x:f>
        <x:v>2</x:v>
      </x:c>
      <x:c r="AG1305" s="21" t="n">
        <x:f>SUM(J1305:O1305)</x:f>
        <x:v>401</x:v>
      </x:c>
      <x:c r="AH1305" s="17" t="n">
        <x:f>SUM(Q1305:S1305)</x:f>
        <x:v>13</x:v>
      </x:c>
      <x:c r="AI1305" s="17" t="n">
        <x:f>SUM(U1305:Y1305)</x:f>
        <x:v>0</x:v>
      </x:c>
      <x:c r="AJ1305" s="17" t="str">
        <x:f>IF(AE1305&lt;=34,"≤34",IF(AE1305&lt;=44,"35–44",IF(AE1305&lt;=54,"45–54",IF(AE1305&lt;=64,"55–64","65+"))))</x:f>
        <x:v>35–44</x:v>
      </x:c>
      <x:c r="AK1305" s="17" t="str">
        <x:f>IF(AG1305&gt;=1000,"High Value",IF(AG1305&gt;=300,"Mid Value","Low Value"))</x:f>
        <x:v>Mid Value</x:v>
      </x:c>
      <x:c r="AL1305" s="17" t="str">
        <x:f>IF(AND(AI1305&gt;=1,I1305&lt;=50),"Priority 1",IF(AND(AG1305&gt;=1000,I1305&lt;=60),"Priority 2",IF(I1305&lt;=30,"Priority 3","Nurture")))</x:f>
        <x:v>Nurture</x:v>
      </x:c>
    </x:row>
    <x:row r="1306">
      <x:c r="A1306" s="16" t="n">
        <x:v>4394</x:v>
      </x:c>
      <x:c r="B1306" s="16" t="n">
        <x:v>1965</x:v>
      </x:c>
      <x:c r="C1306" s="16" t="str">
        <x:v>PhD</x:v>
      </x:c>
      <x:c r="D1306" s="16" t="str">
        <x:v>Married</x:v>
      </x:c>
      <x:c r="E1306" s="16" t="n">
        <x:v>81051</x:v>
      </x:c>
      <x:c r="F1306" s="16" t="n">
        <x:v>0</x:v>
      </x:c>
      <x:c r="G1306" s="16" t="n">
        <x:v>0</x:v>
      </x:c>
      <x:c r="H1306" s="16" t="str">
        <x:v>23-05-2014</x:v>
      </x:c>
      <x:c r="I1306" s="16" t="n">
        <x:v>43</x:v>
      </x:c>
      <x:c r="J1306" s="16" t="n">
        <x:v>1142</x:v>
      </x:c>
      <x:c r="K1306" s="16" t="n">
        <x:v>29</x:v>
      </x:c>
      <x:c r="L1306" s="16" t="n">
        <x:v>249</x:v>
      </x:c>
      <x:c r="M1306" s="16" t="n">
        <x:v>38</x:v>
      </x:c>
      <x:c r="N1306" s="16" t="n">
        <x:v>29</x:v>
      </x:c>
      <x:c r="O1306" s="16" t="n">
        <x:v>14</x:v>
      </x:c>
      <x:c r="P1306" s="16" t="n">
        <x:v>1</x:v>
      </x:c>
      <x:c r="Q1306" s="16" t="n">
        <x:v>5</x:v>
      </x:c>
      <x:c r="R1306" s="16" t="n">
        <x:v>5</x:v>
      </x:c>
      <x:c r="S1306" s="16" t="n">
        <x:v>12</x:v>
      </x:c>
      <x:c r="T1306" s="16" t="n">
        <x:v>2</x:v>
      </x:c>
      <x:c r="U1306" s="16" t="n">
        <x:v>0</x:v>
      </x:c>
      <x:c r="V1306" s="16" t="n">
        <x:v>1</x:v>
      </x:c>
      <x:c r="W1306" s="16" t="n">
        <x:v>1</x:v>
      </x:c>
      <x:c r="X1306" s="16" t="n">
        <x:v>0</x:v>
      </x:c>
      <x:c r="Y1306" s="16" t="n">
        <x:v>0</x:v>
      </x:c>
      <x:c r="Z1306" s="16" t="n">
        <x:v>0</x:v>
      </x:c>
      <x:c r="AA1306" s="16" t="n">
        <x:v>3</x:v>
      </x:c>
      <x:c r="AB1306" s="16" t="n">
        <x:v>11</x:v>
      </x:c>
      <x:c r="AC1306" s="16" t="n">
        <x:v>0</x:v>
      </x:c>
      <x:c r="AD1306" s="21" t="n">
        <x:f>IF(E1306="",MEDIAN($E$2:$E$2237),E1306)</x:f>
        <x:v>81051</x:v>
      </x:c>
      <x:c r="AE1306" s="17" t="n">
        <x:f>2014-B1306</x:f>
        <x:v>49</x:v>
      </x:c>
      <x:c r="AF1306" s="17" t="n">
        <x:f>F1306+G1306</x:f>
        <x:v>0</x:v>
      </x:c>
      <x:c r="AG1306" s="21" t="n">
        <x:f>SUM(J1306:O1306)</x:f>
        <x:v>1501</x:v>
      </x:c>
      <x:c r="AH1306" s="17" t="n">
        <x:f>SUM(Q1306:S1306)</x:f>
        <x:v>22</x:v>
      </x:c>
      <x:c r="AI1306" s="17" t="n">
        <x:f>SUM(U1306:Y1306)</x:f>
        <x:v>2</x:v>
      </x:c>
      <x:c r="AJ1306" s="17" t="str">
        <x:f>IF(AE1306&lt;=34,"≤34",IF(AE1306&lt;=44,"35–44",IF(AE1306&lt;=54,"45–54",IF(AE1306&lt;=64,"55–64","65+"))))</x:f>
        <x:v>45–54</x:v>
      </x:c>
      <x:c r="AK1306" s="17" t="str">
        <x:f>IF(AG1306&gt;=1000,"High Value",IF(AG1306&gt;=300,"Mid Value","Low Value"))</x:f>
        <x:v>High Value</x:v>
      </x:c>
      <x:c r="AL1306" s="17" t="str">
        <x:f>IF(AND(AI1306&gt;=1,I1306&lt;=50),"Priority 1",IF(AND(AG1306&gt;=1000,I1306&lt;=60),"Priority 2",IF(I1306&lt;=30,"Priority 3","Nurture")))</x:f>
        <x:v>Priority 1</x:v>
      </x:c>
    </x:row>
    <x:row r="1307">
      <x:c r="A1307" s="16" t="n">
        <x:v>5758</x:v>
      </x:c>
      <x:c r="B1307" s="16" t="n">
        <x:v>1982</x:v>
      </x:c>
      <x:c r="C1307" s="16" t="str">
        <x:v>Graduation</x:v>
      </x:c>
      <x:c r="D1307" s="16" t="str">
        <x:v>Married</x:v>
      </x:c>
      <x:c r="E1307" s="16" t="n">
        <x:v>65169</x:v>
      </x:c>
      <x:c r="F1307" s="16" t="n">
        <x:v>0</x:v>
      </x:c>
      <x:c r="G1307" s="16" t="n">
        <x:v>0</x:v>
      </x:c>
      <x:c r="H1307" s="16" t="str">
        <x:v>14-01-2014</x:v>
      </x:c>
      <x:c r="I1307" s="16" t="n">
        <x:v>23</x:v>
      </x:c>
      <x:c r="J1307" s="16" t="n">
        <x:v>1074</x:v>
      </x:c>
      <x:c r="K1307" s="16" t="n">
        <x:v>0</x:v>
      </x:c>
      <x:c r="L1307" s="16" t="n">
        <x:v>69</x:v>
      </x:c>
      <x:c r="M1307" s="16" t="n">
        <x:v>0</x:v>
      </x:c>
      <x:c r="N1307" s="16" t="n">
        <x:v>0</x:v>
      </x:c>
      <x:c r="O1307" s="16" t="n">
        <x:v>46</x:v>
      </x:c>
      <x:c r="P1307" s="16" t="n">
        <x:v>1</x:v>
      </x:c>
      <x:c r="Q1307" s="16" t="n">
        <x:v>10</x:v>
      </x:c>
      <x:c r="R1307" s="16" t="n">
        <x:v>4</x:v>
      </x:c>
      <x:c r="S1307" s="16" t="n">
        <x:v>13</x:v>
      </x:c>
      <x:c r="T1307" s="16" t="n">
        <x:v>6</x:v>
      </x:c>
      <x:c r="U1307" s="16" t="n">
        <x:v>1</x:v>
      </x:c>
      <x:c r="V1307" s="16" t="n">
        <x:v>0</x:v>
      </x:c>
      <x:c r="W1307" s="16" t="n">
        <x:v>1</x:v>
      </x:c>
      <x:c r="X1307" s="16" t="n">
        <x:v>1</x:v>
      </x:c>
      <x:c r="Y1307" s="16" t="n">
        <x:v>1</x:v>
      </x:c>
      <x:c r="Z1307" s="16" t="n">
        <x:v>0</x:v>
      </x:c>
      <x:c r="AA1307" s="16" t="n">
        <x:v>3</x:v>
      </x:c>
      <x:c r="AB1307" s="16" t="n">
        <x:v>11</x:v>
      </x:c>
      <x:c r="AC1307" s="16" t="n">
        <x:v>1</x:v>
      </x:c>
      <x:c r="AD1307" s="21" t="n">
        <x:f>IF(E1307="",MEDIAN($E$2:$E$2237),E1307)</x:f>
        <x:v>65169</x:v>
      </x:c>
      <x:c r="AE1307" s="17" t="n">
        <x:f>2014-B1307</x:f>
        <x:v>32</x:v>
      </x:c>
      <x:c r="AF1307" s="17" t="n">
        <x:f>F1307+G1307</x:f>
        <x:v>0</x:v>
      </x:c>
      <x:c r="AG1307" s="21" t="n">
        <x:f>SUM(J1307:O1307)</x:f>
        <x:v>1189</x:v>
      </x:c>
      <x:c r="AH1307" s="17" t="n">
        <x:f>SUM(Q1307:S1307)</x:f>
        <x:v>27</x:v>
      </x:c>
      <x:c r="AI1307" s="17" t="n">
        <x:f>SUM(U1307:Y1307)</x:f>
        <x:v>4</x:v>
      </x:c>
      <x:c r="AJ1307" s="17" t="str">
        <x:f>IF(AE1307&lt;=34,"≤34",IF(AE1307&lt;=44,"35–44",IF(AE1307&lt;=54,"45–54",IF(AE1307&lt;=64,"55–64","65+"))))</x:f>
        <x:v>≤34</x:v>
      </x:c>
      <x:c r="AK1307" s="17" t="str">
        <x:f>IF(AG1307&gt;=1000,"High Value",IF(AG1307&gt;=300,"Mid Value","Low Value"))</x:f>
        <x:v>High Value</x:v>
      </x:c>
      <x:c r="AL1307" s="17" t="str">
        <x:f>IF(AND(AI1307&gt;=1,I1307&lt;=50),"Priority 1",IF(AND(AG1307&gt;=1000,I1307&lt;=60),"Priority 2",IF(I1307&lt;=30,"Priority 3","Nurture")))</x:f>
        <x:v>Priority 1</x:v>
      </x:c>
    </x:row>
    <x:row r="1308">
      <x:c r="A1308" s="16" t="n">
        <x:v>6658</x:v>
      </x:c>
      <x:c r="B1308" s="16" t="n">
        <x:v>1972</x:v>
      </x:c>
      <x:c r="C1308" s="16" t="str">
        <x:v>Graduation</x:v>
      </x:c>
      <x:c r="D1308" s="16" t="str">
        <x:v>Together</x:v>
      </x:c>
      <x:c r="E1308" s="16" t="n">
        <x:v>59868</x:v>
      </x:c>
      <x:c r="F1308" s="16" t="n">
        <x:v>0</x:v>
      </x:c>
      <x:c r="G1308" s="16" t="n">
        <x:v>1</x:v>
      </x:c>
      <x:c r="H1308" s="16" t="str">
        <x:v>22-07-2013</x:v>
      </x:c>
      <x:c r="I1308" s="16" t="n">
        <x:v>37</x:v>
      </x:c>
      <x:c r="J1308" s="16" t="n">
        <x:v>771</x:v>
      </x:c>
      <x:c r="K1308" s="16" t="n">
        <x:v>51</x:v>
      </x:c>
      <x:c r="L1308" s="16" t="n">
        <x:v>154</x:v>
      </x:c>
      <x:c r="M1308" s="16" t="n">
        <x:v>54</x:v>
      </x:c>
      <x:c r="N1308" s="16" t="n">
        <x:v>10</x:v>
      </x:c>
      <x:c r="O1308" s="16" t="n">
        <x:v>154</x:v>
      </x:c>
      <x:c r="P1308" s="16" t="n">
        <x:v>7</x:v>
      </x:c>
      <x:c r="Q1308" s="16" t="n">
        <x:v>11</x:v>
      </x:c>
      <x:c r="R1308" s="16" t="n">
        <x:v>2</x:v>
      </x:c>
      <x:c r="S1308" s="16" t="n">
        <x:v>12</x:v>
      </x:c>
      <x:c r="T1308" s="16" t="n">
        <x:v>6</x:v>
      </x:c>
      <x:c r="U1308" s="16" t="n">
        <x:v>0</x:v>
      </x:c>
      <x:c r="V1308" s="16" t="n">
        <x:v>0</x:v>
      </x:c>
      <x:c r="W1308" s="16" t="n">
        <x:v>0</x:v>
      </x:c>
      <x:c r="X1308" s="16" t="n">
        <x:v>0</x:v>
      </x:c>
      <x:c r="Y1308" s="16" t="n">
        <x:v>0</x:v>
      </x:c>
      <x:c r="Z1308" s="16" t="n">
        <x:v>0</x:v>
      </x:c>
      <x:c r="AA1308" s="16" t="n">
        <x:v>3</x:v>
      </x:c>
      <x:c r="AB1308" s="16" t="n">
        <x:v>11</x:v>
      </x:c>
      <x:c r="AC1308" s="16" t="n">
        <x:v>0</x:v>
      </x:c>
      <x:c r="AD1308" s="21" t="n">
        <x:f>IF(E1308="",MEDIAN($E$2:$E$2237),E1308)</x:f>
        <x:v>59868</x:v>
      </x:c>
      <x:c r="AE1308" s="17" t="n">
        <x:f>2014-B1308</x:f>
        <x:v>42</x:v>
      </x:c>
      <x:c r="AF1308" s="17" t="n">
        <x:f>F1308+G1308</x:f>
        <x:v>1</x:v>
      </x:c>
      <x:c r="AG1308" s="21" t="n">
        <x:f>SUM(J1308:O1308)</x:f>
        <x:v>1194</x:v>
      </x:c>
      <x:c r="AH1308" s="17" t="n">
        <x:f>SUM(Q1308:S1308)</x:f>
        <x:v>25</x:v>
      </x:c>
      <x:c r="AI1308" s="17" t="n">
        <x:f>SUM(U1308:Y1308)</x:f>
        <x:v>0</x:v>
      </x:c>
      <x:c r="AJ1308" s="17" t="str">
        <x:f>IF(AE1308&lt;=34,"≤34",IF(AE1308&lt;=44,"35–44",IF(AE1308&lt;=54,"45–54",IF(AE1308&lt;=64,"55–64","65+"))))</x:f>
        <x:v>35–44</x:v>
      </x:c>
      <x:c r="AK1308" s="17" t="str">
        <x:f>IF(AG1308&gt;=1000,"High Value",IF(AG1308&gt;=300,"Mid Value","Low Value"))</x:f>
        <x:v>High Value</x:v>
      </x:c>
      <x:c r="AL1308" s="17" t="str">
        <x:f>IF(AND(AI1308&gt;=1,I1308&lt;=50),"Priority 1",IF(AND(AG1308&gt;=1000,I1308&lt;=60),"Priority 2",IF(I1308&lt;=30,"Priority 3","Nurture")))</x:f>
        <x:v>Priority 2</x:v>
      </x:c>
    </x:row>
    <x:row r="1309">
      <x:c r="A1309" s="16" t="n">
        <x:v>4603</x:v>
      </x:c>
      <x:c r="B1309" s="16" t="n">
        <x:v>1960</x:v>
      </x:c>
      <x:c r="C1309" s="16" t="str">
        <x:v>PhD</x:v>
      </x:c>
      <x:c r="D1309" s="16" t="str">
        <x:v>Married</x:v>
      </x:c>
      <x:c r="E1309" s="16" t="n">
        <x:v>65695</x:v>
      </x:c>
      <x:c r="F1309" s="16" t="n">
        <x:v>0</x:v>
      </x:c>
      <x:c r="G1309" s="16" t="n">
        <x:v>1</x:v>
      </x:c>
      <x:c r="H1309" s="16" t="str">
        <x:v>31-01-2014</x:v>
      </x:c>
      <x:c r="I1309" s="16" t="n">
        <x:v>50</x:v>
      </x:c>
      <x:c r="J1309" s="16" t="n">
        <x:v>371</x:v>
      </x:c>
      <x:c r="K1309" s="16" t="n">
        <x:v>32</x:v>
      </x:c>
      <x:c r="L1309" s="16" t="n">
        <x:v>189</x:v>
      </x:c>
      <x:c r="M1309" s="16" t="n">
        <x:v>0</x:v>
      </x:c>
      <x:c r="N1309" s="16" t="n">
        <x:v>58</x:v>
      </x:c>
      <x:c r="O1309" s="16" t="n">
        <x:v>6</x:v>
      </x:c>
      <x:c r="P1309" s="16" t="n">
        <x:v>2</x:v>
      </x:c>
      <x:c r="Q1309" s="16" t="n">
        <x:v>5</x:v>
      </x:c>
      <x:c r="R1309" s="16" t="n">
        <x:v>4</x:v>
      </x:c>
      <x:c r="S1309" s="16" t="n">
        <x:v>10</x:v>
      </x:c>
      <x:c r="T1309" s="16" t="n">
        <x:v>4</x:v>
      </x:c>
      <x:c r="U1309" s="16" t="n">
        <x:v>0</x:v>
      </x:c>
      <x:c r="V1309" s="16" t="n">
        <x:v>0</x:v>
      </x:c>
      <x:c r="W1309" s="16" t="n">
        <x:v>0</x:v>
      </x:c>
      <x:c r="X1309" s="16" t="n">
        <x:v>0</x:v>
      </x:c>
      <x:c r="Y1309" s="16" t="n">
        <x:v>0</x:v>
      </x:c>
      <x:c r="Z1309" s="16" t="n">
        <x:v>0</x:v>
      </x:c>
      <x:c r="AA1309" s="16" t="n">
        <x:v>3</x:v>
      </x:c>
      <x:c r="AB1309" s="16" t="n">
        <x:v>11</x:v>
      </x:c>
      <x:c r="AC1309" s="16" t="n">
        <x:v>0</x:v>
      </x:c>
      <x:c r="AD1309" s="21" t="n">
        <x:f>IF(E1309="",MEDIAN($E$2:$E$2237),E1309)</x:f>
        <x:v>65695</x:v>
      </x:c>
      <x:c r="AE1309" s="17" t="n">
        <x:f>2014-B1309</x:f>
        <x:v>54</x:v>
      </x:c>
      <x:c r="AF1309" s="17" t="n">
        <x:f>F1309+G1309</x:f>
        <x:v>1</x:v>
      </x:c>
      <x:c r="AG1309" s="21" t="n">
        <x:f>SUM(J1309:O1309)</x:f>
        <x:v>656</x:v>
      </x:c>
      <x:c r="AH1309" s="17" t="n">
        <x:f>SUM(Q1309:S1309)</x:f>
        <x:v>19</x:v>
      </x:c>
      <x:c r="AI1309" s="17" t="n">
        <x:f>SUM(U1309:Y1309)</x:f>
        <x:v>0</x:v>
      </x:c>
      <x:c r="AJ1309" s="17" t="str">
        <x:f>IF(AE1309&lt;=34,"≤34",IF(AE1309&lt;=44,"35–44",IF(AE1309&lt;=54,"45–54",IF(AE1309&lt;=64,"55–64","65+"))))</x:f>
        <x:v>45–54</x:v>
      </x:c>
      <x:c r="AK1309" s="17" t="str">
        <x:f>IF(AG1309&gt;=1000,"High Value",IF(AG1309&gt;=300,"Mid Value","Low Value"))</x:f>
        <x:v>Mid Value</x:v>
      </x:c>
      <x:c r="AL1309" s="17" t="str">
        <x:f>IF(AND(AI1309&gt;=1,I1309&lt;=50),"Priority 1",IF(AND(AG1309&gt;=1000,I1309&lt;=60),"Priority 2",IF(I1309&lt;=30,"Priority 3","Nurture")))</x:f>
        <x:v>Nurture</x:v>
      </x:c>
    </x:row>
    <x:row r="1310">
      <x:c r="A1310" s="16" t="n">
        <x:v>8427</x:v>
      </x:c>
      <x:c r="B1310" s="16" t="n">
        <x:v>1956</x:v>
      </x:c>
      <x:c r="C1310" s="16" t="str">
        <x:v>Master</x:v>
      </x:c>
      <x:c r="D1310" s="16" t="str">
        <x:v>Single</x:v>
      </x:c>
      <x:c r="E1310" s="16" t="n">
        <x:v>64857</x:v>
      </x:c>
      <x:c r="F1310" s="16" t="n">
        <x:v>0</x:v>
      </x:c>
      <x:c r="G1310" s="16" t="n">
        <x:v>0</x:v>
      </x:c>
      <x:c r="H1310" s="16" t="str">
        <x:v>23-11-2012</x:v>
      </x:c>
      <x:c r="I1310" s="16" t="n">
        <x:v>78</x:v>
      </x:c>
      <x:c r="J1310" s="16" t="n">
        <x:v>556</x:v>
      </x:c>
      <x:c r="K1310" s="16" t="n">
        <x:v>14</x:v>
      </x:c>
      <x:c r="L1310" s="16" t="n">
        <x:v>717</x:v>
      </x:c>
      <x:c r="M1310" s="16" t="n">
        <x:v>210</x:v>
      </x:c>
      <x:c r="N1310" s="16" t="n">
        <x:v>0</x:v>
      </x:c>
      <x:c r="O1310" s="16" t="n">
        <x:v>43</x:v>
      </x:c>
      <x:c r="P1310" s="16" t="n">
        <x:v>1</x:v>
      </x:c>
      <x:c r="Q1310" s="16" t="n">
        <x:v>7</x:v>
      </x:c>
      <x:c r="R1310" s="16" t="n">
        <x:v>5</x:v>
      </x:c>
      <x:c r="S1310" s="16" t="n">
        <x:v>10</x:v>
      </x:c>
      <x:c r="T1310" s="16" t="n">
        <x:v>4</x:v>
      </x:c>
      <x:c r="U1310" s="16" t="n">
        <x:v>0</x:v>
      </x:c>
      <x:c r="V1310" s="16" t="n">
        <x:v>0</x:v>
      </x:c>
      <x:c r="W1310" s="16" t="n">
        <x:v>0</x:v>
      </x:c>
      <x:c r="X1310" s="16" t="n">
        <x:v>0</x:v>
      </x:c>
      <x:c r="Y1310" s="16" t="n">
        <x:v>0</x:v>
      </x:c>
      <x:c r="Z1310" s="16" t="n">
        <x:v>0</x:v>
      </x:c>
      <x:c r="AA1310" s="16" t="n">
        <x:v>3</x:v>
      </x:c>
      <x:c r="AB1310" s="16" t="n">
        <x:v>11</x:v>
      </x:c>
      <x:c r="AC1310" s="16" t="n">
        <x:v>0</x:v>
      </x:c>
      <x:c r="AD1310" s="21" t="n">
        <x:f>IF(E1310="",MEDIAN($E$2:$E$2237),E1310)</x:f>
        <x:v>64857</x:v>
      </x:c>
      <x:c r="AE1310" s="17" t="n">
        <x:f>2014-B1310</x:f>
        <x:v>58</x:v>
      </x:c>
      <x:c r="AF1310" s="17" t="n">
        <x:f>F1310+G1310</x:f>
        <x:v>0</x:v>
      </x:c>
      <x:c r="AG1310" s="21" t="n">
        <x:f>SUM(J1310:O1310)</x:f>
        <x:v>1540</x:v>
      </x:c>
      <x:c r="AH1310" s="17" t="n">
        <x:f>SUM(Q1310:S1310)</x:f>
        <x:v>22</x:v>
      </x:c>
      <x:c r="AI1310" s="17" t="n">
        <x:f>SUM(U1310:Y1310)</x:f>
        <x:v>0</x:v>
      </x:c>
      <x:c r="AJ1310" s="17" t="str">
        <x:f>IF(AE1310&lt;=34,"≤34",IF(AE1310&lt;=44,"35–44",IF(AE1310&lt;=54,"45–54",IF(AE1310&lt;=64,"55–64","65+"))))</x:f>
        <x:v>55–64</x:v>
      </x:c>
      <x:c r="AK1310" s="17" t="str">
        <x:f>IF(AG1310&gt;=1000,"High Value",IF(AG1310&gt;=300,"Mid Value","Low Value"))</x:f>
        <x:v>High Value</x:v>
      </x:c>
      <x:c r="AL1310" s="17" t="str">
        <x:f>IF(AND(AI1310&gt;=1,I1310&lt;=50),"Priority 1",IF(AND(AG1310&gt;=1000,I1310&lt;=60),"Priority 2",IF(I1310&lt;=30,"Priority 3","Nurture")))</x:f>
        <x:v>Nurture</x:v>
      </x:c>
    </x:row>
    <x:row r="1311">
      <x:c r="A1311" s="16" t="n">
        <x:v>10260</x:v>
      </x:c>
      <x:c r="B1311" s="16" t="n">
        <x:v>1965</x:v>
      </x:c>
      <x:c r="C1311" s="16" t="str">
        <x:v>Master</x:v>
      </x:c>
      <x:c r="D1311" s="16" t="str">
        <x:v>Together</x:v>
      </x:c>
      <x:c r="E1311" s="16" t="n">
        <x:v>45143</x:v>
      </x:c>
      <x:c r="F1311" s="16" t="n">
        <x:v>0</x:v>
      </x:c>
      <x:c r="G1311" s="16" t="n">
        <x:v>1</x:v>
      </x:c>
      <x:c r="H1311" s="16" t="str">
        <x:v>26-08-2013</x:v>
      </x:c>
      <x:c r="I1311" s="16" t="n">
        <x:v>74</x:v>
      </x:c>
      <x:c r="J1311" s="16" t="n">
        <x:v>202</x:v>
      </x:c>
      <x:c r="K1311" s="16" t="n">
        <x:v>5</x:v>
      </x:c>
      <x:c r="L1311" s="16" t="n">
        <x:v>74</x:v>
      </x:c>
      <x:c r="M1311" s="16" t="n">
        <x:v>11</x:v>
      </x:c>
      <x:c r="N1311" s="16" t="n">
        <x:v>5</x:v>
      </x:c>
      <x:c r="O1311" s="16" t="n">
        <x:v>14</x:v>
      </x:c>
      <x:c r="P1311" s="16" t="n">
        <x:v>3</x:v>
      </x:c>
      <x:c r="Q1311" s="16" t="n">
        <x:v>6</x:v>
      </x:c>
      <x:c r="R1311" s="16" t="n">
        <x:v>1</x:v>
      </x:c>
      <x:c r="S1311" s="16" t="n">
        <x:v>5</x:v>
      </x:c>
      <x:c r="T1311" s="16" t="n">
        <x:v>7</x:v>
      </x:c>
      <x:c r="U1311" s="16" t="n">
        <x:v>0</x:v>
      </x:c>
      <x:c r="V1311" s="16" t="n">
        <x:v>0</x:v>
      </x:c>
      <x:c r="W1311" s="16" t="n">
        <x:v>0</x:v>
      </x:c>
      <x:c r="X1311" s="16" t="n">
        <x:v>0</x:v>
      </x:c>
      <x:c r="Y1311" s="16" t="n">
        <x:v>0</x:v>
      </x:c>
      <x:c r="Z1311" s="16" t="n">
        <x:v>0</x:v>
      </x:c>
      <x:c r="AA1311" s="16" t="n">
        <x:v>3</x:v>
      </x:c>
      <x:c r="AB1311" s="16" t="n">
        <x:v>11</x:v>
      </x:c>
      <x:c r="AC1311" s="16" t="n">
        <x:v>0</x:v>
      </x:c>
      <x:c r="AD1311" s="21" t="n">
        <x:f>IF(E1311="",MEDIAN($E$2:$E$2237),E1311)</x:f>
        <x:v>45143</x:v>
      </x:c>
      <x:c r="AE1311" s="17" t="n">
        <x:f>2014-B1311</x:f>
        <x:v>49</x:v>
      </x:c>
      <x:c r="AF1311" s="17" t="n">
        <x:f>F1311+G1311</x:f>
        <x:v>1</x:v>
      </x:c>
      <x:c r="AG1311" s="21" t="n">
        <x:f>SUM(J1311:O1311)</x:f>
        <x:v>311</x:v>
      </x:c>
      <x:c r="AH1311" s="17" t="n">
        <x:f>SUM(Q1311:S1311)</x:f>
        <x:v>12</x:v>
      </x:c>
      <x:c r="AI1311" s="17" t="n">
        <x:f>SUM(U1311:Y1311)</x:f>
        <x:v>0</x:v>
      </x:c>
      <x:c r="AJ1311" s="17" t="str">
        <x:f>IF(AE1311&lt;=34,"≤34",IF(AE1311&lt;=44,"35–44",IF(AE1311&lt;=54,"45–54",IF(AE1311&lt;=64,"55–64","65+"))))</x:f>
        <x:v>45–54</x:v>
      </x:c>
      <x:c r="AK1311" s="17" t="str">
        <x:f>IF(AG1311&gt;=1000,"High Value",IF(AG1311&gt;=300,"Mid Value","Low Value"))</x:f>
        <x:v>Mid Value</x:v>
      </x:c>
      <x:c r="AL1311" s="17" t="str">
        <x:f>IF(AND(AI1311&gt;=1,I1311&lt;=50),"Priority 1",IF(AND(AG1311&gt;=1000,I1311&lt;=60),"Priority 2",IF(I1311&lt;=30,"Priority 3","Nurture")))</x:f>
        <x:v>Nurture</x:v>
      </x:c>
    </x:row>
    <x:row r="1312">
      <x:c r="A1312" s="16" t="n">
        <x:v>7143</x:v>
      </x:c>
      <x:c r="B1312" s="16" t="n">
        <x:v>1955</x:v>
      </x:c>
      <x:c r="C1312" s="16" t="str">
        <x:v>2n Cycle</x:v>
      </x:c>
      <x:c r="D1312" s="16" t="str">
        <x:v>Together</x:v>
      </x:c>
      <x:c r="E1312" s="16" t="n">
        <x:v>74805</x:v>
      </x:c>
      <x:c r="F1312" s="16" t="n">
        <x:v>0</x:v>
      </x:c>
      <x:c r="G1312" s="16" t="n">
        <x:v>1</x:v>
      </x:c>
      <x:c r="H1312" s="16" t="str">
        <x:v>06-11-2013</x:v>
      </x:c>
      <x:c r="I1312" s="16" t="n">
        <x:v>14</x:v>
      </x:c>
      <x:c r="J1312" s="16" t="n">
        <x:v>209</x:v>
      </x:c>
      <x:c r="K1312" s="16" t="n">
        <x:v>162</x:v>
      </x:c>
      <x:c r="L1312" s="16" t="n">
        <x:v>209</x:v>
      </x:c>
      <x:c r="M1312" s="16" t="n">
        <x:v>41</x:v>
      </x:c>
      <x:c r="N1312" s="16" t="n">
        <x:v>162</x:v>
      </x:c>
      <x:c r="O1312" s="16" t="n">
        <x:v>37</x:v>
      </x:c>
      <x:c r="P1312" s="16" t="n">
        <x:v>5</x:v>
      </x:c>
      <x:c r="Q1312" s="16" t="n">
        <x:v>4</x:v>
      </x:c>
      <x:c r="R1312" s="16" t="n">
        <x:v>7</x:v>
      </x:c>
      <x:c r="S1312" s="16" t="n">
        <x:v>10</x:v>
      </x:c>
      <x:c r="T1312" s="16" t="n">
        <x:v>2</x:v>
      </x:c>
      <x:c r="U1312" s="16" t="n">
        <x:v>0</x:v>
      </x:c>
      <x:c r="V1312" s="16" t="n">
        <x:v>0</x:v>
      </x:c>
      <x:c r="W1312" s="16" t="n">
        <x:v>0</x:v>
      </x:c>
      <x:c r="X1312" s="16" t="n">
        <x:v>0</x:v>
      </x:c>
      <x:c r="Y1312" s="16" t="n">
        <x:v>0</x:v>
      </x:c>
      <x:c r="Z1312" s="16" t="n">
        <x:v>0</x:v>
      </x:c>
      <x:c r="AA1312" s="16" t="n">
        <x:v>3</x:v>
      </x:c>
      <x:c r="AB1312" s="16" t="n">
        <x:v>11</x:v>
      </x:c>
      <x:c r="AC1312" s="16" t="n">
        <x:v>0</x:v>
      </x:c>
      <x:c r="AD1312" s="21" t="n">
        <x:f>IF(E1312="",MEDIAN($E$2:$E$2237),E1312)</x:f>
        <x:v>74805</x:v>
      </x:c>
      <x:c r="AE1312" s="17" t="n">
        <x:f>2014-B1312</x:f>
        <x:v>59</x:v>
      </x:c>
      <x:c r="AF1312" s="17" t="n">
        <x:f>F1312+G1312</x:f>
        <x:v>1</x:v>
      </x:c>
      <x:c r="AG1312" s="21" t="n">
        <x:f>SUM(J1312:O1312)</x:f>
        <x:v>820</x:v>
      </x:c>
      <x:c r="AH1312" s="17" t="n">
        <x:f>SUM(Q1312:S1312)</x:f>
        <x:v>21</x:v>
      </x:c>
      <x:c r="AI1312" s="17" t="n">
        <x:f>SUM(U1312:Y1312)</x:f>
        <x:v>0</x:v>
      </x:c>
      <x:c r="AJ1312" s="17" t="str">
        <x:f>IF(AE1312&lt;=34,"≤34",IF(AE1312&lt;=44,"35–44",IF(AE1312&lt;=54,"45–54",IF(AE1312&lt;=64,"55–64","65+"))))</x:f>
        <x:v>55–64</x:v>
      </x:c>
      <x:c r="AK1312" s="17" t="str">
        <x:f>IF(AG1312&gt;=1000,"High Value",IF(AG1312&gt;=300,"Mid Value","Low Value"))</x:f>
        <x:v>Mid Value</x:v>
      </x:c>
      <x:c r="AL1312" s="17" t="str">
        <x:f>IF(AND(AI1312&gt;=1,I1312&lt;=50),"Priority 1",IF(AND(AG1312&gt;=1000,I1312&lt;=60),"Priority 2",IF(I1312&lt;=30,"Priority 3","Nurture")))</x:f>
        <x:v>Priority 3</x:v>
      </x:c>
    </x:row>
    <x:row r="1313">
      <x:c r="A1313" s="16" t="n">
        <x:v>8789</x:v>
      </x:c>
      <x:c r="B1313" s="16" t="n">
        <x:v>1989</x:v>
      </x:c>
      <x:c r="C1313" s="16" t="str">
        <x:v>2n Cycle</x:v>
      </x:c>
      <x:c r="D1313" s="16" t="str">
        <x:v>Married</x:v>
      </x:c>
      <x:c r="E1313" s="16" t="n">
        <x:v>59060</x:v>
      </x:c>
      <x:c r="F1313" s="16" t="n">
        <x:v>1</x:v>
      </x:c>
      <x:c r="G1313" s="16" t="n">
        <x:v>0</x:v>
      </x:c>
      <x:c r="H1313" s="16" t="str">
        <x:v>11-01-2014</x:v>
      </x:c>
      <x:c r="I1313" s="16" t="n">
        <x:v>77</x:v>
      </x:c>
      <x:c r="J1313" s="16" t="n">
        <x:v>35</x:v>
      </x:c>
      <x:c r="K1313" s="16" t="n">
        <x:v>40</x:v>
      </x:c>
      <x:c r="L1313" s="16" t="n">
        <x:v>111</x:v>
      </x:c>
      <x:c r="M1313" s="16" t="n">
        <x:v>36</x:v>
      </x:c>
      <x:c r="N1313" s="16" t="n">
        <x:v>40</x:v>
      </x:c>
      <x:c r="O1313" s="16" t="n">
        <x:v>12</x:v>
      </x:c>
      <x:c r="P1313" s="16" t="n">
        <x:v>3</x:v>
      </x:c>
      <x:c r="Q1313" s="16" t="n">
        <x:v>3</x:v>
      </x:c>
      <x:c r="R1313" s="16" t="n">
        <x:v>1</x:v>
      </x:c>
      <x:c r="S1313" s="16" t="n">
        <x:v>7</x:v>
      </x:c>
      <x:c r="T1313" s="16" t="n">
        <x:v>4</x:v>
      </x:c>
      <x:c r="U1313" s="16" t="n">
        <x:v>0</x:v>
      </x:c>
      <x:c r="V1313" s="16" t="n">
        <x:v>0</x:v>
      </x:c>
      <x:c r="W1313" s="16" t="n">
        <x:v>0</x:v>
      </x:c>
      <x:c r="X1313" s="16" t="n">
        <x:v>0</x:v>
      </x:c>
      <x:c r="Y1313" s="16" t="n">
        <x:v>0</x:v>
      </x:c>
      <x:c r="Z1313" s="16" t="n">
        <x:v>0</x:v>
      </x:c>
      <x:c r="AA1313" s="16" t="n">
        <x:v>3</x:v>
      </x:c>
      <x:c r="AB1313" s="16" t="n">
        <x:v>11</x:v>
      </x:c>
      <x:c r="AC1313" s="16" t="n">
        <x:v>0</x:v>
      </x:c>
      <x:c r="AD1313" s="21" t="n">
        <x:f>IF(E1313="",MEDIAN($E$2:$E$2237),E1313)</x:f>
        <x:v>59060</x:v>
      </x:c>
      <x:c r="AE1313" s="17" t="n">
        <x:f>2014-B1313</x:f>
        <x:v>25</x:v>
      </x:c>
      <x:c r="AF1313" s="17" t="n">
        <x:f>F1313+G1313</x:f>
        <x:v>1</x:v>
      </x:c>
      <x:c r="AG1313" s="21" t="n">
        <x:f>SUM(J1313:O1313)</x:f>
        <x:v>274</x:v>
      </x:c>
      <x:c r="AH1313" s="17" t="n">
        <x:f>SUM(Q1313:S1313)</x:f>
        <x:v>11</x:v>
      </x:c>
      <x:c r="AI1313" s="17" t="n">
        <x:f>SUM(U1313:Y1313)</x:f>
        <x:v>0</x:v>
      </x:c>
      <x:c r="AJ1313" s="17" t="str">
        <x:f>IF(AE1313&lt;=34,"≤34",IF(AE1313&lt;=44,"35–44",IF(AE1313&lt;=54,"45–54",IF(AE1313&lt;=64,"55–64","65+"))))</x:f>
        <x:v>≤34</x:v>
      </x:c>
      <x:c r="AK1313" s="17" t="str">
        <x:f>IF(AG1313&gt;=1000,"High Value",IF(AG1313&gt;=300,"Mid Value","Low Value"))</x:f>
        <x:v>Low Value</x:v>
      </x:c>
      <x:c r="AL1313" s="17" t="str">
        <x:f>IF(AND(AI1313&gt;=1,I1313&lt;=50),"Priority 1",IF(AND(AG1313&gt;=1000,I1313&lt;=60),"Priority 2",IF(I1313&lt;=30,"Priority 3","Nurture")))</x:f>
        <x:v>Nurture</x:v>
      </x:c>
    </x:row>
    <x:row r="1314">
      <x:c r="A1314" s="16" t="n">
        <x:v>6197</x:v>
      </x:c>
      <x:c r="B1314" s="16" t="n">
        <x:v>1962</x:v>
      </x:c>
      <x:c r="C1314" s="16" t="str">
        <x:v>PhD</x:v>
      </x:c>
      <x:c r="D1314" s="16" t="str">
        <x:v>Single</x:v>
      </x:c>
      <x:c r="E1314" s="16" t="n">
        <x:v>27238</x:v>
      </x:c>
      <x:c r="F1314" s="16" t="n">
        <x:v>1</x:v>
      </x:c>
      <x:c r="G1314" s="16" t="n">
        <x:v>1</x:v>
      </x:c>
      <x:c r="H1314" s="16" t="str">
        <x:v>20-04-2013</x:v>
      </x:c>
      <x:c r="I1314" s="16" t="n">
        <x:v>39</x:v>
      </x:c>
      <x:c r="J1314" s="16" t="n">
        <x:v>37</x:v>
      </x:c>
      <x:c r="K1314" s="16" t="n">
        <x:v>0</x:v>
      </x:c>
      <x:c r="L1314" s="16" t="n">
        <x:v>17</x:v>
      </x:c>
      <x:c r="M1314" s="16" t="n">
        <x:v>0</x:v>
      </x:c>
      <x:c r="N1314" s="16" t="n">
        <x:v>0</x:v>
      </x:c>
      <x:c r="O1314" s="16" t="n">
        <x:v>3</x:v>
      </x:c>
      <x:c r="P1314" s="16" t="n">
        <x:v>3</x:v>
      </x:c>
      <x:c r="Q1314" s="16" t="n">
        <x:v>3</x:v>
      </x:c>
      <x:c r="R1314" s="16" t="n">
        <x:v>0</x:v>
      </x:c>
      <x:c r="S1314" s="16" t="n">
        <x:v>3</x:v>
      </x:c>
      <x:c r="T1314" s="16" t="n">
        <x:v>9</x:v>
      </x:c>
      <x:c r="U1314" s="16" t="n">
        <x:v>0</x:v>
      </x:c>
      <x:c r="V1314" s="16" t="n">
        <x:v>0</x:v>
      </x:c>
      <x:c r="W1314" s="16" t="n">
        <x:v>0</x:v>
      </x:c>
      <x:c r="X1314" s="16" t="n">
        <x:v>0</x:v>
      </x:c>
      <x:c r="Y1314" s="16" t="n">
        <x:v>0</x:v>
      </x:c>
      <x:c r="Z1314" s="16" t="n">
        <x:v>0</x:v>
      </x:c>
      <x:c r="AA1314" s="16" t="n">
        <x:v>3</x:v>
      </x:c>
      <x:c r="AB1314" s="16" t="n">
        <x:v>11</x:v>
      </x:c>
      <x:c r="AC1314" s="16" t="n">
        <x:v>0</x:v>
      </x:c>
      <x:c r="AD1314" s="21" t="n">
        <x:f>IF(E1314="",MEDIAN($E$2:$E$2237),E1314)</x:f>
        <x:v>27238</x:v>
      </x:c>
      <x:c r="AE1314" s="17" t="n">
        <x:f>2014-B1314</x:f>
        <x:v>52</x:v>
      </x:c>
      <x:c r="AF1314" s="17" t="n">
        <x:f>F1314+G1314</x:f>
        <x:v>2</x:v>
      </x:c>
      <x:c r="AG1314" s="21" t="n">
        <x:f>SUM(J1314:O1314)</x:f>
        <x:v>57</x:v>
      </x:c>
      <x:c r="AH1314" s="17" t="n">
        <x:f>SUM(Q1314:S1314)</x:f>
        <x:v>6</x:v>
      </x:c>
      <x:c r="AI1314" s="17" t="n">
        <x:f>SUM(U1314:Y1314)</x:f>
        <x:v>0</x:v>
      </x:c>
      <x:c r="AJ1314" s="17" t="str">
        <x:f>IF(AE1314&lt;=34,"≤34",IF(AE1314&lt;=44,"35–44",IF(AE1314&lt;=54,"45–54",IF(AE1314&lt;=64,"55–64","65+"))))</x:f>
        <x:v>45–54</x:v>
      </x:c>
      <x:c r="AK1314" s="17" t="str">
        <x:f>IF(AG1314&gt;=1000,"High Value",IF(AG1314&gt;=300,"Mid Value","Low Value"))</x:f>
        <x:v>Low Value</x:v>
      </x:c>
      <x:c r="AL1314" s="17" t="str">
        <x:f>IF(AND(AI1314&gt;=1,I1314&lt;=50),"Priority 1",IF(AND(AG1314&gt;=1000,I1314&lt;=60),"Priority 2",IF(I1314&lt;=30,"Priority 3","Nurture")))</x:f>
        <x:v>Nurture</x:v>
      </x:c>
    </x:row>
    <x:row r="1315">
      <x:c r="A1315" s="16" t="n">
        <x:v>4554</x:v>
      </x:c>
      <x:c r="B1315" s="16" t="n">
        <x:v>1965</x:v>
      </x:c>
      <x:c r="C1315" s="16" t="str">
        <x:v>Graduation</x:v>
      </x:c>
      <x:c r="D1315" s="16" t="str">
        <x:v>Together</x:v>
      </x:c>
      <x:c r="E1315" s="16" t="n">
        <x:v>47009</x:v>
      </x:c>
      <x:c r="F1315" s="16" t="n">
        <x:v>0</x:v>
      </x:c>
      <x:c r="G1315" s="16" t="n">
        <x:v>1</x:v>
      </x:c>
      <x:c r="H1315" s="16" t="str">
        <x:v>01-10-2013</x:v>
      </x:c>
      <x:c r="I1315" s="16" t="n">
        <x:v>89</x:v>
      </x:c>
      <x:c r="J1315" s="16" t="n">
        <x:v>171</x:v>
      </x:c>
      <x:c r="K1315" s="16" t="n">
        <x:v>45</x:v>
      </x:c>
      <x:c r="L1315" s="16" t="n">
        <x:v>73</x:v>
      </x:c>
      <x:c r="M1315" s="16" t="n">
        <x:v>59</x:v>
      </x:c>
      <x:c r="N1315" s="16" t="n">
        <x:v>10</x:v>
      </x:c>
      <x:c r="O1315" s="16" t="n">
        <x:v>90</x:v>
      </x:c>
      <x:c r="P1315" s="16" t="n">
        <x:v>4</x:v>
      </x:c>
      <x:c r="Q1315" s="16" t="n">
        <x:v>3</x:v>
      </x:c>
      <x:c r="R1315" s="16" t="n">
        <x:v>2</x:v>
      </x:c>
      <x:c r="S1315" s="16" t="n">
        <x:v>8</x:v>
      </x:c>
      <x:c r="T1315" s="16" t="n">
        <x:v>4</x:v>
      </x:c>
      <x:c r="U1315" s="16" t="n">
        <x:v>0</x:v>
      </x:c>
      <x:c r="V1315" s="16" t="n">
        <x:v>0</x:v>
      </x:c>
      <x:c r="W1315" s="16" t="n">
        <x:v>0</x:v>
      </x:c>
      <x:c r="X1315" s="16" t="n">
        <x:v>0</x:v>
      </x:c>
      <x:c r="Y1315" s="16" t="n">
        <x:v>0</x:v>
      </x:c>
      <x:c r="Z1315" s="16" t="n">
        <x:v>0</x:v>
      </x:c>
      <x:c r="AA1315" s="16" t="n">
        <x:v>3</x:v>
      </x:c>
      <x:c r="AB1315" s="16" t="n">
        <x:v>11</x:v>
      </x:c>
      <x:c r="AC1315" s="16" t="n">
        <x:v>0</x:v>
      </x:c>
      <x:c r="AD1315" s="21" t="n">
        <x:f>IF(E1315="",MEDIAN($E$2:$E$2237),E1315)</x:f>
        <x:v>47009</x:v>
      </x:c>
      <x:c r="AE1315" s="17" t="n">
        <x:f>2014-B1315</x:f>
        <x:v>49</x:v>
      </x:c>
      <x:c r="AF1315" s="17" t="n">
        <x:f>F1315+G1315</x:f>
        <x:v>1</x:v>
      </x:c>
      <x:c r="AG1315" s="21" t="n">
        <x:f>SUM(J1315:O1315)</x:f>
        <x:v>448</x:v>
      </x:c>
      <x:c r="AH1315" s="17" t="n">
        <x:f>SUM(Q1315:S1315)</x:f>
        <x:v>13</x:v>
      </x:c>
      <x:c r="AI1315" s="17" t="n">
        <x:f>SUM(U1315:Y1315)</x:f>
        <x:v>0</x:v>
      </x:c>
      <x:c r="AJ1315" s="17" t="str">
        <x:f>IF(AE1315&lt;=34,"≤34",IF(AE1315&lt;=44,"35–44",IF(AE1315&lt;=54,"45–54",IF(AE1315&lt;=64,"55–64","65+"))))</x:f>
        <x:v>45–54</x:v>
      </x:c>
      <x:c r="AK1315" s="17" t="str">
        <x:f>IF(AG1315&gt;=1000,"High Value",IF(AG1315&gt;=300,"Mid Value","Low Value"))</x:f>
        <x:v>Mid Value</x:v>
      </x:c>
      <x:c r="AL1315" s="17" t="str">
        <x:f>IF(AND(AI1315&gt;=1,I1315&lt;=50),"Priority 1",IF(AND(AG1315&gt;=1000,I1315&lt;=60),"Priority 2",IF(I1315&lt;=30,"Priority 3","Nurture")))</x:f>
        <x:v>Nurture</x:v>
      </x:c>
    </x:row>
    <x:row r="1316">
      <x:c r="A1316" s="16" t="n">
        <x:v>4937</x:v>
      </x:c>
      <x:c r="B1316" s="16" t="n">
        <x:v>1973</x:v>
      </x:c>
      <x:c r="C1316" s="16" t="str">
        <x:v>2n Cycle</x:v>
      </x:c>
      <x:c r="D1316" s="16" t="str">
        <x:v>Married</x:v>
      </x:c>
      <x:c r="E1316" s="16" t="n">
        <x:v>46094</x:v>
      </x:c>
      <x:c r="F1316" s="16" t="n">
        <x:v>1</x:v>
      </x:c>
      <x:c r="G1316" s="16" t="n">
        <x:v>1</x:v>
      </x:c>
      <x:c r="H1316" s="16" t="str">
        <x:v>10-06-2014</x:v>
      </x:c>
      <x:c r="I1316" s="16" t="n">
        <x:v>62</x:v>
      </x:c>
      <x:c r="J1316" s="16" t="n">
        <x:v>12</x:v>
      </x:c>
      <x:c r="K1316" s="16" t="n">
        <x:v>2</x:v>
      </x:c>
      <x:c r="L1316" s="16" t="n">
        <x:v>20</x:v>
      </x:c>
      <x:c r="M1316" s="16" t="n">
        <x:v>3</x:v>
      </x:c>
      <x:c r="N1316" s="16" t="n">
        <x:v>2</x:v>
      </x:c>
      <x:c r="O1316" s="16" t="n">
        <x:v>5</x:v>
      </x:c>
      <x:c r="P1316" s="16" t="n">
        <x:v>1</x:v>
      </x:c>
      <x:c r="Q1316" s="16" t="n">
        <x:v>1</x:v>
      </x:c>
      <x:c r="R1316" s="16" t="n">
        <x:v>0</x:v>
      </x:c>
      <x:c r="S1316" s="16" t="n">
        <x:v>3</x:v>
      </x:c>
      <x:c r="T1316" s="16" t="n">
        <x:v>7</x:v>
      </x:c>
      <x:c r="U1316" s="16" t="n">
        <x:v>0</x:v>
      </x:c>
      <x:c r="V1316" s="16" t="n">
        <x:v>0</x:v>
      </x:c>
      <x:c r="W1316" s="16" t="n">
        <x:v>0</x:v>
      </x:c>
      <x:c r="X1316" s="16" t="n">
        <x:v>0</x:v>
      </x:c>
      <x:c r="Y1316" s="16" t="n">
        <x:v>0</x:v>
      </x:c>
      <x:c r="Z1316" s="16" t="n">
        <x:v>0</x:v>
      </x:c>
      <x:c r="AA1316" s="16" t="n">
        <x:v>3</x:v>
      </x:c>
      <x:c r="AB1316" s="16" t="n">
        <x:v>11</x:v>
      </x:c>
      <x:c r="AC1316" s="16" t="n">
        <x:v>0</x:v>
      </x:c>
      <x:c r="AD1316" s="21" t="n">
        <x:f>IF(E1316="",MEDIAN($E$2:$E$2237),E1316)</x:f>
        <x:v>46094</x:v>
      </x:c>
      <x:c r="AE1316" s="17" t="n">
        <x:f>2014-B1316</x:f>
        <x:v>41</x:v>
      </x:c>
      <x:c r="AF1316" s="17" t="n">
        <x:f>F1316+G1316</x:f>
        <x:v>2</x:v>
      </x:c>
      <x:c r="AG1316" s="21" t="n">
        <x:f>SUM(J1316:O1316)</x:f>
        <x:v>44</x:v>
      </x:c>
      <x:c r="AH1316" s="17" t="n">
        <x:f>SUM(Q1316:S1316)</x:f>
        <x:v>4</x:v>
      </x:c>
      <x:c r="AI1316" s="17" t="n">
        <x:f>SUM(U1316:Y1316)</x:f>
        <x:v>0</x:v>
      </x:c>
      <x:c r="AJ1316" s="17" t="str">
        <x:f>IF(AE1316&lt;=34,"≤34",IF(AE1316&lt;=44,"35–44",IF(AE1316&lt;=54,"45–54",IF(AE1316&lt;=64,"55–64","65+"))))</x:f>
        <x:v>35–44</x:v>
      </x:c>
      <x:c r="AK1316" s="17" t="str">
        <x:f>IF(AG1316&gt;=1000,"High Value",IF(AG1316&gt;=300,"Mid Value","Low Value"))</x:f>
        <x:v>Low Value</x:v>
      </x:c>
      <x:c r="AL1316" s="17" t="str">
        <x:f>IF(AND(AI1316&gt;=1,I1316&lt;=50),"Priority 1",IF(AND(AG1316&gt;=1000,I1316&lt;=60),"Priority 2",IF(I1316&lt;=30,"Priority 3","Nurture")))</x:f>
        <x:v>Nurture</x:v>
      </x:c>
    </x:row>
    <x:row r="1317">
      <x:c r="A1317" s="16" t="n">
        <x:v>1920</x:v>
      </x:c>
      <x:c r="B1317" s="16" t="n">
        <x:v>1972</x:v>
      </x:c>
      <x:c r="C1317" s="16" t="str">
        <x:v>Graduation</x:v>
      </x:c>
      <x:c r="D1317" s="16" t="str">
        <x:v>Married</x:v>
      </x:c>
      <x:c r="E1317" s="16" t="n">
        <x:v>40321</x:v>
      </x:c>
      <x:c r="F1317" s="16" t="n">
        <x:v>1</x:v>
      </x:c>
      <x:c r="G1317" s="16" t="n">
        <x:v>1</x:v>
      </x:c>
      <x:c r="H1317" s="16" t="str">
        <x:v>29-07-2013</x:v>
      </x:c>
      <x:c r="I1317" s="16" t="n">
        <x:v>59</x:v>
      </x:c>
      <x:c r="J1317" s="16" t="n">
        <x:v>44</x:v>
      </x:c>
      <x:c r="K1317" s="16" t="n">
        <x:v>4</x:v>
      </x:c>
      <x:c r="L1317" s="16" t="n">
        <x:v>21</x:v>
      </x:c>
      <x:c r="M1317" s="16" t="n">
        <x:v>6</x:v>
      </x:c>
      <x:c r="N1317" s="16" t="n">
        <x:v>0</x:v>
      </x:c>
      <x:c r="O1317" s="16" t="n">
        <x:v>27</x:v>
      </x:c>
      <x:c r="P1317" s="16" t="n">
        <x:v>2</x:v>
      </x:c>
      <x:c r="Q1317" s="16" t="n">
        <x:v>3</x:v>
      </x:c>
      <x:c r="R1317" s="16" t="n">
        <x:v>0</x:v>
      </x:c>
      <x:c r="S1317" s="16" t="n">
        <x:v>3</x:v>
      </x:c>
      <x:c r="T1317" s="16" t="n">
        <x:v>7</x:v>
      </x:c>
      <x:c r="U1317" s="16" t="n">
        <x:v>0</x:v>
      </x:c>
      <x:c r="V1317" s="16" t="n">
        <x:v>0</x:v>
      </x:c>
      <x:c r="W1317" s="16" t="n">
        <x:v>0</x:v>
      </x:c>
      <x:c r="X1317" s="16" t="n">
        <x:v>0</x:v>
      </x:c>
      <x:c r="Y1317" s="16" t="n">
        <x:v>0</x:v>
      </x:c>
      <x:c r="Z1317" s="16" t="n">
        <x:v>0</x:v>
      </x:c>
      <x:c r="AA1317" s="16" t="n">
        <x:v>3</x:v>
      </x:c>
      <x:c r="AB1317" s="16" t="n">
        <x:v>11</x:v>
      </x:c>
      <x:c r="AC1317" s="16" t="n">
        <x:v>0</x:v>
      </x:c>
      <x:c r="AD1317" s="21" t="n">
        <x:f>IF(E1317="",MEDIAN($E$2:$E$2237),E1317)</x:f>
        <x:v>40321</x:v>
      </x:c>
      <x:c r="AE1317" s="17" t="n">
        <x:f>2014-B1317</x:f>
        <x:v>42</x:v>
      </x:c>
      <x:c r="AF1317" s="17" t="n">
        <x:f>F1317+G1317</x:f>
        <x:v>2</x:v>
      </x:c>
      <x:c r="AG1317" s="21" t="n">
        <x:f>SUM(J1317:O1317)</x:f>
        <x:v>102</x:v>
      </x:c>
      <x:c r="AH1317" s="17" t="n">
        <x:f>SUM(Q1317:S1317)</x:f>
        <x:v>6</x:v>
      </x:c>
      <x:c r="AI1317" s="17" t="n">
        <x:f>SUM(U1317:Y1317)</x:f>
        <x:v>0</x:v>
      </x:c>
      <x:c r="AJ1317" s="17" t="str">
        <x:f>IF(AE1317&lt;=34,"≤34",IF(AE1317&lt;=44,"35–44",IF(AE1317&lt;=54,"45–54",IF(AE1317&lt;=64,"55–64","65+"))))</x:f>
        <x:v>35–44</x:v>
      </x:c>
      <x:c r="AK1317" s="17" t="str">
        <x:f>IF(AG1317&gt;=1000,"High Value",IF(AG1317&gt;=300,"Mid Value","Low Value"))</x:f>
        <x:v>Low Value</x:v>
      </x:c>
      <x:c r="AL1317" s="17" t="str">
        <x:f>IF(AND(AI1317&gt;=1,I1317&lt;=50),"Priority 1",IF(AND(AG1317&gt;=1000,I1317&lt;=60),"Priority 2",IF(I1317&lt;=30,"Priority 3","Nurture")))</x:f>
        <x:v>Nurture</x:v>
      </x:c>
    </x:row>
    <x:row r="1318">
      <x:c r="A1318" s="16" t="n">
        <x:v>8749</x:v>
      </x:c>
      <x:c r="B1318" s="16" t="n">
        <x:v>1984</x:v>
      </x:c>
      <x:c r="C1318" s="16" t="str">
        <x:v>Graduation</x:v>
      </x:c>
      <x:c r="D1318" s="16" t="str">
        <x:v>Together</x:v>
      </x:c>
      <x:c r="E1318" s="16" t="n">
        <x:v>37235</x:v>
      </x:c>
      <x:c r="F1318" s="16" t="n">
        <x:v>1</x:v>
      </x:c>
      <x:c r="G1318" s="16" t="n">
        <x:v>0</x:v>
      </x:c>
      <x:c r="H1318" s="16" t="str">
        <x:v>01-02-2014</x:v>
      </x:c>
      <x:c r="I1318" s="16" t="n">
        <x:v>68</x:v>
      </x:c>
      <x:c r="J1318" s="16" t="n">
        <x:v>20</x:v>
      </x:c>
      <x:c r="K1318" s="16" t="n">
        <x:v>2</x:v>
      </x:c>
      <x:c r="L1318" s="16" t="n">
        <x:v>9</x:v>
      </x:c>
      <x:c r="M1318" s="16" t="n">
        <x:v>4</x:v>
      </x:c>
      <x:c r="N1318" s="16" t="n">
        <x:v>6</x:v>
      </x:c>
      <x:c r="O1318" s="16" t="n">
        <x:v>20</x:v>
      </x:c>
      <x:c r="P1318" s="16" t="n">
        <x:v>1</x:v>
      </x:c>
      <x:c r="Q1318" s="16" t="n">
        <x:v>1</x:v>
      </x:c>
      <x:c r="R1318" s="16" t="n">
        <x:v>1</x:v>
      </x:c>
      <x:c r="S1318" s="16" t="n">
        <x:v>2</x:v>
      </x:c>
      <x:c r="T1318" s="16" t="n">
        <x:v>4</x:v>
      </x:c>
      <x:c r="U1318" s="16" t="n">
        <x:v>0</x:v>
      </x:c>
      <x:c r="V1318" s="16" t="n">
        <x:v>0</x:v>
      </x:c>
      <x:c r="W1318" s="16" t="n">
        <x:v>0</x:v>
      </x:c>
      <x:c r="X1318" s="16" t="n">
        <x:v>0</x:v>
      </x:c>
      <x:c r="Y1318" s="16" t="n">
        <x:v>0</x:v>
      </x:c>
      <x:c r="Z1318" s="16" t="n">
        <x:v>0</x:v>
      </x:c>
      <x:c r="AA1318" s="16" t="n">
        <x:v>3</x:v>
      </x:c>
      <x:c r="AB1318" s="16" t="n">
        <x:v>11</x:v>
      </x:c>
      <x:c r="AC1318" s="16" t="n">
        <x:v>0</x:v>
      </x:c>
      <x:c r="AD1318" s="21" t="n">
        <x:f>IF(E1318="",MEDIAN($E$2:$E$2237),E1318)</x:f>
        <x:v>37235</x:v>
      </x:c>
      <x:c r="AE1318" s="17" t="n">
        <x:f>2014-B1318</x:f>
        <x:v>30</x:v>
      </x:c>
      <x:c r="AF1318" s="17" t="n">
        <x:f>F1318+G1318</x:f>
        <x:v>1</x:v>
      </x:c>
      <x:c r="AG1318" s="21" t="n">
        <x:f>SUM(J1318:O1318)</x:f>
        <x:v>61</x:v>
      </x:c>
      <x:c r="AH1318" s="17" t="n">
        <x:f>SUM(Q1318:S1318)</x:f>
        <x:v>4</x:v>
      </x:c>
      <x:c r="AI1318" s="17" t="n">
        <x:f>SUM(U1318:Y1318)</x:f>
        <x:v>0</x:v>
      </x:c>
      <x:c r="AJ1318" s="17" t="str">
        <x:f>IF(AE1318&lt;=34,"≤34",IF(AE1318&lt;=44,"35–44",IF(AE1318&lt;=54,"45–54",IF(AE1318&lt;=64,"55–64","65+"))))</x:f>
        <x:v>≤34</x:v>
      </x:c>
      <x:c r="AK1318" s="17" t="str">
        <x:f>IF(AG1318&gt;=1000,"High Value",IF(AG1318&gt;=300,"Mid Value","Low Value"))</x:f>
        <x:v>Low Value</x:v>
      </x:c>
      <x:c r="AL1318" s="17" t="str">
        <x:f>IF(AND(AI1318&gt;=1,I1318&lt;=50),"Priority 1",IF(AND(AG1318&gt;=1000,I1318&lt;=60),"Priority 2",IF(I1318&lt;=30,"Priority 3","Nurture")))</x:f>
        <x:v>Nurture</x:v>
      </x:c>
    </x:row>
    <x:row r="1319">
      <x:c r="A1319" s="16" t="n">
        <x:v>1650</x:v>
      </x:c>
      <x:c r="B1319" s="16" t="n">
        <x:v>1960</x:v>
      </x:c>
      <x:c r="C1319" s="16" t="str">
        <x:v>Master</x:v>
      </x:c>
      <x:c r="D1319" s="16" t="str">
        <x:v>Married</x:v>
      </x:c>
      <x:c r="E1319" s="16" t="n">
        <x:v>81843</x:v>
      </x:c>
      <x:c r="F1319" s="16" t="n">
        <x:v>0</x:v>
      </x:c>
      <x:c r="G1319" s="16" t="n">
        <x:v>0</x:v>
      </x:c>
      <x:c r="H1319" s="16" t="str">
        <x:v>22-04-2013</x:v>
      </x:c>
      <x:c r="I1319" s="16" t="n">
        <x:v>13</x:v>
      </x:c>
      <x:c r="J1319" s="16" t="n">
        <x:v>779</x:v>
      </x:c>
      <x:c r="K1319" s="16" t="n">
        <x:v>86</x:v>
      </x:c>
      <x:c r="L1319" s="16" t="n">
        <x:v>537</x:v>
      </x:c>
      <x:c r="M1319" s="16" t="n">
        <x:v>34</x:v>
      </x:c>
      <x:c r="N1319" s="16" t="n">
        <x:v>69</x:v>
      </x:c>
      <x:c r="O1319" s="16" t="n">
        <x:v>138</x:v>
      </x:c>
      <x:c r="P1319" s="16" t="n">
        <x:v>1</x:v>
      </x:c>
      <x:c r="Q1319" s="16" t="n">
        <x:v>5</x:v>
      </x:c>
      <x:c r="R1319" s="16" t="n">
        <x:v>9</x:v>
      </x:c>
      <x:c r="S1319" s="16" t="n">
        <x:v>12</x:v>
      </x:c>
      <x:c r="T1319" s="16" t="n">
        <x:v>3</x:v>
      </x:c>
      <x:c r="U1319" s="16" t="n">
        <x:v>0</x:v>
      </x:c>
      <x:c r="V1319" s="16" t="n">
        <x:v>0</x:v>
      </x:c>
      <x:c r="W1319" s="16" t="n">
        <x:v>0</x:v>
      </x:c>
      <x:c r="X1319" s="16" t="n">
        <x:v>0</x:v>
      </x:c>
      <x:c r="Y1319" s="16" t="n">
        <x:v>0</x:v>
      </x:c>
      <x:c r="Z1319" s="16" t="n">
        <x:v>0</x:v>
      </x:c>
      <x:c r="AA1319" s="16" t="n">
        <x:v>3</x:v>
      </x:c>
      <x:c r="AB1319" s="16" t="n">
        <x:v>11</x:v>
      </x:c>
      <x:c r="AC1319" s="16" t="n">
        <x:v>0</x:v>
      </x:c>
      <x:c r="AD1319" s="21" t="n">
        <x:f>IF(E1319="",MEDIAN($E$2:$E$2237),E1319)</x:f>
        <x:v>81843</x:v>
      </x:c>
      <x:c r="AE1319" s="17" t="n">
        <x:f>2014-B1319</x:f>
        <x:v>54</x:v>
      </x:c>
      <x:c r="AF1319" s="17" t="n">
        <x:f>F1319+G1319</x:f>
        <x:v>0</x:v>
      </x:c>
      <x:c r="AG1319" s="21" t="n">
        <x:f>SUM(J1319:O1319)</x:f>
        <x:v>1643</x:v>
      </x:c>
      <x:c r="AH1319" s="17" t="n">
        <x:f>SUM(Q1319:S1319)</x:f>
        <x:v>26</x:v>
      </x:c>
      <x:c r="AI1319" s="17" t="n">
        <x:f>SUM(U1319:Y1319)</x:f>
        <x:v>0</x:v>
      </x:c>
      <x:c r="AJ1319" s="17" t="str">
        <x:f>IF(AE1319&lt;=34,"≤34",IF(AE1319&lt;=44,"35–44",IF(AE1319&lt;=54,"45–54",IF(AE1319&lt;=64,"55–64","65+"))))</x:f>
        <x:v>45–54</x:v>
      </x:c>
      <x:c r="AK1319" s="17" t="str">
        <x:f>IF(AG1319&gt;=1000,"High Value",IF(AG1319&gt;=300,"Mid Value","Low Value"))</x:f>
        <x:v>High Value</x:v>
      </x:c>
      <x:c r="AL1319" s="17" t="str">
        <x:f>IF(AND(AI1319&gt;=1,I1319&lt;=50),"Priority 1",IF(AND(AG1319&gt;=1000,I1319&lt;=60),"Priority 2",IF(I1319&lt;=30,"Priority 3","Nurture")))</x:f>
        <x:v>Priority 2</x:v>
      </x:c>
    </x:row>
    <x:row r="1320">
      <x:c r="A1320" s="16" t="n">
        <x:v>10377</x:v>
      </x:c>
      <x:c r="B1320" s="16" t="n">
        <x:v>1958</x:v>
      </x:c>
      <x:c r="C1320" s="16" t="str">
        <x:v>Master</x:v>
      </x:c>
      <x:c r="D1320" s="16" t="str">
        <x:v>Together</x:v>
      </x:c>
      <x:c r="E1320" s="16" t="n">
        <x:v>46692</x:v>
      </x:c>
      <x:c r="F1320" s="16" t="n">
        <x:v>0</x:v>
      </x:c>
      <x:c r="G1320" s="16" t="n">
        <x:v>1</x:v>
      </x:c>
      <x:c r="H1320" s="16" t="str">
        <x:v>06-06-2013</x:v>
      </x:c>
      <x:c r="I1320" s="16" t="n">
        <x:v>37</x:v>
      </x:c>
      <x:c r="J1320" s="16" t="n">
        <x:v>170</x:v>
      </x:c>
      <x:c r="K1320" s="16" t="n">
        <x:v>6</x:v>
      </x:c>
      <x:c r="L1320" s="16" t="n">
        <x:v>97</x:v>
      </x:c>
      <x:c r="M1320" s="16" t="n">
        <x:v>24</x:v>
      </x:c>
      <x:c r="N1320" s="16" t="n">
        <x:v>12</x:v>
      </x:c>
      <x:c r="O1320" s="16" t="n">
        <x:v>88</x:v>
      </x:c>
      <x:c r="P1320" s="16" t="n">
        <x:v>3</x:v>
      </x:c>
      <x:c r="Q1320" s="16" t="n">
        <x:v>6</x:v>
      </x:c>
      <x:c r="R1320" s="16" t="n">
        <x:v>1</x:v>
      </x:c>
      <x:c r="S1320" s="16" t="n">
        <x:v>5</x:v>
      </x:c>
      <x:c r="T1320" s="16" t="n">
        <x:v>6</x:v>
      </x:c>
      <x:c r="U1320" s="16" t="n">
        <x:v>0</x:v>
      </x:c>
      <x:c r="V1320" s="16" t="n">
        <x:v>0</x:v>
      </x:c>
      <x:c r="W1320" s="16" t="n">
        <x:v>0</x:v>
      </x:c>
      <x:c r="X1320" s="16" t="n">
        <x:v>0</x:v>
      </x:c>
      <x:c r="Y1320" s="16" t="n">
        <x:v>0</x:v>
      </x:c>
      <x:c r="Z1320" s="16" t="n">
        <x:v>0</x:v>
      </x:c>
      <x:c r="AA1320" s="16" t="n">
        <x:v>3</x:v>
      </x:c>
      <x:c r="AB1320" s="16" t="n">
        <x:v>11</x:v>
      </x:c>
      <x:c r="AC1320" s="16" t="n">
        <x:v>0</x:v>
      </x:c>
      <x:c r="AD1320" s="21" t="n">
        <x:f>IF(E1320="",MEDIAN($E$2:$E$2237),E1320)</x:f>
        <x:v>46692</x:v>
      </x:c>
      <x:c r="AE1320" s="17" t="n">
        <x:f>2014-B1320</x:f>
        <x:v>56</x:v>
      </x:c>
      <x:c r="AF1320" s="17" t="n">
        <x:f>F1320+G1320</x:f>
        <x:v>1</x:v>
      </x:c>
      <x:c r="AG1320" s="21" t="n">
        <x:f>SUM(J1320:O1320)</x:f>
        <x:v>397</x:v>
      </x:c>
      <x:c r="AH1320" s="17" t="n">
        <x:f>SUM(Q1320:S1320)</x:f>
        <x:v>12</x:v>
      </x:c>
      <x:c r="AI1320" s="17" t="n">
        <x:f>SUM(U1320:Y1320)</x:f>
        <x:v>0</x:v>
      </x:c>
      <x:c r="AJ1320" s="17" t="str">
        <x:f>IF(AE1320&lt;=34,"≤34",IF(AE1320&lt;=44,"35–44",IF(AE1320&lt;=54,"45–54",IF(AE1320&lt;=64,"55–64","65+"))))</x:f>
        <x:v>55–64</x:v>
      </x:c>
      <x:c r="AK1320" s="17" t="str">
        <x:f>IF(AG1320&gt;=1000,"High Value",IF(AG1320&gt;=300,"Mid Value","Low Value"))</x:f>
        <x:v>Mid Value</x:v>
      </x:c>
      <x:c r="AL1320" s="17" t="str">
        <x:f>IF(AND(AI1320&gt;=1,I1320&lt;=50),"Priority 1",IF(AND(AG1320&gt;=1000,I1320&lt;=60),"Priority 2",IF(I1320&lt;=30,"Priority 3","Nurture")))</x:f>
        <x:v>Nurture</x:v>
      </x:c>
    </x:row>
    <x:row r="1321">
      <x:c r="A1321" s="16" t="n">
        <x:v>9206</x:v>
      </x:c>
      <x:c r="B1321" s="16" t="n">
        <x:v>1968</x:v>
      </x:c>
      <x:c r="C1321" s="16" t="str">
        <x:v>Graduation</x:v>
      </x:c>
      <x:c r="D1321" s="16" t="str">
        <x:v>Together</x:v>
      </x:c>
      <x:c r="E1321" s="16" t="n">
        <x:v>77382</x:v>
      </x:c>
      <x:c r="F1321" s="16" t="n">
        <x:v>0</x:v>
      </x:c>
      <x:c r="G1321" s="16" t="n">
        <x:v>1</x:v>
      </x:c>
      <x:c r="H1321" s="16" t="str">
        <x:v>07-01-2014</x:v>
      </x:c>
      <x:c r="I1321" s="16" t="n">
        <x:v>36</x:v>
      </x:c>
      <x:c r="J1321" s="16" t="n">
        <x:v>491</x:v>
      </x:c>
      <x:c r="K1321" s="16" t="n">
        <x:v>48</x:v>
      </x:c>
      <x:c r="L1321" s="16" t="n">
        <x:v>231</x:v>
      </x:c>
      <x:c r="M1321" s="16" t="n">
        <x:v>112</x:v>
      </x:c>
      <x:c r="N1321" s="16" t="n">
        <x:v>105</x:v>
      </x:c>
      <x:c r="O1321" s="16" t="n">
        <x:v>134</x:v>
      </x:c>
      <x:c r="P1321" s="16" t="n">
        <x:v>2</x:v>
      </x:c>
      <x:c r="Q1321" s="16" t="n">
        <x:v>5</x:v>
      </x:c>
      <x:c r="R1321" s="16" t="n">
        <x:v>7</x:v>
      </x:c>
      <x:c r="S1321" s="16" t="n">
        <x:v>12</x:v>
      </x:c>
      <x:c r="T1321" s="16" t="n">
        <x:v>1</x:v>
      </x:c>
      <x:c r="U1321" s="16" t="n">
        <x:v>0</x:v>
      </x:c>
      <x:c r="V1321" s="16" t="n">
        <x:v>0</x:v>
      </x:c>
      <x:c r="W1321" s="16" t="n">
        <x:v>1</x:v>
      </x:c>
      <x:c r="X1321" s="16" t="n">
        <x:v>0</x:v>
      </x:c>
      <x:c r="Y1321" s="16" t="n">
        <x:v>0</x:v>
      </x:c>
      <x:c r="Z1321" s="16" t="n">
        <x:v>0</x:v>
      </x:c>
      <x:c r="AA1321" s="16" t="n">
        <x:v>3</x:v>
      </x:c>
      <x:c r="AB1321" s="16" t="n">
        <x:v>11</x:v>
      </x:c>
      <x:c r="AC1321" s="16" t="n">
        <x:v>0</x:v>
      </x:c>
      <x:c r="AD1321" s="21" t="n">
        <x:f>IF(E1321="",MEDIAN($E$2:$E$2237),E1321)</x:f>
        <x:v>77382</x:v>
      </x:c>
      <x:c r="AE1321" s="17" t="n">
        <x:f>2014-B1321</x:f>
        <x:v>46</x:v>
      </x:c>
      <x:c r="AF1321" s="17" t="n">
        <x:f>F1321+G1321</x:f>
        <x:v>1</x:v>
      </x:c>
      <x:c r="AG1321" s="21" t="n">
        <x:f>SUM(J1321:O1321)</x:f>
        <x:v>1121</x:v>
      </x:c>
      <x:c r="AH1321" s="17" t="n">
        <x:f>SUM(Q1321:S1321)</x:f>
        <x:v>24</x:v>
      </x:c>
      <x:c r="AI1321" s="17" t="n">
        <x:f>SUM(U1321:Y1321)</x:f>
        <x:v>1</x:v>
      </x:c>
      <x:c r="AJ1321" s="17" t="str">
        <x:f>IF(AE1321&lt;=34,"≤34",IF(AE1321&lt;=44,"35–44",IF(AE1321&lt;=54,"45–54",IF(AE1321&lt;=64,"55–64","65+"))))</x:f>
        <x:v>45–54</x:v>
      </x:c>
      <x:c r="AK1321" s="17" t="str">
        <x:f>IF(AG1321&gt;=1000,"High Value",IF(AG1321&gt;=300,"Mid Value","Low Value"))</x:f>
        <x:v>High Value</x:v>
      </x:c>
      <x:c r="AL1321" s="17" t="str">
        <x:f>IF(AND(AI1321&gt;=1,I1321&lt;=50),"Priority 1",IF(AND(AG1321&gt;=1000,I1321&lt;=60),"Priority 2",IF(I1321&lt;=30,"Priority 3","Nurture")))</x:f>
        <x:v>Priority 1</x:v>
      </x:c>
    </x:row>
    <x:row r="1322">
      <x:c r="A1322" s="16" t="n">
        <x:v>10971</x:v>
      </x:c>
      <x:c r="B1322" s="16" t="n">
        <x:v>1977</x:v>
      </x:c>
      <x:c r="C1322" s="16" t="str">
        <x:v>Graduation</x:v>
      </x:c>
      <x:c r="D1322" s="16" t="str">
        <x:v>Single</x:v>
      </x:c>
      <x:c r="E1322" s="16" t="n">
        <x:v>37774</x:v>
      </x:c>
      <x:c r="F1322" s="16" t="n">
        <x:v>2</x:v>
      </x:c>
      <x:c r="G1322" s="16" t="n">
        <x:v>0</x:v>
      </x:c>
      <x:c r="H1322" s="16" t="str">
        <x:v>03-09-2012</x:v>
      </x:c>
      <x:c r="I1322" s="16" t="n">
        <x:v>28</x:v>
      </x:c>
      <x:c r="J1322" s="16" t="n">
        <x:v>173</x:v>
      </x:c>
      <x:c r="K1322" s="16" t="n">
        <x:v>8</x:v>
      </x:c>
      <x:c r="L1322" s="16" t="n">
        <x:v>107</x:v>
      </x:c>
      <x:c r="M1322" s="16" t="n">
        <x:v>7</x:v>
      </x:c>
      <x:c r="N1322" s="16" t="n">
        <x:v>2</x:v>
      </x:c>
      <x:c r="O1322" s="16" t="n">
        <x:v>176</x:v>
      </x:c>
      <x:c r="P1322" s="16" t="n">
        <x:v>4</x:v>
      </x:c>
      <x:c r="Q1322" s="16" t="n">
        <x:v>7</x:v>
      </x:c>
      <x:c r="R1322" s="16" t="n">
        <x:v>2</x:v>
      </x:c>
      <x:c r="S1322" s="16" t="n">
        <x:v>3</x:v>
      </x:c>
      <x:c r="T1322" s="16" t="n">
        <x:v>9</x:v>
      </x:c>
      <x:c r="U1322" s="16" t="n">
        <x:v>1</x:v>
      </x:c>
      <x:c r="V1322" s="16" t="n">
        <x:v>0</x:v>
      </x:c>
      <x:c r="W1322" s="16" t="n">
        <x:v>0</x:v>
      </x:c>
      <x:c r="X1322" s="16" t="n">
        <x:v>0</x:v>
      </x:c>
      <x:c r="Y1322" s="16" t="n">
        <x:v>0</x:v>
      </x:c>
      <x:c r="Z1322" s="16" t="n">
        <x:v>1</x:v>
      </x:c>
      <x:c r="AA1322" s="16" t="n">
        <x:v>3</x:v>
      </x:c>
      <x:c r="AB1322" s="16" t="n">
        <x:v>11</x:v>
      </x:c>
      <x:c r="AC1322" s="16" t="n">
        <x:v>1</x:v>
      </x:c>
      <x:c r="AD1322" s="21" t="n">
        <x:f>IF(E1322="",MEDIAN($E$2:$E$2237),E1322)</x:f>
        <x:v>37774</x:v>
      </x:c>
      <x:c r="AE1322" s="17" t="n">
        <x:f>2014-B1322</x:f>
        <x:v>37</x:v>
      </x:c>
      <x:c r="AF1322" s="17" t="n">
        <x:f>F1322+G1322</x:f>
        <x:v>2</x:v>
      </x:c>
      <x:c r="AG1322" s="21" t="n">
        <x:f>SUM(J1322:O1322)</x:f>
        <x:v>473</x:v>
      </x:c>
      <x:c r="AH1322" s="17" t="n">
        <x:f>SUM(Q1322:S1322)</x:f>
        <x:v>12</x:v>
      </x:c>
      <x:c r="AI1322" s="17" t="n">
        <x:f>SUM(U1322:Y1322)</x:f>
        <x:v>1</x:v>
      </x:c>
      <x:c r="AJ1322" s="17" t="str">
        <x:f>IF(AE1322&lt;=34,"≤34",IF(AE1322&lt;=44,"35–44",IF(AE1322&lt;=54,"45–54",IF(AE1322&lt;=64,"55–64","65+"))))</x:f>
        <x:v>35–44</x:v>
      </x:c>
      <x:c r="AK1322" s="17" t="str">
        <x:f>IF(AG1322&gt;=1000,"High Value",IF(AG1322&gt;=300,"Mid Value","Low Value"))</x:f>
        <x:v>Mid Value</x:v>
      </x:c>
      <x:c r="AL1322" s="17" t="str">
        <x:f>IF(AND(AI1322&gt;=1,I1322&lt;=50),"Priority 1",IF(AND(AG1322&gt;=1000,I1322&lt;=60),"Priority 2",IF(I1322&lt;=30,"Priority 3","Nurture")))</x:f>
        <x:v>Priority 1</x:v>
      </x:c>
    </x:row>
    <x:row r="1323">
      <x:c r="A1323" s="16" t="n">
        <x:v>6398</x:v>
      </x:c>
      <x:c r="B1323" s="16" t="n">
        <x:v>1974</x:v>
      </x:c>
      <x:c r="C1323" s="16" t="str">
        <x:v>Basic</x:v>
      </x:c>
      <x:c r="D1323" s="16" t="str">
        <x:v>Married</x:v>
      </x:c>
      <x:c r="E1323" s="16" t="n">
        <x:v>18393</x:v>
      </x:c>
      <x:c r="F1323" s="16" t="n">
        <x:v>1</x:v>
      </x:c>
      <x:c r="G1323" s="16" t="n">
        <x:v>0</x:v>
      </x:c>
      <x:c r="H1323" s="16" t="str">
        <x:v>29-03-2014</x:v>
      </x:c>
      <x:c r="I1323" s="16" t="n">
        <x:v>2</x:v>
      </x:c>
      <x:c r="J1323" s="16" t="n">
        <x:v>7</x:v>
      </x:c>
      <x:c r="K1323" s="16" t="n">
        <x:v>10</x:v>
      </x:c>
      <x:c r="L1323" s="16" t="n">
        <x:v>13</x:v>
      </x:c>
      <x:c r="M1323" s="16" t="n">
        <x:v>16</x:v>
      </x:c>
      <x:c r="N1323" s="16" t="n">
        <x:v>0</x:v>
      </x:c>
      <x:c r="O1323" s="16" t="n">
        <x:v>4</x:v>
      </x:c>
      <x:c r="P1323" s="16" t="n">
        <x:v>2</x:v>
      </x:c>
      <x:c r="Q1323" s="16" t="n">
        <x:v>3</x:v>
      </x:c>
      <x:c r="R1323" s="16" t="n">
        <x:v>0</x:v>
      </x:c>
      <x:c r="S1323" s="16" t="n">
        <x:v>3</x:v>
      </x:c>
      <x:c r="T1323" s="16" t="n">
        <x:v>8</x:v>
      </x:c>
      <x:c r="U1323" s="16" t="n">
        <x:v>0</x:v>
      </x:c>
      <x:c r="V1323" s="16" t="n">
        <x:v>0</x:v>
      </x:c>
      <x:c r="W1323" s="16" t="n">
        <x:v>0</x:v>
      </x:c>
      <x:c r="X1323" s="16" t="n">
        <x:v>0</x:v>
      </x:c>
      <x:c r="Y1323" s="16" t="n">
        <x:v>0</x:v>
      </x:c>
      <x:c r="Z1323" s="16" t="n">
        <x:v>0</x:v>
      </x:c>
      <x:c r="AA1323" s="16" t="n">
        <x:v>3</x:v>
      </x:c>
      <x:c r="AB1323" s="16" t="n">
        <x:v>11</x:v>
      </x:c>
      <x:c r="AC1323" s="16" t="n">
        <x:v>0</x:v>
      </x:c>
      <x:c r="AD1323" s="21" t="n">
        <x:f>IF(E1323="",MEDIAN($E$2:$E$2237),E1323)</x:f>
        <x:v>18393</x:v>
      </x:c>
      <x:c r="AE1323" s="17" t="n">
        <x:f>2014-B1323</x:f>
        <x:v>40</x:v>
      </x:c>
      <x:c r="AF1323" s="17" t="n">
        <x:f>F1323+G1323</x:f>
        <x:v>1</x:v>
      </x:c>
      <x:c r="AG1323" s="21" t="n">
        <x:f>SUM(J1323:O1323)</x:f>
        <x:v>50</x:v>
      </x:c>
      <x:c r="AH1323" s="17" t="n">
        <x:f>SUM(Q1323:S1323)</x:f>
        <x:v>6</x:v>
      </x:c>
      <x:c r="AI1323" s="17" t="n">
        <x:f>SUM(U1323:Y1323)</x:f>
        <x:v>0</x:v>
      </x:c>
      <x:c r="AJ1323" s="17" t="str">
        <x:f>IF(AE1323&lt;=34,"≤34",IF(AE1323&lt;=44,"35–44",IF(AE1323&lt;=54,"45–54",IF(AE1323&lt;=64,"55–64","65+"))))</x:f>
        <x:v>35–44</x:v>
      </x:c>
      <x:c r="AK1323" s="17" t="str">
        <x:f>IF(AG1323&gt;=1000,"High Value",IF(AG1323&gt;=300,"Mid Value","Low Value"))</x:f>
        <x:v>Low Value</x:v>
      </x:c>
      <x:c r="AL1323" s="17" t="str">
        <x:f>IF(AND(AI1323&gt;=1,I1323&lt;=50),"Priority 1",IF(AND(AG1323&gt;=1000,I1323&lt;=60),"Priority 2",IF(I1323&lt;=30,"Priority 3","Nurture")))</x:f>
        <x:v>Priority 3</x:v>
      </x:c>
    </x:row>
    <x:row r="1324">
      <x:c r="A1324" s="16" t="n">
        <x:v>9212</x:v>
      </x:c>
      <x:c r="B1324" s="16" t="n">
        <x:v>1962</x:v>
      </x:c>
      <x:c r="C1324" s="16" t="str">
        <x:v>Master</x:v>
      </x:c>
      <x:c r="D1324" s="16" t="str">
        <x:v>Married</x:v>
      </x:c>
      <x:c r="E1324" s="16" t="n">
        <x:v>72828</x:v>
      </x:c>
      <x:c r="F1324" s="16" t="n">
        <x:v>0</x:v>
      </x:c>
      <x:c r="G1324" s="16" t="n">
        <x:v>1</x:v>
      </x:c>
      <x:c r="H1324" s="16" t="str">
        <x:v>14-02-2013</x:v>
      </x:c>
      <x:c r="I1324" s="16" t="n">
        <x:v>17</x:v>
      </x:c>
      <x:c r="J1324" s="16" t="n">
        <x:v>1205</x:v>
      </x:c>
      <x:c r="K1324" s="16" t="n">
        <x:v>0</x:v>
      </x:c>
      <x:c r="L1324" s="16" t="n">
        <x:v>235</x:v>
      </x:c>
      <x:c r="M1324" s="16" t="n">
        <x:v>19</x:v>
      </x:c>
      <x:c r="N1324" s="16" t="n">
        <x:v>14</x:v>
      </x:c>
      <x:c r="O1324" s="16" t="n">
        <x:v>205</x:v>
      </x:c>
      <x:c r="P1324" s="16" t="n">
        <x:v>6</x:v>
      </x:c>
      <x:c r="Q1324" s="16" t="n">
        <x:v>6</x:v>
      </x:c>
      <x:c r="R1324" s="16" t="n">
        <x:v>3</x:v>
      </x:c>
      <x:c r="S1324" s="16" t="n">
        <x:v>13</x:v>
      </x:c>
      <x:c r="T1324" s="16" t="n">
        <x:v>7</x:v>
      </x:c>
      <x:c r="U1324" s="16" t="n">
        <x:v>0</x:v>
      </x:c>
      <x:c r="V1324" s="16" t="n">
        <x:v>0</x:v>
      </x:c>
      <x:c r="W1324" s="16" t="n">
        <x:v>0</x:v>
      </x:c>
      <x:c r="X1324" s="16" t="n">
        <x:v>0</x:v>
      </x:c>
      <x:c r="Y1324" s="16" t="n">
        <x:v>0</x:v>
      </x:c>
      <x:c r="Z1324" s="16" t="n">
        <x:v>0</x:v>
      </x:c>
      <x:c r="AA1324" s="16" t="n">
        <x:v>3</x:v>
      </x:c>
      <x:c r="AB1324" s="16" t="n">
        <x:v>11</x:v>
      </x:c>
      <x:c r="AC1324" s="16" t="n">
        <x:v>0</x:v>
      </x:c>
      <x:c r="AD1324" s="21" t="n">
        <x:f>IF(E1324="",MEDIAN($E$2:$E$2237),E1324)</x:f>
        <x:v>72828</x:v>
      </x:c>
      <x:c r="AE1324" s="17" t="n">
        <x:f>2014-B1324</x:f>
        <x:v>52</x:v>
      </x:c>
      <x:c r="AF1324" s="17" t="n">
        <x:f>F1324+G1324</x:f>
        <x:v>1</x:v>
      </x:c>
      <x:c r="AG1324" s="21" t="n">
        <x:f>SUM(J1324:O1324)</x:f>
        <x:v>1678</x:v>
      </x:c>
      <x:c r="AH1324" s="17" t="n">
        <x:f>SUM(Q1324:S1324)</x:f>
        <x:v>22</x:v>
      </x:c>
      <x:c r="AI1324" s="17" t="n">
        <x:f>SUM(U1324:Y1324)</x:f>
        <x:v>0</x:v>
      </x:c>
      <x:c r="AJ1324" s="17" t="str">
        <x:f>IF(AE1324&lt;=34,"≤34",IF(AE1324&lt;=44,"35–44",IF(AE1324&lt;=54,"45–54",IF(AE1324&lt;=64,"55–64","65+"))))</x:f>
        <x:v>45–54</x:v>
      </x:c>
      <x:c r="AK1324" s="17" t="str">
        <x:f>IF(AG1324&gt;=1000,"High Value",IF(AG1324&gt;=300,"Mid Value","Low Value"))</x:f>
        <x:v>High Value</x:v>
      </x:c>
      <x:c r="AL1324" s="17" t="str">
        <x:f>IF(AND(AI1324&gt;=1,I1324&lt;=50),"Priority 1",IF(AND(AG1324&gt;=1000,I1324&lt;=60),"Priority 2",IF(I1324&lt;=30,"Priority 3","Nurture")))</x:f>
        <x:v>Priority 2</x:v>
      </x:c>
    </x:row>
    <x:row r="1325">
      <x:c r="A1325" s="16" t="n">
        <x:v>7937</x:v>
      </x:c>
      <x:c r="B1325" s="16" t="n">
        <x:v>1982</x:v>
      </x:c>
      <x:c r="C1325" s="16" t="str">
        <x:v>Graduation</x:v>
      </x:c>
      <x:c r="D1325" s="16" t="str">
        <x:v>Married</x:v>
      </x:c>
      <x:c r="E1325" s="16" t="n">
        <x:v>24711</x:v>
      </x:c>
      <x:c r="F1325" s="16" t="n">
        <x:v>0</x:v>
      </x:c>
      <x:c r="G1325" s="16" t="n">
        <x:v>0</x:v>
      </x:c>
      <x:c r="H1325" s="16" t="str">
        <x:v>18-04-2014</x:v>
      </x:c>
      <x:c r="I1325" s="16" t="n">
        <x:v>86</x:v>
      </x:c>
      <x:c r="J1325" s="16" t="n">
        <x:v>10</x:v>
      </x:c>
      <x:c r="K1325" s="16" t="n">
        <x:v>7</x:v>
      </x:c>
      <x:c r="L1325" s="16" t="n">
        <x:v>25</x:v>
      </x:c>
      <x:c r="M1325" s="16" t="n">
        <x:v>6</x:v>
      </x:c>
      <x:c r="N1325" s="16" t="n">
        <x:v>3</x:v>
      </x:c>
      <x:c r="O1325" s="16" t="n">
        <x:v>7</x:v>
      </x:c>
      <x:c r="P1325" s="16" t="n">
        <x:v>1</x:v>
      </x:c>
      <x:c r="Q1325" s="16" t="n">
        <x:v>3</x:v>
      </x:c>
      <x:c r="R1325" s="16" t="n">
        <x:v>0</x:v>
      </x:c>
      <x:c r="S1325" s="16" t="n">
        <x:v>3</x:v>
      </x:c>
      <x:c r="T1325" s="16" t="n">
        <x:v>7</x:v>
      </x:c>
      <x:c r="U1325" s="16" t="n">
        <x:v>0</x:v>
      </x:c>
      <x:c r="V1325" s="16" t="n">
        <x:v>0</x:v>
      </x:c>
      <x:c r="W1325" s="16" t="n">
        <x:v>0</x:v>
      </x:c>
      <x:c r="X1325" s="16" t="n">
        <x:v>0</x:v>
      </x:c>
      <x:c r="Y1325" s="16" t="n">
        <x:v>0</x:v>
      </x:c>
      <x:c r="Z1325" s="16" t="n">
        <x:v>0</x:v>
      </x:c>
      <x:c r="AA1325" s="16" t="n">
        <x:v>3</x:v>
      </x:c>
      <x:c r="AB1325" s="16" t="n">
        <x:v>11</x:v>
      </x:c>
      <x:c r="AC1325" s="16" t="n">
        <x:v>0</x:v>
      </x:c>
      <x:c r="AD1325" s="21" t="n">
        <x:f>IF(E1325="",MEDIAN($E$2:$E$2237),E1325)</x:f>
        <x:v>24711</x:v>
      </x:c>
      <x:c r="AE1325" s="17" t="n">
        <x:f>2014-B1325</x:f>
        <x:v>32</x:v>
      </x:c>
      <x:c r="AF1325" s="17" t="n">
        <x:f>F1325+G1325</x:f>
        <x:v>0</x:v>
      </x:c>
      <x:c r="AG1325" s="21" t="n">
        <x:f>SUM(J1325:O1325)</x:f>
        <x:v>58</x:v>
      </x:c>
      <x:c r="AH1325" s="17" t="n">
        <x:f>SUM(Q1325:S1325)</x:f>
        <x:v>6</x:v>
      </x:c>
      <x:c r="AI1325" s="17" t="n">
        <x:f>SUM(U1325:Y1325)</x:f>
        <x:v>0</x:v>
      </x:c>
      <x:c r="AJ1325" s="17" t="str">
        <x:f>IF(AE1325&lt;=34,"≤34",IF(AE1325&lt;=44,"35–44",IF(AE1325&lt;=54,"45–54",IF(AE1325&lt;=64,"55–64","65+"))))</x:f>
        <x:v>≤34</x:v>
      </x:c>
      <x:c r="AK1325" s="17" t="str">
        <x:f>IF(AG1325&gt;=1000,"High Value",IF(AG1325&gt;=300,"Mid Value","Low Value"))</x:f>
        <x:v>Low Value</x:v>
      </x:c>
      <x:c r="AL1325" s="17" t="str">
        <x:f>IF(AND(AI1325&gt;=1,I1325&lt;=50),"Priority 1",IF(AND(AG1325&gt;=1000,I1325&lt;=60),"Priority 2",IF(I1325&lt;=30,"Priority 3","Nurture")))</x:f>
        <x:v>Nurture</x:v>
      </x:c>
    </x:row>
    <x:row r="1326">
      <x:c r="A1326" s="16" t="n">
        <x:v>839</x:v>
      </x:c>
      <x:c r="B1326" s="16" t="n">
        <x:v>1975</x:v>
      </x:c>
      <x:c r="C1326" s="16" t="str">
        <x:v>PhD</x:v>
      </x:c>
      <x:c r="D1326" s="16" t="str">
        <x:v>Married</x:v>
      </x:c>
      <x:c r="E1326" s="16" t="n">
        <x:v>45503</x:v>
      </x:c>
      <x:c r="F1326" s="16" t="n">
        <x:v>1</x:v>
      </x:c>
      <x:c r="G1326" s="16" t="n">
        <x:v>0</x:v>
      </x:c>
      <x:c r="H1326" s="16" t="str">
        <x:v>25-09-2013</x:v>
      </x:c>
      <x:c r="I1326" s="16" t="n">
        <x:v>54</x:v>
      </x:c>
      <x:c r="J1326" s="16" t="n">
        <x:v>97</x:v>
      </x:c>
      <x:c r="K1326" s="16" t="n">
        <x:v>4</x:v>
      </x:c>
      <x:c r="L1326" s="16" t="n">
        <x:v>44</x:v>
      </x:c>
      <x:c r="M1326" s="16" t="n">
        <x:v>6</x:v>
      </x:c>
      <x:c r="N1326" s="16" t="n">
        <x:v>1</x:v>
      </x:c>
      <x:c r="O1326" s="16" t="n">
        <x:v>18</x:v>
      </x:c>
      <x:c r="P1326" s="16" t="n">
        <x:v>1</x:v>
      </x:c>
      <x:c r="Q1326" s="16" t="n">
        <x:v>3</x:v>
      </x:c>
      <x:c r="R1326" s="16" t="n">
        <x:v>1</x:v>
      </x:c>
      <x:c r="S1326" s="16" t="n">
        <x:v>4</x:v>
      </x:c>
      <x:c r="T1326" s="16" t="n">
        <x:v>5</x:v>
      </x:c>
      <x:c r="U1326" s="16" t="n">
        <x:v>0</x:v>
      </x:c>
      <x:c r="V1326" s="16" t="n">
        <x:v>0</x:v>
      </x:c>
      <x:c r="W1326" s="16" t="n">
        <x:v>0</x:v>
      </x:c>
      <x:c r="X1326" s="16" t="n">
        <x:v>0</x:v>
      </x:c>
      <x:c r="Y1326" s="16" t="n">
        <x:v>0</x:v>
      </x:c>
      <x:c r="Z1326" s="16" t="n">
        <x:v>0</x:v>
      </x:c>
      <x:c r="AA1326" s="16" t="n">
        <x:v>3</x:v>
      </x:c>
      <x:c r="AB1326" s="16" t="n">
        <x:v>11</x:v>
      </x:c>
      <x:c r="AC1326" s="16" t="n">
        <x:v>0</x:v>
      </x:c>
      <x:c r="AD1326" s="21" t="n">
        <x:f>IF(E1326="",MEDIAN($E$2:$E$2237),E1326)</x:f>
        <x:v>45503</x:v>
      </x:c>
      <x:c r="AE1326" s="17" t="n">
        <x:f>2014-B1326</x:f>
        <x:v>39</x:v>
      </x:c>
      <x:c r="AF1326" s="17" t="n">
        <x:f>F1326+G1326</x:f>
        <x:v>1</x:v>
      </x:c>
      <x:c r="AG1326" s="21" t="n">
        <x:f>SUM(J1326:O1326)</x:f>
        <x:v>170</x:v>
      </x:c>
      <x:c r="AH1326" s="17" t="n">
        <x:f>SUM(Q1326:S1326)</x:f>
        <x:v>8</x:v>
      </x:c>
      <x:c r="AI1326" s="17" t="n">
        <x:f>SUM(U1326:Y1326)</x:f>
        <x:v>0</x:v>
      </x:c>
      <x:c r="AJ1326" s="17" t="str">
        <x:f>IF(AE1326&lt;=34,"≤34",IF(AE1326&lt;=44,"35–44",IF(AE1326&lt;=54,"45–54",IF(AE1326&lt;=64,"55–64","65+"))))</x:f>
        <x:v>35–44</x:v>
      </x:c>
      <x:c r="AK1326" s="17" t="str">
        <x:f>IF(AG1326&gt;=1000,"High Value",IF(AG1326&gt;=300,"Mid Value","Low Value"))</x:f>
        <x:v>Low Value</x:v>
      </x:c>
      <x:c r="AL1326" s="17" t="str">
        <x:f>IF(AND(AI1326&gt;=1,I1326&lt;=50),"Priority 1",IF(AND(AG1326&gt;=1000,I1326&lt;=60),"Priority 2",IF(I1326&lt;=30,"Priority 3","Nurture")))</x:f>
        <x:v>Nurture</x:v>
      </x:c>
    </x:row>
    <x:row r="1327">
      <x:c r="A1327" s="16" t="n">
        <x:v>4246</x:v>
      </x:c>
      <x:c r="B1327" s="16" t="n">
        <x:v>1982</x:v>
      </x:c>
      <x:c r="C1327" s="16" t="str">
        <x:v>Master</x:v>
      </x:c>
      <x:c r="D1327" s="16" t="str">
        <x:v>Single</x:v>
      </x:c>
      <x:c r="E1327" s="16" t="n">
        <x:v>6560</x:v>
      </x:c>
      <x:c r="F1327" s="16" t="n">
        <x:v>0</x:v>
      </x:c>
      <x:c r="G1327" s="16" t="n">
        <x:v>0</x:v>
      </x:c>
      <x:c r="H1327" s="16" t="str">
        <x:v>12-12-2013</x:v>
      </x:c>
      <x:c r="I1327" s="16" t="n">
        <x:v>2</x:v>
      </x:c>
      <x:c r="J1327" s="16" t="n">
        <x:v>67</x:v>
      </x:c>
      <x:c r="K1327" s="16" t="n">
        <x:v>11</x:v>
      </x:c>
      <x:c r="L1327" s="16" t="n">
        <x:v>26</x:v>
      </x:c>
      <x:c r="M1327" s="16" t="n">
        <x:v>4</x:v>
      </x:c>
      <x:c r="N1327" s="16" t="n">
        <x:v>3</x:v>
      </x:c>
      <x:c r="O1327" s="16" t="n">
        <x:v>262</x:v>
      </x:c>
      <x:c r="P1327" s="16" t="n">
        <x:v>0</x:v>
      </x:c>
      <x:c r="Q1327" s="16" t="n">
        <x:v>1</x:v>
      </x:c>
      <x:c r="R1327" s="16" t="n">
        <x:v>0</x:v>
      </x:c>
      <x:c r="S1327" s="16" t="n">
        <x:v>1</x:v>
      </x:c>
      <x:c r="T1327" s="16" t="n">
        <x:v>17</x:v>
      </x:c>
      <x:c r="U1327" s="16" t="n">
        <x:v>0</x:v>
      </x:c>
      <x:c r="V1327" s="16" t="n">
        <x:v>0</x:v>
      </x:c>
      <x:c r="W1327" s="16" t="n">
        <x:v>0</x:v>
      </x:c>
      <x:c r="X1327" s="16" t="n">
        <x:v>0</x:v>
      </x:c>
      <x:c r="Y1327" s="16" t="n">
        <x:v>0</x:v>
      </x:c>
      <x:c r="Z1327" s="16" t="n">
        <x:v>0</x:v>
      </x:c>
      <x:c r="AA1327" s="16" t="n">
        <x:v>3</x:v>
      </x:c>
      <x:c r="AB1327" s="16" t="n">
        <x:v>11</x:v>
      </x:c>
      <x:c r="AC1327" s="16" t="n">
        <x:v>0</x:v>
      </x:c>
      <x:c r="AD1327" s="21" t="n">
        <x:f>IF(E1327="",MEDIAN($E$2:$E$2237),E1327)</x:f>
        <x:v>6560</x:v>
      </x:c>
      <x:c r="AE1327" s="17" t="n">
        <x:f>2014-B1327</x:f>
        <x:v>32</x:v>
      </x:c>
      <x:c r="AF1327" s="17" t="n">
        <x:f>F1327+G1327</x:f>
        <x:v>0</x:v>
      </x:c>
      <x:c r="AG1327" s="21" t="n">
        <x:f>SUM(J1327:O1327)</x:f>
        <x:v>373</x:v>
      </x:c>
      <x:c r="AH1327" s="17" t="n">
        <x:f>SUM(Q1327:S1327)</x:f>
        <x:v>2</x:v>
      </x:c>
      <x:c r="AI1327" s="17" t="n">
        <x:f>SUM(U1327:Y1327)</x:f>
        <x:v>0</x:v>
      </x:c>
      <x:c r="AJ1327" s="17" t="str">
        <x:f>IF(AE1327&lt;=34,"≤34",IF(AE1327&lt;=44,"35–44",IF(AE1327&lt;=54,"45–54",IF(AE1327&lt;=64,"55–64","65+"))))</x:f>
        <x:v>≤34</x:v>
      </x:c>
      <x:c r="AK1327" s="17" t="str">
        <x:f>IF(AG1327&gt;=1000,"High Value",IF(AG1327&gt;=300,"Mid Value","Low Value"))</x:f>
        <x:v>Mid Value</x:v>
      </x:c>
      <x:c r="AL1327" s="17" t="str">
        <x:f>IF(AND(AI1327&gt;=1,I1327&lt;=50),"Priority 1",IF(AND(AG1327&gt;=1000,I1327&lt;=60),"Priority 2",IF(I1327&lt;=30,"Priority 3","Nurture")))</x:f>
        <x:v>Priority 3</x:v>
      </x:c>
    </x:row>
    <x:row r="1328">
      <x:c r="A1328" s="16" t="n">
        <x:v>158</x:v>
      </x:c>
      <x:c r="B1328" s="16" t="n">
        <x:v>1945</x:v>
      </x:c>
      <x:c r="C1328" s="16" t="str">
        <x:v>PhD</x:v>
      </x:c>
      <x:c r="D1328" s="16" t="str">
        <x:v>Together</x:v>
      </x:c>
      <x:c r="E1328" s="16" t="n">
        <x:v>71604</x:v>
      </x:c>
      <x:c r="F1328" s="16" t="n">
        <x:v>0</x:v>
      </x:c>
      <x:c r="G1328" s="16" t="n">
        <x:v>0</x:v>
      </x:c>
      <x:c r="H1328" s="16" t="str">
        <x:v>17-11-2013</x:v>
      </x:c>
      <x:c r="I1328" s="16" t="n">
        <x:v>3</x:v>
      </x:c>
      <x:c r="J1328" s="16" t="n">
        <x:v>345</x:v>
      </x:c>
      <x:c r="K1328" s="16" t="n">
        <x:v>53</x:v>
      </x:c>
      <x:c r="L1328" s="16" t="n">
        <x:v>528</x:v>
      </x:c>
      <x:c r="M1328" s="16" t="n">
        <x:v>98</x:v>
      </x:c>
      <x:c r="N1328" s="16" t="n">
        <x:v>75</x:v>
      </x:c>
      <x:c r="O1328" s="16" t="n">
        <x:v>97</x:v>
      </x:c>
      <x:c r="P1328" s="16" t="n">
        <x:v>1</x:v>
      </x:c>
      <x:c r="Q1328" s="16" t="n">
        <x:v>8</x:v>
      </x:c>
      <x:c r="R1328" s="16" t="n">
        <x:v>3</x:v>
      </x:c>
      <x:c r="S1328" s="16" t="n">
        <x:v>5</x:v>
      </x:c>
      <x:c r="T1328" s="16" t="n">
        <x:v>4</x:v>
      </x:c>
      <x:c r="U1328" s="16" t="n">
        <x:v>1</x:v>
      </x:c>
      <x:c r="V1328" s="16" t="n">
        <x:v>0</x:v>
      </x:c>
      <x:c r="W1328" s="16" t="n">
        <x:v>0</x:v>
      </x:c>
      <x:c r="X1328" s="16" t="n">
        <x:v>0</x:v>
      </x:c>
      <x:c r="Y1328" s="16" t="n">
        <x:v>0</x:v>
      </x:c>
      <x:c r="Z1328" s="16" t="n">
        <x:v>0</x:v>
      </x:c>
      <x:c r="AA1328" s="16" t="n">
        <x:v>3</x:v>
      </x:c>
      <x:c r="AB1328" s="16" t="n">
        <x:v>11</x:v>
      </x:c>
      <x:c r="AC1328" s="16" t="n">
        <x:v>1</x:v>
      </x:c>
      <x:c r="AD1328" s="21" t="n">
        <x:f>IF(E1328="",MEDIAN($E$2:$E$2237),E1328)</x:f>
        <x:v>71604</x:v>
      </x:c>
      <x:c r="AE1328" s="17" t="n">
        <x:f>2014-B1328</x:f>
        <x:v>69</x:v>
      </x:c>
      <x:c r="AF1328" s="17" t="n">
        <x:f>F1328+G1328</x:f>
        <x:v>0</x:v>
      </x:c>
      <x:c r="AG1328" s="21" t="n">
        <x:f>SUM(J1328:O1328)</x:f>
        <x:v>1196</x:v>
      </x:c>
      <x:c r="AH1328" s="17" t="n">
        <x:f>SUM(Q1328:S1328)</x:f>
        <x:v>16</x:v>
      </x:c>
      <x:c r="AI1328" s="17" t="n">
        <x:f>SUM(U1328:Y1328)</x:f>
        <x:v>1</x:v>
      </x:c>
      <x:c r="AJ1328" s="17" t="str">
        <x:f>IF(AE1328&lt;=34,"≤34",IF(AE1328&lt;=44,"35–44",IF(AE1328&lt;=54,"45–54",IF(AE1328&lt;=64,"55–64","65+"))))</x:f>
        <x:v>65+</x:v>
      </x:c>
      <x:c r="AK1328" s="17" t="str">
        <x:f>IF(AG1328&gt;=1000,"High Value",IF(AG1328&gt;=300,"Mid Value","Low Value"))</x:f>
        <x:v>High Value</x:v>
      </x:c>
      <x:c r="AL1328" s="17" t="str">
        <x:f>IF(AND(AI1328&gt;=1,I1328&lt;=50),"Priority 1",IF(AND(AG1328&gt;=1000,I1328&lt;=60),"Priority 2",IF(I1328&lt;=30,"Priority 3","Nurture")))</x:f>
        <x:v>Priority 1</x:v>
      </x:c>
    </x:row>
    <x:row r="1329">
      <x:c r="A1329" s="16" t="n">
        <x:v>4832</x:v>
      </x:c>
      <x:c r="B1329" s="16" t="n">
        <x:v>1979</x:v>
      </x:c>
      <x:c r="C1329" s="16" t="str">
        <x:v>Graduation</x:v>
      </x:c>
      <x:c r="D1329" s="16" t="str">
        <x:v>Married</x:v>
      </x:c>
      <x:c r="E1329" s="16" t="n">
        <x:v>27244</x:v>
      </x:c>
      <x:c r="F1329" s="16" t="n">
        <x:v>1</x:v>
      </x:c>
      <x:c r="G1329" s="16" t="n">
        <x:v>0</x:v>
      </x:c>
      <x:c r="H1329" s="16" t="str">
        <x:v>07-03-2014</x:v>
      </x:c>
      <x:c r="I1329" s="16" t="n">
        <x:v>84</x:v>
      </x:c>
      <x:c r="J1329" s="16" t="n">
        <x:v>6</x:v>
      </x:c>
      <x:c r="K1329" s="16" t="n">
        <x:v>5</x:v>
      </x:c>
      <x:c r="L1329" s="16" t="n">
        <x:v>17</x:v>
      </x:c>
      <x:c r="M1329" s="16" t="n">
        <x:v>3</x:v>
      </x:c>
      <x:c r="N1329" s="16" t="n">
        <x:v>24</x:v>
      </x:c>
      <x:c r="O1329" s="16" t="n">
        <x:v>46</x:v>
      </x:c>
      <x:c r="P1329" s="16" t="n">
        <x:v>2</x:v>
      </x:c>
      <x:c r="Q1329" s="16" t="n">
        <x:v>2</x:v>
      </x:c>
      <x:c r="R1329" s="16" t="n">
        <x:v>2</x:v>
      </x:c>
      <x:c r="S1329" s="16" t="n">
        <x:v>2</x:v>
      </x:c>
      <x:c r="T1329" s="16" t="n">
        <x:v>7</x:v>
      </x:c>
      <x:c r="U1329" s="16" t="n">
        <x:v>0</x:v>
      </x:c>
      <x:c r="V1329" s="16" t="n">
        <x:v>0</x:v>
      </x:c>
      <x:c r="W1329" s="16" t="n">
        <x:v>0</x:v>
      </x:c>
      <x:c r="X1329" s="16" t="n">
        <x:v>0</x:v>
      </x:c>
      <x:c r="Y1329" s="16" t="n">
        <x:v>0</x:v>
      </x:c>
      <x:c r="Z1329" s="16" t="n">
        <x:v>0</x:v>
      </x:c>
      <x:c r="AA1329" s="16" t="n">
        <x:v>3</x:v>
      </x:c>
      <x:c r="AB1329" s="16" t="n">
        <x:v>11</x:v>
      </x:c>
      <x:c r="AC1329" s="16" t="n">
        <x:v>0</x:v>
      </x:c>
      <x:c r="AD1329" s="21" t="n">
        <x:f>IF(E1329="",MEDIAN($E$2:$E$2237),E1329)</x:f>
        <x:v>27244</x:v>
      </x:c>
      <x:c r="AE1329" s="17" t="n">
        <x:f>2014-B1329</x:f>
        <x:v>35</x:v>
      </x:c>
      <x:c r="AF1329" s="17" t="n">
        <x:f>F1329+G1329</x:f>
        <x:v>1</x:v>
      </x:c>
      <x:c r="AG1329" s="21" t="n">
        <x:f>SUM(J1329:O1329)</x:f>
        <x:v>101</x:v>
      </x:c>
      <x:c r="AH1329" s="17" t="n">
        <x:f>SUM(Q1329:S1329)</x:f>
        <x:v>6</x:v>
      </x:c>
      <x:c r="AI1329" s="17" t="n">
        <x:f>SUM(U1329:Y1329)</x:f>
        <x:v>0</x:v>
      </x:c>
      <x:c r="AJ1329" s="17" t="str">
        <x:f>IF(AE1329&lt;=34,"≤34",IF(AE1329&lt;=44,"35–44",IF(AE1329&lt;=54,"45–54",IF(AE1329&lt;=64,"55–64","65+"))))</x:f>
        <x:v>35–44</x:v>
      </x:c>
      <x:c r="AK1329" s="17" t="str">
        <x:f>IF(AG1329&gt;=1000,"High Value",IF(AG1329&gt;=300,"Mid Value","Low Value"))</x:f>
        <x:v>Low Value</x:v>
      </x:c>
      <x:c r="AL1329" s="17" t="str">
        <x:f>IF(AND(AI1329&gt;=1,I1329&lt;=50),"Priority 1",IF(AND(AG1329&gt;=1000,I1329&lt;=60),"Priority 2",IF(I1329&lt;=30,"Priority 3","Nurture")))</x:f>
        <x:v>Nurture</x:v>
      </x:c>
    </x:row>
    <x:row r="1330">
      <x:c r="A1330" s="16" t="n">
        <x:v>5621</x:v>
      </x:c>
      <x:c r="B1330" s="16" t="n">
        <x:v>1969</x:v>
      </x:c>
      <x:c r="C1330" s="16" t="str">
        <x:v>Graduation</x:v>
      </x:c>
      <x:c r="D1330" s="16" t="str">
        <x:v>Married</x:v>
      </x:c>
      <x:c r="E1330" s="16" t="n">
        <x:v>48752</x:v>
      </x:c>
      <x:c r="F1330" s="16" t="n">
        <x:v>1</x:v>
      </x:c>
      <x:c r="G1330" s="16" t="n">
        <x:v>1</x:v>
      </x:c>
      <x:c r="H1330" s="16" t="str">
        <x:v>12-12-2012</x:v>
      </x:c>
      <x:c r="I1330" s="16" t="n">
        <x:v>8</x:v>
      </x:c>
      <x:c r="J1330" s="16" t="n">
        <x:v>73</x:v>
      </x:c>
      <x:c r="K1330" s="16" t="n">
        <x:v>57</x:v>
      </x:c>
      <x:c r="L1330" s="16" t="n">
        <x:v>100</x:v>
      </x:c>
      <x:c r="M1330" s="16" t="n">
        <x:v>71</x:v>
      </x:c>
      <x:c r="N1330" s="16" t="n">
        <x:v>15</x:v>
      </x:c>
      <x:c r="O1330" s="16" t="n">
        <x:v>0</x:v>
      </x:c>
      <x:c r="P1330" s="16" t="n">
        <x:v>5</x:v>
      </x:c>
      <x:c r="Q1330" s="16" t="n">
        <x:v>6</x:v>
      </x:c>
      <x:c r="R1330" s="16" t="n">
        <x:v>1</x:v>
      </x:c>
      <x:c r="S1330" s="16" t="n">
        <x:v>5</x:v>
      </x:c>
      <x:c r="T1330" s="16" t="n">
        <x:v>9</x:v>
      </x:c>
      <x:c r="U1330" s="16" t="n">
        <x:v>0</x:v>
      </x:c>
      <x:c r="V1330" s="16" t="n">
        <x:v>0</x:v>
      </x:c>
      <x:c r="W1330" s="16" t="n">
        <x:v>0</x:v>
      </x:c>
      <x:c r="X1330" s="16" t="n">
        <x:v>0</x:v>
      </x:c>
      <x:c r="Y1330" s="16" t="n">
        <x:v>0</x:v>
      </x:c>
      <x:c r="Z1330" s="16" t="n">
        <x:v>0</x:v>
      </x:c>
      <x:c r="AA1330" s="16" t="n">
        <x:v>3</x:v>
      </x:c>
      <x:c r="AB1330" s="16" t="n">
        <x:v>11</x:v>
      </x:c>
      <x:c r="AC1330" s="16" t="n">
        <x:v>1</x:v>
      </x:c>
      <x:c r="AD1330" s="21" t="n">
        <x:f>IF(E1330="",MEDIAN($E$2:$E$2237),E1330)</x:f>
        <x:v>48752</x:v>
      </x:c>
      <x:c r="AE1330" s="17" t="n">
        <x:f>2014-B1330</x:f>
        <x:v>45</x:v>
      </x:c>
      <x:c r="AF1330" s="17" t="n">
        <x:f>F1330+G1330</x:f>
        <x:v>2</x:v>
      </x:c>
      <x:c r="AG1330" s="21" t="n">
        <x:f>SUM(J1330:O1330)</x:f>
        <x:v>316</x:v>
      </x:c>
      <x:c r="AH1330" s="17" t="n">
        <x:f>SUM(Q1330:S1330)</x:f>
        <x:v>12</x:v>
      </x:c>
      <x:c r="AI1330" s="17" t="n">
        <x:f>SUM(U1330:Y1330)</x:f>
        <x:v>0</x:v>
      </x:c>
      <x:c r="AJ1330" s="17" t="str">
        <x:f>IF(AE1330&lt;=34,"≤34",IF(AE1330&lt;=44,"35–44",IF(AE1330&lt;=54,"45–54",IF(AE1330&lt;=64,"55–64","65+"))))</x:f>
        <x:v>45–54</x:v>
      </x:c>
      <x:c r="AK1330" s="17" t="str">
        <x:f>IF(AG1330&gt;=1000,"High Value",IF(AG1330&gt;=300,"Mid Value","Low Value"))</x:f>
        <x:v>Mid Value</x:v>
      </x:c>
      <x:c r="AL1330" s="17" t="str">
        <x:f>IF(AND(AI1330&gt;=1,I1330&lt;=50),"Priority 1",IF(AND(AG1330&gt;=1000,I1330&lt;=60),"Priority 2",IF(I1330&lt;=30,"Priority 3","Nurture")))</x:f>
        <x:v>Priority 3</x:v>
      </x:c>
    </x:row>
    <x:row r="1331">
      <x:c r="A1331" s="16" t="n">
        <x:v>1945</x:v>
      </x:c>
      <x:c r="B1331" s="16" t="n">
        <x:v>1962</x:v>
      </x:c>
      <x:c r="C1331" s="16" t="str">
        <x:v>Graduation</x:v>
      </x:c>
      <x:c r="D1331" s="16" t="str">
        <x:v>Married</x:v>
      </x:c>
      <x:c r="E1331" s="16" t="n">
        <x:v>71434</x:v>
      </x:c>
      <x:c r="F1331" s="16" t="n">
        <x:v>0</x:v>
      </x:c>
      <x:c r="G1331" s="16" t="n">
        <x:v>1</x:v>
      </x:c>
      <x:c r="H1331" s="16" t="str">
        <x:v>18-09-2013</x:v>
      </x:c>
      <x:c r="I1331" s="16" t="n">
        <x:v>4</x:v>
      </x:c>
      <x:c r="J1331" s="16" t="n">
        <x:v>711</x:v>
      </x:c>
      <x:c r="K1331" s="16" t="n">
        <x:v>36</x:v>
      </x:c>
      <x:c r="L1331" s="16" t="n">
        <x:v>217</x:v>
      </x:c>
      <x:c r="M1331" s="16" t="n">
        <x:v>172</x:v>
      </x:c>
      <x:c r="N1331" s="16" t="n">
        <x:v>96</x:v>
      </x:c>
      <x:c r="O1331" s="16" t="n">
        <x:v>168</x:v>
      </x:c>
      <x:c r="P1331" s="16" t="n">
        <x:v>3</x:v>
      </x:c>
      <x:c r="Q1331" s="16" t="n">
        <x:v>7</x:v>
      </x:c>
      <x:c r="R1331" s="16" t="n">
        <x:v>4</x:v>
      </x:c>
      <x:c r="S1331" s="16" t="n">
        <x:v>7</x:v>
      </x:c>
      <x:c r="T1331" s="16" t="n">
        <x:v>4</x:v>
      </x:c>
      <x:c r="U1331" s="16" t="n">
        <x:v>0</x:v>
      </x:c>
      <x:c r="V1331" s="16" t="n">
        <x:v>1</x:v>
      </x:c>
      <x:c r="W1331" s="16" t="n">
        <x:v>0</x:v>
      </x:c>
      <x:c r="X1331" s="16" t="n">
        <x:v>1</x:v>
      </x:c>
      <x:c r="Y1331" s="16" t="n">
        <x:v>0</x:v>
      </x:c>
      <x:c r="Z1331" s="16" t="n">
        <x:v>0</x:v>
      </x:c>
      <x:c r="AA1331" s="16" t="n">
        <x:v>3</x:v>
      </x:c>
      <x:c r="AB1331" s="16" t="n">
        <x:v>11</x:v>
      </x:c>
      <x:c r="AC1331" s="16" t="n">
        <x:v>0</x:v>
      </x:c>
      <x:c r="AD1331" s="21" t="n">
        <x:f>IF(E1331="",MEDIAN($E$2:$E$2237),E1331)</x:f>
        <x:v>71434</x:v>
      </x:c>
      <x:c r="AE1331" s="17" t="n">
        <x:f>2014-B1331</x:f>
        <x:v>52</x:v>
      </x:c>
      <x:c r="AF1331" s="17" t="n">
        <x:f>F1331+G1331</x:f>
        <x:v>1</x:v>
      </x:c>
      <x:c r="AG1331" s="21" t="n">
        <x:f>SUM(J1331:O1331)</x:f>
        <x:v>1400</x:v>
      </x:c>
      <x:c r="AH1331" s="17" t="n">
        <x:f>SUM(Q1331:S1331)</x:f>
        <x:v>18</x:v>
      </x:c>
      <x:c r="AI1331" s="17" t="n">
        <x:f>SUM(U1331:Y1331)</x:f>
        <x:v>2</x:v>
      </x:c>
      <x:c r="AJ1331" s="17" t="str">
        <x:f>IF(AE1331&lt;=34,"≤34",IF(AE1331&lt;=44,"35–44",IF(AE1331&lt;=54,"45–54",IF(AE1331&lt;=64,"55–64","65+"))))</x:f>
        <x:v>45–54</x:v>
      </x:c>
      <x:c r="AK1331" s="17" t="str">
        <x:f>IF(AG1331&gt;=1000,"High Value",IF(AG1331&gt;=300,"Mid Value","Low Value"))</x:f>
        <x:v>High Value</x:v>
      </x:c>
      <x:c r="AL1331" s="17" t="str">
        <x:f>IF(AND(AI1331&gt;=1,I1331&lt;=50),"Priority 1",IF(AND(AG1331&gt;=1000,I1331&lt;=60),"Priority 2",IF(I1331&lt;=30,"Priority 3","Nurture")))</x:f>
        <x:v>Priority 1</x:v>
      </x:c>
    </x:row>
    <x:row r="1332">
      <x:c r="A1332" s="16" t="n">
        <x:v>5147</x:v>
      </x:c>
      <x:c r="B1332" s="16" t="n">
        <x:v>1948</x:v>
      </x:c>
      <x:c r="C1332" s="16" t="str">
        <x:v>Graduation</x:v>
      </x:c>
      <x:c r="D1332" s="16" t="str">
        <x:v>Single</x:v>
      </x:c>
      <x:c r="E1332" s="16" t="n">
        <x:v>90842</x:v>
      </x:c>
      <x:c r="F1332" s="16" t="n">
        <x:v>0</x:v>
      </x:c>
      <x:c r="G1332" s="16" t="n">
        <x:v>0</x:v>
      </x:c>
      <x:c r="H1332" s="16" t="str">
        <x:v>29-07-2013</x:v>
      </x:c>
      <x:c r="I1332" s="16" t="n">
        <x:v>57</x:v>
      </x:c>
      <x:c r="J1332" s="16" t="n">
        <x:v>774</x:v>
      </x:c>
      <x:c r="K1332" s="16" t="n">
        <x:v>70</x:v>
      </x:c>
      <x:c r="L1332" s="16" t="n">
        <x:v>118</x:v>
      </x:c>
      <x:c r="M1332" s="16" t="n">
        <x:v>182</x:v>
      </x:c>
      <x:c r="N1332" s="16" t="n">
        <x:v>187</x:v>
      </x:c>
      <x:c r="O1332" s="16" t="n">
        <x:v>93</x:v>
      </x:c>
      <x:c r="P1332" s="16" t="n">
        <x:v>1</x:v>
      </x:c>
      <x:c r="Q1332" s="16" t="n">
        <x:v>4</x:v>
      </x:c>
      <x:c r="R1332" s="16" t="n">
        <x:v>9</x:v>
      </x:c>
      <x:c r="S1332" s="16" t="n">
        <x:v>13</x:v>
      </x:c>
      <x:c r="T1332" s="16" t="n">
        <x:v>1</x:v>
      </x:c>
      <x:c r="U1332" s="16" t="n">
        <x:v>0</x:v>
      </x:c>
      <x:c r="V1332" s="16" t="n">
        <x:v>0</x:v>
      </x:c>
      <x:c r="W1332" s="16" t="n">
        <x:v>0</x:v>
      </x:c>
      <x:c r="X1332" s="16" t="n">
        <x:v>0</x:v>
      </x:c>
      <x:c r="Y1332" s="16" t="n">
        <x:v>0</x:v>
      </x:c>
      <x:c r="Z1332" s="16" t="n">
        <x:v>0</x:v>
      </x:c>
      <x:c r="AA1332" s="16" t="n">
        <x:v>3</x:v>
      </x:c>
      <x:c r="AB1332" s="16" t="n">
        <x:v>11</x:v>
      </x:c>
      <x:c r="AC1332" s="16" t="n">
        <x:v>0</x:v>
      </x:c>
      <x:c r="AD1332" s="21" t="n">
        <x:f>IF(E1332="",MEDIAN($E$2:$E$2237),E1332)</x:f>
        <x:v>90842</x:v>
      </x:c>
      <x:c r="AE1332" s="17" t="n">
        <x:f>2014-B1332</x:f>
        <x:v>66</x:v>
      </x:c>
      <x:c r="AF1332" s="17" t="n">
        <x:f>F1332+G1332</x:f>
        <x:v>0</x:v>
      </x:c>
      <x:c r="AG1332" s="21" t="n">
        <x:f>SUM(J1332:O1332)</x:f>
        <x:v>1424</x:v>
      </x:c>
      <x:c r="AH1332" s="17" t="n">
        <x:f>SUM(Q1332:S1332)</x:f>
        <x:v>26</x:v>
      </x:c>
      <x:c r="AI1332" s="17" t="n">
        <x:f>SUM(U1332:Y1332)</x:f>
        <x:v>0</x:v>
      </x:c>
      <x:c r="AJ1332" s="17" t="str">
        <x:f>IF(AE1332&lt;=34,"≤34",IF(AE1332&lt;=44,"35–44",IF(AE1332&lt;=54,"45–54",IF(AE1332&lt;=64,"55–64","65+"))))</x:f>
        <x:v>65+</x:v>
      </x:c>
      <x:c r="AK1332" s="17" t="str">
        <x:f>IF(AG1332&gt;=1000,"High Value",IF(AG1332&gt;=300,"Mid Value","Low Value"))</x:f>
        <x:v>High Value</x:v>
      </x:c>
      <x:c r="AL1332" s="17" t="str">
        <x:f>IF(AND(AI1332&gt;=1,I1332&lt;=50),"Priority 1",IF(AND(AG1332&gt;=1000,I1332&lt;=60),"Priority 2",IF(I1332&lt;=30,"Priority 3","Nurture")))</x:f>
        <x:v>Priority 2</x:v>
      </x:c>
    </x:row>
    <x:row r="1333">
      <x:c r="A1333" s="16" t="n">
        <x:v>2535</x:v>
      </x:c>
      <x:c r="B1333" s="16" t="n">
        <x:v>1978</x:v>
      </x:c>
      <x:c r="C1333" s="16" t="str">
        <x:v>Master</x:v>
      </x:c>
      <x:c r="D1333" s="16" t="str">
        <x:v>Married</x:v>
      </x:c>
      <x:c r="E1333" s="16" t="n">
        <x:v>88097</x:v>
      </x:c>
      <x:c r="F1333" s="16" t="n">
        <x:v>1</x:v>
      </x:c>
      <x:c r="G1333" s="16" t="n">
        <x:v>0</x:v>
      </x:c>
      <x:c r="H1333" s="16" t="str">
        <x:v>18-08-2012</x:v>
      </x:c>
      <x:c r="I1333" s="16" t="n">
        <x:v>24</x:v>
      </x:c>
      <x:c r="J1333" s="16" t="n">
        <x:v>163</x:v>
      </x:c>
      <x:c r="K1333" s="16" t="n">
        <x:v>0</x:v>
      </x:c>
      <x:c r="L1333" s="16" t="n">
        <x:v>480</x:v>
      </x:c>
      <x:c r="M1333" s="16" t="n">
        <x:v>0</x:v>
      </x:c>
      <x:c r="N1333" s="16" t="n">
        <x:v>126</x:v>
      </x:c>
      <x:c r="O1333" s="16" t="n">
        <x:v>75</x:v>
      </x:c>
      <x:c r="P1333" s="16" t="n">
        <x:v>1</x:v>
      </x:c>
      <x:c r="Q1333" s="16" t="n">
        <x:v>6</x:v>
      </x:c>
      <x:c r="R1333" s="16" t="n">
        <x:v>5</x:v>
      </x:c>
      <x:c r="S1333" s="16" t="n">
        <x:v>8</x:v>
      </x:c>
      <x:c r="T1333" s="16" t="n">
        <x:v>9</x:v>
      </x:c>
      <x:c r="U1333" s="16" t="n">
        <x:v>0</x:v>
      </x:c>
      <x:c r="V1333" s="16" t="n">
        <x:v>1</x:v>
      </x:c>
      <x:c r="W1333" s="16" t="n">
        <x:v>1</x:v>
      </x:c>
      <x:c r="X1333" s="16" t="n">
        <x:v>1</x:v>
      </x:c>
      <x:c r="Y1333" s="16" t="n">
        <x:v>0</x:v>
      </x:c>
      <x:c r="Z1333" s="16" t="n">
        <x:v>0</x:v>
      </x:c>
      <x:c r="AA1333" s="16" t="n">
        <x:v>3</x:v>
      </x:c>
      <x:c r="AB1333" s="16" t="n">
        <x:v>11</x:v>
      </x:c>
      <x:c r="AC1333" s="16" t="n">
        <x:v>1</x:v>
      </x:c>
      <x:c r="AD1333" s="21" t="n">
        <x:f>IF(E1333="",MEDIAN($E$2:$E$2237),E1333)</x:f>
        <x:v>88097</x:v>
      </x:c>
      <x:c r="AE1333" s="17" t="n">
        <x:f>2014-B1333</x:f>
        <x:v>36</x:v>
      </x:c>
      <x:c r="AF1333" s="17" t="n">
        <x:f>F1333+G1333</x:f>
        <x:v>1</x:v>
      </x:c>
      <x:c r="AG1333" s="21" t="n">
        <x:f>SUM(J1333:O1333)</x:f>
        <x:v>844</x:v>
      </x:c>
      <x:c r="AH1333" s="17" t="n">
        <x:f>SUM(Q1333:S1333)</x:f>
        <x:v>19</x:v>
      </x:c>
      <x:c r="AI1333" s="17" t="n">
        <x:f>SUM(U1333:Y1333)</x:f>
        <x:v>3</x:v>
      </x:c>
      <x:c r="AJ1333" s="17" t="str">
        <x:f>IF(AE1333&lt;=34,"≤34",IF(AE1333&lt;=44,"35–44",IF(AE1333&lt;=54,"45–54",IF(AE1333&lt;=64,"55–64","65+"))))</x:f>
        <x:v>35–44</x:v>
      </x:c>
      <x:c r="AK1333" s="17" t="str">
        <x:f>IF(AG1333&gt;=1000,"High Value",IF(AG1333&gt;=300,"Mid Value","Low Value"))</x:f>
        <x:v>Mid Value</x:v>
      </x:c>
      <x:c r="AL1333" s="17" t="str">
        <x:f>IF(AND(AI1333&gt;=1,I1333&lt;=50),"Priority 1",IF(AND(AG1333&gt;=1000,I1333&lt;=60),"Priority 2",IF(I1333&lt;=30,"Priority 3","Nurture")))</x:f>
        <x:v>Priority 1</x:v>
      </x:c>
    </x:row>
    <x:row r="1334">
      <x:c r="A1334" s="16" t="n">
        <x:v>11039</x:v>
      </x:c>
      <x:c r="B1334" s="16" t="n">
        <x:v>1975</x:v>
      </x:c>
      <x:c r="C1334" s="16" t="str">
        <x:v>Graduation</x:v>
      </x:c>
      <x:c r="D1334" s="16" t="str">
        <x:v>Married</x:v>
      </x:c>
      <x:c r="E1334" s="16" t="n">
        <x:v>51948</x:v>
      </x:c>
      <x:c r="F1334" s="16" t="n">
        <x:v>0</x:v>
      </x:c>
      <x:c r="G1334" s="16" t="n">
        <x:v>1</x:v>
      </x:c>
      <x:c r="H1334" s="16" t="str">
        <x:v>17-09-2013</x:v>
      </x:c>
      <x:c r="I1334" s="16" t="n">
        <x:v>51</x:v>
      </x:c>
      <x:c r="J1334" s="16" t="n">
        <x:v>82</x:v>
      </x:c>
      <x:c r="K1334" s="16" t="n">
        <x:v>33</x:v>
      </x:c>
      <x:c r="L1334" s="16" t="n">
        <x:v>54</x:v>
      </x:c>
      <x:c r="M1334" s="16" t="n">
        <x:v>71</x:v>
      </x:c>
      <x:c r="N1334" s="16" t="n">
        <x:v>30</x:v>
      </x:c>
      <x:c r="O1334" s="16" t="n">
        <x:v>41</x:v>
      </x:c>
      <x:c r="P1334" s="16" t="n">
        <x:v>2</x:v>
      </x:c>
      <x:c r="Q1334" s="16" t="n">
        <x:v>5</x:v>
      </x:c>
      <x:c r="R1334" s="16" t="n">
        <x:v>2</x:v>
      </x:c>
      <x:c r="S1334" s="16" t="n">
        <x:v>4</x:v>
      </x:c>
      <x:c r="T1334" s="16" t="n">
        <x:v>5</x:v>
      </x:c>
      <x:c r="U1334" s="16" t="n">
        <x:v>0</x:v>
      </x:c>
      <x:c r="V1334" s="16" t="n">
        <x:v>0</x:v>
      </x:c>
      <x:c r="W1334" s="16" t="n">
        <x:v>0</x:v>
      </x:c>
      <x:c r="X1334" s="16" t="n">
        <x:v>0</x:v>
      </x:c>
      <x:c r="Y1334" s="16" t="n">
        <x:v>0</x:v>
      </x:c>
      <x:c r="Z1334" s="16" t="n">
        <x:v>0</x:v>
      </x:c>
      <x:c r="AA1334" s="16" t="n">
        <x:v>3</x:v>
      </x:c>
      <x:c r="AB1334" s="16" t="n">
        <x:v>11</x:v>
      </x:c>
      <x:c r="AC1334" s="16" t="n">
        <x:v>0</x:v>
      </x:c>
      <x:c r="AD1334" s="21" t="n">
        <x:f>IF(E1334="",MEDIAN($E$2:$E$2237),E1334)</x:f>
        <x:v>51948</x:v>
      </x:c>
      <x:c r="AE1334" s="17" t="n">
        <x:f>2014-B1334</x:f>
        <x:v>39</x:v>
      </x:c>
      <x:c r="AF1334" s="17" t="n">
        <x:f>F1334+G1334</x:f>
        <x:v>1</x:v>
      </x:c>
      <x:c r="AG1334" s="21" t="n">
        <x:f>SUM(J1334:O1334)</x:f>
        <x:v>311</x:v>
      </x:c>
      <x:c r="AH1334" s="17" t="n">
        <x:f>SUM(Q1334:S1334)</x:f>
        <x:v>11</x:v>
      </x:c>
      <x:c r="AI1334" s="17" t="n">
        <x:f>SUM(U1334:Y1334)</x:f>
        <x:v>0</x:v>
      </x:c>
      <x:c r="AJ1334" s="17" t="str">
        <x:f>IF(AE1334&lt;=34,"≤34",IF(AE1334&lt;=44,"35–44",IF(AE1334&lt;=54,"45–54",IF(AE1334&lt;=64,"55–64","65+"))))</x:f>
        <x:v>35–44</x:v>
      </x:c>
      <x:c r="AK1334" s="17" t="str">
        <x:f>IF(AG1334&gt;=1000,"High Value",IF(AG1334&gt;=300,"Mid Value","Low Value"))</x:f>
        <x:v>Mid Value</x:v>
      </x:c>
      <x:c r="AL1334" s="17" t="str">
        <x:f>IF(AND(AI1334&gt;=1,I1334&lt;=50),"Priority 1",IF(AND(AG1334&gt;=1000,I1334&lt;=60),"Priority 2",IF(I1334&lt;=30,"Priority 3","Nurture")))</x:f>
        <x:v>Nurture</x:v>
      </x:c>
    </x:row>
    <x:row r="1335">
      <x:c r="A1335" s="16" t="n">
        <x:v>9495</x:v>
      </x:c>
      <x:c r="B1335" s="16" t="n">
        <x:v>1982</x:v>
      </x:c>
      <x:c r="C1335" s="16" t="str">
        <x:v>Graduation</x:v>
      </x:c>
      <x:c r="D1335" s="16" t="str">
        <x:v>Together</x:v>
      </x:c>
      <x:c r="E1335" s="16" t="n">
        <x:v>71853</x:v>
      </x:c>
      <x:c r="F1335" s="16" t="n">
        <x:v>0</x:v>
      </x:c>
      <x:c r="G1335" s="16" t="n">
        <x:v>0</x:v>
      </x:c>
      <x:c r="H1335" s="16" t="str">
        <x:v>08-05-2013</x:v>
      </x:c>
      <x:c r="I1335" s="16" t="n">
        <x:v>29</x:v>
      </x:c>
      <x:c r="J1335" s="16" t="n">
        <x:v>358</x:v>
      </x:c>
      <x:c r="K1335" s="16" t="n">
        <x:v>108</x:v>
      </x:c>
      <x:c r="L1335" s="16" t="n">
        <x:v>413</x:v>
      </x:c>
      <x:c r="M1335" s="16" t="n">
        <x:v>141</x:v>
      </x:c>
      <x:c r="N1335" s="16" t="n">
        <x:v>97</x:v>
      </x:c>
      <x:c r="O1335" s="16" t="n">
        <x:v>32</x:v>
      </x:c>
      <x:c r="P1335" s="16" t="n">
        <x:v>1</x:v>
      </x:c>
      <x:c r="Q1335" s="16" t="n">
        <x:v>2</x:v>
      </x:c>
      <x:c r="R1335" s="16" t="n">
        <x:v>8</x:v>
      </x:c>
      <x:c r="S1335" s="16" t="n">
        <x:v>6</x:v>
      </x:c>
      <x:c r="T1335" s="16" t="n">
        <x:v>1</x:v>
      </x:c>
      <x:c r="U1335" s="16" t="n">
        <x:v>0</x:v>
      </x:c>
      <x:c r="V1335" s="16" t="n">
        <x:v>0</x:v>
      </x:c>
      <x:c r="W1335" s="16" t="n">
        <x:v>0</x:v>
      </x:c>
      <x:c r="X1335" s="16" t="n">
        <x:v>0</x:v>
      </x:c>
      <x:c r="Y1335" s="16" t="n">
        <x:v>0</x:v>
      </x:c>
      <x:c r="Z1335" s="16" t="n">
        <x:v>0</x:v>
      </x:c>
      <x:c r="AA1335" s="16" t="n">
        <x:v>3</x:v>
      </x:c>
      <x:c r="AB1335" s="16" t="n">
        <x:v>11</x:v>
      </x:c>
      <x:c r="AC1335" s="16" t="n">
        <x:v>0</x:v>
      </x:c>
      <x:c r="AD1335" s="21" t="n">
        <x:f>IF(E1335="",MEDIAN($E$2:$E$2237),E1335)</x:f>
        <x:v>71853</x:v>
      </x:c>
      <x:c r="AE1335" s="17" t="n">
        <x:f>2014-B1335</x:f>
        <x:v>32</x:v>
      </x:c>
      <x:c r="AF1335" s="17" t="n">
        <x:f>F1335+G1335</x:f>
        <x:v>0</x:v>
      </x:c>
      <x:c r="AG1335" s="21" t="n">
        <x:f>SUM(J1335:O1335)</x:f>
        <x:v>1149</x:v>
      </x:c>
      <x:c r="AH1335" s="17" t="n">
        <x:f>SUM(Q1335:S1335)</x:f>
        <x:v>16</x:v>
      </x:c>
      <x:c r="AI1335" s="17" t="n">
        <x:f>SUM(U1335:Y1335)</x:f>
        <x:v>0</x:v>
      </x:c>
      <x:c r="AJ1335" s="17" t="str">
        <x:f>IF(AE1335&lt;=34,"≤34",IF(AE1335&lt;=44,"35–44",IF(AE1335&lt;=54,"45–54",IF(AE1335&lt;=64,"55–64","65+"))))</x:f>
        <x:v>≤34</x:v>
      </x:c>
      <x:c r="AK1335" s="17" t="str">
        <x:f>IF(AG1335&gt;=1000,"High Value",IF(AG1335&gt;=300,"Mid Value","Low Value"))</x:f>
        <x:v>High Value</x:v>
      </x:c>
      <x:c r="AL1335" s="17" t="str">
        <x:f>IF(AND(AI1335&gt;=1,I1335&lt;=50),"Priority 1",IF(AND(AG1335&gt;=1000,I1335&lt;=60),"Priority 2",IF(I1335&lt;=30,"Priority 3","Nurture")))</x:f>
        <x:v>Priority 2</x:v>
      </x:c>
    </x:row>
    <x:row r="1336">
      <x:c r="A1336" s="16" t="n">
        <x:v>9635</x:v>
      </x:c>
      <x:c r="B1336" s="16" t="n">
        <x:v>1983</x:v>
      </x:c>
      <x:c r="C1336" s="16" t="str">
        <x:v>Master</x:v>
      </x:c>
      <x:c r="D1336" s="16" t="str">
        <x:v>Married</x:v>
      </x:c>
      <x:c r="E1336" s="16" t="n">
        <x:v>35876</x:v>
      </x:c>
      <x:c r="F1336" s="16" t="n">
        <x:v>0</x:v>
      </x:c>
      <x:c r="G1336" s="16" t="n">
        <x:v>0</x:v>
      </x:c>
      <x:c r="H1336" s="16" t="str">
        <x:v>20-04-2014</x:v>
      </x:c>
      <x:c r="I1336" s="16" t="n">
        <x:v>13</x:v>
      </x:c>
      <x:c r="J1336" s="16" t="n">
        <x:v>66</x:v>
      </x:c>
      <x:c r="K1336" s="16" t="n">
        <x:v>2</x:v>
      </x:c>
      <x:c r="L1336" s="16" t="n">
        <x:v>40</x:v>
      </x:c>
      <x:c r="M1336" s="16" t="n">
        <x:v>4</x:v>
      </x:c>
      <x:c r="N1336" s="16" t="n">
        <x:v>3</x:v>
      </x:c>
      <x:c r="O1336" s="16" t="n">
        <x:v>14</x:v>
      </x:c>
      <x:c r="P1336" s="16" t="n">
        <x:v>1</x:v>
      </x:c>
      <x:c r="Q1336" s="16" t="n">
        <x:v>3</x:v>
      </x:c>
      <x:c r="R1336" s="16" t="n">
        <x:v>1</x:v>
      </x:c>
      <x:c r="S1336" s="16" t="n">
        <x:v>3</x:v>
      </x:c>
      <x:c r="T1336" s="16" t="n">
        <x:v>6</x:v>
      </x:c>
      <x:c r="U1336" s="16" t="n">
        <x:v>0</x:v>
      </x:c>
      <x:c r="V1336" s="16" t="n">
        <x:v>0</x:v>
      </x:c>
      <x:c r="W1336" s="16" t="n">
        <x:v>0</x:v>
      </x:c>
      <x:c r="X1336" s="16" t="n">
        <x:v>0</x:v>
      </x:c>
      <x:c r="Y1336" s="16" t="n">
        <x:v>0</x:v>
      </x:c>
      <x:c r="Z1336" s="16" t="n">
        <x:v>0</x:v>
      </x:c>
      <x:c r="AA1336" s="16" t="n">
        <x:v>3</x:v>
      </x:c>
      <x:c r="AB1336" s="16" t="n">
        <x:v>11</x:v>
      </x:c>
      <x:c r="AC1336" s="16" t="n">
        <x:v>0</x:v>
      </x:c>
      <x:c r="AD1336" s="21" t="n">
        <x:f>IF(E1336="",MEDIAN($E$2:$E$2237),E1336)</x:f>
        <x:v>35876</x:v>
      </x:c>
      <x:c r="AE1336" s="17" t="n">
        <x:f>2014-B1336</x:f>
        <x:v>31</x:v>
      </x:c>
      <x:c r="AF1336" s="17" t="n">
        <x:f>F1336+G1336</x:f>
        <x:v>0</x:v>
      </x:c>
      <x:c r="AG1336" s="21" t="n">
        <x:f>SUM(J1336:O1336)</x:f>
        <x:v>129</x:v>
      </x:c>
      <x:c r="AH1336" s="17" t="n">
        <x:f>SUM(Q1336:S1336)</x:f>
        <x:v>7</x:v>
      </x:c>
      <x:c r="AI1336" s="17" t="n">
        <x:f>SUM(U1336:Y1336)</x:f>
        <x:v>0</x:v>
      </x:c>
      <x:c r="AJ1336" s="17" t="str">
        <x:f>IF(AE1336&lt;=34,"≤34",IF(AE1336&lt;=44,"35–44",IF(AE1336&lt;=54,"45–54",IF(AE1336&lt;=64,"55–64","65+"))))</x:f>
        <x:v>≤34</x:v>
      </x:c>
      <x:c r="AK1336" s="17" t="str">
        <x:f>IF(AG1336&gt;=1000,"High Value",IF(AG1336&gt;=300,"Mid Value","Low Value"))</x:f>
        <x:v>Low Value</x:v>
      </x:c>
      <x:c r="AL1336" s="17" t="str">
        <x:f>IF(AND(AI1336&gt;=1,I1336&lt;=50),"Priority 1",IF(AND(AG1336&gt;=1000,I1336&lt;=60),"Priority 2",IF(I1336&lt;=30,"Priority 3","Nurture")))</x:f>
        <x:v>Priority 3</x:v>
      </x:c>
    </x:row>
    <x:row r="1337">
      <x:c r="A1337" s="16" t="n">
        <x:v>2173</x:v>
      </x:c>
      <x:c r="B1337" s="16" t="n">
        <x:v>1952</x:v>
      </x:c>
      <x:c r="C1337" s="16" t="str">
        <x:v>Graduation</x:v>
      </x:c>
      <x:c r="D1337" s="16" t="str">
        <x:v>Widow</x:v>
      </x:c>
      <x:c r="E1337" s="16" t="n">
        <x:v>40049</x:v>
      </x:c>
      <x:c r="F1337" s="16" t="n">
        <x:v>0</x:v>
      </x:c>
      <x:c r="G1337" s="16" t="n">
        <x:v>1</x:v>
      </x:c>
      <x:c r="H1337" s="16" t="str">
        <x:v>16-10-2013</x:v>
      </x:c>
      <x:c r="I1337" s="16" t="n">
        <x:v>23</x:v>
      </x:c>
      <x:c r="J1337" s="16" t="n">
        <x:v>13</x:v>
      </x:c>
      <x:c r="K1337" s="16" t="n">
        <x:v>6</x:v>
      </x:c>
      <x:c r="L1337" s="16" t="n">
        <x:v>7</x:v>
      </x:c>
      <x:c r="M1337" s="16" t="n">
        <x:v>0</x:v>
      </x:c>
      <x:c r="N1337" s="16" t="n">
        <x:v>3</x:v>
      </x:c>
      <x:c r="O1337" s="16" t="n">
        <x:v>3</x:v>
      </x:c>
      <x:c r="P1337" s="16" t="n">
        <x:v>1</x:v>
      </x:c>
      <x:c r="Q1337" s="16" t="n">
        <x:v>1</x:v>
      </x:c>
      <x:c r="R1337" s="16" t="n">
        <x:v>0</x:v>
      </x:c>
      <x:c r="S1337" s="16" t="n">
        <x:v>3</x:v>
      </x:c>
      <x:c r="T1337" s="16" t="n">
        <x:v>6</x:v>
      </x:c>
      <x:c r="U1337" s="16" t="n">
        <x:v>0</x:v>
      </x:c>
      <x:c r="V1337" s="16" t="n">
        <x:v>0</x:v>
      </x:c>
      <x:c r="W1337" s="16" t="n">
        <x:v>0</x:v>
      </x:c>
      <x:c r="X1337" s="16" t="n">
        <x:v>0</x:v>
      </x:c>
      <x:c r="Y1337" s="16" t="n">
        <x:v>0</x:v>
      </x:c>
      <x:c r="Z1337" s="16" t="n">
        <x:v>0</x:v>
      </x:c>
      <x:c r="AA1337" s="16" t="n">
        <x:v>3</x:v>
      </x:c>
      <x:c r="AB1337" s="16" t="n">
        <x:v>11</x:v>
      </x:c>
      <x:c r="AC1337" s="16" t="n">
        <x:v>0</x:v>
      </x:c>
      <x:c r="AD1337" s="21" t="n">
        <x:f>IF(E1337="",MEDIAN($E$2:$E$2237),E1337)</x:f>
        <x:v>40049</x:v>
      </x:c>
      <x:c r="AE1337" s="17" t="n">
        <x:f>2014-B1337</x:f>
        <x:v>62</x:v>
      </x:c>
      <x:c r="AF1337" s="17" t="n">
        <x:f>F1337+G1337</x:f>
        <x:v>1</x:v>
      </x:c>
      <x:c r="AG1337" s="21" t="n">
        <x:f>SUM(J1337:O1337)</x:f>
        <x:v>32</x:v>
      </x:c>
      <x:c r="AH1337" s="17" t="n">
        <x:f>SUM(Q1337:S1337)</x:f>
        <x:v>4</x:v>
      </x:c>
      <x:c r="AI1337" s="17" t="n">
        <x:f>SUM(U1337:Y1337)</x:f>
        <x:v>0</x:v>
      </x:c>
      <x:c r="AJ1337" s="17" t="str">
        <x:f>IF(AE1337&lt;=34,"≤34",IF(AE1337&lt;=44,"35–44",IF(AE1337&lt;=54,"45–54",IF(AE1337&lt;=64,"55–64","65+"))))</x:f>
        <x:v>55–64</x:v>
      </x:c>
      <x:c r="AK1337" s="17" t="str">
        <x:f>IF(AG1337&gt;=1000,"High Value",IF(AG1337&gt;=300,"Mid Value","Low Value"))</x:f>
        <x:v>Low Value</x:v>
      </x:c>
      <x:c r="AL1337" s="17" t="str">
        <x:f>IF(AND(AI1337&gt;=1,I1337&lt;=50),"Priority 1",IF(AND(AG1337&gt;=1000,I1337&lt;=60),"Priority 2",IF(I1337&lt;=30,"Priority 3","Nurture")))</x:f>
        <x:v>Priority 3</x:v>
      </x:c>
    </x:row>
    <x:row r="1338">
      <x:c r="A1338" s="16" t="n">
        <x:v>942</x:v>
      </x:c>
      <x:c r="B1338" s="16" t="n">
        <x:v>1982</x:v>
      </x:c>
      <x:c r="C1338" s="16" t="str">
        <x:v>Graduation</x:v>
      </x:c>
      <x:c r="D1338" s="16" t="str">
        <x:v>Single</x:v>
      </x:c>
      <x:c r="E1338" s="16" t="n">
        <x:v>39660</x:v>
      </x:c>
      <x:c r="F1338" s="16" t="n">
        <x:v>1</x:v>
      </x:c>
      <x:c r="G1338" s="16" t="n">
        <x:v>0</x:v>
      </x:c>
      <x:c r="H1338" s="16" t="str">
        <x:v>08-08-2012</x:v>
      </x:c>
      <x:c r="I1338" s="16" t="n">
        <x:v>36</x:v>
      </x:c>
      <x:c r="J1338" s="16" t="n">
        <x:v>139</x:v>
      </x:c>
      <x:c r="K1338" s="16" t="n">
        <x:v>13</x:v>
      </x:c>
      <x:c r="L1338" s="16" t="n">
        <x:v>78</x:v>
      </x:c>
      <x:c r="M1338" s="16" t="n">
        <x:v>20</x:v>
      </x:c>
      <x:c r="N1338" s="16" t="n">
        <x:v>13</x:v>
      </x:c>
      <x:c r="O1338" s="16" t="n">
        <x:v>36</x:v>
      </x:c>
      <x:c r="P1338" s="16" t="n">
        <x:v>3</x:v>
      </x:c>
      <x:c r="Q1338" s="16" t="n">
        <x:v>7</x:v>
      </x:c>
      <x:c r="R1338" s="16" t="n">
        <x:v>1</x:v>
      </x:c>
      <x:c r="S1338" s="16" t="n">
        <x:v>3</x:v>
      </x:c>
      <x:c r="T1338" s="16" t="n">
        <x:v>9</x:v>
      </x:c>
      <x:c r="U1338" s="16" t="n">
        <x:v>0</x:v>
      </x:c>
      <x:c r="V1338" s="16" t="n">
        <x:v>0</x:v>
      </x:c>
      <x:c r="W1338" s="16" t="n">
        <x:v>0</x:v>
      </x:c>
      <x:c r="X1338" s="16" t="n">
        <x:v>0</x:v>
      </x:c>
      <x:c r="Y1338" s="16" t="n">
        <x:v>0</x:v>
      </x:c>
      <x:c r="Z1338" s="16" t="n">
        <x:v>0</x:v>
      </x:c>
      <x:c r="AA1338" s="16" t="n">
        <x:v>3</x:v>
      </x:c>
      <x:c r="AB1338" s="16" t="n">
        <x:v>11</x:v>
      </x:c>
      <x:c r="AC1338" s="16" t="n">
        <x:v>1</x:v>
      </x:c>
      <x:c r="AD1338" s="21" t="n">
        <x:f>IF(E1338="",MEDIAN($E$2:$E$2237),E1338)</x:f>
        <x:v>39660</x:v>
      </x:c>
      <x:c r="AE1338" s="17" t="n">
        <x:f>2014-B1338</x:f>
        <x:v>32</x:v>
      </x:c>
      <x:c r="AF1338" s="17" t="n">
        <x:f>F1338+G1338</x:f>
        <x:v>1</x:v>
      </x:c>
      <x:c r="AG1338" s="21" t="n">
        <x:f>SUM(J1338:O1338)</x:f>
        <x:v>299</x:v>
      </x:c>
      <x:c r="AH1338" s="17" t="n">
        <x:f>SUM(Q1338:S1338)</x:f>
        <x:v>11</x:v>
      </x:c>
      <x:c r="AI1338" s="17" t="n">
        <x:f>SUM(U1338:Y1338)</x:f>
        <x:v>0</x:v>
      </x:c>
      <x:c r="AJ1338" s="17" t="str">
        <x:f>IF(AE1338&lt;=34,"≤34",IF(AE1338&lt;=44,"35–44",IF(AE1338&lt;=54,"45–54",IF(AE1338&lt;=64,"55–64","65+"))))</x:f>
        <x:v>≤34</x:v>
      </x:c>
      <x:c r="AK1338" s="17" t="str">
        <x:f>IF(AG1338&gt;=1000,"High Value",IF(AG1338&gt;=300,"Mid Value","Low Value"))</x:f>
        <x:v>Low Value</x:v>
      </x:c>
      <x:c r="AL1338" s="17" t="str">
        <x:f>IF(AND(AI1338&gt;=1,I1338&lt;=50),"Priority 1",IF(AND(AG1338&gt;=1000,I1338&lt;=60),"Priority 2",IF(I1338&lt;=30,"Priority 3","Nurture")))</x:f>
        <x:v>Nurture</x:v>
      </x:c>
    </x:row>
    <x:row r="1339">
      <x:c r="A1339" s="16" t="n">
        <x:v>9386</x:v>
      </x:c>
      <x:c r="B1339" s="16" t="n">
        <x:v>1962</x:v>
      </x:c>
      <x:c r="C1339" s="16" t="str">
        <x:v>Graduation</x:v>
      </x:c>
      <x:c r="D1339" s="16" t="str">
        <x:v>Together</x:v>
      </x:c>
      <x:c r="E1339" s="16" t="n">
        <x:v>50127</x:v>
      </x:c>
      <x:c r="F1339" s="16" t="n">
        <x:v>0</x:v>
      </x:c>
      <x:c r="G1339" s="16" t="n">
        <x:v>1</x:v>
      </x:c>
      <x:c r="H1339" s="16" t="str">
        <x:v>29-05-2014</x:v>
      </x:c>
      <x:c r="I1339" s="16" t="n">
        <x:v>88</x:v>
      </x:c>
      <x:c r="J1339" s="16" t="n">
        <x:v>274</x:v>
      </x:c>
      <x:c r="K1339" s="16" t="n">
        <x:v>0</x:v>
      </x:c>
      <x:c r="L1339" s="16" t="n">
        <x:v>21</x:v>
      </x:c>
      <x:c r="M1339" s="16" t="n">
        <x:v>4</x:v>
      </x:c>
      <x:c r="N1339" s="16" t="n">
        <x:v>6</x:v>
      </x:c>
      <x:c r="O1339" s="16" t="n">
        <x:v>15</x:v>
      </x:c>
      <x:c r="P1339" s="16" t="n">
        <x:v>1</x:v>
      </x:c>
      <x:c r="Q1339" s="16" t="n">
        <x:v>5</x:v>
      </x:c>
      <x:c r="R1339" s="16" t="n">
        <x:v>1</x:v>
      </x:c>
      <x:c r="S1339" s="16" t="n">
        <x:v>6</x:v>
      </x:c>
      <x:c r="T1339" s="16" t="n">
        <x:v>6</x:v>
      </x:c>
      <x:c r="U1339" s="16" t="n">
        <x:v>0</x:v>
      </x:c>
      <x:c r="V1339" s="16" t="n">
        <x:v>1</x:v>
      </x:c>
      <x:c r="W1339" s="16" t="n">
        <x:v>0</x:v>
      </x:c>
      <x:c r="X1339" s="16" t="n">
        <x:v>0</x:v>
      </x:c>
      <x:c r="Y1339" s="16" t="n">
        <x:v>0</x:v>
      </x:c>
      <x:c r="Z1339" s="16" t="n">
        <x:v>0</x:v>
      </x:c>
      <x:c r="AA1339" s="16" t="n">
        <x:v>3</x:v>
      </x:c>
      <x:c r="AB1339" s="16" t="n">
        <x:v>11</x:v>
      </x:c>
      <x:c r="AC1339" s="16" t="n">
        <x:v>0</x:v>
      </x:c>
      <x:c r="AD1339" s="21" t="n">
        <x:f>IF(E1339="",MEDIAN($E$2:$E$2237),E1339)</x:f>
        <x:v>50127</x:v>
      </x:c>
      <x:c r="AE1339" s="17" t="n">
        <x:f>2014-B1339</x:f>
        <x:v>52</x:v>
      </x:c>
      <x:c r="AF1339" s="17" t="n">
        <x:f>F1339+G1339</x:f>
        <x:v>1</x:v>
      </x:c>
      <x:c r="AG1339" s="21" t="n">
        <x:f>SUM(J1339:O1339)</x:f>
        <x:v>320</x:v>
      </x:c>
      <x:c r="AH1339" s="17" t="n">
        <x:f>SUM(Q1339:S1339)</x:f>
        <x:v>12</x:v>
      </x:c>
      <x:c r="AI1339" s="17" t="n">
        <x:f>SUM(U1339:Y1339)</x:f>
        <x:v>1</x:v>
      </x:c>
      <x:c r="AJ1339" s="17" t="str">
        <x:f>IF(AE1339&lt;=34,"≤34",IF(AE1339&lt;=44,"35–44",IF(AE1339&lt;=54,"45–54",IF(AE1339&lt;=64,"55–64","65+"))))</x:f>
        <x:v>45–54</x:v>
      </x:c>
      <x:c r="AK1339" s="17" t="str">
        <x:f>IF(AG1339&gt;=1000,"High Value",IF(AG1339&gt;=300,"Mid Value","Low Value"))</x:f>
        <x:v>Mid Value</x:v>
      </x:c>
      <x:c r="AL1339" s="17" t="str">
        <x:f>IF(AND(AI1339&gt;=1,I1339&lt;=50),"Priority 1",IF(AND(AG1339&gt;=1000,I1339&lt;=60),"Priority 2",IF(I1339&lt;=30,"Priority 3","Nurture")))</x:f>
        <x:v>Nurture</x:v>
      </x:c>
    </x:row>
    <x:row r="1340">
      <x:c r="A1340" s="16" t="n">
        <x:v>5510</x:v>
      </x:c>
      <x:c r="B1340" s="16" t="n">
        <x:v>1977</x:v>
      </x:c>
      <x:c r="C1340" s="16" t="str">
        <x:v>Master</x:v>
      </x:c>
      <x:c r="D1340" s="16" t="str">
        <x:v>Married</x:v>
      </x:c>
      <x:c r="E1340" s="16" t="n">
        <x:v>43263</x:v>
      </x:c>
      <x:c r="F1340" s="16" t="n">
        <x:v>0</x:v>
      </x:c>
      <x:c r="G1340" s="16" t="n">
        <x:v>1</x:v>
      </x:c>
      <x:c r="H1340" s="16" t="str">
        <x:v>21-11-2012</x:v>
      </x:c>
      <x:c r="I1340" s="16" t="n">
        <x:v>2</x:v>
      </x:c>
      <x:c r="J1340" s="16" t="n">
        <x:v>262</x:v>
      </x:c>
      <x:c r="K1340" s="16" t="n">
        <x:v>6</x:v>
      </x:c>
      <x:c r="L1340" s="16" t="n">
        <x:v>61</x:v>
      </x:c>
      <x:c r="M1340" s="16" t="n">
        <x:v>0</x:v>
      </x:c>
      <x:c r="N1340" s="16" t="n">
        <x:v>10</x:v>
      </x:c>
      <x:c r="O1340" s="16" t="n">
        <x:v>102</x:v>
      </x:c>
      <x:c r="P1340" s="16" t="n">
        <x:v>3</x:v>
      </x:c>
      <x:c r="Q1340" s="16" t="n">
        <x:v>5</x:v>
      </x:c>
      <x:c r="R1340" s="16" t="n">
        <x:v>2</x:v>
      </x:c>
      <x:c r="S1340" s="16" t="n">
        <x:v>6</x:v>
      </x:c>
      <x:c r="T1340" s="16" t="n">
        <x:v>5</x:v>
      </x:c>
      <x:c r="U1340" s="16" t="n">
        <x:v>0</x:v>
      </x:c>
      <x:c r="V1340" s="16" t="n">
        <x:v>0</x:v>
      </x:c>
      <x:c r="W1340" s="16" t="n">
        <x:v>0</x:v>
      </x:c>
      <x:c r="X1340" s="16" t="n">
        <x:v>0</x:v>
      </x:c>
      <x:c r="Y1340" s="16" t="n">
        <x:v>0</x:v>
      </x:c>
      <x:c r="Z1340" s="16" t="n">
        <x:v>0</x:v>
      </x:c>
      <x:c r="AA1340" s="16" t="n">
        <x:v>3</x:v>
      </x:c>
      <x:c r="AB1340" s="16" t="n">
        <x:v>11</x:v>
      </x:c>
      <x:c r="AC1340" s="16" t="n">
        <x:v>0</x:v>
      </x:c>
      <x:c r="AD1340" s="21" t="n">
        <x:f>IF(E1340="",MEDIAN($E$2:$E$2237),E1340)</x:f>
        <x:v>43263</x:v>
      </x:c>
      <x:c r="AE1340" s="17" t="n">
        <x:f>2014-B1340</x:f>
        <x:v>37</x:v>
      </x:c>
      <x:c r="AF1340" s="17" t="n">
        <x:f>F1340+G1340</x:f>
        <x:v>1</x:v>
      </x:c>
      <x:c r="AG1340" s="21" t="n">
        <x:f>SUM(J1340:O1340)</x:f>
        <x:v>441</x:v>
      </x:c>
      <x:c r="AH1340" s="17" t="n">
        <x:f>SUM(Q1340:S1340)</x:f>
        <x:v>13</x:v>
      </x:c>
      <x:c r="AI1340" s="17" t="n">
        <x:f>SUM(U1340:Y1340)</x:f>
        <x:v>0</x:v>
      </x:c>
      <x:c r="AJ1340" s="17" t="str">
        <x:f>IF(AE1340&lt;=34,"≤34",IF(AE1340&lt;=44,"35–44",IF(AE1340&lt;=54,"45–54",IF(AE1340&lt;=64,"55–64","65+"))))</x:f>
        <x:v>35–44</x:v>
      </x:c>
      <x:c r="AK1340" s="17" t="str">
        <x:f>IF(AG1340&gt;=1000,"High Value",IF(AG1340&gt;=300,"Mid Value","Low Value"))</x:f>
        <x:v>Mid Value</x:v>
      </x:c>
      <x:c r="AL1340" s="17" t="str">
        <x:f>IF(AND(AI1340&gt;=1,I1340&lt;=50),"Priority 1",IF(AND(AG1340&gt;=1000,I1340&lt;=60),"Priority 2",IF(I1340&lt;=30,"Priority 3","Nurture")))</x:f>
        <x:v>Priority 3</x:v>
      </x:c>
    </x:row>
    <x:row r="1341">
      <x:c r="A1341" s="16" t="n">
        <x:v>873</x:v>
      </x:c>
      <x:c r="B1341" s="16" t="n">
        <x:v>1949</x:v>
      </x:c>
      <x:c r="C1341" s="16" t="str">
        <x:v>Master</x:v>
      </x:c>
      <x:c r="D1341" s="16" t="str">
        <x:v>Married</x:v>
      </x:c>
      <x:c r="E1341" s="16" t="n">
        <x:v>62845</x:v>
      </x:c>
      <x:c r="F1341" s="16" t="n">
        <x:v>1</x:v>
      </x:c>
      <x:c r="G1341" s="16" t="n">
        <x:v>1</x:v>
      </x:c>
      <x:c r="H1341" s="16" t="str">
        <x:v>01-10-2012</x:v>
      </x:c>
      <x:c r="I1341" s="16" t="n">
        <x:v>3</x:v>
      </x:c>
      <x:c r="J1341" s="16" t="n">
        <x:v>1099</x:v>
      </x:c>
      <x:c r="K1341" s="16" t="n">
        <x:v>0</x:v>
      </x:c>
      <x:c r="L1341" s="16" t="n">
        <x:v>45</x:v>
      </x:c>
      <x:c r="M1341" s="16" t="n">
        <x:v>0</x:v>
      </x:c>
      <x:c r="N1341" s="16" t="n">
        <x:v>0</x:v>
      </x:c>
      <x:c r="O1341" s="16" t="n">
        <x:v>34</x:v>
      </x:c>
      <x:c r="P1341" s="16" t="n">
        <x:v>11</x:v>
      </x:c>
      <x:c r="Q1341" s="16" t="n">
        <x:v>3</x:v>
      </x:c>
      <x:c r="R1341" s="16" t="n">
        <x:v>4</x:v>
      </x:c>
      <x:c r="S1341" s="16" t="n">
        <x:v>10</x:v>
      </x:c>
      <x:c r="T1341" s="16" t="n">
        <x:v>8</x:v>
      </x:c>
      <x:c r="U1341" s="16" t="n">
        <x:v>0</x:v>
      </x:c>
      <x:c r="V1341" s="16" t="n">
        <x:v>1</x:v>
      </x:c>
      <x:c r="W1341" s="16" t="n">
        <x:v>0</x:v>
      </x:c>
      <x:c r="X1341" s="16" t="n">
        <x:v>0</x:v>
      </x:c>
      <x:c r="Y1341" s="16" t="n">
        <x:v>0</x:v>
      </x:c>
      <x:c r="Z1341" s="16" t="n">
        <x:v>0</x:v>
      </x:c>
      <x:c r="AA1341" s="16" t="n">
        <x:v>3</x:v>
      </x:c>
      <x:c r="AB1341" s="16" t="n">
        <x:v>11</x:v>
      </x:c>
      <x:c r="AC1341" s="16" t="n">
        <x:v>1</x:v>
      </x:c>
      <x:c r="AD1341" s="21" t="n">
        <x:f>IF(E1341="",MEDIAN($E$2:$E$2237),E1341)</x:f>
        <x:v>62845</x:v>
      </x:c>
      <x:c r="AE1341" s="17" t="n">
        <x:f>2014-B1341</x:f>
        <x:v>65</x:v>
      </x:c>
      <x:c r="AF1341" s="17" t="n">
        <x:f>F1341+G1341</x:f>
        <x:v>2</x:v>
      </x:c>
      <x:c r="AG1341" s="21" t="n">
        <x:f>SUM(J1341:O1341)</x:f>
        <x:v>1178</x:v>
      </x:c>
      <x:c r="AH1341" s="17" t="n">
        <x:f>SUM(Q1341:S1341)</x:f>
        <x:v>17</x:v>
      </x:c>
      <x:c r="AI1341" s="17" t="n">
        <x:f>SUM(U1341:Y1341)</x:f>
        <x:v>1</x:v>
      </x:c>
      <x:c r="AJ1341" s="17" t="str">
        <x:f>IF(AE1341&lt;=34,"≤34",IF(AE1341&lt;=44,"35–44",IF(AE1341&lt;=54,"45–54",IF(AE1341&lt;=64,"55–64","65+"))))</x:f>
        <x:v>65+</x:v>
      </x:c>
      <x:c r="AK1341" s="17" t="str">
        <x:f>IF(AG1341&gt;=1000,"High Value",IF(AG1341&gt;=300,"Mid Value","Low Value"))</x:f>
        <x:v>High Value</x:v>
      </x:c>
      <x:c r="AL1341" s="17" t="str">
        <x:f>IF(AND(AI1341&gt;=1,I1341&lt;=50),"Priority 1",IF(AND(AG1341&gt;=1000,I1341&lt;=60),"Priority 2",IF(I1341&lt;=30,"Priority 3","Nurture")))</x:f>
        <x:v>Priority 1</x:v>
      </x:c>
    </x:row>
    <x:row r="1342">
      <x:c r="A1342" s="16" t="n">
        <x:v>2253</x:v>
      </x:c>
      <x:c r="B1342" s="16" t="n">
        <x:v>1990</x:v>
      </x:c>
      <x:c r="C1342" s="16" t="str">
        <x:v>Graduation</x:v>
      </x:c>
      <x:c r="D1342" s="16" t="str">
        <x:v>Married</x:v>
      </x:c>
      <x:c r="E1342" s="16" t="n">
        <x:v>18929</x:v>
      </x:c>
      <x:c r="F1342" s="16" t="n">
        <x:v>0</x:v>
      </x:c>
      <x:c r="G1342" s="16" t="n">
        <x:v>0</x:v>
      </x:c>
      <x:c r="H1342" s="16" t="str">
        <x:v>16-02-2013</x:v>
      </x:c>
      <x:c r="I1342" s="16" t="n">
        <x:v>15</x:v>
      </x:c>
      <x:c r="J1342" s="16" t="n">
        <x:v>32</x:v>
      </x:c>
      <x:c r="K1342" s="16" t="n">
        <x:v>0</x:v>
      </x:c>
      <x:c r="L1342" s="16" t="n">
        <x:v>8</x:v>
      </x:c>
      <x:c r="M1342" s="16" t="n">
        <x:v>23</x:v>
      </x:c>
      <x:c r="N1342" s="16" t="n">
        <x:v>4</x:v>
      </x:c>
      <x:c r="O1342" s="16" t="n">
        <x:v>18</x:v>
      </x:c>
      <x:c r="P1342" s="16" t="n">
        <x:v>1</x:v>
      </x:c>
      <x:c r="Q1342" s="16" t="n">
        <x:v>1</x:v>
      </x:c>
      <x:c r="R1342" s="16" t="n">
        <x:v>0</x:v>
      </x:c>
      <x:c r="S1342" s="16" t="n">
        <x:v>4</x:v>
      </x:c>
      <x:c r="T1342" s="16" t="n">
        <x:v>6</x:v>
      </x:c>
      <x:c r="U1342" s="16" t="n">
        <x:v>0</x:v>
      </x:c>
      <x:c r="V1342" s="16" t="n">
        <x:v>0</x:v>
      </x:c>
      <x:c r="W1342" s="16" t="n">
        <x:v>0</x:v>
      </x:c>
      <x:c r="X1342" s="16" t="n">
        <x:v>0</x:v>
      </x:c>
      <x:c r="Y1342" s="16" t="n">
        <x:v>0</x:v>
      </x:c>
      <x:c r="Z1342" s="16" t="n">
        <x:v>0</x:v>
      </x:c>
      <x:c r="AA1342" s="16" t="n">
        <x:v>3</x:v>
      </x:c>
      <x:c r="AB1342" s="16" t="n">
        <x:v>11</x:v>
      </x:c>
      <x:c r="AC1342" s="16" t="n">
        <x:v>0</x:v>
      </x:c>
      <x:c r="AD1342" s="21" t="n">
        <x:f>IF(E1342="",MEDIAN($E$2:$E$2237),E1342)</x:f>
        <x:v>18929</x:v>
      </x:c>
      <x:c r="AE1342" s="17" t="n">
        <x:f>2014-B1342</x:f>
        <x:v>24</x:v>
      </x:c>
      <x:c r="AF1342" s="17" t="n">
        <x:f>F1342+G1342</x:f>
        <x:v>0</x:v>
      </x:c>
      <x:c r="AG1342" s="21" t="n">
        <x:f>SUM(J1342:O1342)</x:f>
        <x:v>85</x:v>
      </x:c>
      <x:c r="AH1342" s="17" t="n">
        <x:f>SUM(Q1342:S1342)</x:f>
        <x:v>5</x:v>
      </x:c>
      <x:c r="AI1342" s="17" t="n">
        <x:f>SUM(U1342:Y1342)</x:f>
        <x:v>0</x:v>
      </x:c>
      <x:c r="AJ1342" s="17" t="str">
        <x:f>IF(AE1342&lt;=34,"≤34",IF(AE1342&lt;=44,"35–44",IF(AE1342&lt;=54,"45–54",IF(AE1342&lt;=64,"55–64","65+"))))</x:f>
        <x:v>≤34</x:v>
      </x:c>
      <x:c r="AK1342" s="17" t="str">
        <x:f>IF(AG1342&gt;=1000,"High Value",IF(AG1342&gt;=300,"Mid Value","Low Value"))</x:f>
        <x:v>Low Value</x:v>
      </x:c>
      <x:c r="AL1342" s="17" t="str">
        <x:f>IF(AND(AI1342&gt;=1,I1342&lt;=50),"Priority 1",IF(AND(AG1342&gt;=1000,I1342&lt;=60),"Priority 2",IF(I1342&lt;=30,"Priority 3","Nurture")))</x:f>
        <x:v>Priority 3</x:v>
      </x:c>
    </x:row>
    <x:row r="1343">
      <x:c r="A1343" s="16" t="n">
        <x:v>5181</x:v>
      </x:c>
      <x:c r="B1343" s="16" t="n">
        <x:v>1982</x:v>
      </x:c>
      <x:c r="C1343" s="16" t="str">
        <x:v>Basic</x:v>
      </x:c>
      <x:c r="D1343" s="16" t="str">
        <x:v>Single</x:v>
      </x:c>
      <x:c r="E1343" s="16" t="n">
        <x:v>24367</x:v>
      </x:c>
      <x:c r="F1343" s="16" t="n">
        <x:v>1</x:v>
      </x:c>
      <x:c r="G1343" s="16" t="n">
        <x:v>0</x:v>
      </x:c>
      <x:c r="H1343" s="16" t="str">
        <x:v>20-03-2013</x:v>
      </x:c>
      <x:c r="I1343" s="16" t="n">
        <x:v>58</x:v>
      </x:c>
      <x:c r="J1343" s="16" t="n">
        <x:v>2</x:v>
      </x:c>
      <x:c r="K1343" s="16" t="n">
        <x:v>4</x:v>
      </x:c>
      <x:c r="L1343" s="16" t="n">
        <x:v>2</x:v>
      </x:c>
      <x:c r="M1343" s="16" t="n">
        <x:v>0</x:v>
      </x:c>
      <x:c r="N1343" s="16" t="n">
        <x:v>11</x:v>
      </x:c>
      <x:c r="O1343" s="16" t="n">
        <x:v>5</x:v>
      </x:c>
      <x:c r="P1343" s="16" t="n">
        <x:v>1</x:v>
      </x:c>
      <x:c r="Q1343" s="16" t="n">
        <x:v>1</x:v>
      </x:c>
      <x:c r="R1343" s="16" t="n">
        <x:v>0</x:v>
      </x:c>
      <x:c r="S1343" s="16" t="n">
        <x:v>2</x:v>
      </x:c>
      <x:c r="T1343" s="16" t="n">
        <x:v>9</x:v>
      </x:c>
      <x:c r="U1343" s="16" t="n">
        <x:v>0</x:v>
      </x:c>
      <x:c r="V1343" s="16" t="n">
        <x:v>0</x:v>
      </x:c>
      <x:c r="W1343" s="16" t="n">
        <x:v>0</x:v>
      </x:c>
      <x:c r="X1343" s="16" t="n">
        <x:v>0</x:v>
      </x:c>
      <x:c r="Y1343" s="16" t="n">
        <x:v>0</x:v>
      </x:c>
      <x:c r="Z1343" s="16" t="n">
        <x:v>0</x:v>
      </x:c>
      <x:c r="AA1343" s="16" t="n">
        <x:v>3</x:v>
      </x:c>
      <x:c r="AB1343" s="16" t="n">
        <x:v>11</x:v>
      </x:c>
      <x:c r="AC1343" s="16" t="n">
        <x:v>0</x:v>
      </x:c>
      <x:c r="AD1343" s="21" t="n">
        <x:f>IF(E1343="",MEDIAN($E$2:$E$2237),E1343)</x:f>
        <x:v>24367</x:v>
      </x:c>
      <x:c r="AE1343" s="17" t="n">
        <x:f>2014-B1343</x:f>
        <x:v>32</x:v>
      </x:c>
      <x:c r="AF1343" s="17" t="n">
        <x:f>F1343+G1343</x:f>
        <x:v>1</x:v>
      </x:c>
      <x:c r="AG1343" s="21" t="n">
        <x:f>SUM(J1343:O1343)</x:f>
        <x:v>24</x:v>
      </x:c>
      <x:c r="AH1343" s="17" t="n">
        <x:f>SUM(Q1343:S1343)</x:f>
        <x:v>3</x:v>
      </x:c>
      <x:c r="AI1343" s="17" t="n">
        <x:f>SUM(U1343:Y1343)</x:f>
        <x:v>0</x:v>
      </x:c>
      <x:c r="AJ1343" s="17" t="str">
        <x:f>IF(AE1343&lt;=34,"≤34",IF(AE1343&lt;=44,"35–44",IF(AE1343&lt;=54,"45–54",IF(AE1343&lt;=64,"55–64","65+"))))</x:f>
        <x:v>≤34</x:v>
      </x:c>
      <x:c r="AK1343" s="17" t="str">
        <x:f>IF(AG1343&gt;=1000,"High Value",IF(AG1343&gt;=300,"Mid Value","Low Value"))</x:f>
        <x:v>Low Value</x:v>
      </x:c>
      <x:c r="AL1343" s="17" t="str">
        <x:f>IF(AND(AI1343&gt;=1,I1343&lt;=50),"Priority 1",IF(AND(AG1343&gt;=1000,I1343&lt;=60),"Priority 2",IF(I1343&lt;=30,"Priority 3","Nurture")))</x:f>
        <x:v>Nurture</x:v>
      </x:c>
    </x:row>
    <x:row r="1344">
      <x:c r="A1344" s="16" t="n">
        <x:v>979</x:v>
      </x:c>
      <x:c r="B1344" s="16" t="n">
        <x:v>1975</x:v>
      </x:c>
      <x:c r="C1344" s="16" t="str">
        <x:v>Graduation</x:v>
      </x:c>
      <x:c r="D1344" s="16" t="str">
        <x:v>Single</x:v>
      </x:c>
      <x:c r="E1344" s="16" t="n">
        <x:v>33249</x:v>
      </x:c>
      <x:c r="F1344" s="16" t="n">
        <x:v>1</x:v>
      </x:c>
      <x:c r="G1344" s="16" t="n">
        <x:v>0</x:v>
      </x:c>
      <x:c r="H1344" s="16" t="str">
        <x:v>20-02-2013</x:v>
      </x:c>
      <x:c r="I1344" s="16" t="n">
        <x:v>11</x:v>
      </x:c>
      <x:c r="J1344" s="16" t="n">
        <x:v>6</x:v>
      </x:c>
      <x:c r="K1344" s="16" t="n">
        <x:v>10</x:v>
      </x:c>
      <x:c r="L1344" s="16" t="n">
        <x:v>21</x:v>
      </x:c>
      <x:c r="M1344" s="16" t="n">
        <x:v>19</x:v>
      </x:c>
      <x:c r="N1344" s="16" t="n">
        <x:v>14</x:v>
      </x:c>
      <x:c r="O1344" s="16" t="n">
        <x:v>42</x:v>
      </x:c>
      <x:c r="P1344" s="16" t="n">
        <x:v>2</x:v>
      </x:c>
      <x:c r="Q1344" s="16" t="n">
        <x:v>2</x:v>
      </x:c>
      <x:c r="R1344" s="16" t="n">
        <x:v>1</x:v>
      </x:c>
      <x:c r="S1344" s="16" t="n">
        <x:v>3</x:v>
      </x:c>
      <x:c r="T1344" s="16" t="n">
        <x:v>6</x:v>
      </x:c>
      <x:c r="U1344" s="16" t="n">
        <x:v>0</x:v>
      </x:c>
      <x:c r="V1344" s="16" t="n">
        <x:v>0</x:v>
      </x:c>
      <x:c r="W1344" s="16" t="n">
        <x:v>0</x:v>
      </x:c>
      <x:c r="X1344" s="16" t="n">
        <x:v>0</x:v>
      </x:c>
      <x:c r="Y1344" s="16" t="n">
        <x:v>0</x:v>
      </x:c>
      <x:c r="Z1344" s="16" t="n">
        <x:v>0</x:v>
      </x:c>
      <x:c r="AA1344" s="16" t="n">
        <x:v>3</x:v>
      </x:c>
      <x:c r="AB1344" s="16" t="n">
        <x:v>11</x:v>
      </x:c>
      <x:c r="AC1344" s="16" t="n">
        <x:v>0</x:v>
      </x:c>
      <x:c r="AD1344" s="21" t="n">
        <x:f>IF(E1344="",MEDIAN($E$2:$E$2237),E1344)</x:f>
        <x:v>33249</x:v>
      </x:c>
      <x:c r="AE1344" s="17" t="n">
        <x:f>2014-B1344</x:f>
        <x:v>39</x:v>
      </x:c>
      <x:c r="AF1344" s="17" t="n">
        <x:f>F1344+G1344</x:f>
        <x:v>1</x:v>
      </x:c>
      <x:c r="AG1344" s="21" t="n">
        <x:f>SUM(J1344:O1344)</x:f>
        <x:v>112</x:v>
      </x:c>
      <x:c r="AH1344" s="17" t="n">
        <x:f>SUM(Q1344:S1344)</x:f>
        <x:v>6</x:v>
      </x:c>
      <x:c r="AI1344" s="17" t="n">
        <x:f>SUM(U1344:Y1344)</x:f>
        <x:v>0</x:v>
      </x:c>
      <x:c r="AJ1344" s="17" t="str">
        <x:f>IF(AE1344&lt;=34,"≤34",IF(AE1344&lt;=44,"35–44",IF(AE1344&lt;=54,"45–54",IF(AE1344&lt;=64,"55–64","65+"))))</x:f>
        <x:v>35–44</x:v>
      </x:c>
      <x:c r="AK1344" s="17" t="str">
        <x:f>IF(AG1344&gt;=1000,"High Value",IF(AG1344&gt;=300,"Mid Value","Low Value"))</x:f>
        <x:v>Low Value</x:v>
      </x:c>
      <x:c r="AL1344" s="17" t="str">
        <x:f>IF(AND(AI1344&gt;=1,I1344&lt;=50),"Priority 1",IF(AND(AG1344&gt;=1000,I1344&lt;=60),"Priority 2",IF(I1344&lt;=30,"Priority 3","Nurture")))</x:f>
        <x:v>Priority 3</x:v>
      </x:c>
    </x:row>
    <x:row r="1345">
      <x:c r="A1345" s="16" t="n">
        <x:v>10390</x:v>
      </x:c>
      <x:c r="B1345" s="16" t="n">
        <x:v>1959</x:v>
      </x:c>
      <x:c r="C1345" s="16" t="str">
        <x:v>2n Cycle</x:v>
      </x:c>
      <x:c r="D1345" s="16" t="str">
        <x:v>Married</x:v>
      </x:c>
      <x:c r="E1345" s="16" t="n">
        <x:v>26887</x:v>
      </x:c>
      <x:c r="F1345" s="16" t="n">
        <x:v>0</x:v>
      </x:c>
      <x:c r="G1345" s="16" t="n">
        <x:v>1</x:v>
      </x:c>
      <x:c r="H1345" s="16" t="str">
        <x:v>10-02-2013</x:v>
      </x:c>
      <x:c r="I1345" s="16" t="n">
        <x:v>27</x:v>
      </x:c>
      <x:c r="J1345" s="16" t="n">
        <x:v>6</x:v>
      </x:c>
      <x:c r="K1345" s="16" t="n">
        <x:v>7</x:v>
      </x:c>
      <x:c r="L1345" s="16" t="n">
        <x:v>4</x:v>
      </x:c>
      <x:c r="M1345" s="16" t="n">
        <x:v>3</x:v>
      </x:c>
      <x:c r="N1345" s="16" t="n">
        <x:v>4</x:v>
      </x:c>
      <x:c r="O1345" s="16" t="n">
        <x:v>6</x:v>
      </x:c>
      <x:c r="P1345" s="16" t="n">
        <x:v>1</x:v>
      </x:c>
      <x:c r="Q1345" s="16" t="n">
        <x:v>1</x:v>
      </x:c>
      <x:c r="R1345" s="16" t="n">
        <x:v>0</x:v>
      </x:c>
      <x:c r="S1345" s="16" t="n">
        <x:v>3</x:v>
      </x:c>
      <x:c r="T1345" s="16" t="n">
        <x:v>6</x:v>
      </x:c>
      <x:c r="U1345" s="16" t="n">
        <x:v>0</x:v>
      </x:c>
      <x:c r="V1345" s="16" t="n">
        <x:v>0</x:v>
      </x:c>
      <x:c r="W1345" s="16" t="n">
        <x:v>0</x:v>
      </x:c>
      <x:c r="X1345" s="16" t="n">
        <x:v>0</x:v>
      </x:c>
      <x:c r="Y1345" s="16" t="n">
        <x:v>0</x:v>
      </x:c>
      <x:c r="Z1345" s="16" t="n">
        <x:v>0</x:v>
      </x:c>
      <x:c r="AA1345" s="16" t="n">
        <x:v>3</x:v>
      </x:c>
      <x:c r="AB1345" s="16" t="n">
        <x:v>11</x:v>
      </x:c>
      <x:c r="AC1345" s="16" t="n">
        <x:v>0</x:v>
      </x:c>
      <x:c r="AD1345" s="21" t="n">
        <x:f>IF(E1345="",MEDIAN($E$2:$E$2237),E1345)</x:f>
        <x:v>26887</x:v>
      </x:c>
      <x:c r="AE1345" s="17" t="n">
        <x:f>2014-B1345</x:f>
        <x:v>55</x:v>
      </x:c>
      <x:c r="AF1345" s="17" t="n">
        <x:f>F1345+G1345</x:f>
        <x:v>1</x:v>
      </x:c>
      <x:c r="AG1345" s="21" t="n">
        <x:f>SUM(J1345:O1345)</x:f>
        <x:v>30</x:v>
      </x:c>
      <x:c r="AH1345" s="17" t="n">
        <x:f>SUM(Q1345:S1345)</x:f>
        <x:v>4</x:v>
      </x:c>
      <x:c r="AI1345" s="17" t="n">
        <x:f>SUM(U1345:Y1345)</x:f>
        <x:v>0</x:v>
      </x:c>
      <x:c r="AJ1345" s="17" t="str">
        <x:f>IF(AE1345&lt;=34,"≤34",IF(AE1345&lt;=44,"35–44",IF(AE1345&lt;=54,"45–54",IF(AE1345&lt;=64,"55–64","65+"))))</x:f>
        <x:v>55–64</x:v>
      </x:c>
      <x:c r="AK1345" s="17" t="str">
        <x:f>IF(AG1345&gt;=1000,"High Value",IF(AG1345&gt;=300,"Mid Value","Low Value"))</x:f>
        <x:v>Low Value</x:v>
      </x:c>
      <x:c r="AL1345" s="17" t="str">
        <x:f>IF(AND(AI1345&gt;=1,I1345&lt;=50),"Priority 1",IF(AND(AG1345&gt;=1000,I1345&lt;=60),"Priority 2",IF(I1345&lt;=30,"Priority 3","Nurture")))</x:f>
        <x:v>Priority 3</x:v>
      </x:c>
    </x:row>
    <x:row r="1346">
      <x:c r="A1346" s="16" t="n">
        <x:v>4698</x:v>
      </x:c>
      <x:c r="B1346" s="16" t="n">
        <x:v>1983</x:v>
      </x:c>
      <x:c r="C1346" s="16" t="str">
        <x:v>PhD</x:v>
      </x:c>
      <x:c r="D1346" s="16" t="str">
        <x:v>Married</x:v>
      </x:c>
      <x:c r="E1346" s="16" t="n">
        <x:v>50150</x:v>
      </x:c>
      <x:c r="F1346" s="16" t="n">
        <x:v>0</x:v>
      </x:c>
      <x:c r="G1346" s="16" t="n">
        <x:v>0</x:v>
      </x:c>
      <x:c r="H1346" s="16" t="str">
        <x:v>20-06-2013</x:v>
      </x:c>
      <x:c r="I1346" s="16" t="n">
        <x:v>32</x:v>
      </x:c>
      <x:c r="J1346" s="16" t="n">
        <x:v>135</x:v>
      </x:c>
      <x:c r="K1346" s="16" t="n">
        <x:v>46</x:v>
      </x:c>
      <x:c r="L1346" s="16" t="n">
        <x:v>92</x:v>
      </x:c>
      <x:c r="M1346" s="16" t="n">
        <x:v>65</x:v>
      </x:c>
      <x:c r="N1346" s="16" t="n">
        <x:v>61</x:v>
      </x:c>
      <x:c r="O1346" s="16" t="n">
        <x:v>11</x:v>
      </x:c>
      <x:c r="P1346" s="16" t="n">
        <x:v>2</x:v>
      </x:c>
      <x:c r="Q1346" s="16" t="n">
        <x:v>5</x:v>
      </x:c>
      <x:c r="R1346" s="16" t="n">
        <x:v>2</x:v>
      </x:c>
      <x:c r="S1346" s="16" t="n">
        <x:v>7</x:v>
      </x:c>
      <x:c r="T1346" s="16" t="n">
        <x:v>5</x:v>
      </x:c>
      <x:c r="U1346" s="16" t="n">
        <x:v>0</x:v>
      </x:c>
      <x:c r="V1346" s="16" t="n">
        <x:v>0</x:v>
      </x:c>
      <x:c r="W1346" s="16" t="n">
        <x:v>0</x:v>
      </x:c>
      <x:c r="X1346" s="16" t="n">
        <x:v>0</x:v>
      </x:c>
      <x:c r="Y1346" s="16" t="n">
        <x:v>0</x:v>
      </x:c>
      <x:c r="Z1346" s="16" t="n">
        <x:v>0</x:v>
      </x:c>
      <x:c r="AA1346" s="16" t="n">
        <x:v>3</x:v>
      </x:c>
      <x:c r="AB1346" s="16" t="n">
        <x:v>11</x:v>
      </x:c>
      <x:c r="AC1346" s="16" t="n">
        <x:v>0</x:v>
      </x:c>
      <x:c r="AD1346" s="21" t="n">
        <x:f>IF(E1346="",MEDIAN($E$2:$E$2237),E1346)</x:f>
        <x:v>50150</x:v>
      </x:c>
      <x:c r="AE1346" s="17" t="n">
        <x:f>2014-B1346</x:f>
        <x:v>31</x:v>
      </x:c>
      <x:c r="AF1346" s="17" t="n">
        <x:f>F1346+G1346</x:f>
        <x:v>0</x:v>
      </x:c>
      <x:c r="AG1346" s="21" t="n">
        <x:f>SUM(J1346:O1346)</x:f>
        <x:v>410</x:v>
      </x:c>
      <x:c r="AH1346" s="17" t="n">
        <x:f>SUM(Q1346:S1346)</x:f>
        <x:v>14</x:v>
      </x:c>
      <x:c r="AI1346" s="17" t="n">
        <x:f>SUM(U1346:Y1346)</x:f>
        <x:v>0</x:v>
      </x:c>
      <x:c r="AJ1346" s="17" t="str">
        <x:f>IF(AE1346&lt;=34,"≤34",IF(AE1346&lt;=44,"35–44",IF(AE1346&lt;=54,"45–54",IF(AE1346&lt;=64,"55–64","65+"))))</x:f>
        <x:v>≤34</x:v>
      </x:c>
      <x:c r="AK1346" s="17" t="str">
        <x:f>IF(AG1346&gt;=1000,"High Value",IF(AG1346&gt;=300,"Mid Value","Low Value"))</x:f>
        <x:v>Mid Value</x:v>
      </x:c>
      <x:c r="AL1346" s="17" t="str">
        <x:f>IF(AND(AI1346&gt;=1,I1346&lt;=50),"Priority 1",IF(AND(AG1346&gt;=1000,I1346&lt;=60),"Priority 2",IF(I1346&lt;=30,"Priority 3","Nurture")))</x:f>
        <x:v>Nurture</x:v>
      </x:c>
    </x:row>
    <x:row r="1347">
      <x:c r="A1347" s="16" t="n">
        <x:v>7793</x:v>
      </x:c>
      <x:c r="B1347" s="16" t="n">
        <x:v>1976</x:v>
      </x:c>
      <x:c r="C1347" s="16" t="str">
        <x:v>Graduation</x:v>
      </x:c>
      <x:c r="D1347" s="16" t="str">
        <x:v>Together</x:v>
      </x:c>
      <x:c r="E1347" s="16" t="n">
        <x:v>62061</x:v>
      </x:c>
      <x:c r="F1347" s="16" t="n">
        <x:v>0</x:v>
      </x:c>
      <x:c r="G1347" s="16" t="n">
        <x:v>1</x:v>
      </x:c>
      <x:c r="H1347" s="16" t="str">
        <x:v>31-08-2013</x:v>
      </x:c>
      <x:c r="I1347" s="16" t="n">
        <x:v>12</x:v>
      </x:c>
      <x:c r="J1347" s="16" t="n">
        <x:v>641</x:v>
      </x:c>
      <x:c r="K1347" s="16" t="n">
        <x:v>7</x:v>
      </x:c>
      <x:c r="L1347" s="16" t="n">
        <x:v>84</x:v>
      </x:c>
      <x:c r="M1347" s="16" t="n">
        <x:v>0</x:v>
      </x:c>
      <x:c r="N1347" s="16" t="n">
        <x:v>30</x:v>
      </x:c>
      <x:c r="O1347" s="16" t="n">
        <x:v>38</x:v>
      </x:c>
      <x:c r="P1347" s="16" t="n">
        <x:v>3</x:v>
      </x:c>
      <x:c r="Q1347" s="16" t="n">
        <x:v>10</x:v>
      </x:c>
      <x:c r="R1347" s="16" t="n">
        <x:v>4</x:v>
      </x:c>
      <x:c r="S1347" s="16" t="n">
        <x:v>7</x:v>
      </x:c>
      <x:c r="T1347" s="16" t="n">
        <x:v>6</x:v>
      </x:c>
      <x:c r="U1347" s="16" t="n">
        <x:v>0</x:v>
      </x:c>
      <x:c r="V1347" s="16" t="n">
        <x:v>1</x:v>
      </x:c>
      <x:c r="W1347" s="16" t="n">
        <x:v>0</x:v>
      </x:c>
      <x:c r="X1347" s="16" t="n">
        <x:v>0</x:v>
      </x:c>
      <x:c r="Y1347" s="16" t="n">
        <x:v>0</x:v>
      </x:c>
      <x:c r="Z1347" s="16" t="n">
        <x:v>0</x:v>
      </x:c>
      <x:c r="AA1347" s="16" t="n">
        <x:v>3</x:v>
      </x:c>
      <x:c r="AB1347" s="16" t="n">
        <x:v>11</x:v>
      </x:c>
      <x:c r="AC1347" s="16" t="n">
        <x:v>0</x:v>
      </x:c>
      <x:c r="AD1347" s="21" t="n">
        <x:f>IF(E1347="",MEDIAN($E$2:$E$2237),E1347)</x:f>
        <x:v>62061</x:v>
      </x:c>
      <x:c r="AE1347" s="17" t="n">
        <x:f>2014-B1347</x:f>
        <x:v>38</x:v>
      </x:c>
      <x:c r="AF1347" s="17" t="n">
        <x:f>F1347+G1347</x:f>
        <x:v>1</x:v>
      </x:c>
      <x:c r="AG1347" s="21" t="n">
        <x:f>SUM(J1347:O1347)</x:f>
        <x:v>800</x:v>
      </x:c>
      <x:c r="AH1347" s="17" t="n">
        <x:f>SUM(Q1347:S1347)</x:f>
        <x:v>21</x:v>
      </x:c>
      <x:c r="AI1347" s="17" t="n">
        <x:f>SUM(U1347:Y1347)</x:f>
        <x:v>1</x:v>
      </x:c>
      <x:c r="AJ1347" s="17" t="str">
        <x:f>IF(AE1347&lt;=34,"≤34",IF(AE1347&lt;=44,"35–44",IF(AE1347&lt;=54,"45–54",IF(AE1347&lt;=64,"55–64","65+"))))</x:f>
        <x:v>35–44</x:v>
      </x:c>
      <x:c r="AK1347" s="17" t="str">
        <x:f>IF(AG1347&gt;=1000,"High Value",IF(AG1347&gt;=300,"Mid Value","Low Value"))</x:f>
        <x:v>Mid Value</x:v>
      </x:c>
      <x:c r="AL1347" s="17" t="str">
        <x:f>IF(AND(AI1347&gt;=1,I1347&lt;=50),"Priority 1",IF(AND(AG1347&gt;=1000,I1347&lt;=60),"Priority 2",IF(I1347&lt;=30,"Priority 3","Nurture")))</x:f>
        <x:v>Priority 1</x:v>
      </x:c>
    </x:row>
    <x:row r="1348">
      <x:c r="A1348" s="16" t="n">
        <x:v>1745</x:v>
      </x:c>
      <x:c r="B1348" s="16" t="n">
        <x:v>1962</x:v>
      </x:c>
      <x:c r="C1348" s="16" t="str">
        <x:v>PhD</x:v>
      </x:c>
      <x:c r="D1348" s="16" t="str">
        <x:v>Divorced</x:v>
      </x:c>
      <x:c r="E1348" s="16" t="n">
        <x:v>85696</x:v>
      </x:c>
      <x:c r="F1348" s="16" t="n">
        <x:v>0</x:v>
      </x:c>
      <x:c r="G1348" s="16" t="n">
        <x:v>0</x:v>
      </x:c>
      <x:c r="H1348" s="16" t="str">
        <x:v>03-05-2013</x:v>
      </x:c>
      <x:c r="I1348" s="16" t="n">
        <x:v>88</x:v>
      </x:c>
      <x:c r="J1348" s="16" t="n">
        <x:v>714</x:v>
      </x:c>
      <x:c r="K1348" s="16" t="n">
        <x:v>76</x:v>
      </x:c>
      <x:c r="L1348" s="16" t="n">
        <x:v>395</x:v>
      </x:c>
      <x:c r="M1348" s="16" t="n">
        <x:v>116</x:v>
      </x:c>
      <x:c r="N1348" s="16" t="n">
        <x:v>0</x:v>
      </x:c>
      <x:c r="O1348" s="16" t="n">
        <x:v>12</x:v>
      </x:c>
      <x:c r="P1348" s="16" t="n">
        <x:v>1</x:v>
      </x:c>
      <x:c r="Q1348" s="16" t="n">
        <x:v>4</x:v>
      </x:c>
      <x:c r="R1348" s="16" t="n">
        <x:v>6</x:v>
      </x:c>
      <x:c r="S1348" s="16" t="n">
        <x:v>9</x:v>
      </x:c>
      <x:c r="T1348" s="16" t="n">
        <x:v>1</x:v>
      </x:c>
      <x:c r="U1348" s="16" t="n">
        <x:v>0</x:v>
      </x:c>
      <x:c r="V1348" s="16" t="n">
        <x:v>0</x:v>
      </x:c>
      <x:c r="W1348" s="16" t="n">
        <x:v>0</x:v>
      </x:c>
      <x:c r="X1348" s="16" t="n">
        <x:v>0</x:v>
      </x:c>
      <x:c r="Y1348" s="16" t="n">
        <x:v>0</x:v>
      </x:c>
      <x:c r="Z1348" s="16" t="n">
        <x:v>0</x:v>
      </x:c>
      <x:c r="AA1348" s="16" t="n">
        <x:v>3</x:v>
      </x:c>
      <x:c r="AB1348" s="16" t="n">
        <x:v>11</x:v>
      </x:c>
      <x:c r="AC1348" s="16" t="n">
        <x:v>1</x:v>
      </x:c>
      <x:c r="AD1348" s="21" t="n">
        <x:f>IF(E1348="",MEDIAN($E$2:$E$2237),E1348)</x:f>
        <x:v>85696</x:v>
      </x:c>
      <x:c r="AE1348" s="17" t="n">
        <x:f>2014-B1348</x:f>
        <x:v>52</x:v>
      </x:c>
      <x:c r="AF1348" s="17" t="n">
        <x:f>F1348+G1348</x:f>
        <x:v>0</x:v>
      </x:c>
      <x:c r="AG1348" s="21" t="n">
        <x:f>SUM(J1348:O1348)</x:f>
        <x:v>1313</x:v>
      </x:c>
      <x:c r="AH1348" s="17" t="n">
        <x:f>SUM(Q1348:S1348)</x:f>
        <x:v>19</x:v>
      </x:c>
      <x:c r="AI1348" s="17" t="n">
        <x:f>SUM(U1348:Y1348)</x:f>
        <x:v>0</x:v>
      </x:c>
      <x:c r="AJ1348" s="17" t="str">
        <x:f>IF(AE1348&lt;=34,"≤34",IF(AE1348&lt;=44,"35–44",IF(AE1348&lt;=54,"45–54",IF(AE1348&lt;=64,"55–64","65+"))))</x:f>
        <x:v>45–54</x:v>
      </x:c>
      <x:c r="AK1348" s="17" t="str">
        <x:f>IF(AG1348&gt;=1000,"High Value",IF(AG1348&gt;=300,"Mid Value","Low Value"))</x:f>
        <x:v>High Value</x:v>
      </x:c>
      <x:c r="AL1348" s="17" t="str">
        <x:f>IF(AND(AI1348&gt;=1,I1348&lt;=50),"Priority 1",IF(AND(AG1348&gt;=1000,I1348&lt;=60),"Priority 2",IF(I1348&lt;=30,"Priority 3","Nurture")))</x:f>
        <x:v>Nurture</x:v>
      </x:c>
    </x:row>
    <x:row r="1349">
      <x:c r="A1349" s="16" t="n">
        <x:v>10590</x:v>
      </x:c>
      <x:c r="B1349" s="16" t="n">
        <x:v>1956</x:v>
      </x:c>
      <x:c r="C1349" s="16" t="str">
        <x:v>PhD</x:v>
      </x:c>
      <x:c r="D1349" s="16" t="str">
        <x:v>Together</x:v>
      </x:c>
      <x:c r="E1349" s="16" t="n">
        <x:v>76542</x:v>
      </x:c>
      <x:c r="F1349" s="16" t="n">
        <x:v>0</x:v>
      </x:c>
      <x:c r="G1349" s="16" t="n">
        <x:v>0</x:v>
      </x:c>
      <x:c r="H1349" s="16" t="str">
        <x:v>30-03-2013</x:v>
      </x:c>
      <x:c r="I1349" s="16" t="n">
        <x:v>91</x:v>
      </x:c>
      <x:c r="J1349" s="16" t="n">
        <x:v>794</x:v>
      </x:c>
      <x:c r="K1349" s="16" t="n">
        <x:v>73</x:v>
      </x:c>
      <x:c r="L1349" s="16" t="n">
        <x:v>573</x:v>
      </x:c>
      <x:c r="M1349" s="16" t="n">
        <x:v>0</x:v>
      </x:c>
      <x:c r="N1349" s="16" t="n">
        <x:v>29</x:v>
      </x:c>
      <x:c r="O1349" s="16" t="n">
        <x:v>14</x:v>
      </x:c>
      <x:c r="P1349" s="16" t="n">
        <x:v>1</x:v>
      </x:c>
      <x:c r="Q1349" s="16" t="n">
        <x:v>4</x:v>
      </x:c>
      <x:c r="R1349" s="16" t="n">
        <x:v>8</x:v>
      </x:c>
      <x:c r="S1349" s="16" t="n">
        <x:v>10</x:v>
      </x:c>
      <x:c r="T1349" s="16" t="n">
        <x:v>2</x:v>
      </x:c>
      <x:c r="U1349" s="16" t="n">
        <x:v>0</x:v>
      </x:c>
      <x:c r="V1349" s="16" t="n">
        <x:v>0</x:v>
      </x:c>
      <x:c r="W1349" s="16" t="n">
        <x:v>0</x:v>
      </x:c>
      <x:c r="X1349" s="16" t="n">
        <x:v>0</x:v>
      </x:c>
      <x:c r="Y1349" s="16" t="n">
        <x:v>0</x:v>
      </x:c>
      <x:c r="Z1349" s="16" t="n">
        <x:v>0</x:v>
      </x:c>
      <x:c r="AA1349" s="16" t="n">
        <x:v>3</x:v>
      </x:c>
      <x:c r="AB1349" s="16" t="n">
        <x:v>11</x:v>
      </x:c>
      <x:c r="AC1349" s="16" t="n">
        <x:v>0</x:v>
      </x:c>
      <x:c r="AD1349" s="21" t="n">
        <x:f>IF(E1349="",MEDIAN($E$2:$E$2237),E1349)</x:f>
        <x:v>76542</x:v>
      </x:c>
      <x:c r="AE1349" s="17" t="n">
        <x:f>2014-B1349</x:f>
        <x:v>58</x:v>
      </x:c>
      <x:c r="AF1349" s="17" t="n">
        <x:f>F1349+G1349</x:f>
        <x:v>0</x:v>
      </x:c>
      <x:c r="AG1349" s="21" t="n">
        <x:f>SUM(J1349:O1349)</x:f>
        <x:v>1483</x:v>
      </x:c>
      <x:c r="AH1349" s="17" t="n">
        <x:f>SUM(Q1349:S1349)</x:f>
        <x:v>22</x:v>
      </x:c>
      <x:c r="AI1349" s="17" t="n">
        <x:f>SUM(U1349:Y1349)</x:f>
        <x:v>0</x:v>
      </x:c>
      <x:c r="AJ1349" s="17" t="str">
        <x:f>IF(AE1349&lt;=34,"≤34",IF(AE1349&lt;=44,"35–44",IF(AE1349&lt;=54,"45–54",IF(AE1349&lt;=64,"55–64","65+"))))</x:f>
        <x:v>55–64</x:v>
      </x:c>
      <x:c r="AK1349" s="17" t="str">
        <x:f>IF(AG1349&gt;=1000,"High Value",IF(AG1349&gt;=300,"Mid Value","Low Value"))</x:f>
        <x:v>High Value</x:v>
      </x:c>
      <x:c r="AL1349" s="17" t="str">
        <x:f>IF(AND(AI1349&gt;=1,I1349&lt;=50),"Priority 1",IF(AND(AG1349&gt;=1000,I1349&lt;=60),"Priority 2",IF(I1349&lt;=30,"Priority 3","Nurture")))</x:f>
        <x:v>Nurture</x:v>
      </x:c>
    </x:row>
    <x:row r="1350">
      <x:c r="A1350" s="16" t="n">
        <x:v>5080</x:v>
      </x:c>
      <x:c r="B1350" s="16" t="n">
        <x:v>1993</x:v>
      </x:c>
      <x:c r="C1350" s="16" t="str">
        <x:v>Graduation</x:v>
      </x:c>
      <x:c r="D1350" s="16" t="str">
        <x:v>Single</x:v>
      </x:c>
      <x:c r="E1350" s="16" t="n">
        <x:v>70515</x:v>
      </x:c>
      <x:c r="F1350" s="16" t="n">
        <x:v>0</x:v>
      </x:c>
      <x:c r="G1350" s="16" t="n">
        <x:v>0</x:v>
      </x:c>
      <x:c r="H1350" s="16" t="str">
        <x:v>21-10-2013</x:v>
      </x:c>
      <x:c r="I1350" s="16" t="n">
        <x:v>12</x:v>
      </x:c>
      <x:c r="J1350" s="16" t="n">
        <x:v>420</x:v>
      </x:c>
      <x:c r="K1350" s="16" t="n">
        <x:v>0</x:v>
      </x:c>
      <x:c r="L1350" s="16" t="n">
        <x:v>452</x:v>
      </x:c>
      <x:c r="M1350" s="16" t="n">
        <x:v>182</x:v>
      </x:c>
      <x:c r="N1350" s="16" t="n">
        <x:v>64</x:v>
      </x:c>
      <x:c r="O1350" s="16" t="n">
        <x:v>140</x:v>
      </x:c>
      <x:c r="P1350" s="16" t="n">
        <x:v>1</x:v>
      </x:c>
      <x:c r="Q1350" s="16" t="n">
        <x:v>6</x:v>
      </x:c>
      <x:c r="R1350" s="16" t="n">
        <x:v>6</x:v>
      </x:c>
      <x:c r="S1350" s="16" t="n">
        <x:v>4</x:v>
      </x:c>
      <x:c r="T1350" s="16" t="n">
        <x:v>2</x:v>
      </x:c>
      <x:c r="U1350" s="16" t="n">
        <x:v>0</x:v>
      </x:c>
      <x:c r="V1350" s="16" t="n">
        <x:v>0</x:v>
      </x:c>
      <x:c r="W1350" s="16" t="n">
        <x:v>0</x:v>
      </x:c>
      <x:c r="X1350" s="16" t="n">
        <x:v>0</x:v>
      </x:c>
      <x:c r="Y1350" s="16" t="n">
        <x:v>0</x:v>
      </x:c>
      <x:c r="Z1350" s="16" t="n">
        <x:v>0</x:v>
      </x:c>
      <x:c r="AA1350" s="16" t="n">
        <x:v>3</x:v>
      </x:c>
      <x:c r="AB1350" s="16" t="n">
        <x:v>11</x:v>
      </x:c>
      <x:c r="AC1350" s="16" t="n">
        <x:v>1</x:v>
      </x:c>
      <x:c r="AD1350" s="21" t="n">
        <x:f>IF(E1350="",MEDIAN($E$2:$E$2237),E1350)</x:f>
        <x:v>70515</x:v>
      </x:c>
      <x:c r="AE1350" s="17" t="n">
        <x:f>2014-B1350</x:f>
        <x:v>21</x:v>
      </x:c>
      <x:c r="AF1350" s="17" t="n">
        <x:f>F1350+G1350</x:f>
        <x:v>0</x:v>
      </x:c>
      <x:c r="AG1350" s="21" t="n">
        <x:f>SUM(J1350:O1350)</x:f>
        <x:v>1258</x:v>
      </x:c>
      <x:c r="AH1350" s="17" t="n">
        <x:f>SUM(Q1350:S1350)</x:f>
        <x:v>16</x:v>
      </x:c>
      <x:c r="AI1350" s="17" t="n">
        <x:f>SUM(U1350:Y1350)</x:f>
        <x:v>0</x:v>
      </x:c>
      <x:c r="AJ1350" s="17" t="str">
        <x:f>IF(AE1350&lt;=34,"≤34",IF(AE1350&lt;=44,"35–44",IF(AE1350&lt;=54,"45–54",IF(AE1350&lt;=64,"55–64","65+"))))</x:f>
        <x:v>≤34</x:v>
      </x:c>
      <x:c r="AK1350" s="17" t="str">
        <x:f>IF(AG1350&gt;=1000,"High Value",IF(AG1350&gt;=300,"Mid Value","Low Value"))</x:f>
        <x:v>High Value</x:v>
      </x:c>
      <x:c r="AL1350" s="17" t="str">
        <x:f>IF(AND(AI1350&gt;=1,I1350&lt;=50),"Priority 1",IF(AND(AG1350&gt;=1000,I1350&lt;=60),"Priority 2",IF(I1350&lt;=30,"Priority 3","Nurture")))</x:f>
        <x:v>Priority 2</x:v>
      </x:c>
    </x:row>
    <x:row r="1351">
      <x:c r="A1351" s="16" t="n">
        <x:v>8369</x:v>
      </x:c>
      <x:c r="B1351" s="16" t="n">
        <x:v>1987</x:v>
      </x:c>
      <x:c r="C1351" s="16" t="str">
        <x:v>Graduation</x:v>
      </x:c>
      <x:c r="D1351" s="16" t="str">
        <x:v>Together</x:v>
      </x:c>
      <x:c r="E1351" s="16" t="n">
        <x:v>18227</x:v>
      </x:c>
      <x:c r="F1351" s="16" t="n">
        <x:v>1</x:v>
      </x:c>
      <x:c r="G1351" s="16" t="n">
        <x:v>0</x:v>
      </x:c>
      <x:c r="H1351" s="16" t="str">
        <x:v>08-11-2012</x:v>
      </x:c>
      <x:c r="I1351" s="16" t="n">
        <x:v>21</x:v>
      </x:c>
      <x:c r="J1351" s="16" t="n">
        <x:v>1</x:v>
      </x:c>
      <x:c r="K1351" s="16" t="n">
        <x:v>2</x:v>
      </x:c>
      <x:c r="L1351" s="16" t="n">
        <x:v>7</x:v>
      </x:c>
      <x:c r="M1351" s="16" t="n">
        <x:v>4</x:v>
      </x:c>
      <x:c r="N1351" s="16" t="n">
        <x:v>3</x:v>
      </x:c>
      <x:c r="O1351" s="16" t="n">
        <x:v>11</x:v>
      </x:c>
      <x:c r="P1351" s="16" t="n">
        <x:v>1</x:v>
      </x:c>
      <x:c r="Q1351" s="16" t="n">
        <x:v>0</x:v>
      </x:c>
      <x:c r="R1351" s="16" t="n">
        <x:v>1</x:v>
      </x:c>
      <x:c r="S1351" s="16" t="n">
        <x:v>2</x:v>
      </x:c>
      <x:c r="T1351" s="16" t="n">
        <x:v>8</x:v>
      </x:c>
      <x:c r="U1351" s="16" t="n">
        <x:v>0</x:v>
      </x:c>
      <x:c r="V1351" s="16" t="n">
        <x:v>0</x:v>
      </x:c>
      <x:c r="W1351" s="16" t="n">
        <x:v>0</x:v>
      </x:c>
      <x:c r="X1351" s="16" t="n">
        <x:v>0</x:v>
      </x:c>
      <x:c r="Y1351" s="16" t="n">
        <x:v>0</x:v>
      </x:c>
      <x:c r="Z1351" s="16" t="n">
        <x:v>0</x:v>
      </x:c>
      <x:c r="AA1351" s="16" t="n">
        <x:v>3</x:v>
      </x:c>
      <x:c r="AB1351" s="16" t="n">
        <x:v>11</x:v>
      </x:c>
      <x:c r="AC1351" s="16" t="n">
        <x:v>0</x:v>
      </x:c>
      <x:c r="AD1351" s="21" t="n">
        <x:f>IF(E1351="",MEDIAN($E$2:$E$2237),E1351)</x:f>
        <x:v>18227</x:v>
      </x:c>
      <x:c r="AE1351" s="17" t="n">
        <x:f>2014-B1351</x:f>
        <x:v>27</x:v>
      </x:c>
      <x:c r="AF1351" s="17" t="n">
        <x:f>F1351+G1351</x:f>
        <x:v>1</x:v>
      </x:c>
      <x:c r="AG1351" s="21" t="n">
        <x:f>SUM(J1351:O1351)</x:f>
        <x:v>28</x:v>
      </x:c>
      <x:c r="AH1351" s="17" t="n">
        <x:f>SUM(Q1351:S1351)</x:f>
        <x:v>3</x:v>
      </x:c>
      <x:c r="AI1351" s="17" t="n">
        <x:f>SUM(U1351:Y1351)</x:f>
        <x:v>0</x:v>
      </x:c>
      <x:c r="AJ1351" s="17" t="str">
        <x:f>IF(AE1351&lt;=34,"≤34",IF(AE1351&lt;=44,"35–44",IF(AE1351&lt;=54,"45–54",IF(AE1351&lt;=64,"55–64","65+"))))</x:f>
        <x:v>≤34</x:v>
      </x:c>
      <x:c r="AK1351" s="17" t="str">
        <x:f>IF(AG1351&gt;=1000,"High Value",IF(AG1351&gt;=300,"Mid Value","Low Value"))</x:f>
        <x:v>Low Value</x:v>
      </x:c>
      <x:c r="AL1351" s="17" t="str">
        <x:f>IF(AND(AI1351&gt;=1,I1351&lt;=50),"Priority 1",IF(AND(AG1351&gt;=1000,I1351&lt;=60),"Priority 2",IF(I1351&lt;=30,"Priority 3","Nurture")))</x:f>
        <x:v>Priority 3</x:v>
      </x:c>
    </x:row>
    <x:row r="1352">
      <x:c r="A1352" s="16" t="n">
        <x:v>5232</x:v>
      </x:c>
      <x:c r="B1352" s="16" t="n">
        <x:v>1965</x:v>
      </x:c>
      <x:c r="C1352" s="16" t="str">
        <x:v>Graduation</x:v>
      </x:c>
      <x:c r="D1352" s="16" t="str">
        <x:v>Married</x:v>
      </x:c>
      <x:c r="E1352" s="16" t="n">
        <x:v>69139</x:v>
      </x:c>
      <x:c r="F1352" s="16" t="n">
        <x:v>0</x:v>
      </x:c>
      <x:c r="G1352" s="16" t="n">
        <x:v>1</x:v>
      </x:c>
      <x:c r="H1352" s="16" t="str">
        <x:v>27-01-2014</x:v>
      </x:c>
      <x:c r="I1352" s="16" t="n">
        <x:v>23</x:v>
      </x:c>
      <x:c r="J1352" s="16" t="n">
        <x:v>86</x:v>
      </x:c>
      <x:c r="K1352" s="16" t="n">
        <x:v>12</x:v>
      </x:c>
      <x:c r="L1352" s="16" t="n">
        <x:v>75</x:v>
      </x:c>
      <x:c r="M1352" s="16" t="n">
        <x:v>33</x:v>
      </x:c>
      <x:c r="N1352" s="16" t="n">
        <x:v>15</x:v>
      </x:c>
      <x:c r="O1352" s="16" t="n">
        <x:v>6</x:v>
      </x:c>
      <x:c r="P1352" s="16" t="n">
        <x:v>1</x:v>
      </x:c>
      <x:c r="Q1352" s="16" t="n">
        <x:v>4</x:v>
      </x:c>
      <x:c r="R1352" s="16" t="n">
        <x:v>1</x:v>
      </x:c>
      <x:c r="S1352" s="16" t="n">
        <x:v>5</x:v>
      </x:c>
      <x:c r="T1352" s="16" t="n">
        <x:v>4</x:v>
      </x:c>
      <x:c r="U1352" s="16" t="n">
        <x:v>0</x:v>
      </x:c>
      <x:c r="V1352" s="16" t="n">
        <x:v>0</x:v>
      </x:c>
      <x:c r="W1352" s="16" t="n">
        <x:v>0</x:v>
      </x:c>
      <x:c r="X1352" s="16" t="n">
        <x:v>0</x:v>
      </x:c>
      <x:c r="Y1352" s="16" t="n">
        <x:v>0</x:v>
      </x:c>
      <x:c r="Z1352" s="16" t="n">
        <x:v>0</x:v>
      </x:c>
      <x:c r="AA1352" s="16" t="n">
        <x:v>3</x:v>
      </x:c>
      <x:c r="AB1352" s="16" t="n">
        <x:v>11</x:v>
      </x:c>
      <x:c r="AC1352" s="16" t="n">
        <x:v>0</x:v>
      </x:c>
      <x:c r="AD1352" s="21" t="n">
        <x:f>IF(E1352="",MEDIAN($E$2:$E$2237),E1352)</x:f>
        <x:v>69139</x:v>
      </x:c>
      <x:c r="AE1352" s="17" t="n">
        <x:f>2014-B1352</x:f>
        <x:v>49</x:v>
      </x:c>
      <x:c r="AF1352" s="17" t="n">
        <x:f>F1352+G1352</x:f>
        <x:v>1</x:v>
      </x:c>
      <x:c r="AG1352" s="21" t="n">
        <x:f>SUM(J1352:O1352)</x:f>
        <x:v>227</x:v>
      </x:c>
      <x:c r="AH1352" s="17" t="n">
        <x:f>SUM(Q1352:S1352)</x:f>
        <x:v>10</x:v>
      </x:c>
      <x:c r="AI1352" s="17" t="n">
        <x:f>SUM(U1352:Y1352)</x:f>
        <x:v>0</x:v>
      </x:c>
      <x:c r="AJ1352" s="17" t="str">
        <x:f>IF(AE1352&lt;=34,"≤34",IF(AE1352&lt;=44,"35–44",IF(AE1352&lt;=54,"45–54",IF(AE1352&lt;=64,"55–64","65+"))))</x:f>
        <x:v>45–54</x:v>
      </x:c>
      <x:c r="AK1352" s="17" t="str">
        <x:f>IF(AG1352&gt;=1000,"High Value",IF(AG1352&gt;=300,"Mid Value","Low Value"))</x:f>
        <x:v>Low Value</x:v>
      </x:c>
      <x:c r="AL1352" s="17" t="str">
        <x:f>IF(AND(AI1352&gt;=1,I1352&lt;=50),"Priority 1",IF(AND(AG1352&gt;=1000,I1352&lt;=60),"Priority 2",IF(I1352&lt;=30,"Priority 3","Nurture")))</x:f>
        <x:v>Priority 3</x:v>
      </x:c>
    </x:row>
    <x:row r="1353">
      <x:c r="A1353" s="16" t="n">
        <x:v>2407</x:v>
      </x:c>
      <x:c r="B1353" s="16" t="n">
        <x:v>1982</x:v>
      </x:c>
      <x:c r="C1353" s="16" t="str">
        <x:v>Graduation</x:v>
      </x:c>
      <x:c r="D1353" s="16" t="str">
        <x:v>Married</x:v>
      </x:c>
      <x:c r="E1353" s="16" t="n">
        <x:v>69109</x:v>
      </x:c>
      <x:c r="F1353" s="16" t="n">
        <x:v>0</x:v>
      </x:c>
      <x:c r="G1353" s="16" t="n">
        <x:v>0</x:v>
      </x:c>
      <x:c r="H1353" s="16" t="str">
        <x:v>09-11-2012</x:v>
      </x:c>
      <x:c r="I1353" s="16" t="n">
        <x:v>10</x:v>
      </x:c>
      <x:c r="J1353" s="16" t="n">
        <x:v>823</x:v>
      </x:c>
      <x:c r="K1353" s="16" t="n">
        <x:v>25</x:v>
      </x:c>
      <x:c r="L1353" s="16" t="n">
        <x:v>459</x:v>
      </x:c>
      <x:c r="M1353" s="16" t="n">
        <x:v>124</x:v>
      </x:c>
      <x:c r="N1353" s="16" t="n">
        <x:v>29</x:v>
      </x:c>
      <x:c r="O1353" s="16" t="n">
        <x:v>95</x:v>
      </x:c>
      <x:c r="P1353" s="16" t="n">
        <x:v>1</x:v>
      </x:c>
      <x:c r="Q1353" s="16" t="n">
        <x:v>6</x:v>
      </x:c>
      <x:c r="R1353" s="16" t="n">
        <x:v>6</x:v>
      </x:c>
      <x:c r="S1353" s="16" t="n">
        <x:v>7</x:v>
      </x:c>
      <x:c r="T1353" s="16" t="n">
        <x:v>4</x:v>
      </x:c>
      <x:c r="U1353" s="16" t="n">
        <x:v>0</x:v>
      </x:c>
      <x:c r="V1353" s="16" t="n">
        <x:v>0</x:v>
      </x:c>
      <x:c r="W1353" s="16" t="n">
        <x:v>1</x:v>
      </x:c>
      <x:c r="X1353" s="16" t="n">
        <x:v>0</x:v>
      </x:c>
      <x:c r="Y1353" s="16" t="n">
        <x:v>0</x:v>
      </x:c>
      <x:c r="Z1353" s="16" t="n">
        <x:v>0</x:v>
      </x:c>
      <x:c r="AA1353" s="16" t="n">
        <x:v>3</x:v>
      </x:c>
      <x:c r="AB1353" s="16" t="n">
        <x:v>11</x:v>
      </x:c>
      <x:c r="AC1353" s="16" t="n">
        <x:v>1</x:v>
      </x:c>
      <x:c r="AD1353" s="21" t="n">
        <x:f>IF(E1353="",MEDIAN($E$2:$E$2237),E1353)</x:f>
        <x:v>69109</x:v>
      </x:c>
      <x:c r="AE1353" s="17" t="n">
        <x:f>2014-B1353</x:f>
        <x:v>32</x:v>
      </x:c>
      <x:c r="AF1353" s="17" t="n">
        <x:f>F1353+G1353</x:f>
        <x:v>0</x:v>
      </x:c>
      <x:c r="AG1353" s="21" t="n">
        <x:f>SUM(J1353:O1353)</x:f>
        <x:v>1555</x:v>
      </x:c>
      <x:c r="AH1353" s="17" t="n">
        <x:f>SUM(Q1353:S1353)</x:f>
        <x:v>19</x:v>
      </x:c>
      <x:c r="AI1353" s="17" t="n">
        <x:f>SUM(U1353:Y1353)</x:f>
        <x:v>1</x:v>
      </x:c>
      <x:c r="AJ1353" s="17" t="str">
        <x:f>IF(AE1353&lt;=34,"≤34",IF(AE1353&lt;=44,"35–44",IF(AE1353&lt;=54,"45–54",IF(AE1353&lt;=64,"55–64","65+"))))</x:f>
        <x:v>≤34</x:v>
      </x:c>
      <x:c r="AK1353" s="17" t="str">
        <x:f>IF(AG1353&gt;=1000,"High Value",IF(AG1353&gt;=300,"Mid Value","Low Value"))</x:f>
        <x:v>High Value</x:v>
      </x:c>
      <x:c r="AL1353" s="17" t="str">
        <x:f>IF(AND(AI1353&gt;=1,I1353&lt;=50),"Priority 1",IF(AND(AG1353&gt;=1000,I1353&lt;=60),"Priority 2",IF(I1353&lt;=30,"Priority 3","Nurture")))</x:f>
        <x:v>Priority 1</x:v>
      </x:c>
    </x:row>
    <x:row r="1354">
      <x:c r="A1354" s="16" t="n">
        <x:v>3834</x:v>
      </x:c>
      <x:c r="B1354" s="16" t="n">
        <x:v>1962</x:v>
      </x:c>
      <x:c r="C1354" s="16" t="str">
        <x:v>Graduation</x:v>
      </x:c>
      <x:c r="D1354" s="16" t="str">
        <x:v>Single</x:v>
      </x:c>
      <x:c r="E1354" s="16" t="n">
        <x:v>69627</x:v>
      </x:c>
      <x:c r="F1354" s="16" t="n">
        <x:v>0</x:v>
      </x:c>
      <x:c r="G1354" s="16" t="n">
        <x:v>1</x:v>
      </x:c>
      <x:c r="H1354" s="16" t="str">
        <x:v>17-03-2013</x:v>
      </x:c>
      <x:c r="I1354" s="16" t="n">
        <x:v>35</x:v>
      </x:c>
      <x:c r="J1354" s="16" t="n">
        <x:v>231</x:v>
      </x:c>
      <x:c r="K1354" s="16" t="n">
        <x:v>161</x:v>
      </x:c>
      <x:c r="L1354" s="16" t="n">
        <x:v>215</x:v>
      </x:c>
      <x:c r="M1354" s="16" t="n">
        <x:v>171</x:v>
      </x:c>
      <x:c r="N1354" s="16" t="n">
        <x:v>30</x:v>
      </x:c>
      <x:c r="O1354" s="16" t="n">
        <x:v>53</x:v>
      </x:c>
      <x:c r="P1354" s="16" t="n">
        <x:v>2</x:v>
      </x:c>
      <x:c r="Q1354" s="16" t="n">
        <x:v>8</x:v>
      </x:c>
      <x:c r="R1354" s="16" t="n">
        <x:v>2</x:v>
      </x:c>
      <x:c r="S1354" s="16" t="n">
        <x:v>11</x:v>
      </x:c>
      <x:c r="T1354" s="16" t="n">
        <x:v>5</x:v>
      </x:c>
      <x:c r="U1354" s="16" t="n">
        <x:v>0</x:v>
      </x:c>
      <x:c r="V1354" s="16" t="n">
        <x:v>0</x:v>
      </x:c>
      <x:c r="W1354" s="16" t="n">
        <x:v>0</x:v>
      </x:c>
      <x:c r="X1354" s="16" t="n">
        <x:v>0</x:v>
      </x:c>
      <x:c r="Y1354" s="16" t="n">
        <x:v>0</x:v>
      </x:c>
      <x:c r="Z1354" s="16" t="n">
        <x:v>0</x:v>
      </x:c>
      <x:c r="AA1354" s="16" t="n">
        <x:v>3</x:v>
      </x:c>
      <x:c r="AB1354" s="16" t="n">
        <x:v>11</x:v>
      </x:c>
      <x:c r="AC1354" s="16" t="n">
        <x:v>0</x:v>
      </x:c>
      <x:c r="AD1354" s="21" t="n">
        <x:f>IF(E1354="",MEDIAN($E$2:$E$2237),E1354)</x:f>
        <x:v>69627</x:v>
      </x:c>
      <x:c r="AE1354" s="17" t="n">
        <x:f>2014-B1354</x:f>
        <x:v>52</x:v>
      </x:c>
      <x:c r="AF1354" s="17" t="n">
        <x:f>F1354+G1354</x:f>
        <x:v>1</x:v>
      </x:c>
      <x:c r="AG1354" s="21" t="n">
        <x:f>SUM(J1354:O1354)</x:f>
        <x:v>861</x:v>
      </x:c>
      <x:c r="AH1354" s="17" t="n">
        <x:f>SUM(Q1354:S1354)</x:f>
        <x:v>21</x:v>
      </x:c>
      <x:c r="AI1354" s="17" t="n">
        <x:f>SUM(U1354:Y1354)</x:f>
        <x:v>0</x:v>
      </x:c>
      <x:c r="AJ1354" s="17" t="str">
        <x:f>IF(AE1354&lt;=34,"≤34",IF(AE1354&lt;=44,"35–44",IF(AE1354&lt;=54,"45–54",IF(AE1354&lt;=64,"55–64","65+"))))</x:f>
        <x:v>45–54</x:v>
      </x:c>
      <x:c r="AK1354" s="17" t="str">
        <x:f>IF(AG1354&gt;=1000,"High Value",IF(AG1354&gt;=300,"Mid Value","Low Value"))</x:f>
        <x:v>Mid Value</x:v>
      </x:c>
      <x:c r="AL1354" s="17" t="str">
        <x:f>IF(AND(AI1354&gt;=1,I1354&lt;=50),"Priority 1",IF(AND(AG1354&gt;=1000,I1354&lt;=60),"Priority 2",IF(I1354&lt;=30,"Priority 3","Nurture")))</x:f>
        <x:v>Nurture</x:v>
      </x:c>
    </x:row>
    <x:row r="1355">
      <x:c r="A1355" s="16" t="n">
        <x:v>7912</x:v>
      </x:c>
      <x:c r="B1355" s="16" t="n">
        <x:v>1978</x:v>
      </x:c>
      <x:c r="C1355" s="16" t="str">
        <x:v>Graduation</x:v>
      </x:c>
      <x:c r="D1355" s="16" t="str">
        <x:v>Married</x:v>
      </x:c>
      <x:c r="E1355" s="16" t="n">
        <x:v>38136</x:v>
      </x:c>
      <x:c r="F1355" s="16" t="n">
        <x:v>1</x:v>
      </x:c>
      <x:c r="G1355" s="16" t="n">
        <x:v>0</x:v>
      </x:c>
      <x:c r="H1355" s="16" t="str">
        <x:v>22-04-2013</x:v>
      </x:c>
      <x:c r="I1355" s="16" t="n">
        <x:v>69</x:v>
      </x:c>
      <x:c r="J1355" s="16" t="n">
        <x:v>8</x:v>
      </x:c>
      <x:c r="K1355" s="16" t="n">
        <x:v>15</x:v>
      </x:c>
      <x:c r="L1355" s="16" t="n">
        <x:v>27</x:v>
      </x:c>
      <x:c r="M1355" s="16" t="n">
        <x:v>0</x:v>
      </x:c>
      <x:c r="N1355" s="16" t="n">
        <x:v>20</x:v>
      </x:c>
      <x:c r="O1355" s="16" t="n">
        <x:v>33</x:v>
      </x:c>
      <x:c r="P1355" s="16" t="n">
        <x:v>2</x:v>
      </x:c>
      <x:c r="Q1355" s="16" t="n">
        <x:v>3</x:v>
      </x:c>
      <x:c r="R1355" s="16" t="n">
        <x:v>1</x:v>
      </x:c>
      <x:c r="S1355" s="16" t="n">
        <x:v>2</x:v>
      </x:c>
      <x:c r="T1355" s="16" t="n">
        <x:v>8</x:v>
      </x:c>
      <x:c r="U1355" s="16" t="n">
        <x:v>1</x:v>
      </x:c>
      <x:c r="V1355" s="16" t="n">
        <x:v>0</x:v>
      </x:c>
      <x:c r="W1355" s="16" t="n">
        <x:v>0</x:v>
      </x:c>
      <x:c r="X1355" s="16" t="n">
        <x:v>0</x:v>
      </x:c>
      <x:c r="Y1355" s="16" t="n">
        <x:v>0</x:v>
      </x:c>
      <x:c r="Z1355" s="16" t="n">
        <x:v>0</x:v>
      </x:c>
      <x:c r="AA1355" s="16" t="n">
        <x:v>3</x:v>
      </x:c>
      <x:c r="AB1355" s="16" t="n">
        <x:v>11</x:v>
      </x:c>
      <x:c r="AC1355" s="16" t="n">
        <x:v>0</x:v>
      </x:c>
      <x:c r="AD1355" s="21" t="n">
        <x:f>IF(E1355="",MEDIAN($E$2:$E$2237),E1355)</x:f>
        <x:v>38136</x:v>
      </x:c>
      <x:c r="AE1355" s="17" t="n">
        <x:f>2014-B1355</x:f>
        <x:v>36</x:v>
      </x:c>
      <x:c r="AF1355" s="17" t="n">
        <x:f>F1355+G1355</x:f>
        <x:v>1</x:v>
      </x:c>
      <x:c r="AG1355" s="21" t="n">
        <x:f>SUM(J1355:O1355)</x:f>
        <x:v>103</x:v>
      </x:c>
      <x:c r="AH1355" s="17" t="n">
        <x:f>SUM(Q1355:S1355)</x:f>
        <x:v>6</x:v>
      </x:c>
      <x:c r="AI1355" s="17" t="n">
        <x:f>SUM(U1355:Y1355)</x:f>
        <x:v>1</x:v>
      </x:c>
      <x:c r="AJ1355" s="17" t="str">
        <x:f>IF(AE1355&lt;=34,"≤34",IF(AE1355&lt;=44,"35–44",IF(AE1355&lt;=54,"45–54",IF(AE1355&lt;=64,"55–64","65+"))))</x:f>
        <x:v>35–44</x:v>
      </x:c>
      <x:c r="AK1355" s="17" t="str">
        <x:f>IF(AG1355&gt;=1000,"High Value",IF(AG1355&gt;=300,"Mid Value","Low Value"))</x:f>
        <x:v>Low Value</x:v>
      </x:c>
      <x:c r="AL1355" s="17" t="str">
        <x:f>IF(AND(AI1355&gt;=1,I1355&lt;=50),"Priority 1",IF(AND(AG1355&gt;=1000,I1355&lt;=60),"Priority 2",IF(I1355&lt;=30,"Priority 3","Nurture")))</x:f>
        <x:v>Nurture</x:v>
      </x:c>
    </x:row>
    <x:row r="1356">
      <x:c r="A1356" s="16" t="n">
        <x:v>7712</x:v>
      </x:c>
      <x:c r="B1356" s="16" t="n">
        <x:v>1946</x:v>
      </x:c>
      <x:c r="C1356" s="16" t="str">
        <x:v>PhD</x:v>
      </x:c>
      <x:c r="D1356" s="16" t="str">
        <x:v>Single</x:v>
      </x:c>
      <x:c r="E1356" s="16" t="n">
        <x:v>62159</x:v>
      </x:c>
      <x:c r="F1356" s="16" t="n">
        <x:v>0</x:v>
      </x:c>
      <x:c r="G1356" s="16" t="n">
        <x:v>0</x:v>
      </x:c>
      <x:c r="H1356" s="16" t="str">
        <x:v>28-04-2014</x:v>
      </x:c>
      <x:c r="I1356" s="16" t="n">
        <x:v>68</x:v>
      </x:c>
      <x:c r="J1356" s="16" t="n">
        <x:v>182</x:v>
      </x:c>
      <x:c r="K1356" s="16" t="n">
        <x:v>17</x:v>
      </x:c>
      <x:c r="L1356" s="16" t="n">
        <x:v>259</x:v>
      </x:c>
      <x:c r="M1356" s="16" t="n">
        <x:v>77</x:v>
      </x:c>
      <x:c r="N1356" s="16" t="n">
        <x:v>70</x:v>
      </x:c>
      <x:c r="O1356" s="16" t="n">
        <x:v>29</x:v>
      </x:c>
      <x:c r="P1356" s="16" t="n">
        <x:v>1</x:v>
      </x:c>
      <x:c r="Q1356" s="16" t="n">
        <x:v>6</x:v>
      </x:c>
      <x:c r="R1356" s="16" t="n">
        <x:v>2</x:v>
      </x:c>
      <x:c r="S1356" s="16" t="n">
        <x:v>10</x:v>
      </x:c>
      <x:c r="T1356" s="16" t="n">
        <x:v>4</x:v>
      </x:c>
      <x:c r="U1356" s="16" t="n">
        <x:v>0</x:v>
      </x:c>
      <x:c r="V1356" s="16" t="n">
        <x:v>0</x:v>
      </x:c>
      <x:c r="W1356" s="16" t="n">
        <x:v>0</x:v>
      </x:c>
      <x:c r="X1356" s="16" t="n">
        <x:v>0</x:v>
      </x:c>
      <x:c r="Y1356" s="16" t="n">
        <x:v>0</x:v>
      </x:c>
      <x:c r="Z1356" s="16" t="n">
        <x:v>0</x:v>
      </x:c>
      <x:c r="AA1356" s="16" t="n">
        <x:v>3</x:v>
      </x:c>
      <x:c r="AB1356" s="16" t="n">
        <x:v>11</x:v>
      </x:c>
      <x:c r="AC1356" s="16" t="n">
        <x:v>0</x:v>
      </x:c>
      <x:c r="AD1356" s="21" t="n">
        <x:f>IF(E1356="",MEDIAN($E$2:$E$2237),E1356)</x:f>
        <x:v>62159</x:v>
      </x:c>
      <x:c r="AE1356" s="17" t="n">
        <x:f>2014-B1356</x:f>
        <x:v>68</x:v>
      </x:c>
      <x:c r="AF1356" s="17" t="n">
        <x:f>F1356+G1356</x:f>
        <x:v>0</x:v>
      </x:c>
      <x:c r="AG1356" s="21" t="n">
        <x:f>SUM(J1356:O1356)</x:f>
        <x:v>634</x:v>
      </x:c>
      <x:c r="AH1356" s="17" t="n">
        <x:f>SUM(Q1356:S1356)</x:f>
        <x:v>18</x:v>
      </x:c>
      <x:c r="AI1356" s="17" t="n">
        <x:f>SUM(U1356:Y1356)</x:f>
        <x:v>0</x:v>
      </x:c>
      <x:c r="AJ1356" s="17" t="str">
        <x:f>IF(AE1356&lt;=34,"≤34",IF(AE1356&lt;=44,"35–44",IF(AE1356&lt;=54,"45–54",IF(AE1356&lt;=64,"55–64","65+"))))</x:f>
        <x:v>65+</x:v>
      </x:c>
      <x:c r="AK1356" s="17" t="str">
        <x:f>IF(AG1356&gt;=1000,"High Value",IF(AG1356&gt;=300,"Mid Value","Low Value"))</x:f>
        <x:v>Mid Value</x:v>
      </x:c>
      <x:c r="AL1356" s="17" t="str">
        <x:f>IF(AND(AI1356&gt;=1,I1356&lt;=50),"Priority 1",IF(AND(AG1356&gt;=1000,I1356&lt;=60),"Priority 2",IF(I1356&lt;=30,"Priority 3","Nurture")))</x:f>
        <x:v>Nurture</x:v>
      </x:c>
    </x:row>
    <x:row r="1357">
      <x:c r="A1357" s="16" t="n">
        <x:v>1065</x:v>
      </x:c>
      <x:c r="B1357" s="16" t="n">
        <x:v>1963</x:v>
      </x:c>
      <x:c r="C1357" s="16" t="str">
        <x:v>Graduation</x:v>
      </x:c>
      <x:c r="D1357" s="16" t="str">
        <x:v>Single</x:v>
      </x:c>
      <x:c r="E1357" s="16" t="n">
        <x:v>80695</x:v>
      </x:c>
      <x:c r="F1357" s="16" t="n">
        <x:v>0</x:v>
      </x:c>
      <x:c r="G1357" s="16" t="n">
        <x:v>0</x:v>
      </x:c>
      <x:c r="H1357" s="16" t="str">
        <x:v>29-12-2013</x:v>
      </x:c>
      <x:c r="I1357" s="16" t="n">
        <x:v>85</x:v>
      </x:c>
      <x:c r="J1357" s="16" t="n">
        <x:v>557</x:v>
      </x:c>
      <x:c r="K1357" s="16" t="n">
        <x:v>129</x:v>
      </x:c>
      <x:c r="L1357" s="16" t="n">
        <x:v>984</x:v>
      </x:c>
      <x:c r="M1357" s="16" t="n">
        <x:v>193</x:v>
      </x:c>
      <x:c r="N1357" s="16" t="n">
        <x:v>37</x:v>
      </x:c>
      <x:c r="O1357" s="16" t="n">
        <x:v>18</x:v>
      </x:c>
      <x:c r="P1357" s="16" t="n">
        <x:v>1</x:v>
      </x:c>
      <x:c r="Q1357" s="16" t="n">
        <x:v>5</x:v>
      </x:c>
      <x:c r="R1357" s="16" t="n">
        <x:v>8</x:v>
      </x:c>
      <x:c r="S1357" s="16" t="n">
        <x:v>5</x:v>
      </x:c>
      <x:c r="T1357" s="16" t="n">
        <x:v>2</x:v>
      </x:c>
      <x:c r="U1357" s="16" t="n">
        <x:v>0</x:v>
      </x:c>
      <x:c r="V1357" s="16" t="n">
        <x:v>0</x:v>
      </x:c>
      <x:c r="W1357" s="16" t="n">
        <x:v>0</x:v>
      </x:c>
      <x:c r="X1357" s="16" t="n">
        <x:v>0</x:v>
      </x:c>
      <x:c r="Y1357" s="16" t="n">
        <x:v>0</x:v>
      </x:c>
      <x:c r="Z1357" s="16" t="n">
        <x:v>0</x:v>
      </x:c>
      <x:c r="AA1357" s="16" t="n">
        <x:v>3</x:v>
      </x:c>
      <x:c r="AB1357" s="16" t="n">
        <x:v>11</x:v>
      </x:c>
      <x:c r="AC1357" s="16" t="n">
        <x:v>0</x:v>
      </x:c>
      <x:c r="AD1357" s="21" t="n">
        <x:f>IF(E1357="",MEDIAN($E$2:$E$2237),E1357)</x:f>
        <x:v>80695</x:v>
      </x:c>
      <x:c r="AE1357" s="17" t="n">
        <x:f>2014-B1357</x:f>
        <x:v>51</x:v>
      </x:c>
      <x:c r="AF1357" s="17" t="n">
        <x:f>F1357+G1357</x:f>
        <x:v>0</x:v>
      </x:c>
      <x:c r="AG1357" s="21" t="n">
        <x:f>SUM(J1357:O1357)</x:f>
        <x:v>1918</x:v>
      </x:c>
      <x:c r="AH1357" s="17" t="n">
        <x:f>SUM(Q1357:S1357)</x:f>
        <x:v>18</x:v>
      </x:c>
      <x:c r="AI1357" s="17" t="n">
        <x:f>SUM(U1357:Y1357)</x:f>
        <x:v>0</x:v>
      </x:c>
      <x:c r="AJ1357" s="17" t="str">
        <x:f>IF(AE1357&lt;=34,"≤34",IF(AE1357&lt;=44,"35–44",IF(AE1357&lt;=54,"45–54",IF(AE1357&lt;=64,"55–64","65+"))))</x:f>
        <x:v>45–54</x:v>
      </x:c>
      <x:c r="AK1357" s="17" t="str">
        <x:f>IF(AG1357&gt;=1000,"High Value",IF(AG1357&gt;=300,"Mid Value","Low Value"))</x:f>
        <x:v>High Value</x:v>
      </x:c>
      <x:c r="AL1357" s="17" t="str">
        <x:f>IF(AND(AI1357&gt;=1,I1357&lt;=50),"Priority 1",IF(AND(AG1357&gt;=1000,I1357&lt;=60),"Priority 2",IF(I1357&lt;=30,"Priority 3","Nurture")))</x:f>
        <x:v>Nurture</x:v>
      </x:c>
    </x:row>
    <x:row r="1358">
      <x:c r="A1358" s="16" t="n">
        <x:v>7275</x:v>
      </x:c>
      <x:c r="B1358" s="16" t="n">
        <x:v>1971</x:v>
      </x:c>
      <x:c r="C1358" s="16" t="str">
        <x:v>Master</x:v>
      </x:c>
      <x:c r="D1358" s="16" t="str">
        <x:v>Single</x:v>
      </x:c>
      <x:c r="E1358" s="16" t="n">
        <x:v>33316</x:v>
      </x:c>
      <x:c r="F1358" s="16" t="n">
        <x:v>1</x:v>
      </x:c>
      <x:c r="G1358" s="16" t="n">
        <x:v>1</x:v>
      </x:c>
      <x:c r="H1358" s="16" t="str">
        <x:v>04-10-2013</x:v>
      </x:c>
      <x:c r="I1358" s="16" t="n">
        <x:v>34</x:v>
      </x:c>
      <x:c r="J1358" s="16" t="n">
        <x:v>79</x:v>
      </x:c>
      <x:c r="K1358" s="16" t="n">
        <x:v>1</x:v>
      </x:c>
      <x:c r="L1358" s="16" t="n">
        <x:v>31</x:v>
      </x:c>
      <x:c r="M1358" s="16" t="n">
        <x:v>4</x:v>
      </x:c>
      <x:c r="N1358" s="16" t="n">
        <x:v>4</x:v>
      </x:c>
      <x:c r="O1358" s="16" t="n">
        <x:v>12</x:v>
      </x:c>
      <x:c r="P1358" s="16" t="n">
        <x:v>3</x:v>
      </x:c>
      <x:c r="Q1358" s="16" t="n">
        <x:v>2</x:v>
      </x:c>
      <x:c r="R1358" s="16" t="n">
        <x:v>1</x:v>
      </x:c>
      <x:c r="S1358" s="16" t="n">
        <x:v>4</x:v>
      </x:c>
      <x:c r="T1358" s="16" t="n">
        <x:v>6</x:v>
      </x:c>
      <x:c r="U1358" s="16" t="n">
        <x:v>0</x:v>
      </x:c>
      <x:c r="V1358" s="16" t="n">
        <x:v>0</x:v>
      </x:c>
      <x:c r="W1358" s="16" t="n">
        <x:v>0</x:v>
      </x:c>
      <x:c r="X1358" s="16" t="n">
        <x:v>0</x:v>
      </x:c>
      <x:c r="Y1358" s="16" t="n">
        <x:v>0</x:v>
      </x:c>
      <x:c r="Z1358" s="16" t="n">
        <x:v>0</x:v>
      </x:c>
      <x:c r="AA1358" s="16" t="n">
        <x:v>3</x:v>
      </x:c>
      <x:c r="AB1358" s="16" t="n">
        <x:v>11</x:v>
      </x:c>
      <x:c r="AC1358" s="16" t="n">
        <x:v>0</x:v>
      </x:c>
      <x:c r="AD1358" s="21" t="n">
        <x:f>IF(E1358="",MEDIAN($E$2:$E$2237),E1358)</x:f>
        <x:v>33316</x:v>
      </x:c>
      <x:c r="AE1358" s="17" t="n">
        <x:f>2014-B1358</x:f>
        <x:v>43</x:v>
      </x:c>
      <x:c r="AF1358" s="17" t="n">
        <x:f>F1358+G1358</x:f>
        <x:v>2</x:v>
      </x:c>
      <x:c r="AG1358" s="21" t="n">
        <x:f>SUM(J1358:O1358)</x:f>
        <x:v>131</x:v>
      </x:c>
      <x:c r="AH1358" s="17" t="n">
        <x:f>SUM(Q1358:S1358)</x:f>
        <x:v>7</x:v>
      </x:c>
      <x:c r="AI1358" s="17" t="n">
        <x:f>SUM(U1358:Y1358)</x:f>
        <x:v>0</x:v>
      </x:c>
      <x:c r="AJ1358" s="17" t="str">
        <x:f>IF(AE1358&lt;=34,"≤34",IF(AE1358&lt;=44,"35–44",IF(AE1358&lt;=54,"45–54",IF(AE1358&lt;=64,"55–64","65+"))))</x:f>
        <x:v>35–44</x:v>
      </x:c>
      <x:c r="AK1358" s="17" t="str">
        <x:f>IF(AG1358&gt;=1000,"High Value",IF(AG1358&gt;=300,"Mid Value","Low Value"))</x:f>
        <x:v>Low Value</x:v>
      </x:c>
      <x:c r="AL1358" s="17" t="str">
        <x:f>IF(AND(AI1358&gt;=1,I1358&lt;=50),"Priority 1",IF(AND(AG1358&gt;=1000,I1358&lt;=60),"Priority 2",IF(I1358&lt;=30,"Priority 3","Nurture")))</x:f>
        <x:v>Nurture</x:v>
      </x:c>
    </x:row>
    <x:row r="1359">
      <x:c r="A1359" s="16" t="n">
        <x:v>1343</x:v>
      </x:c>
      <x:c r="B1359" s="16" t="n">
        <x:v>1968</x:v>
      </x:c>
      <x:c r="C1359" s="16" t="str">
        <x:v>Graduation</x:v>
      </x:c>
      <x:c r="D1359" s="16" t="str">
        <x:v>Together</x:v>
      </x:c>
      <x:c r="E1359" s="16" t="n">
        <x:v>58554</x:v>
      </x:c>
      <x:c r="F1359" s="16" t="n">
        <x:v>1</x:v>
      </x:c>
      <x:c r="G1359" s="16" t="n">
        <x:v>1</x:v>
      </x:c>
      <x:c r="H1359" s="16" t="str">
        <x:v>26-09-2012</x:v>
      </x:c>
      <x:c r="I1359" s="16" t="n">
        <x:v>55</x:v>
      </x:c>
      <x:c r="J1359" s="16" t="n">
        <x:v>368</x:v>
      </x:c>
      <x:c r="K1359" s="16" t="n">
        <x:v>24</x:v>
      </x:c>
      <x:c r="L1359" s="16" t="n">
        <x:v>68</x:v>
      </x:c>
      <x:c r="M1359" s="16" t="n">
        <x:v>38</x:v>
      </x:c>
      <x:c r="N1359" s="16" t="n">
        <x:v>0</x:v>
      </x:c>
      <x:c r="O1359" s="16" t="n">
        <x:v>88</x:v>
      </x:c>
      <x:c r="P1359" s="16" t="n">
        <x:v>6</x:v>
      </x:c>
      <x:c r="Q1359" s="16" t="n">
        <x:v>8</x:v>
      </x:c>
      <x:c r="R1359" s="16" t="n">
        <x:v>2</x:v>
      </x:c>
      <x:c r="S1359" s="16" t="n">
        <x:v>6</x:v>
      </x:c>
      <x:c r="T1359" s="16" t="n">
        <x:v>7</x:v>
      </x:c>
      <x:c r="U1359" s="16" t="n">
        <x:v>0</x:v>
      </x:c>
      <x:c r="V1359" s="16" t="n">
        <x:v>0</x:v>
      </x:c>
      <x:c r="W1359" s="16" t="n">
        <x:v>0</x:v>
      </x:c>
      <x:c r="X1359" s="16" t="n">
        <x:v>0</x:v>
      </x:c>
      <x:c r="Y1359" s="16" t="n">
        <x:v>0</x:v>
      </x:c>
      <x:c r="Z1359" s="16" t="n">
        <x:v>0</x:v>
      </x:c>
      <x:c r="AA1359" s="16" t="n">
        <x:v>3</x:v>
      </x:c>
      <x:c r="AB1359" s="16" t="n">
        <x:v>11</x:v>
      </x:c>
      <x:c r="AC1359" s="16" t="n">
        <x:v>0</x:v>
      </x:c>
      <x:c r="AD1359" s="21" t="n">
        <x:f>IF(E1359="",MEDIAN($E$2:$E$2237),E1359)</x:f>
        <x:v>58554</x:v>
      </x:c>
      <x:c r="AE1359" s="17" t="n">
        <x:f>2014-B1359</x:f>
        <x:v>46</x:v>
      </x:c>
      <x:c r="AF1359" s="17" t="n">
        <x:f>F1359+G1359</x:f>
        <x:v>2</x:v>
      </x:c>
      <x:c r="AG1359" s="21" t="n">
        <x:f>SUM(J1359:O1359)</x:f>
        <x:v>586</x:v>
      </x:c>
      <x:c r="AH1359" s="17" t="n">
        <x:f>SUM(Q1359:S1359)</x:f>
        <x:v>16</x:v>
      </x:c>
      <x:c r="AI1359" s="17" t="n">
        <x:f>SUM(U1359:Y1359)</x:f>
        <x:v>0</x:v>
      </x:c>
      <x:c r="AJ1359" s="17" t="str">
        <x:f>IF(AE1359&lt;=34,"≤34",IF(AE1359&lt;=44,"35–44",IF(AE1359&lt;=54,"45–54",IF(AE1359&lt;=64,"55–64","65+"))))</x:f>
        <x:v>45–54</x:v>
      </x:c>
      <x:c r="AK1359" s="17" t="str">
        <x:f>IF(AG1359&gt;=1000,"High Value",IF(AG1359&gt;=300,"Mid Value","Low Value"))</x:f>
        <x:v>Mid Value</x:v>
      </x:c>
      <x:c r="AL1359" s="17" t="str">
        <x:f>IF(AND(AI1359&gt;=1,I1359&lt;=50),"Priority 1",IF(AND(AG1359&gt;=1000,I1359&lt;=60),"Priority 2",IF(I1359&lt;=30,"Priority 3","Nurture")))</x:f>
        <x:v>Nurture</x:v>
      </x:c>
    </x:row>
    <x:row r="1360">
      <x:c r="A1360" s="16" t="n">
        <x:v>1384</x:v>
      </x:c>
      <x:c r="B1360" s="16" t="n">
        <x:v>1992</x:v>
      </x:c>
      <x:c r="C1360" s="16" t="str">
        <x:v>Basic</x:v>
      </x:c>
      <x:c r="D1360" s="16" t="str">
        <x:v>Married</x:v>
      </x:c>
      <x:c r="E1360" s="16" t="n">
        <x:v>17256</x:v>
      </x:c>
      <x:c r="F1360" s="16" t="n">
        <x:v>1</x:v>
      </x:c>
      <x:c r="G1360" s="16" t="n">
        <x:v>0</x:v>
      </x:c>
      <x:c r="H1360" s="16" t="str">
        <x:v>23-11-2013</x:v>
      </x:c>
      <x:c r="I1360" s="16" t="n">
        <x:v>10</x:v>
      </x:c>
      <x:c r="J1360" s="16" t="n">
        <x:v>6</x:v>
      </x:c>
      <x:c r="K1360" s="16" t="n">
        <x:v>4</x:v>
      </x:c>
      <x:c r="L1360" s="16" t="n">
        <x:v>14</x:v>
      </x:c>
      <x:c r="M1360" s="16" t="n">
        <x:v>8</x:v>
      </x:c>
      <x:c r="N1360" s="16" t="n">
        <x:v>8</x:v>
      </x:c>
      <x:c r="O1360" s="16" t="n">
        <x:v>22</x:v>
      </x:c>
      <x:c r="P1360" s="16" t="n">
        <x:v>2</x:v>
      </x:c>
      <x:c r="Q1360" s="16" t="n">
        <x:v>2</x:v>
      </x:c>
      <x:c r="R1360" s="16" t="n">
        <x:v>1</x:v>
      </x:c>
      <x:c r="S1360" s="16" t="n">
        <x:v>2</x:v>
      </x:c>
      <x:c r="T1360" s="16" t="n">
        <x:v>8</x:v>
      </x:c>
      <x:c r="U1360" s="16" t="n">
        <x:v>1</x:v>
      </x:c>
      <x:c r="V1360" s="16" t="n">
        <x:v>0</x:v>
      </x:c>
      <x:c r="W1360" s="16" t="n">
        <x:v>0</x:v>
      </x:c>
      <x:c r="X1360" s="16" t="n">
        <x:v>0</x:v>
      </x:c>
      <x:c r="Y1360" s="16" t="n">
        <x:v>0</x:v>
      </x:c>
      <x:c r="Z1360" s="16" t="n">
        <x:v>0</x:v>
      </x:c>
      <x:c r="AA1360" s="16" t="n">
        <x:v>3</x:v>
      </x:c>
      <x:c r="AB1360" s="16" t="n">
        <x:v>11</x:v>
      </x:c>
      <x:c r="AC1360" s="16" t="n">
        <x:v>0</x:v>
      </x:c>
      <x:c r="AD1360" s="21" t="n">
        <x:f>IF(E1360="",MEDIAN($E$2:$E$2237),E1360)</x:f>
        <x:v>17256</x:v>
      </x:c>
      <x:c r="AE1360" s="17" t="n">
        <x:f>2014-B1360</x:f>
        <x:v>22</x:v>
      </x:c>
      <x:c r="AF1360" s="17" t="n">
        <x:f>F1360+G1360</x:f>
        <x:v>1</x:v>
      </x:c>
      <x:c r="AG1360" s="21" t="n">
        <x:f>SUM(J1360:O1360)</x:f>
        <x:v>62</x:v>
      </x:c>
      <x:c r="AH1360" s="17" t="n">
        <x:f>SUM(Q1360:S1360)</x:f>
        <x:v>5</x:v>
      </x:c>
      <x:c r="AI1360" s="17" t="n">
        <x:f>SUM(U1360:Y1360)</x:f>
        <x:v>1</x:v>
      </x:c>
      <x:c r="AJ1360" s="17" t="str">
        <x:f>IF(AE1360&lt;=34,"≤34",IF(AE1360&lt;=44,"35–44",IF(AE1360&lt;=54,"45–54",IF(AE1360&lt;=64,"55–64","65+"))))</x:f>
        <x:v>≤34</x:v>
      </x:c>
      <x:c r="AK1360" s="17" t="str">
        <x:f>IF(AG1360&gt;=1000,"High Value",IF(AG1360&gt;=300,"Mid Value","Low Value"))</x:f>
        <x:v>Low Value</x:v>
      </x:c>
      <x:c r="AL1360" s="17" t="str">
        <x:f>IF(AND(AI1360&gt;=1,I1360&lt;=50),"Priority 1",IF(AND(AG1360&gt;=1000,I1360&lt;=60),"Priority 2",IF(I1360&lt;=30,"Priority 3","Nurture")))</x:f>
        <x:v>Priority 1</x:v>
      </x:c>
    </x:row>
    <x:row r="1361">
      <x:c r="A1361" s="16" t="n">
        <x:v>9967</x:v>
      </x:c>
      <x:c r="B1361" s="16" t="n">
        <x:v>1974</x:v>
      </x:c>
      <x:c r="C1361" s="16" t="str">
        <x:v>Graduation</x:v>
      </x:c>
      <x:c r="D1361" s="16" t="str">
        <x:v>Divorced</x:v>
      </x:c>
      <x:c r="E1361" s="16" t="n">
        <x:v>53034</x:v>
      </x:c>
      <x:c r="F1361" s="16" t="n">
        <x:v>1</x:v>
      </x:c>
      <x:c r="G1361" s="16" t="n">
        <x:v>1</x:v>
      </x:c>
      <x:c r="H1361" s="16" t="str">
        <x:v>30-05-2013</x:v>
      </x:c>
      <x:c r="I1361" s="16" t="n">
        <x:v>30</x:v>
      </x:c>
      <x:c r="J1361" s="16" t="n">
        <x:v>160</x:v>
      </x:c>
      <x:c r="K1361" s="16" t="n">
        <x:v>15</x:v>
      </x:c>
      <x:c r="L1361" s="16" t="n">
        <x:v>196</x:v>
      </x:c>
      <x:c r="M1361" s="16" t="n">
        <x:v>15</x:v>
      </x:c>
      <x:c r="N1361" s="16" t="n">
        <x:v>11</x:v>
      </x:c>
      <x:c r="O1361" s="16" t="n">
        <x:v>50</x:v>
      </x:c>
      <x:c r="P1361" s="16" t="n">
        <x:v>8</x:v>
      </x:c>
      <x:c r="Q1361" s="16" t="n">
        <x:v>6</x:v>
      </x:c>
      <x:c r="R1361" s="16" t="n">
        <x:v>1</x:v>
      </x:c>
      <x:c r="S1361" s="16" t="n">
        <x:v>7</x:v>
      </x:c>
      <x:c r="T1361" s="16" t="n">
        <x:v>8</x:v>
      </x:c>
      <x:c r="U1361" s="16" t="n">
        <x:v>0</x:v>
      </x:c>
      <x:c r="V1361" s="16" t="n">
        <x:v>0</x:v>
      </x:c>
      <x:c r="W1361" s="16" t="n">
        <x:v>0</x:v>
      </x:c>
      <x:c r="X1361" s="16" t="n">
        <x:v>0</x:v>
      </x:c>
      <x:c r="Y1361" s="16" t="n">
        <x:v>0</x:v>
      </x:c>
      <x:c r="Z1361" s="16" t="n">
        <x:v>0</x:v>
      </x:c>
      <x:c r="AA1361" s="16" t="n">
        <x:v>3</x:v>
      </x:c>
      <x:c r="AB1361" s="16" t="n">
        <x:v>11</x:v>
      </x:c>
      <x:c r="AC1361" s="16" t="n">
        <x:v>0</x:v>
      </x:c>
      <x:c r="AD1361" s="21" t="n">
        <x:f>IF(E1361="",MEDIAN($E$2:$E$2237),E1361)</x:f>
        <x:v>53034</x:v>
      </x:c>
      <x:c r="AE1361" s="17" t="n">
        <x:f>2014-B1361</x:f>
        <x:v>40</x:v>
      </x:c>
      <x:c r="AF1361" s="17" t="n">
        <x:f>F1361+G1361</x:f>
        <x:v>2</x:v>
      </x:c>
      <x:c r="AG1361" s="21" t="n">
        <x:f>SUM(J1361:O1361)</x:f>
        <x:v>447</x:v>
      </x:c>
      <x:c r="AH1361" s="17" t="n">
        <x:f>SUM(Q1361:S1361)</x:f>
        <x:v>14</x:v>
      </x:c>
      <x:c r="AI1361" s="17" t="n">
        <x:f>SUM(U1361:Y1361)</x:f>
        <x:v>0</x:v>
      </x:c>
      <x:c r="AJ1361" s="17" t="str">
        <x:f>IF(AE1361&lt;=34,"≤34",IF(AE1361&lt;=44,"35–44",IF(AE1361&lt;=54,"45–54",IF(AE1361&lt;=64,"55–64","65+"))))</x:f>
        <x:v>35–44</x:v>
      </x:c>
      <x:c r="AK1361" s="17" t="str">
        <x:f>IF(AG1361&gt;=1000,"High Value",IF(AG1361&gt;=300,"Mid Value","Low Value"))</x:f>
        <x:v>Mid Value</x:v>
      </x:c>
      <x:c r="AL1361" s="17" t="str">
        <x:f>IF(AND(AI1361&gt;=1,I1361&lt;=50),"Priority 1",IF(AND(AG1361&gt;=1000,I1361&lt;=60),"Priority 2",IF(I1361&lt;=30,"Priority 3","Nurture")))</x:f>
        <x:v>Priority 3</x:v>
      </x:c>
    </x:row>
    <x:row r="1362">
      <x:c r="A1362" s="16" t="n">
        <x:v>6181</x:v>
      </x:c>
      <x:c r="B1362" s="16" t="n">
        <x:v>1950</x:v>
      </x:c>
      <x:c r="C1362" s="16" t="str">
        <x:v>2n Cycle</x:v>
      </x:c>
      <x:c r="D1362" s="16" t="str">
        <x:v>Together</x:v>
      </x:c>
      <x:c r="E1362" s="16" t="n">
        <x:v>52203</x:v>
      </x:c>
      <x:c r="F1362" s="16" t="n">
        <x:v>0</x:v>
      </x:c>
      <x:c r="G1362" s="16" t="n">
        <x:v>0</x:v>
      </x:c>
      <x:c r="H1362" s="16" t="str">
        <x:v>31-07-2012</x:v>
      </x:c>
      <x:c r="I1362" s="16" t="n">
        <x:v>36</x:v>
      </x:c>
      <x:c r="J1362" s="16" t="n">
        <x:v>488</x:v>
      </x:c>
      <x:c r="K1362" s="16" t="n">
        <x:v>21</x:v>
      </x:c>
      <x:c r="L1362" s="16" t="n">
        <x:v>238</x:v>
      </x:c>
      <x:c r="M1362" s="16" t="n">
        <x:v>56</x:v>
      </x:c>
      <x:c r="N1362" s="16" t="n">
        <x:v>108</x:v>
      </x:c>
      <x:c r="O1362" s="16" t="n">
        <x:v>28</x:v>
      </x:c>
      <x:c r="P1362" s="16" t="n">
        <x:v>1</x:v>
      </x:c>
      <x:c r="Q1362" s="16" t="n">
        <x:v>8</x:v>
      </x:c>
      <x:c r="R1362" s="16" t="n">
        <x:v>7</x:v>
      </x:c>
      <x:c r="S1362" s="16" t="n">
        <x:v>11</x:v>
      </x:c>
      <x:c r="T1362" s="16" t="n">
        <x:v>6</x:v>
      </x:c>
      <x:c r="U1362" s="16" t="n">
        <x:v>0</x:v>
      </x:c>
      <x:c r="V1362" s="16" t="n">
        <x:v>0</x:v>
      </x:c>
      <x:c r="W1362" s="16" t="n">
        <x:v>0</x:v>
      </x:c>
      <x:c r="X1362" s="16" t="n">
        <x:v>0</x:v>
      </x:c>
      <x:c r="Y1362" s="16" t="n">
        <x:v>0</x:v>
      </x:c>
      <x:c r="Z1362" s="16" t="n">
        <x:v>0</x:v>
      </x:c>
      <x:c r="AA1362" s="16" t="n">
        <x:v>3</x:v>
      </x:c>
      <x:c r="AB1362" s="16" t="n">
        <x:v>11</x:v>
      </x:c>
      <x:c r="AC1362" s="16" t="n">
        <x:v>0</x:v>
      </x:c>
      <x:c r="AD1362" s="21" t="n">
        <x:f>IF(E1362="",MEDIAN($E$2:$E$2237),E1362)</x:f>
        <x:v>52203</x:v>
      </x:c>
      <x:c r="AE1362" s="17" t="n">
        <x:f>2014-B1362</x:f>
        <x:v>64</x:v>
      </x:c>
      <x:c r="AF1362" s="17" t="n">
        <x:f>F1362+G1362</x:f>
        <x:v>0</x:v>
      </x:c>
      <x:c r="AG1362" s="21" t="n">
        <x:f>SUM(J1362:O1362)</x:f>
        <x:v>939</x:v>
      </x:c>
      <x:c r="AH1362" s="17" t="n">
        <x:f>SUM(Q1362:S1362)</x:f>
        <x:v>26</x:v>
      </x:c>
      <x:c r="AI1362" s="17" t="n">
        <x:f>SUM(U1362:Y1362)</x:f>
        <x:v>0</x:v>
      </x:c>
      <x:c r="AJ1362" s="17" t="str">
        <x:f>IF(AE1362&lt;=34,"≤34",IF(AE1362&lt;=44,"35–44",IF(AE1362&lt;=54,"45–54",IF(AE1362&lt;=64,"55–64","65+"))))</x:f>
        <x:v>55–64</x:v>
      </x:c>
      <x:c r="AK1362" s="17" t="str">
        <x:f>IF(AG1362&gt;=1000,"High Value",IF(AG1362&gt;=300,"Mid Value","Low Value"))</x:f>
        <x:v>Mid Value</x:v>
      </x:c>
      <x:c r="AL1362" s="17" t="str">
        <x:f>IF(AND(AI1362&gt;=1,I1362&lt;=50),"Priority 1",IF(AND(AG1362&gt;=1000,I1362&lt;=60),"Priority 2",IF(I1362&lt;=30,"Priority 3","Nurture")))</x:f>
        <x:v>Nurture</x:v>
      </x:c>
    </x:row>
    <x:row r="1363">
      <x:c r="A1363" s="16" t="n">
        <x:v>10507</x:v>
      </x:c>
      <x:c r="B1363" s="16" t="n">
        <x:v>1977</x:v>
      </x:c>
      <x:c r="C1363" s="16" t="str">
        <x:v>2n Cycle</x:v>
      </x:c>
      <x:c r="D1363" s="16" t="str">
        <x:v>Divorced</x:v>
      </x:c>
      <x:c r="E1363" s="16" t="n">
        <x:v>59601</x:v>
      </x:c>
      <x:c r="F1363" s="16" t="n">
        <x:v>0</x:v>
      </x:c>
      <x:c r="G1363" s="16" t="n">
        <x:v>1</x:v>
      </x:c>
      <x:c r="H1363" s="16" t="str">
        <x:v>25-07-2013</x:v>
      </x:c>
      <x:c r="I1363" s="16" t="n">
        <x:v>14</x:v>
      </x:c>
      <x:c r="J1363" s="16" t="n">
        <x:v>691</x:v>
      </x:c>
      <x:c r="K1363" s="16" t="n">
        <x:v>7</x:v>
      </x:c>
      <x:c r="L1363" s="16" t="n">
        <x:v>69</x:v>
      </x:c>
      <x:c r="M1363" s="16" t="n">
        <x:v>0</x:v>
      </x:c>
      <x:c r="N1363" s="16" t="n">
        <x:v>7</x:v>
      </x:c>
      <x:c r="O1363" s="16" t="n">
        <x:v>23</x:v>
      </x:c>
      <x:c r="P1363" s="16" t="n">
        <x:v>4</x:v>
      </x:c>
      <x:c r="Q1363" s="16" t="n">
        <x:v>2</x:v>
      </x:c>
      <x:c r="R1363" s="16" t="n">
        <x:v>2</x:v>
      </x:c>
      <x:c r="S1363" s="16" t="n">
        <x:v>7</x:v>
      </x:c>
      <x:c r="T1363" s="16" t="n">
        <x:v>8</x:v>
      </x:c>
      <x:c r="U1363" s="16" t="n">
        <x:v>0</x:v>
      </x:c>
      <x:c r="V1363" s="16" t="n">
        <x:v>1</x:v>
      </x:c>
      <x:c r="W1363" s="16" t="n">
        <x:v>0</x:v>
      </x:c>
      <x:c r="X1363" s="16" t="n">
        <x:v>0</x:v>
      </x:c>
      <x:c r="Y1363" s="16" t="n">
        <x:v>0</x:v>
      </x:c>
      <x:c r="Z1363" s="16" t="n">
        <x:v>0</x:v>
      </x:c>
      <x:c r="AA1363" s="16" t="n">
        <x:v>3</x:v>
      </x:c>
      <x:c r="AB1363" s="16" t="n">
        <x:v>11</x:v>
      </x:c>
      <x:c r="AC1363" s="16" t="n">
        <x:v>0</x:v>
      </x:c>
      <x:c r="AD1363" s="21" t="n">
        <x:f>IF(E1363="",MEDIAN($E$2:$E$2237),E1363)</x:f>
        <x:v>59601</x:v>
      </x:c>
      <x:c r="AE1363" s="17" t="n">
        <x:f>2014-B1363</x:f>
        <x:v>37</x:v>
      </x:c>
      <x:c r="AF1363" s="17" t="n">
        <x:f>F1363+G1363</x:f>
        <x:v>1</x:v>
      </x:c>
      <x:c r="AG1363" s="21" t="n">
        <x:f>SUM(J1363:O1363)</x:f>
        <x:v>797</x:v>
      </x:c>
      <x:c r="AH1363" s="17" t="n">
        <x:f>SUM(Q1363:S1363)</x:f>
        <x:v>11</x:v>
      </x:c>
      <x:c r="AI1363" s="17" t="n">
        <x:f>SUM(U1363:Y1363)</x:f>
        <x:v>1</x:v>
      </x:c>
      <x:c r="AJ1363" s="17" t="str">
        <x:f>IF(AE1363&lt;=34,"≤34",IF(AE1363&lt;=44,"35–44",IF(AE1363&lt;=54,"45–54",IF(AE1363&lt;=64,"55–64","65+"))))</x:f>
        <x:v>35–44</x:v>
      </x:c>
      <x:c r="AK1363" s="17" t="str">
        <x:f>IF(AG1363&gt;=1000,"High Value",IF(AG1363&gt;=300,"Mid Value","Low Value"))</x:f>
        <x:v>Mid Value</x:v>
      </x:c>
      <x:c r="AL1363" s="17" t="str">
        <x:f>IF(AND(AI1363&gt;=1,I1363&lt;=50),"Priority 1",IF(AND(AG1363&gt;=1000,I1363&lt;=60),"Priority 2",IF(I1363&lt;=30,"Priority 3","Nurture")))</x:f>
        <x:v>Priority 1</x:v>
      </x:c>
    </x:row>
    <x:row r="1364">
      <x:c r="A1364" s="16" t="n">
        <x:v>2674</x:v>
      </x:c>
      <x:c r="B1364" s="16" t="n">
        <x:v>1958</x:v>
      </x:c>
      <x:c r="C1364" s="16" t="str">
        <x:v>Master</x:v>
      </x:c>
      <x:c r="D1364" s="16" t="str">
        <x:v>Single</x:v>
      </x:c>
      <x:c r="E1364" s="16" t="n">
        <x:v>75154</x:v>
      </x:c>
      <x:c r="F1364" s="16" t="n">
        <x:v>0</x:v>
      </x:c>
      <x:c r="G1364" s="16" t="n">
        <x:v>1</x:v>
      </x:c>
      <x:c r="H1364" s="16" t="str">
        <x:v>04-09-2012</x:v>
      </x:c>
      <x:c r="I1364" s="16" t="n">
        <x:v>79</x:v>
      </x:c>
      <x:c r="J1364" s="16" t="n">
        <x:v>543</x:v>
      </x:c>
      <x:c r="K1364" s="16" t="n">
        <x:v>10</x:v>
      </x:c>
      <x:c r="L1364" s="16" t="n">
        <x:v>205</x:v>
      </x:c>
      <x:c r="M1364" s="16" t="n">
        <x:v>160</x:v>
      </x:c>
      <x:c r="N1364" s="16" t="n">
        <x:v>143</x:v>
      </x:c>
      <x:c r="O1364" s="16" t="n">
        <x:v>82</x:v>
      </x:c>
      <x:c r="P1364" s="16" t="n">
        <x:v>1</x:v>
      </x:c>
      <x:c r="Q1364" s="16" t="n">
        <x:v>6</x:v>
      </x:c>
      <x:c r="R1364" s="16" t="n">
        <x:v>3</x:v>
      </x:c>
      <x:c r="S1364" s="16" t="n">
        <x:v>6</x:v>
      </x:c>
      <x:c r="T1364" s="16" t="n">
        <x:v>3</x:v>
      </x:c>
      <x:c r="U1364" s="16" t="n">
        <x:v>0</x:v>
      </x:c>
      <x:c r="V1364" s="16" t="n">
        <x:v>0</x:v>
      </x:c>
      <x:c r="W1364" s="16" t="n">
        <x:v>0</x:v>
      </x:c>
      <x:c r="X1364" s="16" t="n">
        <x:v>0</x:v>
      </x:c>
      <x:c r="Y1364" s="16" t="n">
        <x:v>0</x:v>
      </x:c>
      <x:c r="Z1364" s="16" t="n">
        <x:v>0</x:v>
      </x:c>
      <x:c r="AA1364" s="16" t="n">
        <x:v>3</x:v>
      </x:c>
      <x:c r="AB1364" s="16" t="n">
        <x:v>11</x:v>
      </x:c>
      <x:c r="AC1364" s="16" t="n">
        <x:v>1</x:v>
      </x:c>
      <x:c r="AD1364" s="21" t="n">
        <x:f>IF(E1364="",MEDIAN($E$2:$E$2237),E1364)</x:f>
        <x:v>75154</x:v>
      </x:c>
      <x:c r="AE1364" s="17" t="n">
        <x:f>2014-B1364</x:f>
        <x:v>56</x:v>
      </x:c>
      <x:c r="AF1364" s="17" t="n">
        <x:f>F1364+G1364</x:f>
        <x:v>1</x:v>
      </x:c>
      <x:c r="AG1364" s="21" t="n">
        <x:f>SUM(J1364:O1364)</x:f>
        <x:v>1143</x:v>
      </x:c>
      <x:c r="AH1364" s="17" t="n">
        <x:f>SUM(Q1364:S1364)</x:f>
        <x:v>15</x:v>
      </x:c>
      <x:c r="AI1364" s="17" t="n">
        <x:f>SUM(U1364:Y1364)</x:f>
        <x:v>0</x:v>
      </x:c>
      <x:c r="AJ1364" s="17" t="str">
        <x:f>IF(AE1364&lt;=34,"≤34",IF(AE1364&lt;=44,"35–44",IF(AE1364&lt;=54,"45–54",IF(AE1364&lt;=64,"55–64","65+"))))</x:f>
        <x:v>55–64</x:v>
      </x:c>
      <x:c r="AK1364" s="17" t="str">
        <x:f>IF(AG1364&gt;=1000,"High Value",IF(AG1364&gt;=300,"Mid Value","Low Value"))</x:f>
        <x:v>High Value</x:v>
      </x:c>
      <x:c r="AL1364" s="17" t="str">
        <x:f>IF(AND(AI1364&gt;=1,I1364&lt;=50),"Priority 1",IF(AND(AG1364&gt;=1000,I1364&lt;=60),"Priority 2",IF(I1364&lt;=30,"Priority 3","Nurture")))</x:f>
        <x:v>Nurture</x:v>
      </x:c>
    </x:row>
    <x:row r="1365">
      <x:c r="A1365" s="16" t="n">
        <x:v>2698</x:v>
      </x:c>
      <x:c r="B1365" s="16" t="n">
        <x:v>1976</x:v>
      </x:c>
      <x:c r="C1365" s="16" t="str">
        <x:v>Graduation</x:v>
      </x:c>
      <x:c r="D1365" s="16" t="str">
        <x:v>Single</x:v>
      </x:c>
      <x:c r="E1365" s="16" t="n">
        <x:v>47025</x:v>
      </x:c>
      <x:c r="F1365" s="16" t="n">
        <x:v>0</x:v>
      </x:c>
      <x:c r="G1365" s="16" t="n">
        <x:v>1</x:v>
      </x:c>
      <x:c r="H1365" s="16" t="str">
        <x:v>07-11-2013</x:v>
      </x:c>
      <x:c r="I1365" s="16" t="n">
        <x:v>52</x:v>
      </x:c>
      <x:c r="J1365" s="16" t="n">
        <x:v>254</x:v>
      </x:c>
      <x:c r="K1365" s="16" t="n">
        <x:v>7</x:v>
      </x:c>
      <x:c r="L1365" s="16" t="n">
        <x:v>108</x:v>
      </x:c>
      <x:c r="M1365" s="16" t="n">
        <x:v>20</x:v>
      </x:c>
      <x:c r="N1365" s="16" t="n">
        <x:v>0</x:v>
      </x:c>
      <x:c r="O1365" s="16" t="n">
        <x:v>26</x:v>
      </x:c>
      <x:c r="P1365" s="16" t="n">
        <x:v>3</x:v>
      </x:c>
      <x:c r="Q1365" s="16" t="n">
        <x:v>6</x:v>
      </x:c>
      <x:c r="R1365" s="16" t="n">
        <x:v>3</x:v>
      </x:c>
      <x:c r="S1365" s="16" t="n">
        <x:v>5</x:v>
      </x:c>
      <x:c r="T1365" s="16" t="n">
        <x:v>6</x:v>
      </x:c>
      <x:c r="U1365" s="16" t="n">
        <x:v>0</x:v>
      </x:c>
      <x:c r="V1365" s="16" t="n">
        <x:v>0</x:v>
      </x:c>
      <x:c r="W1365" s="16" t="n">
        <x:v>0</x:v>
      </x:c>
      <x:c r="X1365" s="16" t="n">
        <x:v>0</x:v>
      </x:c>
      <x:c r="Y1365" s="16" t="n">
        <x:v>0</x:v>
      </x:c>
      <x:c r="Z1365" s="16" t="n">
        <x:v>0</x:v>
      </x:c>
      <x:c r="AA1365" s="16" t="n">
        <x:v>3</x:v>
      </x:c>
      <x:c r="AB1365" s="16" t="n">
        <x:v>11</x:v>
      </x:c>
      <x:c r="AC1365" s="16" t="n">
        <x:v>0</x:v>
      </x:c>
      <x:c r="AD1365" s="21" t="n">
        <x:f>IF(E1365="",MEDIAN($E$2:$E$2237),E1365)</x:f>
        <x:v>47025</x:v>
      </x:c>
      <x:c r="AE1365" s="17" t="n">
        <x:f>2014-B1365</x:f>
        <x:v>38</x:v>
      </x:c>
      <x:c r="AF1365" s="17" t="n">
        <x:f>F1365+G1365</x:f>
        <x:v>1</x:v>
      </x:c>
      <x:c r="AG1365" s="21" t="n">
        <x:f>SUM(J1365:O1365)</x:f>
        <x:v>415</x:v>
      </x:c>
      <x:c r="AH1365" s="17" t="n">
        <x:f>SUM(Q1365:S1365)</x:f>
        <x:v>14</x:v>
      </x:c>
      <x:c r="AI1365" s="17" t="n">
        <x:f>SUM(U1365:Y1365)</x:f>
        <x:v>0</x:v>
      </x:c>
      <x:c r="AJ1365" s="17" t="str">
        <x:f>IF(AE1365&lt;=34,"≤34",IF(AE1365&lt;=44,"35–44",IF(AE1365&lt;=54,"45–54",IF(AE1365&lt;=64,"55–64","65+"))))</x:f>
        <x:v>35–44</x:v>
      </x:c>
      <x:c r="AK1365" s="17" t="str">
        <x:f>IF(AG1365&gt;=1000,"High Value",IF(AG1365&gt;=300,"Mid Value","Low Value"))</x:f>
        <x:v>Mid Value</x:v>
      </x:c>
      <x:c r="AL1365" s="17" t="str">
        <x:f>IF(AND(AI1365&gt;=1,I1365&lt;=50),"Priority 1",IF(AND(AG1365&gt;=1000,I1365&lt;=60),"Priority 2",IF(I1365&lt;=30,"Priority 3","Nurture")))</x:f>
        <x:v>Nurture</x:v>
      </x:c>
    </x:row>
    <x:row r="1366">
      <x:c r="A1366" s="16" t="n">
        <x:v>3231</x:v>
      </x:c>
      <x:c r="B1366" s="16" t="n">
        <x:v>1973</x:v>
      </x:c>
      <x:c r="C1366" s="16" t="str">
        <x:v>Graduation</x:v>
      </x:c>
      <x:c r="D1366" s="16" t="str">
        <x:v>Married</x:v>
      </x:c>
      <x:c r="E1366" s="16" t="n">
        <x:v>37971</x:v>
      </x:c>
      <x:c r="F1366" s="16" t="n">
        <x:v>1</x:v>
      </x:c>
      <x:c r="G1366" s="16" t="n">
        <x:v>0</x:v>
      </x:c>
      <x:c r="H1366" s="16" t="str">
        <x:v>25-11-2013</x:v>
      </x:c>
      <x:c r="I1366" s="16" t="n">
        <x:v>97</x:v>
      </x:c>
      <x:c r="J1366" s="16" t="n">
        <x:v>5</x:v>
      </x:c>
      <x:c r="K1366" s="16" t="n">
        <x:v>4</x:v>
      </x:c>
      <x:c r="L1366" s="16" t="n">
        <x:v>10</x:v>
      </x:c>
      <x:c r="M1366" s="16" t="n">
        <x:v>2</x:v>
      </x:c>
      <x:c r="N1366" s="16" t="n">
        <x:v>2</x:v>
      </x:c>
      <x:c r="O1366" s="16" t="n">
        <x:v>7</x:v>
      </x:c>
      <x:c r="P1366" s="16" t="n">
        <x:v>1</x:v>
      </x:c>
      <x:c r="Q1366" s="16" t="n">
        <x:v>1</x:v>
      </x:c>
      <x:c r="R1366" s="16" t="n">
        <x:v>0</x:v>
      </x:c>
      <x:c r="S1366" s="16" t="n">
        <x:v>3</x:v>
      </x:c>
      <x:c r="T1366" s="16" t="n">
        <x:v>8</x:v>
      </x:c>
      <x:c r="U1366" s="16" t="n">
        <x:v>0</x:v>
      </x:c>
      <x:c r="V1366" s="16" t="n">
        <x:v>0</x:v>
      </x:c>
      <x:c r="W1366" s="16" t="n">
        <x:v>0</x:v>
      </x:c>
      <x:c r="X1366" s="16" t="n">
        <x:v>0</x:v>
      </x:c>
      <x:c r="Y1366" s="16" t="n">
        <x:v>0</x:v>
      </x:c>
      <x:c r="Z1366" s="16" t="n">
        <x:v>0</x:v>
      </x:c>
      <x:c r="AA1366" s="16" t="n">
        <x:v>3</x:v>
      </x:c>
      <x:c r="AB1366" s="16" t="n">
        <x:v>11</x:v>
      </x:c>
      <x:c r="AC1366" s="16" t="n">
        <x:v>0</x:v>
      </x:c>
      <x:c r="AD1366" s="21" t="n">
        <x:f>IF(E1366="",MEDIAN($E$2:$E$2237),E1366)</x:f>
        <x:v>37971</x:v>
      </x:c>
      <x:c r="AE1366" s="17" t="n">
        <x:f>2014-B1366</x:f>
        <x:v>41</x:v>
      </x:c>
      <x:c r="AF1366" s="17" t="n">
        <x:f>F1366+G1366</x:f>
        <x:v>1</x:v>
      </x:c>
      <x:c r="AG1366" s="21" t="n">
        <x:f>SUM(J1366:O1366)</x:f>
        <x:v>30</x:v>
      </x:c>
      <x:c r="AH1366" s="17" t="n">
        <x:f>SUM(Q1366:S1366)</x:f>
        <x:v>4</x:v>
      </x:c>
      <x:c r="AI1366" s="17" t="n">
        <x:f>SUM(U1366:Y1366)</x:f>
        <x:v>0</x:v>
      </x:c>
      <x:c r="AJ1366" s="17" t="str">
        <x:f>IF(AE1366&lt;=34,"≤34",IF(AE1366&lt;=44,"35–44",IF(AE1366&lt;=54,"45–54",IF(AE1366&lt;=64,"55–64","65+"))))</x:f>
        <x:v>35–44</x:v>
      </x:c>
      <x:c r="AK1366" s="17" t="str">
        <x:f>IF(AG1366&gt;=1000,"High Value",IF(AG1366&gt;=300,"Mid Value","Low Value"))</x:f>
        <x:v>Low Value</x:v>
      </x:c>
      <x:c r="AL1366" s="17" t="str">
        <x:f>IF(AND(AI1366&gt;=1,I1366&lt;=50),"Priority 1",IF(AND(AG1366&gt;=1000,I1366&lt;=60),"Priority 2",IF(I1366&lt;=30,"Priority 3","Nurture")))</x:f>
        <x:v>Nurture</x:v>
      </x:c>
    </x:row>
    <x:row r="1367">
      <x:c r="A1367" s="16" t="n">
        <x:v>4096</x:v>
      </x:c>
      <x:c r="B1367" s="16" t="n">
        <x:v>1968</x:v>
      </x:c>
      <x:c r="C1367" s="16" t="str">
        <x:v>Master</x:v>
      </x:c>
      <x:c r="D1367" s="16" t="str">
        <x:v>Divorced</x:v>
      </x:c>
      <x:c r="E1367" s="16" t="n">
        <x:v>41335</x:v>
      </x:c>
      <x:c r="F1367" s="16" t="n">
        <x:v>1</x:v>
      </x:c>
      <x:c r="G1367" s="16" t="n">
        <x:v>0</x:v>
      </x:c>
      <x:c r="H1367" s="16" t="str">
        <x:v>26-12-2013</x:v>
      </x:c>
      <x:c r="I1367" s="16" t="n">
        <x:v>24</x:v>
      </x:c>
      <x:c r="J1367" s="16" t="n">
        <x:v>112</x:v>
      </x:c>
      <x:c r="K1367" s="16" t="n">
        <x:v>19</x:v>
      </x:c>
      <x:c r="L1367" s="16" t="n">
        <x:v>21</x:v>
      </x:c>
      <x:c r="M1367" s="16" t="n">
        <x:v>16</x:v>
      </x:c>
      <x:c r="N1367" s="16" t="n">
        <x:v>14</x:v>
      </x:c>
      <x:c r="O1367" s="16" t="n">
        <x:v>5</x:v>
      </x:c>
      <x:c r="P1367" s="16" t="n">
        <x:v>3</x:v>
      </x:c>
      <x:c r="Q1367" s="16" t="n">
        <x:v>4</x:v>
      </x:c>
      <x:c r="R1367" s="16" t="n">
        <x:v>1</x:v>
      </x:c>
      <x:c r="S1367" s="16" t="n">
        <x:v>4</x:v>
      </x:c>
      <x:c r="T1367" s="16" t="n">
        <x:v>7</x:v>
      </x:c>
      <x:c r="U1367" s="16" t="n">
        <x:v>0</x:v>
      </x:c>
      <x:c r="V1367" s="16" t="n">
        <x:v>0</x:v>
      </x:c>
      <x:c r="W1367" s="16" t="n">
        <x:v>0</x:v>
      </x:c>
      <x:c r="X1367" s="16" t="n">
        <x:v>0</x:v>
      </x:c>
      <x:c r="Y1367" s="16" t="n">
        <x:v>0</x:v>
      </x:c>
      <x:c r="Z1367" s="16" t="n">
        <x:v>0</x:v>
      </x:c>
      <x:c r="AA1367" s="16" t="n">
        <x:v>3</x:v>
      </x:c>
      <x:c r="AB1367" s="16" t="n">
        <x:v>11</x:v>
      </x:c>
      <x:c r="AC1367" s="16" t="n">
        <x:v>0</x:v>
      </x:c>
      <x:c r="AD1367" s="21" t="n">
        <x:f>IF(E1367="",MEDIAN($E$2:$E$2237),E1367)</x:f>
        <x:v>41335</x:v>
      </x:c>
      <x:c r="AE1367" s="17" t="n">
        <x:f>2014-B1367</x:f>
        <x:v>46</x:v>
      </x:c>
      <x:c r="AF1367" s="17" t="n">
        <x:f>F1367+G1367</x:f>
        <x:v>1</x:v>
      </x:c>
      <x:c r="AG1367" s="21" t="n">
        <x:f>SUM(J1367:O1367)</x:f>
        <x:v>187</x:v>
      </x:c>
      <x:c r="AH1367" s="17" t="n">
        <x:f>SUM(Q1367:S1367)</x:f>
        <x:v>9</x:v>
      </x:c>
      <x:c r="AI1367" s="17" t="n">
        <x:f>SUM(U1367:Y1367)</x:f>
        <x:v>0</x:v>
      </x:c>
      <x:c r="AJ1367" s="17" t="str">
        <x:f>IF(AE1367&lt;=34,"≤34",IF(AE1367&lt;=44,"35–44",IF(AE1367&lt;=54,"45–54",IF(AE1367&lt;=64,"55–64","65+"))))</x:f>
        <x:v>45–54</x:v>
      </x:c>
      <x:c r="AK1367" s="17" t="str">
        <x:f>IF(AG1367&gt;=1000,"High Value",IF(AG1367&gt;=300,"Mid Value","Low Value"))</x:f>
        <x:v>Low Value</x:v>
      </x:c>
      <x:c r="AL1367" s="17" t="str">
        <x:f>IF(AND(AI1367&gt;=1,I1367&lt;=50),"Priority 1",IF(AND(AG1367&gt;=1000,I1367&lt;=60),"Priority 2",IF(I1367&lt;=30,"Priority 3","Nurture")))</x:f>
        <x:v>Priority 3</x:v>
      </x:c>
    </x:row>
    <x:row r="1368">
      <x:c r="A1368" s="16" t="n">
        <x:v>10476</x:v>
      </x:c>
      <x:c r="B1368" s="16" t="n">
        <x:v>1958</x:v>
      </x:c>
      <x:c r="C1368" s="16" t="str">
        <x:v>Graduation</x:v>
      </x:c>
      <x:c r="D1368" s="16" t="str">
        <x:v>Married</x:v>
      </x:c>
      <x:c r="E1368" s="16" t="n">
        <x:v>67267</x:v>
      </x:c>
      <x:c r="F1368" s="16" t="n">
        <x:v>0</x:v>
      </x:c>
      <x:c r="G1368" s="16" t="n">
        <x:v>1</x:v>
      </x:c>
      <x:c r="H1368" s="16" t="str">
        <x:v>13-05-2014</x:v>
      </x:c>
      <x:c r="I1368" s="16" t="n">
        <x:v>0</x:v>
      </x:c>
      <x:c r="J1368" s="16" t="n">
        <x:v>134</x:v>
      </x:c>
      <x:c r="K1368" s="16" t="n">
        <x:v>11</x:v>
      </x:c>
      <x:c r="L1368" s="16" t="n">
        <x:v>59</x:v>
      </x:c>
      <x:c r="M1368" s="16" t="n">
        <x:v>15</x:v>
      </x:c>
      <x:c r="N1368" s="16" t="n">
        <x:v>2</x:v>
      </x:c>
      <x:c r="O1368" s="16" t="n">
        <x:v>30</x:v>
      </x:c>
      <x:c r="P1368" s="16" t="n">
        <x:v>1</x:v>
      </x:c>
      <x:c r="Q1368" s="16" t="n">
        <x:v>3</x:v>
      </x:c>
      <x:c r="R1368" s="16" t="n">
        <x:v>2</x:v>
      </x:c>
      <x:c r="S1368" s="16" t="n">
        <x:v>5</x:v>
      </x:c>
      <x:c r="T1368" s="16" t="n">
        <x:v>2</x:v>
      </x:c>
      <x:c r="U1368" s="16" t="n">
        <x:v>0</x:v>
      </x:c>
      <x:c r="V1368" s="16" t="n">
        <x:v>0</x:v>
      </x:c>
      <x:c r="W1368" s="16" t="n">
        <x:v>0</x:v>
      </x:c>
      <x:c r="X1368" s="16" t="n">
        <x:v>0</x:v>
      </x:c>
      <x:c r="Y1368" s="16" t="n">
        <x:v>0</x:v>
      </x:c>
      <x:c r="Z1368" s="16" t="n">
        <x:v>0</x:v>
      </x:c>
      <x:c r="AA1368" s="16" t="n">
        <x:v>3</x:v>
      </x:c>
      <x:c r="AB1368" s="16" t="n">
        <x:v>11</x:v>
      </x:c>
      <x:c r="AC1368" s="16" t="n">
        <x:v>0</x:v>
      </x:c>
      <x:c r="AD1368" s="21" t="n">
        <x:f>IF(E1368="",MEDIAN($E$2:$E$2237),E1368)</x:f>
        <x:v>67267</x:v>
      </x:c>
      <x:c r="AE1368" s="17" t="n">
        <x:f>2014-B1368</x:f>
        <x:v>56</x:v>
      </x:c>
      <x:c r="AF1368" s="17" t="n">
        <x:f>F1368+G1368</x:f>
        <x:v>1</x:v>
      </x:c>
      <x:c r="AG1368" s="21" t="n">
        <x:f>SUM(J1368:O1368)</x:f>
        <x:v>251</x:v>
      </x:c>
      <x:c r="AH1368" s="17" t="n">
        <x:f>SUM(Q1368:S1368)</x:f>
        <x:v>10</x:v>
      </x:c>
      <x:c r="AI1368" s="17" t="n">
        <x:f>SUM(U1368:Y1368)</x:f>
        <x:v>0</x:v>
      </x:c>
      <x:c r="AJ1368" s="17" t="str">
        <x:f>IF(AE1368&lt;=34,"≤34",IF(AE1368&lt;=44,"35–44",IF(AE1368&lt;=54,"45–54",IF(AE1368&lt;=64,"55–64","65+"))))</x:f>
        <x:v>55–64</x:v>
      </x:c>
      <x:c r="AK1368" s="17" t="str">
        <x:f>IF(AG1368&gt;=1000,"High Value",IF(AG1368&gt;=300,"Mid Value","Low Value"))</x:f>
        <x:v>Low Value</x:v>
      </x:c>
      <x:c r="AL1368" s="17" t="str">
        <x:f>IF(AND(AI1368&gt;=1,I1368&lt;=50),"Priority 1",IF(AND(AG1368&gt;=1000,I1368&lt;=60),"Priority 2",IF(I1368&lt;=30,"Priority 3","Nurture")))</x:f>
        <x:v>Priority 3</x:v>
      </x:c>
    </x:row>
    <x:row r="1369">
      <x:c r="A1369" s="16" t="n">
        <x:v>5948</x:v>
      </x:c>
      <x:c r="B1369" s="16" t="n">
        <x:v>1975</x:v>
      </x:c>
      <x:c r="C1369" s="16" t="str">
        <x:v>Graduation</x:v>
      </x:c>
      <x:c r="D1369" s="16" t="str">
        <x:v>Single</x:v>
      </x:c>
      <x:c r="E1369" s="16" t="n">
        <x:v>57338</x:v>
      </x:c>
      <x:c r="F1369" s="16" t="n">
        <x:v>0</x:v>
      </x:c>
      <x:c r="G1369" s="16" t="n">
        <x:v>1</x:v>
      </x:c>
      <x:c r="H1369" s="16" t="str">
        <x:v>29-04-2014</x:v>
      </x:c>
      <x:c r="I1369" s="16" t="n">
        <x:v>96</x:v>
      </x:c>
      <x:c r="J1369" s="16" t="n">
        <x:v>143</x:v>
      </x:c>
      <x:c r="K1369" s="16" t="n">
        <x:v>6</x:v>
      </x:c>
      <x:c r="L1369" s="16" t="n">
        <x:v>52</x:v>
      </x:c>
      <x:c r="M1369" s="16" t="n">
        <x:v>11</x:v>
      </x:c>
      <x:c r="N1369" s="16" t="n">
        <x:v>8</x:v>
      </x:c>
      <x:c r="O1369" s="16" t="n">
        <x:v>17</x:v>
      </x:c>
      <x:c r="P1369" s="16" t="n">
        <x:v>2</x:v>
      </x:c>
      <x:c r="Q1369" s="16" t="n">
        <x:v>4</x:v>
      </x:c>
      <x:c r="R1369" s="16" t="n">
        <x:v>1</x:v>
      </x:c>
      <x:c r="S1369" s="16" t="n">
        <x:v>5</x:v>
      </x:c>
      <x:c r="T1369" s="16" t="n">
        <x:v>5</x:v>
      </x:c>
      <x:c r="U1369" s="16" t="n">
        <x:v>0</x:v>
      </x:c>
      <x:c r="V1369" s="16" t="n">
        <x:v>0</x:v>
      </x:c>
      <x:c r="W1369" s="16" t="n">
        <x:v>0</x:v>
      </x:c>
      <x:c r="X1369" s="16" t="n">
        <x:v>0</x:v>
      </x:c>
      <x:c r="Y1369" s="16" t="n">
        <x:v>0</x:v>
      </x:c>
      <x:c r="Z1369" s="16" t="n">
        <x:v>0</x:v>
      </x:c>
      <x:c r="AA1369" s="16" t="n">
        <x:v>3</x:v>
      </x:c>
      <x:c r="AB1369" s="16" t="n">
        <x:v>11</x:v>
      </x:c>
      <x:c r="AC1369" s="16" t="n">
        <x:v>0</x:v>
      </x:c>
      <x:c r="AD1369" s="21" t="n">
        <x:f>IF(E1369="",MEDIAN($E$2:$E$2237),E1369)</x:f>
        <x:v>57338</x:v>
      </x:c>
      <x:c r="AE1369" s="17" t="n">
        <x:f>2014-B1369</x:f>
        <x:v>39</x:v>
      </x:c>
      <x:c r="AF1369" s="17" t="n">
        <x:f>F1369+G1369</x:f>
        <x:v>1</x:v>
      </x:c>
      <x:c r="AG1369" s="21" t="n">
        <x:f>SUM(J1369:O1369)</x:f>
        <x:v>237</x:v>
      </x:c>
      <x:c r="AH1369" s="17" t="n">
        <x:f>SUM(Q1369:S1369)</x:f>
        <x:v>10</x:v>
      </x:c>
      <x:c r="AI1369" s="17" t="n">
        <x:f>SUM(U1369:Y1369)</x:f>
        <x:v>0</x:v>
      </x:c>
      <x:c r="AJ1369" s="17" t="str">
        <x:f>IF(AE1369&lt;=34,"≤34",IF(AE1369&lt;=44,"35–44",IF(AE1369&lt;=54,"45–54",IF(AE1369&lt;=64,"55–64","65+"))))</x:f>
        <x:v>35–44</x:v>
      </x:c>
      <x:c r="AK1369" s="17" t="str">
        <x:f>IF(AG1369&gt;=1000,"High Value",IF(AG1369&gt;=300,"Mid Value","Low Value"))</x:f>
        <x:v>Low Value</x:v>
      </x:c>
      <x:c r="AL1369" s="17" t="str">
        <x:f>IF(AND(AI1369&gt;=1,I1369&lt;=50),"Priority 1",IF(AND(AG1369&gt;=1000,I1369&lt;=60),"Priority 2",IF(I1369&lt;=30,"Priority 3","Nurture")))</x:f>
        <x:v>Nurture</x:v>
      </x:c>
    </x:row>
    <x:row r="1370">
      <x:c r="A1370" s="16" t="n">
        <x:v>9140</x:v>
      </x:c>
      <x:c r="B1370" s="16" t="n">
        <x:v>1960</x:v>
      </x:c>
      <x:c r="C1370" s="16" t="str">
        <x:v>2n Cycle</x:v>
      </x:c>
      <x:c r="D1370" s="16" t="str">
        <x:v>Together</x:v>
      </x:c>
      <x:c r="E1370" s="16" t="n">
        <x:v>50523</x:v>
      </x:c>
      <x:c r="F1370" s="16" t="n">
        <x:v>1</x:v>
      </x:c>
      <x:c r="G1370" s="16" t="n">
        <x:v>1</x:v>
      </x:c>
      <x:c r="H1370" s="16" t="str">
        <x:v>25-12-2013</x:v>
      </x:c>
      <x:c r="I1370" s="16" t="n">
        <x:v>89</x:v>
      </x:c>
      <x:c r="J1370" s="16" t="n">
        <x:v>51</x:v>
      </x:c>
      <x:c r="K1370" s="16" t="n">
        <x:v>4</x:v>
      </x:c>
      <x:c r="L1370" s="16" t="n">
        <x:v>24</x:v>
      </x:c>
      <x:c r="M1370" s="16" t="n">
        <x:v>4</x:v>
      </x:c>
      <x:c r="N1370" s="16" t="n">
        <x:v>7</x:v>
      </x:c>
      <x:c r="O1370" s="16" t="n">
        <x:v>1</x:v>
      </x:c>
      <x:c r="P1370" s="16" t="n">
        <x:v>2</x:v>
      </x:c>
      <x:c r="Q1370" s="16" t="n">
        <x:v>2</x:v>
      </x:c>
      <x:c r="R1370" s="16" t="n">
        <x:v>0</x:v>
      </x:c>
      <x:c r="S1370" s="16" t="n">
        <x:v>4</x:v>
      </x:c>
      <x:c r="T1370" s="16" t="n">
        <x:v>6</x:v>
      </x:c>
      <x:c r="U1370" s="16" t="n">
        <x:v>0</x:v>
      </x:c>
      <x:c r="V1370" s="16" t="n">
        <x:v>0</x:v>
      </x:c>
      <x:c r="W1370" s="16" t="n">
        <x:v>0</x:v>
      </x:c>
      <x:c r="X1370" s="16" t="n">
        <x:v>0</x:v>
      </x:c>
      <x:c r="Y1370" s="16" t="n">
        <x:v>0</x:v>
      </x:c>
      <x:c r="Z1370" s="16" t="n">
        <x:v>0</x:v>
      </x:c>
      <x:c r="AA1370" s="16" t="n">
        <x:v>3</x:v>
      </x:c>
      <x:c r="AB1370" s="16" t="n">
        <x:v>11</x:v>
      </x:c>
      <x:c r="AC1370" s="16" t="n">
        <x:v>0</x:v>
      </x:c>
      <x:c r="AD1370" s="21" t="n">
        <x:f>IF(E1370="",MEDIAN($E$2:$E$2237),E1370)</x:f>
        <x:v>50523</x:v>
      </x:c>
      <x:c r="AE1370" s="17" t="n">
        <x:f>2014-B1370</x:f>
        <x:v>54</x:v>
      </x:c>
      <x:c r="AF1370" s="17" t="n">
        <x:f>F1370+G1370</x:f>
        <x:v>2</x:v>
      </x:c>
      <x:c r="AG1370" s="21" t="n">
        <x:f>SUM(J1370:O1370)</x:f>
        <x:v>91</x:v>
      </x:c>
      <x:c r="AH1370" s="17" t="n">
        <x:f>SUM(Q1370:S1370)</x:f>
        <x:v>6</x:v>
      </x:c>
      <x:c r="AI1370" s="17" t="n">
        <x:f>SUM(U1370:Y1370)</x:f>
        <x:v>0</x:v>
      </x:c>
      <x:c r="AJ1370" s="17" t="str">
        <x:f>IF(AE1370&lt;=34,"≤34",IF(AE1370&lt;=44,"35–44",IF(AE1370&lt;=54,"45–54",IF(AE1370&lt;=64,"55–64","65+"))))</x:f>
        <x:v>45–54</x:v>
      </x:c>
      <x:c r="AK1370" s="17" t="str">
        <x:f>IF(AG1370&gt;=1000,"High Value",IF(AG1370&gt;=300,"Mid Value","Low Value"))</x:f>
        <x:v>Low Value</x:v>
      </x:c>
      <x:c r="AL1370" s="17" t="str">
        <x:f>IF(AND(AI1370&gt;=1,I1370&lt;=50),"Priority 1",IF(AND(AG1370&gt;=1000,I1370&lt;=60),"Priority 2",IF(I1370&lt;=30,"Priority 3","Nurture")))</x:f>
        <x:v>Nurture</x:v>
      </x:c>
    </x:row>
    <x:row r="1371">
      <x:c r="A1371" s="16" t="n">
        <x:v>10258</x:v>
      </x:c>
      <x:c r="B1371" s="16" t="n">
        <x:v>1965</x:v>
      </x:c>
      <x:c r="C1371" s="16" t="str">
        <x:v>Master</x:v>
      </x:c>
      <x:c r="D1371" s="16" t="str">
        <x:v>Single</x:v>
      </x:c>
      <x:c r="E1371" s="16" t="n">
        <x:v>35791</x:v>
      </x:c>
      <x:c r="F1371" s="16" t="n">
        <x:v>2</x:v>
      </x:c>
      <x:c r="G1371" s="16" t="n">
        <x:v>1</x:v>
      </x:c>
      <x:c r="H1371" s="16" t="str">
        <x:v>06-05-2013</x:v>
      </x:c>
      <x:c r="I1371" s="16" t="n">
        <x:v>94</x:v>
      </x:c>
      <x:c r="J1371" s="16" t="n">
        <x:v>27</x:v>
      </x:c>
      <x:c r="K1371" s="16" t="n">
        <x:v>0</x:v>
      </x:c>
      <x:c r="L1371" s="16" t="n">
        <x:v>5</x:v>
      </x:c>
      <x:c r="M1371" s="16" t="n">
        <x:v>0</x:v>
      </x:c>
      <x:c r="N1371" s="16" t="n">
        <x:v>0</x:v>
      </x:c>
      <x:c r="O1371" s="16" t="n">
        <x:v>3</x:v>
      </x:c>
      <x:c r="P1371" s="16" t="n">
        <x:v>2</x:v>
      </x:c>
      <x:c r="Q1371" s="16" t="n">
        <x:v>1</x:v>
      </x:c>
      <x:c r="R1371" s="16" t="n">
        <x:v>0</x:v>
      </x:c>
      <x:c r="S1371" s="16" t="n">
        <x:v>3</x:v>
      </x:c>
      <x:c r="T1371" s="16" t="n">
        <x:v>8</x:v>
      </x:c>
      <x:c r="U1371" s="16" t="n">
        <x:v>0</x:v>
      </x:c>
      <x:c r="V1371" s="16" t="n">
        <x:v>0</x:v>
      </x:c>
      <x:c r="W1371" s="16" t="n">
        <x:v>0</x:v>
      </x:c>
      <x:c r="X1371" s="16" t="n">
        <x:v>0</x:v>
      </x:c>
      <x:c r="Y1371" s="16" t="n">
        <x:v>0</x:v>
      </x:c>
      <x:c r="Z1371" s="16" t="n">
        <x:v>0</x:v>
      </x:c>
      <x:c r="AA1371" s="16" t="n">
        <x:v>3</x:v>
      </x:c>
      <x:c r="AB1371" s="16" t="n">
        <x:v>11</x:v>
      </x:c>
      <x:c r="AC1371" s="16" t="n">
        <x:v>0</x:v>
      </x:c>
      <x:c r="AD1371" s="21" t="n">
        <x:f>IF(E1371="",MEDIAN($E$2:$E$2237),E1371)</x:f>
        <x:v>35791</x:v>
      </x:c>
      <x:c r="AE1371" s="17" t="n">
        <x:f>2014-B1371</x:f>
        <x:v>49</x:v>
      </x:c>
      <x:c r="AF1371" s="17" t="n">
        <x:f>F1371+G1371</x:f>
        <x:v>3</x:v>
      </x:c>
      <x:c r="AG1371" s="21" t="n">
        <x:f>SUM(J1371:O1371)</x:f>
        <x:v>35</x:v>
      </x:c>
      <x:c r="AH1371" s="17" t="n">
        <x:f>SUM(Q1371:S1371)</x:f>
        <x:v>4</x:v>
      </x:c>
      <x:c r="AI1371" s="17" t="n">
        <x:f>SUM(U1371:Y1371)</x:f>
        <x:v>0</x:v>
      </x:c>
      <x:c r="AJ1371" s="17" t="str">
        <x:f>IF(AE1371&lt;=34,"≤34",IF(AE1371&lt;=44,"35–44",IF(AE1371&lt;=54,"45–54",IF(AE1371&lt;=64,"55–64","65+"))))</x:f>
        <x:v>45–54</x:v>
      </x:c>
      <x:c r="AK1371" s="17" t="str">
        <x:f>IF(AG1371&gt;=1000,"High Value",IF(AG1371&gt;=300,"Mid Value","Low Value"))</x:f>
        <x:v>Low Value</x:v>
      </x:c>
      <x:c r="AL1371" s="17" t="str">
        <x:f>IF(AND(AI1371&gt;=1,I1371&lt;=50),"Priority 1",IF(AND(AG1371&gt;=1000,I1371&lt;=60),"Priority 2",IF(I1371&lt;=30,"Priority 3","Nurture")))</x:f>
        <x:v>Nurture</x:v>
      </x:c>
    </x:row>
    <x:row r="1372">
      <x:c r="A1372" s="16" t="n">
        <x:v>5675</x:v>
      </x:c>
      <x:c r="B1372" s="16" t="n">
        <x:v>1960</x:v>
      </x:c>
      <x:c r="C1372" s="16" t="str">
        <x:v>PhD</x:v>
      </x:c>
      <x:c r="D1372" s="16" t="str">
        <x:v>Divorced</x:v>
      </x:c>
      <x:c r="E1372" s="16" t="n">
        <x:v>50611</x:v>
      </x:c>
      <x:c r="F1372" s="16" t="n">
        <x:v>0</x:v>
      </x:c>
      <x:c r="G1372" s="16" t="n">
        <x:v>1</x:v>
      </x:c>
      <x:c r="H1372" s="16" t="str">
        <x:v>04-10-2012</x:v>
      </x:c>
      <x:c r="I1372" s="16" t="n">
        <x:v>98</x:v>
      </x:c>
      <x:c r="J1372" s="16" t="n">
        <x:v>459</x:v>
      </x:c>
      <x:c r="K1372" s="16" t="n">
        <x:v>0</x:v>
      </x:c>
      <x:c r="L1372" s="16" t="n">
        <x:v>24</x:v>
      </x:c>
      <x:c r="M1372" s="16" t="n">
        <x:v>6</x:v>
      </x:c>
      <x:c r="N1372" s="16" t="n">
        <x:v>0</x:v>
      </x:c>
      <x:c r="O1372" s="16" t="n">
        <x:v>4</x:v>
      </x:c>
      <x:c r="P1372" s="16" t="n">
        <x:v>6</x:v>
      </x:c>
      <x:c r="Q1372" s="16" t="n">
        <x:v>4</x:v>
      </x:c>
      <x:c r="R1372" s="16" t="n">
        <x:v>5</x:v>
      </x:c>
      <x:c r="S1372" s="16" t="n">
        <x:v>7</x:v>
      </x:c>
      <x:c r="T1372" s="16" t="n">
        <x:v>6</x:v>
      </x:c>
      <x:c r="U1372" s="16" t="n">
        <x:v>0</x:v>
      </x:c>
      <x:c r="V1372" s="16" t="n">
        <x:v>1</x:v>
      </x:c>
      <x:c r="W1372" s="16" t="n">
        <x:v>0</x:v>
      </x:c>
      <x:c r="X1372" s="16" t="n">
        <x:v>0</x:v>
      </x:c>
      <x:c r="Y1372" s="16" t="n">
        <x:v>0</x:v>
      </x:c>
      <x:c r="Z1372" s="16" t="n">
        <x:v>0</x:v>
      </x:c>
      <x:c r="AA1372" s="16" t="n">
        <x:v>3</x:v>
      </x:c>
      <x:c r="AB1372" s="16" t="n">
        <x:v>11</x:v>
      </x:c>
      <x:c r="AC1372" s="16" t="n">
        <x:v>0</x:v>
      </x:c>
      <x:c r="AD1372" s="21" t="n">
        <x:f>IF(E1372="",MEDIAN($E$2:$E$2237),E1372)</x:f>
        <x:v>50611</x:v>
      </x:c>
      <x:c r="AE1372" s="17" t="n">
        <x:f>2014-B1372</x:f>
        <x:v>54</x:v>
      </x:c>
      <x:c r="AF1372" s="17" t="n">
        <x:f>F1372+G1372</x:f>
        <x:v>1</x:v>
      </x:c>
      <x:c r="AG1372" s="21" t="n">
        <x:f>SUM(J1372:O1372)</x:f>
        <x:v>493</x:v>
      </x:c>
      <x:c r="AH1372" s="17" t="n">
        <x:f>SUM(Q1372:S1372)</x:f>
        <x:v>16</x:v>
      </x:c>
      <x:c r="AI1372" s="17" t="n">
        <x:f>SUM(U1372:Y1372)</x:f>
        <x:v>1</x:v>
      </x:c>
      <x:c r="AJ1372" s="17" t="str">
        <x:f>IF(AE1372&lt;=34,"≤34",IF(AE1372&lt;=44,"35–44",IF(AE1372&lt;=54,"45–54",IF(AE1372&lt;=64,"55–64","65+"))))</x:f>
        <x:v>45–54</x:v>
      </x:c>
      <x:c r="AK1372" s="17" t="str">
        <x:f>IF(AG1372&gt;=1000,"High Value",IF(AG1372&gt;=300,"Mid Value","Low Value"))</x:f>
        <x:v>Mid Value</x:v>
      </x:c>
      <x:c r="AL1372" s="17" t="str">
        <x:f>IF(AND(AI1372&gt;=1,I1372&lt;=50),"Priority 1",IF(AND(AG1372&gt;=1000,I1372&lt;=60),"Priority 2",IF(I1372&lt;=30,"Priority 3","Nurture")))</x:f>
        <x:v>Nurture</x:v>
      </x:c>
    </x:row>
    <x:row r="1373">
      <x:c r="A1373" s="16" t="n">
        <x:v>4743</x:v>
      </x:c>
      <x:c r="B1373" s="16" t="n">
        <x:v>1969</x:v>
      </x:c>
      <x:c r="C1373" s="16" t="str">
        <x:v>PhD</x:v>
      </x:c>
      <x:c r="D1373" s="16" t="str">
        <x:v>Married</x:v>
      </x:c>
      <x:c r="E1373" s="16" t="n">
        <x:v>56242</x:v>
      </x:c>
      <x:c r="F1373" s="16" t="n">
        <x:v>0</x:v>
      </x:c>
      <x:c r="G1373" s="16" t="n">
        <x:v>1</x:v>
      </x:c>
      <x:c r="H1373" s="16" t="str">
        <x:v>03-03-2013</x:v>
      </x:c>
      <x:c r="I1373" s="16" t="n">
        <x:v>72</x:v>
      </x:c>
      <x:c r="J1373" s="16" t="n">
        <x:v>689</x:v>
      </x:c>
      <x:c r="K1373" s="16" t="n">
        <x:v>8</x:v>
      </x:c>
      <x:c r="L1373" s="16" t="n">
        <x:v>167</x:v>
      </x:c>
      <x:c r="M1373" s="16" t="n">
        <x:v>11</x:v>
      </x:c>
      <x:c r="N1373" s="16" t="n">
        <x:v>8</x:v>
      </x:c>
      <x:c r="O1373" s="16" t="n">
        <x:v>88</x:v>
      </x:c>
      <x:c r="P1373" s="16" t="n">
        <x:v>5</x:v>
      </x:c>
      <x:c r="Q1373" s="16" t="n">
        <x:v>8</x:v>
      </x:c>
      <x:c r="R1373" s="16" t="n">
        <x:v>4</x:v>
      </x:c>
      <x:c r="S1373" s="16" t="n">
        <x:v>11</x:v>
      </x:c>
      <x:c r="T1373" s="16" t="n">
        <x:v>6</x:v>
      </x:c>
      <x:c r="U1373" s="16" t="n">
        <x:v>0</x:v>
      </x:c>
      <x:c r="V1373" s="16" t="n">
        <x:v>0</x:v>
      </x:c>
      <x:c r="W1373" s="16" t="n">
        <x:v>0</x:v>
      </x:c>
      <x:c r="X1373" s="16" t="n">
        <x:v>0</x:v>
      </x:c>
      <x:c r="Y1373" s="16" t="n">
        <x:v>0</x:v>
      </x:c>
      <x:c r="Z1373" s="16" t="n">
        <x:v>0</x:v>
      </x:c>
      <x:c r="AA1373" s="16" t="n">
        <x:v>3</x:v>
      </x:c>
      <x:c r="AB1373" s="16" t="n">
        <x:v>11</x:v>
      </x:c>
      <x:c r="AC1373" s="16" t="n">
        <x:v>0</x:v>
      </x:c>
      <x:c r="AD1373" s="21" t="n">
        <x:f>IF(E1373="",MEDIAN($E$2:$E$2237),E1373)</x:f>
        <x:v>56242</x:v>
      </x:c>
      <x:c r="AE1373" s="17" t="n">
        <x:f>2014-B1373</x:f>
        <x:v>45</x:v>
      </x:c>
      <x:c r="AF1373" s="17" t="n">
        <x:f>F1373+G1373</x:f>
        <x:v>1</x:v>
      </x:c>
      <x:c r="AG1373" s="21" t="n">
        <x:f>SUM(J1373:O1373)</x:f>
        <x:v>971</x:v>
      </x:c>
      <x:c r="AH1373" s="17" t="n">
        <x:f>SUM(Q1373:S1373)</x:f>
        <x:v>23</x:v>
      </x:c>
      <x:c r="AI1373" s="17" t="n">
        <x:f>SUM(U1373:Y1373)</x:f>
        <x:v>0</x:v>
      </x:c>
      <x:c r="AJ1373" s="17" t="str">
        <x:f>IF(AE1373&lt;=34,"≤34",IF(AE1373&lt;=44,"35–44",IF(AE1373&lt;=54,"45–54",IF(AE1373&lt;=64,"55–64","65+"))))</x:f>
        <x:v>45–54</x:v>
      </x:c>
      <x:c r="AK1373" s="17" t="str">
        <x:f>IF(AG1373&gt;=1000,"High Value",IF(AG1373&gt;=300,"Mid Value","Low Value"))</x:f>
        <x:v>Mid Value</x:v>
      </x:c>
      <x:c r="AL1373" s="17" t="str">
        <x:f>IF(AND(AI1373&gt;=1,I1373&lt;=50),"Priority 1",IF(AND(AG1373&gt;=1000,I1373&lt;=60),"Priority 2",IF(I1373&lt;=30,"Priority 3","Nurture")))</x:f>
        <x:v>Nurture</x:v>
      </x:c>
    </x:row>
    <x:row r="1374">
      <x:c r="A1374" s="16" t="n">
        <x:v>8805</x:v>
      </x:c>
      <x:c r="B1374" s="16" t="n">
        <x:v>1960</x:v>
      </x:c>
      <x:c r="C1374" s="16" t="str">
        <x:v>Graduation</x:v>
      </x:c>
      <x:c r="D1374" s="16" t="str">
        <x:v>Single</x:v>
      </x:c>
      <x:c r="E1374" s="16" t="n">
        <x:v>48904</x:v>
      </x:c>
      <x:c r="F1374" s="16" t="n">
        <x:v>0</x:v>
      </x:c>
      <x:c r="G1374" s="16" t="n">
        <x:v>1</x:v>
      </x:c>
      <x:c r="H1374" s="16" t="str">
        <x:v>02-12-2012</x:v>
      </x:c>
      <x:c r="I1374" s="16" t="n">
        <x:v>1</x:v>
      </x:c>
      <x:c r="J1374" s="16" t="n">
        <x:v>283</x:v>
      </x:c>
      <x:c r="K1374" s="16" t="n">
        <x:v>10</x:v>
      </x:c>
      <x:c r="L1374" s="16" t="n">
        <x:v>38</x:v>
      </x:c>
      <x:c r="M1374" s="16" t="n">
        <x:v>0</x:v>
      </x:c>
      <x:c r="N1374" s="16" t="n">
        <x:v>13</x:v>
      </x:c>
      <x:c r="O1374" s="16" t="n">
        <x:v>27</x:v>
      </x:c>
      <x:c r="P1374" s="16" t="n">
        <x:v>4</x:v>
      </x:c>
      <x:c r="Q1374" s="16" t="n">
        <x:v>7</x:v>
      </x:c>
      <x:c r="R1374" s="16" t="n">
        <x:v>2</x:v>
      </x:c>
      <x:c r="S1374" s="16" t="n">
        <x:v>4</x:v>
      </x:c>
      <x:c r="T1374" s="16" t="n">
        <x:v>8</x:v>
      </x:c>
      <x:c r="U1374" s="16" t="n">
        <x:v>0</x:v>
      </x:c>
      <x:c r="V1374" s="16" t="n">
        <x:v>0</x:v>
      </x:c>
      <x:c r="W1374" s="16" t="n">
        <x:v>0</x:v>
      </x:c>
      <x:c r="X1374" s="16" t="n">
        <x:v>0</x:v>
      </x:c>
      <x:c r="Y1374" s="16" t="n">
        <x:v>0</x:v>
      </x:c>
      <x:c r="Z1374" s="16" t="n">
        <x:v>0</x:v>
      </x:c>
      <x:c r="AA1374" s="16" t="n">
        <x:v>3</x:v>
      </x:c>
      <x:c r="AB1374" s="16" t="n">
        <x:v>11</x:v>
      </x:c>
      <x:c r="AC1374" s="16" t="n">
        <x:v>0</x:v>
      </x:c>
      <x:c r="AD1374" s="21" t="n">
        <x:f>IF(E1374="",MEDIAN($E$2:$E$2237),E1374)</x:f>
        <x:v>48904</x:v>
      </x:c>
      <x:c r="AE1374" s="17" t="n">
        <x:f>2014-B1374</x:f>
        <x:v>54</x:v>
      </x:c>
      <x:c r="AF1374" s="17" t="n">
        <x:f>F1374+G1374</x:f>
        <x:v>1</x:v>
      </x:c>
      <x:c r="AG1374" s="21" t="n">
        <x:f>SUM(J1374:O1374)</x:f>
        <x:v>371</x:v>
      </x:c>
      <x:c r="AH1374" s="17" t="n">
        <x:f>SUM(Q1374:S1374)</x:f>
        <x:v>13</x:v>
      </x:c>
      <x:c r="AI1374" s="17" t="n">
        <x:f>SUM(U1374:Y1374)</x:f>
        <x:v>0</x:v>
      </x:c>
      <x:c r="AJ1374" s="17" t="str">
        <x:f>IF(AE1374&lt;=34,"≤34",IF(AE1374&lt;=44,"35–44",IF(AE1374&lt;=54,"45–54",IF(AE1374&lt;=64,"55–64","65+"))))</x:f>
        <x:v>45–54</x:v>
      </x:c>
      <x:c r="AK1374" s="17" t="str">
        <x:f>IF(AG1374&gt;=1000,"High Value",IF(AG1374&gt;=300,"Mid Value","Low Value"))</x:f>
        <x:v>Mid Value</x:v>
      </x:c>
      <x:c r="AL1374" s="17" t="str">
        <x:f>IF(AND(AI1374&gt;=1,I1374&lt;=50),"Priority 1",IF(AND(AG1374&gt;=1000,I1374&lt;=60),"Priority 2",IF(I1374&lt;=30,"Priority 3","Nurture")))</x:f>
        <x:v>Priority 3</x:v>
      </x:c>
    </x:row>
    <x:row r="1375">
      <x:c r="A1375" s="16" t="n">
        <x:v>1542</x:v>
      </x:c>
      <x:c r="B1375" s="16" t="n">
        <x:v>1975</x:v>
      </x:c>
      <x:c r="C1375" s="16" t="str">
        <x:v>Graduation</x:v>
      </x:c>
      <x:c r="D1375" s="16" t="str">
        <x:v>Single</x:v>
      </x:c>
      <x:c r="E1375" s="16" t="n">
        <x:v>56243</x:v>
      </x:c>
      <x:c r="F1375" s="16" t="n">
        <x:v>1</x:v>
      </x:c>
      <x:c r="G1375" s="16" t="n">
        <x:v>2</x:v>
      </x:c>
      <x:c r="H1375" s="16" t="str">
        <x:v>30-12-2013</x:v>
      </x:c>
      <x:c r="I1375" s="16" t="n">
        <x:v>26</x:v>
      </x:c>
      <x:c r="J1375" s="16" t="n">
        <x:v>347</x:v>
      </x:c>
      <x:c r="K1375" s="16" t="n">
        <x:v>0</x:v>
      </x:c>
      <x:c r="L1375" s="16" t="n">
        <x:v>35</x:v>
      </x:c>
      <x:c r="M1375" s="16" t="n">
        <x:v>4</x:v>
      </x:c>
      <x:c r="N1375" s="16" t="n">
        <x:v>3</x:v>
      </x:c>
      <x:c r="O1375" s="16" t="n">
        <x:v>7</x:v>
      </x:c>
      <x:c r="P1375" s="16" t="n">
        <x:v>6</x:v>
      </x:c>
      <x:c r="Q1375" s="16" t="n">
        <x:v>4</x:v>
      </x:c>
      <x:c r="R1375" s="16" t="n">
        <x:v>2</x:v>
      </x:c>
      <x:c r="S1375" s="16" t="n">
        <x:v>8</x:v>
      </x:c>
      <x:c r="T1375" s="16" t="n">
        <x:v>5</x:v>
      </x:c>
      <x:c r="U1375" s="16" t="n">
        <x:v>0</x:v>
      </x:c>
      <x:c r="V1375" s="16" t="n">
        <x:v>0</x:v>
      </x:c>
      <x:c r="W1375" s="16" t="n">
        <x:v>0</x:v>
      </x:c>
      <x:c r="X1375" s="16" t="n">
        <x:v>0</x:v>
      </x:c>
      <x:c r="Y1375" s="16" t="n">
        <x:v>0</x:v>
      </x:c>
      <x:c r="Z1375" s="16" t="n">
        <x:v>0</x:v>
      </x:c>
      <x:c r="AA1375" s="16" t="n">
        <x:v>3</x:v>
      </x:c>
      <x:c r="AB1375" s="16" t="n">
        <x:v>11</x:v>
      </x:c>
      <x:c r="AC1375" s="16" t="n">
        <x:v>0</x:v>
      </x:c>
      <x:c r="AD1375" s="21" t="n">
        <x:f>IF(E1375="",MEDIAN($E$2:$E$2237),E1375)</x:f>
        <x:v>56243</x:v>
      </x:c>
      <x:c r="AE1375" s="17" t="n">
        <x:f>2014-B1375</x:f>
        <x:v>39</x:v>
      </x:c>
      <x:c r="AF1375" s="17" t="n">
        <x:f>F1375+G1375</x:f>
        <x:v>3</x:v>
      </x:c>
      <x:c r="AG1375" s="21" t="n">
        <x:f>SUM(J1375:O1375)</x:f>
        <x:v>396</x:v>
      </x:c>
      <x:c r="AH1375" s="17" t="n">
        <x:f>SUM(Q1375:S1375)</x:f>
        <x:v>14</x:v>
      </x:c>
      <x:c r="AI1375" s="17" t="n">
        <x:f>SUM(U1375:Y1375)</x:f>
        <x:v>0</x:v>
      </x:c>
      <x:c r="AJ1375" s="17" t="str">
        <x:f>IF(AE1375&lt;=34,"≤34",IF(AE1375&lt;=44,"35–44",IF(AE1375&lt;=54,"45–54",IF(AE1375&lt;=64,"55–64","65+"))))</x:f>
        <x:v>35–44</x:v>
      </x:c>
      <x:c r="AK1375" s="17" t="str">
        <x:f>IF(AG1375&gt;=1000,"High Value",IF(AG1375&gt;=300,"Mid Value","Low Value"))</x:f>
        <x:v>Mid Value</x:v>
      </x:c>
      <x:c r="AL1375" s="17" t="str">
        <x:f>IF(AND(AI1375&gt;=1,I1375&lt;=50),"Priority 1",IF(AND(AG1375&gt;=1000,I1375&lt;=60),"Priority 2",IF(I1375&lt;=30,"Priority 3","Nurture")))</x:f>
        <x:v>Priority 3</x:v>
      </x:c>
    </x:row>
    <x:row r="1376">
      <x:c r="A1376" s="16" t="n">
        <x:v>6770</x:v>
      </x:c>
      <x:c r="B1376" s="16" t="n">
        <x:v>1985</x:v>
      </x:c>
      <x:c r="C1376" s="16" t="str">
        <x:v>Graduation</x:v>
      </x:c>
      <x:c r="D1376" s="16" t="str">
        <x:v>Married</x:v>
      </x:c>
      <x:c r="E1376" s="16" t="n">
        <x:v>21355</x:v>
      </x:c>
      <x:c r="F1376" s="16" t="n">
        <x:v>1</x:v>
      </x:c>
      <x:c r="G1376" s="16" t="n">
        <x:v>0</x:v>
      </x:c>
      <x:c r="H1376" s="16" t="str">
        <x:v>20-08-2013</x:v>
      </x:c>
      <x:c r="I1376" s="16" t="n">
        <x:v>5</x:v>
      </x:c>
      <x:c r="J1376" s="16" t="n">
        <x:v>5</x:v>
      </x:c>
      <x:c r="K1376" s="16" t="n">
        <x:v>13</x:v>
      </x:c>
      <x:c r="L1376" s="16" t="n">
        <x:v>14</x:v>
      </x:c>
      <x:c r="M1376" s="16" t="n">
        <x:v>0</x:v>
      </x:c>
      <x:c r="N1376" s="16" t="n">
        <x:v>5</x:v>
      </x:c>
      <x:c r="O1376" s="16" t="n">
        <x:v>31</x:v>
      </x:c>
      <x:c r="P1376" s="16" t="n">
        <x:v>2</x:v>
      </x:c>
      <x:c r="Q1376" s="16" t="n">
        <x:v>2</x:v>
      </x:c>
      <x:c r="R1376" s="16" t="n">
        <x:v>1</x:v>
      </x:c>
      <x:c r="S1376" s="16" t="n">
        <x:v>2</x:v>
      </x:c>
      <x:c r="T1376" s="16" t="n">
        <x:v>6</x:v>
      </x:c>
      <x:c r="U1376" s="16" t="n">
        <x:v>1</x:v>
      </x:c>
      <x:c r="V1376" s="16" t="n">
        <x:v>0</x:v>
      </x:c>
      <x:c r="W1376" s="16" t="n">
        <x:v>0</x:v>
      </x:c>
      <x:c r="X1376" s="16" t="n">
        <x:v>0</x:v>
      </x:c>
      <x:c r="Y1376" s="16" t="n">
        <x:v>0</x:v>
      </x:c>
      <x:c r="Z1376" s="16" t="n">
        <x:v>0</x:v>
      </x:c>
      <x:c r="AA1376" s="16" t="n">
        <x:v>3</x:v>
      </x:c>
      <x:c r="AB1376" s="16" t="n">
        <x:v>11</x:v>
      </x:c>
      <x:c r="AC1376" s="16" t="n">
        <x:v>1</x:v>
      </x:c>
      <x:c r="AD1376" s="21" t="n">
        <x:f>IF(E1376="",MEDIAN($E$2:$E$2237),E1376)</x:f>
        <x:v>21355</x:v>
      </x:c>
      <x:c r="AE1376" s="17" t="n">
        <x:f>2014-B1376</x:f>
        <x:v>29</x:v>
      </x:c>
      <x:c r="AF1376" s="17" t="n">
        <x:f>F1376+G1376</x:f>
        <x:v>1</x:v>
      </x:c>
      <x:c r="AG1376" s="21" t="n">
        <x:f>SUM(J1376:O1376)</x:f>
        <x:v>68</x:v>
      </x:c>
      <x:c r="AH1376" s="17" t="n">
        <x:f>SUM(Q1376:S1376)</x:f>
        <x:v>5</x:v>
      </x:c>
      <x:c r="AI1376" s="17" t="n">
        <x:f>SUM(U1376:Y1376)</x:f>
        <x:v>1</x:v>
      </x:c>
      <x:c r="AJ1376" s="17" t="str">
        <x:f>IF(AE1376&lt;=34,"≤34",IF(AE1376&lt;=44,"35–44",IF(AE1376&lt;=54,"45–54",IF(AE1376&lt;=64,"55–64","65+"))))</x:f>
        <x:v>≤34</x:v>
      </x:c>
      <x:c r="AK1376" s="17" t="str">
        <x:f>IF(AG1376&gt;=1000,"High Value",IF(AG1376&gt;=300,"Mid Value","Low Value"))</x:f>
        <x:v>Low Value</x:v>
      </x:c>
      <x:c r="AL1376" s="17" t="str">
        <x:f>IF(AND(AI1376&gt;=1,I1376&lt;=50),"Priority 1",IF(AND(AG1376&gt;=1000,I1376&lt;=60),"Priority 2",IF(I1376&lt;=30,"Priority 3","Nurture")))</x:f>
        <x:v>Priority 1</x:v>
      </x:c>
    </x:row>
    <x:row r="1377">
      <x:c r="A1377" s="16" t="n">
        <x:v>8773</x:v>
      </x:c>
      <x:c r="B1377" s="16" t="n">
        <x:v>1971</x:v>
      </x:c>
      <x:c r="C1377" s="16" t="str">
        <x:v>Master</x:v>
      </x:c>
      <x:c r="D1377" s="16" t="str">
        <x:v>Together</x:v>
      </x:c>
      <x:c r="E1377" s="16" t="n">
        <x:v>57420</x:v>
      </x:c>
      <x:c r="F1377" s="16" t="n">
        <x:v>0</x:v>
      </x:c>
      <x:c r="G1377" s="16" t="n">
        <x:v>1</x:v>
      </x:c>
      <x:c r="H1377" s="16" t="str">
        <x:v>25-06-2013</x:v>
      </x:c>
      <x:c r="I1377" s="16" t="n">
        <x:v>22</x:v>
      </x:c>
      <x:c r="J1377" s="16" t="n">
        <x:v>280</x:v>
      </x:c>
      <x:c r="K1377" s="16" t="n">
        <x:v>0</x:v>
      </x:c>
      <x:c r="L1377" s="16" t="n">
        <x:v>18</x:v>
      </x:c>
      <x:c r="M1377" s="16" t="n">
        <x:v>0</x:v>
      </x:c>
      <x:c r="N1377" s="16" t="n">
        <x:v>0</x:v>
      </x:c>
      <x:c r="O1377" s="16" t="n">
        <x:v>24</x:v>
      </x:c>
      <x:c r="P1377" s="16" t="n">
        <x:v>3</x:v>
      </x:c>
      <x:c r="Q1377" s="16" t="n">
        <x:v>5</x:v>
      </x:c>
      <x:c r="R1377" s="16" t="n">
        <x:v>1</x:v>
      </x:c>
      <x:c r="S1377" s="16" t="n">
        <x:v>6</x:v>
      </x:c>
      <x:c r="T1377" s="16" t="n">
        <x:v>7</x:v>
      </x:c>
      <x:c r="U1377" s="16" t="n">
        <x:v>0</x:v>
      </x:c>
      <x:c r="V1377" s="16" t="n">
        <x:v>1</x:v>
      </x:c>
      <x:c r="W1377" s="16" t="n">
        <x:v>0</x:v>
      </x:c>
      <x:c r="X1377" s="16" t="n">
        <x:v>0</x:v>
      </x:c>
      <x:c r="Y1377" s="16" t="n">
        <x:v>0</x:v>
      </x:c>
      <x:c r="Z1377" s="16" t="n">
        <x:v>0</x:v>
      </x:c>
      <x:c r="AA1377" s="16" t="n">
        <x:v>3</x:v>
      </x:c>
      <x:c r="AB1377" s="16" t="n">
        <x:v>11</x:v>
      </x:c>
      <x:c r="AC1377" s="16" t="n">
        <x:v>0</x:v>
      </x:c>
      <x:c r="AD1377" s="21" t="n">
        <x:f>IF(E1377="",MEDIAN($E$2:$E$2237),E1377)</x:f>
        <x:v>57420</x:v>
      </x:c>
      <x:c r="AE1377" s="17" t="n">
        <x:f>2014-B1377</x:f>
        <x:v>43</x:v>
      </x:c>
      <x:c r="AF1377" s="17" t="n">
        <x:f>F1377+G1377</x:f>
        <x:v>1</x:v>
      </x:c>
      <x:c r="AG1377" s="21" t="n">
        <x:f>SUM(J1377:O1377)</x:f>
        <x:v>322</x:v>
      </x:c>
      <x:c r="AH1377" s="17" t="n">
        <x:f>SUM(Q1377:S1377)</x:f>
        <x:v>12</x:v>
      </x:c>
      <x:c r="AI1377" s="17" t="n">
        <x:f>SUM(U1377:Y1377)</x:f>
        <x:v>1</x:v>
      </x:c>
      <x:c r="AJ1377" s="17" t="str">
        <x:f>IF(AE1377&lt;=34,"≤34",IF(AE1377&lt;=44,"35–44",IF(AE1377&lt;=54,"45–54",IF(AE1377&lt;=64,"55–64","65+"))))</x:f>
        <x:v>35–44</x:v>
      </x:c>
      <x:c r="AK1377" s="17" t="str">
        <x:f>IF(AG1377&gt;=1000,"High Value",IF(AG1377&gt;=300,"Mid Value","Low Value"))</x:f>
        <x:v>Mid Value</x:v>
      </x:c>
      <x:c r="AL1377" s="17" t="str">
        <x:f>IF(AND(AI1377&gt;=1,I1377&lt;=50),"Priority 1",IF(AND(AG1377&gt;=1000,I1377&lt;=60),"Priority 2",IF(I1377&lt;=30,"Priority 3","Nurture")))</x:f>
        <x:v>Priority 1</x:v>
      </x:c>
    </x:row>
    <x:row r="1378">
      <x:c r="A1378" s="16" t="n">
        <x:v>10475</x:v>
      </x:c>
      <x:c r="B1378" s="16" t="n">
        <x:v>1970</x:v>
      </x:c>
      <x:c r="C1378" s="16" t="str">
        <x:v>Master</x:v>
      </x:c>
      <x:c r="D1378" s="16" t="str">
        <x:v>Together</x:v>
      </x:c>
      <x:c r="E1378" s="16"/>
      <x:c r="F1378" s="16" t="n">
        <x:v>0</x:v>
      </x:c>
      <x:c r="G1378" s="16" t="n">
        <x:v>1</x:v>
      </x:c>
      <x:c r="H1378" s="16" t="str">
        <x:v>01-04-2013</x:v>
      </x:c>
      <x:c r="I1378" s="16" t="n">
        <x:v>39</x:v>
      </x:c>
      <x:c r="J1378" s="16" t="n">
        <x:v>187</x:v>
      </x:c>
      <x:c r="K1378" s="16" t="n">
        <x:v>5</x:v>
      </x:c>
      <x:c r="L1378" s="16" t="n">
        <x:v>65</x:v>
      </x:c>
      <x:c r="M1378" s="16" t="n">
        <x:v>26</x:v>
      </x:c>
      <x:c r="N1378" s="16" t="n">
        <x:v>20</x:v>
      </x:c>
      <x:c r="O1378" s="16" t="n">
        <x:v>14</x:v>
      </x:c>
      <x:c r="P1378" s="16" t="n">
        <x:v>2</x:v>
      </x:c>
      <x:c r="Q1378" s="16" t="n">
        <x:v>4</x:v>
      </x:c>
      <x:c r="R1378" s="16" t="n">
        <x:v>2</x:v>
      </x:c>
      <x:c r="S1378" s="16" t="n">
        <x:v>6</x:v>
      </x:c>
      <x:c r="T1378" s="16" t="n">
        <x:v>5</x:v>
      </x:c>
      <x:c r="U1378" s="16" t="n">
        <x:v>0</x:v>
      </x:c>
      <x:c r="V1378" s="16" t="n">
        <x:v>0</x:v>
      </x:c>
      <x:c r="W1378" s="16" t="n">
        <x:v>0</x:v>
      </x:c>
      <x:c r="X1378" s="16" t="n">
        <x:v>0</x:v>
      </x:c>
      <x:c r="Y1378" s="16" t="n">
        <x:v>0</x:v>
      </x:c>
      <x:c r="Z1378" s="16" t="n">
        <x:v>0</x:v>
      </x:c>
      <x:c r="AA1378" s="16" t="n">
        <x:v>3</x:v>
      </x:c>
      <x:c r="AB1378" s="16" t="n">
        <x:v>11</x:v>
      </x:c>
      <x:c r="AC1378" s="16" t="n">
        <x:v>0</x:v>
      </x:c>
      <x:c r="AD1378" s="21" t="n">
        <x:f>IF(E1378="",MEDIAN($E$2:$E$2237),E1378)</x:f>
        <x:v>51371</x:v>
      </x:c>
      <x:c r="AE1378" s="17" t="n">
        <x:f>2014-B1378</x:f>
        <x:v>44</x:v>
      </x:c>
      <x:c r="AF1378" s="17" t="n">
        <x:f>F1378+G1378</x:f>
        <x:v>1</x:v>
      </x:c>
      <x:c r="AG1378" s="21" t="n">
        <x:f>SUM(J1378:O1378)</x:f>
        <x:v>317</x:v>
      </x:c>
      <x:c r="AH1378" s="17" t="n">
        <x:f>SUM(Q1378:S1378)</x:f>
        <x:v>12</x:v>
      </x:c>
      <x:c r="AI1378" s="17" t="n">
        <x:f>SUM(U1378:Y1378)</x:f>
        <x:v>0</x:v>
      </x:c>
      <x:c r="AJ1378" s="17" t="str">
        <x:f>IF(AE1378&lt;=34,"≤34",IF(AE1378&lt;=44,"35–44",IF(AE1378&lt;=54,"45–54",IF(AE1378&lt;=64,"55–64","65+"))))</x:f>
        <x:v>35–44</x:v>
      </x:c>
      <x:c r="AK1378" s="17" t="str">
        <x:f>IF(AG1378&gt;=1000,"High Value",IF(AG1378&gt;=300,"Mid Value","Low Value"))</x:f>
        <x:v>Mid Value</x:v>
      </x:c>
      <x:c r="AL1378" s="17" t="str">
        <x:f>IF(AND(AI1378&gt;=1,I1378&lt;=50),"Priority 1",IF(AND(AG1378&gt;=1000,I1378&lt;=60),"Priority 2",IF(I1378&lt;=30,"Priority 3","Nurture")))</x:f>
        <x:v>Nurture</x:v>
      </x:c>
    </x:row>
    <x:row r="1379">
      <x:c r="A1379" s="16" t="n">
        <x:v>10420</x:v>
      </x:c>
      <x:c r="B1379" s="16" t="n">
        <x:v>1955</x:v>
      </x:c>
      <x:c r="C1379" s="16" t="str">
        <x:v>Master</x:v>
      </x:c>
      <x:c r="D1379" s="16" t="str">
        <x:v>Divorced</x:v>
      </x:c>
      <x:c r="E1379" s="16" t="n">
        <x:v>46390</x:v>
      </x:c>
      <x:c r="F1379" s="16" t="n">
        <x:v>0</x:v>
      </x:c>
      <x:c r="G1379" s="16" t="n">
        <x:v>1</x:v>
      </x:c>
      <x:c r="H1379" s="16" t="str">
        <x:v>05-05-2014</x:v>
      </x:c>
      <x:c r="I1379" s="16" t="n">
        <x:v>56</x:v>
      </x:c>
      <x:c r="J1379" s="16" t="n">
        <x:v>95</x:v>
      </x:c>
      <x:c r="K1379" s="16" t="n">
        <x:v>14</x:v>
      </x:c>
      <x:c r="L1379" s="16" t="n">
        <x:v>64</x:v>
      </x:c>
      <x:c r="M1379" s="16" t="n">
        <x:v>2</x:v>
      </x:c>
      <x:c r="N1379" s="16" t="n">
        <x:v>9</x:v>
      </x:c>
      <x:c r="O1379" s="16" t="n">
        <x:v>38</x:v>
      </x:c>
      <x:c r="P1379" s="16" t="n">
        <x:v>1</x:v>
      </x:c>
      <x:c r="Q1379" s="16" t="n">
        <x:v>4</x:v>
      </x:c>
      <x:c r="R1379" s="16" t="n">
        <x:v>2</x:v>
      </x:c>
      <x:c r="S1379" s="16" t="n">
        <x:v>3</x:v>
      </x:c>
      <x:c r="T1379" s="16" t="n">
        <x:v>7</x:v>
      </x:c>
      <x:c r="U1379" s="16" t="n">
        <x:v>0</x:v>
      </x:c>
      <x:c r="V1379" s="16" t="n">
        <x:v>0</x:v>
      </x:c>
      <x:c r="W1379" s="16" t="n">
        <x:v>0</x:v>
      </x:c>
      <x:c r="X1379" s="16" t="n">
        <x:v>0</x:v>
      </x:c>
      <x:c r="Y1379" s="16" t="n">
        <x:v>0</x:v>
      </x:c>
      <x:c r="Z1379" s="16" t="n">
        <x:v>0</x:v>
      </x:c>
      <x:c r="AA1379" s="16" t="n">
        <x:v>3</x:v>
      </x:c>
      <x:c r="AB1379" s="16" t="n">
        <x:v>11</x:v>
      </x:c>
      <x:c r="AC1379" s="16" t="n">
        <x:v>0</x:v>
      </x:c>
      <x:c r="AD1379" s="21" t="n">
        <x:f>IF(E1379="",MEDIAN($E$2:$E$2237),E1379)</x:f>
        <x:v>46390</x:v>
      </x:c>
      <x:c r="AE1379" s="17" t="n">
        <x:f>2014-B1379</x:f>
        <x:v>59</x:v>
      </x:c>
      <x:c r="AF1379" s="17" t="n">
        <x:f>F1379+G1379</x:f>
        <x:v>1</x:v>
      </x:c>
      <x:c r="AG1379" s="21" t="n">
        <x:f>SUM(J1379:O1379)</x:f>
        <x:v>222</x:v>
      </x:c>
      <x:c r="AH1379" s="17" t="n">
        <x:f>SUM(Q1379:S1379)</x:f>
        <x:v>9</x:v>
      </x:c>
      <x:c r="AI1379" s="17" t="n">
        <x:f>SUM(U1379:Y1379)</x:f>
        <x:v>0</x:v>
      </x:c>
      <x:c r="AJ1379" s="17" t="str">
        <x:f>IF(AE1379&lt;=34,"≤34",IF(AE1379&lt;=44,"35–44",IF(AE1379&lt;=54,"45–54",IF(AE1379&lt;=64,"55–64","65+"))))</x:f>
        <x:v>55–64</x:v>
      </x:c>
      <x:c r="AK1379" s="17" t="str">
        <x:f>IF(AG1379&gt;=1000,"High Value",IF(AG1379&gt;=300,"Mid Value","Low Value"))</x:f>
        <x:v>Low Value</x:v>
      </x:c>
      <x:c r="AL1379" s="17" t="str">
        <x:f>IF(AND(AI1379&gt;=1,I1379&lt;=50),"Priority 1",IF(AND(AG1379&gt;=1000,I1379&lt;=60),"Priority 2",IF(I1379&lt;=30,"Priority 3","Nurture")))</x:f>
        <x:v>Nurture</x:v>
      </x:c>
    </x:row>
    <x:row r="1380">
      <x:c r="A1380" s="16" t="n">
        <x:v>7514</x:v>
      </x:c>
      <x:c r="B1380" s="16" t="n">
        <x:v>1956</x:v>
      </x:c>
      <x:c r="C1380" s="16" t="str">
        <x:v>2n Cycle</x:v>
      </x:c>
      <x:c r="D1380" s="16" t="str">
        <x:v>Together</x:v>
      </x:c>
      <x:c r="E1380" s="16" t="n">
        <x:v>54342</x:v>
      </x:c>
      <x:c r="F1380" s="16" t="n">
        <x:v>1</x:v>
      </x:c>
      <x:c r="G1380" s="16" t="n">
        <x:v>1</x:v>
      </x:c>
      <x:c r="H1380" s="16" t="str">
        <x:v>03-07-2013</x:v>
      </x:c>
      <x:c r="I1380" s="16" t="n">
        <x:v>74</x:v>
      </x:c>
      <x:c r="J1380" s="16" t="n">
        <x:v>84</x:v>
      </x:c>
      <x:c r="K1380" s="16" t="n">
        <x:v>10</x:v>
      </x:c>
      <x:c r="L1380" s="16" t="n">
        <x:v>34</x:v>
      </x:c>
      <x:c r="M1380" s="16" t="n">
        <x:v>11</x:v>
      </x:c>
      <x:c r="N1380" s="16" t="n">
        <x:v>10</x:v>
      </x:c>
      <x:c r="O1380" s="16" t="n">
        <x:v>28</x:v>
      </x:c>
      <x:c r="P1380" s="16" t="n">
        <x:v>4</x:v>
      </x:c>
      <x:c r="Q1380" s="16" t="n">
        <x:v>3</x:v>
      </x:c>
      <x:c r="R1380" s="16" t="n">
        <x:v>1</x:v>
      </x:c>
      <x:c r="S1380" s="16" t="n">
        <x:v>4</x:v>
      </x:c>
      <x:c r="T1380" s="16" t="n">
        <x:v>6</x:v>
      </x:c>
      <x:c r="U1380" s="16" t="n">
        <x:v>0</x:v>
      </x:c>
      <x:c r="V1380" s="16" t="n">
        <x:v>0</x:v>
      </x:c>
      <x:c r="W1380" s="16" t="n">
        <x:v>0</x:v>
      </x:c>
      <x:c r="X1380" s="16" t="n">
        <x:v>0</x:v>
      </x:c>
      <x:c r="Y1380" s="16" t="n">
        <x:v>0</x:v>
      </x:c>
      <x:c r="Z1380" s="16" t="n">
        <x:v>0</x:v>
      </x:c>
      <x:c r="AA1380" s="16" t="n">
        <x:v>3</x:v>
      </x:c>
      <x:c r="AB1380" s="16" t="n">
        <x:v>11</x:v>
      </x:c>
      <x:c r="AC1380" s="16" t="n">
        <x:v>0</x:v>
      </x:c>
      <x:c r="AD1380" s="21" t="n">
        <x:f>IF(E1380="",MEDIAN($E$2:$E$2237),E1380)</x:f>
        <x:v>54342</x:v>
      </x:c>
      <x:c r="AE1380" s="17" t="n">
        <x:f>2014-B1380</x:f>
        <x:v>58</x:v>
      </x:c>
      <x:c r="AF1380" s="17" t="n">
        <x:f>F1380+G1380</x:f>
        <x:v>2</x:v>
      </x:c>
      <x:c r="AG1380" s="21" t="n">
        <x:f>SUM(J1380:O1380)</x:f>
        <x:v>177</x:v>
      </x:c>
      <x:c r="AH1380" s="17" t="n">
        <x:f>SUM(Q1380:S1380)</x:f>
        <x:v>8</x:v>
      </x:c>
      <x:c r="AI1380" s="17" t="n">
        <x:f>SUM(U1380:Y1380)</x:f>
        <x:v>0</x:v>
      </x:c>
      <x:c r="AJ1380" s="17" t="str">
        <x:f>IF(AE1380&lt;=34,"≤34",IF(AE1380&lt;=44,"35–44",IF(AE1380&lt;=54,"45–54",IF(AE1380&lt;=64,"55–64","65+"))))</x:f>
        <x:v>55–64</x:v>
      </x:c>
      <x:c r="AK1380" s="17" t="str">
        <x:f>IF(AG1380&gt;=1000,"High Value",IF(AG1380&gt;=300,"Mid Value","Low Value"))</x:f>
        <x:v>Low Value</x:v>
      </x:c>
      <x:c r="AL1380" s="17" t="str">
        <x:f>IF(AND(AI1380&gt;=1,I1380&lt;=50),"Priority 1",IF(AND(AG1380&gt;=1000,I1380&lt;=60),"Priority 2",IF(I1380&lt;=30,"Priority 3","Nurture")))</x:f>
        <x:v>Nurture</x:v>
      </x:c>
    </x:row>
    <x:row r="1381">
      <x:c r="A1381" s="16" t="n">
        <x:v>2902</x:v>
      </x:c>
      <x:c r="B1381" s="16" t="n">
        <x:v>1958</x:v>
      </x:c>
      <x:c r="C1381" s="16" t="str">
        <x:v>Graduation</x:v>
      </x:c>
      <x:c r="D1381" s="16" t="str">
        <x:v>Together</x:v>
      </x:c>
      <x:c r="E1381" s="16"/>
      <x:c r="F1381" s="16" t="n">
        <x:v>1</x:v>
      </x:c>
      <x:c r="G1381" s="16" t="n">
        <x:v>1</x:v>
      </x:c>
      <x:c r="H1381" s="16" t="str">
        <x:v>03-09-2012</x:v>
      </x:c>
      <x:c r="I1381" s="16" t="n">
        <x:v>87</x:v>
      </x:c>
      <x:c r="J1381" s="16" t="n">
        <x:v>19</x:v>
      </x:c>
      <x:c r="K1381" s="16" t="n">
        <x:v>4</x:v>
      </x:c>
      <x:c r="L1381" s="16" t="n">
        <x:v>12</x:v>
      </x:c>
      <x:c r="M1381" s="16" t="n">
        <x:v>2</x:v>
      </x:c>
      <x:c r="N1381" s="16" t="n">
        <x:v>2</x:v>
      </x:c>
      <x:c r="O1381" s="16" t="n">
        <x:v>6</x:v>
      </x:c>
      <x:c r="P1381" s="16" t="n">
        <x:v>1</x:v>
      </x:c>
      <x:c r="Q1381" s="16" t="n">
        <x:v>1</x:v>
      </x:c>
      <x:c r="R1381" s="16" t="n">
        <x:v>0</x:v>
      </x:c>
      <x:c r="S1381" s="16" t="n">
        <x:v>3</x:v>
      </x:c>
      <x:c r="T1381" s="16" t="n">
        <x:v>5</x:v>
      </x:c>
      <x:c r="U1381" s="16" t="n">
        <x:v>0</x:v>
      </x:c>
      <x:c r="V1381" s="16" t="n">
        <x:v>0</x:v>
      </x:c>
      <x:c r="W1381" s="16" t="n">
        <x:v>0</x:v>
      </x:c>
      <x:c r="X1381" s="16" t="n">
        <x:v>0</x:v>
      </x:c>
      <x:c r="Y1381" s="16" t="n">
        <x:v>0</x:v>
      </x:c>
      <x:c r="Z1381" s="16" t="n">
        <x:v>0</x:v>
      </x:c>
      <x:c r="AA1381" s="16" t="n">
        <x:v>3</x:v>
      </x:c>
      <x:c r="AB1381" s="16" t="n">
        <x:v>11</x:v>
      </x:c>
      <x:c r="AC1381" s="16" t="n">
        <x:v>0</x:v>
      </x:c>
      <x:c r="AD1381" s="21" t="n">
        <x:f>IF(E1381="",MEDIAN($E$2:$E$2237),E1381)</x:f>
        <x:v>51371</x:v>
      </x:c>
      <x:c r="AE1381" s="17" t="n">
        <x:f>2014-B1381</x:f>
        <x:v>56</x:v>
      </x:c>
      <x:c r="AF1381" s="17" t="n">
        <x:f>F1381+G1381</x:f>
        <x:v>2</x:v>
      </x:c>
      <x:c r="AG1381" s="21" t="n">
        <x:f>SUM(J1381:O1381)</x:f>
        <x:v>45</x:v>
      </x:c>
      <x:c r="AH1381" s="17" t="n">
        <x:f>SUM(Q1381:S1381)</x:f>
        <x:v>4</x:v>
      </x:c>
      <x:c r="AI1381" s="17" t="n">
        <x:f>SUM(U1381:Y1381)</x:f>
        <x:v>0</x:v>
      </x:c>
      <x:c r="AJ1381" s="17" t="str">
        <x:f>IF(AE1381&lt;=34,"≤34",IF(AE1381&lt;=44,"35–44",IF(AE1381&lt;=54,"45–54",IF(AE1381&lt;=64,"55–64","65+"))))</x:f>
        <x:v>55–64</x:v>
      </x:c>
      <x:c r="AK1381" s="17" t="str">
        <x:f>IF(AG1381&gt;=1000,"High Value",IF(AG1381&gt;=300,"Mid Value","Low Value"))</x:f>
        <x:v>Low Value</x:v>
      </x:c>
      <x:c r="AL1381" s="17" t="str">
        <x:f>IF(AND(AI1381&gt;=1,I1381&lt;=50),"Priority 1",IF(AND(AG1381&gt;=1000,I1381&lt;=60),"Priority 2",IF(I1381&lt;=30,"Priority 3","Nurture")))</x:f>
        <x:v>Nurture</x:v>
      </x:c>
    </x:row>
    <x:row r="1382">
      <x:c r="A1382" s="16" t="n">
        <x:v>4345</x:v>
      </x:c>
      <x:c r="B1382" s="16" t="n">
        <x:v>1964</x:v>
      </x:c>
      <x:c r="C1382" s="16" t="str">
        <x:v>2n Cycle</x:v>
      </x:c>
      <x:c r="D1382" s="16" t="str">
        <x:v>Single</x:v>
      </x:c>
      <x:c r="E1382" s="16"/>
      <x:c r="F1382" s="16" t="n">
        <x:v>1</x:v>
      </x:c>
      <x:c r="G1382" s="16" t="n">
        <x:v>1</x:v>
      </x:c>
      <x:c r="H1382" s="16" t="str">
        <x:v>12-01-2014</x:v>
      </x:c>
      <x:c r="I1382" s="16" t="n">
        <x:v>49</x:v>
      </x:c>
      <x:c r="J1382" s="16" t="n">
        <x:v>5</x:v>
      </x:c>
      <x:c r="K1382" s="16" t="n">
        <x:v>1</x:v>
      </x:c>
      <x:c r="L1382" s="16" t="n">
        <x:v>9</x:v>
      </x:c>
      <x:c r="M1382" s="16" t="n">
        <x:v>2</x:v>
      </x:c>
      <x:c r="N1382" s="16" t="n">
        <x:v>0</x:v>
      </x:c>
      <x:c r="O1382" s="16" t="n">
        <x:v>4</x:v>
      </x:c>
      <x:c r="P1382" s="16" t="n">
        <x:v>1</x:v>
      </x:c>
      <x:c r="Q1382" s="16" t="n">
        <x:v>1</x:v>
      </x:c>
      <x:c r="R1382" s="16" t="n">
        <x:v>0</x:v>
      </x:c>
      <x:c r="S1382" s="16" t="n">
        <x:v>2</x:v>
      </x:c>
      <x:c r="T1382" s="16" t="n">
        <x:v>7</x:v>
      </x:c>
      <x:c r="U1382" s="16" t="n">
        <x:v>0</x:v>
      </x:c>
      <x:c r="V1382" s="16" t="n">
        <x:v>0</x:v>
      </x:c>
      <x:c r="W1382" s="16" t="n">
        <x:v>0</x:v>
      </x:c>
      <x:c r="X1382" s="16" t="n">
        <x:v>0</x:v>
      </x:c>
      <x:c r="Y1382" s="16" t="n">
        <x:v>0</x:v>
      </x:c>
      <x:c r="Z1382" s="16" t="n">
        <x:v>0</x:v>
      </x:c>
      <x:c r="AA1382" s="16" t="n">
        <x:v>3</x:v>
      </x:c>
      <x:c r="AB1382" s="16" t="n">
        <x:v>11</x:v>
      </x:c>
      <x:c r="AC1382" s="16" t="n">
        <x:v>0</x:v>
      </x:c>
      <x:c r="AD1382" s="21" t="n">
        <x:f>IF(E1382="",MEDIAN($E$2:$E$2237),E1382)</x:f>
        <x:v>51371</x:v>
      </x:c>
      <x:c r="AE1382" s="17" t="n">
        <x:f>2014-B1382</x:f>
        <x:v>50</x:v>
      </x:c>
      <x:c r="AF1382" s="17" t="n">
        <x:f>F1382+G1382</x:f>
        <x:v>2</x:v>
      </x:c>
      <x:c r="AG1382" s="21" t="n">
        <x:f>SUM(J1382:O1382)</x:f>
        <x:v>21</x:v>
      </x:c>
      <x:c r="AH1382" s="17" t="n">
        <x:f>SUM(Q1382:S1382)</x:f>
        <x:v>3</x:v>
      </x:c>
      <x:c r="AI1382" s="17" t="n">
        <x:f>SUM(U1382:Y1382)</x:f>
        <x:v>0</x:v>
      </x:c>
      <x:c r="AJ1382" s="17" t="str">
        <x:f>IF(AE1382&lt;=34,"≤34",IF(AE1382&lt;=44,"35–44",IF(AE1382&lt;=54,"45–54",IF(AE1382&lt;=64,"55–64","65+"))))</x:f>
        <x:v>45–54</x:v>
      </x:c>
      <x:c r="AK1382" s="17" t="str">
        <x:f>IF(AG1382&gt;=1000,"High Value",IF(AG1382&gt;=300,"Mid Value","Low Value"))</x:f>
        <x:v>Low Value</x:v>
      </x:c>
      <x:c r="AL1382" s="17" t="str">
        <x:f>IF(AND(AI1382&gt;=1,I1382&lt;=50),"Priority 1",IF(AND(AG1382&gt;=1000,I1382&lt;=60),"Priority 2",IF(I1382&lt;=30,"Priority 3","Nurture")))</x:f>
        <x:v>Nurture</x:v>
      </x:c>
    </x:row>
    <x:row r="1383">
      <x:c r="A1383" s="16" t="n">
        <x:v>793</x:v>
      </x:c>
      <x:c r="B1383" s="16" t="n">
        <x:v>1973</x:v>
      </x:c>
      <x:c r="C1383" s="16" t="str">
        <x:v>Graduation</x:v>
      </x:c>
      <x:c r="D1383" s="16" t="str">
        <x:v>Married</x:v>
      </x:c>
      <x:c r="E1383" s="16" t="n">
        <x:v>20895</x:v>
      </x:c>
      <x:c r="F1383" s="16" t="n">
        <x:v>1</x:v>
      </x:c>
      <x:c r="G1383" s="16" t="n">
        <x:v>0</x:v>
      </x:c>
      <x:c r="H1383" s="16" t="str">
        <x:v>06-10-2012</x:v>
      </x:c>
      <x:c r="I1383" s="16" t="n">
        <x:v>24</x:v>
      </x:c>
      <x:c r="J1383" s="16" t="n">
        <x:v>18</x:v>
      </x:c>
      <x:c r="K1383" s="16" t="n">
        <x:v>3</x:v>
      </x:c>
      <x:c r="L1383" s="16" t="n">
        <x:v>17</x:v>
      </x:c>
      <x:c r="M1383" s="16" t="n">
        <x:v>3</x:v>
      </x:c>
      <x:c r="N1383" s="16" t="n">
        <x:v>0</x:v>
      </x:c>
      <x:c r="O1383" s="16" t="n">
        <x:v>4</x:v>
      </x:c>
      <x:c r="P1383" s="16" t="n">
        <x:v>1</x:v>
      </x:c>
      <x:c r="Q1383" s="16" t="n">
        <x:v>2</x:v>
      </x:c>
      <x:c r="R1383" s="16" t="n">
        <x:v>0</x:v>
      </x:c>
      <x:c r="S1383" s="16" t="n">
        <x:v>3</x:v>
      </x:c>
      <x:c r="T1383" s="16" t="n">
        <x:v>9</x:v>
      </x:c>
      <x:c r="U1383" s="16" t="n">
        <x:v>0</x:v>
      </x:c>
      <x:c r="V1383" s="16" t="n">
        <x:v>0</x:v>
      </x:c>
      <x:c r="W1383" s="16" t="n">
        <x:v>0</x:v>
      </x:c>
      <x:c r="X1383" s="16" t="n">
        <x:v>0</x:v>
      </x:c>
      <x:c r="Y1383" s="16" t="n">
        <x:v>0</x:v>
      </x:c>
      <x:c r="Z1383" s="16" t="n">
        <x:v>0</x:v>
      </x:c>
      <x:c r="AA1383" s="16" t="n">
        <x:v>3</x:v>
      </x:c>
      <x:c r="AB1383" s="16" t="n">
        <x:v>11</x:v>
      </x:c>
      <x:c r="AC1383" s="16" t="n">
        <x:v>0</x:v>
      </x:c>
      <x:c r="AD1383" s="21" t="n">
        <x:f>IF(E1383="",MEDIAN($E$2:$E$2237),E1383)</x:f>
        <x:v>20895</x:v>
      </x:c>
      <x:c r="AE1383" s="17" t="n">
        <x:f>2014-B1383</x:f>
        <x:v>41</x:v>
      </x:c>
      <x:c r="AF1383" s="17" t="n">
        <x:f>F1383+G1383</x:f>
        <x:v>1</x:v>
      </x:c>
      <x:c r="AG1383" s="21" t="n">
        <x:f>SUM(J1383:O1383)</x:f>
        <x:v>45</x:v>
      </x:c>
      <x:c r="AH1383" s="17" t="n">
        <x:f>SUM(Q1383:S1383)</x:f>
        <x:v>5</x:v>
      </x:c>
      <x:c r="AI1383" s="17" t="n">
        <x:f>SUM(U1383:Y1383)</x:f>
        <x:v>0</x:v>
      </x:c>
      <x:c r="AJ1383" s="17" t="str">
        <x:f>IF(AE1383&lt;=34,"≤34",IF(AE1383&lt;=44,"35–44",IF(AE1383&lt;=54,"45–54",IF(AE1383&lt;=64,"55–64","65+"))))</x:f>
        <x:v>35–44</x:v>
      </x:c>
      <x:c r="AK1383" s="17" t="str">
        <x:f>IF(AG1383&gt;=1000,"High Value",IF(AG1383&gt;=300,"Mid Value","Low Value"))</x:f>
        <x:v>Low Value</x:v>
      </x:c>
      <x:c r="AL1383" s="17" t="str">
        <x:f>IF(AND(AI1383&gt;=1,I1383&lt;=50),"Priority 1",IF(AND(AG1383&gt;=1000,I1383&lt;=60),"Priority 2",IF(I1383&lt;=30,"Priority 3","Nurture")))</x:f>
        <x:v>Priority 3</x:v>
      </x:c>
    </x:row>
    <x:row r="1384">
      <x:c r="A1384" s="16" t="n">
        <x:v>10909</x:v>
      </x:c>
      <x:c r="B1384" s="16" t="n">
        <x:v>1948</x:v>
      </x:c>
      <x:c r="C1384" s="16" t="str">
        <x:v>Graduation</x:v>
      </x:c>
      <x:c r="D1384" s="16" t="str">
        <x:v>Married</x:v>
      </x:c>
      <x:c r="E1384" s="16" t="n">
        <x:v>92344</x:v>
      </x:c>
      <x:c r="F1384" s="16" t="n">
        <x:v>0</x:v>
      </x:c>
      <x:c r="G1384" s="16" t="n">
        <x:v>0</x:v>
      </x:c>
      <x:c r="H1384" s="16" t="str">
        <x:v>15-01-2014</x:v>
      </x:c>
      <x:c r="I1384" s="16" t="n">
        <x:v>9</x:v>
      </x:c>
      <x:c r="J1384" s="16" t="n">
        <x:v>992</x:v>
      </x:c>
      <x:c r="K1384" s="16" t="n">
        <x:v>24</x:v>
      </x:c>
      <x:c r="L1384" s="16" t="n">
        <x:v>694</x:v>
      </x:c>
      <x:c r="M1384" s="16" t="n">
        <x:v>51</x:v>
      </x:c>
      <x:c r="N1384" s="16" t="n">
        <x:v>19</x:v>
      </x:c>
      <x:c r="O1384" s="16" t="n">
        <x:v>119</x:v>
      </x:c>
      <x:c r="P1384" s="16" t="n">
        <x:v>0</x:v>
      </x:c>
      <x:c r="Q1384" s="16" t="n">
        <x:v>5</x:v>
      </x:c>
      <x:c r="R1384" s="16" t="n">
        <x:v>10</x:v>
      </x:c>
      <x:c r="S1384" s="16" t="n">
        <x:v>5</x:v>
      </x:c>
      <x:c r="T1384" s="16" t="n">
        <x:v>1</x:v>
      </x:c>
      <x:c r="U1384" s="16" t="n">
        <x:v>1</x:v>
      </x:c>
      <x:c r="V1384" s="16" t="n">
        <x:v>0</x:v>
      </x:c>
      <x:c r="W1384" s="16" t="n">
        <x:v>1</x:v>
      </x:c>
      <x:c r="X1384" s="16" t="n">
        <x:v>0</x:v>
      </x:c>
      <x:c r="Y1384" s="16" t="n">
        <x:v>0</x:v>
      </x:c>
      <x:c r="Z1384" s="16" t="n">
        <x:v>0</x:v>
      </x:c>
      <x:c r="AA1384" s="16" t="n">
        <x:v>3</x:v>
      </x:c>
      <x:c r="AB1384" s="16" t="n">
        <x:v>11</x:v>
      </x:c>
      <x:c r="AC1384" s="16" t="n">
        <x:v>0</x:v>
      </x:c>
      <x:c r="AD1384" s="21" t="n">
        <x:f>IF(E1384="",MEDIAN($E$2:$E$2237),E1384)</x:f>
        <x:v>92344</x:v>
      </x:c>
      <x:c r="AE1384" s="17" t="n">
        <x:f>2014-B1384</x:f>
        <x:v>66</x:v>
      </x:c>
      <x:c r="AF1384" s="17" t="n">
        <x:f>F1384+G1384</x:f>
        <x:v>0</x:v>
      </x:c>
      <x:c r="AG1384" s="21" t="n">
        <x:f>SUM(J1384:O1384)</x:f>
        <x:v>1899</x:v>
      </x:c>
      <x:c r="AH1384" s="17" t="n">
        <x:f>SUM(Q1384:S1384)</x:f>
        <x:v>20</x:v>
      </x:c>
      <x:c r="AI1384" s="17" t="n">
        <x:f>SUM(U1384:Y1384)</x:f>
        <x:v>2</x:v>
      </x:c>
      <x:c r="AJ1384" s="17" t="str">
        <x:f>IF(AE1384&lt;=34,"≤34",IF(AE1384&lt;=44,"35–44",IF(AE1384&lt;=54,"45–54",IF(AE1384&lt;=64,"55–64","65+"))))</x:f>
        <x:v>65+</x:v>
      </x:c>
      <x:c r="AK1384" s="17" t="str">
        <x:f>IF(AG1384&gt;=1000,"High Value",IF(AG1384&gt;=300,"Mid Value","Low Value"))</x:f>
        <x:v>High Value</x:v>
      </x:c>
      <x:c r="AL1384" s="17" t="str">
        <x:f>IF(AND(AI1384&gt;=1,I1384&lt;=50),"Priority 1",IF(AND(AG1384&gt;=1000,I1384&lt;=60),"Priority 2",IF(I1384&lt;=30,"Priority 3","Nurture")))</x:f>
        <x:v>Priority 1</x:v>
      </x:c>
    </x:row>
    <x:row r="1385">
      <x:c r="A1385" s="16" t="n">
        <x:v>3769</x:v>
      </x:c>
      <x:c r="B1385" s="16" t="n">
        <x:v>1972</x:v>
      </x:c>
      <x:c r="C1385" s="16" t="str">
        <x:v>PhD</x:v>
      </x:c>
      <x:c r="D1385" s="16" t="str">
        <x:v>Together</x:v>
      </x:c>
      <x:c r="E1385" s="16"/>
      <x:c r="F1385" s="16" t="n">
        <x:v>1</x:v>
      </x:c>
      <x:c r="G1385" s="16" t="n">
        <x:v>0</x:v>
      </x:c>
      <x:c r="H1385" s="16" t="str">
        <x:v>02-03-2014</x:v>
      </x:c>
      <x:c r="I1385" s="16" t="n">
        <x:v>17</x:v>
      </x:c>
      <x:c r="J1385" s="16" t="n">
        <x:v>25</x:v>
      </x:c>
      <x:c r="K1385" s="16" t="n">
        <x:v>1</x:v>
      </x:c>
      <x:c r="L1385" s="16" t="n">
        <x:v>13</x:v>
      </x:c>
      <x:c r="M1385" s="16" t="n">
        <x:v>0</x:v>
      </x:c>
      <x:c r="N1385" s="16" t="n">
        <x:v>0</x:v>
      </x:c>
      <x:c r="O1385" s="16" t="n">
        <x:v>3</x:v>
      </x:c>
      <x:c r="P1385" s="16" t="n">
        <x:v>1</x:v>
      </x:c>
      <x:c r="Q1385" s="16" t="n">
        <x:v>1</x:v>
      </x:c>
      <x:c r="R1385" s="16" t="n">
        <x:v>0</x:v>
      </x:c>
      <x:c r="S1385" s="16" t="n">
        <x:v>3</x:v>
      </x:c>
      <x:c r="T1385" s="16" t="n">
        <x:v>7</x:v>
      </x:c>
      <x:c r="U1385" s="16" t="n">
        <x:v>0</x:v>
      </x:c>
      <x:c r="V1385" s="16" t="n">
        <x:v>0</x:v>
      </x:c>
      <x:c r="W1385" s="16" t="n">
        <x:v>0</x:v>
      </x:c>
      <x:c r="X1385" s="16" t="n">
        <x:v>0</x:v>
      </x:c>
      <x:c r="Y1385" s="16" t="n">
        <x:v>0</x:v>
      </x:c>
      <x:c r="Z1385" s="16" t="n">
        <x:v>0</x:v>
      </x:c>
      <x:c r="AA1385" s="16" t="n">
        <x:v>3</x:v>
      </x:c>
      <x:c r="AB1385" s="16" t="n">
        <x:v>11</x:v>
      </x:c>
      <x:c r="AC1385" s="16" t="n">
        <x:v>0</x:v>
      </x:c>
      <x:c r="AD1385" s="21" t="n">
        <x:f>IF(E1385="",MEDIAN($E$2:$E$2237),E1385)</x:f>
        <x:v>51371</x:v>
      </x:c>
      <x:c r="AE1385" s="17" t="n">
        <x:f>2014-B1385</x:f>
        <x:v>42</x:v>
      </x:c>
      <x:c r="AF1385" s="17" t="n">
        <x:f>F1385+G1385</x:f>
        <x:v>1</x:v>
      </x:c>
      <x:c r="AG1385" s="21" t="n">
        <x:f>SUM(J1385:O1385)</x:f>
        <x:v>42</x:v>
      </x:c>
      <x:c r="AH1385" s="17" t="n">
        <x:f>SUM(Q1385:S1385)</x:f>
        <x:v>4</x:v>
      </x:c>
      <x:c r="AI1385" s="17" t="n">
        <x:f>SUM(U1385:Y1385)</x:f>
        <x:v>0</x:v>
      </x:c>
      <x:c r="AJ1385" s="17" t="str">
        <x:f>IF(AE1385&lt;=34,"≤34",IF(AE1385&lt;=44,"35–44",IF(AE1385&lt;=54,"45–54",IF(AE1385&lt;=64,"55–64","65+"))))</x:f>
        <x:v>35–44</x:v>
      </x:c>
      <x:c r="AK1385" s="17" t="str">
        <x:f>IF(AG1385&gt;=1000,"High Value",IF(AG1385&gt;=300,"Mid Value","Low Value"))</x:f>
        <x:v>Low Value</x:v>
      </x:c>
      <x:c r="AL1385" s="17" t="str">
        <x:f>IF(AND(AI1385&gt;=1,I1385&lt;=50),"Priority 1",IF(AND(AG1385&gt;=1000,I1385&lt;=60),"Priority 2",IF(I1385&lt;=30,"Priority 3","Nurture")))</x:f>
        <x:v>Priority 3</x:v>
      </x:c>
    </x:row>
    <x:row r="1386">
      <x:c r="A1386" s="16" t="n">
        <x:v>8702</x:v>
      </x:c>
      <x:c r="B1386" s="16" t="n">
        <x:v>1976</x:v>
      </x:c>
      <x:c r="C1386" s="16" t="str">
        <x:v>2n Cycle</x:v>
      </x:c>
      <x:c r="D1386" s="16" t="str">
        <x:v>Together</x:v>
      </x:c>
      <x:c r="E1386" s="16" t="n">
        <x:v>26907</x:v>
      </x:c>
      <x:c r="F1386" s="16" t="n">
        <x:v>1</x:v>
      </x:c>
      <x:c r="G1386" s="16" t="n">
        <x:v>1</x:v>
      </x:c>
      <x:c r="H1386" s="16" t="str">
        <x:v>20-08-2013</x:v>
      </x:c>
      <x:c r="I1386" s="16" t="n">
        <x:v>10</x:v>
      </x:c>
      <x:c r="J1386" s="16" t="n">
        <x:v>9</x:v>
      </x:c>
      <x:c r="K1386" s="16" t="n">
        <x:v>1</x:v>
      </x:c>
      <x:c r="L1386" s="16" t="n">
        <x:v>7</x:v>
      </x:c>
      <x:c r="M1386" s="16" t="n">
        <x:v>0</x:v>
      </x:c>
      <x:c r="N1386" s="16" t="n">
        <x:v>3</x:v>
      </x:c>
      <x:c r="O1386" s="16" t="n">
        <x:v>2</x:v>
      </x:c>
      <x:c r="P1386" s="16" t="n">
        <x:v>2</x:v>
      </x:c>
      <x:c r="Q1386" s="16" t="n">
        <x:v>1</x:v>
      </x:c>
      <x:c r="R1386" s="16" t="n">
        <x:v>0</x:v>
      </x:c>
      <x:c r="S1386" s="16" t="n">
        <x:v>3</x:v>
      </x:c>
      <x:c r="T1386" s="16" t="n">
        <x:v>7</x:v>
      </x:c>
      <x:c r="U1386" s="16" t="n">
        <x:v>0</x:v>
      </x:c>
      <x:c r="V1386" s="16" t="n">
        <x:v>0</x:v>
      </x:c>
      <x:c r="W1386" s="16" t="n">
        <x:v>0</x:v>
      </x:c>
      <x:c r="X1386" s="16" t="n">
        <x:v>0</x:v>
      </x:c>
      <x:c r="Y1386" s="16" t="n">
        <x:v>0</x:v>
      </x:c>
      <x:c r="Z1386" s="16" t="n">
        <x:v>0</x:v>
      </x:c>
      <x:c r="AA1386" s="16" t="n">
        <x:v>3</x:v>
      </x:c>
      <x:c r="AB1386" s="16" t="n">
        <x:v>11</x:v>
      </x:c>
      <x:c r="AC1386" s="16" t="n">
        <x:v>0</x:v>
      </x:c>
      <x:c r="AD1386" s="21" t="n">
        <x:f>IF(E1386="",MEDIAN($E$2:$E$2237),E1386)</x:f>
        <x:v>26907</x:v>
      </x:c>
      <x:c r="AE1386" s="17" t="n">
        <x:f>2014-B1386</x:f>
        <x:v>38</x:v>
      </x:c>
      <x:c r="AF1386" s="17" t="n">
        <x:f>F1386+G1386</x:f>
        <x:v>2</x:v>
      </x:c>
      <x:c r="AG1386" s="21" t="n">
        <x:f>SUM(J1386:O1386)</x:f>
        <x:v>22</x:v>
      </x:c>
      <x:c r="AH1386" s="17" t="n">
        <x:f>SUM(Q1386:S1386)</x:f>
        <x:v>4</x:v>
      </x:c>
      <x:c r="AI1386" s="17" t="n">
        <x:f>SUM(U1386:Y1386)</x:f>
        <x:v>0</x:v>
      </x:c>
      <x:c r="AJ1386" s="17" t="str">
        <x:f>IF(AE1386&lt;=34,"≤34",IF(AE1386&lt;=44,"35–44",IF(AE1386&lt;=54,"45–54",IF(AE1386&lt;=64,"55–64","65+"))))</x:f>
        <x:v>35–44</x:v>
      </x:c>
      <x:c r="AK1386" s="17" t="str">
        <x:f>IF(AG1386&gt;=1000,"High Value",IF(AG1386&gt;=300,"Mid Value","Low Value"))</x:f>
        <x:v>Low Value</x:v>
      </x:c>
      <x:c r="AL1386" s="17" t="str">
        <x:f>IF(AND(AI1386&gt;=1,I1386&lt;=50),"Priority 1",IF(AND(AG1386&gt;=1000,I1386&lt;=60),"Priority 2",IF(I1386&lt;=30,"Priority 3","Nurture")))</x:f>
        <x:v>Priority 3</x:v>
      </x:c>
    </x:row>
    <x:row r="1387">
      <x:c r="A1387" s="16" t="n">
        <x:v>4791</x:v>
      </x:c>
      <x:c r="B1387" s="16" t="n">
        <x:v>1980</x:v>
      </x:c>
      <x:c r="C1387" s="16" t="str">
        <x:v>Graduation</x:v>
      </x:c>
      <x:c r="D1387" s="16" t="str">
        <x:v>Together</x:v>
      </x:c>
      <x:c r="E1387" s="16" t="n">
        <x:v>44964</x:v>
      </x:c>
      <x:c r="F1387" s="16" t="n">
        <x:v>1</x:v>
      </x:c>
      <x:c r="G1387" s="16" t="n">
        <x:v>1</x:v>
      </x:c>
      <x:c r="H1387" s="16" t="str">
        <x:v>16-12-2012</x:v>
      </x:c>
      <x:c r="I1387" s="16" t="n">
        <x:v>35</x:v>
      </x:c>
      <x:c r="J1387" s="16" t="n">
        <x:v>19</x:v>
      </x:c>
      <x:c r="K1387" s="16" t="n">
        <x:v>1</x:v>
      </x:c>
      <x:c r="L1387" s="16" t="n">
        <x:v>17</x:v>
      </x:c>
      <x:c r="M1387" s="16" t="n">
        <x:v>2</x:v>
      </x:c>
      <x:c r="N1387" s="16" t="n">
        <x:v>0</x:v>
      </x:c>
      <x:c r="O1387" s="16" t="n">
        <x:v>2</x:v>
      </x:c>
      <x:c r="P1387" s="16" t="n">
        <x:v>1</x:v>
      </x:c>
      <x:c r="Q1387" s="16" t="n">
        <x:v>1</x:v>
      </x:c>
      <x:c r="R1387" s="16" t="n">
        <x:v>0</x:v>
      </x:c>
      <x:c r="S1387" s="16" t="n">
        <x:v>3</x:v>
      </x:c>
      <x:c r="T1387" s="16" t="n">
        <x:v>8</x:v>
      </x:c>
      <x:c r="U1387" s="16" t="n">
        <x:v>0</x:v>
      </x:c>
      <x:c r="V1387" s="16" t="n">
        <x:v>0</x:v>
      </x:c>
      <x:c r="W1387" s="16" t="n">
        <x:v>0</x:v>
      </x:c>
      <x:c r="X1387" s="16" t="n">
        <x:v>0</x:v>
      </x:c>
      <x:c r="Y1387" s="16" t="n">
        <x:v>0</x:v>
      </x:c>
      <x:c r="Z1387" s="16" t="n">
        <x:v>0</x:v>
      </x:c>
      <x:c r="AA1387" s="16" t="n">
        <x:v>3</x:v>
      </x:c>
      <x:c r="AB1387" s="16" t="n">
        <x:v>11</x:v>
      </x:c>
      <x:c r="AC1387" s="16" t="n">
        <x:v>0</x:v>
      </x:c>
      <x:c r="AD1387" s="21" t="n">
        <x:f>IF(E1387="",MEDIAN($E$2:$E$2237),E1387)</x:f>
        <x:v>44964</x:v>
      </x:c>
      <x:c r="AE1387" s="17" t="n">
        <x:f>2014-B1387</x:f>
        <x:v>34</x:v>
      </x:c>
      <x:c r="AF1387" s="17" t="n">
        <x:f>F1387+G1387</x:f>
        <x:v>2</x:v>
      </x:c>
      <x:c r="AG1387" s="21" t="n">
        <x:f>SUM(J1387:O1387)</x:f>
        <x:v>41</x:v>
      </x:c>
      <x:c r="AH1387" s="17" t="n">
        <x:f>SUM(Q1387:S1387)</x:f>
        <x:v>4</x:v>
      </x:c>
      <x:c r="AI1387" s="17" t="n">
        <x:f>SUM(U1387:Y1387)</x:f>
        <x:v>0</x:v>
      </x:c>
      <x:c r="AJ1387" s="17" t="str">
        <x:f>IF(AE1387&lt;=34,"≤34",IF(AE1387&lt;=44,"35–44",IF(AE1387&lt;=54,"45–54",IF(AE1387&lt;=64,"55–64","65+"))))</x:f>
        <x:v>≤34</x:v>
      </x:c>
      <x:c r="AK1387" s="17" t="str">
        <x:f>IF(AG1387&gt;=1000,"High Value",IF(AG1387&gt;=300,"Mid Value","Low Value"))</x:f>
        <x:v>Low Value</x:v>
      </x:c>
      <x:c r="AL1387" s="17" t="str">
        <x:f>IF(AND(AI1387&gt;=1,I1387&lt;=50),"Priority 1",IF(AND(AG1387&gt;=1000,I1387&lt;=60),"Priority 2",IF(I1387&lt;=30,"Priority 3","Nurture")))</x:f>
        <x:v>Nurture</x:v>
      </x:c>
    </x:row>
    <x:row r="1388">
      <x:c r="A1388" s="16" t="n">
        <x:v>2963</x:v>
      </x:c>
      <x:c r="B1388" s="16" t="n">
        <x:v>1979</x:v>
      </x:c>
      <x:c r="C1388" s="16" t="str">
        <x:v>Graduation</x:v>
      </x:c>
      <x:c r="D1388" s="16" t="str">
        <x:v>Together</x:v>
      </x:c>
      <x:c r="E1388" s="16" t="n">
        <x:v>75507</x:v>
      </x:c>
      <x:c r="F1388" s="16" t="n">
        <x:v>0</x:v>
      </x:c>
      <x:c r="G1388" s="16" t="n">
        <x:v>0</x:v>
      </x:c>
      <x:c r="H1388" s="16" t="str">
        <x:v>02-05-2014</x:v>
      </x:c>
      <x:c r="I1388" s="16" t="n">
        <x:v>56</x:v>
      </x:c>
      <x:c r="J1388" s="16" t="n">
        <x:v>709</x:v>
      </x:c>
      <x:c r="K1388" s="16" t="n">
        <x:v>93</x:v>
      </x:c>
      <x:c r="L1388" s="16" t="n">
        <x:v>374</x:v>
      </x:c>
      <x:c r="M1388" s="16" t="n">
        <x:v>104</x:v>
      </x:c>
      <x:c r="N1388" s="16" t="n">
        <x:v>80</x:v>
      </x:c>
      <x:c r="O1388" s="16" t="n">
        <x:v>80</x:v>
      </x:c>
      <x:c r="P1388" s="16" t="n">
        <x:v>1</x:v>
      </x:c>
      <x:c r="Q1388" s="16" t="n">
        <x:v>8</x:v>
      </x:c>
      <x:c r="R1388" s="16" t="n">
        <x:v>6</x:v>
      </x:c>
      <x:c r="S1388" s="16" t="n">
        <x:v>6</x:v>
      </x:c>
      <x:c r="T1388" s="16" t="n">
        <x:v>3</x:v>
      </x:c>
      <x:c r="U1388" s="16" t="n">
        <x:v>0</x:v>
      </x:c>
      <x:c r="V1388" s="16" t="n">
        <x:v>0</x:v>
      </x:c>
      <x:c r="W1388" s="16" t="n">
        <x:v>0</x:v>
      </x:c>
      <x:c r="X1388" s="16" t="n">
        <x:v>0</x:v>
      </x:c>
      <x:c r="Y1388" s="16" t="n">
        <x:v>0</x:v>
      </x:c>
      <x:c r="Z1388" s="16" t="n">
        <x:v>0</x:v>
      </x:c>
      <x:c r="AA1388" s="16" t="n">
        <x:v>3</x:v>
      </x:c>
      <x:c r="AB1388" s="16" t="n">
        <x:v>11</x:v>
      </x:c>
      <x:c r="AC1388" s="16" t="n">
        <x:v>0</x:v>
      </x:c>
      <x:c r="AD1388" s="21" t="n">
        <x:f>IF(E1388="",MEDIAN($E$2:$E$2237),E1388)</x:f>
        <x:v>75507</x:v>
      </x:c>
      <x:c r="AE1388" s="17" t="n">
        <x:f>2014-B1388</x:f>
        <x:v>35</x:v>
      </x:c>
      <x:c r="AF1388" s="17" t="n">
        <x:f>F1388+G1388</x:f>
        <x:v>0</x:v>
      </x:c>
      <x:c r="AG1388" s="21" t="n">
        <x:f>SUM(J1388:O1388)</x:f>
        <x:v>1440</x:v>
      </x:c>
      <x:c r="AH1388" s="17" t="n">
        <x:f>SUM(Q1388:S1388)</x:f>
        <x:v>20</x:v>
      </x:c>
      <x:c r="AI1388" s="17" t="n">
        <x:f>SUM(U1388:Y1388)</x:f>
        <x:v>0</x:v>
      </x:c>
      <x:c r="AJ1388" s="17" t="str">
        <x:f>IF(AE1388&lt;=34,"≤34",IF(AE1388&lt;=44,"35–44",IF(AE1388&lt;=54,"45–54",IF(AE1388&lt;=64,"55–64","65+"))))</x:f>
        <x:v>35–44</x:v>
      </x:c>
      <x:c r="AK1388" s="17" t="str">
        <x:f>IF(AG1388&gt;=1000,"High Value",IF(AG1388&gt;=300,"Mid Value","Low Value"))</x:f>
        <x:v>High Value</x:v>
      </x:c>
      <x:c r="AL1388" s="17" t="str">
        <x:f>IF(AND(AI1388&gt;=1,I1388&lt;=50),"Priority 1",IF(AND(AG1388&gt;=1000,I1388&lt;=60),"Priority 2",IF(I1388&lt;=30,"Priority 3","Nurture")))</x:f>
        <x:v>Priority 2</x:v>
      </x:c>
    </x:row>
    <x:row r="1389">
      <x:c r="A1389" s="16" t="n">
        <x:v>8216</x:v>
      </x:c>
      <x:c r="B1389" s="16" t="n">
        <x:v>1972</x:v>
      </x:c>
      <x:c r="C1389" s="16" t="str">
        <x:v>Master</x:v>
      </x:c>
      <x:c r="D1389" s="16" t="str">
        <x:v>Married</x:v>
      </x:c>
      <x:c r="E1389" s="16" t="n">
        <x:v>53761</x:v>
      </x:c>
      <x:c r="F1389" s="16" t="n">
        <x:v>1</x:v>
      </x:c>
      <x:c r="G1389" s="16" t="n">
        <x:v>1</x:v>
      </x:c>
      <x:c r="H1389" s="16" t="str">
        <x:v>11-10-2013</x:v>
      </x:c>
      <x:c r="I1389" s="16" t="n">
        <x:v>7</x:v>
      </x:c>
      <x:c r="J1389" s="16" t="n">
        <x:v>158</x:v>
      </x:c>
      <x:c r="K1389" s="16" t="n">
        <x:v>0</x:v>
      </x:c>
      <x:c r="L1389" s="16" t="n">
        <x:v>76</x:v>
      </x:c>
      <x:c r="M1389" s="16" t="n">
        <x:v>13</x:v>
      </x:c>
      <x:c r="N1389" s="16" t="n">
        <x:v>7</x:v>
      </x:c>
      <x:c r="O1389" s="16" t="n">
        <x:v>71</x:v>
      </x:c>
      <x:c r="P1389" s="16" t="n">
        <x:v>6</x:v>
      </x:c>
      <x:c r="Q1389" s="16" t="n">
        <x:v>4</x:v>
      </x:c>
      <x:c r="R1389" s="16" t="n">
        <x:v>4</x:v>
      </x:c>
      <x:c r="S1389" s="16" t="n">
        <x:v>3</x:v>
      </x:c>
      <x:c r="T1389" s="16" t="n">
        <x:v>5</x:v>
      </x:c>
      <x:c r="U1389" s="16" t="n">
        <x:v>0</x:v>
      </x:c>
      <x:c r="V1389" s="16" t="n">
        <x:v>0</x:v>
      </x:c>
      <x:c r="W1389" s="16" t="n">
        <x:v>0</x:v>
      </x:c>
      <x:c r="X1389" s="16" t="n">
        <x:v>0</x:v>
      </x:c>
      <x:c r="Y1389" s="16" t="n">
        <x:v>0</x:v>
      </x:c>
      <x:c r="Z1389" s="16" t="n">
        <x:v>0</x:v>
      </x:c>
      <x:c r="AA1389" s="16" t="n">
        <x:v>3</x:v>
      </x:c>
      <x:c r="AB1389" s="16" t="n">
        <x:v>11</x:v>
      </x:c>
      <x:c r="AC1389" s="16" t="n">
        <x:v>0</x:v>
      </x:c>
      <x:c r="AD1389" s="21" t="n">
        <x:f>IF(E1389="",MEDIAN($E$2:$E$2237),E1389)</x:f>
        <x:v>53761</x:v>
      </x:c>
      <x:c r="AE1389" s="17" t="n">
        <x:f>2014-B1389</x:f>
        <x:v>42</x:v>
      </x:c>
      <x:c r="AF1389" s="17" t="n">
        <x:f>F1389+G1389</x:f>
        <x:v>2</x:v>
      </x:c>
      <x:c r="AG1389" s="21" t="n">
        <x:f>SUM(J1389:O1389)</x:f>
        <x:v>325</x:v>
      </x:c>
      <x:c r="AH1389" s="17" t="n">
        <x:f>SUM(Q1389:S1389)</x:f>
        <x:v>11</x:v>
      </x:c>
      <x:c r="AI1389" s="17" t="n">
        <x:f>SUM(U1389:Y1389)</x:f>
        <x:v>0</x:v>
      </x:c>
      <x:c r="AJ1389" s="17" t="str">
        <x:f>IF(AE1389&lt;=34,"≤34",IF(AE1389&lt;=44,"35–44",IF(AE1389&lt;=54,"45–54",IF(AE1389&lt;=64,"55–64","65+"))))</x:f>
        <x:v>35–44</x:v>
      </x:c>
      <x:c r="AK1389" s="17" t="str">
        <x:f>IF(AG1389&gt;=1000,"High Value",IF(AG1389&gt;=300,"Mid Value","Low Value"))</x:f>
        <x:v>Mid Value</x:v>
      </x:c>
      <x:c r="AL1389" s="17" t="str">
        <x:f>IF(AND(AI1389&gt;=1,I1389&lt;=50),"Priority 1",IF(AND(AG1389&gt;=1000,I1389&lt;=60),"Priority 2",IF(I1389&lt;=30,"Priority 3","Nurture")))</x:f>
        <x:v>Priority 3</x:v>
      </x:c>
    </x:row>
    <x:row r="1390">
      <x:c r="A1390" s="16" t="n">
        <x:v>8140</x:v>
      </x:c>
      <x:c r="B1390" s="16" t="n">
        <x:v>1973</x:v>
      </x:c>
      <x:c r="C1390" s="16" t="str">
        <x:v>Graduation</x:v>
      </x:c>
      <x:c r="D1390" s="16" t="str">
        <x:v>Together</x:v>
      </x:c>
      <x:c r="E1390" s="16" t="n">
        <x:v>22682</x:v>
      </x:c>
      <x:c r="F1390" s="16" t="n">
        <x:v>1</x:v>
      </x:c>
      <x:c r="G1390" s="16" t="n">
        <x:v>0</x:v>
      </x:c>
      <x:c r="H1390" s="16" t="str">
        <x:v>03-10-2013</x:v>
      </x:c>
      <x:c r="I1390" s="16" t="n">
        <x:v>51</x:v>
      </x:c>
      <x:c r="J1390" s="16" t="n">
        <x:v>10</x:v>
      </x:c>
      <x:c r="K1390" s="16" t="n">
        <x:v>14</x:v>
      </x:c>
      <x:c r="L1390" s="16" t="n">
        <x:v>29</x:v>
      </x:c>
      <x:c r="M1390" s="16" t="n">
        <x:v>4</x:v>
      </x:c>
      <x:c r="N1390" s="16" t="n">
        <x:v>2</x:v>
      </x:c>
      <x:c r="O1390" s="16" t="n">
        <x:v>36</x:v>
      </x:c>
      <x:c r="P1390" s="16" t="n">
        <x:v>3</x:v>
      </x:c>
      <x:c r="Q1390" s="16" t="n">
        <x:v>2</x:v>
      </x:c>
      <x:c r="R1390" s="16" t="n">
        <x:v>1</x:v>
      </x:c>
      <x:c r="S1390" s="16" t="n">
        <x:v>4</x:v>
      </x:c>
      <x:c r="T1390" s="16" t="n">
        <x:v>4</x:v>
      </x:c>
      <x:c r="U1390" s="16" t="n">
        <x:v>0</x:v>
      </x:c>
      <x:c r="V1390" s="16" t="n">
        <x:v>0</x:v>
      </x:c>
      <x:c r="W1390" s="16" t="n">
        <x:v>0</x:v>
      </x:c>
      <x:c r="X1390" s="16" t="n">
        <x:v>0</x:v>
      </x:c>
      <x:c r="Y1390" s="16" t="n">
        <x:v>0</x:v>
      </x:c>
      <x:c r="Z1390" s="16" t="n">
        <x:v>0</x:v>
      </x:c>
      <x:c r="AA1390" s="16" t="n">
        <x:v>3</x:v>
      </x:c>
      <x:c r="AB1390" s="16" t="n">
        <x:v>11</x:v>
      </x:c>
      <x:c r="AC1390" s="16" t="n">
        <x:v>0</x:v>
      </x:c>
      <x:c r="AD1390" s="21" t="n">
        <x:f>IF(E1390="",MEDIAN($E$2:$E$2237),E1390)</x:f>
        <x:v>22682</x:v>
      </x:c>
      <x:c r="AE1390" s="17" t="n">
        <x:f>2014-B1390</x:f>
        <x:v>41</x:v>
      </x:c>
      <x:c r="AF1390" s="17" t="n">
        <x:f>F1390+G1390</x:f>
        <x:v>1</x:v>
      </x:c>
      <x:c r="AG1390" s="21" t="n">
        <x:f>SUM(J1390:O1390)</x:f>
        <x:v>95</x:v>
      </x:c>
      <x:c r="AH1390" s="17" t="n">
        <x:f>SUM(Q1390:S1390)</x:f>
        <x:v>7</x:v>
      </x:c>
      <x:c r="AI1390" s="17" t="n">
        <x:f>SUM(U1390:Y1390)</x:f>
        <x:v>0</x:v>
      </x:c>
      <x:c r="AJ1390" s="17" t="str">
        <x:f>IF(AE1390&lt;=34,"≤34",IF(AE1390&lt;=44,"35–44",IF(AE1390&lt;=54,"45–54",IF(AE1390&lt;=64,"55–64","65+"))))</x:f>
        <x:v>35–44</x:v>
      </x:c>
      <x:c r="AK1390" s="17" t="str">
        <x:f>IF(AG1390&gt;=1000,"High Value",IF(AG1390&gt;=300,"Mid Value","Low Value"))</x:f>
        <x:v>Low Value</x:v>
      </x:c>
      <x:c r="AL1390" s="17" t="str">
        <x:f>IF(AND(AI1390&gt;=1,I1390&lt;=50),"Priority 1",IF(AND(AG1390&gt;=1000,I1390&lt;=60),"Priority 2",IF(I1390&lt;=30,"Priority 3","Nurture")))</x:f>
        <x:v>Nurture</x:v>
      </x:c>
    </x:row>
    <x:row r="1391">
      <x:c r="A1391" s="16" t="n">
        <x:v>10146</x:v>
      </x:c>
      <x:c r="B1391" s="16" t="n">
        <x:v>1972</x:v>
      </x:c>
      <x:c r="C1391" s="16" t="str">
        <x:v>PhD</x:v>
      </x:c>
      <x:c r="D1391" s="16" t="str">
        <x:v>Together</x:v>
      </x:c>
      <x:c r="E1391" s="16" t="n">
        <x:v>38887</x:v>
      </x:c>
      <x:c r="F1391" s="16" t="n">
        <x:v>1</x:v>
      </x:c>
      <x:c r="G1391" s="16" t="n">
        <x:v>0</x:v>
      </x:c>
      <x:c r="H1391" s="16" t="str">
        <x:v>02-03-2014</x:v>
      </x:c>
      <x:c r="I1391" s="16" t="n">
        <x:v>17</x:v>
      </x:c>
      <x:c r="J1391" s="16" t="n">
        <x:v>25</x:v>
      </x:c>
      <x:c r="K1391" s="16" t="n">
        <x:v>1</x:v>
      </x:c>
      <x:c r="L1391" s="16" t="n">
        <x:v>13</x:v>
      </x:c>
      <x:c r="M1391" s="16" t="n">
        <x:v>0</x:v>
      </x:c>
      <x:c r="N1391" s="16" t="n">
        <x:v>0</x:v>
      </x:c>
      <x:c r="O1391" s="16" t="n">
        <x:v>3</x:v>
      </x:c>
      <x:c r="P1391" s="16" t="n">
        <x:v>1</x:v>
      </x:c>
      <x:c r="Q1391" s="16" t="n">
        <x:v>1</x:v>
      </x:c>
      <x:c r="R1391" s="16" t="n">
        <x:v>0</x:v>
      </x:c>
      <x:c r="S1391" s="16" t="n">
        <x:v>3</x:v>
      </x:c>
      <x:c r="T1391" s="16" t="n">
        <x:v>7</x:v>
      </x:c>
      <x:c r="U1391" s="16" t="n">
        <x:v>0</x:v>
      </x:c>
      <x:c r="V1391" s="16" t="n">
        <x:v>0</x:v>
      </x:c>
      <x:c r="W1391" s="16" t="n">
        <x:v>0</x:v>
      </x:c>
      <x:c r="X1391" s="16" t="n">
        <x:v>0</x:v>
      </x:c>
      <x:c r="Y1391" s="16" t="n">
        <x:v>0</x:v>
      </x:c>
      <x:c r="Z1391" s="16" t="n">
        <x:v>0</x:v>
      </x:c>
      <x:c r="AA1391" s="16" t="n">
        <x:v>3</x:v>
      </x:c>
      <x:c r="AB1391" s="16" t="n">
        <x:v>11</x:v>
      </x:c>
      <x:c r="AC1391" s="16" t="n">
        <x:v>0</x:v>
      </x:c>
      <x:c r="AD1391" s="21" t="n">
        <x:f>IF(E1391="",MEDIAN($E$2:$E$2237),E1391)</x:f>
        <x:v>38887</x:v>
      </x:c>
      <x:c r="AE1391" s="17" t="n">
        <x:f>2014-B1391</x:f>
        <x:v>42</x:v>
      </x:c>
      <x:c r="AF1391" s="17" t="n">
        <x:f>F1391+G1391</x:f>
        <x:v>1</x:v>
      </x:c>
      <x:c r="AG1391" s="21" t="n">
        <x:f>SUM(J1391:O1391)</x:f>
        <x:v>42</x:v>
      </x:c>
      <x:c r="AH1391" s="17" t="n">
        <x:f>SUM(Q1391:S1391)</x:f>
        <x:v>4</x:v>
      </x:c>
      <x:c r="AI1391" s="17" t="n">
        <x:f>SUM(U1391:Y1391)</x:f>
        <x:v>0</x:v>
      </x:c>
      <x:c r="AJ1391" s="17" t="str">
        <x:f>IF(AE1391&lt;=34,"≤34",IF(AE1391&lt;=44,"35–44",IF(AE1391&lt;=54,"45–54",IF(AE1391&lt;=64,"55–64","65+"))))</x:f>
        <x:v>35–44</x:v>
      </x:c>
      <x:c r="AK1391" s="17" t="str">
        <x:f>IF(AG1391&gt;=1000,"High Value",IF(AG1391&gt;=300,"Mid Value","Low Value"))</x:f>
        <x:v>Low Value</x:v>
      </x:c>
      <x:c r="AL1391" s="17" t="str">
        <x:f>IF(AND(AI1391&gt;=1,I1391&lt;=50),"Priority 1",IF(AND(AG1391&gt;=1000,I1391&lt;=60),"Priority 2",IF(I1391&lt;=30,"Priority 3","Nurture")))</x:f>
        <x:v>Priority 3</x:v>
      </x:c>
    </x:row>
    <x:row r="1392">
      <x:c r="A1392" s="16" t="n">
        <x:v>5289</x:v>
      </x:c>
      <x:c r="B1392" s="16" t="n">
        <x:v>1975</x:v>
      </x:c>
      <x:c r="C1392" s="16" t="str">
        <x:v>2n Cycle</x:v>
      </x:c>
      <x:c r="D1392" s="16" t="str">
        <x:v>Single</x:v>
      </x:c>
      <x:c r="E1392" s="16" t="n">
        <x:v>41658</x:v>
      </x:c>
      <x:c r="F1392" s="16" t="n">
        <x:v>1</x:v>
      </x:c>
      <x:c r="G1392" s="16" t="n">
        <x:v>1</x:v>
      </x:c>
      <x:c r="H1392" s="16" t="str">
        <x:v>09-11-2012</x:v>
      </x:c>
      <x:c r="I1392" s="16" t="n">
        <x:v>30</x:v>
      </x:c>
      <x:c r="J1392" s="16" t="n">
        <x:v>8</x:v>
      </x:c>
      <x:c r="K1392" s="16" t="n">
        <x:v>4</x:v>
      </x:c>
      <x:c r="L1392" s="16" t="n">
        <x:v>12</x:v>
      </x:c>
      <x:c r="M1392" s="16" t="n">
        <x:v>15</x:v>
      </x:c>
      <x:c r="N1392" s="16" t="n">
        <x:v>4</x:v>
      </x:c>
      <x:c r="O1392" s="16" t="n">
        <x:v>29</x:v>
      </x:c>
      <x:c r="P1392" s="16" t="n">
        <x:v>2</x:v>
      </x:c>
      <x:c r="Q1392" s="16" t="n">
        <x:v>1</x:v>
      </x:c>
      <x:c r="R1392" s="16" t="n">
        <x:v>1</x:v>
      </x:c>
      <x:c r="S1392" s="16" t="n">
        <x:v>2</x:v>
      </x:c>
      <x:c r="T1392" s="16" t="n">
        <x:v>4</x:v>
      </x:c>
      <x:c r="U1392" s="16" t="n">
        <x:v>0</x:v>
      </x:c>
      <x:c r="V1392" s="16" t="n">
        <x:v>0</x:v>
      </x:c>
      <x:c r="W1392" s="16" t="n">
        <x:v>0</x:v>
      </x:c>
      <x:c r="X1392" s="16" t="n">
        <x:v>0</x:v>
      </x:c>
      <x:c r="Y1392" s="16" t="n">
        <x:v>0</x:v>
      </x:c>
      <x:c r="Z1392" s="16" t="n">
        <x:v>0</x:v>
      </x:c>
      <x:c r="AA1392" s="16" t="n">
        <x:v>3</x:v>
      </x:c>
      <x:c r="AB1392" s="16" t="n">
        <x:v>11</x:v>
      </x:c>
      <x:c r="AC1392" s="16" t="n">
        <x:v>0</x:v>
      </x:c>
      <x:c r="AD1392" s="21" t="n">
        <x:f>IF(E1392="",MEDIAN($E$2:$E$2237),E1392)</x:f>
        <x:v>41658</x:v>
      </x:c>
      <x:c r="AE1392" s="17" t="n">
        <x:f>2014-B1392</x:f>
        <x:v>39</x:v>
      </x:c>
      <x:c r="AF1392" s="17" t="n">
        <x:f>F1392+G1392</x:f>
        <x:v>2</x:v>
      </x:c>
      <x:c r="AG1392" s="21" t="n">
        <x:f>SUM(J1392:O1392)</x:f>
        <x:v>72</x:v>
      </x:c>
      <x:c r="AH1392" s="17" t="n">
        <x:f>SUM(Q1392:S1392)</x:f>
        <x:v>4</x:v>
      </x:c>
      <x:c r="AI1392" s="17" t="n">
        <x:f>SUM(U1392:Y1392)</x:f>
        <x:v>0</x:v>
      </x:c>
      <x:c r="AJ1392" s="17" t="str">
        <x:f>IF(AE1392&lt;=34,"≤34",IF(AE1392&lt;=44,"35–44",IF(AE1392&lt;=54,"45–54",IF(AE1392&lt;=64,"55–64","65+"))))</x:f>
        <x:v>35–44</x:v>
      </x:c>
      <x:c r="AK1392" s="17" t="str">
        <x:f>IF(AG1392&gt;=1000,"High Value",IF(AG1392&gt;=300,"Mid Value","Low Value"))</x:f>
        <x:v>Low Value</x:v>
      </x:c>
      <x:c r="AL1392" s="17" t="str">
        <x:f>IF(AND(AI1392&gt;=1,I1392&lt;=50),"Priority 1",IF(AND(AG1392&gt;=1000,I1392&lt;=60),"Priority 2",IF(I1392&lt;=30,"Priority 3","Nurture")))</x:f>
        <x:v>Priority 3</x:v>
      </x:c>
    </x:row>
    <x:row r="1393">
      <x:c r="A1393" s="16" t="n">
        <x:v>2587</x:v>
      </x:c>
      <x:c r="B1393" s="16" t="n">
        <x:v>1972</x:v>
      </x:c>
      <x:c r="C1393" s="16" t="str">
        <x:v>PhD</x:v>
      </x:c>
      <x:c r="D1393" s="16" t="str">
        <x:v>Married</x:v>
      </x:c>
      <x:c r="E1393" s="16" t="n">
        <x:v>29791</x:v>
      </x:c>
      <x:c r="F1393" s="16" t="n">
        <x:v>1</x:v>
      </x:c>
      <x:c r="G1393" s="16" t="n">
        <x:v>0</x:v>
      </x:c>
      <x:c r="H1393" s="16" t="str">
        <x:v>15-05-2014</x:v>
      </x:c>
      <x:c r="I1393" s="16" t="n">
        <x:v>21</x:v>
      </x:c>
      <x:c r="J1393" s="16" t="n">
        <x:v>14</x:v>
      </x:c>
      <x:c r="K1393" s="16" t="n">
        <x:v>0</x:v>
      </x:c>
      <x:c r="L1393" s="16" t="n">
        <x:v>6</x:v>
      </x:c>
      <x:c r="M1393" s="16" t="n">
        <x:v>0</x:v>
      </x:c>
      <x:c r="N1393" s="16" t="n">
        <x:v>0</x:v>
      </x:c>
      <x:c r="O1393" s="16" t="n">
        <x:v>0</x:v>
      </x:c>
      <x:c r="P1393" s="16" t="n">
        <x:v>2</x:v>
      </x:c>
      <x:c r="Q1393" s="16" t="n">
        <x:v>2</x:v>
      </x:c>
      <x:c r="R1393" s="16" t="n">
        <x:v>0</x:v>
      </x:c>
      <x:c r="S1393" s="16" t="n">
        <x:v>3</x:v>
      </x:c>
      <x:c r="T1393" s="16" t="n">
        <x:v>5</x:v>
      </x:c>
      <x:c r="U1393" s="16" t="n">
        <x:v>0</x:v>
      </x:c>
      <x:c r="V1393" s="16" t="n">
        <x:v>0</x:v>
      </x:c>
      <x:c r="W1393" s="16" t="n">
        <x:v>0</x:v>
      </x:c>
      <x:c r="X1393" s="16" t="n">
        <x:v>0</x:v>
      </x:c>
      <x:c r="Y1393" s="16" t="n">
        <x:v>0</x:v>
      </x:c>
      <x:c r="Z1393" s="16" t="n">
        <x:v>0</x:v>
      </x:c>
      <x:c r="AA1393" s="16" t="n">
        <x:v>3</x:v>
      </x:c>
      <x:c r="AB1393" s="16" t="n">
        <x:v>11</x:v>
      </x:c>
      <x:c r="AC1393" s="16" t="n">
        <x:v>0</x:v>
      </x:c>
      <x:c r="AD1393" s="21" t="n">
        <x:f>IF(E1393="",MEDIAN($E$2:$E$2237),E1393)</x:f>
        <x:v>29791</x:v>
      </x:c>
      <x:c r="AE1393" s="17" t="n">
        <x:f>2014-B1393</x:f>
        <x:v>42</x:v>
      </x:c>
      <x:c r="AF1393" s="17" t="n">
        <x:f>F1393+G1393</x:f>
        <x:v>1</x:v>
      </x:c>
      <x:c r="AG1393" s="21" t="n">
        <x:f>SUM(J1393:O1393)</x:f>
        <x:v>20</x:v>
      </x:c>
      <x:c r="AH1393" s="17" t="n">
        <x:f>SUM(Q1393:S1393)</x:f>
        <x:v>5</x:v>
      </x:c>
      <x:c r="AI1393" s="17" t="n">
        <x:f>SUM(U1393:Y1393)</x:f>
        <x:v>0</x:v>
      </x:c>
      <x:c r="AJ1393" s="17" t="str">
        <x:f>IF(AE1393&lt;=34,"≤34",IF(AE1393&lt;=44,"35–44",IF(AE1393&lt;=54,"45–54",IF(AE1393&lt;=64,"55–64","65+"))))</x:f>
        <x:v>35–44</x:v>
      </x:c>
      <x:c r="AK1393" s="17" t="str">
        <x:f>IF(AG1393&gt;=1000,"High Value",IF(AG1393&gt;=300,"Mid Value","Low Value"))</x:f>
        <x:v>Low Value</x:v>
      </x:c>
      <x:c r="AL1393" s="17" t="str">
        <x:f>IF(AND(AI1393&gt;=1,I1393&lt;=50),"Priority 1",IF(AND(AG1393&gt;=1000,I1393&lt;=60),"Priority 2",IF(I1393&lt;=30,"Priority 3","Nurture")))</x:f>
        <x:v>Priority 3</x:v>
      </x:c>
    </x:row>
    <x:row r="1394">
      <x:c r="A1394" s="16" t="n">
        <x:v>4405</x:v>
      </x:c>
      <x:c r="B1394" s="16" t="n">
        <x:v>1956</x:v>
      </x:c>
      <x:c r="C1394" s="16" t="str">
        <x:v>Master</x:v>
      </x:c>
      <x:c r="D1394" s="16" t="str">
        <x:v>Married</x:v>
      </x:c>
      <x:c r="E1394" s="16" t="n">
        <x:v>63915</x:v>
      </x:c>
      <x:c r="F1394" s="16" t="n">
        <x:v>0</x:v>
      </x:c>
      <x:c r="G1394" s="16" t="n">
        <x:v>2</x:v>
      </x:c>
      <x:c r="H1394" s="16" t="str">
        <x:v>30-07-2013</x:v>
      </x:c>
      <x:c r="I1394" s="16" t="n">
        <x:v>2</x:v>
      </x:c>
      <x:c r="J1394" s="16" t="n">
        <x:v>622</x:v>
      </x:c>
      <x:c r="K1394" s="16" t="n">
        <x:v>7</x:v>
      </x:c>
      <x:c r="L1394" s="16" t="n">
        <x:v>115</x:v>
      </x:c>
      <x:c r="M1394" s="16" t="n">
        <x:v>30</x:v>
      </x:c>
      <x:c r="N1394" s="16" t="n">
        <x:v>0</x:v>
      </x:c>
      <x:c r="O1394" s="16" t="n">
        <x:v>15</x:v>
      </x:c>
      <x:c r="P1394" s="16" t="n">
        <x:v>2</x:v>
      </x:c>
      <x:c r="Q1394" s="16" t="n">
        <x:v>6</x:v>
      </x:c>
      <x:c r="R1394" s="16" t="n">
        <x:v>3</x:v>
      </x:c>
      <x:c r="S1394" s="16" t="n">
        <x:v>12</x:v>
      </x:c>
      <x:c r="T1394" s="16" t="n">
        <x:v>5</x:v>
      </x:c>
      <x:c r="U1394" s="16" t="n">
        <x:v>0</x:v>
      </x:c>
      <x:c r="V1394" s="16" t="n">
        <x:v>0</x:v>
      </x:c>
      <x:c r="W1394" s="16" t="n">
        <x:v>0</x:v>
      </x:c>
      <x:c r="X1394" s="16" t="n">
        <x:v>0</x:v>
      </x:c>
      <x:c r="Y1394" s="16" t="n">
        <x:v>0</x:v>
      </x:c>
      <x:c r="Z1394" s="16" t="n">
        <x:v>0</x:v>
      </x:c>
      <x:c r="AA1394" s="16" t="n">
        <x:v>3</x:v>
      </x:c>
      <x:c r="AB1394" s="16" t="n">
        <x:v>11</x:v>
      </x:c>
      <x:c r="AC1394" s="16" t="n">
        <x:v>0</x:v>
      </x:c>
      <x:c r="AD1394" s="21" t="n">
        <x:f>IF(E1394="",MEDIAN($E$2:$E$2237),E1394)</x:f>
        <x:v>63915</x:v>
      </x:c>
      <x:c r="AE1394" s="17" t="n">
        <x:f>2014-B1394</x:f>
        <x:v>58</x:v>
      </x:c>
      <x:c r="AF1394" s="17" t="n">
        <x:f>F1394+G1394</x:f>
        <x:v>2</x:v>
      </x:c>
      <x:c r="AG1394" s="21" t="n">
        <x:f>SUM(J1394:O1394)</x:f>
        <x:v>789</x:v>
      </x:c>
      <x:c r="AH1394" s="17" t="n">
        <x:f>SUM(Q1394:S1394)</x:f>
        <x:v>21</x:v>
      </x:c>
      <x:c r="AI1394" s="17" t="n">
        <x:f>SUM(U1394:Y1394)</x:f>
        <x:v>0</x:v>
      </x:c>
      <x:c r="AJ1394" s="17" t="str">
        <x:f>IF(AE1394&lt;=34,"≤34",IF(AE1394&lt;=44,"35–44",IF(AE1394&lt;=54,"45–54",IF(AE1394&lt;=64,"55–64","65+"))))</x:f>
        <x:v>55–64</x:v>
      </x:c>
      <x:c r="AK1394" s="17" t="str">
        <x:f>IF(AG1394&gt;=1000,"High Value",IF(AG1394&gt;=300,"Mid Value","Low Value"))</x:f>
        <x:v>Mid Value</x:v>
      </x:c>
      <x:c r="AL1394" s="17" t="str">
        <x:f>IF(AND(AI1394&gt;=1,I1394&lt;=50),"Priority 1",IF(AND(AG1394&gt;=1000,I1394&lt;=60),"Priority 2",IF(I1394&lt;=30,"Priority 3","Nurture")))</x:f>
        <x:v>Priority 3</x:v>
      </x:c>
    </x:row>
    <x:row r="1395">
      <x:c r="A1395" s="16" t="n">
        <x:v>8663</x:v>
      </x:c>
      <x:c r="B1395" s="16" t="n">
        <x:v>1974</x:v>
      </x:c>
      <x:c r="C1395" s="16" t="str">
        <x:v>Graduation</x:v>
      </x:c>
      <x:c r="D1395" s="16" t="str">
        <x:v>Divorced</x:v>
      </x:c>
      <x:c r="E1395" s="16" t="n">
        <x:v>39996</x:v>
      </x:c>
      <x:c r="F1395" s="16" t="n">
        <x:v>1</x:v>
      </x:c>
      <x:c r="G1395" s="16" t="n">
        <x:v>1</x:v>
      </x:c>
      <x:c r="H1395" s="16" t="str">
        <x:v>22-05-2014</x:v>
      </x:c>
      <x:c r="I1395" s="16" t="n">
        <x:v>85</x:v>
      </x:c>
      <x:c r="J1395" s="16" t="n">
        <x:v>11</x:v>
      </x:c>
      <x:c r="K1395" s="16" t="n">
        <x:v>0</x:v>
      </x:c>
      <x:c r="L1395" s="16" t="n">
        <x:v>3</x:v>
      </x:c>
      <x:c r="M1395" s="16" t="n">
        <x:v>0</x:v>
      </x:c>
      <x:c r="N1395" s="16" t="n">
        <x:v>0</x:v>
      </x:c>
      <x:c r="O1395" s="16" t="n">
        <x:v>1</x:v>
      </x:c>
      <x:c r="P1395" s="16" t="n">
        <x:v>1</x:v>
      </x:c>
      <x:c r="Q1395" s="16" t="n">
        <x:v>1</x:v>
      </x:c>
      <x:c r="R1395" s="16" t="n">
        <x:v>0</x:v>
      </x:c>
      <x:c r="S1395" s="16" t="n">
        <x:v>2</x:v>
      </x:c>
      <x:c r="T1395" s="16" t="n">
        <x:v>6</x:v>
      </x:c>
      <x:c r="U1395" s="16" t="n">
        <x:v>0</x:v>
      </x:c>
      <x:c r="V1395" s="16" t="n">
        <x:v>0</x:v>
      </x:c>
      <x:c r="W1395" s="16" t="n">
        <x:v>0</x:v>
      </x:c>
      <x:c r="X1395" s="16" t="n">
        <x:v>0</x:v>
      </x:c>
      <x:c r="Y1395" s="16" t="n">
        <x:v>0</x:v>
      </x:c>
      <x:c r="Z1395" s="16" t="n">
        <x:v>0</x:v>
      </x:c>
      <x:c r="AA1395" s="16" t="n">
        <x:v>3</x:v>
      </x:c>
      <x:c r="AB1395" s="16" t="n">
        <x:v>11</x:v>
      </x:c>
      <x:c r="AC1395" s="16" t="n">
        <x:v>0</x:v>
      </x:c>
      <x:c r="AD1395" s="21" t="n">
        <x:f>IF(E1395="",MEDIAN($E$2:$E$2237),E1395)</x:f>
        <x:v>39996</x:v>
      </x:c>
      <x:c r="AE1395" s="17" t="n">
        <x:f>2014-B1395</x:f>
        <x:v>40</x:v>
      </x:c>
      <x:c r="AF1395" s="17" t="n">
        <x:f>F1395+G1395</x:f>
        <x:v>2</x:v>
      </x:c>
      <x:c r="AG1395" s="21" t="n">
        <x:f>SUM(J1395:O1395)</x:f>
        <x:v>15</x:v>
      </x:c>
      <x:c r="AH1395" s="17" t="n">
        <x:f>SUM(Q1395:S1395)</x:f>
        <x:v>3</x:v>
      </x:c>
      <x:c r="AI1395" s="17" t="n">
        <x:f>SUM(U1395:Y1395)</x:f>
        <x:v>0</x:v>
      </x:c>
      <x:c r="AJ1395" s="17" t="str">
        <x:f>IF(AE1395&lt;=34,"≤34",IF(AE1395&lt;=44,"35–44",IF(AE1395&lt;=54,"45–54",IF(AE1395&lt;=64,"55–64","65+"))))</x:f>
        <x:v>35–44</x:v>
      </x:c>
      <x:c r="AK1395" s="17" t="str">
        <x:f>IF(AG1395&gt;=1000,"High Value",IF(AG1395&gt;=300,"Mid Value","Low Value"))</x:f>
        <x:v>Low Value</x:v>
      </x:c>
      <x:c r="AL1395" s="17" t="str">
        <x:f>IF(AND(AI1395&gt;=1,I1395&lt;=50),"Priority 1",IF(AND(AG1395&gt;=1000,I1395&lt;=60),"Priority 2",IF(I1395&lt;=30,"Priority 3","Nurture")))</x:f>
        <x:v>Nurture</x:v>
      </x:c>
    </x:row>
    <x:row r="1396">
      <x:c r="A1396" s="16" t="n">
        <x:v>2589</x:v>
      </x:c>
      <x:c r="B1396" s="16" t="n">
        <x:v>1972</x:v>
      </x:c>
      <x:c r="C1396" s="16" t="str">
        <x:v>Graduation</x:v>
      </x:c>
      <x:c r="D1396" s="16" t="str">
        <x:v>Divorced</x:v>
      </x:c>
      <x:c r="E1396" s="16" t="n">
        <x:v>26759</x:v>
      </x:c>
      <x:c r="F1396" s="16" t="n">
        <x:v>1</x:v>
      </x:c>
      <x:c r="G1396" s="16" t="n">
        <x:v>0</x:v>
      </x:c>
      <x:c r="H1396" s="16" t="str">
        <x:v>07-02-2014</x:v>
      </x:c>
      <x:c r="I1396" s="16" t="n">
        <x:v>65</x:v>
      </x:c>
      <x:c r="J1396" s="16" t="n">
        <x:v>25</x:v>
      </x:c>
      <x:c r="K1396" s="16" t="n">
        <x:v>3</x:v>
      </x:c>
      <x:c r="L1396" s="16" t="n">
        <x:v>16</x:v>
      </x:c>
      <x:c r="M1396" s="16" t="n">
        <x:v>8</x:v>
      </x:c>
      <x:c r="N1396" s="16" t="n">
        <x:v>5</x:v>
      </x:c>
      <x:c r="O1396" s="16" t="n">
        <x:v>2</x:v>
      </x:c>
      <x:c r="P1396" s="16" t="n">
        <x:v>2</x:v>
      </x:c>
      <x:c r="Q1396" s="16" t="n">
        <x:v>2</x:v>
      </x:c>
      <x:c r="R1396" s="16" t="n">
        <x:v>1</x:v>
      </x:c>
      <x:c r="S1396" s="16" t="n">
        <x:v>3</x:v>
      </x:c>
      <x:c r="T1396" s="16" t="n">
        <x:v>6</x:v>
      </x:c>
      <x:c r="U1396" s="16" t="n">
        <x:v>0</x:v>
      </x:c>
      <x:c r="V1396" s="16" t="n">
        <x:v>0</x:v>
      </x:c>
      <x:c r="W1396" s="16" t="n">
        <x:v>0</x:v>
      </x:c>
      <x:c r="X1396" s="16" t="n">
        <x:v>0</x:v>
      </x:c>
      <x:c r="Y1396" s="16" t="n">
        <x:v>0</x:v>
      </x:c>
      <x:c r="Z1396" s="16" t="n">
        <x:v>0</x:v>
      </x:c>
      <x:c r="AA1396" s="16" t="n">
        <x:v>3</x:v>
      </x:c>
      <x:c r="AB1396" s="16" t="n">
        <x:v>11</x:v>
      </x:c>
      <x:c r="AC1396" s="16" t="n">
        <x:v>0</x:v>
      </x:c>
      <x:c r="AD1396" s="21" t="n">
        <x:f>IF(E1396="",MEDIAN($E$2:$E$2237),E1396)</x:f>
        <x:v>26759</x:v>
      </x:c>
      <x:c r="AE1396" s="17" t="n">
        <x:f>2014-B1396</x:f>
        <x:v>42</x:v>
      </x:c>
      <x:c r="AF1396" s="17" t="n">
        <x:f>F1396+G1396</x:f>
        <x:v>1</x:v>
      </x:c>
      <x:c r="AG1396" s="21" t="n">
        <x:f>SUM(J1396:O1396)</x:f>
        <x:v>59</x:v>
      </x:c>
      <x:c r="AH1396" s="17" t="n">
        <x:f>SUM(Q1396:S1396)</x:f>
        <x:v>6</x:v>
      </x:c>
      <x:c r="AI1396" s="17" t="n">
        <x:f>SUM(U1396:Y1396)</x:f>
        <x:v>0</x:v>
      </x:c>
      <x:c r="AJ1396" s="17" t="str">
        <x:f>IF(AE1396&lt;=34,"≤34",IF(AE1396&lt;=44,"35–44",IF(AE1396&lt;=54,"45–54",IF(AE1396&lt;=64,"55–64","65+"))))</x:f>
        <x:v>35–44</x:v>
      </x:c>
      <x:c r="AK1396" s="17" t="str">
        <x:f>IF(AG1396&gt;=1000,"High Value",IF(AG1396&gt;=300,"Mid Value","Low Value"))</x:f>
        <x:v>Low Value</x:v>
      </x:c>
      <x:c r="AL1396" s="17" t="str">
        <x:f>IF(AND(AI1396&gt;=1,I1396&lt;=50),"Priority 1",IF(AND(AG1396&gt;=1000,I1396&lt;=60),"Priority 2",IF(I1396&lt;=30,"Priority 3","Nurture")))</x:f>
        <x:v>Nurture</x:v>
      </x:c>
    </x:row>
    <x:row r="1397">
      <x:c r="A1397" s="16" t="n">
        <x:v>3421</x:v>
      </x:c>
      <x:c r="B1397" s="16" t="n">
        <x:v>1968</x:v>
      </x:c>
      <x:c r="C1397" s="16" t="str">
        <x:v>Master</x:v>
      </x:c>
      <x:c r="D1397" s="16" t="str">
        <x:v>Divorced</x:v>
      </x:c>
      <x:c r="E1397" s="16" t="n">
        <x:v>63841</x:v>
      </x:c>
      <x:c r="F1397" s="16" t="n">
        <x:v>0</x:v>
      </x:c>
      <x:c r="G1397" s="16" t="n">
        <x:v>1</x:v>
      </x:c>
      <x:c r="H1397" s="16" t="str">
        <x:v>21-04-2013</x:v>
      </x:c>
      <x:c r="I1397" s="16" t="n">
        <x:v>64</x:v>
      </x:c>
      <x:c r="J1397" s="16" t="n">
        <x:v>635</x:v>
      </x:c>
      <x:c r="K1397" s="16" t="n">
        <x:v>15</x:v>
      </x:c>
      <x:c r="L1397" s="16" t="n">
        <x:v>100</x:v>
      </x:c>
      <x:c r="M1397" s="16" t="n">
        <x:v>20</x:v>
      </x:c>
      <x:c r="N1397" s="16" t="n">
        <x:v>7</x:v>
      </x:c>
      <x:c r="O1397" s="16" t="n">
        <x:v>131</x:v>
      </x:c>
      <x:c r="P1397" s="16" t="n">
        <x:v>1</x:v>
      </x:c>
      <x:c r="Q1397" s="16" t="n">
        <x:v>9</x:v>
      </x:c>
      <x:c r="R1397" s="16" t="n">
        <x:v>3</x:v>
      </x:c>
      <x:c r="S1397" s="16" t="n">
        <x:v>9</x:v>
      </x:c>
      <x:c r="T1397" s="16" t="n">
        <x:v>6</x:v>
      </x:c>
      <x:c r="U1397" s="16" t="n">
        <x:v>0</x:v>
      </x:c>
      <x:c r="V1397" s="16" t="n">
        <x:v>0</x:v>
      </x:c>
      <x:c r="W1397" s="16" t="n">
        <x:v>0</x:v>
      </x:c>
      <x:c r="X1397" s="16" t="n">
        <x:v>0</x:v>
      </x:c>
      <x:c r="Y1397" s="16" t="n">
        <x:v>0</x:v>
      </x:c>
      <x:c r="Z1397" s="16" t="n">
        <x:v>0</x:v>
      </x:c>
      <x:c r="AA1397" s="16" t="n">
        <x:v>3</x:v>
      </x:c>
      <x:c r="AB1397" s="16" t="n">
        <x:v>11</x:v>
      </x:c>
      <x:c r="AC1397" s="16" t="n">
        <x:v>0</x:v>
      </x:c>
      <x:c r="AD1397" s="21" t="n">
        <x:f>IF(E1397="",MEDIAN($E$2:$E$2237),E1397)</x:f>
        <x:v>63841</x:v>
      </x:c>
      <x:c r="AE1397" s="17" t="n">
        <x:f>2014-B1397</x:f>
        <x:v>46</x:v>
      </x:c>
      <x:c r="AF1397" s="17" t="n">
        <x:f>F1397+G1397</x:f>
        <x:v>1</x:v>
      </x:c>
      <x:c r="AG1397" s="21" t="n">
        <x:f>SUM(J1397:O1397)</x:f>
        <x:v>908</x:v>
      </x:c>
      <x:c r="AH1397" s="17" t="n">
        <x:f>SUM(Q1397:S1397)</x:f>
        <x:v>21</x:v>
      </x:c>
      <x:c r="AI1397" s="17" t="n">
        <x:f>SUM(U1397:Y1397)</x:f>
        <x:v>0</x:v>
      </x:c>
      <x:c r="AJ1397" s="17" t="str">
        <x:f>IF(AE1397&lt;=34,"≤34",IF(AE1397&lt;=44,"35–44",IF(AE1397&lt;=54,"45–54",IF(AE1397&lt;=64,"55–64","65+"))))</x:f>
        <x:v>45–54</x:v>
      </x:c>
      <x:c r="AK1397" s="17" t="str">
        <x:f>IF(AG1397&gt;=1000,"High Value",IF(AG1397&gt;=300,"Mid Value","Low Value"))</x:f>
        <x:v>Mid Value</x:v>
      </x:c>
      <x:c r="AL1397" s="17" t="str">
        <x:f>IF(AND(AI1397&gt;=1,I1397&lt;=50),"Priority 1",IF(AND(AG1397&gt;=1000,I1397&lt;=60),"Priority 2",IF(I1397&lt;=30,"Priority 3","Nurture")))</x:f>
        <x:v>Nurture</x:v>
      </x:c>
    </x:row>
    <x:row r="1398">
      <x:c r="A1398" s="16" t="n">
        <x:v>10490</x:v>
      </x:c>
      <x:c r="B1398" s="16" t="n">
        <x:v>1969</x:v>
      </x:c>
      <x:c r="C1398" s="16" t="str">
        <x:v>PhD</x:v>
      </x:c>
      <x:c r="D1398" s="16" t="str">
        <x:v>Married</x:v>
      </x:c>
      <x:c r="E1398" s="16" t="n">
        <x:v>51039</x:v>
      </x:c>
      <x:c r="F1398" s="16" t="n">
        <x:v>1</x:v>
      </x:c>
      <x:c r="G1398" s="16" t="n">
        <x:v>1</x:v>
      </x:c>
      <x:c r="H1398" s="16" t="str">
        <x:v>10-12-2012</x:v>
      </x:c>
      <x:c r="I1398" s="16" t="n">
        <x:v>11</x:v>
      </x:c>
      <x:c r="J1398" s="16" t="n">
        <x:v>100</x:v>
      </x:c>
      <x:c r="K1398" s="16" t="n">
        <x:v>64</x:v>
      </x:c>
      <x:c r="L1398" s="16" t="n">
        <x:v>79</x:v>
      </x:c>
      <x:c r="M1398" s="16" t="n">
        <x:v>65</x:v>
      </x:c>
      <x:c r="N1398" s="16" t="n">
        <x:v>0</x:v>
      </x:c>
      <x:c r="O1398" s="16" t="n">
        <x:v>109</x:v>
      </x:c>
      <x:c r="P1398" s="16" t="n">
        <x:v>2</x:v>
      </x:c>
      <x:c r="Q1398" s="16" t="n">
        <x:v>6</x:v>
      </x:c>
      <x:c r="R1398" s="16" t="n">
        <x:v>2</x:v>
      </x:c>
      <x:c r="S1398" s="16" t="n">
        <x:v>4</x:v>
      </x:c>
      <x:c r="T1398" s="16" t="n">
        <x:v>7</x:v>
      </x:c>
      <x:c r="U1398" s="16" t="n">
        <x:v>0</x:v>
      </x:c>
      <x:c r="V1398" s="16" t="n">
        <x:v>0</x:v>
      </x:c>
      <x:c r="W1398" s="16" t="n">
        <x:v>0</x:v>
      </x:c>
      <x:c r="X1398" s="16" t="n">
        <x:v>0</x:v>
      </x:c>
      <x:c r="Y1398" s="16" t="n">
        <x:v>0</x:v>
      </x:c>
      <x:c r="Z1398" s="16" t="n">
        <x:v>0</x:v>
      </x:c>
      <x:c r="AA1398" s="16" t="n">
        <x:v>3</x:v>
      </x:c>
      <x:c r="AB1398" s="16" t="n">
        <x:v>11</x:v>
      </x:c>
      <x:c r="AC1398" s="16" t="n">
        <x:v>0</x:v>
      </x:c>
      <x:c r="AD1398" s="21" t="n">
        <x:f>IF(E1398="",MEDIAN($E$2:$E$2237),E1398)</x:f>
        <x:v>51039</x:v>
      </x:c>
      <x:c r="AE1398" s="17" t="n">
        <x:f>2014-B1398</x:f>
        <x:v>45</x:v>
      </x:c>
      <x:c r="AF1398" s="17" t="n">
        <x:f>F1398+G1398</x:f>
        <x:v>2</x:v>
      </x:c>
      <x:c r="AG1398" s="21" t="n">
        <x:f>SUM(J1398:O1398)</x:f>
        <x:v>417</x:v>
      </x:c>
      <x:c r="AH1398" s="17" t="n">
        <x:f>SUM(Q1398:S1398)</x:f>
        <x:v>12</x:v>
      </x:c>
      <x:c r="AI1398" s="17" t="n">
        <x:f>SUM(U1398:Y1398)</x:f>
        <x:v>0</x:v>
      </x:c>
      <x:c r="AJ1398" s="17" t="str">
        <x:f>IF(AE1398&lt;=34,"≤34",IF(AE1398&lt;=44,"35–44",IF(AE1398&lt;=54,"45–54",IF(AE1398&lt;=64,"55–64","65+"))))</x:f>
        <x:v>45–54</x:v>
      </x:c>
      <x:c r="AK1398" s="17" t="str">
        <x:f>IF(AG1398&gt;=1000,"High Value",IF(AG1398&gt;=300,"Mid Value","Low Value"))</x:f>
        <x:v>Mid Value</x:v>
      </x:c>
      <x:c r="AL1398" s="17" t="str">
        <x:f>IF(AND(AI1398&gt;=1,I1398&lt;=50),"Priority 1",IF(AND(AG1398&gt;=1000,I1398&lt;=60),"Priority 2",IF(I1398&lt;=30,"Priority 3","Nurture")))</x:f>
        <x:v>Priority 3</x:v>
      </x:c>
    </x:row>
    <x:row r="1399">
      <x:c r="A1399" s="16" t="n">
        <x:v>4094</x:v>
      </x:c>
      <x:c r="B1399" s="16" t="n">
        <x:v>1961</x:v>
      </x:c>
      <x:c r="C1399" s="16" t="str">
        <x:v>Graduation</x:v>
      </x:c>
      <x:c r="D1399" s="16" t="str">
        <x:v>Married</x:v>
      </x:c>
      <x:c r="E1399" s="16" t="n">
        <x:v>60544</x:v>
      </x:c>
      <x:c r="F1399" s="16" t="n">
        <x:v>1</x:v>
      </x:c>
      <x:c r="G1399" s="16" t="n">
        <x:v>1</x:v>
      </x:c>
      <x:c r="H1399" s="16" t="str">
        <x:v>25-08-2012</x:v>
      </x:c>
      <x:c r="I1399" s="16" t="n">
        <x:v>92</x:v>
      </x:c>
      <x:c r="J1399" s="16" t="n">
        <x:v>201</x:v>
      </x:c>
      <x:c r="K1399" s="16" t="n">
        <x:v>2</x:v>
      </x:c>
      <x:c r="L1399" s="16" t="n">
        <x:v>43</x:v>
      </x:c>
      <x:c r="M1399" s="16" t="n">
        <x:v>3</x:v>
      </x:c>
      <x:c r="N1399" s="16" t="n">
        <x:v>5</x:v>
      </x:c>
      <x:c r="O1399" s="16" t="n">
        <x:v>35</x:v>
      </x:c>
      <x:c r="P1399" s="16" t="n">
        <x:v>4</x:v>
      </x:c>
      <x:c r="Q1399" s="16" t="n">
        <x:v>5</x:v>
      </x:c>
      <x:c r="R1399" s="16" t="n">
        <x:v>1</x:v>
      </x:c>
      <x:c r="S1399" s="16" t="n">
        <x:v>5</x:v>
      </x:c>
      <x:c r="T1399" s="16" t="n">
        <x:v>6</x:v>
      </x:c>
      <x:c r="U1399" s="16" t="n">
        <x:v>0</x:v>
      </x:c>
      <x:c r="V1399" s="16" t="n">
        <x:v>0</x:v>
      </x:c>
      <x:c r="W1399" s="16" t="n">
        <x:v>0</x:v>
      </x:c>
      <x:c r="X1399" s="16" t="n">
        <x:v>0</x:v>
      </x:c>
      <x:c r="Y1399" s="16" t="n">
        <x:v>0</x:v>
      </x:c>
      <x:c r="Z1399" s="16" t="n">
        <x:v>0</x:v>
      </x:c>
      <x:c r="AA1399" s="16" t="n">
        <x:v>3</x:v>
      </x:c>
      <x:c r="AB1399" s="16" t="n">
        <x:v>11</x:v>
      </x:c>
      <x:c r="AC1399" s="16" t="n">
        <x:v>0</x:v>
      </x:c>
      <x:c r="AD1399" s="21" t="n">
        <x:f>IF(E1399="",MEDIAN($E$2:$E$2237),E1399)</x:f>
        <x:v>60544</x:v>
      </x:c>
      <x:c r="AE1399" s="17" t="n">
        <x:f>2014-B1399</x:f>
        <x:v>53</x:v>
      </x:c>
      <x:c r="AF1399" s="17" t="n">
        <x:f>F1399+G1399</x:f>
        <x:v>2</x:v>
      </x:c>
      <x:c r="AG1399" s="21" t="n">
        <x:f>SUM(J1399:O1399)</x:f>
        <x:v>289</x:v>
      </x:c>
      <x:c r="AH1399" s="17" t="n">
        <x:f>SUM(Q1399:S1399)</x:f>
        <x:v>11</x:v>
      </x:c>
      <x:c r="AI1399" s="17" t="n">
        <x:f>SUM(U1399:Y1399)</x:f>
        <x:v>0</x:v>
      </x:c>
      <x:c r="AJ1399" s="17" t="str">
        <x:f>IF(AE1399&lt;=34,"≤34",IF(AE1399&lt;=44,"35–44",IF(AE1399&lt;=54,"45–54",IF(AE1399&lt;=64,"55–64","65+"))))</x:f>
        <x:v>45–54</x:v>
      </x:c>
      <x:c r="AK1399" s="17" t="str">
        <x:f>IF(AG1399&gt;=1000,"High Value",IF(AG1399&gt;=300,"Mid Value","Low Value"))</x:f>
        <x:v>Low Value</x:v>
      </x:c>
      <x:c r="AL1399" s="17" t="str">
        <x:f>IF(AND(AI1399&gt;=1,I1399&lt;=50),"Priority 1",IF(AND(AG1399&gt;=1000,I1399&lt;=60),"Priority 2",IF(I1399&lt;=30,"Priority 3","Nurture")))</x:f>
        <x:v>Nurture</x:v>
      </x:c>
    </x:row>
    <x:row r="1400">
      <x:c r="A1400" s="16" t="n">
        <x:v>9958</x:v>
      </x:c>
      <x:c r="B1400" s="16" t="n">
        <x:v>1972</x:v>
      </x:c>
      <x:c r="C1400" s="16" t="str">
        <x:v>Graduation</x:v>
      </x:c>
      <x:c r="D1400" s="16" t="str">
        <x:v>Married</x:v>
      </x:c>
      <x:c r="E1400" s="16" t="n">
        <x:v>65685</x:v>
      </x:c>
      <x:c r="F1400" s="16" t="n">
        <x:v>0</x:v>
      </x:c>
      <x:c r="G1400" s="16" t="n">
        <x:v>1</x:v>
      </x:c>
      <x:c r="H1400" s="16" t="str">
        <x:v>29-03-2014</x:v>
      </x:c>
      <x:c r="I1400" s="16" t="n">
        <x:v>54</x:v>
      </x:c>
      <x:c r="J1400" s="16" t="n">
        <x:v>642</x:v>
      </x:c>
      <x:c r="K1400" s="16" t="n">
        <x:v>14</x:v>
      </x:c>
      <x:c r="L1400" s="16" t="n">
        <x:v>49</x:v>
      </x:c>
      <x:c r="M1400" s="16" t="n">
        <x:v>0</x:v>
      </x:c>
      <x:c r="N1400" s="16" t="n">
        <x:v>7</x:v>
      </x:c>
      <x:c r="O1400" s="16" t="n">
        <x:v>57</x:v>
      </x:c>
      <x:c r="P1400" s="16" t="n">
        <x:v>1</x:v>
      </x:c>
      <x:c r="Q1400" s="16" t="n">
        <x:v>9</x:v>
      </x:c>
      <x:c r="R1400" s="16" t="n">
        <x:v>2</x:v>
      </x:c>
      <x:c r="S1400" s="16" t="n">
        <x:v>9</x:v>
      </x:c>
      <x:c r="T1400" s="16" t="n">
        <x:v>5</x:v>
      </x:c>
      <x:c r="U1400" s="16" t="n">
        <x:v>0</x:v>
      </x:c>
      <x:c r="V1400" s="16" t="n">
        <x:v>0</x:v>
      </x:c>
      <x:c r="W1400" s="16" t="n">
        <x:v>0</x:v>
      </x:c>
      <x:c r="X1400" s="16" t="n">
        <x:v>0</x:v>
      </x:c>
      <x:c r="Y1400" s="16" t="n">
        <x:v>0</x:v>
      </x:c>
      <x:c r="Z1400" s="16" t="n">
        <x:v>0</x:v>
      </x:c>
      <x:c r="AA1400" s="16" t="n">
        <x:v>3</x:v>
      </x:c>
      <x:c r="AB1400" s="16" t="n">
        <x:v>11</x:v>
      </x:c>
      <x:c r="AC1400" s="16" t="n">
        <x:v>0</x:v>
      </x:c>
      <x:c r="AD1400" s="21" t="n">
        <x:f>IF(E1400="",MEDIAN($E$2:$E$2237),E1400)</x:f>
        <x:v>65685</x:v>
      </x:c>
      <x:c r="AE1400" s="17" t="n">
        <x:f>2014-B1400</x:f>
        <x:v>42</x:v>
      </x:c>
      <x:c r="AF1400" s="17" t="n">
        <x:f>F1400+G1400</x:f>
        <x:v>1</x:v>
      </x:c>
      <x:c r="AG1400" s="21" t="n">
        <x:f>SUM(J1400:O1400)</x:f>
        <x:v>769</x:v>
      </x:c>
      <x:c r="AH1400" s="17" t="n">
        <x:f>SUM(Q1400:S1400)</x:f>
        <x:v>20</x:v>
      </x:c>
      <x:c r="AI1400" s="17" t="n">
        <x:f>SUM(U1400:Y1400)</x:f>
        <x:v>0</x:v>
      </x:c>
      <x:c r="AJ1400" s="17" t="str">
        <x:f>IF(AE1400&lt;=34,"≤34",IF(AE1400&lt;=44,"35–44",IF(AE1400&lt;=54,"45–54",IF(AE1400&lt;=64,"55–64","65+"))))</x:f>
        <x:v>35–44</x:v>
      </x:c>
      <x:c r="AK1400" s="17" t="str">
        <x:f>IF(AG1400&gt;=1000,"High Value",IF(AG1400&gt;=300,"Mid Value","Low Value"))</x:f>
        <x:v>Mid Value</x:v>
      </x:c>
      <x:c r="AL1400" s="17" t="str">
        <x:f>IF(AND(AI1400&gt;=1,I1400&lt;=50),"Priority 1",IF(AND(AG1400&gt;=1000,I1400&lt;=60),"Priority 2",IF(I1400&lt;=30,"Priority 3","Nurture")))</x:f>
        <x:v>Nurture</x:v>
      </x:c>
    </x:row>
    <x:row r="1401">
      <x:c r="A1401" s="16" t="n">
        <x:v>2534</x:v>
      </x:c>
      <x:c r="B1401" s="16" t="n">
        <x:v>1953</x:v>
      </x:c>
      <x:c r="C1401" s="16" t="str">
        <x:v>Graduation</x:v>
      </x:c>
      <x:c r="D1401" s="16" t="str">
        <x:v>Married</x:v>
      </x:c>
      <x:c r="E1401" s="16" t="n">
        <x:v>37716</x:v>
      </x:c>
      <x:c r="F1401" s="16" t="n">
        <x:v>0</x:v>
      </x:c>
      <x:c r="G1401" s="16" t="n">
        <x:v>1</x:v>
      </x:c>
      <x:c r="H1401" s="16" t="str">
        <x:v>21-04-2014</x:v>
      </x:c>
      <x:c r="I1401" s="16" t="n">
        <x:v>4</x:v>
      </x:c>
      <x:c r="J1401" s="16" t="n">
        <x:v>97</x:v>
      </x:c>
      <x:c r="K1401" s="16" t="n">
        <x:v>1</x:v>
      </x:c>
      <x:c r="L1401" s="16" t="n">
        <x:v>41</x:v>
      </x:c>
      <x:c r="M1401" s="16" t="n">
        <x:v>6</x:v>
      </x:c>
      <x:c r="N1401" s="16" t="n">
        <x:v>2</x:v>
      </x:c>
      <x:c r="O1401" s="16" t="n">
        <x:v>41</x:v>
      </x:c>
      <x:c r="P1401" s="16" t="n">
        <x:v>2</x:v>
      </x:c>
      <x:c r="Q1401" s="16" t="n">
        <x:v>4</x:v>
      </x:c>
      <x:c r="R1401" s="16" t="n">
        <x:v>1</x:v>
      </x:c>
      <x:c r="S1401" s="16" t="n">
        <x:v>3</x:v>
      </x:c>
      <x:c r="T1401" s="16" t="n">
        <x:v>7</x:v>
      </x:c>
      <x:c r="U1401" s="16" t="n">
        <x:v>0</x:v>
      </x:c>
      <x:c r="V1401" s="16" t="n">
        <x:v>0</x:v>
      </x:c>
      <x:c r="W1401" s="16" t="n">
        <x:v>0</x:v>
      </x:c>
      <x:c r="X1401" s="16" t="n">
        <x:v>0</x:v>
      </x:c>
      <x:c r="Y1401" s="16" t="n">
        <x:v>0</x:v>
      </x:c>
      <x:c r="Z1401" s="16" t="n">
        <x:v>0</x:v>
      </x:c>
      <x:c r="AA1401" s="16" t="n">
        <x:v>3</x:v>
      </x:c>
      <x:c r="AB1401" s="16" t="n">
        <x:v>11</x:v>
      </x:c>
      <x:c r="AC1401" s="16" t="n">
        <x:v>0</x:v>
      </x:c>
      <x:c r="AD1401" s="21" t="n">
        <x:f>IF(E1401="",MEDIAN($E$2:$E$2237),E1401)</x:f>
        <x:v>37716</x:v>
      </x:c>
      <x:c r="AE1401" s="17" t="n">
        <x:f>2014-B1401</x:f>
        <x:v>61</x:v>
      </x:c>
      <x:c r="AF1401" s="17" t="n">
        <x:f>F1401+G1401</x:f>
        <x:v>1</x:v>
      </x:c>
      <x:c r="AG1401" s="21" t="n">
        <x:f>SUM(J1401:O1401)</x:f>
        <x:v>188</x:v>
      </x:c>
      <x:c r="AH1401" s="17" t="n">
        <x:f>SUM(Q1401:S1401)</x:f>
        <x:v>8</x:v>
      </x:c>
      <x:c r="AI1401" s="17" t="n">
        <x:f>SUM(U1401:Y1401)</x:f>
        <x:v>0</x:v>
      </x:c>
      <x:c r="AJ1401" s="17" t="str">
        <x:f>IF(AE1401&lt;=34,"≤34",IF(AE1401&lt;=44,"35–44",IF(AE1401&lt;=54,"45–54",IF(AE1401&lt;=64,"55–64","65+"))))</x:f>
        <x:v>55–64</x:v>
      </x:c>
      <x:c r="AK1401" s="17" t="str">
        <x:f>IF(AG1401&gt;=1000,"High Value",IF(AG1401&gt;=300,"Mid Value","Low Value"))</x:f>
        <x:v>Low Value</x:v>
      </x:c>
      <x:c r="AL1401" s="17" t="str">
        <x:f>IF(AND(AI1401&gt;=1,I1401&lt;=50),"Priority 1",IF(AND(AG1401&gt;=1000,I1401&lt;=60),"Priority 2",IF(I1401&lt;=30,"Priority 3","Nurture")))</x:f>
        <x:v>Priority 3</x:v>
      </x:c>
    </x:row>
    <x:row r="1402">
      <x:c r="A1402" s="16" t="n">
        <x:v>4188</x:v>
      </x:c>
      <x:c r="B1402" s="16" t="n">
        <x:v>1957</x:v>
      </x:c>
      <x:c r="C1402" s="16" t="str">
        <x:v>Graduation</x:v>
      </x:c>
      <x:c r="D1402" s="16" t="str">
        <x:v>Single</x:v>
      </x:c>
      <x:c r="E1402" s="16" t="n">
        <x:v>36864</x:v>
      </x:c>
      <x:c r="F1402" s="16" t="n">
        <x:v>0</x:v>
      </x:c>
      <x:c r="G1402" s="16" t="n">
        <x:v>1</x:v>
      </x:c>
      <x:c r="H1402" s="16" t="str">
        <x:v>13-08-2012</x:v>
      </x:c>
      <x:c r="I1402" s="16" t="n">
        <x:v>53</x:v>
      </x:c>
      <x:c r="J1402" s="16" t="n">
        <x:v>204</x:v>
      </x:c>
      <x:c r="K1402" s="16" t="n">
        <x:v>5</x:v>
      </x:c>
      <x:c r="L1402" s="16" t="n">
        <x:v>39</x:v>
      </x:c>
      <x:c r="M1402" s="16" t="n">
        <x:v>17</x:v>
      </x:c>
      <x:c r="N1402" s="16" t="n">
        <x:v>0</x:v>
      </x:c>
      <x:c r="O1402" s="16" t="n">
        <x:v>89</x:v>
      </x:c>
      <x:c r="P1402" s="16" t="n">
        <x:v>3</x:v>
      </x:c>
      <x:c r="Q1402" s="16" t="n">
        <x:v>5</x:v>
      </x:c>
      <x:c r="R1402" s="16" t="n">
        <x:v>2</x:v>
      </x:c>
      <x:c r="S1402" s="16" t="n">
        <x:v>4</x:v>
      </x:c>
      <x:c r="T1402" s="16" t="n">
        <x:v>8</x:v>
      </x:c>
      <x:c r="U1402" s="16" t="n">
        <x:v>0</x:v>
      </x:c>
      <x:c r="V1402" s="16" t="n">
        <x:v>0</x:v>
      </x:c>
      <x:c r="W1402" s="16" t="n">
        <x:v>0</x:v>
      </x:c>
      <x:c r="X1402" s="16" t="n">
        <x:v>0</x:v>
      </x:c>
      <x:c r="Y1402" s="16" t="n">
        <x:v>0</x:v>
      </x:c>
      <x:c r="Z1402" s="16" t="n">
        <x:v>0</x:v>
      </x:c>
      <x:c r="AA1402" s="16" t="n">
        <x:v>3</x:v>
      </x:c>
      <x:c r="AB1402" s="16" t="n">
        <x:v>11</x:v>
      </x:c>
      <x:c r="AC1402" s="16" t="n">
        <x:v>1</x:v>
      </x:c>
      <x:c r="AD1402" s="21" t="n">
        <x:f>IF(E1402="",MEDIAN($E$2:$E$2237),E1402)</x:f>
        <x:v>36864</x:v>
      </x:c>
      <x:c r="AE1402" s="17" t="n">
        <x:f>2014-B1402</x:f>
        <x:v>57</x:v>
      </x:c>
      <x:c r="AF1402" s="17" t="n">
        <x:f>F1402+G1402</x:f>
        <x:v>1</x:v>
      </x:c>
      <x:c r="AG1402" s="21" t="n">
        <x:f>SUM(J1402:O1402)</x:f>
        <x:v>354</x:v>
      </x:c>
      <x:c r="AH1402" s="17" t="n">
        <x:f>SUM(Q1402:S1402)</x:f>
        <x:v>11</x:v>
      </x:c>
      <x:c r="AI1402" s="17" t="n">
        <x:f>SUM(U1402:Y1402)</x:f>
        <x:v>0</x:v>
      </x:c>
      <x:c r="AJ1402" s="17" t="str">
        <x:f>IF(AE1402&lt;=34,"≤34",IF(AE1402&lt;=44,"35–44",IF(AE1402&lt;=54,"45–54",IF(AE1402&lt;=64,"55–64","65+"))))</x:f>
        <x:v>55–64</x:v>
      </x:c>
      <x:c r="AK1402" s="17" t="str">
        <x:f>IF(AG1402&gt;=1000,"High Value",IF(AG1402&gt;=300,"Mid Value","Low Value"))</x:f>
        <x:v>Mid Value</x:v>
      </x:c>
      <x:c r="AL1402" s="17" t="str">
        <x:f>IF(AND(AI1402&gt;=1,I1402&lt;=50),"Priority 1",IF(AND(AG1402&gt;=1000,I1402&lt;=60),"Priority 2",IF(I1402&lt;=30,"Priority 3","Nurture")))</x:f>
        <x:v>Nurture</x:v>
      </x:c>
    </x:row>
    <x:row r="1403">
      <x:c r="A1403" s="16" t="n">
        <x:v>6613</x:v>
      </x:c>
      <x:c r="B1403" s="16" t="n">
        <x:v>1970</x:v>
      </x:c>
      <x:c r="C1403" s="16" t="str">
        <x:v>Master</x:v>
      </x:c>
      <x:c r="D1403" s="16" t="str">
        <x:v>Married</x:v>
      </x:c>
      <x:c r="E1403" s="16" t="n">
        <x:v>44511</x:v>
      </x:c>
      <x:c r="F1403" s="16" t="n">
        <x:v>1</x:v>
      </x:c>
      <x:c r="G1403" s="16" t="n">
        <x:v>0</x:v>
      </x:c>
      <x:c r="H1403" s="16" t="str">
        <x:v>12-10-2012</x:v>
      </x:c>
      <x:c r="I1403" s="16" t="n">
        <x:v>39</x:v>
      </x:c>
      <x:c r="J1403" s="16" t="n">
        <x:v>513</x:v>
      </x:c>
      <x:c r="K1403" s="16" t="n">
        <x:v>7</x:v>
      </x:c>
      <x:c r="L1403" s="16" t="n">
        <x:v>133</x:v>
      </x:c>
      <x:c r="M1403" s="16" t="n">
        <x:v>46</x:v>
      </x:c>
      <x:c r="N1403" s="16" t="n">
        <x:v>14</x:v>
      </x:c>
      <x:c r="O1403" s="16" t="n">
        <x:v>14</x:v>
      </x:c>
      <x:c r="P1403" s="16" t="n">
        <x:v>6</x:v>
      </x:c>
      <x:c r="Q1403" s="16" t="n">
        <x:v>8</x:v>
      </x:c>
      <x:c r="R1403" s="16" t="n">
        <x:v>4</x:v>
      </x:c>
      <x:c r="S1403" s="16" t="n">
        <x:v>8</x:v>
      </x:c>
      <x:c r="T1403" s="16" t="n">
        <x:v>8</x:v>
      </x:c>
      <x:c r="U1403" s="16" t="n">
        <x:v>0</x:v>
      </x:c>
      <x:c r="V1403" s="16" t="n">
        <x:v>0</x:v>
      </x:c>
      <x:c r="W1403" s="16" t="n">
        <x:v>0</x:v>
      </x:c>
      <x:c r="X1403" s="16" t="n">
        <x:v>0</x:v>
      </x:c>
      <x:c r="Y1403" s="16" t="n">
        <x:v>0</x:v>
      </x:c>
      <x:c r="Z1403" s="16" t="n">
        <x:v>0</x:v>
      </x:c>
      <x:c r="AA1403" s="16" t="n">
        <x:v>3</x:v>
      </x:c>
      <x:c r="AB1403" s="16" t="n">
        <x:v>11</x:v>
      </x:c>
      <x:c r="AC1403" s="16" t="n">
        <x:v>0</x:v>
      </x:c>
      <x:c r="AD1403" s="21" t="n">
        <x:f>IF(E1403="",MEDIAN($E$2:$E$2237),E1403)</x:f>
        <x:v>44511</x:v>
      </x:c>
      <x:c r="AE1403" s="17" t="n">
        <x:f>2014-B1403</x:f>
        <x:v>44</x:v>
      </x:c>
      <x:c r="AF1403" s="17" t="n">
        <x:f>F1403+G1403</x:f>
        <x:v>1</x:v>
      </x:c>
      <x:c r="AG1403" s="21" t="n">
        <x:f>SUM(J1403:O1403)</x:f>
        <x:v>727</x:v>
      </x:c>
      <x:c r="AH1403" s="17" t="n">
        <x:f>SUM(Q1403:S1403)</x:f>
        <x:v>20</x:v>
      </x:c>
      <x:c r="AI1403" s="17" t="n">
        <x:f>SUM(U1403:Y1403)</x:f>
        <x:v>0</x:v>
      </x:c>
      <x:c r="AJ1403" s="17" t="str">
        <x:f>IF(AE1403&lt;=34,"≤34",IF(AE1403&lt;=44,"35–44",IF(AE1403&lt;=54,"45–54",IF(AE1403&lt;=64,"55–64","65+"))))</x:f>
        <x:v>35–44</x:v>
      </x:c>
      <x:c r="AK1403" s="17" t="str">
        <x:f>IF(AG1403&gt;=1000,"High Value",IF(AG1403&gt;=300,"Mid Value","Low Value"))</x:f>
        <x:v>Mid Value</x:v>
      </x:c>
      <x:c r="AL1403" s="17" t="str">
        <x:f>IF(AND(AI1403&gt;=1,I1403&lt;=50),"Priority 1",IF(AND(AG1403&gt;=1000,I1403&lt;=60),"Priority 2",IF(I1403&lt;=30,"Priority 3","Nurture")))</x:f>
        <x:v>Nurture</x:v>
      </x:c>
    </x:row>
    <x:row r="1404">
      <x:c r="A1404" s="16" t="n">
        <x:v>10827</x:v>
      </x:c>
      <x:c r="B1404" s="16" t="n">
        <x:v>1967</x:v>
      </x:c>
      <x:c r="C1404" s="16" t="str">
        <x:v>PhD</x:v>
      </x:c>
      <x:c r="D1404" s="16" t="str">
        <x:v>Married</x:v>
      </x:c>
      <x:c r="E1404" s="16" t="n">
        <x:v>36947</x:v>
      </x:c>
      <x:c r="F1404" s="16" t="n">
        <x:v>1</x:v>
      </x:c>
      <x:c r="G1404" s="16" t="n">
        <x:v>1</x:v>
      </x:c>
      <x:c r="H1404" s="16" t="str">
        <x:v>07-08-2012</x:v>
      </x:c>
      <x:c r="I1404" s="16" t="n">
        <x:v>49</x:v>
      </x:c>
      <x:c r="J1404" s="16" t="n">
        <x:v>88</x:v>
      </x:c>
      <x:c r="K1404" s="16" t="n">
        <x:v>3</x:v>
      </x:c>
      <x:c r="L1404" s="16" t="n">
        <x:v>21</x:v>
      </x:c>
      <x:c r="M1404" s="16" t="n">
        <x:v>4</x:v>
      </x:c>
      <x:c r="N1404" s="16" t="n">
        <x:v>1</x:v>
      </x:c>
      <x:c r="O1404" s="16" t="n">
        <x:v>29</x:v>
      </x:c>
      <x:c r="P1404" s="16" t="n">
        <x:v>4</x:v>
      </x:c>
      <x:c r="Q1404" s="16" t="n">
        <x:v>3</x:v>
      </x:c>
      <x:c r="R1404" s="16" t="n">
        <x:v>0</x:v>
      </x:c>
      <x:c r="S1404" s="16" t="n">
        <x:v>4</x:v>
      </x:c>
      <x:c r="T1404" s="16" t="n">
        <x:v>9</x:v>
      </x:c>
      <x:c r="U1404" s="16" t="n">
        <x:v>0</x:v>
      </x:c>
      <x:c r="V1404" s="16" t="n">
        <x:v>0</x:v>
      </x:c>
      <x:c r="W1404" s="16" t="n">
        <x:v>0</x:v>
      </x:c>
      <x:c r="X1404" s="16" t="n">
        <x:v>0</x:v>
      </x:c>
      <x:c r="Y1404" s="16" t="n">
        <x:v>0</x:v>
      </x:c>
      <x:c r="Z1404" s="16" t="n">
        <x:v>0</x:v>
      </x:c>
      <x:c r="AA1404" s="16" t="n">
        <x:v>3</x:v>
      </x:c>
      <x:c r="AB1404" s="16" t="n">
        <x:v>11</x:v>
      </x:c>
      <x:c r="AC1404" s="16" t="n">
        <x:v>0</x:v>
      </x:c>
      <x:c r="AD1404" s="21" t="n">
        <x:f>IF(E1404="",MEDIAN($E$2:$E$2237),E1404)</x:f>
        <x:v>36947</x:v>
      </x:c>
      <x:c r="AE1404" s="17" t="n">
        <x:f>2014-B1404</x:f>
        <x:v>47</x:v>
      </x:c>
      <x:c r="AF1404" s="17" t="n">
        <x:f>F1404+G1404</x:f>
        <x:v>2</x:v>
      </x:c>
      <x:c r="AG1404" s="21" t="n">
        <x:f>SUM(J1404:O1404)</x:f>
        <x:v>146</x:v>
      </x:c>
      <x:c r="AH1404" s="17" t="n">
        <x:f>SUM(Q1404:S1404)</x:f>
        <x:v>7</x:v>
      </x:c>
      <x:c r="AI1404" s="17" t="n">
        <x:f>SUM(U1404:Y1404)</x:f>
        <x:v>0</x:v>
      </x:c>
      <x:c r="AJ1404" s="17" t="str">
        <x:f>IF(AE1404&lt;=34,"≤34",IF(AE1404&lt;=44,"35–44",IF(AE1404&lt;=54,"45–54",IF(AE1404&lt;=64,"55–64","65+"))))</x:f>
        <x:v>45–54</x:v>
      </x:c>
      <x:c r="AK1404" s="17" t="str">
        <x:f>IF(AG1404&gt;=1000,"High Value",IF(AG1404&gt;=300,"Mid Value","Low Value"))</x:f>
        <x:v>Low Value</x:v>
      </x:c>
      <x:c r="AL1404" s="17" t="str">
        <x:f>IF(AND(AI1404&gt;=1,I1404&lt;=50),"Priority 1",IF(AND(AG1404&gt;=1000,I1404&lt;=60),"Priority 2",IF(I1404&lt;=30,"Priority 3","Nurture")))</x:f>
        <x:v>Nurture</x:v>
      </x:c>
    </x:row>
    <x:row r="1405">
      <x:c r="A1405" s="16" t="n">
        <x:v>5491</x:v>
      </x:c>
      <x:c r="B1405" s="16" t="n">
        <x:v>1951</x:v>
      </x:c>
      <x:c r="C1405" s="16" t="str">
        <x:v>Master</x:v>
      </x:c>
      <x:c r="D1405" s="16" t="str">
        <x:v>Together</x:v>
      </x:c>
      <x:c r="E1405" s="16" t="n">
        <x:v>47352</x:v>
      </x:c>
      <x:c r="F1405" s="16" t="n">
        <x:v>0</x:v>
      </x:c>
      <x:c r="G1405" s="16" t="n">
        <x:v>1</x:v>
      </x:c>
      <x:c r="H1405" s="16" t="str">
        <x:v>11-04-2013</x:v>
      </x:c>
      <x:c r="I1405" s="16" t="n">
        <x:v>70</x:v>
      </x:c>
      <x:c r="J1405" s="16" t="n">
        <x:v>172</x:v>
      </x:c>
      <x:c r="K1405" s="16" t="n">
        <x:v>12</x:v>
      </x:c>
      <x:c r="L1405" s="16" t="n">
        <x:v>112</x:v>
      </x:c>
      <x:c r="M1405" s="16" t="n">
        <x:v>8</x:v>
      </x:c>
      <x:c r="N1405" s="16" t="n">
        <x:v>0</x:v>
      </x:c>
      <x:c r="O1405" s="16" t="n">
        <x:v>15</x:v>
      </x:c>
      <x:c r="P1405" s="16" t="n">
        <x:v>4</x:v>
      </x:c>
      <x:c r="Q1405" s="16" t="n">
        <x:v>6</x:v>
      </x:c>
      <x:c r="R1405" s="16" t="n">
        <x:v>1</x:v>
      </x:c>
      <x:c r="S1405" s="16" t="n">
        <x:v>5</x:v>
      </x:c>
      <x:c r="T1405" s="16" t="n">
        <x:v>7</x:v>
      </x:c>
      <x:c r="U1405" s="16" t="n">
        <x:v>0</x:v>
      </x:c>
      <x:c r="V1405" s="16" t="n">
        <x:v>0</x:v>
      </x:c>
      <x:c r="W1405" s="16" t="n">
        <x:v>0</x:v>
      </x:c>
      <x:c r="X1405" s="16" t="n">
        <x:v>0</x:v>
      </x:c>
      <x:c r="Y1405" s="16" t="n">
        <x:v>0</x:v>
      </x:c>
      <x:c r="Z1405" s="16" t="n">
        <x:v>0</x:v>
      </x:c>
      <x:c r="AA1405" s="16" t="n">
        <x:v>3</x:v>
      </x:c>
      <x:c r="AB1405" s="16" t="n">
        <x:v>11</x:v>
      </x:c>
      <x:c r="AC1405" s="16" t="n">
        <x:v>0</x:v>
      </x:c>
      <x:c r="AD1405" s="21" t="n">
        <x:f>IF(E1405="",MEDIAN($E$2:$E$2237),E1405)</x:f>
        <x:v>47352</x:v>
      </x:c>
      <x:c r="AE1405" s="17" t="n">
        <x:f>2014-B1405</x:f>
        <x:v>63</x:v>
      </x:c>
      <x:c r="AF1405" s="17" t="n">
        <x:f>F1405+G1405</x:f>
        <x:v>1</x:v>
      </x:c>
      <x:c r="AG1405" s="21" t="n">
        <x:f>SUM(J1405:O1405)</x:f>
        <x:v>319</x:v>
      </x:c>
      <x:c r="AH1405" s="17" t="n">
        <x:f>SUM(Q1405:S1405)</x:f>
        <x:v>12</x:v>
      </x:c>
      <x:c r="AI1405" s="17" t="n">
        <x:f>SUM(U1405:Y1405)</x:f>
        <x:v>0</x:v>
      </x:c>
      <x:c r="AJ1405" s="17" t="str">
        <x:f>IF(AE1405&lt;=34,"≤34",IF(AE1405&lt;=44,"35–44",IF(AE1405&lt;=54,"45–54",IF(AE1405&lt;=64,"55–64","65+"))))</x:f>
        <x:v>55–64</x:v>
      </x:c>
      <x:c r="AK1405" s="17" t="str">
        <x:f>IF(AG1405&gt;=1000,"High Value",IF(AG1405&gt;=300,"Mid Value","Low Value"))</x:f>
        <x:v>Mid Value</x:v>
      </x:c>
      <x:c r="AL1405" s="17" t="str">
        <x:f>IF(AND(AI1405&gt;=1,I1405&lt;=50),"Priority 1",IF(AND(AG1405&gt;=1000,I1405&lt;=60),"Priority 2",IF(I1405&lt;=30,"Priority 3","Nurture")))</x:f>
        <x:v>Nurture</x:v>
      </x:c>
    </x:row>
    <x:row r="1406">
      <x:c r="A1406" s="16" t="n">
        <x:v>8402</x:v>
      </x:c>
      <x:c r="B1406" s="16" t="n">
        <x:v>1953</x:v>
      </x:c>
      <x:c r="C1406" s="16" t="str">
        <x:v>Master</x:v>
      </x:c>
      <x:c r="D1406" s="16" t="str">
        <x:v>Married</x:v>
      </x:c>
      <x:c r="E1406" s="16" t="n">
        <x:v>67087</x:v>
      </x:c>
      <x:c r="F1406" s="16" t="n">
        <x:v>0</x:v>
      </x:c>
      <x:c r="G1406" s="16" t="n">
        <x:v>1</x:v>
      </x:c>
      <x:c r="H1406" s="16" t="str">
        <x:v>17-12-2013</x:v>
      </x:c>
      <x:c r="I1406" s="16" t="n">
        <x:v>40</x:v>
      </x:c>
      <x:c r="J1406" s="16" t="n">
        <x:v>329</x:v>
      </x:c>
      <x:c r="K1406" s="16" t="n">
        <x:v>35</x:v>
      </x:c>
      <x:c r="L1406" s="16" t="n">
        <x:v>222</x:v>
      </x:c>
      <x:c r="M1406" s="16" t="n">
        <x:v>130</x:v>
      </x:c>
      <x:c r="N1406" s="16" t="n">
        <x:v>35</x:v>
      </x:c>
      <x:c r="O1406" s="16" t="n">
        <x:v>43</x:v>
      </x:c>
      <x:c r="P1406" s="16" t="n">
        <x:v>2</x:v>
      </x:c>
      <x:c r="Q1406" s="16" t="n">
        <x:v>7</x:v>
      </x:c>
      <x:c r="R1406" s="16" t="n">
        <x:v>5</x:v>
      </x:c>
      <x:c r="S1406" s="16" t="n">
        <x:v>8</x:v>
      </x:c>
      <x:c r="T1406" s="16" t="n">
        <x:v>4</x:v>
      </x:c>
      <x:c r="U1406" s="16" t="n">
        <x:v>0</x:v>
      </x:c>
      <x:c r="V1406" s="16" t="n">
        <x:v>0</x:v>
      </x:c>
      <x:c r="W1406" s="16" t="n">
        <x:v>0</x:v>
      </x:c>
      <x:c r="X1406" s="16" t="n">
        <x:v>0</x:v>
      </x:c>
      <x:c r="Y1406" s="16" t="n">
        <x:v>0</x:v>
      </x:c>
      <x:c r="Z1406" s="16" t="n">
        <x:v>0</x:v>
      </x:c>
      <x:c r="AA1406" s="16" t="n">
        <x:v>3</x:v>
      </x:c>
      <x:c r="AB1406" s="16" t="n">
        <x:v>11</x:v>
      </x:c>
      <x:c r="AC1406" s="16" t="n">
        <x:v>0</x:v>
      </x:c>
      <x:c r="AD1406" s="21" t="n">
        <x:f>IF(E1406="",MEDIAN($E$2:$E$2237),E1406)</x:f>
        <x:v>67087</x:v>
      </x:c>
      <x:c r="AE1406" s="17" t="n">
        <x:f>2014-B1406</x:f>
        <x:v>61</x:v>
      </x:c>
      <x:c r="AF1406" s="17" t="n">
        <x:f>F1406+G1406</x:f>
        <x:v>1</x:v>
      </x:c>
      <x:c r="AG1406" s="21" t="n">
        <x:f>SUM(J1406:O1406)</x:f>
        <x:v>794</x:v>
      </x:c>
      <x:c r="AH1406" s="17" t="n">
        <x:f>SUM(Q1406:S1406)</x:f>
        <x:v>20</x:v>
      </x:c>
      <x:c r="AI1406" s="17" t="n">
        <x:f>SUM(U1406:Y1406)</x:f>
        <x:v>0</x:v>
      </x:c>
      <x:c r="AJ1406" s="17" t="str">
        <x:f>IF(AE1406&lt;=34,"≤34",IF(AE1406&lt;=44,"35–44",IF(AE1406&lt;=54,"45–54",IF(AE1406&lt;=64,"55–64","65+"))))</x:f>
        <x:v>55–64</x:v>
      </x:c>
      <x:c r="AK1406" s="17" t="str">
        <x:f>IF(AG1406&gt;=1000,"High Value",IF(AG1406&gt;=300,"Mid Value","Low Value"))</x:f>
        <x:v>Mid Value</x:v>
      </x:c>
      <x:c r="AL1406" s="17" t="str">
        <x:f>IF(AND(AI1406&gt;=1,I1406&lt;=50),"Priority 1",IF(AND(AG1406&gt;=1000,I1406&lt;=60),"Priority 2",IF(I1406&lt;=30,"Priority 3","Nurture")))</x:f>
        <x:v>Nurture</x:v>
      </x:c>
    </x:row>
    <x:row r="1407">
      <x:c r="A1407" s="16" t="n">
        <x:v>8783</x:v>
      </x:c>
      <x:c r="B1407" s="16" t="n">
        <x:v>1950</x:v>
      </x:c>
      <x:c r="C1407" s="16" t="str">
        <x:v>Graduation</x:v>
      </x:c>
      <x:c r="D1407" s="16" t="str">
        <x:v>Married</x:v>
      </x:c>
      <x:c r="E1407" s="16" t="n">
        <x:v>57045</x:v>
      </x:c>
      <x:c r="F1407" s="16" t="n">
        <x:v>0</x:v>
      </x:c>
      <x:c r="G1407" s="16" t="n">
        <x:v>1</x:v>
      </x:c>
      <x:c r="H1407" s="16" t="str">
        <x:v>08-09-2012</x:v>
      </x:c>
      <x:c r="I1407" s="16" t="n">
        <x:v>40</x:v>
      </x:c>
      <x:c r="J1407" s="16" t="n">
        <x:v>296</x:v>
      </x:c>
      <x:c r="K1407" s="16" t="n">
        <x:v>13</x:v>
      </x:c>
      <x:c r="L1407" s="16" t="n">
        <x:v>104</x:v>
      </x:c>
      <x:c r="M1407" s="16" t="n">
        <x:v>11</x:v>
      </x:c>
      <x:c r="N1407" s="16" t="n">
        <x:v>13</x:v>
      </x:c>
      <x:c r="O1407" s="16" t="n">
        <x:v>17</x:v>
      </x:c>
      <x:c r="P1407" s="16" t="n">
        <x:v>3</x:v>
      </x:c>
      <x:c r="Q1407" s="16" t="n">
        <x:v>4</x:v>
      </x:c>
      <x:c r="R1407" s="16" t="n">
        <x:v>2</x:v>
      </x:c>
      <x:c r="S1407" s="16" t="n">
        <x:v>9</x:v>
      </x:c>
      <x:c r="T1407" s="16" t="n">
        <x:v>3</x:v>
      </x:c>
      <x:c r="U1407" s="16" t="n">
        <x:v>0</x:v>
      </x:c>
      <x:c r="V1407" s="16" t="n">
        <x:v>0</x:v>
      </x:c>
      <x:c r="W1407" s="16" t="n">
        <x:v>0</x:v>
      </x:c>
      <x:c r="X1407" s="16" t="n">
        <x:v>0</x:v>
      </x:c>
      <x:c r="Y1407" s="16" t="n">
        <x:v>0</x:v>
      </x:c>
      <x:c r="Z1407" s="16" t="n">
        <x:v>0</x:v>
      </x:c>
      <x:c r="AA1407" s="16" t="n">
        <x:v>3</x:v>
      </x:c>
      <x:c r="AB1407" s="16" t="n">
        <x:v>11</x:v>
      </x:c>
      <x:c r="AC1407" s="16" t="n">
        <x:v>0</x:v>
      </x:c>
      <x:c r="AD1407" s="21" t="n">
        <x:f>IF(E1407="",MEDIAN($E$2:$E$2237),E1407)</x:f>
        <x:v>57045</x:v>
      </x:c>
      <x:c r="AE1407" s="17" t="n">
        <x:f>2014-B1407</x:f>
        <x:v>64</x:v>
      </x:c>
      <x:c r="AF1407" s="17" t="n">
        <x:f>F1407+G1407</x:f>
        <x:v>1</x:v>
      </x:c>
      <x:c r="AG1407" s="21" t="n">
        <x:f>SUM(J1407:O1407)</x:f>
        <x:v>454</x:v>
      </x:c>
      <x:c r="AH1407" s="17" t="n">
        <x:f>SUM(Q1407:S1407)</x:f>
        <x:v>15</x:v>
      </x:c>
      <x:c r="AI1407" s="17" t="n">
        <x:f>SUM(U1407:Y1407)</x:f>
        <x:v>0</x:v>
      </x:c>
      <x:c r="AJ1407" s="17" t="str">
        <x:f>IF(AE1407&lt;=34,"≤34",IF(AE1407&lt;=44,"35–44",IF(AE1407&lt;=54,"45–54",IF(AE1407&lt;=64,"55–64","65+"))))</x:f>
        <x:v>55–64</x:v>
      </x:c>
      <x:c r="AK1407" s="17" t="str">
        <x:f>IF(AG1407&gt;=1000,"High Value",IF(AG1407&gt;=300,"Mid Value","Low Value"))</x:f>
        <x:v>Mid Value</x:v>
      </x:c>
      <x:c r="AL1407" s="17" t="str">
        <x:f>IF(AND(AI1407&gt;=1,I1407&lt;=50),"Priority 1",IF(AND(AG1407&gt;=1000,I1407&lt;=60),"Priority 2",IF(I1407&lt;=30,"Priority 3","Nurture")))</x:f>
        <x:v>Nurture</x:v>
      </x:c>
    </x:row>
    <x:row r="1408">
      <x:c r="A1408" s="16" t="n">
        <x:v>10010</x:v>
      </x:c>
      <x:c r="B1408" s="16" t="n">
        <x:v>1953</x:v>
      </x:c>
      <x:c r="C1408" s="16" t="str">
        <x:v>PhD</x:v>
      </x:c>
      <x:c r="D1408" s="16" t="str">
        <x:v>Divorced</x:v>
      </x:c>
      <x:c r="E1408" s="16" t="n">
        <x:v>36957</x:v>
      </x:c>
      <x:c r="F1408" s="16" t="n">
        <x:v>1</x:v>
      </x:c>
      <x:c r="G1408" s="16" t="n">
        <x:v>1</x:v>
      </x:c>
      <x:c r="H1408" s="16" t="str">
        <x:v>06-09-2012</x:v>
      </x:c>
      <x:c r="I1408" s="16" t="n">
        <x:v>43</x:v>
      </x:c>
      <x:c r="J1408" s="16" t="n">
        <x:v>100</x:v>
      </x:c>
      <x:c r="K1408" s="16" t="n">
        <x:v>2</x:v>
      </x:c>
      <x:c r="L1408" s="16" t="n">
        <x:v>16</x:v>
      </x:c>
      <x:c r="M1408" s="16" t="n">
        <x:v>2</x:v>
      </x:c>
      <x:c r="N1408" s="16" t="n">
        <x:v>1</x:v>
      </x:c>
      <x:c r="O1408" s="16" t="n">
        <x:v>31</x:v>
      </x:c>
      <x:c r="P1408" s="16" t="n">
        <x:v>4</x:v>
      </x:c>
      <x:c r="Q1408" s="16" t="n">
        <x:v>3</x:v>
      </x:c>
      <x:c r="R1408" s="16" t="n">
        <x:v>2</x:v>
      </x:c>
      <x:c r="S1408" s="16" t="n">
        <x:v>2</x:v>
      </x:c>
      <x:c r="T1408" s="16" t="n">
        <x:v>9</x:v>
      </x:c>
      <x:c r="U1408" s="16" t="n">
        <x:v>0</x:v>
      </x:c>
      <x:c r="V1408" s="16" t="n">
        <x:v>0</x:v>
      </x:c>
      <x:c r="W1408" s="16" t="n">
        <x:v>0</x:v>
      </x:c>
      <x:c r="X1408" s="16" t="n">
        <x:v>0</x:v>
      </x:c>
      <x:c r="Y1408" s="16" t="n">
        <x:v>0</x:v>
      </x:c>
      <x:c r="Z1408" s="16" t="n">
        <x:v>0</x:v>
      </x:c>
      <x:c r="AA1408" s="16" t="n">
        <x:v>3</x:v>
      </x:c>
      <x:c r="AB1408" s="16" t="n">
        <x:v>11</x:v>
      </x:c>
      <x:c r="AC1408" s="16" t="n">
        <x:v>1</x:v>
      </x:c>
      <x:c r="AD1408" s="21" t="n">
        <x:f>IF(E1408="",MEDIAN($E$2:$E$2237),E1408)</x:f>
        <x:v>36957</x:v>
      </x:c>
      <x:c r="AE1408" s="17" t="n">
        <x:f>2014-B1408</x:f>
        <x:v>61</x:v>
      </x:c>
      <x:c r="AF1408" s="17" t="n">
        <x:f>F1408+G1408</x:f>
        <x:v>2</x:v>
      </x:c>
      <x:c r="AG1408" s="21" t="n">
        <x:f>SUM(J1408:O1408)</x:f>
        <x:v>152</x:v>
      </x:c>
      <x:c r="AH1408" s="17" t="n">
        <x:f>SUM(Q1408:S1408)</x:f>
        <x:v>7</x:v>
      </x:c>
      <x:c r="AI1408" s="17" t="n">
        <x:f>SUM(U1408:Y1408)</x:f>
        <x:v>0</x:v>
      </x:c>
      <x:c r="AJ1408" s="17" t="str">
        <x:f>IF(AE1408&lt;=34,"≤34",IF(AE1408&lt;=44,"35–44",IF(AE1408&lt;=54,"45–54",IF(AE1408&lt;=64,"55–64","65+"))))</x:f>
        <x:v>55–64</x:v>
      </x:c>
      <x:c r="AK1408" s="17" t="str">
        <x:f>IF(AG1408&gt;=1000,"High Value",IF(AG1408&gt;=300,"Mid Value","Low Value"))</x:f>
        <x:v>Low Value</x:v>
      </x:c>
      <x:c r="AL1408" s="17" t="str">
        <x:f>IF(AND(AI1408&gt;=1,I1408&lt;=50),"Priority 1",IF(AND(AG1408&gt;=1000,I1408&lt;=60),"Priority 2",IF(I1408&lt;=30,"Priority 3","Nurture")))</x:f>
        <x:v>Nurture</x:v>
      </x:c>
    </x:row>
    <x:row r="1409">
      <x:c r="A1409" s="16" t="n">
        <x:v>618</x:v>
      </x:c>
      <x:c r="B1409" s="16" t="n">
        <x:v>1977</x:v>
      </x:c>
      <x:c r="C1409" s="16" t="str">
        <x:v>PhD</x:v>
      </x:c>
      <x:c r="D1409" s="16" t="str">
        <x:v>Married</x:v>
      </x:c>
      <x:c r="E1409" s="16" t="n">
        <x:v>69389</x:v>
      </x:c>
      <x:c r="F1409" s="16" t="n">
        <x:v>0</x:v>
      </x:c>
      <x:c r="G1409" s="16" t="n">
        <x:v>1</x:v>
      </x:c>
      <x:c r="H1409" s="16" t="str">
        <x:v>28-09-2012</x:v>
      </x:c>
      <x:c r="I1409" s="16" t="n">
        <x:v>17</x:v>
      </x:c>
      <x:c r="J1409" s="16" t="n">
        <x:v>422</x:v>
      </x:c>
      <x:c r="K1409" s="16" t="n">
        <x:v>7</x:v>
      </x:c>
      <x:c r="L1409" s="16" t="n">
        <x:v>238</x:v>
      </x:c>
      <x:c r="M1409" s="16" t="n">
        <x:v>69</x:v>
      </x:c>
      <x:c r="N1409" s="16" t="n">
        <x:v>46</x:v>
      </x:c>
      <x:c r="O1409" s="16" t="n">
        <x:v>15</x:v>
      </x:c>
      <x:c r="P1409" s="16" t="n">
        <x:v>1</x:v>
      </x:c>
      <x:c r="Q1409" s="16" t="n">
        <x:v>7</x:v>
      </x:c>
      <x:c r="R1409" s="16" t="n">
        <x:v>2</x:v>
      </x:c>
      <x:c r="S1409" s="16" t="n">
        <x:v>12</x:v>
      </x:c>
      <x:c r="T1409" s="16" t="n">
        <x:v>4</x:v>
      </x:c>
      <x:c r="U1409" s="16" t="n">
        <x:v>0</x:v>
      </x:c>
      <x:c r="V1409" s="16" t="n">
        <x:v>0</x:v>
      </x:c>
      <x:c r="W1409" s="16" t="n">
        <x:v>0</x:v>
      </x:c>
      <x:c r="X1409" s="16" t="n">
        <x:v>0</x:v>
      </x:c>
      <x:c r="Y1409" s="16" t="n">
        <x:v>0</x:v>
      </x:c>
      <x:c r="Z1409" s="16" t="n">
        <x:v>0</x:v>
      </x:c>
      <x:c r="AA1409" s="16" t="n">
        <x:v>3</x:v>
      </x:c>
      <x:c r="AB1409" s="16" t="n">
        <x:v>11</x:v>
      </x:c>
      <x:c r="AC1409" s="16" t="n">
        <x:v>0</x:v>
      </x:c>
      <x:c r="AD1409" s="21" t="n">
        <x:f>IF(E1409="",MEDIAN($E$2:$E$2237),E1409)</x:f>
        <x:v>69389</x:v>
      </x:c>
      <x:c r="AE1409" s="17" t="n">
        <x:f>2014-B1409</x:f>
        <x:v>37</x:v>
      </x:c>
      <x:c r="AF1409" s="17" t="n">
        <x:f>F1409+G1409</x:f>
        <x:v>1</x:v>
      </x:c>
      <x:c r="AG1409" s="21" t="n">
        <x:f>SUM(J1409:O1409)</x:f>
        <x:v>797</x:v>
      </x:c>
      <x:c r="AH1409" s="17" t="n">
        <x:f>SUM(Q1409:S1409)</x:f>
        <x:v>21</x:v>
      </x:c>
      <x:c r="AI1409" s="17" t="n">
        <x:f>SUM(U1409:Y1409)</x:f>
        <x:v>0</x:v>
      </x:c>
      <x:c r="AJ1409" s="17" t="str">
        <x:f>IF(AE1409&lt;=34,"≤34",IF(AE1409&lt;=44,"35–44",IF(AE1409&lt;=54,"45–54",IF(AE1409&lt;=64,"55–64","65+"))))</x:f>
        <x:v>35–44</x:v>
      </x:c>
      <x:c r="AK1409" s="17" t="str">
        <x:f>IF(AG1409&gt;=1000,"High Value",IF(AG1409&gt;=300,"Mid Value","Low Value"))</x:f>
        <x:v>Mid Value</x:v>
      </x:c>
      <x:c r="AL1409" s="17" t="str">
        <x:f>IF(AND(AI1409&gt;=1,I1409&lt;=50),"Priority 1",IF(AND(AG1409&gt;=1000,I1409&lt;=60),"Priority 2",IF(I1409&lt;=30,"Priority 3","Nurture")))</x:f>
        <x:v>Priority 3</x:v>
      </x:c>
    </x:row>
    <x:row r="1410">
      <x:c r="A1410" s="16" t="n">
        <x:v>9121</x:v>
      </x:c>
      <x:c r="B1410" s="16" t="n">
        <x:v>1972</x:v>
      </x:c>
      <x:c r="C1410" s="16" t="str">
        <x:v>Graduation</x:v>
      </x:c>
      <x:c r="D1410" s="16" t="str">
        <x:v>Married</x:v>
      </x:c>
      <x:c r="E1410" s="16" t="n">
        <x:v>80134</x:v>
      </x:c>
      <x:c r="F1410" s="16" t="n">
        <x:v>1</x:v>
      </x:c>
      <x:c r="G1410" s="16" t="n">
        <x:v>0</x:v>
      </x:c>
      <x:c r="H1410" s="16" t="str">
        <x:v>20-05-2013</x:v>
      </x:c>
      <x:c r="I1410" s="16" t="n">
        <x:v>40</x:v>
      </x:c>
      <x:c r="J1410" s="16" t="n">
        <x:v>1218</x:v>
      </x:c>
      <x:c r="K1410" s="16" t="n">
        <x:v>16</x:v>
      </x:c>
      <x:c r="L1410" s="16" t="n">
        <x:v>272</x:v>
      </x:c>
      <x:c r="M1410" s="16" t="n">
        <x:v>104</x:v>
      </x:c>
      <x:c r="N1410" s="16" t="n">
        <x:v>0</x:v>
      </x:c>
      <x:c r="O1410" s="16" t="n">
        <x:v>80</x:v>
      </x:c>
      <x:c r="P1410" s="16" t="n">
        <x:v>2</x:v>
      </x:c>
      <x:c r="Q1410" s="16" t="n">
        <x:v>5</x:v>
      </x:c>
      <x:c r="R1410" s="16" t="n">
        <x:v>3</x:v>
      </x:c>
      <x:c r="S1410" s="16" t="n">
        <x:v>6</x:v>
      </x:c>
      <x:c r="T1410" s="16" t="n">
        <x:v>6</x:v>
      </x:c>
      <x:c r="U1410" s="16" t="n">
        <x:v>0</x:v>
      </x:c>
      <x:c r="V1410" s="16" t="n">
        <x:v>1</x:v>
      </x:c>
      <x:c r="W1410" s="16" t="n">
        <x:v>1</x:v>
      </x:c>
      <x:c r="X1410" s="16" t="n">
        <x:v>1</x:v>
      </x:c>
      <x:c r="Y1410" s="16" t="n">
        <x:v>0</x:v>
      </x:c>
      <x:c r="Z1410" s="16" t="n">
        <x:v>0</x:v>
      </x:c>
      <x:c r="AA1410" s="16" t="n">
        <x:v>3</x:v>
      </x:c>
      <x:c r="AB1410" s="16" t="n">
        <x:v>11</x:v>
      </x:c>
      <x:c r="AC1410" s="16" t="n">
        <x:v>1</x:v>
      </x:c>
      <x:c r="AD1410" s="21" t="n">
        <x:f>IF(E1410="",MEDIAN($E$2:$E$2237),E1410)</x:f>
        <x:v>80134</x:v>
      </x:c>
      <x:c r="AE1410" s="17" t="n">
        <x:f>2014-B1410</x:f>
        <x:v>42</x:v>
      </x:c>
      <x:c r="AF1410" s="17" t="n">
        <x:f>F1410+G1410</x:f>
        <x:v>1</x:v>
      </x:c>
      <x:c r="AG1410" s="21" t="n">
        <x:f>SUM(J1410:O1410)</x:f>
        <x:v>1690</x:v>
      </x:c>
      <x:c r="AH1410" s="17" t="n">
        <x:f>SUM(Q1410:S1410)</x:f>
        <x:v>14</x:v>
      </x:c>
      <x:c r="AI1410" s="17" t="n">
        <x:f>SUM(U1410:Y1410)</x:f>
        <x:v>3</x:v>
      </x:c>
      <x:c r="AJ1410" s="17" t="str">
        <x:f>IF(AE1410&lt;=34,"≤34",IF(AE1410&lt;=44,"35–44",IF(AE1410&lt;=54,"45–54",IF(AE1410&lt;=64,"55–64","65+"))))</x:f>
        <x:v>35–44</x:v>
      </x:c>
      <x:c r="AK1410" s="17" t="str">
        <x:f>IF(AG1410&gt;=1000,"High Value",IF(AG1410&gt;=300,"Mid Value","Low Value"))</x:f>
        <x:v>High Value</x:v>
      </x:c>
      <x:c r="AL1410" s="17" t="str">
        <x:f>IF(AND(AI1410&gt;=1,I1410&lt;=50),"Priority 1",IF(AND(AG1410&gt;=1000,I1410&lt;=60),"Priority 2",IF(I1410&lt;=30,"Priority 3","Nurture")))</x:f>
        <x:v>Priority 1</x:v>
      </x:c>
    </x:row>
    <x:row r="1411">
      <x:c r="A1411" s="16" t="n">
        <x:v>361</x:v>
      </x:c>
      <x:c r="B1411" s="16" t="n">
        <x:v>1969</x:v>
      </x:c>
      <x:c r="C1411" s="16" t="str">
        <x:v>Master</x:v>
      </x:c>
      <x:c r="D1411" s="16" t="str">
        <x:v>Married</x:v>
      </x:c>
      <x:c r="E1411" s="16" t="n">
        <x:v>43142</x:v>
      </x:c>
      <x:c r="F1411" s="16" t="n">
        <x:v>1</x:v>
      </x:c>
      <x:c r="G1411" s="16" t="n">
        <x:v>1</x:v>
      </x:c>
      <x:c r="H1411" s="16" t="str">
        <x:v>18-02-2014</x:v>
      </x:c>
      <x:c r="I1411" s="16" t="n">
        <x:v>84</x:v>
      </x:c>
      <x:c r="J1411" s="16" t="n">
        <x:v>5</x:v>
      </x:c>
      <x:c r="K1411" s="16" t="n">
        <x:v>1</x:v>
      </x:c>
      <x:c r="L1411" s="16" t="n">
        <x:v>7</x:v>
      </x:c>
      <x:c r="M1411" s="16" t="n">
        <x:v>2</x:v>
      </x:c>
      <x:c r="N1411" s="16" t="n">
        <x:v>1</x:v>
      </x:c>
      <x:c r="O1411" s="16" t="n">
        <x:v>4</x:v>
      </x:c>
      <x:c r="P1411" s="16" t="n">
        <x:v>1</x:v>
      </x:c>
      <x:c r="Q1411" s="16" t="n">
        <x:v>1</x:v>
      </x:c>
      <x:c r="R1411" s="16" t="n">
        <x:v>0</x:v>
      </x:c>
      <x:c r="S1411" s="16" t="n">
        <x:v>2</x:v>
      </x:c>
      <x:c r="T1411" s="16" t="n">
        <x:v>7</x:v>
      </x:c>
      <x:c r="U1411" s="16" t="n">
        <x:v>0</x:v>
      </x:c>
      <x:c r="V1411" s="16" t="n">
        <x:v>0</x:v>
      </x:c>
      <x:c r="W1411" s="16" t="n">
        <x:v>0</x:v>
      </x:c>
      <x:c r="X1411" s="16" t="n">
        <x:v>0</x:v>
      </x:c>
      <x:c r="Y1411" s="16" t="n">
        <x:v>0</x:v>
      </x:c>
      <x:c r="Z1411" s="16" t="n">
        <x:v>0</x:v>
      </x:c>
      <x:c r="AA1411" s="16" t="n">
        <x:v>3</x:v>
      </x:c>
      <x:c r="AB1411" s="16" t="n">
        <x:v>11</x:v>
      </x:c>
      <x:c r="AC1411" s="16" t="n">
        <x:v>0</x:v>
      </x:c>
      <x:c r="AD1411" s="21" t="n">
        <x:f>IF(E1411="",MEDIAN($E$2:$E$2237),E1411)</x:f>
        <x:v>43142</x:v>
      </x:c>
      <x:c r="AE1411" s="17" t="n">
        <x:f>2014-B1411</x:f>
        <x:v>45</x:v>
      </x:c>
      <x:c r="AF1411" s="17" t="n">
        <x:f>F1411+G1411</x:f>
        <x:v>2</x:v>
      </x:c>
      <x:c r="AG1411" s="21" t="n">
        <x:f>SUM(J1411:O1411)</x:f>
        <x:v>20</x:v>
      </x:c>
      <x:c r="AH1411" s="17" t="n">
        <x:f>SUM(Q1411:S1411)</x:f>
        <x:v>3</x:v>
      </x:c>
      <x:c r="AI1411" s="17" t="n">
        <x:f>SUM(U1411:Y1411)</x:f>
        <x:v>0</x:v>
      </x:c>
      <x:c r="AJ1411" s="17" t="str">
        <x:f>IF(AE1411&lt;=34,"≤34",IF(AE1411&lt;=44,"35–44",IF(AE1411&lt;=54,"45–54",IF(AE1411&lt;=64,"55–64","65+"))))</x:f>
        <x:v>45–54</x:v>
      </x:c>
      <x:c r="AK1411" s="17" t="str">
        <x:f>IF(AG1411&gt;=1000,"High Value",IF(AG1411&gt;=300,"Mid Value","Low Value"))</x:f>
        <x:v>Low Value</x:v>
      </x:c>
      <x:c r="AL1411" s="17" t="str">
        <x:f>IF(AND(AI1411&gt;=1,I1411&lt;=50),"Priority 1",IF(AND(AG1411&gt;=1000,I1411&lt;=60),"Priority 2",IF(I1411&lt;=30,"Priority 3","Nurture")))</x:f>
        <x:v>Nurture</x:v>
      </x:c>
    </x:row>
    <x:row r="1412">
      <x:c r="A1412" s="16" t="n">
        <x:v>4310</x:v>
      </x:c>
      <x:c r="B1412" s="16" t="n">
        <x:v>1944</x:v>
      </x:c>
      <x:c r="C1412" s="16" t="str">
        <x:v>Graduation</x:v>
      </x:c>
      <x:c r="D1412" s="16" t="str">
        <x:v>Married</x:v>
      </x:c>
      <x:c r="E1412" s="16" t="n">
        <x:v>80589</x:v>
      </x:c>
      <x:c r="F1412" s="16" t="n">
        <x:v>0</x:v>
      </x:c>
      <x:c r="G1412" s="16" t="n">
        <x:v>0</x:v>
      </x:c>
      <x:c r="H1412" s="16" t="str">
        <x:v>22-01-2014</x:v>
      </x:c>
      <x:c r="I1412" s="16" t="n">
        <x:v>25</x:v>
      </x:c>
      <x:c r="J1412" s="16" t="n">
        <x:v>507</x:v>
      </x:c>
      <x:c r="K1412" s="16" t="n">
        <x:v>93</x:v>
      </x:c>
      <x:c r="L1412" s="16" t="n">
        <x:v>520</x:v>
      </x:c>
      <x:c r="M1412" s="16" t="n">
        <x:v>242</x:v>
      </x:c>
      <x:c r="N1412" s="16" t="n">
        <x:v>40</x:v>
      </x:c>
      <x:c r="O1412" s="16" t="n">
        <x:v>26</x:v>
      </x:c>
      <x:c r="P1412" s="16" t="n">
        <x:v>1</x:v>
      </x:c>
      <x:c r="Q1412" s="16" t="n">
        <x:v>5</x:v>
      </x:c>
      <x:c r="R1412" s="16" t="n">
        <x:v>10</x:v>
      </x:c>
      <x:c r="S1412" s="16" t="n">
        <x:v>5</x:v>
      </x:c>
      <x:c r="T1412" s="16" t="n">
        <x:v>1</x:v>
      </x:c>
      <x:c r="U1412" s="16" t="n">
        <x:v>0</x:v>
      </x:c>
      <x:c r="V1412" s="16" t="n">
        <x:v>0</x:v>
      </x:c>
      <x:c r="W1412" s="16" t="n">
        <x:v>0</x:v>
      </x:c>
      <x:c r="X1412" s="16" t="n">
        <x:v>1</x:v>
      </x:c>
      <x:c r="Y1412" s="16" t="n">
        <x:v>0</x:v>
      </x:c>
      <x:c r="Z1412" s="16" t="n">
        <x:v>0</x:v>
      </x:c>
      <x:c r="AA1412" s="16" t="n">
        <x:v>3</x:v>
      </x:c>
      <x:c r="AB1412" s="16" t="n">
        <x:v>11</x:v>
      </x:c>
      <x:c r="AC1412" s="16" t="n">
        <x:v>1</x:v>
      </x:c>
      <x:c r="AD1412" s="21" t="n">
        <x:f>IF(E1412="",MEDIAN($E$2:$E$2237),E1412)</x:f>
        <x:v>80589</x:v>
      </x:c>
      <x:c r="AE1412" s="17" t="n">
        <x:f>2014-B1412</x:f>
        <x:v>70</x:v>
      </x:c>
      <x:c r="AF1412" s="17" t="n">
        <x:f>F1412+G1412</x:f>
        <x:v>0</x:v>
      </x:c>
      <x:c r="AG1412" s="21" t="n">
        <x:f>SUM(J1412:O1412)</x:f>
        <x:v>1428</x:v>
      </x:c>
      <x:c r="AH1412" s="17" t="n">
        <x:f>SUM(Q1412:S1412)</x:f>
        <x:v>20</x:v>
      </x:c>
      <x:c r="AI1412" s="17" t="n">
        <x:f>SUM(U1412:Y1412)</x:f>
        <x:v>1</x:v>
      </x:c>
      <x:c r="AJ1412" s="17" t="str">
        <x:f>IF(AE1412&lt;=34,"≤34",IF(AE1412&lt;=44,"35–44",IF(AE1412&lt;=54,"45–54",IF(AE1412&lt;=64,"55–64","65+"))))</x:f>
        <x:v>65+</x:v>
      </x:c>
      <x:c r="AK1412" s="17" t="str">
        <x:f>IF(AG1412&gt;=1000,"High Value",IF(AG1412&gt;=300,"Mid Value","Low Value"))</x:f>
        <x:v>High Value</x:v>
      </x:c>
      <x:c r="AL1412" s="17" t="str">
        <x:f>IF(AND(AI1412&gt;=1,I1412&lt;=50),"Priority 1",IF(AND(AG1412&gt;=1000,I1412&lt;=60),"Priority 2",IF(I1412&lt;=30,"Priority 3","Nurture")))</x:f>
        <x:v>Priority 1</x:v>
      </x:c>
    </x:row>
    <x:row r="1413">
      <x:c r="A1413" s="16" t="n">
        <x:v>2678</x:v>
      </x:c>
      <x:c r="B1413" s="16" t="n">
        <x:v>1990</x:v>
      </x:c>
      <x:c r="C1413" s="16" t="str">
        <x:v>Graduation</x:v>
      </x:c>
      <x:c r="D1413" s="16" t="str">
        <x:v>Single</x:v>
      </x:c>
      <x:c r="E1413" s="16" t="n">
        <x:v>34412</x:v>
      </x:c>
      <x:c r="F1413" s="16" t="n">
        <x:v>1</x:v>
      </x:c>
      <x:c r="G1413" s="16" t="n">
        <x:v>0</x:v>
      </x:c>
      <x:c r="H1413" s="16" t="str">
        <x:v>13-02-2013</x:v>
      </x:c>
      <x:c r="I1413" s="16" t="n">
        <x:v>62</x:v>
      </x:c>
      <x:c r="J1413" s="16" t="n">
        <x:v>52</x:v>
      </x:c>
      <x:c r="K1413" s="16" t="n">
        <x:v>12</x:v>
      </x:c>
      <x:c r="L1413" s="16" t="n">
        <x:v>50</x:v>
      </x:c>
      <x:c r="M1413" s="16" t="n">
        <x:v>4</x:v>
      </x:c>
      <x:c r="N1413" s="16" t="n">
        <x:v>36</x:v>
      </x:c>
      <x:c r="O1413" s="16" t="n">
        <x:v>55</x:v>
      </x:c>
      <x:c r="P1413" s="16" t="n">
        <x:v>3</x:v>
      </x:c>
      <x:c r="Q1413" s="16" t="n">
        <x:v>5</x:v>
      </x:c>
      <x:c r="R1413" s="16" t="n">
        <x:v>0</x:v>
      </x:c>
      <x:c r="S1413" s="16" t="n">
        <x:v>3</x:v>
      </x:c>
      <x:c r="T1413" s="16" t="n">
        <x:v>9</x:v>
      </x:c>
      <x:c r="U1413" s="16" t="n">
        <x:v>0</x:v>
      </x:c>
      <x:c r="V1413" s="16" t="n">
        <x:v>0</x:v>
      </x:c>
      <x:c r="W1413" s="16" t="n">
        <x:v>0</x:v>
      </x:c>
      <x:c r="X1413" s="16" t="n">
        <x:v>0</x:v>
      </x:c>
      <x:c r="Y1413" s="16" t="n">
        <x:v>0</x:v>
      </x:c>
      <x:c r="Z1413" s="16" t="n">
        <x:v>0</x:v>
      </x:c>
      <x:c r="AA1413" s="16" t="n">
        <x:v>3</x:v>
      </x:c>
      <x:c r="AB1413" s="16" t="n">
        <x:v>11</x:v>
      </x:c>
      <x:c r="AC1413" s="16" t="n">
        <x:v>0</x:v>
      </x:c>
      <x:c r="AD1413" s="21" t="n">
        <x:f>IF(E1413="",MEDIAN($E$2:$E$2237),E1413)</x:f>
        <x:v>34412</x:v>
      </x:c>
      <x:c r="AE1413" s="17" t="n">
        <x:f>2014-B1413</x:f>
        <x:v>24</x:v>
      </x:c>
      <x:c r="AF1413" s="17" t="n">
        <x:f>F1413+G1413</x:f>
        <x:v>1</x:v>
      </x:c>
      <x:c r="AG1413" s="21" t="n">
        <x:f>SUM(J1413:O1413)</x:f>
        <x:v>209</x:v>
      </x:c>
      <x:c r="AH1413" s="17" t="n">
        <x:f>SUM(Q1413:S1413)</x:f>
        <x:v>8</x:v>
      </x:c>
      <x:c r="AI1413" s="17" t="n">
        <x:f>SUM(U1413:Y1413)</x:f>
        <x:v>0</x:v>
      </x:c>
      <x:c r="AJ1413" s="17" t="str">
        <x:f>IF(AE1413&lt;=34,"≤34",IF(AE1413&lt;=44,"35–44",IF(AE1413&lt;=54,"45–54",IF(AE1413&lt;=64,"55–64","65+"))))</x:f>
        <x:v>≤34</x:v>
      </x:c>
      <x:c r="AK1413" s="17" t="str">
        <x:f>IF(AG1413&gt;=1000,"High Value",IF(AG1413&gt;=300,"Mid Value","Low Value"))</x:f>
        <x:v>Low Value</x:v>
      </x:c>
      <x:c r="AL1413" s="17" t="str">
        <x:f>IF(AND(AI1413&gt;=1,I1413&lt;=50),"Priority 1",IF(AND(AG1413&gt;=1000,I1413&lt;=60),"Priority 2",IF(I1413&lt;=30,"Priority 3","Nurture")))</x:f>
        <x:v>Nurture</x:v>
      </x:c>
    </x:row>
    <x:row r="1414">
      <x:c r="A1414" s="16" t="n">
        <x:v>6376</x:v>
      </x:c>
      <x:c r="B1414" s="16" t="n">
        <x:v>1979</x:v>
      </x:c>
      <x:c r="C1414" s="16" t="str">
        <x:v>Graduation</x:v>
      </x:c>
      <x:c r="D1414" s="16" t="str">
        <x:v>Single</x:v>
      </x:c>
      <x:c r="E1414" s="16" t="n">
        <x:v>57537</x:v>
      </x:c>
      <x:c r="F1414" s="16" t="n">
        <x:v>1</x:v>
      </x:c>
      <x:c r="G1414" s="16" t="n">
        <x:v>0</x:v>
      </x:c>
      <x:c r="H1414" s="16" t="str">
        <x:v>10-06-2013</x:v>
      </x:c>
      <x:c r="I1414" s="16" t="n">
        <x:v>83</x:v>
      </x:c>
      <x:c r="J1414" s="16" t="n">
        <x:v>191</x:v>
      </x:c>
      <x:c r="K1414" s="16" t="n">
        <x:v>56</x:v>
      </x:c>
      <x:c r="L1414" s="16" t="n">
        <x:v>139</x:v>
      </x:c>
      <x:c r="M1414" s="16" t="n">
        <x:v>51</x:v>
      </x:c>
      <x:c r="N1414" s="16" t="n">
        <x:v>8</x:v>
      </x:c>
      <x:c r="O1414" s="16" t="n">
        <x:v>100</x:v>
      </x:c>
      <x:c r="P1414" s="16" t="n">
        <x:v>4</x:v>
      </x:c>
      <x:c r="Q1414" s="16" t="n">
        <x:v>4</x:v>
      </x:c>
      <x:c r="R1414" s="16" t="n">
        <x:v>3</x:v>
      </x:c>
      <x:c r="S1414" s="16" t="n">
        <x:v>8</x:v>
      </x:c>
      <x:c r="T1414" s="16" t="n">
        <x:v>4</x:v>
      </x:c>
      <x:c r="U1414" s="16" t="n">
        <x:v>0</x:v>
      </x:c>
      <x:c r="V1414" s="16" t="n">
        <x:v>0</x:v>
      </x:c>
      <x:c r="W1414" s="16" t="n">
        <x:v>0</x:v>
      </x:c>
      <x:c r="X1414" s="16" t="n">
        <x:v>0</x:v>
      </x:c>
      <x:c r="Y1414" s="16" t="n">
        <x:v>0</x:v>
      </x:c>
      <x:c r="Z1414" s="16" t="n">
        <x:v>0</x:v>
      </x:c>
      <x:c r="AA1414" s="16" t="n">
        <x:v>3</x:v>
      </x:c>
      <x:c r="AB1414" s="16" t="n">
        <x:v>11</x:v>
      </x:c>
      <x:c r="AC1414" s="16" t="n">
        <x:v>0</x:v>
      </x:c>
      <x:c r="AD1414" s="21" t="n">
        <x:f>IF(E1414="",MEDIAN($E$2:$E$2237),E1414)</x:f>
        <x:v>57537</x:v>
      </x:c>
      <x:c r="AE1414" s="17" t="n">
        <x:f>2014-B1414</x:f>
        <x:v>35</x:v>
      </x:c>
      <x:c r="AF1414" s="17" t="n">
        <x:f>F1414+G1414</x:f>
        <x:v>1</x:v>
      </x:c>
      <x:c r="AG1414" s="21" t="n">
        <x:f>SUM(J1414:O1414)</x:f>
        <x:v>545</x:v>
      </x:c>
      <x:c r="AH1414" s="17" t="n">
        <x:f>SUM(Q1414:S1414)</x:f>
        <x:v>15</x:v>
      </x:c>
      <x:c r="AI1414" s="17" t="n">
        <x:f>SUM(U1414:Y1414)</x:f>
        <x:v>0</x:v>
      </x:c>
      <x:c r="AJ1414" s="17" t="str">
        <x:f>IF(AE1414&lt;=34,"≤34",IF(AE1414&lt;=44,"35–44",IF(AE1414&lt;=54,"45–54",IF(AE1414&lt;=64,"55–64","65+"))))</x:f>
        <x:v>35–44</x:v>
      </x:c>
      <x:c r="AK1414" s="17" t="str">
        <x:f>IF(AG1414&gt;=1000,"High Value",IF(AG1414&gt;=300,"Mid Value","Low Value"))</x:f>
        <x:v>Mid Value</x:v>
      </x:c>
      <x:c r="AL1414" s="17" t="str">
        <x:f>IF(AND(AI1414&gt;=1,I1414&lt;=50),"Priority 1",IF(AND(AG1414&gt;=1000,I1414&lt;=60),"Priority 2",IF(I1414&lt;=30,"Priority 3","Nurture")))</x:f>
        <x:v>Nurture</x:v>
      </x:c>
    </x:row>
    <x:row r="1415">
      <x:c r="A1415" s="16" t="n">
        <x:v>524</x:v>
      </x:c>
      <x:c r="B1415" s="16" t="n">
        <x:v>1966</x:v>
      </x:c>
      <x:c r="C1415" s="16" t="str">
        <x:v>Basic</x:v>
      </x:c>
      <x:c r="D1415" s="16" t="str">
        <x:v>Together</x:v>
      </x:c>
      <x:c r="E1415" s="16" t="n">
        <x:v>22634</x:v>
      </x:c>
      <x:c r="F1415" s="16" t="n">
        <x:v>0</x:v>
      </x:c>
      <x:c r="G1415" s="16" t="n">
        <x:v>0</x:v>
      </x:c>
      <x:c r="H1415" s="16" t="str">
        <x:v>16-01-2013</x:v>
      </x:c>
      <x:c r="I1415" s="16" t="n">
        <x:v>47</x:v>
      </x:c>
      <x:c r="J1415" s="16" t="n">
        <x:v>2</x:v>
      </x:c>
      <x:c r="K1415" s="16" t="n">
        <x:v>23</x:v>
      </x:c>
      <x:c r="L1415" s="16" t="n">
        <x:v>11</x:v>
      </x:c>
      <x:c r="M1415" s="16" t="n">
        <x:v>8</x:v>
      </x:c>
      <x:c r="N1415" s="16" t="n">
        <x:v>6</x:v>
      </x:c>
      <x:c r="O1415" s="16" t="n">
        <x:v>46</x:v>
      </x:c>
      <x:c r="P1415" s="16" t="n">
        <x:v>1</x:v>
      </x:c>
      <x:c r="Q1415" s="16" t="n">
        <x:v>2</x:v>
      </x:c>
      <x:c r="R1415" s="16" t="n">
        <x:v>1</x:v>
      </x:c>
      <x:c r="S1415" s="16" t="n">
        <x:v>2</x:v>
      </x:c>
      <x:c r="T1415" s="16" t="n">
        <x:v>8</x:v>
      </x:c>
      <x:c r="U1415" s="16" t="n">
        <x:v>0</x:v>
      </x:c>
      <x:c r="V1415" s="16" t="n">
        <x:v>0</x:v>
      </x:c>
      <x:c r="W1415" s="16" t="n">
        <x:v>0</x:v>
      </x:c>
      <x:c r="X1415" s="16" t="n">
        <x:v>0</x:v>
      </x:c>
      <x:c r="Y1415" s="16" t="n">
        <x:v>0</x:v>
      </x:c>
      <x:c r="Z1415" s="16" t="n">
        <x:v>0</x:v>
      </x:c>
      <x:c r="AA1415" s="16" t="n">
        <x:v>3</x:v>
      </x:c>
      <x:c r="AB1415" s="16" t="n">
        <x:v>11</x:v>
      </x:c>
      <x:c r="AC1415" s="16" t="n">
        <x:v>0</x:v>
      </x:c>
      <x:c r="AD1415" s="21" t="n">
        <x:f>IF(E1415="",MEDIAN($E$2:$E$2237),E1415)</x:f>
        <x:v>22634</x:v>
      </x:c>
      <x:c r="AE1415" s="17" t="n">
        <x:f>2014-B1415</x:f>
        <x:v>48</x:v>
      </x:c>
      <x:c r="AF1415" s="17" t="n">
        <x:f>F1415+G1415</x:f>
        <x:v>0</x:v>
      </x:c>
      <x:c r="AG1415" s="21" t="n">
        <x:f>SUM(J1415:O1415)</x:f>
        <x:v>96</x:v>
      </x:c>
      <x:c r="AH1415" s="17" t="n">
        <x:f>SUM(Q1415:S1415)</x:f>
        <x:v>5</x:v>
      </x:c>
      <x:c r="AI1415" s="17" t="n">
        <x:f>SUM(U1415:Y1415)</x:f>
        <x:v>0</x:v>
      </x:c>
      <x:c r="AJ1415" s="17" t="str">
        <x:f>IF(AE1415&lt;=34,"≤34",IF(AE1415&lt;=44,"35–44",IF(AE1415&lt;=54,"45–54",IF(AE1415&lt;=64,"55–64","65+"))))</x:f>
        <x:v>45–54</x:v>
      </x:c>
      <x:c r="AK1415" s="17" t="str">
        <x:f>IF(AG1415&gt;=1000,"High Value",IF(AG1415&gt;=300,"Mid Value","Low Value"))</x:f>
        <x:v>Low Value</x:v>
      </x:c>
      <x:c r="AL1415" s="17" t="str">
        <x:f>IF(AND(AI1415&gt;=1,I1415&lt;=50),"Priority 1",IF(AND(AG1415&gt;=1000,I1415&lt;=60),"Priority 2",IF(I1415&lt;=30,"Priority 3","Nurture")))</x:f>
        <x:v>Nurture</x:v>
      </x:c>
    </x:row>
    <x:row r="1416">
      <x:c r="A1416" s="16" t="n">
        <x:v>10341</x:v>
      </x:c>
      <x:c r="B1416" s="16" t="n">
        <x:v>1948</x:v>
      </x:c>
      <x:c r="C1416" s="16" t="str">
        <x:v>Graduation</x:v>
      </x:c>
      <x:c r="D1416" s="16" t="str">
        <x:v>Together</x:v>
      </x:c>
      <x:c r="E1416" s="16" t="n">
        <x:v>51315</x:v>
      </x:c>
      <x:c r="F1416" s="16" t="n">
        <x:v>0</x:v>
      </x:c>
      <x:c r="G1416" s="16" t="n">
        <x:v>0</x:v>
      </x:c>
      <x:c r="H1416" s="16" t="str">
        <x:v>23-02-2014</x:v>
      </x:c>
      <x:c r="I1416" s="16" t="n">
        <x:v>45</x:v>
      </x:c>
      <x:c r="J1416" s="16" t="n">
        <x:v>68</x:v>
      </x:c>
      <x:c r="K1416" s="16" t="n">
        <x:v>28</x:v>
      </x:c>
      <x:c r="L1416" s="16" t="n">
        <x:v>39</x:v>
      </x:c>
      <x:c r="M1416" s="16" t="n">
        <x:v>16</x:v>
      </x:c>
      <x:c r="N1416" s="16" t="n">
        <x:v>30</x:v>
      </x:c>
      <x:c r="O1416" s="16" t="n">
        <x:v>41</x:v>
      </x:c>
      <x:c r="P1416" s="16" t="n">
        <x:v>1</x:v>
      </x:c>
      <x:c r="Q1416" s="16" t="n">
        <x:v>2</x:v>
      </x:c>
      <x:c r="R1416" s="16" t="n">
        <x:v>2</x:v>
      </x:c>
      <x:c r="S1416" s="16" t="n">
        <x:v>5</x:v>
      </x:c>
      <x:c r="T1416" s="16" t="n">
        <x:v>2</x:v>
      </x:c>
      <x:c r="U1416" s="16" t="n">
        <x:v>0</x:v>
      </x:c>
      <x:c r="V1416" s="16" t="n">
        <x:v>0</x:v>
      </x:c>
      <x:c r="W1416" s="16" t="n">
        <x:v>0</x:v>
      </x:c>
      <x:c r="X1416" s="16" t="n">
        <x:v>0</x:v>
      </x:c>
      <x:c r="Y1416" s="16" t="n">
        <x:v>0</x:v>
      </x:c>
      <x:c r="Z1416" s="16" t="n">
        <x:v>0</x:v>
      </x:c>
      <x:c r="AA1416" s="16" t="n">
        <x:v>3</x:v>
      </x:c>
      <x:c r="AB1416" s="16" t="n">
        <x:v>11</x:v>
      </x:c>
      <x:c r="AC1416" s="16" t="n">
        <x:v>0</x:v>
      </x:c>
      <x:c r="AD1416" s="21" t="n">
        <x:f>IF(E1416="",MEDIAN($E$2:$E$2237),E1416)</x:f>
        <x:v>51315</x:v>
      </x:c>
      <x:c r="AE1416" s="17" t="n">
        <x:f>2014-B1416</x:f>
        <x:v>66</x:v>
      </x:c>
      <x:c r="AF1416" s="17" t="n">
        <x:f>F1416+G1416</x:f>
        <x:v>0</x:v>
      </x:c>
      <x:c r="AG1416" s="21" t="n">
        <x:f>SUM(J1416:O1416)</x:f>
        <x:v>222</x:v>
      </x:c>
      <x:c r="AH1416" s="17" t="n">
        <x:f>SUM(Q1416:S1416)</x:f>
        <x:v>9</x:v>
      </x:c>
      <x:c r="AI1416" s="17" t="n">
        <x:f>SUM(U1416:Y1416)</x:f>
        <x:v>0</x:v>
      </x:c>
      <x:c r="AJ1416" s="17" t="str">
        <x:f>IF(AE1416&lt;=34,"≤34",IF(AE1416&lt;=44,"35–44",IF(AE1416&lt;=54,"45–54",IF(AE1416&lt;=64,"55–64","65+"))))</x:f>
        <x:v>65+</x:v>
      </x:c>
      <x:c r="AK1416" s="17" t="str">
        <x:f>IF(AG1416&gt;=1000,"High Value",IF(AG1416&gt;=300,"Mid Value","Low Value"))</x:f>
        <x:v>Low Value</x:v>
      </x:c>
      <x:c r="AL1416" s="17" t="str">
        <x:f>IF(AND(AI1416&gt;=1,I1416&lt;=50),"Priority 1",IF(AND(AG1416&gt;=1000,I1416&lt;=60),"Priority 2",IF(I1416&lt;=30,"Priority 3","Nurture")))</x:f>
        <x:v>Nurture</x:v>
      </x:c>
    </x:row>
    <x:row r="1417">
      <x:c r="A1417" s="16" t="n">
        <x:v>5654</x:v>
      </x:c>
      <x:c r="B1417" s="16" t="n">
        <x:v>1972</x:v>
      </x:c>
      <x:c r="C1417" s="16" t="str">
        <x:v>Graduation</x:v>
      </x:c>
      <x:c r="D1417" s="16" t="str">
        <x:v>Married</x:v>
      </x:c>
      <x:c r="E1417" s="16" t="n">
        <x:v>36026</x:v>
      </x:c>
      <x:c r="F1417" s="16" t="n">
        <x:v>2</x:v>
      </x:c>
      <x:c r="G1417" s="16" t="n">
        <x:v>1</x:v>
      </x:c>
      <x:c r="H1417" s="16" t="str">
        <x:v>16-03-2014</x:v>
      </x:c>
      <x:c r="I1417" s="16" t="n">
        <x:v>34</x:v>
      </x:c>
      <x:c r="J1417" s="16" t="n">
        <x:v>20</x:v>
      </x:c>
      <x:c r="K1417" s="16" t="n">
        <x:v>4</x:v>
      </x:c>
      <x:c r="L1417" s="16" t="n">
        <x:v>10</x:v>
      </x:c>
      <x:c r="M1417" s="16" t="n">
        <x:v>6</x:v>
      </x:c>
      <x:c r="N1417" s="16" t="n">
        <x:v>4</x:v>
      </x:c>
      <x:c r="O1417" s="16" t="n">
        <x:v>17</x:v>
      </x:c>
      <x:c r="P1417" s="16" t="n">
        <x:v>2</x:v>
      </x:c>
      <x:c r="Q1417" s="16" t="n">
        <x:v>2</x:v>
      </x:c>
      <x:c r="R1417" s="16" t="n">
        <x:v>0</x:v>
      </x:c>
      <x:c r="S1417" s="16" t="n">
        <x:v>3</x:v>
      </x:c>
      <x:c r="T1417" s="16" t="n">
        <x:v>6</x:v>
      </x:c>
      <x:c r="U1417" s="16" t="n">
        <x:v>0</x:v>
      </x:c>
      <x:c r="V1417" s="16" t="n">
        <x:v>0</x:v>
      </x:c>
      <x:c r="W1417" s="16" t="n">
        <x:v>0</x:v>
      </x:c>
      <x:c r="X1417" s="16" t="n">
        <x:v>0</x:v>
      </x:c>
      <x:c r="Y1417" s="16" t="n">
        <x:v>0</x:v>
      </x:c>
      <x:c r="Z1417" s="16" t="n">
        <x:v>0</x:v>
      </x:c>
      <x:c r="AA1417" s="16" t="n">
        <x:v>3</x:v>
      </x:c>
      <x:c r="AB1417" s="16" t="n">
        <x:v>11</x:v>
      </x:c>
      <x:c r="AC1417" s="16" t="n">
        <x:v>0</x:v>
      </x:c>
      <x:c r="AD1417" s="21" t="n">
        <x:f>IF(E1417="",MEDIAN($E$2:$E$2237),E1417)</x:f>
        <x:v>36026</x:v>
      </x:c>
      <x:c r="AE1417" s="17" t="n">
        <x:f>2014-B1417</x:f>
        <x:v>42</x:v>
      </x:c>
      <x:c r="AF1417" s="17" t="n">
        <x:f>F1417+G1417</x:f>
        <x:v>3</x:v>
      </x:c>
      <x:c r="AG1417" s="21" t="n">
        <x:f>SUM(J1417:O1417)</x:f>
        <x:v>61</x:v>
      </x:c>
      <x:c r="AH1417" s="17" t="n">
        <x:f>SUM(Q1417:S1417)</x:f>
        <x:v>5</x:v>
      </x:c>
      <x:c r="AI1417" s="17" t="n">
        <x:f>SUM(U1417:Y1417)</x:f>
        <x:v>0</x:v>
      </x:c>
      <x:c r="AJ1417" s="17" t="str">
        <x:f>IF(AE1417&lt;=34,"≤34",IF(AE1417&lt;=44,"35–44",IF(AE1417&lt;=54,"45–54",IF(AE1417&lt;=64,"55–64","65+"))))</x:f>
        <x:v>35–44</x:v>
      </x:c>
      <x:c r="AK1417" s="17" t="str">
        <x:f>IF(AG1417&gt;=1000,"High Value",IF(AG1417&gt;=300,"Mid Value","Low Value"))</x:f>
        <x:v>Low Value</x:v>
      </x:c>
      <x:c r="AL1417" s="17" t="str">
        <x:f>IF(AND(AI1417&gt;=1,I1417&lt;=50),"Priority 1",IF(AND(AG1417&gt;=1000,I1417&lt;=60),"Priority 2",IF(I1417&lt;=30,"Priority 3","Nurture")))</x:f>
        <x:v>Nurture</x:v>
      </x:c>
    </x:row>
    <x:row r="1418">
      <x:c r="A1418" s="16" t="n">
        <x:v>4098</x:v>
      </x:c>
      <x:c r="B1418" s="16" t="n">
        <x:v>1973</x:v>
      </x:c>
      <x:c r="C1418" s="16" t="str">
        <x:v>Graduation</x:v>
      </x:c>
      <x:c r="D1418" s="16" t="str">
        <x:v>Married</x:v>
      </x:c>
      <x:c r="E1418" s="16" t="n">
        <x:v>24639</x:v>
      </x:c>
      <x:c r="F1418" s="16" t="n">
        <x:v>1</x:v>
      </x:c>
      <x:c r="G1418" s="16" t="n">
        <x:v>1</x:v>
      </x:c>
      <x:c r="H1418" s="16" t="str">
        <x:v>28-01-2014</x:v>
      </x:c>
      <x:c r="I1418" s="16" t="n">
        <x:v>3</x:v>
      </x:c>
      <x:c r="J1418" s="16" t="n">
        <x:v>20</x:v>
      </x:c>
      <x:c r="K1418" s="16" t="n">
        <x:v>3</x:v>
      </x:c>
      <x:c r="L1418" s="16" t="n">
        <x:v>16</x:v>
      </x:c>
      <x:c r="M1418" s="16" t="n">
        <x:v>0</x:v>
      </x:c>
      <x:c r="N1418" s="16" t="n">
        <x:v>4</x:v>
      </x:c>
      <x:c r="O1418" s="16" t="n">
        <x:v>1</x:v>
      </x:c>
      <x:c r="P1418" s="16" t="n">
        <x:v>3</x:v>
      </x:c>
      <x:c r="Q1418" s="16" t="n">
        <x:v>2</x:v>
      </x:c>
      <x:c r="R1418" s="16" t="n">
        <x:v>0</x:v>
      </x:c>
      <x:c r="S1418" s="16" t="n">
        <x:v>4</x:v>
      </x:c>
      <x:c r="T1418" s="16" t="n">
        <x:v>6</x:v>
      </x:c>
      <x:c r="U1418" s="16" t="n">
        <x:v>0</x:v>
      </x:c>
      <x:c r="V1418" s="16" t="n">
        <x:v>0</x:v>
      </x:c>
      <x:c r="W1418" s="16" t="n">
        <x:v>0</x:v>
      </x:c>
      <x:c r="X1418" s="16" t="n">
        <x:v>0</x:v>
      </x:c>
      <x:c r="Y1418" s="16" t="n">
        <x:v>0</x:v>
      </x:c>
      <x:c r="Z1418" s="16" t="n">
        <x:v>0</x:v>
      </x:c>
      <x:c r="AA1418" s="16" t="n">
        <x:v>3</x:v>
      </x:c>
      <x:c r="AB1418" s="16" t="n">
        <x:v>11</x:v>
      </x:c>
      <x:c r="AC1418" s="16" t="n">
        <x:v>0</x:v>
      </x:c>
      <x:c r="AD1418" s="21" t="n">
        <x:f>IF(E1418="",MEDIAN($E$2:$E$2237),E1418)</x:f>
        <x:v>24639</x:v>
      </x:c>
      <x:c r="AE1418" s="17" t="n">
        <x:f>2014-B1418</x:f>
        <x:v>41</x:v>
      </x:c>
      <x:c r="AF1418" s="17" t="n">
        <x:f>F1418+G1418</x:f>
        <x:v>2</x:v>
      </x:c>
      <x:c r="AG1418" s="21" t="n">
        <x:f>SUM(J1418:O1418)</x:f>
        <x:v>44</x:v>
      </x:c>
      <x:c r="AH1418" s="17" t="n">
        <x:f>SUM(Q1418:S1418)</x:f>
        <x:v>6</x:v>
      </x:c>
      <x:c r="AI1418" s="17" t="n">
        <x:f>SUM(U1418:Y1418)</x:f>
        <x:v>0</x:v>
      </x:c>
      <x:c r="AJ1418" s="17" t="str">
        <x:f>IF(AE1418&lt;=34,"≤34",IF(AE1418&lt;=44,"35–44",IF(AE1418&lt;=54,"45–54",IF(AE1418&lt;=64,"55–64","65+"))))</x:f>
        <x:v>35–44</x:v>
      </x:c>
      <x:c r="AK1418" s="17" t="str">
        <x:f>IF(AG1418&gt;=1000,"High Value",IF(AG1418&gt;=300,"Mid Value","Low Value"))</x:f>
        <x:v>Low Value</x:v>
      </x:c>
      <x:c r="AL1418" s="17" t="str">
        <x:f>IF(AND(AI1418&gt;=1,I1418&lt;=50),"Priority 1",IF(AND(AG1418&gt;=1000,I1418&lt;=60),"Priority 2",IF(I1418&lt;=30,"Priority 3","Nurture")))</x:f>
        <x:v>Priority 3</x:v>
      </x:c>
    </x:row>
    <x:row r="1419">
      <x:c r="A1419" s="16" t="n">
        <x:v>5824</x:v>
      </x:c>
      <x:c r="B1419" s="16" t="n">
        <x:v>1972</x:v>
      </x:c>
      <x:c r="C1419" s="16" t="str">
        <x:v>PhD</x:v>
      </x:c>
      <x:c r="D1419" s="16" t="str">
        <x:v>Together</x:v>
      </x:c>
      <x:c r="E1419" s="16" t="n">
        <x:v>34578</x:v>
      </x:c>
      <x:c r="F1419" s="16" t="n">
        <x:v>2</x:v>
      </x:c>
      <x:c r="G1419" s="16" t="n">
        <x:v>1</x:v>
      </x:c>
      <x:c r="H1419" s="16" t="str">
        <x:v>11-04-2014</x:v>
      </x:c>
      <x:c r="I1419" s="16" t="n">
        <x:v>1</x:v>
      </x:c>
      <x:c r="J1419" s="16" t="n">
        <x:v>7</x:v>
      </x:c>
      <x:c r="K1419" s="16" t="n">
        <x:v>0</x:v>
      </x:c>
      <x:c r="L1419" s="16" t="n">
        <x:v>1</x:v>
      </x:c>
      <x:c r="M1419" s="16" t="n">
        <x:v>0</x:v>
      </x:c>
      <x:c r="N1419" s="16" t="n">
        <x:v>0</x:v>
      </x:c>
      <x:c r="O1419" s="16" t="n">
        <x:v>0</x:v>
      </x:c>
      <x:c r="P1419" s="16" t="n">
        <x:v>1</x:v>
      </x:c>
      <x:c r="Q1419" s="16" t="n">
        <x:v>1</x:v>
      </x:c>
      <x:c r="R1419" s="16" t="n">
        <x:v>0</x:v>
      </x:c>
      <x:c r="S1419" s="16" t="n">
        <x:v>2</x:v>
      </x:c>
      <x:c r="T1419" s="16" t="n">
        <x:v>6</x:v>
      </x:c>
      <x:c r="U1419" s="16" t="n">
        <x:v>0</x:v>
      </x:c>
      <x:c r="V1419" s="16" t="n">
        <x:v>0</x:v>
      </x:c>
      <x:c r="W1419" s="16" t="n">
        <x:v>0</x:v>
      </x:c>
      <x:c r="X1419" s="16" t="n">
        <x:v>0</x:v>
      </x:c>
      <x:c r="Y1419" s="16" t="n">
        <x:v>0</x:v>
      </x:c>
      <x:c r="Z1419" s="16" t="n">
        <x:v>0</x:v>
      </x:c>
      <x:c r="AA1419" s="16" t="n">
        <x:v>3</x:v>
      </x:c>
      <x:c r="AB1419" s="16" t="n">
        <x:v>11</x:v>
      </x:c>
      <x:c r="AC1419" s="16" t="n">
        <x:v>0</x:v>
      </x:c>
      <x:c r="AD1419" s="21" t="n">
        <x:f>IF(E1419="",MEDIAN($E$2:$E$2237),E1419)</x:f>
        <x:v>34578</x:v>
      </x:c>
      <x:c r="AE1419" s="17" t="n">
        <x:f>2014-B1419</x:f>
        <x:v>42</x:v>
      </x:c>
      <x:c r="AF1419" s="17" t="n">
        <x:f>F1419+G1419</x:f>
        <x:v>3</x:v>
      </x:c>
      <x:c r="AG1419" s="21" t="n">
        <x:f>SUM(J1419:O1419)</x:f>
        <x:v>8</x:v>
      </x:c>
      <x:c r="AH1419" s="17" t="n">
        <x:f>SUM(Q1419:S1419)</x:f>
        <x:v>3</x:v>
      </x:c>
      <x:c r="AI1419" s="17" t="n">
        <x:f>SUM(U1419:Y1419)</x:f>
        <x:v>0</x:v>
      </x:c>
      <x:c r="AJ1419" s="17" t="str">
        <x:f>IF(AE1419&lt;=34,"≤34",IF(AE1419&lt;=44,"35–44",IF(AE1419&lt;=54,"45–54",IF(AE1419&lt;=64,"55–64","65+"))))</x:f>
        <x:v>35–44</x:v>
      </x:c>
      <x:c r="AK1419" s="17" t="str">
        <x:f>IF(AG1419&gt;=1000,"High Value",IF(AG1419&gt;=300,"Mid Value","Low Value"))</x:f>
        <x:v>Low Value</x:v>
      </x:c>
      <x:c r="AL1419" s="17" t="str">
        <x:f>IF(AND(AI1419&gt;=1,I1419&lt;=50),"Priority 1",IF(AND(AG1419&gt;=1000,I1419&lt;=60),"Priority 2",IF(I1419&lt;=30,"Priority 3","Nurture")))</x:f>
        <x:v>Priority 3</x:v>
      </x:c>
    </x:row>
    <x:row r="1420">
      <x:c r="A1420" s="16" t="n">
        <x:v>7000</x:v>
      </x:c>
      <x:c r="B1420" s="16" t="n">
        <x:v>1972</x:v>
      </x:c>
      <x:c r="C1420" s="16" t="str">
        <x:v>2n Cycle</x:v>
      </x:c>
      <x:c r="D1420" s="16" t="str">
        <x:v>Single</x:v>
      </x:c>
      <x:c r="E1420" s="16" t="n">
        <x:v>65704</x:v>
      </x:c>
      <x:c r="F1420" s="16" t="n">
        <x:v>0</x:v>
      </x:c>
      <x:c r="G1420" s="16" t="n">
        <x:v>0</x:v>
      </x:c>
      <x:c r="H1420" s="16" t="str">
        <x:v>13-10-2013</x:v>
      </x:c>
      <x:c r="I1420" s="16" t="n">
        <x:v>18</x:v>
      </x:c>
      <x:c r="J1420" s="16" t="n">
        <x:v>279</x:v>
      </x:c>
      <x:c r="K1420" s="16" t="n">
        <x:v>172</x:v>
      </x:c>
      <x:c r="L1420" s="16" t="n">
        <x:v>74</x:v>
      </x:c>
      <x:c r="M1420" s="16" t="n">
        <x:v>38</x:v>
      </x:c>
      <x:c r="N1420" s="16" t="n">
        <x:v>8</x:v>
      </x:c>
      <x:c r="O1420" s="16" t="n">
        <x:v>246</x:v>
      </x:c>
      <x:c r="P1420" s="16" t="n">
        <x:v>1</x:v>
      </x:c>
      <x:c r="Q1420" s="16" t="n">
        <x:v>2</x:v>
      </x:c>
      <x:c r="R1420" s="16" t="n">
        <x:v>10</x:v>
      </x:c>
      <x:c r="S1420" s="16" t="n">
        <x:v>10</x:v>
      </x:c>
      <x:c r="T1420" s="16" t="n">
        <x:v>1</x:v>
      </x:c>
      <x:c r="U1420" s="16" t="n">
        <x:v>0</x:v>
      </x:c>
      <x:c r="V1420" s="16" t="n">
        <x:v>0</x:v>
      </x:c>
      <x:c r="W1420" s="16" t="n">
        <x:v>0</x:v>
      </x:c>
      <x:c r="X1420" s="16" t="n">
        <x:v>0</x:v>
      </x:c>
      <x:c r="Y1420" s="16" t="n">
        <x:v>0</x:v>
      </x:c>
      <x:c r="Z1420" s="16" t="n">
        <x:v>0</x:v>
      </x:c>
      <x:c r="AA1420" s="16" t="n">
        <x:v>3</x:v>
      </x:c>
      <x:c r="AB1420" s="16" t="n">
        <x:v>11</x:v>
      </x:c>
      <x:c r="AC1420" s="16" t="n">
        <x:v>0</x:v>
      </x:c>
      <x:c r="AD1420" s="21" t="n">
        <x:f>IF(E1420="",MEDIAN($E$2:$E$2237),E1420)</x:f>
        <x:v>65704</x:v>
      </x:c>
      <x:c r="AE1420" s="17" t="n">
        <x:f>2014-B1420</x:f>
        <x:v>42</x:v>
      </x:c>
      <x:c r="AF1420" s="17" t="n">
        <x:f>F1420+G1420</x:f>
        <x:v>0</x:v>
      </x:c>
      <x:c r="AG1420" s="21" t="n">
        <x:f>SUM(J1420:O1420)</x:f>
        <x:v>817</x:v>
      </x:c>
      <x:c r="AH1420" s="17" t="n">
        <x:f>SUM(Q1420:S1420)</x:f>
        <x:v>22</x:v>
      </x:c>
      <x:c r="AI1420" s="17" t="n">
        <x:f>SUM(U1420:Y1420)</x:f>
        <x:v>0</x:v>
      </x:c>
      <x:c r="AJ1420" s="17" t="str">
        <x:f>IF(AE1420&lt;=34,"≤34",IF(AE1420&lt;=44,"35–44",IF(AE1420&lt;=54,"45–54",IF(AE1420&lt;=64,"55–64","65+"))))</x:f>
        <x:v>35–44</x:v>
      </x:c>
      <x:c r="AK1420" s="17" t="str">
        <x:f>IF(AG1420&gt;=1000,"High Value",IF(AG1420&gt;=300,"Mid Value","Low Value"))</x:f>
        <x:v>Mid Value</x:v>
      </x:c>
      <x:c r="AL1420" s="17" t="str">
        <x:f>IF(AND(AI1420&gt;=1,I1420&lt;=50),"Priority 1",IF(AND(AG1420&gt;=1000,I1420&lt;=60),"Priority 2",IF(I1420&lt;=30,"Priority 3","Nurture")))</x:f>
        <x:v>Priority 3</x:v>
      </x:c>
    </x:row>
    <x:row r="1421">
      <x:c r="A1421" s="16" t="n">
        <x:v>2561</x:v>
      </x:c>
      <x:c r="B1421" s="16" t="n">
        <x:v>1966</x:v>
      </x:c>
      <x:c r="C1421" s="16" t="str">
        <x:v>Graduation</x:v>
      </x:c>
      <x:c r="D1421" s="16" t="str">
        <x:v>Single</x:v>
      </x:c>
      <x:c r="E1421" s="16" t="n">
        <x:v>63810</x:v>
      </x:c>
      <x:c r="F1421" s="16" t="n">
        <x:v>0</x:v>
      </x:c>
      <x:c r="G1421" s="16" t="n">
        <x:v>1</x:v>
      </x:c>
      <x:c r="H1421" s="16" t="str">
        <x:v>11-11-2012</x:v>
      </x:c>
      <x:c r="I1421" s="16" t="n">
        <x:v>45</x:v>
      </x:c>
      <x:c r="J1421" s="16" t="n">
        <x:v>977</x:v>
      </x:c>
      <x:c r="K1421" s="16" t="n">
        <x:v>12</x:v>
      </x:c>
      <x:c r="L1421" s="16" t="n">
        <x:v>253</x:v>
      </x:c>
      <x:c r="M1421" s="16" t="n">
        <x:v>16</x:v>
      </x:c>
      <x:c r="N1421" s="16" t="n">
        <x:v>12</x:v>
      </x:c>
      <x:c r="O1421" s="16" t="n">
        <x:v>101</x:v>
      </x:c>
      <x:c r="P1421" s="16" t="n">
        <x:v>4</x:v>
      </x:c>
      <x:c r="Q1421" s="16" t="n">
        <x:v>4</x:v>
      </x:c>
      <x:c r="R1421" s="16" t="n">
        <x:v>3</x:v>
      </x:c>
      <x:c r="S1421" s="16" t="n">
        <x:v>12</x:v>
      </x:c>
      <x:c r="T1421" s="16" t="n">
        <x:v>8</x:v>
      </x:c>
      <x:c r="U1421" s="16" t="n">
        <x:v>0</x:v>
      </x:c>
      <x:c r="V1421" s="16" t="n">
        <x:v>1</x:v>
      </x:c>
      <x:c r="W1421" s="16" t="n">
        <x:v>0</x:v>
      </x:c>
      <x:c r="X1421" s="16" t="n">
        <x:v>0</x:v>
      </x:c>
      <x:c r="Y1421" s="16" t="n">
        <x:v>0</x:v>
      </x:c>
      <x:c r="Z1421" s="16" t="n">
        <x:v>0</x:v>
      </x:c>
      <x:c r="AA1421" s="16" t="n">
        <x:v>3</x:v>
      </x:c>
      <x:c r="AB1421" s="16" t="n">
        <x:v>11</x:v>
      </x:c>
      <x:c r="AC1421" s="16" t="n">
        <x:v>0</x:v>
      </x:c>
      <x:c r="AD1421" s="21" t="n">
        <x:f>IF(E1421="",MEDIAN($E$2:$E$2237),E1421)</x:f>
        <x:v>63810</x:v>
      </x:c>
      <x:c r="AE1421" s="17" t="n">
        <x:f>2014-B1421</x:f>
        <x:v>48</x:v>
      </x:c>
      <x:c r="AF1421" s="17" t="n">
        <x:f>F1421+G1421</x:f>
        <x:v>1</x:v>
      </x:c>
      <x:c r="AG1421" s="21" t="n">
        <x:f>SUM(J1421:O1421)</x:f>
        <x:v>1371</x:v>
      </x:c>
      <x:c r="AH1421" s="17" t="n">
        <x:f>SUM(Q1421:S1421)</x:f>
        <x:v>19</x:v>
      </x:c>
      <x:c r="AI1421" s="17" t="n">
        <x:f>SUM(U1421:Y1421)</x:f>
        <x:v>1</x:v>
      </x:c>
      <x:c r="AJ1421" s="17" t="str">
        <x:f>IF(AE1421&lt;=34,"≤34",IF(AE1421&lt;=44,"35–44",IF(AE1421&lt;=54,"45–54",IF(AE1421&lt;=64,"55–64","65+"))))</x:f>
        <x:v>45–54</x:v>
      </x:c>
      <x:c r="AK1421" s="17" t="str">
        <x:f>IF(AG1421&gt;=1000,"High Value",IF(AG1421&gt;=300,"Mid Value","Low Value"))</x:f>
        <x:v>High Value</x:v>
      </x:c>
      <x:c r="AL1421" s="17" t="str">
        <x:f>IF(AND(AI1421&gt;=1,I1421&lt;=50),"Priority 1",IF(AND(AG1421&gt;=1000,I1421&lt;=60),"Priority 2",IF(I1421&lt;=30,"Priority 3","Nurture")))</x:f>
        <x:v>Priority 1</x:v>
      </x:c>
    </x:row>
    <x:row r="1422">
      <x:c r="A1422" s="16" t="n">
        <x:v>5229</x:v>
      </x:c>
      <x:c r="B1422" s="16" t="n">
        <x:v>1969</x:v>
      </x:c>
      <x:c r="C1422" s="16" t="str">
        <x:v>PhD</x:v>
      </x:c>
      <x:c r="D1422" s="16" t="str">
        <x:v>Together</x:v>
      </x:c>
      <x:c r="E1422" s="16" t="n">
        <x:v>54132</x:v>
      </x:c>
      <x:c r="F1422" s="16" t="n">
        <x:v>0</x:v>
      </x:c>
      <x:c r="G1422" s="16" t="n">
        <x:v>1</x:v>
      </x:c>
      <x:c r="H1422" s="16" t="str">
        <x:v>16-02-2014</x:v>
      </x:c>
      <x:c r="I1422" s="16" t="n">
        <x:v>81</x:v>
      </x:c>
      <x:c r="J1422" s="16" t="n">
        <x:v>30</x:v>
      </x:c>
      <x:c r="K1422" s="16" t="n">
        <x:v>1</x:v>
      </x:c>
      <x:c r="L1422" s="16" t="n">
        <x:v>8</x:v>
      </x:c>
      <x:c r="M1422" s="16" t="n">
        <x:v>0</x:v>
      </x:c>
      <x:c r="N1422" s="16" t="n">
        <x:v>0</x:v>
      </x:c>
      <x:c r="O1422" s="16" t="n">
        <x:v>3</x:v>
      </x:c>
      <x:c r="P1422" s="16" t="n">
        <x:v>1</x:v>
      </x:c>
      <x:c r="Q1422" s="16" t="n">
        <x:v>1</x:v>
      </x:c>
      <x:c r="R1422" s="16" t="n">
        <x:v>0</x:v>
      </x:c>
      <x:c r="S1422" s="16" t="n">
        <x:v>3</x:v>
      </x:c>
      <x:c r="T1422" s="16" t="n">
        <x:v>7</x:v>
      </x:c>
      <x:c r="U1422" s="16" t="n">
        <x:v>0</x:v>
      </x:c>
      <x:c r="V1422" s="16" t="n">
        <x:v>0</x:v>
      </x:c>
      <x:c r="W1422" s="16" t="n">
        <x:v>0</x:v>
      </x:c>
      <x:c r="X1422" s="16" t="n">
        <x:v>0</x:v>
      </x:c>
      <x:c r="Y1422" s="16" t="n">
        <x:v>0</x:v>
      </x:c>
      <x:c r="Z1422" s="16" t="n">
        <x:v>0</x:v>
      </x:c>
      <x:c r="AA1422" s="16" t="n">
        <x:v>3</x:v>
      </x:c>
      <x:c r="AB1422" s="16" t="n">
        <x:v>11</x:v>
      </x:c>
      <x:c r="AC1422" s="16" t="n">
        <x:v>0</x:v>
      </x:c>
      <x:c r="AD1422" s="21" t="n">
        <x:f>IF(E1422="",MEDIAN($E$2:$E$2237),E1422)</x:f>
        <x:v>54132</x:v>
      </x:c>
      <x:c r="AE1422" s="17" t="n">
        <x:f>2014-B1422</x:f>
        <x:v>45</x:v>
      </x:c>
      <x:c r="AF1422" s="17" t="n">
        <x:f>F1422+G1422</x:f>
        <x:v>1</x:v>
      </x:c>
      <x:c r="AG1422" s="21" t="n">
        <x:f>SUM(J1422:O1422)</x:f>
        <x:v>42</x:v>
      </x:c>
      <x:c r="AH1422" s="17" t="n">
        <x:f>SUM(Q1422:S1422)</x:f>
        <x:v>4</x:v>
      </x:c>
      <x:c r="AI1422" s="17" t="n">
        <x:f>SUM(U1422:Y1422)</x:f>
        <x:v>0</x:v>
      </x:c>
      <x:c r="AJ1422" s="17" t="str">
        <x:f>IF(AE1422&lt;=34,"≤34",IF(AE1422&lt;=44,"35–44",IF(AE1422&lt;=54,"45–54",IF(AE1422&lt;=64,"55–64","65+"))))</x:f>
        <x:v>45–54</x:v>
      </x:c>
      <x:c r="AK1422" s="17" t="str">
        <x:f>IF(AG1422&gt;=1000,"High Value",IF(AG1422&gt;=300,"Mid Value","Low Value"))</x:f>
        <x:v>Low Value</x:v>
      </x:c>
      <x:c r="AL1422" s="17" t="str">
        <x:f>IF(AND(AI1422&gt;=1,I1422&lt;=50),"Priority 1",IF(AND(AG1422&gt;=1000,I1422&lt;=60),"Priority 2",IF(I1422&lt;=30,"Priority 3","Nurture")))</x:f>
        <x:v>Nurture</x:v>
      </x:c>
    </x:row>
    <x:row r="1423">
      <x:c r="A1423" s="16" t="n">
        <x:v>4086</x:v>
      </x:c>
      <x:c r="B1423" s="16" t="n">
        <x:v>1959</x:v>
      </x:c>
      <x:c r="C1423" s="16" t="str">
        <x:v>Graduation</x:v>
      </x:c>
      <x:c r="D1423" s="16" t="str">
        <x:v>Married</x:v>
      </x:c>
      <x:c r="E1423" s="16" t="n">
        <x:v>18690</x:v>
      </x:c>
      <x:c r="F1423" s="16" t="n">
        <x:v>0</x:v>
      </x:c>
      <x:c r="G1423" s="16" t="n">
        <x:v>0</x:v>
      </x:c>
      <x:c r="H1423" s="16" t="str">
        <x:v>28-12-2012</x:v>
      </x:c>
      <x:c r="I1423" s="16" t="n">
        <x:v>77</x:v>
      </x:c>
      <x:c r="J1423" s="16" t="n">
        <x:v>6</x:v>
      </x:c>
      <x:c r="K1423" s="16" t="n">
        <x:v>1</x:v>
      </x:c>
      <x:c r="L1423" s="16" t="n">
        <x:v>7</x:v>
      </x:c>
      <x:c r="M1423" s="16" t="n">
        <x:v>23</x:v>
      </x:c>
      <x:c r="N1423" s="16" t="n">
        <x:v>4</x:v>
      </x:c>
      <x:c r="O1423" s="16" t="n">
        <x:v>19</x:v>
      </x:c>
      <x:c r="P1423" s="16" t="n">
        <x:v>1</x:v>
      </x:c>
      <x:c r="Q1423" s="16" t="n">
        <x:v>1</x:v>
      </x:c>
      <x:c r="R1423" s="16" t="n">
        <x:v>1</x:v>
      </x:c>
      <x:c r="S1423" s="16" t="n">
        <x:v>2</x:v>
      </x:c>
      <x:c r="T1423" s="16" t="n">
        <x:v>8</x:v>
      </x:c>
      <x:c r="U1423" s="16" t="n">
        <x:v>0</x:v>
      </x:c>
      <x:c r="V1423" s="16" t="n">
        <x:v>0</x:v>
      </x:c>
      <x:c r="W1423" s="16" t="n">
        <x:v>0</x:v>
      </x:c>
      <x:c r="X1423" s="16" t="n">
        <x:v>0</x:v>
      </x:c>
      <x:c r="Y1423" s="16" t="n">
        <x:v>0</x:v>
      </x:c>
      <x:c r="Z1423" s="16" t="n">
        <x:v>0</x:v>
      </x:c>
      <x:c r="AA1423" s="16" t="n">
        <x:v>3</x:v>
      </x:c>
      <x:c r="AB1423" s="16" t="n">
        <x:v>11</x:v>
      </x:c>
      <x:c r="AC1423" s="16" t="n">
        <x:v>0</x:v>
      </x:c>
      <x:c r="AD1423" s="21" t="n">
        <x:f>IF(E1423="",MEDIAN($E$2:$E$2237),E1423)</x:f>
        <x:v>18690</x:v>
      </x:c>
      <x:c r="AE1423" s="17" t="n">
        <x:f>2014-B1423</x:f>
        <x:v>55</x:v>
      </x:c>
      <x:c r="AF1423" s="17" t="n">
        <x:f>F1423+G1423</x:f>
        <x:v>0</x:v>
      </x:c>
      <x:c r="AG1423" s="21" t="n">
        <x:f>SUM(J1423:O1423)</x:f>
        <x:v>60</x:v>
      </x:c>
      <x:c r="AH1423" s="17" t="n">
        <x:f>SUM(Q1423:S1423)</x:f>
        <x:v>4</x:v>
      </x:c>
      <x:c r="AI1423" s="17" t="n">
        <x:f>SUM(U1423:Y1423)</x:f>
        <x:v>0</x:v>
      </x:c>
      <x:c r="AJ1423" s="17" t="str">
        <x:f>IF(AE1423&lt;=34,"≤34",IF(AE1423&lt;=44,"35–44",IF(AE1423&lt;=54,"45–54",IF(AE1423&lt;=64,"55–64","65+"))))</x:f>
        <x:v>55–64</x:v>
      </x:c>
      <x:c r="AK1423" s="17" t="str">
        <x:f>IF(AG1423&gt;=1000,"High Value",IF(AG1423&gt;=300,"Mid Value","Low Value"))</x:f>
        <x:v>Low Value</x:v>
      </x:c>
      <x:c r="AL1423" s="17" t="str">
        <x:f>IF(AND(AI1423&gt;=1,I1423&lt;=50),"Priority 1",IF(AND(AG1423&gt;=1000,I1423&lt;=60),"Priority 2",IF(I1423&lt;=30,"Priority 3","Nurture")))</x:f>
        <x:v>Nurture</x:v>
      </x:c>
    </x:row>
    <x:row r="1424">
      <x:c r="A1424" s="16" t="n">
        <x:v>2428</x:v>
      </x:c>
      <x:c r="B1424" s="16" t="n">
        <x:v>1970</x:v>
      </x:c>
      <x:c r="C1424" s="16" t="str">
        <x:v>Graduation</x:v>
      </x:c>
      <x:c r="D1424" s="16" t="str">
        <x:v>Married</x:v>
      </x:c>
      <x:c r="E1424" s="16" t="n">
        <x:v>28164</x:v>
      </x:c>
      <x:c r="F1424" s="16" t="n">
        <x:v>1</x:v>
      </x:c>
      <x:c r="G1424" s="16" t="n">
        <x:v>0</x:v>
      </x:c>
      <x:c r="H1424" s="16" t="str">
        <x:v>04-05-2013</x:v>
      </x:c>
      <x:c r="I1424" s="16" t="n">
        <x:v>23</x:v>
      </x:c>
      <x:c r="J1424" s="16" t="n">
        <x:v>3</x:v>
      </x:c>
      <x:c r="K1424" s="16" t="n">
        <x:v>18</x:v>
      </x:c>
      <x:c r="L1424" s="16" t="n">
        <x:v>26</x:v>
      </x:c>
      <x:c r="M1424" s="16" t="n">
        <x:v>11</x:v>
      </x:c>
      <x:c r="N1424" s="16" t="n">
        <x:v>8</x:v>
      </x:c>
      <x:c r="O1424" s="16" t="n">
        <x:v>12</x:v>
      </x:c>
      <x:c r="P1424" s="16" t="n">
        <x:v>3</x:v>
      </x:c>
      <x:c r="Q1424" s="16" t="n">
        <x:v>2</x:v>
      </x:c>
      <x:c r="R1424" s="16" t="n">
        <x:v>0</x:v>
      </x:c>
      <x:c r="S1424" s="16" t="n">
        <x:v>4</x:v>
      </x:c>
      <x:c r="T1424" s="16" t="n">
        <x:v>7</x:v>
      </x:c>
      <x:c r="U1424" s="16" t="n">
        <x:v>0</x:v>
      </x:c>
      <x:c r="V1424" s="16" t="n">
        <x:v>0</x:v>
      </x:c>
      <x:c r="W1424" s="16" t="n">
        <x:v>0</x:v>
      </x:c>
      <x:c r="X1424" s="16" t="n">
        <x:v>0</x:v>
      </x:c>
      <x:c r="Y1424" s="16" t="n">
        <x:v>0</x:v>
      </x:c>
      <x:c r="Z1424" s="16" t="n">
        <x:v>0</x:v>
      </x:c>
      <x:c r="AA1424" s="16" t="n">
        <x:v>3</x:v>
      </x:c>
      <x:c r="AB1424" s="16" t="n">
        <x:v>11</x:v>
      </x:c>
      <x:c r="AC1424" s="16" t="n">
        <x:v>0</x:v>
      </x:c>
      <x:c r="AD1424" s="21" t="n">
        <x:f>IF(E1424="",MEDIAN($E$2:$E$2237),E1424)</x:f>
        <x:v>28164</x:v>
      </x:c>
      <x:c r="AE1424" s="17" t="n">
        <x:f>2014-B1424</x:f>
        <x:v>44</x:v>
      </x:c>
      <x:c r="AF1424" s="17" t="n">
        <x:f>F1424+G1424</x:f>
        <x:v>1</x:v>
      </x:c>
      <x:c r="AG1424" s="21" t="n">
        <x:f>SUM(J1424:O1424)</x:f>
        <x:v>78</x:v>
      </x:c>
      <x:c r="AH1424" s="17" t="n">
        <x:f>SUM(Q1424:S1424)</x:f>
        <x:v>6</x:v>
      </x:c>
      <x:c r="AI1424" s="17" t="n">
        <x:f>SUM(U1424:Y1424)</x:f>
        <x:v>0</x:v>
      </x:c>
      <x:c r="AJ1424" s="17" t="str">
        <x:f>IF(AE1424&lt;=34,"≤34",IF(AE1424&lt;=44,"35–44",IF(AE1424&lt;=54,"45–54",IF(AE1424&lt;=64,"55–64","65+"))))</x:f>
        <x:v>35–44</x:v>
      </x:c>
      <x:c r="AK1424" s="17" t="str">
        <x:f>IF(AG1424&gt;=1000,"High Value",IF(AG1424&gt;=300,"Mid Value","Low Value"))</x:f>
        <x:v>Low Value</x:v>
      </x:c>
      <x:c r="AL1424" s="17" t="str">
        <x:f>IF(AND(AI1424&gt;=1,I1424&lt;=50),"Priority 1",IF(AND(AG1424&gt;=1000,I1424&lt;=60),"Priority 2",IF(I1424&lt;=30,"Priority 3","Nurture")))</x:f>
        <x:v>Priority 3</x:v>
      </x:c>
    </x:row>
    <x:row r="1425">
      <x:c r="A1425" s="16" t="n">
        <x:v>8254</x:v>
      </x:c>
      <x:c r="B1425" s="16" t="n">
        <x:v>1974</x:v>
      </x:c>
      <x:c r="C1425" s="16" t="str">
        <x:v>PhD</x:v>
      </x:c>
      <x:c r="D1425" s="16" t="str">
        <x:v>Married</x:v>
      </x:c>
      <x:c r="E1425" s="16" t="n">
        <x:v>34596</x:v>
      </x:c>
      <x:c r="F1425" s="16" t="n">
        <x:v>1</x:v>
      </x:c>
      <x:c r="G1425" s="16" t="n">
        <x:v>0</x:v>
      </x:c>
      <x:c r="H1425" s="16" t="str">
        <x:v>13-04-2013</x:v>
      </x:c>
      <x:c r="I1425" s="16" t="n">
        <x:v>48</x:v>
      </x:c>
      <x:c r="J1425" s="16" t="n">
        <x:v>14</x:v>
      </x:c>
      <x:c r="K1425" s="16" t="n">
        <x:v>0</x:v>
      </x:c>
      <x:c r="L1425" s="16" t="n">
        <x:v>2</x:v>
      </x:c>
      <x:c r="M1425" s="16" t="n">
        <x:v>0</x:v>
      </x:c>
      <x:c r="N1425" s="16" t="n">
        <x:v>0</x:v>
      </x:c>
      <x:c r="O1425" s="16" t="n">
        <x:v>7</x:v>
      </x:c>
      <x:c r="P1425" s="16" t="n">
        <x:v>1</x:v>
      </x:c>
      <x:c r="Q1425" s="16" t="n">
        <x:v>1</x:v>
      </x:c>
      <x:c r="R1425" s="16" t="n">
        <x:v>0</x:v>
      </x:c>
      <x:c r="S1425" s="16" t="n">
        <x:v>2</x:v>
      </x:c>
      <x:c r="T1425" s="16" t="n">
        <x:v>8</x:v>
      </x:c>
      <x:c r="U1425" s="16" t="n">
        <x:v>0</x:v>
      </x:c>
      <x:c r="V1425" s="16" t="n">
        <x:v>0</x:v>
      </x:c>
      <x:c r="W1425" s="16" t="n">
        <x:v>0</x:v>
      </x:c>
      <x:c r="X1425" s="16" t="n">
        <x:v>0</x:v>
      </x:c>
      <x:c r="Y1425" s="16" t="n">
        <x:v>0</x:v>
      </x:c>
      <x:c r="Z1425" s="16" t="n">
        <x:v>0</x:v>
      </x:c>
      <x:c r="AA1425" s="16" t="n">
        <x:v>3</x:v>
      </x:c>
      <x:c r="AB1425" s="16" t="n">
        <x:v>11</x:v>
      </x:c>
      <x:c r="AC1425" s="16" t="n">
        <x:v>0</x:v>
      </x:c>
      <x:c r="AD1425" s="21" t="n">
        <x:f>IF(E1425="",MEDIAN($E$2:$E$2237),E1425)</x:f>
        <x:v>34596</x:v>
      </x:c>
      <x:c r="AE1425" s="17" t="n">
        <x:f>2014-B1425</x:f>
        <x:v>40</x:v>
      </x:c>
      <x:c r="AF1425" s="17" t="n">
        <x:f>F1425+G1425</x:f>
        <x:v>1</x:v>
      </x:c>
      <x:c r="AG1425" s="21" t="n">
        <x:f>SUM(J1425:O1425)</x:f>
        <x:v>23</x:v>
      </x:c>
      <x:c r="AH1425" s="17" t="n">
        <x:f>SUM(Q1425:S1425)</x:f>
        <x:v>3</x:v>
      </x:c>
      <x:c r="AI1425" s="17" t="n">
        <x:f>SUM(U1425:Y1425)</x:f>
        <x:v>0</x:v>
      </x:c>
      <x:c r="AJ1425" s="17" t="str">
        <x:f>IF(AE1425&lt;=34,"≤34",IF(AE1425&lt;=44,"35–44",IF(AE1425&lt;=54,"45–54",IF(AE1425&lt;=64,"55–64","65+"))))</x:f>
        <x:v>35–44</x:v>
      </x:c>
      <x:c r="AK1425" s="17" t="str">
        <x:f>IF(AG1425&gt;=1000,"High Value",IF(AG1425&gt;=300,"Mid Value","Low Value"))</x:f>
        <x:v>Low Value</x:v>
      </x:c>
      <x:c r="AL1425" s="17" t="str">
        <x:f>IF(AND(AI1425&gt;=1,I1425&lt;=50),"Priority 1",IF(AND(AG1425&gt;=1000,I1425&lt;=60),"Priority 2",IF(I1425&lt;=30,"Priority 3","Nurture")))</x:f>
        <x:v>Nurture</x:v>
      </x:c>
    </x:row>
    <x:row r="1426">
      <x:c r="A1426" s="16" t="n">
        <x:v>2836</x:v>
      </x:c>
      <x:c r="B1426" s="16" t="n">
        <x:v>1972</x:v>
      </x:c>
      <x:c r="C1426" s="16" t="str">
        <x:v>PhD</x:v>
      </x:c>
      <x:c r="D1426" s="16" t="str">
        <x:v>Married</x:v>
      </x:c>
      <x:c r="E1426" s="16" t="n">
        <x:v>43269</x:v>
      </x:c>
      <x:c r="F1426" s="16" t="n">
        <x:v>1</x:v>
      </x:c>
      <x:c r="G1426" s="16" t="n">
        <x:v>0</x:v>
      </x:c>
      <x:c r="H1426" s="16" t="str">
        <x:v>16-09-2013</x:v>
      </x:c>
      <x:c r="I1426" s="16" t="n">
        <x:v>61</x:v>
      </x:c>
      <x:c r="J1426" s="16" t="n">
        <x:v>10</x:v>
      </x:c>
      <x:c r="K1426" s="16" t="n">
        <x:v>1</x:v>
      </x:c>
      <x:c r="L1426" s="16" t="n">
        <x:v>7</x:v>
      </x:c>
      <x:c r="M1426" s="16" t="n">
        <x:v>0</x:v>
      </x:c>
      <x:c r="N1426" s="16" t="n">
        <x:v>0</x:v>
      </x:c>
      <x:c r="O1426" s="16" t="n">
        <x:v>1</x:v>
      </x:c>
      <x:c r="P1426" s="16" t="n">
        <x:v>1</x:v>
      </x:c>
      <x:c r="Q1426" s="16" t="n">
        <x:v>1</x:v>
      </x:c>
      <x:c r="R1426" s="16" t="n">
        <x:v>0</x:v>
      </x:c>
      <x:c r="S1426" s="16" t="n">
        <x:v>2</x:v>
      </x:c>
      <x:c r="T1426" s="16" t="n">
        <x:v>8</x:v>
      </x:c>
      <x:c r="U1426" s="16" t="n">
        <x:v>0</x:v>
      </x:c>
      <x:c r="V1426" s="16" t="n">
        <x:v>0</x:v>
      </x:c>
      <x:c r="W1426" s="16" t="n">
        <x:v>0</x:v>
      </x:c>
      <x:c r="X1426" s="16" t="n">
        <x:v>0</x:v>
      </x:c>
      <x:c r="Y1426" s="16" t="n">
        <x:v>0</x:v>
      </x:c>
      <x:c r="Z1426" s="16" t="n">
        <x:v>0</x:v>
      </x:c>
      <x:c r="AA1426" s="16" t="n">
        <x:v>3</x:v>
      </x:c>
      <x:c r="AB1426" s="16" t="n">
        <x:v>11</x:v>
      </x:c>
      <x:c r="AC1426" s="16" t="n">
        <x:v>0</x:v>
      </x:c>
      <x:c r="AD1426" s="21" t="n">
        <x:f>IF(E1426="",MEDIAN($E$2:$E$2237),E1426)</x:f>
        <x:v>43269</x:v>
      </x:c>
      <x:c r="AE1426" s="17" t="n">
        <x:f>2014-B1426</x:f>
        <x:v>42</x:v>
      </x:c>
      <x:c r="AF1426" s="17" t="n">
        <x:f>F1426+G1426</x:f>
        <x:v>1</x:v>
      </x:c>
      <x:c r="AG1426" s="21" t="n">
        <x:f>SUM(J1426:O1426)</x:f>
        <x:v>19</x:v>
      </x:c>
      <x:c r="AH1426" s="17" t="n">
        <x:f>SUM(Q1426:S1426)</x:f>
        <x:v>3</x:v>
      </x:c>
      <x:c r="AI1426" s="17" t="n">
        <x:f>SUM(U1426:Y1426)</x:f>
        <x:v>0</x:v>
      </x:c>
      <x:c r="AJ1426" s="17" t="str">
        <x:f>IF(AE1426&lt;=34,"≤34",IF(AE1426&lt;=44,"35–44",IF(AE1426&lt;=54,"45–54",IF(AE1426&lt;=64,"55–64","65+"))))</x:f>
        <x:v>35–44</x:v>
      </x:c>
      <x:c r="AK1426" s="17" t="str">
        <x:f>IF(AG1426&gt;=1000,"High Value",IF(AG1426&gt;=300,"Mid Value","Low Value"))</x:f>
        <x:v>Low Value</x:v>
      </x:c>
      <x:c r="AL1426" s="17" t="str">
        <x:f>IF(AND(AI1426&gt;=1,I1426&lt;=50),"Priority 1",IF(AND(AG1426&gt;=1000,I1426&lt;=60),"Priority 2",IF(I1426&lt;=30,"Priority 3","Nurture")))</x:f>
        <x:v>Nurture</x:v>
      </x:c>
    </x:row>
    <x:row r="1427">
      <x:c r="A1427" s="16" t="n">
        <x:v>8418</x:v>
      </x:c>
      <x:c r="B1427" s="16" t="n">
        <x:v>1958</x:v>
      </x:c>
      <x:c r="C1427" s="16" t="str">
        <x:v>2n Cycle</x:v>
      </x:c>
      <x:c r="D1427" s="16" t="str">
        <x:v>Single</x:v>
      </x:c>
      <x:c r="E1427" s="16" t="n">
        <x:v>38741</x:v>
      </x:c>
      <x:c r="F1427" s="16" t="n">
        <x:v>1</x:v>
      </x:c>
      <x:c r="G1427" s="16" t="n">
        <x:v>1</x:v>
      </x:c>
      <x:c r="H1427" s="16" t="str">
        <x:v>30-03-2014</x:v>
      </x:c>
      <x:c r="I1427" s="16" t="n">
        <x:v>60</x:v>
      </x:c>
      <x:c r="J1427" s="16" t="n">
        <x:v>7</x:v>
      </x:c>
      <x:c r="K1427" s="16" t="n">
        <x:v>10</x:v>
      </x:c>
      <x:c r="L1427" s="16" t="n">
        <x:v>17</x:v>
      </x:c>
      <x:c r="M1427" s="16" t="n">
        <x:v>8</x:v>
      </x:c>
      <x:c r="N1427" s="16" t="n">
        <x:v>6</x:v>
      </x:c>
      <x:c r="O1427" s="16" t="n">
        <x:v>13</x:v>
      </x:c>
      <x:c r="P1427" s="16" t="n">
        <x:v>2</x:v>
      </x:c>
      <x:c r="Q1427" s="16" t="n">
        <x:v>2</x:v>
      </x:c>
      <x:c r="R1427" s="16" t="n">
        <x:v>0</x:v>
      </x:c>
      <x:c r="S1427" s="16" t="n">
        <x:v>3</x:v>
      </x:c>
      <x:c r="T1427" s="16" t="n">
        <x:v>7</x:v>
      </x:c>
      <x:c r="U1427" s="16" t="n">
        <x:v>0</x:v>
      </x:c>
      <x:c r="V1427" s="16" t="n">
        <x:v>0</x:v>
      </x:c>
      <x:c r="W1427" s="16" t="n">
        <x:v>0</x:v>
      </x:c>
      <x:c r="X1427" s="16" t="n">
        <x:v>0</x:v>
      </x:c>
      <x:c r="Y1427" s="16" t="n">
        <x:v>0</x:v>
      </x:c>
      <x:c r="Z1427" s="16" t="n">
        <x:v>0</x:v>
      </x:c>
      <x:c r="AA1427" s="16" t="n">
        <x:v>3</x:v>
      </x:c>
      <x:c r="AB1427" s="16" t="n">
        <x:v>11</x:v>
      </x:c>
      <x:c r="AC1427" s="16" t="n">
        <x:v>0</x:v>
      </x:c>
      <x:c r="AD1427" s="21" t="n">
        <x:f>IF(E1427="",MEDIAN($E$2:$E$2237),E1427)</x:f>
        <x:v>38741</x:v>
      </x:c>
      <x:c r="AE1427" s="17" t="n">
        <x:f>2014-B1427</x:f>
        <x:v>56</x:v>
      </x:c>
      <x:c r="AF1427" s="17" t="n">
        <x:f>F1427+G1427</x:f>
        <x:v>2</x:v>
      </x:c>
      <x:c r="AG1427" s="21" t="n">
        <x:f>SUM(J1427:O1427)</x:f>
        <x:v>61</x:v>
      </x:c>
      <x:c r="AH1427" s="17" t="n">
        <x:f>SUM(Q1427:S1427)</x:f>
        <x:v>5</x:v>
      </x:c>
      <x:c r="AI1427" s="17" t="n">
        <x:f>SUM(U1427:Y1427)</x:f>
        <x:v>0</x:v>
      </x:c>
      <x:c r="AJ1427" s="17" t="str">
        <x:f>IF(AE1427&lt;=34,"≤34",IF(AE1427&lt;=44,"35–44",IF(AE1427&lt;=54,"45–54",IF(AE1427&lt;=64,"55–64","65+"))))</x:f>
        <x:v>55–64</x:v>
      </x:c>
      <x:c r="AK1427" s="17" t="str">
        <x:f>IF(AG1427&gt;=1000,"High Value",IF(AG1427&gt;=300,"Mid Value","Low Value"))</x:f>
        <x:v>Low Value</x:v>
      </x:c>
      <x:c r="AL1427" s="17" t="str">
        <x:f>IF(AND(AI1427&gt;=1,I1427&lt;=50),"Priority 1",IF(AND(AG1427&gt;=1000,I1427&lt;=60),"Priority 2",IF(I1427&lt;=30,"Priority 3","Nurture")))</x:f>
        <x:v>Nurture</x:v>
      </x:c>
    </x:row>
    <x:row r="1428">
      <x:c r="A1428" s="16" t="n">
        <x:v>1362</x:v>
      </x:c>
      <x:c r="B1428" s="16" t="n">
        <x:v>1972</x:v>
      </x:c>
      <x:c r="C1428" s="16" t="str">
        <x:v>Graduation</x:v>
      </x:c>
      <x:c r="D1428" s="16" t="str">
        <x:v>Single</x:v>
      </x:c>
      <x:c r="E1428" s="16" t="n">
        <x:v>31907</x:v>
      </x:c>
      <x:c r="F1428" s="16" t="n">
        <x:v>0</x:v>
      </x:c>
      <x:c r="G1428" s="16" t="n">
        <x:v>0</x:v>
      </x:c>
      <x:c r="H1428" s="16" t="str">
        <x:v>04-03-2013</x:v>
      </x:c>
      <x:c r="I1428" s="16" t="n">
        <x:v>75</x:v>
      </x:c>
      <x:c r="J1428" s="16" t="n">
        <x:v>33</x:v>
      </x:c>
      <x:c r="K1428" s="16" t="n">
        <x:v>87</x:v>
      </x:c>
      <x:c r="L1428" s="16" t="n">
        <x:v>64</x:v>
      </x:c>
      <x:c r="M1428" s="16" t="n">
        <x:v>175</x:v>
      </x:c>
      <x:c r="N1428" s="16" t="n">
        <x:v>16</x:v>
      </x:c>
      <x:c r="O1428" s="16" t="n">
        <x:v>74</x:v>
      </x:c>
      <x:c r="P1428" s="16" t="n">
        <x:v>1</x:v>
      </x:c>
      <x:c r="Q1428" s="16" t="n">
        <x:v>6</x:v>
      </x:c>
      <x:c r="R1428" s="16" t="n">
        <x:v>1</x:v>
      </x:c>
      <x:c r="S1428" s="16" t="n">
        <x:v>6</x:v>
      </x:c>
      <x:c r="T1428" s="16" t="n">
        <x:v>7</x:v>
      </x:c>
      <x:c r="U1428" s="16" t="n">
        <x:v>0</x:v>
      </x:c>
      <x:c r="V1428" s="16" t="n">
        <x:v>0</x:v>
      </x:c>
      <x:c r="W1428" s="16" t="n">
        <x:v>0</x:v>
      </x:c>
      <x:c r="X1428" s="16" t="n">
        <x:v>0</x:v>
      </x:c>
      <x:c r="Y1428" s="16" t="n">
        <x:v>0</x:v>
      </x:c>
      <x:c r="Z1428" s="16" t="n">
        <x:v>0</x:v>
      </x:c>
      <x:c r="AA1428" s="16" t="n">
        <x:v>3</x:v>
      </x:c>
      <x:c r="AB1428" s="16" t="n">
        <x:v>11</x:v>
      </x:c>
      <x:c r="AC1428" s="16" t="n">
        <x:v>0</x:v>
      </x:c>
      <x:c r="AD1428" s="21" t="n">
        <x:f>IF(E1428="",MEDIAN($E$2:$E$2237),E1428)</x:f>
        <x:v>31907</x:v>
      </x:c>
      <x:c r="AE1428" s="17" t="n">
        <x:f>2014-B1428</x:f>
        <x:v>42</x:v>
      </x:c>
      <x:c r="AF1428" s="17" t="n">
        <x:f>F1428+G1428</x:f>
        <x:v>0</x:v>
      </x:c>
      <x:c r="AG1428" s="21" t="n">
        <x:f>SUM(J1428:O1428)</x:f>
        <x:v>449</x:v>
      </x:c>
      <x:c r="AH1428" s="17" t="n">
        <x:f>SUM(Q1428:S1428)</x:f>
        <x:v>13</x:v>
      </x:c>
      <x:c r="AI1428" s="17" t="n">
        <x:f>SUM(U1428:Y1428)</x:f>
        <x:v>0</x:v>
      </x:c>
      <x:c r="AJ1428" s="17" t="str">
        <x:f>IF(AE1428&lt;=34,"≤34",IF(AE1428&lt;=44,"35–44",IF(AE1428&lt;=54,"45–54",IF(AE1428&lt;=64,"55–64","65+"))))</x:f>
        <x:v>35–44</x:v>
      </x:c>
      <x:c r="AK1428" s="17" t="str">
        <x:f>IF(AG1428&gt;=1000,"High Value",IF(AG1428&gt;=300,"Mid Value","Low Value"))</x:f>
        <x:v>Mid Value</x:v>
      </x:c>
      <x:c r="AL1428" s="17" t="str">
        <x:f>IF(AND(AI1428&gt;=1,I1428&lt;=50),"Priority 1",IF(AND(AG1428&gt;=1000,I1428&lt;=60),"Priority 2",IF(I1428&lt;=30,"Priority 3","Nurture")))</x:f>
        <x:v>Nurture</x:v>
      </x:c>
    </x:row>
    <x:row r="1429">
      <x:c r="A1429" s="16" t="n">
        <x:v>7152</x:v>
      </x:c>
      <x:c r="B1429" s="16" t="n">
        <x:v>1983</x:v>
      </x:c>
      <x:c r="C1429" s="16" t="str">
        <x:v>Master</x:v>
      </x:c>
      <x:c r="D1429" s="16" t="str">
        <x:v>Married</x:v>
      </x:c>
      <x:c r="E1429" s="16" t="n">
        <x:v>27100</x:v>
      </x:c>
      <x:c r="F1429" s="16" t="n">
        <x:v>1</x:v>
      </x:c>
      <x:c r="G1429" s="16" t="n">
        <x:v>0</x:v>
      </x:c>
      <x:c r="H1429" s="16" t="str">
        <x:v>05-04-2013</x:v>
      </x:c>
      <x:c r="I1429" s="16" t="n">
        <x:v>64</x:v>
      </x:c>
      <x:c r="J1429" s="16" t="n">
        <x:v>12</x:v>
      </x:c>
      <x:c r="K1429" s="16" t="n">
        <x:v>0</x:v>
      </x:c>
      <x:c r="L1429" s="16" t="n">
        <x:v>13</x:v>
      </x:c>
      <x:c r="M1429" s="16" t="n">
        <x:v>2</x:v>
      </x:c>
      <x:c r="N1429" s="16" t="n">
        <x:v>0</x:v>
      </x:c>
      <x:c r="O1429" s="16" t="n">
        <x:v>10</x:v>
      </x:c>
      <x:c r="P1429" s="16" t="n">
        <x:v>1</x:v>
      </x:c>
      <x:c r="Q1429" s="16" t="n">
        <x:v>1</x:v>
      </x:c>
      <x:c r="R1429" s="16" t="n">
        <x:v>0</x:v>
      </x:c>
      <x:c r="S1429" s="16" t="n">
        <x:v>3</x:v>
      </x:c>
      <x:c r="T1429" s="16" t="n">
        <x:v>7</x:v>
      </x:c>
      <x:c r="U1429" s="16" t="n">
        <x:v>0</x:v>
      </x:c>
      <x:c r="V1429" s="16" t="n">
        <x:v>0</x:v>
      </x:c>
      <x:c r="W1429" s="16" t="n">
        <x:v>0</x:v>
      </x:c>
      <x:c r="X1429" s="16" t="n">
        <x:v>0</x:v>
      </x:c>
      <x:c r="Y1429" s="16" t="n">
        <x:v>0</x:v>
      </x:c>
      <x:c r="Z1429" s="16" t="n">
        <x:v>0</x:v>
      </x:c>
      <x:c r="AA1429" s="16" t="n">
        <x:v>3</x:v>
      </x:c>
      <x:c r="AB1429" s="16" t="n">
        <x:v>11</x:v>
      </x:c>
      <x:c r="AC1429" s="16" t="n">
        <x:v>0</x:v>
      </x:c>
      <x:c r="AD1429" s="21" t="n">
        <x:f>IF(E1429="",MEDIAN($E$2:$E$2237),E1429)</x:f>
        <x:v>27100</x:v>
      </x:c>
      <x:c r="AE1429" s="17" t="n">
        <x:f>2014-B1429</x:f>
        <x:v>31</x:v>
      </x:c>
      <x:c r="AF1429" s="17" t="n">
        <x:f>F1429+G1429</x:f>
        <x:v>1</x:v>
      </x:c>
      <x:c r="AG1429" s="21" t="n">
        <x:f>SUM(J1429:O1429)</x:f>
        <x:v>37</x:v>
      </x:c>
      <x:c r="AH1429" s="17" t="n">
        <x:f>SUM(Q1429:S1429)</x:f>
        <x:v>4</x:v>
      </x:c>
      <x:c r="AI1429" s="17" t="n">
        <x:f>SUM(U1429:Y1429)</x:f>
        <x:v>0</x:v>
      </x:c>
      <x:c r="AJ1429" s="17" t="str">
        <x:f>IF(AE1429&lt;=34,"≤34",IF(AE1429&lt;=44,"35–44",IF(AE1429&lt;=54,"45–54",IF(AE1429&lt;=64,"55–64","65+"))))</x:f>
        <x:v>≤34</x:v>
      </x:c>
      <x:c r="AK1429" s="17" t="str">
        <x:f>IF(AG1429&gt;=1000,"High Value",IF(AG1429&gt;=300,"Mid Value","Low Value"))</x:f>
        <x:v>Low Value</x:v>
      </x:c>
      <x:c r="AL1429" s="17" t="str">
        <x:f>IF(AND(AI1429&gt;=1,I1429&lt;=50),"Priority 1",IF(AND(AG1429&gt;=1000,I1429&lt;=60),"Priority 2",IF(I1429&lt;=30,"Priority 3","Nurture")))</x:f>
        <x:v>Nurture</x:v>
      </x:c>
    </x:row>
    <x:row r="1430">
      <x:c r="A1430" s="16" t="n">
        <x:v>10033</x:v>
      </x:c>
      <x:c r="B1430" s="16" t="n">
        <x:v>1973</x:v>
      </x:c>
      <x:c r="C1430" s="16" t="str">
        <x:v>2n Cycle</x:v>
      </x:c>
      <x:c r="D1430" s="16" t="str">
        <x:v>Divorced</x:v>
      </x:c>
      <x:c r="E1430" s="16" t="n">
        <x:v>31163</x:v>
      </x:c>
      <x:c r="F1430" s="16" t="n">
        <x:v>1</x:v>
      </x:c>
      <x:c r="G1430" s="16" t="n">
        <x:v>0</x:v>
      </x:c>
      <x:c r="H1430" s="16" t="str">
        <x:v>13-02-2014</x:v>
      </x:c>
      <x:c r="I1430" s="16" t="n">
        <x:v>54</x:v>
      </x:c>
      <x:c r="J1430" s="16" t="n">
        <x:v>2</x:v>
      </x:c>
      <x:c r="K1430" s="16" t="n">
        <x:v>3</x:v>
      </x:c>
      <x:c r="L1430" s="16" t="n">
        <x:v>10</x:v>
      </x:c>
      <x:c r="M1430" s="16" t="n">
        <x:v>11</x:v>
      </x:c>
      <x:c r="N1430" s="16" t="n">
        <x:v>2</x:v>
      </x:c>
      <x:c r="O1430" s="16" t="n">
        <x:v>10</x:v>
      </x:c>
      <x:c r="P1430" s="16" t="n">
        <x:v>1</x:v>
      </x:c>
      <x:c r="Q1430" s="16" t="n">
        <x:v>1</x:v>
      </x:c>
      <x:c r="R1430" s="16" t="n">
        <x:v>0</x:v>
      </x:c>
      <x:c r="S1430" s="16" t="n">
        <x:v>3</x:v>
      </x:c>
      <x:c r="T1430" s="16" t="n">
        <x:v>6</x:v>
      </x:c>
      <x:c r="U1430" s="16" t="n">
        <x:v>0</x:v>
      </x:c>
      <x:c r="V1430" s="16" t="n">
        <x:v>0</x:v>
      </x:c>
      <x:c r="W1430" s="16" t="n">
        <x:v>0</x:v>
      </x:c>
      <x:c r="X1430" s="16" t="n">
        <x:v>0</x:v>
      </x:c>
      <x:c r="Y1430" s="16" t="n">
        <x:v>0</x:v>
      </x:c>
      <x:c r="Z1430" s="16" t="n">
        <x:v>0</x:v>
      </x:c>
      <x:c r="AA1430" s="16" t="n">
        <x:v>3</x:v>
      </x:c>
      <x:c r="AB1430" s="16" t="n">
        <x:v>11</x:v>
      </x:c>
      <x:c r="AC1430" s="16" t="n">
        <x:v>0</x:v>
      </x:c>
      <x:c r="AD1430" s="21" t="n">
        <x:f>IF(E1430="",MEDIAN($E$2:$E$2237),E1430)</x:f>
        <x:v>31163</x:v>
      </x:c>
      <x:c r="AE1430" s="17" t="n">
        <x:f>2014-B1430</x:f>
        <x:v>41</x:v>
      </x:c>
      <x:c r="AF1430" s="17" t="n">
        <x:f>F1430+G1430</x:f>
        <x:v>1</x:v>
      </x:c>
      <x:c r="AG1430" s="21" t="n">
        <x:f>SUM(J1430:O1430)</x:f>
        <x:v>38</x:v>
      </x:c>
      <x:c r="AH1430" s="17" t="n">
        <x:f>SUM(Q1430:S1430)</x:f>
        <x:v>4</x:v>
      </x:c>
      <x:c r="AI1430" s="17" t="n">
        <x:f>SUM(U1430:Y1430)</x:f>
        <x:v>0</x:v>
      </x:c>
      <x:c r="AJ1430" s="17" t="str">
        <x:f>IF(AE1430&lt;=34,"≤34",IF(AE1430&lt;=44,"35–44",IF(AE1430&lt;=54,"45–54",IF(AE1430&lt;=64,"55–64","65+"))))</x:f>
        <x:v>35–44</x:v>
      </x:c>
      <x:c r="AK1430" s="17" t="str">
        <x:f>IF(AG1430&gt;=1000,"High Value",IF(AG1430&gt;=300,"Mid Value","Low Value"))</x:f>
        <x:v>Low Value</x:v>
      </x:c>
      <x:c r="AL1430" s="17" t="str">
        <x:f>IF(AND(AI1430&gt;=1,I1430&lt;=50),"Priority 1",IF(AND(AG1430&gt;=1000,I1430&lt;=60),"Priority 2",IF(I1430&lt;=30,"Priority 3","Nurture")))</x:f>
        <x:v>Nurture</x:v>
      </x:c>
    </x:row>
    <x:row r="1431">
      <x:c r="A1431" s="16" t="n">
        <x:v>9349</x:v>
      </x:c>
      <x:c r="B1431" s="16" t="n">
        <x:v>1985</x:v>
      </x:c>
      <x:c r="C1431" s="16" t="str">
        <x:v>Graduation</x:v>
      </x:c>
      <x:c r="D1431" s="16" t="str">
        <x:v>Married</x:v>
      </x:c>
      <x:c r="E1431" s="16" t="n">
        <x:v>92533</x:v>
      </x:c>
      <x:c r="F1431" s="16" t="n">
        <x:v>0</x:v>
      </x:c>
      <x:c r="G1431" s="16" t="n">
        <x:v>0</x:v>
      </x:c>
      <x:c r="H1431" s="16" t="str">
        <x:v>19-12-2013</x:v>
      </x:c>
      <x:c r="I1431" s="16" t="n">
        <x:v>84</x:v>
      </x:c>
      <x:c r="J1431" s="16" t="n">
        <x:v>693</x:v>
      </x:c>
      <x:c r="K1431" s="16" t="n">
        <x:v>21</x:v>
      </x:c>
      <x:c r="L1431" s="16" t="n">
        <x:v>118</x:v>
      </x:c>
      <x:c r="M1431" s="16" t="n">
        <x:v>110</x:v>
      </x:c>
      <x:c r="N1431" s="16" t="n">
        <x:v>147</x:v>
      </x:c>
      <x:c r="O1431" s="16" t="n">
        <x:v>42</x:v>
      </x:c>
      <x:c r="P1431" s="16" t="n">
        <x:v>1</x:v>
      </x:c>
      <x:c r="Q1431" s="16" t="n">
        <x:v>6</x:v>
      </x:c>
      <x:c r="R1431" s="16" t="n">
        <x:v>5</x:v>
      </x:c>
      <x:c r="S1431" s="16" t="n">
        <x:v>11</x:v>
      </x:c>
      <x:c r="T1431" s="16" t="n">
        <x:v>2</x:v>
      </x:c>
      <x:c r="U1431" s="16" t="n">
        <x:v>0</x:v>
      </x:c>
      <x:c r="V1431" s="16" t="n">
        <x:v>0</x:v>
      </x:c>
      <x:c r="W1431" s="16" t="n">
        <x:v>1</x:v>
      </x:c>
      <x:c r="X1431" s="16" t="n">
        <x:v>1</x:v>
      </x:c>
      <x:c r="Y1431" s="16" t="n">
        <x:v>0</x:v>
      </x:c>
      <x:c r="Z1431" s="16" t="n">
        <x:v>0</x:v>
      </x:c>
      <x:c r="AA1431" s="16" t="n">
        <x:v>3</x:v>
      </x:c>
      <x:c r="AB1431" s="16" t="n">
        <x:v>11</x:v>
      </x:c>
      <x:c r="AC1431" s="16" t="n">
        <x:v>0</x:v>
      </x:c>
      <x:c r="AD1431" s="21" t="n">
        <x:f>IF(E1431="",MEDIAN($E$2:$E$2237),E1431)</x:f>
        <x:v>92533</x:v>
      </x:c>
      <x:c r="AE1431" s="17" t="n">
        <x:f>2014-B1431</x:f>
        <x:v>29</x:v>
      </x:c>
      <x:c r="AF1431" s="17" t="n">
        <x:f>F1431+G1431</x:f>
        <x:v>0</x:v>
      </x:c>
      <x:c r="AG1431" s="21" t="n">
        <x:f>SUM(J1431:O1431)</x:f>
        <x:v>1131</x:v>
      </x:c>
      <x:c r="AH1431" s="17" t="n">
        <x:f>SUM(Q1431:S1431)</x:f>
        <x:v>22</x:v>
      </x:c>
      <x:c r="AI1431" s="17" t="n">
        <x:f>SUM(U1431:Y1431)</x:f>
        <x:v>2</x:v>
      </x:c>
      <x:c r="AJ1431" s="17" t="str">
        <x:f>IF(AE1431&lt;=34,"≤34",IF(AE1431&lt;=44,"35–44",IF(AE1431&lt;=54,"45–54",IF(AE1431&lt;=64,"55–64","65+"))))</x:f>
        <x:v>≤34</x:v>
      </x:c>
      <x:c r="AK1431" s="17" t="str">
        <x:f>IF(AG1431&gt;=1000,"High Value",IF(AG1431&gt;=300,"Mid Value","Low Value"))</x:f>
        <x:v>High Value</x:v>
      </x:c>
      <x:c r="AL1431" s="17" t="str">
        <x:f>IF(AND(AI1431&gt;=1,I1431&lt;=50),"Priority 1",IF(AND(AG1431&gt;=1000,I1431&lt;=60),"Priority 2",IF(I1431&lt;=30,"Priority 3","Nurture")))</x:f>
        <x:v>Nurture</x:v>
      </x:c>
    </x:row>
    <x:row r="1432">
      <x:c r="A1432" s="16" t="n">
        <x:v>274</x:v>
      </x:c>
      <x:c r="B1432" s="16" t="n">
        <x:v>1973</x:v>
      </x:c>
      <x:c r="C1432" s="16" t="str">
        <x:v>Graduation</x:v>
      </x:c>
      <x:c r="D1432" s="16" t="str">
        <x:v>Single</x:v>
      </x:c>
      <x:c r="E1432" s="16" t="n">
        <x:v>34853</x:v>
      </x:c>
      <x:c r="F1432" s="16" t="n">
        <x:v>1</x:v>
      </x:c>
      <x:c r="G1432" s="16" t="n">
        <x:v>1</x:v>
      </x:c>
      <x:c r="H1432" s="16" t="str">
        <x:v>23-12-2013</x:v>
      </x:c>
      <x:c r="I1432" s="16" t="n">
        <x:v>75</x:v>
      </x:c>
      <x:c r="J1432" s="16" t="n">
        <x:v>9</x:v>
      </x:c>
      <x:c r="K1432" s="16" t="n">
        <x:v>3</x:v>
      </x:c>
      <x:c r="L1432" s="16" t="n">
        <x:v>15</x:v>
      </x:c>
      <x:c r="M1432" s="16" t="n">
        <x:v>2</x:v>
      </x:c>
      <x:c r="N1432" s="16" t="n">
        <x:v>3</x:v>
      </x:c>
      <x:c r="O1432" s="16" t="n">
        <x:v>2</x:v>
      </x:c>
      <x:c r="P1432" s="16" t="n">
        <x:v>2</x:v>
      </x:c>
      <x:c r="Q1432" s="16" t="n">
        <x:v>2</x:v>
      </x:c>
      <x:c r="R1432" s="16" t="n">
        <x:v>0</x:v>
      </x:c>
      <x:c r="S1432" s="16" t="n">
        <x:v>3</x:v>
      </x:c>
      <x:c r="T1432" s="16" t="n">
        <x:v>6</x:v>
      </x:c>
      <x:c r="U1432" s="16" t="n">
        <x:v>0</x:v>
      </x:c>
      <x:c r="V1432" s="16" t="n">
        <x:v>0</x:v>
      </x:c>
      <x:c r="W1432" s="16" t="n">
        <x:v>0</x:v>
      </x:c>
      <x:c r="X1432" s="16" t="n">
        <x:v>0</x:v>
      </x:c>
      <x:c r="Y1432" s="16" t="n">
        <x:v>0</x:v>
      </x:c>
      <x:c r="Z1432" s="16" t="n">
        <x:v>0</x:v>
      </x:c>
      <x:c r="AA1432" s="16" t="n">
        <x:v>3</x:v>
      </x:c>
      <x:c r="AB1432" s="16" t="n">
        <x:v>11</x:v>
      </x:c>
      <x:c r="AC1432" s="16" t="n">
        <x:v>0</x:v>
      </x:c>
      <x:c r="AD1432" s="21" t="n">
        <x:f>IF(E1432="",MEDIAN($E$2:$E$2237),E1432)</x:f>
        <x:v>34853</x:v>
      </x:c>
      <x:c r="AE1432" s="17" t="n">
        <x:f>2014-B1432</x:f>
        <x:v>41</x:v>
      </x:c>
      <x:c r="AF1432" s="17" t="n">
        <x:f>F1432+G1432</x:f>
        <x:v>2</x:v>
      </x:c>
      <x:c r="AG1432" s="21" t="n">
        <x:f>SUM(J1432:O1432)</x:f>
        <x:v>34</x:v>
      </x:c>
      <x:c r="AH1432" s="17" t="n">
        <x:f>SUM(Q1432:S1432)</x:f>
        <x:v>5</x:v>
      </x:c>
      <x:c r="AI1432" s="17" t="n">
        <x:f>SUM(U1432:Y1432)</x:f>
        <x:v>0</x:v>
      </x:c>
      <x:c r="AJ1432" s="17" t="str">
        <x:f>IF(AE1432&lt;=34,"≤34",IF(AE1432&lt;=44,"35–44",IF(AE1432&lt;=54,"45–54",IF(AE1432&lt;=64,"55–64","65+"))))</x:f>
        <x:v>35–44</x:v>
      </x:c>
      <x:c r="AK1432" s="17" t="str">
        <x:f>IF(AG1432&gt;=1000,"High Value",IF(AG1432&gt;=300,"Mid Value","Low Value"))</x:f>
        <x:v>Low Value</x:v>
      </x:c>
      <x:c r="AL1432" s="17" t="str">
        <x:f>IF(AND(AI1432&gt;=1,I1432&lt;=50),"Priority 1",IF(AND(AG1432&gt;=1000,I1432&lt;=60),"Priority 2",IF(I1432&lt;=30,"Priority 3","Nurture")))</x:f>
        <x:v>Nurture</x:v>
      </x:c>
    </x:row>
    <x:row r="1433">
      <x:c r="A1433" s="16" t="n">
        <x:v>3388</x:v>
      </x:c>
      <x:c r="B1433" s="16" t="n">
        <x:v>1967</x:v>
      </x:c>
      <x:c r="C1433" s="16" t="str">
        <x:v>Graduation</x:v>
      </x:c>
      <x:c r="D1433" s="16" t="str">
        <x:v>Divorced</x:v>
      </x:c>
      <x:c r="E1433" s="16" t="n">
        <x:v>70844</x:v>
      </x:c>
      <x:c r="F1433" s="16" t="n">
        <x:v>1</x:v>
      </x:c>
      <x:c r="G1433" s="16" t="n">
        <x:v>1</x:v>
      </x:c>
      <x:c r="H1433" s="16" t="str">
        <x:v>30-10-2013</x:v>
      </x:c>
      <x:c r="I1433" s="16" t="n">
        <x:v>16</x:v>
      </x:c>
      <x:c r="J1433" s="16" t="n">
        <x:v>129</x:v>
      </x:c>
      <x:c r="K1433" s="16" t="n">
        <x:v>26</x:v>
      </x:c>
      <x:c r="L1433" s="16" t="n">
        <x:v>67</x:v>
      </x:c>
      <x:c r="M1433" s="16" t="n">
        <x:v>3</x:v>
      </x:c>
      <x:c r="N1433" s="16" t="n">
        <x:v>67</x:v>
      </x:c>
      <x:c r="O1433" s="16" t="n">
        <x:v>2</x:v>
      </x:c>
      <x:c r="P1433" s="16" t="n">
        <x:v>5</x:v>
      </x:c>
      <x:c r="Q1433" s="16" t="n">
        <x:v>6</x:v>
      </x:c>
      <x:c r="R1433" s="16" t="n">
        <x:v>1</x:v>
      </x:c>
      <x:c r="S1433" s="16" t="n">
        <x:v>5</x:v>
      </x:c>
      <x:c r="T1433" s="16" t="n">
        <x:v>7</x:v>
      </x:c>
      <x:c r="U1433" s="16" t="n">
        <x:v>0</x:v>
      </x:c>
      <x:c r="V1433" s="16" t="n">
        <x:v>0</x:v>
      </x:c>
      <x:c r="W1433" s="16" t="n">
        <x:v>0</x:v>
      </x:c>
      <x:c r="X1433" s="16" t="n">
        <x:v>0</x:v>
      </x:c>
      <x:c r="Y1433" s="16" t="n">
        <x:v>0</x:v>
      </x:c>
      <x:c r="Z1433" s="16" t="n">
        <x:v>0</x:v>
      </x:c>
      <x:c r="AA1433" s="16" t="n">
        <x:v>3</x:v>
      </x:c>
      <x:c r="AB1433" s="16" t="n">
        <x:v>11</x:v>
      </x:c>
      <x:c r="AC1433" s="16" t="n">
        <x:v>0</x:v>
      </x:c>
      <x:c r="AD1433" s="21" t="n">
        <x:f>IF(E1433="",MEDIAN($E$2:$E$2237),E1433)</x:f>
        <x:v>70844</x:v>
      </x:c>
      <x:c r="AE1433" s="17" t="n">
        <x:f>2014-B1433</x:f>
        <x:v>47</x:v>
      </x:c>
      <x:c r="AF1433" s="17" t="n">
        <x:f>F1433+G1433</x:f>
        <x:v>2</x:v>
      </x:c>
      <x:c r="AG1433" s="21" t="n">
        <x:f>SUM(J1433:O1433)</x:f>
        <x:v>294</x:v>
      </x:c>
      <x:c r="AH1433" s="17" t="n">
        <x:f>SUM(Q1433:S1433)</x:f>
        <x:v>12</x:v>
      </x:c>
      <x:c r="AI1433" s="17" t="n">
        <x:f>SUM(U1433:Y1433)</x:f>
        <x:v>0</x:v>
      </x:c>
      <x:c r="AJ1433" s="17" t="str">
        <x:f>IF(AE1433&lt;=34,"≤34",IF(AE1433&lt;=44,"35–44",IF(AE1433&lt;=54,"45–54",IF(AE1433&lt;=64,"55–64","65+"))))</x:f>
        <x:v>45–54</x:v>
      </x:c>
      <x:c r="AK1433" s="17" t="str">
        <x:f>IF(AG1433&gt;=1000,"High Value",IF(AG1433&gt;=300,"Mid Value","Low Value"))</x:f>
        <x:v>Low Value</x:v>
      </x:c>
      <x:c r="AL1433" s="17" t="str">
        <x:f>IF(AND(AI1433&gt;=1,I1433&lt;=50),"Priority 1",IF(AND(AG1433&gt;=1000,I1433&lt;=60),"Priority 2",IF(I1433&lt;=30,"Priority 3","Nurture")))</x:f>
        <x:v>Priority 3</x:v>
      </x:c>
    </x:row>
    <x:row r="1434">
      <x:c r="A1434" s="16" t="n">
        <x:v>922</x:v>
      </x:c>
      <x:c r="B1434" s="16" t="n">
        <x:v>1979</x:v>
      </x:c>
      <x:c r="C1434" s="16" t="str">
        <x:v>2n Cycle</x:v>
      </x:c>
      <x:c r="D1434" s="16" t="str">
        <x:v>Married</x:v>
      </x:c>
      <x:c r="E1434" s="16" t="n">
        <x:v>31086</x:v>
      </x:c>
      <x:c r="F1434" s="16" t="n">
        <x:v>1</x:v>
      </x:c>
      <x:c r="G1434" s="16" t="n">
        <x:v>1</x:v>
      </x:c>
      <x:c r="H1434" s="16" t="str">
        <x:v>04-05-2013</x:v>
      </x:c>
      <x:c r="I1434" s="16" t="n">
        <x:v>79</x:v>
      </x:c>
      <x:c r="J1434" s="16" t="n">
        <x:v>16</x:v>
      </x:c>
      <x:c r="K1434" s="16" t="n">
        <x:v>2</x:v>
      </x:c>
      <x:c r="L1434" s="16" t="n">
        <x:v>11</x:v>
      </x:c>
      <x:c r="M1434" s="16" t="n">
        <x:v>3</x:v>
      </x:c>
      <x:c r="N1434" s="16" t="n">
        <x:v>0</x:v>
      </x:c>
      <x:c r="O1434" s="16" t="n">
        <x:v>16</x:v>
      </x:c>
      <x:c r="P1434" s="16" t="n">
        <x:v>2</x:v>
      </x:c>
      <x:c r="Q1434" s="16" t="n">
        <x:v>1</x:v>
      </x:c>
      <x:c r="R1434" s="16" t="n">
        <x:v>1</x:v>
      </x:c>
      <x:c r="S1434" s="16" t="n">
        <x:v>2</x:v>
      </x:c>
      <x:c r="T1434" s="16" t="n">
        <x:v>8</x:v>
      </x:c>
      <x:c r="U1434" s="16" t="n">
        <x:v>1</x:v>
      </x:c>
      <x:c r="V1434" s="16" t="n">
        <x:v>0</x:v>
      </x:c>
      <x:c r="W1434" s="16" t="n">
        <x:v>0</x:v>
      </x:c>
      <x:c r="X1434" s="16" t="n">
        <x:v>0</x:v>
      </x:c>
      <x:c r="Y1434" s="16" t="n">
        <x:v>0</x:v>
      </x:c>
      <x:c r="Z1434" s="16" t="n">
        <x:v>0</x:v>
      </x:c>
      <x:c r="AA1434" s="16" t="n">
        <x:v>3</x:v>
      </x:c>
      <x:c r="AB1434" s="16" t="n">
        <x:v>11</x:v>
      </x:c>
      <x:c r="AC1434" s="16" t="n">
        <x:v>0</x:v>
      </x:c>
      <x:c r="AD1434" s="21" t="n">
        <x:f>IF(E1434="",MEDIAN($E$2:$E$2237),E1434)</x:f>
        <x:v>31086</x:v>
      </x:c>
      <x:c r="AE1434" s="17" t="n">
        <x:f>2014-B1434</x:f>
        <x:v>35</x:v>
      </x:c>
      <x:c r="AF1434" s="17" t="n">
        <x:f>F1434+G1434</x:f>
        <x:v>2</x:v>
      </x:c>
      <x:c r="AG1434" s="21" t="n">
        <x:f>SUM(J1434:O1434)</x:f>
        <x:v>48</x:v>
      </x:c>
      <x:c r="AH1434" s="17" t="n">
        <x:f>SUM(Q1434:S1434)</x:f>
        <x:v>4</x:v>
      </x:c>
      <x:c r="AI1434" s="17" t="n">
        <x:f>SUM(U1434:Y1434)</x:f>
        <x:v>1</x:v>
      </x:c>
      <x:c r="AJ1434" s="17" t="str">
        <x:f>IF(AE1434&lt;=34,"≤34",IF(AE1434&lt;=44,"35–44",IF(AE1434&lt;=54,"45–54",IF(AE1434&lt;=64,"55–64","65+"))))</x:f>
        <x:v>35–44</x:v>
      </x:c>
      <x:c r="AK1434" s="17" t="str">
        <x:f>IF(AG1434&gt;=1000,"High Value",IF(AG1434&gt;=300,"Mid Value","Low Value"))</x:f>
        <x:v>Low Value</x:v>
      </x:c>
      <x:c r="AL1434" s="17" t="str">
        <x:f>IF(AND(AI1434&gt;=1,I1434&lt;=50),"Priority 1",IF(AND(AG1434&gt;=1000,I1434&lt;=60),"Priority 2",IF(I1434&lt;=30,"Priority 3","Nurture")))</x:f>
        <x:v>Nurture</x:v>
      </x:c>
    </x:row>
    <x:row r="1435">
      <x:c r="A1435" s="16" t="n">
        <x:v>8588</x:v>
      </x:c>
      <x:c r="B1435" s="16" t="n">
        <x:v>1961</x:v>
      </x:c>
      <x:c r="C1435" s="16" t="str">
        <x:v>Graduation</x:v>
      </x:c>
      <x:c r="D1435" s="16" t="str">
        <x:v>Married</x:v>
      </x:c>
      <x:c r="E1435" s="16" t="n">
        <x:v>60544</x:v>
      </x:c>
      <x:c r="F1435" s="16" t="n">
        <x:v>1</x:v>
      </x:c>
      <x:c r="G1435" s="16" t="n">
        <x:v>1</x:v>
      </x:c>
      <x:c r="H1435" s="16" t="str">
        <x:v>25-08-2012</x:v>
      </x:c>
      <x:c r="I1435" s="16" t="n">
        <x:v>92</x:v>
      </x:c>
      <x:c r="J1435" s="16" t="n">
        <x:v>201</x:v>
      </x:c>
      <x:c r="K1435" s="16" t="n">
        <x:v>2</x:v>
      </x:c>
      <x:c r="L1435" s="16" t="n">
        <x:v>43</x:v>
      </x:c>
      <x:c r="M1435" s="16" t="n">
        <x:v>3</x:v>
      </x:c>
      <x:c r="N1435" s="16" t="n">
        <x:v>5</x:v>
      </x:c>
      <x:c r="O1435" s="16" t="n">
        <x:v>35</x:v>
      </x:c>
      <x:c r="P1435" s="16" t="n">
        <x:v>4</x:v>
      </x:c>
      <x:c r="Q1435" s="16" t="n">
        <x:v>5</x:v>
      </x:c>
      <x:c r="R1435" s="16" t="n">
        <x:v>1</x:v>
      </x:c>
      <x:c r="S1435" s="16" t="n">
        <x:v>5</x:v>
      </x:c>
      <x:c r="T1435" s="16" t="n">
        <x:v>6</x:v>
      </x:c>
      <x:c r="U1435" s="16" t="n">
        <x:v>0</x:v>
      </x:c>
      <x:c r="V1435" s="16" t="n">
        <x:v>0</x:v>
      </x:c>
      <x:c r="W1435" s="16" t="n">
        <x:v>0</x:v>
      </x:c>
      <x:c r="X1435" s="16" t="n">
        <x:v>0</x:v>
      </x:c>
      <x:c r="Y1435" s="16" t="n">
        <x:v>0</x:v>
      </x:c>
      <x:c r="Z1435" s="16" t="n">
        <x:v>0</x:v>
      </x:c>
      <x:c r="AA1435" s="16" t="n">
        <x:v>3</x:v>
      </x:c>
      <x:c r="AB1435" s="16" t="n">
        <x:v>11</x:v>
      </x:c>
      <x:c r="AC1435" s="16" t="n">
        <x:v>0</x:v>
      </x:c>
      <x:c r="AD1435" s="21" t="n">
        <x:f>IF(E1435="",MEDIAN($E$2:$E$2237),E1435)</x:f>
        <x:v>60544</x:v>
      </x:c>
      <x:c r="AE1435" s="17" t="n">
        <x:f>2014-B1435</x:f>
        <x:v>53</x:v>
      </x:c>
      <x:c r="AF1435" s="17" t="n">
        <x:f>F1435+G1435</x:f>
        <x:v>2</x:v>
      </x:c>
      <x:c r="AG1435" s="21" t="n">
        <x:f>SUM(J1435:O1435)</x:f>
        <x:v>289</x:v>
      </x:c>
      <x:c r="AH1435" s="17" t="n">
        <x:f>SUM(Q1435:S1435)</x:f>
        <x:v>11</x:v>
      </x:c>
      <x:c r="AI1435" s="17" t="n">
        <x:f>SUM(U1435:Y1435)</x:f>
        <x:v>0</x:v>
      </x:c>
      <x:c r="AJ1435" s="17" t="str">
        <x:f>IF(AE1435&lt;=34,"≤34",IF(AE1435&lt;=44,"35–44",IF(AE1435&lt;=54,"45–54",IF(AE1435&lt;=64,"55–64","65+"))))</x:f>
        <x:v>45–54</x:v>
      </x:c>
      <x:c r="AK1435" s="17" t="str">
        <x:f>IF(AG1435&gt;=1000,"High Value",IF(AG1435&gt;=300,"Mid Value","Low Value"))</x:f>
        <x:v>Low Value</x:v>
      </x:c>
      <x:c r="AL1435" s="17" t="str">
        <x:f>IF(AND(AI1435&gt;=1,I1435&lt;=50),"Priority 1",IF(AND(AG1435&gt;=1000,I1435&lt;=60),"Priority 2",IF(I1435&lt;=30,"Priority 3","Nurture")))</x:f>
        <x:v>Nurture</x:v>
      </x:c>
    </x:row>
    <x:row r="1436">
      <x:c r="A1436" s="16" t="n">
        <x:v>2518</x:v>
      </x:c>
      <x:c r="B1436" s="16" t="n">
        <x:v>1986</x:v>
      </x:c>
      <x:c r="C1436" s="16" t="str">
        <x:v>2n Cycle</x:v>
      </x:c>
      <x:c r="D1436" s="16" t="str">
        <x:v>Together</x:v>
      </x:c>
      <x:c r="E1436" s="16" t="n">
        <x:v>20491</x:v>
      </x:c>
      <x:c r="F1436" s="16" t="n">
        <x:v>0</x:v>
      </x:c>
      <x:c r="G1436" s="16" t="n">
        <x:v>0</x:v>
      </x:c>
      <x:c r="H1436" s="16" t="str">
        <x:v>25-01-2013</x:v>
      </x:c>
      <x:c r="I1436" s="16" t="n">
        <x:v>16</x:v>
      </x:c>
      <x:c r="J1436" s="16" t="n">
        <x:v>5</x:v>
      </x:c>
      <x:c r="K1436" s="16" t="n">
        <x:v>4</x:v>
      </x:c>
      <x:c r="L1436" s="16" t="n">
        <x:v>5</x:v>
      </x:c>
      <x:c r="M1436" s="16" t="n">
        <x:v>4</x:v>
      </x:c>
      <x:c r="N1436" s="16" t="n">
        <x:v>2</x:v>
      </x:c>
      <x:c r="O1436" s="16" t="n">
        <x:v>10</x:v>
      </x:c>
      <x:c r="P1436" s="16" t="n">
        <x:v>1</x:v>
      </x:c>
      <x:c r="Q1436" s="16" t="n">
        <x:v>0</x:v>
      </x:c>
      <x:c r="R1436" s="16" t="n">
        <x:v>1</x:v>
      </x:c>
      <x:c r="S1436" s="16" t="n">
        <x:v>2</x:v>
      </x:c>
      <x:c r="T1436" s="16" t="n">
        <x:v>7</x:v>
      </x:c>
      <x:c r="U1436" s="16" t="n">
        <x:v>0</x:v>
      </x:c>
      <x:c r="V1436" s="16" t="n">
        <x:v>0</x:v>
      </x:c>
      <x:c r="W1436" s="16" t="n">
        <x:v>0</x:v>
      </x:c>
      <x:c r="X1436" s="16" t="n">
        <x:v>0</x:v>
      </x:c>
      <x:c r="Y1436" s="16" t="n">
        <x:v>0</x:v>
      </x:c>
      <x:c r="Z1436" s="16" t="n">
        <x:v>0</x:v>
      </x:c>
      <x:c r="AA1436" s="16" t="n">
        <x:v>3</x:v>
      </x:c>
      <x:c r="AB1436" s="16" t="n">
        <x:v>11</x:v>
      </x:c>
      <x:c r="AC1436" s="16" t="n">
        <x:v>0</x:v>
      </x:c>
      <x:c r="AD1436" s="21" t="n">
        <x:f>IF(E1436="",MEDIAN($E$2:$E$2237),E1436)</x:f>
        <x:v>20491</x:v>
      </x:c>
      <x:c r="AE1436" s="17" t="n">
        <x:f>2014-B1436</x:f>
        <x:v>28</x:v>
      </x:c>
      <x:c r="AF1436" s="17" t="n">
        <x:f>F1436+G1436</x:f>
        <x:v>0</x:v>
      </x:c>
      <x:c r="AG1436" s="21" t="n">
        <x:f>SUM(J1436:O1436)</x:f>
        <x:v>30</x:v>
      </x:c>
      <x:c r="AH1436" s="17" t="n">
        <x:f>SUM(Q1436:S1436)</x:f>
        <x:v>3</x:v>
      </x:c>
      <x:c r="AI1436" s="17" t="n">
        <x:f>SUM(U1436:Y1436)</x:f>
        <x:v>0</x:v>
      </x:c>
      <x:c r="AJ1436" s="17" t="str">
        <x:f>IF(AE1436&lt;=34,"≤34",IF(AE1436&lt;=44,"35–44",IF(AE1436&lt;=54,"45–54",IF(AE1436&lt;=64,"55–64","65+"))))</x:f>
        <x:v>≤34</x:v>
      </x:c>
      <x:c r="AK1436" s="17" t="str">
        <x:f>IF(AG1436&gt;=1000,"High Value",IF(AG1436&gt;=300,"Mid Value","Low Value"))</x:f>
        <x:v>Low Value</x:v>
      </x:c>
      <x:c r="AL1436" s="17" t="str">
        <x:f>IF(AND(AI1436&gt;=1,I1436&lt;=50),"Priority 1",IF(AND(AG1436&gt;=1000,I1436&lt;=60),"Priority 2",IF(I1436&lt;=30,"Priority 3","Nurture")))</x:f>
        <x:v>Priority 3</x:v>
      </x:c>
    </x:row>
    <x:row r="1437">
      <x:c r="A1437" s="16" t="n">
        <x:v>574</x:v>
      </x:c>
      <x:c r="B1437" s="16" t="n">
        <x:v>1964</x:v>
      </x:c>
      <x:c r="C1437" s="16" t="str">
        <x:v>Graduation</x:v>
      </x:c>
      <x:c r="D1437" s="16" t="str">
        <x:v>Married</x:v>
      </x:c>
      <x:c r="E1437" s="16" t="n">
        <x:v>42523</x:v>
      </x:c>
      <x:c r="F1437" s="16" t="n">
        <x:v>0</x:v>
      </x:c>
      <x:c r="G1437" s="16" t="n">
        <x:v>0</x:v>
      </x:c>
      <x:c r="H1437" s="16" t="str">
        <x:v>23-04-2014</x:v>
      </x:c>
      <x:c r="I1437" s="16" t="n">
        <x:v>96</x:v>
      </x:c>
      <x:c r="J1437" s="16" t="n">
        <x:v>14</x:v>
      </x:c>
      <x:c r="K1437" s="16" t="n">
        <x:v>36</x:v>
      </x:c>
      <x:c r="L1437" s="16" t="n">
        <x:v>11</x:v>
      </x:c>
      <x:c r="M1437" s="16" t="n">
        <x:v>3</x:v>
      </x:c>
      <x:c r="N1437" s="16" t="n">
        <x:v>26</x:v>
      </x:c>
      <x:c r="O1437" s="16" t="n">
        <x:v>35</x:v>
      </x:c>
      <x:c r="P1437" s="16" t="n">
        <x:v>1</x:v>
      </x:c>
      <x:c r="Q1437" s="16" t="n">
        <x:v>1</x:v>
      </x:c>
      <x:c r="R1437" s="16" t="n">
        <x:v>1</x:v>
      </x:c>
      <x:c r="S1437" s="16" t="n">
        <x:v>4</x:v>
      </x:c>
      <x:c r="T1437" s="16" t="n">
        <x:v>2</x:v>
      </x:c>
      <x:c r="U1437" s="16" t="n">
        <x:v>0</x:v>
      </x:c>
      <x:c r="V1437" s="16" t="n">
        <x:v>0</x:v>
      </x:c>
      <x:c r="W1437" s="16" t="n">
        <x:v>0</x:v>
      </x:c>
      <x:c r="X1437" s="16" t="n">
        <x:v>0</x:v>
      </x:c>
      <x:c r="Y1437" s="16" t="n">
        <x:v>0</x:v>
      </x:c>
      <x:c r="Z1437" s="16" t="n">
        <x:v>0</x:v>
      </x:c>
      <x:c r="AA1437" s="16" t="n">
        <x:v>3</x:v>
      </x:c>
      <x:c r="AB1437" s="16" t="n">
        <x:v>11</x:v>
      </x:c>
      <x:c r="AC1437" s="16" t="n">
        <x:v>0</x:v>
      </x:c>
      <x:c r="AD1437" s="21" t="n">
        <x:f>IF(E1437="",MEDIAN($E$2:$E$2237),E1437)</x:f>
        <x:v>42523</x:v>
      </x:c>
      <x:c r="AE1437" s="17" t="n">
        <x:f>2014-B1437</x:f>
        <x:v>50</x:v>
      </x:c>
      <x:c r="AF1437" s="17" t="n">
        <x:f>F1437+G1437</x:f>
        <x:v>0</x:v>
      </x:c>
      <x:c r="AG1437" s="21" t="n">
        <x:f>SUM(J1437:O1437)</x:f>
        <x:v>125</x:v>
      </x:c>
      <x:c r="AH1437" s="17" t="n">
        <x:f>SUM(Q1437:S1437)</x:f>
        <x:v>6</x:v>
      </x:c>
      <x:c r="AI1437" s="17" t="n">
        <x:f>SUM(U1437:Y1437)</x:f>
        <x:v>0</x:v>
      </x:c>
      <x:c r="AJ1437" s="17" t="str">
        <x:f>IF(AE1437&lt;=34,"≤34",IF(AE1437&lt;=44,"35–44",IF(AE1437&lt;=54,"45–54",IF(AE1437&lt;=64,"55–64","65+"))))</x:f>
        <x:v>45–54</x:v>
      </x:c>
      <x:c r="AK1437" s="17" t="str">
        <x:f>IF(AG1437&gt;=1000,"High Value",IF(AG1437&gt;=300,"Mid Value","Low Value"))</x:f>
        <x:v>Low Value</x:v>
      </x:c>
      <x:c r="AL1437" s="17" t="str">
        <x:f>IF(AND(AI1437&gt;=1,I1437&lt;=50),"Priority 1",IF(AND(AG1437&gt;=1000,I1437&lt;=60),"Priority 2",IF(I1437&lt;=30,"Priority 3","Nurture")))</x:f>
        <x:v>Nurture</x:v>
      </x:c>
    </x:row>
    <x:row r="1438">
      <x:c r="A1438" s="16" t="n">
        <x:v>3220</x:v>
      </x:c>
      <x:c r="B1438" s="16" t="n">
        <x:v>1983</x:v>
      </x:c>
      <x:c r="C1438" s="16" t="str">
        <x:v>Graduation</x:v>
      </x:c>
      <x:c r="D1438" s="16" t="str">
        <x:v>Married</x:v>
      </x:c>
      <x:c r="E1438" s="16" t="n">
        <x:v>39922</x:v>
      </x:c>
      <x:c r="F1438" s="16" t="n">
        <x:v>1</x:v>
      </x:c>
      <x:c r="G1438" s="16" t="n">
        <x:v>0</x:v>
      </x:c>
      <x:c r="H1438" s="16" t="str">
        <x:v>14-02-2013</x:v>
      </x:c>
      <x:c r="I1438" s="16" t="n">
        <x:v>30</x:v>
      </x:c>
      <x:c r="J1438" s="16" t="n">
        <x:v>29</x:v>
      </x:c>
      <x:c r="K1438" s="16" t="n">
        <x:v>12</x:v>
      </x:c>
      <x:c r="L1438" s="16" t="n">
        <x:v>59</x:v>
      </x:c>
      <x:c r="M1438" s="16" t="n">
        <x:v>19</x:v>
      </x:c>
      <x:c r="N1438" s="16" t="n">
        <x:v>1</x:v>
      </x:c>
      <x:c r="O1438" s="16" t="n">
        <x:v>36</x:v>
      </x:c>
      <x:c r="P1438" s="16" t="n">
        <x:v>2</x:v>
      </x:c>
      <x:c r="Q1438" s="16" t="n">
        <x:v>3</x:v>
      </x:c>
      <x:c r="R1438" s="16" t="n">
        <x:v>0</x:v>
      </x:c>
      <x:c r="S1438" s="16" t="n">
        <x:v>4</x:v>
      </x:c>
      <x:c r="T1438" s="16" t="n">
        <x:v>8</x:v>
      </x:c>
      <x:c r="U1438" s="16" t="n">
        <x:v>0</x:v>
      </x:c>
      <x:c r="V1438" s="16" t="n">
        <x:v>0</x:v>
      </x:c>
      <x:c r="W1438" s="16" t="n">
        <x:v>0</x:v>
      </x:c>
      <x:c r="X1438" s="16" t="n">
        <x:v>0</x:v>
      </x:c>
      <x:c r="Y1438" s="16" t="n">
        <x:v>0</x:v>
      </x:c>
      <x:c r="Z1438" s="16" t="n">
        <x:v>0</x:v>
      </x:c>
      <x:c r="AA1438" s="16" t="n">
        <x:v>3</x:v>
      </x:c>
      <x:c r="AB1438" s="16" t="n">
        <x:v>11</x:v>
      </x:c>
      <x:c r="AC1438" s="16" t="n">
        <x:v>0</x:v>
      </x:c>
      <x:c r="AD1438" s="21" t="n">
        <x:f>IF(E1438="",MEDIAN($E$2:$E$2237),E1438)</x:f>
        <x:v>39922</x:v>
      </x:c>
      <x:c r="AE1438" s="17" t="n">
        <x:f>2014-B1438</x:f>
        <x:v>31</x:v>
      </x:c>
      <x:c r="AF1438" s="17" t="n">
        <x:f>F1438+G1438</x:f>
        <x:v>1</x:v>
      </x:c>
      <x:c r="AG1438" s="21" t="n">
        <x:f>SUM(J1438:O1438)</x:f>
        <x:v>156</x:v>
      </x:c>
      <x:c r="AH1438" s="17" t="n">
        <x:f>SUM(Q1438:S1438)</x:f>
        <x:v>7</x:v>
      </x:c>
      <x:c r="AI1438" s="17" t="n">
        <x:f>SUM(U1438:Y1438)</x:f>
        <x:v>0</x:v>
      </x:c>
      <x:c r="AJ1438" s="17" t="str">
        <x:f>IF(AE1438&lt;=34,"≤34",IF(AE1438&lt;=44,"35–44",IF(AE1438&lt;=54,"45–54",IF(AE1438&lt;=64,"55–64","65+"))))</x:f>
        <x:v>≤34</x:v>
      </x:c>
      <x:c r="AK1438" s="17" t="str">
        <x:f>IF(AG1438&gt;=1000,"High Value",IF(AG1438&gt;=300,"Mid Value","Low Value"))</x:f>
        <x:v>Low Value</x:v>
      </x:c>
      <x:c r="AL1438" s="17" t="str">
        <x:f>IF(AND(AI1438&gt;=1,I1438&lt;=50),"Priority 1",IF(AND(AG1438&gt;=1000,I1438&lt;=60),"Priority 2",IF(I1438&lt;=30,"Priority 3","Nurture")))</x:f>
        <x:v>Priority 3</x:v>
      </x:c>
    </x:row>
    <x:row r="1439">
      <x:c r="A1439" s="16" t="n">
        <x:v>5967</x:v>
      </x:c>
      <x:c r="B1439" s="16" t="n">
        <x:v>1952</x:v>
      </x:c>
      <x:c r="C1439" s="16" t="str">
        <x:v>Graduation</x:v>
      </x:c>
      <x:c r="D1439" s="16" t="str">
        <x:v>Together</x:v>
      </x:c>
      <x:c r="E1439" s="16" t="n">
        <x:v>33402</x:v>
      </x:c>
      <x:c r="F1439" s="16" t="n">
        <x:v>1</x:v>
      </x:c>
      <x:c r="G1439" s="16" t="n">
        <x:v>1</x:v>
      </x:c>
      <x:c r="H1439" s="16" t="str">
        <x:v>18-07-2013</x:v>
      </x:c>
      <x:c r="I1439" s="16" t="n">
        <x:v>60</x:v>
      </x:c>
      <x:c r="J1439" s="16" t="n">
        <x:v>26</x:v>
      </x:c>
      <x:c r="K1439" s="16" t="n">
        <x:v>2</x:v>
      </x:c>
      <x:c r="L1439" s="16" t="n">
        <x:v>19</x:v>
      </x:c>
      <x:c r="M1439" s="16" t="n">
        <x:v>10</x:v>
      </x:c>
      <x:c r="N1439" s="16" t="n">
        <x:v>5</x:v>
      </x:c>
      <x:c r="O1439" s="16" t="n">
        <x:v>8</x:v>
      </x:c>
      <x:c r="P1439" s="16" t="n">
        <x:v>3</x:v>
      </x:c>
      <x:c r="Q1439" s="16" t="n">
        <x:v>2</x:v>
      </x:c>
      <x:c r="R1439" s="16" t="n">
        <x:v>1</x:v>
      </x:c>
      <x:c r="S1439" s="16" t="n">
        <x:v>3</x:v>
      </x:c>
      <x:c r="T1439" s="16" t="n">
        <x:v>8</x:v>
      </x:c>
      <x:c r="U1439" s="16" t="n">
        <x:v>0</x:v>
      </x:c>
      <x:c r="V1439" s="16" t="n">
        <x:v>0</x:v>
      </x:c>
      <x:c r="W1439" s="16" t="n">
        <x:v>0</x:v>
      </x:c>
      <x:c r="X1439" s="16" t="n">
        <x:v>0</x:v>
      </x:c>
      <x:c r="Y1439" s="16" t="n">
        <x:v>0</x:v>
      </x:c>
      <x:c r="Z1439" s="16" t="n">
        <x:v>0</x:v>
      </x:c>
      <x:c r="AA1439" s="16" t="n">
        <x:v>3</x:v>
      </x:c>
      <x:c r="AB1439" s="16" t="n">
        <x:v>11</x:v>
      </x:c>
      <x:c r="AC1439" s="16" t="n">
        <x:v>0</x:v>
      </x:c>
      <x:c r="AD1439" s="21" t="n">
        <x:f>IF(E1439="",MEDIAN($E$2:$E$2237),E1439)</x:f>
        <x:v>33402</x:v>
      </x:c>
      <x:c r="AE1439" s="17" t="n">
        <x:f>2014-B1439</x:f>
        <x:v>62</x:v>
      </x:c>
      <x:c r="AF1439" s="17" t="n">
        <x:f>F1439+G1439</x:f>
        <x:v>2</x:v>
      </x:c>
      <x:c r="AG1439" s="21" t="n">
        <x:f>SUM(J1439:O1439)</x:f>
        <x:v>70</x:v>
      </x:c>
      <x:c r="AH1439" s="17" t="n">
        <x:f>SUM(Q1439:S1439)</x:f>
        <x:v>6</x:v>
      </x:c>
      <x:c r="AI1439" s="17" t="n">
        <x:f>SUM(U1439:Y1439)</x:f>
        <x:v>0</x:v>
      </x:c>
      <x:c r="AJ1439" s="17" t="str">
        <x:f>IF(AE1439&lt;=34,"≤34",IF(AE1439&lt;=44,"35–44",IF(AE1439&lt;=54,"45–54",IF(AE1439&lt;=64,"55–64","65+"))))</x:f>
        <x:v>55–64</x:v>
      </x:c>
      <x:c r="AK1439" s="17" t="str">
        <x:f>IF(AG1439&gt;=1000,"High Value",IF(AG1439&gt;=300,"Mid Value","Low Value"))</x:f>
        <x:v>Low Value</x:v>
      </x:c>
      <x:c r="AL1439" s="17" t="str">
        <x:f>IF(AND(AI1439&gt;=1,I1439&lt;=50),"Priority 1",IF(AND(AG1439&gt;=1000,I1439&lt;=60),"Priority 2",IF(I1439&lt;=30,"Priority 3","Nurture")))</x:f>
        <x:v>Nurture</x:v>
      </x:c>
    </x:row>
    <x:row r="1440">
      <x:c r="A1440" s="16" t="n">
        <x:v>1183</x:v>
      </x:c>
      <x:c r="B1440" s="16" t="n">
        <x:v>1949</x:v>
      </x:c>
      <x:c r="C1440" s="16" t="str">
        <x:v>Master</x:v>
      </x:c>
      <x:c r="D1440" s="16" t="str">
        <x:v>Married</x:v>
      </x:c>
      <x:c r="E1440" s="16" t="n">
        <x:v>36408</x:v>
      </x:c>
      <x:c r="F1440" s="16" t="n">
        <x:v>1</x:v>
      </x:c>
      <x:c r="G1440" s="16" t="n">
        <x:v>1</x:v>
      </x:c>
      <x:c r="H1440" s="16" t="str">
        <x:v>21-09-2013</x:v>
      </x:c>
      <x:c r="I1440" s="16" t="n">
        <x:v>11</x:v>
      </x:c>
      <x:c r="J1440" s="16" t="n">
        <x:v>9</x:v>
      </x:c>
      <x:c r="K1440" s="16" t="n">
        <x:v>1</x:v>
      </x:c>
      <x:c r="L1440" s="16" t="n">
        <x:v>4</x:v>
      </x:c>
      <x:c r="M1440" s="16" t="n">
        <x:v>3</x:v>
      </x:c>
      <x:c r="N1440" s="16" t="n">
        <x:v>2</x:v>
      </x:c>
      <x:c r="O1440" s="16" t="n">
        <x:v>3</x:v>
      </x:c>
      <x:c r="P1440" s="16" t="n">
        <x:v>1</x:v>
      </x:c>
      <x:c r="Q1440" s="16" t="n">
        <x:v>1</x:v>
      </x:c>
      <x:c r="R1440" s="16" t="n">
        <x:v>0</x:v>
      </x:c>
      <x:c r="S1440" s="16" t="n">
        <x:v>2</x:v>
      </x:c>
      <x:c r="T1440" s="16" t="n">
        <x:v>6</x:v>
      </x:c>
      <x:c r="U1440" s="16" t="n">
        <x:v>0</x:v>
      </x:c>
      <x:c r="V1440" s="16" t="n">
        <x:v>0</x:v>
      </x:c>
      <x:c r="W1440" s="16" t="n">
        <x:v>0</x:v>
      </x:c>
      <x:c r="X1440" s="16" t="n">
        <x:v>0</x:v>
      </x:c>
      <x:c r="Y1440" s="16" t="n">
        <x:v>0</x:v>
      </x:c>
      <x:c r="Z1440" s="16" t="n">
        <x:v>0</x:v>
      </x:c>
      <x:c r="AA1440" s="16" t="n">
        <x:v>3</x:v>
      </x:c>
      <x:c r="AB1440" s="16" t="n">
        <x:v>11</x:v>
      </x:c>
      <x:c r="AC1440" s="16" t="n">
        <x:v>0</x:v>
      </x:c>
      <x:c r="AD1440" s="21" t="n">
        <x:f>IF(E1440="",MEDIAN($E$2:$E$2237),E1440)</x:f>
        <x:v>36408</x:v>
      </x:c>
      <x:c r="AE1440" s="17" t="n">
        <x:f>2014-B1440</x:f>
        <x:v>65</x:v>
      </x:c>
      <x:c r="AF1440" s="17" t="n">
        <x:f>F1440+G1440</x:f>
        <x:v>2</x:v>
      </x:c>
      <x:c r="AG1440" s="21" t="n">
        <x:f>SUM(J1440:O1440)</x:f>
        <x:v>22</x:v>
      </x:c>
      <x:c r="AH1440" s="17" t="n">
        <x:f>SUM(Q1440:S1440)</x:f>
        <x:v>3</x:v>
      </x:c>
      <x:c r="AI1440" s="17" t="n">
        <x:f>SUM(U1440:Y1440)</x:f>
        <x:v>0</x:v>
      </x:c>
      <x:c r="AJ1440" s="17" t="str">
        <x:f>IF(AE1440&lt;=34,"≤34",IF(AE1440&lt;=44,"35–44",IF(AE1440&lt;=54,"45–54",IF(AE1440&lt;=64,"55–64","65+"))))</x:f>
        <x:v>65+</x:v>
      </x:c>
      <x:c r="AK1440" s="17" t="str">
        <x:f>IF(AG1440&gt;=1000,"High Value",IF(AG1440&gt;=300,"Mid Value","Low Value"))</x:f>
        <x:v>Low Value</x:v>
      </x:c>
      <x:c r="AL1440" s="17" t="str">
        <x:f>IF(AND(AI1440&gt;=1,I1440&lt;=50),"Priority 1",IF(AND(AG1440&gt;=1000,I1440&lt;=60),"Priority 2",IF(I1440&lt;=30,"Priority 3","Nurture")))</x:f>
        <x:v>Priority 3</x:v>
      </x:c>
    </x:row>
    <x:row r="1441">
      <x:c r="A1441" s="16" t="n">
        <x:v>6856</x:v>
      </x:c>
      <x:c r="B1441" s="16" t="n">
        <x:v>1979</x:v>
      </x:c>
      <x:c r="C1441" s="16" t="str">
        <x:v>Graduation</x:v>
      </x:c>
      <x:c r="D1441" s="16" t="str">
        <x:v>Together</x:v>
      </x:c>
      <x:c r="E1441" s="16" t="n">
        <x:v>21645</x:v>
      </x:c>
      <x:c r="F1441" s="16" t="n">
        <x:v>1</x:v>
      </x:c>
      <x:c r="G1441" s="16" t="n">
        <x:v>0</x:v>
      </x:c>
      <x:c r="H1441" s="16" t="str">
        <x:v>03-09-2012</x:v>
      </x:c>
      <x:c r="I1441" s="16" t="n">
        <x:v>75</x:v>
      </x:c>
      <x:c r="J1441" s="16" t="n">
        <x:v>14</x:v>
      </x:c>
      <x:c r="K1441" s="16" t="n">
        <x:v>0</x:v>
      </x:c>
      <x:c r="L1441" s="16" t="n">
        <x:v>23</x:v>
      </x:c>
      <x:c r="M1441" s="16" t="n">
        <x:v>4</x:v>
      </x:c>
      <x:c r="N1441" s="16" t="n">
        <x:v>5</x:v>
      </x:c>
      <x:c r="O1441" s="16" t="n">
        <x:v>19</x:v>
      </x:c>
      <x:c r="P1441" s="16" t="n">
        <x:v>3</x:v>
      </x:c>
      <x:c r="Q1441" s="16" t="n">
        <x:v>3</x:v>
      </x:c>
      <x:c r="R1441" s="16" t="n">
        <x:v>0</x:v>
      </x:c>
      <x:c r="S1441" s="16" t="n">
        <x:v>3</x:v>
      </x:c>
      <x:c r="T1441" s="16" t="n">
        <x:v>9</x:v>
      </x:c>
      <x:c r="U1441" s="16" t="n">
        <x:v>0</x:v>
      </x:c>
      <x:c r="V1441" s="16" t="n">
        <x:v>0</x:v>
      </x:c>
      <x:c r="W1441" s="16" t="n">
        <x:v>0</x:v>
      </x:c>
      <x:c r="X1441" s="16" t="n">
        <x:v>0</x:v>
      </x:c>
      <x:c r="Y1441" s="16" t="n">
        <x:v>0</x:v>
      </x:c>
      <x:c r="Z1441" s="16" t="n">
        <x:v>0</x:v>
      </x:c>
      <x:c r="AA1441" s="16" t="n">
        <x:v>3</x:v>
      </x:c>
      <x:c r="AB1441" s="16" t="n">
        <x:v>11</x:v>
      </x:c>
      <x:c r="AC1441" s="16" t="n">
        <x:v>1</x:v>
      </x:c>
      <x:c r="AD1441" s="21" t="n">
        <x:f>IF(E1441="",MEDIAN($E$2:$E$2237),E1441)</x:f>
        <x:v>21645</x:v>
      </x:c>
      <x:c r="AE1441" s="17" t="n">
        <x:f>2014-B1441</x:f>
        <x:v>35</x:v>
      </x:c>
      <x:c r="AF1441" s="17" t="n">
        <x:f>F1441+G1441</x:f>
        <x:v>1</x:v>
      </x:c>
      <x:c r="AG1441" s="21" t="n">
        <x:f>SUM(J1441:O1441)</x:f>
        <x:v>65</x:v>
      </x:c>
      <x:c r="AH1441" s="17" t="n">
        <x:f>SUM(Q1441:S1441)</x:f>
        <x:v>6</x:v>
      </x:c>
      <x:c r="AI1441" s="17" t="n">
        <x:f>SUM(U1441:Y1441)</x:f>
        <x:v>0</x:v>
      </x:c>
      <x:c r="AJ1441" s="17" t="str">
        <x:f>IF(AE1441&lt;=34,"≤34",IF(AE1441&lt;=44,"35–44",IF(AE1441&lt;=54,"45–54",IF(AE1441&lt;=64,"55–64","65+"))))</x:f>
        <x:v>35–44</x:v>
      </x:c>
      <x:c r="AK1441" s="17" t="str">
        <x:f>IF(AG1441&gt;=1000,"High Value",IF(AG1441&gt;=300,"Mid Value","Low Value"))</x:f>
        <x:v>Low Value</x:v>
      </x:c>
      <x:c r="AL1441" s="17" t="str">
        <x:f>IF(AND(AI1441&gt;=1,I1441&lt;=50),"Priority 1",IF(AND(AG1441&gt;=1000,I1441&lt;=60),"Priority 2",IF(I1441&lt;=30,"Priority 3","Nurture")))</x:f>
        <x:v>Nurture</x:v>
      </x:c>
    </x:row>
    <x:row r="1442">
      <x:c r="A1442" s="16" t="n">
        <x:v>4530</x:v>
      </x:c>
      <x:c r="B1442" s="16" t="n">
        <x:v>1948</x:v>
      </x:c>
      <x:c r="C1442" s="16" t="str">
        <x:v>Master</x:v>
      </x:c>
      <x:c r="D1442" s="16" t="str">
        <x:v>Widow</x:v>
      </x:c>
      <x:c r="E1442" s="16" t="n">
        <x:v>78427</x:v>
      </x:c>
      <x:c r="F1442" s="16" t="n">
        <x:v>0</x:v>
      </x:c>
      <x:c r="G1442" s="16" t="n">
        <x:v>0</x:v>
      </x:c>
      <x:c r="H1442" s="16" t="str">
        <x:v>24-10-2012</x:v>
      </x:c>
      <x:c r="I1442" s="16" t="n">
        <x:v>36</x:v>
      </x:c>
      <x:c r="J1442" s="16" t="n">
        <x:v>972</x:v>
      </x:c>
      <x:c r="K1442" s="16" t="n">
        <x:v>19</x:v>
      </x:c>
      <x:c r="L1442" s="16" t="n">
        <x:v>595</x:v>
      </x:c>
      <x:c r="M1442" s="16" t="n">
        <x:v>180</x:v>
      </x:c>
      <x:c r="N1442" s="16" t="n">
        <x:v>26</x:v>
      </x:c>
      <x:c r="O1442" s="16" t="n">
        <x:v>138</x:v>
      </x:c>
      <x:c r="P1442" s="16" t="n">
        <x:v>3</x:v>
      </x:c>
      <x:c r="Q1442" s="16" t="n">
        <x:v>3</x:v>
      </x:c>
      <x:c r="R1442" s="16" t="n">
        <x:v>7</x:v>
      </x:c>
      <x:c r="S1442" s="16" t="n">
        <x:v>10</x:v>
      </x:c>
      <x:c r="T1442" s="16" t="n">
        <x:v>3</x:v>
      </x:c>
      <x:c r="U1442" s="16" t="n">
        <x:v>0</x:v>
      </x:c>
      <x:c r="V1442" s="16" t="n">
        <x:v>0</x:v>
      </x:c>
      <x:c r="W1442" s="16" t="n">
        <x:v>0</x:v>
      </x:c>
      <x:c r="X1442" s="16" t="n">
        <x:v>1</x:v>
      </x:c>
      <x:c r="Y1442" s="16" t="n">
        <x:v>0</x:v>
      </x:c>
      <x:c r="Z1442" s="16" t="n">
        <x:v>0</x:v>
      </x:c>
      <x:c r="AA1442" s="16" t="n">
        <x:v>3</x:v>
      </x:c>
      <x:c r="AB1442" s="16" t="n">
        <x:v>11</x:v>
      </x:c>
      <x:c r="AC1442" s="16" t="n">
        <x:v>1</x:v>
      </x:c>
      <x:c r="AD1442" s="21" t="n">
        <x:f>IF(E1442="",MEDIAN($E$2:$E$2237),E1442)</x:f>
        <x:v>78427</x:v>
      </x:c>
      <x:c r="AE1442" s="17" t="n">
        <x:f>2014-B1442</x:f>
        <x:v>66</x:v>
      </x:c>
      <x:c r="AF1442" s="17" t="n">
        <x:f>F1442+G1442</x:f>
        <x:v>0</x:v>
      </x:c>
      <x:c r="AG1442" s="21" t="n">
        <x:f>SUM(J1442:O1442)</x:f>
        <x:v>1930</x:v>
      </x:c>
      <x:c r="AH1442" s="17" t="n">
        <x:f>SUM(Q1442:S1442)</x:f>
        <x:v>20</x:v>
      </x:c>
      <x:c r="AI1442" s="17" t="n">
        <x:f>SUM(U1442:Y1442)</x:f>
        <x:v>1</x:v>
      </x:c>
      <x:c r="AJ1442" s="17" t="str">
        <x:f>IF(AE1442&lt;=34,"≤34",IF(AE1442&lt;=44,"35–44",IF(AE1442&lt;=54,"45–54",IF(AE1442&lt;=64,"55–64","65+"))))</x:f>
        <x:v>65+</x:v>
      </x:c>
      <x:c r="AK1442" s="17" t="str">
        <x:f>IF(AG1442&gt;=1000,"High Value",IF(AG1442&gt;=300,"Mid Value","Low Value"))</x:f>
        <x:v>High Value</x:v>
      </x:c>
      <x:c r="AL1442" s="17" t="str">
        <x:f>IF(AND(AI1442&gt;=1,I1442&lt;=50),"Priority 1",IF(AND(AG1442&gt;=1000,I1442&lt;=60),"Priority 2",IF(I1442&lt;=30,"Priority 3","Nurture")))</x:f>
        <x:v>Priority 1</x:v>
      </x:c>
    </x:row>
    <x:row r="1443">
      <x:c r="A1443" s="16" t="n">
        <x:v>1553</x:v>
      </x:c>
      <x:c r="B1443" s="16" t="n">
        <x:v>1946</x:v>
      </x:c>
      <x:c r="C1443" s="16" t="str">
        <x:v>Graduation</x:v>
      </x:c>
      <x:c r="D1443" s="16" t="str">
        <x:v>Together</x:v>
      </x:c>
      <x:c r="E1443" s="16" t="n">
        <x:v>82657</x:v>
      </x:c>
      <x:c r="F1443" s="16" t="n">
        <x:v>0</x:v>
      </x:c>
      <x:c r="G1443" s="16" t="n">
        <x:v>0</x:v>
      </x:c>
      <x:c r="H1443" s="16" t="str">
        <x:v>27-09-2013</x:v>
      </x:c>
      <x:c r="I1443" s="16" t="n">
        <x:v>71</x:v>
      </x:c>
      <x:c r="J1443" s="16" t="n">
        <x:v>966</x:v>
      </x:c>
      <x:c r="K1443" s="16" t="n">
        <x:v>168</x:v>
      </x:c>
      <x:c r="L1443" s="16" t="n">
        <x:v>672</x:v>
      </x:c>
      <x:c r="M1443" s="16" t="n">
        <x:v>246</x:v>
      </x:c>
      <x:c r="N1443" s="16" t="n">
        <x:v>105</x:v>
      </x:c>
      <x:c r="O1443" s="16" t="n">
        <x:v>126</x:v>
      </x:c>
      <x:c r="P1443" s="16" t="n">
        <x:v>1</x:v>
      </x:c>
      <x:c r="Q1443" s="16" t="n">
        <x:v>7</x:v>
      </x:c>
      <x:c r="R1443" s="16" t="n">
        <x:v>5</x:v>
      </x:c>
      <x:c r="S1443" s="16" t="n">
        <x:v>10</x:v>
      </x:c>
      <x:c r="T1443" s="16" t="n">
        <x:v>4</x:v>
      </x:c>
      <x:c r="U1443" s="16" t="n">
        <x:v>0</x:v>
      </x:c>
      <x:c r="V1443" s="16" t="n">
        <x:v>1</x:v>
      </x:c>
      <x:c r="W1443" s="16" t="n">
        <x:v>0</x:v>
      </x:c>
      <x:c r="X1443" s="16" t="n">
        <x:v>1</x:v>
      </x:c>
      <x:c r="Y1443" s="16" t="n">
        <x:v>0</x:v>
      </x:c>
      <x:c r="Z1443" s="16" t="n">
        <x:v>0</x:v>
      </x:c>
      <x:c r="AA1443" s="16" t="n">
        <x:v>3</x:v>
      </x:c>
      <x:c r="AB1443" s="16" t="n">
        <x:v>11</x:v>
      </x:c>
      <x:c r="AC1443" s="16" t="n">
        <x:v>0</x:v>
      </x:c>
      <x:c r="AD1443" s="21" t="n">
        <x:f>IF(E1443="",MEDIAN($E$2:$E$2237),E1443)</x:f>
        <x:v>82657</x:v>
      </x:c>
      <x:c r="AE1443" s="17" t="n">
        <x:f>2014-B1443</x:f>
        <x:v>68</x:v>
      </x:c>
      <x:c r="AF1443" s="17" t="n">
        <x:f>F1443+G1443</x:f>
        <x:v>0</x:v>
      </x:c>
      <x:c r="AG1443" s="21" t="n">
        <x:f>SUM(J1443:O1443)</x:f>
        <x:v>2283</x:v>
      </x:c>
      <x:c r="AH1443" s="17" t="n">
        <x:f>SUM(Q1443:S1443)</x:f>
        <x:v>22</x:v>
      </x:c>
      <x:c r="AI1443" s="17" t="n">
        <x:f>SUM(U1443:Y1443)</x:f>
        <x:v>2</x:v>
      </x:c>
      <x:c r="AJ1443" s="17" t="str">
        <x:f>IF(AE1443&lt;=34,"≤34",IF(AE1443&lt;=44,"35–44",IF(AE1443&lt;=54,"45–54",IF(AE1443&lt;=64,"55–64","65+"))))</x:f>
        <x:v>65+</x:v>
      </x:c>
      <x:c r="AK1443" s="17" t="str">
        <x:f>IF(AG1443&gt;=1000,"High Value",IF(AG1443&gt;=300,"Mid Value","Low Value"))</x:f>
        <x:v>High Value</x:v>
      </x:c>
      <x:c r="AL1443" s="17" t="str">
        <x:f>IF(AND(AI1443&gt;=1,I1443&lt;=50),"Priority 1",IF(AND(AG1443&gt;=1000,I1443&lt;=60),"Priority 2",IF(I1443&lt;=30,"Priority 3","Nurture")))</x:f>
        <x:v>Nurture</x:v>
      </x:c>
    </x:row>
    <x:row r="1444">
      <x:c r="A1444" s="16" t="n">
        <x:v>4682</x:v>
      </x:c>
      <x:c r="B1444" s="16" t="n">
        <x:v>1958</x:v>
      </x:c>
      <x:c r="C1444" s="16" t="str">
        <x:v>Graduation</x:v>
      </x:c>
      <x:c r="D1444" s="16" t="str">
        <x:v>Married</x:v>
      </x:c>
      <x:c r="E1444" s="16" t="n">
        <x:v>51876</x:v>
      </x:c>
      <x:c r="F1444" s="16" t="n">
        <x:v>0</x:v>
      </x:c>
      <x:c r="G1444" s="16" t="n">
        <x:v>0</x:v>
      </x:c>
      <x:c r="H1444" s="16" t="str">
        <x:v>15-10-2013</x:v>
      </x:c>
      <x:c r="I1444" s="16" t="n">
        <x:v>88</x:v>
      </x:c>
      <x:c r="J1444" s="16" t="n">
        <x:v>99</x:v>
      </x:c>
      <x:c r="K1444" s="16" t="n">
        <x:v>27</x:v>
      </x:c>
      <x:c r="L1444" s="16" t="n">
        <x:v>102</x:v>
      </x:c>
      <x:c r="M1444" s="16" t="n">
        <x:v>28</x:v>
      </x:c>
      <x:c r="N1444" s="16" t="n">
        <x:v>48</x:v>
      </x:c>
      <x:c r="O1444" s="16" t="n">
        <x:v>6</x:v>
      </x:c>
      <x:c r="P1444" s="16" t="n">
        <x:v>1</x:v>
      </x:c>
      <x:c r="Q1444" s="16" t="n">
        <x:v>2</x:v>
      </x:c>
      <x:c r="R1444" s="16" t="n">
        <x:v>2</x:v>
      </x:c>
      <x:c r="S1444" s="16" t="n">
        <x:v>8</x:v>
      </x:c>
      <x:c r="T1444" s="16" t="n">
        <x:v>1</x:v>
      </x:c>
      <x:c r="U1444" s="16" t="n">
        <x:v>0</x:v>
      </x:c>
      <x:c r="V1444" s="16" t="n">
        <x:v>0</x:v>
      </x:c>
      <x:c r="W1444" s="16" t="n">
        <x:v>0</x:v>
      </x:c>
      <x:c r="X1444" s="16" t="n">
        <x:v>0</x:v>
      </x:c>
      <x:c r="Y1444" s="16" t="n">
        <x:v>0</x:v>
      </x:c>
      <x:c r="Z1444" s="16" t="n">
        <x:v>0</x:v>
      </x:c>
      <x:c r="AA1444" s="16" t="n">
        <x:v>3</x:v>
      </x:c>
      <x:c r="AB1444" s="16" t="n">
        <x:v>11</x:v>
      </x:c>
      <x:c r="AC1444" s="16" t="n">
        <x:v>0</x:v>
      </x:c>
      <x:c r="AD1444" s="21" t="n">
        <x:f>IF(E1444="",MEDIAN($E$2:$E$2237),E1444)</x:f>
        <x:v>51876</x:v>
      </x:c>
      <x:c r="AE1444" s="17" t="n">
        <x:f>2014-B1444</x:f>
        <x:v>56</x:v>
      </x:c>
      <x:c r="AF1444" s="17" t="n">
        <x:f>F1444+G1444</x:f>
        <x:v>0</x:v>
      </x:c>
      <x:c r="AG1444" s="21" t="n">
        <x:f>SUM(J1444:O1444)</x:f>
        <x:v>310</x:v>
      </x:c>
      <x:c r="AH1444" s="17" t="n">
        <x:f>SUM(Q1444:S1444)</x:f>
        <x:v>12</x:v>
      </x:c>
      <x:c r="AI1444" s="17" t="n">
        <x:f>SUM(U1444:Y1444)</x:f>
        <x:v>0</x:v>
      </x:c>
      <x:c r="AJ1444" s="17" t="str">
        <x:f>IF(AE1444&lt;=34,"≤34",IF(AE1444&lt;=44,"35–44",IF(AE1444&lt;=54,"45–54",IF(AE1444&lt;=64,"55–64","65+"))))</x:f>
        <x:v>55–64</x:v>
      </x:c>
      <x:c r="AK1444" s="17" t="str">
        <x:f>IF(AG1444&gt;=1000,"High Value",IF(AG1444&gt;=300,"Mid Value","Low Value"))</x:f>
        <x:v>Mid Value</x:v>
      </x:c>
      <x:c r="AL1444" s="17" t="str">
        <x:f>IF(AND(AI1444&gt;=1,I1444&lt;=50),"Priority 1",IF(AND(AG1444&gt;=1000,I1444&lt;=60),"Priority 2",IF(I1444&lt;=30,"Priority 3","Nurture")))</x:f>
        <x:v>Nurture</x:v>
      </x:c>
    </x:row>
    <x:row r="1445">
      <x:c r="A1445" s="16" t="n">
        <x:v>8204</x:v>
      </x:c>
      <x:c r="B1445" s="16" t="n">
        <x:v>1971</x:v>
      </x:c>
      <x:c r="C1445" s="16" t="str">
        <x:v>2n Cycle</x:v>
      </x:c>
      <x:c r="D1445" s="16" t="str">
        <x:v>Married</x:v>
      </x:c>
      <x:c r="E1445" s="16" t="n">
        <x:v>78041</x:v>
      </x:c>
      <x:c r="F1445" s="16" t="n">
        <x:v>0</x:v>
      </x:c>
      <x:c r="G1445" s="16" t="n">
        <x:v>0</x:v>
      </x:c>
      <x:c r="H1445" s="16" t="str">
        <x:v>16-12-2012</x:v>
      </x:c>
      <x:c r="I1445" s="16" t="n">
        <x:v>93</x:v>
      </x:c>
      <x:c r="J1445" s="16" t="n">
        <x:v>482</x:v>
      </x:c>
      <x:c r="K1445" s="16" t="n">
        <x:v>35</x:v>
      </x:c>
      <x:c r="L1445" s="16" t="n">
        <x:v>553</x:v>
      </x:c>
      <x:c r="M1445" s="16" t="n">
        <x:v>72</x:v>
      </x:c>
      <x:c r="N1445" s="16" t="n">
        <x:v>160</x:v>
      </x:c>
      <x:c r="O1445" s="16" t="n">
        <x:v>17</x:v>
      </x:c>
      <x:c r="P1445" s="16" t="n">
        <x:v>1</x:v>
      </x:c>
      <x:c r="Q1445" s="16" t="n">
        <x:v>4</x:v>
      </x:c>
      <x:c r="R1445" s="16" t="n">
        <x:v>4</x:v>
      </x:c>
      <x:c r="S1445" s="16" t="n">
        <x:v>9</x:v>
      </x:c>
      <x:c r="T1445" s="16" t="n">
        <x:v>2</x:v>
      </x:c>
      <x:c r="U1445" s="16" t="n">
        <x:v>0</x:v>
      </x:c>
      <x:c r="V1445" s="16" t="n">
        <x:v>0</x:v>
      </x:c>
      <x:c r="W1445" s="16" t="n">
        <x:v>0</x:v>
      </x:c>
      <x:c r="X1445" s="16" t="n">
        <x:v>0</x:v>
      </x:c>
      <x:c r="Y1445" s="16" t="n">
        <x:v>0</x:v>
      </x:c>
      <x:c r="Z1445" s="16" t="n">
        <x:v>0</x:v>
      </x:c>
      <x:c r="AA1445" s="16" t="n">
        <x:v>3</x:v>
      </x:c>
      <x:c r="AB1445" s="16" t="n">
        <x:v>11</x:v>
      </x:c>
      <x:c r="AC1445" s="16" t="n">
        <x:v>0</x:v>
      </x:c>
      <x:c r="AD1445" s="21" t="n">
        <x:f>IF(E1445="",MEDIAN($E$2:$E$2237),E1445)</x:f>
        <x:v>78041</x:v>
      </x:c>
      <x:c r="AE1445" s="17" t="n">
        <x:f>2014-B1445</x:f>
        <x:v>43</x:v>
      </x:c>
      <x:c r="AF1445" s="17" t="n">
        <x:f>F1445+G1445</x:f>
        <x:v>0</x:v>
      </x:c>
      <x:c r="AG1445" s="21" t="n">
        <x:f>SUM(J1445:O1445)</x:f>
        <x:v>1319</x:v>
      </x:c>
      <x:c r="AH1445" s="17" t="n">
        <x:f>SUM(Q1445:S1445)</x:f>
        <x:v>17</x:v>
      </x:c>
      <x:c r="AI1445" s="17" t="n">
        <x:f>SUM(U1445:Y1445)</x:f>
        <x:v>0</x:v>
      </x:c>
      <x:c r="AJ1445" s="17" t="str">
        <x:f>IF(AE1445&lt;=34,"≤34",IF(AE1445&lt;=44,"35–44",IF(AE1445&lt;=54,"45–54",IF(AE1445&lt;=64,"55–64","65+"))))</x:f>
        <x:v>35–44</x:v>
      </x:c>
      <x:c r="AK1445" s="17" t="str">
        <x:f>IF(AG1445&gt;=1000,"High Value",IF(AG1445&gt;=300,"Mid Value","Low Value"))</x:f>
        <x:v>High Value</x:v>
      </x:c>
      <x:c r="AL1445" s="17" t="str">
        <x:f>IF(AND(AI1445&gt;=1,I1445&lt;=50),"Priority 1",IF(AND(AG1445&gt;=1000,I1445&lt;=60),"Priority 2",IF(I1445&lt;=30,"Priority 3","Nurture")))</x:f>
        <x:v>Nurture</x:v>
      </x:c>
    </x:row>
    <x:row r="1446">
      <x:c r="A1446" s="16" t="n">
        <x:v>5221</x:v>
      </x:c>
      <x:c r="B1446" s="16" t="n">
        <x:v>1957</x:v>
      </x:c>
      <x:c r="C1446" s="16" t="str">
        <x:v>Graduation</x:v>
      </x:c>
      <x:c r="D1446" s="16" t="str">
        <x:v>Married</x:v>
      </x:c>
      <x:c r="E1446" s="16" t="n">
        <x:v>52852</x:v>
      </x:c>
      <x:c r="F1446" s="16" t="n">
        <x:v>0</x:v>
      </x:c>
      <x:c r="G1446" s="16" t="n">
        <x:v>1</x:v>
      </x:c>
      <x:c r="H1446" s="16" t="str">
        <x:v>01-12-2012</x:v>
      </x:c>
      <x:c r="I1446" s="16" t="n">
        <x:v>93</x:v>
      </x:c>
      <x:c r="J1446" s="16" t="n">
        <x:v>714</x:v>
      </x:c>
      <x:c r="K1446" s="16" t="n">
        <x:v>8</x:v>
      </x:c>
      <x:c r="L1446" s="16" t="n">
        <x:v>99</x:v>
      </x:c>
      <x:c r="M1446" s="16" t="n">
        <x:v>11</x:v>
      </x:c>
      <x:c r="N1446" s="16" t="n">
        <x:v>0</x:v>
      </x:c>
      <x:c r="O1446" s="16" t="n">
        <x:v>47</x:v>
      </x:c>
      <x:c r="P1446" s="16" t="n">
        <x:v>4</x:v>
      </x:c>
      <x:c r="Q1446" s="16" t="n">
        <x:v>10</x:v>
      </x:c>
      <x:c r="R1446" s="16" t="n">
        <x:v>7</x:v>
      </x:c>
      <x:c r="S1446" s="16" t="n">
        <x:v>5</x:v>
      </x:c>
      <x:c r="T1446" s="16" t="n">
        <x:v>8</x:v>
      </x:c>
      <x:c r="U1446" s="16" t="n">
        <x:v>1</x:v>
      </x:c>
      <x:c r="V1446" s="16" t="n">
        <x:v>0</x:v>
      </x:c>
      <x:c r="W1446" s="16" t="n">
        <x:v>0</x:v>
      </x:c>
      <x:c r="X1446" s="16" t="n">
        <x:v>0</x:v>
      </x:c>
      <x:c r="Y1446" s="16" t="n">
        <x:v>0</x:v>
      </x:c>
      <x:c r="Z1446" s="16" t="n">
        <x:v>0</x:v>
      </x:c>
      <x:c r="AA1446" s="16" t="n">
        <x:v>3</x:v>
      </x:c>
      <x:c r="AB1446" s="16" t="n">
        <x:v>11</x:v>
      </x:c>
      <x:c r="AC1446" s="16" t="n">
        <x:v>0</x:v>
      </x:c>
      <x:c r="AD1446" s="21" t="n">
        <x:f>IF(E1446="",MEDIAN($E$2:$E$2237),E1446)</x:f>
        <x:v>52852</x:v>
      </x:c>
      <x:c r="AE1446" s="17" t="n">
        <x:f>2014-B1446</x:f>
        <x:v>57</x:v>
      </x:c>
      <x:c r="AF1446" s="17" t="n">
        <x:f>F1446+G1446</x:f>
        <x:v>1</x:v>
      </x:c>
      <x:c r="AG1446" s="21" t="n">
        <x:f>SUM(J1446:O1446)</x:f>
        <x:v>879</x:v>
      </x:c>
      <x:c r="AH1446" s="17" t="n">
        <x:f>SUM(Q1446:S1446)</x:f>
        <x:v>22</x:v>
      </x:c>
      <x:c r="AI1446" s="17" t="n">
        <x:f>SUM(U1446:Y1446)</x:f>
        <x:v>1</x:v>
      </x:c>
      <x:c r="AJ1446" s="17" t="str">
        <x:f>IF(AE1446&lt;=34,"≤34",IF(AE1446&lt;=44,"35–44",IF(AE1446&lt;=54,"45–54",IF(AE1446&lt;=64,"55–64","65+"))))</x:f>
        <x:v>55–64</x:v>
      </x:c>
      <x:c r="AK1446" s="17" t="str">
        <x:f>IF(AG1446&gt;=1000,"High Value",IF(AG1446&gt;=300,"Mid Value","Low Value"))</x:f>
        <x:v>Mid Value</x:v>
      </x:c>
      <x:c r="AL1446" s="17" t="str">
        <x:f>IF(AND(AI1446&gt;=1,I1446&lt;=50),"Priority 1",IF(AND(AG1446&gt;=1000,I1446&lt;=60),"Priority 2",IF(I1446&lt;=30,"Priority 3","Nurture")))</x:f>
        <x:v>Nurture</x:v>
      </x:c>
    </x:row>
    <x:row r="1447">
      <x:c r="A1447" s="16" t="n">
        <x:v>1232</x:v>
      </x:c>
      <x:c r="B1447" s="16" t="n">
        <x:v>1982</x:v>
      </x:c>
      <x:c r="C1447" s="16" t="str">
        <x:v>PhD</x:v>
      </x:c>
      <x:c r="D1447" s="16" t="str">
        <x:v>Together</x:v>
      </x:c>
      <x:c r="E1447" s="16" t="n">
        <x:v>70038</x:v>
      </x:c>
      <x:c r="F1447" s="16" t="n">
        <x:v>0</x:v>
      </x:c>
      <x:c r="G1447" s="16" t="n">
        <x:v>0</x:v>
      </x:c>
      <x:c r="H1447" s="16" t="str">
        <x:v>25-10-2013</x:v>
      </x:c>
      <x:c r="I1447" s="16" t="n">
        <x:v>54</x:v>
      </x:c>
      <x:c r="J1447" s="16" t="n">
        <x:v>587</x:v>
      </x:c>
      <x:c r="K1447" s="16" t="n">
        <x:v>54</x:v>
      </x:c>
      <x:c r="L1447" s="16" t="n">
        <x:v>348</x:v>
      </x:c>
      <x:c r="M1447" s="16" t="n">
        <x:v>71</x:v>
      </x:c>
      <x:c r="N1447" s="16" t="n">
        <x:v>54</x:v>
      </x:c>
      <x:c r="O1447" s="16" t="n">
        <x:v>130</x:v>
      </x:c>
      <x:c r="P1447" s="16" t="n">
        <x:v>1</x:v>
      </x:c>
      <x:c r="Q1447" s="16" t="n">
        <x:v>4</x:v>
      </x:c>
      <x:c r="R1447" s="16" t="n">
        <x:v>4</x:v>
      </x:c>
      <x:c r="S1447" s="16" t="n">
        <x:v>8</x:v>
      </x:c>
      <x:c r="T1447" s="16" t="n">
        <x:v>2</x:v>
      </x:c>
      <x:c r="U1447" s="16" t="n">
        <x:v>0</x:v>
      </x:c>
      <x:c r="V1447" s="16" t="n">
        <x:v>0</x:v>
      </x:c>
      <x:c r="W1447" s="16" t="n">
        <x:v>0</x:v>
      </x:c>
      <x:c r="X1447" s="16" t="n">
        <x:v>0</x:v>
      </x:c>
      <x:c r="Y1447" s="16" t="n">
        <x:v>0</x:v>
      </x:c>
      <x:c r="Z1447" s="16" t="n">
        <x:v>0</x:v>
      </x:c>
      <x:c r="AA1447" s="16" t="n">
        <x:v>3</x:v>
      </x:c>
      <x:c r="AB1447" s="16" t="n">
        <x:v>11</x:v>
      </x:c>
      <x:c r="AC1447" s="16" t="n">
        <x:v>0</x:v>
      </x:c>
      <x:c r="AD1447" s="21" t="n">
        <x:f>IF(E1447="",MEDIAN($E$2:$E$2237),E1447)</x:f>
        <x:v>70038</x:v>
      </x:c>
      <x:c r="AE1447" s="17" t="n">
        <x:f>2014-B1447</x:f>
        <x:v>32</x:v>
      </x:c>
      <x:c r="AF1447" s="17" t="n">
        <x:f>F1447+G1447</x:f>
        <x:v>0</x:v>
      </x:c>
      <x:c r="AG1447" s="21" t="n">
        <x:f>SUM(J1447:O1447)</x:f>
        <x:v>1244</x:v>
      </x:c>
      <x:c r="AH1447" s="17" t="n">
        <x:f>SUM(Q1447:S1447)</x:f>
        <x:v>16</x:v>
      </x:c>
      <x:c r="AI1447" s="17" t="n">
        <x:f>SUM(U1447:Y1447)</x:f>
        <x:v>0</x:v>
      </x:c>
      <x:c r="AJ1447" s="17" t="str">
        <x:f>IF(AE1447&lt;=34,"≤34",IF(AE1447&lt;=44,"35–44",IF(AE1447&lt;=54,"45–54",IF(AE1447&lt;=64,"55–64","65+"))))</x:f>
        <x:v>≤34</x:v>
      </x:c>
      <x:c r="AK1447" s="17" t="str">
        <x:f>IF(AG1447&gt;=1000,"High Value",IF(AG1447&gt;=300,"Mid Value","Low Value"))</x:f>
        <x:v>High Value</x:v>
      </x:c>
      <x:c r="AL1447" s="17" t="str">
        <x:f>IF(AND(AI1447&gt;=1,I1447&lt;=50),"Priority 1",IF(AND(AG1447&gt;=1000,I1447&lt;=60),"Priority 2",IF(I1447&lt;=30,"Priority 3","Nurture")))</x:f>
        <x:v>Priority 2</x:v>
      </x:c>
    </x:row>
    <x:row r="1448">
      <x:c r="A1448" s="16" t="n">
        <x:v>1927</x:v>
      </x:c>
      <x:c r="B1448" s="16" t="n">
        <x:v>1973</x:v>
      </x:c>
      <x:c r="C1448" s="16" t="str">
        <x:v>2n Cycle</x:v>
      </x:c>
      <x:c r="D1448" s="16" t="str">
        <x:v>Together</x:v>
      </x:c>
      <x:c r="E1448" s="16" t="n">
        <x:v>69401</x:v>
      </x:c>
      <x:c r="F1448" s="16" t="n">
        <x:v>0</x:v>
      </x:c>
      <x:c r="G1448" s="16" t="n">
        <x:v>1</x:v>
      </x:c>
      <x:c r="H1448" s="16" t="str">
        <x:v>23-03-2014</x:v>
      </x:c>
      <x:c r="I1448" s="16" t="n">
        <x:v>41</x:v>
      </x:c>
      <x:c r="J1448" s="16" t="n">
        <x:v>399</x:v>
      </x:c>
      <x:c r="K1448" s="16" t="n">
        <x:v>27</x:v>
      </x:c>
      <x:c r="L1448" s="16" t="n">
        <x:v>159</x:v>
      </x:c>
      <x:c r="M1448" s="16" t="n">
        <x:v>58</x:v>
      </x:c>
      <x:c r="N1448" s="16" t="n">
        <x:v>8</x:v>
      </x:c>
      <x:c r="O1448" s="16" t="n">
        <x:v>39</x:v>
      </x:c>
      <x:c r="P1448" s="16" t="n">
        <x:v>4</x:v>
      </x:c>
      <x:c r="Q1448" s="16" t="n">
        <x:v>4</x:v>
      </x:c>
      <x:c r="R1448" s="16" t="n">
        <x:v>4</x:v>
      </x:c>
      <x:c r="S1448" s="16" t="n">
        <x:v>5</x:v>
      </x:c>
      <x:c r="T1448" s="16" t="n">
        <x:v>2</x:v>
      </x:c>
      <x:c r="U1448" s="16" t="n">
        <x:v>0</x:v>
      </x:c>
      <x:c r="V1448" s="16" t="n">
        <x:v>0</x:v>
      </x:c>
      <x:c r="W1448" s="16" t="n">
        <x:v>0</x:v>
      </x:c>
      <x:c r="X1448" s="16" t="n">
        <x:v>0</x:v>
      </x:c>
      <x:c r="Y1448" s="16" t="n">
        <x:v>0</x:v>
      </x:c>
      <x:c r="Z1448" s="16" t="n">
        <x:v>0</x:v>
      </x:c>
      <x:c r="AA1448" s="16" t="n">
        <x:v>3</x:v>
      </x:c>
      <x:c r="AB1448" s="16" t="n">
        <x:v>11</x:v>
      </x:c>
      <x:c r="AC1448" s="16" t="n">
        <x:v>0</x:v>
      </x:c>
      <x:c r="AD1448" s="21" t="n">
        <x:f>IF(E1448="",MEDIAN($E$2:$E$2237),E1448)</x:f>
        <x:v>69401</x:v>
      </x:c>
      <x:c r="AE1448" s="17" t="n">
        <x:f>2014-B1448</x:f>
        <x:v>41</x:v>
      </x:c>
      <x:c r="AF1448" s="17" t="n">
        <x:f>F1448+G1448</x:f>
        <x:v>1</x:v>
      </x:c>
      <x:c r="AG1448" s="21" t="n">
        <x:f>SUM(J1448:O1448)</x:f>
        <x:v>690</x:v>
      </x:c>
      <x:c r="AH1448" s="17" t="n">
        <x:f>SUM(Q1448:S1448)</x:f>
        <x:v>13</x:v>
      </x:c>
      <x:c r="AI1448" s="17" t="n">
        <x:f>SUM(U1448:Y1448)</x:f>
        <x:v>0</x:v>
      </x:c>
      <x:c r="AJ1448" s="17" t="str">
        <x:f>IF(AE1448&lt;=34,"≤34",IF(AE1448&lt;=44,"35–44",IF(AE1448&lt;=54,"45–54",IF(AE1448&lt;=64,"55–64","65+"))))</x:f>
        <x:v>35–44</x:v>
      </x:c>
      <x:c r="AK1448" s="17" t="str">
        <x:f>IF(AG1448&gt;=1000,"High Value",IF(AG1448&gt;=300,"Mid Value","Low Value"))</x:f>
        <x:v>Mid Value</x:v>
      </x:c>
      <x:c r="AL1448" s="17" t="str">
        <x:f>IF(AND(AI1448&gt;=1,I1448&lt;=50),"Priority 1",IF(AND(AG1448&gt;=1000,I1448&lt;=60),"Priority 2",IF(I1448&lt;=30,"Priority 3","Nurture")))</x:f>
        <x:v>Nurture</x:v>
      </x:c>
    </x:row>
    <x:row r="1449">
      <x:c r="A1449" s="16" t="n">
        <x:v>5788</x:v>
      </x:c>
      <x:c r="B1449" s="16" t="n">
        <x:v>1972</x:v>
      </x:c>
      <x:c r="C1449" s="16" t="str">
        <x:v>Graduation</x:v>
      </x:c>
      <x:c r="D1449" s="16" t="str">
        <x:v>Together</x:v>
      </x:c>
      <x:c r="E1449" s="16" t="n">
        <x:v>46053</x:v>
      </x:c>
      <x:c r="F1449" s="16" t="n">
        <x:v>1</x:v>
      </x:c>
      <x:c r="G1449" s="16" t="n">
        <x:v>0</x:v>
      </x:c>
      <x:c r="H1449" s="16" t="str">
        <x:v>17-02-2013</x:v>
      </x:c>
      <x:c r="I1449" s="16" t="n">
        <x:v>46</x:v>
      </x:c>
      <x:c r="J1449" s="16" t="n">
        <x:v>56</x:v>
      </x:c>
      <x:c r="K1449" s="16" t="n">
        <x:v>10</x:v>
      </x:c>
      <x:c r="L1449" s="16" t="n">
        <x:v>92</x:v>
      </x:c>
      <x:c r="M1449" s="16" t="n">
        <x:v>19</x:v>
      </x:c>
      <x:c r="N1449" s="16" t="n">
        <x:v>7</x:v>
      </x:c>
      <x:c r="O1449" s="16" t="n">
        <x:v>25</x:v>
      </x:c>
      <x:c r="P1449" s="16" t="n">
        <x:v>3</x:v>
      </x:c>
      <x:c r="Q1449" s="16" t="n">
        <x:v>3</x:v>
      </x:c>
      <x:c r="R1449" s="16" t="n">
        <x:v>2</x:v>
      </x:c>
      <x:c r="S1449" s="16" t="n">
        <x:v>4</x:v>
      </x:c>
      <x:c r="T1449" s="16" t="n">
        <x:v>5</x:v>
      </x:c>
      <x:c r="U1449" s="16" t="n">
        <x:v>0</x:v>
      </x:c>
      <x:c r="V1449" s="16" t="n">
        <x:v>0</x:v>
      </x:c>
      <x:c r="W1449" s="16" t="n">
        <x:v>0</x:v>
      </x:c>
      <x:c r="X1449" s="16" t="n">
        <x:v>0</x:v>
      </x:c>
      <x:c r="Y1449" s="16" t="n">
        <x:v>0</x:v>
      </x:c>
      <x:c r="Z1449" s="16" t="n">
        <x:v>0</x:v>
      </x:c>
      <x:c r="AA1449" s="16" t="n">
        <x:v>3</x:v>
      </x:c>
      <x:c r="AB1449" s="16" t="n">
        <x:v>11</x:v>
      </x:c>
      <x:c r="AC1449" s="16" t="n">
        <x:v>0</x:v>
      </x:c>
      <x:c r="AD1449" s="21" t="n">
        <x:f>IF(E1449="",MEDIAN($E$2:$E$2237),E1449)</x:f>
        <x:v>46053</x:v>
      </x:c>
      <x:c r="AE1449" s="17" t="n">
        <x:f>2014-B1449</x:f>
        <x:v>42</x:v>
      </x:c>
      <x:c r="AF1449" s="17" t="n">
        <x:f>F1449+G1449</x:f>
        <x:v>1</x:v>
      </x:c>
      <x:c r="AG1449" s="21" t="n">
        <x:f>SUM(J1449:O1449)</x:f>
        <x:v>209</x:v>
      </x:c>
      <x:c r="AH1449" s="17" t="n">
        <x:f>SUM(Q1449:S1449)</x:f>
        <x:v>9</x:v>
      </x:c>
      <x:c r="AI1449" s="17" t="n">
        <x:f>SUM(U1449:Y1449)</x:f>
        <x:v>0</x:v>
      </x:c>
      <x:c r="AJ1449" s="17" t="str">
        <x:f>IF(AE1449&lt;=34,"≤34",IF(AE1449&lt;=44,"35–44",IF(AE1449&lt;=54,"45–54",IF(AE1449&lt;=64,"55–64","65+"))))</x:f>
        <x:v>35–44</x:v>
      </x:c>
      <x:c r="AK1449" s="17" t="str">
        <x:f>IF(AG1449&gt;=1000,"High Value",IF(AG1449&gt;=300,"Mid Value","Low Value"))</x:f>
        <x:v>Low Value</x:v>
      </x:c>
      <x:c r="AL1449" s="17" t="str">
        <x:f>IF(AND(AI1449&gt;=1,I1449&lt;=50),"Priority 1",IF(AND(AG1449&gt;=1000,I1449&lt;=60),"Priority 2",IF(I1449&lt;=30,"Priority 3","Nurture")))</x:f>
        <x:v>Nurture</x:v>
      </x:c>
    </x:row>
    <x:row r="1450">
      <x:c r="A1450" s="16" t="n">
        <x:v>6652</x:v>
      </x:c>
      <x:c r="B1450" s="16" t="n">
        <x:v>1965</x:v>
      </x:c>
      <x:c r="C1450" s="16" t="str">
        <x:v>Graduation</x:v>
      </x:c>
      <x:c r="D1450" s="16" t="str">
        <x:v>Married</x:v>
      </x:c>
      <x:c r="E1450" s="16" t="n">
        <x:v>77343</x:v>
      </x:c>
      <x:c r="F1450" s="16" t="n">
        <x:v>0</x:v>
      </x:c>
      <x:c r="G1450" s="16" t="n">
        <x:v>0</x:v>
      </x:c>
      <x:c r="H1450" s="16" t="str">
        <x:v>09-06-2014</x:v>
      </x:c>
      <x:c r="I1450" s="16" t="n">
        <x:v>28</x:v>
      </x:c>
      <x:c r="J1450" s="16" t="n">
        <x:v>227</x:v>
      </x:c>
      <x:c r="K1450" s="16" t="n">
        <x:v>151</x:v>
      </x:c>
      <x:c r="L1450" s="16" t="n">
        <x:v>573</x:v>
      </x:c>
      <x:c r="M1450" s="16" t="n">
        <x:v>98</x:v>
      </x:c>
      <x:c r="N1450" s="16" t="n">
        <x:v>54</x:v>
      </x:c>
      <x:c r="O1450" s="16" t="n">
        <x:v>31</x:v>
      </x:c>
      <x:c r="P1450" s="16" t="n">
        <x:v>1</x:v>
      </x:c>
      <x:c r="Q1450" s="16" t="n">
        <x:v>3</x:v>
      </x:c>
      <x:c r="R1450" s="16" t="n">
        <x:v>4</x:v>
      </x:c>
      <x:c r="S1450" s="16" t="n">
        <x:v>9</x:v>
      </x:c>
      <x:c r="T1450" s="16" t="n">
        <x:v>1</x:v>
      </x:c>
      <x:c r="U1450" s="16" t="n">
        <x:v>0</x:v>
      </x:c>
      <x:c r="V1450" s="16" t="n">
        <x:v>0</x:v>
      </x:c>
      <x:c r="W1450" s="16" t="n">
        <x:v>0</x:v>
      </x:c>
      <x:c r="X1450" s="16" t="n">
        <x:v>0</x:v>
      </x:c>
      <x:c r="Y1450" s="16" t="n">
        <x:v>0</x:v>
      </x:c>
      <x:c r="Z1450" s="16" t="n">
        <x:v>0</x:v>
      </x:c>
      <x:c r="AA1450" s="16" t="n">
        <x:v>3</x:v>
      </x:c>
      <x:c r="AB1450" s="16" t="n">
        <x:v>11</x:v>
      </x:c>
      <x:c r="AC1450" s="16" t="n">
        <x:v>0</x:v>
      </x:c>
      <x:c r="AD1450" s="21" t="n">
        <x:f>IF(E1450="",MEDIAN($E$2:$E$2237),E1450)</x:f>
        <x:v>77343</x:v>
      </x:c>
      <x:c r="AE1450" s="17" t="n">
        <x:f>2014-B1450</x:f>
        <x:v>49</x:v>
      </x:c>
      <x:c r="AF1450" s="17" t="n">
        <x:f>F1450+G1450</x:f>
        <x:v>0</x:v>
      </x:c>
      <x:c r="AG1450" s="21" t="n">
        <x:f>SUM(J1450:O1450)</x:f>
        <x:v>1134</x:v>
      </x:c>
      <x:c r="AH1450" s="17" t="n">
        <x:f>SUM(Q1450:S1450)</x:f>
        <x:v>16</x:v>
      </x:c>
      <x:c r="AI1450" s="17" t="n">
        <x:f>SUM(U1450:Y1450)</x:f>
        <x:v>0</x:v>
      </x:c>
      <x:c r="AJ1450" s="17" t="str">
        <x:f>IF(AE1450&lt;=34,"≤34",IF(AE1450&lt;=44,"35–44",IF(AE1450&lt;=54,"45–54",IF(AE1450&lt;=64,"55–64","65+"))))</x:f>
        <x:v>45–54</x:v>
      </x:c>
      <x:c r="AK1450" s="17" t="str">
        <x:f>IF(AG1450&gt;=1000,"High Value",IF(AG1450&gt;=300,"Mid Value","Low Value"))</x:f>
        <x:v>High Value</x:v>
      </x:c>
      <x:c r="AL1450" s="17" t="str">
        <x:f>IF(AND(AI1450&gt;=1,I1450&lt;=50),"Priority 1",IF(AND(AG1450&gt;=1000,I1450&lt;=60),"Priority 2",IF(I1450&lt;=30,"Priority 3","Nurture")))</x:f>
        <x:v>Priority 2</x:v>
      </x:c>
    </x:row>
    <x:row r="1451">
      <x:c r="A1451" s="16" t="n">
        <x:v>6246</x:v>
      </x:c>
      <x:c r="B1451" s="16" t="n">
        <x:v>1953</x:v>
      </x:c>
      <x:c r="C1451" s="16" t="str">
        <x:v>Graduation</x:v>
      </x:c>
      <x:c r="D1451" s="16" t="str">
        <x:v>Single</x:v>
      </x:c>
      <x:c r="E1451" s="16" t="n">
        <x:v>73892</x:v>
      </x:c>
      <x:c r="F1451" s="16" t="n">
        <x:v>0</x:v>
      </x:c>
      <x:c r="G1451" s="16" t="n">
        <x:v>0</x:v>
      </x:c>
      <x:c r="H1451" s="16" t="str">
        <x:v>13-11-2013</x:v>
      </x:c>
      <x:c r="I1451" s="16" t="n">
        <x:v>40</x:v>
      </x:c>
      <x:c r="J1451" s="16" t="n">
        <x:v>703</x:v>
      </x:c>
      <x:c r="K1451" s="16" t="n">
        <x:v>102</x:v>
      </x:c>
      <x:c r="L1451" s="16" t="n">
        <x:v>601</x:v>
      </x:c>
      <x:c r="M1451" s="16" t="n">
        <x:v>0</x:v>
      </x:c>
      <x:c r="N1451" s="16" t="n">
        <x:v>58</x:v>
      </x:c>
      <x:c r="O1451" s="16" t="n">
        <x:v>43</x:v>
      </x:c>
      <x:c r="P1451" s="16" t="n">
        <x:v>1</x:v>
      </x:c>
      <x:c r="Q1451" s="16" t="n">
        <x:v>3</x:v>
      </x:c>
      <x:c r="R1451" s="16" t="n">
        <x:v>11</x:v>
      </x:c>
      <x:c r="S1451" s="16" t="n">
        <x:v>8</x:v>
      </x:c>
      <x:c r="T1451" s="16" t="n">
        <x:v>1</x:v>
      </x:c>
      <x:c r="U1451" s="16" t="n">
        <x:v>0</x:v>
      </x:c>
      <x:c r="V1451" s="16" t="n">
        <x:v>0</x:v>
      </x:c>
      <x:c r="W1451" s="16" t="n">
        <x:v>0</x:v>
      </x:c>
      <x:c r="X1451" s="16" t="n">
        <x:v>0</x:v>
      </x:c>
      <x:c r="Y1451" s="16" t="n">
        <x:v>0</x:v>
      </x:c>
      <x:c r="Z1451" s="16" t="n">
        <x:v>0</x:v>
      </x:c>
      <x:c r="AA1451" s="16" t="n">
        <x:v>3</x:v>
      </x:c>
      <x:c r="AB1451" s="16" t="n">
        <x:v>11</x:v>
      </x:c>
      <x:c r="AC1451" s="16" t="n">
        <x:v>1</x:v>
      </x:c>
      <x:c r="AD1451" s="21" t="n">
        <x:f>IF(E1451="",MEDIAN($E$2:$E$2237),E1451)</x:f>
        <x:v>73892</x:v>
      </x:c>
      <x:c r="AE1451" s="17" t="n">
        <x:f>2014-B1451</x:f>
        <x:v>61</x:v>
      </x:c>
      <x:c r="AF1451" s="17" t="n">
        <x:f>F1451+G1451</x:f>
        <x:v>0</x:v>
      </x:c>
      <x:c r="AG1451" s="21" t="n">
        <x:f>SUM(J1451:O1451)</x:f>
        <x:v>1507</x:v>
      </x:c>
      <x:c r="AH1451" s="17" t="n">
        <x:f>SUM(Q1451:S1451)</x:f>
        <x:v>22</x:v>
      </x:c>
      <x:c r="AI1451" s="17" t="n">
        <x:f>SUM(U1451:Y1451)</x:f>
        <x:v>0</x:v>
      </x:c>
      <x:c r="AJ1451" s="17" t="str">
        <x:f>IF(AE1451&lt;=34,"≤34",IF(AE1451&lt;=44,"35–44",IF(AE1451&lt;=54,"45–54",IF(AE1451&lt;=64,"55–64","65+"))))</x:f>
        <x:v>55–64</x:v>
      </x:c>
      <x:c r="AK1451" s="17" t="str">
        <x:f>IF(AG1451&gt;=1000,"High Value",IF(AG1451&gt;=300,"Mid Value","Low Value"))</x:f>
        <x:v>High Value</x:v>
      </x:c>
      <x:c r="AL1451" s="17" t="str">
        <x:f>IF(AND(AI1451&gt;=1,I1451&lt;=50),"Priority 1",IF(AND(AG1451&gt;=1000,I1451&lt;=60),"Priority 2",IF(I1451&lt;=30,"Priority 3","Nurture")))</x:f>
        <x:v>Priority 2</x:v>
      </x:c>
    </x:row>
    <x:row r="1452">
      <x:c r="A1452" s="16" t="n">
        <x:v>5975</x:v>
      </x:c>
      <x:c r="B1452" s="16" t="n">
        <x:v>1967</x:v>
      </x:c>
      <x:c r="C1452" s="16" t="str">
        <x:v>PhD</x:v>
      </x:c>
      <x:c r="D1452" s="16" t="str">
        <x:v>Single</x:v>
      </x:c>
      <x:c r="E1452" s="16" t="n">
        <x:v>40304</x:v>
      </x:c>
      <x:c r="F1452" s="16" t="n">
        <x:v>1</x:v>
      </x:c>
      <x:c r="G1452" s="16" t="n">
        <x:v>0</x:v>
      </x:c>
      <x:c r="H1452" s="16" t="str">
        <x:v>30-09-2013</x:v>
      </x:c>
      <x:c r="I1452" s="16" t="n">
        <x:v>82</x:v>
      </x:c>
      <x:c r="J1452" s="16" t="n">
        <x:v>37</x:v>
      </x:c>
      <x:c r="K1452" s="16" t="n">
        <x:v>0</x:v>
      </x:c>
      <x:c r="L1452" s="16" t="n">
        <x:v>17</x:v>
      </x:c>
      <x:c r="M1452" s="16" t="n">
        <x:v>0</x:v>
      </x:c>
      <x:c r="N1452" s="16" t="n">
        <x:v>0</x:v>
      </x:c>
      <x:c r="O1452" s="16" t="n">
        <x:v>3</x:v>
      </x:c>
      <x:c r="P1452" s="16" t="n">
        <x:v>1</x:v>
      </x:c>
      <x:c r="Q1452" s="16" t="n">
        <x:v>2</x:v>
      </x:c>
      <x:c r="R1452" s="16" t="n">
        <x:v>0</x:v>
      </x:c>
      <x:c r="S1452" s="16" t="n">
        <x:v>3</x:v>
      </x:c>
      <x:c r="T1452" s="16" t="n">
        <x:v>7</x:v>
      </x:c>
      <x:c r="U1452" s="16" t="n">
        <x:v>0</x:v>
      </x:c>
      <x:c r="V1452" s="16" t="n">
        <x:v>0</x:v>
      </x:c>
      <x:c r="W1452" s="16" t="n">
        <x:v>0</x:v>
      </x:c>
      <x:c r="X1452" s="16" t="n">
        <x:v>0</x:v>
      </x:c>
      <x:c r="Y1452" s="16" t="n">
        <x:v>0</x:v>
      </x:c>
      <x:c r="Z1452" s="16" t="n">
        <x:v>0</x:v>
      </x:c>
      <x:c r="AA1452" s="16" t="n">
        <x:v>3</x:v>
      </x:c>
      <x:c r="AB1452" s="16" t="n">
        <x:v>11</x:v>
      </x:c>
      <x:c r="AC1452" s="16" t="n">
        <x:v>0</x:v>
      </x:c>
      <x:c r="AD1452" s="21" t="n">
        <x:f>IF(E1452="",MEDIAN($E$2:$E$2237),E1452)</x:f>
        <x:v>40304</x:v>
      </x:c>
      <x:c r="AE1452" s="17" t="n">
        <x:f>2014-B1452</x:f>
        <x:v>47</x:v>
      </x:c>
      <x:c r="AF1452" s="17" t="n">
        <x:f>F1452+G1452</x:f>
        <x:v>1</x:v>
      </x:c>
      <x:c r="AG1452" s="21" t="n">
        <x:f>SUM(J1452:O1452)</x:f>
        <x:v>57</x:v>
      </x:c>
      <x:c r="AH1452" s="17" t="n">
        <x:f>SUM(Q1452:S1452)</x:f>
        <x:v>5</x:v>
      </x:c>
      <x:c r="AI1452" s="17" t="n">
        <x:f>SUM(U1452:Y1452)</x:f>
        <x:v>0</x:v>
      </x:c>
      <x:c r="AJ1452" s="17" t="str">
        <x:f>IF(AE1452&lt;=34,"≤34",IF(AE1452&lt;=44,"35–44",IF(AE1452&lt;=54,"45–54",IF(AE1452&lt;=64,"55–64","65+"))))</x:f>
        <x:v>45–54</x:v>
      </x:c>
      <x:c r="AK1452" s="17" t="str">
        <x:f>IF(AG1452&gt;=1000,"High Value",IF(AG1452&gt;=300,"Mid Value","Low Value"))</x:f>
        <x:v>Low Value</x:v>
      </x:c>
      <x:c r="AL1452" s="17" t="str">
        <x:f>IF(AND(AI1452&gt;=1,I1452&lt;=50),"Priority 1",IF(AND(AG1452&gt;=1000,I1452&lt;=60),"Priority 2",IF(I1452&lt;=30,"Priority 3","Nurture")))</x:f>
        <x:v>Nurture</x:v>
      </x:c>
    </x:row>
    <x:row r="1453">
      <x:c r="A1453" s="16" t="n">
        <x:v>6875</x:v>
      </x:c>
      <x:c r="B1453" s="16" t="n">
        <x:v>1965</x:v>
      </x:c>
      <x:c r="C1453" s="16" t="str">
        <x:v>PhD</x:v>
      </x:c>
      <x:c r="D1453" s="16" t="str">
        <x:v>Together</x:v>
      </x:c>
      <x:c r="E1453" s="16" t="n">
        <x:v>32727</x:v>
      </x:c>
      <x:c r="F1453" s="16" t="n">
        <x:v>0</x:v>
      </x:c>
      <x:c r="G1453" s="16" t="n">
        <x:v>0</x:v>
      </x:c>
      <x:c r="H1453" s="16" t="str">
        <x:v>28-08-2012</x:v>
      </x:c>
      <x:c r="I1453" s="16" t="n">
        <x:v>38</x:v>
      </x:c>
      <x:c r="J1453" s="16" t="n">
        <x:v>167</x:v>
      </x:c>
      <x:c r="K1453" s="16" t="n">
        <x:v>13</x:v>
      </x:c>
      <x:c r="L1453" s="16" t="n">
        <x:v>180</x:v>
      </x:c>
      <x:c r="M1453" s="16" t="n">
        <x:v>86</x:v>
      </x:c>
      <x:c r="N1453" s="16" t="n">
        <x:v>13</x:v>
      </x:c>
      <x:c r="O1453" s="16" t="n">
        <x:v>70</x:v>
      </x:c>
      <x:c r="P1453" s="16" t="n">
        <x:v>2</x:v>
      </x:c>
      <x:c r="Q1453" s="16" t="n">
        <x:v>7</x:v>
      </x:c>
      <x:c r="R1453" s="16" t="n">
        <x:v>3</x:v>
      </x:c>
      <x:c r="S1453" s="16" t="n">
        <x:v>5</x:v>
      </x:c>
      <x:c r="T1453" s="16" t="n">
        <x:v>8</x:v>
      </x:c>
      <x:c r="U1453" s="16" t="n">
        <x:v>0</x:v>
      </x:c>
      <x:c r="V1453" s="16" t="n">
        <x:v>0</x:v>
      </x:c>
      <x:c r="W1453" s="16" t="n">
        <x:v>0</x:v>
      </x:c>
      <x:c r="X1453" s="16" t="n">
        <x:v>0</x:v>
      </x:c>
      <x:c r="Y1453" s="16" t="n">
        <x:v>0</x:v>
      </x:c>
      <x:c r="Z1453" s="16" t="n">
        <x:v>0</x:v>
      </x:c>
      <x:c r="AA1453" s="16" t="n">
        <x:v>3</x:v>
      </x:c>
      <x:c r="AB1453" s="16" t="n">
        <x:v>11</x:v>
      </x:c>
      <x:c r="AC1453" s="16" t="n">
        <x:v>0</x:v>
      </x:c>
      <x:c r="AD1453" s="21" t="n">
        <x:f>IF(E1453="",MEDIAN($E$2:$E$2237),E1453)</x:f>
        <x:v>32727</x:v>
      </x:c>
      <x:c r="AE1453" s="17" t="n">
        <x:f>2014-B1453</x:f>
        <x:v>49</x:v>
      </x:c>
      <x:c r="AF1453" s="17" t="n">
        <x:f>F1453+G1453</x:f>
        <x:v>0</x:v>
      </x:c>
      <x:c r="AG1453" s="21" t="n">
        <x:f>SUM(J1453:O1453)</x:f>
        <x:v>529</x:v>
      </x:c>
      <x:c r="AH1453" s="17" t="n">
        <x:f>SUM(Q1453:S1453)</x:f>
        <x:v>15</x:v>
      </x:c>
      <x:c r="AI1453" s="17" t="n">
        <x:f>SUM(U1453:Y1453)</x:f>
        <x:v>0</x:v>
      </x:c>
      <x:c r="AJ1453" s="17" t="str">
        <x:f>IF(AE1453&lt;=34,"≤34",IF(AE1453&lt;=44,"35–44",IF(AE1453&lt;=54,"45–54",IF(AE1453&lt;=64,"55–64","65+"))))</x:f>
        <x:v>45–54</x:v>
      </x:c>
      <x:c r="AK1453" s="17" t="str">
        <x:f>IF(AG1453&gt;=1000,"High Value",IF(AG1453&gt;=300,"Mid Value","Low Value"))</x:f>
        <x:v>Mid Value</x:v>
      </x:c>
      <x:c r="AL1453" s="17" t="str">
        <x:f>IF(AND(AI1453&gt;=1,I1453&lt;=50),"Priority 1",IF(AND(AG1453&gt;=1000,I1453&lt;=60),"Priority 2",IF(I1453&lt;=30,"Priority 3","Nurture")))</x:f>
        <x:v>Nurture</x:v>
      </x:c>
    </x:row>
    <x:row r="1454">
      <x:c r="A1454" s="16" t="n">
        <x:v>4399</x:v>
      </x:c>
      <x:c r="B1454" s="16" t="n">
        <x:v>1969</x:v>
      </x:c>
      <x:c r="C1454" s="16" t="str">
        <x:v>Graduation</x:v>
      </x:c>
      <x:c r="D1454" s="16" t="str">
        <x:v>Together</x:v>
      </x:c>
      <x:c r="E1454" s="16" t="n">
        <x:v>68695</x:v>
      </x:c>
      <x:c r="F1454" s="16" t="n">
        <x:v>0</x:v>
      </x:c>
      <x:c r="G1454" s="16" t="n">
        <x:v>0</x:v>
      </x:c>
      <x:c r="H1454" s="16" t="str">
        <x:v>25-06-2014</x:v>
      </x:c>
      <x:c r="I1454" s="16" t="n">
        <x:v>3</x:v>
      </x:c>
      <x:c r="J1454" s="16" t="n">
        <x:v>458</x:v>
      </x:c>
      <x:c r="K1454" s="16" t="n">
        <x:v>81</x:v>
      </x:c>
      <x:c r="L1454" s="16" t="n">
        <x:v>356</x:v>
      </x:c>
      <x:c r="M1454" s="16" t="n">
        <x:v>106</x:v>
      </x:c>
      <x:c r="N1454" s="16" t="n">
        <x:v>50</x:v>
      </x:c>
      <x:c r="O1454" s="16" t="n">
        <x:v>40</x:v>
      </x:c>
      <x:c r="P1454" s="16" t="n">
        <x:v>1</x:v>
      </x:c>
      <x:c r="Q1454" s="16" t="n">
        <x:v>4</x:v>
      </x:c>
      <x:c r="R1454" s="16" t="n">
        <x:v>4</x:v>
      </x:c>
      <x:c r="S1454" s="16" t="n">
        <x:v>7</x:v>
      </x:c>
      <x:c r="T1454" s="16" t="n">
        <x:v>2</x:v>
      </x:c>
      <x:c r="U1454" s="16" t="n">
        <x:v>0</x:v>
      </x:c>
      <x:c r="V1454" s="16" t="n">
        <x:v>0</x:v>
      </x:c>
      <x:c r="W1454" s="16" t="n">
        <x:v>0</x:v>
      </x:c>
      <x:c r="X1454" s="16" t="n">
        <x:v>0</x:v>
      </x:c>
      <x:c r="Y1454" s="16" t="n">
        <x:v>0</x:v>
      </x:c>
      <x:c r="Z1454" s="16" t="n">
        <x:v>0</x:v>
      </x:c>
      <x:c r="AA1454" s="16" t="n">
        <x:v>3</x:v>
      </x:c>
      <x:c r="AB1454" s="16" t="n">
        <x:v>11</x:v>
      </x:c>
      <x:c r="AC1454" s="16" t="n">
        <x:v>0</x:v>
      </x:c>
      <x:c r="AD1454" s="21" t="n">
        <x:f>IF(E1454="",MEDIAN($E$2:$E$2237),E1454)</x:f>
        <x:v>68695</x:v>
      </x:c>
      <x:c r="AE1454" s="17" t="n">
        <x:f>2014-B1454</x:f>
        <x:v>45</x:v>
      </x:c>
      <x:c r="AF1454" s="17" t="n">
        <x:f>F1454+G1454</x:f>
        <x:v>0</x:v>
      </x:c>
      <x:c r="AG1454" s="21" t="n">
        <x:f>SUM(J1454:O1454)</x:f>
        <x:v>1091</x:v>
      </x:c>
      <x:c r="AH1454" s="17" t="n">
        <x:f>SUM(Q1454:S1454)</x:f>
        <x:v>15</x:v>
      </x:c>
      <x:c r="AI1454" s="17" t="n">
        <x:f>SUM(U1454:Y1454)</x:f>
        <x:v>0</x:v>
      </x:c>
      <x:c r="AJ1454" s="17" t="str">
        <x:f>IF(AE1454&lt;=34,"≤34",IF(AE1454&lt;=44,"35–44",IF(AE1454&lt;=54,"45–54",IF(AE1454&lt;=64,"55–64","65+"))))</x:f>
        <x:v>45–54</x:v>
      </x:c>
      <x:c r="AK1454" s="17" t="str">
        <x:f>IF(AG1454&gt;=1000,"High Value",IF(AG1454&gt;=300,"Mid Value","Low Value"))</x:f>
        <x:v>High Value</x:v>
      </x:c>
      <x:c r="AL1454" s="17" t="str">
        <x:f>IF(AND(AI1454&gt;=1,I1454&lt;=50),"Priority 1",IF(AND(AG1454&gt;=1000,I1454&lt;=60),"Priority 2",IF(I1454&lt;=30,"Priority 3","Nurture")))</x:f>
        <x:v>Priority 2</x:v>
      </x:c>
    </x:row>
    <x:row r="1455">
      <x:c r="A1455" s="16" t="n">
        <x:v>4042</x:v>
      </x:c>
      <x:c r="B1455" s="16" t="n">
        <x:v>1971</x:v>
      </x:c>
      <x:c r="C1455" s="16" t="str">
        <x:v>Graduation</x:v>
      </x:c>
      <x:c r="D1455" s="16" t="str">
        <x:v>Divorced</x:v>
      </x:c>
      <x:c r="E1455" s="16" t="n">
        <x:v>43300</x:v>
      </x:c>
      <x:c r="F1455" s="16" t="n">
        <x:v>0</x:v>
      </x:c>
      <x:c r="G1455" s="16" t="n">
        <x:v>1</x:v>
      </x:c>
      <x:c r="H1455" s="16" t="str">
        <x:v>13-10-2012</x:v>
      </x:c>
      <x:c r="I1455" s="16" t="n">
        <x:v>87</x:v>
      </x:c>
      <x:c r="J1455" s="16" t="n">
        <x:v>91</x:v>
      </x:c>
      <x:c r="K1455" s="16" t="n">
        <x:v>3</x:v>
      </x:c>
      <x:c r="L1455" s="16" t="n">
        <x:v>52</x:v>
      </x:c>
      <x:c r="M1455" s="16" t="n">
        <x:v>2</x:v>
      </x:c>
      <x:c r="N1455" s="16" t="n">
        <x:v>1</x:v>
      </x:c>
      <x:c r="O1455" s="16" t="n">
        <x:v>31</x:v>
      </x:c>
      <x:c r="P1455" s="16" t="n">
        <x:v>3</x:v>
      </x:c>
      <x:c r="Q1455" s="16" t="n">
        <x:v>4</x:v>
      </x:c>
      <x:c r="R1455" s="16" t="n">
        <x:v>0</x:v>
      </x:c>
      <x:c r="S1455" s="16" t="n">
        <x:v>4</x:v>
      </x:c>
      <x:c r="T1455" s="16" t="n">
        <x:v>8</x:v>
      </x:c>
      <x:c r="U1455" s="16" t="n">
        <x:v>0</x:v>
      </x:c>
      <x:c r="V1455" s="16" t="n">
        <x:v>0</x:v>
      </x:c>
      <x:c r="W1455" s="16" t="n">
        <x:v>0</x:v>
      </x:c>
      <x:c r="X1455" s="16" t="n">
        <x:v>0</x:v>
      </x:c>
      <x:c r="Y1455" s="16" t="n">
        <x:v>0</x:v>
      </x:c>
      <x:c r="Z1455" s="16" t="n">
        <x:v>0</x:v>
      </x:c>
      <x:c r="AA1455" s="16" t="n">
        <x:v>3</x:v>
      </x:c>
      <x:c r="AB1455" s="16" t="n">
        <x:v>11</x:v>
      </x:c>
      <x:c r="AC1455" s="16" t="n">
        <x:v>1</x:v>
      </x:c>
      <x:c r="AD1455" s="21" t="n">
        <x:f>IF(E1455="",MEDIAN($E$2:$E$2237),E1455)</x:f>
        <x:v>43300</x:v>
      </x:c>
      <x:c r="AE1455" s="17" t="n">
        <x:f>2014-B1455</x:f>
        <x:v>43</x:v>
      </x:c>
      <x:c r="AF1455" s="17" t="n">
        <x:f>F1455+G1455</x:f>
        <x:v>1</x:v>
      </x:c>
      <x:c r="AG1455" s="21" t="n">
        <x:f>SUM(J1455:O1455)</x:f>
        <x:v>180</x:v>
      </x:c>
      <x:c r="AH1455" s="17" t="n">
        <x:f>SUM(Q1455:S1455)</x:f>
        <x:v>8</x:v>
      </x:c>
      <x:c r="AI1455" s="17" t="n">
        <x:f>SUM(U1455:Y1455)</x:f>
        <x:v>0</x:v>
      </x:c>
      <x:c r="AJ1455" s="17" t="str">
        <x:f>IF(AE1455&lt;=34,"≤34",IF(AE1455&lt;=44,"35–44",IF(AE1455&lt;=54,"45–54",IF(AE1455&lt;=64,"55–64","65+"))))</x:f>
        <x:v>35–44</x:v>
      </x:c>
      <x:c r="AK1455" s="17" t="str">
        <x:f>IF(AG1455&gt;=1000,"High Value",IF(AG1455&gt;=300,"Mid Value","Low Value"))</x:f>
        <x:v>Low Value</x:v>
      </x:c>
      <x:c r="AL1455" s="17" t="str">
        <x:f>IF(AND(AI1455&gt;=1,I1455&lt;=50),"Priority 1",IF(AND(AG1455&gt;=1000,I1455&lt;=60),"Priority 2",IF(I1455&lt;=30,"Priority 3","Nurture")))</x:f>
        <x:v>Nurture</x:v>
      </x:c>
    </x:row>
    <x:row r="1456">
      <x:c r="A1456" s="16" t="n">
        <x:v>2157</x:v>
      </x:c>
      <x:c r="B1456" s="16" t="n">
        <x:v>1972</x:v>
      </x:c>
      <x:c r="C1456" s="16" t="str">
        <x:v>Graduation</x:v>
      </x:c>
      <x:c r="D1456" s="16" t="str">
        <x:v>Together</x:v>
      </x:c>
      <x:c r="E1456" s="16" t="n">
        <x:v>26290</x:v>
      </x:c>
      <x:c r="F1456" s="16" t="n">
        <x:v>1</x:v>
      </x:c>
      <x:c r="G1456" s="16" t="n">
        <x:v>1</x:v>
      </x:c>
      <x:c r="H1456" s="16" t="str">
        <x:v>12-01-2013</x:v>
      </x:c>
      <x:c r="I1456" s="16" t="n">
        <x:v>49</x:v>
      </x:c>
      <x:c r="J1456" s="16" t="n">
        <x:v>15</x:v>
      </x:c>
      <x:c r="K1456" s="16" t="n">
        <x:v>8</x:v>
      </x:c>
      <x:c r="L1456" s="16" t="n">
        <x:v>16</x:v>
      </x:c>
      <x:c r="M1456" s="16" t="n">
        <x:v>11</x:v>
      </x:c>
      <x:c r="N1456" s="16" t="n">
        <x:v>5</x:v>
      </x:c>
      <x:c r="O1456" s="16" t="n">
        <x:v>22</x:v>
      </x:c>
      <x:c r="P1456" s="16" t="n">
        <x:v>4</x:v>
      </x:c>
      <x:c r="Q1456" s="16" t="n">
        <x:v>2</x:v>
      </x:c>
      <x:c r="R1456" s="16" t="n">
        <x:v>0</x:v>
      </x:c>
      <x:c r="S1456" s="16" t="n">
        <x:v>4</x:v>
      </x:c>
      <x:c r="T1456" s="16" t="n">
        <x:v>6</x:v>
      </x:c>
      <x:c r="U1456" s="16" t="n">
        <x:v>0</x:v>
      </x:c>
      <x:c r="V1456" s="16" t="n">
        <x:v>0</x:v>
      </x:c>
      <x:c r="W1456" s="16" t="n">
        <x:v>0</x:v>
      </x:c>
      <x:c r="X1456" s="16" t="n">
        <x:v>0</x:v>
      </x:c>
      <x:c r="Y1456" s="16" t="n">
        <x:v>0</x:v>
      </x:c>
      <x:c r="Z1456" s="16" t="n">
        <x:v>0</x:v>
      </x:c>
      <x:c r="AA1456" s="16" t="n">
        <x:v>3</x:v>
      </x:c>
      <x:c r="AB1456" s="16" t="n">
        <x:v>11</x:v>
      </x:c>
      <x:c r="AC1456" s="16" t="n">
        <x:v>0</x:v>
      </x:c>
      <x:c r="AD1456" s="21" t="n">
        <x:f>IF(E1456="",MEDIAN($E$2:$E$2237),E1456)</x:f>
        <x:v>26290</x:v>
      </x:c>
      <x:c r="AE1456" s="17" t="n">
        <x:f>2014-B1456</x:f>
        <x:v>42</x:v>
      </x:c>
      <x:c r="AF1456" s="17" t="n">
        <x:f>F1456+G1456</x:f>
        <x:v>2</x:v>
      </x:c>
      <x:c r="AG1456" s="21" t="n">
        <x:f>SUM(J1456:O1456)</x:f>
        <x:v>77</x:v>
      </x:c>
      <x:c r="AH1456" s="17" t="n">
        <x:f>SUM(Q1456:S1456)</x:f>
        <x:v>6</x:v>
      </x:c>
      <x:c r="AI1456" s="17" t="n">
        <x:f>SUM(U1456:Y1456)</x:f>
        <x:v>0</x:v>
      </x:c>
      <x:c r="AJ1456" s="17" t="str">
        <x:f>IF(AE1456&lt;=34,"≤34",IF(AE1456&lt;=44,"35–44",IF(AE1456&lt;=54,"45–54",IF(AE1456&lt;=64,"55–64","65+"))))</x:f>
        <x:v>35–44</x:v>
      </x:c>
      <x:c r="AK1456" s="17" t="str">
        <x:f>IF(AG1456&gt;=1000,"High Value",IF(AG1456&gt;=300,"Mid Value","Low Value"))</x:f>
        <x:v>Low Value</x:v>
      </x:c>
      <x:c r="AL1456" s="17" t="str">
        <x:f>IF(AND(AI1456&gt;=1,I1456&lt;=50),"Priority 1",IF(AND(AG1456&gt;=1000,I1456&lt;=60),"Priority 2",IF(I1456&lt;=30,"Priority 3","Nurture")))</x:f>
        <x:v>Nurture</x:v>
      </x:c>
    </x:row>
    <x:row r="1457">
      <x:c r="A1457" s="16" t="n">
        <x:v>10133</x:v>
      </x:c>
      <x:c r="B1457" s="16" t="n">
        <x:v>1970</x:v>
      </x:c>
      <x:c r="C1457" s="16" t="str">
        <x:v>Graduation</x:v>
      </x:c>
      <x:c r="D1457" s="16" t="str">
        <x:v>Single</x:v>
      </x:c>
      <x:c r="E1457" s="16" t="n">
        <x:v>93790</x:v>
      </x:c>
      <x:c r="F1457" s="16" t="n">
        <x:v>0</x:v>
      </x:c>
      <x:c r="G1457" s="16" t="n">
        <x:v>0</x:v>
      </x:c>
      <x:c r="H1457" s="16" t="str">
        <x:v>12-02-2014</x:v>
      </x:c>
      <x:c r="I1457" s="16" t="n">
        <x:v>16</x:v>
      </x:c>
      <x:c r="J1457" s="16" t="n">
        <x:v>1302</x:v>
      </x:c>
      <x:c r="K1457" s="16" t="n">
        <x:v>68</x:v>
      </x:c>
      <x:c r="L1457" s="16" t="n">
        <x:v>731</x:v>
      </x:c>
      <x:c r="M1457" s="16" t="n">
        <x:v>89</x:v>
      </x:c>
      <x:c r="N1457" s="16" t="n">
        <x:v>114</x:v>
      </x:c>
      <x:c r="O1457" s="16" t="n">
        <x:v>45</x:v>
      </x:c>
      <x:c r="P1457" s="16" t="n">
        <x:v>0</x:v>
      </x:c>
      <x:c r="Q1457" s="16" t="n">
        <x:v>6</x:v>
      </x:c>
      <x:c r="R1457" s="16" t="n">
        <x:v>7</x:v>
      </x:c>
      <x:c r="S1457" s="16" t="n">
        <x:v>12</x:v>
      </x:c>
      <x:c r="T1457" s="16" t="n">
        <x:v>2</x:v>
      </x:c>
      <x:c r="U1457" s="16" t="n">
        <x:v>0</x:v>
      </x:c>
      <x:c r="V1457" s="16" t="n">
        <x:v>1</x:v>
      </x:c>
      <x:c r="W1457" s="16" t="n">
        <x:v>1</x:v>
      </x:c>
      <x:c r="X1457" s="16" t="n">
        <x:v>1</x:v>
      </x:c>
      <x:c r="Y1457" s="16" t="n">
        <x:v>0</x:v>
      </x:c>
      <x:c r="Z1457" s="16" t="n">
        <x:v>0</x:v>
      </x:c>
      <x:c r="AA1457" s="16" t="n">
        <x:v>3</x:v>
      </x:c>
      <x:c r="AB1457" s="16" t="n">
        <x:v>11</x:v>
      </x:c>
      <x:c r="AC1457" s="16" t="n">
        <x:v>1</x:v>
      </x:c>
      <x:c r="AD1457" s="21" t="n">
        <x:f>IF(E1457="",MEDIAN($E$2:$E$2237),E1457)</x:f>
        <x:v>93790</x:v>
      </x:c>
      <x:c r="AE1457" s="17" t="n">
        <x:f>2014-B1457</x:f>
        <x:v>44</x:v>
      </x:c>
      <x:c r="AF1457" s="17" t="n">
        <x:f>F1457+G1457</x:f>
        <x:v>0</x:v>
      </x:c>
      <x:c r="AG1457" s="21" t="n">
        <x:f>SUM(J1457:O1457)</x:f>
        <x:v>2349</x:v>
      </x:c>
      <x:c r="AH1457" s="17" t="n">
        <x:f>SUM(Q1457:S1457)</x:f>
        <x:v>25</x:v>
      </x:c>
      <x:c r="AI1457" s="17" t="n">
        <x:f>SUM(U1457:Y1457)</x:f>
        <x:v>3</x:v>
      </x:c>
      <x:c r="AJ1457" s="17" t="str">
        <x:f>IF(AE1457&lt;=34,"≤34",IF(AE1457&lt;=44,"35–44",IF(AE1457&lt;=54,"45–54",IF(AE1457&lt;=64,"55–64","65+"))))</x:f>
        <x:v>35–44</x:v>
      </x:c>
      <x:c r="AK1457" s="17" t="str">
        <x:f>IF(AG1457&gt;=1000,"High Value",IF(AG1457&gt;=300,"Mid Value","Low Value"))</x:f>
        <x:v>High Value</x:v>
      </x:c>
      <x:c r="AL1457" s="17" t="str">
        <x:f>IF(AND(AI1457&gt;=1,I1457&lt;=50),"Priority 1",IF(AND(AG1457&gt;=1000,I1457&lt;=60),"Priority 2",IF(I1457&lt;=30,"Priority 3","Nurture")))</x:f>
        <x:v>Priority 1</x:v>
      </x:c>
    </x:row>
    <x:row r="1458">
      <x:c r="A1458" s="16" t="n">
        <x:v>2525</x:v>
      </x:c>
      <x:c r="B1458" s="16" t="n">
        <x:v>1974</x:v>
      </x:c>
      <x:c r="C1458" s="16" t="str">
        <x:v>PhD</x:v>
      </x:c>
      <x:c r="D1458" s="16" t="str">
        <x:v>Married</x:v>
      </x:c>
      <x:c r="E1458" s="16" t="n">
        <x:v>38410</x:v>
      </x:c>
      <x:c r="F1458" s="16" t="n">
        <x:v>0</x:v>
      </x:c>
      <x:c r="G1458" s="16" t="n">
        <x:v>0</x:v>
      </x:c>
      <x:c r="H1458" s="16" t="str">
        <x:v>14-09-2012</x:v>
      </x:c>
      <x:c r="I1458" s="16" t="n">
        <x:v>65</x:v>
      </x:c>
      <x:c r="J1458" s="16" t="n">
        <x:v>153</x:v>
      </x:c>
      <x:c r="K1458" s="16" t="n">
        <x:v>64</x:v>
      </x:c>
      <x:c r="L1458" s="16" t="n">
        <x:v>123</x:v>
      </x:c>
      <x:c r="M1458" s="16" t="n">
        <x:v>116</x:v>
      </x:c>
      <x:c r="N1458" s="16" t="n">
        <x:v>64</x:v>
      </x:c>
      <x:c r="O1458" s="16" t="n">
        <x:v>14</x:v>
      </x:c>
      <x:c r="P1458" s="16" t="n">
        <x:v>2</x:v>
      </x:c>
      <x:c r="Q1458" s="16" t="n">
        <x:v>5</x:v>
      </x:c>
      <x:c r="R1458" s="16" t="n">
        <x:v>2</x:v>
      </x:c>
      <x:c r="S1458" s="16" t="n">
        <x:v>9</x:v>
      </x:c>
      <x:c r="T1458" s="16" t="n">
        <x:v>6</x:v>
      </x:c>
      <x:c r="U1458" s="16" t="n">
        <x:v>0</x:v>
      </x:c>
      <x:c r="V1458" s="16" t="n">
        <x:v>0</x:v>
      </x:c>
      <x:c r="W1458" s="16" t="n">
        <x:v>0</x:v>
      </x:c>
      <x:c r="X1458" s="16" t="n">
        <x:v>0</x:v>
      </x:c>
      <x:c r="Y1458" s="16" t="n">
        <x:v>0</x:v>
      </x:c>
      <x:c r="Z1458" s="16" t="n">
        <x:v>0</x:v>
      </x:c>
      <x:c r="AA1458" s="16" t="n">
        <x:v>3</x:v>
      </x:c>
      <x:c r="AB1458" s="16" t="n">
        <x:v>11</x:v>
      </x:c>
      <x:c r="AC1458" s="16" t="n">
        <x:v>1</x:v>
      </x:c>
      <x:c r="AD1458" s="21" t="n">
        <x:f>IF(E1458="",MEDIAN($E$2:$E$2237),E1458)</x:f>
        <x:v>38410</x:v>
      </x:c>
      <x:c r="AE1458" s="17" t="n">
        <x:f>2014-B1458</x:f>
        <x:v>40</x:v>
      </x:c>
      <x:c r="AF1458" s="17" t="n">
        <x:f>F1458+G1458</x:f>
        <x:v>0</x:v>
      </x:c>
      <x:c r="AG1458" s="21" t="n">
        <x:f>SUM(J1458:O1458)</x:f>
        <x:v>534</x:v>
      </x:c>
      <x:c r="AH1458" s="17" t="n">
        <x:f>SUM(Q1458:S1458)</x:f>
        <x:v>16</x:v>
      </x:c>
      <x:c r="AI1458" s="17" t="n">
        <x:f>SUM(U1458:Y1458)</x:f>
        <x:v>0</x:v>
      </x:c>
      <x:c r="AJ1458" s="17" t="str">
        <x:f>IF(AE1458&lt;=34,"≤34",IF(AE1458&lt;=44,"35–44",IF(AE1458&lt;=54,"45–54",IF(AE1458&lt;=64,"55–64","65+"))))</x:f>
        <x:v>35–44</x:v>
      </x:c>
      <x:c r="AK1458" s="17" t="str">
        <x:f>IF(AG1458&gt;=1000,"High Value",IF(AG1458&gt;=300,"Mid Value","Low Value"))</x:f>
        <x:v>Mid Value</x:v>
      </x:c>
      <x:c r="AL1458" s="17" t="str">
        <x:f>IF(AND(AI1458&gt;=1,I1458&lt;=50),"Priority 1",IF(AND(AG1458&gt;=1000,I1458&lt;=60),"Priority 2",IF(I1458&lt;=30,"Priority 3","Nurture")))</x:f>
        <x:v>Nurture</x:v>
      </x:c>
    </x:row>
    <x:row r="1459">
      <x:c r="A1459" s="16" t="n">
        <x:v>8233</x:v>
      </x:c>
      <x:c r="B1459" s="16" t="n">
        <x:v>1950</x:v>
      </x:c>
      <x:c r="C1459" s="16" t="str">
        <x:v>Master</x:v>
      </x:c>
      <x:c r="D1459" s="16" t="str">
        <x:v>Widow</x:v>
      </x:c>
      <x:c r="E1459" s="16" t="n">
        <x:v>64866</x:v>
      </x:c>
      <x:c r="F1459" s="16" t="n">
        <x:v>0</x:v>
      </x:c>
      <x:c r="G1459" s="16" t="n">
        <x:v>1</x:v>
      </x:c>
      <x:c r="H1459" s="16" t="str">
        <x:v>26-01-2014</x:v>
      </x:c>
      <x:c r="I1459" s="16" t="n">
        <x:v>9</x:v>
      </x:c>
      <x:c r="J1459" s="16" t="n">
        <x:v>508</x:v>
      </x:c>
      <x:c r="K1459" s="16" t="n">
        <x:v>5</x:v>
      </x:c>
      <x:c r="L1459" s="16" t="n">
        <x:v>21</x:v>
      </x:c>
      <x:c r="M1459" s="16" t="n">
        <x:v>7</x:v>
      </x:c>
      <x:c r="N1459" s="16" t="n">
        <x:v>5</x:v>
      </x:c>
      <x:c r="O1459" s="16" t="n">
        <x:v>10</x:v>
      </x:c>
      <x:c r="P1459" s="16" t="n">
        <x:v>4</x:v>
      </x:c>
      <x:c r="Q1459" s="16" t="n">
        <x:v>7</x:v>
      </x:c>
      <x:c r="R1459" s="16" t="n">
        <x:v>3</x:v>
      </x:c>
      <x:c r="S1459" s="16" t="n">
        <x:v>7</x:v>
      </x:c>
      <x:c r="T1459" s="16" t="n">
        <x:v>5</x:v>
      </x:c>
      <x:c r="U1459" s="16" t="n">
        <x:v>0</x:v>
      </x:c>
      <x:c r="V1459" s="16" t="n">
        <x:v>1</x:v>
      </x:c>
      <x:c r="W1459" s="16" t="n">
        <x:v>0</x:v>
      </x:c>
      <x:c r="X1459" s="16" t="n">
        <x:v>0</x:v>
      </x:c>
      <x:c r="Y1459" s="16" t="n">
        <x:v>0</x:v>
      </x:c>
      <x:c r="Z1459" s="16" t="n">
        <x:v>0</x:v>
      </x:c>
      <x:c r="AA1459" s="16" t="n">
        <x:v>3</x:v>
      </x:c>
      <x:c r="AB1459" s="16" t="n">
        <x:v>11</x:v>
      </x:c>
      <x:c r="AC1459" s="16" t="n">
        <x:v>0</x:v>
      </x:c>
      <x:c r="AD1459" s="21" t="n">
        <x:f>IF(E1459="",MEDIAN($E$2:$E$2237),E1459)</x:f>
        <x:v>64866</x:v>
      </x:c>
      <x:c r="AE1459" s="17" t="n">
        <x:f>2014-B1459</x:f>
        <x:v>64</x:v>
      </x:c>
      <x:c r="AF1459" s="17" t="n">
        <x:f>F1459+G1459</x:f>
        <x:v>1</x:v>
      </x:c>
      <x:c r="AG1459" s="21" t="n">
        <x:f>SUM(J1459:O1459)</x:f>
        <x:v>556</x:v>
      </x:c>
      <x:c r="AH1459" s="17" t="n">
        <x:f>SUM(Q1459:S1459)</x:f>
        <x:v>17</x:v>
      </x:c>
      <x:c r="AI1459" s="17" t="n">
        <x:f>SUM(U1459:Y1459)</x:f>
        <x:v>1</x:v>
      </x:c>
      <x:c r="AJ1459" s="17" t="str">
        <x:f>IF(AE1459&lt;=34,"≤34",IF(AE1459&lt;=44,"35–44",IF(AE1459&lt;=54,"45–54",IF(AE1459&lt;=64,"55–64","65+"))))</x:f>
        <x:v>55–64</x:v>
      </x:c>
      <x:c r="AK1459" s="17" t="str">
        <x:f>IF(AG1459&gt;=1000,"High Value",IF(AG1459&gt;=300,"Mid Value","Low Value"))</x:f>
        <x:v>Mid Value</x:v>
      </x:c>
      <x:c r="AL1459" s="17" t="str">
        <x:f>IF(AND(AI1459&gt;=1,I1459&lt;=50),"Priority 1",IF(AND(AG1459&gt;=1000,I1459&lt;=60),"Priority 2",IF(I1459&lt;=30,"Priority 3","Nurture")))</x:f>
        <x:v>Priority 1</x:v>
      </x:c>
    </x:row>
    <x:row r="1460">
      <x:c r="A1460" s="16" t="n">
        <x:v>9483</x:v>
      </x:c>
      <x:c r="B1460" s="16" t="n">
        <x:v>1959</x:v>
      </x:c>
      <x:c r="C1460" s="16" t="str">
        <x:v>Graduation</x:v>
      </x:c>
      <x:c r="D1460" s="16" t="str">
        <x:v>Together</x:v>
      </x:c>
      <x:c r="E1460" s="16" t="n">
        <x:v>57957</x:v>
      </x:c>
      <x:c r="F1460" s="16" t="n">
        <x:v>0</x:v>
      </x:c>
      <x:c r="G1460" s="16" t="n">
        <x:v>1</x:v>
      </x:c>
      <x:c r="H1460" s="16" t="str">
        <x:v>19-08-2013</x:v>
      </x:c>
      <x:c r="I1460" s="16" t="n">
        <x:v>24</x:v>
      </x:c>
      <x:c r="J1460" s="16" t="n">
        <x:v>290</x:v>
      </x:c>
      <x:c r="K1460" s="16" t="n">
        <x:v>59</x:v>
      </x:c>
      <x:c r="L1460" s="16" t="n">
        <x:v>177</x:v>
      </x:c>
      <x:c r="M1460" s="16" t="n">
        <x:v>77</x:v>
      </x:c>
      <x:c r="N1460" s="16" t="n">
        <x:v>5</x:v>
      </x:c>
      <x:c r="O1460" s="16" t="n">
        <x:v>29</x:v>
      </x:c>
      <x:c r="P1460" s="16" t="n">
        <x:v>7</x:v>
      </x:c>
      <x:c r="Q1460" s="16" t="n">
        <x:v>4</x:v>
      </x:c>
      <x:c r="R1460" s="16" t="n">
        <x:v>6</x:v>
      </x:c>
      <x:c r="S1460" s="16" t="n">
        <x:v>8</x:v>
      </x:c>
      <x:c r="T1460" s="16" t="n">
        <x:v>3</x:v>
      </x:c>
      <x:c r="U1460" s="16" t="n">
        <x:v>0</x:v>
      </x:c>
      <x:c r="V1460" s="16" t="n">
        <x:v>0</x:v>
      </x:c>
      <x:c r="W1460" s="16" t="n">
        <x:v>0</x:v>
      </x:c>
      <x:c r="X1460" s="16" t="n">
        <x:v>0</x:v>
      </x:c>
      <x:c r="Y1460" s="16" t="n">
        <x:v>0</x:v>
      </x:c>
      <x:c r="Z1460" s="16" t="n">
        <x:v>1</x:v>
      </x:c>
      <x:c r="AA1460" s="16" t="n">
        <x:v>3</x:v>
      </x:c>
      <x:c r="AB1460" s="16" t="n">
        <x:v>11</x:v>
      </x:c>
      <x:c r="AC1460" s="16" t="n">
        <x:v>0</x:v>
      </x:c>
      <x:c r="AD1460" s="21" t="n">
        <x:f>IF(E1460="",MEDIAN($E$2:$E$2237),E1460)</x:f>
        <x:v>57957</x:v>
      </x:c>
      <x:c r="AE1460" s="17" t="n">
        <x:f>2014-B1460</x:f>
        <x:v>55</x:v>
      </x:c>
      <x:c r="AF1460" s="17" t="n">
        <x:f>F1460+G1460</x:f>
        <x:v>1</x:v>
      </x:c>
      <x:c r="AG1460" s="21" t="n">
        <x:f>SUM(J1460:O1460)</x:f>
        <x:v>637</x:v>
      </x:c>
      <x:c r="AH1460" s="17" t="n">
        <x:f>SUM(Q1460:S1460)</x:f>
        <x:v>18</x:v>
      </x:c>
      <x:c r="AI1460" s="17" t="n">
        <x:f>SUM(U1460:Y1460)</x:f>
        <x:v>0</x:v>
      </x:c>
      <x:c r="AJ1460" s="17" t="str">
        <x:f>IF(AE1460&lt;=34,"≤34",IF(AE1460&lt;=44,"35–44",IF(AE1460&lt;=54,"45–54",IF(AE1460&lt;=64,"55–64","65+"))))</x:f>
        <x:v>55–64</x:v>
      </x:c>
      <x:c r="AK1460" s="17" t="str">
        <x:f>IF(AG1460&gt;=1000,"High Value",IF(AG1460&gt;=300,"Mid Value","Low Value"))</x:f>
        <x:v>Mid Value</x:v>
      </x:c>
      <x:c r="AL1460" s="17" t="str">
        <x:f>IF(AND(AI1460&gt;=1,I1460&lt;=50),"Priority 1",IF(AND(AG1460&gt;=1000,I1460&lt;=60),"Priority 2",IF(I1460&lt;=30,"Priority 3","Nurture")))</x:f>
        <x:v>Priority 3</x:v>
      </x:c>
    </x:row>
    <x:row r="1461">
      <x:c r="A1461" s="16" t="n">
        <x:v>2945</x:v>
      </x:c>
      <x:c r="B1461" s="16" t="n">
        <x:v>1955</x:v>
      </x:c>
      <x:c r="C1461" s="16" t="str">
        <x:v>PhD</x:v>
      </x:c>
      <x:c r="D1461" s="16" t="str">
        <x:v>Together</x:v>
      </x:c>
      <x:c r="E1461" s="16" t="n">
        <x:v>46015</x:v>
      </x:c>
      <x:c r="F1461" s="16" t="n">
        <x:v>1</x:v>
      </x:c>
      <x:c r="G1461" s="16" t="n">
        <x:v>1</x:v>
      </x:c>
      <x:c r="H1461" s="16" t="str">
        <x:v>13-04-2014</x:v>
      </x:c>
      <x:c r="I1461" s="16" t="n">
        <x:v>25</x:v>
      </x:c>
      <x:c r="J1461" s="16" t="n">
        <x:v>38</x:v>
      </x:c>
      <x:c r="K1461" s="16" t="n">
        <x:v>0</x:v>
      </x:c>
      <x:c r="L1461" s="16" t="n">
        <x:v>2</x:v>
      </x:c>
      <x:c r="M1461" s="16" t="n">
        <x:v>0</x:v>
      </x:c>
      <x:c r="N1461" s="16" t="n">
        <x:v>0</x:v>
      </x:c>
      <x:c r="O1461" s="16" t="n">
        <x:v>6</x:v>
      </x:c>
      <x:c r="P1461" s="16" t="n">
        <x:v>1</x:v>
      </x:c>
      <x:c r="Q1461" s="16" t="n">
        <x:v>1</x:v>
      </x:c>
      <x:c r="R1461" s="16" t="n">
        <x:v>0</x:v>
      </x:c>
      <x:c r="S1461" s="16" t="n">
        <x:v>3</x:v>
      </x:c>
      <x:c r="T1461" s="16" t="n">
        <x:v>7</x:v>
      </x:c>
      <x:c r="U1461" s="16" t="n">
        <x:v>1</x:v>
      </x:c>
      <x:c r="V1461" s="16" t="n">
        <x:v>0</x:v>
      </x:c>
      <x:c r="W1461" s="16" t="n">
        <x:v>0</x:v>
      </x:c>
      <x:c r="X1461" s="16" t="n">
        <x:v>0</x:v>
      </x:c>
      <x:c r="Y1461" s="16" t="n">
        <x:v>1</x:v>
      </x:c>
      <x:c r="Z1461" s="16" t="n">
        <x:v>0</x:v>
      </x:c>
      <x:c r="AA1461" s="16" t="n">
        <x:v>3</x:v>
      </x:c>
      <x:c r="AB1461" s="16" t="n">
        <x:v>11</x:v>
      </x:c>
      <x:c r="AC1461" s="16" t="n">
        <x:v>0</x:v>
      </x:c>
      <x:c r="AD1461" s="21" t="n">
        <x:f>IF(E1461="",MEDIAN($E$2:$E$2237),E1461)</x:f>
        <x:v>46015</x:v>
      </x:c>
      <x:c r="AE1461" s="17" t="n">
        <x:f>2014-B1461</x:f>
        <x:v>59</x:v>
      </x:c>
      <x:c r="AF1461" s="17" t="n">
        <x:f>F1461+G1461</x:f>
        <x:v>2</x:v>
      </x:c>
      <x:c r="AG1461" s="21" t="n">
        <x:f>SUM(J1461:O1461)</x:f>
        <x:v>46</x:v>
      </x:c>
      <x:c r="AH1461" s="17" t="n">
        <x:f>SUM(Q1461:S1461)</x:f>
        <x:v>4</x:v>
      </x:c>
      <x:c r="AI1461" s="17" t="n">
        <x:f>SUM(U1461:Y1461)</x:f>
        <x:v>2</x:v>
      </x:c>
      <x:c r="AJ1461" s="17" t="str">
        <x:f>IF(AE1461&lt;=34,"≤34",IF(AE1461&lt;=44,"35–44",IF(AE1461&lt;=54,"45–54",IF(AE1461&lt;=64,"55–64","65+"))))</x:f>
        <x:v>55–64</x:v>
      </x:c>
      <x:c r="AK1461" s="17" t="str">
        <x:f>IF(AG1461&gt;=1000,"High Value",IF(AG1461&gt;=300,"Mid Value","Low Value"))</x:f>
        <x:v>Low Value</x:v>
      </x:c>
      <x:c r="AL1461" s="17" t="str">
        <x:f>IF(AND(AI1461&gt;=1,I1461&lt;=50),"Priority 1",IF(AND(AG1461&gt;=1000,I1461&lt;=60),"Priority 2",IF(I1461&lt;=30,"Priority 3","Nurture")))</x:f>
        <x:v>Priority 1</x:v>
      </x:c>
    </x:row>
    <x:row r="1462">
      <x:c r="A1462" s="16" t="n">
        <x:v>10403</x:v>
      </x:c>
      <x:c r="B1462" s="16" t="n">
        <x:v>1978</x:v>
      </x:c>
      <x:c r="C1462" s="16" t="str">
        <x:v>Graduation</x:v>
      </x:c>
      <x:c r="D1462" s="16" t="str">
        <x:v>Together</x:v>
      </x:c>
      <x:c r="E1462" s="16" t="n">
        <x:v>16531</x:v>
      </x:c>
      <x:c r="F1462" s="16" t="n">
        <x:v>1</x:v>
      </x:c>
      <x:c r="G1462" s="16" t="n">
        <x:v>0</x:v>
      </x:c>
      <x:c r="H1462" s="16" t="str">
        <x:v>18-06-2014</x:v>
      </x:c>
      <x:c r="I1462" s="16" t="n">
        <x:v>43</x:v>
      </x:c>
      <x:c r="J1462" s="16" t="n">
        <x:v>2</x:v>
      </x:c>
      <x:c r="K1462" s="16" t="n">
        <x:v>13</x:v>
      </x:c>
      <x:c r="L1462" s="16" t="n">
        <x:v>6</x:v>
      </x:c>
      <x:c r="M1462" s="16" t="n">
        <x:v>7</x:v>
      </x:c>
      <x:c r="N1462" s="16" t="n">
        <x:v>5</x:v>
      </x:c>
      <x:c r="O1462" s="16" t="n">
        <x:v>11</x:v>
      </x:c>
      <x:c r="P1462" s="16" t="n">
        <x:v>3</x:v>
      </x:c>
      <x:c r="Q1462" s="16" t="n">
        <x:v>3</x:v>
      </x:c>
      <x:c r="R1462" s="16" t="n">
        <x:v>0</x:v>
      </x:c>
      <x:c r="S1462" s="16" t="n">
        <x:v>3</x:v>
      </x:c>
      <x:c r="T1462" s="16" t="n">
        <x:v>7</x:v>
      </x:c>
      <x:c r="U1462" s="16" t="n">
        <x:v>0</x:v>
      </x:c>
      <x:c r="V1462" s="16" t="n">
        <x:v>0</x:v>
      </x:c>
      <x:c r="W1462" s="16" t="n">
        <x:v>0</x:v>
      </x:c>
      <x:c r="X1462" s="16" t="n">
        <x:v>0</x:v>
      </x:c>
      <x:c r="Y1462" s="16" t="n">
        <x:v>0</x:v>
      </x:c>
      <x:c r="Z1462" s="16" t="n">
        <x:v>0</x:v>
      </x:c>
      <x:c r="AA1462" s="16" t="n">
        <x:v>3</x:v>
      </x:c>
      <x:c r="AB1462" s="16" t="n">
        <x:v>11</x:v>
      </x:c>
      <x:c r="AC1462" s="16" t="n">
        <x:v>0</x:v>
      </x:c>
      <x:c r="AD1462" s="21" t="n">
        <x:f>IF(E1462="",MEDIAN($E$2:$E$2237),E1462)</x:f>
        <x:v>16531</x:v>
      </x:c>
      <x:c r="AE1462" s="17" t="n">
        <x:f>2014-B1462</x:f>
        <x:v>36</x:v>
      </x:c>
      <x:c r="AF1462" s="17" t="n">
        <x:f>F1462+G1462</x:f>
        <x:v>1</x:v>
      </x:c>
      <x:c r="AG1462" s="21" t="n">
        <x:f>SUM(J1462:O1462)</x:f>
        <x:v>44</x:v>
      </x:c>
      <x:c r="AH1462" s="17" t="n">
        <x:f>SUM(Q1462:S1462)</x:f>
        <x:v>6</x:v>
      </x:c>
      <x:c r="AI1462" s="17" t="n">
        <x:f>SUM(U1462:Y1462)</x:f>
        <x:v>0</x:v>
      </x:c>
      <x:c r="AJ1462" s="17" t="str">
        <x:f>IF(AE1462&lt;=34,"≤34",IF(AE1462&lt;=44,"35–44",IF(AE1462&lt;=54,"45–54",IF(AE1462&lt;=64,"55–64","65+"))))</x:f>
        <x:v>35–44</x:v>
      </x:c>
      <x:c r="AK1462" s="17" t="str">
        <x:f>IF(AG1462&gt;=1000,"High Value",IF(AG1462&gt;=300,"Mid Value","Low Value"))</x:f>
        <x:v>Low Value</x:v>
      </x:c>
      <x:c r="AL1462" s="17" t="str">
        <x:f>IF(AND(AI1462&gt;=1,I1462&lt;=50),"Priority 1",IF(AND(AG1462&gt;=1000,I1462&lt;=60),"Priority 2",IF(I1462&lt;=30,"Priority 3","Nurture")))</x:f>
        <x:v>Nurture</x:v>
      </x:c>
    </x:row>
    <x:row r="1463">
      <x:c r="A1463" s="16" t="n">
        <x:v>5074</x:v>
      </x:c>
      <x:c r="B1463" s="16" t="n">
        <x:v>1986</x:v>
      </x:c>
      <x:c r="C1463" s="16" t="str">
        <x:v>Master</x:v>
      </x:c>
      <x:c r="D1463" s="16" t="str">
        <x:v>Married</x:v>
      </x:c>
      <x:c r="E1463" s="16" t="n">
        <x:v>28072</x:v>
      </x:c>
      <x:c r="F1463" s="16" t="n">
        <x:v>1</x:v>
      </x:c>
      <x:c r="G1463" s="16" t="n">
        <x:v>0</x:v>
      </x:c>
      <x:c r="H1463" s="16" t="str">
        <x:v>08-07-2013</x:v>
      </x:c>
      <x:c r="I1463" s="16" t="n">
        <x:v>10</x:v>
      </x:c>
      <x:c r="J1463" s="16" t="n">
        <x:v>30</x:v>
      </x:c>
      <x:c r="K1463" s="16" t="n">
        <x:v>0</x:v>
      </x:c>
      <x:c r="L1463" s="16" t="n">
        <x:v>10</x:v>
      </x:c>
      <x:c r="M1463" s="16" t="n">
        <x:v>2</x:v>
      </x:c>
      <x:c r="N1463" s="16" t="n">
        <x:v>0</x:v>
      </x:c>
      <x:c r="O1463" s="16" t="n">
        <x:v>5</x:v>
      </x:c>
      <x:c r="P1463" s="16" t="n">
        <x:v>1</x:v>
      </x:c>
      <x:c r="Q1463" s="16" t="n">
        <x:v>1</x:v>
      </x:c>
      <x:c r="R1463" s="16" t="n">
        <x:v>0</x:v>
      </x:c>
      <x:c r="S1463" s="16" t="n">
        <x:v>3</x:v>
      </x:c>
      <x:c r="T1463" s="16" t="n">
        <x:v>7</x:v>
      </x:c>
      <x:c r="U1463" s="16" t="n">
        <x:v>0</x:v>
      </x:c>
      <x:c r="V1463" s="16" t="n">
        <x:v>0</x:v>
      </x:c>
      <x:c r="W1463" s="16" t="n">
        <x:v>0</x:v>
      </x:c>
      <x:c r="X1463" s="16" t="n">
        <x:v>0</x:v>
      </x:c>
      <x:c r="Y1463" s="16" t="n">
        <x:v>0</x:v>
      </x:c>
      <x:c r="Z1463" s="16" t="n">
        <x:v>0</x:v>
      </x:c>
      <x:c r="AA1463" s="16" t="n">
        <x:v>3</x:v>
      </x:c>
      <x:c r="AB1463" s="16" t="n">
        <x:v>11</x:v>
      </x:c>
      <x:c r="AC1463" s="16" t="n">
        <x:v>0</x:v>
      </x:c>
      <x:c r="AD1463" s="21" t="n">
        <x:f>IF(E1463="",MEDIAN($E$2:$E$2237),E1463)</x:f>
        <x:v>28072</x:v>
      </x:c>
      <x:c r="AE1463" s="17" t="n">
        <x:f>2014-B1463</x:f>
        <x:v>28</x:v>
      </x:c>
      <x:c r="AF1463" s="17" t="n">
        <x:f>F1463+G1463</x:f>
        <x:v>1</x:v>
      </x:c>
      <x:c r="AG1463" s="21" t="n">
        <x:f>SUM(J1463:O1463)</x:f>
        <x:v>47</x:v>
      </x:c>
      <x:c r="AH1463" s="17" t="n">
        <x:f>SUM(Q1463:S1463)</x:f>
        <x:v>4</x:v>
      </x:c>
      <x:c r="AI1463" s="17" t="n">
        <x:f>SUM(U1463:Y1463)</x:f>
        <x:v>0</x:v>
      </x:c>
      <x:c r="AJ1463" s="17" t="str">
        <x:f>IF(AE1463&lt;=34,"≤34",IF(AE1463&lt;=44,"35–44",IF(AE1463&lt;=54,"45–54",IF(AE1463&lt;=64,"55–64","65+"))))</x:f>
        <x:v>≤34</x:v>
      </x:c>
      <x:c r="AK1463" s="17" t="str">
        <x:f>IF(AG1463&gt;=1000,"High Value",IF(AG1463&gt;=300,"Mid Value","Low Value"))</x:f>
        <x:v>Low Value</x:v>
      </x:c>
      <x:c r="AL1463" s="17" t="str">
        <x:f>IF(AND(AI1463&gt;=1,I1463&lt;=50),"Priority 1",IF(AND(AG1463&gt;=1000,I1463&lt;=60),"Priority 2",IF(I1463&lt;=30,"Priority 3","Nurture")))</x:f>
        <x:v>Priority 3</x:v>
      </x:c>
    </x:row>
    <x:row r="1464">
      <x:c r="A1464" s="16" t="n">
        <x:v>10524</x:v>
      </x:c>
      <x:c r="B1464" s="16" t="n">
        <x:v>1963</x:v>
      </x:c>
      <x:c r="C1464" s="16" t="str">
        <x:v>Master</x:v>
      </x:c>
      <x:c r="D1464" s="16" t="str">
        <x:v>Divorced</x:v>
      </x:c>
      <x:c r="E1464" s="16" t="n">
        <x:v>49476</x:v>
      </x:c>
      <x:c r="F1464" s="16" t="n">
        <x:v>0</x:v>
      </x:c>
      <x:c r="G1464" s="16" t="n">
        <x:v>1</x:v>
      </x:c>
      <x:c r="H1464" s="16" t="str">
        <x:v>20-06-2013</x:v>
      </x:c>
      <x:c r="I1464" s="16" t="n">
        <x:v>29</x:v>
      </x:c>
      <x:c r="J1464" s="16" t="n">
        <x:v>386</x:v>
      </x:c>
      <x:c r="K1464" s="16" t="n">
        <x:v>23</x:v>
      </x:c>
      <x:c r="L1464" s="16" t="n">
        <x:v>95</x:v>
      </x:c>
      <x:c r="M1464" s="16" t="n">
        <x:v>54</x:v>
      </x:c>
      <x:c r="N1464" s="16" t="n">
        <x:v>41</x:v>
      </x:c>
      <x:c r="O1464" s="16" t="n">
        <x:v>196</x:v>
      </x:c>
      <x:c r="P1464" s="16" t="n">
        <x:v>4</x:v>
      </x:c>
      <x:c r="Q1464" s="16" t="n">
        <x:v>2</x:v>
      </x:c>
      <x:c r="R1464" s="16" t="n">
        <x:v>11</x:v>
      </x:c>
      <x:c r="S1464" s="16" t="n">
        <x:v>5</x:v>
      </x:c>
      <x:c r="T1464" s="16" t="n">
        <x:v>2</x:v>
      </x:c>
      <x:c r="U1464" s="16" t="n">
        <x:v>0</x:v>
      </x:c>
      <x:c r="V1464" s="16" t="n">
        <x:v>0</x:v>
      </x:c>
      <x:c r="W1464" s="16" t="n">
        <x:v>0</x:v>
      </x:c>
      <x:c r="X1464" s="16" t="n">
        <x:v>0</x:v>
      </x:c>
      <x:c r="Y1464" s="16" t="n">
        <x:v>0</x:v>
      </x:c>
      <x:c r="Z1464" s="16" t="n">
        <x:v>0</x:v>
      </x:c>
      <x:c r="AA1464" s="16" t="n">
        <x:v>3</x:v>
      </x:c>
      <x:c r="AB1464" s="16" t="n">
        <x:v>11</x:v>
      </x:c>
      <x:c r="AC1464" s="16" t="n">
        <x:v>0</x:v>
      </x:c>
      <x:c r="AD1464" s="21" t="n">
        <x:f>IF(E1464="",MEDIAN($E$2:$E$2237),E1464)</x:f>
        <x:v>49476</x:v>
      </x:c>
      <x:c r="AE1464" s="17" t="n">
        <x:f>2014-B1464</x:f>
        <x:v>51</x:v>
      </x:c>
      <x:c r="AF1464" s="17" t="n">
        <x:f>F1464+G1464</x:f>
        <x:v>1</x:v>
      </x:c>
      <x:c r="AG1464" s="21" t="n">
        <x:f>SUM(J1464:O1464)</x:f>
        <x:v>795</x:v>
      </x:c>
      <x:c r="AH1464" s="17" t="n">
        <x:f>SUM(Q1464:S1464)</x:f>
        <x:v>18</x:v>
      </x:c>
      <x:c r="AI1464" s="17" t="n">
        <x:f>SUM(U1464:Y1464)</x:f>
        <x:v>0</x:v>
      </x:c>
      <x:c r="AJ1464" s="17" t="str">
        <x:f>IF(AE1464&lt;=34,"≤34",IF(AE1464&lt;=44,"35–44",IF(AE1464&lt;=54,"45–54",IF(AE1464&lt;=64,"55–64","65+"))))</x:f>
        <x:v>45–54</x:v>
      </x:c>
      <x:c r="AK1464" s="17" t="str">
        <x:f>IF(AG1464&gt;=1000,"High Value",IF(AG1464&gt;=300,"Mid Value","Low Value"))</x:f>
        <x:v>Mid Value</x:v>
      </x:c>
      <x:c r="AL1464" s="17" t="str">
        <x:f>IF(AND(AI1464&gt;=1,I1464&lt;=50),"Priority 1",IF(AND(AG1464&gt;=1000,I1464&lt;=60),"Priority 2",IF(I1464&lt;=30,"Priority 3","Nurture")))</x:f>
        <x:v>Priority 3</x:v>
      </x:c>
    </x:row>
    <x:row r="1465">
      <x:c r="A1465" s="16" t="n">
        <x:v>4690</x:v>
      </x:c>
      <x:c r="B1465" s="16" t="n">
        <x:v>1953</x:v>
      </x:c>
      <x:c r="C1465" s="16" t="str">
        <x:v>Graduation</x:v>
      </x:c>
      <x:c r="D1465" s="16" t="str">
        <x:v>Married</x:v>
      </x:c>
      <x:c r="E1465" s="16" t="n">
        <x:v>50725</x:v>
      </x:c>
      <x:c r="F1465" s="16" t="n">
        <x:v>0</x:v>
      </x:c>
      <x:c r="G1465" s="16" t="n">
        <x:v>1</x:v>
      </x:c>
      <x:c r="H1465" s="16" t="str">
        <x:v>13-02-2013</x:v>
      </x:c>
      <x:c r="I1465" s="16" t="n">
        <x:v>45</x:v>
      </x:c>
      <x:c r="J1465" s="16" t="n">
        <x:v>443</x:v>
      </x:c>
      <x:c r="K1465" s="16" t="n">
        <x:v>10</x:v>
      </x:c>
      <x:c r="L1465" s="16" t="n">
        <x:v>75</x:v>
      </x:c>
      <x:c r="M1465" s="16" t="n">
        <x:v>0</x:v>
      </x:c>
      <x:c r="N1465" s="16" t="n">
        <x:v>10</x:v>
      </x:c>
      <x:c r="O1465" s="16" t="n">
        <x:v>48</x:v>
      </x:c>
      <x:c r="P1465" s="16" t="n">
        <x:v>4</x:v>
      </x:c>
      <x:c r="Q1465" s="16" t="n">
        <x:v>8</x:v>
      </x:c>
      <x:c r="R1465" s="16" t="n">
        <x:v>1</x:v>
      </x:c>
      <x:c r="S1465" s="16" t="n">
        <x:v>8</x:v>
      </x:c>
      <x:c r="T1465" s="16" t="n">
        <x:v>8</x:v>
      </x:c>
      <x:c r="U1465" s="16" t="n">
        <x:v>0</x:v>
      </x:c>
      <x:c r="V1465" s="16" t="n">
        <x:v>0</x:v>
      </x:c>
      <x:c r="W1465" s="16" t="n">
        <x:v>0</x:v>
      </x:c>
      <x:c r="X1465" s="16" t="n">
        <x:v>0</x:v>
      </x:c>
      <x:c r="Y1465" s="16" t="n">
        <x:v>0</x:v>
      </x:c>
      <x:c r="Z1465" s="16" t="n">
        <x:v>0</x:v>
      </x:c>
      <x:c r="AA1465" s="16" t="n">
        <x:v>3</x:v>
      </x:c>
      <x:c r="AB1465" s="16" t="n">
        <x:v>11</x:v>
      </x:c>
      <x:c r="AC1465" s="16" t="n">
        <x:v>0</x:v>
      </x:c>
      <x:c r="AD1465" s="21" t="n">
        <x:f>IF(E1465="",MEDIAN($E$2:$E$2237),E1465)</x:f>
        <x:v>50725</x:v>
      </x:c>
      <x:c r="AE1465" s="17" t="n">
        <x:f>2014-B1465</x:f>
        <x:v>61</x:v>
      </x:c>
      <x:c r="AF1465" s="17" t="n">
        <x:f>F1465+G1465</x:f>
        <x:v>1</x:v>
      </x:c>
      <x:c r="AG1465" s="21" t="n">
        <x:f>SUM(J1465:O1465)</x:f>
        <x:v>586</x:v>
      </x:c>
      <x:c r="AH1465" s="17" t="n">
        <x:f>SUM(Q1465:S1465)</x:f>
        <x:v>17</x:v>
      </x:c>
      <x:c r="AI1465" s="17" t="n">
        <x:f>SUM(U1465:Y1465)</x:f>
        <x:v>0</x:v>
      </x:c>
      <x:c r="AJ1465" s="17" t="str">
        <x:f>IF(AE1465&lt;=34,"≤34",IF(AE1465&lt;=44,"35–44",IF(AE1465&lt;=54,"45–54",IF(AE1465&lt;=64,"55–64","65+"))))</x:f>
        <x:v>55–64</x:v>
      </x:c>
      <x:c r="AK1465" s="17" t="str">
        <x:f>IF(AG1465&gt;=1000,"High Value",IF(AG1465&gt;=300,"Mid Value","Low Value"))</x:f>
        <x:v>Mid Value</x:v>
      </x:c>
      <x:c r="AL1465" s="17" t="str">
        <x:f>IF(AND(AI1465&gt;=1,I1465&lt;=50),"Priority 1",IF(AND(AG1465&gt;=1000,I1465&lt;=60),"Priority 2",IF(I1465&lt;=30,"Priority 3","Nurture")))</x:f>
        <x:v>Nurture</x:v>
      </x:c>
    </x:row>
    <x:row r="1466">
      <x:c r="A1466" s="16" t="n">
        <x:v>7521</x:v>
      </x:c>
      <x:c r="B1466" s="16" t="n">
        <x:v>1952</x:v>
      </x:c>
      <x:c r="C1466" s="16" t="str">
        <x:v>Graduation</x:v>
      </x:c>
      <x:c r="D1466" s="16" t="str">
        <x:v>Together</x:v>
      </x:c>
      <x:c r="E1466" s="16" t="n">
        <x:v>83844</x:v>
      </x:c>
      <x:c r="F1466" s="16" t="n">
        <x:v>0</x:v>
      </x:c>
      <x:c r="G1466" s="16" t="n">
        <x:v>0</x:v>
      </x:c>
      <x:c r="H1466" s="16" t="str">
        <x:v>12-05-2013</x:v>
      </x:c>
      <x:c r="I1466" s="16" t="n">
        <x:v>57</x:v>
      </x:c>
      <x:c r="J1466" s="16" t="n">
        <x:v>901</x:v>
      </x:c>
      <x:c r="K1466" s="16" t="n">
        <x:v>31</x:v>
      </x:c>
      <x:c r="L1466" s="16" t="n">
        <x:v>345</x:v>
      </x:c>
      <x:c r="M1466" s="16" t="n">
        <x:v>75</x:v>
      </x:c>
      <x:c r="N1466" s="16" t="n">
        <x:v>31</x:v>
      </x:c>
      <x:c r="O1466" s="16" t="n">
        <x:v>191</x:v>
      </x:c>
      <x:c r="P1466" s="16" t="n">
        <x:v>1</x:v>
      </x:c>
      <x:c r="Q1466" s="16" t="n">
        <x:v>4</x:v>
      </x:c>
      <x:c r="R1466" s="16" t="n">
        <x:v>4</x:v>
      </x:c>
      <x:c r="S1466" s="16" t="n">
        <x:v>11</x:v>
      </x:c>
      <x:c r="T1466" s="16" t="n">
        <x:v>1</x:v>
      </x:c>
      <x:c r="U1466" s="16" t="n">
        <x:v>0</x:v>
      </x:c>
      <x:c r="V1466" s="16" t="n">
        <x:v>0</x:v>
      </x:c>
      <x:c r="W1466" s="16" t="n">
        <x:v>1</x:v>
      </x:c>
      <x:c r="X1466" s="16" t="n">
        <x:v>0</x:v>
      </x:c>
      <x:c r="Y1466" s="16" t="n">
        <x:v>0</x:v>
      </x:c>
      <x:c r="Z1466" s="16" t="n">
        <x:v>0</x:v>
      </x:c>
      <x:c r="AA1466" s="16" t="n">
        <x:v>3</x:v>
      </x:c>
      <x:c r="AB1466" s="16" t="n">
        <x:v>11</x:v>
      </x:c>
      <x:c r="AC1466" s="16" t="n">
        <x:v>0</x:v>
      </x:c>
      <x:c r="AD1466" s="21" t="n">
        <x:f>IF(E1466="",MEDIAN($E$2:$E$2237),E1466)</x:f>
        <x:v>83844</x:v>
      </x:c>
      <x:c r="AE1466" s="17" t="n">
        <x:f>2014-B1466</x:f>
        <x:v>62</x:v>
      </x:c>
      <x:c r="AF1466" s="17" t="n">
        <x:f>F1466+G1466</x:f>
        <x:v>0</x:v>
      </x:c>
      <x:c r="AG1466" s="21" t="n">
        <x:f>SUM(J1466:O1466)</x:f>
        <x:v>1574</x:v>
      </x:c>
      <x:c r="AH1466" s="17" t="n">
        <x:f>SUM(Q1466:S1466)</x:f>
        <x:v>19</x:v>
      </x:c>
      <x:c r="AI1466" s="17" t="n">
        <x:f>SUM(U1466:Y1466)</x:f>
        <x:v>1</x:v>
      </x:c>
      <x:c r="AJ1466" s="17" t="str">
        <x:f>IF(AE1466&lt;=34,"≤34",IF(AE1466&lt;=44,"35–44",IF(AE1466&lt;=54,"45–54",IF(AE1466&lt;=64,"55–64","65+"))))</x:f>
        <x:v>55–64</x:v>
      </x:c>
      <x:c r="AK1466" s="17" t="str">
        <x:f>IF(AG1466&gt;=1000,"High Value",IF(AG1466&gt;=300,"Mid Value","Low Value"))</x:f>
        <x:v>High Value</x:v>
      </x:c>
      <x:c r="AL1466" s="17" t="str">
        <x:f>IF(AND(AI1466&gt;=1,I1466&lt;=50),"Priority 1",IF(AND(AG1466&gt;=1000,I1466&lt;=60),"Priority 2",IF(I1466&lt;=30,"Priority 3","Nurture")))</x:f>
        <x:v>Priority 2</x:v>
      </x:c>
    </x:row>
    <x:row r="1467">
      <x:c r="A1467" s="16" t="n">
        <x:v>7196</x:v>
      </x:c>
      <x:c r="B1467" s="16" t="n">
        <x:v>1950</x:v>
      </x:c>
      <x:c r="C1467" s="16" t="str">
        <x:v>PhD</x:v>
      </x:c>
      <x:c r="D1467" s="16" t="str">
        <x:v>Married</x:v>
      </x:c>
      <x:c r="E1467" s="16" t="n">
        <x:v>41145</x:v>
      </x:c>
      <x:c r="F1467" s="16" t="n">
        <x:v>1</x:v>
      </x:c>
      <x:c r="G1467" s="16" t="n">
        <x:v>1</x:v>
      </x:c>
      <x:c r="H1467" s="16" t="str">
        <x:v>08-02-2014</x:v>
      </x:c>
      <x:c r="I1467" s="16" t="n">
        <x:v>20</x:v>
      </x:c>
      <x:c r="J1467" s="16" t="n">
        <x:v>9</x:v>
      </x:c>
      <x:c r="K1467" s="16" t="n">
        <x:v>0</x:v>
      </x:c>
      <x:c r="L1467" s="16" t="n">
        <x:v>3</x:v>
      </x:c>
      <x:c r="M1467" s="16" t="n">
        <x:v>0</x:v>
      </x:c>
      <x:c r="N1467" s="16" t="n">
        <x:v>0</x:v>
      </x:c>
      <x:c r="O1467" s="16" t="n">
        <x:v>1</x:v>
      </x:c>
      <x:c r="P1467" s="16" t="n">
        <x:v>1</x:v>
      </x:c>
      <x:c r="Q1467" s="16" t="n">
        <x:v>0</x:v>
      </x:c>
      <x:c r="R1467" s="16" t="n">
        <x:v>0</x:v>
      </x:c>
      <x:c r="S1467" s="16" t="n">
        <x:v>3</x:v>
      </x:c>
      <x:c r="T1467" s="16" t="n">
        <x:v>3</x:v>
      </x:c>
      <x:c r="U1467" s="16" t="n">
        <x:v>0</x:v>
      </x:c>
      <x:c r="V1467" s="16" t="n">
        <x:v>0</x:v>
      </x:c>
      <x:c r="W1467" s="16" t="n">
        <x:v>0</x:v>
      </x:c>
      <x:c r="X1467" s="16" t="n">
        <x:v>0</x:v>
      </x:c>
      <x:c r="Y1467" s="16" t="n">
        <x:v>0</x:v>
      </x:c>
      <x:c r="Z1467" s="16" t="n">
        <x:v>0</x:v>
      </x:c>
      <x:c r="AA1467" s="16" t="n">
        <x:v>3</x:v>
      </x:c>
      <x:c r="AB1467" s="16" t="n">
        <x:v>11</x:v>
      </x:c>
      <x:c r="AC1467" s="16" t="n">
        <x:v>0</x:v>
      </x:c>
      <x:c r="AD1467" s="21" t="n">
        <x:f>IF(E1467="",MEDIAN($E$2:$E$2237),E1467)</x:f>
        <x:v>41145</x:v>
      </x:c>
      <x:c r="AE1467" s="17" t="n">
        <x:f>2014-B1467</x:f>
        <x:v>64</x:v>
      </x:c>
      <x:c r="AF1467" s="17" t="n">
        <x:f>F1467+G1467</x:f>
        <x:v>2</x:v>
      </x:c>
      <x:c r="AG1467" s="21" t="n">
        <x:f>SUM(J1467:O1467)</x:f>
        <x:v>13</x:v>
      </x:c>
      <x:c r="AH1467" s="17" t="n">
        <x:f>SUM(Q1467:S1467)</x:f>
        <x:v>3</x:v>
      </x:c>
      <x:c r="AI1467" s="17" t="n">
        <x:f>SUM(U1467:Y1467)</x:f>
        <x:v>0</x:v>
      </x:c>
      <x:c r="AJ1467" s="17" t="str">
        <x:f>IF(AE1467&lt;=34,"≤34",IF(AE1467&lt;=44,"35–44",IF(AE1467&lt;=54,"45–54",IF(AE1467&lt;=64,"55–64","65+"))))</x:f>
        <x:v>55–64</x:v>
      </x:c>
      <x:c r="AK1467" s="17" t="str">
        <x:f>IF(AG1467&gt;=1000,"High Value",IF(AG1467&gt;=300,"Mid Value","Low Value"))</x:f>
        <x:v>Low Value</x:v>
      </x:c>
      <x:c r="AL1467" s="17" t="str">
        <x:f>IF(AND(AI1467&gt;=1,I1467&lt;=50),"Priority 1",IF(AND(AG1467&gt;=1000,I1467&lt;=60),"Priority 2",IF(I1467&lt;=30,"Priority 3","Nurture")))</x:f>
        <x:v>Priority 3</x:v>
      </x:c>
    </x:row>
    <x:row r="1468">
      <x:c r="A1468" s="16" t="n">
        <x:v>4406</x:v>
      </x:c>
      <x:c r="B1468" s="16" t="n">
        <x:v>1970</x:v>
      </x:c>
      <x:c r="C1468" s="16" t="str">
        <x:v>Graduation</x:v>
      </x:c>
      <x:c r="D1468" s="16" t="str">
        <x:v>Together</x:v>
      </x:c>
      <x:c r="E1468" s="16" t="n">
        <x:v>67419</x:v>
      </x:c>
      <x:c r="F1468" s="16" t="n">
        <x:v>0</x:v>
      </x:c>
      <x:c r="G1468" s="16" t="n">
        <x:v>1</x:v>
      </x:c>
      <x:c r="H1468" s="16" t="str">
        <x:v>16-01-2013</x:v>
      </x:c>
      <x:c r="I1468" s="16" t="n">
        <x:v>29</x:v>
      </x:c>
      <x:c r="J1468" s="16" t="n">
        <x:v>846</x:v>
      </x:c>
      <x:c r="K1468" s="16" t="n">
        <x:v>84</x:v>
      </x:c>
      <x:c r="L1468" s="16" t="n">
        <x:v>352</x:v>
      </x:c>
      <x:c r="M1468" s="16" t="n">
        <x:v>91</x:v>
      </x:c>
      <x:c r="N1468" s="16" t="n">
        <x:v>56</x:v>
      </x:c>
      <x:c r="O1468" s="16" t="n">
        <x:v>42</x:v>
      </x:c>
      <x:c r="P1468" s="16" t="n">
        <x:v>4</x:v>
      </x:c>
      <x:c r="Q1468" s="16" t="n">
        <x:v>9</x:v>
      </x:c>
      <x:c r="R1468" s="16" t="n">
        <x:v>4</x:v>
      </x:c>
      <x:c r="S1468" s="16" t="n">
        <x:v>8</x:v>
      </x:c>
      <x:c r="T1468" s="16" t="n">
        <x:v>5</x:v>
      </x:c>
      <x:c r="U1468" s="16" t="n">
        <x:v>0</x:v>
      </x:c>
      <x:c r="V1468" s="16" t="n">
        <x:v>0</x:v>
      </x:c>
      <x:c r="W1468" s="16" t="n">
        <x:v>0</x:v>
      </x:c>
      <x:c r="X1468" s="16" t="n">
        <x:v>0</x:v>
      </x:c>
      <x:c r="Y1468" s="16" t="n">
        <x:v>0</x:v>
      </x:c>
      <x:c r="Z1468" s="16" t="n">
        <x:v>0</x:v>
      </x:c>
      <x:c r="AA1468" s="16" t="n">
        <x:v>3</x:v>
      </x:c>
      <x:c r="AB1468" s="16" t="n">
        <x:v>11</x:v>
      </x:c>
      <x:c r="AC1468" s="16" t="n">
        <x:v>0</x:v>
      </x:c>
      <x:c r="AD1468" s="21" t="n">
        <x:f>IF(E1468="",MEDIAN($E$2:$E$2237),E1468)</x:f>
        <x:v>67419</x:v>
      </x:c>
      <x:c r="AE1468" s="17" t="n">
        <x:f>2014-B1468</x:f>
        <x:v>44</x:v>
      </x:c>
      <x:c r="AF1468" s="17" t="n">
        <x:f>F1468+G1468</x:f>
        <x:v>1</x:v>
      </x:c>
      <x:c r="AG1468" s="21" t="n">
        <x:f>SUM(J1468:O1468)</x:f>
        <x:v>1471</x:v>
      </x:c>
      <x:c r="AH1468" s="17" t="n">
        <x:f>SUM(Q1468:S1468)</x:f>
        <x:v>21</x:v>
      </x:c>
      <x:c r="AI1468" s="17" t="n">
        <x:f>SUM(U1468:Y1468)</x:f>
        <x:v>0</x:v>
      </x:c>
      <x:c r="AJ1468" s="17" t="str">
        <x:f>IF(AE1468&lt;=34,"≤34",IF(AE1468&lt;=44,"35–44",IF(AE1468&lt;=54,"45–54",IF(AE1468&lt;=64,"55–64","65+"))))</x:f>
        <x:v>35–44</x:v>
      </x:c>
      <x:c r="AK1468" s="17" t="str">
        <x:f>IF(AG1468&gt;=1000,"High Value",IF(AG1468&gt;=300,"Mid Value","Low Value"))</x:f>
        <x:v>High Value</x:v>
      </x:c>
      <x:c r="AL1468" s="17" t="str">
        <x:f>IF(AND(AI1468&gt;=1,I1468&lt;=50),"Priority 1",IF(AND(AG1468&gt;=1000,I1468&lt;=60),"Priority 2",IF(I1468&lt;=30,"Priority 3","Nurture")))</x:f>
        <x:v>Priority 2</x:v>
      </x:c>
    </x:row>
    <x:row r="1469">
      <x:c r="A1469" s="16" t="n">
        <x:v>9672</x:v>
      </x:c>
      <x:c r="B1469" s="16" t="n">
        <x:v>1970</x:v>
      </x:c>
      <x:c r="C1469" s="16" t="str">
        <x:v>2n Cycle</x:v>
      </x:c>
      <x:c r="D1469" s="16" t="str">
        <x:v>Married</x:v>
      </x:c>
      <x:c r="E1469" s="16" t="n">
        <x:v>23162</x:v>
      </x:c>
      <x:c r="F1469" s="16" t="n">
        <x:v>1</x:v>
      </x:c>
      <x:c r="G1469" s="16" t="n">
        <x:v>1</x:v>
      </x:c>
      <x:c r="H1469" s="16" t="str">
        <x:v>21-12-2013</x:v>
      </x:c>
      <x:c r="I1469" s="16" t="n">
        <x:v>82</x:v>
      </x:c>
      <x:c r="J1469" s="16" t="n">
        <x:v>8</x:v>
      </x:c>
      <x:c r="K1469" s="16" t="n">
        <x:v>3</x:v>
      </x:c>
      <x:c r="L1469" s="16" t="n">
        <x:v>9</x:v>
      </x:c>
      <x:c r="M1469" s="16" t="n">
        <x:v>19</x:v>
      </x:c>
      <x:c r="N1469" s="16" t="n">
        <x:v>4</x:v>
      </x:c>
      <x:c r="O1469" s="16" t="n">
        <x:v>22</x:v>
      </x:c>
      <x:c r="P1469" s="16" t="n">
        <x:v>3</x:v>
      </x:c>
      <x:c r="Q1469" s="16" t="n">
        <x:v>1</x:v>
      </x:c>
      <x:c r="R1469" s="16" t="n">
        <x:v>1</x:v>
      </x:c>
      <x:c r="S1469" s="16" t="n">
        <x:v>3</x:v>
      </x:c>
      <x:c r="T1469" s="16" t="n">
        <x:v>6</x:v>
      </x:c>
      <x:c r="U1469" s="16" t="n">
        <x:v>0</x:v>
      </x:c>
      <x:c r="V1469" s="16" t="n">
        <x:v>0</x:v>
      </x:c>
      <x:c r="W1469" s="16" t="n">
        <x:v>0</x:v>
      </x:c>
      <x:c r="X1469" s="16" t="n">
        <x:v>0</x:v>
      </x:c>
      <x:c r="Y1469" s="16" t="n">
        <x:v>0</x:v>
      </x:c>
      <x:c r="Z1469" s="16" t="n">
        <x:v>0</x:v>
      </x:c>
      <x:c r="AA1469" s="16" t="n">
        <x:v>3</x:v>
      </x:c>
      <x:c r="AB1469" s="16" t="n">
        <x:v>11</x:v>
      </x:c>
      <x:c r="AC1469" s="16" t="n">
        <x:v>0</x:v>
      </x:c>
      <x:c r="AD1469" s="21" t="n">
        <x:f>IF(E1469="",MEDIAN($E$2:$E$2237),E1469)</x:f>
        <x:v>23162</x:v>
      </x:c>
      <x:c r="AE1469" s="17" t="n">
        <x:f>2014-B1469</x:f>
        <x:v>44</x:v>
      </x:c>
      <x:c r="AF1469" s="17" t="n">
        <x:f>F1469+G1469</x:f>
        <x:v>2</x:v>
      </x:c>
      <x:c r="AG1469" s="21" t="n">
        <x:f>SUM(J1469:O1469)</x:f>
        <x:v>65</x:v>
      </x:c>
      <x:c r="AH1469" s="17" t="n">
        <x:f>SUM(Q1469:S1469)</x:f>
        <x:v>5</x:v>
      </x:c>
      <x:c r="AI1469" s="17" t="n">
        <x:f>SUM(U1469:Y1469)</x:f>
        <x:v>0</x:v>
      </x:c>
      <x:c r="AJ1469" s="17" t="str">
        <x:f>IF(AE1469&lt;=34,"≤34",IF(AE1469&lt;=44,"35–44",IF(AE1469&lt;=54,"45–54",IF(AE1469&lt;=64,"55–64","65+"))))</x:f>
        <x:v>35–44</x:v>
      </x:c>
      <x:c r="AK1469" s="17" t="str">
        <x:f>IF(AG1469&gt;=1000,"High Value",IF(AG1469&gt;=300,"Mid Value","Low Value"))</x:f>
        <x:v>Low Value</x:v>
      </x:c>
      <x:c r="AL1469" s="17" t="str">
        <x:f>IF(AND(AI1469&gt;=1,I1469&lt;=50),"Priority 1",IF(AND(AG1469&gt;=1000,I1469&lt;=60),"Priority 2",IF(I1469&lt;=30,"Priority 3","Nurture")))</x:f>
        <x:v>Nurture</x:v>
      </x:c>
    </x:row>
    <x:row r="1470">
      <x:c r="A1470" s="16" t="n">
        <x:v>4864</x:v>
      </x:c>
      <x:c r="B1470" s="16" t="n">
        <x:v>1977</x:v>
      </x:c>
      <x:c r="C1470" s="16" t="str">
        <x:v>Graduation</x:v>
      </x:c>
      <x:c r="D1470" s="16" t="str">
        <x:v>Married</x:v>
      </x:c>
      <x:c r="E1470" s="16" t="n">
        <x:v>34380</x:v>
      </x:c>
      <x:c r="F1470" s="16" t="n">
        <x:v>1</x:v>
      </x:c>
      <x:c r="G1470" s="16" t="n">
        <x:v>0</x:v>
      </x:c>
      <x:c r="H1470" s="16" t="str">
        <x:v>02-05-2013</x:v>
      </x:c>
      <x:c r="I1470" s="16" t="n">
        <x:v>68</x:v>
      </x:c>
      <x:c r="J1470" s="16" t="n">
        <x:v>72</x:v>
      </x:c>
      <x:c r="K1470" s="16" t="n">
        <x:v>7</x:v>
      </x:c>
      <x:c r="L1470" s="16" t="n">
        <x:v>58</x:v>
      </x:c>
      <x:c r="M1470" s="16" t="n">
        <x:v>13</x:v>
      </x:c>
      <x:c r="N1470" s="16" t="n">
        <x:v>1</x:v>
      </x:c>
      <x:c r="O1470" s="16" t="n">
        <x:v>24</x:v>
      </x:c>
      <x:c r="P1470" s="16" t="n">
        <x:v>4</x:v>
      </x:c>
      <x:c r="Q1470" s="16" t="n">
        <x:v>4</x:v>
      </x:c>
      <x:c r="R1470" s="16" t="n">
        <x:v>1</x:v>
      </x:c>
      <x:c r="S1470" s="16" t="n">
        <x:v>3</x:v>
      </x:c>
      <x:c r="T1470" s="16" t="n">
        <x:v>8</x:v>
      </x:c>
      <x:c r="U1470" s="16" t="n">
        <x:v>0</x:v>
      </x:c>
      <x:c r="V1470" s="16" t="n">
        <x:v>0</x:v>
      </x:c>
      <x:c r="W1470" s="16" t="n">
        <x:v>0</x:v>
      </x:c>
      <x:c r="X1470" s="16" t="n">
        <x:v>0</x:v>
      </x:c>
      <x:c r="Y1470" s="16" t="n">
        <x:v>0</x:v>
      </x:c>
      <x:c r="Z1470" s="16" t="n">
        <x:v>0</x:v>
      </x:c>
      <x:c r="AA1470" s="16" t="n">
        <x:v>3</x:v>
      </x:c>
      <x:c r="AB1470" s="16" t="n">
        <x:v>11</x:v>
      </x:c>
      <x:c r="AC1470" s="16" t="n">
        <x:v>0</x:v>
      </x:c>
      <x:c r="AD1470" s="21" t="n">
        <x:f>IF(E1470="",MEDIAN($E$2:$E$2237),E1470)</x:f>
        <x:v>34380</x:v>
      </x:c>
      <x:c r="AE1470" s="17" t="n">
        <x:f>2014-B1470</x:f>
        <x:v>37</x:v>
      </x:c>
      <x:c r="AF1470" s="17" t="n">
        <x:f>F1470+G1470</x:f>
        <x:v>1</x:v>
      </x:c>
      <x:c r="AG1470" s="21" t="n">
        <x:f>SUM(J1470:O1470)</x:f>
        <x:v>175</x:v>
      </x:c>
      <x:c r="AH1470" s="17" t="n">
        <x:f>SUM(Q1470:S1470)</x:f>
        <x:v>8</x:v>
      </x:c>
      <x:c r="AI1470" s="17" t="n">
        <x:f>SUM(U1470:Y1470)</x:f>
        <x:v>0</x:v>
      </x:c>
      <x:c r="AJ1470" s="17" t="str">
        <x:f>IF(AE1470&lt;=34,"≤34",IF(AE1470&lt;=44,"35–44",IF(AE1470&lt;=54,"45–54",IF(AE1470&lt;=64,"55–64","65+"))))</x:f>
        <x:v>35–44</x:v>
      </x:c>
      <x:c r="AK1470" s="17" t="str">
        <x:f>IF(AG1470&gt;=1000,"High Value",IF(AG1470&gt;=300,"Mid Value","Low Value"))</x:f>
        <x:v>Low Value</x:v>
      </x:c>
      <x:c r="AL1470" s="17" t="str">
        <x:f>IF(AND(AI1470&gt;=1,I1470&lt;=50),"Priority 1",IF(AND(AG1470&gt;=1000,I1470&lt;=60),"Priority 2",IF(I1470&lt;=30,"Priority 3","Nurture")))</x:f>
        <x:v>Nurture</x:v>
      </x:c>
    </x:row>
    <x:row r="1471">
      <x:c r="A1471" s="16" t="n">
        <x:v>4706</x:v>
      </x:c>
      <x:c r="B1471" s="16" t="n">
        <x:v>1966</x:v>
      </x:c>
      <x:c r="C1471" s="16" t="str">
        <x:v>Graduation</x:v>
      </x:c>
      <x:c r="D1471" s="16" t="str">
        <x:v>Single</x:v>
      </x:c>
      <x:c r="E1471" s="16" t="n">
        <x:v>34704</x:v>
      </x:c>
      <x:c r="F1471" s="16" t="n">
        <x:v>0</x:v>
      </x:c>
      <x:c r="G1471" s="16" t="n">
        <x:v>1</x:v>
      </x:c>
      <x:c r="H1471" s="16" t="str">
        <x:v>27-04-2013</x:v>
      </x:c>
      <x:c r="I1471" s="16" t="n">
        <x:v>65</x:v>
      </x:c>
      <x:c r="J1471" s="16" t="n">
        <x:v>29</x:v>
      </x:c>
      <x:c r="K1471" s="16" t="n">
        <x:v>0</x:v>
      </x:c>
      <x:c r="L1471" s="16" t="n">
        <x:v>5</x:v>
      </x:c>
      <x:c r="M1471" s="16" t="n">
        <x:v>0</x:v>
      </x:c>
      <x:c r="N1471" s="16" t="n">
        <x:v>1</x:v>
      </x:c>
      <x:c r="O1471" s="16" t="n">
        <x:v>5</x:v>
      </x:c>
      <x:c r="P1471" s="16" t="n">
        <x:v>1</x:v>
      </x:c>
      <x:c r="Q1471" s="16" t="n">
        <x:v>1</x:v>
      </x:c>
      <x:c r="R1471" s="16" t="n">
        <x:v>0</x:v>
      </x:c>
      <x:c r="S1471" s="16" t="n">
        <x:v>3</x:v>
      </x:c>
      <x:c r="T1471" s="16" t="n">
        <x:v>5</x:v>
      </x:c>
      <x:c r="U1471" s="16" t="n">
        <x:v>0</x:v>
      </x:c>
      <x:c r="V1471" s="16" t="n">
        <x:v>0</x:v>
      </x:c>
      <x:c r="W1471" s="16" t="n">
        <x:v>0</x:v>
      </x:c>
      <x:c r="X1471" s="16" t="n">
        <x:v>0</x:v>
      </x:c>
      <x:c r="Y1471" s="16" t="n">
        <x:v>0</x:v>
      </x:c>
      <x:c r="Z1471" s="16" t="n">
        <x:v>0</x:v>
      </x:c>
      <x:c r="AA1471" s="16" t="n">
        <x:v>3</x:v>
      </x:c>
      <x:c r="AB1471" s="16" t="n">
        <x:v>11</x:v>
      </x:c>
      <x:c r="AC1471" s="16" t="n">
        <x:v>0</x:v>
      </x:c>
      <x:c r="AD1471" s="21" t="n">
        <x:f>IF(E1471="",MEDIAN($E$2:$E$2237),E1471)</x:f>
        <x:v>34704</x:v>
      </x:c>
      <x:c r="AE1471" s="17" t="n">
        <x:f>2014-B1471</x:f>
        <x:v>48</x:v>
      </x:c>
      <x:c r="AF1471" s="17" t="n">
        <x:f>F1471+G1471</x:f>
        <x:v>1</x:v>
      </x:c>
      <x:c r="AG1471" s="21" t="n">
        <x:f>SUM(J1471:O1471)</x:f>
        <x:v>40</x:v>
      </x:c>
      <x:c r="AH1471" s="17" t="n">
        <x:f>SUM(Q1471:S1471)</x:f>
        <x:v>4</x:v>
      </x:c>
      <x:c r="AI1471" s="17" t="n">
        <x:f>SUM(U1471:Y1471)</x:f>
        <x:v>0</x:v>
      </x:c>
      <x:c r="AJ1471" s="17" t="str">
        <x:f>IF(AE1471&lt;=34,"≤34",IF(AE1471&lt;=44,"35–44",IF(AE1471&lt;=54,"45–54",IF(AE1471&lt;=64,"55–64","65+"))))</x:f>
        <x:v>45–54</x:v>
      </x:c>
      <x:c r="AK1471" s="17" t="str">
        <x:f>IF(AG1471&gt;=1000,"High Value",IF(AG1471&gt;=300,"Mid Value","Low Value"))</x:f>
        <x:v>Low Value</x:v>
      </x:c>
      <x:c r="AL1471" s="17" t="str">
        <x:f>IF(AND(AI1471&gt;=1,I1471&lt;=50),"Priority 1",IF(AND(AG1471&gt;=1000,I1471&lt;=60),"Priority 2",IF(I1471&lt;=30,"Priority 3","Nurture")))</x:f>
        <x:v>Nurture</x:v>
      </x:c>
    </x:row>
    <x:row r="1472">
      <x:c r="A1472" s="16" t="n">
        <x:v>4070</x:v>
      </x:c>
      <x:c r="B1472" s="16" t="n">
        <x:v>1969</x:v>
      </x:c>
      <x:c r="C1472" s="16" t="str">
        <x:v>PhD</x:v>
      </x:c>
      <x:c r="D1472" s="16" t="str">
        <x:v>Married</x:v>
      </x:c>
      <x:c r="E1472" s="16" t="n">
        <x:v>94871</x:v>
      </x:c>
      <x:c r="F1472" s="16" t="n">
        <x:v>0</x:v>
      </x:c>
      <x:c r="G1472" s="16" t="n">
        <x:v>2</x:v>
      </x:c>
      <x:c r="H1472" s="16" t="str">
        <x:v>01-09-2012</x:v>
      </x:c>
      <x:c r="I1472" s="16" t="n">
        <x:v>99</x:v>
      </x:c>
      <x:c r="J1472" s="16" t="n">
        <x:v>169</x:v>
      </x:c>
      <x:c r="K1472" s="16" t="n">
        <x:v>24</x:v>
      </x:c>
      <x:c r="L1472" s="16" t="n">
        <x:v>553</x:v>
      </x:c>
      <x:c r="M1472" s="16" t="n">
        <x:v>188</x:v>
      </x:c>
      <x:c r="N1472" s="16" t="n">
        <x:v>0</x:v>
      </x:c>
      <x:c r="O1472" s="16" t="n">
        <x:v>144</x:v>
      </x:c>
      <x:c r="P1472" s="16" t="n">
        <x:v>1</x:v>
      </x:c>
      <x:c r="Q1472" s="16" t="n">
        <x:v>8</x:v>
      </x:c>
      <x:c r="R1472" s="16" t="n">
        <x:v>5</x:v>
      </x:c>
      <x:c r="S1472" s="16" t="n">
        <x:v>4</x:v>
      </x:c>
      <x:c r="T1472" s="16" t="n">
        <x:v>7</x:v>
      </x:c>
      <x:c r="U1472" s="16" t="n">
        <x:v>0</x:v>
      </x:c>
      <x:c r="V1472" s="16" t="n">
        <x:v>1</x:v>
      </x:c>
      <x:c r="W1472" s="16" t="n">
        <x:v>1</x:v>
      </x:c>
      <x:c r="X1472" s="16" t="n">
        <x:v>0</x:v>
      </x:c>
      <x:c r="Y1472" s="16" t="n">
        <x:v>0</x:v>
      </x:c>
      <x:c r="Z1472" s="16" t="n">
        <x:v>0</x:v>
      </x:c>
      <x:c r="AA1472" s="16" t="n">
        <x:v>3</x:v>
      </x:c>
      <x:c r="AB1472" s="16" t="n">
        <x:v>11</x:v>
      </x:c>
      <x:c r="AC1472" s="16" t="n">
        <x:v>1</x:v>
      </x:c>
      <x:c r="AD1472" s="21" t="n">
        <x:f>IF(E1472="",MEDIAN($E$2:$E$2237),E1472)</x:f>
        <x:v>94871</x:v>
      </x:c>
      <x:c r="AE1472" s="17" t="n">
        <x:f>2014-B1472</x:f>
        <x:v>45</x:v>
      </x:c>
      <x:c r="AF1472" s="17" t="n">
        <x:f>F1472+G1472</x:f>
        <x:v>2</x:v>
      </x:c>
      <x:c r="AG1472" s="21" t="n">
        <x:f>SUM(J1472:O1472)</x:f>
        <x:v>1078</x:v>
      </x:c>
      <x:c r="AH1472" s="17" t="n">
        <x:f>SUM(Q1472:S1472)</x:f>
        <x:v>17</x:v>
      </x:c>
      <x:c r="AI1472" s="17" t="n">
        <x:f>SUM(U1472:Y1472)</x:f>
        <x:v>2</x:v>
      </x:c>
      <x:c r="AJ1472" s="17" t="str">
        <x:f>IF(AE1472&lt;=34,"≤34",IF(AE1472&lt;=44,"35–44",IF(AE1472&lt;=54,"45–54",IF(AE1472&lt;=64,"55–64","65+"))))</x:f>
        <x:v>45–54</x:v>
      </x:c>
      <x:c r="AK1472" s="17" t="str">
        <x:f>IF(AG1472&gt;=1000,"High Value",IF(AG1472&gt;=300,"Mid Value","Low Value"))</x:f>
        <x:v>High Value</x:v>
      </x:c>
      <x:c r="AL1472" s="17" t="str">
        <x:f>IF(AND(AI1472&gt;=1,I1472&lt;=50),"Priority 1",IF(AND(AG1472&gt;=1000,I1472&lt;=60),"Priority 2",IF(I1472&lt;=30,"Priority 3","Nurture")))</x:f>
        <x:v>Nurture</x:v>
      </x:c>
    </x:row>
    <x:row r="1473">
      <x:c r="A1473" s="16" t="n">
        <x:v>25</x:v>
      </x:c>
      <x:c r="B1473" s="16" t="n">
        <x:v>1958</x:v>
      </x:c>
      <x:c r="C1473" s="16" t="str">
        <x:v>Graduation</x:v>
      </x:c>
      <x:c r="D1473" s="16" t="str">
        <x:v>Married</x:v>
      </x:c>
      <x:c r="E1473" s="16" t="n">
        <x:v>65148</x:v>
      </x:c>
      <x:c r="F1473" s="16" t="n">
        <x:v>0</x:v>
      </x:c>
      <x:c r="G1473" s="16" t="n">
        <x:v>1</x:v>
      </x:c>
      <x:c r="H1473" s="16" t="str">
        <x:v>16-11-2012</x:v>
      </x:c>
      <x:c r="I1473" s="16" t="n">
        <x:v>9</x:v>
      </x:c>
      <x:c r="J1473" s="16" t="n">
        <x:v>460</x:v>
      </x:c>
      <x:c r="K1473" s="16" t="n">
        <x:v>35</x:v>
      </x:c>
      <x:c r="L1473" s="16" t="n">
        <x:v>422</x:v>
      </x:c>
      <x:c r="M1473" s="16" t="n">
        <x:v>33</x:v>
      </x:c>
      <x:c r="N1473" s="16" t="n">
        <x:v>12</x:v>
      </x:c>
      <x:c r="O1473" s="16" t="n">
        <x:v>153</x:v>
      </x:c>
      <x:c r="P1473" s="16" t="n">
        <x:v>2</x:v>
      </x:c>
      <x:c r="Q1473" s="16" t="n">
        <x:v>6</x:v>
      </x:c>
      <x:c r="R1473" s="16" t="n">
        <x:v>6</x:v>
      </x:c>
      <x:c r="S1473" s="16" t="n">
        <x:v>7</x:v>
      </x:c>
      <x:c r="T1473" s="16" t="n">
        <x:v>4</x:v>
      </x:c>
      <x:c r="U1473" s="16" t="n">
        <x:v>0</x:v>
      </x:c>
      <x:c r="V1473" s="16" t="n">
        <x:v>0</x:v>
      </x:c>
      <x:c r="W1473" s="16" t="n">
        <x:v>0</x:v>
      </x:c>
      <x:c r="X1473" s="16" t="n">
        <x:v>0</x:v>
      </x:c>
      <x:c r="Y1473" s="16" t="n">
        <x:v>0</x:v>
      </x:c>
      <x:c r="Z1473" s="16" t="n">
        <x:v>0</x:v>
      </x:c>
      <x:c r="AA1473" s="16" t="n">
        <x:v>3</x:v>
      </x:c>
      <x:c r="AB1473" s="16" t="n">
        <x:v>11</x:v>
      </x:c>
      <x:c r="AC1473" s="16" t="n">
        <x:v>0</x:v>
      </x:c>
      <x:c r="AD1473" s="21" t="n">
        <x:f>IF(E1473="",MEDIAN($E$2:$E$2237),E1473)</x:f>
        <x:v>65148</x:v>
      </x:c>
      <x:c r="AE1473" s="17" t="n">
        <x:f>2014-B1473</x:f>
        <x:v>56</x:v>
      </x:c>
      <x:c r="AF1473" s="17" t="n">
        <x:f>F1473+G1473</x:f>
        <x:v>1</x:v>
      </x:c>
      <x:c r="AG1473" s="21" t="n">
        <x:f>SUM(J1473:O1473)</x:f>
        <x:v>1115</x:v>
      </x:c>
      <x:c r="AH1473" s="17" t="n">
        <x:f>SUM(Q1473:S1473)</x:f>
        <x:v>19</x:v>
      </x:c>
      <x:c r="AI1473" s="17" t="n">
        <x:f>SUM(U1473:Y1473)</x:f>
        <x:v>0</x:v>
      </x:c>
      <x:c r="AJ1473" s="17" t="str">
        <x:f>IF(AE1473&lt;=34,"≤34",IF(AE1473&lt;=44,"35–44",IF(AE1473&lt;=54,"45–54",IF(AE1473&lt;=64,"55–64","65+"))))</x:f>
        <x:v>55–64</x:v>
      </x:c>
      <x:c r="AK1473" s="17" t="str">
        <x:f>IF(AG1473&gt;=1000,"High Value",IF(AG1473&gt;=300,"Mid Value","Low Value"))</x:f>
        <x:v>High Value</x:v>
      </x:c>
      <x:c r="AL1473" s="17" t="str">
        <x:f>IF(AND(AI1473&gt;=1,I1473&lt;=50),"Priority 1",IF(AND(AG1473&gt;=1000,I1473&lt;=60),"Priority 2",IF(I1473&lt;=30,"Priority 3","Nurture")))</x:f>
        <x:v>Priority 2</x:v>
      </x:c>
    </x:row>
    <x:row r="1474">
      <x:c r="A1474" s="16" t="n">
        <x:v>3697</x:v>
      </x:c>
      <x:c r="B1474" s="16" t="n">
        <x:v>1954</x:v>
      </x:c>
      <x:c r="C1474" s="16" t="str">
        <x:v>Graduation</x:v>
      </x:c>
      <x:c r="D1474" s="16" t="str">
        <x:v>Together</x:v>
      </x:c>
      <x:c r="E1474" s="16" t="n">
        <x:v>39898</x:v>
      </x:c>
      <x:c r="F1474" s="16" t="n">
        <x:v>0</x:v>
      </x:c>
      <x:c r="G1474" s="16" t="n">
        <x:v>1</x:v>
      </x:c>
      <x:c r="H1474" s="16" t="str">
        <x:v>12-02-2013</x:v>
      </x:c>
      <x:c r="I1474" s="16" t="n">
        <x:v>20</x:v>
      </x:c>
      <x:c r="J1474" s="16" t="n">
        <x:v>69</x:v>
      </x:c>
      <x:c r="K1474" s="16" t="n">
        <x:v>8</x:v>
      </x:c>
      <x:c r="L1474" s="16" t="n">
        <x:v>26</x:v>
      </x:c>
      <x:c r="M1474" s="16" t="n">
        <x:v>12</x:v>
      </x:c>
      <x:c r="N1474" s="16" t="n">
        <x:v>7</x:v>
      </x:c>
      <x:c r="O1474" s="16" t="n">
        <x:v>12</x:v>
      </x:c>
      <x:c r="P1474" s="16" t="n">
        <x:v>2</x:v>
      </x:c>
      <x:c r="Q1474" s="16" t="n">
        <x:v>3</x:v>
      </x:c>
      <x:c r="R1474" s="16" t="n">
        <x:v>0</x:v>
      </x:c>
      <x:c r="S1474" s="16" t="n">
        <x:v>4</x:v>
      </x:c>
      <x:c r="T1474" s="16" t="n">
        <x:v>7</x:v>
      </x:c>
      <x:c r="U1474" s="16" t="n">
        <x:v>0</x:v>
      </x:c>
      <x:c r="V1474" s="16" t="n">
        <x:v>0</x:v>
      </x:c>
      <x:c r="W1474" s="16" t="n">
        <x:v>0</x:v>
      </x:c>
      <x:c r="X1474" s="16" t="n">
        <x:v>0</x:v>
      </x:c>
      <x:c r="Y1474" s="16" t="n">
        <x:v>0</x:v>
      </x:c>
      <x:c r="Z1474" s="16" t="n">
        <x:v>0</x:v>
      </x:c>
      <x:c r="AA1474" s="16" t="n">
        <x:v>3</x:v>
      </x:c>
      <x:c r="AB1474" s="16" t="n">
        <x:v>11</x:v>
      </x:c>
      <x:c r="AC1474" s="16" t="n">
        <x:v>0</x:v>
      </x:c>
      <x:c r="AD1474" s="21" t="n">
        <x:f>IF(E1474="",MEDIAN($E$2:$E$2237),E1474)</x:f>
        <x:v>39898</x:v>
      </x:c>
      <x:c r="AE1474" s="17" t="n">
        <x:f>2014-B1474</x:f>
        <x:v>60</x:v>
      </x:c>
      <x:c r="AF1474" s="17" t="n">
        <x:f>F1474+G1474</x:f>
        <x:v>1</x:v>
      </x:c>
      <x:c r="AG1474" s="21" t="n">
        <x:f>SUM(J1474:O1474)</x:f>
        <x:v>134</x:v>
      </x:c>
      <x:c r="AH1474" s="17" t="n">
        <x:f>SUM(Q1474:S1474)</x:f>
        <x:v>7</x:v>
      </x:c>
      <x:c r="AI1474" s="17" t="n">
        <x:f>SUM(U1474:Y1474)</x:f>
        <x:v>0</x:v>
      </x:c>
      <x:c r="AJ1474" s="17" t="str">
        <x:f>IF(AE1474&lt;=34,"≤34",IF(AE1474&lt;=44,"35–44",IF(AE1474&lt;=54,"45–54",IF(AE1474&lt;=64,"55–64","65+"))))</x:f>
        <x:v>55–64</x:v>
      </x:c>
      <x:c r="AK1474" s="17" t="str">
        <x:f>IF(AG1474&gt;=1000,"High Value",IF(AG1474&gt;=300,"Mid Value","Low Value"))</x:f>
        <x:v>Low Value</x:v>
      </x:c>
      <x:c r="AL1474" s="17" t="str">
        <x:f>IF(AND(AI1474&gt;=1,I1474&lt;=50),"Priority 1",IF(AND(AG1474&gt;=1000,I1474&lt;=60),"Priority 2",IF(I1474&lt;=30,"Priority 3","Nurture")))</x:f>
        <x:v>Priority 3</x:v>
      </x:c>
    </x:row>
    <x:row r="1475">
      <x:c r="A1475" s="16" t="n">
        <x:v>217</x:v>
      </x:c>
      <x:c r="B1475" s="16" t="n">
        <x:v>1956</x:v>
      </x:c>
      <x:c r="C1475" s="16" t="str">
        <x:v>Master</x:v>
      </x:c>
      <x:c r="D1475" s="16" t="str">
        <x:v>Single</x:v>
      </x:c>
      <x:c r="E1475" s="16" t="n">
        <x:v>64857</x:v>
      </x:c>
      <x:c r="F1475" s="16" t="n">
        <x:v>0</x:v>
      </x:c>
      <x:c r="G1475" s="16" t="n">
        <x:v>0</x:v>
      </x:c>
      <x:c r="H1475" s="16" t="str">
        <x:v>23-11-2012</x:v>
      </x:c>
      <x:c r="I1475" s="16" t="n">
        <x:v>78</x:v>
      </x:c>
      <x:c r="J1475" s="16" t="n">
        <x:v>556</x:v>
      </x:c>
      <x:c r="K1475" s="16" t="n">
        <x:v>14</x:v>
      </x:c>
      <x:c r="L1475" s="16" t="n">
        <x:v>717</x:v>
      </x:c>
      <x:c r="M1475" s="16" t="n">
        <x:v>210</x:v>
      </x:c>
      <x:c r="N1475" s="16" t="n">
        <x:v>0</x:v>
      </x:c>
      <x:c r="O1475" s="16" t="n">
        <x:v>43</x:v>
      </x:c>
      <x:c r="P1475" s="16" t="n">
        <x:v>1</x:v>
      </x:c>
      <x:c r="Q1475" s="16" t="n">
        <x:v>7</x:v>
      </x:c>
      <x:c r="R1475" s="16" t="n">
        <x:v>5</x:v>
      </x:c>
      <x:c r="S1475" s="16" t="n">
        <x:v>10</x:v>
      </x:c>
      <x:c r="T1475" s="16" t="n">
        <x:v>4</x:v>
      </x:c>
      <x:c r="U1475" s="16" t="n">
        <x:v>0</x:v>
      </x:c>
      <x:c r="V1475" s="16" t="n">
        <x:v>0</x:v>
      </x:c>
      <x:c r="W1475" s="16" t="n">
        <x:v>0</x:v>
      </x:c>
      <x:c r="X1475" s="16" t="n">
        <x:v>0</x:v>
      </x:c>
      <x:c r="Y1475" s="16" t="n">
        <x:v>0</x:v>
      </x:c>
      <x:c r="Z1475" s="16" t="n">
        <x:v>0</x:v>
      </x:c>
      <x:c r="AA1475" s="16" t="n">
        <x:v>3</x:v>
      </x:c>
      <x:c r="AB1475" s="16" t="n">
        <x:v>11</x:v>
      </x:c>
      <x:c r="AC1475" s="16" t="n">
        <x:v>0</x:v>
      </x:c>
      <x:c r="AD1475" s="21" t="n">
        <x:f>IF(E1475="",MEDIAN($E$2:$E$2237),E1475)</x:f>
        <x:v>64857</x:v>
      </x:c>
      <x:c r="AE1475" s="17" t="n">
        <x:f>2014-B1475</x:f>
        <x:v>58</x:v>
      </x:c>
      <x:c r="AF1475" s="17" t="n">
        <x:f>F1475+G1475</x:f>
        <x:v>0</x:v>
      </x:c>
      <x:c r="AG1475" s="21" t="n">
        <x:f>SUM(J1475:O1475)</x:f>
        <x:v>1540</x:v>
      </x:c>
      <x:c r="AH1475" s="17" t="n">
        <x:f>SUM(Q1475:S1475)</x:f>
        <x:v>22</x:v>
      </x:c>
      <x:c r="AI1475" s="17" t="n">
        <x:f>SUM(U1475:Y1475)</x:f>
        <x:v>0</x:v>
      </x:c>
      <x:c r="AJ1475" s="17" t="str">
        <x:f>IF(AE1475&lt;=34,"≤34",IF(AE1475&lt;=44,"35–44",IF(AE1475&lt;=54,"45–54",IF(AE1475&lt;=64,"55–64","65+"))))</x:f>
        <x:v>55–64</x:v>
      </x:c>
      <x:c r="AK1475" s="17" t="str">
        <x:f>IF(AG1475&gt;=1000,"High Value",IF(AG1475&gt;=300,"Mid Value","Low Value"))</x:f>
        <x:v>High Value</x:v>
      </x:c>
      <x:c r="AL1475" s="17" t="str">
        <x:f>IF(AND(AI1475&gt;=1,I1475&lt;=50),"Priority 1",IF(AND(AG1475&gt;=1000,I1475&lt;=60),"Priority 2",IF(I1475&lt;=30,"Priority 3","Nurture")))</x:f>
        <x:v>Nurture</x:v>
      </x:c>
    </x:row>
    <x:row r="1476">
      <x:c r="A1476" s="16" t="n">
        <x:v>4220</x:v>
      </x:c>
      <x:c r="B1476" s="16" t="n">
        <x:v>1970</x:v>
      </x:c>
      <x:c r="C1476" s="16" t="str">
        <x:v>PhD</x:v>
      </x:c>
      <x:c r="D1476" s="16" t="str">
        <x:v>Married</x:v>
      </x:c>
      <x:c r="E1476" s="16" t="n">
        <x:v>59892</x:v>
      </x:c>
      <x:c r="F1476" s="16" t="n">
        <x:v>0</x:v>
      </x:c>
      <x:c r="G1476" s="16" t="n">
        <x:v>1</x:v>
      </x:c>
      <x:c r="H1476" s="16" t="str">
        <x:v>02-11-2013</x:v>
      </x:c>
      <x:c r="I1476" s="16" t="n">
        <x:v>26</x:v>
      </x:c>
      <x:c r="J1476" s="16" t="n">
        <x:v>73</x:v>
      </x:c>
      <x:c r="K1476" s="16" t="n">
        <x:v>0</x:v>
      </x:c>
      <x:c r="L1476" s="16" t="n">
        <x:v>13</x:v>
      </x:c>
      <x:c r="M1476" s="16" t="n">
        <x:v>0</x:v>
      </x:c>
      <x:c r="N1476" s="16" t="n">
        <x:v>1</x:v>
      </x:c>
      <x:c r="O1476" s="16" t="n">
        <x:v>0</x:v>
      </x:c>
      <x:c r="P1476" s="16" t="n">
        <x:v>1</x:v>
      </x:c>
      <x:c r="Q1476" s="16" t="n">
        <x:v>2</x:v>
      </x:c>
      <x:c r="R1476" s="16" t="n">
        <x:v>1</x:v>
      </x:c>
      <x:c r="S1476" s="16" t="n">
        <x:v>3</x:v>
      </x:c>
      <x:c r="T1476" s="16" t="n">
        <x:v>3</x:v>
      </x:c>
      <x:c r="U1476" s="16" t="n">
        <x:v>0</x:v>
      </x:c>
      <x:c r="V1476" s="16" t="n">
        <x:v>0</x:v>
      </x:c>
      <x:c r="W1476" s="16" t="n">
        <x:v>0</x:v>
      </x:c>
      <x:c r="X1476" s="16" t="n">
        <x:v>0</x:v>
      </x:c>
      <x:c r="Y1476" s="16" t="n">
        <x:v>0</x:v>
      </x:c>
      <x:c r="Z1476" s="16" t="n">
        <x:v>0</x:v>
      </x:c>
      <x:c r="AA1476" s="16" t="n">
        <x:v>3</x:v>
      </x:c>
      <x:c r="AB1476" s="16" t="n">
        <x:v>11</x:v>
      </x:c>
      <x:c r="AC1476" s="16" t="n">
        <x:v>0</x:v>
      </x:c>
      <x:c r="AD1476" s="21" t="n">
        <x:f>IF(E1476="",MEDIAN($E$2:$E$2237),E1476)</x:f>
        <x:v>59892</x:v>
      </x:c>
      <x:c r="AE1476" s="17" t="n">
        <x:f>2014-B1476</x:f>
        <x:v>44</x:v>
      </x:c>
      <x:c r="AF1476" s="17" t="n">
        <x:f>F1476+G1476</x:f>
        <x:v>1</x:v>
      </x:c>
      <x:c r="AG1476" s="21" t="n">
        <x:f>SUM(J1476:O1476)</x:f>
        <x:v>87</x:v>
      </x:c>
      <x:c r="AH1476" s="17" t="n">
        <x:f>SUM(Q1476:S1476)</x:f>
        <x:v>6</x:v>
      </x:c>
      <x:c r="AI1476" s="17" t="n">
        <x:f>SUM(U1476:Y1476)</x:f>
        <x:v>0</x:v>
      </x:c>
      <x:c r="AJ1476" s="17" t="str">
        <x:f>IF(AE1476&lt;=34,"≤34",IF(AE1476&lt;=44,"35–44",IF(AE1476&lt;=54,"45–54",IF(AE1476&lt;=64,"55–64","65+"))))</x:f>
        <x:v>35–44</x:v>
      </x:c>
      <x:c r="AK1476" s="17" t="str">
        <x:f>IF(AG1476&gt;=1000,"High Value",IF(AG1476&gt;=300,"Mid Value","Low Value"))</x:f>
        <x:v>Low Value</x:v>
      </x:c>
      <x:c r="AL1476" s="17" t="str">
        <x:f>IF(AND(AI1476&gt;=1,I1476&lt;=50),"Priority 1",IF(AND(AG1476&gt;=1000,I1476&lt;=60),"Priority 2",IF(I1476&lt;=30,"Priority 3","Nurture")))</x:f>
        <x:v>Priority 3</x:v>
      </x:c>
    </x:row>
    <x:row r="1477">
      <x:c r="A1477" s="16" t="n">
        <x:v>5286</x:v>
      </x:c>
      <x:c r="B1477" s="16" t="n">
        <x:v>1987</x:v>
      </x:c>
      <x:c r="C1477" s="16" t="str">
        <x:v>Master</x:v>
      </x:c>
      <x:c r="D1477" s="16" t="str">
        <x:v>Single</x:v>
      </x:c>
      <x:c r="E1477" s="16" t="n">
        <x:v>41020</x:v>
      </x:c>
      <x:c r="F1477" s="16" t="n">
        <x:v>0</x:v>
      </x:c>
      <x:c r="G1477" s="16" t="n">
        <x:v>0</x:v>
      </x:c>
      <x:c r="H1477" s="16" t="str">
        <x:v>28-10-2013</x:v>
      </x:c>
      <x:c r="I1477" s="16" t="n">
        <x:v>68</x:v>
      </x:c>
      <x:c r="J1477" s="16" t="n">
        <x:v>112</x:v>
      </x:c>
      <x:c r="K1477" s="16" t="n">
        <x:v>1</x:v>
      </x:c>
      <x:c r="L1477" s="16" t="n">
        <x:v>54</x:v>
      </x:c>
      <x:c r="M1477" s="16" t="n">
        <x:v>7</x:v>
      </x:c>
      <x:c r="N1477" s="16" t="n">
        <x:v>7</x:v>
      </x:c>
      <x:c r="O1477" s="16" t="n">
        <x:v>36</x:v>
      </x:c>
      <x:c r="P1477" s="16" t="n">
        <x:v>1</x:v>
      </x:c>
      <x:c r="Q1477" s="16" t="n">
        <x:v>3</x:v>
      </x:c>
      <x:c r="R1477" s="16" t="n">
        <x:v>2</x:v>
      </x:c>
      <x:c r="S1477" s="16" t="n">
        <x:v>4</x:v>
      </x:c>
      <x:c r="T1477" s="16" t="n">
        <x:v>3</x:v>
      </x:c>
      <x:c r="U1477" s="16" t="n">
        <x:v>0</x:v>
      </x:c>
      <x:c r="V1477" s="16" t="n">
        <x:v>0</x:v>
      </x:c>
      <x:c r="W1477" s="16" t="n">
        <x:v>0</x:v>
      </x:c>
      <x:c r="X1477" s="16" t="n">
        <x:v>0</x:v>
      </x:c>
      <x:c r="Y1477" s="16" t="n">
        <x:v>0</x:v>
      </x:c>
      <x:c r="Z1477" s="16" t="n">
        <x:v>0</x:v>
      </x:c>
      <x:c r="AA1477" s="16" t="n">
        <x:v>3</x:v>
      </x:c>
      <x:c r="AB1477" s="16" t="n">
        <x:v>11</x:v>
      </x:c>
      <x:c r="AC1477" s="16" t="n">
        <x:v>0</x:v>
      </x:c>
      <x:c r="AD1477" s="21" t="n">
        <x:f>IF(E1477="",MEDIAN($E$2:$E$2237),E1477)</x:f>
        <x:v>41020</x:v>
      </x:c>
      <x:c r="AE1477" s="17" t="n">
        <x:f>2014-B1477</x:f>
        <x:v>27</x:v>
      </x:c>
      <x:c r="AF1477" s="17" t="n">
        <x:f>F1477+G1477</x:f>
        <x:v>0</x:v>
      </x:c>
      <x:c r="AG1477" s="21" t="n">
        <x:f>SUM(J1477:O1477)</x:f>
        <x:v>217</x:v>
      </x:c>
      <x:c r="AH1477" s="17" t="n">
        <x:f>SUM(Q1477:S1477)</x:f>
        <x:v>9</x:v>
      </x:c>
      <x:c r="AI1477" s="17" t="n">
        <x:f>SUM(U1477:Y1477)</x:f>
        <x:v>0</x:v>
      </x:c>
      <x:c r="AJ1477" s="17" t="str">
        <x:f>IF(AE1477&lt;=34,"≤34",IF(AE1477&lt;=44,"35–44",IF(AE1477&lt;=54,"45–54",IF(AE1477&lt;=64,"55–64","65+"))))</x:f>
        <x:v>≤34</x:v>
      </x:c>
      <x:c r="AK1477" s="17" t="str">
        <x:f>IF(AG1477&gt;=1000,"High Value",IF(AG1477&gt;=300,"Mid Value","Low Value"))</x:f>
        <x:v>Low Value</x:v>
      </x:c>
      <x:c r="AL1477" s="17" t="str">
        <x:f>IF(AND(AI1477&gt;=1,I1477&lt;=50),"Priority 1",IF(AND(AG1477&gt;=1000,I1477&lt;=60),"Priority 2",IF(I1477&lt;=30,"Priority 3","Nurture")))</x:f>
        <x:v>Nurture</x:v>
      </x:c>
    </x:row>
    <x:row r="1478">
      <x:c r="A1478" s="16" t="n">
        <x:v>9559</x:v>
      </x:c>
      <x:c r="B1478" s="16" t="n">
        <x:v>1961</x:v>
      </x:c>
      <x:c r="C1478" s="16" t="str">
        <x:v>PhD</x:v>
      </x:c>
      <x:c r="D1478" s="16" t="str">
        <x:v>Married</x:v>
      </x:c>
      <x:c r="E1478" s="16" t="n">
        <x:v>57072</x:v>
      </x:c>
      <x:c r="F1478" s="16" t="n">
        <x:v>0</x:v>
      </x:c>
      <x:c r="G1478" s="16" t="n">
        <x:v>1</x:v>
      </x:c>
      <x:c r="H1478" s="16" t="str">
        <x:v>24-01-2014</x:v>
      </x:c>
      <x:c r="I1478" s="16" t="n">
        <x:v>79</x:v>
      </x:c>
      <x:c r="J1478" s="16" t="n">
        <x:v>944</x:v>
      </x:c>
      <x:c r="K1478" s="16" t="n">
        <x:v>0</x:v>
      </x:c>
      <x:c r="L1478" s="16" t="n">
        <x:v>60</x:v>
      </x:c>
      <x:c r="M1478" s="16" t="n">
        <x:v>0</x:v>
      </x:c>
      <x:c r="N1478" s="16" t="n">
        <x:v>0</x:v>
      </x:c>
      <x:c r="O1478" s="16" t="n">
        <x:v>30</x:v>
      </x:c>
      <x:c r="P1478" s="16" t="n">
        <x:v>2</x:v>
      </x:c>
      <x:c r="Q1478" s="16" t="n">
        <x:v>7</x:v>
      </x:c>
      <x:c r="R1478" s="16" t="n">
        <x:v>5</x:v>
      </x:c>
      <x:c r="S1478" s="16" t="n">
        <x:v>13</x:v>
      </x:c>
      <x:c r="T1478" s="16" t="n">
        <x:v>5</x:v>
      </x:c>
      <x:c r="U1478" s="16" t="n">
        <x:v>1</x:v>
      </x:c>
      <x:c r="V1478" s="16" t="n">
        <x:v>0</x:v>
      </x:c>
      <x:c r="W1478" s="16" t="n">
        <x:v>0</x:v>
      </x:c>
      <x:c r="X1478" s="16" t="n">
        <x:v>0</x:v>
      </x:c>
      <x:c r="Y1478" s="16" t="n">
        <x:v>0</x:v>
      </x:c>
      <x:c r="Z1478" s="16" t="n">
        <x:v>0</x:v>
      </x:c>
      <x:c r="AA1478" s="16" t="n">
        <x:v>3</x:v>
      </x:c>
      <x:c r="AB1478" s="16" t="n">
        <x:v>11</x:v>
      </x:c>
      <x:c r="AC1478" s="16" t="n">
        <x:v>0</x:v>
      </x:c>
      <x:c r="AD1478" s="21" t="n">
        <x:f>IF(E1478="",MEDIAN($E$2:$E$2237),E1478)</x:f>
        <x:v>57072</x:v>
      </x:c>
      <x:c r="AE1478" s="17" t="n">
        <x:f>2014-B1478</x:f>
        <x:v>53</x:v>
      </x:c>
      <x:c r="AF1478" s="17" t="n">
        <x:f>F1478+G1478</x:f>
        <x:v>1</x:v>
      </x:c>
      <x:c r="AG1478" s="21" t="n">
        <x:f>SUM(J1478:O1478)</x:f>
        <x:v>1034</x:v>
      </x:c>
      <x:c r="AH1478" s="17" t="n">
        <x:f>SUM(Q1478:S1478)</x:f>
        <x:v>25</x:v>
      </x:c>
      <x:c r="AI1478" s="17" t="n">
        <x:f>SUM(U1478:Y1478)</x:f>
        <x:v>1</x:v>
      </x:c>
      <x:c r="AJ1478" s="17" t="str">
        <x:f>IF(AE1478&lt;=34,"≤34",IF(AE1478&lt;=44,"35–44",IF(AE1478&lt;=54,"45–54",IF(AE1478&lt;=64,"55–64","65+"))))</x:f>
        <x:v>45–54</x:v>
      </x:c>
      <x:c r="AK1478" s="17" t="str">
        <x:f>IF(AG1478&gt;=1000,"High Value",IF(AG1478&gt;=300,"Mid Value","Low Value"))</x:f>
        <x:v>High Value</x:v>
      </x:c>
      <x:c r="AL1478" s="17" t="str">
        <x:f>IF(AND(AI1478&gt;=1,I1478&lt;=50),"Priority 1",IF(AND(AG1478&gt;=1000,I1478&lt;=60),"Priority 2",IF(I1478&lt;=30,"Priority 3","Nurture")))</x:f>
        <x:v>Nurture</x:v>
      </x:c>
    </x:row>
    <x:row r="1479">
      <x:c r="A1479" s="16" t="n">
        <x:v>2849</x:v>
      </x:c>
      <x:c r="B1479" s="16" t="n">
        <x:v>1979</x:v>
      </x:c>
      <x:c r="C1479" s="16" t="str">
        <x:v>Graduation</x:v>
      </x:c>
      <x:c r="D1479" s="16" t="str">
        <x:v>Single</x:v>
      </x:c>
      <x:c r="E1479" s="16" t="n">
        <x:v>60474</x:v>
      </x:c>
      <x:c r="F1479" s="16" t="n">
        <x:v>0</x:v>
      </x:c>
      <x:c r="G1479" s="16" t="n">
        <x:v>1</x:v>
      </x:c>
      <x:c r="H1479" s="16" t="str">
        <x:v>01-04-2013</x:v>
      </x:c>
      <x:c r="I1479" s="16" t="n">
        <x:v>25</x:v>
      </x:c>
      <x:c r="J1479" s="16" t="n">
        <x:v>265</x:v>
      </x:c>
      <x:c r="K1479" s="16" t="n">
        <x:v>199</x:v>
      </x:c>
      <x:c r="L1479" s="16" t="n">
        <x:v>303</x:v>
      </x:c>
      <x:c r="M1479" s="16" t="n">
        <x:v>234</x:v>
      </x:c>
      <x:c r="N1479" s="16" t="n">
        <x:v>9</x:v>
      </x:c>
      <x:c r="O1479" s="16" t="n">
        <x:v>170</x:v>
      </x:c>
      <x:c r="P1479" s="16" t="n">
        <x:v>7</x:v>
      </x:c>
      <x:c r="Q1479" s="16" t="n">
        <x:v>10</x:v>
      </x:c>
      <x:c r="R1479" s="16" t="n">
        <x:v>2</x:v>
      </x:c>
      <x:c r="S1479" s="16" t="n">
        <x:v>12</x:v>
      </x:c>
      <x:c r="T1479" s="16" t="n">
        <x:v>7</x:v>
      </x:c>
      <x:c r="U1479" s="16" t="n">
        <x:v>0</x:v>
      </x:c>
      <x:c r="V1479" s="16" t="n">
        <x:v>0</x:v>
      </x:c>
      <x:c r="W1479" s="16" t="n">
        <x:v>0</x:v>
      </x:c>
      <x:c r="X1479" s="16" t="n">
        <x:v>0</x:v>
      </x:c>
      <x:c r="Y1479" s="16" t="n">
        <x:v>0</x:v>
      </x:c>
      <x:c r="Z1479" s="16" t="n">
        <x:v>0</x:v>
      </x:c>
      <x:c r="AA1479" s="16" t="n">
        <x:v>3</x:v>
      </x:c>
      <x:c r="AB1479" s="16" t="n">
        <x:v>11</x:v>
      </x:c>
      <x:c r="AC1479" s="16" t="n">
        <x:v>0</x:v>
      </x:c>
      <x:c r="AD1479" s="21" t="n">
        <x:f>IF(E1479="",MEDIAN($E$2:$E$2237),E1479)</x:f>
        <x:v>60474</x:v>
      </x:c>
      <x:c r="AE1479" s="17" t="n">
        <x:f>2014-B1479</x:f>
        <x:v>35</x:v>
      </x:c>
      <x:c r="AF1479" s="17" t="n">
        <x:f>F1479+G1479</x:f>
        <x:v>1</x:v>
      </x:c>
      <x:c r="AG1479" s="21" t="n">
        <x:f>SUM(J1479:O1479)</x:f>
        <x:v>1180</x:v>
      </x:c>
      <x:c r="AH1479" s="17" t="n">
        <x:f>SUM(Q1479:S1479)</x:f>
        <x:v>24</x:v>
      </x:c>
      <x:c r="AI1479" s="17" t="n">
        <x:f>SUM(U1479:Y1479)</x:f>
        <x:v>0</x:v>
      </x:c>
      <x:c r="AJ1479" s="17" t="str">
        <x:f>IF(AE1479&lt;=34,"≤34",IF(AE1479&lt;=44,"35–44",IF(AE1479&lt;=54,"45–54",IF(AE1479&lt;=64,"55–64","65+"))))</x:f>
        <x:v>35–44</x:v>
      </x:c>
      <x:c r="AK1479" s="17" t="str">
        <x:f>IF(AG1479&gt;=1000,"High Value",IF(AG1479&gt;=300,"Mid Value","Low Value"))</x:f>
        <x:v>High Value</x:v>
      </x:c>
      <x:c r="AL1479" s="17" t="str">
        <x:f>IF(AND(AI1479&gt;=1,I1479&lt;=50),"Priority 1",IF(AND(AG1479&gt;=1000,I1479&lt;=60),"Priority 2",IF(I1479&lt;=30,"Priority 3","Nurture")))</x:f>
        <x:v>Priority 2</x:v>
      </x:c>
    </x:row>
    <x:row r="1480">
      <x:c r="A1480" s="16" t="n">
        <x:v>7787</x:v>
      </x:c>
      <x:c r="B1480" s="16" t="n">
        <x:v>1960</x:v>
      </x:c>
      <x:c r="C1480" s="16" t="str">
        <x:v>Graduation</x:v>
      </x:c>
      <x:c r="D1480" s="16" t="str">
        <x:v>Together</x:v>
      </x:c>
      <x:c r="E1480" s="16" t="n">
        <x:v>62807</x:v>
      </x:c>
      <x:c r="F1480" s="16" t="n">
        <x:v>0</x:v>
      </x:c>
      <x:c r="G1480" s="16" t="n">
        <x:v>1</x:v>
      </x:c>
      <x:c r="H1480" s="16" t="str">
        <x:v>31-08-2012</x:v>
      </x:c>
      <x:c r="I1480" s="16" t="n">
        <x:v>83</x:v>
      </x:c>
      <x:c r="J1480" s="16" t="n">
        <x:v>526</x:v>
      </x:c>
      <x:c r="K1480" s="16" t="n">
        <x:v>28</x:v>
      </x:c>
      <x:c r="L1480" s="16" t="n">
        <x:v>135</x:v>
      </x:c>
      <x:c r="M1480" s="16" t="n">
        <x:v>10</x:v>
      </x:c>
      <x:c r="N1480" s="16" t="n">
        <x:v>21</x:v>
      </x:c>
      <x:c r="O1480" s="16" t="n">
        <x:v>99</x:v>
      </x:c>
      <x:c r="P1480" s="16" t="n">
        <x:v>3</x:v>
      </x:c>
      <x:c r="Q1480" s="16" t="n">
        <x:v>5</x:v>
      </x:c>
      <x:c r="R1480" s="16" t="n">
        <x:v>3</x:v>
      </x:c>
      <x:c r="S1480" s="16" t="n">
        <x:v>12</x:v>
      </x:c>
      <x:c r="T1480" s="16" t="n">
        <x:v>5</x:v>
      </x:c>
      <x:c r="U1480" s="16" t="n">
        <x:v>0</x:v>
      </x:c>
      <x:c r="V1480" s="16" t="n">
        <x:v>0</x:v>
      </x:c>
      <x:c r="W1480" s="16" t="n">
        <x:v>0</x:v>
      </x:c>
      <x:c r="X1480" s="16" t="n">
        <x:v>0</x:v>
      </x:c>
      <x:c r="Y1480" s="16" t="n">
        <x:v>0</x:v>
      </x:c>
      <x:c r="Z1480" s="16" t="n">
        <x:v>0</x:v>
      </x:c>
      <x:c r="AA1480" s="16" t="n">
        <x:v>3</x:v>
      </x:c>
      <x:c r="AB1480" s="16" t="n">
        <x:v>11</x:v>
      </x:c>
      <x:c r="AC1480" s="16" t="n">
        <x:v>0</x:v>
      </x:c>
      <x:c r="AD1480" s="21" t="n">
        <x:f>IF(E1480="",MEDIAN($E$2:$E$2237),E1480)</x:f>
        <x:v>62807</x:v>
      </x:c>
      <x:c r="AE1480" s="17" t="n">
        <x:f>2014-B1480</x:f>
        <x:v>54</x:v>
      </x:c>
      <x:c r="AF1480" s="17" t="n">
        <x:f>F1480+G1480</x:f>
        <x:v>1</x:v>
      </x:c>
      <x:c r="AG1480" s="21" t="n">
        <x:f>SUM(J1480:O1480)</x:f>
        <x:v>819</x:v>
      </x:c>
      <x:c r="AH1480" s="17" t="n">
        <x:f>SUM(Q1480:S1480)</x:f>
        <x:v>20</x:v>
      </x:c>
      <x:c r="AI1480" s="17" t="n">
        <x:f>SUM(U1480:Y1480)</x:f>
        <x:v>0</x:v>
      </x:c>
      <x:c r="AJ1480" s="17" t="str">
        <x:f>IF(AE1480&lt;=34,"≤34",IF(AE1480&lt;=44,"35–44",IF(AE1480&lt;=54,"45–54",IF(AE1480&lt;=64,"55–64","65+"))))</x:f>
        <x:v>45–54</x:v>
      </x:c>
      <x:c r="AK1480" s="17" t="str">
        <x:f>IF(AG1480&gt;=1000,"High Value",IF(AG1480&gt;=300,"Mid Value","Low Value"))</x:f>
        <x:v>Mid Value</x:v>
      </x:c>
      <x:c r="AL1480" s="17" t="str">
        <x:f>IF(AND(AI1480&gt;=1,I1480&lt;=50),"Priority 1",IF(AND(AG1480&gt;=1000,I1480&lt;=60),"Priority 2",IF(I1480&lt;=30,"Priority 3","Nurture")))</x:f>
        <x:v>Nurture</x:v>
      </x:c>
    </x:row>
    <x:row r="1481">
      <x:c r="A1481" s="16" t="n">
        <x:v>3102</x:v>
      </x:c>
      <x:c r="B1481" s="16" t="n">
        <x:v>1981</x:v>
      </x:c>
      <x:c r="C1481" s="16" t="str">
        <x:v>2n Cycle</x:v>
      </x:c>
      <x:c r="D1481" s="16" t="str">
        <x:v>Together</x:v>
      </x:c>
      <x:c r="E1481" s="16" t="n">
        <x:v>19414</x:v>
      </x:c>
      <x:c r="F1481" s="16" t="n">
        <x:v>1</x:v>
      </x:c>
      <x:c r="G1481" s="16" t="n">
        <x:v>0</x:v>
      </x:c>
      <x:c r="H1481" s="16" t="str">
        <x:v>16-10-2013</x:v>
      </x:c>
      <x:c r="I1481" s="16" t="n">
        <x:v>32</x:v>
      </x:c>
      <x:c r="J1481" s="16" t="n">
        <x:v>2</x:v>
      </x:c>
      <x:c r="K1481" s="16" t="n">
        <x:v>3</x:v>
      </x:c>
      <x:c r="L1481" s="16" t="n">
        <x:v>12</x:v>
      </x:c>
      <x:c r="M1481" s="16" t="n">
        <x:v>3</x:v>
      </x:c>
      <x:c r="N1481" s="16" t="n">
        <x:v>5</x:v>
      </x:c>
      <x:c r="O1481" s="16" t="n">
        <x:v>7</x:v>
      </x:c>
      <x:c r="P1481" s="16" t="n">
        <x:v>1</x:v>
      </x:c>
      <x:c r="Q1481" s="16" t="n">
        <x:v>1</x:v>
      </x:c>
      <x:c r="R1481" s="16" t="n">
        <x:v>0</x:v>
      </x:c>
      <x:c r="S1481" s="16" t="n">
        <x:v>3</x:v>
      </x:c>
      <x:c r="T1481" s="16" t="n">
        <x:v>8</x:v>
      </x:c>
      <x:c r="U1481" s="16" t="n">
        <x:v>0</x:v>
      </x:c>
      <x:c r="V1481" s="16" t="n">
        <x:v>0</x:v>
      </x:c>
      <x:c r="W1481" s="16" t="n">
        <x:v>0</x:v>
      </x:c>
      <x:c r="X1481" s="16" t="n">
        <x:v>0</x:v>
      </x:c>
      <x:c r="Y1481" s="16" t="n">
        <x:v>0</x:v>
      </x:c>
      <x:c r="Z1481" s="16" t="n">
        <x:v>0</x:v>
      </x:c>
      <x:c r="AA1481" s="16" t="n">
        <x:v>3</x:v>
      </x:c>
      <x:c r="AB1481" s="16" t="n">
        <x:v>11</x:v>
      </x:c>
      <x:c r="AC1481" s="16" t="n">
        <x:v>0</x:v>
      </x:c>
      <x:c r="AD1481" s="21" t="n">
        <x:f>IF(E1481="",MEDIAN($E$2:$E$2237),E1481)</x:f>
        <x:v>19414</x:v>
      </x:c>
      <x:c r="AE1481" s="17" t="n">
        <x:f>2014-B1481</x:f>
        <x:v>33</x:v>
      </x:c>
      <x:c r="AF1481" s="17" t="n">
        <x:f>F1481+G1481</x:f>
        <x:v>1</x:v>
      </x:c>
      <x:c r="AG1481" s="21" t="n">
        <x:f>SUM(J1481:O1481)</x:f>
        <x:v>32</x:v>
      </x:c>
      <x:c r="AH1481" s="17" t="n">
        <x:f>SUM(Q1481:S1481)</x:f>
        <x:v>4</x:v>
      </x:c>
      <x:c r="AI1481" s="17" t="n">
        <x:f>SUM(U1481:Y1481)</x:f>
        <x:v>0</x:v>
      </x:c>
      <x:c r="AJ1481" s="17" t="str">
        <x:f>IF(AE1481&lt;=34,"≤34",IF(AE1481&lt;=44,"35–44",IF(AE1481&lt;=54,"45–54",IF(AE1481&lt;=64,"55–64","65+"))))</x:f>
        <x:v>≤34</x:v>
      </x:c>
      <x:c r="AK1481" s="17" t="str">
        <x:f>IF(AG1481&gt;=1000,"High Value",IF(AG1481&gt;=300,"Mid Value","Low Value"))</x:f>
        <x:v>Low Value</x:v>
      </x:c>
      <x:c r="AL1481" s="17" t="str">
        <x:f>IF(AND(AI1481&gt;=1,I1481&lt;=50),"Priority 1",IF(AND(AG1481&gt;=1000,I1481&lt;=60),"Priority 2",IF(I1481&lt;=30,"Priority 3","Nurture")))</x:f>
        <x:v>Nurture</x:v>
      </x:c>
    </x:row>
    <x:row r="1482">
      <x:c r="A1482" s="16" t="n">
        <x:v>5868</x:v>
      </x:c>
      <x:c r="B1482" s="16" t="n">
        <x:v>1980</x:v>
      </x:c>
      <x:c r="C1482" s="16" t="str">
        <x:v>Graduation</x:v>
      </x:c>
      <x:c r="D1482" s="16" t="str">
        <x:v>Married</x:v>
      </x:c>
      <x:c r="E1482" s="16" t="n">
        <x:v>19107</x:v>
      </x:c>
      <x:c r="F1482" s="16" t="n">
        <x:v>1</x:v>
      </x:c>
      <x:c r="G1482" s="16" t="n">
        <x:v>0</x:v>
      </x:c>
      <x:c r="H1482" s="16" t="str">
        <x:v>22-08-2013</x:v>
      </x:c>
      <x:c r="I1482" s="16" t="n">
        <x:v>49</x:v>
      </x:c>
      <x:c r="J1482" s="16" t="n">
        <x:v>2</x:v>
      </x:c>
      <x:c r="K1482" s="16" t="n">
        <x:v>4</x:v>
      </x:c>
      <x:c r="L1482" s="16" t="n">
        <x:v>9</x:v>
      </x:c>
      <x:c r="M1482" s="16" t="n">
        <x:v>10</x:v>
      </x:c>
      <x:c r="N1482" s="16" t="n">
        <x:v>5</x:v>
      </x:c>
      <x:c r="O1482" s="16" t="n">
        <x:v>16</x:v>
      </x:c>
      <x:c r="P1482" s="16" t="n">
        <x:v>2</x:v>
      </x:c>
      <x:c r="Q1482" s="16" t="n">
        <x:v>1</x:v>
      </x:c>
      <x:c r="R1482" s="16" t="n">
        <x:v>0</x:v>
      </x:c>
      <x:c r="S1482" s="16" t="n">
        <x:v>3</x:v>
      </x:c>
      <x:c r="T1482" s="16" t="n">
        <x:v>7</x:v>
      </x:c>
      <x:c r="U1482" s="16" t="n">
        <x:v>0</x:v>
      </x:c>
      <x:c r="V1482" s="16" t="n">
        <x:v>0</x:v>
      </x:c>
      <x:c r="W1482" s="16" t="n">
        <x:v>0</x:v>
      </x:c>
      <x:c r="X1482" s="16" t="n">
        <x:v>0</x:v>
      </x:c>
      <x:c r="Y1482" s="16" t="n">
        <x:v>0</x:v>
      </x:c>
      <x:c r="Z1482" s="16" t="n">
        <x:v>0</x:v>
      </x:c>
      <x:c r="AA1482" s="16" t="n">
        <x:v>3</x:v>
      </x:c>
      <x:c r="AB1482" s="16" t="n">
        <x:v>11</x:v>
      </x:c>
      <x:c r="AC1482" s="16" t="n">
        <x:v>0</x:v>
      </x:c>
      <x:c r="AD1482" s="21" t="n">
        <x:f>IF(E1482="",MEDIAN($E$2:$E$2237),E1482)</x:f>
        <x:v>19107</x:v>
      </x:c>
      <x:c r="AE1482" s="17" t="n">
        <x:f>2014-B1482</x:f>
        <x:v>34</x:v>
      </x:c>
      <x:c r="AF1482" s="17" t="n">
        <x:f>F1482+G1482</x:f>
        <x:v>1</x:v>
      </x:c>
      <x:c r="AG1482" s="21" t="n">
        <x:f>SUM(J1482:O1482)</x:f>
        <x:v>46</x:v>
      </x:c>
      <x:c r="AH1482" s="17" t="n">
        <x:f>SUM(Q1482:S1482)</x:f>
        <x:v>4</x:v>
      </x:c>
      <x:c r="AI1482" s="17" t="n">
        <x:f>SUM(U1482:Y1482)</x:f>
        <x:v>0</x:v>
      </x:c>
      <x:c r="AJ1482" s="17" t="str">
        <x:f>IF(AE1482&lt;=34,"≤34",IF(AE1482&lt;=44,"35–44",IF(AE1482&lt;=54,"45–54",IF(AE1482&lt;=64,"55–64","65+"))))</x:f>
        <x:v>≤34</x:v>
      </x:c>
      <x:c r="AK1482" s="17" t="str">
        <x:f>IF(AG1482&gt;=1000,"High Value",IF(AG1482&gt;=300,"Mid Value","Low Value"))</x:f>
        <x:v>Low Value</x:v>
      </x:c>
      <x:c r="AL1482" s="17" t="str">
        <x:f>IF(AND(AI1482&gt;=1,I1482&lt;=50),"Priority 1",IF(AND(AG1482&gt;=1000,I1482&lt;=60),"Priority 2",IF(I1482&lt;=30,"Priority 3","Nurture")))</x:f>
        <x:v>Nurture</x:v>
      </x:c>
    </x:row>
    <x:row r="1483">
      <x:c r="A1483" s="16" t="n">
        <x:v>8370</x:v>
      </x:c>
      <x:c r="B1483" s="16" t="n">
        <x:v>1976</x:v>
      </x:c>
      <x:c r="C1483" s="16" t="str">
        <x:v>2n Cycle</x:v>
      </x:c>
      <x:c r="D1483" s="16" t="str">
        <x:v>Together</x:v>
      </x:c>
      <x:c r="E1483" s="16" t="n">
        <x:v>75484</x:v>
      </x:c>
      <x:c r="F1483" s="16" t="n">
        <x:v>0</x:v>
      </x:c>
      <x:c r="G1483" s="16" t="n">
        <x:v>1</x:v>
      </x:c>
      <x:c r="H1483" s="16" t="str">
        <x:v>02-08-2012</x:v>
      </x:c>
      <x:c r="I1483" s="16" t="n">
        <x:v>50</x:v>
      </x:c>
      <x:c r="J1483" s="16" t="n">
        <x:v>378</x:v>
      </x:c>
      <x:c r="K1483" s="16" t="n">
        <x:v>97</x:v>
      </x:c>
      <x:c r="L1483" s="16" t="n">
        <x:v>259</x:v>
      </x:c>
      <x:c r="M1483" s="16" t="n">
        <x:v>197</x:v>
      </x:c>
      <x:c r="N1483" s="16" t="n">
        <x:v>194</x:v>
      </x:c>
      <x:c r="O1483" s="16" t="n">
        <x:v>34</x:v>
      </x:c>
      <x:c r="P1483" s="16" t="n">
        <x:v>2</x:v>
      </x:c>
      <x:c r="Q1483" s="16" t="n">
        <x:v>7</x:v>
      </x:c>
      <x:c r="R1483" s="16" t="n">
        <x:v>3</x:v>
      </x:c>
      <x:c r="S1483" s="16" t="n">
        <x:v>6</x:v>
      </x:c>
      <x:c r="T1483" s="16" t="n">
        <x:v>4</x:v>
      </x:c>
      <x:c r="U1483" s="16" t="n">
        <x:v>0</x:v>
      </x:c>
      <x:c r="V1483" s="16" t="n">
        <x:v>0</x:v>
      </x:c>
      <x:c r="W1483" s="16" t="n">
        <x:v>0</x:v>
      </x:c>
      <x:c r="X1483" s="16" t="n">
        <x:v>0</x:v>
      </x:c>
      <x:c r="Y1483" s="16" t="n">
        <x:v>0</x:v>
      </x:c>
      <x:c r="Z1483" s="16" t="n">
        <x:v>0</x:v>
      </x:c>
      <x:c r="AA1483" s="16" t="n">
        <x:v>3</x:v>
      </x:c>
      <x:c r="AB1483" s="16" t="n">
        <x:v>11</x:v>
      </x:c>
      <x:c r="AC1483" s="16" t="n">
        <x:v>0</x:v>
      </x:c>
      <x:c r="AD1483" s="21" t="n">
        <x:f>IF(E1483="",MEDIAN($E$2:$E$2237),E1483)</x:f>
        <x:v>75484</x:v>
      </x:c>
      <x:c r="AE1483" s="17" t="n">
        <x:f>2014-B1483</x:f>
        <x:v>38</x:v>
      </x:c>
      <x:c r="AF1483" s="17" t="n">
        <x:f>F1483+G1483</x:f>
        <x:v>1</x:v>
      </x:c>
      <x:c r="AG1483" s="21" t="n">
        <x:f>SUM(J1483:O1483)</x:f>
        <x:v>1159</x:v>
      </x:c>
      <x:c r="AH1483" s="17" t="n">
        <x:f>SUM(Q1483:S1483)</x:f>
        <x:v>16</x:v>
      </x:c>
      <x:c r="AI1483" s="17" t="n">
        <x:f>SUM(U1483:Y1483)</x:f>
        <x:v>0</x:v>
      </x:c>
      <x:c r="AJ1483" s="17" t="str">
        <x:f>IF(AE1483&lt;=34,"≤34",IF(AE1483&lt;=44,"35–44",IF(AE1483&lt;=54,"45–54",IF(AE1483&lt;=64,"55–64","65+"))))</x:f>
        <x:v>35–44</x:v>
      </x:c>
      <x:c r="AK1483" s="17" t="str">
        <x:f>IF(AG1483&gt;=1000,"High Value",IF(AG1483&gt;=300,"Mid Value","Low Value"))</x:f>
        <x:v>High Value</x:v>
      </x:c>
      <x:c r="AL1483" s="17" t="str">
        <x:f>IF(AND(AI1483&gt;=1,I1483&lt;=50),"Priority 1",IF(AND(AG1483&gt;=1000,I1483&lt;=60),"Priority 2",IF(I1483&lt;=30,"Priority 3","Nurture")))</x:f>
        <x:v>Priority 2</x:v>
      </x:c>
    </x:row>
    <x:row r="1484">
      <x:c r="A1484" s="16" t="n">
        <x:v>9988</x:v>
      </x:c>
      <x:c r="B1484" s="16" t="n">
        <x:v>1976</x:v>
      </x:c>
      <x:c r="C1484" s="16" t="str">
        <x:v>Master</x:v>
      </x:c>
      <x:c r="D1484" s="16" t="str">
        <x:v>Single</x:v>
      </x:c>
      <x:c r="E1484" s="16" t="n">
        <x:v>70379</x:v>
      </x:c>
      <x:c r="F1484" s="16" t="n">
        <x:v>0</x:v>
      </x:c>
      <x:c r="G1484" s="16" t="n">
        <x:v>1</x:v>
      </x:c>
      <x:c r="H1484" s="16" t="str">
        <x:v>03-03-2013</x:v>
      </x:c>
      <x:c r="I1484" s="16" t="n">
        <x:v>84</x:v>
      </x:c>
      <x:c r="J1484" s="16" t="n">
        <x:v>553</x:v>
      </x:c>
      <x:c r="K1484" s="16" t="n">
        <x:v>25</x:v>
      </x:c>
      <x:c r="L1484" s="16" t="n">
        <x:v>142</x:v>
      </x:c>
      <x:c r="M1484" s="16" t="n">
        <x:v>65</x:v>
      </x:c>
      <x:c r="N1484" s="16" t="n">
        <x:v>67</x:v>
      </x:c>
      <x:c r="O1484" s="16" t="n">
        <x:v>8</x:v>
      </x:c>
      <x:c r="P1484" s="16" t="n">
        <x:v>3</x:v>
      </x:c>
      <x:c r="Q1484" s="16" t="n">
        <x:v>6</x:v>
      </x:c>
      <x:c r="R1484" s="16" t="n">
        <x:v>3</x:v>
      </x:c>
      <x:c r="S1484" s="16" t="n">
        <x:v>13</x:v>
      </x:c>
      <x:c r="T1484" s="16" t="n">
        <x:v>4</x:v>
      </x:c>
      <x:c r="U1484" s="16" t="n">
        <x:v>0</x:v>
      </x:c>
      <x:c r="V1484" s="16" t="n">
        <x:v>0</x:v>
      </x:c>
      <x:c r="W1484" s="16" t="n">
        <x:v>0</x:v>
      </x:c>
      <x:c r="X1484" s="16" t="n">
        <x:v>0</x:v>
      </x:c>
      <x:c r="Y1484" s="16" t="n">
        <x:v>0</x:v>
      </x:c>
      <x:c r="Z1484" s="16" t="n">
        <x:v>0</x:v>
      </x:c>
      <x:c r="AA1484" s="16" t="n">
        <x:v>3</x:v>
      </x:c>
      <x:c r="AB1484" s="16" t="n">
        <x:v>11</x:v>
      </x:c>
      <x:c r="AC1484" s="16" t="n">
        <x:v>0</x:v>
      </x:c>
      <x:c r="AD1484" s="21" t="n">
        <x:f>IF(E1484="",MEDIAN($E$2:$E$2237),E1484)</x:f>
        <x:v>70379</x:v>
      </x:c>
      <x:c r="AE1484" s="17" t="n">
        <x:f>2014-B1484</x:f>
        <x:v>38</x:v>
      </x:c>
      <x:c r="AF1484" s="17" t="n">
        <x:f>F1484+G1484</x:f>
        <x:v>1</x:v>
      </x:c>
      <x:c r="AG1484" s="21" t="n">
        <x:f>SUM(J1484:O1484)</x:f>
        <x:v>860</x:v>
      </x:c>
      <x:c r="AH1484" s="17" t="n">
        <x:f>SUM(Q1484:S1484)</x:f>
        <x:v>22</x:v>
      </x:c>
      <x:c r="AI1484" s="17" t="n">
        <x:f>SUM(U1484:Y1484)</x:f>
        <x:v>0</x:v>
      </x:c>
      <x:c r="AJ1484" s="17" t="str">
        <x:f>IF(AE1484&lt;=34,"≤34",IF(AE1484&lt;=44,"35–44",IF(AE1484&lt;=54,"45–54",IF(AE1484&lt;=64,"55–64","65+"))))</x:f>
        <x:v>35–44</x:v>
      </x:c>
      <x:c r="AK1484" s="17" t="str">
        <x:f>IF(AG1484&gt;=1000,"High Value",IF(AG1484&gt;=300,"Mid Value","Low Value"))</x:f>
        <x:v>Mid Value</x:v>
      </x:c>
      <x:c r="AL1484" s="17" t="str">
        <x:f>IF(AND(AI1484&gt;=1,I1484&lt;=50),"Priority 1",IF(AND(AG1484&gt;=1000,I1484&lt;=60),"Priority 2",IF(I1484&lt;=30,"Priority 3","Nurture")))</x:f>
        <x:v>Nurture</x:v>
      </x:c>
    </x:row>
    <x:row r="1485">
      <x:c r="A1485" s="16" t="n">
        <x:v>2939</x:v>
      </x:c>
      <x:c r="B1485" s="16" t="n">
        <x:v>1970</x:v>
      </x:c>
      <x:c r="C1485" s="16" t="str">
        <x:v>Master</x:v>
      </x:c>
      <x:c r="D1485" s="16" t="str">
        <x:v>Together</x:v>
      </x:c>
      <x:c r="E1485" s="16" t="n">
        <x:v>79419</x:v>
      </x:c>
      <x:c r="F1485" s="16" t="n">
        <x:v>0</x:v>
      </x:c>
      <x:c r="G1485" s="16" t="n">
        <x:v>0</x:v>
      </x:c>
      <x:c r="H1485" s="16" t="str">
        <x:v>22-06-2014</x:v>
      </x:c>
      <x:c r="I1485" s="16" t="n">
        <x:v>96</x:v>
      </x:c>
      <x:c r="J1485" s="16" t="n">
        <x:v>751</x:v>
      </x:c>
      <x:c r="K1485" s="16" t="n">
        <x:v>127</x:v>
      </x:c>
      <x:c r="L1485" s="16" t="n">
        <x:v>687</x:v>
      </x:c>
      <x:c r="M1485" s="16" t="n">
        <x:v>20</x:v>
      </x:c>
      <x:c r="N1485" s="16" t="n">
        <x:v>15</x:v>
      </x:c>
      <x:c r="O1485" s="16" t="n">
        <x:v>31</x:v>
      </x:c>
      <x:c r="P1485" s="16" t="n">
        <x:v>1</x:v>
      </x:c>
      <x:c r="Q1485" s="16" t="n">
        <x:v>4</x:v>
      </x:c>
      <x:c r="R1485" s="16" t="n">
        <x:v>6</x:v>
      </x:c>
      <x:c r="S1485" s="16" t="n">
        <x:v>4</x:v>
      </x:c>
      <x:c r="T1485" s="16" t="n">
        <x:v>2</x:v>
      </x:c>
      <x:c r="U1485" s="16" t="n">
        <x:v>0</x:v>
      </x:c>
      <x:c r="V1485" s="16" t="n">
        <x:v>0</x:v>
      </x:c>
      <x:c r="W1485" s="16" t="n">
        <x:v>0</x:v>
      </x:c>
      <x:c r="X1485" s="16" t="n">
        <x:v>0</x:v>
      </x:c>
      <x:c r="Y1485" s="16" t="n">
        <x:v>0</x:v>
      </x:c>
      <x:c r="Z1485" s="16" t="n">
        <x:v>0</x:v>
      </x:c>
      <x:c r="AA1485" s="16" t="n">
        <x:v>3</x:v>
      </x:c>
      <x:c r="AB1485" s="16" t="n">
        <x:v>11</x:v>
      </x:c>
      <x:c r="AC1485" s="16" t="n">
        <x:v>0</x:v>
      </x:c>
      <x:c r="AD1485" s="21" t="n">
        <x:f>IF(E1485="",MEDIAN($E$2:$E$2237),E1485)</x:f>
        <x:v>79419</x:v>
      </x:c>
      <x:c r="AE1485" s="17" t="n">
        <x:f>2014-B1485</x:f>
        <x:v>44</x:v>
      </x:c>
      <x:c r="AF1485" s="17" t="n">
        <x:f>F1485+G1485</x:f>
        <x:v>0</x:v>
      </x:c>
      <x:c r="AG1485" s="21" t="n">
        <x:f>SUM(J1485:O1485)</x:f>
        <x:v>1631</x:v>
      </x:c>
      <x:c r="AH1485" s="17" t="n">
        <x:f>SUM(Q1485:S1485)</x:f>
        <x:v>14</x:v>
      </x:c>
      <x:c r="AI1485" s="17" t="n">
        <x:f>SUM(U1485:Y1485)</x:f>
        <x:v>0</x:v>
      </x:c>
      <x:c r="AJ1485" s="17" t="str">
        <x:f>IF(AE1485&lt;=34,"≤34",IF(AE1485&lt;=44,"35–44",IF(AE1485&lt;=54,"45–54",IF(AE1485&lt;=64,"55–64","65+"))))</x:f>
        <x:v>35–44</x:v>
      </x:c>
      <x:c r="AK1485" s="17" t="str">
        <x:f>IF(AG1485&gt;=1000,"High Value",IF(AG1485&gt;=300,"Mid Value","Low Value"))</x:f>
        <x:v>High Value</x:v>
      </x:c>
      <x:c r="AL1485" s="17" t="str">
        <x:f>IF(AND(AI1485&gt;=1,I1485&lt;=50),"Priority 1",IF(AND(AG1485&gt;=1000,I1485&lt;=60),"Priority 2",IF(I1485&lt;=30,"Priority 3","Nurture")))</x:f>
        <x:v>Nurture</x:v>
      </x:c>
    </x:row>
    <x:row r="1486">
      <x:c r="A1486" s="16" t="n">
        <x:v>5529</x:v>
      </x:c>
      <x:c r="B1486" s="16" t="n">
        <x:v>1946</x:v>
      </x:c>
      <x:c r="C1486" s="16" t="str">
        <x:v>PhD</x:v>
      </x:c>
      <x:c r="D1486" s="16" t="str">
        <x:v>Together</x:v>
      </x:c>
      <x:c r="E1486" s="16" t="n">
        <x:v>64014</x:v>
      </x:c>
      <x:c r="F1486" s="16" t="n">
        <x:v>2</x:v>
      </x:c>
      <x:c r="G1486" s="16" t="n">
        <x:v>1</x:v>
      </x:c>
      <x:c r="H1486" s="16" t="str">
        <x:v>10-06-2014</x:v>
      </x:c>
      <x:c r="I1486" s="16" t="n">
        <x:v>56</x:v>
      </x:c>
      <x:c r="J1486" s="16" t="n">
        <x:v>406</x:v>
      </x:c>
      <x:c r="K1486" s="16" t="n">
        <x:v>0</x:v>
      </x:c>
      <x:c r="L1486" s="16" t="n">
        <x:v>30</x:v>
      </x:c>
      <x:c r="M1486" s="16" t="n">
        <x:v>0</x:v>
      </x:c>
      <x:c r="N1486" s="16" t="n">
        <x:v>0</x:v>
      </x:c>
      <x:c r="O1486" s="16" t="n">
        <x:v>8</x:v>
      </x:c>
      <x:c r="P1486" s="16" t="n">
        <x:v>7</x:v>
      </x:c>
      <x:c r="Q1486" s="16" t="n">
        <x:v>8</x:v>
      </x:c>
      <x:c r="R1486" s="16" t="n">
        <x:v>2</x:v>
      </x:c>
      <x:c r="S1486" s="16" t="n">
        <x:v>5</x:v>
      </x:c>
      <x:c r="T1486" s="16" t="n">
        <x:v>7</x:v>
      </x:c>
      <x:c r="U1486" s="16" t="n">
        <x:v>0</x:v>
      </x:c>
      <x:c r="V1486" s="16" t="n">
        <x:v>0</x:v>
      </x:c>
      <x:c r="W1486" s="16" t="n">
        <x:v>0</x:v>
      </x:c>
      <x:c r="X1486" s="16" t="n">
        <x:v>1</x:v>
      </x:c>
      <x:c r="Y1486" s="16" t="n">
        <x:v>0</x:v>
      </x:c>
      <x:c r="Z1486" s="16" t="n">
        <x:v>0</x:v>
      </x:c>
      <x:c r="AA1486" s="16" t="n">
        <x:v>3</x:v>
      </x:c>
      <x:c r="AB1486" s="16" t="n">
        <x:v>11</x:v>
      </x:c>
      <x:c r="AC1486" s="16" t="n">
        <x:v>0</x:v>
      </x:c>
      <x:c r="AD1486" s="21" t="n">
        <x:f>IF(E1486="",MEDIAN($E$2:$E$2237),E1486)</x:f>
        <x:v>64014</x:v>
      </x:c>
      <x:c r="AE1486" s="17" t="n">
        <x:f>2014-B1486</x:f>
        <x:v>68</x:v>
      </x:c>
      <x:c r="AF1486" s="17" t="n">
        <x:f>F1486+G1486</x:f>
        <x:v>3</x:v>
      </x:c>
      <x:c r="AG1486" s="21" t="n">
        <x:f>SUM(J1486:O1486)</x:f>
        <x:v>444</x:v>
      </x:c>
      <x:c r="AH1486" s="17" t="n">
        <x:f>SUM(Q1486:S1486)</x:f>
        <x:v>15</x:v>
      </x:c>
      <x:c r="AI1486" s="17" t="n">
        <x:f>SUM(U1486:Y1486)</x:f>
        <x:v>1</x:v>
      </x:c>
      <x:c r="AJ1486" s="17" t="str">
        <x:f>IF(AE1486&lt;=34,"≤34",IF(AE1486&lt;=44,"35–44",IF(AE1486&lt;=54,"45–54",IF(AE1486&lt;=64,"55–64","65+"))))</x:f>
        <x:v>65+</x:v>
      </x:c>
      <x:c r="AK1486" s="17" t="str">
        <x:f>IF(AG1486&gt;=1000,"High Value",IF(AG1486&gt;=300,"Mid Value","Low Value"))</x:f>
        <x:v>Mid Value</x:v>
      </x:c>
      <x:c r="AL1486" s="17" t="str">
        <x:f>IF(AND(AI1486&gt;=1,I1486&lt;=50),"Priority 1",IF(AND(AG1486&gt;=1000,I1486&lt;=60),"Priority 2",IF(I1486&lt;=30,"Priority 3","Nurture")))</x:f>
        <x:v>Nurture</x:v>
      </x:c>
    </x:row>
    <x:row r="1487">
      <x:c r="A1487" s="16" t="n">
        <x:v>9743</x:v>
      </x:c>
      <x:c r="B1487" s="16" t="n">
        <x:v>1955</x:v>
      </x:c>
      <x:c r="C1487" s="16" t="str">
        <x:v>Graduation</x:v>
      </x:c>
      <x:c r="D1487" s="16" t="str">
        <x:v>Married</x:v>
      </x:c>
      <x:c r="E1487" s="16" t="n">
        <x:v>76998</x:v>
      </x:c>
      <x:c r="F1487" s="16" t="n">
        <x:v>0</x:v>
      </x:c>
      <x:c r="G1487" s="16" t="n">
        <x:v>1</x:v>
      </x:c>
      <x:c r="H1487" s="16" t="str">
        <x:v>11-01-2013</x:v>
      </x:c>
      <x:c r="I1487" s="16" t="n">
        <x:v>85</x:v>
      </x:c>
      <x:c r="J1487" s="16" t="n">
        <x:v>1449</x:v>
      </x:c>
      <x:c r="K1487" s="16" t="n">
        <x:v>89</x:v>
      </x:c>
      <x:c r="L1487" s="16" t="n">
        <x:v>161</x:v>
      </x:c>
      <x:c r="M1487" s="16" t="n">
        <x:v>69</x:v>
      </x:c>
      <x:c r="N1487" s="16" t="n">
        <x:v>35</x:v>
      </x:c>
      <x:c r="O1487" s="16" t="n">
        <x:v>107</x:v>
      </x:c>
      <x:c r="P1487" s="16" t="n">
        <x:v>2</x:v>
      </x:c>
      <x:c r="Q1487" s="16" t="n">
        <x:v>11</x:v>
      </x:c>
      <x:c r="R1487" s="16" t="n">
        <x:v>8</x:v>
      </x:c>
      <x:c r="S1487" s="16" t="n">
        <x:v>8</x:v>
      </x:c>
      <x:c r="T1487" s="16" t="n">
        <x:v>6</x:v>
      </x:c>
      <x:c r="U1487" s="16" t="n">
        <x:v>0</x:v>
      </x:c>
      <x:c r="V1487" s="16" t="n">
        <x:v>0</x:v>
      </x:c>
      <x:c r="W1487" s="16" t="n">
        <x:v>1</x:v>
      </x:c>
      <x:c r="X1487" s="16" t="n">
        <x:v>0</x:v>
      </x:c>
      <x:c r="Y1487" s="16" t="n">
        <x:v>0</x:v>
      </x:c>
      <x:c r="Z1487" s="16" t="n">
        <x:v>0</x:v>
      </x:c>
      <x:c r="AA1487" s="16" t="n">
        <x:v>3</x:v>
      </x:c>
      <x:c r="AB1487" s="16" t="n">
        <x:v>11</x:v>
      </x:c>
      <x:c r="AC1487" s="16" t="n">
        <x:v>0</x:v>
      </x:c>
      <x:c r="AD1487" s="21" t="n">
        <x:f>IF(E1487="",MEDIAN($E$2:$E$2237),E1487)</x:f>
        <x:v>76998</x:v>
      </x:c>
      <x:c r="AE1487" s="17" t="n">
        <x:f>2014-B1487</x:f>
        <x:v>59</x:v>
      </x:c>
      <x:c r="AF1487" s="17" t="n">
        <x:f>F1487+G1487</x:f>
        <x:v>1</x:v>
      </x:c>
      <x:c r="AG1487" s="21" t="n">
        <x:f>SUM(J1487:O1487)</x:f>
        <x:v>1910</x:v>
      </x:c>
      <x:c r="AH1487" s="17" t="n">
        <x:f>SUM(Q1487:S1487)</x:f>
        <x:v>27</x:v>
      </x:c>
      <x:c r="AI1487" s="17" t="n">
        <x:f>SUM(U1487:Y1487)</x:f>
        <x:v>1</x:v>
      </x:c>
      <x:c r="AJ1487" s="17" t="str">
        <x:f>IF(AE1487&lt;=34,"≤34",IF(AE1487&lt;=44,"35–44",IF(AE1487&lt;=54,"45–54",IF(AE1487&lt;=64,"55–64","65+"))))</x:f>
        <x:v>55–64</x:v>
      </x:c>
      <x:c r="AK1487" s="17" t="str">
        <x:f>IF(AG1487&gt;=1000,"High Value",IF(AG1487&gt;=300,"Mid Value","Low Value"))</x:f>
        <x:v>High Value</x:v>
      </x:c>
      <x:c r="AL1487" s="17" t="str">
        <x:f>IF(AND(AI1487&gt;=1,I1487&lt;=50),"Priority 1",IF(AND(AG1487&gt;=1000,I1487&lt;=60),"Priority 2",IF(I1487&lt;=30,"Priority 3","Nurture")))</x:f>
        <x:v>Nurture</x:v>
      </x:c>
    </x:row>
    <x:row r="1488">
      <x:c r="A1488" s="16" t="n">
        <x:v>5763</x:v>
      </x:c>
      <x:c r="B1488" s="16" t="n">
        <x:v>1972</x:v>
      </x:c>
      <x:c r="C1488" s="16" t="str">
        <x:v>Master</x:v>
      </x:c>
      <x:c r="D1488" s="16" t="str">
        <x:v>Together</x:v>
      </x:c>
      <x:c r="E1488" s="16" t="n">
        <x:v>49854</x:v>
      </x:c>
      <x:c r="F1488" s="16" t="n">
        <x:v>1</x:v>
      </x:c>
      <x:c r="G1488" s="16" t="n">
        <x:v>0</x:v>
      </x:c>
      <x:c r="H1488" s="16" t="str">
        <x:v>10-11-2013</x:v>
      </x:c>
      <x:c r="I1488" s="16" t="n">
        <x:v>63</x:v>
      </x:c>
      <x:c r="J1488" s="16" t="n">
        <x:v>123</x:v>
      </x:c>
      <x:c r="K1488" s="16" t="n">
        <x:v>17</x:v>
      </x:c>
      <x:c r="L1488" s="16" t="n">
        <x:v>171</x:v>
      </x:c>
      <x:c r="M1488" s="16" t="n">
        <x:v>39</x:v>
      </x:c>
      <x:c r="N1488" s="16" t="n">
        <x:v>0</x:v>
      </x:c>
      <x:c r="O1488" s="16" t="n">
        <x:v>30</x:v>
      </x:c>
      <x:c r="P1488" s="16" t="n">
        <x:v>5</x:v>
      </x:c>
      <x:c r="Q1488" s="16" t="n">
        <x:v>6</x:v>
      </x:c>
      <x:c r="R1488" s="16" t="n">
        <x:v>2</x:v>
      </x:c>
      <x:c r="S1488" s="16" t="n">
        <x:v>5</x:v>
      </x:c>
      <x:c r="T1488" s="16" t="n">
        <x:v>6</x:v>
      </x:c>
      <x:c r="U1488" s="16" t="n">
        <x:v>0</x:v>
      </x:c>
      <x:c r="V1488" s="16" t="n">
        <x:v>0</x:v>
      </x:c>
      <x:c r="W1488" s="16" t="n">
        <x:v>0</x:v>
      </x:c>
      <x:c r="X1488" s="16" t="n">
        <x:v>0</x:v>
      </x:c>
      <x:c r="Y1488" s="16" t="n">
        <x:v>0</x:v>
      </x:c>
      <x:c r="Z1488" s="16" t="n">
        <x:v>0</x:v>
      </x:c>
      <x:c r="AA1488" s="16" t="n">
        <x:v>3</x:v>
      </x:c>
      <x:c r="AB1488" s="16" t="n">
        <x:v>11</x:v>
      </x:c>
      <x:c r="AC1488" s="16" t="n">
        <x:v>0</x:v>
      </x:c>
      <x:c r="AD1488" s="21" t="n">
        <x:f>IF(E1488="",MEDIAN($E$2:$E$2237),E1488)</x:f>
        <x:v>49854</x:v>
      </x:c>
      <x:c r="AE1488" s="17" t="n">
        <x:f>2014-B1488</x:f>
        <x:v>42</x:v>
      </x:c>
      <x:c r="AF1488" s="17" t="n">
        <x:f>F1488+G1488</x:f>
        <x:v>1</x:v>
      </x:c>
      <x:c r="AG1488" s="21" t="n">
        <x:f>SUM(J1488:O1488)</x:f>
        <x:v>380</x:v>
      </x:c>
      <x:c r="AH1488" s="17" t="n">
        <x:f>SUM(Q1488:S1488)</x:f>
        <x:v>13</x:v>
      </x:c>
      <x:c r="AI1488" s="17" t="n">
        <x:f>SUM(U1488:Y1488)</x:f>
        <x:v>0</x:v>
      </x:c>
      <x:c r="AJ1488" s="17" t="str">
        <x:f>IF(AE1488&lt;=34,"≤34",IF(AE1488&lt;=44,"35–44",IF(AE1488&lt;=54,"45–54",IF(AE1488&lt;=64,"55–64","65+"))))</x:f>
        <x:v>35–44</x:v>
      </x:c>
      <x:c r="AK1488" s="17" t="str">
        <x:f>IF(AG1488&gt;=1000,"High Value",IF(AG1488&gt;=300,"Mid Value","Low Value"))</x:f>
        <x:v>Mid Value</x:v>
      </x:c>
      <x:c r="AL1488" s="17" t="str">
        <x:f>IF(AND(AI1488&gt;=1,I1488&lt;=50),"Priority 1",IF(AND(AG1488&gt;=1000,I1488&lt;=60),"Priority 2",IF(I1488&lt;=30,"Priority 3","Nurture")))</x:f>
        <x:v>Nurture</x:v>
      </x:c>
    </x:row>
    <x:row r="1489">
      <x:c r="A1489" s="16" t="n">
        <x:v>3478</x:v>
      </x:c>
      <x:c r="B1489" s="16" t="n">
        <x:v>1971</x:v>
      </x:c>
      <x:c r="C1489" s="16" t="str">
        <x:v>PhD</x:v>
      </x:c>
      <x:c r="D1489" s="16" t="str">
        <x:v>Married</x:v>
      </x:c>
      <x:c r="E1489" s="16" t="n">
        <x:v>60585</x:v>
      </x:c>
      <x:c r="F1489" s="16" t="n">
        <x:v>1</x:v>
      </x:c>
      <x:c r="G1489" s="16" t="n">
        <x:v>1</x:v>
      </x:c>
      <x:c r="H1489" s="16" t="str">
        <x:v>24-06-2013</x:v>
      </x:c>
      <x:c r="I1489" s="16" t="n">
        <x:v>17</x:v>
      </x:c>
      <x:c r="J1489" s="16" t="n">
        <x:v>267</x:v>
      </x:c>
      <x:c r="K1489" s="16" t="n">
        <x:v>42</x:v>
      </x:c>
      <x:c r="L1489" s="16" t="n">
        <x:v>309</x:v>
      </x:c>
      <x:c r="M1489" s="16" t="n">
        <x:v>55</x:v>
      </x:c>
      <x:c r="N1489" s="16" t="n">
        <x:v>42</x:v>
      </x:c>
      <x:c r="O1489" s="16" t="n">
        <x:v>21</x:v>
      </x:c>
      <x:c r="P1489" s="16" t="n">
        <x:v>10</x:v>
      </x:c>
      <x:c r="Q1489" s="16" t="n">
        <x:v>7</x:v>
      </x:c>
      <x:c r="R1489" s="16" t="n">
        <x:v>4</x:v>
      </x:c>
      <x:c r="S1489" s="16" t="n">
        <x:v>9</x:v>
      </x:c>
      <x:c r="T1489" s="16" t="n">
        <x:v>5</x:v>
      </x:c>
      <x:c r="U1489" s="16" t="n">
        <x:v>0</x:v>
      </x:c>
      <x:c r="V1489" s="16" t="n">
        <x:v>0</x:v>
      </x:c>
      <x:c r="W1489" s="16" t="n">
        <x:v>0</x:v>
      </x:c>
      <x:c r="X1489" s="16" t="n">
        <x:v>0</x:v>
      </x:c>
      <x:c r="Y1489" s="16" t="n">
        <x:v>0</x:v>
      </x:c>
      <x:c r="Z1489" s="16" t="n">
        <x:v>0</x:v>
      </x:c>
      <x:c r="AA1489" s="16" t="n">
        <x:v>3</x:v>
      </x:c>
      <x:c r="AB1489" s="16" t="n">
        <x:v>11</x:v>
      </x:c>
      <x:c r="AC1489" s="16" t="n">
        <x:v>1</x:v>
      </x:c>
      <x:c r="AD1489" s="21" t="n">
        <x:f>IF(E1489="",MEDIAN($E$2:$E$2237),E1489)</x:f>
        <x:v>60585</x:v>
      </x:c>
      <x:c r="AE1489" s="17" t="n">
        <x:f>2014-B1489</x:f>
        <x:v>43</x:v>
      </x:c>
      <x:c r="AF1489" s="17" t="n">
        <x:f>F1489+G1489</x:f>
        <x:v>2</x:v>
      </x:c>
      <x:c r="AG1489" s="21" t="n">
        <x:f>SUM(J1489:O1489)</x:f>
        <x:v>736</x:v>
      </x:c>
      <x:c r="AH1489" s="17" t="n">
        <x:f>SUM(Q1489:S1489)</x:f>
        <x:v>20</x:v>
      </x:c>
      <x:c r="AI1489" s="17" t="n">
        <x:f>SUM(U1489:Y1489)</x:f>
        <x:v>0</x:v>
      </x:c>
      <x:c r="AJ1489" s="17" t="str">
        <x:f>IF(AE1489&lt;=34,"≤34",IF(AE1489&lt;=44,"35–44",IF(AE1489&lt;=54,"45–54",IF(AE1489&lt;=64,"55–64","65+"))))</x:f>
        <x:v>35–44</x:v>
      </x:c>
      <x:c r="AK1489" s="17" t="str">
        <x:f>IF(AG1489&gt;=1000,"High Value",IF(AG1489&gt;=300,"Mid Value","Low Value"))</x:f>
        <x:v>Mid Value</x:v>
      </x:c>
      <x:c r="AL1489" s="17" t="str">
        <x:f>IF(AND(AI1489&gt;=1,I1489&lt;=50),"Priority 1",IF(AND(AG1489&gt;=1000,I1489&lt;=60),"Priority 2",IF(I1489&lt;=30,"Priority 3","Nurture")))</x:f>
        <x:v>Priority 3</x:v>
      </x:c>
    </x:row>
    <x:row r="1490">
      <x:c r="A1490" s="16" t="n">
        <x:v>7494</x:v>
      </x:c>
      <x:c r="B1490" s="16" t="n">
        <x:v>1950</x:v>
      </x:c>
      <x:c r="C1490" s="16" t="str">
        <x:v>PhD</x:v>
      </x:c>
      <x:c r="D1490" s="16" t="str">
        <x:v>Divorced</x:v>
      </x:c>
      <x:c r="E1490" s="16" t="n">
        <x:v>42873</x:v>
      </x:c>
      <x:c r="F1490" s="16" t="n">
        <x:v>1</x:v>
      </x:c>
      <x:c r="G1490" s="16" t="n">
        <x:v>1</x:v>
      </x:c>
      <x:c r="H1490" s="16" t="str">
        <x:v>21-01-2013</x:v>
      </x:c>
      <x:c r="I1490" s="16" t="n">
        <x:v>11</x:v>
      </x:c>
      <x:c r="J1490" s="16" t="n">
        <x:v>209</x:v>
      </x:c>
      <x:c r="K1490" s="16" t="n">
        <x:v>0</x:v>
      </x:c>
      <x:c r="L1490" s="16" t="n">
        <x:v>40</x:v>
      </x:c>
      <x:c r="M1490" s="16" t="n">
        <x:v>3</x:v>
      </x:c>
      <x:c r="N1490" s="16" t="n">
        <x:v>2</x:v>
      </x:c>
      <x:c r="O1490" s="16" t="n">
        <x:v>15</x:v>
      </x:c>
      <x:c r="P1490" s="16" t="n">
        <x:v>4</x:v>
      </x:c>
      <x:c r="Q1490" s="16" t="n">
        <x:v>6</x:v>
      </x:c>
      <x:c r="R1490" s="16" t="n">
        <x:v>1</x:v>
      </x:c>
      <x:c r="S1490" s="16" t="n">
        <x:v>4</x:v>
      </x:c>
      <x:c r="T1490" s="16" t="n">
        <x:v>8</x:v>
      </x:c>
      <x:c r="U1490" s="16" t="n">
        <x:v>0</x:v>
      </x:c>
      <x:c r="V1490" s="16" t="n">
        <x:v>0</x:v>
      </x:c>
      <x:c r="W1490" s="16" t="n">
        <x:v>0</x:v>
      </x:c>
      <x:c r="X1490" s="16" t="n">
        <x:v>0</x:v>
      </x:c>
      <x:c r="Y1490" s="16" t="n">
        <x:v>0</x:v>
      </x:c>
      <x:c r="Z1490" s="16" t="n">
        <x:v>0</x:v>
      </x:c>
      <x:c r="AA1490" s="16" t="n">
        <x:v>3</x:v>
      </x:c>
      <x:c r="AB1490" s="16" t="n">
        <x:v>11</x:v>
      </x:c>
      <x:c r="AC1490" s="16" t="n">
        <x:v>0</x:v>
      </x:c>
      <x:c r="AD1490" s="21" t="n">
        <x:f>IF(E1490="",MEDIAN($E$2:$E$2237),E1490)</x:f>
        <x:v>42873</x:v>
      </x:c>
      <x:c r="AE1490" s="17" t="n">
        <x:f>2014-B1490</x:f>
        <x:v>64</x:v>
      </x:c>
      <x:c r="AF1490" s="17" t="n">
        <x:f>F1490+G1490</x:f>
        <x:v>2</x:v>
      </x:c>
      <x:c r="AG1490" s="21" t="n">
        <x:f>SUM(J1490:O1490)</x:f>
        <x:v>269</x:v>
      </x:c>
      <x:c r="AH1490" s="17" t="n">
        <x:f>SUM(Q1490:S1490)</x:f>
        <x:v>11</x:v>
      </x:c>
      <x:c r="AI1490" s="17" t="n">
        <x:f>SUM(U1490:Y1490)</x:f>
        <x:v>0</x:v>
      </x:c>
      <x:c r="AJ1490" s="17" t="str">
        <x:f>IF(AE1490&lt;=34,"≤34",IF(AE1490&lt;=44,"35–44",IF(AE1490&lt;=54,"45–54",IF(AE1490&lt;=64,"55–64","65+"))))</x:f>
        <x:v>55–64</x:v>
      </x:c>
      <x:c r="AK1490" s="17" t="str">
        <x:f>IF(AG1490&gt;=1000,"High Value",IF(AG1490&gt;=300,"Mid Value","Low Value"))</x:f>
        <x:v>Low Value</x:v>
      </x:c>
      <x:c r="AL1490" s="17" t="str">
        <x:f>IF(AND(AI1490&gt;=1,I1490&lt;=50),"Priority 1",IF(AND(AG1490&gt;=1000,I1490&lt;=60),"Priority 2",IF(I1490&lt;=30,"Priority 3","Nurture")))</x:f>
        <x:v>Priority 3</x:v>
      </x:c>
    </x:row>
    <x:row r="1491">
      <x:c r="A1491" s="16" t="n">
        <x:v>1763</x:v>
      </x:c>
      <x:c r="B1491" s="16" t="n">
        <x:v>1988</x:v>
      </x:c>
      <x:c r="C1491" s="16" t="str">
        <x:v>Graduation</x:v>
      </x:c>
      <x:c r="D1491" s="16" t="str">
        <x:v>Together</x:v>
      </x:c>
      <x:c r="E1491" s="16" t="n">
        <x:v>87679</x:v>
      </x:c>
      <x:c r="F1491" s="16" t="n">
        <x:v>0</x:v>
      </x:c>
      <x:c r="G1491" s="16" t="n">
        <x:v>0</x:v>
      </x:c>
      <x:c r="H1491" s="16" t="str">
        <x:v>27-07-2013</x:v>
      </x:c>
      <x:c r="I1491" s="16" t="n">
        <x:v>62</x:v>
      </x:c>
      <x:c r="J1491" s="16" t="n">
        <x:v>1259</x:v>
      </x:c>
      <x:c r="K1491" s="16" t="n">
        <x:v>172</x:v>
      </x:c>
      <x:c r="L1491" s="16" t="n">
        <x:v>815</x:v>
      </x:c>
      <x:c r="M1491" s="16" t="n">
        <x:v>97</x:v>
      </x:c>
      <x:c r="N1491" s="16" t="n">
        <x:v>148</x:v>
      </x:c>
      <x:c r="O1491" s="16" t="n">
        <x:v>33</x:v>
      </x:c>
      <x:c r="P1491" s="16" t="n">
        <x:v>1</x:v>
      </x:c>
      <x:c r="Q1491" s="16" t="n">
        <x:v>7</x:v>
      </x:c>
      <x:c r="R1491" s="16" t="n">
        <x:v>11</x:v>
      </x:c>
      <x:c r="S1491" s="16" t="n">
        <x:v>10</x:v>
      </x:c>
      <x:c r="T1491" s="16" t="n">
        <x:v>4</x:v>
      </x:c>
      <x:c r="U1491" s="16" t="n">
        <x:v>1</x:v>
      </x:c>
      <x:c r="V1491" s="16" t="n">
        <x:v>0</x:v>
      </x:c>
      <x:c r="W1491" s="16" t="n">
        <x:v>1</x:v>
      </x:c>
      <x:c r="X1491" s="16" t="n">
        <x:v>1</x:v>
      </x:c>
      <x:c r="Y1491" s="16" t="n">
        <x:v>0</x:v>
      </x:c>
      <x:c r="Z1491" s="16" t="n">
        <x:v>0</x:v>
      </x:c>
      <x:c r="AA1491" s="16" t="n">
        <x:v>3</x:v>
      </x:c>
      <x:c r="AB1491" s="16" t="n">
        <x:v>11</x:v>
      </x:c>
      <x:c r="AC1491" s="16" t="n">
        <x:v>1</x:v>
      </x:c>
      <x:c r="AD1491" s="21" t="n">
        <x:f>IF(E1491="",MEDIAN($E$2:$E$2237),E1491)</x:f>
        <x:v>87679</x:v>
      </x:c>
      <x:c r="AE1491" s="17" t="n">
        <x:f>2014-B1491</x:f>
        <x:v>26</x:v>
      </x:c>
      <x:c r="AF1491" s="17" t="n">
        <x:f>F1491+G1491</x:f>
        <x:v>0</x:v>
      </x:c>
      <x:c r="AG1491" s="21" t="n">
        <x:f>SUM(J1491:O1491)</x:f>
        <x:v>2524</x:v>
      </x:c>
      <x:c r="AH1491" s="17" t="n">
        <x:f>SUM(Q1491:S1491)</x:f>
        <x:v>28</x:v>
      </x:c>
      <x:c r="AI1491" s="17" t="n">
        <x:f>SUM(U1491:Y1491)</x:f>
        <x:v>3</x:v>
      </x:c>
      <x:c r="AJ1491" s="17" t="str">
        <x:f>IF(AE1491&lt;=34,"≤34",IF(AE1491&lt;=44,"35–44",IF(AE1491&lt;=54,"45–54",IF(AE1491&lt;=64,"55–64","65+"))))</x:f>
        <x:v>≤34</x:v>
      </x:c>
      <x:c r="AK1491" s="17" t="str">
        <x:f>IF(AG1491&gt;=1000,"High Value",IF(AG1491&gt;=300,"Mid Value","Low Value"))</x:f>
        <x:v>High Value</x:v>
      </x:c>
      <x:c r="AL1491" s="17" t="str">
        <x:f>IF(AND(AI1491&gt;=1,I1491&lt;=50),"Priority 1",IF(AND(AG1491&gt;=1000,I1491&lt;=60),"Priority 2",IF(I1491&lt;=30,"Priority 3","Nurture")))</x:f>
        <x:v>Nurture</x:v>
      </x:c>
    </x:row>
    <x:row r="1492">
      <x:c r="A1492" s="16" t="n">
        <x:v>7250</x:v>
      </x:c>
      <x:c r="B1492" s="16" t="n">
        <x:v>1978</x:v>
      </x:c>
      <x:c r="C1492" s="16" t="str">
        <x:v>Graduation</x:v>
      </x:c>
      <x:c r="D1492" s="16" t="str">
        <x:v>Together</x:v>
      </x:c>
      <x:c r="E1492" s="16" t="n">
        <x:v>57867</x:v>
      </x:c>
      <x:c r="F1492" s="16" t="n">
        <x:v>1</x:v>
      </x:c>
      <x:c r="G1492" s="16" t="n">
        <x:v>0</x:v>
      </x:c>
      <x:c r="H1492" s="16" t="str">
        <x:v>01-10-2013</x:v>
      </x:c>
      <x:c r="I1492" s="16" t="n">
        <x:v>48</x:v>
      </x:c>
      <x:c r="J1492" s="16" t="n">
        <x:v>344</x:v>
      </x:c>
      <x:c r="K1492" s="16" t="n">
        <x:v>35</x:v>
      </x:c>
      <x:c r="L1492" s="16" t="n">
        <x:v>178</x:v>
      </x:c>
      <x:c r="M1492" s="16" t="n">
        <x:v>15</x:v>
      </x:c>
      <x:c r="N1492" s="16" t="n">
        <x:v>23</x:v>
      </x:c>
      <x:c r="O1492" s="16" t="n">
        <x:v>17</x:v>
      </x:c>
      <x:c r="P1492" s="16" t="n">
        <x:v>7</x:v>
      </x:c>
      <x:c r="Q1492" s="16" t="n">
        <x:v>7</x:v>
      </x:c>
      <x:c r="R1492" s="16" t="n">
        <x:v>2</x:v>
      </x:c>
      <x:c r="S1492" s="16" t="n">
        <x:v>9</x:v>
      </x:c>
      <x:c r="T1492" s="16" t="n">
        <x:v>6</x:v>
      </x:c>
      <x:c r="U1492" s="16" t="n">
        <x:v>0</x:v>
      </x:c>
      <x:c r="V1492" s="16" t="n">
        <x:v>0</x:v>
      </x:c>
      <x:c r="W1492" s="16" t="n">
        <x:v>0</x:v>
      </x:c>
      <x:c r="X1492" s="16" t="n">
        <x:v>0</x:v>
      </x:c>
      <x:c r="Y1492" s="16" t="n">
        <x:v>0</x:v>
      </x:c>
      <x:c r="Z1492" s="16" t="n">
        <x:v>0</x:v>
      </x:c>
      <x:c r="AA1492" s="16" t="n">
        <x:v>3</x:v>
      </x:c>
      <x:c r="AB1492" s="16" t="n">
        <x:v>11</x:v>
      </x:c>
      <x:c r="AC1492" s="16" t="n">
        <x:v>0</x:v>
      </x:c>
      <x:c r="AD1492" s="21" t="n">
        <x:f>IF(E1492="",MEDIAN($E$2:$E$2237),E1492)</x:f>
        <x:v>57867</x:v>
      </x:c>
      <x:c r="AE1492" s="17" t="n">
        <x:f>2014-B1492</x:f>
        <x:v>36</x:v>
      </x:c>
      <x:c r="AF1492" s="17" t="n">
        <x:f>F1492+G1492</x:f>
        <x:v>1</x:v>
      </x:c>
      <x:c r="AG1492" s="21" t="n">
        <x:f>SUM(J1492:O1492)</x:f>
        <x:v>612</x:v>
      </x:c>
      <x:c r="AH1492" s="17" t="n">
        <x:f>SUM(Q1492:S1492)</x:f>
        <x:v>18</x:v>
      </x:c>
      <x:c r="AI1492" s="17" t="n">
        <x:f>SUM(U1492:Y1492)</x:f>
        <x:v>0</x:v>
      </x:c>
      <x:c r="AJ1492" s="17" t="str">
        <x:f>IF(AE1492&lt;=34,"≤34",IF(AE1492&lt;=44,"35–44",IF(AE1492&lt;=54,"45–54",IF(AE1492&lt;=64,"55–64","65+"))))</x:f>
        <x:v>35–44</x:v>
      </x:c>
      <x:c r="AK1492" s="17" t="str">
        <x:f>IF(AG1492&gt;=1000,"High Value",IF(AG1492&gt;=300,"Mid Value","Low Value"))</x:f>
        <x:v>Mid Value</x:v>
      </x:c>
      <x:c r="AL1492" s="17" t="str">
        <x:f>IF(AND(AI1492&gt;=1,I1492&lt;=50),"Priority 1",IF(AND(AG1492&gt;=1000,I1492&lt;=60),"Priority 2",IF(I1492&lt;=30,"Priority 3","Nurture")))</x:f>
        <x:v>Nurture</x:v>
      </x:c>
    </x:row>
    <x:row r="1493">
      <x:c r="A1493" s="16" t="n">
        <x:v>2005</x:v>
      </x:c>
      <x:c r="B1493" s="16" t="n">
        <x:v>1990</x:v>
      </x:c>
      <x:c r="C1493" s="16" t="str">
        <x:v>Graduation</x:v>
      </x:c>
      <x:c r="D1493" s="16" t="str">
        <x:v>Married</x:v>
      </x:c>
      <x:c r="E1493" s="16" t="n">
        <x:v>35765</x:v>
      </x:c>
      <x:c r="F1493" s="16" t="n">
        <x:v>1</x:v>
      </x:c>
      <x:c r="G1493" s="16" t="n">
        <x:v>0</x:v>
      </x:c>
      <x:c r="H1493" s="16" t="str">
        <x:v>11-12-2013</x:v>
      </x:c>
      <x:c r="I1493" s="16" t="n">
        <x:v>86</x:v>
      </x:c>
      <x:c r="J1493" s="16" t="n">
        <x:v>22</x:v>
      </x:c>
      <x:c r="K1493" s="16" t="n">
        <x:v>3</x:v>
      </x:c>
      <x:c r="L1493" s="16" t="n">
        <x:v>30</x:v>
      </x:c>
      <x:c r="M1493" s="16" t="n">
        <x:v>0</x:v>
      </x:c>
      <x:c r="N1493" s="16" t="n">
        <x:v>5</x:v>
      </x:c>
      <x:c r="O1493" s="16" t="n">
        <x:v>15</x:v>
      </x:c>
      <x:c r="P1493" s="16" t="n">
        <x:v>2</x:v>
      </x:c>
      <x:c r="Q1493" s="16" t="n">
        <x:v>2</x:v>
      </x:c>
      <x:c r="R1493" s="16" t="n">
        <x:v>0</x:v>
      </x:c>
      <x:c r="S1493" s="16" t="n">
        <x:v>4</x:v>
      </x:c>
      <x:c r="T1493" s="16" t="n">
        <x:v>6</x:v>
      </x:c>
      <x:c r="U1493" s="16" t="n">
        <x:v>0</x:v>
      </x:c>
      <x:c r="V1493" s="16" t="n">
        <x:v>0</x:v>
      </x:c>
      <x:c r="W1493" s="16" t="n">
        <x:v>0</x:v>
      </x:c>
      <x:c r="X1493" s="16" t="n">
        <x:v>0</x:v>
      </x:c>
      <x:c r="Y1493" s="16" t="n">
        <x:v>0</x:v>
      </x:c>
      <x:c r="Z1493" s="16" t="n">
        <x:v>0</x:v>
      </x:c>
      <x:c r="AA1493" s="16" t="n">
        <x:v>3</x:v>
      </x:c>
      <x:c r="AB1493" s="16" t="n">
        <x:v>11</x:v>
      </x:c>
      <x:c r="AC1493" s="16" t="n">
        <x:v>0</x:v>
      </x:c>
      <x:c r="AD1493" s="21" t="n">
        <x:f>IF(E1493="",MEDIAN($E$2:$E$2237),E1493)</x:f>
        <x:v>35765</x:v>
      </x:c>
      <x:c r="AE1493" s="17" t="n">
        <x:f>2014-B1493</x:f>
        <x:v>24</x:v>
      </x:c>
      <x:c r="AF1493" s="17" t="n">
        <x:f>F1493+G1493</x:f>
        <x:v>1</x:v>
      </x:c>
      <x:c r="AG1493" s="21" t="n">
        <x:f>SUM(J1493:O1493)</x:f>
        <x:v>75</x:v>
      </x:c>
      <x:c r="AH1493" s="17" t="n">
        <x:f>SUM(Q1493:S1493)</x:f>
        <x:v>6</x:v>
      </x:c>
      <x:c r="AI1493" s="17" t="n">
        <x:f>SUM(U1493:Y1493)</x:f>
        <x:v>0</x:v>
      </x:c>
      <x:c r="AJ1493" s="17" t="str">
        <x:f>IF(AE1493&lt;=34,"≤34",IF(AE1493&lt;=44,"35–44",IF(AE1493&lt;=54,"45–54",IF(AE1493&lt;=64,"55–64","65+"))))</x:f>
        <x:v>≤34</x:v>
      </x:c>
      <x:c r="AK1493" s="17" t="str">
        <x:f>IF(AG1493&gt;=1000,"High Value",IF(AG1493&gt;=300,"Mid Value","Low Value"))</x:f>
        <x:v>Low Value</x:v>
      </x:c>
      <x:c r="AL1493" s="17" t="str">
        <x:f>IF(AND(AI1493&gt;=1,I1493&lt;=50),"Priority 1",IF(AND(AG1493&gt;=1000,I1493&lt;=60),"Priority 2",IF(I1493&lt;=30,"Priority 3","Nurture")))</x:f>
        <x:v>Nurture</x:v>
      </x:c>
    </x:row>
    <x:row r="1494">
      <x:c r="A1494" s="16" t="n">
        <x:v>10770</x:v>
      </x:c>
      <x:c r="B1494" s="16" t="n">
        <x:v>1959</x:v>
      </x:c>
      <x:c r="C1494" s="16" t="str">
        <x:v>Graduation</x:v>
      </x:c>
      <x:c r="D1494" s="16" t="str">
        <x:v>Married</x:v>
      </x:c>
      <x:c r="E1494" s="16" t="n">
        <x:v>65492</x:v>
      </x:c>
      <x:c r="F1494" s="16" t="n">
        <x:v>0</x:v>
      </x:c>
      <x:c r="G1494" s="16" t="n">
        <x:v>0</x:v>
      </x:c>
      <x:c r="H1494" s="16" t="str">
        <x:v>26-01-2014</x:v>
      </x:c>
      <x:c r="I1494" s="16" t="n">
        <x:v>73</x:v>
      </x:c>
      <x:c r="J1494" s="16" t="n">
        <x:v>247</x:v>
      </x:c>
      <x:c r="K1494" s="16" t="n">
        <x:v>161</x:v>
      </x:c>
      <x:c r="L1494" s="16" t="n">
        <x:v>295</x:v>
      </x:c>
      <x:c r="M1494" s="16" t="n">
        <x:v>210</x:v>
      </x:c>
      <x:c r="N1494" s="16" t="n">
        <x:v>85</x:v>
      </x:c>
      <x:c r="O1494" s="16" t="n">
        <x:v>47</x:v>
      </x:c>
      <x:c r="P1494" s="16" t="n">
        <x:v>2</x:v>
      </x:c>
      <x:c r="Q1494" s="16" t="n">
        <x:v>4</x:v>
      </x:c>
      <x:c r="R1494" s="16" t="n">
        <x:v>7</x:v>
      </x:c>
      <x:c r="S1494" s="16" t="n">
        <x:v>13</x:v>
      </x:c>
      <x:c r="T1494" s="16" t="n">
        <x:v>2</x:v>
      </x:c>
      <x:c r="U1494" s="16" t="n">
        <x:v>0</x:v>
      </x:c>
      <x:c r="V1494" s="16" t="n">
        <x:v>0</x:v>
      </x:c>
      <x:c r="W1494" s="16" t="n">
        <x:v>0</x:v>
      </x:c>
      <x:c r="X1494" s="16" t="n">
        <x:v>0</x:v>
      </x:c>
      <x:c r="Y1494" s="16" t="n">
        <x:v>0</x:v>
      </x:c>
      <x:c r="Z1494" s="16" t="n">
        <x:v>0</x:v>
      </x:c>
      <x:c r="AA1494" s="16" t="n">
        <x:v>3</x:v>
      </x:c>
      <x:c r="AB1494" s="16" t="n">
        <x:v>11</x:v>
      </x:c>
      <x:c r="AC1494" s="16" t="n">
        <x:v>0</x:v>
      </x:c>
      <x:c r="AD1494" s="21" t="n">
        <x:f>IF(E1494="",MEDIAN($E$2:$E$2237),E1494)</x:f>
        <x:v>65492</x:v>
      </x:c>
      <x:c r="AE1494" s="17" t="n">
        <x:f>2014-B1494</x:f>
        <x:v>55</x:v>
      </x:c>
      <x:c r="AF1494" s="17" t="n">
        <x:f>F1494+G1494</x:f>
        <x:v>0</x:v>
      </x:c>
      <x:c r="AG1494" s="21" t="n">
        <x:f>SUM(J1494:O1494)</x:f>
        <x:v>1045</x:v>
      </x:c>
      <x:c r="AH1494" s="17" t="n">
        <x:f>SUM(Q1494:S1494)</x:f>
        <x:v>24</x:v>
      </x:c>
      <x:c r="AI1494" s="17" t="n">
        <x:f>SUM(U1494:Y1494)</x:f>
        <x:v>0</x:v>
      </x:c>
      <x:c r="AJ1494" s="17" t="str">
        <x:f>IF(AE1494&lt;=34,"≤34",IF(AE1494&lt;=44,"35–44",IF(AE1494&lt;=54,"45–54",IF(AE1494&lt;=64,"55–64","65+"))))</x:f>
        <x:v>55–64</x:v>
      </x:c>
      <x:c r="AK1494" s="17" t="str">
        <x:f>IF(AG1494&gt;=1000,"High Value",IF(AG1494&gt;=300,"Mid Value","Low Value"))</x:f>
        <x:v>High Value</x:v>
      </x:c>
      <x:c r="AL1494" s="17" t="str">
        <x:f>IF(AND(AI1494&gt;=1,I1494&lt;=50),"Priority 1",IF(AND(AG1494&gt;=1000,I1494&lt;=60),"Priority 2",IF(I1494&lt;=30,"Priority 3","Nurture")))</x:f>
        <x:v>Nurture</x:v>
      </x:c>
    </x:row>
    <x:row r="1495">
      <x:c r="A1495" s="16" t="n">
        <x:v>6885</x:v>
      </x:c>
      <x:c r="B1495" s="16" t="n">
        <x:v>1977</x:v>
      </x:c>
      <x:c r="C1495" s="16" t="str">
        <x:v>Graduation</x:v>
      </x:c>
      <x:c r="D1495" s="16" t="str">
        <x:v>Divorced</x:v>
      </x:c>
      <x:c r="E1495" s="16" t="n">
        <x:v>32952</x:v>
      </x:c>
      <x:c r="F1495" s="16" t="n">
        <x:v>1</x:v>
      </x:c>
      <x:c r="G1495" s="16" t="n">
        <x:v>0</x:v>
      </x:c>
      <x:c r="H1495" s="16" t="str">
        <x:v>01-12-2013</x:v>
      </x:c>
      <x:c r="I1495" s="16" t="n">
        <x:v>36</x:v>
      </x:c>
      <x:c r="J1495" s="16" t="n">
        <x:v>38</x:v>
      </x:c>
      <x:c r="K1495" s="16" t="n">
        <x:v>0</x:v>
      </x:c>
      <x:c r="L1495" s="16" t="n">
        <x:v>12</x:v>
      </x:c>
      <x:c r="M1495" s="16" t="n">
        <x:v>3</x:v>
      </x:c>
      <x:c r="N1495" s="16" t="n">
        <x:v>1</x:v>
      </x:c>
      <x:c r="O1495" s="16" t="n">
        <x:v>1</x:v>
      </x:c>
      <x:c r="P1495" s="16" t="n">
        <x:v>1</x:v>
      </x:c>
      <x:c r="Q1495" s="16" t="n">
        <x:v>2</x:v>
      </x:c>
      <x:c r="R1495" s="16" t="n">
        <x:v>0</x:v>
      </x:c>
      <x:c r="S1495" s="16" t="n">
        <x:v>3</x:v>
      </x:c>
      <x:c r="T1495" s="16" t="n">
        <x:v>7</x:v>
      </x:c>
      <x:c r="U1495" s="16" t="n">
        <x:v>0</x:v>
      </x:c>
      <x:c r="V1495" s="16" t="n">
        <x:v>0</x:v>
      </x:c>
      <x:c r="W1495" s="16" t="n">
        <x:v>0</x:v>
      </x:c>
      <x:c r="X1495" s="16" t="n">
        <x:v>0</x:v>
      </x:c>
      <x:c r="Y1495" s="16" t="n">
        <x:v>0</x:v>
      </x:c>
      <x:c r="Z1495" s="16" t="n">
        <x:v>0</x:v>
      </x:c>
      <x:c r="AA1495" s="16" t="n">
        <x:v>3</x:v>
      </x:c>
      <x:c r="AB1495" s="16" t="n">
        <x:v>11</x:v>
      </x:c>
      <x:c r="AC1495" s="16" t="n">
        <x:v>0</x:v>
      </x:c>
      <x:c r="AD1495" s="21" t="n">
        <x:f>IF(E1495="",MEDIAN($E$2:$E$2237),E1495)</x:f>
        <x:v>32952</x:v>
      </x:c>
      <x:c r="AE1495" s="17" t="n">
        <x:f>2014-B1495</x:f>
        <x:v>37</x:v>
      </x:c>
      <x:c r="AF1495" s="17" t="n">
        <x:f>F1495+G1495</x:f>
        <x:v>1</x:v>
      </x:c>
      <x:c r="AG1495" s="21" t="n">
        <x:f>SUM(J1495:O1495)</x:f>
        <x:v>55</x:v>
      </x:c>
      <x:c r="AH1495" s="17" t="n">
        <x:f>SUM(Q1495:S1495)</x:f>
        <x:v>5</x:v>
      </x:c>
      <x:c r="AI1495" s="17" t="n">
        <x:f>SUM(U1495:Y1495)</x:f>
        <x:v>0</x:v>
      </x:c>
      <x:c r="AJ1495" s="17" t="str">
        <x:f>IF(AE1495&lt;=34,"≤34",IF(AE1495&lt;=44,"35–44",IF(AE1495&lt;=54,"45–54",IF(AE1495&lt;=64,"55–64","65+"))))</x:f>
        <x:v>35–44</x:v>
      </x:c>
      <x:c r="AK1495" s="17" t="str">
        <x:f>IF(AG1495&gt;=1000,"High Value",IF(AG1495&gt;=300,"Mid Value","Low Value"))</x:f>
        <x:v>Low Value</x:v>
      </x:c>
      <x:c r="AL1495" s="17" t="str">
        <x:f>IF(AND(AI1495&gt;=1,I1495&lt;=50),"Priority 1",IF(AND(AG1495&gt;=1000,I1495&lt;=60),"Priority 2",IF(I1495&lt;=30,"Priority 3","Nurture")))</x:f>
        <x:v>Nurture</x:v>
      </x:c>
    </x:row>
    <x:row r="1496">
      <x:c r="A1496" s="16" t="n">
        <x:v>2072</x:v>
      </x:c>
      <x:c r="B1496" s="16" t="n">
        <x:v>1969</x:v>
      </x:c>
      <x:c r="C1496" s="16" t="str">
        <x:v>PhD</x:v>
      </x:c>
      <x:c r="D1496" s="16" t="str">
        <x:v>Together</x:v>
      </x:c>
      <x:c r="E1496" s="16" t="n">
        <x:v>53374</x:v>
      </x:c>
      <x:c r="F1496" s="16" t="n">
        <x:v>0</x:v>
      </x:c>
      <x:c r="G1496" s="16" t="n">
        <x:v>1</x:v>
      </x:c>
      <x:c r="H1496" s="16" t="str">
        <x:v>16-08-2012</x:v>
      </x:c>
      <x:c r="I1496" s="16" t="n">
        <x:v>34</x:v>
      </x:c>
      <x:c r="J1496" s="16" t="n">
        <x:v>896</x:v>
      </x:c>
      <x:c r="K1496" s="16" t="n">
        <x:v>10</x:v>
      </x:c>
      <x:c r="L1496" s="16" t="n">
        <x:v>101</x:v>
      </x:c>
      <x:c r="M1496" s="16" t="n">
        <x:v>13</x:v>
      </x:c>
      <x:c r="N1496" s="16" t="n">
        <x:v>10</x:v>
      </x:c>
      <x:c r="O1496" s="16" t="n">
        <x:v>34</x:v>
      </x:c>
      <x:c r="P1496" s="16" t="n">
        <x:v>6</x:v>
      </x:c>
      <x:c r="Q1496" s="16" t="n">
        <x:v>4</x:v>
      </x:c>
      <x:c r="R1496" s="16" t="n">
        <x:v>2</x:v>
      </x:c>
      <x:c r="S1496" s="16" t="n">
        <x:v>9</x:v>
      </x:c>
      <x:c r="T1496" s="16" t="n">
        <x:v>9</x:v>
      </x:c>
      <x:c r="U1496" s="16" t="n">
        <x:v>1</x:v>
      </x:c>
      <x:c r="V1496" s="16" t="n">
        <x:v>0</x:v>
      </x:c>
      <x:c r="W1496" s="16" t="n">
        <x:v>0</x:v>
      </x:c>
      <x:c r="X1496" s="16" t="n">
        <x:v>0</x:v>
      </x:c>
      <x:c r="Y1496" s="16" t="n">
        <x:v>0</x:v>
      </x:c>
      <x:c r="Z1496" s="16" t="n">
        <x:v>0</x:v>
      </x:c>
      <x:c r="AA1496" s="16" t="n">
        <x:v>3</x:v>
      </x:c>
      <x:c r="AB1496" s="16" t="n">
        <x:v>11</x:v>
      </x:c>
      <x:c r="AC1496" s="16" t="n">
        <x:v>1</x:v>
      </x:c>
      <x:c r="AD1496" s="21" t="n">
        <x:f>IF(E1496="",MEDIAN($E$2:$E$2237),E1496)</x:f>
        <x:v>53374</x:v>
      </x:c>
      <x:c r="AE1496" s="17" t="n">
        <x:f>2014-B1496</x:f>
        <x:v>45</x:v>
      </x:c>
      <x:c r="AF1496" s="17" t="n">
        <x:f>F1496+G1496</x:f>
        <x:v>1</x:v>
      </x:c>
      <x:c r="AG1496" s="21" t="n">
        <x:f>SUM(J1496:O1496)</x:f>
        <x:v>1064</x:v>
      </x:c>
      <x:c r="AH1496" s="17" t="n">
        <x:f>SUM(Q1496:S1496)</x:f>
        <x:v>15</x:v>
      </x:c>
      <x:c r="AI1496" s="17" t="n">
        <x:f>SUM(U1496:Y1496)</x:f>
        <x:v>1</x:v>
      </x:c>
      <x:c r="AJ1496" s="17" t="str">
        <x:f>IF(AE1496&lt;=34,"≤34",IF(AE1496&lt;=44,"35–44",IF(AE1496&lt;=54,"45–54",IF(AE1496&lt;=64,"55–64","65+"))))</x:f>
        <x:v>45–54</x:v>
      </x:c>
      <x:c r="AK1496" s="17" t="str">
        <x:f>IF(AG1496&gt;=1000,"High Value",IF(AG1496&gt;=300,"Mid Value","Low Value"))</x:f>
        <x:v>High Value</x:v>
      </x:c>
      <x:c r="AL1496" s="17" t="str">
        <x:f>IF(AND(AI1496&gt;=1,I1496&lt;=50),"Priority 1",IF(AND(AG1496&gt;=1000,I1496&lt;=60),"Priority 2",IF(I1496&lt;=30,"Priority 3","Nurture")))</x:f>
        <x:v>Priority 1</x:v>
      </x:c>
    </x:row>
    <x:row r="1497">
      <x:c r="A1497" s="16" t="n">
        <x:v>9463</x:v>
      </x:c>
      <x:c r="B1497" s="16" t="n">
        <x:v>1959</x:v>
      </x:c>
      <x:c r="C1497" s="16" t="str">
        <x:v>Graduation</x:v>
      </x:c>
      <x:c r="D1497" s="16" t="str">
        <x:v>Together</x:v>
      </x:c>
      <x:c r="E1497" s="16" t="n">
        <x:v>71706</x:v>
      </x:c>
      <x:c r="F1497" s="16" t="n">
        <x:v>0</x:v>
      </x:c>
      <x:c r="G1497" s="16" t="n">
        <x:v>1</x:v>
      </x:c>
      <x:c r="H1497" s="16" t="str">
        <x:v>13-11-2012</x:v>
      </x:c>
      <x:c r="I1497" s="16" t="n">
        <x:v>16</x:v>
      </x:c>
      <x:c r="J1497" s="16" t="n">
        <x:v>931</x:v>
      </x:c>
      <x:c r="K1497" s="16" t="n">
        <x:v>56</x:v>
      </x:c>
      <x:c r="L1497" s="16" t="n">
        <x:v>253</x:v>
      </x:c>
      <x:c r="M1497" s="16" t="n">
        <x:v>91</x:v>
      </x:c>
      <x:c r="N1497" s="16" t="n">
        <x:v>98</x:v>
      </x:c>
      <x:c r="O1497" s="16" t="n">
        <x:v>14</x:v>
      </x:c>
      <x:c r="P1497" s="16" t="n">
        <x:v>4</x:v>
      </x:c>
      <x:c r="Q1497" s="16" t="n">
        <x:v>9</x:v>
      </x:c>
      <x:c r="R1497" s="16" t="n">
        <x:v>5</x:v>
      </x:c>
      <x:c r="S1497" s="16" t="n">
        <x:v>7</x:v>
      </x:c>
      <x:c r="T1497" s="16" t="n">
        <x:v>5</x:v>
      </x:c>
      <x:c r="U1497" s="16" t="n">
        <x:v>0</x:v>
      </x:c>
      <x:c r="V1497" s="16" t="n">
        <x:v>0</x:v>
      </x:c>
      <x:c r="W1497" s="16" t="n">
        <x:v>0</x:v>
      </x:c>
      <x:c r="X1497" s="16" t="n">
        <x:v>0</x:v>
      </x:c>
      <x:c r="Y1497" s="16" t="n">
        <x:v>0</x:v>
      </x:c>
      <x:c r="Z1497" s="16" t="n">
        <x:v>0</x:v>
      </x:c>
      <x:c r="AA1497" s="16" t="n">
        <x:v>3</x:v>
      </x:c>
      <x:c r="AB1497" s="16" t="n">
        <x:v>11</x:v>
      </x:c>
      <x:c r="AC1497" s="16" t="n">
        <x:v>0</x:v>
      </x:c>
      <x:c r="AD1497" s="21" t="n">
        <x:f>IF(E1497="",MEDIAN($E$2:$E$2237),E1497)</x:f>
        <x:v>71706</x:v>
      </x:c>
      <x:c r="AE1497" s="17" t="n">
        <x:f>2014-B1497</x:f>
        <x:v>55</x:v>
      </x:c>
      <x:c r="AF1497" s="17" t="n">
        <x:f>F1497+G1497</x:f>
        <x:v>1</x:v>
      </x:c>
      <x:c r="AG1497" s="21" t="n">
        <x:f>SUM(J1497:O1497)</x:f>
        <x:v>1443</x:v>
      </x:c>
      <x:c r="AH1497" s="17" t="n">
        <x:f>SUM(Q1497:S1497)</x:f>
        <x:v>21</x:v>
      </x:c>
      <x:c r="AI1497" s="17" t="n">
        <x:f>SUM(U1497:Y1497)</x:f>
        <x:v>0</x:v>
      </x:c>
      <x:c r="AJ1497" s="17" t="str">
        <x:f>IF(AE1497&lt;=34,"≤34",IF(AE1497&lt;=44,"35–44",IF(AE1497&lt;=54,"45–54",IF(AE1497&lt;=64,"55–64","65+"))))</x:f>
        <x:v>55–64</x:v>
      </x:c>
      <x:c r="AK1497" s="17" t="str">
        <x:f>IF(AG1497&gt;=1000,"High Value",IF(AG1497&gt;=300,"Mid Value","Low Value"))</x:f>
        <x:v>High Value</x:v>
      </x:c>
      <x:c r="AL1497" s="17" t="str">
        <x:f>IF(AND(AI1497&gt;=1,I1497&lt;=50),"Priority 1",IF(AND(AG1497&gt;=1000,I1497&lt;=60),"Priority 2",IF(I1497&lt;=30,"Priority 3","Nurture")))</x:f>
        <x:v>Priority 2</x:v>
      </x:c>
    </x:row>
    <x:row r="1498">
      <x:c r="A1498" s="16" t="n">
        <x:v>6318</x:v>
      </x:c>
      <x:c r="B1498" s="16" t="n">
        <x:v>1988</x:v>
      </x:c>
      <x:c r="C1498" s="16" t="str">
        <x:v>Graduation</x:v>
      </x:c>
      <x:c r="D1498" s="16" t="str">
        <x:v>Married</x:v>
      </x:c>
      <x:c r="E1498" s="16" t="n">
        <x:v>68487</x:v>
      </x:c>
      <x:c r="F1498" s="16" t="n">
        <x:v>0</x:v>
      </x:c>
      <x:c r="G1498" s="16" t="n">
        <x:v>0</x:v>
      </x:c>
      <x:c r="H1498" s="16" t="str">
        <x:v>13-01-2013</x:v>
      </x:c>
      <x:c r="I1498" s="16" t="n">
        <x:v>48</x:v>
      </x:c>
      <x:c r="J1498" s="16" t="n">
        <x:v>758</x:v>
      </x:c>
      <x:c r="K1498" s="16" t="n">
        <x:v>12</x:v>
      </x:c>
      <x:c r="L1498" s="16" t="n">
        <x:v>385</x:v>
      </x:c>
      <x:c r="M1498" s="16" t="n">
        <x:v>33</x:v>
      </x:c>
      <x:c r="N1498" s="16" t="n">
        <x:v>89</x:v>
      </x:c>
      <x:c r="O1498" s="16" t="n">
        <x:v>89</x:v>
      </x:c>
      <x:c r="P1498" s="16" t="n">
        <x:v>1</x:v>
      </x:c>
      <x:c r="Q1498" s="16" t="n">
        <x:v>9</x:v>
      </x:c>
      <x:c r="R1498" s="16" t="n">
        <x:v>7</x:v>
      </x:c>
      <x:c r="S1498" s="16" t="n">
        <x:v>13</x:v>
      </x:c>
      <x:c r="T1498" s="16" t="n">
        <x:v>4</x:v>
      </x:c>
      <x:c r="U1498" s="16" t="n">
        <x:v>0</x:v>
      </x:c>
      <x:c r="V1498" s="16" t="n">
        <x:v>0</x:v>
      </x:c>
      <x:c r="W1498" s="16" t="n">
        <x:v>0</x:v>
      </x:c>
      <x:c r="X1498" s="16" t="n">
        <x:v>0</x:v>
      </x:c>
      <x:c r="Y1498" s="16" t="n">
        <x:v>0</x:v>
      </x:c>
      <x:c r="Z1498" s="16" t="n">
        <x:v>0</x:v>
      </x:c>
      <x:c r="AA1498" s="16" t="n">
        <x:v>3</x:v>
      </x:c>
      <x:c r="AB1498" s="16" t="n">
        <x:v>11</x:v>
      </x:c>
      <x:c r="AC1498" s="16" t="n">
        <x:v>0</x:v>
      </x:c>
      <x:c r="AD1498" s="21" t="n">
        <x:f>IF(E1498="",MEDIAN($E$2:$E$2237),E1498)</x:f>
        <x:v>68487</x:v>
      </x:c>
      <x:c r="AE1498" s="17" t="n">
        <x:f>2014-B1498</x:f>
        <x:v>26</x:v>
      </x:c>
      <x:c r="AF1498" s="17" t="n">
        <x:f>F1498+G1498</x:f>
        <x:v>0</x:v>
      </x:c>
      <x:c r="AG1498" s="21" t="n">
        <x:f>SUM(J1498:O1498)</x:f>
        <x:v>1366</x:v>
      </x:c>
      <x:c r="AH1498" s="17" t="n">
        <x:f>SUM(Q1498:S1498)</x:f>
        <x:v>29</x:v>
      </x:c>
      <x:c r="AI1498" s="17" t="n">
        <x:f>SUM(U1498:Y1498)</x:f>
        <x:v>0</x:v>
      </x:c>
      <x:c r="AJ1498" s="17" t="str">
        <x:f>IF(AE1498&lt;=34,"≤34",IF(AE1498&lt;=44,"35–44",IF(AE1498&lt;=54,"45–54",IF(AE1498&lt;=64,"55–64","65+"))))</x:f>
        <x:v>≤34</x:v>
      </x:c>
      <x:c r="AK1498" s="17" t="str">
        <x:f>IF(AG1498&gt;=1000,"High Value",IF(AG1498&gt;=300,"Mid Value","Low Value"))</x:f>
        <x:v>High Value</x:v>
      </x:c>
      <x:c r="AL1498" s="17" t="str">
        <x:f>IF(AND(AI1498&gt;=1,I1498&lt;=50),"Priority 1",IF(AND(AG1498&gt;=1000,I1498&lt;=60),"Priority 2",IF(I1498&lt;=30,"Priority 3","Nurture")))</x:f>
        <x:v>Priority 2</x:v>
      </x:c>
    </x:row>
    <x:row r="1499">
      <x:c r="A1499" s="16" t="n">
        <x:v>4093</x:v>
      </x:c>
      <x:c r="B1499" s="16" t="n">
        <x:v>1975</x:v>
      </x:c>
      <x:c r="C1499" s="16" t="str">
        <x:v>Master</x:v>
      </x:c>
      <x:c r="D1499" s="16" t="str">
        <x:v>Together</x:v>
      </x:c>
      <x:c r="E1499" s="16" t="n">
        <x:v>53253</x:v>
      </x:c>
      <x:c r="F1499" s="16" t="n">
        <x:v>1</x:v>
      </x:c>
      <x:c r="G1499" s="16" t="n">
        <x:v>1</x:v>
      </x:c>
      <x:c r="H1499" s="16" t="str">
        <x:v>11-02-2013</x:v>
      </x:c>
      <x:c r="I1499" s="16" t="n">
        <x:v>61</x:v>
      </x:c>
      <x:c r="J1499" s="16" t="n">
        <x:v>216</x:v>
      </x:c>
      <x:c r="K1499" s="16" t="n">
        <x:v>9</x:v>
      </x:c>
      <x:c r="L1499" s="16" t="n">
        <x:v>57</x:v>
      </x:c>
      <x:c r="M1499" s="16" t="n">
        <x:v>20</x:v>
      </x:c>
      <x:c r="N1499" s="16" t="n">
        <x:v>9</x:v>
      </x:c>
      <x:c r="O1499" s="16" t="n">
        <x:v>125</x:v>
      </x:c>
      <x:c r="P1499" s="16" t="n">
        <x:v>7</x:v>
      </x:c>
      <x:c r="Q1499" s="16" t="n">
        <x:v>4</x:v>
      </x:c>
      <x:c r="R1499" s="16" t="n">
        <x:v>3</x:v>
      </x:c>
      <x:c r="S1499" s="16" t="n">
        <x:v>5</x:v>
      </x:c>
      <x:c r="T1499" s="16" t="n">
        <x:v>5</x:v>
      </x:c>
      <x:c r="U1499" s="16" t="n">
        <x:v>0</x:v>
      </x:c>
      <x:c r="V1499" s="16" t="n">
        <x:v>0</x:v>
      </x:c>
      <x:c r="W1499" s="16" t="n">
        <x:v>0</x:v>
      </x:c>
      <x:c r="X1499" s="16" t="n">
        <x:v>0</x:v>
      </x:c>
      <x:c r="Y1499" s="16" t="n">
        <x:v>0</x:v>
      </x:c>
      <x:c r="Z1499" s="16" t="n">
        <x:v>0</x:v>
      </x:c>
      <x:c r="AA1499" s="16" t="n">
        <x:v>3</x:v>
      </x:c>
      <x:c r="AB1499" s="16" t="n">
        <x:v>11</x:v>
      </x:c>
      <x:c r="AC1499" s="16" t="n">
        <x:v>0</x:v>
      </x:c>
      <x:c r="AD1499" s="21" t="n">
        <x:f>IF(E1499="",MEDIAN($E$2:$E$2237),E1499)</x:f>
        <x:v>53253</x:v>
      </x:c>
      <x:c r="AE1499" s="17" t="n">
        <x:f>2014-B1499</x:f>
        <x:v>39</x:v>
      </x:c>
      <x:c r="AF1499" s="17" t="n">
        <x:f>F1499+G1499</x:f>
        <x:v>2</x:v>
      </x:c>
      <x:c r="AG1499" s="21" t="n">
        <x:f>SUM(J1499:O1499)</x:f>
        <x:v>436</x:v>
      </x:c>
      <x:c r="AH1499" s="17" t="n">
        <x:f>SUM(Q1499:S1499)</x:f>
        <x:v>12</x:v>
      </x:c>
      <x:c r="AI1499" s="17" t="n">
        <x:f>SUM(U1499:Y1499)</x:f>
        <x:v>0</x:v>
      </x:c>
      <x:c r="AJ1499" s="17" t="str">
        <x:f>IF(AE1499&lt;=34,"≤34",IF(AE1499&lt;=44,"35–44",IF(AE1499&lt;=54,"45–54",IF(AE1499&lt;=64,"55–64","65+"))))</x:f>
        <x:v>35–44</x:v>
      </x:c>
      <x:c r="AK1499" s="17" t="str">
        <x:f>IF(AG1499&gt;=1000,"High Value",IF(AG1499&gt;=300,"Mid Value","Low Value"))</x:f>
        <x:v>Mid Value</x:v>
      </x:c>
      <x:c r="AL1499" s="17" t="str">
        <x:f>IF(AND(AI1499&gt;=1,I1499&lt;=50),"Priority 1",IF(AND(AG1499&gt;=1000,I1499&lt;=60),"Priority 2",IF(I1499&lt;=30,"Priority 3","Nurture")))</x:f>
        <x:v>Nurture</x:v>
      </x:c>
    </x:row>
    <x:row r="1500">
      <x:c r="A1500" s="16" t="n">
        <x:v>5751</x:v>
      </x:c>
      <x:c r="B1500" s="16" t="n">
        <x:v>1973</x:v>
      </x:c>
      <x:c r="C1500" s="16" t="str">
        <x:v>2n Cycle</x:v>
      </x:c>
      <x:c r="D1500" s="16" t="str">
        <x:v>Divorced</x:v>
      </x:c>
      <x:c r="E1500" s="16" t="n">
        <x:v>31163</x:v>
      </x:c>
      <x:c r="F1500" s="16" t="n">
        <x:v>1</x:v>
      </x:c>
      <x:c r="G1500" s="16" t="n">
        <x:v>0</x:v>
      </x:c>
      <x:c r="H1500" s="16" t="str">
        <x:v>13-02-2014</x:v>
      </x:c>
      <x:c r="I1500" s="16" t="n">
        <x:v>54</x:v>
      </x:c>
      <x:c r="J1500" s="16" t="n">
        <x:v>2</x:v>
      </x:c>
      <x:c r="K1500" s="16" t="n">
        <x:v>3</x:v>
      </x:c>
      <x:c r="L1500" s="16" t="n">
        <x:v>10</x:v>
      </x:c>
      <x:c r="M1500" s="16" t="n">
        <x:v>11</x:v>
      </x:c>
      <x:c r="N1500" s="16" t="n">
        <x:v>2</x:v>
      </x:c>
      <x:c r="O1500" s="16" t="n">
        <x:v>10</x:v>
      </x:c>
      <x:c r="P1500" s="16" t="n">
        <x:v>1</x:v>
      </x:c>
      <x:c r="Q1500" s="16" t="n">
        <x:v>1</x:v>
      </x:c>
      <x:c r="R1500" s="16" t="n">
        <x:v>0</x:v>
      </x:c>
      <x:c r="S1500" s="16" t="n">
        <x:v>3</x:v>
      </x:c>
      <x:c r="T1500" s="16" t="n">
        <x:v>6</x:v>
      </x:c>
      <x:c r="U1500" s="16" t="n">
        <x:v>0</x:v>
      </x:c>
      <x:c r="V1500" s="16" t="n">
        <x:v>0</x:v>
      </x:c>
      <x:c r="W1500" s="16" t="n">
        <x:v>0</x:v>
      </x:c>
      <x:c r="X1500" s="16" t="n">
        <x:v>0</x:v>
      </x:c>
      <x:c r="Y1500" s="16" t="n">
        <x:v>0</x:v>
      </x:c>
      <x:c r="Z1500" s="16" t="n">
        <x:v>0</x:v>
      </x:c>
      <x:c r="AA1500" s="16" t="n">
        <x:v>3</x:v>
      </x:c>
      <x:c r="AB1500" s="16" t="n">
        <x:v>11</x:v>
      </x:c>
      <x:c r="AC1500" s="16" t="n">
        <x:v>0</x:v>
      </x:c>
      <x:c r="AD1500" s="21" t="n">
        <x:f>IF(E1500="",MEDIAN($E$2:$E$2237),E1500)</x:f>
        <x:v>31163</x:v>
      </x:c>
      <x:c r="AE1500" s="17" t="n">
        <x:f>2014-B1500</x:f>
        <x:v>41</x:v>
      </x:c>
      <x:c r="AF1500" s="17" t="n">
        <x:f>F1500+G1500</x:f>
        <x:v>1</x:v>
      </x:c>
      <x:c r="AG1500" s="21" t="n">
        <x:f>SUM(J1500:O1500)</x:f>
        <x:v>38</x:v>
      </x:c>
      <x:c r="AH1500" s="17" t="n">
        <x:f>SUM(Q1500:S1500)</x:f>
        <x:v>4</x:v>
      </x:c>
      <x:c r="AI1500" s="17" t="n">
        <x:f>SUM(U1500:Y1500)</x:f>
        <x:v>0</x:v>
      </x:c>
      <x:c r="AJ1500" s="17" t="str">
        <x:f>IF(AE1500&lt;=34,"≤34",IF(AE1500&lt;=44,"35–44",IF(AE1500&lt;=54,"45–54",IF(AE1500&lt;=64,"55–64","65+"))))</x:f>
        <x:v>35–44</x:v>
      </x:c>
      <x:c r="AK1500" s="17" t="str">
        <x:f>IF(AG1500&gt;=1000,"High Value",IF(AG1500&gt;=300,"Mid Value","Low Value"))</x:f>
        <x:v>Low Value</x:v>
      </x:c>
      <x:c r="AL1500" s="17" t="str">
        <x:f>IF(AND(AI1500&gt;=1,I1500&lt;=50),"Priority 1",IF(AND(AG1500&gt;=1000,I1500&lt;=60),"Priority 2",IF(I1500&lt;=30,"Priority 3","Nurture")))</x:f>
        <x:v>Nurture</x:v>
      </x:c>
    </x:row>
    <x:row r="1501">
      <x:c r="A1501" s="16" t="n">
        <x:v>3340</x:v>
      </x:c>
      <x:c r="B1501" s="16" t="n">
        <x:v>1977</x:v>
      </x:c>
      <x:c r="C1501" s="16" t="str">
        <x:v>Graduation</x:v>
      </x:c>
      <x:c r="D1501" s="16" t="str">
        <x:v>Married</x:v>
      </x:c>
      <x:c r="E1501" s="16" t="n">
        <x:v>42014</x:v>
      </x:c>
      <x:c r="F1501" s="16" t="n">
        <x:v>1</x:v>
      </x:c>
      <x:c r="G1501" s="16" t="n">
        <x:v>0</x:v>
      </x:c>
      <x:c r="H1501" s="16" t="str">
        <x:v>17-08-2012</x:v>
      </x:c>
      <x:c r="I1501" s="16" t="n">
        <x:v>56</x:v>
      </x:c>
      <x:c r="J1501" s="16" t="n">
        <x:v>244</x:v>
      </x:c>
      <x:c r="K1501" s="16" t="n">
        <x:v>15</x:v>
      </x:c>
      <x:c r="L1501" s="16" t="n">
        <x:v>108</x:v>
      </x:c>
      <x:c r="M1501" s="16" t="n">
        <x:v>4</x:v>
      </x:c>
      <x:c r="N1501" s="16" t="n">
        <x:v>15</x:v>
      </x:c>
      <x:c r="O1501" s="16" t="n">
        <x:v>50</x:v>
      </x:c>
      <x:c r="P1501" s="16" t="n">
        <x:v>6</x:v>
      </x:c>
      <x:c r="Q1501" s="16" t="n">
        <x:v>7</x:v>
      </x:c>
      <x:c r="R1501" s="16" t="n">
        <x:v>1</x:v>
      </x:c>
      <x:c r="S1501" s="16" t="n">
        <x:v>6</x:v>
      </x:c>
      <x:c r="T1501" s="16" t="n">
        <x:v>8</x:v>
      </x:c>
      <x:c r="U1501" s="16" t="n">
        <x:v>0</x:v>
      </x:c>
      <x:c r="V1501" s="16" t="n">
        <x:v>0</x:v>
      </x:c>
      <x:c r="W1501" s="16" t="n">
        <x:v>0</x:v>
      </x:c>
      <x:c r="X1501" s="16" t="n">
        <x:v>0</x:v>
      </x:c>
      <x:c r="Y1501" s="16" t="n">
        <x:v>0</x:v>
      </x:c>
      <x:c r="Z1501" s="16" t="n">
        <x:v>0</x:v>
      </x:c>
      <x:c r="AA1501" s="16" t="n">
        <x:v>3</x:v>
      </x:c>
      <x:c r="AB1501" s="16" t="n">
        <x:v>11</x:v>
      </x:c>
      <x:c r="AC1501" s="16" t="n">
        <x:v>1</x:v>
      </x:c>
      <x:c r="AD1501" s="21" t="n">
        <x:f>IF(E1501="",MEDIAN($E$2:$E$2237),E1501)</x:f>
        <x:v>42014</x:v>
      </x:c>
      <x:c r="AE1501" s="17" t="n">
        <x:f>2014-B1501</x:f>
        <x:v>37</x:v>
      </x:c>
      <x:c r="AF1501" s="17" t="n">
        <x:f>F1501+G1501</x:f>
        <x:v>1</x:v>
      </x:c>
      <x:c r="AG1501" s="21" t="n">
        <x:f>SUM(J1501:O1501)</x:f>
        <x:v>436</x:v>
      </x:c>
      <x:c r="AH1501" s="17" t="n">
        <x:f>SUM(Q1501:S1501)</x:f>
        <x:v>14</x:v>
      </x:c>
      <x:c r="AI1501" s="17" t="n">
        <x:f>SUM(U1501:Y1501)</x:f>
        <x:v>0</x:v>
      </x:c>
      <x:c r="AJ1501" s="17" t="str">
        <x:f>IF(AE1501&lt;=34,"≤34",IF(AE1501&lt;=44,"35–44",IF(AE1501&lt;=54,"45–54",IF(AE1501&lt;=64,"55–64","65+"))))</x:f>
        <x:v>35–44</x:v>
      </x:c>
      <x:c r="AK1501" s="17" t="str">
        <x:f>IF(AG1501&gt;=1000,"High Value",IF(AG1501&gt;=300,"Mid Value","Low Value"))</x:f>
        <x:v>Mid Value</x:v>
      </x:c>
      <x:c r="AL1501" s="17" t="str">
        <x:f>IF(AND(AI1501&gt;=1,I1501&lt;=50),"Priority 1",IF(AND(AG1501&gt;=1000,I1501&lt;=60),"Priority 2",IF(I1501&lt;=30,"Priority 3","Nurture")))</x:f>
        <x:v>Nurture</x:v>
      </x:c>
    </x:row>
    <x:row r="1502">
      <x:c r="A1502" s="16" t="n">
        <x:v>3594</x:v>
      </x:c>
      <x:c r="B1502" s="16" t="n">
        <x:v>1973</x:v>
      </x:c>
      <x:c r="C1502" s="16" t="str">
        <x:v>Master</x:v>
      </x:c>
      <x:c r="D1502" s="16" t="str">
        <x:v>Married</x:v>
      </x:c>
      <x:c r="E1502" s="16" t="n">
        <x:v>54108</x:v>
      </x:c>
      <x:c r="F1502" s="16" t="n">
        <x:v>1</x:v>
      </x:c>
      <x:c r="G1502" s="16" t="n">
        <x:v>1</x:v>
      </x:c>
      <x:c r="H1502" s="16" t="str">
        <x:v>05-11-2012</x:v>
      </x:c>
      <x:c r="I1502" s="16" t="n">
        <x:v>74</x:v>
      </x:c>
      <x:c r="J1502" s="16" t="n">
        <x:v>539</x:v>
      </x:c>
      <x:c r="K1502" s="16" t="n">
        <x:v>6</x:v>
      </x:c>
      <x:c r="L1502" s="16" t="n">
        <x:v>91</x:v>
      </x:c>
      <x:c r="M1502" s="16" t="n">
        <x:v>8</x:v>
      </x:c>
      <x:c r="N1502" s="16" t="n">
        <x:v>6</x:v>
      </x:c>
      <x:c r="O1502" s="16" t="n">
        <x:v>97</x:v>
      </x:c>
      <x:c r="P1502" s="16" t="n">
        <x:v>13</x:v>
      </x:c>
      <x:c r="Q1502" s="16" t="n">
        <x:v>8</x:v>
      </x:c>
      <x:c r="R1502" s="16" t="n">
        <x:v>2</x:v>
      </x:c>
      <x:c r="S1502" s="16" t="n">
        <x:v>9</x:v>
      </x:c>
      <x:c r="T1502" s="16" t="n">
        <x:v>8</x:v>
      </x:c>
      <x:c r="U1502" s="16" t="n">
        <x:v>0</x:v>
      </x:c>
      <x:c r="V1502" s="16" t="n">
        <x:v>0</x:v>
      </x:c>
      <x:c r="W1502" s="16" t="n">
        <x:v>0</x:v>
      </x:c>
      <x:c r="X1502" s="16" t="n">
        <x:v>0</x:v>
      </x:c>
      <x:c r="Y1502" s="16" t="n">
        <x:v>0</x:v>
      </x:c>
      <x:c r="Z1502" s="16" t="n">
        <x:v>0</x:v>
      </x:c>
      <x:c r="AA1502" s="16" t="n">
        <x:v>3</x:v>
      </x:c>
      <x:c r="AB1502" s="16" t="n">
        <x:v>11</x:v>
      </x:c>
      <x:c r="AC1502" s="16" t="n">
        <x:v>0</x:v>
      </x:c>
      <x:c r="AD1502" s="21" t="n">
        <x:f>IF(E1502="",MEDIAN($E$2:$E$2237),E1502)</x:f>
        <x:v>54108</x:v>
      </x:c>
      <x:c r="AE1502" s="17" t="n">
        <x:f>2014-B1502</x:f>
        <x:v>41</x:v>
      </x:c>
      <x:c r="AF1502" s="17" t="n">
        <x:f>F1502+G1502</x:f>
        <x:v>2</x:v>
      </x:c>
      <x:c r="AG1502" s="21" t="n">
        <x:f>SUM(J1502:O1502)</x:f>
        <x:v>747</x:v>
      </x:c>
      <x:c r="AH1502" s="17" t="n">
        <x:f>SUM(Q1502:S1502)</x:f>
        <x:v>19</x:v>
      </x:c>
      <x:c r="AI1502" s="17" t="n">
        <x:f>SUM(U1502:Y1502)</x:f>
        <x:v>0</x:v>
      </x:c>
      <x:c r="AJ1502" s="17" t="str">
        <x:f>IF(AE1502&lt;=34,"≤34",IF(AE1502&lt;=44,"35–44",IF(AE1502&lt;=54,"45–54",IF(AE1502&lt;=64,"55–64","65+"))))</x:f>
        <x:v>35–44</x:v>
      </x:c>
      <x:c r="AK1502" s="17" t="str">
        <x:f>IF(AG1502&gt;=1000,"High Value",IF(AG1502&gt;=300,"Mid Value","Low Value"))</x:f>
        <x:v>Mid Value</x:v>
      </x:c>
      <x:c r="AL1502" s="17" t="str">
        <x:f>IF(AND(AI1502&gt;=1,I1502&lt;=50),"Priority 1",IF(AND(AG1502&gt;=1000,I1502&lt;=60),"Priority 2",IF(I1502&lt;=30,"Priority 3","Nurture")))</x:f>
        <x:v>Nurture</x:v>
      </x:c>
    </x:row>
    <x:row r="1503">
      <x:c r="A1503" s="16" t="n">
        <x:v>3584</x:v>
      </x:c>
      <x:c r="B1503" s="16" t="n">
        <x:v>1955</x:v>
      </x:c>
      <x:c r="C1503" s="16" t="str">
        <x:v>PhD</x:v>
      </x:c>
      <x:c r="D1503" s="16" t="str">
        <x:v>Single</x:v>
      </x:c>
      <x:c r="E1503" s="16" t="n">
        <x:v>49667</x:v>
      </x:c>
      <x:c r="F1503" s="16" t="n">
        <x:v>0</x:v>
      </x:c>
      <x:c r="G1503" s="16" t="n">
        <x:v>0</x:v>
      </x:c>
      <x:c r="H1503" s="16" t="str">
        <x:v>20-08-2012</x:v>
      </x:c>
      <x:c r="I1503" s="16" t="n">
        <x:v>35</x:v>
      </x:c>
      <x:c r="J1503" s="16" t="n">
        <x:v>1181</x:v>
      </x:c>
      <x:c r="K1503" s="16" t="n">
        <x:v>26</x:v>
      </x:c>
      <x:c r="L1503" s="16" t="n">
        <x:v>120</x:v>
      </x:c>
      <x:c r="M1503" s="16" t="n">
        <x:v>17</x:v>
      </x:c>
      <x:c r="N1503" s="16" t="n">
        <x:v>13</x:v>
      </x:c>
      <x:c r="O1503" s="16" t="n">
        <x:v>39</x:v>
      </x:c>
      <x:c r="P1503" s="16" t="n">
        <x:v>2</x:v>
      </x:c>
      <x:c r="Q1503" s="16" t="n">
        <x:v>5</x:v>
      </x:c>
      <x:c r="R1503" s="16" t="n">
        <x:v>10</x:v>
      </x:c>
      <x:c r="S1503" s="16" t="n">
        <x:v>5</x:v>
      </x:c>
      <x:c r="T1503" s="16" t="n">
        <x:v>8</x:v>
      </x:c>
      <x:c r="U1503" s="16" t="n">
        <x:v>1</x:v>
      </x:c>
      <x:c r="V1503" s="16" t="n">
        <x:v>0</x:v>
      </x:c>
      <x:c r="W1503" s="16" t="n">
        <x:v>0</x:v>
      </x:c>
      <x:c r="X1503" s="16" t="n">
        <x:v>0</x:v>
      </x:c>
      <x:c r="Y1503" s="16" t="n">
        <x:v>0</x:v>
      </x:c>
      <x:c r="Z1503" s="16" t="n">
        <x:v>0</x:v>
      </x:c>
      <x:c r="AA1503" s="16" t="n">
        <x:v>3</x:v>
      </x:c>
      <x:c r="AB1503" s="16" t="n">
        <x:v>11</x:v>
      </x:c>
      <x:c r="AC1503" s="16" t="n">
        <x:v>1</x:v>
      </x:c>
      <x:c r="AD1503" s="21" t="n">
        <x:f>IF(E1503="",MEDIAN($E$2:$E$2237),E1503)</x:f>
        <x:v>49667</x:v>
      </x:c>
      <x:c r="AE1503" s="17" t="n">
        <x:f>2014-B1503</x:f>
        <x:v>59</x:v>
      </x:c>
      <x:c r="AF1503" s="17" t="n">
        <x:f>F1503+G1503</x:f>
        <x:v>0</x:v>
      </x:c>
      <x:c r="AG1503" s="21" t="n">
        <x:f>SUM(J1503:O1503)</x:f>
        <x:v>1396</x:v>
      </x:c>
      <x:c r="AH1503" s="17" t="n">
        <x:f>SUM(Q1503:S1503)</x:f>
        <x:v>20</x:v>
      </x:c>
      <x:c r="AI1503" s="17" t="n">
        <x:f>SUM(U1503:Y1503)</x:f>
        <x:v>1</x:v>
      </x:c>
      <x:c r="AJ1503" s="17" t="str">
        <x:f>IF(AE1503&lt;=34,"≤34",IF(AE1503&lt;=44,"35–44",IF(AE1503&lt;=54,"45–54",IF(AE1503&lt;=64,"55–64","65+"))))</x:f>
        <x:v>55–64</x:v>
      </x:c>
      <x:c r="AK1503" s="17" t="str">
        <x:f>IF(AG1503&gt;=1000,"High Value",IF(AG1503&gt;=300,"Mid Value","Low Value"))</x:f>
        <x:v>High Value</x:v>
      </x:c>
      <x:c r="AL1503" s="17" t="str">
        <x:f>IF(AND(AI1503&gt;=1,I1503&lt;=50),"Priority 1",IF(AND(AG1503&gt;=1000,I1503&lt;=60),"Priority 2",IF(I1503&lt;=30,"Priority 3","Nurture")))</x:f>
        <x:v>Priority 1</x:v>
      </x:c>
    </x:row>
    <x:row r="1504">
      <x:c r="A1504" s="16" t="n">
        <x:v>3643</x:v>
      </x:c>
      <x:c r="B1504" s="16" t="n">
        <x:v>1974</x:v>
      </x:c>
      <x:c r="C1504" s="16" t="str">
        <x:v>Master</x:v>
      </x:c>
      <x:c r="D1504" s="16" t="str">
        <x:v>Married</x:v>
      </x:c>
      <x:c r="E1504" s="16" t="n">
        <x:v>63206</x:v>
      </x:c>
      <x:c r="F1504" s="16" t="n">
        <x:v>0</x:v>
      </x:c>
      <x:c r="G1504" s="16" t="n">
        <x:v>0</x:v>
      </x:c>
      <x:c r="H1504" s="16" t="str">
        <x:v>20-03-2014</x:v>
      </x:c>
      <x:c r="I1504" s="16" t="n">
        <x:v>65</x:v>
      </x:c>
      <x:c r="J1504" s="16" t="n">
        <x:v>750</x:v>
      </x:c>
      <x:c r="K1504" s="16" t="n">
        <x:v>8</x:v>
      </x:c>
      <x:c r="L1504" s="16" t="n">
        <x:v>125</x:v>
      </x:c>
      <x:c r="M1504" s="16" t="n">
        <x:v>11</x:v>
      </x:c>
      <x:c r="N1504" s="16" t="n">
        <x:v>8</x:v>
      </x:c>
      <x:c r="O1504" s="16" t="n">
        <x:v>26</x:v>
      </x:c>
      <x:c r="P1504" s="16" t="n">
        <x:v>1</x:v>
      </x:c>
      <x:c r="Q1504" s="16" t="n">
        <x:v>4</x:v>
      </x:c>
      <x:c r="R1504" s="16" t="n">
        <x:v>3</x:v>
      </x:c>
      <x:c r="S1504" s="16" t="n">
        <x:v>6</x:v>
      </x:c>
      <x:c r="T1504" s="16" t="n">
        <x:v>2</x:v>
      </x:c>
      <x:c r="U1504" s="16" t="n">
        <x:v>0</x:v>
      </x:c>
      <x:c r="V1504" s="16" t="n">
        <x:v>0</x:v>
      </x:c>
      <x:c r="W1504" s="16" t="n">
        <x:v>1</x:v>
      </x:c>
      <x:c r="X1504" s="16" t="n">
        <x:v>0</x:v>
      </x:c>
      <x:c r="Y1504" s="16" t="n">
        <x:v>0</x:v>
      </x:c>
      <x:c r="Z1504" s="16" t="n">
        <x:v>0</x:v>
      </x:c>
      <x:c r="AA1504" s="16" t="n">
        <x:v>3</x:v>
      </x:c>
      <x:c r="AB1504" s="16" t="n">
        <x:v>11</x:v>
      </x:c>
      <x:c r="AC1504" s="16" t="n">
        <x:v>0</x:v>
      </x:c>
      <x:c r="AD1504" s="21" t="n">
        <x:f>IF(E1504="",MEDIAN($E$2:$E$2237),E1504)</x:f>
        <x:v>63206</x:v>
      </x:c>
      <x:c r="AE1504" s="17" t="n">
        <x:f>2014-B1504</x:f>
        <x:v>40</x:v>
      </x:c>
      <x:c r="AF1504" s="17" t="n">
        <x:f>F1504+G1504</x:f>
        <x:v>0</x:v>
      </x:c>
      <x:c r="AG1504" s="21" t="n">
        <x:f>SUM(J1504:O1504)</x:f>
        <x:v>928</x:v>
      </x:c>
      <x:c r="AH1504" s="17" t="n">
        <x:f>SUM(Q1504:S1504)</x:f>
        <x:v>13</x:v>
      </x:c>
      <x:c r="AI1504" s="17" t="n">
        <x:f>SUM(U1504:Y1504)</x:f>
        <x:v>1</x:v>
      </x:c>
      <x:c r="AJ1504" s="17" t="str">
        <x:f>IF(AE1504&lt;=34,"≤34",IF(AE1504&lt;=44,"35–44",IF(AE1504&lt;=54,"45–54",IF(AE1504&lt;=64,"55–64","65+"))))</x:f>
        <x:v>35–44</x:v>
      </x:c>
      <x:c r="AK1504" s="17" t="str">
        <x:f>IF(AG1504&gt;=1000,"High Value",IF(AG1504&gt;=300,"Mid Value","Low Value"))</x:f>
        <x:v>Mid Value</x:v>
      </x:c>
      <x:c r="AL1504" s="17" t="str">
        <x:f>IF(AND(AI1504&gt;=1,I1504&lt;=50),"Priority 1",IF(AND(AG1504&gt;=1000,I1504&lt;=60),"Priority 2",IF(I1504&lt;=30,"Priority 3","Nurture")))</x:f>
        <x:v>Nurture</x:v>
      </x:c>
    </x:row>
    <x:row r="1505">
      <x:c r="A1505" s="16" t="n">
        <x:v>851</x:v>
      </x:c>
      <x:c r="B1505" s="16" t="n">
        <x:v>1972</x:v>
      </x:c>
      <x:c r="C1505" s="16" t="str">
        <x:v>Master</x:v>
      </x:c>
      <x:c r="D1505" s="16" t="str">
        <x:v>Married</x:v>
      </x:c>
      <x:c r="E1505" s="16" t="n">
        <x:v>57136</x:v>
      </x:c>
      <x:c r="F1505" s="16" t="n">
        <x:v>1</x:v>
      </x:c>
      <x:c r="G1505" s="16" t="n">
        <x:v>1</x:v>
      </x:c>
      <x:c r="H1505" s="16" t="str">
        <x:v>09-07-2013</x:v>
      </x:c>
      <x:c r="I1505" s="16" t="n">
        <x:v>48</x:v>
      </x:c>
      <x:c r="J1505" s="16" t="n">
        <x:v>306</x:v>
      </x:c>
      <x:c r="K1505" s="16" t="n">
        <x:v>5</x:v>
      </x:c>
      <x:c r="L1505" s="16" t="n">
        <x:v>109</x:v>
      </x:c>
      <x:c r="M1505" s="16" t="n">
        <x:v>21</x:v>
      </x:c>
      <x:c r="N1505" s="16" t="n">
        <x:v>109</x:v>
      </x:c>
      <x:c r="O1505" s="16" t="n">
        <x:v>92</x:v>
      </x:c>
      <x:c r="P1505" s="16" t="n">
        <x:v>9</x:v>
      </x:c>
      <x:c r="Q1505" s="16" t="n">
        <x:v>5</x:v>
      </x:c>
      <x:c r="R1505" s="16" t="n">
        <x:v>2</x:v>
      </x:c>
      <x:c r="S1505" s="16" t="n">
        <x:v>10</x:v>
      </x:c>
      <x:c r="T1505" s="16" t="n">
        <x:v>6</x:v>
      </x:c>
      <x:c r="U1505" s="16" t="n">
        <x:v>0</x:v>
      </x:c>
      <x:c r="V1505" s="16" t="n">
        <x:v>0</x:v>
      </x:c>
      <x:c r="W1505" s="16" t="n">
        <x:v>0</x:v>
      </x:c>
      <x:c r="X1505" s="16" t="n">
        <x:v>0</x:v>
      </x:c>
      <x:c r="Y1505" s="16" t="n">
        <x:v>0</x:v>
      </x:c>
      <x:c r="Z1505" s="16" t="n">
        <x:v>0</x:v>
      </x:c>
      <x:c r="AA1505" s="16" t="n">
        <x:v>3</x:v>
      </x:c>
      <x:c r="AB1505" s="16" t="n">
        <x:v>11</x:v>
      </x:c>
      <x:c r="AC1505" s="16" t="n">
        <x:v>0</x:v>
      </x:c>
      <x:c r="AD1505" s="21" t="n">
        <x:f>IF(E1505="",MEDIAN($E$2:$E$2237),E1505)</x:f>
        <x:v>57136</x:v>
      </x:c>
      <x:c r="AE1505" s="17" t="n">
        <x:f>2014-B1505</x:f>
        <x:v>42</x:v>
      </x:c>
      <x:c r="AF1505" s="17" t="n">
        <x:f>F1505+G1505</x:f>
        <x:v>2</x:v>
      </x:c>
      <x:c r="AG1505" s="21" t="n">
        <x:f>SUM(J1505:O1505)</x:f>
        <x:v>642</x:v>
      </x:c>
      <x:c r="AH1505" s="17" t="n">
        <x:f>SUM(Q1505:S1505)</x:f>
        <x:v>17</x:v>
      </x:c>
      <x:c r="AI1505" s="17" t="n">
        <x:f>SUM(U1505:Y1505)</x:f>
        <x:v>0</x:v>
      </x:c>
      <x:c r="AJ1505" s="17" t="str">
        <x:f>IF(AE1505&lt;=34,"≤34",IF(AE1505&lt;=44,"35–44",IF(AE1505&lt;=54,"45–54",IF(AE1505&lt;=64,"55–64","65+"))))</x:f>
        <x:v>35–44</x:v>
      </x:c>
      <x:c r="AK1505" s="17" t="str">
        <x:f>IF(AG1505&gt;=1000,"High Value",IF(AG1505&gt;=300,"Mid Value","Low Value"))</x:f>
        <x:v>Mid Value</x:v>
      </x:c>
      <x:c r="AL1505" s="17" t="str">
        <x:f>IF(AND(AI1505&gt;=1,I1505&lt;=50),"Priority 1",IF(AND(AG1505&gt;=1000,I1505&lt;=60),"Priority 2",IF(I1505&lt;=30,"Priority 3","Nurture")))</x:f>
        <x:v>Nurture</x:v>
      </x:c>
    </x:row>
    <x:row r="1506">
      <x:c r="A1506" s="16" t="n">
        <x:v>7706</x:v>
      </x:c>
      <x:c r="B1506" s="16" t="n">
        <x:v>1975</x:v>
      </x:c>
      <x:c r="C1506" s="16" t="str">
        <x:v>2n Cycle</x:v>
      </x:c>
      <x:c r="D1506" s="16" t="str">
        <x:v>Together</x:v>
      </x:c>
      <x:c r="E1506" s="16" t="n">
        <x:v>46772</x:v>
      </x:c>
      <x:c r="F1506" s="16" t="n">
        <x:v>0</x:v>
      </x:c>
      <x:c r="G1506" s="16" t="n">
        <x:v>1</x:v>
      </x:c>
      <x:c r="H1506" s="16" t="str">
        <x:v>07-11-2012</x:v>
      </x:c>
      <x:c r="I1506" s="16" t="n">
        <x:v>88</x:v>
      </x:c>
      <x:c r="J1506" s="16" t="n">
        <x:v>350</x:v>
      </x:c>
      <x:c r="K1506" s="16" t="n">
        <x:v>104</x:v>
      </x:c>
      <x:c r="L1506" s="16" t="n">
        <x:v>189</x:v>
      </x:c>
      <x:c r="M1506" s="16" t="n">
        <x:v>197</x:v>
      </x:c>
      <x:c r="N1506" s="16" t="n">
        <x:v>151</x:v>
      </x:c>
      <x:c r="O1506" s="16" t="n">
        <x:v>57</x:v>
      </x:c>
      <x:c r="P1506" s="16" t="n">
        <x:v>6</x:v>
      </x:c>
      <x:c r="Q1506" s="16" t="n">
        <x:v>11</x:v>
      </x:c>
      <x:c r="R1506" s="16" t="n">
        <x:v>8</x:v>
      </x:c>
      <x:c r="S1506" s="16" t="n">
        <x:v>5</x:v>
      </x:c>
      <x:c r="T1506" s="16" t="n">
        <x:v>8</x:v>
      </x:c>
      <x:c r="U1506" s="16" t="n">
        <x:v>1</x:v>
      </x:c>
      <x:c r="V1506" s="16" t="n">
        <x:v>0</x:v>
      </x:c>
      <x:c r="W1506" s="16" t="n">
        <x:v>0</x:v>
      </x:c>
      <x:c r="X1506" s="16" t="n">
        <x:v>0</x:v>
      </x:c>
      <x:c r="Y1506" s="16" t="n">
        <x:v>0</x:v>
      </x:c>
      <x:c r="Z1506" s="16" t="n">
        <x:v>0</x:v>
      </x:c>
      <x:c r="AA1506" s="16" t="n">
        <x:v>3</x:v>
      </x:c>
      <x:c r="AB1506" s="16" t="n">
        <x:v>11</x:v>
      </x:c>
      <x:c r="AC1506" s="16" t="n">
        <x:v>0</x:v>
      </x:c>
      <x:c r="AD1506" s="21" t="n">
        <x:f>IF(E1506="",MEDIAN($E$2:$E$2237),E1506)</x:f>
        <x:v>46772</x:v>
      </x:c>
      <x:c r="AE1506" s="17" t="n">
        <x:f>2014-B1506</x:f>
        <x:v>39</x:v>
      </x:c>
      <x:c r="AF1506" s="17" t="n">
        <x:f>F1506+G1506</x:f>
        <x:v>1</x:v>
      </x:c>
      <x:c r="AG1506" s="21" t="n">
        <x:f>SUM(J1506:O1506)</x:f>
        <x:v>1048</x:v>
      </x:c>
      <x:c r="AH1506" s="17" t="n">
        <x:f>SUM(Q1506:S1506)</x:f>
        <x:v>24</x:v>
      </x:c>
      <x:c r="AI1506" s="17" t="n">
        <x:f>SUM(U1506:Y1506)</x:f>
        <x:v>1</x:v>
      </x:c>
      <x:c r="AJ1506" s="17" t="str">
        <x:f>IF(AE1506&lt;=34,"≤34",IF(AE1506&lt;=44,"35–44",IF(AE1506&lt;=54,"45–54",IF(AE1506&lt;=64,"55–64","65+"))))</x:f>
        <x:v>35–44</x:v>
      </x:c>
      <x:c r="AK1506" s="17" t="str">
        <x:f>IF(AG1506&gt;=1000,"High Value",IF(AG1506&gt;=300,"Mid Value","Low Value"))</x:f>
        <x:v>High Value</x:v>
      </x:c>
      <x:c r="AL1506" s="17" t="str">
        <x:f>IF(AND(AI1506&gt;=1,I1506&lt;=50),"Priority 1",IF(AND(AG1506&gt;=1000,I1506&lt;=60),"Priority 2",IF(I1506&lt;=30,"Priority 3","Nurture")))</x:f>
        <x:v>Nurture</x:v>
      </x:c>
    </x:row>
    <x:row r="1507">
      <x:c r="A1507" s="16" t="n">
        <x:v>3967</x:v>
      </x:c>
      <x:c r="B1507" s="16" t="n">
        <x:v>1971</x:v>
      </x:c>
      <x:c r="C1507" s="16" t="str">
        <x:v>PhD</x:v>
      </x:c>
      <x:c r="D1507" s="16" t="str">
        <x:v>Married</x:v>
      </x:c>
      <x:c r="E1507" s="16" t="n">
        <x:v>78931</x:v>
      </x:c>
      <x:c r="F1507" s="16" t="n">
        <x:v>0</x:v>
      </x:c>
      <x:c r="G1507" s="16" t="n">
        <x:v>0</x:v>
      </x:c>
      <x:c r="H1507" s="16" t="str">
        <x:v>25-10-2013</x:v>
      </x:c>
      <x:c r="I1507" s="16" t="n">
        <x:v>19</x:v>
      </x:c>
      <x:c r="J1507" s="16" t="n">
        <x:v>331</x:v>
      </x:c>
      <x:c r="K1507" s="16" t="n">
        <x:v>197</x:v>
      </x:c>
      <x:c r="L1507" s="16" t="n">
        <x:v>170</x:v>
      </x:c>
      <x:c r="M1507" s="16" t="n">
        <x:v>58</x:v>
      </x:c>
      <x:c r="N1507" s="16" t="n">
        <x:v>152</x:v>
      </x:c>
      <x:c r="O1507" s="16" t="n">
        <x:v>35</x:v>
      </x:c>
      <x:c r="P1507" s="16" t="n">
        <x:v>1</x:v>
      </x:c>
      <x:c r="Q1507" s="16" t="n">
        <x:v>2</x:v>
      </x:c>
      <x:c r="R1507" s="16" t="n">
        <x:v>8</x:v>
      </x:c>
      <x:c r="S1507" s="16" t="n">
        <x:v>13</x:v>
      </x:c>
      <x:c r="T1507" s="16" t="n">
        <x:v>1</x:v>
      </x:c>
      <x:c r="U1507" s="16" t="n">
        <x:v>0</x:v>
      </x:c>
      <x:c r="V1507" s="16" t="n">
        <x:v>0</x:v>
      </x:c>
      <x:c r="W1507" s="16" t="n">
        <x:v>0</x:v>
      </x:c>
      <x:c r="X1507" s="16" t="n">
        <x:v>0</x:v>
      </x:c>
      <x:c r="Y1507" s="16" t="n">
        <x:v>0</x:v>
      </x:c>
      <x:c r="Z1507" s="16" t="n">
        <x:v>0</x:v>
      </x:c>
      <x:c r="AA1507" s="16" t="n">
        <x:v>3</x:v>
      </x:c>
      <x:c r="AB1507" s="16" t="n">
        <x:v>11</x:v>
      </x:c>
      <x:c r="AC1507" s="16" t="n">
        <x:v>0</x:v>
      </x:c>
      <x:c r="AD1507" s="21" t="n">
        <x:f>IF(E1507="",MEDIAN($E$2:$E$2237),E1507)</x:f>
        <x:v>78931</x:v>
      </x:c>
      <x:c r="AE1507" s="17" t="n">
        <x:f>2014-B1507</x:f>
        <x:v>43</x:v>
      </x:c>
      <x:c r="AF1507" s="17" t="n">
        <x:f>F1507+G1507</x:f>
        <x:v>0</x:v>
      </x:c>
      <x:c r="AG1507" s="21" t="n">
        <x:f>SUM(J1507:O1507)</x:f>
        <x:v>943</x:v>
      </x:c>
      <x:c r="AH1507" s="17" t="n">
        <x:f>SUM(Q1507:S1507)</x:f>
        <x:v>23</x:v>
      </x:c>
      <x:c r="AI1507" s="17" t="n">
        <x:f>SUM(U1507:Y1507)</x:f>
        <x:v>0</x:v>
      </x:c>
      <x:c r="AJ1507" s="17" t="str">
        <x:f>IF(AE1507&lt;=34,"≤34",IF(AE1507&lt;=44,"35–44",IF(AE1507&lt;=54,"45–54",IF(AE1507&lt;=64,"55–64","65+"))))</x:f>
        <x:v>35–44</x:v>
      </x:c>
      <x:c r="AK1507" s="17" t="str">
        <x:f>IF(AG1507&gt;=1000,"High Value",IF(AG1507&gt;=300,"Mid Value","Low Value"))</x:f>
        <x:v>Mid Value</x:v>
      </x:c>
      <x:c r="AL1507" s="17" t="str">
        <x:f>IF(AND(AI1507&gt;=1,I1507&lt;=50),"Priority 1",IF(AND(AG1507&gt;=1000,I1507&lt;=60),"Priority 2",IF(I1507&lt;=30,"Priority 3","Nurture")))</x:f>
        <x:v>Priority 3</x:v>
      </x:c>
    </x:row>
    <x:row r="1508">
      <x:c r="A1508" s="16" t="n">
        <x:v>10128</x:v>
      </x:c>
      <x:c r="B1508" s="16" t="n">
        <x:v>1958</x:v>
      </x:c>
      <x:c r="C1508" s="16" t="str">
        <x:v>Graduation</x:v>
      </x:c>
      <x:c r="D1508" s="16" t="str">
        <x:v>Together</x:v>
      </x:c>
      <x:c r="E1508" s="16" t="n">
        <x:v>53977</x:v>
      </x:c>
      <x:c r="F1508" s="16" t="n">
        <x:v>0</x:v>
      </x:c>
      <x:c r="G1508" s="16" t="n">
        <x:v>1</x:v>
      </x:c>
      <x:c r="H1508" s="16" t="str">
        <x:v>08-06-2013</x:v>
      </x:c>
      <x:c r="I1508" s="16" t="n">
        <x:v>21</x:v>
      </x:c>
      <x:c r="J1508" s="16" t="n">
        <x:v>620</x:v>
      </x:c>
      <x:c r="K1508" s="16" t="n">
        <x:v>16</x:v>
      </x:c>
      <x:c r="L1508" s="16" t="n">
        <x:v>165</x:v>
      </x:c>
      <x:c r="M1508" s="16" t="n">
        <x:v>0</x:v>
      </x:c>
      <x:c r="N1508" s="16" t="n">
        <x:v>24</x:v>
      </x:c>
      <x:c r="O1508" s="16" t="n">
        <x:v>82</x:v>
      </x:c>
      <x:c r="P1508" s="16" t="n">
        <x:v>5</x:v>
      </x:c>
      <x:c r="Q1508" s="16" t="n">
        <x:v>5</x:v>
      </x:c>
      <x:c r="R1508" s="16" t="n">
        <x:v>5</x:v>
      </x:c>
      <x:c r="S1508" s="16" t="n">
        <x:v>12</x:v>
      </x:c>
      <x:c r="T1508" s="16" t="n">
        <x:v>5</x:v>
      </x:c>
      <x:c r="U1508" s="16" t="n">
        <x:v>0</x:v>
      </x:c>
      <x:c r="V1508" s="16" t="n">
        <x:v>0</x:v>
      </x:c>
      <x:c r="W1508" s="16" t="n">
        <x:v>0</x:v>
      </x:c>
      <x:c r="X1508" s="16" t="n">
        <x:v>0</x:v>
      </x:c>
      <x:c r="Y1508" s="16" t="n">
        <x:v>0</x:v>
      </x:c>
      <x:c r="Z1508" s="16" t="n">
        <x:v>0</x:v>
      </x:c>
      <x:c r="AA1508" s="16" t="n">
        <x:v>3</x:v>
      </x:c>
      <x:c r="AB1508" s="16" t="n">
        <x:v>11</x:v>
      </x:c>
      <x:c r="AC1508" s="16" t="n">
        <x:v>0</x:v>
      </x:c>
      <x:c r="AD1508" s="21" t="n">
        <x:f>IF(E1508="",MEDIAN($E$2:$E$2237),E1508)</x:f>
        <x:v>53977</x:v>
      </x:c>
      <x:c r="AE1508" s="17" t="n">
        <x:f>2014-B1508</x:f>
        <x:v>56</x:v>
      </x:c>
      <x:c r="AF1508" s="17" t="n">
        <x:f>F1508+G1508</x:f>
        <x:v>1</x:v>
      </x:c>
      <x:c r="AG1508" s="21" t="n">
        <x:f>SUM(J1508:O1508)</x:f>
        <x:v>907</x:v>
      </x:c>
      <x:c r="AH1508" s="17" t="n">
        <x:f>SUM(Q1508:S1508)</x:f>
        <x:v>22</x:v>
      </x:c>
      <x:c r="AI1508" s="17" t="n">
        <x:f>SUM(U1508:Y1508)</x:f>
        <x:v>0</x:v>
      </x:c>
      <x:c r="AJ1508" s="17" t="str">
        <x:f>IF(AE1508&lt;=34,"≤34",IF(AE1508&lt;=44,"35–44",IF(AE1508&lt;=54,"45–54",IF(AE1508&lt;=64,"55–64","65+"))))</x:f>
        <x:v>55–64</x:v>
      </x:c>
      <x:c r="AK1508" s="17" t="str">
        <x:f>IF(AG1508&gt;=1000,"High Value",IF(AG1508&gt;=300,"Mid Value","Low Value"))</x:f>
        <x:v>Mid Value</x:v>
      </x:c>
      <x:c r="AL1508" s="17" t="str">
        <x:f>IF(AND(AI1508&gt;=1,I1508&lt;=50),"Priority 1",IF(AND(AG1508&gt;=1000,I1508&lt;=60),"Priority 2",IF(I1508&lt;=30,"Priority 3","Nurture")))</x:f>
        <x:v>Priority 3</x:v>
      </x:c>
    </x:row>
    <x:row r="1509">
      <x:c r="A1509" s="16" t="n">
        <x:v>486</x:v>
      </x:c>
      <x:c r="B1509" s="16" t="n">
        <x:v>1988</x:v>
      </x:c>
      <x:c r="C1509" s="16" t="str">
        <x:v>Graduation</x:v>
      </x:c>
      <x:c r="D1509" s="16" t="str">
        <x:v>Married</x:v>
      </x:c>
      <x:c r="E1509" s="16" t="n">
        <x:v>84219</x:v>
      </x:c>
      <x:c r="F1509" s="16" t="n">
        <x:v>0</x:v>
      </x:c>
      <x:c r="G1509" s="16" t="n">
        <x:v>0</x:v>
      </x:c>
      <x:c r="H1509" s="16" t="str">
        <x:v>02-02-2014</x:v>
      </x:c>
      <x:c r="I1509" s="16" t="n">
        <x:v>27</x:v>
      </x:c>
      <x:c r="J1509" s="16" t="n">
        <x:v>434</x:v>
      </x:c>
      <x:c r="K1509" s="16" t="n">
        <x:v>137</x:v>
      </x:c>
      <x:c r="L1509" s="16" t="n">
        <x:v>400</x:v>
      </x:c>
      <x:c r="M1509" s="16" t="n">
        <x:v>45</x:v>
      </x:c>
      <x:c r="N1509" s="16" t="n">
        <x:v>137</x:v>
      </x:c>
      <x:c r="O1509" s="16" t="n">
        <x:v>45</x:v>
      </x:c>
      <x:c r="P1509" s="16" t="n">
        <x:v>1</x:v>
      </x:c>
      <x:c r="Q1509" s="16" t="n">
        <x:v>3</x:v>
      </x:c>
      <x:c r="R1509" s="16" t="n">
        <x:v>4</x:v>
      </x:c>
      <x:c r="S1509" s="16" t="n">
        <x:v>10</x:v>
      </x:c>
      <x:c r="T1509" s="16" t="n">
        <x:v>1</x:v>
      </x:c>
      <x:c r="U1509" s="16" t="n">
        <x:v>0</x:v>
      </x:c>
      <x:c r="V1509" s="16" t="n">
        <x:v>0</x:v>
      </x:c>
      <x:c r="W1509" s="16" t="n">
        <x:v>0</x:v>
      </x:c>
      <x:c r="X1509" s="16" t="n">
        <x:v>0</x:v>
      </x:c>
      <x:c r="Y1509" s="16" t="n">
        <x:v>0</x:v>
      </x:c>
      <x:c r="Z1509" s="16" t="n">
        <x:v>0</x:v>
      </x:c>
      <x:c r="AA1509" s="16" t="n">
        <x:v>3</x:v>
      </x:c>
      <x:c r="AB1509" s="16" t="n">
        <x:v>11</x:v>
      </x:c>
      <x:c r="AC1509" s="16" t="n">
        <x:v>0</x:v>
      </x:c>
      <x:c r="AD1509" s="21" t="n">
        <x:f>IF(E1509="",MEDIAN($E$2:$E$2237),E1509)</x:f>
        <x:v>84219</x:v>
      </x:c>
      <x:c r="AE1509" s="17" t="n">
        <x:f>2014-B1509</x:f>
        <x:v>26</x:v>
      </x:c>
      <x:c r="AF1509" s="17" t="n">
        <x:f>F1509+G1509</x:f>
        <x:v>0</x:v>
      </x:c>
      <x:c r="AG1509" s="21" t="n">
        <x:f>SUM(J1509:O1509)</x:f>
        <x:v>1198</x:v>
      </x:c>
      <x:c r="AH1509" s="17" t="n">
        <x:f>SUM(Q1509:S1509)</x:f>
        <x:v>17</x:v>
      </x:c>
      <x:c r="AI1509" s="17" t="n">
        <x:f>SUM(U1509:Y1509)</x:f>
        <x:v>0</x:v>
      </x:c>
      <x:c r="AJ1509" s="17" t="str">
        <x:f>IF(AE1509&lt;=34,"≤34",IF(AE1509&lt;=44,"35–44",IF(AE1509&lt;=54,"45–54",IF(AE1509&lt;=64,"55–64","65+"))))</x:f>
        <x:v>≤34</x:v>
      </x:c>
      <x:c r="AK1509" s="17" t="str">
        <x:f>IF(AG1509&gt;=1000,"High Value",IF(AG1509&gt;=300,"Mid Value","Low Value"))</x:f>
        <x:v>High Value</x:v>
      </x:c>
      <x:c r="AL1509" s="17" t="str">
        <x:f>IF(AND(AI1509&gt;=1,I1509&lt;=50),"Priority 1",IF(AND(AG1509&gt;=1000,I1509&lt;=60),"Priority 2",IF(I1509&lt;=30,"Priority 3","Nurture")))</x:f>
        <x:v>Priority 2</x:v>
      </x:c>
    </x:row>
    <x:row r="1510">
      <x:c r="A1510" s="16" t="n">
        <x:v>9</x:v>
      </x:c>
      <x:c r="B1510" s="16" t="n">
        <x:v>1975</x:v>
      </x:c>
      <x:c r="C1510" s="16" t="str">
        <x:v>Master</x:v>
      </x:c>
      <x:c r="D1510" s="16" t="str">
        <x:v>Single</x:v>
      </x:c>
      <x:c r="E1510" s="16" t="n">
        <x:v>46098</x:v>
      </x:c>
      <x:c r="F1510" s="16" t="n">
        <x:v>1</x:v>
      </x:c>
      <x:c r="G1510" s="16" t="n">
        <x:v>1</x:v>
      </x:c>
      <x:c r="H1510" s="16" t="str">
        <x:v>18-08-2012</x:v>
      </x:c>
      <x:c r="I1510" s="16" t="n">
        <x:v>86</x:v>
      </x:c>
      <x:c r="J1510" s="16" t="n">
        <x:v>57</x:v>
      </x:c>
      <x:c r="K1510" s="16" t="n">
        <x:v>0</x:v>
      </x:c>
      <x:c r="L1510" s="16" t="n">
        <x:v>27</x:v>
      </x:c>
      <x:c r="M1510" s="16" t="n">
        <x:v>0</x:v>
      </x:c>
      <x:c r="N1510" s="16" t="n">
        <x:v>0</x:v>
      </x:c>
      <x:c r="O1510" s="16" t="n">
        <x:v>36</x:v>
      </x:c>
      <x:c r="P1510" s="16" t="n">
        <x:v>4</x:v>
      </x:c>
      <x:c r="Q1510" s="16" t="n">
        <x:v>3</x:v>
      </x:c>
      <x:c r="R1510" s="16" t="n">
        <x:v>2</x:v>
      </x:c>
      <x:c r="S1510" s="16" t="n">
        <x:v>2</x:v>
      </x:c>
      <x:c r="T1510" s="16" t="n">
        <x:v>8</x:v>
      </x:c>
      <x:c r="U1510" s="16" t="n">
        <x:v>0</x:v>
      </x:c>
      <x:c r="V1510" s="16" t="n">
        <x:v>0</x:v>
      </x:c>
      <x:c r="W1510" s="16" t="n">
        <x:v>0</x:v>
      </x:c>
      <x:c r="X1510" s="16" t="n">
        <x:v>0</x:v>
      </x:c>
      <x:c r="Y1510" s="16" t="n">
        <x:v>0</x:v>
      </x:c>
      <x:c r="Z1510" s="16" t="n">
        <x:v>0</x:v>
      </x:c>
      <x:c r="AA1510" s="16" t="n">
        <x:v>3</x:v>
      </x:c>
      <x:c r="AB1510" s="16" t="n">
        <x:v>11</x:v>
      </x:c>
      <x:c r="AC1510" s="16" t="n">
        <x:v>0</x:v>
      </x:c>
      <x:c r="AD1510" s="21" t="n">
        <x:f>IF(E1510="",MEDIAN($E$2:$E$2237),E1510)</x:f>
        <x:v>46098</x:v>
      </x:c>
      <x:c r="AE1510" s="17" t="n">
        <x:f>2014-B1510</x:f>
        <x:v>39</x:v>
      </x:c>
      <x:c r="AF1510" s="17" t="n">
        <x:f>F1510+G1510</x:f>
        <x:v>2</x:v>
      </x:c>
      <x:c r="AG1510" s="21" t="n">
        <x:f>SUM(J1510:O1510)</x:f>
        <x:v>120</x:v>
      </x:c>
      <x:c r="AH1510" s="17" t="n">
        <x:f>SUM(Q1510:S1510)</x:f>
        <x:v>7</x:v>
      </x:c>
      <x:c r="AI1510" s="17" t="n">
        <x:f>SUM(U1510:Y1510)</x:f>
        <x:v>0</x:v>
      </x:c>
      <x:c r="AJ1510" s="17" t="str">
        <x:f>IF(AE1510&lt;=34,"≤34",IF(AE1510&lt;=44,"35–44",IF(AE1510&lt;=54,"45–54",IF(AE1510&lt;=64,"55–64","65+"))))</x:f>
        <x:v>35–44</x:v>
      </x:c>
      <x:c r="AK1510" s="17" t="str">
        <x:f>IF(AG1510&gt;=1000,"High Value",IF(AG1510&gt;=300,"Mid Value","Low Value"))</x:f>
        <x:v>Low Value</x:v>
      </x:c>
      <x:c r="AL1510" s="17" t="str">
        <x:f>IF(AND(AI1510&gt;=1,I1510&lt;=50),"Priority 1",IF(AND(AG1510&gt;=1000,I1510&lt;=60),"Priority 2",IF(I1510&lt;=30,"Priority 3","Nurture")))</x:f>
        <x:v>Nurture</x:v>
      </x:c>
    </x:row>
    <x:row r="1511">
      <x:c r="A1511" s="16" t="n">
        <x:v>9451</x:v>
      </x:c>
      <x:c r="B1511" s="16" t="n">
        <x:v>1965</x:v>
      </x:c>
      <x:c r="C1511" s="16" t="str">
        <x:v>Graduation</x:v>
      </x:c>
      <x:c r="D1511" s="16" t="str">
        <x:v>Married</x:v>
      </x:c>
      <x:c r="E1511" s="16" t="n">
        <x:v>73538</x:v>
      </x:c>
      <x:c r="F1511" s="16" t="n">
        <x:v>0</x:v>
      </x:c>
      <x:c r="G1511" s="16" t="n">
        <x:v>1</x:v>
      </x:c>
      <x:c r="H1511" s="16" t="str">
        <x:v>25-11-2012</x:v>
      </x:c>
      <x:c r="I1511" s="16" t="n">
        <x:v>92</x:v>
      </x:c>
      <x:c r="J1511" s="16" t="n">
        <x:v>811</x:v>
      </x:c>
      <x:c r="K1511" s="16" t="n">
        <x:v>76</x:v>
      </x:c>
      <x:c r="L1511" s="16" t="n">
        <x:v>428</x:v>
      </x:c>
      <x:c r="M1511" s="16" t="n">
        <x:v>99</x:v>
      </x:c>
      <x:c r="N1511" s="16" t="n">
        <x:v>137</x:v>
      </x:c>
      <x:c r="O1511" s="16" t="n">
        <x:v>107</x:v>
      </x:c>
      <x:c r="P1511" s="16" t="n">
        <x:v>3</x:v>
      </x:c>
      <x:c r="Q1511" s="16" t="n">
        <x:v>10</x:v>
      </x:c>
      <x:c r="R1511" s="16" t="n">
        <x:v>4</x:v>
      </x:c>
      <x:c r="S1511" s="16" t="n">
        <x:v>9</x:v>
      </x:c>
      <x:c r="T1511" s="16" t="n">
        <x:v>7</x:v>
      </x:c>
      <x:c r="U1511" s="16" t="n">
        <x:v>0</x:v>
      </x:c>
      <x:c r="V1511" s="16" t="n">
        <x:v>0</x:v>
      </x:c>
      <x:c r="W1511" s="16" t="n">
        <x:v>0</x:v>
      </x:c>
      <x:c r="X1511" s="16" t="n">
        <x:v>0</x:v>
      </x:c>
      <x:c r="Y1511" s="16" t="n">
        <x:v>0</x:v>
      </x:c>
      <x:c r="Z1511" s="16" t="n">
        <x:v>0</x:v>
      </x:c>
      <x:c r="AA1511" s="16" t="n">
        <x:v>3</x:v>
      </x:c>
      <x:c r="AB1511" s="16" t="n">
        <x:v>11</x:v>
      </x:c>
      <x:c r="AC1511" s="16" t="n">
        <x:v>0</x:v>
      </x:c>
      <x:c r="AD1511" s="21" t="n">
        <x:f>IF(E1511="",MEDIAN($E$2:$E$2237),E1511)</x:f>
        <x:v>73538</x:v>
      </x:c>
      <x:c r="AE1511" s="17" t="n">
        <x:f>2014-B1511</x:f>
        <x:v>49</x:v>
      </x:c>
      <x:c r="AF1511" s="17" t="n">
        <x:f>F1511+G1511</x:f>
        <x:v>1</x:v>
      </x:c>
      <x:c r="AG1511" s="21" t="n">
        <x:f>SUM(J1511:O1511)</x:f>
        <x:v>1658</x:v>
      </x:c>
      <x:c r="AH1511" s="17" t="n">
        <x:f>SUM(Q1511:S1511)</x:f>
        <x:v>23</x:v>
      </x:c>
      <x:c r="AI1511" s="17" t="n">
        <x:f>SUM(U1511:Y1511)</x:f>
        <x:v>0</x:v>
      </x:c>
      <x:c r="AJ1511" s="17" t="str">
        <x:f>IF(AE1511&lt;=34,"≤34",IF(AE1511&lt;=44,"35–44",IF(AE1511&lt;=54,"45–54",IF(AE1511&lt;=64,"55–64","65+"))))</x:f>
        <x:v>45–54</x:v>
      </x:c>
      <x:c r="AK1511" s="17" t="str">
        <x:f>IF(AG1511&gt;=1000,"High Value",IF(AG1511&gt;=300,"Mid Value","Low Value"))</x:f>
        <x:v>High Value</x:v>
      </x:c>
      <x:c r="AL1511" s="17" t="str">
        <x:f>IF(AND(AI1511&gt;=1,I1511&lt;=50),"Priority 1",IF(AND(AG1511&gt;=1000,I1511&lt;=60),"Priority 2",IF(I1511&lt;=30,"Priority 3","Nurture")))</x:f>
        <x:v>Nurture</x:v>
      </x:c>
    </x:row>
    <x:row r="1512">
      <x:c r="A1512" s="16" t="n">
        <x:v>9264</x:v>
      </x:c>
      <x:c r="B1512" s="16" t="n">
        <x:v>1986</x:v>
      </x:c>
      <x:c r="C1512" s="16" t="str">
        <x:v>Graduation</x:v>
      </x:c>
      <x:c r="D1512" s="16" t="str">
        <x:v>Married</x:v>
      </x:c>
      <x:c r="E1512" s="16" t="n">
        <x:v>79529</x:v>
      </x:c>
      <x:c r="F1512" s="16" t="n">
        <x:v>0</x:v>
      </x:c>
      <x:c r="G1512" s="16" t="n">
        <x:v>0</x:v>
      </x:c>
      <x:c r="H1512" s="16" t="str">
        <x:v>27-04-2014</x:v>
      </x:c>
      <x:c r="I1512" s="16" t="n">
        <x:v>1</x:v>
      </x:c>
      <x:c r="J1512" s="16" t="n">
        <x:v>423</x:v>
      </x:c>
      <x:c r="K1512" s="16" t="n">
        <x:v>42</x:v>
      </x:c>
      <x:c r="L1512" s="16" t="n">
        <x:v>706</x:v>
      </x:c>
      <x:c r="M1512" s="16" t="n">
        <x:v>73</x:v>
      </x:c>
      <x:c r="N1512" s="16" t="n">
        <x:v>197</x:v>
      </x:c>
      <x:c r="O1512" s="16" t="n">
        <x:v>197</x:v>
      </x:c>
      <x:c r="P1512" s="16" t="n">
        <x:v>1</x:v>
      </x:c>
      <x:c r="Q1512" s="16" t="n">
        <x:v>4</x:v>
      </x:c>
      <x:c r="R1512" s="16" t="n">
        <x:v>8</x:v>
      </x:c>
      <x:c r="S1512" s="16" t="n">
        <x:v>9</x:v>
      </x:c>
      <x:c r="T1512" s="16" t="n">
        <x:v>2</x:v>
      </x:c>
      <x:c r="U1512" s="16" t="n">
        <x:v>0</x:v>
      </x:c>
      <x:c r="V1512" s="16" t="n">
        <x:v>0</x:v>
      </x:c>
      <x:c r="W1512" s="16" t="n">
        <x:v>0</x:v>
      </x:c>
      <x:c r="X1512" s="16" t="n">
        <x:v>0</x:v>
      </x:c>
      <x:c r="Y1512" s="16" t="n">
        <x:v>0</x:v>
      </x:c>
      <x:c r="Z1512" s="16" t="n">
        <x:v>0</x:v>
      </x:c>
      <x:c r="AA1512" s="16" t="n">
        <x:v>3</x:v>
      </x:c>
      <x:c r="AB1512" s="16" t="n">
        <x:v>11</x:v>
      </x:c>
      <x:c r="AC1512" s="16" t="n">
        <x:v>0</x:v>
      </x:c>
      <x:c r="AD1512" s="21" t="n">
        <x:f>IF(E1512="",MEDIAN($E$2:$E$2237),E1512)</x:f>
        <x:v>79529</x:v>
      </x:c>
      <x:c r="AE1512" s="17" t="n">
        <x:f>2014-B1512</x:f>
        <x:v>28</x:v>
      </x:c>
      <x:c r="AF1512" s="17" t="n">
        <x:f>F1512+G1512</x:f>
        <x:v>0</x:v>
      </x:c>
      <x:c r="AG1512" s="21" t="n">
        <x:f>SUM(J1512:O1512)</x:f>
        <x:v>1638</x:v>
      </x:c>
      <x:c r="AH1512" s="17" t="n">
        <x:f>SUM(Q1512:S1512)</x:f>
        <x:v>21</x:v>
      </x:c>
      <x:c r="AI1512" s="17" t="n">
        <x:f>SUM(U1512:Y1512)</x:f>
        <x:v>0</x:v>
      </x:c>
      <x:c r="AJ1512" s="17" t="str">
        <x:f>IF(AE1512&lt;=34,"≤34",IF(AE1512&lt;=44,"35–44",IF(AE1512&lt;=54,"45–54",IF(AE1512&lt;=64,"55–64","65+"))))</x:f>
        <x:v>≤34</x:v>
      </x:c>
      <x:c r="AK1512" s="17" t="str">
        <x:f>IF(AG1512&gt;=1000,"High Value",IF(AG1512&gt;=300,"Mid Value","Low Value"))</x:f>
        <x:v>High Value</x:v>
      </x:c>
      <x:c r="AL1512" s="17" t="str">
        <x:f>IF(AND(AI1512&gt;=1,I1512&lt;=50),"Priority 1",IF(AND(AG1512&gt;=1000,I1512&lt;=60),"Priority 2",IF(I1512&lt;=30,"Priority 3","Nurture")))</x:f>
        <x:v>Priority 2</x:v>
      </x:c>
    </x:row>
    <x:row r="1513">
      <x:c r="A1513" s="16" t="n">
        <x:v>3865</x:v>
      </x:c>
      <x:c r="B1513" s="16" t="n">
        <x:v>1977</x:v>
      </x:c>
      <x:c r="C1513" s="16" t="str">
        <x:v>2n Cycle</x:v>
      </x:c>
      <x:c r="D1513" s="16" t="str">
        <x:v>Together</x:v>
      </x:c>
      <x:c r="E1513" s="16" t="n">
        <x:v>20981</x:v>
      </x:c>
      <x:c r="F1513" s="16" t="n">
        <x:v>0</x:v>
      </x:c>
      <x:c r="G1513" s="16" t="n">
        <x:v>0</x:v>
      </x:c>
      <x:c r="H1513" s="16" t="str">
        <x:v>30-04-2013</x:v>
      </x:c>
      <x:c r="I1513" s="16" t="n">
        <x:v>14</x:v>
      </x:c>
      <x:c r="J1513" s="16" t="n">
        <x:v>2</x:v>
      </x:c>
      <x:c r="K1513" s="16" t="n">
        <x:v>12</x:v>
      </x:c>
      <x:c r="L1513" s="16" t="n">
        <x:v>10</x:v>
      </x:c>
      <x:c r="M1513" s="16" t="n">
        <x:v>6</x:v>
      </x:c>
      <x:c r="N1513" s="16" t="n">
        <x:v>13</x:v>
      </x:c>
      <x:c r="O1513" s="16" t="n">
        <x:v>30</x:v>
      </x:c>
      <x:c r="P1513" s="16" t="n">
        <x:v>1</x:v>
      </x:c>
      <x:c r="Q1513" s="16" t="n">
        <x:v>3</x:v>
      </x:c>
      <x:c r="R1513" s="16" t="n">
        <x:v>1</x:v>
      </x:c>
      <x:c r="S1513" s="16" t="n">
        <x:v>2</x:v>
      </x:c>
      <x:c r="T1513" s="16" t="n">
        <x:v>8</x:v>
      </x:c>
      <x:c r="U1513" s="16" t="n">
        <x:v>0</x:v>
      </x:c>
      <x:c r="V1513" s="16" t="n">
        <x:v>0</x:v>
      </x:c>
      <x:c r="W1513" s="16" t="n">
        <x:v>0</x:v>
      </x:c>
      <x:c r="X1513" s="16" t="n">
        <x:v>0</x:v>
      </x:c>
      <x:c r="Y1513" s="16" t="n">
        <x:v>0</x:v>
      </x:c>
      <x:c r="Z1513" s="16" t="n">
        <x:v>0</x:v>
      </x:c>
      <x:c r="AA1513" s="16" t="n">
        <x:v>3</x:v>
      </x:c>
      <x:c r="AB1513" s="16" t="n">
        <x:v>11</x:v>
      </x:c>
      <x:c r="AC1513" s="16" t="n">
        <x:v>1</x:v>
      </x:c>
      <x:c r="AD1513" s="21" t="n">
        <x:f>IF(E1513="",MEDIAN($E$2:$E$2237),E1513)</x:f>
        <x:v>20981</x:v>
      </x:c>
      <x:c r="AE1513" s="17" t="n">
        <x:f>2014-B1513</x:f>
        <x:v>37</x:v>
      </x:c>
      <x:c r="AF1513" s="17" t="n">
        <x:f>F1513+G1513</x:f>
        <x:v>0</x:v>
      </x:c>
      <x:c r="AG1513" s="21" t="n">
        <x:f>SUM(J1513:O1513)</x:f>
        <x:v>73</x:v>
      </x:c>
      <x:c r="AH1513" s="17" t="n">
        <x:f>SUM(Q1513:S1513)</x:f>
        <x:v>6</x:v>
      </x:c>
      <x:c r="AI1513" s="17" t="n">
        <x:f>SUM(U1513:Y1513)</x:f>
        <x:v>0</x:v>
      </x:c>
      <x:c r="AJ1513" s="17" t="str">
        <x:f>IF(AE1513&lt;=34,"≤34",IF(AE1513&lt;=44,"35–44",IF(AE1513&lt;=54,"45–54",IF(AE1513&lt;=64,"55–64","65+"))))</x:f>
        <x:v>35–44</x:v>
      </x:c>
      <x:c r="AK1513" s="17" t="str">
        <x:f>IF(AG1513&gt;=1000,"High Value",IF(AG1513&gt;=300,"Mid Value","Low Value"))</x:f>
        <x:v>Low Value</x:v>
      </x:c>
      <x:c r="AL1513" s="17" t="str">
        <x:f>IF(AND(AI1513&gt;=1,I1513&lt;=50),"Priority 1",IF(AND(AG1513&gt;=1000,I1513&lt;=60),"Priority 2",IF(I1513&lt;=30,"Priority 3","Nurture")))</x:f>
        <x:v>Priority 3</x:v>
      </x:c>
    </x:row>
    <x:row r="1514">
      <x:c r="A1514" s="16" t="n">
        <x:v>2853</x:v>
      </x:c>
      <x:c r="B1514" s="16" t="n">
        <x:v>1980</x:v>
      </x:c>
      <x:c r="C1514" s="16" t="str">
        <x:v>Graduation</x:v>
      </x:c>
      <x:c r="D1514" s="16" t="str">
        <x:v>Single</x:v>
      </x:c>
      <x:c r="E1514" s="16" t="n">
        <x:v>51766</x:v>
      </x:c>
      <x:c r="F1514" s="16" t="n">
        <x:v>1</x:v>
      </x:c>
      <x:c r="G1514" s="16" t="n">
        <x:v>0</x:v>
      </x:c>
      <x:c r="H1514" s="16" t="str">
        <x:v>11-03-2014</x:v>
      </x:c>
      <x:c r="I1514" s="16" t="n">
        <x:v>74</x:v>
      </x:c>
      <x:c r="J1514" s="16" t="n">
        <x:v>60</x:v>
      </x:c>
      <x:c r="K1514" s="16" t="n">
        <x:v>51</x:v>
      </x:c>
      <x:c r="L1514" s="16" t="n">
        <x:v>87</x:v>
      </x:c>
      <x:c r="M1514" s="16" t="n">
        <x:v>6</x:v>
      </x:c>
      <x:c r="N1514" s="16" t="n">
        <x:v>20</x:v>
      </x:c>
      <x:c r="O1514" s="16" t="n">
        <x:v>51</x:v>
      </x:c>
      <x:c r="P1514" s="16" t="n">
        <x:v>2</x:v>
      </x:c>
      <x:c r="Q1514" s="16" t="n">
        <x:v>4</x:v>
      </x:c>
      <x:c r="R1514" s="16" t="n">
        <x:v>2</x:v>
      </x:c>
      <x:c r="S1514" s="16" t="n">
        <x:v>4</x:v>
      </x:c>
      <x:c r="T1514" s="16" t="n">
        <x:v>5</x:v>
      </x:c>
      <x:c r="U1514" s="16" t="n">
        <x:v>0</x:v>
      </x:c>
      <x:c r="V1514" s="16" t="n">
        <x:v>0</x:v>
      </x:c>
      <x:c r="W1514" s="16" t="n">
        <x:v>0</x:v>
      </x:c>
      <x:c r="X1514" s="16" t="n">
        <x:v>0</x:v>
      </x:c>
      <x:c r="Y1514" s="16" t="n">
        <x:v>0</x:v>
      </x:c>
      <x:c r="Z1514" s="16" t="n">
        <x:v>0</x:v>
      </x:c>
      <x:c r="AA1514" s="16" t="n">
        <x:v>3</x:v>
      </x:c>
      <x:c r="AB1514" s="16" t="n">
        <x:v>11</x:v>
      </x:c>
      <x:c r="AC1514" s="16" t="n">
        <x:v>0</x:v>
      </x:c>
      <x:c r="AD1514" s="21" t="n">
        <x:f>IF(E1514="",MEDIAN($E$2:$E$2237),E1514)</x:f>
        <x:v>51766</x:v>
      </x:c>
      <x:c r="AE1514" s="17" t="n">
        <x:f>2014-B1514</x:f>
        <x:v>34</x:v>
      </x:c>
      <x:c r="AF1514" s="17" t="n">
        <x:f>F1514+G1514</x:f>
        <x:v>1</x:v>
      </x:c>
      <x:c r="AG1514" s="21" t="n">
        <x:f>SUM(J1514:O1514)</x:f>
        <x:v>275</x:v>
      </x:c>
      <x:c r="AH1514" s="17" t="n">
        <x:f>SUM(Q1514:S1514)</x:f>
        <x:v>10</x:v>
      </x:c>
      <x:c r="AI1514" s="17" t="n">
        <x:f>SUM(U1514:Y1514)</x:f>
        <x:v>0</x:v>
      </x:c>
      <x:c r="AJ1514" s="17" t="str">
        <x:f>IF(AE1514&lt;=34,"≤34",IF(AE1514&lt;=44,"35–44",IF(AE1514&lt;=54,"45–54",IF(AE1514&lt;=64,"55–64","65+"))))</x:f>
        <x:v>≤34</x:v>
      </x:c>
      <x:c r="AK1514" s="17" t="str">
        <x:f>IF(AG1514&gt;=1000,"High Value",IF(AG1514&gt;=300,"Mid Value","Low Value"))</x:f>
        <x:v>Low Value</x:v>
      </x:c>
      <x:c r="AL1514" s="17" t="str">
        <x:f>IF(AND(AI1514&gt;=1,I1514&lt;=50),"Priority 1",IF(AND(AG1514&gt;=1000,I1514&lt;=60),"Priority 2",IF(I1514&lt;=30,"Priority 3","Nurture")))</x:f>
        <x:v>Nurture</x:v>
      </x:c>
    </x:row>
    <x:row r="1515">
      <x:c r="A1515" s="16" t="n">
        <x:v>1490</x:v>
      </x:c>
      <x:c r="B1515" s="16" t="n">
        <x:v>1962</x:v>
      </x:c>
      <x:c r="C1515" s="16" t="str">
        <x:v>Graduation</x:v>
      </x:c>
      <x:c r="D1515" s="16" t="str">
        <x:v>Married</x:v>
      </x:c>
      <x:c r="E1515" s="16" t="n">
        <x:v>55759</x:v>
      </x:c>
      <x:c r="F1515" s="16" t="n">
        <x:v>0</x:v>
      </x:c>
      <x:c r="G1515" s="16" t="n">
        <x:v>1</x:v>
      </x:c>
      <x:c r="H1515" s="16" t="str">
        <x:v>28-11-2012</x:v>
      </x:c>
      <x:c r="I1515" s="16" t="n">
        <x:v>84</x:v>
      </x:c>
      <x:c r="J1515" s="16" t="n">
        <x:v>675</x:v>
      </x:c>
      <x:c r="K1515" s="16" t="n">
        <x:v>0</x:v>
      </x:c>
      <x:c r="L1515" s="16" t="n">
        <x:v>85</x:v>
      </x:c>
      <x:c r="M1515" s="16" t="n">
        <x:v>10</x:v>
      </x:c>
      <x:c r="N1515" s="16" t="n">
        <x:v>7</x:v>
      </x:c>
      <x:c r="O1515" s="16" t="n">
        <x:v>77</x:v>
      </x:c>
      <x:c r="P1515" s="16" t="n">
        <x:v>5</x:v>
      </x:c>
      <x:c r="Q1515" s="16" t="n">
        <x:v>10</x:v>
      </x:c>
      <x:c r="R1515" s="16" t="n">
        <x:v>3</x:v>
      </x:c>
      <x:c r="S1515" s="16" t="n">
        <x:v>8</x:v>
      </x:c>
      <x:c r="T1515" s="16" t="n">
        <x:v>8</x:v>
      </x:c>
      <x:c r="U1515" s="16" t="n">
        <x:v>0</x:v>
      </x:c>
      <x:c r="V1515" s="16" t="n">
        <x:v>0</x:v>
      </x:c>
      <x:c r="W1515" s="16" t="n">
        <x:v>0</x:v>
      </x:c>
      <x:c r="X1515" s="16" t="n">
        <x:v>0</x:v>
      </x:c>
      <x:c r="Y1515" s="16" t="n">
        <x:v>0</x:v>
      </x:c>
      <x:c r="Z1515" s="16" t="n">
        <x:v>0</x:v>
      </x:c>
      <x:c r="AA1515" s="16" t="n">
        <x:v>3</x:v>
      </x:c>
      <x:c r="AB1515" s="16" t="n">
        <x:v>11</x:v>
      </x:c>
      <x:c r="AC1515" s="16" t="n">
        <x:v>0</x:v>
      </x:c>
      <x:c r="AD1515" s="21" t="n">
        <x:f>IF(E1515="",MEDIAN($E$2:$E$2237),E1515)</x:f>
        <x:v>55759</x:v>
      </x:c>
      <x:c r="AE1515" s="17" t="n">
        <x:f>2014-B1515</x:f>
        <x:v>52</x:v>
      </x:c>
      <x:c r="AF1515" s="17" t="n">
        <x:f>F1515+G1515</x:f>
        <x:v>1</x:v>
      </x:c>
      <x:c r="AG1515" s="21" t="n">
        <x:f>SUM(J1515:O1515)</x:f>
        <x:v>854</x:v>
      </x:c>
      <x:c r="AH1515" s="17" t="n">
        <x:f>SUM(Q1515:S1515)</x:f>
        <x:v>21</x:v>
      </x:c>
      <x:c r="AI1515" s="17" t="n">
        <x:f>SUM(U1515:Y1515)</x:f>
        <x:v>0</x:v>
      </x:c>
      <x:c r="AJ1515" s="17" t="str">
        <x:f>IF(AE1515&lt;=34,"≤34",IF(AE1515&lt;=44,"35–44",IF(AE1515&lt;=54,"45–54",IF(AE1515&lt;=64,"55–64","65+"))))</x:f>
        <x:v>45–54</x:v>
      </x:c>
      <x:c r="AK1515" s="17" t="str">
        <x:f>IF(AG1515&gt;=1000,"High Value",IF(AG1515&gt;=300,"Mid Value","Low Value"))</x:f>
        <x:v>Mid Value</x:v>
      </x:c>
      <x:c r="AL1515" s="17" t="str">
        <x:f>IF(AND(AI1515&gt;=1,I1515&lt;=50),"Priority 1",IF(AND(AG1515&gt;=1000,I1515&lt;=60),"Priority 2",IF(I1515&lt;=30,"Priority 3","Nurture")))</x:f>
        <x:v>Nurture</x:v>
      </x:c>
    </x:row>
    <x:row r="1516">
      <x:c r="A1516" s="16" t="n">
        <x:v>6310</x:v>
      </x:c>
      <x:c r="B1516" s="16" t="n">
        <x:v>1978</x:v>
      </x:c>
      <x:c r="C1516" s="16" t="str">
        <x:v>Graduation</x:v>
      </x:c>
      <x:c r="D1516" s="16" t="str">
        <x:v>Married</x:v>
      </x:c>
      <x:c r="E1516" s="16" t="n">
        <x:v>33039</x:v>
      </x:c>
      <x:c r="F1516" s="16" t="n">
        <x:v>1</x:v>
      </x:c>
      <x:c r="G1516" s="16" t="n">
        <x:v>0</x:v>
      </x:c>
      <x:c r="H1516" s="16" t="str">
        <x:v>09-09-2013</x:v>
      </x:c>
      <x:c r="I1516" s="16" t="n">
        <x:v>4</x:v>
      </x:c>
      <x:c r="J1516" s="16" t="n">
        <x:v>30</x:v>
      </x:c>
      <x:c r="K1516" s="16" t="n">
        <x:v>8</x:v>
      </x:c>
      <x:c r="L1516" s="16" t="n">
        <x:v>12</x:v>
      </x:c>
      <x:c r="M1516" s="16" t="n">
        <x:v>8</x:v>
      </x:c>
      <x:c r="N1516" s="16" t="n">
        <x:v>8</x:v>
      </x:c>
      <x:c r="O1516" s="16" t="n">
        <x:v>12</x:v>
      </x:c>
      <x:c r="P1516" s="16" t="n">
        <x:v>1</x:v>
      </x:c>
      <x:c r="Q1516" s="16" t="n">
        <x:v>2</x:v>
      </x:c>
      <x:c r="R1516" s="16" t="n">
        <x:v>0</x:v>
      </x:c>
      <x:c r="S1516" s="16" t="n">
        <x:v>4</x:v>
      </x:c>
      <x:c r="T1516" s="16" t="n">
        <x:v>5</x:v>
      </x:c>
      <x:c r="U1516" s="16" t="n">
        <x:v>0</x:v>
      </x:c>
      <x:c r="V1516" s="16" t="n">
        <x:v>0</x:v>
      </x:c>
      <x:c r="W1516" s="16" t="n">
        <x:v>0</x:v>
      </x:c>
      <x:c r="X1516" s="16" t="n">
        <x:v>0</x:v>
      </x:c>
      <x:c r="Y1516" s="16" t="n">
        <x:v>0</x:v>
      </x:c>
      <x:c r="Z1516" s="16" t="n">
        <x:v>0</x:v>
      </x:c>
      <x:c r="AA1516" s="16" t="n">
        <x:v>3</x:v>
      </x:c>
      <x:c r="AB1516" s="16" t="n">
        <x:v>11</x:v>
      </x:c>
      <x:c r="AC1516" s="16" t="n">
        <x:v>0</x:v>
      </x:c>
      <x:c r="AD1516" s="21" t="n">
        <x:f>IF(E1516="",MEDIAN($E$2:$E$2237),E1516)</x:f>
        <x:v>33039</x:v>
      </x:c>
      <x:c r="AE1516" s="17" t="n">
        <x:f>2014-B1516</x:f>
        <x:v>36</x:v>
      </x:c>
      <x:c r="AF1516" s="17" t="n">
        <x:f>F1516+G1516</x:f>
        <x:v>1</x:v>
      </x:c>
      <x:c r="AG1516" s="21" t="n">
        <x:f>SUM(J1516:O1516)</x:f>
        <x:v>78</x:v>
      </x:c>
      <x:c r="AH1516" s="17" t="n">
        <x:f>SUM(Q1516:S1516)</x:f>
        <x:v>6</x:v>
      </x:c>
      <x:c r="AI1516" s="17" t="n">
        <x:f>SUM(U1516:Y1516)</x:f>
        <x:v>0</x:v>
      </x:c>
      <x:c r="AJ1516" s="17" t="str">
        <x:f>IF(AE1516&lt;=34,"≤34",IF(AE1516&lt;=44,"35–44",IF(AE1516&lt;=54,"45–54",IF(AE1516&lt;=64,"55–64","65+"))))</x:f>
        <x:v>35–44</x:v>
      </x:c>
      <x:c r="AK1516" s="17" t="str">
        <x:f>IF(AG1516&gt;=1000,"High Value",IF(AG1516&gt;=300,"Mid Value","Low Value"))</x:f>
        <x:v>Low Value</x:v>
      </x:c>
      <x:c r="AL1516" s="17" t="str">
        <x:f>IF(AND(AI1516&gt;=1,I1516&lt;=50),"Priority 1",IF(AND(AG1516&gt;=1000,I1516&lt;=60),"Priority 2",IF(I1516&lt;=30,"Priority 3","Nurture")))</x:f>
        <x:v>Priority 3</x:v>
      </x:c>
    </x:row>
    <x:row r="1517">
      <x:c r="A1517" s="16" t="n">
        <x:v>10380</x:v>
      </x:c>
      <x:c r="B1517" s="16" t="n">
        <x:v>1972</x:v>
      </x:c>
      <x:c r="C1517" s="16" t="str">
        <x:v>Master</x:v>
      </x:c>
      <x:c r="D1517" s="16" t="str">
        <x:v>Married</x:v>
      </x:c>
      <x:c r="E1517" s="16" t="n">
        <x:v>37787</x:v>
      </x:c>
      <x:c r="F1517" s="16" t="n">
        <x:v>1</x:v>
      </x:c>
      <x:c r="G1517" s="16" t="n">
        <x:v>0</x:v>
      </x:c>
      <x:c r="H1517" s="16" t="str">
        <x:v>20-09-2013</x:v>
      </x:c>
      <x:c r="I1517" s="16" t="n">
        <x:v>50</x:v>
      </x:c>
      <x:c r="J1517" s="16" t="n">
        <x:v>40</x:v>
      </x:c>
      <x:c r="K1517" s="16" t="n">
        <x:v>1</x:v>
      </x:c>
      <x:c r="L1517" s="16" t="n">
        <x:v>40</x:v>
      </x:c>
      <x:c r="M1517" s="16" t="n">
        <x:v>4</x:v>
      </x:c>
      <x:c r="N1517" s="16" t="n">
        <x:v>3</x:v>
      </x:c>
      <x:c r="O1517" s="16" t="n">
        <x:v>18</x:v>
      </x:c>
      <x:c r="P1517" s="16" t="n">
        <x:v>1</x:v>
      </x:c>
      <x:c r="Q1517" s="16" t="n">
        <x:v>3</x:v>
      </x:c>
      <x:c r="R1517" s="16" t="n">
        <x:v>0</x:v>
      </x:c>
      <x:c r="S1517" s="16" t="n">
        <x:v>3</x:v>
      </x:c>
      <x:c r="T1517" s="16" t="n">
        <x:v>8</x:v>
      </x:c>
      <x:c r="U1517" s="16" t="n">
        <x:v>0</x:v>
      </x:c>
      <x:c r="V1517" s="16" t="n">
        <x:v>0</x:v>
      </x:c>
      <x:c r="W1517" s="16" t="n">
        <x:v>0</x:v>
      </x:c>
      <x:c r="X1517" s="16" t="n">
        <x:v>0</x:v>
      </x:c>
      <x:c r="Y1517" s="16" t="n">
        <x:v>0</x:v>
      </x:c>
      <x:c r="Z1517" s="16" t="n">
        <x:v>0</x:v>
      </x:c>
      <x:c r="AA1517" s="16" t="n">
        <x:v>3</x:v>
      </x:c>
      <x:c r="AB1517" s="16" t="n">
        <x:v>11</x:v>
      </x:c>
      <x:c r="AC1517" s="16" t="n">
        <x:v>0</x:v>
      </x:c>
      <x:c r="AD1517" s="21" t="n">
        <x:f>IF(E1517="",MEDIAN($E$2:$E$2237),E1517)</x:f>
        <x:v>37787</x:v>
      </x:c>
      <x:c r="AE1517" s="17" t="n">
        <x:f>2014-B1517</x:f>
        <x:v>42</x:v>
      </x:c>
      <x:c r="AF1517" s="17" t="n">
        <x:f>F1517+G1517</x:f>
        <x:v>1</x:v>
      </x:c>
      <x:c r="AG1517" s="21" t="n">
        <x:f>SUM(J1517:O1517)</x:f>
        <x:v>106</x:v>
      </x:c>
      <x:c r="AH1517" s="17" t="n">
        <x:f>SUM(Q1517:S1517)</x:f>
        <x:v>6</x:v>
      </x:c>
      <x:c r="AI1517" s="17" t="n">
        <x:f>SUM(U1517:Y1517)</x:f>
        <x:v>0</x:v>
      </x:c>
      <x:c r="AJ1517" s="17" t="str">
        <x:f>IF(AE1517&lt;=34,"≤34",IF(AE1517&lt;=44,"35–44",IF(AE1517&lt;=54,"45–54",IF(AE1517&lt;=64,"55–64","65+"))))</x:f>
        <x:v>35–44</x:v>
      </x:c>
      <x:c r="AK1517" s="17" t="str">
        <x:f>IF(AG1517&gt;=1000,"High Value",IF(AG1517&gt;=300,"Mid Value","Low Value"))</x:f>
        <x:v>Low Value</x:v>
      </x:c>
      <x:c r="AL1517" s="17" t="str">
        <x:f>IF(AND(AI1517&gt;=1,I1517&lt;=50),"Priority 1",IF(AND(AG1517&gt;=1000,I1517&lt;=60),"Priority 2",IF(I1517&lt;=30,"Priority 3","Nurture")))</x:f>
        <x:v>Nurture</x:v>
      </x:c>
    </x:row>
    <x:row r="1518">
      <x:c r="A1518" s="16" t="n">
        <x:v>3887</x:v>
      </x:c>
      <x:c r="B1518" s="16" t="n">
        <x:v>1970</x:v>
      </x:c>
      <x:c r="C1518" s="16" t="str">
        <x:v>Graduation</x:v>
      </x:c>
      <x:c r="D1518" s="16" t="str">
        <x:v>Single</x:v>
      </x:c>
      <x:c r="E1518" s="16" t="n">
        <x:v>27242</x:v>
      </x:c>
      <x:c r="F1518" s="16" t="n">
        <x:v>1</x:v>
      </x:c>
      <x:c r="G1518" s="16" t="n">
        <x:v>0</x:v>
      </x:c>
      <x:c r="H1518" s="16" t="str">
        <x:v>11-11-2012</x:v>
      </x:c>
      <x:c r="I1518" s="16" t="n">
        <x:v>2</x:v>
      </x:c>
      <x:c r="J1518" s="16" t="n">
        <x:v>3</x:v>
      </x:c>
      <x:c r="K1518" s="16" t="n">
        <x:v>17</x:v>
      </x:c>
      <x:c r="L1518" s="16" t="n">
        <x:v>26</x:v>
      </x:c>
      <x:c r="M1518" s="16" t="n">
        <x:v>20</x:v>
      </x:c>
      <x:c r="N1518" s="16" t="n">
        <x:v>1</x:v>
      </x:c>
      <x:c r="O1518" s="16" t="n">
        <x:v>39</x:v>
      </x:c>
      <x:c r="P1518" s="16" t="n">
        <x:v>2</x:v>
      </x:c>
      <x:c r="Q1518" s="16" t="n">
        <x:v>2</x:v>
      </x:c>
      <x:c r="R1518" s="16" t="n">
        <x:v>0</x:v>
      </x:c>
      <x:c r="S1518" s="16" t="n">
        <x:v>3</x:v>
      </x:c>
      <x:c r="T1518" s="16" t="n">
        <x:v>9</x:v>
      </x:c>
      <x:c r="U1518" s="16" t="n">
        <x:v>0</x:v>
      </x:c>
      <x:c r="V1518" s="16" t="n">
        <x:v>0</x:v>
      </x:c>
      <x:c r="W1518" s="16" t="n">
        <x:v>0</x:v>
      </x:c>
      <x:c r="X1518" s="16" t="n">
        <x:v>0</x:v>
      </x:c>
      <x:c r="Y1518" s="16" t="n">
        <x:v>0</x:v>
      </x:c>
      <x:c r="Z1518" s="16" t="n">
        <x:v>0</x:v>
      </x:c>
      <x:c r="AA1518" s="16" t="n">
        <x:v>3</x:v>
      </x:c>
      <x:c r="AB1518" s="16" t="n">
        <x:v>11</x:v>
      </x:c>
      <x:c r="AC1518" s="16" t="n">
        <x:v>1</x:v>
      </x:c>
      <x:c r="AD1518" s="21" t="n">
        <x:f>IF(E1518="",MEDIAN($E$2:$E$2237),E1518)</x:f>
        <x:v>27242</x:v>
      </x:c>
      <x:c r="AE1518" s="17" t="n">
        <x:f>2014-B1518</x:f>
        <x:v>44</x:v>
      </x:c>
      <x:c r="AF1518" s="17" t="n">
        <x:f>F1518+G1518</x:f>
        <x:v>1</x:v>
      </x:c>
      <x:c r="AG1518" s="21" t="n">
        <x:f>SUM(J1518:O1518)</x:f>
        <x:v>106</x:v>
      </x:c>
      <x:c r="AH1518" s="17" t="n">
        <x:f>SUM(Q1518:S1518)</x:f>
        <x:v>5</x:v>
      </x:c>
      <x:c r="AI1518" s="17" t="n">
        <x:f>SUM(U1518:Y1518)</x:f>
        <x:v>0</x:v>
      </x:c>
      <x:c r="AJ1518" s="17" t="str">
        <x:f>IF(AE1518&lt;=34,"≤34",IF(AE1518&lt;=44,"35–44",IF(AE1518&lt;=54,"45–54",IF(AE1518&lt;=64,"55–64","65+"))))</x:f>
        <x:v>35–44</x:v>
      </x:c>
      <x:c r="AK1518" s="17" t="str">
        <x:f>IF(AG1518&gt;=1000,"High Value",IF(AG1518&gt;=300,"Mid Value","Low Value"))</x:f>
        <x:v>Low Value</x:v>
      </x:c>
      <x:c r="AL1518" s="17" t="str">
        <x:f>IF(AND(AI1518&gt;=1,I1518&lt;=50),"Priority 1",IF(AND(AG1518&gt;=1000,I1518&lt;=60),"Priority 2",IF(I1518&lt;=30,"Priority 3","Nurture")))</x:f>
        <x:v>Priority 3</x:v>
      </x:c>
    </x:row>
    <x:row r="1519">
      <x:c r="A1519" s="16" t="n">
        <x:v>4278</x:v>
      </x:c>
      <x:c r="B1519" s="16" t="n">
        <x:v>1983</x:v>
      </x:c>
      <x:c r="C1519" s="16" t="str">
        <x:v>PhD</x:v>
      </x:c>
      <x:c r="D1519" s="16" t="str">
        <x:v>Single</x:v>
      </x:c>
      <x:c r="E1519" s="16" t="n">
        <x:v>87188</x:v>
      </x:c>
      <x:c r="F1519" s="16" t="n">
        <x:v>0</x:v>
      </x:c>
      <x:c r="G1519" s="16" t="n">
        <x:v>0</x:v>
      </x:c>
      <x:c r="H1519" s="16" t="str">
        <x:v>03-06-2013</x:v>
      </x:c>
      <x:c r="I1519" s="16" t="n">
        <x:v>73</x:v>
      </x:c>
      <x:c r="J1519" s="16" t="n">
        <x:v>910</x:v>
      </x:c>
      <x:c r="K1519" s="16" t="n">
        <x:v>111</x:v>
      </x:c>
      <x:c r="L1519" s="16" t="n">
        <x:v>724</x:v>
      </x:c>
      <x:c r="M1519" s="16" t="n">
        <x:v>49</x:v>
      </x:c>
      <x:c r="N1519" s="16" t="n">
        <x:v>74</x:v>
      </x:c>
      <x:c r="O1519" s="16" t="n">
        <x:v>55</x:v>
      </x:c>
      <x:c r="P1519" s="16" t="n">
        <x:v>1</x:v>
      </x:c>
      <x:c r="Q1519" s="16" t="n">
        <x:v>10</x:v>
      </x:c>
      <x:c r="R1519" s="16" t="n">
        <x:v>2</x:v>
      </x:c>
      <x:c r="S1519" s="16" t="n">
        <x:v>6</x:v>
      </x:c>
      <x:c r="T1519" s="16" t="n">
        <x:v>3</x:v>
      </x:c>
      <x:c r="U1519" s="16" t="n">
        <x:v>0</x:v>
      </x:c>
      <x:c r="V1519" s="16" t="n">
        <x:v>0</x:v>
      </x:c>
      <x:c r="W1519" s="16" t="n">
        <x:v>0</x:v>
      </x:c>
      <x:c r="X1519" s="16" t="n">
        <x:v>0</x:v>
      </x:c>
      <x:c r="Y1519" s="16" t="n">
        <x:v>0</x:v>
      </x:c>
      <x:c r="Z1519" s="16" t="n">
        <x:v>0</x:v>
      </x:c>
      <x:c r="AA1519" s="16" t="n">
        <x:v>3</x:v>
      </x:c>
      <x:c r="AB1519" s="16" t="n">
        <x:v>11</x:v>
      </x:c>
      <x:c r="AC1519" s="16" t="n">
        <x:v>1</x:v>
      </x:c>
      <x:c r="AD1519" s="21" t="n">
        <x:f>IF(E1519="",MEDIAN($E$2:$E$2237),E1519)</x:f>
        <x:v>87188</x:v>
      </x:c>
      <x:c r="AE1519" s="17" t="n">
        <x:f>2014-B1519</x:f>
        <x:v>31</x:v>
      </x:c>
      <x:c r="AF1519" s="17" t="n">
        <x:f>F1519+G1519</x:f>
        <x:v>0</x:v>
      </x:c>
      <x:c r="AG1519" s="21" t="n">
        <x:f>SUM(J1519:O1519)</x:f>
        <x:v>1923</x:v>
      </x:c>
      <x:c r="AH1519" s="17" t="n">
        <x:f>SUM(Q1519:S1519)</x:f>
        <x:v>18</x:v>
      </x:c>
      <x:c r="AI1519" s="17" t="n">
        <x:f>SUM(U1519:Y1519)</x:f>
        <x:v>0</x:v>
      </x:c>
      <x:c r="AJ1519" s="17" t="str">
        <x:f>IF(AE1519&lt;=34,"≤34",IF(AE1519&lt;=44,"35–44",IF(AE1519&lt;=54,"45–54",IF(AE1519&lt;=64,"55–64","65+"))))</x:f>
        <x:v>≤34</x:v>
      </x:c>
      <x:c r="AK1519" s="17" t="str">
        <x:f>IF(AG1519&gt;=1000,"High Value",IF(AG1519&gt;=300,"Mid Value","Low Value"))</x:f>
        <x:v>High Value</x:v>
      </x:c>
      <x:c r="AL1519" s="17" t="str">
        <x:f>IF(AND(AI1519&gt;=1,I1519&lt;=50),"Priority 1",IF(AND(AG1519&gt;=1000,I1519&lt;=60),"Priority 2",IF(I1519&lt;=30,"Priority 3","Nurture")))</x:f>
        <x:v>Nurture</x:v>
      </x:c>
    </x:row>
    <x:row r="1520">
      <x:c r="A1520" s="16" t="n">
        <x:v>8643</x:v>
      </x:c>
      <x:c r="B1520" s="16" t="n">
        <x:v>1971</x:v>
      </x:c>
      <x:c r="C1520" s="16" t="str">
        <x:v>Graduation</x:v>
      </x:c>
      <x:c r="D1520" s="16" t="str">
        <x:v>Together</x:v>
      </x:c>
      <x:c r="E1520" s="16" t="n">
        <x:v>69930</x:v>
      </x:c>
      <x:c r="F1520" s="16" t="n">
        <x:v>0</x:v>
      </x:c>
      <x:c r="G1520" s="16" t="n">
        <x:v>0</x:v>
      </x:c>
      <x:c r="H1520" s="16" t="str">
        <x:v>26-05-2013</x:v>
      </x:c>
      <x:c r="I1520" s="16" t="n">
        <x:v>21</x:v>
      </x:c>
      <x:c r="J1520" s="16" t="n">
        <x:v>252</x:v>
      </x:c>
      <x:c r="K1520" s="16" t="n">
        <x:v>98</x:v>
      </x:c>
      <x:c r="L1520" s="16" t="n">
        <x:v>827</x:v>
      </x:c>
      <x:c r="M1520" s="16" t="n">
        <x:v>219</x:v>
      </x:c>
      <x:c r="N1520" s="16" t="n">
        <x:v>70</x:v>
      </x:c>
      <x:c r="O1520" s="16" t="n">
        <x:v>196</x:v>
      </x:c>
      <x:c r="P1520" s="16" t="n">
        <x:v>1</x:v>
      </x:c>
      <x:c r="Q1520" s="16" t="n">
        <x:v>4</x:v>
      </x:c>
      <x:c r="R1520" s="16" t="n">
        <x:v>5</x:v>
      </x:c>
      <x:c r="S1520" s="16" t="n">
        <x:v>12</x:v>
      </x:c>
      <x:c r="T1520" s="16" t="n">
        <x:v>3</x:v>
      </x:c>
      <x:c r="U1520" s="16" t="n">
        <x:v>0</x:v>
      </x:c>
      <x:c r="V1520" s="16" t="n">
        <x:v>0</x:v>
      </x:c>
      <x:c r="W1520" s="16" t="n">
        <x:v>0</x:v>
      </x:c>
      <x:c r="X1520" s="16" t="n">
        <x:v>0</x:v>
      </x:c>
      <x:c r="Y1520" s="16" t="n">
        <x:v>0</x:v>
      </x:c>
      <x:c r="Z1520" s="16" t="n">
        <x:v>0</x:v>
      </x:c>
      <x:c r="AA1520" s="16" t="n">
        <x:v>3</x:v>
      </x:c>
      <x:c r="AB1520" s="16" t="n">
        <x:v>11</x:v>
      </x:c>
      <x:c r="AC1520" s="16" t="n">
        <x:v>0</x:v>
      </x:c>
      <x:c r="AD1520" s="21" t="n">
        <x:f>IF(E1520="",MEDIAN($E$2:$E$2237),E1520)</x:f>
        <x:v>69930</x:v>
      </x:c>
      <x:c r="AE1520" s="17" t="n">
        <x:f>2014-B1520</x:f>
        <x:v>43</x:v>
      </x:c>
      <x:c r="AF1520" s="17" t="n">
        <x:f>F1520+G1520</x:f>
        <x:v>0</x:v>
      </x:c>
      <x:c r="AG1520" s="21" t="n">
        <x:f>SUM(J1520:O1520)</x:f>
        <x:v>1662</x:v>
      </x:c>
      <x:c r="AH1520" s="17" t="n">
        <x:f>SUM(Q1520:S1520)</x:f>
        <x:v>21</x:v>
      </x:c>
      <x:c r="AI1520" s="17" t="n">
        <x:f>SUM(U1520:Y1520)</x:f>
        <x:v>0</x:v>
      </x:c>
      <x:c r="AJ1520" s="17" t="str">
        <x:f>IF(AE1520&lt;=34,"≤34",IF(AE1520&lt;=44,"35–44",IF(AE1520&lt;=54,"45–54",IF(AE1520&lt;=64,"55–64","65+"))))</x:f>
        <x:v>35–44</x:v>
      </x:c>
      <x:c r="AK1520" s="17" t="str">
        <x:f>IF(AG1520&gt;=1000,"High Value",IF(AG1520&gt;=300,"Mid Value","Low Value"))</x:f>
        <x:v>High Value</x:v>
      </x:c>
      <x:c r="AL1520" s="17" t="str">
        <x:f>IF(AND(AI1520&gt;=1,I1520&lt;=50),"Priority 1",IF(AND(AG1520&gt;=1000,I1520&lt;=60),"Priority 2",IF(I1520&lt;=30,"Priority 3","Nurture")))</x:f>
        <x:v>Priority 2</x:v>
      </x:c>
    </x:row>
    <x:row r="1521">
      <x:c r="A1521" s="16" t="n">
        <x:v>1998</x:v>
      </x:c>
      <x:c r="B1521" s="16" t="n">
        <x:v>1976</x:v>
      </x:c>
      <x:c r="C1521" s="16" t="str">
        <x:v>Graduation</x:v>
      </x:c>
      <x:c r="D1521" s="16" t="str">
        <x:v>Single</x:v>
      </x:c>
      <x:c r="E1521" s="16" t="n">
        <x:v>37697</x:v>
      </x:c>
      <x:c r="F1521" s="16" t="n">
        <x:v>1</x:v>
      </x:c>
      <x:c r="G1521" s="16" t="n">
        <x:v>0</x:v>
      </x:c>
      <x:c r="H1521" s="16" t="str">
        <x:v>07-02-2014</x:v>
      </x:c>
      <x:c r="I1521" s="16" t="n">
        <x:v>82</x:v>
      </x:c>
      <x:c r="J1521" s="16" t="n">
        <x:v>34</x:v>
      </x:c>
      <x:c r="K1521" s="16" t="n">
        <x:v>6</x:v>
      </x:c>
      <x:c r="L1521" s="16" t="n">
        <x:v>21</x:v>
      </x:c>
      <x:c r="M1521" s="16" t="n">
        <x:v>11</x:v>
      </x:c>
      <x:c r="N1521" s="16" t="n">
        <x:v>4</x:v>
      </x:c>
      <x:c r="O1521" s="16" t="n">
        <x:v>8</x:v>
      </x:c>
      <x:c r="P1521" s="16" t="n">
        <x:v>1</x:v>
      </x:c>
      <x:c r="Q1521" s="16" t="n">
        <x:v>2</x:v>
      </x:c>
      <x:c r="R1521" s="16" t="n">
        <x:v>1</x:v>
      </x:c>
      <x:c r="S1521" s="16" t="n">
        <x:v>3</x:v>
      </x:c>
      <x:c r="T1521" s="16" t="n">
        <x:v>6</x:v>
      </x:c>
      <x:c r="U1521" s="16" t="n">
        <x:v>0</x:v>
      </x:c>
      <x:c r="V1521" s="16" t="n">
        <x:v>0</x:v>
      </x:c>
      <x:c r="W1521" s="16" t="n">
        <x:v>0</x:v>
      </x:c>
      <x:c r="X1521" s="16" t="n">
        <x:v>0</x:v>
      </x:c>
      <x:c r="Y1521" s="16" t="n">
        <x:v>0</x:v>
      </x:c>
      <x:c r="Z1521" s="16" t="n">
        <x:v>0</x:v>
      </x:c>
      <x:c r="AA1521" s="16" t="n">
        <x:v>3</x:v>
      </x:c>
      <x:c r="AB1521" s="16" t="n">
        <x:v>11</x:v>
      </x:c>
      <x:c r="AC1521" s="16" t="n">
        <x:v>0</x:v>
      </x:c>
      <x:c r="AD1521" s="21" t="n">
        <x:f>IF(E1521="",MEDIAN($E$2:$E$2237),E1521)</x:f>
        <x:v>37697</x:v>
      </x:c>
      <x:c r="AE1521" s="17" t="n">
        <x:f>2014-B1521</x:f>
        <x:v>38</x:v>
      </x:c>
      <x:c r="AF1521" s="17" t="n">
        <x:f>F1521+G1521</x:f>
        <x:v>1</x:v>
      </x:c>
      <x:c r="AG1521" s="21" t="n">
        <x:f>SUM(J1521:O1521)</x:f>
        <x:v>84</x:v>
      </x:c>
      <x:c r="AH1521" s="17" t="n">
        <x:f>SUM(Q1521:S1521)</x:f>
        <x:v>6</x:v>
      </x:c>
      <x:c r="AI1521" s="17" t="n">
        <x:f>SUM(U1521:Y1521)</x:f>
        <x:v>0</x:v>
      </x:c>
      <x:c r="AJ1521" s="17" t="str">
        <x:f>IF(AE1521&lt;=34,"≤34",IF(AE1521&lt;=44,"35–44",IF(AE1521&lt;=54,"45–54",IF(AE1521&lt;=64,"55–64","65+"))))</x:f>
        <x:v>35–44</x:v>
      </x:c>
      <x:c r="AK1521" s="17" t="str">
        <x:f>IF(AG1521&gt;=1000,"High Value",IF(AG1521&gt;=300,"Mid Value","Low Value"))</x:f>
        <x:v>Low Value</x:v>
      </x:c>
      <x:c r="AL1521" s="17" t="str">
        <x:f>IF(AND(AI1521&gt;=1,I1521&lt;=50),"Priority 1",IF(AND(AG1521&gt;=1000,I1521&lt;=60),"Priority 2",IF(I1521&lt;=30,"Priority 3","Nurture")))</x:f>
        <x:v>Nurture</x:v>
      </x:c>
    </x:row>
    <x:row r="1522">
      <x:c r="A1522" s="16" t="n">
        <x:v>10795</x:v>
      </x:c>
      <x:c r="B1522" s="16" t="n">
        <x:v>1973</x:v>
      </x:c>
      <x:c r="C1522" s="16" t="str">
        <x:v>PhD</x:v>
      </x:c>
      <x:c r="D1522" s="16" t="str">
        <x:v>Married</x:v>
      </x:c>
      <x:c r="E1522" s="16" t="n">
        <x:v>37401</x:v>
      </x:c>
      <x:c r="F1522" s="16" t="n">
        <x:v>1</x:v>
      </x:c>
      <x:c r="G1522" s="16" t="n">
        <x:v>0</x:v>
      </x:c>
      <x:c r="H1522" s="16" t="str">
        <x:v>06-05-2014</x:v>
      </x:c>
      <x:c r="I1522" s="16" t="n">
        <x:v>14</x:v>
      </x:c>
      <x:c r="J1522" s="16" t="n">
        <x:v>19</x:v>
      </x:c>
      <x:c r="K1522" s="16" t="n">
        <x:v>3</x:v>
      </x:c>
      <x:c r="L1522" s="16" t="n">
        <x:v>19</x:v>
      </x:c>
      <x:c r="M1522" s="16" t="n">
        <x:v>3</x:v>
      </x:c>
      <x:c r="N1522" s="16" t="n">
        <x:v>1</x:v>
      </x:c>
      <x:c r="O1522" s="16" t="n">
        <x:v>3</x:v>
      </x:c>
      <x:c r="P1522" s="16" t="n">
        <x:v>2</x:v>
      </x:c>
      <x:c r="Q1522" s="16" t="n">
        <x:v>2</x:v>
      </x:c>
      <x:c r="R1522" s="16" t="n">
        <x:v>0</x:v>
      </x:c>
      <x:c r="S1522" s="16" t="n">
        <x:v>3</x:v>
      </x:c>
      <x:c r="T1522" s="16" t="n">
        <x:v>7</x:v>
      </x:c>
      <x:c r="U1522" s="16" t="n">
        <x:v>0</x:v>
      </x:c>
      <x:c r="V1522" s="16" t="n">
        <x:v>0</x:v>
      </x:c>
      <x:c r="W1522" s="16" t="n">
        <x:v>0</x:v>
      </x:c>
      <x:c r="X1522" s="16" t="n">
        <x:v>0</x:v>
      </x:c>
      <x:c r="Y1522" s="16" t="n">
        <x:v>0</x:v>
      </x:c>
      <x:c r="Z1522" s="16" t="n">
        <x:v>0</x:v>
      </x:c>
      <x:c r="AA1522" s="16" t="n">
        <x:v>3</x:v>
      </x:c>
      <x:c r="AB1522" s="16" t="n">
        <x:v>11</x:v>
      </x:c>
      <x:c r="AC1522" s="16" t="n">
        <x:v>0</x:v>
      </x:c>
      <x:c r="AD1522" s="21" t="n">
        <x:f>IF(E1522="",MEDIAN($E$2:$E$2237),E1522)</x:f>
        <x:v>37401</x:v>
      </x:c>
      <x:c r="AE1522" s="17" t="n">
        <x:f>2014-B1522</x:f>
        <x:v>41</x:v>
      </x:c>
      <x:c r="AF1522" s="17" t="n">
        <x:f>F1522+G1522</x:f>
        <x:v>1</x:v>
      </x:c>
      <x:c r="AG1522" s="21" t="n">
        <x:f>SUM(J1522:O1522)</x:f>
        <x:v>48</x:v>
      </x:c>
      <x:c r="AH1522" s="17" t="n">
        <x:f>SUM(Q1522:S1522)</x:f>
        <x:v>5</x:v>
      </x:c>
      <x:c r="AI1522" s="17" t="n">
        <x:f>SUM(U1522:Y1522)</x:f>
        <x:v>0</x:v>
      </x:c>
      <x:c r="AJ1522" s="17" t="str">
        <x:f>IF(AE1522&lt;=34,"≤34",IF(AE1522&lt;=44,"35–44",IF(AE1522&lt;=54,"45–54",IF(AE1522&lt;=64,"55–64","65+"))))</x:f>
        <x:v>35–44</x:v>
      </x:c>
      <x:c r="AK1522" s="17" t="str">
        <x:f>IF(AG1522&gt;=1000,"High Value",IF(AG1522&gt;=300,"Mid Value","Low Value"))</x:f>
        <x:v>Low Value</x:v>
      </x:c>
      <x:c r="AL1522" s="17" t="str">
        <x:f>IF(AND(AI1522&gt;=1,I1522&lt;=50),"Priority 1",IF(AND(AG1522&gt;=1000,I1522&lt;=60),"Priority 2",IF(I1522&lt;=30,"Priority 3","Nurture")))</x:f>
        <x:v>Priority 3</x:v>
      </x:c>
    </x:row>
    <x:row r="1523">
      <x:c r="A1523" s="16" t="n">
        <x:v>11110</x:v>
      </x:c>
      <x:c r="B1523" s="16" t="n">
        <x:v>1973</x:v>
      </x:c>
      <x:c r="C1523" s="16" t="str">
        <x:v>Graduation</x:v>
      </x:c>
      <x:c r="D1523" s="16" t="str">
        <x:v>Single</x:v>
      </x:c>
      <x:c r="E1523" s="16" t="n">
        <x:v>3502</x:v>
      </x:c>
      <x:c r="F1523" s="16" t="n">
        <x:v>1</x:v>
      </x:c>
      <x:c r="G1523" s="16" t="n">
        <x:v>0</x:v>
      </x:c>
      <x:c r="H1523" s="16" t="str">
        <x:v>13-04-2013</x:v>
      </x:c>
      <x:c r="I1523" s="16" t="n">
        <x:v>56</x:v>
      </x:c>
      <x:c r="J1523" s="16" t="n">
        <x:v>2</x:v>
      </x:c>
      <x:c r="K1523" s="16" t="n">
        <x:v>1</x:v>
      </x:c>
      <x:c r="L1523" s="16" t="n">
        <x:v>1</x:v>
      </x:c>
      <x:c r="M1523" s="16" t="n">
        <x:v>0</x:v>
      </x:c>
      <x:c r="N1523" s="16" t="n">
        <x:v>0</x:v>
      </x:c>
      <x:c r="O1523" s="16" t="n">
        <x:v>1</x:v>
      </x:c>
      <x:c r="P1523" s="16" t="n">
        <x:v>0</x:v>
      </x:c>
      <x:c r="Q1523" s="16" t="n">
        <x:v>0</x:v>
      </x:c>
      <x:c r="R1523" s="16" t="n">
        <x:v>0</x:v>
      </x:c>
      <x:c r="S1523" s="16" t="n">
        <x:v>0</x:v>
      </x:c>
      <x:c r="T1523" s="16" t="n">
        <x:v>14</x:v>
      </x:c>
      <x:c r="U1523" s="16" t="n">
        <x:v>0</x:v>
      </x:c>
      <x:c r="V1523" s="16" t="n">
        <x:v>0</x:v>
      </x:c>
      <x:c r="W1523" s="16" t="n">
        <x:v>0</x:v>
      </x:c>
      <x:c r="X1523" s="16" t="n">
        <x:v>0</x:v>
      </x:c>
      <x:c r="Y1523" s="16" t="n">
        <x:v>0</x:v>
      </x:c>
      <x:c r="Z1523" s="16" t="n">
        <x:v>0</x:v>
      </x:c>
      <x:c r="AA1523" s="16" t="n">
        <x:v>3</x:v>
      </x:c>
      <x:c r="AB1523" s="16" t="n">
        <x:v>11</x:v>
      </x:c>
      <x:c r="AC1523" s="16" t="n">
        <x:v>0</x:v>
      </x:c>
      <x:c r="AD1523" s="21" t="n">
        <x:f>IF(E1523="",MEDIAN($E$2:$E$2237),E1523)</x:f>
        <x:v>3502</x:v>
      </x:c>
      <x:c r="AE1523" s="17" t="n">
        <x:f>2014-B1523</x:f>
        <x:v>41</x:v>
      </x:c>
      <x:c r="AF1523" s="17" t="n">
        <x:f>F1523+G1523</x:f>
        <x:v>1</x:v>
      </x:c>
      <x:c r="AG1523" s="21" t="n">
        <x:f>SUM(J1523:O1523)</x:f>
        <x:v>5</x:v>
      </x:c>
      <x:c r="AH1523" s="17" t="n">
        <x:f>SUM(Q1523:S1523)</x:f>
        <x:v>0</x:v>
      </x:c>
      <x:c r="AI1523" s="17" t="n">
        <x:f>SUM(U1523:Y1523)</x:f>
        <x:v>0</x:v>
      </x:c>
      <x:c r="AJ1523" s="17" t="str">
        <x:f>IF(AE1523&lt;=34,"≤34",IF(AE1523&lt;=44,"35–44",IF(AE1523&lt;=54,"45–54",IF(AE1523&lt;=64,"55–64","65+"))))</x:f>
        <x:v>35–44</x:v>
      </x:c>
      <x:c r="AK1523" s="17" t="str">
        <x:f>IF(AG1523&gt;=1000,"High Value",IF(AG1523&gt;=300,"Mid Value","Low Value"))</x:f>
        <x:v>Low Value</x:v>
      </x:c>
      <x:c r="AL1523" s="17" t="str">
        <x:f>IF(AND(AI1523&gt;=1,I1523&lt;=50),"Priority 1",IF(AND(AG1523&gt;=1000,I1523&lt;=60),"Priority 2",IF(I1523&lt;=30,"Priority 3","Nurture")))</x:f>
        <x:v>Nurture</x:v>
      </x:c>
    </x:row>
    <x:row r="1524">
      <x:c r="A1524" s="16" t="n">
        <x:v>2408</x:v>
      </x:c>
      <x:c r="B1524" s="16" t="n">
        <x:v>1976</x:v>
      </x:c>
      <x:c r="C1524" s="16" t="str">
        <x:v>Graduation</x:v>
      </x:c>
      <x:c r="D1524" s="16" t="str">
        <x:v>Married</x:v>
      </x:c>
      <x:c r="E1524" s="16" t="n">
        <x:v>58597</x:v>
      </x:c>
      <x:c r="F1524" s="16" t="n">
        <x:v>1</x:v>
      </x:c>
      <x:c r="G1524" s="16" t="n">
        <x:v>1</x:v>
      </x:c>
      <x:c r="H1524" s="16" t="str">
        <x:v>20-11-2012</x:v>
      </x:c>
      <x:c r="I1524" s="16" t="n">
        <x:v>20</x:v>
      </x:c>
      <x:c r="J1524" s="16" t="n">
        <x:v>490</x:v>
      </x:c>
      <x:c r="K1524" s="16" t="n">
        <x:v>0</x:v>
      </x:c>
      <x:c r="L1524" s="16" t="n">
        <x:v>184</x:v>
      </x:c>
      <x:c r="M1524" s="16" t="n">
        <x:v>10</x:v>
      </x:c>
      <x:c r="N1524" s="16" t="n">
        <x:v>28</x:v>
      </x:c>
      <x:c r="O1524" s="16" t="n">
        <x:v>21</x:v>
      </x:c>
      <x:c r="P1524" s="16" t="n">
        <x:v>12</x:v>
      </x:c>
      <x:c r="Q1524" s="16" t="n">
        <x:v>7</x:v>
      </x:c>
      <x:c r="R1524" s="16" t="n">
        <x:v>4</x:v>
      </x:c>
      <x:c r="S1524" s="16" t="n">
        <x:v>9</x:v>
      </x:c>
      <x:c r="T1524" s="16" t="n">
        <x:v>7</x:v>
      </x:c>
      <x:c r="U1524" s="16" t="n">
        <x:v>0</x:v>
      </x:c>
      <x:c r="V1524" s="16" t="n">
        <x:v>0</x:v>
      </x:c>
      <x:c r="W1524" s="16" t="n">
        <x:v>0</x:v>
      </x:c>
      <x:c r="X1524" s="16" t="n">
        <x:v>0</x:v>
      </x:c>
      <x:c r="Y1524" s="16" t="n">
        <x:v>0</x:v>
      </x:c>
      <x:c r="Z1524" s="16" t="n">
        <x:v>0</x:v>
      </x:c>
      <x:c r="AA1524" s="16" t="n">
        <x:v>3</x:v>
      </x:c>
      <x:c r="AB1524" s="16" t="n">
        <x:v>11</x:v>
      </x:c>
      <x:c r="AC1524" s="16" t="n">
        <x:v>0</x:v>
      </x:c>
      <x:c r="AD1524" s="21" t="n">
        <x:f>IF(E1524="",MEDIAN($E$2:$E$2237),E1524)</x:f>
        <x:v>58597</x:v>
      </x:c>
      <x:c r="AE1524" s="17" t="n">
        <x:f>2014-B1524</x:f>
        <x:v>38</x:v>
      </x:c>
      <x:c r="AF1524" s="17" t="n">
        <x:f>F1524+G1524</x:f>
        <x:v>2</x:v>
      </x:c>
      <x:c r="AG1524" s="21" t="n">
        <x:f>SUM(J1524:O1524)</x:f>
        <x:v>733</x:v>
      </x:c>
      <x:c r="AH1524" s="17" t="n">
        <x:f>SUM(Q1524:S1524)</x:f>
        <x:v>20</x:v>
      </x:c>
      <x:c r="AI1524" s="17" t="n">
        <x:f>SUM(U1524:Y1524)</x:f>
        <x:v>0</x:v>
      </x:c>
      <x:c r="AJ1524" s="17" t="str">
        <x:f>IF(AE1524&lt;=34,"≤34",IF(AE1524&lt;=44,"35–44",IF(AE1524&lt;=54,"45–54",IF(AE1524&lt;=64,"55–64","65+"))))</x:f>
        <x:v>35–44</x:v>
      </x:c>
      <x:c r="AK1524" s="17" t="str">
        <x:f>IF(AG1524&gt;=1000,"High Value",IF(AG1524&gt;=300,"Mid Value","Low Value"))</x:f>
        <x:v>Mid Value</x:v>
      </x:c>
      <x:c r="AL1524" s="17" t="str">
        <x:f>IF(AND(AI1524&gt;=1,I1524&lt;=50),"Priority 1",IF(AND(AG1524&gt;=1000,I1524&lt;=60),"Priority 2",IF(I1524&lt;=30,"Priority 3","Nurture")))</x:f>
        <x:v>Priority 3</x:v>
      </x:c>
    </x:row>
    <x:row r="1525">
      <x:c r="A1525" s="16" t="n">
        <x:v>202</x:v>
      </x:c>
      <x:c r="B1525" s="16" t="n">
        <x:v>1948</x:v>
      </x:c>
      <x:c r="C1525" s="16" t="str">
        <x:v>PhD</x:v>
      </x:c>
      <x:c r="D1525" s="16" t="str">
        <x:v>Widow</x:v>
      </x:c>
      <x:c r="E1525" s="16" t="n">
        <x:v>82032</x:v>
      </x:c>
      <x:c r="F1525" s="16" t="n">
        <x:v>0</x:v>
      </x:c>
      <x:c r="G1525" s="16" t="n">
        <x:v>0</x:v>
      </x:c>
      <x:c r="H1525" s="16" t="str">
        <x:v>05-04-2014</x:v>
      </x:c>
      <x:c r="I1525" s="16" t="n">
        <x:v>54</x:v>
      </x:c>
      <x:c r="J1525" s="16" t="n">
        <x:v>332</x:v>
      </x:c>
      <x:c r="K1525" s="16" t="n">
        <x:v>194</x:v>
      </x:c>
      <x:c r="L1525" s="16" t="n">
        <x:v>377</x:v>
      </x:c>
      <x:c r="M1525" s="16" t="n">
        <x:v>149</x:v>
      </x:c>
      <x:c r="N1525" s="16" t="n">
        <x:v>125</x:v>
      </x:c>
      <x:c r="O1525" s="16" t="n">
        <x:v>57</x:v>
      </x:c>
      <x:c r="P1525" s="16" t="n">
        <x:v>0</x:v>
      </x:c>
      <x:c r="Q1525" s="16" t="n">
        <x:v>4</x:v>
      </x:c>
      <x:c r="R1525" s="16" t="n">
        <x:v>6</x:v>
      </x:c>
      <x:c r="S1525" s="16" t="n">
        <x:v>7</x:v>
      </x:c>
      <x:c r="T1525" s="16" t="n">
        <x:v>1</x:v>
      </x:c>
      <x:c r="U1525" s="16" t="n">
        <x:v>0</x:v>
      </x:c>
      <x:c r="V1525" s="16" t="n">
        <x:v>0</x:v>
      </x:c>
      <x:c r="W1525" s="16" t="n">
        <x:v>0</x:v>
      </x:c>
      <x:c r="X1525" s="16" t="n">
        <x:v>0</x:v>
      </x:c>
      <x:c r="Y1525" s="16" t="n">
        <x:v>0</x:v>
      </x:c>
      <x:c r="Z1525" s="16" t="n">
        <x:v>0</x:v>
      </x:c>
      <x:c r="AA1525" s="16" t="n">
        <x:v>3</x:v>
      </x:c>
      <x:c r="AB1525" s="16" t="n">
        <x:v>11</x:v>
      </x:c>
      <x:c r="AC1525" s="16" t="n">
        <x:v>0</x:v>
      </x:c>
      <x:c r="AD1525" s="21" t="n">
        <x:f>IF(E1525="",MEDIAN($E$2:$E$2237),E1525)</x:f>
        <x:v>82032</x:v>
      </x:c>
      <x:c r="AE1525" s="17" t="n">
        <x:f>2014-B1525</x:f>
        <x:v>66</x:v>
      </x:c>
      <x:c r="AF1525" s="17" t="n">
        <x:f>F1525+G1525</x:f>
        <x:v>0</x:v>
      </x:c>
      <x:c r="AG1525" s="21" t="n">
        <x:f>SUM(J1525:O1525)</x:f>
        <x:v>1234</x:v>
      </x:c>
      <x:c r="AH1525" s="17" t="n">
        <x:f>SUM(Q1525:S1525)</x:f>
        <x:v>17</x:v>
      </x:c>
      <x:c r="AI1525" s="17" t="n">
        <x:f>SUM(U1525:Y1525)</x:f>
        <x:v>0</x:v>
      </x:c>
      <x:c r="AJ1525" s="17" t="str">
        <x:f>IF(AE1525&lt;=34,"≤34",IF(AE1525&lt;=44,"35–44",IF(AE1525&lt;=54,"45–54",IF(AE1525&lt;=64,"55–64","65+"))))</x:f>
        <x:v>65+</x:v>
      </x:c>
      <x:c r="AK1525" s="17" t="str">
        <x:f>IF(AG1525&gt;=1000,"High Value",IF(AG1525&gt;=300,"Mid Value","Low Value"))</x:f>
        <x:v>High Value</x:v>
      </x:c>
      <x:c r="AL1525" s="17" t="str">
        <x:f>IF(AND(AI1525&gt;=1,I1525&lt;=50),"Priority 1",IF(AND(AG1525&gt;=1000,I1525&lt;=60),"Priority 2",IF(I1525&lt;=30,"Priority 3","Nurture")))</x:f>
        <x:v>Priority 2</x:v>
      </x:c>
    </x:row>
    <x:row r="1526">
      <x:c r="A1526" s="16" t="n">
        <x:v>7998</x:v>
      </x:c>
      <x:c r="B1526" s="16" t="n">
        <x:v>1958</x:v>
      </x:c>
      <x:c r="C1526" s="16" t="str">
        <x:v>Graduation</x:v>
      </x:c>
      <x:c r="D1526" s="16" t="str">
        <x:v>Together</x:v>
      </x:c>
      <x:c r="E1526" s="16" t="n">
        <x:v>28087</x:v>
      </x:c>
      <x:c r="F1526" s="16" t="n">
        <x:v>1</x:v>
      </x:c>
      <x:c r="G1526" s="16" t="n">
        <x:v>1</x:v>
      </x:c>
      <x:c r="H1526" s="16" t="str">
        <x:v>11-12-2012</x:v>
      </x:c>
      <x:c r="I1526" s="16" t="n">
        <x:v>77</x:v>
      </x:c>
      <x:c r="J1526" s="16" t="n">
        <x:v>53</x:v>
      </x:c>
      <x:c r="K1526" s="16" t="n">
        <x:v>8</x:v>
      </x:c>
      <x:c r="L1526" s="16" t="n">
        <x:v>17</x:v>
      </x:c>
      <x:c r="M1526" s="16" t="n">
        <x:v>13</x:v>
      </x:c>
      <x:c r="N1526" s="16" t="n">
        <x:v>0</x:v>
      </x:c>
      <x:c r="O1526" s="16" t="n">
        <x:v>21</x:v>
      </x:c>
      <x:c r="P1526" s="16" t="n">
        <x:v>3</x:v>
      </x:c>
      <x:c r="Q1526" s="16" t="n">
        <x:v>2</x:v>
      </x:c>
      <x:c r="R1526" s="16" t="n">
        <x:v>2</x:v>
      </x:c>
      <x:c r="S1526" s="16" t="n">
        <x:v>2</x:v>
      </x:c>
      <x:c r="T1526" s="16" t="n">
        <x:v>7</x:v>
      </x:c>
      <x:c r="U1526" s="16" t="n">
        <x:v>0</x:v>
      </x:c>
      <x:c r="V1526" s="16" t="n">
        <x:v>0</x:v>
      </x:c>
      <x:c r="W1526" s="16" t="n">
        <x:v>0</x:v>
      </x:c>
      <x:c r="X1526" s="16" t="n">
        <x:v>0</x:v>
      </x:c>
      <x:c r="Y1526" s="16" t="n">
        <x:v>0</x:v>
      </x:c>
      <x:c r="Z1526" s="16" t="n">
        <x:v>0</x:v>
      </x:c>
      <x:c r="AA1526" s="16" t="n">
        <x:v>3</x:v>
      </x:c>
      <x:c r="AB1526" s="16" t="n">
        <x:v>11</x:v>
      </x:c>
      <x:c r="AC1526" s="16" t="n">
        <x:v>0</x:v>
      </x:c>
      <x:c r="AD1526" s="21" t="n">
        <x:f>IF(E1526="",MEDIAN($E$2:$E$2237),E1526)</x:f>
        <x:v>28087</x:v>
      </x:c>
      <x:c r="AE1526" s="17" t="n">
        <x:f>2014-B1526</x:f>
        <x:v>56</x:v>
      </x:c>
      <x:c r="AF1526" s="17" t="n">
        <x:f>F1526+G1526</x:f>
        <x:v>2</x:v>
      </x:c>
      <x:c r="AG1526" s="21" t="n">
        <x:f>SUM(J1526:O1526)</x:f>
        <x:v>112</x:v>
      </x:c>
      <x:c r="AH1526" s="17" t="n">
        <x:f>SUM(Q1526:S1526)</x:f>
        <x:v>6</x:v>
      </x:c>
      <x:c r="AI1526" s="17" t="n">
        <x:f>SUM(U1526:Y1526)</x:f>
        <x:v>0</x:v>
      </x:c>
      <x:c r="AJ1526" s="17" t="str">
        <x:f>IF(AE1526&lt;=34,"≤34",IF(AE1526&lt;=44,"35–44",IF(AE1526&lt;=54,"45–54",IF(AE1526&lt;=64,"55–64","65+"))))</x:f>
        <x:v>55–64</x:v>
      </x:c>
      <x:c r="AK1526" s="17" t="str">
        <x:f>IF(AG1526&gt;=1000,"High Value",IF(AG1526&gt;=300,"Mid Value","Low Value"))</x:f>
        <x:v>Low Value</x:v>
      </x:c>
      <x:c r="AL1526" s="17" t="str">
        <x:f>IF(AND(AI1526&gt;=1,I1526&lt;=50),"Priority 1",IF(AND(AG1526&gt;=1000,I1526&lt;=60),"Priority 2",IF(I1526&lt;=30,"Priority 3","Nurture")))</x:f>
        <x:v>Nurture</x:v>
      </x:c>
    </x:row>
    <x:row r="1527">
      <x:c r="A1527" s="16" t="n">
        <x:v>830</x:v>
      </x:c>
      <x:c r="B1527" s="16" t="n">
        <x:v>1987</x:v>
      </x:c>
      <x:c r="C1527" s="16" t="str">
        <x:v>PhD</x:v>
      </x:c>
      <x:c r="D1527" s="16" t="str">
        <x:v>Single</x:v>
      </x:c>
      <x:c r="E1527" s="16" t="n">
        <x:v>74004</x:v>
      </x:c>
      <x:c r="F1527" s="16" t="n">
        <x:v>0</x:v>
      </x:c>
      <x:c r="G1527" s="16" t="n">
        <x:v>0</x:v>
      </x:c>
      <x:c r="H1527" s="16" t="str">
        <x:v>24-02-2014</x:v>
      </x:c>
      <x:c r="I1527" s="16" t="n">
        <x:v>5</x:v>
      </x:c>
      <x:c r="J1527" s="16" t="n">
        <x:v>784</x:v>
      </x:c>
      <x:c r="K1527" s="16" t="n">
        <x:v>48</x:v>
      </x:c>
      <x:c r="L1527" s="16" t="n">
        <x:v>560</x:v>
      </x:c>
      <x:c r="M1527" s="16" t="n">
        <x:v>42</x:v>
      </x:c>
      <x:c r="N1527" s="16" t="n">
        <x:v>176</x:v>
      </x:c>
      <x:c r="O1527" s="16" t="n">
        <x:v>48</x:v>
      </x:c>
      <x:c r="P1527" s="16" t="n">
        <x:v>1</x:v>
      </x:c>
      <x:c r="Q1527" s="16" t="n">
        <x:v>4</x:v>
      </x:c>
      <x:c r="R1527" s="16" t="n">
        <x:v>6</x:v>
      </x:c>
      <x:c r="S1527" s="16" t="n">
        <x:v>4</x:v>
      </x:c>
      <x:c r="T1527" s="16" t="n">
        <x:v>3</x:v>
      </x:c>
      <x:c r="U1527" s="16" t="n">
        <x:v>0</x:v>
      </x:c>
      <x:c r="V1527" s="16" t="n">
        <x:v>0</x:v>
      </x:c>
      <x:c r="W1527" s="16" t="n">
        <x:v>1</x:v>
      </x:c>
      <x:c r="X1527" s="16" t="n">
        <x:v>1</x:v>
      </x:c>
      <x:c r="Y1527" s="16" t="n">
        <x:v>0</x:v>
      </x:c>
      <x:c r="Z1527" s="16" t="n">
        <x:v>0</x:v>
      </x:c>
      <x:c r="AA1527" s="16" t="n">
        <x:v>3</x:v>
      </x:c>
      <x:c r="AB1527" s="16" t="n">
        <x:v>11</x:v>
      </x:c>
      <x:c r="AC1527" s="16" t="n">
        <x:v>1</x:v>
      </x:c>
      <x:c r="AD1527" s="21" t="n">
        <x:f>IF(E1527="",MEDIAN($E$2:$E$2237),E1527)</x:f>
        <x:v>74004</x:v>
      </x:c>
      <x:c r="AE1527" s="17" t="n">
        <x:f>2014-B1527</x:f>
        <x:v>27</x:v>
      </x:c>
      <x:c r="AF1527" s="17" t="n">
        <x:f>F1527+G1527</x:f>
        <x:v>0</x:v>
      </x:c>
      <x:c r="AG1527" s="21" t="n">
        <x:f>SUM(J1527:O1527)</x:f>
        <x:v>1658</x:v>
      </x:c>
      <x:c r="AH1527" s="17" t="n">
        <x:f>SUM(Q1527:S1527)</x:f>
        <x:v>14</x:v>
      </x:c>
      <x:c r="AI1527" s="17" t="n">
        <x:f>SUM(U1527:Y1527)</x:f>
        <x:v>2</x:v>
      </x:c>
      <x:c r="AJ1527" s="17" t="str">
        <x:f>IF(AE1527&lt;=34,"≤34",IF(AE1527&lt;=44,"35–44",IF(AE1527&lt;=54,"45–54",IF(AE1527&lt;=64,"55–64","65+"))))</x:f>
        <x:v>≤34</x:v>
      </x:c>
      <x:c r="AK1527" s="17" t="str">
        <x:f>IF(AG1527&gt;=1000,"High Value",IF(AG1527&gt;=300,"Mid Value","Low Value"))</x:f>
        <x:v>High Value</x:v>
      </x:c>
      <x:c r="AL1527" s="17" t="str">
        <x:f>IF(AND(AI1527&gt;=1,I1527&lt;=50),"Priority 1",IF(AND(AG1527&gt;=1000,I1527&lt;=60),"Priority 2",IF(I1527&lt;=30,"Priority 3","Nurture")))</x:f>
        <x:v>Priority 1</x:v>
      </x:c>
    </x:row>
    <x:row r="1528">
      <x:c r="A1528" s="16" t="n">
        <x:v>3536</x:v>
      </x:c>
      <x:c r="B1528" s="16" t="n">
        <x:v>1960</x:v>
      </x:c>
      <x:c r="C1528" s="16" t="str">
        <x:v>Graduation</x:v>
      </x:c>
      <x:c r="D1528" s="16" t="str">
        <x:v>Together</x:v>
      </x:c>
      <x:c r="E1528" s="16" t="n">
        <x:v>19740</x:v>
      </x:c>
      <x:c r="F1528" s="16" t="n">
        <x:v>0</x:v>
      </x:c>
      <x:c r="G1528" s="16" t="n">
        <x:v>1</x:v>
      </x:c>
      <x:c r="H1528" s="16" t="str">
        <x:v>24-03-2013</x:v>
      </x:c>
      <x:c r="I1528" s="16" t="n">
        <x:v>65</x:v>
      </x:c>
      <x:c r="J1528" s="16" t="n">
        <x:v>7</x:v>
      </x:c>
      <x:c r="K1528" s="16" t="n">
        <x:v>11</x:v>
      </x:c>
      <x:c r="L1528" s="16" t="n">
        <x:v>3</x:v>
      </x:c>
      <x:c r="M1528" s="16" t="n">
        <x:v>10</x:v>
      </x:c>
      <x:c r="N1528" s="16" t="n">
        <x:v>4</x:v>
      </x:c>
      <x:c r="O1528" s="16" t="n">
        <x:v>20</x:v>
      </x:c>
      <x:c r="P1528" s="16" t="n">
        <x:v>2</x:v>
      </x:c>
      <x:c r="Q1528" s="16" t="n">
        <x:v>1</x:v>
      </x:c>
      <x:c r="R1528" s="16" t="n">
        <x:v>1</x:v>
      </x:c>
      <x:c r="S1528" s="16" t="n">
        <x:v>3</x:v>
      </x:c>
      <x:c r="T1528" s="16" t="n">
        <x:v>5</x:v>
      </x:c>
      <x:c r="U1528" s="16" t="n">
        <x:v>0</x:v>
      </x:c>
      <x:c r="V1528" s="16" t="n">
        <x:v>0</x:v>
      </x:c>
      <x:c r="W1528" s="16" t="n">
        <x:v>0</x:v>
      </x:c>
      <x:c r="X1528" s="16" t="n">
        <x:v>0</x:v>
      </x:c>
      <x:c r="Y1528" s="16" t="n">
        <x:v>0</x:v>
      </x:c>
      <x:c r="Z1528" s="16" t="n">
        <x:v>0</x:v>
      </x:c>
      <x:c r="AA1528" s="16" t="n">
        <x:v>3</x:v>
      </x:c>
      <x:c r="AB1528" s="16" t="n">
        <x:v>11</x:v>
      </x:c>
      <x:c r="AC1528" s="16" t="n">
        <x:v>0</x:v>
      </x:c>
      <x:c r="AD1528" s="21" t="n">
        <x:f>IF(E1528="",MEDIAN($E$2:$E$2237),E1528)</x:f>
        <x:v>19740</x:v>
      </x:c>
      <x:c r="AE1528" s="17" t="n">
        <x:f>2014-B1528</x:f>
        <x:v>54</x:v>
      </x:c>
      <x:c r="AF1528" s="17" t="n">
        <x:f>F1528+G1528</x:f>
        <x:v>1</x:v>
      </x:c>
      <x:c r="AG1528" s="21" t="n">
        <x:f>SUM(J1528:O1528)</x:f>
        <x:v>55</x:v>
      </x:c>
      <x:c r="AH1528" s="17" t="n">
        <x:f>SUM(Q1528:S1528)</x:f>
        <x:v>5</x:v>
      </x:c>
      <x:c r="AI1528" s="17" t="n">
        <x:f>SUM(U1528:Y1528)</x:f>
        <x:v>0</x:v>
      </x:c>
      <x:c r="AJ1528" s="17" t="str">
        <x:f>IF(AE1528&lt;=34,"≤34",IF(AE1528&lt;=44,"35–44",IF(AE1528&lt;=54,"45–54",IF(AE1528&lt;=64,"55–64","65+"))))</x:f>
        <x:v>45–54</x:v>
      </x:c>
      <x:c r="AK1528" s="17" t="str">
        <x:f>IF(AG1528&gt;=1000,"High Value",IF(AG1528&gt;=300,"Mid Value","Low Value"))</x:f>
        <x:v>Low Value</x:v>
      </x:c>
      <x:c r="AL1528" s="17" t="str">
        <x:f>IF(AND(AI1528&gt;=1,I1528&lt;=50),"Priority 1",IF(AND(AG1528&gt;=1000,I1528&lt;=60),"Priority 2",IF(I1528&lt;=30,"Priority 3","Nurture")))</x:f>
        <x:v>Nurture</x:v>
      </x:c>
    </x:row>
    <x:row r="1529">
      <x:c r="A1529" s="16" t="n">
        <x:v>6050</x:v>
      </x:c>
      <x:c r="B1529" s="16" t="n">
        <x:v>1975</x:v>
      </x:c>
      <x:c r="C1529" s="16" t="str">
        <x:v>2n Cycle</x:v>
      </x:c>
      <x:c r="D1529" s="16" t="str">
        <x:v>Married</x:v>
      </x:c>
      <x:c r="E1529" s="16" t="n">
        <x:v>57036</x:v>
      </x:c>
      <x:c r="F1529" s="16" t="n">
        <x:v>0</x:v>
      </x:c>
      <x:c r="G1529" s="16" t="n">
        <x:v>1</x:v>
      </x:c>
      <x:c r="H1529" s="16" t="str">
        <x:v>11-12-2012</x:v>
      </x:c>
      <x:c r="I1529" s="16" t="n">
        <x:v>33</x:v>
      </x:c>
      <x:c r="J1529" s="16" t="n">
        <x:v>1171</x:v>
      </x:c>
      <x:c r="K1529" s="16" t="n">
        <x:v>43</x:v>
      </x:c>
      <x:c r="L1529" s="16" t="n">
        <x:v>219</x:v>
      </x:c>
      <x:c r="M1529" s="16" t="n">
        <x:v>19</x:v>
      </x:c>
      <x:c r="N1529" s="16" t="n">
        <x:v>14</x:v>
      </x:c>
      <x:c r="O1529" s="16" t="n">
        <x:v>47</x:v>
      </x:c>
      <x:c r="P1529" s="16" t="n">
        <x:v>4</x:v>
      </x:c>
      <x:c r="Q1529" s="16" t="n">
        <x:v>6</x:v>
      </x:c>
      <x:c r="R1529" s="16" t="n">
        <x:v>3</x:v>
      </x:c>
      <x:c r="S1529" s="16" t="n">
        <x:v>13</x:v>
      </x:c>
      <x:c r="T1529" s="16" t="n">
        <x:v>9</x:v>
      </x:c>
      <x:c r="U1529" s="16" t="n">
        <x:v>1</x:v>
      </x:c>
      <x:c r="V1529" s="16" t="n">
        <x:v>0</x:v>
      </x:c>
      <x:c r="W1529" s="16" t="n">
        <x:v>0</x:v>
      </x:c>
      <x:c r="X1529" s="16" t="n">
        <x:v>0</x:v>
      </x:c>
      <x:c r="Y1529" s="16" t="n">
        <x:v>0</x:v>
      </x:c>
      <x:c r="Z1529" s="16" t="n">
        <x:v>0</x:v>
      </x:c>
      <x:c r="AA1529" s="16" t="n">
        <x:v>3</x:v>
      </x:c>
      <x:c r="AB1529" s="16" t="n">
        <x:v>11</x:v>
      </x:c>
      <x:c r="AC1529" s="16" t="n">
        <x:v>0</x:v>
      </x:c>
      <x:c r="AD1529" s="21" t="n">
        <x:f>IF(E1529="",MEDIAN($E$2:$E$2237),E1529)</x:f>
        <x:v>57036</x:v>
      </x:c>
      <x:c r="AE1529" s="17" t="n">
        <x:f>2014-B1529</x:f>
        <x:v>39</x:v>
      </x:c>
      <x:c r="AF1529" s="17" t="n">
        <x:f>F1529+G1529</x:f>
        <x:v>1</x:v>
      </x:c>
      <x:c r="AG1529" s="21" t="n">
        <x:f>SUM(J1529:O1529)</x:f>
        <x:v>1513</x:v>
      </x:c>
      <x:c r="AH1529" s="17" t="n">
        <x:f>SUM(Q1529:S1529)</x:f>
        <x:v>22</x:v>
      </x:c>
      <x:c r="AI1529" s="17" t="n">
        <x:f>SUM(U1529:Y1529)</x:f>
        <x:v>1</x:v>
      </x:c>
      <x:c r="AJ1529" s="17" t="str">
        <x:f>IF(AE1529&lt;=34,"≤34",IF(AE1529&lt;=44,"35–44",IF(AE1529&lt;=54,"45–54",IF(AE1529&lt;=64,"55–64","65+"))))</x:f>
        <x:v>35–44</x:v>
      </x:c>
      <x:c r="AK1529" s="17" t="str">
        <x:f>IF(AG1529&gt;=1000,"High Value",IF(AG1529&gt;=300,"Mid Value","Low Value"))</x:f>
        <x:v>High Value</x:v>
      </x:c>
      <x:c r="AL1529" s="17" t="str">
        <x:f>IF(AND(AI1529&gt;=1,I1529&lt;=50),"Priority 1",IF(AND(AG1529&gt;=1000,I1529&lt;=60),"Priority 2",IF(I1529&lt;=30,"Priority 3","Nurture")))</x:f>
        <x:v>Priority 1</x:v>
      </x:c>
    </x:row>
    <x:row r="1530">
      <x:c r="A1530" s="16" t="n">
        <x:v>125</x:v>
      </x:c>
      <x:c r="B1530" s="16" t="n">
        <x:v>1958</x:v>
      </x:c>
      <x:c r="C1530" s="16" t="str">
        <x:v>2n Cycle</x:v>
      </x:c>
      <x:c r="D1530" s="16" t="str">
        <x:v>Together</x:v>
      </x:c>
      <x:c r="E1530" s="16" t="n">
        <x:v>53083</x:v>
      </x:c>
      <x:c r="F1530" s="16" t="n">
        <x:v>1</x:v>
      </x:c>
      <x:c r="G1530" s="16" t="n">
        <x:v>1</x:v>
      </x:c>
      <x:c r="H1530" s="16" t="str">
        <x:v>15-05-2013</x:v>
      </x:c>
      <x:c r="I1530" s="16" t="n">
        <x:v>65</x:v>
      </x:c>
      <x:c r="J1530" s="16" t="n">
        <x:v>215</x:v>
      </x:c>
      <x:c r="K1530" s="16" t="n">
        <x:v>7</x:v>
      </x:c>
      <x:c r="L1530" s="16" t="n">
        <x:v>33</x:v>
      </x:c>
      <x:c r="M1530" s="16" t="n">
        <x:v>3</x:v>
      </x:c>
      <x:c r="N1530" s="16" t="n">
        <x:v>0</x:v>
      </x:c>
      <x:c r="O1530" s="16" t="n">
        <x:v>13</x:v>
      </x:c>
      <x:c r="P1530" s="16" t="n">
        <x:v>6</x:v>
      </x:c>
      <x:c r="Q1530" s="16" t="n">
        <x:v>5</x:v>
      </x:c>
      <x:c r="R1530" s="16" t="n">
        <x:v>1</x:v>
      </x:c>
      <x:c r="S1530" s="16" t="n">
        <x:v>5</x:v>
      </x:c>
      <x:c r="T1530" s="16" t="n">
        <x:v>7</x:v>
      </x:c>
      <x:c r="U1530" s="16" t="n">
        <x:v>0</x:v>
      </x:c>
      <x:c r="V1530" s="16" t="n">
        <x:v>1</x:v>
      </x:c>
      <x:c r="W1530" s="16" t="n">
        <x:v>0</x:v>
      </x:c>
      <x:c r="X1530" s="16" t="n">
        <x:v>0</x:v>
      </x:c>
      <x:c r="Y1530" s="16" t="n">
        <x:v>0</x:v>
      </x:c>
      <x:c r="Z1530" s="16" t="n">
        <x:v>0</x:v>
      </x:c>
      <x:c r="AA1530" s="16" t="n">
        <x:v>3</x:v>
      </x:c>
      <x:c r="AB1530" s="16" t="n">
        <x:v>11</x:v>
      </x:c>
      <x:c r="AC1530" s="16" t="n">
        <x:v>0</x:v>
      </x:c>
      <x:c r="AD1530" s="21" t="n">
        <x:f>IF(E1530="",MEDIAN($E$2:$E$2237),E1530)</x:f>
        <x:v>53083</x:v>
      </x:c>
      <x:c r="AE1530" s="17" t="n">
        <x:f>2014-B1530</x:f>
        <x:v>56</x:v>
      </x:c>
      <x:c r="AF1530" s="17" t="n">
        <x:f>F1530+G1530</x:f>
        <x:v>2</x:v>
      </x:c>
      <x:c r="AG1530" s="21" t="n">
        <x:f>SUM(J1530:O1530)</x:f>
        <x:v>271</x:v>
      </x:c>
      <x:c r="AH1530" s="17" t="n">
        <x:f>SUM(Q1530:S1530)</x:f>
        <x:v>11</x:v>
      </x:c>
      <x:c r="AI1530" s="17" t="n">
        <x:f>SUM(U1530:Y1530)</x:f>
        <x:v>1</x:v>
      </x:c>
      <x:c r="AJ1530" s="17" t="str">
        <x:f>IF(AE1530&lt;=34,"≤34",IF(AE1530&lt;=44,"35–44",IF(AE1530&lt;=54,"45–54",IF(AE1530&lt;=64,"55–64","65+"))))</x:f>
        <x:v>55–64</x:v>
      </x:c>
      <x:c r="AK1530" s="17" t="str">
        <x:f>IF(AG1530&gt;=1000,"High Value",IF(AG1530&gt;=300,"Mid Value","Low Value"))</x:f>
        <x:v>Low Value</x:v>
      </x:c>
      <x:c r="AL1530" s="17" t="str">
        <x:f>IF(AND(AI1530&gt;=1,I1530&lt;=50),"Priority 1",IF(AND(AG1530&gt;=1000,I1530&lt;=60),"Priority 2",IF(I1530&lt;=30,"Priority 3","Nurture")))</x:f>
        <x:v>Nurture</x:v>
      </x:c>
    </x:row>
    <x:row r="1531">
      <x:c r="A1531" s="16" t="n">
        <x:v>3463</x:v>
      </x:c>
      <x:c r="B1531" s="16" t="n">
        <x:v>1975</x:v>
      </x:c>
      <x:c r="C1531" s="16" t="str">
        <x:v>PhD</x:v>
      </x:c>
      <x:c r="D1531" s="16" t="str">
        <x:v>Married</x:v>
      </x:c>
      <x:c r="E1531" s="16" t="n">
        <x:v>69283</x:v>
      </x:c>
      <x:c r="F1531" s="16" t="n">
        <x:v>0</x:v>
      </x:c>
      <x:c r="G1531" s="16" t="n">
        <x:v>1</x:v>
      </x:c>
      <x:c r="H1531" s="16" t="str">
        <x:v>14-06-2014</x:v>
      </x:c>
      <x:c r="I1531" s="16" t="n">
        <x:v>41</x:v>
      </x:c>
      <x:c r="J1531" s="16" t="n">
        <x:v>674</x:v>
      </x:c>
      <x:c r="K1531" s="16" t="n">
        <x:v>62</x:v>
      </x:c>
      <x:c r="L1531" s="16" t="n">
        <x:v>134</x:v>
      </x:c>
      <x:c r="M1531" s="16" t="n">
        <x:v>0</x:v>
      </x:c>
      <x:c r="N1531" s="16" t="n">
        <x:v>26</x:v>
      </x:c>
      <x:c r="O1531" s="16" t="n">
        <x:v>8</x:v>
      </x:c>
      <x:c r="P1531" s="16" t="n">
        <x:v>4</x:v>
      </x:c>
      <x:c r="Q1531" s="16" t="n">
        <x:v>7</x:v>
      </x:c>
      <x:c r="R1531" s="16" t="n">
        <x:v>3</x:v>
      </x:c>
      <x:c r="S1531" s="16" t="n">
        <x:v>13</x:v>
      </x:c>
      <x:c r="T1531" s="16" t="n">
        <x:v>5</x:v>
      </x:c>
      <x:c r="U1531" s="16" t="n">
        <x:v>0</x:v>
      </x:c>
      <x:c r="V1531" s="16" t="n">
        <x:v>0</x:v>
      </x:c>
      <x:c r="W1531" s="16" t="n">
        <x:v>0</x:v>
      </x:c>
      <x:c r="X1531" s="16" t="n">
        <x:v>0</x:v>
      </x:c>
      <x:c r="Y1531" s="16" t="n">
        <x:v>0</x:v>
      </x:c>
      <x:c r="Z1531" s="16" t="n">
        <x:v>0</x:v>
      </x:c>
      <x:c r="AA1531" s="16" t="n">
        <x:v>3</x:v>
      </x:c>
      <x:c r="AB1531" s="16" t="n">
        <x:v>11</x:v>
      </x:c>
      <x:c r="AC1531" s="16" t="n">
        <x:v>0</x:v>
      </x:c>
      <x:c r="AD1531" s="21" t="n">
        <x:f>IF(E1531="",MEDIAN($E$2:$E$2237),E1531)</x:f>
        <x:v>69283</x:v>
      </x:c>
      <x:c r="AE1531" s="17" t="n">
        <x:f>2014-B1531</x:f>
        <x:v>39</x:v>
      </x:c>
      <x:c r="AF1531" s="17" t="n">
        <x:f>F1531+G1531</x:f>
        <x:v>1</x:v>
      </x:c>
      <x:c r="AG1531" s="21" t="n">
        <x:f>SUM(J1531:O1531)</x:f>
        <x:v>904</x:v>
      </x:c>
      <x:c r="AH1531" s="17" t="n">
        <x:f>SUM(Q1531:S1531)</x:f>
        <x:v>23</x:v>
      </x:c>
      <x:c r="AI1531" s="17" t="n">
        <x:f>SUM(U1531:Y1531)</x:f>
        <x:v>0</x:v>
      </x:c>
      <x:c r="AJ1531" s="17" t="str">
        <x:f>IF(AE1531&lt;=34,"≤34",IF(AE1531&lt;=44,"35–44",IF(AE1531&lt;=54,"45–54",IF(AE1531&lt;=64,"55–64","65+"))))</x:f>
        <x:v>35–44</x:v>
      </x:c>
      <x:c r="AK1531" s="17" t="str">
        <x:f>IF(AG1531&gt;=1000,"High Value",IF(AG1531&gt;=300,"Mid Value","Low Value"))</x:f>
        <x:v>Mid Value</x:v>
      </x:c>
      <x:c r="AL1531" s="17" t="str">
        <x:f>IF(AND(AI1531&gt;=1,I1531&lt;=50),"Priority 1",IF(AND(AG1531&gt;=1000,I1531&lt;=60),"Priority 2",IF(I1531&lt;=30,"Priority 3","Nurture")))</x:f>
        <x:v>Nurture</x:v>
      </x:c>
    </x:row>
    <x:row r="1532">
      <x:c r="A1532" s="16" t="n">
        <x:v>2804</x:v>
      </x:c>
      <x:c r="B1532" s="16" t="n">
        <x:v>1975</x:v>
      </x:c>
      <x:c r="C1532" s="16" t="str">
        <x:v>Master</x:v>
      </x:c>
      <x:c r="D1532" s="16" t="str">
        <x:v>Single</x:v>
      </x:c>
      <x:c r="E1532" s="16" t="n">
        <x:v>46098</x:v>
      </x:c>
      <x:c r="F1532" s="16" t="n">
        <x:v>1</x:v>
      </x:c>
      <x:c r="G1532" s="16" t="n">
        <x:v>1</x:v>
      </x:c>
      <x:c r="H1532" s="16" t="str">
        <x:v>18-08-2012</x:v>
      </x:c>
      <x:c r="I1532" s="16" t="n">
        <x:v>86</x:v>
      </x:c>
      <x:c r="J1532" s="16" t="n">
        <x:v>57</x:v>
      </x:c>
      <x:c r="K1532" s="16" t="n">
        <x:v>0</x:v>
      </x:c>
      <x:c r="L1532" s="16" t="n">
        <x:v>27</x:v>
      </x:c>
      <x:c r="M1532" s="16" t="n">
        <x:v>0</x:v>
      </x:c>
      <x:c r="N1532" s="16" t="n">
        <x:v>0</x:v>
      </x:c>
      <x:c r="O1532" s="16" t="n">
        <x:v>36</x:v>
      </x:c>
      <x:c r="P1532" s="16" t="n">
        <x:v>4</x:v>
      </x:c>
      <x:c r="Q1532" s="16" t="n">
        <x:v>3</x:v>
      </x:c>
      <x:c r="R1532" s="16" t="n">
        <x:v>2</x:v>
      </x:c>
      <x:c r="S1532" s="16" t="n">
        <x:v>2</x:v>
      </x:c>
      <x:c r="T1532" s="16" t="n">
        <x:v>8</x:v>
      </x:c>
      <x:c r="U1532" s="16" t="n">
        <x:v>0</x:v>
      </x:c>
      <x:c r="V1532" s="16" t="n">
        <x:v>0</x:v>
      </x:c>
      <x:c r="W1532" s="16" t="n">
        <x:v>0</x:v>
      </x:c>
      <x:c r="X1532" s="16" t="n">
        <x:v>0</x:v>
      </x:c>
      <x:c r="Y1532" s="16" t="n">
        <x:v>0</x:v>
      </x:c>
      <x:c r="Z1532" s="16" t="n">
        <x:v>0</x:v>
      </x:c>
      <x:c r="AA1532" s="16" t="n">
        <x:v>3</x:v>
      </x:c>
      <x:c r="AB1532" s="16" t="n">
        <x:v>11</x:v>
      </x:c>
      <x:c r="AC1532" s="16" t="n">
        <x:v>1</x:v>
      </x:c>
      <x:c r="AD1532" s="21" t="n">
        <x:f>IF(E1532="",MEDIAN($E$2:$E$2237),E1532)</x:f>
        <x:v>46098</x:v>
      </x:c>
      <x:c r="AE1532" s="17" t="n">
        <x:f>2014-B1532</x:f>
        <x:v>39</x:v>
      </x:c>
      <x:c r="AF1532" s="17" t="n">
        <x:f>F1532+G1532</x:f>
        <x:v>2</x:v>
      </x:c>
      <x:c r="AG1532" s="21" t="n">
        <x:f>SUM(J1532:O1532)</x:f>
        <x:v>120</x:v>
      </x:c>
      <x:c r="AH1532" s="17" t="n">
        <x:f>SUM(Q1532:S1532)</x:f>
        <x:v>7</x:v>
      </x:c>
      <x:c r="AI1532" s="17" t="n">
        <x:f>SUM(U1532:Y1532)</x:f>
        <x:v>0</x:v>
      </x:c>
      <x:c r="AJ1532" s="17" t="str">
        <x:f>IF(AE1532&lt;=34,"≤34",IF(AE1532&lt;=44,"35–44",IF(AE1532&lt;=54,"45–54",IF(AE1532&lt;=64,"55–64","65+"))))</x:f>
        <x:v>35–44</x:v>
      </x:c>
      <x:c r="AK1532" s="17" t="str">
        <x:f>IF(AG1532&gt;=1000,"High Value",IF(AG1532&gt;=300,"Mid Value","Low Value"))</x:f>
        <x:v>Low Value</x:v>
      </x:c>
      <x:c r="AL1532" s="17" t="str">
        <x:f>IF(AND(AI1532&gt;=1,I1532&lt;=50),"Priority 1",IF(AND(AG1532&gt;=1000,I1532&lt;=60),"Priority 2",IF(I1532&lt;=30,"Priority 3","Nurture")))</x:f>
        <x:v>Nurture</x:v>
      </x:c>
    </x:row>
    <x:row r="1533">
      <x:c r="A1533" s="16" t="n">
        <x:v>3745</x:v>
      </x:c>
      <x:c r="B1533" s="16" t="n">
        <x:v>1988</x:v>
      </x:c>
      <x:c r="C1533" s="16" t="str">
        <x:v>2n Cycle</x:v>
      </x:c>
      <x:c r="D1533" s="16" t="str">
        <x:v>Married</x:v>
      </x:c>
      <x:c r="E1533" s="16" t="n">
        <x:v>23331</x:v>
      </x:c>
      <x:c r="F1533" s="16" t="n">
        <x:v>1</x:v>
      </x:c>
      <x:c r="G1533" s="16" t="n">
        <x:v>0</x:v>
      </x:c>
      <x:c r="H1533" s="16" t="str">
        <x:v>04-09-2012</x:v>
      </x:c>
      <x:c r="I1533" s="16" t="n">
        <x:v>92</x:v>
      </x:c>
      <x:c r="J1533" s="16" t="n">
        <x:v>5</x:v>
      </x:c>
      <x:c r="K1533" s="16" t="n">
        <x:v>36</x:v>
      </x:c>
      <x:c r="L1533" s="16" t="n">
        <x:v>7</x:v>
      </x:c>
      <x:c r="M1533" s="16" t="n">
        <x:v>0</x:v>
      </x:c>
      <x:c r="N1533" s="16" t="n">
        <x:v>10</x:v>
      </x:c>
      <x:c r="O1533" s="16" t="n">
        <x:v>45</x:v>
      </x:c>
      <x:c r="P1533" s="16" t="n">
        <x:v>2</x:v>
      </x:c>
      <x:c r="Q1533" s="16" t="n">
        <x:v>3</x:v>
      </x:c>
      <x:c r="R1533" s="16" t="n">
        <x:v>0</x:v>
      </x:c>
      <x:c r="S1533" s="16" t="n">
        <x:v>3</x:v>
      </x:c>
      <x:c r="T1533" s="16" t="n">
        <x:v>8</x:v>
      </x:c>
      <x:c r="U1533" s="16" t="n">
        <x:v>0</x:v>
      </x:c>
      <x:c r="V1533" s="16" t="n">
        <x:v>0</x:v>
      </x:c>
      <x:c r="W1533" s="16" t="n">
        <x:v>0</x:v>
      </x:c>
      <x:c r="X1533" s="16" t="n">
        <x:v>0</x:v>
      </x:c>
      <x:c r="Y1533" s="16" t="n">
        <x:v>0</x:v>
      </x:c>
      <x:c r="Z1533" s="16" t="n">
        <x:v>0</x:v>
      </x:c>
      <x:c r="AA1533" s="16" t="n">
        <x:v>3</x:v>
      </x:c>
      <x:c r="AB1533" s="16" t="n">
        <x:v>11</x:v>
      </x:c>
      <x:c r="AC1533" s="16" t="n">
        <x:v>0</x:v>
      </x:c>
      <x:c r="AD1533" s="21" t="n">
        <x:f>IF(E1533="",MEDIAN($E$2:$E$2237),E1533)</x:f>
        <x:v>23331</x:v>
      </x:c>
      <x:c r="AE1533" s="17" t="n">
        <x:f>2014-B1533</x:f>
        <x:v>26</x:v>
      </x:c>
      <x:c r="AF1533" s="17" t="n">
        <x:f>F1533+G1533</x:f>
        <x:v>1</x:v>
      </x:c>
      <x:c r="AG1533" s="21" t="n">
        <x:f>SUM(J1533:O1533)</x:f>
        <x:v>103</x:v>
      </x:c>
      <x:c r="AH1533" s="17" t="n">
        <x:f>SUM(Q1533:S1533)</x:f>
        <x:v>6</x:v>
      </x:c>
      <x:c r="AI1533" s="17" t="n">
        <x:f>SUM(U1533:Y1533)</x:f>
        <x:v>0</x:v>
      </x:c>
      <x:c r="AJ1533" s="17" t="str">
        <x:f>IF(AE1533&lt;=34,"≤34",IF(AE1533&lt;=44,"35–44",IF(AE1533&lt;=54,"45–54",IF(AE1533&lt;=64,"55–64","65+"))))</x:f>
        <x:v>≤34</x:v>
      </x:c>
      <x:c r="AK1533" s="17" t="str">
        <x:f>IF(AG1533&gt;=1000,"High Value",IF(AG1533&gt;=300,"Mid Value","Low Value"))</x:f>
        <x:v>Low Value</x:v>
      </x:c>
      <x:c r="AL1533" s="17" t="str">
        <x:f>IF(AND(AI1533&gt;=1,I1533&lt;=50),"Priority 1",IF(AND(AG1533&gt;=1000,I1533&lt;=60),"Priority 2",IF(I1533&lt;=30,"Priority 3","Nurture")))</x:f>
        <x:v>Nurture</x:v>
      </x:c>
    </x:row>
    <x:row r="1534">
      <x:c r="A1534" s="16" t="n">
        <x:v>9771</x:v>
      </x:c>
      <x:c r="B1534" s="16" t="n">
        <x:v>1988</x:v>
      </x:c>
      <x:c r="C1534" s="16" t="str">
        <x:v>2n Cycle</x:v>
      </x:c>
      <x:c r="D1534" s="16" t="str">
        <x:v>Single</x:v>
      </x:c>
      <x:c r="E1534" s="16" t="n">
        <x:v>23331</x:v>
      </x:c>
      <x:c r="F1534" s="16" t="n">
        <x:v>1</x:v>
      </x:c>
      <x:c r="G1534" s="16" t="n">
        <x:v>0</x:v>
      </x:c>
      <x:c r="H1534" s="16" t="str">
        <x:v>05-10-2012</x:v>
      </x:c>
      <x:c r="I1534" s="16" t="n">
        <x:v>97</x:v>
      </x:c>
      <x:c r="J1534" s="16" t="n">
        <x:v>104</x:v>
      </x:c>
      <x:c r="K1534" s="16" t="n">
        <x:v>20</x:v>
      </x:c>
      <x:c r="L1534" s="16" t="n">
        <x:v>101</x:v>
      </x:c>
      <x:c r="M1534" s="16" t="n">
        <x:v>24</x:v>
      </x:c>
      <x:c r="N1534" s="16" t="n">
        <x:v>15</x:v>
      </x:c>
      <x:c r="O1534" s="16" t="n">
        <x:v>5</x:v>
      </x:c>
      <x:c r="P1534" s="16" t="n">
        <x:v>6</x:v>
      </x:c>
      <x:c r="Q1534" s="16" t="n">
        <x:v>5</x:v>
      </x:c>
      <x:c r="R1534" s="16" t="n">
        <x:v>1</x:v>
      </x:c>
      <x:c r="S1534" s="16" t="n">
        <x:v>5</x:v>
      </x:c>
      <x:c r="T1534" s="16" t="n">
        <x:v>9</x:v>
      </x:c>
      <x:c r="U1534" s="16" t="n">
        <x:v>0</x:v>
      </x:c>
      <x:c r="V1534" s="16" t="n">
        <x:v>0</x:v>
      </x:c>
      <x:c r="W1534" s="16" t="n">
        <x:v>0</x:v>
      </x:c>
      <x:c r="X1534" s="16" t="n">
        <x:v>0</x:v>
      </x:c>
      <x:c r="Y1534" s="16" t="n">
        <x:v>0</x:v>
      </x:c>
      <x:c r="Z1534" s="16" t="n">
        <x:v>0</x:v>
      </x:c>
      <x:c r="AA1534" s="16" t="n">
        <x:v>3</x:v>
      </x:c>
      <x:c r="AB1534" s="16" t="n">
        <x:v>11</x:v>
      </x:c>
      <x:c r="AC1534" s="16" t="n">
        <x:v>0</x:v>
      </x:c>
      <x:c r="AD1534" s="21" t="n">
        <x:f>IF(E1534="",MEDIAN($E$2:$E$2237),E1534)</x:f>
        <x:v>23331</x:v>
      </x:c>
      <x:c r="AE1534" s="17" t="n">
        <x:f>2014-B1534</x:f>
        <x:v>26</x:v>
      </x:c>
      <x:c r="AF1534" s="17" t="n">
        <x:f>F1534+G1534</x:f>
        <x:v>1</x:v>
      </x:c>
      <x:c r="AG1534" s="21" t="n">
        <x:f>SUM(J1534:O1534)</x:f>
        <x:v>269</x:v>
      </x:c>
      <x:c r="AH1534" s="17" t="n">
        <x:f>SUM(Q1534:S1534)</x:f>
        <x:v>11</x:v>
      </x:c>
      <x:c r="AI1534" s="17" t="n">
        <x:f>SUM(U1534:Y1534)</x:f>
        <x:v>0</x:v>
      </x:c>
      <x:c r="AJ1534" s="17" t="str">
        <x:f>IF(AE1534&lt;=34,"≤34",IF(AE1534&lt;=44,"35–44",IF(AE1534&lt;=54,"45–54",IF(AE1534&lt;=64,"55–64","65+"))))</x:f>
        <x:v>≤34</x:v>
      </x:c>
      <x:c r="AK1534" s="17" t="str">
        <x:f>IF(AG1534&gt;=1000,"High Value",IF(AG1534&gt;=300,"Mid Value","Low Value"))</x:f>
        <x:v>Low Value</x:v>
      </x:c>
      <x:c r="AL1534" s="17" t="str">
        <x:f>IF(AND(AI1534&gt;=1,I1534&lt;=50),"Priority 1",IF(AND(AG1534&gt;=1000,I1534&lt;=60),"Priority 2",IF(I1534&lt;=30,"Priority 3","Nurture")))</x:f>
        <x:v>Nurture</x:v>
      </x:c>
    </x:row>
    <x:row r="1535">
      <x:c r="A1535" s="16" t="n">
        <x:v>451</x:v>
      </x:c>
      <x:c r="B1535" s="16" t="n">
        <x:v>1989</x:v>
      </x:c>
      <x:c r="C1535" s="16" t="str">
        <x:v>Graduation</x:v>
      </x:c>
      <x:c r="D1535" s="16" t="str">
        <x:v>Single</x:v>
      </x:c>
      <x:c r="E1535" s="16" t="n">
        <x:v>9255</x:v>
      </x:c>
      <x:c r="F1535" s="16" t="n">
        <x:v>1</x:v>
      </x:c>
      <x:c r="G1535" s="16" t="n">
        <x:v>0</x:v>
      </x:c>
      <x:c r="H1535" s="16" t="str">
        <x:v>20-12-2013</x:v>
      </x:c>
      <x:c r="I1535" s="16" t="n">
        <x:v>91</x:v>
      </x:c>
      <x:c r="J1535" s="16" t="n">
        <x:v>9</x:v>
      </x:c>
      <x:c r="K1535" s="16" t="n">
        <x:v>0</x:v>
      </x:c>
      <x:c r="L1535" s="16" t="n">
        <x:v>7</x:v>
      </x:c>
      <x:c r="M1535" s="16" t="n">
        <x:v>2</x:v>
      </x:c>
      <x:c r="N1535" s="16" t="n">
        <x:v>0</x:v>
      </x:c>
      <x:c r="O1535" s="16" t="n">
        <x:v>4</x:v>
      </x:c>
      <x:c r="P1535" s="16" t="n">
        <x:v>1</x:v>
      </x:c>
      <x:c r="Q1535" s="16" t="n">
        <x:v>1</x:v>
      </x:c>
      <x:c r="R1535" s="16" t="n">
        <x:v>1</x:v>
      </x:c>
      <x:c r="S1535" s="16" t="n">
        <x:v>2</x:v>
      </x:c>
      <x:c r="T1535" s="16" t="n">
        <x:v>8</x:v>
      </x:c>
      <x:c r="U1535" s="16" t="n">
        <x:v>0</x:v>
      </x:c>
      <x:c r="V1535" s="16" t="n">
        <x:v>0</x:v>
      </x:c>
      <x:c r="W1535" s="16" t="n">
        <x:v>0</x:v>
      </x:c>
      <x:c r="X1535" s="16" t="n">
        <x:v>0</x:v>
      </x:c>
      <x:c r="Y1535" s="16" t="n">
        <x:v>0</x:v>
      </x:c>
      <x:c r="Z1535" s="16" t="n">
        <x:v>0</x:v>
      </x:c>
      <x:c r="AA1535" s="16" t="n">
        <x:v>3</x:v>
      </x:c>
      <x:c r="AB1535" s="16" t="n">
        <x:v>11</x:v>
      </x:c>
      <x:c r="AC1535" s="16" t="n">
        <x:v>0</x:v>
      </x:c>
      <x:c r="AD1535" s="21" t="n">
        <x:f>IF(E1535="",MEDIAN($E$2:$E$2237),E1535)</x:f>
        <x:v>9255</x:v>
      </x:c>
      <x:c r="AE1535" s="17" t="n">
        <x:f>2014-B1535</x:f>
        <x:v>25</x:v>
      </x:c>
      <x:c r="AF1535" s="17" t="n">
        <x:f>F1535+G1535</x:f>
        <x:v>1</x:v>
      </x:c>
      <x:c r="AG1535" s="21" t="n">
        <x:f>SUM(J1535:O1535)</x:f>
        <x:v>22</x:v>
      </x:c>
      <x:c r="AH1535" s="17" t="n">
        <x:f>SUM(Q1535:S1535)</x:f>
        <x:v>4</x:v>
      </x:c>
      <x:c r="AI1535" s="17" t="n">
        <x:f>SUM(U1535:Y1535)</x:f>
        <x:v>0</x:v>
      </x:c>
      <x:c r="AJ1535" s="17" t="str">
        <x:f>IF(AE1535&lt;=34,"≤34",IF(AE1535&lt;=44,"35–44",IF(AE1535&lt;=54,"45–54",IF(AE1535&lt;=64,"55–64","65+"))))</x:f>
        <x:v>≤34</x:v>
      </x:c>
      <x:c r="AK1535" s="17" t="str">
        <x:f>IF(AG1535&gt;=1000,"High Value",IF(AG1535&gt;=300,"Mid Value","Low Value"))</x:f>
        <x:v>Low Value</x:v>
      </x:c>
      <x:c r="AL1535" s="17" t="str">
        <x:f>IF(AND(AI1535&gt;=1,I1535&lt;=50),"Priority 1",IF(AND(AG1535&gt;=1000,I1535&lt;=60),"Priority 2",IF(I1535&lt;=30,"Priority 3","Nurture")))</x:f>
        <x:v>Nurture</x:v>
      </x:c>
    </x:row>
    <x:row r="1536">
      <x:c r="A1536" s="16" t="n">
        <x:v>10530</x:v>
      </x:c>
      <x:c r="B1536" s="16" t="n">
        <x:v>1959</x:v>
      </x:c>
      <x:c r="C1536" s="16" t="str">
        <x:v>PhD</x:v>
      </x:c>
      <x:c r="D1536" s="16" t="str">
        <x:v>Widow</x:v>
      </x:c>
      <x:c r="E1536" s="16" t="n">
        <x:v>67786</x:v>
      </x:c>
      <x:c r="F1536" s="16" t="n">
        <x:v>0</x:v>
      </x:c>
      <x:c r="G1536" s="16" t="n">
        <x:v>0</x:v>
      </x:c>
      <x:c r="H1536" s="16" t="str">
        <x:v>07-12-2013</x:v>
      </x:c>
      <x:c r="I1536" s="16" t="n">
        <x:v>0</x:v>
      </x:c>
      <x:c r="J1536" s="16" t="n">
        <x:v>431</x:v>
      </x:c>
      <x:c r="K1536" s="16" t="n">
        <x:v>82</x:v>
      </x:c>
      <x:c r="L1536" s="16" t="n">
        <x:v>441</x:v>
      </x:c>
      <x:c r="M1536" s="16" t="n">
        <x:v>80</x:v>
      </x:c>
      <x:c r="N1536" s="16" t="n">
        <x:v>20</x:v>
      </x:c>
      <x:c r="O1536" s="16" t="n">
        <x:v>102</x:v>
      </x:c>
      <x:c r="P1536" s="16" t="n">
        <x:v>1</x:v>
      </x:c>
      <x:c r="Q1536" s="16" t="n">
        <x:v>3</x:v>
      </x:c>
      <x:c r="R1536" s="16" t="n">
        <x:v>6</x:v>
      </x:c>
      <x:c r="S1536" s="16" t="n">
        <x:v>6</x:v>
      </x:c>
      <x:c r="T1536" s="16" t="n">
        <x:v>1</x:v>
      </x:c>
      <x:c r="U1536" s="16" t="n">
        <x:v>0</x:v>
      </x:c>
      <x:c r="V1536" s="16" t="n">
        <x:v>0</x:v>
      </x:c>
      <x:c r="W1536" s="16" t="n">
        <x:v>0</x:v>
      </x:c>
      <x:c r="X1536" s="16" t="n">
        <x:v>0</x:v>
      </x:c>
      <x:c r="Y1536" s="16" t="n">
        <x:v>0</x:v>
      </x:c>
      <x:c r="Z1536" s="16" t="n">
        <x:v>0</x:v>
      </x:c>
      <x:c r="AA1536" s="16" t="n">
        <x:v>3</x:v>
      </x:c>
      <x:c r="AB1536" s="16" t="n">
        <x:v>11</x:v>
      </x:c>
      <x:c r="AC1536" s="16" t="n">
        <x:v>1</x:v>
      </x:c>
      <x:c r="AD1536" s="21" t="n">
        <x:f>IF(E1536="",MEDIAN($E$2:$E$2237),E1536)</x:f>
        <x:v>67786</x:v>
      </x:c>
      <x:c r="AE1536" s="17" t="n">
        <x:f>2014-B1536</x:f>
        <x:v>55</x:v>
      </x:c>
      <x:c r="AF1536" s="17" t="n">
        <x:f>F1536+G1536</x:f>
        <x:v>0</x:v>
      </x:c>
      <x:c r="AG1536" s="21" t="n">
        <x:f>SUM(J1536:O1536)</x:f>
        <x:v>1156</x:v>
      </x:c>
      <x:c r="AH1536" s="17" t="n">
        <x:f>SUM(Q1536:S1536)</x:f>
        <x:v>15</x:v>
      </x:c>
      <x:c r="AI1536" s="17" t="n">
        <x:f>SUM(U1536:Y1536)</x:f>
        <x:v>0</x:v>
      </x:c>
      <x:c r="AJ1536" s="17" t="str">
        <x:f>IF(AE1536&lt;=34,"≤34",IF(AE1536&lt;=44,"35–44",IF(AE1536&lt;=54,"45–54",IF(AE1536&lt;=64,"55–64","65+"))))</x:f>
        <x:v>55–64</x:v>
      </x:c>
      <x:c r="AK1536" s="17" t="str">
        <x:f>IF(AG1536&gt;=1000,"High Value",IF(AG1536&gt;=300,"Mid Value","Low Value"))</x:f>
        <x:v>High Value</x:v>
      </x:c>
      <x:c r="AL1536" s="17" t="str">
        <x:f>IF(AND(AI1536&gt;=1,I1536&lt;=50),"Priority 1",IF(AND(AG1536&gt;=1000,I1536&lt;=60),"Priority 2",IF(I1536&lt;=30,"Priority 3","Nurture")))</x:f>
        <x:v>Priority 2</x:v>
      </x:c>
    </x:row>
    <x:row r="1537">
      <x:c r="A1537" s="16" t="n">
        <x:v>1079</x:v>
      </x:c>
      <x:c r="B1537" s="16" t="n">
        <x:v>1971</x:v>
      </x:c>
      <x:c r="C1537" s="16" t="str">
        <x:v>PhD</x:v>
      </x:c>
      <x:c r="D1537" s="16" t="str">
        <x:v>Married</x:v>
      </x:c>
      <x:c r="E1537" s="16" t="n">
        <x:v>71969</x:v>
      </x:c>
      <x:c r="F1537" s="16" t="n">
        <x:v>0</x:v>
      </x:c>
      <x:c r="G1537" s="16" t="n">
        <x:v>1</x:v>
      </x:c>
      <x:c r="H1537" s="16" t="str">
        <x:v>16-10-2012</x:v>
      </x:c>
      <x:c r="I1537" s="16" t="n">
        <x:v>59</x:v>
      </x:c>
      <x:c r="J1537" s="16" t="n">
        <x:v>1000</x:v>
      </x:c>
      <x:c r="K1537" s="16" t="n">
        <x:v>0</x:v>
      </x:c>
      <x:c r="L1537" s="16" t="n">
        <x:v>76</x:v>
      </x:c>
      <x:c r="M1537" s="16" t="n">
        <x:v>0</x:v>
      </x:c>
      <x:c r="N1537" s="16" t="n">
        <x:v>0</x:v>
      </x:c>
      <x:c r="O1537" s="16" t="n">
        <x:v>10</x:v>
      </x:c>
      <x:c r="P1537" s="16" t="n">
        <x:v>3</x:v>
      </x:c>
      <x:c r="Q1537" s="16" t="n">
        <x:v>3</x:v>
      </x:c>
      <x:c r="R1537" s="16" t="n">
        <x:v>4</x:v>
      </x:c>
      <x:c r="S1537" s="16" t="n">
        <x:v>9</x:v>
      </x:c>
      <x:c r="T1537" s="16" t="n">
        <x:v>8</x:v>
      </x:c>
      <x:c r="U1537" s="16" t="n">
        <x:v>0</x:v>
      </x:c>
      <x:c r="V1537" s="16" t="n">
        <x:v>1</x:v>
      </x:c>
      <x:c r="W1537" s="16" t="n">
        <x:v>0</x:v>
      </x:c>
      <x:c r="X1537" s="16" t="n">
        <x:v>0</x:v>
      </x:c>
      <x:c r="Y1537" s="16" t="n">
        <x:v>0</x:v>
      </x:c>
      <x:c r="Z1537" s="16" t="n">
        <x:v>0</x:v>
      </x:c>
      <x:c r="AA1537" s="16" t="n">
        <x:v>3</x:v>
      </x:c>
      <x:c r="AB1537" s="16" t="n">
        <x:v>11</x:v>
      </x:c>
      <x:c r="AC1537" s="16" t="n">
        <x:v>0</x:v>
      </x:c>
      <x:c r="AD1537" s="21" t="n">
        <x:f>IF(E1537="",MEDIAN($E$2:$E$2237),E1537)</x:f>
        <x:v>71969</x:v>
      </x:c>
      <x:c r="AE1537" s="17" t="n">
        <x:f>2014-B1537</x:f>
        <x:v>43</x:v>
      </x:c>
      <x:c r="AF1537" s="17" t="n">
        <x:f>F1537+G1537</x:f>
        <x:v>1</x:v>
      </x:c>
      <x:c r="AG1537" s="21" t="n">
        <x:f>SUM(J1537:O1537)</x:f>
        <x:v>1086</x:v>
      </x:c>
      <x:c r="AH1537" s="17" t="n">
        <x:f>SUM(Q1537:S1537)</x:f>
        <x:v>16</x:v>
      </x:c>
      <x:c r="AI1537" s="17" t="n">
        <x:f>SUM(U1537:Y1537)</x:f>
        <x:v>1</x:v>
      </x:c>
      <x:c r="AJ1537" s="17" t="str">
        <x:f>IF(AE1537&lt;=34,"≤34",IF(AE1537&lt;=44,"35–44",IF(AE1537&lt;=54,"45–54",IF(AE1537&lt;=64,"55–64","65+"))))</x:f>
        <x:v>35–44</x:v>
      </x:c>
      <x:c r="AK1537" s="17" t="str">
        <x:f>IF(AG1537&gt;=1000,"High Value",IF(AG1537&gt;=300,"Mid Value","Low Value"))</x:f>
        <x:v>High Value</x:v>
      </x:c>
      <x:c r="AL1537" s="17" t="str">
        <x:f>IF(AND(AI1537&gt;=1,I1537&lt;=50),"Priority 1",IF(AND(AG1537&gt;=1000,I1537&lt;=60),"Priority 2",IF(I1537&lt;=30,"Priority 3","Nurture")))</x:f>
        <x:v>Priority 2</x:v>
      </x:c>
    </x:row>
    <x:row r="1538">
      <x:c r="A1538" s="16" t="n">
        <x:v>8920</x:v>
      </x:c>
      <x:c r="B1538" s="16" t="n">
        <x:v>1967</x:v>
      </x:c>
      <x:c r="C1538" s="16" t="str">
        <x:v>Master</x:v>
      </x:c>
      <x:c r="D1538" s="16" t="str">
        <x:v>Single</x:v>
      </x:c>
      <x:c r="E1538" s="16" t="n">
        <x:v>59235</x:v>
      </x:c>
      <x:c r="F1538" s="16" t="n">
        <x:v>1</x:v>
      </x:c>
      <x:c r="G1538" s="16" t="n">
        <x:v>0</x:v>
      </x:c>
      <x:c r="H1538" s="16" t="str">
        <x:v>12-01-2013</x:v>
      </x:c>
      <x:c r="I1538" s="16" t="n">
        <x:v>4</x:v>
      </x:c>
      <x:c r="J1538" s="16" t="n">
        <x:v>448</x:v>
      </x:c>
      <x:c r="K1538" s="16" t="n">
        <x:v>40</x:v>
      </x:c>
      <x:c r="L1538" s="16" t="n">
        <x:v>469</x:v>
      </x:c>
      <x:c r="M1538" s="16" t="n">
        <x:v>80</x:v>
      </x:c>
      <x:c r="N1538" s="16" t="n">
        <x:v>0</x:v>
      </x:c>
      <x:c r="O1538" s="16" t="n">
        <x:v>91</x:v>
      </x:c>
      <x:c r="P1538" s="16" t="n">
        <x:v>3</x:v>
      </x:c>
      <x:c r="Q1538" s="16" t="n">
        <x:v>11</x:v>
      </x:c>
      <x:c r="R1538" s="16" t="n">
        <x:v>2</x:v>
      </x:c>
      <x:c r="S1538" s="16" t="n">
        <x:v>12</x:v>
      </x:c>
      <x:c r="T1538" s="16" t="n">
        <x:v>7</x:v>
      </x:c>
      <x:c r="U1538" s="16" t="n">
        <x:v>0</x:v>
      </x:c>
      <x:c r="V1538" s="16" t="n">
        <x:v>0</x:v>
      </x:c>
      <x:c r="W1538" s="16" t="n">
        <x:v>0</x:v>
      </x:c>
      <x:c r="X1538" s="16" t="n">
        <x:v>0</x:v>
      </x:c>
      <x:c r="Y1538" s="16" t="n">
        <x:v>0</x:v>
      </x:c>
      <x:c r="Z1538" s="16" t="n">
        <x:v>0</x:v>
      </x:c>
      <x:c r="AA1538" s="16" t="n">
        <x:v>3</x:v>
      </x:c>
      <x:c r="AB1538" s="16" t="n">
        <x:v>11</x:v>
      </x:c>
      <x:c r="AC1538" s="16" t="n">
        <x:v>0</x:v>
      </x:c>
      <x:c r="AD1538" s="21" t="n">
        <x:f>IF(E1538="",MEDIAN($E$2:$E$2237),E1538)</x:f>
        <x:v>59235</x:v>
      </x:c>
      <x:c r="AE1538" s="17" t="n">
        <x:f>2014-B1538</x:f>
        <x:v>47</x:v>
      </x:c>
      <x:c r="AF1538" s="17" t="n">
        <x:f>F1538+G1538</x:f>
        <x:v>1</x:v>
      </x:c>
      <x:c r="AG1538" s="21" t="n">
        <x:f>SUM(J1538:O1538)</x:f>
        <x:v>1128</x:v>
      </x:c>
      <x:c r="AH1538" s="17" t="n">
        <x:f>SUM(Q1538:S1538)</x:f>
        <x:v>25</x:v>
      </x:c>
      <x:c r="AI1538" s="17" t="n">
        <x:f>SUM(U1538:Y1538)</x:f>
        <x:v>0</x:v>
      </x:c>
      <x:c r="AJ1538" s="17" t="str">
        <x:f>IF(AE1538&lt;=34,"≤34",IF(AE1538&lt;=44,"35–44",IF(AE1538&lt;=54,"45–54",IF(AE1538&lt;=64,"55–64","65+"))))</x:f>
        <x:v>45–54</x:v>
      </x:c>
      <x:c r="AK1538" s="17" t="str">
        <x:f>IF(AG1538&gt;=1000,"High Value",IF(AG1538&gt;=300,"Mid Value","Low Value"))</x:f>
        <x:v>High Value</x:v>
      </x:c>
      <x:c r="AL1538" s="17" t="str">
        <x:f>IF(AND(AI1538&gt;=1,I1538&lt;=50),"Priority 1",IF(AND(AG1538&gt;=1000,I1538&lt;=60),"Priority 2",IF(I1538&lt;=30,"Priority 3","Nurture")))</x:f>
        <x:v>Priority 2</x:v>
      </x:c>
    </x:row>
    <x:row r="1539">
      <x:c r="A1539" s="16" t="n">
        <x:v>6678</x:v>
      </x:c>
      <x:c r="B1539" s="16" t="n">
        <x:v>1989</x:v>
      </x:c>
      <x:c r="C1539" s="16" t="str">
        <x:v>Graduation</x:v>
      </x:c>
      <x:c r="D1539" s="16" t="str">
        <x:v>Together</x:v>
      </x:c>
      <x:c r="E1539" s="16" t="n">
        <x:v>31928</x:v>
      </x:c>
      <x:c r="F1539" s="16" t="n">
        <x:v>1</x:v>
      </x:c>
      <x:c r="G1539" s="16" t="n">
        <x:v>0</x:v>
      </x:c>
      <x:c r="H1539" s="16" t="str">
        <x:v>28-03-2014</x:v>
      </x:c>
      <x:c r="I1539" s="16" t="n">
        <x:v>5</x:v>
      </x:c>
      <x:c r="J1539" s="16" t="n">
        <x:v>33</x:v>
      </x:c>
      <x:c r="K1539" s="16" t="n">
        <x:v>4</x:v>
      </x:c>
      <x:c r="L1539" s="16" t="n">
        <x:v>24</x:v>
      </x:c>
      <x:c r="M1539" s="16" t="n">
        <x:v>4</x:v>
      </x:c>
      <x:c r="N1539" s="16" t="n">
        <x:v>2</x:v>
      </x:c>
      <x:c r="O1539" s="16" t="n">
        <x:v>5</x:v>
      </x:c>
      <x:c r="P1539" s="16" t="n">
        <x:v>2</x:v>
      </x:c>
      <x:c r="Q1539" s="16" t="n">
        <x:v>3</x:v>
      </x:c>
      <x:c r="R1539" s="16" t="n">
        <x:v>0</x:v>
      </x:c>
      <x:c r="S1539" s="16" t="n">
        <x:v>4</x:v>
      </x:c>
      <x:c r="T1539" s="16" t="n">
        <x:v>7</x:v>
      </x:c>
      <x:c r="U1539" s="16" t="n">
        <x:v>0</x:v>
      </x:c>
      <x:c r="V1539" s="16" t="n">
        <x:v>0</x:v>
      </x:c>
      <x:c r="W1539" s="16" t="n">
        <x:v>0</x:v>
      </x:c>
      <x:c r="X1539" s="16" t="n">
        <x:v>0</x:v>
      </x:c>
      <x:c r="Y1539" s="16" t="n">
        <x:v>0</x:v>
      </x:c>
      <x:c r="Z1539" s="16" t="n">
        <x:v>0</x:v>
      </x:c>
      <x:c r="AA1539" s="16" t="n">
        <x:v>3</x:v>
      </x:c>
      <x:c r="AB1539" s="16" t="n">
        <x:v>11</x:v>
      </x:c>
      <x:c r="AC1539" s="16" t="n">
        <x:v>0</x:v>
      </x:c>
      <x:c r="AD1539" s="21" t="n">
        <x:f>IF(E1539="",MEDIAN($E$2:$E$2237),E1539)</x:f>
        <x:v>31928</x:v>
      </x:c>
      <x:c r="AE1539" s="17" t="n">
        <x:f>2014-B1539</x:f>
        <x:v>25</x:v>
      </x:c>
      <x:c r="AF1539" s="17" t="n">
        <x:f>F1539+G1539</x:f>
        <x:v>1</x:v>
      </x:c>
      <x:c r="AG1539" s="21" t="n">
        <x:f>SUM(J1539:O1539)</x:f>
        <x:v>72</x:v>
      </x:c>
      <x:c r="AH1539" s="17" t="n">
        <x:f>SUM(Q1539:S1539)</x:f>
        <x:v>7</x:v>
      </x:c>
      <x:c r="AI1539" s="17" t="n">
        <x:f>SUM(U1539:Y1539)</x:f>
        <x:v>0</x:v>
      </x:c>
      <x:c r="AJ1539" s="17" t="str">
        <x:f>IF(AE1539&lt;=34,"≤34",IF(AE1539&lt;=44,"35–44",IF(AE1539&lt;=54,"45–54",IF(AE1539&lt;=64,"55–64","65+"))))</x:f>
        <x:v>≤34</x:v>
      </x:c>
      <x:c r="AK1539" s="17" t="str">
        <x:f>IF(AG1539&gt;=1000,"High Value",IF(AG1539&gt;=300,"Mid Value","Low Value"))</x:f>
        <x:v>Low Value</x:v>
      </x:c>
      <x:c r="AL1539" s="17" t="str">
        <x:f>IF(AND(AI1539&gt;=1,I1539&lt;=50),"Priority 1",IF(AND(AG1539&gt;=1000,I1539&lt;=60),"Priority 2",IF(I1539&lt;=30,"Priority 3","Nurture")))</x:f>
        <x:v>Priority 3</x:v>
      </x:c>
    </x:row>
    <x:row r="1540">
      <x:c r="A1540" s="16" t="n">
        <x:v>3852</x:v>
      </x:c>
      <x:c r="B1540" s="16" t="n">
        <x:v>1961</x:v>
      </x:c>
      <x:c r="C1540" s="16" t="str">
        <x:v>Master</x:v>
      </x:c>
      <x:c r="D1540" s="16" t="str">
        <x:v>Together</x:v>
      </x:c>
      <x:c r="E1540" s="16" t="n">
        <x:v>74881</x:v>
      </x:c>
      <x:c r="F1540" s="16" t="n">
        <x:v>1</x:v>
      </x:c>
      <x:c r="G1540" s="16" t="n">
        <x:v>1</x:v>
      </x:c>
      <x:c r="H1540" s="16" t="str">
        <x:v>08-03-2013</x:v>
      </x:c>
      <x:c r="I1540" s="16" t="n">
        <x:v>48</x:v>
      </x:c>
      <x:c r="J1540" s="16" t="n">
        <x:v>505</x:v>
      </x:c>
      <x:c r="K1540" s="16" t="n">
        <x:v>72</x:v>
      </x:c>
      <x:c r="L1540" s="16" t="n">
        <x:v>270</x:v>
      </x:c>
      <x:c r="M1540" s="16" t="n">
        <x:v>36</x:v>
      </x:c>
      <x:c r="N1540" s="16" t="n">
        <x:v>27</x:v>
      </x:c>
      <x:c r="O1540" s="16" t="n">
        <x:v>54</x:v>
      </x:c>
      <x:c r="P1540" s="16" t="n">
        <x:v>4</x:v>
      </x:c>
      <x:c r="Q1540" s="16" t="n">
        <x:v>9</x:v>
      </x:c>
      <x:c r="R1540" s="16" t="n">
        <x:v>2</x:v>
      </x:c>
      <x:c r="S1540" s="16" t="n">
        <x:v>12</x:v>
      </x:c>
      <x:c r="T1540" s="16" t="n">
        <x:v>5</x:v>
      </x:c>
      <x:c r="U1540" s="16" t="n">
        <x:v>0</x:v>
      </x:c>
      <x:c r="V1540" s="16" t="n">
        <x:v>0</x:v>
      </x:c>
      <x:c r="W1540" s="16" t="n">
        <x:v>0</x:v>
      </x:c>
      <x:c r="X1540" s="16" t="n">
        <x:v>0</x:v>
      </x:c>
      <x:c r="Y1540" s="16" t="n">
        <x:v>0</x:v>
      </x:c>
      <x:c r="Z1540" s="16" t="n">
        <x:v>0</x:v>
      </x:c>
      <x:c r="AA1540" s="16" t="n">
        <x:v>3</x:v>
      </x:c>
      <x:c r="AB1540" s="16" t="n">
        <x:v>11</x:v>
      </x:c>
      <x:c r="AC1540" s="16" t="n">
        <x:v>0</x:v>
      </x:c>
      <x:c r="AD1540" s="21" t="n">
        <x:f>IF(E1540="",MEDIAN($E$2:$E$2237),E1540)</x:f>
        <x:v>74881</x:v>
      </x:c>
      <x:c r="AE1540" s="17" t="n">
        <x:f>2014-B1540</x:f>
        <x:v>53</x:v>
      </x:c>
      <x:c r="AF1540" s="17" t="n">
        <x:f>F1540+G1540</x:f>
        <x:v>2</x:v>
      </x:c>
      <x:c r="AG1540" s="21" t="n">
        <x:f>SUM(J1540:O1540)</x:f>
        <x:v>964</x:v>
      </x:c>
      <x:c r="AH1540" s="17" t="n">
        <x:f>SUM(Q1540:S1540)</x:f>
        <x:v>23</x:v>
      </x:c>
      <x:c r="AI1540" s="17" t="n">
        <x:f>SUM(U1540:Y1540)</x:f>
        <x:v>0</x:v>
      </x:c>
      <x:c r="AJ1540" s="17" t="str">
        <x:f>IF(AE1540&lt;=34,"≤34",IF(AE1540&lt;=44,"35–44",IF(AE1540&lt;=54,"45–54",IF(AE1540&lt;=64,"55–64","65+"))))</x:f>
        <x:v>45–54</x:v>
      </x:c>
      <x:c r="AK1540" s="17" t="str">
        <x:f>IF(AG1540&gt;=1000,"High Value",IF(AG1540&gt;=300,"Mid Value","Low Value"))</x:f>
        <x:v>Mid Value</x:v>
      </x:c>
      <x:c r="AL1540" s="17" t="str">
        <x:f>IF(AND(AI1540&gt;=1,I1540&lt;=50),"Priority 1",IF(AND(AG1540&gt;=1000,I1540&lt;=60),"Priority 2",IF(I1540&lt;=30,"Priority 3","Nurture")))</x:f>
        <x:v>Nurture</x:v>
      </x:c>
    </x:row>
    <x:row r="1541">
      <x:c r="A1541" s="16" t="n">
        <x:v>528</x:v>
      </x:c>
      <x:c r="B1541" s="16" t="n">
        <x:v>1978</x:v>
      </x:c>
      <x:c r="C1541" s="16" t="str">
        <x:v>Graduation</x:v>
      </x:c>
      <x:c r="D1541" s="16" t="str">
        <x:v>Married</x:v>
      </x:c>
      <x:c r="E1541" s="16" t="n">
        <x:v>65819</x:v>
      </x:c>
      <x:c r="F1541" s="16" t="n">
        <x:v>0</x:v>
      </x:c>
      <x:c r="G1541" s="16" t="n">
        <x:v>0</x:v>
      </x:c>
      <x:c r="H1541" s="16" t="str">
        <x:v>29-11-2012</x:v>
      </x:c>
      <x:c r="I1541" s="16" t="n">
        <x:v>99</x:v>
      </x:c>
      <x:c r="J1541" s="16" t="n">
        <x:v>267</x:v>
      </x:c>
      <x:c r="K1541" s="16" t="n">
        <x:v>38</x:v>
      </x:c>
      <x:c r="L1541" s="16" t="n">
        <x:v>701</x:v>
      </x:c>
      <x:c r="M1541" s="16" t="n">
        <x:v>149</x:v>
      </x:c>
      <x:c r="N1541" s="16" t="n">
        <x:v>165</x:v>
      </x:c>
      <x:c r="O1541" s="16" t="n">
        <x:v>63</x:v>
      </x:c>
      <x:c r="P1541" s="16" t="n">
        <x:v>1</x:v>
      </x:c>
      <x:c r="Q1541" s="16" t="n">
        <x:v>5</x:v>
      </x:c>
      <x:c r="R1541" s="16" t="n">
        <x:v>4</x:v>
      </x:c>
      <x:c r="S1541" s="16" t="n">
        <x:v>10</x:v>
      </x:c>
      <x:c r="T1541" s="16" t="n">
        <x:v>3</x:v>
      </x:c>
      <x:c r="U1541" s="16" t="n">
        <x:v>0</x:v>
      </x:c>
      <x:c r="V1541" s="16" t="n">
        <x:v>0</x:v>
      </x:c>
      <x:c r="W1541" s="16" t="n">
        <x:v>0</x:v>
      </x:c>
      <x:c r="X1541" s="16" t="n">
        <x:v>0</x:v>
      </x:c>
      <x:c r="Y1541" s="16" t="n">
        <x:v>0</x:v>
      </x:c>
      <x:c r="Z1541" s="16" t="n">
        <x:v>0</x:v>
      </x:c>
      <x:c r="AA1541" s="16" t="n">
        <x:v>3</x:v>
      </x:c>
      <x:c r="AB1541" s="16" t="n">
        <x:v>11</x:v>
      </x:c>
      <x:c r="AC1541" s="16" t="n">
        <x:v>0</x:v>
      </x:c>
      <x:c r="AD1541" s="21" t="n">
        <x:f>IF(E1541="",MEDIAN($E$2:$E$2237),E1541)</x:f>
        <x:v>65819</x:v>
      </x:c>
      <x:c r="AE1541" s="17" t="n">
        <x:f>2014-B1541</x:f>
        <x:v>36</x:v>
      </x:c>
      <x:c r="AF1541" s="17" t="n">
        <x:f>F1541+G1541</x:f>
        <x:v>0</x:v>
      </x:c>
      <x:c r="AG1541" s="21" t="n">
        <x:f>SUM(J1541:O1541)</x:f>
        <x:v>1383</x:v>
      </x:c>
      <x:c r="AH1541" s="17" t="n">
        <x:f>SUM(Q1541:S1541)</x:f>
        <x:v>19</x:v>
      </x:c>
      <x:c r="AI1541" s="17" t="n">
        <x:f>SUM(U1541:Y1541)</x:f>
        <x:v>0</x:v>
      </x:c>
      <x:c r="AJ1541" s="17" t="str">
        <x:f>IF(AE1541&lt;=34,"≤34",IF(AE1541&lt;=44,"35–44",IF(AE1541&lt;=54,"45–54",IF(AE1541&lt;=64,"55–64","65+"))))</x:f>
        <x:v>35–44</x:v>
      </x:c>
      <x:c r="AK1541" s="17" t="str">
        <x:f>IF(AG1541&gt;=1000,"High Value",IF(AG1541&gt;=300,"Mid Value","Low Value"))</x:f>
        <x:v>High Value</x:v>
      </x:c>
      <x:c r="AL1541" s="17" t="str">
        <x:f>IF(AND(AI1541&gt;=1,I1541&lt;=50),"Priority 1",IF(AND(AG1541&gt;=1000,I1541&lt;=60),"Priority 2",IF(I1541&lt;=30,"Priority 3","Nurture")))</x:f>
        <x:v>Nurture</x:v>
      </x:c>
    </x:row>
    <x:row r="1542">
      <x:c r="A1542" s="16" t="n">
        <x:v>73</x:v>
      </x:c>
      <x:c r="B1542" s="16" t="n">
        <x:v>1953</x:v>
      </x:c>
      <x:c r="C1542" s="16" t="str">
        <x:v>PhD</x:v>
      </x:c>
      <x:c r="D1542" s="16" t="str">
        <x:v>Single</x:v>
      </x:c>
      <x:c r="E1542" s="16" t="n">
        <x:v>51411</x:v>
      </x:c>
      <x:c r="F1542" s="16" t="n">
        <x:v>1</x:v>
      </x:c>
      <x:c r="G1542" s="16" t="n">
        <x:v>2</x:v>
      </x:c>
      <x:c r="H1542" s="16" t="str">
        <x:v>26-05-2013</x:v>
      </x:c>
      <x:c r="I1542" s="16" t="n">
        <x:v>81</x:v>
      </x:c>
      <x:c r="J1542" s="16" t="n">
        <x:v>14</x:v>
      </x:c>
      <x:c r="K1542" s="16" t="n">
        <x:v>0</x:v>
      </x:c>
      <x:c r="L1542" s="16" t="n">
        <x:v>3</x:v>
      </x:c>
      <x:c r="M1542" s="16" t="n">
        <x:v>0</x:v>
      </x:c>
      <x:c r="N1542" s="16" t="n">
        <x:v>0</x:v>
      </x:c>
      <x:c r="O1542" s="16" t="n">
        <x:v>1</x:v>
      </x:c>
      <x:c r="P1542" s="16" t="n">
        <x:v>1</x:v>
      </x:c>
      <x:c r="Q1542" s="16" t="n">
        <x:v>0</x:v>
      </x:c>
      <x:c r="R1542" s="16" t="n">
        <x:v>0</x:v>
      </x:c>
      <x:c r="S1542" s="16" t="n">
        <x:v>3</x:v>
      </x:c>
      <x:c r="T1542" s="16" t="n">
        <x:v>5</x:v>
      </x:c>
      <x:c r="U1542" s="16" t="n">
        <x:v>0</x:v>
      </x:c>
      <x:c r="V1542" s="16" t="n">
        <x:v>0</x:v>
      </x:c>
      <x:c r="W1542" s="16" t="n">
        <x:v>0</x:v>
      </x:c>
      <x:c r="X1542" s="16" t="n">
        <x:v>0</x:v>
      </x:c>
      <x:c r="Y1542" s="16" t="n">
        <x:v>0</x:v>
      </x:c>
      <x:c r="Z1542" s="16" t="n">
        <x:v>0</x:v>
      </x:c>
      <x:c r="AA1542" s="16" t="n">
        <x:v>3</x:v>
      </x:c>
      <x:c r="AB1542" s="16" t="n">
        <x:v>11</x:v>
      </x:c>
      <x:c r="AC1542" s="16" t="n">
        <x:v>0</x:v>
      </x:c>
      <x:c r="AD1542" s="21" t="n">
        <x:f>IF(E1542="",MEDIAN($E$2:$E$2237),E1542)</x:f>
        <x:v>51411</x:v>
      </x:c>
      <x:c r="AE1542" s="17" t="n">
        <x:f>2014-B1542</x:f>
        <x:v>61</x:v>
      </x:c>
      <x:c r="AF1542" s="17" t="n">
        <x:f>F1542+G1542</x:f>
        <x:v>3</x:v>
      </x:c>
      <x:c r="AG1542" s="21" t="n">
        <x:f>SUM(J1542:O1542)</x:f>
        <x:v>18</x:v>
      </x:c>
      <x:c r="AH1542" s="17" t="n">
        <x:f>SUM(Q1542:S1542)</x:f>
        <x:v>3</x:v>
      </x:c>
      <x:c r="AI1542" s="17" t="n">
        <x:f>SUM(U1542:Y1542)</x:f>
        <x:v>0</x:v>
      </x:c>
      <x:c r="AJ1542" s="17" t="str">
        <x:f>IF(AE1542&lt;=34,"≤34",IF(AE1542&lt;=44,"35–44",IF(AE1542&lt;=54,"45–54",IF(AE1542&lt;=64,"55–64","65+"))))</x:f>
        <x:v>55–64</x:v>
      </x:c>
      <x:c r="AK1542" s="17" t="str">
        <x:f>IF(AG1542&gt;=1000,"High Value",IF(AG1542&gt;=300,"Mid Value","Low Value"))</x:f>
        <x:v>Low Value</x:v>
      </x:c>
      <x:c r="AL1542" s="17" t="str">
        <x:f>IF(AND(AI1542&gt;=1,I1542&lt;=50),"Priority 1",IF(AND(AG1542&gt;=1000,I1542&lt;=60),"Priority 2",IF(I1542&lt;=30,"Priority 3","Nurture")))</x:f>
        <x:v>Nurture</x:v>
      </x:c>
    </x:row>
    <x:row r="1543">
      <x:c r="A1543" s="16" t="n">
        <x:v>5589</x:v>
      </x:c>
      <x:c r="B1543" s="16" t="n">
        <x:v>1964</x:v>
      </x:c>
      <x:c r="C1543" s="16" t="str">
        <x:v>Graduation</x:v>
      </x:c>
      <x:c r="D1543" s="16" t="str">
        <x:v>Divorced</x:v>
      </x:c>
      <x:c r="E1543" s="16" t="n">
        <x:v>51983</x:v>
      </x:c>
      <x:c r="F1543" s="16" t="n">
        <x:v>0</x:v>
      </x:c>
      <x:c r="G1543" s="16" t="n">
        <x:v>1</x:v>
      </x:c>
      <x:c r="H1543" s="16" t="str">
        <x:v>31-08-2012</x:v>
      </x:c>
      <x:c r="I1543" s="16" t="n">
        <x:v>95</x:v>
      </x:c>
      <x:c r="J1543" s="16" t="n">
        <x:v>631</x:v>
      </x:c>
      <x:c r="K1543" s="16" t="n">
        <x:v>0</x:v>
      </x:c>
      <x:c r="L1543" s="16" t="n">
        <x:v>115</x:v>
      </x:c>
      <x:c r="M1543" s="16" t="n">
        <x:v>10</x:v>
      </x:c>
      <x:c r="N1543" s="16" t="n">
        <x:v>7</x:v>
      </x:c>
      <x:c r="O1543" s="16" t="n">
        <x:v>30</x:v>
      </x:c>
      <x:c r="P1543" s="16" t="n">
        <x:v>3</x:v>
      </x:c>
      <x:c r="Q1543" s="16" t="n">
        <x:v>9</x:v>
      </x:c>
      <x:c r="R1543" s="16" t="n">
        <x:v>2</x:v>
      </x:c>
      <x:c r="S1543" s="16" t="n">
        <x:v>10</x:v>
      </x:c>
      <x:c r="T1543" s="16" t="n">
        <x:v>7</x:v>
      </x:c>
      <x:c r="U1543" s="16" t="n">
        <x:v>0</x:v>
      </x:c>
      <x:c r="V1543" s="16" t="n">
        <x:v>0</x:v>
      </x:c>
      <x:c r="W1543" s="16" t="n">
        <x:v>0</x:v>
      </x:c>
      <x:c r="X1543" s="16" t="n">
        <x:v>0</x:v>
      </x:c>
      <x:c r="Y1543" s="16" t="n">
        <x:v>0</x:v>
      </x:c>
      <x:c r="Z1543" s="16" t="n">
        <x:v>0</x:v>
      </x:c>
      <x:c r="AA1543" s="16" t="n">
        <x:v>3</x:v>
      </x:c>
      <x:c r="AB1543" s="16" t="n">
        <x:v>11</x:v>
      </x:c>
      <x:c r="AC1543" s="16" t="n">
        <x:v>0</x:v>
      </x:c>
      <x:c r="AD1543" s="21" t="n">
        <x:f>IF(E1543="",MEDIAN($E$2:$E$2237),E1543)</x:f>
        <x:v>51983</x:v>
      </x:c>
      <x:c r="AE1543" s="17" t="n">
        <x:f>2014-B1543</x:f>
        <x:v>50</x:v>
      </x:c>
      <x:c r="AF1543" s="17" t="n">
        <x:f>F1543+G1543</x:f>
        <x:v>1</x:v>
      </x:c>
      <x:c r="AG1543" s="21" t="n">
        <x:f>SUM(J1543:O1543)</x:f>
        <x:v>793</x:v>
      </x:c>
      <x:c r="AH1543" s="17" t="n">
        <x:f>SUM(Q1543:S1543)</x:f>
        <x:v>21</x:v>
      </x:c>
      <x:c r="AI1543" s="17" t="n">
        <x:f>SUM(U1543:Y1543)</x:f>
        <x:v>0</x:v>
      </x:c>
      <x:c r="AJ1543" s="17" t="str">
        <x:f>IF(AE1543&lt;=34,"≤34",IF(AE1543&lt;=44,"35–44",IF(AE1543&lt;=54,"45–54",IF(AE1543&lt;=64,"55–64","65+"))))</x:f>
        <x:v>45–54</x:v>
      </x:c>
      <x:c r="AK1543" s="17" t="str">
        <x:f>IF(AG1543&gt;=1000,"High Value",IF(AG1543&gt;=300,"Mid Value","Low Value"))</x:f>
        <x:v>Mid Value</x:v>
      </x:c>
      <x:c r="AL1543" s="17" t="str">
        <x:f>IF(AND(AI1543&gt;=1,I1543&lt;=50),"Priority 1",IF(AND(AG1543&gt;=1000,I1543&lt;=60),"Priority 2",IF(I1543&lt;=30,"Priority 3","Nurture")))</x:f>
        <x:v>Nurture</x:v>
      </x:c>
    </x:row>
    <x:row r="1544">
      <x:c r="A1544" s="16" t="n">
        <x:v>10212</x:v>
      </x:c>
      <x:c r="B1544" s="16" t="n">
        <x:v>1986</x:v>
      </x:c>
      <x:c r="C1544" s="16" t="str">
        <x:v>Master</x:v>
      </x:c>
      <x:c r="D1544" s="16" t="str">
        <x:v>Together</x:v>
      </x:c>
      <x:c r="E1544" s="16" t="n">
        <x:v>42386</x:v>
      </x:c>
      <x:c r="F1544" s="16" t="n">
        <x:v>1</x:v>
      </x:c>
      <x:c r="G1544" s="16" t="n">
        <x:v>0</x:v>
      </x:c>
      <x:c r="H1544" s="16" t="str">
        <x:v>13-01-2013</x:v>
      </x:c>
      <x:c r="I1544" s="16" t="n">
        <x:v>43</x:v>
      </x:c>
      <x:c r="J1544" s="16" t="n">
        <x:v>65</x:v>
      </x:c>
      <x:c r="K1544" s="16" t="n">
        <x:v>4</x:v>
      </x:c>
      <x:c r="L1544" s="16" t="n">
        <x:v>16</x:v>
      </x:c>
      <x:c r="M1544" s="16" t="n">
        <x:v>0</x:v>
      </x:c>
      <x:c r="N1544" s="16" t="n">
        <x:v>4</x:v>
      </x:c>
      <x:c r="O1544" s="16" t="n">
        <x:v>11</x:v>
      </x:c>
      <x:c r="P1544" s="16" t="n">
        <x:v>1</x:v>
      </x:c>
      <x:c r="Q1544" s="16" t="n">
        <x:v>3</x:v>
      </x:c>
      <x:c r="R1544" s="16" t="n">
        <x:v>0</x:v>
      </x:c>
      <x:c r="S1544" s="16" t="n">
        <x:v>3</x:v>
      </x:c>
      <x:c r="T1544" s="16" t="n">
        <x:v>8</x:v>
      </x:c>
      <x:c r="U1544" s="16" t="n">
        <x:v>0</x:v>
      </x:c>
      <x:c r="V1544" s="16" t="n">
        <x:v>0</x:v>
      </x:c>
      <x:c r="W1544" s="16" t="n">
        <x:v>0</x:v>
      </x:c>
      <x:c r="X1544" s="16" t="n">
        <x:v>0</x:v>
      </x:c>
      <x:c r="Y1544" s="16" t="n">
        <x:v>0</x:v>
      </x:c>
      <x:c r="Z1544" s="16" t="n">
        <x:v>0</x:v>
      </x:c>
      <x:c r="AA1544" s="16" t="n">
        <x:v>3</x:v>
      </x:c>
      <x:c r="AB1544" s="16" t="n">
        <x:v>11</x:v>
      </x:c>
      <x:c r="AC1544" s="16" t="n">
        <x:v>0</x:v>
      </x:c>
      <x:c r="AD1544" s="21" t="n">
        <x:f>IF(E1544="",MEDIAN($E$2:$E$2237),E1544)</x:f>
        <x:v>42386</x:v>
      </x:c>
      <x:c r="AE1544" s="17" t="n">
        <x:f>2014-B1544</x:f>
        <x:v>28</x:v>
      </x:c>
      <x:c r="AF1544" s="17" t="n">
        <x:f>F1544+G1544</x:f>
        <x:v>1</x:v>
      </x:c>
      <x:c r="AG1544" s="21" t="n">
        <x:f>SUM(J1544:O1544)</x:f>
        <x:v>100</x:v>
      </x:c>
      <x:c r="AH1544" s="17" t="n">
        <x:f>SUM(Q1544:S1544)</x:f>
        <x:v>6</x:v>
      </x:c>
      <x:c r="AI1544" s="17" t="n">
        <x:f>SUM(U1544:Y1544)</x:f>
        <x:v>0</x:v>
      </x:c>
      <x:c r="AJ1544" s="17" t="str">
        <x:f>IF(AE1544&lt;=34,"≤34",IF(AE1544&lt;=44,"35–44",IF(AE1544&lt;=54,"45–54",IF(AE1544&lt;=64,"55–64","65+"))))</x:f>
        <x:v>≤34</x:v>
      </x:c>
      <x:c r="AK1544" s="17" t="str">
        <x:f>IF(AG1544&gt;=1000,"High Value",IF(AG1544&gt;=300,"Mid Value","Low Value"))</x:f>
        <x:v>Low Value</x:v>
      </x:c>
      <x:c r="AL1544" s="17" t="str">
        <x:f>IF(AND(AI1544&gt;=1,I1544&lt;=50),"Priority 1",IF(AND(AG1544&gt;=1000,I1544&lt;=60),"Priority 2",IF(I1544&lt;=30,"Priority 3","Nurture")))</x:f>
        <x:v>Nurture</x:v>
      </x:c>
    </x:row>
    <x:row r="1545">
      <x:c r="A1545" s="16" t="n">
        <x:v>6365</x:v>
      </x:c>
      <x:c r="B1545" s="16" t="n">
        <x:v>1987</x:v>
      </x:c>
      <x:c r="C1545" s="16" t="str">
        <x:v>2n Cycle</x:v>
      </x:c>
      <x:c r="D1545" s="16" t="str">
        <x:v>Married</x:v>
      </x:c>
      <x:c r="E1545" s="16" t="n">
        <x:v>30390</x:v>
      </x:c>
      <x:c r="F1545" s="16" t="n">
        <x:v>0</x:v>
      </x:c>
      <x:c r="G1545" s="16" t="n">
        <x:v>0</x:v>
      </x:c>
      <x:c r="H1545" s="16" t="str">
        <x:v>02-09-2013</x:v>
      </x:c>
      <x:c r="I1545" s="16" t="n">
        <x:v>5</x:v>
      </x:c>
      <x:c r="J1545" s="16" t="n">
        <x:v>10</x:v>
      </x:c>
      <x:c r="K1545" s="16" t="n">
        <x:v>12</x:v>
      </x:c>
      <x:c r="L1545" s="16" t="n">
        <x:v>12</x:v>
      </x:c>
      <x:c r="M1545" s="16" t="n">
        <x:v>25</x:v>
      </x:c>
      <x:c r="N1545" s="16" t="n">
        <x:v>1</x:v>
      </x:c>
      <x:c r="O1545" s="16" t="n">
        <x:v>20</x:v>
      </x:c>
      <x:c r="P1545" s="16" t="n">
        <x:v>1</x:v>
      </x:c>
      <x:c r="Q1545" s="16" t="n">
        <x:v>2</x:v>
      </x:c>
      <x:c r="R1545" s="16" t="n">
        <x:v>0</x:v>
      </x:c>
      <x:c r="S1545" s="16" t="n">
        <x:v>3</x:v>
      </x:c>
      <x:c r="T1545" s="16" t="n">
        <x:v>6</x:v>
      </x:c>
      <x:c r="U1545" s="16" t="n">
        <x:v>0</x:v>
      </x:c>
      <x:c r="V1545" s="16" t="n">
        <x:v>0</x:v>
      </x:c>
      <x:c r="W1545" s="16" t="n">
        <x:v>0</x:v>
      </x:c>
      <x:c r="X1545" s="16" t="n">
        <x:v>0</x:v>
      </x:c>
      <x:c r="Y1545" s="16" t="n">
        <x:v>0</x:v>
      </x:c>
      <x:c r="Z1545" s="16" t="n">
        <x:v>0</x:v>
      </x:c>
      <x:c r="AA1545" s="16" t="n">
        <x:v>3</x:v>
      </x:c>
      <x:c r="AB1545" s="16" t="n">
        <x:v>11</x:v>
      </x:c>
      <x:c r="AC1545" s="16" t="n">
        <x:v>0</x:v>
      </x:c>
      <x:c r="AD1545" s="21" t="n">
        <x:f>IF(E1545="",MEDIAN($E$2:$E$2237),E1545)</x:f>
        <x:v>30390</x:v>
      </x:c>
      <x:c r="AE1545" s="17" t="n">
        <x:f>2014-B1545</x:f>
        <x:v>27</x:v>
      </x:c>
      <x:c r="AF1545" s="17" t="n">
        <x:f>F1545+G1545</x:f>
        <x:v>0</x:v>
      </x:c>
      <x:c r="AG1545" s="21" t="n">
        <x:f>SUM(J1545:O1545)</x:f>
        <x:v>80</x:v>
      </x:c>
      <x:c r="AH1545" s="17" t="n">
        <x:f>SUM(Q1545:S1545)</x:f>
        <x:v>5</x:v>
      </x:c>
      <x:c r="AI1545" s="17" t="n">
        <x:f>SUM(U1545:Y1545)</x:f>
        <x:v>0</x:v>
      </x:c>
      <x:c r="AJ1545" s="17" t="str">
        <x:f>IF(AE1545&lt;=34,"≤34",IF(AE1545&lt;=44,"35–44",IF(AE1545&lt;=54,"45–54",IF(AE1545&lt;=64,"55–64","65+"))))</x:f>
        <x:v>≤34</x:v>
      </x:c>
      <x:c r="AK1545" s="17" t="str">
        <x:f>IF(AG1545&gt;=1000,"High Value",IF(AG1545&gt;=300,"Mid Value","Low Value"))</x:f>
        <x:v>Low Value</x:v>
      </x:c>
      <x:c r="AL1545" s="17" t="str">
        <x:f>IF(AND(AI1545&gt;=1,I1545&lt;=50),"Priority 1",IF(AND(AG1545&gt;=1000,I1545&lt;=60),"Priority 2",IF(I1545&lt;=30,"Priority 3","Nurture")))</x:f>
        <x:v>Priority 3</x:v>
      </x:c>
    </x:row>
    <x:row r="1546">
      <x:c r="A1546" s="16" t="n">
        <x:v>5636</x:v>
      </x:c>
      <x:c r="B1546" s="16" t="n">
        <x:v>1963</x:v>
      </x:c>
      <x:c r="C1546" s="16" t="str">
        <x:v>Graduation</x:v>
      </x:c>
      <x:c r="D1546" s="16" t="str">
        <x:v>Single</x:v>
      </x:c>
      <x:c r="E1546" s="16" t="n">
        <x:v>30983</x:v>
      </x:c>
      <x:c r="F1546" s="16" t="n">
        <x:v>0</x:v>
      </x:c>
      <x:c r="G1546" s="16" t="n">
        <x:v>0</x:v>
      </x:c>
      <x:c r="H1546" s="16" t="str">
        <x:v>09-11-2012</x:v>
      </x:c>
      <x:c r="I1546" s="16" t="n">
        <x:v>50</x:v>
      </x:c>
      <x:c r="J1546" s="16" t="n">
        <x:v>51</x:v>
      </x:c>
      <x:c r="K1546" s="16" t="n">
        <x:v>4</x:v>
      </x:c>
      <x:c r="L1546" s="16" t="n">
        <x:v>50</x:v>
      </x:c>
      <x:c r="M1546" s="16" t="n">
        <x:v>12</x:v>
      </x:c>
      <x:c r="N1546" s="16" t="n">
        <x:v>1</x:v>
      </x:c>
      <x:c r="O1546" s="16" t="n">
        <x:v>49</x:v>
      </x:c>
      <x:c r="P1546" s="16" t="n">
        <x:v>1</x:v>
      </x:c>
      <x:c r="Q1546" s="16" t="n">
        <x:v>4</x:v>
      </x:c>
      <x:c r="R1546" s="16" t="n">
        <x:v>0</x:v>
      </x:c>
      <x:c r="S1546" s="16" t="n">
        <x:v>3</x:v>
      </x:c>
      <x:c r="T1546" s="16" t="n">
        <x:v>8</x:v>
      </x:c>
      <x:c r="U1546" s="16" t="n">
        <x:v>0</x:v>
      </x:c>
      <x:c r="V1546" s="16" t="n">
        <x:v>0</x:v>
      </x:c>
      <x:c r="W1546" s="16" t="n">
        <x:v>0</x:v>
      </x:c>
      <x:c r="X1546" s="16" t="n">
        <x:v>0</x:v>
      </x:c>
      <x:c r="Y1546" s="16" t="n">
        <x:v>0</x:v>
      </x:c>
      <x:c r="Z1546" s="16" t="n">
        <x:v>0</x:v>
      </x:c>
      <x:c r="AA1546" s="16" t="n">
        <x:v>3</x:v>
      </x:c>
      <x:c r="AB1546" s="16" t="n">
        <x:v>11</x:v>
      </x:c>
      <x:c r="AC1546" s="16" t="n">
        <x:v>1</x:v>
      </x:c>
      <x:c r="AD1546" s="21" t="n">
        <x:f>IF(E1546="",MEDIAN($E$2:$E$2237),E1546)</x:f>
        <x:v>30983</x:v>
      </x:c>
      <x:c r="AE1546" s="17" t="n">
        <x:f>2014-B1546</x:f>
        <x:v>51</x:v>
      </x:c>
      <x:c r="AF1546" s="17" t="n">
        <x:f>F1546+G1546</x:f>
        <x:v>0</x:v>
      </x:c>
      <x:c r="AG1546" s="21" t="n">
        <x:f>SUM(J1546:O1546)</x:f>
        <x:v>167</x:v>
      </x:c>
      <x:c r="AH1546" s="17" t="n">
        <x:f>SUM(Q1546:S1546)</x:f>
        <x:v>7</x:v>
      </x:c>
      <x:c r="AI1546" s="17" t="n">
        <x:f>SUM(U1546:Y1546)</x:f>
        <x:v>0</x:v>
      </x:c>
      <x:c r="AJ1546" s="17" t="str">
        <x:f>IF(AE1546&lt;=34,"≤34",IF(AE1546&lt;=44,"35–44",IF(AE1546&lt;=54,"45–54",IF(AE1546&lt;=64,"55–64","65+"))))</x:f>
        <x:v>45–54</x:v>
      </x:c>
      <x:c r="AK1546" s="17" t="str">
        <x:f>IF(AG1546&gt;=1000,"High Value",IF(AG1546&gt;=300,"Mid Value","Low Value"))</x:f>
        <x:v>Low Value</x:v>
      </x:c>
      <x:c r="AL1546" s="17" t="str">
        <x:f>IF(AND(AI1546&gt;=1,I1546&lt;=50),"Priority 1",IF(AND(AG1546&gt;=1000,I1546&lt;=60),"Priority 2",IF(I1546&lt;=30,"Priority 3","Nurture")))</x:f>
        <x:v>Nurture</x:v>
      </x:c>
    </x:row>
    <x:row r="1547">
      <x:c r="A1547" s="16" t="n">
        <x:v>591</x:v>
      </x:c>
      <x:c r="B1547" s="16" t="n">
        <x:v>1957</x:v>
      </x:c>
      <x:c r="C1547" s="16" t="str">
        <x:v>Graduation</x:v>
      </x:c>
      <x:c r="D1547" s="16" t="str">
        <x:v>Widow</x:v>
      </x:c>
      <x:c r="E1547" s="16" t="n">
        <x:v>66033</x:v>
      </x:c>
      <x:c r="F1547" s="16" t="n">
        <x:v>0</x:v>
      </x:c>
      <x:c r="G1547" s="16" t="n">
        <x:v>1</x:v>
      </x:c>
      <x:c r="H1547" s="16" t="str">
        <x:v>20-01-2013</x:v>
      </x:c>
      <x:c r="I1547" s="16" t="n">
        <x:v>76</x:v>
      </x:c>
      <x:c r="J1547" s="16" t="n">
        <x:v>293</x:v>
      </x:c>
      <x:c r="K1547" s="16" t="n">
        <x:v>35</x:v>
      </x:c>
      <x:c r="L1547" s="16" t="n">
        <x:v>179</x:v>
      </x:c>
      <x:c r="M1547" s="16" t="n">
        <x:v>46</x:v>
      </x:c>
      <x:c r="N1547" s="16" t="n">
        <x:v>59</x:v>
      </x:c>
      <x:c r="O1547" s="16" t="n">
        <x:v>65</x:v>
      </x:c>
      <x:c r="P1547" s="16" t="n">
        <x:v>2</x:v>
      </x:c>
      <x:c r="Q1547" s="16" t="n">
        <x:v>8</x:v>
      </x:c>
      <x:c r="R1547" s="16" t="n">
        <x:v>3</x:v>
      </x:c>
      <x:c r="S1547" s="16" t="n">
        <x:v>7</x:v>
      </x:c>
      <x:c r="T1547" s="16" t="n">
        <x:v>7</x:v>
      </x:c>
      <x:c r="U1547" s="16" t="n">
        <x:v>0</x:v>
      </x:c>
      <x:c r="V1547" s="16" t="n">
        <x:v>0</x:v>
      </x:c>
      <x:c r="W1547" s="16" t="n">
        <x:v>0</x:v>
      </x:c>
      <x:c r="X1547" s="16" t="n">
        <x:v>0</x:v>
      </x:c>
      <x:c r="Y1547" s="16" t="n">
        <x:v>0</x:v>
      </x:c>
      <x:c r="Z1547" s="16" t="n">
        <x:v>0</x:v>
      </x:c>
      <x:c r="AA1547" s="16" t="n">
        <x:v>3</x:v>
      </x:c>
      <x:c r="AB1547" s="16" t="n">
        <x:v>11</x:v>
      </x:c>
      <x:c r="AC1547" s="16" t="n">
        <x:v>0</x:v>
      </x:c>
      <x:c r="AD1547" s="21" t="n">
        <x:f>IF(E1547="",MEDIAN($E$2:$E$2237),E1547)</x:f>
        <x:v>66033</x:v>
      </x:c>
      <x:c r="AE1547" s="17" t="n">
        <x:f>2014-B1547</x:f>
        <x:v>57</x:v>
      </x:c>
      <x:c r="AF1547" s="17" t="n">
        <x:f>F1547+G1547</x:f>
        <x:v>1</x:v>
      </x:c>
      <x:c r="AG1547" s="21" t="n">
        <x:f>SUM(J1547:O1547)</x:f>
        <x:v>677</x:v>
      </x:c>
      <x:c r="AH1547" s="17" t="n">
        <x:f>SUM(Q1547:S1547)</x:f>
        <x:v>18</x:v>
      </x:c>
      <x:c r="AI1547" s="17" t="n">
        <x:f>SUM(U1547:Y1547)</x:f>
        <x:v>0</x:v>
      </x:c>
      <x:c r="AJ1547" s="17" t="str">
        <x:f>IF(AE1547&lt;=34,"≤34",IF(AE1547&lt;=44,"35–44",IF(AE1547&lt;=54,"45–54",IF(AE1547&lt;=64,"55–64","65+"))))</x:f>
        <x:v>55–64</x:v>
      </x:c>
      <x:c r="AK1547" s="17" t="str">
        <x:f>IF(AG1547&gt;=1000,"High Value",IF(AG1547&gt;=300,"Mid Value","Low Value"))</x:f>
        <x:v>Mid Value</x:v>
      </x:c>
      <x:c r="AL1547" s="17" t="str">
        <x:f>IF(AND(AI1547&gt;=1,I1547&lt;=50),"Priority 1",IF(AND(AG1547&gt;=1000,I1547&lt;=60),"Priority 2",IF(I1547&lt;=30,"Priority 3","Nurture")))</x:f>
        <x:v>Nurture</x:v>
      </x:c>
    </x:row>
    <x:row r="1548">
      <x:c r="A1548" s="16" t="n">
        <x:v>2217</x:v>
      </x:c>
      <x:c r="B1548" s="16" t="n">
        <x:v>1975</x:v>
      </x:c>
      <x:c r="C1548" s="16" t="str">
        <x:v>2n Cycle</x:v>
      </x:c>
      <x:c r="D1548" s="16" t="str">
        <x:v>Married</x:v>
      </x:c>
      <x:c r="E1548" s="16" t="n">
        <x:v>37284</x:v>
      </x:c>
      <x:c r="F1548" s="16" t="n">
        <x:v>1</x:v>
      </x:c>
      <x:c r="G1548" s="16" t="n">
        <x:v>1</x:v>
      </x:c>
      <x:c r="H1548" s="16" t="str">
        <x:v>29-03-2013</x:v>
      </x:c>
      <x:c r="I1548" s="16" t="n">
        <x:v>46</x:v>
      </x:c>
      <x:c r="J1548" s="16" t="n">
        <x:v>11</x:v>
      </x:c>
      <x:c r="K1548" s="16" t="n">
        <x:v>1</x:v>
      </x:c>
      <x:c r="L1548" s="16" t="n">
        <x:v>2</x:v>
      </x:c>
      <x:c r="M1548" s="16" t="n">
        <x:v>2</x:v>
      </x:c>
      <x:c r="N1548" s="16" t="n">
        <x:v>1</x:v>
      </x:c>
      <x:c r="O1548" s="16" t="n">
        <x:v>6</x:v>
      </x:c>
      <x:c r="P1548" s="16" t="n">
        <x:v>1</x:v>
      </x:c>
      <x:c r="Q1548" s="16" t="n">
        <x:v>0</x:v>
      </x:c>
      <x:c r="R1548" s="16" t="n">
        <x:v>0</x:v>
      </x:c>
      <x:c r="S1548" s="16" t="n">
        <x:v>3</x:v>
      </x:c>
      <x:c r="T1548" s="16" t="n">
        <x:v>6</x:v>
      </x:c>
      <x:c r="U1548" s="16" t="n">
        <x:v>0</x:v>
      </x:c>
      <x:c r="V1548" s="16" t="n">
        <x:v>0</x:v>
      </x:c>
      <x:c r="W1548" s="16" t="n">
        <x:v>0</x:v>
      </x:c>
      <x:c r="X1548" s="16" t="n">
        <x:v>0</x:v>
      </x:c>
      <x:c r="Y1548" s="16" t="n">
        <x:v>0</x:v>
      </x:c>
      <x:c r="Z1548" s="16" t="n">
        <x:v>0</x:v>
      </x:c>
      <x:c r="AA1548" s="16" t="n">
        <x:v>3</x:v>
      </x:c>
      <x:c r="AB1548" s="16" t="n">
        <x:v>11</x:v>
      </x:c>
      <x:c r="AC1548" s="16" t="n">
        <x:v>0</x:v>
      </x:c>
      <x:c r="AD1548" s="21" t="n">
        <x:f>IF(E1548="",MEDIAN($E$2:$E$2237),E1548)</x:f>
        <x:v>37284</x:v>
      </x:c>
      <x:c r="AE1548" s="17" t="n">
        <x:f>2014-B1548</x:f>
        <x:v>39</x:v>
      </x:c>
      <x:c r="AF1548" s="17" t="n">
        <x:f>F1548+G1548</x:f>
        <x:v>2</x:v>
      </x:c>
      <x:c r="AG1548" s="21" t="n">
        <x:f>SUM(J1548:O1548)</x:f>
        <x:v>23</x:v>
      </x:c>
      <x:c r="AH1548" s="17" t="n">
        <x:f>SUM(Q1548:S1548)</x:f>
        <x:v>3</x:v>
      </x:c>
      <x:c r="AI1548" s="17" t="n">
        <x:f>SUM(U1548:Y1548)</x:f>
        <x:v>0</x:v>
      </x:c>
      <x:c r="AJ1548" s="17" t="str">
        <x:f>IF(AE1548&lt;=34,"≤34",IF(AE1548&lt;=44,"35–44",IF(AE1548&lt;=54,"45–54",IF(AE1548&lt;=64,"55–64","65+"))))</x:f>
        <x:v>35–44</x:v>
      </x:c>
      <x:c r="AK1548" s="17" t="str">
        <x:f>IF(AG1548&gt;=1000,"High Value",IF(AG1548&gt;=300,"Mid Value","Low Value"))</x:f>
        <x:v>Low Value</x:v>
      </x:c>
      <x:c r="AL1548" s="17" t="str">
        <x:f>IF(AND(AI1548&gt;=1,I1548&lt;=50),"Priority 1",IF(AND(AG1548&gt;=1000,I1548&lt;=60),"Priority 2",IF(I1548&lt;=30,"Priority 3","Nurture")))</x:f>
        <x:v>Nurture</x:v>
      </x:c>
    </x:row>
    <x:row r="1549">
      <x:c r="A1549" s="16" t="n">
        <x:v>2544</x:v>
      </x:c>
      <x:c r="B1549" s="16" t="n">
        <x:v>1951</x:v>
      </x:c>
      <x:c r="C1549" s="16" t="str">
        <x:v>Master</x:v>
      </x:c>
      <x:c r="D1549" s="16" t="str">
        <x:v>Divorced</x:v>
      </x:c>
      <x:c r="E1549" s="16" t="n">
        <x:v>57530</x:v>
      </x:c>
      <x:c r="F1549" s="16" t="n">
        <x:v>0</x:v>
      </x:c>
      <x:c r="G1549" s="16" t="n">
        <x:v>1</x:v>
      </x:c>
      <x:c r="H1549" s="16" t="str">
        <x:v>12-10-2013</x:v>
      </x:c>
      <x:c r="I1549" s="16" t="n">
        <x:v>68</x:v>
      </x:c>
      <x:c r="J1549" s="16" t="n">
        <x:v>50</x:v>
      </x:c>
      <x:c r="K1549" s="16" t="n">
        <x:v>1</x:v>
      </x:c>
      <x:c r="L1549" s="16" t="n">
        <x:v>27</x:v>
      </x:c>
      <x:c r="M1549" s="16" t="n">
        <x:v>6</x:v>
      </x:c>
      <x:c r="N1549" s="16" t="n">
        <x:v>7</x:v>
      </x:c>
      <x:c r="O1549" s="16" t="n">
        <x:v>1</x:v>
      </x:c>
      <x:c r="P1549" s="16" t="n">
        <x:v>1</x:v>
      </x:c>
      <x:c r="Q1549" s="16" t="n">
        <x:v>1</x:v>
      </x:c>
      <x:c r="R1549" s="16" t="n">
        <x:v>1</x:v>
      </x:c>
      <x:c r="S1549" s="16" t="n">
        <x:v>4</x:v>
      </x:c>
      <x:c r="T1549" s="16" t="n">
        <x:v>1</x:v>
      </x:c>
      <x:c r="U1549" s="16" t="n">
        <x:v>0</x:v>
      </x:c>
      <x:c r="V1549" s="16" t="n">
        <x:v>0</x:v>
      </x:c>
      <x:c r="W1549" s="16" t="n">
        <x:v>0</x:v>
      </x:c>
      <x:c r="X1549" s="16" t="n">
        <x:v>0</x:v>
      </x:c>
      <x:c r="Y1549" s="16" t="n">
        <x:v>0</x:v>
      </x:c>
      <x:c r="Z1549" s="16" t="n">
        <x:v>0</x:v>
      </x:c>
      <x:c r="AA1549" s="16" t="n">
        <x:v>3</x:v>
      </x:c>
      <x:c r="AB1549" s="16" t="n">
        <x:v>11</x:v>
      </x:c>
      <x:c r="AC1549" s="16" t="n">
        <x:v>0</x:v>
      </x:c>
      <x:c r="AD1549" s="21" t="n">
        <x:f>IF(E1549="",MEDIAN($E$2:$E$2237),E1549)</x:f>
        <x:v>57530</x:v>
      </x:c>
      <x:c r="AE1549" s="17" t="n">
        <x:f>2014-B1549</x:f>
        <x:v>63</x:v>
      </x:c>
      <x:c r="AF1549" s="17" t="n">
        <x:f>F1549+G1549</x:f>
        <x:v>1</x:v>
      </x:c>
      <x:c r="AG1549" s="21" t="n">
        <x:f>SUM(J1549:O1549)</x:f>
        <x:v>92</x:v>
      </x:c>
      <x:c r="AH1549" s="17" t="n">
        <x:f>SUM(Q1549:S1549)</x:f>
        <x:v>6</x:v>
      </x:c>
      <x:c r="AI1549" s="17" t="n">
        <x:f>SUM(U1549:Y1549)</x:f>
        <x:v>0</x:v>
      </x:c>
      <x:c r="AJ1549" s="17" t="str">
        <x:f>IF(AE1549&lt;=34,"≤34",IF(AE1549&lt;=44,"35–44",IF(AE1549&lt;=54,"45–54",IF(AE1549&lt;=64,"55–64","65+"))))</x:f>
        <x:v>55–64</x:v>
      </x:c>
      <x:c r="AK1549" s="17" t="str">
        <x:f>IF(AG1549&gt;=1000,"High Value",IF(AG1549&gt;=300,"Mid Value","Low Value"))</x:f>
        <x:v>Low Value</x:v>
      </x:c>
      <x:c r="AL1549" s="17" t="str">
        <x:f>IF(AND(AI1549&gt;=1,I1549&lt;=50),"Priority 1",IF(AND(AG1549&gt;=1000,I1549&lt;=60),"Priority 2",IF(I1549&lt;=30,"Priority 3","Nurture")))</x:f>
        <x:v>Nurture</x:v>
      </x:c>
    </x:row>
    <x:row r="1550">
      <x:c r="A1550" s="16" t="n">
        <x:v>7725</x:v>
      </x:c>
      <x:c r="B1550" s="16" t="n">
        <x:v>1965</x:v>
      </x:c>
      <x:c r="C1550" s="16" t="str">
        <x:v>2n Cycle</x:v>
      </x:c>
      <x:c r="D1550" s="16" t="str">
        <x:v>Married</x:v>
      </x:c>
      <x:c r="E1550" s="16" t="n">
        <x:v>76800</x:v>
      </x:c>
      <x:c r="F1550" s="16" t="n">
        <x:v>0</x:v>
      </x:c>
      <x:c r="G1550" s="16" t="n">
        <x:v>0</x:v>
      </x:c>
      <x:c r="H1550" s="16" t="str">
        <x:v>08-03-2014</x:v>
      </x:c>
      <x:c r="I1550" s="16" t="n">
        <x:v>33</x:v>
      </x:c>
      <x:c r="J1550" s="16" t="n">
        <x:v>173</x:v>
      </x:c>
      <x:c r="K1550" s="16" t="n">
        <x:v>26</x:v>
      </x:c>
      <x:c r="L1550" s="16" t="n">
        <x:v>255</x:v>
      </x:c>
      <x:c r="M1550" s="16" t="n">
        <x:v>35</x:v>
      </x:c>
      <x:c r="N1550" s="16" t="n">
        <x:v>71</x:v>
      </x:c>
      <x:c r="O1550" s="16" t="n">
        <x:v>81</x:v>
      </x:c>
      <x:c r="P1550" s="16" t="n">
        <x:v>1</x:v>
      </x:c>
      <x:c r="Q1550" s="16" t="n">
        <x:v>4</x:v>
      </x:c>
      <x:c r="R1550" s="16" t="n">
        <x:v>4</x:v>
      </x:c>
      <x:c r="S1550" s="16" t="n">
        <x:v>7</x:v>
      </x:c>
      <x:c r="T1550" s="16" t="n">
        <x:v>1</x:v>
      </x:c>
      <x:c r="U1550" s="16" t="n">
        <x:v>0</x:v>
      </x:c>
      <x:c r="V1550" s="16" t="n">
        <x:v>0</x:v>
      </x:c>
      <x:c r="W1550" s="16" t="n">
        <x:v>0</x:v>
      </x:c>
      <x:c r="X1550" s="16" t="n">
        <x:v>0</x:v>
      </x:c>
      <x:c r="Y1550" s="16" t="n">
        <x:v>0</x:v>
      </x:c>
      <x:c r="Z1550" s="16" t="n">
        <x:v>0</x:v>
      </x:c>
      <x:c r="AA1550" s="16" t="n">
        <x:v>3</x:v>
      </x:c>
      <x:c r="AB1550" s="16" t="n">
        <x:v>11</x:v>
      </x:c>
      <x:c r="AC1550" s="16" t="n">
        <x:v>0</x:v>
      </x:c>
      <x:c r="AD1550" s="21" t="n">
        <x:f>IF(E1550="",MEDIAN($E$2:$E$2237),E1550)</x:f>
        <x:v>76800</x:v>
      </x:c>
      <x:c r="AE1550" s="17" t="n">
        <x:f>2014-B1550</x:f>
        <x:v>49</x:v>
      </x:c>
      <x:c r="AF1550" s="17" t="n">
        <x:f>F1550+G1550</x:f>
        <x:v>0</x:v>
      </x:c>
      <x:c r="AG1550" s="21" t="n">
        <x:f>SUM(J1550:O1550)</x:f>
        <x:v>641</x:v>
      </x:c>
      <x:c r="AH1550" s="17" t="n">
        <x:f>SUM(Q1550:S1550)</x:f>
        <x:v>15</x:v>
      </x:c>
      <x:c r="AI1550" s="17" t="n">
        <x:f>SUM(U1550:Y1550)</x:f>
        <x:v>0</x:v>
      </x:c>
      <x:c r="AJ1550" s="17" t="str">
        <x:f>IF(AE1550&lt;=34,"≤34",IF(AE1550&lt;=44,"35–44",IF(AE1550&lt;=54,"45–54",IF(AE1550&lt;=64,"55–64","65+"))))</x:f>
        <x:v>45–54</x:v>
      </x:c>
      <x:c r="AK1550" s="17" t="str">
        <x:f>IF(AG1550&gt;=1000,"High Value",IF(AG1550&gt;=300,"Mid Value","Low Value"))</x:f>
        <x:v>Mid Value</x:v>
      </x:c>
      <x:c r="AL1550" s="17" t="str">
        <x:f>IF(AND(AI1550&gt;=1,I1550&lt;=50),"Priority 1",IF(AND(AG1550&gt;=1000,I1550&lt;=60),"Priority 2",IF(I1550&lt;=30,"Priority 3","Nurture")))</x:f>
        <x:v>Nurture</x:v>
      </x:c>
    </x:row>
    <x:row r="1551">
      <x:c r="A1551" s="16" t="n">
        <x:v>8091</x:v>
      </x:c>
      <x:c r="B1551" s="16" t="n">
        <x:v>1956</x:v>
      </x:c>
      <x:c r="C1551" s="16" t="str">
        <x:v>Graduation</x:v>
      </x:c>
      <x:c r="D1551" s="16" t="str">
        <x:v>Married</x:v>
      </x:c>
      <x:c r="E1551" s="16" t="n">
        <x:v>63943</x:v>
      </x:c>
      <x:c r="F1551" s="16" t="n">
        <x:v>0</x:v>
      </x:c>
      <x:c r="G1551" s="16" t="n">
        <x:v>1</x:v>
      </x:c>
      <x:c r="H1551" s="16" t="str">
        <x:v>02-09-2012</x:v>
      </x:c>
      <x:c r="I1551" s="16" t="n">
        <x:v>50</x:v>
      </x:c>
      <x:c r="J1551" s="16" t="n">
        <x:v>423</x:v>
      </x:c>
      <x:c r="K1551" s="16" t="n">
        <x:v>184</x:v>
      </x:c>
      <x:c r="L1551" s="16" t="n">
        <x:v>368</x:v>
      </x:c>
      <x:c r="M1551" s="16" t="n">
        <x:v>13</x:v>
      </x:c>
      <x:c r="N1551" s="16" t="n">
        <x:v>97</x:v>
      </x:c>
      <x:c r="O1551" s="16" t="n">
        <x:v>21</x:v>
      </x:c>
      <x:c r="P1551" s="16" t="n">
        <x:v>1</x:v>
      </x:c>
      <x:c r="Q1551" s="16" t="n">
        <x:v>6</x:v>
      </x:c>
      <x:c r="R1551" s="16" t="n">
        <x:v>4</x:v>
      </x:c>
      <x:c r="S1551" s="16" t="n">
        <x:v>6</x:v>
      </x:c>
      <x:c r="T1551" s="16" t="n">
        <x:v>5</x:v>
      </x:c>
      <x:c r="U1551" s="16" t="n">
        <x:v>0</x:v>
      </x:c>
      <x:c r="V1551" s="16" t="n">
        <x:v>0</x:v>
      </x:c>
      <x:c r="W1551" s="16" t="n">
        <x:v>0</x:v>
      </x:c>
      <x:c r="X1551" s="16" t="n">
        <x:v>0</x:v>
      </x:c>
      <x:c r="Y1551" s="16" t="n">
        <x:v>0</x:v>
      </x:c>
      <x:c r="Z1551" s="16" t="n">
        <x:v>0</x:v>
      </x:c>
      <x:c r="AA1551" s="16" t="n">
        <x:v>3</x:v>
      </x:c>
      <x:c r="AB1551" s="16" t="n">
        <x:v>11</x:v>
      </x:c>
      <x:c r="AC1551" s="16" t="n">
        <x:v>0</x:v>
      </x:c>
      <x:c r="AD1551" s="21" t="n">
        <x:f>IF(E1551="",MEDIAN($E$2:$E$2237),E1551)</x:f>
        <x:v>63943</x:v>
      </x:c>
      <x:c r="AE1551" s="17" t="n">
        <x:f>2014-B1551</x:f>
        <x:v>58</x:v>
      </x:c>
      <x:c r="AF1551" s="17" t="n">
        <x:f>F1551+G1551</x:f>
        <x:v>1</x:v>
      </x:c>
      <x:c r="AG1551" s="21" t="n">
        <x:f>SUM(J1551:O1551)</x:f>
        <x:v>1106</x:v>
      </x:c>
      <x:c r="AH1551" s="17" t="n">
        <x:f>SUM(Q1551:S1551)</x:f>
        <x:v>16</x:v>
      </x:c>
      <x:c r="AI1551" s="17" t="n">
        <x:f>SUM(U1551:Y1551)</x:f>
        <x:v>0</x:v>
      </x:c>
      <x:c r="AJ1551" s="17" t="str">
        <x:f>IF(AE1551&lt;=34,"≤34",IF(AE1551&lt;=44,"35–44",IF(AE1551&lt;=54,"45–54",IF(AE1551&lt;=64,"55–64","65+"))))</x:f>
        <x:v>55–64</x:v>
      </x:c>
      <x:c r="AK1551" s="17" t="str">
        <x:f>IF(AG1551&gt;=1000,"High Value",IF(AG1551&gt;=300,"Mid Value","Low Value"))</x:f>
        <x:v>High Value</x:v>
      </x:c>
      <x:c r="AL1551" s="17" t="str">
        <x:f>IF(AND(AI1551&gt;=1,I1551&lt;=50),"Priority 1",IF(AND(AG1551&gt;=1000,I1551&lt;=60),"Priority 2",IF(I1551&lt;=30,"Priority 3","Nurture")))</x:f>
        <x:v>Priority 2</x:v>
      </x:c>
    </x:row>
    <x:row r="1552">
      <x:c r="A1552" s="16" t="n">
        <x:v>7321</x:v>
      </x:c>
      <x:c r="B1552" s="16" t="n">
        <x:v>1962</x:v>
      </x:c>
      <x:c r="C1552" s="16" t="str">
        <x:v>Graduation</x:v>
      </x:c>
      <x:c r="D1552" s="16" t="str">
        <x:v>Together</x:v>
      </x:c>
      <x:c r="E1552" s="16" t="n">
        <x:v>76081</x:v>
      </x:c>
      <x:c r="F1552" s="16" t="n">
        <x:v>0</x:v>
      </x:c>
      <x:c r="G1552" s="16" t="n">
        <x:v>0</x:v>
      </x:c>
      <x:c r="H1552" s="16" t="str">
        <x:v>23-05-2014</x:v>
      </x:c>
      <x:c r="I1552" s="16" t="n">
        <x:v>85</x:v>
      </x:c>
      <x:c r="J1552" s="16" t="n">
        <x:v>292</x:v>
      </x:c>
      <x:c r="K1552" s="16" t="n">
        <x:v>30</x:v>
      </x:c>
      <x:c r="L1552" s="16" t="n">
        <x:v>415</x:v>
      </x:c>
      <x:c r="M1552" s="16" t="n">
        <x:v>63</x:v>
      </x:c>
      <x:c r="N1552" s="16" t="n">
        <x:v>33</x:v>
      </x:c>
      <x:c r="O1552" s="16" t="n">
        <x:v>200</x:v>
      </x:c>
      <x:c r="P1552" s="16" t="n">
        <x:v>1</x:v>
      </x:c>
      <x:c r="Q1552" s="16" t="n">
        <x:v>4</x:v>
      </x:c>
      <x:c r="R1552" s="16" t="n">
        <x:v>5</x:v>
      </x:c>
      <x:c r="S1552" s="16" t="n">
        <x:v>4</x:v>
      </x:c>
      <x:c r="T1552" s="16" t="n">
        <x:v>2</x:v>
      </x:c>
      <x:c r="U1552" s="16" t="n">
        <x:v>0</x:v>
      </x:c>
      <x:c r="V1552" s="16" t="n">
        <x:v>0</x:v>
      </x:c>
      <x:c r="W1552" s="16" t="n">
        <x:v>0</x:v>
      </x:c>
      <x:c r="X1552" s="16" t="n">
        <x:v>1</x:v>
      </x:c>
      <x:c r="Y1552" s="16" t="n">
        <x:v>0</x:v>
      </x:c>
      <x:c r="Z1552" s="16" t="n">
        <x:v>0</x:v>
      </x:c>
      <x:c r="AA1552" s="16" t="n">
        <x:v>3</x:v>
      </x:c>
      <x:c r="AB1552" s="16" t="n">
        <x:v>11</x:v>
      </x:c>
      <x:c r="AC1552" s="16" t="n">
        <x:v>0</x:v>
      </x:c>
      <x:c r="AD1552" s="21" t="n">
        <x:f>IF(E1552="",MEDIAN($E$2:$E$2237),E1552)</x:f>
        <x:v>76081</x:v>
      </x:c>
      <x:c r="AE1552" s="17" t="n">
        <x:f>2014-B1552</x:f>
        <x:v>52</x:v>
      </x:c>
      <x:c r="AF1552" s="17" t="n">
        <x:f>F1552+G1552</x:f>
        <x:v>0</x:v>
      </x:c>
      <x:c r="AG1552" s="21" t="n">
        <x:f>SUM(J1552:O1552)</x:f>
        <x:v>1033</x:v>
      </x:c>
      <x:c r="AH1552" s="17" t="n">
        <x:f>SUM(Q1552:S1552)</x:f>
        <x:v>13</x:v>
      </x:c>
      <x:c r="AI1552" s="17" t="n">
        <x:f>SUM(U1552:Y1552)</x:f>
        <x:v>1</x:v>
      </x:c>
      <x:c r="AJ1552" s="17" t="str">
        <x:f>IF(AE1552&lt;=34,"≤34",IF(AE1552&lt;=44,"35–44",IF(AE1552&lt;=54,"45–54",IF(AE1552&lt;=64,"55–64","65+"))))</x:f>
        <x:v>45–54</x:v>
      </x:c>
      <x:c r="AK1552" s="17" t="str">
        <x:f>IF(AG1552&gt;=1000,"High Value",IF(AG1552&gt;=300,"Mid Value","Low Value"))</x:f>
        <x:v>High Value</x:v>
      </x:c>
      <x:c r="AL1552" s="17" t="str">
        <x:f>IF(AND(AI1552&gt;=1,I1552&lt;=50),"Priority 1",IF(AND(AG1552&gt;=1000,I1552&lt;=60),"Priority 2",IF(I1552&lt;=30,"Priority 3","Nurture")))</x:f>
        <x:v>Nurture</x:v>
      </x:c>
    </x:row>
    <x:row r="1553">
      <x:c r="A1553" s="16" t="n">
        <x:v>5462</x:v>
      </x:c>
      <x:c r="B1553" s="16" t="n">
        <x:v>1974</x:v>
      </x:c>
      <x:c r="C1553" s="16" t="str">
        <x:v>Graduation</x:v>
      </x:c>
      <x:c r="D1553" s="16" t="str">
        <x:v>Married</x:v>
      </x:c>
      <x:c r="E1553" s="16" t="n">
        <x:v>67445</x:v>
      </x:c>
      <x:c r="F1553" s="16" t="n">
        <x:v>0</x:v>
      </x:c>
      <x:c r="G1553" s="16" t="n">
        <x:v>1</x:v>
      </x:c>
      <x:c r="H1553" s="16" t="str">
        <x:v>12-08-2012</x:v>
      </x:c>
      <x:c r="I1553" s="16" t="n">
        <x:v>63</x:v>
      </x:c>
      <x:c r="J1553" s="16" t="n">
        <x:v>757</x:v>
      </x:c>
      <x:c r="K1553" s="16" t="n">
        <x:v>80</x:v>
      </x:c>
      <x:c r="L1553" s="16" t="n">
        <x:v>217</x:v>
      </x:c>
      <x:c r="M1553" s="16" t="n">
        <x:v>29</x:v>
      </x:c>
      <x:c r="N1553" s="16" t="n">
        <x:v>80</x:v>
      </x:c>
      <x:c r="O1553" s="16" t="n">
        <x:v>11</x:v>
      </x:c>
      <x:c r="P1553" s="16" t="n">
        <x:v>5</x:v>
      </x:c>
      <x:c r="Q1553" s="16" t="n">
        <x:v>9</x:v>
      </x:c>
      <x:c r="R1553" s="16" t="n">
        <x:v>6</x:v>
      </x:c>
      <x:c r="S1553" s="16" t="n">
        <x:v>12</x:v>
      </x:c>
      <x:c r="T1553" s="16" t="n">
        <x:v>6</x:v>
      </x:c>
      <x:c r="U1553" s="16" t="n">
        <x:v>0</x:v>
      </x:c>
      <x:c r="V1553" s="16" t="n">
        <x:v>0</x:v>
      </x:c>
      <x:c r="W1553" s="16" t="n">
        <x:v>0</x:v>
      </x:c>
      <x:c r="X1553" s="16" t="n">
        <x:v>0</x:v>
      </x:c>
      <x:c r="Y1553" s="16" t="n">
        <x:v>0</x:v>
      </x:c>
      <x:c r="Z1553" s="16" t="n">
        <x:v>0</x:v>
      </x:c>
      <x:c r="AA1553" s="16" t="n">
        <x:v>3</x:v>
      </x:c>
      <x:c r="AB1553" s="16" t="n">
        <x:v>11</x:v>
      </x:c>
      <x:c r="AC1553" s="16" t="n">
        <x:v>0</x:v>
      </x:c>
      <x:c r="AD1553" s="21" t="n">
        <x:f>IF(E1553="",MEDIAN($E$2:$E$2237),E1553)</x:f>
        <x:v>67445</x:v>
      </x:c>
      <x:c r="AE1553" s="17" t="n">
        <x:f>2014-B1553</x:f>
        <x:v>40</x:v>
      </x:c>
      <x:c r="AF1553" s="17" t="n">
        <x:f>F1553+G1553</x:f>
        <x:v>1</x:v>
      </x:c>
      <x:c r="AG1553" s="21" t="n">
        <x:f>SUM(J1553:O1553)</x:f>
        <x:v>1174</x:v>
      </x:c>
      <x:c r="AH1553" s="17" t="n">
        <x:f>SUM(Q1553:S1553)</x:f>
        <x:v>27</x:v>
      </x:c>
      <x:c r="AI1553" s="17" t="n">
        <x:f>SUM(U1553:Y1553)</x:f>
        <x:v>0</x:v>
      </x:c>
      <x:c r="AJ1553" s="17" t="str">
        <x:f>IF(AE1553&lt;=34,"≤34",IF(AE1553&lt;=44,"35–44",IF(AE1553&lt;=54,"45–54",IF(AE1553&lt;=64,"55–64","65+"))))</x:f>
        <x:v>35–44</x:v>
      </x:c>
      <x:c r="AK1553" s="17" t="str">
        <x:f>IF(AG1553&gt;=1000,"High Value",IF(AG1553&gt;=300,"Mid Value","Low Value"))</x:f>
        <x:v>High Value</x:v>
      </x:c>
      <x:c r="AL1553" s="17" t="str">
        <x:f>IF(AND(AI1553&gt;=1,I1553&lt;=50),"Priority 1",IF(AND(AG1553&gt;=1000,I1553&lt;=60),"Priority 2",IF(I1553&lt;=30,"Priority 3","Nurture")))</x:f>
        <x:v>Nurture</x:v>
      </x:c>
    </x:row>
    <x:row r="1554">
      <x:c r="A1554" s="16" t="n">
        <x:v>7791</x:v>
      </x:c>
      <x:c r="B1554" s="16" t="n">
        <x:v>1967</x:v>
      </x:c>
      <x:c r="C1554" s="16" t="str">
        <x:v>Master</x:v>
      </x:c>
      <x:c r="D1554" s="16" t="str">
        <x:v>Married</x:v>
      </x:c>
      <x:c r="E1554" s="16" t="n">
        <x:v>37054</x:v>
      </x:c>
      <x:c r="F1554" s="16" t="n">
        <x:v>1</x:v>
      </x:c>
      <x:c r="G1554" s="16" t="n">
        <x:v>1</x:v>
      </x:c>
      <x:c r="H1554" s="16" t="str">
        <x:v>15-09-2013</x:v>
      </x:c>
      <x:c r="I1554" s="16" t="n">
        <x:v>89</x:v>
      </x:c>
      <x:c r="J1554" s="16" t="n">
        <x:v>12</x:v>
      </x:c>
      <x:c r="K1554" s="16" t="n">
        <x:v>1</x:v>
      </x:c>
      <x:c r="L1554" s="16" t="n">
        <x:v>6</x:v>
      </x:c>
      <x:c r="M1554" s="16" t="n">
        <x:v>0</x:v>
      </x:c>
      <x:c r="N1554" s="16" t="n">
        <x:v>1</x:v>
      </x:c>
      <x:c r="O1554" s="16" t="n">
        <x:v>5</x:v>
      </x:c>
      <x:c r="P1554" s="16" t="n">
        <x:v>2</x:v>
      </x:c>
      <x:c r="Q1554" s="16" t="n">
        <x:v>1</x:v>
      </x:c>
      <x:c r="R1554" s="16" t="n">
        <x:v>0</x:v>
      </x:c>
      <x:c r="S1554" s="16" t="n">
        <x:v>3</x:v>
      </x:c>
      <x:c r="T1554" s="16" t="n">
        <x:v>7</x:v>
      </x:c>
      <x:c r="U1554" s="16" t="n">
        <x:v>0</x:v>
      </x:c>
      <x:c r="V1554" s="16" t="n">
        <x:v>0</x:v>
      </x:c>
      <x:c r="W1554" s="16" t="n">
        <x:v>0</x:v>
      </x:c>
      <x:c r="X1554" s="16" t="n">
        <x:v>0</x:v>
      </x:c>
      <x:c r="Y1554" s="16" t="n">
        <x:v>0</x:v>
      </x:c>
      <x:c r="Z1554" s="16" t="n">
        <x:v>0</x:v>
      </x:c>
      <x:c r="AA1554" s="16" t="n">
        <x:v>3</x:v>
      </x:c>
      <x:c r="AB1554" s="16" t="n">
        <x:v>11</x:v>
      </x:c>
      <x:c r="AC1554" s="16" t="n">
        <x:v>0</x:v>
      </x:c>
      <x:c r="AD1554" s="21" t="n">
        <x:f>IF(E1554="",MEDIAN($E$2:$E$2237),E1554)</x:f>
        <x:v>37054</x:v>
      </x:c>
      <x:c r="AE1554" s="17" t="n">
        <x:f>2014-B1554</x:f>
        <x:v>47</x:v>
      </x:c>
      <x:c r="AF1554" s="17" t="n">
        <x:f>F1554+G1554</x:f>
        <x:v>2</x:v>
      </x:c>
      <x:c r="AG1554" s="21" t="n">
        <x:f>SUM(J1554:O1554)</x:f>
        <x:v>25</x:v>
      </x:c>
      <x:c r="AH1554" s="17" t="n">
        <x:f>SUM(Q1554:S1554)</x:f>
        <x:v>4</x:v>
      </x:c>
      <x:c r="AI1554" s="17" t="n">
        <x:f>SUM(U1554:Y1554)</x:f>
        <x:v>0</x:v>
      </x:c>
      <x:c r="AJ1554" s="17" t="str">
        <x:f>IF(AE1554&lt;=34,"≤34",IF(AE1554&lt;=44,"35–44",IF(AE1554&lt;=54,"45–54",IF(AE1554&lt;=64,"55–64","65+"))))</x:f>
        <x:v>45–54</x:v>
      </x:c>
      <x:c r="AK1554" s="17" t="str">
        <x:f>IF(AG1554&gt;=1000,"High Value",IF(AG1554&gt;=300,"Mid Value","Low Value"))</x:f>
        <x:v>Low Value</x:v>
      </x:c>
      <x:c r="AL1554" s="17" t="str">
        <x:f>IF(AND(AI1554&gt;=1,I1554&lt;=50),"Priority 1",IF(AND(AG1554&gt;=1000,I1554&lt;=60),"Priority 2",IF(I1554&lt;=30,"Priority 3","Nurture")))</x:f>
        <x:v>Nurture</x:v>
      </x:c>
    </x:row>
    <x:row r="1555">
      <x:c r="A1555" s="16" t="n">
        <x:v>955</x:v>
      </x:c>
      <x:c r="B1555" s="16" t="n">
        <x:v>1962</x:v>
      </x:c>
      <x:c r="C1555" s="16" t="str">
        <x:v>Master</x:v>
      </x:c>
      <x:c r="D1555" s="16" t="str">
        <x:v>Together</x:v>
      </x:c>
      <x:c r="E1555" s="16" t="n">
        <x:v>47175</x:v>
      </x:c>
      <x:c r="F1555" s="16" t="n">
        <x:v>1</x:v>
      </x:c>
      <x:c r="G1555" s="16" t="n">
        <x:v>1</x:v>
      </x:c>
      <x:c r="H1555" s="16" t="str">
        <x:v>28-10-2012</x:v>
      </x:c>
      <x:c r="I1555" s="16" t="n">
        <x:v>81</x:v>
      </x:c>
      <x:c r="J1555" s="16" t="n">
        <x:v>167</x:v>
      </x:c>
      <x:c r="K1555" s="16" t="n">
        <x:v>2</x:v>
      </x:c>
      <x:c r="L1555" s="16" t="n">
        <x:v>44</x:v>
      </x:c>
      <x:c r="M1555" s="16" t="n">
        <x:v>6</x:v>
      </x:c>
      <x:c r="N1555" s="16" t="n">
        <x:v>2</x:v>
      </x:c>
      <x:c r="O1555" s="16" t="n">
        <x:v>19</x:v>
      </x:c>
      <x:c r="P1555" s="16" t="n">
        <x:v>7</x:v>
      </x:c>
      <x:c r="Q1555" s="16" t="n">
        <x:v>4</x:v>
      </x:c>
      <x:c r="R1555" s="16" t="n">
        <x:v>2</x:v>
      </x:c>
      <x:c r="S1555" s="16" t="n">
        <x:v>4</x:v>
      </x:c>
      <x:c r="T1555" s="16" t="n">
        <x:v>8</x:v>
      </x:c>
      <x:c r="U1555" s="16" t="n">
        <x:v>1</x:v>
      </x:c>
      <x:c r="V1555" s="16" t="n">
        <x:v>0</x:v>
      </x:c>
      <x:c r="W1555" s="16" t="n">
        <x:v>0</x:v>
      </x:c>
      <x:c r="X1555" s="16" t="n">
        <x:v>0</x:v>
      </x:c>
      <x:c r="Y1555" s="16" t="n">
        <x:v>0</x:v>
      </x:c>
      <x:c r="Z1555" s="16" t="n">
        <x:v>0</x:v>
      </x:c>
      <x:c r="AA1555" s="16" t="n">
        <x:v>3</x:v>
      </x:c>
      <x:c r="AB1555" s="16" t="n">
        <x:v>11</x:v>
      </x:c>
      <x:c r="AC1555" s="16" t="n">
        <x:v>1</x:v>
      </x:c>
      <x:c r="AD1555" s="21" t="n">
        <x:f>IF(E1555="",MEDIAN($E$2:$E$2237),E1555)</x:f>
        <x:v>47175</x:v>
      </x:c>
      <x:c r="AE1555" s="17" t="n">
        <x:f>2014-B1555</x:f>
        <x:v>52</x:v>
      </x:c>
      <x:c r="AF1555" s="17" t="n">
        <x:f>F1555+G1555</x:f>
        <x:v>2</x:v>
      </x:c>
      <x:c r="AG1555" s="21" t="n">
        <x:f>SUM(J1555:O1555)</x:f>
        <x:v>240</x:v>
      </x:c>
      <x:c r="AH1555" s="17" t="n">
        <x:f>SUM(Q1555:S1555)</x:f>
        <x:v>10</x:v>
      </x:c>
      <x:c r="AI1555" s="17" t="n">
        <x:f>SUM(U1555:Y1555)</x:f>
        <x:v>1</x:v>
      </x:c>
      <x:c r="AJ1555" s="17" t="str">
        <x:f>IF(AE1555&lt;=34,"≤34",IF(AE1555&lt;=44,"35–44",IF(AE1555&lt;=54,"45–54",IF(AE1555&lt;=64,"55–64","65+"))))</x:f>
        <x:v>45–54</x:v>
      </x:c>
      <x:c r="AK1555" s="17" t="str">
        <x:f>IF(AG1555&gt;=1000,"High Value",IF(AG1555&gt;=300,"Mid Value","Low Value"))</x:f>
        <x:v>Low Value</x:v>
      </x:c>
      <x:c r="AL1555" s="17" t="str">
        <x:f>IF(AND(AI1555&gt;=1,I1555&lt;=50),"Priority 1",IF(AND(AG1555&gt;=1000,I1555&lt;=60),"Priority 2",IF(I1555&lt;=30,"Priority 3","Nurture")))</x:f>
        <x:v>Nurture</x:v>
      </x:c>
    </x:row>
    <x:row r="1556">
      <x:c r="A1556" s="16" t="n">
        <x:v>4037</x:v>
      </x:c>
      <x:c r="B1556" s="16" t="n">
        <x:v>1976</x:v>
      </x:c>
      <x:c r="C1556" s="16" t="str">
        <x:v>Graduation</x:v>
      </x:c>
      <x:c r="D1556" s="16" t="str">
        <x:v>Divorced</x:v>
      </x:c>
      <x:c r="E1556" s="16" t="n">
        <x:v>31859</x:v>
      </x:c>
      <x:c r="F1556" s="16" t="n">
        <x:v>1</x:v>
      </x:c>
      <x:c r="G1556" s="16" t="n">
        <x:v>0</x:v>
      </x:c>
      <x:c r="H1556" s="16" t="str">
        <x:v>14-06-2013</x:v>
      </x:c>
      <x:c r="I1556" s="16" t="n">
        <x:v>77</x:v>
      </x:c>
      <x:c r="J1556" s="16" t="n">
        <x:v>3</x:v>
      </x:c>
      <x:c r="K1556" s="16" t="n">
        <x:v>1</x:v>
      </x:c>
      <x:c r="L1556" s="16" t="n">
        <x:v>3</x:v>
      </x:c>
      <x:c r="M1556" s="16" t="n">
        <x:v>8</x:v>
      </x:c>
      <x:c r="N1556" s="16" t="n">
        <x:v>0</x:v>
      </x:c>
      <x:c r="O1556" s="16" t="n">
        <x:v>5</x:v>
      </x:c>
      <x:c r="P1556" s="16" t="n">
        <x:v>1</x:v>
      </x:c>
      <x:c r="Q1556" s="16" t="n">
        <x:v>1</x:v>
      </x:c>
      <x:c r="R1556" s="16" t="n">
        <x:v>0</x:v>
      </x:c>
      <x:c r="S1556" s="16" t="n">
        <x:v>2</x:v>
      </x:c>
      <x:c r="T1556" s="16" t="n">
        <x:v>7</x:v>
      </x:c>
      <x:c r="U1556" s="16" t="n">
        <x:v>0</x:v>
      </x:c>
      <x:c r="V1556" s="16" t="n">
        <x:v>0</x:v>
      </x:c>
      <x:c r="W1556" s="16" t="n">
        <x:v>0</x:v>
      </x:c>
      <x:c r="X1556" s="16" t="n">
        <x:v>0</x:v>
      </x:c>
      <x:c r="Y1556" s="16" t="n">
        <x:v>0</x:v>
      </x:c>
      <x:c r="Z1556" s="16" t="n">
        <x:v>0</x:v>
      </x:c>
      <x:c r="AA1556" s="16" t="n">
        <x:v>3</x:v>
      </x:c>
      <x:c r="AB1556" s="16" t="n">
        <x:v>11</x:v>
      </x:c>
      <x:c r="AC1556" s="16" t="n">
        <x:v>0</x:v>
      </x:c>
      <x:c r="AD1556" s="21" t="n">
        <x:f>IF(E1556="",MEDIAN($E$2:$E$2237),E1556)</x:f>
        <x:v>31859</x:v>
      </x:c>
      <x:c r="AE1556" s="17" t="n">
        <x:f>2014-B1556</x:f>
        <x:v>38</x:v>
      </x:c>
      <x:c r="AF1556" s="17" t="n">
        <x:f>F1556+G1556</x:f>
        <x:v>1</x:v>
      </x:c>
      <x:c r="AG1556" s="21" t="n">
        <x:f>SUM(J1556:O1556)</x:f>
        <x:v>20</x:v>
      </x:c>
      <x:c r="AH1556" s="17" t="n">
        <x:f>SUM(Q1556:S1556)</x:f>
        <x:v>3</x:v>
      </x:c>
      <x:c r="AI1556" s="17" t="n">
        <x:f>SUM(U1556:Y1556)</x:f>
        <x:v>0</x:v>
      </x:c>
      <x:c r="AJ1556" s="17" t="str">
        <x:f>IF(AE1556&lt;=34,"≤34",IF(AE1556&lt;=44,"35–44",IF(AE1556&lt;=54,"45–54",IF(AE1556&lt;=64,"55–64","65+"))))</x:f>
        <x:v>35–44</x:v>
      </x:c>
      <x:c r="AK1556" s="17" t="str">
        <x:f>IF(AG1556&gt;=1000,"High Value",IF(AG1556&gt;=300,"Mid Value","Low Value"))</x:f>
        <x:v>Low Value</x:v>
      </x:c>
      <x:c r="AL1556" s="17" t="str">
        <x:f>IF(AND(AI1556&gt;=1,I1556&lt;=50),"Priority 1",IF(AND(AG1556&gt;=1000,I1556&lt;=60),"Priority 2",IF(I1556&lt;=30,"Priority 3","Nurture")))</x:f>
        <x:v>Nurture</x:v>
      </x:c>
    </x:row>
    <x:row r="1557">
      <x:c r="A1557" s="16" t="n">
        <x:v>6642</x:v>
      </x:c>
      <x:c r="B1557" s="16" t="n">
        <x:v>1961</x:v>
      </x:c>
      <x:c r="C1557" s="16" t="str">
        <x:v>Graduation</x:v>
      </x:c>
      <x:c r="D1557" s="16" t="str">
        <x:v>Divorced</x:v>
      </x:c>
      <x:c r="E1557" s="16" t="n">
        <x:v>27215</x:v>
      </x:c>
      <x:c r="F1557" s="16" t="n">
        <x:v>2</x:v>
      </x:c>
      <x:c r="G1557" s="16" t="n">
        <x:v>1</x:v>
      </x:c>
      <x:c r="H1557" s="16" t="str">
        <x:v>23-01-2013</x:v>
      </x:c>
      <x:c r="I1557" s="16" t="n">
        <x:v>50</x:v>
      </x:c>
      <x:c r="J1557" s="16" t="n">
        <x:v>30</x:v>
      </x:c>
      <x:c r="K1557" s="16" t="n">
        <x:v>5</x:v>
      </x:c>
      <x:c r="L1557" s="16" t="n">
        <x:v>22</x:v>
      </x:c>
      <x:c r="M1557" s="16" t="n">
        <x:v>8</x:v>
      </x:c>
      <x:c r="N1557" s="16" t="n">
        <x:v>9</x:v>
      </x:c>
      <x:c r="O1557" s="16" t="n">
        <x:v>28</x:v>
      </x:c>
      <x:c r="P1557" s="16" t="n">
        <x:v>4</x:v>
      </x:c>
      <x:c r="Q1557" s="16" t="n">
        <x:v>2</x:v>
      </x:c>
      <x:c r="R1557" s="16" t="n">
        <x:v>1</x:v>
      </x:c>
      <x:c r="S1557" s="16" t="n">
        <x:v>4</x:v>
      </x:c>
      <x:c r="T1557" s="16" t="n">
        <x:v>6</x:v>
      </x:c>
      <x:c r="U1557" s="16" t="n">
        <x:v>0</x:v>
      </x:c>
      <x:c r="V1557" s="16" t="n">
        <x:v>0</x:v>
      </x:c>
      <x:c r="W1557" s="16" t="n">
        <x:v>0</x:v>
      </x:c>
      <x:c r="X1557" s="16" t="n">
        <x:v>0</x:v>
      </x:c>
      <x:c r="Y1557" s="16" t="n">
        <x:v>0</x:v>
      </x:c>
      <x:c r="Z1557" s="16" t="n">
        <x:v>0</x:v>
      </x:c>
      <x:c r="AA1557" s="16" t="n">
        <x:v>3</x:v>
      </x:c>
      <x:c r="AB1557" s="16" t="n">
        <x:v>11</x:v>
      </x:c>
      <x:c r="AC1557" s="16" t="n">
        <x:v>0</x:v>
      </x:c>
      <x:c r="AD1557" s="21" t="n">
        <x:f>IF(E1557="",MEDIAN($E$2:$E$2237),E1557)</x:f>
        <x:v>27215</x:v>
      </x:c>
      <x:c r="AE1557" s="17" t="n">
        <x:f>2014-B1557</x:f>
        <x:v>53</x:v>
      </x:c>
      <x:c r="AF1557" s="17" t="n">
        <x:f>F1557+G1557</x:f>
        <x:v>3</x:v>
      </x:c>
      <x:c r="AG1557" s="21" t="n">
        <x:f>SUM(J1557:O1557)</x:f>
        <x:v>102</x:v>
      </x:c>
      <x:c r="AH1557" s="17" t="n">
        <x:f>SUM(Q1557:S1557)</x:f>
        <x:v>7</x:v>
      </x:c>
      <x:c r="AI1557" s="17" t="n">
        <x:f>SUM(U1557:Y1557)</x:f>
        <x:v>0</x:v>
      </x:c>
      <x:c r="AJ1557" s="17" t="str">
        <x:f>IF(AE1557&lt;=34,"≤34",IF(AE1557&lt;=44,"35–44",IF(AE1557&lt;=54,"45–54",IF(AE1557&lt;=64,"55–64","65+"))))</x:f>
        <x:v>45–54</x:v>
      </x:c>
      <x:c r="AK1557" s="17" t="str">
        <x:f>IF(AG1557&gt;=1000,"High Value",IF(AG1557&gt;=300,"Mid Value","Low Value"))</x:f>
        <x:v>Low Value</x:v>
      </x:c>
      <x:c r="AL1557" s="17" t="str">
        <x:f>IF(AND(AI1557&gt;=1,I1557&lt;=50),"Priority 1",IF(AND(AG1557&gt;=1000,I1557&lt;=60),"Priority 2",IF(I1557&lt;=30,"Priority 3","Nurture")))</x:f>
        <x:v>Nurture</x:v>
      </x:c>
    </x:row>
    <x:row r="1558">
      <x:c r="A1558" s="16" t="n">
        <x:v>2793</x:v>
      </x:c>
      <x:c r="B1558" s="16" t="n">
        <x:v>1976</x:v>
      </x:c>
      <x:c r="C1558" s="16" t="str">
        <x:v>PhD</x:v>
      </x:c>
      <x:c r="D1558" s="16" t="str">
        <x:v>Divorced</x:v>
      </x:c>
      <x:c r="E1558" s="16" t="n">
        <x:v>70179</x:v>
      </x:c>
      <x:c r="F1558" s="16" t="n">
        <x:v>0</x:v>
      </x:c>
      <x:c r="G1558" s="16" t="n">
        <x:v>1</x:v>
      </x:c>
      <x:c r="H1558" s="16" t="str">
        <x:v>21-07-2013</x:v>
      </x:c>
      <x:c r="I1558" s="16" t="n">
        <x:v>10</x:v>
      </x:c>
      <x:c r="J1558" s="16" t="n">
        <x:v>532</x:v>
      </x:c>
      <x:c r="K1558" s="16" t="n">
        <x:v>88</x:v>
      </x:c>
      <x:c r="L1558" s="16" t="n">
        <x:v>168</x:v>
      </x:c>
      <x:c r="M1558" s="16" t="n">
        <x:v>69</x:v>
      </x:c>
      <x:c r="N1558" s="16" t="n">
        <x:v>44</x:v>
      </x:c>
      <x:c r="O1558" s="16" t="n">
        <x:v>133</x:v>
      </x:c>
      <x:c r="P1558" s="16" t="n">
        <x:v>3</x:v>
      </x:c>
      <x:c r="Q1558" s="16" t="n">
        <x:v>7</x:v>
      </x:c>
      <x:c r="R1558" s="16" t="n">
        <x:v>3</x:v>
      </x:c>
      <x:c r="S1558" s="16" t="n">
        <x:v>13</x:v>
      </x:c>
      <x:c r="T1558" s="16" t="n">
        <x:v>5</x:v>
      </x:c>
      <x:c r="U1558" s="16" t="n">
        <x:v>0</x:v>
      </x:c>
      <x:c r="V1558" s="16" t="n">
        <x:v>0</x:v>
      </x:c>
      <x:c r="W1558" s="16" t="n">
        <x:v>0</x:v>
      </x:c>
      <x:c r="X1558" s="16" t="n">
        <x:v>0</x:v>
      </x:c>
      <x:c r="Y1558" s="16" t="n">
        <x:v>0</x:v>
      </x:c>
      <x:c r="Z1558" s="16" t="n">
        <x:v>0</x:v>
      </x:c>
      <x:c r="AA1558" s="16" t="n">
        <x:v>3</x:v>
      </x:c>
      <x:c r="AB1558" s="16" t="n">
        <x:v>11</x:v>
      </x:c>
      <x:c r="AC1558" s="16" t="n">
        <x:v>0</x:v>
      </x:c>
      <x:c r="AD1558" s="21" t="n">
        <x:f>IF(E1558="",MEDIAN($E$2:$E$2237),E1558)</x:f>
        <x:v>70179</x:v>
      </x:c>
      <x:c r="AE1558" s="17" t="n">
        <x:f>2014-B1558</x:f>
        <x:v>38</x:v>
      </x:c>
      <x:c r="AF1558" s="17" t="n">
        <x:f>F1558+G1558</x:f>
        <x:v>1</x:v>
      </x:c>
      <x:c r="AG1558" s="21" t="n">
        <x:f>SUM(J1558:O1558)</x:f>
        <x:v>1034</x:v>
      </x:c>
      <x:c r="AH1558" s="17" t="n">
        <x:f>SUM(Q1558:S1558)</x:f>
        <x:v>23</x:v>
      </x:c>
      <x:c r="AI1558" s="17" t="n">
        <x:f>SUM(U1558:Y1558)</x:f>
        <x:v>0</x:v>
      </x:c>
      <x:c r="AJ1558" s="17" t="str">
        <x:f>IF(AE1558&lt;=34,"≤34",IF(AE1558&lt;=44,"35–44",IF(AE1558&lt;=54,"45–54",IF(AE1558&lt;=64,"55–64","65+"))))</x:f>
        <x:v>35–44</x:v>
      </x:c>
      <x:c r="AK1558" s="17" t="str">
        <x:f>IF(AG1558&gt;=1000,"High Value",IF(AG1558&gt;=300,"Mid Value","Low Value"))</x:f>
        <x:v>High Value</x:v>
      </x:c>
      <x:c r="AL1558" s="17" t="str">
        <x:f>IF(AND(AI1558&gt;=1,I1558&lt;=50),"Priority 1",IF(AND(AG1558&gt;=1000,I1558&lt;=60),"Priority 2",IF(I1558&lt;=30,"Priority 3","Nurture")))</x:f>
        <x:v>Priority 2</x:v>
      </x:c>
    </x:row>
    <x:row r="1559">
      <x:c r="A1559" s="16" t="n">
        <x:v>5424</x:v>
      </x:c>
      <x:c r="B1559" s="16" t="n">
        <x:v>1983</x:v>
      </x:c>
      <x:c r="C1559" s="16" t="str">
        <x:v>Graduation</x:v>
      </x:c>
      <x:c r="D1559" s="16" t="str">
        <x:v>Married</x:v>
      </x:c>
      <x:c r="E1559" s="16" t="n">
        <x:v>39922</x:v>
      </x:c>
      <x:c r="F1559" s="16" t="n">
        <x:v>1</x:v>
      </x:c>
      <x:c r="G1559" s="16" t="n">
        <x:v>0</x:v>
      </x:c>
      <x:c r="H1559" s="16" t="str">
        <x:v>14-02-2013</x:v>
      </x:c>
      <x:c r="I1559" s="16" t="n">
        <x:v>30</x:v>
      </x:c>
      <x:c r="J1559" s="16" t="n">
        <x:v>29</x:v>
      </x:c>
      <x:c r="K1559" s="16" t="n">
        <x:v>12</x:v>
      </x:c>
      <x:c r="L1559" s="16" t="n">
        <x:v>59</x:v>
      </x:c>
      <x:c r="M1559" s="16" t="n">
        <x:v>19</x:v>
      </x:c>
      <x:c r="N1559" s="16" t="n">
        <x:v>1</x:v>
      </x:c>
      <x:c r="O1559" s="16" t="n">
        <x:v>36</x:v>
      </x:c>
      <x:c r="P1559" s="16" t="n">
        <x:v>2</x:v>
      </x:c>
      <x:c r="Q1559" s="16" t="n">
        <x:v>3</x:v>
      </x:c>
      <x:c r="R1559" s="16" t="n">
        <x:v>0</x:v>
      </x:c>
      <x:c r="S1559" s="16" t="n">
        <x:v>4</x:v>
      </x:c>
      <x:c r="T1559" s="16" t="n">
        <x:v>8</x:v>
      </x:c>
      <x:c r="U1559" s="16" t="n">
        <x:v>0</x:v>
      </x:c>
      <x:c r="V1559" s="16" t="n">
        <x:v>0</x:v>
      </x:c>
      <x:c r="W1559" s="16" t="n">
        <x:v>0</x:v>
      </x:c>
      <x:c r="X1559" s="16" t="n">
        <x:v>0</x:v>
      </x:c>
      <x:c r="Y1559" s="16" t="n">
        <x:v>0</x:v>
      </x:c>
      <x:c r="Z1559" s="16" t="n">
        <x:v>0</x:v>
      </x:c>
      <x:c r="AA1559" s="16" t="n">
        <x:v>3</x:v>
      </x:c>
      <x:c r="AB1559" s="16" t="n">
        <x:v>11</x:v>
      </x:c>
      <x:c r="AC1559" s="16" t="n">
        <x:v>0</x:v>
      </x:c>
      <x:c r="AD1559" s="21" t="n">
        <x:f>IF(E1559="",MEDIAN($E$2:$E$2237),E1559)</x:f>
        <x:v>39922</x:v>
      </x:c>
      <x:c r="AE1559" s="17" t="n">
        <x:f>2014-B1559</x:f>
        <x:v>31</x:v>
      </x:c>
      <x:c r="AF1559" s="17" t="n">
        <x:f>F1559+G1559</x:f>
        <x:v>1</x:v>
      </x:c>
      <x:c r="AG1559" s="21" t="n">
        <x:f>SUM(J1559:O1559)</x:f>
        <x:v>156</x:v>
      </x:c>
      <x:c r="AH1559" s="17" t="n">
        <x:f>SUM(Q1559:S1559)</x:f>
        <x:v>7</x:v>
      </x:c>
      <x:c r="AI1559" s="17" t="n">
        <x:f>SUM(U1559:Y1559)</x:f>
        <x:v>0</x:v>
      </x:c>
      <x:c r="AJ1559" s="17" t="str">
        <x:f>IF(AE1559&lt;=34,"≤34",IF(AE1559&lt;=44,"35–44",IF(AE1559&lt;=54,"45–54",IF(AE1559&lt;=64,"55–64","65+"))))</x:f>
        <x:v>≤34</x:v>
      </x:c>
      <x:c r="AK1559" s="17" t="str">
        <x:f>IF(AG1559&gt;=1000,"High Value",IF(AG1559&gt;=300,"Mid Value","Low Value"))</x:f>
        <x:v>Low Value</x:v>
      </x:c>
      <x:c r="AL1559" s="17" t="str">
        <x:f>IF(AND(AI1559&gt;=1,I1559&lt;=50),"Priority 1",IF(AND(AG1559&gt;=1000,I1559&lt;=60),"Priority 2",IF(I1559&lt;=30,"Priority 3","Nurture")))</x:f>
        <x:v>Priority 3</x:v>
      </x:c>
    </x:row>
    <x:row r="1560">
      <x:c r="A1560" s="16" t="n">
        <x:v>879</x:v>
      </x:c>
      <x:c r="B1560" s="16" t="n">
        <x:v>1976</x:v>
      </x:c>
      <x:c r="C1560" s="16" t="str">
        <x:v>Master</x:v>
      </x:c>
      <x:c r="D1560" s="16" t="str">
        <x:v>Married</x:v>
      </x:c>
      <x:c r="E1560" s="16" t="n">
        <x:v>49681</x:v>
      </x:c>
      <x:c r="F1560" s="16" t="n">
        <x:v>0</x:v>
      </x:c>
      <x:c r="G1560" s="16" t="n">
        <x:v>2</x:v>
      </x:c>
      <x:c r="H1560" s="16" t="str">
        <x:v>04-11-2013</x:v>
      </x:c>
      <x:c r="I1560" s="16" t="n">
        <x:v>66</x:v>
      </x:c>
      <x:c r="J1560" s="16" t="n">
        <x:v>411</x:v>
      </x:c>
      <x:c r="K1560" s="16" t="n">
        <x:v>0</x:v>
      </x:c>
      <x:c r="L1560" s="16" t="n">
        <x:v>26</x:v>
      </x:c>
      <x:c r="M1560" s="16" t="n">
        <x:v>0</x:v>
      </x:c>
      <x:c r="N1560" s="16" t="n">
        <x:v>0</x:v>
      </x:c>
      <x:c r="O1560" s="16" t="n">
        <x:v>21</x:v>
      </x:c>
      <x:c r="P1560" s="16" t="n">
        <x:v>6</x:v>
      </x:c>
      <x:c r="Q1560" s="16" t="n">
        <x:v>7</x:v>
      </x:c>
      <x:c r="R1560" s="16" t="n">
        <x:v>1</x:v>
      </x:c>
      <x:c r="S1560" s="16" t="n">
        <x:v>7</x:v>
      </x:c>
      <x:c r="T1560" s="16" t="n">
        <x:v>7</x:v>
      </x:c>
      <x:c r="U1560" s="16" t="n">
        <x:v>0</x:v>
      </x:c>
      <x:c r="V1560" s="16" t="n">
        <x:v>0</x:v>
      </x:c>
      <x:c r="W1560" s="16" t="n">
        <x:v>0</x:v>
      </x:c>
      <x:c r="X1560" s="16" t="n">
        <x:v>0</x:v>
      </x:c>
      <x:c r="Y1560" s="16" t="n">
        <x:v>0</x:v>
      </x:c>
      <x:c r="Z1560" s="16" t="n">
        <x:v>0</x:v>
      </x:c>
      <x:c r="AA1560" s="16" t="n">
        <x:v>3</x:v>
      </x:c>
      <x:c r="AB1560" s="16" t="n">
        <x:v>11</x:v>
      </x:c>
      <x:c r="AC1560" s="16" t="n">
        <x:v>0</x:v>
      </x:c>
      <x:c r="AD1560" s="21" t="n">
        <x:f>IF(E1560="",MEDIAN($E$2:$E$2237),E1560)</x:f>
        <x:v>49681</x:v>
      </x:c>
      <x:c r="AE1560" s="17" t="n">
        <x:f>2014-B1560</x:f>
        <x:v>38</x:v>
      </x:c>
      <x:c r="AF1560" s="17" t="n">
        <x:f>F1560+G1560</x:f>
        <x:v>2</x:v>
      </x:c>
      <x:c r="AG1560" s="21" t="n">
        <x:f>SUM(J1560:O1560)</x:f>
        <x:v>458</x:v>
      </x:c>
      <x:c r="AH1560" s="17" t="n">
        <x:f>SUM(Q1560:S1560)</x:f>
        <x:v>15</x:v>
      </x:c>
      <x:c r="AI1560" s="17" t="n">
        <x:f>SUM(U1560:Y1560)</x:f>
        <x:v>0</x:v>
      </x:c>
      <x:c r="AJ1560" s="17" t="str">
        <x:f>IF(AE1560&lt;=34,"≤34",IF(AE1560&lt;=44,"35–44",IF(AE1560&lt;=54,"45–54",IF(AE1560&lt;=64,"55–64","65+"))))</x:f>
        <x:v>35–44</x:v>
      </x:c>
      <x:c r="AK1560" s="17" t="str">
        <x:f>IF(AG1560&gt;=1000,"High Value",IF(AG1560&gt;=300,"Mid Value","Low Value"))</x:f>
        <x:v>Mid Value</x:v>
      </x:c>
      <x:c r="AL1560" s="17" t="str">
        <x:f>IF(AND(AI1560&gt;=1,I1560&lt;=50),"Priority 1",IF(AND(AG1560&gt;=1000,I1560&lt;=60),"Priority 2",IF(I1560&lt;=30,"Priority 3","Nurture")))</x:f>
        <x:v>Nurture</x:v>
      </x:c>
    </x:row>
    <x:row r="1561">
      <x:c r="A1561" s="16" t="n">
        <x:v>9530</x:v>
      </x:c>
      <x:c r="B1561" s="16" t="n">
        <x:v>1988</x:v>
      </x:c>
      <x:c r="C1561" s="16" t="str">
        <x:v>Graduation</x:v>
      </x:c>
      <x:c r="D1561" s="16" t="str">
        <x:v>Married</x:v>
      </x:c>
      <x:c r="E1561" s="16" t="n">
        <x:v>24645</x:v>
      </x:c>
      <x:c r="F1561" s="16" t="n">
        <x:v>1</x:v>
      </x:c>
      <x:c r="G1561" s="16" t="n">
        <x:v>0</x:v>
      </x:c>
      <x:c r="H1561" s="16" t="str">
        <x:v>01-11-2012</x:v>
      </x:c>
      <x:c r="I1561" s="16" t="n">
        <x:v>16</x:v>
      </x:c>
      <x:c r="J1561" s="16" t="n">
        <x:v>5</x:v>
      </x:c>
      <x:c r="K1561" s="16" t="n">
        <x:v>3</x:v>
      </x:c>
      <x:c r="L1561" s="16" t="n">
        <x:v>4</x:v>
      </x:c>
      <x:c r="M1561" s="16" t="n">
        <x:v>4</x:v>
      </x:c>
      <x:c r="N1561" s="16" t="n">
        <x:v>1</x:v>
      </x:c>
      <x:c r="O1561" s="16" t="n">
        <x:v>0</x:v>
      </x:c>
      <x:c r="P1561" s="16" t="n">
        <x:v>1</x:v>
      </x:c>
      <x:c r="Q1561" s="16" t="n">
        <x:v>1</x:v>
      </x:c>
      <x:c r="R1561" s="16" t="n">
        <x:v>0</x:v>
      </x:c>
      <x:c r="S1561" s="16" t="n">
        <x:v>2</x:v>
      </x:c>
      <x:c r="T1561" s="16" t="n">
        <x:v>8</x:v>
      </x:c>
      <x:c r="U1561" s="16" t="n">
        <x:v>0</x:v>
      </x:c>
      <x:c r="V1561" s="16" t="n">
        <x:v>0</x:v>
      </x:c>
      <x:c r="W1561" s="16" t="n">
        <x:v>0</x:v>
      </x:c>
      <x:c r="X1561" s="16" t="n">
        <x:v>0</x:v>
      </x:c>
      <x:c r="Y1561" s="16" t="n">
        <x:v>0</x:v>
      </x:c>
      <x:c r="Z1561" s="16" t="n">
        <x:v>0</x:v>
      </x:c>
      <x:c r="AA1561" s="16" t="n">
        <x:v>3</x:v>
      </x:c>
      <x:c r="AB1561" s="16" t="n">
        <x:v>11</x:v>
      </x:c>
      <x:c r="AC1561" s="16" t="n">
        <x:v>0</x:v>
      </x:c>
      <x:c r="AD1561" s="21" t="n">
        <x:f>IF(E1561="",MEDIAN($E$2:$E$2237),E1561)</x:f>
        <x:v>24645</x:v>
      </x:c>
      <x:c r="AE1561" s="17" t="n">
        <x:f>2014-B1561</x:f>
        <x:v>26</x:v>
      </x:c>
      <x:c r="AF1561" s="17" t="n">
        <x:f>F1561+G1561</x:f>
        <x:v>1</x:v>
      </x:c>
      <x:c r="AG1561" s="21" t="n">
        <x:f>SUM(J1561:O1561)</x:f>
        <x:v>17</x:v>
      </x:c>
      <x:c r="AH1561" s="17" t="n">
        <x:f>SUM(Q1561:S1561)</x:f>
        <x:v>3</x:v>
      </x:c>
      <x:c r="AI1561" s="17" t="n">
        <x:f>SUM(U1561:Y1561)</x:f>
        <x:v>0</x:v>
      </x:c>
      <x:c r="AJ1561" s="17" t="str">
        <x:f>IF(AE1561&lt;=34,"≤34",IF(AE1561&lt;=44,"35–44",IF(AE1561&lt;=54,"45–54",IF(AE1561&lt;=64,"55–64","65+"))))</x:f>
        <x:v>≤34</x:v>
      </x:c>
      <x:c r="AK1561" s="17" t="str">
        <x:f>IF(AG1561&gt;=1000,"High Value",IF(AG1561&gt;=300,"Mid Value","Low Value"))</x:f>
        <x:v>Low Value</x:v>
      </x:c>
      <x:c r="AL1561" s="17" t="str">
        <x:f>IF(AND(AI1561&gt;=1,I1561&lt;=50),"Priority 1",IF(AND(AG1561&gt;=1000,I1561&lt;=60),"Priority 2",IF(I1561&lt;=30,"Priority 3","Nurture")))</x:f>
        <x:v>Priority 3</x:v>
      </x:c>
    </x:row>
    <x:row r="1562">
      <x:c r="A1562" s="16" t="n">
        <x:v>4828</x:v>
      </x:c>
      <x:c r="B1562" s="16" t="n">
        <x:v>1954</x:v>
      </x:c>
      <x:c r="C1562" s="16" t="str">
        <x:v>Graduation</x:v>
      </x:c>
      <x:c r="D1562" s="16" t="str">
        <x:v>Divorced</x:v>
      </x:c>
      <x:c r="E1562" s="16" t="n">
        <x:v>79865</x:v>
      </x:c>
      <x:c r="F1562" s="16" t="n">
        <x:v>0</x:v>
      </x:c>
      <x:c r="G1562" s="16" t="n">
        <x:v>1</x:v>
      </x:c>
      <x:c r="H1562" s="16" t="str">
        <x:v>18-06-2014</x:v>
      </x:c>
      <x:c r="I1562" s="16" t="n">
        <x:v>12</x:v>
      </x:c>
      <x:c r="J1562" s="16" t="n">
        <x:v>71</x:v>
      </x:c>
      <x:c r="K1562" s="16" t="n">
        <x:v>99</x:v>
      </x:c>
      <x:c r="L1562" s="16" t="n">
        <x:v>278</x:v>
      </x:c>
      <x:c r="M1562" s="16" t="n">
        <x:v>185</x:v>
      </x:c>
      <x:c r="N1562" s="16" t="n">
        <x:v>121</x:v>
      </x:c>
      <x:c r="O1562" s="16" t="n">
        <x:v>38</x:v>
      </x:c>
      <x:c r="P1562" s="16" t="n">
        <x:v>1</x:v>
      </x:c>
      <x:c r="Q1562" s="16" t="n">
        <x:v>5</x:v>
      </x:c>
      <x:c r="R1562" s="16" t="n">
        <x:v>10</x:v>
      </x:c>
      <x:c r="S1562" s="16" t="n">
        <x:v>5</x:v>
      </x:c>
      <x:c r="T1562" s="16" t="n">
        <x:v>1</x:v>
      </x:c>
      <x:c r="U1562" s="16" t="n">
        <x:v>0</x:v>
      </x:c>
      <x:c r="V1562" s="16" t="n">
        <x:v>0</x:v>
      </x:c>
      <x:c r="W1562" s="16" t="n">
        <x:v>0</x:v>
      </x:c>
      <x:c r="X1562" s="16" t="n">
        <x:v>0</x:v>
      </x:c>
      <x:c r="Y1562" s="16" t="n">
        <x:v>0</x:v>
      </x:c>
      <x:c r="Z1562" s="16" t="n">
        <x:v>0</x:v>
      </x:c>
      <x:c r="AA1562" s="16" t="n">
        <x:v>3</x:v>
      </x:c>
      <x:c r="AB1562" s="16" t="n">
        <x:v>11</x:v>
      </x:c>
      <x:c r="AC1562" s="16" t="n">
        <x:v>0</x:v>
      </x:c>
      <x:c r="AD1562" s="21" t="n">
        <x:f>IF(E1562="",MEDIAN($E$2:$E$2237),E1562)</x:f>
        <x:v>79865</x:v>
      </x:c>
      <x:c r="AE1562" s="17" t="n">
        <x:f>2014-B1562</x:f>
        <x:v>60</x:v>
      </x:c>
      <x:c r="AF1562" s="17" t="n">
        <x:f>F1562+G1562</x:f>
        <x:v>1</x:v>
      </x:c>
      <x:c r="AG1562" s="21" t="n">
        <x:f>SUM(J1562:O1562)</x:f>
        <x:v>792</x:v>
      </x:c>
      <x:c r="AH1562" s="17" t="n">
        <x:f>SUM(Q1562:S1562)</x:f>
        <x:v>20</x:v>
      </x:c>
      <x:c r="AI1562" s="17" t="n">
        <x:f>SUM(U1562:Y1562)</x:f>
        <x:v>0</x:v>
      </x:c>
      <x:c r="AJ1562" s="17" t="str">
        <x:f>IF(AE1562&lt;=34,"≤34",IF(AE1562&lt;=44,"35–44",IF(AE1562&lt;=54,"45–54",IF(AE1562&lt;=64,"55–64","65+"))))</x:f>
        <x:v>55–64</x:v>
      </x:c>
      <x:c r="AK1562" s="17" t="str">
        <x:f>IF(AG1562&gt;=1000,"High Value",IF(AG1562&gt;=300,"Mid Value","Low Value"))</x:f>
        <x:v>Mid Value</x:v>
      </x:c>
      <x:c r="AL1562" s="17" t="str">
        <x:f>IF(AND(AI1562&gt;=1,I1562&lt;=50),"Priority 1",IF(AND(AG1562&gt;=1000,I1562&lt;=60),"Priority 2",IF(I1562&lt;=30,"Priority 3","Nurture")))</x:f>
        <x:v>Priority 3</x:v>
      </x:c>
    </x:row>
    <x:row r="1563">
      <x:c r="A1563" s="16" t="n">
        <x:v>10699</x:v>
      </x:c>
      <x:c r="B1563" s="16" t="n">
        <x:v>1985</x:v>
      </x:c>
      <x:c r="C1563" s="16" t="str">
        <x:v>Graduation</x:v>
      </x:c>
      <x:c r="D1563" s="16" t="str">
        <x:v>Married</x:v>
      </x:c>
      <x:c r="E1563" s="16" t="n">
        <x:v>44322</x:v>
      </x:c>
      <x:c r="F1563" s="16" t="n">
        <x:v>1</x:v>
      </x:c>
      <x:c r="G1563" s="16" t="n">
        <x:v>0</x:v>
      </x:c>
      <x:c r="H1563" s="16" t="str">
        <x:v>16-06-2014</x:v>
      </x:c>
      <x:c r="I1563" s="16" t="n">
        <x:v>30</x:v>
      </x:c>
      <x:c r="J1563" s="16" t="n">
        <x:v>46</x:v>
      </x:c>
      <x:c r="K1563" s="16" t="n">
        <x:v>0</x:v>
      </x:c>
      <x:c r="L1563" s="16" t="n">
        <x:v>40</x:v>
      </x:c>
      <x:c r="M1563" s="16" t="n">
        <x:v>3</x:v>
      </x:c>
      <x:c r="N1563" s="16" t="n">
        <x:v>0</x:v>
      </x:c>
      <x:c r="O1563" s="16" t="n">
        <x:v>3</x:v>
      </x:c>
      <x:c r="P1563" s="16" t="n">
        <x:v>2</x:v>
      </x:c>
      <x:c r="Q1563" s="16" t="n">
        <x:v>3</x:v>
      </x:c>
      <x:c r="R1563" s="16" t="n">
        <x:v>0</x:v>
      </x:c>
      <x:c r="S1563" s="16" t="n">
        <x:v>3</x:v>
      </x:c>
      <x:c r="T1563" s="16" t="n">
        <x:v>8</x:v>
      </x:c>
      <x:c r="U1563" s="16" t="n">
        <x:v>0</x:v>
      </x:c>
      <x:c r="V1563" s="16" t="n">
        <x:v>0</x:v>
      </x:c>
      <x:c r="W1563" s="16" t="n">
        <x:v>0</x:v>
      </x:c>
      <x:c r="X1563" s="16" t="n">
        <x:v>0</x:v>
      </x:c>
      <x:c r="Y1563" s="16" t="n">
        <x:v>0</x:v>
      </x:c>
      <x:c r="Z1563" s="16" t="n">
        <x:v>0</x:v>
      </x:c>
      <x:c r="AA1563" s="16" t="n">
        <x:v>3</x:v>
      </x:c>
      <x:c r="AB1563" s="16" t="n">
        <x:v>11</x:v>
      </x:c>
      <x:c r="AC1563" s="16" t="n">
        <x:v>0</x:v>
      </x:c>
      <x:c r="AD1563" s="21" t="n">
        <x:f>IF(E1563="",MEDIAN($E$2:$E$2237),E1563)</x:f>
        <x:v>44322</x:v>
      </x:c>
      <x:c r="AE1563" s="17" t="n">
        <x:f>2014-B1563</x:f>
        <x:v>29</x:v>
      </x:c>
      <x:c r="AF1563" s="17" t="n">
        <x:f>F1563+G1563</x:f>
        <x:v>1</x:v>
      </x:c>
      <x:c r="AG1563" s="21" t="n">
        <x:f>SUM(J1563:O1563)</x:f>
        <x:v>92</x:v>
      </x:c>
      <x:c r="AH1563" s="17" t="n">
        <x:f>SUM(Q1563:S1563)</x:f>
        <x:v>6</x:v>
      </x:c>
      <x:c r="AI1563" s="17" t="n">
        <x:f>SUM(U1563:Y1563)</x:f>
        <x:v>0</x:v>
      </x:c>
      <x:c r="AJ1563" s="17" t="str">
        <x:f>IF(AE1563&lt;=34,"≤34",IF(AE1563&lt;=44,"35–44",IF(AE1563&lt;=54,"45–54",IF(AE1563&lt;=64,"55–64","65+"))))</x:f>
        <x:v>≤34</x:v>
      </x:c>
      <x:c r="AK1563" s="17" t="str">
        <x:f>IF(AG1563&gt;=1000,"High Value",IF(AG1563&gt;=300,"Mid Value","Low Value"))</x:f>
        <x:v>Low Value</x:v>
      </x:c>
      <x:c r="AL1563" s="17" t="str">
        <x:f>IF(AND(AI1563&gt;=1,I1563&lt;=50),"Priority 1",IF(AND(AG1563&gt;=1000,I1563&lt;=60),"Priority 2",IF(I1563&lt;=30,"Priority 3","Nurture")))</x:f>
        <x:v>Priority 3</x:v>
      </x:c>
    </x:row>
    <x:row r="1564">
      <x:c r="A1564" s="16" t="n">
        <x:v>1497</x:v>
      </x:c>
      <x:c r="B1564" s="16" t="n">
        <x:v>1952</x:v>
      </x:c>
      <x:c r="C1564" s="16" t="str">
        <x:v>Graduation</x:v>
      </x:c>
      <x:c r="D1564" s="16" t="str">
        <x:v>Single</x:v>
      </x:c>
      <x:c r="E1564" s="16" t="n">
        <x:v>47958</x:v>
      </x:c>
      <x:c r="F1564" s="16" t="n">
        <x:v>0</x:v>
      </x:c>
      <x:c r="G1564" s="16" t="n">
        <x:v>1</x:v>
      </x:c>
      <x:c r="H1564" s="16" t="str">
        <x:v>19-01-2013</x:v>
      </x:c>
      <x:c r="I1564" s="16" t="n">
        <x:v>8</x:v>
      </x:c>
      <x:c r="J1564" s="16" t="n">
        <x:v>268</x:v>
      </x:c>
      <x:c r="K1564" s="16" t="n">
        <x:v>11</x:v>
      </x:c>
      <x:c r="L1564" s="16" t="n">
        <x:v>88</x:v>
      </x:c>
      <x:c r="M1564" s="16" t="n">
        <x:v>15</x:v>
      </x:c>
      <x:c r="N1564" s="16" t="n">
        <x:v>3</x:v>
      </x:c>
      <x:c r="O1564" s="16" t="n">
        <x:v>22</x:v>
      </x:c>
      <x:c r="P1564" s="16" t="n">
        <x:v>2</x:v>
      </x:c>
      <x:c r="Q1564" s="16" t="n">
        <x:v>6</x:v>
      </x:c>
      <x:c r="R1564" s="16" t="n">
        <x:v>3</x:v>
      </x:c>
      <x:c r="S1564" s="16" t="n">
        <x:v>5</x:v>
      </x:c>
      <x:c r="T1564" s="16" t="n">
        <x:v>5</x:v>
      </x:c>
      <x:c r="U1564" s="16" t="n">
        <x:v>0</x:v>
      </x:c>
      <x:c r="V1564" s="16" t="n">
        <x:v>0</x:v>
      </x:c>
      <x:c r="W1564" s="16" t="n">
        <x:v>0</x:v>
      </x:c>
      <x:c r="X1564" s="16" t="n">
        <x:v>0</x:v>
      </x:c>
      <x:c r="Y1564" s="16" t="n">
        <x:v>0</x:v>
      </x:c>
      <x:c r="Z1564" s="16" t="n">
        <x:v>0</x:v>
      </x:c>
      <x:c r="AA1564" s="16" t="n">
        <x:v>3</x:v>
      </x:c>
      <x:c r="AB1564" s="16" t="n">
        <x:v>11</x:v>
      </x:c>
      <x:c r="AC1564" s="16" t="n">
        <x:v>0</x:v>
      </x:c>
      <x:c r="AD1564" s="21" t="n">
        <x:f>IF(E1564="",MEDIAN($E$2:$E$2237),E1564)</x:f>
        <x:v>47958</x:v>
      </x:c>
      <x:c r="AE1564" s="17" t="n">
        <x:f>2014-B1564</x:f>
        <x:v>62</x:v>
      </x:c>
      <x:c r="AF1564" s="17" t="n">
        <x:f>F1564+G1564</x:f>
        <x:v>1</x:v>
      </x:c>
      <x:c r="AG1564" s="21" t="n">
        <x:f>SUM(J1564:O1564)</x:f>
        <x:v>407</x:v>
      </x:c>
      <x:c r="AH1564" s="17" t="n">
        <x:f>SUM(Q1564:S1564)</x:f>
        <x:v>14</x:v>
      </x:c>
      <x:c r="AI1564" s="17" t="n">
        <x:f>SUM(U1564:Y1564)</x:f>
        <x:v>0</x:v>
      </x:c>
      <x:c r="AJ1564" s="17" t="str">
        <x:f>IF(AE1564&lt;=34,"≤34",IF(AE1564&lt;=44,"35–44",IF(AE1564&lt;=54,"45–54",IF(AE1564&lt;=64,"55–64","65+"))))</x:f>
        <x:v>55–64</x:v>
      </x:c>
      <x:c r="AK1564" s="17" t="str">
        <x:f>IF(AG1564&gt;=1000,"High Value",IF(AG1564&gt;=300,"Mid Value","Low Value"))</x:f>
        <x:v>Mid Value</x:v>
      </x:c>
      <x:c r="AL1564" s="17" t="str">
        <x:f>IF(AND(AI1564&gt;=1,I1564&lt;=50),"Priority 1",IF(AND(AG1564&gt;=1000,I1564&lt;=60),"Priority 2",IF(I1564&lt;=30,"Priority 3","Nurture")))</x:f>
        <x:v>Priority 3</x:v>
      </x:c>
    </x:row>
    <x:row r="1565">
      <x:c r="A1565" s="16" t="n">
        <x:v>7476</x:v>
      </x:c>
      <x:c r="B1565" s="16" t="n">
        <x:v>1964</x:v>
      </x:c>
      <x:c r="C1565" s="16" t="str">
        <x:v>Master</x:v>
      </x:c>
      <x:c r="D1565" s="16" t="str">
        <x:v>Single</x:v>
      </x:c>
      <x:c r="E1565" s="16" t="n">
        <x:v>63972</x:v>
      </x:c>
      <x:c r="F1565" s="16" t="n">
        <x:v>0</x:v>
      </x:c>
      <x:c r="G1565" s="16" t="n">
        <x:v>1</x:v>
      </x:c>
      <x:c r="H1565" s="16" t="str">
        <x:v>02-12-2012</x:v>
      </x:c>
      <x:c r="I1565" s="16" t="n">
        <x:v>93</x:v>
      </x:c>
      <x:c r="J1565" s="16" t="n">
        <x:v>928</x:v>
      </x:c>
      <x:c r="K1565" s="16" t="n">
        <x:v>63</x:v>
      </x:c>
      <x:c r="L1565" s="16" t="n">
        <x:v>254</x:v>
      </x:c>
      <x:c r="M1565" s="16" t="n">
        <x:v>0</x:v>
      </x:c>
      <x:c r="N1565" s="16" t="n">
        <x:v>12</x:v>
      </x:c>
      <x:c r="O1565" s="16" t="n">
        <x:v>12</x:v>
      </x:c>
      <x:c r="P1565" s="16" t="n">
        <x:v>4</x:v>
      </x:c>
      <x:c r="Q1565" s="16" t="n">
        <x:v>5</x:v>
      </x:c>
      <x:c r="R1565" s="16" t="n">
        <x:v>4</x:v>
      </x:c>
      <x:c r="S1565" s="16" t="n">
        <x:v>10</x:v>
      </x:c>
      <x:c r="T1565" s="16" t="n">
        <x:v>4</x:v>
      </x:c>
      <x:c r="U1565" s="16" t="n">
        <x:v>0</x:v>
      </x:c>
      <x:c r="V1565" s="16" t="n">
        <x:v>1</x:v>
      </x:c>
      <x:c r="W1565" s="16" t="n">
        <x:v>0</x:v>
      </x:c>
      <x:c r="X1565" s="16" t="n">
        <x:v>0</x:v>
      </x:c>
      <x:c r="Y1565" s="16" t="n">
        <x:v>0</x:v>
      </x:c>
      <x:c r="Z1565" s="16" t="n">
        <x:v>0</x:v>
      </x:c>
      <x:c r="AA1565" s="16" t="n">
        <x:v>3</x:v>
      </x:c>
      <x:c r="AB1565" s="16" t="n">
        <x:v>11</x:v>
      </x:c>
      <x:c r="AC1565" s="16" t="n">
        <x:v>0</x:v>
      </x:c>
      <x:c r="AD1565" s="21" t="n">
        <x:f>IF(E1565="",MEDIAN($E$2:$E$2237),E1565)</x:f>
        <x:v>63972</x:v>
      </x:c>
      <x:c r="AE1565" s="17" t="n">
        <x:f>2014-B1565</x:f>
        <x:v>50</x:v>
      </x:c>
      <x:c r="AF1565" s="17" t="n">
        <x:f>F1565+G1565</x:f>
        <x:v>1</x:v>
      </x:c>
      <x:c r="AG1565" s="21" t="n">
        <x:f>SUM(J1565:O1565)</x:f>
        <x:v>1269</x:v>
      </x:c>
      <x:c r="AH1565" s="17" t="n">
        <x:f>SUM(Q1565:S1565)</x:f>
        <x:v>19</x:v>
      </x:c>
      <x:c r="AI1565" s="17" t="n">
        <x:f>SUM(U1565:Y1565)</x:f>
        <x:v>1</x:v>
      </x:c>
      <x:c r="AJ1565" s="17" t="str">
        <x:f>IF(AE1565&lt;=34,"≤34",IF(AE1565&lt;=44,"35–44",IF(AE1565&lt;=54,"45–54",IF(AE1565&lt;=64,"55–64","65+"))))</x:f>
        <x:v>45–54</x:v>
      </x:c>
      <x:c r="AK1565" s="17" t="str">
        <x:f>IF(AG1565&gt;=1000,"High Value",IF(AG1565&gt;=300,"Mid Value","Low Value"))</x:f>
        <x:v>High Value</x:v>
      </x:c>
      <x:c r="AL1565" s="17" t="str">
        <x:f>IF(AND(AI1565&gt;=1,I1565&lt;=50),"Priority 1",IF(AND(AG1565&gt;=1000,I1565&lt;=60),"Priority 2",IF(I1565&lt;=30,"Priority 3","Nurture")))</x:f>
        <x:v>Nurture</x:v>
      </x:c>
    </x:row>
    <x:row r="1566">
      <x:c r="A1566" s="16" t="n">
        <x:v>4390</x:v>
      </x:c>
      <x:c r="B1566" s="16" t="n">
        <x:v>1954</x:v>
      </x:c>
      <x:c r="C1566" s="16" t="str">
        <x:v>Graduation</x:v>
      </x:c>
      <x:c r="D1566" s="16" t="str">
        <x:v>Together</x:v>
      </x:c>
      <x:c r="E1566" s="16" t="n">
        <x:v>75315</x:v>
      </x:c>
      <x:c r="F1566" s="16" t="n">
        <x:v>0</x:v>
      </x:c>
      <x:c r="G1566" s="16" t="n">
        <x:v>1</x:v>
      </x:c>
      <x:c r="H1566" s="16" t="str">
        <x:v>15-04-2014</x:v>
      </x:c>
      <x:c r="I1566" s="16" t="n">
        <x:v>14</x:v>
      </x:c>
      <x:c r="J1566" s="16" t="n">
        <x:v>459</x:v>
      </x:c>
      <x:c r="K1566" s="16" t="n">
        <x:v>15</x:v>
      </x:c>
      <x:c r="L1566" s="16" t="n">
        <x:v>171</x:v>
      </x:c>
      <x:c r="M1566" s="16" t="n">
        <x:v>142</x:v>
      </x:c>
      <x:c r="N1566" s="16" t="n">
        <x:v>23</x:v>
      </x:c>
      <x:c r="O1566" s="16" t="n">
        <x:v>31</x:v>
      </x:c>
      <x:c r="P1566" s="16" t="n">
        <x:v>2</x:v>
      </x:c>
      <x:c r="Q1566" s="16" t="n">
        <x:v>5</x:v>
      </x:c>
      <x:c r="R1566" s="16" t="n">
        <x:v>4</x:v>
      </x:c>
      <x:c r="S1566" s="16" t="n">
        <x:v>12</x:v>
      </x:c>
      <x:c r="T1566" s="16" t="n">
        <x:v>2</x:v>
      </x:c>
      <x:c r="U1566" s="16" t="n">
        <x:v>0</x:v>
      </x:c>
      <x:c r="V1566" s="16" t="n">
        <x:v>0</x:v>
      </x:c>
      <x:c r="W1566" s="16" t="n">
        <x:v>0</x:v>
      </x:c>
      <x:c r="X1566" s="16" t="n">
        <x:v>0</x:v>
      </x:c>
      <x:c r="Y1566" s="16" t="n">
        <x:v>0</x:v>
      </x:c>
      <x:c r="Z1566" s="16" t="n">
        <x:v>0</x:v>
      </x:c>
      <x:c r="AA1566" s="16" t="n">
        <x:v>3</x:v>
      </x:c>
      <x:c r="AB1566" s="16" t="n">
        <x:v>11</x:v>
      </x:c>
      <x:c r="AC1566" s="16" t="n">
        <x:v>0</x:v>
      </x:c>
      <x:c r="AD1566" s="21" t="n">
        <x:f>IF(E1566="",MEDIAN($E$2:$E$2237),E1566)</x:f>
        <x:v>75315</x:v>
      </x:c>
      <x:c r="AE1566" s="17" t="n">
        <x:f>2014-B1566</x:f>
        <x:v>60</x:v>
      </x:c>
      <x:c r="AF1566" s="17" t="n">
        <x:f>F1566+G1566</x:f>
        <x:v>1</x:v>
      </x:c>
      <x:c r="AG1566" s="21" t="n">
        <x:f>SUM(J1566:O1566)</x:f>
        <x:v>841</x:v>
      </x:c>
      <x:c r="AH1566" s="17" t="n">
        <x:f>SUM(Q1566:S1566)</x:f>
        <x:v>21</x:v>
      </x:c>
      <x:c r="AI1566" s="17" t="n">
        <x:f>SUM(U1566:Y1566)</x:f>
        <x:v>0</x:v>
      </x:c>
      <x:c r="AJ1566" s="17" t="str">
        <x:f>IF(AE1566&lt;=34,"≤34",IF(AE1566&lt;=44,"35–44",IF(AE1566&lt;=54,"45–54",IF(AE1566&lt;=64,"55–64","65+"))))</x:f>
        <x:v>55–64</x:v>
      </x:c>
      <x:c r="AK1566" s="17" t="str">
        <x:f>IF(AG1566&gt;=1000,"High Value",IF(AG1566&gt;=300,"Mid Value","Low Value"))</x:f>
        <x:v>Mid Value</x:v>
      </x:c>
      <x:c r="AL1566" s="17" t="str">
        <x:f>IF(AND(AI1566&gt;=1,I1566&lt;=50),"Priority 1",IF(AND(AG1566&gt;=1000,I1566&lt;=60),"Priority 2",IF(I1566&lt;=30,"Priority 3","Nurture")))</x:f>
        <x:v>Priority 3</x:v>
      </x:c>
    </x:row>
    <x:row r="1567">
      <x:c r="A1567" s="16" t="n">
        <x:v>10478</x:v>
      </x:c>
      <x:c r="B1567" s="16" t="n">
        <x:v>1950</x:v>
      </x:c>
      <x:c r="C1567" s="16" t="str">
        <x:v>PhD</x:v>
      </x:c>
      <x:c r="D1567" s="16" t="str">
        <x:v>Married</x:v>
      </x:c>
      <x:c r="E1567" s="16" t="n">
        <x:v>55517</x:v>
      </x:c>
      <x:c r="F1567" s="16" t="n">
        <x:v>1</x:v>
      </x:c>
      <x:c r="G1567" s="16" t="n">
        <x:v>1</x:v>
      </x:c>
      <x:c r="H1567" s="16" t="str">
        <x:v>27-09-2012</x:v>
      </x:c>
      <x:c r="I1567" s="16" t="n">
        <x:v>53</x:v>
      </x:c>
      <x:c r="J1567" s="16" t="n">
        <x:v>483</x:v>
      </x:c>
      <x:c r="K1567" s="16" t="n">
        <x:v>0</x:v>
      </x:c>
      <x:c r="L1567" s="16" t="n">
        <x:v>108</x:v>
      </x:c>
      <x:c r="M1567" s="16" t="n">
        <x:v>0</x:v>
      </x:c>
      <x:c r="N1567" s="16" t="n">
        <x:v>6</x:v>
      </x:c>
      <x:c r="O1567" s="16" t="n">
        <x:v>36</x:v>
      </x:c>
      <x:c r="P1567" s="16" t="n">
        <x:v>5</x:v>
      </x:c>
      <x:c r="Q1567" s="16" t="n">
        <x:v>11</x:v>
      </x:c>
      <x:c r="R1567" s="16" t="n">
        <x:v>1</x:v>
      </x:c>
      <x:c r="S1567" s="16" t="n">
        <x:v>6</x:v>
      </x:c>
      <x:c r="T1567" s="16" t="n">
        <x:v>9</x:v>
      </x:c>
      <x:c r="U1567" s="16" t="n">
        <x:v>0</x:v>
      </x:c>
      <x:c r="V1567" s="16" t="n">
        <x:v>0</x:v>
      </x:c>
      <x:c r="W1567" s="16" t="n">
        <x:v>0</x:v>
      </x:c>
      <x:c r="X1567" s="16" t="n">
        <x:v>0</x:v>
      </x:c>
      <x:c r="Y1567" s="16" t="n">
        <x:v>0</x:v>
      </x:c>
      <x:c r="Z1567" s="16" t="n">
        <x:v>0</x:v>
      </x:c>
      <x:c r="AA1567" s="16" t="n">
        <x:v>3</x:v>
      </x:c>
      <x:c r="AB1567" s="16" t="n">
        <x:v>11</x:v>
      </x:c>
      <x:c r="AC1567" s="16" t="n">
        <x:v>1</x:v>
      </x:c>
      <x:c r="AD1567" s="21" t="n">
        <x:f>IF(E1567="",MEDIAN($E$2:$E$2237),E1567)</x:f>
        <x:v>55517</x:v>
      </x:c>
      <x:c r="AE1567" s="17" t="n">
        <x:f>2014-B1567</x:f>
        <x:v>64</x:v>
      </x:c>
      <x:c r="AF1567" s="17" t="n">
        <x:f>F1567+G1567</x:f>
        <x:v>2</x:v>
      </x:c>
      <x:c r="AG1567" s="21" t="n">
        <x:f>SUM(J1567:O1567)</x:f>
        <x:v>633</x:v>
      </x:c>
      <x:c r="AH1567" s="17" t="n">
        <x:f>SUM(Q1567:S1567)</x:f>
        <x:v>18</x:v>
      </x:c>
      <x:c r="AI1567" s="17" t="n">
        <x:f>SUM(U1567:Y1567)</x:f>
        <x:v>0</x:v>
      </x:c>
      <x:c r="AJ1567" s="17" t="str">
        <x:f>IF(AE1567&lt;=34,"≤34",IF(AE1567&lt;=44,"35–44",IF(AE1567&lt;=54,"45–54",IF(AE1567&lt;=64,"55–64","65+"))))</x:f>
        <x:v>55–64</x:v>
      </x:c>
      <x:c r="AK1567" s="17" t="str">
        <x:f>IF(AG1567&gt;=1000,"High Value",IF(AG1567&gt;=300,"Mid Value","Low Value"))</x:f>
        <x:v>Mid Value</x:v>
      </x:c>
      <x:c r="AL1567" s="17" t="str">
        <x:f>IF(AND(AI1567&gt;=1,I1567&lt;=50),"Priority 1",IF(AND(AG1567&gt;=1000,I1567&lt;=60),"Priority 2",IF(I1567&lt;=30,"Priority 3","Nurture")))</x:f>
        <x:v>Nurture</x:v>
      </x:c>
    </x:row>
    <x:row r="1568">
      <x:c r="A1568" s="16" t="n">
        <x:v>1081</x:v>
      </x:c>
      <x:c r="B1568" s="16" t="n">
        <x:v>1957</x:v>
      </x:c>
      <x:c r="C1568" s="16" t="str">
        <x:v>PhD</x:v>
      </x:c>
      <x:c r="D1568" s="16" t="str">
        <x:v>Married</x:v>
      </x:c>
      <x:c r="E1568" s="16" t="n">
        <x:v>75283</x:v>
      </x:c>
      <x:c r="F1568" s="16" t="n">
        <x:v>1</x:v>
      </x:c>
      <x:c r="G1568" s="16" t="n">
        <x:v>2</x:v>
      </x:c>
      <x:c r="H1568" s="16" t="str">
        <x:v>27-03-2013</x:v>
      </x:c>
      <x:c r="I1568" s="16" t="n">
        <x:v>26</x:v>
      </x:c>
      <x:c r="J1568" s="16" t="n">
        <x:v>733</x:v>
      </x:c>
      <x:c r="K1568" s="16" t="n">
        <x:v>9</x:v>
      </x:c>
      <x:c r="L1568" s="16" t="n">
        <x:v>180</x:v>
      </x:c>
      <x:c r="M1568" s="16" t="n">
        <x:v>12</x:v>
      </x:c>
      <x:c r="N1568" s="16" t="n">
        <x:v>19</x:v>
      </x:c>
      <x:c r="O1568" s="16" t="n">
        <x:v>66</x:v>
      </x:c>
      <x:c r="P1568" s="16" t="n">
        <x:v>11</x:v>
      </x:c>
      <x:c r="Q1568" s="16" t="n">
        <x:v>6</x:v>
      </x:c>
      <x:c r="R1568" s="16" t="n">
        <x:v>3</x:v>
      </x:c>
      <x:c r="S1568" s="16" t="n">
        <x:v>5</x:v>
      </x:c>
      <x:c r="T1568" s="16" t="n">
        <x:v>4</x:v>
      </x:c>
      <x:c r="U1568" s="16" t="n">
        <x:v>0</x:v>
      </x:c>
      <x:c r="V1568" s="16" t="n">
        <x:v>0</x:v>
      </x:c>
      <x:c r="W1568" s="16" t="n">
        <x:v>0</x:v>
      </x:c>
      <x:c r="X1568" s="16" t="n">
        <x:v>0</x:v>
      </x:c>
      <x:c r="Y1568" s="16" t="n">
        <x:v>0</x:v>
      </x:c>
      <x:c r="Z1568" s="16" t="n">
        <x:v>0</x:v>
      </x:c>
      <x:c r="AA1568" s="16" t="n">
        <x:v>3</x:v>
      </x:c>
      <x:c r="AB1568" s="16" t="n">
        <x:v>11</x:v>
      </x:c>
      <x:c r="AC1568" s="16" t="n">
        <x:v>0</x:v>
      </x:c>
      <x:c r="AD1568" s="21" t="n">
        <x:f>IF(E1568="",MEDIAN($E$2:$E$2237),E1568)</x:f>
        <x:v>75283</x:v>
      </x:c>
      <x:c r="AE1568" s="17" t="n">
        <x:f>2014-B1568</x:f>
        <x:v>57</x:v>
      </x:c>
      <x:c r="AF1568" s="17" t="n">
        <x:f>F1568+G1568</x:f>
        <x:v>3</x:v>
      </x:c>
      <x:c r="AG1568" s="21" t="n">
        <x:f>SUM(J1568:O1568)</x:f>
        <x:v>1019</x:v>
      </x:c>
      <x:c r="AH1568" s="17" t="n">
        <x:f>SUM(Q1568:S1568)</x:f>
        <x:v>14</x:v>
      </x:c>
      <x:c r="AI1568" s="17" t="n">
        <x:f>SUM(U1568:Y1568)</x:f>
        <x:v>0</x:v>
      </x:c>
      <x:c r="AJ1568" s="17" t="str">
        <x:f>IF(AE1568&lt;=34,"≤34",IF(AE1568&lt;=44,"35–44",IF(AE1568&lt;=54,"45–54",IF(AE1568&lt;=64,"55–64","65+"))))</x:f>
        <x:v>55–64</x:v>
      </x:c>
      <x:c r="AK1568" s="17" t="str">
        <x:f>IF(AG1568&gt;=1000,"High Value",IF(AG1568&gt;=300,"Mid Value","Low Value"))</x:f>
        <x:v>High Value</x:v>
      </x:c>
      <x:c r="AL1568" s="17" t="str">
        <x:f>IF(AND(AI1568&gt;=1,I1568&lt;=50),"Priority 1",IF(AND(AG1568&gt;=1000,I1568&lt;=60),"Priority 2",IF(I1568&lt;=30,"Priority 3","Nurture")))</x:f>
        <x:v>Priority 2</x:v>
      </x:c>
    </x:row>
    <x:row r="1569">
      <x:c r="A1569" s="16" t="n">
        <x:v>4261</x:v>
      </x:c>
      <x:c r="B1569" s="16" t="n">
        <x:v>1946</x:v>
      </x:c>
      <x:c r="C1569" s="16" t="str">
        <x:v>PhD</x:v>
      </x:c>
      <x:c r="D1569" s="16" t="str">
        <x:v>Single</x:v>
      </x:c>
      <x:c r="E1569" s="16" t="n">
        <x:v>82800</x:v>
      </x:c>
      <x:c r="F1569" s="16" t="n">
        <x:v>0</x:v>
      </x:c>
      <x:c r="G1569" s="16" t="n">
        <x:v>0</x:v>
      </x:c>
      <x:c r="H1569" s="16" t="str">
        <x:v>24-11-2012</x:v>
      </x:c>
      <x:c r="I1569" s="16" t="n">
        <x:v>23</x:v>
      </x:c>
      <x:c r="J1569" s="16" t="n">
        <x:v>1006</x:v>
      </x:c>
      <x:c r="K1569" s="16" t="n">
        <x:v>22</x:v>
      </x:c>
      <x:c r="L1569" s="16" t="n">
        <x:v>115</x:v>
      </x:c>
      <x:c r="M1569" s="16" t="n">
        <x:v>59</x:v>
      </x:c>
      <x:c r="N1569" s="16" t="n">
        <x:v>68</x:v>
      </x:c>
      <x:c r="O1569" s="16" t="n">
        <x:v>45</x:v>
      </x:c>
      <x:c r="P1569" s="16" t="n">
        <x:v>1</x:v>
      </x:c>
      <x:c r="Q1569" s="16" t="n">
        <x:v>7</x:v>
      </x:c>
      <x:c r="R1569" s="16" t="n">
        <x:v>6</x:v>
      </x:c>
      <x:c r="S1569" s="16" t="n">
        <x:v>12</x:v>
      </x:c>
      <x:c r="T1569" s="16" t="n">
        <x:v>3</x:v>
      </x:c>
      <x:c r="U1569" s="16" t="n">
        <x:v>0</x:v>
      </x:c>
      <x:c r="V1569" s="16" t="n">
        <x:v>0</x:v>
      </x:c>
      <x:c r="W1569" s="16" t="n">
        <x:v>1</x:v>
      </x:c>
      <x:c r="X1569" s="16" t="n">
        <x:v>1</x:v>
      </x:c>
      <x:c r="Y1569" s="16" t="n">
        <x:v>0</x:v>
      </x:c>
      <x:c r="Z1569" s="16" t="n">
        <x:v>0</x:v>
      </x:c>
      <x:c r="AA1569" s="16" t="n">
        <x:v>3</x:v>
      </x:c>
      <x:c r="AB1569" s="16" t="n">
        <x:v>11</x:v>
      </x:c>
      <x:c r="AC1569" s="16" t="n">
        <x:v>1</x:v>
      </x:c>
      <x:c r="AD1569" s="21" t="n">
        <x:f>IF(E1569="",MEDIAN($E$2:$E$2237),E1569)</x:f>
        <x:v>82800</x:v>
      </x:c>
      <x:c r="AE1569" s="17" t="n">
        <x:f>2014-B1569</x:f>
        <x:v>68</x:v>
      </x:c>
      <x:c r="AF1569" s="17" t="n">
        <x:f>F1569+G1569</x:f>
        <x:v>0</x:v>
      </x:c>
      <x:c r="AG1569" s="21" t="n">
        <x:f>SUM(J1569:O1569)</x:f>
        <x:v>1315</x:v>
      </x:c>
      <x:c r="AH1569" s="17" t="n">
        <x:f>SUM(Q1569:S1569)</x:f>
        <x:v>25</x:v>
      </x:c>
      <x:c r="AI1569" s="17" t="n">
        <x:f>SUM(U1569:Y1569)</x:f>
        <x:v>2</x:v>
      </x:c>
      <x:c r="AJ1569" s="17" t="str">
        <x:f>IF(AE1569&lt;=34,"≤34",IF(AE1569&lt;=44,"35–44",IF(AE1569&lt;=54,"45–54",IF(AE1569&lt;=64,"55–64","65+"))))</x:f>
        <x:v>65+</x:v>
      </x:c>
      <x:c r="AK1569" s="17" t="str">
        <x:f>IF(AG1569&gt;=1000,"High Value",IF(AG1569&gt;=300,"Mid Value","Low Value"))</x:f>
        <x:v>High Value</x:v>
      </x:c>
      <x:c r="AL1569" s="17" t="str">
        <x:f>IF(AND(AI1569&gt;=1,I1569&lt;=50),"Priority 1",IF(AND(AG1569&gt;=1000,I1569&lt;=60),"Priority 2",IF(I1569&lt;=30,"Priority 3","Nurture")))</x:f>
        <x:v>Priority 1</x:v>
      </x:c>
    </x:row>
    <x:row r="1570">
      <x:c r="A1570" s="16" t="n">
        <x:v>9916</x:v>
      </x:c>
      <x:c r="B1570" s="16" t="n">
        <x:v>1954</x:v>
      </x:c>
      <x:c r="C1570" s="16" t="str">
        <x:v>Graduation</x:v>
      </x:c>
      <x:c r="D1570" s="16" t="str">
        <x:v>Married</x:v>
      </x:c>
      <x:c r="E1570" s="16" t="n">
        <x:v>38998</x:v>
      </x:c>
      <x:c r="F1570" s="16" t="n">
        <x:v>1</x:v>
      </x:c>
      <x:c r="G1570" s="16" t="n">
        <x:v>1</x:v>
      </x:c>
      <x:c r="H1570" s="16" t="str">
        <x:v>03-11-2012</x:v>
      </x:c>
      <x:c r="I1570" s="16" t="n">
        <x:v>92</x:v>
      </x:c>
      <x:c r="J1570" s="16" t="n">
        <x:v>34</x:v>
      </x:c>
      <x:c r="K1570" s="16" t="n">
        <x:v>1</x:v>
      </x:c>
      <x:c r="L1570" s="16" t="n">
        <x:v>14</x:v>
      </x:c>
      <x:c r="M1570" s="16" t="n">
        <x:v>0</x:v>
      </x:c>
      <x:c r="N1570" s="16" t="n">
        <x:v>0</x:v>
      </x:c>
      <x:c r="O1570" s="16" t="n">
        <x:v>5</x:v>
      </x:c>
      <x:c r="P1570" s="16" t="n">
        <x:v>3</x:v>
      </x:c>
      <x:c r="Q1570" s="16" t="n">
        <x:v>2</x:v>
      </x:c>
      <x:c r="R1570" s="16" t="n">
        <x:v>0</x:v>
      </x:c>
      <x:c r="S1570" s="16" t="n">
        <x:v>3</x:v>
      </x:c>
      <x:c r="T1570" s="16" t="n">
        <x:v>8</x:v>
      </x:c>
      <x:c r="U1570" s="16" t="n">
        <x:v>0</x:v>
      </x:c>
      <x:c r="V1570" s="16" t="n">
        <x:v>0</x:v>
      </x:c>
      <x:c r="W1570" s="16" t="n">
        <x:v>0</x:v>
      </x:c>
      <x:c r="X1570" s="16" t="n">
        <x:v>0</x:v>
      </x:c>
      <x:c r="Y1570" s="16" t="n">
        <x:v>0</x:v>
      </x:c>
      <x:c r="Z1570" s="16" t="n">
        <x:v>1</x:v>
      </x:c>
      <x:c r="AA1570" s="16" t="n">
        <x:v>3</x:v>
      </x:c>
      <x:c r="AB1570" s="16" t="n">
        <x:v>11</x:v>
      </x:c>
      <x:c r="AC1570" s="16" t="n">
        <x:v>0</x:v>
      </x:c>
      <x:c r="AD1570" s="21" t="n">
        <x:f>IF(E1570="",MEDIAN($E$2:$E$2237),E1570)</x:f>
        <x:v>38998</x:v>
      </x:c>
      <x:c r="AE1570" s="17" t="n">
        <x:f>2014-B1570</x:f>
        <x:v>60</x:v>
      </x:c>
      <x:c r="AF1570" s="17" t="n">
        <x:f>F1570+G1570</x:f>
        <x:v>2</x:v>
      </x:c>
      <x:c r="AG1570" s="21" t="n">
        <x:f>SUM(J1570:O1570)</x:f>
        <x:v>54</x:v>
      </x:c>
      <x:c r="AH1570" s="17" t="n">
        <x:f>SUM(Q1570:S1570)</x:f>
        <x:v>5</x:v>
      </x:c>
      <x:c r="AI1570" s="17" t="n">
        <x:f>SUM(U1570:Y1570)</x:f>
        <x:v>0</x:v>
      </x:c>
      <x:c r="AJ1570" s="17" t="str">
        <x:f>IF(AE1570&lt;=34,"≤34",IF(AE1570&lt;=44,"35–44",IF(AE1570&lt;=54,"45–54",IF(AE1570&lt;=64,"55–64","65+"))))</x:f>
        <x:v>55–64</x:v>
      </x:c>
      <x:c r="AK1570" s="17" t="str">
        <x:f>IF(AG1570&gt;=1000,"High Value",IF(AG1570&gt;=300,"Mid Value","Low Value"))</x:f>
        <x:v>Low Value</x:v>
      </x:c>
      <x:c r="AL1570" s="17" t="str">
        <x:f>IF(AND(AI1570&gt;=1,I1570&lt;=50),"Priority 1",IF(AND(AG1570&gt;=1000,I1570&lt;=60),"Priority 2",IF(I1570&lt;=30,"Priority 3","Nurture")))</x:f>
        <x:v>Nurture</x:v>
      </x:c>
    </x:row>
    <x:row r="1571">
      <x:c r="A1571" s="16" t="n">
        <x:v>5350</x:v>
      </x:c>
      <x:c r="B1571" s="16" t="n">
        <x:v>1991</x:v>
      </x:c>
      <x:c r="C1571" s="16" t="str">
        <x:v>Master</x:v>
      </x:c>
      <x:c r="D1571" s="16" t="str">
        <x:v>Single</x:v>
      </x:c>
      <x:c r="E1571" s="16" t="n">
        <x:v>90638</x:v>
      </x:c>
      <x:c r="F1571" s="16" t="n">
        <x:v>0</x:v>
      </x:c>
      <x:c r="G1571" s="16" t="n">
        <x:v>0</x:v>
      </x:c>
      <x:c r="H1571" s="16" t="str">
        <x:v>13-02-2014</x:v>
      </x:c>
      <x:c r="I1571" s="16" t="n">
        <x:v>29</x:v>
      </x:c>
      <x:c r="J1571" s="16" t="n">
        <x:v>1156</x:v>
      </x:c>
      <x:c r="K1571" s="16" t="n">
        <x:v>120</x:v>
      </x:c>
      <x:c r="L1571" s="16" t="n">
        <x:v>915</x:v>
      </x:c>
      <x:c r="M1571" s="16" t="n">
        <x:v>94</x:v>
      </x:c>
      <x:c r="N1571" s="16" t="n">
        <x:v>144</x:v>
      </x:c>
      <x:c r="O1571" s="16" t="n">
        <x:v>96</x:v>
      </x:c>
      <x:c r="P1571" s="16" t="n">
        <x:v>1</x:v>
      </x:c>
      <x:c r="Q1571" s="16" t="n">
        <x:v>3</x:v>
      </x:c>
      <x:c r="R1571" s="16" t="n">
        <x:v>4</x:v>
      </x:c>
      <x:c r="S1571" s="16" t="n">
        <x:v>10</x:v>
      </x:c>
      <x:c r="T1571" s="16" t="n">
        <x:v>1</x:v>
      </x:c>
      <x:c r="U1571" s="16" t="n">
        <x:v>0</x:v>
      </x:c>
      <x:c r="V1571" s="16" t="n">
        <x:v>0</x:v>
      </x:c>
      <x:c r="W1571" s="16" t="n">
        <x:v>1</x:v>
      </x:c>
      <x:c r="X1571" s="16" t="n">
        <x:v>0</x:v>
      </x:c>
      <x:c r="Y1571" s="16" t="n">
        <x:v>0</x:v>
      </x:c>
      <x:c r="Z1571" s="16" t="n">
        <x:v>0</x:v>
      </x:c>
      <x:c r="AA1571" s="16" t="n">
        <x:v>3</x:v>
      </x:c>
      <x:c r="AB1571" s="16" t="n">
        <x:v>11</x:v>
      </x:c>
      <x:c r="AC1571" s="16" t="n">
        <x:v>1</x:v>
      </x:c>
      <x:c r="AD1571" s="21" t="n">
        <x:f>IF(E1571="",MEDIAN($E$2:$E$2237),E1571)</x:f>
        <x:v>90638</x:v>
      </x:c>
      <x:c r="AE1571" s="17" t="n">
        <x:f>2014-B1571</x:f>
        <x:v>23</x:v>
      </x:c>
      <x:c r="AF1571" s="17" t="n">
        <x:f>F1571+G1571</x:f>
        <x:v>0</x:v>
      </x:c>
      <x:c r="AG1571" s="21" t="n">
        <x:f>SUM(J1571:O1571)</x:f>
        <x:v>2525</x:v>
      </x:c>
      <x:c r="AH1571" s="17" t="n">
        <x:f>SUM(Q1571:S1571)</x:f>
        <x:v>17</x:v>
      </x:c>
      <x:c r="AI1571" s="17" t="n">
        <x:f>SUM(U1571:Y1571)</x:f>
        <x:v>1</x:v>
      </x:c>
      <x:c r="AJ1571" s="17" t="str">
        <x:f>IF(AE1571&lt;=34,"≤34",IF(AE1571&lt;=44,"35–44",IF(AE1571&lt;=54,"45–54",IF(AE1571&lt;=64,"55–64","65+"))))</x:f>
        <x:v>≤34</x:v>
      </x:c>
      <x:c r="AK1571" s="17" t="str">
        <x:f>IF(AG1571&gt;=1000,"High Value",IF(AG1571&gt;=300,"Mid Value","Low Value"))</x:f>
        <x:v>High Value</x:v>
      </x:c>
      <x:c r="AL1571" s="17" t="str">
        <x:f>IF(AND(AI1571&gt;=1,I1571&lt;=50),"Priority 1",IF(AND(AG1571&gt;=1000,I1571&lt;=60),"Priority 2",IF(I1571&lt;=30,"Priority 3","Nurture")))</x:f>
        <x:v>Priority 1</x:v>
      </x:c>
    </x:row>
    <x:row r="1572">
      <x:c r="A1572" s="16" t="n">
        <x:v>8135</x:v>
      </x:c>
      <x:c r="B1572" s="16" t="n">
        <x:v>1986</x:v>
      </x:c>
      <x:c r="C1572" s="16" t="str">
        <x:v>Master</x:v>
      </x:c>
      <x:c r="D1572" s="16" t="str">
        <x:v>Married</x:v>
      </x:c>
      <x:c r="E1572" s="16" t="n">
        <x:v>27161</x:v>
      </x:c>
      <x:c r="F1572" s="16" t="n">
        <x:v>1</x:v>
      </x:c>
      <x:c r="G1572" s="16" t="n">
        <x:v>0</x:v>
      </x:c>
      <x:c r="H1572" s="16" t="str">
        <x:v>28-10-2013</x:v>
      </x:c>
      <x:c r="I1572" s="16" t="n">
        <x:v>41</x:v>
      </x:c>
      <x:c r="J1572" s="16" t="n">
        <x:v>7</x:v>
      </x:c>
      <x:c r="K1572" s="16" t="n">
        <x:v>4</x:v>
      </x:c>
      <x:c r="L1572" s="16" t="n">
        <x:v>23</x:v>
      </x:c>
      <x:c r="M1572" s="16" t="n">
        <x:v>7</x:v>
      </x:c>
      <x:c r="N1572" s="16" t="n">
        <x:v>0</x:v>
      </x:c>
      <x:c r="O1572" s="16" t="n">
        <x:v>11</x:v>
      </x:c>
      <x:c r="P1572" s="16" t="n">
        <x:v>1</x:v>
      </x:c>
      <x:c r="Q1572" s="16" t="n">
        <x:v>1</x:v>
      </x:c>
      <x:c r="R1572" s="16" t="n">
        <x:v>0</x:v>
      </x:c>
      <x:c r="S1572" s="16" t="n">
        <x:v>3</x:v>
      </x:c>
      <x:c r="T1572" s="16" t="n">
        <x:v>7</x:v>
      </x:c>
      <x:c r="U1572" s="16" t="n">
        <x:v>0</x:v>
      </x:c>
      <x:c r="V1572" s="16" t="n">
        <x:v>0</x:v>
      </x:c>
      <x:c r="W1572" s="16" t="n">
        <x:v>0</x:v>
      </x:c>
      <x:c r="X1572" s="16" t="n">
        <x:v>0</x:v>
      </x:c>
      <x:c r="Y1572" s="16" t="n">
        <x:v>0</x:v>
      </x:c>
      <x:c r="Z1572" s="16" t="n">
        <x:v>0</x:v>
      </x:c>
      <x:c r="AA1572" s="16" t="n">
        <x:v>3</x:v>
      </x:c>
      <x:c r="AB1572" s="16" t="n">
        <x:v>11</x:v>
      </x:c>
      <x:c r="AC1572" s="16" t="n">
        <x:v>0</x:v>
      </x:c>
      <x:c r="AD1572" s="21" t="n">
        <x:f>IF(E1572="",MEDIAN($E$2:$E$2237),E1572)</x:f>
        <x:v>27161</x:v>
      </x:c>
      <x:c r="AE1572" s="17" t="n">
        <x:f>2014-B1572</x:f>
        <x:v>28</x:v>
      </x:c>
      <x:c r="AF1572" s="17" t="n">
        <x:f>F1572+G1572</x:f>
        <x:v>1</x:v>
      </x:c>
      <x:c r="AG1572" s="21" t="n">
        <x:f>SUM(J1572:O1572)</x:f>
        <x:v>52</x:v>
      </x:c>
      <x:c r="AH1572" s="17" t="n">
        <x:f>SUM(Q1572:S1572)</x:f>
        <x:v>4</x:v>
      </x:c>
      <x:c r="AI1572" s="17" t="n">
        <x:f>SUM(U1572:Y1572)</x:f>
        <x:v>0</x:v>
      </x:c>
      <x:c r="AJ1572" s="17" t="str">
        <x:f>IF(AE1572&lt;=34,"≤34",IF(AE1572&lt;=44,"35–44",IF(AE1572&lt;=54,"45–54",IF(AE1572&lt;=64,"55–64","65+"))))</x:f>
        <x:v>≤34</x:v>
      </x:c>
      <x:c r="AK1572" s="17" t="str">
        <x:f>IF(AG1572&gt;=1000,"High Value",IF(AG1572&gt;=300,"Mid Value","Low Value"))</x:f>
        <x:v>Low Value</x:v>
      </x:c>
      <x:c r="AL1572" s="17" t="str">
        <x:f>IF(AND(AI1572&gt;=1,I1572&lt;=50),"Priority 1",IF(AND(AG1572&gt;=1000,I1572&lt;=60),"Priority 2",IF(I1572&lt;=30,"Priority 3","Nurture")))</x:f>
        <x:v>Nurture</x:v>
      </x:c>
    </x:row>
    <x:row r="1573">
      <x:c r="A1573" s="16" t="n">
        <x:v>8685</x:v>
      </x:c>
      <x:c r="B1573" s="16" t="n">
        <x:v>1977</x:v>
      </x:c>
      <x:c r="C1573" s="16" t="str">
        <x:v>Graduation</x:v>
      </x:c>
      <x:c r="D1573" s="16" t="str">
        <x:v>Married</x:v>
      </x:c>
      <x:c r="E1573" s="16" t="n">
        <x:v>42014</x:v>
      </x:c>
      <x:c r="F1573" s="16" t="n">
        <x:v>1</x:v>
      </x:c>
      <x:c r="G1573" s="16" t="n">
        <x:v>0</x:v>
      </x:c>
      <x:c r="H1573" s="16" t="str">
        <x:v>17-08-2012</x:v>
      </x:c>
      <x:c r="I1573" s="16" t="n">
        <x:v>56</x:v>
      </x:c>
      <x:c r="J1573" s="16" t="n">
        <x:v>244</x:v>
      </x:c>
      <x:c r="K1573" s="16" t="n">
        <x:v>15</x:v>
      </x:c>
      <x:c r="L1573" s="16" t="n">
        <x:v>108</x:v>
      </x:c>
      <x:c r="M1573" s="16" t="n">
        <x:v>4</x:v>
      </x:c>
      <x:c r="N1573" s="16" t="n">
        <x:v>15</x:v>
      </x:c>
      <x:c r="O1573" s="16" t="n">
        <x:v>50</x:v>
      </x:c>
      <x:c r="P1573" s="16" t="n">
        <x:v>6</x:v>
      </x:c>
      <x:c r="Q1573" s="16" t="n">
        <x:v>7</x:v>
      </x:c>
      <x:c r="R1573" s="16" t="n">
        <x:v>1</x:v>
      </x:c>
      <x:c r="S1573" s="16" t="n">
        <x:v>6</x:v>
      </x:c>
      <x:c r="T1573" s="16" t="n">
        <x:v>8</x:v>
      </x:c>
      <x:c r="U1573" s="16" t="n">
        <x:v>0</x:v>
      </x:c>
      <x:c r="V1573" s="16" t="n">
        <x:v>0</x:v>
      </x:c>
      <x:c r="W1573" s="16" t="n">
        <x:v>0</x:v>
      </x:c>
      <x:c r="X1573" s="16" t="n">
        <x:v>0</x:v>
      </x:c>
      <x:c r="Y1573" s="16" t="n">
        <x:v>0</x:v>
      </x:c>
      <x:c r="Z1573" s="16" t="n">
        <x:v>0</x:v>
      </x:c>
      <x:c r="AA1573" s="16" t="n">
        <x:v>3</x:v>
      </x:c>
      <x:c r="AB1573" s="16" t="n">
        <x:v>11</x:v>
      </x:c>
      <x:c r="AC1573" s="16" t="n">
        <x:v>1</x:v>
      </x:c>
      <x:c r="AD1573" s="21" t="n">
        <x:f>IF(E1573="",MEDIAN($E$2:$E$2237),E1573)</x:f>
        <x:v>42014</x:v>
      </x:c>
      <x:c r="AE1573" s="17" t="n">
        <x:f>2014-B1573</x:f>
        <x:v>37</x:v>
      </x:c>
      <x:c r="AF1573" s="17" t="n">
        <x:f>F1573+G1573</x:f>
        <x:v>1</x:v>
      </x:c>
      <x:c r="AG1573" s="21" t="n">
        <x:f>SUM(J1573:O1573)</x:f>
        <x:v>436</x:v>
      </x:c>
      <x:c r="AH1573" s="17" t="n">
        <x:f>SUM(Q1573:S1573)</x:f>
        <x:v>14</x:v>
      </x:c>
      <x:c r="AI1573" s="17" t="n">
        <x:f>SUM(U1573:Y1573)</x:f>
        <x:v>0</x:v>
      </x:c>
      <x:c r="AJ1573" s="17" t="str">
        <x:f>IF(AE1573&lt;=34,"≤34",IF(AE1573&lt;=44,"35–44",IF(AE1573&lt;=54,"45–54",IF(AE1573&lt;=64,"55–64","65+"))))</x:f>
        <x:v>35–44</x:v>
      </x:c>
      <x:c r="AK1573" s="17" t="str">
        <x:f>IF(AG1573&gt;=1000,"High Value",IF(AG1573&gt;=300,"Mid Value","Low Value"))</x:f>
        <x:v>Mid Value</x:v>
      </x:c>
      <x:c r="AL1573" s="17" t="str">
        <x:f>IF(AND(AI1573&gt;=1,I1573&lt;=50),"Priority 1",IF(AND(AG1573&gt;=1000,I1573&lt;=60),"Priority 2",IF(I1573&lt;=30,"Priority 3","Nurture")))</x:f>
        <x:v>Nurture</x:v>
      </x:c>
    </x:row>
    <x:row r="1574">
      <x:c r="A1574" s="16" t="n">
        <x:v>4967</x:v>
      </x:c>
      <x:c r="B1574" s="16" t="n">
        <x:v>1960</x:v>
      </x:c>
      <x:c r="C1574" s="16" t="str">
        <x:v>PhD</x:v>
      </x:c>
      <x:c r="D1574" s="16" t="str">
        <x:v>Together</x:v>
      </x:c>
      <x:c r="E1574" s="16" t="n">
        <x:v>38201</x:v>
      </x:c>
      <x:c r="F1574" s="16" t="n">
        <x:v>0</x:v>
      </x:c>
      <x:c r="G1574" s="16" t="n">
        <x:v>1</x:v>
      </x:c>
      <x:c r="H1574" s="16" t="str">
        <x:v>29-03-2013</x:v>
      </x:c>
      <x:c r="I1574" s="16" t="n">
        <x:v>19</x:v>
      </x:c>
      <x:c r="J1574" s="16" t="n">
        <x:v>233</x:v>
      </x:c>
      <x:c r="K1574" s="16" t="n">
        <x:v>0</x:v>
      </x:c>
      <x:c r="L1574" s="16" t="n">
        <x:v>23</x:v>
      </x:c>
      <x:c r="M1574" s="16" t="n">
        <x:v>0</x:v>
      </x:c>
      <x:c r="N1574" s="16" t="n">
        <x:v>0</x:v>
      </x:c>
      <x:c r="O1574" s="16" t="n">
        <x:v>12</x:v>
      </x:c>
      <x:c r="P1574" s="16" t="n">
        <x:v>4</x:v>
      </x:c>
      <x:c r="Q1574" s="16" t="n">
        <x:v>5</x:v>
      </x:c>
      <x:c r="R1574" s="16" t="n">
        <x:v>1</x:v>
      </x:c>
      <x:c r="S1574" s="16" t="n">
        <x:v>5</x:v>
      </x:c>
      <x:c r="T1574" s="16" t="n">
        <x:v>8</x:v>
      </x:c>
      <x:c r="U1574" s="16" t="n">
        <x:v>0</x:v>
      </x:c>
      <x:c r="V1574" s="16" t="n">
        <x:v>0</x:v>
      </x:c>
      <x:c r="W1574" s="16" t="n">
        <x:v>0</x:v>
      </x:c>
      <x:c r="X1574" s="16" t="n">
        <x:v>0</x:v>
      </x:c>
      <x:c r="Y1574" s="16" t="n">
        <x:v>0</x:v>
      </x:c>
      <x:c r="Z1574" s="16" t="n">
        <x:v>0</x:v>
      </x:c>
      <x:c r="AA1574" s="16" t="n">
        <x:v>3</x:v>
      </x:c>
      <x:c r="AB1574" s="16" t="n">
        <x:v>11</x:v>
      </x:c>
      <x:c r="AC1574" s="16" t="n">
        <x:v>0</x:v>
      </x:c>
      <x:c r="AD1574" s="21" t="n">
        <x:f>IF(E1574="",MEDIAN($E$2:$E$2237),E1574)</x:f>
        <x:v>38201</x:v>
      </x:c>
      <x:c r="AE1574" s="17" t="n">
        <x:f>2014-B1574</x:f>
        <x:v>54</x:v>
      </x:c>
      <x:c r="AF1574" s="17" t="n">
        <x:f>F1574+G1574</x:f>
        <x:v>1</x:v>
      </x:c>
      <x:c r="AG1574" s="21" t="n">
        <x:f>SUM(J1574:O1574)</x:f>
        <x:v>268</x:v>
      </x:c>
      <x:c r="AH1574" s="17" t="n">
        <x:f>SUM(Q1574:S1574)</x:f>
        <x:v>11</x:v>
      </x:c>
      <x:c r="AI1574" s="17" t="n">
        <x:f>SUM(U1574:Y1574)</x:f>
        <x:v>0</x:v>
      </x:c>
      <x:c r="AJ1574" s="17" t="str">
        <x:f>IF(AE1574&lt;=34,"≤34",IF(AE1574&lt;=44,"35–44",IF(AE1574&lt;=54,"45–54",IF(AE1574&lt;=64,"55–64","65+"))))</x:f>
        <x:v>45–54</x:v>
      </x:c>
      <x:c r="AK1574" s="17" t="str">
        <x:f>IF(AG1574&gt;=1000,"High Value",IF(AG1574&gt;=300,"Mid Value","Low Value"))</x:f>
        <x:v>Low Value</x:v>
      </x:c>
      <x:c r="AL1574" s="17" t="str">
        <x:f>IF(AND(AI1574&gt;=1,I1574&lt;=50),"Priority 1",IF(AND(AG1574&gt;=1000,I1574&lt;=60),"Priority 2",IF(I1574&lt;=30,"Priority 3","Nurture")))</x:f>
        <x:v>Priority 3</x:v>
      </x:c>
    </x:row>
    <x:row r="1575">
      <x:c r="A1575" s="16" t="n">
        <x:v>2130</x:v>
      </x:c>
      <x:c r="B1575" s="16" t="n">
        <x:v>1982</x:v>
      </x:c>
      <x:c r="C1575" s="16" t="str">
        <x:v>Graduation</x:v>
      </x:c>
      <x:c r="D1575" s="16" t="str">
        <x:v>Together</x:v>
      </x:c>
      <x:c r="E1575" s="16" t="n">
        <x:v>45203</x:v>
      </x:c>
      <x:c r="F1575" s="16" t="n">
        <x:v>2</x:v>
      </x:c>
      <x:c r="G1575" s="16" t="n">
        <x:v>0</x:v>
      </x:c>
      <x:c r="H1575" s="16" t="str">
        <x:v>23-03-2014</x:v>
      </x:c>
      <x:c r="I1575" s="16" t="n">
        <x:v>4</x:v>
      </x:c>
      <x:c r="J1575" s="16" t="n">
        <x:v>35</x:v>
      </x:c>
      <x:c r="K1575" s="16" t="n">
        <x:v>3</x:v>
      </x:c>
      <x:c r="L1575" s="16" t="n">
        <x:v>67</x:v>
      </x:c>
      <x:c r="M1575" s="16" t="n">
        <x:v>10</x:v>
      </x:c>
      <x:c r="N1575" s="16" t="n">
        <x:v>8</x:v>
      </x:c>
      <x:c r="O1575" s="16" t="n">
        <x:v>24</x:v>
      </x:c>
      <x:c r="P1575" s="16" t="n">
        <x:v>1</x:v>
      </x:c>
      <x:c r="Q1575" s="16" t="n">
        <x:v>3</x:v>
      </x:c>
      <x:c r="R1575" s="16" t="n">
        <x:v>1</x:v>
      </x:c>
      <x:c r="S1575" s="16" t="n">
        <x:v>3</x:v>
      </x:c>
      <x:c r="T1575" s="16" t="n">
        <x:v>6</x:v>
      </x:c>
      <x:c r="U1575" s="16" t="n">
        <x:v>0</x:v>
      </x:c>
      <x:c r="V1575" s="16" t="n">
        <x:v>0</x:v>
      </x:c>
      <x:c r="W1575" s="16" t="n">
        <x:v>0</x:v>
      </x:c>
      <x:c r="X1575" s="16" t="n">
        <x:v>0</x:v>
      </x:c>
      <x:c r="Y1575" s="16" t="n">
        <x:v>0</x:v>
      </x:c>
      <x:c r="Z1575" s="16" t="n">
        <x:v>0</x:v>
      </x:c>
      <x:c r="AA1575" s="16" t="n">
        <x:v>3</x:v>
      </x:c>
      <x:c r="AB1575" s="16" t="n">
        <x:v>11</x:v>
      </x:c>
      <x:c r="AC1575" s="16" t="n">
        <x:v>1</x:v>
      </x:c>
      <x:c r="AD1575" s="21" t="n">
        <x:f>IF(E1575="",MEDIAN($E$2:$E$2237),E1575)</x:f>
        <x:v>45203</x:v>
      </x:c>
      <x:c r="AE1575" s="17" t="n">
        <x:f>2014-B1575</x:f>
        <x:v>32</x:v>
      </x:c>
      <x:c r="AF1575" s="17" t="n">
        <x:f>F1575+G1575</x:f>
        <x:v>2</x:v>
      </x:c>
      <x:c r="AG1575" s="21" t="n">
        <x:f>SUM(J1575:O1575)</x:f>
        <x:v>147</x:v>
      </x:c>
      <x:c r="AH1575" s="17" t="n">
        <x:f>SUM(Q1575:S1575)</x:f>
        <x:v>7</x:v>
      </x:c>
      <x:c r="AI1575" s="17" t="n">
        <x:f>SUM(U1575:Y1575)</x:f>
        <x:v>0</x:v>
      </x:c>
      <x:c r="AJ1575" s="17" t="str">
        <x:f>IF(AE1575&lt;=34,"≤34",IF(AE1575&lt;=44,"35–44",IF(AE1575&lt;=54,"45–54",IF(AE1575&lt;=64,"55–64","65+"))))</x:f>
        <x:v>≤34</x:v>
      </x:c>
      <x:c r="AK1575" s="17" t="str">
        <x:f>IF(AG1575&gt;=1000,"High Value",IF(AG1575&gt;=300,"Mid Value","Low Value"))</x:f>
        <x:v>Low Value</x:v>
      </x:c>
      <x:c r="AL1575" s="17" t="str">
        <x:f>IF(AND(AI1575&gt;=1,I1575&lt;=50),"Priority 1",IF(AND(AG1575&gt;=1000,I1575&lt;=60),"Priority 2",IF(I1575&lt;=30,"Priority 3","Nurture")))</x:f>
        <x:v>Priority 3</x:v>
      </x:c>
    </x:row>
    <x:row r="1576">
      <x:c r="A1576" s="16" t="n">
        <x:v>9298</x:v>
      </x:c>
      <x:c r="B1576" s="16" t="n">
        <x:v>1947</x:v>
      </x:c>
      <x:c r="C1576" s="16" t="str">
        <x:v>PhD</x:v>
      </x:c>
      <x:c r="D1576" s="16" t="str">
        <x:v>Together</x:v>
      </x:c>
      <x:c r="E1576" s="16" t="n">
        <x:v>81574</x:v>
      </x:c>
      <x:c r="F1576" s="16" t="n">
        <x:v>0</x:v>
      </x:c>
      <x:c r="G1576" s="16" t="n">
        <x:v>0</x:v>
      </x:c>
      <x:c r="H1576" s="16" t="str">
        <x:v>28-04-2014</x:v>
      </x:c>
      <x:c r="I1576" s="16" t="n">
        <x:v>89</x:v>
      </x:c>
      <x:c r="J1576" s="16" t="n">
        <x:v>1252</x:v>
      </x:c>
      <x:c r="K1576" s="16" t="n">
        <x:v>0</x:v>
      </x:c>
      <x:c r="L1576" s="16" t="n">
        <x:v>465</x:v>
      </x:c>
      <x:c r="M1576" s="16" t="n">
        <x:v>46</x:v>
      </x:c>
      <x:c r="N1576" s="16" t="n">
        <x:v>35</x:v>
      </x:c>
      <x:c r="O1576" s="16" t="n">
        <x:v>0</x:v>
      </x:c>
      <x:c r="P1576" s="16" t="n">
        <x:v>1</x:v>
      </x:c>
      <x:c r="Q1576" s="16" t="n">
        <x:v>4</x:v>
      </x:c>
      <x:c r="R1576" s="16" t="n">
        <x:v>5</x:v>
      </x:c>
      <x:c r="S1576" s="16" t="n">
        <x:v>8</x:v>
      </x:c>
      <x:c r="T1576" s="16" t="n">
        <x:v>1</x:v>
      </x:c>
      <x:c r="U1576" s="16" t="n">
        <x:v>0</x:v>
      </x:c>
      <x:c r="V1576" s="16" t="n">
        <x:v>1</x:v>
      </x:c>
      <x:c r="W1576" s="16" t="n">
        <x:v>1</x:v>
      </x:c>
      <x:c r="X1576" s="16" t="n">
        <x:v>0</x:v>
      </x:c>
      <x:c r="Y1576" s="16" t="n">
        <x:v>0</x:v>
      </x:c>
      <x:c r="Z1576" s="16" t="n">
        <x:v>0</x:v>
      </x:c>
      <x:c r="AA1576" s="16" t="n">
        <x:v>3</x:v>
      </x:c>
      <x:c r="AB1576" s="16" t="n">
        <x:v>11</x:v>
      </x:c>
      <x:c r="AC1576" s="16" t="n">
        <x:v>0</x:v>
      </x:c>
      <x:c r="AD1576" s="21" t="n">
        <x:f>IF(E1576="",MEDIAN($E$2:$E$2237),E1576)</x:f>
        <x:v>81574</x:v>
      </x:c>
      <x:c r="AE1576" s="17" t="n">
        <x:f>2014-B1576</x:f>
        <x:v>67</x:v>
      </x:c>
      <x:c r="AF1576" s="17" t="n">
        <x:f>F1576+G1576</x:f>
        <x:v>0</x:v>
      </x:c>
      <x:c r="AG1576" s="21" t="n">
        <x:f>SUM(J1576:O1576)</x:f>
        <x:v>1798</x:v>
      </x:c>
      <x:c r="AH1576" s="17" t="n">
        <x:f>SUM(Q1576:S1576)</x:f>
        <x:v>17</x:v>
      </x:c>
      <x:c r="AI1576" s="17" t="n">
        <x:f>SUM(U1576:Y1576)</x:f>
        <x:v>2</x:v>
      </x:c>
      <x:c r="AJ1576" s="17" t="str">
        <x:f>IF(AE1576&lt;=34,"≤34",IF(AE1576&lt;=44,"35–44",IF(AE1576&lt;=54,"45–54",IF(AE1576&lt;=64,"55–64","65+"))))</x:f>
        <x:v>65+</x:v>
      </x:c>
      <x:c r="AK1576" s="17" t="str">
        <x:f>IF(AG1576&gt;=1000,"High Value",IF(AG1576&gt;=300,"Mid Value","Low Value"))</x:f>
        <x:v>High Value</x:v>
      </x:c>
      <x:c r="AL1576" s="17" t="str">
        <x:f>IF(AND(AI1576&gt;=1,I1576&lt;=50),"Priority 1",IF(AND(AG1576&gt;=1000,I1576&lt;=60),"Priority 2",IF(I1576&lt;=30,"Priority 3","Nurture")))</x:f>
        <x:v>Nurture</x:v>
      </x:c>
    </x:row>
    <x:row r="1577">
      <x:c r="A1577" s="16" t="n">
        <x:v>8175</x:v>
      </x:c>
      <x:c r="B1577" s="16" t="n">
        <x:v>1992</x:v>
      </x:c>
      <x:c r="C1577" s="16" t="str">
        <x:v>Graduation</x:v>
      </x:c>
      <x:c r="D1577" s="16" t="str">
        <x:v>Married</x:v>
      </x:c>
      <x:c r="E1577" s="16" t="n">
        <x:v>34935</x:v>
      </x:c>
      <x:c r="F1577" s="16" t="n">
        <x:v>0</x:v>
      </x:c>
      <x:c r="G1577" s="16" t="n">
        <x:v>0</x:v>
      </x:c>
      <x:c r="H1577" s="16" t="str">
        <x:v>21-06-2013</x:v>
      </x:c>
      <x:c r="I1577" s="16" t="n">
        <x:v>71</x:v>
      </x:c>
      <x:c r="J1577" s="16" t="n">
        <x:v>34</x:v>
      </x:c>
      <x:c r="K1577" s="16" t="n">
        <x:v>4</x:v>
      </x:c>
      <x:c r="L1577" s="16" t="n">
        <x:v>66</x:v>
      </x:c>
      <x:c r="M1577" s="16" t="n">
        <x:v>3</x:v>
      </x:c>
      <x:c r="N1577" s="16" t="n">
        <x:v>10</x:v>
      </x:c>
      <x:c r="O1577" s="16" t="n">
        <x:v>20</x:v>
      </x:c>
      <x:c r="P1577" s="16" t="n">
        <x:v>1</x:v>
      </x:c>
      <x:c r="Q1577" s="16" t="n">
        <x:v>2</x:v>
      </x:c>
      <x:c r="R1577" s="16" t="n">
        <x:v>1</x:v>
      </x:c>
      <x:c r="S1577" s="16" t="n">
        <x:v>4</x:v>
      </x:c>
      <x:c r="T1577" s="16" t="n">
        <x:v>7</x:v>
      </x:c>
      <x:c r="U1577" s="16" t="n">
        <x:v>0</x:v>
      </x:c>
      <x:c r="V1577" s="16" t="n">
        <x:v>0</x:v>
      </x:c>
      <x:c r="W1577" s="16" t="n">
        <x:v>0</x:v>
      </x:c>
      <x:c r="X1577" s="16" t="n">
        <x:v>0</x:v>
      </x:c>
      <x:c r="Y1577" s="16" t="n">
        <x:v>0</x:v>
      </x:c>
      <x:c r="Z1577" s="16" t="n">
        <x:v>0</x:v>
      </x:c>
      <x:c r="AA1577" s="16" t="n">
        <x:v>3</x:v>
      </x:c>
      <x:c r="AB1577" s="16" t="n">
        <x:v>11</x:v>
      </x:c>
      <x:c r="AC1577" s="16" t="n">
        <x:v>0</x:v>
      </x:c>
      <x:c r="AD1577" s="21" t="n">
        <x:f>IF(E1577="",MEDIAN($E$2:$E$2237),E1577)</x:f>
        <x:v>34935</x:v>
      </x:c>
      <x:c r="AE1577" s="17" t="n">
        <x:f>2014-B1577</x:f>
        <x:v>22</x:v>
      </x:c>
      <x:c r="AF1577" s="17" t="n">
        <x:f>F1577+G1577</x:f>
        <x:v>0</x:v>
      </x:c>
      <x:c r="AG1577" s="21" t="n">
        <x:f>SUM(J1577:O1577)</x:f>
        <x:v>137</x:v>
      </x:c>
      <x:c r="AH1577" s="17" t="n">
        <x:f>SUM(Q1577:S1577)</x:f>
        <x:v>7</x:v>
      </x:c>
      <x:c r="AI1577" s="17" t="n">
        <x:f>SUM(U1577:Y1577)</x:f>
        <x:v>0</x:v>
      </x:c>
      <x:c r="AJ1577" s="17" t="str">
        <x:f>IF(AE1577&lt;=34,"≤34",IF(AE1577&lt;=44,"35–44",IF(AE1577&lt;=54,"45–54",IF(AE1577&lt;=64,"55–64","65+"))))</x:f>
        <x:v>≤34</x:v>
      </x:c>
      <x:c r="AK1577" s="17" t="str">
        <x:f>IF(AG1577&gt;=1000,"High Value",IF(AG1577&gt;=300,"Mid Value","Low Value"))</x:f>
        <x:v>Low Value</x:v>
      </x:c>
      <x:c r="AL1577" s="17" t="str">
        <x:f>IF(AND(AI1577&gt;=1,I1577&lt;=50),"Priority 1",IF(AND(AG1577&gt;=1000,I1577&lt;=60),"Priority 2",IF(I1577&lt;=30,"Priority 3","Nurture")))</x:f>
        <x:v>Nurture</x:v>
      </x:c>
    </x:row>
    <x:row r="1578">
      <x:c r="A1578" s="16" t="n">
        <x:v>6257</x:v>
      </x:c>
      <x:c r="B1578" s="16" t="n">
        <x:v>1976</x:v>
      </x:c>
      <x:c r="C1578" s="16" t="str">
        <x:v>Master</x:v>
      </x:c>
      <x:c r="D1578" s="16" t="str">
        <x:v>Single</x:v>
      </x:c>
      <x:c r="E1578" s="16" t="n">
        <x:v>60482</x:v>
      </x:c>
      <x:c r="F1578" s="16" t="n">
        <x:v>0</x:v>
      </x:c>
      <x:c r="G1578" s="16" t="n">
        <x:v>1</x:v>
      </x:c>
      <x:c r="H1578" s="16" t="str">
        <x:v>23-01-2013</x:v>
      </x:c>
      <x:c r="I1578" s="16" t="n">
        <x:v>81</x:v>
      </x:c>
      <x:c r="J1578" s="16" t="n">
        <x:v>255</x:v>
      </x:c>
      <x:c r="K1578" s="16" t="n">
        <x:v>43</x:v>
      </x:c>
      <x:c r="L1578" s="16" t="n">
        <x:v>134</x:v>
      </x:c>
      <x:c r="M1578" s="16" t="n">
        <x:v>37</x:v>
      </x:c>
      <x:c r="N1578" s="16" t="n">
        <x:v>14</x:v>
      </x:c>
      <x:c r="O1578" s="16" t="n">
        <x:v>24</x:v>
      </x:c>
      <x:c r="P1578" s="16" t="n">
        <x:v>1</x:v>
      </x:c>
      <x:c r="Q1578" s="16" t="n">
        <x:v>7</x:v>
      </x:c>
      <x:c r="R1578" s="16" t="n">
        <x:v>2</x:v>
      </x:c>
      <x:c r="S1578" s="16" t="n">
        <x:v>7</x:v>
      </x:c>
      <x:c r="T1578" s="16" t="n">
        <x:v>7</x:v>
      </x:c>
      <x:c r="U1578" s="16" t="n">
        <x:v>0</x:v>
      </x:c>
      <x:c r="V1578" s="16" t="n">
        <x:v>0</x:v>
      </x:c>
      <x:c r="W1578" s="16" t="n">
        <x:v>0</x:v>
      </x:c>
      <x:c r="X1578" s="16" t="n">
        <x:v>0</x:v>
      </x:c>
      <x:c r="Y1578" s="16" t="n">
        <x:v>0</x:v>
      </x:c>
      <x:c r="Z1578" s="16" t="n">
        <x:v>0</x:v>
      </x:c>
      <x:c r="AA1578" s="16" t="n">
        <x:v>3</x:v>
      </x:c>
      <x:c r="AB1578" s="16" t="n">
        <x:v>11</x:v>
      </x:c>
      <x:c r="AC1578" s="16" t="n">
        <x:v>0</x:v>
      </x:c>
      <x:c r="AD1578" s="21" t="n">
        <x:f>IF(E1578="",MEDIAN($E$2:$E$2237),E1578)</x:f>
        <x:v>60482</x:v>
      </x:c>
      <x:c r="AE1578" s="17" t="n">
        <x:f>2014-B1578</x:f>
        <x:v>38</x:v>
      </x:c>
      <x:c r="AF1578" s="17" t="n">
        <x:f>F1578+G1578</x:f>
        <x:v>1</x:v>
      </x:c>
      <x:c r="AG1578" s="21" t="n">
        <x:f>SUM(J1578:O1578)</x:f>
        <x:v>507</x:v>
      </x:c>
      <x:c r="AH1578" s="17" t="n">
        <x:f>SUM(Q1578:S1578)</x:f>
        <x:v>16</x:v>
      </x:c>
      <x:c r="AI1578" s="17" t="n">
        <x:f>SUM(U1578:Y1578)</x:f>
        <x:v>0</x:v>
      </x:c>
      <x:c r="AJ1578" s="17" t="str">
        <x:f>IF(AE1578&lt;=34,"≤34",IF(AE1578&lt;=44,"35–44",IF(AE1578&lt;=54,"45–54",IF(AE1578&lt;=64,"55–64","65+"))))</x:f>
        <x:v>35–44</x:v>
      </x:c>
      <x:c r="AK1578" s="17" t="str">
        <x:f>IF(AG1578&gt;=1000,"High Value",IF(AG1578&gt;=300,"Mid Value","Low Value"))</x:f>
        <x:v>Mid Value</x:v>
      </x:c>
      <x:c r="AL1578" s="17" t="str">
        <x:f>IF(AND(AI1578&gt;=1,I1578&lt;=50),"Priority 1",IF(AND(AG1578&gt;=1000,I1578&lt;=60),"Priority 2",IF(I1578&lt;=30,"Priority 3","Nurture")))</x:f>
        <x:v>Nurture</x:v>
      </x:c>
    </x:row>
    <x:row r="1579">
      <x:c r="A1579" s="16" t="n">
        <x:v>3790</x:v>
      </x:c>
      <x:c r="B1579" s="16" t="n">
        <x:v>1956</x:v>
      </x:c>
      <x:c r="C1579" s="16" t="str">
        <x:v>Graduation</x:v>
      </x:c>
      <x:c r="D1579" s="16" t="str">
        <x:v>Together</x:v>
      </x:c>
      <x:c r="E1579" s="16" t="n">
        <x:v>34633</x:v>
      </x:c>
      <x:c r="F1579" s="16" t="n">
        <x:v>2</x:v>
      </x:c>
      <x:c r="G1579" s="16" t="n">
        <x:v>1</x:v>
      </x:c>
      <x:c r="H1579" s="16" t="str">
        <x:v>23-01-2014</x:v>
      </x:c>
      <x:c r="I1579" s="16" t="n">
        <x:v>31</x:v>
      </x:c>
      <x:c r="J1579" s="16" t="n">
        <x:v>8</x:v>
      </x:c>
      <x:c r="K1579" s="16" t="n">
        <x:v>1</x:v>
      </x:c>
      <x:c r="L1579" s="16" t="n">
        <x:v>5</x:v>
      </x:c>
      <x:c r="M1579" s="16" t="n">
        <x:v>0</x:v>
      </x:c>
      <x:c r="N1579" s="16" t="n">
        <x:v>0</x:v>
      </x:c>
      <x:c r="O1579" s="16" t="n">
        <x:v>1</x:v>
      </x:c>
      <x:c r="P1579" s="16" t="n">
        <x:v>1</x:v>
      </x:c>
      <x:c r="Q1579" s="16" t="n">
        <x:v>1</x:v>
      </x:c>
      <x:c r="R1579" s="16" t="n">
        <x:v>0</x:v>
      </x:c>
      <x:c r="S1579" s="16" t="n">
        <x:v>2</x:v>
      </x:c>
      <x:c r="T1579" s="16" t="n">
        <x:v>6</x:v>
      </x:c>
      <x:c r="U1579" s="16" t="n">
        <x:v>0</x:v>
      </x:c>
      <x:c r="V1579" s="16" t="n">
        <x:v>0</x:v>
      </x:c>
      <x:c r="W1579" s="16" t="n">
        <x:v>0</x:v>
      </x:c>
      <x:c r="X1579" s="16" t="n">
        <x:v>0</x:v>
      </x:c>
      <x:c r="Y1579" s="16" t="n">
        <x:v>0</x:v>
      </x:c>
      <x:c r="Z1579" s="16" t="n">
        <x:v>0</x:v>
      </x:c>
      <x:c r="AA1579" s="16" t="n">
        <x:v>3</x:v>
      </x:c>
      <x:c r="AB1579" s="16" t="n">
        <x:v>11</x:v>
      </x:c>
      <x:c r="AC1579" s="16" t="n">
        <x:v>0</x:v>
      </x:c>
      <x:c r="AD1579" s="21" t="n">
        <x:f>IF(E1579="",MEDIAN($E$2:$E$2237),E1579)</x:f>
        <x:v>34633</x:v>
      </x:c>
      <x:c r="AE1579" s="17" t="n">
        <x:f>2014-B1579</x:f>
        <x:v>58</x:v>
      </x:c>
      <x:c r="AF1579" s="17" t="n">
        <x:f>F1579+G1579</x:f>
        <x:v>3</x:v>
      </x:c>
      <x:c r="AG1579" s="21" t="n">
        <x:f>SUM(J1579:O1579)</x:f>
        <x:v>15</x:v>
      </x:c>
      <x:c r="AH1579" s="17" t="n">
        <x:f>SUM(Q1579:S1579)</x:f>
        <x:v>3</x:v>
      </x:c>
      <x:c r="AI1579" s="17" t="n">
        <x:f>SUM(U1579:Y1579)</x:f>
        <x:v>0</x:v>
      </x:c>
      <x:c r="AJ1579" s="17" t="str">
        <x:f>IF(AE1579&lt;=34,"≤34",IF(AE1579&lt;=44,"35–44",IF(AE1579&lt;=54,"45–54",IF(AE1579&lt;=64,"55–64","65+"))))</x:f>
        <x:v>55–64</x:v>
      </x:c>
      <x:c r="AK1579" s="17" t="str">
        <x:f>IF(AG1579&gt;=1000,"High Value",IF(AG1579&gt;=300,"Mid Value","Low Value"))</x:f>
        <x:v>Low Value</x:v>
      </x:c>
      <x:c r="AL1579" s="17" t="str">
        <x:f>IF(AND(AI1579&gt;=1,I1579&lt;=50),"Priority 1",IF(AND(AG1579&gt;=1000,I1579&lt;=60),"Priority 2",IF(I1579&lt;=30,"Priority 3","Nurture")))</x:f>
        <x:v>Nurture</x:v>
      </x:c>
    </x:row>
    <x:row r="1580">
      <x:c r="A1580" s="16" t="n">
        <x:v>9952</x:v>
      </x:c>
      <x:c r="B1580" s="16" t="n">
        <x:v>1947</x:v>
      </x:c>
      <x:c r="C1580" s="16" t="str">
        <x:v>Master</x:v>
      </x:c>
      <x:c r="D1580" s="16" t="str">
        <x:v>Together</x:v>
      </x:c>
      <x:c r="E1580" s="16" t="n">
        <x:v>78093</x:v>
      </x:c>
      <x:c r="F1580" s="16" t="n">
        <x:v>0</x:v>
      </x:c>
      <x:c r="G1580" s="16" t="n">
        <x:v>0</x:v>
      </x:c>
      <x:c r="H1580" s="16" t="str">
        <x:v>11-12-2013</x:v>
      </x:c>
      <x:c r="I1580" s="16" t="n">
        <x:v>53</x:v>
      </x:c>
      <x:c r="J1580" s="16" t="n">
        <x:v>368</x:v>
      </x:c>
      <x:c r="K1580" s="16" t="n">
        <x:v>32</x:v>
      </x:c>
      <x:c r="L1580" s="16" t="n">
        <x:v>639</x:v>
      </x:c>
      <x:c r="M1580" s="16" t="n">
        <x:v>13</x:v>
      </x:c>
      <x:c r="N1580" s="16" t="n">
        <x:v>43</x:v>
      </x:c>
      <x:c r="O1580" s="16" t="n">
        <x:v>10</x:v>
      </x:c>
      <x:c r="P1580" s="16" t="n">
        <x:v>1</x:v>
      </x:c>
      <x:c r="Q1580" s="16" t="n">
        <x:v>4</x:v>
      </x:c>
      <x:c r="R1580" s="16" t="n">
        <x:v>7</x:v>
      </x:c>
      <x:c r="S1580" s="16" t="n">
        <x:v>5</x:v>
      </x:c>
      <x:c r="T1580" s="16" t="n">
        <x:v>1</x:v>
      </x:c>
      <x:c r="U1580" s="16" t="n">
        <x:v>0</x:v>
      </x:c>
      <x:c r="V1580" s="16" t="n">
        <x:v>0</x:v>
      </x:c>
      <x:c r="W1580" s="16" t="n">
        <x:v>0</x:v>
      </x:c>
      <x:c r="X1580" s="16" t="n">
        <x:v>0</x:v>
      </x:c>
      <x:c r="Y1580" s="16" t="n">
        <x:v>0</x:v>
      </x:c>
      <x:c r="Z1580" s="16" t="n">
        <x:v>0</x:v>
      </x:c>
      <x:c r="AA1580" s="16" t="n">
        <x:v>3</x:v>
      </x:c>
      <x:c r="AB1580" s="16" t="n">
        <x:v>11</x:v>
      </x:c>
      <x:c r="AC1580" s="16" t="n">
        <x:v>0</x:v>
      </x:c>
      <x:c r="AD1580" s="21" t="n">
        <x:f>IF(E1580="",MEDIAN($E$2:$E$2237),E1580)</x:f>
        <x:v>78093</x:v>
      </x:c>
      <x:c r="AE1580" s="17" t="n">
        <x:f>2014-B1580</x:f>
        <x:v>67</x:v>
      </x:c>
      <x:c r="AF1580" s="17" t="n">
        <x:f>F1580+G1580</x:f>
        <x:v>0</x:v>
      </x:c>
      <x:c r="AG1580" s="21" t="n">
        <x:f>SUM(J1580:O1580)</x:f>
        <x:v>1105</x:v>
      </x:c>
      <x:c r="AH1580" s="17" t="n">
        <x:f>SUM(Q1580:S1580)</x:f>
        <x:v>16</x:v>
      </x:c>
      <x:c r="AI1580" s="17" t="n">
        <x:f>SUM(U1580:Y1580)</x:f>
        <x:v>0</x:v>
      </x:c>
      <x:c r="AJ1580" s="17" t="str">
        <x:f>IF(AE1580&lt;=34,"≤34",IF(AE1580&lt;=44,"35–44",IF(AE1580&lt;=54,"45–54",IF(AE1580&lt;=64,"55–64","65+"))))</x:f>
        <x:v>65+</x:v>
      </x:c>
      <x:c r="AK1580" s="17" t="str">
        <x:f>IF(AG1580&gt;=1000,"High Value",IF(AG1580&gt;=300,"Mid Value","Low Value"))</x:f>
        <x:v>High Value</x:v>
      </x:c>
      <x:c r="AL1580" s="17" t="str">
        <x:f>IF(AND(AI1580&gt;=1,I1580&lt;=50),"Priority 1",IF(AND(AG1580&gt;=1000,I1580&lt;=60),"Priority 2",IF(I1580&lt;=30,"Priority 3","Nurture")))</x:f>
        <x:v>Priority 2</x:v>
      </x:c>
    </x:row>
    <x:row r="1581">
      <x:c r="A1581" s="16" t="n">
        <x:v>3503</x:v>
      </x:c>
      <x:c r="B1581" s="16" t="n">
        <x:v>1950</x:v>
      </x:c>
      <x:c r="C1581" s="16" t="str">
        <x:v>Graduation</x:v>
      </x:c>
      <x:c r="D1581" s="16" t="str">
        <x:v>Divorced</x:v>
      </x:c>
      <x:c r="E1581" s="16" t="n">
        <x:v>82460</x:v>
      </x:c>
      <x:c r="F1581" s="16" t="n">
        <x:v>0</x:v>
      </x:c>
      <x:c r="G1581" s="16" t="n">
        <x:v>0</x:v>
      </x:c>
      <x:c r="H1581" s="16" t="str">
        <x:v>02-12-2013</x:v>
      </x:c>
      <x:c r="I1581" s="16" t="n">
        <x:v>78</x:v>
      </x:c>
      <x:c r="J1581" s="16" t="n">
        <x:v>255</x:v>
      </x:c>
      <x:c r="K1581" s="16" t="n">
        <x:v>47</x:v>
      </x:c>
      <x:c r="L1581" s="16" t="n">
        <x:v>573</x:v>
      </x:c>
      <x:c r="M1581" s="16" t="n">
        <x:v>52</x:v>
      </x:c>
      <x:c r="N1581" s="16" t="n">
        <x:v>32</x:v>
      </x:c>
      <x:c r="O1581" s="16" t="n">
        <x:v>15</x:v>
      </x:c>
      <x:c r="P1581" s="16" t="n">
        <x:v>1</x:v>
      </x:c>
      <x:c r="Q1581" s="16" t="n">
        <x:v>5</x:v>
      </x:c>
      <x:c r="R1581" s="16" t="n">
        <x:v>3</x:v>
      </x:c>
      <x:c r="S1581" s="16" t="n">
        <x:v>6</x:v>
      </x:c>
      <x:c r="T1581" s="16" t="n">
        <x:v>1</x:v>
      </x:c>
      <x:c r="U1581" s="16" t="n">
        <x:v>0</x:v>
      </x:c>
      <x:c r="V1581" s="16" t="n">
        <x:v>0</x:v>
      </x:c>
      <x:c r="W1581" s="16" t="n">
        <x:v>0</x:v>
      </x:c>
      <x:c r="X1581" s="16" t="n">
        <x:v>0</x:v>
      </x:c>
      <x:c r="Y1581" s="16" t="n">
        <x:v>0</x:v>
      </x:c>
      <x:c r="Z1581" s="16" t="n">
        <x:v>0</x:v>
      </x:c>
      <x:c r="AA1581" s="16" t="n">
        <x:v>3</x:v>
      </x:c>
      <x:c r="AB1581" s="16" t="n">
        <x:v>11</x:v>
      </x:c>
      <x:c r="AC1581" s="16" t="n">
        <x:v>0</x:v>
      </x:c>
      <x:c r="AD1581" s="21" t="n">
        <x:f>IF(E1581="",MEDIAN($E$2:$E$2237),E1581)</x:f>
        <x:v>82460</x:v>
      </x:c>
      <x:c r="AE1581" s="17" t="n">
        <x:f>2014-B1581</x:f>
        <x:v>64</x:v>
      </x:c>
      <x:c r="AF1581" s="17" t="n">
        <x:f>F1581+G1581</x:f>
        <x:v>0</x:v>
      </x:c>
      <x:c r="AG1581" s="21" t="n">
        <x:f>SUM(J1581:O1581)</x:f>
        <x:v>974</x:v>
      </x:c>
      <x:c r="AH1581" s="17" t="n">
        <x:f>SUM(Q1581:S1581)</x:f>
        <x:v>14</x:v>
      </x:c>
      <x:c r="AI1581" s="17" t="n">
        <x:f>SUM(U1581:Y1581)</x:f>
        <x:v>0</x:v>
      </x:c>
      <x:c r="AJ1581" s="17" t="str">
        <x:f>IF(AE1581&lt;=34,"≤34",IF(AE1581&lt;=44,"35–44",IF(AE1581&lt;=54,"45–54",IF(AE1581&lt;=64,"55–64","65+"))))</x:f>
        <x:v>55–64</x:v>
      </x:c>
      <x:c r="AK1581" s="17" t="str">
        <x:f>IF(AG1581&gt;=1000,"High Value",IF(AG1581&gt;=300,"Mid Value","Low Value"))</x:f>
        <x:v>Mid Value</x:v>
      </x:c>
      <x:c r="AL1581" s="17" t="str">
        <x:f>IF(AND(AI1581&gt;=1,I1581&lt;=50),"Priority 1",IF(AND(AG1581&gt;=1000,I1581&lt;=60),"Priority 2",IF(I1581&lt;=30,"Priority 3","Nurture")))</x:f>
        <x:v>Nurture</x:v>
      </x:c>
    </x:row>
    <x:row r="1582">
      <x:c r="A1582" s="16" t="n">
        <x:v>5223</x:v>
      </x:c>
      <x:c r="B1582" s="16" t="n">
        <x:v>1966</x:v>
      </x:c>
      <x:c r="C1582" s="16" t="str">
        <x:v>Master</x:v>
      </x:c>
      <x:c r="D1582" s="16" t="str">
        <x:v>Together</x:v>
      </x:c>
      <x:c r="E1582" s="16" t="n">
        <x:v>45903</x:v>
      </x:c>
      <x:c r="F1582" s="16" t="n">
        <x:v>0</x:v>
      </x:c>
      <x:c r="G1582" s="16" t="n">
        <x:v>1</x:v>
      </x:c>
      <x:c r="H1582" s="16" t="str">
        <x:v>23-04-2014</x:v>
      </x:c>
      <x:c r="I1582" s="16" t="n">
        <x:v>80</x:v>
      </x:c>
      <x:c r="J1582" s="16" t="n">
        <x:v>33</x:v>
      </x:c>
      <x:c r="K1582" s="16" t="n">
        <x:v>8</x:v>
      </x:c>
      <x:c r="L1582" s="16" t="n">
        <x:v>10</x:v>
      </x:c>
      <x:c r="M1582" s="16" t="n">
        <x:v>2</x:v>
      </x:c>
      <x:c r="N1582" s="16" t="n">
        <x:v>10</x:v>
      </x:c>
      <x:c r="O1582" s="16" t="n">
        <x:v>3</x:v>
      </x:c>
      <x:c r="P1582" s="16" t="n">
        <x:v>2</x:v>
      </x:c>
      <x:c r="Q1582" s="16" t="n">
        <x:v>2</x:v>
      </x:c>
      <x:c r="R1582" s="16" t="n">
        <x:v>1</x:v>
      </x:c>
      <x:c r="S1582" s="16" t="n">
        <x:v>3</x:v>
      </x:c>
      <x:c r="T1582" s="16" t="n">
        <x:v>4</x:v>
      </x:c>
      <x:c r="U1582" s="16" t="n">
        <x:v>0</x:v>
      </x:c>
      <x:c r="V1582" s="16" t="n">
        <x:v>0</x:v>
      </x:c>
      <x:c r="W1582" s="16" t="n">
        <x:v>0</x:v>
      </x:c>
      <x:c r="X1582" s="16" t="n">
        <x:v>0</x:v>
      </x:c>
      <x:c r="Y1582" s="16" t="n">
        <x:v>0</x:v>
      </x:c>
      <x:c r="Z1582" s="16" t="n">
        <x:v>0</x:v>
      </x:c>
      <x:c r="AA1582" s="16" t="n">
        <x:v>3</x:v>
      </x:c>
      <x:c r="AB1582" s="16" t="n">
        <x:v>11</x:v>
      </x:c>
      <x:c r="AC1582" s="16" t="n">
        <x:v>0</x:v>
      </x:c>
      <x:c r="AD1582" s="21" t="n">
        <x:f>IF(E1582="",MEDIAN($E$2:$E$2237),E1582)</x:f>
        <x:v>45903</x:v>
      </x:c>
      <x:c r="AE1582" s="17" t="n">
        <x:f>2014-B1582</x:f>
        <x:v>48</x:v>
      </x:c>
      <x:c r="AF1582" s="17" t="n">
        <x:f>F1582+G1582</x:f>
        <x:v>1</x:v>
      </x:c>
      <x:c r="AG1582" s="21" t="n">
        <x:f>SUM(J1582:O1582)</x:f>
        <x:v>66</x:v>
      </x:c>
      <x:c r="AH1582" s="17" t="n">
        <x:f>SUM(Q1582:S1582)</x:f>
        <x:v>6</x:v>
      </x:c>
      <x:c r="AI1582" s="17" t="n">
        <x:f>SUM(U1582:Y1582)</x:f>
        <x:v>0</x:v>
      </x:c>
      <x:c r="AJ1582" s="17" t="str">
        <x:f>IF(AE1582&lt;=34,"≤34",IF(AE1582&lt;=44,"35–44",IF(AE1582&lt;=54,"45–54",IF(AE1582&lt;=64,"55–64","65+"))))</x:f>
        <x:v>45–54</x:v>
      </x:c>
      <x:c r="AK1582" s="17" t="str">
        <x:f>IF(AG1582&gt;=1000,"High Value",IF(AG1582&gt;=300,"Mid Value","Low Value"))</x:f>
        <x:v>Low Value</x:v>
      </x:c>
      <x:c r="AL1582" s="17" t="str">
        <x:f>IF(AND(AI1582&gt;=1,I1582&lt;=50),"Priority 1",IF(AND(AG1582&gt;=1000,I1582&lt;=60),"Priority 2",IF(I1582&lt;=30,"Priority 3","Nurture")))</x:f>
        <x:v>Nurture</x:v>
      </x:c>
    </x:row>
    <x:row r="1583">
      <x:c r="A1583" s="16" t="n">
        <x:v>4608</x:v>
      </x:c>
      <x:c r="B1583" s="16" t="n">
        <x:v>1987</x:v>
      </x:c>
      <x:c r="C1583" s="16" t="str">
        <x:v>Graduation</x:v>
      </x:c>
      <x:c r="D1583" s="16" t="str">
        <x:v>Divorced</x:v>
      </x:c>
      <x:c r="E1583" s="16" t="n">
        <x:v>81361</x:v>
      </x:c>
      <x:c r="F1583" s="16" t="n">
        <x:v>0</x:v>
      </x:c>
      <x:c r="G1583" s="16" t="n">
        <x:v>0</x:v>
      </x:c>
      <x:c r="H1583" s="16" t="str">
        <x:v>25-02-2014</x:v>
      </x:c>
      <x:c r="I1583" s="16" t="n">
        <x:v>18</x:v>
      </x:c>
      <x:c r="J1583" s="16" t="n">
        <x:v>163</x:v>
      </x:c>
      <x:c r="K1583" s="16" t="n">
        <x:v>23</x:v>
      </x:c>
      <x:c r="L1583" s="16" t="n">
        <x:v>424</x:v>
      </x:c>
      <x:c r="M1583" s="16" t="n">
        <x:v>27</x:v>
      </x:c>
      <x:c r="N1583" s="16" t="n">
        <x:v>65</x:v>
      </x:c>
      <x:c r="O1583" s="16" t="n">
        <x:v>76</x:v>
      </x:c>
      <x:c r="P1583" s="16" t="n">
        <x:v>1</x:v>
      </x:c>
      <x:c r="Q1583" s="16" t="n">
        <x:v>3</x:v>
      </x:c>
      <x:c r="R1583" s="16" t="n">
        <x:v>10</x:v>
      </x:c>
      <x:c r="S1583" s="16" t="n">
        <x:v>13</x:v>
      </x:c>
      <x:c r="T1583" s="16" t="n">
        <x:v>1</x:v>
      </x:c>
      <x:c r="U1583" s="16" t="n">
        <x:v>0</x:v>
      </x:c>
      <x:c r="V1583" s="16" t="n">
        <x:v>0</x:v>
      </x:c>
      <x:c r="W1583" s="16" t="n">
        <x:v>0</x:v>
      </x:c>
      <x:c r="X1583" s="16" t="n">
        <x:v>0</x:v>
      </x:c>
      <x:c r="Y1583" s="16" t="n">
        <x:v>0</x:v>
      </x:c>
      <x:c r="Z1583" s="16" t="n">
        <x:v>0</x:v>
      </x:c>
      <x:c r="AA1583" s="16" t="n">
        <x:v>3</x:v>
      </x:c>
      <x:c r="AB1583" s="16" t="n">
        <x:v>11</x:v>
      </x:c>
      <x:c r="AC1583" s="16" t="n">
        <x:v>1</x:v>
      </x:c>
      <x:c r="AD1583" s="21" t="n">
        <x:f>IF(E1583="",MEDIAN($E$2:$E$2237),E1583)</x:f>
        <x:v>81361</x:v>
      </x:c>
      <x:c r="AE1583" s="17" t="n">
        <x:f>2014-B1583</x:f>
        <x:v>27</x:v>
      </x:c>
      <x:c r="AF1583" s="17" t="n">
        <x:f>F1583+G1583</x:f>
        <x:v>0</x:v>
      </x:c>
      <x:c r="AG1583" s="21" t="n">
        <x:f>SUM(J1583:O1583)</x:f>
        <x:v>778</x:v>
      </x:c>
      <x:c r="AH1583" s="17" t="n">
        <x:f>SUM(Q1583:S1583)</x:f>
        <x:v>26</x:v>
      </x:c>
      <x:c r="AI1583" s="17" t="n">
        <x:f>SUM(U1583:Y1583)</x:f>
        <x:v>0</x:v>
      </x:c>
      <x:c r="AJ1583" s="17" t="str">
        <x:f>IF(AE1583&lt;=34,"≤34",IF(AE1583&lt;=44,"35–44",IF(AE1583&lt;=54,"45–54",IF(AE1583&lt;=64,"55–64","65+"))))</x:f>
        <x:v>≤34</x:v>
      </x:c>
      <x:c r="AK1583" s="17" t="str">
        <x:f>IF(AG1583&gt;=1000,"High Value",IF(AG1583&gt;=300,"Mid Value","Low Value"))</x:f>
        <x:v>Mid Value</x:v>
      </x:c>
      <x:c r="AL1583" s="17" t="str">
        <x:f>IF(AND(AI1583&gt;=1,I1583&lt;=50),"Priority 1",IF(AND(AG1583&gt;=1000,I1583&lt;=60),"Priority 2",IF(I1583&lt;=30,"Priority 3","Nurture")))</x:f>
        <x:v>Priority 3</x:v>
      </x:c>
    </x:row>
    <x:row r="1584">
      <x:c r="A1584" s="16" t="n">
        <x:v>1626</x:v>
      </x:c>
      <x:c r="B1584" s="16" t="n">
        <x:v>1973</x:v>
      </x:c>
      <x:c r="C1584" s="16" t="str">
        <x:v>PhD</x:v>
      </x:c>
      <x:c r="D1584" s="16" t="str">
        <x:v>Divorced</x:v>
      </x:c>
      <x:c r="E1584" s="16" t="n">
        <x:v>35860</x:v>
      </x:c>
      <x:c r="F1584" s="16" t="n">
        <x:v>1</x:v>
      </x:c>
      <x:c r="G1584" s="16" t="n">
        <x:v>1</x:v>
      </x:c>
      <x:c r="H1584" s="16" t="str">
        <x:v>19-05-2014</x:v>
      </x:c>
      <x:c r="I1584" s="16" t="n">
        <x:v>37</x:v>
      </x:c>
      <x:c r="J1584" s="16" t="n">
        <x:v>15</x:v>
      </x:c>
      <x:c r="K1584" s="16" t="n">
        <x:v>0</x:v>
      </x:c>
      <x:c r="L1584" s="16" t="n">
        <x:v>8</x:v>
      </x:c>
      <x:c r="M1584" s="16" t="n">
        <x:v>4</x:v>
      </x:c>
      <x:c r="N1584" s="16" t="n">
        <x:v>2</x:v>
      </x:c>
      <x:c r="O1584" s="16" t="n">
        <x:v>20</x:v>
      </x:c>
      <x:c r="P1584" s="16" t="n">
        <x:v>2</x:v>
      </x:c>
      <x:c r="Q1584" s="16" t="n">
        <x:v>1</x:v>
      </x:c>
      <x:c r="R1584" s="16" t="n">
        <x:v>1</x:v>
      </x:c>
      <x:c r="S1584" s="16" t="n">
        <x:v>2</x:v>
      </x:c>
      <x:c r="T1584" s="16" t="n">
        <x:v>5</x:v>
      </x:c>
      <x:c r="U1584" s="16" t="n">
        <x:v>1</x:v>
      </x:c>
      <x:c r="V1584" s="16" t="n">
        <x:v>0</x:v>
      </x:c>
      <x:c r="W1584" s="16" t="n">
        <x:v>0</x:v>
      </x:c>
      <x:c r="X1584" s="16" t="n">
        <x:v>0</x:v>
      </x:c>
      <x:c r="Y1584" s="16" t="n">
        <x:v>0</x:v>
      </x:c>
      <x:c r="Z1584" s="16" t="n">
        <x:v>0</x:v>
      </x:c>
      <x:c r="AA1584" s="16" t="n">
        <x:v>3</x:v>
      </x:c>
      <x:c r="AB1584" s="16" t="n">
        <x:v>11</x:v>
      </x:c>
      <x:c r="AC1584" s="16" t="n">
        <x:v>1</x:v>
      </x:c>
      <x:c r="AD1584" s="21" t="n">
        <x:f>IF(E1584="",MEDIAN($E$2:$E$2237),E1584)</x:f>
        <x:v>35860</x:v>
      </x:c>
      <x:c r="AE1584" s="17" t="n">
        <x:f>2014-B1584</x:f>
        <x:v>41</x:v>
      </x:c>
      <x:c r="AF1584" s="17" t="n">
        <x:f>F1584+G1584</x:f>
        <x:v>2</x:v>
      </x:c>
      <x:c r="AG1584" s="21" t="n">
        <x:f>SUM(J1584:O1584)</x:f>
        <x:v>49</x:v>
      </x:c>
      <x:c r="AH1584" s="17" t="n">
        <x:f>SUM(Q1584:S1584)</x:f>
        <x:v>4</x:v>
      </x:c>
      <x:c r="AI1584" s="17" t="n">
        <x:f>SUM(U1584:Y1584)</x:f>
        <x:v>1</x:v>
      </x:c>
      <x:c r="AJ1584" s="17" t="str">
        <x:f>IF(AE1584&lt;=34,"≤34",IF(AE1584&lt;=44,"35–44",IF(AE1584&lt;=54,"45–54",IF(AE1584&lt;=64,"55–64","65+"))))</x:f>
        <x:v>35–44</x:v>
      </x:c>
      <x:c r="AK1584" s="17" t="str">
        <x:f>IF(AG1584&gt;=1000,"High Value",IF(AG1584&gt;=300,"Mid Value","Low Value"))</x:f>
        <x:v>Low Value</x:v>
      </x:c>
      <x:c r="AL1584" s="17" t="str">
        <x:f>IF(AND(AI1584&gt;=1,I1584&lt;=50),"Priority 1",IF(AND(AG1584&gt;=1000,I1584&lt;=60),"Priority 2",IF(I1584&lt;=30,"Priority 3","Nurture")))</x:f>
        <x:v>Priority 1</x:v>
      </x:c>
    </x:row>
    <x:row r="1585">
      <x:c r="A1585" s="16" t="n">
        <x:v>4764</x:v>
      </x:c>
      <x:c r="B1585" s="16" t="n">
        <x:v>1952</x:v>
      </x:c>
      <x:c r="C1585" s="16" t="str">
        <x:v>Master</x:v>
      </x:c>
      <x:c r="D1585" s="16" t="str">
        <x:v>Together</x:v>
      </x:c>
      <x:c r="E1585" s="16" t="n">
        <x:v>40442</x:v>
      </x:c>
      <x:c r="F1585" s="16" t="n">
        <x:v>1</x:v>
      </x:c>
      <x:c r="G1585" s="16" t="n">
        <x:v>1</x:v>
      </x:c>
      <x:c r="H1585" s="16" t="str">
        <x:v>19-08-2012</x:v>
      </x:c>
      <x:c r="I1585" s="16" t="n">
        <x:v>52</x:v>
      </x:c>
      <x:c r="J1585" s="16" t="n">
        <x:v>45</x:v>
      </x:c>
      <x:c r="K1585" s="16" t="n">
        <x:v>12</x:v>
      </x:c>
      <x:c r="L1585" s="16" t="n">
        <x:v>52</x:v>
      </x:c>
      <x:c r="M1585" s="16" t="n">
        <x:v>25</x:v>
      </x:c>
      <x:c r="N1585" s="16" t="n">
        <x:v>22</x:v>
      </x:c>
      <x:c r="O1585" s="16" t="n">
        <x:v>13</x:v>
      </x:c>
      <x:c r="P1585" s="16" t="n">
        <x:v>4</x:v>
      </x:c>
      <x:c r="Q1585" s="16" t="n">
        <x:v>3</x:v>
      </x:c>
      <x:c r="R1585" s="16" t="n">
        <x:v>1</x:v>
      </x:c>
      <x:c r="S1585" s="16" t="n">
        <x:v>4</x:v>
      </x:c>
      <x:c r="T1585" s="16" t="n">
        <x:v>7</x:v>
      </x:c>
      <x:c r="U1585" s="16" t="n">
        <x:v>0</x:v>
      </x:c>
      <x:c r="V1585" s="16" t="n">
        <x:v>0</x:v>
      </x:c>
      <x:c r="W1585" s="16" t="n">
        <x:v>0</x:v>
      </x:c>
      <x:c r="X1585" s="16" t="n">
        <x:v>0</x:v>
      </x:c>
      <x:c r="Y1585" s="16" t="n">
        <x:v>0</x:v>
      </x:c>
      <x:c r="Z1585" s="16" t="n">
        <x:v>0</x:v>
      </x:c>
      <x:c r="AA1585" s="16" t="n">
        <x:v>3</x:v>
      </x:c>
      <x:c r="AB1585" s="16" t="n">
        <x:v>11</x:v>
      </x:c>
      <x:c r="AC1585" s="16" t="n">
        <x:v>1</x:v>
      </x:c>
      <x:c r="AD1585" s="21" t="n">
        <x:f>IF(E1585="",MEDIAN($E$2:$E$2237),E1585)</x:f>
        <x:v>40442</x:v>
      </x:c>
      <x:c r="AE1585" s="17" t="n">
        <x:f>2014-B1585</x:f>
        <x:v>62</x:v>
      </x:c>
      <x:c r="AF1585" s="17" t="n">
        <x:f>F1585+G1585</x:f>
        <x:v>2</x:v>
      </x:c>
      <x:c r="AG1585" s="21" t="n">
        <x:f>SUM(J1585:O1585)</x:f>
        <x:v>169</x:v>
      </x:c>
      <x:c r="AH1585" s="17" t="n">
        <x:f>SUM(Q1585:S1585)</x:f>
        <x:v>8</x:v>
      </x:c>
      <x:c r="AI1585" s="17" t="n">
        <x:f>SUM(U1585:Y1585)</x:f>
        <x:v>0</x:v>
      </x:c>
      <x:c r="AJ1585" s="17" t="str">
        <x:f>IF(AE1585&lt;=34,"≤34",IF(AE1585&lt;=44,"35–44",IF(AE1585&lt;=54,"45–54",IF(AE1585&lt;=64,"55–64","65+"))))</x:f>
        <x:v>55–64</x:v>
      </x:c>
      <x:c r="AK1585" s="17" t="str">
        <x:f>IF(AG1585&gt;=1000,"High Value",IF(AG1585&gt;=300,"Mid Value","Low Value"))</x:f>
        <x:v>Low Value</x:v>
      </x:c>
      <x:c r="AL1585" s="17" t="str">
        <x:f>IF(AND(AI1585&gt;=1,I1585&lt;=50),"Priority 1",IF(AND(AG1585&gt;=1000,I1585&lt;=60),"Priority 2",IF(I1585&lt;=30,"Priority 3","Nurture")))</x:f>
        <x:v>Nurture</x:v>
      </x:c>
    </x:row>
    <x:row r="1586">
      <x:c r="A1586" s="16" t="n">
        <x:v>2471</x:v>
      </x:c>
      <x:c r="B1586" s="16" t="n">
        <x:v>1965</x:v>
      </x:c>
      <x:c r="C1586" s="16" t="str">
        <x:v>Graduation</x:v>
      </x:c>
      <x:c r="D1586" s="16" t="str">
        <x:v>Married</x:v>
      </x:c>
      <x:c r="E1586" s="16" t="n">
        <x:v>61482</x:v>
      </x:c>
      <x:c r="F1586" s="16" t="n">
        <x:v>0</x:v>
      </x:c>
      <x:c r="G1586" s="16" t="n">
        <x:v>0</x:v>
      </x:c>
      <x:c r="H1586" s="16" t="str">
        <x:v>27-06-2014</x:v>
      </x:c>
      <x:c r="I1586" s="16" t="n">
        <x:v>39</x:v>
      </x:c>
      <x:c r="J1586" s="16" t="n">
        <x:v>48</x:v>
      </x:c>
      <x:c r="K1586" s="16" t="n">
        <x:v>58</x:v>
      </x:c>
      <x:c r="L1586" s="16" t="n">
        <x:v>68</x:v>
      </x:c>
      <x:c r="M1586" s="16" t="n">
        <x:v>16</x:v>
      </x:c>
      <x:c r="N1586" s="16" t="n">
        <x:v>66</x:v>
      </x:c>
      <x:c r="O1586" s="16" t="n">
        <x:v>43</x:v>
      </x:c>
      <x:c r="P1586" s="16" t="n">
        <x:v>1</x:v>
      </x:c>
      <x:c r="Q1586" s="16" t="n">
        <x:v>3</x:v>
      </x:c>
      <x:c r="R1586" s="16" t="n">
        <x:v>2</x:v>
      </x:c>
      <x:c r="S1586" s="16" t="n">
        <x:v>6</x:v>
      </x:c>
      <x:c r="T1586" s="16" t="n">
        <x:v>2</x:v>
      </x:c>
      <x:c r="U1586" s="16" t="n">
        <x:v>0</x:v>
      </x:c>
      <x:c r="V1586" s="16" t="n">
        <x:v>0</x:v>
      </x:c>
      <x:c r="W1586" s="16" t="n">
        <x:v>0</x:v>
      </x:c>
      <x:c r="X1586" s="16" t="n">
        <x:v>0</x:v>
      </x:c>
      <x:c r="Y1586" s="16" t="n">
        <x:v>0</x:v>
      </x:c>
      <x:c r="Z1586" s="16" t="n">
        <x:v>0</x:v>
      </x:c>
      <x:c r="AA1586" s="16" t="n">
        <x:v>3</x:v>
      </x:c>
      <x:c r="AB1586" s="16" t="n">
        <x:v>11</x:v>
      </x:c>
      <x:c r="AC1586" s="16" t="n">
        <x:v>0</x:v>
      </x:c>
      <x:c r="AD1586" s="21" t="n">
        <x:f>IF(E1586="",MEDIAN($E$2:$E$2237),E1586)</x:f>
        <x:v>61482</x:v>
      </x:c>
      <x:c r="AE1586" s="17" t="n">
        <x:f>2014-B1586</x:f>
        <x:v>49</x:v>
      </x:c>
      <x:c r="AF1586" s="17" t="n">
        <x:f>F1586+G1586</x:f>
        <x:v>0</x:v>
      </x:c>
      <x:c r="AG1586" s="21" t="n">
        <x:f>SUM(J1586:O1586)</x:f>
        <x:v>299</x:v>
      </x:c>
      <x:c r="AH1586" s="17" t="n">
        <x:f>SUM(Q1586:S1586)</x:f>
        <x:v>11</x:v>
      </x:c>
      <x:c r="AI1586" s="17" t="n">
        <x:f>SUM(U1586:Y1586)</x:f>
        <x:v>0</x:v>
      </x:c>
      <x:c r="AJ1586" s="17" t="str">
        <x:f>IF(AE1586&lt;=34,"≤34",IF(AE1586&lt;=44,"35–44",IF(AE1586&lt;=54,"45–54",IF(AE1586&lt;=64,"55–64","65+"))))</x:f>
        <x:v>45–54</x:v>
      </x:c>
      <x:c r="AK1586" s="17" t="str">
        <x:f>IF(AG1586&gt;=1000,"High Value",IF(AG1586&gt;=300,"Mid Value","Low Value"))</x:f>
        <x:v>Low Value</x:v>
      </x:c>
      <x:c r="AL1586" s="17" t="str">
        <x:f>IF(AND(AI1586&gt;=1,I1586&lt;=50),"Priority 1",IF(AND(AG1586&gt;=1000,I1586&lt;=60),"Priority 2",IF(I1586&lt;=30,"Priority 3","Nurture")))</x:f>
        <x:v>Nurture</x:v>
      </x:c>
    </x:row>
    <x:row r="1587">
      <x:c r="A1587" s="16" t="n">
        <x:v>5892</x:v>
      </x:c>
      <x:c r="B1587" s="16" t="n">
        <x:v>1980</x:v>
      </x:c>
      <x:c r="C1587" s="16" t="str">
        <x:v>Graduation</x:v>
      </x:c>
      <x:c r="D1587" s="16" t="str">
        <x:v>Married</x:v>
      </x:c>
      <x:c r="E1587" s="16" t="n">
        <x:v>34968</x:v>
      </x:c>
      <x:c r="F1587" s="16" t="n">
        <x:v>1</x:v>
      </x:c>
      <x:c r="G1587" s="16" t="n">
        <x:v>0</x:v>
      </x:c>
      <x:c r="H1587" s="16" t="str">
        <x:v>10-04-2013</x:v>
      </x:c>
      <x:c r="I1587" s="16" t="n">
        <x:v>11</x:v>
      </x:c>
      <x:c r="J1587" s="16" t="n">
        <x:v>158</x:v>
      </x:c>
      <x:c r="K1587" s="16" t="n">
        <x:v>6</x:v>
      </x:c>
      <x:c r="L1587" s="16" t="n">
        <x:v>45</x:v>
      </x:c>
      <x:c r="M1587" s="16" t="n">
        <x:v>8</x:v>
      </x:c>
      <x:c r="N1587" s="16" t="n">
        <x:v>2</x:v>
      </x:c>
      <x:c r="O1587" s="16" t="n">
        <x:v>2</x:v>
      </x:c>
      <x:c r="P1587" s="16" t="n">
        <x:v>7</x:v>
      </x:c>
      <x:c r="Q1587" s="16" t="n">
        <x:v>3</x:v>
      </x:c>
      <x:c r="R1587" s="16" t="n">
        <x:v>2</x:v>
      </x:c>
      <x:c r="S1587" s="16" t="n">
        <x:v>5</x:v>
      </x:c>
      <x:c r="T1587" s="16" t="n">
        <x:v>7</x:v>
      </x:c>
      <x:c r="U1587" s="16" t="n">
        <x:v>0</x:v>
      </x:c>
      <x:c r="V1587" s="16" t="n">
        <x:v>0</x:v>
      </x:c>
      <x:c r="W1587" s="16" t="n">
        <x:v>0</x:v>
      </x:c>
      <x:c r="X1587" s="16" t="n">
        <x:v>0</x:v>
      </x:c>
      <x:c r="Y1587" s="16" t="n">
        <x:v>0</x:v>
      </x:c>
      <x:c r="Z1587" s="16" t="n">
        <x:v>0</x:v>
      </x:c>
      <x:c r="AA1587" s="16" t="n">
        <x:v>3</x:v>
      </x:c>
      <x:c r="AB1587" s="16" t="n">
        <x:v>11</x:v>
      </x:c>
      <x:c r="AC1587" s="16" t="n">
        <x:v>0</x:v>
      </x:c>
      <x:c r="AD1587" s="21" t="n">
        <x:f>IF(E1587="",MEDIAN($E$2:$E$2237),E1587)</x:f>
        <x:v>34968</x:v>
      </x:c>
      <x:c r="AE1587" s="17" t="n">
        <x:f>2014-B1587</x:f>
        <x:v>34</x:v>
      </x:c>
      <x:c r="AF1587" s="17" t="n">
        <x:f>F1587+G1587</x:f>
        <x:v>1</x:v>
      </x:c>
      <x:c r="AG1587" s="21" t="n">
        <x:f>SUM(J1587:O1587)</x:f>
        <x:v>221</x:v>
      </x:c>
      <x:c r="AH1587" s="17" t="n">
        <x:f>SUM(Q1587:S1587)</x:f>
        <x:v>10</x:v>
      </x:c>
      <x:c r="AI1587" s="17" t="n">
        <x:f>SUM(U1587:Y1587)</x:f>
        <x:v>0</x:v>
      </x:c>
      <x:c r="AJ1587" s="17" t="str">
        <x:f>IF(AE1587&lt;=34,"≤34",IF(AE1587&lt;=44,"35–44",IF(AE1587&lt;=54,"45–54",IF(AE1587&lt;=64,"55–64","65+"))))</x:f>
        <x:v>≤34</x:v>
      </x:c>
      <x:c r="AK1587" s="17" t="str">
        <x:f>IF(AG1587&gt;=1000,"High Value",IF(AG1587&gt;=300,"Mid Value","Low Value"))</x:f>
        <x:v>Low Value</x:v>
      </x:c>
      <x:c r="AL1587" s="17" t="str">
        <x:f>IF(AND(AI1587&gt;=1,I1587&lt;=50),"Priority 1",IF(AND(AG1587&gt;=1000,I1587&lt;=60),"Priority 2",IF(I1587&lt;=30,"Priority 3","Nurture")))</x:f>
        <x:v>Priority 3</x:v>
      </x:c>
    </x:row>
    <x:row r="1588">
      <x:c r="A1588" s="16" t="n">
        <x:v>2612</x:v>
      </x:c>
      <x:c r="B1588" s="16" t="n">
        <x:v>1987</x:v>
      </x:c>
      <x:c r="C1588" s="16" t="str">
        <x:v>Graduation</x:v>
      </x:c>
      <x:c r="D1588" s="16" t="str">
        <x:v>Married</x:v>
      </x:c>
      <x:c r="E1588" s="16" t="n">
        <x:v>75794</x:v>
      </x:c>
      <x:c r="F1588" s="16" t="n">
        <x:v>0</x:v>
      </x:c>
      <x:c r="G1588" s="16" t="n">
        <x:v>0</x:v>
      </x:c>
      <x:c r="H1588" s="16" t="str">
        <x:v>24-12-2013</x:v>
      </x:c>
      <x:c r="I1588" s="16" t="n">
        <x:v>33</x:v>
      </x:c>
      <x:c r="J1588" s="16" t="n">
        <x:v>754</x:v>
      </x:c>
      <x:c r="K1588" s="16" t="n">
        <x:v>160</x:v>
      </x:c>
      <x:c r="L1588" s="16" t="n">
        <x:v>625</x:v>
      </x:c>
      <x:c r="M1588" s="16" t="n">
        <x:v>63</x:v>
      </x:c>
      <x:c r="N1588" s="16" t="n">
        <x:v>32</x:v>
      </x:c>
      <x:c r="O1588" s="16" t="n">
        <x:v>48</x:v>
      </x:c>
      <x:c r="P1588" s="16" t="n">
        <x:v>1</x:v>
      </x:c>
      <x:c r="Q1588" s="16" t="n">
        <x:v>7</x:v>
      </x:c>
      <x:c r="R1588" s="16" t="n">
        <x:v>5</x:v>
      </x:c>
      <x:c r="S1588" s="16" t="n">
        <x:v>12</x:v>
      </x:c>
      <x:c r="T1588" s="16" t="n">
        <x:v>3</x:v>
      </x:c>
      <x:c r="U1588" s="16" t="n">
        <x:v>0</x:v>
      </x:c>
      <x:c r="V1588" s="16" t="n">
        <x:v>0</x:v>
      </x:c>
      <x:c r="W1588" s="16" t="n">
        <x:v>0</x:v>
      </x:c>
      <x:c r="X1588" s="16" t="n">
        <x:v>1</x:v>
      </x:c>
      <x:c r="Y1588" s="16" t="n">
        <x:v>0</x:v>
      </x:c>
      <x:c r="Z1588" s="16" t="n">
        <x:v>0</x:v>
      </x:c>
      <x:c r="AA1588" s="16" t="n">
        <x:v>3</x:v>
      </x:c>
      <x:c r="AB1588" s="16" t="n">
        <x:v>11</x:v>
      </x:c>
      <x:c r="AC1588" s="16" t="n">
        <x:v>0</x:v>
      </x:c>
      <x:c r="AD1588" s="21" t="n">
        <x:f>IF(E1588="",MEDIAN($E$2:$E$2237),E1588)</x:f>
        <x:v>75794</x:v>
      </x:c>
      <x:c r="AE1588" s="17" t="n">
        <x:f>2014-B1588</x:f>
        <x:v>27</x:v>
      </x:c>
      <x:c r="AF1588" s="17" t="n">
        <x:f>F1588+G1588</x:f>
        <x:v>0</x:v>
      </x:c>
      <x:c r="AG1588" s="21" t="n">
        <x:f>SUM(J1588:O1588)</x:f>
        <x:v>1682</x:v>
      </x:c>
      <x:c r="AH1588" s="17" t="n">
        <x:f>SUM(Q1588:S1588)</x:f>
        <x:v>24</x:v>
      </x:c>
      <x:c r="AI1588" s="17" t="n">
        <x:f>SUM(U1588:Y1588)</x:f>
        <x:v>1</x:v>
      </x:c>
      <x:c r="AJ1588" s="17" t="str">
        <x:f>IF(AE1588&lt;=34,"≤34",IF(AE1588&lt;=44,"35–44",IF(AE1588&lt;=54,"45–54",IF(AE1588&lt;=64,"55–64","65+"))))</x:f>
        <x:v>≤34</x:v>
      </x:c>
      <x:c r="AK1588" s="17" t="str">
        <x:f>IF(AG1588&gt;=1000,"High Value",IF(AG1588&gt;=300,"Mid Value","Low Value"))</x:f>
        <x:v>High Value</x:v>
      </x:c>
      <x:c r="AL1588" s="17" t="str">
        <x:f>IF(AND(AI1588&gt;=1,I1588&lt;=50),"Priority 1",IF(AND(AG1588&gt;=1000,I1588&lt;=60),"Priority 2",IF(I1588&lt;=30,"Priority 3","Nurture")))</x:f>
        <x:v>Priority 1</x:v>
      </x:c>
    </x:row>
    <x:row r="1589">
      <x:c r="A1589" s="16" t="n">
        <x:v>4971</x:v>
      </x:c>
      <x:c r="B1589" s="16" t="n">
        <x:v>1962</x:v>
      </x:c>
      <x:c r="C1589" s="16" t="str">
        <x:v>PhD</x:v>
      </x:c>
      <x:c r="D1589" s="16" t="str">
        <x:v>Together</x:v>
      </x:c>
      <x:c r="E1589" s="16" t="n">
        <x:v>31497</x:v>
      </x:c>
      <x:c r="F1589" s="16" t="n">
        <x:v>0</x:v>
      </x:c>
      <x:c r="G1589" s="16" t="n">
        <x:v>1</x:v>
      </x:c>
      <x:c r="H1589" s="16" t="str">
        <x:v>06-12-2012</x:v>
      </x:c>
      <x:c r="I1589" s="16" t="n">
        <x:v>22</x:v>
      </x:c>
      <x:c r="J1589" s="16" t="n">
        <x:v>108</x:v>
      </x:c>
      <x:c r="K1589" s="16" t="n">
        <x:v>1</x:v>
      </x:c>
      <x:c r="L1589" s="16" t="n">
        <x:v>28</x:v>
      </x:c>
      <x:c r="M1589" s="16" t="n">
        <x:v>13</x:v>
      </x:c>
      <x:c r="N1589" s="16" t="n">
        <x:v>1</x:v>
      </x:c>
      <x:c r="O1589" s="16" t="n">
        <x:v>4</x:v>
      </x:c>
      <x:c r="P1589" s="16" t="n">
        <x:v>2</x:v>
      </x:c>
      <x:c r="Q1589" s="16" t="n">
        <x:v>3</x:v>
      </x:c>
      <x:c r="R1589" s="16" t="n">
        <x:v>1</x:v>
      </x:c>
      <x:c r="S1589" s="16" t="n">
        <x:v>4</x:v>
      </x:c>
      <x:c r="T1589" s="16" t="n">
        <x:v>8</x:v>
      </x:c>
      <x:c r="U1589" s="16" t="n">
        <x:v>0</x:v>
      </x:c>
      <x:c r="V1589" s="16" t="n">
        <x:v>0</x:v>
      </x:c>
      <x:c r="W1589" s="16" t="n">
        <x:v>0</x:v>
      </x:c>
      <x:c r="X1589" s="16" t="n">
        <x:v>0</x:v>
      </x:c>
      <x:c r="Y1589" s="16" t="n">
        <x:v>0</x:v>
      </x:c>
      <x:c r="Z1589" s="16" t="n">
        <x:v>0</x:v>
      </x:c>
      <x:c r="AA1589" s="16" t="n">
        <x:v>3</x:v>
      </x:c>
      <x:c r="AB1589" s="16" t="n">
        <x:v>11</x:v>
      </x:c>
      <x:c r="AC1589" s="16" t="n">
        <x:v>0</x:v>
      </x:c>
      <x:c r="AD1589" s="21" t="n">
        <x:f>IF(E1589="",MEDIAN($E$2:$E$2237),E1589)</x:f>
        <x:v>31497</x:v>
      </x:c>
      <x:c r="AE1589" s="17" t="n">
        <x:f>2014-B1589</x:f>
        <x:v>52</x:v>
      </x:c>
      <x:c r="AF1589" s="17" t="n">
        <x:f>F1589+G1589</x:f>
        <x:v>1</x:v>
      </x:c>
      <x:c r="AG1589" s="21" t="n">
        <x:f>SUM(J1589:O1589)</x:f>
        <x:v>155</x:v>
      </x:c>
      <x:c r="AH1589" s="17" t="n">
        <x:f>SUM(Q1589:S1589)</x:f>
        <x:v>8</x:v>
      </x:c>
      <x:c r="AI1589" s="17" t="n">
        <x:f>SUM(U1589:Y1589)</x:f>
        <x:v>0</x:v>
      </x:c>
      <x:c r="AJ1589" s="17" t="str">
        <x:f>IF(AE1589&lt;=34,"≤34",IF(AE1589&lt;=44,"35–44",IF(AE1589&lt;=54,"45–54",IF(AE1589&lt;=64,"55–64","65+"))))</x:f>
        <x:v>45–54</x:v>
      </x:c>
      <x:c r="AK1589" s="17" t="str">
        <x:f>IF(AG1589&gt;=1000,"High Value",IF(AG1589&gt;=300,"Mid Value","Low Value"))</x:f>
        <x:v>Low Value</x:v>
      </x:c>
      <x:c r="AL1589" s="17" t="str">
        <x:f>IF(AND(AI1589&gt;=1,I1589&lt;=50),"Priority 1",IF(AND(AG1589&gt;=1000,I1589&lt;=60),"Priority 2",IF(I1589&lt;=30,"Priority 3","Nurture")))</x:f>
        <x:v>Priority 3</x:v>
      </x:c>
    </x:row>
    <x:row r="1590">
      <x:c r="A1590" s="16" t="n">
        <x:v>5185</x:v>
      </x:c>
      <x:c r="B1590" s="16" t="n">
        <x:v>1955</x:v>
      </x:c>
      <x:c r="C1590" s="16" t="str">
        <x:v>Graduation</x:v>
      </x:c>
      <x:c r="D1590" s="16" t="str">
        <x:v>Married</x:v>
      </x:c>
      <x:c r="E1590" s="16" t="n">
        <x:v>74268</x:v>
      </x:c>
      <x:c r="F1590" s="16" t="n">
        <x:v>0</x:v>
      </x:c>
      <x:c r="G1590" s="16" t="n">
        <x:v>0</x:v>
      </x:c>
      <x:c r="H1590" s="16" t="str">
        <x:v>14-02-2013</x:v>
      </x:c>
      <x:c r="I1590" s="16" t="n">
        <x:v>83</x:v>
      </x:c>
      <x:c r="J1590" s="16" t="n">
        <x:v>199</x:v>
      </x:c>
      <x:c r="K1590" s="16" t="n">
        <x:v>66</x:v>
      </x:c>
      <x:c r="L1590" s="16" t="n">
        <x:v>315</x:v>
      </x:c>
      <x:c r="M1590" s="16" t="n">
        <x:v>97</x:v>
      </x:c>
      <x:c r="N1590" s="16" t="n">
        <x:v>174</x:v>
      </x:c>
      <x:c r="O1590" s="16" t="n">
        <x:v>41</x:v>
      </x:c>
      <x:c r="P1590" s="16" t="n">
        <x:v>1</x:v>
      </x:c>
      <x:c r="Q1590" s="16" t="n">
        <x:v>4</x:v>
      </x:c>
      <x:c r="R1590" s="16" t="n">
        <x:v>3</x:v>
      </x:c>
      <x:c r="S1590" s="16" t="n">
        <x:v>5</x:v>
      </x:c>
      <x:c r="T1590" s="16" t="n">
        <x:v>2</x:v>
      </x:c>
      <x:c r="U1590" s="16" t="n">
        <x:v>0</x:v>
      </x:c>
      <x:c r="V1590" s="16" t="n">
        <x:v>0</x:v>
      </x:c>
      <x:c r="W1590" s="16" t="n">
        <x:v>0</x:v>
      </x:c>
      <x:c r="X1590" s="16" t="n">
        <x:v>0</x:v>
      </x:c>
      <x:c r="Y1590" s="16" t="n">
        <x:v>0</x:v>
      </x:c>
      <x:c r="Z1590" s="16" t="n">
        <x:v>0</x:v>
      </x:c>
      <x:c r="AA1590" s="16" t="n">
        <x:v>3</x:v>
      </x:c>
      <x:c r="AB1590" s="16" t="n">
        <x:v>11</x:v>
      </x:c>
      <x:c r="AC1590" s="16" t="n">
        <x:v>0</x:v>
      </x:c>
      <x:c r="AD1590" s="21" t="n">
        <x:f>IF(E1590="",MEDIAN($E$2:$E$2237),E1590)</x:f>
        <x:v>74268</x:v>
      </x:c>
      <x:c r="AE1590" s="17" t="n">
        <x:f>2014-B1590</x:f>
        <x:v>59</x:v>
      </x:c>
      <x:c r="AF1590" s="17" t="n">
        <x:f>F1590+G1590</x:f>
        <x:v>0</x:v>
      </x:c>
      <x:c r="AG1590" s="21" t="n">
        <x:f>SUM(J1590:O1590)</x:f>
        <x:v>892</x:v>
      </x:c>
      <x:c r="AH1590" s="17" t="n">
        <x:f>SUM(Q1590:S1590)</x:f>
        <x:v>12</x:v>
      </x:c>
      <x:c r="AI1590" s="17" t="n">
        <x:f>SUM(U1590:Y1590)</x:f>
        <x:v>0</x:v>
      </x:c>
      <x:c r="AJ1590" s="17" t="str">
        <x:f>IF(AE1590&lt;=34,"≤34",IF(AE1590&lt;=44,"35–44",IF(AE1590&lt;=54,"45–54",IF(AE1590&lt;=64,"55–64","65+"))))</x:f>
        <x:v>55–64</x:v>
      </x:c>
      <x:c r="AK1590" s="17" t="str">
        <x:f>IF(AG1590&gt;=1000,"High Value",IF(AG1590&gt;=300,"Mid Value","Low Value"))</x:f>
        <x:v>Mid Value</x:v>
      </x:c>
      <x:c r="AL1590" s="17" t="str">
        <x:f>IF(AND(AI1590&gt;=1,I1590&lt;=50),"Priority 1",IF(AND(AG1590&gt;=1000,I1590&lt;=60),"Priority 2",IF(I1590&lt;=30,"Priority 3","Nurture")))</x:f>
        <x:v>Nurture</x:v>
      </x:c>
    </x:row>
    <x:row r="1591">
      <x:c r="A1591" s="16" t="n">
        <x:v>10069</x:v>
      </x:c>
      <x:c r="B1591" s="16" t="n">
        <x:v>1988</x:v>
      </x:c>
      <x:c r="C1591" s="16" t="str">
        <x:v>Basic</x:v>
      </x:c>
      <x:c r="D1591" s="16" t="str">
        <x:v>Together</x:v>
      </x:c>
      <x:c r="E1591" s="16" t="n">
        <x:v>13724</x:v>
      </x:c>
      <x:c r="F1591" s="16" t="n">
        <x:v>1</x:v>
      </x:c>
      <x:c r="G1591" s="16" t="n">
        <x:v>0</x:v>
      </x:c>
      <x:c r="H1591" s="16" t="str">
        <x:v>31-08-2012</x:v>
      </x:c>
      <x:c r="I1591" s="16" t="n">
        <x:v>43</x:v>
      </x:c>
      <x:c r="J1591" s="16" t="n">
        <x:v>2</x:v>
      </x:c>
      <x:c r="K1591" s="16" t="n">
        <x:v>7</x:v>
      </x:c>
      <x:c r="L1591" s="16" t="n">
        <x:v>5</x:v>
      </x:c>
      <x:c r="M1591" s="16" t="n">
        <x:v>2</x:v>
      </x:c>
      <x:c r="N1591" s="16" t="n">
        <x:v>15</x:v>
      </x:c>
      <x:c r="O1591" s="16" t="n">
        <x:v>27</x:v>
      </x:c>
      <x:c r="P1591" s="16" t="n">
        <x:v>1</x:v>
      </x:c>
      <x:c r="Q1591" s="16" t="n">
        <x:v>2</x:v>
      </x:c>
      <x:c r="R1591" s="16" t="n">
        <x:v>0</x:v>
      </x:c>
      <x:c r="S1591" s="16" t="n">
        <x:v>2</x:v>
      </x:c>
      <x:c r="T1591" s="16" t="n">
        <x:v>9</x:v>
      </x:c>
      <x:c r="U1591" s="16" t="n">
        <x:v>1</x:v>
      </x:c>
      <x:c r="V1591" s="16" t="n">
        <x:v>0</x:v>
      </x:c>
      <x:c r="W1591" s="16" t="n">
        <x:v>0</x:v>
      </x:c>
      <x:c r="X1591" s="16" t="n">
        <x:v>0</x:v>
      </x:c>
      <x:c r="Y1591" s="16" t="n">
        <x:v>0</x:v>
      </x:c>
      <x:c r="Z1591" s="16" t="n">
        <x:v>0</x:v>
      </x:c>
      <x:c r="AA1591" s="16" t="n">
        <x:v>3</x:v>
      </x:c>
      <x:c r="AB1591" s="16" t="n">
        <x:v>11</x:v>
      </x:c>
      <x:c r="AC1591" s="16" t="n">
        <x:v>0</x:v>
      </x:c>
      <x:c r="AD1591" s="21" t="n">
        <x:f>IF(E1591="",MEDIAN($E$2:$E$2237),E1591)</x:f>
        <x:v>13724</x:v>
      </x:c>
      <x:c r="AE1591" s="17" t="n">
        <x:f>2014-B1591</x:f>
        <x:v>26</x:v>
      </x:c>
      <x:c r="AF1591" s="17" t="n">
        <x:f>F1591+G1591</x:f>
        <x:v>1</x:v>
      </x:c>
      <x:c r="AG1591" s="21" t="n">
        <x:f>SUM(J1591:O1591)</x:f>
        <x:v>58</x:v>
      </x:c>
      <x:c r="AH1591" s="17" t="n">
        <x:f>SUM(Q1591:S1591)</x:f>
        <x:v>4</x:v>
      </x:c>
      <x:c r="AI1591" s="17" t="n">
        <x:f>SUM(U1591:Y1591)</x:f>
        <x:v>1</x:v>
      </x:c>
      <x:c r="AJ1591" s="17" t="str">
        <x:f>IF(AE1591&lt;=34,"≤34",IF(AE1591&lt;=44,"35–44",IF(AE1591&lt;=54,"45–54",IF(AE1591&lt;=64,"55–64","65+"))))</x:f>
        <x:v>≤34</x:v>
      </x:c>
      <x:c r="AK1591" s="17" t="str">
        <x:f>IF(AG1591&gt;=1000,"High Value",IF(AG1591&gt;=300,"Mid Value","Low Value"))</x:f>
        <x:v>Low Value</x:v>
      </x:c>
      <x:c r="AL1591" s="17" t="str">
        <x:f>IF(AND(AI1591&gt;=1,I1591&lt;=50),"Priority 1",IF(AND(AG1591&gt;=1000,I1591&lt;=60),"Priority 2",IF(I1591&lt;=30,"Priority 3","Nurture")))</x:f>
        <x:v>Priority 1</x:v>
      </x:c>
    </x:row>
    <x:row r="1592">
      <x:c r="A1592" s="16" t="n">
        <x:v>2262</x:v>
      </x:c>
      <x:c r="B1592" s="16" t="n">
        <x:v>1965</x:v>
      </x:c>
      <x:c r="C1592" s="16" t="str">
        <x:v>Master</x:v>
      </x:c>
      <x:c r="D1592" s="16" t="str">
        <x:v>Together</x:v>
      </x:c>
      <x:c r="E1592" s="16" t="n">
        <x:v>45143</x:v>
      </x:c>
      <x:c r="F1592" s="16" t="n">
        <x:v>0</x:v>
      </x:c>
      <x:c r="G1592" s="16" t="n">
        <x:v>1</x:v>
      </x:c>
      <x:c r="H1592" s="16" t="str">
        <x:v>26-08-2013</x:v>
      </x:c>
      <x:c r="I1592" s="16" t="n">
        <x:v>74</x:v>
      </x:c>
      <x:c r="J1592" s="16" t="n">
        <x:v>202</x:v>
      </x:c>
      <x:c r="K1592" s="16" t="n">
        <x:v>5</x:v>
      </x:c>
      <x:c r="L1592" s="16" t="n">
        <x:v>74</x:v>
      </x:c>
      <x:c r="M1592" s="16" t="n">
        <x:v>11</x:v>
      </x:c>
      <x:c r="N1592" s="16" t="n">
        <x:v>5</x:v>
      </x:c>
      <x:c r="O1592" s="16" t="n">
        <x:v>14</x:v>
      </x:c>
      <x:c r="P1592" s="16" t="n">
        <x:v>3</x:v>
      </x:c>
      <x:c r="Q1592" s="16" t="n">
        <x:v>6</x:v>
      </x:c>
      <x:c r="R1592" s="16" t="n">
        <x:v>1</x:v>
      </x:c>
      <x:c r="S1592" s="16" t="n">
        <x:v>5</x:v>
      </x:c>
      <x:c r="T1592" s="16" t="n">
        <x:v>7</x:v>
      </x:c>
      <x:c r="U1592" s="16" t="n">
        <x:v>0</x:v>
      </x:c>
      <x:c r="V1592" s="16" t="n">
        <x:v>0</x:v>
      </x:c>
      <x:c r="W1592" s="16" t="n">
        <x:v>0</x:v>
      </x:c>
      <x:c r="X1592" s="16" t="n">
        <x:v>0</x:v>
      </x:c>
      <x:c r="Y1592" s="16" t="n">
        <x:v>0</x:v>
      </x:c>
      <x:c r="Z1592" s="16" t="n">
        <x:v>0</x:v>
      </x:c>
      <x:c r="AA1592" s="16" t="n">
        <x:v>3</x:v>
      </x:c>
      <x:c r="AB1592" s="16" t="n">
        <x:v>11</x:v>
      </x:c>
      <x:c r="AC1592" s="16" t="n">
        <x:v>0</x:v>
      </x:c>
      <x:c r="AD1592" s="21" t="n">
        <x:f>IF(E1592="",MEDIAN($E$2:$E$2237),E1592)</x:f>
        <x:v>45143</x:v>
      </x:c>
      <x:c r="AE1592" s="17" t="n">
        <x:f>2014-B1592</x:f>
        <x:v>49</x:v>
      </x:c>
      <x:c r="AF1592" s="17" t="n">
        <x:f>F1592+G1592</x:f>
        <x:v>1</x:v>
      </x:c>
      <x:c r="AG1592" s="21" t="n">
        <x:f>SUM(J1592:O1592)</x:f>
        <x:v>311</x:v>
      </x:c>
      <x:c r="AH1592" s="17" t="n">
        <x:f>SUM(Q1592:S1592)</x:f>
        <x:v>12</x:v>
      </x:c>
      <x:c r="AI1592" s="17" t="n">
        <x:f>SUM(U1592:Y1592)</x:f>
        <x:v>0</x:v>
      </x:c>
      <x:c r="AJ1592" s="17" t="str">
        <x:f>IF(AE1592&lt;=34,"≤34",IF(AE1592&lt;=44,"35–44",IF(AE1592&lt;=54,"45–54",IF(AE1592&lt;=64,"55–64","65+"))))</x:f>
        <x:v>45–54</x:v>
      </x:c>
      <x:c r="AK1592" s="17" t="str">
        <x:f>IF(AG1592&gt;=1000,"High Value",IF(AG1592&gt;=300,"Mid Value","Low Value"))</x:f>
        <x:v>Mid Value</x:v>
      </x:c>
      <x:c r="AL1592" s="17" t="str">
        <x:f>IF(AND(AI1592&gt;=1,I1592&lt;=50),"Priority 1",IF(AND(AG1592&gt;=1000,I1592&lt;=60),"Priority 2",IF(I1592&lt;=30,"Priority 3","Nurture")))</x:f>
        <x:v>Nurture</x:v>
      </x:c>
    </x:row>
    <x:row r="1593">
      <x:c r="A1593" s="16" t="n">
        <x:v>1131</x:v>
      </x:c>
      <x:c r="B1593" s="16" t="n">
        <x:v>1967</x:v>
      </x:c>
      <x:c r="C1593" s="16" t="str">
        <x:v>PhD</x:v>
      </x:c>
      <x:c r="D1593" s="16" t="str">
        <x:v>Single</x:v>
      </x:c>
      <x:c r="E1593" s="16" t="n">
        <x:v>52569</x:v>
      </x:c>
      <x:c r="F1593" s="16" t="n">
        <x:v>0</x:v>
      </x:c>
      <x:c r="G1593" s="16" t="n">
        <x:v>1</x:v>
      </x:c>
      <x:c r="H1593" s="16" t="str">
        <x:v>05-04-2014</x:v>
      </x:c>
      <x:c r="I1593" s="16" t="n">
        <x:v>54</x:v>
      </x:c>
      <x:c r="J1593" s="16" t="n">
        <x:v>85</x:v>
      </x:c>
      <x:c r="K1593" s="16" t="n">
        <x:v>0</x:v>
      </x:c>
      <x:c r="L1593" s="16" t="n">
        <x:v>3</x:v>
      </x:c>
      <x:c r="M1593" s="16" t="n">
        <x:v>0</x:v>
      </x:c>
      <x:c r="N1593" s="16" t="n">
        <x:v>0</x:v>
      </x:c>
      <x:c r="O1593" s="16" t="n">
        <x:v>7</x:v>
      </x:c>
      <x:c r="P1593" s="16" t="n">
        <x:v>1</x:v>
      </x:c>
      <x:c r="Q1593" s="16" t="n">
        <x:v>2</x:v>
      </x:c>
      <x:c r="R1593" s="16" t="n">
        <x:v>0</x:v>
      </x:c>
      <x:c r="S1593" s="16" t="n">
        <x:v>4</x:v>
      </x:c>
      <x:c r="T1593" s="16" t="n">
        <x:v>3</x:v>
      </x:c>
      <x:c r="U1593" s="16" t="n">
        <x:v>0</x:v>
      </x:c>
      <x:c r="V1593" s="16" t="n">
        <x:v>0</x:v>
      </x:c>
      <x:c r="W1593" s="16" t="n">
        <x:v>0</x:v>
      </x:c>
      <x:c r="X1593" s="16" t="n">
        <x:v>0</x:v>
      </x:c>
      <x:c r="Y1593" s="16" t="n">
        <x:v>0</x:v>
      </x:c>
      <x:c r="Z1593" s="16" t="n">
        <x:v>0</x:v>
      </x:c>
      <x:c r="AA1593" s="16" t="n">
        <x:v>3</x:v>
      </x:c>
      <x:c r="AB1593" s="16" t="n">
        <x:v>11</x:v>
      </x:c>
      <x:c r="AC1593" s="16" t="n">
        <x:v>0</x:v>
      </x:c>
      <x:c r="AD1593" s="21" t="n">
        <x:f>IF(E1593="",MEDIAN($E$2:$E$2237),E1593)</x:f>
        <x:v>52569</x:v>
      </x:c>
      <x:c r="AE1593" s="17" t="n">
        <x:f>2014-B1593</x:f>
        <x:v>47</x:v>
      </x:c>
      <x:c r="AF1593" s="17" t="n">
        <x:f>F1593+G1593</x:f>
        <x:v>1</x:v>
      </x:c>
      <x:c r="AG1593" s="21" t="n">
        <x:f>SUM(J1593:O1593)</x:f>
        <x:v>95</x:v>
      </x:c>
      <x:c r="AH1593" s="17" t="n">
        <x:f>SUM(Q1593:S1593)</x:f>
        <x:v>6</x:v>
      </x:c>
      <x:c r="AI1593" s="17" t="n">
        <x:f>SUM(U1593:Y1593)</x:f>
        <x:v>0</x:v>
      </x:c>
      <x:c r="AJ1593" s="17" t="str">
        <x:f>IF(AE1593&lt;=34,"≤34",IF(AE1593&lt;=44,"35–44",IF(AE1593&lt;=54,"45–54",IF(AE1593&lt;=64,"55–64","65+"))))</x:f>
        <x:v>45–54</x:v>
      </x:c>
      <x:c r="AK1593" s="17" t="str">
        <x:f>IF(AG1593&gt;=1000,"High Value",IF(AG1593&gt;=300,"Mid Value","Low Value"))</x:f>
        <x:v>Low Value</x:v>
      </x:c>
      <x:c r="AL1593" s="17" t="str">
        <x:f>IF(AND(AI1593&gt;=1,I1593&lt;=50),"Priority 1",IF(AND(AG1593&gt;=1000,I1593&lt;=60),"Priority 2",IF(I1593&lt;=30,"Priority 3","Nurture")))</x:f>
        <x:v>Nurture</x:v>
      </x:c>
    </x:row>
    <x:row r="1594">
      <x:c r="A1594" s="16" t="n">
        <x:v>1041</x:v>
      </x:c>
      <x:c r="B1594" s="16" t="n">
        <x:v>1973</x:v>
      </x:c>
      <x:c r="C1594" s="16" t="str">
        <x:v>PhD</x:v>
      </x:c>
      <x:c r="D1594" s="16" t="str">
        <x:v>Single</x:v>
      </x:c>
      <x:c r="E1594" s="16" t="n">
        <x:v>48432</x:v>
      </x:c>
      <x:c r="F1594" s="16" t="n">
        <x:v>0</x:v>
      </x:c>
      <x:c r="G1594" s="16" t="n">
        <x:v>1</x:v>
      </x:c>
      <x:c r="H1594" s="16" t="str">
        <x:v>18-10-2012</x:v>
      </x:c>
      <x:c r="I1594" s="16" t="n">
        <x:v>3</x:v>
      </x:c>
      <x:c r="J1594" s="16" t="n">
        <x:v>322</x:v>
      </x:c>
      <x:c r="K1594" s="16" t="n">
        <x:v>3</x:v>
      </x:c>
      <x:c r="L1594" s="16" t="n">
        <x:v>50</x:v>
      </x:c>
      <x:c r="M1594" s="16" t="n">
        <x:v>4</x:v>
      </x:c>
      <x:c r="N1594" s="16" t="n">
        <x:v>3</x:v>
      </x:c>
      <x:c r="O1594" s="16" t="n">
        <x:v>42</x:v>
      </x:c>
      <x:c r="P1594" s="16" t="n">
        <x:v>5</x:v>
      </x:c>
      <x:c r="Q1594" s="16" t="n">
        <x:v>7</x:v>
      </x:c>
      <x:c r="R1594" s="16" t="n">
        <x:v>1</x:v>
      </x:c>
      <x:c r="S1594" s="16" t="n">
        <x:v>6</x:v>
      </x:c>
      <x:c r="T1594" s="16" t="n">
        <x:v>8</x:v>
      </x:c>
      <x:c r="U1594" s="16" t="n">
        <x:v>0</x:v>
      </x:c>
      <x:c r="V1594" s="16" t="n">
        <x:v>0</x:v>
      </x:c>
      <x:c r="W1594" s="16" t="n">
        <x:v>0</x:v>
      </x:c>
      <x:c r="X1594" s="16" t="n">
        <x:v>0</x:v>
      </x:c>
      <x:c r="Y1594" s="16" t="n">
        <x:v>0</x:v>
      </x:c>
      <x:c r="Z1594" s="16" t="n">
        <x:v>0</x:v>
      </x:c>
      <x:c r="AA1594" s="16" t="n">
        <x:v>3</x:v>
      </x:c>
      <x:c r="AB1594" s="16" t="n">
        <x:v>11</x:v>
      </x:c>
      <x:c r="AC1594" s="16" t="n">
        <x:v>1</x:v>
      </x:c>
      <x:c r="AD1594" s="21" t="n">
        <x:f>IF(E1594="",MEDIAN($E$2:$E$2237),E1594)</x:f>
        <x:v>48432</x:v>
      </x:c>
      <x:c r="AE1594" s="17" t="n">
        <x:f>2014-B1594</x:f>
        <x:v>41</x:v>
      </x:c>
      <x:c r="AF1594" s="17" t="n">
        <x:f>F1594+G1594</x:f>
        <x:v>1</x:v>
      </x:c>
      <x:c r="AG1594" s="21" t="n">
        <x:f>SUM(J1594:O1594)</x:f>
        <x:v>424</x:v>
      </x:c>
      <x:c r="AH1594" s="17" t="n">
        <x:f>SUM(Q1594:S1594)</x:f>
        <x:v>14</x:v>
      </x:c>
      <x:c r="AI1594" s="17" t="n">
        <x:f>SUM(U1594:Y1594)</x:f>
        <x:v>0</x:v>
      </x:c>
      <x:c r="AJ1594" s="17" t="str">
        <x:f>IF(AE1594&lt;=34,"≤34",IF(AE1594&lt;=44,"35–44",IF(AE1594&lt;=54,"45–54",IF(AE1594&lt;=64,"55–64","65+"))))</x:f>
        <x:v>35–44</x:v>
      </x:c>
      <x:c r="AK1594" s="17" t="str">
        <x:f>IF(AG1594&gt;=1000,"High Value",IF(AG1594&gt;=300,"Mid Value","Low Value"))</x:f>
        <x:v>Mid Value</x:v>
      </x:c>
      <x:c r="AL1594" s="17" t="str">
        <x:f>IF(AND(AI1594&gt;=1,I1594&lt;=50),"Priority 1",IF(AND(AG1594&gt;=1000,I1594&lt;=60),"Priority 2",IF(I1594&lt;=30,"Priority 3","Nurture")))</x:f>
        <x:v>Priority 3</x:v>
      </x:c>
    </x:row>
    <x:row r="1595">
      <x:c r="A1595" s="16" t="n">
        <x:v>24</x:v>
      </x:c>
      <x:c r="B1595" s="16" t="n">
        <x:v>1960</x:v>
      </x:c>
      <x:c r="C1595" s="16" t="str">
        <x:v>Master</x:v>
      </x:c>
      <x:c r="D1595" s="16" t="str">
        <x:v>Together</x:v>
      </x:c>
      <x:c r="E1595" s="16" t="n">
        <x:v>17144</x:v>
      </x:c>
      <x:c r="F1595" s="16" t="n">
        <x:v>1</x:v>
      </x:c>
      <x:c r="G1595" s="16" t="n">
        <x:v>1</x:v>
      </x:c>
      <x:c r="H1595" s="16" t="str">
        <x:v>15-02-2014</x:v>
      </x:c>
      <x:c r="I1595" s="16" t="n">
        <x:v>96</x:v>
      </x:c>
      <x:c r="J1595" s="16" t="n">
        <x:v>18</x:v>
      </x:c>
      <x:c r="K1595" s="16" t="n">
        <x:v>2</x:v>
      </x:c>
      <x:c r="L1595" s="16" t="n">
        <x:v>19</x:v>
      </x:c>
      <x:c r="M1595" s="16" t="n">
        <x:v>0</x:v>
      </x:c>
      <x:c r="N1595" s="16" t="n">
        <x:v>2</x:v>
      </x:c>
      <x:c r="O1595" s="16" t="n">
        <x:v>6</x:v>
      </x:c>
      <x:c r="P1595" s="16" t="n">
        <x:v>5</x:v>
      </x:c>
      <x:c r="Q1595" s="16" t="n">
        <x:v>3</x:v>
      </x:c>
      <x:c r="R1595" s="16" t="n">
        <x:v>0</x:v>
      </x:c>
      <x:c r="S1595" s="16" t="n">
        <x:v>4</x:v>
      </x:c>
      <x:c r="T1595" s="16" t="n">
        <x:v>7</x:v>
      </x:c>
      <x:c r="U1595" s="16" t="n">
        <x:v>0</x:v>
      </x:c>
      <x:c r="V1595" s="16" t="n">
        <x:v>0</x:v>
      </x:c>
      <x:c r="W1595" s="16" t="n">
        <x:v>0</x:v>
      </x:c>
      <x:c r="X1595" s="16" t="n">
        <x:v>0</x:v>
      </x:c>
      <x:c r="Y1595" s="16" t="n">
        <x:v>0</x:v>
      </x:c>
      <x:c r="Z1595" s="16" t="n">
        <x:v>0</x:v>
      </x:c>
      <x:c r="AA1595" s="16" t="n">
        <x:v>3</x:v>
      </x:c>
      <x:c r="AB1595" s="16" t="n">
        <x:v>11</x:v>
      </x:c>
      <x:c r="AC1595" s="16" t="n">
        <x:v>0</x:v>
      </x:c>
      <x:c r="AD1595" s="21" t="n">
        <x:f>IF(E1595="",MEDIAN($E$2:$E$2237),E1595)</x:f>
        <x:v>17144</x:v>
      </x:c>
      <x:c r="AE1595" s="17" t="n">
        <x:f>2014-B1595</x:f>
        <x:v>54</x:v>
      </x:c>
      <x:c r="AF1595" s="17" t="n">
        <x:f>F1595+G1595</x:f>
        <x:v>2</x:v>
      </x:c>
      <x:c r="AG1595" s="21" t="n">
        <x:f>SUM(J1595:O1595)</x:f>
        <x:v>47</x:v>
      </x:c>
      <x:c r="AH1595" s="17" t="n">
        <x:f>SUM(Q1595:S1595)</x:f>
        <x:v>7</x:v>
      </x:c>
      <x:c r="AI1595" s="17" t="n">
        <x:f>SUM(U1595:Y1595)</x:f>
        <x:v>0</x:v>
      </x:c>
      <x:c r="AJ1595" s="17" t="str">
        <x:f>IF(AE1595&lt;=34,"≤34",IF(AE1595&lt;=44,"35–44",IF(AE1595&lt;=54,"45–54",IF(AE1595&lt;=64,"55–64","65+"))))</x:f>
        <x:v>45–54</x:v>
      </x:c>
      <x:c r="AK1595" s="17" t="str">
        <x:f>IF(AG1595&gt;=1000,"High Value",IF(AG1595&gt;=300,"Mid Value","Low Value"))</x:f>
        <x:v>Low Value</x:v>
      </x:c>
      <x:c r="AL1595" s="17" t="str">
        <x:f>IF(AND(AI1595&gt;=1,I1595&lt;=50),"Priority 1",IF(AND(AG1595&gt;=1000,I1595&lt;=60),"Priority 2",IF(I1595&lt;=30,"Priority 3","Nurture")))</x:f>
        <x:v>Nurture</x:v>
      </x:c>
    </x:row>
    <x:row r="1596">
      <x:c r="A1596" s="16" t="n">
        <x:v>3409</x:v>
      </x:c>
      <x:c r="B1596" s="16" t="n">
        <x:v>1984</x:v>
      </x:c>
      <x:c r="C1596" s="16" t="str">
        <x:v>Graduation</x:v>
      </x:c>
      <x:c r="D1596" s="16" t="str">
        <x:v>Single</x:v>
      </x:c>
      <x:c r="E1596" s="16" t="n">
        <x:v>36108</x:v>
      </x:c>
      <x:c r="F1596" s="16" t="n">
        <x:v>1</x:v>
      </x:c>
      <x:c r="G1596" s="16" t="n">
        <x:v>0</x:v>
      </x:c>
      <x:c r="H1596" s="16" t="str">
        <x:v>15-10-2013</x:v>
      </x:c>
      <x:c r="I1596" s="16" t="n">
        <x:v>68</x:v>
      </x:c>
      <x:c r="J1596" s="16" t="n">
        <x:v>141</x:v>
      </x:c>
      <x:c r="K1596" s="16" t="n">
        <x:v>8</x:v>
      </x:c>
      <x:c r="L1596" s="16" t="n">
        <x:v>129</x:v>
      </x:c>
      <x:c r="M1596" s="16" t="n">
        <x:v>3</x:v>
      </x:c>
      <x:c r="N1596" s="16" t="n">
        <x:v>11</x:v>
      </x:c>
      <x:c r="O1596" s="16" t="n">
        <x:v>47</x:v>
      </x:c>
      <x:c r="P1596" s="16" t="n">
        <x:v>3</x:v>
      </x:c>
      <x:c r="Q1596" s="16" t="n">
        <x:v>7</x:v>
      </x:c>
      <x:c r="R1596" s="16" t="n">
        <x:v>1</x:v>
      </x:c>
      <x:c r="S1596" s="16" t="n">
        <x:v>4</x:v>
      </x:c>
      <x:c r="T1596" s="16" t="n">
        <x:v>9</x:v>
      </x:c>
      <x:c r="U1596" s="16" t="n">
        <x:v>1</x:v>
      </x:c>
      <x:c r="V1596" s="16" t="n">
        <x:v>0</x:v>
      </x:c>
      <x:c r="W1596" s="16" t="n">
        <x:v>0</x:v>
      </x:c>
      <x:c r="X1596" s="16" t="n">
        <x:v>0</x:v>
      </x:c>
      <x:c r="Y1596" s="16" t="n">
        <x:v>0</x:v>
      </x:c>
      <x:c r="Z1596" s="16" t="n">
        <x:v>0</x:v>
      </x:c>
      <x:c r="AA1596" s="16" t="n">
        <x:v>3</x:v>
      </x:c>
      <x:c r="AB1596" s="16" t="n">
        <x:v>11</x:v>
      </x:c>
      <x:c r="AC1596" s="16" t="n">
        <x:v>0</x:v>
      </x:c>
      <x:c r="AD1596" s="21" t="n">
        <x:f>IF(E1596="",MEDIAN($E$2:$E$2237),E1596)</x:f>
        <x:v>36108</x:v>
      </x:c>
      <x:c r="AE1596" s="17" t="n">
        <x:f>2014-B1596</x:f>
        <x:v>30</x:v>
      </x:c>
      <x:c r="AF1596" s="17" t="n">
        <x:f>F1596+G1596</x:f>
        <x:v>1</x:v>
      </x:c>
      <x:c r="AG1596" s="21" t="n">
        <x:f>SUM(J1596:O1596)</x:f>
        <x:v>339</x:v>
      </x:c>
      <x:c r="AH1596" s="17" t="n">
        <x:f>SUM(Q1596:S1596)</x:f>
        <x:v>12</x:v>
      </x:c>
      <x:c r="AI1596" s="17" t="n">
        <x:f>SUM(U1596:Y1596)</x:f>
        <x:v>1</x:v>
      </x:c>
      <x:c r="AJ1596" s="17" t="str">
        <x:f>IF(AE1596&lt;=34,"≤34",IF(AE1596&lt;=44,"35–44",IF(AE1596&lt;=54,"45–54",IF(AE1596&lt;=64,"55–64","65+"))))</x:f>
        <x:v>≤34</x:v>
      </x:c>
      <x:c r="AK1596" s="17" t="str">
        <x:f>IF(AG1596&gt;=1000,"High Value",IF(AG1596&gt;=300,"Mid Value","Low Value"))</x:f>
        <x:v>Mid Value</x:v>
      </x:c>
      <x:c r="AL1596" s="17" t="str">
        <x:f>IF(AND(AI1596&gt;=1,I1596&lt;=50),"Priority 1",IF(AND(AG1596&gt;=1000,I1596&lt;=60),"Priority 2",IF(I1596&lt;=30,"Priority 3","Nurture")))</x:f>
        <x:v>Nurture</x:v>
      </x:c>
    </x:row>
    <x:row r="1597">
      <x:c r="A1597" s="16" t="n">
        <x:v>7022</x:v>
      </x:c>
      <x:c r="B1597" s="16" t="n">
        <x:v>1971</x:v>
      </x:c>
      <x:c r="C1597" s="16" t="str">
        <x:v>Graduation</x:v>
      </x:c>
      <x:c r="D1597" s="16" t="str">
        <x:v>Married</x:v>
      </x:c>
      <x:c r="E1597" s="16" t="n">
        <x:v>76445</x:v>
      </x:c>
      <x:c r="F1597" s="16" t="n">
        <x:v>1</x:v>
      </x:c>
      <x:c r="G1597" s="16" t="n">
        <x:v>0</x:v>
      </x:c>
      <x:c r="H1597" s="16" t="str">
        <x:v>28-09-2012</x:v>
      </x:c>
      <x:c r="I1597" s="16" t="n">
        <x:v>2</x:v>
      </x:c>
      <x:c r="J1597" s="16" t="n">
        <x:v>739</x:v>
      </x:c>
      <x:c r="K1597" s="16" t="n">
        <x:v>107</x:v>
      </x:c>
      <x:c r="L1597" s="16" t="n">
        <x:v>309</x:v>
      </x:c>
      <x:c r="M1597" s="16" t="n">
        <x:v>140</x:v>
      </x:c>
      <x:c r="N1597" s="16" t="n">
        <x:v>80</x:v>
      </x:c>
      <x:c r="O1597" s="16" t="n">
        <x:v>35</x:v>
      </x:c>
      <x:c r="P1597" s="16" t="n">
        <x:v>1</x:v>
      </x:c>
      <x:c r="Q1597" s="16" t="n">
        <x:v>2</x:v>
      </x:c>
      <x:c r="R1597" s="16" t="n">
        <x:v>5</x:v>
      </x:c>
      <x:c r="S1597" s="16" t="n">
        <x:v>13</x:v>
      </x:c>
      <x:c r="T1597" s="16" t="n">
        <x:v>6</x:v>
      </x:c>
      <x:c r="U1597" s="16" t="n">
        <x:v>0</x:v>
      </x:c>
      <x:c r="V1597" s="16" t="n">
        <x:v>0</x:v>
      </x:c>
      <x:c r="W1597" s="16" t="n">
        <x:v>0</x:v>
      </x:c>
      <x:c r="X1597" s="16" t="n">
        <x:v>0</x:v>
      </x:c>
      <x:c r="Y1597" s="16" t="n">
        <x:v>0</x:v>
      </x:c>
      <x:c r="Z1597" s="16" t="n">
        <x:v>0</x:v>
      </x:c>
      <x:c r="AA1597" s="16" t="n">
        <x:v>3</x:v>
      </x:c>
      <x:c r="AB1597" s="16" t="n">
        <x:v>11</x:v>
      </x:c>
      <x:c r="AC1597" s="16" t="n">
        <x:v>0</x:v>
      </x:c>
      <x:c r="AD1597" s="21" t="n">
        <x:f>IF(E1597="",MEDIAN($E$2:$E$2237),E1597)</x:f>
        <x:v>76445</x:v>
      </x:c>
      <x:c r="AE1597" s="17" t="n">
        <x:f>2014-B1597</x:f>
        <x:v>43</x:v>
      </x:c>
      <x:c r="AF1597" s="17" t="n">
        <x:f>F1597+G1597</x:f>
        <x:v>1</x:v>
      </x:c>
      <x:c r="AG1597" s="21" t="n">
        <x:f>SUM(J1597:O1597)</x:f>
        <x:v>1410</x:v>
      </x:c>
      <x:c r="AH1597" s="17" t="n">
        <x:f>SUM(Q1597:S1597)</x:f>
        <x:v>20</x:v>
      </x:c>
      <x:c r="AI1597" s="17" t="n">
        <x:f>SUM(U1597:Y1597)</x:f>
        <x:v>0</x:v>
      </x:c>
      <x:c r="AJ1597" s="17" t="str">
        <x:f>IF(AE1597&lt;=34,"≤34",IF(AE1597&lt;=44,"35–44",IF(AE1597&lt;=54,"45–54",IF(AE1597&lt;=64,"55–64","65+"))))</x:f>
        <x:v>35–44</x:v>
      </x:c>
      <x:c r="AK1597" s="17" t="str">
        <x:f>IF(AG1597&gt;=1000,"High Value",IF(AG1597&gt;=300,"Mid Value","Low Value"))</x:f>
        <x:v>High Value</x:v>
      </x:c>
      <x:c r="AL1597" s="17" t="str">
        <x:f>IF(AND(AI1597&gt;=1,I1597&lt;=50),"Priority 1",IF(AND(AG1597&gt;=1000,I1597&lt;=60),"Priority 2",IF(I1597&lt;=30,"Priority 3","Nurture")))</x:f>
        <x:v>Priority 2</x:v>
      </x:c>
    </x:row>
    <x:row r="1598">
      <x:c r="A1598" s="16" t="n">
        <x:v>7943</x:v>
      </x:c>
      <x:c r="B1598" s="16" t="n">
        <x:v>1975</x:v>
      </x:c>
      <x:c r="C1598" s="16" t="str">
        <x:v>PhD</x:v>
      </x:c>
      <x:c r="D1598" s="16" t="str">
        <x:v>Married</x:v>
      </x:c>
      <x:c r="E1598" s="16" t="n">
        <x:v>36663</x:v>
      </x:c>
      <x:c r="F1598" s="16" t="n">
        <x:v>1</x:v>
      </x:c>
      <x:c r="G1598" s="16" t="n">
        <x:v>0</x:v>
      </x:c>
      <x:c r="H1598" s="16" t="str">
        <x:v>25-04-2014</x:v>
      </x:c>
      <x:c r="I1598" s="16" t="n">
        <x:v>40</x:v>
      </x:c>
      <x:c r="J1598" s="16" t="n">
        <x:v>18</x:v>
      </x:c>
      <x:c r="K1598" s="16" t="n">
        <x:v>0</x:v>
      </x:c>
      <x:c r="L1598" s="16" t="n">
        <x:v>6</x:v>
      </x:c>
      <x:c r="M1598" s="16" t="n">
        <x:v>3</x:v>
      </x:c>
      <x:c r="N1598" s="16" t="n">
        <x:v>3</x:v>
      </x:c>
      <x:c r="O1598" s="16" t="n">
        <x:v>5</x:v>
      </x:c>
      <x:c r="P1598" s="16" t="n">
        <x:v>1</x:v>
      </x:c>
      <x:c r="Q1598" s="16" t="n">
        <x:v>1</x:v>
      </x:c>
      <x:c r="R1598" s="16" t="n">
        <x:v>1</x:v>
      </x:c>
      <x:c r="S1598" s="16" t="n">
        <x:v>3</x:v>
      </x:c>
      <x:c r="T1598" s="16" t="n">
        <x:v>2</x:v>
      </x:c>
      <x:c r="U1598" s="16" t="n">
        <x:v>0</x:v>
      </x:c>
      <x:c r="V1598" s="16" t="n">
        <x:v>0</x:v>
      </x:c>
      <x:c r="W1598" s="16" t="n">
        <x:v>0</x:v>
      </x:c>
      <x:c r="X1598" s="16" t="n">
        <x:v>0</x:v>
      </x:c>
      <x:c r="Y1598" s="16" t="n">
        <x:v>0</x:v>
      </x:c>
      <x:c r="Z1598" s="16" t="n">
        <x:v>0</x:v>
      </x:c>
      <x:c r="AA1598" s="16" t="n">
        <x:v>3</x:v>
      </x:c>
      <x:c r="AB1598" s="16" t="n">
        <x:v>11</x:v>
      </x:c>
      <x:c r="AC1598" s="16" t="n">
        <x:v>0</x:v>
      </x:c>
      <x:c r="AD1598" s="21" t="n">
        <x:f>IF(E1598="",MEDIAN($E$2:$E$2237),E1598)</x:f>
        <x:v>36663</x:v>
      </x:c>
      <x:c r="AE1598" s="17" t="n">
        <x:f>2014-B1598</x:f>
        <x:v>39</x:v>
      </x:c>
      <x:c r="AF1598" s="17" t="n">
        <x:f>F1598+G1598</x:f>
        <x:v>1</x:v>
      </x:c>
      <x:c r="AG1598" s="21" t="n">
        <x:f>SUM(J1598:O1598)</x:f>
        <x:v>35</x:v>
      </x:c>
      <x:c r="AH1598" s="17" t="n">
        <x:f>SUM(Q1598:S1598)</x:f>
        <x:v>5</x:v>
      </x:c>
      <x:c r="AI1598" s="17" t="n">
        <x:f>SUM(U1598:Y1598)</x:f>
        <x:v>0</x:v>
      </x:c>
      <x:c r="AJ1598" s="17" t="str">
        <x:f>IF(AE1598&lt;=34,"≤34",IF(AE1598&lt;=44,"35–44",IF(AE1598&lt;=54,"45–54",IF(AE1598&lt;=64,"55–64","65+"))))</x:f>
        <x:v>35–44</x:v>
      </x:c>
      <x:c r="AK1598" s="17" t="str">
        <x:f>IF(AG1598&gt;=1000,"High Value",IF(AG1598&gt;=300,"Mid Value","Low Value"))</x:f>
        <x:v>Low Value</x:v>
      </x:c>
      <x:c r="AL1598" s="17" t="str">
        <x:f>IF(AND(AI1598&gt;=1,I1598&lt;=50),"Priority 1",IF(AND(AG1598&gt;=1000,I1598&lt;=60),"Priority 2",IF(I1598&lt;=30,"Priority 3","Nurture")))</x:f>
        <x:v>Nurture</x:v>
      </x:c>
    </x:row>
    <x:row r="1599">
      <x:c r="A1599" s="16" t="n">
        <x:v>5272</x:v>
      </x:c>
      <x:c r="B1599" s="16" t="n">
        <x:v>1965</x:v>
      </x:c>
      <x:c r="C1599" s="16" t="str">
        <x:v>Master</x:v>
      </x:c>
      <x:c r="D1599" s="16" t="str">
        <x:v>Married</x:v>
      </x:c>
      <x:c r="E1599" s="16" t="n">
        <x:v>53843</x:v>
      </x:c>
      <x:c r="F1599" s="16" t="n">
        <x:v>0</x:v>
      </x:c>
      <x:c r="G1599" s="16" t="n">
        <x:v>1</x:v>
      </x:c>
      <x:c r="H1599" s="16" t="str">
        <x:v>27-06-2013</x:v>
      </x:c>
      <x:c r="I1599" s="16" t="n">
        <x:v>64</x:v>
      </x:c>
      <x:c r="J1599" s="16" t="n">
        <x:v>378</x:v>
      </x:c>
      <x:c r="K1599" s="16" t="n">
        <x:v>0</x:v>
      </x:c>
      <x:c r="L1599" s="16" t="n">
        <x:v>88</x:v>
      </x:c>
      <x:c r="M1599" s="16" t="n">
        <x:v>19</x:v>
      </x:c>
      <x:c r="N1599" s="16" t="n">
        <x:v>4</x:v>
      </x:c>
      <x:c r="O1599" s="16" t="n">
        <x:v>73</x:v>
      </x:c>
      <x:c r="P1599" s="16" t="n">
        <x:v>4</x:v>
      </x:c>
      <x:c r="Q1599" s="16" t="n">
        <x:v>8</x:v>
      </x:c>
      <x:c r="R1599" s="16" t="n">
        <x:v>5</x:v>
      </x:c>
      <x:c r="S1599" s="16" t="n">
        <x:v>3</x:v>
      </x:c>
      <x:c r="T1599" s="16" t="n">
        <x:v>7</x:v>
      </x:c>
      <x:c r="U1599" s="16" t="n">
        <x:v>0</x:v>
      </x:c>
      <x:c r="V1599" s="16" t="n">
        <x:v>0</x:v>
      </x:c>
      <x:c r="W1599" s="16" t="n">
        <x:v>0</x:v>
      </x:c>
      <x:c r="X1599" s="16" t="n">
        <x:v>0</x:v>
      </x:c>
      <x:c r="Y1599" s="16" t="n">
        <x:v>0</x:v>
      </x:c>
      <x:c r="Z1599" s="16" t="n">
        <x:v>0</x:v>
      </x:c>
      <x:c r="AA1599" s="16" t="n">
        <x:v>3</x:v>
      </x:c>
      <x:c r="AB1599" s="16" t="n">
        <x:v>11</x:v>
      </x:c>
      <x:c r="AC1599" s="16" t="n">
        <x:v>0</x:v>
      </x:c>
      <x:c r="AD1599" s="21" t="n">
        <x:f>IF(E1599="",MEDIAN($E$2:$E$2237),E1599)</x:f>
        <x:v>53843</x:v>
      </x:c>
      <x:c r="AE1599" s="17" t="n">
        <x:f>2014-B1599</x:f>
        <x:v>49</x:v>
      </x:c>
      <x:c r="AF1599" s="17" t="n">
        <x:f>F1599+G1599</x:f>
        <x:v>1</x:v>
      </x:c>
      <x:c r="AG1599" s="21" t="n">
        <x:f>SUM(J1599:O1599)</x:f>
        <x:v>562</x:v>
      </x:c>
      <x:c r="AH1599" s="17" t="n">
        <x:f>SUM(Q1599:S1599)</x:f>
        <x:v>16</x:v>
      </x:c>
      <x:c r="AI1599" s="17" t="n">
        <x:f>SUM(U1599:Y1599)</x:f>
        <x:v>0</x:v>
      </x:c>
      <x:c r="AJ1599" s="17" t="str">
        <x:f>IF(AE1599&lt;=34,"≤34",IF(AE1599&lt;=44,"35–44",IF(AE1599&lt;=54,"45–54",IF(AE1599&lt;=64,"55–64","65+"))))</x:f>
        <x:v>45–54</x:v>
      </x:c>
      <x:c r="AK1599" s="17" t="str">
        <x:f>IF(AG1599&gt;=1000,"High Value",IF(AG1599&gt;=300,"Mid Value","Low Value"))</x:f>
        <x:v>Mid Value</x:v>
      </x:c>
      <x:c r="AL1599" s="17" t="str">
        <x:f>IF(AND(AI1599&gt;=1,I1599&lt;=50),"Priority 1",IF(AND(AG1599&gt;=1000,I1599&lt;=60),"Priority 2",IF(I1599&lt;=30,"Priority 3","Nurture")))</x:f>
        <x:v>Nurture</x:v>
      </x:c>
    </x:row>
    <x:row r="1600">
      <x:c r="A1600" s="16" t="n">
        <x:v>5453</x:v>
      </x:c>
      <x:c r="B1600" s="16" t="n">
        <x:v>1956</x:v>
      </x:c>
      <x:c r="C1600" s="16" t="str">
        <x:v>Master</x:v>
      </x:c>
      <x:c r="D1600" s="16" t="str">
        <x:v>Married</x:v>
      </x:c>
      <x:c r="E1600" s="16" t="n">
        <x:v>90226</x:v>
      </x:c>
      <x:c r="F1600" s="16" t="n">
        <x:v>0</x:v>
      </x:c>
      <x:c r="G1600" s="16" t="n">
        <x:v>0</x:v>
      </x:c>
      <x:c r="H1600" s="16" t="str">
        <x:v>26-09-2012</x:v>
      </x:c>
      <x:c r="I1600" s="16" t="n">
        <x:v>26</x:v>
      </x:c>
      <x:c r="J1600" s="16" t="n">
        <x:v>1083</x:v>
      </x:c>
      <x:c r="K1600" s="16" t="n">
        <x:v>108</x:v>
      </x:c>
      <x:c r="L1600" s="16" t="n">
        <x:v>649</x:v>
      </x:c>
      <x:c r="M1600" s="16" t="n">
        <x:v>253</x:v>
      </x:c>
      <x:c r="N1600" s="16" t="n">
        <x:v>151</x:v>
      </x:c>
      <x:c r="O1600" s="16" t="n">
        <x:v>108</x:v>
      </x:c>
      <x:c r="P1600" s="16" t="n">
        <x:v>1</x:v>
      </x:c>
      <x:c r="Q1600" s="16" t="n">
        <x:v>4</x:v>
      </x:c>
      <x:c r="R1600" s="16" t="n">
        <x:v>7</x:v>
      </x:c>
      <x:c r="S1600" s="16" t="n">
        <x:v>12</x:v>
      </x:c>
      <x:c r="T1600" s="16" t="n">
        <x:v>2</x:v>
      </x:c>
      <x:c r="U1600" s="16" t="n">
        <x:v>0</x:v>
      </x:c>
      <x:c r="V1600" s="16" t="n">
        <x:v>0</x:v>
      </x:c>
      <x:c r="W1600" s="16" t="n">
        <x:v>0</x:v>
      </x:c>
      <x:c r="X1600" s="16" t="n">
        <x:v>1</x:v>
      </x:c>
      <x:c r="Y1600" s="16" t="n">
        <x:v>0</x:v>
      </x:c>
      <x:c r="Z1600" s="16" t="n">
        <x:v>0</x:v>
      </x:c>
      <x:c r="AA1600" s="16" t="n">
        <x:v>3</x:v>
      </x:c>
      <x:c r="AB1600" s="16" t="n">
        <x:v>11</x:v>
      </x:c>
      <x:c r="AC1600" s="16" t="n">
        <x:v>0</x:v>
      </x:c>
      <x:c r="AD1600" s="21" t="n">
        <x:f>IF(E1600="",MEDIAN($E$2:$E$2237),E1600)</x:f>
        <x:v>90226</x:v>
      </x:c>
      <x:c r="AE1600" s="17" t="n">
        <x:f>2014-B1600</x:f>
        <x:v>58</x:v>
      </x:c>
      <x:c r="AF1600" s="17" t="n">
        <x:f>F1600+G1600</x:f>
        <x:v>0</x:v>
      </x:c>
      <x:c r="AG1600" s="21" t="n">
        <x:f>SUM(J1600:O1600)</x:f>
        <x:v>2352</x:v>
      </x:c>
      <x:c r="AH1600" s="17" t="n">
        <x:f>SUM(Q1600:S1600)</x:f>
        <x:v>23</x:v>
      </x:c>
      <x:c r="AI1600" s="17" t="n">
        <x:f>SUM(U1600:Y1600)</x:f>
        <x:v>1</x:v>
      </x:c>
      <x:c r="AJ1600" s="17" t="str">
        <x:f>IF(AE1600&lt;=34,"≤34",IF(AE1600&lt;=44,"35–44",IF(AE1600&lt;=54,"45–54",IF(AE1600&lt;=64,"55–64","65+"))))</x:f>
        <x:v>55–64</x:v>
      </x:c>
      <x:c r="AK1600" s="17" t="str">
        <x:f>IF(AG1600&gt;=1000,"High Value",IF(AG1600&gt;=300,"Mid Value","Low Value"))</x:f>
        <x:v>High Value</x:v>
      </x:c>
      <x:c r="AL1600" s="17" t="str">
        <x:f>IF(AND(AI1600&gt;=1,I1600&lt;=50),"Priority 1",IF(AND(AG1600&gt;=1000,I1600&lt;=60),"Priority 2",IF(I1600&lt;=30,"Priority 3","Nurture")))</x:f>
        <x:v>Priority 1</x:v>
      </x:c>
    </x:row>
    <x:row r="1601">
      <x:c r="A1601" s="16" t="n">
        <x:v>2565</x:v>
      </x:c>
      <x:c r="B1601" s="16" t="n">
        <x:v>1955</x:v>
      </x:c>
      <x:c r="C1601" s="16" t="str">
        <x:v>Master</x:v>
      </x:c>
      <x:c r="D1601" s="16" t="str">
        <x:v>Divorced</x:v>
      </x:c>
      <x:c r="E1601" s="16" t="n">
        <x:v>70638</x:v>
      </x:c>
      <x:c r="F1601" s="16" t="n">
        <x:v>0</x:v>
      </x:c>
      <x:c r="G1601" s="16" t="n">
        <x:v>0</x:v>
      </x:c>
      <x:c r="H1601" s="16" t="str">
        <x:v>01-06-2013</x:v>
      </x:c>
      <x:c r="I1601" s="16" t="n">
        <x:v>69</x:v>
      </x:c>
      <x:c r="J1601" s="16" t="n">
        <x:v>1016</x:v>
      </x:c>
      <x:c r="K1601" s="16" t="n">
        <x:v>12</x:v>
      </x:c>
      <x:c r="L1601" s="16" t="n">
        <x:v>215</x:v>
      </x:c>
      <x:c r="M1601" s="16" t="n">
        <x:v>16</x:v>
      </x:c>
      <x:c r="N1601" s="16" t="n">
        <x:v>12</x:v>
      </x:c>
      <x:c r="O1601" s="16" t="n">
        <x:v>63</x:v>
      </x:c>
      <x:c r="P1601" s="16" t="n">
        <x:v>1</x:v>
      </x:c>
      <x:c r="Q1601" s="16" t="n">
        <x:v>4</x:v>
      </x:c>
      <x:c r="R1601" s="16" t="n">
        <x:v>5</x:v>
      </x:c>
      <x:c r="S1601" s="16" t="n">
        <x:v>10</x:v>
      </x:c>
      <x:c r="T1601" s="16" t="n">
        <x:v>3</x:v>
      </x:c>
      <x:c r="U1601" s="16" t="n">
        <x:v>0</x:v>
      </x:c>
      <x:c r="V1601" s="16" t="n">
        <x:v>1</x:v>
      </x:c>
      <x:c r="W1601" s="16" t="n">
        <x:v>0</x:v>
      </x:c>
      <x:c r="X1601" s="16" t="n">
        <x:v>0</x:v>
      </x:c>
      <x:c r="Y1601" s="16" t="n">
        <x:v>0</x:v>
      </x:c>
      <x:c r="Z1601" s="16" t="n">
        <x:v>0</x:v>
      </x:c>
      <x:c r="AA1601" s="16" t="n">
        <x:v>3</x:v>
      </x:c>
      <x:c r="AB1601" s="16" t="n">
        <x:v>11</x:v>
      </x:c>
      <x:c r="AC1601" s="16" t="n">
        <x:v>0</x:v>
      </x:c>
      <x:c r="AD1601" s="21" t="n">
        <x:f>IF(E1601="",MEDIAN($E$2:$E$2237),E1601)</x:f>
        <x:v>70638</x:v>
      </x:c>
      <x:c r="AE1601" s="17" t="n">
        <x:f>2014-B1601</x:f>
        <x:v>59</x:v>
      </x:c>
      <x:c r="AF1601" s="17" t="n">
        <x:f>F1601+G1601</x:f>
        <x:v>0</x:v>
      </x:c>
      <x:c r="AG1601" s="21" t="n">
        <x:f>SUM(J1601:O1601)</x:f>
        <x:v>1334</x:v>
      </x:c>
      <x:c r="AH1601" s="17" t="n">
        <x:f>SUM(Q1601:S1601)</x:f>
        <x:v>19</x:v>
      </x:c>
      <x:c r="AI1601" s="17" t="n">
        <x:f>SUM(U1601:Y1601)</x:f>
        <x:v>1</x:v>
      </x:c>
      <x:c r="AJ1601" s="17" t="str">
        <x:f>IF(AE1601&lt;=34,"≤34",IF(AE1601&lt;=44,"35–44",IF(AE1601&lt;=54,"45–54",IF(AE1601&lt;=64,"55–64","65+"))))</x:f>
        <x:v>55–64</x:v>
      </x:c>
      <x:c r="AK1601" s="17" t="str">
        <x:f>IF(AG1601&gt;=1000,"High Value",IF(AG1601&gt;=300,"Mid Value","Low Value"))</x:f>
        <x:v>High Value</x:v>
      </x:c>
      <x:c r="AL1601" s="17" t="str">
        <x:f>IF(AND(AI1601&gt;=1,I1601&lt;=50),"Priority 1",IF(AND(AG1601&gt;=1000,I1601&lt;=60),"Priority 2",IF(I1601&lt;=30,"Priority 3","Nurture")))</x:f>
        <x:v>Nurture</x:v>
      </x:c>
    </x:row>
    <x:row r="1602">
      <x:c r="A1602" s="16" t="n">
        <x:v>800</x:v>
      </x:c>
      <x:c r="B1602" s="16" t="n">
        <x:v>1960</x:v>
      </x:c>
      <x:c r="C1602" s="16" t="str">
        <x:v>Graduation</x:v>
      </x:c>
      <x:c r="D1602" s="16" t="str">
        <x:v>Together</x:v>
      </x:c>
      <x:c r="E1602" s="16" t="n">
        <x:v>44512</x:v>
      </x:c>
      <x:c r="F1602" s="16" t="n">
        <x:v>1</x:v>
      </x:c>
      <x:c r="G1602" s="16" t="n">
        <x:v>1</x:v>
      </x:c>
      <x:c r="H1602" s="16" t="str">
        <x:v>30-08-2013</x:v>
      </x:c>
      <x:c r="I1602" s="16" t="n">
        <x:v>57</x:v>
      </x:c>
      <x:c r="J1602" s="16" t="n">
        <x:v>23</x:v>
      </x:c>
      <x:c r="K1602" s="16" t="n">
        <x:v>1</x:v>
      </x:c>
      <x:c r="L1602" s="16" t="n">
        <x:v>6</x:v>
      </x:c>
      <x:c r="M1602" s="16" t="n">
        <x:v>0</x:v>
      </x:c>
      <x:c r="N1602" s="16" t="n">
        <x:v>0</x:v>
      </x:c>
      <x:c r="O1602" s="16" t="n">
        <x:v>2</x:v>
      </x:c>
      <x:c r="P1602" s="16" t="n">
        <x:v>2</x:v>
      </x:c>
      <x:c r="Q1602" s="16" t="n">
        <x:v>1</x:v>
      </x:c>
      <x:c r="R1602" s="16" t="n">
        <x:v>0</x:v>
      </x:c>
      <x:c r="S1602" s="16" t="n">
        <x:v>3</x:v>
      </x:c>
      <x:c r="T1602" s="16" t="n">
        <x:v>4</x:v>
      </x:c>
      <x:c r="U1602" s="16" t="n">
        <x:v>0</x:v>
      </x:c>
      <x:c r="V1602" s="16" t="n">
        <x:v>0</x:v>
      </x:c>
      <x:c r="W1602" s="16" t="n">
        <x:v>0</x:v>
      </x:c>
      <x:c r="X1602" s="16" t="n">
        <x:v>0</x:v>
      </x:c>
      <x:c r="Y1602" s="16" t="n">
        <x:v>0</x:v>
      </x:c>
      <x:c r="Z1602" s="16" t="n">
        <x:v>0</x:v>
      </x:c>
      <x:c r="AA1602" s="16" t="n">
        <x:v>3</x:v>
      </x:c>
      <x:c r="AB1602" s="16" t="n">
        <x:v>11</x:v>
      </x:c>
      <x:c r="AC1602" s="16" t="n">
        <x:v>0</x:v>
      </x:c>
      <x:c r="AD1602" s="21" t="n">
        <x:f>IF(E1602="",MEDIAN($E$2:$E$2237),E1602)</x:f>
        <x:v>44512</x:v>
      </x:c>
      <x:c r="AE1602" s="17" t="n">
        <x:f>2014-B1602</x:f>
        <x:v>54</x:v>
      </x:c>
      <x:c r="AF1602" s="17" t="n">
        <x:f>F1602+G1602</x:f>
        <x:v>2</x:v>
      </x:c>
      <x:c r="AG1602" s="21" t="n">
        <x:f>SUM(J1602:O1602)</x:f>
        <x:v>32</x:v>
      </x:c>
      <x:c r="AH1602" s="17" t="n">
        <x:f>SUM(Q1602:S1602)</x:f>
        <x:v>4</x:v>
      </x:c>
      <x:c r="AI1602" s="17" t="n">
        <x:f>SUM(U1602:Y1602)</x:f>
        <x:v>0</x:v>
      </x:c>
      <x:c r="AJ1602" s="17" t="str">
        <x:f>IF(AE1602&lt;=34,"≤34",IF(AE1602&lt;=44,"35–44",IF(AE1602&lt;=54,"45–54",IF(AE1602&lt;=64,"55–64","65+"))))</x:f>
        <x:v>45–54</x:v>
      </x:c>
      <x:c r="AK1602" s="17" t="str">
        <x:f>IF(AG1602&gt;=1000,"High Value",IF(AG1602&gt;=300,"Mid Value","Low Value"))</x:f>
        <x:v>Low Value</x:v>
      </x:c>
      <x:c r="AL1602" s="17" t="str">
        <x:f>IF(AND(AI1602&gt;=1,I1602&lt;=50),"Priority 1",IF(AND(AG1602&gt;=1000,I1602&lt;=60),"Priority 2",IF(I1602&lt;=30,"Priority 3","Nurture")))</x:f>
        <x:v>Nurture</x:v>
      </x:c>
    </x:row>
    <x:row r="1603">
      <x:c r="A1603" s="16" t="n">
        <x:v>11092</x:v>
      </x:c>
      <x:c r="B1603" s="16" t="n">
        <x:v>1961</x:v>
      </x:c>
      <x:c r="C1603" s="16" t="str">
        <x:v>Graduation</x:v>
      </x:c>
      <x:c r="D1603" s="16" t="str">
        <x:v>Married</x:v>
      </x:c>
      <x:c r="E1603" s="16" t="n">
        <x:v>27116</x:v>
      </x:c>
      <x:c r="F1603" s="16" t="n">
        <x:v>1</x:v>
      </x:c>
      <x:c r="G1603" s="16" t="n">
        <x:v>1</x:v>
      </x:c>
      <x:c r="H1603" s="16" t="str">
        <x:v>02-03-2014</x:v>
      </x:c>
      <x:c r="I1603" s="16" t="n">
        <x:v>78</x:v>
      </x:c>
      <x:c r="J1603" s="16" t="n">
        <x:v>12</x:v>
      </x:c>
      <x:c r="K1603" s="16" t="n">
        <x:v>1</x:v>
      </x:c>
      <x:c r="L1603" s="16" t="n">
        <x:v>21</x:v>
      </x:c>
      <x:c r="M1603" s="16" t="n">
        <x:v>2</x:v>
      </x:c>
      <x:c r="N1603" s="16" t="n">
        <x:v>2</x:v>
      </x:c>
      <x:c r="O1603" s="16" t="n">
        <x:v>3</x:v>
      </x:c>
      <x:c r="P1603" s="16" t="n">
        <x:v>2</x:v>
      </x:c>
      <x:c r="Q1603" s="16" t="n">
        <x:v>2</x:v>
      </x:c>
      <x:c r="R1603" s="16" t="n">
        <x:v>0</x:v>
      </x:c>
      <x:c r="S1603" s="16" t="n">
        <x:v>3</x:v>
      </x:c>
      <x:c r="T1603" s="16" t="n">
        <x:v>7</x:v>
      </x:c>
      <x:c r="U1603" s="16" t="n">
        <x:v>0</x:v>
      </x:c>
      <x:c r="V1603" s="16" t="n">
        <x:v>0</x:v>
      </x:c>
      <x:c r="W1603" s="16" t="n">
        <x:v>0</x:v>
      </x:c>
      <x:c r="X1603" s="16" t="n">
        <x:v>0</x:v>
      </x:c>
      <x:c r="Y1603" s="16" t="n">
        <x:v>0</x:v>
      </x:c>
      <x:c r="Z1603" s="16" t="n">
        <x:v>0</x:v>
      </x:c>
      <x:c r="AA1603" s="16" t="n">
        <x:v>3</x:v>
      </x:c>
      <x:c r="AB1603" s="16" t="n">
        <x:v>11</x:v>
      </x:c>
      <x:c r="AC1603" s="16" t="n">
        <x:v>0</x:v>
      </x:c>
      <x:c r="AD1603" s="21" t="n">
        <x:f>IF(E1603="",MEDIAN($E$2:$E$2237),E1603)</x:f>
        <x:v>27116</x:v>
      </x:c>
      <x:c r="AE1603" s="17" t="n">
        <x:f>2014-B1603</x:f>
        <x:v>53</x:v>
      </x:c>
      <x:c r="AF1603" s="17" t="n">
        <x:f>F1603+G1603</x:f>
        <x:v>2</x:v>
      </x:c>
      <x:c r="AG1603" s="21" t="n">
        <x:f>SUM(J1603:O1603)</x:f>
        <x:v>41</x:v>
      </x:c>
      <x:c r="AH1603" s="17" t="n">
        <x:f>SUM(Q1603:S1603)</x:f>
        <x:v>5</x:v>
      </x:c>
      <x:c r="AI1603" s="17" t="n">
        <x:f>SUM(U1603:Y1603)</x:f>
        <x:v>0</x:v>
      </x:c>
      <x:c r="AJ1603" s="17" t="str">
        <x:f>IF(AE1603&lt;=34,"≤34",IF(AE1603&lt;=44,"35–44",IF(AE1603&lt;=54,"45–54",IF(AE1603&lt;=64,"55–64","65+"))))</x:f>
        <x:v>45–54</x:v>
      </x:c>
      <x:c r="AK1603" s="17" t="str">
        <x:f>IF(AG1603&gt;=1000,"High Value",IF(AG1603&gt;=300,"Mid Value","Low Value"))</x:f>
        <x:v>Low Value</x:v>
      </x:c>
      <x:c r="AL1603" s="17" t="str">
        <x:f>IF(AND(AI1603&gt;=1,I1603&lt;=50),"Priority 1",IF(AND(AG1603&gt;=1000,I1603&lt;=60),"Priority 2",IF(I1603&lt;=30,"Priority 3","Nurture")))</x:f>
        <x:v>Nurture</x:v>
      </x:c>
    </x:row>
    <x:row r="1604">
      <x:c r="A1604" s="16" t="n">
        <x:v>5062</x:v>
      </x:c>
      <x:c r="B1604" s="16" t="n">
        <x:v>1963</x:v>
      </x:c>
      <x:c r="C1604" s="16" t="str">
        <x:v>PhD</x:v>
      </x:c>
      <x:c r="D1604" s="16" t="str">
        <x:v>Married</x:v>
      </x:c>
      <x:c r="E1604" s="16" t="n">
        <x:v>54072</x:v>
      </x:c>
      <x:c r="F1604" s="16" t="n">
        <x:v>1</x:v>
      </x:c>
      <x:c r="G1604" s="16" t="n">
        <x:v>1</x:v>
      </x:c>
      <x:c r="H1604" s="16" t="str">
        <x:v>27-07-2013</x:v>
      </x:c>
      <x:c r="I1604" s="16" t="n">
        <x:v>71</x:v>
      </x:c>
      <x:c r="J1604" s="16" t="n">
        <x:v>35</x:v>
      </x:c>
      <x:c r="K1604" s="16" t="n">
        <x:v>0</x:v>
      </x:c>
      <x:c r="L1604" s="16" t="n">
        <x:v>4</x:v>
      </x:c>
      <x:c r="M1604" s="16" t="n">
        <x:v>0</x:v>
      </x:c>
      <x:c r="N1604" s="16" t="n">
        <x:v>0</x:v>
      </x:c>
      <x:c r="O1604" s="16" t="n">
        <x:v>0</x:v>
      </x:c>
      <x:c r="P1604" s="16" t="n">
        <x:v>1</x:v>
      </x:c>
      <x:c r="Q1604" s="16" t="n">
        <x:v>2</x:v>
      </x:c>
      <x:c r="R1604" s="16" t="n">
        <x:v>0</x:v>
      </x:c>
      <x:c r="S1604" s="16" t="n">
        <x:v>2</x:v>
      </x:c>
      <x:c r="T1604" s="16" t="n">
        <x:v>8</x:v>
      </x:c>
      <x:c r="U1604" s="16" t="n">
        <x:v>0</x:v>
      </x:c>
      <x:c r="V1604" s="16" t="n">
        <x:v>0</x:v>
      </x:c>
      <x:c r="W1604" s="16" t="n">
        <x:v>0</x:v>
      </x:c>
      <x:c r="X1604" s="16" t="n">
        <x:v>0</x:v>
      </x:c>
      <x:c r="Y1604" s="16" t="n">
        <x:v>0</x:v>
      </x:c>
      <x:c r="Z1604" s="16" t="n">
        <x:v>0</x:v>
      </x:c>
      <x:c r="AA1604" s="16" t="n">
        <x:v>3</x:v>
      </x:c>
      <x:c r="AB1604" s="16" t="n">
        <x:v>11</x:v>
      </x:c>
      <x:c r="AC1604" s="16" t="n">
        <x:v>0</x:v>
      </x:c>
      <x:c r="AD1604" s="21" t="n">
        <x:f>IF(E1604="",MEDIAN($E$2:$E$2237),E1604)</x:f>
        <x:v>54072</x:v>
      </x:c>
      <x:c r="AE1604" s="17" t="n">
        <x:f>2014-B1604</x:f>
        <x:v>51</x:v>
      </x:c>
      <x:c r="AF1604" s="17" t="n">
        <x:f>F1604+G1604</x:f>
        <x:v>2</x:v>
      </x:c>
      <x:c r="AG1604" s="21" t="n">
        <x:f>SUM(J1604:O1604)</x:f>
        <x:v>39</x:v>
      </x:c>
      <x:c r="AH1604" s="17" t="n">
        <x:f>SUM(Q1604:S1604)</x:f>
        <x:v>4</x:v>
      </x:c>
      <x:c r="AI1604" s="17" t="n">
        <x:f>SUM(U1604:Y1604)</x:f>
        <x:v>0</x:v>
      </x:c>
      <x:c r="AJ1604" s="17" t="str">
        <x:f>IF(AE1604&lt;=34,"≤34",IF(AE1604&lt;=44,"35–44",IF(AE1604&lt;=54,"45–54",IF(AE1604&lt;=64,"55–64","65+"))))</x:f>
        <x:v>45–54</x:v>
      </x:c>
      <x:c r="AK1604" s="17" t="str">
        <x:f>IF(AG1604&gt;=1000,"High Value",IF(AG1604&gt;=300,"Mid Value","Low Value"))</x:f>
        <x:v>Low Value</x:v>
      </x:c>
      <x:c r="AL1604" s="17" t="str">
        <x:f>IF(AND(AI1604&gt;=1,I1604&lt;=50),"Priority 1",IF(AND(AG1604&gt;=1000,I1604&lt;=60),"Priority 2",IF(I1604&lt;=30,"Priority 3","Nurture")))</x:f>
        <x:v>Nurture</x:v>
      </x:c>
    </x:row>
    <x:row r="1605">
      <x:c r="A1605" s="16" t="n">
        <x:v>8969</x:v>
      </x:c>
      <x:c r="B1605" s="16" t="n">
        <x:v>1977</x:v>
      </x:c>
      <x:c r="C1605" s="16" t="str">
        <x:v>Graduation</x:v>
      </x:c>
      <x:c r="D1605" s="16" t="str">
        <x:v>Married</x:v>
      </x:c>
      <x:c r="E1605" s="16" t="n">
        <x:v>71855</x:v>
      </x:c>
      <x:c r="F1605" s="16" t="n">
        <x:v>0</x:v>
      </x:c>
      <x:c r="G1605" s="16" t="n">
        <x:v>1</x:v>
      </x:c>
      <x:c r="H1605" s="16" t="str">
        <x:v>16-01-2013</x:v>
      </x:c>
      <x:c r="I1605" s="16" t="n">
        <x:v>59</x:v>
      </x:c>
      <x:c r="J1605" s="16" t="n">
        <x:v>548</x:v>
      </x:c>
      <x:c r="K1605" s="16" t="n">
        <x:v>31</x:v>
      </x:c>
      <x:c r="L1605" s="16" t="n">
        <x:v>422</x:v>
      </x:c>
      <x:c r="M1605" s="16" t="n">
        <x:v>0</x:v>
      </x:c>
      <x:c r="N1605" s="16" t="n">
        <x:v>112</x:v>
      </x:c>
      <x:c r="O1605" s="16" t="n">
        <x:v>28</x:v>
      </x:c>
      <x:c r="P1605" s="16" t="n">
        <x:v>4</x:v>
      </x:c>
      <x:c r="Q1605" s="16" t="n">
        <x:v>5</x:v>
      </x:c>
      <x:c r="R1605" s="16" t="n">
        <x:v>5</x:v>
      </x:c>
      <x:c r="S1605" s="16" t="n">
        <x:v>11</x:v>
      </x:c>
      <x:c r="T1605" s="16" t="n">
        <x:v>3</x:v>
      </x:c>
      <x:c r="U1605" s="16" t="n">
        <x:v>0</x:v>
      </x:c>
      <x:c r="V1605" s="16" t="n">
        <x:v>0</x:v>
      </x:c>
      <x:c r="W1605" s="16" t="n">
        <x:v>0</x:v>
      </x:c>
      <x:c r="X1605" s="16" t="n">
        <x:v>0</x:v>
      </x:c>
      <x:c r="Y1605" s="16" t="n">
        <x:v>0</x:v>
      </x:c>
      <x:c r="Z1605" s="16" t="n">
        <x:v>0</x:v>
      </x:c>
      <x:c r="AA1605" s="16" t="n">
        <x:v>3</x:v>
      </x:c>
      <x:c r="AB1605" s="16" t="n">
        <x:v>11</x:v>
      </x:c>
      <x:c r="AC1605" s="16" t="n">
        <x:v>0</x:v>
      </x:c>
      <x:c r="AD1605" s="21" t="n">
        <x:f>IF(E1605="",MEDIAN($E$2:$E$2237),E1605)</x:f>
        <x:v>71855</x:v>
      </x:c>
      <x:c r="AE1605" s="17" t="n">
        <x:f>2014-B1605</x:f>
        <x:v>37</x:v>
      </x:c>
      <x:c r="AF1605" s="17" t="n">
        <x:f>F1605+G1605</x:f>
        <x:v>1</x:v>
      </x:c>
      <x:c r="AG1605" s="21" t="n">
        <x:f>SUM(J1605:O1605)</x:f>
        <x:v>1141</x:v>
      </x:c>
      <x:c r="AH1605" s="17" t="n">
        <x:f>SUM(Q1605:S1605)</x:f>
        <x:v>21</x:v>
      </x:c>
      <x:c r="AI1605" s="17" t="n">
        <x:f>SUM(U1605:Y1605)</x:f>
        <x:v>0</x:v>
      </x:c>
      <x:c r="AJ1605" s="17" t="str">
        <x:f>IF(AE1605&lt;=34,"≤34",IF(AE1605&lt;=44,"35–44",IF(AE1605&lt;=54,"45–54",IF(AE1605&lt;=64,"55–64","65+"))))</x:f>
        <x:v>35–44</x:v>
      </x:c>
      <x:c r="AK1605" s="17" t="str">
        <x:f>IF(AG1605&gt;=1000,"High Value",IF(AG1605&gt;=300,"Mid Value","Low Value"))</x:f>
        <x:v>High Value</x:v>
      </x:c>
      <x:c r="AL1605" s="17" t="str">
        <x:f>IF(AND(AI1605&gt;=1,I1605&lt;=50),"Priority 1",IF(AND(AG1605&gt;=1000,I1605&lt;=60),"Priority 2",IF(I1605&lt;=30,"Priority 3","Nurture")))</x:f>
        <x:v>Priority 2</x:v>
      </x:c>
    </x:row>
    <x:row r="1606">
      <x:c r="A1606" s="16" t="n">
        <x:v>4656</x:v>
      </x:c>
      <x:c r="B1606" s="16" t="n">
        <x:v>1990</x:v>
      </x:c>
      <x:c r="C1606" s="16" t="str">
        <x:v>2n Cycle</x:v>
      </x:c>
      <x:c r="D1606" s="16" t="str">
        <x:v>Single</x:v>
      </x:c>
      <x:c r="E1606" s="16" t="n">
        <x:v>51250</x:v>
      </x:c>
      <x:c r="F1606" s="16" t="n">
        <x:v>1</x:v>
      </x:c>
      <x:c r="G1606" s="16" t="n">
        <x:v>0</x:v>
      </x:c>
      <x:c r="H1606" s="16" t="str">
        <x:v>30-03-2013</x:v>
      </x:c>
      <x:c r="I1606" s="16" t="n">
        <x:v>28</x:v>
      </x:c>
      <x:c r="J1606" s="16" t="n">
        <x:v>342</x:v>
      </x:c>
      <x:c r="K1606" s="16" t="n">
        <x:v>32</x:v>
      </x:c>
      <x:c r="L1606" s="16" t="n">
        <x:v>230</x:v>
      </x:c>
      <x:c r="M1606" s="16" t="n">
        <x:v>34</x:v>
      </x:c>
      <x:c r="N1606" s="16" t="n">
        <x:v>32</x:v>
      </x:c>
      <x:c r="O1606" s="16" t="n">
        <x:v>40</x:v>
      </x:c>
      <x:c r="P1606" s="16" t="n">
        <x:v>5</x:v>
      </x:c>
      <x:c r="Q1606" s="16" t="n">
        <x:v>10</x:v>
      </x:c>
      <x:c r="R1606" s="16" t="n">
        <x:v>5</x:v>
      </x:c>
      <x:c r="S1606" s="16" t="n">
        <x:v>4</x:v>
      </x:c>
      <x:c r="T1606" s="16" t="n">
        <x:v>9</x:v>
      </x:c>
      <x:c r="U1606" s="16" t="n">
        <x:v>1</x:v>
      </x:c>
      <x:c r="V1606" s="16" t="n">
        <x:v>0</x:v>
      </x:c>
      <x:c r="W1606" s="16" t="n">
        <x:v>0</x:v>
      </x:c>
      <x:c r="X1606" s="16" t="n">
        <x:v>0</x:v>
      </x:c>
      <x:c r="Y1606" s="16" t="n">
        <x:v>0</x:v>
      </x:c>
      <x:c r="Z1606" s="16" t="n">
        <x:v>0</x:v>
      </x:c>
      <x:c r="AA1606" s="16" t="n">
        <x:v>3</x:v>
      </x:c>
      <x:c r="AB1606" s="16" t="n">
        <x:v>11</x:v>
      </x:c>
      <x:c r="AC1606" s="16" t="n">
        <x:v>0</x:v>
      </x:c>
      <x:c r="AD1606" s="21" t="n">
        <x:f>IF(E1606="",MEDIAN($E$2:$E$2237),E1606)</x:f>
        <x:v>51250</x:v>
      </x:c>
      <x:c r="AE1606" s="17" t="n">
        <x:f>2014-B1606</x:f>
        <x:v>24</x:v>
      </x:c>
      <x:c r="AF1606" s="17" t="n">
        <x:f>F1606+G1606</x:f>
        <x:v>1</x:v>
      </x:c>
      <x:c r="AG1606" s="21" t="n">
        <x:f>SUM(J1606:O1606)</x:f>
        <x:v>710</x:v>
      </x:c>
      <x:c r="AH1606" s="17" t="n">
        <x:f>SUM(Q1606:S1606)</x:f>
        <x:v>19</x:v>
      </x:c>
      <x:c r="AI1606" s="17" t="n">
        <x:f>SUM(U1606:Y1606)</x:f>
        <x:v>1</x:v>
      </x:c>
      <x:c r="AJ1606" s="17" t="str">
        <x:f>IF(AE1606&lt;=34,"≤34",IF(AE1606&lt;=44,"35–44",IF(AE1606&lt;=54,"45–54",IF(AE1606&lt;=64,"55–64","65+"))))</x:f>
        <x:v>≤34</x:v>
      </x:c>
      <x:c r="AK1606" s="17" t="str">
        <x:f>IF(AG1606&gt;=1000,"High Value",IF(AG1606&gt;=300,"Mid Value","Low Value"))</x:f>
        <x:v>Mid Value</x:v>
      </x:c>
      <x:c r="AL1606" s="17" t="str">
        <x:f>IF(AND(AI1606&gt;=1,I1606&lt;=50),"Priority 1",IF(AND(AG1606&gt;=1000,I1606&lt;=60),"Priority 2",IF(I1606&lt;=30,"Priority 3","Nurture")))</x:f>
        <x:v>Priority 1</x:v>
      </x:c>
    </x:row>
    <x:row r="1607">
      <x:c r="A1607" s="16" t="n">
        <x:v>4480</x:v>
      </x:c>
      <x:c r="B1607" s="16" t="n">
        <x:v>1973</x:v>
      </x:c>
      <x:c r="C1607" s="16" t="str">
        <x:v>Master</x:v>
      </x:c>
      <x:c r="D1607" s="16" t="str">
        <x:v>Married</x:v>
      </x:c>
      <x:c r="E1607" s="16" t="n">
        <x:v>60432</x:v>
      </x:c>
      <x:c r="F1607" s="16" t="n">
        <x:v>0</x:v>
      </x:c>
      <x:c r="G1607" s="16" t="n">
        <x:v>1</x:v>
      </x:c>
      <x:c r="H1607" s="16" t="str">
        <x:v>09-03-2014</x:v>
      </x:c>
      <x:c r="I1607" s="16" t="n">
        <x:v>61</x:v>
      </x:c>
      <x:c r="J1607" s="16" t="n">
        <x:v>365</x:v>
      </x:c>
      <x:c r="K1607" s="16" t="n">
        <x:v>3</x:v>
      </x:c>
      <x:c r="L1607" s="16" t="n">
        <x:v>15</x:v>
      </x:c>
      <x:c r="M1607" s="16" t="n">
        <x:v>4</x:v>
      </x:c>
      <x:c r="N1607" s="16" t="n">
        <x:v>3</x:v>
      </x:c>
      <x:c r="O1607" s="16" t="n">
        <x:v>11</x:v>
      </x:c>
      <x:c r="P1607" s="16" t="n">
        <x:v>5</x:v>
      </x:c>
      <x:c r="Q1607" s="16" t="n">
        <x:v>7</x:v>
      </x:c>
      <x:c r="R1607" s="16" t="n">
        <x:v>2</x:v>
      </x:c>
      <x:c r="S1607" s="16" t="n">
        <x:v>5</x:v>
      </x:c>
      <x:c r="T1607" s="16" t="n">
        <x:v>6</x:v>
      </x:c>
      <x:c r="U1607" s="16" t="n">
        <x:v>0</x:v>
      </x:c>
      <x:c r="V1607" s="16" t="n">
        <x:v>0</x:v>
      </x:c>
      <x:c r="W1607" s="16" t="n">
        <x:v>0</x:v>
      </x:c>
      <x:c r="X1607" s="16" t="n">
        <x:v>0</x:v>
      </x:c>
      <x:c r="Y1607" s="16" t="n">
        <x:v>0</x:v>
      </x:c>
      <x:c r="Z1607" s="16" t="n">
        <x:v>0</x:v>
      </x:c>
      <x:c r="AA1607" s="16" t="n">
        <x:v>3</x:v>
      </x:c>
      <x:c r="AB1607" s="16" t="n">
        <x:v>11</x:v>
      </x:c>
      <x:c r="AC1607" s="16" t="n">
        <x:v>0</x:v>
      </x:c>
      <x:c r="AD1607" s="21" t="n">
        <x:f>IF(E1607="",MEDIAN($E$2:$E$2237),E1607)</x:f>
        <x:v>60432</x:v>
      </x:c>
      <x:c r="AE1607" s="17" t="n">
        <x:f>2014-B1607</x:f>
        <x:v>41</x:v>
      </x:c>
      <x:c r="AF1607" s="17" t="n">
        <x:f>F1607+G1607</x:f>
        <x:v>1</x:v>
      </x:c>
      <x:c r="AG1607" s="21" t="n">
        <x:f>SUM(J1607:O1607)</x:f>
        <x:v>401</x:v>
      </x:c>
      <x:c r="AH1607" s="17" t="n">
        <x:f>SUM(Q1607:S1607)</x:f>
        <x:v>14</x:v>
      </x:c>
      <x:c r="AI1607" s="17" t="n">
        <x:f>SUM(U1607:Y1607)</x:f>
        <x:v>0</x:v>
      </x:c>
      <x:c r="AJ1607" s="17" t="str">
        <x:f>IF(AE1607&lt;=34,"≤34",IF(AE1607&lt;=44,"35–44",IF(AE1607&lt;=54,"45–54",IF(AE1607&lt;=64,"55–64","65+"))))</x:f>
        <x:v>35–44</x:v>
      </x:c>
      <x:c r="AK1607" s="17" t="str">
        <x:f>IF(AG1607&gt;=1000,"High Value",IF(AG1607&gt;=300,"Mid Value","Low Value"))</x:f>
        <x:v>Mid Value</x:v>
      </x:c>
      <x:c r="AL1607" s="17" t="str">
        <x:f>IF(AND(AI1607&gt;=1,I1607&lt;=50),"Priority 1",IF(AND(AG1607&gt;=1000,I1607&lt;=60),"Priority 2",IF(I1607&lt;=30,"Priority 3","Nurture")))</x:f>
        <x:v>Nurture</x:v>
      </x:c>
    </x:row>
    <x:row r="1608">
      <x:c r="A1608" s="16" t="n">
        <x:v>9971</x:v>
      </x:c>
      <x:c r="B1608" s="16" t="n">
        <x:v>1964</x:v>
      </x:c>
      <x:c r="C1608" s="16" t="str">
        <x:v>PhD</x:v>
      </x:c>
      <x:c r="D1608" s="16" t="str">
        <x:v>Married</x:v>
      </x:c>
      <x:c r="E1608" s="16" t="n">
        <x:v>65526</x:v>
      </x:c>
      <x:c r="F1608" s="16" t="n">
        <x:v>0</x:v>
      </x:c>
      <x:c r="G1608" s="16" t="n">
        <x:v>1</x:v>
      </x:c>
      <x:c r="H1608" s="16" t="str">
        <x:v>11-04-2014</x:v>
      </x:c>
      <x:c r="I1608" s="16" t="n">
        <x:v>22</x:v>
      </x:c>
      <x:c r="J1608" s="16" t="n">
        <x:v>397</x:v>
      </x:c>
      <x:c r="K1608" s="16" t="n">
        <x:v>19</x:v>
      </x:c>
      <x:c r="L1608" s="16" t="n">
        <x:v>69</x:v>
      </x:c>
      <x:c r="M1608" s="16" t="n">
        <x:v>12</x:v>
      </x:c>
      <x:c r="N1608" s="16" t="n">
        <x:v>0</x:v>
      </x:c>
      <x:c r="O1608" s="16" t="n">
        <x:v>9</x:v>
      </x:c>
      <x:c r="P1608" s="16" t="n">
        <x:v>1</x:v>
      </x:c>
      <x:c r="Q1608" s="16" t="n">
        <x:v>4</x:v>
      </x:c>
      <x:c r="R1608" s="16" t="n">
        <x:v>4</x:v>
      </x:c>
      <x:c r="S1608" s="16" t="n">
        <x:v>8</x:v>
      </x:c>
      <x:c r="T1608" s="16" t="n">
        <x:v>2</x:v>
      </x:c>
      <x:c r="U1608" s="16" t="n">
        <x:v>0</x:v>
      </x:c>
      <x:c r="V1608" s="16" t="n">
        <x:v>0</x:v>
      </x:c>
      <x:c r="W1608" s="16" t="n">
        <x:v>0</x:v>
      </x:c>
      <x:c r="X1608" s="16" t="n">
        <x:v>0</x:v>
      </x:c>
      <x:c r="Y1608" s="16" t="n">
        <x:v>0</x:v>
      </x:c>
      <x:c r="Z1608" s="16" t="n">
        <x:v>0</x:v>
      </x:c>
      <x:c r="AA1608" s="16" t="n">
        <x:v>3</x:v>
      </x:c>
      <x:c r="AB1608" s="16" t="n">
        <x:v>11</x:v>
      </x:c>
      <x:c r="AC1608" s="16" t="n">
        <x:v>0</x:v>
      </x:c>
      <x:c r="AD1608" s="21" t="n">
        <x:f>IF(E1608="",MEDIAN($E$2:$E$2237),E1608)</x:f>
        <x:v>65526</x:v>
      </x:c>
      <x:c r="AE1608" s="17" t="n">
        <x:f>2014-B1608</x:f>
        <x:v>50</x:v>
      </x:c>
      <x:c r="AF1608" s="17" t="n">
        <x:f>F1608+G1608</x:f>
        <x:v>1</x:v>
      </x:c>
      <x:c r="AG1608" s="21" t="n">
        <x:f>SUM(J1608:O1608)</x:f>
        <x:v>506</x:v>
      </x:c>
      <x:c r="AH1608" s="17" t="n">
        <x:f>SUM(Q1608:S1608)</x:f>
        <x:v>16</x:v>
      </x:c>
      <x:c r="AI1608" s="17" t="n">
        <x:f>SUM(U1608:Y1608)</x:f>
        <x:v>0</x:v>
      </x:c>
      <x:c r="AJ1608" s="17" t="str">
        <x:f>IF(AE1608&lt;=34,"≤34",IF(AE1608&lt;=44,"35–44",IF(AE1608&lt;=54,"45–54",IF(AE1608&lt;=64,"55–64","65+"))))</x:f>
        <x:v>45–54</x:v>
      </x:c>
      <x:c r="AK1608" s="17" t="str">
        <x:f>IF(AG1608&gt;=1000,"High Value",IF(AG1608&gt;=300,"Mid Value","Low Value"))</x:f>
        <x:v>Mid Value</x:v>
      </x:c>
      <x:c r="AL1608" s="17" t="str">
        <x:f>IF(AND(AI1608&gt;=1,I1608&lt;=50),"Priority 1",IF(AND(AG1608&gt;=1000,I1608&lt;=60),"Priority 2",IF(I1608&lt;=30,"Priority 3","Nurture")))</x:f>
        <x:v>Priority 3</x:v>
      </x:c>
    </x:row>
    <x:row r="1609">
      <x:c r="A1609" s="16" t="n">
        <x:v>6729</x:v>
      </x:c>
      <x:c r="B1609" s="16" t="n">
        <x:v>1988</x:v>
      </x:c>
      <x:c r="C1609" s="16" t="str">
        <x:v>Graduation</x:v>
      </x:c>
      <x:c r="D1609" s="16" t="str">
        <x:v>Single</x:v>
      </x:c>
      <x:c r="E1609" s="16" t="n">
        <x:v>68655</x:v>
      </x:c>
      <x:c r="F1609" s="16" t="n">
        <x:v>0</x:v>
      </x:c>
      <x:c r="G1609" s="16" t="n">
        <x:v>0</x:v>
      </x:c>
      <x:c r="H1609" s="16" t="str">
        <x:v>10-08-2012</x:v>
      </x:c>
      <x:c r="I1609" s="16" t="n">
        <x:v>95</x:v>
      </x:c>
      <x:c r="J1609" s="16" t="n">
        <x:v>456</x:v>
      </x:c>
      <x:c r="K1609" s="16" t="n">
        <x:v>19</x:v>
      </x:c>
      <x:c r="L1609" s="16" t="n">
        <x:v>832</x:v>
      </x:c>
      <x:c r="M1609" s="16" t="n">
        <x:v>75</x:v>
      </x:c>
      <x:c r="N1609" s="16" t="n">
        <x:v>118</x:v>
      </x:c>
      <x:c r="O1609" s="16" t="n">
        <x:v>38</x:v>
      </x:c>
      <x:c r="P1609" s="16" t="n">
        <x:v>1</x:v>
      </x:c>
      <x:c r="Q1609" s="16" t="n">
        <x:v>4</x:v>
      </x:c>
      <x:c r="R1609" s="16" t="n">
        <x:v>5</x:v>
      </x:c>
      <x:c r="S1609" s="16" t="n">
        <x:v>11</x:v>
      </x:c>
      <x:c r="T1609" s="16" t="n">
        <x:v>3</x:v>
      </x:c>
      <x:c r="U1609" s="16" t="n">
        <x:v>0</x:v>
      </x:c>
      <x:c r="V1609" s="16" t="n">
        <x:v>0</x:v>
      </x:c>
      <x:c r="W1609" s="16" t="n">
        <x:v>0</x:v>
      </x:c>
      <x:c r="X1609" s="16" t="n">
        <x:v>0</x:v>
      </x:c>
      <x:c r="Y1609" s="16" t="n">
        <x:v>0</x:v>
      </x:c>
      <x:c r="Z1609" s="16" t="n">
        <x:v>0</x:v>
      </x:c>
      <x:c r="AA1609" s="16" t="n">
        <x:v>3</x:v>
      </x:c>
      <x:c r="AB1609" s="16" t="n">
        <x:v>11</x:v>
      </x:c>
      <x:c r="AC1609" s="16" t="n">
        <x:v>0</x:v>
      </x:c>
      <x:c r="AD1609" s="21" t="n">
        <x:f>IF(E1609="",MEDIAN($E$2:$E$2237),E1609)</x:f>
        <x:v>68655</x:v>
      </x:c>
      <x:c r="AE1609" s="17" t="n">
        <x:f>2014-B1609</x:f>
        <x:v>26</x:v>
      </x:c>
      <x:c r="AF1609" s="17" t="n">
        <x:f>F1609+G1609</x:f>
        <x:v>0</x:v>
      </x:c>
      <x:c r="AG1609" s="21" t="n">
        <x:f>SUM(J1609:O1609)</x:f>
        <x:v>1538</x:v>
      </x:c>
      <x:c r="AH1609" s="17" t="n">
        <x:f>SUM(Q1609:S1609)</x:f>
        <x:v>20</x:v>
      </x:c>
      <x:c r="AI1609" s="17" t="n">
        <x:f>SUM(U1609:Y1609)</x:f>
        <x:v>0</x:v>
      </x:c>
      <x:c r="AJ1609" s="17" t="str">
        <x:f>IF(AE1609&lt;=34,"≤34",IF(AE1609&lt;=44,"35–44",IF(AE1609&lt;=54,"45–54",IF(AE1609&lt;=64,"55–64","65+"))))</x:f>
        <x:v>≤34</x:v>
      </x:c>
      <x:c r="AK1609" s="17" t="str">
        <x:f>IF(AG1609&gt;=1000,"High Value",IF(AG1609&gt;=300,"Mid Value","Low Value"))</x:f>
        <x:v>High Value</x:v>
      </x:c>
      <x:c r="AL1609" s="17" t="str">
        <x:f>IF(AND(AI1609&gt;=1,I1609&lt;=50),"Priority 1",IF(AND(AG1609&gt;=1000,I1609&lt;=60),"Priority 2",IF(I1609&lt;=30,"Priority 3","Nurture")))</x:f>
        <x:v>Nurture</x:v>
      </x:c>
    </x:row>
    <x:row r="1610">
      <x:c r="A1610" s="16" t="n">
        <x:v>1773</x:v>
      </x:c>
      <x:c r="B1610" s="16" t="n">
        <x:v>1978</x:v>
      </x:c>
      <x:c r="C1610" s="16" t="str">
        <x:v>2n Cycle</x:v>
      </x:c>
      <x:c r="D1610" s="16" t="str">
        <x:v>Married</x:v>
      </x:c>
      <x:c r="E1610" s="16" t="n">
        <x:v>12393</x:v>
      </x:c>
      <x:c r="F1610" s="16" t="n">
        <x:v>0</x:v>
      </x:c>
      <x:c r="G1610" s="16" t="n">
        <x:v>0</x:v>
      </x:c>
      <x:c r="H1610" s="16" t="str">
        <x:v>04-12-2012</x:v>
      </x:c>
      <x:c r="I1610" s="16" t="n">
        <x:v>38</x:v>
      </x:c>
      <x:c r="J1610" s="16" t="n">
        <x:v>5</x:v>
      </x:c>
      <x:c r="K1610" s="16" t="n">
        <x:v>6</x:v>
      </x:c>
      <x:c r="L1610" s="16" t="n">
        <x:v>15</x:v>
      </x:c>
      <x:c r="M1610" s="16" t="n">
        <x:v>11</x:v>
      </x:c>
      <x:c r="N1610" s="16" t="n">
        <x:v>7</x:v>
      </x:c>
      <x:c r="O1610" s="16" t="n">
        <x:v>13</x:v>
      </x:c>
      <x:c r="P1610" s="16" t="n">
        <x:v>1</x:v>
      </x:c>
      <x:c r="Q1610" s="16" t="n">
        <x:v>2</x:v>
      </x:c>
      <x:c r="R1610" s="16" t="n">
        <x:v>0</x:v>
      </x:c>
      <x:c r="S1610" s="16" t="n">
        <x:v>3</x:v>
      </x:c>
      <x:c r="T1610" s="16" t="n">
        <x:v>9</x:v>
      </x:c>
      <x:c r="U1610" s="16" t="n">
        <x:v>0</x:v>
      </x:c>
      <x:c r="V1610" s="16" t="n">
        <x:v>0</x:v>
      </x:c>
      <x:c r="W1610" s="16" t="n">
        <x:v>0</x:v>
      </x:c>
      <x:c r="X1610" s="16" t="n">
        <x:v>0</x:v>
      </x:c>
      <x:c r="Y1610" s="16" t="n">
        <x:v>0</x:v>
      </x:c>
      <x:c r="Z1610" s="16" t="n">
        <x:v>0</x:v>
      </x:c>
      <x:c r="AA1610" s="16" t="n">
        <x:v>3</x:v>
      </x:c>
      <x:c r="AB1610" s="16" t="n">
        <x:v>11</x:v>
      </x:c>
      <x:c r="AC1610" s="16" t="n">
        <x:v>0</x:v>
      </x:c>
      <x:c r="AD1610" s="21" t="n">
        <x:f>IF(E1610="",MEDIAN($E$2:$E$2237),E1610)</x:f>
        <x:v>12393</x:v>
      </x:c>
      <x:c r="AE1610" s="17" t="n">
        <x:f>2014-B1610</x:f>
        <x:v>36</x:v>
      </x:c>
      <x:c r="AF1610" s="17" t="n">
        <x:f>F1610+G1610</x:f>
        <x:v>0</x:v>
      </x:c>
      <x:c r="AG1610" s="21" t="n">
        <x:f>SUM(J1610:O1610)</x:f>
        <x:v>57</x:v>
      </x:c>
      <x:c r="AH1610" s="17" t="n">
        <x:f>SUM(Q1610:S1610)</x:f>
        <x:v>5</x:v>
      </x:c>
      <x:c r="AI1610" s="17" t="n">
        <x:f>SUM(U1610:Y1610)</x:f>
        <x:v>0</x:v>
      </x:c>
      <x:c r="AJ1610" s="17" t="str">
        <x:f>IF(AE1610&lt;=34,"≤34",IF(AE1610&lt;=44,"35–44",IF(AE1610&lt;=54,"45–54",IF(AE1610&lt;=64,"55–64","65+"))))</x:f>
        <x:v>35–44</x:v>
      </x:c>
      <x:c r="AK1610" s="17" t="str">
        <x:f>IF(AG1610&gt;=1000,"High Value",IF(AG1610&gt;=300,"Mid Value","Low Value"))</x:f>
        <x:v>Low Value</x:v>
      </x:c>
      <x:c r="AL1610" s="17" t="str">
        <x:f>IF(AND(AI1610&gt;=1,I1610&lt;=50),"Priority 1",IF(AND(AG1610&gt;=1000,I1610&lt;=60),"Priority 2",IF(I1610&lt;=30,"Priority 3","Nurture")))</x:f>
        <x:v>Nurture</x:v>
      </x:c>
    </x:row>
    <x:row r="1611">
      <x:c r="A1611" s="16" t="n">
        <x:v>9242</x:v>
      </x:c>
      <x:c r="B1611" s="16" t="n">
        <x:v>1990</x:v>
      </x:c>
      <x:c r="C1611" s="16" t="str">
        <x:v>Graduation</x:v>
      </x:c>
      <x:c r="D1611" s="16" t="str">
        <x:v>Single</x:v>
      </x:c>
      <x:c r="E1611" s="16" t="n">
        <x:v>64509</x:v>
      </x:c>
      <x:c r="F1611" s="16" t="n">
        <x:v>0</x:v>
      </x:c>
      <x:c r="G1611" s="16" t="n">
        <x:v>0</x:v>
      </x:c>
      <x:c r="H1611" s="16" t="str">
        <x:v>17-08-2013</x:v>
      </x:c>
      <x:c r="I1611" s="16" t="n">
        <x:v>19</x:v>
      </x:c>
      <x:c r="J1611" s="16" t="n">
        <x:v>836</x:v>
      </x:c>
      <x:c r="K1611" s="16" t="n">
        <x:v>185</x:v>
      </x:c>
      <x:c r="L1611" s="16" t="n">
        <x:v>575</x:v>
      </x:c>
      <x:c r="M1611" s="16" t="n">
        <x:v>24</x:v>
      </x:c>
      <x:c r="N1611" s="16" t="n">
        <x:v>25</x:v>
      </x:c>
      <x:c r="O1611" s="16" t="n">
        <x:v>77</x:v>
      </x:c>
      <x:c r="P1611" s="16" t="n">
        <x:v>1</x:v>
      </x:c>
      <x:c r="Q1611" s="16" t="n">
        <x:v>6</x:v>
      </x:c>
      <x:c r="R1611" s="16" t="n">
        <x:v>3</x:v>
      </x:c>
      <x:c r="S1611" s="16" t="n">
        <x:v>9</x:v>
      </x:c>
      <x:c r="T1611" s="16" t="n">
        <x:v>4</x:v>
      </x:c>
      <x:c r="U1611" s="16" t="n">
        <x:v>1</x:v>
      </x:c>
      <x:c r="V1611" s="16" t="n">
        <x:v>0</x:v>
      </x:c>
      <x:c r="W1611" s="16" t="n">
        <x:v>0</x:v>
      </x:c>
      <x:c r="X1611" s="16" t="n">
        <x:v>0</x:v>
      </x:c>
      <x:c r="Y1611" s="16" t="n">
        <x:v>0</x:v>
      </x:c>
      <x:c r="Z1611" s="16" t="n">
        <x:v>0</x:v>
      </x:c>
      <x:c r="AA1611" s="16" t="n">
        <x:v>3</x:v>
      </x:c>
      <x:c r="AB1611" s="16" t="n">
        <x:v>11</x:v>
      </x:c>
      <x:c r="AC1611" s="16" t="n">
        <x:v>1</x:v>
      </x:c>
      <x:c r="AD1611" s="21" t="n">
        <x:f>IF(E1611="",MEDIAN($E$2:$E$2237),E1611)</x:f>
        <x:v>64509</x:v>
      </x:c>
      <x:c r="AE1611" s="17" t="n">
        <x:f>2014-B1611</x:f>
        <x:v>24</x:v>
      </x:c>
      <x:c r="AF1611" s="17" t="n">
        <x:f>F1611+G1611</x:f>
        <x:v>0</x:v>
      </x:c>
      <x:c r="AG1611" s="21" t="n">
        <x:f>SUM(J1611:O1611)</x:f>
        <x:v>1722</x:v>
      </x:c>
      <x:c r="AH1611" s="17" t="n">
        <x:f>SUM(Q1611:S1611)</x:f>
        <x:v>18</x:v>
      </x:c>
      <x:c r="AI1611" s="17" t="n">
        <x:f>SUM(U1611:Y1611)</x:f>
        <x:v>1</x:v>
      </x:c>
      <x:c r="AJ1611" s="17" t="str">
        <x:f>IF(AE1611&lt;=34,"≤34",IF(AE1611&lt;=44,"35–44",IF(AE1611&lt;=54,"45–54",IF(AE1611&lt;=64,"55–64","65+"))))</x:f>
        <x:v>≤34</x:v>
      </x:c>
      <x:c r="AK1611" s="17" t="str">
        <x:f>IF(AG1611&gt;=1000,"High Value",IF(AG1611&gt;=300,"Mid Value","Low Value"))</x:f>
        <x:v>High Value</x:v>
      </x:c>
      <x:c r="AL1611" s="17" t="str">
        <x:f>IF(AND(AI1611&gt;=1,I1611&lt;=50),"Priority 1",IF(AND(AG1611&gt;=1000,I1611&lt;=60),"Priority 2",IF(I1611&lt;=30,"Priority 3","Nurture")))</x:f>
        <x:v>Priority 1</x:v>
      </x:c>
    </x:row>
    <x:row r="1612">
      <x:c r="A1612" s="16" t="n">
        <x:v>1764</x:v>
      </x:c>
      <x:c r="B1612" s="16" t="n">
        <x:v>1975</x:v>
      </x:c>
      <x:c r="C1612" s="16" t="str">
        <x:v>Graduation</x:v>
      </x:c>
      <x:c r="D1612" s="16" t="str">
        <x:v>Single</x:v>
      </x:c>
      <x:c r="E1612" s="16" t="n">
        <x:v>33955</x:v>
      </x:c>
      <x:c r="F1612" s="16" t="n">
        <x:v>1</x:v>
      </x:c>
      <x:c r="G1612" s="16" t="n">
        <x:v>0</x:v>
      </x:c>
      <x:c r="H1612" s="16" t="str">
        <x:v>09-08-2013</x:v>
      </x:c>
      <x:c r="I1612" s="16" t="n">
        <x:v>92</x:v>
      </x:c>
      <x:c r="J1612" s="16" t="n">
        <x:v>100</x:v>
      </x:c>
      <x:c r="K1612" s="16" t="n">
        <x:v>2</x:v>
      </x:c>
      <x:c r="L1612" s="16" t="n">
        <x:v>128</x:v>
      </x:c>
      <x:c r="M1612" s="16" t="n">
        <x:v>23</x:v>
      </x:c>
      <x:c r="N1612" s="16" t="n">
        <x:v>7</x:v>
      </x:c>
      <x:c r="O1612" s="16" t="n">
        <x:v>10</x:v>
      </x:c>
      <x:c r="P1612" s="16" t="n">
        <x:v>4</x:v>
      </x:c>
      <x:c r="Q1612" s="16" t="n">
        <x:v>5</x:v>
      </x:c>
      <x:c r="R1612" s="16" t="n">
        <x:v>1</x:v>
      </x:c>
      <x:c r="S1612" s="16" t="n">
        <x:v>5</x:v>
      </x:c>
      <x:c r="T1612" s="16" t="n">
        <x:v>8</x:v>
      </x:c>
      <x:c r="U1612" s="16" t="n">
        <x:v>0</x:v>
      </x:c>
      <x:c r="V1612" s="16" t="n">
        <x:v>0</x:v>
      </x:c>
      <x:c r="W1612" s="16" t="n">
        <x:v>0</x:v>
      </x:c>
      <x:c r="X1612" s="16" t="n">
        <x:v>0</x:v>
      </x:c>
      <x:c r="Y1612" s="16" t="n">
        <x:v>0</x:v>
      </x:c>
      <x:c r="Z1612" s="16" t="n">
        <x:v>0</x:v>
      </x:c>
      <x:c r="AA1612" s="16" t="n">
        <x:v>3</x:v>
      </x:c>
      <x:c r="AB1612" s="16" t="n">
        <x:v>11</x:v>
      </x:c>
      <x:c r="AC1612" s="16" t="n">
        <x:v>0</x:v>
      </x:c>
      <x:c r="AD1612" s="21" t="n">
        <x:f>IF(E1612="",MEDIAN($E$2:$E$2237),E1612)</x:f>
        <x:v>33955</x:v>
      </x:c>
      <x:c r="AE1612" s="17" t="n">
        <x:f>2014-B1612</x:f>
        <x:v>39</x:v>
      </x:c>
      <x:c r="AF1612" s="17" t="n">
        <x:f>F1612+G1612</x:f>
        <x:v>1</x:v>
      </x:c>
      <x:c r="AG1612" s="21" t="n">
        <x:f>SUM(J1612:O1612)</x:f>
        <x:v>270</x:v>
      </x:c>
      <x:c r="AH1612" s="17" t="n">
        <x:f>SUM(Q1612:S1612)</x:f>
        <x:v>11</x:v>
      </x:c>
      <x:c r="AI1612" s="17" t="n">
        <x:f>SUM(U1612:Y1612)</x:f>
        <x:v>0</x:v>
      </x:c>
      <x:c r="AJ1612" s="17" t="str">
        <x:f>IF(AE1612&lt;=34,"≤34",IF(AE1612&lt;=44,"35–44",IF(AE1612&lt;=54,"45–54",IF(AE1612&lt;=64,"55–64","65+"))))</x:f>
        <x:v>35–44</x:v>
      </x:c>
      <x:c r="AK1612" s="17" t="str">
        <x:f>IF(AG1612&gt;=1000,"High Value",IF(AG1612&gt;=300,"Mid Value","Low Value"))</x:f>
        <x:v>Low Value</x:v>
      </x:c>
      <x:c r="AL1612" s="17" t="str">
        <x:f>IF(AND(AI1612&gt;=1,I1612&lt;=50),"Priority 1",IF(AND(AG1612&gt;=1000,I1612&lt;=60),"Priority 2",IF(I1612&lt;=30,"Priority 3","Nurture")))</x:f>
        <x:v>Nurture</x:v>
      </x:c>
    </x:row>
    <x:row r="1613">
      <x:c r="A1613" s="16" t="n">
        <x:v>6215</x:v>
      </x:c>
      <x:c r="B1613" s="16" t="n">
        <x:v>1977</x:v>
      </x:c>
      <x:c r="C1613" s="16" t="str">
        <x:v>Graduation</x:v>
      </x:c>
      <x:c r="D1613" s="16" t="str">
        <x:v>Married</x:v>
      </x:c>
      <x:c r="E1613" s="16" t="n">
        <x:v>31353</x:v>
      </x:c>
      <x:c r="F1613" s="16" t="n">
        <x:v>1</x:v>
      </x:c>
      <x:c r="G1613" s="16" t="n">
        <x:v>1</x:v>
      </x:c>
      <x:c r="H1613" s="16" t="str">
        <x:v>29-12-2013</x:v>
      </x:c>
      <x:c r="I1613" s="16" t="n">
        <x:v>24</x:v>
      </x:c>
      <x:c r="J1613" s="16" t="n">
        <x:v>10</x:v>
      </x:c>
      <x:c r="K1613" s="16" t="n">
        <x:v>0</x:v>
      </x:c>
      <x:c r="L1613" s="16" t="n">
        <x:v>10</x:v>
      </x:c>
      <x:c r="M1613" s="16" t="n">
        <x:v>3</x:v>
      </x:c>
      <x:c r="N1613" s="16" t="n">
        <x:v>1</x:v>
      </x:c>
      <x:c r="O1613" s="16" t="n">
        <x:v>7</x:v>
      </x:c>
      <x:c r="P1613" s="16" t="n">
        <x:v>2</x:v>
      </x:c>
      <x:c r="Q1613" s="16" t="n">
        <x:v>1</x:v>
      </x:c>
      <x:c r="R1613" s="16" t="n">
        <x:v>1</x:v>
      </x:c>
      <x:c r="S1613" s="16" t="n">
        <x:v>2</x:v>
      </x:c>
      <x:c r="T1613" s="16" t="n">
        <x:v>8</x:v>
      </x:c>
      <x:c r="U1613" s="16" t="n">
        <x:v>0</x:v>
      </x:c>
      <x:c r="V1613" s="16" t="n">
        <x:v>0</x:v>
      </x:c>
      <x:c r="W1613" s="16" t="n">
        <x:v>0</x:v>
      </x:c>
      <x:c r="X1613" s="16" t="n">
        <x:v>0</x:v>
      </x:c>
      <x:c r="Y1613" s="16" t="n">
        <x:v>0</x:v>
      </x:c>
      <x:c r="Z1613" s="16" t="n">
        <x:v>0</x:v>
      </x:c>
      <x:c r="AA1613" s="16" t="n">
        <x:v>3</x:v>
      </x:c>
      <x:c r="AB1613" s="16" t="n">
        <x:v>11</x:v>
      </x:c>
      <x:c r="AC1613" s="16" t="n">
        <x:v>1</x:v>
      </x:c>
      <x:c r="AD1613" s="21" t="n">
        <x:f>IF(E1613="",MEDIAN($E$2:$E$2237),E1613)</x:f>
        <x:v>31353</x:v>
      </x:c>
      <x:c r="AE1613" s="17" t="n">
        <x:f>2014-B1613</x:f>
        <x:v>37</x:v>
      </x:c>
      <x:c r="AF1613" s="17" t="n">
        <x:f>F1613+G1613</x:f>
        <x:v>2</x:v>
      </x:c>
      <x:c r="AG1613" s="21" t="n">
        <x:f>SUM(J1613:O1613)</x:f>
        <x:v>31</x:v>
      </x:c>
      <x:c r="AH1613" s="17" t="n">
        <x:f>SUM(Q1613:S1613)</x:f>
        <x:v>4</x:v>
      </x:c>
      <x:c r="AI1613" s="17" t="n">
        <x:f>SUM(U1613:Y1613)</x:f>
        <x:v>0</x:v>
      </x:c>
      <x:c r="AJ1613" s="17" t="str">
        <x:f>IF(AE1613&lt;=34,"≤34",IF(AE1613&lt;=44,"35–44",IF(AE1613&lt;=54,"45–54",IF(AE1613&lt;=64,"55–64","65+"))))</x:f>
        <x:v>35–44</x:v>
      </x:c>
      <x:c r="AK1613" s="17" t="str">
        <x:f>IF(AG1613&gt;=1000,"High Value",IF(AG1613&gt;=300,"Mid Value","Low Value"))</x:f>
        <x:v>Low Value</x:v>
      </x:c>
      <x:c r="AL1613" s="17" t="str">
        <x:f>IF(AND(AI1613&gt;=1,I1613&lt;=50),"Priority 1",IF(AND(AG1613&gt;=1000,I1613&lt;=60),"Priority 2",IF(I1613&lt;=30,"Priority 3","Nurture")))</x:f>
        <x:v>Priority 3</x:v>
      </x:c>
    </x:row>
    <x:row r="1614">
      <x:c r="A1614" s="16" t="n">
        <x:v>10099</x:v>
      </x:c>
      <x:c r="B1614" s="16" t="n">
        <x:v>1984</x:v>
      </x:c>
      <x:c r="C1614" s="16" t="str">
        <x:v>Graduation</x:v>
      </x:c>
      <x:c r="D1614" s="16" t="str">
        <x:v>Married</x:v>
      </x:c>
      <x:c r="E1614" s="16" t="n">
        <x:v>55434</x:v>
      </x:c>
      <x:c r="F1614" s="16" t="n">
        <x:v>1</x:v>
      </x:c>
      <x:c r="G1614" s="16" t="n">
        <x:v>0</x:v>
      </x:c>
      <x:c r="H1614" s="16" t="str">
        <x:v>05-10-2013</x:v>
      </x:c>
      <x:c r="I1614" s="16" t="n">
        <x:v>21</x:v>
      </x:c>
      <x:c r="J1614" s="16" t="n">
        <x:v>238</x:v>
      </x:c>
      <x:c r="K1614" s="16" t="n">
        <x:v>115</x:v>
      </x:c>
      <x:c r="L1614" s="16" t="n">
        <x:v>215</x:v>
      </x:c>
      <x:c r="M1614" s="16" t="n">
        <x:v>169</x:v>
      </x:c>
      <x:c r="N1614" s="16" t="n">
        <x:v>69</x:v>
      </x:c>
      <x:c r="O1614" s="16" t="n">
        <x:v>76</x:v>
      </x:c>
      <x:c r="P1614" s="16" t="n">
        <x:v>3</x:v>
      </x:c>
      <x:c r="Q1614" s="16" t="n">
        <x:v>5</x:v>
      </x:c>
      <x:c r="R1614" s="16" t="n">
        <x:v>3</x:v>
      </x:c>
      <x:c r="S1614" s="16" t="n">
        <x:v>13</x:v>
      </x:c>
      <x:c r="T1614" s="16" t="n">
        <x:v>4</x:v>
      </x:c>
      <x:c r="U1614" s="16" t="n">
        <x:v>0</x:v>
      </x:c>
      <x:c r="V1614" s="16" t="n">
        <x:v>0</x:v>
      </x:c>
      <x:c r="W1614" s="16" t="n">
        <x:v>0</x:v>
      </x:c>
      <x:c r="X1614" s="16" t="n">
        <x:v>0</x:v>
      </x:c>
      <x:c r="Y1614" s="16" t="n">
        <x:v>0</x:v>
      </x:c>
      <x:c r="Z1614" s="16" t="n">
        <x:v>0</x:v>
      </x:c>
      <x:c r="AA1614" s="16" t="n">
        <x:v>3</x:v>
      </x:c>
      <x:c r="AB1614" s="16" t="n">
        <x:v>11</x:v>
      </x:c>
      <x:c r="AC1614" s="16" t="n">
        <x:v>0</x:v>
      </x:c>
      <x:c r="AD1614" s="21" t="n">
        <x:f>IF(E1614="",MEDIAN($E$2:$E$2237),E1614)</x:f>
        <x:v>55434</x:v>
      </x:c>
      <x:c r="AE1614" s="17" t="n">
        <x:f>2014-B1614</x:f>
        <x:v>30</x:v>
      </x:c>
      <x:c r="AF1614" s="17" t="n">
        <x:f>F1614+G1614</x:f>
        <x:v>1</x:v>
      </x:c>
      <x:c r="AG1614" s="21" t="n">
        <x:f>SUM(J1614:O1614)</x:f>
        <x:v>882</x:v>
      </x:c>
      <x:c r="AH1614" s="17" t="n">
        <x:f>SUM(Q1614:S1614)</x:f>
        <x:v>21</x:v>
      </x:c>
      <x:c r="AI1614" s="17" t="n">
        <x:f>SUM(U1614:Y1614)</x:f>
        <x:v>0</x:v>
      </x:c>
      <x:c r="AJ1614" s="17" t="str">
        <x:f>IF(AE1614&lt;=34,"≤34",IF(AE1614&lt;=44,"35–44",IF(AE1614&lt;=54,"45–54",IF(AE1614&lt;=64,"55–64","65+"))))</x:f>
        <x:v>≤34</x:v>
      </x:c>
      <x:c r="AK1614" s="17" t="str">
        <x:f>IF(AG1614&gt;=1000,"High Value",IF(AG1614&gt;=300,"Mid Value","Low Value"))</x:f>
        <x:v>Mid Value</x:v>
      </x:c>
      <x:c r="AL1614" s="17" t="str">
        <x:f>IF(AND(AI1614&gt;=1,I1614&lt;=50),"Priority 1",IF(AND(AG1614&gt;=1000,I1614&lt;=60),"Priority 2",IF(I1614&lt;=30,"Priority 3","Nurture")))</x:f>
        <x:v>Priority 3</x:v>
      </x:c>
    </x:row>
    <x:row r="1615">
      <x:c r="A1615" s="16" t="n">
        <x:v>5423</x:v>
      </x:c>
      <x:c r="B1615" s="16" t="n">
        <x:v>1983</x:v>
      </x:c>
      <x:c r="C1615" s="16" t="str">
        <x:v>Graduation</x:v>
      </x:c>
      <x:c r="D1615" s="16" t="str">
        <x:v>Together</x:v>
      </x:c>
      <x:c r="E1615" s="16" t="n">
        <x:v>28359</x:v>
      </x:c>
      <x:c r="F1615" s="16" t="n">
        <x:v>1</x:v>
      </x:c>
      <x:c r="G1615" s="16" t="n">
        <x:v>0</x:v>
      </x:c>
      <x:c r="H1615" s="16" t="str">
        <x:v>27-10-2013</x:v>
      </x:c>
      <x:c r="I1615" s="16" t="n">
        <x:v>35</x:v>
      </x:c>
      <x:c r="J1615" s="16" t="n">
        <x:v>6</x:v>
      </x:c>
      <x:c r="K1615" s="16" t="n">
        <x:v>0</x:v>
      </x:c>
      <x:c r="L1615" s="16" t="n">
        <x:v>5</x:v>
      </x:c>
      <x:c r="M1615" s="16" t="n">
        <x:v>2</x:v>
      </x:c>
      <x:c r="N1615" s="16" t="n">
        <x:v>1</x:v>
      </x:c>
      <x:c r="O1615" s="16" t="n">
        <x:v>2</x:v>
      </x:c>
      <x:c r="P1615" s="16" t="n">
        <x:v>1</x:v>
      </x:c>
      <x:c r="Q1615" s="16" t="n">
        <x:v>1</x:v>
      </x:c>
      <x:c r="R1615" s="16" t="n">
        <x:v>0</x:v>
      </x:c>
      <x:c r="S1615" s="16" t="n">
        <x:v>2</x:v>
      </x:c>
      <x:c r="T1615" s="16" t="n">
        <x:v>7</x:v>
      </x:c>
      <x:c r="U1615" s="16" t="n">
        <x:v>0</x:v>
      </x:c>
      <x:c r="V1615" s="16" t="n">
        <x:v>0</x:v>
      </x:c>
      <x:c r="W1615" s="16" t="n">
        <x:v>0</x:v>
      </x:c>
      <x:c r="X1615" s="16" t="n">
        <x:v>0</x:v>
      </x:c>
      <x:c r="Y1615" s="16" t="n">
        <x:v>0</x:v>
      </x:c>
      <x:c r="Z1615" s="16" t="n">
        <x:v>0</x:v>
      </x:c>
      <x:c r="AA1615" s="16" t="n">
        <x:v>3</x:v>
      </x:c>
      <x:c r="AB1615" s="16" t="n">
        <x:v>11</x:v>
      </x:c>
      <x:c r="AC1615" s="16" t="n">
        <x:v>0</x:v>
      </x:c>
      <x:c r="AD1615" s="21" t="n">
        <x:f>IF(E1615="",MEDIAN($E$2:$E$2237),E1615)</x:f>
        <x:v>28359</x:v>
      </x:c>
      <x:c r="AE1615" s="17" t="n">
        <x:f>2014-B1615</x:f>
        <x:v>31</x:v>
      </x:c>
      <x:c r="AF1615" s="17" t="n">
        <x:f>F1615+G1615</x:f>
        <x:v>1</x:v>
      </x:c>
      <x:c r="AG1615" s="21" t="n">
        <x:f>SUM(J1615:O1615)</x:f>
        <x:v>16</x:v>
      </x:c>
      <x:c r="AH1615" s="17" t="n">
        <x:f>SUM(Q1615:S1615)</x:f>
        <x:v>3</x:v>
      </x:c>
      <x:c r="AI1615" s="17" t="n">
        <x:f>SUM(U1615:Y1615)</x:f>
        <x:v>0</x:v>
      </x:c>
      <x:c r="AJ1615" s="17" t="str">
        <x:f>IF(AE1615&lt;=34,"≤34",IF(AE1615&lt;=44,"35–44",IF(AE1615&lt;=54,"45–54",IF(AE1615&lt;=64,"55–64","65+"))))</x:f>
        <x:v>≤34</x:v>
      </x:c>
      <x:c r="AK1615" s="17" t="str">
        <x:f>IF(AG1615&gt;=1000,"High Value",IF(AG1615&gt;=300,"Mid Value","Low Value"))</x:f>
        <x:v>Low Value</x:v>
      </x:c>
      <x:c r="AL1615" s="17" t="str">
        <x:f>IF(AND(AI1615&gt;=1,I1615&lt;=50),"Priority 1",IF(AND(AG1615&gt;=1000,I1615&lt;=60),"Priority 2",IF(I1615&lt;=30,"Priority 3","Nurture")))</x:f>
        <x:v>Nurture</x:v>
      </x:c>
    </x:row>
    <x:row r="1616">
      <x:c r="A1616" s="16" t="n">
        <x:v>940</x:v>
      </x:c>
      <x:c r="B1616" s="16" t="n">
        <x:v>1987</x:v>
      </x:c>
      <x:c r="C1616" s="16" t="str">
        <x:v>Graduation</x:v>
      </x:c>
      <x:c r="D1616" s="16" t="str">
        <x:v>Single</x:v>
      </x:c>
      <x:c r="E1616" s="16" t="n">
        <x:v>57100</x:v>
      </x:c>
      <x:c r="F1616" s="16" t="n">
        <x:v>1</x:v>
      </x:c>
      <x:c r="G1616" s="16" t="n">
        <x:v>0</x:v>
      </x:c>
      <x:c r="H1616" s="16" t="str">
        <x:v>18-05-2014</x:v>
      </x:c>
      <x:c r="I1616" s="16" t="n">
        <x:v>9</x:v>
      </x:c>
      <x:c r="J1616" s="16" t="n">
        <x:v>158</x:v>
      </x:c>
      <x:c r="K1616" s="16" t="n">
        <x:v>11</x:v>
      </x:c>
      <x:c r="L1616" s="16" t="n">
        <x:v>99</x:v>
      </x:c>
      <x:c r="M1616" s="16" t="n">
        <x:v>15</x:v>
      </x:c>
      <x:c r="N1616" s="16" t="n">
        <x:v>11</x:v>
      </x:c>
      <x:c r="O1616" s="16" t="n">
        <x:v>17</x:v>
      </x:c>
      <x:c r="P1616" s="16" t="n">
        <x:v>2</x:v>
      </x:c>
      <x:c r="Q1616" s="16" t="n">
        <x:v>3</x:v>
      </x:c>
      <x:c r="R1616" s="16" t="n">
        <x:v>2</x:v>
      </x:c>
      <x:c r="S1616" s="16" t="n">
        <x:v>7</x:v>
      </x:c>
      <x:c r="T1616" s="16" t="n">
        <x:v>3</x:v>
      </x:c>
      <x:c r="U1616" s="16" t="n">
        <x:v>0</x:v>
      </x:c>
      <x:c r="V1616" s="16" t="n">
        <x:v>0</x:v>
      </x:c>
      <x:c r="W1616" s="16" t="n">
        <x:v>0</x:v>
      </x:c>
      <x:c r="X1616" s="16" t="n">
        <x:v>0</x:v>
      </x:c>
      <x:c r="Y1616" s="16" t="n">
        <x:v>0</x:v>
      </x:c>
      <x:c r="Z1616" s="16" t="n">
        <x:v>0</x:v>
      </x:c>
      <x:c r="AA1616" s="16" t="n">
        <x:v>3</x:v>
      </x:c>
      <x:c r="AB1616" s="16" t="n">
        <x:v>11</x:v>
      </x:c>
      <x:c r="AC1616" s="16" t="n">
        <x:v>0</x:v>
      </x:c>
      <x:c r="AD1616" s="21" t="n">
        <x:f>IF(E1616="",MEDIAN($E$2:$E$2237),E1616)</x:f>
        <x:v>57100</x:v>
      </x:c>
      <x:c r="AE1616" s="17" t="n">
        <x:f>2014-B1616</x:f>
        <x:v>27</x:v>
      </x:c>
      <x:c r="AF1616" s="17" t="n">
        <x:f>F1616+G1616</x:f>
        <x:v>1</x:v>
      </x:c>
      <x:c r="AG1616" s="21" t="n">
        <x:f>SUM(J1616:O1616)</x:f>
        <x:v>311</x:v>
      </x:c>
      <x:c r="AH1616" s="17" t="n">
        <x:f>SUM(Q1616:S1616)</x:f>
        <x:v>12</x:v>
      </x:c>
      <x:c r="AI1616" s="17" t="n">
        <x:f>SUM(U1616:Y1616)</x:f>
        <x:v>0</x:v>
      </x:c>
      <x:c r="AJ1616" s="17" t="str">
        <x:f>IF(AE1616&lt;=34,"≤34",IF(AE1616&lt;=44,"35–44",IF(AE1616&lt;=54,"45–54",IF(AE1616&lt;=64,"55–64","65+"))))</x:f>
        <x:v>≤34</x:v>
      </x:c>
      <x:c r="AK1616" s="17" t="str">
        <x:f>IF(AG1616&gt;=1000,"High Value",IF(AG1616&gt;=300,"Mid Value","Low Value"))</x:f>
        <x:v>Mid Value</x:v>
      </x:c>
      <x:c r="AL1616" s="17" t="str">
        <x:f>IF(AND(AI1616&gt;=1,I1616&lt;=50),"Priority 1",IF(AND(AG1616&gt;=1000,I1616&lt;=60),"Priority 2",IF(I1616&lt;=30,"Priority 3","Nurture")))</x:f>
        <x:v>Priority 3</x:v>
      </x:c>
    </x:row>
    <x:row r="1617">
      <x:c r="A1617" s="16" t="n">
        <x:v>3011</x:v>
      </x:c>
      <x:c r="B1617" s="16" t="n">
        <x:v>1965</x:v>
      </x:c>
      <x:c r="C1617" s="16" t="str">
        <x:v>Graduation</x:v>
      </x:c>
      <x:c r="D1617" s="16" t="str">
        <x:v>Married</x:v>
      </x:c>
      <x:c r="E1617" s="16" t="n">
        <x:v>69139</x:v>
      </x:c>
      <x:c r="F1617" s="16" t="n">
        <x:v>0</x:v>
      </x:c>
      <x:c r="G1617" s="16" t="n">
        <x:v>1</x:v>
      </x:c>
      <x:c r="H1617" s="16" t="str">
        <x:v>27-01-2014</x:v>
      </x:c>
      <x:c r="I1617" s="16" t="n">
        <x:v>23</x:v>
      </x:c>
      <x:c r="J1617" s="16" t="n">
        <x:v>86</x:v>
      </x:c>
      <x:c r="K1617" s="16" t="n">
        <x:v>12</x:v>
      </x:c>
      <x:c r="L1617" s="16" t="n">
        <x:v>75</x:v>
      </x:c>
      <x:c r="M1617" s="16" t="n">
        <x:v>33</x:v>
      </x:c>
      <x:c r="N1617" s="16" t="n">
        <x:v>15</x:v>
      </x:c>
      <x:c r="O1617" s="16" t="n">
        <x:v>6</x:v>
      </x:c>
      <x:c r="P1617" s="16" t="n">
        <x:v>1</x:v>
      </x:c>
      <x:c r="Q1617" s="16" t="n">
        <x:v>4</x:v>
      </x:c>
      <x:c r="R1617" s="16" t="n">
        <x:v>1</x:v>
      </x:c>
      <x:c r="S1617" s="16" t="n">
        <x:v>5</x:v>
      </x:c>
      <x:c r="T1617" s="16" t="n">
        <x:v>4</x:v>
      </x:c>
      <x:c r="U1617" s="16" t="n">
        <x:v>0</x:v>
      </x:c>
      <x:c r="V1617" s="16" t="n">
        <x:v>0</x:v>
      </x:c>
      <x:c r="W1617" s="16" t="n">
        <x:v>0</x:v>
      </x:c>
      <x:c r="X1617" s="16" t="n">
        <x:v>0</x:v>
      </x:c>
      <x:c r="Y1617" s="16" t="n">
        <x:v>0</x:v>
      </x:c>
      <x:c r="Z1617" s="16" t="n">
        <x:v>0</x:v>
      </x:c>
      <x:c r="AA1617" s="16" t="n">
        <x:v>3</x:v>
      </x:c>
      <x:c r="AB1617" s="16" t="n">
        <x:v>11</x:v>
      </x:c>
      <x:c r="AC1617" s="16" t="n">
        <x:v>0</x:v>
      </x:c>
      <x:c r="AD1617" s="21" t="n">
        <x:f>IF(E1617="",MEDIAN($E$2:$E$2237),E1617)</x:f>
        <x:v>69139</x:v>
      </x:c>
      <x:c r="AE1617" s="17" t="n">
        <x:f>2014-B1617</x:f>
        <x:v>49</x:v>
      </x:c>
      <x:c r="AF1617" s="17" t="n">
        <x:f>F1617+G1617</x:f>
        <x:v>1</x:v>
      </x:c>
      <x:c r="AG1617" s="21" t="n">
        <x:f>SUM(J1617:O1617)</x:f>
        <x:v>227</x:v>
      </x:c>
      <x:c r="AH1617" s="17" t="n">
        <x:f>SUM(Q1617:S1617)</x:f>
        <x:v>10</x:v>
      </x:c>
      <x:c r="AI1617" s="17" t="n">
        <x:f>SUM(U1617:Y1617)</x:f>
        <x:v>0</x:v>
      </x:c>
      <x:c r="AJ1617" s="17" t="str">
        <x:f>IF(AE1617&lt;=34,"≤34",IF(AE1617&lt;=44,"35–44",IF(AE1617&lt;=54,"45–54",IF(AE1617&lt;=64,"55–64","65+"))))</x:f>
        <x:v>45–54</x:v>
      </x:c>
      <x:c r="AK1617" s="17" t="str">
        <x:f>IF(AG1617&gt;=1000,"High Value",IF(AG1617&gt;=300,"Mid Value","Low Value"))</x:f>
        <x:v>Low Value</x:v>
      </x:c>
      <x:c r="AL1617" s="17" t="str">
        <x:f>IF(AND(AI1617&gt;=1,I1617&lt;=50),"Priority 1",IF(AND(AG1617&gt;=1000,I1617&lt;=60),"Priority 2",IF(I1617&lt;=30,"Priority 3","Nurture")))</x:f>
        <x:v>Priority 3</x:v>
      </x:c>
    </x:row>
    <x:row r="1618">
      <x:c r="A1618" s="16" t="n">
        <x:v>3298</x:v>
      </x:c>
      <x:c r="B1618" s="16" t="n">
        <x:v>1956</x:v>
      </x:c>
      <x:c r="C1618" s="16" t="str">
        <x:v>Master</x:v>
      </x:c>
      <x:c r="D1618" s="16" t="str">
        <x:v>Married</x:v>
      </x:c>
      <x:c r="E1618" s="16" t="n">
        <x:v>52973</x:v>
      </x:c>
      <x:c r="F1618" s="16" t="n">
        <x:v>0</x:v>
      </x:c>
      <x:c r="G1618" s="16" t="n">
        <x:v>1</x:v>
      </x:c>
      <x:c r="H1618" s="16" t="str">
        <x:v>08-11-2012</x:v>
      </x:c>
      <x:c r="I1618" s="16" t="n">
        <x:v>92</x:v>
      </x:c>
      <x:c r="J1618" s="16" t="n">
        <x:v>856</x:v>
      </x:c>
      <x:c r="K1618" s="16" t="n">
        <x:v>0</x:v>
      </x:c>
      <x:c r="L1618" s="16" t="n">
        <x:v>76</x:v>
      </x:c>
      <x:c r="M1618" s="16" t="n">
        <x:v>12</x:v>
      </x:c>
      <x:c r="N1618" s="16" t="n">
        <x:v>9</x:v>
      </x:c>
      <x:c r="O1618" s="16" t="n">
        <x:v>199</x:v>
      </x:c>
      <x:c r="P1618" s="16" t="n">
        <x:v>7</x:v>
      </x:c>
      <x:c r="Q1618" s="16" t="n">
        <x:v>9</x:v>
      </x:c>
      <x:c r="R1618" s="16" t="n">
        <x:v>6</x:v>
      </x:c>
      <x:c r="S1618" s="16" t="n">
        <x:v>9</x:v>
      </x:c>
      <x:c r="T1618" s="16" t="n">
        <x:v>8</x:v>
      </x:c>
      <x:c r="U1618" s="16" t="n">
        <x:v>0</x:v>
      </x:c>
      <x:c r="V1618" s="16" t="n">
        <x:v>0</x:v>
      </x:c>
      <x:c r="W1618" s="16" t="n">
        <x:v>0</x:v>
      </x:c>
      <x:c r="X1618" s="16" t="n">
        <x:v>0</x:v>
      </x:c>
      <x:c r="Y1618" s="16" t="n">
        <x:v>0</x:v>
      </x:c>
      <x:c r="Z1618" s="16" t="n">
        <x:v>0</x:v>
      </x:c>
      <x:c r="AA1618" s="16" t="n">
        <x:v>3</x:v>
      </x:c>
      <x:c r="AB1618" s="16" t="n">
        <x:v>11</x:v>
      </x:c>
      <x:c r="AC1618" s="16" t="n">
        <x:v>0</x:v>
      </x:c>
      <x:c r="AD1618" s="21" t="n">
        <x:f>IF(E1618="",MEDIAN($E$2:$E$2237),E1618)</x:f>
        <x:v>52973</x:v>
      </x:c>
      <x:c r="AE1618" s="17" t="n">
        <x:f>2014-B1618</x:f>
        <x:v>58</x:v>
      </x:c>
      <x:c r="AF1618" s="17" t="n">
        <x:f>F1618+G1618</x:f>
        <x:v>1</x:v>
      </x:c>
      <x:c r="AG1618" s="21" t="n">
        <x:f>SUM(J1618:O1618)</x:f>
        <x:v>1152</x:v>
      </x:c>
      <x:c r="AH1618" s="17" t="n">
        <x:f>SUM(Q1618:S1618)</x:f>
        <x:v>24</x:v>
      </x:c>
      <x:c r="AI1618" s="17" t="n">
        <x:f>SUM(U1618:Y1618)</x:f>
        <x:v>0</x:v>
      </x:c>
      <x:c r="AJ1618" s="17" t="str">
        <x:f>IF(AE1618&lt;=34,"≤34",IF(AE1618&lt;=44,"35–44",IF(AE1618&lt;=54,"45–54",IF(AE1618&lt;=64,"55–64","65+"))))</x:f>
        <x:v>55–64</x:v>
      </x:c>
      <x:c r="AK1618" s="17" t="str">
        <x:f>IF(AG1618&gt;=1000,"High Value",IF(AG1618&gt;=300,"Mid Value","Low Value"))</x:f>
        <x:v>High Value</x:v>
      </x:c>
      <x:c r="AL1618" s="17" t="str">
        <x:f>IF(AND(AI1618&gt;=1,I1618&lt;=50),"Priority 1",IF(AND(AG1618&gt;=1000,I1618&lt;=60),"Priority 2",IF(I1618&lt;=30,"Priority 3","Nurture")))</x:f>
        <x:v>Nurture</x:v>
      </x:c>
    </x:row>
    <x:row r="1619">
      <x:c r="A1619" s="16" t="n">
        <x:v>8286</x:v>
      </x:c>
      <x:c r="B1619" s="16" t="n">
        <x:v>1965</x:v>
      </x:c>
      <x:c r="C1619" s="16" t="str">
        <x:v>PhD</x:v>
      </x:c>
      <x:c r="D1619" s="16" t="str">
        <x:v>Together</x:v>
      </x:c>
      <x:c r="E1619" s="16" t="n">
        <x:v>51717</x:v>
      </x:c>
      <x:c r="F1619" s="16" t="n">
        <x:v>0</x:v>
      </x:c>
      <x:c r="G1619" s="16" t="n">
        <x:v>1</x:v>
      </x:c>
      <x:c r="H1619" s="16" t="str">
        <x:v>20-08-2013</x:v>
      </x:c>
      <x:c r="I1619" s="16" t="n">
        <x:v>55</x:v>
      </x:c>
      <x:c r="J1619" s="16" t="n">
        <x:v>98</x:v>
      </x:c>
      <x:c r="K1619" s="16" t="n">
        <x:v>1</x:v>
      </x:c>
      <x:c r="L1619" s="16" t="n">
        <x:v>17</x:v>
      </x:c>
      <x:c r="M1619" s="16" t="n">
        <x:v>0</x:v>
      </x:c>
      <x:c r="N1619" s="16" t="n">
        <x:v>1</x:v>
      </x:c>
      <x:c r="O1619" s="16" t="n">
        <x:v>5</x:v>
      </x:c>
      <x:c r="P1619" s="16" t="n">
        <x:v>1</x:v>
      </x:c>
      <x:c r="Q1619" s="16" t="n">
        <x:v>3</x:v>
      </x:c>
      <x:c r="R1619" s="16" t="n">
        <x:v>0</x:v>
      </x:c>
      <x:c r="S1619" s="16" t="n">
        <x:v>4</x:v>
      </x:c>
      <x:c r="T1619" s="16" t="n">
        <x:v>7</x:v>
      </x:c>
      <x:c r="U1619" s="16" t="n">
        <x:v>0</x:v>
      </x:c>
      <x:c r="V1619" s="16" t="n">
        <x:v>1</x:v>
      </x:c>
      <x:c r="W1619" s="16" t="n">
        <x:v>0</x:v>
      </x:c>
      <x:c r="X1619" s="16" t="n">
        <x:v>0</x:v>
      </x:c>
      <x:c r="Y1619" s="16" t="n">
        <x:v>0</x:v>
      </x:c>
      <x:c r="Z1619" s="16" t="n">
        <x:v>0</x:v>
      </x:c>
      <x:c r="AA1619" s="16" t="n">
        <x:v>3</x:v>
      </x:c>
      <x:c r="AB1619" s="16" t="n">
        <x:v>11</x:v>
      </x:c>
      <x:c r="AC1619" s="16" t="n">
        <x:v>0</x:v>
      </x:c>
      <x:c r="AD1619" s="21" t="n">
        <x:f>IF(E1619="",MEDIAN($E$2:$E$2237),E1619)</x:f>
        <x:v>51717</x:v>
      </x:c>
      <x:c r="AE1619" s="17" t="n">
        <x:f>2014-B1619</x:f>
        <x:v>49</x:v>
      </x:c>
      <x:c r="AF1619" s="17" t="n">
        <x:f>F1619+G1619</x:f>
        <x:v>1</x:v>
      </x:c>
      <x:c r="AG1619" s="21" t="n">
        <x:f>SUM(J1619:O1619)</x:f>
        <x:v>122</x:v>
      </x:c>
      <x:c r="AH1619" s="17" t="n">
        <x:f>SUM(Q1619:S1619)</x:f>
        <x:v>7</x:v>
      </x:c>
      <x:c r="AI1619" s="17" t="n">
        <x:f>SUM(U1619:Y1619)</x:f>
        <x:v>1</x:v>
      </x:c>
      <x:c r="AJ1619" s="17" t="str">
        <x:f>IF(AE1619&lt;=34,"≤34",IF(AE1619&lt;=44,"35–44",IF(AE1619&lt;=54,"45–54",IF(AE1619&lt;=64,"55–64","65+"))))</x:f>
        <x:v>45–54</x:v>
      </x:c>
      <x:c r="AK1619" s="17" t="str">
        <x:f>IF(AG1619&gt;=1000,"High Value",IF(AG1619&gt;=300,"Mid Value","Low Value"))</x:f>
        <x:v>Low Value</x:v>
      </x:c>
      <x:c r="AL1619" s="17" t="str">
        <x:f>IF(AND(AI1619&gt;=1,I1619&lt;=50),"Priority 1",IF(AND(AG1619&gt;=1000,I1619&lt;=60),"Priority 2",IF(I1619&lt;=30,"Priority 3","Nurture")))</x:f>
        <x:v>Nurture</x:v>
      </x:c>
    </x:row>
    <x:row r="1620">
      <x:c r="A1620" s="16" t="n">
        <x:v>9668</x:v>
      </x:c>
      <x:c r="B1620" s="16" t="n">
        <x:v>1971</x:v>
      </x:c>
      <x:c r="C1620" s="16" t="str">
        <x:v>Graduation</x:v>
      </x:c>
      <x:c r="D1620" s="16" t="str">
        <x:v>Married</x:v>
      </x:c>
      <x:c r="E1620" s="16" t="n">
        <x:v>18793</x:v>
      </x:c>
      <x:c r="F1620" s="16" t="n">
        <x:v>1</x:v>
      </x:c>
      <x:c r="G1620" s="16" t="n">
        <x:v>0</x:v>
      </x:c>
      <x:c r="H1620" s="16" t="str">
        <x:v>12-01-2013</x:v>
      </x:c>
      <x:c r="I1620" s="16" t="n">
        <x:v>14</x:v>
      </x:c>
      <x:c r="J1620" s="16" t="n">
        <x:v>4</x:v>
      </x:c>
      <x:c r="K1620" s="16" t="n">
        <x:v>16</x:v>
      </x:c>
      <x:c r="L1620" s="16" t="n">
        <x:v>20</x:v>
      </x:c>
      <x:c r="M1620" s="16" t="n">
        <x:v>0</x:v>
      </x:c>
      <x:c r="N1620" s="16" t="n">
        <x:v>17</x:v>
      </x:c>
      <x:c r="O1620" s="16" t="n">
        <x:v>20</x:v>
      </x:c>
      <x:c r="P1620" s="16" t="n">
        <x:v>3</x:v>
      </x:c>
      <x:c r="Q1620" s="16" t="n">
        <x:v>2</x:v>
      </x:c>
      <x:c r="R1620" s="16" t="n">
        <x:v>0</x:v>
      </x:c>
      <x:c r="S1620" s="16" t="n">
        <x:v>4</x:v>
      </x:c>
      <x:c r="T1620" s="16" t="n">
        <x:v>8</x:v>
      </x:c>
      <x:c r="U1620" s="16" t="n">
        <x:v>0</x:v>
      </x:c>
      <x:c r="V1620" s="16" t="n">
        <x:v>0</x:v>
      </x:c>
      <x:c r="W1620" s="16" t="n">
        <x:v>0</x:v>
      </x:c>
      <x:c r="X1620" s="16" t="n">
        <x:v>0</x:v>
      </x:c>
      <x:c r="Y1620" s="16" t="n">
        <x:v>0</x:v>
      </x:c>
      <x:c r="Z1620" s="16" t="n">
        <x:v>0</x:v>
      </x:c>
      <x:c r="AA1620" s="16" t="n">
        <x:v>3</x:v>
      </x:c>
      <x:c r="AB1620" s="16" t="n">
        <x:v>11</x:v>
      </x:c>
      <x:c r="AC1620" s="16" t="n">
        <x:v>0</x:v>
      </x:c>
      <x:c r="AD1620" s="21" t="n">
        <x:f>IF(E1620="",MEDIAN($E$2:$E$2237),E1620)</x:f>
        <x:v>18793</x:v>
      </x:c>
      <x:c r="AE1620" s="17" t="n">
        <x:f>2014-B1620</x:f>
        <x:v>43</x:v>
      </x:c>
      <x:c r="AF1620" s="17" t="n">
        <x:f>F1620+G1620</x:f>
        <x:v>1</x:v>
      </x:c>
      <x:c r="AG1620" s="21" t="n">
        <x:f>SUM(J1620:O1620)</x:f>
        <x:v>77</x:v>
      </x:c>
      <x:c r="AH1620" s="17" t="n">
        <x:f>SUM(Q1620:S1620)</x:f>
        <x:v>6</x:v>
      </x:c>
      <x:c r="AI1620" s="17" t="n">
        <x:f>SUM(U1620:Y1620)</x:f>
        <x:v>0</x:v>
      </x:c>
      <x:c r="AJ1620" s="17" t="str">
        <x:f>IF(AE1620&lt;=34,"≤34",IF(AE1620&lt;=44,"35–44",IF(AE1620&lt;=54,"45–54",IF(AE1620&lt;=64,"55–64","65+"))))</x:f>
        <x:v>35–44</x:v>
      </x:c>
      <x:c r="AK1620" s="17" t="str">
        <x:f>IF(AG1620&gt;=1000,"High Value",IF(AG1620&gt;=300,"Mid Value","Low Value"))</x:f>
        <x:v>Low Value</x:v>
      </x:c>
      <x:c r="AL1620" s="17" t="str">
        <x:f>IF(AND(AI1620&gt;=1,I1620&lt;=50),"Priority 1",IF(AND(AG1620&gt;=1000,I1620&lt;=60),"Priority 2",IF(I1620&lt;=30,"Priority 3","Nurture")))</x:f>
        <x:v>Priority 3</x:v>
      </x:c>
    </x:row>
    <x:row r="1621">
      <x:c r="A1621" s="16" t="n">
        <x:v>5120</x:v>
      </x:c>
      <x:c r="B1621" s="16" t="n">
        <x:v>1982</x:v>
      </x:c>
      <x:c r="C1621" s="16" t="str">
        <x:v>2n Cycle</x:v>
      </x:c>
      <x:c r="D1621" s="16" t="str">
        <x:v>Together</x:v>
      </x:c>
      <x:c r="E1621" s="16" t="n">
        <x:v>66664</x:v>
      </x:c>
      <x:c r="F1621" s="16" t="n">
        <x:v>0</x:v>
      </x:c>
      <x:c r="G1621" s="16" t="n">
        <x:v>0</x:v>
      </x:c>
      <x:c r="H1621" s="16" t="str">
        <x:v>25-09-2012</x:v>
      </x:c>
      <x:c r="I1621" s="16" t="n">
        <x:v>78</x:v>
      </x:c>
      <x:c r="J1621" s="16" t="n">
        <x:v>398</x:v>
      </x:c>
      <x:c r="K1621" s="16" t="n">
        <x:v>96</x:v>
      </x:c>
      <x:c r="L1621" s="16" t="n">
        <x:v>447</x:v>
      </x:c>
      <x:c r="M1621" s="16" t="n">
        <x:v>220</x:v>
      </x:c>
      <x:c r="N1621" s="16" t="n">
        <x:v>96</x:v>
      </x:c>
      <x:c r="O1621" s="16" t="n">
        <x:v>32</x:v>
      </x:c>
      <x:c r="P1621" s="16" t="n">
        <x:v>1</x:v>
      </x:c>
      <x:c r="Q1621" s="16" t="n">
        <x:v>5</x:v>
      </x:c>
      <x:c r="R1621" s="16" t="n">
        <x:v>7</x:v>
      </x:c>
      <x:c r="S1621" s="16" t="n">
        <x:v>6</x:v>
      </x:c>
      <x:c r="T1621" s="16" t="n">
        <x:v>3</x:v>
      </x:c>
      <x:c r="U1621" s="16" t="n">
        <x:v>0</x:v>
      </x:c>
      <x:c r="V1621" s="16" t="n">
        <x:v>0</x:v>
      </x:c>
      <x:c r="W1621" s="16" t="n">
        <x:v>0</x:v>
      </x:c>
      <x:c r="X1621" s="16" t="n">
        <x:v>0</x:v>
      </x:c>
      <x:c r="Y1621" s="16" t="n">
        <x:v>0</x:v>
      </x:c>
      <x:c r="Z1621" s="16" t="n">
        <x:v>0</x:v>
      </x:c>
      <x:c r="AA1621" s="16" t="n">
        <x:v>3</x:v>
      </x:c>
      <x:c r="AB1621" s="16" t="n">
        <x:v>11</x:v>
      </x:c>
      <x:c r="AC1621" s="16" t="n">
        <x:v>0</x:v>
      </x:c>
      <x:c r="AD1621" s="21" t="n">
        <x:f>IF(E1621="",MEDIAN($E$2:$E$2237),E1621)</x:f>
        <x:v>66664</x:v>
      </x:c>
      <x:c r="AE1621" s="17" t="n">
        <x:f>2014-B1621</x:f>
        <x:v>32</x:v>
      </x:c>
      <x:c r="AF1621" s="17" t="n">
        <x:f>F1621+G1621</x:f>
        <x:v>0</x:v>
      </x:c>
      <x:c r="AG1621" s="21" t="n">
        <x:f>SUM(J1621:O1621)</x:f>
        <x:v>1289</x:v>
      </x:c>
      <x:c r="AH1621" s="17" t="n">
        <x:f>SUM(Q1621:S1621)</x:f>
        <x:v>18</x:v>
      </x:c>
      <x:c r="AI1621" s="17" t="n">
        <x:f>SUM(U1621:Y1621)</x:f>
        <x:v>0</x:v>
      </x:c>
      <x:c r="AJ1621" s="17" t="str">
        <x:f>IF(AE1621&lt;=34,"≤34",IF(AE1621&lt;=44,"35–44",IF(AE1621&lt;=54,"45–54",IF(AE1621&lt;=64,"55–64","65+"))))</x:f>
        <x:v>≤34</x:v>
      </x:c>
      <x:c r="AK1621" s="17" t="str">
        <x:f>IF(AG1621&gt;=1000,"High Value",IF(AG1621&gt;=300,"Mid Value","Low Value"))</x:f>
        <x:v>High Value</x:v>
      </x:c>
      <x:c r="AL1621" s="17" t="str">
        <x:f>IF(AND(AI1621&gt;=1,I1621&lt;=50),"Priority 1",IF(AND(AG1621&gt;=1000,I1621&lt;=60),"Priority 2",IF(I1621&lt;=30,"Priority 3","Nurture")))</x:f>
        <x:v>Nurture</x:v>
      </x:c>
    </x:row>
    <x:row r="1622">
      <x:c r="A1622" s="16" t="n">
        <x:v>6097</x:v>
      </x:c>
      <x:c r="B1622" s="16" t="n">
        <x:v>1959</x:v>
      </x:c>
      <x:c r="C1622" s="16" t="str">
        <x:v>Graduation</x:v>
      </x:c>
      <x:c r="D1622" s="16" t="str">
        <x:v>Single</x:v>
      </x:c>
      <x:c r="E1622" s="16" t="n">
        <x:v>50664</x:v>
      </x:c>
      <x:c r="F1622" s="16" t="n">
        <x:v>1</x:v>
      </x:c>
      <x:c r="G1622" s="16" t="n">
        <x:v>1</x:v>
      </x:c>
      <x:c r="H1622" s="16" t="str">
        <x:v>16-01-2013</x:v>
      </x:c>
      <x:c r="I1622" s="16" t="n">
        <x:v>64</x:v>
      </x:c>
      <x:c r="J1622" s="16" t="n">
        <x:v>313</x:v>
      </x:c>
      <x:c r="K1622" s="16" t="n">
        <x:v>8</x:v>
      </x:c>
      <x:c r="L1622" s="16" t="n">
        <x:v>104</x:v>
      </x:c>
      <x:c r="M1622" s="16" t="n">
        <x:v>6</x:v>
      </x:c>
      <x:c r="N1622" s="16" t="n">
        <x:v>4</x:v>
      </x:c>
      <x:c r="O1622" s="16" t="n">
        <x:v>126</x:v>
      </x:c>
      <x:c r="P1622" s="16" t="n">
        <x:v>9</x:v>
      </x:c>
      <x:c r="Q1622" s="16" t="n">
        <x:v>8</x:v>
      </x:c>
      <x:c r="R1622" s="16" t="n">
        <x:v>1</x:v>
      </x:c>
      <x:c r="S1622" s="16" t="n">
        <x:v>6</x:v>
      </x:c>
      <x:c r="T1622" s="16" t="n">
        <x:v>9</x:v>
      </x:c>
      <x:c r="U1622" s="16" t="n">
        <x:v>0</x:v>
      </x:c>
      <x:c r="V1622" s="16" t="n">
        <x:v>0</x:v>
      </x:c>
      <x:c r="W1622" s="16" t="n">
        <x:v>0</x:v>
      </x:c>
      <x:c r="X1622" s="16" t="n">
        <x:v>0</x:v>
      </x:c>
      <x:c r="Y1622" s="16" t="n">
        <x:v>0</x:v>
      </x:c>
      <x:c r="Z1622" s="16" t="n">
        <x:v>0</x:v>
      </x:c>
      <x:c r="AA1622" s="16" t="n">
        <x:v>3</x:v>
      </x:c>
      <x:c r="AB1622" s="16" t="n">
        <x:v>11</x:v>
      </x:c>
      <x:c r="AC1622" s="16" t="n">
        <x:v>0</x:v>
      </x:c>
      <x:c r="AD1622" s="21" t="n">
        <x:f>IF(E1622="",MEDIAN($E$2:$E$2237),E1622)</x:f>
        <x:v>50664</x:v>
      </x:c>
      <x:c r="AE1622" s="17" t="n">
        <x:f>2014-B1622</x:f>
        <x:v>55</x:v>
      </x:c>
      <x:c r="AF1622" s="17" t="n">
        <x:f>F1622+G1622</x:f>
        <x:v>2</x:v>
      </x:c>
      <x:c r="AG1622" s="21" t="n">
        <x:f>SUM(J1622:O1622)</x:f>
        <x:v>561</x:v>
      </x:c>
      <x:c r="AH1622" s="17" t="n">
        <x:f>SUM(Q1622:S1622)</x:f>
        <x:v>15</x:v>
      </x:c>
      <x:c r="AI1622" s="17" t="n">
        <x:f>SUM(U1622:Y1622)</x:f>
        <x:v>0</x:v>
      </x:c>
      <x:c r="AJ1622" s="17" t="str">
        <x:f>IF(AE1622&lt;=34,"≤34",IF(AE1622&lt;=44,"35–44",IF(AE1622&lt;=54,"45–54",IF(AE1622&lt;=64,"55–64","65+"))))</x:f>
        <x:v>55–64</x:v>
      </x:c>
      <x:c r="AK1622" s="17" t="str">
        <x:f>IF(AG1622&gt;=1000,"High Value",IF(AG1622&gt;=300,"Mid Value","Low Value"))</x:f>
        <x:v>Mid Value</x:v>
      </x:c>
      <x:c r="AL1622" s="17" t="str">
        <x:f>IF(AND(AI1622&gt;=1,I1622&lt;=50),"Priority 1",IF(AND(AG1622&gt;=1000,I1622&lt;=60),"Priority 2",IF(I1622&lt;=30,"Priority 3","Nurture")))</x:f>
        <x:v>Nurture</x:v>
      </x:c>
    </x:row>
    <x:row r="1623">
      <x:c r="A1623" s="16" t="n">
        <x:v>7019</x:v>
      </x:c>
      <x:c r="B1623" s="16" t="n">
        <x:v>1963</x:v>
      </x:c>
      <x:c r="C1623" s="16" t="str">
        <x:v>Graduation</x:v>
      </x:c>
      <x:c r="D1623" s="16" t="str">
        <x:v>Together</x:v>
      </x:c>
      <x:c r="E1623" s="16" t="n">
        <x:v>54414</x:v>
      </x:c>
      <x:c r="F1623" s="16" t="n">
        <x:v>1</x:v>
      </x:c>
      <x:c r="G1623" s="16" t="n">
        <x:v>1</x:v>
      </x:c>
      <x:c r="H1623" s="16" t="str">
        <x:v>23-01-2013</x:v>
      </x:c>
      <x:c r="I1623" s="16" t="n">
        <x:v>49</x:v>
      </x:c>
      <x:c r="J1623" s="16" t="n">
        <x:v>109</x:v>
      </x:c>
      <x:c r="K1623" s="16" t="n">
        <x:v>18</x:v>
      </x:c>
      <x:c r="L1623" s="16" t="n">
        <x:v>16</x:v>
      </x:c>
      <x:c r="M1623" s="16" t="n">
        <x:v>24</x:v>
      </x:c>
      <x:c r="N1623" s="16" t="n">
        <x:v>26</x:v>
      </x:c>
      <x:c r="O1623" s="16" t="n">
        <x:v>18</x:v>
      </x:c>
      <x:c r="P1623" s="16" t="n">
        <x:v>4</x:v>
      </x:c>
      <x:c r="Q1623" s="16" t="n">
        <x:v>3</x:v>
      </x:c>
      <x:c r="R1623" s="16" t="n">
        <x:v>1</x:v>
      </x:c>
      <x:c r="S1623" s="16" t="n">
        <x:v>5</x:v>
      </x:c>
      <x:c r="T1623" s="16" t="n">
        <x:v>4</x:v>
      </x:c>
      <x:c r="U1623" s="16" t="n">
        <x:v>0</x:v>
      </x:c>
      <x:c r="V1623" s="16" t="n">
        <x:v>0</x:v>
      </x:c>
      <x:c r="W1623" s="16" t="n">
        <x:v>0</x:v>
      </x:c>
      <x:c r="X1623" s="16" t="n">
        <x:v>0</x:v>
      </x:c>
      <x:c r="Y1623" s="16" t="n">
        <x:v>0</x:v>
      </x:c>
      <x:c r="Z1623" s="16" t="n">
        <x:v>0</x:v>
      </x:c>
      <x:c r="AA1623" s="16" t="n">
        <x:v>3</x:v>
      </x:c>
      <x:c r="AB1623" s="16" t="n">
        <x:v>11</x:v>
      </x:c>
      <x:c r="AC1623" s="16" t="n">
        <x:v>0</x:v>
      </x:c>
      <x:c r="AD1623" s="21" t="n">
        <x:f>IF(E1623="",MEDIAN($E$2:$E$2237),E1623)</x:f>
        <x:v>54414</x:v>
      </x:c>
      <x:c r="AE1623" s="17" t="n">
        <x:f>2014-B1623</x:f>
        <x:v>51</x:v>
      </x:c>
      <x:c r="AF1623" s="17" t="n">
        <x:f>F1623+G1623</x:f>
        <x:v>2</x:v>
      </x:c>
      <x:c r="AG1623" s="21" t="n">
        <x:f>SUM(J1623:O1623)</x:f>
        <x:v>211</x:v>
      </x:c>
      <x:c r="AH1623" s="17" t="n">
        <x:f>SUM(Q1623:S1623)</x:f>
        <x:v>9</x:v>
      </x:c>
      <x:c r="AI1623" s="17" t="n">
        <x:f>SUM(U1623:Y1623)</x:f>
        <x:v>0</x:v>
      </x:c>
      <x:c r="AJ1623" s="17" t="str">
        <x:f>IF(AE1623&lt;=34,"≤34",IF(AE1623&lt;=44,"35–44",IF(AE1623&lt;=54,"45–54",IF(AE1623&lt;=64,"55–64","65+"))))</x:f>
        <x:v>45–54</x:v>
      </x:c>
      <x:c r="AK1623" s="17" t="str">
        <x:f>IF(AG1623&gt;=1000,"High Value",IF(AG1623&gt;=300,"Mid Value","Low Value"))</x:f>
        <x:v>Low Value</x:v>
      </x:c>
      <x:c r="AL1623" s="17" t="str">
        <x:f>IF(AND(AI1623&gt;=1,I1623&lt;=50),"Priority 1",IF(AND(AG1623&gt;=1000,I1623&lt;=60),"Priority 2",IF(I1623&lt;=30,"Priority 3","Nurture")))</x:f>
        <x:v>Nurture</x:v>
      </x:c>
    </x:row>
    <x:row r="1624">
      <x:c r="A1624" s="16" t="n">
        <x:v>7408</x:v>
      </x:c>
      <x:c r="B1624" s="16" t="n">
        <x:v>1952</x:v>
      </x:c>
      <x:c r="C1624" s="16" t="str">
        <x:v>PhD</x:v>
      </x:c>
      <x:c r="D1624" s="16" t="str">
        <x:v>Married</x:v>
      </x:c>
      <x:c r="E1624" s="16" t="n">
        <x:v>54549</x:v>
      </x:c>
      <x:c r="F1624" s="16" t="n">
        <x:v>0</x:v>
      </x:c>
      <x:c r="G1624" s="16" t="n">
        <x:v>1</x:v>
      </x:c>
      <x:c r="H1624" s="16" t="str">
        <x:v>03-03-2014</x:v>
      </x:c>
      <x:c r="I1624" s="16" t="n">
        <x:v>8</x:v>
      </x:c>
      <x:c r="J1624" s="16" t="n">
        <x:v>216</x:v>
      </x:c>
      <x:c r="K1624" s="16" t="n">
        <x:v>2</x:v>
      </x:c>
      <x:c r="L1624" s="16" t="n">
        <x:v>6</x:v>
      </x:c>
      <x:c r="M1624" s="16" t="n">
        <x:v>0</x:v>
      </x:c>
      <x:c r="N1624" s="16" t="n">
        <x:v>0</x:v>
      </x:c>
      <x:c r="O1624" s="16" t="n">
        <x:v>9</x:v>
      </x:c>
      <x:c r="P1624" s="16" t="n">
        <x:v>2</x:v>
      </x:c>
      <x:c r="Q1624" s="16" t="n">
        <x:v>5</x:v>
      </x:c>
      <x:c r="R1624" s="16" t="n">
        <x:v>1</x:v>
      </x:c>
      <x:c r="S1624" s="16" t="n">
        <x:v>4</x:v>
      </x:c>
      <x:c r="T1624" s="16" t="n">
        <x:v>7</x:v>
      </x:c>
      <x:c r="U1624" s="16" t="n">
        <x:v>0</x:v>
      </x:c>
      <x:c r="V1624" s="16" t="n">
        <x:v>0</x:v>
      </x:c>
      <x:c r="W1624" s="16" t="n">
        <x:v>0</x:v>
      </x:c>
      <x:c r="X1624" s="16" t="n">
        <x:v>0</x:v>
      </x:c>
      <x:c r="Y1624" s="16" t="n">
        <x:v>0</x:v>
      </x:c>
      <x:c r="Z1624" s="16" t="n">
        <x:v>0</x:v>
      </x:c>
      <x:c r="AA1624" s="16" t="n">
        <x:v>3</x:v>
      </x:c>
      <x:c r="AB1624" s="16" t="n">
        <x:v>11</x:v>
      </x:c>
      <x:c r="AC1624" s="16" t="n">
        <x:v>0</x:v>
      </x:c>
      <x:c r="AD1624" s="21" t="n">
        <x:f>IF(E1624="",MEDIAN($E$2:$E$2237),E1624)</x:f>
        <x:v>54549</x:v>
      </x:c>
      <x:c r="AE1624" s="17" t="n">
        <x:f>2014-B1624</x:f>
        <x:v>62</x:v>
      </x:c>
      <x:c r="AF1624" s="17" t="n">
        <x:f>F1624+G1624</x:f>
        <x:v>1</x:v>
      </x:c>
      <x:c r="AG1624" s="21" t="n">
        <x:f>SUM(J1624:O1624)</x:f>
        <x:v>233</x:v>
      </x:c>
      <x:c r="AH1624" s="17" t="n">
        <x:f>SUM(Q1624:S1624)</x:f>
        <x:v>10</x:v>
      </x:c>
      <x:c r="AI1624" s="17" t="n">
        <x:f>SUM(U1624:Y1624)</x:f>
        <x:v>0</x:v>
      </x:c>
      <x:c r="AJ1624" s="17" t="str">
        <x:f>IF(AE1624&lt;=34,"≤34",IF(AE1624&lt;=44,"35–44",IF(AE1624&lt;=54,"45–54",IF(AE1624&lt;=64,"55–64","65+"))))</x:f>
        <x:v>55–64</x:v>
      </x:c>
      <x:c r="AK1624" s="17" t="str">
        <x:f>IF(AG1624&gt;=1000,"High Value",IF(AG1624&gt;=300,"Mid Value","Low Value"))</x:f>
        <x:v>Low Value</x:v>
      </x:c>
      <x:c r="AL1624" s="17" t="str">
        <x:f>IF(AND(AI1624&gt;=1,I1624&lt;=50),"Priority 1",IF(AND(AG1624&gt;=1000,I1624&lt;=60),"Priority 2",IF(I1624&lt;=30,"Priority 3","Nurture")))</x:f>
        <x:v>Priority 3</x:v>
      </x:c>
    </x:row>
    <x:row r="1625">
      <x:c r="A1625" s="16" t="n">
        <x:v>8041</x:v>
      </x:c>
      <x:c r="B1625" s="16" t="n">
        <x:v>1971</x:v>
      </x:c>
      <x:c r="C1625" s="16" t="str">
        <x:v>PhD</x:v>
      </x:c>
      <x:c r="D1625" s="16" t="str">
        <x:v>Widow</x:v>
      </x:c>
      <x:c r="E1625" s="16" t="n">
        <x:v>47111</x:v>
      </x:c>
      <x:c r="F1625" s="16" t="n">
        <x:v>0</x:v>
      </x:c>
      <x:c r="G1625" s="16" t="n">
        <x:v>1</x:v>
      </x:c>
      <x:c r="H1625" s="16" t="str">
        <x:v>08-09-2012</x:v>
      </x:c>
      <x:c r="I1625" s="16" t="n">
        <x:v>35</x:v>
      </x:c>
      <x:c r="J1625" s="16" t="n">
        <x:v>595</x:v>
      </x:c>
      <x:c r="K1625" s="16" t="n">
        <x:v>71</x:v>
      </x:c>
      <x:c r="L1625" s="16" t="n">
        <x:v>153</x:v>
      </x:c>
      <x:c r="M1625" s="16" t="n">
        <x:v>120</x:v>
      </x:c>
      <x:c r="N1625" s="16" t="n">
        <x:v>112</x:v>
      </x:c>
      <x:c r="O1625" s="16" t="n">
        <x:v>41</x:v>
      </x:c>
      <x:c r="P1625" s="16" t="n">
        <x:v>6</x:v>
      </x:c>
      <x:c r="Q1625" s="16" t="n">
        <x:v>3</x:v>
      </x:c>
      <x:c r="R1625" s="16" t="n">
        <x:v>2</x:v>
      </x:c>
      <x:c r="S1625" s="16" t="n">
        <x:v>10</x:v>
      </x:c>
      <x:c r="T1625" s="16" t="n">
        <x:v>9</x:v>
      </x:c>
      <x:c r="U1625" s="16" t="n">
        <x:v>0</x:v>
      </x:c>
      <x:c r="V1625" s="16" t="n">
        <x:v>0</x:v>
      </x:c>
      <x:c r="W1625" s="16" t="n">
        <x:v>0</x:v>
      </x:c>
      <x:c r="X1625" s="16" t="n">
        <x:v>0</x:v>
      </x:c>
      <x:c r="Y1625" s="16" t="n">
        <x:v>0</x:v>
      </x:c>
      <x:c r="Z1625" s="16" t="n">
        <x:v>0</x:v>
      </x:c>
      <x:c r="AA1625" s="16" t="n">
        <x:v>3</x:v>
      </x:c>
      <x:c r="AB1625" s="16" t="n">
        <x:v>11</x:v>
      </x:c>
      <x:c r="AC1625" s="16" t="n">
        <x:v>0</x:v>
      </x:c>
      <x:c r="AD1625" s="21" t="n">
        <x:f>IF(E1625="",MEDIAN($E$2:$E$2237),E1625)</x:f>
        <x:v>47111</x:v>
      </x:c>
      <x:c r="AE1625" s="17" t="n">
        <x:f>2014-B1625</x:f>
        <x:v>43</x:v>
      </x:c>
      <x:c r="AF1625" s="17" t="n">
        <x:f>F1625+G1625</x:f>
        <x:v>1</x:v>
      </x:c>
      <x:c r="AG1625" s="21" t="n">
        <x:f>SUM(J1625:O1625)</x:f>
        <x:v>1092</x:v>
      </x:c>
      <x:c r="AH1625" s="17" t="n">
        <x:f>SUM(Q1625:S1625)</x:f>
        <x:v>15</x:v>
      </x:c>
      <x:c r="AI1625" s="17" t="n">
        <x:f>SUM(U1625:Y1625)</x:f>
        <x:v>0</x:v>
      </x:c>
      <x:c r="AJ1625" s="17" t="str">
        <x:f>IF(AE1625&lt;=34,"≤34",IF(AE1625&lt;=44,"35–44",IF(AE1625&lt;=54,"45–54",IF(AE1625&lt;=64,"55–64","65+"))))</x:f>
        <x:v>35–44</x:v>
      </x:c>
      <x:c r="AK1625" s="17" t="str">
        <x:f>IF(AG1625&gt;=1000,"High Value",IF(AG1625&gt;=300,"Mid Value","Low Value"))</x:f>
        <x:v>High Value</x:v>
      </x:c>
      <x:c r="AL1625" s="17" t="str">
        <x:f>IF(AND(AI1625&gt;=1,I1625&lt;=50),"Priority 1",IF(AND(AG1625&gt;=1000,I1625&lt;=60),"Priority 2",IF(I1625&lt;=30,"Priority 3","Nurture")))</x:f>
        <x:v>Priority 2</x:v>
      </x:c>
    </x:row>
    <x:row r="1626">
      <x:c r="A1626" s="16" t="n">
        <x:v>252</x:v>
      </x:c>
      <x:c r="B1626" s="16" t="n">
        <x:v>1963</x:v>
      </x:c>
      <x:c r="C1626" s="16" t="str">
        <x:v>PhD</x:v>
      </x:c>
      <x:c r="D1626" s="16" t="str">
        <x:v>Divorced</x:v>
      </x:c>
      <x:c r="E1626" s="16" t="n">
        <x:v>41003</x:v>
      </x:c>
      <x:c r="F1626" s="16" t="n">
        <x:v>0</x:v>
      </x:c>
      <x:c r="G1626" s="16" t="n">
        <x:v>0</x:v>
      </x:c>
      <x:c r="H1626" s="16" t="str">
        <x:v>17-03-2013</x:v>
      </x:c>
      <x:c r="I1626" s="16" t="n">
        <x:v>11</x:v>
      </x:c>
      <x:c r="J1626" s="16" t="n">
        <x:v>123</x:v>
      </x:c>
      <x:c r="K1626" s="16" t="n">
        <x:v>133</x:v>
      </x:c>
      <x:c r="L1626" s="16" t="n">
        <x:v>142</x:v>
      </x:c>
      <x:c r="M1626" s="16" t="n">
        <x:v>71</x:v>
      </x:c>
      <x:c r="N1626" s="16" t="n">
        <x:v>44</x:v>
      </x:c>
      <x:c r="O1626" s="16" t="n">
        <x:v>88</x:v>
      </x:c>
      <x:c r="P1626" s="16" t="n">
        <x:v>1</x:v>
      </x:c>
      <x:c r="Q1626" s="16" t="n">
        <x:v>6</x:v>
      </x:c>
      <x:c r="R1626" s="16" t="n">
        <x:v>2</x:v>
      </x:c>
      <x:c r="S1626" s="16" t="n">
        <x:v>8</x:v>
      </x:c>
      <x:c r="T1626" s="16" t="n">
        <x:v>6</x:v>
      </x:c>
      <x:c r="U1626" s="16" t="n">
        <x:v>0</x:v>
      </x:c>
      <x:c r="V1626" s="16" t="n">
        <x:v>0</x:v>
      </x:c>
      <x:c r="W1626" s="16" t="n">
        <x:v>0</x:v>
      </x:c>
      <x:c r="X1626" s="16" t="n">
        <x:v>0</x:v>
      </x:c>
      <x:c r="Y1626" s="16" t="n">
        <x:v>0</x:v>
      </x:c>
      <x:c r="Z1626" s="16" t="n">
        <x:v>0</x:v>
      </x:c>
      <x:c r="AA1626" s="16" t="n">
        <x:v>3</x:v>
      </x:c>
      <x:c r="AB1626" s="16" t="n">
        <x:v>11</x:v>
      </x:c>
      <x:c r="AC1626" s="16" t="n">
        <x:v>0</x:v>
      </x:c>
      <x:c r="AD1626" s="21" t="n">
        <x:f>IF(E1626="",MEDIAN($E$2:$E$2237),E1626)</x:f>
        <x:v>41003</x:v>
      </x:c>
      <x:c r="AE1626" s="17" t="n">
        <x:f>2014-B1626</x:f>
        <x:v>51</x:v>
      </x:c>
      <x:c r="AF1626" s="17" t="n">
        <x:f>F1626+G1626</x:f>
        <x:v>0</x:v>
      </x:c>
      <x:c r="AG1626" s="21" t="n">
        <x:f>SUM(J1626:O1626)</x:f>
        <x:v>601</x:v>
      </x:c>
      <x:c r="AH1626" s="17" t="n">
        <x:f>SUM(Q1626:S1626)</x:f>
        <x:v>16</x:v>
      </x:c>
      <x:c r="AI1626" s="17" t="n">
        <x:f>SUM(U1626:Y1626)</x:f>
        <x:v>0</x:v>
      </x:c>
      <x:c r="AJ1626" s="17" t="str">
        <x:f>IF(AE1626&lt;=34,"≤34",IF(AE1626&lt;=44,"35–44",IF(AE1626&lt;=54,"45–54",IF(AE1626&lt;=64,"55–64","65+"))))</x:f>
        <x:v>45–54</x:v>
      </x:c>
      <x:c r="AK1626" s="17" t="str">
        <x:f>IF(AG1626&gt;=1000,"High Value",IF(AG1626&gt;=300,"Mid Value","Low Value"))</x:f>
        <x:v>Mid Value</x:v>
      </x:c>
      <x:c r="AL1626" s="17" t="str">
        <x:f>IF(AND(AI1626&gt;=1,I1626&lt;=50),"Priority 1",IF(AND(AG1626&gt;=1000,I1626&lt;=60),"Priority 2",IF(I1626&lt;=30,"Priority 3","Nurture")))</x:f>
        <x:v>Priority 3</x:v>
      </x:c>
    </x:row>
    <x:row r="1627">
      <x:c r="A1627" s="16" t="n">
        <x:v>9986</x:v>
      </x:c>
      <x:c r="B1627" s="16" t="n">
        <x:v>1982</x:v>
      </x:c>
      <x:c r="C1627" s="16" t="str">
        <x:v>Graduation</x:v>
      </x:c>
      <x:c r="D1627" s="16" t="str">
        <x:v>Together</x:v>
      </x:c>
      <x:c r="E1627" s="16" t="n">
        <x:v>19444</x:v>
      </x:c>
      <x:c r="F1627" s="16" t="n">
        <x:v>1</x:v>
      </x:c>
      <x:c r="G1627" s="16" t="n">
        <x:v>0</x:v>
      </x:c>
      <x:c r="H1627" s="16" t="str">
        <x:v>22-02-2014</x:v>
      </x:c>
      <x:c r="I1627" s="16" t="n">
        <x:v>8</x:v>
      </x:c>
      <x:c r="J1627" s="16" t="n">
        <x:v>16</x:v>
      </x:c>
      <x:c r="K1627" s="16" t="n">
        <x:v>0</x:v>
      </x:c>
      <x:c r="L1627" s="16" t="n">
        <x:v>23</x:v>
      </x:c>
      <x:c r="M1627" s="16" t="n">
        <x:v>3</x:v>
      </x:c>
      <x:c r="N1627" s="16" t="n">
        <x:v>2</x:v>
      </x:c>
      <x:c r="O1627" s="16" t="n">
        <x:v>10</x:v>
      </x:c>
      <x:c r="P1627" s="16" t="n">
        <x:v>3</x:v>
      </x:c>
      <x:c r="Q1627" s="16" t="n">
        <x:v>4</x:v>
      </x:c>
      <x:c r="R1627" s="16" t="n">
        <x:v>1</x:v>
      </x:c>
      <x:c r="S1627" s="16" t="n">
        <x:v>2</x:v>
      </x:c>
      <x:c r="T1627" s="16" t="n">
        <x:v>7</x:v>
      </x:c>
      <x:c r="U1627" s="16" t="n">
        <x:v>0</x:v>
      </x:c>
      <x:c r="V1627" s="16" t="n">
        <x:v>0</x:v>
      </x:c>
      <x:c r="W1627" s="16" t="n">
        <x:v>0</x:v>
      </x:c>
      <x:c r="X1627" s="16" t="n">
        <x:v>0</x:v>
      </x:c>
      <x:c r="Y1627" s="16" t="n">
        <x:v>0</x:v>
      </x:c>
      <x:c r="Z1627" s="16" t="n">
        <x:v>0</x:v>
      </x:c>
      <x:c r="AA1627" s="16" t="n">
        <x:v>3</x:v>
      </x:c>
      <x:c r="AB1627" s="16" t="n">
        <x:v>11</x:v>
      </x:c>
      <x:c r="AC1627" s="16" t="n">
        <x:v>1</x:v>
      </x:c>
      <x:c r="AD1627" s="21" t="n">
        <x:f>IF(E1627="",MEDIAN($E$2:$E$2237),E1627)</x:f>
        <x:v>19444</x:v>
      </x:c>
      <x:c r="AE1627" s="17" t="n">
        <x:f>2014-B1627</x:f>
        <x:v>32</x:v>
      </x:c>
      <x:c r="AF1627" s="17" t="n">
        <x:f>F1627+G1627</x:f>
        <x:v>1</x:v>
      </x:c>
      <x:c r="AG1627" s="21" t="n">
        <x:f>SUM(J1627:O1627)</x:f>
        <x:v>54</x:v>
      </x:c>
      <x:c r="AH1627" s="17" t="n">
        <x:f>SUM(Q1627:S1627)</x:f>
        <x:v>7</x:v>
      </x:c>
      <x:c r="AI1627" s="17" t="n">
        <x:f>SUM(U1627:Y1627)</x:f>
        <x:v>0</x:v>
      </x:c>
      <x:c r="AJ1627" s="17" t="str">
        <x:f>IF(AE1627&lt;=34,"≤34",IF(AE1627&lt;=44,"35–44",IF(AE1627&lt;=54,"45–54",IF(AE1627&lt;=64,"55–64","65+"))))</x:f>
        <x:v>≤34</x:v>
      </x:c>
      <x:c r="AK1627" s="17" t="str">
        <x:f>IF(AG1627&gt;=1000,"High Value",IF(AG1627&gt;=300,"Mid Value","Low Value"))</x:f>
        <x:v>Low Value</x:v>
      </x:c>
      <x:c r="AL1627" s="17" t="str">
        <x:f>IF(AND(AI1627&gt;=1,I1627&lt;=50),"Priority 1",IF(AND(AG1627&gt;=1000,I1627&lt;=60),"Priority 2",IF(I1627&lt;=30,"Priority 3","Nurture")))</x:f>
        <x:v>Priority 3</x:v>
      </x:c>
    </x:row>
    <x:row r="1628">
      <x:c r="A1628" s="16" t="n">
        <x:v>3276</x:v>
      </x:c>
      <x:c r="B1628" s="16" t="n">
        <x:v>1976</x:v>
      </x:c>
      <x:c r="C1628" s="16" t="str">
        <x:v>2n Cycle</x:v>
      </x:c>
      <x:c r="D1628" s="16" t="str">
        <x:v>Together</x:v>
      </x:c>
      <x:c r="E1628" s="16" t="n">
        <x:v>36301</x:v>
      </x:c>
      <x:c r="F1628" s="16" t="n">
        <x:v>1</x:v>
      </x:c>
      <x:c r="G1628" s="16" t="n">
        <x:v>0</x:v>
      </x:c>
      <x:c r="H1628" s="16" t="str">
        <x:v>25-10-2013</x:v>
      </x:c>
      <x:c r="I1628" s="16" t="n">
        <x:v>53</x:v>
      </x:c>
      <x:c r="J1628" s="16" t="n">
        <x:v>11</x:v>
      </x:c>
      <x:c r="K1628" s="16" t="n">
        <x:v>12</x:v>
      </x:c>
      <x:c r="L1628" s="16" t="n">
        <x:v>35</x:v>
      </x:c>
      <x:c r="M1628" s="16" t="n">
        <x:v>3</x:v>
      </x:c>
      <x:c r="N1628" s="16" t="n">
        <x:v>5</x:v>
      </x:c>
      <x:c r="O1628" s="16" t="n">
        <x:v>12</x:v>
      </x:c>
      <x:c r="P1628" s="16" t="n">
        <x:v>1</x:v>
      </x:c>
      <x:c r="Q1628" s="16" t="n">
        <x:v>3</x:v>
      </x:c>
      <x:c r="R1628" s="16" t="n">
        <x:v>0</x:v>
      </x:c>
      <x:c r="S1628" s="16" t="n">
        <x:v>3</x:v>
      </x:c>
      <x:c r="T1628" s="16" t="n">
        <x:v>7</x:v>
      </x:c>
      <x:c r="U1628" s="16" t="n">
        <x:v>0</x:v>
      </x:c>
      <x:c r="V1628" s="16" t="n">
        <x:v>0</x:v>
      </x:c>
      <x:c r="W1628" s="16" t="n">
        <x:v>0</x:v>
      </x:c>
      <x:c r="X1628" s="16" t="n">
        <x:v>0</x:v>
      </x:c>
      <x:c r="Y1628" s="16" t="n">
        <x:v>0</x:v>
      </x:c>
      <x:c r="Z1628" s="16" t="n">
        <x:v>0</x:v>
      </x:c>
      <x:c r="AA1628" s="16" t="n">
        <x:v>3</x:v>
      </x:c>
      <x:c r="AB1628" s="16" t="n">
        <x:v>11</x:v>
      </x:c>
      <x:c r="AC1628" s="16" t="n">
        <x:v>0</x:v>
      </x:c>
      <x:c r="AD1628" s="21" t="n">
        <x:f>IF(E1628="",MEDIAN($E$2:$E$2237),E1628)</x:f>
        <x:v>36301</x:v>
      </x:c>
      <x:c r="AE1628" s="17" t="n">
        <x:f>2014-B1628</x:f>
        <x:v>38</x:v>
      </x:c>
      <x:c r="AF1628" s="17" t="n">
        <x:f>F1628+G1628</x:f>
        <x:v>1</x:v>
      </x:c>
      <x:c r="AG1628" s="21" t="n">
        <x:f>SUM(J1628:O1628)</x:f>
        <x:v>78</x:v>
      </x:c>
      <x:c r="AH1628" s="17" t="n">
        <x:f>SUM(Q1628:S1628)</x:f>
        <x:v>6</x:v>
      </x:c>
      <x:c r="AI1628" s="17" t="n">
        <x:f>SUM(U1628:Y1628)</x:f>
        <x:v>0</x:v>
      </x:c>
      <x:c r="AJ1628" s="17" t="str">
        <x:f>IF(AE1628&lt;=34,"≤34",IF(AE1628&lt;=44,"35–44",IF(AE1628&lt;=54,"45–54",IF(AE1628&lt;=64,"55–64","65+"))))</x:f>
        <x:v>35–44</x:v>
      </x:c>
      <x:c r="AK1628" s="17" t="str">
        <x:f>IF(AG1628&gt;=1000,"High Value",IF(AG1628&gt;=300,"Mid Value","Low Value"))</x:f>
        <x:v>Low Value</x:v>
      </x:c>
      <x:c r="AL1628" s="17" t="str">
        <x:f>IF(AND(AI1628&gt;=1,I1628&lt;=50),"Priority 1",IF(AND(AG1628&gt;=1000,I1628&lt;=60),"Priority 2",IF(I1628&lt;=30,"Priority 3","Nurture")))</x:f>
        <x:v>Nurture</x:v>
      </x:c>
    </x:row>
    <x:row r="1629">
      <x:c r="A1629" s="16" t="n">
        <x:v>3859</x:v>
      </x:c>
      <x:c r="B1629" s="16" t="n">
        <x:v>1947</x:v>
      </x:c>
      <x:c r="C1629" s="16" t="str">
        <x:v>PhD</x:v>
      </x:c>
      <x:c r="D1629" s="16" t="str">
        <x:v>Together</x:v>
      </x:c>
      <x:c r="E1629" s="16" t="n">
        <x:v>73059</x:v>
      </x:c>
      <x:c r="F1629" s="16" t="n">
        <x:v>0</x:v>
      </x:c>
      <x:c r="G1629" s="16" t="n">
        <x:v>1</x:v>
      </x:c>
      <x:c r="H1629" s="16" t="str">
        <x:v>31-08-2013</x:v>
      </x:c>
      <x:c r="I1629" s="16" t="n">
        <x:v>36</x:v>
      </x:c>
      <x:c r="J1629" s="16" t="n">
        <x:v>410</x:v>
      </x:c>
      <x:c r="K1629" s="16" t="n">
        <x:v>112</x:v>
      </x:c>
      <x:c r="L1629" s="16" t="n">
        <x:v>420</x:v>
      </x:c>
      <x:c r="M1629" s="16" t="n">
        <x:v>0</x:v>
      </x:c>
      <x:c r="N1629" s="16" t="n">
        <x:v>82</x:v>
      </x:c>
      <x:c r="O1629" s="16" t="n">
        <x:v>71</x:v>
      </x:c>
      <x:c r="P1629" s="16" t="n">
        <x:v>1</x:v>
      </x:c>
      <x:c r="Q1629" s="16" t="n">
        <x:v>9</x:v>
      </x:c>
      <x:c r="R1629" s="16" t="n">
        <x:v>3</x:v>
      </x:c>
      <x:c r="S1629" s="16" t="n">
        <x:v>13</x:v>
      </x:c>
      <x:c r="T1629" s="16" t="n">
        <x:v>4</x:v>
      </x:c>
      <x:c r="U1629" s="16" t="n">
        <x:v>0</x:v>
      </x:c>
      <x:c r="V1629" s="16" t="n">
        <x:v>0</x:v>
      </x:c>
      <x:c r="W1629" s="16" t="n">
        <x:v>0</x:v>
      </x:c>
      <x:c r="X1629" s="16" t="n">
        <x:v>0</x:v>
      </x:c>
      <x:c r="Y1629" s="16" t="n">
        <x:v>0</x:v>
      </x:c>
      <x:c r="Z1629" s="16" t="n">
        <x:v>0</x:v>
      </x:c>
      <x:c r="AA1629" s="16" t="n">
        <x:v>3</x:v>
      </x:c>
      <x:c r="AB1629" s="16" t="n">
        <x:v>11</x:v>
      </x:c>
      <x:c r="AC1629" s="16" t="n">
        <x:v>0</x:v>
      </x:c>
      <x:c r="AD1629" s="21" t="n">
        <x:f>IF(E1629="",MEDIAN($E$2:$E$2237),E1629)</x:f>
        <x:v>73059</x:v>
      </x:c>
      <x:c r="AE1629" s="17" t="n">
        <x:f>2014-B1629</x:f>
        <x:v>67</x:v>
      </x:c>
      <x:c r="AF1629" s="17" t="n">
        <x:f>F1629+G1629</x:f>
        <x:v>1</x:v>
      </x:c>
      <x:c r="AG1629" s="21" t="n">
        <x:f>SUM(J1629:O1629)</x:f>
        <x:v>1095</x:v>
      </x:c>
      <x:c r="AH1629" s="17" t="n">
        <x:f>SUM(Q1629:S1629)</x:f>
        <x:v>25</x:v>
      </x:c>
      <x:c r="AI1629" s="17" t="n">
        <x:f>SUM(U1629:Y1629)</x:f>
        <x:v>0</x:v>
      </x:c>
      <x:c r="AJ1629" s="17" t="str">
        <x:f>IF(AE1629&lt;=34,"≤34",IF(AE1629&lt;=44,"35–44",IF(AE1629&lt;=54,"45–54",IF(AE1629&lt;=64,"55–64","65+"))))</x:f>
        <x:v>65+</x:v>
      </x:c>
      <x:c r="AK1629" s="17" t="str">
        <x:f>IF(AG1629&gt;=1000,"High Value",IF(AG1629&gt;=300,"Mid Value","Low Value"))</x:f>
        <x:v>High Value</x:v>
      </x:c>
      <x:c r="AL1629" s="17" t="str">
        <x:f>IF(AND(AI1629&gt;=1,I1629&lt;=50),"Priority 1",IF(AND(AG1629&gt;=1000,I1629&lt;=60),"Priority 2",IF(I1629&lt;=30,"Priority 3","Nurture")))</x:f>
        <x:v>Priority 2</x:v>
      </x:c>
    </x:row>
    <x:row r="1630">
      <x:c r="A1630" s="16" t="n">
        <x:v>3570</x:v>
      </x:c>
      <x:c r="B1630" s="16" t="n">
        <x:v>1969</x:v>
      </x:c>
      <x:c r="C1630" s="16" t="str">
        <x:v>PhD</x:v>
      </x:c>
      <x:c r="D1630" s="16" t="str">
        <x:v>Together</x:v>
      </x:c>
      <x:c r="E1630" s="16" t="n">
        <x:v>42731</x:v>
      </x:c>
      <x:c r="F1630" s="16" t="n">
        <x:v>1</x:v>
      </x:c>
      <x:c r="G1630" s="16" t="n">
        <x:v>0</x:v>
      </x:c>
      <x:c r="H1630" s="16" t="str">
        <x:v>21-10-2013</x:v>
      </x:c>
      <x:c r="I1630" s="16" t="n">
        <x:v>64</x:v>
      </x:c>
      <x:c r="J1630" s="16" t="n">
        <x:v>159</x:v>
      </x:c>
      <x:c r="K1630" s="16" t="n">
        <x:v>2</x:v>
      </x:c>
      <x:c r="L1630" s="16" t="n">
        <x:v>51</x:v>
      </x:c>
      <x:c r="M1630" s="16" t="n">
        <x:v>6</x:v>
      </x:c>
      <x:c r="N1630" s="16" t="n">
        <x:v>2</x:v>
      </x:c>
      <x:c r="O1630" s="16" t="n">
        <x:v>24</x:v>
      </x:c>
      <x:c r="P1630" s="16" t="n">
        <x:v>3</x:v>
      </x:c>
      <x:c r="Q1630" s="16" t="n">
        <x:v>4</x:v>
      </x:c>
      <x:c r="R1630" s="16" t="n">
        <x:v>1</x:v>
      </x:c>
      <x:c r="S1630" s="16" t="n">
        <x:v>5</x:v>
      </x:c>
      <x:c r="T1630" s="16" t="n">
        <x:v>5</x:v>
      </x:c>
      <x:c r="U1630" s="16" t="n">
        <x:v>0</x:v>
      </x:c>
      <x:c r="V1630" s="16" t="n">
        <x:v>0</x:v>
      </x:c>
      <x:c r="W1630" s="16" t="n">
        <x:v>0</x:v>
      </x:c>
      <x:c r="X1630" s="16" t="n">
        <x:v>0</x:v>
      </x:c>
      <x:c r="Y1630" s="16" t="n">
        <x:v>0</x:v>
      </x:c>
      <x:c r="Z1630" s="16" t="n">
        <x:v>0</x:v>
      </x:c>
      <x:c r="AA1630" s="16" t="n">
        <x:v>3</x:v>
      </x:c>
      <x:c r="AB1630" s="16" t="n">
        <x:v>11</x:v>
      </x:c>
      <x:c r="AC1630" s="16" t="n">
        <x:v>0</x:v>
      </x:c>
      <x:c r="AD1630" s="21" t="n">
        <x:f>IF(E1630="",MEDIAN($E$2:$E$2237),E1630)</x:f>
        <x:v>42731</x:v>
      </x:c>
      <x:c r="AE1630" s="17" t="n">
        <x:f>2014-B1630</x:f>
        <x:v>45</x:v>
      </x:c>
      <x:c r="AF1630" s="17" t="n">
        <x:f>F1630+G1630</x:f>
        <x:v>1</x:v>
      </x:c>
      <x:c r="AG1630" s="21" t="n">
        <x:f>SUM(J1630:O1630)</x:f>
        <x:v>244</x:v>
      </x:c>
      <x:c r="AH1630" s="17" t="n">
        <x:f>SUM(Q1630:S1630)</x:f>
        <x:v>10</x:v>
      </x:c>
      <x:c r="AI1630" s="17" t="n">
        <x:f>SUM(U1630:Y1630)</x:f>
        <x:v>0</x:v>
      </x:c>
      <x:c r="AJ1630" s="17" t="str">
        <x:f>IF(AE1630&lt;=34,"≤34",IF(AE1630&lt;=44,"35–44",IF(AE1630&lt;=54,"45–54",IF(AE1630&lt;=64,"55–64","65+"))))</x:f>
        <x:v>45–54</x:v>
      </x:c>
      <x:c r="AK1630" s="17" t="str">
        <x:f>IF(AG1630&gt;=1000,"High Value",IF(AG1630&gt;=300,"Mid Value","Low Value"))</x:f>
        <x:v>Low Value</x:v>
      </x:c>
      <x:c r="AL1630" s="17" t="str">
        <x:f>IF(AND(AI1630&gt;=1,I1630&lt;=50),"Priority 1",IF(AND(AG1630&gt;=1000,I1630&lt;=60),"Priority 2",IF(I1630&lt;=30,"Priority 3","Nurture")))</x:f>
        <x:v>Nurture</x:v>
      </x:c>
    </x:row>
    <x:row r="1631">
      <x:c r="A1631" s="16" t="n">
        <x:v>3783</x:v>
      </x:c>
      <x:c r="B1631" s="16" t="n">
        <x:v>1959</x:v>
      </x:c>
      <x:c r="C1631" s="16" t="str">
        <x:v>PhD</x:v>
      </x:c>
      <x:c r="D1631" s="16" t="str">
        <x:v>Married</x:v>
      </x:c>
      <x:c r="E1631" s="16" t="n">
        <x:v>52854</x:v>
      </x:c>
      <x:c r="F1631" s="16" t="n">
        <x:v>1</x:v>
      </x:c>
      <x:c r="G1631" s="16" t="n">
        <x:v>1</x:v>
      </x:c>
      <x:c r="H1631" s="16" t="str">
        <x:v>24-03-2014</x:v>
      </x:c>
      <x:c r="I1631" s="16" t="n">
        <x:v>43</x:v>
      </x:c>
      <x:c r="J1631" s="16" t="n">
        <x:v>105</x:v>
      </x:c>
      <x:c r="K1631" s="16" t="n">
        <x:v>0</x:v>
      </x:c>
      <x:c r="L1631" s="16" t="n">
        <x:v>10</x:v>
      </x:c>
      <x:c r="M1631" s="16" t="n">
        <x:v>0</x:v>
      </x:c>
      <x:c r="N1631" s="16" t="n">
        <x:v>1</x:v>
      </x:c>
      <x:c r="O1631" s="16" t="n">
        <x:v>0</x:v>
      </x:c>
      <x:c r="P1631" s="16" t="n">
        <x:v>2</x:v>
      </x:c>
      <x:c r="Q1631" s="16" t="n">
        <x:v>2</x:v>
      </x:c>
      <x:c r="R1631" s="16" t="n">
        <x:v>1</x:v>
      </x:c>
      <x:c r="S1631" s="16" t="n">
        <x:v>4</x:v>
      </x:c>
      <x:c r="T1631" s="16" t="n">
        <x:v>5</x:v>
      </x:c>
      <x:c r="U1631" s="16" t="n">
        <x:v>0</x:v>
      </x:c>
      <x:c r="V1631" s="16" t="n">
        <x:v>0</x:v>
      </x:c>
      <x:c r="W1631" s="16" t="n">
        <x:v>0</x:v>
      </x:c>
      <x:c r="X1631" s="16" t="n">
        <x:v>0</x:v>
      </x:c>
      <x:c r="Y1631" s="16" t="n">
        <x:v>0</x:v>
      </x:c>
      <x:c r="Z1631" s="16" t="n">
        <x:v>0</x:v>
      </x:c>
      <x:c r="AA1631" s="16" t="n">
        <x:v>3</x:v>
      </x:c>
      <x:c r="AB1631" s="16" t="n">
        <x:v>11</x:v>
      </x:c>
      <x:c r="AC1631" s="16" t="n">
        <x:v>0</x:v>
      </x:c>
      <x:c r="AD1631" s="21" t="n">
        <x:f>IF(E1631="",MEDIAN($E$2:$E$2237),E1631)</x:f>
        <x:v>52854</x:v>
      </x:c>
      <x:c r="AE1631" s="17" t="n">
        <x:f>2014-B1631</x:f>
        <x:v>55</x:v>
      </x:c>
      <x:c r="AF1631" s="17" t="n">
        <x:f>F1631+G1631</x:f>
        <x:v>2</x:v>
      </x:c>
      <x:c r="AG1631" s="21" t="n">
        <x:f>SUM(J1631:O1631)</x:f>
        <x:v>116</x:v>
      </x:c>
      <x:c r="AH1631" s="17" t="n">
        <x:f>SUM(Q1631:S1631)</x:f>
        <x:v>7</x:v>
      </x:c>
      <x:c r="AI1631" s="17" t="n">
        <x:f>SUM(U1631:Y1631)</x:f>
        <x:v>0</x:v>
      </x:c>
      <x:c r="AJ1631" s="17" t="str">
        <x:f>IF(AE1631&lt;=34,"≤34",IF(AE1631&lt;=44,"35–44",IF(AE1631&lt;=54,"45–54",IF(AE1631&lt;=64,"55–64","65+"))))</x:f>
        <x:v>55–64</x:v>
      </x:c>
      <x:c r="AK1631" s="17" t="str">
        <x:f>IF(AG1631&gt;=1000,"High Value",IF(AG1631&gt;=300,"Mid Value","Low Value"))</x:f>
        <x:v>Low Value</x:v>
      </x:c>
      <x:c r="AL1631" s="17" t="str">
        <x:f>IF(AND(AI1631&gt;=1,I1631&lt;=50),"Priority 1",IF(AND(AG1631&gt;=1000,I1631&lt;=60),"Priority 2",IF(I1631&lt;=30,"Priority 3","Nurture")))</x:f>
        <x:v>Nurture</x:v>
      </x:c>
    </x:row>
    <x:row r="1632">
      <x:c r="A1632" s="16" t="n">
        <x:v>10207</x:v>
      </x:c>
      <x:c r="B1632" s="16" t="n">
        <x:v>1978</x:v>
      </x:c>
      <x:c r="C1632" s="16" t="str">
        <x:v>Graduation</x:v>
      </x:c>
      <x:c r="D1632" s="16" t="str">
        <x:v>Together</x:v>
      </x:c>
      <x:c r="E1632" s="16" t="n">
        <x:v>22775</x:v>
      </x:c>
      <x:c r="F1632" s="16" t="n">
        <x:v>1</x:v>
      </x:c>
      <x:c r="G1632" s="16" t="n">
        <x:v>0</x:v>
      </x:c>
      <x:c r="H1632" s="16" t="str">
        <x:v>19-06-2013</x:v>
      </x:c>
      <x:c r="I1632" s="16" t="n">
        <x:v>40</x:v>
      </x:c>
      <x:c r="J1632" s="16" t="n">
        <x:v>5</x:v>
      </x:c>
      <x:c r="K1632" s="16" t="n">
        <x:v>1</x:v>
      </x:c>
      <x:c r="L1632" s="16" t="n">
        <x:v>8</x:v>
      </x:c>
      <x:c r="M1632" s="16" t="n">
        <x:v>0</x:v>
      </x:c>
      <x:c r="N1632" s="16" t="n">
        <x:v>0</x:v>
      </x:c>
      <x:c r="O1632" s="16" t="n">
        <x:v>1</x:v>
      </x:c>
      <x:c r="P1632" s="16" t="n">
        <x:v>1</x:v>
      </x:c>
      <x:c r="Q1632" s="16" t="n">
        <x:v>1</x:v>
      </x:c>
      <x:c r="R1632" s="16" t="n">
        <x:v>0</x:v>
      </x:c>
      <x:c r="S1632" s="16" t="n">
        <x:v>2</x:v>
      </x:c>
      <x:c r="T1632" s="16" t="n">
        <x:v>8</x:v>
      </x:c>
      <x:c r="U1632" s="16" t="n">
        <x:v>0</x:v>
      </x:c>
      <x:c r="V1632" s="16" t="n">
        <x:v>0</x:v>
      </x:c>
      <x:c r="W1632" s="16" t="n">
        <x:v>0</x:v>
      </x:c>
      <x:c r="X1632" s="16" t="n">
        <x:v>0</x:v>
      </x:c>
      <x:c r="Y1632" s="16" t="n">
        <x:v>0</x:v>
      </x:c>
      <x:c r="Z1632" s="16" t="n">
        <x:v>0</x:v>
      </x:c>
      <x:c r="AA1632" s="16" t="n">
        <x:v>3</x:v>
      </x:c>
      <x:c r="AB1632" s="16" t="n">
        <x:v>11</x:v>
      </x:c>
      <x:c r="AC1632" s="16" t="n">
        <x:v>0</x:v>
      </x:c>
      <x:c r="AD1632" s="21" t="n">
        <x:f>IF(E1632="",MEDIAN($E$2:$E$2237),E1632)</x:f>
        <x:v>22775</x:v>
      </x:c>
      <x:c r="AE1632" s="17" t="n">
        <x:f>2014-B1632</x:f>
        <x:v>36</x:v>
      </x:c>
      <x:c r="AF1632" s="17" t="n">
        <x:f>F1632+G1632</x:f>
        <x:v>1</x:v>
      </x:c>
      <x:c r="AG1632" s="21" t="n">
        <x:f>SUM(J1632:O1632)</x:f>
        <x:v>15</x:v>
      </x:c>
      <x:c r="AH1632" s="17" t="n">
        <x:f>SUM(Q1632:S1632)</x:f>
        <x:v>3</x:v>
      </x:c>
      <x:c r="AI1632" s="17" t="n">
        <x:f>SUM(U1632:Y1632)</x:f>
        <x:v>0</x:v>
      </x:c>
      <x:c r="AJ1632" s="17" t="str">
        <x:f>IF(AE1632&lt;=34,"≤34",IF(AE1632&lt;=44,"35–44",IF(AE1632&lt;=54,"45–54",IF(AE1632&lt;=64,"55–64","65+"))))</x:f>
        <x:v>35–44</x:v>
      </x:c>
      <x:c r="AK1632" s="17" t="str">
        <x:f>IF(AG1632&gt;=1000,"High Value",IF(AG1632&gt;=300,"Mid Value","Low Value"))</x:f>
        <x:v>Low Value</x:v>
      </x:c>
      <x:c r="AL1632" s="17" t="str">
        <x:f>IF(AND(AI1632&gt;=1,I1632&lt;=50),"Priority 1",IF(AND(AG1632&gt;=1000,I1632&lt;=60),"Priority 2",IF(I1632&lt;=30,"Priority 3","Nurture")))</x:f>
        <x:v>Nurture</x:v>
      </x:c>
    </x:row>
    <x:row r="1633">
      <x:c r="A1633" s="16" t="n">
        <x:v>10906</x:v>
      </x:c>
      <x:c r="B1633" s="16" t="n">
        <x:v>1948</x:v>
      </x:c>
      <x:c r="C1633" s="16" t="str">
        <x:v>PhD</x:v>
      </x:c>
      <x:c r="D1633" s="16" t="str">
        <x:v>Together</x:v>
      </x:c>
      <x:c r="E1633" s="16" t="n">
        <x:v>46681</x:v>
      </x:c>
      <x:c r="F1633" s="16" t="n">
        <x:v>0</x:v>
      </x:c>
      <x:c r="G1633" s="16" t="n">
        <x:v>2</x:v>
      </x:c>
      <x:c r="H1633" s="16" t="str">
        <x:v>08-10-2013</x:v>
      </x:c>
      <x:c r="I1633" s="16" t="n">
        <x:v>52</x:v>
      </x:c>
      <x:c r="J1633" s="16" t="n">
        <x:v>269</x:v>
      </x:c>
      <x:c r="K1633" s="16" t="n">
        <x:v>15</x:v>
      </x:c>
      <x:c r="L1633" s="16" t="n">
        <x:v>69</x:v>
      </x:c>
      <x:c r="M1633" s="16" t="n">
        <x:v>15</x:v>
      </x:c>
      <x:c r="N1633" s="16" t="n">
        <x:v>19</x:v>
      </x:c>
      <x:c r="O1633" s="16" t="n">
        <x:v>38</x:v>
      </x:c>
      <x:c r="P1633" s="16" t="n">
        <x:v>2</x:v>
      </x:c>
      <x:c r="Q1633" s="16" t="n">
        <x:v>4</x:v>
      </x:c>
      <x:c r="R1633" s="16" t="n">
        <x:v>6</x:v>
      </x:c>
      <x:c r="S1633" s="16" t="n">
        <x:v>4</x:v>
      </x:c>
      <x:c r="T1633" s="16" t="n">
        <x:v>5</x:v>
      </x:c>
      <x:c r="U1633" s="16" t="n">
        <x:v>0</x:v>
      </x:c>
      <x:c r="V1633" s="16" t="n">
        <x:v>0</x:v>
      </x:c>
      <x:c r="W1633" s="16" t="n">
        <x:v>0</x:v>
      </x:c>
      <x:c r="X1633" s="16" t="n">
        <x:v>0</x:v>
      </x:c>
      <x:c r="Y1633" s="16" t="n">
        <x:v>0</x:v>
      </x:c>
      <x:c r="Z1633" s="16" t="n">
        <x:v>0</x:v>
      </x:c>
      <x:c r="AA1633" s="16" t="n">
        <x:v>3</x:v>
      </x:c>
      <x:c r="AB1633" s="16" t="n">
        <x:v>11</x:v>
      </x:c>
      <x:c r="AC1633" s="16" t="n">
        <x:v>0</x:v>
      </x:c>
      <x:c r="AD1633" s="21" t="n">
        <x:f>IF(E1633="",MEDIAN($E$2:$E$2237),E1633)</x:f>
        <x:v>46681</x:v>
      </x:c>
      <x:c r="AE1633" s="17" t="n">
        <x:f>2014-B1633</x:f>
        <x:v>66</x:v>
      </x:c>
      <x:c r="AF1633" s="17" t="n">
        <x:f>F1633+G1633</x:f>
        <x:v>2</x:v>
      </x:c>
      <x:c r="AG1633" s="21" t="n">
        <x:f>SUM(J1633:O1633)</x:f>
        <x:v>425</x:v>
      </x:c>
      <x:c r="AH1633" s="17" t="n">
        <x:f>SUM(Q1633:S1633)</x:f>
        <x:v>14</x:v>
      </x:c>
      <x:c r="AI1633" s="17" t="n">
        <x:f>SUM(U1633:Y1633)</x:f>
        <x:v>0</x:v>
      </x:c>
      <x:c r="AJ1633" s="17" t="str">
        <x:f>IF(AE1633&lt;=34,"≤34",IF(AE1633&lt;=44,"35–44",IF(AE1633&lt;=54,"45–54",IF(AE1633&lt;=64,"55–64","65+"))))</x:f>
        <x:v>65+</x:v>
      </x:c>
      <x:c r="AK1633" s="17" t="str">
        <x:f>IF(AG1633&gt;=1000,"High Value",IF(AG1633&gt;=300,"Mid Value","Low Value"))</x:f>
        <x:v>Mid Value</x:v>
      </x:c>
      <x:c r="AL1633" s="17" t="str">
        <x:f>IF(AND(AI1633&gt;=1,I1633&lt;=50),"Priority 1",IF(AND(AG1633&gt;=1000,I1633&lt;=60),"Priority 2",IF(I1633&lt;=30,"Priority 3","Nurture")))</x:f>
        <x:v>Nurture</x:v>
      </x:c>
    </x:row>
    <x:row r="1634">
      <x:c r="A1634" s="16" t="n">
        <x:v>3427</x:v>
      </x:c>
      <x:c r="B1634" s="16" t="n">
        <x:v>1955</x:v>
      </x:c>
      <x:c r="C1634" s="16" t="str">
        <x:v>PhD</x:v>
      </x:c>
      <x:c r="D1634" s="16" t="str">
        <x:v>Married</x:v>
      </x:c>
      <x:c r="E1634" s="16" t="n">
        <x:v>59821</x:v>
      </x:c>
      <x:c r="F1634" s="16" t="n">
        <x:v>0</x:v>
      </x:c>
      <x:c r="G1634" s="16" t="n">
        <x:v>1</x:v>
      </x:c>
      <x:c r="H1634" s="16" t="str">
        <x:v>12-04-2013</x:v>
      </x:c>
      <x:c r="I1634" s="16" t="n">
        <x:v>11</x:v>
      </x:c>
      <x:c r="J1634" s="16" t="n">
        <x:v>629</x:v>
      </x:c>
      <x:c r="K1634" s="16" t="n">
        <x:v>0</x:v>
      </x:c>
      <x:c r="L1634" s="16" t="n">
        <x:v>70</x:v>
      </x:c>
      <x:c r="M1634" s="16" t="n">
        <x:v>0</x:v>
      </x:c>
      <x:c r="N1634" s="16" t="n">
        <x:v>0</x:v>
      </x:c>
      <x:c r="O1634" s="16" t="n">
        <x:v>35</x:v>
      </x:c>
      <x:c r="P1634" s="16" t="n">
        <x:v>6</x:v>
      </x:c>
      <x:c r="Q1634" s="16" t="n">
        <x:v>11</x:v>
      </x:c>
      <x:c r="R1634" s="16" t="n">
        <x:v>2</x:v>
      </x:c>
      <x:c r="S1634" s="16" t="n">
        <x:v>7</x:v>
      </x:c>
      <x:c r="T1634" s="16" t="n">
        <x:v>8</x:v>
      </x:c>
      <x:c r="U1634" s="16" t="n">
        <x:v>0</x:v>
      </x:c>
      <x:c r="V1634" s="16" t="n">
        <x:v>0</x:v>
      </x:c>
      <x:c r="W1634" s="16" t="n">
        <x:v>0</x:v>
      </x:c>
      <x:c r="X1634" s="16" t="n">
        <x:v>0</x:v>
      </x:c>
      <x:c r="Y1634" s="16" t="n">
        <x:v>0</x:v>
      </x:c>
      <x:c r="Z1634" s="16" t="n">
        <x:v>0</x:v>
      </x:c>
      <x:c r="AA1634" s="16" t="n">
        <x:v>3</x:v>
      </x:c>
      <x:c r="AB1634" s="16" t="n">
        <x:v>11</x:v>
      </x:c>
      <x:c r="AC1634" s="16" t="n">
        <x:v>0</x:v>
      </x:c>
      <x:c r="AD1634" s="21" t="n">
        <x:f>IF(E1634="",MEDIAN($E$2:$E$2237),E1634)</x:f>
        <x:v>59821</x:v>
      </x:c>
      <x:c r="AE1634" s="17" t="n">
        <x:f>2014-B1634</x:f>
        <x:v>59</x:v>
      </x:c>
      <x:c r="AF1634" s="17" t="n">
        <x:f>F1634+G1634</x:f>
        <x:v>1</x:v>
      </x:c>
      <x:c r="AG1634" s="21" t="n">
        <x:f>SUM(J1634:O1634)</x:f>
        <x:v>734</x:v>
      </x:c>
      <x:c r="AH1634" s="17" t="n">
        <x:f>SUM(Q1634:S1634)</x:f>
        <x:v>20</x:v>
      </x:c>
      <x:c r="AI1634" s="17" t="n">
        <x:f>SUM(U1634:Y1634)</x:f>
        <x:v>0</x:v>
      </x:c>
      <x:c r="AJ1634" s="17" t="str">
        <x:f>IF(AE1634&lt;=34,"≤34",IF(AE1634&lt;=44,"35–44",IF(AE1634&lt;=54,"45–54",IF(AE1634&lt;=64,"55–64","65+"))))</x:f>
        <x:v>55–64</x:v>
      </x:c>
      <x:c r="AK1634" s="17" t="str">
        <x:f>IF(AG1634&gt;=1000,"High Value",IF(AG1634&gt;=300,"Mid Value","Low Value"))</x:f>
        <x:v>Mid Value</x:v>
      </x:c>
      <x:c r="AL1634" s="17" t="str">
        <x:f>IF(AND(AI1634&gt;=1,I1634&lt;=50),"Priority 1",IF(AND(AG1634&gt;=1000,I1634&lt;=60),"Priority 2",IF(I1634&lt;=30,"Priority 3","Nurture")))</x:f>
        <x:v>Priority 3</x:v>
      </x:c>
    </x:row>
    <x:row r="1635">
      <x:c r="A1635" s="16" t="n">
        <x:v>5209</x:v>
      </x:c>
      <x:c r="B1635" s="16" t="n">
        <x:v>1954</x:v>
      </x:c>
      <x:c r="C1635" s="16" t="str">
        <x:v>Graduation</x:v>
      </x:c>
      <x:c r="D1635" s="16" t="str">
        <x:v>Divorced</x:v>
      </x:c>
      <x:c r="E1635" s="16" t="n">
        <x:v>50002</x:v>
      </x:c>
      <x:c r="F1635" s="16" t="n">
        <x:v>0</x:v>
      </x:c>
      <x:c r="G1635" s="16" t="n">
        <x:v>1</x:v>
      </x:c>
      <x:c r="H1635" s="16" t="str">
        <x:v>17-06-2013</x:v>
      </x:c>
      <x:c r="I1635" s="16" t="n">
        <x:v>21</x:v>
      </x:c>
      <x:c r="J1635" s="16" t="n">
        <x:v>443</x:v>
      </x:c>
      <x:c r="K1635" s="16" t="n">
        <x:v>5</x:v>
      </x:c>
      <x:c r="L1635" s="16" t="n">
        <x:v>71</x:v>
      </x:c>
      <x:c r="M1635" s="16" t="n">
        <x:v>21</x:v>
      </x:c>
      <x:c r="N1635" s="16" t="n">
        <x:v>16</x:v>
      </x:c>
      <x:c r="O1635" s="16" t="n">
        <x:v>82</x:v>
      </x:c>
      <x:c r="P1635" s="16" t="n">
        <x:v>2</x:v>
      </x:c>
      <x:c r="Q1635" s="16" t="n">
        <x:v>8</x:v>
      </x:c>
      <x:c r="R1635" s="16" t="n">
        <x:v>2</x:v>
      </x:c>
      <x:c r="S1635" s="16" t="n">
        <x:v>7</x:v>
      </x:c>
      <x:c r="T1635" s="16" t="n">
        <x:v>7</x:v>
      </x:c>
      <x:c r="U1635" s="16" t="n">
        <x:v>0</x:v>
      </x:c>
      <x:c r="V1635" s="16" t="n">
        <x:v>0</x:v>
      </x:c>
      <x:c r="W1635" s="16" t="n">
        <x:v>0</x:v>
      </x:c>
      <x:c r="X1635" s="16" t="n">
        <x:v>0</x:v>
      </x:c>
      <x:c r="Y1635" s="16" t="n">
        <x:v>0</x:v>
      </x:c>
      <x:c r="Z1635" s="16" t="n">
        <x:v>0</x:v>
      </x:c>
      <x:c r="AA1635" s="16" t="n">
        <x:v>3</x:v>
      </x:c>
      <x:c r="AB1635" s="16" t="n">
        <x:v>11</x:v>
      </x:c>
      <x:c r="AC1635" s="16" t="n">
        <x:v>0</x:v>
      </x:c>
      <x:c r="AD1635" s="21" t="n">
        <x:f>IF(E1635="",MEDIAN($E$2:$E$2237),E1635)</x:f>
        <x:v>50002</x:v>
      </x:c>
      <x:c r="AE1635" s="17" t="n">
        <x:f>2014-B1635</x:f>
        <x:v>60</x:v>
      </x:c>
      <x:c r="AF1635" s="17" t="n">
        <x:f>F1635+G1635</x:f>
        <x:v>1</x:v>
      </x:c>
      <x:c r="AG1635" s="21" t="n">
        <x:f>SUM(J1635:O1635)</x:f>
        <x:v>638</x:v>
      </x:c>
      <x:c r="AH1635" s="17" t="n">
        <x:f>SUM(Q1635:S1635)</x:f>
        <x:v>17</x:v>
      </x:c>
      <x:c r="AI1635" s="17" t="n">
        <x:f>SUM(U1635:Y1635)</x:f>
        <x:v>0</x:v>
      </x:c>
      <x:c r="AJ1635" s="17" t="str">
        <x:f>IF(AE1635&lt;=34,"≤34",IF(AE1635&lt;=44,"35–44",IF(AE1635&lt;=54,"45–54",IF(AE1635&lt;=64,"55–64","65+"))))</x:f>
        <x:v>55–64</x:v>
      </x:c>
      <x:c r="AK1635" s="17" t="str">
        <x:f>IF(AG1635&gt;=1000,"High Value",IF(AG1635&gt;=300,"Mid Value","Low Value"))</x:f>
        <x:v>Mid Value</x:v>
      </x:c>
      <x:c r="AL1635" s="17" t="str">
        <x:f>IF(AND(AI1635&gt;=1,I1635&lt;=50),"Priority 1",IF(AND(AG1635&gt;=1000,I1635&lt;=60),"Priority 2",IF(I1635&lt;=30,"Priority 3","Nurture")))</x:f>
        <x:v>Priority 3</x:v>
      </x:c>
    </x:row>
    <x:row r="1636">
      <x:c r="A1636" s="16" t="n">
        <x:v>10711</x:v>
      </x:c>
      <x:c r="B1636" s="16" t="n">
        <x:v>1945</x:v>
      </x:c>
      <x:c r="C1636" s="16" t="str">
        <x:v>Graduation</x:v>
      </x:c>
      <x:c r="D1636" s="16" t="str">
        <x:v>Married</x:v>
      </x:c>
      <x:c r="E1636" s="16" t="n">
        <x:v>69755</x:v>
      </x:c>
      <x:c r="F1636" s="16" t="n">
        <x:v>0</x:v>
      </x:c>
      <x:c r="G1636" s="16" t="n">
        <x:v>0</x:v>
      </x:c>
      <x:c r="H1636" s="16" t="str">
        <x:v>02-10-2013</x:v>
      </x:c>
      <x:c r="I1636" s="16" t="n">
        <x:v>23</x:v>
      </x:c>
      <x:c r="J1636" s="16" t="n">
        <x:v>217</x:v>
      </x:c>
      <x:c r="K1636" s="16" t="n">
        <x:v>77</x:v>
      </x:c>
      <x:c r="L1636" s="16" t="n">
        <x:v>373</x:v>
      </x:c>
      <x:c r="M1636" s="16" t="n">
        <x:v>111</x:v>
      </x:c>
      <x:c r="N1636" s="16" t="n">
        <x:v>23</x:v>
      </x:c>
      <x:c r="O1636" s="16" t="n">
        <x:v>93</x:v>
      </x:c>
      <x:c r="P1636" s="16" t="n">
        <x:v>1</x:v>
      </x:c>
      <x:c r="Q1636" s="16" t="n">
        <x:v>3</x:v>
      </x:c>
      <x:c r="R1636" s="16" t="n">
        <x:v>6</x:v>
      </x:c>
      <x:c r="S1636" s="16" t="n">
        <x:v>12</x:v>
      </x:c>
      <x:c r="T1636" s="16" t="n">
        <x:v>1</x:v>
      </x:c>
      <x:c r="U1636" s="16" t="n">
        <x:v>0</x:v>
      </x:c>
      <x:c r="V1636" s="16" t="n">
        <x:v>0</x:v>
      </x:c>
      <x:c r="W1636" s="16" t="n">
        <x:v>0</x:v>
      </x:c>
      <x:c r="X1636" s="16" t="n">
        <x:v>0</x:v>
      </x:c>
      <x:c r="Y1636" s="16" t="n">
        <x:v>0</x:v>
      </x:c>
      <x:c r="Z1636" s="16" t="n">
        <x:v>0</x:v>
      </x:c>
      <x:c r="AA1636" s="16" t="n">
        <x:v>3</x:v>
      </x:c>
      <x:c r="AB1636" s="16" t="n">
        <x:v>11</x:v>
      </x:c>
      <x:c r="AC1636" s="16" t="n">
        <x:v>0</x:v>
      </x:c>
      <x:c r="AD1636" s="21" t="n">
        <x:f>IF(E1636="",MEDIAN($E$2:$E$2237),E1636)</x:f>
        <x:v>69755</x:v>
      </x:c>
      <x:c r="AE1636" s="17" t="n">
        <x:f>2014-B1636</x:f>
        <x:v>69</x:v>
      </x:c>
      <x:c r="AF1636" s="17" t="n">
        <x:f>F1636+G1636</x:f>
        <x:v>0</x:v>
      </x:c>
      <x:c r="AG1636" s="21" t="n">
        <x:f>SUM(J1636:O1636)</x:f>
        <x:v>894</x:v>
      </x:c>
      <x:c r="AH1636" s="17" t="n">
        <x:f>SUM(Q1636:S1636)</x:f>
        <x:v>21</x:v>
      </x:c>
      <x:c r="AI1636" s="17" t="n">
        <x:f>SUM(U1636:Y1636)</x:f>
        <x:v>0</x:v>
      </x:c>
      <x:c r="AJ1636" s="17" t="str">
        <x:f>IF(AE1636&lt;=34,"≤34",IF(AE1636&lt;=44,"35–44",IF(AE1636&lt;=54,"45–54",IF(AE1636&lt;=64,"55–64","65+"))))</x:f>
        <x:v>65+</x:v>
      </x:c>
      <x:c r="AK1636" s="17" t="str">
        <x:f>IF(AG1636&gt;=1000,"High Value",IF(AG1636&gt;=300,"Mid Value","Low Value"))</x:f>
        <x:v>Mid Value</x:v>
      </x:c>
      <x:c r="AL1636" s="17" t="str">
        <x:f>IF(AND(AI1636&gt;=1,I1636&lt;=50),"Priority 1",IF(AND(AG1636&gt;=1000,I1636&lt;=60),"Priority 2",IF(I1636&lt;=30,"Priority 3","Nurture")))</x:f>
        <x:v>Priority 3</x:v>
      </x:c>
    </x:row>
    <x:row r="1637">
      <x:c r="A1637" s="16" t="n">
        <x:v>10785</x:v>
      </x:c>
      <x:c r="B1637" s="16" t="n">
        <x:v>1969</x:v>
      </x:c>
      <x:c r="C1637" s="16" t="str">
        <x:v>Graduation</x:v>
      </x:c>
      <x:c r="D1637" s="16" t="str">
        <x:v>Married</x:v>
      </x:c>
      <x:c r="E1637" s="16" t="n">
        <x:v>44078</x:v>
      </x:c>
      <x:c r="F1637" s="16" t="n">
        <x:v>1</x:v>
      </x:c>
      <x:c r="G1637" s="16" t="n">
        <x:v>1</x:v>
      </x:c>
      <x:c r="H1637" s="16" t="str">
        <x:v>19-06-2014</x:v>
      </x:c>
      <x:c r="I1637" s="16" t="n">
        <x:v>17</x:v>
      </x:c>
      <x:c r="J1637" s="16" t="n">
        <x:v>24</x:v>
      </x:c>
      <x:c r="K1637" s="16" t="n">
        <x:v>1</x:v>
      </x:c>
      <x:c r="L1637" s="16" t="n">
        <x:v>10</x:v>
      </x:c>
      <x:c r="M1637" s="16" t="n">
        <x:v>2</x:v>
      </x:c>
      <x:c r="N1637" s="16" t="n">
        <x:v>0</x:v>
      </x:c>
      <x:c r="O1637" s="16" t="n">
        <x:v>4</x:v>
      </x:c>
      <x:c r="P1637" s="16" t="n">
        <x:v>2</x:v>
      </x:c>
      <x:c r="Q1637" s="16" t="n">
        <x:v>2</x:v>
      </x:c>
      <x:c r="R1637" s="16" t="n">
        <x:v>0</x:v>
      </x:c>
      <x:c r="S1637" s="16" t="n">
        <x:v>3</x:v>
      </x:c>
      <x:c r="T1637" s="16" t="n">
        <x:v>5</x:v>
      </x:c>
      <x:c r="U1637" s="16" t="n">
        <x:v>0</x:v>
      </x:c>
      <x:c r="V1637" s="16" t="n">
        <x:v>0</x:v>
      </x:c>
      <x:c r="W1637" s="16" t="n">
        <x:v>0</x:v>
      </x:c>
      <x:c r="X1637" s="16" t="n">
        <x:v>0</x:v>
      </x:c>
      <x:c r="Y1637" s="16" t="n">
        <x:v>0</x:v>
      </x:c>
      <x:c r="Z1637" s="16" t="n">
        <x:v>0</x:v>
      </x:c>
      <x:c r="AA1637" s="16" t="n">
        <x:v>3</x:v>
      </x:c>
      <x:c r="AB1637" s="16" t="n">
        <x:v>11</x:v>
      </x:c>
      <x:c r="AC1637" s="16" t="n">
        <x:v>0</x:v>
      </x:c>
      <x:c r="AD1637" s="21" t="n">
        <x:f>IF(E1637="",MEDIAN($E$2:$E$2237),E1637)</x:f>
        <x:v>44078</x:v>
      </x:c>
      <x:c r="AE1637" s="17" t="n">
        <x:f>2014-B1637</x:f>
        <x:v>45</x:v>
      </x:c>
      <x:c r="AF1637" s="17" t="n">
        <x:f>F1637+G1637</x:f>
        <x:v>2</x:v>
      </x:c>
      <x:c r="AG1637" s="21" t="n">
        <x:f>SUM(J1637:O1637)</x:f>
        <x:v>41</x:v>
      </x:c>
      <x:c r="AH1637" s="17" t="n">
        <x:f>SUM(Q1637:S1637)</x:f>
        <x:v>5</x:v>
      </x:c>
      <x:c r="AI1637" s="17" t="n">
        <x:f>SUM(U1637:Y1637)</x:f>
        <x:v>0</x:v>
      </x:c>
      <x:c r="AJ1637" s="17" t="str">
        <x:f>IF(AE1637&lt;=34,"≤34",IF(AE1637&lt;=44,"35–44",IF(AE1637&lt;=54,"45–54",IF(AE1637&lt;=64,"55–64","65+"))))</x:f>
        <x:v>45–54</x:v>
      </x:c>
      <x:c r="AK1637" s="17" t="str">
        <x:f>IF(AG1637&gt;=1000,"High Value",IF(AG1637&gt;=300,"Mid Value","Low Value"))</x:f>
        <x:v>Low Value</x:v>
      </x:c>
      <x:c r="AL1637" s="17" t="str">
        <x:f>IF(AND(AI1637&gt;=1,I1637&lt;=50),"Priority 1",IF(AND(AG1637&gt;=1000,I1637&lt;=60),"Priority 2",IF(I1637&lt;=30,"Priority 3","Nurture")))</x:f>
        <x:v>Priority 3</x:v>
      </x:c>
    </x:row>
    <x:row r="1638">
      <x:c r="A1638" s="16" t="n">
        <x:v>2814</x:v>
      </x:c>
      <x:c r="B1638" s="16" t="n">
        <x:v>1976</x:v>
      </x:c>
      <x:c r="C1638" s="16" t="str">
        <x:v>Master</x:v>
      </x:c>
      <x:c r="D1638" s="16" t="str">
        <x:v>Together</x:v>
      </x:c>
      <x:c r="E1638" s="16" t="n">
        <x:v>30560</x:v>
      </x:c>
      <x:c r="F1638" s="16" t="n">
        <x:v>1</x:v>
      </x:c>
      <x:c r="G1638" s="16" t="n">
        <x:v>0</x:v>
      </x:c>
      <x:c r="H1638" s="16" t="str">
        <x:v>27-06-2013</x:v>
      </x:c>
      <x:c r="I1638" s="16" t="n">
        <x:v>6</x:v>
      </x:c>
      <x:c r="J1638" s="16" t="n">
        <x:v>9</x:v>
      </x:c>
      <x:c r="K1638" s="16" t="n">
        <x:v>1</x:v>
      </x:c>
      <x:c r="L1638" s="16" t="n">
        <x:v>5</x:v>
      </x:c>
      <x:c r="M1638" s="16" t="n">
        <x:v>4</x:v>
      </x:c>
      <x:c r="N1638" s="16" t="n">
        <x:v>5</x:v>
      </x:c>
      <x:c r="O1638" s="16" t="n">
        <x:v>7</x:v>
      </x:c>
      <x:c r="P1638" s="16" t="n">
        <x:v>1</x:v>
      </x:c>
      <x:c r="Q1638" s="16" t="n">
        <x:v>1</x:v>
      </x:c>
      <x:c r="R1638" s="16" t="n">
        <x:v>0</x:v>
      </x:c>
      <x:c r="S1638" s="16" t="n">
        <x:v>3</x:v>
      </x:c>
      <x:c r="T1638" s="16" t="n">
        <x:v>7</x:v>
      </x:c>
      <x:c r="U1638" s="16" t="n">
        <x:v>0</x:v>
      </x:c>
      <x:c r="V1638" s="16" t="n">
        <x:v>0</x:v>
      </x:c>
      <x:c r="W1638" s="16" t="n">
        <x:v>0</x:v>
      </x:c>
      <x:c r="X1638" s="16" t="n">
        <x:v>0</x:v>
      </x:c>
      <x:c r="Y1638" s="16" t="n">
        <x:v>0</x:v>
      </x:c>
      <x:c r="Z1638" s="16" t="n">
        <x:v>0</x:v>
      </x:c>
      <x:c r="AA1638" s="16" t="n">
        <x:v>3</x:v>
      </x:c>
      <x:c r="AB1638" s="16" t="n">
        <x:v>11</x:v>
      </x:c>
      <x:c r="AC1638" s="16" t="n">
        <x:v>0</x:v>
      </x:c>
      <x:c r="AD1638" s="21" t="n">
        <x:f>IF(E1638="",MEDIAN($E$2:$E$2237),E1638)</x:f>
        <x:v>30560</x:v>
      </x:c>
      <x:c r="AE1638" s="17" t="n">
        <x:f>2014-B1638</x:f>
        <x:v>38</x:v>
      </x:c>
      <x:c r="AF1638" s="17" t="n">
        <x:f>F1638+G1638</x:f>
        <x:v>1</x:v>
      </x:c>
      <x:c r="AG1638" s="21" t="n">
        <x:f>SUM(J1638:O1638)</x:f>
        <x:v>31</x:v>
      </x:c>
      <x:c r="AH1638" s="17" t="n">
        <x:f>SUM(Q1638:S1638)</x:f>
        <x:v>4</x:v>
      </x:c>
      <x:c r="AI1638" s="17" t="n">
        <x:f>SUM(U1638:Y1638)</x:f>
        <x:v>0</x:v>
      </x:c>
      <x:c r="AJ1638" s="17" t="str">
        <x:f>IF(AE1638&lt;=34,"≤34",IF(AE1638&lt;=44,"35–44",IF(AE1638&lt;=54,"45–54",IF(AE1638&lt;=64,"55–64","65+"))))</x:f>
        <x:v>35–44</x:v>
      </x:c>
      <x:c r="AK1638" s="17" t="str">
        <x:f>IF(AG1638&gt;=1000,"High Value",IF(AG1638&gt;=300,"Mid Value","Low Value"))</x:f>
        <x:v>Low Value</x:v>
      </x:c>
      <x:c r="AL1638" s="17" t="str">
        <x:f>IF(AND(AI1638&gt;=1,I1638&lt;=50),"Priority 1",IF(AND(AG1638&gt;=1000,I1638&lt;=60),"Priority 2",IF(I1638&lt;=30,"Priority 3","Nurture")))</x:f>
        <x:v>Priority 3</x:v>
      </x:c>
    </x:row>
    <x:row r="1639">
      <x:c r="A1639" s="16" t="n">
        <x:v>6866</x:v>
      </x:c>
      <x:c r="B1639" s="16" t="n">
        <x:v>1969</x:v>
      </x:c>
      <x:c r="C1639" s="16" t="str">
        <x:v>Master</x:v>
      </x:c>
      <x:c r="D1639" s="16" t="str">
        <x:v>Together</x:v>
      </x:c>
      <x:c r="E1639" s="16" t="n">
        <x:v>35924</x:v>
      </x:c>
      <x:c r="F1639" s="16" t="n">
        <x:v>1</x:v>
      </x:c>
      <x:c r="G1639" s="16" t="n">
        <x:v>1</x:v>
      </x:c>
      <x:c r="H1639" s="16" t="str">
        <x:v>23-03-2014</x:v>
      </x:c>
      <x:c r="I1639" s="16" t="n">
        <x:v>56</x:v>
      </x:c>
      <x:c r="J1639" s="16" t="n">
        <x:v>8</x:v>
      </x:c>
      <x:c r="K1639" s="16" t="n">
        <x:v>0</x:v>
      </x:c>
      <x:c r="L1639" s="16" t="n">
        <x:v>14</x:v>
      </x:c>
      <x:c r="M1639" s="16" t="n">
        <x:v>2</x:v>
      </x:c>
      <x:c r="N1639" s="16" t="n">
        <x:v>3</x:v>
      </x:c>
      <x:c r="O1639" s="16" t="n">
        <x:v>7</x:v>
      </x:c>
      <x:c r="P1639" s="16" t="n">
        <x:v>1</x:v>
      </x:c>
      <x:c r="Q1639" s="16" t="n">
        <x:v>1</x:v>
      </x:c>
      <x:c r="R1639" s="16" t="n">
        <x:v>0</x:v>
      </x:c>
      <x:c r="S1639" s="16" t="n">
        <x:v>3</x:v>
      </x:c>
      <x:c r="T1639" s="16" t="n">
        <x:v>5</x:v>
      </x:c>
      <x:c r="U1639" s="16" t="n">
        <x:v>0</x:v>
      </x:c>
      <x:c r="V1639" s="16" t="n">
        <x:v>0</x:v>
      </x:c>
      <x:c r="W1639" s="16" t="n">
        <x:v>0</x:v>
      </x:c>
      <x:c r="X1639" s="16" t="n">
        <x:v>0</x:v>
      </x:c>
      <x:c r="Y1639" s="16" t="n">
        <x:v>0</x:v>
      </x:c>
      <x:c r="Z1639" s="16" t="n">
        <x:v>0</x:v>
      </x:c>
      <x:c r="AA1639" s="16" t="n">
        <x:v>3</x:v>
      </x:c>
      <x:c r="AB1639" s="16" t="n">
        <x:v>11</x:v>
      </x:c>
      <x:c r="AC1639" s="16" t="n">
        <x:v>0</x:v>
      </x:c>
      <x:c r="AD1639" s="21" t="n">
        <x:f>IF(E1639="",MEDIAN($E$2:$E$2237),E1639)</x:f>
        <x:v>35924</x:v>
      </x:c>
      <x:c r="AE1639" s="17" t="n">
        <x:f>2014-B1639</x:f>
        <x:v>45</x:v>
      </x:c>
      <x:c r="AF1639" s="17" t="n">
        <x:f>F1639+G1639</x:f>
        <x:v>2</x:v>
      </x:c>
      <x:c r="AG1639" s="21" t="n">
        <x:f>SUM(J1639:O1639)</x:f>
        <x:v>34</x:v>
      </x:c>
      <x:c r="AH1639" s="17" t="n">
        <x:f>SUM(Q1639:S1639)</x:f>
        <x:v>4</x:v>
      </x:c>
      <x:c r="AI1639" s="17" t="n">
        <x:f>SUM(U1639:Y1639)</x:f>
        <x:v>0</x:v>
      </x:c>
      <x:c r="AJ1639" s="17" t="str">
        <x:f>IF(AE1639&lt;=34,"≤34",IF(AE1639&lt;=44,"35–44",IF(AE1639&lt;=54,"45–54",IF(AE1639&lt;=64,"55–64","65+"))))</x:f>
        <x:v>45–54</x:v>
      </x:c>
      <x:c r="AK1639" s="17" t="str">
        <x:f>IF(AG1639&gt;=1000,"High Value",IF(AG1639&gt;=300,"Mid Value","Low Value"))</x:f>
        <x:v>Low Value</x:v>
      </x:c>
      <x:c r="AL1639" s="17" t="str">
        <x:f>IF(AND(AI1639&gt;=1,I1639&lt;=50),"Priority 1",IF(AND(AG1639&gt;=1000,I1639&lt;=60),"Priority 2",IF(I1639&lt;=30,"Priority 3","Nurture")))</x:f>
        <x:v>Nurture</x:v>
      </x:c>
    </x:row>
    <x:row r="1640">
      <x:c r="A1640" s="16" t="n">
        <x:v>1665</x:v>
      </x:c>
      <x:c r="B1640" s="16" t="n">
        <x:v>1964</x:v>
      </x:c>
      <x:c r="C1640" s="16" t="str">
        <x:v>PhD</x:v>
      </x:c>
      <x:c r="D1640" s="16" t="str">
        <x:v>Divorced</x:v>
      </x:c>
      <x:c r="E1640" s="16" t="n">
        <x:v>64140</x:v>
      </x:c>
      <x:c r="F1640" s="16" t="n">
        <x:v>0</x:v>
      </x:c>
      <x:c r="G1640" s="16" t="n">
        <x:v>2</x:v>
      </x:c>
      <x:c r="H1640" s="16" t="str">
        <x:v>23-09-2013</x:v>
      </x:c>
      <x:c r="I1640" s="16" t="n">
        <x:v>71</x:v>
      </x:c>
      <x:c r="J1640" s="16" t="n">
        <x:v>1459</x:v>
      </x:c>
      <x:c r="K1640" s="16" t="n">
        <x:v>0</x:v>
      </x:c>
      <x:c r="L1640" s="16" t="n">
        <x:v>61</x:v>
      </x:c>
      <x:c r="M1640" s="16" t="n">
        <x:v>0</x:v>
      </x:c>
      <x:c r="N1640" s="16" t="n">
        <x:v>15</x:v>
      </x:c>
      <x:c r="O1640" s="16" t="n">
        <x:v>215</x:v>
      </x:c>
      <x:c r="P1640" s="16" t="n">
        <x:v>5</x:v>
      </x:c>
      <x:c r="Q1640" s="16" t="n">
        <x:v>2</x:v>
      </x:c>
      <x:c r="R1640" s="16" t="n">
        <x:v>5</x:v>
      </x:c>
      <x:c r="S1640" s="16" t="n">
        <x:v>6</x:v>
      </x:c>
      <x:c r="T1640" s="16" t="n">
        <x:v>5</x:v>
      </x:c>
      <x:c r="U1640" s="16" t="n">
        <x:v>1</x:v>
      </x:c>
      <x:c r="V1640" s="16" t="n">
        <x:v>0</x:v>
      </x:c>
      <x:c r="W1640" s="16" t="n">
        <x:v>1</x:v>
      </x:c>
      <x:c r="X1640" s="16" t="n">
        <x:v>0</x:v>
      </x:c>
      <x:c r="Y1640" s="16" t="n">
        <x:v>1</x:v>
      </x:c>
      <x:c r="Z1640" s="16" t="n">
        <x:v>0</x:v>
      </x:c>
      <x:c r="AA1640" s="16" t="n">
        <x:v>3</x:v>
      </x:c>
      <x:c r="AB1640" s="16" t="n">
        <x:v>11</x:v>
      </x:c>
      <x:c r="AC1640" s="16" t="n">
        <x:v>1</x:v>
      </x:c>
      <x:c r="AD1640" s="21" t="n">
        <x:f>IF(E1640="",MEDIAN($E$2:$E$2237),E1640)</x:f>
        <x:v>64140</x:v>
      </x:c>
      <x:c r="AE1640" s="17" t="n">
        <x:f>2014-B1640</x:f>
        <x:v>50</x:v>
      </x:c>
      <x:c r="AF1640" s="17" t="n">
        <x:f>F1640+G1640</x:f>
        <x:v>2</x:v>
      </x:c>
      <x:c r="AG1640" s="21" t="n">
        <x:f>SUM(J1640:O1640)</x:f>
        <x:v>1750</x:v>
      </x:c>
      <x:c r="AH1640" s="17" t="n">
        <x:f>SUM(Q1640:S1640)</x:f>
        <x:v>13</x:v>
      </x:c>
      <x:c r="AI1640" s="17" t="n">
        <x:f>SUM(U1640:Y1640)</x:f>
        <x:v>3</x:v>
      </x:c>
      <x:c r="AJ1640" s="17" t="str">
        <x:f>IF(AE1640&lt;=34,"≤34",IF(AE1640&lt;=44,"35–44",IF(AE1640&lt;=54,"45–54",IF(AE1640&lt;=64,"55–64","65+"))))</x:f>
        <x:v>45–54</x:v>
      </x:c>
      <x:c r="AK1640" s="17" t="str">
        <x:f>IF(AG1640&gt;=1000,"High Value",IF(AG1640&gt;=300,"Mid Value","Low Value"))</x:f>
        <x:v>High Value</x:v>
      </x:c>
      <x:c r="AL1640" s="17" t="str">
        <x:f>IF(AND(AI1640&gt;=1,I1640&lt;=50),"Priority 1",IF(AND(AG1640&gt;=1000,I1640&lt;=60),"Priority 2",IF(I1640&lt;=30,"Priority 3","Nurture")))</x:f>
        <x:v>Nurture</x:v>
      </x:c>
    </x:row>
    <x:row r="1641">
      <x:c r="A1641" s="16" t="n">
        <x:v>6575</x:v>
      </x:c>
      <x:c r="B1641" s="16" t="n">
        <x:v>1981</x:v>
      </x:c>
      <x:c r="C1641" s="16" t="str">
        <x:v>Graduation</x:v>
      </x:c>
      <x:c r="D1641" s="16" t="str">
        <x:v>Together</x:v>
      </x:c>
      <x:c r="E1641" s="16" t="n">
        <x:v>56386</x:v>
      </x:c>
      <x:c r="F1641" s="16" t="n">
        <x:v>1</x:v>
      </x:c>
      <x:c r="G1641" s="16" t="n">
        <x:v>1</x:v>
      </x:c>
      <x:c r="H1641" s="16" t="str">
        <x:v>27-10-2012</x:v>
      </x:c>
      <x:c r="I1641" s="16" t="n">
        <x:v>51</x:v>
      </x:c>
      <x:c r="J1641" s="16" t="n">
        <x:v>230</x:v>
      </x:c>
      <x:c r="K1641" s="16" t="n">
        <x:v>48</x:v>
      </x:c>
      <x:c r="L1641" s="16" t="n">
        <x:v>214</x:v>
      </x:c>
      <x:c r="M1641" s="16" t="n">
        <x:v>13</x:v>
      </x:c>
      <x:c r="N1641" s="16" t="n">
        <x:v>32</x:v>
      </x:c>
      <x:c r="O1641" s="16" t="n">
        <x:v>75</x:v>
      </x:c>
      <x:c r="P1641" s="16" t="n">
        <x:v>8</x:v>
      </x:c>
      <x:c r="Q1641" s="16" t="n">
        <x:v>9</x:v>
      </x:c>
      <x:c r="R1641" s="16" t="n">
        <x:v>1</x:v>
      </x:c>
      <x:c r="S1641" s="16" t="n">
        <x:v>7</x:v>
      </x:c>
      <x:c r="T1641" s="16" t="n">
        <x:v>9</x:v>
      </x:c>
      <x:c r="U1641" s="16" t="n">
        <x:v>0</x:v>
      </x:c>
      <x:c r="V1641" s="16" t="n">
        <x:v>0</x:v>
      </x:c>
      <x:c r="W1641" s="16" t="n">
        <x:v>0</x:v>
      </x:c>
      <x:c r="X1641" s="16" t="n">
        <x:v>0</x:v>
      </x:c>
      <x:c r="Y1641" s="16" t="n">
        <x:v>0</x:v>
      </x:c>
      <x:c r="Z1641" s="16" t="n">
        <x:v>0</x:v>
      </x:c>
      <x:c r="AA1641" s="16" t="n">
        <x:v>3</x:v>
      </x:c>
      <x:c r="AB1641" s="16" t="n">
        <x:v>11</x:v>
      </x:c>
      <x:c r="AC1641" s="16" t="n">
        <x:v>0</x:v>
      </x:c>
      <x:c r="AD1641" s="21" t="n">
        <x:f>IF(E1641="",MEDIAN($E$2:$E$2237),E1641)</x:f>
        <x:v>56386</x:v>
      </x:c>
      <x:c r="AE1641" s="17" t="n">
        <x:f>2014-B1641</x:f>
        <x:v>33</x:v>
      </x:c>
      <x:c r="AF1641" s="17" t="n">
        <x:f>F1641+G1641</x:f>
        <x:v>2</x:v>
      </x:c>
      <x:c r="AG1641" s="21" t="n">
        <x:f>SUM(J1641:O1641)</x:f>
        <x:v>612</x:v>
      </x:c>
      <x:c r="AH1641" s="17" t="n">
        <x:f>SUM(Q1641:S1641)</x:f>
        <x:v>17</x:v>
      </x:c>
      <x:c r="AI1641" s="17" t="n">
        <x:f>SUM(U1641:Y1641)</x:f>
        <x:v>0</x:v>
      </x:c>
      <x:c r="AJ1641" s="17" t="str">
        <x:f>IF(AE1641&lt;=34,"≤34",IF(AE1641&lt;=44,"35–44",IF(AE1641&lt;=54,"45–54",IF(AE1641&lt;=64,"55–64","65+"))))</x:f>
        <x:v>≤34</x:v>
      </x:c>
      <x:c r="AK1641" s="17" t="str">
        <x:f>IF(AG1641&gt;=1000,"High Value",IF(AG1641&gt;=300,"Mid Value","Low Value"))</x:f>
        <x:v>Mid Value</x:v>
      </x:c>
      <x:c r="AL1641" s="17" t="str">
        <x:f>IF(AND(AI1641&gt;=1,I1641&lt;=50),"Priority 1",IF(AND(AG1641&gt;=1000,I1641&lt;=60),"Priority 2",IF(I1641&lt;=30,"Priority 3","Nurture")))</x:f>
        <x:v>Nurture</x:v>
      </x:c>
    </x:row>
    <x:row r="1642">
      <x:c r="A1642" s="16" t="n">
        <x:v>3829</x:v>
      </x:c>
      <x:c r="B1642" s="16" t="n">
        <x:v>1979</x:v>
      </x:c>
      <x:c r="C1642" s="16" t="str">
        <x:v>Basic</x:v>
      </x:c>
      <x:c r="D1642" s="16" t="str">
        <x:v>Together</x:v>
      </x:c>
      <x:c r="E1642" s="16" t="n">
        <x:v>24594</x:v>
      </x:c>
      <x:c r="F1642" s="16" t="n">
        <x:v>1</x:v>
      </x:c>
      <x:c r="G1642" s="16" t="n">
        <x:v>0</x:v>
      </x:c>
      <x:c r="H1642" s="16" t="str">
        <x:v>10-12-2013</x:v>
      </x:c>
      <x:c r="I1642" s="16" t="n">
        <x:v>94</x:v>
      </x:c>
      <x:c r="J1642" s="16" t="n">
        <x:v>1</x:v>
      </x:c>
      <x:c r="K1642" s="16" t="n">
        <x:v>3</x:v>
      </x:c>
      <x:c r="L1642" s="16" t="n">
        <x:v>6</x:v>
      </x:c>
      <x:c r="M1642" s="16" t="n">
        <x:v>10</x:v>
      </x:c>
      <x:c r="N1642" s="16" t="n">
        <x:v>0</x:v>
      </x:c>
      <x:c r="O1642" s="16" t="n">
        <x:v>9</x:v>
      </x:c>
      <x:c r="P1642" s="16" t="n">
        <x:v>1</x:v>
      </x:c>
      <x:c r="Q1642" s="16" t="n">
        <x:v>1</x:v>
      </x:c>
      <x:c r="R1642" s="16" t="n">
        <x:v>0</x:v>
      </x:c>
      <x:c r="S1642" s="16" t="n">
        <x:v>3</x:v>
      </x:c>
      <x:c r="T1642" s="16" t="n">
        <x:v>5</x:v>
      </x:c>
      <x:c r="U1642" s="16" t="n">
        <x:v>0</x:v>
      </x:c>
      <x:c r="V1642" s="16" t="n">
        <x:v>0</x:v>
      </x:c>
      <x:c r="W1642" s="16" t="n">
        <x:v>0</x:v>
      </x:c>
      <x:c r="X1642" s="16" t="n">
        <x:v>0</x:v>
      </x:c>
      <x:c r="Y1642" s="16" t="n">
        <x:v>0</x:v>
      </x:c>
      <x:c r="Z1642" s="16" t="n">
        <x:v>0</x:v>
      </x:c>
      <x:c r="AA1642" s="16" t="n">
        <x:v>3</x:v>
      </x:c>
      <x:c r="AB1642" s="16" t="n">
        <x:v>11</x:v>
      </x:c>
      <x:c r="AC1642" s="16" t="n">
        <x:v>0</x:v>
      </x:c>
      <x:c r="AD1642" s="21" t="n">
        <x:f>IF(E1642="",MEDIAN($E$2:$E$2237),E1642)</x:f>
        <x:v>24594</x:v>
      </x:c>
      <x:c r="AE1642" s="17" t="n">
        <x:f>2014-B1642</x:f>
        <x:v>35</x:v>
      </x:c>
      <x:c r="AF1642" s="17" t="n">
        <x:f>F1642+G1642</x:f>
        <x:v>1</x:v>
      </x:c>
      <x:c r="AG1642" s="21" t="n">
        <x:f>SUM(J1642:O1642)</x:f>
        <x:v>29</x:v>
      </x:c>
      <x:c r="AH1642" s="17" t="n">
        <x:f>SUM(Q1642:S1642)</x:f>
        <x:v>4</x:v>
      </x:c>
      <x:c r="AI1642" s="17" t="n">
        <x:f>SUM(U1642:Y1642)</x:f>
        <x:v>0</x:v>
      </x:c>
      <x:c r="AJ1642" s="17" t="str">
        <x:f>IF(AE1642&lt;=34,"≤34",IF(AE1642&lt;=44,"35–44",IF(AE1642&lt;=54,"45–54",IF(AE1642&lt;=64,"55–64","65+"))))</x:f>
        <x:v>35–44</x:v>
      </x:c>
      <x:c r="AK1642" s="17" t="str">
        <x:f>IF(AG1642&gt;=1000,"High Value",IF(AG1642&gt;=300,"Mid Value","Low Value"))</x:f>
        <x:v>Low Value</x:v>
      </x:c>
      <x:c r="AL1642" s="17" t="str">
        <x:f>IF(AND(AI1642&gt;=1,I1642&lt;=50),"Priority 1",IF(AND(AG1642&gt;=1000,I1642&lt;=60),"Priority 2",IF(I1642&lt;=30,"Priority 3","Nurture")))</x:f>
        <x:v>Nurture</x:v>
      </x:c>
    </x:row>
    <x:row r="1643">
      <x:c r="A1643" s="16" t="n">
        <x:v>3091</x:v>
      </x:c>
      <x:c r="B1643" s="16" t="n">
        <x:v>1981</x:v>
      </x:c>
      <x:c r="C1643" s="16" t="str">
        <x:v>2n Cycle</x:v>
      </x:c>
      <x:c r="D1643" s="16" t="str">
        <x:v>Together</x:v>
      </x:c>
      <x:c r="E1643" s="16" t="n">
        <x:v>75774</x:v>
      </x:c>
      <x:c r="F1643" s="16" t="n">
        <x:v>1</x:v>
      </x:c>
      <x:c r="G1643" s="16" t="n">
        <x:v>0</x:v>
      </x:c>
      <x:c r="H1643" s="16" t="str">
        <x:v>02-05-2014</x:v>
      </x:c>
      <x:c r="I1643" s="16" t="n">
        <x:v>27</x:v>
      </x:c>
      <x:c r="J1643" s="16" t="n">
        <x:v>340</x:v>
      </x:c>
      <x:c r="K1643" s="16" t="n">
        <x:v>21</x:v>
      </x:c>
      <x:c r="L1643" s="16" t="n">
        <x:v>134</x:v>
      </x:c>
      <x:c r="M1643" s="16" t="n">
        <x:v>258</x:v>
      </x:c>
      <x:c r="N1643" s="16" t="n">
        <x:v>14</x:v>
      </x:c>
      <x:c r="O1643" s="16" t="n">
        <x:v>56</x:v>
      </x:c>
      <x:c r="P1643" s="16" t="n">
        <x:v>1</x:v>
      </x:c>
      <x:c r="Q1643" s="16" t="n">
        <x:v>7</x:v>
      </x:c>
      <x:c r="R1643" s="16" t="n">
        <x:v>5</x:v>
      </x:c>
      <x:c r="S1643" s="16" t="n">
        <x:v>8</x:v>
      </x:c>
      <x:c r="T1643" s="16" t="n">
        <x:v>4</x:v>
      </x:c>
      <x:c r="U1643" s="16" t="n">
        <x:v>0</x:v>
      </x:c>
      <x:c r="V1643" s="16" t="n">
        <x:v>0</x:v>
      </x:c>
      <x:c r="W1643" s="16" t="n">
        <x:v>0</x:v>
      </x:c>
      <x:c r="X1643" s="16" t="n">
        <x:v>0</x:v>
      </x:c>
      <x:c r="Y1643" s="16" t="n">
        <x:v>0</x:v>
      </x:c>
      <x:c r="Z1643" s="16" t="n">
        <x:v>0</x:v>
      </x:c>
      <x:c r="AA1643" s="16" t="n">
        <x:v>3</x:v>
      </x:c>
      <x:c r="AB1643" s="16" t="n">
        <x:v>11</x:v>
      </x:c>
      <x:c r="AC1643" s="16" t="n">
        <x:v>0</x:v>
      </x:c>
      <x:c r="AD1643" s="21" t="n">
        <x:f>IF(E1643="",MEDIAN($E$2:$E$2237),E1643)</x:f>
        <x:v>75774</x:v>
      </x:c>
      <x:c r="AE1643" s="17" t="n">
        <x:f>2014-B1643</x:f>
        <x:v>33</x:v>
      </x:c>
      <x:c r="AF1643" s="17" t="n">
        <x:f>F1643+G1643</x:f>
        <x:v>1</x:v>
      </x:c>
      <x:c r="AG1643" s="21" t="n">
        <x:f>SUM(J1643:O1643)</x:f>
        <x:v>823</x:v>
      </x:c>
      <x:c r="AH1643" s="17" t="n">
        <x:f>SUM(Q1643:S1643)</x:f>
        <x:v>20</x:v>
      </x:c>
      <x:c r="AI1643" s="17" t="n">
        <x:f>SUM(U1643:Y1643)</x:f>
        <x:v>0</x:v>
      </x:c>
      <x:c r="AJ1643" s="17" t="str">
        <x:f>IF(AE1643&lt;=34,"≤34",IF(AE1643&lt;=44,"35–44",IF(AE1643&lt;=54,"45–54",IF(AE1643&lt;=64,"55–64","65+"))))</x:f>
        <x:v>≤34</x:v>
      </x:c>
      <x:c r="AK1643" s="17" t="str">
        <x:f>IF(AG1643&gt;=1000,"High Value",IF(AG1643&gt;=300,"Mid Value","Low Value"))</x:f>
        <x:v>Mid Value</x:v>
      </x:c>
      <x:c r="AL1643" s="17" t="str">
        <x:f>IF(AND(AI1643&gt;=1,I1643&lt;=50),"Priority 1",IF(AND(AG1643&gt;=1000,I1643&lt;=60),"Priority 2",IF(I1643&lt;=30,"Priority 3","Nurture")))</x:f>
        <x:v>Priority 3</x:v>
      </x:c>
    </x:row>
    <x:row r="1644">
      <x:c r="A1644" s="16" t="n">
        <x:v>10141</x:v>
      </x:c>
      <x:c r="B1644" s="16" t="n">
        <x:v>1960</x:v>
      </x:c>
      <x:c r="C1644" s="16" t="str">
        <x:v>Master</x:v>
      </x:c>
      <x:c r="D1644" s="16" t="str">
        <x:v>Divorced</x:v>
      </x:c>
      <x:c r="E1644" s="16" t="n">
        <x:v>39228</x:v>
      </x:c>
      <x:c r="F1644" s="16" t="n">
        <x:v>0</x:v>
      </x:c>
      <x:c r="G1644" s="16" t="n">
        <x:v>0</x:v>
      </x:c>
      <x:c r="H1644" s="16" t="str">
        <x:v>10-05-2013</x:v>
      </x:c>
      <x:c r="I1644" s="16" t="n">
        <x:v>1</x:v>
      </x:c>
      <x:c r="J1644" s="16" t="n">
        <x:v>7</x:v>
      </x:c>
      <x:c r="K1644" s="16" t="n">
        <x:v>1</x:v>
      </x:c>
      <x:c r="L1644" s="16" t="n">
        <x:v>6</x:v>
      </x:c>
      <x:c r="M1644" s="16" t="n">
        <x:v>0</x:v>
      </x:c>
      <x:c r="N1644" s="16" t="n">
        <x:v>3</x:v>
      </x:c>
      <x:c r="O1644" s="16" t="n">
        <x:v>3</x:v>
      </x:c>
      <x:c r="P1644" s="16" t="n">
        <x:v>1</x:v>
      </x:c>
      <x:c r="Q1644" s="16" t="n">
        <x:v>0</x:v>
      </x:c>
      <x:c r="R1644" s="16" t="n">
        <x:v>0</x:v>
      </x:c>
      <x:c r="S1644" s="16" t="n">
        <x:v>3</x:v>
      </x:c>
      <x:c r="T1644" s="16" t="n">
        <x:v>4</x:v>
      </x:c>
      <x:c r="U1644" s="16" t="n">
        <x:v>0</x:v>
      </x:c>
      <x:c r="V1644" s="16" t="n">
        <x:v>0</x:v>
      </x:c>
      <x:c r="W1644" s="16" t="n">
        <x:v>0</x:v>
      </x:c>
      <x:c r="X1644" s="16" t="n">
        <x:v>0</x:v>
      </x:c>
      <x:c r="Y1644" s="16" t="n">
        <x:v>0</x:v>
      </x:c>
      <x:c r="Z1644" s="16" t="n">
        <x:v>0</x:v>
      </x:c>
      <x:c r="AA1644" s="16" t="n">
        <x:v>3</x:v>
      </x:c>
      <x:c r="AB1644" s="16" t="n">
        <x:v>11</x:v>
      </x:c>
      <x:c r="AC1644" s="16" t="n">
        <x:v>0</x:v>
      </x:c>
      <x:c r="AD1644" s="21" t="n">
        <x:f>IF(E1644="",MEDIAN($E$2:$E$2237),E1644)</x:f>
        <x:v>39228</x:v>
      </x:c>
      <x:c r="AE1644" s="17" t="n">
        <x:f>2014-B1644</x:f>
        <x:v>54</x:v>
      </x:c>
      <x:c r="AF1644" s="17" t="n">
        <x:f>F1644+G1644</x:f>
        <x:v>0</x:v>
      </x:c>
      <x:c r="AG1644" s="21" t="n">
        <x:f>SUM(J1644:O1644)</x:f>
        <x:v>20</x:v>
      </x:c>
      <x:c r="AH1644" s="17" t="n">
        <x:f>SUM(Q1644:S1644)</x:f>
        <x:v>3</x:v>
      </x:c>
      <x:c r="AI1644" s="17" t="n">
        <x:f>SUM(U1644:Y1644)</x:f>
        <x:v>0</x:v>
      </x:c>
      <x:c r="AJ1644" s="17" t="str">
        <x:f>IF(AE1644&lt;=34,"≤34",IF(AE1644&lt;=44,"35–44",IF(AE1644&lt;=54,"45–54",IF(AE1644&lt;=64,"55–64","65+"))))</x:f>
        <x:v>45–54</x:v>
      </x:c>
      <x:c r="AK1644" s="17" t="str">
        <x:f>IF(AG1644&gt;=1000,"High Value",IF(AG1644&gt;=300,"Mid Value","Low Value"))</x:f>
        <x:v>Low Value</x:v>
      </x:c>
      <x:c r="AL1644" s="17" t="str">
        <x:f>IF(AND(AI1644&gt;=1,I1644&lt;=50),"Priority 1",IF(AND(AG1644&gt;=1000,I1644&lt;=60),"Priority 2",IF(I1644&lt;=30,"Priority 3","Nurture")))</x:f>
        <x:v>Priority 3</x:v>
      </x:c>
    </x:row>
    <x:row r="1645">
      <x:c r="A1645" s="16" t="n">
        <x:v>5177</x:v>
      </x:c>
      <x:c r="B1645" s="16" t="n">
        <x:v>1974</x:v>
      </x:c>
      <x:c r="C1645" s="16" t="str">
        <x:v>Master</x:v>
      </x:c>
      <x:c r="D1645" s="16" t="str">
        <x:v>Married</x:v>
      </x:c>
      <x:c r="E1645" s="16" t="n">
        <x:v>58494</x:v>
      </x:c>
      <x:c r="F1645" s="16" t="n">
        <x:v>0</x:v>
      </x:c>
      <x:c r="G1645" s="16" t="n">
        <x:v>1</x:v>
      </x:c>
      <x:c r="H1645" s="16" t="str">
        <x:v>12-12-2013</x:v>
      </x:c>
      <x:c r="I1645" s="16" t="n">
        <x:v>56</x:v>
      </x:c>
      <x:c r="J1645" s="16" t="n">
        <x:v>298</x:v>
      </x:c>
      <x:c r="K1645" s="16" t="n">
        <x:v>7</x:v>
      </x:c>
      <x:c r="L1645" s="16" t="n">
        <x:v>68</x:v>
      </x:c>
      <x:c r="M1645" s="16" t="n">
        <x:v>4</x:v>
      </x:c>
      <x:c r="N1645" s="16" t="n">
        <x:v>0</x:v>
      </x:c>
      <x:c r="O1645" s="16" t="n">
        <x:v>19</x:v>
      </x:c>
      <x:c r="P1645" s="16" t="n">
        <x:v>2</x:v>
      </x:c>
      <x:c r="Q1645" s="16" t="n">
        <x:v>6</x:v>
      </x:c>
      <x:c r="R1645" s="16" t="n">
        <x:v>2</x:v>
      </x:c>
      <x:c r="S1645" s="16" t="n">
        <x:v>6</x:v>
      </x:c>
      <x:c r="T1645" s="16" t="n">
        <x:v>6</x:v>
      </x:c>
      <x:c r="U1645" s="16" t="n">
        <x:v>0</x:v>
      </x:c>
      <x:c r="V1645" s="16" t="n">
        <x:v>0</x:v>
      </x:c>
      <x:c r="W1645" s="16" t="n">
        <x:v>0</x:v>
      </x:c>
      <x:c r="X1645" s="16" t="n">
        <x:v>0</x:v>
      </x:c>
      <x:c r="Y1645" s="16" t="n">
        <x:v>0</x:v>
      </x:c>
      <x:c r="Z1645" s="16" t="n">
        <x:v>0</x:v>
      </x:c>
      <x:c r="AA1645" s="16" t="n">
        <x:v>3</x:v>
      </x:c>
      <x:c r="AB1645" s="16" t="n">
        <x:v>11</x:v>
      </x:c>
      <x:c r="AC1645" s="16" t="n">
        <x:v>0</x:v>
      </x:c>
      <x:c r="AD1645" s="21" t="n">
        <x:f>IF(E1645="",MEDIAN($E$2:$E$2237),E1645)</x:f>
        <x:v>58494</x:v>
      </x:c>
      <x:c r="AE1645" s="17" t="n">
        <x:f>2014-B1645</x:f>
        <x:v>40</x:v>
      </x:c>
      <x:c r="AF1645" s="17" t="n">
        <x:f>F1645+G1645</x:f>
        <x:v>1</x:v>
      </x:c>
      <x:c r="AG1645" s="21" t="n">
        <x:f>SUM(J1645:O1645)</x:f>
        <x:v>396</x:v>
      </x:c>
      <x:c r="AH1645" s="17" t="n">
        <x:f>SUM(Q1645:S1645)</x:f>
        <x:v>14</x:v>
      </x:c>
      <x:c r="AI1645" s="17" t="n">
        <x:f>SUM(U1645:Y1645)</x:f>
        <x:v>0</x:v>
      </x:c>
      <x:c r="AJ1645" s="17" t="str">
        <x:f>IF(AE1645&lt;=34,"≤34",IF(AE1645&lt;=44,"35–44",IF(AE1645&lt;=54,"45–54",IF(AE1645&lt;=64,"55–64","65+"))))</x:f>
        <x:v>35–44</x:v>
      </x:c>
      <x:c r="AK1645" s="17" t="str">
        <x:f>IF(AG1645&gt;=1000,"High Value",IF(AG1645&gt;=300,"Mid Value","Low Value"))</x:f>
        <x:v>Mid Value</x:v>
      </x:c>
      <x:c r="AL1645" s="17" t="str">
        <x:f>IF(AND(AI1645&gt;=1,I1645&lt;=50),"Priority 1",IF(AND(AG1645&gt;=1000,I1645&lt;=60),"Priority 2",IF(I1645&lt;=30,"Priority 3","Nurture")))</x:f>
        <x:v>Nurture</x:v>
      </x:c>
    </x:row>
    <x:row r="1646">
      <x:c r="A1646" s="16" t="n">
        <x:v>7005</x:v>
      </x:c>
      <x:c r="B1646" s="16" t="n">
        <x:v>1981</x:v>
      </x:c>
      <x:c r="C1646" s="16" t="str">
        <x:v>Graduation</x:v>
      </x:c>
      <x:c r="D1646" s="16" t="str">
        <x:v>Single</x:v>
      </x:c>
      <x:c r="E1646" s="16" t="n">
        <x:v>58684</x:v>
      </x:c>
      <x:c r="F1646" s="16" t="n">
        <x:v>0</x:v>
      </x:c>
      <x:c r="G1646" s="16" t="n">
        <x:v>0</x:v>
      </x:c>
      <x:c r="H1646" s="16" t="str">
        <x:v>16-06-2014</x:v>
      </x:c>
      <x:c r="I1646" s="16" t="n">
        <x:v>71</x:v>
      </x:c>
      <x:c r="J1646" s="16" t="n">
        <x:v>479</x:v>
      </x:c>
      <x:c r="K1646" s="16" t="n">
        <x:v>35</x:v>
      </x:c>
      <x:c r="L1646" s="16" t="n">
        <x:v>179</x:v>
      </x:c>
      <x:c r="M1646" s="16" t="n">
        <x:v>28</x:v>
      </x:c>
      <x:c r="N1646" s="16" t="n">
        <x:v>7</x:v>
      </x:c>
      <x:c r="O1646" s="16" t="n">
        <x:v>85</x:v>
      </x:c>
      <x:c r="P1646" s="16" t="n">
        <x:v>1</x:v>
      </x:c>
      <x:c r="Q1646" s="16" t="n">
        <x:v>5</x:v>
      </x:c>
      <x:c r="R1646" s="16" t="n">
        <x:v>3</x:v>
      </x:c>
      <x:c r="S1646" s="16" t="n">
        <x:v>12</x:v>
      </x:c>
      <x:c r="T1646" s="16" t="n">
        <x:v>2</x:v>
      </x:c>
      <x:c r="U1646" s="16" t="n">
        <x:v>0</x:v>
      </x:c>
      <x:c r="V1646" s="16" t="n">
        <x:v>1</x:v>
      </x:c>
      <x:c r="W1646" s="16" t="n">
        <x:v>0</x:v>
      </x:c>
      <x:c r="X1646" s="16" t="n">
        <x:v>0</x:v>
      </x:c>
      <x:c r="Y1646" s="16" t="n">
        <x:v>0</x:v>
      </x:c>
      <x:c r="Z1646" s="16" t="n">
        <x:v>0</x:v>
      </x:c>
      <x:c r="AA1646" s="16" t="n">
        <x:v>3</x:v>
      </x:c>
      <x:c r="AB1646" s="16" t="n">
        <x:v>11</x:v>
      </x:c>
      <x:c r="AC1646" s="16" t="n">
        <x:v>0</x:v>
      </x:c>
      <x:c r="AD1646" s="21" t="n">
        <x:f>IF(E1646="",MEDIAN($E$2:$E$2237),E1646)</x:f>
        <x:v>58684</x:v>
      </x:c>
      <x:c r="AE1646" s="17" t="n">
        <x:f>2014-B1646</x:f>
        <x:v>33</x:v>
      </x:c>
      <x:c r="AF1646" s="17" t="n">
        <x:f>F1646+G1646</x:f>
        <x:v>0</x:v>
      </x:c>
      <x:c r="AG1646" s="21" t="n">
        <x:f>SUM(J1646:O1646)</x:f>
        <x:v>813</x:v>
      </x:c>
      <x:c r="AH1646" s="17" t="n">
        <x:f>SUM(Q1646:S1646)</x:f>
        <x:v>20</x:v>
      </x:c>
      <x:c r="AI1646" s="17" t="n">
        <x:f>SUM(U1646:Y1646)</x:f>
        <x:v>1</x:v>
      </x:c>
      <x:c r="AJ1646" s="17" t="str">
        <x:f>IF(AE1646&lt;=34,"≤34",IF(AE1646&lt;=44,"35–44",IF(AE1646&lt;=54,"45–54",IF(AE1646&lt;=64,"55–64","65+"))))</x:f>
        <x:v>≤34</x:v>
      </x:c>
      <x:c r="AK1646" s="17" t="str">
        <x:f>IF(AG1646&gt;=1000,"High Value",IF(AG1646&gt;=300,"Mid Value","Low Value"))</x:f>
        <x:v>Mid Value</x:v>
      </x:c>
      <x:c r="AL1646" s="17" t="str">
        <x:f>IF(AND(AI1646&gt;=1,I1646&lt;=50),"Priority 1",IF(AND(AG1646&gt;=1000,I1646&lt;=60),"Priority 2",IF(I1646&lt;=30,"Priority 3","Nurture")))</x:f>
        <x:v>Nurture</x:v>
      </x:c>
    </x:row>
    <x:row r="1647">
      <x:c r="A1647" s="16" t="n">
        <x:v>6409</x:v>
      </x:c>
      <x:c r="B1647" s="16" t="n">
        <x:v>1967</x:v>
      </x:c>
      <x:c r="C1647" s="16" t="str">
        <x:v>Graduation</x:v>
      </x:c>
      <x:c r="D1647" s="16" t="str">
        <x:v>Divorced</x:v>
      </x:c>
      <x:c r="E1647" s="16" t="n">
        <x:v>57136</x:v>
      </x:c>
      <x:c r="F1647" s="16" t="n">
        <x:v>0</x:v>
      </x:c>
      <x:c r="G1647" s="16" t="n">
        <x:v>0</x:v>
      </x:c>
      <x:c r="H1647" s="16" t="str">
        <x:v>18-05-2013</x:v>
      </x:c>
      <x:c r="I1647" s="16" t="n">
        <x:v>18</x:v>
      </x:c>
      <x:c r="J1647" s="16" t="n">
        <x:v>267</x:v>
      </x:c>
      <x:c r="K1647" s="16" t="n">
        <x:v>140</x:v>
      </x:c>
      <x:c r="L1647" s="16" t="n">
        <x:v>599</x:v>
      </x:c>
      <x:c r="M1647" s="16" t="n">
        <x:v>34</x:v>
      </x:c>
      <x:c r="N1647" s="16" t="n">
        <x:v>12</x:v>
      </x:c>
      <x:c r="O1647" s="16" t="n">
        <x:v>127</x:v>
      </x:c>
      <x:c r="P1647" s="16" t="n">
        <x:v>1</x:v>
      </x:c>
      <x:c r="Q1647" s="16" t="n">
        <x:v>7</x:v>
      </x:c>
      <x:c r="R1647" s="16" t="n">
        <x:v>5</x:v>
      </x:c>
      <x:c r="S1647" s="16" t="n">
        <x:v>7</x:v>
      </x:c>
      <x:c r="T1647" s="16" t="n">
        <x:v>6</x:v>
      </x:c>
      <x:c r="U1647" s="16" t="n">
        <x:v>0</x:v>
      </x:c>
      <x:c r="V1647" s="16" t="n">
        <x:v>0</x:v>
      </x:c>
      <x:c r="W1647" s="16" t="n">
        <x:v>0</x:v>
      </x:c>
      <x:c r="X1647" s="16" t="n">
        <x:v>0</x:v>
      </x:c>
      <x:c r="Y1647" s="16" t="n">
        <x:v>0</x:v>
      </x:c>
      <x:c r="Z1647" s="16" t="n">
        <x:v>0</x:v>
      </x:c>
      <x:c r="AA1647" s="16" t="n">
        <x:v>3</x:v>
      </x:c>
      <x:c r="AB1647" s="16" t="n">
        <x:v>11</x:v>
      </x:c>
      <x:c r="AC1647" s="16" t="n">
        <x:v>1</x:v>
      </x:c>
      <x:c r="AD1647" s="21" t="n">
        <x:f>IF(E1647="",MEDIAN($E$2:$E$2237),E1647)</x:f>
        <x:v>57136</x:v>
      </x:c>
      <x:c r="AE1647" s="17" t="n">
        <x:f>2014-B1647</x:f>
        <x:v>47</x:v>
      </x:c>
      <x:c r="AF1647" s="17" t="n">
        <x:f>F1647+G1647</x:f>
        <x:v>0</x:v>
      </x:c>
      <x:c r="AG1647" s="21" t="n">
        <x:f>SUM(J1647:O1647)</x:f>
        <x:v>1179</x:v>
      </x:c>
      <x:c r="AH1647" s="17" t="n">
        <x:f>SUM(Q1647:S1647)</x:f>
        <x:v>19</x:v>
      </x:c>
      <x:c r="AI1647" s="17" t="n">
        <x:f>SUM(U1647:Y1647)</x:f>
        <x:v>0</x:v>
      </x:c>
      <x:c r="AJ1647" s="17" t="str">
        <x:f>IF(AE1647&lt;=34,"≤34",IF(AE1647&lt;=44,"35–44",IF(AE1647&lt;=54,"45–54",IF(AE1647&lt;=64,"55–64","65+"))))</x:f>
        <x:v>45–54</x:v>
      </x:c>
      <x:c r="AK1647" s="17" t="str">
        <x:f>IF(AG1647&gt;=1000,"High Value",IF(AG1647&gt;=300,"Mid Value","Low Value"))</x:f>
        <x:v>High Value</x:v>
      </x:c>
      <x:c r="AL1647" s="17" t="str">
        <x:f>IF(AND(AI1647&gt;=1,I1647&lt;=50),"Priority 1",IF(AND(AG1647&gt;=1000,I1647&lt;=60),"Priority 2",IF(I1647&lt;=30,"Priority 3","Nurture")))</x:f>
        <x:v>Priority 2</x:v>
      </x:c>
    </x:row>
    <x:row r="1648">
      <x:c r="A1648" s="16" t="n">
        <x:v>7485</x:v>
      </x:c>
      <x:c r="B1648" s="16" t="n">
        <x:v>1950</x:v>
      </x:c>
      <x:c r="C1648" s="16" t="str">
        <x:v>PhD</x:v>
      </x:c>
      <x:c r="D1648" s="16" t="str">
        <x:v>Widow</x:v>
      </x:c>
      <x:c r="E1648" s="16" t="n">
        <x:v>56551</x:v>
      </x:c>
      <x:c r="F1648" s="16" t="n">
        <x:v>1</x:v>
      </x:c>
      <x:c r="G1648" s="16" t="n">
        <x:v>1</x:v>
      </x:c>
      <x:c r="H1648" s="16" t="str">
        <x:v>07-05-2014</x:v>
      </x:c>
      <x:c r="I1648" s="16" t="n">
        <x:v>48</x:v>
      </x:c>
      <x:c r="J1648" s="16" t="n">
        <x:v>67</x:v>
      </x:c>
      <x:c r="K1648" s="16" t="n">
        <x:v>4</x:v>
      </x:c>
      <x:c r="L1648" s="16" t="n">
        <x:v>32</x:v>
      </x:c>
      <x:c r="M1648" s="16" t="n">
        <x:v>17</x:v>
      </x:c>
      <x:c r="N1648" s="16" t="n">
        <x:v>2</x:v>
      </x:c>
      <x:c r="O1648" s="16" t="n">
        <x:v>16</x:v>
      </x:c>
      <x:c r="P1648" s="16" t="n">
        <x:v>3</x:v>
      </x:c>
      <x:c r="Q1648" s="16" t="n">
        <x:v>2</x:v>
      </x:c>
      <x:c r="R1648" s="16" t="n">
        <x:v>1</x:v>
      </x:c>
      <x:c r="S1648" s="16" t="n">
        <x:v>4</x:v>
      </x:c>
      <x:c r="T1648" s="16" t="n">
        <x:v>4</x:v>
      </x:c>
      <x:c r="U1648" s="16" t="n">
        <x:v>0</x:v>
      </x:c>
      <x:c r="V1648" s="16" t="n">
        <x:v>0</x:v>
      </x:c>
      <x:c r="W1648" s="16" t="n">
        <x:v>0</x:v>
      </x:c>
      <x:c r="X1648" s="16" t="n">
        <x:v>0</x:v>
      </x:c>
      <x:c r="Y1648" s="16" t="n">
        <x:v>0</x:v>
      </x:c>
      <x:c r="Z1648" s="16" t="n">
        <x:v>0</x:v>
      </x:c>
      <x:c r="AA1648" s="16" t="n">
        <x:v>3</x:v>
      </x:c>
      <x:c r="AB1648" s="16" t="n">
        <x:v>11</x:v>
      </x:c>
      <x:c r="AC1648" s="16" t="n">
        <x:v>0</x:v>
      </x:c>
      <x:c r="AD1648" s="21" t="n">
        <x:f>IF(E1648="",MEDIAN($E$2:$E$2237),E1648)</x:f>
        <x:v>56551</x:v>
      </x:c>
      <x:c r="AE1648" s="17" t="n">
        <x:f>2014-B1648</x:f>
        <x:v>64</x:v>
      </x:c>
      <x:c r="AF1648" s="17" t="n">
        <x:f>F1648+G1648</x:f>
        <x:v>2</x:v>
      </x:c>
      <x:c r="AG1648" s="21" t="n">
        <x:f>SUM(J1648:O1648)</x:f>
        <x:v>138</x:v>
      </x:c>
      <x:c r="AH1648" s="17" t="n">
        <x:f>SUM(Q1648:S1648)</x:f>
        <x:v>7</x:v>
      </x:c>
      <x:c r="AI1648" s="17" t="n">
        <x:f>SUM(U1648:Y1648)</x:f>
        <x:v>0</x:v>
      </x:c>
      <x:c r="AJ1648" s="17" t="str">
        <x:f>IF(AE1648&lt;=34,"≤34",IF(AE1648&lt;=44,"35–44",IF(AE1648&lt;=54,"45–54",IF(AE1648&lt;=64,"55–64","65+"))))</x:f>
        <x:v>55–64</x:v>
      </x:c>
      <x:c r="AK1648" s="17" t="str">
        <x:f>IF(AG1648&gt;=1000,"High Value",IF(AG1648&gt;=300,"Mid Value","Low Value"))</x:f>
        <x:v>Low Value</x:v>
      </x:c>
      <x:c r="AL1648" s="17" t="str">
        <x:f>IF(AND(AI1648&gt;=1,I1648&lt;=50),"Priority 1",IF(AND(AG1648&gt;=1000,I1648&lt;=60),"Priority 2",IF(I1648&lt;=30,"Priority 3","Nurture")))</x:f>
        <x:v>Nurture</x:v>
      </x:c>
    </x:row>
    <x:row r="1649">
      <x:c r="A1649" s="16" t="n">
        <x:v>8079</x:v>
      </x:c>
      <x:c r="B1649" s="16" t="n">
        <x:v>1982</x:v>
      </x:c>
      <x:c r="C1649" s="16" t="str">
        <x:v>Graduation</x:v>
      </x:c>
      <x:c r="D1649" s="16" t="str">
        <x:v>Married</x:v>
      </x:c>
      <x:c r="E1649" s="16" t="n">
        <x:v>22448</x:v>
      </x:c>
      <x:c r="F1649" s="16" t="n">
        <x:v>1</x:v>
      </x:c>
      <x:c r="G1649" s="16" t="n">
        <x:v>0</x:v>
      </x:c>
      <x:c r="H1649" s="16" t="str">
        <x:v>26-02-2014</x:v>
      </x:c>
      <x:c r="I1649" s="16" t="n">
        <x:v>86</x:v>
      </x:c>
      <x:c r="J1649" s="16" t="n">
        <x:v>3</x:v>
      </x:c>
      <x:c r="K1649" s="16" t="n">
        <x:v>1</x:v>
      </x:c>
      <x:c r="L1649" s="16" t="n">
        <x:v>8</x:v>
      </x:c>
      <x:c r="M1649" s="16" t="n">
        <x:v>23</x:v>
      </x:c>
      <x:c r="N1649" s="16" t="n">
        <x:v>2</x:v>
      </x:c>
      <x:c r="O1649" s="16" t="n">
        <x:v>18</x:v>
      </x:c>
      <x:c r="P1649" s="16" t="n">
        <x:v>3</x:v>
      </x:c>
      <x:c r="Q1649" s="16" t="n">
        <x:v>2</x:v>
      </x:c>
      <x:c r="R1649" s="16" t="n">
        <x:v>1</x:v>
      </x:c>
      <x:c r="S1649" s="16" t="n">
        <x:v>3</x:v>
      </x:c>
      <x:c r="T1649" s="16" t="n">
        <x:v>3</x:v>
      </x:c>
      <x:c r="U1649" s="16" t="n">
        <x:v>0</x:v>
      </x:c>
      <x:c r="V1649" s="16" t="n">
        <x:v>0</x:v>
      </x:c>
      <x:c r="W1649" s="16" t="n">
        <x:v>0</x:v>
      </x:c>
      <x:c r="X1649" s="16" t="n">
        <x:v>0</x:v>
      </x:c>
      <x:c r="Y1649" s="16" t="n">
        <x:v>0</x:v>
      </x:c>
      <x:c r="Z1649" s="16" t="n">
        <x:v>0</x:v>
      </x:c>
      <x:c r="AA1649" s="16" t="n">
        <x:v>3</x:v>
      </x:c>
      <x:c r="AB1649" s="16" t="n">
        <x:v>11</x:v>
      </x:c>
      <x:c r="AC1649" s="16" t="n">
        <x:v>0</x:v>
      </x:c>
      <x:c r="AD1649" s="21" t="n">
        <x:f>IF(E1649="",MEDIAN($E$2:$E$2237),E1649)</x:f>
        <x:v>22448</x:v>
      </x:c>
      <x:c r="AE1649" s="17" t="n">
        <x:f>2014-B1649</x:f>
        <x:v>32</x:v>
      </x:c>
      <x:c r="AF1649" s="17" t="n">
        <x:f>F1649+G1649</x:f>
        <x:v>1</x:v>
      </x:c>
      <x:c r="AG1649" s="21" t="n">
        <x:f>SUM(J1649:O1649)</x:f>
        <x:v>55</x:v>
      </x:c>
      <x:c r="AH1649" s="17" t="n">
        <x:f>SUM(Q1649:S1649)</x:f>
        <x:v>6</x:v>
      </x:c>
      <x:c r="AI1649" s="17" t="n">
        <x:f>SUM(U1649:Y1649)</x:f>
        <x:v>0</x:v>
      </x:c>
      <x:c r="AJ1649" s="17" t="str">
        <x:f>IF(AE1649&lt;=34,"≤34",IF(AE1649&lt;=44,"35–44",IF(AE1649&lt;=54,"45–54",IF(AE1649&lt;=64,"55–64","65+"))))</x:f>
        <x:v>≤34</x:v>
      </x:c>
      <x:c r="AK1649" s="17" t="str">
        <x:f>IF(AG1649&gt;=1000,"High Value",IF(AG1649&gt;=300,"Mid Value","Low Value"))</x:f>
        <x:v>Low Value</x:v>
      </x:c>
      <x:c r="AL1649" s="17" t="str">
        <x:f>IF(AND(AI1649&gt;=1,I1649&lt;=50),"Priority 1",IF(AND(AG1649&gt;=1000,I1649&lt;=60),"Priority 2",IF(I1649&lt;=30,"Priority 3","Nurture")))</x:f>
        <x:v>Nurture</x:v>
      </x:c>
    </x:row>
    <x:row r="1650">
      <x:c r="A1650" s="16" t="n">
        <x:v>8395</x:v>
      </x:c>
      <x:c r="B1650" s="16" t="n">
        <x:v>1961</x:v>
      </x:c>
      <x:c r="C1650" s="16" t="str">
        <x:v>Graduation</x:v>
      </x:c>
      <x:c r="D1650" s="16" t="str">
        <x:v>Single</x:v>
      </x:c>
      <x:c r="E1650" s="16" t="n">
        <x:v>82014</x:v>
      </x:c>
      <x:c r="F1650" s="16" t="n">
        <x:v>0</x:v>
      </x:c>
      <x:c r="G1650" s="16" t="n">
        <x:v>0</x:v>
      </x:c>
      <x:c r="H1650" s="16" t="str">
        <x:v>20-08-2012</x:v>
      </x:c>
      <x:c r="I1650" s="16" t="n">
        <x:v>48</x:v>
      </x:c>
      <x:c r="J1650" s="16" t="n">
        <x:v>980</x:v>
      </x:c>
      <x:c r="K1650" s="16" t="n">
        <x:v>37</x:v>
      </x:c>
      <x:c r="L1650" s="16" t="n">
        <x:v>265</x:v>
      </x:c>
      <x:c r="M1650" s="16" t="n">
        <x:v>35</x:v>
      </x:c>
      <x:c r="N1650" s="16" t="n">
        <x:v>163</x:v>
      </x:c>
      <x:c r="O1650" s="16" t="n">
        <x:v>31</x:v>
      </x:c>
      <x:c r="P1650" s="16" t="n">
        <x:v>1</x:v>
      </x:c>
      <x:c r="Q1650" s="16" t="n">
        <x:v>3</x:v>
      </x:c>
      <x:c r="R1650" s="16" t="n">
        <x:v>6</x:v>
      </x:c>
      <x:c r="S1650" s="16" t="n">
        <x:v>12</x:v>
      </x:c>
      <x:c r="T1650" s="16" t="n">
        <x:v>6</x:v>
      </x:c>
      <x:c r="U1650" s="16" t="n">
        <x:v>0</x:v>
      </x:c>
      <x:c r="V1650" s="16" t="n">
        <x:v>0</x:v>
      </x:c>
      <x:c r="W1650" s="16" t="n">
        <x:v>0</x:v>
      </x:c>
      <x:c r="X1650" s="16" t="n">
        <x:v>0</x:v>
      </x:c>
      <x:c r="Y1650" s="16" t="n">
        <x:v>0</x:v>
      </x:c>
      <x:c r="Z1650" s="16" t="n">
        <x:v>0</x:v>
      </x:c>
      <x:c r="AA1650" s="16" t="n">
        <x:v>3</x:v>
      </x:c>
      <x:c r="AB1650" s="16" t="n">
        <x:v>11</x:v>
      </x:c>
      <x:c r="AC1650" s="16" t="n">
        <x:v>1</x:v>
      </x:c>
      <x:c r="AD1650" s="21" t="n">
        <x:f>IF(E1650="",MEDIAN($E$2:$E$2237),E1650)</x:f>
        <x:v>82014</x:v>
      </x:c>
      <x:c r="AE1650" s="17" t="n">
        <x:f>2014-B1650</x:f>
        <x:v>53</x:v>
      </x:c>
      <x:c r="AF1650" s="17" t="n">
        <x:f>F1650+G1650</x:f>
        <x:v>0</x:v>
      </x:c>
      <x:c r="AG1650" s="21" t="n">
        <x:f>SUM(J1650:O1650)</x:f>
        <x:v>1511</x:v>
      </x:c>
      <x:c r="AH1650" s="17" t="n">
        <x:f>SUM(Q1650:S1650)</x:f>
        <x:v>21</x:v>
      </x:c>
      <x:c r="AI1650" s="17" t="n">
        <x:f>SUM(U1650:Y1650)</x:f>
        <x:v>0</x:v>
      </x:c>
      <x:c r="AJ1650" s="17" t="str">
        <x:f>IF(AE1650&lt;=34,"≤34",IF(AE1650&lt;=44,"35–44",IF(AE1650&lt;=54,"45–54",IF(AE1650&lt;=64,"55–64","65+"))))</x:f>
        <x:v>45–54</x:v>
      </x:c>
      <x:c r="AK1650" s="17" t="str">
        <x:f>IF(AG1650&gt;=1000,"High Value",IF(AG1650&gt;=300,"Mid Value","Low Value"))</x:f>
        <x:v>High Value</x:v>
      </x:c>
      <x:c r="AL1650" s="17" t="str">
        <x:f>IF(AND(AI1650&gt;=1,I1650&lt;=50),"Priority 1",IF(AND(AG1650&gt;=1000,I1650&lt;=60),"Priority 2",IF(I1650&lt;=30,"Priority 3","Nurture")))</x:f>
        <x:v>Priority 2</x:v>
      </x:c>
    </x:row>
    <x:row r="1651">
      <x:c r="A1651" s="16" t="n">
        <x:v>10352</x:v>
      </x:c>
      <x:c r="B1651" s="16" t="n">
        <x:v>1963</x:v>
      </x:c>
      <x:c r="C1651" s="16" t="str">
        <x:v>Graduation</x:v>
      </x:c>
      <x:c r="D1651" s="16" t="str">
        <x:v>Widow</x:v>
      </x:c>
      <x:c r="E1651" s="16" t="n">
        <x:v>34213</x:v>
      </x:c>
      <x:c r="F1651" s="16" t="n">
        <x:v>1</x:v>
      </x:c>
      <x:c r="G1651" s="16" t="n">
        <x:v>1</x:v>
      </x:c>
      <x:c r="H1651" s="16" t="str">
        <x:v>07-09-2012</x:v>
      </x:c>
      <x:c r="I1651" s="16" t="n">
        <x:v>2</x:v>
      </x:c>
      <x:c r="J1651" s="16" t="n">
        <x:v>50</x:v>
      </x:c>
      <x:c r="K1651" s="16" t="n">
        <x:v>4</x:v>
      </x:c>
      <x:c r="L1651" s="16" t="n">
        <x:v>28</x:v>
      </x:c>
      <x:c r="M1651" s="16" t="n">
        <x:v>6</x:v>
      </x:c>
      <x:c r="N1651" s="16" t="n">
        <x:v>3</x:v>
      </x:c>
      <x:c r="O1651" s="16" t="n">
        <x:v>26</x:v>
      </x:c>
      <x:c r="P1651" s="16" t="n">
        <x:v>3</x:v>
      </x:c>
      <x:c r="Q1651" s="16" t="n">
        <x:v>3</x:v>
      </x:c>
      <x:c r="R1651" s="16" t="n">
        <x:v>1</x:v>
      </x:c>
      <x:c r="S1651" s="16" t="n">
        <x:v>2</x:v>
      </x:c>
      <x:c r="T1651" s="16" t="n">
        <x:v>9</x:v>
      </x:c>
      <x:c r="U1651" s="16" t="n">
        <x:v>0</x:v>
      </x:c>
      <x:c r="V1651" s="16" t="n">
        <x:v>0</x:v>
      </x:c>
      <x:c r="W1651" s="16" t="n">
        <x:v>0</x:v>
      </x:c>
      <x:c r="X1651" s="16" t="n">
        <x:v>0</x:v>
      </x:c>
      <x:c r="Y1651" s="16" t="n">
        <x:v>0</x:v>
      </x:c>
      <x:c r="Z1651" s="16" t="n">
        <x:v>0</x:v>
      </x:c>
      <x:c r="AA1651" s="16" t="n">
        <x:v>3</x:v>
      </x:c>
      <x:c r="AB1651" s="16" t="n">
        <x:v>11</x:v>
      </x:c>
      <x:c r="AC1651" s="16" t="n">
        <x:v>1</x:v>
      </x:c>
      <x:c r="AD1651" s="21" t="n">
        <x:f>IF(E1651="",MEDIAN($E$2:$E$2237),E1651)</x:f>
        <x:v>34213</x:v>
      </x:c>
      <x:c r="AE1651" s="17" t="n">
        <x:f>2014-B1651</x:f>
        <x:v>51</x:v>
      </x:c>
      <x:c r="AF1651" s="17" t="n">
        <x:f>F1651+G1651</x:f>
        <x:v>2</x:v>
      </x:c>
      <x:c r="AG1651" s="21" t="n">
        <x:f>SUM(J1651:O1651)</x:f>
        <x:v>117</x:v>
      </x:c>
      <x:c r="AH1651" s="17" t="n">
        <x:f>SUM(Q1651:S1651)</x:f>
        <x:v>6</x:v>
      </x:c>
      <x:c r="AI1651" s="17" t="n">
        <x:f>SUM(U1651:Y1651)</x:f>
        <x:v>0</x:v>
      </x:c>
      <x:c r="AJ1651" s="17" t="str">
        <x:f>IF(AE1651&lt;=34,"≤34",IF(AE1651&lt;=44,"35–44",IF(AE1651&lt;=54,"45–54",IF(AE1651&lt;=64,"55–64","65+"))))</x:f>
        <x:v>45–54</x:v>
      </x:c>
      <x:c r="AK1651" s="17" t="str">
        <x:f>IF(AG1651&gt;=1000,"High Value",IF(AG1651&gt;=300,"Mid Value","Low Value"))</x:f>
        <x:v>Low Value</x:v>
      </x:c>
      <x:c r="AL1651" s="17" t="str">
        <x:f>IF(AND(AI1651&gt;=1,I1651&lt;=50),"Priority 1",IF(AND(AG1651&gt;=1000,I1651&lt;=60),"Priority 2",IF(I1651&lt;=30,"Priority 3","Nurture")))</x:f>
        <x:v>Priority 3</x:v>
      </x:c>
    </x:row>
    <x:row r="1652">
      <x:c r="A1652" s="16" t="n">
        <x:v>4931</x:v>
      </x:c>
      <x:c r="B1652" s="16" t="n">
        <x:v>1977</x:v>
      </x:c>
      <x:c r="C1652" s="16" t="str">
        <x:v>Graduation</x:v>
      </x:c>
      <x:c r="D1652" s="16" t="str">
        <x:v>Together</x:v>
      </x:c>
      <x:c r="E1652" s="16" t="n">
        <x:v>157146</x:v>
      </x:c>
      <x:c r="F1652" s="16" t="n">
        <x:v>0</x:v>
      </x:c>
      <x:c r="G1652" s="16" t="n">
        <x:v>0</x:v>
      </x:c>
      <x:c r="H1652" s="16" t="str">
        <x:v>29-04-2013</x:v>
      </x:c>
      <x:c r="I1652" s="16" t="n">
        <x:v>13</x:v>
      </x:c>
      <x:c r="J1652" s="16" t="n">
        <x:v>1</x:v>
      </x:c>
      <x:c r="K1652" s="16" t="n">
        <x:v>0</x:v>
      </x:c>
      <x:c r="L1652" s="16" t="n">
        <x:v>1725</x:v>
      </x:c>
      <x:c r="M1652" s="16" t="n">
        <x:v>2</x:v>
      </x:c>
      <x:c r="N1652" s="16" t="n">
        <x:v>1</x:v>
      </x:c>
      <x:c r="O1652" s="16" t="n">
        <x:v>1</x:v>
      </x:c>
      <x:c r="P1652" s="16" t="n">
        <x:v>0</x:v>
      </x:c>
      <x:c r="Q1652" s="16" t="n">
        <x:v>0</x:v>
      </x:c>
      <x:c r="R1652" s="16" t="n">
        <x:v>28</x:v>
      </x:c>
      <x:c r="S1652" s="16" t="n">
        <x:v>0</x:v>
      </x:c>
      <x:c r="T1652" s="16" t="n">
        <x:v>1</x:v>
      </x:c>
      <x:c r="U1652" s="16" t="n">
        <x:v>0</x:v>
      </x:c>
      <x:c r="V1652" s="16" t="n">
        <x:v>0</x:v>
      </x:c>
      <x:c r="W1652" s="16" t="n">
        <x:v>0</x:v>
      </x:c>
      <x:c r="X1652" s="16" t="n">
        <x:v>0</x:v>
      </x:c>
      <x:c r="Y1652" s="16" t="n">
        <x:v>0</x:v>
      </x:c>
      <x:c r="Z1652" s="16" t="n">
        <x:v>0</x:v>
      </x:c>
      <x:c r="AA1652" s="16" t="n">
        <x:v>3</x:v>
      </x:c>
      <x:c r="AB1652" s="16" t="n">
        <x:v>11</x:v>
      </x:c>
      <x:c r="AC1652" s="16" t="n">
        <x:v>0</x:v>
      </x:c>
      <x:c r="AD1652" s="21" t="n">
        <x:f>IF(E1652="",MEDIAN($E$2:$E$2237),E1652)</x:f>
        <x:v>157146</x:v>
      </x:c>
      <x:c r="AE1652" s="17" t="n">
        <x:f>2014-B1652</x:f>
        <x:v>37</x:v>
      </x:c>
      <x:c r="AF1652" s="17" t="n">
        <x:f>F1652+G1652</x:f>
        <x:v>0</x:v>
      </x:c>
      <x:c r="AG1652" s="21" t="n">
        <x:f>SUM(J1652:O1652)</x:f>
        <x:v>1730</x:v>
      </x:c>
      <x:c r="AH1652" s="17" t="n">
        <x:f>SUM(Q1652:S1652)</x:f>
        <x:v>28</x:v>
      </x:c>
      <x:c r="AI1652" s="17" t="n">
        <x:f>SUM(U1652:Y1652)</x:f>
        <x:v>0</x:v>
      </x:c>
      <x:c r="AJ1652" s="17" t="str">
        <x:f>IF(AE1652&lt;=34,"≤34",IF(AE1652&lt;=44,"35–44",IF(AE1652&lt;=54,"45–54",IF(AE1652&lt;=64,"55–64","65+"))))</x:f>
        <x:v>35–44</x:v>
      </x:c>
      <x:c r="AK1652" s="17" t="str">
        <x:f>IF(AG1652&gt;=1000,"High Value",IF(AG1652&gt;=300,"Mid Value","Low Value"))</x:f>
        <x:v>High Value</x:v>
      </x:c>
      <x:c r="AL1652" s="17" t="str">
        <x:f>IF(AND(AI1652&gt;=1,I1652&lt;=50),"Priority 1",IF(AND(AG1652&gt;=1000,I1652&lt;=60),"Priority 2",IF(I1652&lt;=30,"Priority 3","Nurture")))</x:f>
        <x:v>Priority 2</x:v>
      </x:c>
    </x:row>
    <x:row r="1653">
      <x:c r="A1653" s="16" t="n">
        <x:v>13</x:v>
      </x:c>
      <x:c r="B1653" s="16" t="n">
        <x:v>1947</x:v>
      </x:c>
      <x:c r="C1653" s="16" t="str">
        <x:v>PhD</x:v>
      </x:c>
      <x:c r="D1653" s="16" t="str">
        <x:v>Widow</x:v>
      </x:c>
      <x:c r="E1653" s="16" t="n">
        <x:v>25358</x:v>
      </x:c>
      <x:c r="F1653" s="16" t="n">
        <x:v>0</x:v>
      </x:c>
      <x:c r="G1653" s="16" t="n">
        <x:v>1</x:v>
      </x:c>
      <x:c r="H1653" s="16" t="str">
        <x:v>22-07-2013</x:v>
      </x:c>
      <x:c r="I1653" s="16" t="n">
        <x:v>57</x:v>
      </x:c>
      <x:c r="J1653" s="16" t="n">
        <x:v>19</x:v>
      </x:c>
      <x:c r="K1653" s="16" t="n">
        <x:v>0</x:v>
      </x:c>
      <x:c r="L1653" s="16" t="n">
        <x:v>5</x:v>
      </x:c>
      <x:c r="M1653" s="16" t="n">
        <x:v>0</x:v>
      </x:c>
      <x:c r="N1653" s="16" t="n">
        <x:v>0</x:v>
      </x:c>
      <x:c r="O1653" s="16" t="n">
        <x:v>8</x:v>
      </x:c>
      <x:c r="P1653" s="16" t="n">
        <x:v>2</x:v>
      </x:c>
      <x:c r="Q1653" s="16" t="n">
        <x:v>1</x:v>
      </x:c>
      <x:c r="R1653" s="16" t="n">
        <x:v>0</x:v>
      </x:c>
      <x:c r="S1653" s="16" t="n">
        <x:v>3</x:v>
      </x:c>
      <x:c r="T1653" s="16" t="n">
        <x:v>6</x:v>
      </x:c>
      <x:c r="U1653" s="16" t="n">
        <x:v>0</x:v>
      </x:c>
      <x:c r="V1653" s="16" t="n">
        <x:v>0</x:v>
      </x:c>
      <x:c r="W1653" s="16" t="n">
        <x:v>0</x:v>
      </x:c>
      <x:c r="X1653" s="16" t="n">
        <x:v>0</x:v>
      </x:c>
      <x:c r="Y1653" s="16" t="n">
        <x:v>0</x:v>
      </x:c>
      <x:c r="Z1653" s="16" t="n">
        <x:v>0</x:v>
      </x:c>
      <x:c r="AA1653" s="16" t="n">
        <x:v>3</x:v>
      </x:c>
      <x:c r="AB1653" s="16" t="n">
        <x:v>11</x:v>
      </x:c>
      <x:c r="AC1653" s="16" t="n">
        <x:v>0</x:v>
      </x:c>
      <x:c r="AD1653" s="21" t="n">
        <x:f>IF(E1653="",MEDIAN($E$2:$E$2237),E1653)</x:f>
        <x:v>25358</x:v>
      </x:c>
      <x:c r="AE1653" s="17" t="n">
        <x:f>2014-B1653</x:f>
        <x:v>67</x:v>
      </x:c>
      <x:c r="AF1653" s="17" t="n">
        <x:f>F1653+G1653</x:f>
        <x:v>1</x:v>
      </x:c>
      <x:c r="AG1653" s="21" t="n">
        <x:f>SUM(J1653:O1653)</x:f>
        <x:v>32</x:v>
      </x:c>
      <x:c r="AH1653" s="17" t="n">
        <x:f>SUM(Q1653:S1653)</x:f>
        <x:v>4</x:v>
      </x:c>
      <x:c r="AI1653" s="17" t="n">
        <x:f>SUM(U1653:Y1653)</x:f>
        <x:v>0</x:v>
      </x:c>
      <x:c r="AJ1653" s="17" t="str">
        <x:f>IF(AE1653&lt;=34,"≤34",IF(AE1653&lt;=44,"35–44",IF(AE1653&lt;=54,"45–54",IF(AE1653&lt;=64,"55–64","65+"))))</x:f>
        <x:v>65+</x:v>
      </x:c>
      <x:c r="AK1653" s="17" t="str">
        <x:f>IF(AG1653&gt;=1000,"High Value",IF(AG1653&gt;=300,"Mid Value","Low Value"))</x:f>
        <x:v>Low Value</x:v>
      </x:c>
      <x:c r="AL1653" s="17" t="str">
        <x:f>IF(AND(AI1653&gt;=1,I1653&lt;=50),"Priority 1",IF(AND(AG1653&gt;=1000,I1653&lt;=60),"Priority 2",IF(I1653&lt;=30,"Priority 3","Nurture")))</x:f>
        <x:v>Nurture</x:v>
      </x:c>
    </x:row>
    <x:row r="1654">
      <x:c r="A1654" s="16" t="n">
        <x:v>1834</x:v>
      </x:c>
      <x:c r="B1654" s="16" t="n">
        <x:v>1978</x:v>
      </x:c>
      <x:c r="C1654" s="16" t="str">
        <x:v>Master</x:v>
      </x:c>
      <x:c r="D1654" s="16" t="str">
        <x:v>Single</x:v>
      </x:c>
      <x:c r="E1654" s="16" t="n">
        <x:v>35544</x:v>
      </x:c>
      <x:c r="F1654" s="16" t="n">
        <x:v>1</x:v>
      </x:c>
      <x:c r="G1654" s="16" t="n">
        <x:v>0</x:v>
      </x:c>
      <x:c r="H1654" s="16" t="str">
        <x:v>08-03-2014</x:v>
      </x:c>
      <x:c r="I1654" s="16" t="n">
        <x:v>77</x:v>
      </x:c>
      <x:c r="J1654" s="16" t="n">
        <x:v>30</x:v>
      </x:c>
      <x:c r="K1654" s="16" t="n">
        <x:v>5</x:v>
      </x:c>
      <x:c r="L1654" s="16" t="n">
        <x:v>23</x:v>
      </x:c>
      <x:c r="M1654" s="16" t="n">
        <x:v>4</x:v>
      </x:c>
      <x:c r="N1654" s="16" t="n">
        <x:v>1</x:v>
      </x:c>
      <x:c r="O1654" s="16" t="n">
        <x:v>4</x:v>
      </x:c>
      <x:c r="P1654" s="16" t="n">
        <x:v>1</x:v>
      </x:c>
      <x:c r="Q1654" s="16" t="n">
        <x:v>2</x:v>
      </x:c>
      <x:c r="R1654" s="16" t="n">
        <x:v>0</x:v>
      </x:c>
      <x:c r="S1654" s="16" t="n">
        <x:v>3</x:v>
      </x:c>
      <x:c r="T1654" s="16" t="n">
        <x:v>7</x:v>
      </x:c>
      <x:c r="U1654" s="16" t="n">
        <x:v>0</x:v>
      </x:c>
      <x:c r="V1654" s="16" t="n">
        <x:v>0</x:v>
      </x:c>
      <x:c r="W1654" s="16" t="n">
        <x:v>0</x:v>
      </x:c>
      <x:c r="X1654" s="16" t="n">
        <x:v>0</x:v>
      </x:c>
      <x:c r="Y1654" s="16" t="n">
        <x:v>0</x:v>
      </x:c>
      <x:c r="Z1654" s="16" t="n">
        <x:v>0</x:v>
      </x:c>
      <x:c r="AA1654" s="16" t="n">
        <x:v>3</x:v>
      </x:c>
      <x:c r="AB1654" s="16" t="n">
        <x:v>11</x:v>
      </x:c>
      <x:c r="AC1654" s="16" t="n">
        <x:v>0</x:v>
      </x:c>
      <x:c r="AD1654" s="21" t="n">
        <x:f>IF(E1654="",MEDIAN($E$2:$E$2237),E1654)</x:f>
        <x:v>35544</x:v>
      </x:c>
      <x:c r="AE1654" s="17" t="n">
        <x:f>2014-B1654</x:f>
        <x:v>36</x:v>
      </x:c>
      <x:c r="AF1654" s="17" t="n">
        <x:f>F1654+G1654</x:f>
        <x:v>1</x:v>
      </x:c>
      <x:c r="AG1654" s="21" t="n">
        <x:f>SUM(J1654:O1654)</x:f>
        <x:v>67</x:v>
      </x:c>
      <x:c r="AH1654" s="17" t="n">
        <x:f>SUM(Q1654:S1654)</x:f>
        <x:v>5</x:v>
      </x:c>
      <x:c r="AI1654" s="17" t="n">
        <x:f>SUM(U1654:Y1654)</x:f>
        <x:v>0</x:v>
      </x:c>
      <x:c r="AJ1654" s="17" t="str">
        <x:f>IF(AE1654&lt;=34,"≤34",IF(AE1654&lt;=44,"35–44",IF(AE1654&lt;=54,"45–54",IF(AE1654&lt;=64,"55–64","65+"))))</x:f>
        <x:v>35–44</x:v>
      </x:c>
      <x:c r="AK1654" s="17" t="str">
        <x:f>IF(AG1654&gt;=1000,"High Value",IF(AG1654&gt;=300,"Mid Value","Low Value"))</x:f>
        <x:v>Low Value</x:v>
      </x:c>
      <x:c r="AL1654" s="17" t="str">
        <x:f>IF(AND(AI1654&gt;=1,I1654&lt;=50),"Priority 1",IF(AND(AG1654&gt;=1000,I1654&lt;=60),"Priority 2",IF(I1654&lt;=30,"Priority 3","Nurture")))</x:f>
        <x:v>Nurture</x:v>
      </x:c>
    </x:row>
    <x:row r="1655">
      <x:c r="A1655" s="16" t="n">
        <x:v>2285</x:v>
      </x:c>
      <x:c r="B1655" s="16" t="n">
        <x:v>1954</x:v>
      </x:c>
      <x:c r="C1655" s="16" t="str">
        <x:v>Master</x:v>
      </x:c>
      <x:c r="D1655" s="16" t="str">
        <x:v>Together</x:v>
      </x:c>
      <x:c r="E1655" s="16" t="n">
        <x:v>36634</x:v>
      </x:c>
      <x:c r="F1655" s="16" t="n">
        <x:v>0</x:v>
      </x:c>
      <x:c r="G1655" s="16" t="n">
        <x:v>1</x:v>
      </x:c>
      <x:c r="H1655" s="16" t="str">
        <x:v>28-05-2013</x:v>
      </x:c>
      <x:c r="I1655" s="16" t="n">
        <x:v>0</x:v>
      </x:c>
      <x:c r="J1655" s="16" t="n">
        <x:v>213</x:v>
      </x:c>
      <x:c r="K1655" s="16" t="n">
        <x:v>9</x:v>
      </x:c>
      <x:c r="L1655" s="16" t="n">
        <x:v>76</x:v>
      </x:c>
      <x:c r="M1655" s="16" t="n">
        <x:v>4</x:v>
      </x:c>
      <x:c r="N1655" s="16" t="n">
        <x:v>3</x:v>
      </x:c>
      <x:c r="O1655" s="16" t="n">
        <x:v>30</x:v>
      </x:c>
      <x:c r="P1655" s="16" t="n">
        <x:v>3</x:v>
      </x:c>
      <x:c r="Q1655" s="16" t="n">
        <x:v>5</x:v>
      </x:c>
      <x:c r="R1655" s="16" t="n">
        <x:v>2</x:v>
      </x:c>
      <x:c r="S1655" s="16" t="n">
        <x:v>5</x:v>
      </x:c>
      <x:c r="T1655" s="16" t="n">
        <x:v>7</x:v>
      </x:c>
      <x:c r="U1655" s="16" t="n">
        <x:v>0</x:v>
      </x:c>
      <x:c r="V1655" s="16" t="n">
        <x:v>0</x:v>
      </x:c>
      <x:c r="W1655" s="16" t="n">
        <x:v>0</x:v>
      </x:c>
      <x:c r="X1655" s="16" t="n">
        <x:v>0</x:v>
      </x:c>
      <x:c r="Y1655" s="16" t="n">
        <x:v>0</x:v>
      </x:c>
      <x:c r="Z1655" s="16" t="n">
        <x:v>0</x:v>
      </x:c>
      <x:c r="AA1655" s="16" t="n">
        <x:v>3</x:v>
      </x:c>
      <x:c r="AB1655" s="16" t="n">
        <x:v>11</x:v>
      </x:c>
      <x:c r="AC1655" s="16" t="n">
        <x:v>0</x:v>
      </x:c>
      <x:c r="AD1655" s="21" t="n">
        <x:f>IF(E1655="",MEDIAN($E$2:$E$2237),E1655)</x:f>
        <x:v>36634</x:v>
      </x:c>
      <x:c r="AE1655" s="17" t="n">
        <x:f>2014-B1655</x:f>
        <x:v>60</x:v>
      </x:c>
      <x:c r="AF1655" s="17" t="n">
        <x:f>F1655+G1655</x:f>
        <x:v>1</x:v>
      </x:c>
      <x:c r="AG1655" s="21" t="n">
        <x:f>SUM(J1655:O1655)</x:f>
        <x:v>335</x:v>
      </x:c>
      <x:c r="AH1655" s="17" t="n">
        <x:f>SUM(Q1655:S1655)</x:f>
        <x:v>12</x:v>
      </x:c>
      <x:c r="AI1655" s="17" t="n">
        <x:f>SUM(U1655:Y1655)</x:f>
        <x:v>0</x:v>
      </x:c>
      <x:c r="AJ1655" s="17" t="str">
        <x:f>IF(AE1655&lt;=34,"≤34",IF(AE1655&lt;=44,"35–44",IF(AE1655&lt;=54,"45–54",IF(AE1655&lt;=64,"55–64","65+"))))</x:f>
        <x:v>55–64</x:v>
      </x:c>
      <x:c r="AK1655" s="17" t="str">
        <x:f>IF(AG1655&gt;=1000,"High Value",IF(AG1655&gt;=300,"Mid Value","Low Value"))</x:f>
        <x:v>Mid Value</x:v>
      </x:c>
      <x:c r="AL1655" s="17" t="str">
        <x:f>IF(AND(AI1655&gt;=1,I1655&lt;=50),"Priority 1",IF(AND(AG1655&gt;=1000,I1655&lt;=60),"Priority 2",IF(I1655&lt;=30,"Priority 3","Nurture")))</x:f>
        <x:v>Priority 3</x:v>
      </x:c>
    </x:row>
    <x:row r="1656">
      <x:c r="A1656" s="16" t="n">
        <x:v>2295</x:v>
      </x:c>
      <x:c r="B1656" s="16" t="n">
        <x:v>1954</x:v>
      </x:c>
      <x:c r="C1656" s="16" t="str">
        <x:v>PhD</x:v>
      </x:c>
      <x:c r="D1656" s="16" t="str">
        <x:v>Married</x:v>
      </x:c>
      <x:c r="E1656" s="16" t="n">
        <x:v>62670</x:v>
      </x:c>
      <x:c r="F1656" s="16" t="n">
        <x:v>0</x:v>
      </x:c>
      <x:c r="G1656" s="16" t="n">
        <x:v>1</x:v>
      </x:c>
      <x:c r="H1656" s="16" t="str">
        <x:v>02-02-2014</x:v>
      </x:c>
      <x:c r="I1656" s="16" t="n">
        <x:v>57</x:v>
      </x:c>
      <x:c r="J1656" s="16" t="n">
        <x:v>539</x:v>
      </x:c>
      <x:c r="K1656" s="16" t="n">
        <x:v>30</x:v>
      </x:c>
      <x:c r="L1656" s="16" t="n">
        <x:v>92</x:v>
      </x:c>
      <x:c r="M1656" s="16" t="n">
        <x:v>80</x:v>
      </x:c>
      <x:c r="N1656" s="16" t="n">
        <x:v>46</x:v>
      </x:c>
      <x:c r="O1656" s="16" t="n">
        <x:v>38</x:v>
      </x:c>
      <x:c r="P1656" s="16" t="n">
        <x:v>1</x:v>
      </x:c>
      <x:c r="Q1656" s="16" t="n">
        <x:v>5</x:v>
      </x:c>
      <x:c r="R1656" s="16" t="n">
        <x:v>3</x:v>
      </x:c>
      <x:c r="S1656" s="16" t="n">
        <x:v>13</x:v>
      </x:c>
      <x:c r="T1656" s="16" t="n">
        <x:v>3</x:v>
      </x:c>
      <x:c r="U1656" s="16" t="n">
        <x:v>0</x:v>
      </x:c>
      <x:c r="V1656" s="16" t="n">
        <x:v>0</x:v>
      </x:c>
      <x:c r="W1656" s="16" t="n">
        <x:v>0</x:v>
      </x:c>
      <x:c r="X1656" s="16" t="n">
        <x:v>0</x:v>
      </x:c>
      <x:c r="Y1656" s="16" t="n">
        <x:v>0</x:v>
      </x:c>
      <x:c r="Z1656" s="16" t="n">
        <x:v>0</x:v>
      </x:c>
      <x:c r="AA1656" s="16" t="n">
        <x:v>3</x:v>
      </x:c>
      <x:c r="AB1656" s="16" t="n">
        <x:v>11</x:v>
      </x:c>
      <x:c r="AC1656" s="16" t="n">
        <x:v>0</x:v>
      </x:c>
      <x:c r="AD1656" s="21" t="n">
        <x:f>IF(E1656="",MEDIAN($E$2:$E$2237),E1656)</x:f>
        <x:v>62670</x:v>
      </x:c>
      <x:c r="AE1656" s="17" t="n">
        <x:f>2014-B1656</x:f>
        <x:v>60</x:v>
      </x:c>
      <x:c r="AF1656" s="17" t="n">
        <x:f>F1656+G1656</x:f>
        <x:v>1</x:v>
      </x:c>
      <x:c r="AG1656" s="21" t="n">
        <x:f>SUM(J1656:O1656)</x:f>
        <x:v>825</x:v>
      </x:c>
      <x:c r="AH1656" s="17" t="n">
        <x:f>SUM(Q1656:S1656)</x:f>
        <x:v>21</x:v>
      </x:c>
      <x:c r="AI1656" s="17" t="n">
        <x:f>SUM(U1656:Y1656)</x:f>
        <x:v>0</x:v>
      </x:c>
      <x:c r="AJ1656" s="17" t="str">
        <x:f>IF(AE1656&lt;=34,"≤34",IF(AE1656&lt;=44,"35–44",IF(AE1656&lt;=54,"45–54",IF(AE1656&lt;=64,"55–64","65+"))))</x:f>
        <x:v>55–64</x:v>
      </x:c>
      <x:c r="AK1656" s="17" t="str">
        <x:f>IF(AG1656&gt;=1000,"High Value",IF(AG1656&gt;=300,"Mid Value","Low Value"))</x:f>
        <x:v>Mid Value</x:v>
      </x:c>
      <x:c r="AL1656" s="17" t="str">
        <x:f>IF(AND(AI1656&gt;=1,I1656&lt;=50),"Priority 1",IF(AND(AG1656&gt;=1000,I1656&lt;=60),"Priority 2",IF(I1656&lt;=30,"Priority 3","Nurture")))</x:f>
        <x:v>Nurture</x:v>
      </x:c>
    </x:row>
    <x:row r="1657">
      <x:c r="A1657" s="16" t="n">
        <x:v>1378</x:v>
      </x:c>
      <x:c r="B1657" s="16" t="n">
        <x:v>1972</x:v>
      </x:c>
      <x:c r="C1657" s="16" t="str">
        <x:v>2n Cycle</x:v>
      </x:c>
      <x:c r="D1657" s="16" t="str">
        <x:v>Together</x:v>
      </x:c>
      <x:c r="E1657" s="16" t="n">
        <x:v>50334</x:v>
      </x:c>
      <x:c r="F1657" s="16" t="n">
        <x:v>0</x:v>
      </x:c>
      <x:c r="G1657" s="16" t="n">
        <x:v>1</x:v>
      </x:c>
      <x:c r="H1657" s="16" t="str">
        <x:v>24-07-2013</x:v>
      </x:c>
      <x:c r="I1657" s="16" t="n">
        <x:v>24</x:v>
      </x:c>
      <x:c r="J1657" s="16" t="n">
        <x:v>284</x:v>
      </x:c>
      <x:c r="K1657" s="16" t="n">
        <x:v>16</x:v>
      </x:c>
      <x:c r="L1657" s="16" t="n">
        <x:v>160</x:v>
      </x:c>
      <x:c r="M1657" s="16" t="n">
        <x:v>84</x:v>
      </x:c>
      <x:c r="N1657" s="16" t="n">
        <x:v>16</x:v>
      </x:c>
      <x:c r="O1657" s="16" t="n">
        <x:v>134</x:v>
      </x:c>
      <x:c r="P1657" s="16" t="n">
        <x:v>6</x:v>
      </x:c>
      <x:c r="Q1657" s="16" t="n">
        <x:v>7</x:v>
      </x:c>
      <x:c r="R1657" s="16" t="n">
        <x:v>4</x:v>
      </x:c>
      <x:c r="S1657" s="16" t="n">
        <x:v>6</x:v>
      </x:c>
      <x:c r="T1657" s="16" t="n">
        <x:v>6</x:v>
      </x:c>
      <x:c r="U1657" s="16" t="n">
        <x:v>0</x:v>
      </x:c>
      <x:c r="V1657" s="16" t="n">
        <x:v>0</x:v>
      </x:c>
      <x:c r="W1657" s="16" t="n">
        <x:v>0</x:v>
      </x:c>
      <x:c r="X1657" s="16" t="n">
        <x:v>0</x:v>
      </x:c>
      <x:c r="Y1657" s="16" t="n">
        <x:v>0</x:v>
      </x:c>
      <x:c r="Z1657" s="16" t="n">
        <x:v>0</x:v>
      </x:c>
      <x:c r="AA1657" s="16" t="n">
        <x:v>3</x:v>
      </x:c>
      <x:c r="AB1657" s="16" t="n">
        <x:v>11</x:v>
      </x:c>
      <x:c r="AC1657" s="16" t="n">
        <x:v>0</x:v>
      </x:c>
      <x:c r="AD1657" s="21" t="n">
        <x:f>IF(E1657="",MEDIAN($E$2:$E$2237),E1657)</x:f>
        <x:v>50334</x:v>
      </x:c>
      <x:c r="AE1657" s="17" t="n">
        <x:f>2014-B1657</x:f>
        <x:v>42</x:v>
      </x:c>
      <x:c r="AF1657" s="17" t="n">
        <x:f>F1657+G1657</x:f>
        <x:v>1</x:v>
      </x:c>
      <x:c r="AG1657" s="21" t="n">
        <x:f>SUM(J1657:O1657)</x:f>
        <x:v>694</x:v>
      </x:c>
      <x:c r="AH1657" s="17" t="n">
        <x:f>SUM(Q1657:S1657)</x:f>
        <x:v>17</x:v>
      </x:c>
      <x:c r="AI1657" s="17" t="n">
        <x:f>SUM(U1657:Y1657)</x:f>
        <x:v>0</x:v>
      </x:c>
      <x:c r="AJ1657" s="17" t="str">
        <x:f>IF(AE1657&lt;=34,"≤34",IF(AE1657&lt;=44,"35–44",IF(AE1657&lt;=54,"45–54",IF(AE1657&lt;=64,"55–64","65+"))))</x:f>
        <x:v>35–44</x:v>
      </x:c>
      <x:c r="AK1657" s="17" t="str">
        <x:f>IF(AG1657&gt;=1000,"High Value",IF(AG1657&gt;=300,"Mid Value","Low Value"))</x:f>
        <x:v>Mid Value</x:v>
      </x:c>
      <x:c r="AL1657" s="17" t="str">
        <x:f>IF(AND(AI1657&gt;=1,I1657&lt;=50),"Priority 1",IF(AND(AG1657&gt;=1000,I1657&lt;=60),"Priority 2",IF(I1657&lt;=30,"Priority 3","Nurture")))</x:f>
        <x:v>Priority 3</x:v>
      </x:c>
    </x:row>
    <x:row r="1658">
      <x:c r="A1658" s="16" t="n">
        <x:v>2781</x:v>
      </x:c>
      <x:c r="B1658" s="16" t="n">
        <x:v>1981</x:v>
      </x:c>
      <x:c r="C1658" s="16" t="str">
        <x:v>Graduation</x:v>
      </x:c>
      <x:c r="D1658" s="16" t="str">
        <x:v>Single</x:v>
      </x:c>
      <x:c r="E1658" s="16" t="n">
        <x:v>72066</x:v>
      </x:c>
      <x:c r="F1658" s="16" t="n">
        <x:v>0</x:v>
      </x:c>
      <x:c r="G1658" s="16" t="n">
        <x:v>0</x:v>
      </x:c>
      <x:c r="H1658" s="16" t="str">
        <x:v>23-06-2014</x:v>
      </x:c>
      <x:c r="I1658" s="16" t="n">
        <x:v>55</x:v>
      </x:c>
      <x:c r="J1658" s="16" t="n">
        <x:v>1003</x:v>
      </x:c>
      <x:c r="K1658" s="16" t="n">
        <x:v>34</x:v>
      </x:c>
      <x:c r="L1658" s="16" t="n">
        <x:v>536</x:v>
      </x:c>
      <x:c r="M1658" s="16" t="n">
        <x:v>134</x:v>
      </x:c>
      <x:c r="N1658" s="16" t="n">
        <x:v>51</x:v>
      </x:c>
      <x:c r="O1658" s="16" t="n">
        <x:v>34</x:v>
      </x:c>
      <x:c r="P1658" s="16" t="n">
        <x:v>1</x:v>
      </x:c>
      <x:c r="Q1658" s="16" t="n">
        <x:v>4</x:v>
      </x:c>
      <x:c r="R1658" s="16" t="n">
        <x:v>6</x:v>
      </x:c>
      <x:c r="S1658" s="16" t="n">
        <x:v>6</x:v>
      </x:c>
      <x:c r="T1658" s="16" t="n">
        <x:v>2</x:v>
      </x:c>
      <x:c r="U1658" s="16" t="n">
        <x:v>0</x:v>
      </x:c>
      <x:c r="V1658" s="16" t="n">
        <x:v>0</x:v>
      </x:c>
      <x:c r="W1658" s="16" t="n">
        <x:v>1</x:v>
      </x:c>
      <x:c r="X1658" s="16" t="n">
        <x:v>1</x:v>
      </x:c>
      <x:c r="Y1658" s="16" t="n">
        <x:v>0</x:v>
      </x:c>
      <x:c r="Z1658" s="16" t="n">
        <x:v>0</x:v>
      </x:c>
      <x:c r="AA1658" s="16" t="n">
        <x:v>3</x:v>
      </x:c>
      <x:c r="AB1658" s="16" t="n">
        <x:v>11</x:v>
      </x:c>
      <x:c r="AC1658" s="16" t="n">
        <x:v>1</x:v>
      </x:c>
      <x:c r="AD1658" s="21" t="n">
        <x:f>IF(E1658="",MEDIAN($E$2:$E$2237),E1658)</x:f>
        <x:v>72066</x:v>
      </x:c>
      <x:c r="AE1658" s="17" t="n">
        <x:f>2014-B1658</x:f>
        <x:v>33</x:v>
      </x:c>
      <x:c r="AF1658" s="17" t="n">
        <x:f>F1658+G1658</x:f>
        <x:v>0</x:v>
      </x:c>
      <x:c r="AG1658" s="21" t="n">
        <x:f>SUM(J1658:O1658)</x:f>
        <x:v>1792</x:v>
      </x:c>
      <x:c r="AH1658" s="17" t="n">
        <x:f>SUM(Q1658:S1658)</x:f>
        <x:v>16</x:v>
      </x:c>
      <x:c r="AI1658" s="17" t="n">
        <x:f>SUM(U1658:Y1658)</x:f>
        <x:v>2</x:v>
      </x:c>
      <x:c r="AJ1658" s="17" t="str">
        <x:f>IF(AE1658&lt;=34,"≤34",IF(AE1658&lt;=44,"35–44",IF(AE1658&lt;=54,"45–54",IF(AE1658&lt;=64,"55–64","65+"))))</x:f>
        <x:v>≤34</x:v>
      </x:c>
      <x:c r="AK1658" s="17" t="str">
        <x:f>IF(AG1658&gt;=1000,"High Value",IF(AG1658&gt;=300,"Mid Value","Low Value"))</x:f>
        <x:v>High Value</x:v>
      </x:c>
      <x:c r="AL1658" s="17" t="str">
        <x:f>IF(AND(AI1658&gt;=1,I1658&lt;=50),"Priority 1",IF(AND(AG1658&gt;=1000,I1658&lt;=60),"Priority 2",IF(I1658&lt;=30,"Priority 3","Nurture")))</x:f>
        <x:v>Priority 2</x:v>
      </x:c>
    </x:row>
    <x:row r="1659">
      <x:c r="A1659" s="16" t="n">
        <x:v>1165</x:v>
      </x:c>
      <x:c r="B1659" s="16" t="n">
        <x:v>1958</x:v>
      </x:c>
      <x:c r="C1659" s="16" t="str">
        <x:v>PhD</x:v>
      </x:c>
      <x:c r="D1659" s="16" t="str">
        <x:v>Single</x:v>
      </x:c>
      <x:c r="E1659" s="16" t="n">
        <x:v>50729</x:v>
      </x:c>
      <x:c r="F1659" s="16" t="n">
        <x:v>1</x:v>
      </x:c>
      <x:c r="G1659" s="16" t="n">
        <x:v>1</x:v>
      </x:c>
      <x:c r="H1659" s="16" t="str">
        <x:v>02-05-2013</x:v>
      </x:c>
      <x:c r="I1659" s="16" t="n">
        <x:v>62</x:v>
      </x:c>
      <x:c r="J1659" s="16" t="n">
        <x:v>239</x:v>
      </x:c>
      <x:c r="K1659" s="16" t="n">
        <x:v>13</x:v>
      </x:c>
      <x:c r="L1659" s="16" t="n">
        <x:v>143</x:v>
      </x:c>
      <x:c r="M1659" s="16" t="n">
        <x:v>45</x:v>
      </x:c>
      <x:c r="N1659" s="16" t="n">
        <x:v>4</x:v>
      </x:c>
      <x:c r="O1659" s="16" t="n">
        <x:v>52</x:v>
      </x:c>
      <x:c r="P1659" s="16" t="n">
        <x:v>9</x:v>
      </x:c>
      <x:c r="Q1659" s="16" t="n">
        <x:v>6</x:v>
      </x:c>
      <x:c r="R1659" s="16" t="n">
        <x:v>2</x:v>
      </x:c>
      <x:c r="S1659" s="16" t="n">
        <x:v>7</x:v>
      </x:c>
      <x:c r="T1659" s="16" t="n">
        <x:v>6</x:v>
      </x:c>
      <x:c r="U1659" s="16" t="n">
        <x:v>0</x:v>
      </x:c>
      <x:c r="V1659" s="16" t="n">
        <x:v>0</x:v>
      </x:c>
      <x:c r="W1659" s="16" t="n">
        <x:v>0</x:v>
      </x:c>
      <x:c r="X1659" s="16" t="n">
        <x:v>0</x:v>
      </x:c>
      <x:c r="Y1659" s="16" t="n">
        <x:v>0</x:v>
      </x:c>
      <x:c r="Z1659" s="16" t="n">
        <x:v>0</x:v>
      </x:c>
      <x:c r="AA1659" s="16" t="n">
        <x:v>3</x:v>
      </x:c>
      <x:c r="AB1659" s="16" t="n">
        <x:v>11</x:v>
      </x:c>
      <x:c r="AC1659" s="16" t="n">
        <x:v>0</x:v>
      </x:c>
      <x:c r="AD1659" s="21" t="n">
        <x:f>IF(E1659="",MEDIAN($E$2:$E$2237),E1659)</x:f>
        <x:v>50729</x:v>
      </x:c>
      <x:c r="AE1659" s="17" t="n">
        <x:f>2014-B1659</x:f>
        <x:v>56</x:v>
      </x:c>
      <x:c r="AF1659" s="17" t="n">
        <x:f>F1659+G1659</x:f>
        <x:v>2</x:v>
      </x:c>
      <x:c r="AG1659" s="21" t="n">
        <x:f>SUM(J1659:O1659)</x:f>
        <x:v>496</x:v>
      </x:c>
      <x:c r="AH1659" s="17" t="n">
        <x:f>SUM(Q1659:S1659)</x:f>
        <x:v>15</x:v>
      </x:c>
      <x:c r="AI1659" s="17" t="n">
        <x:f>SUM(U1659:Y1659)</x:f>
        <x:v>0</x:v>
      </x:c>
      <x:c r="AJ1659" s="17" t="str">
        <x:f>IF(AE1659&lt;=34,"≤34",IF(AE1659&lt;=44,"35–44",IF(AE1659&lt;=54,"45–54",IF(AE1659&lt;=64,"55–64","65+"))))</x:f>
        <x:v>55–64</x:v>
      </x:c>
      <x:c r="AK1659" s="17" t="str">
        <x:f>IF(AG1659&gt;=1000,"High Value",IF(AG1659&gt;=300,"Mid Value","Low Value"))</x:f>
        <x:v>Mid Value</x:v>
      </x:c>
      <x:c r="AL1659" s="17" t="str">
        <x:f>IF(AND(AI1659&gt;=1,I1659&lt;=50),"Priority 1",IF(AND(AG1659&gt;=1000,I1659&lt;=60),"Priority 2",IF(I1659&lt;=30,"Priority 3","Nurture")))</x:f>
        <x:v>Nurture</x:v>
      </x:c>
    </x:row>
    <x:row r="1660">
      <x:c r="A1660" s="16" t="n">
        <x:v>1404</x:v>
      </x:c>
      <x:c r="B1660" s="16" t="n">
        <x:v>1968</x:v>
      </x:c>
      <x:c r="C1660" s="16" t="str">
        <x:v>Graduation</x:v>
      </x:c>
      <x:c r="D1660" s="16" t="str">
        <x:v>Together</x:v>
      </x:c>
      <x:c r="E1660" s="16" t="n">
        <x:v>34916</x:v>
      </x:c>
      <x:c r="F1660" s="16" t="n">
        <x:v>2</x:v>
      </x:c>
      <x:c r="G1660" s="16" t="n">
        <x:v>0</x:v>
      </x:c>
      <x:c r="H1660" s="16" t="str">
        <x:v>15-05-2013</x:v>
      </x:c>
      <x:c r="I1660" s="16" t="n">
        <x:v>89</x:v>
      </x:c>
      <x:c r="J1660" s="16" t="n">
        <x:v>51</x:v>
      </x:c>
      <x:c r="K1660" s="16" t="n">
        <x:v>23</x:v>
      </x:c>
      <x:c r="L1660" s="16" t="n">
        <x:v>82</x:v>
      </x:c>
      <x:c r="M1660" s="16" t="n">
        <x:v>33</x:v>
      </x:c>
      <x:c r="N1660" s="16" t="n">
        <x:v>0</x:v>
      </x:c>
      <x:c r="O1660" s="16" t="n">
        <x:v>42</x:v>
      </x:c>
      <x:c r="P1660" s="16" t="n">
        <x:v>4</x:v>
      </x:c>
      <x:c r="Q1660" s="16" t="n">
        <x:v>5</x:v>
      </x:c>
      <x:c r="R1660" s="16" t="n">
        <x:v>1</x:v>
      </x:c>
      <x:c r="S1660" s="16" t="n">
        <x:v>3</x:v>
      </x:c>
      <x:c r="T1660" s="16" t="n">
        <x:v>9</x:v>
      </x:c>
      <x:c r="U1660" s="16" t="n">
        <x:v>0</x:v>
      </x:c>
      <x:c r="V1660" s="16" t="n">
        <x:v>0</x:v>
      </x:c>
      <x:c r="W1660" s="16" t="n">
        <x:v>0</x:v>
      </x:c>
      <x:c r="X1660" s="16" t="n">
        <x:v>0</x:v>
      </x:c>
      <x:c r="Y1660" s="16" t="n">
        <x:v>0</x:v>
      </x:c>
      <x:c r="Z1660" s="16" t="n">
        <x:v>0</x:v>
      </x:c>
      <x:c r="AA1660" s="16" t="n">
        <x:v>3</x:v>
      </x:c>
      <x:c r="AB1660" s="16" t="n">
        <x:v>11</x:v>
      </x:c>
      <x:c r="AC1660" s="16" t="n">
        <x:v>0</x:v>
      </x:c>
      <x:c r="AD1660" s="21" t="n">
        <x:f>IF(E1660="",MEDIAN($E$2:$E$2237),E1660)</x:f>
        <x:v>34916</x:v>
      </x:c>
      <x:c r="AE1660" s="17" t="n">
        <x:f>2014-B1660</x:f>
        <x:v>46</x:v>
      </x:c>
      <x:c r="AF1660" s="17" t="n">
        <x:f>F1660+G1660</x:f>
        <x:v>2</x:v>
      </x:c>
      <x:c r="AG1660" s="21" t="n">
        <x:f>SUM(J1660:O1660)</x:f>
        <x:v>231</x:v>
      </x:c>
      <x:c r="AH1660" s="17" t="n">
        <x:f>SUM(Q1660:S1660)</x:f>
        <x:v>9</x:v>
      </x:c>
      <x:c r="AI1660" s="17" t="n">
        <x:f>SUM(U1660:Y1660)</x:f>
        <x:v>0</x:v>
      </x:c>
      <x:c r="AJ1660" s="17" t="str">
        <x:f>IF(AE1660&lt;=34,"≤34",IF(AE1660&lt;=44,"35–44",IF(AE1660&lt;=54,"45–54",IF(AE1660&lt;=64,"55–64","65+"))))</x:f>
        <x:v>45–54</x:v>
      </x:c>
      <x:c r="AK1660" s="17" t="str">
        <x:f>IF(AG1660&gt;=1000,"High Value",IF(AG1660&gt;=300,"Mid Value","Low Value"))</x:f>
        <x:v>Low Value</x:v>
      </x:c>
      <x:c r="AL1660" s="17" t="str">
        <x:f>IF(AND(AI1660&gt;=1,I1660&lt;=50),"Priority 1",IF(AND(AG1660&gt;=1000,I1660&lt;=60),"Priority 2",IF(I1660&lt;=30,"Priority 3","Nurture")))</x:f>
        <x:v>Nurture</x:v>
      </x:c>
    </x:row>
    <x:row r="1661">
      <x:c r="A1661" s="16" t="n">
        <x:v>6457</x:v>
      </x:c>
      <x:c r="B1661" s="16" t="n">
        <x:v>1976</x:v>
      </x:c>
      <x:c r="C1661" s="16" t="str">
        <x:v>Graduation</x:v>
      </x:c>
      <x:c r="D1661" s="16" t="str">
        <x:v>Divorced</x:v>
      </x:c>
      <x:c r="E1661" s="16" t="n">
        <x:v>64892</x:v>
      </x:c>
      <x:c r="F1661" s="16" t="n">
        <x:v>0</x:v>
      </x:c>
      <x:c r="G1661" s="16" t="n">
        <x:v>1</x:v>
      </x:c>
      <x:c r="H1661" s="16" t="str">
        <x:v>29-05-2014</x:v>
      </x:c>
      <x:c r="I1661" s="16" t="n">
        <x:v>77</x:v>
      </x:c>
      <x:c r="J1661" s="16" t="n">
        <x:v>527</x:v>
      </x:c>
      <x:c r="K1661" s="16" t="n">
        <x:v>24</x:v>
      </x:c>
      <x:c r="L1661" s="16" t="n">
        <x:v>230</x:v>
      </x:c>
      <x:c r="M1661" s="16" t="n">
        <x:v>32</x:v>
      </x:c>
      <x:c r="N1661" s="16" t="n">
        <x:v>24</x:v>
      </x:c>
      <x:c r="O1661" s="16" t="n">
        <x:v>65</x:v>
      </x:c>
      <x:c r="P1661" s="16" t="n">
        <x:v>2</x:v>
      </x:c>
      <x:c r="Q1661" s="16" t="n">
        <x:v>6</x:v>
      </x:c>
      <x:c r="R1661" s="16" t="n">
        <x:v>4</x:v>
      </x:c>
      <x:c r="S1661" s="16" t="n">
        <x:v>12</x:v>
      </x:c>
      <x:c r="T1661" s="16" t="n">
        <x:v>4</x:v>
      </x:c>
      <x:c r="U1661" s="16" t="n">
        <x:v>0</x:v>
      </x:c>
      <x:c r="V1661" s="16" t="n">
        <x:v>0</x:v>
      </x:c>
      <x:c r="W1661" s="16" t="n">
        <x:v>0</x:v>
      </x:c>
      <x:c r="X1661" s="16" t="n">
        <x:v>0</x:v>
      </x:c>
      <x:c r="Y1661" s="16" t="n">
        <x:v>0</x:v>
      </x:c>
      <x:c r="Z1661" s="16" t="n">
        <x:v>0</x:v>
      </x:c>
      <x:c r="AA1661" s="16" t="n">
        <x:v>3</x:v>
      </x:c>
      <x:c r="AB1661" s="16" t="n">
        <x:v>11</x:v>
      </x:c>
      <x:c r="AC1661" s="16" t="n">
        <x:v>0</x:v>
      </x:c>
      <x:c r="AD1661" s="21" t="n">
        <x:f>IF(E1661="",MEDIAN($E$2:$E$2237),E1661)</x:f>
        <x:v>64892</x:v>
      </x:c>
      <x:c r="AE1661" s="17" t="n">
        <x:f>2014-B1661</x:f>
        <x:v>38</x:v>
      </x:c>
      <x:c r="AF1661" s="17" t="n">
        <x:f>F1661+G1661</x:f>
        <x:v>1</x:v>
      </x:c>
      <x:c r="AG1661" s="21" t="n">
        <x:f>SUM(J1661:O1661)</x:f>
        <x:v>902</x:v>
      </x:c>
      <x:c r="AH1661" s="17" t="n">
        <x:f>SUM(Q1661:S1661)</x:f>
        <x:v>22</x:v>
      </x:c>
      <x:c r="AI1661" s="17" t="n">
        <x:f>SUM(U1661:Y1661)</x:f>
        <x:v>0</x:v>
      </x:c>
      <x:c r="AJ1661" s="17" t="str">
        <x:f>IF(AE1661&lt;=34,"≤34",IF(AE1661&lt;=44,"35–44",IF(AE1661&lt;=54,"45–54",IF(AE1661&lt;=64,"55–64","65+"))))</x:f>
        <x:v>35–44</x:v>
      </x:c>
      <x:c r="AK1661" s="17" t="str">
        <x:f>IF(AG1661&gt;=1000,"High Value",IF(AG1661&gt;=300,"Mid Value","Low Value"))</x:f>
        <x:v>Mid Value</x:v>
      </x:c>
      <x:c r="AL1661" s="17" t="str">
        <x:f>IF(AND(AI1661&gt;=1,I1661&lt;=50),"Priority 1",IF(AND(AG1661&gt;=1000,I1661&lt;=60),"Priority 2",IF(I1661&lt;=30,"Priority 3","Nurture")))</x:f>
        <x:v>Nurture</x:v>
      </x:c>
    </x:row>
    <x:row r="1662">
      <x:c r="A1662" s="16" t="n">
        <x:v>2639</x:v>
      </x:c>
      <x:c r="B1662" s="16" t="n">
        <x:v>1966</x:v>
      </x:c>
      <x:c r="C1662" s="16" t="str">
        <x:v>Graduation</x:v>
      </x:c>
      <x:c r="D1662" s="16" t="str">
        <x:v>Single</x:v>
      </x:c>
      <x:c r="E1662" s="16" t="n">
        <x:v>43602</x:v>
      </x:c>
      <x:c r="F1662" s="16" t="n">
        <x:v>1</x:v>
      </x:c>
      <x:c r="G1662" s="16" t="n">
        <x:v>1</x:v>
      </x:c>
      <x:c r="H1662" s="16" t="str">
        <x:v>10-01-2014</x:v>
      </x:c>
      <x:c r="I1662" s="16" t="n">
        <x:v>45</x:v>
      </x:c>
      <x:c r="J1662" s="16" t="n">
        <x:v>19</x:v>
      </x:c>
      <x:c r="K1662" s="16" t="n">
        <x:v>5</x:v>
      </x:c>
      <x:c r="L1662" s="16" t="n">
        <x:v>12</x:v>
      </x:c>
      <x:c r="M1662" s="16" t="n">
        <x:v>10</x:v>
      </x:c>
      <x:c r="N1662" s="16" t="n">
        <x:v>3</x:v>
      </x:c>
      <x:c r="O1662" s="16" t="n">
        <x:v>19</x:v>
      </x:c>
      <x:c r="P1662" s="16" t="n">
        <x:v>3</x:v>
      </x:c>
      <x:c r="Q1662" s="16" t="n">
        <x:v>3</x:v>
      </x:c>
      <x:c r="R1662" s="16" t="n">
        <x:v>1</x:v>
      </x:c>
      <x:c r="S1662" s="16" t="n">
        <x:v>2</x:v>
      </x:c>
      <x:c r="T1662" s="16" t="n">
        <x:v>6</x:v>
      </x:c>
      <x:c r="U1662" s="16" t="n">
        <x:v>0</x:v>
      </x:c>
      <x:c r="V1662" s="16" t="n">
        <x:v>0</x:v>
      </x:c>
      <x:c r="W1662" s="16" t="n">
        <x:v>0</x:v>
      </x:c>
      <x:c r="X1662" s="16" t="n">
        <x:v>0</x:v>
      </x:c>
      <x:c r="Y1662" s="16" t="n">
        <x:v>0</x:v>
      </x:c>
      <x:c r="Z1662" s="16" t="n">
        <x:v>0</x:v>
      </x:c>
      <x:c r="AA1662" s="16" t="n">
        <x:v>3</x:v>
      </x:c>
      <x:c r="AB1662" s="16" t="n">
        <x:v>11</x:v>
      </x:c>
      <x:c r="AC1662" s="16" t="n">
        <x:v>0</x:v>
      </x:c>
      <x:c r="AD1662" s="21" t="n">
        <x:f>IF(E1662="",MEDIAN($E$2:$E$2237),E1662)</x:f>
        <x:v>43602</x:v>
      </x:c>
      <x:c r="AE1662" s="17" t="n">
        <x:f>2014-B1662</x:f>
        <x:v>48</x:v>
      </x:c>
      <x:c r="AF1662" s="17" t="n">
        <x:f>F1662+G1662</x:f>
        <x:v>2</x:v>
      </x:c>
      <x:c r="AG1662" s="21" t="n">
        <x:f>SUM(J1662:O1662)</x:f>
        <x:v>68</x:v>
      </x:c>
      <x:c r="AH1662" s="17" t="n">
        <x:f>SUM(Q1662:S1662)</x:f>
        <x:v>6</x:v>
      </x:c>
      <x:c r="AI1662" s="17" t="n">
        <x:f>SUM(U1662:Y1662)</x:f>
        <x:v>0</x:v>
      </x:c>
      <x:c r="AJ1662" s="17" t="str">
        <x:f>IF(AE1662&lt;=34,"≤34",IF(AE1662&lt;=44,"35–44",IF(AE1662&lt;=54,"45–54",IF(AE1662&lt;=64,"55–64","65+"))))</x:f>
        <x:v>45–54</x:v>
      </x:c>
      <x:c r="AK1662" s="17" t="str">
        <x:f>IF(AG1662&gt;=1000,"High Value",IF(AG1662&gt;=300,"Mid Value","Low Value"))</x:f>
        <x:v>Low Value</x:v>
      </x:c>
      <x:c r="AL1662" s="17" t="str">
        <x:f>IF(AND(AI1662&gt;=1,I1662&lt;=50),"Priority 1",IF(AND(AG1662&gt;=1000,I1662&lt;=60),"Priority 2",IF(I1662&lt;=30,"Priority 3","Nurture")))</x:f>
        <x:v>Nurture</x:v>
      </x:c>
    </x:row>
    <x:row r="1663">
      <x:c r="A1663" s="16" t="n">
        <x:v>8299</x:v>
      </x:c>
      <x:c r="B1663" s="16" t="n">
        <x:v>1989</x:v>
      </x:c>
      <x:c r="C1663" s="16" t="str">
        <x:v>PhD</x:v>
      </x:c>
      <x:c r="D1663" s="16" t="str">
        <x:v>Single</x:v>
      </x:c>
      <x:c r="E1663" s="16" t="n">
        <x:v>33996</x:v>
      </x:c>
      <x:c r="F1663" s="16" t="n">
        <x:v>0</x:v>
      </x:c>
      <x:c r="G1663" s="16" t="n">
        <x:v>0</x:v>
      </x:c>
      <x:c r="H1663" s="16" t="str">
        <x:v>11-09-2013</x:v>
      </x:c>
      <x:c r="I1663" s="16" t="n">
        <x:v>46</x:v>
      </x:c>
      <x:c r="J1663" s="16" t="n">
        <x:v>40</x:v>
      </x:c>
      <x:c r="K1663" s="16" t="n">
        <x:v>2</x:v>
      </x:c>
      <x:c r="L1663" s="16" t="n">
        <x:v>15</x:v>
      </x:c>
      <x:c r="M1663" s="16" t="n">
        <x:v>8</x:v>
      </x:c>
      <x:c r="N1663" s="16" t="n">
        <x:v>0</x:v>
      </x:c>
      <x:c r="O1663" s="16" t="n">
        <x:v>6</x:v>
      </x:c>
      <x:c r="P1663" s="16" t="n">
        <x:v>1</x:v>
      </x:c>
      <x:c r="Q1663" s="16" t="n">
        <x:v>1</x:v>
      </x:c>
      <x:c r="R1663" s="16" t="n">
        <x:v>1</x:v>
      </x:c>
      <x:c r="S1663" s="16" t="n">
        <x:v>3</x:v>
      </x:c>
      <x:c r="T1663" s="16" t="n">
        <x:v>4</x:v>
      </x:c>
      <x:c r="U1663" s="16" t="n">
        <x:v>0</x:v>
      </x:c>
      <x:c r="V1663" s="16" t="n">
        <x:v>0</x:v>
      </x:c>
      <x:c r="W1663" s="16" t="n">
        <x:v>0</x:v>
      </x:c>
      <x:c r="X1663" s="16" t="n">
        <x:v>0</x:v>
      </x:c>
      <x:c r="Y1663" s="16" t="n">
        <x:v>0</x:v>
      </x:c>
      <x:c r="Z1663" s="16" t="n">
        <x:v>0</x:v>
      </x:c>
      <x:c r="AA1663" s="16" t="n">
        <x:v>3</x:v>
      </x:c>
      <x:c r="AB1663" s="16" t="n">
        <x:v>11</x:v>
      </x:c>
      <x:c r="AC1663" s="16" t="n">
        <x:v>0</x:v>
      </x:c>
      <x:c r="AD1663" s="21" t="n">
        <x:f>IF(E1663="",MEDIAN($E$2:$E$2237),E1663)</x:f>
        <x:v>33996</x:v>
      </x:c>
      <x:c r="AE1663" s="17" t="n">
        <x:f>2014-B1663</x:f>
        <x:v>25</x:v>
      </x:c>
      <x:c r="AF1663" s="17" t="n">
        <x:f>F1663+G1663</x:f>
        <x:v>0</x:v>
      </x:c>
      <x:c r="AG1663" s="21" t="n">
        <x:f>SUM(J1663:O1663)</x:f>
        <x:v>71</x:v>
      </x:c>
      <x:c r="AH1663" s="17" t="n">
        <x:f>SUM(Q1663:S1663)</x:f>
        <x:v>5</x:v>
      </x:c>
      <x:c r="AI1663" s="17" t="n">
        <x:f>SUM(U1663:Y1663)</x:f>
        <x:v>0</x:v>
      </x:c>
      <x:c r="AJ1663" s="17" t="str">
        <x:f>IF(AE1663&lt;=34,"≤34",IF(AE1663&lt;=44,"35–44",IF(AE1663&lt;=54,"45–54",IF(AE1663&lt;=64,"55–64","65+"))))</x:f>
        <x:v>≤34</x:v>
      </x:c>
      <x:c r="AK1663" s="17" t="str">
        <x:f>IF(AG1663&gt;=1000,"High Value",IF(AG1663&gt;=300,"Mid Value","Low Value"))</x:f>
        <x:v>Low Value</x:v>
      </x:c>
      <x:c r="AL1663" s="17" t="str">
        <x:f>IF(AND(AI1663&gt;=1,I1663&lt;=50),"Priority 1",IF(AND(AG1663&gt;=1000,I1663&lt;=60),"Priority 2",IF(I1663&lt;=30,"Priority 3","Nurture")))</x:f>
        <x:v>Nurture</x:v>
      </x:c>
    </x:row>
    <x:row r="1664">
      <x:c r="A1664" s="16" t="n">
        <x:v>6437</x:v>
      </x:c>
      <x:c r="B1664" s="16" t="n">
        <x:v>1985</x:v>
      </x:c>
      <x:c r="C1664" s="16" t="str">
        <x:v>2n Cycle</x:v>
      </x:c>
      <x:c r="D1664" s="16" t="str">
        <x:v>Single</x:v>
      </x:c>
      <x:c r="E1664" s="16" t="n">
        <x:v>41473</x:v>
      </x:c>
      <x:c r="F1664" s="16" t="n">
        <x:v>1</x:v>
      </x:c>
      <x:c r="G1664" s="16" t="n">
        <x:v>0</x:v>
      </x:c>
      <x:c r="H1664" s="16" t="str">
        <x:v>19-06-2013</x:v>
      </x:c>
      <x:c r="I1664" s="16" t="n">
        <x:v>80</x:v>
      </x:c>
      <x:c r="J1664" s="16" t="n">
        <x:v>21</x:v>
      </x:c>
      <x:c r="K1664" s="16" t="n">
        <x:v>8</x:v>
      </x:c>
      <x:c r="L1664" s="16" t="n">
        <x:v>20</x:v>
      </x:c>
      <x:c r="M1664" s="16" t="n">
        <x:v>15</x:v>
      </x:c>
      <x:c r="N1664" s="16" t="n">
        <x:v>3</x:v>
      </x:c>
      <x:c r="O1664" s="16" t="n">
        <x:v>9</x:v>
      </x:c>
      <x:c r="P1664" s="16" t="n">
        <x:v>1</x:v>
      </x:c>
      <x:c r="Q1664" s="16" t="n">
        <x:v>2</x:v>
      </x:c>
      <x:c r="R1664" s="16" t="n">
        <x:v>0</x:v>
      </x:c>
      <x:c r="S1664" s="16" t="n">
        <x:v>3</x:v>
      </x:c>
      <x:c r="T1664" s="16" t="n">
        <x:v>7</x:v>
      </x:c>
      <x:c r="U1664" s="16" t="n">
        <x:v>0</x:v>
      </x:c>
      <x:c r="V1664" s="16" t="n">
        <x:v>0</x:v>
      </x:c>
      <x:c r="W1664" s="16" t="n">
        <x:v>0</x:v>
      </x:c>
      <x:c r="X1664" s="16" t="n">
        <x:v>0</x:v>
      </x:c>
      <x:c r="Y1664" s="16" t="n">
        <x:v>0</x:v>
      </x:c>
      <x:c r="Z1664" s="16" t="n">
        <x:v>0</x:v>
      </x:c>
      <x:c r="AA1664" s="16" t="n">
        <x:v>3</x:v>
      </x:c>
      <x:c r="AB1664" s="16" t="n">
        <x:v>11</x:v>
      </x:c>
      <x:c r="AC1664" s="16" t="n">
        <x:v>0</x:v>
      </x:c>
      <x:c r="AD1664" s="21" t="n">
        <x:f>IF(E1664="",MEDIAN($E$2:$E$2237),E1664)</x:f>
        <x:v>41473</x:v>
      </x:c>
      <x:c r="AE1664" s="17" t="n">
        <x:f>2014-B1664</x:f>
        <x:v>29</x:v>
      </x:c>
      <x:c r="AF1664" s="17" t="n">
        <x:f>F1664+G1664</x:f>
        <x:v>1</x:v>
      </x:c>
      <x:c r="AG1664" s="21" t="n">
        <x:f>SUM(J1664:O1664)</x:f>
        <x:v>76</x:v>
      </x:c>
      <x:c r="AH1664" s="17" t="n">
        <x:f>SUM(Q1664:S1664)</x:f>
        <x:v>5</x:v>
      </x:c>
      <x:c r="AI1664" s="17" t="n">
        <x:f>SUM(U1664:Y1664)</x:f>
        <x:v>0</x:v>
      </x:c>
      <x:c r="AJ1664" s="17" t="str">
        <x:f>IF(AE1664&lt;=34,"≤34",IF(AE1664&lt;=44,"35–44",IF(AE1664&lt;=54,"45–54",IF(AE1664&lt;=64,"55–64","65+"))))</x:f>
        <x:v>≤34</x:v>
      </x:c>
      <x:c r="AK1664" s="17" t="str">
        <x:f>IF(AG1664&gt;=1000,"High Value",IF(AG1664&gt;=300,"Mid Value","Low Value"))</x:f>
        <x:v>Low Value</x:v>
      </x:c>
      <x:c r="AL1664" s="17" t="str">
        <x:f>IF(AND(AI1664&gt;=1,I1664&lt;=50),"Priority 1",IF(AND(AG1664&gt;=1000,I1664&lt;=60),"Priority 2",IF(I1664&lt;=30,"Priority 3","Nurture")))</x:f>
        <x:v>Nurture</x:v>
      </x:c>
    </x:row>
    <x:row r="1665">
      <x:c r="A1665" s="16" t="n">
        <x:v>6912</x:v>
      </x:c>
      <x:c r="B1665" s="16" t="n">
        <x:v>1967</x:v>
      </x:c>
      <x:c r="C1665" s="16" t="str">
        <x:v>PhD</x:v>
      </x:c>
      <x:c r="D1665" s="16" t="str">
        <x:v>Married</x:v>
      </x:c>
      <x:c r="E1665" s="16" t="n">
        <x:v>63246</x:v>
      </x:c>
      <x:c r="F1665" s="16" t="n">
        <x:v>0</x:v>
      </x:c>
      <x:c r="G1665" s="16" t="n">
        <x:v>2</x:v>
      </x:c>
      <x:c r="H1665" s="16" t="str">
        <x:v>20-08-2013</x:v>
      </x:c>
      <x:c r="I1665" s="16" t="n">
        <x:v>60</x:v>
      </x:c>
      <x:c r="J1665" s="16" t="n">
        <x:v>593</x:v>
      </x:c>
      <x:c r="K1665" s="16" t="n">
        <x:v>30</x:v>
      </x:c>
      <x:c r="L1665" s="16" t="n">
        <x:v>91</x:v>
      </x:c>
      <x:c r="M1665" s="16" t="n">
        <x:v>29</x:v>
      </x:c>
      <x:c r="N1665" s="16" t="n">
        <x:v>22</x:v>
      </x:c>
      <x:c r="O1665" s="16" t="n">
        <x:v>7</x:v>
      </x:c>
      <x:c r="P1665" s="16" t="n">
        <x:v>1</x:v>
      </x:c>
      <x:c r="Q1665" s="16" t="n">
        <x:v>6</x:v>
      </x:c>
      <x:c r="R1665" s="16" t="n">
        <x:v>3</x:v>
      </x:c>
      <x:c r="S1665" s="16" t="n">
        <x:v>12</x:v>
      </x:c>
      <x:c r="T1665" s="16" t="n">
        <x:v>4</x:v>
      </x:c>
      <x:c r="U1665" s="16" t="n">
        <x:v>0</x:v>
      </x:c>
      <x:c r="V1665" s="16" t="n">
        <x:v>0</x:v>
      </x:c>
      <x:c r="W1665" s="16" t="n">
        <x:v>0</x:v>
      </x:c>
      <x:c r="X1665" s="16" t="n">
        <x:v>0</x:v>
      </x:c>
      <x:c r="Y1665" s="16" t="n">
        <x:v>0</x:v>
      </x:c>
      <x:c r="Z1665" s="16" t="n">
        <x:v>0</x:v>
      </x:c>
      <x:c r="AA1665" s="16" t="n">
        <x:v>3</x:v>
      </x:c>
      <x:c r="AB1665" s="16" t="n">
        <x:v>11</x:v>
      </x:c>
      <x:c r="AC1665" s="16" t="n">
        <x:v>0</x:v>
      </x:c>
      <x:c r="AD1665" s="21" t="n">
        <x:f>IF(E1665="",MEDIAN($E$2:$E$2237),E1665)</x:f>
        <x:v>63246</x:v>
      </x:c>
      <x:c r="AE1665" s="17" t="n">
        <x:f>2014-B1665</x:f>
        <x:v>47</x:v>
      </x:c>
      <x:c r="AF1665" s="17" t="n">
        <x:f>F1665+G1665</x:f>
        <x:v>2</x:v>
      </x:c>
      <x:c r="AG1665" s="21" t="n">
        <x:f>SUM(J1665:O1665)</x:f>
        <x:v>772</x:v>
      </x:c>
      <x:c r="AH1665" s="17" t="n">
        <x:f>SUM(Q1665:S1665)</x:f>
        <x:v>21</x:v>
      </x:c>
      <x:c r="AI1665" s="17" t="n">
        <x:f>SUM(U1665:Y1665)</x:f>
        <x:v>0</x:v>
      </x:c>
      <x:c r="AJ1665" s="17" t="str">
        <x:f>IF(AE1665&lt;=34,"≤34",IF(AE1665&lt;=44,"35–44",IF(AE1665&lt;=54,"45–54",IF(AE1665&lt;=64,"55–64","65+"))))</x:f>
        <x:v>45–54</x:v>
      </x:c>
      <x:c r="AK1665" s="17" t="str">
        <x:f>IF(AG1665&gt;=1000,"High Value",IF(AG1665&gt;=300,"Mid Value","Low Value"))</x:f>
        <x:v>Mid Value</x:v>
      </x:c>
      <x:c r="AL1665" s="17" t="str">
        <x:f>IF(AND(AI1665&gt;=1,I1665&lt;=50),"Priority 1",IF(AND(AG1665&gt;=1000,I1665&lt;=60),"Priority 2",IF(I1665&lt;=30,"Priority 3","Nurture")))</x:f>
        <x:v>Nurture</x:v>
      </x:c>
    </x:row>
    <x:row r="1666">
      <x:c r="A1666" s="16" t="n">
        <x:v>7327</x:v>
      </x:c>
      <x:c r="B1666" s="16" t="n">
        <x:v>1959</x:v>
      </x:c>
      <x:c r="C1666" s="16" t="str">
        <x:v>PhD</x:v>
      </x:c>
      <x:c r="D1666" s="16" t="str">
        <x:v>Married</x:v>
      </x:c>
      <x:c r="E1666" s="16" t="n">
        <x:v>36732</x:v>
      </x:c>
      <x:c r="F1666" s="16" t="n">
        <x:v>1</x:v>
      </x:c>
      <x:c r="G1666" s="16" t="n">
        <x:v>1</x:v>
      </x:c>
      <x:c r="H1666" s="16" t="str">
        <x:v>29-12-2013</x:v>
      </x:c>
      <x:c r="I1666" s="16" t="n">
        <x:v>71</x:v>
      </x:c>
      <x:c r="J1666" s="16" t="n">
        <x:v>21</x:v>
      </x:c>
      <x:c r="K1666" s="16" t="n">
        <x:v>5</x:v>
      </x:c>
      <x:c r="L1666" s="16" t="n">
        <x:v>3</x:v>
      </x:c>
      <x:c r="M1666" s="16" t="n">
        <x:v>10</x:v>
      </x:c>
      <x:c r="N1666" s="16" t="n">
        <x:v>1</x:v>
      </x:c>
      <x:c r="O1666" s="16" t="n">
        <x:v>7</x:v>
      </x:c>
      <x:c r="P1666" s="16" t="n">
        <x:v>3</x:v>
      </x:c>
      <x:c r="Q1666" s="16" t="n">
        <x:v>1</x:v>
      </x:c>
      <x:c r="R1666" s="16" t="n">
        <x:v>1</x:v>
      </x:c>
      <x:c r="S1666" s="16" t="n">
        <x:v>4</x:v>
      </x:c>
      <x:c r="T1666" s="16" t="n">
        <x:v>2</x:v>
      </x:c>
      <x:c r="U1666" s="16" t="n">
        <x:v>0</x:v>
      </x:c>
      <x:c r="V1666" s="16" t="n">
        <x:v>0</x:v>
      </x:c>
      <x:c r="W1666" s="16" t="n">
        <x:v>0</x:v>
      </x:c>
      <x:c r="X1666" s="16" t="n">
        <x:v>0</x:v>
      </x:c>
      <x:c r="Y1666" s="16" t="n">
        <x:v>0</x:v>
      </x:c>
      <x:c r="Z1666" s="16" t="n">
        <x:v>0</x:v>
      </x:c>
      <x:c r="AA1666" s="16" t="n">
        <x:v>3</x:v>
      </x:c>
      <x:c r="AB1666" s="16" t="n">
        <x:v>11</x:v>
      </x:c>
      <x:c r="AC1666" s="16" t="n">
        <x:v>0</x:v>
      </x:c>
      <x:c r="AD1666" s="21" t="n">
        <x:f>IF(E1666="",MEDIAN($E$2:$E$2237),E1666)</x:f>
        <x:v>36732</x:v>
      </x:c>
      <x:c r="AE1666" s="17" t="n">
        <x:f>2014-B1666</x:f>
        <x:v>55</x:v>
      </x:c>
      <x:c r="AF1666" s="17" t="n">
        <x:f>F1666+G1666</x:f>
        <x:v>2</x:v>
      </x:c>
      <x:c r="AG1666" s="21" t="n">
        <x:f>SUM(J1666:O1666)</x:f>
        <x:v>47</x:v>
      </x:c>
      <x:c r="AH1666" s="17" t="n">
        <x:f>SUM(Q1666:S1666)</x:f>
        <x:v>6</x:v>
      </x:c>
      <x:c r="AI1666" s="17" t="n">
        <x:f>SUM(U1666:Y1666)</x:f>
        <x:v>0</x:v>
      </x:c>
      <x:c r="AJ1666" s="17" t="str">
        <x:f>IF(AE1666&lt;=34,"≤34",IF(AE1666&lt;=44,"35–44",IF(AE1666&lt;=54,"45–54",IF(AE1666&lt;=64,"55–64","65+"))))</x:f>
        <x:v>55–64</x:v>
      </x:c>
      <x:c r="AK1666" s="17" t="str">
        <x:f>IF(AG1666&gt;=1000,"High Value",IF(AG1666&gt;=300,"Mid Value","Low Value"))</x:f>
        <x:v>Low Value</x:v>
      </x:c>
      <x:c r="AL1666" s="17" t="str">
        <x:f>IF(AND(AI1666&gt;=1,I1666&lt;=50),"Priority 1",IF(AND(AG1666&gt;=1000,I1666&lt;=60),"Priority 2",IF(I1666&lt;=30,"Priority 3","Nurture")))</x:f>
        <x:v>Nurture</x:v>
      </x:c>
    </x:row>
    <x:row r="1667">
      <x:c r="A1667" s="16" t="n">
        <x:v>5299</x:v>
      </x:c>
      <x:c r="B1667" s="16" t="n">
        <x:v>1970</x:v>
      </x:c>
      <x:c r="C1667" s="16" t="str">
        <x:v>PhD</x:v>
      </x:c>
      <x:c r="D1667" s="16" t="str">
        <x:v>Married</x:v>
      </x:c>
      <x:c r="E1667" s="16" t="n">
        <x:v>69084</x:v>
      </x:c>
      <x:c r="F1667" s="16" t="n">
        <x:v>1</x:v>
      </x:c>
      <x:c r="G1667" s="16" t="n">
        <x:v>0</x:v>
      </x:c>
      <x:c r="H1667" s="16" t="str">
        <x:v>19-11-2013</x:v>
      </x:c>
      <x:c r="I1667" s="16" t="n">
        <x:v>43</x:v>
      </x:c>
      <x:c r="J1667" s="16" t="n">
        <x:v>1181</x:v>
      </x:c>
      <x:c r="K1667" s="16" t="n">
        <x:v>107</x:v>
      </x:c>
      <x:c r="L1667" s="16" t="n">
        <x:v>199</x:v>
      </x:c>
      <x:c r="M1667" s="16" t="n">
        <x:v>39</x:v>
      </x:c>
      <x:c r="N1667" s="16" t="n">
        <x:v>30</x:v>
      </x:c>
      <x:c r="O1667" s="16" t="n">
        <x:v>30</x:v>
      </x:c>
      <x:c r="P1667" s="16" t="n">
        <x:v>2</x:v>
      </x:c>
      <x:c r="Q1667" s="16" t="n">
        <x:v>7</x:v>
      </x:c>
      <x:c r="R1667" s="16" t="n">
        <x:v>3</x:v>
      </x:c>
      <x:c r="S1667" s="16" t="n">
        <x:v>13</x:v>
      </x:c>
      <x:c r="T1667" s="16" t="n">
        <x:v>8</x:v>
      </x:c>
      <x:c r="U1667" s="16" t="n">
        <x:v>0</x:v>
      </x:c>
      <x:c r="V1667" s="16" t="n">
        <x:v>0</x:v>
      </x:c>
      <x:c r="W1667" s="16" t="n">
        <x:v>0</x:v>
      </x:c>
      <x:c r="X1667" s="16" t="n">
        <x:v>0</x:v>
      </x:c>
      <x:c r="Y1667" s="16" t="n">
        <x:v>0</x:v>
      </x:c>
      <x:c r="Z1667" s="16" t="n">
        <x:v>0</x:v>
      </x:c>
      <x:c r="AA1667" s="16" t="n">
        <x:v>3</x:v>
      </x:c>
      <x:c r="AB1667" s="16" t="n">
        <x:v>11</x:v>
      </x:c>
      <x:c r="AC1667" s="16" t="n">
        <x:v>0</x:v>
      </x:c>
      <x:c r="AD1667" s="21" t="n">
        <x:f>IF(E1667="",MEDIAN($E$2:$E$2237),E1667)</x:f>
        <x:v>69084</x:v>
      </x:c>
      <x:c r="AE1667" s="17" t="n">
        <x:f>2014-B1667</x:f>
        <x:v>44</x:v>
      </x:c>
      <x:c r="AF1667" s="17" t="n">
        <x:f>F1667+G1667</x:f>
        <x:v>1</x:v>
      </x:c>
      <x:c r="AG1667" s="21" t="n">
        <x:f>SUM(J1667:O1667)</x:f>
        <x:v>1586</x:v>
      </x:c>
      <x:c r="AH1667" s="17" t="n">
        <x:f>SUM(Q1667:S1667)</x:f>
        <x:v>23</x:v>
      </x:c>
      <x:c r="AI1667" s="17" t="n">
        <x:f>SUM(U1667:Y1667)</x:f>
        <x:v>0</x:v>
      </x:c>
      <x:c r="AJ1667" s="17" t="str">
        <x:f>IF(AE1667&lt;=34,"≤34",IF(AE1667&lt;=44,"35–44",IF(AE1667&lt;=54,"45–54",IF(AE1667&lt;=64,"55–64","65+"))))</x:f>
        <x:v>35–44</x:v>
      </x:c>
      <x:c r="AK1667" s="17" t="str">
        <x:f>IF(AG1667&gt;=1000,"High Value",IF(AG1667&gt;=300,"Mid Value","Low Value"))</x:f>
        <x:v>High Value</x:v>
      </x:c>
      <x:c r="AL1667" s="17" t="str">
        <x:f>IF(AND(AI1667&gt;=1,I1667&lt;=50),"Priority 1",IF(AND(AG1667&gt;=1000,I1667&lt;=60),"Priority 2",IF(I1667&lt;=30,"Priority 3","Nurture")))</x:f>
        <x:v>Priority 2</x:v>
      </x:c>
    </x:row>
    <x:row r="1668">
      <x:c r="A1668" s="16" t="n">
        <x:v>4127</x:v>
      </x:c>
      <x:c r="B1668" s="16" t="n">
        <x:v>1967</x:v>
      </x:c>
      <x:c r="C1668" s="16" t="str">
        <x:v>PhD</x:v>
      </x:c>
      <x:c r="D1668" s="16" t="str">
        <x:v>Married</x:v>
      </x:c>
      <x:c r="E1668" s="16" t="n">
        <x:v>77766</x:v>
      </x:c>
      <x:c r="F1668" s="16" t="n">
        <x:v>0</x:v>
      </x:c>
      <x:c r="G1668" s="16" t="n">
        <x:v>1</x:v>
      </x:c>
      <x:c r="H1668" s="16" t="str">
        <x:v>22-02-2013</x:v>
      </x:c>
      <x:c r="I1668" s="16" t="n">
        <x:v>97</x:v>
      </x:c>
      <x:c r="J1668" s="16" t="n">
        <x:v>1004</x:v>
      </x:c>
      <x:c r="K1668" s="16" t="n">
        <x:v>59</x:v>
      </x:c>
      <x:c r="L1668" s="16" t="n">
        <x:v>265</x:v>
      </x:c>
      <x:c r="M1668" s="16" t="n">
        <x:v>115</x:v>
      </x:c>
      <x:c r="N1668" s="16" t="n">
        <x:v>59</x:v>
      </x:c>
      <x:c r="O1668" s="16" t="n">
        <x:v>27</x:v>
      </x:c>
      <x:c r="P1668" s="16" t="n">
        <x:v>2</x:v>
      </x:c>
      <x:c r="Q1668" s="16" t="n">
        <x:v>11</x:v>
      </x:c>
      <x:c r="R1668" s="16" t="n">
        <x:v>10</x:v>
      </x:c>
      <x:c r="S1668" s="16" t="n">
        <x:v>11</x:v>
      </x:c>
      <x:c r="T1668" s="16" t="n">
        <x:v>6</x:v>
      </x:c>
      <x:c r="U1668" s="16" t="n">
        <x:v>1</x:v>
      </x:c>
      <x:c r="V1668" s="16" t="n">
        <x:v>0</x:v>
      </x:c>
      <x:c r="W1668" s="16" t="n">
        <x:v>0</x:v>
      </x:c>
      <x:c r="X1668" s="16" t="n">
        <x:v>0</x:v>
      </x:c>
      <x:c r="Y1668" s="16" t="n">
        <x:v>0</x:v>
      </x:c>
      <x:c r="Z1668" s="16" t="n">
        <x:v>0</x:v>
      </x:c>
      <x:c r="AA1668" s="16" t="n">
        <x:v>3</x:v>
      </x:c>
      <x:c r="AB1668" s="16" t="n">
        <x:v>11</x:v>
      </x:c>
      <x:c r="AC1668" s="16" t="n">
        <x:v>1</x:v>
      </x:c>
      <x:c r="AD1668" s="21" t="n">
        <x:f>IF(E1668="",MEDIAN($E$2:$E$2237),E1668)</x:f>
        <x:v>77766</x:v>
      </x:c>
      <x:c r="AE1668" s="17" t="n">
        <x:f>2014-B1668</x:f>
        <x:v>47</x:v>
      </x:c>
      <x:c r="AF1668" s="17" t="n">
        <x:f>F1668+G1668</x:f>
        <x:v>1</x:v>
      </x:c>
      <x:c r="AG1668" s="21" t="n">
        <x:f>SUM(J1668:O1668)</x:f>
        <x:v>1529</x:v>
      </x:c>
      <x:c r="AH1668" s="17" t="n">
        <x:f>SUM(Q1668:S1668)</x:f>
        <x:v>32</x:v>
      </x:c>
      <x:c r="AI1668" s="17" t="n">
        <x:f>SUM(U1668:Y1668)</x:f>
        <x:v>1</x:v>
      </x:c>
      <x:c r="AJ1668" s="17" t="str">
        <x:f>IF(AE1668&lt;=34,"≤34",IF(AE1668&lt;=44,"35–44",IF(AE1668&lt;=54,"45–54",IF(AE1668&lt;=64,"55–64","65+"))))</x:f>
        <x:v>45–54</x:v>
      </x:c>
      <x:c r="AK1668" s="17" t="str">
        <x:f>IF(AG1668&gt;=1000,"High Value",IF(AG1668&gt;=300,"Mid Value","Low Value"))</x:f>
        <x:v>High Value</x:v>
      </x:c>
      <x:c r="AL1668" s="17" t="str">
        <x:f>IF(AND(AI1668&gt;=1,I1668&lt;=50),"Priority 1",IF(AND(AG1668&gt;=1000,I1668&lt;=60),"Priority 2",IF(I1668&lt;=30,"Priority 3","Nurture")))</x:f>
        <x:v>Nurture</x:v>
      </x:c>
    </x:row>
    <x:row r="1669">
      <x:c r="A1669" s="16" t="n">
        <x:v>8143</x:v>
      </x:c>
      <x:c r="B1669" s="16" t="n">
        <x:v>1985</x:v>
      </x:c>
      <x:c r="C1669" s="16" t="str">
        <x:v>PhD</x:v>
      </x:c>
      <x:c r="D1669" s="16" t="str">
        <x:v>Single</x:v>
      </x:c>
      <x:c r="E1669" s="16" t="n">
        <x:v>37929</x:v>
      </x:c>
      <x:c r="F1669" s="16" t="n">
        <x:v>0</x:v>
      </x:c>
      <x:c r="G1669" s="16" t="n">
        <x:v>0</x:v>
      </x:c>
      <x:c r="H1669" s="16" t="str">
        <x:v>30-07-2013</x:v>
      </x:c>
      <x:c r="I1669" s="16" t="n">
        <x:v>49</x:v>
      </x:c>
      <x:c r="J1669" s="16" t="n">
        <x:v>202</x:v>
      </x:c>
      <x:c r="K1669" s="16" t="n">
        <x:v>2</x:v>
      </x:c>
      <x:c r="L1669" s="16" t="n">
        <x:v>46</x:v>
      </x:c>
      <x:c r="M1669" s="16" t="n">
        <x:v>3</x:v>
      </x:c>
      <x:c r="N1669" s="16" t="n">
        <x:v>2</x:v>
      </x:c>
      <x:c r="O1669" s="16" t="n">
        <x:v>10</x:v>
      </x:c>
      <x:c r="P1669" s="16" t="n">
        <x:v>2</x:v>
      </x:c>
      <x:c r="Q1669" s="16" t="n">
        <x:v>4</x:v>
      </x:c>
      <x:c r="R1669" s="16" t="n">
        <x:v>2</x:v>
      </x:c>
      <x:c r="S1669" s="16" t="n">
        <x:v>5</x:v>
      </x:c>
      <x:c r="T1669" s="16" t="n">
        <x:v>7</x:v>
      </x:c>
      <x:c r="U1669" s="16" t="n">
        <x:v>0</x:v>
      </x:c>
      <x:c r="V1669" s="16" t="n">
        <x:v>1</x:v>
      </x:c>
      <x:c r="W1669" s="16" t="n">
        <x:v>0</x:v>
      </x:c>
      <x:c r="X1669" s="16" t="n">
        <x:v>1</x:v>
      </x:c>
      <x:c r="Y1669" s="16" t="n">
        <x:v>0</x:v>
      </x:c>
      <x:c r="Z1669" s="16" t="n">
        <x:v>0</x:v>
      </x:c>
      <x:c r="AA1669" s="16" t="n">
        <x:v>3</x:v>
      </x:c>
      <x:c r="AB1669" s="16" t="n">
        <x:v>11</x:v>
      </x:c>
      <x:c r="AC1669" s="16" t="n">
        <x:v>1</x:v>
      </x:c>
      <x:c r="AD1669" s="21" t="n">
        <x:f>IF(E1669="",MEDIAN($E$2:$E$2237),E1669)</x:f>
        <x:v>37929</x:v>
      </x:c>
      <x:c r="AE1669" s="17" t="n">
        <x:f>2014-B1669</x:f>
        <x:v>29</x:v>
      </x:c>
      <x:c r="AF1669" s="17" t="n">
        <x:f>F1669+G1669</x:f>
        <x:v>0</x:v>
      </x:c>
      <x:c r="AG1669" s="21" t="n">
        <x:f>SUM(J1669:O1669)</x:f>
        <x:v>265</x:v>
      </x:c>
      <x:c r="AH1669" s="17" t="n">
        <x:f>SUM(Q1669:S1669)</x:f>
        <x:v>11</x:v>
      </x:c>
      <x:c r="AI1669" s="17" t="n">
        <x:f>SUM(U1669:Y1669)</x:f>
        <x:v>2</x:v>
      </x:c>
      <x:c r="AJ1669" s="17" t="str">
        <x:f>IF(AE1669&lt;=34,"≤34",IF(AE1669&lt;=44,"35–44",IF(AE1669&lt;=54,"45–54",IF(AE1669&lt;=64,"55–64","65+"))))</x:f>
        <x:v>≤34</x:v>
      </x:c>
      <x:c r="AK1669" s="17" t="str">
        <x:f>IF(AG1669&gt;=1000,"High Value",IF(AG1669&gt;=300,"Mid Value","Low Value"))</x:f>
        <x:v>Low Value</x:v>
      </x:c>
      <x:c r="AL1669" s="17" t="str">
        <x:f>IF(AND(AI1669&gt;=1,I1669&lt;=50),"Priority 1",IF(AND(AG1669&gt;=1000,I1669&lt;=60),"Priority 2",IF(I1669&lt;=30,"Priority 3","Nurture")))</x:f>
        <x:v>Priority 1</x:v>
      </x:c>
    </x:row>
    <x:row r="1670">
      <x:c r="A1670" s="16" t="n">
        <x:v>1964</x:v>
      </x:c>
      <x:c r="B1670" s="16" t="n">
        <x:v>1951</x:v>
      </x:c>
      <x:c r="C1670" s="16" t="str">
        <x:v>Graduation</x:v>
      </x:c>
      <x:c r="D1670" s="16" t="str">
        <x:v>Together</x:v>
      </x:c>
      <x:c r="E1670" s="16" t="n">
        <x:v>86610</x:v>
      </x:c>
      <x:c r="F1670" s="16" t="n">
        <x:v>0</x:v>
      </x:c>
      <x:c r="G1670" s="16" t="n">
        <x:v>0</x:v>
      </x:c>
      <x:c r="H1670" s="16" t="str">
        <x:v>05-09-2013</x:v>
      </x:c>
      <x:c r="I1670" s="16" t="n">
        <x:v>66</x:v>
      </x:c>
      <x:c r="J1670" s="16" t="n">
        <x:v>446</x:v>
      </x:c>
      <x:c r="K1670" s="16" t="n">
        <x:v>107</x:v>
      </x:c>
      <x:c r="L1670" s="16" t="n">
        <x:v>768</x:v>
      </x:c>
      <x:c r="M1670" s="16" t="n">
        <x:v>33</x:v>
      </x:c>
      <x:c r="N1670" s="16" t="n">
        <x:v>196</x:v>
      </x:c>
      <x:c r="O1670" s="16" t="n">
        <x:v>53</x:v>
      </x:c>
      <x:c r="P1670" s="16" t="n">
        <x:v>1</x:v>
      </x:c>
      <x:c r="Q1670" s="16" t="n">
        <x:v>5</x:v>
      </x:c>
      <x:c r="R1670" s="16" t="n">
        <x:v>6</x:v>
      </x:c>
      <x:c r="S1670" s="16" t="n">
        <x:v>6</x:v>
      </x:c>
      <x:c r="T1670" s="16" t="n">
        <x:v>2</x:v>
      </x:c>
      <x:c r="U1670" s="16" t="n">
        <x:v>0</x:v>
      </x:c>
      <x:c r="V1670" s="16" t="n">
        <x:v>0</x:v>
      </x:c>
      <x:c r="W1670" s="16" t="n">
        <x:v>0</x:v>
      </x:c>
      <x:c r="X1670" s="16" t="n">
        <x:v>0</x:v>
      </x:c>
      <x:c r="Y1670" s="16" t="n">
        <x:v>0</x:v>
      </x:c>
      <x:c r="Z1670" s="16" t="n">
        <x:v>0</x:v>
      </x:c>
      <x:c r="AA1670" s="16" t="n">
        <x:v>3</x:v>
      </x:c>
      <x:c r="AB1670" s="16" t="n">
        <x:v>11</x:v>
      </x:c>
      <x:c r="AC1670" s="16" t="n">
        <x:v>0</x:v>
      </x:c>
      <x:c r="AD1670" s="21" t="n">
        <x:f>IF(E1670="",MEDIAN($E$2:$E$2237),E1670)</x:f>
        <x:v>86610</x:v>
      </x:c>
      <x:c r="AE1670" s="17" t="n">
        <x:f>2014-B1670</x:f>
        <x:v>63</x:v>
      </x:c>
      <x:c r="AF1670" s="17" t="n">
        <x:f>F1670+G1670</x:f>
        <x:v>0</x:v>
      </x:c>
      <x:c r="AG1670" s="21" t="n">
        <x:f>SUM(J1670:O1670)</x:f>
        <x:v>1603</x:v>
      </x:c>
      <x:c r="AH1670" s="17" t="n">
        <x:f>SUM(Q1670:S1670)</x:f>
        <x:v>17</x:v>
      </x:c>
      <x:c r="AI1670" s="17" t="n">
        <x:f>SUM(U1670:Y1670)</x:f>
        <x:v>0</x:v>
      </x:c>
      <x:c r="AJ1670" s="17" t="str">
        <x:f>IF(AE1670&lt;=34,"≤34",IF(AE1670&lt;=44,"35–44",IF(AE1670&lt;=54,"45–54",IF(AE1670&lt;=64,"55–64","65+"))))</x:f>
        <x:v>55–64</x:v>
      </x:c>
      <x:c r="AK1670" s="17" t="str">
        <x:f>IF(AG1670&gt;=1000,"High Value",IF(AG1670&gt;=300,"Mid Value","Low Value"))</x:f>
        <x:v>High Value</x:v>
      </x:c>
      <x:c r="AL1670" s="17" t="str">
        <x:f>IF(AND(AI1670&gt;=1,I1670&lt;=50),"Priority 1",IF(AND(AG1670&gt;=1000,I1670&lt;=60),"Priority 2",IF(I1670&lt;=30,"Priority 3","Nurture")))</x:f>
        <x:v>Nurture</x:v>
      </x:c>
    </x:row>
    <x:row r="1671">
      <x:c r="A1671" s="16" t="n">
        <x:v>3690</x:v>
      </x:c>
      <x:c r="B1671" s="16" t="n">
        <x:v>1986</x:v>
      </x:c>
      <x:c r="C1671" s="16" t="str">
        <x:v>Master</x:v>
      </x:c>
      <x:c r="D1671" s="16" t="str">
        <x:v>Married</x:v>
      </x:c>
      <x:c r="E1671" s="16" t="n">
        <x:v>80141</x:v>
      </x:c>
      <x:c r="F1671" s="16" t="n">
        <x:v>0</x:v>
      </x:c>
      <x:c r="G1671" s="16" t="n">
        <x:v>0</x:v>
      </x:c>
      <x:c r="H1671" s="16" t="str">
        <x:v>11-01-2013</x:v>
      </x:c>
      <x:c r="I1671" s="16" t="n">
        <x:v>20</x:v>
      </x:c>
      <x:c r="J1671" s="16" t="n">
        <x:v>1184</x:v>
      </x:c>
      <x:c r="K1671" s="16" t="n">
        <x:v>102</x:v>
      </x:c>
      <x:c r="L1671" s="16" t="n">
        <x:v>673</x:v>
      </x:c>
      <x:c r="M1671" s="16" t="n">
        <x:v>52</x:v>
      </x:c>
      <x:c r="N1671" s="16" t="n">
        <x:v>40</x:v>
      </x:c>
      <x:c r="O1671" s="16" t="n">
        <x:v>40</x:v>
      </x:c>
      <x:c r="P1671" s="16" t="n">
        <x:v>1</x:v>
      </x:c>
      <x:c r="Q1671" s="16" t="n">
        <x:v>7</x:v>
      </x:c>
      <x:c r="R1671" s="16" t="n">
        <x:v>4</x:v>
      </x:c>
      <x:c r="S1671" s="16" t="n">
        <x:v>10</x:v>
      </x:c>
      <x:c r="T1671" s="16" t="n">
        <x:v>6</x:v>
      </x:c>
      <x:c r="U1671" s="16" t="n">
        <x:v>0</x:v>
      </x:c>
      <x:c r="V1671" s="16" t="n">
        <x:v>0</x:v>
      </x:c>
      <x:c r="W1671" s="16" t="n">
        <x:v>1</x:v>
      </x:c>
      <x:c r="X1671" s="16" t="n">
        <x:v>0</x:v>
      </x:c>
      <x:c r="Y1671" s="16" t="n">
        <x:v>0</x:v>
      </x:c>
      <x:c r="Z1671" s="16" t="n">
        <x:v>0</x:v>
      </x:c>
      <x:c r="AA1671" s="16" t="n">
        <x:v>3</x:v>
      </x:c>
      <x:c r="AB1671" s="16" t="n">
        <x:v>11</x:v>
      </x:c>
      <x:c r="AC1671" s="16" t="n">
        <x:v>1</x:v>
      </x:c>
      <x:c r="AD1671" s="21" t="n">
        <x:f>IF(E1671="",MEDIAN($E$2:$E$2237),E1671)</x:f>
        <x:v>80141</x:v>
      </x:c>
      <x:c r="AE1671" s="17" t="n">
        <x:f>2014-B1671</x:f>
        <x:v>28</x:v>
      </x:c>
      <x:c r="AF1671" s="17" t="n">
        <x:f>F1671+G1671</x:f>
        <x:v>0</x:v>
      </x:c>
      <x:c r="AG1671" s="21" t="n">
        <x:f>SUM(J1671:O1671)</x:f>
        <x:v>2091</x:v>
      </x:c>
      <x:c r="AH1671" s="17" t="n">
        <x:f>SUM(Q1671:S1671)</x:f>
        <x:v>21</x:v>
      </x:c>
      <x:c r="AI1671" s="17" t="n">
        <x:f>SUM(U1671:Y1671)</x:f>
        <x:v>1</x:v>
      </x:c>
      <x:c r="AJ1671" s="17" t="str">
        <x:f>IF(AE1671&lt;=34,"≤34",IF(AE1671&lt;=44,"35–44",IF(AE1671&lt;=54,"45–54",IF(AE1671&lt;=64,"55–64","65+"))))</x:f>
        <x:v>≤34</x:v>
      </x:c>
      <x:c r="AK1671" s="17" t="str">
        <x:f>IF(AG1671&gt;=1000,"High Value",IF(AG1671&gt;=300,"Mid Value","Low Value"))</x:f>
        <x:v>High Value</x:v>
      </x:c>
      <x:c r="AL1671" s="17" t="str">
        <x:f>IF(AND(AI1671&gt;=1,I1671&lt;=50),"Priority 1",IF(AND(AG1671&gt;=1000,I1671&lt;=60),"Priority 2",IF(I1671&lt;=30,"Priority 3","Nurture")))</x:f>
        <x:v>Priority 1</x:v>
      </x:c>
    </x:row>
    <x:row r="1672">
      <x:c r="A1672" s="16" t="n">
        <x:v>3433</x:v>
      </x:c>
      <x:c r="B1672" s="16" t="n">
        <x:v>1955</x:v>
      </x:c>
      <x:c r="C1672" s="16" t="str">
        <x:v>2n Cycle</x:v>
      </x:c>
      <x:c r="D1672" s="16" t="str">
        <x:v>Married</x:v>
      </x:c>
      <x:c r="E1672" s="16" t="n">
        <x:v>72635</x:v>
      </x:c>
      <x:c r="F1672" s="16" t="n">
        <x:v>0</x:v>
      </x:c>
      <x:c r="G1672" s="16" t="n">
        <x:v>0</x:v>
      </x:c>
      <x:c r="H1672" s="16" t="str">
        <x:v>03-06-2013</x:v>
      </x:c>
      <x:c r="I1672" s="16" t="n">
        <x:v>54</x:v>
      </x:c>
      <x:c r="J1672" s="16" t="n">
        <x:v>390</x:v>
      </x:c>
      <x:c r="K1672" s="16" t="n">
        <x:v>22</x:v>
      </x:c>
      <x:c r="L1672" s="16" t="n">
        <x:v>323</x:v>
      </x:c>
      <x:c r="M1672" s="16" t="n">
        <x:v>104</x:v>
      </x:c>
      <x:c r="N1672" s="16" t="n">
        <x:v>35</x:v>
      </x:c>
      <x:c r="O1672" s="16" t="n">
        <x:v>107</x:v>
      </x:c>
      <x:c r="P1672" s="16" t="n">
        <x:v>1</x:v>
      </x:c>
      <x:c r="Q1672" s="16" t="n">
        <x:v>6</x:v>
      </x:c>
      <x:c r="R1672" s="16" t="n">
        <x:v>8</x:v>
      </x:c>
      <x:c r="S1672" s="16" t="n">
        <x:v>6</x:v>
      </x:c>
      <x:c r="T1672" s="16" t="n">
        <x:v>3</x:v>
      </x:c>
      <x:c r="U1672" s="16" t="n">
        <x:v>0</x:v>
      </x:c>
      <x:c r="V1672" s="16" t="n">
        <x:v>0</x:v>
      </x:c>
      <x:c r="W1672" s="16" t="n">
        <x:v>0</x:v>
      </x:c>
      <x:c r="X1672" s="16" t="n">
        <x:v>1</x:v>
      </x:c>
      <x:c r="Y1672" s="16" t="n">
        <x:v>0</x:v>
      </x:c>
      <x:c r="Z1672" s="16" t="n">
        <x:v>0</x:v>
      </x:c>
      <x:c r="AA1672" s="16" t="n">
        <x:v>3</x:v>
      </x:c>
      <x:c r="AB1672" s="16" t="n">
        <x:v>11</x:v>
      </x:c>
      <x:c r="AC1672" s="16" t="n">
        <x:v>0</x:v>
      </x:c>
      <x:c r="AD1672" s="21" t="n">
        <x:f>IF(E1672="",MEDIAN($E$2:$E$2237),E1672)</x:f>
        <x:v>72635</x:v>
      </x:c>
      <x:c r="AE1672" s="17" t="n">
        <x:f>2014-B1672</x:f>
        <x:v>59</x:v>
      </x:c>
      <x:c r="AF1672" s="17" t="n">
        <x:f>F1672+G1672</x:f>
        <x:v>0</x:v>
      </x:c>
      <x:c r="AG1672" s="21" t="n">
        <x:f>SUM(J1672:O1672)</x:f>
        <x:v>981</x:v>
      </x:c>
      <x:c r="AH1672" s="17" t="n">
        <x:f>SUM(Q1672:S1672)</x:f>
        <x:v>20</x:v>
      </x:c>
      <x:c r="AI1672" s="17" t="n">
        <x:f>SUM(U1672:Y1672)</x:f>
        <x:v>1</x:v>
      </x:c>
      <x:c r="AJ1672" s="17" t="str">
        <x:f>IF(AE1672&lt;=34,"≤34",IF(AE1672&lt;=44,"35–44",IF(AE1672&lt;=54,"45–54",IF(AE1672&lt;=64,"55–64","65+"))))</x:f>
        <x:v>55–64</x:v>
      </x:c>
      <x:c r="AK1672" s="17" t="str">
        <x:f>IF(AG1672&gt;=1000,"High Value",IF(AG1672&gt;=300,"Mid Value","Low Value"))</x:f>
        <x:v>Mid Value</x:v>
      </x:c>
      <x:c r="AL1672" s="17" t="str">
        <x:f>IF(AND(AI1672&gt;=1,I1672&lt;=50),"Priority 1",IF(AND(AG1672&gt;=1000,I1672&lt;=60),"Priority 2",IF(I1672&lt;=30,"Priority 3","Nurture")))</x:f>
        <x:v>Nurture</x:v>
      </x:c>
    </x:row>
    <x:row r="1673">
      <x:c r="A1673" s="16" t="n">
        <x:v>3389</x:v>
      </x:c>
      <x:c r="B1673" s="16" t="n">
        <x:v>1970</x:v>
      </x:c>
      <x:c r="C1673" s="16" t="str">
        <x:v>Graduation</x:v>
      </x:c>
      <x:c r="D1673" s="16" t="str">
        <x:v>Married</x:v>
      </x:c>
      <x:c r="E1673" s="16" t="n">
        <x:v>69016</x:v>
      </x:c>
      <x:c r="F1673" s="16" t="n">
        <x:v>0</x:v>
      </x:c>
      <x:c r="G1673" s="16" t="n">
        <x:v>1</x:v>
      </x:c>
      <x:c r="H1673" s="16" t="str">
        <x:v>22-11-2012</x:v>
      </x:c>
      <x:c r="I1673" s="16" t="n">
        <x:v>61</x:v>
      </x:c>
      <x:c r="J1673" s="16" t="n">
        <x:v>726</x:v>
      </x:c>
      <x:c r="K1673" s="16" t="n">
        <x:v>53</x:v>
      </x:c>
      <x:c r="L1673" s="16" t="n">
        <x:v>363</x:v>
      </x:c>
      <x:c r="M1673" s="16" t="n">
        <x:v>123</x:v>
      </x:c>
      <x:c r="N1673" s="16" t="n">
        <x:v>107</x:v>
      </x:c>
      <x:c r="O1673" s="16" t="n">
        <x:v>161</x:v>
      </x:c>
      <x:c r="P1673" s="16" t="n">
        <x:v>4</x:v>
      </x:c>
      <x:c r="Q1673" s="16" t="n">
        <x:v>8</x:v>
      </x:c>
      <x:c r="R1673" s="16" t="n">
        <x:v>9</x:v>
      </x:c>
      <x:c r="S1673" s="16" t="n">
        <x:v>13</x:v>
      </x:c>
      <x:c r="T1673" s="16" t="n">
        <x:v>5</x:v>
      </x:c>
      <x:c r="U1673" s="16" t="n">
        <x:v>0</x:v>
      </x:c>
      <x:c r="V1673" s="16" t="n">
        <x:v>0</x:v>
      </x:c>
      <x:c r="W1673" s="16" t="n">
        <x:v>0</x:v>
      </x:c>
      <x:c r="X1673" s="16" t="n">
        <x:v>0</x:v>
      </x:c>
      <x:c r="Y1673" s="16" t="n">
        <x:v>0</x:v>
      </x:c>
      <x:c r="Z1673" s="16" t="n">
        <x:v>0</x:v>
      </x:c>
      <x:c r="AA1673" s="16" t="n">
        <x:v>3</x:v>
      </x:c>
      <x:c r="AB1673" s="16" t="n">
        <x:v>11</x:v>
      </x:c>
      <x:c r="AC1673" s="16" t="n">
        <x:v>0</x:v>
      </x:c>
      <x:c r="AD1673" s="21" t="n">
        <x:f>IF(E1673="",MEDIAN($E$2:$E$2237),E1673)</x:f>
        <x:v>69016</x:v>
      </x:c>
      <x:c r="AE1673" s="17" t="n">
        <x:f>2014-B1673</x:f>
        <x:v>44</x:v>
      </x:c>
      <x:c r="AF1673" s="17" t="n">
        <x:f>F1673+G1673</x:f>
        <x:v>1</x:v>
      </x:c>
      <x:c r="AG1673" s="21" t="n">
        <x:f>SUM(J1673:O1673)</x:f>
        <x:v>1533</x:v>
      </x:c>
      <x:c r="AH1673" s="17" t="n">
        <x:f>SUM(Q1673:S1673)</x:f>
        <x:v>30</x:v>
      </x:c>
      <x:c r="AI1673" s="17" t="n">
        <x:f>SUM(U1673:Y1673)</x:f>
        <x:v>0</x:v>
      </x:c>
      <x:c r="AJ1673" s="17" t="str">
        <x:f>IF(AE1673&lt;=34,"≤34",IF(AE1673&lt;=44,"35–44",IF(AE1673&lt;=54,"45–54",IF(AE1673&lt;=64,"55–64","65+"))))</x:f>
        <x:v>35–44</x:v>
      </x:c>
      <x:c r="AK1673" s="17" t="str">
        <x:f>IF(AG1673&gt;=1000,"High Value",IF(AG1673&gt;=300,"Mid Value","Low Value"))</x:f>
        <x:v>High Value</x:v>
      </x:c>
      <x:c r="AL1673" s="17" t="str">
        <x:f>IF(AND(AI1673&gt;=1,I1673&lt;=50),"Priority 1",IF(AND(AG1673&gt;=1000,I1673&lt;=60),"Priority 2",IF(I1673&lt;=30,"Priority 3","Nurture")))</x:f>
        <x:v>Nurture</x:v>
      </x:c>
    </x:row>
    <x:row r="1674">
      <x:c r="A1674" s="16" t="n">
        <x:v>4712</x:v>
      </x:c>
      <x:c r="B1674" s="16" t="n">
        <x:v>1991</x:v>
      </x:c>
      <x:c r="C1674" s="16" t="str">
        <x:v>2n Cycle</x:v>
      </x:c>
      <x:c r="D1674" s="16" t="str">
        <x:v>Together</x:v>
      </x:c>
      <x:c r="E1674" s="16" t="n">
        <x:v>20193</x:v>
      </x:c>
      <x:c r="F1674" s="16" t="n">
        <x:v>0</x:v>
      </x:c>
      <x:c r="G1674" s="16" t="n">
        <x:v>0</x:v>
      </x:c>
      <x:c r="H1674" s="16" t="str">
        <x:v>28-11-2012</x:v>
      </x:c>
      <x:c r="I1674" s="16" t="n">
        <x:v>18</x:v>
      </x:c>
      <x:c r="J1674" s="16" t="n">
        <x:v>8</x:v>
      </x:c>
      <x:c r="K1674" s="16" t="n">
        <x:v>8</x:v>
      </x:c>
      <x:c r="L1674" s="16" t="n">
        <x:v>22</x:v>
      </x:c>
      <x:c r="M1674" s="16" t="n">
        <x:v>24</x:v>
      </x:c>
      <x:c r="N1674" s="16" t="n">
        <x:v>11</x:v>
      </x:c>
      <x:c r="O1674" s="16" t="n">
        <x:v>9</x:v>
      </x:c>
      <x:c r="P1674" s="16" t="n">
        <x:v>1</x:v>
      </x:c>
      <x:c r="Q1674" s="16" t="n">
        <x:v>1</x:v>
      </x:c>
      <x:c r="R1674" s="16" t="n">
        <x:v>1</x:v>
      </x:c>
      <x:c r="S1674" s="16" t="n">
        <x:v>4</x:v>
      </x:c>
      <x:c r="T1674" s="16" t="n">
        <x:v>4</x:v>
      </x:c>
      <x:c r="U1674" s="16" t="n">
        <x:v>0</x:v>
      </x:c>
      <x:c r="V1674" s="16" t="n">
        <x:v>0</x:v>
      </x:c>
      <x:c r="W1674" s="16" t="n">
        <x:v>0</x:v>
      </x:c>
      <x:c r="X1674" s="16" t="n">
        <x:v>0</x:v>
      </x:c>
      <x:c r="Y1674" s="16" t="n">
        <x:v>0</x:v>
      </x:c>
      <x:c r="Z1674" s="16" t="n">
        <x:v>0</x:v>
      </x:c>
      <x:c r="AA1674" s="16" t="n">
        <x:v>3</x:v>
      </x:c>
      <x:c r="AB1674" s="16" t="n">
        <x:v>11</x:v>
      </x:c>
      <x:c r="AC1674" s="16" t="n">
        <x:v>0</x:v>
      </x:c>
      <x:c r="AD1674" s="21" t="n">
        <x:f>IF(E1674="",MEDIAN($E$2:$E$2237),E1674)</x:f>
        <x:v>20193</x:v>
      </x:c>
      <x:c r="AE1674" s="17" t="n">
        <x:f>2014-B1674</x:f>
        <x:v>23</x:v>
      </x:c>
      <x:c r="AF1674" s="17" t="n">
        <x:f>F1674+G1674</x:f>
        <x:v>0</x:v>
      </x:c>
      <x:c r="AG1674" s="21" t="n">
        <x:f>SUM(J1674:O1674)</x:f>
        <x:v>82</x:v>
      </x:c>
      <x:c r="AH1674" s="17" t="n">
        <x:f>SUM(Q1674:S1674)</x:f>
        <x:v>6</x:v>
      </x:c>
      <x:c r="AI1674" s="17" t="n">
        <x:f>SUM(U1674:Y1674)</x:f>
        <x:v>0</x:v>
      </x:c>
      <x:c r="AJ1674" s="17" t="str">
        <x:f>IF(AE1674&lt;=34,"≤34",IF(AE1674&lt;=44,"35–44",IF(AE1674&lt;=54,"45–54",IF(AE1674&lt;=64,"55–64","65+"))))</x:f>
        <x:v>≤34</x:v>
      </x:c>
      <x:c r="AK1674" s="17" t="str">
        <x:f>IF(AG1674&gt;=1000,"High Value",IF(AG1674&gt;=300,"Mid Value","Low Value"))</x:f>
        <x:v>Low Value</x:v>
      </x:c>
      <x:c r="AL1674" s="17" t="str">
        <x:f>IF(AND(AI1674&gt;=1,I1674&lt;=50),"Priority 1",IF(AND(AG1674&gt;=1000,I1674&lt;=60),"Priority 2",IF(I1674&lt;=30,"Priority 3","Nurture")))</x:f>
        <x:v>Priority 3</x:v>
      </x:c>
    </x:row>
    <x:row r="1675">
      <x:c r="A1675" s="16" t="n">
        <x:v>1170</x:v>
      </x:c>
      <x:c r="B1675" s="16" t="n">
        <x:v>1975</x:v>
      </x:c>
      <x:c r="C1675" s="16" t="str">
        <x:v>Graduation</x:v>
      </x:c>
      <x:c r="D1675" s="16" t="str">
        <x:v>Married</x:v>
      </x:c>
      <x:c r="E1675" s="16" t="n">
        <x:v>27573</x:v>
      </x:c>
      <x:c r="F1675" s="16" t="n">
        <x:v>1</x:v>
      </x:c>
      <x:c r="G1675" s="16" t="n">
        <x:v>0</x:v>
      </x:c>
      <x:c r="H1675" s="16" t="str">
        <x:v>25-03-2013</x:v>
      </x:c>
      <x:c r="I1675" s="16" t="n">
        <x:v>45</x:v>
      </x:c>
      <x:c r="J1675" s="16" t="n">
        <x:v>50</x:v>
      </x:c>
      <x:c r="K1675" s="16" t="n">
        <x:v>15</x:v>
      </x:c>
      <x:c r="L1675" s="16" t="n">
        <x:v>110</x:v>
      </x:c>
      <x:c r="M1675" s="16" t="n">
        <x:v>39</x:v>
      </x:c>
      <x:c r="N1675" s="16" t="n">
        <x:v>15</x:v>
      </x:c>
      <x:c r="O1675" s="16" t="n">
        <x:v>15</x:v>
      </x:c>
      <x:c r="P1675" s="16" t="n">
        <x:v>4</x:v>
      </x:c>
      <x:c r="Q1675" s="16" t="n">
        <x:v>5</x:v>
      </x:c>
      <x:c r="R1675" s="16" t="n">
        <x:v>1</x:v>
      </x:c>
      <x:c r="S1675" s="16" t="n">
        <x:v>4</x:v>
      </x:c>
      <x:c r="T1675" s="16" t="n">
        <x:v>8</x:v>
      </x:c>
      <x:c r="U1675" s="16" t="n">
        <x:v>0</x:v>
      </x:c>
      <x:c r="V1675" s="16" t="n">
        <x:v>0</x:v>
      </x:c>
      <x:c r="W1675" s="16" t="n">
        <x:v>0</x:v>
      </x:c>
      <x:c r="X1675" s="16" t="n">
        <x:v>0</x:v>
      </x:c>
      <x:c r="Y1675" s="16" t="n">
        <x:v>0</x:v>
      </x:c>
      <x:c r="Z1675" s="16" t="n">
        <x:v>0</x:v>
      </x:c>
      <x:c r="AA1675" s="16" t="n">
        <x:v>3</x:v>
      </x:c>
      <x:c r="AB1675" s="16" t="n">
        <x:v>11</x:v>
      </x:c>
      <x:c r="AC1675" s="16" t="n">
        <x:v>0</x:v>
      </x:c>
      <x:c r="AD1675" s="21" t="n">
        <x:f>IF(E1675="",MEDIAN($E$2:$E$2237),E1675)</x:f>
        <x:v>27573</x:v>
      </x:c>
      <x:c r="AE1675" s="17" t="n">
        <x:f>2014-B1675</x:f>
        <x:v>39</x:v>
      </x:c>
      <x:c r="AF1675" s="17" t="n">
        <x:f>F1675+G1675</x:f>
        <x:v>1</x:v>
      </x:c>
      <x:c r="AG1675" s="21" t="n">
        <x:f>SUM(J1675:O1675)</x:f>
        <x:v>244</x:v>
      </x:c>
      <x:c r="AH1675" s="17" t="n">
        <x:f>SUM(Q1675:S1675)</x:f>
        <x:v>10</x:v>
      </x:c>
      <x:c r="AI1675" s="17" t="n">
        <x:f>SUM(U1675:Y1675)</x:f>
        <x:v>0</x:v>
      </x:c>
      <x:c r="AJ1675" s="17" t="str">
        <x:f>IF(AE1675&lt;=34,"≤34",IF(AE1675&lt;=44,"35–44",IF(AE1675&lt;=54,"45–54",IF(AE1675&lt;=64,"55–64","65+"))))</x:f>
        <x:v>35–44</x:v>
      </x:c>
      <x:c r="AK1675" s="17" t="str">
        <x:f>IF(AG1675&gt;=1000,"High Value",IF(AG1675&gt;=300,"Mid Value","Low Value"))</x:f>
        <x:v>Low Value</x:v>
      </x:c>
      <x:c r="AL1675" s="17" t="str">
        <x:f>IF(AND(AI1675&gt;=1,I1675&lt;=50),"Priority 1",IF(AND(AG1675&gt;=1000,I1675&lt;=60),"Priority 2",IF(I1675&lt;=30,"Priority 3","Nurture")))</x:f>
        <x:v>Nurture</x:v>
      </x:c>
    </x:row>
    <x:row r="1676">
      <x:c r="A1676" s="16" t="n">
        <x:v>6347</x:v>
      </x:c>
      <x:c r="B1676" s="16" t="n">
        <x:v>1979</x:v>
      </x:c>
      <x:c r="C1676" s="16" t="str">
        <x:v>Basic</x:v>
      </x:c>
      <x:c r="D1676" s="16" t="str">
        <x:v>Single</x:v>
      </x:c>
      <x:c r="E1676" s="16" t="n">
        <x:v>15862</x:v>
      </x:c>
      <x:c r="F1676" s="16" t="n">
        <x:v>1</x:v>
      </x:c>
      <x:c r="G1676" s="16" t="n">
        <x:v>0</x:v>
      </x:c>
      <x:c r="H1676" s="16" t="str">
        <x:v>27-06-2013</x:v>
      </x:c>
      <x:c r="I1676" s="16" t="n">
        <x:v>26</x:v>
      </x:c>
      <x:c r="J1676" s="16" t="n">
        <x:v>1</x:v>
      </x:c>
      <x:c r="K1676" s="16" t="n">
        <x:v>1</x:v>
      </x:c>
      <x:c r="L1676" s="16" t="n">
        <x:v>4</x:v>
      </x:c>
      <x:c r="M1676" s="16" t="n">
        <x:v>11</x:v>
      </x:c>
      <x:c r="N1676" s="16" t="n">
        <x:v>9</x:v>
      </x:c>
      <x:c r="O1676" s="16" t="n">
        <x:v>10</x:v>
      </x:c>
      <x:c r="P1676" s="16" t="n">
        <x:v>1</x:v>
      </x:c>
      <x:c r="Q1676" s="16" t="n">
        <x:v>1</x:v>
      </x:c>
      <x:c r="R1676" s="16" t="n">
        <x:v>0</x:v>
      </x:c>
      <x:c r="S1676" s="16" t="n">
        <x:v>3</x:v>
      </x:c>
      <x:c r="T1676" s="16" t="n">
        <x:v>8</x:v>
      </x:c>
      <x:c r="U1676" s="16" t="n">
        <x:v>0</x:v>
      </x:c>
      <x:c r="V1676" s="16" t="n">
        <x:v>0</x:v>
      </x:c>
      <x:c r="W1676" s="16" t="n">
        <x:v>0</x:v>
      </x:c>
      <x:c r="X1676" s="16" t="n">
        <x:v>0</x:v>
      </x:c>
      <x:c r="Y1676" s="16" t="n">
        <x:v>0</x:v>
      </x:c>
      <x:c r="Z1676" s="16" t="n">
        <x:v>0</x:v>
      </x:c>
      <x:c r="AA1676" s="16" t="n">
        <x:v>3</x:v>
      </x:c>
      <x:c r="AB1676" s="16" t="n">
        <x:v>11</x:v>
      </x:c>
      <x:c r="AC1676" s="16" t="n">
        <x:v>0</x:v>
      </x:c>
      <x:c r="AD1676" s="21" t="n">
        <x:f>IF(E1676="",MEDIAN($E$2:$E$2237),E1676)</x:f>
        <x:v>15862</x:v>
      </x:c>
      <x:c r="AE1676" s="17" t="n">
        <x:f>2014-B1676</x:f>
        <x:v>35</x:v>
      </x:c>
      <x:c r="AF1676" s="17" t="n">
        <x:f>F1676+G1676</x:f>
        <x:v>1</x:v>
      </x:c>
      <x:c r="AG1676" s="21" t="n">
        <x:f>SUM(J1676:O1676)</x:f>
        <x:v>36</x:v>
      </x:c>
      <x:c r="AH1676" s="17" t="n">
        <x:f>SUM(Q1676:S1676)</x:f>
        <x:v>4</x:v>
      </x:c>
      <x:c r="AI1676" s="17" t="n">
        <x:f>SUM(U1676:Y1676)</x:f>
        <x:v>0</x:v>
      </x:c>
      <x:c r="AJ1676" s="17" t="str">
        <x:f>IF(AE1676&lt;=34,"≤34",IF(AE1676&lt;=44,"35–44",IF(AE1676&lt;=54,"45–54",IF(AE1676&lt;=64,"55–64","65+"))))</x:f>
        <x:v>35–44</x:v>
      </x:c>
      <x:c r="AK1676" s="17" t="str">
        <x:f>IF(AG1676&gt;=1000,"High Value",IF(AG1676&gt;=300,"Mid Value","Low Value"))</x:f>
        <x:v>Low Value</x:v>
      </x:c>
      <x:c r="AL1676" s="17" t="str">
        <x:f>IF(AND(AI1676&gt;=1,I1676&lt;=50),"Priority 1",IF(AND(AG1676&gt;=1000,I1676&lt;=60),"Priority 2",IF(I1676&lt;=30,"Priority 3","Nurture")))</x:f>
        <x:v>Priority 3</x:v>
      </x:c>
    </x:row>
    <x:row r="1677">
      <x:c r="A1677" s="16" t="n">
        <x:v>4065</x:v>
      </x:c>
      <x:c r="B1677" s="16" t="n">
        <x:v>1976</x:v>
      </x:c>
      <x:c r="C1677" s="16" t="str">
        <x:v>PhD</x:v>
      </x:c>
      <x:c r="D1677" s="16" t="str">
        <x:v>Married</x:v>
      </x:c>
      <x:c r="E1677" s="16" t="n">
        <x:v>49544</x:v>
      </x:c>
      <x:c r="F1677" s="16" t="n">
        <x:v>1</x:v>
      </x:c>
      <x:c r="G1677" s="16" t="n">
        <x:v>0</x:v>
      </x:c>
      <x:c r="H1677" s="16" t="str">
        <x:v>12-02-2013</x:v>
      </x:c>
      <x:c r="I1677" s="16" t="n">
        <x:v>0</x:v>
      </x:c>
      <x:c r="J1677" s="16" t="n">
        <x:v>308</x:v>
      </x:c>
      <x:c r="K1677" s="16" t="n">
        <x:v>0</x:v>
      </x:c>
      <x:c r="L1677" s="16" t="n">
        <x:v>73</x:v>
      </x:c>
      <x:c r="M1677" s="16" t="n">
        <x:v>0</x:v>
      </x:c>
      <x:c r="N1677" s="16" t="n">
        <x:v>0</x:v>
      </x:c>
      <x:c r="O1677" s="16" t="n">
        <x:v>23</x:v>
      </x:c>
      <x:c r="P1677" s="16" t="n">
        <x:v>2</x:v>
      </x:c>
      <x:c r="Q1677" s="16" t="n">
        <x:v>5</x:v>
      </x:c>
      <x:c r="R1677" s="16" t="n">
        <x:v>1</x:v>
      </x:c>
      <x:c r="S1677" s="16" t="n">
        <x:v>8</x:v>
      </x:c>
      <x:c r="T1677" s="16" t="n">
        <x:v>7</x:v>
      </x:c>
      <x:c r="U1677" s="16" t="n">
        <x:v>0</x:v>
      </x:c>
      <x:c r="V1677" s="16" t="n">
        <x:v>0</x:v>
      </x:c>
      <x:c r="W1677" s="16" t="n">
        <x:v>0</x:v>
      </x:c>
      <x:c r="X1677" s="16" t="n">
        <x:v>0</x:v>
      </x:c>
      <x:c r="Y1677" s="16" t="n">
        <x:v>0</x:v>
      </x:c>
      <x:c r="Z1677" s="16" t="n">
        <x:v>0</x:v>
      </x:c>
      <x:c r="AA1677" s="16" t="n">
        <x:v>3</x:v>
      </x:c>
      <x:c r="AB1677" s="16" t="n">
        <x:v>11</x:v>
      </x:c>
      <x:c r="AC1677" s="16" t="n">
        <x:v>0</x:v>
      </x:c>
      <x:c r="AD1677" s="21" t="n">
        <x:f>IF(E1677="",MEDIAN($E$2:$E$2237),E1677)</x:f>
        <x:v>49544</x:v>
      </x:c>
      <x:c r="AE1677" s="17" t="n">
        <x:f>2014-B1677</x:f>
        <x:v>38</x:v>
      </x:c>
      <x:c r="AF1677" s="17" t="n">
        <x:f>F1677+G1677</x:f>
        <x:v>1</x:v>
      </x:c>
      <x:c r="AG1677" s="21" t="n">
        <x:f>SUM(J1677:O1677)</x:f>
        <x:v>404</x:v>
      </x:c>
      <x:c r="AH1677" s="17" t="n">
        <x:f>SUM(Q1677:S1677)</x:f>
        <x:v>14</x:v>
      </x:c>
      <x:c r="AI1677" s="17" t="n">
        <x:f>SUM(U1677:Y1677)</x:f>
        <x:v>0</x:v>
      </x:c>
      <x:c r="AJ1677" s="17" t="str">
        <x:f>IF(AE1677&lt;=34,"≤34",IF(AE1677&lt;=44,"35–44",IF(AE1677&lt;=54,"45–54",IF(AE1677&lt;=64,"55–64","65+"))))</x:f>
        <x:v>35–44</x:v>
      </x:c>
      <x:c r="AK1677" s="17" t="str">
        <x:f>IF(AG1677&gt;=1000,"High Value",IF(AG1677&gt;=300,"Mid Value","Low Value"))</x:f>
        <x:v>Mid Value</x:v>
      </x:c>
      <x:c r="AL1677" s="17" t="str">
        <x:f>IF(AND(AI1677&gt;=1,I1677&lt;=50),"Priority 1",IF(AND(AG1677&gt;=1000,I1677&lt;=60),"Priority 2",IF(I1677&lt;=30,"Priority 3","Nurture")))</x:f>
        <x:v>Priority 3</x:v>
      </x:c>
    </x:row>
    <x:row r="1678">
      <x:c r="A1678" s="16" t="n">
        <x:v>8230</x:v>
      </x:c>
      <x:c r="B1678" s="16" t="n">
        <x:v>1980</x:v>
      </x:c>
      <x:c r="C1678" s="16" t="str">
        <x:v>Graduation</x:v>
      </x:c>
      <x:c r="D1678" s="16" t="str">
        <x:v>Married</x:v>
      </x:c>
      <x:c r="E1678" s="16" t="n">
        <x:v>33228</x:v>
      </x:c>
      <x:c r="F1678" s="16" t="n">
        <x:v>1</x:v>
      </x:c>
      <x:c r="G1678" s="16" t="n">
        <x:v>0</x:v>
      </x:c>
      <x:c r="H1678" s="16" t="str">
        <x:v>23-01-2014</x:v>
      </x:c>
      <x:c r="I1678" s="16" t="n">
        <x:v>28</x:v>
      </x:c>
      <x:c r="J1678" s="16" t="n">
        <x:v>22</x:v>
      </x:c>
      <x:c r="K1678" s="16" t="n">
        <x:v>2</x:v>
      </x:c>
      <x:c r="L1678" s="16" t="n">
        <x:v>31</x:v>
      </x:c>
      <x:c r="M1678" s="16" t="n">
        <x:v>7</x:v>
      </x:c>
      <x:c r="N1678" s="16" t="n">
        <x:v>4</x:v>
      </x:c>
      <x:c r="O1678" s="16" t="n">
        <x:v>5</x:v>
      </x:c>
      <x:c r="P1678" s="16" t="n">
        <x:v>1</x:v>
      </x:c>
      <x:c r="Q1678" s="16" t="n">
        <x:v>2</x:v>
      </x:c>
      <x:c r="R1678" s="16" t="n">
        <x:v>0</x:v>
      </x:c>
      <x:c r="S1678" s="16" t="n">
        <x:v>3</x:v>
      </x:c>
      <x:c r="T1678" s="16" t="n">
        <x:v>7</x:v>
      </x:c>
      <x:c r="U1678" s="16" t="n">
        <x:v>0</x:v>
      </x:c>
      <x:c r="V1678" s="16" t="n">
        <x:v>0</x:v>
      </x:c>
      <x:c r="W1678" s="16" t="n">
        <x:v>0</x:v>
      </x:c>
      <x:c r="X1678" s="16" t="n">
        <x:v>0</x:v>
      </x:c>
      <x:c r="Y1678" s="16" t="n">
        <x:v>0</x:v>
      </x:c>
      <x:c r="Z1678" s="16" t="n">
        <x:v>0</x:v>
      </x:c>
      <x:c r="AA1678" s="16" t="n">
        <x:v>3</x:v>
      </x:c>
      <x:c r="AB1678" s="16" t="n">
        <x:v>11</x:v>
      </x:c>
      <x:c r="AC1678" s="16" t="n">
        <x:v>0</x:v>
      </x:c>
      <x:c r="AD1678" s="21" t="n">
        <x:f>IF(E1678="",MEDIAN($E$2:$E$2237),E1678)</x:f>
        <x:v>33228</x:v>
      </x:c>
      <x:c r="AE1678" s="17" t="n">
        <x:f>2014-B1678</x:f>
        <x:v>34</x:v>
      </x:c>
      <x:c r="AF1678" s="17" t="n">
        <x:f>F1678+G1678</x:f>
        <x:v>1</x:v>
      </x:c>
      <x:c r="AG1678" s="21" t="n">
        <x:f>SUM(J1678:O1678)</x:f>
        <x:v>71</x:v>
      </x:c>
      <x:c r="AH1678" s="17" t="n">
        <x:f>SUM(Q1678:S1678)</x:f>
        <x:v>5</x:v>
      </x:c>
      <x:c r="AI1678" s="17" t="n">
        <x:f>SUM(U1678:Y1678)</x:f>
        <x:v>0</x:v>
      </x:c>
      <x:c r="AJ1678" s="17" t="str">
        <x:f>IF(AE1678&lt;=34,"≤34",IF(AE1678&lt;=44,"35–44",IF(AE1678&lt;=54,"45–54",IF(AE1678&lt;=64,"55–64","65+"))))</x:f>
        <x:v>≤34</x:v>
      </x:c>
      <x:c r="AK1678" s="17" t="str">
        <x:f>IF(AG1678&gt;=1000,"High Value",IF(AG1678&gt;=300,"Mid Value","Low Value"))</x:f>
        <x:v>Low Value</x:v>
      </x:c>
      <x:c r="AL1678" s="17" t="str">
        <x:f>IF(AND(AI1678&gt;=1,I1678&lt;=50),"Priority 1",IF(AND(AG1678&gt;=1000,I1678&lt;=60),"Priority 2",IF(I1678&lt;=30,"Priority 3","Nurture")))</x:f>
        <x:v>Priority 3</x:v>
      </x:c>
    </x:row>
    <x:row r="1679">
      <x:c r="A1679" s="16" t="n">
        <x:v>1215</x:v>
      </x:c>
      <x:c r="B1679" s="16" t="n">
        <x:v>1978</x:v>
      </x:c>
      <x:c r="C1679" s="16" t="str">
        <x:v>Graduation</x:v>
      </x:c>
      <x:c r="D1679" s="16" t="str">
        <x:v>Together</x:v>
      </x:c>
      <x:c r="E1679" s="16" t="n">
        <x:v>70440</x:v>
      </x:c>
      <x:c r="F1679" s="16" t="n">
        <x:v>0</x:v>
      </x:c>
      <x:c r="G1679" s="16" t="n">
        <x:v>0</x:v>
      </x:c>
      <x:c r="H1679" s="16" t="str">
        <x:v>08-10-2013</x:v>
      </x:c>
      <x:c r="I1679" s="16" t="n">
        <x:v>49</x:v>
      </x:c>
      <x:c r="J1679" s="16" t="n">
        <x:v>690</x:v>
      </x:c>
      <x:c r="K1679" s="16" t="n">
        <x:v>117</x:v>
      </x:c>
      <x:c r="L1679" s="16" t="n">
        <x:v>499</x:v>
      </x:c>
      <x:c r="M1679" s="16" t="n">
        <x:v>76</x:v>
      </x:c>
      <x:c r="N1679" s="16" t="n">
        <x:v>102</x:v>
      </x:c>
      <x:c r="O1679" s="16" t="n">
        <x:v>88</x:v>
      </x:c>
      <x:c r="P1679" s="16" t="n">
        <x:v>1</x:v>
      </x:c>
      <x:c r="Q1679" s="16" t="n">
        <x:v>5</x:v>
      </x:c>
      <x:c r="R1679" s="16" t="n">
        <x:v>10</x:v>
      </x:c>
      <x:c r="S1679" s="16" t="n">
        <x:v>7</x:v>
      </x:c>
      <x:c r="T1679" s="16" t="n">
        <x:v>3</x:v>
      </x:c>
      <x:c r="U1679" s="16" t="n">
        <x:v>0</x:v>
      </x:c>
      <x:c r="V1679" s="16" t="n">
        <x:v>0</x:v>
      </x:c>
      <x:c r="W1679" s="16" t="n">
        <x:v>0</x:v>
      </x:c>
      <x:c r="X1679" s="16" t="n">
        <x:v>1</x:v>
      </x:c>
      <x:c r="Y1679" s="16" t="n">
        <x:v>0</x:v>
      </x:c>
      <x:c r="Z1679" s="16" t="n">
        <x:v>0</x:v>
      </x:c>
      <x:c r="AA1679" s="16" t="n">
        <x:v>3</x:v>
      </x:c>
      <x:c r="AB1679" s="16" t="n">
        <x:v>11</x:v>
      </x:c>
      <x:c r="AC1679" s="16" t="n">
        <x:v>0</x:v>
      </x:c>
      <x:c r="AD1679" s="21" t="n">
        <x:f>IF(E1679="",MEDIAN($E$2:$E$2237),E1679)</x:f>
        <x:v>70440</x:v>
      </x:c>
      <x:c r="AE1679" s="17" t="n">
        <x:f>2014-B1679</x:f>
        <x:v>36</x:v>
      </x:c>
      <x:c r="AF1679" s="17" t="n">
        <x:f>F1679+G1679</x:f>
        <x:v>0</x:v>
      </x:c>
      <x:c r="AG1679" s="21" t="n">
        <x:f>SUM(J1679:O1679)</x:f>
        <x:v>1572</x:v>
      </x:c>
      <x:c r="AH1679" s="17" t="n">
        <x:f>SUM(Q1679:S1679)</x:f>
        <x:v>22</x:v>
      </x:c>
      <x:c r="AI1679" s="17" t="n">
        <x:f>SUM(U1679:Y1679)</x:f>
        <x:v>1</x:v>
      </x:c>
      <x:c r="AJ1679" s="17" t="str">
        <x:f>IF(AE1679&lt;=34,"≤34",IF(AE1679&lt;=44,"35–44",IF(AE1679&lt;=54,"45–54",IF(AE1679&lt;=64,"55–64","65+"))))</x:f>
        <x:v>35–44</x:v>
      </x:c>
      <x:c r="AK1679" s="17" t="str">
        <x:f>IF(AG1679&gt;=1000,"High Value",IF(AG1679&gt;=300,"Mid Value","Low Value"))</x:f>
        <x:v>High Value</x:v>
      </x:c>
      <x:c r="AL1679" s="17" t="str">
        <x:f>IF(AND(AI1679&gt;=1,I1679&lt;=50),"Priority 1",IF(AND(AG1679&gt;=1000,I1679&lt;=60),"Priority 2",IF(I1679&lt;=30,"Priority 3","Nurture")))</x:f>
        <x:v>Priority 1</x:v>
      </x:c>
    </x:row>
    <x:row r="1680">
      <x:c r="A1680" s="16" t="n">
        <x:v>5939</x:v>
      </x:c>
      <x:c r="B1680" s="16" t="n">
        <x:v>1971</x:v>
      </x:c>
      <x:c r="C1680" s="16" t="str">
        <x:v>Graduation</x:v>
      </x:c>
      <x:c r="D1680" s="16" t="str">
        <x:v>Together</x:v>
      </x:c>
      <x:c r="E1680" s="16" t="n">
        <x:v>38232</x:v>
      </x:c>
      <x:c r="F1680" s="16" t="n">
        <x:v>1</x:v>
      </x:c>
      <x:c r="G1680" s="16" t="n">
        <x:v>1</x:v>
      </x:c>
      <x:c r="H1680" s="16" t="str">
        <x:v>17-01-2014</x:v>
      </x:c>
      <x:c r="I1680" s="16" t="n">
        <x:v>84</x:v>
      </x:c>
      <x:c r="J1680" s="16" t="n">
        <x:v>43</x:v>
      </x:c>
      <x:c r="K1680" s="16" t="n">
        <x:v>5</x:v>
      </x:c>
      <x:c r="L1680" s="16" t="n">
        <x:v>28</x:v>
      </x:c>
      <x:c r="M1680" s="16" t="n">
        <x:v>7</x:v>
      </x:c>
      <x:c r="N1680" s="16" t="n">
        <x:v>6</x:v>
      </x:c>
      <x:c r="O1680" s="16" t="n">
        <x:v>33</x:v>
      </x:c>
      <x:c r="P1680" s="16" t="n">
        <x:v>4</x:v>
      </x:c>
      <x:c r="Q1680" s="16" t="n">
        <x:v>3</x:v>
      </x:c>
      <x:c r="R1680" s="16" t="n">
        <x:v>1</x:v>
      </x:c>
      <x:c r="S1680" s="16" t="n">
        <x:v>3</x:v>
      </x:c>
      <x:c r="T1680" s="16" t="n">
        <x:v>5</x:v>
      </x:c>
      <x:c r="U1680" s="16" t="n">
        <x:v>0</x:v>
      </x:c>
      <x:c r="V1680" s="16" t="n">
        <x:v>0</x:v>
      </x:c>
      <x:c r="W1680" s="16" t="n">
        <x:v>0</x:v>
      </x:c>
      <x:c r="X1680" s="16" t="n">
        <x:v>0</x:v>
      </x:c>
      <x:c r="Y1680" s="16" t="n">
        <x:v>0</x:v>
      </x:c>
      <x:c r="Z1680" s="16" t="n">
        <x:v>0</x:v>
      </x:c>
      <x:c r="AA1680" s="16" t="n">
        <x:v>3</x:v>
      </x:c>
      <x:c r="AB1680" s="16" t="n">
        <x:v>11</x:v>
      </x:c>
      <x:c r="AC1680" s="16" t="n">
        <x:v>0</x:v>
      </x:c>
      <x:c r="AD1680" s="21" t="n">
        <x:f>IF(E1680="",MEDIAN($E$2:$E$2237),E1680)</x:f>
        <x:v>38232</x:v>
      </x:c>
      <x:c r="AE1680" s="17" t="n">
        <x:f>2014-B1680</x:f>
        <x:v>43</x:v>
      </x:c>
      <x:c r="AF1680" s="17" t="n">
        <x:f>F1680+G1680</x:f>
        <x:v>2</x:v>
      </x:c>
      <x:c r="AG1680" s="21" t="n">
        <x:f>SUM(J1680:O1680)</x:f>
        <x:v>122</x:v>
      </x:c>
      <x:c r="AH1680" s="17" t="n">
        <x:f>SUM(Q1680:S1680)</x:f>
        <x:v>7</x:v>
      </x:c>
      <x:c r="AI1680" s="17" t="n">
        <x:f>SUM(U1680:Y1680)</x:f>
        <x:v>0</x:v>
      </x:c>
      <x:c r="AJ1680" s="17" t="str">
        <x:f>IF(AE1680&lt;=34,"≤34",IF(AE1680&lt;=44,"35–44",IF(AE1680&lt;=54,"45–54",IF(AE1680&lt;=64,"55–64","65+"))))</x:f>
        <x:v>35–44</x:v>
      </x:c>
      <x:c r="AK1680" s="17" t="str">
        <x:f>IF(AG1680&gt;=1000,"High Value",IF(AG1680&gt;=300,"Mid Value","Low Value"))</x:f>
        <x:v>Low Value</x:v>
      </x:c>
      <x:c r="AL1680" s="17" t="str">
        <x:f>IF(AND(AI1680&gt;=1,I1680&lt;=50),"Priority 1",IF(AND(AG1680&gt;=1000,I1680&lt;=60),"Priority 2",IF(I1680&lt;=30,"Priority 3","Nurture")))</x:f>
        <x:v>Nurture</x:v>
      </x:c>
    </x:row>
    <x:row r="1681">
      <x:c r="A1681" s="16" t="n">
        <x:v>2156</x:v>
      </x:c>
      <x:c r="B1681" s="16" t="n">
        <x:v>1955</x:v>
      </x:c>
      <x:c r="C1681" s="16" t="str">
        <x:v>PhD</x:v>
      </x:c>
      <x:c r="D1681" s="16" t="str">
        <x:v>Married</x:v>
      </x:c>
      <x:c r="E1681" s="16" t="n">
        <x:v>22554</x:v>
      </x:c>
      <x:c r="F1681" s="16" t="n">
        <x:v>1</x:v>
      </x:c>
      <x:c r="G1681" s="16" t="n">
        <x:v>1</x:v>
      </x:c>
      <x:c r="H1681" s="16" t="str">
        <x:v>03-11-2012</x:v>
      </x:c>
      <x:c r="I1681" s="16" t="n">
        <x:v>38</x:v>
      </x:c>
      <x:c r="J1681" s="16" t="n">
        <x:v>27</x:v>
      </x:c>
      <x:c r="K1681" s="16" t="n">
        <x:v>0</x:v>
      </x:c>
      <x:c r="L1681" s="16" t="n">
        <x:v>10</x:v>
      </x:c>
      <x:c r="M1681" s="16" t="n">
        <x:v>0</x:v>
      </x:c>
      <x:c r="N1681" s="16" t="n">
        <x:v>0</x:v>
      </x:c>
      <x:c r="O1681" s="16" t="n">
        <x:v>4</x:v>
      </x:c>
      <x:c r="P1681" s="16" t="n">
        <x:v>4</x:v>
      </x:c>
      <x:c r="Q1681" s="16" t="n">
        <x:v>2</x:v>
      </x:c>
      <x:c r="R1681" s="16" t="n">
        <x:v>0</x:v>
      </x:c>
      <x:c r="S1681" s="16" t="n">
        <x:v>4</x:v>
      </x:c>
      <x:c r="T1681" s="16" t="n">
        <x:v>5</x:v>
      </x:c>
      <x:c r="U1681" s="16" t="n">
        <x:v>0</x:v>
      </x:c>
      <x:c r="V1681" s="16" t="n">
        <x:v>0</x:v>
      </x:c>
      <x:c r="W1681" s="16" t="n">
        <x:v>0</x:v>
      </x:c>
      <x:c r="X1681" s="16" t="n">
        <x:v>0</x:v>
      </x:c>
      <x:c r="Y1681" s="16" t="n">
        <x:v>0</x:v>
      </x:c>
      <x:c r="Z1681" s="16" t="n">
        <x:v>0</x:v>
      </x:c>
      <x:c r="AA1681" s="16" t="n">
        <x:v>3</x:v>
      </x:c>
      <x:c r="AB1681" s="16" t="n">
        <x:v>11</x:v>
      </x:c>
      <x:c r="AC1681" s="16" t="n">
        <x:v>0</x:v>
      </x:c>
      <x:c r="AD1681" s="21" t="n">
        <x:f>IF(E1681="",MEDIAN($E$2:$E$2237),E1681)</x:f>
        <x:v>22554</x:v>
      </x:c>
      <x:c r="AE1681" s="17" t="n">
        <x:f>2014-B1681</x:f>
        <x:v>59</x:v>
      </x:c>
      <x:c r="AF1681" s="17" t="n">
        <x:f>F1681+G1681</x:f>
        <x:v>2</x:v>
      </x:c>
      <x:c r="AG1681" s="21" t="n">
        <x:f>SUM(J1681:O1681)</x:f>
        <x:v>41</x:v>
      </x:c>
      <x:c r="AH1681" s="17" t="n">
        <x:f>SUM(Q1681:S1681)</x:f>
        <x:v>6</x:v>
      </x:c>
      <x:c r="AI1681" s="17" t="n">
        <x:f>SUM(U1681:Y1681)</x:f>
        <x:v>0</x:v>
      </x:c>
      <x:c r="AJ1681" s="17" t="str">
        <x:f>IF(AE1681&lt;=34,"≤34",IF(AE1681&lt;=44,"35–44",IF(AE1681&lt;=54,"45–54",IF(AE1681&lt;=64,"55–64","65+"))))</x:f>
        <x:v>55–64</x:v>
      </x:c>
      <x:c r="AK1681" s="17" t="str">
        <x:f>IF(AG1681&gt;=1000,"High Value",IF(AG1681&gt;=300,"Mid Value","Low Value"))</x:f>
        <x:v>Low Value</x:v>
      </x:c>
      <x:c r="AL1681" s="17" t="str">
        <x:f>IF(AND(AI1681&gt;=1,I1681&lt;=50),"Priority 1",IF(AND(AG1681&gt;=1000,I1681&lt;=60),"Priority 2",IF(I1681&lt;=30,"Priority 3","Nurture")))</x:f>
        <x:v>Nurture</x:v>
      </x:c>
    </x:row>
    <x:row r="1682">
      <x:c r="A1682" s="16" t="n">
        <x:v>7788</x:v>
      </x:c>
      <x:c r="B1682" s="16" t="n">
        <x:v>1983</x:v>
      </x:c>
      <x:c r="C1682" s="16" t="str">
        <x:v>PhD</x:v>
      </x:c>
      <x:c r="D1682" s="16" t="str">
        <x:v>Married</x:v>
      </x:c>
      <x:c r="E1682" s="16" t="n">
        <x:v>23536</x:v>
      </x:c>
      <x:c r="F1682" s="16" t="n">
        <x:v>1</x:v>
      </x:c>
      <x:c r="G1682" s="16" t="n">
        <x:v>0</x:v>
      </x:c>
      <x:c r="H1682" s="16" t="str">
        <x:v>04-06-2014</x:v>
      </x:c>
      <x:c r="I1682" s="16" t="n">
        <x:v>53</x:v>
      </x:c>
      <x:c r="J1682" s="16" t="n">
        <x:v>6</x:v>
      </x:c>
      <x:c r="K1682" s="16" t="n">
        <x:v>0</x:v>
      </x:c>
      <x:c r="L1682" s="16" t="n">
        <x:v>3</x:v>
      </x:c>
      <x:c r="M1682" s="16" t="n">
        <x:v>0</x:v>
      </x:c>
      <x:c r="N1682" s="16" t="n">
        <x:v>0</x:v>
      </x:c>
      <x:c r="O1682" s="16" t="n">
        <x:v>1</x:v>
      </x:c>
      <x:c r="P1682" s="16" t="n">
        <x:v>1</x:v>
      </x:c>
      <x:c r="Q1682" s="16" t="n">
        <x:v>0</x:v>
      </x:c>
      <x:c r="R1682" s="16" t="n">
        <x:v>0</x:v>
      </x:c>
      <x:c r="S1682" s="16" t="n">
        <x:v>3</x:v>
      </x:c>
      <x:c r="T1682" s="16" t="n">
        <x:v>3</x:v>
      </x:c>
      <x:c r="U1682" s="16" t="n">
        <x:v>0</x:v>
      </x:c>
      <x:c r="V1682" s="16" t="n">
        <x:v>0</x:v>
      </x:c>
      <x:c r="W1682" s="16" t="n">
        <x:v>0</x:v>
      </x:c>
      <x:c r="X1682" s="16" t="n">
        <x:v>0</x:v>
      </x:c>
      <x:c r="Y1682" s="16" t="n">
        <x:v>0</x:v>
      </x:c>
      <x:c r="Z1682" s="16" t="n">
        <x:v>0</x:v>
      </x:c>
      <x:c r="AA1682" s="16" t="n">
        <x:v>3</x:v>
      </x:c>
      <x:c r="AB1682" s="16" t="n">
        <x:v>11</x:v>
      </x:c>
      <x:c r="AC1682" s="16" t="n">
        <x:v>0</x:v>
      </x:c>
      <x:c r="AD1682" s="21" t="n">
        <x:f>IF(E1682="",MEDIAN($E$2:$E$2237),E1682)</x:f>
        <x:v>23536</x:v>
      </x:c>
      <x:c r="AE1682" s="17" t="n">
        <x:f>2014-B1682</x:f>
        <x:v>31</x:v>
      </x:c>
      <x:c r="AF1682" s="17" t="n">
        <x:f>F1682+G1682</x:f>
        <x:v>1</x:v>
      </x:c>
      <x:c r="AG1682" s="21" t="n">
        <x:f>SUM(J1682:O1682)</x:f>
        <x:v>10</x:v>
      </x:c>
      <x:c r="AH1682" s="17" t="n">
        <x:f>SUM(Q1682:S1682)</x:f>
        <x:v>3</x:v>
      </x:c>
      <x:c r="AI1682" s="17" t="n">
        <x:f>SUM(U1682:Y1682)</x:f>
        <x:v>0</x:v>
      </x:c>
      <x:c r="AJ1682" s="17" t="str">
        <x:f>IF(AE1682&lt;=34,"≤34",IF(AE1682&lt;=44,"35–44",IF(AE1682&lt;=54,"45–54",IF(AE1682&lt;=64,"55–64","65+"))))</x:f>
        <x:v>≤34</x:v>
      </x:c>
      <x:c r="AK1682" s="17" t="str">
        <x:f>IF(AG1682&gt;=1000,"High Value",IF(AG1682&gt;=300,"Mid Value","Low Value"))</x:f>
        <x:v>Low Value</x:v>
      </x:c>
      <x:c r="AL1682" s="17" t="str">
        <x:f>IF(AND(AI1682&gt;=1,I1682&lt;=50),"Priority 1",IF(AND(AG1682&gt;=1000,I1682&lt;=60),"Priority 2",IF(I1682&lt;=30,"Priority 3","Nurture")))</x:f>
        <x:v>Nurture</x:v>
      </x:c>
    </x:row>
    <x:row r="1683">
      <x:c r="A1683" s="16" t="n">
        <x:v>10323</x:v>
      </x:c>
      <x:c r="B1683" s="16" t="n">
        <x:v>1952</x:v>
      </x:c>
      <x:c r="C1683" s="16" t="str">
        <x:v>Graduation</x:v>
      </x:c>
      <x:c r="D1683" s="16" t="str">
        <x:v>Married</x:v>
      </x:c>
      <x:c r="E1683" s="16" t="n">
        <x:v>49413</x:v>
      </x:c>
      <x:c r="F1683" s="16" t="n">
        <x:v>0</x:v>
      </x:c>
      <x:c r="G1683" s="16" t="n">
        <x:v>1</x:v>
      </x:c>
      <x:c r="H1683" s="16" t="str">
        <x:v>25-10-2013</x:v>
      </x:c>
      <x:c r="I1683" s="16" t="n">
        <x:v>88</x:v>
      </x:c>
      <x:c r="J1683" s="16" t="n">
        <x:v>205</x:v>
      </x:c>
      <x:c r="K1683" s="16" t="n">
        <x:v>7</x:v>
      </x:c>
      <x:c r="L1683" s="16" t="n">
        <x:v>41</x:v>
      </x:c>
      <x:c r="M1683" s="16" t="n">
        <x:v>3</x:v>
      </x:c>
      <x:c r="N1683" s="16" t="n">
        <x:v>2</x:v>
      </x:c>
      <x:c r="O1683" s="16" t="n">
        <x:v>46</x:v>
      </x:c>
      <x:c r="P1683" s="16" t="n">
        <x:v>2</x:v>
      </x:c>
      <x:c r="Q1683" s="16" t="n">
        <x:v>4</x:v>
      </x:c>
      <x:c r="R1683" s="16" t="n">
        <x:v>2</x:v>
      </x:c>
      <x:c r="S1683" s="16" t="n">
        <x:v>5</x:v>
      </x:c>
      <x:c r="T1683" s="16" t="n">
        <x:v>5</x:v>
      </x:c>
      <x:c r="U1683" s="16" t="n">
        <x:v>0</x:v>
      </x:c>
      <x:c r="V1683" s="16" t="n">
        <x:v>0</x:v>
      </x:c>
      <x:c r="W1683" s="16" t="n">
        <x:v>0</x:v>
      </x:c>
      <x:c r="X1683" s="16" t="n">
        <x:v>0</x:v>
      </x:c>
      <x:c r="Y1683" s="16" t="n">
        <x:v>0</x:v>
      </x:c>
      <x:c r="Z1683" s="16" t="n">
        <x:v>0</x:v>
      </x:c>
      <x:c r="AA1683" s="16" t="n">
        <x:v>3</x:v>
      </x:c>
      <x:c r="AB1683" s="16" t="n">
        <x:v>11</x:v>
      </x:c>
      <x:c r="AC1683" s="16" t="n">
        <x:v>0</x:v>
      </x:c>
      <x:c r="AD1683" s="21" t="n">
        <x:f>IF(E1683="",MEDIAN($E$2:$E$2237),E1683)</x:f>
        <x:v>49413</x:v>
      </x:c>
      <x:c r="AE1683" s="17" t="n">
        <x:f>2014-B1683</x:f>
        <x:v>62</x:v>
      </x:c>
      <x:c r="AF1683" s="17" t="n">
        <x:f>F1683+G1683</x:f>
        <x:v>1</x:v>
      </x:c>
      <x:c r="AG1683" s="21" t="n">
        <x:f>SUM(J1683:O1683)</x:f>
        <x:v>304</x:v>
      </x:c>
      <x:c r="AH1683" s="17" t="n">
        <x:f>SUM(Q1683:S1683)</x:f>
        <x:v>11</x:v>
      </x:c>
      <x:c r="AI1683" s="17" t="n">
        <x:f>SUM(U1683:Y1683)</x:f>
        <x:v>0</x:v>
      </x:c>
      <x:c r="AJ1683" s="17" t="str">
        <x:f>IF(AE1683&lt;=34,"≤34",IF(AE1683&lt;=44,"35–44",IF(AE1683&lt;=54,"45–54",IF(AE1683&lt;=64,"55–64","65+"))))</x:f>
        <x:v>55–64</x:v>
      </x:c>
      <x:c r="AK1683" s="17" t="str">
        <x:f>IF(AG1683&gt;=1000,"High Value",IF(AG1683&gt;=300,"Mid Value","Low Value"))</x:f>
        <x:v>Mid Value</x:v>
      </x:c>
      <x:c r="AL1683" s="17" t="str">
        <x:f>IF(AND(AI1683&gt;=1,I1683&lt;=50),"Priority 1",IF(AND(AG1683&gt;=1000,I1683&lt;=60),"Priority 2",IF(I1683&lt;=30,"Priority 3","Nurture")))</x:f>
        <x:v>Nurture</x:v>
      </x:c>
    </x:row>
    <x:row r="1684">
      <x:c r="A1684" s="16" t="n">
        <x:v>7947</x:v>
      </x:c>
      <x:c r="B1684" s="16" t="n">
        <x:v>1969</x:v>
      </x:c>
      <x:c r="C1684" s="16" t="str">
        <x:v>Graduation</x:v>
      </x:c>
      <x:c r="D1684" s="16" t="str">
        <x:v>Married</x:v>
      </x:c>
      <x:c r="E1684" s="16" t="n">
        <x:v>42231</x:v>
      </x:c>
      <x:c r="F1684" s="16" t="n">
        <x:v>1</x:v>
      </x:c>
      <x:c r="G1684" s="16" t="n">
        <x:v>1</x:v>
      </x:c>
      <x:c r="H1684" s="16" t="str">
        <x:v>25-03-2014</x:v>
      </x:c>
      <x:c r="I1684" s="16" t="n">
        <x:v>99</x:v>
      </x:c>
      <x:c r="J1684" s="16" t="n">
        <x:v>24</x:v>
      </x:c>
      <x:c r="K1684" s="16" t="n">
        <x:v>0</x:v>
      </x:c>
      <x:c r="L1684" s="16" t="n">
        <x:v>8</x:v>
      </x:c>
      <x:c r="M1684" s="16" t="n">
        <x:v>0</x:v>
      </x:c>
      <x:c r="N1684" s="16" t="n">
        <x:v>1</x:v>
      </x:c>
      <x:c r="O1684" s="16" t="n">
        <x:v>4</x:v>
      </x:c>
      <x:c r="P1684" s="16" t="n">
        <x:v>1</x:v>
      </x:c>
      <x:c r="Q1684" s="16" t="n">
        <x:v>1</x:v>
      </x:c>
      <x:c r="R1684" s="16" t="n">
        <x:v>0</x:v>
      </x:c>
      <x:c r="S1684" s="16" t="n">
        <x:v>3</x:v>
      </x:c>
      <x:c r="T1684" s="16" t="n">
        <x:v>5</x:v>
      </x:c>
      <x:c r="U1684" s="16" t="n">
        <x:v>0</x:v>
      </x:c>
      <x:c r="V1684" s="16" t="n">
        <x:v>0</x:v>
      </x:c>
      <x:c r="W1684" s="16" t="n">
        <x:v>0</x:v>
      </x:c>
      <x:c r="X1684" s="16" t="n">
        <x:v>0</x:v>
      </x:c>
      <x:c r="Y1684" s="16" t="n">
        <x:v>0</x:v>
      </x:c>
      <x:c r="Z1684" s="16" t="n">
        <x:v>0</x:v>
      </x:c>
      <x:c r="AA1684" s="16" t="n">
        <x:v>3</x:v>
      </x:c>
      <x:c r="AB1684" s="16" t="n">
        <x:v>11</x:v>
      </x:c>
      <x:c r="AC1684" s="16" t="n">
        <x:v>0</x:v>
      </x:c>
      <x:c r="AD1684" s="21" t="n">
        <x:f>IF(E1684="",MEDIAN($E$2:$E$2237),E1684)</x:f>
        <x:v>42231</x:v>
      </x:c>
      <x:c r="AE1684" s="17" t="n">
        <x:f>2014-B1684</x:f>
        <x:v>45</x:v>
      </x:c>
      <x:c r="AF1684" s="17" t="n">
        <x:f>F1684+G1684</x:f>
        <x:v>2</x:v>
      </x:c>
      <x:c r="AG1684" s="21" t="n">
        <x:f>SUM(J1684:O1684)</x:f>
        <x:v>37</x:v>
      </x:c>
      <x:c r="AH1684" s="17" t="n">
        <x:f>SUM(Q1684:S1684)</x:f>
        <x:v>4</x:v>
      </x:c>
      <x:c r="AI1684" s="17" t="n">
        <x:f>SUM(U1684:Y1684)</x:f>
        <x:v>0</x:v>
      </x:c>
      <x:c r="AJ1684" s="17" t="str">
        <x:f>IF(AE1684&lt;=34,"≤34",IF(AE1684&lt;=44,"35–44",IF(AE1684&lt;=54,"45–54",IF(AE1684&lt;=64,"55–64","65+"))))</x:f>
        <x:v>45–54</x:v>
      </x:c>
      <x:c r="AK1684" s="17" t="str">
        <x:f>IF(AG1684&gt;=1000,"High Value",IF(AG1684&gt;=300,"Mid Value","Low Value"))</x:f>
        <x:v>Low Value</x:v>
      </x:c>
      <x:c r="AL1684" s="17" t="str">
        <x:f>IF(AND(AI1684&gt;=1,I1684&lt;=50),"Priority 1",IF(AND(AG1684&gt;=1000,I1684&lt;=60),"Priority 2",IF(I1684&lt;=30,"Priority 3","Nurture")))</x:f>
        <x:v>Nurture</x:v>
      </x:c>
    </x:row>
    <x:row r="1685">
      <x:c r="A1685" s="16" t="n">
        <x:v>1891</x:v>
      </x:c>
      <x:c r="B1685" s="16" t="n">
        <x:v>1980</x:v>
      </x:c>
      <x:c r="C1685" s="16" t="str">
        <x:v>Master</x:v>
      </x:c>
      <x:c r="D1685" s="16" t="str">
        <x:v>Divorced</x:v>
      </x:c>
      <x:c r="E1685" s="16" t="n">
        <x:v>78789</x:v>
      </x:c>
      <x:c r="F1685" s="16" t="n">
        <x:v>0</x:v>
      </x:c>
      <x:c r="G1685" s="16" t="n">
        <x:v>0</x:v>
      </x:c>
      <x:c r="H1685" s="16" t="str">
        <x:v>08-08-2012</x:v>
      </x:c>
      <x:c r="I1685" s="16" t="n">
        <x:v>12</x:v>
      </x:c>
      <x:c r="J1685" s="16" t="n">
        <x:v>667</x:v>
      </x:c>
      <x:c r="K1685" s="16" t="n">
        <x:v>50</x:v>
      </x:c>
      <x:c r="L1685" s="16" t="n">
        <x:v>850</x:v>
      </x:c>
      <x:c r="M1685" s="16" t="n">
        <x:v>21</x:v>
      </x:c>
      <x:c r="N1685" s="16" t="n">
        <x:v>83</x:v>
      </x:c>
      <x:c r="O1685" s="16" t="n">
        <x:v>83</x:v>
      </x:c>
      <x:c r="P1685" s="16" t="n">
        <x:v>1</x:v>
      </x:c>
      <x:c r="Q1685" s="16" t="n">
        <x:v>4</x:v>
      </x:c>
      <x:c r="R1685" s="16" t="n">
        <x:v>6</x:v>
      </x:c>
      <x:c r="S1685" s="16" t="n">
        <x:v>5</x:v>
      </x:c>
      <x:c r="T1685" s="16" t="n">
        <x:v>2</x:v>
      </x:c>
      <x:c r="U1685" s="16" t="n">
        <x:v>0</x:v>
      </x:c>
      <x:c r="V1685" s="16" t="n">
        <x:v>0</x:v>
      </x:c>
      <x:c r="W1685" s="16" t="n">
        <x:v>0</x:v>
      </x:c>
      <x:c r="X1685" s="16" t="n">
        <x:v>0</x:v>
      </x:c>
      <x:c r="Y1685" s="16" t="n">
        <x:v>0</x:v>
      </x:c>
      <x:c r="Z1685" s="16" t="n">
        <x:v>0</x:v>
      </x:c>
      <x:c r="AA1685" s="16" t="n">
        <x:v>3</x:v>
      </x:c>
      <x:c r="AB1685" s="16" t="n">
        <x:v>11</x:v>
      </x:c>
      <x:c r="AC1685" s="16" t="n">
        <x:v>1</x:v>
      </x:c>
      <x:c r="AD1685" s="21" t="n">
        <x:f>IF(E1685="",MEDIAN($E$2:$E$2237),E1685)</x:f>
        <x:v>78789</x:v>
      </x:c>
      <x:c r="AE1685" s="17" t="n">
        <x:f>2014-B1685</x:f>
        <x:v>34</x:v>
      </x:c>
      <x:c r="AF1685" s="17" t="n">
        <x:f>F1685+G1685</x:f>
        <x:v>0</x:v>
      </x:c>
      <x:c r="AG1685" s="21" t="n">
        <x:f>SUM(J1685:O1685)</x:f>
        <x:v>1754</x:v>
      </x:c>
      <x:c r="AH1685" s="17" t="n">
        <x:f>SUM(Q1685:S1685)</x:f>
        <x:v>15</x:v>
      </x:c>
      <x:c r="AI1685" s="17" t="n">
        <x:f>SUM(U1685:Y1685)</x:f>
        <x:v>0</x:v>
      </x:c>
      <x:c r="AJ1685" s="17" t="str">
        <x:f>IF(AE1685&lt;=34,"≤34",IF(AE1685&lt;=44,"35–44",IF(AE1685&lt;=54,"45–54",IF(AE1685&lt;=64,"55–64","65+"))))</x:f>
        <x:v>≤34</x:v>
      </x:c>
      <x:c r="AK1685" s="17" t="str">
        <x:f>IF(AG1685&gt;=1000,"High Value",IF(AG1685&gt;=300,"Mid Value","Low Value"))</x:f>
        <x:v>High Value</x:v>
      </x:c>
      <x:c r="AL1685" s="17" t="str">
        <x:f>IF(AND(AI1685&gt;=1,I1685&lt;=50),"Priority 1",IF(AND(AG1685&gt;=1000,I1685&lt;=60),"Priority 2",IF(I1685&lt;=30,"Priority 3","Nurture")))</x:f>
        <x:v>Priority 2</x:v>
      </x:c>
    </x:row>
    <x:row r="1686">
      <x:c r="A1686" s="16" t="n">
        <x:v>2570</x:v>
      </x:c>
      <x:c r="B1686" s="16" t="n">
        <x:v>1968</x:v>
      </x:c>
      <x:c r="C1686" s="16" t="str">
        <x:v>Graduation</x:v>
      </x:c>
      <x:c r="D1686" s="16" t="str">
        <x:v>Together</x:v>
      </x:c>
      <x:c r="E1686" s="16" t="n">
        <x:v>56534</x:v>
      </x:c>
      <x:c r="F1686" s="16" t="n">
        <x:v>0</x:v>
      </x:c>
      <x:c r="G1686" s="16" t="n">
        <x:v>1</x:v>
      </x:c>
      <x:c r="H1686" s="16" t="str">
        <x:v>23-07-2013</x:v>
      </x:c>
      <x:c r="I1686" s="16" t="n">
        <x:v>35</x:v>
      </x:c>
      <x:c r="J1686" s="16" t="n">
        <x:v>691</x:v>
      </x:c>
      <x:c r="K1686" s="16" t="n">
        <x:v>7</x:v>
      </x:c>
      <x:c r="L1686" s="16" t="n">
        <x:v>61</x:v>
      </x:c>
      <x:c r="M1686" s="16" t="n">
        <x:v>10</x:v>
      </x:c>
      <x:c r="N1686" s="16" t="n">
        <x:v>0</x:v>
      </x:c>
      <x:c r="O1686" s="16" t="n">
        <x:v>46</x:v>
      </x:c>
      <x:c r="P1686" s="16" t="n">
        <x:v>4</x:v>
      </x:c>
      <x:c r="Q1686" s="16" t="n">
        <x:v>10</x:v>
      </x:c>
      <x:c r="R1686" s="16" t="n">
        <x:v>4</x:v>
      </x:c>
      <x:c r="S1686" s="16" t="n">
        <x:v>7</x:v>
      </x:c>
      <x:c r="T1686" s="16" t="n">
        <x:v>8</x:v>
      </x:c>
      <x:c r="U1686" s="16" t="n">
        <x:v>0</x:v>
      </x:c>
      <x:c r="V1686" s="16" t="n">
        <x:v>1</x:v>
      </x:c>
      <x:c r="W1686" s="16" t="n">
        <x:v>0</x:v>
      </x:c>
      <x:c r="X1686" s="16" t="n">
        <x:v>0</x:v>
      </x:c>
      <x:c r="Y1686" s="16" t="n">
        <x:v>1</x:v>
      </x:c>
      <x:c r="Z1686" s="16" t="n">
        <x:v>0</x:v>
      </x:c>
      <x:c r="AA1686" s="16" t="n">
        <x:v>3</x:v>
      </x:c>
      <x:c r="AB1686" s="16" t="n">
        <x:v>11</x:v>
      </x:c>
      <x:c r="AC1686" s="16" t="n">
        <x:v>1</x:v>
      </x:c>
      <x:c r="AD1686" s="21" t="n">
        <x:f>IF(E1686="",MEDIAN($E$2:$E$2237),E1686)</x:f>
        <x:v>56534</x:v>
      </x:c>
      <x:c r="AE1686" s="17" t="n">
        <x:f>2014-B1686</x:f>
        <x:v>46</x:v>
      </x:c>
      <x:c r="AF1686" s="17" t="n">
        <x:f>F1686+G1686</x:f>
        <x:v>1</x:v>
      </x:c>
      <x:c r="AG1686" s="21" t="n">
        <x:f>SUM(J1686:O1686)</x:f>
        <x:v>815</x:v>
      </x:c>
      <x:c r="AH1686" s="17" t="n">
        <x:f>SUM(Q1686:S1686)</x:f>
        <x:v>21</x:v>
      </x:c>
      <x:c r="AI1686" s="17" t="n">
        <x:f>SUM(U1686:Y1686)</x:f>
        <x:v>2</x:v>
      </x:c>
      <x:c r="AJ1686" s="17" t="str">
        <x:f>IF(AE1686&lt;=34,"≤34",IF(AE1686&lt;=44,"35–44",IF(AE1686&lt;=54,"45–54",IF(AE1686&lt;=64,"55–64","65+"))))</x:f>
        <x:v>45–54</x:v>
      </x:c>
      <x:c r="AK1686" s="17" t="str">
        <x:f>IF(AG1686&gt;=1000,"High Value",IF(AG1686&gt;=300,"Mid Value","Low Value"))</x:f>
        <x:v>Mid Value</x:v>
      </x:c>
      <x:c r="AL1686" s="17" t="str">
        <x:f>IF(AND(AI1686&gt;=1,I1686&lt;=50),"Priority 1",IF(AND(AG1686&gt;=1000,I1686&lt;=60),"Priority 2",IF(I1686&lt;=30,"Priority 3","Nurture")))</x:f>
        <x:v>Priority 1</x:v>
      </x:c>
    </x:row>
    <x:row r="1687">
      <x:c r="A1687" s="16" t="n">
        <x:v>9256</x:v>
      </x:c>
      <x:c r="B1687" s="16" t="n">
        <x:v>1971</x:v>
      </x:c>
      <x:c r="C1687" s="16" t="str">
        <x:v>Graduation</x:v>
      </x:c>
      <x:c r="D1687" s="16" t="str">
        <x:v>Single</x:v>
      </x:c>
      <x:c r="E1687" s="16" t="n">
        <x:v>58350</x:v>
      </x:c>
      <x:c r="F1687" s="16" t="n">
        <x:v>0</x:v>
      </x:c>
      <x:c r="G1687" s="16" t="n">
        <x:v>1</x:v>
      </x:c>
      <x:c r="H1687" s="16" t="str">
        <x:v>04-01-2013</x:v>
      </x:c>
      <x:c r="I1687" s="16" t="n">
        <x:v>5</x:v>
      </x:c>
      <x:c r="J1687" s="16" t="n">
        <x:v>493</x:v>
      </x:c>
      <x:c r="K1687" s="16" t="n">
        <x:v>26</x:v>
      </x:c>
      <x:c r="L1687" s="16" t="n">
        <x:v>206</x:v>
      </x:c>
      <x:c r="M1687" s="16" t="n">
        <x:v>116</x:v>
      </x:c>
      <x:c r="N1687" s="16" t="n">
        <x:v>80</x:v>
      </x:c>
      <x:c r="O1687" s="16" t="n">
        <x:v>80</x:v>
      </x:c>
      <x:c r="P1687" s="16" t="n">
        <x:v>4</x:v>
      </x:c>
      <x:c r="Q1687" s="16" t="n">
        <x:v>8</x:v>
      </x:c>
      <x:c r="R1687" s="16" t="n">
        <x:v>3</x:v>
      </x:c>
      <x:c r="S1687" s="16" t="n">
        <x:v>12</x:v>
      </x:c>
      <x:c r="T1687" s="16" t="n">
        <x:v>6</x:v>
      </x:c>
      <x:c r="U1687" s="16" t="n">
        <x:v>0</x:v>
      </x:c>
      <x:c r="V1687" s="16" t="n">
        <x:v>0</x:v>
      </x:c>
      <x:c r="W1687" s="16" t="n">
        <x:v>0</x:v>
      </x:c>
      <x:c r="X1687" s="16" t="n">
        <x:v>0</x:v>
      </x:c>
      <x:c r="Y1687" s="16" t="n">
        <x:v>0</x:v>
      </x:c>
      <x:c r="Z1687" s="16" t="n">
        <x:v>0</x:v>
      </x:c>
      <x:c r="AA1687" s="16" t="n">
        <x:v>3</x:v>
      </x:c>
      <x:c r="AB1687" s="16" t="n">
        <x:v>11</x:v>
      </x:c>
      <x:c r="AC1687" s="16" t="n">
        <x:v>0</x:v>
      </x:c>
      <x:c r="AD1687" s="21" t="n">
        <x:f>IF(E1687="",MEDIAN($E$2:$E$2237),E1687)</x:f>
        <x:v>58350</x:v>
      </x:c>
      <x:c r="AE1687" s="17" t="n">
        <x:f>2014-B1687</x:f>
        <x:v>43</x:v>
      </x:c>
      <x:c r="AF1687" s="17" t="n">
        <x:f>F1687+G1687</x:f>
        <x:v>1</x:v>
      </x:c>
      <x:c r="AG1687" s="21" t="n">
        <x:f>SUM(J1687:O1687)</x:f>
        <x:v>1001</x:v>
      </x:c>
      <x:c r="AH1687" s="17" t="n">
        <x:f>SUM(Q1687:S1687)</x:f>
        <x:v>23</x:v>
      </x:c>
      <x:c r="AI1687" s="17" t="n">
        <x:f>SUM(U1687:Y1687)</x:f>
        <x:v>0</x:v>
      </x:c>
      <x:c r="AJ1687" s="17" t="str">
        <x:f>IF(AE1687&lt;=34,"≤34",IF(AE1687&lt;=44,"35–44",IF(AE1687&lt;=54,"45–54",IF(AE1687&lt;=64,"55–64","65+"))))</x:f>
        <x:v>35–44</x:v>
      </x:c>
      <x:c r="AK1687" s="17" t="str">
        <x:f>IF(AG1687&gt;=1000,"High Value",IF(AG1687&gt;=300,"Mid Value","Low Value"))</x:f>
        <x:v>High Value</x:v>
      </x:c>
      <x:c r="AL1687" s="17" t="str">
        <x:f>IF(AND(AI1687&gt;=1,I1687&lt;=50),"Priority 1",IF(AND(AG1687&gt;=1000,I1687&lt;=60),"Priority 2",IF(I1687&lt;=30,"Priority 3","Nurture")))</x:f>
        <x:v>Priority 2</x:v>
      </x:c>
    </x:row>
    <x:row r="1688">
      <x:c r="A1688" s="16" t="n">
        <x:v>295</x:v>
      </x:c>
      <x:c r="B1688" s="16" t="n">
        <x:v>1989</x:v>
      </x:c>
      <x:c r="C1688" s="16" t="str">
        <x:v>Graduation</x:v>
      </x:c>
      <x:c r="D1688" s="16" t="str">
        <x:v>Single</x:v>
      </x:c>
      <x:c r="E1688" s="16" t="n">
        <x:v>81217</x:v>
      </x:c>
      <x:c r="F1688" s="16" t="n">
        <x:v>0</x:v>
      </x:c>
      <x:c r="G1688" s="16" t="n">
        <x:v>0</x:v>
      </x:c>
      <x:c r="H1688" s="16" t="str">
        <x:v>19-07-2013</x:v>
      </x:c>
      <x:c r="I1688" s="16" t="n">
        <x:v>77</x:v>
      </x:c>
      <x:c r="J1688" s="16" t="n">
        <x:v>493</x:v>
      </x:c>
      <x:c r="K1688" s="16" t="n">
        <x:v>70</x:v>
      </x:c>
      <x:c r="L1688" s="16" t="n">
        <x:v>324</x:v>
      </x:c>
      <x:c r="M1688" s="16" t="n">
        <x:v>146</x:v>
      </x:c>
      <x:c r="N1688" s="16" t="n">
        <x:v>40</x:v>
      </x:c>
      <x:c r="O1688" s="16" t="n">
        <x:v>84</x:v>
      </x:c>
      <x:c r="P1688" s="16" t="n">
        <x:v>1</x:v>
      </x:c>
      <x:c r="Q1688" s="16" t="n">
        <x:v>3</x:v>
      </x:c>
      <x:c r="R1688" s="16" t="n">
        <x:v>7</x:v>
      </x:c>
      <x:c r="S1688" s="16" t="n">
        <x:v>11</x:v>
      </x:c>
      <x:c r="T1688" s="16" t="n">
        <x:v>1</x:v>
      </x:c>
      <x:c r="U1688" s="16" t="n">
        <x:v>0</x:v>
      </x:c>
      <x:c r="V1688" s="16" t="n">
        <x:v>0</x:v>
      </x:c>
      <x:c r="W1688" s="16" t="n">
        <x:v>0</x:v>
      </x:c>
      <x:c r="X1688" s="16" t="n">
        <x:v>0</x:v>
      </x:c>
      <x:c r="Y1688" s="16" t="n">
        <x:v>0</x:v>
      </x:c>
      <x:c r="Z1688" s="16" t="n">
        <x:v>0</x:v>
      </x:c>
      <x:c r="AA1688" s="16" t="n">
        <x:v>3</x:v>
      </x:c>
      <x:c r="AB1688" s="16" t="n">
        <x:v>11</x:v>
      </x:c>
      <x:c r="AC1688" s="16" t="n">
        <x:v>0</x:v>
      </x:c>
      <x:c r="AD1688" s="21" t="n">
        <x:f>IF(E1688="",MEDIAN($E$2:$E$2237),E1688)</x:f>
        <x:v>81217</x:v>
      </x:c>
      <x:c r="AE1688" s="17" t="n">
        <x:f>2014-B1688</x:f>
        <x:v>25</x:v>
      </x:c>
      <x:c r="AF1688" s="17" t="n">
        <x:f>F1688+G1688</x:f>
        <x:v>0</x:v>
      </x:c>
      <x:c r="AG1688" s="21" t="n">
        <x:f>SUM(J1688:O1688)</x:f>
        <x:v>1157</x:v>
      </x:c>
      <x:c r="AH1688" s="17" t="n">
        <x:f>SUM(Q1688:S1688)</x:f>
        <x:v>21</x:v>
      </x:c>
      <x:c r="AI1688" s="17" t="n">
        <x:f>SUM(U1688:Y1688)</x:f>
        <x:v>0</x:v>
      </x:c>
      <x:c r="AJ1688" s="17" t="str">
        <x:f>IF(AE1688&lt;=34,"≤34",IF(AE1688&lt;=44,"35–44",IF(AE1688&lt;=54,"45–54",IF(AE1688&lt;=64,"55–64","65+"))))</x:f>
        <x:v>≤34</x:v>
      </x:c>
      <x:c r="AK1688" s="17" t="str">
        <x:f>IF(AG1688&gt;=1000,"High Value",IF(AG1688&gt;=300,"Mid Value","Low Value"))</x:f>
        <x:v>High Value</x:v>
      </x:c>
      <x:c r="AL1688" s="17" t="str">
        <x:f>IF(AND(AI1688&gt;=1,I1688&lt;=50),"Priority 1",IF(AND(AG1688&gt;=1000,I1688&lt;=60),"Priority 2",IF(I1688&lt;=30,"Priority 3","Nurture")))</x:f>
        <x:v>Nurture</x:v>
      </x:c>
    </x:row>
    <x:row r="1689">
      <x:c r="A1689" s="16" t="n">
        <x:v>7397</x:v>
      </x:c>
      <x:c r="B1689" s="16" t="n">
        <x:v>1951</x:v>
      </x:c>
      <x:c r="C1689" s="16" t="str">
        <x:v>Graduation</x:v>
      </x:c>
      <x:c r="D1689" s="16" t="str">
        <x:v>Single</x:v>
      </x:c>
      <x:c r="E1689" s="16" t="n">
        <x:v>49090</x:v>
      </x:c>
      <x:c r="F1689" s="16" t="n">
        <x:v>0</x:v>
      </x:c>
      <x:c r="G1689" s="16" t="n">
        <x:v>1</x:v>
      </x:c>
      <x:c r="H1689" s="16" t="str">
        <x:v>19-07-2013</x:v>
      </x:c>
      <x:c r="I1689" s="16" t="n">
        <x:v>45</x:v>
      </x:c>
      <x:c r="J1689" s="16" t="n">
        <x:v>494</x:v>
      </x:c>
      <x:c r="K1689" s="16" t="n">
        <x:v>5</x:v>
      </x:c>
      <x:c r="L1689" s="16" t="n">
        <x:v>82</x:v>
      </x:c>
      <x:c r="M1689" s="16" t="n">
        <x:v>7</x:v>
      </x:c>
      <x:c r="N1689" s="16" t="n">
        <x:v>0</x:v>
      </x:c>
      <x:c r="O1689" s="16" t="n">
        <x:v>100</x:v>
      </x:c>
      <x:c r="P1689" s="16" t="n">
        <x:v>3</x:v>
      </x:c>
      <x:c r="Q1689" s="16" t="n">
        <x:v>7</x:v>
      </x:c>
      <x:c r="R1689" s="16" t="n">
        <x:v>2</x:v>
      </x:c>
      <x:c r="S1689" s="16" t="n">
        <x:v>9</x:v>
      </x:c>
      <x:c r="T1689" s="16" t="n">
        <x:v>7</x:v>
      </x:c>
      <x:c r="U1689" s="16" t="n">
        <x:v>0</x:v>
      </x:c>
      <x:c r="V1689" s="16" t="n">
        <x:v>0</x:v>
      </x:c>
      <x:c r="W1689" s="16" t="n">
        <x:v>0</x:v>
      </x:c>
      <x:c r="X1689" s="16" t="n">
        <x:v>0</x:v>
      </x:c>
      <x:c r="Y1689" s="16" t="n">
        <x:v>0</x:v>
      </x:c>
      <x:c r="Z1689" s="16" t="n">
        <x:v>0</x:v>
      </x:c>
      <x:c r="AA1689" s="16" t="n">
        <x:v>3</x:v>
      </x:c>
      <x:c r="AB1689" s="16" t="n">
        <x:v>11</x:v>
      </x:c>
      <x:c r="AC1689" s="16" t="n">
        <x:v>0</x:v>
      </x:c>
      <x:c r="AD1689" s="21" t="n">
        <x:f>IF(E1689="",MEDIAN($E$2:$E$2237),E1689)</x:f>
        <x:v>49090</x:v>
      </x:c>
      <x:c r="AE1689" s="17" t="n">
        <x:f>2014-B1689</x:f>
        <x:v>63</x:v>
      </x:c>
      <x:c r="AF1689" s="17" t="n">
        <x:f>F1689+G1689</x:f>
        <x:v>1</x:v>
      </x:c>
      <x:c r="AG1689" s="21" t="n">
        <x:f>SUM(J1689:O1689)</x:f>
        <x:v>688</x:v>
      </x:c>
      <x:c r="AH1689" s="17" t="n">
        <x:f>SUM(Q1689:S1689)</x:f>
        <x:v>18</x:v>
      </x:c>
      <x:c r="AI1689" s="17" t="n">
        <x:f>SUM(U1689:Y1689)</x:f>
        <x:v>0</x:v>
      </x:c>
      <x:c r="AJ1689" s="17" t="str">
        <x:f>IF(AE1689&lt;=34,"≤34",IF(AE1689&lt;=44,"35–44",IF(AE1689&lt;=54,"45–54",IF(AE1689&lt;=64,"55–64","65+"))))</x:f>
        <x:v>55–64</x:v>
      </x:c>
      <x:c r="AK1689" s="17" t="str">
        <x:f>IF(AG1689&gt;=1000,"High Value",IF(AG1689&gt;=300,"Mid Value","Low Value"))</x:f>
        <x:v>Mid Value</x:v>
      </x:c>
      <x:c r="AL1689" s="17" t="str">
        <x:f>IF(AND(AI1689&gt;=1,I1689&lt;=50),"Priority 1",IF(AND(AG1689&gt;=1000,I1689&lt;=60),"Priority 2",IF(I1689&lt;=30,"Priority 3","Nurture")))</x:f>
        <x:v>Nurture</x:v>
      </x:c>
    </x:row>
    <x:row r="1690">
      <x:c r="A1690" s="16" t="n">
        <x:v>6349</x:v>
      </x:c>
      <x:c r="B1690" s="16" t="n">
        <x:v>1987</x:v>
      </x:c>
      <x:c r="C1690" s="16" t="str">
        <x:v>Master</x:v>
      </x:c>
      <x:c r="D1690" s="16" t="str">
        <x:v>Divorced</x:v>
      </x:c>
      <x:c r="E1690" s="16" t="n">
        <x:v>61787</x:v>
      </x:c>
      <x:c r="F1690" s="16" t="n">
        <x:v>0</x:v>
      </x:c>
      <x:c r="G1690" s="16" t="n">
        <x:v>0</x:v>
      </x:c>
      <x:c r="H1690" s="16" t="str">
        <x:v>06-07-2013</x:v>
      </x:c>
      <x:c r="I1690" s="16" t="n">
        <x:v>71</x:v>
      </x:c>
      <x:c r="J1690" s="16" t="n">
        <x:v>621</x:v>
      </x:c>
      <x:c r="K1690" s="16" t="n">
        <x:v>73</x:v>
      </x:c>
      <x:c r="L1690" s="16" t="n">
        <x:v>414</x:v>
      </x:c>
      <x:c r="M1690" s="16" t="n">
        <x:v>78</x:v>
      </x:c>
      <x:c r="N1690" s="16" t="n">
        <x:v>48</x:v>
      </x:c>
      <x:c r="O1690" s="16" t="n">
        <x:v>85</x:v>
      </x:c>
      <x:c r="P1690" s="16" t="n">
        <x:v>1</x:v>
      </x:c>
      <x:c r="Q1690" s="16" t="n">
        <x:v>8</x:v>
      </x:c>
      <x:c r="R1690" s="16" t="n">
        <x:v>4</x:v>
      </x:c>
      <x:c r="S1690" s="16" t="n">
        <x:v>6</x:v>
      </x:c>
      <x:c r="T1690" s="16" t="n">
        <x:v>5</x:v>
      </x:c>
      <x:c r="U1690" s="16" t="n">
        <x:v>0</x:v>
      </x:c>
      <x:c r="V1690" s="16" t="n">
        <x:v>0</x:v>
      </x:c>
      <x:c r="W1690" s="16" t="n">
        <x:v>0</x:v>
      </x:c>
      <x:c r="X1690" s="16" t="n">
        <x:v>0</x:v>
      </x:c>
      <x:c r="Y1690" s="16" t="n">
        <x:v>0</x:v>
      </x:c>
      <x:c r="Z1690" s="16" t="n">
        <x:v>0</x:v>
      </x:c>
      <x:c r="AA1690" s="16" t="n">
        <x:v>3</x:v>
      </x:c>
      <x:c r="AB1690" s="16" t="n">
        <x:v>11</x:v>
      </x:c>
      <x:c r="AC1690" s="16" t="n">
        <x:v>0</x:v>
      </x:c>
      <x:c r="AD1690" s="21" t="n">
        <x:f>IF(E1690="",MEDIAN($E$2:$E$2237),E1690)</x:f>
        <x:v>61787</x:v>
      </x:c>
      <x:c r="AE1690" s="17" t="n">
        <x:f>2014-B1690</x:f>
        <x:v>27</x:v>
      </x:c>
      <x:c r="AF1690" s="17" t="n">
        <x:f>F1690+G1690</x:f>
        <x:v>0</x:v>
      </x:c>
      <x:c r="AG1690" s="21" t="n">
        <x:f>SUM(J1690:O1690)</x:f>
        <x:v>1319</x:v>
      </x:c>
      <x:c r="AH1690" s="17" t="n">
        <x:f>SUM(Q1690:S1690)</x:f>
        <x:v>18</x:v>
      </x:c>
      <x:c r="AI1690" s="17" t="n">
        <x:f>SUM(U1690:Y1690)</x:f>
        <x:v>0</x:v>
      </x:c>
      <x:c r="AJ1690" s="17" t="str">
        <x:f>IF(AE1690&lt;=34,"≤34",IF(AE1690&lt;=44,"35–44",IF(AE1690&lt;=54,"45–54",IF(AE1690&lt;=64,"55–64","65+"))))</x:f>
        <x:v>≤34</x:v>
      </x:c>
      <x:c r="AK1690" s="17" t="str">
        <x:f>IF(AG1690&gt;=1000,"High Value",IF(AG1690&gt;=300,"Mid Value","Low Value"))</x:f>
        <x:v>High Value</x:v>
      </x:c>
      <x:c r="AL1690" s="17" t="str">
        <x:f>IF(AND(AI1690&gt;=1,I1690&lt;=50),"Priority 1",IF(AND(AG1690&gt;=1000,I1690&lt;=60),"Priority 2",IF(I1690&lt;=30,"Priority 3","Nurture")))</x:f>
        <x:v>Nurture</x:v>
      </x:c>
    </x:row>
    <x:row r="1691">
      <x:c r="A1691" s="16" t="n">
        <x:v>10790</x:v>
      </x:c>
      <x:c r="B1691" s="16" t="n">
        <x:v>1985</x:v>
      </x:c>
      <x:c r="C1691" s="16" t="str">
        <x:v>PhD</x:v>
      </x:c>
      <x:c r="D1691" s="16" t="str">
        <x:v>Married</x:v>
      </x:c>
      <x:c r="E1691" s="16" t="n">
        <x:v>18169</x:v>
      </x:c>
      <x:c r="F1691" s="16" t="n">
        <x:v>1</x:v>
      </x:c>
      <x:c r="G1691" s="16" t="n">
        <x:v>0</x:v>
      </x:c>
      <x:c r="H1691" s="16" t="str">
        <x:v>19-02-2013</x:v>
      </x:c>
      <x:c r="I1691" s="16" t="n">
        <x:v>40</x:v>
      </x:c>
      <x:c r="J1691" s="16" t="n">
        <x:v>9</x:v>
      </x:c>
      <x:c r="K1691" s="16" t="n">
        <x:v>0</x:v>
      </x:c>
      <x:c r="L1691" s="16" t="n">
        <x:v>5</x:v>
      </x:c>
      <x:c r="M1691" s="16" t="n">
        <x:v>0</x:v>
      </x:c>
      <x:c r="N1691" s="16" t="n">
        <x:v>0</x:v>
      </x:c>
      <x:c r="O1691" s="16" t="n">
        <x:v>7</x:v>
      </x:c>
      <x:c r="P1691" s="16" t="n">
        <x:v>1</x:v>
      </x:c>
      <x:c r="Q1691" s="16" t="n">
        <x:v>1</x:v>
      </x:c>
      <x:c r="R1691" s="16" t="n">
        <x:v>0</x:v>
      </x:c>
      <x:c r="S1691" s="16" t="n">
        <x:v>2</x:v>
      </x:c>
      <x:c r="T1691" s="16" t="n">
        <x:v>8</x:v>
      </x:c>
      <x:c r="U1691" s="16" t="n">
        <x:v>0</x:v>
      </x:c>
      <x:c r="V1691" s="16" t="n">
        <x:v>0</x:v>
      </x:c>
      <x:c r="W1691" s="16" t="n">
        <x:v>0</x:v>
      </x:c>
      <x:c r="X1691" s="16" t="n">
        <x:v>0</x:v>
      </x:c>
      <x:c r="Y1691" s="16" t="n">
        <x:v>0</x:v>
      </x:c>
      <x:c r="Z1691" s="16" t="n">
        <x:v>0</x:v>
      </x:c>
      <x:c r="AA1691" s="16" t="n">
        <x:v>3</x:v>
      </x:c>
      <x:c r="AB1691" s="16" t="n">
        <x:v>11</x:v>
      </x:c>
      <x:c r="AC1691" s="16" t="n">
        <x:v>0</x:v>
      </x:c>
      <x:c r="AD1691" s="21" t="n">
        <x:f>IF(E1691="",MEDIAN($E$2:$E$2237),E1691)</x:f>
        <x:v>18169</x:v>
      </x:c>
      <x:c r="AE1691" s="17" t="n">
        <x:f>2014-B1691</x:f>
        <x:v>29</x:v>
      </x:c>
      <x:c r="AF1691" s="17" t="n">
        <x:f>F1691+G1691</x:f>
        <x:v>1</x:v>
      </x:c>
      <x:c r="AG1691" s="21" t="n">
        <x:f>SUM(J1691:O1691)</x:f>
        <x:v>21</x:v>
      </x:c>
      <x:c r="AH1691" s="17" t="n">
        <x:f>SUM(Q1691:S1691)</x:f>
        <x:v>3</x:v>
      </x:c>
      <x:c r="AI1691" s="17" t="n">
        <x:f>SUM(U1691:Y1691)</x:f>
        <x:v>0</x:v>
      </x:c>
      <x:c r="AJ1691" s="17" t="str">
        <x:f>IF(AE1691&lt;=34,"≤34",IF(AE1691&lt;=44,"35–44",IF(AE1691&lt;=54,"45–54",IF(AE1691&lt;=64,"55–64","65+"))))</x:f>
        <x:v>≤34</x:v>
      </x:c>
      <x:c r="AK1691" s="17" t="str">
        <x:f>IF(AG1691&gt;=1000,"High Value",IF(AG1691&gt;=300,"Mid Value","Low Value"))</x:f>
        <x:v>Low Value</x:v>
      </x:c>
      <x:c r="AL1691" s="17" t="str">
        <x:f>IF(AND(AI1691&gt;=1,I1691&lt;=50),"Priority 1",IF(AND(AG1691&gt;=1000,I1691&lt;=60),"Priority 2",IF(I1691&lt;=30,"Priority 3","Nurture")))</x:f>
        <x:v>Nurture</x:v>
      </x:c>
    </x:row>
    <x:row r="1692">
      <x:c r="A1692" s="16" t="n">
        <x:v>10398</x:v>
      </x:c>
      <x:c r="B1692" s="16" t="n">
        <x:v>1981</x:v>
      </x:c>
      <x:c r="C1692" s="16" t="str">
        <x:v>2n Cycle</x:v>
      </x:c>
      <x:c r="D1692" s="16" t="str">
        <x:v>Single</x:v>
      </x:c>
      <x:c r="E1692" s="16" t="n">
        <x:v>24336</x:v>
      </x:c>
      <x:c r="F1692" s="16" t="n">
        <x:v>1</x:v>
      </x:c>
      <x:c r="G1692" s="16" t="n">
        <x:v>0</x:v>
      </x:c>
      <x:c r="H1692" s="16" t="str">
        <x:v>27-08-2012</x:v>
      </x:c>
      <x:c r="I1692" s="16" t="n">
        <x:v>82</x:v>
      </x:c>
      <x:c r="J1692" s="16" t="n">
        <x:v>1</x:v>
      </x:c>
      <x:c r="K1692" s="16" t="n">
        <x:v>6</x:v>
      </x:c>
      <x:c r="L1692" s="16" t="n">
        <x:v>2</x:v>
      </x:c>
      <x:c r="M1692" s="16" t="n">
        <x:v>8</x:v>
      </x:c>
      <x:c r="N1692" s="16" t="n">
        <x:v>2</x:v>
      </x:c>
      <x:c r="O1692" s="16" t="n">
        <x:v>12</x:v>
      </x:c>
      <x:c r="P1692" s="16" t="n">
        <x:v>1</x:v>
      </x:c>
      <x:c r="Q1692" s="16" t="n">
        <x:v>1</x:v>
      </x:c>
      <x:c r="R1692" s="16" t="n">
        <x:v>0</x:v>
      </x:c>
      <x:c r="S1692" s="16" t="n">
        <x:v>2</x:v>
      </x:c>
      <x:c r="T1692" s="16" t="n">
        <x:v>7</x:v>
      </x:c>
      <x:c r="U1692" s="16" t="n">
        <x:v>0</x:v>
      </x:c>
      <x:c r="V1692" s="16" t="n">
        <x:v>0</x:v>
      </x:c>
      <x:c r="W1692" s="16" t="n">
        <x:v>0</x:v>
      </x:c>
      <x:c r="X1692" s="16" t="n">
        <x:v>0</x:v>
      </x:c>
      <x:c r="Y1692" s="16" t="n">
        <x:v>0</x:v>
      </x:c>
      <x:c r="Z1692" s="16" t="n">
        <x:v>0</x:v>
      </x:c>
      <x:c r="AA1692" s="16" t="n">
        <x:v>3</x:v>
      </x:c>
      <x:c r="AB1692" s="16" t="n">
        <x:v>11</x:v>
      </x:c>
      <x:c r="AC1692" s="16" t="n">
        <x:v>0</x:v>
      </x:c>
      <x:c r="AD1692" s="21" t="n">
        <x:f>IF(E1692="",MEDIAN($E$2:$E$2237),E1692)</x:f>
        <x:v>24336</x:v>
      </x:c>
      <x:c r="AE1692" s="17" t="n">
        <x:f>2014-B1692</x:f>
        <x:v>33</x:v>
      </x:c>
      <x:c r="AF1692" s="17" t="n">
        <x:f>F1692+G1692</x:f>
        <x:v>1</x:v>
      </x:c>
      <x:c r="AG1692" s="21" t="n">
        <x:f>SUM(J1692:O1692)</x:f>
        <x:v>31</x:v>
      </x:c>
      <x:c r="AH1692" s="17" t="n">
        <x:f>SUM(Q1692:S1692)</x:f>
        <x:v>3</x:v>
      </x:c>
      <x:c r="AI1692" s="17" t="n">
        <x:f>SUM(U1692:Y1692)</x:f>
        <x:v>0</x:v>
      </x:c>
      <x:c r="AJ1692" s="17" t="str">
        <x:f>IF(AE1692&lt;=34,"≤34",IF(AE1692&lt;=44,"35–44",IF(AE1692&lt;=54,"45–54",IF(AE1692&lt;=64,"55–64","65+"))))</x:f>
        <x:v>≤34</x:v>
      </x:c>
      <x:c r="AK1692" s="17" t="str">
        <x:f>IF(AG1692&gt;=1000,"High Value",IF(AG1692&gt;=300,"Mid Value","Low Value"))</x:f>
        <x:v>Low Value</x:v>
      </x:c>
      <x:c r="AL1692" s="17" t="str">
        <x:f>IF(AND(AI1692&gt;=1,I1692&lt;=50),"Priority 1",IF(AND(AG1692&gt;=1000,I1692&lt;=60),"Priority 2",IF(I1692&lt;=30,"Priority 3","Nurture")))</x:f>
        <x:v>Nurture</x:v>
      </x:c>
    </x:row>
    <x:row r="1693">
      <x:c r="A1693" s="16" t="n">
        <x:v>2431</x:v>
      </x:c>
      <x:c r="B1693" s="16" t="n">
        <x:v>1990</x:v>
      </x:c>
      <x:c r="C1693" s="16" t="str">
        <x:v>Graduation</x:v>
      </x:c>
      <x:c r="D1693" s="16" t="str">
        <x:v>Married</x:v>
      </x:c>
      <x:c r="E1693" s="16" t="n">
        <x:v>18222</x:v>
      </x:c>
      <x:c r="F1693" s="16" t="n">
        <x:v>0</x:v>
      </x:c>
      <x:c r="G1693" s="16" t="n">
        <x:v>0</x:v>
      </x:c>
      <x:c r="H1693" s="16" t="str">
        <x:v>31-12-2012</x:v>
      </x:c>
      <x:c r="I1693" s="16" t="n">
        <x:v>70</x:v>
      </x:c>
      <x:c r="J1693" s="16" t="n">
        <x:v>12</x:v>
      </x:c>
      <x:c r="K1693" s="16" t="n">
        <x:v>4</x:v>
      </x:c>
      <x:c r="L1693" s="16" t="n">
        <x:v>19</x:v>
      </x:c>
      <x:c r="M1693" s="16" t="n">
        <x:v>12</x:v>
      </x:c>
      <x:c r="N1693" s="16" t="n">
        <x:v>6</x:v>
      </x:c>
      <x:c r="O1693" s="16" t="n">
        <x:v>14</x:v>
      </x:c>
      <x:c r="P1693" s="16" t="n">
        <x:v>1</x:v>
      </x:c>
      <x:c r="Q1693" s="16" t="n">
        <x:v>2</x:v>
      </x:c>
      <x:c r="R1693" s="16" t="n">
        <x:v>0</x:v>
      </x:c>
      <x:c r="S1693" s="16" t="n">
        <x:v>3</x:v>
      </x:c>
      <x:c r="T1693" s="16" t="n">
        <x:v>8</x:v>
      </x:c>
      <x:c r="U1693" s="16" t="n">
        <x:v>0</x:v>
      </x:c>
      <x:c r="V1693" s="16" t="n">
        <x:v>0</x:v>
      </x:c>
      <x:c r="W1693" s="16" t="n">
        <x:v>0</x:v>
      </x:c>
      <x:c r="X1693" s="16" t="n">
        <x:v>0</x:v>
      </x:c>
      <x:c r="Y1693" s="16" t="n">
        <x:v>0</x:v>
      </x:c>
      <x:c r="Z1693" s="16" t="n">
        <x:v>0</x:v>
      </x:c>
      <x:c r="AA1693" s="16" t="n">
        <x:v>3</x:v>
      </x:c>
      <x:c r="AB1693" s="16" t="n">
        <x:v>11</x:v>
      </x:c>
      <x:c r="AC1693" s="16" t="n">
        <x:v>0</x:v>
      </x:c>
      <x:c r="AD1693" s="21" t="n">
        <x:f>IF(E1693="",MEDIAN($E$2:$E$2237),E1693)</x:f>
        <x:v>18222</x:v>
      </x:c>
      <x:c r="AE1693" s="17" t="n">
        <x:f>2014-B1693</x:f>
        <x:v>24</x:v>
      </x:c>
      <x:c r="AF1693" s="17" t="n">
        <x:f>F1693+G1693</x:f>
        <x:v>0</x:v>
      </x:c>
      <x:c r="AG1693" s="21" t="n">
        <x:f>SUM(J1693:O1693)</x:f>
        <x:v>67</x:v>
      </x:c>
      <x:c r="AH1693" s="17" t="n">
        <x:f>SUM(Q1693:S1693)</x:f>
        <x:v>5</x:v>
      </x:c>
      <x:c r="AI1693" s="17" t="n">
        <x:f>SUM(U1693:Y1693)</x:f>
        <x:v>0</x:v>
      </x:c>
      <x:c r="AJ1693" s="17" t="str">
        <x:f>IF(AE1693&lt;=34,"≤34",IF(AE1693&lt;=44,"35–44",IF(AE1693&lt;=54,"45–54",IF(AE1693&lt;=64,"55–64","65+"))))</x:f>
        <x:v>≤34</x:v>
      </x:c>
      <x:c r="AK1693" s="17" t="str">
        <x:f>IF(AG1693&gt;=1000,"High Value",IF(AG1693&gt;=300,"Mid Value","Low Value"))</x:f>
        <x:v>Low Value</x:v>
      </x:c>
      <x:c r="AL1693" s="17" t="str">
        <x:f>IF(AND(AI1693&gt;=1,I1693&lt;=50),"Priority 1",IF(AND(AG1693&gt;=1000,I1693&lt;=60),"Priority 2",IF(I1693&lt;=30,"Priority 3","Nurture")))</x:f>
        <x:v>Nurture</x:v>
      </x:c>
    </x:row>
    <x:row r="1694">
      <x:c r="A1694" s="16" t="n">
        <x:v>550</x:v>
      </x:c>
      <x:c r="B1694" s="16" t="n">
        <x:v>1952</x:v>
      </x:c>
      <x:c r="C1694" s="16" t="str">
        <x:v>Graduation</x:v>
      </x:c>
      <x:c r="D1694" s="16" t="str">
        <x:v>Divorced</x:v>
      </x:c>
      <x:c r="E1694" s="16" t="n">
        <x:v>62335</x:v>
      </x:c>
      <x:c r="F1694" s="16" t="n">
        <x:v>0</x:v>
      </x:c>
      <x:c r="G1694" s="16" t="n">
        <x:v>1</x:v>
      </x:c>
      <x:c r="H1694" s="16" t="str">
        <x:v>23-05-2013</x:v>
      </x:c>
      <x:c r="I1694" s="16" t="n">
        <x:v>87</x:v>
      </x:c>
      <x:c r="J1694" s="16" t="n">
        <x:v>243</x:v>
      </x:c>
      <x:c r="K1694" s="16" t="n">
        <x:v>131</x:v>
      </x:c>
      <x:c r="L1694" s="16" t="n">
        <x:v>217</x:v>
      </x:c>
      <x:c r="M1694" s="16" t="n">
        <x:v>85</x:v>
      </x:c>
      <x:c r="N1694" s="16" t="n">
        <x:v>6</x:v>
      </x:c>
      <x:c r="O1694" s="16" t="n">
        <x:v>26</x:v>
      </x:c>
      <x:c r="P1694" s="16" t="n">
        <x:v>2</x:v>
      </x:c>
      <x:c r="Q1694" s="16" t="n">
        <x:v>3</x:v>
      </x:c>
      <x:c r="R1694" s="16" t="n">
        <x:v>3</x:v>
      </x:c>
      <x:c r="S1694" s="16" t="n">
        <x:v>13</x:v>
      </x:c>
      <x:c r="T1694" s="16" t="n">
        <x:v>2</x:v>
      </x:c>
      <x:c r="U1694" s="16" t="n">
        <x:v>0</x:v>
      </x:c>
      <x:c r="V1694" s="16" t="n">
        <x:v>0</x:v>
      </x:c>
      <x:c r="W1694" s="16" t="n">
        <x:v>0</x:v>
      </x:c>
      <x:c r="X1694" s="16" t="n">
        <x:v>0</x:v>
      </x:c>
      <x:c r="Y1694" s="16" t="n">
        <x:v>0</x:v>
      </x:c>
      <x:c r="Z1694" s="16" t="n">
        <x:v>0</x:v>
      </x:c>
      <x:c r="AA1694" s="16" t="n">
        <x:v>3</x:v>
      </x:c>
      <x:c r="AB1694" s="16" t="n">
        <x:v>11</x:v>
      </x:c>
      <x:c r="AC1694" s="16" t="n">
        <x:v>0</x:v>
      </x:c>
      <x:c r="AD1694" s="21" t="n">
        <x:f>IF(E1694="",MEDIAN($E$2:$E$2237),E1694)</x:f>
        <x:v>62335</x:v>
      </x:c>
      <x:c r="AE1694" s="17" t="n">
        <x:f>2014-B1694</x:f>
        <x:v>62</x:v>
      </x:c>
      <x:c r="AF1694" s="17" t="n">
        <x:f>F1694+G1694</x:f>
        <x:v>1</x:v>
      </x:c>
      <x:c r="AG1694" s="21" t="n">
        <x:f>SUM(J1694:O1694)</x:f>
        <x:v>708</x:v>
      </x:c>
      <x:c r="AH1694" s="17" t="n">
        <x:f>SUM(Q1694:S1694)</x:f>
        <x:v>19</x:v>
      </x:c>
      <x:c r="AI1694" s="17" t="n">
        <x:f>SUM(U1694:Y1694)</x:f>
        <x:v>0</x:v>
      </x:c>
      <x:c r="AJ1694" s="17" t="str">
        <x:f>IF(AE1694&lt;=34,"≤34",IF(AE1694&lt;=44,"35–44",IF(AE1694&lt;=54,"45–54",IF(AE1694&lt;=64,"55–64","65+"))))</x:f>
        <x:v>55–64</x:v>
      </x:c>
      <x:c r="AK1694" s="17" t="str">
        <x:f>IF(AG1694&gt;=1000,"High Value",IF(AG1694&gt;=300,"Mid Value","Low Value"))</x:f>
        <x:v>Mid Value</x:v>
      </x:c>
      <x:c r="AL1694" s="17" t="str">
        <x:f>IF(AND(AI1694&gt;=1,I1694&lt;=50),"Priority 1",IF(AND(AG1694&gt;=1000,I1694&lt;=60),"Priority 2",IF(I1694&lt;=30,"Priority 3","Nurture")))</x:f>
        <x:v>Nurture</x:v>
      </x:c>
    </x:row>
    <x:row r="1695">
      <x:c r="A1695" s="16" t="n">
        <x:v>1890</x:v>
      </x:c>
      <x:c r="B1695" s="16" t="n">
        <x:v>1971</x:v>
      </x:c>
      <x:c r="C1695" s="16" t="str">
        <x:v>2n Cycle</x:v>
      </x:c>
      <x:c r="D1695" s="16" t="str">
        <x:v>Together</x:v>
      </x:c>
      <x:c r="E1695" s="16" t="n">
        <x:v>42033</x:v>
      </x:c>
      <x:c r="F1695" s="16" t="n">
        <x:v>1</x:v>
      </x:c>
      <x:c r="G1695" s="16" t="n">
        <x:v>1</x:v>
      </x:c>
      <x:c r="H1695" s="16" t="str">
        <x:v>19-09-2012</x:v>
      </x:c>
      <x:c r="I1695" s="16" t="n">
        <x:v>95</x:v>
      </x:c>
      <x:c r="J1695" s="16" t="n">
        <x:v>11</x:v>
      </x:c>
      <x:c r="K1695" s="16" t="n">
        <x:v>1</x:v>
      </x:c>
      <x:c r="L1695" s="16" t="n">
        <x:v>4</x:v>
      </x:c>
      <x:c r="M1695" s="16" t="n">
        <x:v>2</x:v>
      </x:c>
      <x:c r="N1695" s="16" t="n">
        <x:v>0</x:v>
      </x:c>
      <x:c r="O1695" s="16" t="n">
        <x:v>7</x:v>
      </x:c>
      <x:c r="P1695" s="16" t="n">
        <x:v>1</x:v>
      </x:c>
      <x:c r="Q1695" s="16" t="n">
        <x:v>1</x:v>
      </x:c>
      <x:c r="R1695" s="16" t="n">
        <x:v>0</x:v>
      </x:c>
      <x:c r="S1695" s="16" t="n">
        <x:v>2</x:v>
      </x:c>
      <x:c r="T1695" s="16" t="n">
        <x:v>7</x:v>
      </x:c>
      <x:c r="U1695" s="16" t="n">
        <x:v>0</x:v>
      </x:c>
      <x:c r="V1695" s="16" t="n">
        <x:v>0</x:v>
      </x:c>
      <x:c r="W1695" s="16" t="n">
        <x:v>0</x:v>
      </x:c>
      <x:c r="X1695" s="16" t="n">
        <x:v>0</x:v>
      </x:c>
      <x:c r="Y1695" s="16" t="n">
        <x:v>0</x:v>
      </x:c>
      <x:c r="Z1695" s="16" t="n">
        <x:v>0</x:v>
      </x:c>
      <x:c r="AA1695" s="16" t="n">
        <x:v>3</x:v>
      </x:c>
      <x:c r="AB1695" s="16" t="n">
        <x:v>11</x:v>
      </x:c>
      <x:c r="AC1695" s="16" t="n">
        <x:v>0</x:v>
      </x:c>
      <x:c r="AD1695" s="21" t="n">
        <x:f>IF(E1695="",MEDIAN($E$2:$E$2237),E1695)</x:f>
        <x:v>42033</x:v>
      </x:c>
      <x:c r="AE1695" s="17" t="n">
        <x:f>2014-B1695</x:f>
        <x:v>43</x:v>
      </x:c>
      <x:c r="AF1695" s="17" t="n">
        <x:f>F1695+G1695</x:f>
        <x:v>2</x:v>
      </x:c>
      <x:c r="AG1695" s="21" t="n">
        <x:f>SUM(J1695:O1695)</x:f>
        <x:v>25</x:v>
      </x:c>
      <x:c r="AH1695" s="17" t="n">
        <x:f>SUM(Q1695:S1695)</x:f>
        <x:v>3</x:v>
      </x:c>
      <x:c r="AI1695" s="17" t="n">
        <x:f>SUM(U1695:Y1695)</x:f>
        <x:v>0</x:v>
      </x:c>
      <x:c r="AJ1695" s="17" t="str">
        <x:f>IF(AE1695&lt;=34,"≤34",IF(AE1695&lt;=44,"35–44",IF(AE1695&lt;=54,"45–54",IF(AE1695&lt;=64,"55–64","65+"))))</x:f>
        <x:v>35–44</x:v>
      </x:c>
      <x:c r="AK1695" s="17" t="str">
        <x:f>IF(AG1695&gt;=1000,"High Value",IF(AG1695&gt;=300,"Mid Value","Low Value"))</x:f>
        <x:v>Low Value</x:v>
      </x:c>
      <x:c r="AL1695" s="17" t="str">
        <x:f>IF(AND(AI1695&gt;=1,I1695&lt;=50),"Priority 1",IF(AND(AG1695&gt;=1000,I1695&lt;=60),"Priority 2",IF(I1695&lt;=30,"Priority 3","Nurture")))</x:f>
        <x:v>Nurture</x:v>
      </x:c>
    </x:row>
    <x:row r="1696">
      <x:c r="A1696" s="16" t="n">
        <x:v>10742</x:v>
      </x:c>
      <x:c r="B1696" s="16" t="n">
        <x:v>1983</x:v>
      </x:c>
      <x:c r="C1696" s="16" t="str">
        <x:v>PhD</x:v>
      </x:c>
      <x:c r="D1696" s="16" t="str">
        <x:v>Married</x:v>
      </x:c>
      <x:c r="E1696" s="16" t="n">
        <x:v>86580</x:v>
      </x:c>
      <x:c r="F1696" s="16" t="n">
        <x:v>0</x:v>
      </x:c>
      <x:c r="G1696" s="16" t="n">
        <x:v>0</x:v>
      </x:c>
      <x:c r="H1696" s="16" t="str">
        <x:v>27-02-2013</x:v>
      </x:c>
      <x:c r="I1696" s="16" t="n">
        <x:v>72</x:v>
      </x:c>
      <x:c r="J1696" s="16" t="n">
        <x:v>532</x:v>
      </x:c>
      <x:c r="K1696" s="16" t="n">
        <x:v>21</x:v>
      </x:c>
      <x:c r="L1696" s="16" t="n">
        <x:v>127</x:v>
      </x:c>
      <x:c r="M1696" s="16" t="n">
        <x:v>26</x:v>
      </x:c>
      <x:c r="N1696" s="16" t="n">
        <x:v>20</x:v>
      </x:c>
      <x:c r="O1696" s="16" t="n">
        <x:v>20</x:v>
      </x:c>
      <x:c r="P1696" s="16" t="n">
        <x:v>0</x:v>
      </x:c>
      <x:c r="Q1696" s="16" t="n">
        <x:v>4</x:v>
      </x:c>
      <x:c r="R1696" s="16" t="n">
        <x:v>2</x:v>
      </x:c>
      <x:c r="S1696" s="16" t="n">
        <x:v>5</x:v>
      </x:c>
      <x:c r="T1696" s="16" t="n">
        <x:v>1</x:v>
      </x:c>
      <x:c r="U1696" s="16" t="n">
        <x:v>0</x:v>
      </x:c>
      <x:c r="V1696" s="16" t="n">
        <x:v>0</x:v>
      </x:c>
      <x:c r="W1696" s="16" t="n">
        <x:v>1</x:v>
      </x:c>
      <x:c r="X1696" s="16" t="n">
        <x:v>0</x:v>
      </x:c>
      <x:c r="Y1696" s="16" t="n">
        <x:v>0</x:v>
      </x:c>
      <x:c r="Z1696" s="16" t="n">
        <x:v>0</x:v>
      </x:c>
      <x:c r="AA1696" s="16" t="n">
        <x:v>3</x:v>
      </x:c>
      <x:c r="AB1696" s="16" t="n">
        <x:v>11</x:v>
      </x:c>
      <x:c r="AC1696" s="16" t="n">
        <x:v>0</x:v>
      </x:c>
      <x:c r="AD1696" s="21" t="n">
        <x:f>IF(E1696="",MEDIAN($E$2:$E$2237),E1696)</x:f>
        <x:v>86580</x:v>
      </x:c>
      <x:c r="AE1696" s="17" t="n">
        <x:f>2014-B1696</x:f>
        <x:v>31</x:v>
      </x:c>
      <x:c r="AF1696" s="17" t="n">
        <x:f>F1696+G1696</x:f>
        <x:v>0</x:v>
      </x:c>
      <x:c r="AG1696" s="21" t="n">
        <x:f>SUM(J1696:O1696)</x:f>
        <x:v>746</x:v>
      </x:c>
      <x:c r="AH1696" s="17" t="n">
        <x:f>SUM(Q1696:S1696)</x:f>
        <x:v>11</x:v>
      </x:c>
      <x:c r="AI1696" s="17" t="n">
        <x:f>SUM(U1696:Y1696)</x:f>
        <x:v>1</x:v>
      </x:c>
      <x:c r="AJ1696" s="17" t="str">
        <x:f>IF(AE1696&lt;=34,"≤34",IF(AE1696&lt;=44,"35–44",IF(AE1696&lt;=54,"45–54",IF(AE1696&lt;=64,"55–64","65+"))))</x:f>
        <x:v>≤34</x:v>
      </x:c>
      <x:c r="AK1696" s="17" t="str">
        <x:f>IF(AG1696&gt;=1000,"High Value",IF(AG1696&gt;=300,"Mid Value","Low Value"))</x:f>
        <x:v>Mid Value</x:v>
      </x:c>
      <x:c r="AL1696" s="17" t="str">
        <x:f>IF(AND(AI1696&gt;=1,I1696&lt;=50),"Priority 1",IF(AND(AG1696&gt;=1000,I1696&lt;=60),"Priority 2",IF(I1696&lt;=30,"Priority 3","Nurture")))</x:f>
        <x:v>Nurture</x:v>
      </x:c>
    </x:row>
    <x:row r="1697">
      <x:c r="A1697" s="16" t="n">
        <x:v>10356</x:v>
      </x:c>
      <x:c r="B1697" s="16" t="n">
        <x:v>1957</x:v>
      </x:c>
      <x:c r="C1697" s="16" t="str">
        <x:v>PhD</x:v>
      </x:c>
      <x:c r="D1697" s="16" t="str">
        <x:v>Divorced</x:v>
      </x:c>
      <x:c r="E1697" s="16" t="n">
        <x:v>41437</x:v>
      </x:c>
      <x:c r="F1697" s="16" t="n">
        <x:v>1</x:v>
      </x:c>
      <x:c r="G1697" s="16" t="n">
        <x:v>1</x:v>
      </x:c>
      <x:c r="H1697" s="16" t="str">
        <x:v>22-09-2012</x:v>
      </x:c>
      <x:c r="I1697" s="16" t="n">
        <x:v>5</x:v>
      </x:c>
      <x:c r="J1697" s="16" t="n">
        <x:v>29</x:v>
      </x:c>
      <x:c r="K1697" s="16" t="n">
        <x:v>0</x:v>
      </x:c>
      <x:c r="L1697" s="16" t="n">
        <x:v>2</x:v>
      </x:c>
      <x:c r="M1697" s="16" t="n">
        <x:v>0</x:v>
      </x:c>
      <x:c r="N1697" s="16" t="n">
        <x:v>0</x:v>
      </x:c>
      <x:c r="O1697" s="16" t="n">
        <x:v>1</x:v>
      </x:c>
      <x:c r="P1697" s="16" t="n">
        <x:v>1</x:v>
      </x:c>
      <x:c r="Q1697" s="16" t="n">
        <x:v>1</x:v>
      </x:c>
      <x:c r="R1697" s="16" t="n">
        <x:v>0</x:v>
      </x:c>
      <x:c r="S1697" s="16" t="n">
        <x:v>3</x:v>
      </x:c>
      <x:c r="T1697" s="16" t="n">
        <x:v>7</x:v>
      </x:c>
      <x:c r="U1697" s="16" t="n">
        <x:v>0</x:v>
      </x:c>
      <x:c r="V1697" s="16" t="n">
        <x:v>0</x:v>
      </x:c>
      <x:c r="W1697" s="16" t="n">
        <x:v>0</x:v>
      </x:c>
      <x:c r="X1697" s="16" t="n">
        <x:v>0</x:v>
      </x:c>
      <x:c r="Y1697" s="16" t="n">
        <x:v>0</x:v>
      </x:c>
      <x:c r="Z1697" s="16" t="n">
        <x:v>0</x:v>
      </x:c>
      <x:c r="AA1697" s="16" t="n">
        <x:v>3</x:v>
      </x:c>
      <x:c r="AB1697" s="16" t="n">
        <x:v>11</x:v>
      </x:c>
      <x:c r="AC1697" s="16" t="n">
        <x:v>0</x:v>
      </x:c>
      <x:c r="AD1697" s="21" t="n">
        <x:f>IF(E1697="",MEDIAN($E$2:$E$2237),E1697)</x:f>
        <x:v>41437</x:v>
      </x:c>
      <x:c r="AE1697" s="17" t="n">
        <x:f>2014-B1697</x:f>
        <x:v>57</x:v>
      </x:c>
      <x:c r="AF1697" s="17" t="n">
        <x:f>F1697+G1697</x:f>
        <x:v>2</x:v>
      </x:c>
      <x:c r="AG1697" s="21" t="n">
        <x:f>SUM(J1697:O1697)</x:f>
        <x:v>32</x:v>
      </x:c>
      <x:c r="AH1697" s="17" t="n">
        <x:f>SUM(Q1697:S1697)</x:f>
        <x:v>4</x:v>
      </x:c>
      <x:c r="AI1697" s="17" t="n">
        <x:f>SUM(U1697:Y1697)</x:f>
        <x:v>0</x:v>
      </x:c>
      <x:c r="AJ1697" s="17" t="str">
        <x:f>IF(AE1697&lt;=34,"≤34",IF(AE1697&lt;=44,"35–44",IF(AE1697&lt;=54,"45–54",IF(AE1697&lt;=64,"55–64","65+"))))</x:f>
        <x:v>55–64</x:v>
      </x:c>
      <x:c r="AK1697" s="17" t="str">
        <x:f>IF(AG1697&gt;=1000,"High Value",IF(AG1697&gt;=300,"Mid Value","Low Value"))</x:f>
        <x:v>Low Value</x:v>
      </x:c>
      <x:c r="AL1697" s="17" t="str">
        <x:f>IF(AND(AI1697&gt;=1,I1697&lt;=50),"Priority 1",IF(AND(AG1697&gt;=1000,I1697&lt;=60),"Priority 2",IF(I1697&lt;=30,"Priority 3","Nurture")))</x:f>
        <x:v>Priority 3</x:v>
      </x:c>
    </x:row>
    <x:row r="1698">
      <x:c r="A1698" s="16" t="n">
        <x:v>4676</x:v>
      </x:c>
      <x:c r="B1698" s="16" t="n">
        <x:v>1951</x:v>
      </x:c>
      <x:c r="C1698" s="16" t="str">
        <x:v>Master</x:v>
      </x:c>
      <x:c r="D1698" s="16" t="str">
        <x:v>Widow</x:v>
      </x:c>
      <x:c r="E1698" s="16" t="n">
        <x:v>73705</x:v>
      </x:c>
      <x:c r="F1698" s="16" t="n">
        <x:v>0</x:v>
      </x:c>
      <x:c r="G1698" s="16" t="n">
        <x:v>2</x:v>
      </x:c>
      <x:c r="H1698" s="16" t="str">
        <x:v>05-03-2014</x:v>
      </x:c>
      <x:c r="I1698" s="16" t="n">
        <x:v>86</x:v>
      </x:c>
      <x:c r="J1698" s="16" t="n">
        <x:v>612</x:v>
      </x:c>
      <x:c r="K1698" s="16" t="n">
        <x:v>91</x:v>
      </x:c>
      <x:c r="L1698" s="16" t="n">
        <x:v>520</x:v>
      </x:c>
      <x:c r="M1698" s="16" t="n">
        <x:v>258</x:v>
      </x:c>
      <x:c r="N1698" s="16" t="n">
        <x:v>107</x:v>
      </x:c>
      <x:c r="O1698" s="16" t="n">
        <x:v>107</x:v>
      </x:c>
      <x:c r="P1698" s="16" t="n">
        <x:v>2</x:v>
      </x:c>
      <x:c r="Q1698" s="16" t="n">
        <x:v>9</x:v>
      </x:c>
      <x:c r="R1698" s="16" t="n">
        <x:v>6</x:v>
      </x:c>
      <x:c r="S1698" s="16" t="n">
        <x:v>8</x:v>
      </x:c>
      <x:c r="T1698" s="16" t="n">
        <x:v>5</x:v>
      </x:c>
      <x:c r="U1698" s="16" t="n">
        <x:v>0</x:v>
      </x:c>
      <x:c r="V1698" s="16" t="n">
        <x:v>0</x:v>
      </x:c>
      <x:c r="W1698" s="16" t="n">
        <x:v>0</x:v>
      </x:c>
      <x:c r="X1698" s="16" t="n">
        <x:v>0</x:v>
      </x:c>
      <x:c r="Y1698" s="16" t="n">
        <x:v>0</x:v>
      </x:c>
      <x:c r="Z1698" s="16" t="n">
        <x:v>0</x:v>
      </x:c>
      <x:c r="AA1698" s="16" t="n">
        <x:v>3</x:v>
      </x:c>
      <x:c r="AB1698" s="16" t="n">
        <x:v>11</x:v>
      </x:c>
      <x:c r="AC1698" s="16" t="n">
        <x:v>0</x:v>
      </x:c>
      <x:c r="AD1698" s="21" t="n">
        <x:f>IF(E1698="",MEDIAN($E$2:$E$2237),E1698)</x:f>
        <x:v>73705</x:v>
      </x:c>
      <x:c r="AE1698" s="17" t="n">
        <x:f>2014-B1698</x:f>
        <x:v>63</x:v>
      </x:c>
      <x:c r="AF1698" s="17" t="n">
        <x:f>F1698+G1698</x:f>
        <x:v>2</x:v>
      </x:c>
      <x:c r="AG1698" s="21" t="n">
        <x:f>SUM(J1698:O1698)</x:f>
        <x:v>1695</x:v>
      </x:c>
      <x:c r="AH1698" s="17" t="n">
        <x:f>SUM(Q1698:S1698)</x:f>
        <x:v>23</x:v>
      </x:c>
      <x:c r="AI1698" s="17" t="n">
        <x:f>SUM(U1698:Y1698)</x:f>
        <x:v>0</x:v>
      </x:c>
      <x:c r="AJ1698" s="17" t="str">
        <x:f>IF(AE1698&lt;=34,"≤34",IF(AE1698&lt;=44,"35–44",IF(AE1698&lt;=54,"45–54",IF(AE1698&lt;=64,"55–64","65+"))))</x:f>
        <x:v>55–64</x:v>
      </x:c>
      <x:c r="AK1698" s="17" t="str">
        <x:f>IF(AG1698&gt;=1000,"High Value",IF(AG1698&gt;=300,"Mid Value","Low Value"))</x:f>
        <x:v>High Value</x:v>
      </x:c>
      <x:c r="AL1698" s="17" t="str">
        <x:f>IF(AND(AI1698&gt;=1,I1698&lt;=50),"Priority 1",IF(AND(AG1698&gt;=1000,I1698&lt;=60),"Priority 2",IF(I1698&lt;=30,"Priority 3","Nurture")))</x:f>
        <x:v>Nurture</x:v>
      </x:c>
    </x:row>
    <x:row r="1699">
      <x:c r="A1699" s="16" t="n">
        <x:v>8852</x:v>
      </x:c>
      <x:c r="B1699" s="16" t="n">
        <x:v>1976</x:v>
      </x:c>
      <x:c r="C1699" s="16" t="str">
        <x:v>Graduation</x:v>
      </x:c>
      <x:c r="D1699" s="16" t="str">
        <x:v>Married</x:v>
      </x:c>
      <x:c r="E1699" s="16" t="n">
        <x:v>61064</x:v>
      </x:c>
      <x:c r="F1699" s="16" t="n">
        <x:v>0</x:v>
      </x:c>
      <x:c r="G1699" s="16" t="n">
        <x:v>1</x:v>
      </x:c>
      <x:c r="H1699" s="16" t="str">
        <x:v>31-08-2012</x:v>
      </x:c>
      <x:c r="I1699" s="16" t="n">
        <x:v>80</x:v>
      </x:c>
      <x:c r="J1699" s="16" t="n">
        <x:v>387</x:v>
      </x:c>
      <x:c r="K1699" s="16" t="n">
        <x:v>126</x:v>
      </x:c>
      <x:c r="L1699" s="16" t="n">
        <x:v>342</x:v>
      </x:c>
      <x:c r="M1699" s="16" t="n">
        <x:v>0</x:v>
      </x:c>
      <x:c r="N1699" s="16" t="n">
        <x:v>45</x:v>
      </x:c>
      <x:c r="O1699" s="16" t="n">
        <x:v>180</x:v>
      </x:c>
      <x:c r="P1699" s="16" t="n">
        <x:v>5</x:v>
      </x:c>
      <x:c r="Q1699" s="16" t="n">
        <x:v>8</x:v>
      </x:c>
      <x:c r="R1699" s="16" t="n">
        <x:v>4</x:v>
      </x:c>
      <x:c r="S1699" s="16" t="n">
        <x:v>11</x:v>
      </x:c>
      <x:c r="T1699" s="16" t="n">
        <x:v>6</x:v>
      </x:c>
      <x:c r="U1699" s="16" t="n">
        <x:v>0</x:v>
      </x:c>
      <x:c r="V1699" s="16" t="n">
        <x:v>0</x:v>
      </x:c>
      <x:c r="W1699" s="16" t="n">
        <x:v>0</x:v>
      </x:c>
      <x:c r="X1699" s="16" t="n">
        <x:v>0</x:v>
      </x:c>
      <x:c r="Y1699" s="16" t="n">
        <x:v>0</x:v>
      </x:c>
      <x:c r="Z1699" s="16" t="n">
        <x:v>0</x:v>
      </x:c>
      <x:c r="AA1699" s="16" t="n">
        <x:v>3</x:v>
      </x:c>
      <x:c r="AB1699" s="16" t="n">
        <x:v>11</x:v>
      </x:c>
      <x:c r="AC1699" s="16" t="n">
        <x:v>0</x:v>
      </x:c>
      <x:c r="AD1699" s="21" t="n">
        <x:f>IF(E1699="",MEDIAN($E$2:$E$2237),E1699)</x:f>
        <x:v>61064</x:v>
      </x:c>
      <x:c r="AE1699" s="17" t="n">
        <x:f>2014-B1699</x:f>
        <x:v>38</x:v>
      </x:c>
      <x:c r="AF1699" s="17" t="n">
        <x:f>F1699+G1699</x:f>
        <x:v>1</x:v>
      </x:c>
      <x:c r="AG1699" s="21" t="n">
        <x:f>SUM(J1699:O1699)</x:f>
        <x:v>1080</x:v>
      </x:c>
      <x:c r="AH1699" s="17" t="n">
        <x:f>SUM(Q1699:S1699)</x:f>
        <x:v>23</x:v>
      </x:c>
      <x:c r="AI1699" s="17" t="n">
        <x:f>SUM(U1699:Y1699)</x:f>
        <x:v>0</x:v>
      </x:c>
      <x:c r="AJ1699" s="17" t="str">
        <x:f>IF(AE1699&lt;=34,"≤34",IF(AE1699&lt;=44,"35–44",IF(AE1699&lt;=54,"45–54",IF(AE1699&lt;=64,"55–64","65+"))))</x:f>
        <x:v>35–44</x:v>
      </x:c>
      <x:c r="AK1699" s="17" t="str">
        <x:f>IF(AG1699&gt;=1000,"High Value",IF(AG1699&gt;=300,"Mid Value","Low Value"))</x:f>
        <x:v>High Value</x:v>
      </x:c>
      <x:c r="AL1699" s="17" t="str">
        <x:f>IF(AND(AI1699&gt;=1,I1699&lt;=50),"Priority 1",IF(AND(AG1699&gt;=1000,I1699&lt;=60),"Priority 2",IF(I1699&lt;=30,"Priority 3","Nurture")))</x:f>
        <x:v>Nurture</x:v>
      </x:c>
    </x:row>
    <x:row r="1700">
      <x:c r="A1700" s="16" t="n">
        <x:v>3565</x:v>
      </x:c>
      <x:c r="B1700" s="16" t="n">
        <x:v>1955</x:v>
      </x:c>
      <x:c r="C1700" s="16" t="str">
        <x:v>Master</x:v>
      </x:c>
      <x:c r="D1700" s="16" t="str">
        <x:v>Married</x:v>
      </x:c>
      <x:c r="E1700" s="16" t="n">
        <x:v>38452</x:v>
      </x:c>
      <x:c r="F1700" s="16" t="n">
        <x:v>1</x:v>
      </x:c>
      <x:c r="G1700" s="16" t="n">
        <x:v>1</x:v>
      </x:c>
      <x:c r="H1700" s="16" t="str">
        <x:v>30-03-2014</x:v>
      </x:c>
      <x:c r="I1700" s="16" t="n">
        <x:v>62</x:v>
      </x:c>
      <x:c r="J1700" s="16" t="n">
        <x:v>56</x:v>
      </x:c>
      <x:c r="K1700" s="16" t="n">
        <x:v>0</x:v>
      </x:c>
      <x:c r="L1700" s="16" t="n">
        <x:v>14</x:v>
      </x:c>
      <x:c r="M1700" s="16" t="n">
        <x:v>0</x:v>
      </x:c>
      <x:c r="N1700" s="16" t="n">
        <x:v>0</x:v>
      </x:c>
      <x:c r="O1700" s="16" t="n">
        <x:v>2</x:v>
      </x:c>
      <x:c r="P1700" s="16" t="n">
        <x:v>3</x:v>
      </x:c>
      <x:c r="Q1700" s="16" t="n">
        <x:v>3</x:v>
      </x:c>
      <x:c r="R1700" s="16" t="n">
        <x:v>0</x:v>
      </x:c>
      <x:c r="S1700" s="16" t="n">
        <x:v>3</x:v>
      </x:c>
      <x:c r="T1700" s="16" t="n">
        <x:v>7</x:v>
      </x:c>
      <x:c r="U1700" s="16" t="n">
        <x:v>0</x:v>
      </x:c>
      <x:c r="V1700" s="16" t="n">
        <x:v>0</x:v>
      </x:c>
      <x:c r="W1700" s="16" t="n">
        <x:v>0</x:v>
      </x:c>
      <x:c r="X1700" s="16" t="n">
        <x:v>0</x:v>
      </x:c>
      <x:c r="Y1700" s="16" t="n">
        <x:v>0</x:v>
      </x:c>
      <x:c r="Z1700" s="16" t="n">
        <x:v>0</x:v>
      </x:c>
      <x:c r="AA1700" s="16" t="n">
        <x:v>3</x:v>
      </x:c>
      <x:c r="AB1700" s="16" t="n">
        <x:v>11</x:v>
      </x:c>
      <x:c r="AC1700" s="16" t="n">
        <x:v>0</x:v>
      </x:c>
      <x:c r="AD1700" s="21" t="n">
        <x:f>IF(E1700="",MEDIAN($E$2:$E$2237),E1700)</x:f>
        <x:v>38452</x:v>
      </x:c>
      <x:c r="AE1700" s="17" t="n">
        <x:f>2014-B1700</x:f>
        <x:v>59</x:v>
      </x:c>
      <x:c r="AF1700" s="17" t="n">
        <x:f>F1700+G1700</x:f>
        <x:v>2</x:v>
      </x:c>
      <x:c r="AG1700" s="21" t="n">
        <x:f>SUM(J1700:O1700)</x:f>
        <x:v>72</x:v>
      </x:c>
      <x:c r="AH1700" s="17" t="n">
        <x:f>SUM(Q1700:S1700)</x:f>
        <x:v>6</x:v>
      </x:c>
      <x:c r="AI1700" s="17" t="n">
        <x:f>SUM(U1700:Y1700)</x:f>
        <x:v>0</x:v>
      </x:c>
      <x:c r="AJ1700" s="17" t="str">
        <x:f>IF(AE1700&lt;=34,"≤34",IF(AE1700&lt;=44,"35–44",IF(AE1700&lt;=54,"45–54",IF(AE1700&lt;=64,"55–64","65+"))))</x:f>
        <x:v>55–64</x:v>
      </x:c>
      <x:c r="AK1700" s="17" t="str">
        <x:f>IF(AG1700&gt;=1000,"High Value",IF(AG1700&gt;=300,"Mid Value","Low Value"))</x:f>
        <x:v>Low Value</x:v>
      </x:c>
      <x:c r="AL1700" s="17" t="str">
        <x:f>IF(AND(AI1700&gt;=1,I1700&lt;=50),"Priority 1",IF(AND(AG1700&gt;=1000,I1700&lt;=60),"Priority 2",IF(I1700&lt;=30,"Priority 3","Nurture")))</x:f>
        <x:v>Nurture</x:v>
      </x:c>
    </x:row>
    <x:row r="1701">
      <x:c r="A1701" s="16" t="n">
        <x:v>5294</x:v>
      </x:c>
      <x:c r="B1701" s="16" t="n">
        <x:v>1989</x:v>
      </x:c>
      <x:c r="C1701" s="16" t="str">
        <x:v>Graduation</x:v>
      </x:c>
      <x:c r="D1701" s="16" t="str">
        <x:v>Single</x:v>
      </x:c>
      <x:c r="E1701" s="16" t="n">
        <x:v>18358</x:v>
      </x:c>
      <x:c r="F1701" s="16" t="n">
        <x:v>1</x:v>
      </x:c>
      <x:c r="G1701" s="16" t="n">
        <x:v>0</x:v>
      </x:c>
      <x:c r="H1701" s="16" t="str">
        <x:v>20-11-2013</x:v>
      </x:c>
      <x:c r="I1701" s="16" t="n">
        <x:v>49</x:v>
      </x:c>
      <x:c r="J1701" s="16" t="n">
        <x:v>6</x:v>
      </x:c>
      <x:c r="K1701" s="16" t="n">
        <x:v>8</x:v>
      </x:c>
      <x:c r="L1701" s="16" t="n">
        <x:v>19</x:v>
      </x:c>
      <x:c r="M1701" s="16" t="n">
        <x:v>16</x:v>
      </x:c>
      <x:c r="N1701" s="16" t="n">
        <x:v>4</x:v>
      </x:c>
      <x:c r="O1701" s="16" t="n">
        <x:v>4</x:v>
      </x:c>
      <x:c r="P1701" s="16" t="n">
        <x:v>3</x:v>
      </x:c>
      <x:c r="Q1701" s="16" t="n">
        <x:v>3</x:v>
      </x:c>
      <x:c r="R1701" s="16" t="n">
        <x:v>0</x:v>
      </x:c>
      <x:c r="S1701" s="16" t="n">
        <x:v>4</x:v>
      </x:c>
      <x:c r="T1701" s="16" t="n">
        <x:v>7</x:v>
      </x:c>
      <x:c r="U1701" s="16" t="n">
        <x:v>0</x:v>
      </x:c>
      <x:c r="V1701" s="16" t="n">
        <x:v>0</x:v>
      </x:c>
      <x:c r="W1701" s="16" t="n">
        <x:v>0</x:v>
      </x:c>
      <x:c r="X1701" s="16" t="n">
        <x:v>0</x:v>
      </x:c>
      <x:c r="Y1701" s="16" t="n">
        <x:v>0</x:v>
      </x:c>
      <x:c r="Z1701" s="16" t="n">
        <x:v>0</x:v>
      </x:c>
      <x:c r="AA1701" s="16" t="n">
        <x:v>3</x:v>
      </x:c>
      <x:c r="AB1701" s="16" t="n">
        <x:v>11</x:v>
      </x:c>
      <x:c r="AC1701" s="16" t="n">
        <x:v>0</x:v>
      </x:c>
      <x:c r="AD1701" s="21" t="n">
        <x:f>IF(E1701="",MEDIAN($E$2:$E$2237),E1701)</x:f>
        <x:v>18358</x:v>
      </x:c>
      <x:c r="AE1701" s="17" t="n">
        <x:f>2014-B1701</x:f>
        <x:v>25</x:v>
      </x:c>
      <x:c r="AF1701" s="17" t="n">
        <x:f>F1701+G1701</x:f>
        <x:v>1</x:v>
      </x:c>
      <x:c r="AG1701" s="21" t="n">
        <x:f>SUM(J1701:O1701)</x:f>
        <x:v>57</x:v>
      </x:c>
      <x:c r="AH1701" s="17" t="n">
        <x:f>SUM(Q1701:S1701)</x:f>
        <x:v>7</x:v>
      </x:c>
      <x:c r="AI1701" s="17" t="n">
        <x:f>SUM(U1701:Y1701)</x:f>
        <x:v>0</x:v>
      </x:c>
      <x:c r="AJ1701" s="17" t="str">
        <x:f>IF(AE1701&lt;=34,"≤34",IF(AE1701&lt;=44,"35–44",IF(AE1701&lt;=54,"45–54",IF(AE1701&lt;=64,"55–64","65+"))))</x:f>
        <x:v>≤34</x:v>
      </x:c>
      <x:c r="AK1701" s="17" t="str">
        <x:f>IF(AG1701&gt;=1000,"High Value",IF(AG1701&gt;=300,"Mid Value","Low Value"))</x:f>
        <x:v>Low Value</x:v>
      </x:c>
      <x:c r="AL1701" s="17" t="str">
        <x:f>IF(AND(AI1701&gt;=1,I1701&lt;=50),"Priority 1",IF(AND(AG1701&gt;=1000,I1701&lt;=60),"Priority 2",IF(I1701&lt;=30,"Priority 3","Nurture")))</x:f>
        <x:v>Nurture</x:v>
      </x:c>
    </x:row>
    <x:row r="1702">
      <x:c r="A1702" s="16" t="n">
        <x:v>1958</x:v>
      </x:c>
      <x:c r="B1702" s="16" t="n">
        <x:v>1973</x:v>
      </x:c>
      <x:c r="C1702" s="16" t="str">
        <x:v>PhD</x:v>
      </x:c>
      <x:c r="D1702" s="16" t="str">
        <x:v>Together</x:v>
      </x:c>
      <x:c r="E1702" s="16" t="n">
        <x:v>55012</x:v>
      </x:c>
      <x:c r="F1702" s="16" t="n">
        <x:v>0</x:v>
      </x:c>
      <x:c r="G1702" s="16" t="n">
        <x:v>1</x:v>
      </x:c>
      <x:c r="H1702" s="16" t="str">
        <x:v>21-03-2014</x:v>
      </x:c>
      <x:c r="I1702" s="16" t="n">
        <x:v>85</x:v>
      </x:c>
      <x:c r="J1702" s="16" t="n">
        <x:v>582</x:v>
      </x:c>
      <x:c r="K1702" s="16" t="n">
        <x:v>0</x:v>
      </x:c>
      <x:c r="L1702" s="16" t="n">
        <x:v>65</x:v>
      </x:c>
      <x:c r="M1702" s="16" t="n">
        <x:v>0</x:v>
      </x:c>
      <x:c r="N1702" s="16" t="n">
        <x:v>0</x:v>
      </x:c>
      <x:c r="O1702" s="16" t="n">
        <x:v>13</x:v>
      </x:c>
      <x:c r="P1702" s="16" t="n">
        <x:v>6</x:v>
      </x:c>
      <x:c r="Q1702" s="16" t="n">
        <x:v>8</x:v>
      </x:c>
      <x:c r="R1702" s="16" t="n">
        <x:v>2</x:v>
      </x:c>
      <x:c r="S1702" s="16" t="n">
        <x:v>9</x:v>
      </x:c>
      <x:c r="T1702" s="16" t="n">
        <x:v>5</x:v>
      </x:c>
      <x:c r="U1702" s="16" t="n">
        <x:v>0</x:v>
      </x:c>
      <x:c r="V1702" s="16" t="n">
        <x:v>0</x:v>
      </x:c>
      <x:c r="W1702" s="16" t="n">
        <x:v>0</x:v>
      </x:c>
      <x:c r="X1702" s="16" t="n">
        <x:v>0</x:v>
      </x:c>
      <x:c r="Y1702" s="16" t="n">
        <x:v>0</x:v>
      </x:c>
      <x:c r="Z1702" s="16" t="n">
        <x:v>0</x:v>
      </x:c>
      <x:c r="AA1702" s="16" t="n">
        <x:v>3</x:v>
      </x:c>
      <x:c r="AB1702" s="16" t="n">
        <x:v>11</x:v>
      </x:c>
      <x:c r="AC1702" s="16" t="n">
        <x:v>0</x:v>
      </x:c>
      <x:c r="AD1702" s="21" t="n">
        <x:f>IF(E1702="",MEDIAN($E$2:$E$2237),E1702)</x:f>
        <x:v>55012</x:v>
      </x:c>
      <x:c r="AE1702" s="17" t="n">
        <x:f>2014-B1702</x:f>
        <x:v>41</x:v>
      </x:c>
      <x:c r="AF1702" s="17" t="n">
        <x:f>F1702+G1702</x:f>
        <x:v>1</x:v>
      </x:c>
      <x:c r="AG1702" s="21" t="n">
        <x:f>SUM(J1702:O1702)</x:f>
        <x:v>660</x:v>
      </x:c>
      <x:c r="AH1702" s="17" t="n">
        <x:f>SUM(Q1702:S1702)</x:f>
        <x:v>19</x:v>
      </x:c>
      <x:c r="AI1702" s="17" t="n">
        <x:f>SUM(U1702:Y1702)</x:f>
        <x:v>0</x:v>
      </x:c>
      <x:c r="AJ1702" s="17" t="str">
        <x:f>IF(AE1702&lt;=34,"≤34",IF(AE1702&lt;=44,"35–44",IF(AE1702&lt;=54,"45–54",IF(AE1702&lt;=64,"55–64","65+"))))</x:f>
        <x:v>35–44</x:v>
      </x:c>
      <x:c r="AK1702" s="17" t="str">
        <x:f>IF(AG1702&gt;=1000,"High Value",IF(AG1702&gt;=300,"Mid Value","Low Value"))</x:f>
        <x:v>Mid Value</x:v>
      </x:c>
      <x:c r="AL1702" s="17" t="str">
        <x:f>IF(AND(AI1702&gt;=1,I1702&lt;=50),"Priority 1",IF(AND(AG1702&gt;=1000,I1702&lt;=60),"Priority 2",IF(I1702&lt;=30,"Priority 3","Nurture")))</x:f>
        <x:v>Nurture</x:v>
      </x:c>
    </x:row>
    <x:row r="1703">
      <x:c r="A1703" s="16" t="n">
        <x:v>7349</x:v>
      </x:c>
      <x:c r="B1703" s="16" t="n">
        <x:v>1973</x:v>
      </x:c>
      <x:c r="C1703" s="16" t="str">
        <x:v>Basic</x:v>
      </x:c>
      <x:c r="D1703" s="16" t="str">
        <x:v>Together</x:v>
      </x:c>
      <x:c r="E1703" s="16" t="n">
        <x:v>9722</x:v>
      </x:c>
      <x:c r="F1703" s="16" t="n">
        <x:v>1</x:v>
      </x:c>
      <x:c r="G1703" s="16" t="n">
        <x:v>0</x:v>
      </x:c>
      <x:c r="H1703" s="16" t="str">
        <x:v>02-10-2012</x:v>
      </x:c>
      <x:c r="I1703" s="16" t="n">
        <x:v>7</x:v>
      </x:c>
      <x:c r="J1703" s="16" t="n">
        <x:v>6</x:v>
      </x:c>
      <x:c r="K1703" s="16" t="n">
        <x:v>17</x:v>
      </x:c>
      <x:c r="L1703" s="16" t="n">
        <x:v>16</x:v>
      </x:c>
      <x:c r="M1703" s="16" t="n">
        <x:v>6</x:v>
      </x:c>
      <x:c r="N1703" s="16" t="n">
        <x:v>16</x:v>
      </x:c>
      <x:c r="O1703" s="16" t="n">
        <x:v>42</x:v>
      </x:c>
      <x:c r="P1703" s="16" t="n">
        <x:v>4</x:v>
      </x:c>
      <x:c r="Q1703" s="16" t="n">
        <x:v>3</x:v>
      </x:c>
      <x:c r="R1703" s="16" t="n">
        <x:v>1</x:v>
      </x:c>
      <x:c r="S1703" s="16" t="n">
        <x:v>3</x:v>
      </x:c>
      <x:c r="T1703" s="16" t="n">
        <x:v>8</x:v>
      </x:c>
      <x:c r="U1703" s="16" t="n">
        <x:v>0</x:v>
      </x:c>
      <x:c r="V1703" s="16" t="n">
        <x:v>0</x:v>
      </x:c>
      <x:c r="W1703" s="16" t="n">
        <x:v>0</x:v>
      </x:c>
      <x:c r="X1703" s="16" t="n">
        <x:v>0</x:v>
      </x:c>
      <x:c r="Y1703" s="16" t="n">
        <x:v>0</x:v>
      </x:c>
      <x:c r="Z1703" s="16" t="n">
        <x:v>0</x:v>
      </x:c>
      <x:c r="AA1703" s="16" t="n">
        <x:v>3</x:v>
      </x:c>
      <x:c r="AB1703" s="16" t="n">
        <x:v>11</x:v>
      </x:c>
      <x:c r="AC1703" s="16" t="n">
        <x:v>1</x:v>
      </x:c>
      <x:c r="AD1703" s="21" t="n">
        <x:f>IF(E1703="",MEDIAN($E$2:$E$2237),E1703)</x:f>
        <x:v>9722</x:v>
      </x:c>
      <x:c r="AE1703" s="17" t="n">
        <x:f>2014-B1703</x:f>
        <x:v>41</x:v>
      </x:c>
      <x:c r="AF1703" s="17" t="n">
        <x:f>F1703+G1703</x:f>
        <x:v>1</x:v>
      </x:c>
      <x:c r="AG1703" s="21" t="n">
        <x:f>SUM(J1703:O1703)</x:f>
        <x:v>103</x:v>
      </x:c>
      <x:c r="AH1703" s="17" t="n">
        <x:f>SUM(Q1703:S1703)</x:f>
        <x:v>7</x:v>
      </x:c>
      <x:c r="AI1703" s="17" t="n">
        <x:f>SUM(U1703:Y1703)</x:f>
        <x:v>0</x:v>
      </x:c>
      <x:c r="AJ1703" s="17" t="str">
        <x:f>IF(AE1703&lt;=34,"≤34",IF(AE1703&lt;=44,"35–44",IF(AE1703&lt;=54,"45–54",IF(AE1703&lt;=64,"55–64","65+"))))</x:f>
        <x:v>35–44</x:v>
      </x:c>
      <x:c r="AK1703" s="17" t="str">
        <x:f>IF(AG1703&gt;=1000,"High Value",IF(AG1703&gt;=300,"Mid Value","Low Value"))</x:f>
        <x:v>Low Value</x:v>
      </x:c>
      <x:c r="AL1703" s="17" t="str">
        <x:f>IF(AND(AI1703&gt;=1,I1703&lt;=50),"Priority 1",IF(AND(AG1703&gt;=1000,I1703&lt;=60),"Priority 2",IF(I1703&lt;=30,"Priority 3","Nurture")))</x:f>
        <x:v>Priority 3</x:v>
      </x:c>
    </x:row>
    <x:row r="1704">
      <x:c r="A1704" s="16" t="n">
        <x:v>8799</x:v>
      </x:c>
      <x:c r="B1704" s="16" t="n">
        <x:v>1984</x:v>
      </x:c>
      <x:c r="C1704" s="16" t="str">
        <x:v>PhD</x:v>
      </x:c>
      <x:c r="D1704" s="16" t="str">
        <x:v>Married</x:v>
      </x:c>
      <x:c r="E1704" s="16" t="n">
        <x:v>38175</x:v>
      </x:c>
      <x:c r="F1704" s="16" t="n">
        <x:v>1</x:v>
      </x:c>
      <x:c r="G1704" s="16" t="n">
        <x:v>0</x:v>
      </x:c>
      <x:c r="H1704" s="16" t="str">
        <x:v>23-09-2013</x:v>
      </x:c>
      <x:c r="I1704" s="16" t="n">
        <x:v>6</x:v>
      </x:c>
      <x:c r="J1704" s="16" t="n">
        <x:v>70</x:v>
      </x:c>
      <x:c r="K1704" s="16" t="n">
        <x:v>6</x:v>
      </x:c>
      <x:c r="L1704" s="16" t="n">
        <x:v>69</x:v>
      </x:c>
      <x:c r="M1704" s="16" t="n">
        <x:v>2</x:v>
      </x:c>
      <x:c r="N1704" s="16" t="n">
        <x:v>3</x:v>
      </x:c>
      <x:c r="O1704" s="16" t="n">
        <x:v>3</x:v>
      </x:c>
      <x:c r="P1704" s="16" t="n">
        <x:v>3</x:v>
      </x:c>
      <x:c r="Q1704" s="16" t="n">
        <x:v>3</x:v>
      </x:c>
      <x:c r="R1704" s="16" t="n">
        <x:v>1</x:v>
      </x:c>
      <x:c r="S1704" s="16" t="n">
        <x:v>4</x:v>
      </x:c>
      <x:c r="T1704" s="16" t="n">
        <x:v>7</x:v>
      </x:c>
      <x:c r="U1704" s="16" t="n">
        <x:v>0</x:v>
      </x:c>
      <x:c r="V1704" s="16" t="n">
        <x:v>0</x:v>
      </x:c>
      <x:c r="W1704" s="16" t="n">
        <x:v>0</x:v>
      </x:c>
      <x:c r="X1704" s="16" t="n">
        <x:v>0</x:v>
      </x:c>
      <x:c r="Y1704" s="16" t="n">
        <x:v>0</x:v>
      </x:c>
      <x:c r="Z1704" s="16" t="n">
        <x:v>0</x:v>
      </x:c>
      <x:c r="AA1704" s="16" t="n">
        <x:v>3</x:v>
      </x:c>
      <x:c r="AB1704" s="16" t="n">
        <x:v>11</x:v>
      </x:c>
      <x:c r="AC1704" s="16" t="n">
        <x:v>0</x:v>
      </x:c>
      <x:c r="AD1704" s="21" t="n">
        <x:f>IF(E1704="",MEDIAN($E$2:$E$2237),E1704)</x:f>
        <x:v>38175</x:v>
      </x:c>
      <x:c r="AE1704" s="17" t="n">
        <x:f>2014-B1704</x:f>
        <x:v>30</x:v>
      </x:c>
      <x:c r="AF1704" s="17" t="n">
        <x:f>F1704+G1704</x:f>
        <x:v>1</x:v>
      </x:c>
      <x:c r="AG1704" s="21" t="n">
        <x:f>SUM(J1704:O1704)</x:f>
        <x:v>153</x:v>
      </x:c>
      <x:c r="AH1704" s="17" t="n">
        <x:f>SUM(Q1704:S1704)</x:f>
        <x:v>8</x:v>
      </x:c>
      <x:c r="AI1704" s="17" t="n">
        <x:f>SUM(U1704:Y1704)</x:f>
        <x:v>0</x:v>
      </x:c>
      <x:c r="AJ1704" s="17" t="str">
        <x:f>IF(AE1704&lt;=34,"≤34",IF(AE1704&lt;=44,"35–44",IF(AE1704&lt;=54,"45–54",IF(AE1704&lt;=64,"55–64","65+"))))</x:f>
        <x:v>≤34</x:v>
      </x:c>
      <x:c r="AK1704" s="17" t="str">
        <x:f>IF(AG1704&gt;=1000,"High Value",IF(AG1704&gt;=300,"Mid Value","Low Value"))</x:f>
        <x:v>Low Value</x:v>
      </x:c>
      <x:c r="AL1704" s="17" t="str">
        <x:f>IF(AND(AI1704&gt;=1,I1704&lt;=50),"Priority 1",IF(AND(AG1704&gt;=1000,I1704&lt;=60),"Priority 2",IF(I1704&lt;=30,"Priority 3","Nurture")))</x:f>
        <x:v>Priority 3</x:v>
      </x:c>
    </x:row>
    <x:row r="1705">
      <x:c r="A1705" s="16" t="n">
        <x:v>1351</x:v>
      </x:c>
      <x:c r="B1705" s="16" t="n">
        <x:v>1956</x:v>
      </x:c>
      <x:c r="C1705" s="16" t="str">
        <x:v>Master</x:v>
      </x:c>
      <x:c r="D1705" s="16" t="str">
        <x:v>Together</x:v>
      </x:c>
      <x:c r="E1705" s="16" t="n">
        <x:v>58656</x:v>
      </x:c>
      <x:c r="F1705" s="16" t="n">
        <x:v>0</x:v>
      </x:c>
      <x:c r="G1705" s="16" t="n">
        <x:v>1</x:v>
      </x:c>
      <x:c r="H1705" s="16" t="str">
        <x:v>20-09-2012</x:v>
      </x:c>
      <x:c r="I1705" s="16" t="n">
        <x:v>25</x:v>
      </x:c>
      <x:c r="J1705" s="16" t="n">
        <x:v>962</x:v>
      </x:c>
      <x:c r="K1705" s="16" t="n">
        <x:v>12</x:v>
      </x:c>
      <x:c r="L1705" s="16" t="n">
        <x:v>194</x:v>
      </x:c>
      <x:c r="M1705" s="16" t="n">
        <x:v>16</x:v>
      </x:c>
      <x:c r="N1705" s="16" t="n">
        <x:v>24</x:v>
      </x:c>
      <x:c r="O1705" s="16" t="n">
        <x:v>12</x:v>
      </x:c>
      <x:c r="P1705" s="16" t="n">
        <x:v>4</x:v>
      </x:c>
      <x:c r="Q1705" s="16" t="n">
        <x:v>7</x:v>
      </x:c>
      <x:c r="R1705" s="16" t="n">
        <x:v>8</x:v>
      </x:c>
      <x:c r="S1705" s="16" t="n">
        <x:v>13</x:v>
      </x:c>
      <x:c r="T1705" s="16" t="n">
        <x:v>6</x:v>
      </x:c>
      <x:c r="U1705" s="16" t="n">
        <x:v>0</x:v>
      </x:c>
      <x:c r="V1705" s="16" t="n">
        <x:v>0</x:v>
      </x:c>
      <x:c r="W1705" s="16" t="n">
        <x:v>1</x:v>
      </x:c>
      <x:c r="X1705" s="16" t="n">
        <x:v>0</x:v>
      </x:c>
      <x:c r="Y1705" s="16" t="n">
        <x:v>0</x:v>
      </x:c>
      <x:c r="Z1705" s="16" t="n">
        <x:v>0</x:v>
      </x:c>
      <x:c r="AA1705" s="16" t="n">
        <x:v>3</x:v>
      </x:c>
      <x:c r="AB1705" s="16" t="n">
        <x:v>11</x:v>
      </x:c>
      <x:c r="AC1705" s="16" t="n">
        <x:v>0</x:v>
      </x:c>
      <x:c r="AD1705" s="21" t="n">
        <x:f>IF(E1705="",MEDIAN($E$2:$E$2237),E1705)</x:f>
        <x:v>58656</x:v>
      </x:c>
      <x:c r="AE1705" s="17" t="n">
        <x:f>2014-B1705</x:f>
        <x:v>58</x:v>
      </x:c>
      <x:c r="AF1705" s="17" t="n">
        <x:f>F1705+G1705</x:f>
        <x:v>1</x:v>
      </x:c>
      <x:c r="AG1705" s="21" t="n">
        <x:f>SUM(J1705:O1705)</x:f>
        <x:v>1220</x:v>
      </x:c>
      <x:c r="AH1705" s="17" t="n">
        <x:f>SUM(Q1705:S1705)</x:f>
        <x:v>28</x:v>
      </x:c>
      <x:c r="AI1705" s="17" t="n">
        <x:f>SUM(U1705:Y1705)</x:f>
        <x:v>1</x:v>
      </x:c>
      <x:c r="AJ1705" s="17" t="str">
        <x:f>IF(AE1705&lt;=34,"≤34",IF(AE1705&lt;=44,"35–44",IF(AE1705&lt;=54,"45–54",IF(AE1705&lt;=64,"55–64","65+"))))</x:f>
        <x:v>55–64</x:v>
      </x:c>
      <x:c r="AK1705" s="17" t="str">
        <x:f>IF(AG1705&gt;=1000,"High Value",IF(AG1705&gt;=300,"Mid Value","Low Value"))</x:f>
        <x:v>High Value</x:v>
      </x:c>
      <x:c r="AL1705" s="17" t="str">
        <x:f>IF(AND(AI1705&gt;=1,I1705&lt;=50),"Priority 1",IF(AND(AG1705&gt;=1000,I1705&lt;=60),"Priority 2",IF(I1705&lt;=30,"Priority 3","Nurture")))</x:f>
        <x:v>Priority 1</x:v>
      </x:c>
    </x:row>
    <x:row r="1706">
      <x:c r="A1706" s="16" t="n">
        <x:v>1045</x:v>
      </x:c>
      <x:c r="B1706" s="16" t="n">
        <x:v>1965</x:v>
      </x:c>
      <x:c r="C1706" s="16" t="str">
        <x:v>Graduation</x:v>
      </x:c>
      <x:c r="D1706" s="16" t="str">
        <x:v>Together</x:v>
      </x:c>
      <x:c r="E1706" s="16" t="n">
        <x:v>52117</x:v>
      </x:c>
      <x:c r="F1706" s="16" t="n">
        <x:v>0</x:v>
      </x:c>
      <x:c r="G1706" s="16" t="n">
        <x:v>1</x:v>
      </x:c>
      <x:c r="H1706" s="16" t="str">
        <x:v>16-08-2012</x:v>
      </x:c>
      <x:c r="I1706" s="16" t="n">
        <x:v>55</x:v>
      </x:c>
      <x:c r="J1706" s="16" t="n">
        <x:v>112</x:v>
      </x:c>
      <x:c r="K1706" s="16" t="n">
        <x:v>10</x:v>
      </x:c>
      <x:c r="L1706" s="16" t="n">
        <x:v>107</x:v>
      </x:c>
      <x:c r="M1706" s="16" t="n">
        <x:v>30</x:v>
      </x:c>
      <x:c r="N1706" s="16" t="n">
        <x:v>0</x:v>
      </x:c>
      <x:c r="O1706" s="16" t="n">
        <x:v>20</x:v>
      </x:c>
      <x:c r="P1706" s="16" t="n">
        <x:v>2</x:v>
      </x:c>
      <x:c r="Q1706" s="16" t="n">
        <x:v>5</x:v>
      </x:c>
      <x:c r="R1706" s="16" t="n">
        <x:v>2</x:v>
      </x:c>
      <x:c r="S1706" s="16" t="n">
        <x:v>4</x:v>
      </x:c>
      <x:c r="T1706" s="16" t="n">
        <x:v>7</x:v>
      </x:c>
      <x:c r="U1706" s="16" t="n">
        <x:v>0</x:v>
      </x:c>
      <x:c r="V1706" s="16" t="n">
        <x:v>0</x:v>
      </x:c>
      <x:c r="W1706" s="16" t="n">
        <x:v>0</x:v>
      </x:c>
      <x:c r="X1706" s="16" t="n">
        <x:v>0</x:v>
      </x:c>
      <x:c r="Y1706" s="16" t="n">
        <x:v>0</x:v>
      </x:c>
      <x:c r="Z1706" s="16" t="n">
        <x:v>0</x:v>
      </x:c>
      <x:c r="AA1706" s="16" t="n">
        <x:v>3</x:v>
      </x:c>
      <x:c r="AB1706" s="16" t="n">
        <x:v>11</x:v>
      </x:c>
      <x:c r="AC1706" s="16" t="n">
        <x:v>0</x:v>
      </x:c>
      <x:c r="AD1706" s="21" t="n">
        <x:f>IF(E1706="",MEDIAN($E$2:$E$2237),E1706)</x:f>
        <x:v>52117</x:v>
      </x:c>
      <x:c r="AE1706" s="17" t="n">
        <x:f>2014-B1706</x:f>
        <x:v>49</x:v>
      </x:c>
      <x:c r="AF1706" s="17" t="n">
        <x:f>F1706+G1706</x:f>
        <x:v>1</x:v>
      </x:c>
      <x:c r="AG1706" s="21" t="n">
        <x:f>SUM(J1706:O1706)</x:f>
        <x:v>279</x:v>
      </x:c>
      <x:c r="AH1706" s="17" t="n">
        <x:f>SUM(Q1706:S1706)</x:f>
        <x:v>11</x:v>
      </x:c>
      <x:c r="AI1706" s="17" t="n">
        <x:f>SUM(U1706:Y1706)</x:f>
        <x:v>0</x:v>
      </x:c>
      <x:c r="AJ1706" s="17" t="str">
        <x:f>IF(AE1706&lt;=34,"≤34",IF(AE1706&lt;=44,"35–44",IF(AE1706&lt;=54,"45–54",IF(AE1706&lt;=64,"55–64","65+"))))</x:f>
        <x:v>45–54</x:v>
      </x:c>
      <x:c r="AK1706" s="17" t="str">
        <x:f>IF(AG1706&gt;=1000,"High Value",IF(AG1706&gt;=300,"Mid Value","Low Value"))</x:f>
        <x:v>Low Value</x:v>
      </x:c>
      <x:c r="AL1706" s="17" t="str">
        <x:f>IF(AND(AI1706&gt;=1,I1706&lt;=50),"Priority 1",IF(AND(AG1706&gt;=1000,I1706&lt;=60),"Priority 2",IF(I1706&lt;=30,"Priority 3","Nurture")))</x:f>
        <x:v>Nurture</x:v>
      </x:c>
    </x:row>
    <x:row r="1707">
      <x:c r="A1707" s="16" t="n">
        <x:v>7732</x:v>
      </x:c>
      <x:c r="B1707" s="16" t="n">
        <x:v>1978</x:v>
      </x:c>
      <x:c r="C1707" s="16" t="str">
        <x:v>Graduation</x:v>
      </x:c>
      <x:c r="D1707" s="16" t="str">
        <x:v>Married</x:v>
      </x:c>
      <x:c r="E1707" s="16" t="n">
        <x:v>64813</x:v>
      </x:c>
      <x:c r="F1707" s="16" t="n">
        <x:v>1</x:v>
      </x:c>
      <x:c r="G1707" s="16" t="n">
        <x:v>0</x:v>
      </x:c>
      <x:c r="H1707" s="16" t="str">
        <x:v>02-01-2014</x:v>
      </x:c>
      <x:c r="I1707" s="16" t="n">
        <x:v>81</x:v>
      </x:c>
      <x:c r="J1707" s="16" t="n">
        <x:v>293</x:v>
      </x:c>
      <x:c r="K1707" s="16" t="n">
        <x:v>0</x:v>
      </x:c>
      <x:c r="L1707" s="16" t="n">
        <x:v>124</x:v>
      </x:c>
      <x:c r="M1707" s="16" t="n">
        <x:v>179</x:v>
      </x:c>
      <x:c r="N1707" s="16" t="n">
        <x:v>97</x:v>
      </x:c>
      <x:c r="O1707" s="16" t="n">
        <x:v>52</x:v>
      </x:c>
      <x:c r="P1707" s="16" t="n">
        <x:v>1</x:v>
      </x:c>
      <x:c r="Q1707" s="16" t="n">
        <x:v>7</x:v>
      </x:c>
      <x:c r="R1707" s="16" t="n">
        <x:v>2</x:v>
      </x:c>
      <x:c r="S1707" s="16" t="n">
        <x:v>10</x:v>
      </x:c>
      <x:c r="T1707" s="16" t="n">
        <x:v>5</x:v>
      </x:c>
      <x:c r="U1707" s="16" t="n">
        <x:v>0</x:v>
      </x:c>
      <x:c r="V1707" s="16" t="n">
        <x:v>0</x:v>
      </x:c>
      <x:c r="W1707" s="16" t="n">
        <x:v>0</x:v>
      </x:c>
      <x:c r="X1707" s="16" t="n">
        <x:v>0</x:v>
      </x:c>
      <x:c r="Y1707" s="16" t="n">
        <x:v>0</x:v>
      </x:c>
      <x:c r="Z1707" s="16" t="n">
        <x:v>0</x:v>
      </x:c>
      <x:c r="AA1707" s="16" t="n">
        <x:v>3</x:v>
      </x:c>
      <x:c r="AB1707" s="16" t="n">
        <x:v>11</x:v>
      </x:c>
      <x:c r="AC1707" s="16" t="n">
        <x:v>0</x:v>
      </x:c>
      <x:c r="AD1707" s="21" t="n">
        <x:f>IF(E1707="",MEDIAN($E$2:$E$2237),E1707)</x:f>
        <x:v>64813</x:v>
      </x:c>
      <x:c r="AE1707" s="17" t="n">
        <x:f>2014-B1707</x:f>
        <x:v>36</x:v>
      </x:c>
      <x:c r="AF1707" s="17" t="n">
        <x:f>F1707+G1707</x:f>
        <x:v>1</x:v>
      </x:c>
      <x:c r="AG1707" s="21" t="n">
        <x:f>SUM(J1707:O1707)</x:f>
        <x:v>745</x:v>
      </x:c>
      <x:c r="AH1707" s="17" t="n">
        <x:f>SUM(Q1707:S1707)</x:f>
        <x:v>19</x:v>
      </x:c>
      <x:c r="AI1707" s="17" t="n">
        <x:f>SUM(U1707:Y1707)</x:f>
        <x:v>0</x:v>
      </x:c>
      <x:c r="AJ1707" s="17" t="str">
        <x:f>IF(AE1707&lt;=34,"≤34",IF(AE1707&lt;=44,"35–44",IF(AE1707&lt;=54,"45–54",IF(AE1707&lt;=64,"55–64","65+"))))</x:f>
        <x:v>35–44</x:v>
      </x:c>
      <x:c r="AK1707" s="17" t="str">
        <x:f>IF(AG1707&gt;=1000,"High Value",IF(AG1707&gt;=300,"Mid Value","Low Value"))</x:f>
        <x:v>Mid Value</x:v>
      </x:c>
      <x:c r="AL1707" s="17" t="str">
        <x:f>IF(AND(AI1707&gt;=1,I1707&lt;=50),"Priority 1",IF(AND(AG1707&gt;=1000,I1707&lt;=60),"Priority 2",IF(I1707&lt;=30,"Priority 3","Nurture")))</x:f>
        <x:v>Nurture</x:v>
      </x:c>
    </x:row>
    <x:row r="1708">
      <x:c r="A1708" s="16" t="n">
        <x:v>8070</x:v>
      </x:c>
      <x:c r="B1708" s="16" t="n">
        <x:v>1973</x:v>
      </x:c>
      <x:c r="C1708" s="16" t="str">
        <x:v>PhD</x:v>
      </x:c>
      <x:c r="D1708" s="16" t="str">
        <x:v>Married</x:v>
      </x:c>
      <x:c r="E1708" s="16" t="n">
        <x:v>54222</x:v>
      </x:c>
      <x:c r="F1708" s="16" t="n">
        <x:v>0</x:v>
      </x:c>
      <x:c r="G1708" s="16" t="n">
        <x:v>1</x:v>
      </x:c>
      <x:c r="H1708" s="16" t="str">
        <x:v>01-03-2014</x:v>
      </x:c>
      <x:c r="I1708" s="16" t="n">
        <x:v>98</x:v>
      </x:c>
      <x:c r="J1708" s="16" t="n">
        <x:v>199</x:v>
      </x:c>
      <x:c r="K1708" s="16" t="n">
        <x:v>12</x:v>
      </x:c>
      <x:c r="L1708" s="16" t="n">
        <x:v>31</x:v>
      </x:c>
      <x:c r="M1708" s="16" t="n">
        <x:v>3</x:v>
      </x:c>
      <x:c r="N1708" s="16" t="n">
        <x:v>12</x:v>
      </x:c>
      <x:c r="O1708" s="16" t="n">
        <x:v>7</x:v>
      </x:c>
      <x:c r="P1708" s="16" t="n">
        <x:v>1</x:v>
      </x:c>
      <x:c r="Q1708" s="16" t="n">
        <x:v>3</x:v>
      </x:c>
      <x:c r="R1708" s="16" t="n">
        <x:v>3</x:v>
      </x:c>
      <x:c r="S1708" s="16" t="n">
        <x:v>5</x:v>
      </x:c>
      <x:c r="T1708" s="16" t="n">
        <x:v>3</x:v>
      </x:c>
      <x:c r="U1708" s="16" t="n">
        <x:v>0</x:v>
      </x:c>
      <x:c r="V1708" s="16" t="n">
        <x:v>0</x:v>
      </x:c>
      <x:c r="W1708" s="16" t="n">
        <x:v>0</x:v>
      </x:c>
      <x:c r="X1708" s="16" t="n">
        <x:v>0</x:v>
      </x:c>
      <x:c r="Y1708" s="16" t="n">
        <x:v>0</x:v>
      </x:c>
      <x:c r="Z1708" s="16" t="n">
        <x:v>0</x:v>
      </x:c>
      <x:c r="AA1708" s="16" t="n">
        <x:v>3</x:v>
      </x:c>
      <x:c r="AB1708" s="16" t="n">
        <x:v>11</x:v>
      </x:c>
      <x:c r="AC1708" s="16" t="n">
        <x:v>0</x:v>
      </x:c>
      <x:c r="AD1708" s="21" t="n">
        <x:f>IF(E1708="",MEDIAN($E$2:$E$2237),E1708)</x:f>
        <x:v>54222</x:v>
      </x:c>
      <x:c r="AE1708" s="17" t="n">
        <x:f>2014-B1708</x:f>
        <x:v>41</x:v>
      </x:c>
      <x:c r="AF1708" s="17" t="n">
        <x:f>F1708+G1708</x:f>
        <x:v>1</x:v>
      </x:c>
      <x:c r="AG1708" s="21" t="n">
        <x:f>SUM(J1708:O1708)</x:f>
        <x:v>264</x:v>
      </x:c>
      <x:c r="AH1708" s="17" t="n">
        <x:f>SUM(Q1708:S1708)</x:f>
        <x:v>11</x:v>
      </x:c>
      <x:c r="AI1708" s="17" t="n">
        <x:f>SUM(U1708:Y1708)</x:f>
        <x:v>0</x:v>
      </x:c>
      <x:c r="AJ1708" s="17" t="str">
        <x:f>IF(AE1708&lt;=34,"≤34",IF(AE1708&lt;=44,"35–44",IF(AE1708&lt;=54,"45–54",IF(AE1708&lt;=64,"55–64","65+"))))</x:f>
        <x:v>35–44</x:v>
      </x:c>
      <x:c r="AK1708" s="17" t="str">
        <x:f>IF(AG1708&gt;=1000,"High Value",IF(AG1708&gt;=300,"Mid Value","Low Value"))</x:f>
        <x:v>Low Value</x:v>
      </x:c>
      <x:c r="AL1708" s="17" t="str">
        <x:f>IF(AND(AI1708&gt;=1,I1708&lt;=50),"Priority 1",IF(AND(AG1708&gt;=1000,I1708&lt;=60),"Priority 2",IF(I1708&lt;=30,"Priority 3","Nurture")))</x:f>
        <x:v>Nurture</x:v>
      </x:c>
    </x:row>
    <x:row r="1709">
      <x:c r="A1709" s="16" t="n">
        <x:v>477</x:v>
      </x:c>
      <x:c r="B1709" s="16" t="n">
        <x:v>1986</x:v>
      </x:c>
      <x:c r="C1709" s="16" t="str">
        <x:v>Graduation</x:v>
      </x:c>
      <x:c r="D1709" s="16" t="str">
        <x:v>Married</x:v>
      </x:c>
      <x:c r="E1709" s="16" t="n">
        <x:v>83512</x:v>
      </x:c>
      <x:c r="F1709" s="16" t="n">
        <x:v>0</x:v>
      </x:c>
      <x:c r="G1709" s="16" t="n">
        <x:v>0</x:v>
      </x:c>
      <x:c r="H1709" s="16" t="str">
        <x:v>17-06-2014</x:v>
      </x:c>
      <x:c r="I1709" s="16" t="n">
        <x:v>31</x:v>
      </x:c>
      <x:c r="J1709" s="16" t="n">
        <x:v>1060</x:v>
      </x:c>
      <x:c r="K1709" s="16" t="n">
        <x:v>61</x:v>
      </x:c>
      <x:c r="L1709" s="16" t="n">
        <x:v>835</x:v>
      </x:c>
      <x:c r="M1709" s="16" t="n">
        <x:v>80</x:v>
      </x:c>
      <x:c r="N1709" s="16" t="n">
        <x:v>20</x:v>
      </x:c>
      <x:c r="O1709" s="16" t="n">
        <x:v>101</x:v>
      </x:c>
      <x:c r="P1709" s="16" t="n">
        <x:v>1</x:v>
      </x:c>
      <x:c r="Q1709" s="16" t="n">
        <x:v>4</x:v>
      </x:c>
      <x:c r="R1709" s="16" t="n">
        <x:v>7</x:v>
      </x:c>
      <x:c r="S1709" s="16" t="n">
        <x:v>10</x:v>
      </x:c>
      <x:c r="T1709" s="16" t="n">
        <x:v>1</x:v>
      </x:c>
      <x:c r="U1709" s="16" t="n">
        <x:v>1</x:v>
      </x:c>
      <x:c r="V1709" s="16" t="n">
        <x:v>0</x:v>
      </x:c>
      <x:c r="W1709" s="16" t="n">
        <x:v>1</x:v>
      </x:c>
      <x:c r="X1709" s="16" t="n">
        <x:v>1</x:v>
      </x:c>
      <x:c r="Y1709" s="16" t="n">
        <x:v>1</x:v>
      </x:c>
      <x:c r="Z1709" s="16" t="n">
        <x:v>0</x:v>
      </x:c>
      <x:c r="AA1709" s="16" t="n">
        <x:v>3</x:v>
      </x:c>
      <x:c r="AB1709" s="16" t="n">
        <x:v>11</x:v>
      </x:c>
      <x:c r="AC1709" s="16" t="n">
        <x:v>1</x:v>
      </x:c>
      <x:c r="AD1709" s="21" t="n">
        <x:f>IF(E1709="",MEDIAN($E$2:$E$2237),E1709)</x:f>
        <x:v>83512</x:v>
      </x:c>
      <x:c r="AE1709" s="17" t="n">
        <x:f>2014-B1709</x:f>
        <x:v>28</x:v>
      </x:c>
      <x:c r="AF1709" s="17" t="n">
        <x:f>F1709+G1709</x:f>
        <x:v>0</x:v>
      </x:c>
      <x:c r="AG1709" s="21" t="n">
        <x:f>SUM(J1709:O1709)</x:f>
        <x:v>2157</x:v>
      </x:c>
      <x:c r="AH1709" s="17" t="n">
        <x:f>SUM(Q1709:S1709)</x:f>
        <x:v>21</x:v>
      </x:c>
      <x:c r="AI1709" s="17" t="n">
        <x:f>SUM(U1709:Y1709)</x:f>
        <x:v>4</x:v>
      </x:c>
      <x:c r="AJ1709" s="17" t="str">
        <x:f>IF(AE1709&lt;=34,"≤34",IF(AE1709&lt;=44,"35–44",IF(AE1709&lt;=54,"45–54",IF(AE1709&lt;=64,"55–64","65+"))))</x:f>
        <x:v>≤34</x:v>
      </x:c>
      <x:c r="AK1709" s="17" t="str">
        <x:f>IF(AG1709&gt;=1000,"High Value",IF(AG1709&gt;=300,"Mid Value","Low Value"))</x:f>
        <x:v>High Value</x:v>
      </x:c>
      <x:c r="AL1709" s="17" t="str">
        <x:f>IF(AND(AI1709&gt;=1,I1709&lt;=50),"Priority 1",IF(AND(AG1709&gt;=1000,I1709&lt;=60),"Priority 2",IF(I1709&lt;=30,"Priority 3","Nurture")))</x:f>
        <x:v>Priority 1</x:v>
      </x:c>
    </x:row>
    <x:row r="1710">
      <x:c r="A1710" s="16" t="n">
        <x:v>7832</x:v>
      </x:c>
      <x:c r="B1710" s="16" t="n">
        <x:v>1959</x:v>
      </x:c>
      <x:c r="C1710" s="16" t="str">
        <x:v>Master</x:v>
      </x:c>
      <x:c r="D1710" s="16" t="str">
        <x:v>Married</x:v>
      </x:c>
      <x:c r="E1710" s="16" t="n">
        <x:v>77520</x:v>
      </x:c>
      <x:c r="F1710" s="16" t="n">
        <x:v>0</x:v>
      </x:c>
      <x:c r="G1710" s="16" t="n">
        <x:v>1</x:v>
      </x:c>
      <x:c r="H1710" s="16" t="str">
        <x:v>28-08-2013</x:v>
      </x:c>
      <x:c r="I1710" s="16" t="n">
        <x:v>30</x:v>
      </x:c>
      <x:c r="J1710" s="16" t="n">
        <x:v>940</x:v>
      </x:c>
      <x:c r="K1710" s="16" t="n">
        <x:v>44</x:v>
      </x:c>
      <x:c r="L1710" s="16" t="n">
        <x:v>396</x:v>
      </x:c>
      <x:c r="M1710" s="16" t="n">
        <x:v>0</x:v>
      </x:c>
      <x:c r="N1710" s="16" t="n">
        <x:v>88</x:v>
      </x:c>
      <x:c r="O1710" s="16" t="n">
        <x:v>58</x:v>
      </x:c>
      <x:c r="P1710" s="16" t="n">
        <x:v>1</x:v>
      </x:c>
      <x:c r="Q1710" s="16" t="n">
        <x:v>8</x:v>
      </x:c>
      <x:c r="R1710" s="16" t="n">
        <x:v>7</x:v>
      </x:c>
      <x:c r="S1710" s="16" t="n">
        <x:v>7</x:v>
      </x:c>
      <x:c r="T1710" s="16" t="n">
        <x:v>4</x:v>
      </x:c>
      <x:c r="U1710" s="16" t="n">
        <x:v>1</x:v>
      </x:c>
      <x:c r="V1710" s="16" t="n">
        <x:v>0</x:v>
      </x:c>
      <x:c r="W1710" s="16" t="n">
        <x:v>1</x:v>
      </x:c>
      <x:c r="X1710" s="16" t="n">
        <x:v>1</x:v>
      </x:c>
      <x:c r="Y1710" s="16" t="n">
        <x:v>0</x:v>
      </x:c>
      <x:c r="Z1710" s="16" t="n">
        <x:v>0</x:v>
      </x:c>
      <x:c r="AA1710" s="16" t="n">
        <x:v>3</x:v>
      </x:c>
      <x:c r="AB1710" s="16" t="n">
        <x:v>11</x:v>
      </x:c>
      <x:c r="AC1710" s="16" t="n">
        <x:v>1</x:v>
      </x:c>
      <x:c r="AD1710" s="21" t="n">
        <x:f>IF(E1710="",MEDIAN($E$2:$E$2237),E1710)</x:f>
        <x:v>77520</x:v>
      </x:c>
      <x:c r="AE1710" s="17" t="n">
        <x:f>2014-B1710</x:f>
        <x:v>55</x:v>
      </x:c>
      <x:c r="AF1710" s="17" t="n">
        <x:f>F1710+G1710</x:f>
        <x:v>1</x:v>
      </x:c>
      <x:c r="AG1710" s="21" t="n">
        <x:f>SUM(J1710:O1710)</x:f>
        <x:v>1526</x:v>
      </x:c>
      <x:c r="AH1710" s="17" t="n">
        <x:f>SUM(Q1710:S1710)</x:f>
        <x:v>22</x:v>
      </x:c>
      <x:c r="AI1710" s="17" t="n">
        <x:f>SUM(U1710:Y1710)</x:f>
        <x:v>3</x:v>
      </x:c>
      <x:c r="AJ1710" s="17" t="str">
        <x:f>IF(AE1710&lt;=34,"≤34",IF(AE1710&lt;=44,"35–44",IF(AE1710&lt;=54,"45–54",IF(AE1710&lt;=64,"55–64","65+"))))</x:f>
        <x:v>55–64</x:v>
      </x:c>
      <x:c r="AK1710" s="17" t="str">
        <x:f>IF(AG1710&gt;=1000,"High Value",IF(AG1710&gt;=300,"Mid Value","Low Value"))</x:f>
        <x:v>High Value</x:v>
      </x:c>
      <x:c r="AL1710" s="17" t="str">
        <x:f>IF(AND(AI1710&gt;=1,I1710&lt;=50),"Priority 1",IF(AND(AG1710&gt;=1000,I1710&lt;=60),"Priority 2",IF(I1710&lt;=30,"Priority 3","Nurture")))</x:f>
        <x:v>Priority 1</x:v>
      </x:c>
    </x:row>
    <x:row r="1711">
      <x:c r="A1711" s="16" t="n">
        <x:v>2202</x:v>
      </x:c>
      <x:c r="B1711" s="16" t="n">
        <x:v>1978</x:v>
      </x:c>
      <x:c r="C1711" s="16" t="str">
        <x:v>Graduation</x:v>
      </x:c>
      <x:c r="D1711" s="16" t="str">
        <x:v>Together</x:v>
      </x:c>
      <x:c r="E1711" s="16" t="n">
        <x:v>41154</x:v>
      </x:c>
      <x:c r="F1711" s="16" t="n">
        <x:v>0</x:v>
      </x:c>
      <x:c r="G1711" s="16" t="n">
        <x:v>1</x:v>
      </x:c>
      <x:c r="H1711" s="16" t="str">
        <x:v>09-04-2013</x:v>
      </x:c>
      <x:c r="I1711" s="16" t="n">
        <x:v>98</x:v>
      </x:c>
      <x:c r="J1711" s="16" t="n">
        <x:v>44</x:v>
      </x:c>
      <x:c r="K1711" s="16" t="n">
        <x:v>2</x:v>
      </x:c>
      <x:c r="L1711" s="16" t="n">
        <x:v>11</x:v>
      </x:c>
      <x:c r="M1711" s="16" t="n">
        <x:v>2</x:v>
      </x:c>
      <x:c r="N1711" s="16" t="n">
        <x:v>3</x:v>
      </x:c>
      <x:c r="O1711" s="16" t="n">
        <x:v>7</x:v>
      </x:c>
      <x:c r="P1711" s="16" t="n">
        <x:v>1</x:v>
      </x:c>
      <x:c r="Q1711" s="16" t="n">
        <x:v>1</x:v>
      </x:c>
      <x:c r="R1711" s="16" t="n">
        <x:v>0</x:v>
      </x:c>
      <x:c r="S1711" s="16" t="n">
        <x:v>4</x:v>
      </x:c>
      <x:c r="T1711" s="16" t="n">
        <x:v>5</x:v>
      </x:c>
      <x:c r="U1711" s="16" t="n">
        <x:v>0</x:v>
      </x:c>
      <x:c r="V1711" s="16" t="n">
        <x:v>0</x:v>
      </x:c>
      <x:c r="W1711" s="16" t="n">
        <x:v>0</x:v>
      </x:c>
      <x:c r="X1711" s="16" t="n">
        <x:v>0</x:v>
      </x:c>
      <x:c r="Y1711" s="16" t="n">
        <x:v>0</x:v>
      </x:c>
      <x:c r="Z1711" s="16" t="n">
        <x:v>0</x:v>
      </x:c>
      <x:c r="AA1711" s="16" t="n">
        <x:v>3</x:v>
      </x:c>
      <x:c r="AB1711" s="16" t="n">
        <x:v>11</x:v>
      </x:c>
      <x:c r="AC1711" s="16" t="n">
        <x:v>0</x:v>
      </x:c>
      <x:c r="AD1711" s="21" t="n">
        <x:f>IF(E1711="",MEDIAN($E$2:$E$2237),E1711)</x:f>
        <x:v>41154</x:v>
      </x:c>
      <x:c r="AE1711" s="17" t="n">
        <x:f>2014-B1711</x:f>
        <x:v>36</x:v>
      </x:c>
      <x:c r="AF1711" s="17" t="n">
        <x:f>F1711+G1711</x:f>
        <x:v>1</x:v>
      </x:c>
      <x:c r="AG1711" s="21" t="n">
        <x:f>SUM(J1711:O1711)</x:f>
        <x:v>69</x:v>
      </x:c>
      <x:c r="AH1711" s="17" t="n">
        <x:f>SUM(Q1711:S1711)</x:f>
        <x:v>5</x:v>
      </x:c>
      <x:c r="AI1711" s="17" t="n">
        <x:f>SUM(U1711:Y1711)</x:f>
        <x:v>0</x:v>
      </x:c>
      <x:c r="AJ1711" s="17" t="str">
        <x:f>IF(AE1711&lt;=34,"≤34",IF(AE1711&lt;=44,"35–44",IF(AE1711&lt;=54,"45–54",IF(AE1711&lt;=64,"55–64","65+"))))</x:f>
        <x:v>35–44</x:v>
      </x:c>
      <x:c r="AK1711" s="17" t="str">
        <x:f>IF(AG1711&gt;=1000,"High Value",IF(AG1711&gt;=300,"Mid Value","Low Value"))</x:f>
        <x:v>Low Value</x:v>
      </x:c>
      <x:c r="AL1711" s="17" t="str">
        <x:f>IF(AND(AI1711&gt;=1,I1711&lt;=50),"Priority 1",IF(AND(AG1711&gt;=1000,I1711&lt;=60),"Priority 2",IF(I1711&lt;=30,"Priority 3","Nurture")))</x:f>
        <x:v>Nurture</x:v>
      </x:c>
    </x:row>
    <x:row r="1712">
      <x:c r="A1712" s="16" t="n">
        <x:v>7396</x:v>
      </x:c>
      <x:c r="B1712" s="16" t="n">
        <x:v>1966</x:v>
      </x:c>
      <x:c r="C1712" s="16" t="str">
        <x:v>Graduation</x:v>
      </x:c>
      <x:c r="D1712" s="16" t="str">
        <x:v>Married</x:v>
      </x:c>
      <x:c r="E1712" s="16" t="n">
        <x:v>80398</x:v>
      </x:c>
      <x:c r="F1712" s="16" t="n">
        <x:v>0</x:v>
      </x:c>
      <x:c r="G1712" s="16" t="n">
        <x:v>0</x:v>
      </x:c>
      <x:c r="H1712" s="16" t="str">
        <x:v>10-11-2012</x:v>
      </x:c>
      <x:c r="I1712" s="16" t="n">
        <x:v>92</x:v>
      </x:c>
      <x:c r="J1712" s="16" t="n">
        <x:v>342</x:v>
      </x:c>
      <x:c r="K1712" s="16" t="n">
        <x:v>51</x:v>
      </x:c>
      <x:c r="L1712" s="16" t="n">
        <x:v>936</x:v>
      </x:c>
      <x:c r="M1712" s="16" t="n">
        <x:v>207</x:v>
      </x:c>
      <x:c r="N1712" s="16" t="n">
        <x:v>35</x:v>
      </x:c>
      <x:c r="O1712" s="16" t="n">
        <x:v>26</x:v>
      </x:c>
      <x:c r="P1712" s="16" t="n">
        <x:v>1</x:v>
      </x:c>
      <x:c r="Q1712" s="16" t="n">
        <x:v>5</x:v>
      </x:c>
      <x:c r="R1712" s="16" t="n">
        <x:v>8</x:v>
      </x:c>
      <x:c r="S1712" s="16" t="n">
        <x:v>12</x:v>
      </x:c>
      <x:c r="T1712" s="16" t="n">
        <x:v>3</x:v>
      </x:c>
      <x:c r="U1712" s="16" t="n">
        <x:v>0</x:v>
      </x:c>
      <x:c r="V1712" s="16" t="n">
        <x:v>0</x:v>
      </x:c>
      <x:c r="W1712" s="16" t="n">
        <x:v>1</x:v>
      </x:c>
      <x:c r="X1712" s="16" t="n">
        <x:v>0</x:v>
      </x:c>
      <x:c r="Y1712" s="16" t="n">
        <x:v>0</x:v>
      </x:c>
      <x:c r="Z1712" s="16" t="n">
        <x:v>0</x:v>
      </x:c>
      <x:c r="AA1712" s="16" t="n">
        <x:v>3</x:v>
      </x:c>
      <x:c r="AB1712" s="16" t="n">
        <x:v>11</x:v>
      </x:c>
      <x:c r="AC1712" s="16" t="n">
        <x:v>0</x:v>
      </x:c>
      <x:c r="AD1712" s="21" t="n">
        <x:f>IF(E1712="",MEDIAN($E$2:$E$2237),E1712)</x:f>
        <x:v>80398</x:v>
      </x:c>
      <x:c r="AE1712" s="17" t="n">
        <x:f>2014-B1712</x:f>
        <x:v>48</x:v>
      </x:c>
      <x:c r="AF1712" s="17" t="n">
        <x:f>F1712+G1712</x:f>
        <x:v>0</x:v>
      </x:c>
      <x:c r="AG1712" s="21" t="n">
        <x:f>SUM(J1712:O1712)</x:f>
        <x:v>1597</x:v>
      </x:c>
      <x:c r="AH1712" s="17" t="n">
        <x:f>SUM(Q1712:S1712)</x:f>
        <x:v>25</x:v>
      </x:c>
      <x:c r="AI1712" s="17" t="n">
        <x:f>SUM(U1712:Y1712)</x:f>
        <x:v>1</x:v>
      </x:c>
      <x:c r="AJ1712" s="17" t="str">
        <x:f>IF(AE1712&lt;=34,"≤34",IF(AE1712&lt;=44,"35–44",IF(AE1712&lt;=54,"45–54",IF(AE1712&lt;=64,"55–64","65+"))))</x:f>
        <x:v>45–54</x:v>
      </x:c>
      <x:c r="AK1712" s="17" t="str">
        <x:f>IF(AG1712&gt;=1000,"High Value",IF(AG1712&gt;=300,"Mid Value","Low Value"))</x:f>
        <x:v>High Value</x:v>
      </x:c>
      <x:c r="AL1712" s="17" t="str">
        <x:f>IF(AND(AI1712&gt;=1,I1712&lt;=50),"Priority 1",IF(AND(AG1712&gt;=1000,I1712&lt;=60),"Priority 2",IF(I1712&lt;=30,"Priority 3","Nurture")))</x:f>
        <x:v>Nurture</x:v>
      </x:c>
    </x:row>
    <x:row r="1713">
      <x:c r="A1713" s="16" t="n">
        <x:v>4055</x:v>
      </x:c>
      <x:c r="B1713" s="16" t="n">
        <x:v>1992</x:v>
      </x:c>
      <x:c r="C1713" s="16" t="str">
        <x:v>Basic</x:v>
      </x:c>
      <x:c r="D1713" s="16" t="str">
        <x:v>Single</x:v>
      </x:c>
      <x:c r="E1713" s="16" t="n">
        <x:v>18746</x:v>
      </x:c>
      <x:c r="F1713" s="16" t="n">
        <x:v>1</x:v>
      </x:c>
      <x:c r="G1713" s="16" t="n">
        <x:v>0</x:v>
      </x:c>
      <x:c r="H1713" s="16" t="str">
        <x:v>29-05-2014</x:v>
      </x:c>
      <x:c r="I1713" s="16" t="n">
        <x:v>41</x:v>
      </x:c>
      <x:c r="J1713" s="16" t="n">
        <x:v>2</x:v>
      </x:c>
      <x:c r="K1713" s="16" t="n">
        <x:v>10</x:v>
      </x:c>
      <x:c r="L1713" s="16" t="n">
        <x:v>11</x:v>
      </x:c>
      <x:c r="M1713" s="16" t="n">
        <x:v>12</x:v>
      </x:c>
      <x:c r="N1713" s="16" t="n">
        <x:v>9</x:v>
      </x:c>
      <x:c r="O1713" s="16" t="n">
        <x:v>20</x:v>
      </x:c>
      <x:c r="P1713" s="16" t="n">
        <x:v>2</x:v>
      </x:c>
      <x:c r="Q1713" s="16" t="n">
        <x:v>3</x:v>
      </x:c>
      <x:c r="R1713" s="16" t="n">
        <x:v>0</x:v>
      </x:c>
      <x:c r="S1713" s="16" t="n">
        <x:v>3</x:v>
      </x:c>
      <x:c r="T1713" s="16" t="n">
        <x:v>6</x:v>
      </x:c>
      <x:c r="U1713" s="16" t="n">
        <x:v>0</x:v>
      </x:c>
      <x:c r="V1713" s="16" t="n">
        <x:v>0</x:v>
      </x:c>
      <x:c r="W1713" s="16" t="n">
        <x:v>0</x:v>
      </x:c>
      <x:c r="X1713" s="16" t="n">
        <x:v>0</x:v>
      </x:c>
      <x:c r="Y1713" s="16" t="n">
        <x:v>0</x:v>
      </x:c>
      <x:c r="Z1713" s="16" t="n">
        <x:v>0</x:v>
      </x:c>
      <x:c r="AA1713" s="16" t="n">
        <x:v>3</x:v>
      </x:c>
      <x:c r="AB1713" s="16" t="n">
        <x:v>11</x:v>
      </x:c>
      <x:c r="AC1713" s="16" t="n">
        <x:v>0</x:v>
      </x:c>
      <x:c r="AD1713" s="21" t="n">
        <x:f>IF(E1713="",MEDIAN($E$2:$E$2237),E1713)</x:f>
        <x:v>18746</x:v>
      </x:c>
      <x:c r="AE1713" s="17" t="n">
        <x:f>2014-B1713</x:f>
        <x:v>22</x:v>
      </x:c>
      <x:c r="AF1713" s="17" t="n">
        <x:f>F1713+G1713</x:f>
        <x:v>1</x:v>
      </x:c>
      <x:c r="AG1713" s="21" t="n">
        <x:f>SUM(J1713:O1713)</x:f>
        <x:v>64</x:v>
      </x:c>
      <x:c r="AH1713" s="17" t="n">
        <x:f>SUM(Q1713:S1713)</x:f>
        <x:v>6</x:v>
      </x:c>
      <x:c r="AI1713" s="17" t="n">
        <x:f>SUM(U1713:Y1713)</x:f>
        <x:v>0</x:v>
      </x:c>
      <x:c r="AJ1713" s="17" t="str">
        <x:f>IF(AE1713&lt;=34,"≤34",IF(AE1713&lt;=44,"35–44",IF(AE1713&lt;=54,"45–54",IF(AE1713&lt;=64,"55–64","65+"))))</x:f>
        <x:v>≤34</x:v>
      </x:c>
      <x:c r="AK1713" s="17" t="str">
        <x:f>IF(AG1713&gt;=1000,"High Value",IF(AG1713&gt;=300,"Mid Value","Low Value"))</x:f>
        <x:v>Low Value</x:v>
      </x:c>
      <x:c r="AL1713" s="17" t="str">
        <x:f>IF(AND(AI1713&gt;=1,I1713&lt;=50),"Priority 1",IF(AND(AG1713&gt;=1000,I1713&lt;=60),"Priority 2",IF(I1713&lt;=30,"Priority 3","Nurture")))</x:f>
        <x:v>Nurture</x:v>
      </x:c>
    </x:row>
    <x:row r="1714">
      <x:c r="A1714" s="16" t="n">
        <x:v>10340</x:v>
      </x:c>
      <x:c r="B1714" s="16" t="n">
        <x:v>1984</x:v>
      </x:c>
      <x:c r="C1714" s="16" t="str">
        <x:v>Graduation</x:v>
      </x:c>
      <x:c r="D1714" s="16" t="str">
        <x:v>Together</x:v>
      </x:c>
      <x:c r="E1714" s="16" t="n">
        <x:v>35196</x:v>
      </x:c>
      <x:c r="F1714" s="16" t="n">
        <x:v>1</x:v>
      </x:c>
      <x:c r="G1714" s="16" t="n">
        <x:v>0</x:v>
      </x:c>
      <x:c r="H1714" s="16" t="str">
        <x:v>13-11-2012</x:v>
      </x:c>
      <x:c r="I1714" s="16" t="n">
        <x:v>68</x:v>
      </x:c>
      <x:c r="J1714" s="16" t="n">
        <x:v>75</x:v>
      </x:c>
      <x:c r="K1714" s="16" t="n">
        <x:v>12</x:v>
      </x:c>
      <x:c r="L1714" s="16" t="n">
        <x:v>141</x:v>
      </x:c>
      <x:c r="M1714" s="16" t="n">
        <x:v>43</x:v>
      </x:c>
      <x:c r="N1714" s="16" t="n">
        <x:v>39</x:v>
      </x:c>
      <x:c r="O1714" s="16" t="n">
        <x:v>187</x:v>
      </x:c>
      <x:c r="P1714" s="16" t="n">
        <x:v>6</x:v>
      </x:c>
      <x:c r="Q1714" s="16" t="n">
        <x:v>6</x:v>
      </x:c>
      <x:c r="R1714" s="16" t="n">
        <x:v>1</x:v>
      </x:c>
      <x:c r="S1714" s="16" t="n">
        <x:v>5</x:v>
      </x:c>
      <x:c r="T1714" s="16" t="n">
        <x:v>8</x:v>
      </x:c>
      <x:c r="U1714" s="16" t="n">
        <x:v>0</x:v>
      </x:c>
      <x:c r="V1714" s="16" t="n">
        <x:v>0</x:v>
      </x:c>
      <x:c r="W1714" s="16" t="n">
        <x:v>0</x:v>
      </x:c>
      <x:c r="X1714" s="16" t="n">
        <x:v>0</x:v>
      </x:c>
      <x:c r="Y1714" s="16" t="n">
        <x:v>0</x:v>
      </x:c>
      <x:c r="Z1714" s="16" t="n">
        <x:v>0</x:v>
      </x:c>
      <x:c r="AA1714" s="16" t="n">
        <x:v>3</x:v>
      </x:c>
      <x:c r="AB1714" s="16" t="n">
        <x:v>11</x:v>
      </x:c>
      <x:c r="AC1714" s="16" t="n">
        <x:v>0</x:v>
      </x:c>
      <x:c r="AD1714" s="21" t="n">
        <x:f>IF(E1714="",MEDIAN($E$2:$E$2237),E1714)</x:f>
        <x:v>35196</x:v>
      </x:c>
      <x:c r="AE1714" s="17" t="n">
        <x:f>2014-B1714</x:f>
        <x:v>30</x:v>
      </x:c>
      <x:c r="AF1714" s="17" t="n">
        <x:f>F1714+G1714</x:f>
        <x:v>1</x:v>
      </x:c>
      <x:c r="AG1714" s="21" t="n">
        <x:f>SUM(J1714:O1714)</x:f>
        <x:v>497</x:v>
      </x:c>
      <x:c r="AH1714" s="17" t="n">
        <x:f>SUM(Q1714:S1714)</x:f>
        <x:v>12</x:v>
      </x:c>
      <x:c r="AI1714" s="17" t="n">
        <x:f>SUM(U1714:Y1714)</x:f>
        <x:v>0</x:v>
      </x:c>
      <x:c r="AJ1714" s="17" t="str">
        <x:f>IF(AE1714&lt;=34,"≤34",IF(AE1714&lt;=44,"35–44",IF(AE1714&lt;=54,"45–54",IF(AE1714&lt;=64,"55–64","65+"))))</x:f>
        <x:v>≤34</x:v>
      </x:c>
      <x:c r="AK1714" s="17" t="str">
        <x:f>IF(AG1714&gt;=1000,"High Value",IF(AG1714&gt;=300,"Mid Value","Low Value"))</x:f>
        <x:v>Mid Value</x:v>
      </x:c>
      <x:c r="AL1714" s="17" t="str">
        <x:f>IF(AND(AI1714&gt;=1,I1714&lt;=50),"Priority 1",IF(AND(AG1714&gt;=1000,I1714&lt;=60),"Priority 2",IF(I1714&lt;=30,"Priority 3","Nurture")))</x:f>
        <x:v>Nurture</x:v>
      </x:c>
    </x:row>
    <x:row r="1715">
      <x:c r="A1715" s="16" t="n">
        <x:v>10091</x:v>
      </x:c>
      <x:c r="B1715" s="16" t="n">
        <x:v>1956</x:v>
      </x:c>
      <x:c r="C1715" s="16" t="str">
        <x:v>Graduation</x:v>
      </x:c>
      <x:c r="D1715" s="16" t="str">
        <x:v>Single</x:v>
      </x:c>
      <x:c r="E1715" s="16" t="n">
        <x:v>60230</x:v>
      </x:c>
      <x:c r="F1715" s="16" t="n">
        <x:v>0</x:v>
      </x:c>
      <x:c r="G1715" s="16" t="n">
        <x:v>1</x:v>
      </x:c>
      <x:c r="H1715" s="16" t="str">
        <x:v>20-05-2013</x:v>
      </x:c>
      <x:c r="I1715" s="16" t="n">
        <x:v>78</x:v>
      </x:c>
      <x:c r="J1715" s="16" t="n">
        <x:v>520</x:v>
      </x:c>
      <x:c r="K1715" s="16" t="n">
        <x:v>20</x:v>
      </x:c>
      <x:c r="L1715" s="16" t="n">
        <x:v>367</x:v>
      </x:c>
      <x:c r="M1715" s="16" t="n">
        <x:v>39</x:v>
      </x:c>
      <x:c r="N1715" s="16" t="n">
        <x:v>81</x:v>
      </x:c>
      <x:c r="O1715" s="16" t="n">
        <x:v>40</x:v>
      </x:c>
      <x:c r="P1715" s="16" t="n">
        <x:v>2</x:v>
      </x:c>
      <x:c r="Q1715" s="16" t="n">
        <x:v>6</x:v>
      </x:c>
      <x:c r="R1715" s="16" t="n">
        <x:v>3</x:v>
      </x:c>
      <x:c r="S1715" s="16" t="n">
        <x:v>6</x:v>
      </x:c>
      <x:c r="T1715" s="16" t="n">
        <x:v>5</x:v>
      </x:c>
      <x:c r="U1715" s="16" t="n">
        <x:v>0</x:v>
      </x:c>
      <x:c r="V1715" s="16" t="n">
        <x:v>0</x:v>
      </x:c>
      <x:c r="W1715" s="16" t="n">
        <x:v>0</x:v>
      </x:c>
      <x:c r="X1715" s="16" t="n">
        <x:v>0</x:v>
      </x:c>
      <x:c r="Y1715" s="16" t="n">
        <x:v>0</x:v>
      </x:c>
      <x:c r="Z1715" s="16" t="n">
        <x:v>0</x:v>
      </x:c>
      <x:c r="AA1715" s="16" t="n">
        <x:v>3</x:v>
      </x:c>
      <x:c r="AB1715" s="16" t="n">
        <x:v>11</x:v>
      </x:c>
      <x:c r="AC1715" s="16" t="n">
        <x:v>0</x:v>
      </x:c>
      <x:c r="AD1715" s="21" t="n">
        <x:f>IF(E1715="",MEDIAN($E$2:$E$2237),E1715)</x:f>
        <x:v>60230</x:v>
      </x:c>
      <x:c r="AE1715" s="17" t="n">
        <x:f>2014-B1715</x:f>
        <x:v>58</x:v>
      </x:c>
      <x:c r="AF1715" s="17" t="n">
        <x:f>F1715+G1715</x:f>
        <x:v>1</x:v>
      </x:c>
      <x:c r="AG1715" s="21" t="n">
        <x:f>SUM(J1715:O1715)</x:f>
        <x:v>1067</x:v>
      </x:c>
      <x:c r="AH1715" s="17" t="n">
        <x:f>SUM(Q1715:S1715)</x:f>
        <x:v>15</x:v>
      </x:c>
      <x:c r="AI1715" s="17" t="n">
        <x:f>SUM(U1715:Y1715)</x:f>
        <x:v>0</x:v>
      </x:c>
      <x:c r="AJ1715" s="17" t="str">
        <x:f>IF(AE1715&lt;=34,"≤34",IF(AE1715&lt;=44,"35–44",IF(AE1715&lt;=54,"45–54",IF(AE1715&lt;=64,"55–64","65+"))))</x:f>
        <x:v>55–64</x:v>
      </x:c>
      <x:c r="AK1715" s="17" t="str">
        <x:f>IF(AG1715&gt;=1000,"High Value",IF(AG1715&gt;=300,"Mid Value","Low Value"))</x:f>
        <x:v>High Value</x:v>
      </x:c>
      <x:c r="AL1715" s="17" t="str">
        <x:f>IF(AND(AI1715&gt;=1,I1715&lt;=50),"Priority 1",IF(AND(AG1715&gt;=1000,I1715&lt;=60),"Priority 2",IF(I1715&lt;=30,"Priority 3","Nurture")))</x:f>
        <x:v>Nurture</x:v>
      </x:c>
    </x:row>
    <x:row r="1716">
      <x:c r="A1716" s="16" t="n">
        <x:v>7629</x:v>
      </x:c>
      <x:c r="B1716" s="16" t="n">
        <x:v>1977</x:v>
      </x:c>
      <x:c r="C1716" s="16" t="str">
        <x:v>Graduation</x:v>
      </x:c>
      <x:c r="D1716" s="16" t="str">
        <x:v>Married</x:v>
      </x:c>
      <x:c r="E1716" s="16" t="n">
        <x:v>22108</x:v>
      </x:c>
      <x:c r="F1716" s="16" t="n">
        <x:v>1</x:v>
      </x:c>
      <x:c r="G1716" s="16" t="n">
        <x:v>1</x:v>
      </x:c>
      <x:c r="H1716" s="16" t="str">
        <x:v>08-05-2014</x:v>
      </x:c>
      <x:c r="I1716" s="16" t="n">
        <x:v>46</x:v>
      </x:c>
      <x:c r="J1716" s="16" t="n">
        <x:v>5</x:v>
      </x:c>
      <x:c r="K1716" s="16" t="n">
        <x:v>3</x:v>
      </x:c>
      <x:c r="L1716" s="16" t="n">
        <x:v>9</x:v>
      </x:c>
      <x:c r="M1716" s="16" t="n">
        <x:v>6</x:v>
      </x:c>
      <x:c r="N1716" s="16" t="n">
        <x:v>2</x:v>
      </x:c>
      <x:c r="O1716" s="16" t="n">
        <x:v>6</x:v>
      </x:c>
      <x:c r="P1716" s="16" t="n">
        <x:v>2</x:v>
      </x:c>
      <x:c r="Q1716" s="16" t="n">
        <x:v>2</x:v>
      </x:c>
      <x:c r="R1716" s="16" t="n">
        <x:v>0</x:v>
      </x:c>
      <x:c r="S1716" s="16" t="n">
        <x:v>3</x:v>
      </x:c>
      <x:c r="T1716" s="16" t="n">
        <x:v>7</x:v>
      </x:c>
      <x:c r="U1716" s="16" t="n">
        <x:v>0</x:v>
      </x:c>
      <x:c r="V1716" s="16" t="n">
        <x:v>0</x:v>
      </x:c>
      <x:c r="W1716" s="16" t="n">
        <x:v>0</x:v>
      </x:c>
      <x:c r="X1716" s="16" t="n">
        <x:v>0</x:v>
      </x:c>
      <x:c r="Y1716" s="16" t="n">
        <x:v>0</x:v>
      </x:c>
      <x:c r="Z1716" s="16" t="n">
        <x:v>0</x:v>
      </x:c>
      <x:c r="AA1716" s="16" t="n">
        <x:v>3</x:v>
      </x:c>
      <x:c r="AB1716" s="16" t="n">
        <x:v>11</x:v>
      </x:c>
      <x:c r="AC1716" s="16" t="n">
        <x:v>0</x:v>
      </x:c>
      <x:c r="AD1716" s="21" t="n">
        <x:f>IF(E1716="",MEDIAN($E$2:$E$2237),E1716)</x:f>
        <x:v>22108</x:v>
      </x:c>
      <x:c r="AE1716" s="17" t="n">
        <x:f>2014-B1716</x:f>
        <x:v>37</x:v>
      </x:c>
      <x:c r="AF1716" s="17" t="n">
        <x:f>F1716+G1716</x:f>
        <x:v>2</x:v>
      </x:c>
      <x:c r="AG1716" s="21" t="n">
        <x:f>SUM(J1716:O1716)</x:f>
        <x:v>31</x:v>
      </x:c>
      <x:c r="AH1716" s="17" t="n">
        <x:f>SUM(Q1716:S1716)</x:f>
        <x:v>5</x:v>
      </x:c>
      <x:c r="AI1716" s="17" t="n">
        <x:f>SUM(U1716:Y1716)</x:f>
        <x:v>0</x:v>
      </x:c>
      <x:c r="AJ1716" s="17" t="str">
        <x:f>IF(AE1716&lt;=34,"≤34",IF(AE1716&lt;=44,"35–44",IF(AE1716&lt;=54,"45–54",IF(AE1716&lt;=64,"55–64","65+"))))</x:f>
        <x:v>35–44</x:v>
      </x:c>
      <x:c r="AK1716" s="17" t="str">
        <x:f>IF(AG1716&gt;=1000,"High Value",IF(AG1716&gt;=300,"Mid Value","Low Value"))</x:f>
        <x:v>Low Value</x:v>
      </x:c>
      <x:c r="AL1716" s="17" t="str">
        <x:f>IF(AND(AI1716&gt;=1,I1716&lt;=50),"Priority 1",IF(AND(AG1716&gt;=1000,I1716&lt;=60),"Priority 2",IF(I1716&lt;=30,"Priority 3","Nurture")))</x:f>
        <x:v>Nurture</x:v>
      </x:c>
    </x:row>
    <x:row r="1717">
      <x:c r="A1717" s="16" t="n">
        <x:v>10640</x:v>
      </x:c>
      <x:c r="B1717" s="16" t="n">
        <x:v>1974</x:v>
      </x:c>
      <x:c r="C1717" s="16" t="str">
        <x:v>Graduation</x:v>
      </x:c>
      <x:c r="D1717" s="16" t="str">
        <x:v>Together</x:v>
      </x:c>
      <x:c r="E1717" s="16" t="n">
        <x:v>44392</x:v>
      </x:c>
      <x:c r="F1717" s="16" t="n">
        <x:v>1</x:v>
      </x:c>
      <x:c r="G1717" s="16" t="n">
        <x:v>1</x:v>
      </x:c>
      <x:c r="H1717" s="16" t="str">
        <x:v>05-09-2013</x:v>
      </x:c>
      <x:c r="I1717" s="16" t="n">
        <x:v>71</x:v>
      </x:c>
      <x:c r="J1717" s="16" t="n">
        <x:v>87</x:v>
      </x:c>
      <x:c r="K1717" s="16" t="n">
        <x:v>5</x:v>
      </x:c>
      <x:c r="L1717" s="16" t="n">
        <x:v>71</x:v>
      </x:c>
      <x:c r="M1717" s="16" t="n">
        <x:v>7</x:v>
      </x:c>
      <x:c r="N1717" s="16" t="n">
        <x:v>12</x:v>
      </x:c>
      <x:c r="O1717" s="16" t="n">
        <x:v>29</x:v>
      </x:c>
      <x:c r="P1717" s="16" t="n">
        <x:v>5</x:v>
      </x:c>
      <x:c r="Q1717" s="16" t="n">
        <x:v>4</x:v>
      </x:c>
      <x:c r="R1717" s="16" t="n">
        <x:v>1</x:v>
      </x:c>
      <x:c r="S1717" s="16" t="n">
        <x:v>4</x:v>
      </x:c>
      <x:c r="T1717" s="16" t="n">
        <x:v>7</x:v>
      </x:c>
      <x:c r="U1717" s="16" t="n">
        <x:v>0</x:v>
      </x:c>
      <x:c r="V1717" s="16" t="n">
        <x:v>0</x:v>
      </x:c>
      <x:c r="W1717" s="16" t="n">
        <x:v>0</x:v>
      </x:c>
      <x:c r="X1717" s="16" t="n">
        <x:v>0</x:v>
      </x:c>
      <x:c r="Y1717" s="16" t="n">
        <x:v>0</x:v>
      </x:c>
      <x:c r="Z1717" s="16" t="n">
        <x:v>0</x:v>
      </x:c>
      <x:c r="AA1717" s="16" t="n">
        <x:v>3</x:v>
      </x:c>
      <x:c r="AB1717" s="16" t="n">
        <x:v>11</x:v>
      </x:c>
      <x:c r="AC1717" s="16" t="n">
        <x:v>0</x:v>
      </x:c>
      <x:c r="AD1717" s="21" t="n">
        <x:f>IF(E1717="",MEDIAN($E$2:$E$2237),E1717)</x:f>
        <x:v>44392</x:v>
      </x:c>
      <x:c r="AE1717" s="17" t="n">
        <x:f>2014-B1717</x:f>
        <x:v>40</x:v>
      </x:c>
      <x:c r="AF1717" s="17" t="n">
        <x:f>F1717+G1717</x:f>
        <x:v>2</x:v>
      </x:c>
      <x:c r="AG1717" s="21" t="n">
        <x:f>SUM(J1717:O1717)</x:f>
        <x:v>211</x:v>
      </x:c>
      <x:c r="AH1717" s="17" t="n">
        <x:f>SUM(Q1717:S1717)</x:f>
        <x:v>9</x:v>
      </x:c>
      <x:c r="AI1717" s="17" t="n">
        <x:f>SUM(U1717:Y1717)</x:f>
        <x:v>0</x:v>
      </x:c>
      <x:c r="AJ1717" s="17" t="str">
        <x:f>IF(AE1717&lt;=34,"≤34",IF(AE1717&lt;=44,"35–44",IF(AE1717&lt;=54,"45–54",IF(AE1717&lt;=64,"55–64","65+"))))</x:f>
        <x:v>35–44</x:v>
      </x:c>
      <x:c r="AK1717" s="17" t="str">
        <x:f>IF(AG1717&gt;=1000,"High Value",IF(AG1717&gt;=300,"Mid Value","Low Value"))</x:f>
        <x:v>Low Value</x:v>
      </x:c>
      <x:c r="AL1717" s="17" t="str">
        <x:f>IF(AND(AI1717&gt;=1,I1717&lt;=50),"Priority 1",IF(AND(AG1717&gt;=1000,I1717&lt;=60),"Priority 2",IF(I1717&lt;=30,"Priority 3","Nurture")))</x:f>
        <x:v>Nurture</x:v>
      </x:c>
    </x:row>
    <x:row r="1718">
      <x:c r="A1718" s="16" t="n">
        <x:v>3498</x:v>
      </x:c>
      <x:c r="B1718" s="16" t="n">
        <x:v>1976</x:v>
      </x:c>
      <x:c r="C1718" s="16" t="str">
        <x:v>PhD</x:v>
      </x:c>
      <x:c r="D1718" s="16" t="str">
        <x:v>Married</x:v>
      </x:c>
      <x:c r="E1718" s="16" t="n">
        <x:v>55424</x:v>
      </x:c>
      <x:c r="F1718" s="16" t="n">
        <x:v>0</x:v>
      </x:c>
      <x:c r="G1718" s="16" t="n">
        <x:v>1</x:v>
      </x:c>
      <x:c r="H1718" s="16" t="str">
        <x:v>25-11-2012</x:v>
      </x:c>
      <x:c r="I1718" s="16" t="n">
        <x:v>6</x:v>
      </x:c>
      <x:c r="J1718" s="16" t="n">
        <x:v>462</x:v>
      </x:c>
      <x:c r="K1718" s="16" t="n">
        <x:v>61</x:v>
      </x:c>
      <x:c r="L1718" s="16" t="n">
        <x:v>184</x:v>
      </x:c>
      <x:c r="M1718" s="16" t="n">
        <x:v>10</x:v>
      </x:c>
      <x:c r="N1718" s="16" t="n">
        <x:v>53</x:v>
      </x:c>
      <x:c r="O1718" s="16" t="n">
        <x:v>107</x:v>
      </x:c>
      <x:c r="P1718" s="16" t="n">
        <x:v>4</x:v>
      </x:c>
      <x:c r="Q1718" s="16" t="n">
        <x:v>7</x:v>
      </x:c>
      <x:c r="R1718" s="16" t="n">
        <x:v>5</x:v>
      </x:c>
      <x:c r="S1718" s="16" t="n">
        <x:v>9</x:v>
      </x:c>
      <x:c r="T1718" s="16" t="n">
        <x:v>6</x:v>
      </x:c>
      <x:c r="U1718" s="16" t="n">
        <x:v>1</x:v>
      </x:c>
      <x:c r="V1718" s="16" t="n">
        <x:v>0</x:v>
      </x:c>
      <x:c r="W1718" s="16" t="n">
        <x:v>0</x:v>
      </x:c>
      <x:c r="X1718" s="16" t="n">
        <x:v>0</x:v>
      </x:c>
      <x:c r="Y1718" s="16" t="n">
        <x:v>0</x:v>
      </x:c>
      <x:c r="Z1718" s="16" t="n">
        <x:v>0</x:v>
      </x:c>
      <x:c r="AA1718" s="16" t="n">
        <x:v>3</x:v>
      </x:c>
      <x:c r="AB1718" s="16" t="n">
        <x:v>11</x:v>
      </x:c>
      <x:c r="AC1718" s="16" t="n">
        <x:v>1</x:v>
      </x:c>
      <x:c r="AD1718" s="21" t="n">
        <x:f>IF(E1718="",MEDIAN($E$2:$E$2237),E1718)</x:f>
        <x:v>55424</x:v>
      </x:c>
      <x:c r="AE1718" s="17" t="n">
        <x:f>2014-B1718</x:f>
        <x:v>38</x:v>
      </x:c>
      <x:c r="AF1718" s="17" t="n">
        <x:f>F1718+G1718</x:f>
        <x:v>1</x:v>
      </x:c>
      <x:c r="AG1718" s="21" t="n">
        <x:f>SUM(J1718:O1718)</x:f>
        <x:v>877</x:v>
      </x:c>
      <x:c r="AH1718" s="17" t="n">
        <x:f>SUM(Q1718:S1718)</x:f>
        <x:v>21</x:v>
      </x:c>
      <x:c r="AI1718" s="17" t="n">
        <x:f>SUM(U1718:Y1718)</x:f>
        <x:v>1</x:v>
      </x:c>
      <x:c r="AJ1718" s="17" t="str">
        <x:f>IF(AE1718&lt;=34,"≤34",IF(AE1718&lt;=44,"35–44",IF(AE1718&lt;=54,"45–54",IF(AE1718&lt;=64,"55–64","65+"))))</x:f>
        <x:v>35–44</x:v>
      </x:c>
      <x:c r="AK1718" s="17" t="str">
        <x:f>IF(AG1718&gt;=1000,"High Value",IF(AG1718&gt;=300,"Mid Value","Low Value"))</x:f>
        <x:v>Mid Value</x:v>
      </x:c>
      <x:c r="AL1718" s="17" t="str">
        <x:f>IF(AND(AI1718&gt;=1,I1718&lt;=50),"Priority 1",IF(AND(AG1718&gt;=1000,I1718&lt;=60),"Priority 2",IF(I1718&lt;=30,"Priority 3","Nurture")))</x:f>
        <x:v>Priority 1</x:v>
      </x:c>
    </x:row>
    <x:row r="1719">
      <x:c r="A1719" s="16" t="n">
        <x:v>6742</x:v>
      </x:c>
      <x:c r="B1719" s="16" t="n">
        <x:v>1979</x:v>
      </x:c>
      <x:c r="C1719" s="16" t="str">
        <x:v>Graduation</x:v>
      </x:c>
      <x:c r="D1719" s="16" t="str">
        <x:v>Married</x:v>
      </x:c>
      <x:c r="E1719" s="16" t="n">
        <x:v>17688</x:v>
      </x:c>
      <x:c r="F1719" s="16" t="n">
        <x:v>1</x:v>
      </x:c>
      <x:c r="G1719" s="16" t="n">
        <x:v>0</x:v>
      </x:c>
      <x:c r="H1719" s="16" t="str">
        <x:v>13-01-2013</x:v>
      </x:c>
      <x:c r="I1719" s="16" t="n">
        <x:v>82</x:v>
      </x:c>
      <x:c r="J1719" s="16" t="n">
        <x:v>2</x:v>
      </x:c>
      <x:c r="K1719" s="16" t="n">
        <x:v>2</x:v>
      </x:c>
      <x:c r="L1719" s="16" t="n">
        <x:v>1</x:v>
      </x:c>
      <x:c r="M1719" s="16" t="n">
        <x:v>3</x:v>
      </x:c>
      <x:c r="N1719" s="16" t="n">
        <x:v>1</x:v>
      </x:c>
      <x:c r="O1719" s="16" t="n">
        <x:v>2</x:v>
      </x:c>
      <x:c r="P1719" s="16" t="n">
        <x:v>1</x:v>
      </x:c>
      <x:c r="Q1719" s="16" t="n">
        <x:v>1</x:v>
      </x:c>
      <x:c r="R1719" s="16" t="n">
        <x:v>0</x:v>
      </x:c>
      <x:c r="S1719" s="16" t="n">
        <x:v>2</x:v>
      </x:c>
      <x:c r="T1719" s="16" t="n">
        <x:v>8</x:v>
      </x:c>
      <x:c r="U1719" s="16" t="n">
        <x:v>0</x:v>
      </x:c>
      <x:c r="V1719" s="16" t="n">
        <x:v>0</x:v>
      </x:c>
      <x:c r="W1719" s="16" t="n">
        <x:v>0</x:v>
      </x:c>
      <x:c r="X1719" s="16" t="n">
        <x:v>0</x:v>
      </x:c>
      <x:c r="Y1719" s="16" t="n">
        <x:v>0</x:v>
      </x:c>
      <x:c r="Z1719" s="16" t="n">
        <x:v>1</x:v>
      </x:c>
      <x:c r="AA1719" s="16" t="n">
        <x:v>3</x:v>
      </x:c>
      <x:c r="AB1719" s="16" t="n">
        <x:v>11</x:v>
      </x:c>
      <x:c r="AC1719" s="16" t="n">
        <x:v>0</x:v>
      </x:c>
      <x:c r="AD1719" s="21" t="n">
        <x:f>IF(E1719="",MEDIAN($E$2:$E$2237),E1719)</x:f>
        <x:v>17688</x:v>
      </x:c>
      <x:c r="AE1719" s="17" t="n">
        <x:f>2014-B1719</x:f>
        <x:v>35</x:v>
      </x:c>
      <x:c r="AF1719" s="17" t="n">
        <x:f>F1719+G1719</x:f>
        <x:v>1</x:v>
      </x:c>
      <x:c r="AG1719" s="21" t="n">
        <x:f>SUM(J1719:O1719)</x:f>
        <x:v>11</x:v>
      </x:c>
      <x:c r="AH1719" s="17" t="n">
        <x:f>SUM(Q1719:S1719)</x:f>
        <x:v>3</x:v>
      </x:c>
      <x:c r="AI1719" s="17" t="n">
        <x:f>SUM(U1719:Y1719)</x:f>
        <x:v>0</x:v>
      </x:c>
      <x:c r="AJ1719" s="17" t="str">
        <x:f>IF(AE1719&lt;=34,"≤34",IF(AE1719&lt;=44,"35–44",IF(AE1719&lt;=54,"45–54",IF(AE1719&lt;=64,"55–64","65+"))))</x:f>
        <x:v>35–44</x:v>
      </x:c>
      <x:c r="AK1719" s="17" t="str">
        <x:f>IF(AG1719&gt;=1000,"High Value",IF(AG1719&gt;=300,"Mid Value","Low Value"))</x:f>
        <x:v>Low Value</x:v>
      </x:c>
      <x:c r="AL1719" s="17" t="str">
        <x:f>IF(AND(AI1719&gt;=1,I1719&lt;=50),"Priority 1",IF(AND(AG1719&gt;=1000,I1719&lt;=60),"Priority 2",IF(I1719&lt;=30,"Priority 3","Nurture")))</x:f>
        <x:v>Nurture</x:v>
      </x:c>
    </x:row>
    <x:row r="1720">
      <x:c r="A1720" s="16" t="n">
        <x:v>1172</x:v>
      </x:c>
      <x:c r="B1720" s="16" t="n">
        <x:v>1983</x:v>
      </x:c>
      <x:c r="C1720" s="16" t="str">
        <x:v>PhD</x:v>
      </x:c>
      <x:c r="D1720" s="16" t="str">
        <x:v>Married</x:v>
      </x:c>
      <x:c r="E1720" s="16" t="n">
        <x:v>92491</x:v>
      </x:c>
      <x:c r="F1720" s="16" t="n">
        <x:v>0</x:v>
      </x:c>
      <x:c r="G1720" s="16" t="n">
        <x:v>0</x:v>
      </x:c>
      <x:c r="H1720" s="16" t="str">
        <x:v>01-05-2013</x:v>
      </x:c>
      <x:c r="I1720" s="16" t="n">
        <x:v>71</x:v>
      </x:c>
      <x:c r="J1720" s="16" t="n">
        <x:v>979</x:v>
      </x:c>
      <x:c r="K1720" s="16" t="n">
        <x:v>44</x:v>
      </x:c>
      <x:c r="L1720" s="16" t="n">
        <x:v>935</x:v>
      </x:c>
      <x:c r="M1720" s="16" t="n">
        <x:v>29</x:v>
      </x:c>
      <x:c r="N1720" s="16" t="n">
        <x:v>25</x:v>
      </x:c>
      <x:c r="O1720" s="16" t="n">
        <x:v>22</x:v>
      </x:c>
      <x:c r="P1720" s="16" t="n">
        <x:v>1</x:v>
      </x:c>
      <x:c r="Q1720" s="16" t="n">
        <x:v>7</x:v>
      </x:c>
      <x:c r="R1720" s="16" t="n">
        <x:v>5</x:v>
      </x:c>
      <x:c r="S1720" s="16" t="n">
        <x:v>12</x:v>
      </x:c>
      <x:c r="T1720" s="16" t="n">
        <x:v>3</x:v>
      </x:c>
      <x:c r="U1720" s="16" t="n">
        <x:v>0</x:v>
      </x:c>
      <x:c r="V1720" s="16" t="n">
        <x:v>1</x:v>
      </x:c>
      <x:c r="W1720" s="16" t="n">
        <x:v>1</x:v>
      </x:c>
      <x:c r="X1720" s="16" t="n">
        <x:v>1</x:v>
      </x:c>
      <x:c r="Y1720" s="16" t="n">
        <x:v>0</x:v>
      </x:c>
      <x:c r="Z1720" s="16" t="n">
        <x:v>0</x:v>
      </x:c>
      <x:c r="AA1720" s="16" t="n">
        <x:v>3</x:v>
      </x:c>
      <x:c r="AB1720" s="16" t="n">
        <x:v>11</x:v>
      </x:c>
      <x:c r="AC1720" s="16" t="n">
        <x:v>1</x:v>
      </x:c>
      <x:c r="AD1720" s="21" t="n">
        <x:f>IF(E1720="",MEDIAN($E$2:$E$2237),E1720)</x:f>
        <x:v>92491</x:v>
      </x:c>
      <x:c r="AE1720" s="17" t="n">
        <x:f>2014-B1720</x:f>
        <x:v>31</x:v>
      </x:c>
      <x:c r="AF1720" s="17" t="n">
        <x:f>F1720+G1720</x:f>
        <x:v>0</x:v>
      </x:c>
      <x:c r="AG1720" s="21" t="n">
        <x:f>SUM(J1720:O1720)</x:f>
        <x:v>2034</x:v>
      </x:c>
      <x:c r="AH1720" s="17" t="n">
        <x:f>SUM(Q1720:S1720)</x:f>
        <x:v>24</x:v>
      </x:c>
      <x:c r="AI1720" s="17" t="n">
        <x:f>SUM(U1720:Y1720)</x:f>
        <x:v>3</x:v>
      </x:c>
      <x:c r="AJ1720" s="17" t="str">
        <x:f>IF(AE1720&lt;=34,"≤34",IF(AE1720&lt;=44,"35–44",IF(AE1720&lt;=54,"45–54",IF(AE1720&lt;=64,"55–64","65+"))))</x:f>
        <x:v>≤34</x:v>
      </x:c>
      <x:c r="AK1720" s="17" t="str">
        <x:f>IF(AG1720&gt;=1000,"High Value",IF(AG1720&gt;=300,"Mid Value","Low Value"))</x:f>
        <x:v>High Value</x:v>
      </x:c>
      <x:c r="AL1720" s="17" t="str">
        <x:f>IF(AND(AI1720&gt;=1,I1720&lt;=50),"Priority 1",IF(AND(AG1720&gt;=1000,I1720&lt;=60),"Priority 2",IF(I1720&lt;=30,"Priority 3","Nurture")))</x:f>
        <x:v>Nurture</x:v>
      </x:c>
    </x:row>
    <x:row r="1721">
      <x:c r="A1721" s="16" t="n">
        <x:v>569</x:v>
      </x:c>
      <x:c r="B1721" s="16" t="n">
        <x:v>1991</x:v>
      </x:c>
      <x:c r="C1721" s="16" t="str">
        <x:v>Graduation</x:v>
      </x:c>
      <x:c r="D1721" s="16" t="str">
        <x:v>Single</x:v>
      </x:c>
      <x:c r="E1721" s="16" t="n">
        <x:v>90273</x:v>
      </x:c>
      <x:c r="F1721" s="16" t="n">
        <x:v>0</x:v>
      </x:c>
      <x:c r="G1721" s="16" t="n">
        <x:v>0</x:v>
      </x:c>
      <x:c r="H1721" s="16" t="str">
        <x:v>14-12-2013</x:v>
      </x:c>
      <x:c r="I1721" s="16" t="n">
        <x:v>32</x:v>
      </x:c>
      <x:c r="J1721" s="16" t="n">
        <x:v>704</x:v>
      </x:c>
      <x:c r="K1721" s="16" t="n">
        <x:v>129</x:v>
      </x:c>
      <x:c r="L1721" s="16" t="n">
        <x:v>853</x:v>
      </x:c>
      <x:c r="M1721" s="16" t="n">
        <x:v>120</x:v>
      </x:c>
      <x:c r="N1721" s="16" t="n">
        <x:v>74</x:v>
      </x:c>
      <x:c r="O1721" s="16" t="n">
        <x:v>111</x:v>
      </x:c>
      <x:c r="P1721" s="16" t="n">
        <x:v>1</x:v>
      </x:c>
      <x:c r="Q1721" s="16" t="n">
        <x:v>5</x:v>
      </x:c>
      <x:c r="R1721" s="16" t="n">
        <x:v>6</x:v>
      </x:c>
      <x:c r="S1721" s="16" t="n">
        <x:v>7</x:v>
      </x:c>
      <x:c r="T1721" s="16" t="n">
        <x:v>2</x:v>
      </x:c>
      <x:c r="U1721" s="16" t="n">
        <x:v>0</x:v>
      </x:c>
      <x:c r="V1721" s="16" t="n">
        <x:v>1</x:v>
      </x:c>
      <x:c r="W1721" s="16" t="n">
        <x:v>1</x:v>
      </x:c>
      <x:c r="X1721" s="16" t="n">
        <x:v>1</x:v>
      </x:c>
      <x:c r="Y1721" s="16" t="n">
        <x:v>0</x:v>
      </x:c>
      <x:c r="Z1721" s="16" t="n">
        <x:v>0</x:v>
      </x:c>
      <x:c r="AA1721" s="16" t="n">
        <x:v>3</x:v>
      </x:c>
      <x:c r="AB1721" s="16" t="n">
        <x:v>11</x:v>
      </x:c>
      <x:c r="AC1721" s="16" t="n">
        <x:v>1</x:v>
      </x:c>
      <x:c r="AD1721" s="21" t="n">
        <x:f>IF(E1721="",MEDIAN($E$2:$E$2237),E1721)</x:f>
        <x:v>90273</x:v>
      </x:c>
      <x:c r="AE1721" s="17" t="n">
        <x:f>2014-B1721</x:f>
        <x:v>23</x:v>
      </x:c>
      <x:c r="AF1721" s="17" t="n">
        <x:f>F1721+G1721</x:f>
        <x:v>0</x:v>
      </x:c>
      <x:c r="AG1721" s="21" t="n">
        <x:f>SUM(J1721:O1721)</x:f>
        <x:v>1991</x:v>
      </x:c>
      <x:c r="AH1721" s="17" t="n">
        <x:f>SUM(Q1721:S1721)</x:f>
        <x:v>18</x:v>
      </x:c>
      <x:c r="AI1721" s="17" t="n">
        <x:f>SUM(U1721:Y1721)</x:f>
        <x:v>3</x:v>
      </x:c>
      <x:c r="AJ1721" s="17" t="str">
        <x:f>IF(AE1721&lt;=34,"≤34",IF(AE1721&lt;=44,"35–44",IF(AE1721&lt;=54,"45–54",IF(AE1721&lt;=64,"55–64","65+"))))</x:f>
        <x:v>≤34</x:v>
      </x:c>
      <x:c r="AK1721" s="17" t="str">
        <x:f>IF(AG1721&gt;=1000,"High Value",IF(AG1721&gt;=300,"Mid Value","Low Value"))</x:f>
        <x:v>High Value</x:v>
      </x:c>
      <x:c r="AL1721" s="17" t="str">
        <x:f>IF(AND(AI1721&gt;=1,I1721&lt;=50),"Priority 1",IF(AND(AG1721&gt;=1000,I1721&lt;=60),"Priority 2",IF(I1721&lt;=30,"Priority 3","Nurture")))</x:f>
        <x:v>Priority 1</x:v>
      </x:c>
    </x:row>
    <x:row r="1722">
      <x:c r="A1722" s="16" t="n">
        <x:v>4686</x:v>
      </x:c>
      <x:c r="B1722" s="16" t="n">
        <x:v>1962</x:v>
      </x:c>
      <x:c r="C1722" s="16" t="str">
        <x:v>PhD</x:v>
      </x:c>
      <x:c r="D1722" s="16" t="str">
        <x:v>Widow</x:v>
      </x:c>
      <x:c r="E1722" s="16" t="n">
        <x:v>82571</x:v>
      </x:c>
      <x:c r="F1722" s="16" t="n">
        <x:v>0</x:v>
      </x:c>
      <x:c r="G1722" s="16" t="n">
        <x:v>0</x:v>
      </x:c>
      <x:c r="H1722" s="16" t="str">
        <x:v>02-04-2014</x:v>
      </x:c>
      <x:c r="I1722" s="16" t="n">
        <x:v>28</x:v>
      </x:c>
      <x:c r="J1722" s="16" t="n">
        <x:v>861</x:v>
      </x:c>
      <x:c r="K1722" s="16" t="n">
        <x:v>31</x:v>
      </x:c>
      <x:c r="L1722" s="16" t="n">
        <x:v>558</x:v>
      </x:c>
      <x:c r="M1722" s="16" t="n">
        <x:v>62</x:v>
      </x:c>
      <x:c r="N1722" s="16" t="n">
        <x:v>95</x:v>
      </x:c>
      <x:c r="O1722" s="16" t="n">
        <x:v>79</x:v>
      </x:c>
      <x:c r="P1722" s="16" t="n">
        <x:v>0</x:v>
      </x:c>
      <x:c r="Q1722" s="16" t="n">
        <x:v>6</x:v>
      </x:c>
      <x:c r="R1722" s="16" t="n">
        <x:v>5</x:v>
      </x:c>
      <x:c r="S1722" s="16" t="n">
        <x:v>13</x:v>
      </x:c>
      <x:c r="T1722" s="16" t="n">
        <x:v>2</x:v>
      </x:c>
      <x:c r="U1722" s="16" t="n">
        <x:v>0</x:v>
      </x:c>
      <x:c r="V1722" s="16" t="n">
        <x:v>0</x:v>
      </x:c>
      <x:c r="W1722" s="16" t="n">
        <x:v>1</x:v>
      </x:c>
      <x:c r="X1722" s="16" t="n">
        <x:v>0</x:v>
      </x:c>
      <x:c r="Y1722" s="16" t="n">
        <x:v>0</x:v>
      </x:c>
      <x:c r="Z1722" s="16" t="n">
        <x:v>0</x:v>
      </x:c>
      <x:c r="AA1722" s="16" t="n">
        <x:v>3</x:v>
      </x:c>
      <x:c r="AB1722" s="16" t="n">
        <x:v>11</x:v>
      </x:c>
      <x:c r="AC1722" s="16" t="n">
        <x:v>0</x:v>
      </x:c>
      <x:c r="AD1722" s="21" t="n">
        <x:f>IF(E1722="",MEDIAN($E$2:$E$2237),E1722)</x:f>
        <x:v>82571</x:v>
      </x:c>
      <x:c r="AE1722" s="17" t="n">
        <x:f>2014-B1722</x:f>
        <x:v>52</x:v>
      </x:c>
      <x:c r="AF1722" s="17" t="n">
        <x:f>F1722+G1722</x:f>
        <x:v>0</x:v>
      </x:c>
      <x:c r="AG1722" s="21" t="n">
        <x:f>SUM(J1722:O1722)</x:f>
        <x:v>1686</x:v>
      </x:c>
      <x:c r="AH1722" s="17" t="n">
        <x:f>SUM(Q1722:S1722)</x:f>
        <x:v>24</x:v>
      </x:c>
      <x:c r="AI1722" s="17" t="n">
        <x:f>SUM(U1722:Y1722)</x:f>
        <x:v>1</x:v>
      </x:c>
      <x:c r="AJ1722" s="17" t="str">
        <x:f>IF(AE1722&lt;=34,"≤34",IF(AE1722&lt;=44,"35–44",IF(AE1722&lt;=54,"45–54",IF(AE1722&lt;=64,"55–64","65+"))))</x:f>
        <x:v>45–54</x:v>
      </x:c>
      <x:c r="AK1722" s="17" t="str">
        <x:f>IF(AG1722&gt;=1000,"High Value",IF(AG1722&gt;=300,"Mid Value","Low Value"))</x:f>
        <x:v>High Value</x:v>
      </x:c>
      <x:c r="AL1722" s="17" t="str">
        <x:f>IF(AND(AI1722&gt;=1,I1722&lt;=50),"Priority 1",IF(AND(AG1722&gt;=1000,I1722&lt;=60),"Priority 2",IF(I1722&lt;=30,"Priority 3","Nurture")))</x:f>
        <x:v>Priority 1</x:v>
      </x:c>
    </x:row>
    <x:row r="1723">
      <x:c r="A1723" s="16" t="n">
        <x:v>1381</x:v>
      </x:c>
      <x:c r="B1723" s="16" t="n">
        <x:v>1982</x:v>
      </x:c>
      <x:c r="C1723" s="16" t="str">
        <x:v>PhD</x:v>
      </x:c>
      <x:c r="D1723" s="16" t="str">
        <x:v>Single</x:v>
      </x:c>
      <x:c r="E1723" s="16" t="n">
        <x:v>38513</x:v>
      </x:c>
      <x:c r="F1723" s="16" t="n">
        <x:v>1</x:v>
      </x:c>
      <x:c r="G1723" s="16" t="n">
        <x:v>0</x:v>
      </x:c>
      <x:c r="H1723" s="16" t="str">
        <x:v>28-01-2014</x:v>
      </x:c>
      <x:c r="I1723" s="16" t="n">
        <x:v>20</x:v>
      </x:c>
      <x:c r="J1723" s="16" t="n">
        <x:v>172</x:v>
      </x:c>
      <x:c r="K1723" s="16" t="n">
        <x:v>3</x:v>
      </x:c>
      <x:c r="L1723" s="16" t="n">
        <x:v>115</x:v>
      </x:c>
      <x:c r="M1723" s="16" t="n">
        <x:v>16</x:v>
      </x:c>
      <x:c r="N1723" s="16" t="n">
        <x:v>0</x:v>
      </x:c>
      <x:c r="O1723" s="16" t="n">
        <x:v>18</x:v>
      </x:c>
      <x:c r="P1723" s="16" t="n">
        <x:v>5</x:v>
      </x:c>
      <x:c r="Q1723" s="16" t="n">
        <x:v>6</x:v>
      </x:c>
      <x:c r="R1723" s="16" t="n">
        <x:v>1</x:v>
      </x:c>
      <x:c r="S1723" s="16" t="n">
        <x:v>5</x:v>
      </x:c>
      <x:c r="T1723" s="16" t="n">
        <x:v>8</x:v>
      </x:c>
      <x:c r="U1723" s="16" t="n">
        <x:v>0</x:v>
      </x:c>
      <x:c r="V1723" s="16" t="n">
        <x:v>0</x:v>
      </x:c>
      <x:c r="W1723" s="16" t="n">
        <x:v>0</x:v>
      </x:c>
      <x:c r="X1723" s="16" t="n">
        <x:v>0</x:v>
      </x:c>
      <x:c r="Y1723" s="16" t="n">
        <x:v>0</x:v>
      </x:c>
      <x:c r="Z1723" s="16" t="n">
        <x:v>0</x:v>
      </x:c>
      <x:c r="AA1723" s="16" t="n">
        <x:v>3</x:v>
      </x:c>
      <x:c r="AB1723" s="16" t="n">
        <x:v>11</x:v>
      </x:c>
      <x:c r="AC1723" s="16" t="n">
        <x:v>1</x:v>
      </x:c>
      <x:c r="AD1723" s="21" t="n">
        <x:f>IF(E1723="",MEDIAN($E$2:$E$2237),E1723)</x:f>
        <x:v>38513</x:v>
      </x:c>
      <x:c r="AE1723" s="17" t="n">
        <x:f>2014-B1723</x:f>
        <x:v>32</x:v>
      </x:c>
      <x:c r="AF1723" s="17" t="n">
        <x:f>F1723+G1723</x:f>
        <x:v>1</x:v>
      </x:c>
      <x:c r="AG1723" s="21" t="n">
        <x:f>SUM(J1723:O1723)</x:f>
        <x:v>324</x:v>
      </x:c>
      <x:c r="AH1723" s="17" t="n">
        <x:f>SUM(Q1723:S1723)</x:f>
        <x:v>12</x:v>
      </x:c>
      <x:c r="AI1723" s="17" t="n">
        <x:f>SUM(U1723:Y1723)</x:f>
        <x:v>0</x:v>
      </x:c>
      <x:c r="AJ1723" s="17" t="str">
        <x:f>IF(AE1723&lt;=34,"≤34",IF(AE1723&lt;=44,"35–44",IF(AE1723&lt;=54,"45–54",IF(AE1723&lt;=64,"55–64","65+"))))</x:f>
        <x:v>≤34</x:v>
      </x:c>
      <x:c r="AK1723" s="17" t="str">
        <x:f>IF(AG1723&gt;=1000,"High Value",IF(AG1723&gt;=300,"Mid Value","Low Value"))</x:f>
        <x:v>Mid Value</x:v>
      </x:c>
      <x:c r="AL1723" s="17" t="str">
        <x:f>IF(AND(AI1723&gt;=1,I1723&lt;=50),"Priority 1",IF(AND(AG1723&gt;=1000,I1723&lt;=60),"Priority 2",IF(I1723&lt;=30,"Priority 3","Nurture")))</x:f>
        <x:v>Priority 3</x:v>
      </x:c>
    </x:row>
    <x:row r="1724">
      <x:c r="A1724" s="16" t="n">
        <x:v>2634</x:v>
      </x:c>
      <x:c r="B1724" s="16" t="n">
        <x:v>1979</x:v>
      </x:c>
      <x:c r="C1724" s="16" t="str">
        <x:v>Master</x:v>
      </x:c>
      <x:c r="D1724" s="16" t="str">
        <x:v>Single</x:v>
      </x:c>
      <x:c r="E1724" s="16" t="n">
        <x:v>16653</x:v>
      </x:c>
      <x:c r="F1724" s="16" t="n">
        <x:v>1</x:v>
      </x:c>
      <x:c r="G1724" s="16" t="n">
        <x:v>0</x:v>
      </x:c>
      <x:c r="H1724" s="16" t="str">
        <x:v>18-04-2014</x:v>
      </x:c>
      <x:c r="I1724" s="16" t="n">
        <x:v>10</x:v>
      </x:c>
      <x:c r="J1724" s="16" t="n">
        <x:v>5</x:v>
      </x:c>
      <x:c r="K1724" s="16" t="n">
        <x:v>7</x:v>
      </x:c>
      <x:c r="L1724" s="16" t="n">
        <x:v>31</x:v>
      </x:c>
      <x:c r="M1724" s="16" t="n">
        <x:v>15</x:v>
      </x:c>
      <x:c r="N1724" s="16" t="n">
        <x:v>4</x:v>
      </x:c>
      <x:c r="O1724" s="16" t="n">
        <x:v>7</x:v>
      </x:c>
      <x:c r="P1724" s="16" t="n">
        <x:v>3</x:v>
      </x:c>
      <x:c r="Q1724" s="16" t="n">
        <x:v>2</x:v>
      </x:c>
      <x:c r="R1724" s="16" t="n">
        <x:v>1</x:v>
      </x:c>
      <x:c r="S1724" s="16" t="n">
        <x:v>3</x:v>
      </x:c>
      <x:c r="T1724" s="16" t="n">
        <x:v>6</x:v>
      </x:c>
      <x:c r="U1724" s="16" t="n">
        <x:v>0</x:v>
      </x:c>
      <x:c r="V1724" s="16" t="n">
        <x:v>0</x:v>
      </x:c>
      <x:c r="W1724" s="16" t="n">
        <x:v>0</x:v>
      </x:c>
      <x:c r="X1724" s="16" t="n">
        <x:v>0</x:v>
      </x:c>
      <x:c r="Y1724" s="16" t="n">
        <x:v>0</x:v>
      </x:c>
      <x:c r="Z1724" s="16" t="n">
        <x:v>0</x:v>
      </x:c>
      <x:c r="AA1724" s="16" t="n">
        <x:v>3</x:v>
      </x:c>
      <x:c r="AB1724" s="16" t="n">
        <x:v>11</x:v>
      </x:c>
      <x:c r="AC1724" s="16" t="n">
        <x:v>1</x:v>
      </x:c>
      <x:c r="AD1724" s="21" t="n">
        <x:f>IF(E1724="",MEDIAN($E$2:$E$2237),E1724)</x:f>
        <x:v>16653</x:v>
      </x:c>
      <x:c r="AE1724" s="17" t="n">
        <x:f>2014-B1724</x:f>
        <x:v>35</x:v>
      </x:c>
      <x:c r="AF1724" s="17" t="n">
        <x:f>F1724+G1724</x:f>
        <x:v>1</x:v>
      </x:c>
      <x:c r="AG1724" s="21" t="n">
        <x:f>SUM(J1724:O1724)</x:f>
        <x:v>69</x:v>
      </x:c>
      <x:c r="AH1724" s="17" t="n">
        <x:f>SUM(Q1724:S1724)</x:f>
        <x:v>6</x:v>
      </x:c>
      <x:c r="AI1724" s="17" t="n">
        <x:f>SUM(U1724:Y1724)</x:f>
        <x:v>0</x:v>
      </x:c>
      <x:c r="AJ1724" s="17" t="str">
        <x:f>IF(AE1724&lt;=34,"≤34",IF(AE1724&lt;=44,"35–44",IF(AE1724&lt;=54,"45–54",IF(AE1724&lt;=64,"55–64","65+"))))</x:f>
        <x:v>35–44</x:v>
      </x:c>
      <x:c r="AK1724" s="17" t="str">
        <x:f>IF(AG1724&gt;=1000,"High Value",IF(AG1724&gt;=300,"Mid Value","Low Value"))</x:f>
        <x:v>Low Value</x:v>
      </x:c>
      <x:c r="AL1724" s="17" t="str">
        <x:f>IF(AND(AI1724&gt;=1,I1724&lt;=50),"Priority 1",IF(AND(AG1724&gt;=1000,I1724&lt;=60),"Priority 2",IF(I1724&lt;=30,"Priority 3","Nurture")))</x:f>
        <x:v>Priority 3</x:v>
      </x:c>
    </x:row>
    <x:row r="1725">
      <x:c r="A1725" s="16" t="n">
        <x:v>10905</x:v>
      </x:c>
      <x:c r="B1725" s="16" t="n">
        <x:v>1955</x:v>
      </x:c>
      <x:c r="C1725" s="16" t="str">
        <x:v>Graduation</x:v>
      </x:c>
      <x:c r="D1725" s="16" t="str">
        <x:v>Together</x:v>
      </x:c>
      <x:c r="E1725" s="16" t="n">
        <x:v>42586</x:v>
      </x:c>
      <x:c r="F1725" s="16" t="n">
        <x:v>1</x:v>
      </x:c>
      <x:c r="G1725" s="16" t="n">
        <x:v>1</x:v>
      </x:c>
      <x:c r="H1725" s="16" t="str">
        <x:v>29-10-2012</x:v>
      </x:c>
      <x:c r="I1725" s="16" t="n">
        <x:v>7</x:v>
      </x:c>
      <x:c r="J1725" s="16" t="n">
        <x:v>194</x:v>
      </x:c>
      <x:c r="K1725" s="16" t="n">
        <x:v>2</x:v>
      </x:c>
      <x:c r="L1725" s="16" t="n">
        <x:v>56</x:v>
      </x:c>
      <x:c r="M1725" s="16" t="n">
        <x:v>0</x:v>
      </x:c>
      <x:c r="N1725" s="16" t="n">
        <x:v>0</x:v>
      </x:c>
      <x:c r="O1725" s="16" t="n">
        <x:v>0</x:v>
      </x:c>
      <x:c r="P1725" s="16" t="n">
        <x:v>5</x:v>
      </x:c>
      <x:c r="Q1725" s="16" t="n">
        <x:v>4</x:v>
      </x:c>
      <x:c r="R1725" s="16" t="n">
        <x:v>1</x:v>
      </x:c>
      <x:c r="S1725" s="16" t="n">
        <x:v>6</x:v>
      </x:c>
      <x:c r="T1725" s="16" t="n">
        <x:v>8</x:v>
      </x:c>
      <x:c r="U1725" s="16" t="n">
        <x:v>0</x:v>
      </x:c>
      <x:c r="V1725" s="16" t="n">
        <x:v>0</x:v>
      </x:c>
      <x:c r="W1725" s="16" t="n">
        <x:v>0</x:v>
      </x:c>
      <x:c r="X1725" s="16" t="n">
        <x:v>0</x:v>
      </x:c>
      <x:c r="Y1725" s="16" t="n">
        <x:v>0</x:v>
      </x:c>
      <x:c r="Z1725" s="16" t="n">
        <x:v>0</x:v>
      </x:c>
      <x:c r="AA1725" s="16" t="n">
        <x:v>3</x:v>
      </x:c>
      <x:c r="AB1725" s="16" t="n">
        <x:v>11</x:v>
      </x:c>
      <x:c r="AC1725" s="16" t="n">
        <x:v>1</x:v>
      </x:c>
      <x:c r="AD1725" s="21" t="n">
        <x:f>IF(E1725="",MEDIAN($E$2:$E$2237),E1725)</x:f>
        <x:v>42586</x:v>
      </x:c>
      <x:c r="AE1725" s="17" t="n">
        <x:f>2014-B1725</x:f>
        <x:v>59</x:v>
      </x:c>
      <x:c r="AF1725" s="17" t="n">
        <x:f>F1725+G1725</x:f>
        <x:v>2</x:v>
      </x:c>
      <x:c r="AG1725" s="21" t="n">
        <x:f>SUM(J1725:O1725)</x:f>
        <x:v>252</x:v>
      </x:c>
      <x:c r="AH1725" s="17" t="n">
        <x:f>SUM(Q1725:S1725)</x:f>
        <x:v>11</x:v>
      </x:c>
      <x:c r="AI1725" s="17" t="n">
        <x:f>SUM(U1725:Y1725)</x:f>
        <x:v>0</x:v>
      </x:c>
      <x:c r="AJ1725" s="17" t="str">
        <x:f>IF(AE1725&lt;=34,"≤34",IF(AE1725&lt;=44,"35–44",IF(AE1725&lt;=54,"45–54",IF(AE1725&lt;=64,"55–64","65+"))))</x:f>
        <x:v>55–64</x:v>
      </x:c>
      <x:c r="AK1725" s="17" t="str">
        <x:f>IF(AG1725&gt;=1000,"High Value",IF(AG1725&gt;=300,"Mid Value","Low Value"))</x:f>
        <x:v>Low Value</x:v>
      </x:c>
      <x:c r="AL1725" s="17" t="str">
        <x:f>IF(AND(AI1725&gt;=1,I1725&lt;=50),"Priority 1",IF(AND(AG1725&gt;=1000,I1725&lt;=60),"Priority 2",IF(I1725&lt;=30,"Priority 3","Nurture")))</x:f>
        <x:v>Priority 3</x:v>
      </x:c>
    </x:row>
    <x:row r="1726">
      <x:c r="A1726" s="16" t="n">
        <x:v>1744</x:v>
      </x:c>
      <x:c r="B1726" s="16" t="n">
        <x:v>1965</x:v>
      </x:c>
      <x:c r="C1726" s="16" t="str">
        <x:v>Basic</x:v>
      </x:c>
      <x:c r="D1726" s="16" t="str">
        <x:v>Single</x:v>
      </x:c>
      <x:c r="E1726" s="16" t="n">
        <x:v>23529</x:v>
      </x:c>
      <x:c r="F1726" s="16" t="n">
        <x:v>0</x:v>
      </x:c>
      <x:c r="G1726" s="16" t="n">
        <x:v>1</x:v>
      </x:c>
      <x:c r="H1726" s="16" t="str">
        <x:v>07-01-2013</x:v>
      </x:c>
      <x:c r="I1726" s="16" t="n">
        <x:v>67</x:v>
      </x:c>
      <x:c r="J1726" s="16" t="n">
        <x:v>9</x:v>
      </x:c>
      <x:c r="K1726" s="16" t="n">
        <x:v>7</x:v>
      </x:c>
      <x:c r="L1726" s="16" t="n">
        <x:v>13</x:v>
      </x:c>
      <x:c r="M1726" s="16" t="n">
        <x:v>3</x:v>
      </x:c>
      <x:c r="N1726" s="16" t="n">
        <x:v>2</x:v>
      </x:c>
      <x:c r="O1726" s="16" t="n">
        <x:v>20</x:v>
      </x:c>
      <x:c r="P1726" s="16" t="n">
        <x:v>1</x:v>
      </x:c>
      <x:c r="Q1726" s="16" t="n">
        <x:v>1</x:v>
      </x:c>
      <x:c r="R1726" s="16" t="n">
        <x:v>1</x:v>
      </x:c>
      <x:c r="S1726" s="16" t="n">
        <x:v>2</x:v>
      </x:c>
      <x:c r="T1726" s="16" t="n">
        <x:v>6</x:v>
      </x:c>
      <x:c r="U1726" s="16" t="n">
        <x:v>0</x:v>
      </x:c>
      <x:c r="V1726" s="16" t="n">
        <x:v>0</x:v>
      </x:c>
      <x:c r="W1726" s="16" t="n">
        <x:v>0</x:v>
      </x:c>
      <x:c r="X1726" s="16" t="n">
        <x:v>0</x:v>
      </x:c>
      <x:c r="Y1726" s="16" t="n">
        <x:v>0</x:v>
      </x:c>
      <x:c r="Z1726" s="16" t="n">
        <x:v>0</x:v>
      </x:c>
      <x:c r="AA1726" s="16" t="n">
        <x:v>3</x:v>
      </x:c>
      <x:c r="AB1726" s="16" t="n">
        <x:v>11</x:v>
      </x:c>
      <x:c r="AC1726" s="16" t="n">
        <x:v>0</x:v>
      </x:c>
      <x:c r="AD1726" s="21" t="n">
        <x:f>IF(E1726="",MEDIAN($E$2:$E$2237),E1726)</x:f>
        <x:v>23529</x:v>
      </x:c>
      <x:c r="AE1726" s="17" t="n">
        <x:f>2014-B1726</x:f>
        <x:v>49</x:v>
      </x:c>
      <x:c r="AF1726" s="17" t="n">
        <x:f>F1726+G1726</x:f>
        <x:v>1</x:v>
      </x:c>
      <x:c r="AG1726" s="21" t="n">
        <x:f>SUM(J1726:O1726)</x:f>
        <x:v>54</x:v>
      </x:c>
      <x:c r="AH1726" s="17" t="n">
        <x:f>SUM(Q1726:S1726)</x:f>
        <x:v>4</x:v>
      </x:c>
      <x:c r="AI1726" s="17" t="n">
        <x:f>SUM(U1726:Y1726)</x:f>
        <x:v>0</x:v>
      </x:c>
      <x:c r="AJ1726" s="17" t="str">
        <x:f>IF(AE1726&lt;=34,"≤34",IF(AE1726&lt;=44,"35–44",IF(AE1726&lt;=54,"45–54",IF(AE1726&lt;=64,"55–64","65+"))))</x:f>
        <x:v>45–54</x:v>
      </x:c>
      <x:c r="AK1726" s="17" t="str">
        <x:f>IF(AG1726&gt;=1000,"High Value",IF(AG1726&gt;=300,"Mid Value","Low Value"))</x:f>
        <x:v>Low Value</x:v>
      </x:c>
      <x:c r="AL1726" s="17" t="str">
        <x:f>IF(AND(AI1726&gt;=1,I1726&lt;=50),"Priority 1",IF(AND(AG1726&gt;=1000,I1726&lt;=60),"Priority 2",IF(I1726&lt;=30,"Priority 3","Nurture")))</x:f>
        <x:v>Nurture</x:v>
      </x:c>
    </x:row>
    <x:row r="1727">
      <x:c r="A1727" s="16" t="n">
        <x:v>1000</x:v>
      </x:c>
      <x:c r="B1727" s="16" t="n">
        <x:v>1961</x:v>
      </x:c>
      <x:c r="C1727" s="16" t="str">
        <x:v>Master</x:v>
      </x:c>
      <x:c r="D1727" s="16" t="str">
        <x:v>Together</x:v>
      </x:c>
      <x:c r="E1727" s="16" t="n">
        <x:v>74881</x:v>
      </x:c>
      <x:c r="F1727" s="16" t="n">
        <x:v>1</x:v>
      </x:c>
      <x:c r="G1727" s="16" t="n">
        <x:v>1</x:v>
      </x:c>
      <x:c r="H1727" s="16" t="str">
        <x:v>08-03-2013</x:v>
      </x:c>
      <x:c r="I1727" s="16" t="n">
        <x:v>48</x:v>
      </x:c>
      <x:c r="J1727" s="16" t="n">
        <x:v>505</x:v>
      </x:c>
      <x:c r="K1727" s="16" t="n">
        <x:v>72</x:v>
      </x:c>
      <x:c r="L1727" s="16" t="n">
        <x:v>270</x:v>
      </x:c>
      <x:c r="M1727" s="16" t="n">
        <x:v>36</x:v>
      </x:c>
      <x:c r="N1727" s="16" t="n">
        <x:v>27</x:v>
      </x:c>
      <x:c r="O1727" s="16" t="n">
        <x:v>54</x:v>
      </x:c>
      <x:c r="P1727" s="16" t="n">
        <x:v>4</x:v>
      </x:c>
      <x:c r="Q1727" s="16" t="n">
        <x:v>9</x:v>
      </x:c>
      <x:c r="R1727" s="16" t="n">
        <x:v>2</x:v>
      </x:c>
      <x:c r="S1727" s="16" t="n">
        <x:v>12</x:v>
      </x:c>
      <x:c r="T1727" s="16" t="n">
        <x:v>5</x:v>
      </x:c>
      <x:c r="U1727" s="16" t="n">
        <x:v>0</x:v>
      </x:c>
      <x:c r="V1727" s="16" t="n">
        <x:v>0</x:v>
      </x:c>
      <x:c r="W1727" s="16" t="n">
        <x:v>0</x:v>
      </x:c>
      <x:c r="X1727" s="16" t="n">
        <x:v>0</x:v>
      </x:c>
      <x:c r="Y1727" s="16" t="n">
        <x:v>0</x:v>
      </x:c>
      <x:c r="Z1727" s="16" t="n">
        <x:v>0</x:v>
      </x:c>
      <x:c r="AA1727" s="16" t="n">
        <x:v>3</x:v>
      </x:c>
      <x:c r="AB1727" s="16" t="n">
        <x:v>11</x:v>
      </x:c>
      <x:c r="AC1727" s="16" t="n">
        <x:v>0</x:v>
      </x:c>
      <x:c r="AD1727" s="21" t="n">
        <x:f>IF(E1727="",MEDIAN($E$2:$E$2237),E1727)</x:f>
        <x:v>74881</x:v>
      </x:c>
      <x:c r="AE1727" s="17" t="n">
        <x:f>2014-B1727</x:f>
        <x:v>53</x:v>
      </x:c>
      <x:c r="AF1727" s="17" t="n">
        <x:f>F1727+G1727</x:f>
        <x:v>2</x:v>
      </x:c>
      <x:c r="AG1727" s="21" t="n">
        <x:f>SUM(J1727:O1727)</x:f>
        <x:v>964</x:v>
      </x:c>
      <x:c r="AH1727" s="17" t="n">
        <x:f>SUM(Q1727:S1727)</x:f>
        <x:v>23</x:v>
      </x:c>
      <x:c r="AI1727" s="17" t="n">
        <x:f>SUM(U1727:Y1727)</x:f>
        <x:v>0</x:v>
      </x:c>
      <x:c r="AJ1727" s="17" t="str">
        <x:f>IF(AE1727&lt;=34,"≤34",IF(AE1727&lt;=44,"35–44",IF(AE1727&lt;=54,"45–54",IF(AE1727&lt;=64,"55–64","65+"))))</x:f>
        <x:v>45–54</x:v>
      </x:c>
      <x:c r="AK1727" s="17" t="str">
        <x:f>IF(AG1727&gt;=1000,"High Value",IF(AG1727&gt;=300,"Mid Value","Low Value"))</x:f>
        <x:v>Mid Value</x:v>
      </x:c>
      <x:c r="AL1727" s="17" t="str">
        <x:f>IF(AND(AI1727&gt;=1,I1727&lt;=50),"Priority 1",IF(AND(AG1727&gt;=1000,I1727&lt;=60),"Priority 2",IF(I1727&lt;=30,"Priority 3","Nurture")))</x:f>
        <x:v>Nurture</x:v>
      </x:c>
    </x:row>
    <x:row r="1728">
      <x:c r="A1728" s="16" t="n">
        <x:v>3828</x:v>
      </x:c>
      <x:c r="B1728" s="16" t="n">
        <x:v>1951</x:v>
      </x:c>
      <x:c r="C1728" s="16" t="str">
        <x:v>Graduation</x:v>
      </x:c>
      <x:c r="D1728" s="16" t="str">
        <x:v>Married</x:v>
      </x:c>
      <x:c r="E1728" s="16" t="n">
        <x:v>71107</x:v>
      </x:c>
      <x:c r="F1728" s="16" t="n">
        <x:v>0</x:v>
      </x:c>
      <x:c r="G1728" s="16" t="n">
        <x:v>1</x:v>
      </x:c>
      <x:c r="H1728" s="16" t="str">
        <x:v>17-02-2013</x:v>
      </x:c>
      <x:c r="I1728" s="16" t="n">
        <x:v>61</x:v>
      </x:c>
      <x:c r="J1728" s="16" t="n">
        <x:v>533</x:v>
      </x:c>
      <x:c r="K1728" s="16" t="n">
        <x:v>10</x:v>
      </x:c>
      <x:c r="L1728" s="16" t="n">
        <x:v>217</x:v>
      </x:c>
      <x:c r="M1728" s="16" t="n">
        <x:v>198</x:v>
      </x:c>
      <x:c r="N1728" s="16" t="n">
        <x:v>174</x:v>
      </x:c>
      <x:c r="O1728" s="16" t="n">
        <x:v>195</x:v>
      </x:c>
      <x:c r="P1728" s="16" t="n">
        <x:v>2</x:v>
      </x:c>
      <x:c r="Q1728" s="16" t="n">
        <x:v>7</x:v>
      </x:c>
      <x:c r="R1728" s="16" t="n">
        <x:v>6</x:v>
      </x:c>
      <x:c r="S1728" s="16" t="n">
        <x:v>13</x:v>
      </x:c>
      <x:c r="T1728" s="16" t="n">
        <x:v>4</x:v>
      </x:c>
      <x:c r="U1728" s="16" t="n">
        <x:v>0</x:v>
      </x:c>
      <x:c r="V1728" s="16" t="n">
        <x:v>0</x:v>
      </x:c>
      <x:c r="W1728" s="16" t="n">
        <x:v>0</x:v>
      </x:c>
      <x:c r="X1728" s="16" t="n">
        <x:v>0</x:v>
      </x:c>
      <x:c r="Y1728" s="16" t="n">
        <x:v>0</x:v>
      </x:c>
      <x:c r="Z1728" s="16" t="n">
        <x:v>0</x:v>
      </x:c>
      <x:c r="AA1728" s="16" t="n">
        <x:v>3</x:v>
      </x:c>
      <x:c r="AB1728" s="16" t="n">
        <x:v>11</x:v>
      </x:c>
      <x:c r="AC1728" s="16" t="n">
        <x:v>0</x:v>
      </x:c>
      <x:c r="AD1728" s="21" t="n">
        <x:f>IF(E1728="",MEDIAN($E$2:$E$2237),E1728)</x:f>
        <x:v>71107</x:v>
      </x:c>
      <x:c r="AE1728" s="17" t="n">
        <x:f>2014-B1728</x:f>
        <x:v>63</x:v>
      </x:c>
      <x:c r="AF1728" s="17" t="n">
        <x:f>F1728+G1728</x:f>
        <x:v>1</x:v>
      </x:c>
      <x:c r="AG1728" s="21" t="n">
        <x:f>SUM(J1728:O1728)</x:f>
        <x:v>1327</x:v>
      </x:c>
      <x:c r="AH1728" s="17" t="n">
        <x:f>SUM(Q1728:S1728)</x:f>
        <x:v>26</x:v>
      </x:c>
      <x:c r="AI1728" s="17" t="n">
        <x:f>SUM(U1728:Y1728)</x:f>
        <x:v>0</x:v>
      </x:c>
      <x:c r="AJ1728" s="17" t="str">
        <x:f>IF(AE1728&lt;=34,"≤34",IF(AE1728&lt;=44,"35–44",IF(AE1728&lt;=54,"45–54",IF(AE1728&lt;=64,"55–64","65+"))))</x:f>
        <x:v>55–64</x:v>
      </x:c>
      <x:c r="AK1728" s="17" t="str">
        <x:f>IF(AG1728&gt;=1000,"High Value",IF(AG1728&gt;=300,"Mid Value","Low Value"))</x:f>
        <x:v>High Value</x:v>
      </x:c>
      <x:c r="AL1728" s="17" t="str">
        <x:f>IF(AND(AI1728&gt;=1,I1728&lt;=50),"Priority 1",IF(AND(AG1728&gt;=1000,I1728&lt;=60),"Priority 2",IF(I1728&lt;=30,"Priority 3","Nurture")))</x:f>
        <x:v>Nurture</x:v>
      </x:c>
    </x:row>
    <x:row r="1729">
      <x:c r="A1729" s="16" t="n">
        <x:v>8605</x:v>
      </x:c>
      <x:c r="B1729" s="16" t="n">
        <x:v>1964</x:v>
      </x:c>
      <x:c r="C1729" s="16" t="str">
        <x:v>PhD</x:v>
      </x:c>
      <x:c r="D1729" s="16" t="str">
        <x:v>Together</x:v>
      </x:c>
      <x:c r="E1729" s="16" t="n">
        <x:v>46910</x:v>
      </x:c>
      <x:c r="F1729" s="16" t="n">
        <x:v>1</x:v>
      </x:c>
      <x:c r="G1729" s="16" t="n">
        <x:v>1</x:v>
      </x:c>
      <x:c r="H1729" s="16" t="str">
        <x:v>23-03-2014</x:v>
      </x:c>
      <x:c r="I1729" s="16" t="n">
        <x:v>36</x:v>
      </x:c>
      <x:c r="J1729" s="16" t="n">
        <x:v>48</x:v>
      </x:c>
      <x:c r="K1729" s="16" t="n">
        <x:v>0</x:v>
      </x:c>
      <x:c r="L1729" s="16" t="n">
        <x:v>14</x:v>
      </x:c>
      <x:c r="M1729" s="16" t="n">
        <x:v>0</x:v>
      </x:c>
      <x:c r="N1729" s="16" t="n">
        <x:v>0</x:v>
      </x:c>
      <x:c r="O1729" s="16" t="n">
        <x:v>6</x:v>
      </x:c>
      <x:c r="P1729" s="16" t="n">
        <x:v>2</x:v>
      </x:c>
      <x:c r="Q1729" s="16" t="n">
        <x:v>2</x:v>
      </x:c>
      <x:c r="R1729" s="16" t="n">
        <x:v>0</x:v>
      </x:c>
      <x:c r="S1729" s="16" t="n">
        <x:v>3</x:v>
      </x:c>
      <x:c r="T1729" s="16" t="n">
        <x:v>6</x:v>
      </x:c>
      <x:c r="U1729" s="16" t="n">
        <x:v>0</x:v>
      </x:c>
      <x:c r="V1729" s="16" t="n">
        <x:v>0</x:v>
      </x:c>
      <x:c r="W1729" s="16" t="n">
        <x:v>0</x:v>
      </x:c>
      <x:c r="X1729" s="16" t="n">
        <x:v>0</x:v>
      </x:c>
      <x:c r="Y1729" s="16" t="n">
        <x:v>0</x:v>
      </x:c>
      <x:c r="Z1729" s="16" t="n">
        <x:v>0</x:v>
      </x:c>
      <x:c r="AA1729" s="16" t="n">
        <x:v>3</x:v>
      </x:c>
      <x:c r="AB1729" s="16" t="n">
        <x:v>11</x:v>
      </x:c>
      <x:c r="AC1729" s="16" t="n">
        <x:v>0</x:v>
      </x:c>
      <x:c r="AD1729" s="21" t="n">
        <x:f>IF(E1729="",MEDIAN($E$2:$E$2237),E1729)</x:f>
        <x:v>46910</x:v>
      </x:c>
      <x:c r="AE1729" s="17" t="n">
        <x:f>2014-B1729</x:f>
        <x:v>50</x:v>
      </x:c>
      <x:c r="AF1729" s="17" t="n">
        <x:f>F1729+G1729</x:f>
        <x:v>2</x:v>
      </x:c>
      <x:c r="AG1729" s="21" t="n">
        <x:f>SUM(J1729:O1729)</x:f>
        <x:v>68</x:v>
      </x:c>
      <x:c r="AH1729" s="17" t="n">
        <x:f>SUM(Q1729:S1729)</x:f>
        <x:v>5</x:v>
      </x:c>
      <x:c r="AI1729" s="17" t="n">
        <x:f>SUM(U1729:Y1729)</x:f>
        <x:v>0</x:v>
      </x:c>
      <x:c r="AJ1729" s="17" t="str">
        <x:f>IF(AE1729&lt;=34,"≤34",IF(AE1729&lt;=44,"35–44",IF(AE1729&lt;=54,"45–54",IF(AE1729&lt;=64,"55–64","65+"))))</x:f>
        <x:v>45–54</x:v>
      </x:c>
      <x:c r="AK1729" s="17" t="str">
        <x:f>IF(AG1729&gt;=1000,"High Value",IF(AG1729&gt;=300,"Mid Value","Low Value"))</x:f>
        <x:v>Low Value</x:v>
      </x:c>
      <x:c r="AL1729" s="17" t="str">
        <x:f>IF(AND(AI1729&gt;=1,I1729&lt;=50),"Priority 1",IF(AND(AG1729&gt;=1000,I1729&lt;=60),"Priority 2",IF(I1729&lt;=30,"Priority 3","Nurture")))</x:f>
        <x:v>Nurture</x:v>
      </x:c>
    </x:row>
    <x:row r="1730">
      <x:c r="A1730" s="16" t="n">
        <x:v>10304</x:v>
      </x:c>
      <x:c r="B1730" s="16" t="n">
        <x:v>1959</x:v>
      </x:c>
      <x:c r="C1730" s="16" t="str">
        <x:v>Graduation</x:v>
      </x:c>
      <x:c r="D1730" s="16" t="str">
        <x:v>Married</x:v>
      </x:c>
      <x:c r="E1730" s="16" t="n">
        <x:v>18690</x:v>
      </x:c>
      <x:c r="F1730" s="16" t="n">
        <x:v>0</x:v>
      </x:c>
      <x:c r="G1730" s="16" t="n">
        <x:v>0</x:v>
      </x:c>
      <x:c r="H1730" s="16" t="str">
        <x:v>28-12-2012</x:v>
      </x:c>
      <x:c r="I1730" s="16" t="n">
        <x:v>77</x:v>
      </x:c>
      <x:c r="J1730" s="16" t="n">
        <x:v>6</x:v>
      </x:c>
      <x:c r="K1730" s="16" t="n">
        <x:v>1</x:v>
      </x:c>
      <x:c r="L1730" s="16" t="n">
        <x:v>7</x:v>
      </x:c>
      <x:c r="M1730" s="16" t="n">
        <x:v>23</x:v>
      </x:c>
      <x:c r="N1730" s="16" t="n">
        <x:v>4</x:v>
      </x:c>
      <x:c r="O1730" s="16" t="n">
        <x:v>19</x:v>
      </x:c>
      <x:c r="P1730" s="16" t="n">
        <x:v>1</x:v>
      </x:c>
      <x:c r="Q1730" s="16" t="n">
        <x:v>1</x:v>
      </x:c>
      <x:c r="R1730" s="16" t="n">
        <x:v>1</x:v>
      </x:c>
      <x:c r="S1730" s="16" t="n">
        <x:v>2</x:v>
      </x:c>
      <x:c r="T1730" s="16" t="n">
        <x:v>8</x:v>
      </x:c>
      <x:c r="U1730" s="16" t="n">
        <x:v>0</x:v>
      </x:c>
      <x:c r="V1730" s="16" t="n">
        <x:v>0</x:v>
      </x:c>
      <x:c r="W1730" s="16" t="n">
        <x:v>0</x:v>
      </x:c>
      <x:c r="X1730" s="16" t="n">
        <x:v>0</x:v>
      </x:c>
      <x:c r="Y1730" s="16" t="n">
        <x:v>0</x:v>
      </x:c>
      <x:c r="Z1730" s="16" t="n">
        <x:v>0</x:v>
      </x:c>
      <x:c r="AA1730" s="16" t="n">
        <x:v>3</x:v>
      </x:c>
      <x:c r="AB1730" s="16" t="n">
        <x:v>11</x:v>
      </x:c>
      <x:c r="AC1730" s="16" t="n">
        <x:v>0</x:v>
      </x:c>
      <x:c r="AD1730" s="21" t="n">
        <x:f>IF(E1730="",MEDIAN($E$2:$E$2237),E1730)</x:f>
        <x:v>18690</x:v>
      </x:c>
      <x:c r="AE1730" s="17" t="n">
        <x:f>2014-B1730</x:f>
        <x:v>55</x:v>
      </x:c>
      <x:c r="AF1730" s="17" t="n">
        <x:f>F1730+G1730</x:f>
        <x:v>0</x:v>
      </x:c>
      <x:c r="AG1730" s="21" t="n">
        <x:f>SUM(J1730:O1730)</x:f>
        <x:v>60</x:v>
      </x:c>
      <x:c r="AH1730" s="17" t="n">
        <x:f>SUM(Q1730:S1730)</x:f>
        <x:v>4</x:v>
      </x:c>
      <x:c r="AI1730" s="17" t="n">
        <x:f>SUM(U1730:Y1730)</x:f>
        <x:v>0</x:v>
      </x:c>
      <x:c r="AJ1730" s="17" t="str">
        <x:f>IF(AE1730&lt;=34,"≤34",IF(AE1730&lt;=44,"35–44",IF(AE1730&lt;=54,"45–54",IF(AE1730&lt;=64,"55–64","65+"))))</x:f>
        <x:v>55–64</x:v>
      </x:c>
      <x:c r="AK1730" s="17" t="str">
        <x:f>IF(AG1730&gt;=1000,"High Value",IF(AG1730&gt;=300,"Mid Value","Low Value"))</x:f>
        <x:v>Low Value</x:v>
      </x:c>
      <x:c r="AL1730" s="17" t="str">
        <x:f>IF(AND(AI1730&gt;=1,I1730&lt;=50),"Priority 1",IF(AND(AG1730&gt;=1000,I1730&lt;=60),"Priority 2",IF(I1730&lt;=30,"Priority 3","Nurture")))</x:f>
        <x:v>Nurture</x:v>
      </x:c>
    </x:row>
    <x:row r="1731">
      <x:c r="A1731" s="16" t="n">
        <x:v>4351</x:v>
      </x:c>
      <x:c r="B1731" s="16" t="n">
        <x:v>1955</x:v>
      </x:c>
      <x:c r="C1731" s="16" t="str">
        <x:v>Graduation</x:v>
      </x:c>
      <x:c r="D1731" s="16" t="str">
        <x:v>Divorced</x:v>
      </x:c>
      <x:c r="E1731" s="16" t="n">
        <x:v>37244</x:v>
      </x:c>
      <x:c r="F1731" s="16" t="n">
        <x:v>1</x:v>
      </x:c>
      <x:c r="G1731" s="16" t="n">
        <x:v>1</x:v>
      </x:c>
      <x:c r="H1731" s="16" t="str">
        <x:v>27-04-2013</x:v>
      </x:c>
      <x:c r="I1731" s="16" t="n">
        <x:v>90</x:v>
      </x:c>
      <x:c r="J1731" s="16" t="n">
        <x:v>18</x:v>
      </x:c>
      <x:c r="K1731" s="16" t="n">
        <x:v>2</x:v>
      </x:c>
      <x:c r="L1731" s="16" t="n">
        <x:v>10</x:v>
      </x:c>
      <x:c r="M1731" s="16" t="n">
        <x:v>0</x:v>
      </x:c>
      <x:c r="N1731" s="16" t="n">
        <x:v>0</x:v>
      </x:c>
      <x:c r="O1731" s="16" t="n">
        <x:v>25</x:v>
      </x:c>
      <x:c r="P1731" s="16" t="n">
        <x:v>1</x:v>
      </x:c>
      <x:c r="Q1731" s="16" t="n">
        <x:v>1</x:v>
      </x:c>
      <x:c r="R1731" s="16" t="n">
        <x:v>1</x:v>
      </x:c>
      <x:c r="S1731" s="16" t="n">
        <x:v>2</x:v>
      </x:c>
      <x:c r="T1731" s="16" t="n">
        <x:v>7</x:v>
      </x:c>
      <x:c r="U1731" s="16" t="n">
        <x:v>1</x:v>
      </x:c>
      <x:c r="V1731" s="16" t="n">
        <x:v>0</x:v>
      </x:c>
      <x:c r="W1731" s="16" t="n">
        <x:v>0</x:v>
      </x:c>
      <x:c r="X1731" s="16" t="n">
        <x:v>0</x:v>
      </x:c>
      <x:c r="Y1731" s="16" t="n">
        <x:v>0</x:v>
      </x:c>
      <x:c r="Z1731" s="16" t="n">
        <x:v>0</x:v>
      </x:c>
      <x:c r="AA1731" s="16" t="n">
        <x:v>3</x:v>
      </x:c>
      <x:c r="AB1731" s="16" t="n">
        <x:v>11</x:v>
      </x:c>
      <x:c r="AC1731" s="16" t="n">
        <x:v>0</x:v>
      </x:c>
      <x:c r="AD1731" s="21" t="n">
        <x:f>IF(E1731="",MEDIAN($E$2:$E$2237),E1731)</x:f>
        <x:v>37244</x:v>
      </x:c>
      <x:c r="AE1731" s="17" t="n">
        <x:f>2014-B1731</x:f>
        <x:v>59</x:v>
      </x:c>
      <x:c r="AF1731" s="17" t="n">
        <x:f>F1731+G1731</x:f>
        <x:v>2</x:v>
      </x:c>
      <x:c r="AG1731" s="21" t="n">
        <x:f>SUM(J1731:O1731)</x:f>
        <x:v>55</x:v>
      </x:c>
      <x:c r="AH1731" s="17" t="n">
        <x:f>SUM(Q1731:S1731)</x:f>
        <x:v>4</x:v>
      </x:c>
      <x:c r="AI1731" s="17" t="n">
        <x:f>SUM(U1731:Y1731)</x:f>
        <x:v>1</x:v>
      </x:c>
      <x:c r="AJ1731" s="17" t="str">
        <x:f>IF(AE1731&lt;=34,"≤34",IF(AE1731&lt;=44,"35–44",IF(AE1731&lt;=54,"45–54",IF(AE1731&lt;=64,"55–64","65+"))))</x:f>
        <x:v>55–64</x:v>
      </x:c>
      <x:c r="AK1731" s="17" t="str">
        <x:f>IF(AG1731&gt;=1000,"High Value",IF(AG1731&gt;=300,"Mid Value","Low Value"))</x:f>
        <x:v>Low Value</x:v>
      </x:c>
      <x:c r="AL1731" s="17" t="str">
        <x:f>IF(AND(AI1731&gt;=1,I1731&lt;=50),"Priority 1",IF(AND(AG1731&gt;=1000,I1731&lt;=60),"Priority 2",IF(I1731&lt;=30,"Priority 3","Nurture")))</x:f>
        <x:v>Nurture</x:v>
      </x:c>
    </x:row>
    <x:row r="1732">
      <x:c r="A1732" s="16" t="n">
        <x:v>10129</x:v>
      </x:c>
      <x:c r="B1732" s="16" t="n">
        <x:v>1966</x:v>
      </x:c>
      <x:c r="C1732" s="16" t="str">
        <x:v>Graduation</x:v>
      </x:c>
      <x:c r="D1732" s="16" t="str">
        <x:v>Together</x:v>
      </x:c>
      <x:c r="E1732" s="16" t="n">
        <x:v>82427</x:v>
      </x:c>
      <x:c r="F1732" s="16" t="n">
        <x:v>0</x:v>
      </x:c>
      <x:c r="G1732" s="16" t="n">
        <x:v>0</x:v>
      </x:c>
      <x:c r="H1732" s="16" t="str">
        <x:v>12-03-2014</x:v>
      </x:c>
      <x:c r="I1732" s="16" t="n">
        <x:v>35</x:v>
      </x:c>
      <x:c r="J1732" s="16" t="n">
        <x:v>482</x:v>
      </x:c>
      <x:c r="K1732" s="16" t="n">
        <x:v>147</x:v>
      </x:c>
      <x:c r="L1732" s="16" t="n">
        <x:v>509</x:v>
      </x:c>
      <x:c r="M1732" s="16" t="n">
        <x:v>104</x:v>
      </x:c>
      <x:c r="N1732" s="16" t="n">
        <x:v>107</x:v>
      </x:c>
      <x:c r="O1732" s="16" t="n">
        <x:v>107</x:v>
      </x:c>
      <x:c r="P1732" s="16" t="n">
        <x:v>1</x:v>
      </x:c>
      <x:c r="Q1732" s="16" t="n">
        <x:v>3</x:v>
      </x:c>
      <x:c r="R1732" s="16" t="n">
        <x:v>5</x:v>
      </x:c>
      <x:c r="S1732" s="16" t="n">
        <x:v>12</x:v>
      </x:c>
      <x:c r="T1732" s="16" t="n">
        <x:v>1</x:v>
      </x:c>
      <x:c r="U1732" s="16" t="n">
        <x:v>0</x:v>
      </x:c>
      <x:c r="V1732" s="16" t="n">
        <x:v>0</x:v>
      </x:c>
      <x:c r="W1732" s="16" t="n">
        <x:v>1</x:v>
      </x:c>
      <x:c r="X1732" s="16" t="n">
        <x:v>0</x:v>
      </x:c>
      <x:c r="Y1732" s="16" t="n">
        <x:v>0</x:v>
      </x:c>
      <x:c r="Z1732" s="16" t="n">
        <x:v>0</x:v>
      </x:c>
      <x:c r="AA1732" s="16" t="n">
        <x:v>3</x:v>
      </x:c>
      <x:c r="AB1732" s="16" t="n">
        <x:v>11</x:v>
      </x:c>
      <x:c r="AC1732" s="16" t="n">
        <x:v>0</x:v>
      </x:c>
      <x:c r="AD1732" s="21" t="n">
        <x:f>IF(E1732="",MEDIAN($E$2:$E$2237),E1732)</x:f>
        <x:v>82427</x:v>
      </x:c>
      <x:c r="AE1732" s="17" t="n">
        <x:f>2014-B1732</x:f>
        <x:v>48</x:v>
      </x:c>
      <x:c r="AF1732" s="17" t="n">
        <x:f>F1732+G1732</x:f>
        <x:v>0</x:v>
      </x:c>
      <x:c r="AG1732" s="21" t="n">
        <x:f>SUM(J1732:O1732)</x:f>
        <x:v>1456</x:v>
      </x:c>
      <x:c r="AH1732" s="17" t="n">
        <x:f>SUM(Q1732:S1732)</x:f>
        <x:v>20</x:v>
      </x:c>
      <x:c r="AI1732" s="17" t="n">
        <x:f>SUM(U1732:Y1732)</x:f>
        <x:v>1</x:v>
      </x:c>
      <x:c r="AJ1732" s="17" t="str">
        <x:f>IF(AE1732&lt;=34,"≤34",IF(AE1732&lt;=44,"35–44",IF(AE1732&lt;=54,"45–54",IF(AE1732&lt;=64,"55–64","65+"))))</x:f>
        <x:v>45–54</x:v>
      </x:c>
      <x:c r="AK1732" s="17" t="str">
        <x:f>IF(AG1732&gt;=1000,"High Value",IF(AG1732&gt;=300,"Mid Value","Low Value"))</x:f>
        <x:v>High Value</x:v>
      </x:c>
      <x:c r="AL1732" s="17" t="str">
        <x:f>IF(AND(AI1732&gt;=1,I1732&lt;=50),"Priority 1",IF(AND(AG1732&gt;=1000,I1732&lt;=60),"Priority 2",IF(I1732&lt;=30,"Priority 3","Nurture")))</x:f>
        <x:v>Priority 1</x:v>
      </x:c>
    </x:row>
    <x:row r="1733">
      <x:c r="A1733" s="16" t="n">
        <x:v>2499</x:v>
      </x:c>
      <x:c r="B1733" s="16" t="n">
        <x:v>1958</x:v>
      </x:c>
      <x:c r="C1733" s="16" t="str">
        <x:v>2n Cycle</x:v>
      </x:c>
      <x:c r="D1733" s="16" t="str">
        <x:v>Single</x:v>
      </x:c>
      <x:c r="E1733" s="16" t="n">
        <x:v>75342</x:v>
      </x:c>
      <x:c r="F1733" s="16" t="n">
        <x:v>0</x:v>
      </x:c>
      <x:c r="G1733" s="16" t="n">
        <x:v>1</x:v>
      </x:c>
      <x:c r="H1733" s="16" t="str">
        <x:v>06-05-2013</x:v>
      </x:c>
      <x:c r="I1733" s="16" t="n">
        <x:v>38</x:v>
      </x:c>
      <x:c r="J1733" s="16" t="n">
        <x:v>204</x:v>
      </x:c>
      <x:c r="K1733" s="16" t="n">
        <x:v>97</x:v>
      </x:c>
      <x:c r="L1733" s="16" t="n">
        <x:v>97</x:v>
      </x:c>
      <x:c r="M1733" s="16" t="n">
        <x:v>21</x:v>
      </x:c>
      <x:c r="N1733" s="16" t="n">
        <x:v>118</x:v>
      </x:c>
      <x:c r="O1733" s="16" t="n">
        <x:v>26</x:v>
      </x:c>
      <x:c r="P1733" s="16" t="n">
        <x:v>1</x:v>
      </x:c>
      <x:c r="Q1733" s="16" t="n">
        <x:v>5</x:v>
      </x:c>
      <x:c r="R1733" s="16" t="n">
        <x:v>2</x:v>
      </x:c>
      <x:c r="S1733" s="16" t="n">
        <x:v>10</x:v>
      </x:c>
      <x:c r="T1733" s="16" t="n">
        <x:v>4</x:v>
      </x:c>
      <x:c r="U1733" s="16" t="n">
        <x:v>0</x:v>
      </x:c>
      <x:c r="V1733" s="16" t="n">
        <x:v>0</x:v>
      </x:c>
      <x:c r="W1733" s="16" t="n">
        <x:v>0</x:v>
      </x:c>
      <x:c r="X1733" s="16" t="n">
        <x:v>0</x:v>
      </x:c>
      <x:c r="Y1733" s="16" t="n">
        <x:v>0</x:v>
      </x:c>
      <x:c r="Z1733" s="16" t="n">
        <x:v>0</x:v>
      </x:c>
      <x:c r="AA1733" s="16" t="n">
        <x:v>3</x:v>
      </x:c>
      <x:c r="AB1733" s="16" t="n">
        <x:v>11</x:v>
      </x:c>
      <x:c r="AC1733" s="16" t="n">
        <x:v>0</x:v>
      </x:c>
      <x:c r="AD1733" s="21" t="n">
        <x:f>IF(E1733="",MEDIAN($E$2:$E$2237),E1733)</x:f>
        <x:v>75342</x:v>
      </x:c>
      <x:c r="AE1733" s="17" t="n">
        <x:f>2014-B1733</x:f>
        <x:v>56</x:v>
      </x:c>
      <x:c r="AF1733" s="17" t="n">
        <x:f>F1733+G1733</x:f>
        <x:v>1</x:v>
      </x:c>
      <x:c r="AG1733" s="21" t="n">
        <x:f>SUM(J1733:O1733)</x:f>
        <x:v>563</x:v>
      </x:c>
      <x:c r="AH1733" s="17" t="n">
        <x:f>SUM(Q1733:S1733)</x:f>
        <x:v>17</x:v>
      </x:c>
      <x:c r="AI1733" s="17" t="n">
        <x:f>SUM(U1733:Y1733)</x:f>
        <x:v>0</x:v>
      </x:c>
      <x:c r="AJ1733" s="17" t="str">
        <x:f>IF(AE1733&lt;=34,"≤34",IF(AE1733&lt;=44,"35–44",IF(AE1733&lt;=54,"45–54",IF(AE1733&lt;=64,"55–64","65+"))))</x:f>
        <x:v>55–64</x:v>
      </x:c>
      <x:c r="AK1733" s="17" t="str">
        <x:f>IF(AG1733&gt;=1000,"High Value",IF(AG1733&gt;=300,"Mid Value","Low Value"))</x:f>
        <x:v>Mid Value</x:v>
      </x:c>
      <x:c r="AL1733" s="17" t="str">
        <x:f>IF(AND(AI1733&gt;=1,I1733&lt;=50),"Priority 1",IF(AND(AG1733&gt;=1000,I1733&lt;=60),"Priority 2",IF(I1733&lt;=30,"Priority 3","Nurture")))</x:f>
        <x:v>Nurture</x:v>
      </x:c>
    </x:row>
    <x:row r="1734">
      <x:c r="A1734" s="16" t="n">
        <x:v>10092</x:v>
      </x:c>
      <x:c r="B1734" s="16" t="n">
        <x:v>1954</x:v>
      </x:c>
      <x:c r="C1734" s="16" t="str">
        <x:v>Graduation</x:v>
      </x:c>
      <x:c r="D1734" s="16" t="str">
        <x:v>Divorced</x:v>
      </x:c>
      <x:c r="E1734" s="16" t="n">
        <x:v>70044</x:v>
      </x:c>
      <x:c r="F1734" s="16" t="n">
        <x:v>0</x:v>
      </x:c>
      <x:c r="G1734" s="16" t="n">
        <x:v>1</x:v>
      </x:c>
      <x:c r="H1734" s="16" t="str">
        <x:v>18-02-2013</x:v>
      </x:c>
      <x:c r="I1734" s="16" t="n">
        <x:v>46</x:v>
      </x:c>
      <x:c r="J1734" s="16" t="n">
        <x:v>1073</x:v>
      </x:c>
      <x:c r="K1734" s="16" t="n">
        <x:v>0</x:v>
      </x:c>
      <x:c r="L1734" s="16" t="n">
        <x:v>250</x:v>
      </x:c>
      <x:c r="M1734" s="16" t="n">
        <x:v>153</x:v>
      </x:c>
      <x:c r="N1734" s="16" t="n">
        <x:v>14</x:v>
      </x:c>
      <x:c r="O1734" s="16" t="n">
        <x:v>14</x:v>
      </x:c>
      <x:c r="P1734" s="16" t="n">
        <x:v>4</x:v>
      </x:c>
      <x:c r="Q1734" s="16" t="n">
        <x:v>7</x:v>
      </x:c>
      <x:c r="R1734" s="16" t="n">
        <x:v>10</x:v>
      </x:c>
      <x:c r="S1734" s="16" t="n">
        <x:v>5</x:v>
      </x:c>
      <x:c r="T1734" s="16" t="n">
        <x:v>5</x:v>
      </x:c>
      <x:c r="U1734" s="16" t="n">
        <x:v>0</x:v>
      </x:c>
      <x:c r="V1734" s="16" t="n">
        <x:v>0</x:v>
      </x:c>
      <x:c r="W1734" s="16" t="n">
        <x:v>0</x:v>
      </x:c>
      <x:c r="X1734" s="16" t="n">
        <x:v>0</x:v>
      </x:c>
      <x:c r="Y1734" s="16" t="n">
        <x:v>0</x:v>
      </x:c>
      <x:c r="Z1734" s="16" t="n">
        <x:v>0</x:v>
      </x:c>
      <x:c r="AA1734" s="16" t="n">
        <x:v>3</x:v>
      </x:c>
      <x:c r="AB1734" s="16" t="n">
        <x:v>11</x:v>
      </x:c>
      <x:c r="AC1734" s="16" t="n">
        <x:v>0</x:v>
      </x:c>
      <x:c r="AD1734" s="21" t="n">
        <x:f>IF(E1734="",MEDIAN($E$2:$E$2237),E1734)</x:f>
        <x:v>70044</x:v>
      </x:c>
      <x:c r="AE1734" s="17" t="n">
        <x:f>2014-B1734</x:f>
        <x:v>60</x:v>
      </x:c>
      <x:c r="AF1734" s="17" t="n">
        <x:f>F1734+G1734</x:f>
        <x:v>1</x:v>
      </x:c>
      <x:c r="AG1734" s="21" t="n">
        <x:f>SUM(J1734:O1734)</x:f>
        <x:v>1504</x:v>
      </x:c>
      <x:c r="AH1734" s="17" t="n">
        <x:f>SUM(Q1734:S1734)</x:f>
        <x:v>22</x:v>
      </x:c>
      <x:c r="AI1734" s="17" t="n">
        <x:f>SUM(U1734:Y1734)</x:f>
        <x:v>0</x:v>
      </x:c>
      <x:c r="AJ1734" s="17" t="str">
        <x:f>IF(AE1734&lt;=34,"≤34",IF(AE1734&lt;=44,"35–44",IF(AE1734&lt;=54,"45–54",IF(AE1734&lt;=64,"55–64","65+"))))</x:f>
        <x:v>55–64</x:v>
      </x:c>
      <x:c r="AK1734" s="17" t="str">
        <x:f>IF(AG1734&gt;=1000,"High Value",IF(AG1734&gt;=300,"Mid Value","Low Value"))</x:f>
        <x:v>High Value</x:v>
      </x:c>
      <x:c r="AL1734" s="17" t="str">
        <x:f>IF(AND(AI1734&gt;=1,I1734&lt;=50),"Priority 1",IF(AND(AG1734&gt;=1000,I1734&lt;=60),"Priority 2",IF(I1734&lt;=30,"Priority 3","Nurture")))</x:f>
        <x:v>Priority 2</x:v>
      </x:c>
    </x:row>
    <x:row r="1735">
      <x:c r="A1735" s="16" t="n">
        <x:v>7500</x:v>
      </x:c>
      <x:c r="B1735" s="16" t="n">
        <x:v>1967</x:v>
      </x:c>
      <x:c r="C1735" s="16" t="str">
        <x:v>Graduation</x:v>
      </x:c>
      <x:c r="D1735" s="16" t="str">
        <x:v>Single</x:v>
      </x:c>
      <x:c r="E1735" s="16" t="n">
        <x:v>79146</x:v>
      </x:c>
      <x:c r="F1735" s="16" t="n">
        <x:v>1</x:v>
      </x:c>
      <x:c r="G1735" s="16" t="n">
        <x:v>1</x:v>
      </x:c>
      <x:c r="H1735" s="16" t="str">
        <x:v>24-04-2014</x:v>
      </x:c>
      <x:c r="I1735" s="16" t="n">
        <x:v>33</x:v>
      </x:c>
      <x:c r="J1735" s="16" t="n">
        <x:v>245</x:v>
      </x:c>
      <x:c r="K1735" s="16" t="n">
        <x:v>16</x:v>
      </x:c>
      <x:c r="L1735" s="16" t="n">
        <x:v>223</x:v>
      </x:c>
      <x:c r="M1735" s="16" t="n">
        <x:v>21</x:v>
      </x:c>
      <x:c r="N1735" s="16" t="n">
        <x:v>43</x:v>
      </x:c>
      <x:c r="O1735" s="16" t="n">
        <x:v>16</x:v>
      </x:c>
      <x:c r="P1735" s="16" t="n">
        <x:v>2</x:v>
      </x:c>
      <x:c r="Q1735" s="16" t="n">
        <x:v>8</x:v>
      </x:c>
      <x:c r="R1735" s="16" t="n">
        <x:v>1</x:v>
      </x:c>
      <x:c r="S1735" s="16" t="n">
        <x:v>8</x:v>
      </x:c>
      <x:c r="T1735" s="16" t="n">
        <x:v>6</x:v>
      </x:c>
      <x:c r="U1735" s="16" t="n">
        <x:v>0</x:v>
      </x:c>
      <x:c r="V1735" s="16" t="n">
        <x:v>0</x:v>
      </x:c>
      <x:c r="W1735" s="16" t="n">
        <x:v>0</x:v>
      </x:c>
      <x:c r="X1735" s="16" t="n">
        <x:v>0</x:v>
      </x:c>
      <x:c r="Y1735" s="16" t="n">
        <x:v>0</x:v>
      </x:c>
      <x:c r="Z1735" s="16" t="n">
        <x:v>0</x:v>
      </x:c>
      <x:c r="AA1735" s="16" t="n">
        <x:v>3</x:v>
      </x:c>
      <x:c r="AB1735" s="16" t="n">
        <x:v>11</x:v>
      </x:c>
      <x:c r="AC1735" s="16" t="n">
        <x:v>0</x:v>
      </x:c>
      <x:c r="AD1735" s="21" t="n">
        <x:f>IF(E1735="",MEDIAN($E$2:$E$2237),E1735)</x:f>
        <x:v>79146</x:v>
      </x:c>
      <x:c r="AE1735" s="17" t="n">
        <x:f>2014-B1735</x:f>
        <x:v>47</x:v>
      </x:c>
      <x:c r="AF1735" s="17" t="n">
        <x:f>F1735+G1735</x:f>
        <x:v>2</x:v>
      </x:c>
      <x:c r="AG1735" s="21" t="n">
        <x:f>SUM(J1735:O1735)</x:f>
        <x:v>564</x:v>
      </x:c>
      <x:c r="AH1735" s="17" t="n">
        <x:f>SUM(Q1735:S1735)</x:f>
        <x:v>17</x:v>
      </x:c>
      <x:c r="AI1735" s="17" t="n">
        <x:f>SUM(U1735:Y1735)</x:f>
        <x:v>0</x:v>
      </x:c>
      <x:c r="AJ1735" s="17" t="str">
        <x:f>IF(AE1735&lt;=34,"≤34",IF(AE1735&lt;=44,"35–44",IF(AE1735&lt;=54,"45–54",IF(AE1735&lt;=64,"55–64","65+"))))</x:f>
        <x:v>45–54</x:v>
      </x:c>
      <x:c r="AK1735" s="17" t="str">
        <x:f>IF(AG1735&gt;=1000,"High Value",IF(AG1735&gt;=300,"Mid Value","Low Value"))</x:f>
        <x:v>Mid Value</x:v>
      </x:c>
      <x:c r="AL1735" s="17" t="str">
        <x:f>IF(AND(AI1735&gt;=1,I1735&lt;=50),"Priority 1",IF(AND(AG1735&gt;=1000,I1735&lt;=60),"Priority 2",IF(I1735&lt;=30,"Priority 3","Nurture")))</x:f>
        <x:v>Nurture</x:v>
      </x:c>
    </x:row>
    <x:row r="1736">
      <x:c r="A1736" s="16" t="n">
        <x:v>5796</x:v>
      </x:c>
      <x:c r="B1736" s="16" t="n">
        <x:v>1963</x:v>
      </x:c>
      <x:c r="C1736" s="16" t="str">
        <x:v>Graduation</x:v>
      </x:c>
      <x:c r="D1736" s="16" t="str">
        <x:v>Married</x:v>
      </x:c>
      <x:c r="E1736" s="16" t="n">
        <x:v>77437</x:v>
      </x:c>
      <x:c r="F1736" s="16" t="n">
        <x:v>0</x:v>
      </x:c>
      <x:c r="G1736" s="16" t="n">
        <x:v>0</x:v>
      </x:c>
      <x:c r="H1736" s="16" t="str">
        <x:v>26-11-2013</x:v>
      </x:c>
      <x:c r="I1736" s="16" t="n">
        <x:v>70</x:v>
      </x:c>
      <x:c r="J1736" s="16" t="n">
        <x:v>560</x:v>
      </x:c>
      <x:c r="K1736" s="16" t="n">
        <x:v>21</x:v>
      </x:c>
      <x:c r="L1736" s="16" t="n">
        <x:v>442</x:v>
      </x:c>
      <x:c r="M1736" s="16" t="n">
        <x:v>29</x:v>
      </x:c>
      <x:c r="N1736" s="16" t="n">
        <x:v>44</x:v>
      </x:c>
      <x:c r="O1736" s="16" t="n">
        <x:v>29</x:v>
      </x:c>
      <x:c r="P1736" s="16" t="n">
        <x:v>1</x:v>
      </x:c>
      <x:c r="Q1736" s="16" t="n">
        <x:v>4</x:v>
      </x:c>
      <x:c r="R1736" s="16" t="n">
        <x:v>5</x:v>
      </x:c>
      <x:c r="S1736" s="16" t="n">
        <x:v>13</x:v>
      </x:c>
      <x:c r="T1736" s="16" t="n">
        <x:v>1</x:v>
      </x:c>
      <x:c r="U1736" s="16" t="n">
        <x:v>0</x:v>
      </x:c>
      <x:c r="V1736" s="16" t="n">
        <x:v>0</x:v>
      </x:c>
      <x:c r="W1736" s="16" t="n">
        <x:v>1</x:v>
      </x:c>
      <x:c r="X1736" s="16" t="n">
        <x:v>0</x:v>
      </x:c>
      <x:c r="Y1736" s="16" t="n">
        <x:v>0</x:v>
      </x:c>
      <x:c r="Z1736" s="16" t="n">
        <x:v>0</x:v>
      </x:c>
      <x:c r="AA1736" s="16" t="n">
        <x:v>3</x:v>
      </x:c>
      <x:c r="AB1736" s="16" t="n">
        <x:v>11</x:v>
      </x:c>
      <x:c r="AC1736" s="16" t="n">
        <x:v>0</x:v>
      </x:c>
      <x:c r="AD1736" s="21" t="n">
        <x:f>IF(E1736="",MEDIAN($E$2:$E$2237),E1736)</x:f>
        <x:v>77437</x:v>
      </x:c>
      <x:c r="AE1736" s="17" t="n">
        <x:f>2014-B1736</x:f>
        <x:v>51</x:v>
      </x:c>
      <x:c r="AF1736" s="17" t="n">
        <x:f>F1736+G1736</x:f>
        <x:v>0</x:v>
      </x:c>
      <x:c r="AG1736" s="21" t="n">
        <x:f>SUM(J1736:O1736)</x:f>
        <x:v>1125</x:v>
      </x:c>
      <x:c r="AH1736" s="17" t="n">
        <x:f>SUM(Q1736:S1736)</x:f>
        <x:v>22</x:v>
      </x:c>
      <x:c r="AI1736" s="17" t="n">
        <x:f>SUM(U1736:Y1736)</x:f>
        <x:v>1</x:v>
      </x:c>
      <x:c r="AJ1736" s="17" t="str">
        <x:f>IF(AE1736&lt;=34,"≤34",IF(AE1736&lt;=44,"35–44",IF(AE1736&lt;=54,"45–54",IF(AE1736&lt;=64,"55–64","65+"))))</x:f>
        <x:v>45–54</x:v>
      </x:c>
      <x:c r="AK1736" s="17" t="str">
        <x:f>IF(AG1736&gt;=1000,"High Value",IF(AG1736&gt;=300,"Mid Value","Low Value"))</x:f>
        <x:v>High Value</x:v>
      </x:c>
      <x:c r="AL1736" s="17" t="str">
        <x:f>IF(AND(AI1736&gt;=1,I1736&lt;=50),"Priority 1",IF(AND(AG1736&gt;=1000,I1736&lt;=60),"Priority 2",IF(I1736&lt;=30,"Priority 3","Nurture")))</x:f>
        <x:v>Nurture</x:v>
      </x:c>
    </x:row>
    <x:row r="1737">
      <x:c r="A1737" s="16" t="n">
        <x:v>10556</x:v>
      </x:c>
      <x:c r="B1737" s="16" t="n">
        <x:v>1959</x:v>
      </x:c>
      <x:c r="C1737" s="16" t="str">
        <x:v>Graduation</x:v>
      </x:c>
      <x:c r="D1737" s="16" t="str">
        <x:v>Married</x:v>
      </x:c>
      <x:c r="E1737" s="16" t="n">
        <x:v>54984</x:v>
      </x:c>
      <x:c r="F1737" s="16" t="n">
        <x:v>0</x:v>
      </x:c>
      <x:c r="G1737" s="16" t="n">
        <x:v>1</x:v>
      </x:c>
      <x:c r="H1737" s="16" t="str">
        <x:v>24-05-2014</x:v>
      </x:c>
      <x:c r="I1737" s="16" t="n">
        <x:v>51</x:v>
      </x:c>
      <x:c r="J1737" s="16" t="n">
        <x:v>173</x:v>
      </x:c>
      <x:c r="K1737" s="16" t="n">
        <x:v>13</x:v>
      </x:c>
      <x:c r="L1737" s="16" t="n">
        <x:v>131</x:v>
      </x:c>
      <x:c r="M1737" s="16" t="n">
        <x:v>32</x:v>
      </x:c>
      <x:c r="N1737" s="16" t="n">
        <x:v>3</x:v>
      </x:c>
      <x:c r="O1737" s="16" t="n">
        <x:v>6</x:v>
      </x:c>
      <x:c r="P1737" s="16" t="n">
        <x:v>4</x:v>
      </x:c>
      <x:c r="Q1737" s="16" t="n">
        <x:v>6</x:v>
      </x:c>
      <x:c r="R1737" s="16" t="n">
        <x:v>1</x:v>
      </x:c>
      <x:c r="S1737" s="16" t="n">
        <x:v>6</x:v>
      </x:c>
      <x:c r="T1737" s="16" t="n">
        <x:v>7</x:v>
      </x:c>
      <x:c r="U1737" s="16" t="n">
        <x:v>0</x:v>
      </x:c>
      <x:c r="V1737" s="16" t="n">
        <x:v>0</x:v>
      </x:c>
      <x:c r="W1737" s="16" t="n">
        <x:v>0</x:v>
      </x:c>
      <x:c r="X1737" s="16" t="n">
        <x:v>1</x:v>
      </x:c>
      <x:c r="Y1737" s="16" t="n">
        <x:v>0</x:v>
      </x:c>
      <x:c r="Z1737" s="16" t="n">
        <x:v>0</x:v>
      </x:c>
      <x:c r="AA1737" s="16" t="n">
        <x:v>3</x:v>
      </x:c>
      <x:c r="AB1737" s="16" t="n">
        <x:v>11</x:v>
      </x:c>
      <x:c r="AC1737" s="16" t="n">
        <x:v>0</x:v>
      </x:c>
      <x:c r="AD1737" s="21" t="n">
        <x:f>IF(E1737="",MEDIAN($E$2:$E$2237),E1737)</x:f>
        <x:v>54984</x:v>
      </x:c>
      <x:c r="AE1737" s="17" t="n">
        <x:f>2014-B1737</x:f>
        <x:v>55</x:v>
      </x:c>
      <x:c r="AF1737" s="17" t="n">
        <x:f>F1737+G1737</x:f>
        <x:v>1</x:v>
      </x:c>
      <x:c r="AG1737" s="21" t="n">
        <x:f>SUM(J1737:O1737)</x:f>
        <x:v>358</x:v>
      </x:c>
      <x:c r="AH1737" s="17" t="n">
        <x:f>SUM(Q1737:S1737)</x:f>
        <x:v>13</x:v>
      </x:c>
      <x:c r="AI1737" s="17" t="n">
        <x:f>SUM(U1737:Y1737)</x:f>
        <x:v>1</x:v>
      </x:c>
      <x:c r="AJ1737" s="17" t="str">
        <x:f>IF(AE1737&lt;=34,"≤34",IF(AE1737&lt;=44,"35–44",IF(AE1737&lt;=54,"45–54",IF(AE1737&lt;=64,"55–64","65+"))))</x:f>
        <x:v>55–64</x:v>
      </x:c>
      <x:c r="AK1737" s="17" t="str">
        <x:f>IF(AG1737&gt;=1000,"High Value",IF(AG1737&gt;=300,"Mid Value","Low Value"))</x:f>
        <x:v>Mid Value</x:v>
      </x:c>
      <x:c r="AL1737" s="17" t="str">
        <x:f>IF(AND(AI1737&gt;=1,I1737&lt;=50),"Priority 1",IF(AND(AG1737&gt;=1000,I1737&lt;=60),"Priority 2",IF(I1737&lt;=30,"Priority 3","Nurture")))</x:f>
        <x:v>Nurture</x:v>
      </x:c>
    </x:row>
    <x:row r="1738">
      <x:c r="A1738" s="16" t="n">
        <x:v>1064</x:v>
      </x:c>
      <x:c r="B1738" s="16" t="n">
        <x:v>1971</x:v>
      </x:c>
      <x:c r="C1738" s="16" t="str">
        <x:v>PhD</x:v>
      </x:c>
      <x:c r="D1738" s="16" t="str">
        <x:v>Married</x:v>
      </x:c>
      <x:c r="E1738" s="16" t="n">
        <x:v>42403</x:v>
      </x:c>
      <x:c r="F1738" s="16" t="n">
        <x:v>1</x:v>
      </x:c>
      <x:c r="G1738" s="16" t="n">
        <x:v>0</x:v>
      </x:c>
      <x:c r="H1738" s="16" t="str">
        <x:v>11-12-2013</x:v>
      </x:c>
      <x:c r="I1738" s="16" t="n">
        <x:v>18</x:v>
      </x:c>
      <x:c r="J1738" s="16" t="n">
        <x:v>22</x:v>
      </x:c>
      <x:c r="K1738" s="16" t="n">
        <x:v>1</x:v>
      </x:c>
      <x:c r="L1738" s="16" t="n">
        <x:v>11</x:v>
      </x:c>
      <x:c r="M1738" s="16" t="n">
        <x:v>0</x:v>
      </x:c>
      <x:c r="N1738" s="16" t="n">
        <x:v>5</x:v>
      </x:c>
      <x:c r="O1738" s="16" t="n">
        <x:v>3</x:v>
      </x:c>
      <x:c r="P1738" s="16" t="n">
        <x:v>1</x:v>
      </x:c>
      <x:c r="Q1738" s="16" t="n">
        <x:v>1</x:v>
      </x:c>
      <x:c r="R1738" s="16" t="n">
        <x:v>0</x:v>
      </x:c>
      <x:c r="S1738" s="16" t="n">
        <x:v>3</x:v>
      </x:c>
      <x:c r="T1738" s="16" t="n">
        <x:v>8</x:v>
      </x:c>
      <x:c r="U1738" s="16" t="n">
        <x:v>0</x:v>
      </x:c>
      <x:c r="V1738" s="16" t="n">
        <x:v>0</x:v>
      </x:c>
      <x:c r="W1738" s="16" t="n">
        <x:v>0</x:v>
      </x:c>
      <x:c r="X1738" s="16" t="n">
        <x:v>0</x:v>
      </x:c>
      <x:c r="Y1738" s="16" t="n">
        <x:v>0</x:v>
      </x:c>
      <x:c r="Z1738" s="16" t="n">
        <x:v>0</x:v>
      </x:c>
      <x:c r="AA1738" s="16" t="n">
        <x:v>3</x:v>
      </x:c>
      <x:c r="AB1738" s="16" t="n">
        <x:v>11</x:v>
      </x:c>
      <x:c r="AC1738" s="16" t="n">
        <x:v>0</x:v>
      </x:c>
      <x:c r="AD1738" s="21" t="n">
        <x:f>IF(E1738="",MEDIAN($E$2:$E$2237),E1738)</x:f>
        <x:v>42403</x:v>
      </x:c>
      <x:c r="AE1738" s="17" t="n">
        <x:f>2014-B1738</x:f>
        <x:v>43</x:v>
      </x:c>
      <x:c r="AF1738" s="17" t="n">
        <x:f>F1738+G1738</x:f>
        <x:v>1</x:v>
      </x:c>
      <x:c r="AG1738" s="21" t="n">
        <x:f>SUM(J1738:O1738)</x:f>
        <x:v>42</x:v>
      </x:c>
      <x:c r="AH1738" s="17" t="n">
        <x:f>SUM(Q1738:S1738)</x:f>
        <x:v>4</x:v>
      </x:c>
      <x:c r="AI1738" s="17" t="n">
        <x:f>SUM(U1738:Y1738)</x:f>
        <x:v>0</x:v>
      </x:c>
      <x:c r="AJ1738" s="17" t="str">
        <x:f>IF(AE1738&lt;=34,"≤34",IF(AE1738&lt;=44,"35–44",IF(AE1738&lt;=54,"45–54",IF(AE1738&lt;=64,"55–64","65+"))))</x:f>
        <x:v>35–44</x:v>
      </x:c>
      <x:c r="AK1738" s="17" t="str">
        <x:f>IF(AG1738&gt;=1000,"High Value",IF(AG1738&gt;=300,"Mid Value","Low Value"))</x:f>
        <x:v>Low Value</x:v>
      </x:c>
      <x:c r="AL1738" s="17" t="str">
        <x:f>IF(AND(AI1738&gt;=1,I1738&lt;=50),"Priority 1",IF(AND(AG1738&gt;=1000,I1738&lt;=60),"Priority 2",IF(I1738&lt;=30,"Priority 3","Nurture")))</x:f>
        <x:v>Priority 3</x:v>
      </x:c>
    </x:row>
    <x:row r="1739">
      <x:c r="A1739" s="16" t="n">
        <x:v>48</x:v>
      </x:c>
      <x:c r="B1739" s="16" t="n">
        <x:v>1964</x:v>
      </x:c>
      <x:c r="C1739" s="16" t="str">
        <x:v>Graduation</x:v>
      </x:c>
      <x:c r="D1739" s="16" t="str">
        <x:v>Together</x:v>
      </x:c>
      <x:c r="E1739" s="16" t="n">
        <x:v>55761</x:v>
      </x:c>
      <x:c r="F1739" s="16" t="n">
        <x:v>0</x:v>
      </x:c>
      <x:c r="G1739" s="16" t="n">
        <x:v>1</x:v>
      </x:c>
      <x:c r="H1739" s="16" t="str">
        <x:v>24-04-2014</x:v>
      </x:c>
      <x:c r="I1739" s="16" t="n">
        <x:v>97</x:v>
      </x:c>
      <x:c r="J1739" s="16" t="n">
        <x:v>136</x:v>
      </x:c>
      <x:c r="K1739" s="16" t="n">
        <x:v>1</x:v>
      </x:c>
      <x:c r="L1739" s="16" t="n">
        <x:v>12</x:v>
      </x:c>
      <x:c r="M1739" s="16" t="n">
        <x:v>0</x:v>
      </x:c>
      <x:c r="N1739" s="16" t="n">
        <x:v>3</x:v>
      </x:c>
      <x:c r="O1739" s="16" t="n">
        <x:v>32</x:v>
      </x:c>
      <x:c r="P1739" s="16" t="n">
        <x:v>2</x:v>
      </x:c>
      <x:c r="Q1739" s="16" t="n">
        <x:v>4</x:v>
      </x:c>
      <x:c r="R1739" s="16" t="n">
        <x:v>1</x:v>
      </x:c>
      <x:c r="S1739" s="16" t="n">
        <x:v>3</x:v>
      </x:c>
      <x:c r="T1739" s="16" t="n">
        <x:v>6</x:v>
      </x:c>
      <x:c r="U1739" s="16" t="n">
        <x:v>0</x:v>
      </x:c>
      <x:c r="V1739" s="16" t="n">
        <x:v>1</x:v>
      </x:c>
      <x:c r="W1739" s="16" t="n">
        <x:v>0</x:v>
      </x:c>
      <x:c r="X1739" s="16" t="n">
        <x:v>0</x:v>
      </x:c>
      <x:c r="Y1739" s="16" t="n">
        <x:v>0</x:v>
      </x:c>
      <x:c r="Z1739" s="16" t="n">
        <x:v>0</x:v>
      </x:c>
      <x:c r="AA1739" s="16" t="n">
        <x:v>3</x:v>
      </x:c>
      <x:c r="AB1739" s="16" t="n">
        <x:v>11</x:v>
      </x:c>
      <x:c r="AC1739" s="16" t="n">
        <x:v>0</x:v>
      </x:c>
      <x:c r="AD1739" s="21" t="n">
        <x:f>IF(E1739="",MEDIAN($E$2:$E$2237),E1739)</x:f>
        <x:v>55761</x:v>
      </x:c>
      <x:c r="AE1739" s="17" t="n">
        <x:f>2014-B1739</x:f>
        <x:v>50</x:v>
      </x:c>
      <x:c r="AF1739" s="17" t="n">
        <x:f>F1739+G1739</x:f>
        <x:v>1</x:v>
      </x:c>
      <x:c r="AG1739" s="21" t="n">
        <x:f>SUM(J1739:O1739)</x:f>
        <x:v>184</x:v>
      </x:c>
      <x:c r="AH1739" s="17" t="n">
        <x:f>SUM(Q1739:S1739)</x:f>
        <x:v>8</x:v>
      </x:c>
      <x:c r="AI1739" s="17" t="n">
        <x:f>SUM(U1739:Y1739)</x:f>
        <x:v>1</x:v>
      </x:c>
      <x:c r="AJ1739" s="17" t="str">
        <x:f>IF(AE1739&lt;=34,"≤34",IF(AE1739&lt;=44,"35–44",IF(AE1739&lt;=54,"45–54",IF(AE1739&lt;=64,"55–64","65+"))))</x:f>
        <x:v>45–54</x:v>
      </x:c>
      <x:c r="AK1739" s="17" t="str">
        <x:f>IF(AG1739&gt;=1000,"High Value",IF(AG1739&gt;=300,"Mid Value","Low Value"))</x:f>
        <x:v>Low Value</x:v>
      </x:c>
      <x:c r="AL1739" s="17" t="str">
        <x:f>IF(AND(AI1739&gt;=1,I1739&lt;=50),"Priority 1",IF(AND(AG1739&gt;=1000,I1739&lt;=60),"Priority 2",IF(I1739&lt;=30,"Priority 3","Nurture")))</x:f>
        <x:v>Nurture</x:v>
      </x:c>
    </x:row>
    <x:row r="1740">
      <x:c r="A1740" s="16" t="n">
        <x:v>7610</x:v>
      </x:c>
      <x:c r="B1740" s="16" t="n">
        <x:v>1983</x:v>
      </x:c>
      <x:c r="C1740" s="16" t="str">
        <x:v>Graduation</x:v>
      </x:c>
      <x:c r="D1740" s="16" t="str">
        <x:v>Together</x:v>
      </x:c>
      <x:c r="E1740" s="16" t="n">
        <x:v>37292</x:v>
      </x:c>
      <x:c r="F1740" s="16" t="n">
        <x:v>1</x:v>
      </x:c>
      <x:c r="G1740" s="16" t="n">
        <x:v>0</x:v>
      </x:c>
      <x:c r="H1740" s="16" t="str">
        <x:v>18-04-2013</x:v>
      </x:c>
      <x:c r="I1740" s="16" t="n">
        <x:v>32</x:v>
      </x:c>
      <x:c r="J1740" s="16" t="n">
        <x:v>275</x:v>
      </x:c>
      <x:c r="K1740" s="16" t="n">
        <x:v>0</x:v>
      </x:c>
      <x:c r="L1740" s="16" t="n">
        <x:v>86</x:v>
      </x:c>
      <x:c r="M1740" s="16" t="n">
        <x:v>10</x:v>
      </x:c>
      <x:c r="N1740" s="16" t="n">
        <x:v>23</x:v>
      </x:c>
      <x:c r="O1740" s="16" t="n">
        <x:v>66</x:v>
      </x:c>
      <x:c r="P1740" s="16" t="n">
        <x:v>5</x:v>
      </x:c>
      <x:c r="Q1740" s="16" t="n">
        <x:v>6</x:v>
      </x:c>
      <x:c r="R1740" s="16" t="n">
        <x:v>3</x:v>
      </x:c>
      <x:c r="S1740" s="16" t="n">
        <x:v>5</x:v>
      </x:c>
      <x:c r="T1740" s="16" t="n">
        <x:v>8</x:v>
      </x:c>
      <x:c r="U1740" s="16" t="n">
        <x:v>0</x:v>
      </x:c>
      <x:c r="V1740" s="16" t="n">
        <x:v>0</x:v>
      </x:c>
      <x:c r="W1740" s="16" t="n">
        <x:v>0</x:v>
      </x:c>
      <x:c r="X1740" s="16" t="n">
        <x:v>0</x:v>
      </x:c>
      <x:c r="Y1740" s="16" t="n">
        <x:v>0</x:v>
      </x:c>
      <x:c r="Z1740" s="16" t="n">
        <x:v>0</x:v>
      </x:c>
      <x:c r="AA1740" s="16" t="n">
        <x:v>3</x:v>
      </x:c>
      <x:c r="AB1740" s="16" t="n">
        <x:v>11</x:v>
      </x:c>
      <x:c r="AC1740" s="16" t="n">
        <x:v>0</x:v>
      </x:c>
      <x:c r="AD1740" s="21" t="n">
        <x:f>IF(E1740="",MEDIAN($E$2:$E$2237),E1740)</x:f>
        <x:v>37292</x:v>
      </x:c>
      <x:c r="AE1740" s="17" t="n">
        <x:f>2014-B1740</x:f>
        <x:v>31</x:v>
      </x:c>
      <x:c r="AF1740" s="17" t="n">
        <x:f>F1740+G1740</x:f>
        <x:v>1</x:v>
      </x:c>
      <x:c r="AG1740" s="21" t="n">
        <x:f>SUM(J1740:O1740)</x:f>
        <x:v>460</x:v>
      </x:c>
      <x:c r="AH1740" s="17" t="n">
        <x:f>SUM(Q1740:S1740)</x:f>
        <x:v>14</x:v>
      </x:c>
      <x:c r="AI1740" s="17" t="n">
        <x:f>SUM(U1740:Y1740)</x:f>
        <x:v>0</x:v>
      </x:c>
      <x:c r="AJ1740" s="17" t="str">
        <x:f>IF(AE1740&lt;=34,"≤34",IF(AE1740&lt;=44,"35–44",IF(AE1740&lt;=54,"45–54",IF(AE1740&lt;=64,"55–64","65+"))))</x:f>
        <x:v>≤34</x:v>
      </x:c>
      <x:c r="AK1740" s="17" t="str">
        <x:f>IF(AG1740&gt;=1000,"High Value",IF(AG1740&gt;=300,"Mid Value","Low Value"))</x:f>
        <x:v>Mid Value</x:v>
      </x:c>
      <x:c r="AL1740" s="17" t="str">
        <x:f>IF(AND(AI1740&gt;=1,I1740&lt;=50),"Priority 1",IF(AND(AG1740&gt;=1000,I1740&lt;=60),"Priority 2",IF(I1740&lt;=30,"Priority 3","Nurture")))</x:f>
        <x:v>Nurture</x:v>
      </x:c>
    </x:row>
    <x:row r="1741">
      <x:c r="A1741" s="16" t="n">
        <x:v>263</x:v>
      </x:c>
      <x:c r="B1741" s="16" t="n">
        <x:v>1945</x:v>
      </x:c>
      <x:c r="C1741" s="16" t="str">
        <x:v>PhD</x:v>
      </x:c>
      <x:c r="D1741" s="16" t="str">
        <x:v>Single</x:v>
      </x:c>
      <x:c r="E1741" s="16" t="n">
        <x:v>45576</x:v>
      </x:c>
      <x:c r="F1741" s="16" t="n">
        <x:v>0</x:v>
      </x:c>
      <x:c r="G1741" s="16" t="n">
        <x:v>0</x:v>
      </x:c>
      <x:c r="H1741" s="16" t="str">
        <x:v>28-05-2014</x:v>
      </x:c>
      <x:c r="I1741" s="16" t="n">
        <x:v>9</x:v>
      </x:c>
      <x:c r="J1741" s="16" t="n">
        <x:v>56</x:v>
      </x:c>
      <x:c r="K1741" s="16" t="n">
        <x:v>19</x:v>
      </x:c>
      <x:c r="L1741" s="16" t="n">
        <x:v>29</x:v>
      </x:c>
      <x:c r="M1741" s="16" t="n">
        <x:v>2</x:v>
      </x:c>
      <x:c r="N1741" s="16" t="n">
        <x:v>14</x:v>
      </x:c>
      <x:c r="O1741" s="16" t="n">
        <x:v>25</x:v>
      </x:c>
      <x:c r="P1741" s="16" t="n">
        <x:v>1</x:v>
      </x:c>
      <x:c r="Q1741" s="16" t="n">
        <x:v>3</x:v>
      </x:c>
      <x:c r="R1741" s="16" t="n">
        <x:v>1</x:v>
      </x:c>
      <x:c r="S1741" s="16" t="n">
        <x:v>3</x:v>
      </x:c>
      <x:c r="T1741" s="16" t="n">
        <x:v>8</x:v>
      </x:c>
      <x:c r="U1741" s="16" t="n">
        <x:v>0</x:v>
      </x:c>
      <x:c r="V1741" s="16" t="n">
        <x:v>0</x:v>
      </x:c>
      <x:c r="W1741" s="16" t="n">
        <x:v>0</x:v>
      </x:c>
      <x:c r="X1741" s="16" t="n">
        <x:v>0</x:v>
      </x:c>
      <x:c r="Y1741" s="16" t="n">
        <x:v>0</x:v>
      </x:c>
      <x:c r="Z1741" s="16" t="n">
        <x:v>0</x:v>
      </x:c>
      <x:c r="AA1741" s="16" t="n">
        <x:v>3</x:v>
      </x:c>
      <x:c r="AB1741" s="16" t="n">
        <x:v>11</x:v>
      </x:c>
      <x:c r="AC1741" s="16" t="n">
        <x:v>1</x:v>
      </x:c>
      <x:c r="AD1741" s="21" t="n">
        <x:f>IF(E1741="",MEDIAN($E$2:$E$2237),E1741)</x:f>
        <x:v>45576</x:v>
      </x:c>
      <x:c r="AE1741" s="17" t="n">
        <x:f>2014-B1741</x:f>
        <x:v>69</x:v>
      </x:c>
      <x:c r="AF1741" s="17" t="n">
        <x:f>F1741+G1741</x:f>
        <x:v>0</x:v>
      </x:c>
      <x:c r="AG1741" s="21" t="n">
        <x:f>SUM(J1741:O1741)</x:f>
        <x:v>145</x:v>
      </x:c>
      <x:c r="AH1741" s="17" t="n">
        <x:f>SUM(Q1741:S1741)</x:f>
        <x:v>7</x:v>
      </x:c>
      <x:c r="AI1741" s="17" t="n">
        <x:f>SUM(U1741:Y1741)</x:f>
        <x:v>0</x:v>
      </x:c>
      <x:c r="AJ1741" s="17" t="str">
        <x:f>IF(AE1741&lt;=34,"≤34",IF(AE1741&lt;=44,"35–44",IF(AE1741&lt;=54,"45–54",IF(AE1741&lt;=64,"55–64","65+"))))</x:f>
        <x:v>65+</x:v>
      </x:c>
      <x:c r="AK1741" s="17" t="str">
        <x:f>IF(AG1741&gt;=1000,"High Value",IF(AG1741&gt;=300,"Mid Value","Low Value"))</x:f>
        <x:v>Low Value</x:v>
      </x:c>
      <x:c r="AL1741" s="17" t="str">
        <x:f>IF(AND(AI1741&gt;=1,I1741&lt;=50),"Priority 1",IF(AND(AG1741&gt;=1000,I1741&lt;=60),"Priority 2",IF(I1741&lt;=30,"Priority 3","Nurture")))</x:f>
        <x:v>Priority 3</x:v>
      </x:c>
    </x:row>
    <x:row r="1742">
      <x:c r="A1742" s="16" t="n">
        <x:v>10814</x:v>
      </x:c>
      <x:c r="B1742" s="16" t="n">
        <x:v>1947</x:v>
      </x:c>
      <x:c r="C1742" s="16" t="str">
        <x:v>Graduation</x:v>
      </x:c>
      <x:c r="D1742" s="16" t="str">
        <x:v>Together</x:v>
      </x:c>
      <x:c r="E1742" s="16" t="n">
        <x:v>70321</x:v>
      </x:c>
      <x:c r="F1742" s="16" t="n">
        <x:v>0</x:v>
      </x:c>
      <x:c r="G1742" s="16" t="n">
        <x:v>0</x:v>
      </x:c>
      <x:c r="H1742" s="16" t="str">
        <x:v>16-01-2013</x:v>
      </x:c>
      <x:c r="I1742" s="16" t="n">
        <x:v>6</x:v>
      </x:c>
      <x:c r="J1742" s="16" t="n">
        <x:v>303</x:v>
      </x:c>
      <x:c r="K1742" s="16" t="n">
        <x:v>23</x:v>
      </x:c>
      <x:c r="L1742" s="16" t="n">
        <x:v>751</x:v>
      </x:c>
      <x:c r="M1742" s="16" t="n">
        <x:v>82</x:v>
      </x:c>
      <x:c r="N1742" s="16" t="n">
        <x:v>26</x:v>
      </x:c>
      <x:c r="O1742" s="16" t="n">
        <x:v>191</x:v>
      </x:c>
      <x:c r="P1742" s="16" t="n">
        <x:v>1</x:v>
      </x:c>
      <x:c r="Q1742" s="16" t="n">
        <x:v>6</x:v>
      </x:c>
      <x:c r="R1742" s="16" t="n">
        <x:v>5</x:v>
      </x:c>
      <x:c r="S1742" s="16" t="n">
        <x:v>13</x:v>
      </x:c>
      <x:c r="T1742" s="16" t="n">
        <x:v>4</x:v>
      </x:c>
      <x:c r="U1742" s="16" t="n">
        <x:v>0</x:v>
      </x:c>
      <x:c r="V1742" s="16" t="n">
        <x:v>0</x:v>
      </x:c>
      <x:c r="W1742" s="16" t="n">
        <x:v>0</x:v>
      </x:c>
      <x:c r="X1742" s="16" t="n">
        <x:v>0</x:v>
      </x:c>
      <x:c r="Y1742" s="16" t="n">
        <x:v>0</x:v>
      </x:c>
      <x:c r="Z1742" s="16" t="n">
        <x:v>0</x:v>
      </x:c>
      <x:c r="AA1742" s="16" t="n">
        <x:v>3</x:v>
      </x:c>
      <x:c r="AB1742" s="16" t="n">
        <x:v>11</x:v>
      </x:c>
      <x:c r="AC1742" s="16" t="n">
        <x:v>1</x:v>
      </x:c>
      <x:c r="AD1742" s="21" t="n">
        <x:f>IF(E1742="",MEDIAN($E$2:$E$2237),E1742)</x:f>
        <x:v>70321</x:v>
      </x:c>
      <x:c r="AE1742" s="17" t="n">
        <x:f>2014-B1742</x:f>
        <x:v>67</x:v>
      </x:c>
      <x:c r="AF1742" s="17" t="n">
        <x:f>F1742+G1742</x:f>
        <x:v>0</x:v>
      </x:c>
      <x:c r="AG1742" s="21" t="n">
        <x:f>SUM(J1742:O1742)</x:f>
        <x:v>1376</x:v>
      </x:c>
      <x:c r="AH1742" s="17" t="n">
        <x:f>SUM(Q1742:S1742)</x:f>
        <x:v>24</x:v>
      </x:c>
      <x:c r="AI1742" s="17" t="n">
        <x:f>SUM(U1742:Y1742)</x:f>
        <x:v>0</x:v>
      </x:c>
      <x:c r="AJ1742" s="17" t="str">
        <x:f>IF(AE1742&lt;=34,"≤34",IF(AE1742&lt;=44,"35–44",IF(AE1742&lt;=54,"45–54",IF(AE1742&lt;=64,"55–64","65+"))))</x:f>
        <x:v>65+</x:v>
      </x:c>
      <x:c r="AK1742" s="17" t="str">
        <x:f>IF(AG1742&gt;=1000,"High Value",IF(AG1742&gt;=300,"Mid Value","Low Value"))</x:f>
        <x:v>High Value</x:v>
      </x:c>
      <x:c r="AL1742" s="17" t="str">
        <x:f>IF(AND(AI1742&gt;=1,I1742&lt;=50),"Priority 1",IF(AND(AG1742&gt;=1000,I1742&lt;=60),"Priority 2",IF(I1742&lt;=30,"Priority 3","Nurture")))</x:f>
        <x:v>Priority 2</x:v>
      </x:c>
    </x:row>
    <x:row r="1743">
      <x:c r="A1743" s="16" t="n">
        <x:v>9710</x:v>
      </x:c>
      <x:c r="B1743" s="16" t="n">
        <x:v>1969</x:v>
      </x:c>
      <x:c r="C1743" s="16" t="str">
        <x:v>PhD</x:v>
      </x:c>
      <x:c r="D1743" s="16" t="str">
        <x:v>Divorced</x:v>
      </x:c>
      <x:c r="E1743" s="16" t="n">
        <x:v>58086</x:v>
      </x:c>
      <x:c r="F1743" s="16" t="n">
        <x:v>0</x:v>
      </x:c>
      <x:c r="G1743" s="16" t="n">
        <x:v>1</x:v>
      </x:c>
      <x:c r="H1743" s="16" t="str">
        <x:v>20-01-2013</x:v>
      </x:c>
      <x:c r="I1743" s="16" t="n">
        <x:v>80</x:v>
      </x:c>
      <x:c r="J1743" s="16" t="n">
        <x:v>708</x:v>
      </x:c>
      <x:c r="K1743" s="16" t="n">
        <x:v>7</x:v>
      </x:c>
      <x:c r="L1743" s="16" t="n">
        <x:v>62</x:v>
      </x:c>
      <x:c r="M1743" s="16" t="n">
        <x:v>0</x:v>
      </x:c>
      <x:c r="N1743" s="16" t="n">
        <x:v>0</x:v>
      </x:c>
      <x:c r="O1743" s="16" t="n">
        <x:v>15</x:v>
      </x:c>
      <x:c r="P1743" s="16" t="n">
        <x:v>2</x:v>
      </x:c>
      <x:c r="Q1743" s="16" t="n">
        <x:v>11</x:v>
      </x:c>
      <x:c r="R1743" s="16" t="n">
        <x:v>3</x:v>
      </x:c>
      <x:c r="S1743" s="16" t="n">
        <x:v>7</x:v>
      </x:c>
      <x:c r="T1743" s="16" t="n">
        <x:v>8</x:v>
      </x:c>
      <x:c r="U1743" s="16" t="n">
        <x:v>0</x:v>
      </x:c>
      <x:c r="V1743" s="16" t="n">
        <x:v>0</x:v>
      </x:c>
      <x:c r="W1743" s="16" t="n">
        <x:v>0</x:v>
      </x:c>
      <x:c r="X1743" s="16" t="n">
        <x:v>0</x:v>
      </x:c>
      <x:c r="Y1743" s="16" t="n">
        <x:v>0</x:v>
      </x:c>
      <x:c r="Z1743" s="16" t="n">
        <x:v>0</x:v>
      </x:c>
      <x:c r="AA1743" s="16" t="n">
        <x:v>3</x:v>
      </x:c>
      <x:c r="AB1743" s="16" t="n">
        <x:v>11</x:v>
      </x:c>
      <x:c r="AC1743" s="16" t="n">
        <x:v>0</x:v>
      </x:c>
      <x:c r="AD1743" s="21" t="n">
        <x:f>IF(E1743="",MEDIAN($E$2:$E$2237),E1743)</x:f>
        <x:v>58086</x:v>
      </x:c>
      <x:c r="AE1743" s="17" t="n">
        <x:f>2014-B1743</x:f>
        <x:v>45</x:v>
      </x:c>
      <x:c r="AF1743" s="17" t="n">
        <x:f>F1743+G1743</x:f>
        <x:v>1</x:v>
      </x:c>
      <x:c r="AG1743" s="21" t="n">
        <x:f>SUM(J1743:O1743)</x:f>
        <x:v>792</x:v>
      </x:c>
      <x:c r="AH1743" s="17" t="n">
        <x:f>SUM(Q1743:S1743)</x:f>
        <x:v>21</x:v>
      </x:c>
      <x:c r="AI1743" s="17" t="n">
        <x:f>SUM(U1743:Y1743)</x:f>
        <x:v>0</x:v>
      </x:c>
      <x:c r="AJ1743" s="17" t="str">
        <x:f>IF(AE1743&lt;=34,"≤34",IF(AE1743&lt;=44,"35–44",IF(AE1743&lt;=54,"45–54",IF(AE1743&lt;=64,"55–64","65+"))))</x:f>
        <x:v>45–54</x:v>
      </x:c>
      <x:c r="AK1743" s="17" t="str">
        <x:f>IF(AG1743&gt;=1000,"High Value",IF(AG1743&gt;=300,"Mid Value","Low Value"))</x:f>
        <x:v>Mid Value</x:v>
      </x:c>
      <x:c r="AL1743" s="17" t="str">
        <x:f>IF(AND(AI1743&gt;=1,I1743&lt;=50),"Priority 1",IF(AND(AG1743&gt;=1000,I1743&lt;=60),"Priority 2",IF(I1743&lt;=30,"Priority 3","Nurture")))</x:f>
        <x:v>Nurture</x:v>
      </x:c>
    </x:row>
    <x:row r="1744">
      <x:c r="A1744" s="16" t="n">
        <x:v>9292</x:v>
      </x:c>
      <x:c r="B1744" s="16" t="n">
        <x:v>1952</x:v>
      </x:c>
      <x:c r="C1744" s="16" t="str">
        <x:v>Graduation</x:v>
      </x:c>
      <x:c r="D1744" s="16" t="str">
        <x:v>Married</x:v>
      </x:c>
      <x:c r="E1744" s="16" t="n">
        <x:v>81795</x:v>
      </x:c>
      <x:c r="F1744" s="16" t="n">
        <x:v>0</x:v>
      </x:c>
      <x:c r="G1744" s="16" t="n">
        <x:v>0</x:v>
      </x:c>
      <x:c r="H1744" s="16" t="str">
        <x:v>26-10-2012</x:v>
      </x:c>
      <x:c r="I1744" s="16" t="n">
        <x:v>74</x:v>
      </x:c>
      <x:c r="J1744" s="16" t="n">
        <x:v>324</x:v>
      </x:c>
      <x:c r="K1744" s="16" t="n">
        <x:v>132</x:v>
      </x:c>
      <x:c r="L1744" s="16" t="n">
        <x:v>693</x:v>
      </x:c>
      <x:c r="M1744" s="16" t="n">
        <x:v>27</x:v>
      </x:c>
      <x:c r="N1744" s="16" t="n">
        <x:v>118</x:v>
      </x:c>
      <x:c r="O1744" s="16" t="n">
        <x:v>88</x:v>
      </x:c>
      <x:c r="P1744" s="16" t="n">
        <x:v>1</x:v>
      </x:c>
      <x:c r="Q1744" s="16" t="n">
        <x:v>4</x:v>
      </x:c>
      <x:c r="R1744" s="16" t="n">
        <x:v>11</x:v>
      </x:c>
      <x:c r="S1744" s="16" t="n">
        <x:v>7</x:v>
      </x:c>
      <x:c r="T1744" s="16" t="n">
        <x:v>2</x:v>
      </x:c>
      <x:c r="U1744" s="16" t="n">
        <x:v>0</x:v>
      </x:c>
      <x:c r="V1744" s="16" t="n">
        <x:v>0</x:v>
      </x:c>
      <x:c r="W1744" s="16" t="n">
        <x:v>0</x:v>
      </x:c>
      <x:c r="X1744" s="16" t="n">
        <x:v>0</x:v>
      </x:c>
      <x:c r="Y1744" s="16" t="n">
        <x:v>0</x:v>
      </x:c>
      <x:c r="Z1744" s="16" t="n">
        <x:v>0</x:v>
      </x:c>
      <x:c r="AA1744" s="16" t="n">
        <x:v>3</x:v>
      </x:c>
      <x:c r="AB1744" s="16" t="n">
        <x:v>11</x:v>
      </x:c>
      <x:c r="AC1744" s="16" t="n">
        <x:v>0</x:v>
      </x:c>
      <x:c r="AD1744" s="21" t="n">
        <x:f>IF(E1744="",MEDIAN($E$2:$E$2237),E1744)</x:f>
        <x:v>81795</x:v>
      </x:c>
      <x:c r="AE1744" s="17" t="n">
        <x:f>2014-B1744</x:f>
        <x:v>62</x:v>
      </x:c>
      <x:c r="AF1744" s="17" t="n">
        <x:f>F1744+G1744</x:f>
        <x:v>0</x:v>
      </x:c>
      <x:c r="AG1744" s="21" t="n">
        <x:f>SUM(J1744:O1744)</x:f>
        <x:v>1382</x:v>
      </x:c>
      <x:c r="AH1744" s="17" t="n">
        <x:f>SUM(Q1744:S1744)</x:f>
        <x:v>22</x:v>
      </x:c>
      <x:c r="AI1744" s="17" t="n">
        <x:f>SUM(U1744:Y1744)</x:f>
        <x:v>0</x:v>
      </x:c>
      <x:c r="AJ1744" s="17" t="str">
        <x:f>IF(AE1744&lt;=34,"≤34",IF(AE1744&lt;=44,"35–44",IF(AE1744&lt;=54,"45–54",IF(AE1744&lt;=64,"55–64","65+"))))</x:f>
        <x:v>55–64</x:v>
      </x:c>
      <x:c r="AK1744" s="17" t="str">
        <x:f>IF(AG1744&gt;=1000,"High Value",IF(AG1744&gt;=300,"Mid Value","Low Value"))</x:f>
        <x:v>High Value</x:v>
      </x:c>
      <x:c r="AL1744" s="17" t="str">
        <x:f>IF(AND(AI1744&gt;=1,I1744&lt;=50),"Priority 1",IF(AND(AG1744&gt;=1000,I1744&lt;=60),"Priority 2",IF(I1744&lt;=30,"Priority 3","Nurture")))</x:f>
        <x:v>Nurture</x:v>
      </x:c>
    </x:row>
    <x:row r="1745">
      <x:c r="A1745" s="16" t="n">
        <x:v>10250</x:v>
      </x:c>
      <x:c r="B1745" s="16" t="n">
        <x:v>1947</x:v>
      </x:c>
      <x:c r="C1745" s="16" t="str">
        <x:v>Basic</x:v>
      </x:c>
      <x:c r="D1745" s="16" t="str">
        <x:v>Together</x:v>
      </x:c>
      <x:c r="E1745" s="16" t="n">
        <x:v>28389</x:v>
      </x:c>
      <x:c r="F1745" s="16" t="n">
        <x:v>0</x:v>
      </x:c>
      <x:c r="G1745" s="16" t="n">
        <x:v>0</x:v>
      </x:c>
      <x:c r="H1745" s="16" t="str">
        <x:v>20-11-2012</x:v>
      </x:c>
      <x:c r="I1745" s="16" t="n">
        <x:v>49</x:v>
      </x:c>
      <x:c r="J1745" s="16" t="n">
        <x:v>1</x:v>
      </x:c>
      <x:c r="K1745" s="16" t="n">
        <x:v>5</x:v>
      </x:c>
      <x:c r="L1745" s="16" t="n">
        <x:v>3</x:v>
      </x:c>
      <x:c r="M1745" s="16" t="n">
        <x:v>7</x:v>
      </x:c>
      <x:c r="N1745" s="16" t="n">
        <x:v>4</x:v>
      </x:c>
      <x:c r="O1745" s="16" t="n">
        <x:v>8</x:v>
      </x:c>
      <x:c r="P1745" s="16" t="n">
        <x:v>1</x:v>
      </x:c>
      <x:c r="Q1745" s="16" t="n">
        <x:v>1</x:v>
      </x:c>
      <x:c r="R1745" s="16" t="n">
        <x:v>0</x:v>
      </x:c>
      <x:c r="S1745" s="16" t="n">
        <x:v>2</x:v>
      </x:c>
      <x:c r="T1745" s="16" t="n">
        <x:v>7</x:v>
      </x:c>
      <x:c r="U1745" s="16" t="n">
        <x:v>0</x:v>
      </x:c>
      <x:c r="V1745" s="16" t="n">
        <x:v>0</x:v>
      </x:c>
      <x:c r="W1745" s="16" t="n">
        <x:v>0</x:v>
      </x:c>
      <x:c r="X1745" s="16" t="n">
        <x:v>0</x:v>
      </x:c>
      <x:c r="Y1745" s="16" t="n">
        <x:v>0</x:v>
      </x:c>
      <x:c r="Z1745" s="16" t="n">
        <x:v>0</x:v>
      </x:c>
      <x:c r="AA1745" s="16" t="n">
        <x:v>3</x:v>
      </x:c>
      <x:c r="AB1745" s="16" t="n">
        <x:v>11</x:v>
      </x:c>
      <x:c r="AC1745" s="16" t="n">
        <x:v>0</x:v>
      </x:c>
      <x:c r="AD1745" s="21" t="n">
        <x:f>IF(E1745="",MEDIAN($E$2:$E$2237),E1745)</x:f>
        <x:v>28389</x:v>
      </x:c>
      <x:c r="AE1745" s="17" t="n">
        <x:f>2014-B1745</x:f>
        <x:v>67</x:v>
      </x:c>
      <x:c r="AF1745" s="17" t="n">
        <x:f>F1745+G1745</x:f>
        <x:v>0</x:v>
      </x:c>
      <x:c r="AG1745" s="21" t="n">
        <x:f>SUM(J1745:O1745)</x:f>
        <x:v>28</x:v>
      </x:c>
      <x:c r="AH1745" s="17" t="n">
        <x:f>SUM(Q1745:S1745)</x:f>
        <x:v>3</x:v>
      </x:c>
      <x:c r="AI1745" s="17" t="n">
        <x:f>SUM(U1745:Y1745)</x:f>
        <x:v>0</x:v>
      </x:c>
      <x:c r="AJ1745" s="17" t="str">
        <x:f>IF(AE1745&lt;=34,"≤34",IF(AE1745&lt;=44,"35–44",IF(AE1745&lt;=54,"45–54",IF(AE1745&lt;=64,"55–64","65+"))))</x:f>
        <x:v>65+</x:v>
      </x:c>
      <x:c r="AK1745" s="17" t="str">
        <x:f>IF(AG1745&gt;=1000,"High Value",IF(AG1745&gt;=300,"Mid Value","Low Value"))</x:f>
        <x:v>Low Value</x:v>
      </x:c>
      <x:c r="AL1745" s="17" t="str">
        <x:f>IF(AND(AI1745&gt;=1,I1745&lt;=50),"Priority 1",IF(AND(AG1745&gt;=1000,I1745&lt;=60),"Priority 2",IF(I1745&lt;=30,"Priority 3","Nurture")))</x:f>
        <x:v>Nurture</x:v>
      </x:c>
    </x:row>
    <x:row r="1746">
      <x:c r="A1746" s="16" t="n">
        <x:v>7881</x:v>
      </x:c>
      <x:c r="B1746" s="16" t="n">
        <x:v>1946</x:v>
      </x:c>
      <x:c r="C1746" s="16" t="str">
        <x:v>Master</x:v>
      </x:c>
      <x:c r="D1746" s="16" t="str">
        <x:v>Married</x:v>
      </x:c>
      <x:c r="E1746" s="16" t="n">
        <x:v>66835</x:v>
      </x:c>
      <x:c r="F1746" s="16" t="n">
        <x:v>0</x:v>
      </x:c>
      <x:c r="G1746" s="16" t="n">
        <x:v>0</x:v>
      </x:c>
      <x:c r="H1746" s="16" t="str">
        <x:v>28-09-2013</x:v>
      </x:c>
      <x:c r="I1746" s="16" t="n">
        <x:v>21</x:v>
      </x:c>
      <x:c r="J1746" s="16" t="n">
        <x:v>620</x:v>
      </x:c>
      <x:c r="K1746" s="16" t="n">
        <x:v>26</x:v>
      </x:c>
      <x:c r="L1746" s="16" t="n">
        <x:v>195</x:v>
      </x:c>
      <x:c r="M1746" s="16" t="n">
        <x:v>34</x:v>
      </x:c>
      <x:c r="N1746" s="16" t="n">
        <x:v>17</x:v>
      </x:c>
      <x:c r="O1746" s="16" t="n">
        <x:v>141</x:v>
      </x:c>
      <x:c r="P1746" s="16" t="n">
        <x:v>1</x:v>
      </x:c>
      <x:c r="Q1746" s="16" t="n">
        <x:v>6</x:v>
      </x:c>
      <x:c r="R1746" s="16" t="n">
        <x:v>4</x:v>
      </x:c>
      <x:c r="S1746" s="16" t="n">
        <x:v>13</x:v>
      </x:c>
      <x:c r="T1746" s="16" t="n">
        <x:v>2</x:v>
      </x:c>
      <x:c r="U1746" s="16" t="n">
        <x:v>0</x:v>
      </x:c>
      <x:c r="V1746" s="16" t="n">
        <x:v>0</x:v>
      </x:c>
      <x:c r="W1746" s="16" t="n">
        <x:v>0</x:v>
      </x:c>
      <x:c r="X1746" s="16" t="n">
        <x:v>0</x:v>
      </x:c>
      <x:c r="Y1746" s="16" t="n">
        <x:v>0</x:v>
      </x:c>
      <x:c r="Z1746" s="16" t="n">
        <x:v>0</x:v>
      </x:c>
      <x:c r="AA1746" s="16" t="n">
        <x:v>3</x:v>
      </x:c>
      <x:c r="AB1746" s="16" t="n">
        <x:v>11</x:v>
      </x:c>
      <x:c r="AC1746" s="16" t="n">
        <x:v>0</x:v>
      </x:c>
      <x:c r="AD1746" s="21" t="n">
        <x:f>IF(E1746="",MEDIAN($E$2:$E$2237),E1746)</x:f>
        <x:v>66835</x:v>
      </x:c>
      <x:c r="AE1746" s="17" t="n">
        <x:f>2014-B1746</x:f>
        <x:v>68</x:v>
      </x:c>
      <x:c r="AF1746" s="17" t="n">
        <x:f>F1746+G1746</x:f>
        <x:v>0</x:v>
      </x:c>
      <x:c r="AG1746" s="21" t="n">
        <x:f>SUM(J1746:O1746)</x:f>
        <x:v>1033</x:v>
      </x:c>
      <x:c r="AH1746" s="17" t="n">
        <x:f>SUM(Q1746:S1746)</x:f>
        <x:v>23</x:v>
      </x:c>
      <x:c r="AI1746" s="17" t="n">
        <x:f>SUM(U1746:Y1746)</x:f>
        <x:v>0</x:v>
      </x:c>
      <x:c r="AJ1746" s="17" t="str">
        <x:f>IF(AE1746&lt;=34,"≤34",IF(AE1746&lt;=44,"35–44",IF(AE1746&lt;=54,"45–54",IF(AE1746&lt;=64,"55–64","65+"))))</x:f>
        <x:v>65+</x:v>
      </x:c>
      <x:c r="AK1746" s="17" t="str">
        <x:f>IF(AG1746&gt;=1000,"High Value",IF(AG1746&gt;=300,"Mid Value","Low Value"))</x:f>
        <x:v>High Value</x:v>
      </x:c>
      <x:c r="AL1746" s="17" t="str">
        <x:f>IF(AND(AI1746&gt;=1,I1746&lt;=50),"Priority 1",IF(AND(AG1746&gt;=1000,I1746&lt;=60),"Priority 2",IF(I1746&lt;=30,"Priority 3","Nurture")))</x:f>
        <x:v>Priority 2</x:v>
      </x:c>
    </x:row>
    <x:row r="1747">
      <x:c r="A1747" s="16" t="n">
        <x:v>5847</x:v>
      </x:c>
      <x:c r="B1747" s="16" t="n">
        <x:v>1969</x:v>
      </x:c>
      <x:c r="C1747" s="16" t="str">
        <x:v>Graduation</x:v>
      </x:c>
      <x:c r="D1747" s="16" t="str">
        <x:v>Divorced</x:v>
      </x:c>
      <x:c r="E1747" s="16" t="n">
        <x:v>69901</x:v>
      </x:c>
      <x:c r="F1747" s="16" t="n">
        <x:v>0</x:v>
      </x:c>
      <x:c r="G1747" s="16" t="n">
        <x:v>1</x:v>
      </x:c>
      <x:c r="H1747" s="16" t="str">
        <x:v>29-05-2013</x:v>
      </x:c>
      <x:c r="I1747" s="16" t="n">
        <x:v>95</x:v>
      </x:c>
      <x:c r="J1747" s="16" t="n">
        <x:v>312</x:v>
      </x:c>
      <x:c r="K1747" s="16" t="n">
        <x:v>21</x:v>
      </x:c>
      <x:c r="L1747" s="16" t="n">
        <x:v>206</x:v>
      </x:c>
      <x:c r="M1747" s="16" t="n">
        <x:v>102</x:v>
      </x:c>
      <x:c r="N1747" s="16" t="n">
        <x:v>92</x:v>
      </x:c>
      <x:c r="O1747" s="16" t="n">
        <x:v>149</x:v>
      </x:c>
      <x:c r="P1747" s="16" t="n">
        <x:v>3</x:v>
      </x:c>
      <x:c r="Q1747" s="16" t="n">
        <x:v>7</x:v>
      </x:c>
      <x:c r="R1747" s="16" t="n">
        <x:v>3</x:v>
      </x:c>
      <x:c r="S1747" s="16" t="n">
        <x:v>10</x:v>
      </x:c>
      <x:c r="T1747" s="16" t="n">
        <x:v>5</x:v>
      </x:c>
      <x:c r="U1747" s="16" t="n">
        <x:v>0</x:v>
      </x:c>
      <x:c r="V1747" s="16" t="n">
        <x:v>0</x:v>
      </x:c>
      <x:c r="W1747" s="16" t="n">
        <x:v>0</x:v>
      </x:c>
      <x:c r="X1747" s="16" t="n">
        <x:v>0</x:v>
      </x:c>
      <x:c r="Y1747" s="16" t="n">
        <x:v>0</x:v>
      </x:c>
      <x:c r="Z1747" s="16" t="n">
        <x:v>0</x:v>
      </x:c>
      <x:c r="AA1747" s="16" t="n">
        <x:v>3</x:v>
      </x:c>
      <x:c r="AB1747" s="16" t="n">
        <x:v>11</x:v>
      </x:c>
      <x:c r="AC1747" s="16" t="n">
        <x:v>0</x:v>
      </x:c>
      <x:c r="AD1747" s="21" t="n">
        <x:f>IF(E1747="",MEDIAN($E$2:$E$2237),E1747)</x:f>
        <x:v>69901</x:v>
      </x:c>
      <x:c r="AE1747" s="17" t="n">
        <x:f>2014-B1747</x:f>
        <x:v>45</x:v>
      </x:c>
      <x:c r="AF1747" s="17" t="n">
        <x:f>F1747+G1747</x:f>
        <x:v>1</x:v>
      </x:c>
      <x:c r="AG1747" s="21" t="n">
        <x:f>SUM(J1747:O1747)</x:f>
        <x:v>882</x:v>
      </x:c>
      <x:c r="AH1747" s="17" t="n">
        <x:f>SUM(Q1747:S1747)</x:f>
        <x:v>20</x:v>
      </x:c>
      <x:c r="AI1747" s="17" t="n">
        <x:f>SUM(U1747:Y1747)</x:f>
        <x:v>0</x:v>
      </x:c>
      <x:c r="AJ1747" s="17" t="str">
        <x:f>IF(AE1747&lt;=34,"≤34",IF(AE1747&lt;=44,"35–44",IF(AE1747&lt;=54,"45–54",IF(AE1747&lt;=64,"55–64","65+"))))</x:f>
        <x:v>45–54</x:v>
      </x:c>
      <x:c r="AK1747" s="17" t="str">
        <x:f>IF(AG1747&gt;=1000,"High Value",IF(AG1747&gt;=300,"Mid Value","Low Value"))</x:f>
        <x:v>Mid Value</x:v>
      </x:c>
      <x:c r="AL1747" s="17" t="str">
        <x:f>IF(AND(AI1747&gt;=1,I1747&lt;=50),"Priority 1",IF(AND(AG1747&gt;=1000,I1747&lt;=60),"Priority 2",IF(I1747&lt;=30,"Priority 3","Nurture")))</x:f>
        <x:v>Nurture</x:v>
      </x:c>
    </x:row>
    <x:row r="1748">
      <x:c r="A1748" s="16" t="n">
        <x:v>737</x:v>
      </x:c>
      <x:c r="B1748" s="16" t="n">
        <x:v>1949</x:v>
      </x:c>
      <x:c r="C1748" s="16" t="str">
        <x:v>PhD</x:v>
      </x:c>
      <x:c r="D1748" s="16" t="str">
        <x:v>Married</x:v>
      </x:c>
      <x:c r="E1748" s="16" t="n">
        <x:v>80360</x:v>
      </x:c>
      <x:c r="F1748" s="16" t="n">
        <x:v>0</x:v>
      </x:c>
      <x:c r="G1748" s="16" t="n">
        <x:v>0</x:v>
      </x:c>
      <x:c r="H1748" s="16" t="str">
        <x:v>03-03-2013</x:v>
      </x:c>
      <x:c r="I1748" s="16" t="n">
        <x:v>56</x:v>
      </x:c>
      <x:c r="J1748" s="16" t="n">
        <x:v>1493</x:v>
      </x:c>
      <x:c r="K1748" s="16" t="n">
        <x:v>86</x:v>
      </x:c>
      <x:c r="L1748" s="16" t="n">
        <x:v>454</x:v>
      </x:c>
      <x:c r="M1748" s="16" t="n">
        <x:v>112</x:v>
      </x:c>
      <x:c r="N1748" s="16" t="n">
        <x:v>43</x:v>
      </x:c>
      <x:c r="O1748" s="16" t="n">
        <x:v>43</x:v>
      </x:c>
      <x:c r="P1748" s="16" t="n">
        <x:v>2</x:v>
      </x:c>
      <x:c r="Q1748" s="16" t="n">
        <x:v>4</x:v>
      </x:c>
      <x:c r="R1748" s="16" t="n">
        <x:v>4</x:v>
      </x:c>
      <x:c r="S1748" s="16" t="n">
        <x:v>5</x:v>
      </x:c>
      <x:c r="T1748" s="16" t="n">
        <x:v>2</x:v>
      </x:c>
      <x:c r="U1748" s="16" t="n">
        <x:v>0</x:v>
      </x:c>
      <x:c r="V1748" s="16" t="n">
        <x:v>1</x:v>
      </x:c>
      <x:c r="W1748" s="16" t="n">
        <x:v>1</x:v>
      </x:c>
      <x:c r="X1748" s="16" t="n">
        <x:v>1</x:v>
      </x:c>
      <x:c r="Y1748" s="16" t="n">
        <x:v>0</x:v>
      </x:c>
      <x:c r="Z1748" s="16" t="n">
        <x:v>0</x:v>
      </x:c>
      <x:c r="AA1748" s="16" t="n">
        <x:v>3</x:v>
      </x:c>
      <x:c r="AB1748" s="16" t="n">
        <x:v>11</x:v>
      </x:c>
      <x:c r="AC1748" s="16" t="n">
        <x:v>0</x:v>
      </x:c>
      <x:c r="AD1748" s="21" t="n">
        <x:f>IF(E1748="",MEDIAN($E$2:$E$2237),E1748)</x:f>
        <x:v>80360</x:v>
      </x:c>
      <x:c r="AE1748" s="17" t="n">
        <x:f>2014-B1748</x:f>
        <x:v>65</x:v>
      </x:c>
      <x:c r="AF1748" s="17" t="n">
        <x:f>F1748+G1748</x:f>
        <x:v>0</x:v>
      </x:c>
      <x:c r="AG1748" s="21" t="n">
        <x:f>SUM(J1748:O1748)</x:f>
        <x:v>2231</x:v>
      </x:c>
      <x:c r="AH1748" s="17" t="n">
        <x:f>SUM(Q1748:S1748)</x:f>
        <x:v>13</x:v>
      </x:c>
      <x:c r="AI1748" s="17" t="n">
        <x:f>SUM(U1748:Y1748)</x:f>
        <x:v>3</x:v>
      </x:c>
      <x:c r="AJ1748" s="17" t="str">
        <x:f>IF(AE1748&lt;=34,"≤34",IF(AE1748&lt;=44,"35–44",IF(AE1748&lt;=54,"45–54",IF(AE1748&lt;=64,"55–64","65+"))))</x:f>
        <x:v>65+</x:v>
      </x:c>
      <x:c r="AK1748" s="17" t="str">
        <x:f>IF(AG1748&gt;=1000,"High Value",IF(AG1748&gt;=300,"Mid Value","Low Value"))</x:f>
        <x:v>High Value</x:v>
      </x:c>
      <x:c r="AL1748" s="17" t="str">
        <x:f>IF(AND(AI1748&gt;=1,I1748&lt;=50),"Priority 1",IF(AND(AG1748&gt;=1000,I1748&lt;=60),"Priority 2",IF(I1748&lt;=30,"Priority 3","Nurture")))</x:f>
        <x:v>Priority 2</x:v>
      </x:c>
    </x:row>
    <x:row r="1749">
      <x:c r="A1749" s="16" t="n">
        <x:v>3571</x:v>
      </x:c>
      <x:c r="B1749" s="16" t="n">
        <x:v>1961</x:v>
      </x:c>
      <x:c r="C1749" s="16" t="str">
        <x:v>PhD</x:v>
      </x:c>
      <x:c r="D1749" s="16" t="str">
        <x:v>Together</x:v>
      </x:c>
      <x:c r="E1749" s="16" t="n">
        <x:v>63342</x:v>
      </x:c>
      <x:c r="F1749" s="16" t="n">
        <x:v>0</x:v>
      </x:c>
      <x:c r="G1749" s="16" t="n">
        <x:v>1</x:v>
      </x:c>
      <x:c r="H1749" s="16" t="str">
        <x:v>16-10-2012</x:v>
      </x:c>
      <x:c r="I1749" s="16" t="n">
        <x:v>48</x:v>
      </x:c>
      <x:c r="J1749" s="16" t="n">
        <x:v>918</x:v>
      </x:c>
      <x:c r="K1749" s="16" t="n">
        <x:v>21</x:v>
      </x:c>
      <x:c r="L1749" s="16" t="n">
        <x:v>118</x:v>
      </x:c>
      <x:c r="M1749" s="16" t="n">
        <x:v>13</x:v>
      </x:c>
      <x:c r="N1749" s="16" t="n">
        <x:v>10</x:v>
      </x:c>
      <x:c r="O1749" s="16" t="n">
        <x:v>21</x:v>
      </x:c>
      <x:c r="P1749" s="16" t="n">
        <x:v>3</x:v>
      </x:c>
      <x:c r="Q1749" s="16" t="n">
        <x:v>8</x:v>
      </x:c>
      <x:c r="R1749" s="16" t="n">
        <x:v>3</x:v>
      </x:c>
      <x:c r="S1749" s="16" t="n">
        <x:v>5</x:v>
      </x:c>
      <x:c r="T1749" s="16" t="n">
        <x:v>6</x:v>
      </x:c>
      <x:c r="U1749" s="16" t="n">
        <x:v>0</x:v>
      </x:c>
      <x:c r="V1749" s="16" t="n">
        <x:v>1</x:v>
      </x:c>
      <x:c r="W1749" s="16" t="n">
        <x:v>0</x:v>
      </x:c>
      <x:c r="X1749" s="16" t="n">
        <x:v>0</x:v>
      </x:c>
      <x:c r="Y1749" s="16" t="n">
        <x:v>0</x:v>
      </x:c>
      <x:c r="Z1749" s="16" t="n">
        <x:v>0</x:v>
      </x:c>
      <x:c r="AA1749" s="16" t="n">
        <x:v>3</x:v>
      </x:c>
      <x:c r="AB1749" s="16" t="n">
        <x:v>11</x:v>
      </x:c>
      <x:c r="AC1749" s="16" t="n">
        <x:v>1</x:v>
      </x:c>
      <x:c r="AD1749" s="21" t="n">
        <x:f>IF(E1749="",MEDIAN($E$2:$E$2237),E1749)</x:f>
        <x:v>63342</x:v>
      </x:c>
      <x:c r="AE1749" s="17" t="n">
        <x:f>2014-B1749</x:f>
        <x:v>53</x:v>
      </x:c>
      <x:c r="AF1749" s="17" t="n">
        <x:f>F1749+G1749</x:f>
        <x:v>1</x:v>
      </x:c>
      <x:c r="AG1749" s="21" t="n">
        <x:f>SUM(J1749:O1749)</x:f>
        <x:v>1101</x:v>
      </x:c>
      <x:c r="AH1749" s="17" t="n">
        <x:f>SUM(Q1749:S1749)</x:f>
        <x:v>16</x:v>
      </x:c>
      <x:c r="AI1749" s="17" t="n">
        <x:f>SUM(U1749:Y1749)</x:f>
        <x:v>1</x:v>
      </x:c>
      <x:c r="AJ1749" s="17" t="str">
        <x:f>IF(AE1749&lt;=34,"≤34",IF(AE1749&lt;=44,"35–44",IF(AE1749&lt;=54,"45–54",IF(AE1749&lt;=64,"55–64","65+"))))</x:f>
        <x:v>45–54</x:v>
      </x:c>
      <x:c r="AK1749" s="17" t="str">
        <x:f>IF(AG1749&gt;=1000,"High Value",IF(AG1749&gt;=300,"Mid Value","Low Value"))</x:f>
        <x:v>High Value</x:v>
      </x:c>
      <x:c r="AL1749" s="17" t="str">
        <x:f>IF(AND(AI1749&gt;=1,I1749&lt;=50),"Priority 1",IF(AND(AG1749&gt;=1000,I1749&lt;=60),"Priority 2",IF(I1749&lt;=30,"Priority 3","Nurture")))</x:f>
        <x:v>Priority 1</x:v>
      </x:c>
    </x:row>
    <x:row r="1750">
      <x:c r="A1750" s="16" t="n">
        <x:v>7807</x:v>
      </x:c>
      <x:c r="B1750" s="16" t="n">
        <x:v>1974</x:v>
      </x:c>
      <x:c r="C1750" s="16" t="str">
        <x:v>Graduation</x:v>
      </x:c>
      <x:c r="D1750" s="16" t="str">
        <x:v>Married</x:v>
      </x:c>
      <x:c r="E1750" s="16" t="n">
        <x:v>44989</x:v>
      </x:c>
      <x:c r="F1750" s="16" t="n">
        <x:v>0</x:v>
      </x:c>
      <x:c r="G1750" s="16" t="n">
        <x:v>1</x:v>
      </x:c>
      <x:c r="H1750" s="16" t="str">
        <x:v>12-09-2012</x:v>
      </x:c>
      <x:c r="I1750" s="16" t="n">
        <x:v>26</x:v>
      </x:c>
      <x:c r="J1750" s="16" t="n">
        <x:v>98</x:v>
      </x:c>
      <x:c r="K1750" s="16" t="n">
        <x:v>0</x:v>
      </x:c>
      <x:c r="L1750" s="16" t="n">
        <x:v>106</x:v>
      </x:c>
      <x:c r="M1750" s="16" t="n">
        <x:v>49</x:v>
      </x:c>
      <x:c r="N1750" s="16" t="n">
        <x:v>10</x:v>
      </x:c>
      <x:c r="O1750" s="16" t="n">
        <x:v>106</x:v>
      </x:c>
      <x:c r="P1750" s="16" t="n">
        <x:v>5</x:v>
      </x:c>
      <x:c r="Q1750" s="16" t="n">
        <x:v>5</x:v>
      </x:c>
      <x:c r="R1750" s="16" t="n">
        <x:v>1</x:v>
      </x:c>
      <x:c r="S1750" s="16" t="n">
        <x:v>5</x:v>
      </x:c>
      <x:c r="T1750" s="16" t="n">
        <x:v>6</x:v>
      </x:c>
      <x:c r="U1750" s="16" t="n">
        <x:v>0</x:v>
      </x:c>
      <x:c r="V1750" s="16" t="n">
        <x:v>0</x:v>
      </x:c>
      <x:c r="W1750" s="16" t="n">
        <x:v>0</x:v>
      </x:c>
      <x:c r="X1750" s="16" t="n">
        <x:v>0</x:v>
      </x:c>
      <x:c r="Y1750" s="16" t="n">
        <x:v>0</x:v>
      </x:c>
      <x:c r="Z1750" s="16" t="n">
        <x:v>0</x:v>
      </x:c>
      <x:c r="AA1750" s="16" t="n">
        <x:v>3</x:v>
      </x:c>
      <x:c r="AB1750" s="16" t="n">
        <x:v>11</x:v>
      </x:c>
      <x:c r="AC1750" s="16" t="n">
        <x:v>0</x:v>
      </x:c>
      <x:c r="AD1750" s="21" t="n">
        <x:f>IF(E1750="",MEDIAN($E$2:$E$2237),E1750)</x:f>
        <x:v>44989</x:v>
      </x:c>
      <x:c r="AE1750" s="17" t="n">
        <x:f>2014-B1750</x:f>
        <x:v>40</x:v>
      </x:c>
      <x:c r="AF1750" s="17" t="n">
        <x:f>F1750+G1750</x:f>
        <x:v>1</x:v>
      </x:c>
      <x:c r="AG1750" s="21" t="n">
        <x:f>SUM(J1750:O1750)</x:f>
        <x:v>369</x:v>
      </x:c>
      <x:c r="AH1750" s="17" t="n">
        <x:f>SUM(Q1750:S1750)</x:f>
        <x:v>11</x:v>
      </x:c>
      <x:c r="AI1750" s="17" t="n">
        <x:f>SUM(U1750:Y1750)</x:f>
        <x:v>0</x:v>
      </x:c>
      <x:c r="AJ1750" s="17" t="str">
        <x:f>IF(AE1750&lt;=34,"≤34",IF(AE1750&lt;=44,"35–44",IF(AE1750&lt;=54,"45–54",IF(AE1750&lt;=64,"55–64","65+"))))</x:f>
        <x:v>35–44</x:v>
      </x:c>
      <x:c r="AK1750" s="17" t="str">
        <x:f>IF(AG1750&gt;=1000,"High Value",IF(AG1750&gt;=300,"Mid Value","Low Value"))</x:f>
        <x:v>Mid Value</x:v>
      </x:c>
      <x:c r="AL1750" s="17" t="str">
        <x:f>IF(AND(AI1750&gt;=1,I1750&lt;=50),"Priority 1",IF(AND(AG1750&gt;=1000,I1750&lt;=60),"Priority 2",IF(I1750&lt;=30,"Priority 3","Nurture")))</x:f>
        <x:v>Priority 3</x:v>
      </x:c>
    </x:row>
    <x:row r="1751">
      <x:c r="A1751" s="16" t="n">
        <x:v>3878</x:v>
      </x:c>
      <x:c r="B1751" s="16" t="n">
        <x:v>1980</x:v>
      </x:c>
      <x:c r="C1751" s="16" t="str">
        <x:v>2n Cycle</x:v>
      </x:c>
      <x:c r="D1751" s="16" t="str">
        <x:v>Single</x:v>
      </x:c>
      <x:c r="E1751" s="16" t="n">
        <x:v>31859</x:v>
      </x:c>
      <x:c r="F1751" s="16" t="n">
        <x:v>1</x:v>
      </x:c>
      <x:c r="G1751" s="16" t="n">
        <x:v>0</x:v>
      </x:c>
      <x:c r="H1751" s="16" t="str">
        <x:v>27-02-2014</x:v>
      </x:c>
      <x:c r="I1751" s="16" t="n">
        <x:v>3</x:v>
      </x:c>
      <x:c r="J1751" s="16" t="n">
        <x:v>3</x:v>
      </x:c>
      <x:c r="K1751" s="16" t="n">
        <x:v>4</x:v>
      </x:c>
      <x:c r="L1751" s="16" t="n">
        <x:v>7</x:v>
      </x:c>
      <x:c r="M1751" s="16" t="n">
        <x:v>15</x:v>
      </x:c>
      <x:c r="N1751" s="16" t="n">
        <x:v>8</x:v>
      </x:c>
      <x:c r="O1751" s="16" t="n">
        <x:v>11</x:v>
      </x:c>
      <x:c r="P1751" s="16" t="n">
        <x:v>1</x:v>
      </x:c>
      <x:c r="Q1751" s="16" t="n">
        <x:v>1</x:v>
      </x:c>
      <x:c r="R1751" s="16" t="n">
        <x:v>0</x:v>
      </x:c>
      <x:c r="S1751" s="16" t="n">
        <x:v>3</x:v>
      </x:c>
      <x:c r="T1751" s="16" t="n">
        <x:v>7</x:v>
      </x:c>
      <x:c r="U1751" s="16" t="n">
        <x:v>0</x:v>
      </x:c>
      <x:c r="V1751" s="16" t="n">
        <x:v>0</x:v>
      </x:c>
      <x:c r="W1751" s="16" t="n">
        <x:v>0</x:v>
      </x:c>
      <x:c r="X1751" s="16" t="n">
        <x:v>0</x:v>
      </x:c>
      <x:c r="Y1751" s="16" t="n">
        <x:v>0</x:v>
      </x:c>
      <x:c r="Z1751" s="16" t="n">
        <x:v>0</x:v>
      </x:c>
      <x:c r="AA1751" s="16" t="n">
        <x:v>3</x:v>
      </x:c>
      <x:c r="AB1751" s="16" t="n">
        <x:v>11</x:v>
      </x:c>
      <x:c r="AC1751" s="16" t="n">
        <x:v>0</x:v>
      </x:c>
      <x:c r="AD1751" s="21" t="n">
        <x:f>IF(E1751="",MEDIAN($E$2:$E$2237),E1751)</x:f>
        <x:v>31859</x:v>
      </x:c>
      <x:c r="AE1751" s="17" t="n">
        <x:f>2014-B1751</x:f>
        <x:v>34</x:v>
      </x:c>
      <x:c r="AF1751" s="17" t="n">
        <x:f>F1751+G1751</x:f>
        <x:v>1</x:v>
      </x:c>
      <x:c r="AG1751" s="21" t="n">
        <x:f>SUM(J1751:O1751)</x:f>
        <x:v>48</x:v>
      </x:c>
      <x:c r="AH1751" s="17" t="n">
        <x:f>SUM(Q1751:S1751)</x:f>
        <x:v>4</x:v>
      </x:c>
      <x:c r="AI1751" s="17" t="n">
        <x:f>SUM(U1751:Y1751)</x:f>
        <x:v>0</x:v>
      </x:c>
      <x:c r="AJ1751" s="17" t="str">
        <x:f>IF(AE1751&lt;=34,"≤34",IF(AE1751&lt;=44,"35–44",IF(AE1751&lt;=54,"45–54",IF(AE1751&lt;=64,"55–64","65+"))))</x:f>
        <x:v>≤34</x:v>
      </x:c>
      <x:c r="AK1751" s="17" t="str">
        <x:f>IF(AG1751&gt;=1000,"High Value",IF(AG1751&gt;=300,"Mid Value","Low Value"))</x:f>
        <x:v>Low Value</x:v>
      </x:c>
      <x:c r="AL1751" s="17" t="str">
        <x:f>IF(AND(AI1751&gt;=1,I1751&lt;=50),"Priority 1",IF(AND(AG1751&gt;=1000,I1751&lt;=60),"Priority 2",IF(I1751&lt;=30,"Priority 3","Nurture")))</x:f>
        <x:v>Priority 3</x:v>
      </x:c>
    </x:row>
    <x:row r="1752">
      <x:c r="A1752" s="16" t="n">
        <x:v>5092</x:v>
      </x:c>
      <x:c r="B1752" s="16" t="n">
        <x:v>1949</x:v>
      </x:c>
      <x:c r="C1752" s="16" t="str">
        <x:v>PhD</x:v>
      </x:c>
      <x:c r="D1752" s="16" t="str">
        <x:v>Widow</x:v>
      </x:c>
      <x:c r="E1752" s="16" t="n">
        <x:v>51569</x:v>
      </x:c>
      <x:c r="F1752" s="16" t="n">
        <x:v>0</x:v>
      </x:c>
      <x:c r="G1752" s="16" t="n">
        <x:v>1</x:v>
      </x:c>
      <x:c r="H1752" s="16" t="str">
        <x:v>12-02-2013</x:v>
      </x:c>
      <x:c r="I1752" s="16" t="n">
        <x:v>39</x:v>
      </x:c>
      <x:c r="J1752" s="16" t="n">
        <x:v>380</x:v>
      </x:c>
      <x:c r="K1752" s="16" t="n">
        <x:v>0</x:v>
      </x:c>
      <x:c r="L1752" s="16" t="n">
        <x:v>47</x:v>
      </x:c>
      <x:c r="M1752" s="16" t="n">
        <x:v>6</x:v>
      </x:c>
      <x:c r="N1752" s="16" t="n">
        <x:v>0</x:v>
      </x:c>
      <x:c r="O1752" s="16" t="n">
        <x:v>34</x:v>
      </x:c>
      <x:c r="P1752" s="16" t="n">
        <x:v>4</x:v>
      </x:c>
      <x:c r="Q1752" s="16" t="n">
        <x:v>7</x:v>
      </x:c>
      <x:c r="R1752" s="16" t="n">
        <x:v>1</x:v>
      </x:c>
      <x:c r="S1752" s="16" t="n">
        <x:v>7</x:v>
      </x:c>
      <x:c r="T1752" s="16" t="n">
        <x:v>8</x:v>
      </x:c>
      <x:c r="U1752" s="16" t="n">
        <x:v>0</x:v>
      </x:c>
      <x:c r="V1752" s="16" t="n">
        <x:v>1</x:v>
      </x:c>
      <x:c r="W1752" s="16" t="n">
        <x:v>0</x:v>
      </x:c>
      <x:c r="X1752" s="16" t="n">
        <x:v>0</x:v>
      </x:c>
      <x:c r="Y1752" s="16" t="n">
        <x:v>0</x:v>
      </x:c>
      <x:c r="Z1752" s="16" t="n">
        <x:v>0</x:v>
      </x:c>
      <x:c r="AA1752" s="16" t="n">
        <x:v>3</x:v>
      </x:c>
      <x:c r="AB1752" s="16" t="n">
        <x:v>11</x:v>
      </x:c>
      <x:c r="AC1752" s="16" t="n">
        <x:v>1</x:v>
      </x:c>
      <x:c r="AD1752" s="21" t="n">
        <x:f>IF(E1752="",MEDIAN($E$2:$E$2237),E1752)</x:f>
        <x:v>51569</x:v>
      </x:c>
      <x:c r="AE1752" s="17" t="n">
        <x:f>2014-B1752</x:f>
        <x:v>65</x:v>
      </x:c>
      <x:c r="AF1752" s="17" t="n">
        <x:f>F1752+G1752</x:f>
        <x:v>1</x:v>
      </x:c>
      <x:c r="AG1752" s="21" t="n">
        <x:f>SUM(J1752:O1752)</x:f>
        <x:v>467</x:v>
      </x:c>
      <x:c r="AH1752" s="17" t="n">
        <x:f>SUM(Q1752:S1752)</x:f>
        <x:v>15</x:v>
      </x:c>
      <x:c r="AI1752" s="17" t="n">
        <x:f>SUM(U1752:Y1752)</x:f>
        <x:v>1</x:v>
      </x:c>
      <x:c r="AJ1752" s="17" t="str">
        <x:f>IF(AE1752&lt;=34,"≤34",IF(AE1752&lt;=44,"35–44",IF(AE1752&lt;=54,"45–54",IF(AE1752&lt;=64,"55–64","65+"))))</x:f>
        <x:v>65+</x:v>
      </x:c>
      <x:c r="AK1752" s="17" t="str">
        <x:f>IF(AG1752&gt;=1000,"High Value",IF(AG1752&gt;=300,"Mid Value","Low Value"))</x:f>
        <x:v>Mid Value</x:v>
      </x:c>
      <x:c r="AL1752" s="17" t="str">
        <x:f>IF(AND(AI1752&gt;=1,I1752&lt;=50),"Priority 1",IF(AND(AG1752&gt;=1000,I1752&lt;=60),"Priority 2",IF(I1752&lt;=30,"Priority 3","Nurture")))</x:f>
        <x:v>Priority 1</x:v>
      </x:c>
    </x:row>
    <x:row r="1753">
      <x:c r="A1753" s="16" t="n">
        <x:v>2154</x:v>
      </x:c>
      <x:c r="B1753" s="16" t="n">
        <x:v>1971</x:v>
      </x:c>
      <x:c r="C1753" s="16" t="str">
        <x:v>Graduation</x:v>
      </x:c>
      <x:c r="D1753" s="16" t="str">
        <x:v>Widow</x:v>
      </x:c>
      <x:c r="E1753" s="16" t="n">
        <x:v>30372</x:v>
      </x:c>
      <x:c r="F1753" s="16" t="n">
        <x:v>1</x:v>
      </x:c>
      <x:c r="G1753" s="16" t="n">
        <x:v>1</x:v>
      </x:c>
      <x:c r="H1753" s="16" t="str">
        <x:v>25-12-2012</x:v>
      </x:c>
      <x:c r="I1753" s="16" t="n">
        <x:v>33</x:v>
      </x:c>
      <x:c r="J1753" s="16" t="n">
        <x:v>15</x:v>
      </x:c>
      <x:c r="K1753" s="16" t="n">
        <x:v>0</x:v>
      </x:c>
      <x:c r="L1753" s="16" t="n">
        <x:v>12</x:v>
      </x:c>
      <x:c r="M1753" s="16" t="n">
        <x:v>7</x:v>
      </x:c>
      <x:c r="N1753" s="16" t="n">
        <x:v>3</x:v>
      </x:c>
      <x:c r="O1753" s="16" t="n">
        <x:v>7</x:v>
      </x:c>
      <x:c r="P1753" s="16" t="n">
        <x:v>3</x:v>
      </x:c>
      <x:c r="Q1753" s="16" t="n">
        <x:v>2</x:v>
      </x:c>
      <x:c r="R1753" s="16" t="n">
        <x:v>0</x:v>
      </x:c>
      <x:c r="S1753" s="16" t="n">
        <x:v>3</x:v>
      </x:c>
      <x:c r="T1753" s="16" t="n">
        <x:v>7</x:v>
      </x:c>
      <x:c r="U1753" s="16" t="n">
        <x:v>0</x:v>
      </x:c>
      <x:c r="V1753" s="16" t="n">
        <x:v>0</x:v>
      </x:c>
      <x:c r="W1753" s="16" t="n">
        <x:v>0</x:v>
      </x:c>
      <x:c r="X1753" s="16" t="n">
        <x:v>0</x:v>
      </x:c>
      <x:c r="Y1753" s="16" t="n">
        <x:v>0</x:v>
      </x:c>
      <x:c r="Z1753" s="16" t="n">
        <x:v>0</x:v>
      </x:c>
      <x:c r="AA1753" s="16" t="n">
        <x:v>3</x:v>
      </x:c>
      <x:c r="AB1753" s="16" t="n">
        <x:v>11</x:v>
      </x:c>
      <x:c r="AC1753" s="16" t="n">
        <x:v>0</x:v>
      </x:c>
      <x:c r="AD1753" s="21" t="n">
        <x:f>IF(E1753="",MEDIAN($E$2:$E$2237),E1753)</x:f>
        <x:v>30372</x:v>
      </x:c>
      <x:c r="AE1753" s="17" t="n">
        <x:f>2014-B1753</x:f>
        <x:v>43</x:v>
      </x:c>
      <x:c r="AF1753" s="17" t="n">
        <x:f>F1753+G1753</x:f>
        <x:v>2</x:v>
      </x:c>
      <x:c r="AG1753" s="21" t="n">
        <x:f>SUM(J1753:O1753)</x:f>
        <x:v>44</x:v>
      </x:c>
      <x:c r="AH1753" s="17" t="n">
        <x:f>SUM(Q1753:S1753)</x:f>
        <x:v>5</x:v>
      </x:c>
      <x:c r="AI1753" s="17" t="n">
        <x:f>SUM(U1753:Y1753)</x:f>
        <x:v>0</x:v>
      </x:c>
      <x:c r="AJ1753" s="17" t="str">
        <x:f>IF(AE1753&lt;=34,"≤34",IF(AE1753&lt;=44,"35–44",IF(AE1753&lt;=54,"45–54",IF(AE1753&lt;=64,"55–64","65+"))))</x:f>
        <x:v>35–44</x:v>
      </x:c>
      <x:c r="AK1753" s="17" t="str">
        <x:f>IF(AG1753&gt;=1000,"High Value",IF(AG1753&gt;=300,"Mid Value","Low Value"))</x:f>
        <x:v>Low Value</x:v>
      </x:c>
      <x:c r="AL1753" s="17" t="str">
        <x:f>IF(AND(AI1753&gt;=1,I1753&lt;=50),"Priority 1",IF(AND(AG1753&gt;=1000,I1753&lt;=60),"Priority 2",IF(I1753&lt;=30,"Priority 3","Nurture")))</x:f>
        <x:v>Nurture</x:v>
      </x:c>
    </x:row>
    <x:row r="1754">
      <x:c r="A1754" s="16" t="n">
        <x:v>5394</x:v>
      </x:c>
      <x:c r="B1754" s="16" t="n">
        <x:v>1979</x:v>
      </x:c>
      <x:c r="C1754" s="16" t="str">
        <x:v>Basic</x:v>
      </x:c>
      <x:c r="D1754" s="16" t="str">
        <x:v>Single</x:v>
      </x:c>
      <x:c r="E1754" s="16" t="n">
        <x:v>16014</x:v>
      </x:c>
      <x:c r="F1754" s="16" t="n">
        <x:v>1</x:v>
      </x:c>
      <x:c r="G1754" s="16" t="n">
        <x:v>1</x:v>
      </x:c>
      <x:c r="H1754" s="16" t="str">
        <x:v>17-03-2013</x:v>
      </x:c>
      <x:c r="I1754" s="16" t="n">
        <x:v>42</x:v>
      </x:c>
      <x:c r="J1754" s="16" t="n">
        <x:v>3</x:v>
      </x:c>
      <x:c r="K1754" s="16" t="n">
        <x:v>9</x:v>
      </x:c>
      <x:c r="L1754" s="16" t="n">
        <x:v>4</x:v>
      </x:c>
      <x:c r="M1754" s="16" t="n">
        <x:v>7</x:v>
      </x:c>
      <x:c r="N1754" s="16" t="n">
        <x:v>8</x:v>
      </x:c>
      <x:c r="O1754" s="16" t="n">
        <x:v>7</x:v>
      </x:c>
      <x:c r="P1754" s="16" t="n">
        <x:v>4</x:v>
      </x:c>
      <x:c r="Q1754" s="16" t="n">
        <x:v>1</x:v>
      </x:c>
      <x:c r="R1754" s="16" t="n">
        <x:v>1</x:v>
      </x:c>
      <x:c r="S1754" s="16" t="n">
        <x:v>4</x:v>
      </x:c>
      <x:c r="T1754" s="16" t="n">
        <x:v>3</x:v>
      </x:c>
      <x:c r="U1754" s="16" t="n">
        <x:v>0</x:v>
      </x:c>
      <x:c r="V1754" s="16" t="n">
        <x:v>0</x:v>
      </x:c>
      <x:c r="W1754" s="16" t="n">
        <x:v>0</x:v>
      </x:c>
      <x:c r="X1754" s="16" t="n">
        <x:v>0</x:v>
      </x:c>
      <x:c r="Y1754" s="16" t="n">
        <x:v>0</x:v>
      </x:c>
      <x:c r="Z1754" s="16" t="n">
        <x:v>0</x:v>
      </x:c>
      <x:c r="AA1754" s="16" t="n">
        <x:v>3</x:v>
      </x:c>
      <x:c r="AB1754" s="16" t="n">
        <x:v>11</x:v>
      </x:c>
      <x:c r="AC1754" s="16" t="n">
        <x:v>0</x:v>
      </x:c>
      <x:c r="AD1754" s="21" t="n">
        <x:f>IF(E1754="",MEDIAN($E$2:$E$2237),E1754)</x:f>
        <x:v>16014</x:v>
      </x:c>
      <x:c r="AE1754" s="17" t="n">
        <x:f>2014-B1754</x:f>
        <x:v>35</x:v>
      </x:c>
      <x:c r="AF1754" s="17" t="n">
        <x:f>F1754+G1754</x:f>
        <x:v>2</x:v>
      </x:c>
      <x:c r="AG1754" s="21" t="n">
        <x:f>SUM(J1754:O1754)</x:f>
        <x:v>38</x:v>
      </x:c>
      <x:c r="AH1754" s="17" t="n">
        <x:f>SUM(Q1754:S1754)</x:f>
        <x:v>6</x:v>
      </x:c>
      <x:c r="AI1754" s="17" t="n">
        <x:f>SUM(U1754:Y1754)</x:f>
        <x:v>0</x:v>
      </x:c>
      <x:c r="AJ1754" s="17" t="str">
        <x:f>IF(AE1754&lt;=34,"≤34",IF(AE1754&lt;=44,"35–44",IF(AE1754&lt;=54,"45–54",IF(AE1754&lt;=64,"55–64","65+"))))</x:f>
        <x:v>35–44</x:v>
      </x:c>
      <x:c r="AK1754" s="17" t="str">
        <x:f>IF(AG1754&gt;=1000,"High Value",IF(AG1754&gt;=300,"Mid Value","Low Value"))</x:f>
        <x:v>Low Value</x:v>
      </x:c>
      <x:c r="AL1754" s="17" t="str">
        <x:f>IF(AND(AI1754&gt;=1,I1754&lt;=50),"Priority 1",IF(AND(AG1754&gt;=1000,I1754&lt;=60),"Priority 2",IF(I1754&lt;=30,"Priority 3","Nurture")))</x:f>
        <x:v>Nurture</x:v>
      </x:c>
    </x:row>
    <x:row r="1755">
      <x:c r="A1755" s="16" t="n">
        <x:v>3798</x:v>
      </x:c>
      <x:c r="B1755" s="16" t="n">
        <x:v>1968</x:v>
      </x:c>
      <x:c r="C1755" s="16" t="str">
        <x:v>Graduation</x:v>
      </x:c>
      <x:c r="D1755" s="16" t="str">
        <x:v>Married</x:v>
      </x:c>
      <x:c r="E1755" s="16" t="n">
        <x:v>41120</x:v>
      </x:c>
      <x:c r="F1755" s="16" t="n">
        <x:v>1</x:v>
      </x:c>
      <x:c r="G1755" s="16" t="n">
        <x:v>1</x:v>
      </x:c>
      <x:c r="H1755" s="16" t="str">
        <x:v>06-11-2013</x:v>
      </x:c>
      <x:c r="I1755" s="16" t="n">
        <x:v>80</x:v>
      </x:c>
      <x:c r="J1755" s="16" t="n">
        <x:v>24</x:v>
      </x:c>
      <x:c r="K1755" s="16" t="n">
        <x:v>2</x:v>
      </x:c>
      <x:c r="L1755" s="16" t="n">
        <x:v>23</x:v>
      </x:c>
      <x:c r="M1755" s="16" t="n">
        <x:v>0</x:v>
      </x:c>
      <x:c r="N1755" s="16" t="n">
        <x:v>8</x:v>
      </x:c>
      <x:c r="O1755" s="16" t="n">
        <x:v>24</x:v>
      </x:c>
      <x:c r="P1755" s="16" t="n">
        <x:v>3</x:v>
      </x:c>
      <x:c r="Q1755" s="16" t="n">
        <x:v>2</x:v>
      </x:c>
      <x:c r="R1755" s="16" t="n">
        <x:v>1</x:v>
      </x:c>
      <x:c r="S1755" s="16" t="n">
        <x:v>3</x:v>
      </x:c>
      <x:c r="T1755" s="16" t="n">
        <x:v>6</x:v>
      </x:c>
      <x:c r="U1755" s="16" t="n">
        <x:v>0</x:v>
      </x:c>
      <x:c r="V1755" s="16" t="n">
        <x:v>0</x:v>
      </x:c>
      <x:c r="W1755" s="16" t="n">
        <x:v>0</x:v>
      </x:c>
      <x:c r="X1755" s="16" t="n">
        <x:v>0</x:v>
      </x:c>
      <x:c r="Y1755" s="16" t="n">
        <x:v>0</x:v>
      </x:c>
      <x:c r="Z1755" s="16" t="n">
        <x:v>0</x:v>
      </x:c>
      <x:c r="AA1755" s="16" t="n">
        <x:v>3</x:v>
      </x:c>
      <x:c r="AB1755" s="16" t="n">
        <x:v>11</x:v>
      </x:c>
      <x:c r="AC1755" s="16" t="n">
        <x:v>0</x:v>
      </x:c>
      <x:c r="AD1755" s="21" t="n">
        <x:f>IF(E1755="",MEDIAN($E$2:$E$2237),E1755)</x:f>
        <x:v>41120</x:v>
      </x:c>
      <x:c r="AE1755" s="17" t="n">
        <x:f>2014-B1755</x:f>
        <x:v>46</x:v>
      </x:c>
      <x:c r="AF1755" s="17" t="n">
        <x:f>F1755+G1755</x:f>
        <x:v>2</x:v>
      </x:c>
      <x:c r="AG1755" s="21" t="n">
        <x:f>SUM(J1755:O1755)</x:f>
        <x:v>81</x:v>
      </x:c>
      <x:c r="AH1755" s="17" t="n">
        <x:f>SUM(Q1755:S1755)</x:f>
        <x:v>6</x:v>
      </x:c>
      <x:c r="AI1755" s="17" t="n">
        <x:f>SUM(U1755:Y1755)</x:f>
        <x:v>0</x:v>
      </x:c>
      <x:c r="AJ1755" s="17" t="str">
        <x:f>IF(AE1755&lt;=34,"≤34",IF(AE1755&lt;=44,"35–44",IF(AE1755&lt;=54,"45–54",IF(AE1755&lt;=64,"55–64","65+"))))</x:f>
        <x:v>45–54</x:v>
      </x:c>
      <x:c r="AK1755" s="17" t="str">
        <x:f>IF(AG1755&gt;=1000,"High Value",IF(AG1755&gt;=300,"Mid Value","Low Value"))</x:f>
        <x:v>Low Value</x:v>
      </x:c>
      <x:c r="AL1755" s="17" t="str">
        <x:f>IF(AND(AI1755&gt;=1,I1755&lt;=50),"Priority 1",IF(AND(AG1755&gt;=1000,I1755&lt;=60),"Priority 2",IF(I1755&lt;=30,"Priority 3","Nurture")))</x:f>
        <x:v>Nurture</x:v>
      </x:c>
    </x:row>
    <x:row r="1756">
      <x:c r="A1756" s="16" t="n">
        <x:v>3524</x:v>
      </x:c>
      <x:c r="B1756" s="16" t="n">
        <x:v>1971</x:v>
      </x:c>
      <x:c r="C1756" s="16" t="str">
        <x:v>Master</x:v>
      </x:c>
      <x:c r="D1756" s="16" t="str">
        <x:v>Single</x:v>
      </x:c>
      <x:c r="E1756" s="16" t="n">
        <x:v>39763</x:v>
      </x:c>
      <x:c r="F1756" s="16" t="n">
        <x:v>1</x:v>
      </x:c>
      <x:c r="G1756" s="16" t="n">
        <x:v>0</x:v>
      </x:c>
      <x:c r="H1756" s="16" t="str">
        <x:v>04-08-2013</x:v>
      </x:c>
      <x:c r="I1756" s="16" t="n">
        <x:v>9</x:v>
      </x:c>
      <x:c r="J1756" s="16" t="n">
        <x:v>80</x:v>
      </x:c>
      <x:c r="K1756" s="16" t="n">
        <x:v>1</x:v>
      </x:c>
      <x:c r="L1756" s="16" t="n">
        <x:v>60</x:v>
      </x:c>
      <x:c r="M1756" s="16" t="n">
        <x:v>4</x:v>
      </x:c>
      <x:c r="N1756" s="16" t="n">
        <x:v>6</x:v>
      </x:c>
      <x:c r="O1756" s="16" t="n">
        <x:v>16</x:v>
      </x:c>
      <x:c r="P1756" s="16" t="n">
        <x:v>2</x:v>
      </x:c>
      <x:c r="Q1756" s="16" t="n">
        <x:v>5</x:v>
      </x:c>
      <x:c r="R1756" s="16" t="n">
        <x:v>1</x:v>
      </x:c>
      <x:c r="S1756" s="16" t="n">
        <x:v>2</x:v>
      </x:c>
      <x:c r="T1756" s="16" t="n">
        <x:v>9</x:v>
      </x:c>
      <x:c r="U1756" s="16" t="n">
        <x:v>0</x:v>
      </x:c>
      <x:c r="V1756" s="16" t="n">
        <x:v>0</x:v>
      </x:c>
      <x:c r="W1756" s="16" t="n">
        <x:v>0</x:v>
      </x:c>
      <x:c r="X1756" s="16" t="n">
        <x:v>0</x:v>
      </x:c>
      <x:c r="Y1756" s="16" t="n">
        <x:v>0</x:v>
      </x:c>
      <x:c r="Z1756" s="16" t="n">
        <x:v>0</x:v>
      </x:c>
      <x:c r="AA1756" s="16" t="n">
        <x:v>3</x:v>
      </x:c>
      <x:c r="AB1756" s="16" t="n">
        <x:v>11</x:v>
      </x:c>
      <x:c r="AC1756" s="16" t="n">
        <x:v>1</x:v>
      </x:c>
      <x:c r="AD1756" s="21" t="n">
        <x:f>IF(E1756="",MEDIAN($E$2:$E$2237),E1756)</x:f>
        <x:v>39763</x:v>
      </x:c>
      <x:c r="AE1756" s="17" t="n">
        <x:f>2014-B1756</x:f>
        <x:v>43</x:v>
      </x:c>
      <x:c r="AF1756" s="17" t="n">
        <x:f>F1756+G1756</x:f>
        <x:v>1</x:v>
      </x:c>
      <x:c r="AG1756" s="21" t="n">
        <x:f>SUM(J1756:O1756)</x:f>
        <x:v>167</x:v>
      </x:c>
      <x:c r="AH1756" s="17" t="n">
        <x:f>SUM(Q1756:S1756)</x:f>
        <x:v>8</x:v>
      </x:c>
      <x:c r="AI1756" s="17" t="n">
        <x:f>SUM(U1756:Y1756)</x:f>
        <x:v>0</x:v>
      </x:c>
      <x:c r="AJ1756" s="17" t="str">
        <x:f>IF(AE1756&lt;=34,"≤34",IF(AE1756&lt;=44,"35–44",IF(AE1756&lt;=54,"45–54",IF(AE1756&lt;=64,"55–64","65+"))))</x:f>
        <x:v>35–44</x:v>
      </x:c>
      <x:c r="AK1756" s="17" t="str">
        <x:f>IF(AG1756&gt;=1000,"High Value",IF(AG1756&gt;=300,"Mid Value","Low Value"))</x:f>
        <x:v>Low Value</x:v>
      </x:c>
      <x:c r="AL1756" s="17" t="str">
        <x:f>IF(AND(AI1756&gt;=1,I1756&lt;=50),"Priority 1",IF(AND(AG1756&gt;=1000,I1756&lt;=60),"Priority 2",IF(I1756&lt;=30,"Priority 3","Nurture")))</x:f>
        <x:v>Priority 3</x:v>
      </x:c>
    </x:row>
    <x:row r="1757">
      <x:c r="A1757" s="16" t="n">
        <x:v>5247</x:v>
      </x:c>
      <x:c r="B1757" s="16" t="n">
        <x:v>1955</x:v>
      </x:c>
      <x:c r="C1757" s="16" t="str">
        <x:v>PhD</x:v>
      </x:c>
      <x:c r="D1757" s="16" t="str">
        <x:v>Married</x:v>
      </x:c>
      <x:c r="E1757" s="16" t="n">
        <x:v>38725</x:v>
      </x:c>
      <x:c r="F1757" s="16" t="n">
        <x:v>1</x:v>
      </x:c>
      <x:c r="G1757" s="16" t="n">
        <x:v>1</x:v>
      </x:c>
      <x:c r="H1757" s="16" t="str">
        <x:v>10-05-2014</x:v>
      </x:c>
      <x:c r="I1757" s="16" t="n">
        <x:v>52</x:v>
      </x:c>
      <x:c r="J1757" s="16" t="n">
        <x:v>31</x:v>
      </x:c>
      <x:c r="K1757" s="16" t="n">
        <x:v>0</x:v>
      </x:c>
      <x:c r="L1757" s="16" t="n">
        <x:v>6</x:v>
      </x:c>
      <x:c r="M1757" s="16" t="n">
        <x:v>2</x:v>
      </x:c>
      <x:c r="N1757" s="16" t="n">
        <x:v>1</x:v>
      </x:c>
      <x:c r="O1757" s="16" t="n">
        <x:v>5</x:v>
      </x:c>
      <x:c r="P1757" s="16" t="n">
        <x:v>2</x:v>
      </x:c>
      <x:c r="Q1757" s="16" t="n">
        <x:v>1</x:v>
      </x:c>
      <x:c r="R1757" s="16" t="n">
        <x:v>0</x:v>
      </x:c>
      <x:c r="S1757" s="16" t="n">
        <x:v>4</x:v>
      </x:c>
      <x:c r="T1757" s="16" t="n">
        <x:v>4</x:v>
      </x:c>
      <x:c r="U1757" s="16" t="n">
        <x:v>0</x:v>
      </x:c>
      <x:c r="V1757" s="16" t="n">
        <x:v>0</x:v>
      </x:c>
      <x:c r="W1757" s="16" t="n">
        <x:v>0</x:v>
      </x:c>
      <x:c r="X1757" s="16" t="n">
        <x:v>0</x:v>
      </x:c>
      <x:c r="Y1757" s="16" t="n">
        <x:v>0</x:v>
      </x:c>
      <x:c r="Z1757" s="16" t="n">
        <x:v>0</x:v>
      </x:c>
      <x:c r="AA1757" s="16" t="n">
        <x:v>3</x:v>
      </x:c>
      <x:c r="AB1757" s="16" t="n">
        <x:v>11</x:v>
      </x:c>
      <x:c r="AC1757" s="16" t="n">
        <x:v>0</x:v>
      </x:c>
      <x:c r="AD1757" s="21" t="n">
        <x:f>IF(E1757="",MEDIAN($E$2:$E$2237),E1757)</x:f>
        <x:v>38725</x:v>
      </x:c>
      <x:c r="AE1757" s="17" t="n">
        <x:f>2014-B1757</x:f>
        <x:v>59</x:v>
      </x:c>
      <x:c r="AF1757" s="17" t="n">
        <x:f>F1757+G1757</x:f>
        <x:v>2</x:v>
      </x:c>
      <x:c r="AG1757" s="21" t="n">
        <x:f>SUM(J1757:O1757)</x:f>
        <x:v>45</x:v>
      </x:c>
      <x:c r="AH1757" s="17" t="n">
        <x:f>SUM(Q1757:S1757)</x:f>
        <x:v>5</x:v>
      </x:c>
      <x:c r="AI1757" s="17" t="n">
        <x:f>SUM(U1757:Y1757)</x:f>
        <x:v>0</x:v>
      </x:c>
      <x:c r="AJ1757" s="17" t="str">
        <x:f>IF(AE1757&lt;=34,"≤34",IF(AE1757&lt;=44,"35–44",IF(AE1757&lt;=54,"45–54",IF(AE1757&lt;=64,"55–64","65+"))))</x:f>
        <x:v>55–64</x:v>
      </x:c>
      <x:c r="AK1757" s="17" t="str">
        <x:f>IF(AG1757&gt;=1000,"High Value",IF(AG1757&gt;=300,"Mid Value","Low Value"))</x:f>
        <x:v>Low Value</x:v>
      </x:c>
      <x:c r="AL1757" s="17" t="str">
        <x:f>IF(AND(AI1757&gt;=1,I1757&lt;=50),"Priority 1",IF(AND(AG1757&gt;=1000,I1757&lt;=60),"Priority 2",IF(I1757&lt;=30,"Priority 3","Nurture")))</x:f>
        <x:v>Nurture</x:v>
      </x:c>
    </x:row>
    <x:row r="1758">
      <x:c r="A1758" s="16" t="n">
        <x:v>5883</x:v>
      </x:c>
      <x:c r="B1758" s="16" t="n">
        <x:v>1972</x:v>
      </x:c>
      <x:c r="C1758" s="16" t="str">
        <x:v>Graduation</x:v>
      </x:c>
      <x:c r="D1758" s="16" t="str">
        <x:v>Married</x:v>
      </x:c>
      <x:c r="E1758" s="16" t="n">
        <x:v>77981</x:v>
      </x:c>
      <x:c r="F1758" s="16" t="n">
        <x:v>1</x:v>
      </x:c>
      <x:c r="G1758" s="16" t="n">
        <x:v>0</x:v>
      </x:c>
      <x:c r="H1758" s="16" t="str">
        <x:v>26-05-2013</x:v>
      </x:c>
      <x:c r="I1758" s="16" t="n">
        <x:v>78</x:v>
      </x:c>
      <x:c r="J1758" s="16" t="n">
        <x:v>138</x:v>
      </x:c>
      <x:c r="K1758" s="16" t="n">
        <x:v>120</x:v>
      </x:c>
      <x:c r="L1758" s="16" t="n">
        <x:v>204</x:v>
      </x:c>
      <x:c r="M1758" s="16" t="n">
        <x:v>16</x:v>
      </x:c>
      <x:c r="N1758" s="16" t="n">
        <x:v>126</x:v>
      </x:c>
      <x:c r="O1758" s="16" t="n">
        <x:v>60</x:v>
      </x:c>
      <x:c r="P1758" s="16" t="n">
        <x:v>3</x:v>
      </x:c>
      <x:c r="Q1758" s="16" t="n">
        <x:v>7</x:v>
      </x:c>
      <x:c r="R1758" s="16" t="n">
        <x:v>4</x:v>
      </x:c>
      <x:c r="S1758" s="16" t="n">
        <x:v>7</x:v>
      </x:c>
      <x:c r="T1758" s="16" t="n">
        <x:v>5</x:v>
      </x:c>
      <x:c r="U1758" s="16" t="n">
        <x:v>0</x:v>
      </x:c>
      <x:c r="V1758" s="16" t="n">
        <x:v>0</x:v>
      </x:c>
      <x:c r="W1758" s="16" t="n">
        <x:v>0</x:v>
      </x:c>
      <x:c r="X1758" s="16" t="n">
        <x:v>0</x:v>
      </x:c>
      <x:c r="Y1758" s="16" t="n">
        <x:v>0</x:v>
      </x:c>
      <x:c r="Z1758" s="16" t="n">
        <x:v>0</x:v>
      </x:c>
      <x:c r="AA1758" s="16" t="n">
        <x:v>3</x:v>
      </x:c>
      <x:c r="AB1758" s="16" t="n">
        <x:v>11</x:v>
      </x:c>
      <x:c r="AC1758" s="16" t="n">
        <x:v>0</x:v>
      </x:c>
      <x:c r="AD1758" s="21" t="n">
        <x:f>IF(E1758="",MEDIAN($E$2:$E$2237),E1758)</x:f>
        <x:v>77981</x:v>
      </x:c>
      <x:c r="AE1758" s="17" t="n">
        <x:f>2014-B1758</x:f>
        <x:v>42</x:v>
      </x:c>
      <x:c r="AF1758" s="17" t="n">
        <x:f>F1758+G1758</x:f>
        <x:v>1</x:v>
      </x:c>
      <x:c r="AG1758" s="21" t="n">
        <x:f>SUM(J1758:O1758)</x:f>
        <x:v>664</x:v>
      </x:c>
      <x:c r="AH1758" s="17" t="n">
        <x:f>SUM(Q1758:S1758)</x:f>
        <x:v>18</x:v>
      </x:c>
      <x:c r="AI1758" s="17" t="n">
        <x:f>SUM(U1758:Y1758)</x:f>
        <x:v>0</x:v>
      </x:c>
      <x:c r="AJ1758" s="17" t="str">
        <x:f>IF(AE1758&lt;=34,"≤34",IF(AE1758&lt;=44,"35–44",IF(AE1758&lt;=54,"45–54",IF(AE1758&lt;=64,"55–64","65+"))))</x:f>
        <x:v>35–44</x:v>
      </x:c>
      <x:c r="AK1758" s="17" t="str">
        <x:f>IF(AG1758&gt;=1000,"High Value",IF(AG1758&gt;=300,"Mid Value","Low Value"))</x:f>
        <x:v>Mid Value</x:v>
      </x:c>
      <x:c r="AL1758" s="17" t="str">
        <x:f>IF(AND(AI1758&gt;=1,I1758&lt;=50),"Priority 1",IF(AND(AG1758&gt;=1000,I1758&lt;=60),"Priority 2",IF(I1758&lt;=30,"Priority 3","Nurture")))</x:f>
        <x:v>Nurture</x:v>
      </x:c>
    </x:row>
    <x:row r="1759">
      <x:c r="A1759" s="16" t="n">
        <x:v>2118</x:v>
      </x:c>
      <x:c r="B1759" s="16" t="n">
        <x:v>1964</x:v>
      </x:c>
      <x:c r="C1759" s="16" t="str">
        <x:v>2n Cycle</x:v>
      </x:c>
      <x:c r="D1759" s="16" t="str">
        <x:v>Married</x:v>
      </x:c>
      <x:c r="E1759" s="16" t="n">
        <x:v>62905</x:v>
      </x:c>
      <x:c r="F1759" s="16" t="n">
        <x:v>0</x:v>
      </x:c>
      <x:c r="G1759" s="16" t="n">
        <x:v>1</x:v>
      </x:c>
      <x:c r="H1759" s="16" t="str">
        <x:v>10-09-2013</x:v>
      </x:c>
      <x:c r="I1759" s="16" t="n">
        <x:v>68</x:v>
      </x:c>
      <x:c r="J1759" s="16" t="n">
        <x:v>166</x:v>
      </x:c>
      <x:c r="K1759" s="16" t="n">
        <x:v>75</x:v>
      </x:c>
      <x:c r="L1759" s="16" t="n">
        <x:v>96</x:v>
      </x:c>
      <x:c r="M1759" s="16" t="n">
        <x:v>119</x:v>
      </x:c>
      <x:c r="N1759" s="16" t="n">
        <x:v>107</x:v>
      </x:c>
      <x:c r="O1759" s="16" t="n">
        <x:v>59</x:v>
      </x:c>
      <x:c r="P1759" s="16" t="n">
        <x:v>3</x:v>
      </x:c>
      <x:c r="Q1759" s="16" t="n">
        <x:v>7</x:v>
      </x:c>
      <x:c r="R1759" s="16" t="n">
        <x:v>2</x:v>
      </x:c>
      <x:c r="S1759" s="16" t="n">
        <x:v>8</x:v>
      </x:c>
      <x:c r="T1759" s="16" t="n">
        <x:v>4</x:v>
      </x:c>
      <x:c r="U1759" s="16" t="n">
        <x:v>0</x:v>
      </x:c>
      <x:c r="V1759" s="16" t="n">
        <x:v>0</x:v>
      </x:c>
      <x:c r="W1759" s="16" t="n">
        <x:v>0</x:v>
      </x:c>
      <x:c r="X1759" s="16" t="n">
        <x:v>0</x:v>
      </x:c>
      <x:c r="Y1759" s="16" t="n">
        <x:v>0</x:v>
      </x:c>
      <x:c r="Z1759" s="16" t="n">
        <x:v>0</x:v>
      </x:c>
      <x:c r="AA1759" s="16" t="n">
        <x:v>3</x:v>
      </x:c>
      <x:c r="AB1759" s="16" t="n">
        <x:v>11</x:v>
      </x:c>
      <x:c r="AC1759" s="16" t="n">
        <x:v>0</x:v>
      </x:c>
      <x:c r="AD1759" s="21" t="n">
        <x:f>IF(E1759="",MEDIAN($E$2:$E$2237),E1759)</x:f>
        <x:v>62905</x:v>
      </x:c>
      <x:c r="AE1759" s="17" t="n">
        <x:f>2014-B1759</x:f>
        <x:v>50</x:v>
      </x:c>
      <x:c r="AF1759" s="17" t="n">
        <x:f>F1759+G1759</x:f>
        <x:v>1</x:v>
      </x:c>
      <x:c r="AG1759" s="21" t="n">
        <x:f>SUM(J1759:O1759)</x:f>
        <x:v>622</x:v>
      </x:c>
      <x:c r="AH1759" s="17" t="n">
        <x:f>SUM(Q1759:S1759)</x:f>
        <x:v>17</x:v>
      </x:c>
      <x:c r="AI1759" s="17" t="n">
        <x:f>SUM(U1759:Y1759)</x:f>
        <x:v>0</x:v>
      </x:c>
      <x:c r="AJ1759" s="17" t="str">
        <x:f>IF(AE1759&lt;=34,"≤34",IF(AE1759&lt;=44,"35–44",IF(AE1759&lt;=54,"45–54",IF(AE1759&lt;=64,"55–64","65+"))))</x:f>
        <x:v>45–54</x:v>
      </x:c>
      <x:c r="AK1759" s="17" t="str">
        <x:f>IF(AG1759&gt;=1000,"High Value",IF(AG1759&gt;=300,"Mid Value","Low Value"))</x:f>
        <x:v>Mid Value</x:v>
      </x:c>
      <x:c r="AL1759" s="17" t="str">
        <x:f>IF(AND(AI1759&gt;=1,I1759&lt;=50),"Priority 1",IF(AND(AG1759&gt;=1000,I1759&lt;=60),"Priority 2",IF(I1759&lt;=30,"Priority 3","Nurture")))</x:f>
        <x:v>Nurture</x:v>
      </x:c>
    </x:row>
    <x:row r="1760">
      <x:c r="A1760" s="16" t="n">
        <x:v>8812</x:v>
      </x:c>
      <x:c r="B1760" s="16" t="n">
        <x:v>1979</x:v>
      </x:c>
      <x:c r="C1760" s="16" t="str">
        <x:v>2n Cycle</x:v>
      </x:c>
      <x:c r="D1760" s="16" t="str">
        <x:v>Divorced</x:v>
      </x:c>
      <x:c r="E1760" s="16" t="n">
        <x:v>13533</x:v>
      </x:c>
      <x:c r="F1760" s="16" t="n">
        <x:v>1</x:v>
      </x:c>
      <x:c r="G1760" s="16" t="n">
        <x:v>0</x:v>
      </x:c>
      <x:c r="H1760" s="16" t="str">
        <x:v>10-03-2013</x:v>
      </x:c>
      <x:c r="I1760" s="16" t="n">
        <x:v>45</x:v>
      </x:c>
      <x:c r="J1760" s="16" t="n">
        <x:v>12</x:v>
      </x:c>
      <x:c r="K1760" s="16" t="n">
        <x:v>3</x:v>
      </x:c>
      <x:c r="L1760" s="16" t="n">
        <x:v>8</x:v>
      </x:c>
      <x:c r="M1760" s="16" t="n">
        <x:v>8</x:v>
      </x:c>
      <x:c r="N1760" s="16" t="n">
        <x:v>0</x:v>
      </x:c>
      <x:c r="O1760" s="16" t="n">
        <x:v>17</x:v>
      </x:c>
      <x:c r="P1760" s="16" t="n">
        <x:v>2</x:v>
      </x:c>
      <x:c r="Q1760" s="16" t="n">
        <x:v>2</x:v>
      </x:c>
      <x:c r="R1760" s="16" t="n">
        <x:v>0</x:v>
      </x:c>
      <x:c r="S1760" s="16" t="n">
        <x:v>3</x:v>
      </x:c>
      <x:c r="T1760" s="16" t="n">
        <x:v>7</x:v>
      </x:c>
      <x:c r="U1760" s="16" t="n">
        <x:v>0</x:v>
      </x:c>
      <x:c r="V1760" s="16" t="n">
        <x:v>0</x:v>
      </x:c>
      <x:c r="W1760" s="16" t="n">
        <x:v>0</x:v>
      </x:c>
      <x:c r="X1760" s="16" t="n">
        <x:v>0</x:v>
      </x:c>
      <x:c r="Y1760" s="16" t="n">
        <x:v>0</x:v>
      </x:c>
      <x:c r="Z1760" s="16" t="n">
        <x:v>0</x:v>
      </x:c>
      <x:c r="AA1760" s="16" t="n">
        <x:v>3</x:v>
      </x:c>
      <x:c r="AB1760" s="16" t="n">
        <x:v>11</x:v>
      </x:c>
      <x:c r="AC1760" s="16" t="n">
        <x:v>0</x:v>
      </x:c>
      <x:c r="AD1760" s="21" t="n">
        <x:f>IF(E1760="",MEDIAN($E$2:$E$2237),E1760)</x:f>
        <x:v>13533</x:v>
      </x:c>
      <x:c r="AE1760" s="17" t="n">
        <x:f>2014-B1760</x:f>
        <x:v>35</x:v>
      </x:c>
      <x:c r="AF1760" s="17" t="n">
        <x:f>F1760+G1760</x:f>
        <x:v>1</x:v>
      </x:c>
      <x:c r="AG1760" s="21" t="n">
        <x:f>SUM(J1760:O1760)</x:f>
        <x:v>48</x:v>
      </x:c>
      <x:c r="AH1760" s="17" t="n">
        <x:f>SUM(Q1760:S1760)</x:f>
        <x:v>5</x:v>
      </x:c>
      <x:c r="AI1760" s="17" t="n">
        <x:f>SUM(U1760:Y1760)</x:f>
        <x:v>0</x:v>
      </x:c>
      <x:c r="AJ1760" s="17" t="str">
        <x:f>IF(AE1760&lt;=34,"≤34",IF(AE1760&lt;=44,"35–44",IF(AE1760&lt;=54,"45–54",IF(AE1760&lt;=64,"55–64","65+"))))</x:f>
        <x:v>35–44</x:v>
      </x:c>
      <x:c r="AK1760" s="17" t="str">
        <x:f>IF(AG1760&gt;=1000,"High Value",IF(AG1760&gt;=300,"Mid Value","Low Value"))</x:f>
        <x:v>Low Value</x:v>
      </x:c>
      <x:c r="AL1760" s="17" t="str">
        <x:f>IF(AND(AI1760&gt;=1,I1760&lt;=50),"Priority 1",IF(AND(AG1760&gt;=1000,I1760&lt;=60),"Priority 2",IF(I1760&lt;=30,"Priority 3","Nurture")))</x:f>
        <x:v>Nurture</x:v>
      </x:c>
    </x:row>
    <x:row r="1761">
      <x:c r="A1761" s="16" t="n">
        <x:v>6616</x:v>
      </x:c>
      <x:c r="B1761" s="16" t="n">
        <x:v>1975</x:v>
      </x:c>
      <x:c r="C1761" s="16" t="str">
        <x:v>Graduation</x:v>
      </x:c>
      <x:c r="D1761" s="16" t="str">
        <x:v>Together</x:v>
      </x:c>
      <x:c r="E1761" s="16" t="n">
        <x:v>59481</x:v>
      </x:c>
      <x:c r="F1761" s="16" t="n">
        <x:v>0</x:v>
      </x:c>
      <x:c r="G1761" s="16" t="n">
        <x:v>1</x:v>
      </x:c>
      <x:c r="H1761" s="16" t="str">
        <x:v>23-10-2013</x:v>
      </x:c>
      <x:c r="I1761" s="16" t="n">
        <x:v>47</x:v>
      </x:c>
      <x:c r="J1761" s="16" t="n">
        <x:v>178</x:v>
      </x:c>
      <x:c r="K1761" s="16" t="n">
        <x:v>3</x:v>
      </x:c>
      <x:c r="L1761" s="16" t="n">
        <x:v>85</x:v>
      </x:c>
      <x:c r="M1761" s="16" t="n">
        <x:v>71</x:v>
      </x:c>
      <x:c r="N1761" s="16" t="n">
        <x:v>66</x:v>
      </x:c>
      <x:c r="O1761" s="16" t="n">
        <x:v>58</x:v>
      </x:c>
      <x:c r="P1761" s="16" t="n">
        <x:v>2</x:v>
      </x:c>
      <x:c r="Q1761" s="16" t="n">
        <x:v>3</x:v>
      </x:c>
      <x:c r="R1761" s="16" t="n">
        <x:v>3</x:v>
      </x:c>
      <x:c r="S1761" s="16" t="n">
        <x:v>8</x:v>
      </x:c>
      <x:c r="T1761" s="16" t="n">
        <x:v>2</x:v>
      </x:c>
      <x:c r="U1761" s="16" t="n">
        <x:v>0</x:v>
      </x:c>
      <x:c r="V1761" s="16" t="n">
        <x:v>0</x:v>
      </x:c>
      <x:c r="W1761" s="16" t="n">
        <x:v>0</x:v>
      </x:c>
      <x:c r="X1761" s="16" t="n">
        <x:v>0</x:v>
      </x:c>
      <x:c r="Y1761" s="16" t="n">
        <x:v>0</x:v>
      </x:c>
      <x:c r="Z1761" s="16" t="n">
        <x:v>0</x:v>
      </x:c>
      <x:c r="AA1761" s="16" t="n">
        <x:v>3</x:v>
      </x:c>
      <x:c r="AB1761" s="16" t="n">
        <x:v>11</x:v>
      </x:c>
      <x:c r="AC1761" s="16" t="n">
        <x:v>0</x:v>
      </x:c>
      <x:c r="AD1761" s="21" t="n">
        <x:f>IF(E1761="",MEDIAN($E$2:$E$2237),E1761)</x:f>
        <x:v>59481</x:v>
      </x:c>
      <x:c r="AE1761" s="17" t="n">
        <x:f>2014-B1761</x:f>
        <x:v>39</x:v>
      </x:c>
      <x:c r="AF1761" s="17" t="n">
        <x:f>F1761+G1761</x:f>
        <x:v>1</x:v>
      </x:c>
      <x:c r="AG1761" s="21" t="n">
        <x:f>SUM(J1761:O1761)</x:f>
        <x:v>461</x:v>
      </x:c>
      <x:c r="AH1761" s="17" t="n">
        <x:f>SUM(Q1761:S1761)</x:f>
        <x:v>14</x:v>
      </x:c>
      <x:c r="AI1761" s="17" t="n">
        <x:f>SUM(U1761:Y1761)</x:f>
        <x:v>0</x:v>
      </x:c>
      <x:c r="AJ1761" s="17" t="str">
        <x:f>IF(AE1761&lt;=34,"≤34",IF(AE1761&lt;=44,"35–44",IF(AE1761&lt;=54,"45–54",IF(AE1761&lt;=64,"55–64","65+"))))</x:f>
        <x:v>35–44</x:v>
      </x:c>
      <x:c r="AK1761" s="17" t="str">
        <x:f>IF(AG1761&gt;=1000,"High Value",IF(AG1761&gt;=300,"Mid Value","Low Value"))</x:f>
        <x:v>Mid Value</x:v>
      </x:c>
      <x:c r="AL1761" s="17" t="str">
        <x:f>IF(AND(AI1761&gt;=1,I1761&lt;=50),"Priority 1",IF(AND(AG1761&gt;=1000,I1761&lt;=60),"Priority 2",IF(I1761&lt;=30,"Priority 3","Nurture")))</x:f>
        <x:v>Nurture</x:v>
      </x:c>
    </x:row>
    <x:row r="1762">
      <x:c r="A1762" s="16" t="n">
        <x:v>2797</x:v>
      </x:c>
      <x:c r="B1762" s="16" t="n">
        <x:v>1977</x:v>
      </x:c>
      <x:c r="C1762" s="16" t="str">
        <x:v>Graduation</x:v>
      </x:c>
      <x:c r="D1762" s="16" t="str">
        <x:v>Married</x:v>
      </x:c>
      <x:c r="E1762" s="16" t="n">
        <x:v>72117</x:v>
      </x:c>
      <x:c r="F1762" s="16" t="n">
        <x:v>0</x:v>
      </x:c>
      <x:c r="G1762" s="16" t="n">
        <x:v>1</x:v>
      </x:c>
      <x:c r="H1762" s="16" t="str">
        <x:v>20-08-2013</x:v>
      </x:c>
      <x:c r="I1762" s="16" t="n">
        <x:v>34</x:v>
      </x:c>
      <x:c r="J1762" s="16" t="n">
        <x:v>707</x:v>
      </x:c>
      <x:c r="K1762" s="16" t="n">
        <x:v>20</x:v>
      </x:c>
      <x:c r="L1762" s="16" t="n">
        <x:v>171</x:v>
      </x:c>
      <x:c r="M1762" s="16" t="n">
        <x:v>65</x:v>
      </x:c>
      <x:c r="N1762" s="16" t="n">
        <x:v>60</x:v>
      </x:c>
      <x:c r="O1762" s="16" t="n">
        <x:v>50</x:v>
      </x:c>
      <x:c r="P1762" s="16" t="n">
        <x:v>1</x:v>
      </x:c>
      <x:c r="Q1762" s="16" t="n">
        <x:v>9</x:v>
      </x:c>
      <x:c r="R1762" s="16" t="n">
        <x:v>7</x:v>
      </x:c>
      <x:c r="S1762" s="16" t="n">
        <x:v>9</x:v>
      </x:c>
      <x:c r="T1762" s="16" t="n">
        <x:v>5</x:v>
      </x:c>
      <x:c r="U1762" s="16" t="n">
        <x:v>0</x:v>
      </x:c>
      <x:c r="V1762" s="16" t="n">
        <x:v>0</x:v>
      </x:c>
      <x:c r="W1762" s="16" t="n">
        <x:v>0</x:v>
      </x:c>
      <x:c r="X1762" s="16" t="n">
        <x:v>0</x:v>
      </x:c>
      <x:c r="Y1762" s="16" t="n">
        <x:v>0</x:v>
      </x:c>
      <x:c r="Z1762" s="16" t="n">
        <x:v>0</x:v>
      </x:c>
      <x:c r="AA1762" s="16" t="n">
        <x:v>3</x:v>
      </x:c>
      <x:c r="AB1762" s="16" t="n">
        <x:v>11</x:v>
      </x:c>
      <x:c r="AC1762" s="16" t="n">
        <x:v>0</x:v>
      </x:c>
      <x:c r="AD1762" s="21" t="n">
        <x:f>IF(E1762="",MEDIAN($E$2:$E$2237),E1762)</x:f>
        <x:v>72117</x:v>
      </x:c>
      <x:c r="AE1762" s="17" t="n">
        <x:f>2014-B1762</x:f>
        <x:v>37</x:v>
      </x:c>
      <x:c r="AF1762" s="17" t="n">
        <x:f>F1762+G1762</x:f>
        <x:v>1</x:v>
      </x:c>
      <x:c r="AG1762" s="21" t="n">
        <x:f>SUM(J1762:O1762)</x:f>
        <x:v>1073</x:v>
      </x:c>
      <x:c r="AH1762" s="17" t="n">
        <x:f>SUM(Q1762:S1762)</x:f>
        <x:v>25</x:v>
      </x:c>
      <x:c r="AI1762" s="17" t="n">
        <x:f>SUM(U1762:Y1762)</x:f>
        <x:v>0</x:v>
      </x:c>
      <x:c r="AJ1762" s="17" t="str">
        <x:f>IF(AE1762&lt;=34,"≤34",IF(AE1762&lt;=44,"35–44",IF(AE1762&lt;=54,"45–54",IF(AE1762&lt;=64,"55–64","65+"))))</x:f>
        <x:v>35–44</x:v>
      </x:c>
      <x:c r="AK1762" s="17" t="str">
        <x:f>IF(AG1762&gt;=1000,"High Value",IF(AG1762&gt;=300,"Mid Value","Low Value"))</x:f>
        <x:v>High Value</x:v>
      </x:c>
      <x:c r="AL1762" s="17" t="str">
        <x:f>IF(AND(AI1762&gt;=1,I1762&lt;=50),"Priority 1",IF(AND(AG1762&gt;=1000,I1762&lt;=60),"Priority 2",IF(I1762&lt;=30,"Priority 3","Nurture")))</x:f>
        <x:v>Priority 2</x:v>
      </x:c>
    </x:row>
    <x:row r="1763">
      <x:c r="A1763" s="16" t="n">
        <x:v>4328</x:v>
      </x:c>
      <x:c r="B1763" s="16" t="n">
        <x:v>1986</x:v>
      </x:c>
      <x:c r="C1763" s="16" t="str">
        <x:v>2n Cycle</x:v>
      </x:c>
      <x:c r="D1763" s="16" t="str">
        <x:v>Married</x:v>
      </x:c>
      <x:c r="E1763" s="16" t="n">
        <x:v>21955</x:v>
      </x:c>
      <x:c r="F1763" s="16" t="n">
        <x:v>1</x:v>
      </x:c>
      <x:c r="G1763" s="16" t="n">
        <x:v>0</x:v>
      </x:c>
      <x:c r="H1763" s="16" t="str">
        <x:v>07-09-2013</x:v>
      </x:c>
      <x:c r="I1763" s="16" t="n">
        <x:v>81</x:v>
      </x:c>
      <x:c r="J1763" s="16" t="n">
        <x:v>5</x:v>
      </x:c>
      <x:c r="K1763" s="16" t="n">
        <x:v>1</x:v>
      </x:c>
      <x:c r="L1763" s="16" t="n">
        <x:v>7</x:v>
      </x:c>
      <x:c r="M1763" s="16" t="n">
        <x:v>17</x:v>
      </x:c>
      <x:c r="N1763" s="16" t="n">
        <x:v>14</x:v>
      </x:c>
      <x:c r="O1763" s="16" t="n">
        <x:v>11</x:v>
      </x:c>
      <x:c r="P1763" s="16" t="n">
        <x:v>2</x:v>
      </x:c>
      <x:c r="Q1763" s="16" t="n">
        <x:v>2</x:v>
      </x:c>
      <x:c r="R1763" s="16" t="n">
        <x:v>1</x:v>
      </x:c>
      <x:c r="S1763" s="16" t="n">
        <x:v>3</x:v>
      </x:c>
      <x:c r="T1763" s="16" t="n">
        <x:v>6</x:v>
      </x:c>
      <x:c r="U1763" s="16" t="n">
        <x:v>0</x:v>
      </x:c>
      <x:c r="V1763" s="16" t="n">
        <x:v>0</x:v>
      </x:c>
      <x:c r="W1763" s="16" t="n">
        <x:v>0</x:v>
      </x:c>
      <x:c r="X1763" s="16" t="n">
        <x:v>0</x:v>
      </x:c>
      <x:c r="Y1763" s="16" t="n">
        <x:v>0</x:v>
      </x:c>
      <x:c r="Z1763" s="16" t="n">
        <x:v>0</x:v>
      </x:c>
      <x:c r="AA1763" s="16" t="n">
        <x:v>3</x:v>
      </x:c>
      <x:c r="AB1763" s="16" t="n">
        <x:v>11</x:v>
      </x:c>
      <x:c r="AC1763" s="16" t="n">
        <x:v>0</x:v>
      </x:c>
      <x:c r="AD1763" s="21" t="n">
        <x:f>IF(E1763="",MEDIAN($E$2:$E$2237),E1763)</x:f>
        <x:v>21955</x:v>
      </x:c>
      <x:c r="AE1763" s="17" t="n">
        <x:f>2014-B1763</x:f>
        <x:v>28</x:v>
      </x:c>
      <x:c r="AF1763" s="17" t="n">
        <x:f>F1763+G1763</x:f>
        <x:v>1</x:v>
      </x:c>
      <x:c r="AG1763" s="21" t="n">
        <x:f>SUM(J1763:O1763)</x:f>
        <x:v>55</x:v>
      </x:c>
      <x:c r="AH1763" s="17" t="n">
        <x:f>SUM(Q1763:S1763)</x:f>
        <x:v>6</x:v>
      </x:c>
      <x:c r="AI1763" s="17" t="n">
        <x:f>SUM(U1763:Y1763)</x:f>
        <x:v>0</x:v>
      </x:c>
      <x:c r="AJ1763" s="17" t="str">
        <x:f>IF(AE1763&lt;=34,"≤34",IF(AE1763&lt;=44,"35–44",IF(AE1763&lt;=54,"45–54",IF(AE1763&lt;=64,"55–64","65+"))))</x:f>
        <x:v>≤34</x:v>
      </x:c>
      <x:c r="AK1763" s="17" t="str">
        <x:f>IF(AG1763&gt;=1000,"High Value",IF(AG1763&gt;=300,"Mid Value","Low Value"))</x:f>
        <x:v>Low Value</x:v>
      </x:c>
      <x:c r="AL1763" s="17" t="str">
        <x:f>IF(AND(AI1763&gt;=1,I1763&lt;=50),"Priority 1",IF(AND(AG1763&gt;=1000,I1763&lt;=60),"Priority 2",IF(I1763&lt;=30,"Priority 3","Nurture")))</x:f>
        <x:v>Nurture</x:v>
      </x:c>
    </x:row>
    <x:row r="1764">
      <x:c r="A1764" s="16" t="n">
        <x:v>9167</x:v>
      </x:c>
      <x:c r="B1764" s="16" t="n">
        <x:v>1956</x:v>
      </x:c>
      <x:c r="C1764" s="16" t="str">
        <x:v>Graduation</x:v>
      </x:c>
      <x:c r="D1764" s="16" t="str">
        <x:v>Married</x:v>
      </x:c>
      <x:c r="E1764" s="16" t="n">
        <x:v>67131</x:v>
      </x:c>
      <x:c r="F1764" s="16" t="n">
        <x:v>0</x:v>
      </x:c>
      <x:c r="G1764" s="16" t="n">
        <x:v>1</x:v>
      </x:c>
      <x:c r="H1764" s="16" t="str">
        <x:v>26-03-2013</x:v>
      </x:c>
      <x:c r="I1764" s="16" t="n">
        <x:v>72</x:v>
      </x:c>
      <x:c r="J1764" s="16" t="n">
        <x:v>465</x:v>
      </x:c>
      <x:c r="K1764" s="16" t="n">
        <x:v>71</x:v>
      </x:c>
      <x:c r="L1764" s="16" t="n">
        <x:v>250</x:v>
      </x:c>
      <x:c r="M1764" s="16" t="n">
        <x:v>93</x:v>
      </x:c>
      <x:c r="N1764" s="16" t="n">
        <x:v>35</x:v>
      </x:c>
      <x:c r="O1764" s="16" t="n">
        <x:v>62</x:v>
      </x:c>
      <x:c r="P1764" s="16" t="n">
        <x:v>3</x:v>
      </x:c>
      <x:c r="Q1764" s="16" t="n">
        <x:v>9</x:v>
      </x:c>
      <x:c r="R1764" s="16" t="n">
        <x:v>2</x:v>
      </x:c>
      <x:c r="S1764" s="16" t="n">
        <x:v>12</x:v>
      </x:c>
      <x:c r="T1764" s="16" t="n">
        <x:v>6</x:v>
      </x:c>
      <x:c r="U1764" s="16" t="n">
        <x:v>0</x:v>
      </x:c>
      <x:c r="V1764" s="16" t="n">
        <x:v>0</x:v>
      </x:c>
      <x:c r="W1764" s="16" t="n">
        <x:v>0</x:v>
      </x:c>
      <x:c r="X1764" s="16" t="n">
        <x:v>0</x:v>
      </x:c>
      <x:c r="Y1764" s="16" t="n">
        <x:v>0</x:v>
      </x:c>
      <x:c r="Z1764" s="16" t="n">
        <x:v>0</x:v>
      </x:c>
      <x:c r="AA1764" s="16" t="n">
        <x:v>3</x:v>
      </x:c>
      <x:c r="AB1764" s="16" t="n">
        <x:v>11</x:v>
      </x:c>
      <x:c r="AC1764" s="16" t="n">
        <x:v>0</x:v>
      </x:c>
      <x:c r="AD1764" s="21" t="n">
        <x:f>IF(E1764="",MEDIAN($E$2:$E$2237),E1764)</x:f>
        <x:v>67131</x:v>
      </x:c>
      <x:c r="AE1764" s="17" t="n">
        <x:f>2014-B1764</x:f>
        <x:v>58</x:v>
      </x:c>
      <x:c r="AF1764" s="17" t="n">
        <x:f>F1764+G1764</x:f>
        <x:v>1</x:v>
      </x:c>
      <x:c r="AG1764" s="21" t="n">
        <x:f>SUM(J1764:O1764)</x:f>
        <x:v>976</x:v>
      </x:c>
      <x:c r="AH1764" s="17" t="n">
        <x:f>SUM(Q1764:S1764)</x:f>
        <x:v>23</x:v>
      </x:c>
      <x:c r="AI1764" s="17" t="n">
        <x:f>SUM(U1764:Y1764)</x:f>
        <x:v>0</x:v>
      </x:c>
      <x:c r="AJ1764" s="17" t="str">
        <x:f>IF(AE1764&lt;=34,"≤34",IF(AE1764&lt;=44,"35–44",IF(AE1764&lt;=54,"45–54",IF(AE1764&lt;=64,"55–64","65+"))))</x:f>
        <x:v>55–64</x:v>
      </x:c>
      <x:c r="AK1764" s="17" t="str">
        <x:f>IF(AG1764&gt;=1000,"High Value",IF(AG1764&gt;=300,"Mid Value","Low Value"))</x:f>
        <x:v>Mid Value</x:v>
      </x:c>
      <x:c r="AL1764" s="17" t="str">
        <x:f>IF(AND(AI1764&gt;=1,I1764&lt;=50),"Priority 1",IF(AND(AG1764&gt;=1000,I1764&lt;=60),"Priority 2",IF(I1764&lt;=30,"Priority 3","Nurture")))</x:f>
        <x:v>Nurture</x:v>
      </x:c>
    </x:row>
    <x:row r="1765">
      <x:c r="A1765" s="16" t="n">
        <x:v>10560</x:v>
      </x:c>
      <x:c r="B1765" s="16" t="n">
        <x:v>1980</x:v>
      </x:c>
      <x:c r="C1765" s="16" t="str">
        <x:v>PhD</x:v>
      </x:c>
      <x:c r="D1765" s="16" t="str">
        <x:v>Single</x:v>
      </x:c>
      <x:c r="E1765" s="16" t="n">
        <x:v>36802</x:v>
      </x:c>
      <x:c r="F1765" s="16" t="n">
        <x:v>1</x:v>
      </x:c>
      <x:c r="G1765" s="16" t="n">
        <x:v>0</x:v>
      </x:c>
      <x:c r="H1765" s="16" t="str">
        <x:v>16-06-2014</x:v>
      </x:c>
      <x:c r="I1765" s="16" t="n">
        <x:v>23</x:v>
      </x:c>
      <x:c r="J1765" s="16" t="n">
        <x:v>16</x:v>
      </x:c>
      <x:c r="K1765" s="16" t="n">
        <x:v>1</x:v>
      </x:c>
      <x:c r="L1765" s="16" t="n">
        <x:v>2</x:v>
      </x:c>
      <x:c r="M1765" s="16" t="n">
        <x:v>0</x:v>
      </x:c>
      <x:c r="N1765" s="16" t="n">
        <x:v>0</x:v>
      </x:c>
      <x:c r="O1765" s="16" t="n">
        <x:v>1</x:v>
      </x:c>
      <x:c r="P1765" s="16" t="n">
        <x:v>1</x:v>
      </x:c>
      <x:c r="Q1765" s="16" t="n">
        <x:v>1</x:v>
      </x:c>
      <x:c r="R1765" s="16" t="n">
        <x:v>0</x:v>
      </x:c>
      <x:c r="S1765" s="16" t="n">
        <x:v>3</x:v>
      </x:c>
      <x:c r="T1765" s="16" t="n">
        <x:v>5</x:v>
      </x:c>
      <x:c r="U1765" s="16" t="n">
        <x:v>0</x:v>
      </x:c>
      <x:c r="V1765" s="16" t="n">
        <x:v>0</x:v>
      </x:c>
      <x:c r="W1765" s="16" t="n">
        <x:v>0</x:v>
      </x:c>
      <x:c r="X1765" s="16" t="n">
        <x:v>0</x:v>
      </x:c>
      <x:c r="Y1765" s="16" t="n">
        <x:v>0</x:v>
      </x:c>
      <x:c r="Z1765" s="16" t="n">
        <x:v>0</x:v>
      </x:c>
      <x:c r="AA1765" s="16" t="n">
        <x:v>3</x:v>
      </x:c>
      <x:c r="AB1765" s="16" t="n">
        <x:v>11</x:v>
      </x:c>
      <x:c r="AC1765" s="16" t="n">
        <x:v>0</x:v>
      </x:c>
      <x:c r="AD1765" s="21" t="n">
        <x:f>IF(E1765="",MEDIAN($E$2:$E$2237),E1765)</x:f>
        <x:v>36802</x:v>
      </x:c>
      <x:c r="AE1765" s="17" t="n">
        <x:f>2014-B1765</x:f>
        <x:v>34</x:v>
      </x:c>
      <x:c r="AF1765" s="17" t="n">
        <x:f>F1765+G1765</x:f>
        <x:v>1</x:v>
      </x:c>
      <x:c r="AG1765" s="21" t="n">
        <x:f>SUM(J1765:O1765)</x:f>
        <x:v>20</x:v>
      </x:c>
      <x:c r="AH1765" s="17" t="n">
        <x:f>SUM(Q1765:S1765)</x:f>
        <x:v>4</x:v>
      </x:c>
      <x:c r="AI1765" s="17" t="n">
        <x:f>SUM(U1765:Y1765)</x:f>
        <x:v>0</x:v>
      </x:c>
      <x:c r="AJ1765" s="17" t="str">
        <x:f>IF(AE1765&lt;=34,"≤34",IF(AE1765&lt;=44,"35–44",IF(AE1765&lt;=54,"45–54",IF(AE1765&lt;=64,"55–64","65+"))))</x:f>
        <x:v>≤34</x:v>
      </x:c>
      <x:c r="AK1765" s="17" t="str">
        <x:f>IF(AG1765&gt;=1000,"High Value",IF(AG1765&gt;=300,"Mid Value","Low Value"))</x:f>
        <x:v>Low Value</x:v>
      </x:c>
      <x:c r="AL1765" s="17" t="str">
        <x:f>IF(AND(AI1765&gt;=1,I1765&lt;=50),"Priority 1",IF(AND(AG1765&gt;=1000,I1765&lt;=60),"Priority 2",IF(I1765&lt;=30,"Priority 3","Nurture")))</x:f>
        <x:v>Priority 3</x:v>
      </x:c>
    </x:row>
    <x:row r="1766">
      <x:c r="A1766" s="16" t="n">
        <x:v>2631</x:v>
      </x:c>
      <x:c r="B1766" s="16" t="n">
        <x:v>1982</x:v>
      </x:c>
      <x:c r="C1766" s="16" t="str">
        <x:v>Graduation</x:v>
      </x:c>
      <x:c r="D1766" s="16" t="str">
        <x:v>Together</x:v>
      </x:c>
      <x:c r="E1766" s="16" t="n">
        <x:v>71853</x:v>
      </x:c>
      <x:c r="F1766" s="16" t="n">
        <x:v>0</x:v>
      </x:c>
      <x:c r="G1766" s="16" t="n">
        <x:v>0</x:v>
      </x:c>
      <x:c r="H1766" s="16" t="str">
        <x:v>08-05-2013</x:v>
      </x:c>
      <x:c r="I1766" s="16" t="n">
        <x:v>29</x:v>
      </x:c>
      <x:c r="J1766" s="16" t="n">
        <x:v>358</x:v>
      </x:c>
      <x:c r="K1766" s="16" t="n">
        <x:v>108</x:v>
      </x:c>
      <x:c r="L1766" s="16" t="n">
        <x:v>413</x:v>
      </x:c>
      <x:c r="M1766" s="16" t="n">
        <x:v>141</x:v>
      </x:c>
      <x:c r="N1766" s="16" t="n">
        <x:v>97</x:v>
      </x:c>
      <x:c r="O1766" s="16" t="n">
        <x:v>32</x:v>
      </x:c>
      <x:c r="P1766" s="16" t="n">
        <x:v>1</x:v>
      </x:c>
      <x:c r="Q1766" s="16" t="n">
        <x:v>2</x:v>
      </x:c>
      <x:c r="R1766" s="16" t="n">
        <x:v>8</x:v>
      </x:c>
      <x:c r="S1766" s="16" t="n">
        <x:v>6</x:v>
      </x:c>
      <x:c r="T1766" s="16" t="n">
        <x:v>1</x:v>
      </x:c>
      <x:c r="U1766" s="16" t="n">
        <x:v>0</x:v>
      </x:c>
      <x:c r="V1766" s="16" t="n">
        <x:v>0</x:v>
      </x:c>
      <x:c r="W1766" s="16" t="n">
        <x:v>0</x:v>
      </x:c>
      <x:c r="X1766" s="16" t="n">
        <x:v>0</x:v>
      </x:c>
      <x:c r="Y1766" s="16" t="n">
        <x:v>0</x:v>
      </x:c>
      <x:c r="Z1766" s="16" t="n">
        <x:v>0</x:v>
      </x:c>
      <x:c r="AA1766" s="16" t="n">
        <x:v>3</x:v>
      </x:c>
      <x:c r="AB1766" s="16" t="n">
        <x:v>11</x:v>
      </x:c>
      <x:c r="AC1766" s="16" t="n">
        <x:v>0</x:v>
      </x:c>
      <x:c r="AD1766" s="21" t="n">
        <x:f>IF(E1766="",MEDIAN($E$2:$E$2237),E1766)</x:f>
        <x:v>71853</x:v>
      </x:c>
      <x:c r="AE1766" s="17" t="n">
        <x:f>2014-B1766</x:f>
        <x:v>32</x:v>
      </x:c>
      <x:c r="AF1766" s="17" t="n">
        <x:f>F1766+G1766</x:f>
        <x:v>0</x:v>
      </x:c>
      <x:c r="AG1766" s="21" t="n">
        <x:f>SUM(J1766:O1766)</x:f>
        <x:v>1149</x:v>
      </x:c>
      <x:c r="AH1766" s="17" t="n">
        <x:f>SUM(Q1766:S1766)</x:f>
        <x:v>16</x:v>
      </x:c>
      <x:c r="AI1766" s="17" t="n">
        <x:f>SUM(U1766:Y1766)</x:f>
        <x:v>0</x:v>
      </x:c>
      <x:c r="AJ1766" s="17" t="str">
        <x:f>IF(AE1766&lt;=34,"≤34",IF(AE1766&lt;=44,"35–44",IF(AE1766&lt;=54,"45–54",IF(AE1766&lt;=64,"55–64","65+"))))</x:f>
        <x:v>≤34</x:v>
      </x:c>
      <x:c r="AK1766" s="17" t="str">
        <x:f>IF(AG1766&gt;=1000,"High Value",IF(AG1766&gt;=300,"Mid Value","Low Value"))</x:f>
        <x:v>High Value</x:v>
      </x:c>
      <x:c r="AL1766" s="17" t="str">
        <x:f>IF(AND(AI1766&gt;=1,I1766&lt;=50),"Priority 1",IF(AND(AG1766&gt;=1000,I1766&lt;=60),"Priority 2",IF(I1766&lt;=30,"Priority 3","Nurture")))</x:f>
        <x:v>Priority 2</x:v>
      </x:c>
    </x:row>
    <x:row r="1767">
      <x:c r="A1767" s="16" t="n">
        <x:v>8312</x:v>
      </x:c>
      <x:c r="B1767" s="16" t="n">
        <x:v>1961</x:v>
      </x:c>
      <x:c r="C1767" s="16" t="str">
        <x:v>Basic</x:v>
      </x:c>
      <x:c r="D1767" s="16" t="str">
        <x:v>Married</x:v>
      </x:c>
      <x:c r="E1767" s="16" t="n">
        <x:v>28249</x:v>
      </x:c>
      <x:c r="F1767" s="16" t="n">
        <x:v>0</x:v>
      </x:c>
      <x:c r="G1767" s="16" t="n">
        <x:v>0</x:v>
      </x:c>
      <x:c r="H1767" s="16" t="str">
        <x:v>15-06-2014</x:v>
      </x:c>
      <x:c r="I1767" s="16" t="n">
        <x:v>80</x:v>
      </x:c>
      <x:c r="J1767" s="16" t="n">
        <x:v>1</x:v>
      </x:c>
      <x:c r="K1767" s="16" t="n">
        <x:v>9</x:v>
      </x:c>
      <x:c r="L1767" s="16" t="n">
        <x:v>7</x:v>
      </x:c>
      <x:c r="M1767" s="16" t="n">
        <x:v>2</x:v>
      </x:c>
      <x:c r="N1767" s="16" t="n">
        <x:v>14</x:v>
      </x:c>
      <x:c r="O1767" s="16" t="n">
        <x:v>10</x:v>
      </x:c>
      <x:c r="P1767" s="16" t="n">
        <x:v>1</x:v>
      </x:c>
      <x:c r="Q1767" s="16" t="n">
        <x:v>2</x:v>
      </x:c>
      <x:c r="R1767" s="16" t="n">
        <x:v>0</x:v>
      </x:c>
      <x:c r="S1767" s="16" t="n">
        <x:v>3</x:v>
      </x:c>
      <x:c r="T1767" s="16" t="n">
        <x:v>6</x:v>
      </x:c>
      <x:c r="U1767" s="16" t="n">
        <x:v>0</x:v>
      </x:c>
      <x:c r="V1767" s="16" t="n">
        <x:v>0</x:v>
      </x:c>
      <x:c r="W1767" s="16" t="n">
        <x:v>0</x:v>
      </x:c>
      <x:c r="X1767" s="16" t="n">
        <x:v>0</x:v>
      </x:c>
      <x:c r="Y1767" s="16" t="n">
        <x:v>0</x:v>
      </x:c>
      <x:c r="Z1767" s="16" t="n">
        <x:v>0</x:v>
      </x:c>
      <x:c r="AA1767" s="16" t="n">
        <x:v>3</x:v>
      </x:c>
      <x:c r="AB1767" s="16" t="n">
        <x:v>11</x:v>
      </x:c>
      <x:c r="AC1767" s="16" t="n">
        <x:v>0</x:v>
      </x:c>
      <x:c r="AD1767" s="21" t="n">
        <x:f>IF(E1767="",MEDIAN($E$2:$E$2237),E1767)</x:f>
        <x:v>28249</x:v>
      </x:c>
      <x:c r="AE1767" s="17" t="n">
        <x:f>2014-B1767</x:f>
        <x:v>53</x:v>
      </x:c>
      <x:c r="AF1767" s="17" t="n">
        <x:f>F1767+G1767</x:f>
        <x:v>0</x:v>
      </x:c>
      <x:c r="AG1767" s="21" t="n">
        <x:f>SUM(J1767:O1767)</x:f>
        <x:v>43</x:v>
      </x:c>
      <x:c r="AH1767" s="17" t="n">
        <x:f>SUM(Q1767:S1767)</x:f>
        <x:v>5</x:v>
      </x:c>
      <x:c r="AI1767" s="17" t="n">
        <x:f>SUM(U1767:Y1767)</x:f>
        <x:v>0</x:v>
      </x:c>
      <x:c r="AJ1767" s="17" t="str">
        <x:f>IF(AE1767&lt;=34,"≤34",IF(AE1767&lt;=44,"35–44",IF(AE1767&lt;=54,"45–54",IF(AE1767&lt;=64,"55–64","65+"))))</x:f>
        <x:v>45–54</x:v>
      </x:c>
      <x:c r="AK1767" s="17" t="str">
        <x:f>IF(AG1767&gt;=1000,"High Value",IF(AG1767&gt;=300,"Mid Value","Low Value"))</x:f>
        <x:v>Low Value</x:v>
      </x:c>
      <x:c r="AL1767" s="17" t="str">
        <x:f>IF(AND(AI1767&gt;=1,I1767&lt;=50),"Priority 1",IF(AND(AG1767&gt;=1000,I1767&lt;=60),"Priority 2",IF(I1767&lt;=30,"Priority 3","Nurture")))</x:f>
        <x:v>Nurture</x:v>
      </x:c>
    </x:row>
    <x:row r="1768">
      <x:c r="A1768" s="16" t="n">
        <x:v>5534</x:v>
      </x:c>
      <x:c r="B1768" s="16" t="n">
        <x:v>1975</x:v>
      </x:c>
      <x:c r="C1768" s="16" t="str">
        <x:v>Master</x:v>
      </x:c>
      <x:c r="D1768" s="16" t="str">
        <x:v>Married</x:v>
      </x:c>
      <x:c r="E1768" s="16" t="n">
        <x:v>47808</x:v>
      </x:c>
      <x:c r="F1768" s="16" t="n">
        <x:v>0</x:v>
      </x:c>
      <x:c r="G1768" s="16" t="n">
        <x:v>1</x:v>
      </x:c>
      <x:c r="H1768" s="16" t="str">
        <x:v>20-10-2013</x:v>
      </x:c>
      <x:c r="I1768" s="16" t="n">
        <x:v>30</x:v>
      </x:c>
      <x:c r="J1768" s="16" t="n">
        <x:v>123</x:v>
      </x:c>
      <x:c r="K1768" s="16" t="n">
        <x:v>1</x:v>
      </x:c>
      <x:c r="L1768" s="16" t="n">
        <x:v>26</x:v>
      </x:c>
      <x:c r="M1768" s="16" t="n">
        <x:v>2</x:v>
      </x:c>
      <x:c r="N1768" s="16" t="n">
        <x:v>0</x:v>
      </x:c>
      <x:c r="O1768" s="16" t="n">
        <x:v>72</x:v>
      </x:c>
      <x:c r="P1768" s="16" t="n">
        <x:v>2</x:v>
      </x:c>
      <x:c r="Q1768" s="16" t="n">
        <x:v>3</x:v>
      </x:c>
      <x:c r="R1768" s="16" t="n">
        <x:v>2</x:v>
      </x:c>
      <x:c r="S1768" s="16" t="n">
        <x:v>3</x:v>
      </x:c>
      <x:c r="T1768" s="16" t="n">
        <x:v>7</x:v>
      </x:c>
      <x:c r="U1768" s="16" t="n">
        <x:v>1</x:v>
      </x:c>
      <x:c r="V1768" s="16" t="n">
        <x:v>0</x:v>
      </x:c>
      <x:c r="W1768" s="16" t="n">
        <x:v>0</x:v>
      </x:c>
      <x:c r="X1768" s="16" t="n">
        <x:v>0</x:v>
      </x:c>
      <x:c r="Y1768" s="16" t="n">
        <x:v>0</x:v>
      </x:c>
      <x:c r="Z1768" s="16" t="n">
        <x:v>0</x:v>
      </x:c>
      <x:c r="AA1768" s="16" t="n">
        <x:v>3</x:v>
      </x:c>
      <x:c r="AB1768" s="16" t="n">
        <x:v>11</x:v>
      </x:c>
      <x:c r="AC1768" s="16" t="n">
        <x:v>0</x:v>
      </x:c>
      <x:c r="AD1768" s="21" t="n">
        <x:f>IF(E1768="",MEDIAN($E$2:$E$2237),E1768)</x:f>
        <x:v>47808</x:v>
      </x:c>
      <x:c r="AE1768" s="17" t="n">
        <x:f>2014-B1768</x:f>
        <x:v>39</x:v>
      </x:c>
      <x:c r="AF1768" s="17" t="n">
        <x:f>F1768+G1768</x:f>
        <x:v>1</x:v>
      </x:c>
      <x:c r="AG1768" s="21" t="n">
        <x:f>SUM(J1768:O1768)</x:f>
        <x:v>224</x:v>
      </x:c>
      <x:c r="AH1768" s="17" t="n">
        <x:f>SUM(Q1768:S1768)</x:f>
        <x:v>8</x:v>
      </x:c>
      <x:c r="AI1768" s="17" t="n">
        <x:f>SUM(U1768:Y1768)</x:f>
        <x:v>1</x:v>
      </x:c>
      <x:c r="AJ1768" s="17" t="str">
        <x:f>IF(AE1768&lt;=34,"≤34",IF(AE1768&lt;=44,"35–44",IF(AE1768&lt;=54,"45–54",IF(AE1768&lt;=64,"55–64","65+"))))</x:f>
        <x:v>35–44</x:v>
      </x:c>
      <x:c r="AK1768" s="17" t="str">
        <x:f>IF(AG1768&gt;=1000,"High Value",IF(AG1768&gt;=300,"Mid Value","Low Value"))</x:f>
        <x:v>Low Value</x:v>
      </x:c>
      <x:c r="AL1768" s="17" t="str">
        <x:f>IF(AND(AI1768&gt;=1,I1768&lt;=50),"Priority 1",IF(AND(AG1768&gt;=1000,I1768&lt;=60),"Priority 2",IF(I1768&lt;=30,"Priority 3","Nurture")))</x:f>
        <x:v>Priority 1</x:v>
      </x:c>
    </x:row>
    <x:row r="1769">
      <x:c r="A1769" s="16" t="n">
        <x:v>5093</x:v>
      </x:c>
      <x:c r="B1769" s="16" t="n">
        <x:v>1974</x:v>
      </x:c>
      <x:c r="C1769" s="16" t="str">
        <x:v>PhD</x:v>
      </x:c>
      <x:c r="D1769" s="16" t="str">
        <x:v>Divorced</x:v>
      </x:c>
      <x:c r="E1769" s="16" t="n">
        <x:v>25509</x:v>
      </x:c>
      <x:c r="F1769" s="16" t="n">
        <x:v>1</x:v>
      </x:c>
      <x:c r="G1769" s="16" t="n">
        <x:v>0</x:v>
      </x:c>
      <x:c r="H1769" s="16" t="str">
        <x:v>18-09-2012</x:v>
      </x:c>
      <x:c r="I1769" s="16" t="n">
        <x:v>15</x:v>
      </x:c>
      <x:c r="J1769" s="16" t="n">
        <x:v>40</x:v>
      </x:c>
      <x:c r="K1769" s="16" t="n">
        <x:v>3</x:v>
      </x:c>
      <x:c r="L1769" s="16" t="n">
        <x:v>30</x:v>
      </x:c>
      <x:c r="M1769" s="16" t="n">
        <x:v>10</x:v>
      </x:c>
      <x:c r="N1769" s="16" t="n">
        <x:v>7</x:v>
      </x:c>
      <x:c r="O1769" s="16" t="n">
        <x:v>11</x:v>
      </x:c>
      <x:c r="P1769" s="16" t="n">
        <x:v>3</x:v>
      </x:c>
      <x:c r="Q1769" s="16" t="n">
        <x:v>3</x:v>
      </x:c>
      <x:c r="R1769" s="16" t="n">
        <x:v>0</x:v>
      </x:c>
      <x:c r="S1769" s="16" t="n">
        <x:v>3</x:v>
      </x:c>
      <x:c r="T1769" s="16" t="n">
        <x:v>9</x:v>
      </x:c>
      <x:c r="U1769" s="16" t="n">
        <x:v>0</x:v>
      </x:c>
      <x:c r="V1769" s="16" t="n">
        <x:v>0</x:v>
      </x:c>
      <x:c r="W1769" s="16" t="n">
        <x:v>0</x:v>
      </x:c>
      <x:c r="X1769" s="16" t="n">
        <x:v>0</x:v>
      </x:c>
      <x:c r="Y1769" s="16" t="n">
        <x:v>0</x:v>
      </x:c>
      <x:c r="Z1769" s="16" t="n">
        <x:v>0</x:v>
      </x:c>
      <x:c r="AA1769" s="16" t="n">
        <x:v>3</x:v>
      </x:c>
      <x:c r="AB1769" s="16" t="n">
        <x:v>11</x:v>
      </x:c>
      <x:c r="AC1769" s="16" t="n">
        <x:v>1</x:v>
      </x:c>
      <x:c r="AD1769" s="21" t="n">
        <x:f>IF(E1769="",MEDIAN($E$2:$E$2237),E1769)</x:f>
        <x:v>25509</x:v>
      </x:c>
      <x:c r="AE1769" s="17" t="n">
        <x:f>2014-B1769</x:f>
        <x:v>40</x:v>
      </x:c>
      <x:c r="AF1769" s="17" t="n">
        <x:f>F1769+G1769</x:f>
        <x:v>1</x:v>
      </x:c>
      <x:c r="AG1769" s="21" t="n">
        <x:f>SUM(J1769:O1769)</x:f>
        <x:v>101</x:v>
      </x:c>
      <x:c r="AH1769" s="17" t="n">
        <x:f>SUM(Q1769:S1769)</x:f>
        <x:v>6</x:v>
      </x:c>
      <x:c r="AI1769" s="17" t="n">
        <x:f>SUM(U1769:Y1769)</x:f>
        <x:v>0</x:v>
      </x:c>
      <x:c r="AJ1769" s="17" t="str">
        <x:f>IF(AE1769&lt;=34,"≤34",IF(AE1769&lt;=44,"35–44",IF(AE1769&lt;=54,"45–54",IF(AE1769&lt;=64,"55–64","65+"))))</x:f>
        <x:v>35–44</x:v>
      </x:c>
      <x:c r="AK1769" s="17" t="str">
        <x:f>IF(AG1769&gt;=1000,"High Value",IF(AG1769&gt;=300,"Mid Value","Low Value"))</x:f>
        <x:v>Low Value</x:v>
      </x:c>
      <x:c r="AL1769" s="17" t="str">
        <x:f>IF(AND(AI1769&gt;=1,I1769&lt;=50),"Priority 1",IF(AND(AG1769&gt;=1000,I1769&lt;=60),"Priority 2",IF(I1769&lt;=30,"Priority 3","Nurture")))</x:f>
        <x:v>Priority 3</x:v>
      </x:c>
    </x:row>
    <x:row r="1770">
      <x:c r="A1770" s="16" t="n">
        <x:v>7592</x:v>
      </x:c>
      <x:c r="B1770" s="16" t="n">
        <x:v>1946</x:v>
      </x:c>
      <x:c r="C1770" s="16" t="str">
        <x:v>PhD</x:v>
      </x:c>
      <x:c r="D1770" s="16" t="str">
        <x:v>Married</x:v>
      </x:c>
      <x:c r="E1770" s="16" t="n">
        <x:v>51012</x:v>
      </x:c>
      <x:c r="F1770" s="16" t="n">
        <x:v>0</x:v>
      </x:c>
      <x:c r="G1770" s="16" t="n">
        <x:v>0</x:v>
      </x:c>
      <x:c r="H1770" s="16" t="str">
        <x:v>18-04-2013</x:v>
      </x:c>
      <x:c r="I1770" s="16" t="n">
        <x:v>86</x:v>
      </x:c>
      <x:c r="J1770" s="16" t="n">
        <x:v>102</x:v>
      </x:c>
      <x:c r="K1770" s="16" t="n">
        <x:v>9</x:v>
      </x:c>
      <x:c r="L1770" s="16" t="n">
        <x:v>63</x:v>
      </x:c>
      <x:c r="M1770" s="16" t="n">
        <x:v>2</x:v>
      </x:c>
      <x:c r="N1770" s="16" t="n">
        <x:v>9</x:v>
      </x:c>
      <x:c r="O1770" s="16" t="n">
        <x:v>24</x:v>
      </x:c>
      <x:c r="P1770" s="16" t="n">
        <x:v>1</x:v>
      </x:c>
      <x:c r="Q1770" s="16" t="n">
        <x:v>4</x:v>
      </x:c>
      <x:c r="R1770" s="16" t="n">
        <x:v>1</x:v>
      </x:c>
      <x:c r="S1770" s="16" t="n">
        <x:v>4</x:v>
      </x:c>
      <x:c r="T1770" s="16" t="n">
        <x:v>6</x:v>
      </x:c>
      <x:c r="U1770" s="16" t="n">
        <x:v>0</x:v>
      </x:c>
      <x:c r="V1770" s="16" t="n">
        <x:v>0</x:v>
      </x:c>
      <x:c r="W1770" s="16" t="n">
        <x:v>0</x:v>
      </x:c>
      <x:c r="X1770" s="16" t="n">
        <x:v>0</x:v>
      </x:c>
      <x:c r="Y1770" s="16" t="n">
        <x:v>0</x:v>
      </x:c>
      <x:c r="Z1770" s="16" t="n">
        <x:v>0</x:v>
      </x:c>
      <x:c r="AA1770" s="16" t="n">
        <x:v>3</x:v>
      </x:c>
      <x:c r="AB1770" s="16" t="n">
        <x:v>11</x:v>
      </x:c>
      <x:c r="AC1770" s="16" t="n">
        <x:v>0</x:v>
      </x:c>
      <x:c r="AD1770" s="21" t="n">
        <x:f>IF(E1770="",MEDIAN($E$2:$E$2237),E1770)</x:f>
        <x:v>51012</x:v>
      </x:c>
      <x:c r="AE1770" s="17" t="n">
        <x:f>2014-B1770</x:f>
        <x:v>68</x:v>
      </x:c>
      <x:c r="AF1770" s="17" t="n">
        <x:f>F1770+G1770</x:f>
        <x:v>0</x:v>
      </x:c>
      <x:c r="AG1770" s="21" t="n">
        <x:f>SUM(J1770:O1770)</x:f>
        <x:v>209</x:v>
      </x:c>
      <x:c r="AH1770" s="17" t="n">
        <x:f>SUM(Q1770:S1770)</x:f>
        <x:v>9</x:v>
      </x:c>
      <x:c r="AI1770" s="17" t="n">
        <x:f>SUM(U1770:Y1770)</x:f>
        <x:v>0</x:v>
      </x:c>
      <x:c r="AJ1770" s="17" t="str">
        <x:f>IF(AE1770&lt;=34,"≤34",IF(AE1770&lt;=44,"35–44",IF(AE1770&lt;=54,"45–54",IF(AE1770&lt;=64,"55–64","65+"))))</x:f>
        <x:v>65+</x:v>
      </x:c>
      <x:c r="AK1770" s="17" t="str">
        <x:f>IF(AG1770&gt;=1000,"High Value",IF(AG1770&gt;=300,"Mid Value","Low Value"))</x:f>
        <x:v>Low Value</x:v>
      </x:c>
      <x:c r="AL1770" s="17" t="str">
        <x:f>IF(AND(AI1770&gt;=1,I1770&lt;=50),"Priority 1",IF(AND(AG1770&gt;=1000,I1770&lt;=60),"Priority 2",IF(I1770&lt;=30,"Priority 3","Nurture")))</x:f>
        <x:v>Nurture</x:v>
      </x:c>
    </x:row>
    <x:row r="1771">
      <x:c r="A1771" s="16" t="n">
        <x:v>8895</x:v>
      </x:c>
      <x:c r="B1771" s="16" t="n">
        <x:v>1985</x:v>
      </x:c>
      <x:c r="C1771" s="16" t="str">
        <x:v>Graduation</x:v>
      </x:c>
      <x:c r="D1771" s="16" t="str">
        <x:v>Single</x:v>
      </x:c>
      <x:c r="E1771" s="16" t="n">
        <x:v>70596</x:v>
      </x:c>
      <x:c r="F1771" s="16" t="n">
        <x:v>0</x:v>
      </x:c>
      <x:c r="G1771" s="16" t="n">
        <x:v>0</x:v>
      </x:c>
      <x:c r="H1771" s="16" t="str">
        <x:v>05-10-2012</x:v>
      </x:c>
      <x:c r="I1771" s="16" t="n">
        <x:v>68</x:v>
      </x:c>
      <x:c r="J1771" s="16" t="n">
        <x:v>347</x:v>
      </x:c>
      <x:c r="K1771" s="16" t="n">
        <x:v>44</x:v>
      </x:c>
      <x:c r="L1771" s="16" t="n">
        <x:v>534</x:v>
      </x:c>
      <x:c r="M1771" s="16" t="n">
        <x:v>17</x:v>
      </x:c>
      <x:c r="N1771" s="16" t="n">
        <x:v>0</x:v>
      </x:c>
      <x:c r="O1771" s="16" t="n">
        <x:v>26</x:v>
      </x:c>
      <x:c r="P1771" s="16" t="n">
        <x:v>1</x:v>
      </x:c>
      <x:c r="Q1771" s="16" t="n">
        <x:v>3</x:v>
      </x:c>
      <x:c r="R1771" s="16" t="n">
        <x:v>5</x:v>
      </x:c>
      <x:c r="S1771" s="16" t="n">
        <x:v>12</x:v>
      </x:c>
      <x:c r="T1771" s="16" t="n">
        <x:v>2</x:v>
      </x:c>
      <x:c r="U1771" s="16" t="n">
        <x:v>0</x:v>
      </x:c>
      <x:c r="V1771" s="16" t="n">
        <x:v>0</x:v>
      </x:c>
      <x:c r="W1771" s="16" t="n">
        <x:v>0</x:v>
      </x:c>
      <x:c r="X1771" s="16" t="n">
        <x:v>0</x:v>
      </x:c>
      <x:c r="Y1771" s="16" t="n">
        <x:v>0</x:v>
      </x:c>
      <x:c r="Z1771" s="16" t="n">
        <x:v>0</x:v>
      </x:c>
      <x:c r="AA1771" s="16" t="n">
        <x:v>3</x:v>
      </x:c>
      <x:c r="AB1771" s="16" t="n">
        <x:v>11</x:v>
      </x:c>
      <x:c r="AC1771" s="16" t="n">
        <x:v>0</x:v>
      </x:c>
      <x:c r="AD1771" s="21" t="n">
        <x:f>IF(E1771="",MEDIAN($E$2:$E$2237),E1771)</x:f>
        <x:v>70596</x:v>
      </x:c>
      <x:c r="AE1771" s="17" t="n">
        <x:f>2014-B1771</x:f>
        <x:v>29</x:v>
      </x:c>
      <x:c r="AF1771" s="17" t="n">
        <x:f>F1771+G1771</x:f>
        <x:v>0</x:v>
      </x:c>
      <x:c r="AG1771" s="21" t="n">
        <x:f>SUM(J1771:O1771)</x:f>
        <x:v>968</x:v>
      </x:c>
      <x:c r="AH1771" s="17" t="n">
        <x:f>SUM(Q1771:S1771)</x:f>
        <x:v>20</x:v>
      </x:c>
      <x:c r="AI1771" s="17" t="n">
        <x:f>SUM(U1771:Y1771)</x:f>
        <x:v>0</x:v>
      </x:c>
      <x:c r="AJ1771" s="17" t="str">
        <x:f>IF(AE1771&lt;=34,"≤34",IF(AE1771&lt;=44,"35–44",IF(AE1771&lt;=54,"45–54",IF(AE1771&lt;=64,"55–64","65+"))))</x:f>
        <x:v>≤34</x:v>
      </x:c>
      <x:c r="AK1771" s="17" t="str">
        <x:f>IF(AG1771&gt;=1000,"High Value",IF(AG1771&gt;=300,"Mid Value","Low Value"))</x:f>
        <x:v>Mid Value</x:v>
      </x:c>
      <x:c r="AL1771" s="17" t="str">
        <x:f>IF(AND(AI1771&gt;=1,I1771&lt;=50),"Priority 1",IF(AND(AG1771&gt;=1000,I1771&lt;=60),"Priority 2",IF(I1771&lt;=30,"Priority 3","Nurture")))</x:f>
        <x:v>Nurture</x:v>
      </x:c>
    </x:row>
    <x:row r="1772">
      <x:c r="A1772" s="16" t="n">
        <x:v>8584</x:v>
      </x:c>
      <x:c r="B1772" s="16" t="n">
        <x:v>1952</x:v>
      </x:c>
      <x:c r="C1772" s="16" t="str">
        <x:v>PhD</x:v>
      </x:c>
      <x:c r="D1772" s="16" t="str">
        <x:v>Together</x:v>
      </x:c>
      <x:c r="E1772" s="16" t="n">
        <x:v>85431</x:v>
      </x:c>
      <x:c r="F1772" s="16" t="n">
        <x:v>0</x:v>
      </x:c>
      <x:c r="G1772" s="16" t="n">
        <x:v>0</x:v>
      </x:c>
      <x:c r="H1772" s="16" t="str">
        <x:v>08-06-2013</x:v>
      </x:c>
      <x:c r="I1772" s="16" t="n">
        <x:v>54</x:v>
      </x:c>
      <x:c r="J1772" s="16" t="n">
        <x:v>376</x:v>
      </x:c>
      <x:c r="K1772" s="16" t="n">
        <x:v>53</x:v>
      </x:c>
      <x:c r="L1772" s="16" t="n">
        <x:v>462</x:v>
      </x:c>
      <x:c r="M1772" s="16" t="n">
        <x:v>168</x:v>
      </x:c>
      <x:c r="N1772" s="16" t="n">
        <x:v>53</x:v>
      </x:c>
      <x:c r="O1772" s="16" t="n">
        <x:v>53</x:v>
      </x:c>
      <x:c r="P1772" s="16" t="n">
        <x:v>1</x:v>
      </x:c>
      <x:c r="Q1772" s="16" t="n">
        <x:v>2</x:v>
      </x:c>
      <x:c r="R1772" s="16" t="n">
        <x:v>7</x:v>
      </x:c>
      <x:c r="S1772" s="16" t="n">
        <x:v>7</x:v>
      </x:c>
      <x:c r="T1772" s="16" t="n">
        <x:v>0</x:v>
      </x:c>
      <x:c r="U1772" s="16" t="n">
        <x:v>0</x:v>
      </x:c>
      <x:c r="V1772" s="16" t="n">
        <x:v>0</x:v>
      </x:c>
      <x:c r="W1772" s="16" t="n">
        <x:v>0</x:v>
      </x:c>
      <x:c r="X1772" s="16" t="n">
        <x:v>0</x:v>
      </x:c>
      <x:c r="Y1772" s="16" t="n">
        <x:v>0</x:v>
      </x:c>
      <x:c r="Z1772" s="16" t="n">
        <x:v>0</x:v>
      </x:c>
      <x:c r="AA1772" s="16" t="n">
        <x:v>3</x:v>
      </x:c>
      <x:c r="AB1772" s="16" t="n">
        <x:v>11</x:v>
      </x:c>
      <x:c r="AC1772" s="16" t="n">
        <x:v>0</x:v>
      </x:c>
      <x:c r="AD1772" s="21" t="n">
        <x:f>IF(E1772="",MEDIAN($E$2:$E$2237),E1772)</x:f>
        <x:v>85431</x:v>
      </x:c>
      <x:c r="AE1772" s="17" t="n">
        <x:f>2014-B1772</x:f>
        <x:v>62</x:v>
      </x:c>
      <x:c r="AF1772" s="17" t="n">
        <x:f>F1772+G1772</x:f>
        <x:v>0</x:v>
      </x:c>
      <x:c r="AG1772" s="21" t="n">
        <x:f>SUM(J1772:O1772)</x:f>
        <x:v>1165</x:v>
      </x:c>
      <x:c r="AH1772" s="17" t="n">
        <x:f>SUM(Q1772:S1772)</x:f>
        <x:v>16</x:v>
      </x:c>
      <x:c r="AI1772" s="17" t="n">
        <x:f>SUM(U1772:Y1772)</x:f>
        <x:v>0</x:v>
      </x:c>
      <x:c r="AJ1772" s="17" t="str">
        <x:f>IF(AE1772&lt;=34,"≤34",IF(AE1772&lt;=44,"35–44",IF(AE1772&lt;=54,"45–54",IF(AE1772&lt;=64,"55–64","65+"))))</x:f>
        <x:v>55–64</x:v>
      </x:c>
      <x:c r="AK1772" s="17" t="str">
        <x:f>IF(AG1772&gt;=1000,"High Value",IF(AG1772&gt;=300,"Mid Value","Low Value"))</x:f>
        <x:v>High Value</x:v>
      </x:c>
      <x:c r="AL1772" s="17" t="str">
        <x:f>IF(AND(AI1772&gt;=1,I1772&lt;=50),"Priority 1",IF(AND(AG1772&gt;=1000,I1772&lt;=60),"Priority 2",IF(I1772&lt;=30,"Priority 3","Nurture")))</x:f>
        <x:v>Priority 2</x:v>
      </x:c>
    </x:row>
    <x:row r="1773">
      <x:c r="A1773" s="16" t="n">
        <x:v>2694</x:v>
      </x:c>
      <x:c r="B1773" s="16" t="n">
        <x:v>1967</x:v>
      </x:c>
      <x:c r="C1773" s="16" t="str">
        <x:v>Graduation</x:v>
      </x:c>
      <x:c r="D1773" s="16" t="str">
        <x:v>Married</x:v>
      </x:c>
      <x:c r="E1773" s="16" t="n">
        <x:v>42664</x:v>
      </x:c>
      <x:c r="F1773" s="16" t="n">
        <x:v>0</x:v>
      </x:c>
      <x:c r="G1773" s="16" t="n">
        <x:v>1</x:v>
      </x:c>
      <x:c r="H1773" s="16" t="str">
        <x:v>18-03-2014</x:v>
      </x:c>
      <x:c r="I1773" s="16" t="n">
        <x:v>44</x:v>
      </x:c>
      <x:c r="J1773" s="16" t="n">
        <x:v>21</x:v>
      </x:c>
      <x:c r="K1773" s="16" t="n">
        <x:v>0</x:v>
      </x:c>
      <x:c r="L1773" s="16" t="n">
        <x:v>3</x:v>
      </x:c>
      <x:c r="M1773" s="16" t="n">
        <x:v>0</x:v>
      </x:c>
      <x:c r="N1773" s="16" t="n">
        <x:v>0</x:v>
      </x:c>
      <x:c r="O1773" s="16" t="n">
        <x:v>0</x:v>
      </x:c>
      <x:c r="P1773" s="16" t="n">
        <x:v>1</x:v>
      </x:c>
      <x:c r="Q1773" s="16" t="n">
        <x:v>1</x:v>
      </x:c>
      <x:c r="R1773" s="16" t="n">
        <x:v>0</x:v>
      </x:c>
      <x:c r="S1773" s="16" t="n">
        <x:v>3</x:v>
      </x:c>
      <x:c r="T1773" s="16" t="n">
        <x:v>6</x:v>
      </x:c>
      <x:c r="U1773" s="16" t="n">
        <x:v>0</x:v>
      </x:c>
      <x:c r="V1773" s="16" t="n">
        <x:v>0</x:v>
      </x:c>
      <x:c r="W1773" s="16" t="n">
        <x:v>0</x:v>
      </x:c>
      <x:c r="X1773" s="16" t="n">
        <x:v>0</x:v>
      </x:c>
      <x:c r="Y1773" s="16" t="n">
        <x:v>0</x:v>
      </x:c>
      <x:c r="Z1773" s="16" t="n">
        <x:v>0</x:v>
      </x:c>
      <x:c r="AA1773" s="16" t="n">
        <x:v>3</x:v>
      </x:c>
      <x:c r="AB1773" s="16" t="n">
        <x:v>11</x:v>
      </x:c>
      <x:c r="AC1773" s="16" t="n">
        <x:v>0</x:v>
      </x:c>
      <x:c r="AD1773" s="21" t="n">
        <x:f>IF(E1773="",MEDIAN($E$2:$E$2237),E1773)</x:f>
        <x:v>42664</x:v>
      </x:c>
      <x:c r="AE1773" s="17" t="n">
        <x:f>2014-B1773</x:f>
        <x:v>47</x:v>
      </x:c>
      <x:c r="AF1773" s="17" t="n">
        <x:f>F1773+G1773</x:f>
        <x:v>1</x:v>
      </x:c>
      <x:c r="AG1773" s="21" t="n">
        <x:f>SUM(J1773:O1773)</x:f>
        <x:v>24</x:v>
      </x:c>
      <x:c r="AH1773" s="17" t="n">
        <x:f>SUM(Q1773:S1773)</x:f>
        <x:v>4</x:v>
      </x:c>
      <x:c r="AI1773" s="17" t="n">
        <x:f>SUM(U1773:Y1773)</x:f>
        <x:v>0</x:v>
      </x:c>
      <x:c r="AJ1773" s="17" t="str">
        <x:f>IF(AE1773&lt;=34,"≤34",IF(AE1773&lt;=44,"35–44",IF(AE1773&lt;=54,"45–54",IF(AE1773&lt;=64,"55–64","65+"))))</x:f>
        <x:v>45–54</x:v>
      </x:c>
      <x:c r="AK1773" s="17" t="str">
        <x:f>IF(AG1773&gt;=1000,"High Value",IF(AG1773&gt;=300,"Mid Value","Low Value"))</x:f>
        <x:v>Low Value</x:v>
      </x:c>
      <x:c r="AL1773" s="17" t="str">
        <x:f>IF(AND(AI1773&gt;=1,I1773&lt;=50),"Priority 1",IF(AND(AG1773&gt;=1000,I1773&lt;=60),"Priority 2",IF(I1773&lt;=30,"Priority 3","Nurture")))</x:f>
        <x:v>Nurture</x:v>
      </x:c>
    </x:row>
    <x:row r="1774">
      <x:c r="A1774" s="16" t="n">
        <x:v>8910</x:v>
      </x:c>
      <x:c r="B1774" s="16" t="n">
        <x:v>1955</x:v>
      </x:c>
      <x:c r="C1774" s="16" t="str">
        <x:v>Graduation</x:v>
      </x:c>
      <x:c r="D1774" s="16" t="str">
        <x:v>Together</x:v>
      </x:c>
      <x:c r="E1774" s="16" t="n">
        <x:v>42586</x:v>
      </x:c>
      <x:c r="F1774" s="16" t="n">
        <x:v>1</x:v>
      </x:c>
      <x:c r="G1774" s="16" t="n">
        <x:v>1</x:v>
      </x:c>
      <x:c r="H1774" s="16" t="str">
        <x:v>29-10-2012</x:v>
      </x:c>
      <x:c r="I1774" s="16" t="n">
        <x:v>7</x:v>
      </x:c>
      <x:c r="J1774" s="16" t="n">
        <x:v>194</x:v>
      </x:c>
      <x:c r="K1774" s="16" t="n">
        <x:v>2</x:v>
      </x:c>
      <x:c r="L1774" s="16" t="n">
        <x:v>56</x:v>
      </x:c>
      <x:c r="M1774" s="16" t="n">
        <x:v>0</x:v>
      </x:c>
      <x:c r="N1774" s="16" t="n">
        <x:v>0</x:v>
      </x:c>
      <x:c r="O1774" s="16" t="n">
        <x:v>0</x:v>
      </x:c>
      <x:c r="P1774" s="16" t="n">
        <x:v>5</x:v>
      </x:c>
      <x:c r="Q1774" s="16" t="n">
        <x:v>4</x:v>
      </x:c>
      <x:c r="R1774" s="16" t="n">
        <x:v>1</x:v>
      </x:c>
      <x:c r="S1774" s="16" t="n">
        <x:v>6</x:v>
      </x:c>
      <x:c r="T1774" s="16" t="n">
        <x:v>8</x:v>
      </x:c>
      <x:c r="U1774" s="16" t="n">
        <x:v>0</x:v>
      </x:c>
      <x:c r="V1774" s="16" t="n">
        <x:v>0</x:v>
      </x:c>
      <x:c r="W1774" s="16" t="n">
        <x:v>0</x:v>
      </x:c>
      <x:c r="X1774" s="16" t="n">
        <x:v>0</x:v>
      </x:c>
      <x:c r="Y1774" s="16" t="n">
        <x:v>0</x:v>
      </x:c>
      <x:c r="Z1774" s="16" t="n">
        <x:v>0</x:v>
      </x:c>
      <x:c r="AA1774" s="16" t="n">
        <x:v>3</x:v>
      </x:c>
      <x:c r="AB1774" s="16" t="n">
        <x:v>11</x:v>
      </x:c>
      <x:c r="AC1774" s="16" t="n">
        <x:v>1</x:v>
      </x:c>
      <x:c r="AD1774" s="21" t="n">
        <x:f>IF(E1774="",MEDIAN($E$2:$E$2237),E1774)</x:f>
        <x:v>42586</x:v>
      </x:c>
      <x:c r="AE1774" s="17" t="n">
        <x:f>2014-B1774</x:f>
        <x:v>59</x:v>
      </x:c>
      <x:c r="AF1774" s="17" t="n">
        <x:f>F1774+G1774</x:f>
        <x:v>2</x:v>
      </x:c>
      <x:c r="AG1774" s="21" t="n">
        <x:f>SUM(J1774:O1774)</x:f>
        <x:v>252</x:v>
      </x:c>
      <x:c r="AH1774" s="17" t="n">
        <x:f>SUM(Q1774:S1774)</x:f>
        <x:v>11</x:v>
      </x:c>
      <x:c r="AI1774" s="17" t="n">
        <x:f>SUM(U1774:Y1774)</x:f>
        <x:v>0</x:v>
      </x:c>
      <x:c r="AJ1774" s="17" t="str">
        <x:f>IF(AE1774&lt;=34,"≤34",IF(AE1774&lt;=44,"35–44",IF(AE1774&lt;=54,"45–54",IF(AE1774&lt;=64,"55–64","65+"))))</x:f>
        <x:v>55–64</x:v>
      </x:c>
      <x:c r="AK1774" s="17" t="str">
        <x:f>IF(AG1774&gt;=1000,"High Value",IF(AG1774&gt;=300,"Mid Value","Low Value"))</x:f>
        <x:v>Low Value</x:v>
      </x:c>
      <x:c r="AL1774" s="17" t="str">
        <x:f>IF(AND(AI1774&gt;=1,I1774&lt;=50),"Priority 1",IF(AND(AG1774&gt;=1000,I1774&lt;=60),"Priority 2",IF(I1774&lt;=30,"Priority 3","Nurture")))</x:f>
        <x:v>Priority 3</x:v>
      </x:c>
    </x:row>
    <x:row r="1775">
      <x:c r="A1775" s="16" t="n">
        <x:v>7433</x:v>
      </x:c>
      <x:c r="B1775" s="16" t="n">
        <x:v>1985</x:v>
      </x:c>
      <x:c r="C1775" s="16" t="str">
        <x:v>Graduation</x:v>
      </x:c>
      <x:c r="D1775" s="16" t="str">
        <x:v>Single</x:v>
      </x:c>
      <x:c r="E1775" s="16" t="n">
        <x:v>29760</x:v>
      </x:c>
      <x:c r="F1775" s="16" t="n">
        <x:v>1</x:v>
      </x:c>
      <x:c r="G1775" s="16" t="n">
        <x:v>0</x:v>
      </x:c>
      <x:c r="H1775" s="16" t="str">
        <x:v>29-08-2012</x:v>
      </x:c>
      <x:c r="I1775" s="16" t="n">
        <x:v>87</x:v>
      </x:c>
      <x:c r="J1775" s="16" t="n">
        <x:v>64</x:v>
      </x:c>
      <x:c r="K1775" s="16" t="n">
        <x:v>4</x:v>
      </x:c>
      <x:c r="L1775" s="16" t="n">
        <x:v>68</x:v>
      </x:c>
      <x:c r="M1775" s="16" t="n">
        <x:v>7</x:v>
      </x:c>
      <x:c r="N1775" s="16" t="n">
        <x:v>5</x:v>
      </x:c>
      <x:c r="O1775" s="16" t="n">
        <x:v>17</x:v>
      </x:c>
      <x:c r="P1775" s="16" t="n">
        <x:v>4</x:v>
      </x:c>
      <x:c r="Q1775" s="16" t="n">
        <x:v>3</x:v>
      </x:c>
      <x:c r="R1775" s="16" t="n">
        <x:v>1</x:v>
      </x:c>
      <x:c r="S1775" s="16" t="n">
        <x:v>4</x:v>
      </x:c>
      <x:c r="T1775" s="16" t="n">
        <x:v>8</x:v>
      </x:c>
      <x:c r="U1775" s="16" t="n">
        <x:v>0</x:v>
      </x:c>
      <x:c r="V1775" s="16" t="n">
        <x:v>0</x:v>
      </x:c>
      <x:c r="W1775" s="16" t="n">
        <x:v>0</x:v>
      </x:c>
      <x:c r="X1775" s="16" t="n">
        <x:v>0</x:v>
      </x:c>
      <x:c r="Y1775" s="16" t="n">
        <x:v>0</x:v>
      </x:c>
      <x:c r="Z1775" s="16" t="n">
        <x:v>0</x:v>
      </x:c>
      <x:c r="AA1775" s="16" t="n">
        <x:v>3</x:v>
      </x:c>
      <x:c r="AB1775" s="16" t="n">
        <x:v>11</x:v>
      </x:c>
      <x:c r="AC1775" s="16" t="n">
        <x:v>0</x:v>
      </x:c>
      <x:c r="AD1775" s="21" t="n">
        <x:f>IF(E1775="",MEDIAN($E$2:$E$2237),E1775)</x:f>
        <x:v>29760</x:v>
      </x:c>
      <x:c r="AE1775" s="17" t="n">
        <x:f>2014-B1775</x:f>
        <x:v>29</x:v>
      </x:c>
      <x:c r="AF1775" s="17" t="n">
        <x:f>F1775+G1775</x:f>
        <x:v>1</x:v>
      </x:c>
      <x:c r="AG1775" s="21" t="n">
        <x:f>SUM(J1775:O1775)</x:f>
        <x:v>165</x:v>
      </x:c>
      <x:c r="AH1775" s="17" t="n">
        <x:f>SUM(Q1775:S1775)</x:f>
        <x:v>8</x:v>
      </x:c>
      <x:c r="AI1775" s="17" t="n">
        <x:f>SUM(U1775:Y1775)</x:f>
        <x:v>0</x:v>
      </x:c>
      <x:c r="AJ1775" s="17" t="str">
        <x:f>IF(AE1775&lt;=34,"≤34",IF(AE1775&lt;=44,"35–44",IF(AE1775&lt;=54,"45–54",IF(AE1775&lt;=64,"55–64","65+"))))</x:f>
        <x:v>≤34</x:v>
      </x:c>
      <x:c r="AK1775" s="17" t="str">
        <x:f>IF(AG1775&gt;=1000,"High Value",IF(AG1775&gt;=300,"Mid Value","Low Value"))</x:f>
        <x:v>Low Value</x:v>
      </x:c>
      <x:c r="AL1775" s="17" t="str">
        <x:f>IF(AND(AI1775&gt;=1,I1775&lt;=50),"Priority 1",IF(AND(AG1775&gt;=1000,I1775&lt;=60),"Priority 2",IF(I1775&lt;=30,"Priority 3","Nurture")))</x:f>
        <x:v>Nurture</x:v>
      </x:c>
    </x:row>
    <x:row r="1776">
      <x:c r="A1776" s="16" t="n">
        <x:v>164</x:v>
      </x:c>
      <x:c r="B1776" s="16" t="n">
        <x:v>1977</x:v>
      </x:c>
      <x:c r="C1776" s="16" t="str">
        <x:v>PhD</x:v>
      </x:c>
      <x:c r="D1776" s="16" t="str">
        <x:v>Married</x:v>
      </x:c>
      <x:c r="E1776" s="16" t="n">
        <x:v>28973</x:v>
      </x:c>
      <x:c r="F1776" s="16" t="n">
        <x:v>0</x:v>
      </x:c>
      <x:c r="G1776" s="16" t="n">
        <x:v>0</x:v>
      </x:c>
      <x:c r="H1776" s="16" t="str">
        <x:v>13-10-2012</x:v>
      </x:c>
      <x:c r="I1776" s="16" t="n">
        <x:v>59</x:v>
      </x:c>
      <x:c r="J1776" s="16" t="n">
        <x:v>206</x:v>
      </x:c>
      <x:c r="K1776" s="16" t="n">
        <x:v>0</x:v>
      </x:c>
      <x:c r="L1776" s="16" t="n">
        <x:v>46</x:v>
      </x:c>
      <x:c r="M1776" s="16" t="n">
        <x:v>3</x:v>
      </x:c>
      <x:c r="N1776" s="16" t="n">
        <x:v>2</x:v>
      </x:c>
      <x:c r="O1776" s="16" t="n">
        <x:v>12</x:v>
      </x:c>
      <x:c r="P1776" s="16" t="n">
        <x:v>2</x:v>
      </x:c>
      <x:c r="Q1776" s="16" t="n">
        <x:v>5</x:v>
      </x:c>
      <x:c r="R1776" s="16" t="n">
        <x:v>1</x:v>
      </x:c>
      <x:c r="S1776" s="16" t="n">
        <x:v>5</x:v>
      </x:c>
      <x:c r="T1776" s="16" t="n">
        <x:v>8</x:v>
      </x:c>
      <x:c r="U1776" s="16" t="n">
        <x:v>0</x:v>
      </x:c>
      <x:c r="V1776" s="16" t="n">
        <x:v>0</x:v>
      </x:c>
      <x:c r="W1776" s="16" t="n">
        <x:v>0</x:v>
      </x:c>
      <x:c r="X1776" s="16" t="n">
        <x:v>0</x:v>
      </x:c>
      <x:c r="Y1776" s="16" t="n">
        <x:v>0</x:v>
      </x:c>
      <x:c r="Z1776" s="16" t="n">
        <x:v>0</x:v>
      </x:c>
      <x:c r="AA1776" s="16" t="n">
        <x:v>3</x:v>
      </x:c>
      <x:c r="AB1776" s="16" t="n">
        <x:v>11</x:v>
      </x:c>
      <x:c r="AC1776" s="16" t="n">
        <x:v>0</x:v>
      </x:c>
      <x:c r="AD1776" s="21" t="n">
        <x:f>IF(E1776="",MEDIAN($E$2:$E$2237),E1776)</x:f>
        <x:v>28973</x:v>
      </x:c>
      <x:c r="AE1776" s="17" t="n">
        <x:f>2014-B1776</x:f>
        <x:v>37</x:v>
      </x:c>
      <x:c r="AF1776" s="17" t="n">
        <x:f>F1776+G1776</x:f>
        <x:v>0</x:v>
      </x:c>
      <x:c r="AG1776" s="21" t="n">
        <x:f>SUM(J1776:O1776)</x:f>
        <x:v>269</x:v>
      </x:c>
      <x:c r="AH1776" s="17" t="n">
        <x:f>SUM(Q1776:S1776)</x:f>
        <x:v>11</x:v>
      </x:c>
      <x:c r="AI1776" s="17" t="n">
        <x:f>SUM(U1776:Y1776)</x:f>
        <x:v>0</x:v>
      </x:c>
      <x:c r="AJ1776" s="17" t="str">
        <x:f>IF(AE1776&lt;=34,"≤34",IF(AE1776&lt;=44,"35–44",IF(AE1776&lt;=54,"45–54",IF(AE1776&lt;=64,"55–64","65+"))))</x:f>
        <x:v>35–44</x:v>
      </x:c>
      <x:c r="AK1776" s="17" t="str">
        <x:f>IF(AG1776&gt;=1000,"High Value",IF(AG1776&gt;=300,"Mid Value","Low Value"))</x:f>
        <x:v>Low Value</x:v>
      </x:c>
      <x:c r="AL1776" s="17" t="str">
        <x:f>IF(AND(AI1776&gt;=1,I1776&lt;=50),"Priority 1",IF(AND(AG1776&gt;=1000,I1776&lt;=60),"Priority 2",IF(I1776&lt;=30,"Priority 3","Nurture")))</x:f>
        <x:v>Nurture</x:v>
      </x:c>
    </x:row>
    <x:row r="1777">
      <x:c r="A1777" s="16" t="n">
        <x:v>10477</x:v>
      </x:c>
      <x:c r="B1777" s="16" t="n">
        <x:v>1973</x:v>
      </x:c>
      <x:c r="C1777" s="16" t="str">
        <x:v>PhD</x:v>
      </x:c>
      <x:c r="D1777" s="16" t="str">
        <x:v>Together</x:v>
      </x:c>
      <x:c r="E1777" s="16" t="n">
        <x:v>39435</x:v>
      </x:c>
      <x:c r="F1777" s="16" t="n">
        <x:v>1</x:v>
      </x:c>
      <x:c r="G1777" s="16" t="n">
        <x:v>0</x:v>
      </x:c>
      <x:c r="H1777" s="16" t="str">
        <x:v>06-08-2013</x:v>
      </x:c>
      <x:c r="I1777" s="16" t="n">
        <x:v>16</x:v>
      </x:c>
      <x:c r="J1777" s="16" t="n">
        <x:v>71</x:v>
      </x:c>
      <x:c r="K1777" s="16" t="n">
        <x:v>0</x:v>
      </x:c>
      <x:c r="L1777" s="16" t="n">
        <x:v>18</x:v>
      </x:c>
      <x:c r="M1777" s="16" t="n">
        <x:v>0</x:v>
      </x:c>
      <x:c r="N1777" s="16" t="n">
        <x:v>0</x:v>
      </x:c>
      <x:c r="O1777" s="16" t="n">
        <x:v>13</x:v>
      </x:c>
      <x:c r="P1777" s="16" t="n">
        <x:v>1</x:v>
      </x:c>
      <x:c r="Q1777" s="16" t="n">
        <x:v>3</x:v>
      </x:c>
      <x:c r="R1777" s="16" t="n">
        <x:v>1</x:v>
      </x:c>
      <x:c r="S1777" s="16" t="n">
        <x:v>2</x:v>
      </x:c>
      <x:c r="T1777" s="16" t="n">
        <x:v>7</x:v>
      </x:c>
      <x:c r="U1777" s="16" t="n">
        <x:v>0</x:v>
      </x:c>
      <x:c r="V1777" s="16" t="n">
        <x:v>0</x:v>
      </x:c>
      <x:c r="W1777" s="16" t="n">
        <x:v>0</x:v>
      </x:c>
      <x:c r="X1777" s="16" t="n">
        <x:v>0</x:v>
      </x:c>
      <x:c r="Y1777" s="16" t="n">
        <x:v>0</x:v>
      </x:c>
      <x:c r="Z1777" s="16" t="n">
        <x:v>0</x:v>
      </x:c>
      <x:c r="AA1777" s="16" t="n">
        <x:v>3</x:v>
      </x:c>
      <x:c r="AB1777" s="16" t="n">
        <x:v>11</x:v>
      </x:c>
      <x:c r="AC1777" s="16" t="n">
        <x:v>0</x:v>
      </x:c>
      <x:c r="AD1777" s="21" t="n">
        <x:f>IF(E1777="",MEDIAN($E$2:$E$2237),E1777)</x:f>
        <x:v>39435</x:v>
      </x:c>
      <x:c r="AE1777" s="17" t="n">
        <x:f>2014-B1777</x:f>
        <x:v>41</x:v>
      </x:c>
      <x:c r="AF1777" s="17" t="n">
        <x:f>F1777+G1777</x:f>
        <x:v>1</x:v>
      </x:c>
      <x:c r="AG1777" s="21" t="n">
        <x:f>SUM(J1777:O1777)</x:f>
        <x:v>102</x:v>
      </x:c>
      <x:c r="AH1777" s="17" t="n">
        <x:f>SUM(Q1777:S1777)</x:f>
        <x:v>6</x:v>
      </x:c>
      <x:c r="AI1777" s="17" t="n">
        <x:f>SUM(U1777:Y1777)</x:f>
        <x:v>0</x:v>
      </x:c>
      <x:c r="AJ1777" s="17" t="str">
        <x:f>IF(AE1777&lt;=34,"≤34",IF(AE1777&lt;=44,"35–44",IF(AE1777&lt;=54,"45–54",IF(AE1777&lt;=64,"55–64","65+"))))</x:f>
        <x:v>35–44</x:v>
      </x:c>
      <x:c r="AK1777" s="17" t="str">
        <x:f>IF(AG1777&gt;=1000,"High Value",IF(AG1777&gt;=300,"Mid Value","Low Value"))</x:f>
        <x:v>Low Value</x:v>
      </x:c>
      <x:c r="AL1777" s="17" t="str">
        <x:f>IF(AND(AI1777&gt;=1,I1777&lt;=50),"Priority 1",IF(AND(AG1777&gt;=1000,I1777&lt;=60),"Priority 2",IF(I1777&lt;=30,"Priority 3","Nurture")))</x:f>
        <x:v>Priority 3</x:v>
      </x:c>
    </x:row>
    <x:row r="1778">
      <x:c r="A1778" s="16" t="n">
        <x:v>2681</x:v>
      </x:c>
      <x:c r="B1778" s="16" t="n">
        <x:v>1984</x:v>
      </x:c>
      <x:c r="C1778" s="16" t="str">
        <x:v>2n Cycle</x:v>
      </x:c>
      <x:c r="D1778" s="16" t="str">
        <x:v>Married</x:v>
      </x:c>
      <x:c r="E1778" s="16" t="n">
        <x:v>65370</x:v>
      </x:c>
      <x:c r="F1778" s="16" t="n">
        <x:v>0</x:v>
      </x:c>
      <x:c r="G1778" s="16" t="n">
        <x:v>0</x:v>
      </x:c>
      <x:c r="H1778" s="16" t="str">
        <x:v>01-08-2013</x:v>
      </x:c>
      <x:c r="I1778" s="16" t="n">
        <x:v>1</x:v>
      </x:c>
      <x:c r="J1778" s="16" t="n">
        <x:v>71</x:v>
      </x:c>
      <x:c r="K1778" s="16" t="n">
        <x:v>22</x:v>
      </x:c>
      <x:c r="L1778" s="16" t="n">
        <x:v>112</x:v>
      </x:c>
      <x:c r="M1778" s="16" t="n">
        <x:v>138</x:v>
      </x:c>
      <x:c r="N1778" s="16" t="n">
        <x:v>89</x:v>
      </x:c>
      <x:c r="O1778" s="16" t="n">
        <x:v>29</x:v>
      </x:c>
      <x:c r="P1778" s="16" t="n">
        <x:v>1</x:v>
      </x:c>
      <x:c r="Q1778" s="16" t="n">
        <x:v>2</x:v>
      </x:c>
      <x:c r="R1778" s="16" t="n">
        <x:v>3</x:v>
      </x:c>
      <x:c r="S1778" s="16" t="n">
        <x:v>13</x:v>
      </x:c>
      <x:c r="T1778" s="16" t="n">
        <x:v>1</x:v>
      </x:c>
      <x:c r="U1778" s="16" t="n">
        <x:v>0</x:v>
      </x:c>
      <x:c r="V1778" s="16" t="n">
        <x:v>0</x:v>
      </x:c>
      <x:c r="W1778" s="16" t="n">
        <x:v>0</x:v>
      </x:c>
      <x:c r="X1778" s="16" t="n">
        <x:v>0</x:v>
      </x:c>
      <x:c r="Y1778" s="16" t="n">
        <x:v>0</x:v>
      </x:c>
      <x:c r="Z1778" s="16" t="n">
        <x:v>0</x:v>
      </x:c>
      <x:c r="AA1778" s="16" t="n">
        <x:v>3</x:v>
      </x:c>
      <x:c r="AB1778" s="16" t="n">
        <x:v>11</x:v>
      </x:c>
      <x:c r="AC1778" s="16" t="n">
        <x:v>0</x:v>
      </x:c>
      <x:c r="AD1778" s="21" t="n">
        <x:f>IF(E1778="",MEDIAN($E$2:$E$2237),E1778)</x:f>
        <x:v>65370</x:v>
      </x:c>
      <x:c r="AE1778" s="17" t="n">
        <x:f>2014-B1778</x:f>
        <x:v>30</x:v>
      </x:c>
      <x:c r="AF1778" s="17" t="n">
        <x:f>F1778+G1778</x:f>
        <x:v>0</x:v>
      </x:c>
      <x:c r="AG1778" s="21" t="n">
        <x:f>SUM(J1778:O1778)</x:f>
        <x:v>461</x:v>
      </x:c>
      <x:c r="AH1778" s="17" t="n">
        <x:f>SUM(Q1778:S1778)</x:f>
        <x:v>18</x:v>
      </x:c>
      <x:c r="AI1778" s="17" t="n">
        <x:f>SUM(U1778:Y1778)</x:f>
        <x:v>0</x:v>
      </x:c>
      <x:c r="AJ1778" s="17" t="str">
        <x:f>IF(AE1778&lt;=34,"≤34",IF(AE1778&lt;=44,"35–44",IF(AE1778&lt;=54,"45–54",IF(AE1778&lt;=64,"55–64","65+"))))</x:f>
        <x:v>≤34</x:v>
      </x:c>
      <x:c r="AK1778" s="17" t="str">
        <x:f>IF(AG1778&gt;=1000,"High Value",IF(AG1778&gt;=300,"Mid Value","Low Value"))</x:f>
        <x:v>Mid Value</x:v>
      </x:c>
      <x:c r="AL1778" s="17" t="str">
        <x:f>IF(AND(AI1778&gt;=1,I1778&lt;=50),"Priority 1",IF(AND(AG1778&gt;=1000,I1778&lt;=60),"Priority 2",IF(I1778&lt;=30,"Priority 3","Nurture")))</x:f>
        <x:v>Priority 3</x:v>
      </x:c>
    </x:row>
    <x:row r="1779">
      <x:c r="A1779" s="16" t="n">
        <x:v>5150</x:v>
      </x:c>
      <x:c r="B1779" s="16" t="n">
        <x:v>1979</x:v>
      </x:c>
      <x:c r="C1779" s="16" t="str">
        <x:v>Basic</x:v>
      </x:c>
      <x:c r="D1779" s="16" t="str">
        <x:v>Single</x:v>
      </x:c>
      <x:c r="E1779" s="16" t="n">
        <x:v>20194</x:v>
      </x:c>
      <x:c r="F1779" s="16" t="n">
        <x:v>1</x:v>
      </x:c>
      <x:c r="G1779" s="16" t="n">
        <x:v>0</x:v>
      </x:c>
      <x:c r="H1779" s="16" t="str">
        <x:v>17-12-2012</x:v>
      </x:c>
      <x:c r="I1779" s="16" t="n">
        <x:v>64</x:v>
      </x:c>
      <x:c r="J1779" s="16" t="n">
        <x:v>0</x:v>
      </x:c>
      <x:c r="K1779" s="16" t="n">
        <x:v>4</x:v>
      </x:c>
      <x:c r="L1779" s="16" t="n">
        <x:v>7</x:v>
      </x:c>
      <x:c r="M1779" s="16" t="n">
        <x:v>11</x:v>
      </x:c>
      <x:c r="N1779" s="16" t="n">
        <x:v>10</x:v>
      </x:c>
      <x:c r="O1779" s="16" t="n">
        <x:v>15</x:v>
      </x:c>
      <x:c r="P1779" s="16" t="n">
        <x:v>2</x:v>
      </x:c>
      <x:c r="Q1779" s="16" t="n">
        <x:v>2</x:v>
      </x:c>
      <x:c r="R1779" s="16" t="n">
        <x:v>0</x:v>
      </x:c>
      <x:c r="S1779" s="16" t="n">
        <x:v>3</x:v>
      </x:c>
      <x:c r="T1779" s="16" t="n">
        <x:v>6</x:v>
      </x:c>
      <x:c r="U1779" s="16" t="n">
        <x:v>0</x:v>
      </x:c>
      <x:c r="V1779" s="16" t="n">
        <x:v>0</x:v>
      </x:c>
      <x:c r="W1779" s="16" t="n">
        <x:v>0</x:v>
      </x:c>
      <x:c r="X1779" s="16" t="n">
        <x:v>0</x:v>
      </x:c>
      <x:c r="Y1779" s="16" t="n">
        <x:v>0</x:v>
      </x:c>
      <x:c r="Z1779" s="16" t="n">
        <x:v>0</x:v>
      </x:c>
      <x:c r="AA1779" s="16" t="n">
        <x:v>3</x:v>
      </x:c>
      <x:c r="AB1779" s="16" t="n">
        <x:v>11</x:v>
      </x:c>
      <x:c r="AC1779" s="16" t="n">
        <x:v>0</x:v>
      </x:c>
      <x:c r="AD1779" s="21" t="n">
        <x:f>IF(E1779="",MEDIAN($E$2:$E$2237),E1779)</x:f>
        <x:v>20194</x:v>
      </x:c>
      <x:c r="AE1779" s="17" t="n">
        <x:f>2014-B1779</x:f>
        <x:v>35</x:v>
      </x:c>
      <x:c r="AF1779" s="17" t="n">
        <x:f>F1779+G1779</x:f>
        <x:v>1</x:v>
      </x:c>
      <x:c r="AG1779" s="21" t="n">
        <x:f>SUM(J1779:O1779)</x:f>
        <x:v>47</x:v>
      </x:c>
      <x:c r="AH1779" s="17" t="n">
        <x:f>SUM(Q1779:S1779)</x:f>
        <x:v>5</x:v>
      </x:c>
      <x:c r="AI1779" s="17" t="n">
        <x:f>SUM(U1779:Y1779)</x:f>
        <x:v>0</x:v>
      </x:c>
      <x:c r="AJ1779" s="17" t="str">
        <x:f>IF(AE1779&lt;=34,"≤34",IF(AE1779&lt;=44,"35–44",IF(AE1779&lt;=54,"45–54",IF(AE1779&lt;=64,"55–64","65+"))))</x:f>
        <x:v>35–44</x:v>
      </x:c>
      <x:c r="AK1779" s="17" t="str">
        <x:f>IF(AG1779&gt;=1000,"High Value",IF(AG1779&gt;=300,"Mid Value","Low Value"))</x:f>
        <x:v>Low Value</x:v>
      </x:c>
      <x:c r="AL1779" s="17" t="str">
        <x:f>IF(AND(AI1779&gt;=1,I1779&lt;=50),"Priority 1",IF(AND(AG1779&gt;=1000,I1779&lt;=60),"Priority 2",IF(I1779&lt;=30,"Priority 3","Nurture")))</x:f>
        <x:v>Nurture</x:v>
      </x:c>
    </x:row>
    <x:row r="1780">
      <x:c r="A1780" s="16" t="n">
        <x:v>5283</x:v>
      </x:c>
      <x:c r="B1780" s="16" t="n">
        <x:v>1976</x:v>
      </x:c>
      <x:c r="C1780" s="16" t="str">
        <x:v>PhD</x:v>
      </x:c>
      <x:c r="D1780" s="16" t="str">
        <x:v>Single</x:v>
      </x:c>
      <x:c r="E1780" s="16" t="n">
        <x:v>42473</x:v>
      </x:c>
      <x:c r="F1780" s="16" t="n">
        <x:v>1</x:v>
      </x:c>
      <x:c r="G1780" s="16" t="n">
        <x:v>1</x:v>
      </x:c>
      <x:c r="H1780" s="16" t="str">
        <x:v>17-02-2014</x:v>
      </x:c>
      <x:c r="I1780" s="16" t="n">
        <x:v>72</x:v>
      </x:c>
      <x:c r="J1780" s="16" t="n">
        <x:v>93</x:v>
      </x:c>
      <x:c r="K1780" s="16" t="n">
        <x:v>1</x:v>
      </x:c>
      <x:c r="L1780" s="16" t="n">
        <x:v>21</x:v>
      </x:c>
      <x:c r="M1780" s="16" t="n">
        <x:v>0</x:v>
      </x:c>
      <x:c r="N1780" s="16" t="n">
        <x:v>4</x:v>
      </x:c>
      <x:c r="O1780" s="16" t="n">
        <x:v>25</x:v>
      </x:c>
      <x:c r="P1780" s="16" t="n">
        <x:v>3</x:v>
      </x:c>
      <x:c r="Q1780" s="16" t="n">
        <x:v>2</x:v>
      </x:c>
      <x:c r="R1780" s="16" t="n">
        <x:v>1</x:v>
      </x:c>
      <x:c r="S1780" s="16" t="n">
        <x:v>4</x:v>
      </x:c>
      <x:c r="T1780" s="16" t="n">
        <x:v>5</x:v>
      </x:c>
      <x:c r="U1780" s="16" t="n">
        <x:v>0</x:v>
      </x:c>
      <x:c r="V1780" s="16" t="n">
        <x:v>0</x:v>
      </x:c>
      <x:c r="W1780" s="16" t="n">
        <x:v>0</x:v>
      </x:c>
      <x:c r="X1780" s="16" t="n">
        <x:v>0</x:v>
      </x:c>
      <x:c r="Y1780" s="16" t="n">
        <x:v>0</x:v>
      </x:c>
      <x:c r="Z1780" s="16" t="n">
        <x:v>0</x:v>
      </x:c>
      <x:c r="AA1780" s="16" t="n">
        <x:v>3</x:v>
      </x:c>
      <x:c r="AB1780" s="16" t="n">
        <x:v>11</x:v>
      </x:c>
      <x:c r="AC1780" s="16" t="n">
        <x:v>0</x:v>
      </x:c>
      <x:c r="AD1780" s="21" t="n">
        <x:f>IF(E1780="",MEDIAN($E$2:$E$2237),E1780)</x:f>
        <x:v>42473</x:v>
      </x:c>
      <x:c r="AE1780" s="17" t="n">
        <x:f>2014-B1780</x:f>
        <x:v>38</x:v>
      </x:c>
      <x:c r="AF1780" s="17" t="n">
        <x:f>F1780+G1780</x:f>
        <x:v>2</x:v>
      </x:c>
      <x:c r="AG1780" s="21" t="n">
        <x:f>SUM(J1780:O1780)</x:f>
        <x:v>144</x:v>
      </x:c>
      <x:c r="AH1780" s="17" t="n">
        <x:f>SUM(Q1780:S1780)</x:f>
        <x:v>7</x:v>
      </x:c>
      <x:c r="AI1780" s="17" t="n">
        <x:f>SUM(U1780:Y1780)</x:f>
        <x:v>0</x:v>
      </x:c>
      <x:c r="AJ1780" s="17" t="str">
        <x:f>IF(AE1780&lt;=34,"≤34",IF(AE1780&lt;=44,"35–44",IF(AE1780&lt;=54,"45–54",IF(AE1780&lt;=64,"55–64","65+"))))</x:f>
        <x:v>35–44</x:v>
      </x:c>
      <x:c r="AK1780" s="17" t="str">
        <x:f>IF(AG1780&gt;=1000,"High Value",IF(AG1780&gt;=300,"Mid Value","Low Value"))</x:f>
        <x:v>Low Value</x:v>
      </x:c>
      <x:c r="AL1780" s="17" t="str">
        <x:f>IF(AND(AI1780&gt;=1,I1780&lt;=50),"Priority 1",IF(AND(AG1780&gt;=1000,I1780&lt;=60),"Priority 2",IF(I1780&lt;=30,"Priority 3","Nurture")))</x:f>
        <x:v>Nurture</x:v>
      </x:c>
    </x:row>
    <x:row r="1781">
      <x:c r="A1781" s="16" t="n">
        <x:v>9645</x:v>
      </x:c>
      <x:c r="B1781" s="16" t="n">
        <x:v>1968</x:v>
      </x:c>
      <x:c r="C1781" s="16" t="str">
        <x:v>Graduation</x:v>
      </x:c>
      <x:c r="D1781" s="16" t="str">
        <x:v>Married</x:v>
      </x:c>
      <x:c r="E1781" s="16" t="n">
        <x:v>64590</x:v>
      </x:c>
      <x:c r="F1781" s="16" t="n">
        <x:v>0</x:v>
      </x:c>
      <x:c r="G1781" s="16" t="n">
        <x:v>0</x:v>
      </x:c>
      <x:c r="H1781" s="16" t="str">
        <x:v>14-10-2012</x:v>
      </x:c>
      <x:c r="I1781" s="16" t="n">
        <x:v>98</x:v>
      </x:c>
      <x:c r="J1781" s="16" t="n">
        <x:v>920</x:v>
      </x:c>
      <x:c r="K1781" s="16" t="n">
        <x:v>138</x:v>
      </x:c>
      <x:c r="L1781" s="16" t="n">
        <x:v>168</x:v>
      </x:c>
      <x:c r="M1781" s="16" t="n">
        <x:v>36</x:v>
      </x:c>
      <x:c r="N1781" s="16" t="n">
        <x:v>46</x:v>
      </x:c>
      <x:c r="O1781" s="16" t="n">
        <x:v>30</x:v>
      </x:c>
      <x:c r="P1781" s="16" t="n">
        <x:v>1</x:v>
      </x:c>
      <x:c r="Q1781" s="16" t="n">
        <x:v>9</x:v>
      </x:c>
      <x:c r="R1781" s="16" t="n">
        <x:v>4</x:v>
      </x:c>
      <x:c r="S1781" s="16" t="n">
        <x:v>10</x:v>
      </x:c>
      <x:c r="T1781" s="16" t="n">
        <x:v>6</x:v>
      </x:c>
      <x:c r="U1781" s="16" t="n">
        <x:v>0</x:v>
      </x:c>
      <x:c r="V1781" s="16" t="n">
        <x:v>0</x:v>
      </x:c>
      <x:c r="W1781" s="16" t="n">
        <x:v>0</x:v>
      </x:c>
      <x:c r="X1781" s="16" t="n">
        <x:v>0</x:v>
      </x:c>
      <x:c r="Y1781" s="16" t="n">
        <x:v>0</x:v>
      </x:c>
      <x:c r="Z1781" s="16" t="n">
        <x:v>0</x:v>
      </x:c>
      <x:c r="AA1781" s="16" t="n">
        <x:v>3</x:v>
      </x:c>
      <x:c r="AB1781" s="16" t="n">
        <x:v>11</x:v>
      </x:c>
      <x:c r="AC1781" s="16" t="n">
        <x:v>0</x:v>
      </x:c>
      <x:c r="AD1781" s="21" t="n">
        <x:f>IF(E1781="",MEDIAN($E$2:$E$2237),E1781)</x:f>
        <x:v>64590</x:v>
      </x:c>
      <x:c r="AE1781" s="17" t="n">
        <x:f>2014-B1781</x:f>
        <x:v>46</x:v>
      </x:c>
      <x:c r="AF1781" s="17" t="n">
        <x:f>F1781+G1781</x:f>
        <x:v>0</x:v>
      </x:c>
      <x:c r="AG1781" s="21" t="n">
        <x:f>SUM(J1781:O1781)</x:f>
        <x:v>1338</x:v>
      </x:c>
      <x:c r="AH1781" s="17" t="n">
        <x:f>SUM(Q1781:S1781)</x:f>
        <x:v>23</x:v>
      </x:c>
      <x:c r="AI1781" s="17" t="n">
        <x:f>SUM(U1781:Y1781)</x:f>
        <x:v>0</x:v>
      </x:c>
      <x:c r="AJ1781" s="17" t="str">
        <x:f>IF(AE1781&lt;=34,"≤34",IF(AE1781&lt;=44,"35–44",IF(AE1781&lt;=54,"45–54",IF(AE1781&lt;=64,"55–64","65+"))))</x:f>
        <x:v>45–54</x:v>
      </x:c>
      <x:c r="AK1781" s="17" t="str">
        <x:f>IF(AG1781&gt;=1000,"High Value",IF(AG1781&gt;=300,"Mid Value","Low Value"))</x:f>
        <x:v>High Value</x:v>
      </x:c>
      <x:c r="AL1781" s="17" t="str">
        <x:f>IF(AND(AI1781&gt;=1,I1781&lt;=50),"Priority 1",IF(AND(AG1781&gt;=1000,I1781&lt;=60),"Priority 2",IF(I1781&lt;=30,"Priority 3","Nurture")))</x:f>
        <x:v>Nurture</x:v>
      </x:c>
    </x:row>
    <x:row r="1782">
      <x:c r="A1782" s="16" t="n">
        <x:v>10678</x:v>
      </x:c>
      <x:c r="B1782" s="16" t="n">
        <x:v>1959</x:v>
      </x:c>
      <x:c r="C1782" s="16" t="str">
        <x:v>Graduation</x:v>
      </x:c>
      <x:c r="D1782" s="16" t="str">
        <x:v>Together</x:v>
      </x:c>
      <x:c r="E1782" s="16" t="n">
        <x:v>71232</x:v>
      </x:c>
      <x:c r="F1782" s="16" t="n">
        <x:v>0</x:v>
      </x:c>
      <x:c r="G1782" s="16" t="n">
        <x:v>1</x:v>
      </x:c>
      <x:c r="H1782" s="16" t="str">
        <x:v>28-11-2013</x:v>
      </x:c>
      <x:c r="I1782" s="16" t="n">
        <x:v>91</x:v>
      </x:c>
      <x:c r="J1782" s="16" t="n">
        <x:v>653</x:v>
      </x:c>
      <x:c r="K1782" s="16" t="n">
        <x:v>17</x:v>
      </x:c>
      <x:c r="L1782" s="16" t="n">
        <x:v>170</x:v>
      </x:c>
      <x:c r="M1782" s="16" t="n">
        <x:v>34</x:v>
      </x:c>
      <x:c r="N1782" s="16" t="n">
        <x:v>26</x:v>
      </x:c>
      <x:c r="O1782" s="16" t="n">
        <x:v>17</x:v>
      </x:c>
      <x:c r="P1782" s="16" t="n">
        <x:v>2</x:v>
      </x:c>
      <x:c r="Q1782" s="16" t="n">
        <x:v>11</x:v>
      </x:c>
      <x:c r="R1782" s="16" t="n">
        <x:v>2</x:v>
      </x:c>
      <x:c r="S1782" s="16" t="n">
        <x:v>10</x:v>
      </x:c>
      <x:c r="T1782" s="16" t="n">
        <x:v>7</x:v>
      </x:c>
      <x:c r="U1782" s="16" t="n">
        <x:v>0</x:v>
      </x:c>
      <x:c r="V1782" s="16" t="n">
        <x:v>0</x:v>
      </x:c>
      <x:c r="W1782" s="16" t="n">
        <x:v>0</x:v>
      </x:c>
      <x:c r="X1782" s="16" t="n">
        <x:v>0</x:v>
      </x:c>
      <x:c r="Y1782" s="16" t="n">
        <x:v>0</x:v>
      </x:c>
      <x:c r="Z1782" s="16" t="n">
        <x:v>0</x:v>
      </x:c>
      <x:c r="AA1782" s="16" t="n">
        <x:v>3</x:v>
      </x:c>
      <x:c r="AB1782" s="16" t="n">
        <x:v>11</x:v>
      </x:c>
      <x:c r="AC1782" s="16" t="n">
        <x:v>0</x:v>
      </x:c>
      <x:c r="AD1782" s="21" t="n">
        <x:f>IF(E1782="",MEDIAN($E$2:$E$2237),E1782)</x:f>
        <x:v>71232</x:v>
      </x:c>
      <x:c r="AE1782" s="17" t="n">
        <x:f>2014-B1782</x:f>
        <x:v>55</x:v>
      </x:c>
      <x:c r="AF1782" s="17" t="n">
        <x:f>F1782+G1782</x:f>
        <x:v>1</x:v>
      </x:c>
      <x:c r="AG1782" s="21" t="n">
        <x:f>SUM(J1782:O1782)</x:f>
        <x:v>917</x:v>
      </x:c>
      <x:c r="AH1782" s="17" t="n">
        <x:f>SUM(Q1782:S1782)</x:f>
        <x:v>23</x:v>
      </x:c>
      <x:c r="AI1782" s="17" t="n">
        <x:f>SUM(U1782:Y1782)</x:f>
        <x:v>0</x:v>
      </x:c>
      <x:c r="AJ1782" s="17" t="str">
        <x:f>IF(AE1782&lt;=34,"≤34",IF(AE1782&lt;=44,"35–44",IF(AE1782&lt;=54,"45–54",IF(AE1782&lt;=64,"55–64","65+"))))</x:f>
        <x:v>55–64</x:v>
      </x:c>
      <x:c r="AK1782" s="17" t="str">
        <x:f>IF(AG1782&gt;=1000,"High Value",IF(AG1782&gt;=300,"Mid Value","Low Value"))</x:f>
        <x:v>Mid Value</x:v>
      </x:c>
      <x:c r="AL1782" s="17" t="str">
        <x:f>IF(AND(AI1782&gt;=1,I1782&lt;=50),"Priority 1",IF(AND(AG1782&gt;=1000,I1782&lt;=60),"Priority 2",IF(I1782&lt;=30,"Priority 3","Nurture")))</x:f>
        <x:v>Nurture</x:v>
      </x:c>
    </x:row>
    <x:row r="1783">
      <x:c r="A1783" s="16" t="n">
        <x:v>7261</x:v>
      </x:c>
      <x:c r="B1783" s="16" t="n">
        <x:v>1971</x:v>
      </x:c>
      <x:c r="C1783" s="16" t="str">
        <x:v>Graduation</x:v>
      </x:c>
      <x:c r="D1783" s="16" t="str">
        <x:v>Together</x:v>
      </x:c>
      <x:c r="E1783" s="16" t="n">
        <x:v>34600</x:v>
      </x:c>
      <x:c r="F1783" s="16" t="n">
        <x:v>1</x:v>
      </x:c>
      <x:c r="G1783" s="16" t="n">
        <x:v>1</x:v>
      </x:c>
      <x:c r="H1783" s="16" t="str">
        <x:v>01-01-2013</x:v>
      </x:c>
      <x:c r="I1783" s="16" t="n">
        <x:v>8</x:v>
      </x:c>
      <x:c r="J1783" s="16" t="n">
        <x:v>199</x:v>
      </x:c>
      <x:c r="K1783" s="16" t="n">
        <x:v>33</x:v>
      </x:c>
      <x:c r="L1783" s="16" t="n">
        <x:v>60</x:v>
      </x:c>
      <x:c r="M1783" s="16" t="n">
        <x:v>8</x:v>
      </x:c>
      <x:c r="N1783" s="16" t="n">
        <x:v>3</x:v>
      </x:c>
      <x:c r="O1783" s="16" t="n">
        <x:v>15</x:v>
      </x:c>
      <x:c r="P1783" s="16" t="n">
        <x:v>5</x:v>
      </x:c>
      <x:c r="Q1783" s="16" t="n">
        <x:v>5</x:v>
      </x:c>
      <x:c r="R1783" s="16" t="n">
        <x:v>2</x:v>
      </x:c>
      <x:c r="S1783" s="16" t="n">
        <x:v>5</x:v>
      </x:c>
      <x:c r="T1783" s="16" t="n">
        <x:v>8</x:v>
      </x:c>
      <x:c r="U1783" s="16" t="n">
        <x:v>0</x:v>
      </x:c>
      <x:c r="V1783" s="16" t="n">
        <x:v>0</x:v>
      </x:c>
      <x:c r="W1783" s="16" t="n">
        <x:v>0</x:v>
      </x:c>
      <x:c r="X1783" s="16" t="n">
        <x:v>0</x:v>
      </x:c>
      <x:c r="Y1783" s="16" t="n">
        <x:v>0</x:v>
      </x:c>
      <x:c r="Z1783" s="16" t="n">
        <x:v>0</x:v>
      </x:c>
      <x:c r="AA1783" s="16" t="n">
        <x:v>3</x:v>
      </x:c>
      <x:c r="AB1783" s="16" t="n">
        <x:v>11</x:v>
      </x:c>
      <x:c r="AC1783" s="16" t="n">
        <x:v>1</x:v>
      </x:c>
      <x:c r="AD1783" s="21" t="n">
        <x:f>IF(E1783="",MEDIAN($E$2:$E$2237),E1783)</x:f>
        <x:v>34600</x:v>
      </x:c>
      <x:c r="AE1783" s="17" t="n">
        <x:f>2014-B1783</x:f>
        <x:v>43</x:v>
      </x:c>
      <x:c r="AF1783" s="17" t="n">
        <x:f>F1783+G1783</x:f>
        <x:v>2</x:v>
      </x:c>
      <x:c r="AG1783" s="21" t="n">
        <x:f>SUM(J1783:O1783)</x:f>
        <x:v>318</x:v>
      </x:c>
      <x:c r="AH1783" s="17" t="n">
        <x:f>SUM(Q1783:S1783)</x:f>
        <x:v>12</x:v>
      </x:c>
      <x:c r="AI1783" s="17" t="n">
        <x:f>SUM(U1783:Y1783)</x:f>
        <x:v>0</x:v>
      </x:c>
      <x:c r="AJ1783" s="17" t="str">
        <x:f>IF(AE1783&lt;=34,"≤34",IF(AE1783&lt;=44,"35–44",IF(AE1783&lt;=54,"45–54",IF(AE1783&lt;=64,"55–64","65+"))))</x:f>
        <x:v>35–44</x:v>
      </x:c>
      <x:c r="AK1783" s="17" t="str">
        <x:f>IF(AG1783&gt;=1000,"High Value",IF(AG1783&gt;=300,"Mid Value","Low Value"))</x:f>
        <x:v>Mid Value</x:v>
      </x:c>
      <x:c r="AL1783" s="17" t="str">
        <x:f>IF(AND(AI1783&gt;=1,I1783&lt;=50),"Priority 1",IF(AND(AG1783&gt;=1000,I1783&lt;=60),"Priority 2",IF(I1783&lt;=30,"Priority 3","Nurture")))</x:f>
        <x:v>Priority 3</x:v>
      </x:c>
    </x:row>
    <x:row r="1784">
      <x:c r="A1784" s="16" t="n">
        <x:v>9648</x:v>
      </x:c>
      <x:c r="B1784" s="16" t="n">
        <x:v>1967</x:v>
      </x:c>
      <x:c r="C1784" s="16" t="str">
        <x:v>Graduation</x:v>
      </x:c>
      <x:c r="D1784" s="16" t="str">
        <x:v>Single</x:v>
      </x:c>
      <x:c r="E1784" s="16" t="n">
        <x:v>46904</x:v>
      </x:c>
      <x:c r="F1784" s="16" t="n">
        <x:v>1</x:v>
      </x:c>
      <x:c r="G1784" s="16" t="n">
        <x:v>1</x:v>
      </x:c>
      <x:c r="H1784" s="16" t="str">
        <x:v>03-11-2012</x:v>
      </x:c>
      <x:c r="I1784" s="16" t="n">
        <x:v>20</x:v>
      </x:c>
      <x:c r="J1784" s="16" t="n">
        <x:v>153</x:v>
      </x:c>
      <x:c r="K1784" s="16" t="n">
        <x:v>4</x:v>
      </x:c>
      <x:c r="L1784" s="16" t="n">
        <x:v>56</x:v>
      </x:c>
      <x:c r="M1784" s="16" t="n">
        <x:v>0</x:v>
      </x:c>
      <x:c r="N1784" s="16" t="n">
        <x:v>9</x:v>
      </x:c>
      <x:c r="O1784" s="16" t="n">
        <x:v>31</x:v>
      </x:c>
      <x:c r="P1784" s="16" t="n">
        <x:v>4</x:v>
      </x:c>
      <x:c r="Q1784" s="16" t="n">
        <x:v>5</x:v>
      </x:c>
      <x:c r="R1784" s="16" t="n">
        <x:v>1</x:v>
      </x:c>
      <x:c r="S1784" s="16" t="n">
        <x:v>4</x:v>
      </x:c>
      <x:c r="T1784" s="16" t="n">
        <x:v>8</x:v>
      </x:c>
      <x:c r="U1784" s="16" t="n">
        <x:v>0</x:v>
      </x:c>
      <x:c r="V1784" s="16" t="n">
        <x:v>0</x:v>
      </x:c>
      <x:c r="W1784" s="16" t="n">
        <x:v>0</x:v>
      </x:c>
      <x:c r="X1784" s="16" t="n">
        <x:v>0</x:v>
      </x:c>
      <x:c r="Y1784" s="16" t="n">
        <x:v>0</x:v>
      </x:c>
      <x:c r="Z1784" s="16" t="n">
        <x:v>0</x:v>
      </x:c>
      <x:c r="AA1784" s="16" t="n">
        <x:v>3</x:v>
      </x:c>
      <x:c r="AB1784" s="16" t="n">
        <x:v>11</x:v>
      </x:c>
      <x:c r="AC1784" s="16" t="n">
        <x:v>0</x:v>
      </x:c>
      <x:c r="AD1784" s="21" t="n">
        <x:f>IF(E1784="",MEDIAN($E$2:$E$2237),E1784)</x:f>
        <x:v>46904</x:v>
      </x:c>
      <x:c r="AE1784" s="17" t="n">
        <x:f>2014-B1784</x:f>
        <x:v>47</x:v>
      </x:c>
      <x:c r="AF1784" s="17" t="n">
        <x:f>F1784+G1784</x:f>
        <x:v>2</x:v>
      </x:c>
      <x:c r="AG1784" s="21" t="n">
        <x:f>SUM(J1784:O1784)</x:f>
        <x:v>253</x:v>
      </x:c>
      <x:c r="AH1784" s="17" t="n">
        <x:f>SUM(Q1784:S1784)</x:f>
        <x:v>10</x:v>
      </x:c>
      <x:c r="AI1784" s="17" t="n">
        <x:f>SUM(U1784:Y1784)</x:f>
        <x:v>0</x:v>
      </x:c>
      <x:c r="AJ1784" s="17" t="str">
        <x:f>IF(AE1784&lt;=34,"≤34",IF(AE1784&lt;=44,"35–44",IF(AE1784&lt;=54,"45–54",IF(AE1784&lt;=64,"55–64","65+"))))</x:f>
        <x:v>45–54</x:v>
      </x:c>
      <x:c r="AK1784" s="17" t="str">
        <x:f>IF(AG1784&gt;=1000,"High Value",IF(AG1784&gt;=300,"Mid Value","Low Value"))</x:f>
        <x:v>Low Value</x:v>
      </x:c>
      <x:c r="AL1784" s="17" t="str">
        <x:f>IF(AND(AI1784&gt;=1,I1784&lt;=50),"Priority 1",IF(AND(AG1784&gt;=1000,I1784&lt;=60),"Priority 2",IF(I1784&lt;=30,"Priority 3","Nurture")))</x:f>
        <x:v>Priority 3</x:v>
      </x:c>
    </x:row>
    <x:row r="1785">
      <x:c r="A1785" s="16" t="n">
        <x:v>2870</x:v>
      </x:c>
      <x:c r="B1785" s="16" t="n">
        <x:v>1973</x:v>
      </x:c>
      <x:c r="C1785" s="16" t="str">
        <x:v>Graduation</x:v>
      </x:c>
      <x:c r="D1785" s="16" t="str">
        <x:v>Married</x:v>
      </x:c>
      <x:c r="E1785" s="16" t="n">
        <x:v>49094</x:v>
      </x:c>
      <x:c r="F1785" s="16" t="n">
        <x:v>0</x:v>
      </x:c>
      <x:c r="G1785" s="16" t="n">
        <x:v>1</x:v>
      </x:c>
      <x:c r="H1785" s="16" t="str">
        <x:v>21-09-2012</x:v>
      </x:c>
      <x:c r="I1785" s="16" t="n">
        <x:v>6</x:v>
      </x:c>
      <x:c r="J1785" s="16" t="n">
        <x:v>376</x:v>
      </x:c>
      <x:c r="K1785" s="16" t="n">
        <x:v>0</x:v>
      </x:c>
      <x:c r="L1785" s="16" t="n">
        <x:v>38</x:v>
      </x:c>
      <x:c r="M1785" s="16" t="n">
        <x:v>11</x:v>
      </x:c>
      <x:c r="N1785" s="16" t="n">
        <x:v>8</x:v>
      </x:c>
      <x:c r="O1785" s="16" t="n">
        <x:v>69</x:v>
      </x:c>
      <x:c r="P1785" s="16" t="n">
        <x:v>5</x:v>
      </x:c>
      <x:c r="Q1785" s="16" t="n">
        <x:v>6</x:v>
      </x:c>
      <x:c r="R1785" s="16" t="n">
        <x:v>3</x:v>
      </x:c>
      <x:c r="S1785" s="16" t="n">
        <x:v>6</x:v>
      </x:c>
      <x:c r="T1785" s="16" t="n">
        <x:v>6</x:v>
      </x:c>
      <x:c r="U1785" s="16" t="n">
        <x:v>0</x:v>
      </x:c>
      <x:c r="V1785" s="16" t="n">
        <x:v>0</x:v>
      </x:c>
      <x:c r="W1785" s="16" t="n">
        <x:v>0</x:v>
      </x:c>
      <x:c r="X1785" s="16" t="n">
        <x:v>0</x:v>
      </x:c>
      <x:c r="Y1785" s="16" t="n">
        <x:v>0</x:v>
      </x:c>
      <x:c r="Z1785" s="16" t="n">
        <x:v>0</x:v>
      </x:c>
      <x:c r="AA1785" s="16" t="n">
        <x:v>3</x:v>
      </x:c>
      <x:c r="AB1785" s="16" t="n">
        <x:v>11</x:v>
      </x:c>
      <x:c r="AC1785" s="16" t="n">
        <x:v>0</x:v>
      </x:c>
      <x:c r="AD1785" s="21" t="n">
        <x:f>IF(E1785="",MEDIAN($E$2:$E$2237),E1785)</x:f>
        <x:v>49094</x:v>
      </x:c>
      <x:c r="AE1785" s="17" t="n">
        <x:f>2014-B1785</x:f>
        <x:v>41</x:v>
      </x:c>
      <x:c r="AF1785" s="17" t="n">
        <x:f>F1785+G1785</x:f>
        <x:v>1</x:v>
      </x:c>
      <x:c r="AG1785" s="21" t="n">
        <x:f>SUM(J1785:O1785)</x:f>
        <x:v>502</x:v>
      </x:c>
      <x:c r="AH1785" s="17" t="n">
        <x:f>SUM(Q1785:S1785)</x:f>
        <x:v>15</x:v>
      </x:c>
      <x:c r="AI1785" s="17" t="n">
        <x:f>SUM(U1785:Y1785)</x:f>
        <x:v>0</x:v>
      </x:c>
      <x:c r="AJ1785" s="17" t="str">
        <x:f>IF(AE1785&lt;=34,"≤34",IF(AE1785&lt;=44,"35–44",IF(AE1785&lt;=54,"45–54",IF(AE1785&lt;=64,"55–64","65+"))))</x:f>
        <x:v>35–44</x:v>
      </x:c>
      <x:c r="AK1785" s="17" t="str">
        <x:f>IF(AG1785&gt;=1000,"High Value",IF(AG1785&gt;=300,"Mid Value","Low Value"))</x:f>
        <x:v>Mid Value</x:v>
      </x:c>
      <x:c r="AL1785" s="17" t="str">
        <x:f>IF(AND(AI1785&gt;=1,I1785&lt;=50),"Priority 1",IF(AND(AG1785&gt;=1000,I1785&lt;=60),"Priority 2",IF(I1785&lt;=30,"Priority 3","Nurture")))</x:f>
        <x:v>Priority 3</x:v>
      </x:c>
    </x:row>
    <x:row r="1786">
      <x:c r="A1786" s="16" t="n">
        <x:v>8008</x:v>
      </x:c>
      <x:c r="B1786" s="16" t="n">
        <x:v>1983</x:v>
      </x:c>
      <x:c r="C1786" s="16" t="str">
        <x:v>Graduation</x:v>
      </x:c>
      <x:c r="D1786" s="16" t="str">
        <x:v>Together</x:v>
      </x:c>
      <x:c r="E1786" s="16" t="n">
        <x:v>36075</x:v>
      </x:c>
      <x:c r="F1786" s="16" t="n">
        <x:v>1</x:v>
      </x:c>
      <x:c r="G1786" s="16" t="n">
        <x:v>0</x:v>
      </x:c>
      <x:c r="H1786" s="16" t="str">
        <x:v>09-12-2013</x:v>
      </x:c>
      <x:c r="I1786" s="16" t="n">
        <x:v>54</x:v>
      </x:c>
      <x:c r="J1786" s="16" t="n">
        <x:v>46</x:v>
      </x:c>
      <x:c r="K1786" s="16" t="n">
        <x:v>0</x:v>
      </x:c>
      <x:c r="L1786" s="16" t="n">
        <x:v>30</x:v>
      </x:c>
      <x:c r="M1786" s="16" t="n">
        <x:v>12</x:v>
      </x:c>
      <x:c r="N1786" s="16" t="n">
        <x:v>1</x:v>
      </x:c>
      <x:c r="O1786" s="16" t="n">
        <x:v>30</x:v>
      </x:c>
      <x:c r="P1786" s="16" t="n">
        <x:v>1</x:v>
      </x:c>
      <x:c r="Q1786" s="16" t="n">
        <x:v>2</x:v>
      </x:c>
      <x:c r="R1786" s="16" t="n">
        <x:v>0</x:v>
      </x:c>
      <x:c r="S1786" s="16" t="n">
        <x:v>4</x:v>
      </x:c>
      <x:c r="T1786" s="16" t="n">
        <x:v>6</x:v>
      </x:c>
      <x:c r="U1786" s="16" t="n">
        <x:v>0</x:v>
      </x:c>
      <x:c r="V1786" s="16" t="n">
        <x:v>0</x:v>
      </x:c>
      <x:c r="W1786" s="16" t="n">
        <x:v>0</x:v>
      </x:c>
      <x:c r="X1786" s="16" t="n">
        <x:v>0</x:v>
      </x:c>
      <x:c r="Y1786" s="16" t="n">
        <x:v>0</x:v>
      </x:c>
      <x:c r="Z1786" s="16" t="n">
        <x:v>0</x:v>
      </x:c>
      <x:c r="AA1786" s="16" t="n">
        <x:v>3</x:v>
      </x:c>
      <x:c r="AB1786" s="16" t="n">
        <x:v>11</x:v>
      </x:c>
      <x:c r="AC1786" s="16" t="n">
        <x:v>0</x:v>
      </x:c>
      <x:c r="AD1786" s="21" t="n">
        <x:f>IF(E1786="",MEDIAN($E$2:$E$2237),E1786)</x:f>
        <x:v>36075</x:v>
      </x:c>
      <x:c r="AE1786" s="17" t="n">
        <x:f>2014-B1786</x:f>
        <x:v>31</x:v>
      </x:c>
      <x:c r="AF1786" s="17" t="n">
        <x:f>F1786+G1786</x:f>
        <x:v>1</x:v>
      </x:c>
      <x:c r="AG1786" s="21" t="n">
        <x:f>SUM(J1786:O1786)</x:f>
        <x:v>119</x:v>
      </x:c>
      <x:c r="AH1786" s="17" t="n">
        <x:f>SUM(Q1786:S1786)</x:f>
        <x:v>6</x:v>
      </x:c>
      <x:c r="AI1786" s="17" t="n">
        <x:f>SUM(U1786:Y1786)</x:f>
        <x:v>0</x:v>
      </x:c>
      <x:c r="AJ1786" s="17" t="str">
        <x:f>IF(AE1786&lt;=34,"≤34",IF(AE1786&lt;=44,"35–44",IF(AE1786&lt;=54,"45–54",IF(AE1786&lt;=64,"55–64","65+"))))</x:f>
        <x:v>≤34</x:v>
      </x:c>
      <x:c r="AK1786" s="17" t="str">
        <x:f>IF(AG1786&gt;=1000,"High Value",IF(AG1786&gt;=300,"Mid Value","Low Value"))</x:f>
        <x:v>Low Value</x:v>
      </x:c>
      <x:c r="AL1786" s="17" t="str">
        <x:f>IF(AND(AI1786&gt;=1,I1786&lt;=50),"Priority 1",IF(AND(AG1786&gt;=1000,I1786&lt;=60),"Priority 2",IF(I1786&lt;=30,"Priority 3","Nurture")))</x:f>
        <x:v>Nurture</x:v>
      </x:c>
    </x:row>
    <x:row r="1787">
      <x:c r="A1787" s="16" t="n">
        <x:v>1513</x:v>
      </x:c>
      <x:c r="B1787" s="16" t="n">
        <x:v>1979</x:v>
      </x:c>
      <x:c r="C1787" s="16" t="str">
        <x:v>2n Cycle</x:v>
      </x:c>
      <x:c r="D1787" s="16" t="str">
        <x:v>Together</x:v>
      </x:c>
      <x:c r="E1787" s="16" t="n">
        <x:v>60839</x:v>
      </x:c>
      <x:c r="F1787" s="16" t="n">
        <x:v>1</x:v>
      </x:c>
      <x:c r="G1787" s="16" t="n">
        <x:v>1</x:v>
      </x:c>
      <x:c r="H1787" s="16" t="str">
        <x:v>28-08-2012</x:v>
      </x:c>
      <x:c r="I1787" s="16" t="n">
        <x:v>72</x:v>
      </x:c>
      <x:c r="J1787" s="16" t="n">
        <x:v>600</x:v>
      </x:c>
      <x:c r="K1787" s="16" t="n">
        <x:v>21</x:v>
      </x:c>
      <x:c r="L1787" s="16" t="n">
        <x:v>128</x:v>
      </x:c>
      <x:c r="M1787" s="16" t="n">
        <x:v>223</x:v>
      </x:c>
      <x:c r="N1787" s="16" t="n">
        <x:v>150</x:v>
      </x:c>
      <x:c r="O1787" s="16" t="n">
        <x:v>128</x:v>
      </x:c>
      <x:c r="P1787" s="16" t="n">
        <x:v>13</x:v>
      </x:c>
      <x:c r="Q1787" s="16" t="n">
        <x:v>2</x:v>
      </x:c>
      <x:c r="R1787" s="16" t="n">
        <x:v>2</x:v>
      </x:c>
      <x:c r="S1787" s="16" t="n">
        <x:v>12</x:v>
      </x:c>
      <x:c r="T1787" s="16" t="n">
        <x:v>8</x:v>
      </x:c>
      <x:c r="U1787" s="16" t="n">
        <x:v>0</x:v>
      </x:c>
      <x:c r="V1787" s="16" t="n">
        <x:v>0</x:v>
      </x:c>
      <x:c r="W1787" s="16" t="n">
        <x:v>0</x:v>
      </x:c>
      <x:c r="X1787" s="16" t="n">
        <x:v>0</x:v>
      </x:c>
      <x:c r="Y1787" s="16" t="n">
        <x:v>0</x:v>
      </x:c>
      <x:c r="Z1787" s="16" t="n">
        <x:v>0</x:v>
      </x:c>
      <x:c r="AA1787" s="16" t="n">
        <x:v>3</x:v>
      </x:c>
      <x:c r="AB1787" s="16" t="n">
        <x:v>11</x:v>
      </x:c>
      <x:c r="AC1787" s="16" t="n">
        <x:v>0</x:v>
      </x:c>
      <x:c r="AD1787" s="21" t="n">
        <x:f>IF(E1787="",MEDIAN($E$2:$E$2237),E1787)</x:f>
        <x:v>60839</x:v>
      </x:c>
      <x:c r="AE1787" s="17" t="n">
        <x:f>2014-B1787</x:f>
        <x:v>35</x:v>
      </x:c>
      <x:c r="AF1787" s="17" t="n">
        <x:f>F1787+G1787</x:f>
        <x:v>2</x:v>
      </x:c>
      <x:c r="AG1787" s="21" t="n">
        <x:f>SUM(J1787:O1787)</x:f>
        <x:v>1250</x:v>
      </x:c>
      <x:c r="AH1787" s="17" t="n">
        <x:f>SUM(Q1787:S1787)</x:f>
        <x:v>16</x:v>
      </x:c>
      <x:c r="AI1787" s="17" t="n">
        <x:f>SUM(U1787:Y1787)</x:f>
        <x:v>0</x:v>
      </x:c>
      <x:c r="AJ1787" s="17" t="str">
        <x:f>IF(AE1787&lt;=34,"≤34",IF(AE1787&lt;=44,"35–44",IF(AE1787&lt;=54,"45–54",IF(AE1787&lt;=64,"55–64","65+"))))</x:f>
        <x:v>35–44</x:v>
      </x:c>
      <x:c r="AK1787" s="17" t="str">
        <x:f>IF(AG1787&gt;=1000,"High Value",IF(AG1787&gt;=300,"Mid Value","Low Value"))</x:f>
        <x:v>High Value</x:v>
      </x:c>
      <x:c r="AL1787" s="17" t="str">
        <x:f>IF(AND(AI1787&gt;=1,I1787&lt;=50),"Priority 1",IF(AND(AG1787&gt;=1000,I1787&lt;=60),"Priority 2",IF(I1787&lt;=30,"Priority 3","Nurture")))</x:f>
        <x:v>Nurture</x:v>
      </x:c>
    </x:row>
    <x:row r="1788">
      <x:c r="A1788" s="16" t="n">
        <x:v>6173</x:v>
      </x:c>
      <x:c r="B1788" s="16" t="n">
        <x:v>1979</x:v>
      </x:c>
      <x:c r="C1788" s="16" t="str">
        <x:v>Graduation</x:v>
      </x:c>
      <x:c r="D1788" s="16" t="str">
        <x:v>Together</x:v>
      </x:c>
      <x:c r="E1788" s="16" t="n">
        <x:v>77298</x:v>
      </x:c>
      <x:c r="F1788" s="16" t="n">
        <x:v>0</x:v>
      </x:c>
      <x:c r="G1788" s="16" t="n">
        <x:v>1</x:v>
      </x:c>
      <x:c r="H1788" s="16" t="str">
        <x:v>02-11-2013</x:v>
      </x:c>
      <x:c r="I1788" s="16" t="n">
        <x:v>46</x:v>
      </x:c>
      <x:c r="J1788" s="16" t="n">
        <x:v>425</x:v>
      </x:c>
      <x:c r="K1788" s="16" t="n">
        <x:v>115</x:v>
      </x:c>
      <x:c r="L1788" s="16" t="n">
        <x:v>292</x:v>
      </x:c>
      <x:c r="M1788" s="16" t="n">
        <x:v>23</x:v>
      </x:c>
      <x:c r="N1788" s="16" t="n">
        <x:v>35</x:v>
      </x:c>
      <x:c r="O1788" s="16" t="n">
        <x:v>79</x:v>
      </x:c>
      <x:c r="P1788" s="16" t="n">
        <x:v>1</x:v>
      </x:c>
      <x:c r="Q1788" s="16" t="n">
        <x:v>6</x:v>
      </x:c>
      <x:c r="R1788" s="16" t="n">
        <x:v>6</x:v>
      </x:c>
      <x:c r="S1788" s="16" t="n">
        <x:v>11</x:v>
      </x:c>
      <x:c r="T1788" s="16" t="n">
        <x:v>3</x:v>
      </x:c>
      <x:c r="U1788" s="16" t="n">
        <x:v>0</x:v>
      </x:c>
      <x:c r="V1788" s="16" t="n">
        <x:v>0</x:v>
      </x:c>
      <x:c r="W1788" s="16" t="n">
        <x:v>0</x:v>
      </x:c>
      <x:c r="X1788" s="16" t="n">
        <x:v>0</x:v>
      </x:c>
      <x:c r="Y1788" s="16" t="n">
        <x:v>0</x:v>
      </x:c>
      <x:c r="Z1788" s="16" t="n">
        <x:v>0</x:v>
      </x:c>
      <x:c r="AA1788" s="16" t="n">
        <x:v>3</x:v>
      </x:c>
      <x:c r="AB1788" s="16" t="n">
        <x:v>11</x:v>
      </x:c>
      <x:c r="AC1788" s="16" t="n">
        <x:v>0</x:v>
      </x:c>
      <x:c r="AD1788" s="21" t="n">
        <x:f>IF(E1788="",MEDIAN($E$2:$E$2237),E1788)</x:f>
        <x:v>77298</x:v>
      </x:c>
      <x:c r="AE1788" s="17" t="n">
        <x:f>2014-B1788</x:f>
        <x:v>35</x:v>
      </x:c>
      <x:c r="AF1788" s="17" t="n">
        <x:f>F1788+G1788</x:f>
        <x:v>1</x:v>
      </x:c>
      <x:c r="AG1788" s="21" t="n">
        <x:f>SUM(J1788:O1788)</x:f>
        <x:v>969</x:v>
      </x:c>
      <x:c r="AH1788" s="17" t="n">
        <x:f>SUM(Q1788:S1788)</x:f>
        <x:v>23</x:v>
      </x:c>
      <x:c r="AI1788" s="17" t="n">
        <x:f>SUM(U1788:Y1788)</x:f>
        <x:v>0</x:v>
      </x:c>
      <x:c r="AJ1788" s="17" t="str">
        <x:f>IF(AE1788&lt;=34,"≤34",IF(AE1788&lt;=44,"35–44",IF(AE1788&lt;=54,"45–54",IF(AE1788&lt;=64,"55–64","65+"))))</x:f>
        <x:v>35–44</x:v>
      </x:c>
      <x:c r="AK1788" s="17" t="str">
        <x:f>IF(AG1788&gt;=1000,"High Value",IF(AG1788&gt;=300,"Mid Value","Low Value"))</x:f>
        <x:v>Mid Value</x:v>
      </x:c>
      <x:c r="AL1788" s="17" t="str">
        <x:f>IF(AND(AI1788&gt;=1,I1788&lt;=50),"Priority 1",IF(AND(AG1788&gt;=1000,I1788&lt;=60),"Priority 2",IF(I1788&lt;=30,"Priority 3","Nurture")))</x:f>
        <x:v>Nurture</x:v>
      </x:c>
    </x:row>
    <x:row r="1789">
      <x:c r="A1789" s="16" t="n">
        <x:v>1419</x:v>
      </x:c>
      <x:c r="B1789" s="16" t="n">
        <x:v>1950</x:v>
      </x:c>
      <x:c r="C1789" s="16" t="str">
        <x:v>Graduation</x:v>
      </x:c>
      <x:c r="D1789" s="16" t="str">
        <x:v>Together</x:v>
      </x:c>
      <x:c r="E1789" s="16" t="n">
        <x:v>34026</x:v>
      </x:c>
      <x:c r="F1789" s="16" t="n">
        <x:v>1</x:v>
      </x:c>
      <x:c r="G1789" s="16" t="n">
        <x:v>1</x:v>
      </x:c>
      <x:c r="H1789" s="16" t="str">
        <x:v>05-08-2013</x:v>
      </x:c>
      <x:c r="I1789" s="16" t="n">
        <x:v>11</x:v>
      </x:c>
      <x:c r="J1789" s="16" t="n">
        <x:v>18</x:v>
      </x:c>
      <x:c r="K1789" s="16" t="n">
        <x:v>6</x:v>
      </x:c>
      <x:c r="L1789" s="16" t="n">
        <x:v>15</x:v>
      </x:c>
      <x:c r="M1789" s="16" t="n">
        <x:v>12</x:v>
      </x:c>
      <x:c r="N1789" s="16" t="n">
        <x:v>8</x:v>
      </x:c>
      <x:c r="O1789" s="16" t="n">
        <x:v>17</x:v>
      </x:c>
      <x:c r="P1789" s="16" t="n">
        <x:v>3</x:v>
      </x:c>
      <x:c r="Q1789" s="16" t="n">
        <x:v>2</x:v>
      </x:c>
      <x:c r="R1789" s="16" t="n">
        <x:v>1</x:v>
      </x:c>
      <x:c r="S1789" s="16" t="n">
        <x:v>3</x:v>
      </x:c>
      <x:c r="T1789" s="16" t="n">
        <x:v>5</x:v>
      </x:c>
      <x:c r="U1789" s="16" t="n">
        <x:v>0</x:v>
      </x:c>
      <x:c r="V1789" s="16" t="n">
        <x:v>0</x:v>
      </x:c>
      <x:c r="W1789" s="16" t="n">
        <x:v>0</x:v>
      </x:c>
      <x:c r="X1789" s="16" t="n">
        <x:v>0</x:v>
      </x:c>
      <x:c r="Y1789" s="16" t="n">
        <x:v>0</x:v>
      </x:c>
      <x:c r="Z1789" s="16" t="n">
        <x:v>0</x:v>
      </x:c>
      <x:c r="AA1789" s="16" t="n">
        <x:v>3</x:v>
      </x:c>
      <x:c r="AB1789" s="16" t="n">
        <x:v>11</x:v>
      </x:c>
      <x:c r="AC1789" s="16" t="n">
        <x:v>0</x:v>
      </x:c>
      <x:c r="AD1789" s="21" t="n">
        <x:f>IF(E1789="",MEDIAN($E$2:$E$2237),E1789)</x:f>
        <x:v>34026</x:v>
      </x:c>
      <x:c r="AE1789" s="17" t="n">
        <x:f>2014-B1789</x:f>
        <x:v>64</x:v>
      </x:c>
      <x:c r="AF1789" s="17" t="n">
        <x:f>F1789+G1789</x:f>
        <x:v>2</x:v>
      </x:c>
      <x:c r="AG1789" s="21" t="n">
        <x:f>SUM(J1789:O1789)</x:f>
        <x:v>76</x:v>
      </x:c>
      <x:c r="AH1789" s="17" t="n">
        <x:f>SUM(Q1789:S1789)</x:f>
        <x:v>6</x:v>
      </x:c>
      <x:c r="AI1789" s="17" t="n">
        <x:f>SUM(U1789:Y1789)</x:f>
        <x:v>0</x:v>
      </x:c>
      <x:c r="AJ1789" s="17" t="str">
        <x:f>IF(AE1789&lt;=34,"≤34",IF(AE1789&lt;=44,"35–44",IF(AE1789&lt;=54,"45–54",IF(AE1789&lt;=64,"55–64","65+"))))</x:f>
        <x:v>55–64</x:v>
      </x:c>
      <x:c r="AK1789" s="17" t="str">
        <x:f>IF(AG1789&gt;=1000,"High Value",IF(AG1789&gt;=300,"Mid Value","Low Value"))</x:f>
        <x:v>Low Value</x:v>
      </x:c>
      <x:c r="AL1789" s="17" t="str">
        <x:f>IF(AND(AI1789&gt;=1,I1789&lt;=50),"Priority 1",IF(AND(AG1789&gt;=1000,I1789&lt;=60),"Priority 2",IF(I1789&lt;=30,"Priority 3","Nurture")))</x:f>
        <x:v>Priority 3</x:v>
      </x:c>
    </x:row>
    <x:row r="1790">
      <x:c r="A1790" s="16" t="n">
        <x:v>9150</x:v>
      </x:c>
      <x:c r="B1790" s="16" t="n">
        <x:v>1963</x:v>
      </x:c>
      <x:c r="C1790" s="16" t="str">
        <x:v>PhD</x:v>
      </x:c>
      <x:c r="D1790" s="16" t="str">
        <x:v>Single</x:v>
      </x:c>
      <x:c r="E1790" s="16" t="n">
        <x:v>48918</x:v>
      </x:c>
      <x:c r="F1790" s="16" t="n">
        <x:v>1</x:v>
      </x:c>
      <x:c r="G1790" s="16" t="n">
        <x:v>1</x:v>
      </x:c>
      <x:c r="H1790" s="16" t="str">
        <x:v>12-04-2014</x:v>
      </x:c>
      <x:c r="I1790" s="16" t="n">
        <x:v>21</x:v>
      </x:c>
      <x:c r="J1790" s="16" t="n">
        <x:v>52</x:v>
      </x:c>
      <x:c r="K1790" s="16" t="n">
        <x:v>0</x:v>
      </x:c>
      <x:c r="L1790" s="16" t="n">
        <x:v>9</x:v>
      </x:c>
      <x:c r="M1790" s="16" t="n">
        <x:v>0</x:v>
      </x:c>
      <x:c r="N1790" s="16" t="n">
        <x:v>0</x:v>
      </x:c>
      <x:c r="O1790" s="16" t="n">
        <x:v>1</x:v>
      </x:c>
      <x:c r="P1790" s="16" t="n">
        <x:v>2</x:v>
      </x:c>
      <x:c r="Q1790" s="16" t="n">
        <x:v>1</x:v>
      </x:c>
      <x:c r="R1790" s="16" t="n">
        <x:v>0</x:v>
      </x:c>
      <x:c r="S1790" s="16" t="n">
        <x:v>4</x:v>
      </x:c>
      <x:c r="T1790" s="16" t="n">
        <x:v>4</x:v>
      </x:c>
      <x:c r="U1790" s="16" t="n">
        <x:v>0</x:v>
      </x:c>
      <x:c r="V1790" s="16" t="n">
        <x:v>0</x:v>
      </x:c>
      <x:c r="W1790" s="16" t="n">
        <x:v>0</x:v>
      </x:c>
      <x:c r="X1790" s="16" t="n">
        <x:v>0</x:v>
      </x:c>
      <x:c r="Y1790" s="16" t="n">
        <x:v>0</x:v>
      </x:c>
      <x:c r="Z1790" s="16" t="n">
        <x:v>0</x:v>
      </x:c>
      <x:c r="AA1790" s="16" t="n">
        <x:v>3</x:v>
      </x:c>
      <x:c r="AB1790" s="16" t="n">
        <x:v>11</x:v>
      </x:c>
      <x:c r="AC1790" s="16" t="n">
        <x:v>0</x:v>
      </x:c>
      <x:c r="AD1790" s="21" t="n">
        <x:f>IF(E1790="",MEDIAN($E$2:$E$2237),E1790)</x:f>
        <x:v>48918</x:v>
      </x:c>
      <x:c r="AE1790" s="17" t="n">
        <x:f>2014-B1790</x:f>
        <x:v>51</x:v>
      </x:c>
      <x:c r="AF1790" s="17" t="n">
        <x:f>F1790+G1790</x:f>
        <x:v>2</x:v>
      </x:c>
      <x:c r="AG1790" s="21" t="n">
        <x:f>SUM(J1790:O1790)</x:f>
        <x:v>62</x:v>
      </x:c>
      <x:c r="AH1790" s="17" t="n">
        <x:f>SUM(Q1790:S1790)</x:f>
        <x:v>5</x:v>
      </x:c>
      <x:c r="AI1790" s="17" t="n">
        <x:f>SUM(U1790:Y1790)</x:f>
        <x:v>0</x:v>
      </x:c>
      <x:c r="AJ1790" s="17" t="str">
        <x:f>IF(AE1790&lt;=34,"≤34",IF(AE1790&lt;=44,"35–44",IF(AE1790&lt;=54,"45–54",IF(AE1790&lt;=64,"55–64","65+"))))</x:f>
        <x:v>45–54</x:v>
      </x:c>
      <x:c r="AK1790" s="17" t="str">
        <x:f>IF(AG1790&gt;=1000,"High Value",IF(AG1790&gt;=300,"Mid Value","Low Value"))</x:f>
        <x:v>Low Value</x:v>
      </x:c>
      <x:c r="AL1790" s="17" t="str">
        <x:f>IF(AND(AI1790&gt;=1,I1790&lt;=50),"Priority 1",IF(AND(AG1790&gt;=1000,I1790&lt;=60),"Priority 2",IF(I1790&lt;=30,"Priority 3","Nurture")))</x:f>
        <x:v>Priority 3</x:v>
      </x:c>
    </x:row>
    <x:row r="1791">
      <x:c r="A1791" s="16" t="n">
        <x:v>7960</x:v>
      </x:c>
      <x:c r="B1791" s="16" t="n">
        <x:v>1962</x:v>
      </x:c>
      <x:c r="C1791" s="16" t="str">
        <x:v>2n Cycle</x:v>
      </x:c>
      <x:c r="D1791" s="16" t="str">
        <x:v>Together</x:v>
      </x:c>
      <x:c r="E1791" s="16" t="n">
        <x:v>82122</x:v>
      </x:c>
      <x:c r="F1791" s="16" t="n">
        <x:v>0</x:v>
      </x:c>
      <x:c r="G1791" s="16" t="n">
        <x:v>0</x:v>
      </x:c>
      <x:c r="H1791" s="16" t="str">
        <x:v>15-08-2013</x:v>
      </x:c>
      <x:c r="I1791" s="16" t="n">
        <x:v>89</x:v>
      </x:c>
      <x:c r="J1791" s="16" t="n">
        <x:v>734</x:v>
      </x:c>
      <x:c r="K1791" s="16" t="n">
        <x:v>22</x:v>
      </x:c>
      <x:c r="L1791" s="16" t="n">
        <x:v>350</x:v>
      </x:c>
      <x:c r="M1791" s="16" t="n">
        <x:v>151</x:v>
      </x:c>
      <x:c r="N1791" s="16" t="n">
        <x:v>25</x:v>
      </x:c>
      <x:c r="O1791" s="16" t="n">
        <x:v>100</x:v>
      </x:c>
      <x:c r="P1791" s="16" t="n">
        <x:v>1</x:v>
      </x:c>
      <x:c r="Q1791" s="16" t="n">
        <x:v>3</x:v>
      </x:c>
      <x:c r="R1791" s="16" t="n">
        <x:v>9</x:v>
      </x:c>
      <x:c r="S1791" s="16" t="n">
        <x:v>13</x:v>
      </x:c>
      <x:c r="T1791" s="16" t="n">
        <x:v>1</x:v>
      </x:c>
      <x:c r="U1791" s="16" t="n">
        <x:v>0</x:v>
      </x:c>
      <x:c r="V1791" s="16" t="n">
        <x:v>0</x:v>
      </x:c>
      <x:c r="W1791" s="16" t="n">
        <x:v>1</x:v>
      </x:c>
      <x:c r="X1791" s="16" t="n">
        <x:v>0</x:v>
      </x:c>
      <x:c r="Y1791" s="16" t="n">
        <x:v>0</x:v>
      </x:c>
      <x:c r="Z1791" s="16" t="n">
        <x:v>0</x:v>
      </x:c>
      <x:c r="AA1791" s="16" t="n">
        <x:v>3</x:v>
      </x:c>
      <x:c r="AB1791" s="16" t="n">
        <x:v>11</x:v>
      </x:c>
      <x:c r="AC1791" s="16" t="n">
        <x:v>0</x:v>
      </x:c>
      <x:c r="AD1791" s="21" t="n">
        <x:f>IF(E1791="",MEDIAN($E$2:$E$2237),E1791)</x:f>
        <x:v>82122</x:v>
      </x:c>
      <x:c r="AE1791" s="17" t="n">
        <x:f>2014-B1791</x:f>
        <x:v>52</x:v>
      </x:c>
      <x:c r="AF1791" s="17" t="n">
        <x:f>F1791+G1791</x:f>
        <x:v>0</x:v>
      </x:c>
      <x:c r="AG1791" s="21" t="n">
        <x:f>SUM(J1791:O1791)</x:f>
        <x:v>1382</x:v>
      </x:c>
      <x:c r="AH1791" s="17" t="n">
        <x:f>SUM(Q1791:S1791)</x:f>
        <x:v>25</x:v>
      </x:c>
      <x:c r="AI1791" s="17" t="n">
        <x:f>SUM(U1791:Y1791)</x:f>
        <x:v>1</x:v>
      </x:c>
      <x:c r="AJ1791" s="17" t="str">
        <x:f>IF(AE1791&lt;=34,"≤34",IF(AE1791&lt;=44,"35–44",IF(AE1791&lt;=54,"45–54",IF(AE1791&lt;=64,"55–64","65+"))))</x:f>
        <x:v>45–54</x:v>
      </x:c>
      <x:c r="AK1791" s="17" t="str">
        <x:f>IF(AG1791&gt;=1000,"High Value",IF(AG1791&gt;=300,"Mid Value","Low Value"))</x:f>
        <x:v>High Value</x:v>
      </x:c>
      <x:c r="AL1791" s="17" t="str">
        <x:f>IF(AND(AI1791&gt;=1,I1791&lt;=50),"Priority 1",IF(AND(AG1791&gt;=1000,I1791&lt;=60),"Priority 2",IF(I1791&lt;=30,"Priority 3","Nurture")))</x:f>
        <x:v>Nurture</x:v>
      </x:c>
    </x:row>
    <x:row r="1792">
      <x:c r="A1792" s="16" t="n">
        <x:v>1250</x:v>
      </x:c>
      <x:c r="B1792" s="16" t="n">
        <x:v>1976</x:v>
      </x:c>
      <x:c r="C1792" s="16" t="str">
        <x:v>Graduation</x:v>
      </x:c>
      <x:c r="D1792" s="16" t="str">
        <x:v>Single</x:v>
      </x:c>
      <x:c r="E1792" s="16" t="n">
        <x:v>37697</x:v>
      </x:c>
      <x:c r="F1792" s="16" t="n">
        <x:v>1</x:v>
      </x:c>
      <x:c r="G1792" s="16" t="n">
        <x:v>0</x:v>
      </x:c>
      <x:c r="H1792" s="16" t="str">
        <x:v>07-02-2014</x:v>
      </x:c>
      <x:c r="I1792" s="16" t="n">
        <x:v>82</x:v>
      </x:c>
      <x:c r="J1792" s="16" t="n">
        <x:v>34</x:v>
      </x:c>
      <x:c r="K1792" s="16" t="n">
        <x:v>6</x:v>
      </x:c>
      <x:c r="L1792" s="16" t="n">
        <x:v>21</x:v>
      </x:c>
      <x:c r="M1792" s="16" t="n">
        <x:v>11</x:v>
      </x:c>
      <x:c r="N1792" s="16" t="n">
        <x:v>4</x:v>
      </x:c>
      <x:c r="O1792" s="16" t="n">
        <x:v>8</x:v>
      </x:c>
      <x:c r="P1792" s="16" t="n">
        <x:v>1</x:v>
      </x:c>
      <x:c r="Q1792" s="16" t="n">
        <x:v>2</x:v>
      </x:c>
      <x:c r="R1792" s="16" t="n">
        <x:v>1</x:v>
      </x:c>
      <x:c r="S1792" s="16" t="n">
        <x:v>3</x:v>
      </x:c>
      <x:c r="T1792" s="16" t="n">
        <x:v>6</x:v>
      </x:c>
      <x:c r="U1792" s="16" t="n">
        <x:v>0</x:v>
      </x:c>
      <x:c r="V1792" s="16" t="n">
        <x:v>0</x:v>
      </x:c>
      <x:c r="W1792" s="16" t="n">
        <x:v>0</x:v>
      </x:c>
      <x:c r="X1792" s="16" t="n">
        <x:v>0</x:v>
      </x:c>
      <x:c r="Y1792" s="16" t="n">
        <x:v>0</x:v>
      </x:c>
      <x:c r="Z1792" s="16" t="n">
        <x:v>0</x:v>
      </x:c>
      <x:c r="AA1792" s="16" t="n">
        <x:v>3</x:v>
      </x:c>
      <x:c r="AB1792" s="16" t="n">
        <x:v>11</x:v>
      </x:c>
      <x:c r="AC1792" s="16" t="n">
        <x:v>0</x:v>
      </x:c>
      <x:c r="AD1792" s="21" t="n">
        <x:f>IF(E1792="",MEDIAN($E$2:$E$2237),E1792)</x:f>
        <x:v>37697</x:v>
      </x:c>
      <x:c r="AE1792" s="17" t="n">
        <x:f>2014-B1792</x:f>
        <x:v>38</x:v>
      </x:c>
      <x:c r="AF1792" s="17" t="n">
        <x:f>F1792+G1792</x:f>
        <x:v>1</x:v>
      </x:c>
      <x:c r="AG1792" s="21" t="n">
        <x:f>SUM(J1792:O1792)</x:f>
        <x:v>84</x:v>
      </x:c>
      <x:c r="AH1792" s="17" t="n">
        <x:f>SUM(Q1792:S1792)</x:f>
        <x:v>6</x:v>
      </x:c>
      <x:c r="AI1792" s="17" t="n">
        <x:f>SUM(U1792:Y1792)</x:f>
        <x:v>0</x:v>
      </x:c>
      <x:c r="AJ1792" s="17" t="str">
        <x:f>IF(AE1792&lt;=34,"≤34",IF(AE1792&lt;=44,"35–44",IF(AE1792&lt;=54,"45–54",IF(AE1792&lt;=64,"55–64","65+"))))</x:f>
        <x:v>35–44</x:v>
      </x:c>
      <x:c r="AK1792" s="17" t="str">
        <x:f>IF(AG1792&gt;=1000,"High Value",IF(AG1792&gt;=300,"Mid Value","Low Value"))</x:f>
        <x:v>Low Value</x:v>
      </x:c>
      <x:c r="AL1792" s="17" t="str">
        <x:f>IF(AND(AI1792&gt;=1,I1792&lt;=50),"Priority 1",IF(AND(AG1792&gt;=1000,I1792&lt;=60),"Priority 2",IF(I1792&lt;=30,"Priority 3","Nurture")))</x:f>
        <x:v>Nurture</x:v>
      </x:c>
    </x:row>
    <x:row r="1793">
      <x:c r="A1793" s="16" t="n">
        <x:v>9905</x:v>
      </x:c>
      <x:c r="B1793" s="16" t="n">
        <x:v>1952</x:v>
      </x:c>
      <x:c r="C1793" s="16" t="str">
        <x:v>Graduation</x:v>
      </x:c>
      <x:c r="D1793" s="16" t="str">
        <x:v>Together</x:v>
      </x:c>
      <x:c r="E1793" s="16" t="n">
        <x:v>34074</x:v>
      </x:c>
      <x:c r="F1793" s="16" t="n">
        <x:v>1</x:v>
      </x:c>
      <x:c r="G1793" s="16" t="n">
        <x:v>1</x:v>
      </x:c>
      <x:c r="H1793" s="16" t="str">
        <x:v>13-07-2013</x:v>
      </x:c>
      <x:c r="I1793" s="16" t="n">
        <x:v>69</x:v>
      </x:c>
      <x:c r="J1793" s="16" t="n">
        <x:v>135</x:v>
      </x:c>
      <x:c r="K1793" s="16" t="n">
        <x:v>1</x:v>
      </x:c>
      <x:c r="L1793" s="16" t="n">
        <x:v>41</x:v>
      </x:c>
      <x:c r="M1793" s="16" t="n">
        <x:v>10</x:v>
      </x:c>
      <x:c r="N1793" s="16" t="n">
        <x:v>1</x:v>
      </x:c>
      <x:c r="O1793" s="16" t="n">
        <x:v>67</x:v>
      </x:c>
      <x:c r="P1793" s="16" t="n">
        <x:v>5</x:v>
      </x:c>
      <x:c r="Q1793" s="16" t="n">
        <x:v>3</x:v>
      </x:c>
      <x:c r="R1793" s="16" t="n">
        <x:v>3</x:v>
      </x:c>
      <x:c r="S1793" s="16" t="n">
        <x:v>3</x:v>
      </x:c>
      <x:c r="T1793" s="16" t="n">
        <x:v>6</x:v>
      </x:c>
      <x:c r="U1793" s="16" t="n">
        <x:v>1</x:v>
      </x:c>
      <x:c r="V1793" s="16" t="n">
        <x:v>0</x:v>
      </x:c>
      <x:c r="W1793" s="16" t="n">
        <x:v>0</x:v>
      </x:c>
      <x:c r="X1793" s="16" t="n">
        <x:v>0</x:v>
      </x:c>
      <x:c r="Y1793" s="16" t="n">
        <x:v>0</x:v>
      </x:c>
      <x:c r="Z1793" s="16" t="n">
        <x:v>0</x:v>
      </x:c>
      <x:c r="AA1793" s="16" t="n">
        <x:v>3</x:v>
      </x:c>
      <x:c r="AB1793" s="16" t="n">
        <x:v>11</x:v>
      </x:c>
      <x:c r="AC1793" s="16" t="n">
        <x:v>0</x:v>
      </x:c>
      <x:c r="AD1793" s="21" t="n">
        <x:f>IF(E1793="",MEDIAN($E$2:$E$2237),E1793)</x:f>
        <x:v>34074</x:v>
      </x:c>
      <x:c r="AE1793" s="17" t="n">
        <x:f>2014-B1793</x:f>
        <x:v>62</x:v>
      </x:c>
      <x:c r="AF1793" s="17" t="n">
        <x:f>F1793+G1793</x:f>
        <x:v>2</x:v>
      </x:c>
      <x:c r="AG1793" s="21" t="n">
        <x:f>SUM(J1793:O1793)</x:f>
        <x:v>255</x:v>
      </x:c>
      <x:c r="AH1793" s="17" t="n">
        <x:f>SUM(Q1793:S1793)</x:f>
        <x:v>9</x:v>
      </x:c>
      <x:c r="AI1793" s="17" t="n">
        <x:f>SUM(U1793:Y1793)</x:f>
        <x:v>1</x:v>
      </x:c>
      <x:c r="AJ1793" s="17" t="str">
        <x:f>IF(AE1793&lt;=34,"≤34",IF(AE1793&lt;=44,"35–44",IF(AE1793&lt;=54,"45–54",IF(AE1793&lt;=64,"55–64","65+"))))</x:f>
        <x:v>55–64</x:v>
      </x:c>
      <x:c r="AK1793" s="17" t="str">
        <x:f>IF(AG1793&gt;=1000,"High Value",IF(AG1793&gt;=300,"Mid Value","Low Value"))</x:f>
        <x:v>Low Value</x:v>
      </x:c>
      <x:c r="AL1793" s="17" t="str">
        <x:f>IF(AND(AI1793&gt;=1,I1793&lt;=50),"Priority 1",IF(AND(AG1793&gt;=1000,I1793&lt;=60),"Priority 2",IF(I1793&lt;=30,"Priority 3","Nurture")))</x:f>
        <x:v>Nurture</x:v>
      </x:c>
    </x:row>
    <x:row r="1794">
      <x:c r="A1794" s="16" t="n">
        <x:v>10691</x:v>
      </x:c>
      <x:c r="B1794" s="16" t="n">
        <x:v>1960</x:v>
      </x:c>
      <x:c r="C1794" s="16" t="str">
        <x:v>Master</x:v>
      </x:c>
      <x:c r="D1794" s="16" t="str">
        <x:v>Married</x:v>
      </x:c>
      <x:c r="E1794" s="16" t="n">
        <x:v>28520</x:v>
      </x:c>
      <x:c r="F1794" s="16" t="n">
        <x:v>1</x:v>
      </x:c>
      <x:c r="G1794" s="16" t="n">
        <x:v>1</x:v>
      </x:c>
      <x:c r="H1794" s="16" t="str">
        <x:v>14-06-2013</x:v>
      </x:c>
      <x:c r="I1794" s="16" t="n">
        <x:v>55</x:v>
      </x:c>
      <x:c r="J1794" s="16" t="n">
        <x:v>11</x:v>
      </x:c>
      <x:c r="K1794" s="16" t="n">
        <x:v>0</x:v>
      </x:c>
      <x:c r="L1794" s="16" t="n">
        <x:v>10</x:v>
      </x:c>
      <x:c r="M1794" s="16" t="n">
        <x:v>0</x:v>
      </x:c>
      <x:c r="N1794" s="16" t="n">
        <x:v>2</x:v>
      </x:c>
      <x:c r="O1794" s="16" t="n">
        <x:v>20</x:v>
      </x:c>
      <x:c r="P1794" s="16" t="n">
        <x:v>1</x:v>
      </x:c>
      <x:c r="Q1794" s="16" t="n">
        <x:v>1</x:v>
      </x:c>
      <x:c r="R1794" s="16" t="n">
        <x:v>1</x:v>
      </x:c>
      <x:c r="S1794" s="16" t="n">
        <x:v>2</x:v>
      </x:c>
      <x:c r="T1794" s="16" t="n">
        <x:v>6</x:v>
      </x:c>
      <x:c r="U1794" s="16" t="n">
        <x:v>0</x:v>
      </x:c>
      <x:c r="V1794" s="16" t="n">
        <x:v>0</x:v>
      </x:c>
      <x:c r="W1794" s="16" t="n">
        <x:v>0</x:v>
      </x:c>
      <x:c r="X1794" s="16" t="n">
        <x:v>0</x:v>
      </x:c>
      <x:c r="Y1794" s="16" t="n">
        <x:v>0</x:v>
      </x:c>
      <x:c r="Z1794" s="16" t="n">
        <x:v>0</x:v>
      </x:c>
      <x:c r="AA1794" s="16" t="n">
        <x:v>3</x:v>
      </x:c>
      <x:c r="AB1794" s="16" t="n">
        <x:v>11</x:v>
      </x:c>
      <x:c r="AC1794" s="16" t="n">
        <x:v>0</x:v>
      </x:c>
      <x:c r="AD1794" s="21" t="n">
        <x:f>IF(E1794="",MEDIAN($E$2:$E$2237),E1794)</x:f>
        <x:v>28520</x:v>
      </x:c>
      <x:c r="AE1794" s="17" t="n">
        <x:f>2014-B1794</x:f>
        <x:v>54</x:v>
      </x:c>
      <x:c r="AF1794" s="17" t="n">
        <x:f>F1794+G1794</x:f>
        <x:v>2</x:v>
      </x:c>
      <x:c r="AG1794" s="21" t="n">
        <x:f>SUM(J1794:O1794)</x:f>
        <x:v>43</x:v>
      </x:c>
      <x:c r="AH1794" s="17" t="n">
        <x:f>SUM(Q1794:S1794)</x:f>
        <x:v>4</x:v>
      </x:c>
      <x:c r="AI1794" s="17" t="n">
        <x:f>SUM(U1794:Y1794)</x:f>
        <x:v>0</x:v>
      </x:c>
      <x:c r="AJ1794" s="17" t="str">
        <x:f>IF(AE1794&lt;=34,"≤34",IF(AE1794&lt;=44,"35–44",IF(AE1794&lt;=54,"45–54",IF(AE1794&lt;=64,"55–64","65+"))))</x:f>
        <x:v>45–54</x:v>
      </x:c>
      <x:c r="AK1794" s="17" t="str">
        <x:f>IF(AG1794&gt;=1000,"High Value",IF(AG1794&gt;=300,"Mid Value","Low Value"))</x:f>
        <x:v>Low Value</x:v>
      </x:c>
      <x:c r="AL1794" s="17" t="str">
        <x:f>IF(AND(AI1794&gt;=1,I1794&lt;=50),"Priority 1",IF(AND(AG1794&gt;=1000,I1794&lt;=60),"Priority 2",IF(I1794&lt;=30,"Priority 3","Nurture")))</x:f>
        <x:v>Nurture</x:v>
      </x:c>
    </x:row>
    <x:row r="1795">
      <x:c r="A1795" s="16" t="n">
        <x:v>7002</x:v>
      </x:c>
      <x:c r="B1795" s="16" t="n">
        <x:v>1955</x:v>
      </x:c>
      <x:c r="C1795" s="16" t="str">
        <x:v>Graduation</x:v>
      </x:c>
      <x:c r="D1795" s="16" t="str">
        <x:v>Single</x:v>
      </x:c>
      <x:c r="E1795" s="16" t="n">
        <x:v>62535</x:v>
      </x:c>
      <x:c r="F1795" s="16" t="n">
        <x:v>0</x:v>
      </x:c>
      <x:c r="G1795" s="16" t="n">
        <x:v>1</x:v>
      </x:c>
      <x:c r="H1795" s="16" t="str">
        <x:v>03-10-2013</x:v>
      </x:c>
      <x:c r="I1795" s="16" t="n">
        <x:v>13</x:v>
      </x:c>
      <x:c r="J1795" s="16" t="n">
        <x:v>163</x:v>
      </x:c>
      <x:c r="K1795" s="16" t="n">
        <x:v>48</x:v>
      </x:c>
      <x:c r="L1795" s="16" t="n">
        <x:v>90</x:v>
      </x:c>
      <x:c r="M1795" s="16" t="n">
        <x:v>0</x:v>
      </x:c>
      <x:c r="N1795" s="16" t="n">
        <x:v>45</x:v>
      </x:c>
      <x:c r="O1795" s="16" t="n">
        <x:v>52</x:v>
      </x:c>
      <x:c r="P1795" s="16" t="n">
        <x:v>1</x:v>
      </x:c>
      <x:c r="Q1795" s="16" t="n">
        <x:v>3</x:v>
      </x:c>
      <x:c r="R1795" s="16" t="n">
        <x:v>2</x:v>
      </x:c>
      <x:c r="S1795" s="16" t="n">
        <x:v>8</x:v>
      </x:c>
      <x:c r="T1795" s="16" t="n">
        <x:v>3</x:v>
      </x:c>
      <x:c r="U1795" s="16" t="n">
        <x:v>0</x:v>
      </x:c>
      <x:c r="V1795" s="16" t="n">
        <x:v>0</x:v>
      </x:c>
      <x:c r="W1795" s="16" t="n">
        <x:v>0</x:v>
      </x:c>
      <x:c r="X1795" s="16" t="n">
        <x:v>0</x:v>
      </x:c>
      <x:c r="Y1795" s="16" t="n">
        <x:v>0</x:v>
      </x:c>
      <x:c r="Z1795" s="16" t="n">
        <x:v>0</x:v>
      </x:c>
      <x:c r="AA1795" s="16" t="n">
        <x:v>3</x:v>
      </x:c>
      <x:c r="AB1795" s="16" t="n">
        <x:v>11</x:v>
      </x:c>
      <x:c r="AC1795" s="16" t="n">
        <x:v>0</x:v>
      </x:c>
      <x:c r="AD1795" s="21" t="n">
        <x:f>IF(E1795="",MEDIAN($E$2:$E$2237),E1795)</x:f>
        <x:v>62535</x:v>
      </x:c>
      <x:c r="AE1795" s="17" t="n">
        <x:f>2014-B1795</x:f>
        <x:v>59</x:v>
      </x:c>
      <x:c r="AF1795" s="17" t="n">
        <x:f>F1795+G1795</x:f>
        <x:v>1</x:v>
      </x:c>
      <x:c r="AG1795" s="21" t="n">
        <x:f>SUM(J1795:O1795)</x:f>
        <x:v>398</x:v>
      </x:c>
      <x:c r="AH1795" s="17" t="n">
        <x:f>SUM(Q1795:S1795)</x:f>
        <x:v>13</x:v>
      </x:c>
      <x:c r="AI1795" s="17" t="n">
        <x:f>SUM(U1795:Y1795)</x:f>
        <x:v>0</x:v>
      </x:c>
      <x:c r="AJ1795" s="17" t="str">
        <x:f>IF(AE1795&lt;=34,"≤34",IF(AE1795&lt;=44,"35–44",IF(AE1795&lt;=54,"45–54",IF(AE1795&lt;=64,"55–64","65+"))))</x:f>
        <x:v>55–64</x:v>
      </x:c>
      <x:c r="AK1795" s="17" t="str">
        <x:f>IF(AG1795&gt;=1000,"High Value",IF(AG1795&gt;=300,"Mid Value","Low Value"))</x:f>
        <x:v>Mid Value</x:v>
      </x:c>
      <x:c r="AL1795" s="17" t="str">
        <x:f>IF(AND(AI1795&gt;=1,I1795&lt;=50),"Priority 1",IF(AND(AG1795&gt;=1000,I1795&lt;=60),"Priority 2",IF(I1795&lt;=30,"Priority 3","Nurture")))</x:f>
        <x:v>Priority 3</x:v>
      </x:c>
    </x:row>
    <x:row r="1796">
      <x:c r="A1796" s="16" t="n">
        <x:v>2952</x:v>
      </x:c>
      <x:c r="B1796" s="16" t="n">
        <x:v>1977</x:v>
      </x:c>
      <x:c r="C1796" s="16" t="str">
        <x:v>Master</x:v>
      </x:c>
      <x:c r="D1796" s="16" t="str">
        <x:v>Single</x:v>
      </x:c>
      <x:c r="E1796" s="16" t="n">
        <x:v>36273</x:v>
      </x:c>
      <x:c r="F1796" s="16" t="n">
        <x:v>1</x:v>
      </x:c>
      <x:c r="G1796" s="16" t="n">
        <x:v>0</x:v>
      </x:c>
      <x:c r="H1796" s="16" t="str">
        <x:v>16-04-2014</x:v>
      </x:c>
      <x:c r="I1796" s="16" t="n">
        <x:v>80</x:v>
      </x:c>
      <x:c r="J1796" s="16" t="n">
        <x:v>29</x:v>
      </x:c>
      <x:c r="K1796" s="16" t="n">
        <x:v>3</x:v>
      </x:c>
      <x:c r="L1796" s="16" t="n">
        <x:v>30</x:v>
      </x:c>
      <x:c r="M1796" s="16" t="n">
        <x:v>3</x:v>
      </x:c>
      <x:c r="N1796" s="16" t="n">
        <x:v>2</x:v>
      </x:c>
      <x:c r="O1796" s="16" t="n">
        <x:v>9</x:v>
      </x:c>
      <x:c r="P1796" s="16" t="n">
        <x:v>2</x:v>
      </x:c>
      <x:c r="Q1796" s="16" t="n">
        <x:v>3</x:v>
      </x:c>
      <x:c r="R1796" s="16" t="n">
        <x:v>0</x:v>
      </x:c>
      <x:c r="S1796" s="16" t="n">
        <x:v>3</x:v>
      </x:c>
      <x:c r="T1796" s="16" t="n">
        <x:v>6</x:v>
      </x:c>
      <x:c r="U1796" s="16" t="n">
        <x:v>0</x:v>
      </x:c>
      <x:c r="V1796" s="16" t="n">
        <x:v>0</x:v>
      </x:c>
      <x:c r="W1796" s="16" t="n">
        <x:v>0</x:v>
      </x:c>
      <x:c r="X1796" s="16" t="n">
        <x:v>0</x:v>
      </x:c>
      <x:c r="Y1796" s="16" t="n">
        <x:v>0</x:v>
      </x:c>
      <x:c r="Z1796" s="16" t="n">
        <x:v>0</x:v>
      </x:c>
      <x:c r="AA1796" s="16" t="n">
        <x:v>3</x:v>
      </x:c>
      <x:c r="AB1796" s="16" t="n">
        <x:v>11</x:v>
      </x:c>
      <x:c r="AC1796" s="16" t="n">
        <x:v>0</x:v>
      </x:c>
      <x:c r="AD1796" s="21" t="n">
        <x:f>IF(E1796="",MEDIAN($E$2:$E$2237),E1796)</x:f>
        <x:v>36273</x:v>
      </x:c>
      <x:c r="AE1796" s="17" t="n">
        <x:f>2014-B1796</x:f>
        <x:v>37</x:v>
      </x:c>
      <x:c r="AF1796" s="17" t="n">
        <x:f>F1796+G1796</x:f>
        <x:v>1</x:v>
      </x:c>
      <x:c r="AG1796" s="21" t="n">
        <x:f>SUM(J1796:O1796)</x:f>
        <x:v>76</x:v>
      </x:c>
      <x:c r="AH1796" s="17" t="n">
        <x:f>SUM(Q1796:S1796)</x:f>
        <x:v>6</x:v>
      </x:c>
      <x:c r="AI1796" s="17" t="n">
        <x:f>SUM(U1796:Y1796)</x:f>
        <x:v>0</x:v>
      </x:c>
      <x:c r="AJ1796" s="17" t="str">
        <x:f>IF(AE1796&lt;=34,"≤34",IF(AE1796&lt;=44,"35–44",IF(AE1796&lt;=54,"45–54",IF(AE1796&lt;=64,"55–64","65+"))))</x:f>
        <x:v>35–44</x:v>
      </x:c>
      <x:c r="AK1796" s="17" t="str">
        <x:f>IF(AG1796&gt;=1000,"High Value",IF(AG1796&gt;=300,"Mid Value","Low Value"))</x:f>
        <x:v>Low Value</x:v>
      </x:c>
      <x:c r="AL1796" s="17" t="str">
        <x:f>IF(AND(AI1796&gt;=1,I1796&lt;=50),"Priority 1",IF(AND(AG1796&gt;=1000,I1796&lt;=60),"Priority 2",IF(I1796&lt;=30,"Priority 3","Nurture")))</x:f>
        <x:v>Nurture</x:v>
      </x:c>
    </x:row>
    <x:row r="1797">
      <x:c r="A1797" s="16" t="n">
        <x:v>8439</x:v>
      </x:c>
      <x:c r="B1797" s="16" t="n">
        <x:v>1964</x:v>
      </x:c>
      <x:c r="C1797" s="16" t="str">
        <x:v>Graduation</x:v>
      </x:c>
      <x:c r="D1797" s="16" t="str">
        <x:v>Together</x:v>
      </x:c>
      <x:c r="E1797" s="16" t="n">
        <x:v>63404</x:v>
      </x:c>
      <x:c r="F1797" s="16" t="n">
        <x:v>0</x:v>
      </x:c>
      <x:c r="G1797" s="16" t="n">
        <x:v>2</x:v>
      </x:c>
      <x:c r="H1797" s="16" t="str">
        <x:v>06-06-2014</x:v>
      </x:c>
      <x:c r="I1797" s="16" t="n">
        <x:v>97</x:v>
      </x:c>
      <x:c r="J1797" s="16" t="n">
        <x:v>734</x:v>
      </x:c>
      <x:c r="K1797" s="16" t="n">
        <x:v>26</x:v>
      </x:c>
      <x:c r="L1797" s="16" t="n">
        <x:v>70</x:v>
      </x:c>
      <x:c r="M1797" s="16" t="n">
        <x:v>11</x:v>
      </x:c>
      <x:c r="N1797" s="16" t="n">
        <x:v>44</x:v>
      </x:c>
      <x:c r="O1797" s="16" t="n">
        <x:v>17</x:v>
      </x:c>
      <x:c r="P1797" s="16" t="n">
        <x:v>2</x:v>
      </x:c>
      <x:c r="Q1797" s="16" t="n">
        <x:v>6</x:v>
      </x:c>
      <x:c r="R1797" s="16" t="n">
        <x:v>3</x:v>
      </x:c>
      <x:c r="S1797" s="16" t="n">
        <x:v>4</x:v>
      </x:c>
      <x:c r="T1797" s="16" t="n">
        <x:v>4</x:v>
      </x:c>
      <x:c r="U1797" s="16" t="n">
        <x:v>0</x:v>
      </x:c>
      <x:c r="V1797" s="16" t="n">
        <x:v>0</x:v>
      </x:c>
      <x:c r="W1797" s="16" t="n">
        <x:v>0</x:v>
      </x:c>
      <x:c r="X1797" s="16" t="n">
        <x:v>1</x:v>
      </x:c>
      <x:c r="Y1797" s="16" t="n">
        <x:v>0</x:v>
      </x:c>
      <x:c r="Z1797" s="16" t="n">
        <x:v>0</x:v>
      </x:c>
      <x:c r="AA1797" s="16" t="n">
        <x:v>3</x:v>
      </x:c>
      <x:c r="AB1797" s="16" t="n">
        <x:v>11</x:v>
      </x:c>
      <x:c r="AC1797" s="16" t="n">
        <x:v>0</x:v>
      </x:c>
      <x:c r="AD1797" s="21" t="n">
        <x:f>IF(E1797="",MEDIAN($E$2:$E$2237),E1797)</x:f>
        <x:v>63404</x:v>
      </x:c>
      <x:c r="AE1797" s="17" t="n">
        <x:f>2014-B1797</x:f>
        <x:v>50</x:v>
      </x:c>
      <x:c r="AF1797" s="17" t="n">
        <x:f>F1797+G1797</x:f>
        <x:v>2</x:v>
      </x:c>
      <x:c r="AG1797" s="21" t="n">
        <x:f>SUM(J1797:O1797)</x:f>
        <x:v>902</x:v>
      </x:c>
      <x:c r="AH1797" s="17" t="n">
        <x:f>SUM(Q1797:S1797)</x:f>
        <x:v>13</x:v>
      </x:c>
      <x:c r="AI1797" s="17" t="n">
        <x:f>SUM(U1797:Y1797)</x:f>
        <x:v>1</x:v>
      </x:c>
      <x:c r="AJ1797" s="17" t="str">
        <x:f>IF(AE1797&lt;=34,"≤34",IF(AE1797&lt;=44,"35–44",IF(AE1797&lt;=54,"45–54",IF(AE1797&lt;=64,"55–64","65+"))))</x:f>
        <x:v>45–54</x:v>
      </x:c>
      <x:c r="AK1797" s="17" t="str">
        <x:f>IF(AG1797&gt;=1000,"High Value",IF(AG1797&gt;=300,"Mid Value","Low Value"))</x:f>
        <x:v>Mid Value</x:v>
      </x:c>
      <x:c r="AL1797" s="17" t="str">
        <x:f>IF(AND(AI1797&gt;=1,I1797&lt;=50),"Priority 1",IF(AND(AG1797&gt;=1000,I1797&lt;=60),"Priority 2",IF(I1797&lt;=30,"Priority 3","Nurture")))</x:f>
        <x:v>Nurture</x:v>
      </x:c>
    </x:row>
    <x:row r="1798">
      <x:c r="A1798" s="16" t="n">
        <x:v>762</x:v>
      </x:c>
      <x:c r="B1798" s="16" t="n">
        <x:v>1981</x:v>
      </x:c>
      <x:c r="C1798" s="16" t="str">
        <x:v>2n Cycle</x:v>
      </x:c>
      <x:c r="D1798" s="16" t="str">
        <x:v>Together</x:v>
      </x:c>
      <x:c r="E1798" s="16" t="n">
        <x:v>75774</x:v>
      </x:c>
      <x:c r="F1798" s="16" t="n">
        <x:v>1</x:v>
      </x:c>
      <x:c r="G1798" s="16" t="n">
        <x:v>0</x:v>
      </x:c>
      <x:c r="H1798" s="16" t="str">
        <x:v>02-05-2014</x:v>
      </x:c>
      <x:c r="I1798" s="16" t="n">
        <x:v>27</x:v>
      </x:c>
      <x:c r="J1798" s="16" t="n">
        <x:v>340</x:v>
      </x:c>
      <x:c r="K1798" s="16" t="n">
        <x:v>21</x:v>
      </x:c>
      <x:c r="L1798" s="16" t="n">
        <x:v>134</x:v>
      </x:c>
      <x:c r="M1798" s="16" t="n">
        <x:v>258</x:v>
      </x:c>
      <x:c r="N1798" s="16" t="n">
        <x:v>14</x:v>
      </x:c>
      <x:c r="O1798" s="16" t="n">
        <x:v>56</x:v>
      </x:c>
      <x:c r="P1798" s="16" t="n">
        <x:v>1</x:v>
      </x:c>
      <x:c r="Q1798" s="16" t="n">
        <x:v>7</x:v>
      </x:c>
      <x:c r="R1798" s="16" t="n">
        <x:v>5</x:v>
      </x:c>
      <x:c r="S1798" s="16" t="n">
        <x:v>8</x:v>
      </x:c>
      <x:c r="T1798" s="16" t="n">
        <x:v>4</x:v>
      </x:c>
      <x:c r="U1798" s="16" t="n">
        <x:v>0</x:v>
      </x:c>
      <x:c r="V1798" s="16" t="n">
        <x:v>0</x:v>
      </x:c>
      <x:c r="W1798" s="16" t="n">
        <x:v>0</x:v>
      </x:c>
      <x:c r="X1798" s="16" t="n">
        <x:v>0</x:v>
      </x:c>
      <x:c r="Y1798" s="16" t="n">
        <x:v>0</x:v>
      </x:c>
      <x:c r="Z1798" s="16" t="n">
        <x:v>0</x:v>
      </x:c>
      <x:c r="AA1798" s="16" t="n">
        <x:v>3</x:v>
      </x:c>
      <x:c r="AB1798" s="16" t="n">
        <x:v>11</x:v>
      </x:c>
      <x:c r="AC1798" s="16" t="n">
        <x:v>0</x:v>
      </x:c>
      <x:c r="AD1798" s="21" t="n">
        <x:f>IF(E1798="",MEDIAN($E$2:$E$2237),E1798)</x:f>
        <x:v>75774</x:v>
      </x:c>
      <x:c r="AE1798" s="17" t="n">
        <x:f>2014-B1798</x:f>
        <x:v>33</x:v>
      </x:c>
      <x:c r="AF1798" s="17" t="n">
        <x:f>F1798+G1798</x:f>
        <x:v>1</x:v>
      </x:c>
      <x:c r="AG1798" s="21" t="n">
        <x:f>SUM(J1798:O1798)</x:f>
        <x:v>823</x:v>
      </x:c>
      <x:c r="AH1798" s="17" t="n">
        <x:f>SUM(Q1798:S1798)</x:f>
        <x:v>20</x:v>
      </x:c>
      <x:c r="AI1798" s="17" t="n">
        <x:f>SUM(U1798:Y1798)</x:f>
        <x:v>0</x:v>
      </x:c>
      <x:c r="AJ1798" s="17" t="str">
        <x:f>IF(AE1798&lt;=34,"≤34",IF(AE1798&lt;=44,"35–44",IF(AE1798&lt;=54,"45–54",IF(AE1798&lt;=64,"55–64","65+"))))</x:f>
        <x:v>≤34</x:v>
      </x:c>
      <x:c r="AK1798" s="17" t="str">
        <x:f>IF(AG1798&gt;=1000,"High Value",IF(AG1798&gt;=300,"Mid Value","Low Value"))</x:f>
        <x:v>Mid Value</x:v>
      </x:c>
      <x:c r="AL1798" s="17" t="str">
        <x:f>IF(AND(AI1798&gt;=1,I1798&lt;=50),"Priority 1",IF(AND(AG1798&gt;=1000,I1798&lt;=60),"Priority 2",IF(I1798&lt;=30,"Priority 3","Nurture")))</x:f>
        <x:v>Priority 3</x:v>
      </x:c>
    </x:row>
    <x:row r="1799">
      <x:c r="A1799" s="16" t="n">
        <x:v>2831</x:v>
      </x:c>
      <x:c r="B1799" s="16" t="n">
        <x:v>1976</x:v>
      </x:c>
      <x:c r="C1799" s="16" t="str">
        <x:v>Graduation</x:v>
      </x:c>
      <x:c r="D1799" s="16" t="str">
        <x:v>Together</x:v>
      </x:c>
      <x:c r="E1799" s="16" t="n">
        <x:v>78416</x:v>
      </x:c>
      <x:c r="F1799" s="16" t="n">
        <x:v>0</x:v>
      </x:c>
      <x:c r="G1799" s="16" t="n">
        <x:v>1</x:v>
      </x:c>
      <x:c r="H1799" s="16" t="str">
        <x:v>27-06-2014</x:v>
      </x:c>
      <x:c r="I1799" s="16" t="n">
        <x:v>99</x:v>
      </x:c>
      <x:c r="J1799" s="16" t="n">
        <x:v>453</x:v>
      </x:c>
      <x:c r="K1799" s="16" t="n">
        <x:v>38</x:v>
      </x:c>
      <x:c r="L1799" s="16" t="n">
        <x:v>279</x:v>
      </x:c>
      <x:c r="M1799" s="16" t="n">
        <x:v>188</x:v>
      </x:c>
      <x:c r="N1799" s="16" t="n">
        <x:v>38</x:v>
      </x:c>
      <x:c r="O1799" s="16" t="n">
        <x:v>183</x:v>
      </x:c>
      <x:c r="P1799" s="16" t="n">
        <x:v>2</x:v>
      </x:c>
      <x:c r="Q1799" s="16" t="n">
        <x:v>7</x:v>
      </x:c>
      <x:c r="R1799" s="16" t="n">
        <x:v>7</x:v>
      </x:c>
      <x:c r="S1799" s="16" t="n">
        <x:v>10</x:v>
      </x:c>
      <x:c r="T1799" s="16" t="n">
        <x:v>3</x:v>
      </x:c>
      <x:c r="U1799" s="16" t="n">
        <x:v>0</x:v>
      </x:c>
      <x:c r="V1799" s="16" t="n">
        <x:v>0</x:v>
      </x:c>
      <x:c r="W1799" s="16" t="n">
        <x:v>0</x:v>
      </x:c>
      <x:c r="X1799" s="16" t="n">
        <x:v>0</x:v>
      </x:c>
      <x:c r="Y1799" s="16" t="n">
        <x:v>0</x:v>
      </x:c>
      <x:c r="Z1799" s="16" t="n">
        <x:v>0</x:v>
      </x:c>
      <x:c r="AA1799" s="16" t="n">
        <x:v>3</x:v>
      </x:c>
      <x:c r="AB1799" s="16" t="n">
        <x:v>11</x:v>
      </x:c>
      <x:c r="AC1799" s="16" t="n">
        <x:v>0</x:v>
      </x:c>
      <x:c r="AD1799" s="21" t="n">
        <x:f>IF(E1799="",MEDIAN($E$2:$E$2237),E1799)</x:f>
        <x:v>78416</x:v>
      </x:c>
      <x:c r="AE1799" s="17" t="n">
        <x:f>2014-B1799</x:f>
        <x:v>38</x:v>
      </x:c>
      <x:c r="AF1799" s="17" t="n">
        <x:f>F1799+G1799</x:f>
        <x:v>1</x:v>
      </x:c>
      <x:c r="AG1799" s="21" t="n">
        <x:f>SUM(J1799:O1799)</x:f>
        <x:v>1179</x:v>
      </x:c>
      <x:c r="AH1799" s="17" t="n">
        <x:f>SUM(Q1799:S1799)</x:f>
        <x:v>24</x:v>
      </x:c>
      <x:c r="AI1799" s="17" t="n">
        <x:f>SUM(U1799:Y1799)</x:f>
        <x:v>0</x:v>
      </x:c>
      <x:c r="AJ1799" s="17" t="str">
        <x:f>IF(AE1799&lt;=34,"≤34",IF(AE1799&lt;=44,"35–44",IF(AE1799&lt;=54,"45–54",IF(AE1799&lt;=64,"55–64","65+"))))</x:f>
        <x:v>35–44</x:v>
      </x:c>
      <x:c r="AK1799" s="17" t="str">
        <x:f>IF(AG1799&gt;=1000,"High Value",IF(AG1799&gt;=300,"Mid Value","Low Value"))</x:f>
        <x:v>High Value</x:v>
      </x:c>
      <x:c r="AL1799" s="17" t="str">
        <x:f>IF(AND(AI1799&gt;=1,I1799&lt;=50),"Priority 1",IF(AND(AG1799&gt;=1000,I1799&lt;=60),"Priority 2",IF(I1799&lt;=30,"Priority 3","Nurture")))</x:f>
        <x:v>Nurture</x:v>
      </x:c>
    </x:row>
    <x:row r="1800">
      <x:c r="A1800" s="16" t="n">
        <x:v>6977</x:v>
      </x:c>
      <x:c r="B1800" s="16" t="n">
        <x:v>1974</x:v>
      </x:c>
      <x:c r="C1800" s="16" t="str">
        <x:v>Graduation</x:v>
      </x:c>
      <x:c r="D1800" s="16" t="str">
        <x:v>Together</x:v>
      </x:c>
      <x:c r="E1800" s="16" t="n">
        <x:v>75702</x:v>
      </x:c>
      <x:c r="F1800" s="16" t="n">
        <x:v>0</x:v>
      </x:c>
      <x:c r="G1800" s="16" t="n">
        <x:v>1</x:v>
      </x:c>
      <x:c r="H1800" s="16" t="str">
        <x:v>14-10-2012</x:v>
      </x:c>
      <x:c r="I1800" s="16" t="n">
        <x:v>87</x:v>
      </x:c>
      <x:c r="J1800" s="16" t="n">
        <x:v>1073</x:v>
      </x:c>
      <x:c r="K1800" s="16" t="n">
        <x:v>0</x:v>
      </x:c>
      <x:c r="L1800" s="16" t="n">
        <x:v>629</x:v>
      </x:c>
      <x:c r="M1800" s="16" t="n">
        <x:v>145</x:v>
      </x:c>
      <x:c r="N1800" s="16" t="n">
        <x:v>37</x:v>
      </x:c>
      <x:c r="O1800" s="16" t="n">
        <x:v>37</x:v>
      </x:c>
      <x:c r="P1800" s="16" t="n">
        <x:v>1</x:v>
      </x:c>
      <x:c r="Q1800" s="16" t="n">
        <x:v>10</x:v>
      </x:c>
      <x:c r="R1800" s="16" t="n">
        <x:v>5</x:v>
      </x:c>
      <x:c r="S1800" s="16" t="n">
        <x:v>13</x:v>
      </x:c>
      <x:c r="T1800" s="16" t="n">
        <x:v>6</x:v>
      </x:c>
      <x:c r="U1800" s="16" t="n">
        <x:v>0</x:v>
      </x:c>
      <x:c r="V1800" s="16" t="n">
        <x:v>0</x:v>
      </x:c>
      <x:c r="W1800" s="16" t="n">
        <x:v>1</x:v>
      </x:c>
      <x:c r="X1800" s="16" t="n">
        <x:v>0</x:v>
      </x:c>
      <x:c r="Y1800" s="16" t="n">
        <x:v>0</x:v>
      </x:c>
      <x:c r="Z1800" s="16" t="n">
        <x:v>0</x:v>
      </x:c>
      <x:c r="AA1800" s="16" t="n">
        <x:v>3</x:v>
      </x:c>
      <x:c r="AB1800" s="16" t="n">
        <x:v>11</x:v>
      </x:c>
      <x:c r="AC1800" s="16" t="n">
        <x:v>0</x:v>
      </x:c>
      <x:c r="AD1800" s="21" t="n">
        <x:f>IF(E1800="",MEDIAN($E$2:$E$2237),E1800)</x:f>
        <x:v>75702</x:v>
      </x:c>
      <x:c r="AE1800" s="17" t="n">
        <x:f>2014-B1800</x:f>
        <x:v>40</x:v>
      </x:c>
      <x:c r="AF1800" s="17" t="n">
        <x:f>F1800+G1800</x:f>
        <x:v>1</x:v>
      </x:c>
      <x:c r="AG1800" s="21" t="n">
        <x:f>SUM(J1800:O1800)</x:f>
        <x:v>1921</x:v>
      </x:c>
      <x:c r="AH1800" s="17" t="n">
        <x:f>SUM(Q1800:S1800)</x:f>
        <x:v>28</x:v>
      </x:c>
      <x:c r="AI1800" s="17" t="n">
        <x:f>SUM(U1800:Y1800)</x:f>
        <x:v>1</x:v>
      </x:c>
      <x:c r="AJ1800" s="17" t="str">
        <x:f>IF(AE1800&lt;=34,"≤34",IF(AE1800&lt;=44,"35–44",IF(AE1800&lt;=54,"45–54",IF(AE1800&lt;=64,"55–64","65+"))))</x:f>
        <x:v>35–44</x:v>
      </x:c>
      <x:c r="AK1800" s="17" t="str">
        <x:f>IF(AG1800&gt;=1000,"High Value",IF(AG1800&gt;=300,"Mid Value","Low Value"))</x:f>
        <x:v>High Value</x:v>
      </x:c>
      <x:c r="AL1800" s="17" t="str">
        <x:f>IF(AND(AI1800&gt;=1,I1800&lt;=50),"Priority 1",IF(AND(AG1800&gt;=1000,I1800&lt;=60),"Priority 2",IF(I1800&lt;=30,"Priority 3","Nurture")))</x:f>
        <x:v>Nurture</x:v>
      </x:c>
    </x:row>
    <x:row r="1801">
      <x:c r="A1801" s="16" t="n">
        <x:v>6289</x:v>
      </x:c>
      <x:c r="B1801" s="16" t="n">
        <x:v>1951</x:v>
      </x:c>
      <x:c r="C1801" s="16" t="str">
        <x:v>Master</x:v>
      </x:c>
      <x:c r="D1801" s="16" t="str">
        <x:v>Together</x:v>
      </x:c>
      <x:c r="E1801" s="16" t="n">
        <x:v>59385</x:v>
      </x:c>
      <x:c r="F1801" s="16" t="n">
        <x:v>1</x:v>
      </x:c>
      <x:c r="G1801" s="16" t="n">
        <x:v>1</x:v>
      </x:c>
      <x:c r="H1801" s="16" t="str">
        <x:v>28-04-2013</x:v>
      </x:c>
      <x:c r="I1801" s="16" t="n">
        <x:v>85</x:v>
      </x:c>
      <x:c r="J1801" s="16" t="n">
        <x:v>135</x:v>
      </x:c>
      <x:c r="K1801" s="16" t="n">
        <x:v>0</x:v>
      </x:c>
      <x:c r="L1801" s="16" t="n">
        <x:v>10</x:v>
      </x:c>
      <x:c r="M1801" s="16" t="n">
        <x:v>0</x:v>
      </x:c>
      <x:c r="N1801" s="16" t="n">
        <x:v>4</x:v>
      </x:c>
      <x:c r="O1801" s="16" t="n">
        <x:v>36</x:v>
      </x:c>
      <x:c r="P1801" s="16" t="n">
        <x:v>2</x:v>
      </x:c>
      <x:c r="Q1801" s="16" t="n">
        <x:v>3</x:v>
      </x:c>
      <x:c r="R1801" s="16" t="n">
        <x:v>1</x:v>
      </x:c>
      <x:c r="S1801" s="16" t="n">
        <x:v>4</x:v>
      </x:c>
      <x:c r="T1801" s="16" t="n">
        <x:v>5</x:v>
      </x:c>
      <x:c r="U1801" s="16" t="n">
        <x:v>0</x:v>
      </x:c>
      <x:c r="V1801" s="16" t="n">
        <x:v>0</x:v>
      </x:c>
      <x:c r="W1801" s="16" t="n">
        <x:v>0</x:v>
      </x:c>
      <x:c r="X1801" s="16" t="n">
        <x:v>0</x:v>
      </x:c>
      <x:c r="Y1801" s="16" t="n">
        <x:v>0</x:v>
      </x:c>
      <x:c r="Z1801" s="16" t="n">
        <x:v>0</x:v>
      </x:c>
      <x:c r="AA1801" s="16" t="n">
        <x:v>3</x:v>
      </x:c>
      <x:c r="AB1801" s="16" t="n">
        <x:v>11</x:v>
      </x:c>
      <x:c r="AC1801" s="16" t="n">
        <x:v>0</x:v>
      </x:c>
      <x:c r="AD1801" s="21" t="n">
        <x:f>IF(E1801="",MEDIAN($E$2:$E$2237),E1801)</x:f>
        <x:v>59385</x:v>
      </x:c>
      <x:c r="AE1801" s="17" t="n">
        <x:f>2014-B1801</x:f>
        <x:v>63</x:v>
      </x:c>
      <x:c r="AF1801" s="17" t="n">
        <x:f>F1801+G1801</x:f>
        <x:v>2</x:v>
      </x:c>
      <x:c r="AG1801" s="21" t="n">
        <x:f>SUM(J1801:O1801)</x:f>
        <x:v>185</x:v>
      </x:c>
      <x:c r="AH1801" s="17" t="n">
        <x:f>SUM(Q1801:S1801)</x:f>
        <x:v>8</x:v>
      </x:c>
      <x:c r="AI1801" s="17" t="n">
        <x:f>SUM(U1801:Y1801)</x:f>
        <x:v>0</x:v>
      </x:c>
      <x:c r="AJ1801" s="17" t="str">
        <x:f>IF(AE1801&lt;=34,"≤34",IF(AE1801&lt;=44,"35–44",IF(AE1801&lt;=54,"45–54",IF(AE1801&lt;=64,"55–64","65+"))))</x:f>
        <x:v>55–64</x:v>
      </x:c>
      <x:c r="AK1801" s="17" t="str">
        <x:f>IF(AG1801&gt;=1000,"High Value",IF(AG1801&gt;=300,"Mid Value","Low Value"))</x:f>
        <x:v>Low Value</x:v>
      </x:c>
      <x:c r="AL1801" s="17" t="str">
        <x:f>IF(AND(AI1801&gt;=1,I1801&lt;=50),"Priority 1",IF(AND(AG1801&gt;=1000,I1801&lt;=60),"Priority 2",IF(I1801&lt;=30,"Priority 3","Nurture")))</x:f>
        <x:v>Nurture</x:v>
      </x:c>
    </x:row>
    <x:row r="1802">
      <x:c r="A1802" s="16" t="n">
        <x:v>4168</x:v>
      </x:c>
      <x:c r="B1802" s="16" t="n">
        <x:v>1966</x:v>
      </x:c>
      <x:c r="C1802" s="16" t="str">
        <x:v>Graduation</x:v>
      </x:c>
      <x:c r="D1802" s="16" t="str">
        <x:v>Single</x:v>
      </x:c>
      <x:c r="E1802" s="16" t="n">
        <x:v>37070</x:v>
      </x:c>
      <x:c r="F1802" s="16" t="n">
        <x:v>1</x:v>
      </x:c>
      <x:c r="G1802" s="16" t="n">
        <x:v>1</x:v>
      </x:c>
      <x:c r="H1802" s="16" t="str">
        <x:v>20-03-2013</x:v>
      </x:c>
      <x:c r="I1802" s="16" t="n">
        <x:v>30</x:v>
      </x:c>
      <x:c r="J1802" s="16" t="n">
        <x:v>231</x:v>
      </x:c>
      <x:c r="K1802" s="16" t="n">
        <x:v>7</x:v>
      </x:c>
      <x:c r="L1802" s="16" t="n">
        <x:v>137</x:v>
      </x:c>
      <x:c r="M1802" s="16" t="n">
        <x:v>4</x:v>
      </x:c>
      <x:c r="N1802" s="16" t="n">
        <x:v>15</x:v>
      </x:c>
      <x:c r="O1802" s="16" t="n">
        <x:v>39</x:v>
      </x:c>
      <x:c r="P1802" s="16" t="n">
        <x:v>9</x:v>
      </x:c>
      <x:c r="Q1802" s="16" t="n">
        <x:v>5</x:v>
      </x:c>
      <x:c r="R1802" s="16" t="n">
        <x:v>1</x:v>
      </x:c>
      <x:c r="S1802" s="16" t="n">
        <x:v>8</x:v>
      </x:c>
      <x:c r="T1802" s="16" t="n">
        <x:v>7</x:v>
      </x:c>
      <x:c r="U1802" s="16" t="n">
        <x:v>0</x:v>
      </x:c>
      <x:c r="V1802" s="16" t="n">
        <x:v>0</x:v>
      </x:c>
      <x:c r="W1802" s="16" t="n">
        <x:v>0</x:v>
      </x:c>
      <x:c r="X1802" s="16" t="n">
        <x:v>0</x:v>
      </x:c>
      <x:c r="Y1802" s="16" t="n">
        <x:v>0</x:v>
      </x:c>
      <x:c r="Z1802" s="16" t="n">
        <x:v>0</x:v>
      </x:c>
      <x:c r="AA1802" s="16" t="n">
        <x:v>3</x:v>
      </x:c>
      <x:c r="AB1802" s="16" t="n">
        <x:v>11</x:v>
      </x:c>
      <x:c r="AC1802" s="16" t="n">
        <x:v>1</x:v>
      </x:c>
      <x:c r="AD1802" s="21" t="n">
        <x:f>IF(E1802="",MEDIAN($E$2:$E$2237),E1802)</x:f>
        <x:v>37070</x:v>
      </x:c>
      <x:c r="AE1802" s="17" t="n">
        <x:f>2014-B1802</x:f>
        <x:v>48</x:v>
      </x:c>
      <x:c r="AF1802" s="17" t="n">
        <x:f>F1802+G1802</x:f>
        <x:v>2</x:v>
      </x:c>
      <x:c r="AG1802" s="21" t="n">
        <x:f>SUM(J1802:O1802)</x:f>
        <x:v>433</x:v>
      </x:c>
      <x:c r="AH1802" s="17" t="n">
        <x:f>SUM(Q1802:S1802)</x:f>
        <x:v>14</x:v>
      </x:c>
      <x:c r="AI1802" s="17" t="n">
        <x:f>SUM(U1802:Y1802)</x:f>
        <x:v>0</x:v>
      </x:c>
      <x:c r="AJ1802" s="17" t="str">
        <x:f>IF(AE1802&lt;=34,"≤34",IF(AE1802&lt;=44,"35–44",IF(AE1802&lt;=54,"45–54",IF(AE1802&lt;=64,"55–64","65+"))))</x:f>
        <x:v>45–54</x:v>
      </x:c>
      <x:c r="AK1802" s="17" t="str">
        <x:f>IF(AG1802&gt;=1000,"High Value",IF(AG1802&gt;=300,"Mid Value","Low Value"))</x:f>
        <x:v>Mid Value</x:v>
      </x:c>
      <x:c r="AL1802" s="17" t="str">
        <x:f>IF(AND(AI1802&gt;=1,I1802&lt;=50),"Priority 1",IF(AND(AG1802&gt;=1000,I1802&lt;=60),"Priority 2",IF(I1802&lt;=30,"Priority 3","Nurture")))</x:f>
        <x:v>Priority 3</x:v>
      </x:c>
    </x:row>
    <x:row r="1803">
      <x:c r="A1803" s="16" t="n">
        <x:v>8397</x:v>
      </x:c>
      <x:c r="B1803" s="16" t="n">
        <x:v>1951</x:v>
      </x:c>
      <x:c r="C1803" s="16" t="str">
        <x:v>Graduation</x:v>
      </x:c>
      <x:c r="D1803" s="16" t="str">
        <x:v>Married</x:v>
      </x:c>
      <x:c r="E1803" s="16" t="n">
        <x:v>44689</x:v>
      </x:c>
      <x:c r="F1803" s="16" t="n">
        <x:v>1</x:v>
      </x:c>
      <x:c r="G1803" s="16" t="n">
        <x:v>1</x:v>
      </x:c>
      <x:c r="H1803" s="16" t="str">
        <x:v>10-01-2014</x:v>
      </x:c>
      <x:c r="I1803" s="16" t="n">
        <x:v>82</x:v>
      </x:c>
      <x:c r="J1803" s="16" t="n">
        <x:v>18</x:v>
      </x:c>
      <x:c r="K1803" s="16" t="n">
        <x:v>0</x:v>
      </x:c>
      <x:c r="L1803" s="16" t="n">
        <x:v>5</x:v>
      </x:c>
      <x:c r="M1803" s="16" t="n">
        <x:v>0</x:v>
      </x:c>
      <x:c r="N1803" s="16" t="n">
        <x:v>0</x:v>
      </x:c>
      <x:c r="O1803" s="16" t="n">
        <x:v>11</x:v>
      </x:c>
      <x:c r="P1803" s="16" t="n">
        <x:v>2</x:v>
      </x:c>
      <x:c r="Q1803" s="16" t="n">
        <x:v>1</x:v>
      </x:c>
      <x:c r="R1803" s="16" t="n">
        <x:v>1</x:v>
      </x:c>
      <x:c r="S1803" s="16" t="n">
        <x:v>2</x:v>
      </x:c>
      <x:c r="T1803" s="16" t="n">
        <x:v>7</x:v>
      </x:c>
      <x:c r="U1803" s="16" t="n">
        <x:v>1</x:v>
      </x:c>
      <x:c r="V1803" s="16" t="n">
        <x:v>0</x:v>
      </x:c>
      <x:c r="W1803" s="16" t="n">
        <x:v>0</x:v>
      </x:c>
      <x:c r="X1803" s="16" t="n">
        <x:v>0</x:v>
      </x:c>
      <x:c r="Y1803" s="16" t="n">
        <x:v>0</x:v>
      </x:c>
      <x:c r="Z1803" s="16" t="n">
        <x:v>0</x:v>
      </x:c>
      <x:c r="AA1803" s="16" t="n">
        <x:v>3</x:v>
      </x:c>
      <x:c r="AB1803" s="16" t="n">
        <x:v>11</x:v>
      </x:c>
      <x:c r="AC1803" s="16" t="n">
        <x:v>0</x:v>
      </x:c>
      <x:c r="AD1803" s="21" t="n">
        <x:f>IF(E1803="",MEDIAN($E$2:$E$2237),E1803)</x:f>
        <x:v>44689</x:v>
      </x:c>
      <x:c r="AE1803" s="17" t="n">
        <x:f>2014-B1803</x:f>
        <x:v>63</x:v>
      </x:c>
      <x:c r="AF1803" s="17" t="n">
        <x:f>F1803+G1803</x:f>
        <x:v>2</x:v>
      </x:c>
      <x:c r="AG1803" s="21" t="n">
        <x:f>SUM(J1803:O1803)</x:f>
        <x:v>34</x:v>
      </x:c>
      <x:c r="AH1803" s="17" t="n">
        <x:f>SUM(Q1803:S1803)</x:f>
        <x:v>4</x:v>
      </x:c>
      <x:c r="AI1803" s="17" t="n">
        <x:f>SUM(U1803:Y1803)</x:f>
        <x:v>1</x:v>
      </x:c>
      <x:c r="AJ1803" s="17" t="str">
        <x:f>IF(AE1803&lt;=34,"≤34",IF(AE1803&lt;=44,"35–44",IF(AE1803&lt;=54,"45–54",IF(AE1803&lt;=64,"55–64","65+"))))</x:f>
        <x:v>55–64</x:v>
      </x:c>
      <x:c r="AK1803" s="17" t="str">
        <x:f>IF(AG1803&gt;=1000,"High Value",IF(AG1803&gt;=300,"Mid Value","Low Value"))</x:f>
        <x:v>Low Value</x:v>
      </x:c>
      <x:c r="AL1803" s="17" t="str">
        <x:f>IF(AND(AI1803&gt;=1,I1803&lt;=50),"Priority 1",IF(AND(AG1803&gt;=1000,I1803&lt;=60),"Priority 2",IF(I1803&lt;=30,"Priority 3","Nurture")))</x:f>
        <x:v>Nurture</x:v>
      </x:c>
    </x:row>
    <x:row r="1804">
      <x:c r="A1804" s="16" t="n">
        <x:v>9284</x:v>
      </x:c>
      <x:c r="B1804" s="16" t="n">
        <x:v>1958</x:v>
      </x:c>
      <x:c r="C1804" s="16" t="str">
        <x:v>Graduation</x:v>
      </x:c>
      <x:c r="D1804" s="16" t="str">
        <x:v>Together</x:v>
      </x:c>
      <x:c r="E1804" s="16" t="n">
        <x:v>53977</x:v>
      </x:c>
      <x:c r="F1804" s="16" t="n">
        <x:v>0</x:v>
      </x:c>
      <x:c r="G1804" s="16" t="n">
        <x:v>1</x:v>
      </x:c>
      <x:c r="H1804" s="16" t="str">
        <x:v>08-06-2013</x:v>
      </x:c>
      <x:c r="I1804" s="16" t="n">
        <x:v>21</x:v>
      </x:c>
      <x:c r="J1804" s="16" t="n">
        <x:v>620</x:v>
      </x:c>
      <x:c r="K1804" s="16" t="n">
        <x:v>16</x:v>
      </x:c>
      <x:c r="L1804" s="16" t="n">
        <x:v>165</x:v>
      </x:c>
      <x:c r="M1804" s="16" t="n">
        <x:v>0</x:v>
      </x:c>
      <x:c r="N1804" s="16" t="n">
        <x:v>24</x:v>
      </x:c>
      <x:c r="O1804" s="16" t="n">
        <x:v>82</x:v>
      </x:c>
      <x:c r="P1804" s="16" t="n">
        <x:v>5</x:v>
      </x:c>
      <x:c r="Q1804" s="16" t="n">
        <x:v>5</x:v>
      </x:c>
      <x:c r="R1804" s="16" t="n">
        <x:v>5</x:v>
      </x:c>
      <x:c r="S1804" s="16" t="n">
        <x:v>12</x:v>
      </x:c>
      <x:c r="T1804" s="16" t="n">
        <x:v>5</x:v>
      </x:c>
      <x:c r="U1804" s="16" t="n">
        <x:v>0</x:v>
      </x:c>
      <x:c r="V1804" s="16" t="n">
        <x:v>0</x:v>
      </x:c>
      <x:c r="W1804" s="16" t="n">
        <x:v>0</x:v>
      </x:c>
      <x:c r="X1804" s="16" t="n">
        <x:v>0</x:v>
      </x:c>
      <x:c r="Y1804" s="16" t="n">
        <x:v>0</x:v>
      </x:c>
      <x:c r="Z1804" s="16" t="n">
        <x:v>0</x:v>
      </x:c>
      <x:c r="AA1804" s="16" t="n">
        <x:v>3</x:v>
      </x:c>
      <x:c r="AB1804" s="16" t="n">
        <x:v>11</x:v>
      </x:c>
      <x:c r="AC1804" s="16" t="n">
        <x:v>0</x:v>
      </x:c>
      <x:c r="AD1804" s="21" t="n">
        <x:f>IF(E1804="",MEDIAN($E$2:$E$2237),E1804)</x:f>
        <x:v>53977</x:v>
      </x:c>
      <x:c r="AE1804" s="17" t="n">
        <x:f>2014-B1804</x:f>
        <x:v>56</x:v>
      </x:c>
      <x:c r="AF1804" s="17" t="n">
        <x:f>F1804+G1804</x:f>
        <x:v>1</x:v>
      </x:c>
      <x:c r="AG1804" s="21" t="n">
        <x:f>SUM(J1804:O1804)</x:f>
        <x:v>907</x:v>
      </x:c>
      <x:c r="AH1804" s="17" t="n">
        <x:f>SUM(Q1804:S1804)</x:f>
        <x:v>22</x:v>
      </x:c>
      <x:c r="AI1804" s="17" t="n">
        <x:f>SUM(U1804:Y1804)</x:f>
        <x:v>0</x:v>
      </x:c>
      <x:c r="AJ1804" s="17" t="str">
        <x:f>IF(AE1804&lt;=34,"≤34",IF(AE1804&lt;=44,"35–44",IF(AE1804&lt;=54,"45–54",IF(AE1804&lt;=64,"55–64","65+"))))</x:f>
        <x:v>55–64</x:v>
      </x:c>
      <x:c r="AK1804" s="17" t="str">
        <x:f>IF(AG1804&gt;=1000,"High Value",IF(AG1804&gt;=300,"Mid Value","Low Value"))</x:f>
        <x:v>Mid Value</x:v>
      </x:c>
      <x:c r="AL1804" s="17" t="str">
        <x:f>IF(AND(AI1804&gt;=1,I1804&lt;=50),"Priority 1",IF(AND(AG1804&gt;=1000,I1804&lt;=60),"Priority 2",IF(I1804&lt;=30,"Priority 3","Nurture")))</x:f>
        <x:v>Priority 3</x:v>
      </x:c>
    </x:row>
    <x:row r="1805">
      <x:c r="A1805" s="16" t="n">
        <x:v>6237</x:v>
      </x:c>
      <x:c r="B1805" s="16" t="n">
        <x:v>1966</x:v>
      </x:c>
      <x:c r="C1805" s="16" t="str">
        <x:v>PhD</x:v>
      </x:c>
      <x:c r="D1805" s="16" t="str">
        <x:v>Single</x:v>
      </x:c>
      <x:c r="E1805" s="16" t="n">
        <x:v>7144</x:v>
      </x:c>
      <x:c r="F1805" s="16" t="n">
        <x:v>0</x:v>
      </x:c>
      <x:c r="G1805" s="16" t="n">
        <x:v>2</x:v>
      </x:c>
      <x:c r="H1805" s="16" t="str">
        <x:v>07-12-2013</x:v>
      </x:c>
      <x:c r="I1805" s="16" t="n">
        <x:v>92</x:v>
      </x:c>
      <x:c r="J1805" s="16" t="n">
        <x:v>81</x:v>
      </x:c>
      <x:c r="K1805" s="16" t="n">
        <x:v>4</x:v>
      </x:c>
      <x:c r="L1805" s="16" t="n">
        <x:v>33</x:v>
      </x:c>
      <x:c r="M1805" s="16" t="n">
        <x:v>5</x:v>
      </x:c>
      <x:c r="N1805" s="16" t="n">
        <x:v>2</x:v>
      </x:c>
      <x:c r="O1805" s="16" t="n">
        <x:v>291</x:v>
      </x:c>
      <x:c r="P1805" s="16" t="n">
        <x:v>0</x:v>
      </x:c>
      <x:c r="Q1805" s="16" t="n">
        <x:v>23</x:v>
      </x:c>
      <x:c r="R1805" s="16" t="n">
        <x:v>1</x:v>
      </x:c>
      <x:c r="S1805" s="16" t="n">
        <x:v>1</x:v>
      </x:c>
      <x:c r="T1805" s="16" t="n">
        <x:v>0</x:v>
      </x:c>
      <x:c r="U1805" s="16" t="n">
        <x:v>0</x:v>
      </x:c>
      <x:c r="V1805" s="16" t="n">
        <x:v>0</x:v>
      </x:c>
      <x:c r="W1805" s="16" t="n">
        <x:v>0</x:v>
      </x:c>
      <x:c r="X1805" s="16" t="n">
        <x:v>0</x:v>
      </x:c>
      <x:c r="Y1805" s="16" t="n">
        <x:v>0</x:v>
      </x:c>
      <x:c r="Z1805" s="16" t="n">
        <x:v>0</x:v>
      </x:c>
      <x:c r="AA1805" s="16" t="n">
        <x:v>3</x:v>
      </x:c>
      <x:c r="AB1805" s="16" t="n">
        <x:v>11</x:v>
      </x:c>
      <x:c r="AC1805" s="16" t="n">
        <x:v>0</x:v>
      </x:c>
      <x:c r="AD1805" s="21" t="n">
        <x:f>IF(E1805="",MEDIAN($E$2:$E$2237),E1805)</x:f>
        <x:v>7144</x:v>
      </x:c>
      <x:c r="AE1805" s="17" t="n">
        <x:f>2014-B1805</x:f>
        <x:v>48</x:v>
      </x:c>
      <x:c r="AF1805" s="17" t="n">
        <x:f>F1805+G1805</x:f>
        <x:v>2</x:v>
      </x:c>
      <x:c r="AG1805" s="21" t="n">
        <x:f>SUM(J1805:O1805)</x:f>
        <x:v>416</x:v>
      </x:c>
      <x:c r="AH1805" s="17" t="n">
        <x:f>SUM(Q1805:S1805)</x:f>
        <x:v>25</x:v>
      </x:c>
      <x:c r="AI1805" s="17" t="n">
        <x:f>SUM(U1805:Y1805)</x:f>
        <x:v>0</x:v>
      </x:c>
      <x:c r="AJ1805" s="17" t="str">
        <x:f>IF(AE1805&lt;=34,"≤34",IF(AE1805&lt;=44,"35–44",IF(AE1805&lt;=54,"45–54",IF(AE1805&lt;=64,"55–64","65+"))))</x:f>
        <x:v>45–54</x:v>
      </x:c>
      <x:c r="AK1805" s="17" t="str">
        <x:f>IF(AG1805&gt;=1000,"High Value",IF(AG1805&gt;=300,"Mid Value","Low Value"))</x:f>
        <x:v>Mid Value</x:v>
      </x:c>
      <x:c r="AL1805" s="17" t="str">
        <x:f>IF(AND(AI1805&gt;=1,I1805&lt;=50),"Priority 1",IF(AND(AG1805&gt;=1000,I1805&lt;=60),"Priority 2",IF(I1805&lt;=30,"Priority 3","Nurture")))</x:f>
        <x:v>Nurture</x:v>
      </x:c>
    </x:row>
    <x:row r="1806">
      <x:c r="A1806" s="16" t="n">
        <x:v>3130</x:v>
      </x:c>
      <x:c r="B1806" s="16" t="n">
        <x:v>1964</x:v>
      </x:c>
      <x:c r="C1806" s="16" t="str">
        <x:v>Graduation</x:v>
      </x:c>
      <x:c r="D1806" s="16" t="str">
        <x:v>Single</x:v>
      </x:c>
      <x:c r="E1806" s="16" t="n">
        <x:v>18701</x:v>
      </x:c>
      <x:c r="F1806" s="16" t="n">
        <x:v>1</x:v>
      </x:c>
      <x:c r="G1806" s="16" t="n">
        <x:v>1</x:v>
      </x:c>
      <x:c r="H1806" s="16" t="str">
        <x:v>04-06-2013</x:v>
      </x:c>
      <x:c r="I1806" s="16" t="n">
        <x:v>95</x:v>
      </x:c>
      <x:c r="J1806" s="16" t="n">
        <x:v>12</x:v>
      </x:c>
      <x:c r="K1806" s="16" t="n">
        <x:v>4</x:v>
      </x:c>
      <x:c r="L1806" s="16" t="n">
        <x:v>2</x:v>
      </x:c>
      <x:c r="M1806" s="16" t="n">
        <x:v>10</x:v>
      </x:c>
      <x:c r="N1806" s="16" t="n">
        <x:v>6</x:v>
      </x:c>
      <x:c r="O1806" s="16" t="n">
        <x:v>10</x:v>
      </x:c>
      <x:c r="P1806" s="16" t="n">
        <x:v>4</x:v>
      </x:c>
      <x:c r="Q1806" s="16" t="n">
        <x:v>2</x:v>
      </x:c>
      <x:c r="R1806" s="16" t="n">
        <x:v>0</x:v>
      </x:c>
      <x:c r="S1806" s="16" t="n">
        <x:v>4</x:v>
      </x:c>
      <x:c r="T1806" s="16" t="n">
        <x:v>5</x:v>
      </x:c>
      <x:c r="U1806" s="16" t="n">
        <x:v>0</x:v>
      </x:c>
      <x:c r="V1806" s="16" t="n">
        <x:v>0</x:v>
      </x:c>
      <x:c r="W1806" s="16" t="n">
        <x:v>0</x:v>
      </x:c>
      <x:c r="X1806" s="16" t="n">
        <x:v>0</x:v>
      </x:c>
      <x:c r="Y1806" s="16" t="n">
        <x:v>0</x:v>
      </x:c>
      <x:c r="Z1806" s="16" t="n">
        <x:v>0</x:v>
      </x:c>
      <x:c r="AA1806" s="16" t="n">
        <x:v>3</x:v>
      </x:c>
      <x:c r="AB1806" s="16" t="n">
        <x:v>11</x:v>
      </x:c>
      <x:c r="AC1806" s="16" t="n">
        <x:v>0</x:v>
      </x:c>
      <x:c r="AD1806" s="21" t="n">
        <x:f>IF(E1806="",MEDIAN($E$2:$E$2237),E1806)</x:f>
        <x:v>18701</x:v>
      </x:c>
      <x:c r="AE1806" s="17" t="n">
        <x:f>2014-B1806</x:f>
        <x:v>50</x:v>
      </x:c>
      <x:c r="AF1806" s="17" t="n">
        <x:f>F1806+G1806</x:f>
        <x:v>2</x:v>
      </x:c>
      <x:c r="AG1806" s="21" t="n">
        <x:f>SUM(J1806:O1806)</x:f>
        <x:v>44</x:v>
      </x:c>
      <x:c r="AH1806" s="17" t="n">
        <x:f>SUM(Q1806:S1806)</x:f>
        <x:v>6</x:v>
      </x:c>
      <x:c r="AI1806" s="17" t="n">
        <x:f>SUM(U1806:Y1806)</x:f>
        <x:v>0</x:v>
      </x:c>
      <x:c r="AJ1806" s="17" t="str">
        <x:f>IF(AE1806&lt;=34,"≤34",IF(AE1806&lt;=44,"35–44",IF(AE1806&lt;=54,"45–54",IF(AE1806&lt;=64,"55–64","65+"))))</x:f>
        <x:v>45–54</x:v>
      </x:c>
      <x:c r="AK1806" s="17" t="str">
        <x:f>IF(AG1806&gt;=1000,"High Value",IF(AG1806&gt;=300,"Mid Value","Low Value"))</x:f>
        <x:v>Low Value</x:v>
      </x:c>
      <x:c r="AL1806" s="17" t="str">
        <x:f>IF(AND(AI1806&gt;=1,I1806&lt;=50),"Priority 1",IF(AND(AG1806&gt;=1000,I1806&lt;=60),"Priority 2",IF(I1806&lt;=30,"Priority 3","Nurture")))</x:f>
        <x:v>Nurture</x:v>
      </x:c>
    </x:row>
    <x:row r="1807">
      <x:c r="A1807" s="16" t="n">
        <x:v>1619</x:v>
      </x:c>
      <x:c r="B1807" s="16" t="n">
        <x:v>1956</x:v>
      </x:c>
      <x:c r="C1807" s="16" t="str">
        <x:v>Graduation</x:v>
      </x:c>
      <x:c r="D1807" s="16" t="str">
        <x:v>Married</x:v>
      </x:c>
      <x:c r="E1807" s="16" t="n">
        <x:v>90369</x:v>
      </x:c>
      <x:c r="F1807" s="16" t="n">
        <x:v>0</x:v>
      </x:c>
      <x:c r="G1807" s="16" t="n">
        <x:v>0</x:v>
      </x:c>
      <x:c r="H1807" s="16" t="str">
        <x:v>28-04-2014</x:v>
      </x:c>
      <x:c r="I1807" s="16" t="n">
        <x:v>2</x:v>
      </x:c>
      <x:c r="J1807" s="16" t="n">
        <x:v>292</x:v>
      </x:c>
      <x:c r="K1807" s="16" t="n">
        <x:v>51</x:v>
      </x:c>
      <x:c r="L1807" s="16" t="n">
        <x:v>981</x:v>
      </x:c>
      <x:c r="M1807" s="16" t="n">
        <x:v>224</x:v>
      </x:c>
      <x:c r="N1807" s="16" t="n">
        <x:v>23</x:v>
      </x:c>
      <x:c r="O1807" s="16" t="n">
        <x:v>17</x:v>
      </x:c>
      <x:c r="P1807" s="16" t="n">
        <x:v>1</x:v>
      </x:c>
      <x:c r="Q1807" s="16" t="n">
        <x:v>4</x:v>
      </x:c>
      <x:c r="R1807" s="16" t="n">
        <x:v>6</x:v>
      </x:c>
      <x:c r="S1807" s="16" t="n">
        <x:v>6</x:v>
      </x:c>
      <x:c r="T1807" s="16" t="n">
        <x:v>1</x:v>
      </x:c>
      <x:c r="U1807" s="16" t="n">
        <x:v>0</x:v>
      </x:c>
      <x:c r="V1807" s="16" t="n">
        <x:v>0</x:v>
      </x:c>
      <x:c r="W1807" s="16" t="n">
        <x:v>0</x:v>
      </x:c>
      <x:c r="X1807" s="16" t="n">
        <x:v>0</x:v>
      </x:c>
      <x:c r="Y1807" s="16" t="n">
        <x:v>0</x:v>
      </x:c>
      <x:c r="Z1807" s="16" t="n">
        <x:v>0</x:v>
      </x:c>
      <x:c r="AA1807" s="16" t="n">
        <x:v>3</x:v>
      </x:c>
      <x:c r="AB1807" s="16" t="n">
        <x:v>11</x:v>
      </x:c>
      <x:c r="AC1807" s="16" t="n">
        <x:v>1</x:v>
      </x:c>
      <x:c r="AD1807" s="21" t="n">
        <x:f>IF(E1807="",MEDIAN($E$2:$E$2237),E1807)</x:f>
        <x:v>90369</x:v>
      </x:c>
      <x:c r="AE1807" s="17" t="n">
        <x:f>2014-B1807</x:f>
        <x:v>58</x:v>
      </x:c>
      <x:c r="AF1807" s="17" t="n">
        <x:f>F1807+G1807</x:f>
        <x:v>0</x:v>
      </x:c>
      <x:c r="AG1807" s="21" t="n">
        <x:f>SUM(J1807:O1807)</x:f>
        <x:v>1588</x:v>
      </x:c>
      <x:c r="AH1807" s="17" t="n">
        <x:f>SUM(Q1807:S1807)</x:f>
        <x:v>16</x:v>
      </x:c>
      <x:c r="AI1807" s="17" t="n">
        <x:f>SUM(U1807:Y1807)</x:f>
        <x:v>0</x:v>
      </x:c>
      <x:c r="AJ1807" s="17" t="str">
        <x:f>IF(AE1807&lt;=34,"≤34",IF(AE1807&lt;=44,"35–44",IF(AE1807&lt;=54,"45–54",IF(AE1807&lt;=64,"55–64","65+"))))</x:f>
        <x:v>55–64</x:v>
      </x:c>
      <x:c r="AK1807" s="17" t="str">
        <x:f>IF(AG1807&gt;=1000,"High Value",IF(AG1807&gt;=300,"Mid Value","Low Value"))</x:f>
        <x:v>High Value</x:v>
      </x:c>
      <x:c r="AL1807" s="17" t="str">
        <x:f>IF(AND(AI1807&gt;=1,I1807&lt;=50),"Priority 1",IF(AND(AG1807&gt;=1000,I1807&lt;=60),"Priority 2",IF(I1807&lt;=30,"Priority 3","Nurture")))</x:f>
        <x:v>Priority 2</x:v>
      </x:c>
    </x:row>
    <x:row r="1808">
      <x:c r="A1808" s="16" t="n">
        <x:v>1990</x:v>
      </x:c>
      <x:c r="B1808" s="16" t="n">
        <x:v>1974</x:v>
      </x:c>
      <x:c r="C1808" s="16" t="str">
        <x:v>PhD</x:v>
      </x:c>
      <x:c r="D1808" s="16" t="str">
        <x:v>Single</x:v>
      </x:c>
      <x:c r="E1808" s="16" t="n">
        <x:v>63159</x:v>
      </x:c>
      <x:c r="F1808" s="16" t="n">
        <x:v>0</x:v>
      </x:c>
      <x:c r="G1808" s="16" t="n">
        <x:v>0</x:v>
      </x:c>
      <x:c r="H1808" s="16" t="str">
        <x:v>05-11-2012</x:v>
      </x:c>
      <x:c r="I1808" s="16" t="n">
        <x:v>74</x:v>
      </x:c>
      <x:c r="J1808" s="16" t="n">
        <x:v>965</x:v>
      </x:c>
      <x:c r="K1808" s="16" t="n">
        <x:v>34</x:v>
      </x:c>
      <x:c r="L1808" s="16" t="n">
        <x:v>586</x:v>
      </x:c>
      <x:c r="M1808" s="16" t="n">
        <x:v>89</x:v>
      </x:c>
      <x:c r="N1808" s="16" t="n">
        <x:v>86</x:v>
      </x:c>
      <x:c r="O1808" s="16" t="n">
        <x:v>37</x:v>
      </x:c>
      <x:c r="P1808" s="16" t="n">
        <x:v>1</x:v>
      </x:c>
      <x:c r="Q1808" s="16" t="n">
        <x:v>3</x:v>
      </x:c>
      <x:c r="R1808" s="16" t="n">
        <x:v>5</x:v>
      </x:c>
      <x:c r="S1808" s="16" t="n">
        <x:v>8</x:v>
      </x:c>
      <x:c r="T1808" s="16" t="n">
        <x:v>3</x:v>
      </x:c>
      <x:c r="U1808" s="16" t="n">
        <x:v>1</x:v>
      </x:c>
      <x:c r="V1808" s="16" t="n">
        <x:v>0</x:v>
      </x:c>
      <x:c r="W1808" s="16" t="n">
        <x:v>0</x:v>
      </x:c>
      <x:c r="X1808" s="16" t="n">
        <x:v>0</x:v>
      </x:c>
      <x:c r="Y1808" s="16" t="n">
        <x:v>0</x:v>
      </x:c>
      <x:c r="Z1808" s="16" t="n">
        <x:v>0</x:v>
      </x:c>
      <x:c r="AA1808" s="16" t="n">
        <x:v>3</x:v>
      </x:c>
      <x:c r="AB1808" s="16" t="n">
        <x:v>11</x:v>
      </x:c>
      <x:c r="AC1808" s="16" t="n">
        <x:v>0</x:v>
      </x:c>
      <x:c r="AD1808" s="21" t="n">
        <x:f>IF(E1808="",MEDIAN($E$2:$E$2237),E1808)</x:f>
        <x:v>63159</x:v>
      </x:c>
      <x:c r="AE1808" s="17" t="n">
        <x:f>2014-B1808</x:f>
        <x:v>40</x:v>
      </x:c>
      <x:c r="AF1808" s="17" t="n">
        <x:f>F1808+G1808</x:f>
        <x:v>0</x:v>
      </x:c>
      <x:c r="AG1808" s="21" t="n">
        <x:f>SUM(J1808:O1808)</x:f>
        <x:v>1797</x:v>
      </x:c>
      <x:c r="AH1808" s="17" t="n">
        <x:f>SUM(Q1808:S1808)</x:f>
        <x:v>16</x:v>
      </x:c>
      <x:c r="AI1808" s="17" t="n">
        <x:f>SUM(U1808:Y1808)</x:f>
        <x:v>1</x:v>
      </x:c>
      <x:c r="AJ1808" s="17" t="str">
        <x:f>IF(AE1808&lt;=34,"≤34",IF(AE1808&lt;=44,"35–44",IF(AE1808&lt;=54,"45–54",IF(AE1808&lt;=64,"55–64","65+"))))</x:f>
        <x:v>35–44</x:v>
      </x:c>
      <x:c r="AK1808" s="17" t="str">
        <x:f>IF(AG1808&gt;=1000,"High Value",IF(AG1808&gt;=300,"Mid Value","Low Value"))</x:f>
        <x:v>High Value</x:v>
      </x:c>
      <x:c r="AL1808" s="17" t="str">
        <x:f>IF(AND(AI1808&gt;=1,I1808&lt;=50),"Priority 1",IF(AND(AG1808&gt;=1000,I1808&lt;=60),"Priority 2",IF(I1808&lt;=30,"Priority 3","Nurture")))</x:f>
        <x:v>Nurture</x:v>
      </x:c>
    </x:row>
    <x:row r="1809">
      <x:c r="A1809" s="16" t="n">
        <x:v>5513</x:v>
      </x:c>
      <x:c r="B1809" s="16" t="n">
        <x:v>1966</x:v>
      </x:c>
      <x:c r="C1809" s="16" t="str">
        <x:v>Graduation</x:v>
      </x:c>
      <x:c r="D1809" s="16" t="str">
        <x:v>Together</x:v>
      </x:c>
      <x:c r="E1809" s="16" t="n">
        <x:v>37758</x:v>
      </x:c>
      <x:c r="F1809" s="16" t="n">
        <x:v>1</x:v>
      </x:c>
      <x:c r="G1809" s="16" t="n">
        <x:v>1</x:v>
      </x:c>
      <x:c r="H1809" s="16" t="str">
        <x:v>04-10-2012</x:v>
      </x:c>
      <x:c r="I1809" s="16" t="n">
        <x:v>49</x:v>
      </x:c>
      <x:c r="J1809" s="16" t="n">
        <x:v>27</x:v>
      </x:c>
      <x:c r="K1809" s="16" t="n">
        <x:v>2</x:v>
      </x:c>
      <x:c r="L1809" s="16" t="n">
        <x:v>10</x:v>
      </x:c>
      <x:c r="M1809" s="16" t="n">
        <x:v>0</x:v>
      </x:c>
      <x:c r="N1809" s="16" t="n">
        <x:v>0</x:v>
      </x:c>
      <x:c r="O1809" s="16" t="n">
        <x:v>1</x:v>
      </x:c>
      <x:c r="P1809" s="16" t="n">
        <x:v>2</x:v>
      </x:c>
      <x:c r="Q1809" s="16" t="n">
        <x:v>1</x:v>
      </x:c>
      <x:c r="R1809" s="16" t="n">
        <x:v>0</x:v>
      </x:c>
      <x:c r="S1809" s="16" t="n">
        <x:v>3</x:v>
      </x:c>
      <x:c r="T1809" s="16" t="n">
        <x:v>8</x:v>
      </x:c>
      <x:c r="U1809" s="16" t="n">
        <x:v>0</x:v>
      </x:c>
      <x:c r="V1809" s="16" t="n">
        <x:v>0</x:v>
      </x:c>
      <x:c r="W1809" s="16" t="n">
        <x:v>0</x:v>
      </x:c>
      <x:c r="X1809" s="16" t="n">
        <x:v>0</x:v>
      </x:c>
      <x:c r="Y1809" s="16" t="n">
        <x:v>0</x:v>
      </x:c>
      <x:c r="Z1809" s="16" t="n">
        <x:v>0</x:v>
      </x:c>
      <x:c r="AA1809" s="16" t="n">
        <x:v>3</x:v>
      </x:c>
      <x:c r="AB1809" s="16" t="n">
        <x:v>11</x:v>
      </x:c>
      <x:c r="AC1809" s="16" t="n">
        <x:v>0</x:v>
      </x:c>
      <x:c r="AD1809" s="21" t="n">
        <x:f>IF(E1809="",MEDIAN($E$2:$E$2237),E1809)</x:f>
        <x:v>37758</x:v>
      </x:c>
      <x:c r="AE1809" s="17" t="n">
        <x:f>2014-B1809</x:f>
        <x:v>48</x:v>
      </x:c>
      <x:c r="AF1809" s="17" t="n">
        <x:f>F1809+G1809</x:f>
        <x:v>2</x:v>
      </x:c>
      <x:c r="AG1809" s="21" t="n">
        <x:f>SUM(J1809:O1809)</x:f>
        <x:v>40</x:v>
      </x:c>
      <x:c r="AH1809" s="17" t="n">
        <x:f>SUM(Q1809:S1809)</x:f>
        <x:v>4</x:v>
      </x:c>
      <x:c r="AI1809" s="17" t="n">
        <x:f>SUM(U1809:Y1809)</x:f>
        <x:v>0</x:v>
      </x:c>
      <x:c r="AJ1809" s="17" t="str">
        <x:f>IF(AE1809&lt;=34,"≤34",IF(AE1809&lt;=44,"35–44",IF(AE1809&lt;=54,"45–54",IF(AE1809&lt;=64,"55–64","65+"))))</x:f>
        <x:v>45–54</x:v>
      </x:c>
      <x:c r="AK1809" s="17" t="str">
        <x:f>IF(AG1809&gt;=1000,"High Value",IF(AG1809&gt;=300,"Mid Value","Low Value"))</x:f>
        <x:v>Low Value</x:v>
      </x:c>
      <x:c r="AL1809" s="17" t="str">
        <x:f>IF(AND(AI1809&gt;=1,I1809&lt;=50),"Priority 1",IF(AND(AG1809&gt;=1000,I1809&lt;=60),"Priority 2",IF(I1809&lt;=30,"Priority 3","Nurture")))</x:f>
        <x:v>Nurture</x:v>
      </x:c>
    </x:row>
    <x:row r="1810">
      <x:c r="A1810" s="16" t="n">
        <x:v>269</x:v>
      </x:c>
      <x:c r="B1810" s="16" t="n">
        <x:v>1963</x:v>
      </x:c>
      <x:c r="C1810" s="16" t="str">
        <x:v>PhD</x:v>
      </x:c>
      <x:c r="D1810" s="16" t="str">
        <x:v>Single</x:v>
      </x:c>
      <x:c r="E1810" s="16" t="n">
        <x:v>46757</x:v>
      </x:c>
      <x:c r="F1810" s="16" t="n">
        <x:v>0</x:v>
      </x:c>
      <x:c r="G1810" s="16" t="n">
        <x:v>1</x:v>
      </x:c>
      <x:c r="H1810" s="16" t="str">
        <x:v>16-11-2012</x:v>
      </x:c>
      <x:c r="I1810" s="16" t="n">
        <x:v>71</x:v>
      </x:c>
      <x:c r="J1810" s="16" t="n">
        <x:v>777</x:v>
      </x:c>
      <x:c r="K1810" s="16" t="n">
        <x:v>30</x:v>
      </x:c>
      <x:c r="L1810" s="16" t="n">
        <x:v>163</x:v>
      </x:c>
      <x:c r="M1810" s="16" t="n">
        <x:v>0</x:v>
      </x:c>
      <x:c r="N1810" s="16" t="n">
        <x:v>51</x:v>
      </x:c>
      <x:c r="O1810" s="16" t="n">
        <x:v>122</x:v>
      </x:c>
      <x:c r="P1810" s="16" t="n">
        <x:v>6</x:v>
      </x:c>
      <x:c r="Q1810" s="16" t="n">
        <x:v>4</x:v>
      </x:c>
      <x:c r="R1810" s="16" t="n">
        <x:v>4</x:v>
      </x:c>
      <x:c r="S1810" s="16" t="n">
        <x:v>7</x:v>
      </x:c>
      <x:c r="T1810" s="16" t="n">
        <x:v>9</x:v>
      </x:c>
      <x:c r="U1810" s="16" t="n">
        <x:v>0</x:v>
      </x:c>
      <x:c r="V1810" s="16" t="n">
        <x:v>0</x:v>
      </x:c>
      <x:c r="W1810" s="16" t="n">
        <x:v>0</x:v>
      </x:c>
      <x:c r="X1810" s="16" t="n">
        <x:v>0</x:v>
      </x:c>
      <x:c r="Y1810" s="16" t="n">
        <x:v>0</x:v>
      </x:c>
      <x:c r="Z1810" s="16" t="n">
        <x:v>0</x:v>
      </x:c>
      <x:c r="AA1810" s="16" t="n">
        <x:v>3</x:v>
      </x:c>
      <x:c r="AB1810" s="16" t="n">
        <x:v>11</x:v>
      </x:c>
      <x:c r="AC1810" s="16" t="n">
        <x:v>0</x:v>
      </x:c>
      <x:c r="AD1810" s="21" t="n">
        <x:f>IF(E1810="",MEDIAN($E$2:$E$2237),E1810)</x:f>
        <x:v>46757</x:v>
      </x:c>
      <x:c r="AE1810" s="17" t="n">
        <x:f>2014-B1810</x:f>
        <x:v>51</x:v>
      </x:c>
      <x:c r="AF1810" s="17" t="n">
        <x:f>F1810+G1810</x:f>
        <x:v>1</x:v>
      </x:c>
      <x:c r="AG1810" s="21" t="n">
        <x:f>SUM(J1810:O1810)</x:f>
        <x:v>1143</x:v>
      </x:c>
      <x:c r="AH1810" s="17" t="n">
        <x:f>SUM(Q1810:S1810)</x:f>
        <x:v>15</x:v>
      </x:c>
      <x:c r="AI1810" s="17" t="n">
        <x:f>SUM(U1810:Y1810)</x:f>
        <x:v>0</x:v>
      </x:c>
      <x:c r="AJ1810" s="17" t="str">
        <x:f>IF(AE1810&lt;=34,"≤34",IF(AE1810&lt;=44,"35–44",IF(AE1810&lt;=54,"45–54",IF(AE1810&lt;=64,"55–64","65+"))))</x:f>
        <x:v>45–54</x:v>
      </x:c>
      <x:c r="AK1810" s="17" t="str">
        <x:f>IF(AG1810&gt;=1000,"High Value",IF(AG1810&gt;=300,"Mid Value","Low Value"))</x:f>
        <x:v>High Value</x:v>
      </x:c>
      <x:c r="AL1810" s="17" t="str">
        <x:f>IF(AND(AI1810&gt;=1,I1810&lt;=50),"Priority 1",IF(AND(AG1810&gt;=1000,I1810&lt;=60),"Priority 2",IF(I1810&lt;=30,"Priority 3","Nurture")))</x:f>
        <x:v>Nurture</x:v>
      </x:c>
    </x:row>
    <x:row r="1811">
      <x:c r="A1811" s="16" t="n">
        <x:v>8093</x:v>
      </x:c>
      <x:c r="B1811" s="16" t="n">
        <x:v>1969</x:v>
      </x:c>
      <x:c r="C1811" s="16" t="str">
        <x:v>Master</x:v>
      </x:c>
      <x:c r="D1811" s="16" t="str">
        <x:v>Married</x:v>
      </x:c>
      <x:c r="E1811" s="16" t="n">
        <x:v>79734</x:v>
      </x:c>
      <x:c r="F1811" s="16" t="n">
        <x:v>0</x:v>
      </x:c>
      <x:c r="G1811" s="16" t="n">
        <x:v>0</x:v>
      </x:c>
      <x:c r="H1811" s="16" t="str">
        <x:v>28-06-2014</x:v>
      </x:c>
      <x:c r="I1811" s="16" t="n">
        <x:v>72</x:v>
      </x:c>
      <x:c r="J1811" s="16" t="n">
        <x:v>572</x:v>
      </x:c>
      <x:c r="K1811" s="16" t="n">
        <x:v>8</x:v>
      </x:c>
      <x:c r="L1811" s="16" t="n">
        <x:v>232</x:v>
      </x:c>
      <x:c r="M1811" s="16" t="n">
        <x:v>23</x:v>
      </x:c>
      <x:c r="N1811" s="16" t="n">
        <x:v>62</x:v>
      </x:c>
      <x:c r="O1811" s="16" t="n">
        <x:v>17</x:v>
      </x:c>
      <x:c r="P1811" s="16" t="n">
        <x:v>1</x:v>
      </x:c>
      <x:c r="Q1811" s="16" t="n">
        <x:v>4</x:v>
      </x:c>
      <x:c r="R1811" s="16" t="n">
        <x:v>3</x:v>
      </x:c>
      <x:c r="S1811" s="16" t="n">
        <x:v>6</x:v>
      </x:c>
      <x:c r="T1811" s="16" t="n">
        <x:v>1</x:v>
      </x:c>
      <x:c r="U1811" s="16" t="n">
        <x:v>0</x:v>
      </x:c>
      <x:c r="V1811" s="16" t="n">
        <x:v>0</x:v>
      </x:c>
      <x:c r="W1811" s="16" t="n">
        <x:v>0</x:v>
      </x:c>
      <x:c r="X1811" s="16" t="n">
        <x:v>1</x:v>
      </x:c>
      <x:c r="Y1811" s="16" t="n">
        <x:v>0</x:v>
      </x:c>
      <x:c r="Z1811" s="16" t="n">
        <x:v>0</x:v>
      </x:c>
      <x:c r="AA1811" s="16" t="n">
        <x:v>3</x:v>
      </x:c>
      <x:c r="AB1811" s="16" t="n">
        <x:v>11</x:v>
      </x:c>
      <x:c r="AC1811" s="16" t="n">
        <x:v>0</x:v>
      </x:c>
      <x:c r="AD1811" s="21" t="n">
        <x:f>IF(E1811="",MEDIAN($E$2:$E$2237),E1811)</x:f>
        <x:v>79734</x:v>
      </x:c>
      <x:c r="AE1811" s="17" t="n">
        <x:f>2014-B1811</x:f>
        <x:v>45</x:v>
      </x:c>
      <x:c r="AF1811" s="17" t="n">
        <x:f>F1811+G1811</x:f>
        <x:v>0</x:v>
      </x:c>
      <x:c r="AG1811" s="21" t="n">
        <x:f>SUM(J1811:O1811)</x:f>
        <x:v>914</x:v>
      </x:c>
      <x:c r="AH1811" s="17" t="n">
        <x:f>SUM(Q1811:S1811)</x:f>
        <x:v>13</x:v>
      </x:c>
      <x:c r="AI1811" s="17" t="n">
        <x:f>SUM(U1811:Y1811)</x:f>
        <x:v>1</x:v>
      </x:c>
      <x:c r="AJ1811" s="17" t="str">
        <x:f>IF(AE1811&lt;=34,"≤34",IF(AE1811&lt;=44,"35–44",IF(AE1811&lt;=54,"45–54",IF(AE1811&lt;=64,"55–64","65+"))))</x:f>
        <x:v>45–54</x:v>
      </x:c>
      <x:c r="AK1811" s="17" t="str">
        <x:f>IF(AG1811&gt;=1000,"High Value",IF(AG1811&gt;=300,"Mid Value","Low Value"))</x:f>
        <x:v>Mid Value</x:v>
      </x:c>
      <x:c r="AL1811" s="17" t="str">
        <x:f>IF(AND(AI1811&gt;=1,I1811&lt;=50),"Priority 1",IF(AND(AG1811&gt;=1000,I1811&lt;=60),"Priority 2",IF(I1811&lt;=30,"Priority 3","Nurture")))</x:f>
        <x:v>Nurture</x:v>
      </x:c>
    </x:row>
    <x:row r="1812">
      <x:c r="A1812" s="16" t="n">
        <x:v>10513</x:v>
      </x:c>
      <x:c r="B1812" s="16" t="n">
        <x:v>1992</x:v>
      </x:c>
      <x:c r="C1812" s="16" t="str">
        <x:v>Graduation</x:v>
      </x:c>
      <x:c r="D1812" s="16" t="str">
        <x:v>Together</x:v>
      </x:c>
      <x:c r="E1812" s="16" t="n">
        <x:v>63207</x:v>
      </x:c>
      <x:c r="F1812" s="16" t="n">
        <x:v>0</x:v>
      </x:c>
      <x:c r="G1812" s="16" t="n">
        <x:v>0</x:v>
      </x:c>
      <x:c r="H1812" s="16" t="str">
        <x:v>20-01-2013</x:v>
      </x:c>
      <x:c r="I1812" s="16" t="n">
        <x:v>68</x:v>
      </x:c>
      <x:c r="J1812" s="16" t="n">
        <x:v>438</x:v>
      </x:c>
      <x:c r="K1812" s="16" t="n">
        <x:v>169</x:v>
      </x:c>
      <x:c r="L1812" s="16" t="n">
        <x:v>565</x:v>
      </x:c>
      <x:c r="M1812" s="16" t="n">
        <x:v>91</x:v>
      </x:c>
      <x:c r="N1812" s="16" t="n">
        <x:v>169</x:v>
      </x:c>
      <x:c r="O1812" s="16" t="n">
        <x:v>70</x:v>
      </x:c>
      <x:c r="P1812" s="16" t="n">
        <x:v>1</x:v>
      </x:c>
      <x:c r="Q1812" s="16" t="n">
        <x:v>2</x:v>
      </x:c>
      <x:c r="R1812" s="16" t="n">
        <x:v>3</x:v>
      </x:c>
      <x:c r="S1812" s="16" t="n">
        <x:v>6</x:v>
      </x:c>
      <x:c r="T1812" s="16" t="n">
        <x:v>7</x:v>
      </x:c>
      <x:c r="U1812" s="16" t="n">
        <x:v>0</x:v>
      </x:c>
      <x:c r="V1812" s="16" t="n">
        <x:v>0</x:v>
      </x:c>
      <x:c r="W1812" s="16" t="n">
        <x:v>0</x:v>
      </x:c>
      <x:c r="X1812" s="16" t="n">
        <x:v>1</x:v>
      </x:c>
      <x:c r="Y1812" s="16" t="n">
        <x:v>0</x:v>
      </x:c>
      <x:c r="Z1812" s="16" t="n">
        <x:v>0</x:v>
      </x:c>
      <x:c r="AA1812" s="16" t="n">
        <x:v>3</x:v>
      </x:c>
      <x:c r="AB1812" s="16" t="n">
        <x:v>11</x:v>
      </x:c>
      <x:c r="AC1812" s="16" t="n">
        <x:v>0</x:v>
      </x:c>
      <x:c r="AD1812" s="21" t="n">
        <x:f>IF(E1812="",MEDIAN($E$2:$E$2237),E1812)</x:f>
        <x:v>63207</x:v>
      </x:c>
      <x:c r="AE1812" s="17" t="n">
        <x:f>2014-B1812</x:f>
        <x:v>22</x:v>
      </x:c>
      <x:c r="AF1812" s="17" t="n">
        <x:f>F1812+G1812</x:f>
        <x:v>0</x:v>
      </x:c>
      <x:c r="AG1812" s="21" t="n">
        <x:f>SUM(J1812:O1812)</x:f>
        <x:v>1502</x:v>
      </x:c>
      <x:c r="AH1812" s="17" t="n">
        <x:f>SUM(Q1812:S1812)</x:f>
        <x:v>11</x:v>
      </x:c>
      <x:c r="AI1812" s="17" t="n">
        <x:f>SUM(U1812:Y1812)</x:f>
        <x:v>1</x:v>
      </x:c>
      <x:c r="AJ1812" s="17" t="str">
        <x:f>IF(AE1812&lt;=34,"≤34",IF(AE1812&lt;=44,"35–44",IF(AE1812&lt;=54,"45–54",IF(AE1812&lt;=64,"55–64","65+"))))</x:f>
        <x:v>≤34</x:v>
      </x:c>
      <x:c r="AK1812" s="17" t="str">
        <x:f>IF(AG1812&gt;=1000,"High Value",IF(AG1812&gt;=300,"Mid Value","Low Value"))</x:f>
        <x:v>High Value</x:v>
      </x:c>
      <x:c r="AL1812" s="17" t="str">
        <x:f>IF(AND(AI1812&gt;=1,I1812&lt;=50),"Priority 1",IF(AND(AG1812&gt;=1000,I1812&lt;=60),"Priority 2",IF(I1812&lt;=30,"Priority 3","Nurture")))</x:f>
        <x:v>Nurture</x:v>
      </x:c>
    </x:row>
    <x:row r="1813">
      <x:c r="A1813" s="16" t="n">
        <x:v>10177</x:v>
      </x:c>
      <x:c r="B1813" s="16" t="n">
        <x:v>1954</x:v>
      </x:c>
      <x:c r="C1813" s="16" t="str">
        <x:v>Graduation</x:v>
      </x:c>
      <x:c r="D1813" s="16" t="str">
        <x:v>Divorced</x:v>
      </x:c>
      <x:c r="E1813" s="16" t="n">
        <x:v>72071</x:v>
      </x:c>
      <x:c r="F1813" s="16" t="n">
        <x:v>0</x:v>
      </x:c>
      <x:c r="G1813" s="16" t="n">
        <x:v>1</x:v>
      </x:c>
      <x:c r="H1813" s="16" t="str">
        <x:v>14-02-2013</x:v>
      </x:c>
      <x:c r="I1813" s="16" t="n">
        <x:v>4</x:v>
      </x:c>
      <x:c r="J1813" s="16" t="n">
        <x:v>531</x:v>
      </x:c>
      <x:c r="K1813" s="16" t="n">
        <x:v>69</x:v>
      </x:c>
      <x:c r="L1813" s="16" t="n">
        <x:v>300</x:v>
      </x:c>
      <x:c r="M1813" s="16" t="n">
        <x:v>150</x:v>
      </x:c>
      <x:c r="N1813" s="16" t="n">
        <x:v>138</x:v>
      </x:c>
      <x:c r="O1813" s="16" t="n">
        <x:v>150</x:v>
      </x:c>
      <x:c r="P1813" s="16" t="n">
        <x:v>3</x:v>
      </x:c>
      <x:c r="Q1813" s="16" t="n">
        <x:v>5</x:v>
      </x:c>
      <x:c r="R1813" s="16" t="n">
        <x:v>4</x:v>
      </x:c>
      <x:c r="S1813" s="16" t="n">
        <x:v>8</x:v>
      </x:c>
      <x:c r="T1813" s="16" t="n">
        <x:v>2</x:v>
      </x:c>
      <x:c r="U1813" s="16" t="n">
        <x:v>0</x:v>
      </x:c>
      <x:c r="V1813" s="16" t="n">
        <x:v>0</x:v>
      </x:c>
      <x:c r="W1813" s="16" t="n">
        <x:v>0</x:v>
      </x:c>
      <x:c r="X1813" s="16" t="n">
        <x:v>0</x:v>
      </x:c>
      <x:c r="Y1813" s="16" t="n">
        <x:v>0</x:v>
      </x:c>
      <x:c r="Z1813" s="16" t="n">
        <x:v>0</x:v>
      </x:c>
      <x:c r="AA1813" s="16" t="n">
        <x:v>3</x:v>
      </x:c>
      <x:c r="AB1813" s="16" t="n">
        <x:v>11</x:v>
      </x:c>
      <x:c r="AC1813" s="16" t="n">
        <x:v>0</x:v>
      </x:c>
      <x:c r="AD1813" s="21" t="n">
        <x:f>IF(E1813="",MEDIAN($E$2:$E$2237),E1813)</x:f>
        <x:v>72071</x:v>
      </x:c>
      <x:c r="AE1813" s="17" t="n">
        <x:f>2014-B1813</x:f>
        <x:v>60</x:v>
      </x:c>
      <x:c r="AF1813" s="17" t="n">
        <x:f>F1813+G1813</x:f>
        <x:v>1</x:v>
      </x:c>
      <x:c r="AG1813" s="21" t="n">
        <x:f>SUM(J1813:O1813)</x:f>
        <x:v>1338</x:v>
      </x:c>
      <x:c r="AH1813" s="17" t="n">
        <x:f>SUM(Q1813:S1813)</x:f>
        <x:v>17</x:v>
      </x:c>
      <x:c r="AI1813" s="17" t="n">
        <x:f>SUM(U1813:Y1813)</x:f>
        <x:v>0</x:v>
      </x:c>
      <x:c r="AJ1813" s="17" t="str">
        <x:f>IF(AE1813&lt;=34,"≤34",IF(AE1813&lt;=44,"35–44",IF(AE1813&lt;=54,"45–54",IF(AE1813&lt;=64,"55–64","65+"))))</x:f>
        <x:v>55–64</x:v>
      </x:c>
      <x:c r="AK1813" s="17" t="str">
        <x:f>IF(AG1813&gt;=1000,"High Value",IF(AG1813&gt;=300,"Mid Value","Low Value"))</x:f>
        <x:v>High Value</x:v>
      </x:c>
      <x:c r="AL1813" s="17" t="str">
        <x:f>IF(AND(AI1813&gt;=1,I1813&lt;=50),"Priority 1",IF(AND(AG1813&gt;=1000,I1813&lt;=60),"Priority 2",IF(I1813&lt;=30,"Priority 3","Nurture")))</x:f>
        <x:v>Priority 2</x:v>
      </x:c>
    </x:row>
    <x:row r="1814">
      <x:c r="A1814" s="16" t="n">
        <x:v>2549</x:v>
      </x:c>
      <x:c r="B1814" s="16" t="n">
        <x:v>1983</x:v>
      </x:c>
      <x:c r="C1814" s="16" t="str">
        <x:v>PhD</x:v>
      </x:c>
      <x:c r="D1814" s="16" t="str">
        <x:v>Together</x:v>
      </x:c>
      <x:c r="E1814" s="16" t="n">
        <x:v>21840</x:v>
      </x:c>
      <x:c r="F1814" s="16" t="n">
        <x:v>1</x:v>
      </x:c>
      <x:c r="G1814" s="16" t="n">
        <x:v>0</x:v>
      </x:c>
      <x:c r="H1814" s="16" t="str">
        <x:v>21-07-2013</x:v>
      </x:c>
      <x:c r="I1814" s="16" t="n">
        <x:v>80</x:v>
      </x:c>
      <x:c r="J1814" s="16" t="n">
        <x:v>17</x:v>
      </x:c>
      <x:c r="K1814" s="16" t="n">
        <x:v>0</x:v>
      </x:c>
      <x:c r="L1814" s="16" t="n">
        <x:v>9</x:v>
      </x:c>
      <x:c r="M1814" s="16" t="n">
        <x:v>0</x:v>
      </x:c>
      <x:c r="N1814" s="16" t="n">
        <x:v>0</x:v>
      </x:c>
      <x:c r="O1814" s="16" t="n">
        <x:v>1</x:v>
      </x:c>
      <x:c r="P1814" s="16" t="n">
        <x:v>1</x:v>
      </x:c>
      <x:c r="Q1814" s="16" t="n">
        <x:v>1</x:v>
      </x:c>
      <x:c r="R1814" s="16" t="n">
        <x:v>0</x:v>
      </x:c>
      <x:c r="S1814" s="16" t="n">
        <x:v>3</x:v>
      </x:c>
      <x:c r="T1814" s="16" t="n">
        <x:v>9</x:v>
      </x:c>
      <x:c r="U1814" s="16" t="n">
        <x:v>0</x:v>
      </x:c>
      <x:c r="V1814" s="16" t="n">
        <x:v>0</x:v>
      </x:c>
      <x:c r="W1814" s="16" t="n">
        <x:v>0</x:v>
      </x:c>
      <x:c r="X1814" s="16" t="n">
        <x:v>0</x:v>
      </x:c>
      <x:c r="Y1814" s="16" t="n">
        <x:v>0</x:v>
      </x:c>
      <x:c r="Z1814" s="16" t="n">
        <x:v>0</x:v>
      </x:c>
      <x:c r="AA1814" s="16" t="n">
        <x:v>3</x:v>
      </x:c>
      <x:c r="AB1814" s="16" t="n">
        <x:v>11</x:v>
      </x:c>
      <x:c r="AC1814" s="16" t="n">
        <x:v>0</x:v>
      </x:c>
      <x:c r="AD1814" s="21" t="n">
        <x:f>IF(E1814="",MEDIAN($E$2:$E$2237),E1814)</x:f>
        <x:v>21840</x:v>
      </x:c>
      <x:c r="AE1814" s="17" t="n">
        <x:f>2014-B1814</x:f>
        <x:v>31</x:v>
      </x:c>
      <x:c r="AF1814" s="17" t="n">
        <x:f>F1814+G1814</x:f>
        <x:v>1</x:v>
      </x:c>
      <x:c r="AG1814" s="21" t="n">
        <x:f>SUM(J1814:O1814)</x:f>
        <x:v>27</x:v>
      </x:c>
      <x:c r="AH1814" s="17" t="n">
        <x:f>SUM(Q1814:S1814)</x:f>
        <x:v>4</x:v>
      </x:c>
      <x:c r="AI1814" s="17" t="n">
        <x:f>SUM(U1814:Y1814)</x:f>
        <x:v>0</x:v>
      </x:c>
      <x:c r="AJ1814" s="17" t="str">
        <x:f>IF(AE1814&lt;=34,"≤34",IF(AE1814&lt;=44,"35–44",IF(AE1814&lt;=54,"45–54",IF(AE1814&lt;=64,"55–64","65+"))))</x:f>
        <x:v>≤34</x:v>
      </x:c>
      <x:c r="AK1814" s="17" t="str">
        <x:f>IF(AG1814&gt;=1000,"High Value",IF(AG1814&gt;=300,"Mid Value","Low Value"))</x:f>
        <x:v>Low Value</x:v>
      </x:c>
      <x:c r="AL1814" s="17" t="str">
        <x:f>IF(AND(AI1814&gt;=1,I1814&lt;=50),"Priority 1",IF(AND(AG1814&gt;=1000,I1814&lt;=60),"Priority 2",IF(I1814&lt;=30,"Priority 3","Nurture")))</x:f>
        <x:v>Nurture</x:v>
      </x:c>
    </x:row>
    <x:row r="1815">
      <x:c r="A1815" s="16" t="n">
        <x:v>5782</x:v>
      </x:c>
      <x:c r="B1815" s="16" t="n">
        <x:v>1982</x:v>
      </x:c>
      <x:c r="C1815" s="16" t="str">
        <x:v>2n Cycle</x:v>
      </x:c>
      <x:c r="D1815" s="16" t="str">
        <x:v>Together</x:v>
      </x:c>
      <x:c r="E1815" s="16" t="n">
        <x:v>58582</x:v>
      </x:c>
      <x:c r="F1815" s="16" t="n">
        <x:v>0</x:v>
      </x:c>
      <x:c r="G1815" s="16" t="n">
        <x:v>1</x:v>
      </x:c>
      <x:c r="H1815" s="16" t="str">
        <x:v>28-09-2013</x:v>
      </x:c>
      <x:c r="I1815" s="16" t="n">
        <x:v>15</x:v>
      </x:c>
      <x:c r="J1815" s="16" t="n">
        <x:v>402</x:v>
      </x:c>
      <x:c r="K1815" s="16" t="n">
        <x:v>35</x:v>
      </x:c>
      <x:c r="L1815" s="16" t="n">
        <x:v>106</x:v>
      </x:c>
      <x:c r="M1815" s="16" t="n">
        <x:v>101</x:v>
      </x:c>
      <x:c r="N1815" s="16" t="n">
        <x:v>77</x:v>
      </x:c>
      <x:c r="O1815" s="16" t="n">
        <x:v>42</x:v>
      </x:c>
      <x:c r="P1815" s="16" t="n">
        <x:v>2</x:v>
      </x:c>
      <x:c r="Q1815" s="16" t="n">
        <x:v>9</x:v>
      </x:c>
      <x:c r="R1815" s="16" t="n">
        <x:v>2</x:v>
      </x:c>
      <x:c r="S1815" s="16" t="n">
        <x:v>9</x:v>
      </x:c>
      <x:c r="T1815" s="16" t="n">
        <x:v>5</x:v>
      </x:c>
      <x:c r="U1815" s="16" t="n">
        <x:v>0</x:v>
      </x:c>
      <x:c r="V1815" s="16" t="n">
        <x:v>1</x:v>
      </x:c>
      <x:c r="W1815" s="16" t="n">
        <x:v>0</x:v>
      </x:c>
      <x:c r="X1815" s="16" t="n">
        <x:v>0</x:v>
      </x:c>
      <x:c r="Y1815" s="16" t="n">
        <x:v>0</x:v>
      </x:c>
      <x:c r="Z1815" s="16" t="n">
        <x:v>0</x:v>
      </x:c>
      <x:c r="AA1815" s="16" t="n">
        <x:v>3</x:v>
      </x:c>
      <x:c r="AB1815" s="16" t="n">
        <x:v>11</x:v>
      </x:c>
      <x:c r="AC1815" s="16" t="n">
        <x:v>0</x:v>
      </x:c>
      <x:c r="AD1815" s="21" t="n">
        <x:f>IF(E1815="",MEDIAN($E$2:$E$2237),E1815)</x:f>
        <x:v>58582</x:v>
      </x:c>
      <x:c r="AE1815" s="17" t="n">
        <x:f>2014-B1815</x:f>
        <x:v>32</x:v>
      </x:c>
      <x:c r="AF1815" s="17" t="n">
        <x:f>F1815+G1815</x:f>
        <x:v>1</x:v>
      </x:c>
      <x:c r="AG1815" s="21" t="n">
        <x:f>SUM(J1815:O1815)</x:f>
        <x:v>763</x:v>
      </x:c>
      <x:c r="AH1815" s="17" t="n">
        <x:f>SUM(Q1815:S1815)</x:f>
        <x:v>20</x:v>
      </x:c>
      <x:c r="AI1815" s="17" t="n">
        <x:f>SUM(U1815:Y1815)</x:f>
        <x:v>1</x:v>
      </x:c>
      <x:c r="AJ1815" s="17" t="str">
        <x:f>IF(AE1815&lt;=34,"≤34",IF(AE1815&lt;=44,"35–44",IF(AE1815&lt;=54,"45–54",IF(AE1815&lt;=64,"55–64","65+"))))</x:f>
        <x:v>≤34</x:v>
      </x:c>
      <x:c r="AK1815" s="17" t="str">
        <x:f>IF(AG1815&gt;=1000,"High Value",IF(AG1815&gt;=300,"Mid Value","Low Value"))</x:f>
        <x:v>Mid Value</x:v>
      </x:c>
      <x:c r="AL1815" s="17" t="str">
        <x:f>IF(AND(AI1815&gt;=1,I1815&lt;=50),"Priority 1",IF(AND(AG1815&gt;=1000,I1815&lt;=60),"Priority 2",IF(I1815&lt;=30,"Priority 3","Nurture")))</x:f>
        <x:v>Priority 1</x:v>
      </x:c>
    </x:row>
    <x:row r="1816">
      <x:c r="A1816" s="16" t="n">
        <x:v>10057</x:v>
      </x:c>
      <x:c r="B1816" s="16" t="n">
        <x:v>1951</x:v>
      </x:c>
      <x:c r="C1816" s="16" t="str">
        <x:v>Graduation</x:v>
      </x:c>
      <x:c r="D1816" s="16" t="str">
        <x:v>Single</x:v>
      </x:c>
      <x:c r="E1816" s="16" t="n">
        <x:v>72282</x:v>
      </x:c>
      <x:c r="F1816" s="16" t="n">
        <x:v>0</x:v>
      </x:c>
      <x:c r="G1816" s="16" t="n">
        <x:v>0</x:v>
      </x:c>
      <x:c r="H1816" s="16" t="str">
        <x:v>19-07-2013</x:v>
      </x:c>
      <x:c r="I1816" s="16" t="n">
        <x:v>70</x:v>
      </x:c>
      <x:c r="J1816" s="16" t="n">
        <x:v>503</x:v>
      </x:c>
      <x:c r="K1816" s="16" t="n">
        <x:v>27</x:v>
      </x:c>
      <x:c r="L1816" s="16" t="n">
        <x:v>419</x:v>
      </x:c>
      <x:c r="M1816" s="16" t="n">
        <x:v>90</x:v>
      </x:c>
      <x:c r="N1816" s="16" t="n">
        <x:v>139</x:v>
      </x:c>
      <x:c r="O1816" s="16" t="n">
        <x:v>153</x:v>
      </x:c>
      <x:c r="P1816" s="16" t="n">
        <x:v>1</x:v>
      </x:c>
      <x:c r="Q1816" s="16" t="n">
        <x:v>5</x:v>
      </x:c>
      <x:c r="R1816" s="16" t="n">
        <x:v>7</x:v>
      </x:c>
      <x:c r="S1816" s="16" t="n">
        <x:v>9</x:v>
      </x:c>
      <x:c r="T1816" s="16" t="n">
        <x:v>7</x:v>
      </x:c>
      <x:c r="U1816" s="16" t="n">
        <x:v>0</x:v>
      </x:c>
      <x:c r="V1816" s="16" t="n">
        <x:v>0</x:v>
      </x:c>
      <x:c r="W1816" s="16" t="n">
        <x:v>0</x:v>
      </x:c>
      <x:c r="X1816" s="16" t="n">
        <x:v>0</x:v>
      </x:c>
      <x:c r="Y1816" s="16" t="n">
        <x:v>0</x:v>
      </x:c>
      <x:c r="Z1816" s="16" t="n">
        <x:v>0</x:v>
      </x:c>
      <x:c r="AA1816" s="16" t="n">
        <x:v>3</x:v>
      </x:c>
      <x:c r="AB1816" s="16" t="n">
        <x:v>11</x:v>
      </x:c>
      <x:c r="AC1816" s="16" t="n">
        <x:v>1</x:v>
      </x:c>
      <x:c r="AD1816" s="21" t="n">
        <x:f>IF(E1816="",MEDIAN($E$2:$E$2237),E1816)</x:f>
        <x:v>72282</x:v>
      </x:c>
      <x:c r="AE1816" s="17" t="n">
        <x:f>2014-B1816</x:f>
        <x:v>63</x:v>
      </x:c>
      <x:c r="AF1816" s="17" t="n">
        <x:f>F1816+G1816</x:f>
        <x:v>0</x:v>
      </x:c>
      <x:c r="AG1816" s="21" t="n">
        <x:f>SUM(J1816:O1816)</x:f>
        <x:v>1331</x:v>
      </x:c>
      <x:c r="AH1816" s="17" t="n">
        <x:f>SUM(Q1816:S1816)</x:f>
        <x:v>21</x:v>
      </x:c>
      <x:c r="AI1816" s="17" t="n">
        <x:f>SUM(U1816:Y1816)</x:f>
        <x:v>0</x:v>
      </x:c>
      <x:c r="AJ1816" s="17" t="str">
        <x:f>IF(AE1816&lt;=34,"≤34",IF(AE1816&lt;=44,"35–44",IF(AE1816&lt;=54,"45–54",IF(AE1816&lt;=64,"55–64","65+"))))</x:f>
        <x:v>55–64</x:v>
      </x:c>
      <x:c r="AK1816" s="17" t="str">
        <x:f>IF(AG1816&gt;=1000,"High Value",IF(AG1816&gt;=300,"Mid Value","Low Value"))</x:f>
        <x:v>High Value</x:v>
      </x:c>
      <x:c r="AL1816" s="17" t="str">
        <x:f>IF(AND(AI1816&gt;=1,I1816&lt;=50),"Priority 1",IF(AND(AG1816&gt;=1000,I1816&lt;=60),"Priority 2",IF(I1816&lt;=30,"Priority 3","Nurture")))</x:f>
        <x:v>Nurture</x:v>
      </x:c>
    </x:row>
    <x:row r="1817">
      <x:c r="A1817" s="16" t="n">
        <x:v>10307</x:v>
      </x:c>
      <x:c r="B1817" s="16" t="n">
        <x:v>1956</x:v>
      </x:c>
      <x:c r="C1817" s="16" t="str">
        <x:v>Graduation</x:v>
      </x:c>
      <x:c r="D1817" s="16" t="str">
        <x:v>Married</x:v>
      </x:c>
      <x:c r="E1817" s="16" t="n">
        <x:v>50387</x:v>
      </x:c>
      <x:c r="F1817" s="16" t="n">
        <x:v>0</x:v>
      </x:c>
      <x:c r="G1817" s="16" t="n">
        <x:v>2</x:v>
      </x:c>
      <x:c r="H1817" s="16" t="str">
        <x:v>31-08-2013</x:v>
      </x:c>
      <x:c r="I1817" s="16" t="n">
        <x:v>91</x:v>
      </x:c>
      <x:c r="J1817" s="16" t="n">
        <x:v>369</x:v>
      </x:c>
      <x:c r="K1817" s="16" t="n">
        <x:v>9</x:v>
      </x:c>
      <x:c r="L1817" s="16" t="n">
        <x:v>87</x:v>
      </x:c>
      <x:c r="M1817" s="16" t="n">
        <x:v>12</x:v>
      </x:c>
      <x:c r="N1817" s="16" t="n">
        <x:v>14</x:v>
      </x:c>
      <x:c r="O1817" s="16" t="n">
        <x:v>34</x:v>
      </x:c>
      <x:c r="P1817" s="16" t="n">
        <x:v>3</x:v>
      </x:c>
      <x:c r="Q1817" s="16" t="n">
        <x:v>6</x:v>
      </x:c>
      <x:c r="R1817" s="16" t="n">
        <x:v>2</x:v>
      </x:c>
      <x:c r="S1817" s="16" t="n">
        <x:v>8</x:v>
      </x:c>
      <x:c r="T1817" s="16" t="n">
        <x:v>5</x:v>
      </x:c>
      <x:c r="U1817" s="16" t="n">
        <x:v>0</x:v>
      </x:c>
      <x:c r="V1817" s="16" t="n">
        <x:v>0</x:v>
      </x:c>
      <x:c r="W1817" s="16" t="n">
        <x:v>0</x:v>
      </x:c>
      <x:c r="X1817" s="16" t="n">
        <x:v>0</x:v>
      </x:c>
      <x:c r="Y1817" s="16" t="n">
        <x:v>0</x:v>
      </x:c>
      <x:c r="Z1817" s="16" t="n">
        <x:v>0</x:v>
      </x:c>
      <x:c r="AA1817" s="16" t="n">
        <x:v>3</x:v>
      </x:c>
      <x:c r="AB1817" s="16" t="n">
        <x:v>11</x:v>
      </x:c>
      <x:c r="AC1817" s="16" t="n">
        <x:v>0</x:v>
      </x:c>
      <x:c r="AD1817" s="21" t="n">
        <x:f>IF(E1817="",MEDIAN($E$2:$E$2237),E1817)</x:f>
        <x:v>50387</x:v>
      </x:c>
      <x:c r="AE1817" s="17" t="n">
        <x:f>2014-B1817</x:f>
        <x:v>58</x:v>
      </x:c>
      <x:c r="AF1817" s="17" t="n">
        <x:f>F1817+G1817</x:f>
        <x:v>2</x:v>
      </x:c>
      <x:c r="AG1817" s="21" t="n">
        <x:f>SUM(J1817:O1817)</x:f>
        <x:v>525</x:v>
      </x:c>
      <x:c r="AH1817" s="17" t="n">
        <x:f>SUM(Q1817:S1817)</x:f>
        <x:v>16</x:v>
      </x:c>
      <x:c r="AI1817" s="17" t="n">
        <x:f>SUM(U1817:Y1817)</x:f>
        <x:v>0</x:v>
      </x:c>
      <x:c r="AJ1817" s="17" t="str">
        <x:f>IF(AE1817&lt;=34,"≤34",IF(AE1817&lt;=44,"35–44",IF(AE1817&lt;=54,"45–54",IF(AE1817&lt;=64,"55–64","65+"))))</x:f>
        <x:v>55–64</x:v>
      </x:c>
      <x:c r="AK1817" s="17" t="str">
        <x:f>IF(AG1817&gt;=1000,"High Value",IF(AG1817&gt;=300,"Mid Value","Low Value"))</x:f>
        <x:v>Mid Value</x:v>
      </x:c>
      <x:c r="AL1817" s="17" t="str">
        <x:f>IF(AND(AI1817&gt;=1,I1817&lt;=50),"Priority 1",IF(AND(AG1817&gt;=1000,I1817&lt;=60),"Priority 2",IF(I1817&lt;=30,"Priority 3","Nurture")))</x:f>
        <x:v>Nurture</x:v>
      </x:c>
    </x:row>
    <x:row r="1818">
      <x:c r="A1818" s="16" t="n">
        <x:v>8566</x:v>
      </x:c>
      <x:c r="B1818" s="16" t="n">
        <x:v>1961</x:v>
      </x:c>
      <x:c r="C1818" s="16" t="str">
        <x:v>PhD</x:v>
      </x:c>
      <x:c r="D1818" s="16" t="str">
        <x:v>Together</x:v>
      </x:c>
      <x:c r="E1818" s="16" t="n">
        <x:v>32583</x:v>
      </x:c>
      <x:c r="F1818" s="16" t="n">
        <x:v>1</x:v>
      </x:c>
      <x:c r="G1818" s="16" t="n">
        <x:v>1</x:v>
      </x:c>
      <x:c r="H1818" s="16" t="str">
        <x:v>15-06-2014</x:v>
      </x:c>
      <x:c r="I1818" s="16" t="n">
        <x:v>10</x:v>
      </x:c>
      <x:c r="J1818" s="16" t="n">
        <x:v>5</x:v>
      </x:c>
      <x:c r="K1818" s="16" t="n">
        <x:v>0</x:v>
      </x:c>
      <x:c r="L1818" s="16" t="n">
        <x:v>3</x:v>
      </x:c>
      <x:c r="M1818" s="16" t="n">
        <x:v>0</x:v>
      </x:c>
      <x:c r="N1818" s="16" t="n">
        <x:v>0</x:v>
      </x:c>
      <x:c r="O1818" s="16" t="n">
        <x:v>1</x:v>
      </x:c>
      <x:c r="P1818" s="16" t="n">
        <x:v>1</x:v>
      </x:c>
      <x:c r="Q1818" s="16" t="n">
        <x:v>1</x:v>
      </x:c>
      <x:c r="R1818" s="16" t="n">
        <x:v>0</x:v>
      </x:c>
      <x:c r="S1818" s="16" t="n">
        <x:v>2</x:v>
      </x:c>
      <x:c r="T1818" s="16" t="n">
        <x:v>7</x:v>
      </x:c>
      <x:c r="U1818" s="16" t="n">
        <x:v>0</x:v>
      </x:c>
      <x:c r="V1818" s="16" t="n">
        <x:v>0</x:v>
      </x:c>
      <x:c r="W1818" s="16" t="n">
        <x:v>0</x:v>
      </x:c>
      <x:c r="X1818" s="16" t="n">
        <x:v>0</x:v>
      </x:c>
      <x:c r="Y1818" s="16" t="n">
        <x:v>0</x:v>
      </x:c>
      <x:c r="Z1818" s="16" t="n">
        <x:v>0</x:v>
      </x:c>
      <x:c r="AA1818" s="16" t="n">
        <x:v>3</x:v>
      </x:c>
      <x:c r="AB1818" s="16" t="n">
        <x:v>11</x:v>
      </x:c>
      <x:c r="AC1818" s="16" t="n">
        <x:v>0</x:v>
      </x:c>
      <x:c r="AD1818" s="21" t="n">
        <x:f>IF(E1818="",MEDIAN($E$2:$E$2237),E1818)</x:f>
        <x:v>32583</x:v>
      </x:c>
      <x:c r="AE1818" s="17" t="n">
        <x:f>2014-B1818</x:f>
        <x:v>53</x:v>
      </x:c>
      <x:c r="AF1818" s="17" t="n">
        <x:f>F1818+G1818</x:f>
        <x:v>2</x:v>
      </x:c>
      <x:c r="AG1818" s="21" t="n">
        <x:f>SUM(J1818:O1818)</x:f>
        <x:v>9</x:v>
      </x:c>
      <x:c r="AH1818" s="17" t="n">
        <x:f>SUM(Q1818:S1818)</x:f>
        <x:v>3</x:v>
      </x:c>
      <x:c r="AI1818" s="17" t="n">
        <x:f>SUM(U1818:Y1818)</x:f>
        <x:v>0</x:v>
      </x:c>
      <x:c r="AJ1818" s="17" t="str">
        <x:f>IF(AE1818&lt;=34,"≤34",IF(AE1818&lt;=44,"35–44",IF(AE1818&lt;=54,"45–54",IF(AE1818&lt;=64,"55–64","65+"))))</x:f>
        <x:v>45–54</x:v>
      </x:c>
      <x:c r="AK1818" s="17" t="str">
        <x:f>IF(AG1818&gt;=1000,"High Value",IF(AG1818&gt;=300,"Mid Value","Low Value"))</x:f>
        <x:v>Low Value</x:v>
      </x:c>
      <x:c r="AL1818" s="17" t="str">
        <x:f>IF(AND(AI1818&gt;=1,I1818&lt;=50),"Priority 1",IF(AND(AG1818&gt;=1000,I1818&lt;=60),"Priority 2",IF(I1818&lt;=30,"Priority 3","Nurture")))</x:f>
        <x:v>Priority 3</x:v>
      </x:c>
    </x:row>
    <x:row r="1819">
      <x:c r="A1819" s="16" t="n">
        <x:v>2415</x:v>
      </x:c>
      <x:c r="B1819" s="16" t="n">
        <x:v>1962</x:v>
      </x:c>
      <x:c r="C1819" s="16" t="str">
        <x:v>Graduation</x:v>
      </x:c>
      <x:c r="D1819" s="16" t="str">
        <x:v>Together</x:v>
      </x:c>
      <x:c r="E1819" s="16" t="n">
        <x:v>62568</x:v>
      </x:c>
      <x:c r="F1819" s="16" t="n">
        <x:v>0</x:v>
      </x:c>
      <x:c r="G1819" s="16" t="n">
        <x:v>1</x:v>
      </x:c>
      <x:c r="H1819" s="16" t="str">
        <x:v>07-04-2014</x:v>
      </x:c>
      <x:c r="I1819" s="16" t="n">
        <x:v>99</x:v>
      </x:c>
      <x:c r="J1819" s="16" t="n">
        <x:v>362</x:v>
      </x:c>
      <x:c r="K1819" s="16" t="n">
        <x:v>17</x:v>
      </x:c>
      <x:c r="L1819" s="16" t="n">
        <x:v>398</x:v>
      </x:c>
      <x:c r="M1819" s="16" t="n">
        <x:v>80</x:v>
      </x:c>
      <x:c r="N1819" s="16" t="n">
        <x:v>35</x:v>
      </x:c>
      <x:c r="O1819" s="16" t="n">
        <x:v>61</x:v>
      </x:c>
      <x:c r="P1819" s="16" t="n">
        <x:v>3</x:v>
      </x:c>
      <x:c r="Q1819" s="16" t="n">
        <x:v>5</x:v>
      </x:c>
      <x:c r="R1819" s="16" t="n">
        <x:v>3</x:v>
      </x:c>
      <x:c r="S1819" s="16" t="n">
        <x:v>5</x:v>
      </x:c>
      <x:c r="T1819" s="16" t="n">
        <x:v>4</x:v>
      </x:c>
      <x:c r="U1819" s="16" t="n">
        <x:v>0</x:v>
      </x:c>
      <x:c r="V1819" s="16" t="n">
        <x:v>0</x:v>
      </x:c>
      <x:c r="W1819" s="16" t="n">
        <x:v>0</x:v>
      </x:c>
      <x:c r="X1819" s="16" t="n">
        <x:v>1</x:v>
      </x:c>
      <x:c r="Y1819" s="16" t="n">
        <x:v>0</x:v>
      </x:c>
      <x:c r="Z1819" s="16" t="n">
        <x:v>0</x:v>
      </x:c>
      <x:c r="AA1819" s="16" t="n">
        <x:v>3</x:v>
      </x:c>
      <x:c r="AB1819" s="16" t="n">
        <x:v>11</x:v>
      </x:c>
      <x:c r="AC1819" s="16" t="n">
        <x:v>0</x:v>
      </x:c>
      <x:c r="AD1819" s="21" t="n">
        <x:f>IF(E1819="",MEDIAN($E$2:$E$2237),E1819)</x:f>
        <x:v>62568</x:v>
      </x:c>
      <x:c r="AE1819" s="17" t="n">
        <x:f>2014-B1819</x:f>
        <x:v>52</x:v>
      </x:c>
      <x:c r="AF1819" s="17" t="n">
        <x:f>F1819+G1819</x:f>
        <x:v>1</x:v>
      </x:c>
      <x:c r="AG1819" s="21" t="n">
        <x:f>SUM(J1819:O1819)</x:f>
        <x:v>953</x:v>
      </x:c>
      <x:c r="AH1819" s="17" t="n">
        <x:f>SUM(Q1819:S1819)</x:f>
        <x:v>13</x:v>
      </x:c>
      <x:c r="AI1819" s="17" t="n">
        <x:f>SUM(U1819:Y1819)</x:f>
        <x:v>1</x:v>
      </x:c>
      <x:c r="AJ1819" s="17" t="str">
        <x:f>IF(AE1819&lt;=34,"≤34",IF(AE1819&lt;=44,"35–44",IF(AE1819&lt;=54,"45–54",IF(AE1819&lt;=64,"55–64","65+"))))</x:f>
        <x:v>45–54</x:v>
      </x:c>
      <x:c r="AK1819" s="17" t="str">
        <x:f>IF(AG1819&gt;=1000,"High Value",IF(AG1819&gt;=300,"Mid Value","Low Value"))</x:f>
        <x:v>Mid Value</x:v>
      </x:c>
      <x:c r="AL1819" s="17" t="str">
        <x:f>IF(AND(AI1819&gt;=1,I1819&lt;=50),"Priority 1",IF(AND(AG1819&gt;=1000,I1819&lt;=60),"Priority 2",IF(I1819&lt;=30,"Priority 3","Nurture")))</x:f>
        <x:v>Nurture</x:v>
      </x:c>
    </x:row>
    <x:row r="1820">
      <x:c r="A1820" s="16" t="n">
        <x:v>5684</x:v>
      </x:c>
      <x:c r="B1820" s="16" t="n">
        <x:v>1971</x:v>
      </x:c>
      <x:c r="C1820" s="16" t="str">
        <x:v>Master</x:v>
      </x:c>
      <x:c r="D1820" s="16" t="str">
        <x:v>Divorced</x:v>
      </x:c>
      <x:c r="E1820" s="16" t="n">
        <x:v>44635</x:v>
      </x:c>
      <x:c r="F1820" s="16" t="n">
        <x:v>1</x:v>
      </x:c>
      <x:c r="G1820" s="16" t="n">
        <x:v>1</x:v>
      </x:c>
      <x:c r="H1820" s="16" t="str">
        <x:v>11-10-2013</x:v>
      </x:c>
      <x:c r="I1820" s="16" t="n">
        <x:v>25</x:v>
      </x:c>
      <x:c r="J1820" s="16" t="n">
        <x:v>56</x:v>
      </x:c>
      <x:c r="K1820" s="16" t="n">
        <x:v>0</x:v>
      </x:c>
      <x:c r="L1820" s="16" t="n">
        <x:v>9</x:v>
      </x:c>
      <x:c r="M1820" s="16" t="n">
        <x:v>0</x:v>
      </x:c>
      <x:c r="N1820" s="16" t="n">
        <x:v>0</x:v>
      </x:c>
      <x:c r="O1820" s="16" t="n">
        <x:v>3</x:v>
      </x:c>
      <x:c r="P1820" s="16" t="n">
        <x:v>2</x:v>
      </x:c>
      <x:c r="Q1820" s="16" t="n">
        <x:v>2</x:v>
      </x:c>
      <x:c r="R1820" s="16" t="n">
        <x:v>0</x:v>
      </x:c>
      <x:c r="S1820" s="16" t="n">
        <x:v>3</x:v>
      </x:c>
      <x:c r="T1820" s="16" t="n">
        <x:v>7</x:v>
      </x:c>
      <x:c r="U1820" s="16" t="n">
        <x:v>0</x:v>
      </x:c>
      <x:c r="V1820" s="16" t="n">
        <x:v>0</x:v>
      </x:c>
      <x:c r="W1820" s="16" t="n">
        <x:v>0</x:v>
      </x:c>
      <x:c r="X1820" s="16" t="n">
        <x:v>0</x:v>
      </x:c>
      <x:c r="Y1820" s="16" t="n">
        <x:v>0</x:v>
      </x:c>
      <x:c r="Z1820" s="16" t="n">
        <x:v>0</x:v>
      </x:c>
      <x:c r="AA1820" s="16" t="n">
        <x:v>3</x:v>
      </x:c>
      <x:c r="AB1820" s="16" t="n">
        <x:v>11</x:v>
      </x:c>
      <x:c r="AC1820" s="16" t="n">
        <x:v>0</x:v>
      </x:c>
      <x:c r="AD1820" s="21" t="n">
        <x:f>IF(E1820="",MEDIAN($E$2:$E$2237),E1820)</x:f>
        <x:v>44635</x:v>
      </x:c>
      <x:c r="AE1820" s="17" t="n">
        <x:f>2014-B1820</x:f>
        <x:v>43</x:v>
      </x:c>
      <x:c r="AF1820" s="17" t="n">
        <x:f>F1820+G1820</x:f>
        <x:v>2</x:v>
      </x:c>
      <x:c r="AG1820" s="21" t="n">
        <x:f>SUM(J1820:O1820)</x:f>
        <x:v>68</x:v>
      </x:c>
      <x:c r="AH1820" s="17" t="n">
        <x:f>SUM(Q1820:S1820)</x:f>
        <x:v>5</x:v>
      </x:c>
      <x:c r="AI1820" s="17" t="n">
        <x:f>SUM(U1820:Y1820)</x:f>
        <x:v>0</x:v>
      </x:c>
      <x:c r="AJ1820" s="17" t="str">
        <x:f>IF(AE1820&lt;=34,"≤34",IF(AE1820&lt;=44,"35–44",IF(AE1820&lt;=54,"45–54",IF(AE1820&lt;=64,"55–64","65+"))))</x:f>
        <x:v>35–44</x:v>
      </x:c>
      <x:c r="AK1820" s="17" t="str">
        <x:f>IF(AG1820&gt;=1000,"High Value",IF(AG1820&gt;=300,"Mid Value","Low Value"))</x:f>
        <x:v>Low Value</x:v>
      </x:c>
      <x:c r="AL1820" s="17" t="str">
        <x:f>IF(AND(AI1820&gt;=1,I1820&lt;=50),"Priority 1",IF(AND(AG1820&gt;=1000,I1820&lt;=60),"Priority 2",IF(I1820&lt;=30,"Priority 3","Nurture")))</x:f>
        <x:v>Priority 3</x:v>
      </x:c>
    </x:row>
    <x:row r="1821">
      <x:c r="A1821" s="16" t="n">
        <x:v>8334</x:v>
      </x:c>
      <x:c r="B1821" s="16" t="n">
        <x:v>1971</x:v>
      </x:c>
      <x:c r="C1821" s="16" t="str">
        <x:v>Master</x:v>
      </x:c>
      <x:c r="D1821" s="16" t="str">
        <x:v>Single</x:v>
      </x:c>
      <x:c r="E1821" s="16" t="n">
        <x:v>33316</x:v>
      </x:c>
      <x:c r="F1821" s="16" t="n">
        <x:v>1</x:v>
      </x:c>
      <x:c r="G1821" s="16" t="n">
        <x:v>1</x:v>
      </x:c>
      <x:c r="H1821" s="16" t="str">
        <x:v>04-10-2013</x:v>
      </x:c>
      <x:c r="I1821" s="16" t="n">
        <x:v>34</x:v>
      </x:c>
      <x:c r="J1821" s="16" t="n">
        <x:v>79</x:v>
      </x:c>
      <x:c r="K1821" s="16" t="n">
        <x:v>1</x:v>
      </x:c>
      <x:c r="L1821" s="16" t="n">
        <x:v>31</x:v>
      </x:c>
      <x:c r="M1821" s="16" t="n">
        <x:v>4</x:v>
      </x:c>
      <x:c r="N1821" s="16" t="n">
        <x:v>4</x:v>
      </x:c>
      <x:c r="O1821" s="16" t="n">
        <x:v>12</x:v>
      </x:c>
      <x:c r="P1821" s="16" t="n">
        <x:v>3</x:v>
      </x:c>
      <x:c r="Q1821" s="16" t="n">
        <x:v>2</x:v>
      </x:c>
      <x:c r="R1821" s="16" t="n">
        <x:v>1</x:v>
      </x:c>
      <x:c r="S1821" s="16" t="n">
        <x:v>4</x:v>
      </x:c>
      <x:c r="T1821" s="16" t="n">
        <x:v>6</x:v>
      </x:c>
      <x:c r="U1821" s="16" t="n">
        <x:v>0</x:v>
      </x:c>
      <x:c r="V1821" s="16" t="n">
        <x:v>0</x:v>
      </x:c>
      <x:c r="W1821" s="16" t="n">
        <x:v>0</x:v>
      </x:c>
      <x:c r="X1821" s="16" t="n">
        <x:v>0</x:v>
      </x:c>
      <x:c r="Y1821" s="16" t="n">
        <x:v>0</x:v>
      </x:c>
      <x:c r="Z1821" s="16" t="n">
        <x:v>0</x:v>
      </x:c>
      <x:c r="AA1821" s="16" t="n">
        <x:v>3</x:v>
      </x:c>
      <x:c r="AB1821" s="16" t="n">
        <x:v>11</x:v>
      </x:c>
      <x:c r="AC1821" s="16" t="n">
        <x:v>0</x:v>
      </x:c>
      <x:c r="AD1821" s="21" t="n">
        <x:f>IF(E1821="",MEDIAN($E$2:$E$2237),E1821)</x:f>
        <x:v>33316</x:v>
      </x:c>
      <x:c r="AE1821" s="17" t="n">
        <x:f>2014-B1821</x:f>
        <x:v>43</x:v>
      </x:c>
      <x:c r="AF1821" s="17" t="n">
        <x:f>F1821+G1821</x:f>
        <x:v>2</x:v>
      </x:c>
      <x:c r="AG1821" s="21" t="n">
        <x:f>SUM(J1821:O1821)</x:f>
        <x:v>131</x:v>
      </x:c>
      <x:c r="AH1821" s="17" t="n">
        <x:f>SUM(Q1821:S1821)</x:f>
        <x:v>7</x:v>
      </x:c>
      <x:c r="AI1821" s="17" t="n">
        <x:f>SUM(U1821:Y1821)</x:f>
        <x:v>0</x:v>
      </x:c>
      <x:c r="AJ1821" s="17" t="str">
        <x:f>IF(AE1821&lt;=34,"≤34",IF(AE1821&lt;=44,"35–44",IF(AE1821&lt;=54,"45–54",IF(AE1821&lt;=64,"55–64","65+"))))</x:f>
        <x:v>35–44</x:v>
      </x:c>
      <x:c r="AK1821" s="17" t="str">
        <x:f>IF(AG1821&gt;=1000,"High Value",IF(AG1821&gt;=300,"Mid Value","Low Value"))</x:f>
        <x:v>Low Value</x:v>
      </x:c>
      <x:c r="AL1821" s="17" t="str">
        <x:f>IF(AND(AI1821&gt;=1,I1821&lt;=50),"Priority 1",IF(AND(AG1821&gt;=1000,I1821&lt;=60),"Priority 2",IF(I1821&lt;=30,"Priority 3","Nurture")))</x:f>
        <x:v>Nurture</x:v>
      </x:c>
    </x:row>
    <x:row r="1822">
      <x:c r="A1822" s="16" t="n">
        <x:v>9166</x:v>
      </x:c>
      <x:c r="B1822" s="16" t="n">
        <x:v>1968</x:v>
      </x:c>
      <x:c r="C1822" s="16" t="str">
        <x:v>Graduation</x:v>
      </x:c>
      <x:c r="D1822" s="16" t="str">
        <x:v>Married</x:v>
      </x:c>
      <x:c r="E1822" s="16" t="n">
        <x:v>63967</x:v>
      </x:c>
      <x:c r="F1822" s="16" t="n">
        <x:v>0</x:v>
      </x:c>
      <x:c r="G1822" s="16" t="n">
        <x:v>1</x:v>
      </x:c>
      <x:c r="H1822" s="16" t="str">
        <x:v>09-08-2013</x:v>
      </x:c>
      <x:c r="I1822" s="16" t="n">
        <x:v>57</x:v>
      </x:c>
      <x:c r="J1822" s="16" t="n">
        <x:v>387</x:v>
      </x:c>
      <x:c r="K1822" s="16" t="n">
        <x:v>84</x:v>
      </x:c>
      <x:c r="L1822" s="16" t="n">
        <x:v>141</x:v>
      </x:c>
      <x:c r="M1822" s="16" t="n">
        <x:v>73</x:v>
      </x:c>
      <x:c r="N1822" s="16" t="n">
        <x:v>35</x:v>
      </x:c>
      <x:c r="O1822" s="16" t="n">
        <x:v>162</x:v>
      </x:c>
      <x:c r="P1822" s="16" t="n">
        <x:v>3</x:v>
      </x:c>
      <x:c r="Q1822" s="16" t="n">
        <x:v>4</x:v>
      </x:c>
      <x:c r="R1822" s="16" t="n">
        <x:v>4</x:v>
      </x:c>
      <x:c r="S1822" s="16" t="n">
        <x:v>12</x:v>
      </x:c>
      <x:c r="T1822" s="16" t="n">
        <x:v>2</x:v>
      </x:c>
      <x:c r="U1822" s="16" t="n">
        <x:v>0</x:v>
      </x:c>
      <x:c r="V1822" s="16" t="n">
        <x:v>0</x:v>
      </x:c>
      <x:c r="W1822" s="16" t="n">
        <x:v>0</x:v>
      </x:c>
      <x:c r="X1822" s="16" t="n">
        <x:v>0</x:v>
      </x:c>
      <x:c r="Y1822" s="16" t="n">
        <x:v>0</x:v>
      </x:c>
      <x:c r="Z1822" s="16" t="n">
        <x:v>0</x:v>
      </x:c>
      <x:c r="AA1822" s="16" t="n">
        <x:v>3</x:v>
      </x:c>
      <x:c r="AB1822" s="16" t="n">
        <x:v>11</x:v>
      </x:c>
      <x:c r="AC1822" s="16" t="n">
        <x:v>0</x:v>
      </x:c>
      <x:c r="AD1822" s="21" t="n">
        <x:f>IF(E1822="",MEDIAN($E$2:$E$2237),E1822)</x:f>
        <x:v>63967</x:v>
      </x:c>
      <x:c r="AE1822" s="17" t="n">
        <x:f>2014-B1822</x:f>
        <x:v>46</x:v>
      </x:c>
      <x:c r="AF1822" s="17" t="n">
        <x:f>F1822+G1822</x:f>
        <x:v>1</x:v>
      </x:c>
      <x:c r="AG1822" s="21" t="n">
        <x:f>SUM(J1822:O1822)</x:f>
        <x:v>882</x:v>
      </x:c>
      <x:c r="AH1822" s="17" t="n">
        <x:f>SUM(Q1822:S1822)</x:f>
        <x:v>20</x:v>
      </x:c>
      <x:c r="AI1822" s="17" t="n">
        <x:f>SUM(U1822:Y1822)</x:f>
        <x:v>0</x:v>
      </x:c>
      <x:c r="AJ1822" s="17" t="str">
        <x:f>IF(AE1822&lt;=34,"≤34",IF(AE1822&lt;=44,"35–44",IF(AE1822&lt;=54,"45–54",IF(AE1822&lt;=64,"55–64","65+"))))</x:f>
        <x:v>45–54</x:v>
      </x:c>
      <x:c r="AK1822" s="17" t="str">
        <x:f>IF(AG1822&gt;=1000,"High Value",IF(AG1822&gt;=300,"Mid Value","Low Value"))</x:f>
        <x:v>Mid Value</x:v>
      </x:c>
      <x:c r="AL1822" s="17" t="str">
        <x:f>IF(AND(AI1822&gt;=1,I1822&lt;=50),"Priority 1",IF(AND(AG1822&gt;=1000,I1822&lt;=60),"Priority 2",IF(I1822&lt;=30,"Priority 3","Nurture")))</x:f>
        <x:v>Nurture</x:v>
      </x:c>
    </x:row>
    <x:row r="1823">
      <x:c r="A1823" s="16" t="n">
        <x:v>1440</x:v>
      </x:c>
      <x:c r="B1823" s="16" t="n">
        <x:v>1978</x:v>
      </x:c>
      <x:c r="C1823" s="16" t="str">
        <x:v>2n Cycle</x:v>
      </x:c>
      <x:c r="D1823" s="16" t="str">
        <x:v>Together</x:v>
      </x:c>
      <x:c r="E1823" s="16" t="n">
        <x:v>52513</x:v>
      </x:c>
      <x:c r="F1823" s="16" t="n">
        <x:v>0</x:v>
      </x:c>
      <x:c r="G1823" s="16" t="n">
        <x:v>0</x:v>
      </x:c>
      <x:c r="H1823" s="16" t="str">
        <x:v>04-09-2012</x:v>
      </x:c>
      <x:c r="I1823" s="16" t="n">
        <x:v>84</x:v>
      </x:c>
      <x:c r="J1823" s="16" t="n">
        <x:v>367</x:v>
      </x:c>
      <x:c r="K1823" s="16" t="n">
        <x:v>17</x:v>
      </x:c>
      <x:c r="L1823" s="16" t="n">
        <x:v>241</x:v>
      </x:c>
      <x:c r="M1823" s="16" t="n">
        <x:v>104</x:v>
      </x:c>
      <x:c r="N1823" s="16" t="n">
        <x:v>188</x:v>
      </x:c>
      <x:c r="O1823" s="16" t="n">
        <x:v>232</x:v>
      </x:c>
      <x:c r="P1823" s="16" t="n">
        <x:v>2</x:v>
      </x:c>
      <x:c r="Q1823" s="16" t="n">
        <x:v>9</x:v>
      </x:c>
      <x:c r="R1823" s="16" t="n">
        <x:v>5</x:v>
      </x:c>
      <x:c r="S1823" s="16" t="n">
        <x:v>9</x:v>
      </x:c>
      <x:c r="T1823" s="16" t="n">
        <x:v>7</x:v>
      </x:c>
      <x:c r="U1823" s="16" t="n">
        <x:v>0</x:v>
      </x:c>
      <x:c r="V1823" s="16" t="n">
        <x:v>0</x:v>
      </x:c>
      <x:c r="W1823" s="16" t="n">
        <x:v>0</x:v>
      </x:c>
      <x:c r="X1823" s="16" t="n">
        <x:v>0</x:v>
      </x:c>
      <x:c r="Y1823" s="16" t="n">
        <x:v>0</x:v>
      </x:c>
      <x:c r="Z1823" s="16" t="n">
        <x:v>0</x:v>
      </x:c>
      <x:c r="AA1823" s="16" t="n">
        <x:v>3</x:v>
      </x:c>
      <x:c r="AB1823" s="16" t="n">
        <x:v>11</x:v>
      </x:c>
      <x:c r="AC1823" s="16" t="n">
        <x:v>0</x:v>
      </x:c>
      <x:c r="AD1823" s="21" t="n">
        <x:f>IF(E1823="",MEDIAN($E$2:$E$2237),E1823)</x:f>
        <x:v>52513</x:v>
      </x:c>
      <x:c r="AE1823" s="17" t="n">
        <x:f>2014-B1823</x:f>
        <x:v>36</x:v>
      </x:c>
      <x:c r="AF1823" s="17" t="n">
        <x:f>F1823+G1823</x:f>
        <x:v>0</x:v>
      </x:c>
      <x:c r="AG1823" s="21" t="n">
        <x:f>SUM(J1823:O1823)</x:f>
        <x:v>1149</x:v>
      </x:c>
      <x:c r="AH1823" s="17" t="n">
        <x:f>SUM(Q1823:S1823)</x:f>
        <x:v>23</x:v>
      </x:c>
      <x:c r="AI1823" s="17" t="n">
        <x:f>SUM(U1823:Y1823)</x:f>
        <x:v>0</x:v>
      </x:c>
      <x:c r="AJ1823" s="17" t="str">
        <x:f>IF(AE1823&lt;=34,"≤34",IF(AE1823&lt;=44,"35–44",IF(AE1823&lt;=54,"45–54",IF(AE1823&lt;=64,"55–64","65+"))))</x:f>
        <x:v>35–44</x:v>
      </x:c>
      <x:c r="AK1823" s="17" t="str">
        <x:f>IF(AG1823&gt;=1000,"High Value",IF(AG1823&gt;=300,"Mid Value","Low Value"))</x:f>
        <x:v>High Value</x:v>
      </x:c>
      <x:c r="AL1823" s="17" t="str">
        <x:f>IF(AND(AI1823&gt;=1,I1823&lt;=50),"Priority 1",IF(AND(AG1823&gt;=1000,I1823&lt;=60),"Priority 2",IF(I1823&lt;=30,"Priority 3","Nurture")))</x:f>
        <x:v>Nurture</x:v>
      </x:c>
    </x:row>
    <x:row r="1824">
      <x:c r="A1824" s="16" t="n">
        <x:v>78</x:v>
      </x:c>
      <x:c r="B1824" s="16" t="n">
        <x:v>1969</x:v>
      </x:c>
      <x:c r="C1824" s="16" t="str">
        <x:v>Graduation</x:v>
      </x:c>
      <x:c r="D1824" s="16" t="str">
        <x:v>Married</x:v>
      </x:c>
      <x:c r="E1824" s="16" t="n">
        <x:v>25293</x:v>
      </x:c>
      <x:c r="F1824" s="16" t="n">
        <x:v>1</x:v>
      </x:c>
      <x:c r="G1824" s="16" t="n">
        <x:v>0</x:v>
      </x:c>
      <x:c r="H1824" s="16" t="str">
        <x:v>15-09-2013</x:v>
      </x:c>
      <x:c r="I1824" s="16" t="n">
        <x:v>51</x:v>
      </x:c>
      <x:c r="J1824" s="16" t="n">
        <x:v>15</x:v>
      </x:c>
      <x:c r="K1824" s="16" t="n">
        <x:v>0</x:v>
      </x:c>
      <x:c r="L1824" s="16" t="n">
        <x:v>11</x:v>
      </x:c>
      <x:c r="M1824" s="16" t="n">
        <x:v>0</x:v>
      </x:c>
      <x:c r="N1824" s="16" t="n">
        <x:v>2</x:v>
      </x:c>
      <x:c r="O1824" s="16" t="n">
        <x:v>9</x:v>
      </x:c>
      <x:c r="P1824" s="16" t="n">
        <x:v>1</x:v>
      </x:c>
      <x:c r="Q1824" s="16" t="n">
        <x:v>1</x:v>
      </x:c>
      <x:c r="R1824" s="16" t="n">
        <x:v>1</x:v>
      </x:c>
      <x:c r="S1824" s="16" t="n">
        <x:v>2</x:v>
      </x:c>
      <x:c r="T1824" s="16" t="n">
        <x:v>8</x:v>
      </x:c>
      <x:c r="U1824" s="16" t="n">
        <x:v>0</x:v>
      </x:c>
      <x:c r="V1824" s="16" t="n">
        <x:v>0</x:v>
      </x:c>
      <x:c r="W1824" s="16" t="n">
        <x:v>0</x:v>
      </x:c>
      <x:c r="X1824" s="16" t="n">
        <x:v>0</x:v>
      </x:c>
      <x:c r="Y1824" s="16" t="n">
        <x:v>0</x:v>
      </x:c>
      <x:c r="Z1824" s="16" t="n">
        <x:v>0</x:v>
      </x:c>
      <x:c r="AA1824" s="16" t="n">
        <x:v>3</x:v>
      </x:c>
      <x:c r="AB1824" s="16" t="n">
        <x:v>11</x:v>
      </x:c>
      <x:c r="AC1824" s="16" t="n">
        <x:v>0</x:v>
      </x:c>
      <x:c r="AD1824" s="21" t="n">
        <x:f>IF(E1824="",MEDIAN($E$2:$E$2237),E1824)</x:f>
        <x:v>25293</x:v>
      </x:c>
      <x:c r="AE1824" s="17" t="n">
        <x:f>2014-B1824</x:f>
        <x:v>45</x:v>
      </x:c>
      <x:c r="AF1824" s="17" t="n">
        <x:f>F1824+G1824</x:f>
        <x:v>1</x:v>
      </x:c>
      <x:c r="AG1824" s="21" t="n">
        <x:f>SUM(J1824:O1824)</x:f>
        <x:v>37</x:v>
      </x:c>
      <x:c r="AH1824" s="17" t="n">
        <x:f>SUM(Q1824:S1824)</x:f>
        <x:v>4</x:v>
      </x:c>
      <x:c r="AI1824" s="17" t="n">
        <x:f>SUM(U1824:Y1824)</x:f>
        <x:v>0</x:v>
      </x:c>
      <x:c r="AJ1824" s="17" t="str">
        <x:f>IF(AE1824&lt;=34,"≤34",IF(AE1824&lt;=44,"35–44",IF(AE1824&lt;=54,"45–54",IF(AE1824&lt;=64,"55–64","65+"))))</x:f>
        <x:v>45–54</x:v>
      </x:c>
      <x:c r="AK1824" s="17" t="str">
        <x:f>IF(AG1824&gt;=1000,"High Value",IF(AG1824&gt;=300,"Mid Value","Low Value"))</x:f>
        <x:v>Low Value</x:v>
      </x:c>
      <x:c r="AL1824" s="17" t="str">
        <x:f>IF(AND(AI1824&gt;=1,I1824&lt;=50),"Priority 1",IF(AND(AG1824&gt;=1000,I1824&lt;=60),"Priority 2",IF(I1824&lt;=30,"Priority 3","Nurture")))</x:f>
        <x:v>Nurture</x:v>
      </x:c>
    </x:row>
    <x:row r="1825">
      <x:c r="A1825" s="16" t="n">
        <x:v>5441</x:v>
      </x:c>
      <x:c r="B1825" s="16" t="n">
        <x:v>1965</x:v>
      </x:c>
      <x:c r="C1825" s="16" t="str">
        <x:v>PhD</x:v>
      </x:c>
      <x:c r="D1825" s="16" t="str">
        <x:v>Widow</x:v>
      </x:c>
      <x:c r="E1825" s="16" t="n">
        <x:v>54111</x:v>
      </x:c>
      <x:c r="F1825" s="16" t="n">
        <x:v>0</x:v>
      </x:c>
      <x:c r="G1825" s="16" t="n">
        <x:v>1</x:v>
      </x:c>
      <x:c r="H1825" s="16" t="str">
        <x:v>25-08-2013</x:v>
      </x:c>
      <x:c r="I1825" s="16" t="n">
        <x:v>97</x:v>
      </x:c>
      <x:c r="J1825" s="16" t="n">
        <x:v>267</x:v>
      </x:c>
      <x:c r="K1825" s="16" t="n">
        <x:v>6</x:v>
      </x:c>
      <x:c r="L1825" s="16" t="n">
        <x:v>54</x:v>
      </x:c>
      <x:c r="M1825" s="16" t="n">
        <x:v>8</x:v>
      </x:c>
      <x:c r="N1825" s="16" t="n">
        <x:v>3</x:v>
      </x:c>
      <x:c r="O1825" s="16" t="n">
        <x:v>50</x:v>
      </x:c>
      <x:c r="P1825" s="16" t="n">
        <x:v>2</x:v>
      </x:c>
      <x:c r="Q1825" s="16" t="n">
        <x:v>5</x:v>
      </x:c>
      <x:c r="R1825" s="16" t="n">
        <x:v>2</x:v>
      </x:c>
      <x:c r="S1825" s="16" t="n">
        <x:v>6</x:v>
      </x:c>
      <x:c r="T1825" s="16" t="n">
        <x:v>5</x:v>
      </x:c>
      <x:c r="U1825" s="16" t="n">
        <x:v>0</x:v>
      </x:c>
      <x:c r="V1825" s="16" t="n">
        <x:v>0</x:v>
      </x:c>
      <x:c r="W1825" s="16" t="n">
        <x:v>0</x:v>
      </x:c>
      <x:c r="X1825" s="16" t="n">
        <x:v>0</x:v>
      </x:c>
      <x:c r="Y1825" s="16" t="n">
        <x:v>0</x:v>
      </x:c>
      <x:c r="Z1825" s="16" t="n">
        <x:v>0</x:v>
      </x:c>
      <x:c r="AA1825" s="16" t="n">
        <x:v>3</x:v>
      </x:c>
      <x:c r="AB1825" s="16" t="n">
        <x:v>11</x:v>
      </x:c>
      <x:c r="AC1825" s="16" t="n">
        <x:v>0</x:v>
      </x:c>
      <x:c r="AD1825" s="21" t="n">
        <x:f>IF(E1825="",MEDIAN($E$2:$E$2237),E1825)</x:f>
        <x:v>54111</x:v>
      </x:c>
      <x:c r="AE1825" s="17" t="n">
        <x:f>2014-B1825</x:f>
        <x:v>49</x:v>
      </x:c>
      <x:c r="AF1825" s="17" t="n">
        <x:f>F1825+G1825</x:f>
        <x:v>1</x:v>
      </x:c>
      <x:c r="AG1825" s="21" t="n">
        <x:f>SUM(J1825:O1825)</x:f>
        <x:v>388</x:v>
      </x:c>
      <x:c r="AH1825" s="17" t="n">
        <x:f>SUM(Q1825:S1825)</x:f>
        <x:v>13</x:v>
      </x:c>
      <x:c r="AI1825" s="17" t="n">
        <x:f>SUM(U1825:Y1825)</x:f>
        <x:v>0</x:v>
      </x:c>
      <x:c r="AJ1825" s="17" t="str">
        <x:f>IF(AE1825&lt;=34,"≤34",IF(AE1825&lt;=44,"35–44",IF(AE1825&lt;=54,"45–54",IF(AE1825&lt;=64,"55–64","65+"))))</x:f>
        <x:v>45–54</x:v>
      </x:c>
      <x:c r="AK1825" s="17" t="str">
        <x:f>IF(AG1825&gt;=1000,"High Value",IF(AG1825&gt;=300,"Mid Value","Low Value"))</x:f>
        <x:v>Mid Value</x:v>
      </x:c>
      <x:c r="AL1825" s="17" t="str">
        <x:f>IF(AND(AI1825&gt;=1,I1825&lt;=50),"Priority 1",IF(AND(AG1825&gt;=1000,I1825&lt;=60),"Priority 2",IF(I1825&lt;=30,"Priority 3","Nurture")))</x:f>
        <x:v>Nurture</x:v>
      </x:c>
    </x:row>
    <x:row r="1826">
      <x:c r="A1826" s="16" t="n">
        <x:v>5302</x:v>
      </x:c>
      <x:c r="B1826" s="16" t="n">
        <x:v>1986</x:v>
      </x:c>
      <x:c r="C1826" s="16" t="str">
        <x:v>Graduation</x:v>
      </x:c>
      <x:c r="D1826" s="16" t="str">
        <x:v>Together</x:v>
      </x:c>
      <x:c r="E1826" s="16" t="n">
        <x:v>78394</x:v>
      </x:c>
      <x:c r="F1826" s="16" t="n">
        <x:v>0</x:v>
      </x:c>
      <x:c r="G1826" s="16" t="n">
        <x:v>0</x:v>
      </x:c>
      <x:c r="H1826" s="16" t="str">
        <x:v>15-02-2013</x:v>
      </x:c>
      <x:c r="I1826" s="16" t="n">
        <x:v>13</x:v>
      </x:c>
      <x:c r="J1826" s="16" t="n">
        <x:v>298</x:v>
      </x:c>
      <x:c r="K1826" s="16" t="n">
        <x:v>27</x:v>
      </x:c>
      <x:c r="L1826" s="16" t="n">
        <x:v>697</x:v>
      </x:c>
      <x:c r="M1826" s="16" t="n">
        <x:v>216</x:v>
      </x:c>
      <x:c r="N1826" s="16" t="n">
        <x:v>24</x:v>
      </x:c>
      <x:c r="O1826" s="16" t="n">
        <x:v>166</x:v>
      </x:c>
      <x:c r="P1826" s="16" t="n">
        <x:v>1</x:v>
      </x:c>
      <x:c r="Q1826" s="16" t="n">
        <x:v>4</x:v>
      </x:c>
      <x:c r="R1826" s="16" t="n">
        <x:v>6</x:v>
      </x:c>
      <x:c r="S1826" s="16" t="n">
        <x:v>5</x:v>
      </x:c>
      <x:c r="T1826" s="16" t="n">
        <x:v>2</x:v>
      </x:c>
      <x:c r="U1826" s="16" t="n">
        <x:v>0</x:v>
      </x:c>
      <x:c r="V1826" s="16" t="n">
        <x:v>0</x:v>
      </x:c>
      <x:c r="W1826" s="16" t="n">
        <x:v>0</x:v>
      </x:c>
      <x:c r="X1826" s="16" t="n">
        <x:v>0</x:v>
      </x:c>
      <x:c r="Y1826" s="16" t="n">
        <x:v>0</x:v>
      </x:c>
      <x:c r="Z1826" s="16" t="n">
        <x:v>0</x:v>
      </x:c>
      <x:c r="AA1826" s="16" t="n">
        <x:v>3</x:v>
      </x:c>
      <x:c r="AB1826" s="16" t="n">
        <x:v>11</x:v>
      </x:c>
      <x:c r="AC1826" s="16" t="n">
        <x:v>1</x:v>
      </x:c>
      <x:c r="AD1826" s="21" t="n">
        <x:f>IF(E1826="",MEDIAN($E$2:$E$2237),E1826)</x:f>
        <x:v>78394</x:v>
      </x:c>
      <x:c r="AE1826" s="17" t="n">
        <x:f>2014-B1826</x:f>
        <x:v>28</x:v>
      </x:c>
      <x:c r="AF1826" s="17" t="n">
        <x:f>F1826+G1826</x:f>
        <x:v>0</x:v>
      </x:c>
      <x:c r="AG1826" s="21" t="n">
        <x:f>SUM(J1826:O1826)</x:f>
        <x:v>1428</x:v>
      </x:c>
      <x:c r="AH1826" s="17" t="n">
        <x:f>SUM(Q1826:S1826)</x:f>
        <x:v>15</x:v>
      </x:c>
      <x:c r="AI1826" s="17" t="n">
        <x:f>SUM(U1826:Y1826)</x:f>
        <x:v>0</x:v>
      </x:c>
      <x:c r="AJ1826" s="17" t="str">
        <x:f>IF(AE1826&lt;=34,"≤34",IF(AE1826&lt;=44,"35–44",IF(AE1826&lt;=54,"45–54",IF(AE1826&lt;=64,"55–64","65+"))))</x:f>
        <x:v>≤34</x:v>
      </x:c>
      <x:c r="AK1826" s="17" t="str">
        <x:f>IF(AG1826&gt;=1000,"High Value",IF(AG1826&gt;=300,"Mid Value","Low Value"))</x:f>
        <x:v>High Value</x:v>
      </x:c>
      <x:c r="AL1826" s="17" t="str">
        <x:f>IF(AND(AI1826&gt;=1,I1826&lt;=50),"Priority 1",IF(AND(AG1826&gt;=1000,I1826&lt;=60),"Priority 2",IF(I1826&lt;=30,"Priority 3","Nurture")))</x:f>
        <x:v>Priority 2</x:v>
      </x:c>
    </x:row>
    <x:row r="1827">
      <x:c r="A1827" s="16" t="n">
        <x:v>4687</x:v>
      </x:c>
      <x:c r="B1827" s="16" t="n">
        <x:v>1958</x:v>
      </x:c>
      <x:c r="C1827" s="16" t="str">
        <x:v>Master</x:v>
      </x:c>
      <x:c r="D1827" s="16" t="str">
        <x:v>Married</x:v>
      </x:c>
      <x:c r="E1827" s="16" t="n">
        <x:v>80739</x:v>
      </x:c>
      <x:c r="F1827" s="16" t="n">
        <x:v>0</x:v>
      </x:c>
      <x:c r="G1827" s="16" t="n">
        <x:v>0</x:v>
      </x:c>
      <x:c r="H1827" s="16" t="str">
        <x:v>23-05-2013</x:v>
      </x:c>
      <x:c r="I1827" s="16" t="n">
        <x:v>92</x:v>
      </x:c>
      <x:c r="J1827" s="16" t="n">
        <x:v>674</x:v>
      </x:c>
      <x:c r="K1827" s="16" t="n">
        <x:v>92</x:v>
      </x:c>
      <x:c r="L1827" s="16" t="n">
        <x:v>736</x:v>
      </x:c>
      <x:c r="M1827" s="16" t="n">
        <x:v>39</x:v>
      </x:c>
      <x:c r="N1827" s="16" t="n">
        <x:v>0</x:v>
      </x:c>
      <x:c r="O1827" s="16" t="n">
        <x:v>92</x:v>
      </x:c>
      <x:c r="P1827" s="16" t="n">
        <x:v>1</x:v>
      </x:c>
      <x:c r="Q1827" s="16" t="n">
        <x:v>3</x:v>
      </x:c>
      <x:c r="R1827" s="16" t="n">
        <x:v>11</x:v>
      </x:c>
      <x:c r="S1827" s="16" t="n">
        <x:v>9</x:v>
      </x:c>
      <x:c r="T1827" s="16" t="n">
        <x:v>1</x:v>
      </x:c>
      <x:c r="U1827" s="16" t="n">
        <x:v>0</x:v>
      </x:c>
      <x:c r="V1827" s="16" t="n">
        <x:v>0</x:v>
      </x:c>
      <x:c r="W1827" s="16" t="n">
        <x:v>0</x:v>
      </x:c>
      <x:c r="X1827" s="16" t="n">
        <x:v>0</x:v>
      </x:c>
      <x:c r="Y1827" s="16" t="n">
        <x:v>0</x:v>
      </x:c>
      <x:c r="Z1827" s="16" t="n">
        <x:v>0</x:v>
      </x:c>
      <x:c r="AA1827" s="16" t="n">
        <x:v>3</x:v>
      </x:c>
      <x:c r="AB1827" s="16" t="n">
        <x:v>11</x:v>
      </x:c>
      <x:c r="AC1827" s="16" t="n">
        <x:v>0</x:v>
      </x:c>
      <x:c r="AD1827" s="21" t="n">
        <x:f>IF(E1827="",MEDIAN($E$2:$E$2237),E1827)</x:f>
        <x:v>80739</x:v>
      </x:c>
      <x:c r="AE1827" s="17" t="n">
        <x:f>2014-B1827</x:f>
        <x:v>56</x:v>
      </x:c>
      <x:c r="AF1827" s="17" t="n">
        <x:f>F1827+G1827</x:f>
        <x:v>0</x:v>
      </x:c>
      <x:c r="AG1827" s="21" t="n">
        <x:f>SUM(J1827:O1827)</x:f>
        <x:v>1633</x:v>
      </x:c>
      <x:c r="AH1827" s="17" t="n">
        <x:f>SUM(Q1827:S1827)</x:f>
        <x:v>23</x:v>
      </x:c>
      <x:c r="AI1827" s="17" t="n">
        <x:f>SUM(U1827:Y1827)</x:f>
        <x:v>0</x:v>
      </x:c>
      <x:c r="AJ1827" s="17" t="str">
        <x:f>IF(AE1827&lt;=34,"≤34",IF(AE1827&lt;=44,"35–44",IF(AE1827&lt;=54,"45–54",IF(AE1827&lt;=64,"55–64","65+"))))</x:f>
        <x:v>55–64</x:v>
      </x:c>
      <x:c r="AK1827" s="17" t="str">
        <x:f>IF(AG1827&gt;=1000,"High Value",IF(AG1827&gt;=300,"Mid Value","Low Value"))</x:f>
        <x:v>High Value</x:v>
      </x:c>
      <x:c r="AL1827" s="17" t="str">
        <x:f>IF(AND(AI1827&gt;=1,I1827&lt;=50),"Priority 1",IF(AND(AG1827&gt;=1000,I1827&lt;=60),"Priority 2",IF(I1827&lt;=30,"Priority 3","Nurture")))</x:f>
        <x:v>Nurture</x:v>
      </x:c>
    </x:row>
    <x:row r="1828">
      <x:c r="A1828" s="16" t="n">
        <x:v>1087</x:v>
      </x:c>
      <x:c r="B1828" s="16" t="n">
        <x:v>1975</x:v>
      </x:c>
      <x:c r="C1828" s="16" t="str">
        <x:v>Master</x:v>
      </x:c>
      <x:c r="D1828" s="16" t="str">
        <x:v>Together</x:v>
      </x:c>
      <x:c r="E1828" s="16" t="n">
        <x:v>22669</x:v>
      </x:c>
      <x:c r="F1828" s="16" t="n">
        <x:v>1</x:v>
      </x:c>
      <x:c r="G1828" s="16" t="n">
        <x:v>0</x:v>
      </x:c>
      <x:c r="H1828" s="16" t="str">
        <x:v>22-05-2013</x:v>
      </x:c>
      <x:c r="I1828" s="16" t="n">
        <x:v>30</x:v>
      </x:c>
      <x:c r="J1828" s="16" t="n">
        <x:v>16</x:v>
      </x:c>
      <x:c r="K1828" s="16" t="n">
        <x:v>14</x:v>
      </x:c>
      <x:c r="L1828" s="16" t="n">
        <x:v>36</x:v>
      </x:c>
      <x:c r="M1828" s="16" t="n">
        <x:v>37</x:v>
      </x:c>
      <x:c r="N1828" s="16" t="n">
        <x:v>22</x:v>
      </x:c>
      <x:c r="O1828" s="16" t="n">
        <x:v>48</x:v>
      </x:c>
      <x:c r="P1828" s="16" t="n">
        <x:v>3</x:v>
      </x:c>
      <x:c r="Q1828" s="16" t="n">
        <x:v>4</x:v>
      </x:c>
      <x:c r="R1828" s="16" t="n">
        <x:v>1</x:v>
      </x:c>
      <x:c r="S1828" s="16" t="n">
        <x:v>2</x:v>
      </x:c>
      <x:c r="T1828" s="16" t="n">
        <x:v>9</x:v>
      </x:c>
      <x:c r="U1828" s="16" t="n">
        <x:v>0</x:v>
      </x:c>
      <x:c r="V1828" s="16" t="n">
        <x:v>0</x:v>
      </x:c>
      <x:c r="W1828" s="16" t="n">
        <x:v>0</x:v>
      </x:c>
      <x:c r="X1828" s="16" t="n">
        <x:v>0</x:v>
      </x:c>
      <x:c r="Y1828" s="16" t="n">
        <x:v>0</x:v>
      </x:c>
      <x:c r="Z1828" s="16" t="n">
        <x:v>0</x:v>
      </x:c>
      <x:c r="AA1828" s="16" t="n">
        <x:v>3</x:v>
      </x:c>
      <x:c r="AB1828" s="16" t="n">
        <x:v>11</x:v>
      </x:c>
      <x:c r="AC1828" s="16" t="n">
        <x:v>1</x:v>
      </x:c>
      <x:c r="AD1828" s="21" t="n">
        <x:f>IF(E1828="",MEDIAN($E$2:$E$2237),E1828)</x:f>
        <x:v>22669</x:v>
      </x:c>
      <x:c r="AE1828" s="17" t="n">
        <x:f>2014-B1828</x:f>
        <x:v>39</x:v>
      </x:c>
      <x:c r="AF1828" s="17" t="n">
        <x:f>F1828+G1828</x:f>
        <x:v>1</x:v>
      </x:c>
      <x:c r="AG1828" s="21" t="n">
        <x:f>SUM(J1828:O1828)</x:f>
        <x:v>173</x:v>
      </x:c>
      <x:c r="AH1828" s="17" t="n">
        <x:f>SUM(Q1828:S1828)</x:f>
        <x:v>7</x:v>
      </x:c>
      <x:c r="AI1828" s="17" t="n">
        <x:f>SUM(U1828:Y1828)</x:f>
        <x:v>0</x:v>
      </x:c>
      <x:c r="AJ1828" s="17" t="str">
        <x:f>IF(AE1828&lt;=34,"≤34",IF(AE1828&lt;=44,"35–44",IF(AE1828&lt;=54,"45–54",IF(AE1828&lt;=64,"55–64","65+"))))</x:f>
        <x:v>35–44</x:v>
      </x:c>
      <x:c r="AK1828" s="17" t="str">
        <x:f>IF(AG1828&gt;=1000,"High Value",IF(AG1828&gt;=300,"Mid Value","Low Value"))</x:f>
        <x:v>Low Value</x:v>
      </x:c>
      <x:c r="AL1828" s="17" t="str">
        <x:f>IF(AND(AI1828&gt;=1,I1828&lt;=50),"Priority 1",IF(AND(AG1828&gt;=1000,I1828&lt;=60),"Priority 2",IF(I1828&lt;=30,"Priority 3","Nurture")))</x:f>
        <x:v>Priority 3</x:v>
      </x:c>
    </x:row>
    <x:row r="1829">
      <x:c r="A1829" s="16" t="n">
        <x:v>6859</x:v>
      </x:c>
      <x:c r="B1829" s="16" t="n">
        <x:v>1987</x:v>
      </x:c>
      <x:c r="C1829" s="16" t="str">
        <x:v>Graduation</x:v>
      </x:c>
      <x:c r="D1829" s="16" t="str">
        <x:v>Single</x:v>
      </x:c>
      <x:c r="E1829" s="16" t="n">
        <x:v>29236</x:v>
      </x:c>
      <x:c r="F1829" s="16" t="n">
        <x:v>1</x:v>
      </x:c>
      <x:c r="G1829" s="16" t="n">
        <x:v>0</x:v>
      </x:c>
      <x:c r="H1829" s="16" t="str">
        <x:v>08-10-2013</x:v>
      </x:c>
      <x:c r="I1829" s="16" t="n">
        <x:v>30</x:v>
      </x:c>
      <x:c r="J1829" s="16" t="n">
        <x:v>37</x:v>
      </x:c>
      <x:c r="K1829" s="16" t="n">
        <x:v>4</x:v>
      </x:c>
      <x:c r="L1829" s="16" t="n">
        <x:v>24</x:v>
      </x:c>
      <x:c r="M1829" s="16" t="n">
        <x:v>16</x:v>
      </x:c>
      <x:c r="N1829" s="16" t="n">
        <x:v>9</x:v>
      </x:c>
      <x:c r="O1829" s="16" t="n">
        <x:v>9</x:v>
      </x:c>
      <x:c r="P1829" s="16" t="n">
        <x:v>2</x:v>
      </x:c>
      <x:c r="Q1829" s="16" t="n">
        <x:v>4</x:v>
      </x:c>
      <x:c r="R1829" s="16" t="n">
        <x:v>0</x:v>
      </x:c>
      <x:c r="S1829" s="16" t="n">
        <x:v>3</x:v>
      </x:c>
      <x:c r="T1829" s="16" t="n">
        <x:v>9</x:v>
      </x:c>
      <x:c r="U1829" s="16" t="n">
        <x:v>0</x:v>
      </x:c>
      <x:c r="V1829" s="16" t="n">
        <x:v>0</x:v>
      </x:c>
      <x:c r="W1829" s="16" t="n">
        <x:v>0</x:v>
      </x:c>
      <x:c r="X1829" s="16" t="n">
        <x:v>0</x:v>
      </x:c>
      <x:c r="Y1829" s="16" t="n">
        <x:v>0</x:v>
      </x:c>
      <x:c r="Z1829" s="16" t="n">
        <x:v>0</x:v>
      </x:c>
      <x:c r="AA1829" s="16" t="n">
        <x:v>3</x:v>
      </x:c>
      <x:c r="AB1829" s="16" t="n">
        <x:v>11</x:v>
      </x:c>
      <x:c r="AC1829" s="16" t="n">
        <x:v>0</x:v>
      </x:c>
      <x:c r="AD1829" s="21" t="n">
        <x:f>IF(E1829="",MEDIAN($E$2:$E$2237),E1829)</x:f>
        <x:v>29236</x:v>
      </x:c>
      <x:c r="AE1829" s="17" t="n">
        <x:f>2014-B1829</x:f>
        <x:v>27</x:v>
      </x:c>
      <x:c r="AF1829" s="17" t="n">
        <x:f>F1829+G1829</x:f>
        <x:v>1</x:v>
      </x:c>
      <x:c r="AG1829" s="21" t="n">
        <x:f>SUM(J1829:O1829)</x:f>
        <x:v>99</x:v>
      </x:c>
      <x:c r="AH1829" s="17" t="n">
        <x:f>SUM(Q1829:S1829)</x:f>
        <x:v>7</x:v>
      </x:c>
      <x:c r="AI1829" s="17" t="n">
        <x:f>SUM(U1829:Y1829)</x:f>
        <x:v>0</x:v>
      </x:c>
      <x:c r="AJ1829" s="17" t="str">
        <x:f>IF(AE1829&lt;=34,"≤34",IF(AE1829&lt;=44,"35–44",IF(AE1829&lt;=54,"45–54",IF(AE1829&lt;=64,"55–64","65+"))))</x:f>
        <x:v>≤34</x:v>
      </x:c>
      <x:c r="AK1829" s="17" t="str">
        <x:f>IF(AG1829&gt;=1000,"High Value",IF(AG1829&gt;=300,"Mid Value","Low Value"))</x:f>
        <x:v>Low Value</x:v>
      </x:c>
      <x:c r="AL1829" s="17" t="str">
        <x:f>IF(AND(AI1829&gt;=1,I1829&lt;=50),"Priority 1",IF(AND(AG1829&gt;=1000,I1829&lt;=60),"Priority 2",IF(I1829&lt;=30,"Priority 3","Nurture")))</x:f>
        <x:v>Priority 3</x:v>
      </x:c>
    </x:row>
    <x:row r="1830">
      <x:c r="A1830" s="16" t="n">
        <x:v>9860</x:v>
      </x:c>
      <x:c r="B1830" s="16" t="n">
        <x:v>1959</x:v>
      </x:c>
      <x:c r="C1830" s="16" t="str">
        <x:v>Graduation</x:v>
      </x:c>
      <x:c r="D1830" s="16" t="str">
        <x:v>Together</x:v>
      </x:c>
      <x:c r="E1830" s="16" t="n">
        <x:v>44911</x:v>
      </x:c>
      <x:c r="F1830" s="16" t="n">
        <x:v>0</x:v>
      </x:c>
      <x:c r="G1830" s="16" t="n">
        <x:v>1</x:v>
      </x:c>
      <x:c r="H1830" s="16" t="str">
        <x:v>15-03-2013</x:v>
      </x:c>
      <x:c r="I1830" s="16" t="n">
        <x:v>11</x:v>
      </x:c>
      <x:c r="J1830" s="16" t="n">
        <x:v>159</x:v>
      </x:c>
      <x:c r="K1830" s="16" t="n">
        <x:v>0</x:v>
      </x:c>
      <x:c r="L1830" s="16" t="n">
        <x:v>22</x:v>
      </x:c>
      <x:c r="M1830" s="16" t="n">
        <x:v>2</x:v>
      </x:c>
      <x:c r="N1830" s="16" t="n">
        <x:v>1</x:v>
      </x:c>
      <x:c r="O1830" s="16" t="n">
        <x:v>31</x:v>
      </x:c>
      <x:c r="P1830" s="16" t="n">
        <x:v>3</x:v>
      </x:c>
      <x:c r="Q1830" s="16" t="n">
        <x:v>4</x:v>
      </x:c>
      <x:c r="R1830" s="16" t="n">
        <x:v>1</x:v>
      </x:c>
      <x:c r="S1830" s="16" t="n">
        <x:v>4</x:v>
      </x:c>
      <x:c r="T1830" s="16" t="n">
        <x:v>7</x:v>
      </x:c>
      <x:c r="U1830" s="16" t="n">
        <x:v>0</x:v>
      </x:c>
      <x:c r="V1830" s="16" t="n">
        <x:v>0</x:v>
      </x:c>
      <x:c r="W1830" s="16" t="n">
        <x:v>0</x:v>
      </x:c>
      <x:c r="X1830" s="16" t="n">
        <x:v>0</x:v>
      </x:c>
      <x:c r="Y1830" s="16" t="n">
        <x:v>0</x:v>
      </x:c>
      <x:c r="Z1830" s="16" t="n">
        <x:v>0</x:v>
      </x:c>
      <x:c r="AA1830" s="16" t="n">
        <x:v>3</x:v>
      </x:c>
      <x:c r="AB1830" s="16" t="n">
        <x:v>11</x:v>
      </x:c>
      <x:c r="AC1830" s="16" t="n">
        <x:v>0</x:v>
      </x:c>
      <x:c r="AD1830" s="21" t="n">
        <x:f>IF(E1830="",MEDIAN($E$2:$E$2237),E1830)</x:f>
        <x:v>44911</x:v>
      </x:c>
      <x:c r="AE1830" s="17" t="n">
        <x:f>2014-B1830</x:f>
        <x:v>55</x:v>
      </x:c>
      <x:c r="AF1830" s="17" t="n">
        <x:f>F1830+G1830</x:f>
        <x:v>1</x:v>
      </x:c>
      <x:c r="AG1830" s="21" t="n">
        <x:f>SUM(J1830:O1830)</x:f>
        <x:v>215</x:v>
      </x:c>
      <x:c r="AH1830" s="17" t="n">
        <x:f>SUM(Q1830:S1830)</x:f>
        <x:v>9</x:v>
      </x:c>
      <x:c r="AI1830" s="17" t="n">
        <x:f>SUM(U1830:Y1830)</x:f>
        <x:v>0</x:v>
      </x:c>
      <x:c r="AJ1830" s="17" t="str">
        <x:f>IF(AE1830&lt;=34,"≤34",IF(AE1830&lt;=44,"35–44",IF(AE1830&lt;=54,"45–54",IF(AE1830&lt;=64,"55–64","65+"))))</x:f>
        <x:v>55–64</x:v>
      </x:c>
      <x:c r="AK1830" s="17" t="str">
        <x:f>IF(AG1830&gt;=1000,"High Value",IF(AG1830&gt;=300,"Mid Value","Low Value"))</x:f>
        <x:v>Low Value</x:v>
      </x:c>
      <x:c r="AL1830" s="17" t="str">
        <x:f>IF(AND(AI1830&gt;=1,I1830&lt;=50),"Priority 1",IF(AND(AG1830&gt;=1000,I1830&lt;=60),"Priority 2",IF(I1830&lt;=30,"Priority 3","Nurture")))</x:f>
        <x:v>Priority 3</x:v>
      </x:c>
    </x:row>
    <x:row r="1831">
      <x:c r="A1831" s="16" t="n">
        <x:v>7129</x:v>
      </x:c>
      <x:c r="B1831" s="16" t="n">
        <x:v>1962</x:v>
      </x:c>
      <x:c r="C1831" s="16" t="str">
        <x:v>PhD</x:v>
      </x:c>
      <x:c r="D1831" s="16" t="str">
        <x:v>Married</x:v>
      </x:c>
      <x:c r="E1831" s="16" t="n">
        <x:v>54693</x:v>
      </x:c>
      <x:c r="F1831" s="16" t="n">
        <x:v>0</x:v>
      </x:c>
      <x:c r="G1831" s="16" t="n">
        <x:v>1</x:v>
      </x:c>
      <x:c r="H1831" s="16" t="str">
        <x:v>17-02-2013</x:v>
      </x:c>
      <x:c r="I1831" s="16" t="n">
        <x:v>72</x:v>
      </x:c>
      <x:c r="J1831" s="16" t="n">
        <x:v>686</x:v>
      </x:c>
      <x:c r="K1831" s="16" t="n">
        <x:v>17</x:v>
      </x:c>
      <x:c r="L1831" s="16" t="n">
        <x:v>142</x:v>
      </x:c>
      <x:c r="M1831" s="16" t="n">
        <x:v>23</x:v>
      </x:c>
      <x:c r="N1831" s="16" t="n">
        <x:v>26</x:v>
      </x:c>
      <x:c r="O1831" s="16" t="n">
        <x:v>35</x:v>
      </x:c>
      <x:c r="P1831" s="16" t="n">
        <x:v>8</x:v>
      </x:c>
      <x:c r="Q1831" s="16" t="n">
        <x:v>6</x:v>
      </x:c>
      <x:c r="R1831" s="16" t="n">
        <x:v>4</x:v>
      </x:c>
      <x:c r="S1831" s="16" t="n">
        <x:v>13</x:v>
      </x:c>
      <x:c r="T1831" s="16" t="n">
        <x:v>6</x:v>
      </x:c>
      <x:c r="U1831" s="16" t="n">
        <x:v>0</x:v>
      </x:c>
      <x:c r="V1831" s="16" t="n">
        <x:v>0</x:v>
      </x:c>
      <x:c r="W1831" s="16" t="n">
        <x:v>0</x:v>
      </x:c>
      <x:c r="X1831" s="16" t="n">
        <x:v>0</x:v>
      </x:c>
      <x:c r="Y1831" s="16" t="n">
        <x:v>0</x:v>
      </x:c>
      <x:c r="Z1831" s="16" t="n">
        <x:v>0</x:v>
      </x:c>
      <x:c r="AA1831" s="16" t="n">
        <x:v>3</x:v>
      </x:c>
      <x:c r="AB1831" s="16" t="n">
        <x:v>11</x:v>
      </x:c>
      <x:c r="AC1831" s="16" t="n">
        <x:v>0</x:v>
      </x:c>
      <x:c r="AD1831" s="21" t="n">
        <x:f>IF(E1831="",MEDIAN($E$2:$E$2237),E1831)</x:f>
        <x:v>54693</x:v>
      </x:c>
      <x:c r="AE1831" s="17" t="n">
        <x:f>2014-B1831</x:f>
        <x:v>52</x:v>
      </x:c>
      <x:c r="AF1831" s="17" t="n">
        <x:f>F1831+G1831</x:f>
        <x:v>1</x:v>
      </x:c>
      <x:c r="AG1831" s="21" t="n">
        <x:f>SUM(J1831:O1831)</x:f>
        <x:v>929</x:v>
      </x:c>
      <x:c r="AH1831" s="17" t="n">
        <x:f>SUM(Q1831:S1831)</x:f>
        <x:v>23</x:v>
      </x:c>
      <x:c r="AI1831" s="17" t="n">
        <x:f>SUM(U1831:Y1831)</x:f>
        <x:v>0</x:v>
      </x:c>
      <x:c r="AJ1831" s="17" t="str">
        <x:f>IF(AE1831&lt;=34,"≤34",IF(AE1831&lt;=44,"35–44",IF(AE1831&lt;=54,"45–54",IF(AE1831&lt;=64,"55–64","65+"))))</x:f>
        <x:v>45–54</x:v>
      </x:c>
      <x:c r="AK1831" s="17" t="str">
        <x:f>IF(AG1831&gt;=1000,"High Value",IF(AG1831&gt;=300,"Mid Value","Low Value"))</x:f>
        <x:v>Mid Value</x:v>
      </x:c>
      <x:c r="AL1831" s="17" t="str">
        <x:f>IF(AND(AI1831&gt;=1,I1831&lt;=50),"Priority 1",IF(AND(AG1831&gt;=1000,I1831&lt;=60),"Priority 2",IF(I1831&lt;=30,"Priority 3","Nurture")))</x:f>
        <x:v>Nurture</x:v>
      </x:c>
    </x:row>
    <x:row r="1832">
      <x:c r="A1832" s="16" t="n">
        <x:v>5866</x:v>
      </x:c>
      <x:c r="B1832" s="16" t="n">
        <x:v>1974</x:v>
      </x:c>
      <x:c r="C1832" s="16" t="str">
        <x:v>Graduation</x:v>
      </x:c>
      <x:c r="D1832" s="16" t="str">
        <x:v>Together</x:v>
      </x:c>
      <x:c r="E1832" s="16" t="n">
        <x:v>48186</x:v>
      </x:c>
      <x:c r="F1832" s="16" t="n">
        <x:v>1</x:v>
      </x:c>
      <x:c r="G1832" s="16" t="n">
        <x:v>0</x:v>
      </x:c>
      <x:c r="H1832" s="16" t="str">
        <x:v>20-03-2014</x:v>
      </x:c>
      <x:c r="I1832" s="16" t="n">
        <x:v>39</x:v>
      </x:c>
      <x:c r="J1832" s="16" t="n">
        <x:v>97</x:v>
      </x:c>
      <x:c r="K1832" s="16" t="n">
        <x:v>3</x:v>
      </x:c>
      <x:c r="L1832" s="16" t="n">
        <x:v>66</x:v>
      </x:c>
      <x:c r="M1832" s="16" t="n">
        <x:v>12</x:v>
      </x:c>
      <x:c r="N1832" s="16" t="n">
        <x:v>7</x:v>
      </x:c>
      <x:c r="O1832" s="16" t="n">
        <x:v>34</x:v>
      </x:c>
      <x:c r="P1832" s="16" t="n">
        <x:v>3</x:v>
      </x:c>
      <x:c r="Q1832" s="16" t="n">
        <x:v>4</x:v>
      </x:c>
      <x:c r="R1832" s="16" t="n">
        <x:v>1</x:v>
      </x:c>
      <x:c r="S1832" s="16" t="n">
        <x:v>4</x:v>
      </x:c>
      <x:c r="T1832" s="16" t="n">
        <x:v>7</x:v>
      </x:c>
      <x:c r="U1832" s="16" t="n">
        <x:v>0</x:v>
      </x:c>
      <x:c r="V1832" s="16" t="n">
        <x:v>0</x:v>
      </x:c>
      <x:c r="W1832" s="16" t="n">
        <x:v>0</x:v>
      </x:c>
      <x:c r="X1832" s="16" t="n">
        <x:v>0</x:v>
      </x:c>
      <x:c r="Y1832" s="16" t="n">
        <x:v>0</x:v>
      </x:c>
      <x:c r="Z1832" s="16" t="n">
        <x:v>0</x:v>
      </x:c>
      <x:c r="AA1832" s="16" t="n">
        <x:v>3</x:v>
      </x:c>
      <x:c r="AB1832" s="16" t="n">
        <x:v>11</x:v>
      </x:c>
      <x:c r="AC1832" s="16" t="n">
        <x:v>0</x:v>
      </x:c>
      <x:c r="AD1832" s="21" t="n">
        <x:f>IF(E1832="",MEDIAN($E$2:$E$2237),E1832)</x:f>
        <x:v>48186</x:v>
      </x:c>
      <x:c r="AE1832" s="17" t="n">
        <x:f>2014-B1832</x:f>
        <x:v>40</x:v>
      </x:c>
      <x:c r="AF1832" s="17" t="n">
        <x:f>F1832+G1832</x:f>
        <x:v>1</x:v>
      </x:c>
      <x:c r="AG1832" s="21" t="n">
        <x:f>SUM(J1832:O1832)</x:f>
        <x:v>219</x:v>
      </x:c>
      <x:c r="AH1832" s="17" t="n">
        <x:f>SUM(Q1832:S1832)</x:f>
        <x:v>9</x:v>
      </x:c>
      <x:c r="AI1832" s="17" t="n">
        <x:f>SUM(U1832:Y1832)</x:f>
        <x:v>0</x:v>
      </x:c>
      <x:c r="AJ1832" s="17" t="str">
        <x:f>IF(AE1832&lt;=34,"≤34",IF(AE1832&lt;=44,"35–44",IF(AE1832&lt;=54,"45–54",IF(AE1832&lt;=64,"55–64","65+"))))</x:f>
        <x:v>35–44</x:v>
      </x:c>
      <x:c r="AK1832" s="17" t="str">
        <x:f>IF(AG1832&gt;=1000,"High Value",IF(AG1832&gt;=300,"Mid Value","Low Value"))</x:f>
        <x:v>Low Value</x:v>
      </x:c>
      <x:c r="AL1832" s="17" t="str">
        <x:f>IF(AND(AI1832&gt;=1,I1832&lt;=50),"Priority 1",IF(AND(AG1832&gt;=1000,I1832&lt;=60),"Priority 2",IF(I1832&lt;=30,"Priority 3","Nurture")))</x:f>
        <x:v>Nurture</x:v>
      </x:c>
    </x:row>
    <x:row r="1833">
      <x:c r="A1833" s="16" t="n">
        <x:v>10521</x:v>
      </x:c>
      <x:c r="B1833" s="16" t="n">
        <x:v>1977</x:v>
      </x:c>
      <x:c r="C1833" s="16" t="str">
        <x:v>Graduation</x:v>
      </x:c>
      <x:c r="D1833" s="16" t="str">
        <x:v>Married</x:v>
      </x:c>
      <x:c r="E1833" s="16" t="n">
        <x:v>54809</x:v>
      </x:c>
      <x:c r="F1833" s="16" t="n">
        <x:v>1</x:v>
      </x:c>
      <x:c r="G1833" s="16" t="n">
        <x:v>1</x:v>
      </x:c>
      <x:c r="H1833" s="16" t="str">
        <x:v>11-09-2013</x:v>
      </x:c>
      <x:c r="I1833" s="16" t="n">
        <x:v>0</x:v>
      </x:c>
      <x:c r="J1833" s="16" t="n">
        <x:v>63</x:v>
      </x:c>
      <x:c r="K1833" s="16" t="n">
        <x:v>6</x:v>
      </x:c>
      <x:c r="L1833" s="16" t="n">
        <x:v>57</x:v>
      </x:c>
      <x:c r="M1833" s="16" t="n">
        <x:v>13</x:v>
      </x:c>
      <x:c r="N1833" s="16" t="n">
        <x:v>13</x:v>
      </x:c>
      <x:c r="O1833" s="16" t="n">
        <x:v>22</x:v>
      </x:c>
      <x:c r="P1833" s="16" t="n">
        <x:v>4</x:v>
      </x:c>
      <x:c r="Q1833" s="16" t="n">
        <x:v>2</x:v>
      </x:c>
      <x:c r="R1833" s="16" t="n">
        <x:v>1</x:v>
      </x:c>
      <x:c r="S1833" s="16" t="n">
        <x:v>5</x:v>
      </x:c>
      <x:c r="T1833" s="16" t="n">
        <x:v>4</x:v>
      </x:c>
      <x:c r="U1833" s="16" t="n">
        <x:v>0</x:v>
      </x:c>
      <x:c r="V1833" s="16" t="n">
        <x:v>0</x:v>
      </x:c>
      <x:c r="W1833" s="16" t="n">
        <x:v>0</x:v>
      </x:c>
      <x:c r="X1833" s="16" t="n">
        <x:v>0</x:v>
      </x:c>
      <x:c r="Y1833" s="16" t="n">
        <x:v>0</x:v>
      </x:c>
      <x:c r="Z1833" s="16" t="n">
        <x:v>0</x:v>
      </x:c>
      <x:c r="AA1833" s="16" t="n">
        <x:v>3</x:v>
      </x:c>
      <x:c r="AB1833" s="16" t="n">
        <x:v>11</x:v>
      </x:c>
      <x:c r="AC1833" s="16" t="n">
        <x:v>1</x:v>
      </x:c>
      <x:c r="AD1833" s="21" t="n">
        <x:f>IF(E1833="",MEDIAN($E$2:$E$2237),E1833)</x:f>
        <x:v>54809</x:v>
      </x:c>
      <x:c r="AE1833" s="17" t="n">
        <x:f>2014-B1833</x:f>
        <x:v>37</x:v>
      </x:c>
      <x:c r="AF1833" s="17" t="n">
        <x:f>F1833+G1833</x:f>
        <x:v>2</x:v>
      </x:c>
      <x:c r="AG1833" s="21" t="n">
        <x:f>SUM(J1833:O1833)</x:f>
        <x:v>174</x:v>
      </x:c>
      <x:c r="AH1833" s="17" t="n">
        <x:f>SUM(Q1833:S1833)</x:f>
        <x:v>8</x:v>
      </x:c>
      <x:c r="AI1833" s="17" t="n">
        <x:f>SUM(U1833:Y1833)</x:f>
        <x:v>0</x:v>
      </x:c>
      <x:c r="AJ1833" s="17" t="str">
        <x:f>IF(AE1833&lt;=34,"≤34",IF(AE1833&lt;=44,"35–44",IF(AE1833&lt;=54,"45–54",IF(AE1833&lt;=64,"55–64","65+"))))</x:f>
        <x:v>35–44</x:v>
      </x:c>
      <x:c r="AK1833" s="17" t="str">
        <x:f>IF(AG1833&gt;=1000,"High Value",IF(AG1833&gt;=300,"Mid Value","Low Value"))</x:f>
        <x:v>Low Value</x:v>
      </x:c>
      <x:c r="AL1833" s="17" t="str">
        <x:f>IF(AND(AI1833&gt;=1,I1833&lt;=50),"Priority 1",IF(AND(AG1833&gt;=1000,I1833&lt;=60),"Priority 2",IF(I1833&lt;=30,"Priority 3","Nurture")))</x:f>
        <x:v>Priority 3</x:v>
      </x:c>
    </x:row>
    <x:row r="1834">
      <x:c r="A1834" s="16" t="n">
        <x:v>7393</x:v>
      </x:c>
      <x:c r="B1834" s="16" t="n">
        <x:v>1978</x:v>
      </x:c>
      <x:c r="C1834" s="16" t="str">
        <x:v>Graduation</x:v>
      </x:c>
      <x:c r="D1834" s="16" t="str">
        <x:v>Together</x:v>
      </x:c>
      <x:c r="E1834" s="16" t="n">
        <x:v>41580</x:v>
      </x:c>
      <x:c r="F1834" s="16" t="n">
        <x:v>1</x:v>
      </x:c>
      <x:c r="G1834" s="16" t="n">
        <x:v>1</x:v>
      </x:c>
      <x:c r="H1834" s="16" t="str">
        <x:v>10-12-2012</x:v>
      </x:c>
      <x:c r="I1834" s="16" t="n">
        <x:v>15</x:v>
      </x:c>
      <x:c r="J1834" s="16" t="n">
        <x:v>56</x:v>
      </x:c>
      <x:c r="K1834" s="16" t="n">
        <x:v>5</x:v>
      </x:c>
      <x:c r="L1834" s="16" t="n">
        <x:v>24</x:v>
      </x:c>
      <x:c r="M1834" s="16" t="n">
        <x:v>4</x:v>
      </x:c>
      <x:c r="N1834" s="16" t="n">
        <x:v>0</x:v>
      </x:c>
      <x:c r="O1834" s="16" t="n">
        <x:v>3</x:v>
      </x:c>
      <x:c r="P1834" s="16" t="n">
        <x:v>3</x:v>
      </x:c>
      <x:c r="Q1834" s="16" t="n">
        <x:v>2</x:v>
      </x:c>
      <x:c r="R1834" s="16" t="n">
        <x:v>1</x:v>
      </x:c>
      <x:c r="S1834" s="16" t="n">
        <x:v>3</x:v>
      </x:c>
      <x:c r="T1834" s="16" t="n">
        <x:v>5</x:v>
      </x:c>
      <x:c r="U1834" s="16" t="n">
        <x:v>0</x:v>
      </x:c>
      <x:c r="V1834" s="16" t="n">
        <x:v>0</x:v>
      </x:c>
      <x:c r="W1834" s="16" t="n">
        <x:v>0</x:v>
      </x:c>
      <x:c r="X1834" s="16" t="n">
        <x:v>0</x:v>
      </x:c>
      <x:c r="Y1834" s="16" t="n">
        <x:v>0</x:v>
      </x:c>
      <x:c r="Z1834" s="16" t="n">
        <x:v>0</x:v>
      </x:c>
      <x:c r="AA1834" s="16" t="n">
        <x:v>3</x:v>
      </x:c>
      <x:c r="AB1834" s="16" t="n">
        <x:v>11</x:v>
      </x:c>
      <x:c r="AC1834" s="16" t="n">
        <x:v>0</x:v>
      </x:c>
      <x:c r="AD1834" s="21" t="n">
        <x:f>IF(E1834="",MEDIAN($E$2:$E$2237),E1834)</x:f>
        <x:v>41580</x:v>
      </x:c>
      <x:c r="AE1834" s="17" t="n">
        <x:f>2014-B1834</x:f>
        <x:v>36</x:v>
      </x:c>
      <x:c r="AF1834" s="17" t="n">
        <x:f>F1834+G1834</x:f>
        <x:v>2</x:v>
      </x:c>
      <x:c r="AG1834" s="21" t="n">
        <x:f>SUM(J1834:O1834)</x:f>
        <x:v>92</x:v>
      </x:c>
      <x:c r="AH1834" s="17" t="n">
        <x:f>SUM(Q1834:S1834)</x:f>
        <x:v>6</x:v>
      </x:c>
      <x:c r="AI1834" s="17" t="n">
        <x:f>SUM(U1834:Y1834)</x:f>
        <x:v>0</x:v>
      </x:c>
      <x:c r="AJ1834" s="17" t="str">
        <x:f>IF(AE1834&lt;=34,"≤34",IF(AE1834&lt;=44,"35–44",IF(AE1834&lt;=54,"45–54",IF(AE1834&lt;=64,"55–64","65+"))))</x:f>
        <x:v>35–44</x:v>
      </x:c>
      <x:c r="AK1834" s="17" t="str">
        <x:f>IF(AG1834&gt;=1000,"High Value",IF(AG1834&gt;=300,"Mid Value","Low Value"))</x:f>
        <x:v>Low Value</x:v>
      </x:c>
      <x:c r="AL1834" s="17" t="str">
        <x:f>IF(AND(AI1834&gt;=1,I1834&lt;=50),"Priority 1",IF(AND(AG1834&gt;=1000,I1834&lt;=60),"Priority 2",IF(I1834&lt;=30,"Priority 3","Nurture")))</x:f>
        <x:v>Priority 3</x:v>
      </x:c>
    </x:row>
    <x:row r="1835">
      <x:c r="A1835" s="16" t="n">
        <x:v>7849</x:v>
      </x:c>
      <x:c r="B1835" s="16" t="n">
        <x:v>1970</x:v>
      </x:c>
      <x:c r="C1835" s="16" t="str">
        <x:v>PhD</x:v>
      </x:c>
      <x:c r="D1835" s="16" t="str">
        <x:v>Married</x:v>
      </x:c>
      <x:c r="E1835" s="16" t="n">
        <x:v>80336</x:v>
      </x:c>
      <x:c r="F1835" s="16" t="n">
        <x:v>0</x:v>
      </x:c>
      <x:c r="G1835" s="16" t="n">
        <x:v>0</x:v>
      </x:c>
      <x:c r="H1835" s="16" t="str">
        <x:v>09-09-2013</x:v>
      </x:c>
      <x:c r="I1835" s="16" t="n">
        <x:v>12</x:v>
      </x:c>
      <x:c r="J1835" s="16" t="n">
        <x:v>209</x:v>
      </x:c>
      <x:c r="K1835" s="16" t="n">
        <x:v>19</x:v>
      </x:c>
      <x:c r="L1835" s="16" t="n">
        <x:v>456</x:v>
      </x:c>
      <x:c r="M1835" s="16" t="n">
        <x:v>160</x:v>
      </x:c>
      <x:c r="N1835" s="16" t="n">
        <x:v>142</x:v>
      </x:c>
      <x:c r="O1835" s="16" t="n">
        <x:v>66</x:v>
      </x:c>
      <x:c r="P1835" s="16" t="n">
        <x:v>1</x:v>
      </x:c>
      <x:c r="Q1835" s="16" t="n">
        <x:v>2</x:v>
      </x:c>
      <x:c r="R1835" s="16" t="n">
        <x:v>9</x:v>
      </x:c>
      <x:c r="S1835" s="16" t="n">
        <x:v>13</x:v>
      </x:c>
      <x:c r="T1835" s="16" t="n">
        <x:v>1</x:v>
      </x:c>
      <x:c r="U1835" s="16" t="n">
        <x:v>0</x:v>
      </x:c>
      <x:c r="V1835" s="16" t="n">
        <x:v>0</x:v>
      </x:c>
      <x:c r="W1835" s="16" t="n">
        <x:v>0</x:v>
      </x:c>
      <x:c r="X1835" s="16" t="n">
        <x:v>0</x:v>
      </x:c>
      <x:c r="Y1835" s="16" t="n">
        <x:v>0</x:v>
      </x:c>
      <x:c r="Z1835" s="16" t="n">
        <x:v>0</x:v>
      </x:c>
      <x:c r="AA1835" s="16" t="n">
        <x:v>3</x:v>
      </x:c>
      <x:c r="AB1835" s="16" t="n">
        <x:v>11</x:v>
      </x:c>
      <x:c r="AC1835" s="16" t="n">
        <x:v>0</x:v>
      </x:c>
      <x:c r="AD1835" s="21" t="n">
        <x:f>IF(E1835="",MEDIAN($E$2:$E$2237),E1835)</x:f>
        <x:v>80336</x:v>
      </x:c>
      <x:c r="AE1835" s="17" t="n">
        <x:f>2014-B1835</x:f>
        <x:v>44</x:v>
      </x:c>
      <x:c r="AF1835" s="17" t="n">
        <x:f>F1835+G1835</x:f>
        <x:v>0</x:v>
      </x:c>
      <x:c r="AG1835" s="21" t="n">
        <x:f>SUM(J1835:O1835)</x:f>
        <x:v>1052</x:v>
      </x:c>
      <x:c r="AH1835" s="17" t="n">
        <x:f>SUM(Q1835:S1835)</x:f>
        <x:v>24</x:v>
      </x:c>
      <x:c r="AI1835" s="17" t="n">
        <x:f>SUM(U1835:Y1835)</x:f>
        <x:v>0</x:v>
      </x:c>
      <x:c r="AJ1835" s="17" t="str">
        <x:f>IF(AE1835&lt;=34,"≤34",IF(AE1835&lt;=44,"35–44",IF(AE1835&lt;=54,"45–54",IF(AE1835&lt;=64,"55–64","65+"))))</x:f>
        <x:v>35–44</x:v>
      </x:c>
      <x:c r="AK1835" s="17" t="str">
        <x:f>IF(AG1835&gt;=1000,"High Value",IF(AG1835&gt;=300,"Mid Value","Low Value"))</x:f>
        <x:v>High Value</x:v>
      </x:c>
      <x:c r="AL1835" s="17" t="str">
        <x:f>IF(AND(AI1835&gt;=1,I1835&lt;=50),"Priority 1",IF(AND(AG1835&gt;=1000,I1835&lt;=60),"Priority 2",IF(I1835&lt;=30,"Priority 3","Nurture")))</x:f>
        <x:v>Priority 2</x:v>
      </x:c>
    </x:row>
    <x:row r="1836">
      <x:c r="A1836" s="16" t="n">
        <x:v>332</x:v>
      </x:c>
      <x:c r="B1836" s="16" t="n">
        <x:v>1957</x:v>
      </x:c>
      <x:c r="C1836" s="16" t="str">
        <x:v>Graduation</x:v>
      </x:c>
      <x:c r="D1836" s="16" t="str">
        <x:v>Married</x:v>
      </x:c>
      <x:c r="E1836" s="16" t="n">
        <x:v>47743</x:v>
      </x:c>
      <x:c r="F1836" s="16" t="n">
        <x:v>0</x:v>
      </x:c>
      <x:c r="G1836" s="16" t="n">
        <x:v>1</x:v>
      </x:c>
      <x:c r="H1836" s="16" t="str">
        <x:v>22-03-2013</x:v>
      </x:c>
      <x:c r="I1836" s="16" t="n">
        <x:v>56</x:v>
      </x:c>
      <x:c r="J1836" s="16" t="n">
        <x:v>198</x:v>
      </x:c>
      <x:c r="K1836" s="16" t="n">
        <x:v>2</x:v>
      </x:c>
      <x:c r="L1836" s="16" t="n">
        <x:v>43</x:v>
      </x:c>
      <x:c r="M1836" s="16" t="n">
        <x:v>0</x:v>
      </x:c>
      <x:c r="N1836" s="16" t="n">
        <x:v>12</x:v>
      </x:c>
      <x:c r="O1836" s="16" t="n">
        <x:v>20</x:v>
      </x:c>
      <x:c r="P1836" s="16" t="n">
        <x:v>3</x:v>
      </x:c>
      <x:c r="Q1836" s="16" t="n">
        <x:v>4</x:v>
      </x:c>
      <x:c r="R1836" s="16" t="n">
        <x:v>1</x:v>
      </x:c>
      <x:c r="S1836" s="16" t="n">
        <x:v>6</x:v>
      </x:c>
      <x:c r="T1836" s="16" t="n">
        <x:v>6</x:v>
      </x:c>
      <x:c r="U1836" s="16" t="n">
        <x:v>0</x:v>
      </x:c>
      <x:c r="V1836" s="16" t="n">
        <x:v>1</x:v>
      </x:c>
      <x:c r="W1836" s="16" t="n">
        <x:v>0</x:v>
      </x:c>
      <x:c r="X1836" s="16" t="n">
        <x:v>0</x:v>
      </x:c>
      <x:c r="Y1836" s="16" t="n">
        <x:v>0</x:v>
      </x:c>
      <x:c r="Z1836" s="16" t="n">
        <x:v>0</x:v>
      </x:c>
      <x:c r="AA1836" s="16" t="n">
        <x:v>3</x:v>
      </x:c>
      <x:c r="AB1836" s="16" t="n">
        <x:v>11</x:v>
      </x:c>
      <x:c r="AC1836" s="16" t="n">
        <x:v>0</x:v>
      </x:c>
      <x:c r="AD1836" s="21" t="n">
        <x:f>IF(E1836="",MEDIAN($E$2:$E$2237),E1836)</x:f>
        <x:v>47743</x:v>
      </x:c>
      <x:c r="AE1836" s="17" t="n">
        <x:f>2014-B1836</x:f>
        <x:v>57</x:v>
      </x:c>
      <x:c r="AF1836" s="17" t="n">
        <x:f>F1836+G1836</x:f>
        <x:v>1</x:v>
      </x:c>
      <x:c r="AG1836" s="21" t="n">
        <x:f>SUM(J1836:O1836)</x:f>
        <x:v>275</x:v>
      </x:c>
      <x:c r="AH1836" s="17" t="n">
        <x:f>SUM(Q1836:S1836)</x:f>
        <x:v>11</x:v>
      </x:c>
      <x:c r="AI1836" s="17" t="n">
        <x:f>SUM(U1836:Y1836)</x:f>
        <x:v>1</x:v>
      </x:c>
      <x:c r="AJ1836" s="17" t="str">
        <x:f>IF(AE1836&lt;=34,"≤34",IF(AE1836&lt;=44,"35–44",IF(AE1836&lt;=54,"45–54",IF(AE1836&lt;=64,"55–64","65+"))))</x:f>
        <x:v>55–64</x:v>
      </x:c>
      <x:c r="AK1836" s="17" t="str">
        <x:f>IF(AG1836&gt;=1000,"High Value",IF(AG1836&gt;=300,"Mid Value","Low Value"))</x:f>
        <x:v>Low Value</x:v>
      </x:c>
      <x:c r="AL1836" s="17" t="str">
        <x:f>IF(AND(AI1836&gt;=1,I1836&lt;=50),"Priority 1",IF(AND(AG1836&gt;=1000,I1836&lt;=60),"Priority 2",IF(I1836&lt;=30,"Priority 3","Nurture")))</x:f>
        <x:v>Nurture</x:v>
      </x:c>
    </x:row>
    <x:row r="1837">
      <x:c r="A1837" s="16" t="n">
        <x:v>9847</x:v>
      </x:c>
      <x:c r="B1837" s="16" t="n">
        <x:v>1955</x:v>
      </x:c>
      <x:c r="C1837" s="16" t="str">
        <x:v>2n Cycle</x:v>
      </x:c>
      <x:c r="D1837" s="16" t="str">
        <x:v>Married</x:v>
      </x:c>
      <x:c r="E1837" s="16" t="n">
        <x:v>62972</x:v>
      </x:c>
      <x:c r="F1837" s="16" t="n">
        <x:v>0</x:v>
      </x:c>
      <x:c r="G1837" s="16" t="n">
        <x:v>1</x:v>
      </x:c>
      <x:c r="H1837" s="16" t="str">
        <x:v>03-08-2012</x:v>
      </x:c>
      <x:c r="I1837" s="16" t="n">
        <x:v>39</x:v>
      </x:c>
      <x:c r="J1837" s="16" t="n">
        <x:v>313</x:v>
      </x:c>
      <x:c r="K1837" s="16" t="n">
        <x:v>15</x:v>
      </x:c>
      <x:c r="L1837" s="16" t="n">
        <x:v>47</x:v>
      </x:c>
      <x:c r="M1837" s="16" t="n">
        <x:v>20</x:v>
      </x:c>
      <x:c r="N1837" s="16" t="n">
        <x:v>0</x:v>
      </x:c>
      <x:c r="O1837" s="16" t="n">
        <x:v>192</x:v>
      </x:c>
      <x:c r="P1837" s="16" t="n">
        <x:v>2</x:v>
      </x:c>
      <x:c r="Q1837" s="16" t="n">
        <x:v>7</x:v>
      </x:c>
      <x:c r="R1837" s="16" t="n">
        <x:v>4</x:v>
      </x:c>
      <x:c r="S1837" s="16" t="n">
        <x:v>3</x:v>
      </x:c>
      <x:c r="T1837" s="16" t="n">
        <x:v>6</x:v>
      </x:c>
      <x:c r="U1837" s="16" t="n">
        <x:v>0</x:v>
      </x:c>
      <x:c r="V1837" s="16" t="n">
        <x:v>0</x:v>
      </x:c>
      <x:c r="W1837" s="16" t="n">
        <x:v>0</x:v>
      </x:c>
      <x:c r="X1837" s="16" t="n">
        <x:v>0</x:v>
      </x:c>
      <x:c r="Y1837" s="16" t="n">
        <x:v>0</x:v>
      </x:c>
      <x:c r="Z1837" s="16" t="n">
        <x:v>0</x:v>
      </x:c>
      <x:c r="AA1837" s="16" t="n">
        <x:v>3</x:v>
      </x:c>
      <x:c r="AB1837" s="16" t="n">
        <x:v>11</x:v>
      </x:c>
      <x:c r="AC1837" s="16" t="n">
        <x:v>0</x:v>
      </x:c>
      <x:c r="AD1837" s="21" t="n">
        <x:f>IF(E1837="",MEDIAN($E$2:$E$2237),E1837)</x:f>
        <x:v>62972</x:v>
      </x:c>
      <x:c r="AE1837" s="17" t="n">
        <x:f>2014-B1837</x:f>
        <x:v>59</x:v>
      </x:c>
      <x:c r="AF1837" s="17" t="n">
        <x:f>F1837+G1837</x:f>
        <x:v>1</x:v>
      </x:c>
      <x:c r="AG1837" s="21" t="n">
        <x:f>SUM(J1837:O1837)</x:f>
        <x:v>587</x:v>
      </x:c>
      <x:c r="AH1837" s="17" t="n">
        <x:f>SUM(Q1837:S1837)</x:f>
        <x:v>14</x:v>
      </x:c>
      <x:c r="AI1837" s="17" t="n">
        <x:f>SUM(U1837:Y1837)</x:f>
        <x:v>0</x:v>
      </x:c>
      <x:c r="AJ1837" s="17" t="str">
        <x:f>IF(AE1837&lt;=34,"≤34",IF(AE1837&lt;=44,"35–44",IF(AE1837&lt;=54,"45–54",IF(AE1837&lt;=64,"55–64","65+"))))</x:f>
        <x:v>55–64</x:v>
      </x:c>
      <x:c r="AK1837" s="17" t="str">
        <x:f>IF(AG1837&gt;=1000,"High Value",IF(AG1837&gt;=300,"Mid Value","Low Value"))</x:f>
        <x:v>Mid Value</x:v>
      </x:c>
      <x:c r="AL1837" s="17" t="str">
        <x:f>IF(AND(AI1837&gt;=1,I1837&lt;=50),"Priority 1",IF(AND(AG1837&gt;=1000,I1837&lt;=60),"Priority 2",IF(I1837&lt;=30,"Priority 3","Nurture")))</x:f>
        <x:v>Nurture</x:v>
      </x:c>
    </x:row>
    <x:row r="1838">
      <x:c r="A1838" s="16" t="n">
        <x:v>531</x:v>
      </x:c>
      <x:c r="B1838" s="16" t="n">
        <x:v>1954</x:v>
      </x:c>
      <x:c r="C1838" s="16" t="str">
        <x:v>PhD</x:v>
      </x:c>
      <x:c r="D1838" s="16" t="str">
        <x:v>Divorced</x:v>
      </x:c>
      <x:c r="E1838" s="16" t="n">
        <x:v>57333</x:v>
      </x:c>
      <x:c r="F1838" s="16" t="n">
        <x:v>0</x:v>
      </x:c>
      <x:c r="G1838" s="16" t="n">
        <x:v>1</x:v>
      </x:c>
      <x:c r="H1838" s="16" t="str">
        <x:v>22-09-2012</x:v>
      </x:c>
      <x:c r="I1838" s="16" t="n">
        <x:v>55</x:v>
      </x:c>
      <x:c r="J1838" s="16" t="n">
        <x:v>941</x:v>
      </x:c>
      <x:c r="K1838" s="16" t="n">
        <x:v>14</x:v>
      </x:c>
      <x:c r="L1838" s="16" t="n">
        <x:v>397</x:v>
      </x:c>
      <x:c r="M1838" s="16" t="n">
        <x:v>76</x:v>
      </x:c>
      <x:c r="N1838" s="16" t="n">
        <x:v>58</x:v>
      </x:c>
      <x:c r="O1838" s="16" t="n">
        <x:v>176</x:v>
      </x:c>
      <x:c r="P1838" s="16" t="n">
        <x:v>11</x:v>
      </x:c>
      <x:c r="Q1838" s="16" t="n">
        <x:v>8</x:v>
      </x:c>
      <x:c r="R1838" s="16" t="n">
        <x:v>5</x:v>
      </x:c>
      <x:c r="S1838" s="16" t="n">
        <x:v>9</x:v>
      </x:c>
      <x:c r="T1838" s="16" t="n">
        <x:v>6</x:v>
      </x:c>
      <x:c r="U1838" s="16" t="n">
        <x:v>0</x:v>
      </x:c>
      <x:c r="V1838" s="16" t="n">
        <x:v>0</x:v>
      </x:c>
      <x:c r="W1838" s="16" t="n">
        <x:v>0</x:v>
      </x:c>
      <x:c r="X1838" s="16" t="n">
        <x:v>0</x:v>
      </x:c>
      <x:c r="Y1838" s="16" t="n">
        <x:v>0</x:v>
      </x:c>
      <x:c r="Z1838" s="16" t="n">
        <x:v>0</x:v>
      </x:c>
      <x:c r="AA1838" s="16" t="n">
        <x:v>3</x:v>
      </x:c>
      <x:c r="AB1838" s="16" t="n">
        <x:v>11</x:v>
      </x:c>
      <x:c r="AC1838" s="16" t="n">
        <x:v>1</x:v>
      </x:c>
      <x:c r="AD1838" s="21" t="n">
        <x:f>IF(E1838="",MEDIAN($E$2:$E$2237),E1838)</x:f>
        <x:v>57333</x:v>
      </x:c>
      <x:c r="AE1838" s="17" t="n">
        <x:f>2014-B1838</x:f>
        <x:v>60</x:v>
      </x:c>
      <x:c r="AF1838" s="17" t="n">
        <x:f>F1838+G1838</x:f>
        <x:v>1</x:v>
      </x:c>
      <x:c r="AG1838" s="21" t="n">
        <x:f>SUM(J1838:O1838)</x:f>
        <x:v>1662</x:v>
      </x:c>
      <x:c r="AH1838" s="17" t="n">
        <x:f>SUM(Q1838:S1838)</x:f>
        <x:v>22</x:v>
      </x:c>
      <x:c r="AI1838" s="17" t="n">
        <x:f>SUM(U1838:Y1838)</x:f>
        <x:v>0</x:v>
      </x:c>
      <x:c r="AJ1838" s="17" t="str">
        <x:f>IF(AE1838&lt;=34,"≤34",IF(AE1838&lt;=44,"35–44",IF(AE1838&lt;=54,"45–54",IF(AE1838&lt;=64,"55–64","65+"))))</x:f>
        <x:v>55–64</x:v>
      </x:c>
      <x:c r="AK1838" s="17" t="str">
        <x:f>IF(AG1838&gt;=1000,"High Value",IF(AG1838&gt;=300,"Mid Value","Low Value"))</x:f>
        <x:v>High Value</x:v>
      </x:c>
      <x:c r="AL1838" s="17" t="str">
        <x:f>IF(AND(AI1838&gt;=1,I1838&lt;=50),"Priority 1",IF(AND(AG1838&gt;=1000,I1838&lt;=60),"Priority 2",IF(I1838&lt;=30,"Priority 3","Nurture")))</x:f>
        <x:v>Priority 2</x:v>
      </x:c>
    </x:row>
    <x:row r="1839">
      <x:c r="A1839" s="16" t="n">
        <x:v>9576</x:v>
      </x:c>
      <x:c r="B1839" s="16" t="n">
        <x:v>1982</x:v>
      </x:c>
      <x:c r="C1839" s="16" t="str">
        <x:v>PhD</x:v>
      </x:c>
      <x:c r="D1839" s="16" t="str">
        <x:v>Together</x:v>
      </x:c>
      <x:c r="E1839" s="16" t="n">
        <x:v>32313</x:v>
      </x:c>
      <x:c r="F1839" s="16" t="n">
        <x:v>1</x:v>
      </x:c>
      <x:c r="G1839" s="16" t="n">
        <x:v>0</x:v>
      </x:c>
      <x:c r="H1839" s="16" t="str">
        <x:v>11-02-2013</x:v>
      </x:c>
      <x:c r="I1839" s="16" t="n">
        <x:v>60</x:v>
      </x:c>
      <x:c r="J1839" s="16" t="n">
        <x:v>86</x:v>
      </x:c>
      <x:c r="K1839" s="16" t="n">
        <x:v>4</x:v>
      </x:c>
      <x:c r="L1839" s="16" t="n">
        <x:v>56</x:v>
      </x:c>
      <x:c r="M1839" s="16" t="n">
        <x:v>2</x:v>
      </x:c>
      <x:c r="N1839" s="16" t="n">
        <x:v>4</x:v>
      </x:c>
      <x:c r="O1839" s="16" t="n">
        <x:v>7</x:v>
      </x:c>
      <x:c r="P1839" s="16" t="n">
        <x:v>3</x:v>
      </x:c>
      <x:c r="Q1839" s="16" t="n">
        <x:v>4</x:v>
      </x:c>
      <x:c r="R1839" s="16" t="n">
        <x:v>0</x:v>
      </x:c>
      <x:c r="S1839" s="16" t="n">
        <x:v>4</x:v>
      </x:c>
      <x:c r="T1839" s="16" t="n">
        <x:v>9</x:v>
      </x:c>
      <x:c r="U1839" s="16" t="n">
        <x:v>0</x:v>
      </x:c>
      <x:c r="V1839" s="16" t="n">
        <x:v>0</x:v>
      </x:c>
      <x:c r="W1839" s="16" t="n">
        <x:v>0</x:v>
      </x:c>
      <x:c r="X1839" s="16" t="n">
        <x:v>0</x:v>
      </x:c>
      <x:c r="Y1839" s="16" t="n">
        <x:v>0</x:v>
      </x:c>
      <x:c r="Z1839" s="16" t="n">
        <x:v>0</x:v>
      </x:c>
      <x:c r="AA1839" s="16" t="n">
        <x:v>3</x:v>
      </x:c>
      <x:c r="AB1839" s="16" t="n">
        <x:v>11</x:v>
      </x:c>
      <x:c r="AC1839" s="16" t="n">
        <x:v>0</x:v>
      </x:c>
      <x:c r="AD1839" s="21" t="n">
        <x:f>IF(E1839="",MEDIAN($E$2:$E$2237),E1839)</x:f>
        <x:v>32313</x:v>
      </x:c>
      <x:c r="AE1839" s="17" t="n">
        <x:f>2014-B1839</x:f>
        <x:v>32</x:v>
      </x:c>
      <x:c r="AF1839" s="17" t="n">
        <x:f>F1839+G1839</x:f>
        <x:v>1</x:v>
      </x:c>
      <x:c r="AG1839" s="21" t="n">
        <x:f>SUM(J1839:O1839)</x:f>
        <x:v>159</x:v>
      </x:c>
      <x:c r="AH1839" s="17" t="n">
        <x:f>SUM(Q1839:S1839)</x:f>
        <x:v>8</x:v>
      </x:c>
      <x:c r="AI1839" s="17" t="n">
        <x:f>SUM(U1839:Y1839)</x:f>
        <x:v>0</x:v>
      </x:c>
      <x:c r="AJ1839" s="17" t="str">
        <x:f>IF(AE1839&lt;=34,"≤34",IF(AE1839&lt;=44,"35–44",IF(AE1839&lt;=54,"45–54",IF(AE1839&lt;=64,"55–64","65+"))))</x:f>
        <x:v>≤34</x:v>
      </x:c>
      <x:c r="AK1839" s="17" t="str">
        <x:f>IF(AG1839&gt;=1000,"High Value",IF(AG1839&gt;=300,"Mid Value","Low Value"))</x:f>
        <x:v>Low Value</x:v>
      </x:c>
      <x:c r="AL1839" s="17" t="str">
        <x:f>IF(AND(AI1839&gt;=1,I1839&lt;=50),"Priority 1",IF(AND(AG1839&gt;=1000,I1839&lt;=60),"Priority 2",IF(I1839&lt;=30,"Priority 3","Nurture")))</x:f>
        <x:v>Nurture</x:v>
      </x:c>
    </x:row>
    <x:row r="1840">
      <x:c r="A1840" s="16" t="n">
        <x:v>6906</x:v>
      </x:c>
      <x:c r="B1840" s="16" t="n">
        <x:v>1953</x:v>
      </x:c>
      <x:c r="C1840" s="16" t="str">
        <x:v>Master</x:v>
      </x:c>
      <x:c r="D1840" s="16" t="str">
        <x:v>Widow</x:v>
      </x:c>
      <x:c r="E1840" s="16" t="n">
        <x:v>84953</x:v>
      </x:c>
      <x:c r="F1840" s="16" t="n">
        <x:v>0</x:v>
      </x:c>
      <x:c r="G1840" s="16" t="n">
        <x:v>0</x:v>
      </x:c>
      <x:c r="H1840" s="16" t="str">
        <x:v>03-06-2013</x:v>
      </x:c>
      <x:c r="I1840" s="16" t="n">
        <x:v>73</x:v>
      </x:c>
      <x:c r="J1840" s="16" t="n">
        <x:v>167</x:v>
      </x:c>
      <x:c r="K1840" s="16" t="n">
        <x:v>48</x:v>
      </x:c>
      <x:c r="L1840" s="16" t="n">
        <x:v>602</x:v>
      </x:c>
      <x:c r="M1840" s="16" t="n">
        <x:v>63</x:v>
      </x:c>
      <x:c r="N1840" s="16" t="n">
        <x:v>72</x:v>
      </x:c>
      <x:c r="O1840" s="16" t="n">
        <x:v>72</x:v>
      </x:c>
      <x:c r="P1840" s="16" t="n">
        <x:v>1</x:v>
      </x:c>
      <x:c r="Q1840" s="16" t="n">
        <x:v>3</x:v>
      </x:c>
      <x:c r="R1840" s="16" t="n">
        <x:v>10</x:v>
      </x:c>
      <x:c r="S1840" s="16" t="n">
        <x:v>4</x:v>
      </x:c>
      <x:c r="T1840" s="16" t="n">
        <x:v>2</x:v>
      </x:c>
      <x:c r="U1840" s="16" t="n">
        <x:v>0</x:v>
      </x:c>
      <x:c r="V1840" s="16" t="n">
        <x:v>1</x:v>
      </x:c>
      <x:c r="W1840" s="16" t="n">
        <x:v>1</x:v>
      </x:c>
      <x:c r="X1840" s="16" t="n">
        <x:v>1</x:v>
      </x:c>
      <x:c r="Y1840" s="16" t="n">
        <x:v>0</x:v>
      </x:c>
      <x:c r="Z1840" s="16" t="n">
        <x:v>0</x:v>
      </x:c>
      <x:c r="AA1840" s="16" t="n">
        <x:v>3</x:v>
      </x:c>
      <x:c r="AB1840" s="16" t="n">
        <x:v>11</x:v>
      </x:c>
      <x:c r="AC1840" s="16" t="n">
        <x:v>1</x:v>
      </x:c>
      <x:c r="AD1840" s="21" t="n">
        <x:f>IF(E1840="",MEDIAN($E$2:$E$2237),E1840)</x:f>
        <x:v>84953</x:v>
      </x:c>
      <x:c r="AE1840" s="17" t="n">
        <x:f>2014-B1840</x:f>
        <x:v>61</x:v>
      </x:c>
      <x:c r="AF1840" s="17" t="n">
        <x:f>F1840+G1840</x:f>
        <x:v>0</x:v>
      </x:c>
      <x:c r="AG1840" s="21" t="n">
        <x:f>SUM(J1840:O1840)</x:f>
        <x:v>1024</x:v>
      </x:c>
      <x:c r="AH1840" s="17" t="n">
        <x:f>SUM(Q1840:S1840)</x:f>
        <x:v>17</x:v>
      </x:c>
      <x:c r="AI1840" s="17" t="n">
        <x:f>SUM(U1840:Y1840)</x:f>
        <x:v>3</x:v>
      </x:c>
      <x:c r="AJ1840" s="17" t="str">
        <x:f>IF(AE1840&lt;=34,"≤34",IF(AE1840&lt;=44,"35–44",IF(AE1840&lt;=54,"45–54",IF(AE1840&lt;=64,"55–64","65+"))))</x:f>
        <x:v>55–64</x:v>
      </x:c>
      <x:c r="AK1840" s="17" t="str">
        <x:f>IF(AG1840&gt;=1000,"High Value",IF(AG1840&gt;=300,"Mid Value","Low Value"))</x:f>
        <x:v>High Value</x:v>
      </x:c>
      <x:c r="AL1840" s="17" t="str">
        <x:f>IF(AND(AI1840&gt;=1,I1840&lt;=50),"Priority 1",IF(AND(AG1840&gt;=1000,I1840&lt;=60),"Priority 2",IF(I1840&lt;=30,"Priority 3","Nurture")))</x:f>
        <x:v>Nurture</x:v>
      </x:c>
    </x:row>
    <x:row r="1841">
      <x:c r="A1841" s="16" t="n">
        <x:v>7419</x:v>
      </x:c>
      <x:c r="B1841" s="16" t="n">
        <x:v>1968</x:v>
      </x:c>
      <x:c r="C1841" s="16" t="str">
        <x:v>Master</x:v>
      </x:c>
      <x:c r="D1841" s="16" t="str">
        <x:v>Divorced</x:v>
      </x:c>
      <x:c r="E1841" s="16" t="n">
        <x:v>27071</x:v>
      </x:c>
      <x:c r="F1841" s="16" t="n">
        <x:v>1</x:v>
      </x:c>
      <x:c r="G1841" s="16" t="n">
        <x:v>0</x:v>
      </x:c>
      <x:c r="H1841" s="16" t="str">
        <x:v>23-04-2014</x:v>
      </x:c>
      <x:c r="I1841" s="16" t="n">
        <x:v>90</x:v>
      </x:c>
      <x:c r="J1841" s="16" t="n">
        <x:v>8</x:v>
      </x:c>
      <x:c r="K1841" s="16" t="n">
        <x:v>3</x:v>
      </x:c>
      <x:c r="L1841" s="16" t="n">
        <x:v>19</x:v>
      </x:c>
      <x:c r="M1841" s="16" t="n">
        <x:v>0</x:v>
      </x:c>
      <x:c r="N1841" s="16" t="n">
        <x:v>2</x:v>
      </x:c>
      <x:c r="O1841" s="16" t="n">
        <x:v>3</x:v>
      </x:c>
      <x:c r="P1841" s="16" t="n">
        <x:v>2</x:v>
      </x:c>
      <x:c r="Q1841" s="16" t="n">
        <x:v>2</x:v>
      </x:c>
      <x:c r="R1841" s="16" t="n">
        <x:v>0</x:v>
      </x:c>
      <x:c r="S1841" s="16" t="n">
        <x:v>3</x:v>
      </x:c>
      <x:c r="T1841" s="16" t="n">
        <x:v>6</x:v>
      </x:c>
      <x:c r="U1841" s="16" t="n">
        <x:v>0</x:v>
      </x:c>
      <x:c r="V1841" s="16" t="n">
        <x:v>0</x:v>
      </x:c>
      <x:c r="W1841" s="16" t="n">
        <x:v>0</x:v>
      </x:c>
      <x:c r="X1841" s="16" t="n">
        <x:v>0</x:v>
      </x:c>
      <x:c r="Y1841" s="16" t="n">
        <x:v>0</x:v>
      </x:c>
      <x:c r="Z1841" s="16" t="n">
        <x:v>0</x:v>
      </x:c>
      <x:c r="AA1841" s="16" t="n">
        <x:v>3</x:v>
      </x:c>
      <x:c r="AB1841" s="16" t="n">
        <x:v>11</x:v>
      </x:c>
      <x:c r="AC1841" s="16" t="n">
        <x:v>0</x:v>
      </x:c>
      <x:c r="AD1841" s="21" t="n">
        <x:f>IF(E1841="",MEDIAN($E$2:$E$2237),E1841)</x:f>
        <x:v>27071</x:v>
      </x:c>
      <x:c r="AE1841" s="17" t="n">
        <x:f>2014-B1841</x:f>
        <x:v>46</x:v>
      </x:c>
      <x:c r="AF1841" s="17" t="n">
        <x:f>F1841+G1841</x:f>
        <x:v>1</x:v>
      </x:c>
      <x:c r="AG1841" s="21" t="n">
        <x:f>SUM(J1841:O1841)</x:f>
        <x:v>35</x:v>
      </x:c>
      <x:c r="AH1841" s="17" t="n">
        <x:f>SUM(Q1841:S1841)</x:f>
        <x:v>5</x:v>
      </x:c>
      <x:c r="AI1841" s="17" t="n">
        <x:f>SUM(U1841:Y1841)</x:f>
        <x:v>0</x:v>
      </x:c>
      <x:c r="AJ1841" s="17" t="str">
        <x:f>IF(AE1841&lt;=34,"≤34",IF(AE1841&lt;=44,"35–44",IF(AE1841&lt;=54,"45–54",IF(AE1841&lt;=64,"55–64","65+"))))</x:f>
        <x:v>45–54</x:v>
      </x:c>
      <x:c r="AK1841" s="17" t="str">
        <x:f>IF(AG1841&gt;=1000,"High Value",IF(AG1841&gt;=300,"Mid Value","Low Value"))</x:f>
        <x:v>Low Value</x:v>
      </x:c>
      <x:c r="AL1841" s="17" t="str">
        <x:f>IF(AND(AI1841&gt;=1,I1841&lt;=50),"Priority 1",IF(AND(AG1841&gt;=1000,I1841&lt;=60),"Priority 2",IF(I1841&lt;=30,"Priority 3","Nurture")))</x:f>
        <x:v>Nurture</x:v>
      </x:c>
    </x:row>
    <x:row r="1842">
      <x:c r="A1842" s="16" t="n">
        <x:v>3170</x:v>
      </x:c>
      <x:c r="B1842" s="16" t="n">
        <x:v>1957</x:v>
      </x:c>
      <x:c r="C1842" s="16" t="str">
        <x:v>Master</x:v>
      </x:c>
      <x:c r="D1842" s="16" t="str">
        <x:v>Together</x:v>
      </x:c>
      <x:c r="E1842" s="16" t="n">
        <x:v>68148</x:v>
      </x:c>
      <x:c r="F1842" s="16" t="n">
        <x:v>0</x:v>
      </x:c>
      <x:c r="G1842" s="16" t="n">
        <x:v>0</x:v>
      </x:c>
      <x:c r="H1842" s="16" t="str">
        <x:v>31-08-2013</x:v>
      </x:c>
      <x:c r="I1842" s="16" t="n">
        <x:v>86</x:v>
      </x:c>
      <x:c r="J1842" s="16" t="n">
        <x:v>389</x:v>
      </x:c>
      <x:c r="K1842" s="16" t="n">
        <x:v>66</x:v>
      </x:c>
      <x:c r="L1842" s="16" t="n">
        <x:v>408</x:v>
      </x:c>
      <x:c r="M1842" s="16" t="n">
        <x:v>37</x:v>
      </x:c>
      <x:c r="N1842" s="16" t="n">
        <x:v>57</x:v>
      </x:c>
      <x:c r="O1842" s="16" t="n">
        <x:v>85</x:v>
      </x:c>
      <x:c r="P1842" s="16" t="n">
        <x:v>1</x:v>
      </x:c>
      <x:c r="Q1842" s="16" t="n">
        <x:v>4</x:v>
      </x:c>
      <x:c r="R1842" s="16" t="n">
        <x:v>4</x:v>
      </x:c>
      <x:c r="S1842" s="16" t="n">
        <x:v>6</x:v>
      </x:c>
      <x:c r="T1842" s="16" t="n">
        <x:v>2</x:v>
      </x:c>
      <x:c r="U1842" s="16" t="n">
        <x:v>0</x:v>
      </x:c>
      <x:c r="V1842" s="16" t="n">
        <x:v>0</x:v>
      </x:c>
      <x:c r="W1842" s="16" t="n">
        <x:v>0</x:v>
      </x:c>
      <x:c r="X1842" s="16" t="n">
        <x:v>0</x:v>
      </x:c>
      <x:c r="Y1842" s="16" t="n">
        <x:v>0</x:v>
      </x:c>
      <x:c r="Z1842" s="16" t="n">
        <x:v>0</x:v>
      </x:c>
      <x:c r="AA1842" s="16" t="n">
        <x:v>3</x:v>
      </x:c>
      <x:c r="AB1842" s="16" t="n">
        <x:v>11</x:v>
      </x:c>
      <x:c r="AC1842" s="16" t="n">
        <x:v>0</x:v>
      </x:c>
      <x:c r="AD1842" s="21" t="n">
        <x:f>IF(E1842="",MEDIAN($E$2:$E$2237),E1842)</x:f>
        <x:v>68148</x:v>
      </x:c>
      <x:c r="AE1842" s="17" t="n">
        <x:f>2014-B1842</x:f>
        <x:v>57</x:v>
      </x:c>
      <x:c r="AF1842" s="17" t="n">
        <x:f>F1842+G1842</x:f>
        <x:v>0</x:v>
      </x:c>
      <x:c r="AG1842" s="21" t="n">
        <x:f>SUM(J1842:O1842)</x:f>
        <x:v>1042</x:v>
      </x:c>
      <x:c r="AH1842" s="17" t="n">
        <x:f>SUM(Q1842:S1842)</x:f>
        <x:v>14</x:v>
      </x:c>
      <x:c r="AI1842" s="17" t="n">
        <x:f>SUM(U1842:Y1842)</x:f>
        <x:v>0</x:v>
      </x:c>
      <x:c r="AJ1842" s="17" t="str">
        <x:f>IF(AE1842&lt;=34,"≤34",IF(AE1842&lt;=44,"35–44",IF(AE1842&lt;=54,"45–54",IF(AE1842&lt;=64,"55–64","65+"))))</x:f>
        <x:v>55–64</x:v>
      </x:c>
      <x:c r="AK1842" s="17" t="str">
        <x:f>IF(AG1842&gt;=1000,"High Value",IF(AG1842&gt;=300,"Mid Value","Low Value"))</x:f>
        <x:v>High Value</x:v>
      </x:c>
      <x:c r="AL1842" s="17" t="str">
        <x:f>IF(AND(AI1842&gt;=1,I1842&lt;=50),"Priority 1",IF(AND(AG1842&gt;=1000,I1842&lt;=60),"Priority 2",IF(I1842&lt;=30,"Priority 3","Nurture")))</x:f>
        <x:v>Nurture</x:v>
      </x:c>
    </x:row>
    <x:row r="1843">
      <x:c r="A1843" s="16" t="n">
        <x:v>8527</x:v>
      </x:c>
      <x:c r="B1843" s="16" t="n">
        <x:v>1965</x:v>
      </x:c>
      <x:c r="C1843" s="16" t="str">
        <x:v>Master</x:v>
      </x:c>
      <x:c r="D1843" s="16" t="str">
        <x:v>Together</x:v>
      </x:c>
      <x:c r="E1843" s="16" t="n">
        <x:v>65735</x:v>
      </x:c>
      <x:c r="F1843" s="16" t="n">
        <x:v>1</x:v>
      </x:c>
      <x:c r="G1843" s="16" t="n">
        <x:v>1</x:v>
      </x:c>
      <x:c r="H1843" s="16" t="str">
        <x:v>07-12-2013</x:v>
      </x:c>
      <x:c r="I1843" s="16" t="n">
        <x:v>37</x:v>
      </x:c>
      <x:c r="J1843" s="16" t="n">
        <x:v>239</x:v>
      </x:c>
      <x:c r="K1843" s="16" t="n">
        <x:v>7</x:v>
      </x:c>
      <x:c r="L1843" s="16" t="n">
        <x:v>119</x:v>
      </x:c>
      <x:c r="M1843" s="16" t="n">
        <x:v>4</x:v>
      </x:c>
      <x:c r="N1843" s="16" t="n">
        <x:v>15</x:v>
      </x:c>
      <x:c r="O1843" s="16" t="n">
        <x:v>11</x:v>
      </x:c>
      <x:c r="P1843" s="16" t="n">
        <x:v>5</x:v>
      </x:c>
      <x:c r="Q1843" s="16" t="n">
        <x:v>6</x:v>
      </x:c>
      <x:c r="R1843" s="16" t="n">
        <x:v>2</x:v>
      </x:c>
      <x:c r="S1843" s="16" t="n">
        <x:v>6</x:v>
      </x:c>
      <x:c r="T1843" s="16" t="n">
        <x:v>7</x:v>
      </x:c>
      <x:c r="U1843" s="16" t="n">
        <x:v>0</x:v>
      </x:c>
      <x:c r="V1843" s="16" t="n">
        <x:v>0</x:v>
      </x:c>
      <x:c r="W1843" s="16" t="n">
        <x:v>0</x:v>
      </x:c>
      <x:c r="X1843" s="16" t="n">
        <x:v>0</x:v>
      </x:c>
      <x:c r="Y1843" s="16" t="n">
        <x:v>0</x:v>
      </x:c>
      <x:c r="Z1843" s="16" t="n">
        <x:v>0</x:v>
      </x:c>
      <x:c r="AA1843" s="16" t="n">
        <x:v>3</x:v>
      </x:c>
      <x:c r="AB1843" s="16" t="n">
        <x:v>11</x:v>
      </x:c>
      <x:c r="AC1843" s="16" t="n">
        <x:v>0</x:v>
      </x:c>
      <x:c r="AD1843" s="21" t="n">
        <x:f>IF(E1843="",MEDIAN($E$2:$E$2237),E1843)</x:f>
        <x:v>65735</x:v>
      </x:c>
      <x:c r="AE1843" s="17" t="n">
        <x:f>2014-B1843</x:f>
        <x:v>49</x:v>
      </x:c>
      <x:c r="AF1843" s="17" t="n">
        <x:f>F1843+G1843</x:f>
        <x:v>2</x:v>
      </x:c>
      <x:c r="AG1843" s="21" t="n">
        <x:f>SUM(J1843:O1843)</x:f>
        <x:v>395</x:v>
      </x:c>
      <x:c r="AH1843" s="17" t="n">
        <x:f>SUM(Q1843:S1843)</x:f>
        <x:v>14</x:v>
      </x:c>
      <x:c r="AI1843" s="17" t="n">
        <x:f>SUM(U1843:Y1843)</x:f>
        <x:v>0</x:v>
      </x:c>
      <x:c r="AJ1843" s="17" t="str">
        <x:f>IF(AE1843&lt;=34,"≤34",IF(AE1843&lt;=44,"35–44",IF(AE1843&lt;=54,"45–54",IF(AE1843&lt;=64,"55–64","65+"))))</x:f>
        <x:v>45–54</x:v>
      </x:c>
      <x:c r="AK1843" s="17" t="str">
        <x:f>IF(AG1843&gt;=1000,"High Value",IF(AG1843&gt;=300,"Mid Value","Low Value"))</x:f>
        <x:v>Mid Value</x:v>
      </x:c>
      <x:c r="AL1843" s="17" t="str">
        <x:f>IF(AND(AI1843&gt;=1,I1843&lt;=50),"Priority 1",IF(AND(AG1843&gt;=1000,I1843&lt;=60),"Priority 2",IF(I1843&lt;=30,"Priority 3","Nurture")))</x:f>
        <x:v>Nurture</x:v>
      </x:c>
    </x:row>
    <x:row r="1844">
      <x:c r="A1844" s="16" t="n">
        <x:v>7872</x:v>
      </x:c>
      <x:c r="B1844" s="16" t="n">
        <x:v>1975</x:v>
      </x:c>
      <x:c r="C1844" s="16" t="str">
        <x:v>PhD</x:v>
      </x:c>
      <x:c r="D1844" s="16" t="str">
        <x:v>Married</x:v>
      </x:c>
      <x:c r="E1844" s="16" t="n">
        <x:v>86836</x:v>
      </x:c>
      <x:c r="F1844" s="16" t="n">
        <x:v>0</x:v>
      </x:c>
      <x:c r="G1844" s="16" t="n">
        <x:v>0</x:v>
      </x:c>
      <x:c r="H1844" s="16" t="str">
        <x:v>12-09-2012</x:v>
      </x:c>
      <x:c r="I1844" s="16" t="n">
        <x:v>7</x:v>
      </x:c>
      <x:c r="J1844" s="16" t="n">
        <x:v>179</x:v>
      </x:c>
      <x:c r="K1844" s="16" t="n">
        <x:v>21</x:v>
      </x:c>
      <x:c r="L1844" s="16" t="n">
        <x:v>273</x:v>
      </x:c>
      <x:c r="M1844" s="16" t="n">
        <x:v>0</x:v>
      </x:c>
      <x:c r="N1844" s="16" t="n">
        <x:v>21</x:v>
      </x:c>
      <x:c r="O1844" s="16" t="n">
        <x:v>63</x:v>
      </x:c>
      <x:c r="P1844" s="16" t="n">
        <x:v>1</x:v>
      </x:c>
      <x:c r="Q1844" s="16" t="n">
        <x:v>6</x:v>
      </x:c>
      <x:c r="R1844" s="16" t="n">
        <x:v>10</x:v>
      </x:c>
      <x:c r="S1844" s="16" t="n">
        <x:v>6</x:v>
      </x:c>
      <x:c r="T1844" s="16" t="n">
        <x:v>5</x:v>
      </x:c>
      <x:c r="U1844" s="16" t="n">
        <x:v>1</x:v>
      </x:c>
      <x:c r="V1844" s="16" t="n">
        <x:v>0</x:v>
      </x:c>
      <x:c r="W1844" s="16" t="n">
        <x:v>1</x:v>
      </x:c>
      <x:c r="X1844" s="16" t="n">
        <x:v>1</x:v>
      </x:c>
      <x:c r="Y1844" s="16" t="n">
        <x:v>0</x:v>
      </x:c>
      <x:c r="Z1844" s="16" t="n">
        <x:v>0</x:v>
      </x:c>
      <x:c r="AA1844" s="16" t="n">
        <x:v>3</x:v>
      </x:c>
      <x:c r="AB1844" s="16" t="n">
        <x:v>11</x:v>
      </x:c>
      <x:c r="AC1844" s="16" t="n">
        <x:v>1</x:v>
      </x:c>
      <x:c r="AD1844" s="21" t="n">
        <x:f>IF(E1844="",MEDIAN($E$2:$E$2237),E1844)</x:f>
        <x:v>86836</x:v>
      </x:c>
      <x:c r="AE1844" s="17" t="n">
        <x:f>2014-B1844</x:f>
        <x:v>39</x:v>
      </x:c>
      <x:c r="AF1844" s="17" t="n">
        <x:f>F1844+G1844</x:f>
        <x:v>0</x:v>
      </x:c>
      <x:c r="AG1844" s="21" t="n">
        <x:f>SUM(J1844:O1844)</x:f>
        <x:v>557</x:v>
      </x:c>
      <x:c r="AH1844" s="17" t="n">
        <x:f>SUM(Q1844:S1844)</x:f>
        <x:v>22</x:v>
      </x:c>
      <x:c r="AI1844" s="17" t="n">
        <x:f>SUM(U1844:Y1844)</x:f>
        <x:v>3</x:v>
      </x:c>
      <x:c r="AJ1844" s="17" t="str">
        <x:f>IF(AE1844&lt;=34,"≤34",IF(AE1844&lt;=44,"35–44",IF(AE1844&lt;=54,"45–54",IF(AE1844&lt;=64,"55–64","65+"))))</x:f>
        <x:v>35–44</x:v>
      </x:c>
      <x:c r="AK1844" s="17" t="str">
        <x:f>IF(AG1844&gt;=1000,"High Value",IF(AG1844&gt;=300,"Mid Value","Low Value"))</x:f>
        <x:v>Mid Value</x:v>
      </x:c>
      <x:c r="AL1844" s="17" t="str">
        <x:f>IF(AND(AI1844&gt;=1,I1844&lt;=50),"Priority 1",IF(AND(AG1844&gt;=1000,I1844&lt;=60),"Priority 2",IF(I1844&lt;=30,"Priority 3","Nurture")))</x:f>
        <x:v>Priority 1</x:v>
      </x:c>
    </x:row>
    <x:row r="1845">
      <x:c r="A1845" s="16" t="n">
        <x:v>9931</x:v>
      </x:c>
      <x:c r="B1845" s="16" t="n">
        <x:v>1963</x:v>
      </x:c>
      <x:c r="C1845" s="16" t="str">
        <x:v>PhD</x:v>
      </x:c>
      <x:c r="D1845" s="16" t="str">
        <x:v>Married</x:v>
      </x:c>
      <x:c r="E1845" s="16" t="n">
        <x:v>4023</x:v>
      </x:c>
      <x:c r="F1845" s="16" t="n">
        <x:v>1</x:v>
      </x:c>
      <x:c r="G1845" s="16" t="n">
        <x:v>1</x:v>
      </x:c>
      <x:c r="H1845" s="16" t="str">
        <x:v>23-06-2014</x:v>
      </x:c>
      <x:c r="I1845" s="16" t="n">
        <x:v>29</x:v>
      </x:c>
      <x:c r="J1845" s="16" t="n">
        <x:v>5</x:v>
      </x:c>
      <x:c r="K1845" s="16" t="n">
        <x:v>0</x:v>
      </x:c>
      <x:c r="L1845" s="16" t="n">
        <x:v>1</x:v>
      </x:c>
      <x:c r="M1845" s="16" t="n">
        <x:v>1</x:v>
      </x:c>
      <x:c r="N1845" s="16" t="n">
        <x:v>1</x:v>
      </x:c>
      <x:c r="O1845" s="16" t="n">
        <x:v>1</x:v>
      </x:c>
      <x:c r="P1845" s="16" t="n">
        <x:v>15</x:v>
      </x:c>
      <x:c r="Q1845" s="16" t="n">
        <x:v>0</x:v>
      </x:c>
      <x:c r="R1845" s="16" t="n">
        <x:v>0</x:v>
      </x:c>
      <x:c r="S1845" s="16" t="n">
        <x:v>0</x:v>
      </x:c>
      <x:c r="T1845" s="16" t="n">
        <x:v>19</x:v>
      </x:c>
      <x:c r="U1845" s="16" t="n">
        <x:v>0</x:v>
      </x:c>
      <x:c r="V1845" s="16" t="n">
        <x:v>0</x:v>
      </x:c>
      <x:c r="W1845" s="16" t="n">
        <x:v>0</x:v>
      </x:c>
      <x:c r="X1845" s="16" t="n">
        <x:v>0</x:v>
      </x:c>
      <x:c r="Y1845" s="16" t="n">
        <x:v>0</x:v>
      </x:c>
      <x:c r="Z1845" s="16" t="n">
        <x:v>0</x:v>
      </x:c>
      <x:c r="AA1845" s="16" t="n">
        <x:v>3</x:v>
      </x:c>
      <x:c r="AB1845" s="16" t="n">
        <x:v>11</x:v>
      </x:c>
      <x:c r="AC1845" s="16" t="n">
        <x:v>0</x:v>
      </x:c>
      <x:c r="AD1845" s="21" t="n">
        <x:f>IF(E1845="",MEDIAN($E$2:$E$2237),E1845)</x:f>
        <x:v>4023</x:v>
      </x:c>
      <x:c r="AE1845" s="17" t="n">
        <x:f>2014-B1845</x:f>
        <x:v>51</x:v>
      </x:c>
      <x:c r="AF1845" s="17" t="n">
        <x:f>F1845+G1845</x:f>
        <x:v>2</x:v>
      </x:c>
      <x:c r="AG1845" s="21" t="n">
        <x:f>SUM(J1845:O1845)</x:f>
        <x:v>9</x:v>
      </x:c>
      <x:c r="AH1845" s="17" t="n">
        <x:f>SUM(Q1845:S1845)</x:f>
        <x:v>0</x:v>
      </x:c>
      <x:c r="AI1845" s="17" t="n">
        <x:f>SUM(U1845:Y1845)</x:f>
        <x:v>0</x:v>
      </x:c>
      <x:c r="AJ1845" s="17" t="str">
        <x:f>IF(AE1845&lt;=34,"≤34",IF(AE1845&lt;=44,"35–44",IF(AE1845&lt;=54,"45–54",IF(AE1845&lt;=64,"55–64","65+"))))</x:f>
        <x:v>45–54</x:v>
      </x:c>
      <x:c r="AK1845" s="17" t="str">
        <x:f>IF(AG1845&gt;=1000,"High Value",IF(AG1845&gt;=300,"Mid Value","Low Value"))</x:f>
        <x:v>Low Value</x:v>
      </x:c>
      <x:c r="AL1845" s="17" t="str">
        <x:f>IF(AND(AI1845&gt;=1,I1845&lt;=50),"Priority 1",IF(AND(AG1845&gt;=1000,I1845&lt;=60),"Priority 2",IF(I1845&lt;=30,"Priority 3","Nurture")))</x:f>
        <x:v>Priority 3</x:v>
      </x:c>
    </x:row>
    <x:row r="1846">
      <x:c r="A1846" s="16" t="n">
        <x:v>10595</x:v>
      </x:c>
      <x:c r="B1846" s="16" t="n">
        <x:v>1990</x:v>
      </x:c>
      <x:c r="C1846" s="16" t="str">
        <x:v>Graduation</x:v>
      </x:c>
      <x:c r="D1846" s="16" t="str">
        <x:v>Married</x:v>
      </x:c>
      <x:c r="E1846" s="16" t="n">
        <x:v>30093</x:v>
      </x:c>
      <x:c r="F1846" s="16" t="n">
        <x:v>0</x:v>
      </x:c>
      <x:c r="G1846" s="16" t="n">
        <x:v>0</x:v>
      </x:c>
      <x:c r="H1846" s="16" t="str">
        <x:v>08-07-2013</x:v>
      </x:c>
      <x:c r="I1846" s="16" t="n">
        <x:v>19</x:v>
      </x:c>
      <x:c r="J1846" s="16" t="n">
        <x:v>2</x:v>
      </x:c>
      <x:c r="K1846" s="16" t="n">
        <x:v>6</x:v>
      </x:c>
      <x:c r="L1846" s="16" t="n">
        <x:v>28</x:v>
      </x:c>
      <x:c r="M1846" s="16" t="n">
        <x:v>13</x:v>
      </x:c>
      <x:c r="N1846" s="16" t="n">
        <x:v>4</x:v>
      </x:c>
      <x:c r="O1846" s="16" t="n">
        <x:v>16</x:v>
      </x:c>
      <x:c r="P1846" s="16" t="n">
        <x:v>1</x:v>
      </x:c>
      <x:c r="Q1846" s="16" t="n">
        <x:v>2</x:v>
      </x:c>
      <x:c r="R1846" s="16" t="n">
        <x:v>0</x:v>
      </x:c>
      <x:c r="S1846" s="16" t="n">
        <x:v>3</x:v>
      </x:c>
      <x:c r="T1846" s="16" t="n">
        <x:v>7</x:v>
      </x:c>
      <x:c r="U1846" s="16" t="n">
        <x:v>0</x:v>
      </x:c>
      <x:c r="V1846" s="16" t="n">
        <x:v>0</x:v>
      </x:c>
      <x:c r="W1846" s="16" t="n">
        <x:v>0</x:v>
      </x:c>
      <x:c r="X1846" s="16" t="n">
        <x:v>0</x:v>
      </x:c>
      <x:c r="Y1846" s="16" t="n">
        <x:v>0</x:v>
      </x:c>
      <x:c r="Z1846" s="16" t="n">
        <x:v>0</x:v>
      </x:c>
      <x:c r="AA1846" s="16" t="n">
        <x:v>3</x:v>
      </x:c>
      <x:c r="AB1846" s="16" t="n">
        <x:v>11</x:v>
      </x:c>
      <x:c r="AC1846" s="16" t="n">
        <x:v>0</x:v>
      </x:c>
      <x:c r="AD1846" s="21" t="n">
        <x:f>IF(E1846="",MEDIAN($E$2:$E$2237),E1846)</x:f>
        <x:v>30093</x:v>
      </x:c>
      <x:c r="AE1846" s="17" t="n">
        <x:f>2014-B1846</x:f>
        <x:v>24</x:v>
      </x:c>
      <x:c r="AF1846" s="17" t="n">
        <x:f>F1846+G1846</x:f>
        <x:v>0</x:v>
      </x:c>
      <x:c r="AG1846" s="21" t="n">
        <x:f>SUM(J1846:O1846)</x:f>
        <x:v>69</x:v>
      </x:c>
      <x:c r="AH1846" s="17" t="n">
        <x:f>SUM(Q1846:S1846)</x:f>
        <x:v>5</x:v>
      </x:c>
      <x:c r="AI1846" s="17" t="n">
        <x:f>SUM(U1846:Y1846)</x:f>
        <x:v>0</x:v>
      </x:c>
      <x:c r="AJ1846" s="17" t="str">
        <x:f>IF(AE1846&lt;=34,"≤34",IF(AE1846&lt;=44,"35–44",IF(AE1846&lt;=54,"45–54",IF(AE1846&lt;=64,"55–64","65+"))))</x:f>
        <x:v>≤34</x:v>
      </x:c>
      <x:c r="AK1846" s="17" t="str">
        <x:f>IF(AG1846&gt;=1000,"High Value",IF(AG1846&gt;=300,"Mid Value","Low Value"))</x:f>
        <x:v>Low Value</x:v>
      </x:c>
      <x:c r="AL1846" s="17" t="str">
        <x:f>IF(AND(AI1846&gt;=1,I1846&lt;=50),"Priority 1",IF(AND(AG1846&gt;=1000,I1846&lt;=60),"Priority 2",IF(I1846&lt;=30,"Priority 3","Nurture")))</x:f>
        <x:v>Priority 3</x:v>
      </x:c>
    </x:row>
    <x:row r="1847">
      <x:c r="A1847" s="16" t="n">
        <x:v>4609</x:v>
      </x:c>
      <x:c r="B1847" s="16" t="n">
        <x:v>1966</x:v>
      </x:c>
      <x:c r="C1847" s="16" t="str">
        <x:v>PhD</x:v>
      </x:c>
      <x:c r="D1847" s="16" t="str">
        <x:v>Married</x:v>
      </x:c>
      <x:c r="E1847" s="16" t="n">
        <x:v>57705</x:v>
      </x:c>
      <x:c r="F1847" s="16" t="n">
        <x:v>0</x:v>
      </x:c>
      <x:c r="G1847" s="16" t="n">
        <x:v>1</x:v>
      </x:c>
      <x:c r="H1847" s="16" t="str">
        <x:v>11-01-2014</x:v>
      </x:c>
      <x:c r="I1847" s="16" t="n">
        <x:v>14</x:v>
      </x:c>
      <x:c r="J1847" s="16" t="n">
        <x:v>383</x:v>
      </x:c>
      <x:c r="K1847" s="16" t="n">
        <x:v>0</x:v>
      </x:c>
      <x:c r="L1847" s="16" t="n">
        <x:v>53</x:v>
      </x:c>
      <x:c r="M1847" s="16" t="n">
        <x:v>6</x:v>
      </x:c>
      <x:c r="N1847" s="16" t="n">
        <x:v>4</x:v>
      </x:c>
      <x:c r="O1847" s="16" t="n">
        <x:v>40</x:v>
      </x:c>
      <x:c r="P1847" s="16" t="n">
        <x:v>3</x:v>
      </x:c>
      <x:c r="Q1847" s="16" t="n">
        <x:v>8</x:v>
      </x:c>
      <x:c r="R1847" s="16" t="n">
        <x:v>1</x:v>
      </x:c>
      <x:c r="S1847" s="16" t="n">
        <x:v>6</x:v>
      </x:c>
      <x:c r="T1847" s="16" t="n">
        <x:v>6</x:v>
      </x:c>
      <x:c r="U1847" s="16" t="n">
        <x:v>0</x:v>
      </x:c>
      <x:c r="V1847" s="16" t="n">
        <x:v>0</x:v>
      </x:c>
      <x:c r="W1847" s="16" t="n">
        <x:v>0</x:v>
      </x:c>
      <x:c r="X1847" s="16" t="n">
        <x:v>0</x:v>
      </x:c>
      <x:c r="Y1847" s="16" t="n">
        <x:v>0</x:v>
      </x:c>
      <x:c r="Z1847" s="16" t="n">
        <x:v>0</x:v>
      </x:c>
      <x:c r="AA1847" s="16" t="n">
        <x:v>3</x:v>
      </x:c>
      <x:c r="AB1847" s="16" t="n">
        <x:v>11</x:v>
      </x:c>
      <x:c r="AC1847" s="16" t="n">
        <x:v>0</x:v>
      </x:c>
      <x:c r="AD1847" s="21" t="n">
        <x:f>IF(E1847="",MEDIAN($E$2:$E$2237),E1847)</x:f>
        <x:v>57705</x:v>
      </x:c>
      <x:c r="AE1847" s="17" t="n">
        <x:f>2014-B1847</x:f>
        <x:v>48</x:v>
      </x:c>
      <x:c r="AF1847" s="17" t="n">
        <x:f>F1847+G1847</x:f>
        <x:v>1</x:v>
      </x:c>
      <x:c r="AG1847" s="21" t="n">
        <x:f>SUM(J1847:O1847)</x:f>
        <x:v>486</x:v>
      </x:c>
      <x:c r="AH1847" s="17" t="n">
        <x:f>SUM(Q1847:S1847)</x:f>
        <x:v>15</x:v>
      </x:c>
      <x:c r="AI1847" s="17" t="n">
        <x:f>SUM(U1847:Y1847)</x:f>
        <x:v>0</x:v>
      </x:c>
      <x:c r="AJ1847" s="17" t="str">
        <x:f>IF(AE1847&lt;=34,"≤34",IF(AE1847&lt;=44,"35–44",IF(AE1847&lt;=54,"45–54",IF(AE1847&lt;=64,"55–64","65+"))))</x:f>
        <x:v>45–54</x:v>
      </x:c>
      <x:c r="AK1847" s="17" t="str">
        <x:f>IF(AG1847&gt;=1000,"High Value",IF(AG1847&gt;=300,"Mid Value","Low Value"))</x:f>
        <x:v>Mid Value</x:v>
      </x:c>
      <x:c r="AL1847" s="17" t="str">
        <x:f>IF(AND(AI1847&gt;=1,I1847&lt;=50),"Priority 1",IF(AND(AG1847&gt;=1000,I1847&lt;=60),"Priority 2",IF(I1847&lt;=30,"Priority 3","Nurture")))</x:f>
        <x:v>Priority 3</x:v>
      </x:c>
    </x:row>
    <x:row r="1848">
      <x:c r="A1848" s="16" t="n">
        <x:v>5010</x:v>
      </x:c>
      <x:c r="B1848" s="16" t="n">
        <x:v>1988</x:v>
      </x:c>
      <x:c r="C1848" s="16" t="str">
        <x:v>Graduation</x:v>
      </x:c>
      <x:c r="D1848" s="16" t="str">
        <x:v>Single</x:v>
      </x:c>
      <x:c r="E1848" s="16" t="n">
        <x:v>25008</x:v>
      </x:c>
      <x:c r="F1848" s="16" t="n">
        <x:v>1</x:v>
      </x:c>
      <x:c r="G1848" s="16" t="n">
        <x:v>0</x:v>
      </x:c>
      <x:c r="H1848" s="16" t="str">
        <x:v>02-02-2014</x:v>
      </x:c>
      <x:c r="I1848" s="16" t="n">
        <x:v>72</x:v>
      </x:c>
      <x:c r="J1848" s="16" t="n">
        <x:v>2</x:v>
      </x:c>
      <x:c r="K1848" s="16" t="n">
        <x:v>8</x:v>
      </x:c>
      <x:c r="L1848" s="16" t="n">
        <x:v>8</x:v>
      </x:c>
      <x:c r="M1848" s="16" t="n">
        <x:v>6</x:v>
      </x:c>
      <x:c r="N1848" s="16" t="n">
        <x:v>1</x:v>
      </x:c>
      <x:c r="O1848" s="16" t="n">
        <x:v>9</x:v>
      </x:c>
      <x:c r="P1848" s="16" t="n">
        <x:v>2</x:v>
      </x:c>
      <x:c r="Q1848" s="16" t="n">
        <x:v>1</x:v>
      </x:c>
      <x:c r="R1848" s="16" t="n">
        <x:v>0</x:v>
      </x:c>
      <x:c r="S1848" s="16" t="n">
        <x:v>3</x:v>
      </x:c>
      <x:c r="T1848" s="16" t="n">
        <x:v>8</x:v>
      </x:c>
      <x:c r="U1848" s="16" t="n">
        <x:v>0</x:v>
      </x:c>
      <x:c r="V1848" s="16" t="n">
        <x:v>0</x:v>
      </x:c>
      <x:c r="W1848" s="16" t="n">
        <x:v>0</x:v>
      </x:c>
      <x:c r="X1848" s="16" t="n">
        <x:v>0</x:v>
      </x:c>
      <x:c r="Y1848" s="16" t="n">
        <x:v>0</x:v>
      </x:c>
      <x:c r="Z1848" s="16" t="n">
        <x:v>0</x:v>
      </x:c>
      <x:c r="AA1848" s="16" t="n">
        <x:v>3</x:v>
      </x:c>
      <x:c r="AB1848" s="16" t="n">
        <x:v>11</x:v>
      </x:c>
      <x:c r="AC1848" s="16" t="n">
        <x:v>0</x:v>
      </x:c>
      <x:c r="AD1848" s="21" t="n">
        <x:f>IF(E1848="",MEDIAN($E$2:$E$2237),E1848)</x:f>
        <x:v>25008</x:v>
      </x:c>
      <x:c r="AE1848" s="17" t="n">
        <x:f>2014-B1848</x:f>
        <x:v>26</x:v>
      </x:c>
      <x:c r="AF1848" s="17" t="n">
        <x:f>F1848+G1848</x:f>
        <x:v>1</x:v>
      </x:c>
      <x:c r="AG1848" s="21" t="n">
        <x:f>SUM(J1848:O1848)</x:f>
        <x:v>34</x:v>
      </x:c>
      <x:c r="AH1848" s="17" t="n">
        <x:f>SUM(Q1848:S1848)</x:f>
        <x:v>4</x:v>
      </x:c>
      <x:c r="AI1848" s="17" t="n">
        <x:f>SUM(U1848:Y1848)</x:f>
        <x:v>0</x:v>
      </x:c>
      <x:c r="AJ1848" s="17" t="str">
        <x:f>IF(AE1848&lt;=34,"≤34",IF(AE1848&lt;=44,"35–44",IF(AE1848&lt;=54,"45–54",IF(AE1848&lt;=64,"55–64","65+"))))</x:f>
        <x:v>≤34</x:v>
      </x:c>
      <x:c r="AK1848" s="17" t="str">
        <x:f>IF(AG1848&gt;=1000,"High Value",IF(AG1848&gt;=300,"Mid Value","Low Value"))</x:f>
        <x:v>Low Value</x:v>
      </x:c>
      <x:c r="AL1848" s="17" t="str">
        <x:f>IF(AND(AI1848&gt;=1,I1848&lt;=50),"Priority 1",IF(AND(AG1848&gt;=1000,I1848&lt;=60),"Priority 2",IF(I1848&lt;=30,"Priority 3","Nurture")))</x:f>
        <x:v>Nurture</x:v>
      </x:c>
    </x:row>
    <x:row r="1849">
      <x:c r="A1849" s="16" t="n">
        <x:v>4427</x:v>
      </x:c>
      <x:c r="B1849" s="16" t="n">
        <x:v>1995</x:v>
      </x:c>
      <x:c r="C1849" s="16" t="str">
        <x:v>2n Cycle</x:v>
      </x:c>
      <x:c r="D1849" s="16" t="str">
        <x:v>Single</x:v>
      </x:c>
      <x:c r="E1849" s="16" t="n">
        <x:v>83257</x:v>
      </x:c>
      <x:c r="F1849" s="16" t="n">
        <x:v>0</x:v>
      </x:c>
      <x:c r="G1849" s="16" t="n">
        <x:v>0</x:v>
      </x:c>
      <x:c r="H1849" s="16" t="str">
        <x:v>18-09-2012</x:v>
      </x:c>
      <x:c r="I1849" s="16" t="n">
        <x:v>56</x:v>
      </x:c>
      <x:c r="J1849" s="16" t="n">
        <x:v>536</x:v>
      </x:c>
      <x:c r="K1849" s="16" t="n">
        <x:v>27</x:v>
      </x:c>
      <x:c r="L1849" s="16" t="n">
        <x:v>590</x:v>
      </x:c>
      <x:c r="M1849" s="16" t="n">
        <x:v>38</x:v>
      </x:c>
      <x:c r="N1849" s="16" t="n">
        <x:v>107</x:v>
      </x:c>
      <x:c r="O1849" s="16" t="n">
        <x:v>67</x:v>
      </x:c>
      <x:c r="P1849" s="16" t="n">
        <x:v>1</x:v>
      </x:c>
      <x:c r="Q1849" s="16" t="n">
        <x:v>5</x:v>
      </x:c>
      <x:c r="R1849" s="16" t="n">
        <x:v>10</x:v>
      </x:c>
      <x:c r="S1849" s="16" t="n">
        <x:v>12</x:v>
      </x:c>
      <x:c r="T1849" s="16" t="n">
        <x:v>6</x:v>
      </x:c>
      <x:c r="U1849" s="16" t="n">
        <x:v>1</x:v>
      </x:c>
      <x:c r="V1849" s="16" t="n">
        <x:v>0</x:v>
      </x:c>
      <x:c r="W1849" s="16" t="n">
        <x:v>1</x:v>
      </x:c>
      <x:c r="X1849" s="16" t="n">
        <x:v>0</x:v>
      </x:c>
      <x:c r="Y1849" s="16" t="n">
        <x:v>0</x:v>
      </x:c>
      <x:c r="Z1849" s="16" t="n">
        <x:v>1</x:v>
      </x:c>
      <x:c r="AA1849" s="16" t="n">
        <x:v>3</x:v>
      </x:c>
      <x:c r="AB1849" s="16" t="n">
        <x:v>11</x:v>
      </x:c>
      <x:c r="AC1849" s="16" t="n">
        <x:v>1</x:v>
      </x:c>
      <x:c r="AD1849" s="21" t="n">
        <x:f>IF(E1849="",MEDIAN($E$2:$E$2237),E1849)</x:f>
        <x:v>83257</x:v>
      </x:c>
      <x:c r="AE1849" s="17" t="n">
        <x:f>2014-B1849</x:f>
        <x:v>19</x:v>
      </x:c>
      <x:c r="AF1849" s="17" t="n">
        <x:f>F1849+G1849</x:f>
        <x:v>0</x:v>
      </x:c>
      <x:c r="AG1849" s="21" t="n">
        <x:f>SUM(J1849:O1849)</x:f>
        <x:v>1365</x:v>
      </x:c>
      <x:c r="AH1849" s="17" t="n">
        <x:f>SUM(Q1849:S1849)</x:f>
        <x:v>27</x:v>
      </x:c>
      <x:c r="AI1849" s="17" t="n">
        <x:f>SUM(U1849:Y1849)</x:f>
        <x:v>2</x:v>
      </x:c>
      <x:c r="AJ1849" s="17" t="str">
        <x:f>IF(AE1849&lt;=34,"≤34",IF(AE1849&lt;=44,"35–44",IF(AE1849&lt;=54,"45–54",IF(AE1849&lt;=64,"55–64","65+"))))</x:f>
        <x:v>≤34</x:v>
      </x:c>
      <x:c r="AK1849" s="17" t="str">
        <x:f>IF(AG1849&gt;=1000,"High Value",IF(AG1849&gt;=300,"Mid Value","Low Value"))</x:f>
        <x:v>High Value</x:v>
      </x:c>
      <x:c r="AL1849" s="17" t="str">
        <x:f>IF(AND(AI1849&gt;=1,I1849&lt;=50),"Priority 1",IF(AND(AG1849&gt;=1000,I1849&lt;=60),"Priority 2",IF(I1849&lt;=30,"Priority 3","Nurture")))</x:f>
        <x:v>Priority 2</x:v>
      </x:c>
    </x:row>
    <x:row r="1850">
      <x:c r="A1850" s="16" t="n">
        <x:v>11148</x:v>
      </x:c>
      <x:c r="B1850" s="16" t="n">
        <x:v>1975</x:v>
      </x:c>
      <x:c r="C1850" s="16" t="str">
        <x:v>Graduation</x:v>
      </x:c>
      <x:c r="D1850" s="16" t="str">
        <x:v>Together</x:v>
      </x:c>
      <x:c r="E1850" s="16" t="n">
        <x:v>22280</x:v>
      </x:c>
      <x:c r="F1850" s="16" t="n">
        <x:v>1</x:v>
      </x:c>
      <x:c r="G1850" s="16" t="n">
        <x:v>0</x:v>
      </x:c>
      <x:c r="H1850" s="16" t="str">
        <x:v>19-05-2013</x:v>
      </x:c>
      <x:c r="I1850" s="16" t="n">
        <x:v>85</x:v>
      </x:c>
      <x:c r="J1850" s="16" t="n">
        <x:v>2</x:v>
      </x:c>
      <x:c r="K1850" s="16" t="n">
        <x:v>1</x:v>
      </x:c>
      <x:c r="L1850" s="16" t="n">
        <x:v>4</x:v>
      </x:c>
      <x:c r="M1850" s="16" t="n">
        <x:v>3</x:v>
      </x:c>
      <x:c r="N1850" s="16" t="n">
        <x:v>1</x:v>
      </x:c>
      <x:c r="O1850" s="16" t="n">
        <x:v>2</x:v>
      </x:c>
      <x:c r="P1850" s="16" t="n">
        <x:v>1</x:v>
      </x:c>
      <x:c r="Q1850" s="16" t="n">
        <x:v>1</x:v>
      </x:c>
      <x:c r="R1850" s="16" t="n">
        <x:v>0</x:v>
      </x:c>
      <x:c r="S1850" s="16" t="n">
        <x:v>2</x:v>
      </x:c>
      <x:c r="T1850" s="16" t="n">
        <x:v>8</x:v>
      </x:c>
      <x:c r="U1850" s="16" t="n">
        <x:v>0</x:v>
      </x:c>
      <x:c r="V1850" s="16" t="n">
        <x:v>0</x:v>
      </x:c>
      <x:c r="W1850" s="16" t="n">
        <x:v>0</x:v>
      </x:c>
      <x:c r="X1850" s="16" t="n">
        <x:v>0</x:v>
      </x:c>
      <x:c r="Y1850" s="16" t="n">
        <x:v>0</x:v>
      </x:c>
      <x:c r="Z1850" s="16" t="n">
        <x:v>0</x:v>
      </x:c>
      <x:c r="AA1850" s="16" t="n">
        <x:v>3</x:v>
      </x:c>
      <x:c r="AB1850" s="16" t="n">
        <x:v>11</x:v>
      </x:c>
      <x:c r="AC1850" s="16" t="n">
        <x:v>0</x:v>
      </x:c>
      <x:c r="AD1850" s="21" t="n">
        <x:f>IF(E1850="",MEDIAN($E$2:$E$2237),E1850)</x:f>
        <x:v>22280</x:v>
      </x:c>
      <x:c r="AE1850" s="17" t="n">
        <x:f>2014-B1850</x:f>
        <x:v>39</x:v>
      </x:c>
      <x:c r="AF1850" s="17" t="n">
        <x:f>F1850+G1850</x:f>
        <x:v>1</x:v>
      </x:c>
      <x:c r="AG1850" s="21" t="n">
        <x:f>SUM(J1850:O1850)</x:f>
        <x:v>13</x:v>
      </x:c>
      <x:c r="AH1850" s="17" t="n">
        <x:f>SUM(Q1850:S1850)</x:f>
        <x:v>3</x:v>
      </x:c>
      <x:c r="AI1850" s="17" t="n">
        <x:f>SUM(U1850:Y1850)</x:f>
        <x:v>0</x:v>
      </x:c>
      <x:c r="AJ1850" s="17" t="str">
        <x:f>IF(AE1850&lt;=34,"≤34",IF(AE1850&lt;=44,"35–44",IF(AE1850&lt;=54,"45–54",IF(AE1850&lt;=64,"55–64","65+"))))</x:f>
        <x:v>35–44</x:v>
      </x:c>
      <x:c r="AK1850" s="17" t="str">
        <x:f>IF(AG1850&gt;=1000,"High Value",IF(AG1850&gt;=300,"Mid Value","Low Value"))</x:f>
        <x:v>Low Value</x:v>
      </x:c>
      <x:c r="AL1850" s="17" t="str">
        <x:f>IF(AND(AI1850&gt;=1,I1850&lt;=50),"Priority 1",IF(AND(AG1850&gt;=1000,I1850&lt;=60),"Priority 2",IF(I1850&lt;=30,"Priority 3","Nurture")))</x:f>
        <x:v>Nurture</x:v>
      </x:c>
    </x:row>
    <x:row r="1851">
      <x:c r="A1851" s="16" t="n">
        <x:v>1168</x:v>
      </x:c>
      <x:c r="B1851" s="16" t="n">
        <x:v>1978</x:v>
      </x:c>
      <x:c r="C1851" s="16" t="str">
        <x:v>PhD</x:v>
      </x:c>
      <x:c r="D1851" s="16" t="str">
        <x:v>Married</x:v>
      </x:c>
      <x:c r="E1851" s="16" t="n">
        <x:v>72159</x:v>
      </x:c>
      <x:c r="F1851" s="16" t="n">
        <x:v>0</x:v>
      </x:c>
      <x:c r="G1851" s="16" t="n">
        <x:v>0</x:v>
      </x:c>
      <x:c r="H1851" s="16" t="str">
        <x:v>29-10-2012</x:v>
      </x:c>
      <x:c r="I1851" s="16" t="n">
        <x:v>62</x:v>
      </x:c>
      <x:c r="J1851" s="16" t="n">
        <x:v>322</x:v>
      </x:c>
      <x:c r="K1851" s="16" t="n">
        <x:v>53</x:v>
      </x:c>
      <x:c r="L1851" s="16" t="n">
        <x:v>899</x:v>
      </x:c>
      <x:c r="M1851" s="16" t="n">
        <x:v>34</x:v>
      </x:c>
      <x:c r="N1851" s="16" t="n">
        <x:v>40</x:v>
      </x:c>
      <x:c r="O1851" s="16" t="n">
        <x:v>53</x:v>
      </x:c>
      <x:c r="P1851" s="16" t="n">
        <x:v>1</x:v>
      </x:c>
      <x:c r="Q1851" s="16" t="n">
        <x:v>4</x:v>
      </x:c>
      <x:c r="R1851" s="16" t="n">
        <x:v>6</x:v>
      </x:c>
      <x:c r="S1851" s="16" t="n">
        <x:v>10</x:v>
      </x:c>
      <x:c r="T1851" s="16" t="n">
        <x:v>2</x:v>
      </x:c>
      <x:c r="U1851" s="16" t="n">
        <x:v>0</x:v>
      </x:c>
      <x:c r="V1851" s="16" t="n">
        <x:v>0</x:v>
      </x:c>
      <x:c r="W1851" s="16" t="n">
        <x:v>0</x:v>
      </x:c>
      <x:c r="X1851" s="16" t="n">
        <x:v>0</x:v>
      </x:c>
      <x:c r="Y1851" s="16" t="n">
        <x:v>0</x:v>
      </x:c>
      <x:c r="Z1851" s="16" t="n">
        <x:v>0</x:v>
      </x:c>
      <x:c r="AA1851" s="16" t="n">
        <x:v>3</x:v>
      </x:c>
      <x:c r="AB1851" s="16" t="n">
        <x:v>11</x:v>
      </x:c>
      <x:c r="AC1851" s="16" t="n">
        <x:v>0</x:v>
      </x:c>
      <x:c r="AD1851" s="21" t="n">
        <x:f>IF(E1851="",MEDIAN($E$2:$E$2237),E1851)</x:f>
        <x:v>72159</x:v>
      </x:c>
      <x:c r="AE1851" s="17" t="n">
        <x:f>2014-B1851</x:f>
        <x:v>36</x:v>
      </x:c>
      <x:c r="AF1851" s="17" t="n">
        <x:f>F1851+G1851</x:f>
        <x:v>0</x:v>
      </x:c>
      <x:c r="AG1851" s="21" t="n">
        <x:f>SUM(J1851:O1851)</x:f>
        <x:v>1401</x:v>
      </x:c>
      <x:c r="AH1851" s="17" t="n">
        <x:f>SUM(Q1851:S1851)</x:f>
        <x:v>20</x:v>
      </x:c>
      <x:c r="AI1851" s="17" t="n">
        <x:f>SUM(U1851:Y1851)</x:f>
        <x:v>0</x:v>
      </x:c>
      <x:c r="AJ1851" s="17" t="str">
        <x:f>IF(AE1851&lt;=34,"≤34",IF(AE1851&lt;=44,"35–44",IF(AE1851&lt;=54,"45–54",IF(AE1851&lt;=64,"55–64","65+"))))</x:f>
        <x:v>35–44</x:v>
      </x:c>
      <x:c r="AK1851" s="17" t="str">
        <x:f>IF(AG1851&gt;=1000,"High Value",IF(AG1851&gt;=300,"Mid Value","Low Value"))</x:f>
        <x:v>High Value</x:v>
      </x:c>
      <x:c r="AL1851" s="17" t="str">
        <x:f>IF(AND(AI1851&gt;=1,I1851&lt;=50),"Priority 1",IF(AND(AG1851&gt;=1000,I1851&lt;=60),"Priority 2",IF(I1851&lt;=30,"Priority 3","Nurture")))</x:f>
        <x:v>Nurture</x:v>
      </x:c>
    </x:row>
    <x:row r="1852">
      <x:c r="A1852" s="16" t="n">
        <x:v>9595</x:v>
      </x:c>
      <x:c r="B1852" s="16" t="n">
        <x:v>1961</x:v>
      </x:c>
      <x:c r="C1852" s="16" t="str">
        <x:v>Graduation</x:v>
      </x:c>
      <x:c r="D1852" s="16" t="str">
        <x:v>Together</x:v>
      </x:c>
      <x:c r="E1852" s="16" t="n">
        <x:v>64260</x:v>
      </x:c>
      <x:c r="F1852" s="16" t="n">
        <x:v>0</x:v>
      </x:c>
      <x:c r="G1852" s="16" t="n">
        <x:v>0</x:v>
      </x:c>
      <x:c r="H1852" s="16" t="str">
        <x:v>11-01-2013</x:v>
      </x:c>
      <x:c r="I1852" s="16" t="n">
        <x:v>1</x:v>
      </x:c>
      <x:c r="J1852" s="16" t="n">
        <x:v>539</x:v>
      </x:c>
      <x:c r="K1852" s="16" t="n">
        <x:v>169</x:v>
      </x:c>
      <x:c r="L1852" s="16" t="n">
        <x:v>816</x:v>
      </x:c>
      <x:c r="M1852" s="16" t="n">
        <x:v>20</x:v>
      </x:c>
      <x:c r="N1852" s="16" t="n">
        <x:v>0</x:v>
      </x:c>
      <x:c r="O1852" s="16" t="n">
        <x:v>30</x:v>
      </x:c>
      <x:c r="P1852" s="16" t="n">
        <x:v>1</x:v>
      </x:c>
      <x:c r="Q1852" s="16" t="n">
        <x:v>4</x:v>
      </x:c>
      <x:c r="R1852" s="16" t="n">
        <x:v>5</x:v>
      </x:c>
      <x:c r="S1852" s="16" t="n">
        <x:v>4</x:v>
      </x:c>
      <x:c r="T1852" s="16" t="n">
        <x:v>3</x:v>
      </x:c>
      <x:c r="U1852" s="16" t="n">
        <x:v>0</x:v>
      </x:c>
      <x:c r="V1852" s="16" t="n">
        <x:v>0</x:v>
      </x:c>
      <x:c r="W1852" s="16" t="n">
        <x:v>0</x:v>
      </x:c>
      <x:c r="X1852" s="16" t="n">
        <x:v>0</x:v>
      </x:c>
      <x:c r="Y1852" s="16" t="n">
        <x:v>0</x:v>
      </x:c>
      <x:c r="Z1852" s="16" t="n">
        <x:v>0</x:v>
      </x:c>
      <x:c r="AA1852" s="16" t="n">
        <x:v>3</x:v>
      </x:c>
      <x:c r="AB1852" s="16" t="n">
        <x:v>11</x:v>
      </x:c>
      <x:c r="AC1852" s="16" t="n">
        <x:v>1</x:v>
      </x:c>
      <x:c r="AD1852" s="21" t="n">
        <x:f>IF(E1852="",MEDIAN($E$2:$E$2237),E1852)</x:f>
        <x:v>64260</x:v>
      </x:c>
      <x:c r="AE1852" s="17" t="n">
        <x:f>2014-B1852</x:f>
        <x:v>53</x:v>
      </x:c>
      <x:c r="AF1852" s="17" t="n">
        <x:f>F1852+G1852</x:f>
        <x:v>0</x:v>
      </x:c>
      <x:c r="AG1852" s="21" t="n">
        <x:f>SUM(J1852:O1852)</x:f>
        <x:v>1574</x:v>
      </x:c>
      <x:c r="AH1852" s="17" t="n">
        <x:f>SUM(Q1852:S1852)</x:f>
        <x:v>13</x:v>
      </x:c>
      <x:c r="AI1852" s="17" t="n">
        <x:f>SUM(U1852:Y1852)</x:f>
        <x:v>0</x:v>
      </x:c>
      <x:c r="AJ1852" s="17" t="str">
        <x:f>IF(AE1852&lt;=34,"≤34",IF(AE1852&lt;=44,"35–44",IF(AE1852&lt;=54,"45–54",IF(AE1852&lt;=64,"55–64","65+"))))</x:f>
        <x:v>45–54</x:v>
      </x:c>
      <x:c r="AK1852" s="17" t="str">
        <x:f>IF(AG1852&gt;=1000,"High Value",IF(AG1852&gt;=300,"Mid Value","Low Value"))</x:f>
        <x:v>High Value</x:v>
      </x:c>
      <x:c r="AL1852" s="17" t="str">
        <x:f>IF(AND(AI1852&gt;=1,I1852&lt;=50),"Priority 1",IF(AND(AG1852&gt;=1000,I1852&lt;=60),"Priority 2",IF(I1852&lt;=30,"Priority 3","Nurture")))</x:f>
        <x:v>Priority 2</x:v>
      </x:c>
    </x:row>
    <x:row r="1853">
      <x:c r="A1853" s="16" t="n">
        <x:v>10163</x:v>
      </x:c>
      <x:c r="B1853" s="16" t="n">
        <x:v>1984</x:v>
      </x:c>
      <x:c r="C1853" s="16" t="str">
        <x:v>PhD</x:v>
      </x:c>
      <x:c r="D1853" s="16" t="str">
        <x:v>Single</x:v>
      </x:c>
      <x:c r="E1853" s="16" t="n">
        <x:v>82733</x:v>
      </x:c>
      <x:c r="F1853" s="16" t="n">
        <x:v>0</x:v>
      </x:c>
      <x:c r="G1853" s="16" t="n">
        <x:v>0</x:v>
      </x:c>
      <x:c r="H1853" s="16" t="str">
        <x:v>10-09-2013</x:v>
      </x:c>
      <x:c r="I1853" s="16" t="n">
        <x:v>28</x:v>
      </x:c>
      <x:c r="J1853" s="16" t="n">
        <x:v>712</x:v>
      </x:c>
      <x:c r="K1853" s="16" t="n">
        <x:v>50</x:v>
      </x:c>
      <x:c r="L1853" s="16" t="n">
        <x:v>420</x:v>
      </x:c>
      <x:c r="M1853" s="16" t="n">
        <x:v>65</x:v>
      </x:c>
      <x:c r="N1853" s="16" t="n">
        <x:v>38</x:v>
      </x:c>
      <x:c r="O1853" s="16" t="n">
        <x:v>38</x:v>
      </x:c>
      <x:c r="P1853" s="16" t="n">
        <x:v>1</x:v>
      </x:c>
      <x:c r="Q1853" s="16" t="n">
        <x:v>8</x:v>
      </x:c>
      <x:c r="R1853" s="16" t="n">
        <x:v>4</x:v>
      </x:c>
      <x:c r="S1853" s="16" t="n">
        <x:v>7</x:v>
      </x:c>
      <x:c r="T1853" s="16" t="n">
        <x:v>4</x:v>
      </x:c>
      <x:c r="U1853" s="16" t="n">
        <x:v>0</x:v>
      </x:c>
      <x:c r="V1853" s="16" t="n">
        <x:v>0</x:v>
      </x:c>
      <x:c r="W1853" s="16" t="n">
        <x:v>0</x:v>
      </x:c>
      <x:c r="X1853" s="16" t="n">
        <x:v>0</x:v>
      </x:c>
      <x:c r="Y1853" s="16" t="n">
        <x:v>0</x:v>
      </x:c>
      <x:c r="Z1853" s="16" t="n">
        <x:v>0</x:v>
      </x:c>
      <x:c r="AA1853" s="16" t="n">
        <x:v>3</x:v>
      </x:c>
      <x:c r="AB1853" s="16" t="n">
        <x:v>11</x:v>
      </x:c>
      <x:c r="AC1853" s="16" t="n">
        <x:v>1</x:v>
      </x:c>
      <x:c r="AD1853" s="21" t="n">
        <x:f>IF(E1853="",MEDIAN($E$2:$E$2237),E1853)</x:f>
        <x:v>82733</x:v>
      </x:c>
      <x:c r="AE1853" s="17" t="n">
        <x:f>2014-B1853</x:f>
        <x:v>30</x:v>
      </x:c>
      <x:c r="AF1853" s="17" t="n">
        <x:f>F1853+G1853</x:f>
        <x:v>0</x:v>
      </x:c>
      <x:c r="AG1853" s="21" t="n">
        <x:f>SUM(J1853:O1853)</x:f>
        <x:v>1323</x:v>
      </x:c>
      <x:c r="AH1853" s="17" t="n">
        <x:f>SUM(Q1853:S1853)</x:f>
        <x:v>19</x:v>
      </x:c>
      <x:c r="AI1853" s="17" t="n">
        <x:f>SUM(U1853:Y1853)</x:f>
        <x:v>0</x:v>
      </x:c>
      <x:c r="AJ1853" s="17" t="str">
        <x:f>IF(AE1853&lt;=34,"≤34",IF(AE1853&lt;=44,"35–44",IF(AE1853&lt;=54,"45–54",IF(AE1853&lt;=64,"55–64","65+"))))</x:f>
        <x:v>≤34</x:v>
      </x:c>
      <x:c r="AK1853" s="17" t="str">
        <x:f>IF(AG1853&gt;=1000,"High Value",IF(AG1853&gt;=300,"Mid Value","Low Value"))</x:f>
        <x:v>High Value</x:v>
      </x:c>
      <x:c r="AL1853" s="17" t="str">
        <x:f>IF(AND(AI1853&gt;=1,I1853&lt;=50),"Priority 1",IF(AND(AG1853&gt;=1000,I1853&lt;=60),"Priority 2",IF(I1853&lt;=30,"Priority 3","Nurture")))</x:f>
        <x:v>Priority 2</x:v>
      </x:c>
    </x:row>
    <x:row r="1854">
      <x:c r="A1854" s="16" t="n">
        <x:v>2886</x:v>
      </x:c>
      <x:c r="B1854" s="16" t="n">
        <x:v>1971</x:v>
      </x:c>
      <x:c r="C1854" s="16" t="str">
        <x:v>Master</x:v>
      </x:c>
      <x:c r="D1854" s="16" t="str">
        <x:v>Divorced</x:v>
      </x:c>
      <x:c r="E1854" s="16" t="n">
        <x:v>74290</x:v>
      </x:c>
      <x:c r="F1854" s="16" t="n">
        <x:v>0</x:v>
      </x:c>
      <x:c r="G1854" s="16" t="n">
        <x:v>1</x:v>
      </x:c>
      <x:c r="H1854" s="16" t="str">
        <x:v>12-08-2013</x:v>
      </x:c>
      <x:c r="I1854" s="16" t="n">
        <x:v>70</x:v>
      </x:c>
      <x:c r="J1854" s="16" t="n">
        <x:v>1121</x:v>
      </x:c>
      <x:c r="K1854" s="16" t="n">
        <x:v>0</x:v>
      </x:c>
      <x:c r="L1854" s="16" t="n">
        <x:v>72</x:v>
      </x:c>
      <x:c r="M1854" s="16" t="n">
        <x:v>0</x:v>
      </x:c>
      <x:c r="N1854" s="16" t="n">
        <x:v>12</x:v>
      </x:c>
      <x:c r="O1854" s="16" t="n">
        <x:v>12</x:v>
      </x:c>
      <x:c r="P1854" s="16" t="n">
        <x:v>4</x:v>
      </x:c>
      <x:c r="Q1854" s="16" t="n">
        <x:v>10</x:v>
      </x:c>
      <x:c r="R1854" s="16" t="n">
        <x:v>8</x:v>
      </x:c>
      <x:c r="S1854" s="16" t="n">
        <x:v>10</x:v>
      </x:c>
      <x:c r="T1854" s="16" t="n">
        <x:v>6</x:v>
      </x:c>
      <x:c r="U1854" s="16" t="n">
        <x:v>0</x:v>
      </x:c>
      <x:c r="V1854" s="16" t="n">
        <x:v>1</x:v>
      </x:c>
      <x:c r="W1854" s="16" t="n">
        <x:v>0</x:v>
      </x:c>
      <x:c r="X1854" s="16" t="n">
        <x:v>1</x:v>
      </x:c>
      <x:c r="Y1854" s="16" t="n">
        <x:v>0</x:v>
      </x:c>
      <x:c r="Z1854" s="16" t="n">
        <x:v>0</x:v>
      </x:c>
      <x:c r="AA1854" s="16" t="n">
        <x:v>3</x:v>
      </x:c>
      <x:c r="AB1854" s="16" t="n">
        <x:v>11</x:v>
      </x:c>
      <x:c r="AC1854" s="16" t="n">
        <x:v>0</x:v>
      </x:c>
      <x:c r="AD1854" s="21" t="n">
        <x:f>IF(E1854="",MEDIAN($E$2:$E$2237),E1854)</x:f>
        <x:v>74290</x:v>
      </x:c>
      <x:c r="AE1854" s="17" t="n">
        <x:f>2014-B1854</x:f>
        <x:v>43</x:v>
      </x:c>
      <x:c r="AF1854" s="17" t="n">
        <x:f>F1854+G1854</x:f>
        <x:v>1</x:v>
      </x:c>
      <x:c r="AG1854" s="21" t="n">
        <x:f>SUM(J1854:O1854)</x:f>
        <x:v>1217</x:v>
      </x:c>
      <x:c r="AH1854" s="17" t="n">
        <x:f>SUM(Q1854:S1854)</x:f>
        <x:v>28</x:v>
      </x:c>
      <x:c r="AI1854" s="17" t="n">
        <x:f>SUM(U1854:Y1854)</x:f>
        <x:v>2</x:v>
      </x:c>
      <x:c r="AJ1854" s="17" t="str">
        <x:f>IF(AE1854&lt;=34,"≤34",IF(AE1854&lt;=44,"35–44",IF(AE1854&lt;=54,"45–54",IF(AE1854&lt;=64,"55–64","65+"))))</x:f>
        <x:v>35–44</x:v>
      </x:c>
      <x:c r="AK1854" s="17" t="str">
        <x:f>IF(AG1854&gt;=1000,"High Value",IF(AG1854&gt;=300,"Mid Value","Low Value"))</x:f>
        <x:v>High Value</x:v>
      </x:c>
      <x:c r="AL1854" s="17" t="str">
        <x:f>IF(AND(AI1854&gt;=1,I1854&lt;=50),"Priority 1",IF(AND(AG1854&gt;=1000,I1854&lt;=60),"Priority 2",IF(I1854&lt;=30,"Priority 3","Nurture")))</x:f>
        <x:v>Nurture</x:v>
      </x:c>
    </x:row>
    <x:row r="1855">
      <x:c r="A1855" s="16" t="n">
        <x:v>6710</x:v>
      </x:c>
      <x:c r="B1855" s="16" t="n">
        <x:v>1951</x:v>
      </x:c>
      <x:c r="C1855" s="16" t="str">
        <x:v>Master</x:v>
      </x:c>
      <x:c r="D1855" s="16" t="str">
        <x:v>Single</x:v>
      </x:c>
      <x:c r="E1855" s="16" t="n">
        <x:v>58217</x:v>
      </x:c>
      <x:c r="F1855" s="16" t="n">
        <x:v>2</x:v>
      </x:c>
      <x:c r="G1855" s="16" t="n">
        <x:v>1</x:v>
      </x:c>
      <x:c r="H1855" s="16" t="str">
        <x:v>17-11-2012</x:v>
      </x:c>
      <x:c r="I1855" s="16" t="n">
        <x:v>84</x:v>
      </x:c>
      <x:c r="J1855" s="16" t="n">
        <x:v>68</x:v>
      </x:c>
      <x:c r="K1855" s="16" t="n">
        <x:v>1</x:v>
      </x:c>
      <x:c r="L1855" s="16" t="n">
        <x:v>13</x:v>
      </x:c>
      <x:c r="M1855" s="16" t="n">
        <x:v>3</x:v>
      </x:c>
      <x:c r="N1855" s="16" t="n">
        <x:v>5</x:v>
      </x:c>
      <x:c r="O1855" s="16" t="n">
        <x:v>13</x:v>
      </x:c>
      <x:c r="P1855" s="16" t="n">
        <x:v>1</x:v>
      </x:c>
      <x:c r="Q1855" s="16" t="n">
        <x:v>2</x:v>
      </x:c>
      <x:c r="R1855" s="16" t="n">
        <x:v>0</x:v>
      </x:c>
      <x:c r="S1855" s="16" t="n">
        <x:v>4</x:v>
      </x:c>
      <x:c r="T1855" s="16" t="n">
        <x:v>6</x:v>
      </x:c>
      <x:c r="U1855" s="16" t="n">
        <x:v>0</x:v>
      </x:c>
      <x:c r="V1855" s="16" t="n">
        <x:v>0</x:v>
      </x:c>
      <x:c r="W1855" s="16" t="n">
        <x:v>0</x:v>
      </x:c>
      <x:c r="X1855" s="16" t="n">
        <x:v>0</x:v>
      </x:c>
      <x:c r="Y1855" s="16" t="n">
        <x:v>0</x:v>
      </x:c>
      <x:c r="Z1855" s="16" t="n">
        <x:v>0</x:v>
      </x:c>
      <x:c r="AA1855" s="16" t="n">
        <x:v>3</x:v>
      </x:c>
      <x:c r="AB1855" s="16" t="n">
        <x:v>11</x:v>
      </x:c>
      <x:c r="AC1855" s="16" t="n">
        <x:v>0</x:v>
      </x:c>
      <x:c r="AD1855" s="21" t="n">
        <x:f>IF(E1855="",MEDIAN($E$2:$E$2237),E1855)</x:f>
        <x:v>58217</x:v>
      </x:c>
      <x:c r="AE1855" s="17" t="n">
        <x:f>2014-B1855</x:f>
        <x:v>63</x:v>
      </x:c>
      <x:c r="AF1855" s="17" t="n">
        <x:f>F1855+G1855</x:f>
        <x:v>3</x:v>
      </x:c>
      <x:c r="AG1855" s="21" t="n">
        <x:f>SUM(J1855:O1855)</x:f>
        <x:v>103</x:v>
      </x:c>
      <x:c r="AH1855" s="17" t="n">
        <x:f>SUM(Q1855:S1855)</x:f>
        <x:v>6</x:v>
      </x:c>
      <x:c r="AI1855" s="17" t="n">
        <x:f>SUM(U1855:Y1855)</x:f>
        <x:v>0</x:v>
      </x:c>
      <x:c r="AJ1855" s="17" t="str">
        <x:f>IF(AE1855&lt;=34,"≤34",IF(AE1855&lt;=44,"35–44",IF(AE1855&lt;=54,"45–54",IF(AE1855&lt;=64,"55–64","65+"))))</x:f>
        <x:v>55–64</x:v>
      </x:c>
      <x:c r="AK1855" s="17" t="str">
        <x:f>IF(AG1855&gt;=1000,"High Value",IF(AG1855&gt;=300,"Mid Value","Low Value"))</x:f>
        <x:v>Low Value</x:v>
      </x:c>
      <x:c r="AL1855" s="17" t="str">
        <x:f>IF(AND(AI1855&gt;=1,I1855&lt;=50),"Priority 1",IF(AND(AG1855&gt;=1000,I1855&lt;=60),"Priority 2",IF(I1855&lt;=30,"Priority 3","Nurture")))</x:f>
        <x:v>Nurture</x:v>
      </x:c>
    </x:row>
    <x:row r="1856">
      <x:c r="A1856" s="16" t="n">
        <x:v>5316</x:v>
      </x:c>
      <x:c r="B1856" s="16" t="n">
        <x:v>1976</x:v>
      </x:c>
      <x:c r="C1856" s="16" t="str">
        <x:v>Master</x:v>
      </x:c>
      <x:c r="D1856" s="16" t="str">
        <x:v>Together</x:v>
      </x:c>
      <x:c r="E1856" s="16" t="n">
        <x:v>21024</x:v>
      </x:c>
      <x:c r="F1856" s="16" t="n">
        <x:v>0</x:v>
      </x:c>
      <x:c r="G1856" s="16" t="n">
        <x:v>0</x:v>
      </x:c>
      <x:c r="H1856" s="16" t="str">
        <x:v>04-07-2013</x:v>
      </x:c>
      <x:c r="I1856" s="16" t="n">
        <x:v>89</x:v>
      </x:c>
      <x:c r="J1856" s="16" t="n">
        <x:v>36</x:v>
      </x:c>
      <x:c r="K1856" s="16" t="n">
        <x:v>4</x:v>
      </x:c>
      <x:c r="L1856" s="16" t="n">
        <x:v>18</x:v>
      </x:c>
      <x:c r="M1856" s="16" t="n">
        <x:v>6</x:v>
      </x:c>
      <x:c r="N1856" s="16" t="n">
        <x:v>2</x:v>
      </x:c>
      <x:c r="O1856" s="16" t="n">
        <x:v>18</x:v>
      </x:c>
      <x:c r="P1856" s="16" t="n">
        <x:v>1</x:v>
      </x:c>
      <x:c r="Q1856" s="16" t="n">
        <x:v>2</x:v>
      </x:c>
      <x:c r="R1856" s="16" t="n">
        <x:v>0</x:v>
      </x:c>
      <x:c r="S1856" s="16" t="n">
        <x:v>4</x:v>
      </x:c>
      <x:c r="T1856" s="16" t="n">
        <x:v>7</x:v>
      </x:c>
      <x:c r="U1856" s="16" t="n">
        <x:v>0</x:v>
      </x:c>
      <x:c r="V1856" s="16" t="n">
        <x:v>0</x:v>
      </x:c>
      <x:c r="W1856" s="16" t="n">
        <x:v>0</x:v>
      </x:c>
      <x:c r="X1856" s="16" t="n">
        <x:v>0</x:v>
      </x:c>
      <x:c r="Y1856" s="16" t="n">
        <x:v>0</x:v>
      </x:c>
      <x:c r="Z1856" s="16" t="n">
        <x:v>0</x:v>
      </x:c>
      <x:c r="AA1856" s="16" t="n">
        <x:v>3</x:v>
      </x:c>
      <x:c r="AB1856" s="16" t="n">
        <x:v>11</x:v>
      </x:c>
      <x:c r="AC1856" s="16" t="n">
        <x:v>0</x:v>
      </x:c>
      <x:c r="AD1856" s="21" t="n">
        <x:f>IF(E1856="",MEDIAN($E$2:$E$2237),E1856)</x:f>
        <x:v>21024</x:v>
      </x:c>
      <x:c r="AE1856" s="17" t="n">
        <x:f>2014-B1856</x:f>
        <x:v>38</x:v>
      </x:c>
      <x:c r="AF1856" s="17" t="n">
        <x:f>F1856+G1856</x:f>
        <x:v>0</x:v>
      </x:c>
      <x:c r="AG1856" s="21" t="n">
        <x:f>SUM(J1856:O1856)</x:f>
        <x:v>84</x:v>
      </x:c>
      <x:c r="AH1856" s="17" t="n">
        <x:f>SUM(Q1856:S1856)</x:f>
        <x:v>6</x:v>
      </x:c>
      <x:c r="AI1856" s="17" t="n">
        <x:f>SUM(U1856:Y1856)</x:f>
        <x:v>0</x:v>
      </x:c>
      <x:c r="AJ1856" s="17" t="str">
        <x:f>IF(AE1856&lt;=34,"≤34",IF(AE1856&lt;=44,"35–44",IF(AE1856&lt;=54,"45–54",IF(AE1856&lt;=64,"55–64","65+"))))</x:f>
        <x:v>35–44</x:v>
      </x:c>
      <x:c r="AK1856" s="17" t="str">
        <x:f>IF(AG1856&gt;=1000,"High Value",IF(AG1856&gt;=300,"Mid Value","Low Value"))</x:f>
        <x:v>Low Value</x:v>
      </x:c>
      <x:c r="AL1856" s="17" t="str">
        <x:f>IF(AND(AI1856&gt;=1,I1856&lt;=50),"Priority 1",IF(AND(AG1856&gt;=1000,I1856&lt;=60),"Priority 2",IF(I1856&lt;=30,"Priority 3","Nurture")))</x:f>
        <x:v>Nurture</x:v>
      </x:c>
    </x:row>
    <x:row r="1857">
      <x:c r="A1857" s="16" t="n">
        <x:v>9029</x:v>
      </x:c>
      <x:c r="B1857" s="16" t="n">
        <x:v>1972</x:v>
      </x:c>
      <x:c r="C1857" s="16" t="str">
        <x:v>PhD</x:v>
      </x:c>
      <x:c r="D1857" s="16" t="str">
        <x:v>Married</x:v>
      </x:c>
      <x:c r="E1857" s="16" t="n">
        <x:v>70116</x:v>
      </x:c>
      <x:c r="F1857" s="16" t="n">
        <x:v>0</x:v>
      </x:c>
      <x:c r="G1857" s="16" t="n">
        <x:v>0</x:v>
      </x:c>
      <x:c r="H1857" s="16" t="str">
        <x:v>26-01-2013</x:v>
      </x:c>
      <x:c r="I1857" s="16" t="n">
        <x:v>73</x:v>
      </x:c>
      <x:c r="J1857" s="16" t="n">
        <x:v>707</x:v>
      </x:c>
      <x:c r="K1857" s="16" t="n">
        <x:v>44</x:v>
      </x:c>
      <x:c r="L1857" s="16" t="n">
        <x:v>603</x:v>
      </x:c>
      <x:c r="M1857" s="16" t="n">
        <x:v>95</x:v>
      </x:c>
      <x:c r="N1857" s="16" t="n">
        <x:v>58</x:v>
      </x:c>
      <x:c r="O1857" s="16" t="n">
        <x:v>29</x:v>
      </x:c>
      <x:c r="P1857" s="16" t="n">
        <x:v>1</x:v>
      </x:c>
      <x:c r="Q1857" s="16" t="n">
        <x:v>2</x:v>
      </x:c>
      <x:c r="R1857" s="16" t="n">
        <x:v>8</x:v>
      </x:c>
      <x:c r="S1857" s="16" t="n">
        <x:v>12</x:v>
      </x:c>
      <x:c r="T1857" s="16" t="n">
        <x:v>1</x:v>
      </x:c>
      <x:c r="U1857" s="16" t="n">
        <x:v>0</x:v>
      </x:c>
      <x:c r="V1857" s="16" t="n">
        <x:v>0</x:v>
      </x:c>
      <x:c r="W1857" s="16" t="n">
        <x:v>0</x:v>
      </x:c>
      <x:c r="X1857" s="16" t="n">
        <x:v>0</x:v>
      </x:c>
      <x:c r="Y1857" s="16" t="n">
        <x:v>0</x:v>
      </x:c>
      <x:c r="Z1857" s="16" t="n">
        <x:v>0</x:v>
      </x:c>
      <x:c r="AA1857" s="16" t="n">
        <x:v>3</x:v>
      </x:c>
      <x:c r="AB1857" s="16" t="n">
        <x:v>11</x:v>
      </x:c>
      <x:c r="AC1857" s="16" t="n">
        <x:v>0</x:v>
      </x:c>
      <x:c r="AD1857" s="21" t="n">
        <x:f>IF(E1857="",MEDIAN($E$2:$E$2237),E1857)</x:f>
        <x:v>70116</x:v>
      </x:c>
      <x:c r="AE1857" s="17" t="n">
        <x:f>2014-B1857</x:f>
        <x:v>42</x:v>
      </x:c>
      <x:c r="AF1857" s="17" t="n">
        <x:f>F1857+G1857</x:f>
        <x:v>0</x:v>
      </x:c>
      <x:c r="AG1857" s="21" t="n">
        <x:f>SUM(J1857:O1857)</x:f>
        <x:v>1536</x:v>
      </x:c>
      <x:c r="AH1857" s="17" t="n">
        <x:f>SUM(Q1857:S1857)</x:f>
        <x:v>22</x:v>
      </x:c>
      <x:c r="AI1857" s="17" t="n">
        <x:f>SUM(U1857:Y1857)</x:f>
        <x:v>0</x:v>
      </x:c>
      <x:c r="AJ1857" s="17" t="str">
        <x:f>IF(AE1857&lt;=34,"≤34",IF(AE1857&lt;=44,"35–44",IF(AE1857&lt;=54,"45–54",IF(AE1857&lt;=64,"55–64","65+"))))</x:f>
        <x:v>35–44</x:v>
      </x:c>
      <x:c r="AK1857" s="17" t="str">
        <x:f>IF(AG1857&gt;=1000,"High Value",IF(AG1857&gt;=300,"Mid Value","Low Value"))</x:f>
        <x:v>High Value</x:v>
      </x:c>
      <x:c r="AL1857" s="17" t="str">
        <x:f>IF(AND(AI1857&gt;=1,I1857&lt;=50),"Priority 1",IF(AND(AG1857&gt;=1000,I1857&lt;=60),"Priority 2",IF(I1857&lt;=30,"Priority 3","Nurture")))</x:f>
        <x:v>Nurture</x:v>
      </x:c>
    </x:row>
    <x:row r="1858">
      <x:c r="A1858" s="16" t="n">
        <x:v>521</x:v>
      </x:c>
      <x:c r="B1858" s="16" t="n">
        <x:v>1985</x:v>
      </x:c>
      <x:c r="C1858" s="16" t="str">
        <x:v>Graduation</x:v>
      </x:c>
      <x:c r="D1858" s="16" t="str">
        <x:v>Together</x:v>
      </x:c>
      <x:c r="E1858" s="16" t="n">
        <x:v>54006</x:v>
      </x:c>
      <x:c r="F1858" s="16" t="n">
        <x:v>1</x:v>
      </x:c>
      <x:c r="G1858" s="16" t="n">
        <x:v>0</x:v>
      </x:c>
      <x:c r="H1858" s="16" t="str">
        <x:v>18-09-2012</x:v>
      </x:c>
      <x:c r="I1858" s="16" t="n">
        <x:v>42</x:v>
      </x:c>
      <x:c r="J1858" s="16" t="n">
        <x:v>174</x:v>
      </x:c>
      <x:c r="K1858" s="16" t="n">
        <x:v>77</x:v>
      </x:c>
      <x:c r="L1858" s="16" t="n">
        <x:v>203</x:v>
      </x:c>
      <x:c r="M1858" s="16" t="n">
        <x:v>6</x:v>
      </x:c>
      <x:c r="N1858" s="16" t="n">
        <x:v>24</x:v>
      </x:c>
      <x:c r="O1858" s="16" t="n">
        <x:v>97</x:v>
      </x:c>
      <x:c r="P1858" s="16" t="n">
        <x:v>2</x:v>
      </x:c>
      <x:c r="Q1858" s="16" t="n">
        <x:v>8</x:v>
      </x:c>
      <x:c r="R1858" s="16" t="n">
        <x:v>1</x:v>
      </x:c>
      <x:c r="S1858" s="16" t="n">
        <x:v>7</x:v>
      </x:c>
      <x:c r="T1858" s="16" t="n">
        <x:v>7</x:v>
      </x:c>
      <x:c r="U1858" s="16" t="n">
        <x:v>0</x:v>
      </x:c>
      <x:c r="V1858" s="16" t="n">
        <x:v>0</x:v>
      </x:c>
      <x:c r="W1858" s="16" t="n">
        <x:v>0</x:v>
      </x:c>
      <x:c r="X1858" s="16" t="n">
        <x:v>0</x:v>
      </x:c>
      <x:c r="Y1858" s="16" t="n">
        <x:v>0</x:v>
      </x:c>
      <x:c r="Z1858" s="16" t="n">
        <x:v>0</x:v>
      </x:c>
      <x:c r="AA1858" s="16" t="n">
        <x:v>3</x:v>
      </x:c>
      <x:c r="AB1858" s="16" t="n">
        <x:v>11</x:v>
      </x:c>
      <x:c r="AC1858" s="16" t="n">
        <x:v>0</x:v>
      </x:c>
      <x:c r="AD1858" s="21" t="n">
        <x:f>IF(E1858="",MEDIAN($E$2:$E$2237),E1858)</x:f>
        <x:v>54006</x:v>
      </x:c>
      <x:c r="AE1858" s="17" t="n">
        <x:f>2014-B1858</x:f>
        <x:v>29</x:v>
      </x:c>
      <x:c r="AF1858" s="17" t="n">
        <x:f>F1858+G1858</x:f>
        <x:v>1</x:v>
      </x:c>
      <x:c r="AG1858" s="21" t="n">
        <x:f>SUM(J1858:O1858)</x:f>
        <x:v>581</x:v>
      </x:c>
      <x:c r="AH1858" s="17" t="n">
        <x:f>SUM(Q1858:S1858)</x:f>
        <x:v>16</x:v>
      </x:c>
      <x:c r="AI1858" s="17" t="n">
        <x:f>SUM(U1858:Y1858)</x:f>
        <x:v>0</x:v>
      </x:c>
      <x:c r="AJ1858" s="17" t="str">
        <x:f>IF(AE1858&lt;=34,"≤34",IF(AE1858&lt;=44,"35–44",IF(AE1858&lt;=54,"45–54",IF(AE1858&lt;=64,"55–64","65+"))))</x:f>
        <x:v>≤34</x:v>
      </x:c>
      <x:c r="AK1858" s="17" t="str">
        <x:f>IF(AG1858&gt;=1000,"High Value",IF(AG1858&gt;=300,"Mid Value","Low Value"))</x:f>
        <x:v>Mid Value</x:v>
      </x:c>
      <x:c r="AL1858" s="17" t="str">
        <x:f>IF(AND(AI1858&gt;=1,I1858&lt;=50),"Priority 1",IF(AND(AG1858&gt;=1000,I1858&lt;=60),"Priority 2",IF(I1858&lt;=30,"Priority 3","Nurture")))</x:f>
        <x:v>Nurture</x:v>
      </x:c>
    </x:row>
    <x:row r="1859">
      <x:c r="A1859" s="16" t="n">
        <x:v>1459</x:v>
      </x:c>
      <x:c r="B1859" s="16" t="n">
        <x:v>1966</x:v>
      </x:c>
      <x:c r="C1859" s="16" t="str">
        <x:v>PhD</x:v>
      </x:c>
      <x:c r="D1859" s="16" t="str">
        <x:v>Married</x:v>
      </x:c>
      <x:c r="E1859" s="16" t="n">
        <x:v>69063</x:v>
      </x:c>
      <x:c r="F1859" s="16" t="n">
        <x:v>0</x:v>
      </x:c>
      <x:c r="G1859" s="16" t="n">
        <x:v>1</x:v>
      </x:c>
      <x:c r="H1859" s="16" t="str">
        <x:v>07-11-2012</x:v>
      </x:c>
      <x:c r="I1859" s="16" t="n">
        <x:v>16</x:v>
      </x:c>
      <x:c r="J1859" s="16" t="n">
        <x:v>666</x:v>
      </x:c>
      <x:c r="K1859" s="16" t="n">
        <x:v>35</x:v>
      </x:c>
      <x:c r="L1859" s="16" t="n">
        <x:v>124</x:v>
      </x:c>
      <x:c r="M1859" s="16" t="n">
        <x:v>69</x:v>
      </x:c>
      <x:c r="N1859" s="16" t="n">
        <x:v>8</x:v>
      </x:c>
      <x:c r="O1859" s="16" t="n">
        <x:v>26</x:v>
      </x:c>
      <x:c r="P1859" s="16" t="n">
        <x:v>1</x:v>
      </x:c>
      <x:c r="Q1859" s="16" t="n">
        <x:v>5</x:v>
      </x:c>
      <x:c r="R1859" s="16" t="n">
        <x:v>3</x:v>
      </x:c>
      <x:c r="S1859" s="16" t="n">
        <x:v>5</x:v>
      </x:c>
      <x:c r="T1859" s="16" t="n">
        <x:v>3</x:v>
      </x:c>
      <x:c r="U1859" s="16" t="n">
        <x:v>0</x:v>
      </x:c>
      <x:c r="V1859" s="16" t="n">
        <x:v>0</x:v>
      </x:c>
      <x:c r="W1859" s="16" t="n">
        <x:v>0</x:v>
      </x:c>
      <x:c r="X1859" s="16" t="n">
        <x:v>0</x:v>
      </x:c>
      <x:c r="Y1859" s="16" t="n">
        <x:v>0</x:v>
      </x:c>
      <x:c r="Z1859" s="16" t="n">
        <x:v>0</x:v>
      </x:c>
      <x:c r="AA1859" s="16" t="n">
        <x:v>3</x:v>
      </x:c>
      <x:c r="AB1859" s="16" t="n">
        <x:v>11</x:v>
      </x:c>
      <x:c r="AC1859" s="16" t="n">
        <x:v>0</x:v>
      </x:c>
      <x:c r="AD1859" s="21" t="n">
        <x:f>IF(E1859="",MEDIAN($E$2:$E$2237),E1859)</x:f>
        <x:v>69063</x:v>
      </x:c>
      <x:c r="AE1859" s="17" t="n">
        <x:f>2014-B1859</x:f>
        <x:v>48</x:v>
      </x:c>
      <x:c r="AF1859" s="17" t="n">
        <x:f>F1859+G1859</x:f>
        <x:v>1</x:v>
      </x:c>
      <x:c r="AG1859" s="21" t="n">
        <x:f>SUM(J1859:O1859)</x:f>
        <x:v>928</x:v>
      </x:c>
      <x:c r="AH1859" s="17" t="n">
        <x:f>SUM(Q1859:S1859)</x:f>
        <x:v>13</x:v>
      </x:c>
      <x:c r="AI1859" s="17" t="n">
        <x:f>SUM(U1859:Y1859)</x:f>
        <x:v>0</x:v>
      </x:c>
      <x:c r="AJ1859" s="17" t="str">
        <x:f>IF(AE1859&lt;=34,"≤34",IF(AE1859&lt;=44,"35–44",IF(AE1859&lt;=54,"45–54",IF(AE1859&lt;=64,"55–64","65+"))))</x:f>
        <x:v>45–54</x:v>
      </x:c>
      <x:c r="AK1859" s="17" t="str">
        <x:f>IF(AG1859&gt;=1000,"High Value",IF(AG1859&gt;=300,"Mid Value","Low Value"))</x:f>
        <x:v>Mid Value</x:v>
      </x:c>
      <x:c r="AL1859" s="17" t="str">
        <x:f>IF(AND(AI1859&gt;=1,I1859&lt;=50),"Priority 1",IF(AND(AG1859&gt;=1000,I1859&lt;=60),"Priority 2",IF(I1859&lt;=30,"Priority 3","Nurture")))</x:f>
        <x:v>Priority 3</x:v>
      </x:c>
    </x:row>
    <x:row r="1860">
      <x:c r="A1860" s="16" t="n">
        <x:v>10241</x:v>
      </x:c>
      <x:c r="B1860" s="16" t="n">
        <x:v>1975</x:v>
      </x:c>
      <x:c r="C1860" s="16" t="str">
        <x:v>2n Cycle</x:v>
      </x:c>
      <x:c r="D1860" s="16" t="str">
        <x:v>Divorced</x:v>
      </x:c>
      <x:c r="E1860" s="16" t="n">
        <x:v>11448</x:v>
      </x:c>
      <x:c r="F1860" s="16" t="n">
        <x:v>0</x:v>
      </x:c>
      <x:c r="G1860" s="16" t="n">
        <x:v>0</x:v>
      </x:c>
      <x:c r="H1860" s="16" t="str">
        <x:v>15-12-2013</x:v>
      </x:c>
      <x:c r="I1860" s="16" t="n">
        <x:v>16</x:v>
      </x:c>
      <x:c r="J1860" s="16" t="n">
        <x:v>0</x:v>
      </x:c>
      <x:c r="K1860" s="16" t="n">
        <x:v>0</x:v>
      </x:c>
      <x:c r="L1860" s="16" t="n">
        <x:v>0</x:v>
      </x:c>
      <x:c r="M1860" s="16" t="n">
        <x:v>6</x:v>
      </x:c>
      <x:c r="N1860" s="16" t="n">
        <x:v>2</x:v>
      </x:c>
      <x:c r="O1860" s="16" t="n">
        <x:v>6</x:v>
      </x:c>
      <x:c r="P1860" s="16" t="n">
        <x:v>1</x:v>
      </x:c>
      <x:c r="Q1860" s="16" t="n">
        <x:v>1</x:v>
      </x:c>
      <x:c r="R1860" s="16" t="n">
        <x:v>0</x:v>
      </x:c>
      <x:c r="S1860" s="16" t="n">
        <x:v>2</x:v>
      </x:c>
      <x:c r="T1860" s="16" t="n">
        <x:v>6</x:v>
      </x:c>
      <x:c r="U1860" s="16" t="n">
        <x:v>0</x:v>
      </x:c>
      <x:c r="V1860" s="16" t="n">
        <x:v>0</x:v>
      </x:c>
      <x:c r="W1860" s="16" t="n">
        <x:v>0</x:v>
      </x:c>
      <x:c r="X1860" s="16" t="n">
        <x:v>0</x:v>
      </x:c>
      <x:c r="Y1860" s="16" t="n">
        <x:v>0</x:v>
      </x:c>
      <x:c r="Z1860" s="16" t="n">
        <x:v>0</x:v>
      </x:c>
      <x:c r="AA1860" s="16" t="n">
        <x:v>3</x:v>
      </x:c>
      <x:c r="AB1860" s="16" t="n">
        <x:v>11</x:v>
      </x:c>
      <x:c r="AC1860" s="16" t="n">
        <x:v>0</x:v>
      </x:c>
      <x:c r="AD1860" s="21" t="n">
        <x:f>IF(E1860="",MEDIAN($E$2:$E$2237),E1860)</x:f>
        <x:v>11448</x:v>
      </x:c>
      <x:c r="AE1860" s="17" t="n">
        <x:f>2014-B1860</x:f>
        <x:v>39</x:v>
      </x:c>
      <x:c r="AF1860" s="17" t="n">
        <x:f>F1860+G1860</x:f>
        <x:v>0</x:v>
      </x:c>
      <x:c r="AG1860" s="21" t="n">
        <x:f>SUM(J1860:O1860)</x:f>
        <x:v>14</x:v>
      </x:c>
      <x:c r="AH1860" s="17" t="n">
        <x:f>SUM(Q1860:S1860)</x:f>
        <x:v>3</x:v>
      </x:c>
      <x:c r="AI1860" s="17" t="n">
        <x:f>SUM(U1860:Y1860)</x:f>
        <x:v>0</x:v>
      </x:c>
      <x:c r="AJ1860" s="17" t="str">
        <x:f>IF(AE1860&lt;=34,"≤34",IF(AE1860&lt;=44,"35–44",IF(AE1860&lt;=54,"45–54",IF(AE1860&lt;=64,"55–64","65+"))))</x:f>
        <x:v>35–44</x:v>
      </x:c>
      <x:c r="AK1860" s="17" t="str">
        <x:f>IF(AG1860&gt;=1000,"High Value",IF(AG1860&gt;=300,"Mid Value","Low Value"))</x:f>
        <x:v>Low Value</x:v>
      </x:c>
      <x:c r="AL1860" s="17" t="str">
        <x:f>IF(AND(AI1860&gt;=1,I1860&lt;=50),"Priority 1",IF(AND(AG1860&gt;=1000,I1860&lt;=60),"Priority 2",IF(I1860&lt;=30,"Priority 3","Nurture")))</x:f>
        <x:v>Priority 3</x:v>
      </x:c>
    </x:row>
    <x:row r="1861">
      <x:c r="A1861" s="16" t="n">
        <x:v>1630</x:v>
      </x:c>
      <x:c r="B1861" s="16" t="n">
        <x:v>1979</x:v>
      </x:c>
      <x:c r="C1861" s="16" t="str">
        <x:v>Graduation</x:v>
      </x:c>
      <x:c r="D1861" s="16" t="str">
        <x:v>Single</x:v>
      </x:c>
      <x:c r="E1861" s="16" t="n">
        <x:v>61825</x:v>
      </x:c>
      <x:c r="F1861" s="16" t="n">
        <x:v>0</x:v>
      </x:c>
      <x:c r="G1861" s="16" t="n">
        <x:v>1</x:v>
      </x:c>
      <x:c r="H1861" s="16" t="str">
        <x:v>07-08-2013</x:v>
      </x:c>
      <x:c r="I1861" s="16" t="n">
        <x:v>56</x:v>
      </x:c>
      <x:c r="J1861" s="16" t="n">
        <x:v>162</x:v>
      </x:c>
      <x:c r="K1861" s="16" t="n">
        <x:v>50</x:v>
      </x:c>
      <x:c r="L1861" s="16" t="n">
        <x:v>100</x:v>
      </x:c>
      <x:c r="M1861" s="16" t="n">
        <x:v>55</x:v>
      </x:c>
      <x:c r="N1861" s="16" t="n">
        <x:v>30</x:v>
      </x:c>
      <x:c r="O1861" s="16" t="n">
        <x:v>27</x:v>
      </x:c>
      <x:c r="P1861" s="16" t="n">
        <x:v>1</x:v>
      </x:c>
      <x:c r="Q1861" s="16" t="n">
        <x:v>4</x:v>
      </x:c>
      <x:c r="R1861" s="16" t="n">
        <x:v>2</x:v>
      </x:c>
      <x:c r="S1861" s="16" t="n">
        <x:v>8</x:v>
      </x:c>
      <x:c r="T1861" s="16" t="n">
        <x:v>4</x:v>
      </x:c>
      <x:c r="U1861" s="16" t="n">
        <x:v>0</x:v>
      </x:c>
      <x:c r="V1861" s="16" t="n">
        <x:v>0</x:v>
      </x:c>
      <x:c r="W1861" s="16" t="n">
        <x:v>0</x:v>
      </x:c>
      <x:c r="X1861" s="16" t="n">
        <x:v>0</x:v>
      </x:c>
      <x:c r="Y1861" s="16" t="n">
        <x:v>0</x:v>
      </x:c>
      <x:c r="Z1861" s="16" t="n">
        <x:v>0</x:v>
      </x:c>
      <x:c r="AA1861" s="16" t="n">
        <x:v>3</x:v>
      </x:c>
      <x:c r="AB1861" s="16" t="n">
        <x:v>11</x:v>
      </x:c>
      <x:c r="AC1861" s="16" t="n">
        <x:v>0</x:v>
      </x:c>
      <x:c r="AD1861" s="21" t="n">
        <x:f>IF(E1861="",MEDIAN($E$2:$E$2237),E1861)</x:f>
        <x:v>61825</x:v>
      </x:c>
      <x:c r="AE1861" s="17" t="n">
        <x:f>2014-B1861</x:f>
        <x:v>35</x:v>
      </x:c>
      <x:c r="AF1861" s="17" t="n">
        <x:f>F1861+G1861</x:f>
        <x:v>1</x:v>
      </x:c>
      <x:c r="AG1861" s="21" t="n">
        <x:f>SUM(J1861:O1861)</x:f>
        <x:v>424</x:v>
      </x:c>
      <x:c r="AH1861" s="17" t="n">
        <x:f>SUM(Q1861:S1861)</x:f>
        <x:v>14</x:v>
      </x:c>
      <x:c r="AI1861" s="17" t="n">
        <x:f>SUM(U1861:Y1861)</x:f>
        <x:v>0</x:v>
      </x:c>
      <x:c r="AJ1861" s="17" t="str">
        <x:f>IF(AE1861&lt;=34,"≤34",IF(AE1861&lt;=44,"35–44",IF(AE1861&lt;=54,"45–54",IF(AE1861&lt;=64,"55–64","65+"))))</x:f>
        <x:v>35–44</x:v>
      </x:c>
      <x:c r="AK1861" s="17" t="str">
        <x:f>IF(AG1861&gt;=1000,"High Value",IF(AG1861&gt;=300,"Mid Value","Low Value"))</x:f>
        <x:v>Mid Value</x:v>
      </x:c>
      <x:c r="AL1861" s="17" t="str">
        <x:f>IF(AND(AI1861&gt;=1,I1861&lt;=50),"Priority 1",IF(AND(AG1861&gt;=1000,I1861&lt;=60),"Priority 2",IF(I1861&lt;=30,"Priority 3","Nurture")))</x:f>
        <x:v>Nurture</x:v>
      </x:c>
    </x:row>
    <x:row r="1862">
      <x:c r="A1862" s="16" t="n">
        <x:v>3254</x:v>
      </x:c>
      <x:c r="B1862" s="16" t="n">
        <x:v>1971</x:v>
      </x:c>
      <x:c r="C1862" s="16" t="str">
        <x:v>Graduation</x:v>
      </x:c>
      <x:c r="D1862" s="16" t="str">
        <x:v>Married</x:v>
      </x:c>
      <x:c r="E1862" s="16" t="n">
        <x:v>70886</x:v>
      </x:c>
      <x:c r="F1862" s="16" t="n">
        <x:v>1</x:v>
      </x:c>
      <x:c r="G1862" s="16" t="n">
        <x:v>0</x:v>
      </x:c>
      <x:c r="H1862" s="16" t="str">
        <x:v>14-10-2013</x:v>
      </x:c>
      <x:c r="I1862" s="16" t="n">
        <x:v>65</x:v>
      </x:c>
      <x:c r="J1862" s="16" t="n">
        <x:v>407</x:v>
      </x:c>
      <x:c r="K1862" s="16" t="n">
        <x:v>70</x:v>
      </x:c>
      <x:c r="L1862" s="16" t="n">
        <x:v>239</x:v>
      </x:c>
      <x:c r="M1862" s="16" t="n">
        <x:v>103</x:v>
      </x:c>
      <x:c r="N1862" s="16" t="n">
        <x:v>88</x:v>
      </x:c>
      <x:c r="O1862" s="16" t="n">
        <x:v>53</x:v>
      </x:c>
      <x:c r="P1862" s="16" t="n">
        <x:v>1</x:v>
      </x:c>
      <x:c r="Q1862" s="16" t="n">
        <x:v>5</x:v>
      </x:c>
      <x:c r="R1862" s="16" t="n">
        <x:v>4</x:v>
      </x:c>
      <x:c r="S1862" s="16" t="n">
        <x:v>4</x:v>
      </x:c>
      <x:c r="T1862" s="16" t="n">
        <x:v>2</x:v>
      </x:c>
      <x:c r="U1862" s="16" t="n">
        <x:v>0</x:v>
      </x:c>
      <x:c r="V1862" s="16" t="n">
        <x:v>0</x:v>
      </x:c>
      <x:c r="W1862" s="16" t="n">
        <x:v>0</x:v>
      </x:c>
      <x:c r="X1862" s="16" t="n">
        <x:v>0</x:v>
      </x:c>
      <x:c r="Y1862" s="16" t="n">
        <x:v>0</x:v>
      </x:c>
      <x:c r="Z1862" s="16" t="n">
        <x:v>0</x:v>
      </x:c>
      <x:c r="AA1862" s="16" t="n">
        <x:v>3</x:v>
      </x:c>
      <x:c r="AB1862" s="16" t="n">
        <x:v>11</x:v>
      </x:c>
      <x:c r="AC1862" s="16" t="n">
        <x:v>0</x:v>
      </x:c>
      <x:c r="AD1862" s="21" t="n">
        <x:f>IF(E1862="",MEDIAN($E$2:$E$2237),E1862)</x:f>
        <x:v>70886</x:v>
      </x:c>
      <x:c r="AE1862" s="17" t="n">
        <x:f>2014-B1862</x:f>
        <x:v>43</x:v>
      </x:c>
      <x:c r="AF1862" s="17" t="n">
        <x:f>F1862+G1862</x:f>
        <x:v>1</x:v>
      </x:c>
      <x:c r="AG1862" s="21" t="n">
        <x:f>SUM(J1862:O1862)</x:f>
        <x:v>960</x:v>
      </x:c>
      <x:c r="AH1862" s="17" t="n">
        <x:f>SUM(Q1862:S1862)</x:f>
        <x:v>13</x:v>
      </x:c>
      <x:c r="AI1862" s="17" t="n">
        <x:f>SUM(U1862:Y1862)</x:f>
        <x:v>0</x:v>
      </x:c>
      <x:c r="AJ1862" s="17" t="str">
        <x:f>IF(AE1862&lt;=34,"≤34",IF(AE1862&lt;=44,"35–44",IF(AE1862&lt;=54,"45–54",IF(AE1862&lt;=64,"55–64","65+"))))</x:f>
        <x:v>35–44</x:v>
      </x:c>
      <x:c r="AK1862" s="17" t="str">
        <x:f>IF(AG1862&gt;=1000,"High Value",IF(AG1862&gt;=300,"Mid Value","Low Value"))</x:f>
        <x:v>Mid Value</x:v>
      </x:c>
      <x:c r="AL1862" s="17" t="str">
        <x:f>IF(AND(AI1862&gt;=1,I1862&lt;=50),"Priority 1",IF(AND(AG1862&gt;=1000,I1862&lt;=60),"Priority 2",IF(I1862&lt;=30,"Priority 3","Nurture")))</x:f>
        <x:v>Nurture</x:v>
      </x:c>
    </x:row>
    <x:row r="1863">
      <x:c r="A1863" s="16" t="n">
        <x:v>9064</x:v>
      </x:c>
      <x:c r="B1863" s="16" t="n">
        <x:v>1982</x:v>
      </x:c>
      <x:c r="C1863" s="16" t="str">
        <x:v>Graduation</x:v>
      </x:c>
      <x:c r="D1863" s="16" t="str">
        <x:v>Married</x:v>
      </x:c>
      <x:c r="E1863" s="16" t="n">
        <x:v>69109</x:v>
      </x:c>
      <x:c r="F1863" s="16" t="n">
        <x:v>0</x:v>
      </x:c>
      <x:c r="G1863" s="16" t="n">
        <x:v>0</x:v>
      </x:c>
      <x:c r="H1863" s="16" t="str">
        <x:v>09-11-2012</x:v>
      </x:c>
      <x:c r="I1863" s="16" t="n">
        <x:v>10</x:v>
      </x:c>
      <x:c r="J1863" s="16" t="n">
        <x:v>823</x:v>
      </x:c>
      <x:c r="K1863" s="16" t="n">
        <x:v>25</x:v>
      </x:c>
      <x:c r="L1863" s="16" t="n">
        <x:v>459</x:v>
      </x:c>
      <x:c r="M1863" s="16" t="n">
        <x:v>124</x:v>
      </x:c>
      <x:c r="N1863" s="16" t="n">
        <x:v>29</x:v>
      </x:c>
      <x:c r="O1863" s="16" t="n">
        <x:v>95</x:v>
      </x:c>
      <x:c r="P1863" s="16" t="n">
        <x:v>1</x:v>
      </x:c>
      <x:c r="Q1863" s="16" t="n">
        <x:v>6</x:v>
      </x:c>
      <x:c r="R1863" s="16" t="n">
        <x:v>6</x:v>
      </x:c>
      <x:c r="S1863" s="16" t="n">
        <x:v>7</x:v>
      </x:c>
      <x:c r="T1863" s="16" t="n">
        <x:v>4</x:v>
      </x:c>
      <x:c r="U1863" s="16" t="n">
        <x:v>0</x:v>
      </x:c>
      <x:c r="V1863" s="16" t="n">
        <x:v>0</x:v>
      </x:c>
      <x:c r="W1863" s="16" t="n">
        <x:v>1</x:v>
      </x:c>
      <x:c r="X1863" s="16" t="n">
        <x:v>0</x:v>
      </x:c>
      <x:c r="Y1863" s="16" t="n">
        <x:v>0</x:v>
      </x:c>
      <x:c r="Z1863" s="16" t="n">
        <x:v>0</x:v>
      </x:c>
      <x:c r="AA1863" s="16" t="n">
        <x:v>3</x:v>
      </x:c>
      <x:c r="AB1863" s="16" t="n">
        <x:v>11</x:v>
      </x:c>
      <x:c r="AC1863" s="16" t="n">
        <x:v>1</x:v>
      </x:c>
      <x:c r="AD1863" s="21" t="n">
        <x:f>IF(E1863="",MEDIAN($E$2:$E$2237),E1863)</x:f>
        <x:v>69109</x:v>
      </x:c>
      <x:c r="AE1863" s="17" t="n">
        <x:f>2014-B1863</x:f>
        <x:v>32</x:v>
      </x:c>
      <x:c r="AF1863" s="17" t="n">
        <x:f>F1863+G1863</x:f>
        <x:v>0</x:v>
      </x:c>
      <x:c r="AG1863" s="21" t="n">
        <x:f>SUM(J1863:O1863)</x:f>
        <x:v>1555</x:v>
      </x:c>
      <x:c r="AH1863" s="17" t="n">
        <x:f>SUM(Q1863:S1863)</x:f>
        <x:v>19</x:v>
      </x:c>
      <x:c r="AI1863" s="17" t="n">
        <x:f>SUM(U1863:Y1863)</x:f>
        <x:v>1</x:v>
      </x:c>
      <x:c r="AJ1863" s="17" t="str">
        <x:f>IF(AE1863&lt;=34,"≤34",IF(AE1863&lt;=44,"35–44",IF(AE1863&lt;=54,"45–54",IF(AE1863&lt;=64,"55–64","65+"))))</x:f>
        <x:v>≤34</x:v>
      </x:c>
      <x:c r="AK1863" s="17" t="str">
        <x:f>IF(AG1863&gt;=1000,"High Value",IF(AG1863&gt;=300,"Mid Value","Low Value"))</x:f>
        <x:v>High Value</x:v>
      </x:c>
      <x:c r="AL1863" s="17" t="str">
        <x:f>IF(AND(AI1863&gt;=1,I1863&lt;=50),"Priority 1",IF(AND(AG1863&gt;=1000,I1863&lt;=60),"Priority 2",IF(I1863&lt;=30,"Priority 3","Nurture")))</x:f>
        <x:v>Priority 1</x:v>
      </x:c>
    </x:row>
    <x:row r="1864">
      <x:c r="A1864" s="16" t="n">
        <x:v>3678</x:v>
      </x:c>
      <x:c r="B1864" s="16" t="n">
        <x:v>1973</x:v>
      </x:c>
      <x:c r="C1864" s="16" t="str">
        <x:v>Graduation</x:v>
      </x:c>
      <x:c r="D1864" s="16" t="str">
        <x:v>Widow</x:v>
      </x:c>
      <x:c r="E1864" s="16" t="n">
        <x:v>60208</x:v>
      </x:c>
      <x:c r="F1864" s="16" t="n">
        <x:v>1</x:v>
      </x:c>
      <x:c r="G1864" s="16" t="n">
        <x:v>1</x:v>
      </x:c>
      <x:c r="H1864" s="16" t="str">
        <x:v>07-10-2012</x:v>
      </x:c>
      <x:c r="I1864" s="16" t="n">
        <x:v>13</x:v>
      </x:c>
      <x:c r="J1864" s="16" t="n">
        <x:v>488</x:v>
      </x:c>
      <x:c r="K1864" s="16" t="n">
        <x:v>23</x:v>
      </x:c>
      <x:c r="L1864" s="16" t="n">
        <x:v>71</x:v>
      </x:c>
      <x:c r="M1864" s="16" t="n">
        <x:v>15</x:v>
      </x:c>
      <x:c r="N1864" s="16" t="n">
        <x:v>0</x:v>
      </x:c>
      <x:c r="O1864" s="16" t="n">
        <x:v>59</x:v>
      </x:c>
      <x:c r="P1864" s="16" t="n">
        <x:v>11</x:v>
      </x:c>
      <x:c r="Q1864" s="16" t="n">
        <x:v>8</x:v>
      </x:c>
      <x:c r="R1864" s="16" t="n">
        <x:v>3</x:v>
      </x:c>
      <x:c r="S1864" s="16" t="n">
        <x:v>7</x:v>
      </x:c>
      <x:c r="T1864" s="16" t="n">
        <x:v>7</x:v>
      </x:c>
      <x:c r="U1864" s="16" t="n">
        <x:v>0</x:v>
      </x:c>
      <x:c r="V1864" s="16" t="n">
        <x:v>1</x:v>
      </x:c>
      <x:c r="W1864" s="16" t="n">
        <x:v>0</x:v>
      </x:c>
      <x:c r="X1864" s="16" t="n">
        <x:v>0</x:v>
      </x:c>
      <x:c r="Y1864" s="16" t="n">
        <x:v>0</x:v>
      </x:c>
      <x:c r="Z1864" s="16" t="n">
        <x:v>0</x:v>
      </x:c>
      <x:c r="AA1864" s="16" t="n">
        <x:v>3</x:v>
      </x:c>
      <x:c r="AB1864" s="16" t="n">
        <x:v>11</x:v>
      </x:c>
      <x:c r="AC1864" s="16" t="n">
        <x:v>1</x:v>
      </x:c>
      <x:c r="AD1864" s="21" t="n">
        <x:f>IF(E1864="",MEDIAN($E$2:$E$2237),E1864)</x:f>
        <x:v>60208</x:v>
      </x:c>
      <x:c r="AE1864" s="17" t="n">
        <x:f>2014-B1864</x:f>
        <x:v>41</x:v>
      </x:c>
      <x:c r="AF1864" s="17" t="n">
        <x:f>F1864+G1864</x:f>
        <x:v>2</x:v>
      </x:c>
      <x:c r="AG1864" s="21" t="n">
        <x:f>SUM(J1864:O1864)</x:f>
        <x:v>656</x:v>
      </x:c>
      <x:c r="AH1864" s="17" t="n">
        <x:f>SUM(Q1864:S1864)</x:f>
        <x:v>18</x:v>
      </x:c>
      <x:c r="AI1864" s="17" t="n">
        <x:f>SUM(U1864:Y1864)</x:f>
        <x:v>1</x:v>
      </x:c>
      <x:c r="AJ1864" s="17" t="str">
        <x:f>IF(AE1864&lt;=34,"≤34",IF(AE1864&lt;=44,"35–44",IF(AE1864&lt;=54,"45–54",IF(AE1864&lt;=64,"55–64","65+"))))</x:f>
        <x:v>35–44</x:v>
      </x:c>
      <x:c r="AK1864" s="17" t="str">
        <x:f>IF(AG1864&gt;=1000,"High Value",IF(AG1864&gt;=300,"Mid Value","Low Value"))</x:f>
        <x:v>Mid Value</x:v>
      </x:c>
      <x:c r="AL1864" s="17" t="str">
        <x:f>IF(AND(AI1864&gt;=1,I1864&lt;=50),"Priority 1",IF(AND(AG1864&gt;=1000,I1864&lt;=60),"Priority 2",IF(I1864&lt;=30,"Priority 3","Nurture")))</x:f>
        <x:v>Priority 1</x:v>
      </x:c>
    </x:row>
    <x:row r="1865">
      <x:c r="A1865" s="16" t="n">
        <x:v>4227</x:v>
      </x:c>
      <x:c r="B1865" s="16" t="n">
        <x:v>1968</x:v>
      </x:c>
      <x:c r="C1865" s="16" t="str">
        <x:v>Master</x:v>
      </x:c>
      <x:c r="D1865" s="16" t="str">
        <x:v>Together</x:v>
      </x:c>
      <x:c r="E1865" s="16" t="n">
        <x:v>32889</x:v>
      </x:c>
      <x:c r="F1865" s="16" t="n">
        <x:v>1</x:v>
      </x:c>
      <x:c r="G1865" s="16" t="n">
        <x:v>1</x:v>
      </x:c>
      <x:c r="H1865" s="16" t="str">
        <x:v>06-09-2013</x:v>
      </x:c>
      <x:c r="I1865" s="16" t="n">
        <x:v>78</x:v>
      </x:c>
      <x:c r="J1865" s="16" t="n">
        <x:v>28</x:v>
      </x:c>
      <x:c r="K1865" s="16" t="n">
        <x:v>0</x:v>
      </x:c>
      <x:c r="L1865" s="16" t="n">
        <x:v>13</x:v>
      </x:c>
      <x:c r="M1865" s="16" t="n">
        <x:v>4</x:v>
      </x:c>
      <x:c r="N1865" s="16" t="n">
        <x:v>2</x:v>
      </x:c>
      <x:c r="O1865" s="16" t="n">
        <x:v>8</x:v>
      </x:c>
      <x:c r="P1865" s="16" t="n">
        <x:v>3</x:v>
      </x:c>
      <x:c r="Q1865" s="16" t="n">
        <x:v>2</x:v>
      </x:c>
      <x:c r="R1865" s="16" t="n">
        <x:v>1</x:v>
      </x:c>
      <x:c r="S1865" s="16" t="n">
        <x:v>3</x:v>
      </x:c>
      <x:c r="T1865" s="16" t="n">
        <x:v>5</x:v>
      </x:c>
      <x:c r="U1865" s="16" t="n">
        <x:v>0</x:v>
      </x:c>
      <x:c r="V1865" s="16" t="n">
        <x:v>0</x:v>
      </x:c>
      <x:c r="W1865" s="16" t="n">
        <x:v>0</x:v>
      </x:c>
      <x:c r="X1865" s="16" t="n">
        <x:v>0</x:v>
      </x:c>
      <x:c r="Y1865" s="16" t="n">
        <x:v>0</x:v>
      </x:c>
      <x:c r="Z1865" s="16" t="n">
        <x:v>0</x:v>
      </x:c>
      <x:c r="AA1865" s="16" t="n">
        <x:v>3</x:v>
      </x:c>
      <x:c r="AB1865" s="16" t="n">
        <x:v>11</x:v>
      </x:c>
      <x:c r="AC1865" s="16" t="n">
        <x:v>0</x:v>
      </x:c>
      <x:c r="AD1865" s="21" t="n">
        <x:f>IF(E1865="",MEDIAN($E$2:$E$2237),E1865)</x:f>
        <x:v>32889</x:v>
      </x:c>
      <x:c r="AE1865" s="17" t="n">
        <x:f>2014-B1865</x:f>
        <x:v>46</x:v>
      </x:c>
      <x:c r="AF1865" s="17" t="n">
        <x:f>F1865+G1865</x:f>
        <x:v>2</x:v>
      </x:c>
      <x:c r="AG1865" s="21" t="n">
        <x:f>SUM(J1865:O1865)</x:f>
        <x:v>55</x:v>
      </x:c>
      <x:c r="AH1865" s="17" t="n">
        <x:f>SUM(Q1865:S1865)</x:f>
        <x:v>6</x:v>
      </x:c>
      <x:c r="AI1865" s="17" t="n">
        <x:f>SUM(U1865:Y1865)</x:f>
        <x:v>0</x:v>
      </x:c>
      <x:c r="AJ1865" s="17" t="str">
        <x:f>IF(AE1865&lt;=34,"≤34",IF(AE1865&lt;=44,"35–44",IF(AE1865&lt;=54,"45–54",IF(AE1865&lt;=64,"55–64","65+"))))</x:f>
        <x:v>45–54</x:v>
      </x:c>
      <x:c r="AK1865" s="17" t="str">
        <x:f>IF(AG1865&gt;=1000,"High Value",IF(AG1865&gt;=300,"Mid Value","Low Value"))</x:f>
        <x:v>Low Value</x:v>
      </x:c>
      <x:c r="AL1865" s="17" t="str">
        <x:f>IF(AND(AI1865&gt;=1,I1865&lt;=50),"Priority 1",IF(AND(AG1865&gt;=1000,I1865&lt;=60),"Priority 2",IF(I1865&lt;=30,"Priority 3","Nurture")))</x:f>
        <x:v>Nurture</x:v>
      </x:c>
    </x:row>
    <x:row r="1866">
      <x:c r="A1866" s="16" t="n">
        <x:v>9467</x:v>
      </x:c>
      <x:c r="B1866" s="16" t="n">
        <x:v>1984</x:v>
      </x:c>
      <x:c r="C1866" s="16" t="str">
        <x:v>Graduation</x:v>
      </x:c>
      <x:c r="D1866" s="16" t="str">
        <x:v>Single</x:v>
      </x:c>
      <x:c r="E1866" s="16" t="n">
        <x:v>34738</x:v>
      </x:c>
      <x:c r="F1866" s="16" t="n">
        <x:v>1</x:v>
      </x:c>
      <x:c r="G1866" s="16" t="n">
        <x:v>0</x:v>
      </x:c>
      <x:c r="H1866" s="16" t="str">
        <x:v>11-05-2014</x:v>
      </x:c>
      <x:c r="I1866" s="16" t="n">
        <x:v>51</x:v>
      </x:c>
      <x:c r="J1866" s="16" t="n">
        <x:v>3</x:v>
      </x:c>
      <x:c r="K1866" s="16" t="n">
        <x:v>2</x:v>
      </x:c>
      <x:c r="L1866" s="16" t="n">
        <x:v>10</x:v>
      </x:c>
      <x:c r="M1866" s="16" t="n">
        <x:v>3</x:v>
      </x:c>
      <x:c r="N1866" s="16" t="n">
        <x:v>0</x:v>
      </x:c>
      <x:c r="O1866" s="16" t="n">
        <x:v>2</x:v>
      </x:c>
      <x:c r="P1866" s="16" t="n">
        <x:v>1</x:v>
      </x:c>
      <x:c r="Q1866" s="16" t="n">
        <x:v>1</x:v>
      </x:c>
      <x:c r="R1866" s="16" t="n">
        <x:v>0</x:v>
      </x:c>
      <x:c r="S1866" s="16" t="n">
        <x:v>3</x:v>
      </x:c>
      <x:c r="T1866" s="16" t="n">
        <x:v>6</x:v>
      </x:c>
      <x:c r="U1866" s="16" t="n">
        <x:v>0</x:v>
      </x:c>
      <x:c r="V1866" s="16" t="n">
        <x:v>0</x:v>
      </x:c>
      <x:c r="W1866" s="16" t="n">
        <x:v>0</x:v>
      </x:c>
      <x:c r="X1866" s="16" t="n">
        <x:v>0</x:v>
      </x:c>
      <x:c r="Y1866" s="16" t="n">
        <x:v>0</x:v>
      </x:c>
      <x:c r="Z1866" s="16" t="n">
        <x:v>0</x:v>
      </x:c>
      <x:c r="AA1866" s="16" t="n">
        <x:v>3</x:v>
      </x:c>
      <x:c r="AB1866" s="16" t="n">
        <x:v>11</x:v>
      </x:c>
      <x:c r="AC1866" s="16" t="n">
        <x:v>0</x:v>
      </x:c>
      <x:c r="AD1866" s="21" t="n">
        <x:f>IF(E1866="",MEDIAN($E$2:$E$2237),E1866)</x:f>
        <x:v>34738</x:v>
      </x:c>
      <x:c r="AE1866" s="17" t="n">
        <x:f>2014-B1866</x:f>
        <x:v>30</x:v>
      </x:c>
      <x:c r="AF1866" s="17" t="n">
        <x:f>F1866+G1866</x:f>
        <x:v>1</x:v>
      </x:c>
      <x:c r="AG1866" s="21" t="n">
        <x:f>SUM(J1866:O1866)</x:f>
        <x:v>20</x:v>
      </x:c>
      <x:c r="AH1866" s="17" t="n">
        <x:f>SUM(Q1866:S1866)</x:f>
        <x:v>4</x:v>
      </x:c>
      <x:c r="AI1866" s="17" t="n">
        <x:f>SUM(U1866:Y1866)</x:f>
        <x:v>0</x:v>
      </x:c>
      <x:c r="AJ1866" s="17" t="str">
        <x:f>IF(AE1866&lt;=34,"≤34",IF(AE1866&lt;=44,"35–44",IF(AE1866&lt;=54,"45–54",IF(AE1866&lt;=64,"55–64","65+"))))</x:f>
        <x:v>≤34</x:v>
      </x:c>
      <x:c r="AK1866" s="17" t="str">
        <x:f>IF(AG1866&gt;=1000,"High Value",IF(AG1866&gt;=300,"Mid Value","Low Value"))</x:f>
        <x:v>Low Value</x:v>
      </x:c>
      <x:c r="AL1866" s="17" t="str">
        <x:f>IF(AND(AI1866&gt;=1,I1866&lt;=50),"Priority 1",IF(AND(AG1866&gt;=1000,I1866&lt;=60),"Priority 2",IF(I1866&lt;=30,"Priority 3","Nurture")))</x:f>
        <x:v>Nurture</x:v>
      </x:c>
    </x:row>
    <x:row r="1867">
      <x:c r="A1867" s="16" t="n">
        <x:v>8486</x:v>
      </x:c>
      <x:c r="B1867" s="16" t="n">
        <x:v>1971</x:v>
      </x:c>
      <x:c r="C1867" s="16" t="str">
        <x:v>Master</x:v>
      </x:c>
      <x:c r="D1867" s="16" t="str">
        <x:v>Together</x:v>
      </x:c>
      <x:c r="E1867" s="16" t="n">
        <x:v>30538</x:v>
      </x:c>
      <x:c r="F1867" s="16" t="n">
        <x:v>1</x:v>
      </x:c>
      <x:c r="G1867" s="16" t="n">
        <x:v>0</x:v>
      </x:c>
      <x:c r="H1867" s="16" t="str">
        <x:v>01-10-2012</x:v>
      </x:c>
      <x:c r="I1867" s="16" t="n">
        <x:v>27</x:v>
      </x:c>
      <x:c r="J1867" s="16" t="n">
        <x:v>284</x:v>
      </x:c>
      <x:c r="K1867" s="16" t="n">
        <x:v>0</x:v>
      </x:c>
      <x:c r="L1867" s="16" t="n">
        <x:v>52</x:v>
      </x:c>
      <x:c r="M1867" s="16" t="n">
        <x:v>8</x:v>
      </x:c>
      <x:c r="N1867" s="16" t="n">
        <x:v>3</x:v>
      </x:c>
      <x:c r="O1867" s="16" t="n">
        <x:v>20</x:v>
      </x:c>
      <x:c r="P1867" s="16" t="n">
        <x:v>4</x:v>
      </x:c>
      <x:c r="Q1867" s="16" t="n">
        <x:v>9</x:v>
      </x:c>
      <x:c r="R1867" s="16" t="n">
        <x:v>0</x:v>
      </x:c>
      <x:c r="S1867" s="16" t="n">
        <x:v>4</x:v>
      </x:c>
      <x:c r="T1867" s="16" t="n">
        <x:v>10</x:v>
      </x:c>
      <x:c r="U1867" s="16" t="n">
        <x:v>0</x:v>
      </x:c>
      <x:c r="V1867" s="16" t="n">
        <x:v>0</x:v>
      </x:c>
      <x:c r="W1867" s="16" t="n">
        <x:v>0</x:v>
      </x:c>
      <x:c r="X1867" s="16" t="n">
        <x:v>0</x:v>
      </x:c>
      <x:c r="Y1867" s="16" t="n">
        <x:v>0</x:v>
      </x:c>
      <x:c r="Z1867" s="16" t="n">
        <x:v>0</x:v>
      </x:c>
      <x:c r="AA1867" s="16" t="n">
        <x:v>3</x:v>
      </x:c>
      <x:c r="AB1867" s="16" t="n">
        <x:v>11</x:v>
      </x:c>
      <x:c r="AC1867" s="16" t="n">
        <x:v>0</x:v>
      </x:c>
      <x:c r="AD1867" s="21" t="n">
        <x:f>IF(E1867="",MEDIAN($E$2:$E$2237),E1867)</x:f>
        <x:v>30538</x:v>
      </x:c>
      <x:c r="AE1867" s="17" t="n">
        <x:f>2014-B1867</x:f>
        <x:v>43</x:v>
      </x:c>
      <x:c r="AF1867" s="17" t="n">
        <x:f>F1867+G1867</x:f>
        <x:v>1</x:v>
      </x:c>
      <x:c r="AG1867" s="21" t="n">
        <x:f>SUM(J1867:O1867)</x:f>
        <x:v>367</x:v>
      </x:c>
      <x:c r="AH1867" s="17" t="n">
        <x:f>SUM(Q1867:S1867)</x:f>
        <x:v>13</x:v>
      </x:c>
      <x:c r="AI1867" s="17" t="n">
        <x:f>SUM(U1867:Y1867)</x:f>
        <x:v>0</x:v>
      </x:c>
      <x:c r="AJ1867" s="17" t="str">
        <x:f>IF(AE1867&lt;=34,"≤34",IF(AE1867&lt;=44,"35–44",IF(AE1867&lt;=54,"45–54",IF(AE1867&lt;=64,"55–64","65+"))))</x:f>
        <x:v>35–44</x:v>
      </x:c>
      <x:c r="AK1867" s="17" t="str">
        <x:f>IF(AG1867&gt;=1000,"High Value",IF(AG1867&gt;=300,"Mid Value","Low Value"))</x:f>
        <x:v>Mid Value</x:v>
      </x:c>
      <x:c r="AL1867" s="17" t="str">
        <x:f>IF(AND(AI1867&gt;=1,I1867&lt;=50),"Priority 1",IF(AND(AG1867&gt;=1000,I1867&lt;=60),"Priority 2",IF(I1867&lt;=30,"Priority 3","Nurture")))</x:f>
        <x:v>Priority 3</x:v>
      </x:c>
    </x:row>
    <x:row r="1868">
      <x:c r="A1868" s="16" t="n">
        <x:v>2186</x:v>
      </x:c>
      <x:c r="B1868" s="16" t="n">
        <x:v>1977</x:v>
      </x:c>
      <x:c r="C1868" s="16" t="str">
        <x:v>2n Cycle</x:v>
      </x:c>
      <x:c r="D1868" s="16" t="str">
        <x:v>Together</x:v>
      </x:c>
      <x:c r="E1868" s="16" t="n">
        <x:v>82326</x:v>
      </x:c>
      <x:c r="F1868" s="16" t="n">
        <x:v>0</x:v>
      </x:c>
      <x:c r="G1868" s="16" t="n">
        <x:v>0</x:v>
      </x:c>
      <x:c r="H1868" s="16" t="str">
        <x:v>10-03-2014</x:v>
      </x:c>
      <x:c r="I1868" s="16" t="n">
        <x:v>30</x:v>
      </x:c>
      <x:c r="J1868" s="16" t="n">
        <x:v>938</x:v>
      </x:c>
      <x:c r="K1868" s="16" t="n">
        <x:v>142</x:v>
      </x:c>
      <x:c r="L1868" s="16" t="n">
        <x:v>754</x:v>
      </x:c>
      <x:c r="M1868" s="16" t="n">
        <x:v>159</x:v>
      </x:c>
      <x:c r="N1868" s="16" t="n">
        <x:v>81</x:v>
      </x:c>
      <x:c r="O1868" s="16" t="n">
        <x:v>183</x:v>
      </x:c>
      <x:c r="P1868" s="16" t="n">
        <x:v>1</x:v>
      </x:c>
      <x:c r="Q1868" s="16" t="n">
        <x:v>5</x:v>
      </x:c>
      <x:c r="R1868" s="16" t="n">
        <x:v>10</x:v>
      </x:c>
      <x:c r="S1868" s="16" t="n">
        <x:v>6</x:v>
      </x:c>
      <x:c r="T1868" s="16" t="n">
        <x:v>2</x:v>
      </x:c>
      <x:c r="U1868" s="16" t="n">
        <x:v>0</x:v>
      </x:c>
      <x:c r="V1868" s="16" t="n">
        <x:v>1</x:v>
      </x:c>
      <x:c r="W1868" s="16" t="n">
        <x:v>1</x:v>
      </x:c>
      <x:c r="X1868" s="16" t="n">
        <x:v>1</x:v>
      </x:c>
      <x:c r="Y1868" s="16" t="n">
        <x:v>0</x:v>
      </x:c>
      <x:c r="Z1868" s="16" t="n">
        <x:v>0</x:v>
      </x:c>
      <x:c r="AA1868" s="16" t="n">
        <x:v>3</x:v>
      </x:c>
      <x:c r="AB1868" s="16" t="n">
        <x:v>11</x:v>
      </x:c>
      <x:c r="AC1868" s="16" t="n">
        <x:v>1</x:v>
      </x:c>
      <x:c r="AD1868" s="21" t="n">
        <x:f>IF(E1868="",MEDIAN($E$2:$E$2237),E1868)</x:f>
        <x:v>82326</x:v>
      </x:c>
      <x:c r="AE1868" s="17" t="n">
        <x:f>2014-B1868</x:f>
        <x:v>37</x:v>
      </x:c>
      <x:c r="AF1868" s="17" t="n">
        <x:f>F1868+G1868</x:f>
        <x:v>0</x:v>
      </x:c>
      <x:c r="AG1868" s="21" t="n">
        <x:f>SUM(J1868:O1868)</x:f>
        <x:v>2257</x:v>
      </x:c>
      <x:c r="AH1868" s="17" t="n">
        <x:f>SUM(Q1868:S1868)</x:f>
        <x:v>21</x:v>
      </x:c>
      <x:c r="AI1868" s="17" t="n">
        <x:f>SUM(U1868:Y1868)</x:f>
        <x:v>3</x:v>
      </x:c>
      <x:c r="AJ1868" s="17" t="str">
        <x:f>IF(AE1868&lt;=34,"≤34",IF(AE1868&lt;=44,"35–44",IF(AE1868&lt;=54,"45–54",IF(AE1868&lt;=64,"55–64","65+"))))</x:f>
        <x:v>35–44</x:v>
      </x:c>
      <x:c r="AK1868" s="17" t="str">
        <x:f>IF(AG1868&gt;=1000,"High Value",IF(AG1868&gt;=300,"Mid Value","Low Value"))</x:f>
        <x:v>High Value</x:v>
      </x:c>
      <x:c r="AL1868" s="17" t="str">
        <x:f>IF(AND(AI1868&gt;=1,I1868&lt;=50),"Priority 1",IF(AND(AG1868&gt;=1000,I1868&lt;=60),"Priority 2",IF(I1868&lt;=30,"Priority 3","Nurture")))</x:f>
        <x:v>Priority 1</x:v>
      </x:c>
    </x:row>
    <x:row r="1869">
      <x:c r="A1869" s="16" t="n">
        <x:v>3286</x:v>
      </x:c>
      <x:c r="B1869" s="16" t="n">
        <x:v>1967</x:v>
      </x:c>
      <x:c r="C1869" s="16" t="str">
        <x:v>PhD</x:v>
      </x:c>
      <x:c r="D1869" s="16" t="str">
        <x:v>Divorced</x:v>
      </x:c>
      <x:c r="E1869" s="16" t="n">
        <x:v>26642</x:v>
      </x:c>
      <x:c r="F1869" s="16" t="n">
        <x:v>1</x:v>
      </x:c>
      <x:c r="G1869" s="16" t="n">
        <x:v>0</x:v>
      </x:c>
      <x:c r="H1869" s="16" t="str">
        <x:v>01-03-2014</x:v>
      </x:c>
      <x:c r="I1869" s="16" t="n">
        <x:v>71</x:v>
      </x:c>
      <x:c r="J1869" s="16" t="n">
        <x:v>13</x:v>
      </x:c>
      <x:c r="K1869" s="16" t="n">
        <x:v>2</x:v>
      </x:c>
      <x:c r="L1869" s="16" t="n">
        <x:v>15</x:v>
      </x:c>
      <x:c r="M1869" s="16" t="n">
        <x:v>2</x:v>
      </x:c>
      <x:c r="N1869" s="16" t="n">
        <x:v>2</x:v>
      </x:c>
      <x:c r="O1869" s="16" t="n">
        <x:v>8</x:v>
      </x:c>
      <x:c r="P1869" s="16" t="n">
        <x:v>2</x:v>
      </x:c>
      <x:c r="Q1869" s="16" t="n">
        <x:v>2</x:v>
      </x:c>
      <x:c r="R1869" s="16" t="n">
        <x:v>0</x:v>
      </x:c>
      <x:c r="S1869" s="16" t="n">
        <x:v>3</x:v>
      </x:c>
      <x:c r="T1869" s="16" t="n">
        <x:v>6</x:v>
      </x:c>
      <x:c r="U1869" s="16" t="n">
        <x:v>0</x:v>
      </x:c>
      <x:c r="V1869" s="16" t="n">
        <x:v>0</x:v>
      </x:c>
      <x:c r="W1869" s="16" t="n">
        <x:v>0</x:v>
      </x:c>
      <x:c r="X1869" s="16" t="n">
        <x:v>0</x:v>
      </x:c>
      <x:c r="Y1869" s="16" t="n">
        <x:v>0</x:v>
      </x:c>
      <x:c r="Z1869" s="16" t="n">
        <x:v>0</x:v>
      </x:c>
      <x:c r="AA1869" s="16" t="n">
        <x:v>3</x:v>
      </x:c>
      <x:c r="AB1869" s="16" t="n">
        <x:v>11</x:v>
      </x:c>
      <x:c r="AC1869" s="16" t="n">
        <x:v>0</x:v>
      </x:c>
      <x:c r="AD1869" s="21" t="n">
        <x:f>IF(E1869="",MEDIAN($E$2:$E$2237),E1869)</x:f>
        <x:v>26642</x:v>
      </x:c>
      <x:c r="AE1869" s="17" t="n">
        <x:f>2014-B1869</x:f>
        <x:v>47</x:v>
      </x:c>
      <x:c r="AF1869" s="17" t="n">
        <x:f>F1869+G1869</x:f>
        <x:v>1</x:v>
      </x:c>
      <x:c r="AG1869" s="21" t="n">
        <x:f>SUM(J1869:O1869)</x:f>
        <x:v>42</x:v>
      </x:c>
      <x:c r="AH1869" s="17" t="n">
        <x:f>SUM(Q1869:S1869)</x:f>
        <x:v>5</x:v>
      </x:c>
      <x:c r="AI1869" s="17" t="n">
        <x:f>SUM(U1869:Y1869)</x:f>
        <x:v>0</x:v>
      </x:c>
      <x:c r="AJ1869" s="17" t="str">
        <x:f>IF(AE1869&lt;=34,"≤34",IF(AE1869&lt;=44,"35–44",IF(AE1869&lt;=54,"45–54",IF(AE1869&lt;=64,"55–64","65+"))))</x:f>
        <x:v>45–54</x:v>
      </x:c>
      <x:c r="AK1869" s="17" t="str">
        <x:f>IF(AG1869&gt;=1000,"High Value",IF(AG1869&gt;=300,"Mid Value","Low Value"))</x:f>
        <x:v>Low Value</x:v>
      </x:c>
      <x:c r="AL1869" s="17" t="str">
        <x:f>IF(AND(AI1869&gt;=1,I1869&lt;=50),"Priority 1",IF(AND(AG1869&gt;=1000,I1869&lt;=60),"Priority 2",IF(I1869&lt;=30,"Priority 3","Nurture")))</x:f>
        <x:v>Nurture</x:v>
      </x:c>
    </x:row>
    <x:row r="1870">
      <x:c r="A1870" s="16" t="n">
        <x:v>8602</x:v>
      </x:c>
      <x:c r="B1870" s="16" t="n">
        <x:v>1964</x:v>
      </x:c>
      <x:c r="C1870" s="16" t="str">
        <x:v>Graduation</x:v>
      </x:c>
      <x:c r="D1870" s="16" t="str">
        <x:v>Divorced</x:v>
      </x:c>
      <x:c r="E1870" s="16" t="n">
        <x:v>69932</x:v>
      </x:c>
      <x:c r="F1870" s="16" t="n">
        <x:v>0</x:v>
      </x:c>
      <x:c r="G1870" s="16" t="n">
        <x:v>1</x:v>
      </x:c>
      <x:c r="H1870" s="16" t="str">
        <x:v>12-06-2013</x:v>
      </x:c>
      <x:c r="I1870" s="16" t="n">
        <x:v>97</x:v>
      </x:c>
      <x:c r="J1870" s="16" t="n">
        <x:v>412</x:v>
      </x:c>
      <x:c r="K1870" s="16" t="n">
        <x:v>172</x:v>
      </x:c>
      <x:c r="L1870" s="16" t="n">
        <x:v>153</x:v>
      </x:c>
      <x:c r="M1870" s="16" t="n">
        <x:v>150</x:v>
      </x:c>
      <x:c r="N1870" s="16" t="n">
        <x:v>105</x:v>
      </x:c>
      <x:c r="O1870" s="16" t="n">
        <x:v>57</x:v>
      </x:c>
      <x:c r="P1870" s="16" t="n">
        <x:v>2</x:v>
      </x:c>
      <x:c r="Q1870" s="16" t="n">
        <x:v>7</x:v>
      </x:c>
      <x:c r="R1870" s="16" t="n">
        <x:v>6</x:v>
      </x:c>
      <x:c r="S1870" s="16" t="n">
        <x:v>11</x:v>
      </x:c>
      <x:c r="T1870" s="16" t="n">
        <x:v>4</x:v>
      </x:c>
      <x:c r="U1870" s="16" t="n">
        <x:v>0</x:v>
      </x:c>
      <x:c r="V1870" s="16" t="n">
        <x:v>0</x:v>
      </x:c>
      <x:c r="W1870" s="16" t="n">
        <x:v>0</x:v>
      </x:c>
      <x:c r="X1870" s="16" t="n">
        <x:v>0</x:v>
      </x:c>
      <x:c r="Y1870" s="16" t="n">
        <x:v>0</x:v>
      </x:c>
      <x:c r="Z1870" s="16" t="n">
        <x:v>0</x:v>
      </x:c>
      <x:c r="AA1870" s="16" t="n">
        <x:v>3</x:v>
      </x:c>
      <x:c r="AB1870" s="16" t="n">
        <x:v>11</x:v>
      </x:c>
      <x:c r="AC1870" s="16" t="n">
        <x:v>0</x:v>
      </x:c>
      <x:c r="AD1870" s="21" t="n">
        <x:f>IF(E1870="",MEDIAN($E$2:$E$2237),E1870)</x:f>
        <x:v>69932</x:v>
      </x:c>
      <x:c r="AE1870" s="17" t="n">
        <x:f>2014-B1870</x:f>
        <x:v>50</x:v>
      </x:c>
      <x:c r="AF1870" s="17" t="n">
        <x:f>F1870+G1870</x:f>
        <x:v>1</x:v>
      </x:c>
      <x:c r="AG1870" s="21" t="n">
        <x:f>SUM(J1870:O1870)</x:f>
        <x:v>1049</x:v>
      </x:c>
      <x:c r="AH1870" s="17" t="n">
        <x:f>SUM(Q1870:S1870)</x:f>
        <x:v>24</x:v>
      </x:c>
      <x:c r="AI1870" s="17" t="n">
        <x:f>SUM(U1870:Y1870)</x:f>
        <x:v>0</x:v>
      </x:c>
      <x:c r="AJ1870" s="17" t="str">
        <x:f>IF(AE1870&lt;=34,"≤34",IF(AE1870&lt;=44,"35–44",IF(AE1870&lt;=54,"45–54",IF(AE1870&lt;=64,"55–64","65+"))))</x:f>
        <x:v>45–54</x:v>
      </x:c>
      <x:c r="AK1870" s="17" t="str">
        <x:f>IF(AG1870&gt;=1000,"High Value",IF(AG1870&gt;=300,"Mid Value","Low Value"))</x:f>
        <x:v>High Value</x:v>
      </x:c>
      <x:c r="AL1870" s="17" t="str">
        <x:f>IF(AND(AI1870&gt;=1,I1870&lt;=50),"Priority 1",IF(AND(AG1870&gt;=1000,I1870&lt;=60),"Priority 2",IF(I1870&lt;=30,"Priority 3","Nurture")))</x:f>
        <x:v>Nurture</x:v>
      </x:c>
    </x:row>
    <x:row r="1871">
      <x:c r="A1871" s="16" t="n">
        <x:v>3722</x:v>
      </x:c>
      <x:c r="B1871" s="16" t="n">
        <x:v>1972</x:v>
      </x:c>
      <x:c r="C1871" s="16" t="str">
        <x:v>Graduation</x:v>
      </x:c>
      <x:c r="D1871" s="16" t="str">
        <x:v>Single</x:v>
      </x:c>
      <x:c r="E1871" s="16" t="n">
        <x:v>44503</x:v>
      </x:c>
      <x:c r="F1871" s="16" t="n">
        <x:v>1</x:v>
      </x:c>
      <x:c r="G1871" s="16" t="n">
        <x:v>1</x:v>
      </x:c>
      <x:c r="H1871" s="16" t="str">
        <x:v>16-04-2014</x:v>
      </x:c>
      <x:c r="I1871" s="16" t="n">
        <x:v>83</x:v>
      </x:c>
      <x:c r="J1871" s="16" t="n">
        <x:v>31</x:v>
      </x:c>
      <x:c r="K1871" s="16" t="n">
        <x:v>1</x:v>
      </x:c>
      <x:c r="L1871" s="16" t="n">
        <x:v>8</x:v>
      </x:c>
      <x:c r="M1871" s="16" t="n">
        <x:v>0</x:v>
      </x:c>
      <x:c r="N1871" s="16" t="n">
        <x:v>0</x:v>
      </x:c>
      <x:c r="O1871" s="16" t="n">
        <x:v>8</x:v>
      </x:c>
      <x:c r="P1871" s="16" t="n">
        <x:v>2</x:v>
      </x:c>
      <x:c r="Q1871" s="16" t="n">
        <x:v>2</x:v>
      </x:c>
      <x:c r="R1871" s="16" t="n">
        <x:v>0</x:v>
      </x:c>
      <x:c r="S1871" s="16" t="n">
        <x:v>3</x:v>
      </x:c>
      <x:c r="T1871" s="16" t="n">
        <x:v>6</x:v>
      </x:c>
      <x:c r="U1871" s="16" t="n">
        <x:v>0</x:v>
      </x:c>
      <x:c r="V1871" s="16" t="n">
        <x:v>0</x:v>
      </x:c>
      <x:c r="W1871" s="16" t="n">
        <x:v>0</x:v>
      </x:c>
      <x:c r="X1871" s="16" t="n">
        <x:v>0</x:v>
      </x:c>
      <x:c r="Y1871" s="16" t="n">
        <x:v>0</x:v>
      </x:c>
      <x:c r="Z1871" s="16" t="n">
        <x:v>0</x:v>
      </x:c>
      <x:c r="AA1871" s="16" t="n">
        <x:v>3</x:v>
      </x:c>
      <x:c r="AB1871" s="16" t="n">
        <x:v>11</x:v>
      </x:c>
      <x:c r="AC1871" s="16" t="n">
        <x:v>0</x:v>
      </x:c>
      <x:c r="AD1871" s="21" t="n">
        <x:f>IF(E1871="",MEDIAN($E$2:$E$2237),E1871)</x:f>
        <x:v>44503</x:v>
      </x:c>
      <x:c r="AE1871" s="17" t="n">
        <x:f>2014-B1871</x:f>
        <x:v>42</x:v>
      </x:c>
      <x:c r="AF1871" s="17" t="n">
        <x:f>F1871+G1871</x:f>
        <x:v>2</x:v>
      </x:c>
      <x:c r="AG1871" s="21" t="n">
        <x:f>SUM(J1871:O1871)</x:f>
        <x:v>48</x:v>
      </x:c>
      <x:c r="AH1871" s="17" t="n">
        <x:f>SUM(Q1871:S1871)</x:f>
        <x:v>5</x:v>
      </x:c>
      <x:c r="AI1871" s="17" t="n">
        <x:f>SUM(U1871:Y1871)</x:f>
        <x:v>0</x:v>
      </x:c>
      <x:c r="AJ1871" s="17" t="str">
        <x:f>IF(AE1871&lt;=34,"≤34",IF(AE1871&lt;=44,"35–44",IF(AE1871&lt;=54,"45–54",IF(AE1871&lt;=64,"55–64","65+"))))</x:f>
        <x:v>35–44</x:v>
      </x:c>
      <x:c r="AK1871" s="17" t="str">
        <x:f>IF(AG1871&gt;=1000,"High Value",IF(AG1871&gt;=300,"Mid Value","Low Value"))</x:f>
        <x:v>Low Value</x:v>
      </x:c>
      <x:c r="AL1871" s="17" t="str">
        <x:f>IF(AND(AI1871&gt;=1,I1871&lt;=50),"Priority 1",IF(AND(AG1871&gt;=1000,I1871&lt;=60),"Priority 2",IF(I1871&lt;=30,"Priority 3","Nurture")))</x:f>
        <x:v>Nurture</x:v>
      </x:c>
    </x:row>
    <x:row r="1872">
      <x:c r="A1872" s="16" t="n">
        <x:v>6715</x:v>
      </x:c>
      <x:c r="B1872" s="16" t="n">
        <x:v>1948</x:v>
      </x:c>
      <x:c r="C1872" s="16" t="str">
        <x:v>PhD</x:v>
      </x:c>
      <x:c r="D1872" s="16" t="str">
        <x:v>Single</x:v>
      </x:c>
      <x:c r="E1872" s="16" t="n">
        <x:v>60200</x:v>
      </x:c>
      <x:c r="F1872" s="16" t="n">
        <x:v>0</x:v>
      </x:c>
      <x:c r="G1872" s="16" t="n">
        <x:v>1</x:v>
      </x:c>
      <x:c r="H1872" s="16" t="str">
        <x:v>02-01-2013</x:v>
      </x:c>
      <x:c r="I1872" s="16" t="n">
        <x:v>3</x:v>
      </x:c>
      <x:c r="J1872" s="16" t="n">
        <x:v>502</x:v>
      </x:c>
      <x:c r="K1872" s="16" t="n">
        <x:v>19</x:v>
      </x:c>
      <x:c r="L1872" s="16" t="n">
        <x:v>132</x:v>
      </x:c>
      <x:c r="M1872" s="16" t="n">
        <x:v>0</x:v>
      </x:c>
      <x:c r="N1872" s="16" t="n">
        <x:v>6</x:v>
      </x:c>
      <x:c r="O1872" s="16" t="n">
        <x:v>26</x:v>
      </x:c>
      <x:c r="P1872" s="16" t="n">
        <x:v>6</x:v>
      </x:c>
      <x:c r="Q1872" s="16" t="n">
        <x:v>6</x:v>
      </x:c>
      <x:c r="R1872" s="16" t="n">
        <x:v>2</x:v>
      </x:c>
      <x:c r="S1872" s="16" t="n">
        <x:v>11</x:v>
      </x:c>
      <x:c r="T1872" s="16" t="n">
        <x:v>6</x:v>
      </x:c>
      <x:c r="U1872" s="16" t="n">
        <x:v>0</x:v>
      </x:c>
      <x:c r="V1872" s="16" t="n">
        <x:v>0</x:v>
      </x:c>
      <x:c r="W1872" s="16" t="n">
        <x:v>0</x:v>
      </x:c>
      <x:c r="X1872" s="16" t="n">
        <x:v>0</x:v>
      </x:c>
      <x:c r="Y1872" s="16" t="n">
        <x:v>0</x:v>
      </x:c>
      <x:c r="Z1872" s="16" t="n">
        <x:v>0</x:v>
      </x:c>
      <x:c r="AA1872" s="16" t="n">
        <x:v>3</x:v>
      </x:c>
      <x:c r="AB1872" s="16" t="n">
        <x:v>11</x:v>
      </x:c>
      <x:c r="AC1872" s="16" t="n">
        <x:v>0</x:v>
      </x:c>
      <x:c r="AD1872" s="21" t="n">
        <x:f>IF(E1872="",MEDIAN($E$2:$E$2237),E1872)</x:f>
        <x:v>60200</x:v>
      </x:c>
      <x:c r="AE1872" s="17" t="n">
        <x:f>2014-B1872</x:f>
        <x:v>66</x:v>
      </x:c>
      <x:c r="AF1872" s="17" t="n">
        <x:f>F1872+G1872</x:f>
        <x:v>1</x:v>
      </x:c>
      <x:c r="AG1872" s="21" t="n">
        <x:f>SUM(J1872:O1872)</x:f>
        <x:v>685</x:v>
      </x:c>
      <x:c r="AH1872" s="17" t="n">
        <x:f>SUM(Q1872:S1872)</x:f>
        <x:v>19</x:v>
      </x:c>
      <x:c r="AI1872" s="17" t="n">
        <x:f>SUM(U1872:Y1872)</x:f>
        <x:v>0</x:v>
      </x:c>
      <x:c r="AJ1872" s="17" t="str">
        <x:f>IF(AE1872&lt;=34,"≤34",IF(AE1872&lt;=44,"35–44",IF(AE1872&lt;=54,"45–54",IF(AE1872&lt;=64,"55–64","65+"))))</x:f>
        <x:v>65+</x:v>
      </x:c>
      <x:c r="AK1872" s="17" t="str">
        <x:f>IF(AG1872&gt;=1000,"High Value",IF(AG1872&gt;=300,"Mid Value","Low Value"))</x:f>
        <x:v>Mid Value</x:v>
      </x:c>
      <x:c r="AL1872" s="17" t="str">
        <x:f>IF(AND(AI1872&gt;=1,I1872&lt;=50),"Priority 1",IF(AND(AG1872&gt;=1000,I1872&lt;=60),"Priority 2",IF(I1872&lt;=30,"Priority 3","Nurture")))</x:f>
        <x:v>Priority 3</x:v>
      </x:c>
    </x:row>
    <x:row r="1873">
      <x:c r="A1873" s="16" t="n">
        <x:v>4796</x:v>
      </x:c>
      <x:c r="B1873" s="16" t="n">
        <x:v>1952</x:v>
      </x:c>
      <x:c r="C1873" s="16" t="str">
        <x:v>Graduation</x:v>
      </x:c>
      <x:c r="D1873" s="16" t="str">
        <x:v>Divorced</x:v>
      </x:c>
      <x:c r="E1873" s="16" t="n">
        <x:v>49638</x:v>
      </x:c>
      <x:c r="F1873" s="16" t="n">
        <x:v>0</x:v>
      </x:c>
      <x:c r="G1873" s="16" t="n">
        <x:v>1</x:v>
      </x:c>
      <x:c r="H1873" s="16" t="str">
        <x:v>19-04-2014</x:v>
      </x:c>
      <x:c r="I1873" s="16" t="n">
        <x:v>71</x:v>
      </x:c>
      <x:c r="J1873" s="16" t="n">
        <x:v>18</x:v>
      </x:c>
      <x:c r="K1873" s="16" t="n">
        <x:v>10</x:v>
      </x:c>
      <x:c r="L1873" s="16" t="n">
        <x:v>3</x:v>
      </x:c>
      <x:c r="M1873" s="16" t="n">
        <x:v>3</x:v>
      </x:c>
      <x:c r="N1873" s="16" t="n">
        <x:v>5</x:v>
      </x:c>
      <x:c r="O1873" s="16" t="n">
        <x:v>0</x:v>
      </x:c>
      <x:c r="P1873" s="16" t="n">
        <x:v>1</x:v>
      </x:c>
      <x:c r="Q1873" s="16" t="n">
        <x:v>1</x:v>
      </x:c>
      <x:c r="R1873" s="16" t="n">
        <x:v>0</x:v>
      </x:c>
      <x:c r="S1873" s="16" t="n">
        <x:v>3</x:v>
      </x:c>
      <x:c r="T1873" s="16" t="n">
        <x:v>2</x:v>
      </x:c>
      <x:c r="U1873" s="16" t="n">
        <x:v>0</x:v>
      </x:c>
      <x:c r="V1873" s="16" t="n">
        <x:v>0</x:v>
      </x:c>
      <x:c r="W1873" s="16" t="n">
        <x:v>0</x:v>
      </x:c>
      <x:c r="X1873" s="16" t="n">
        <x:v>0</x:v>
      </x:c>
      <x:c r="Y1873" s="16" t="n">
        <x:v>0</x:v>
      </x:c>
      <x:c r="Z1873" s="16" t="n">
        <x:v>0</x:v>
      </x:c>
      <x:c r="AA1873" s="16" t="n">
        <x:v>3</x:v>
      </x:c>
      <x:c r="AB1873" s="16" t="n">
        <x:v>11</x:v>
      </x:c>
      <x:c r="AC1873" s="16" t="n">
        <x:v>0</x:v>
      </x:c>
      <x:c r="AD1873" s="21" t="n">
        <x:f>IF(E1873="",MEDIAN($E$2:$E$2237),E1873)</x:f>
        <x:v>49638</x:v>
      </x:c>
      <x:c r="AE1873" s="17" t="n">
        <x:f>2014-B1873</x:f>
        <x:v>62</x:v>
      </x:c>
      <x:c r="AF1873" s="17" t="n">
        <x:f>F1873+G1873</x:f>
        <x:v>1</x:v>
      </x:c>
      <x:c r="AG1873" s="21" t="n">
        <x:f>SUM(J1873:O1873)</x:f>
        <x:v>39</x:v>
      </x:c>
      <x:c r="AH1873" s="17" t="n">
        <x:f>SUM(Q1873:S1873)</x:f>
        <x:v>4</x:v>
      </x:c>
      <x:c r="AI1873" s="17" t="n">
        <x:f>SUM(U1873:Y1873)</x:f>
        <x:v>0</x:v>
      </x:c>
      <x:c r="AJ1873" s="17" t="str">
        <x:f>IF(AE1873&lt;=34,"≤34",IF(AE1873&lt;=44,"35–44",IF(AE1873&lt;=54,"45–54",IF(AE1873&lt;=64,"55–64","65+"))))</x:f>
        <x:v>55–64</x:v>
      </x:c>
      <x:c r="AK1873" s="17" t="str">
        <x:f>IF(AG1873&gt;=1000,"High Value",IF(AG1873&gt;=300,"Mid Value","Low Value"))</x:f>
        <x:v>Low Value</x:v>
      </x:c>
      <x:c r="AL1873" s="17" t="str">
        <x:f>IF(AND(AI1873&gt;=1,I1873&lt;=50),"Priority 1",IF(AND(AG1873&gt;=1000,I1873&lt;=60),"Priority 2",IF(I1873&lt;=30,"Priority 3","Nurture")))</x:f>
        <x:v>Nurture</x:v>
      </x:c>
    </x:row>
    <x:row r="1874">
      <x:c r="A1874" s="16" t="n">
        <x:v>9612</x:v>
      </x:c>
      <x:c r="B1874" s="16" t="n">
        <x:v>1987</x:v>
      </x:c>
      <x:c r="C1874" s="16" t="str">
        <x:v>2n Cycle</x:v>
      </x:c>
      <x:c r="D1874" s="16" t="str">
        <x:v>Single</x:v>
      </x:c>
      <x:c r="E1874" s="16" t="n">
        <x:v>23830</x:v>
      </x:c>
      <x:c r="F1874" s="16" t="n">
        <x:v>0</x:v>
      </x:c>
      <x:c r="G1874" s="16" t="n">
        <x:v>0</x:v>
      </x:c>
      <x:c r="H1874" s="16" t="str">
        <x:v>07-02-2014</x:v>
      </x:c>
      <x:c r="I1874" s="16" t="n">
        <x:v>3</x:v>
      </x:c>
      <x:c r="J1874" s="16" t="n">
        <x:v>1</x:v>
      </x:c>
      <x:c r="K1874" s="16" t="n">
        <x:v>8</x:v>
      </x:c>
      <x:c r="L1874" s="16" t="n">
        <x:v>6</x:v>
      </x:c>
      <x:c r="M1874" s="16" t="n">
        <x:v>4</x:v>
      </x:c>
      <x:c r="N1874" s="16" t="n">
        <x:v>8</x:v>
      </x:c>
      <x:c r="O1874" s="16" t="n">
        <x:v>16</x:v>
      </x:c>
      <x:c r="P1874" s="16" t="n">
        <x:v>1</x:v>
      </x:c>
      <x:c r="Q1874" s="16" t="n">
        <x:v>1</x:v>
      </x:c>
      <x:c r="R1874" s="16" t="n">
        <x:v>0</x:v>
      </x:c>
      <x:c r="S1874" s="16" t="n">
        <x:v>3</x:v>
      </x:c>
      <x:c r="T1874" s="16" t="n">
        <x:v>7</x:v>
      </x:c>
      <x:c r="U1874" s="16" t="n">
        <x:v>0</x:v>
      </x:c>
      <x:c r="V1874" s="16" t="n">
        <x:v>0</x:v>
      </x:c>
      <x:c r="W1874" s="16" t="n">
        <x:v>0</x:v>
      </x:c>
      <x:c r="X1874" s="16" t="n">
        <x:v>0</x:v>
      </x:c>
      <x:c r="Y1874" s="16" t="n">
        <x:v>0</x:v>
      </x:c>
      <x:c r="Z1874" s="16" t="n">
        <x:v>0</x:v>
      </x:c>
      <x:c r="AA1874" s="16" t="n">
        <x:v>3</x:v>
      </x:c>
      <x:c r="AB1874" s="16" t="n">
        <x:v>11</x:v>
      </x:c>
      <x:c r="AC1874" s="16" t="n">
        <x:v>0</x:v>
      </x:c>
      <x:c r="AD1874" s="21" t="n">
        <x:f>IF(E1874="",MEDIAN($E$2:$E$2237),E1874)</x:f>
        <x:v>23830</x:v>
      </x:c>
      <x:c r="AE1874" s="17" t="n">
        <x:f>2014-B1874</x:f>
        <x:v>27</x:v>
      </x:c>
      <x:c r="AF1874" s="17" t="n">
        <x:f>F1874+G1874</x:f>
        <x:v>0</x:v>
      </x:c>
      <x:c r="AG1874" s="21" t="n">
        <x:f>SUM(J1874:O1874)</x:f>
        <x:v>43</x:v>
      </x:c>
      <x:c r="AH1874" s="17" t="n">
        <x:f>SUM(Q1874:S1874)</x:f>
        <x:v>4</x:v>
      </x:c>
      <x:c r="AI1874" s="17" t="n">
        <x:f>SUM(U1874:Y1874)</x:f>
        <x:v>0</x:v>
      </x:c>
      <x:c r="AJ1874" s="17" t="str">
        <x:f>IF(AE1874&lt;=34,"≤34",IF(AE1874&lt;=44,"35–44",IF(AE1874&lt;=54,"45–54",IF(AE1874&lt;=64,"55–64","65+"))))</x:f>
        <x:v>≤34</x:v>
      </x:c>
      <x:c r="AK1874" s="17" t="str">
        <x:f>IF(AG1874&gt;=1000,"High Value",IF(AG1874&gt;=300,"Mid Value","Low Value"))</x:f>
        <x:v>Low Value</x:v>
      </x:c>
      <x:c r="AL1874" s="17" t="str">
        <x:f>IF(AND(AI1874&gt;=1,I1874&lt;=50),"Priority 1",IF(AND(AG1874&gt;=1000,I1874&lt;=60),"Priority 2",IF(I1874&lt;=30,"Priority 3","Nurture")))</x:f>
        <x:v>Priority 3</x:v>
      </x:c>
    </x:row>
    <x:row r="1875">
      <x:c r="A1875" s="16" t="n">
        <x:v>3766</x:v>
      </x:c>
      <x:c r="B1875" s="16" t="n">
        <x:v>1959</x:v>
      </x:c>
      <x:c r="C1875" s="16" t="str">
        <x:v>Master</x:v>
      </x:c>
      <x:c r="D1875" s="16" t="str">
        <x:v>Widow</x:v>
      </x:c>
      <x:c r="E1875" s="16" t="n">
        <x:v>33051</x:v>
      </x:c>
      <x:c r="F1875" s="16" t="n">
        <x:v>0</x:v>
      </x:c>
      <x:c r="G1875" s="16" t="n">
        <x:v>0</x:v>
      </x:c>
      <x:c r="H1875" s="16" t="str">
        <x:v>16-08-2012</x:v>
      </x:c>
      <x:c r="I1875" s="16" t="n">
        <x:v>15</x:v>
      </x:c>
      <x:c r="J1875" s="16" t="n">
        <x:v>100</x:v>
      </x:c>
      <x:c r="K1875" s="16" t="n">
        <x:v>71</x:v>
      </x:c>
      <x:c r="L1875" s="16" t="n">
        <x:v>243</x:v>
      </x:c>
      <x:c r="M1875" s="16" t="n">
        <x:v>108</x:v>
      </x:c>
      <x:c r="N1875" s="16" t="n">
        <x:v>94</x:v>
      </x:c>
      <x:c r="O1875" s="16" t="n">
        <x:v>219</x:v>
      </x:c>
      <x:c r="P1875" s="16" t="n">
        <x:v>3</x:v>
      </x:c>
      <x:c r="Q1875" s="16" t="n">
        <x:v>9</x:v>
      </x:c>
      <x:c r="R1875" s="16" t="n">
        <x:v>1</x:v>
      </x:c>
      <x:c r="S1875" s="16" t="n">
        <x:v>8</x:v>
      </x:c>
      <x:c r="T1875" s="16" t="n">
        <x:v>9</x:v>
      </x:c>
      <x:c r="U1875" s="16" t="n">
        <x:v>0</x:v>
      </x:c>
      <x:c r="V1875" s="16" t="n">
        <x:v>0</x:v>
      </x:c>
      <x:c r="W1875" s="16" t="n">
        <x:v>0</x:v>
      </x:c>
      <x:c r="X1875" s="16" t="n">
        <x:v>0</x:v>
      </x:c>
      <x:c r="Y1875" s="16" t="n">
        <x:v>0</x:v>
      </x:c>
      <x:c r="Z1875" s="16" t="n">
        <x:v>0</x:v>
      </x:c>
      <x:c r="AA1875" s="16" t="n">
        <x:v>3</x:v>
      </x:c>
      <x:c r="AB1875" s="16" t="n">
        <x:v>11</x:v>
      </x:c>
      <x:c r="AC1875" s="16" t="n">
        <x:v>1</x:v>
      </x:c>
      <x:c r="AD1875" s="21" t="n">
        <x:f>IF(E1875="",MEDIAN($E$2:$E$2237),E1875)</x:f>
        <x:v>33051</x:v>
      </x:c>
      <x:c r="AE1875" s="17" t="n">
        <x:f>2014-B1875</x:f>
        <x:v>55</x:v>
      </x:c>
      <x:c r="AF1875" s="17" t="n">
        <x:f>F1875+G1875</x:f>
        <x:v>0</x:v>
      </x:c>
      <x:c r="AG1875" s="21" t="n">
        <x:f>SUM(J1875:O1875)</x:f>
        <x:v>835</x:v>
      </x:c>
      <x:c r="AH1875" s="17" t="n">
        <x:f>SUM(Q1875:S1875)</x:f>
        <x:v>18</x:v>
      </x:c>
      <x:c r="AI1875" s="17" t="n">
        <x:f>SUM(U1875:Y1875)</x:f>
        <x:v>0</x:v>
      </x:c>
      <x:c r="AJ1875" s="17" t="str">
        <x:f>IF(AE1875&lt;=34,"≤34",IF(AE1875&lt;=44,"35–44",IF(AE1875&lt;=54,"45–54",IF(AE1875&lt;=64,"55–64","65+"))))</x:f>
        <x:v>55–64</x:v>
      </x:c>
      <x:c r="AK1875" s="17" t="str">
        <x:f>IF(AG1875&gt;=1000,"High Value",IF(AG1875&gt;=300,"Mid Value","Low Value"))</x:f>
        <x:v>Mid Value</x:v>
      </x:c>
      <x:c r="AL1875" s="17" t="str">
        <x:f>IF(AND(AI1875&gt;=1,I1875&lt;=50),"Priority 1",IF(AND(AG1875&gt;=1000,I1875&lt;=60),"Priority 2",IF(I1875&lt;=30,"Priority 3","Nurture")))</x:f>
        <x:v>Priority 3</x:v>
      </x:c>
    </x:row>
    <x:row r="1876">
      <x:c r="A1876" s="16" t="n">
        <x:v>1399</x:v>
      </x:c>
      <x:c r="B1876" s="16" t="n">
        <x:v>1958</x:v>
      </x:c>
      <x:c r="C1876" s="16" t="str">
        <x:v>Graduation</x:v>
      </x:c>
      <x:c r="D1876" s="16" t="str">
        <x:v>Married</x:v>
      </x:c>
      <x:c r="E1876" s="16" t="n">
        <x:v>72905</x:v>
      </x:c>
      <x:c r="F1876" s="16" t="n">
        <x:v>0</x:v>
      </x:c>
      <x:c r="G1876" s="16" t="n">
        <x:v>0</x:v>
      </x:c>
      <x:c r="H1876" s="16" t="str">
        <x:v>21-01-2014</x:v>
      </x:c>
      <x:c r="I1876" s="16" t="n">
        <x:v>52</x:v>
      </x:c>
      <x:c r="J1876" s="16" t="n">
        <x:v>407</x:v>
      </x:c>
      <x:c r="K1876" s="16" t="n">
        <x:v>114</x:v>
      </x:c>
      <x:c r="L1876" s="16" t="n">
        <x:v>445</x:v>
      </x:c>
      <x:c r="M1876" s="16" t="n">
        <x:v>181</x:v>
      </x:c>
      <x:c r="N1876" s="16" t="n">
        <x:v>165</x:v>
      </x:c>
      <x:c r="O1876" s="16" t="n">
        <x:v>203</x:v>
      </x:c>
      <x:c r="P1876" s="16" t="n">
        <x:v>1</x:v>
      </x:c>
      <x:c r="Q1876" s="16" t="n">
        <x:v>3</x:v>
      </x:c>
      <x:c r="R1876" s="16" t="n">
        <x:v>7</x:v>
      </x:c>
      <x:c r="S1876" s="16" t="n">
        <x:v>9</x:v>
      </x:c>
      <x:c r="T1876" s="16" t="n">
        <x:v>1</x:v>
      </x:c>
      <x:c r="U1876" s="16" t="n">
        <x:v>0</x:v>
      </x:c>
      <x:c r="V1876" s="16" t="n">
        <x:v>0</x:v>
      </x:c>
      <x:c r="W1876" s="16" t="n">
        <x:v>0</x:v>
      </x:c>
      <x:c r="X1876" s="16" t="n">
        <x:v>1</x:v>
      </x:c>
      <x:c r="Y1876" s="16" t="n">
        <x:v>0</x:v>
      </x:c>
      <x:c r="Z1876" s="16" t="n">
        <x:v>0</x:v>
      </x:c>
      <x:c r="AA1876" s="16" t="n">
        <x:v>3</x:v>
      </x:c>
      <x:c r="AB1876" s="16" t="n">
        <x:v>11</x:v>
      </x:c>
      <x:c r="AC1876" s="16" t="n">
        <x:v>0</x:v>
      </x:c>
      <x:c r="AD1876" s="21" t="n">
        <x:f>IF(E1876="",MEDIAN($E$2:$E$2237),E1876)</x:f>
        <x:v>72905</x:v>
      </x:c>
      <x:c r="AE1876" s="17" t="n">
        <x:f>2014-B1876</x:f>
        <x:v>56</x:v>
      </x:c>
      <x:c r="AF1876" s="17" t="n">
        <x:f>F1876+G1876</x:f>
        <x:v>0</x:v>
      </x:c>
      <x:c r="AG1876" s="21" t="n">
        <x:f>SUM(J1876:O1876)</x:f>
        <x:v>1515</x:v>
      </x:c>
      <x:c r="AH1876" s="17" t="n">
        <x:f>SUM(Q1876:S1876)</x:f>
        <x:v>19</x:v>
      </x:c>
      <x:c r="AI1876" s="17" t="n">
        <x:f>SUM(U1876:Y1876)</x:f>
        <x:v>1</x:v>
      </x:c>
      <x:c r="AJ1876" s="17" t="str">
        <x:f>IF(AE1876&lt;=34,"≤34",IF(AE1876&lt;=44,"35–44",IF(AE1876&lt;=54,"45–54",IF(AE1876&lt;=64,"55–64","65+"))))</x:f>
        <x:v>55–64</x:v>
      </x:c>
      <x:c r="AK1876" s="17" t="str">
        <x:f>IF(AG1876&gt;=1000,"High Value",IF(AG1876&gt;=300,"Mid Value","Low Value"))</x:f>
        <x:v>High Value</x:v>
      </x:c>
      <x:c r="AL1876" s="17" t="str">
        <x:f>IF(AND(AI1876&gt;=1,I1876&lt;=50),"Priority 1",IF(AND(AG1876&gt;=1000,I1876&lt;=60),"Priority 2",IF(I1876&lt;=30,"Priority 3","Nurture")))</x:f>
        <x:v>Priority 2</x:v>
      </x:c>
    </x:row>
    <x:row r="1877">
      <x:c r="A1877" s="16" t="n">
        <x:v>1570</x:v>
      </x:c>
      <x:c r="B1877" s="16" t="n">
        <x:v>1951</x:v>
      </x:c>
      <x:c r="C1877" s="16" t="str">
        <x:v>PhD</x:v>
      </x:c>
      <x:c r="D1877" s="16" t="str">
        <x:v>Together</x:v>
      </x:c>
      <x:c r="E1877" s="16" t="n">
        <x:v>69702</x:v>
      </x:c>
      <x:c r="F1877" s="16" t="n">
        <x:v>0</x:v>
      </x:c>
      <x:c r="G1877" s="16" t="n">
        <x:v>1</x:v>
      </x:c>
      <x:c r="H1877" s="16" t="str">
        <x:v>19-02-2013</x:v>
      </x:c>
      <x:c r="I1877" s="16" t="n">
        <x:v>8</x:v>
      </x:c>
      <x:c r="J1877" s="16" t="n">
        <x:v>664</x:v>
      </x:c>
      <x:c r="K1877" s="16" t="n">
        <x:v>9</x:v>
      </x:c>
      <x:c r="L1877" s="16" t="n">
        <x:v>240</x:v>
      </x:c>
      <x:c r="M1877" s="16" t="n">
        <x:v>50</x:v>
      </x:c>
      <x:c r="N1877" s="16" t="n">
        <x:v>19</x:v>
      </x:c>
      <x:c r="O1877" s="16" t="n">
        <x:v>57</x:v>
      </x:c>
      <x:c r="P1877" s="16" t="n">
        <x:v>2</x:v>
      </x:c>
      <x:c r="Q1877" s="16" t="n">
        <x:v>7</x:v>
      </x:c>
      <x:c r="R1877" s="16" t="n">
        <x:v>7</x:v>
      </x:c>
      <x:c r="S1877" s="16" t="n">
        <x:v>10</x:v>
      </x:c>
      <x:c r="T1877" s="16" t="n">
        <x:v>4</x:v>
      </x:c>
      <x:c r="U1877" s="16" t="n">
        <x:v>0</x:v>
      </x:c>
      <x:c r="V1877" s="16" t="n">
        <x:v>0</x:v>
      </x:c>
      <x:c r="W1877" s="16" t="n">
        <x:v>0</x:v>
      </x:c>
      <x:c r="X1877" s="16" t="n">
        <x:v>0</x:v>
      </x:c>
      <x:c r="Y1877" s="16" t="n">
        <x:v>0</x:v>
      </x:c>
      <x:c r="Z1877" s="16" t="n">
        <x:v>0</x:v>
      </x:c>
      <x:c r="AA1877" s="16" t="n">
        <x:v>3</x:v>
      </x:c>
      <x:c r="AB1877" s="16" t="n">
        <x:v>11</x:v>
      </x:c>
      <x:c r="AC1877" s="16" t="n">
        <x:v>0</x:v>
      </x:c>
      <x:c r="AD1877" s="21" t="n">
        <x:f>IF(E1877="",MEDIAN($E$2:$E$2237),E1877)</x:f>
        <x:v>69702</x:v>
      </x:c>
      <x:c r="AE1877" s="17" t="n">
        <x:f>2014-B1877</x:f>
        <x:v>63</x:v>
      </x:c>
      <x:c r="AF1877" s="17" t="n">
        <x:f>F1877+G1877</x:f>
        <x:v>1</x:v>
      </x:c>
      <x:c r="AG1877" s="21" t="n">
        <x:f>SUM(J1877:O1877)</x:f>
        <x:v>1039</x:v>
      </x:c>
      <x:c r="AH1877" s="17" t="n">
        <x:f>SUM(Q1877:S1877)</x:f>
        <x:v>24</x:v>
      </x:c>
      <x:c r="AI1877" s="17" t="n">
        <x:f>SUM(U1877:Y1877)</x:f>
        <x:v>0</x:v>
      </x:c>
      <x:c r="AJ1877" s="17" t="str">
        <x:f>IF(AE1877&lt;=34,"≤34",IF(AE1877&lt;=44,"35–44",IF(AE1877&lt;=54,"45–54",IF(AE1877&lt;=64,"55–64","65+"))))</x:f>
        <x:v>55–64</x:v>
      </x:c>
      <x:c r="AK1877" s="17" t="str">
        <x:f>IF(AG1877&gt;=1000,"High Value",IF(AG1877&gt;=300,"Mid Value","Low Value"))</x:f>
        <x:v>High Value</x:v>
      </x:c>
      <x:c r="AL1877" s="17" t="str">
        <x:f>IF(AND(AI1877&gt;=1,I1877&lt;=50),"Priority 1",IF(AND(AG1877&gt;=1000,I1877&lt;=60),"Priority 2",IF(I1877&lt;=30,"Priority 3","Nurture")))</x:f>
        <x:v>Priority 2</x:v>
      </x:c>
    </x:row>
    <x:row r="1878">
      <x:c r="A1878" s="16" t="n">
        <x:v>3426</x:v>
      </x:c>
      <x:c r="B1878" s="16" t="n">
        <x:v>1975</x:v>
      </x:c>
      <x:c r="C1878" s="16" t="str">
        <x:v>Graduation</x:v>
      </x:c>
      <x:c r="D1878" s="16" t="str">
        <x:v>Divorced</x:v>
      </x:c>
      <x:c r="E1878" s="16" t="n">
        <x:v>70300</x:v>
      </x:c>
      <x:c r="F1878" s="16" t="n">
        <x:v>1</x:v>
      </x:c>
      <x:c r="G1878" s="16" t="n">
        <x:v>0</x:v>
      </x:c>
      <x:c r="H1878" s="16" t="str">
        <x:v>15-07-2013</x:v>
      </x:c>
      <x:c r="I1878" s="16" t="n">
        <x:v>89</x:v>
      </x:c>
      <x:c r="J1878" s="16" t="n">
        <x:v>1045</x:v>
      </x:c>
      <x:c r="K1878" s="16" t="n">
        <x:v>61</x:v>
      </x:c>
      <x:c r="L1878" s="16" t="n">
        <x:v>338</x:v>
      </x:c>
      <x:c r="M1878" s="16" t="n">
        <x:v>60</x:v>
      </x:c>
      <x:c r="N1878" s="16" t="n">
        <x:v>46</x:v>
      </x:c>
      <x:c r="O1878" s="16" t="n">
        <x:v>46</x:v>
      </x:c>
      <x:c r="P1878" s="16" t="n">
        <x:v>3</x:v>
      </x:c>
      <x:c r="Q1878" s="16" t="n">
        <x:v>5</x:v>
      </x:c>
      <x:c r="R1878" s="16" t="n">
        <x:v>5</x:v>
      </x:c>
      <x:c r="S1878" s="16" t="n">
        <x:v>13</x:v>
      </x:c>
      <x:c r="T1878" s="16" t="n">
        <x:v>8</x:v>
      </x:c>
      <x:c r="U1878" s="16" t="n">
        <x:v>0</x:v>
      </x:c>
      <x:c r="V1878" s="16" t="n">
        <x:v>0</x:v>
      </x:c>
      <x:c r="W1878" s="16" t="n">
        <x:v>0</x:v>
      </x:c>
      <x:c r="X1878" s="16" t="n">
        <x:v>0</x:v>
      </x:c>
      <x:c r="Y1878" s="16" t="n">
        <x:v>0</x:v>
      </x:c>
      <x:c r="Z1878" s="16" t="n">
        <x:v>0</x:v>
      </x:c>
      <x:c r="AA1878" s="16" t="n">
        <x:v>3</x:v>
      </x:c>
      <x:c r="AB1878" s="16" t="n">
        <x:v>11</x:v>
      </x:c>
      <x:c r="AC1878" s="16" t="n">
        <x:v>0</x:v>
      </x:c>
      <x:c r="AD1878" s="21" t="n">
        <x:f>IF(E1878="",MEDIAN($E$2:$E$2237),E1878)</x:f>
        <x:v>70300</x:v>
      </x:c>
      <x:c r="AE1878" s="17" t="n">
        <x:f>2014-B1878</x:f>
        <x:v>39</x:v>
      </x:c>
      <x:c r="AF1878" s="17" t="n">
        <x:f>F1878+G1878</x:f>
        <x:v>1</x:v>
      </x:c>
      <x:c r="AG1878" s="21" t="n">
        <x:f>SUM(J1878:O1878)</x:f>
        <x:v>1596</x:v>
      </x:c>
      <x:c r="AH1878" s="17" t="n">
        <x:f>SUM(Q1878:S1878)</x:f>
        <x:v>23</x:v>
      </x:c>
      <x:c r="AI1878" s="17" t="n">
        <x:f>SUM(U1878:Y1878)</x:f>
        <x:v>0</x:v>
      </x:c>
      <x:c r="AJ1878" s="17" t="str">
        <x:f>IF(AE1878&lt;=34,"≤34",IF(AE1878&lt;=44,"35–44",IF(AE1878&lt;=54,"45–54",IF(AE1878&lt;=64,"55–64","65+"))))</x:f>
        <x:v>35–44</x:v>
      </x:c>
      <x:c r="AK1878" s="17" t="str">
        <x:f>IF(AG1878&gt;=1000,"High Value",IF(AG1878&gt;=300,"Mid Value","Low Value"))</x:f>
        <x:v>High Value</x:v>
      </x:c>
      <x:c r="AL1878" s="17" t="str">
        <x:f>IF(AND(AI1878&gt;=1,I1878&lt;=50),"Priority 1",IF(AND(AG1878&gt;=1000,I1878&lt;=60),"Priority 2",IF(I1878&lt;=30,"Priority 3","Nurture")))</x:f>
        <x:v>Nurture</x:v>
      </x:c>
    </x:row>
    <x:row r="1879">
      <x:c r="A1879" s="16" t="n">
        <x:v>3074</x:v>
      </x:c>
      <x:c r="B1879" s="16" t="n">
        <x:v>1984</x:v>
      </x:c>
      <x:c r="C1879" s="16" t="str">
        <x:v>PhD</x:v>
      </x:c>
      <x:c r="D1879" s="16" t="str">
        <x:v>Married</x:v>
      </x:c>
      <x:c r="E1879" s="16" t="n">
        <x:v>70643</x:v>
      </x:c>
      <x:c r="F1879" s="16" t="n">
        <x:v>0</x:v>
      </x:c>
      <x:c r="G1879" s="16" t="n">
        <x:v>0</x:v>
      </x:c>
      <x:c r="H1879" s="16" t="str">
        <x:v>15-10-2012</x:v>
      </x:c>
      <x:c r="I1879" s="16" t="n">
        <x:v>66</x:v>
      </x:c>
      <x:c r="J1879" s="16" t="n">
        <x:v>1218</x:v>
      </x:c>
      <x:c r="K1879" s="16" t="n">
        <x:v>107</x:v>
      </x:c>
      <x:c r="L1879" s="16" t="n">
        <x:v>304</x:v>
      </x:c>
      <x:c r="M1879" s="16" t="n">
        <x:v>23</x:v>
      </x:c>
      <x:c r="N1879" s="16" t="n">
        <x:v>143</x:v>
      </x:c>
      <x:c r="O1879" s="16" t="n">
        <x:v>33</x:v>
      </x:c>
      <x:c r="P1879" s="16" t="n">
        <x:v>1</x:v>
      </x:c>
      <x:c r="Q1879" s="16" t="n">
        <x:v>5</x:v>
      </x:c>
      <x:c r="R1879" s="16" t="n">
        <x:v>8</x:v>
      </x:c>
      <x:c r="S1879" s="16" t="n">
        <x:v>4</x:v>
      </x:c>
      <x:c r="T1879" s="16" t="n">
        <x:v>6</x:v>
      </x:c>
      <x:c r="U1879" s="16" t="n">
        <x:v>0</x:v>
      </x:c>
      <x:c r="V1879" s="16" t="n">
        <x:v>0</x:v>
      </x:c>
      <x:c r="W1879" s="16" t="n">
        <x:v>0</x:v>
      </x:c>
      <x:c r="X1879" s="16" t="n">
        <x:v>0</x:v>
      </x:c>
      <x:c r="Y1879" s="16" t="n">
        <x:v>0</x:v>
      </x:c>
      <x:c r="Z1879" s="16" t="n">
        <x:v>0</x:v>
      </x:c>
      <x:c r="AA1879" s="16" t="n">
        <x:v>3</x:v>
      </x:c>
      <x:c r="AB1879" s="16" t="n">
        <x:v>11</x:v>
      </x:c>
      <x:c r="AC1879" s="16" t="n">
        <x:v>1</x:v>
      </x:c>
      <x:c r="AD1879" s="21" t="n">
        <x:f>IF(E1879="",MEDIAN($E$2:$E$2237),E1879)</x:f>
        <x:v>70643</x:v>
      </x:c>
      <x:c r="AE1879" s="17" t="n">
        <x:f>2014-B1879</x:f>
        <x:v>30</x:v>
      </x:c>
      <x:c r="AF1879" s="17" t="n">
        <x:f>F1879+G1879</x:f>
        <x:v>0</x:v>
      </x:c>
      <x:c r="AG1879" s="21" t="n">
        <x:f>SUM(J1879:O1879)</x:f>
        <x:v>1828</x:v>
      </x:c>
      <x:c r="AH1879" s="17" t="n">
        <x:f>SUM(Q1879:S1879)</x:f>
        <x:v>17</x:v>
      </x:c>
      <x:c r="AI1879" s="17" t="n">
        <x:f>SUM(U1879:Y1879)</x:f>
        <x:v>0</x:v>
      </x:c>
      <x:c r="AJ1879" s="17" t="str">
        <x:f>IF(AE1879&lt;=34,"≤34",IF(AE1879&lt;=44,"35–44",IF(AE1879&lt;=54,"45–54",IF(AE1879&lt;=64,"55–64","65+"))))</x:f>
        <x:v>≤34</x:v>
      </x:c>
      <x:c r="AK1879" s="17" t="str">
        <x:f>IF(AG1879&gt;=1000,"High Value",IF(AG1879&gt;=300,"Mid Value","Low Value"))</x:f>
        <x:v>High Value</x:v>
      </x:c>
      <x:c r="AL1879" s="17" t="str">
        <x:f>IF(AND(AI1879&gt;=1,I1879&lt;=50),"Priority 1",IF(AND(AG1879&gt;=1000,I1879&lt;=60),"Priority 2",IF(I1879&lt;=30,"Priority 3","Nurture")))</x:f>
        <x:v>Nurture</x:v>
      </x:c>
    </x:row>
    <x:row r="1880">
      <x:c r="A1880" s="16" t="n">
        <x:v>8341</x:v>
      </x:c>
      <x:c r="B1880" s="16" t="n">
        <x:v>1969</x:v>
      </x:c>
      <x:c r="C1880" s="16" t="str">
        <x:v>PhD</x:v>
      </x:c>
      <x:c r="D1880" s="16" t="str">
        <x:v>Married</x:v>
      </x:c>
      <x:c r="E1880" s="16" t="n">
        <x:v>30396</x:v>
      </x:c>
      <x:c r="F1880" s="16" t="n">
        <x:v>1</x:v>
      </x:c>
      <x:c r="G1880" s="16" t="n">
        <x:v>0</x:v>
      </x:c>
      <x:c r="H1880" s="16" t="str">
        <x:v>30-04-2014</x:v>
      </x:c>
      <x:c r="I1880" s="16" t="n">
        <x:v>22</x:v>
      </x:c>
      <x:c r="J1880" s="16" t="n">
        <x:v>15</x:v>
      </x:c>
      <x:c r="K1880" s="16" t="n">
        <x:v>0</x:v>
      </x:c>
      <x:c r="L1880" s="16" t="n">
        <x:v>6</x:v>
      </x:c>
      <x:c r="M1880" s="16" t="n">
        <x:v>0</x:v>
      </x:c>
      <x:c r="N1880" s="16" t="n">
        <x:v>1</x:v>
      </x:c>
      <x:c r="O1880" s="16" t="n">
        <x:v>12</x:v>
      </x:c>
      <x:c r="P1880" s="16" t="n">
        <x:v>2</x:v>
      </x:c>
      <x:c r="Q1880" s="16" t="n">
        <x:v>1</x:v>
      </x:c>
      <x:c r="R1880" s="16" t="n">
        <x:v>1</x:v>
      </x:c>
      <x:c r="S1880" s="16" t="n">
        <x:v>2</x:v>
      </x:c>
      <x:c r="T1880" s="16" t="n">
        <x:v>7</x:v>
      </x:c>
      <x:c r="U1880" s="16" t="n">
        <x:v>1</x:v>
      </x:c>
      <x:c r="V1880" s="16" t="n">
        <x:v>0</x:v>
      </x:c>
      <x:c r="W1880" s="16" t="n">
        <x:v>0</x:v>
      </x:c>
      <x:c r="X1880" s="16" t="n">
        <x:v>0</x:v>
      </x:c>
      <x:c r="Y1880" s="16" t="n">
        <x:v>0</x:v>
      </x:c>
      <x:c r="Z1880" s="16" t="n">
        <x:v>0</x:v>
      </x:c>
      <x:c r="AA1880" s="16" t="n">
        <x:v>3</x:v>
      </x:c>
      <x:c r="AB1880" s="16" t="n">
        <x:v>11</x:v>
      </x:c>
      <x:c r="AC1880" s="16" t="n">
        <x:v>1</x:v>
      </x:c>
      <x:c r="AD1880" s="21" t="n">
        <x:f>IF(E1880="",MEDIAN($E$2:$E$2237),E1880)</x:f>
        <x:v>30396</x:v>
      </x:c>
      <x:c r="AE1880" s="17" t="n">
        <x:f>2014-B1880</x:f>
        <x:v>45</x:v>
      </x:c>
      <x:c r="AF1880" s="17" t="n">
        <x:f>F1880+G1880</x:f>
        <x:v>1</x:v>
      </x:c>
      <x:c r="AG1880" s="21" t="n">
        <x:f>SUM(J1880:O1880)</x:f>
        <x:v>34</x:v>
      </x:c>
      <x:c r="AH1880" s="17" t="n">
        <x:f>SUM(Q1880:S1880)</x:f>
        <x:v>4</x:v>
      </x:c>
      <x:c r="AI1880" s="17" t="n">
        <x:f>SUM(U1880:Y1880)</x:f>
        <x:v>1</x:v>
      </x:c>
      <x:c r="AJ1880" s="17" t="str">
        <x:f>IF(AE1880&lt;=34,"≤34",IF(AE1880&lt;=44,"35–44",IF(AE1880&lt;=54,"45–54",IF(AE1880&lt;=64,"55–64","65+"))))</x:f>
        <x:v>45–54</x:v>
      </x:c>
      <x:c r="AK1880" s="17" t="str">
        <x:f>IF(AG1880&gt;=1000,"High Value",IF(AG1880&gt;=300,"Mid Value","Low Value"))</x:f>
        <x:v>Low Value</x:v>
      </x:c>
      <x:c r="AL1880" s="17" t="str">
        <x:f>IF(AND(AI1880&gt;=1,I1880&lt;=50),"Priority 1",IF(AND(AG1880&gt;=1000,I1880&lt;=60),"Priority 2",IF(I1880&lt;=30,"Priority 3","Nurture")))</x:f>
        <x:v>Priority 1</x:v>
      </x:c>
    </x:row>
    <x:row r="1881">
      <x:c r="A1881" s="16" t="n">
        <x:v>5180</x:v>
      </x:c>
      <x:c r="B1881" s="16" t="n">
        <x:v>1968</x:v>
      </x:c>
      <x:c r="C1881" s="16" t="str">
        <x:v>PhD</x:v>
      </x:c>
      <x:c r="D1881" s="16" t="str">
        <x:v>Divorced</x:v>
      </x:c>
      <x:c r="E1881" s="16" t="n">
        <x:v>50616</x:v>
      </x:c>
      <x:c r="F1881" s="16" t="n">
        <x:v>0</x:v>
      </x:c>
      <x:c r="G1881" s="16" t="n">
        <x:v>1</x:v>
      </x:c>
      <x:c r="H1881" s="16" t="str">
        <x:v>18-04-2014</x:v>
      </x:c>
      <x:c r="I1881" s="16" t="n">
        <x:v>56</x:v>
      </x:c>
      <x:c r="J1881" s="16" t="n">
        <x:v>128</x:v>
      </x:c>
      <x:c r="K1881" s="16" t="n">
        <x:v>0</x:v>
      </x:c>
      <x:c r="L1881" s="16" t="n">
        <x:v>16</x:v>
      </x:c>
      <x:c r="M1881" s="16" t="n">
        <x:v>0</x:v>
      </x:c>
      <x:c r="N1881" s="16" t="n">
        <x:v>1</x:v>
      </x:c>
      <x:c r="O1881" s="16" t="n">
        <x:v>4</x:v>
      </x:c>
      <x:c r="P1881" s="16" t="n">
        <x:v>2</x:v>
      </x:c>
      <x:c r="Q1881" s="16" t="n">
        <x:v>4</x:v>
      </x:c>
      <x:c r="R1881" s="16" t="n">
        <x:v>0</x:v>
      </x:c>
      <x:c r="S1881" s="16" t="n">
        <x:v>4</x:v>
      </x:c>
      <x:c r="T1881" s="16" t="n">
        <x:v>7</x:v>
      </x:c>
      <x:c r="U1881" s="16" t="n">
        <x:v>0</x:v>
      </x:c>
      <x:c r="V1881" s="16" t="n">
        <x:v>0</x:v>
      </x:c>
      <x:c r="W1881" s="16" t="n">
        <x:v>0</x:v>
      </x:c>
      <x:c r="X1881" s="16" t="n">
        <x:v>0</x:v>
      </x:c>
      <x:c r="Y1881" s="16" t="n">
        <x:v>0</x:v>
      </x:c>
      <x:c r="Z1881" s="16" t="n">
        <x:v>0</x:v>
      </x:c>
      <x:c r="AA1881" s="16" t="n">
        <x:v>3</x:v>
      </x:c>
      <x:c r="AB1881" s="16" t="n">
        <x:v>11</x:v>
      </x:c>
      <x:c r="AC1881" s="16" t="n">
        <x:v>0</x:v>
      </x:c>
      <x:c r="AD1881" s="21" t="n">
        <x:f>IF(E1881="",MEDIAN($E$2:$E$2237),E1881)</x:f>
        <x:v>50616</x:v>
      </x:c>
      <x:c r="AE1881" s="17" t="n">
        <x:f>2014-B1881</x:f>
        <x:v>46</x:v>
      </x:c>
      <x:c r="AF1881" s="17" t="n">
        <x:f>F1881+G1881</x:f>
        <x:v>1</x:v>
      </x:c>
      <x:c r="AG1881" s="21" t="n">
        <x:f>SUM(J1881:O1881)</x:f>
        <x:v>149</x:v>
      </x:c>
      <x:c r="AH1881" s="17" t="n">
        <x:f>SUM(Q1881:S1881)</x:f>
        <x:v>8</x:v>
      </x:c>
      <x:c r="AI1881" s="17" t="n">
        <x:f>SUM(U1881:Y1881)</x:f>
        <x:v>0</x:v>
      </x:c>
      <x:c r="AJ1881" s="17" t="str">
        <x:f>IF(AE1881&lt;=34,"≤34",IF(AE1881&lt;=44,"35–44",IF(AE1881&lt;=54,"45–54",IF(AE1881&lt;=64,"55–64","65+"))))</x:f>
        <x:v>45–54</x:v>
      </x:c>
      <x:c r="AK1881" s="17" t="str">
        <x:f>IF(AG1881&gt;=1000,"High Value",IF(AG1881&gt;=300,"Mid Value","Low Value"))</x:f>
        <x:v>Low Value</x:v>
      </x:c>
      <x:c r="AL1881" s="17" t="str">
        <x:f>IF(AND(AI1881&gt;=1,I1881&lt;=50),"Priority 1",IF(AND(AG1881&gt;=1000,I1881&lt;=60),"Priority 2",IF(I1881&lt;=30,"Priority 3","Nurture")))</x:f>
        <x:v>Nurture</x:v>
      </x:c>
    </x:row>
    <x:row r="1882">
      <x:c r="A1882" s="16" t="n">
        <x:v>6461</x:v>
      </x:c>
      <x:c r="B1882" s="16" t="n">
        <x:v>1969</x:v>
      </x:c>
      <x:c r="C1882" s="16" t="str">
        <x:v>Master</x:v>
      </x:c>
      <x:c r="D1882" s="16" t="str">
        <x:v>Single</x:v>
      </x:c>
      <x:c r="E1882" s="16" t="n">
        <x:v>62772</x:v>
      </x:c>
      <x:c r="F1882" s="16" t="n">
        <x:v>0</x:v>
      </x:c>
      <x:c r="G1882" s="16" t="n">
        <x:v>1</x:v>
      </x:c>
      <x:c r="H1882" s="16" t="str">
        <x:v>19-05-2013</x:v>
      </x:c>
      <x:c r="I1882" s="16" t="n">
        <x:v>74</x:v>
      </x:c>
      <x:c r="J1882" s="16" t="n">
        <x:v>581</x:v>
      </x:c>
      <x:c r="K1882" s="16" t="n">
        <x:v>49</x:v>
      </x:c>
      <x:c r="L1882" s="16" t="n">
        <x:v>157</x:v>
      </x:c>
      <x:c r="M1882" s="16" t="n">
        <x:v>43</x:v>
      </x:c>
      <x:c r="N1882" s="16" t="n">
        <x:v>8</x:v>
      </x:c>
      <x:c r="O1882" s="16" t="n">
        <x:v>108</x:v>
      </x:c>
      <x:c r="P1882" s="16" t="n">
        <x:v>1</x:v>
      </x:c>
      <x:c r="Q1882" s="16" t="n">
        <x:v>5</x:v>
      </x:c>
      <x:c r="R1882" s="16" t="n">
        <x:v>6</x:v>
      </x:c>
      <x:c r="S1882" s="16" t="n">
        <x:v>11</x:v>
      </x:c>
      <x:c r="T1882" s="16" t="n">
        <x:v>2</x:v>
      </x:c>
      <x:c r="U1882" s="16" t="n">
        <x:v>0</x:v>
      </x:c>
      <x:c r="V1882" s="16" t="n">
        <x:v>1</x:v>
      </x:c>
      <x:c r="W1882" s="16" t="n">
        <x:v>0</x:v>
      </x:c>
      <x:c r="X1882" s="16" t="n">
        <x:v>0</x:v>
      </x:c>
      <x:c r="Y1882" s="16" t="n">
        <x:v>0</x:v>
      </x:c>
      <x:c r="Z1882" s="16" t="n">
        <x:v>0</x:v>
      </x:c>
      <x:c r="AA1882" s="16" t="n">
        <x:v>3</x:v>
      </x:c>
      <x:c r="AB1882" s="16" t="n">
        <x:v>11</x:v>
      </x:c>
      <x:c r="AC1882" s="16" t="n">
        <x:v>0</x:v>
      </x:c>
      <x:c r="AD1882" s="21" t="n">
        <x:f>IF(E1882="",MEDIAN($E$2:$E$2237),E1882)</x:f>
        <x:v>62772</x:v>
      </x:c>
      <x:c r="AE1882" s="17" t="n">
        <x:f>2014-B1882</x:f>
        <x:v>45</x:v>
      </x:c>
      <x:c r="AF1882" s="17" t="n">
        <x:f>F1882+G1882</x:f>
        <x:v>1</x:v>
      </x:c>
      <x:c r="AG1882" s="21" t="n">
        <x:f>SUM(J1882:O1882)</x:f>
        <x:v>946</x:v>
      </x:c>
      <x:c r="AH1882" s="17" t="n">
        <x:f>SUM(Q1882:S1882)</x:f>
        <x:v>22</x:v>
      </x:c>
      <x:c r="AI1882" s="17" t="n">
        <x:f>SUM(U1882:Y1882)</x:f>
        <x:v>1</x:v>
      </x:c>
      <x:c r="AJ1882" s="17" t="str">
        <x:f>IF(AE1882&lt;=34,"≤34",IF(AE1882&lt;=44,"35–44",IF(AE1882&lt;=54,"45–54",IF(AE1882&lt;=64,"55–64","65+"))))</x:f>
        <x:v>45–54</x:v>
      </x:c>
      <x:c r="AK1882" s="17" t="str">
        <x:f>IF(AG1882&gt;=1000,"High Value",IF(AG1882&gt;=300,"Mid Value","Low Value"))</x:f>
        <x:v>Mid Value</x:v>
      </x:c>
      <x:c r="AL1882" s="17" t="str">
        <x:f>IF(AND(AI1882&gt;=1,I1882&lt;=50),"Priority 1",IF(AND(AG1882&gt;=1000,I1882&lt;=60),"Priority 2",IF(I1882&lt;=30,"Priority 3","Nurture")))</x:f>
        <x:v>Nurture</x:v>
      </x:c>
    </x:row>
    <x:row r="1883">
      <x:c r="A1883" s="16" t="n">
        <x:v>7679</x:v>
      </x:c>
      <x:c r="B1883" s="16" t="n">
        <x:v>1985</x:v>
      </x:c>
      <x:c r="C1883" s="16" t="str">
        <x:v>PhD</x:v>
      </x:c>
      <x:c r="D1883" s="16" t="str">
        <x:v>Single</x:v>
      </x:c>
      <x:c r="E1883" s="16" t="n">
        <x:v>30298</x:v>
      </x:c>
      <x:c r="F1883" s="16" t="n">
        <x:v>0</x:v>
      </x:c>
      <x:c r="G1883" s="16" t="n">
        <x:v>0</x:v>
      </x:c>
      <x:c r="H1883" s="16" t="str">
        <x:v>19-05-2014</x:v>
      </x:c>
      <x:c r="I1883" s="16" t="n">
        <x:v>48</x:v>
      </x:c>
      <x:c r="J1883" s="16" t="n">
        <x:v>6</x:v>
      </x:c>
      <x:c r="K1883" s="16" t="n">
        <x:v>3</x:v>
      </x:c>
      <x:c r="L1883" s="16" t="n">
        <x:v>12</x:v>
      </x:c>
      <x:c r="M1883" s="16" t="n">
        <x:v>6</x:v>
      </x:c>
      <x:c r="N1883" s="16" t="n">
        <x:v>1</x:v>
      </x:c>
      <x:c r="O1883" s="16" t="n">
        <x:v>0</x:v>
      </x:c>
      <x:c r="P1883" s="16" t="n">
        <x:v>1</x:v>
      </x:c>
      <x:c r="Q1883" s="16" t="n">
        <x:v>1</x:v>
      </x:c>
      <x:c r="R1883" s="16" t="n">
        <x:v>1</x:v>
      </x:c>
      <x:c r="S1883" s="16" t="n">
        <x:v>3</x:v>
      </x:c>
      <x:c r="T1883" s="16" t="n">
        <x:v>3</x:v>
      </x:c>
      <x:c r="U1883" s="16" t="n">
        <x:v>0</x:v>
      </x:c>
      <x:c r="V1883" s="16" t="n">
        <x:v>0</x:v>
      </x:c>
      <x:c r="W1883" s="16" t="n">
        <x:v>0</x:v>
      </x:c>
      <x:c r="X1883" s="16" t="n">
        <x:v>0</x:v>
      </x:c>
      <x:c r="Y1883" s="16" t="n">
        <x:v>0</x:v>
      </x:c>
      <x:c r="Z1883" s="16" t="n">
        <x:v>0</x:v>
      </x:c>
      <x:c r="AA1883" s="16" t="n">
        <x:v>3</x:v>
      </x:c>
      <x:c r="AB1883" s="16" t="n">
        <x:v>11</x:v>
      </x:c>
      <x:c r="AC1883" s="16" t="n">
        <x:v>0</x:v>
      </x:c>
      <x:c r="AD1883" s="21" t="n">
        <x:f>IF(E1883="",MEDIAN($E$2:$E$2237),E1883)</x:f>
        <x:v>30298</x:v>
      </x:c>
      <x:c r="AE1883" s="17" t="n">
        <x:f>2014-B1883</x:f>
        <x:v>29</x:v>
      </x:c>
      <x:c r="AF1883" s="17" t="n">
        <x:f>F1883+G1883</x:f>
        <x:v>0</x:v>
      </x:c>
      <x:c r="AG1883" s="21" t="n">
        <x:f>SUM(J1883:O1883)</x:f>
        <x:v>28</x:v>
      </x:c>
      <x:c r="AH1883" s="17" t="n">
        <x:f>SUM(Q1883:S1883)</x:f>
        <x:v>5</x:v>
      </x:c>
      <x:c r="AI1883" s="17" t="n">
        <x:f>SUM(U1883:Y1883)</x:f>
        <x:v>0</x:v>
      </x:c>
      <x:c r="AJ1883" s="17" t="str">
        <x:f>IF(AE1883&lt;=34,"≤34",IF(AE1883&lt;=44,"35–44",IF(AE1883&lt;=54,"45–54",IF(AE1883&lt;=64,"55–64","65+"))))</x:f>
        <x:v>≤34</x:v>
      </x:c>
      <x:c r="AK1883" s="17" t="str">
        <x:f>IF(AG1883&gt;=1000,"High Value",IF(AG1883&gt;=300,"Mid Value","Low Value"))</x:f>
        <x:v>Low Value</x:v>
      </x:c>
      <x:c r="AL1883" s="17" t="str">
        <x:f>IF(AND(AI1883&gt;=1,I1883&lt;=50),"Priority 1",IF(AND(AG1883&gt;=1000,I1883&lt;=60),"Priority 2",IF(I1883&lt;=30,"Priority 3","Nurture")))</x:f>
        <x:v>Nurture</x:v>
      </x:c>
    </x:row>
    <x:row r="1884">
      <x:c r="A1884" s="16" t="n">
        <x:v>10702</x:v>
      </x:c>
      <x:c r="B1884" s="16" t="n">
        <x:v>1984</x:v>
      </x:c>
      <x:c r="C1884" s="16" t="str">
        <x:v>Graduation</x:v>
      </x:c>
      <x:c r="D1884" s="16" t="str">
        <x:v>Single</x:v>
      </x:c>
      <x:c r="E1884" s="16" t="n">
        <x:v>52413</x:v>
      </x:c>
      <x:c r="F1884" s="16" t="n">
        <x:v>1</x:v>
      </x:c>
      <x:c r="G1884" s="16" t="n">
        <x:v>0</x:v>
      </x:c>
      <x:c r="H1884" s="16" t="str">
        <x:v>03-11-2012</x:v>
      </x:c>
      <x:c r="I1884" s="16" t="n">
        <x:v>67</x:v>
      </x:c>
      <x:c r="J1884" s="16" t="n">
        <x:v>185</x:v>
      </x:c>
      <x:c r="K1884" s="16" t="n">
        <x:v>8</x:v>
      </x:c>
      <x:c r="L1884" s="16" t="n">
        <x:v>133</x:v>
      </x:c>
      <x:c r="M1884" s="16" t="n">
        <x:v>56</x:v>
      </x:c>
      <x:c r="N1884" s="16" t="n">
        <x:v>56</x:v>
      </x:c>
      <x:c r="O1884" s="16" t="n">
        <x:v>12</x:v>
      </x:c>
      <x:c r="P1884" s="16" t="n">
        <x:v>2</x:v>
      </x:c>
      <x:c r="Q1884" s="16" t="n">
        <x:v>7</x:v>
      </x:c>
      <x:c r="R1884" s="16" t="n">
        <x:v>1</x:v>
      </x:c>
      <x:c r="S1884" s="16" t="n">
        <x:v>7</x:v>
      </x:c>
      <x:c r="T1884" s="16" t="n">
        <x:v>7</x:v>
      </x:c>
      <x:c r="U1884" s="16" t="n">
        <x:v>0</x:v>
      </x:c>
      <x:c r="V1884" s="16" t="n">
        <x:v>0</x:v>
      </x:c>
      <x:c r="W1884" s="16" t="n">
        <x:v>0</x:v>
      </x:c>
      <x:c r="X1884" s="16" t="n">
        <x:v>0</x:v>
      </x:c>
      <x:c r="Y1884" s="16" t="n">
        <x:v>0</x:v>
      </x:c>
      <x:c r="Z1884" s="16" t="n">
        <x:v>0</x:v>
      </x:c>
      <x:c r="AA1884" s="16" t="n">
        <x:v>3</x:v>
      </x:c>
      <x:c r="AB1884" s="16" t="n">
        <x:v>11</x:v>
      </x:c>
      <x:c r="AC1884" s="16" t="n">
        <x:v>0</x:v>
      </x:c>
      <x:c r="AD1884" s="21" t="n">
        <x:f>IF(E1884="",MEDIAN($E$2:$E$2237),E1884)</x:f>
        <x:v>52413</x:v>
      </x:c>
      <x:c r="AE1884" s="17" t="n">
        <x:f>2014-B1884</x:f>
        <x:v>30</x:v>
      </x:c>
      <x:c r="AF1884" s="17" t="n">
        <x:f>F1884+G1884</x:f>
        <x:v>1</x:v>
      </x:c>
      <x:c r="AG1884" s="21" t="n">
        <x:f>SUM(J1884:O1884)</x:f>
        <x:v>450</x:v>
      </x:c>
      <x:c r="AH1884" s="17" t="n">
        <x:f>SUM(Q1884:S1884)</x:f>
        <x:v>15</x:v>
      </x:c>
      <x:c r="AI1884" s="17" t="n">
        <x:f>SUM(U1884:Y1884)</x:f>
        <x:v>0</x:v>
      </x:c>
      <x:c r="AJ1884" s="17" t="str">
        <x:f>IF(AE1884&lt;=34,"≤34",IF(AE1884&lt;=44,"35–44",IF(AE1884&lt;=54,"45–54",IF(AE1884&lt;=64,"55–64","65+"))))</x:f>
        <x:v>≤34</x:v>
      </x:c>
      <x:c r="AK1884" s="17" t="str">
        <x:f>IF(AG1884&gt;=1000,"High Value",IF(AG1884&gt;=300,"Mid Value","Low Value"))</x:f>
        <x:v>Mid Value</x:v>
      </x:c>
      <x:c r="AL1884" s="17" t="str">
        <x:f>IF(AND(AI1884&gt;=1,I1884&lt;=50),"Priority 1",IF(AND(AG1884&gt;=1000,I1884&lt;=60),"Priority 2",IF(I1884&lt;=30,"Priority 3","Nurture")))</x:f>
        <x:v>Nurture</x:v>
      </x:c>
    </x:row>
    <x:row r="1885">
      <x:c r="A1885" s="16" t="n">
        <x:v>7505</x:v>
      </x:c>
      <x:c r="B1885" s="16" t="n">
        <x:v>1957</x:v>
      </x:c>
      <x:c r="C1885" s="16" t="str">
        <x:v>PhD</x:v>
      </x:c>
      <x:c r="D1885" s="16" t="str">
        <x:v>Married</x:v>
      </x:c>
      <x:c r="E1885" s="16" t="n">
        <x:v>44155</x:v>
      </x:c>
      <x:c r="F1885" s="16" t="n">
        <x:v>1</x:v>
      </x:c>
      <x:c r="G1885" s="16" t="n">
        <x:v>1</x:v>
      </x:c>
      <x:c r="H1885" s="16" t="str">
        <x:v>19-01-2014</x:v>
      </x:c>
      <x:c r="I1885" s="16" t="n">
        <x:v>24</x:v>
      </x:c>
      <x:c r="J1885" s="16" t="n">
        <x:v>22</x:v>
      </x:c>
      <x:c r="K1885" s="16" t="n">
        <x:v>1</x:v>
      </x:c>
      <x:c r="L1885" s="16" t="n">
        <x:v>9</x:v>
      </x:c>
      <x:c r="M1885" s="16" t="n">
        <x:v>0</x:v>
      </x:c>
      <x:c r="N1885" s="16" t="n">
        <x:v>0</x:v>
      </x:c>
      <x:c r="O1885" s="16" t="n">
        <x:v>14</x:v>
      </x:c>
      <x:c r="P1885" s="16" t="n">
        <x:v>1</x:v>
      </x:c>
      <x:c r="Q1885" s="16" t="n">
        <x:v>1</x:v>
      </x:c>
      <x:c r="R1885" s="16" t="n">
        <x:v>1</x:v>
      </x:c>
      <x:c r="S1885" s="16" t="n">
        <x:v>2</x:v>
      </x:c>
      <x:c r="T1885" s="16" t="n">
        <x:v>4</x:v>
      </x:c>
      <x:c r="U1885" s="16" t="n">
        <x:v>0</x:v>
      </x:c>
      <x:c r="V1885" s="16" t="n">
        <x:v>0</x:v>
      </x:c>
      <x:c r="W1885" s="16" t="n">
        <x:v>0</x:v>
      </x:c>
      <x:c r="X1885" s="16" t="n">
        <x:v>0</x:v>
      </x:c>
      <x:c r="Y1885" s="16" t="n">
        <x:v>0</x:v>
      </x:c>
      <x:c r="Z1885" s="16" t="n">
        <x:v>0</x:v>
      </x:c>
      <x:c r="AA1885" s="16" t="n">
        <x:v>3</x:v>
      </x:c>
      <x:c r="AB1885" s="16" t="n">
        <x:v>11</x:v>
      </x:c>
      <x:c r="AC1885" s="16" t="n">
        <x:v>0</x:v>
      </x:c>
      <x:c r="AD1885" s="21" t="n">
        <x:f>IF(E1885="",MEDIAN($E$2:$E$2237),E1885)</x:f>
        <x:v>44155</x:v>
      </x:c>
      <x:c r="AE1885" s="17" t="n">
        <x:f>2014-B1885</x:f>
        <x:v>57</x:v>
      </x:c>
      <x:c r="AF1885" s="17" t="n">
        <x:f>F1885+G1885</x:f>
        <x:v>2</x:v>
      </x:c>
      <x:c r="AG1885" s="21" t="n">
        <x:f>SUM(J1885:O1885)</x:f>
        <x:v>46</x:v>
      </x:c>
      <x:c r="AH1885" s="17" t="n">
        <x:f>SUM(Q1885:S1885)</x:f>
        <x:v>4</x:v>
      </x:c>
      <x:c r="AI1885" s="17" t="n">
        <x:f>SUM(U1885:Y1885)</x:f>
        <x:v>0</x:v>
      </x:c>
      <x:c r="AJ1885" s="17" t="str">
        <x:f>IF(AE1885&lt;=34,"≤34",IF(AE1885&lt;=44,"35–44",IF(AE1885&lt;=54,"45–54",IF(AE1885&lt;=64,"55–64","65+"))))</x:f>
        <x:v>55–64</x:v>
      </x:c>
      <x:c r="AK1885" s="17" t="str">
        <x:f>IF(AG1885&gt;=1000,"High Value",IF(AG1885&gt;=300,"Mid Value","Low Value"))</x:f>
        <x:v>Low Value</x:v>
      </x:c>
      <x:c r="AL1885" s="17" t="str">
        <x:f>IF(AND(AI1885&gt;=1,I1885&lt;=50),"Priority 1",IF(AND(AG1885&gt;=1000,I1885&lt;=60),"Priority 2",IF(I1885&lt;=30,"Priority 3","Nurture")))</x:f>
        <x:v>Priority 3</x:v>
      </x:c>
    </x:row>
    <x:row r="1886">
      <x:c r="A1886" s="16" t="n">
        <x:v>5113</x:v>
      </x:c>
      <x:c r="B1886" s="16" t="n">
        <x:v>1971</x:v>
      </x:c>
      <x:c r="C1886" s="16" t="str">
        <x:v>PhD</x:v>
      </x:c>
      <x:c r="D1886" s="16" t="str">
        <x:v>Divorced</x:v>
      </x:c>
      <x:c r="E1886" s="16" t="n">
        <x:v>86979</x:v>
      </x:c>
      <x:c r="F1886" s="16" t="n">
        <x:v>0</x:v>
      </x:c>
      <x:c r="G1886" s="16" t="n">
        <x:v>0</x:v>
      </x:c>
      <x:c r="H1886" s="16" t="str">
        <x:v>07-11-2013</x:v>
      </x:c>
      <x:c r="I1886" s="16" t="n">
        <x:v>67</x:v>
      </x:c>
      <x:c r="J1886" s="16" t="n">
        <x:v>584</x:v>
      </x:c>
      <x:c r="K1886" s="16" t="n">
        <x:v>100</x:v>
      </x:c>
      <x:c r="L1886" s="16" t="n">
        <x:v>835</x:v>
      </x:c>
      <x:c r="M1886" s="16" t="n">
        <x:v>65</x:v>
      </x:c>
      <x:c r="N1886" s="16" t="n">
        <x:v>83</x:v>
      </x:c>
      <x:c r="O1886" s="16" t="n">
        <x:v>35</x:v>
      </x:c>
      <x:c r="P1886" s="16" t="n">
        <x:v>1</x:v>
      </x:c>
      <x:c r="Q1886" s="16" t="n">
        <x:v>5</x:v>
      </x:c>
      <x:c r="R1886" s="16" t="n">
        <x:v>5</x:v>
      </x:c>
      <x:c r="S1886" s="16" t="n">
        <x:v>5</x:v>
      </x:c>
      <x:c r="T1886" s="16" t="n">
        <x:v>2</x:v>
      </x:c>
      <x:c r="U1886" s="16" t="n">
        <x:v>1</x:v>
      </x:c>
      <x:c r="V1886" s="16" t="n">
        <x:v>0</x:v>
      </x:c>
      <x:c r="W1886" s="16" t="n">
        <x:v>0</x:v>
      </x:c>
      <x:c r="X1886" s="16" t="n">
        <x:v>0</x:v>
      </x:c>
      <x:c r="Y1886" s="16" t="n">
        <x:v>0</x:v>
      </x:c>
      <x:c r="Z1886" s="16" t="n">
        <x:v>0</x:v>
      </x:c>
      <x:c r="AA1886" s="16" t="n">
        <x:v>3</x:v>
      </x:c>
      <x:c r="AB1886" s="16" t="n">
        <x:v>11</x:v>
      </x:c>
      <x:c r="AC1886" s="16" t="n">
        <x:v>1</x:v>
      </x:c>
      <x:c r="AD1886" s="21" t="n">
        <x:f>IF(E1886="",MEDIAN($E$2:$E$2237),E1886)</x:f>
        <x:v>86979</x:v>
      </x:c>
      <x:c r="AE1886" s="17" t="n">
        <x:f>2014-B1886</x:f>
        <x:v>43</x:v>
      </x:c>
      <x:c r="AF1886" s="17" t="n">
        <x:f>F1886+G1886</x:f>
        <x:v>0</x:v>
      </x:c>
      <x:c r="AG1886" s="21" t="n">
        <x:f>SUM(J1886:O1886)</x:f>
        <x:v>1702</x:v>
      </x:c>
      <x:c r="AH1886" s="17" t="n">
        <x:f>SUM(Q1886:S1886)</x:f>
        <x:v>15</x:v>
      </x:c>
      <x:c r="AI1886" s="17" t="n">
        <x:f>SUM(U1886:Y1886)</x:f>
        <x:v>1</x:v>
      </x:c>
      <x:c r="AJ1886" s="17" t="str">
        <x:f>IF(AE1886&lt;=34,"≤34",IF(AE1886&lt;=44,"35–44",IF(AE1886&lt;=54,"45–54",IF(AE1886&lt;=64,"55–64","65+"))))</x:f>
        <x:v>35–44</x:v>
      </x:c>
      <x:c r="AK1886" s="17" t="str">
        <x:f>IF(AG1886&gt;=1000,"High Value",IF(AG1886&gt;=300,"Mid Value","Low Value"))</x:f>
        <x:v>High Value</x:v>
      </x:c>
      <x:c r="AL1886" s="17" t="str">
        <x:f>IF(AND(AI1886&gt;=1,I1886&lt;=50),"Priority 1",IF(AND(AG1886&gt;=1000,I1886&lt;=60),"Priority 2",IF(I1886&lt;=30,"Priority 3","Nurture")))</x:f>
        <x:v>Nurture</x:v>
      </x:c>
    </x:row>
    <x:row r="1887">
      <x:c r="A1887" s="16" t="n">
        <x:v>10858</x:v>
      </x:c>
      <x:c r="B1887" s="16" t="n">
        <x:v>1975</x:v>
      </x:c>
      <x:c r="C1887" s="16" t="str">
        <x:v>Graduation</x:v>
      </x:c>
      <x:c r="D1887" s="16" t="str">
        <x:v>Together</x:v>
      </x:c>
      <x:c r="E1887" s="16" t="n">
        <x:v>76532</x:v>
      </x:c>
      <x:c r="F1887" s="16" t="n">
        <x:v>1</x:v>
      </x:c>
      <x:c r="G1887" s="16" t="n">
        <x:v>1</x:v>
      </x:c>
      <x:c r="H1887" s="16" t="str">
        <x:v>09-09-2013</x:v>
      </x:c>
      <x:c r="I1887" s="16" t="n">
        <x:v>38</x:v>
      </x:c>
      <x:c r="J1887" s="16" t="n">
        <x:v>355</x:v>
      </x:c>
      <x:c r="K1887" s="16" t="n">
        <x:v>30</x:v>
      </x:c>
      <x:c r="L1887" s="16" t="n">
        <x:v>177</x:v>
      </x:c>
      <x:c r="M1887" s="16" t="n">
        <x:v>90</x:v>
      </x:c>
      <x:c r="N1887" s="16" t="n">
        <x:v>138</x:v>
      </x:c>
      <x:c r="O1887" s="16" t="n">
        <x:v>30</x:v>
      </x:c>
      <x:c r="P1887" s="16" t="n">
        <x:v>4</x:v>
      </x:c>
      <x:c r="Q1887" s="16" t="n">
        <x:v>9</x:v>
      </x:c>
      <x:c r="R1887" s="16" t="n">
        <x:v>5</x:v>
      </x:c>
      <x:c r="S1887" s="16" t="n">
        <x:v>7</x:v>
      </x:c>
      <x:c r="T1887" s="16" t="n">
        <x:v>5</x:v>
      </x:c>
      <x:c r="U1887" s="16" t="n">
        <x:v>0</x:v>
      </x:c>
      <x:c r="V1887" s="16" t="n">
        <x:v>0</x:v>
      </x:c>
      <x:c r="W1887" s="16" t="n">
        <x:v>0</x:v>
      </x:c>
      <x:c r="X1887" s="16" t="n">
        <x:v>0</x:v>
      </x:c>
      <x:c r="Y1887" s="16" t="n">
        <x:v>0</x:v>
      </x:c>
      <x:c r="Z1887" s="16" t="n">
        <x:v>0</x:v>
      </x:c>
      <x:c r="AA1887" s="16" t="n">
        <x:v>3</x:v>
      </x:c>
      <x:c r="AB1887" s="16" t="n">
        <x:v>11</x:v>
      </x:c>
      <x:c r="AC1887" s="16" t="n">
        <x:v>0</x:v>
      </x:c>
      <x:c r="AD1887" s="21" t="n">
        <x:f>IF(E1887="",MEDIAN($E$2:$E$2237),E1887)</x:f>
        <x:v>76532</x:v>
      </x:c>
      <x:c r="AE1887" s="17" t="n">
        <x:f>2014-B1887</x:f>
        <x:v>39</x:v>
      </x:c>
      <x:c r="AF1887" s="17" t="n">
        <x:f>F1887+G1887</x:f>
        <x:v>2</x:v>
      </x:c>
      <x:c r="AG1887" s="21" t="n">
        <x:f>SUM(J1887:O1887)</x:f>
        <x:v>820</x:v>
      </x:c>
      <x:c r="AH1887" s="17" t="n">
        <x:f>SUM(Q1887:S1887)</x:f>
        <x:v>21</x:v>
      </x:c>
      <x:c r="AI1887" s="17" t="n">
        <x:f>SUM(U1887:Y1887)</x:f>
        <x:v>0</x:v>
      </x:c>
      <x:c r="AJ1887" s="17" t="str">
        <x:f>IF(AE1887&lt;=34,"≤34",IF(AE1887&lt;=44,"35–44",IF(AE1887&lt;=54,"45–54",IF(AE1887&lt;=64,"55–64","65+"))))</x:f>
        <x:v>35–44</x:v>
      </x:c>
      <x:c r="AK1887" s="17" t="str">
        <x:f>IF(AG1887&gt;=1000,"High Value",IF(AG1887&gt;=300,"Mid Value","Low Value"))</x:f>
        <x:v>Mid Value</x:v>
      </x:c>
      <x:c r="AL1887" s="17" t="str">
        <x:f>IF(AND(AI1887&gt;=1,I1887&lt;=50),"Priority 1",IF(AND(AG1887&gt;=1000,I1887&lt;=60),"Priority 2",IF(I1887&lt;=30,"Priority 3","Nurture")))</x:f>
        <x:v>Nurture</x:v>
      </x:c>
    </x:row>
    <x:row r="1888">
      <x:c r="A1888" s="16" t="n">
        <x:v>2961</x:v>
      </x:c>
      <x:c r="B1888" s="16" t="n">
        <x:v>1982</x:v>
      </x:c>
      <x:c r="C1888" s="16" t="str">
        <x:v>Graduation</x:v>
      </x:c>
      <x:c r="D1888" s="16" t="str">
        <x:v>Married</x:v>
      </x:c>
      <x:c r="E1888" s="16" t="n">
        <x:v>42081</x:v>
      </x:c>
      <x:c r="F1888" s="16" t="n">
        <x:v>1</x:v>
      </x:c>
      <x:c r="G1888" s="16" t="n">
        <x:v>0</x:v>
      </x:c>
      <x:c r="H1888" s="16" t="str">
        <x:v>26-02-2013</x:v>
      </x:c>
      <x:c r="I1888" s="16" t="n">
        <x:v>86</x:v>
      </x:c>
      <x:c r="J1888" s="16" t="n">
        <x:v>175</x:v>
      </x:c>
      <x:c r="K1888" s="16" t="n">
        <x:v>10</x:v>
      </x:c>
      <x:c r="L1888" s="16" t="n">
        <x:v>110</x:v>
      </x:c>
      <x:c r="M1888" s="16" t="n">
        <x:v>54</x:v>
      </x:c>
      <x:c r="N1888" s="16" t="n">
        <x:v>6</x:v>
      </x:c>
      <x:c r="O1888" s="16" t="n">
        <x:v>27</x:v>
      </x:c>
      <x:c r="P1888" s="16" t="n">
        <x:v>2</x:v>
      </x:c>
      <x:c r="Q1888" s="16" t="n">
        <x:v>6</x:v>
      </x:c>
      <x:c r="R1888" s="16" t="n">
        <x:v>3</x:v>
      </x:c>
      <x:c r="S1888" s="16" t="n">
        <x:v>4</x:v>
      </x:c>
      <x:c r="T1888" s="16" t="n">
        <x:v>6</x:v>
      </x:c>
      <x:c r="U1888" s="16" t="n">
        <x:v>1</x:v>
      </x:c>
      <x:c r="V1888" s="16" t="n">
        <x:v>0</x:v>
      </x:c>
      <x:c r="W1888" s="16" t="n">
        <x:v>0</x:v>
      </x:c>
      <x:c r="X1888" s="16" t="n">
        <x:v>0</x:v>
      </x:c>
      <x:c r="Y1888" s="16" t="n">
        <x:v>0</x:v>
      </x:c>
      <x:c r="Z1888" s="16" t="n">
        <x:v>0</x:v>
      </x:c>
      <x:c r="AA1888" s="16" t="n">
        <x:v>3</x:v>
      </x:c>
      <x:c r="AB1888" s="16" t="n">
        <x:v>11</x:v>
      </x:c>
      <x:c r="AC1888" s="16" t="n">
        <x:v>0</x:v>
      </x:c>
      <x:c r="AD1888" s="21" t="n">
        <x:f>IF(E1888="",MEDIAN($E$2:$E$2237),E1888)</x:f>
        <x:v>42081</x:v>
      </x:c>
      <x:c r="AE1888" s="17" t="n">
        <x:f>2014-B1888</x:f>
        <x:v>32</x:v>
      </x:c>
      <x:c r="AF1888" s="17" t="n">
        <x:f>F1888+G1888</x:f>
        <x:v>1</x:v>
      </x:c>
      <x:c r="AG1888" s="21" t="n">
        <x:f>SUM(J1888:O1888)</x:f>
        <x:v>382</x:v>
      </x:c>
      <x:c r="AH1888" s="17" t="n">
        <x:f>SUM(Q1888:S1888)</x:f>
        <x:v>13</x:v>
      </x:c>
      <x:c r="AI1888" s="17" t="n">
        <x:f>SUM(U1888:Y1888)</x:f>
        <x:v>1</x:v>
      </x:c>
      <x:c r="AJ1888" s="17" t="str">
        <x:f>IF(AE1888&lt;=34,"≤34",IF(AE1888&lt;=44,"35–44",IF(AE1888&lt;=54,"45–54",IF(AE1888&lt;=64,"55–64","65+"))))</x:f>
        <x:v>≤34</x:v>
      </x:c>
      <x:c r="AK1888" s="17" t="str">
        <x:f>IF(AG1888&gt;=1000,"High Value",IF(AG1888&gt;=300,"Mid Value","Low Value"))</x:f>
        <x:v>Mid Value</x:v>
      </x:c>
      <x:c r="AL1888" s="17" t="str">
        <x:f>IF(AND(AI1888&gt;=1,I1888&lt;=50),"Priority 1",IF(AND(AG1888&gt;=1000,I1888&lt;=60),"Priority 2",IF(I1888&lt;=30,"Priority 3","Nurture")))</x:f>
        <x:v>Nurture</x:v>
      </x:c>
    </x:row>
    <x:row r="1889">
      <x:c r="A1889" s="16" t="n">
        <x:v>2747</x:v>
      </x:c>
      <x:c r="B1889" s="16" t="n">
        <x:v>1988</x:v>
      </x:c>
      <x:c r="C1889" s="16" t="str">
        <x:v>PhD</x:v>
      </x:c>
      <x:c r="D1889" s="16" t="str">
        <x:v>Married</x:v>
      </x:c>
      <x:c r="E1889" s="16" t="n">
        <x:v>67546</x:v>
      </x:c>
      <x:c r="F1889" s="16" t="n">
        <x:v>0</x:v>
      </x:c>
      <x:c r="G1889" s="16" t="n">
        <x:v>0</x:v>
      </x:c>
      <x:c r="H1889" s="16" t="str">
        <x:v>31-08-2012</x:v>
      </x:c>
      <x:c r="I1889" s="16" t="n">
        <x:v>90</x:v>
      </x:c>
      <x:c r="J1889" s="16" t="n">
        <x:v>864</x:v>
      </x:c>
      <x:c r="K1889" s="16" t="n">
        <x:v>134</x:v>
      </x:c>
      <x:c r="L1889" s="16" t="n">
        <x:v>768</x:v>
      </x:c>
      <x:c r="M1889" s="16" t="n">
        <x:v>150</x:v>
      </x:c>
      <x:c r="N1889" s="16" t="n">
        <x:v>38</x:v>
      </x:c>
      <x:c r="O1889" s="16" t="n">
        <x:v>172</x:v>
      </x:c>
      <x:c r="P1889" s="16" t="n">
        <x:v>1</x:v>
      </x:c>
      <x:c r="Q1889" s="16" t="n">
        <x:v>4</x:v>
      </x:c>
      <x:c r="R1889" s="16" t="n">
        <x:v>10</x:v>
      </x:c>
      <x:c r="S1889" s="16" t="n">
        <x:v>5</x:v>
      </x:c>
      <x:c r="T1889" s="16" t="n">
        <x:v>3</x:v>
      </x:c>
      <x:c r="U1889" s="16" t="n">
        <x:v>0</x:v>
      </x:c>
      <x:c r="V1889" s="16" t="n">
        <x:v>0</x:v>
      </x:c>
      <x:c r="W1889" s="16" t="n">
        <x:v>0</x:v>
      </x:c>
      <x:c r="X1889" s="16" t="n">
        <x:v>0</x:v>
      </x:c>
      <x:c r="Y1889" s="16" t="n">
        <x:v>0</x:v>
      </x:c>
      <x:c r="Z1889" s="16" t="n">
        <x:v>0</x:v>
      </x:c>
      <x:c r="AA1889" s="16" t="n">
        <x:v>3</x:v>
      </x:c>
      <x:c r="AB1889" s="16" t="n">
        <x:v>11</x:v>
      </x:c>
      <x:c r="AC1889" s="16" t="n">
        <x:v>0</x:v>
      </x:c>
      <x:c r="AD1889" s="21" t="n">
        <x:f>IF(E1889="",MEDIAN($E$2:$E$2237),E1889)</x:f>
        <x:v>67546</x:v>
      </x:c>
      <x:c r="AE1889" s="17" t="n">
        <x:f>2014-B1889</x:f>
        <x:v>26</x:v>
      </x:c>
      <x:c r="AF1889" s="17" t="n">
        <x:f>F1889+G1889</x:f>
        <x:v>0</x:v>
      </x:c>
      <x:c r="AG1889" s="21" t="n">
        <x:f>SUM(J1889:O1889)</x:f>
        <x:v>2126</x:v>
      </x:c>
      <x:c r="AH1889" s="17" t="n">
        <x:f>SUM(Q1889:S1889)</x:f>
        <x:v>19</x:v>
      </x:c>
      <x:c r="AI1889" s="17" t="n">
        <x:f>SUM(U1889:Y1889)</x:f>
        <x:v>0</x:v>
      </x:c>
      <x:c r="AJ1889" s="17" t="str">
        <x:f>IF(AE1889&lt;=34,"≤34",IF(AE1889&lt;=44,"35–44",IF(AE1889&lt;=54,"45–54",IF(AE1889&lt;=64,"55–64","65+"))))</x:f>
        <x:v>≤34</x:v>
      </x:c>
      <x:c r="AK1889" s="17" t="str">
        <x:f>IF(AG1889&gt;=1000,"High Value",IF(AG1889&gt;=300,"Mid Value","Low Value"))</x:f>
        <x:v>High Value</x:v>
      </x:c>
      <x:c r="AL1889" s="17" t="str">
        <x:f>IF(AND(AI1889&gt;=1,I1889&lt;=50),"Priority 1",IF(AND(AG1889&gt;=1000,I1889&lt;=60),"Priority 2",IF(I1889&lt;=30,"Priority 3","Nurture")))</x:f>
        <x:v>Nurture</x:v>
      </x:c>
    </x:row>
    <x:row r="1890">
      <x:c r="A1890" s="16" t="n">
        <x:v>3010</x:v>
      </x:c>
      <x:c r="B1890" s="16" t="n">
        <x:v>1989</x:v>
      </x:c>
      <x:c r="C1890" s="16" t="str">
        <x:v>Master</x:v>
      </x:c>
      <x:c r="D1890" s="16" t="str">
        <x:v>Together</x:v>
      </x:c>
      <x:c r="E1890" s="16" t="n">
        <x:v>88420</x:v>
      </x:c>
      <x:c r="F1890" s="16" t="n">
        <x:v>0</x:v>
      </x:c>
      <x:c r="G1890" s="16" t="n">
        <x:v>0</x:v>
      </x:c>
      <x:c r="H1890" s="16" t="str">
        <x:v>02-05-2014</x:v>
      </x:c>
      <x:c r="I1890" s="16" t="n">
        <x:v>87</x:v>
      </x:c>
      <x:c r="J1890" s="16" t="n">
        <x:v>957</x:v>
      </x:c>
      <x:c r="K1890" s="16" t="n">
        <x:v>153</x:v>
      </x:c>
      <x:c r="L1890" s="16" t="n">
        <x:v>612</x:v>
      </x:c>
      <x:c r="M1890" s="16" t="n">
        <x:v>99</x:v>
      </x:c>
      <x:c r="N1890" s="16" t="n">
        <x:v>95</x:v>
      </x:c>
      <x:c r="O1890" s="16" t="n">
        <x:v>153</x:v>
      </x:c>
      <x:c r="P1890" s="16" t="n">
        <x:v>1</x:v>
      </x:c>
      <x:c r="Q1890" s="16" t="n">
        <x:v>4</x:v>
      </x:c>
      <x:c r="R1890" s="16" t="n">
        <x:v>7</x:v>
      </x:c>
      <x:c r="S1890" s="16" t="n">
        <x:v>8</x:v>
      </x:c>
      <x:c r="T1890" s="16" t="n">
        <x:v>1</x:v>
      </x:c>
      <x:c r="U1890" s="16" t="n">
        <x:v>1</x:v>
      </x:c>
      <x:c r="V1890" s="16" t="n">
        <x:v>0</x:v>
      </x:c>
      <x:c r="W1890" s="16" t="n">
        <x:v>1</x:v>
      </x:c>
      <x:c r="X1890" s="16" t="n">
        <x:v>1</x:v>
      </x:c>
      <x:c r="Y1890" s="16" t="n">
        <x:v>0</x:v>
      </x:c>
      <x:c r="Z1890" s="16" t="n">
        <x:v>0</x:v>
      </x:c>
      <x:c r="AA1890" s="16" t="n">
        <x:v>3</x:v>
      </x:c>
      <x:c r="AB1890" s="16" t="n">
        <x:v>11</x:v>
      </x:c>
      <x:c r="AC1890" s="16" t="n">
        <x:v>0</x:v>
      </x:c>
      <x:c r="AD1890" s="21" t="n">
        <x:f>IF(E1890="",MEDIAN($E$2:$E$2237),E1890)</x:f>
        <x:v>88420</x:v>
      </x:c>
      <x:c r="AE1890" s="17" t="n">
        <x:f>2014-B1890</x:f>
        <x:v>25</x:v>
      </x:c>
      <x:c r="AF1890" s="17" t="n">
        <x:f>F1890+G1890</x:f>
        <x:v>0</x:v>
      </x:c>
      <x:c r="AG1890" s="21" t="n">
        <x:f>SUM(J1890:O1890)</x:f>
        <x:v>2069</x:v>
      </x:c>
      <x:c r="AH1890" s="17" t="n">
        <x:f>SUM(Q1890:S1890)</x:f>
        <x:v>19</x:v>
      </x:c>
      <x:c r="AI1890" s="17" t="n">
        <x:f>SUM(U1890:Y1890)</x:f>
        <x:v>3</x:v>
      </x:c>
      <x:c r="AJ1890" s="17" t="str">
        <x:f>IF(AE1890&lt;=34,"≤34",IF(AE1890&lt;=44,"35–44",IF(AE1890&lt;=54,"45–54",IF(AE1890&lt;=64,"55–64","65+"))))</x:f>
        <x:v>≤34</x:v>
      </x:c>
      <x:c r="AK1890" s="17" t="str">
        <x:f>IF(AG1890&gt;=1000,"High Value",IF(AG1890&gt;=300,"Mid Value","Low Value"))</x:f>
        <x:v>High Value</x:v>
      </x:c>
      <x:c r="AL1890" s="17" t="str">
        <x:f>IF(AND(AI1890&gt;=1,I1890&lt;=50),"Priority 1",IF(AND(AG1890&gt;=1000,I1890&lt;=60),"Priority 2",IF(I1890&lt;=30,"Priority 3","Nurture")))</x:f>
        <x:v>Nurture</x:v>
      </x:c>
    </x:row>
    <x:row r="1891">
      <x:c r="A1891" s="16" t="n">
        <x:v>5790</x:v>
      </x:c>
      <x:c r="B1891" s="16" t="n">
        <x:v>1985</x:v>
      </x:c>
      <x:c r="C1891" s="16" t="str">
        <x:v>Graduation</x:v>
      </x:c>
      <x:c r="D1891" s="16" t="str">
        <x:v>Married</x:v>
      </x:c>
      <x:c r="E1891" s="16" t="n">
        <x:v>31158</x:v>
      </x:c>
      <x:c r="F1891" s="16" t="n">
        <x:v>1</x:v>
      </x:c>
      <x:c r="G1891" s="16" t="n">
        <x:v>0</x:v>
      </x:c>
      <x:c r="H1891" s="16" t="str">
        <x:v>27-01-2013</x:v>
      </x:c>
      <x:c r="I1891" s="16" t="n">
        <x:v>62</x:v>
      </x:c>
      <x:c r="J1891" s="16" t="n">
        <x:v>25</x:v>
      </x:c>
      <x:c r="K1891" s="16" t="n">
        <x:v>6</x:v>
      </x:c>
      <x:c r="L1891" s="16" t="n">
        <x:v>16</x:v>
      </x:c>
      <x:c r="M1891" s="16" t="n">
        <x:v>20</x:v>
      </x:c>
      <x:c r="N1891" s="16" t="n">
        <x:v>0</x:v>
      </x:c>
      <x:c r="O1891" s="16" t="n">
        <x:v>5</x:v>
      </x:c>
      <x:c r="P1891" s="16" t="n">
        <x:v>2</x:v>
      </x:c>
      <x:c r="Q1891" s="16" t="n">
        <x:v>2</x:v>
      </x:c>
      <x:c r="R1891" s="16" t="n">
        <x:v>0</x:v>
      </x:c>
      <x:c r="S1891" s="16" t="n">
        <x:v>3</x:v>
      </x:c>
      <x:c r="T1891" s="16" t="n">
        <x:v>8</x:v>
      </x:c>
      <x:c r="U1891" s="16" t="n">
        <x:v>0</x:v>
      </x:c>
      <x:c r="V1891" s="16" t="n">
        <x:v>0</x:v>
      </x:c>
      <x:c r="W1891" s="16" t="n">
        <x:v>0</x:v>
      </x:c>
      <x:c r="X1891" s="16" t="n">
        <x:v>0</x:v>
      </x:c>
      <x:c r="Y1891" s="16" t="n">
        <x:v>0</x:v>
      </x:c>
      <x:c r="Z1891" s="16" t="n">
        <x:v>0</x:v>
      </x:c>
      <x:c r="AA1891" s="16" t="n">
        <x:v>3</x:v>
      </x:c>
      <x:c r="AB1891" s="16" t="n">
        <x:v>11</x:v>
      </x:c>
      <x:c r="AC1891" s="16" t="n">
        <x:v>0</x:v>
      </x:c>
      <x:c r="AD1891" s="21" t="n">
        <x:f>IF(E1891="",MEDIAN($E$2:$E$2237),E1891)</x:f>
        <x:v>31158</x:v>
      </x:c>
      <x:c r="AE1891" s="17" t="n">
        <x:f>2014-B1891</x:f>
        <x:v>29</x:v>
      </x:c>
      <x:c r="AF1891" s="17" t="n">
        <x:f>F1891+G1891</x:f>
        <x:v>1</x:v>
      </x:c>
      <x:c r="AG1891" s="21" t="n">
        <x:f>SUM(J1891:O1891)</x:f>
        <x:v>72</x:v>
      </x:c>
      <x:c r="AH1891" s="17" t="n">
        <x:f>SUM(Q1891:S1891)</x:f>
        <x:v>5</x:v>
      </x:c>
      <x:c r="AI1891" s="17" t="n">
        <x:f>SUM(U1891:Y1891)</x:f>
        <x:v>0</x:v>
      </x:c>
      <x:c r="AJ1891" s="17" t="str">
        <x:f>IF(AE1891&lt;=34,"≤34",IF(AE1891&lt;=44,"35–44",IF(AE1891&lt;=54,"45–54",IF(AE1891&lt;=64,"55–64","65+"))))</x:f>
        <x:v>≤34</x:v>
      </x:c>
      <x:c r="AK1891" s="17" t="str">
        <x:f>IF(AG1891&gt;=1000,"High Value",IF(AG1891&gt;=300,"Mid Value","Low Value"))</x:f>
        <x:v>Low Value</x:v>
      </x:c>
      <x:c r="AL1891" s="17" t="str">
        <x:f>IF(AND(AI1891&gt;=1,I1891&lt;=50),"Priority 1",IF(AND(AG1891&gt;=1000,I1891&lt;=60),"Priority 2",IF(I1891&lt;=30,"Priority 3","Nurture")))</x:f>
        <x:v>Nurture</x:v>
      </x:c>
    </x:row>
    <x:row r="1892">
      <x:c r="A1892" s="16" t="n">
        <x:v>6892</x:v>
      </x:c>
      <x:c r="B1892" s="16" t="n">
        <x:v>1968</x:v>
      </x:c>
      <x:c r="C1892" s="16" t="str">
        <x:v>Graduation</x:v>
      </x:c>
      <x:c r="D1892" s="16" t="str">
        <x:v>Divorced</x:v>
      </x:c>
      <x:c r="E1892" s="16" t="n">
        <x:v>61671</x:v>
      </x:c>
      <x:c r="F1892" s="16" t="n">
        <x:v>0</x:v>
      </x:c>
      <x:c r="G1892" s="16" t="n">
        <x:v>1</x:v>
      </x:c>
      <x:c r="H1892" s="16" t="str">
        <x:v>03-06-2014</x:v>
      </x:c>
      <x:c r="I1892" s="16" t="n">
        <x:v>23</x:v>
      </x:c>
      <x:c r="J1892" s="16" t="n">
        <x:v>641</x:v>
      </x:c>
      <x:c r="K1892" s="16" t="n">
        <x:v>7</x:v>
      </x:c>
      <x:c r="L1892" s="16" t="n">
        <x:v>56</x:v>
      </x:c>
      <x:c r="M1892" s="16" t="n">
        <x:v>0</x:v>
      </x:c>
      <x:c r="N1892" s="16" t="n">
        <x:v>0</x:v>
      </x:c>
      <x:c r="O1892" s="16" t="n">
        <x:v>28</x:v>
      </x:c>
      <x:c r="P1892" s="16" t="n">
        <x:v>8</x:v>
      </x:c>
      <x:c r="Q1892" s="16" t="n">
        <x:v>10</x:v>
      </x:c>
      <x:c r="R1892" s="16" t="n">
        <x:v>4</x:v>
      </x:c>
      <x:c r="S1892" s="16" t="n">
        <x:v>6</x:v>
      </x:c>
      <x:c r="T1892" s="16" t="n">
        <x:v>8</x:v>
      </x:c>
      <x:c r="U1892" s="16" t="n">
        <x:v>0</x:v>
      </x:c>
      <x:c r="V1892" s="16" t="n">
        <x:v>1</x:v>
      </x:c>
      <x:c r="W1892" s="16" t="n">
        <x:v>0</x:v>
      </x:c>
      <x:c r="X1892" s="16" t="n">
        <x:v>1</x:v>
      </x:c>
      <x:c r="Y1892" s="16" t="n">
        <x:v>0</x:v>
      </x:c>
      <x:c r="Z1892" s="16" t="n">
        <x:v>0</x:v>
      </x:c>
      <x:c r="AA1892" s="16" t="n">
        <x:v>3</x:v>
      </x:c>
      <x:c r="AB1892" s="16" t="n">
        <x:v>11</x:v>
      </x:c>
      <x:c r="AC1892" s="16" t="n">
        <x:v>0</x:v>
      </x:c>
      <x:c r="AD1892" s="21" t="n">
        <x:f>IF(E1892="",MEDIAN($E$2:$E$2237),E1892)</x:f>
        <x:v>61671</x:v>
      </x:c>
      <x:c r="AE1892" s="17" t="n">
        <x:f>2014-B1892</x:f>
        <x:v>46</x:v>
      </x:c>
      <x:c r="AF1892" s="17" t="n">
        <x:f>F1892+G1892</x:f>
        <x:v>1</x:v>
      </x:c>
      <x:c r="AG1892" s="21" t="n">
        <x:f>SUM(J1892:O1892)</x:f>
        <x:v>732</x:v>
      </x:c>
      <x:c r="AH1892" s="17" t="n">
        <x:f>SUM(Q1892:S1892)</x:f>
        <x:v>20</x:v>
      </x:c>
      <x:c r="AI1892" s="17" t="n">
        <x:f>SUM(U1892:Y1892)</x:f>
        <x:v>2</x:v>
      </x:c>
      <x:c r="AJ1892" s="17" t="str">
        <x:f>IF(AE1892&lt;=34,"≤34",IF(AE1892&lt;=44,"35–44",IF(AE1892&lt;=54,"45–54",IF(AE1892&lt;=64,"55–64","65+"))))</x:f>
        <x:v>45–54</x:v>
      </x:c>
      <x:c r="AK1892" s="17" t="str">
        <x:f>IF(AG1892&gt;=1000,"High Value",IF(AG1892&gt;=300,"Mid Value","Low Value"))</x:f>
        <x:v>Mid Value</x:v>
      </x:c>
      <x:c r="AL1892" s="17" t="str">
        <x:f>IF(AND(AI1892&gt;=1,I1892&lt;=50),"Priority 1",IF(AND(AG1892&gt;=1000,I1892&lt;=60),"Priority 2",IF(I1892&lt;=30,"Priority 3","Nurture")))</x:f>
        <x:v>Priority 1</x:v>
      </x:c>
    </x:row>
    <x:row r="1893">
      <x:c r="A1893" s="16" t="n">
        <x:v>1743</x:v>
      </x:c>
      <x:c r="B1893" s="16" t="n">
        <x:v>1974</x:v>
      </x:c>
      <x:c r="C1893" s="16" t="str">
        <x:v>Graduation</x:v>
      </x:c>
      <x:c r="D1893" s="16" t="str">
        <x:v>Single</x:v>
      </x:c>
      <x:c r="E1893" s="16" t="n">
        <x:v>69719</x:v>
      </x:c>
      <x:c r="F1893" s="16" t="n">
        <x:v>0</x:v>
      </x:c>
      <x:c r="G1893" s="16" t="n">
        <x:v>0</x:v>
      </x:c>
      <x:c r="H1893" s="16" t="str">
        <x:v>26-05-2014</x:v>
      </x:c>
      <x:c r="I1893" s="16" t="n">
        <x:v>99</x:v>
      </x:c>
      <x:c r="J1893" s="16" t="n">
        <x:v>273</x:v>
      </x:c>
      <x:c r="K1893" s="16" t="n">
        <x:v>86</x:v>
      </x:c>
      <x:c r="L1893" s="16" t="n">
        <x:v>208</x:v>
      </x:c>
      <x:c r="M1893" s="16" t="n">
        <x:v>177</x:v>
      </x:c>
      <x:c r="N1893" s="16" t="n">
        <x:v>14</x:v>
      </x:c>
      <x:c r="O1893" s="16" t="n">
        <x:v>43</x:v>
      </x:c>
      <x:c r="P1893" s="16" t="n">
        <x:v>1</x:v>
      </x:c>
      <x:c r="Q1893" s="16" t="n">
        <x:v>2</x:v>
      </x:c>
      <x:c r="R1893" s="16" t="n">
        <x:v>3</x:v>
      </x:c>
      <x:c r="S1893" s="16" t="n">
        <x:v>5</x:v>
      </x:c>
      <x:c r="T1893" s="16" t="n">
        <x:v>1</x:v>
      </x:c>
      <x:c r="U1893" s="16" t="n">
        <x:v>0</x:v>
      </x:c>
      <x:c r="V1893" s="16" t="n">
        <x:v>0</x:v>
      </x:c>
      <x:c r="W1893" s="16" t="n">
        <x:v>0</x:v>
      </x:c>
      <x:c r="X1893" s="16" t="n">
        <x:v>0</x:v>
      </x:c>
      <x:c r="Y1893" s="16" t="n">
        <x:v>0</x:v>
      </x:c>
      <x:c r="Z1893" s="16" t="n">
        <x:v>0</x:v>
      </x:c>
      <x:c r="AA1893" s="16" t="n">
        <x:v>3</x:v>
      </x:c>
      <x:c r="AB1893" s="16" t="n">
        <x:v>11</x:v>
      </x:c>
      <x:c r="AC1893" s="16" t="n">
        <x:v>0</x:v>
      </x:c>
      <x:c r="AD1893" s="21" t="n">
        <x:f>IF(E1893="",MEDIAN($E$2:$E$2237),E1893)</x:f>
        <x:v>69719</x:v>
      </x:c>
      <x:c r="AE1893" s="17" t="n">
        <x:f>2014-B1893</x:f>
        <x:v>40</x:v>
      </x:c>
      <x:c r="AF1893" s="17" t="n">
        <x:f>F1893+G1893</x:f>
        <x:v>0</x:v>
      </x:c>
      <x:c r="AG1893" s="21" t="n">
        <x:f>SUM(J1893:O1893)</x:f>
        <x:v>801</x:v>
      </x:c>
      <x:c r="AH1893" s="17" t="n">
        <x:f>SUM(Q1893:S1893)</x:f>
        <x:v>10</x:v>
      </x:c>
      <x:c r="AI1893" s="17" t="n">
        <x:f>SUM(U1893:Y1893)</x:f>
        <x:v>0</x:v>
      </x:c>
      <x:c r="AJ1893" s="17" t="str">
        <x:f>IF(AE1893&lt;=34,"≤34",IF(AE1893&lt;=44,"35–44",IF(AE1893&lt;=54,"45–54",IF(AE1893&lt;=64,"55–64","65+"))))</x:f>
        <x:v>35–44</x:v>
      </x:c>
      <x:c r="AK1893" s="17" t="str">
        <x:f>IF(AG1893&gt;=1000,"High Value",IF(AG1893&gt;=300,"Mid Value","Low Value"))</x:f>
        <x:v>Mid Value</x:v>
      </x:c>
      <x:c r="AL1893" s="17" t="str">
        <x:f>IF(AND(AI1893&gt;=1,I1893&lt;=50),"Priority 1",IF(AND(AG1893&gt;=1000,I1893&lt;=60),"Priority 2",IF(I1893&lt;=30,"Priority 3","Nurture")))</x:f>
        <x:v>Nurture</x:v>
      </x:c>
    </x:row>
    <x:row r="1894">
      <x:c r="A1894" s="16" t="n">
        <x:v>3578</x:v>
      </x:c>
      <x:c r="B1894" s="16" t="n">
        <x:v>1949</x:v>
      </x:c>
      <x:c r="C1894" s="16" t="str">
        <x:v>Graduation</x:v>
      </x:c>
      <x:c r="D1894" s="16" t="str">
        <x:v>Divorced</x:v>
      </x:c>
      <x:c r="E1894" s="16" t="n">
        <x:v>49160</x:v>
      </x:c>
      <x:c r="F1894" s="16" t="n">
        <x:v>0</x:v>
      </x:c>
      <x:c r="G1894" s="16" t="n">
        <x:v>1</x:v>
      </x:c>
      <x:c r="H1894" s="16" t="str">
        <x:v>20-10-2013</x:v>
      </x:c>
      <x:c r="I1894" s="16" t="n">
        <x:v>29</x:v>
      </x:c>
      <x:c r="J1894" s="16" t="n">
        <x:v>122</x:v>
      </x:c>
      <x:c r="K1894" s="16" t="n">
        <x:v>21</x:v>
      </x:c>
      <x:c r="L1894" s="16" t="n">
        <x:v>43</x:v>
      </x:c>
      <x:c r="M1894" s="16" t="n">
        <x:v>25</x:v>
      </x:c>
      <x:c r="N1894" s="16" t="n">
        <x:v>10</x:v>
      </x:c>
      <x:c r="O1894" s="16" t="n">
        <x:v>15</x:v>
      </x:c>
      <x:c r="P1894" s="16" t="n">
        <x:v>2</x:v>
      </x:c>
      <x:c r="Q1894" s="16" t="n">
        <x:v>3</x:v>
      </x:c>
      <x:c r="R1894" s="16" t="n">
        <x:v>1</x:v>
      </x:c>
      <x:c r="S1894" s="16" t="n">
        <x:v>6</x:v>
      </x:c>
      <x:c r="T1894" s="16" t="n">
        <x:v>6</x:v>
      </x:c>
      <x:c r="U1894" s="16" t="n">
        <x:v>0</x:v>
      </x:c>
      <x:c r="V1894" s="16" t="n">
        <x:v>0</x:v>
      </x:c>
      <x:c r="W1894" s="16" t="n">
        <x:v>0</x:v>
      </x:c>
      <x:c r="X1894" s="16" t="n">
        <x:v>0</x:v>
      </x:c>
      <x:c r="Y1894" s="16" t="n">
        <x:v>0</x:v>
      </x:c>
      <x:c r="Z1894" s="16" t="n">
        <x:v>0</x:v>
      </x:c>
      <x:c r="AA1894" s="16" t="n">
        <x:v>3</x:v>
      </x:c>
      <x:c r="AB1894" s="16" t="n">
        <x:v>11</x:v>
      </x:c>
      <x:c r="AC1894" s="16" t="n">
        <x:v>0</x:v>
      </x:c>
      <x:c r="AD1894" s="21" t="n">
        <x:f>IF(E1894="",MEDIAN($E$2:$E$2237),E1894)</x:f>
        <x:v>49160</x:v>
      </x:c>
      <x:c r="AE1894" s="17" t="n">
        <x:f>2014-B1894</x:f>
        <x:v>65</x:v>
      </x:c>
      <x:c r="AF1894" s="17" t="n">
        <x:f>F1894+G1894</x:f>
        <x:v>1</x:v>
      </x:c>
      <x:c r="AG1894" s="21" t="n">
        <x:f>SUM(J1894:O1894)</x:f>
        <x:v>236</x:v>
      </x:c>
      <x:c r="AH1894" s="17" t="n">
        <x:f>SUM(Q1894:S1894)</x:f>
        <x:v>10</x:v>
      </x:c>
      <x:c r="AI1894" s="17" t="n">
        <x:f>SUM(U1894:Y1894)</x:f>
        <x:v>0</x:v>
      </x:c>
      <x:c r="AJ1894" s="17" t="str">
        <x:f>IF(AE1894&lt;=34,"≤34",IF(AE1894&lt;=44,"35–44",IF(AE1894&lt;=54,"45–54",IF(AE1894&lt;=64,"55–64","65+"))))</x:f>
        <x:v>65+</x:v>
      </x:c>
      <x:c r="AK1894" s="17" t="str">
        <x:f>IF(AG1894&gt;=1000,"High Value",IF(AG1894&gt;=300,"Mid Value","Low Value"))</x:f>
        <x:v>Low Value</x:v>
      </x:c>
      <x:c r="AL1894" s="17" t="str">
        <x:f>IF(AND(AI1894&gt;=1,I1894&lt;=50),"Priority 1",IF(AND(AG1894&gt;=1000,I1894&lt;=60),"Priority 2",IF(I1894&lt;=30,"Priority 3","Nurture")))</x:f>
        <x:v>Priority 3</x:v>
      </x:c>
    </x:row>
    <x:row r="1895">
      <x:c r="A1895" s="16" t="n">
        <x:v>8462</x:v>
      </x:c>
      <x:c r="B1895" s="16" t="n">
        <x:v>1978</x:v>
      </x:c>
      <x:c r="C1895" s="16" t="str">
        <x:v>Basic</x:v>
      </x:c>
      <x:c r="D1895" s="16" t="str">
        <x:v>Together</x:v>
      </x:c>
      <x:c r="E1895" s="16" t="n">
        <x:v>24882</x:v>
      </x:c>
      <x:c r="F1895" s="16" t="n">
        <x:v>1</x:v>
      </x:c>
      <x:c r="G1895" s="16" t="n">
        <x:v>0</x:v>
      </x:c>
      <x:c r="H1895" s="16" t="str">
        <x:v>09-09-2012</x:v>
      </x:c>
      <x:c r="I1895" s="16" t="n">
        <x:v>52</x:v>
      </x:c>
      <x:c r="J1895" s="16" t="n">
        <x:v>1</x:v>
      </x:c>
      <x:c r="K1895" s="16" t="n">
        <x:v>4</x:v>
      </x:c>
      <x:c r="L1895" s="16" t="n">
        <x:v>10</x:v>
      </x:c>
      <x:c r="M1895" s="16" t="n">
        <x:v>29</x:v>
      </x:c>
      <x:c r="N1895" s="16" t="n">
        <x:v>0</x:v>
      </x:c>
      <x:c r="O1895" s="16" t="n">
        <x:v>36</x:v>
      </x:c>
      <x:c r="P1895" s="16" t="n">
        <x:v>1</x:v>
      </x:c>
      <x:c r="Q1895" s="16" t="n">
        <x:v>1</x:v>
      </x:c>
      <x:c r="R1895" s="16" t="n">
        <x:v>1</x:v>
      </x:c>
      <x:c r="S1895" s="16" t="n">
        <x:v>2</x:v>
      </x:c>
      <x:c r="T1895" s="16" t="n">
        <x:v>6</x:v>
      </x:c>
      <x:c r="U1895" s="16" t="n">
        <x:v>1</x:v>
      </x:c>
      <x:c r="V1895" s="16" t="n">
        <x:v>0</x:v>
      </x:c>
      <x:c r="W1895" s="16" t="n">
        <x:v>0</x:v>
      </x:c>
      <x:c r="X1895" s="16" t="n">
        <x:v>0</x:v>
      </x:c>
      <x:c r="Y1895" s="16" t="n">
        <x:v>0</x:v>
      </x:c>
      <x:c r="Z1895" s="16" t="n">
        <x:v>0</x:v>
      </x:c>
      <x:c r="AA1895" s="16" t="n">
        <x:v>3</x:v>
      </x:c>
      <x:c r="AB1895" s="16" t="n">
        <x:v>11</x:v>
      </x:c>
      <x:c r="AC1895" s="16" t="n">
        <x:v>0</x:v>
      </x:c>
      <x:c r="AD1895" s="21" t="n">
        <x:f>IF(E1895="",MEDIAN($E$2:$E$2237),E1895)</x:f>
        <x:v>24882</x:v>
      </x:c>
      <x:c r="AE1895" s="17" t="n">
        <x:f>2014-B1895</x:f>
        <x:v>36</x:v>
      </x:c>
      <x:c r="AF1895" s="17" t="n">
        <x:f>F1895+G1895</x:f>
        <x:v>1</x:v>
      </x:c>
      <x:c r="AG1895" s="21" t="n">
        <x:f>SUM(J1895:O1895)</x:f>
        <x:v>80</x:v>
      </x:c>
      <x:c r="AH1895" s="17" t="n">
        <x:f>SUM(Q1895:S1895)</x:f>
        <x:v>4</x:v>
      </x:c>
      <x:c r="AI1895" s="17" t="n">
        <x:f>SUM(U1895:Y1895)</x:f>
        <x:v>1</x:v>
      </x:c>
      <x:c r="AJ1895" s="17" t="str">
        <x:f>IF(AE1895&lt;=34,"≤34",IF(AE1895&lt;=44,"35–44",IF(AE1895&lt;=54,"45–54",IF(AE1895&lt;=64,"55–64","65+"))))</x:f>
        <x:v>35–44</x:v>
      </x:c>
      <x:c r="AK1895" s="17" t="str">
        <x:f>IF(AG1895&gt;=1000,"High Value",IF(AG1895&gt;=300,"Mid Value","Low Value"))</x:f>
        <x:v>Low Value</x:v>
      </x:c>
      <x:c r="AL1895" s="17" t="str">
        <x:f>IF(AND(AI1895&gt;=1,I1895&lt;=50),"Priority 1",IF(AND(AG1895&gt;=1000,I1895&lt;=60),"Priority 2",IF(I1895&lt;=30,"Priority 3","Nurture")))</x:f>
        <x:v>Nurture</x:v>
      </x:c>
    </x:row>
    <x:row r="1896">
      <x:c r="A1896" s="16" t="n">
        <x:v>5558</x:v>
      </x:c>
      <x:c r="B1896" s="16" t="n">
        <x:v>1954</x:v>
      </x:c>
      <x:c r="C1896" s="16" t="str">
        <x:v>PhD</x:v>
      </x:c>
      <x:c r="D1896" s="16" t="str">
        <x:v>Single</x:v>
      </x:c>
      <x:c r="E1896" s="16" t="n">
        <x:v>90933</x:v>
      </x:c>
      <x:c r="F1896" s="16" t="n">
        <x:v>0</x:v>
      </x:c>
      <x:c r="G1896" s="16" t="n">
        <x:v>0</x:v>
      </x:c>
      <x:c r="H1896" s="16" t="str">
        <x:v>31-03-2014</x:v>
      </x:c>
      <x:c r="I1896" s="16" t="n">
        <x:v>90</x:v>
      </x:c>
      <x:c r="J1896" s="16" t="n">
        <x:v>1020</x:v>
      </x:c>
      <x:c r="K1896" s="16" t="n">
        <x:v>31</x:v>
      </x:c>
      <x:c r="L1896" s="16" t="n">
        <x:v>430</x:v>
      </x:c>
      <x:c r="M1896" s="16" t="n">
        <x:v>62</x:v>
      </x:c>
      <x:c r="N1896" s="16" t="n">
        <x:v>63</x:v>
      </x:c>
      <x:c r="O1896" s="16" t="n">
        <x:v>79</x:v>
      </x:c>
      <x:c r="P1896" s="16" t="n">
        <x:v>1</x:v>
      </x:c>
      <x:c r="Q1896" s="16" t="n">
        <x:v>4</x:v>
      </x:c>
      <x:c r="R1896" s="16" t="n">
        <x:v>6</x:v>
      </x:c>
      <x:c r="S1896" s="16" t="n">
        <x:v>4</x:v>
      </x:c>
      <x:c r="T1896" s="16" t="n">
        <x:v>1</x:v>
      </x:c>
      <x:c r="U1896" s="16" t="n">
        <x:v>0</x:v>
      </x:c>
      <x:c r="V1896" s="16" t="n">
        <x:v>0</x:v>
      </x:c>
      <x:c r="W1896" s="16" t="n">
        <x:v>1</x:v>
      </x:c>
      <x:c r="X1896" s="16" t="n">
        <x:v>0</x:v>
      </x:c>
      <x:c r="Y1896" s="16" t="n">
        <x:v>0</x:v>
      </x:c>
      <x:c r="Z1896" s="16" t="n">
        <x:v>0</x:v>
      </x:c>
      <x:c r="AA1896" s="16" t="n">
        <x:v>3</x:v>
      </x:c>
      <x:c r="AB1896" s="16" t="n">
        <x:v>11</x:v>
      </x:c>
      <x:c r="AC1896" s="16" t="n">
        <x:v>0</x:v>
      </x:c>
      <x:c r="AD1896" s="21" t="n">
        <x:f>IF(E1896="",MEDIAN($E$2:$E$2237),E1896)</x:f>
        <x:v>90933</x:v>
      </x:c>
      <x:c r="AE1896" s="17" t="n">
        <x:f>2014-B1896</x:f>
        <x:v>60</x:v>
      </x:c>
      <x:c r="AF1896" s="17" t="n">
        <x:f>F1896+G1896</x:f>
        <x:v>0</x:v>
      </x:c>
      <x:c r="AG1896" s="21" t="n">
        <x:f>SUM(J1896:O1896)</x:f>
        <x:v>1685</x:v>
      </x:c>
      <x:c r="AH1896" s="17" t="n">
        <x:f>SUM(Q1896:S1896)</x:f>
        <x:v>14</x:v>
      </x:c>
      <x:c r="AI1896" s="17" t="n">
        <x:f>SUM(U1896:Y1896)</x:f>
        <x:v>1</x:v>
      </x:c>
      <x:c r="AJ1896" s="17" t="str">
        <x:f>IF(AE1896&lt;=34,"≤34",IF(AE1896&lt;=44,"35–44",IF(AE1896&lt;=54,"45–54",IF(AE1896&lt;=64,"55–64","65+"))))</x:f>
        <x:v>55–64</x:v>
      </x:c>
      <x:c r="AK1896" s="17" t="str">
        <x:f>IF(AG1896&gt;=1000,"High Value",IF(AG1896&gt;=300,"Mid Value","Low Value"))</x:f>
        <x:v>High Value</x:v>
      </x:c>
      <x:c r="AL1896" s="17" t="str">
        <x:f>IF(AND(AI1896&gt;=1,I1896&lt;=50),"Priority 1",IF(AND(AG1896&gt;=1000,I1896&lt;=60),"Priority 2",IF(I1896&lt;=30,"Priority 3","Nurture")))</x:f>
        <x:v>Nurture</x:v>
      </x:c>
    </x:row>
    <x:row r="1897">
      <x:c r="A1897" s="16" t="n">
        <x:v>4619</x:v>
      </x:c>
      <x:c r="B1897" s="16" t="n">
        <x:v>1945</x:v>
      </x:c>
      <x:c r="C1897" s="16" t="str">
        <x:v>PhD</x:v>
      </x:c>
      <x:c r="D1897" s="16" t="str">
        <x:v>Single</x:v>
      </x:c>
      <x:c r="E1897" s="16" t="n">
        <x:v>113734</x:v>
      </x:c>
      <x:c r="F1897" s="16" t="n">
        <x:v>0</x:v>
      </x:c>
      <x:c r="G1897" s="16" t="n">
        <x:v>0</x:v>
      </x:c>
      <x:c r="H1897" s="16" t="str">
        <x:v>28-05-2014</x:v>
      </x:c>
      <x:c r="I1897" s="16" t="n">
        <x:v>9</x:v>
      </x:c>
      <x:c r="J1897" s="16" t="n">
        <x:v>6</x:v>
      </x:c>
      <x:c r="K1897" s="16" t="n">
        <x:v>2</x:v>
      </x:c>
      <x:c r="L1897" s="16" t="n">
        <x:v>3</x:v>
      </x:c>
      <x:c r="M1897" s="16" t="n">
        <x:v>1</x:v>
      </x:c>
      <x:c r="N1897" s="16" t="n">
        <x:v>262</x:v>
      </x:c>
      <x:c r="O1897" s="16" t="n">
        <x:v>3</x:v>
      </x:c>
      <x:c r="P1897" s="16" t="n">
        <x:v>0</x:v>
      </x:c>
      <x:c r="Q1897" s="16" t="n">
        <x:v>27</x:v>
      </x:c>
      <x:c r="R1897" s="16" t="n">
        <x:v>0</x:v>
      </x:c>
      <x:c r="S1897" s="16" t="n">
        <x:v>0</x:v>
      </x:c>
      <x:c r="T1897" s="16" t="n">
        <x:v>1</x:v>
      </x:c>
      <x:c r="U1897" s="16" t="n">
        <x:v>0</x:v>
      </x:c>
      <x:c r="V1897" s="16" t="n">
        <x:v>0</x:v>
      </x:c>
      <x:c r="W1897" s="16" t="n">
        <x:v>0</x:v>
      </x:c>
      <x:c r="X1897" s="16" t="n">
        <x:v>0</x:v>
      </x:c>
      <x:c r="Y1897" s="16" t="n">
        <x:v>0</x:v>
      </x:c>
      <x:c r="Z1897" s="16" t="n">
        <x:v>0</x:v>
      </x:c>
      <x:c r="AA1897" s="16" t="n">
        <x:v>3</x:v>
      </x:c>
      <x:c r="AB1897" s="16" t="n">
        <x:v>11</x:v>
      </x:c>
      <x:c r="AC1897" s="16" t="n">
        <x:v>0</x:v>
      </x:c>
      <x:c r="AD1897" s="21" t="n">
        <x:f>IF(E1897="",MEDIAN($E$2:$E$2237),E1897)</x:f>
        <x:v>113734</x:v>
      </x:c>
      <x:c r="AE1897" s="17" t="n">
        <x:f>2014-B1897</x:f>
        <x:v>69</x:v>
      </x:c>
      <x:c r="AF1897" s="17" t="n">
        <x:f>F1897+G1897</x:f>
        <x:v>0</x:v>
      </x:c>
      <x:c r="AG1897" s="21" t="n">
        <x:f>SUM(J1897:O1897)</x:f>
        <x:v>277</x:v>
      </x:c>
      <x:c r="AH1897" s="17" t="n">
        <x:f>SUM(Q1897:S1897)</x:f>
        <x:v>27</x:v>
      </x:c>
      <x:c r="AI1897" s="17" t="n">
        <x:f>SUM(U1897:Y1897)</x:f>
        <x:v>0</x:v>
      </x:c>
      <x:c r="AJ1897" s="17" t="str">
        <x:f>IF(AE1897&lt;=34,"≤34",IF(AE1897&lt;=44,"35–44",IF(AE1897&lt;=54,"45–54",IF(AE1897&lt;=64,"55–64","65+"))))</x:f>
        <x:v>65+</x:v>
      </x:c>
      <x:c r="AK1897" s="17" t="str">
        <x:f>IF(AG1897&gt;=1000,"High Value",IF(AG1897&gt;=300,"Mid Value","Low Value"))</x:f>
        <x:v>Low Value</x:v>
      </x:c>
      <x:c r="AL1897" s="17" t="str">
        <x:f>IF(AND(AI1897&gt;=1,I1897&lt;=50),"Priority 1",IF(AND(AG1897&gt;=1000,I1897&lt;=60),"Priority 2",IF(I1897&lt;=30,"Priority 3","Nurture")))</x:f>
        <x:v>Priority 3</x:v>
      </x:c>
    </x:row>
    <x:row r="1898">
      <x:c r="A1898" s="16" t="n">
        <x:v>8780</x:v>
      </x:c>
      <x:c r="B1898" s="16" t="n">
        <x:v>1950</x:v>
      </x:c>
      <x:c r="C1898" s="16" t="str">
        <x:v>PhD</x:v>
      </x:c>
      <x:c r="D1898" s="16" t="str">
        <x:v>Together</x:v>
      </x:c>
      <x:c r="E1898" s="16" t="n">
        <x:v>59292</x:v>
      </x:c>
      <x:c r="F1898" s="16" t="n">
        <x:v>0</x:v>
      </x:c>
      <x:c r="G1898" s="16" t="n">
        <x:v>1</x:v>
      </x:c>
      <x:c r="H1898" s="16" t="str">
        <x:v>13-06-2013</x:v>
      </x:c>
      <x:c r="I1898" s="16" t="n">
        <x:v>71</x:v>
      </x:c>
      <x:c r="J1898" s="16" t="n">
        <x:v>378</x:v>
      </x:c>
      <x:c r="K1898" s="16" t="n">
        <x:v>14</x:v>
      </x:c>
      <x:c r="L1898" s="16" t="n">
        <x:v>68</x:v>
      </x:c>
      <x:c r="M1898" s="16" t="n">
        <x:v>19</x:v>
      </x:c>
      <x:c r="N1898" s="16" t="n">
        <x:v>14</x:v>
      </x:c>
      <x:c r="O1898" s="16" t="n">
        <x:v>14</x:v>
      </x:c>
      <x:c r="P1898" s="16" t="n">
        <x:v>2</x:v>
      </x:c>
      <x:c r="Q1898" s="16" t="n">
        <x:v>3</x:v>
      </x:c>
      <x:c r="R1898" s="16" t="n">
        <x:v>5</x:v>
      </x:c>
      <x:c r="S1898" s="16" t="n">
        <x:v>8</x:v>
      </x:c>
      <x:c r="T1898" s="16" t="n">
        <x:v>3</x:v>
      </x:c>
      <x:c r="U1898" s="16" t="n">
        <x:v>0</x:v>
      </x:c>
      <x:c r="V1898" s="16" t="n">
        <x:v>0</x:v>
      </x:c>
      <x:c r="W1898" s="16" t="n">
        <x:v>0</x:v>
      </x:c>
      <x:c r="X1898" s="16" t="n">
        <x:v>0</x:v>
      </x:c>
      <x:c r="Y1898" s="16" t="n">
        <x:v>0</x:v>
      </x:c>
      <x:c r="Z1898" s="16" t="n">
        <x:v>0</x:v>
      </x:c>
      <x:c r="AA1898" s="16" t="n">
        <x:v>3</x:v>
      </x:c>
      <x:c r="AB1898" s="16" t="n">
        <x:v>11</x:v>
      </x:c>
      <x:c r="AC1898" s="16" t="n">
        <x:v>0</x:v>
      </x:c>
      <x:c r="AD1898" s="21" t="n">
        <x:f>IF(E1898="",MEDIAN($E$2:$E$2237),E1898)</x:f>
        <x:v>59292</x:v>
      </x:c>
      <x:c r="AE1898" s="17" t="n">
        <x:f>2014-B1898</x:f>
        <x:v>64</x:v>
      </x:c>
      <x:c r="AF1898" s="17" t="n">
        <x:f>F1898+G1898</x:f>
        <x:v>1</x:v>
      </x:c>
      <x:c r="AG1898" s="21" t="n">
        <x:f>SUM(J1898:O1898)</x:f>
        <x:v>507</x:v>
      </x:c>
      <x:c r="AH1898" s="17" t="n">
        <x:f>SUM(Q1898:S1898)</x:f>
        <x:v>16</x:v>
      </x:c>
      <x:c r="AI1898" s="17" t="n">
        <x:f>SUM(U1898:Y1898)</x:f>
        <x:v>0</x:v>
      </x:c>
      <x:c r="AJ1898" s="17" t="str">
        <x:f>IF(AE1898&lt;=34,"≤34",IF(AE1898&lt;=44,"35–44",IF(AE1898&lt;=54,"45–54",IF(AE1898&lt;=64,"55–64","65+"))))</x:f>
        <x:v>55–64</x:v>
      </x:c>
      <x:c r="AK1898" s="17" t="str">
        <x:f>IF(AG1898&gt;=1000,"High Value",IF(AG1898&gt;=300,"Mid Value","Low Value"))</x:f>
        <x:v>Mid Value</x:v>
      </x:c>
      <x:c r="AL1898" s="17" t="str">
        <x:f>IF(AND(AI1898&gt;=1,I1898&lt;=50),"Priority 1",IF(AND(AG1898&gt;=1000,I1898&lt;=60),"Priority 2",IF(I1898&lt;=30,"Priority 3","Nurture")))</x:f>
        <x:v>Nurture</x:v>
      </x:c>
    </x:row>
    <x:row r="1899">
      <x:c r="A1899" s="16" t="n">
        <x:v>10789</x:v>
      </x:c>
      <x:c r="B1899" s="16" t="n">
        <x:v>1964</x:v>
      </x:c>
      <x:c r="C1899" s="16" t="str">
        <x:v>PhD</x:v>
      </x:c>
      <x:c r="D1899" s="16" t="str">
        <x:v>Married</x:v>
      </x:c>
      <x:c r="E1899" s="16" t="n">
        <x:v>45759</x:v>
      </x:c>
      <x:c r="F1899" s="16" t="n">
        <x:v>1</x:v>
      </x:c>
      <x:c r="G1899" s="16" t="n">
        <x:v>1</x:v>
      </x:c>
      <x:c r="H1899" s="16" t="str">
        <x:v>23-02-2013</x:v>
      </x:c>
      <x:c r="I1899" s="16" t="n">
        <x:v>13</x:v>
      </x:c>
      <x:c r="J1899" s="16" t="n">
        <x:v>42</x:v>
      </x:c>
      <x:c r="K1899" s="16" t="n">
        <x:v>1</x:v>
      </x:c>
      <x:c r="L1899" s="16" t="n">
        <x:v>18</x:v>
      </x:c>
      <x:c r="M1899" s="16" t="n">
        <x:v>3</x:v>
      </x:c>
      <x:c r="N1899" s="16" t="n">
        <x:v>0</x:v>
      </x:c>
      <x:c r="O1899" s="16" t="n">
        <x:v>4</x:v>
      </x:c>
      <x:c r="P1899" s="16" t="n">
        <x:v>2</x:v>
      </x:c>
      <x:c r="Q1899" s="16" t="n">
        <x:v>2</x:v>
      </x:c>
      <x:c r="R1899" s="16" t="n">
        <x:v>0</x:v>
      </x:c>
      <x:c r="S1899" s="16" t="n">
        <x:v>3</x:v>
      </x:c>
      <x:c r="T1899" s="16" t="n">
        <x:v>7</x:v>
      </x:c>
      <x:c r="U1899" s="16" t="n">
        <x:v>0</x:v>
      </x:c>
      <x:c r="V1899" s="16" t="n">
        <x:v>0</x:v>
      </x:c>
      <x:c r="W1899" s="16" t="n">
        <x:v>0</x:v>
      </x:c>
      <x:c r="X1899" s="16" t="n">
        <x:v>0</x:v>
      </x:c>
      <x:c r="Y1899" s="16" t="n">
        <x:v>0</x:v>
      </x:c>
      <x:c r="Z1899" s="16" t="n">
        <x:v>0</x:v>
      </x:c>
      <x:c r="AA1899" s="16" t="n">
        <x:v>3</x:v>
      </x:c>
      <x:c r="AB1899" s="16" t="n">
        <x:v>11</x:v>
      </x:c>
      <x:c r="AC1899" s="16" t="n">
        <x:v>0</x:v>
      </x:c>
      <x:c r="AD1899" s="21" t="n">
        <x:f>IF(E1899="",MEDIAN($E$2:$E$2237),E1899)</x:f>
        <x:v>45759</x:v>
      </x:c>
      <x:c r="AE1899" s="17" t="n">
        <x:f>2014-B1899</x:f>
        <x:v>50</x:v>
      </x:c>
      <x:c r="AF1899" s="17" t="n">
        <x:f>F1899+G1899</x:f>
        <x:v>2</x:v>
      </x:c>
      <x:c r="AG1899" s="21" t="n">
        <x:f>SUM(J1899:O1899)</x:f>
        <x:v>68</x:v>
      </x:c>
      <x:c r="AH1899" s="17" t="n">
        <x:f>SUM(Q1899:S1899)</x:f>
        <x:v>5</x:v>
      </x:c>
      <x:c r="AI1899" s="17" t="n">
        <x:f>SUM(U1899:Y1899)</x:f>
        <x:v>0</x:v>
      </x:c>
      <x:c r="AJ1899" s="17" t="str">
        <x:f>IF(AE1899&lt;=34,"≤34",IF(AE1899&lt;=44,"35–44",IF(AE1899&lt;=54,"45–54",IF(AE1899&lt;=64,"55–64","65+"))))</x:f>
        <x:v>45–54</x:v>
      </x:c>
      <x:c r="AK1899" s="17" t="str">
        <x:f>IF(AG1899&gt;=1000,"High Value",IF(AG1899&gt;=300,"Mid Value","Low Value"))</x:f>
        <x:v>Low Value</x:v>
      </x:c>
      <x:c r="AL1899" s="17" t="str">
        <x:f>IF(AND(AI1899&gt;=1,I1899&lt;=50),"Priority 1",IF(AND(AG1899&gt;=1000,I1899&lt;=60),"Priority 2",IF(I1899&lt;=30,"Priority 3","Nurture")))</x:f>
        <x:v>Priority 3</x:v>
      </x:c>
    </x:row>
    <x:row r="1900">
      <x:c r="A1900" s="16" t="n">
        <x:v>10779</x:v>
      </x:c>
      <x:c r="B1900" s="16" t="n">
        <x:v>1983</x:v>
      </x:c>
      <x:c r="C1900" s="16" t="str">
        <x:v>Graduation</x:v>
      </x:c>
      <x:c r="D1900" s="16" t="str">
        <x:v>Single</x:v>
      </x:c>
      <x:c r="E1900" s="16" t="n">
        <x:v>22148</x:v>
      </x:c>
      <x:c r="F1900" s="16" t="n">
        <x:v>0</x:v>
      </x:c>
      <x:c r="G1900" s="16" t="n">
        <x:v>0</x:v>
      </x:c>
      <x:c r="H1900" s="16" t="str">
        <x:v>13-04-2014</x:v>
      </x:c>
      <x:c r="I1900" s="16" t="n">
        <x:v>16</x:v>
      </x:c>
      <x:c r="J1900" s="16" t="n">
        <x:v>15</x:v>
      </x:c>
      <x:c r="K1900" s="16" t="n">
        <x:v>5</x:v>
      </x:c>
      <x:c r="L1900" s="16" t="n">
        <x:v>14</x:v>
      </x:c>
      <x:c r="M1900" s="16" t="n">
        <x:v>0</x:v>
      </x:c>
      <x:c r="N1900" s="16" t="n">
        <x:v>4</x:v>
      </x:c>
      <x:c r="O1900" s="16" t="n">
        <x:v>11</x:v>
      </x:c>
      <x:c r="P1900" s="16" t="n">
        <x:v>1</x:v>
      </x:c>
      <x:c r="Q1900" s="16" t="n">
        <x:v>1</x:v>
      </x:c>
      <x:c r="R1900" s="16" t="n">
        <x:v>0</x:v>
      </x:c>
      <x:c r="S1900" s="16" t="n">
        <x:v>3</x:v>
      </x:c>
      <x:c r="T1900" s="16" t="n">
        <x:v>7</x:v>
      </x:c>
      <x:c r="U1900" s="16" t="n">
        <x:v>0</x:v>
      </x:c>
      <x:c r="V1900" s="16" t="n">
        <x:v>0</x:v>
      </x:c>
      <x:c r="W1900" s="16" t="n">
        <x:v>0</x:v>
      </x:c>
      <x:c r="X1900" s="16" t="n">
        <x:v>0</x:v>
      </x:c>
      <x:c r="Y1900" s="16" t="n">
        <x:v>0</x:v>
      </x:c>
      <x:c r="Z1900" s="16" t="n">
        <x:v>0</x:v>
      </x:c>
      <x:c r="AA1900" s="16" t="n">
        <x:v>3</x:v>
      </x:c>
      <x:c r="AB1900" s="16" t="n">
        <x:v>11</x:v>
      </x:c>
      <x:c r="AC1900" s="16" t="n">
        <x:v>0</x:v>
      </x:c>
      <x:c r="AD1900" s="21" t="n">
        <x:f>IF(E1900="",MEDIAN($E$2:$E$2237),E1900)</x:f>
        <x:v>22148</x:v>
      </x:c>
      <x:c r="AE1900" s="17" t="n">
        <x:f>2014-B1900</x:f>
        <x:v>31</x:v>
      </x:c>
      <x:c r="AF1900" s="17" t="n">
        <x:f>F1900+G1900</x:f>
        <x:v>0</x:v>
      </x:c>
      <x:c r="AG1900" s="21" t="n">
        <x:f>SUM(J1900:O1900)</x:f>
        <x:v>49</x:v>
      </x:c>
      <x:c r="AH1900" s="17" t="n">
        <x:f>SUM(Q1900:S1900)</x:f>
        <x:v>4</x:v>
      </x:c>
      <x:c r="AI1900" s="17" t="n">
        <x:f>SUM(U1900:Y1900)</x:f>
        <x:v>0</x:v>
      </x:c>
      <x:c r="AJ1900" s="17" t="str">
        <x:f>IF(AE1900&lt;=34,"≤34",IF(AE1900&lt;=44,"35–44",IF(AE1900&lt;=54,"45–54",IF(AE1900&lt;=64,"55–64","65+"))))</x:f>
        <x:v>≤34</x:v>
      </x:c>
      <x:c r="AK1900" s="17" t="str">
        <x:f>IF(AG1900&gt;=1000,"High Value",IF(AG1900&gt;=300,"Mid Value","Low Value"))</x:f>
        <x:v>Low Value</x:v>
      </x:c>
      <x:c r="AL1900" s="17" t="str">
        <x:f>IF(AND(AI1900&gt;=1,I1900&lt;=50),"Priority 1",IF(AND(AG1900&gt;=1000,I1900&lt;=60),"Priority 2",IF(I1900&lt;=30,"Priority 3","Nurture")))</x:f>
        <x:v>Priority 3</x:v>
      </x:c>
    </x:row>
    <x:row r="1901">
      <x:c r="A1901" s="16" t="n">
        <x:v>5896</x:v>
      </x:c>
      <x:c r="B1901" s="16" t="n">
        <x:v>1987</x:v>
      </x:c>
      <x:c r="C1901" s="16" t="str">
        <x:v>Master</x:v>
      </x:c>
      <x:c r="D1901" s="16" t="str">
        <x:v>Married</x:v>
      </x:c>
      <x:c r="E1901" s="16" t="n">
        <x:v>73395</x:v>
      </x:c>
      <x:c r="F1901" s="16" t="n">
        <x:v>0</x:v>
      </x:c>
      <x:c r="G1901" s="16" t="n">
        <x:v>0</x:v>
      </x:c>
      <x:c r="H1901" s="16" t="str">
        <x:v>18-03-2014</x:v>
      </x:c>
      <x:c r="I1901" s="16" t="n">
        <x:v>94</x:v>
      </x:c>
      <x:c r="J1901" s="16" t="n">
        <x:v>272</x:v>
      </x:c>
      <x:c r="K1901" s="16" t="n">
        <x:v>7</x:v>
      </x:c>
      <x:c r="L1901" s="16" t="n">
        <x:v>80</x:v>
      </x:c>
      <x:c r="M1901" s="16" t="n">
        <x:v>20</x:v>
      </x:c>
      <x:c r="N1901" s="16" t="n">
        <x:v>7</x:v>
      </x:c>
      <x:c r="O1901" s="16" t="n">
        <x:v>11</x:v>
      </x:c>
      <x:c r="P1901" s="16" t="n">
        <x:v>1</x:v>
      </x:c>
      <x:c r="Q1901" s="16" t="n">
        <x:v>4</x:v>
      </x:c>
      <x:c r="R1901" s="16" t="n">
        <x:v>4</x:v>
      </x:c>
      <x:c r="S1901" s="16" t="n">
        <x:v>6</x:v>
      </x:c>
      <x:c r="T1901" s="16" t="n">
        <x:v>2</x:v>
      </x:c>
      <x:c r="U1901" s="16" t="n">
        <x:v>0</x:v>
      </x:c>
      <x:c r="V1901" s="16" t="n">
        <x:v>0</x:v>
      </x:c>
      <x:c r="W1901" s="16" t="n">
        <x:v>0</x:v>
      </x:c>
      <x:c r="X1901" s="16" t="n">
        <x:v>0</x:v>
      </x:c>
      <x:c r="Y1901" s="16" t="n">
        <x:v>0</x:v>
      </x:c>
      <x:c r="Z1901" s="16" t="n">
        <x:v>0</x:v>
      </x:c>
      <x:c r="AA1901" s="16" t="n">
        <x:v>3</x:v>
      </x:c>
      <x:c r="AB1901" s="16" t="n">
        <x:v>11</x:v>
      </x:c>
      <x:c r="AC1901" s="16" t="n">
        <x:v>0</x:v>
      </x:c>
      <x:c r="AD1901" s="21" t="n">
        <x:f>IF(E1901="",MEDIAN($E$2:$E$2237),E1901)</x:f>
        <x:v>73395</x:v>
      </x:c>
      <x:c r="AE1901" s="17" t="n">
        <x:f>2014-B1901</x:f>
        <x:v>27</x:v>
      </x:c>
      <x:c r="AF1901" s="17" t="n">
        <x:f>F1901+G1901</x:f>
        <x:v>0</x:v>
      </x:c>
      <x:c r="AG1901" s="21" t="n">
        <x:f>SUM(J1901:O1901)</x:f>
        <x:v>397</x:v>
      </x:c>
      <x:c r="AH1901" s="17" t="n">
        <x:f>SUM(Q1901:S1901)</x:f>
        <x:v>14</x:v>
      </x:c>
      <x:c r="AI1901" s="17" t="n">
        <x:f>SUM(U1901:Y1901)</x:f>
        <x:v>0</x:v>
      </x:c>
      <x:c r="AJ1901" s="17" t="str">
        <x:f>IF(AE1901&lt;=34,"≤34",IF(AE1901&lt;=44,"35–44",IF(AE1901&lt;=54,"45–54",IF(AE1901&lt;=64,"55–64","65+"))))</x:f>
        <x:v>≤34</x:v>
      </x:c>
      <x:c r="AK1901" s="17" t="str">
        <x:f>IF(AG1901&gt;=1000,"High Value",IF(AG1901&gt;=300,"Mid Value","Low Value"))</x:f>
        <x:v>Mid Value</x:v>
      </x:c>
      <x:c r="AL1901" s="17" t="str">
        <x:f>IF(AND(AI1901&gt;=1,I1901&lt;=50),"Priority 1",IF(AND(AG1901&gt;=1000,I1901&lt;=60),"Priority 2",IF(I1901&lt;=30,"Priority 3","Nurture")))</x:f>
        <x:v>Nurture</x:v>
      </x:c>
    </x:row>
    <x:row r="1902">
      <x:c r="A1902" s="16" t="n">
        <x:v>2337</x:v>
      </x:c>
      <x:c r="B1902" s="16" t="n">
        <x:v>1971</x:v>
      </x:c>
      <x:c r="C1902" s="16" t="str">
        <x:v>Graduation</x:v>
      </x:c>
      <x:c r="D1902" s="16" t="str">
        <x:v>Divorced</x:v>
      </x:c>
      <x:c r="E1902" s="16" t="n">
        <x:v>29819</x:v>
      </x:c>
      <x:c r="F1902" s="16" t="n">
        <x:v>1</x:v>
      </x:c>
      <x:c r="G1902" s="16" t="n">
        <x:v>0</x:v>
      </x:c>
      <x:c r="H1902" s="16" t="str">
        <x:v>24-10-2013</x:v>
      </x:c>
      <x:c r="I1902" s="16" t="n">
        <x:v>77</x:v>
      </x:c>
      <x:c r="J1902" s="16" t="n">
        <x:v>9</x:v>
      </x:c>
      <x:c r="K1902" s="16" t="n">
        <x:v>1</x:v>
      </x:c>
      <x:c r="L1902" s="16" t="n">
        <x:v>24</x:v>
      </x:c>
      <x:c r="M1902" s="16" t="n">
        <x:v>2</x:v>
      </x:c>
      <x:c r="N1902" s="16" t="n">
        <x:v>1</x:v>
      </x:c>
      <x:c r="O1902" s="16" t="n">
        <x:v>2</x:v>
      </x:c>
      <x:c r="P1902" s="16" t="n">
        <x:v>3</x:v>
      </x:c>
      <x:c r="Q1902" s="16" t="n">
        <x:v>3</x:v>
      </x:c>
      <x:c r="R1902" s="16" t="n">
        <x:v>0</x:v>
      </x:c>
      <x:c r="S1902" s="16" t="n">
        <x:v>3</x:v>
      </x:c>
      <x:c r="T1902" s="16" t="n">
        <x:v>6</x:v>
      </x:c>
      <x:c r="U1902" s="16" t="n">
        <x:v>0</x:v>
      </x:c>
      <x:c r="V1902" s="16" t="n">
        <x:v>0</x:v>
      </x:c>
      <x:c r="W1902" s="16" t="n">
        <x:v>0</x:v>
      </x:c>
      <x:c r="X1902" s="16" t="n">
        <x:v>0</x:v>
      </x:c>
      <x:c r="Y1902" s="16" t="n">
        <x:v>0</x:v>
      </x:c>
      <x:c r="Z1902" s="16" t="n">
        <x:v>0</x:v>
      </x:c>
      <x:c r="AA1902" s="16" t="n">
        <x:v>3</x:v>
      </x:c>
      <x:c r="AB1902" s="16" t="n">
        <x:v>11</x:v>
      </x:c>
      <x:c r="AC1902" s="16" t="n">
        <x:v>0</x:v>
      </x:c>
      <x:c r="AD1902" s="21" t="n">
        <x:f>IF(E1902="",MEDIAN($E$2:$E$2237),E1902)</x:f>
        <x:v>29819</x:v>
      </x:c>
      <x:c r="AE1902" s="17" t="n">
        <x:f>2014-B1902</x:f>
        <x:v>43</x:v>
      </x:c>
      <x:c r="AF1902" s="17" t="n">
        <x:f>F1902+G1902</x:f>
        <x:v>1</x:v>
      </x:c>
      <x:c r="AG1902" s="21" t="n">
        <x:f>SUM(J1902:O1902)</x:f>
        <x:v>39</x:v>
      </x:c>
      <x:c r="AH1902" s="17" t="n">
        <x:f>SUM(Q1902:S1902)</x:f>
        <x:v>6</x:v>
      </x:c>
      <x:c r="AI1902" s="17" t="n">
        <x:f>SUM(U1902:Y1902)</x:f>
        <x:v>0</x:v>
      </x:c>
      <x:c r="AJ1902" s="17" t="str">
        <x:f>IF(AE1902&lt;=34,"≤34",IF(AE1902&lt;=44,"35–44",IF(AE1902&lt;=54,"45–54",IF(AE1902&lt;=64,"55–64","65+"))))</x:f>
        <x:v>35–44</x:v>
      </x:c>
      <x:c r="AK1902" s="17" t="str">
        <x:f>IF(AG1902&gt;=1000,"High Value",IF(AG1902&gt;=300,"Mid Value","Low Value"))</x:f>
        <x:v>Low Value</x:v>
      </x:c>
      <x:c r="AL1902" s="17" t="str">
        <x:f>IF(AND(AI1902&gt;=1,I1902&lt;=50),"Priority 1",IF(AND(AG1902&gt;=1000,I1902&lt;=60),"Priority 2",IF(I1902&lt;=30,"Priority 3","Nurture")))</x:f>
        <x:v>Nurture</x:v>
      </x:c>
    </x:row>
    <x:row r="1903">
      <x:c r="A1903" s="16" t="n">
        <x:v>10951</x:v>
      </x:c>
      <x:c r="B1903" s="16" t="n">
        <x:v>1968</x:v>
      </x:c>
      <x:c r="C1903" s="16" t="str">
        <x:v>Graduation</x:v>
      </x:c>
      <x:c r="D1903" s="16" t="str">
        <x:v>Married</x:v>
      </x:c>
      <x:c r="E1903" s="16" t="n">
        <x:v>45688</x:v>
      </x:c>
      <x:c r="F1903" s="16" t="n">
        <x:v>0</x:v>
      </x:c>
      <x:c r="G1903" s="16" t="n">
        <x:v>1</x:v>
      </x:c>
      <x:c r="H1903" s="16" t="str">
        <x:v>25-01-2014</x:v>
      </x:c>
      <x:c r="I1903" s="16" t="n">
        <x:v>20</x:v>
      </x:c>
      <x:c r="J1903" s="16" t="n">
        <x:v>279</x:v>
      </x:c>
      <x:c r="K1903" s="16" t="n">
        <x:v>0</x:v>
      </x:c>
      <x:c r="L1903" s="16" t="n">
        <x:v>18</x:v>
      </x:c>
      <x:c r="M1903" s="16" t="n">
        <x:v>0</x:v>
      </x:c>
      <x:c r="N1903" s="16" t="n">
        <x:v>0</x:v>
      </x:c>
      <x:c r="O1903" s="16" t="n">
        <x:v>9</x:v>
      </x:c>
      <x:c r="P1903" s="16" t="n">
        <x:v>2</x:v>
      </x:c>
      <x:c r="Q1903" s="16" t="n">
        <x:v>3</x:v>
      </x:c>
      <x:c r="R1903" s="16" t="n">
        <x:v>1</x:v>
      </x:c>
      <x:c r="S1903" s="16" t="n">
        <x:v>8</x:v>
      </x:c>
      <x:c r="T1903" s="16" t="n">
        <x:v>4</x:v>
      </x:c>
      <x:c r="U1903" s="16" t="n">
        <x:v>0</x:v>
      </x:c>
      <x:c r="V1903" s="16" t="n">
        <x:v>1</x:v>
      </x:c>
      <x:c r="W1903" s="16" t="n">
        <x:v>0</x:v>
      </x:c>
      <x:c r="X1903" s="16" t="n">
        <x:v>0</x:v>
      </x:c>
      <x:c r="Y1903" s="16" t="n">
        <x:v>0</x:v>
      </x:c>
      <x:c r="Z1903" s="16" t="n">
        <x:v>0</x:v>
      </x:c>
      <x:c r="AA1903" s="16" t="n">
        <x:v>3</x:v>
      </x:c>
      <x:c r="AB1903" s="16" t="n">
        <x:v>11</x:v>
      </x:c>
      <x:c r="AC1903" s="16" t="n">
        <x:v>0</x:v>
      </x:c>
      <x:c r="AD1903" s="21" t="n">
        <x:f>IF(E1903="",MEDIAN($E$2:$E$2237),E1903)</x:f>
        <x:v>45688</x:v>
      </x:c>
      <x:c r="AE1903" s="17" t="n">
        <x:f>2014-B1903</x:f>
        <x:v>46</x:v>
      </x:c>
      <x:c r="AF1903" s="17" t="n">
        <x:f>F1903+G1903</x:f>
        <x:v>1</x:v>
      </x:c>
      <x:c r="AG1903" s="21" t="n">
        <x:f>SUM(J1903:O1903)</x:f>
        <x:v>306</x:v>
      </x:c>
      <x:c r="AH1903" s="17" t="n">
        <x:f>SUM(Q1903:S1903)</x:f>
        <x:v>12</x:v>
      </x:c>
      <x:c r="AI1903" s="17" t="n">
        <x:f>SUM(U1903:Y1903)</x:f>
        <x:v>1</x:v>
      </x:c>
      <x:c r="AJ1903" s="17" t="str">
        <x:f>IF(AE1903&lt;=34,"≤34",IF(AE1903&lt;=44,"35–44",IF(AE1903&lt;=54,"45–54",IF(AE1903&lt;=64,"55–64","65+"))))</x:f>
        <x:v>45–54</x:v>
      </x:c>
      <x:c r="AK1903" s="17" t="str">
        <x:f>IF(AG1903&gt;=1000,"High Value",IF(AG1903&gt;=300,"Mid Value","Low Value"))</x:f>
        <x:v>Mid Value</x:v>
      </x:c>
      <x:c r="AL1903" s="17" t="str">
        <x:f>IF(AND(AI1903&gt;=1,I1903&lt;=50),"Priority 1",IF(AND(AG1903&gt;=1000,I1903&lt;=60),"Priority 2",IF(I1903&lt;=30,"Priority 3","Nurture")))</x:f>
        <x:v>Priority 1</x:v>
      </x:c>
    </x:row>
    <x:row r="1904">
      <x:c r="A1904" s="16" t="n">
        <x:v>544</x:v>
      </x:c>
      <x:c r="B1904" s="16" t="n">
        <x:v>1954</x:v>
      </x:c>
      <x:c r="C1904" s="16" t="str">
        <x:v>Graduation</x:v>
      </x:c>
      <x:c r="D1904" s="16" t="str">
        <x:v>Married</x:v>
      </x:c>
      <x:c r="E1904" s="16" t="n">
        <x:v>62820</x:v>
      </x:c>
      <x:c r="F1904" s="16" t="n">
        <x:v>0</x:v>
      </x:c>
      <x:c r="G1904" s="16" t="n">
        <x:v>0</x:v>
      </x:c>
      <x:c r="H1904" s="16" t="str">
        <x:v>11-05-2013</x:v>
      </x:c>
      <x:c r="I1904" s="16" t="n">
        <x:v>51</x:v>
      </x:c>
      <x:c r="J1904" s="16" t="n">
        <x:v>398</x:v>
      </x:c>
      <x:c r="K1904" s="16" t="n">
        <x:v>61</x:v>
      </x:c>
      <x:c r="L1904" s="16" t="n">
        <x:v>265</x:v>
      </x:c>
      <x:c r="M1904" s="16" t="n">
        <x:v>138</x:v>
      </x:c>
      <x:c r="N1904" s="16" t="n">
        <x:v>61</x:v>
      </x:c>
      <x:c r="O1904" s="16" t="n">
        <x:v>53</x:v>
      </x:c>
      <x:c r="P1904" s="16" t="n">
        <x:v>1</x:v>
      </x:c>
      <x:c r="Q1904" s="16" t="n">
        <x:v>3</x:v>
      </x:c>
      <x:c r="R1904" s="16" t="n">
        <x:v>4</x:v>
      </x:c>
      <x:c r="S1904" s="16" t="n">
        <x:v>6</x:v>
      </x:c>
      <x:c r="T1904" s="16" t="n">
        <x:v>1</x:v>
      </x:c>
      <x:c r="U1904" s="16" t="n">
        <x:v>0</x:v>
      </x:c>
      <x:c r="V1904" s="16" t="n">
        <x:v>0</x:v>
      </x:c>
      <x:c r="W1904" s="16" t="n">
        <x:v>0</x:v>
      </x:c>
      <x:c r="X1904" s="16" t="n">
        <x:v>0</x:v>
      </x:c>
      <x:c r="Y1904" s="16" t="n">
        <x:v>0</x:v>
      </x:c>
      <x:c r="Z1904" s="16" t="n">
        <x:v>0</x:v>
      </x:c>
      <x:c r="AA1904" s="16" t="n">
        <x:v>3</x:v>
      </x:c>
      <x:c r="AB1904" s="16" t="n">
        <x:v>11</x:v>
      </x:c>
      <x:c r="AC1904" s="16" t="n">
        <x:v>0</x:v>
      </x:c>
      <x:c r="AD1904" s="21" t="n">
        <x:f>IF(E1904="",MEDIAN($E$2:$E$2237),E1904)</x:f>
        <x:v>62820</x:v>
      </x:c>
      <x:c r="AE1904" s="17" t="n">
        <x:f>2014-B1904</x:f>
        <x:v>60</x:v>
      </x:c>
      <x:c r="AF1904" s="17" t="n">
        <x:f>F1904+G1904</x:f>
        <x:v>0</x:v>
      </x:c>
      <x:c r="AG1904" s="21" t="n">
        <x:f>SUM(J1904:O1904)</x:f>
        <x:v>976</x:v>
      </x:c>
      <x:c r="AH1904" s="17" t="n">
        <x:f>SUM(Q1904:S1904)</x:f>
        <x:v>13</x:v>
      </x:c>
      <x:c r="AI1904" s="17" t="n">
        <x:f>SUM(U1904:Y1904)</x:f>
        <x:v>0</x:v>
      </x:c>
      <x:c r="AJ1904" s="17" t="str">
        <x:f>IF(AE1904&lt;=34,"≤34",IF(AE1904&lt;=44,"35–44",IF(AE1904&lt;=54,"45–54",IF(AE1904&lt;=64,"55–64","65+"))))</x:f>
        <x:v>55–64</x:v>
      </x:c>
      <x:c r="AK1904" s="17" t="str">
        <x:f>IF(AG1904&gt;=1000,"High Value",IF(AG1904&gt;=300,"Mid Value","Low Value"))</x:f>
        <x:v>Mid Value</x:v>
      </x:c>
      <x:c r="AL1904" s="17" t="str">
        <x:f>IF(AND(AI1904&gt;=1,I1904&lt;=50),"Priority 1",IF(AND(AG1904&gt;=1000,I1904&lt;=60),"Priority 2",IF(I1904&lt;=30,"Priority 3","Nurture")))</x:f>
        <x:v>Nurture</x:v>
      </x:c>
    </x:row>
    <x:row r="1905">
      <x:c r="A1905" s="16" t="n">
        <x:v>17</x:v>
      </x:c>
      <x:c r="B1905" s="16" t="n">
        <x:v>1971</x:v>
      </x:c>
      <x:c r="C1905" s="16" t="str">
        <x:v>PhD</x:v>
      </x:c>
      <x:c r="D1905" s="16" t="str">
        <x:v>Married</x:v>
      </x:c>
      <x:c r="E1905" s="16" t="n">
        <x:v>60491</x:v>
      </x:c>
      <x:c r="F1905" s="16" t="n">
        <x:v>0</x:v>
      </x:c>
      <x:c r="G1905" s="16" t="n">
        <x:v>1</x:v>
      </x:c>
      <x:c r="H1905" s="16" t="str">
        <x:v>06-09-2013</x:v>
      </x:c>
      <x:c r="I1905" s="16" t="n">
        <x:v>81</x:v>
      </x:c>
      <x:c r="J1905" s="16" t="n">
        <x:v>637</x:v>
      </x:c>
      <x:c r="K1905" s="16" t="n">
        <x:v>47</x:v>
      </x:c>
      <x:c r="L1905" s="16" t="n">
        <x:v>237</x:v>
      </x:c>
      <x:c r="M1905" s="16" t="n">
        <x:v>12</x:v>
      </x:c>
      <x:c r="N1905" s="16" t="n">
        <x:v>19</x:v>
      </x:c>
      <x:c r="O1905" s="16" t="n">
        <x:v>76</x:v>
      </x:c>
      <x:c r="P1905" s="16" t="n">
        <x:v>4</x:v>
      </x:c>
      <x:c r="Q1905" s="16" t="n">
        <x:v>6</x:v>
      </x:c>
      <x:c r="R1905" s="16" t="n">
        <x:v>11</x:v>
      </x:c>
      <x:c r="S1905" s="16" t="n">
        <x:v>7</x:v>
      </x:c>
      <x:c r="T1905" s="16" t="n">
        <x:v>5</x:v>
      </x:c>
      <x:c r="U1905" s="16" t="n">
        <x:v>0</x:v>
      </x:c>
      <x:c r="V1905" s="16" t="n">
        <x:v>0</x:v>
      </x:c>
      <x:c r="W1905" s="16" t="n">
        <x:v>0</x:v>
      </x:c>
      <x:c r="X1905" s="16" t="n">
        <x:v>0</x:v>
      </x:c>
      <x:c r="Y1905" s="16" t="n">
        <x:v>0</x:v>
      </x:c>
      <x:c r="Z1905" s="16" t="n">
        <x:v>0</x:v>
      </x:c>
      <x:c r="AA1905" s="16" t="n">
        <x:v>3</x:v>
      </x:c>
      <x:c r="AB1905" s="16" t="n">
        <x:v>11</x:v>
      </x:c>
      <x:c r="AC1905" s="16" t="n">
        <x:v>0</x:v>
      </x:c>
      <x:c r="AD1905" s="21" t="n">
        <x:f>IF(E1905="",MEDIAN($E$2:$E$2237),E1905)</x:f>
        <x:v>60491</x:v>
      </x:c>
      <x:c r="AE1905" s="17" t="n">
        <x:f>2014-B1905</x:f>
        <x:v>43</x:v>
      </x:c>
      <x:c r="AF1905" s="17" t="n">
        <x:f>F1905+G1905</x:f>
        <x:v>1</x:v>
      </x:c>
      <x:c r="AG1905" s="21" t="n">
        <x:f>SUM(J1905:O1905)</x:f>
        <x:v>1028</x:v>
      </x:c>
      <x:c r="AH1905" s="17" t="n">
        <x:f>SUM(Q1905:S1905)</x:f>
        <x:v>24</x:v>
      </x:c>
      <x:c r="AI1905" s="17" t="n">
        <x:f>SUM(U1905:Y1905)</x:f>
        <x:v>0</x:v>
      </x:c>
      <x:c r="AJ1905" s="17" t="str">
        <x:f>IF(AE1905&lt;=34,"≤34",IF(AE1905&lt;=44,"35–44",IF(AE1905&lt;=54,"45–54",IF(AE1905&lt;=64,"55–64","65+"))))</x:f>
        <x:v>35–44</x:v>
      </x:c>
      <x:c r="AK1905" s="17" t="str">
        <x:f>IF(AG1905&gt;=1000,"High Value",IF(AG1905&gt;=300,"Mid Value","Low Value"))</x:f>
        <x:v>High Value</x:v>
      </x:c>
      <x:c r="AL1905" s="17" t="str">
        <x:f>IF(AND(AI1905&gt;=1,I1905&lt;=50),"Priority 1",IF(AND(AG1905&gt;=1000,I1905&lt;=60),"Priority 2",IF(I1905&lt;=30,"Priority 3","Nurture")))</x:f>
        <x:v>Nurture</x:v>
      </x:c>
    </x:row>
    <x:row r="1906">
      <x:c r="A1906" s="16" t="n">
        <x:v>10680</x:v>
      </x:c>
      <x:c r="B1906" s="16" t="n">
        <x:v>1986</x:v>
      </x:c>
      <x:c r="C1906" s="16" t="str">
        <x:v>Graduation</x:v>
      </x:c>
      <x:c r="D1906" s="16" t="str">
        <x:v>Together</x:v>
      </x:c>
      <x:c r="E1906" s="16" t="n">
        <x:v>33235</x:v>
      </x:c>
      <x:c r="F1906" s="16" t="n">
        <x:v>1</x:v>
      </x:c>
      <x:c r="G1906" s="16" t="n">
        <x:v>0</x:v>
      </x:c>
      <x:c r="H1906" s="16" t="str">
        <x:v>05-02-2014</x:v>
      </x:c>
      <x:c r="I1906" s="16" t="n">
        <x:v>71</x:v>
      </x:c>
      <x:c r="J1906" s="16" t="n">
        <x:v>45</x:v>
      </x:c>
      <x:c r="K1906" s="16" t="n">
        <x:v>0</x:v>
      </x:c>
      <x:c r="L1906" s="16" t="n">
        <x:v>16</x:v>
      </x:c>
      <x:c r="M1906" s="16" t="n">
        <x:v>2</x:v>
      </x:c>
      <x:c r="N1906" s="16" t="n">
        <x:v>1</x:v>
      </x:c>
      <x:c r="O1906" s="16" t="n">
        <x:v>6</x:v>
      </x:c>
      <x:c r="P1906" s="16" t="n">
        <x:v>1</x:v>
      </x:c>
      <x:c r="Q1906" s="16" t="n">
        <x:v>3</x:v>
      </x:c>
      <x:c r="R1906" s="16" t="n">
        <x:v>0</x:v>
      </x:c>
      <x:c r="S1906" s="16" t="n">
        <x:v>3</x:v>
      </x:c>
      <x:c r="T1906" s="16" t="n">
        <x:v>7</x:v>
      </x:c>
      <x:c r="U1906" s="16" t="n">
        <x:v>0</x:v>
      </x:c>
      <x:c r="V1906" s="16" t="n">
        <x:v>0</x:v>
      </x:c>
      <x:c r="W1906" s="16" t="n">
        <x:v>0</x:v>
      </x:c>
      <x:c r="X1906" s="16" t="n">
        <x:v>0</x:v>
      </x:c>
      <x:c r="Y1906" s="16" t="n">
        <x:v>0</x:v>
      </x:c>
      <x:c r="Z1906" s="16" t="n">
        <x:v>0</x:v>
      </x:c>
      <x:c r="AA1906" s="16" t="n">
        <x:v>3</x:v>
      </x:c>
      <x:c r="AB1906" s="16" t="n">
        <x:v>11</x:v>
      </x:c>
      <x:c r="AC1906" s="16" t="n">
        <x:v>0</x:v>
      </x:c>
      <x:c r="AD1906" s="21" t="n">
        <x:f>IF(E1906="",MEDIAN($E$2:$E$2237),E1906)</x:f>
        <x:v>33235</x:v>
      </x:c>
      <x:c r="AE1906" s="17" t="n">
        <x:f>2014-B1906</x:f>
        <x:v>28</x:v>
      </x:c>
      <x:c r="AF1906" s="17" t="n">
        <x:f>F1906+G1906</x:f>
        <x:v>1</x:v>
      </x:c>
      <x:c r="AG1906" s="21" t="n">
        <x:f>SUM(J1906:O1906)</x:f>
        <x:v>70</x:v>
      </x:c>
      <x:c r="AH1906" s="17" t="n">
        <x:f>SUM(Q1906:S1906)</x:f>
        <x:v>6</x:v>
      </x:c>
      <x:c r="AI1906" s="17" t="n">
        <x:f>SUM(U1906:Y1906)</x:f>
        <x:v>0</x:v>
      </x:c>
      <x:c r="AJ1906" s="17" t="str">
        <x:f>IF(AE1906&lt;=34,"≤34",IF(AE1906&lt;=44,"35–44",IF(AE1906&lt;=54,"45–54",IF(AE1906&lt;=64,"55–64","65+"))))</x:f>
        <x:v>≤34</x:v>
      </x:c>
      <x:c r="AK1906" s="17" t="str">
        <x:f>IF(AG1906&gt;=1000,"High Value",IF(AG1906&gt;=300,"Mid Value","Low Value"))</x:f>
        <x:v>Low Value</x:v>
      </x:c>
      <x:c r="AL1906" s="17" t="str">
        <x:f>IF(AND(AI1906&gt;=1,I1906&lt;=50),"Priority 1",IF(AND(AG1906&gt;=1000,I1906&lt;=60),"Priority 2",IF(I1906&lt;=30,"Priority 3","Nurture")))</x:f>
        <x:v>Nurture</x:v>
      </x:c>
    </x:row>
    <x:row r="1907">
      <x:c r="A1907" s="16" t="n">
        <x:v>3265</x:v>
      </x:c>
      <x:c r="B1907" s="16" t="n">
        <x:v>1959</x:v>
      </x:c>
      <x:c r="C1907" s="16" t="str">
        <x:v>Graduation</x:v>
      </x:c>
      <x:c r="D1907" s="16" t="str">
        <x:v>Married</x:v>
      </x:c>
      <x:c r="E1907" s="16" t="n">
        <x:v>35701</x:v>
      </x:c>
      <x:c r="F1907" s="16" t="n">
        <x:v>0</x:v>
      </x:c>
      <x:c r="G1907" s="16" t="n">
        <x:v>0</x:v>
      </x:c>
      <x:c r="H1907" s="16" t="str">
        <x:v>19-03-2013</x:v>
      </x:c>
      <x:c r="I1907" s="16" t="n">
        <x:v>36</x:v>
      </x:c>
      <x:c r="J1907" s="16" t="n">
        <x:v>21</x:v>
      </x:c>
      <x:c r="K1907" s="16" t="n">
        <x:v>1</x:v>
      </x:c>
      <x:c r="L1907" s="16" t="n">
        <x:v>9</x:v>
      </x:c>
      <x:c r="M1907" s="16" t="n">
        <x:v>7</x:v>
      </x:c>
      <x:c r="N1907" s="16" t="n">
        <x:v>3</x:v>
      </x:c>
      <x:c r="O1907" s="16" t="n">
        <x:v>5</x:v>
      </x:c>
      <x:c r="P1907" s="16" t="n">
        <x:v>1</x:v>
      </x:c>
      <x:c r="Q1907" s="16" t="n">
        <x:v>1</x:v>
      </x:c>
      <x:c r="R1907" s="16" t="n">
        <x:v>0</x:v>
      </x:c>
      <x:c r="S1907" s="16" t="n">
        <x:v>3</x:v>
      </x:c>
      <x:c r="T1907" s="16" t="n">
        <x:v>6</x:v>
      </x:c>
      <x:c r="U1907" s="16" t="n">
        <x:v>0</x:v>
      </x:c>
      <x:c r="V1907" s="16" t="n">
        <x:v>0</x:v>
      </x:c>
      <x:c r="W1907" s="16" t="n">
        <x:v>0</x:v>
      </x:c>
      <x:c r="X1907" s="16" t="n">
        <x:v>0</x:v>
      </x:c>
      <x:c r="Y1907" s="16" t="n">
        <x:v>0</x:v>
      </x:c>
      <x:c r="Z1907" s="16" t="n">
        <x:v>0</x:v>
      </x:c>
      <x:c r="AA1907" s="16" t="n">
        <x:v>3</x:v>
      </x:c>
      <x:c r="AB1907" s="16" t="n">
        <x:v>11</x:v>
      </x:c>
      <x:c r="AC1907" s="16" t="n">
        <x:v>0</x:v>
      </x:c>
      <x:c r="AD1907" s="21" t="n">
        <x:f>IF(E1907="",MEDIAN($E$2:$E$2237),E1907)</x:f>
        <x:v>35701</x:v>
      </x:c>
      <x:c r="AE1907" s="17" t="n">
        <x:f>2014-B1907</x:f>
        <x:v>55</x:v>
      </x:c>
      <x:c r="AF1907" s="17" t="n">
        <x:f>F1907+G1907</x:f>
        <x:v>0</x:v>
      </x:c>
      <x:c r="AG1907" s="21" t="n">
        <x:f>SUM(J1907:O1907)</x:f>
        <x:v>46</x:v>
      </x:c>
      <x:c r="AH1907" s="17" t="n">
        <x:f>SUM(Q1907:S1907)</x:f>
        <x:v>4</x:v>
      </x:c>
      <x:c r="AI1907" s="17" t="n">
        <x:f>SUM(U1907:Y1907)</x:f>
        <x:v>0</x:v>
      </x:c>
      <x:c r="AJ1907" s="17" t="str">
        <x:f>IF(AE1907&lt;=34,"≤34",IF(AE1907&lt;=44,"35–44",IF(AE1907&lt;=54,"45–54",IF(AE1907&lt;=64,"55–64","65+"))))</x:f>
        <x:v>55–64</x:v>
      </x:c>
      <x:c r="AK1907" s="17" t="str">
        <x:f>IF(AG1907&gt;=1000,"High Value",IF(AG1907&gt;=300,"Mid Value","Low Value"))</x:f>
        <x:v>Low Value</x:v>
      </x:c>
      <x:c r="AL1907" s="17" t="str">
        <x:f>IF(AND(AI1907&gt;=1,I1907&lt;=50),"Priority 1",IF(AND(AG1907&gt;=1000,I1907&lt;=60),"Priority 2",IF(I1907&lt;=30,"Priority 3","Nurture")))</x:f>
        <x:v>Nurture</x:v>
      </x:c>
    </x:row>
    <x:row r="1908">
      <x:c r="A1908" s="16" t="n">
        <x:v>5623</x:v>
      </x:c>
      <x:c r="B1908" s="16" t="n">
        <x:v>1980</x:v>
      </x:c>
      <x:c r="C1908" s="16" t="str">
        <x:v>Master</x:v>
      </x:c>
      <x:c r="D1908" s="16" t="str">
        <x:v>Married</x:v>
      </x:c>
      <x:c r="E1908" s="16" t="n">
        <x:v>31535</x:v>
      </x:c>
      <x:c r="F1908" s="16" t="n">
        <x:v>1</x:v>
      </x:c>
      <x:c r="G1908" s="16" t="n">
        <x:v>0</x:v>
      </x:c>
      <x:c r="H1908" s="16" t="str">
        <x:v>26-09-2013</x:v>
      </x:c>
      <x:c r="I1908" s="16" t="n">
        <x:v>95</x:v>
      </x:c>
      <x:c r="J1908" s="16" t="n">
        <x:v>15</x:v>
      </x:c>
      <x:c r="K1908" s="16" t="n">
        <x:v>4</x:v>
      </x:c>
      <x:c r="L1908" s="16" t="n">
        <x:v>13</x:v>
      </x:c>
      <x:c r="M1908" s="16" t="n">
        <x:v>0</x:v>
      </x:c>
      <x:c r="N1908" s="16" t="n">
        <x:v>0</x:v>
      </x:c>
      <x:c r="O1908" s="16" t="n">
        <x:v>19</x:v>
      </x:c>
      <x:c r="P1908" s="16" t="n">
        <x:v>1</x:v>
      </x:c>
      <x:c r="Q1908" s="16" t="n">
        <x:v>1</x:v>
      </x:c>
      <x:c r="R1908" s="16" t="n">
        <x:v>1</x:v>
      </x:c>
      <x:c r="S1908" s="16" t="n">
        <x:v>2</x:v>
      </x:c>
      <x:c r="T1908" s="16" t="n">
        <x:v>7</x:v>
      </x:c>
      <x:c r="U1908" s="16" t="n">
        <x:v>1</x:v>
      </x:c>
      <x:c r="V1908" s="16" t="n">
        <x:v>0</x:v>
      </x:c>
      <x:c r="W1908" s="16" t="n">
        <x:v>0</x:v>
      </x:c>
      <x:c r="X1908" s="16" t="n">
        <x:v>0</x:v>
      </x:c>
      <x:c r="Y1908" s="16" t="n">
        <x:v>0</x:v>
      </x:c>
      <x:c r="Z1908" s="16" t="n">
        <x:v>0</x:v>
      </x:c>
      <x:c r="AA1908" s="16" t="n">
        <x:v>3</x:v>
      </x:c>
      <x:c r="AB1908" s="16" t="n">
        <x:v>11</x:v>
      </x:c>
      <x:c r="AC1908" s="16" t="n">
        <x:v>0</x:v>
      </x:c>
      <x:c r="AD1908" s="21" t="n">
        <x:f>IF(E1908="",MEDIAN($E$2:$E$2237),E1908)</x:f>
        <x:v>31535</x:v>
      </x:c>
      <x:c r="AE1908" s="17" t="n">
        <x:f>2014-B1908</x:f>
        <x:v>34</x:v>
      </x:c>
      <x:c r="AF1908" s="17" t="n">
        <x:f>F1908+G1908</x:f>
        <x:v>1</x:v>
      </x:c>
      <x:c r="AG1908" s="21" t="n">
        <x:f>SUM(J1908:O1908)</x:f>
        <x:v>51</x:v>
      </x:c>
      <x:c r="AH1908" s="17" t="n">
        <x:f>SUM(Q1908:S1908)</x:f>
        <x:v>4</x:v>
      </x:c>
      <x:c r="AI1908" s="17" t="n">
        <x:f>SUM(U1908:Y1908)</x:f>
        <x:v>1</x:v>
      </x:c>
      <x:c r="AJ1908" s="17" t="str">
        <x:f>IF(AE1908&lt;=34,"≤34",IF(AE1908&lt;=44,"35–44",IF(AE1908&lt;=54,"45–54",IF(AE1908&lt;=64,"55–64","65+"))))</x:f>
        <x:v>≤34</x:v>
      </x:c>
      <x:c r="AK1908" s="17" t="str">
        <x:f>IF(AG1908&gt;=1000,"High Value",IF(AG1908&gt;=300,"Mid Value","Low Value"))</x:f>
        <x:v>Low Value</x:v>
      </x:c>
      <x:c r="AL1908" s="17" t="str">
        <x:f>IF(AND(AI1908&gt;=1,I1908&lt;=50),"Priority 1",IF(AND(AG1908&gt;=1000,I1908&lt;=60),"Priority 2",IF(I1908&lt;=30,"Priority 3","Nurture")))</x:f>
        <x:v>Nurture</x:v>
      </x:c>
    </x:row>
    <x:row r="1909">
      <x:c r="A1909" s="16" t="n">
        <x:v>5832</x:v>
      </x:c>
      <x:c r="B1909" s="16" t="n">
        <x:v>1960</x:v>
      </x:c>
      <x:c r="C1909" s="16" t="str">
        <x:v>2n Cycle</x:v>
      </x:c>
      <x:c r="D1909" s="16" t="str">
        <x:v>Together</x:v>
      </x:c>
      <x:c r="E1909" s="16" t="n">
        <x:v>92556</x:v>
      </x:c>
      <x:c r="F1909" s="16" t="n">
        <x:v>0</x:v>
      </x:c>
      <x:c r="G1909" s="16" t="n">
        <x:v>0</x:v>
      </x:c>
      <x:c r="H1909" s="16" t="str">
        <x:v>20-04-2014</x:v>
      </x:c>
      <x:c r="I1909" s="16" t="n">
        <x:v>32</x:v>
      </x:c>
      <x:c r="J1909" s="16" t="n">
        <x:v>493</x:v>
      </x:c>
      <x:c r="K1909" s="16" t="n">
        <x:v>183</x:v>
      </x:c>
      <x:c r="L1909" s="16" t="n">
        <x:v>352</x:v>
      </x:c>
      <x:c r="M1909" s="16" t="n">
        <x:v>184</x:v>
      </x:c>
      <x:c r="N1909" s="16" t="n">
        <x:v>23</x:v>
      </x:c>
      <x:c r="O1909" s="16" t="n">
        <x:v>28</x:v>
      </x:c>
      <x:c r="P1909" s="16" t="n">
        <x:v>0</x:v>
      </x:c>
      <x:c r="Q1909" s="16" t="n">
        <x:v>3</x:v>
      </x:c>
      <x:c r="R1909" s="16" t="n">
        <x:v>5</x:v>
      </x:c>
      <x:c r="S1909" s="16" t="n">
        <x:v>13</x:v>
      </x:c>
      <x:c r="T1909" s="16" t="n">
        <x:v>0</x:v>
      </x:c>
      <x:c r="U1909" s="16" t="n">
        <x:v>0</x:v>
      </x:c>
      <x:c r="V1909" s="16" t="n">
        <x:v>0</x:v>
      </x:c>
      <x:c r="W1909" s="16" t="n">
        <x:v>0</x:v>
      </x:c>
      <x:c r="X1909" s="16" t="n">
        <x:v>0</x:v>
      </x:c>
      <x:c r="Y1909" s="16" t="n">
        <x:v>0</x:v>
      </x:c>
      <x:c r="Z1909" s="16" t="n">
        <x:v>0</x:v>
      </x:c>
      <x:c r="AA1909" s="16" t="n">
        <x:v>3</x:v>
      </x:c>
      <x:c r="AB1909" s="16" t="n">
        <x:v>11</x:v>
      </x:c>
      <x:c r="AC1909" s="16" t="n">
        <x:v>0</x:v>
      </x:c>
      <x:c r="AD1909" s="21" t="n">
        <x:f>IF(E1909="",MEDIAN($E$2:$E$2237),E1909)</x:f>
        <x:v>92556</x:v>
      </x:c>
      <x:c r="AE1909" s="17" t="n">
        <x:f>2014-B1909</x:f>
        <x:v>54</x:v>
      </x:c>
      <x:c r="AF1909" s="17" t="n">
        <x:f>F1909+G1909</x:f>
        <x:v>0</x:v>
      </x:c>
      <x:c r="AG1909" s="21" t="n">
        <x:f>SUM(J1909:O1909)</x:f>
        <x:v>1263</x:v>
      </x:c>
      <x:c r="AH1909" s="17" t="n">
        <x:f>SUM(Q1909:S1909)</x:f>
        <x:v>21</x:v>
      </x:c>
      <x:c r="AI1909" s="17" t="n">
        <x:f>SUM(U1909:Y1909)</x:f>
        <x:v>0</x:v>
      </x:c>
      <x:c r="AJ1909" s="17" t="str">
        <x:f>IF(AE1909&lt;=34,"≤34",IF(AE1909&lt;=44,"35–44",IF(AE1909&lt;=54,"45–54",IF(AE1909&lt;=64,"55–64","65+"))))</x:f>
        <x:v>45–54</x:v>
      </x:c>
      <x:c r="AK1909" s="17" t="str">
        <x:f>IF(AG1909&gt;=1000,"High Value",IF(AG1909&gt;=300,"Mid Value","Low Value"))</x:f>
        <x:v>High Value</x:v>
      </x:c>
      <x:c r="AL1909" s="17" t="str">
        <x:f>IF(AND(AI1909&gt;=1,I1909&lt;=50),"Priority 1",IF(AND(AG1909&gt;=1000,I1909&lt;=60),"Priority 2",IF(I1909&lt;=30,"Priority 3","Nurture")))</x:f>
        <x:v>Priority 2</x:v>
      </x:c>
    </x:row>
    <x:row r="1910">
      <x:c r="A1910" s="16" t="n">
        <x:v>5544</x:v>
      </x:c>
      <x:c r="B1910" s="16" t="n">
        <x:v>1970</x:v>
      </x:c>
      <x:c r="C1910" s="16" t="str">
        <x:v>Graduation</x:v>
      </x:c>
      <x:c r="D1910" s="16" t="str">
        <x:v>Single</x:v>
      </x:c>
      <x:c r="E1910" s="16" t="n">
        <x:v>67384</x:v>
      </x:c>
      <x:c r="F1910" s="16" t="n">
        <x:v>0</x:v>
      </x:c>
      <x:c r="G1910" s="16" t="n">
        <x:v>1</x:v>
      </x:c>
      <x:c r="H1910" s="16" t="str">
        <x:v>10-11-2012</x:v>
      </x:c>
      <x:c r="I1910" s="16" t="n">
        <x:v>32</x:v>
      </x:c>
      <x:c r="J1910" s="16" t="n">
        <x:v>957</x:v>
      </x:c>
      <x:c r="K1910" s="16" t="n">
        <x:v>40</x:v>
      </x:c>
      <x:c r="L1910" s="16" t="n">
        <x:v>175</x:v>
      </x:c>
      <x:c r="M1910" s="16" t="n">
        <x:v>158</x:v>
      </x:c>
      <x:c r="N1910" s="16" t="n">
        <x:v>53</x:v>
      </x:c>
      <x:c r="O1910" s="16" t="n">
        <x:v>107</x:v>
      </x:c>
      <x:c r="P1910" s="16" t="n">
        <x:v>2</x:v>
      </x:c>
      <x:c r="Q1910" s="16" t="n">
        <x:v>7</x:v>
      </x:c>
      <x:c r="R1910" s="16" t="n">
        <x:v>8</x:v>
      </x:c>
      <x:c r="S1910" s="16" t="n">
        <x:v>5</x:v>
      </x:c>
      <x:c r="T1910" s="16" t="n">
        <x:v>5</x:v>
      </x:c>
      <x:c r="U1910" s="16" t="n">
        <x:v>0</x:v>
      </x:c>
      <x:c r="V1910" s="16" t="n">
        <x:v>1</x:v>
      </x:c>
      <x:c r="W1910" s="16" t="n">
        <x:v>0</x:v>
      </x:c>
      <x:c r="X1910" s="16" t="n">
        <x:v>0</x:v>
      </x:c>
      <x:c r="Y1910" s="16" t="n">
        <x:v>0</x:v>
      </x:c>
      <x:c r="Z1910" s="16" t="n">
        <x:v>0</x:v>
      </x:c>
      <x:c r="AA1910" s="16" t="n">
        <x:v>3</x:v>
      </x:c>
      <x:c r="AB1910" s="16" t="n">
        <x:v>11</x:v>
      </x:c>
      <x:c r="AC1910" s="16" t="n">
        <x:v>0</x:v>
      </x:c>
      <x:c r="AD1910" s="21" t="n">
        <x:f>IF(E1910="",MEDIAN($E$2:$E$2237),E1910)</x:f>
        <x:v>67384</x:v>
      </x:c>
      <x:c r="AE1910" s="17" t="n">
        <x:f>2014-B1910</x:f>
        <x:v>44</x:v>
      </x:c>
      <x:c r="AF1910" s="17" t="n">
        <x:f>F1910+G1910</x:f>
        <x:v>1</x:v>
      </x:c>
      <x:c r="AG1910" s="21" t="n">
        <x:f>SUM(J1910:O1910)</x:f>
        <x:v>1490</x:v>
      </x:c>
      <x:c r="AH1910" s="17" t="n">
        <x:f>SUM(Q1910:S1910)</x:f>
        <x:v>20</x:v>
      </x:c>
      <x:c r="AI1910" s="17" t="n">
        <x:f>SUM(U1910:Y1910)</x:f>
        <x:v>1</x:v>
      </x:c>
      <x:c r="AJ1910" s="17" t="str">
        <x:f>IF(AE1910&lt;=34,"≤34",IF(AE1910&lt;=44,"35–44",IF(AE1910&lt;=54,"45–54",IF(AE1910&lt;=64,"55–64","65+"))))</x:f>
        <x:v>35–44</x:v>
      </x:c>
      <x:c r="AK1910" s="17" t="str">
        <x:f>IF(AG1910&gt;=1000,"High Value",IF(AG1910&gt;=300,"Mid Value","Low Value"))</x:f>
        <x:v>High Value</x:v>
      </x:c>
      <x:c r="AL1910" s="17" t="str">
        <x:f>IF(AND(AI1910&gt;=1,I1910&lt;=50),"Priority 1",IF(AND(AG1910&gt;=1000,I1910&lt;=60),"Priority 2",IF(I1910&lt;=30,"Priority 3","Nurture")))</x:f>
        <x:v>Priority 1</x:v>
      </x:c>
    </x:row>
    <x:row r="1911">
      <x:c r="A1911" s="16" t="n">
        <x:v>6417</x:v>
      </x:c>
      <x:c r="B1911" s="16" t="n">
        <x:v>1971</x:v>
      </x:c>
      <x:c r="C1911" s="16" t="str">
        <x:v>Master</x:v>
      </x:c>
      <x:c r="D1911" s="16" t="str">
        <x:v>Together</x:v>
      </x:c>
      <x:c r="E1911" s="16" t="n">
        <x:v>80573</x:v>
      </x:c>
      <x:c r="F1911" s="16" t="n">
        <x:v>0</x:v>
      </x:c>
      <x:c r="G1911" s="16" t="n">
        <x:v>0</x:v>
      </x:c>
      <x:c r="H1911" s="16" t="str">
        <x:v>14-10-2012</x:v>
      </x:c>
      <x:c r="I1911" s="16" t="n">
        <x:v>85</x:v>
      </x:c>
      <x:c r="J1911" s="16" t="n">
        <x:v>829</x:v>
      </x:c>
      <x:c r="K1911" s="16" t="n">
        <x:v>138</x:v>
      </x:c>
      <x:c r="L1911" s="16" t="n">
        <x:v>430</x:v>
      </x:c>
      <x:c r="M1911" s="16" t="n">
        <x:v>60</x:v>
      </x:c>
      <x:c r="N1911" s="16" t="n">
        <x:v>92</x:v>
      </x:c>
      <x:c r="O1911" s="16" t="n">
        <x:v>15</x:v>
      </x:c>
      <x:c r="P1911" s="16" t="n">
        <x:v>1</x:v>
      </x:c>
      <x:c r="Q1911" s="16" t="n">
        <x:v>4</x:v>
      </x:c>
      <x:c r="R1911" s="16" t="n">
        <x:v>6</x:v>
      </x:c>
      <x:c r="S1911" s="16" t="n">
        <x:v>13</x:v>
      </x:c>
      <x:c r="T1911" s="16" t="n">
        <x:v>2</x:v>
      </x:c>
      <x:c r="U1911" s="16" t="n">
        <x:v>0</x:v>
      </x:c>
      <x:c r="V1911" s="16" t="n">
        <x:v>0</x:v>
      </x:c>
      <x:c r="W1911" s="16" t="n">
        <x:v>0</x:v>
      </x:c>
      <x:c r="X1911" s="16" t="n">
        <x:v>0</x:v>
      </x:c>
      <x:c r="Y1911" s="16" t="n">
        <x:v>0</x:v>
      </x:c>
      <x:c r="Z1911" s="16" t="n">
        <x:v>0</x:v>
      </x:c>
      <x:c r="AA1911" s="16" t="n">
        <x:v>3</x:v>
      </x:c>
      <x:c r="AB1911" s="16" t="n">
        <x:v>11</x:v>
      </x:c>
      <x:c r="AC1911" s="16" t="n">
        <x:v>0</x:v>
      </x:c>
      <x:c r="AD1911" s="21" t="n">
        <x:f>IF(E1911="",MEDIAN($E$2:$E$2237),E1911)</x:f>
        <x:v>80573</x:v>
      </x:c>
      <x:c r="AE1911" s="17" t="n">
        <x:f>2014-B1911</x:f>
        <x:v>43</x:v>
      </x:c>
      <x:c r="AF1911" s="17" t="n">
        <x:f>F1911+G1911</x:f>
        <x:v>0</x:v>
      </x:c>
      <x:c r="AG1911" s="21" t="n">
        <x:f>SUM(J1911:O1911)</x:f>
        <x:v>1564</x:v>
      </x:c>
      <x:c r="AH1911" s="17" t="n">
        <x:f>SUM(Q1911:S1911)</x:f>
        <x:v>23</x:v>
      </x:c>
      <x:c r="AI1911" s="17" t="n">
        <x:f>SUM(U1911:Y1911)</x:f>
        <x:v>0</x:v>
      </x:c>
      <x:c r="AJ1911" s="17" t="str">
        <x:f>IF(AE1911&lt;=34,"≤34",IF(AE1911&lt;=44,"35–44",IF(AE1911&lt;=54,"45–54",IF(AE1911&lt;=64,"55–64","65+"))))</x:f>
        <x:v>35–44</x:v>
      </x:c>
      <x:c r="AK1911" s="17" t="str">
        <x:f>IF(AG1911&gt;=1000,"High Value",IF(AG1911&gt;=300,"Mid Value","Low Value"))</x:f>
        <x:v>High Value</x:v>
      </x:c>
      <x:c r="AL1911" s="17" t="str">
        <x:f>IF(AND(AI1911&gt;=1,I1911&lt;=50),"Priority 1",IF(AND(AG1911&gt;=1000,I1911&lt;=60),"Priority 2",IF(I1911&lt;=30,"Priority 3","Nurture")))</x:f>
        <x:v>Nurture</x:v>
      </x:c>
    </x:row>
    <x:row r="1912">
      <x:c r="A1912" s="16" t="n">
        <x:v>5831</x:v>
      </x:c>
      <x:c r="B1912" s="16" t="n">
        <x:v>1967</x:v>
      </x:c>
      <x:c r="C1912" s="16" t="str">
        <x:v>Graduation</x:v>
      </x:c>
      <x:c r="D1912" s="16" t="str">
        <x:v>Married</x:v>
      </x:c>
      <x:c r="E1912" s="16" t="n">
        <x:v>77870</x:v>
      </x:c>
      <x:c r="F1912" s="16" t="n">
        <x:v>0</x:v>
      </x:c>
      <x:c r="G1912" s="16" t="n">
        <x:v>1</x:v>
      </x:c>
      <x:c r="H1912" s="16" t="str">
        <x:v>22-08-2012</x:v>
      </x:c>
      <x:c r="I1912" s="16" t="n">
        <x:v>93</x:v>
      </x:c>
      <x:c r="J1912" s="16" t="n">
        <x:v>1017</x:v>
      </x:c>
      <x:c r="K1912" s="16" t="n">
        <x:v>50</x:v>
      </x:c>
      <x:c r="L1912" s="16" t="n">
        <x:v>500</x:v>
      </x:c>
      <x:c r="M1912" s="16" t="n">
        <x:v>65</x:v>
      </x:c>
      <x:c r="N1912" s="16" t="n">
        <x:v>50</x:v>
      </x:c>
      <x:c r="O1912" s="16" t="n">
        <x:v>133</x:v>
      </x:c>
      <x:c r="P1912" s="16" t="n">
        <x:v>3</x:v>
      </x:c>
      <x:c r="Q1912" s="16" t="n">
        <x:v>5</x:v>
      </x:c>
      <x:c r="R1912" s="16" t="n">
        <x:v>5</x:v>
      </x:c>
      <x:c r="S1912" s="16" t="n">
        <x:v>5</x:v>
      </x:c>
      <x:c r="T1912" s="16" t="n">
        <x:v>8</x:v>
      </x:c>
      <x:c r="U1912" s="16" t="n">
        <x:v>0</x:v>
      </x:c>
      <x:c r="V1912" s="16" t="n">
        <x:v>1</x:v>
      </x:c>
      <x:c r="W1912" s="16" t="n">
        <x:v>0</x:v>
      </x:c>
      <x:c r="X1912" s="16" t="n">
        <x:v>1</x:v>
      </x:c>
      <x:c r="Y1912" s="16" t="n">
        <x:v>0</x:v>
      </x:c>
      <x:c r="Z1912" s="16" t="n">
        <x:v>0</x:v>
      </x:c>
      <x:c r="AA1912" s="16" t="n">
        <x:v>3</x:v>
      </x:c>
      <x:c r="AB1912" s="16" t="n">
        <x:v>11</x:v>
      </x:c>
      <x:c r="AC1912" s="16" t="n">
        <x:v>1</x:v>
      </x:c>
      <x:c r="AD1912" s="21" t="n">
        <x:f>IF(E1912="",MEDIAN($E$2:$E$2237),E1912)</x:f>
        <x:v>77870</x:v>
      </x:c>
      <x:c r="AE1912" s="17" t="n">
        <x:f>2014-B1912</x:f>
        <x:v>47</x:v>
      </x:c>
      <x:c r="AF1912" s="17" t="n">
        <x:f>F1912+G1912</x:f>
        <x:v>1</x:v>
      </x:c>
      <x:c r="AG1912" s="21" t="n">
        <x:f>SUM(J1912:O1912)</x:f>
        <x:v>1815</x:v>
      </x:c>
      <x:c r="AH1912" s="17" t="n">
        <x:f>SUM(Q1912:S1912)</x:f>
        <x:v>15</x:v>
      </x:c>
      <x:c r="AI1912" s="17" t="n">
        <x:f>SUM(U1912:Y1912)</x:f>
        <x:v>2</x:v>
      </x:c>
      <x:c r="AJ1912" s="17" t="str">
        <x:f>IF(AE1912&lt;=34,"≤34",IF(AE1912&lt;=44,"35–44",IF(AE1912&lt;=54,"45–54",IF(AE1912&lt;=64,"55–64","65+"))))</x:f>
        <x:v>45–54</x:v>
      </x:c>
      <x:c r="AK1912" s="17" t="str">
        <x:f>IF(AG1912&gt;=1000,"High Value",IF(AG1912&gt;=300,"Mid Value","Low Value"))</x:f>
        <x:v>High Value</x:v>
      </x:c>
      <x:c r="AL1912" s="17" t="str">
        <x:f>IF(AND(AI1912&gt;=1,I1912&lt;=50),"Priority 1",IF(AND(AG1912&gt;=1000,I1912&lt;=60),"Priority 2",IF(I1912&lt;=30,"Priority 3","Nurture")))</x:f>
        <x:v>Nurture</x:v>
      </x:c>
    </x:row>
    <x:row r="1913">
      <x:c r="A1913" s="16" t="n">
        <x:v>7101</x:v>
      </x:c>
      <x:c r="B1913" s="16" t="n">
        <x:v>1963</x:v>
      </x:c>
      <x:c r="C1913" s="16" t="str">
        <x:v>PhD</x:v>
      </x:c>
      <x:c r="D1913" s="16" t="str">
        <x:v>Widow</x:v>
      </x:c>
      <x:c r="E1913" s="16" t="n">
        <x:v>52278</x:v>
      </x:c>
      <x:c r="F1913" s="16" t="n">
        <x:v>0</x:v>
      </x:c>
      <x:c r="G1913" s="16" t="n">
        <x:v>1</x:v>
      </x:c>
      <x:c r="H1913" s="16" t="str">
        <x:v>25-01-2013</x:v>
      </x:c>
      <x:c r="I1913" s="16" t="n">
        <x:v>24</x:v>
      </x:c>
      <x:c r="J1913" s="16" t="n">
        <x:v>953</x:v>
      </x:c>
      <x:c r="K1913" s="16" t="n">
        <x:v>0</x:v>
      </x:c>
      <x:c r="L1913" s="16" t="n">
        <x:v>71</x:v>
      </x:c>
      <x:c r="M1913" s="16" t="n">
        <x:v>0</x:v>
      </x:c>
      <x:c r="N1913" s="16" t="n">
        <x:v>0</x:v>
      </x:c>
      <x:c r="O1913" s="16" t="n">
        <x:v>174</x:v>
      </x:c>
      <x:c r="P1913" s="16" t="n">
        <x:v>6</x:v>
      </x:c>
      <x:c r="Q1913" s="16" t="n">
        <x:v>10</x:v>
      </x:c>
      <x:c r="R1913" s="16" t="n">
        <x:v>5</x:v>
      </x:c>
      <x:c r="S1913" s="16" t="n">
        <x:v>10</x:v>
      </x:c>
      <x:c r="T1913" s="16" t="n">
        <x:v>8</x:v>
      </x:c>
      <x:c r="U1913" s="16" t="n">
        <x:v>0</x:v>
      </x:c>
      <x:c r="V1913" s="16" t="n">
        <x:v>0</x:v>
      </x:c>
      <x:c r="W1913" s="16" t="n">
        <x:v>0</x:v>
      </x:c>
      <x:c r="X1913" s="16" t="n">
        <x:v>0</x:v>
      </x:c>
      <x:c r="Y1913" s="16" t="n">
        <x:v>0</x:v>
      </x:c>
      <x:c r="Z1913" s="16" t="n">
        <x:v>0</x:v>
      </x:c>
      <x:c r="AA1913" s="16" t="n">
        <x:v>3</x:v>
      </x:c>
      <x:c r="AB1913" s="16" t="n">
        <x:v>11</x:v>
      </x:c>
      <x:c r="AC1913" s="16" t="n">
        <x:v>0</x:v>
      </x:c>
      <x:c r="AD1913" s="21" t="n">
        <x:f>IF(E1913="",MEDIAN($E$2:$E$2237),E1913)</x:f>
        <x:v>52278</x:v>
      </x:c>
      <x:c r="AE1913" s="17" t="n">
        <x:f>2014-B1913</x:f>
        <x:v>51</x:v>
      </x:c>
      <x:c r="AF1913" s="17" t="n">
        <x:f>F1913+G1913</x:f>
        <x:v>1</x:v>
      </x:c>
      <x:c r="AG1913" s="21" t="n">
        <x:f>SUM(J1913:O1913)</x:f>
        <x:v>1198</x:v>
      </x:c>
      <x:c r="AH1913" s="17" t="n">
        <x:f>SUM(Q1913:S1913)</x:f>
        <x:v>25</x:v>
      </x:c>
      <x:c r="AI1913" s="17" t="n">
        <x:f>SUM(U1913:Y1913)</x:f>
        <x:v>0</x:v>
      </x:c>
      <x:c r="AJ1913" s="17" t="str">
        <x:f>IF(AE1913&lt;=34,"≤34",IF(AE1913&lt;=44,"35–44",IF(AE1913&lt;=54,"45–54",IF(AE1913&lt;=64,"55–64","65+"))))</x:f>
        <x:v>45–54</x:v>
      </x:c>
      <x:c r="AK1913" s="17" t="str">
        <x:f>IF(AG1913&gt;=1000,"High Value",IF(AG1913&gt;=300,"Mid Value","Low Value"))</x:f>
        <x:v>High Value</x:v>
      </x:c>
      <x:c r="AL1913" s="17" t="str">
        <x:f>IF(AND(AI1913&gt;=1,I1913&lt;=50),"Priority 1",IF(AND(AG1913&gt;=1000,I1913&lt;=60),"Priority 2",IF(I1913&lt;=30,"Priority 3","Nurture")))</x:f>
        <x:v>Priority 2</x:v>
      </x:c>
    </x:row>
    <x:row r="1914">
      <x:c r="A1914" s="16" t="n">
        <x:v>10176</x:v>
      </x:c>
      <x:c r="B1914" s="16" t="n">
        <x:v>1968</x:v>
      </x:c>
      <x:c r="C1914" s="16" t="str">
        <x:v>Graduation</x:v>
      </x:c>
      <x:c r="D1914" s="16" t="str">
        <x:v>Single</x:v>
      </x:c>
      <x:c r="E1914" s="16" t="n">
        <x:v>57107</x:v>
      </x:c>
      <x:c r="F1914" s="16" t="n">
        <x:v>0</x:v>
      </x:c>
      <x:c r="G1914" s="16" t="n">
        <x:v>1</x:v>
      </x:c>
      <x:c r="H1914" s="16" t="str">
        <x:v>24-08-2012</x:v>
      </x:c>
      <x:c r="I1914" s="16" t="n">
        <x:v>44</x:v>
      </x:c>
      <x:c r="J1914" s="16" t="n">
        <x:v>159</x:v>
      </x:c>
      <x:c r="K1914" s="16" t="n">
        <x:v>0</x:v>
      </x:c>
      <x:c r="L1914" s="16" t="n">
        <x:v>120</x:v>
      </x:c>
      <x:c r="M1914" s="16" t="n">
        <x:v>0</x:v>
      </x:c>
      <x:c r="N1914" s="16" t="n">
        <x:v>0</x:v>
      </x:c>
      <x:c r="O1914" s="16" t="n">
        <x:v>137</x:v>
      </x:c>
      <x:c r="P1914" s="16" t="n">
        <x:v>7</x:v>
      </x:c>
      <x:c r="Q1914" s="16" t="n">
        <x:v>4</x:v>
      </x:c>
      <x:c r="R1914" s="16" t="n">
        <x:v>4</x:v>
      </x:c>
      <x:c r="S1914" s="16" t="n">
        <x:v>8</x:v>
      </x:c>
      <x:c r="T1914" s="16" t="n">
        <x:v>8</x:v>
      </x:c>
      <x:c r="U1914" s="16" t="n">
        <x:v>0</x:v>
      </x:c>
      <x:c r="V1914" s="16" t="n">
        <x:v>1</x:v>
      </x:c>
      <x:c r="W1914" s="16" t="n">
        <x:v>0</x:v>
      </x:c>
      <x:c r="X1914" s="16" t="n">
        <x:v>0</x:v>
      </x:c>
      <x:c r="Y1914" s="16" t="n">
        <x:v>1</x:v>
      </x:c>
      <x:c r="Z1914" s="16" t="n">
        <x:v>0</x:v>
      </x:c>
      <x:c r="AA1914" s="16" t="n">
        <x:v>3</x:v>
      </x:c>
      <x:c r="AB1914" s="16" t="n">
        <x:v>11</x:v>
      </x:c>
      <x:c r="AC1914" s="16" t="n">
        <x:v>1</x:v>
      </x:c>
      <x:c r="AD1914" s="21" t="n">
        <x:f>IF(E1914="",MEDIAN($E$2:$E$2237),E1914)</x:f>
        <x:v>57107</x:v>
      </x:c>
      <x:c r="AE1914" s="17" t="n">
        <x:f>2014-B1914</x:f>
        <x:v>46</x:v>
      </x:c>
      <x:c r="AF1914" s="17" t="n">
        <x:f>F1914+G1914</x:f>
        <x:v>1</x:v>
      </x:c>
      <x:c r="AG1914" s="21" t="n">
        <x:f>SUM(J1914:O1914)</x:f>
        <x:v>416</x:v>
      </x:c>
      <x:c r="AH1914" s="17" t="n">
        <x:f>SUM(Q1914:S1914)</x:f>
        <x:v>16</x:v>
      </x:c>
      <x:c r="AI1914" s="17" t="n">
        <x:f>SUM(U1914:Y1914)</x:f>
        <x:v>2</x:v>
      </x:c>
      <x:c r="AJ1914" s="17" t="str">
        <x:f>IF(AE1914&lt;=34,"≤34",IF(AE1914&lt;=44,"35–44",IF(AE1914&lt;=54,"45–54",IF(AE1914&lt;=64,"55–64","65+"))))</x:f>
        <x:v>45–54</x:v>
      </x:c>
      <x:c r="AK1914" s="17" t="str">
        <x:f>IF(AG1914&gt;=1000,"High Value",IF(AG1914&gt;=300,"Mid Value","Low Value"))</x:f>
        <x:v>Mid Value</x:v>
      </x:c>
      <x:c r="AL1914" s="17" t="str">
        <x:f>IF(AND(AI1914&gt;=1,I1914&lt;=50),"Priority 1",IF(AND(AG1914&gt;=1000,I1914&lt;=60),"Priority 2",IF(I1914&lt;=30,"Priority 3","Nurture")))</x:f>
        <x:v>Priority 1</x:v>
      </x:c>
    </x:row>
    <x:row r="1915">
      <x:c r="A1915" s="16" t="n">
        <x:v>2326</x:v>
      </x:c>
      <x:c r="B1915" s="16" t="n">
        <x:v>1990</x:v>
      </x:c>
      <x:c r="C1915" s="16" t="str">
        <x:v>Graduation</x:v>
      </x:c>
      <x:c r="D1915" s="16" t="str">
        <x:v>Married</x:v>
      </x:c>
      <x:c r="E1915" s="16" t="n">
        <x:v>18929</x:v>
      </x:c>
      <x:c r="F1915" s="16" t="n">
        <x:v>0</x:v>
      </x:c>
      <x:c r="G1915" s="16" t="n">
        <x:v>0</x:v>
      </x:c>
      <x:c r="H1915" s="16" t="str">
        <x:v>16-02-2013</x:v>
      </x:c>
      <x:c r="I1915" s="16" t="n">
        <x:v>15</x:v>
      </x:c>
      <x:c r="J1915" s="16" t="n">
        <x:v>32</x:v>
      </x:c>
      <x:c r="K1915" s="16" t="n">
        <x:v>0</x:v>
      </x:c>
      <x:c r="L1915" s="16" t="n">
        <x:v>8</x:v>
      </x:c>
      <x:c r="M1915" s="16" t="n">
        <x:v>23</x:v>
      </x:c>
      <x:c r="N1915" s="16" t="n">
        <x:v>4</x:v>
      </x:c>
      <x:c r="O1915" s="16" t="n">
        <x:v>18</x:v>
      </x:c>
      <x:c r="P1915" s="16" t="n">
        <x:v>1</x:v>
      </x:c>
      <x:c r="Q1915" s="16" t="n">
        <x:v>1</x:v>
      </x:c>
      <x:c r="R1915" s="16" t="n">
        <x:v>0</x:v>
      </x:c>
      <x:c r="S1915" s="16" t="n">
        <x:v>4</x:v>
      </x:c>
      <x:c r="T1915" s="16" t="n">
        <x:v>6</x:v>
      </x:c>
      <x:c r="U1915" s="16" t="n">
        <x:v>0</x:v>
      </x:c>
      <x:c r="V1915" s="16" t="n">
        <x:v>0</x:v>
      </x:c>
      <x:c r="W1915" s="16" t="n">
        <x:v>0</x:v>
      </x:c>
      <x:c r="X1915" s="16" t="n">
        <x:v>0</x:v>
      </x:c>
      <x:c r="Y1915" s="16" t="n">
        <x:v>0</x:v>
      </x:c>
      <x:c r="Z1915" s="16" t="n">
        <x:v>0</x:v>
      </x:c>
      <x:c r="AA1915" s="16" t="n">
        <x:v>3</x:v>
      </x:c>
      <x:c r="AB1915" s="16" t="n">
        <x:v>11</x:v>
      </x:c>
      <x:c r="AC1915" s="16" t="n">
        <x:v>0</x:v>
      </x:c>
      <x:c r="AD1915" s="21" t="n">
        <x:f>IF(E1915="",MEDIAN($E$2:$E$2237),E1915)</x:f>
        <x:v>18929</x:v>
      </x:c>
      <x:c r="AE1915" s="17" t="n">
        <x:f>2014-B1915</x:f>
        <x:v>24</x:v>
      </x:c>
      <x:c r="AF1915" s="17" t="n">
        <x:f>F1915+G1915</x:f>
        <x:v>0</x:v>
      </x:c>
      <x:c r="AG1915" s="21" t="n">
        <x:f>SUM(J1915:O1915)</x:f>
        <x:v>85</x:v>
      </x:c>
      <x:c r="AH1915" s="17" t="n">
        <x:f>SUM(Q1915:S1915)</x:f>
        <x:v>5</x:v>
      </x:c>
      <x:c r="AI1915" s="17" t="n">
        <x:f>SUM(U1915:Y1915)</x:f>
        <x:v>0</x:v>
      </x:c>
      <x:c r="AJ1915" s="17" t="str">
        <x:f>IF(AE1915&lt;=34,"≤34",IF(AE1915&lt;=44,"35–44",IF(AE1915&lt;=54,"45–54",IF(AE1915&lt;=64,"55–64","65+"))))</x:f>
        <x:v>≤34</x:v>
      </x:c>
      <x:c r="AK1915" s="17" t="str">
        <x:f>IF(AG1915&gt;=1000,"High Value",IF(AG1915&gt;=300,"Mid Value","Low Value"))</x:f>
        <x:v>Low Value</x:v>
      </x:c>
      <x:c r="AL1915" s="17" t="str">
        <x:f>IF(AND(AI1915&gt;=1,I1915&lt;=50),"Priority 1",IF(AND(AG1915&gt;=1000,I1915&lt;=60),"Priority 2",IF(I1915&lt;=30,"Priority 3","Nurture")))</x:f>
        <x:v>Priority 3</x:v>
      </x:c>
    </x:row>
    <x:row r="1916">
      <x:c r="A1916" s="16" t="n">
        <x:v>4385</x:v>
      </x:c>
      <x:c r="B1916" s="16" t="n">
        <x:v>1981</x:v>
      </x:c>
      <x:c r="C1916" s="16" t="str">
        <x:v>PhD</x:v>
      </x:c>
      <x:c r="D1916" s="16" t="str">
        <x:v>Single</x:v>
      </x:c>
      <x:c r="E1916" s="16" t="n">
        <x:v>36038</x:v>
      </x:c>
      <x:c r="F1916" s="16" t="n">
        <x:v>1</x:v>
      </x:c>
      <x:c r="G1916" s="16" t="n">
        <x:v>0</x:v>
      </x:c>
      <x:c r="H1916" s="16" t="str">
        <x:v>31-05-2013</x:v>
      </x:c>
      <x:c r="I1916" s="16" t="n">
        <x:v>82</x:v>
      </x:c>
      <x:c r="J1916" s="16" t="n">
        <x:v>23</x:v>
      </x:c>
      <x:c r="K1916" s="16" t="n">
        <x:v>0</x:v>
      </x:c>
      <x:c r="L1916" s="16" t="n">
        <x:v>15</x:v>
      </x:c>
      <x:c r="M1916" s="16" t="n">
        <x:v>0</x:v>
      </x:c>
      <x:c r="N1916" s="16" t="n">
        <x:v>2</x:v>
      </x:c>
      <x:c r="O1916" s="16" t="n">
        <x:v>7</x:v>
      </x:c>
      <x:c r="P1916" s="16" t="n">
        <x:v>2</x:v>
      </x:c>
      <x:c r="Q1916" s="16" t="n">
        <x:v>3</x:v>
      </x:c>
      <x:c r="R1916" s="16" t="n">
        <x:v>0</x:v>
      </x:c>
      <x:c r="S1916" s="16" t="n">
        <x:v>3</x:v>
      </x:c>
      <x:c r="T1916" s="16" t="n">
        <x:v>6</x:v>
      </x:c>
      <x:c r="U1916" s="16" t="n">
        <x:v>0</x:v>
      </x:c>
      <x:c r="V1916" s="16" t="n">
        <x:v>0</x:v>
      </x:c>
      <x:c r="W1916" s="16" t="n">
        <x:v>0</x:v>
      </x:c>
      <x:c r="X1916" s="16" t="n">
        <x:v>0</x:v>
      </x:c>
      <x:c r="Y1916" s="16" t="n">
        <x:v>0</x:v>
      </x:c>
      <x:c r="Z1916" s="16" t="n">
        <x:v>0</x:v>
      </x:c>
      <x:c r="AA1916" s="16" t="n">
        <x:v>3</x:v>
      </x:c>
      <x:c r="AB1916" s="16" t="n">
        <x:v>11</x:v>
      </x:c>
      <x:c r="AC1916" s="16" t="n">
        <x:v>0</x:v>
      </x:c>
      <x:c r="AD1916" s="21" t="n">
        <x:f>IF(E1916="",MEDIAN($E$2:$E$2237),E1916)</x:f>
        <x:v>36038</x:v>
      </x:c>
      <x:c r="AE1916" s="17" t="n">
        <x:f>2014-B1916</x:f>
        <x:v>33</x:v>
      </x:c>
      <x:c r="AF1916" s="17" t="n">
        <x:f>F1916+G1916</x:f>
        <x:v>1</x:v>
      </x:c>
      <x:c r="AG1916" s="21" t="n">
        <x:f>SUM(J1916:O1916)</x:f>
        <x:v>47</x:v>
      </x:c>
      <x:c r="AH1916" s="17" t="n">
        <x:f>SUM(Q1916:S1916)</x:f>
        <x:v>6</x:v>
      </x:c>
      <x:c r="AI1916" s="17" t="n">
        <x:f>SUM(U1916:Y1916)</x:f>
        <x:v>0</x:v>
      </x:c>
      <x:c r="AJ1916" s="17" t="str">
        <x:f>IF(AE1916&lt;=34,"≤34",IF(AE1916&lt;=44,"35–44",IF(AE1916&lt;=54,"45–54",IF(AE1916&lt;=64,"55–64","65+"))))</x:f>
        <x:v>≤34</x:v>
      </x:c>
      <x:c r="AK1916" s="17" t="str">
        <x:f>IF(AG1916&gt;=1000,"High Value",IF(AG1916&gt;=300,"Mid Value","Low Value"))</x:f>
        <x:v>Low Value</x:v>
      </x:c>
      <x:c r="AL1916" s="17" t="str">
        <x:f>IF(AND(AI1916&gt;=1,I1916&lt;=50),"Priority 1",IF(AND(AG1916&gt;=1000,I1916&lt;=60),"Priority 2",IF(I1916&lt;=30,"Priority 3","Nurture")))</x:f>
        <x:v>Nurture</x:v>
      </x:c>
    </x:row>
    <x:row r="1917">
      <x:c r="A1917" s="16" t="n">
        <x:v>2929</x:v>
      </x:c>
      <x:c r="B1917" s="16" t="n">
        <x:v>1976</x:v>
      </x:c>
      <x:c r="C1917" s="16" t="str">
        <x:v>Graduation</x:v>
      </x:c>
      <x:c r="D1917" s="16" t="str">
        <x:v>Single</x:v>
      </x:c>
      <x:c r="E1917" s="16" t="n">
        <x:v>20180</x:v>
      </x:c>
      <x:c r="F1917" s="16" t="n">
        <x:v>0</x:v>
      </x:c>
      <x:c r="G1917" s="16" t="n">
        <x:v>0</x:v>
      </x:c>
      <x:c r="H1917" s="16" t="str">
        <x:v>20-02-2013</x:v>
      </x:c>
      <x:c r="I1917" s="16" t="n">
        <x:v>27</x:v>
      </x:c>
      <x:c r="J1917" s="16" t="n">
        <x:v>18</x:v>
      </x:c>
      <x:c r="K1917" s="16" t="n">
        <x:v>42</x:v>
      </x:c>
      <x:c r="L1917" s="16" t="n">
        <x:v>24</x:v>
      </x:c>
      <x:c r="M1917" s="16" t="n">
        <x:v>15</x:v>
      </x:c>
      <x:c r="N1917" s="16" t="n">
        <x:v>20</x:v>
      </x:c>
      <x:c r="O1917" s="16" t="n">
        <x:v>18</x:v>
      </x:c>
      <x:c r="P1917" s="16" t="n">
        <x:v>1</x:v>
      </x:c>
      <x:c r="Q1917" s="16" t="n">
        <x:v>2</x:v>
      </x:c>
      <x:c r="R1917" s="16" t="n">
        <x:v>1</x:v>
      </x:c>
      <x:c r="S1917" s="16" t="n">
        <x:v>4</x:v>
      </x:c>
      <x:c r="T1917" s="16" t="n">
        <x:v>7</x:v>
      </x:c>
      <x:c r="U1917" s="16" t="n">
        <x:v>0</x:v>
      </x:c>
      <x:c r="V1917" s="16" t="n">
        <x:v>0</x:v>
      </x:c>
      <x:c r="W1917" s="16" t="n">
        <x:v>0</x:v>
      </x:c>
      <x:c r="X1917" s="16" t="n">
        <x:v>0</x:v>
      </x:c>
      <x:c r="Y1917" s="16" t="n">
        <x:v>0</x:v>
      </x:c>
      <x:c r="Z1917" s="16" t="n">
        <x:v>0</x:v>
      </x:c>
      <x:c r="AA1917" s="16" t="n">
        <x:v>3</x:v>
      </x:c>
      <x:c r="AB1917" s="16" t="n">
        <x:v>11</x:v>
      </x:c>
      <x:c r="AC1917" s="16" t="n">
        <x:v>0</x:v>
      </x:c>
      <x:c r="AD1917" s="21" t="n">
        <x:f>IF(E1917="",MEDIAN($E$2:$E$2237),E1917)</x:f>
        <x:v>20180</x:v>
      </x:c>
      <x:c r="AE1917" s="17" t="n">
        <x:f>2014-B1917</x:f>
        <x:v>38</x:v>
      </x:c>
      <x:c r="AF1917" s="17" t="n">
        <x:f>F1917+G1917</x:f>
        <x:v>0</x:v>
      </x:c>
      <x:c r="AG1917" s="21" t="n">
        <x:f>SUM(J1917:O1917)</x:f>
        <x:v>137</x:v>
      </x:c>
      <x:c r="AH1917" s="17" t="n">
        <x:f>SUM(Q1917:S1917)</x:f>
        <x:v>7</x:v>
      </x:c>
      <x:c r="AI1917" s="17" t="n">
        <x:f>SUM(U1917:Y1917)</x:f>
        <x:v>0</x:v>
      </x:c>
      <x:c r="AJ1917" s="17" t="str">
        <x:f>IF(AE1917&lt;=34,"≤34",IF(AE1917&lt;=44,"35–44",IF(AE1917&lt;=54,"45–54",IF(AE1917&lt;=64,"55–64","65+"))))</x:f>
        <x:v>35–44</x:v>
      </x:c>
      <x:c r="AK1917" s="17" t="str">
        <x:f>IF(AG1917&gt;=1000,"High Value",IF(AG1917&gt;=300,"Mid Value","Low Value"))</x:f>
        <x:v>Low Value</x:v>
      </x:c>
      <x:c r="AL1917" s="17" t="str">
        <x:f>IF(AND(AI1917&gt;=1,I1917&lt;=50),"Priority 1",IF(AND(AG1917&gt;=1000,I1917&lt;=60),"Priority 2",IF(I1917&lt;=30,"Priority 3","Nurture")))</x:f>
        <x:v>Priority 3</x:v>
      </x:c>
    </x:row>
    <x:row r="1918">
      <x:c r="A1918" s="16" t="n">
        <x:v>10686</x:v>
      </x:c>
      <x:c r="B1918" s="16" t="n">
        <x:v>1965</x:v>
      </x:c>
      <x:c r="C1918" s="16" t="str">
        <x:v>PhD</x:v>
      </x:c>
      <x:c r="D1918" s="16" t="str">
        <x:v>Together</x:v>
      </x:c>
      <x:c r="E1918" s="16" t="n">
        <x:v>34230</x:v>
      </x:c>
      <x:c r="F1918" s="16" t="n">
        <x:v>1</x:v>
      </x:c>
      <x:c r="G1918" s="16" t="n">
        <x:v>1</x:v>
      </x:c>
      <x:c r="H1918" s="16" t="str">
        <x:v>26-12-2012</x:v>
      </x:c>
      <x:c r="I1918" s="16" t="n">
        <x:v>72</x:v>
      </x:c>
      <x:c r="J1918" s="16" t="n">
        <x:v>15</x:v>
      </x:c>
      <x:c r="K1918" s="16" t="n">
        <x:v>0</x:v>
      </x:c>
      <x:c r="L1918" s="16" t="n">
        <x:v>4</x:v>
      </x:c>
      <x:c r="M1918" s="16" t="n">
        <x:v>0</x:v>
      </x:c>
      <x:c r="N1918" s="16" t="n">
        <x:v>0</x:v>
      </x:c>
      <x:c r="O1918" s="16" t="n">
        <x:v>2</x:v>
      </x:c>
      <x:c r="P1918" s="16" t="n">
        <x:v>1</x:v>
      </x:c>
      <x:c r="Q1918" s="16" t="n">
        <x:v>1</x:v>
      </x:c>
      <x:c r="R1918" s="16" t="n">
        <x:v>0</x:v>
      </x:c>
      <x:c r="S1918" s="16" t="n">
        <x:v>2</x:v>
      </x:c>
      <x:c r="T1918" s="16" t="n">
        <x:v>7</x:v>
      </x:c>
      <x:c r="U1918" s="16" t="n">
        <x:v>0</x:v>
      </x:c>
      <x:c r="V1918" s="16" t="n">
        <x:v>0</x:v>
      </x:c>
      <x:c r="W1918" s="16" t="n">
        <x:v>0</x:v>
      </x:c>
      <x:c r="X1918" s="16" t="n">
        <x:v>0</x:v>
      </x:c>
      <x:c r="Y1918" s="16" t="n">
        <x:v>0</x:v>
      </x:c>
      <x:c r="Z1918" s="16" t="n">
        <x:v>0</x:v>
      </x:c>
      <x:c r="AA1918" s="16" t="n">
        <x:v>3</x:v>
      </x:c>
      <x:c r="AB1918" s="16" t="n">
        <x:v>11</x:v>
      </x:c>
      <x:c r="AC1918" s="16" t="n">
        <x:v>0</x:v>
      </x:c>
      <x:c r="AD1918" s="21" t="n">
        <x:f>IF(E1918="",MEDIAN($E$2:$E$2237),E1918)</x:f>
        <x:v>34230</x:v>
      </x:c>
      <x:c r="AE1918" s="17" t="n">
        <x:f>2014-B1918</x:f>
        <x:v>49</x:v>
      </x:c>
      <x:c r="AF1918" s="17" t="n">
        <x:f>F1918+G1918</x:f>
        <x:v>2</x:v>
      </x:c>
      <x:c r="AG1918" s="21" t="n">
        <x:f>SUM(J1918:O1918)</x:f>
        <x:v>21</x:v>
      </x:c>
      <x:c r="AH1918" s="17" t="n">
        <x:f>SUM(Q1918:S1918)</x:f>
        <x:v>3</x:v>
      </x:c>
      <x:c r="AI1918" s="17" t="n">
        <x:f>SUM(U1918:Y1918)</x:f>
        <x:v>0</x:v>
      </x:c>
      <x:c r="AJ1918" s="17" t="str">
        <x:f>IF(AE1918&lt;=34,"≤34",IF(AE1918&lt;=44,"35–44",IF(AE1918&lt;=54,"45–54",IF(AE1918&lt;=64,"55–64","65+"))))</x:f>
        <x:v>45–54</x:v>
      </x:c>
      <x:c r="AK1918" s="17" t="str">
        <x:f>IF(AG1918&gt;=1000,"High Value",IF(AG1918&gt;=300,"Mid Value","Low Value"))</x:f>
        <x:v>Low Value</x:v>
      </x:c>
      <x:c r="AL1918" s="17" t="str">
        <x:f>IF(AND(AI1918&gt;=1,I1918&lt;=50),"Priority 1",IF(AND(AG1918&gt;=1000,I1918&lt;=60),"Priority 2",IF(I1918&lt;=30,"Priority 3","Nurture")))</x:f>
        <x:v>Nurture</x:v>
      </x:c>
    </x:row>
    <x:row r="1919">
      <x:c r="A1919" s="16" t="n">
        <x:v>2546</x:v>
      </x:c>
      <x:c r="B1919" s="16" t="n">
        <x:v>1977</x:v>
      </x:c>
      <x:c r="C1919" s="16" t="str">
        <x:v>2n Cycle</x:v>
      </x:c>
      <x:c r="D1919" s="16" t="str">
        <x:v>Single</x:v>
      </x:c>
      <x:c r="E1919" s="16" t="n">
        <x:v>31878</x:v>
      </x:c>
      <x:c r="F1919" s="16" t="n">
        <x:v>0</x:v>
      </x:c>
      <x:c r="G1919" s="16" t="n">
        <x:v>1</x:v>
      </x:c>
      <x:c r="H1919" s="16" t="str">
        <x:v>22-06-2014</x:v>
      </x:c>
      <x:c r="I1919" s="16" t="n">
        <x:v>7</x:v>
      </x:c>
      <x:c r="J1919" s="16" t="n">
        <x:v>23</x:v>
      </x:c>
      <x:c r="K1919" s="16" t="n">
        <x:v>4</x:v>
      </x:c>
      <x:c r="L1919" s="16" t="n">
        <x:v>5</x:v>
      </x:c>
      <x:c r="M1919" s="16" t="n">
        <x:v>10</x:v>
      </x:c>
      <x:c r="N1919" s="16" t="n">
        <x:v>5</x:v>
      </x:c>
      <x:c r="O1919" s="16" t="n">
        <x:v>23</x:v>
      </x:c>
      <x:c r="P1919" s="16" t="n">
        <x:v>1</x:v>
      </x:c>
      <x:c r="Q1919" s="16" t="n">
        <x:v>1</x:v>
      </x:c>
      <x:c r="R1919" s="16" t="n">
        <x:v>0</x:v>
      </x:c>
      <x:c r="S1919" s="16" t="n">
        <x:v>4</x:v>
      </x:c>
      <x:c r="T1919" s="16" t="n">
        <x:v>3</x:v>
      </x:c>
      <x:c r="U1919" s="16" t="n">
        <x:v>0</x:v>
      </x:c>
      <x:c r="V1919" s="16" t="n">
        <x:v>0</x:v>
      </x:c>
      <x:c r="W1919" s="16" t="n">
        <x:v>0</x:v>
      </x:c>
      <x:c r="X1919" s="16" t="n">
        <x:v>0</x:v>
      </x:c>
      <x:c r="Y1919" s="16" t="n">
        <x:v>0</x:v>
      </x:c>
      <x:c r="Z1919" s="16" t="n">
        <x:v>0</x:v>
      </x:c>
      <x:c r="AA1919" s="16" t="n">
        <x:v>3</x:v>
      </x:c>
      <x:c r="AB1919" s="16" t="n">
        <x:v>11</x:v>
      </x:c>
      <x:c r="AC1919" s="16" t="n">
        <x:v>0</x:v>
      </x:c>
      <x:c r="AD1919" s="21" t="n">
        <x:f>IF(E1919="",MEDIAN($E$2:$E$2237),E1919)</x:f>
        <x:v>31878</x:v>
      </x:c>
      <x:c r="AE1919" s="17" t="n">
        <x:f>2014-B1919</x:f>
        <x:v>37</x:v>
      </x:c>
      <x:c r="AF1919" s="17" t="n">
        <x:f>F1919+G1919</x:f>
        <x:v>1</x:v>
      </x:c>
      <x:c r="AG1919" s="21" t="n">
        <x:f>SUM(J1919:O1919)</x:f>
        <x:v>70</x:v>
      </x:c>
      <x:c r="AH1919" s="17" t="n">
        <x:f>SUM(Q1919:S1919)</x:f>
        <x:v>5</x:v>
      </x:c>
      <x:c r="AI1919" s="17" t="n">
        <x:f>SUM(U1919:Y1919)</x:f>
        <x:v>0</x:v>
      </x:c>
      <x:c r="AJ1919" s="17" t="str">
        <x:f>IF(AE1919&lt;=34,"≤34",IF(AE1919&lt;=44,"35–44",IF(AE1919&lt;=54,"45–54",IF(AE1919&lt;=64,"55–64","65+"))))</x:f>
        <x:v>35–44</x:v>
      </x:c>
      <x:c r="AK1919" s="17" t="str">
        <x:f>IF(AG1919&gt;=1000,"High Value",IF(AG1919&gt;=300,"Mid Value","Low Value"))</x:f>
        <x:v>Low Value</x:v>
      </x:c>
      <x:c r="AL1919" s="17" t="str">
        <x:f>IF(AND(AI1919&gt;=1,I1919&lt;=50),"Priority 1",IF(AND(AG1919&gt;=1000,I1919&lt;=60),"Priority 2",IF(I1919&lt;=30,"Priority 3","Nurture")))</x:f>
        <x:v>Priority 3</x:v>
      </x:c>
    </x:row>
    <x:row r="1920">
      <x:c r="A1920" s="16" t="n">
        <x:v>3283</x:v>
      </x:c>
      <x:c r="B1920" s="16" t="n">
        <x:v>1972</x:v>
      </x:c>
      <x:c r="C1920" s="16" t="str">
        <x:v>2n Cycle</x:v>
      </x:c>
      <x:c r="D1920" s="16" t="str">
        <x:v>Married</x:v>
      </x:c>
      <x:c r="E1920" s="16" t="n">
        <x:v>70932</x:v>
      </x:c>
      <x:c r="F1920" s="16" t="n">
        <x:v>0</x:v>
      </x:c>
      <x:c r="G1920" s="16" t="n">
        <x:v>1</x:v>
      </x:c>
      <x:c r="H1920" s="16" t="str">
        <x:v>19-01-2014</x:v>
      </x:c>
      <x:c r="I1920" s="16" t="n">
        <x:v>57</x:v>
      </x:c>
      <x:c r="J1920" s="16" t="n">
        <x:v>200</x:v>
      </x:c>
      <x:c r="K1920" s="16" t="n">
        <x:v>193</x:v>
      </x:c>
      <x:c r="L1920" s="16" t="n">
        <x:v>100</x:v>
      </x:c>
      <x:c r="M1920" s="16" t="n">
        <x:v>46</x:v>
      </x:c>
      <x:c r="N1920" s="16" t="n">
        <x:v>185</x:v>
      </x:c>
      <x:c r="O1920" s="16" t="n">
        <x:v>185</x:v>
      </x:c>
      <x:c r="P1920" s="16" t="n">
        <x:v>2</x:v>
      </x:c>
      <x:c r="Q1920" s="16" t="n">
        <x:v>6</x:v>
      </x:c>
      <x:c r="R1920" s="16" t="n">
        <x:v>2</x:v>
      </x:c>
      <x:c r="S1920" s="16" t="n">
        <x:v>12</x:v>
      </x:c>
      <x:c r="T1920" s="16" t="n">
        <x:v>3</x:v>
      </x:c>
      <x:c r="U1920" s="16" t="n">
        <x:v>0</x:v>
      </x:c>
      <x:c r="V1920" s="16" t="n">
        <x:v>0</x:v>
      </x:c>
      <x:c r="W1920" s="16" t="n">
        <x:v>0</x:v>
      </x:c>
      <x:c r="X1920" s="16" t="n">
        <x:v>0</x:v>
      </x:c>
      <x:c r="Y1920" s="16" t="n">
        <x:v>0</x:v>
      </x:c>
      <x:c r="Z1920" s="16" t="n">
        <x:v>0</x:v>
      </x:c>
      <x:c r="AA1920" s="16" t="n">
        <x:v>3</x:v>
      </x:c>
      <x:c r="AB1920" s="16" t="n">
        <x:v>11</x:v>
      </x:c>
      <x:c r="AC1920" s="16" t="n">
        <x:v>0</x:v>
      </x:c>
      <x:c r="AD1920" s="21" t="n">
        <x:f>IF(E1920="",MEDIAN($E$2:$E$2237),E1920)</x:f>
        <x:v>70932</x:v>
      </x:c>
      <x:c r="AE1920" s="17" t="n">
        <x:f>2014-B1920</x:f>
        <x:v>42</x:v>
      </x:c>
      <x:c r="AF1920" s="17" t="n">
        <x:f>F1920+G1920</x:f>
        <x:v>1</x:v>
      </x:c>
      <x:c r="AG1920" s="21" t="n">
        <x:f>SUM(J1920:O1920)</x:f>
        <x:v>909</x:v>
      </x:c>
      <x:c r="AH1920" s="17" t="n">
        <x:f>SUM(Q1920:S1920)</x:f>
        <x:v>20</x:v>
      </x:c>
      <x:c r="AI1920" s="17" t="n">
        <x:f>SUM(U1920:Y1920)</x:f>
        <x:v>0</x:v>
      </x:c>
      <x:c r="AJ1920" s="17" t="str">
        <x:f>IF(AE1920&lt;=34,"≤34",IF(AE1920&lt;=44,"35–44",IF(AE1920&lt;=54,"45–54",IF(AE1920&lt;=64,"55–64","65+"))))</x:f>
        <x:v>35–44</x:v>
      </x:c>
      <x:c r="AK1920" s="17" t="str">
        <x:f>IF(AG1920&gt;=1000,"High Value",IF(AG1920&gt;=300,"Mid Value","Low Value"))</x:f>
        <x:v>Mid Value</x:v>
      </x:c>
      <x:c r="AL1920" s="17" t="str">
        <x:f>IF(AND(AI1920&gt;=1,I1920&lt;=50),"Priority 1",IF(AND(AG1920&gt;=1000,I1920&lt;=60),"Priority 2",IF(I1920&lt;=30,"Priority 3","Nurture")))</x:f>
        <x:v>Nurture</x:v>
      </x:c>
    </x:row>
    <x:row r="1921">
      <x:c r="A1921" s="16" t="n">
        <x:v>3138</x:v>
      </x:c>
      <x:c r="B1921" s="16" t="n">
        <x:v>1956</x:v>
      </x:c>
      <x:c r="C1921" s="16" t="str">
        <x:v>Graduation</x:v>
      </x:c>
      <x:c r="D1921" s="16" t="str">
        <x:v>Single</x:v>
      </x:c>
      <x:c r="E1921" s="16" t="n">
        <x:v>91249</x:v>
      </x:c>
      <x:c r="F1921" s="16" t="n">
        <x:v>0</x:v>
      </x:c>
      <x:c r="G1921" s="16" t="n">
        <x:v>0</x:v>
      </x:c>
      <x:c r="H1921" s="16" t="str">
        <x:v>20-10-2012</x:v>
      </x:c>
      <x:c r="I1921" s="16" t="n">
        <x:v>84</x:v>
      </x:c>
      <x:c r="J1921" s="16" t="n">
        <x:v>1324</x:v>
      </x:c>
      <x:c r="K1921" s="16" t="n">
        <x:v>27</x:v>
      </x:c>
      <x:c r="L1921" s="16" t="n">
        <x:v>119</x:v>
      </x:c>
      <x:c r="M1921" s="16" t="n">
        <x:v>71</x:v>
      </x:c>
      <x:c r="N1921" s="16" t="n">
        <x:v>108</x:v>
      </x:c>
      <x:c r="O1921" s="16" t="n">
        <x:v>27</x:v>
      </x:c>
      <x:c r="P1921" s="16" t="n">
        <x:v>0</x:v>
      </x:c>
      <x:c r="Q1921" s="16" t="n">
        <x:v>7</x:v>
      </x:c>
      <x:c r="R1921" s="16" t="n">
        <x:v>9</x:v>
      </x:c>
      <x:c r="S1921" s="16" t="n">
        <x:v>6</x:v>
      </x:c>
      <x:c r="T1921" s="16" t="n">
        <x:v>4</x:v>
      </x:c>
      <x:c r="U1921" s="16" t="n">
        <x:v>0</x:v>
      </x:c>
      <x:c r="V1921" s="16" t="n">
        <x:v>1</x:v>
      </x:c>
      <x:c r="W1921" s="16" t="n">
        <x:v>1</x:v>
      </x:c>
      <x:c r="X1921" s="16" t="n">
        <x:v>1</x:v>
      </x:c>
      <x:c r="Y1921" s="16" t="n">
        <x:v>1</x:v>
      </x:c>
      <x:c r="Z1921" s="16" t="n">
        <x:v>0</x:v>
      </x:c>
      <x:c r="AA1921" s="16" t="n">
        <x:v>3</x:v>
      </x:c>
      <x:c r="AB1921" s="16" t="n">
        <x:v>11</x:v>
      </x:c>
      <x:c r="AC1921" s="16" t="n">
        <x:v>1</x:v>
      </x:c>
      <x:c r="AD1921" s="21" t="n">
        <x:f>IF(E1921="",MEDIAN($E$2:$E$2237),E1921)</x:f>
        <x:v>91249</x:v>
      </x:c>
      <x:c r="AE1921" s="17" t="n">
        <x:f>2014-B1921</x:f>
        <x:v>58</x:v>
      </x:c>
      <x:c r="AF1921" s="17" t="n">
        <x:f>F1921+G1921</x:f>
        <x:v>0</x:v>
      </x:c>
      <x:c r="AG1921" s="21" t="n">
        <x:f>SUM(J1921:O1921)</x:f>
        <x:v>1676</x:v>
      </x:c>
      <x:c r="AH1921" s="17" t="n">
        <x:f>SUM(Q1921:S1921)</x:f>
        <x:v>22</x:v>
      </x:c>
      <x:c r="AI1921" s="17" t="n">
        <x:f>SUM(U1921:Y1921)</x:f>
        <x:v>4</x:v>
      </x:c>
      <x:c r="AJ1921" s="17" t="str">
        <x:f>IF(AE1921&lt;=34,"≤34",IF(AE1921&lt;=44,"35–44",IF(AE1921&lt;=54,"45–54",IF(AE1921&lt;=64,"55–64","65+"))))</x:f>
        <x:v>55–64</x:v>
      </x:c>
      <x:c r="AK1921" s="17" t="str">
        <x:f>IF(AG1921&gt;=1000,"High Value",IF(AG1921&gt;=300,"Mid Value","Low Value"))</x:f>
        <x:v>High Value</x:v>
      </x:c>
      <x:c r="AL1921" s="17" t="str">
        <x:f>IF(AND(AI1921&gt;=1,I1921&lt;=50),"Priority 1",IF(AND(AG1921&gt;=1000,I1921&lt;=60),"Priority 2",IF(I1921&lt;=30,"Priority 3","Nurture")))</x:f>
        <x:v>Nurture</x:v>
      </x:c>
    </x:row>
    <x:row r="1922">
      <x:c r="A1922" s="16" t="n">
        <x:v>4994</x:v>
      </x:c>
      <x:c r="B1922" s="16" t="n">
        <x:v>1943</x:v>
      </x:c>
      <x:c r="C1922" s="16" t="str">
        <x:v>Master</x:v>
      </x:c>
      <x:c r="D1922" s="16" t="str">
        <x:v>Single</x:v>
      </x:c>
      <x:c r="E1922" s="16" t="n">
        <x:v>77598</x:v>
      </x:c>
      <x:c r="F1922" s="16" t="n">
        <x:v>0</x:v>
      </x:c>
      <x:c r="G1922" s="16" t="n">
        <x:v>0</x:v>
      </x:c>
      <x:c r="H1922" s="16" t="str">
        <x:v>01-10-2013</x:v>
      </x:c>
      <x:c r="I1922" s="16" t="n">
        <x:v>53</x:v>
      </x:c>
      <x:c r="J1922" s="16" t="n">
        <x:v>1193</x:v>
      </x:c>
      <x:c r="K1922" s="16" t="n">
        <x:v>33</x:v>
      </x:c>
      <x:c r="L1922" s="16" t="n">
        <x:v>281</x:v>
      </x:c>
      <x:c r="M1922" s="16" t="n">
        <x:v>129</x:v>
      </x:c>
      <x:c r="N1922" s="16" t="n">
        <x:v>66</x:v>
      </x:c>
      <x:c r="O1922" s="16" t="n">
        <x:v>33</x:v>
      </x:c>
      <x:c r="P1922" s="16" t="n">
        <x:v>1</x:v>
      </x:c>
      <x:c r="Q1922" s="16" t="n">
        <x:v>7</x:v>
      </x:c>
      <x:c r="R1922" s="16" t="n">
        <x:v>5</x:v>
      </x:c>
      <x:c r="S1922" s="16" t="n">
        <x:v>13</x:v>
      </x:c>
      <x:c r="T1922" s="16" t="n">
        <x:v>3</x:v>
      </x:c>
      <x:c r="U1922" s="16" t="n">
        <x:v>0</x:v>
      </x:c>
      <x:c r="V1922" s="16" t="n">
        <x:v>0</x:v>
      </x:c>
      <x:c r="W1922" s="16" t="n">
        <x:v>1</x:v>
      </x:c>
      <x:c r="X1922" s="16" t="n">
        <x:v>0</x:v>
      </x:c>
      <x:c r="Y1922" s="16" t="n">
        <x:v>0</x:v>
      </x:c>
      <x:c r="Z1922" s="16" t="n">
        <x:v>0</x:v>
      </x:c>
      <x:c r="AA1922" s="16" t="n">
        <x:v>3</x:v>
      </x:c>
      <x:c r="AB1922" s="16" t="n">
        <x:v>11</x:v>
      </x:c>
      <x:c r="AC1922" s="16" t="n">
        <x:v>0</x:v>
      </x:c>
      <x:c r="AD1922" s="21" t="n">
        <x:f>IF(E1922="",MEDIAN($E$2:$E$2237),E1922)</x:f>
        <x:v>77598</x:v>
      </x:c>
      <x:c r="AE1922" s="17" t="n">
        <x:f>2014-B1922</x:f>
        <x:v>71</x:v>
      </x:c>
      <x:c r="AF1922" s="17" t="n">
        <x:f>F1922+G1922</x:f>
        <x:v>0</x:v>
      </x:c>
      <x:c r="AG1922" s="21" t="n">
        <x:f>SUM(J1922:O1922)</x:f>
        <x:v>1735</x:v>
      </x:c>
      <x:c r="AH1922" s="17" t="n">
        <x:f>SUM(Q1922:S1922)</x:f>
        <x:v>25</x:v>
      </x:c>
      <x:c r="AI1922" s="17" t="n">
        <x:f>SUM(U1922:Y1922)</x:f>
        <x:v>1</x:v>
      </x:c>
      <x:c r="AJ1922" s="17" t="str">
        <x:f>IF(AE1922&lt;=34,"≤34",IF(AE1922&lt;=44,"35–44",IF(AE1922&lt;=54,"45–54",IF(AE1922&lt;=64,"55–64","65+"))))</x:f>
        <x:v>65+</x:v>
      </x:c>
      <x:c r="AK1922" s="17" t="str">
        <x:f>IF(AG1922&gt;=1000,"High Value",IF(AG1922&gt;=300,"Mid Value","Low Value"))</x:f>
        <x:v>High Value</x:v>
      </x:c>
      <x:c r="AL1922" s="17" t="str">
        <x:f>IF(AND(AI1922&gt;=1,I1922&lt;=50),"Priority 1",IF(AND(AG1922&gt;=1000,I1922&lt;=60),"Priority 2",IF(I1922&lt;=30,"Priority 3","Nurture")))</x:f>
        <x:v>Priority 2</x:v>
      </x:c>
    </x:row>
    <x:row r="1923">
      <x:c r="A1923" s="16" t="n">
        <x:v>7966</x:v>
      </x:c>
      <x:c r="B1923" s="16" t="n">
        <x:v>1959</x:v>
      </x:c>
      <x:c r="C1923" s="16" t="str">
        <x:v>Graduation</x:v>
      </x:c>
      <x:c r="D1923" s="16" t="str">
        <x:v>Single</x:v>
      </x:c>
      <x:c r="E1923" s="16" t="n">
        <x:v>80982</x:v>
      </x:c>
      <x:c r="F1923" s="16" t="n">
        <x:v>1</x:v>
      </x:c>
      <x:c r="G1923" s="16" t="n">
        <x:v>1</x:v>
      </x:c>
      <x:c r="H1923" s="16" t="str">
        <x:v>08-01-2013</x:v>
      </x:c>
      <x:c r="I1923" s="16" t="n">
        <x:v>48</x:v>
      </x:c>
      <x:c r="J1923" s="16" t="n">
        <x:v>505</x:v>
      </x:c>
      <x:c r="K1923" s="16" t="n">
        <x:v>137</x:v>
      </x:c>
      <x:c r="L1923" s="16" t="n">
        <x:v>401</x:v>
      </x:c>
      <x:c r="M1923" s="16" t="n">
        <x:v>104</x:v>
      </x:c>
      <x:c r="N1923" s="16" t="n">
        <x:v>22</x:v>
      </x:c>
      <x:c r="O1923" s="16" t="n">
        <x:v>22</x:v>
      </x:c>
      <x:c r="P1923" s="16" t="n">
        <x:v>3</x:v>
      </x:c>
      <x:c r="Q1923" s="16" t="n">
        <x:v>11</x:v>
      </x:c>
      <x:c r="R1923" s="16" t="n">
        <x:v>5</x:v>
      </x:c>
      <x:c r="S1923" s="16" t="n">
        <x:v>11</x:v>
      </x:c>
      <x:c r="T1923" s="16" t="n">
        <x:v>5</x:v>
      </x:c>
      <x:c r="U1923" s="16" t="n">
        <x:v>0</x:v>
      </x:c>
      <x:c r="V1923" s="16" t="n">
        <x:v>0</x:v>
      </x:c>
      <x:c r="W1923" s="16" t="n">
        <x:v>0</x:v>
      </x:c>
      <x:c r="X1923" s="16" t="n">
        <x:v>0</x:v>
      </x:c>
      <x:c r="Y1923" s="16" t="n">
        <x:v>0</x:v>
      </x:c>
      <x:c r="Z1923" s="16" t="n">
        <x:v>1</x:v>
      </x:c>
      <x:c r="AA1923" s="16" t="n">
        <x:v>3</x:v>
      </x:c>
      <x:c r="AB1923" s="16" t="n">
        <x:v>11</x:v>
      </x:c>
      <x:c r="AC1923" s="16" t="n">
        <x:v>0</x:v>
      </x:c>
      <x:c r="AD1923" s="21" t="n">
        <x:f>IF(E1923="",MEDIAN($E$2:$E$2237),E1923)</x:f>
        <x:v>80982</x:v>
      </x:c>
      <x:c r="AE1923" s="17" t="n">
        <x:f>2014-B1923</x:f>
        <x:v>55</x:v>
      </x:c>
      <x:c r="AF1923" s="17" t="n">
        <x:f>F1923+G1923</x:f>
        <x:v>2</x:v>
      </x:c>
      <x:c r="AG1923" s="21" t="n">
        <x:f>SUM(J1923:O1923)</x:f>
        <x:v>1191</x:v>
      </x:c>
      <x:c r="AH1923" s="17" t="n">
        <x:f>SUM(Q1923:S1923)</x:f>
        <x:v>27</x:v>
      </x:c>
      <x:c r="AI1923" s="17" t="n">
        <x:f>SUM(U1923:Y1923)</x:f>
        <x:v>0</x:v>
      </x:c>
      <x:c r="AJ1923" s="17" t="str">
        <x:f>IF(AE1923&lt;=34,"≤34",IF(AE1923&lt;=44,"35–44",IF(AE1923&lt;=54,"45–54",IF(AE1923&lt;=64,"55–64","65+"))))</x:f>
        <x:v>55–64</x:v>
      </x:c>
      <x:c r="AK1923" s="17" t="str">
        <x:f>IF(AG1923&gt;=1000,"High Value",IF(AG1923&gt;=300,"Mid Value","Low Value"))</x:f>
        <x:v>High Value</x:v>
      </x:c>
      <x:c r="AL1923" s="17" t="str">
        <x:f>IF(AND(AI1923&gt;=1,I1923&lt;=50),"Priority 1",IF(AND(AG1923&gt;=1000,I1923&lt;=60),"Priority 2",IF(I1923&lt;=30,"Priority 3","Nurture")))</x:f>
        <x:v>Priority 2</x:v>
      </x:c>
    </x:row>
    <x:row r="1924">
      <x:c r="A1924" s="16" t="n">
        <x:v>3112</x:v>
      </x:c>
      <x:c r="B1924" s="16" t="n">
        <x:v>1977</x:v>
      </x:c>
      <x:c r="C1924" s="16" t="str">
        <x:v>Master</x:v>
      </x:c>
      <x:c r="D1924" s="16" t="str">
        <x:v>Married</x:v>
      </x:c>
      <x:c r="E1924" s="16" t="n">
        <x:v>22701</x:v>
      </x:c>
      <x:c r="F1924" s="16" t="n">
        <x:v>1</x:v>
      </x:c>
      <x:c r="G1924" s="16" t="n">
        <x:v>0</x:v>
      </x:c>
      <x:c r="H1924" s="16" t="str">
        <x:v>05-09-2013</x:v>
      </x:c>
      <x:c r="I1924" s="16" t="n">
        <x:v>2</x:v>
      </x:c>
      <x:c r="J1924" s="16" t="n">
        <x:v>2</x:v>
      </x:c>
      <x:c r="K1924" s="16" t="n">
        <x:v>4</x:v>
      </x:c>
      <x:c r="L1924" s="16" t="n">
        <x:v>9</x:v>
      </x:c>
      <x:c r="M1924" s="16" t="n">
        <x:v>0</x:v>
      </x:c>
      <x:c r="N1924" s="16" t="n">
        <x:v>4</x:v>
      </x:c>
      <x:c r="O1924" s="16" t="n">
        <x:v>5</x:v>
      </x:c>
      <x:c r="P1924" s="16" t="n">
        <x:v>1</x:v>
      </x:c>
      <x:c r="Q1924" s="16" t="n">
        <x:v>1</x:v>
      </x:c>
      <x:c r="R1924" s="16" t="n">
        <x:v>0</x:v>
      </x:c>
      <x:c r="S1924" s="16" t="n">
        <x:v>3</x:v>
      </x:c>
      <x:c r="T1924" s="16" t="n">
        <x:v>5</x:v>
      </x:c>
      <x:c r="U1924" s="16" t="n">
        <x:v>0</x:v>
      </x:c>
      <x:c r="V1924" s="16" t="n">
        <x:v>0</x:v>
      </x:c>
      <x:c r="W1924" s="16" t="n">
        <x:v>0</x:v>
      </x:c>
      <x:c r="X1924" s="16" t="n">
        <x:v>0</x:v>
      </x:c>
      <x:c r="Y1924" s="16" t="n">
        <x:v>0</x:v>
      </x:c>
      <x:c r="Z1924" s="16" t="n">
        <x:v>0</x:v>
      </x:c>
      <x:c r="AA1924" s="16" t="n">
        <x:v>3</x:v>
      </x:c>
      <x:c r="AB1924" s="16" t="n">
        <x:v>11</x:v>
      </x:c>
      <x:c r="AC1924" s="16" t="n">
        <x:v>0</x:v>
      </x:c>
      <x:c r="AD1924" s="21" t="n">
        <x:f>IF(E1924="",MEDIAN($E$2:$E$2237),E1924)</x:f>
        <x:v>22701</x:v>
      </x:c>
      <x:c r="AE1924" s="17" t="n">
        <x:f>2014-B1924</x:f>
        <x:v>37</x:v>
      </x:c>
      <x:c r="AF1924" s="17" t="n">
        <x:f>F1924+G1924</x:f>
        <x:v>1</x:v>
      </x:c>
      <x:c r="AG1924" s="21" t="n">
        <x:f>SUM(J1924:O1924)</x:f>
        <x:v>24</x:v>
      </x:c>
      <x:c r="AH1924" s="17" t="n">
        <x:f>SUM(Q1924:S1924)</x:f>
        <x:v>4</x:v>
      </x:c>
      <x:c r="AI1924" s="17" t="n">
        <x:f>SUM(U1924:Y1924)</x:f>
        <x:v>0</x:v>
      </x:c>
      <x:c r="AJ1924" s="17" t="str">
        <x:f>IF(AE1924&lt;=34,"≤34",IF(AE1924&lt;=44,"35–44",IF(AE1924&lt;=54,"45–54",IF(AE1924&lt;=64,"55–64","65+"))))</x:f>
        <x:v>35–44</x:v>
      </x:c>
      <x:c r="AK1924" s="17" t="str">
        <x:f>IF(AG1924&gt;=1000,"High Value",IF(AG1924&gt;=300,"Mid Value","Low Value"))</x:f>
        <x:v>Low Value</x:v>
      </x:c>
      <x:c r="AL1924" s="17" t="str">
        <x:f>IF(AND(AI1924&gt;=1,I1924&lt;=50),"Priority 1",IF(AND(AG1924&gt;=1000,I1924&lt;=60),"Priority 2",IF(I1924&lt;=30,"Priority 3","Nurture")))</x:f>
        <x:v>Priority 3</x:v>
      </x:c>
    </x:row>
    <x:row r="1925">
      <x:c r="A1925" s="16" t="n">
        <x:v>10872</x:v>
      </x:c>
      <x:c r="B1925" s="16" t="n">
        <x:v>1969</x:v>
      </x:c>
      <x:c r="C1925" s="16" t="str">
        <x:v>PhD</x:v>
      </x:c>
      <x:c r="D1925" s="16" t="str">
        <x:v>Married</x:v>
      </x:c>
      <x:c r="E1925" s="16" t="n">
        <x:v>55212</x:v>
      </x:c>
      <x:c r="F1925" s="16" t="n">
        <x:v>0</x:v>
      </x:c>
      <x:c r="G1925" s="16" t="n">
        <x:v>1</x:v>
      </x:c>
      <x:c r="H1925" s="16" t="str">
        <x:v>23-11-2012</x:v>
      </x:c>
      <x:c r="I1925" s="16" t="n">
        <x:v>65</x:v>
      </x:c>
      <x:c r="J1925" s="16" t="n">
        <x:v>1103</x:v>
      </x:c>
      <x:c r="K1925" s="16" t="n">
        <x:v>0</x:v>
      </x:c>
      <x:c r="L1925" s="16" t="n">
        <x:v>45</x:v>
      </x:c>
      <x:c r="M1925" s="16" t="n">
        <x:v>0</x:v>
      </x:c>
      <x:c r="N1925" s="16" t="n">
        <x:v>0</x:v>
      </x:c>
      <x:c r="O1925" s="16" t="n">
        <x:v>34</x:v>
      </x:c>
      <x:c r="P1925" s="16" t="n">
        <x:v>3</x:v>
      </x:c>
      <x:c r="Q1925" s="16" t="n">
        <x:v>4</x:v>
      </x:c>
      <x:c r="R1925" s="16" t="n">
        <x:v>2</x:v>
      </x:c>
      <x:c r="S1925" s="16" t="n">
        <x:v>11</x:v>
      </x:c>
      <x:c r="T1925" s="16" t="n">
        <x:v>8</x:v>
      </x:c>
      <x:c r="U1925" s="16" t="n">
        <x:v>0</x:v>
      </x:c>
      <x:c r="V1925" s="16" t="n">
        <x:v>1</x:v>
      </x:c>
      <x:c r="W1925" s="16" t="n">
        <x:v>0</x:v>
      </x:c>
      <x:c r="X1925" s="16" t="n">
        <x:v>0</x:v>
      </x:c>
      <x:c r="Y1925" s="16" t="n">
        <x:v>1</x:v>
      </x:c>
      <x:c r="Z1925" s="16" t="n">
        <x:v>0</x:v>
      </x:c>
      <x:c r="AA1925" s="16" t="n">
        <x:v>3</x:v>
      </x:c>
      <x:c r="AB1925" s="16" t="n">
        <x:v>11</x:v>
      </x:c>
      <x:c r="AC1925" s="16" t="n">
        <x:v>0</x:v>
      </x:c>
      <x:c r="AD1925" s="21" t="n">
        <x:f>IF(E1925="",MEDIAN($E$2:$E$2237),E1925)</x:f>
        <x:v>55212</x:v>
      </x:c>
      <x:c r="AE1925" s="17" t="n">
        <x:f>2014-B1925</x:f>
        <x:v>45</x:v>
      </x:c>
      <x:c r="AF1925" s="17" t="n">
        <x:f>F1925+G1925</x:f>
        <x:v>1</x:v>
      </x:c>
      <x:c r="AG1925" s="21" t="n">
        <x:f>SUM(J1925:O1925)</x:f>
        <x:v>1182</x:v>
      </x:c>
      <x:c r="AH1925" s="17" t="n">
        <x:f>SUM(Q1925:S1925)</x:f>
        <x:v>17</x:v>
      </x:c>
      <x:c r="AI1925" s="17" t="n">
        <x:f>SUM(U1925:Y1925)</x:f>
        <x:v>2</x:v>
      </x:c>
      <x:c r="AJ1925" s="17" t="str">
        <x:f>IF(AE1925&lt;=34,"≤34",IF(AE1925&lt;=44,"35–44",IF(AE1925&lt;=54,"45–54",IF(AE1925&lt;=64,"55–64","65+"))))</x:f>
        <x:v>45–54</x:v>
      </x:c>
      <x:c r="AK1925" s="17" t="str">
        <x:f>IF(AG1925&gt;=1000,"High Value",IF(AG1925&gt;=300,"Mid Value","Low Value"))</x:f>
        <x:v>High Value</x:v>
      </x:c>
      <x:c r="AL1925" s="17" t="str">
        <x:f>IF(AND(AI1925&gt;=1,I1925&lt;=50),"Priority 1",IF(AND(AG1925&gt;=1000,I1925&lt;=60),"Priority 2",IF(I1925&lt;=30,"Priority 3","Nurture")))</x:f>
        <x:v>Nurture</x:v>
      </x:c>
    </x:row>
    <x:row r="1926">
      <x:c r="A1926" s="16" t="n">
        <x:v>2181</x:v>
      </x:c>
      <x:c r="B1926" s="16" t="n">
        <x:v>1970</x:v>
      </x:c>
      <x:c r="C1926" s="16" t="str">
        <x:v>Graduation</x:v>
      </x:c>
      <x:c r="D1926" s="16" t="str">
        <x:v>Married</x:v>
      </x:c>
      <x:c r="E1926" s="16" t="n">
        <x:v>70617</x:v>
      </x:c>
      <x:c r="F1926" s="16" t="n">
        <x:v>0</x:v>
      </x:c>
      <x:c r="G1926" s="16" t="n">
        <x:v>0</x:v>
      </x:c>
      <x:c r="H1926" s="16" t="str">
        <x:v>23-06-2013</x:v>
      </x:c>
      <x:c r="I1926" s="16" t="n">
        <x:v>45</x:v>
      </x:c>
      <x:c r="J1926" s="16" t="n">
        <x:v>353</x:v>
      </x:c>
      <x:c r="K1926" s="16" t="n">
        <x:v>61</x:v>
      </x:c>
      <x:c r="L1926" s="16" t="n">
        <x:v>753</x:v>
      </x:c>
      <x:c r="M1926" s="16" t="n">
        <x:v>40</x:v>
      </x:c>
      <x:c r="N1926" s="16" t="n">
        <x:v>46</x:v>
      </x:c>
      <x:c r="O1926" s="16" t="n">
        <x:v>27</x:v>
      </x:c>
      <x:c r="P1926" s="16" t="n">
        <x:v>1</x:v>
      </x:c>
      <x:c r="Q1926" s="16" t="n">
        <x:v>3</x:v>
      </x:c>
      <x:c r="R1926" s="16" t="n">
        <x:v>3</x:v>
      </x:c>
      <x:c r="S1926" s="16" t="n">
        <x:v>7</x:v>
      </x:c>
      <x:c r="T1926" s="16" t="n">
        <x:v>2</x:v>
      </x:c>
      <x:c r="U1926" s="16" t="n">
        <x:v>0</x:v>
      </x:c>
      <x:c r="V1926" s="16" t="n">
        <x:v>0</x:v>
      </x:c>
      <x:c r="W1926" s="16" t="n">
        <x:v>0</x:v>
      </x:c>
      <x:c r="X1926" s="16" t="n">
        <x:v>0</x:v>
      </x:c>
      <x:c r="Y1926" s="16" t="n">
        <x:v>0</x:v>
      </x:c>
      <x:c r="Z1926" s="16" t="n">
        <x:v>0</x:v>
      </x:c>
      <x:c r="AA1926" s="16" t="n">
        <x:v>3</x:v>
      </x:c>
      <x:c r="AB1926" s="16" t="n">
        <x:v>11</x:v>
      </x:c>
      <x:c r="AC1926" s="16" t="n">
        <x:v>0</x:v>
      </x:c>
      <x:c r="AD1926" s="21" t="n">
        <x:f>IF(E1926="",MEDIAN($E$2:$E$2237),E1926)</x:f>
        <x:v>70617</x:v>
      </x:c>
      <x:c r="AE1926" s="17" t="n">
        <x:f>2014-B1926</x:f>
        <x:v>44</x:v>
      </x:c>
      <x:c r="AF1926" s="17" t="n">
        <x:f>F1926+G1926</x:f>
        <x:v>0</x:v>
      </x:c>
      <x:c r="AG1926" s="21" t="n">
        <x:f>SUM(J1926:O1926)</x:f>
        <x:v>1280</x:v>
      </x:c>
      <x:c r="AH1926" s="17" t="n">
        <x:f>SUM(Q1926:S1926)</x:f>
        <x:v>13</x:v>
      </x:c>
      <x:c r="AI1926" s="17" t="n">
        <x:f>SUM(U1926:Y1926)</x:f>
        <x:v>0</x:v>
      </x:c>
      <x:c r="AJ1926" s="17" t="str">
        <x:f>IF(AE1926&lt;=34,"≤34",IF(AE1926&lt;=44,"35–44",IF(AE1926&lt;=54,"45–54",IF(AE1926&lt;=64,"55–64","65+"))))</x:f>
        <x:v>35–44</x:v>
      </x:c>
      <x:c r="AK1926" s="17" t="str">
        <x:f>IF(AG1926&gt;=1000,"High Value",IF(AG1926&gt;=300,"Mid Value","Low Value"))</x:f>
        <x:v>High Value</x:v>
      </x:c>
      <x:c r="AL1926" s="17" t="str">
        <x:f>IF(AND(AI1926&gt;=1,I1926&lt;=50),"Priority 1",IF(AND(AG1926&gt;=1000,I1926&lt;=60),"Priority 2",IF(I1926&lt;=30,"Priority 3","Nurture")))</x:f>
        <x:v>Priority 2</x:v>
      </x:c>
    </x:row>
    <x:row r="1927">
      <x:c r="A1927" s="16" t="n">
        <x:v>1867</x:v>
      </x:c>
      <x:c r="B1927" s="16" t="n">
        <x:v>1957</x:v>
      </x:c>
      <x:c r="C1927" s="16" t="str">
        <x:v>Graduation</x:v>
      </x:c>
      <x:c r="D1927" s="16" t="str">
        <x:v>Single</x:v>
      </x:c>
      <x:c r="E1927" s="16" t="n">
        <x:v>64849</x:v>
      </x:c>
      <x:c r="F1927" s="16" t="n">
        <x:v>0</x:v>
      </x:c>
      <x:c r="G1927" s="16" t="n">
        <x:v>0</x:v>
      </x:c>
      <x:c r="H1927" s="16" t="str">
        <x:v>13-11-2012</x:v>
      </x:c>
      <x:c r="I1927" s="16" t="n">
        <x:v>42</x:v>
      </x:c>
      <x:c r="J1927" s="16" t="n">
        <x:v>652</x:v>
      </x:c>
      <x:c r="K1927" s="16" t="n">
        <x:v>48</x:v>
      </x:c>
      <x:c r="L1927" s="16" t="n">
        <x:v>350</x:v>
      </x:c>
      <x:c r="M1927" s="16" t="n">
        <x:v>94</x:v>
      </x:c>
      <x:c r="N1927" s="16" t="n">
        <x:v>84</x:v>
      </x:c>
      <x:c r="O1927" s="16" t="n">
        <x:v>108</x:v>
      </x:c>
      <x:c r="P1927" s="16" t="n">
        <x:v>1</x:v>
      </x:c>
      <x:c r="Q1927" s="16" t="n">
        <x:v>9</x:v>
      </x:c>
      <x:c r="R1927" s="16" t="n">
        <x:v>3</x:v>
      </x:c>
      <x:c r="S1927" s="16" t="n">
        <x:v>6</x:v>
      </x:c>
      <x:c r="T1927" s="16" t="n">
        <x:v>5</x:v>
      </x:c>
      <x:c r="U1927" s="16" t="n">
        <x:v>0</x:v>
      </x:c>
      <x:c r="V1927" s="16" t="n">
        <x:v>0</x:v>
      </x:c>
      <x:c r="W1927" s="16" t="n">
        <x:v>0</x:v>
      </x:c>
      <x:c r="X1927" s="16" t="n">
        <x:v>0</x:v>
      </x:c>
      <x:c r="Y1927" s="16" t="n">
        <x:v>0</x:v>
      </x:c>
      <x:c r="Z1927" s="16" t="n">
        <x:v>0</x:v>
      </x:c>
      <x:c r="AA1927" s="16" t="n">
        <x:v>3</x:v>
      </x:c>
      <x:c r="AB1927" s="16" t="n">
        <x:v>11</x:v>
      </x:c>
      <x:c r="AC1927" s="16" t="n">
        <x:v>1</x:v>
      </x:c>
      <x:c r="AD1927" s="21" t="n">
        <x:f>IF(E1927="",MEDIAN($E$2:$E$2237),E1927)</x:f>
        <x:v>64849</x:v>
      </x:c>
      <x:c r="AE1927" s="17" t="n">
        <x:f>2014-B1927</x:f>
        <x:v>57</x:v>
      </x:c>
      <x:c r="AF1927" s="17" t="n">
        <x:f>F1927+G1927</x:f>
        <x:v>0</x:v>
      </x:c>
      <x:c r="AG1927" s="21" t="n">
        <x:f>SUM(J1927:O1927)</x:f>
        <x:v>1336</x:v>
      </x:c>
      <x:c r="AH1927" s="17" t="n">
        <x:f>SUM(Q1927:S1927)</x:f>
        <x:v>18</x:v>
      </x:c>
      <x:c r="AI1927" s="17" t="n">
        <x:f>SUM(U1927:Y1927)</x:f>
        <x:v>0</x:v>
      </x:c>
      <x:c r="AJ1927" s="17" t="str">
        <x:f>IF(AE1927&lt;=34,"≤34",IF(AE1927&lt;=44,"35–44",IF(AE1927&lt;=54,"45–54",IF(AE1927&lt;=64,"55–64","65+"))))</x:f>
        <x:v>55–64</x:v>
      </x:c>
      <x:c r="AK1927" s="17" t="str">
        <x:f>IF(AG1927&gt;=1000,"High Value",IF(AG1927&gt;=300,"Mid Value","Low Value"))</x:f>
        <x:v>High Value</x:v>
      </x:c>
      <x:c r="AL1927" s="17" t="str">
        <x:f>IF(AND(AI1927&gt;=1,I1927&lt;=50),"Priority 1",IF(AND(AG1927&gt;=1000,I1927&lt;=60),"Priority 2",IF(I1927&lt;=30,"Priority 3","Nurture")))</x:f>
        <x:v>Priority 2</x:v>
      </x:c>
    </x:row>
    <x:row r="1928">
      <x:c r="A1928" s="16" t="n">
        <x:v>1518</x:v>
      </x:c>
      <x:c r="B1928" s="16" t="n">
        <x:v>1965</x:v>
      </x:c>
      <x:c r="C1928" s="16" t="str">
        <x:v>Master</x:v>
      </x:c>
      <x:c r="D1928" s="16" t="str">
        <x:v>Married</x:v>
      </x:c>
      <x:c r="E1928" s="16" t="n">
        <x:v>62694</x:v>
      </x:c>
      <x:c r="F1928" s="16" t="n">
        <x:v>1</x:v>
      </x:c>
      <x:c r="G1928" s="16" t="n">
        <x:v>1</x:v>
      </x:c>
      <x:c r="H1928" s="16" t="str">
        <x:v>17-06-2013</x:v>
      </x:c>
      <x:c r="I1928" s="16" t="n">
        <x:v>29</x:v>
      </x:c>
      <x:c r="J1928" s="16" t="n">
        <x:v>379</x:v>
      </x:c>
      <x:c r="K1928" s="16" t="n">
        <x:v>6</x:v>
      </x:c>
      <x:c r="L1928" s="16" t="n">
        <x:v>157</x:v>
      </x:c>
      <x:c r="M1928" s="16" t="n">
        <x:v>25</x:v>
      </x:c>
      <x:c r="N1928" s="16" t="n">
        <x:v>91</x:v>
      </x:c>
      <x:c r="O1928" s="16" t="n">
        <x:v>91</x:v>
      </x:c>
      <x:c r="P1928" s="16" t="n">
        <x:v>5</x:v>
      </x:c>
      <x:c r="Q1928" s="16" t="n">
        <x:v>9</x:v>
      </x:c>
      <x:c r="R1928" s="16" t="n">
        <x:v>3</x:v>
      </x:c>
      <x:c r="S1928" s="16" t="n">
        <x:v>7</x:v>
      </x:c>
      <x:c r="T1928" s="16" t="n">
        <x:v>7</x:v>
      </x:c>
      <x:c r="U1928" s="16" t="n">
        <x:v>0</x:v>
      </x:c>
      <x:c r="V1928" s="16" t="n">
        <x:v>0</x:v>
      </x:c>
      <x:c r="W1928" s="16" t="n">
        <x:v>0</x:v>
      </x:c>
      <x:c r="X1928" s="16" t="n">
        <x:v>0</x:v>
      </x:c>
      <x:c r="Y1928" s="16" t="n">
        <x:v>0</x:v>
      </x:c>
      <x:c r="Z1928" s="16" t="n">
        <x:v>0</x:v>
      </x:c>
      <x:c r="AA1928" s="16" t="n">
        <x:v>3</x:v>
      </x:c>
      <x:c r="AB1928" s="16" t="n">
        <x:v>11</x:v>
      </x:c>
      <x:c r="AC1928" s="16" t="n">
        <x:v>0</x:v>
      </x:c>
      <x:c r="AD1928" s="21" t="n">
        <x:f>IF(E1928="",MEDIAN($E$2:$E$2237),E1928)</x:f>
        <x:v>62694</x:v>
      </x:c>
      <x:c r="AE1928" s="17" t="n">
        <x:f>2014-B1928</x:f>
        <x:v>49</x:v>
      </x:c>
      <x:c r="AF1928" s="17" t="n">
        <x:f>F1928+G1928</x:f>
        <x:v>2</x:v>
      </x:c>
      <x:c r="AG1928" s="21" t="n">
        <x:f>SUM(J1928:O1928)</x:f>
        <x:v>749</x:v>
      </x:c>
      <x:c r="AH1928" s="17" t="n">
        <x:f>SUM(Q1928:S1928)</x:f>
        <x:v>19</x:v>
      </x:c>
      <x:c r="AI1928" s="17" t="n">
        <x:f>SUM(U1928:Y1928)</x:f>
        <x:v>0</x:v>
      </x:c>
      <x:c r="AJ1928" s="17" t="str">
        <x:f>IF(AE1928&lt;=34,"≤34",IF(AE1928&lt;=44,"35–44",IF(AE1928&lt;=54,"45–54",IF(AE1928&lt;=64,"55–64","65+"))))</x:f>
        <x:v>45–54</x:v>
      </x:c>
      <x:c r="AK1928" s="17" t="str">
        <x:f>IF(AG1928&gt;=1000,"High Value",IF(AG1928&gt;=300,"Mid Value","Low Value"))</x:f>
        <x:v>Mid Value</x:v>
      </x:c>
      <x:c r="AL1928" s="17" t="str">
        <x:f>IF(AND(AI1928&gt;=1,I1928&lt;=50),"Priority 1",IF(AND(AG1928&gt;=1000,I1928&lt;=60),"Priority 2",IF(I1928&lt;=30,"Priority 3","Nurture")))</x:f>
        <x:v>Priority 3</x:v>
      </x:c>
    </x:row>
    <x:row r="1929">
      <x:c r="A1929" s="16" t="n">
        <x:v>5734</x:v>
      </x:c>
      <x:c r="B1929" s="16" t="n">
        <x:v>1974</x:v>
      </x:c>
      <x:c r="C1929" s="16" t="str">
        <x:v>PhD</x:v>
      </x:c>
      <x:c r="D1929" s="16" t="str">
        <x:v>Married</x:v>
      </x:c>
      <x:c r="E1929" s="16" t="n">
        <x:v>61917</x:v>
      </x:c>
      <x:c r="F1929" s="16" t="n">
        <x:v>1</x:v>
      </x:c>
      <x:c r="G1929" s="16" t="n">
        <x:v>1</x:v>
      </x:c>
      <x:c r="H1929" s="16" t="str">
        <x:v>20-11-2013</x:v>
      </x:c>
      <x:c r="I1929" s="16" t="n">
        <x:v>83</x:v>
      </x:c>
      <x:c r="J1929" s="16" t="n">
        <x:v>46</x:v>
      </x:c>
      <x:c r="K1929" s="16" t="n">
        <x:v>4</x:v>
      </x:c>
      <x:c r="L1929" s="16" t="n">
        <x:v>36</x:v>
      </x:c>
      <x:c r="M1929" s="16" t="n">
        <x:v>2</x:v>
      </x:c>
      <x:c r="N1929" s="16" t="n">
        <x:v>2</x:v>
      </x:c>
      <x:c r="O1929" s="16" t="n">
        <x:v>1</x:v>
      </x:c>
      <x:c r="P1929" s="16" t="n">
        <x:v>1</x:v>
      </x:c>
      <x:c r="Q1929" s="16" t="n">
        <x:v>2</x:v>
      </x:c>
      <x:c r="R1929" s="16" t="n">
        <x:v>0</x:v>
      </x:c>
      <x:c r="S1929" s="16" t="n">
        <x:v>4</x:v>
      </x:c>
      <x:c r="T1929" s="16" t="n">
        <x:v>5</x:v>
      </x:c>
      <x:c r="U1929" s="16" t="n">
        <x:v>0</x:v>
      </x:c>
      <x:c r="V1929" s="16" t="n">
        <x:v>0</x:v>
      </x:c>
      <x:c r="W1929" s="16" t="n">
        <x:v>0</x:v>
      </x:c>
      <x:c r="X1929" s="16" t="n">
        <x:v>0</x:v>
      </x:c>
      <x:c r="Y1929" s="16" t="n">
        <x:v>0</x:v>
      </x:c>
      <x:c r="Z1929" s="16" t="n">
        <x:v>0</x:v>
      </x:c>
      <x:c r="AA1929" s="16" t="n">
        <x:v>3</x:v>
      </x:c>
      <x:c r="AB1929" s="16" t="n">
        <x:v>11</x:v>
      </x:c>
      <x:c r="AC1929" s="16" t="n">
        <x:v>0</x:v>
      </x:c>
      <x:c r="AD1929" s="21" t="n">
        <x:f>IF(E1929="",MEDIAN($E$2:$E$2237),E1929)</x:f>
        <x:v>61917</x:v>
      </x:c>
      <x:c r="AE1929" s="17" t="n">
        <x:f>2014-B1929</x:f>
        <x:v>40</x:v>
      </x:c>
      <x:c r="AF1929" s="17" t="n">
        <x:f>F1929+G1929</x:f>
        <x:v>2</x:v>
      </x:c>
      <x:c r="AG1929" s="21" t="n">
        <x:f>SUM(J1929:O1929)</x:f>
        <x:v>91</x:v>
      </x:c>
      <x:c r="AH1929" s="17" t="n">
        <x:f>SUM(Q1929:S1929)</x:f>
        <x:v>6</x:v>
      </x:c>
      <x:c r="AI1929" s="17" t="n">
        <x:f>SUM(U1929:Y1929)</x:f>
        <x:v>0</x:v>
      </x:c>
      <x:c r="AJ1929" s="17" t="str">
        <x:f>IF(AE1929&lt;=34,"≤34",IF(AE1929&lt;=44,"35–44",IF(AE1929&lt;=54,"45–54",IF(AE1929&lt;=64,"55–64","65+"))))</x:f>
        <x:v>35–44</x:v>
      </x:c>
      <x:c r="AK1929" s="17" t="str">
        <x:f>IF(AG1929&gt;=1000,"High Value",IF(AG1929&gt;=300,"Mid Value","Low Value"))</x:f>
        <x:v>Low Value</x:v>
      </x:c>
      <x:c r="AL1929" s="17" t="str">
        <x:f>IF(AND(AI1929&gt;=1,I1929&lt;=50),"Priority 1",IF(AND(AG1929&gt;=1000,I1929&lt;=60),"Priority 2",IF(I1929&lt;=30,"Priority 3","Nurture")))</x:f>
        <x:v>Nurture</x:v>
      </x:c>
    </x:row>
    <x:row r="1930">
      <x:c r="A1930" s="16" t="n">
        <x:v>2878</x:v>
      </x:c>
      <x:c r="B1930" s="16" t="n">
        <x:v>1947</x:v>
      </x:c>
      <x:c r="C1930" s="16" t="str">
        <x:v>PhD</x:v>
      </x:c>
      <x:c r="D1930" s="16" t="str">
        <x:v>Married</x:v>
      </x:c>
      <x:c r="E1930" s="16" t="n">
        <x:v>67472</x:v>
      </x:c>
      <x:c r="F1930" s="16" t="n">
        <x:v>0</x:v>
      </x:c>
      <x:c r="G1930" s="16" t="n">
        <x:v>1</x:v>
      </x:c>
      <x:c r="H1930" s="16" t="str">
        <x:v>28-09-2013</x:v>
      </x:c>
      <x:c r="I1930" s="16" t="n">
        <x:v>93</x:v>
      </x:c>
      <x:c r="J1930" s="16" t="n">
        <x:v>162</x:v>
      </x:c>
      <x:c r="K1930" s="16" t="n">
        <x:v>31</x:v>
      </x:c>
      <x:c r="L1930" s="16" t="n">
        <x:v>127</x:v>
      </x:c>
      <x:c r="M1930" s="16" t="n">
        <x:v>8</x:v>
      </x:c>
      <x:c r="N1930" s="16" t="n">
        <x:v>17</x:v>
      </x:c>
      <x:c r="O1930" s="16" t="n">
        <x:v>69</x:v>
      </x:c>
      <x:c r="P1930" s="16" t="n">
        <x:v>2</x:v>
      </x:c>
      <x:c r="Q1930" s="16" t="n">
        <x:v>4</x:v>
      </x:c>
      <x:c r="R1930" s="16" t="n">
        <x:v>2</x:v>
      </x:c>
      <x:c r="S1930" s="16" t="n">
        <x:v>7</x:v>
      </x:c>
      <x:c r="T1930" s="16" t="n">
        <x:v>3</x:v>
      </x:c>
      <x:c r="U1930" s="16" t="n">
        <x:v>0</x:v>
      </x:c>
      <x:c r="V1930" s="16" t="n">
        <x:v>0</x:v>
      </x:c>
      <x:c r="W1930" s="16" t="n">
        <x:v>0</x:v>
      </x:c>
      <x:c r="X1930" s="16" t="n">
        <x:v>0</x:v>
      </x:c>
      <x:c r="Y1930" s="16" t="n">
        <x:v>0</x:v>
      </x:c>
      <x:c r="Z1930" s="16" t="n">
        <x:v>0</x:v>
      </x:c>
      <x:c r="AA1930" s="16" t="n">
        <x:v>3</x:v>
      </x:c>
      <x:c r="AB1930" s="16" t="n">
        <x:v>11</x:v>
      </x:c>
      <x:c r="AC1930" s="16" t="n">
        <x:v>0</x:v>
      </x:c>
      <x:c r="AD1930" s="21" t="n">
        <x:f>IF(E1930="",MEDIAN($E$2:$E$2237),E1930)</x:f>
        <x:v>67472</x:v>
      </x:c>
      <x:c r="AE1930" s="17" t="n">
        <x:f>2014-B1930</x:f>
        <x:v>67</x:v>
      </x:c>
      <x:c r="AF1930" s="17" t="n">
        <x:f>F1930+G1930</x:f>
        <x:v>1</x:v>
      </x:c>
      <x:c r="AG1930" s="21" t="n">
        <x:f>SUM(J1930:O1930)</x:f>
        <x:v>414</x:v>
      </x:c>
      <x:c r="AH1930" s="17" t="n">
        <x:f>SUM(Q1930:S1930)</x:f>
        <x:v>13</x:v>
      </x:c>
      <x:c r="AI1930" s="17" t="n">
        <x:f>SUM(U1930:Y1930)</x:f>
        <x:v>0</x:v>
      </x:c>
      <x:c r="AJ1930" s="17" t="str">
        <x:f>IF(AE1930&lt;=34,"≤34",IF(AE1930&lt;=44,"35–44",IF(AE1930&lt;=54,"45–54",IF(AE1930&lt;=64,"55–64","65+"))))</x:f>
        <x:v>65+</x:v>
      </x:c>
      <x:c r="AK1930" s="17" t="str">
        <x:f>IF(AG1930&gt;=1000,"High Value",IF(AG1930&gt;=300,"Mid Value","Low Value"))</x:f>
        <x:v>Mid Value</x:v>
      </x:c>
      <x:c r="AL1930" s="17" t="str">
        <x:f>IF(AND(AI1930&gt;=1,I1930&lt;=50),"Priority 1",IF(AND(AG1930&gt;=1000,I1930&lt;=60),"Priority 2",IF(I1930&lt;=30,"Priority 3","Nurture")))</x:f>
        <x:v>Nurture</x:v>
      </x:c>
    </x:row>
    <x:row r="1931">
      <x:c r="A1931" s="16" t="n">
        <x:v>1458</x:v>
      </x:c>
      <x:c r="B1931" s="16" t="n">
        <x:v>1982</x:v>
      </x:c>
      <x:c r="C1931" s="16" t="str">
        <x:v>Master</x:v>
      </x:c>
      <x:c r="D1931" s="16" t="str">
        <x:v>Married</x:v>
      </x:c>
      <x:c r="E1931" s="16" t="n">
        <x:v>21059</x:v>
      </x:c>
      <x:c r="F1931" s="16" t="n">
        <x:v>1</x:v>
      </x:c>
      <x:c r="G1931" s="16" t="n">
        <x:v>0</x:v>
      </x:c>
      <x:c r="H1931" s="16" t="str">
        <x:v>07-01-2014</x:v>
      </x:c>
      <x:c r="I1931" s="16" t="n">
        <x:v>40</x:v>
      </x:c>
      <x:c r="J1931" s="16" t="n">
        <x:v>8</x:v>
      </x:c>
      <x:c r="K1931" s="16" t="n">
        <x:v>3</x:v>
      </x:c>
      <x:c r="L1931" s="16" t="n">
        <x:v>19</x:v>
      </x:c>
      <x:c r="M1931" s="16" t="n">
        <x:v>3</x:v>
      </x:c>
      <x:c r="N1931" s="16" t="n">
        <x:v>3</x:v>
      </x:c>
      <x:c r="O1931" s="16" t="n">
        <x:v>8</x:v>
      </x:c>
      <x:c r="P1931" s="16" t="n">
        <x:v>3</x:v>
      </x:c>
      <x:c r="Q1931" s="16" t="n">
        <x:v>3</x:v>
      </x:c>
      <x:c r="R1931" s="16" t="n">
        <x:v>0</x:v>
      </x:c>
      <x:c r="S1931" s="16" t="n">
        <x:v>3</x:v>
      </x:c>
      <x:c r="T1931" s="16" t="n">
        <x:v>6</x:v>
      </x:c>
      <x:c r="U1931" s="16" t="n">
        <x:v>0</x:v>
      </x:c>
      <x:c r="V1931" s="16" t="n">
        <x:v>0</x:v>
      </x:c>
      <x:c r="W1931" s="16" t="n">
        <x:v>0</x:v>
      </x:c>
      <x:c r="X1931" s="16" t="n">
        <x:v>0</x:v>
      </x:c>
      <x:c r="Y1931" s="16" t="n">
        <x:v>0</x:v>
      </x:c>
      <x:c r="Z1931" s="16" t="n">
        <x:v>0</x:v>
      </x:c>
      <x:c r="AA1931" s="16" t="n">
        <x:v>3</x:v>
      </x:c>
      <x:c r="AB1931" s="16" t="n">
        <x:v>11</x:v>
      </x:c>
      <x:c r="AC1931" s="16" t="n">
        <x:v>0</x:v>
      </x:c>
      <x:c r="AD1931" s="21" t="n">
        <x:f>IF(E1931="",MEDIAN($E$2:$E$2237),E1931)</x:f>
        <x:v>21059</x:v>
      </x:c>
      <x:c r="AE1931" s="17" t="n">
        <x:f>2014-B1931</x:f>
        <x:v>32</x:v>
      </x:c>
      <x:c r="AF1931" s="17" t="n">
        <x:f>F1931+G1931</x:f>
        <x:v>1</x:v>
      </x:c>
      <x:c r="AG1931" s="21" t="n">
        <x:f>SUM(J1931:O1931)</x:f>
        <x:v>44</x:v>
      </x:c>
      <x:c r="AH1931" s="17" t="n">
        <x:f>SUM(Q1931:S1931)</x:f>
        <x:v>6</x:v>
      </x:c>
      <x:c r="AI1931" s="17" t="n">
        <x:f>SUM(U1931:Y1931)</x:f>
        <x:v>0</x:v>
      </x:c>
      <x:c r="AJ1931" s="17" t="str">
        <x:f>IF(AE1931&lt;=34,"≤34",IF(AE1931&lt;=44,"35–44",IF(AE1931&lt;=54,"45–54",IF(AE1931&lt;=64,"55–64","65+"))))</x:f>
        <x:v>≤34</x:v>
      </x:c>
      <x:c r="AK1931" s="17" t="str">
        <x:f>IF(AG1931&gt;=1000,"High Value",IF(AG1931&gt;=300,"Mid Value","Low Value"))</x:f>
        <x:v>Low Value</x:v>
      </x:c>
      <x:c r="AL1931" s="17" t="str">
        <x:f>IF(AND(AI1931&gt;=1,I1931&lt;=50),"Priority 1",IF(AND(AG1931&gt;=1000,I1931&lt;=60),"Priority 2",IF(I1931&lt;=30,"Priority 3","Nurture")))</x:f>
        <x:v>Nurture</x:v>
      </x:c>
    </x:row>
    <x:row r="1932">
      <x:c r="A1932" s="16" t="n">
        <x:v>7007</x:v>
      </x:c>
      <x:c r="B1932" s="16" t="n">
        <x:v>1968</x:v>
      </x:c>
      <x:c r="C1932" s="16" t="str">
        <x:v>Master</x:v>
      </x:c>
      <x:c r="D1932" s="16" t="str">
        <x:v>Married</x:v>
      </x:c>
      <x:c r="E1932" s="16" t="n">
        <x:v>29543</x:v>
      </x:c>
      <x:c r="F1932" s="16" t="n">
        <x:v>2</x:v>
      </x:c>
      <x:c r="G1932" s="16" t="n">
        <x:v>0</x:v>
      </x:c>
      <x:c r="H1932" s="16" t="str">
        <x:v>01-04-2014</x:v>
      </x:c>
      <x:c r="I1932" s="16" t="n">
        <x:v>47</x:v>
      </x:c>
      <x:c r="J1932" s="16" t="n">
        <x:v>17</x:v>
      </x:c>
      <x:c r="K1932" s="16" t="n">
        <x:v>3</x:v>
      </x:c>
      <x:c r="L1932" s="16" t="n">
        <x:v>18</x:v>
      </x:c>
      <x:c r="M1932" s="16" t="n">
        <x:v>3</x:v>
      </x:c>
      <x:c r="N1932" s="16" t="n">
        <x:v>4</x:v>
      </x:c>
      <x:c r="O1932" s="16" t="n">
        <x:v>18</x:v>
      </x:c>
      <x:c r="P1932" s="16" t="n">
        <x:v>2</x:v>
      </x:c>
      <x:c r="Q1932" s="16" t="n">
        <x:v>3</x:v>
      </x:c>
      <x:c r="R1932" s="16" t="n">
        <x:v>1</x:v>
      </x:c>
      <x:c r="S1932" s="16" t="n">
        <x:v>2</x:v>
      </x:c>
      <x:c r="T1932" s="16" t="n">
        <x:v>7</x:v>
      </x:c>
      <x:c r="U1932" s="16" t="n">
        <x:v>0</x:v>
      </x:c>
      <x:c r="V1932" s="16" t="n">
        <x:v>0</x:v>
      </x:c>
      <x:c r="W1932" s="16" t="n">
        <x:v>0</x:v>
      </x:c>
      <x:c r="X1932" s="16" t="n">
        <x:v>0</x:v>
      </x:c>
      <x:c r="Y1932" s="16" t="n">
        <x:v>0</x:v>
      </x:c>
      <x:c r="Z1932" s="16" t="n">
        <x:v>0</x:v>
      </x:c>
      <x:c r="AA1932" s="16" t="n">
        <x:v>3</x:v>
      </x:c>
      <x:c r="AB1932" s="16" t="n">
        <x:v>11</x:v>
      </x:c>
      <x:c r="AC1932" s="16" t="n">
        <x:v>0</x:v>
      </x:c>
      <x:c r="AD1932" s="21" t="n">
        <x:f>IF(E1932="",MEDIAN($E$2:$E$2237),E1932)</x:f>
        <x:v>29543</x:v>
      </x:c>
      <x:c r="AE1932" s="17" t="n">
        <x:f>2014-B1932</x:f>
        <x:v>46</x:v>
      </x:c>
      <x:c r="AF1932" s="17" t="n">
        <x:f>F1932+G1932</x:f>
        <x:v>2</x:v>
      </x:c>
      <x:c r="AG1932" s="21" t="n">
        <x:f>SUM(J1932:O1932)</x:f>
        <x:v>63</x:v>
      </x:c>
      <x:c r="AH1932" s="17" t="n">
        <x:f>SUM(Q1932:S1932)</x:f>
        <x:v>6</x:v>
      </x:c>
      <x:c r="AI1932" s="17" t="n">
        <x:f>SUM(U1932:Y1932)</x:f>
        <x:v>0</x:v>
      </x:c>
      <x:c r="AJ1932" s="17" t="str">
        <x:f>IF(AE1932&lt;=34,"≤34",IF(AE1932&lt;=44,"35–44",IF(AE1932&lt;=54,"45–54",IF(AE1932&lt;=64,"55–64","65+"))))</x:f>
        <x:v>45–54</x:v>
      </x:c>
      <x:c r="AK1932" s="17" t="str">
        <x:f>IF(AG1932&gt;=1000,"High Value",IF(AG1932&gt;=300,"Mid Value","Low Value"))</x:f>
        <x:v>Low Value</x:v>
      </x:c>
      <x:c r="AL1932" s="17" t="str">
        <x:f>IF(AND(AI1932&gt;=1,I1932&lt;=50),"Priority 1",IF(AND(AG1932&gt;=1000,I1932&lt;=60),"Priority 2",IF(I1932&lt;=30,"Priority 3","Nurture")))</x:f>
        <x:v>Nurture</x:v>
      </x:c>
    </x:row>
    <x:row r="1933">
      <x:c r="A1933" s="16" t="n">
        <x:v>6200</x:v>
      </x:c>
      <x:c r="B1933" s="16" t="n">
        <x:v>1951</x:v>
      </x:c>
      <x:c r="C1933" s="16" t="str">
        <x:v>Graduation</x:v>
      </x:c>
      <x:c r="D1933" s="16" t="str">
        <x:v>Married</x:v>
      </x:c>
      <x:c r="E1933" s="16" t="n">
        <x:v>75903</x:v>
      </x:c>
      <x:c r="F1933" s="16" t="n">
        <x:v>0</x:v>
      </x:c>
      <x:c r="G1933" s="16" t="n">
        <x:v>1</x:v>
      </x:c>
      <x:c r="H1933" s="16" t="str">
        <x:v>08-04-2013</x:v>
      </x:c>
      <x:c r="I1933" s="16" t="n">
        <x:v>50</x:v>
      </x:c>
      <x:c r="J1933" s="16" t="n">
        <x:v>340</x:v>
      </x:c>
      <x:c r="K1933" s="16" t="n">
        <x:v>108</x:v>
      </x:c>
      <x:c r="L1933" s="16" t="n">
        <x:v>185</x:v>
      </x:c>
      <x:c r="M1933" s="16" t="n">
        <x:v>130</x:v>
      </x:c>
      <x:c r="N1933" s="16" t="n">
        <x:v>38</x:v>
      </x:c>
      <x:c r="O1933" s="16" t="n">
        <x:v>100</x:v>
      </x:c>
      <x:c r="P1933" s="16" t="n">
        <x:v>2</x:v>
      </x:c>
      <x:c r="Q1933" s="16" t="n">
        <x:v>6</x:v>
      </x:c>
      <x:c r="R1933" s="16" t="n">
        <x:v>6</x:v>
      </x:c>
      <x:c r="S1933" s="16" t="n">
        <x:v>9</x:v>
      </x:c>
      <x:c r="T1933" s="16" t="n">
        <x:v>3</x:v>
      </x:c>
      <x:c r="U1933" s="16" t="n">
        <x:v>0</x:v>
      </x:c>
      <x:c r="V1933" s="16" t="n">
        <x:v>0</x:v>
      </x:c>
      <x:c r="W1933" s="16" t="n">
        <x:v>0</x:v>
      </x:c>
      <x:c r="X1933" s="16" t="n">
        <x:v>0</x:v>
      </x:c>
      <x:c r="Y1933" s="16" t="n">
        <x:v>0</x:v>
      </x:c>
      <x:c r="Z1933" s="16" t="n">
        <x:v>0</x:v>
      </x:c>
      <x:c r="AA1933" s="16" t="n">
        <x:v>3</x:v>
      </x:c>
      <x:c r="AB1933" s="16" t="n">
        <x:v>11</x:v>
      </x:c>
      <x:c r="AC1933" s="16" t="n">
        <x:v>0</x:v>
      </x:c>
      <x:c r="AD1933" s="21" t="n">
        <x:f>IF(E1933="",MEDIAN($E$2:$E$2237),E1933)</x:f>
        <x:v>75903</x:v>
      </x:c>
      <x:c r="AE1933" s="17" t="n">
        <x:f>2014-B1933</x:f>
        <x:v>63</x:v>
      </x:c>
      <x:c r="AF1933" s="17" t="n">
        <x:f>F1933+G1933</x:f>
        <x:v>1</x:v>
      </x:c>
      <x:c r="AG1933" s="21" t="n">
        <x:f>SUM(J1933:O1933)</x:f>
        <x:v>901</x:v>
      </x:c>
      <x:c r="AH1933" s="17" t="n">
        <x:f>SUM(Q1933:S1933)</x:f>
        <x:v>21</x:v>
      </x:c>
      <x:c r="AI1933" s="17" t="n">
        <x:f>SUM(U1933:Y1933)</x:f>
        <x:v>0</x:v>
      </x:c>
      <x:c r="AJ1933" s="17" t="str">
        <x:f>IF(AE1933&lt;=34,"≤34",IF(AE1933&lt;=44,"35–44",IF(AE1933&lt;=54,"45–54",IF(AE1933&lt;=64,"55–64","65+"))))</x:f>
        <x:v>55–64</x:v>
      </x:c>
      <x:c r="AK1933" s="17" t="str">
        <x:f>IF(AG1933&gt;=1000,"High Value",IF(AG1933&gt;=300,"Mid Value","Low Value"))</x:f>
        <x:v>Mid Value</x:v>
      </x:c>
      <x:c r="AL1933" s="17" t="str">
        <x:f>IF(AND(AI1933&gt;=1,I1933&lt;=50),"Priority 1",IF(AND(AG1933&gt;=1000,I1933&lt;=60),"Priority 2",IF(I1933&lt;=30,"Priority 3","Nurture")))</x:f>
        <x:v>Nurture</x:v>
      </x:c>
    </x:row>
    <x:row r="1934">
      <x:c r="A1934" s="16" t="n">
        <x:v>1403</x:v>
      </x:c>
      <x:c r="B1934" s="16" t="n">
        <x:v>1975</x:v>
      </x:c>
      <x:c r="C1934" s="16" t="str">
        <x:v>2n Cycle</x:v>
      </x:c>
      <x:c r="D1934" s="16" t="str">
        <x:v>Together</x:v>
      </x:c>
      <x:c r="E1934" s="16" t="n">
        <x:v>34984</x:v>
      </x:c>
      <x:c r="F1934" s="16" t="n">
        <x:v>1</x:v>
      </x:c>
      <x:c r="G1934" s="16" t="n">
        <x:v>1</x:v>
      </x:c>
      <x:c r="H1934" s="16" t="str">
        <x:v>06-09-2012</x:v>
      </x:c>
      <x:c r="I1934" s="16" t="n">
        <x:v>40</x:v>
      </x:c>
      <x:c r="J1934" s="16" t="n">
        <x:v>8</x:v>
      </x:c>
      <x:c r="K1934" s="16" t="n">
        <x:v>4</x:v>
      </x:c>
      <x:c r="L1934" s="16" t="n">
        <x:v>15</x:v>
      </x:c>
      <x:c r="M1934" s="16" t="n">
        <x:v>3</x:v>
      </x:c>
      <x:c r="N1934" s="16" t="n">
        <x:v>5</x:v>
      </x:c>
      <x:c r="O1934" s="16" t="n">
        <x:v>3</x:v>
      </x:c>
      <x:c r="P1934" s="16" t="n">
        <x:v>2</x:v>
      </x:c>
      <x:c r="Q1934" s="16" t="n">
        <x:v>1</x:v>
      </x:c>
      <x:c r="R1934" s="16" t="n">
        <x:v>0</x:v>
      </x:c>
      <x:c r="S1934" s="16" t="n">
        <x:v>3</x:v>
      </x:c>
      <x:c r="T1934" s="16" t="n">
        <x:v>7</x:v>
      </x:c>
      <x:c r="U1934" s="16" t="n">
        <x:v>0</x:v>
      </x:c>
      <x:c r="V1934" s="16" t="n">
        <x:v>0</x:v>
      </x:c>
      <x:c r="W1934" s="16" t="n">
        <x:v>0</x:v>
      </x:c>
      <x:c r="X1934" s="16" t="n">
        <x:v>0</x:v>
      </x:c>
      <x:c r="Y1934" s="16" t="n">
        <x:v>0</x:v>
      </x:c>
      <x:c r="Z1934" s="16" t="n">
        <x:v>0</x:v>
      </x:c>
      <x:c r="AA1934" s="16" t="n">
        <x:v>3</x:v>
      </x:c>
      <x:c r="AB1934" s="16" t="n">
        <x:v>11</x:v>
      </x:c>
      <x:c r="AC1934" s="16" t="n">
        <x:v>0</x:v>
      </x:c>
      <x:c r="AD1934" s="21" t="n">
        <x:f>IF(E1934="",MEDIAN($E$2:$E$2237),E1934)</x:f>
        <x:v>34984</x:v>
      </x:c>
      <x:c r="AE1934" s="17" t="n">
        <x:f>2014-B1934</x:f>
        <x:v>39</x:v>
      </x:c>
      <x:c r="AF1934" s="17" t="n">
        <x:f>F1934+G1934</x:f>
        <x:v>2</x:v>
      </x:c>
      <x:c r="AG1934" s="21" t="n">
        <x:f>SUM(J1934:O1934)</x:f>
        <x:v>38</x:v>
      </x:c>
      <x:c r="AH1934" s="17" t="n">
        <x:f>SUM(Q1934:S1934)</x:f>
        <x:v>4</x:v>
      </x:c>
      <x:c r="AI1934" s="17" t="n">
        <x:f>SUM(U1934:Y1934)</x:f>
        <x:v>0</x:v>
      </x:c>
      <x:c r="AJ1934" s="17" t="str">
        <x:f>IF(AE1934&lt;=34,"≤34",IF(AE1934&lt;=44,"35–44",IF(AE1934&lt;=54,"45–54",IF(AE1934&lt;=64,"55–64","65+"))))</x:f>
        <x:v>35–44</x:v>
      </x:c>
      <x:c r="AK1934" s="17" t="str">
        <x:f>IF(AG1934&gt;=1000,"High Value",IF(AG1934&gt;=300,"Mid Value","Low Value"))</x:f>
        <x:v>Low Value</x:v>
      </x:c>
      <x:c r="AL1934" s="17" t="str">
        <x:f>IF(AND(AI1934&gt;=1,I1934&lt;=50),"Priority 1",IF(AND(AG1934&gt;=1000,I1934&lt;=60),"Priority 2",IF(I1934&lt;=30,"Priority 3","Nurture")))</x:f>
        <x:v>Nurture</x:v>
      </x:c>
    </x:row>
    <x:row r="1935">
      <x:c r="A1935" s="16" t="n">
        <x:v>4827</x:v>
      </x:c>
      <x:c r="B1935" s="16" t="n">
        <x:v>1956</x:v>
      </x:c>
      <x:c r="C1935" s="16" t="str">
        <x:v>PhD</x:v>
      </x:c>
      <x:c r="D1935" s="16" t="str">
        <x:v>Single</x:v>
      </x:c>
      <x:c r="E1935" s="16" t="n">
        <x:v>54998</x:v>
      </x:c>
      <x:c r="F1935" s="16" t="n">
        <x:v>0</x:v>
      </x:c>
      <x:c r="G1935" s="16" t="n">
        <x:v>1</x:v>
      </x:c>
      <x:c r="H1935" s="16" t="str">
        <x:v>10-03-2013</x:v>
      </x:c>
      <x:c r="I1935" s="16" t="n">
        <x:v>3</x:v>
      </x:c>
      <x:c r="J1935" s="16" t="n">
        <x:v>154</x:v>
      </x:c>
      <x:c r="K1935" s="16" t="n">
        <x:v>22</x:v>
      </x:c>
      <x:c r="L1935" s="16" t="n">
        <x:v>202</x:v>
      </x:c>
      <x:c r="M1935" s="16" t="n">
        <x:v>39</x:v>
      </x:c>
      <x:c r="N1935" s="16" t="n">
        <x:v>30</x:v>
      </x:c>
      <x:c r="O1935" s="16" t="n">
        <x:v>8</x:v>
      </x:c>
      <x:c r="P1935" s="16" t="n">
        <x:v>5</x:v>
      </x:c>
      <x:c r="Q1935" s="16" t="n">
        <x:v>4</x:v>
      </x:c>
      <x:c r="R1935" s="16" t="n">
        <x:v>2</x:v>
      </x:c>
      <x:c r="S1935" s="16" t="n">
        <x:v>9</x:v>
      </x:c>
      <x:c r="T1935" s="16" t="n">
        <x:v>4</x:v>
      </x:c>
      <x:c r="U1935" s="16" t="n">
        <x:v>0</x:v>
      </x:c>
      <x:c r="V1935" s="16" t="n">
        <x:v>0</x:v>
      </x:c>
      <x:c r="W1935" s="16" t="n">
        <x:v>0</x:v>
      </x:c>
      <x:c r="X1935" s="16" t="n">
        <x:v>0</x:v>
      </x:c>
      <x:c r="Y1935" s="16" t="n">
        <x:v>0</x:v>
      </x:c>
      <x:c r="Z1935" s="16" t="n">
        <x:v>0</x:v>
      </x:c>
      <x:c r="AA1935" s="16" t="n">
        <x:v>3</x:v>
      </x:c>
      <x:c r="AB1935" s="16" t="n">
        <x:v>11</x:v>
      </x:c>
      <x:c r="AC1935" s="16" t="n">
        <x:v>1</x:v>
      </x:c>
      <x:c r="AD1935" s="21" t="n">
        <x:f>IF(E1935="",MEDIAN($E$2:$E$2237),E1935)</x:f>
        <x:v>54998</x:v>
      </x:c>
      <x:c r="AE1935" s="17" t="n">
        <x:f>2014-B1935</x:f>
        <x:v>58</x:v>
      </x:c>
      <x:c r="AF1935" s="17" t="n">
        <x:f>F1935+G1935</x:f>
        <x:v>1</x:v>
      </x:c>
      <x:c r="AG1935" s="21" t="n">
        <x:f>SUM(J1935:O1935)</x:f>
        <x:v>455</x:v>
      </x:c>
      <x:c r="AH1935" s="17" t="n">
        <x:f>SUM(Q1935:S1935)</x:f>
        <x:v>15</x:v>
      </x:c>
      <x:c r="AI1935" s="17" t="n">
        <x:f>SUM(U1935:Y1935)</x:f>
        <x:v>0</x:v>
      </x:c>
      <x:c r="AJ1935" s="17" t="str">
        <x:f>IF(AE1935&lt;=34,"≤34",IF(AE1935&lt;=44,"35–44",IF(AE1935&lt;=54,"45–54",IF(AE1935&lt;=64,"55–64","65+"))))</x:f>
        <x:v>55–64</x:v>
      </x:c>
      <x:c r="AK1935" s="17" t="str">
        <x:f>IF(AG1935&gt;=1000,"High Value",IF(AG1935&gt;=300,"Mid Value","Low Value"))</x:f>
        <x:v>Mid Value</x:v>
      </x:c>
      <x:c r="AL1935" s="17" t="str">
        <x:f>IF(AND(AI1935&gt;=1,I1935&lt;=50),"Priority 1",IF(AND(AG1935&gt;=1000,I1935&lt;=60),"Priority 2",IF(I1935&lt;=30,"Priority 3","Nurture")))</x:f>
        <x:v>Priority 3</x:v>
      </x:c>
    </x:row>
    <x:row r="1936">
      <x:c r="A1936" s="16" t="n">
        <x:v>6250</x:v>
      </x:c>
      <x:c r="B1936" s="16" t="n">
        <x:v>1949</x:v>
      </x:c>
      <x:c r="C1936" s="16" t="str">
        <x:v>PhD</x:v>
      </x:c>
      <x:c r="D1936" s="16" t="str">
        <x:v>Widow</x:v>
      </x:c>
      <x:c r="E1936" s="16" t="n">
        <x:v>54356</x:v>
      </x:c>
      <x:c r="F1936" s="16" t="n">
        <x:v>0</x:v>
      </x:c>
      <x:c r="G1936" s="16" t="n">
        <x:v>1</x:v>
      </x:c>
      <x:c r="H1936" s="16" t="str">
        <x:v>19-11-2012</x:v>
      </x:c>
      <x:c r="I1936" s="16" t="n">
        <x:v>62</x:v>
      </x:c>
      <x:c r="J1936" s="16" t="n">
        <x:v>710</x:v>
      </x:c>
      <x:c r="K1936" s="16" t="n">
        <x:v>15</x:v>
      </x:c>
      <x:c r="L1936" s="16" t="n">
        <x:v>30</x:v>
      </x:c>
      <x:c r="M1936" s="16" t="n">
        <x:v>20</x:v>
      </x:c>
      <x:c r="N1936" s="16" t="n">
        <x:v>0</x:v>
      </x:c>
      <x:c r="O1936" s="16" t="n">
        <x:v>0</x:v>
      </x:c>
      <x:c r="P1936" s="16" t="n">
        <x:v>3</x:v>
      </x:c>
      <x:c r="Q1936" s="16" t="n">
        <x:v>11</x:v>
      </x:c>
      <x:c r="R1936" s="16" t="n">
        <x:v>2</x:v>
      </x:c>
      <x:c r="S1936" s="16" t="n">
        <x:v>8</x:v>
      </x:c>
      <x:c r="T1936" s="16" t="n">
        <x:v>8</x:v>
      </x:c>
      <x:c r="U1936" s="16" t="n">
        <x:v>0</x:v>
      </x:c>
      <x:c r="V1936" s="16" t="n">
        <x:v>0</x:v>
      </x:c>
      <x:c r="W1936" s="16" t="n">
        <x:v>0</x:v>
      </x:c>
      <x:c r="X1936" s="16" t="n">
        <x:v>0</x:v>
      </x:c>
      <x:c r="Y1936" s="16" t="n">
        <x:v>0</x:v>
      </x:c>
      <x:c r="Z1936" s="16" t="n">
        <x:v>0</x:v>
      </x:c>
      <x:c r="AA1936" s="16" t="n">
        <x:v>3</x:v>
      </x:c>
      <x:c r="AB1936" s="16" t="n">
        <x:v>11</x:v>
      </x:c>
      <x:c r="AC1936" s="16" t="n">
        <x:v>1</x:v>
      </x:c>
      <x:c r="AD1936" s="21" t="n">
        <x:f>IF(E1936="",MEDIAN($E$2:$E$2237),E1936)</x:f>
        <x:v>54356</x:v>
      </x:c>
      <x:c r="AE1936" s="17" t="n">
        <x:f>2014-B1936</x:f>
        <x:v>65</x:v>
      </x:c>
      <x:c r="AF1936" s="17" t="n">
        <x:f>F1936+G1936</x:f>
        <x:v>1</x:v>
      </x:c>
      <x:c r="AG1936" s="21" t="n">
        <x:f>SUM(J1936:O1936)</x:f>
        <x:v>775</x:v>
      </x:c>
      <x:c r="AH1936" s="17" t="n">
        <x:f>SUM(Q1936:S1936)</x:f>
        <x:v>21</x:v>
      </x:c>
      <x:c r="AI1936" s="17" t="n">
        <x:f>SUM(U1936:Y1936)</x:f>
        <x:v>0</x:v>
      </x:c>
      <x:c r="AJ1936" s="17" t="str">
        <x:f>IF(AE1936&lt;=34,"≤34",IF(AE1936&lt;=44,"35–44",IF(AE1936&lt;=54,"45–54",IF(AE1936&lt;=64,"55–64","65+"))))</x:f>
        <x:v>65+</x:v>
      </x:c>
      <x:c r="AK1936" s="17" t="str">
        <x:f>IF(AG1936&gt;=1000,"High Value",IF(AG1936&gt;=300,"Mid Value","Low Value"))</x:f>
        <x:v>Mid Value</x:v>
      </x:c>
      <x:c r="AL1936" s="17" t="str">
        <x:f>IF(AND(AI1936&gt;=1,I1936&lt;=50),"Priority 1",IF(AND(AG1936&gt;=1000,I1936&lt;=60),"Priority 2",IF(I1936&lt;=30,"Priority 3","Nurture")))</x:f>
        <x:v>Nurture</x:v>
      </x:c>
    </x:row>
    <x:row r="1937">
      <x:c r="A1937" s="16" t="n">
        <x:v>9291</x:v>
      </x:c>
      <x:c r="B1937" s="16" t="n">
        <x:v>1959</x:v>
      </x:c>
      <x:c r="C1937" s="16" t="str">
        <x:v>Master</x:v>
      </x:c>
      <x:c r="D1937" s="16" t="str">
        <x:v>Married</x:v>
      </x:c>
      <x:c r="E1937" s="16" t="n">
        <x:v>34242</x:v>
      </x:c>
      <x:c r="F1937" s="16" t="n">
        <x:v>0</x:v>
      </x:c>
      <x:c r="G1937" s="16" t="n">
        <x:v>1</x:v>
      </x:c>
      <x:c r="H1937" s="16" t="str">
        <x:v>23-03-2014</x:v>
      </x:c>
      <x:c r="I1937" s="16" t="n">
        <x:v>25</x:v>
      </x:c>
      <x:c r="J1937" s="16" t="n">
        <x:v>8</x:v>
      </x:c>
      <x:c r="K1937" s="16" t="n">
        <x:v>2</x:v>
      </x:c>
      <x:c r="L1937" s="16" t="n">
        <x:v>4</x:v>
      </x:c>
      <x:c r="M1937" s="16" t="n">
        <x:v>0</x:v>
      </x:c>
      <x:c r="N1937" s="16" t="n">
        <x:v>0</x:v>
      </x:c>
      <x:c r="O1937" s="16" t="n">
        <x:v>1</x:v>
      </x:c>
      <x:c r="P1937" s="16" t="n">
        <x:v>1</x:v>
      </x:c>
      <x:c r="Q1937" s="16" t="n">
        <x:v>0</x:v>
      </x:c>
      <x:c r="R1937" s="16" t="n">
        <x:v>0</x:v>
      </x:c>
      <x:c r="S1937" s="16" t="n">
        <x:v>3</x:v>
      </x:c>
      <x:c r="T1937" s="16" t="n">
        <x:v>5</x:v>
      </x:c>
      <x:c r="U1937" s="16" t="n">
        <x:v>0</x:v>
      </x:c>
      <x:c r="V1937" s="16" t="n">
        <x:v>0</x:v>
      </x:c>
      <x:c r="W1937" s="16" t="n">
        <x:v>0</x:v>
      </x:c>
      <x:c r="X1937" s="16" t="n">
        <x:v>0</x:v>
      </x:c>
      <x:c r="Y1937" s="16" t="n">
        <x:v>0</x:v>
      </x:c>
      <x:c r="Z1937" s="16" t="n">
        <x:v>0</x:v>
      </x:c>
      <x:c r="AA1937" s="16" t="n">
        <x:v>3</x:v>
      </x:c>
      <x:c r="AB1937" s="16" t="n">
        <x:v>11</x:v>
      </x:c>
      <x:c r="AC1937" s="16" t="n">
        <x:v>0</x:v>
      </x:c>
      <x:c r="AD1937" s="21" t="n">
        <x:f>IF(E1937="",MEDIAN($E$2:$E$2237),E1937)</x:f>
        <x:v>34242</x:v>
      </x:c>
      <x:c r="AE1937" s="17" t="n">
        <x:f>2014-B1937</x:f>
        <x:v>55</x:v>
      </x:c>
      <x:c r="AF1937" s="17" t="n">
        <x:f>F1937+G1937</x:f>
        <x:v>1</x:v>
      </x:c>
      <x:c r="AG1937" s="21" t="n">
        <x:f>SUM(J1937:O1937)</x:f>
        <x:v>15</x:v>
      </x:c>
      <x:c r="AH1937" s="17" t="n">
        <x:f>SUM(Q1937:S1937)</x:f>
        <x:v>3</x:v>
      </x:c>
      <x:c r="AI1937" s="17" t="n">
        <x:f>SUM(U1937:Y1937)</x:f>
        <x:v>0</x:v>
      </x:c>
      <x:c r="AJ1937" s="17" t="str">
        <x:f>IF(AE1937&lt;=34,"≤34",IF(AE1937&lt;=44,"35–44",IF(AE1937&lt;=54,"45–54",IF(AE1937&lt;=64,"55–64","65+"))))</x:f>
        <x:v>55–64</x:v>
      </x:c>
      <x:c r="AK1937" s="17" t="str">
        <x:f>IF(AG1937&gt;=1000,"High Value",IF(AG1937&gt;=300,"Mid Value","Low Value"))</x:f>
        <x:v>Low Value</x:v>
      </x:c>
      <x:c r="AL1937" s="17" t="str">
        <x:f>IF(AND(AI1937&gt;=1,I1937&lt;=50),"Priority 1",IF(AND(AG1937&gt;=1000,I1937&lt;=60),"Priority 2",IF(I1937&lt;=30,"Priority 3","Nurture")))</x:f>
        <x:v>Priority 3</x:v>
      </x:c>
    </x:row>
    <x:row r="1938">
      <x:c r="A1938" s="16" t="n">
        <x:v>2478</x:v>
      </x:c>
      <x:c r="B1938" s="16" t="n">
        <x:v>1973</x:v>
      </x:c>
      <x:c r="C1938" s="16" t="str">
        <x:v>Graduation</x:v>
      </x:c>
      <x:c r="D1938" s="16" t="str">
        <x:v>Married</x:v>
      </x:c>
      <x:c r="E1938" s="16" t="n">
        <x:v>25410</x:v>
      </x:c>
      <x:c r="F1938" s="16" t="n">
        <x:v>1</x:v>
      </x:c>
      <x:c r="G1938" s="16" t="n">
        <x:v>0</x:v>
      </x:c>
      <x:c r="H1938" s="16" t="str">
        <x:v>31-08-2013</x:v>
      </x:c>
      <x:c r="I1938" s="16" t="n">
        <x:v>48</x:v>
      </x:c>
      <x:c r="J1938" s="16" t="n">
        <x:v>2</x:v>
      </x:c>
      <x:c r="K1938" s="16" t="n">
        <x:v>2</x:v>
      </x:c>
      <x:c r="L1938" s="16" t="n">
        <x:v>4</x:v>
      </x:c>
      <x:c r="M1938" s="16" t="n">
        <x:v>13</x:v>
      </x:c>
      <x:c r="N1938" s="16" t="n">
        <x:v>13</x:v>
      </x:c>
      <x:c r="O1938" s="16" t="n">
        <x:v>4</x:v>
      </x:c>
      <x:c r="P1938" s="16" t="n">
        <x:v>1</x:v>
      </x:c>
      <x:c r="Q1938" s="16" t="n">
        <x:v>1</x:v>
      </x:c>
      <x:c r="R1938" s="16" t="n">
        <x:v>0</x:v>
      </x:c>
      <x:c r="S1938" s="16" t="n">
        <x:v>4</x:v>
      </x:c>
      <x:c r="T1938" s="16" t="n">
        <x:v>4</x:v>
      </x:c>
      <x:c r="U1938" s="16" t="n">
        <x:v>0</x:v>
      </x:c>
      <x:c r="V1938" s="16" t="n">
        <x:v>0</x:v>
      </x:c>
      <x:c r="W1938" s="16" t="n">
        <x:v>0</x:v>
      </x:c>
      <x:c r="X1938" s="16" t="n">
        <x:v>0</x:v>
      </x:c>
      <x:c r="Y1938" s="16" t="n">
        <x:v>0</x:v>
      </x:c>
      <x:c r="Z1938" s="16" t="n">
        <x:v>0</x:v>
      </x:c>
      <x:c r="AA1938" s="16" t="n">
        <x:v>3</x:v>
      </x:c>
      <x:c r="AB1938" s="16" t="n">
        <x:v>11</x:v>
      </x:c>
      <x:c r="AC1938" s="16" t="n">
        <x:v>0</x:v>
      </x:c>
      <x:c r="AD1938" s="21" t="n">
        <x:f>IF(E1938="",MEDIAN($E$2:$E$2237),E1938)</x:f>
        <x:v>25410</x:v>
      </x:c>
      <x:c r="AE1938" s="17" t="n">
        <x:f>2014-B1938</x:f>
        <x:v>41</x:v>
      </x:c>
      <x:c r="AF1938" s="17" t="n">
        <x:f>F1938+G1938</x:f>
        <x:v>1</x:v>
      </x:c>
      <x:c r="AG1938" s="21" t="n">
        <x:f>SUM(J1938:O1938)</x:f>
        <x:v>38</x:v>
      </x:c>
      <x:c r="AH1938" s="17" t="n">
        <x:f>SUM(Q1938:S1938)</x:f>
        <x:v>5</x:v>
      </x:c>
      <x:c r="AI1938" s="17" t="n">
        <x:f>SUM(U1938:Y1938)</x:f>
        <x:v>0</x:v>
      </x:c>
      <x:c r="AJ1938" s="17" t="str">
        <x:f>IF(AE1938&lt;=34,"≤34",IF(AE1938&lt;=44,"35–44",IF(AE1938&lt;=54,"45–54",IF(AE1938&lt;=64,"55–64","65+"))))</x:f>
        <x:v>35–44</x:v>
      </x:c>
      <x:c r="AK1938" s="17" t="str">
        <x:f>IF(AG1938&gt;=1000,"High Value",IF(AG1938&gt;=300,"Mid Value","Low Value"))</x:f>
        <x:v>Low Value</x:v>
      </x:c>
      <x:c r="AL1938" s="17" t="str">
        <x:f>IF(AND(AI1938&gt;=1,I1938&lt;=50),"Priority 1",IF(AND(AG1938&gt;=1000,I1938&lt;=60),"Priority 2",IF(I1938&lt;=30,"Priority 3","Nurture")))</x:f>
        <x:v>Nurture</x:v>
      </x:c>
    </x:row>
    <x:row r="1939">
      <x:c r="A1939" s="16" t="n">
        <x:v>1139</x:v>
      </x:c>
      <x:c r="B1939" s="16" t="n">
        <x:v>1984</x:v>
      </x:c>
      <x:c r="C1939" s="16" t="str">
        <x:v>PhD</x:v>
      </x:c>
      <x:c r="D1939" s="16" t="str">
        <x:v>Married</x:v>
      </x:c>
      <x:c r="E1939" s="16" t="n">
        <x:v>73356</x:v>
      </x:c>
      <x:c r="F1939" s="16" t="n">
        <x:v>0</x:v>
      </x:c>
      <x:c r="G1939" s="16" t="n">
        <x:v>0</x:v>
      </x:c>
      <x:c r="H1939" s="16" t="str">
        <x:v>06-02-2014</x:v>
      </x:c>
      <x:c r="I1939" s="16" t="n">
        <x:v>56</x:v>
      </x:c>
      <x:c r="J1939" s="16" t="n">
        <x:v>1050</x:v>
      </x:c>
      <x:c r="K1939" s="16" t="n">
        <x:v>14</x:v>
      </x:c>
      <x:c r="L1939" s="16" t="n">
        <x:v>322</x:v>
      </x:c>
      <x:c r="M1939" s="16" t="n">
        <x:v>0</x:v>
      </x:c>
      <x:c r="N1939" s="16" t="n">
        <x:v>14</x:v>
      </x:c>
      <x:c r="O1939" s="16" t="n">
        <x:v>112</x:v>
      </x:c>
      <x:c r="P1939" s="16" t="n">
        <x:v>1</x:v>
      </x:c>
      <x:c r="Q1939" s="16" t="n">
        <x:v>5</x:v>
      </x:c>
      <x:c r="R1939" s="16" t="n">
        <x:v>11</x:v>
      </x:c>
      <x:c r="S1939" s="16" t="n">
        <x:v>5</x:v>
      </x:c>
      <x:c r="T1939" s="16" t="n">
        <x:v>2</x:v>
      </x:c>
      <x:c r="U1939" s="16" t="n">
        <x:v>1</x:v>
      </x:c>
      <x:c r="V1939" s="16" t="n">
        <x:v>0</x:v>
      </x:c>
      <x:c r="W1939" s="16" t="n">
        <x:v>1</x:v>
      </x:c>
      <x:c r="X1939" s="16" t="n">
        <x:v>1</x:v>
      </x:c>
      <x:c r="Y1939" s="16" t="n">
        <x:v>0</x:v>
      </x:c>
      <x:c r="Z1939" s="16" t="n">
        <x:v>0</x:v>
      </x:c>
      <x:c r="AA1939" s="16" t="n">
        <x:v>3</x:v>
      </x:c>
      <x:c r="AB1939" s="16" t="n">
        <x:v>11</x:v>
      </x:c>
      <x:c r="AC1939" s="16" t="n">
        <x:v>1</x:v>
      </x:c>
      <x:c r="AD1939" s="21" t="n">
        <x:f>IF(E1939="",MEDIAN($E$2:$E$2237),E1939)</x:f>
        <x:v>73356</x:v>
      </x:c>
      <x:c r="AE1939" s="17" t="n">
        <x:f>2014-B1939</x:f>
        <x:v>30</x:v>
      </x:c>
      <x:c r="AF1939" s="17" t="n">
        <x:f>F1939+G1939</x:f>
        <x:v>0</x:v>
      </x:c>
      <x:c r="AG1939" s="21" t="n">
        <x:f>SUM(J1939:O1939)</x:f>
        <x:v>1512</x:v>
      </x:c>
      <x:c r="AH1939" s="17" t="n">
        <x:f>SUM(Q1939:S1939)</x:f>
        <x:v>21</x:v>
      </x:c>
      <x:c r="AI1939" s="17" t="n">
        <x:f>SUM(U1939:Y1939)</x:f>
        <x:v>3</x:v>
      </x:c>
      <x:c r="AJ1939" s="17" t="str">
        <x:f>IF(AE1939&lt;=34,"≤34",IF(AE1939&lt;=44,"35–44",IF(AE1939&lt;=54,"45–54",IF(AE1939&lt;=64,"55–64","65+"))))</x:f>
        <x:v>≤34</x:v>
      </x:c>
      <x:c r="AK1939" s="17" t="str">
        <x:f>IF(AG1939&gt;=1000,"High Value",IF(AG1939&gt;=300,"Mid Value","Low Value"))</x:f>
        <x:v>High Value</x:v>
      </x:c>
      <x:c r="AL1939" s="17" t="str">
        <x:f>IF(AND(AI1939&gt;=1,I1939&lt;=50),"Priority 1",IF(AND(AG1939&gt;=1000,I1939&lt;=60),"Priority 2",IF(I1939&lt;=30,"Priority 3","Nurture")))</x:f>
        <x:v>Priority 2</x:v>
      </x:c>
    </x:row>
    <x:row r="1940">
      <x:c r="A1940" s="16" t="n">
        <x:v>5138</x:v>
      </x:c>
      <x:c r="B1940" s="16" t="n">
        <x:v>1950</x:v>
      </x:c>
      <x:c r="C1940" s="16" t="str">
        <x:v>Graduation</x:v>
      </x:c>
      <x:c r="D1940" s="16" t="str">
        <x:v>Together</x:v>
      </x:c>
      <x:c r="E1940" s="16" t="n">
        <x:v>28320</x:v>
      </x:c>
      <x:c r="F1940" s="16" t="n">
        <x:v>0</x:v>
      </x:c>
      <x:c r="G1940" s="16" t="n">
        <x:v>1</x:v>
      </x:c>
      <x:c r="H1940" s="16" t="str">
        <x:v>14-01-2013</x:v>
      </x:c>
      <x:c r="I1940" s="16" t="n">
        <x:v>68</x:v>
      </x:c>
      <x:c r="J1940" s="16" t="n">
        <x:v>19</x:v>
      </x:c>
      <x:c r="K1940" s="16" t="n">
        <x:v>1</x:v>
      </x:c>
      <x:c r="L1940" s="16" t="n">
        <x:v>14</x:v>
      </x:c>
      <x:c r="M1940" s="16" t="n">
        <x:v>3</x:v>
      </x:c>
      <x:c r="N1940" s="16" t="n">
        <x:v>2</x:v>
      </x:c>
      <x:c r="O1940" s="16" t="n">
        <x:v>4</x:v>
      </x:c>
      <x:c r="P1940" s="16" t="n">
        <x:v>1</x:v>
      </x:c>
      <x:c r="Q1940" s="16" t="n">
        <x:v>1</x:v>
      </x:c>
      <x:c r="R1940" s="16" t="n">
        <x:v>0</x:v>
      </x:c>
      <x:c r="S1940" s="16" t="n">
        <x:v>3</x:v>
      </x:c>
      <x:c r="T1940" s="16" t="n">
        <x:v>8</x:v>
      </x:c>
      <x:c r="U1940" s="16" t="n">
        <x:v>0</x:v>
      </x:c>
      <x:c r="V1940" s="16" t="n">
        <x:v>0</x:v>
      </x:c>
      <x:c r="W1940" s="16" t="n">
        <x:v>0</x:v>
      </x:c>
      <x:c r="X1940" s="16" t="n">
        <x:v>0</x:v>
      </x:c>
      <x:c r="Y1940" s="16" t="n">
        <x:v>0</x:v>
      </x:c>
      <x:c r="Z1940" s="16" t="n">
        <x:v>0</x:v>
      </x:c>
      <x:c r="AA1940" s="16" t="n">
        <x:v>3</x:v>
      </x:c>
      <x:c r="AB1940" s="16" t="n">
        <x:v>11</x:v>
      </x:c>
      <x:c r="AC1940" s="16" t="n">
        <x:v>0</x:v>
      </x:c>
      <x:c r="AD1940" s="21" t="n">
        <x:f>IF(E1940="",MEDIAN($E$2:$E$2237),E1940)</x:f>
        <x:v>28320</x:v>
      </x:c>
      <x:c r="AE1940" s="17" t="n">
        <x:f>2014-B1940</x:f>
        <x:v>64</x:v>
      </x:c>
      <x:c r="AF1940" s="17" t="n">
        <x:f>F1940+G1940</x:f>
        <x:v>1</x:v>
      </x:c>
      <x:c r="AG1940" s="21" t="n">
        <x:f>SUM(J1940:O1940)</x:f>
        <x:v>43</x:v>
      </x:c>
      <x:c r="AH1940" s="17" t="n">
        <x:f>SUM(Q1940:S1940)</x:f>
        <x:v>4</x:v>
      </x:c>
      <x:c r="AI1940" s="17" t="n">
        <x:f>SUM(U1940:Y1940)</x:f>
        <x:v>0</x:v>
      </x:c>
      <x:c r="AJ1940" s="17" t="str">
        <x:f>IF(AE1940&lt;=34,"≤34",IF(AE1940&lt;=44,"35–44",IF(AE1940&lt;=54,"45–54",IF(AE1940&lt;=64,"55–64","65+"))))</x:f>
        <x:v>55–64</x:v>
      </x:c>
      <x:c r="AK1940" s="17" t="str">
        <x:f>IF(AG1940&gt;=1000,"High Value",IF(AG1940&gt;=300,"Mid Value","Low Value"))</x:f>
        <x:v>Low Value</x:v>
      </x:c>
      <x:c r="AL1940" s="17" t="str">
        <x:f>IF(AND(AI1940&gt;=1,I1940&lt;=50),"Priority 1",IF(AND(AG1940&gt;=1000,I1940&lt;=60),"Priority 2",IF(I1940&lt;=30,"Priority 3","Nurture")))</x:f>
        <x:v>Nurture</x:v>
      </x:c>
    </x:row>
    <x:row r="1941">
      <x:c r="A1941" s="16" t="n">
        <x:v>5393</x:v>
      </x:c>
      <x:c r="B1941" s="16" t="n">
        <x:v>1977</x:v>
      </x:c>
      <x:c r="C1941" s="16" t="str">
        <x:v>Graduation</x:v>
      </x:c>
      <x:c r="D1941" s="16" t="str">
        <x:v>Single</x:v>
      </x:c>
      <x:c r="E1941" s="16" t="n">
        <x:v>23763</x:v>
      </x:c>
      <x:c r="F1941" s="16" t="n">
        <x:v>1</x:v>
      </x:c>
      <x:c r="G1941" s="16" t="n">
        <x:v>0</x:v>
      </x:c>
      <x:c r="H1941" s="16" t="str">
        <x:v>07-08-2012</x:v>
      </x:c>
      <x:c r="I1941" s="16" t="n">
        <x:v>64</x:v>
      </x:c>
      <x:c r="J1941" s="16" t="n">
        <x:v>22</x:v>
      </x:c>
      <x:c r="K1941" s="16" t="n">
        <x:v>0</x:v>
      </x:c>
      <x:c r="L1941" s="16" t="n">
        <x:v>6</x:v>
      </x:c>
      <x:c r="M1941" s="16" t="n">
        <x:v>6</x:v>
      </x:c>
      <x:c r="N1941" s="16" t="n">
        <x:v>2</x:v>
      </x:c>
      <x:c r="O1941" s="16" t="n">
        <x:v>6</x:v>
      </x:c>
      <x:c r="P1941" s="16" t="n">
        <x:v>1</x:v>
      </x:c>
      <x:c r="Q1941" s="16" t="n">
        <x:v>1</x:v>
      </x:c>
      <x:c r="R1941" s="16" t="n">
        <x:v>0</x:v>
      </x:c>
      <x:c r="S1941" s="16" t="n">
        <x:v>3</x:v>
      </x:c>
      <x:c r="T1941" s="16" t="n">
        <x:v>7</x:v>
      </x:c>
      <x:c r="U1941" s="16" t="n">
        <x:v>0</x:v>
      </x:c>
      <x:c r="V1941" s="16" t="n">
        <x:v>0</x:v>
      </x:c>
      <x:c r="W1941" s="16" t="n">
        <x:v>0</x:v>
      </x:c>
      <x:c r="X1941" s="16" t="n">
        <x:v>0</x:v>
      </x:c>
      <x:c r="Y1941" s="16" t="n">
        <x:v>0</x:v>
      </x:c>
      <x:c r="Z1941" s="16" t="n">
        <x:v>0</x:v>
      </x:c>
      <x:c r="AA1941" s="16" t="n">
        <x:v>3</x:v>
      </x:c>
      <x:c r="AB1941" s="16" t="n">
        <x:v>11</x:v>
      </x:c>
      <x:c r="AC1941" s="16" t="n">
        <x:v>0</x:v>
      </x:c>
      <x:c r="AD1941" s="21" t="n">
        <x:f>IF(E1941="",MEDIAN($E$2:$E$2237),E1941)</x:f>
        <x:v>23763</x:v>
      </x:c>
      <x:c r="AE1941" s="17" t="n">
        <x:f>2014-B1941</x:f>
        <x:v>37</x:v>
      </x:c>
      <x:c r="AF1941" s="17" t="n">
        <x:f>F1941+G1941</x:f>
        <x:v>1</x:v>
      </x:c>
      <x:c r="AG1941" s="21" t="n">
        <x:f>SUM(J1941:O1941)</x:f>
        <x:v>42</x:v>
      </x:c>
      <x:c r="AH1941" s="17" t="n">
        <x:f>SUM(Q1941:S1941)</x:f>
        <x:v>4</x:v>
      </x:c>
      <x:c r="AI1941" s="17" t="n">
        <x:f>SUM(U1941:Y1941)</x:f>
        <x:v>0</x:v>
      </x:c>
      <x:c r="AJ1941" s="17" t="str">
        <x:f>IF(AE1941&lt;=34,"≤34",IF(AE1941&lt;=44,"35–44",IF(AE1941&lt;=54,"45–54",IF(AE1941&lt;=64,"55–64","65+"))))</x:f>
        <x:v>35–44</x:v>
      </x:c>
      <x:c r="AK1941" s="17" t="str">
        <x:f>IF(AG1941&gt;=1000,"High Value",IF(AG1941&gt;=300,"Mid Value","Low Value"))</x:f>
        <x:v>Low Value</x:v>
      </x:c>
      <x:c r="AL1941" s="17" t="str">
        <x:f>IF(AND(AI1941&gt;=1,I1941&lt;=50),"Priority 1",IF(AND(AG1941&gt;=1000,I1941&lt;=60),"Priority 2",IF(I1941&lt;=30,"Priority 3","Nurture")))</x:f>
        <x:v>Nurture</x:v>
      </x:c>
    </x:row>
    <x:row r="1942">
      <x:c r="A1942" s="16" t="n">
        <x:v>10413</x:v>
      </x:c>
      <x:c r="B1942" s="16" t="n">
        <x:v>1984</x:v>
      </x:c>
      <x:c r="C1942" s="16" t="str">
        <x:v>Graduation</x:v>
      </x:c>
      <x:c r="D1942" s="16" t="str">
        <x:v>Married</x:v>
      </x:c>
      <x:c r="E1942" s="16" t="n">
        <x:v>72570</x:v>
      </x:c>
      <x:c r="F1942" s="16" t="n">
        <x:v>0</x:v>
      </x:c>
      <x:c r="G1942" s="16" t="n">
        <x:v>0</x:v>
      </x:c>
      <x:c r="H1942" s="16" t="str">
        <x:v>25-04-2014</x:v>
      </x:c>
      <x:c r="I1942" s="16" t="n">
        <x:v>67</x:v>
      </x:c>
      <x:c r="J1942" s="16" t="n">
        <x:v>274</x:v>
      </x:c>
      <x:c r="K1942" s="16" t="n">
        <x:v>83</x:v>
      </x:c>
      <x:c r="L1942" s="16" t="n">
        <x:v>216</x:v>
      </x:c>
      <x:c r="M1942" s="16" t="n">
        <x:v>151</x:v>
      </x:c>
      <x:c r="N1942" s="16" t="n">
        <x:v>141</x:v>
      </x:c>
      <x:c r="O1942" s="16" t="n">
        <x:v>224</x:v>
      </x:c>
      <x:c r="P1942" s="16" t="n">
        <x:v>1</x:v>
      </x:c>
      <x:c r="Q1942" s="16" t="n">
        <x:v>4</x:v>
      </x:c>
      <x:c r="R1942" s="16" t="n">
        <x:v>6</x:v>
      </x:c>
      <x:c r="S1942" s="16" t="n">
        <x:v>12</x:v>
      </x:c>
      <x:c r="T1942" s="16" t="n">
        <x:v>1</x:v>
      </x:c>
      <x:c r="U1942" s="16" t="n">
        <x:v>0</x:v>
      </x:c>
      <x:c r="V1942" s="16" t="n">
        <x:v>0</x:v>
      </x:c>
      <x:c r="W1942" s="16" t="n">
        <x:v>0</x:v>
      </x:c>
      <x:c r="X1942" s="16" t="n">
        <x:v>0</x:v>
      </x:c>
      <x:c r="Y1942" s="16" t="n">
        <x:v>0</x:v>
      </x:c>
      <x:c r="Z1942" s="16" t="n">
        <x:v>0</x:v>
      </x:c>
      <x:c r="AA1942" s="16" t="n">
        <x:v>3</x:v>
      </x:c>
      <x:c r="AB1942" s="16" t="n">
        <x:v>11</x:v>
      </x:c>
      <x:c r="AC1942" s="16" t="n">
        <x:v>0</x:v>
      </x:c>
      <x:c r="AD1942" s="21" t="n">
        <x:f>IF(E1942="",MEDIAN($E$2:$E$2237),E1942)</x:f>
        <x:v>72570</x:v>
      </x:c>
      <x:c r="AE1942" s="17" t="n">
        <x:f>2014-B1942</x:f>
        <x:v>30</x:v>
      </x:c>
      <x:c r="AF1942" s="17" t="n">
        <x:f>F1942+G1942</x:f>
        <x:v>0</x:v>
      </x:c>
      <x:c r="AG1942" s="21" t="n">
        <x:f>SUM(J1942:O1942)</x:f>
        <x:v>1089</x:v>
      </x:c>
      <x:c r="AH1942" s="17" t="n">
        <x:f>SUM(Q1942:S1942)</x:f>
        <x:v>22</x:v>
      </x:c>
      <x:c r="AI1942" s="17" t="n">
        <x:f>SUM(U1942:Y1942)</x:f>
        <x:v>0</x:v>
      </x:c>
      <x:c r="AJ1942" s="17" t="str">
        <x:f>IF(AE1942&lt;=34,"≤34",IF(AE1942&lt;=44,"35–44",IF(AE1942&lt;=54,"45–54",IF(AE1942&lt;=64,"55–64","65+"))))</x:f>
        <x:v>≤34</x:v>
      </x:c>
      <x:c r="AK1942" s="17" t="str">
        <x:f>IF(AG1942&gt;=1000,"High Value",IF(AG1942&gt;=300,"Mid Value","Low Value"))</x:f>
        <x:v>High Value</x:v>
      </x:c>
      <x:c r="AL1942" s="17" t="str">
        <x:f>IF(AND(AI1942&gt;=1,I1942&lt;=50),"Priority 1",IF(AND(AG1942&gt;=1000,I1942&lt;=60),"Priority 2",IF(I1942&lt;=30,"Priority 3","Nurture")))</x:f>
        <x:v>Nurture</x:v>
      </x:c>
    </x:row>
    <x:row r="1943">
      <x:c r="A1943" s="16" t="n">
        <x:v>5015</x:v>
      </x:c>
      <x:c r="B1943" s="16" t="n">
        <x:v>1976</x:v>
      </x:c>
      <x:c r="C1943" s="16" t="str">
        <x:v>Master</x:v>
      </x:c>
      <x:c r="D1943" s="16" t="str">
        <x:v>Married</x:v>
      </x:c>
      <x:c r="E1943" s="16" t="n">
        <x:v>34529</x:v>
      </x:c>
      <x:c r="F1943" s="16" t="n">
        <x:v>1</x:v>
      </x:c>
      <x:c r="G1943" s="16" t="n">
        <x:v>0</x:v>
      </x:c>
      <x:c r="H1943" s="16" t="str">
        <x:v>14-09-2012</x:v>
      </x:c>
      <x:c r="I1943" s="16" t="n">
        <x:v>94</x:v>
      </x:c>
      <x:c r="J1943" s="16" t="n">
        <x:v>68</x:v>
      </x:c>
      <x:c r="K1943" s="16" t="n">
        <x:v>6</x:v>
      </x:c>
      <x:c r="L1943" s="16" t="n">
        <x:v>38</x:v>
      </x:c>
      <x:c r="M1943" s="16" t="n">
        <x:v>3</x:v>
      </x:c>
      <x:c r="N1943" s="16" t="n">
        <x:v>6</x:v>
      </x:c>
      <x:c r="O1943" s="16" t="n">
        <x:v>41</x:v>
      </x:c>
      <x:c r="P1943" s="16" t="n">
        <x:v>2</x:v>
      </x:c>
      <x:c r="Q1943" s="16" t="n">
        <x:v>2</x:v>
      </x:c>
      <x:c r="R1943" s="16" t="n">
        <x:v>2</x:v>
      </x:c>
      <x:c r="S1943" s="16" t="n">
        <x:v>3</x:v>
      </x:c>
      <x:c r="T1943" s="16" t="n">
        <x:v>7</x:v>
      </x:c>
      <x:c r="U1943" s="16" t="n">
        <x:v>0</x:v>
      </x:c>
      <x:c r="V1943" s="16" t="n">
        <x:v>0</x:v>
      </x:c>
      <x:c r="W1943" s="16" t="n">
        <x:v>0</x:v>
      </x:c>
      <x:c r="X1943" s="16" t="n">
        <x:v>0</x:v>
      </x:c>
      <x:c r="Y1943" s="16" t="n">
        <x:v>0</x:v>
      </x:c>
      <x:c r="Z1943" s="16" t="n">
        <x:v>0</x:v>
      </x:c>
      <x:c r="AA1943" s="16" t="n">
        <x:v>3</x:v>
      </x:c>
      <x:c r="AB1943" s="16" t="n">
        <x:v>11</x:v>
      </x:c>
      <x:c r="AC1943" s="16" t="n">
        <x:v>0</x:v>
      </x:c>
      <x:c r="AD1943" s="21" t="n">
        <x:f>IF(E1943="",MEDIAN($E$2:$E$2237),E1943)</x:f>
        <x:v>34529</x:v>
      </x:c>
      <x:c r="AE1943" s="17" t="n">
        <x:f>2014-B1943</x:f>
        <x:v>38</x:v>
      </x:c>
      <x:c r="AF1943" s="17" t="n">
        <x:f>F1943+G1943</x:f>
        <x:v>1</x:v>
      </x:c>
      <x:c r="AG1943" s="21" t="n">
        <x:f>SUM(J1943:O1943)</x:f>
        <x:v>162</x:v>
      </x:c>
      <x:c r="AH1943" s="17" t="n">
        <x:f>SUM(Q1943:S1943)</x:f>
        <x:v>7</x:v>
      </x:c>
      <x:c r="AI1943" s="17" t="n">
        <x:f>SUM(U1943:Y1943)</x:f>
        <x:v>0</x:v>
      </x:c>
      <x:c r="AJ1943" s="17" t="str">
        <x:f>IF(AE1943&lt;=34,"≤34",IF(AE1943&lt;=44,"35–44",IF(AE1943&lt;=54,"45–54",IF(AE1943&lt;=64,"55–64","65+"))))</x:f>
        <x:v>35–44</x:v>
      </x:c>
      <x:c r="AK1943" s="17" t="str">
        <x:f>IF(AG1943&gt;=1000,"High Value",IF(AG1943&gt;=300,"Mid Value","Low Value"))</x:f>
        <x:v>Low Value</x:v>
      </x:c>
      <x:c r="AL1943" s="17" t="str">
        <x:f>IF(AND(AI1943&gt;=1,I1943&lt;=50),"Priority 1",IF(AND(AG1943&gt;=1000,I1943&lt;=60),"Priority 2",IF(I1943&lt;=30,"Priority 3","Nurture")))</x:f>
        <x:v>Nurture</x:v>
      </x:c>
    </x:row>
    <x:row r="1944">
      <x:c r="A1944" s="16" t="n">
        <x:v>10868</x:v>
      </x:c>
      <x:c r="B1944" s="16" t="n">
        <x:v>1951</x:v>
      </x:c>
      <x:c r="C1944" s="16" t="str">
        <x:v>Graduation</x:v>
      </x:c>
      <x:c r="D1944" s="16" t="str">
        <x:v>Widow</x:v>
      </x:c>
      <x:c r="E1944" s="16" t="n">
        <x:v>70792</x:v>
      </x:c>
      <x:c r="F1944" s="16" t="n">
        <x:v>0</x:v>
      </x:c>
      <x:c r="G1944" s="16" t="n">
        <x:v>0</x:v>
      </x:c>
      <x:c r="H1944" s="16" t="str">
        <x:v>06-02-2013</x:v>
      </x:c>
      <x:c r="I1944" s="16" t="n">
        <x:v>82</x:v>
      </x:c>
      <x:c r="J1944" s="16" t="n">
        <x:v>344</x:v>
      </x:c>
      <x:c r="K1944" s="16" t="n">
        <x:v>45</x:v>
      </x:c>
      <x:c r="L1944" s="16" t="n">
        <x:v>654</x:v>
      </x:c>
      <x:c r="M1944" s="16" t="n">
        <x:v>104</x:v>
      </x:c>
      <x:c r="N1944" s="16" t="n">
        <x:v>11</x:v>
      </x:c>
      <x:c r="O1944" s="16" t="n">
        <x:v>114</x:v>
      </x:c>
      <x:c r="P1944" s="16" t="n">
        <x:v>2</x:v>
      </x:c>
      <x:c r="Q1944" s="16" t="n">
        <x:v>3</x:v>
      </x:c>
      <x:c r="R1944" s="16" t="n">
        <x:v>4</x:v>
      </x:c>
      <x:c r="S1944" s="16" t="n">
        <x:v>10</x:v>
      </x:c>
      <x:c r="T1944" s="16" t="n">
        <x:v>3</x:v>
      </x:c>
      <x:c r="U1944" s="16" t="n">
        <x:v>0</x:v>
      </x:c>
      <x:c r="V1944" s="16" t="n">
        <x:v>0</x:v>
      </x:c>
      <x:c r="W1944" s="16" t="n">
        <x:v>0</x:v>
      </x:c>
      <x:c r="X1944" s="16" t="n">
        <x:v>0</x:v>
      </x:c>
      <x:c r="Y1944" s="16" t="n">
        <x:v>0</x:v>
      </x:c>
      <x:c r="Z1944" s="16" t="n">
        <x:v>0</x:v>
      </x:c>
      <x:c r="AA1944" s="16" t="n">
        <x:v>3</x:v>
      </x:c>
      <x:c r="AB1944" s="16" t="n">
        <x:v>11</x:v>
      </x:c>
      <x:c r="AC1944" s="16" t="n">
        <x:v>0</x:v>
      </x:c>
      <x:c r="AD1944" s="21" t="n">
        <x:f>IF(E1944="",MEDIAN($E$2:$E$2237),E1944)</x:f>
        <x:v>70792</x:v>
      </x:c>
      <x:c r="AE1944" s="17" t="n">
        <x:f>2014-B1944</x:f>
        <x:v>63</x:v>
      </x:c>
      <x:c r="AF1944" s="17" t="n">
        <x:f>F1944+G1944</x:f>
        <x:v>0</x:v>
      </x:c>
      <x:c r="AG1944" s="21" t="n">
        <x:f>SUM(J1944:O1944)</x:f>
        <x:v>1272</x:v>
      </x:c>
      <x:c r="AH1944" s="17" t="n">
        <x:f>SUM(Q1944:S1944)</x:f>
        <x:v>17</x:v>
      </x:c>
      <x:c r="AI1944" s="17" t="n">
        <x:f>SUM(U1944:Y1944)</x:f>
        <x:v>0</x:v>
      </x:c>
      <x:c r="AJ1944" s="17" t="str">
        <x:f>IF(AE1944&lt;=34,"≤34",IF(AE1944&lt;=44,"35–44",IF(AE1944&lt;=54,"45–54",IF(AE1944&lt;=64,"55–64","65+"))))</x:f>
        <x:v>55–64</x:v>
      </x:c>
      <x:c r="AK1944" s="17" t="str">
        <x:f>IF(AG1944&gt;=1000,"High Value",IF(AG1944&gt;=300,"Mid Value","Low Value"))</x:f>
        <x:v>High Value</x:v>
      </x:c>
      <x:c r="AL1944" s="17" t="str">
        <x:f>IF(AND(AI1944&gt;=1,I1944&lt;=50),"Priority 1",IF(AND(AG1944&gt;=1000,I1944&lt;=60),"Priority 2",IF(I1944&lt;=30,"Priority 3","Nurture")))</x:f>
        <x:v>Nurture</x:v>
      </x:c>
    </x:row>
    <x:row r="1945">
      <x:c r="A1945" s="16" t="n">
        <x:v>10676</x:v>
      </x:c>
      <x:c r="B1945" s="16" t="n">
        <x:v>1982</x:v>
      </x:c>
      <x:c r="C1945" s="16" t="str">
        <x:v>Graduation</x:v>
      </x:c>
      <x:c r="D1945" s="16" t="str">
        <x:v>Married</x:v>
      </x:c>
      <x:c r="E1945" s="16" t="n">
        <x:v>63211</x:v>
      </x:c>
      <x:c r="F1945" s="16" t="n">
        <x:v>0</x:v>
      </x:c>
      <x:c r="G1945" s="16" t="n">
        <x:v>0</x:v>
      </x:c>
      <x:c r="H1945" s="16" t="str">
        <x:v>02-11-2012</x:v>
      </x:c>
      <x:c r="I1945" s="16" t="n">
        <x:v>3</x:v>
      </x:c>
      <x:c r="J1945" s="16" t="n">
        <x:v>145</x:v>
      </x:c>
      <x:c r="K1945" s="16" t="n">
        <x:v>193</x:v>
      </x:c>
      <x:c r="L1945" s="16" t="n">
        <x:v>459</x:v>
      </x:c>
      <x:c r="M1945" s="16" t="n">
        <x:v>205</x:v>
      </x:c>
      <x:c r="N1945" s="16" t="n">
        <x:v>26</x:v>
      </x:c>
      <x:c r="O1945" s="16" t="n">
        <x:v>145</x:v>
      </x:c>
      <x:c r="P1945" s="16" t="n">
        <x:v>2</x:v>
      </x:c>
      <x:c r="Q1945" s="16" t="n">
        <x:v>3</x:v>
      </x:c>
      <x:c r="R1945" s="16" t="n">
        <x:v>8</x:v>
      </x:c>
      <x:c r="S1945" s="16" t="n">
        <x:v>7</x:v>
      </x:c>
      <x:c r="T1945" s="16" t="n">
        <x:v>2</x:v>
      </x:c>
      <x:c r="U1945" s="16" t="n">
        <x:v>0</x:v>
      </x:c>
      <x:c r="V1945" s="16" t="n">
        <x:v>0</x:v>
      </x:c>
      <x:c r="W1945" s="16" t="n">
        <x:v>0</x:v>
      </x:c>
      <x:c r="X1945" s="16" t="n">
        <x:v>0</x:v>
      </x:c>
      <x:c r="Y1945" s="16" t="n">
        <x:v>0</x:v>
      </x:c>
      <x:c r="Z1945" s="16" t="n">
        <x:v>0</x:v>
      </x:c>
      <x:c r="AA1945" s="16" t="n">
        <x:v>3</x:v>
      </x:c>
      <x:c r="AB1945" s="16" t="n">
        <x:v>11</x:v>
      </x:c>
      <x:c r="AC1945" s="16" t="n">
        <x:v>1</x:v>
      </x:c>
      <x:c r="AD1945" s="21" t="n">
        <x:f>IF(E1945="",MEDIAN($E$2:$E$2237),E1945)</x:f>
        <x:v>63211</x:v>
      </x:c>
      <x:c r="AE1945" s="17" t="n">
        <x:f>2014-B1945</x:f>
        <x:v>32</x:v>
      </x:c>
      <x:c r="AF1945" s="17" t="n">
        <x:f>F1945+G1945</x:f>
        <x:v>0</x:v>
      </x:c>
      <x:c r="AG1945" s="21" t="n">
        <x:f>SUM(J1945:O1945)</x:f>
        <x:v>1173</x:v>
      </x:c>
      <x:c r="AH1945" s="17" t="n">
        <x:f>SUM(Q1945:S1945)</x:f>
        <x:v>18</x:v>
      </x:c>
      <x:c r="AI1945" s="17" t="n">
        <x:f>SUM(U1945:Y1945)</x:f>
        <x:v>0</x:v>
      </x:c>
      <x:c r="AJ1945" s="17" t="str">
        <x:f>IF(AE1945&lt;=34,"≤34",IF(AE1945&lt;=44,"35–44",IF(AE1945&lt;=54,"45–54",IF(AE1945&lt;=64,"55–64","65+"))))</x:f>
        <x:v>≤34</x:v>
      </x:c>
      <x:c r="AK1945" s="17" t="str">
        <x:f>IF(AG1945&gt;=1000,"High Value",IF(AG1945&gt;=300,"Mid Value","Low Value"))</x:f>
        <x:v>High Value</x:v>
      </x:c>
      <x:c r="AL1945" s="17" t="str">
        <x:f>IF(AND(AI1945&gt;=1,I1945&lt;=50),"Priority 1",IF(AND(AG1945&gt;=1000,I1945&lt;=60),"Priority 2",IF(I1945&lt;=30,"Priority 3","Nurture")))</x:f>
        <x:v>Priority 2</x:v>
      </x:c>
    </x:row>
    <x:row r="1946">
      <x:c r="A1946" s="16" t="n">
        <x:v>2495</x:v>
      </x:c>
      <x:c r="B1946" s="16" t="n">
        <x:v>1974</x:v>
      </x:c>
      <x:c r="C1946" s="16" t="str">
        <x:v>Master</x:v>
      </x:c>
      <x:c r="D1946" s="16" t="str">
        <x:v>Married</x:v>
      </x:c>
      <x:c r="E1946" s="16" t="n">
        <x:v>83891</x:v>
      </x:c>
      <x:c r="F1946" s="16" t="n">
        <x:v>0</x:v>
      </x:c>
      <x:c r="G1946" s="16" t="n">
        <x:v>1</x:v>
      </x:c>
      <x:c r="H1946" s="16" t="str">
        <x:v>20-06-2014</x:v>
      </x:c>
      <x:c r="I1946" s="16" t="n">
        <x:v>24</x:v>
      </x:c>
      <x:c r="J1946" s="16" t="n">
        <x:v>217</x:v>
      </x:c>
      <x:c r="K1946" s="16" t="n">
        <x:v>38</x:v>
      </x:c>
      <x:c r="L1946" s="16" t="n">
        <x:v>350</x:v>
      </x:c>
      <x:c r="M1946" s="16" t="n">
        <x:v>111</x:v>
      </x:c>
      <x:c r="N1946" s="16" t="n">
        <x:v>85</x:v>
      </x:c>
      <x:c r="O1946" s="16" t="n">
        <x:v>15</x:v>
      </x:c>
      <x:c r="P1946" s="16" t="n">
        <x:v>1</x:v>
      </x:c>
      <x:c r="Q1946" s="16" t="n">
        <x:v>4</x:v>
      </x:c>
      <x:c r="R1946" s="16" t="n">
        <x:v>7</x:v>
      </x:c>
      <x:c r="S1946" s="16" t="n">
        <x:v>10</x:v>
      </x:c>
      <x:c r="T1946" s="16" t="n">
        <x:v>1</x:v>
      </x:c>
      <x:c r="U1946" s="16" t="n">
        <x:v>0</x:v>
      </x:c>
      <x:c r="V1946" s="16" t="n">
        <x:v>0</x:v>
      </x:c>
      <x:c r="W1946" s="16" t="n">
        <x:v>0</x:v>
      </x:c>
      <x:c r="X1946" s="16" t="n">
        <x:v>0</x:v>
      </x:c>
      <x:c r="Y1946" s="16" t="n">
        <x:v>0</x:v>
      </x:c>
      <x:c r="Z1946" s="16" t="n">
        <x:v>0</x:v>
      </x:c>
      <x:c r="AA1946" s="16" t="n">
        <x:v>3</x:v>
      </x:c>
      <x:c r="AB1946" s="16" t="n">
        <x:v>11</x:v>
      </x:c>
      <x:c r="AC1946" s="16" t="n">
        <x:v>0</x:v>
      </x:c>
      <x:c r="AD1946" s="21" t="n">
        <x:f>IF(E1946="",MEDIAN($E$2:$E$2237),E1946)</x:f>
        <x:v>83891</x:v>
      </x:c>
      <x:c r="AE1946" s="17" t="n">
        <x:f>2014-B1946</x:f>
        <x:v>40</x:v>
      </x:c>
      <x:c r="AF1946" s="17" t="n">
        <x:f>F1946+G1946</x:f>
        <x:v>1</x:v>
      </x:c>
      <x:c r="AG1946" s="21" t="n">
        <x:f>SUM(J1946:O1946)</x:f>
        <x:v>816</x:v>
      </x:c>
      <x:c r="AH1946" s="17" t="n">
        <x:f>SUM(Q1946:S1946)</x:f>
        <x:v>21</x:v>
      </x:c>
      <x:c r="AI1946" s="17" t="n">
        <x:f>SUM(U1946:Y1946)</x:f>
        <x:v>0</x:v>
      </x:c>
      <x:c r="AJ1946" s="17" t="str">
        <x:f>IF(AE1946&lt;=34,"≤34",IF(AE1946&lt;=44,"35–44",IF(AE1946&lt;=54,"45–54",IF(AE1946&lt;=64,"55–64","65+"))))</x:f>
        <x:v>35–44</x:v>
      </x:c>
      <x:c r="AK1946" s="17" t="str">
        <x:f>IF(AG1946&gt;=1000,"High Value",IF(AG1946&gt;=300,"Mid Value","Low Value"))</x:f>
        <x:v>Mid Value</x:v>
      </x:c>
      <x:c r="AL1946" s="17" t="str">
        <x:f>IF(AND(AI1946&gt;=1,I1946&lt;=50),"Priority 1",IF(AND(AG1946&gt;=1000,I1946&lt;=60),"Priority 2",IF(I1946&lt;=30,"Priority 3","Nurture")))</x:f>
        <x:v>Priority 3</x:v>
      </x:c>
    </x:row>
    <x:row r="1947">
      <x:c r="A1947" s="16" t="n">
        <x:v>7842</x:v>
      </x:c>
      <x:c r="B1947" s="16" t="n">
        <x:v>1968</x:v>
      </x:c>
      <x:c r="C1947" s="16" t="str">
        <x:v>Graduation</x:v>
      </x:c>
      <x:c r="D1947" s="16" t="str">
        <x:v>Single</x:v>
      </x:c>
      <x:c r="E1947" s="16" t="n">
        <x:v>36065</x:v>
      </x:c>
      <x:c r="F1947" s="16" t="n">
        <x:v>1</x:v>
      </x:c>
      <x:c r="G1947" s="16" t="n">
        <x:v>1</x:v>
      </x:c>
      <x:c r="H1947" s="16" t="str">
        <x:v>31-03-2013</x:v>
      </x:c>
      <x:c r="I1947" s="16" t="n">
        <x:v>54</x:v>
      </x:c>
      <x:c r="J1947" s="16" t="n">
        <x:v>18</x:v>
      </x:c>
      <x:c r="K1947" s="16" t="n">
        <x:v>7</x:v>
      </x:c>
      <x:c r="L1947" s="16" t="n">
        <x:v>34</x:v>
      </x:c>
      <x:c r="M1947" s="16" t="n">
        <x:v>10</x:v>
      </x:c>
      <x:c r="N1947" s="16" t="n">
        <x:v>2</x:v>
      </x:c>
      <x:c r="O1947" s="16" t="n">
        <x:v>3</x:v>
      </x:c>
      <x:c r="P1947" s="16" t="n">
        <x:v>3</x:v>
      </x:c>
      <x:c r="Q1947" s="16" t="n">
        <x:v>3</x:v>
      </x:c>
      <x:c r="R1947" s="16" t="n">
        <x:v>0</x:v>
      </x:c>
      <x:c r="S1947" s="16" t="n">
        <x:v>3</x:v>
      </x:c>
      <x:c r="T1947" s="16" t="n">
        <x:v>8</x:v>
      </x:c>
      <x:c r="U1947" s="16" t="n">
        <x:v>0</x:v>
      </x:c>
      <x:c r="V1947" s="16" t="n">
        <x:v>0</x:v>
      </x:c>
      <x:c r="W1947" s="16" t="n">
        <x:v>0</x:v>
      </x:c>
      <x:c r="X1947" s="16" t="n">
        <x:v>0</x:v>
      </x:c>
      <x:c r="Y1947" s="16" t="n">
        <x:v>0</x:v>
      </x:c>
      <x:c r="Z1947" s="16" t="n">
        <x:v>0</x:v>
      </x:c>
      <x:c r="AA1947" s="16" t="n">
        <x:v>3</x:v>
      </x:c>
      <x:c r="AB1947" s="16" t="n">
        <x:v>11</x:v>
      </x:c>
      <x:c r="AC1947" s="16" t="n">
        <x:v>0</x:v>
      </x:c>
      <x:c r="AD1947" s="21" t="n">
        <x:f>IF(E1947="",MEDIAN($E$2:$E$2237),E1947)</x:f>
        <x:v>36065</x:v>
      </x:c>
      <x:c r="AE1947" s="17" t="n">
        <x:f>2014-B1947</x:f>
        <x:v>46</x:v>
      </x:c>
      <x:c r="AF1947" s="17" t="n">
        <x:f>F1947+G1947</x:f>
        <x:v>2</x:v>
      </x:c>
      <x:c r="AG1947" s="21" t="n">
        <x:f>SUM(J1947:O1947)</x:f>
        <x:v>74</x:v>
      </x:c>
      <x:c r="AH1947" s="17" t="n">
        <x:f>SUM(Q1947:S1947)</x:f>
        <x:v>6</x:v>
      </x:c>
      <x:c r="AI1947" s="17" t="n">
        <x:f>SUM(U1947:Y1947)</x:f>
        <x:v>0</x:v>
      </x:c>
      <x:c r="AJ1947" s="17" t="str">
        <x:f>IF(AE1947&lt;=34,"≤34",IF(AE1947&lt;=44,"35–44",IF(AE1947&lt;=54,"45–54",IF(AE1947&lt;=64,"55–64","65+"))))</x:f>
        <x:v>45–54</x:v>
      </x:c>
      <x:c r="AK1947" s="17" t="str">
        <x:f>IF(AG1947&gt;=1000,"High Value",IF(AG1947&gt;=300,"Mid Value","Low Value"))</x:f>
        <x:v>Low Value</x:v>
      </x:c>
      <x:c r="AL1947" s="17" t="str">
        <x:f>IF(AND(AI1947&gt;=1,I1947&lt;=50),"Priority 1",IF(AND(AG1947&gt;=1000,I1947&lt;=60),"Priority 2",IF(I1947&lt;=30,"Priority 3","Nurture")))</x:f>
        <x:v>Nurture</x:v>
      </x:c>
    </x:row>
    <x:row r="1948">
      <x:c r="A1948" s="16" t="n">
        <x:v>9955</x:v>
      </x:c>
      <x:c r="B1948" s="16" t="n">
        <x:v>1954</x:v>
      </x:c>
      <x:c r="C1948" s="16" t="str">
        <x:v>Graduation</x:v>
      </x:c>
      <x:c r="D1948" s="16" t="str">
        <x:v>Together</x:v>
      </x:c>
      <x:c r="E1948" s="16" t="n">
        <x:v>39898</x:v>
      </x:c>
      <x:c r="F1948" s="16" t="n">
        <x:v>0</x:v>
      </x:c>
      <x:c r="G1948" s="16" t="n">
        <x:v>1</x:v>
      </x:c>
      <x:c r="H1948" s="16" t="str">
        <x:v>12-02-2013</x:v>
      </x:c>
      <x:c r="I1948" s="16" t="n">
        <x:v>20</x:v>
      </x:c>
      <x:c r="J1948" s="16" t="n">
        <x:v>69</x:v>
      </x:c>
      <x:c r="K1948" s="16" t="n">
        <x:v>8</x:v>
      </x:c>
      <x:c r="L1948" s="16" t="n">
        <x:v>26</x:v>
      </x:c>
      <x:c r="M1948" s="16" t="n">
        <x:v>12</x:v>
      </x:c>
      <x:c r="N1948" s="16" t="n">
        <x:v>7</x:v>
      </x:c>
      <x:c r="O1948" s="16" t="n">
        <x:v>12</x:v>
      </x:c>
      <x:c r="P1948" s="16" t="n">
        <x:v>2</x:v>
      </x:c>
      <x:c r="Q1948" s="16" t="n">
        <x:v>3</x:v>
      </x:c>
      <x:c r="R1948" s="16" t="n">
        <x:v>0</x:v>
      </x:c>
      <x:c r="S1948" s="16" t="n">
        <x:v>4</x:v>
      </x:c>
      <x:c r="T1948" s="16" t="n">
        <x:v>7</x:v>
      </x:c>
      <x:c r="U1948" s="16" t="n">
        <x:v>0</x:v>
      </x:c>
      <x:c r="V1948" s="16" t="n">
        <x:v>0</x:v>
      </x:c>
      <x:c r="W1948" s="16" t="n">
        <x:v>0</x:v>
      </x:c>
      <x:c r="X1948" s="16" t="n">
        <x:v>0</x:v>
      </x:c>
      <x:c r="Y1948" s="16" t="n">
        <x:v>0</x:v>
      </x:c>
      <x:c r="Z1948" s="16" t="n">
        <x:v>0</x:v>
      </x:c>
      <x:c r="AA1948" s="16" t="n">
        <x:v>3</x:v>
      </x:c>
      <x:c r="AB1948" s="16" t="n">
        <x:v>11</x:v>
      </x:c>
      <x:c r="AC1948" s="16" t="n">
        <x:v>0</x:v>
      </x:c>
      <x:c r="AD1948" s="21" t="n">
        <x:f>IF(E1948="",MEDIAN($E$2:$E$2237),E1948)</x:f>
        <x:v>39898</x:v>
      </x:c>
      <x:c r="AE1948" s="17" t="n">
        <x:f>2014-B1948</x:f>
        <x:v>60</x:v>
      </x:c>
      <x:c r="AF1948" s="17" t="n">
        <x:f>F1948+G1948</x:f>
        <x:v>1</x:v>
      </x:c>
      <x:c r="AG1948" s="21" t="n">
        <x:f>SUM(J1948:O1948)</x:f>
        <x:v>134</x:v>
      </x:c>
      <x:c r="AH1948" s="17" t="n">
        <x:f>SUM(Q1948:S1948)</x:f>
        <x:v>7</x:v>
      </x:c>
      <x:c r="AI1948" s="17" t="n">
        <x:f>SUM(U1948:Y1948)</x:f>
        <x:v>0</x:v>
      </x:c>
      <x:c r="AJ1948" s="17" t="str">
        <x:f>IF(AE1948&lt;=34,"≤34",IF(AE1948&lt;=44,"35–44",IF(AE1948&lt;=54,"45–54",IF(AE1948&lt;=64,"55–64","65+"))))</x:f>
        <x:v>55–64</x:v>
      </x:c>
      <x:c r="AK1948" s="17" t="str">
        <x:f>IF(AG1948&gt;=1000,"High Value",IF(AG1948&gt;=300,"Mid Value","Low Value"))</x:f>
        <x:v>Low Value</x:v>
      </x:c>
      <x:c r="AL1948" s="17" t="str">
        <x:f>IF(AND(AI1948&gt;=1,I1948&lt;=50),"Priority 1",IF(AND(AG1948&gt;=1000,I1948&lt;=60),"Priority 2",IF(I1948&lt;=30,"Priority 3","Nurture")))</x:f>
        <x:v>Priority 3</x:v>
      </x:c>
    </x:row>
    <x:row r="1949">
      <x:c r="A1949" s="16" t="n">
        <x:v>6663</x:v>
      </x:c>
      <x:c r="B1949" s="16" t="n">
        <x:v>1940</x:v>
      </x:c>
      <x:c r="C1949" s="16" t="str">
        <x:v>PhD</x:v>
      </x:c>
      <x:c r="D1949" s="16" t="str">
        <x:v>Single</x:v>
      </x:c>
      <x:c r="E1949" s="16" t="n">
        <x:v>51141</x:v>
      </x:c>
      <x:c r="F1949" s="16" t="n">
        <x:v>0</x:v>
      </x:c>
      <x:c r="G1949" s="16" t="n">
        <x:v>0</x:v>
      </x:c>
      <x:c r="H1949" s="16" t="str">
        <x:v>08-07-2013</x:v>
      </x:c>
      <x:c r="I1949" s="16" t="n">
        <x:v>96</x:v>
      </x:c>
      <x:c r="J1949" s="16" t="n">
        <x:v>144</x:v>
      </x:c>
      <x:c r="K1949" s="16" t="n">
        <x:v>0</x:v>
      </x:c>
      <x:c r="L1949" s="16" t="n">
        <x:v>7</x:v>
      </x:c>
      <x:c r="M1949" s="16" t="n">
        <x:v>0</x:v>
      </x:c>
      <x:c r="N1949" s="16" t="n">
        <x:v>0</x:v>
      </x:c>
      <x:c r="O1949" s="16" t="n">
        <x:v>6</x:v>
      </x:c>
      <x:c r="P1949" s="16" t="n">
        <x:v>1</x:v>
      </x:c>
      <x:c r="Q1949" s="16" t="n">
        <x:v>3</x:v>
      </x:c>
      <x:c r="R1949" s="16" t="n">
        <x:v>1</x:v>
      </x:c>
      <x:c r="S1949" s="16" t="n">
        <x:v>4</x:v>
      </x:c>
      <x:c r="T1949" s="16" t="n">
        <x:v>5</x:v>
      </x:c>
      <x:c r="U1949" s="16" t="n">
        <x:v>0</x:v>
      </x:c>
      <x:c r="V1949" s="16" t="n">
        <x:v>0</x:v>
      </x:c>
      <x:c r="W1949" s="16" t="n">
        <x:v>0</x:v>
      </x:c>
      <x:c r="X1949" s="16" t="n">
        <x:v>0</x:v>
      </x:c>
      <x:c r="Y1949" s="16" t="n">
        <x:v>0</x:v>
      </x:c>
      <x:c r="Z1949" s="16" t="n">
        <x:v>0</x:v>
      </x:c>
      <x:c r="AA1949" s="16" t="n">
        <x:v>3</x:v>
      </x:c>
      <x:c r="AB1949" s="16" t="n">
        <x:v>11</x:v>
      </x:c>
      <x:c r="AC1949" s="16" t="n">
        <x:v>0</x:v>
      </x:c>
      <x:c r="AD1949" s="21" t="n">
        <x:f>IF(E1949="",MEDIAN($E$2:$E$2237),E1949)</x:f>
        <x:v>51141</x:v>
      </x:c>
      <x:c r="AE1949" s="17" t="n">
        <x:f>2014-B1949</x:f>
        <x:v>74</x:v>
      </x:c>
      <x:c r="AF1949" s="17" t="n">
        <x:f>F1949+G1949</x:f>
        <x:v>0</x:v>
      </x:c>
      <x:c r="AG1949" s="21" t="n">
        <x:f>SUM(J1949:O1949)</x:f>
        <x:v>157</x:v>
      </x:c>
      <x:c r="AH1949" s="17" t="n">
        <x:f>SUM(Q1949:S1949)</x:f>
        <x:v>8</x:v>
      </x:c>
      <x:c r="AI1949" s="17" t="n">
        <x:f>SUM(U1949:Y1949)</x:f>
        <x:v>0</x:v>
      </x:c>
      <x:c r="AJ1949" s="17" t="str">
        <x:f>IF(AE1949&lt;=34,"≤34",IF(AE1949&lt;=44,"35–44",IF(AE1949&lt;=54,"45–54",IF(AE1949&lt;=64,"55–64","65+"))))</x:f>
        <x:v>65+</x:v>
      </x:c>
      <x:c r="AK1949" s="17" t="str">
        <x:f>IF(AG1949&gt;=1000,"High Value",IF(AG1949&gt;=300,"Mid Value","Low Value"))</x:f>
        <x:v>Low Value</x:v>
      </x:c>
      <x:c r="AL1949" s="17" t="str">
        <x:f>IF(AND(AI1949&gt;=1,I1949&lt;=50),"Priority 1",IF(AND(AG1949&gt;=1000,I1949&lt;=60),"Priority 2",IF(I1949&lt;=30,"Priority 3","Nurture")))</x:f>
        <x:v>Nurture</x:v>
      </x:c>
    </x:row>
    <x:row r="1950">
      <x:c r="A1950" s="16" t="n">
        <x:v>2162</x:v>
      </x:c>
      <x:c r="B1950" s="16" t="n">
        <x:v>1976</x:v>
      </x:c>
      <x:c r="C1950" s="16" t="str">
        <x:v>Graduation</x:v>
      </x:c>
      <x:c r="D1950" s="16" t="str">
        <x:v>Married</x:v>
      </x:c>
      <x:c r="E1950" s="16" t="n">
        <x:v>56939</x:v>
      </x:c>
      <x:c r="F1950" s="16" t="n">
        <x:v>0</x:v>
      </x:c>
      <x:c r="G1950" s="16" t="n">
        <x:v>1</x:v>
      </x:c>
      <x:c r="H1950" s="16" t="str">
        <x:v>18-09-2013</x:v>
      </x:c>
      <x:c r="I1950" s="16" t="n">
        <x:v>19</x:v>
      </x:c>
      <x:c r="J1950" s="16" t="n">
        <x:v>256</x:v>
      </x:c>
      <x:c r="K1950" s="16" t="n">
        <x:v>34</x:v>
      </x:c>
      <x:c r="L1950" s="16" t="n">
        <x:v>103</x:v>
      </x:c>
      <x:c r="M1950" s="16" t="n">
        <x:v>90</x:v>
      </x:c>
      <x:c r="N1950" s="16" t="n">
        <x:v>29</x:v>
      </x:c>
      <x:c r="O1950" s="16" t="n">
        <x:v>49</x:v>
      </x:c>
      <x:c r="P1950" s="16" t="n">
        <x:v>2</x:v>
      </x:c>
      <x:c r="Q1950" s="16" t="n">
        <x:v>3</x:v>
      </x:c>
      <x:c r="R1950" s="16" t="n">
        <x:v>3</x:v>
      </x:c>
      <x:c r="S1950" s="16" t="n">
        <x:v>10</x:v>
      </x:c>
      <x:c r="T1950" s="16" t="n">
        <x:v>3</x:v>
      </x:c>
      <x:c r="U1950" s="16" t="n">
        <x:v>0</x:v>
      </x:c>
      <x:c r="V1950" s="16" t="n">
        <x:v>0</x:v>
      </x:c>
      <x:c r="W1950" s="16" t="n">
        <x:v>0</x:v>
      </x:c>
      <x:c r="X1950" s="16" t="n">
        <x:v>0</x:v>
      </x:c>
      <x:c r="Y1950" s="16" t="n">
        <x:v>0</x:v>
      </x:c>
      <x:c r="Z1950" s="16" t="n">
        <x:v>0</x:v>
      </x:c>
      <x:c r="AA1950" s="16" t="n">
        <x:v>3</x:v>
      </x:c>
      <x:c r="AB1950" s="16" t="n">
        <x:v>11</x:v>
      </x:c>
      <x:c r="AC1950" s="16" t="n">
        <x:v>0</x:v>
      </x:c>
      <x:c r="AD1950" s="21" t="n">
        <x:f>IF(E1950="",MEDIAN($E$2:$E$2237),E1950)</x:f>
        <x:v>56939</x:v>
      </x:c>
      <x:c r="AE1950" s="17" t="n">
        <x:f>2014-B1950</x:f>
        <x:v>38</x:v>
      </x:c>
      <x:c r="AF1950" s="17" t="n">
        <x:f>F1950+G1950</x:f>
        <x:v>1</x:v>
      </x:c>
      <x:c r="AG1950" s="21" t="n">
        <x:f>SUM(J1950:O1950)</x:f>
        <x:v>561</x:v>
      </x:c>
      <x:c r="AH1950" s="17" t="n">
        <x:f>SUM(Q1950:S1950)</x:f>
        <x:v>16</x:v>
      </x:c>
      <x:c r="AI1950" s="17" t="n">
        <x:f>SUM(U1950:Y1950)</x:f>
        <x:v>0</x:v>
      </x:c>
      <x:c r="AJ1950" s="17" t="str">
        <x:f>IF(AE1950&lt;=34,"≤34",IF(AE1950&lt;=44,"35–44",IF(AE1950&lt;=54,"45–54",IF(AE1950&lt;=64,"55–64","65+"))))</x:f>
        <x:v>35–44</x:v>
      </x:c>
      <x:c r="AK1950" s="17" t="str">
        <x:f>IF(AG1950&gt;=1000,"High Value",IF(AG1950&gt;=300,"Mid Value","Low Value"))</x:f>
        <x:v>Mid Value</x:v>
      </x:c>
      <x:c r="AL1950" s="17" t="str">
        <x:f>IF(AND(AI1950&gt;=1,I1950&lt;=50),"Priority 1",IF(AND(AG1950&gt;=1000,I1950&lt;=60),"Priority 2",IF(I1950&lt;=30,"Priority 3","Nurture")))</x:f>
        <x:v>Priority 3</x:v>
      </x:c>
    </x:row>
    <x:row r="1951">
      <x:c r="A1951" s="16" t="n">
        <x:v>3434</x:v>
      </x:c>
      <x:c r="B1951" s="16" t="n">
        <x:v>1951</x:v>
      </x:c>
      <x:c r="C1951" s="16" t="str">
        <x:v>Graduation</x:v>
      </x:c>
      <x:c r="D1951" s="16" t="str">
        <x:v>Single</x:v>
      </x:c>
      <x:c r="E1951" s="16" t="n">
        <x:v>80872</x:v>
      </x:c>
      <x:c r="F1951" s="16" t="n">
        <x:v>0</x:v>
      </x:c>
      <x:c r="G1951" s="16" t="n">
        <x:v>0</x:v>
      </x:c>
      <x:c r="H1951" s="16" t="str">
        <x:v>12-05-2014</x:v>
      </x:c>
      <x:c r="I1951" s="16" t="n">
        <x:v>60</x:v>
      </x:c>
      <x:c r="J1951" s="16" t="n">
        <x:v>483</x:v>
      </x:c>
      <x:c r="K1951" s="16" t="n">
        <x:v>72</x:v>
      </x:c>
      <x:c r="L1951" s="16" t="n">
        <x:v>567</x:v>
      </x:c>
      <x:c r="M1951" s="16" t="n">
        <x:v>94</x:v>
      </x:c>
      <x:c r="N1951" s="16" t="n">
        <x:v>12</x:v>
      </x:c>
      <x:c r="O1951" s="16" t="n">
        <x:v>108</x:v>
      </x:c>
      <x:c r="P1951" s="16" t="n">
        <x:v>1</x:v>
      </x:c>
      <x:c r="Q1951" s="16" t="n">
        <x:v>4</x:v>
      </x:c>
      <x:c r="R1951" s="16" t="n">
        <x:v>4</x:v>
      </x:c>
      <x:c r="S1951" s="16" t="n">
        <x:v>10</x:v>
      </x:c>
      <x:c r="T1951" s="16" t="n">
        <x:v>1</x:v>
      </x:c>
      <x:c r="U1951" s="16" t="n">
        <x:v>0</x:v>
      </x:c>
      <x:c r="V1951" s="16" t="n">
        <x:v>0</x:v>
      </x:c>
      <x:c r="W1951" s="16" t="n">
        <x:v>0</x:v>
      </x:c>
      <x:c r="X1951" s="16" t="n">
        <x:v>0</x:v>
      </x:c>
      <x:c r="Y1951" s="16" t="n">
        <x:v>0</x:v>
      </x:c>
      <x:c r="Z1951" s="16" t="n">
        <x:v>0</x:v>
      </x:c>
      <x:c r="AA1951" s="16" t="n">
        <x:v>3</x:v>
      </x:c>
      <x:c r="AB1951" s="16" t="n">
        <x:v>11</x:v>
      </x:c>
      <x:c r="AC1951" s="16" t="n">
        <x:v>0</x:v>
      </x:c>
      <x:c r="AD1951" s="21" t="n">
        <x:f>IF(E1951="",MEDIAN($E$2:$E$2237),E1951)</x:f>
        <x:v>80872</x:v>
      </x:c>
      <x:c r="AE1951" s="17" t="n">
        <x:f>2014-B1951</x:f>
        <x:v>63</x:v>
      </x:c>
      <x:c r="AF1951" s="17" t="n">
        <x:f>F1951+G1951</x:f>
        <x:v>0</x:v>
      </x:c>
      <x:c r="AG1951" s="21" t="n">
        <x:f>SUM(J1951:O1951)</x:f>
        <x:v>1336</x:v>
      </x:c>
      <x:c r="AH1951" s="17" t="n">
        <x:f>SUM(Q1951:S1951)</x:f>
        <x:v>18</x:v>
      </x:c>
      <x:c r="AI1951" s="17" t="n">
        <x:f>SUM(U1951:Y1951)</x:f>
        <x:v>0</x:v>
      </x:c>
      <x:c r="AJ1951" s="17" t="str">
        <x:f>IF(AE1951&lt;=34,"≤34",IF(AE1951&lt;=44,"35–44",IF(AE1951&lt;=54,"45–54",IF(AE1951&lt;=64,"55–64","65+"))))</x:f>
        <x:v>55–64</x:v>
      </x:c>
      <x:c r="AK1951" s="17" t="str">
        <x:f>IF(AG1951&gt;=1000,"High Value",IF(AG1951&gt;=300,"Mid Value","Low Value"))</x:f>
        <x:v>High Value</x:v>
      </x:c>
      <x:c r="AL1951" s="17" t="str">
        <x:f>IF(AND(AI1951&gt;=1,I1951&lt;=50),"Priority 1",IF(AND(AG1951&gt;=1000,I1951&lt;=60),"Priority 2",IF(I1951&lt;=30,"Priority 3","Nurture")))</x:f>
        <x:v>Priority 2</x:v>
      </x:c>
    </x:row>
    <x:row r="1952">
      <x:c r="A1952" s="16" t="n">
        <x:v>7919</x:v>
      </x:c>
      <x:c r="B1952" s="16" t="n">
        <x:v>1976</x:v>
      </x:c>
      <x:c r="C1952" s="16" t="str">
        <x:v>PhD</x:v>
      </x:c>
      <x:c r="D1952" s="16" t="str">
        <x:v>Together</x:v>
      </x:c>
      <x:c r="E1952" s="16" t="n">
        <x:v>72335</x:v>
      </x:c>
      <x:c r="F1952" s="16" t="n">
        <x:v>0</x:v>
      </x:c>
      <x:c r="G1952" s="16" t="n">
        <x:v>0</x:v>
      </x:c>
      <x:c r="H1952" s="16" t="str">
        <x:v>13-08-2012</x:v>
      </x:c>
      <x:c r="I1952" s="16" t="n">
        <x:v>2</x:v>
      </x:c>
      <x:c r="J1952" s="16" t="n">
        <x:v>1285</x:v>
      </x:c>
      <x:c r="K1952" s="16" t="n">
        <x:v>105</x:v>
      </x:c>
      <x:c r="L1952" s="16" t="n">
        <x:v>653</x:v>
      </x:c>
      <x:c r="M1952" s="16" t="n">
        <x:v>28</x:v>
      </x:c>
      <x:c r="N1952" s="16" t="n">
        <x:v>21</x:v>
      </x:c>
      <x:c r="O1952" s="16" t="n">
        <x:v>0</x:v>
      </x:c>
      <x:c r="P1952" s="16" t="n">
        <x:v>1</x:v>
      </x:c>
      <x:c r="Q1952" s="16" t="n">
        <x:v>10</x:v>
      </x:c>
      <x:c r="R1952" s="16" t="n">
        <x:v>4</x:v>
      </x:c>
      <x:c r="S1952" s="16" t="n">
        <x:v>8</x:v>
      </x:c>
      <x:c r="T1952" s="16" t="n">
        <x:v>8</x:v>
      </x:c>
      <x:c r="U1952" s="16" t="n">
        <x:v>0</x:v>
      </x:c>
      <x:c r="V1952" s="16" t="n">
        <x:v>0</x:v>
      </x:c>
      <x:c r="W1952" s="16" t="n">
        <x:v>0</x:v>
      </x:c>
      <x:c r="X1952" s="16" t="n">
        <x:v>0</x:v>
      </x:c>
      <x:c r="Y1952" s="16" t="n">
        <x:v>0</x:v>
      </x:c>
      <x:c r="Z1952" s="16" t="n">
        <x:v>0</x:v>
      </x:c>
      <x:c r="AA1952" s="16" t="n">
        <x:v>3</x:v>
      </x:c>
      <x:c r="AB1952" s="16" t="n">
        <x:v>11</x:v>
      </x:c>
      <x:c r="AC1952" s="16" t="n">
        <x:v>1</x:v>
      </x:c>
      <x:c r="AD1952" s="21" t="n">
        <x:f>IF(E1952="",MEDIAN($E$2:$E$2237),E1952)</x:f>
        <x:v>72335</x:v>
      </x:c>
      <x:c r="AE1952" s="17" t="n">
        <x:f>2014-B1952</x:f>
        <x:v>38</x:v>
      </x:c>
      <x:c r="AF1952" s="17" t="n">
        <x:f>F1952+G1952</x:f>
        <x:v>0</x:v>
      </x:c>
      <x:c r="AG1952" s="21" t="n">
        <x:f>SUM(J1952:O1952)</x:f>
        <x:v>2092</x:v>
      </x:c>
      <x:c r="AH1952" s="17" t="n">
        <x:f>SUM(Q1952:S1952)</x:f>
        <x:v>22</x:v>
      </x:c>
      <x:c r="AI1952" s="17" t="n">
        <x:f>SUM(U1952:Y1952)</x:f>
        <x:v>0</x:v>
      </x:c>
      <x:c r="AJ1952" s="17" t="str">
        <x:f>IF(AE1952&lt;=34,"≤34",IF(AE1952&lt;=44,"35–44",IF(AE1952&lt;=54,"45–54",IF(AE1952&lt;=64,"55–64","65+"))))</x:f>
        <x:v>35–44</x:v>
      </x:c>
      <x:c r="AK1952" s="17" t="str">
        <x:f>IF(AG1952&gt;=1000,"High Value",IF(AG1952&gt;=300,"Mid Value","Low Value"))</x:f>
        <x:v>High Value</x:v>
      </x:c>
      <x:c r="AL1952" s="17" t="str">
        <x:f>IF(AND(AI1952&gt;=1,I1952&lt;=50),"Priority 1",IF(AND(AG1952&gt;=1000,I1952&lt;=60),"Priority 2",IF(I1952&lt;=30,"Priority 3","Nurture")))</x:f>
        <x:v>Priority 2</x:v>
      </x:c>
    </x:row>
    <x:row r="1953">
      <x:c r="A1953" s="16" t="n">
        <x:v>5626</x:v>
      </x:c>
      <x:c r="B1953" s="16" t="n">
        <x:v>1964</x:v>
      </x:c>
      <x:c r="C1953" s="16" t="str">
        <x:v>PhD</x:v>
      </x:c>
      <x:c r="D1953" s="16" t="str">
        <x:v>Single</x:v>
      </x:c>
      <x:c r="E1953" s="16" t="n">
        <x:v>61798</x:v>
      </x:c>
      <x:c r="F1953" s="16" t="n">
        <x:v>0</x:v>
      </x:c>
      <x:c r="G1953" s="16" t="n">
        <x:v>0</x:v>
      </x:c>
      <x:c r="H1953" s="16" t="str">
        <x:v>23-11-2013</x:v>
      </x:c>
      <x:c r="I1953" s="16" t="n">
        <x:v>13</x:v>
      </x:c>
      <x:c r="J1953" s="16" t="n">
        <x:v>338</x:v>
      </x:c>
      <x:c r="K1953" s="16" t="n">
        <x:v>4</x:v>
      </x:c>
      <x:c r="L1953" s="16" t="n">
        <x:v>89</x:v>
      </x:c>
      <x:c r="M1953" s="16" t="n">
        <x:v>11</x:v>
      </x:c>
      <x:c r="N1953" s="16" t="n">
        <x:v>8</x:v>
      </x:c>
      <x:c r="O1953" s="16" t="n">
        <x:v>13</x:v>
      </x:c>
      <x:c r="P1953" s="16" t="n">
        <x:v>1</x:v>
      </x:c>
      <x:c r="Q1953" s="16" t="n">
        <x:v>4</x:v>
      </x:c>
      <x:c r="R1953" s="16" t="n">
        <x:v>2</x:v>
      </x:c>
      <x:c r="S1953" s="16" t="n">
        <x:v>9</x:v>
      </x:c>
      <x:c r="T1953" s="16" t="n">
        <x:v>4</x:v>
      </x:c>
      <x:c r="U1953" s="16" t="n">
        <x:v>0</x:v>
      </x:c>
      <x:c r="V1953" s="16" t="n">
        <x:v>0</x:v>
      </x:c>
      <x:c r="W1953" s="16" t="n">
        <x:v>0</x:v>
      </x:c>
      <x:c r="X1953" s="16" t="n">
        <x:v>0</x:v>
      </x:c>
      <x:c r="Y1953" s="16" t="n">
        <x:v>0</x:v>
      </x:c>
      <x:c r="Z1953" s="16" t="n">
        <x:v>0</x:v>
      </x:c>
      <x:c r="AA1953" s="16" t="n">
        <x:v>3</x:v>
      </x:c>
      <x:c r="AB1953" s="16" t="n">
        <x:v>11</x:v>
      </x:c>
      <x:c r="AC1953" s="16" t="n">
        <x:v>0</x:v>
      </x:c>
      <x:c r="AD1953" s="21" t="n">
        <x:f>IF(E1953="",MEDIAN($E$2:$E$2237),E1953)</x:f>
        <x:v>61798</x:v>
      </x:c>
      <x:c r="AE1953" s="17" t="n">
        <x:f>2014-B1953</x:f>
        <x:v>50</x:v>
      </x:c>
      <x:c r="AF1953" s="17" t="n">
        <x:f>F1953+G1953</x:f>
        <x:v>0</x:v>
      </x:c>
      <x:c r="AG1953" s="21" t="n">
        <x:f>SUM(J1953:O1953)</x:f>
        <x:v>463</x:v>
      </x:c>
      <x:c r="AH1953" s="17" t="n">
        <x:f>SUM(Q1953:S1953)</x:f>
        <x:v>15</x:v>
      </x:c>
      <x:c r="AI1953" s="17" t="n">
        <x:f>SUM(U1953:Y1953)</x:f>
        <x:v>0</x:v>
      </x:c>
      <x:c r="AJ1953" s="17" t="str">
        <x:f>IF(AE1953&lt;=34,"≤34",IF(AE1953&lt;=44,"35–44",IF(AE1953&lt;=54,"45–54",IF(AE1953&lt;=64,"55–64","65+"))))</x:f>
        <x:v>45–54</x:v>
      </x:c>
      <x:c r="AK1953" s="17" t="str">
        <x:f>IF(AG1953&gt;=1000,"High Value",IF(AG1953&gt;=300,"Mid Value","Low Value"))</x:f>
        <x:v>Mid Value</x:v>
      </x:c>
      <x:c r="AL1953" s="17" t="str">
        <x:f>IF(AND(AI1953&gt;=1,I1953&lt;=50),"Priority 1",IF(AND(AG1953&gt;=1000,I1953&lt;=60),"Priority 2",IF(I1953&lt;=30,"Priority 3","Nurture")))</x:f>
        <x:v>Priority 3</x:v>
      </x:c>
    </x:row>
    <x:row r="1954">
      <x:c r="A1954" s="16" t="n">
        <x:v>6428</x:v>
      </x:c>
      <x:c r="B1954" s="16" t="n">
        <x:v>1950</x:v>
      </x:c>
      <x:c r="C1954" s="16" t="str">
        <x:v>PhD</x:v>
      </x:c>
      <x:c r="D1954" s="16" t="str">
        <x:v>Widow</x:v>
      </x:c>
      <x:c r="E1954" s="16" t="n">
        <x:v>76842</x:v>
      </x:c>
      <x:c r="F1954" s="16" t="n">
        <x:v>0</x:v>
      </x:c>
      <x:c r="G1954" s="16" t="n">
        <x:v>0</x:v>
      </x:c>
      <x:c r="H1954" s="16" t="str">
        <x:v>03-05-2014</x:v>
      </x:c>
      <x:c r="I1954" s="16" t="n">
        <x:v>37</x:v>
      </x:c>
      <x:c r="J1954" s="16" t="n">
        <x:v>605</x:v>
      </x:c>
      <x:c r="K1954" s="16" t="n">
        <x:v>10</x:v>
      </x:c>
      <x:c r="L1954" s="16" t="n">
        <x:v>345</x:v>
      </x:c>
      <x:c r="M1954" s="16" t="n">
        <x:v>84</x:v>
      </x:c>
      <x:c r="N1954" s="16" t="n">
        <x:v>54</x:v>
      </x:c>
      <x:c r="O1954" s="16" t="n">
        <x:v>32</x:v>
      </x:c>
      <x:c r="P1954" s="16" t="n">
        <x:v>1</x:v>
      </x:c>
      <x:c r="Q1954" s="16" t="n">
        <x:v>1</x:v>
      </x:c>
      <x:c r="R1954" s="16" t="n">
        <x:v>8</x:v>
      </x:c>
      <x:c r="S1954" s="16" t="n">
        <x:v>7</x:v>
      </x:c>
      <x:c r="T1954" s="16" t="n">
        <x:v>0</x:v>
      </x:c>
      <x:c r="U1954" s="16" t="n">
        <x:v>0</x:v>
      </x:c>
      <x:c r="V1954" s="16" t="n">
        <x:v>0</x:v>
      </x:c>
      <x:c r="W1954" s="16" t="n">
        <x:v>0</x:v>
      </x:c>
      <x:c r="X1954" s="16" t="n">
        <x:v>0</x:v>
      </x:c>
      <x:c r="Y1954" s="16" t="n">
        <x:v>0</x:v>
      </x:c>
      <x:c r="Z1954" s="16" t="n">
        <x:v>0</x:v>
      </x:c>
      <x:c r="AA1954" s="16" t="n">
        <x:v>3</x:v>
      </x:c>
      <x:c r="AB1954" s="16" t="n">
        <x:v>11</x:v>
      </x:c>
      <x:c r="AC1954" s="16" t="n">
        <x:v>0</x:v>
      </x:c>
      <x:c r="AD1954" s="21" t="n">
        <x:f>IF(E1954="",MEDIAN($E$2:$E$2237),E1954)</x:f>
        <x:v>76842</x:v>
      </x:c>
      <x:c r="AE1954" s="17" t="n">
        <x:f>2014-B1954</x:f>
        <x:v>64</x:v>
      </x:c>
      <x:c r="AF1954" s="17" t="n">
        <x:f>F1954+G1954</x:f>
        <x:v>0</x:v>
      </x:c>
      <x:c r="AG1954" s="21" t="n">
        <x:f>SUM(J1954:O1954)</x:f>
        <x:v>1130</x:v>
      </x:c>
      <x:c r="AH1954" s="17" t="n">
        <x:f>SUM(Q1954:S1954)</x:f>
        <x:v>16</x:v>
      </x:c>
      <x:c r="AI1954" s="17" t="n">
        <x:f>SUM(U1954:Y1954)</x:f>
        <x:v>0</x:v>
      </x:c>
      <x:c r="AJ1954" s="17" t="str">
        <x:f>IF(AE1954&lt;=34,"≤34",IF(AE1954&lt;=44,"35–44",IF(AE1954&lt;=54,"45–54",IF(AE1954&lt;=64,"55–64","65+"))))</x:f>
        <x:v>55–64</x:v>
      </x:c>
      <x:c r="AK1954" s="17" t="str">
        <x:f>IF(AG1954&gt;=1000,"High Value",IF(AG1954&gt;=300,"Mid Value","Low Value"))</x:f>
        <x:v>High Value</x:v>
      </x:c>
      <x:c r="AL1954" s="17" t="str">
        <x:f>IF(AND(AI1954&gt;=1,I1954&lt;=50),"Priority 1",IF(AND(AG1954&gt;=1000,I1954&lt;=60),"Priority 2",IF(I1954&lt;=30,"Priority 3","Nurture")))</x:f>
        <x:v>Priority 2</x:v>
      </x:c>
    </x:row>
    <x:row r="1955">
      <x:c r="A1955" s="16" t="n">
        <x:v>8514</x:v>
      </x:c>
      <x:c r="B1955" s="16" t="n">
        <x:v>1976</x:v>
      </x:c>
      <x:c r="C1955" s="16" t="str">
        <x:v>Graduation</x:v>
      </x:c>
      <x:c r="D1955" s="16" t="str">
        <x:v>Together</x:v>
      </x:c>
      <x:c r="E1955" s="16" t="n">
        <x:v>29478</x:v>
      </x:c>
      <x:c r="F1955" s="16" t="n">
        <x:v>1</x:v>
      </x:c>
      <x:c r="G1955" s="16" t="n">
        <x:v>0</x:v>
      </x:c>
      <x:c r="H1955" s="16" t="str">
        <x:v>17-01-2014</x:v>
      </x:c>
      <x:c r="I1955" s="16" t="n">
        <x:v>59</x:v>
      </x:c>
      <x:c r="J1955" s="16" t="n">
        <x:v>8</x:v>
      </x:c>
      <x:c r="K1955" s="16" t="n">
        <x:v>0</x:v>
      </x:c>
      <x:c r="L1955" s="16" t="n">
        <x:v>7</x:v>
      </x:c>
      <x:c r="M1955" s="16" t="n">
        <x:v>3</x:v>
      </x:c>
      <x:c r="N1955" s="16" t="n">
        <x:v>1</x:v>
      </x:c>
      <x:c r="O1955" s="16" t="n">
        <x:v>1</x:v>
      </x:c>
      <x:c r="P1955" s="16" t="n">
        <x:v>1</x:v>
      </x:c>
      <x:c r="Q1955" s="16" t="n">
        <x:v>1</x:v>
      </x:c>
      <x:c r="R1955" s="16" t="n">
        <x:v>0</x:v>
      </x:c>
      <x:c r="S1955" s="16" t="n">
        <x:v>3</x:v>
      </x:c>
      <x:c r="T1955" s="16" t="n">
        <x:v>6</x:v>
      </x:c>
      <x:c r="U1955" s="16" t="n">
        <x:v>0</x:v>
      </x:c>
      <x:c r="V1955" s="16" t="n">
        <x:v>0</x:v>
      </x:c>
      <x:c r="W1955" s="16" t="n">
        <x:v>0</x:v>
      </x:c>
      <x:c r="X1955" s="16" t="n">
        <x:v>0</x:v>
      </x:c>
      <x:c r="Y1955" s="16" t="n">
        <x:v>0</x:v>
      </x:c>
      <x:c r="Z1955" s="16" t="n">
        <x:v>0</x:v>
      </x:c>
      <x:c r="AA1955" s="16" t="n">
        <x:v>3</x:v>
      </x:c>
      <x:c r="AB1955" s="16" t="n">
        <x:v>11</x:v>
      </x:c>
      <x:c r="AC1955" s="16" t="n">
        <x:v>0</x:v>
      </x:c>
      <x:c r="AD1955" s="21" t="n">
        <x:f>IF(E1955="",MEDIAN($E$2:$E$2237),E1955)</x:f>
        <x:v>29478</x:v>
      </x:c>
      <x:c r="AE1955" s="17" t="n">
        <x:f>2014-B1955</x:f>
        <x:v>38</x:v>
      </x:c>
      <x:c r="AF1955" s="17" t="n">
        <x:f>F1955+G1955</x:f>
        <x:v>1</x:v>
      </x:c>
      <x:c r="AG1955" s="21" t="n">
        <x:f>SUM(J1955:O1955)</x:f>
        <x:v>20</x:v>
      </x:c>
      <x:c r="AH1955" s="17" t="n">
        <x:f>SUM(Q1955:S1955)</x:f>
        <x:v>4</x:v>
      </x:c>
      <x:c r="AI1955" s="17" t="n">
        <x:f>SUM(U1955:Y1955)</x:f>
        <x:v>0</x:v>
      </x:c>
      <x:c r="AJ1955" s="17" t="str">
        <x:f>IF(AE1955&lt;=34,"≤34",IF(AE1955&lt;=44,"35–44",IF(AE1955&lt;=54,"45–54",IF(AE1955&lt;=64,"55–64","65+"))))</x:f>
        <x:v>35–44</x:v>
      </x:c>
      <x:c r="AK1955" s="17" t="str">
        <x:f>IF(AG1955&gt;=1000,"High Value",IF(AG1955&gt;=300,"Mid Value","Low Value"))</x:f>
        <x:v>Low Value</x:v>
      </x:c>
      <x:c r="AL1955" s="17" t="str">
        <x:f>IF(AND(AI1955&gt;=1,I1955&lt;=50),"Priority 1",IF(AND(AG1955&gt;=1000,I1955&lt;=60),"Priority 2",IF(I1955&lt;=30,"Priority 3","Nurture")))</x:f>
        <x:v>Nurture</x:v>
      </x:c>
    </x:row>
    <x:row r="1956">
      <x:c r="A1956" s="16" t="n">
        <x:v>10448</x:v>
      </x:c>
      <x:c r="B1956" s="16" t="n">
        <x:v>1956</x:v>
      </x:c>
      <x:c r="C1956" s="16" t="str">
        <x:v>Graduation</x:v>
      </x:c>
      <x:c r="D1956" s="16" t="str">
        <x:v>Single</x:v>
      </x:c>
      <x:c r="E1956" s="16" t="n">
        <x:v>46998</x:v>
      </x:c>
      <x:c r="F1956" s="16" t="n">
        <x:v>0</x:v>
      </x:c>
      <x:c r="G1956" s="16" t="n">
        <x:v>1</x:v>
      </x:c>
      <x:c r="H1956" s="16" t="str">
        <x:v>22-10-2012</x:v>
      </x:c>
      <x:c r="I1956" s="16" t="n">
        <x:v>55</x:v>
      </x:c>
      <x:c r="J1956" s="16" t="n">
        <x:v>172</x:v>
      </x:c>
      <x:c r="K1956" s="16" t="n">
        <x:v>41</x:v>
      </x:c>
      <x:c r="L1956" s="16" t="n">
        <x:v>86</x:v>
      </x:c>
      <x:c r="M1956" s="16" t="n">
        <x:v>45</x:v>
      </x:c>
      <x:c r="N1956" s="16" t="n">
        <x:v>6</x:v>
      </x:c>
      <x:c r="O1956" s="16" t="n">
        <x:v>27</x:v>
      </x:c>
      <x:c r="P1956" s="16" t="n">
        <x:v>5</x:v>
      </x:c>
      <x:c r="Q1956" s="16" t="n">
        <x:v>5</x:v>
      </x:c>
      <x:c r="R1956" s="16" t="n">
        <x:v>3</x:v>
      </x:c>
      <x:c r="S1956" s="16" t="n">
        <x:v>5</x:v>
      </x:c>
      <x:c r="T1956" s="16" t="n">
        <x:v>7</x:v>
      </x:c>
      <x:c r="U1956" s="16" t="n">
        <x:v>1</x:v>
      </x:c>
      <x:c r="V1956" s="16" t="n">
        <x:v>0</x:v>
      </x:c>
      <x:c r="W1956" s="16" t="n">
        <x:v>0</x:v>
      </x:c>
      <x:c r="X1956" s="16" t="n">
        <x:v>0</x:v>
      </x:c>
      <x:c r="Y1956" s="16" t="n">
        <x:v>0</x:v>
      </x:c>
      <x:c r="Z1956" s="16" t="n">
        <x:v>0</x:v>
      </x:c>
      <x:c r="AA1956" s="16" t="n">
        <x:v>3</x:v>
      </x:c>
      <x:c r="AB1956" s="16" t="n">
        <x:v>11</x:v>
      </x:c>
      <x:c r="AC1956" s="16" t="n">
        <x:v>0</x:v>
      </x:c>
      <x:c r="AD1956" s="21" t="n">
        <x:f>IF(E1956="",MEDIAN($E$2:$E$2237),E1956)</x:f>
        <x:v>46998</x:v>
      </x:c>
      <x:c r="AE1956" s="17" t="n">
        <x:f>2014-B1956</x:f>
        <x:v>58</x:v>
      </x:c>
      <x:c r="AF1956" s="17" t="n">
        <x:f>F1956+G1956</x:f>
        <x:v>1</x:v>
      </x:c>
      <x:c r="AG1956" s="21" t="n">
        <x:f>SUM(J1956:O1956)</x:f>
        <x:v>377</x:v>
      </x:c>
      <x:c r="AH1956" s="17" t="n">
        <x:f>SUM(Q1956:S1956)</x:f>
        <x:v>13</x:v>
      </x:c>
      <x:c r="AI1956" s="17" t="n">
        <x:f>SUM(U1956:Y1956)</x:f>
        <x:v>1</x:v>
      </x:c>
      <x:c r="AJ1956" s="17" t="str">
        <x:f>IF(AE1956&lt;=34,"≤34",IF(AE1956&lt;=44,"35–44",IF(AE1956&lt;=54,"45–54",IF(AE1956&lt;=64,"55–64","65+"))))</x:f>
        <x:v>55–64</x:v>
      </x:c>
      <x:c r="AK1956" s="17" t="str">
        <x:f>IF(AG1956&gt;=1000,"High Value",IF(AG1956&gt;=300,"Mid Value","Low Value"))</x:f>
        <x:v>Mid Value</x:v>
      </x:c>
      <x:c r="AL1956" s="17" t="str">
        <x:f>IF(AND(AI1956&gt;=1,I1956&lt;=50),"Priority 1",IF(AND(AG1956&gt;=1000,I1956&lt;=60),"Priority 2",IF(I1956&lt;=30,"Priority 3","Nurture")))</x:f>
        <x:v>Nurture</x:v>
      </x:c>
    </x:row>
    <x:row r="1957">
      <x:c r="A1957" s="16" t="n">
        <x:v>2109</x:v>
      </x:c>
      <x:c r="B1957" s="16" t="n">
        <x:v>1990</x:v>
      </x:c>
      <x:c r="C1957" s="16" t="str">
        <x:v>Graduation</x:v>
      </x:c>
      <x:c r="D1957" s="16" t="str">
        <x:v>Single</x:v>
      </x:c>
      <x:c r="E1957" s="16" t="n">
        <x:v>96843</x:v>
      </x:c>
      <x:c r="F1957" s="16" t="n">
        <x:v>0</x:v>
      </x:c>
      <x:c r="G1957" s="16" t="n">
        <x:v>0</x:v>
      </x:c>
      <x:c r="H1957" s="16" t="str">
        <x:v>23-04-2013</x:v>
      </x:c>
      <x:c r="I1957" s="16" t="n">
        <x:v>60</x:v>
      </x:c>
      <x:c r="J1957" s="16" t="n">
        <x:v>448</x:v>
      </x:c>
      <x:c r="K1957" s="16" t="n">
        <x:v>71</x:v>
      </x:c>
      <x:c r="L1957" s="16" t="n">
        <x:v>951</x:v>
      </x:c>
      <x:c r="M1957" s="16" t="n">
        <x:v>40</x:v>
      </x:c>
      <x:c r="N1957" s="16" t="n">
        <x:v>17</x:v>
      </x:c>
      <x:c r="O1957" s="16" t="n">
        <x:v>17</x:v>
      </x:c>
      <x:c r="P1957" s="16" t="n">
        <x:v>1</x:v>
      </x:c>
      <x:c r="Q1957" s="16" t="n">
        <x:v>6</x:v>
      </x:c>
      <x:c r="R1957" s="16" t="n">
        <x:v>11</x:v>
      </x:c>
      <x:c r="S1957" s="16" t="n">
        <x:v>10</x:v>
      </x:c>
      <x:c r="T1957" s="16" t="n">
        <x:v>2</x:v>
      </x:c>
      <x:c r="U1957" s="16" t="n">
        <x:v>0</x:v>
      </x:c>
      <x:c r="V1957" s="16" t="n">
        <x:v>0</x:v>
      </x:c>
      <x:c r="W1957" s="16" t="n">
        <x:v>1</x:v>
      </x:c>
      <x:c r="X1957" s="16" t="n">
        <x:v>0</x:v>
      </x:c>
      <x:c r="Y1957" s="16" t="n">
        <x:v>0</x:v>
      </x:c>
      <x:c r="Z1957" s="16" t="n">
        <x:v>0</x:v>
      </x:c>
      <x:c r="AA1957" s="16" t="n">
        <x:v>3</x:v>
      </x:c>
      <x:c r="AB1957" s="16" t="n">
        <x:v>11</x:v>
      </x:c>
      <x:c r="AC1957" s="16" t="n">
        <x:v>1</x:v>
      </x:c>
      <x:c r="AD1957" s="21" t="n">
        <x:f>IF(E1957="",MEDIAN($E$2:$E$2237),E1957)</x:f>
        <x:v>96843</x:v>
      </x:c>
      <x:c r="AE1957" s="17" t="n">
        <x:f>2014-B1957</x:f>
        <x:v>24</x:v>
      </x:c>
      <x:c r="AF1957" s="17" t="n">
        <x:f>F1957+G1957</x:f>
        <x:v>0</x:v>
      </x:c>
      <x:c r="AG1957" s="21" t="n">
        <x:f>SUM(J1957:O1957)</x:f>
        <x:v>1544</x:v>
      </x:c>
      <x:c r="AH1957" s="17" t="n">
        <x:f>SUM(Q1957:S1957)</x:f>
        <x:v>27</x:v>
      </x:c>
      <x:c r="AI1957" s="17" t="n">
        <x:f>SUM(U1957:Y1957)</x:f>
        <x:v>1</x:v>
      </x:c>
      <x:c r="AJ1957" s="17" t="str">
        <x:f>IF(AE1957&lt;=34,"≤34",IF(AE1957&lt;=44,"35–44",IF(AE1957&lt;=54,"45–54",IF(AE1957&lt;=64,"55–64","65+"))))</x:f>
        <x:v>≤34</x:v>
      </x:c>
      <x:c r="AK1957" s="17" t="str">
        <x:f>IF(AG1957&gt;=1000,"High Value",IF(AG1957&gt;=300,"Mid Value","Low Value"))</x:f>
        <x:v>High Value</x:v>
      </x:c>
      <x:c r="AL1957" s="17" t="str">
        <x:f>IF(AND(AI1957&gt;=1,I1957&lt;=50),"Priority 1",IF(AND(AG1957&gt;=1000,I1957&lt;=60),"Priority 2",IF(I1957&lt;=30,"Priority 3","Nurture")))</x:f>
        <x:v>Priority 2</x:v>
      </x:c>
    </x:row>
    <x:row r="1958">
      <x:c r="A1958" s="16" t="n">
        <x:v>7530</x:v>
      </x:c>
      <x:c r="B1958" s="16" t="n">
        <x:v>1950</x:v>
      </x:c>
      <x:c r="C1958" s="16" t="str">
        <x:v>PhD</x:v>
      </x:c>
      <x:c r="D1958" s="16" t="str">
        <x:v>Widow</x:v>
      </x:c>
      <x:c r="E1958" s="16" t="n">
        <x:v>56551</x:v>
      </x:c>
      <x:c r="F1958" s="16" t="n">
        <x:v>1</x:v>
      </x:c>
      <x:c r="G1958" s="16" t="n">
        <x:v>1</x:v>
      </x:c>
      <x:c r="H1958" s="16" t="str">
        <x:v>07-05-2014</x:v>
      </x:c>
      <x:c r="I1958" s="16" t="n">
        <x:v>48</x:v>
      </x:c>
      <x:c r="J1958" s="16" t="n">
        <x:v>67</x:v>
      </x:c>
      <x:c r="K1958" s="16" t="n">
        <x:v>4</x:v>
      </x:c>
      <x:c r="L1958" s="16" t="n">
        <x:v>32</x:v>
      </x:c>
      <x:c r="M1958" s="16" t="n">
        <x:v>17</x:v>
      </x:c>
      <x:c r="N1958" s="16" t="n">
        <x:v>2</x:v>
      </x:c>
      <x:c r="O1958" s="16" t="n">
        <x:v>16</x:v>
      </x:c>
      <x:c r="P1958" s="16" t="n">
        <x:v>3</x:v>
      </x:c>
      <x:c r="Q1958" s="16" t="n">
        <x:v>2</x:v>
      </x:c>
      <x:c r="R1958" s="16" t="n">
        <x:v>1</x:v>
      </x:c>
      <x:c r="S1958" s="16" t="n">
        <x:v>4</x:v>
      </x:c>
      <x:c r="T1958" s="16" t="n">
        <x:v>4</x:v>
      </x:c>
      <x:c r="U1958" s="16" t="n">
        <x:v>0</x:v>
      </x:c>
      <x:c r="V1958" s="16" t="n">
        <x:v>0</x:v>
      </x:c>
      <x:c r="W1958" s="16" t="n">
        <x:v>0</x:v>
      </x:c>
      <x:c r="X1958" s="16" t="n">
        <x:v>0</x:v>
      </x:c>
      <x:c r="Y1958" s="16" t="n">
        <x:v>0</x:v>
      </x:c>
      <x:c r="Z1958" s="16" t="n">
        <x:v>0</x:v>
      </x:c>
      <x:c r="AA1958" s="16" t="n">
        <x:v>3</x:v>
      </x:c>
      <x:c r="AB1958" s="16" t="n">
        <x:v>11</x:v>
      </x:c>
      <x:c r="AC1958" s="16" t="n">
        <x:v>0</x:v>
      </x:c>
      <x:c r="AD1958" s="21" t="n">
        <x:f>IF(E1958="",MEDIAN($E$2:$E$2237),E1958)</x:f>
        <x:v>56551</x:v>
      </x:c>
      <x:c r="AE1958" s="17" t="n">
        <x:f>2014-B1958</x:f>
        <x:v>64</x:v>
      </x:c>
      <x:c r="AF1958" s="17" t="n">
        <x:f>F1958+G1958</x:f>
        <x:v>2</x:v>
      </x:c>
      <x:c r="AG1958" s="21" t="n">
        <x:f>SUM(J1958:O1958)</x:f>
        <x:v>138</x:v>
      </x:c>
      <x:c r="AH1958" s="17" t="n">
        <x:f>SUM(Q1958:S1958)</x:f>
        <x:v>7</x:v>
      </x:c>
      <x:c r="AI1958" s="17" t="n">
        <x:f>SUM(U1958:Y1958)</x:f>
        <x:v>0</x:v>
      </x:c>
      <x:c r="AJ1958" s="17" t="str">
        <x:f>IF(AE1958&lt;=34,"≤34",IF(AE1958&lt;=44,"35–44",IF(AE1958&lt;=54,"45–54",IF(AE1958&lt;=64,"55–64","65+"))))</x:f>
        <x:v>55–64</x:v>
      </x:c>
      <x:c r="AK1958" s="17" t="str">
        <x:f>IF(AG1958&gt;=1000,"High Value",IF(AG1958&gt;=300,"Mid Value","Low Value"))</x:f>
        <x:v>Low Value</x:v>
      </x:c>
      <x:c r="AL1958" s="17" t="str">
        <x:f>IF(AND(AI1958&gt;=1,I1958&lt;=50),"Priority 1",IF(AND(AG1958&gt;=1000,I1958&lt;=60),"Priority 2",IF(I1958&lt;=30,"Priority 3","Nurture")))</x:f>
        <x:v>Nurture</x:v>
      </x:c>
    </x:row>
    <x:row r="1959">
      <x:c r="A1959" s="16" t="n">
        <x:v>8925</x:v>
      </x:c>
      <x:c r="B1959" s="16" t="n">
        <x:v>1965</x:v>
      </x:c>
      <x:c r="C1959" s="16" t="str">
        <x:v>Master</x:v>
      </x:c>
      <x:c r="D1959" s="16" t="str">
        <x:v>Married</x:v>
      </x:c>
      <x:c r="E1959" s="16" t="n">
        <x:v>70053</x:v>
      </x:c>
      <x:c r="F1959" s="16" t="n">
        <x:v>0</x:v>
      </x:c>
      <x:c r="G1959" s="16" t="n">
        <x:v>1</x:v>
      </x:c>
      <x:c r="H1959" s="16" t="str">
        <x:v>03-07-2013</x:v>
      </x:c>
      <x:c r="I1959" s="16" t="n">
        <x:v>38</x:v>
      </x:c>
      <x:c r="J1959" s="16" t="n">
        <x:v>512</x:v>
      </x:c>
      <x:c r="K1959" s="16" t="n">
        <x:v>53</x:v>
      </x:c>
      <x:c r="L1959" s="16" t="n">
        <x:v>98</x:v>
      </x:c>
      <x:c r="M1959" s="16" t="n">
        <x:v>81</x:v>
      </x:c>
      <x:c r="N1959" s="16" t="n">
        <x:v>179</x:v>
      </x:c>
      <x:c r="O1959" s="16" t="n">
        <x:v>89</x:v>
      </x:c>
      <x:c r="P1959" s="16" t="n">
        <x:v>3</x:v>
      </x:c>
      <x:c r="Q1959" s="16" t="n">
        <x:v>8</x:v>
      </x:c>
      <x:c r="R1959" s="16" t="n">
        <x:v>5</x:v>
      </x:c>
      <x:c r="S1959" s="16" t="n">
        <x:v>10</x:v>
      </x:c>
      <x:c r="T1959" s="16" t="n">
        <x:v>5</x:v>
      </x:c>
      <x:c r="U1959" s="16" t="n">
        <x:v>0</x:v>
      </x:c>
      <x:c r="V1959" s="16" t="n">
        <x:v>0</x:v>
      </x:c>
      <x:c r="W1959" s="16" t="n">
        <x:v>0</x:v>
      </x:c>
      <x:c r="X1959" s="16" t="n">
        <x:v>0</x:v>
      </x:c>
      <x:c r="Y1959" s="16" t="n">
        <x:v>0</x:v>
      </x:c>
      <x:c r="Z1959" s="16" t="n">
        <x:v>0</x:v>
      </x:c>
      <x:c r="AA1959" s="16" t="n">
        <x:v>3</x:v>
      </x:c>
      <x:c r="AB1959" s="16" t="n">
        <x:v>11</x:v>
      </x:c>
      <x:c r="AC1959" s="16" t="n">
        <x:v>0</x:v>
      </x:c>
      <x:c r="AD1959" s="21" t="n">
        <x:f>IF(E1959="",MEDIAN($E$2:$E$2237),E1959)</x:f>
        <x:v>70053</x:v>
      </x:c>
      <x:c r="AE1959" s="17" t="n">
        <x:f>2014-B1959</x:f>
        <x:v>49</x:v>
      </x:c>
      <x:c r="AF1959" s="17" t="n">
        <x:f>F1959+G1959</x:f>
        <x:v>1</x:v>
      </x:c>
      <x:c r="AG1959" s="21" t="n">
        <x:f>SUM(J1959:O1959)</x:f>
        <x:v>1012</x:v>
      </x:c>
      <x:c r="AH1959" s="17" t="n">
        <x:f>SUM(Q1959:S1959)</x:f>
        <x:v>23</x:v>
      </x:c>
      <x:c r="AI1959" s="17" t="n">
        <x:f>SUM(U1959:Y1959)</x:f>
        <x:v>0</x:v>
      </x:c>
      <x:c r="AJ1959" s="17" t="str">
        <x:f>IF(AE1959&lt;=34,"≤34",IF(AE1959&lt;=44,"35–44",IF(AE1959&lt;=54,"45–54",IF(AE1959&lt;=64,"55–64","65+"))))</x:f>
        <x:v>45–54</x:v>
      </x:c>
      <x:c r="AK1959" s="17" t="str">
        <x:f>IF(AG1959&gt;=1000,"High Value",IF(AG1959&gt;=300,"Mid Value","Low Value"))</x:f>
        <x:v>High Value</x:v>
      </x:c>
      <x:c r="AL1959" s="17" t="str">
        <x:f>IF(AND(AI1959&gt;=1,I1959&lt;=50),"Priority 1",IF(AND(AG1959&gt;=1000,I1959&lt;=60),"Priority 2",IF(I1959&lt;=30,"Priority 3","Nurture")))</x:f>
        <x:v>Priority 2</x:v>
      </x:c>
    </x:row>
    <x:row r="1960">
      <x:c r="A1960" s="16" t="n">
        <x:v>3009</x:v>
      </x:c>
      <x:c r="B1960" s="16" t="n">
        <x:v>1962</x:v>
      </x:c>
      <x:c r="C1960" s="16" t="str">
        <x:v>PhD</x:v>
      </x:c>
      <x:c r="D1960" s="16" t="str">
        <x:v>Widow</x:v>
      </x:c>
      <x:c r="E1960" s="16" t="n">
        <x:v>71670</x:v>
      </x:c>
      <x:c r="F1960" s="16" t="n">
        <x:v>0</x:v>
      </x:c>
      <x:c r="G1960" s="16" t="n">
        <x:v>0</x:v>
      </x:c>
      <x:c r="H1960" s="16" t="str">
        <x:v>09-07-2013</x:v>
      </x:c>
      <x:c r="I1960" s="16" t="n">
        <x:v>8</x:v>
      </x:c>
      <x:c r="J1960" s="16" t="n">
        <x:v>1462</x:v>
      </x:c>
      <x:c r="K1960" s="16" t="n">
        <x:v>16</x:v>
      </x:c>
      <x:c r="L1960" s="16" t="n">
        <x:v>128</x:v>
      </x:c>
      <x:c r="M1960" s="16" t="n">
        <x:v>0</x:v>
      </x:c>
      <x:c r="N1960" s="16" t="n">
        <x:v>0</x:v>
      </x:c>
      <x:c r="O1960" s="16" t="n">
        <x:v>160</x:v>
      </x:c>
      <x:c r="P1960" s="16" t="n">
        <x:v>1</x:v>
      </x:c>
      <x:c r="Q1960" s="16" t="n">
        <x:v>5</x:v>
      </x:c>
      <x:c r="R1960" s="16" t="n">
        <x:v>3</x:v>
      </x:c>
      <x:c r="S1960" s="16" t="n">
        <x:v>6</x:v>
      </x:c>
      <x:c r="T1960" s="16" t="n">
        <x:v>6</x:v>
      </x:c>
      <x:c r="U1960" s="16" t="n">
        <x:v>0</x:v>
      </x:c>
      <x:c r="V1960" s="16" t="n">
        <x:v>1</x:v>
      </x:c>
      <x:c r="W1960" s="16" t="n">
        <x:v>1</x:v>
      </x:c>
      <x:c r="X1960" s="16" t="n">
        <x:v>0</x:v>
      </x:c>
      <x:c r="Y1960" s="16" t="n">
        <x:v>1</x:v>
      </x:c>
      <x:c r="Z1960" s="16" t="n">
        <x:v>0</x:v>
      </x:c>
      <x:c r="AA1960" s="16" t="n">
        <x:v>3</x:v>
      </x:c>
      <x:c r="AB1960" s="16" t="n">
        <x:v>11</x:v>
      </x:c>
      <x:c r="AC1960" s="16" t="n">
        <x:v>1</x:v>
      </x:c>
      <x:c r="AD1960" s="21" t="n">
        <x:f>IF(E1960="",MEDIAN($E$2:$E$2237),E1960)</x:f>
        <x:v>71670</x:v>
      </x:c>
      <x:c r="AE1960" s="17" t="n">
        <x:f>2014-B1960</x:f>
        <x:v>52</x:v>
      </x:c>
      <x:c r="AF1960" s="17" t="n">
        <x:f>F1960+G1960</x:f>
        <x:v>0</x:v>
      </x:c>
      <x:c r="AG1960" s="21" t="n">
        <x:f>SUM(J1960:O1960)</x:f>
        <x:v>1766</x:v>
      </x:c>
      <x:c r="AH1960" s="17" t="n">
        <x:f>SUM(Q1960:S1960)</x:f>
        <x:v>14</x:v>
      </x:c>
      <x:c r="AI1960" s="17" t="n">
        <x:f>SUM(U1960:Y1960)</x:f>
        <x:v>3</x:v>
      </x:c>
      <x:c r="AJ1960" s="17" t="str">
        <x:f>IF(AE1960&lt;=34,"≤34",IF(AE1960&lt;=44,"35–44",IF(AE1960&lt;=54,"45–54",IF(AE1960&lt;=64,"55–64","65+"))))</x:f>
        <x:v>45–54</x:v>
      </x:c>
      <x:c r="AK1960" s="17" t="str">
        <x:f>IF(AG1960&gt;=1000,"High Value",IF(AG1960&gt;=300,"Mid Value","Low Value"))</x:f>
        <x:v>High Value</x:v>
      </x:c>
      <x:c r="AL1960" s="17" t="str">
        <x:f>IF(AND(AI1960&gt;=1,I1960&lt;=50),"Priority 1",IF(AND(AG1960&gt;=1000,I1960&lt;=60),"Priority 2",IF(I1960&lt;=30,"Priority 3","Nurture")))</x:f>
        <x:v>Priority 1</x:v>
      </x:c>
    </x:row>
    <x:row r="1961">
      <x:c r="A1961" s="16" t="n">
        <x:v>6355</x:v>
      </x:c>
      <x:c r="B1961" s="16" t="n">
        <x:v>1978</x:v>
      </x:c>
      <x:c r="C1961" s="16" t="str">
        <x:v>Graduation</x:v>
      </x:c>
      <x:c r="D1961" s="16" t="str">
        <x:v>Married</x:v>
      </x:c>
      <x:c r="E1961" s="16" t="n">
        <x:v>44359</x:v>
      </x:c>
      <x:c r="F1961" s="16" t="n">
        <x:v>1</x:v>
      </x:c>
      <x:c r="G1961" s="16" t="n">
        <x:v>1</x:v>
      </x:c>
      <x:c r="H1961" s="16" t="str">
        <x:v>17-06-2014</x:v>
      </x:c>
      <x:c r="I1961" s="16" t="n">
        <x:v>19</x:v>
      </x:c>
      <x:c r="J1961" s="16" t="n">
        <x:v>20</x:v>
      </x:c>
      <x:c r="K1961" s="16" t="n">
        <x:v>0</x:v>
      </x:c>
      <x:c r="L1961" s="16" t="n">
        <x:v>14</x:v>
      </x:c>
      <x:c r="M1961" s="16" t="n">
        <x:v>7</x:v>
      </x:c>
      <x:c r="N1961" s="16" t="n">
        <x:v>3</x:v>
      </x:c>
      <x:c r="O1961" s="16" t="n">
        <x:v>1</x:v>
      </x:c>
      <x:c r="P1961" s="16" t="n">
        <x:v>3</x:v>
      </x:c>
      <x:c r="Q1961" s="16" t="n">
        <x:v>2</x:v>
      </x:c>
      <x:c r="R1961" s="16" t="n">
        <x:v>0</x:v>
      </x:c>
      <x:c r="S1961" s="16" t="n">
        <x:v>4</x:v>
      </x:c>
      <x:c r="T1961" s="16" t="n">
        <x:v>3</x:v>
      </x:c>
      <x:c r="U1961" s="16" t="n">
        <x:v>0</x:v>
      </x:c>
      <x:c r="V1961" s="16" t="n">
        <x:v>0</x:v>
      </x:c>
      <x:c r="W1961" s="16" t="n">
        <x:v>0</x:v>
      </x:c>
      <x:c r="X1961" s="16" t="n">
        <x:v>0</x:v>
      </x:c>
      <x:c r="Y1961" s="16" t="n">
        <x:v>0</x:v>
      </x:c>
      <x:c r="Z1961" s="16" t="n">
        <x:v>0</x:v>
      </x:c>
      <x:c r="AA1961" s="16" t="n">
        <x:v>3</x:v>
      </x:c>
      <x:c r="AB1961" s="16" t="n">
        <x:v>11</x:v>
      </x:c>
      <x:c r="AC1961" s="16" t="n">
        <x:v>0</x:v>
      </x:c>
      <x:c r="AD1961" s="21" t="n">
        <x:f>IF(E1961="",MEDIAN($E$2:$E$2237),E1961)</x:f>
        <x:v>44359</x:v>
      </x:c>
      <x:c r="AE1961" s="17" t="n">
        <x:f>2014-B1961</x:f>
        <x:v>36</x:v>
      </x:c>
      <x:c r="AF1961" s="17" t="n">
        <x:f>F1961+G1961</x:f>
        <x:v>2</x:v>
      </x:c>
      <x:c r="AG1961" s="21" t="n">
        <x:f>SUM(J1961:O1961)</x:f>
        <x:v>45</x:v>
      </x:c>
      <x:c r="AH1961" s="17" t="n">
        <x:f>SUM(Q1961:S1961)</x:f>
        <x:v>6</x:v>
      </x:c>
      <x:c r="AI1961" s="17" t="n">
        <x:f>SUM(U1961:Y1961)</x:f>
        <x:v>0</x:v>
      </x:c>
      <x:c r="AJ1961" s="17" t="str">
        <x:f>IF(AE1961&lt;=34,"≤34",IF(AE1961&lt;=44,"35–44",IF(AE1961&lt;=54,"45–54",IF(AE1961&lt;=64,"55–64","65+"))))</x:f>
        <x:v>35–44</x:v>
      </x:c>
      <x:c r="AK1961" s="17" t="str">
        <x:f>IF(AG1961&gt;=1000,"High Value",IF(AG1961&gt;=300,"Mid Value","Low Value"))</x:f>
        <x:v>Low Value</x:v>
      </x:c>
      <x:c r="AL1961" s="17" t="str">
        <x:f>IF(AND(AI1961&gt;=1,I1961&lt;=50),"Priority 1",IF(AND(AG1961&gt;=1000,I1961&lt;=60),"Priority 2",IF(I1961&lt;=30,"Priority 3","Nurture")))</x:f>
        <x:v>Priority 3</x:v>
      </x:c>
    </x:row>
    <x:row r="1962">
      <x:c r="A1962" s="16" t="n">
        <x:v>3517</x:v>
      </x:c>
      <x:c r="B1962" s="16" t="n">
        <x:v>1952</x:v>
      </x:c>
      <x:c r="C1962" s="16" t="str">
        <x:v>Graduation</x:v>
      </x:c>
      <x:c r="D1962" s="16" t="str">
        <x:v>Single</x:v>
      </x:c>
      <x:c r="E1962" s="16" t="n">
        <x:v>40887</x:v>
      </x:c>
      <x:c r="F1962" s="16" t="n">
        <x:v>1</x:v>
      </x:c>
      <x:c r="G1962" s="16" t="n">
        <x:v>1</x:v>
      </x:c>
      <x:c r="H1962" s="16" t="str">
        <x:v>06-05-2013</x:v>
      </x:c>
      <x:c r="I1962" s="16" t="n">
        <x:v>32</x:v>
      </x:c>
      <x:c r="J1962" s="16" t="n">
        <x:v>50</x:v>
      </x:c>
      <x:c r="K1962" s="16" t="n">
        <x:v>4</x:v>
      </x:c>
      <x:c r="L1962" s="16" t="n">
        <x:v>44</x:v>
      </x:c>
      <x:c r="M1962" s="16" t="n">
        <x:v>10</x:v>
      </x:c>
      <x:c r="N1962" s="16" t="n">
        <x:v>10</x:v>
      </x:c>
      <x:c r="O1962" s="16" t="n">
        <x:v>43</x:v>
      </x:c>
      <x:c r="P1962" s="16" t="n">
        <x:v>3</x:v>
      </x:c>
      <x:c r="Q1962" s="16" t="n">
        <x:v>3</x:v>
      </x:c>
      <x:c r="R1962" s="16" t="n">
        <x:v>1</x:v>
      </x:c>
      <x:c r="S1962" s="16" t="n">
        <x:v>3</x:v>
      </x:c>
      <x:c r="T1962" s="16" t="n">
        <x:v>9</x:v>
      </x:c>
      <x:c r="U1962" s="16" t="n">
        <x:v>0</x:v>
      </x:c>
      <x:c r="V1962" s="16" t="n">
        <x:v>0</x:v>
      </x:c>
      <x:c r="W1962" s="16" t="n">
        <x:v>0</x:v>
      </x:c>
      <x:c r="X1962" s="16" t="n">
        <x:v>0</x:v>
      </x:c>
      <x:c r="Y1962" s="16" t="n">
        <x:v>0</x:v>
      </x:c>
      <x:c r="Z1962" s="16" t="n">
        <x:v>0</x:v>
      </x:c>
      <x:c r="AA1962" s="16" t="n">
        <x:v>3</x:v>
      </x:c>
      <x:c r="AB1962" s="16" t="n">
        <x:v>11</x:v>
      </x:c>
      <x:c r="AC1962" s="16" t="n">
        <x:v>1</x:v>
      </x:c>
      <x:c r="AD1962" s="21" t="n">
        <x:f>IF(E1962="",MEDIAN($E$2:$E$2237),E1962)</x:f>
        <x:v>40887</x:v>
      </x:c>
      <x:c r="AE1962" s="17" t="n">
        <x:f>2014-B1962</x:f>
        <x:v>62</x:v>
      </x:c>
      <x:c r="AF1962" s="17" t="n">
        <x:f>F1962+G1962</x:f>
        <x:v>2</x:v>
      </x:c>
      <x:c r="AG1962" s="21" t="n">
        <x:f>SUM(J1962:O1962)</x:f>
        <x:v>161</x:v>
      </x:c>
      <x:c r="AH1962" s="17" t="n">
        <x:f>SUM(Q1962:S1962)</x:f>
        <x:v>7</x:v>
      </x:c>
      <x:c r="AI1962" s="17" t="n">
        <x:f>SUM(U1962:Y1962)</x:f>
        <x:v>0</x:v>
      </x:c>
      <x:c r="AJ1962" s="17" t="str">
        <x:f>IF(AE1962&lt;=34,"≤34",IF(AE1962&lt;=44,"35–44",IF(AE1962&lt;=54,"45–54",IF(AE1962&lt;=64,"55–64","65+"))))</x:f>
        <x:v>55–64</x:v>
      </x:c>
      <x:c r="AK1962" s="17" t="str">
        <x:f>IF(AG1962&gt;=1000,"High Value",IF(AG1962&gt;=300,"Mid Value","Low Value"))</x:f>
        <x:v>Low Value</x:v>
      </x:c>
      <x:c r="AL1962" s="17" t="str">
        <x:f>IF(AND(AI1962&gt;=1,I1962&lt;=50),"Priority 1",IF(AND(AG1962&gt;=1000,I1962&lt;=60),"Priority 2",IF(I1962&lt;=30,"Priority 3","Nurture")))</x:f>
        <x:v>Nurture</x:v>
      </x:c>
    </x:row>
    <x:row r="1963">
      <x:c r="A1963" s="16" t="n">
        <x:v>1158</x:v>
      </x:c>
      <x:c r="B1963" s="16" t="n">
        <x:v>1966</x:v>
      </x:c>
      <x:c r="C1963" s="16" t="str">
        <x:v>Graduation</x:v>
      </x:c>
      <x:c r="D1963" s="16" t="str">
        <x:v>Divorced</x:v>
      </x:c>
      <x:c r="E1963" s="16" t="n">
        <x:v>48877</x:v>
      </x:c>
      <x:c r="F1963" s="16" t="n">
        <x:v>0</x:v>
      </x:c>
      <x:c r="G1963" s="16" t="n">
        <x:v>1</x:v>
      </x:c>
      <x:c r="H1963" s="16" t="str">
        <x:v>05-01-2014</x:v>
      </x:c>
      <x:c r="I1963" s="16" t="n">
        <x:v>27</x:v>
      </x:c>
      <x:c r="J1963" s="16" t="n">
        <x:v>102</x:v>
      </x:c>
      <x:c r="K1963" s="16" t="n">
        <x:v>1</x:v>
      </x:c>
      <x:c r="L1963" s="16" t="n">
        <x:v>15</x:v>
      </x:c>
      <x:c r="M1963" s="16" t="n">
        <x:v>2</x:v>
      </x:c>
      <x:c r="N1963" s="16" t="n">
        <x:v>0</x:v>
      </x:c>
      <x:c r="O1963" s="16" t="n">
        <x:v>24</x:v>
      </x:c>
      <x:c r="P1963" s="16" t="n">
        <x:v>1</x:v>
      </x:c>
      <x:c r="Q1963" s="16" t="n">
        <x:v>3</x:v>
      </x:c>
      <x:c r="R1963" s="16" t="n">
        <x:v>0</x:v>
      </x:c>
      <x:c r="S1963" s="16" t="n">
        <x:v>4</x:v>
      </x:c>
      <x:c r="T1963" s="16" t="n">
        <x:v>7</x:v>
      </x:c>
      <x:c r="U1963" s="16" t="n">
        <x:v>0</x:v>
      </x:c>
      <x:c r="V1963" s="16" t="n">
        <x:v>0</x:v>
      </x:c>
      <x:c r="W1963" s="16" t="n">
        <x:v>0</x:v>
      </x:c>
      <x:c r="X1963" s="16" t="n">
        <x:v>0</x:v>
      </x:c>
      <x:c r="Y1963" s="16" t="n">
        <x:v>0</x:v>
      </x:c>
      <x:c r="Z1963" s="16" t="n">
        <x:v>0</x:v>
      </x:c>
      <x:c r="AA1963" s="16" t="n">
        <x:v>3</x:v>
      </x:c>
      <x:c r="AB1963" s="16" t="n">
        <x:v>11</x:v>
      </x:c>
      <x:c r="AC1963" s="16" t="n">
        <x:v>0</x:v>
      </x:c>
      <x:c r="AD1963" s="21" t="n">
        <x:f>IF(E1963="",MEDIAN($E$2:$E$2237),E1963)</x:f>
        <x:v>48877</x:v>
      </x:c>
      <x:c r="AE1963" s="17" t="n">
        <x:f>2014-B1963</x:f>
        <x:v>48</x:v>
      </x:c>
      <x:c r="AF1963" s="17" t="n">
        <x:f>F1963+G1963</x:f>
        <x:v>1</x:v>
      </x:c>
      <x:c r="AG1963" s="21" t="n">
        <x:f>SUM(J1963:O1963)</x:f>
        <x:v>144</x:v>
      </x:c>
      <x:c r="AH1963" s="17" t="n">
        <x:f>SUM(Q1963:S1963)</x:f>
        <x:v>7</x:v>
      </x:c>
      <x:c r="AI1963" s="17" t="n">
        <x:f>SUM(U1963:Y1963)</x:f>
        <x:v>0</x:v>
      </x:c>
      <x:c r="AJ1963" s="17" t="str">
        <x:f>IF(AE1963&lt;=34,"≤34",IF(AE1963&lt;=44,"35–44",IF(AE1963&lt;=54,"45–54",IF(AE1963&lt;=64,"55–64","65+"))))</x:f>
        <x:v>45–54</x:v>
      </x:c>
      <x:c r="AK1963" s="17" t="str">
        <x:f>IF(AG1963&gt;=1000,"High Value",IF(AG1963&gt;=300,"Mid Value","Low Value"))</x:f>
        <x:v>Low Value</x:v>
      </x:c>
      <x:c r="AL1963" s="17" t="str">
        <x:f>IF(AND(AI1963&gt;=1,I1963&lt;=50),"Priority 1",IF(AND(AG1963&gt;=1000,I1963&lt;=60),"Priority 2",IF(I1963&lt;=30,"Priority 3","Nurture")))</x:f>
        <x:v>Priority 3</x:v>
      </x:c>
    </x:row>
    <x:row r="1964">
      <x:c r="A1964" s="16" t="n">
        <x:v>6203</x:v>
      </x:c>
      <x:c r="B1964" s="16" t="n">
        <x:v>1947</x:v>
      </x:c>
      <x:c r="C1964" s="16" t="str">
        <x:v>Graduation</x:v>
      </x:c>
      <x:c r="D1964" s="16" t="str">
        <x:v>Together</x:v>
      </x:c>
      <x:c r="E1964" s="16" t="n">
        <x:v>74485</x:v>
      </x:c>
      <x:c r="F1964" s="16" t="n">
        <x:v>0</x:v>
      </x:c>
      <x:c r="G1964" s="16" t="n">
        <x:v>0</x:v>
      </x:c>
      <x:c r="H1964" s="16" t="str">
        <x:v>24-08-2013</x:v>
      </x:c>
      <x:c r="I1964" s="16" t="n">
        <x:v>58</x:v>
      </x:c>
      <x:c r="J1964" s="16" t="n">
        <x:v>499</x:v>
      </x:c>
      <x:c r="K1964" s="16" t="n">
        <x:v>149</x:v>
      </x:c>
      <x:c r="L1964" s="16" t="n">
        <x:v>815</x:v>
      </x:c>
      <x:c r="M1964" s="16" t="n">
        <x:v>173</x:v>
      </x:c>
      <x:c r="N1964" s="16" t="n">
        <x:v>49</x:v>
      </x:c>
      <x:c r="O1964" s="16" t="n">
        <x:v>49</x:v>
      </x:c>
      <x:c r="P1964" s="16" t="n">
        <x:v>1</x:v>
      </x:c>
      <x:c r="Q1964" s="16" t="n">
        <x:v>6</x:v>
      </x:c>
      <x:c r="R1964" s="16" t="n">
        <x:v>7</x:v>
      </x:c>
      <x:c r="S1964" s="16" t="n">
        <x:v>12</x:v>
      </x:c>
      <x:c r="T1964" s="16" t="n">
        <x:v>3</x:v>
      </x:c>
      <x:c r="U1964" s="16" t="n">
        <x:v>0</x:v>
      </x:c>
      <x:c r="V1964" s="16" t="n">
        <x:v>0</x:v>
      </x:c>
      <x:c r="W1964" s="16" t="n">
        <x:v>0</x:v>
      </x:c>
      <x:c r="X1964" s="16" t="n">
        <x:v>0</x:v>
      </x:c>
      <x:c r="Y1964" s="16" t="n">
        <x:v>0</x:v>
      </x:c>
      <x:c r="Z1964" s="16" t="n">
        <x:v>0</x:v>
      </x:c>
      <x:c r="AA1964" s="16" t="n">
        <x:v>3</x:v>
      </x:c>
      <x:c r="AB1964" s="16" t="n">
        <x:v>11</x:v>
      </x:c>
      <x:c r="AC1964" s="16" t="n">
        <x:v>0</x:v>
      </x:c>
      <x:c r="AD1964" s="21" t="n">
        <x:f>IF(E1964="",MEDIAN($E$2:$E$2237),E1964)</x:f>
        <x:v>74485</x:v>
      </x:c>
      <x:c r="AE1964" s="17" t="n">
        <x:f>2014-B1964</x:f>
        <x:v>67</x:v>
      </x:c>
      <x:c r="AF1964" s="17" t="n">
        <x:f>F1964+G1964</x:f>
        <x:v>0</x:v>
      </x:c>
      <x:c r="AG1964" s="21" t="n">
        <x:f>SUM(J1964:O1964)</x:f>
        <x:v>1734</x:v>
      </x:c>
      <x:c r="AH1964" s="17" t="n">
        <x:f>SUM(Q1964:S1964)</x:f>
        <x:v>25</x:v>
      </x:c>
      <x:c r="AI1964" s="17" t="n">
        <x:f>SUM(U1964:Y1964)</x:f>
        <x:v>0</x:v>
      </x:c>
      <x:c r="AJ1964" s="17" t="str">
        <x:f>IF(AE1964&lt;=34,"≤34",IF(AE1964&lt;=44,"35–44",IF(AE1964&lt;=54,"45–54",IF(AE1964&lt;=64,"55–64","65+"))))</x:f>
        <x:v>65+</x:v>
      </x:c>
      <x:c r="AK1964" s="17" t="str">
        <x:f>IF(AG1964&gt;=1000,"High Value",IF(AG1964&gt;=300,"Mid Value","Low Value"))</x:f>
        <x:v>High Value</x:v>
      </x:c>
      <x:c r="AL1964" s="17" t="str">
        <x:f>IF(AND(AI1964&gt;=1,I1964&lt;=50),"Priority 1",IF(AND(AG1964&gt;=1000,I1964&lt;=60),"Priority 2",IF(I1964&lt;=30,"Priority 3","Nurture")))</x:f>
        <x:v>Priority 2</x:v>
      </x:c>
    </x:row>
    <x:row r="1965">
      <x:c r="A1965" s="16" t="n">
        <x:v>7165</x:v>
      </x:c>
      <x:c r="B1965" s="16" t="n">
        <x:v>1972</x:v>
      </x:c>
      <x:c r="C1965" s="16" t="str">
        <x:v>Graduation</x:v>
      </x:c>
      <x:c r="D1965" s="16" t="str">
        <x:v>Together</x:v>
      </x:c>
      <x:c r="E1965" s="16" t="n">
        <x:v>64474</x:v>
      </x:c>
      <x:c r="F1965" s="16" t="n">
        <x:v>0</x:v>
      </x:c>
      <x:c r="G1965" s="16" t="n">
        <x:v>1</x:v>
      </x:c>
      <x:c r="H1965" s="16" t="str">
        <x:v>22-10-2013</x:v>
      </x:c>
      <x:c r="I1965" s="16" t="n">
        <x:v>59</x:v>
      </x:c>
      <x:c r="J1965" s="16" t="n">
        <x:v>381</x:v>
      </x:c>
      <x:c r="K1965" s="16" t="n">
        <x:v>35</x:v>
      </x:c>
      <x:c r="L1965" s="16" t="n">
        <x:v>172</x:v>
      </x:c>
      <x:c r="M1965" s="16" t="n">
        <x:v>56</x:v>
      </x:c>
      <x:c r="N1965" s="16" t="n">
        <x:v>86</x:v>
      </x:c>
      <x:c r="O1965" s="16" t="n">
        <x:v>93</x:v>
      </x:c>
      <x:c r="P1965" s="16" t="n">
        <x:v>2</x:v>
      </x:c>
      <x:c r="Q1965" s="16" t="n">
        <x:v>8</x:v>
      </x:c>
      <x:c r="R1965" s="16" t="n">
        <x:v>2</x:v>
      </x:c>
      <x:c r="S1965" s="16" t="n">
        <x:v>10</x:v>
      </x:c>
      <x:c r="T1965" s="16" t="n">
        <x:v>5</x:v>
      </x:c>
      <x:c r="U1965" s="16" t="n">
        <x:v>0</x:v>
      </x:c>
      <x:c r="V1965" s="16" t="n">
        <x:v>0</x:v>
      </x:c>
      <x:c r="W1965" s="16" t="n">
        <x:v>0</x:v>
      </x:c>
      <x:c r="X1965" s="16" t="n">
        <x:v>0</x:v>
      </x:c>
      <x:c r="Y1965" s="16" t="n">
        <x:v>0</x:v>
      </x:c>
      <x:c r="Z1965" s="16" t="n">
        <x:v>0</x:v>
      </x:c>
      <x:c r="AA1965" s="16" t="n">
        <x:v>3</x:v>
      </x:c>
      <x:c r="AB1965" s="16" t="n">
        <x:v>11</x:v>
      </x:c>
      <x:c r="AC1965" s="16" t="n">
        <x:v>0</x:v>
      </x:c>
      <x:c r="AD1965" s="21" t="n">
        <x:f>IF(E1965="",MEDIAN($E$2:$E$2237),E1965)</x:f>
        <x:v>64474</x:v>
      </x:c>
      <x:c r="AE1965" s="17" t="n">
        <x:f>2014-B1965</x:f>
        <x:v>42</x:v>
      </x:c>
      <x:c r="AF1965" s="17" t="n">
        <x:f>F1965+G1965</x:f>
        <x:v>1</x:v>
      </x:c>
      <x:c r="AG1965" s="21" t="n">
        <x:f>SUM(J1965:O1965)</x:f>
        <x:v>823</x:v>
      </x:c>
      <x:c r="AH1965" s="17" t="n">
        <x:f>SUM(Q1965:S1965)</x:f>
        <x:v>20</x:v>
      </x:c>
      <x:c r="AI1965" s="17" t="n">
        <x:f>SUM(U1965:Y1965)</x:f>
        <x:v>0</x:v>
      </x:c>
      <x:c r="AJ1965" s="17" t="str">
        <x:f>IF(AE1965&lt;=34,"≤34",IF(AE1965&lt;=44,"35–44",IF(AE1965&lt;=54,"45–54",IF(AE1965&lt;=64,"55–64","65+"))))</x:f>
        <x:v>35–44</x:v>
      </x:c>
      <x:c r="AK1965" s="17" t="str">
        <x:f>IF(AG1965&gt;=1000,"High Value",IF(AG1965&gt;=300,"Mid Value","Low Value"))</x:f>
        <x:v>Mid Value</x:v>
      </x:c>
      <x:c r="AL1965" s="17" t="str">
        <x:f>IF(AND(AI1965&gt;=1,I1965&lt;=50),"Priority 1",IF(AND(AG1965&gt;=1000,I1965&lt;=60),"Priority 2",IF(I1965&lt;=30,"Priority 3","Nurture")))</x:f>
        <x:v>Nurture</x:v>
      </x:c>
    </x:row>
    <x:row r="1966">
      <x:c r="A1966" s="16" t="n">
        <x:v>3595</x:v>
      </x:c>
      <x:c r="B1966" s="16" t="n">
        <x:v>1963</x:v>
      </x:c>
      <x:c r="C1966" s="16" t="str">
        <x:v>Graduation</x:v>
      </x:c>
      <x:c r="D1966" s="16" t="str">
        <x:v>Together</x:v>
      </x:c>
      <x:c r="E1966" s="16" t="n">
        <x:v>77226</x:v>
      </x:c>
      <x:c r="F1966" s="16" t="n">
        <x:v>0</x:v>
      </x:c>
      <x:c r="G1966" s="16" t="n">
        <x:v>1</x:v>
      </x:c>
      <x:c r="H1966" s="16" t="str">
        <x:v>28-02-2014</x:v>
      </x:c>
      <x:c r="I1966" s="16" t="n">
        <x:v>29</x:v>
      </x:c>
      <x:c r="J1966" s="16" t="n">
        <x:v>631</x:v>
      </x:c>
      <x:c r="K1966" s="16" t="n">
        <x:v>43</x:v>
      </x:c>
      <x:c r="L1966" s="16" t="n">
        <x:v>239</x:v>
      </x:c>
      <x:c r="M1966" s="16" t="n">
        <x:v>128</x:v>
      </x:c>
      <x:c r="N1966" s="16" t="n">
        <x:v>76</x:v>
      </x:c>
      <x:c r="O1966" s="16" t="n">
        <x:v>21</x:v>
      </x:c>
      <x:c r="P1966" s="16" t="n">
        <x:v>2</x:v>
      </x:c>
      <x:c r="Q1966" s="16" t="n">
        <x:v>6</x:v>
      </x:c>
      <x:c r="R1966" s="16" t="n">
        <x:v>8</x:v>
      </x:c>
      <x:c r="S1966" s="16" t="n">
        <x:v>12</x:v>
      </x:c>
      <x:c r="T1966" s="16" t="n">
        <x:v>3</x:v>
      </x:c>
      <x:c r="U1966" s="16" t="n">
        <x:v>0</x:v>
      </x:c>
      <x:c r="V1966" s="16" t="n">
        <x:v>0</x:v>
      </x:c>
      <x:c r="W1966" s="16" t="n">
        <x:v>0</x:v>
      </x:c>
      <x:c r="X1966" s="16" t="n">
        <x:v>0</x:v>
      </x:c>
      <x:c r="Y1966" s="16" t="n">
        <x:v>0</x:v>
      </x:c>
      <x:c r="Z1966" s="16" t="n">
        <x:v>0</x:v>
      </x:c>
      <x:c r="AA1966" s="16" t="n">
        <x:v>3</x:v>
      </x:c>
      <x:c r="AB1966" s="16" t="n">
        <x:v>11</x:v>
      </x:c>
      <x:c r="AC1966" s="16" t="n">
        <x:v>0</x:v>
      </x:c>
      <x:c r="AD1966" s="21" t="n">
        <x:f>IF(E1966="",MEDIAN($E$2:$E$2237),E1966)</x:f>
        <x:v>77226</x:v>
      </x:c>
      <x:c r="AE1966" s="17" t="n">
        <x:f>2014-B1966</x:f>
        <x:v>51</x:v>
      </x:c>
      <x:c r="AF1966" s="17" t="n">
        <x:f>F1966+G1966</x:f>
        <x:v>1</x:v>
      </x:c>
      <x:c r="AG1966" s="21" t="n">
        <x:f>SUM(J1966:O1966)</x:f>
        <x:v>1138</x:v>
      </x:c>
      <x:c r="AH1966" s="17" t="n">
        <x:f>SUM(Q1966:S1966)</x:f>
        <x:v>26</x:v>
      </x:c>
      <x:c r="AI1966" s="17" t="n">
        <x:f>SUM(U1966:Y1966)</x:f>
        <x:v>0</x:v>
      </x:c>
      <x:c r="AJ1966" s="17" t="str">
        <x:f>IF(AE1966&lt;=34,"≤34",IF(AE1966&lt;=44,"35–44",IF(AE1966&lt;=54,"45–54",IF(AE1966&lt;=64,"55–64","65+"))))</x:f>
        <x:v>45–54</x:v>
      </x:c>
      <x:c r="AK1966" s="17" t="str">
        <x:f>IF(AG1966&gt;=1000,"High Value",IF(AG1966&gt;=300,"Mid Value","Low Value"))</x:f>
        <x:v>High Value</x:v>
      </x:c>
      <x:c r="AL1966" s="17" t="str">
        <x:f>IF(AND(AI1966&gt;=1,I1966&lt;=50),"Priority 1",IF(AND(AG1966&gt;=1000,I1966&lt;=60),"Priority 2",IF(I1966&lt;=30,"Priority 3","Nurture")))</x:f>
        <x:v>Priority 2</x:v>
      </x:c>
    </x:row>
    <x:row r="1967">
      <x:c r="A1967" s="16" t="n">
        <x:v>8537</x:v>
      </x:c>
      <x:c r="B1967" s="16" t="n">
        <x:v>1949</x:v>
      </x:c>
      <x:c r="C1967" s="16" t="str">
        <x:v>Graduation</x:v>
      </x:c>
      <x:c r="D1967" s="16" t="str">
        <x:v>Widow</x:v>
      </x:c>
      <x:c r="E1967" s="16" t="n">
        <x:v>72643</x:v>
      </x:c>
      <x:c r="F1967" s="16" t="n">
        <x:v>0</x:v>
      </x:c>
      <x:c r="G1967" s="16" t="n">
        <x:v>0</x:v>
      </x:c>
      <x:c r="H1967" s="16" t="str">
        <x:v>27-02-2013</x:v>
      </x:c>
      <x:c r="I1967" s="16" t="n">
        <x:v>60</x:v>
      </x:c>
      <x:c r="J1967" s="16" t="n">
        <x:v>526</x:v>
      </x:c>
      <x:c r="K1967" s="16" t="n">
        <x:v>80</x:v>
      </x:c>
      <x:c r="L1967" s="16" t="n">
        <x:v>553</x:v>
      </x:c>
      <x:c r="M1967" s="16" t="n">
        <x:v>123</x:v>
      </x:c>
      <x:c r="N1967" s="16" t="n">
        <x:v>94</x:v>
      </x:c>
      <x:c r="O1967" s="16" t="n">
        <x:v>53</x:v>
      </x:c>
      <x:c r="P1967" s="16" t="n">
        <x:v>1</x:v>
      </x:c>
      <x:c r="Q1967" s="16" t="n">
        <x:v>3</x:v>
      </x:c>
      <x:c r="R1967" s="16" t="n">
        <x:v>10</x:v>
      </x:c>
      <x:c r="S1967" s="16" t="n">
        <x:v>7</x:v>
      </x:c>
      <x:c r="T1967" s="16" t="n">
        <x:v>2</x:v>
      </x:c>
      <x:c r="U1967" s="16" t="n">
        <x:v>0</x:v>
      </x:c>
      <x:c r="V1967" s="16" t="n">
        <x:v>0</x:v>
      </x:c>
      <x:c r="W1967" s="16" t="n">
        <x:v>0</x:v>
      </x:c>
      <x:c r="X1967" s="16" t="n">
        <x:v>1</x:v>
      </x:c>
      <x:c r="Y1967" s="16" t="n">
        <x:v>0</x:v>
      </x:c>
      <x:c r="Z1967" s="16" t="n">
        <x:v>0</x:v>
      </x:c>
      <x:c r="AA1967" s="16" t="n">
        <x:v>3</x:v>
      </x:c>
      <x:c r="AB1967" s="16" t="n">
        <x:v>11</x:v>
      </x:c>
      <x:c r="AC1967" s="16" t="n">
        <x:v>1</x:v>
      </x:c>
      <x:c r="AD1967" s="21" t="n">
        <x:f>IF(E1967="",MEDIAN($E$2:$E$2237),E1967)</x:f>
        <x:v>72643</x:v>
      </x:c>
      <x:c r="AE1967" s="17" t="n">
        <x:f>2014-B1967</x:f>
        <x:v>65</x:v>
      </x:c>
      <x:c r="AF1967" s="17" t="n">
        <x:f>F1967+G1967</x:f>
        <x:v>0</x:v>
      </x:c>
      <x:c r="AG1967" s="21" t="n">
        <x:f>SUM(J1967:O1967)</x:f>
        <x:v>1429</x:v>
      </x:c>
      <x:c r="AH1967" s="17" t="n">
        <x:f>SUM(Q1967:S1967)</x:f>
        <x:v>20</x:v>
      </x:c>
      <x:c r="AI1967" s="17" t="n">
        <x:f>SUM(U1967:Y1967)</x:f>
        <x:v>1</x:v>
      </x:c>
      <x:c r="AJ1967" s="17" t="str">
        <x:f>IF(AE1967&lt;=34,"≤34",IF(AE1967&lt;=44,"35–44",IF(AE1967&lt;=54,"45–54",IF(AE1967&lt;=64,"55–64","65+"))))</x:f>
        <x:v>65+</x:v>
      </x:c>
      <x:c r="AK1967" s="17" t="str">
        <x:f>IF(AG1967&gt;=1000,"High Value",IF(AG1967&gt;=300,"Mid Value","Low Value"))</x:f>
        <x:v>High Value</x:v>
      </x:c>
      <x:c r="AL1967" s="17" t="str">
        <x:f>IF(AND(AI1967&gt;=1,I1967&lt;=50),"Priority 1",IF(AND(AG1967&gt;=1000,I1967&lt;=60),"Priority 2",IF(I1967&lt;=30,"Priority 3","Nurture")))</x:f>
        <x:v>Priority 2</x:v>
      </x:c>
    </x:row>
    <x:row r="1968">
      <x:c r="A1968" s="16" t="n">
        <x:v>4331</x:v>
      </x:c>
      <x:c r="B1968" s="16" t="n">
        <x:v>1978</x:v>
      </x:c>
      <x:c r="C1968" s="16" t="str">
        <x:v>Master</x:v>
      </x:c>
      <x:c r="D1968" s="16" t="str">
        <x:v>Together</x:v>
      </x:c>
      <x:c r="E1968" s="16" t="n">
        <x:v>85738</x:v>
      </x:c>
      <x:c r="F1968" s="16" t="n">
        <x:v>0</x:v>
      </x:c>
      <x:c r="G1968" s="16" t="n">
        <x:v>0</x:v>
      </x:c>
      <x:c r="H1968" s="16" t="str">
        <x:v>23-01-2014</x:v>
      </x:c>
      <x:c r="I1968" s="16" t="n">
        <x:v>41</x:v>
      </x:c>
      <x:c r="J1968" s="16" t="n">
        <x:v>913</x:v>
      </x:c>
      <x:c r="K1968" s="16" t="n">
        <x:v>26</x:v>
      </x:c>
      <x:c r="L1968" s="16" t="n">
        <x:v>376</x:v>
      </x:c>
      <x:c r="M1968" s="16" t="n">
        <x:v>17</x:v>
      </x:c>
      <x:c r="N1968" s="16" t="n">
        <x:v>26</x:v>
      </x:c>
      <x:c r="O1968" s="16" t="n">
        <x:v>13</x:v>
      </x:c>
      <x:c r="P1968" s="16" t="n">
        <x:v>1</x:v>
      </x:c>
      <x:c r="Q1968" s="16" t="n">
        <x:v>3</x:v>
      </x:c>
      <x:c r="R1968" s="16" t="n">
        <x:v>6</x:v>
      </x:c>
      <x:c r="S1968" s="16" t="n">
        <x:v>11</x:v>
      </x:c>
      <x:c r="T1968" s="16" t="n">
        <x:v>1</x:v>
      </x:c>
      <x:c r="U1968" s="16" t="n">
        <x:v>0</x:v>
      </x:c>
      <x:c r="V1968" s="16" t="n">
        <x:v>1</x:v>
      </x:c>
      <x:c r="W1968" s="16" t="n">
        <x:v>1</x:v>
      </x:c>
      <x:c r="X1968" s="16" t="n">
        <x:v>0</x:v>
      </x:c>
      <x:c r="Y1968" s="16" t="n">
        <x:v>0</x:v>
      </x:c>
      <x:c r="Z1968" s="16" t="n">
        <x:v>0</x:v>
      </x:c>
      <x:c r="AA1968" s="16" t="n">
        <x:v>3</x:v>
      </x:c>
      <x:c r="AB1968" s="16" t="n">
        <x:v>11</x:v>
      </x:c>
      <x:c r="AC1968" s="16" t="n">
        <x:v>0</x:v>
      </x:c>
      <x:c r="AD1968" s="21" t="n">
        <x:f>IF(E1968="",MEDIAN($E$2:$E$2237),E1968)</x:f>
        <x:v>85738</x:v>
      </x:c>
      <x:c r="AE1968" s="17" t="n">
        <x:f>2014-B1968</x:f>
        <x:v>36</x:v>
      </x:c>
      <x:c r="AF1968" s="17" t="n">
        <x:f>F1968+G1968</x:f>
        <x:v>0</x:v>
      </x:c>
      <x:c r="AG1968" s="21" t="n">
        <x:f>SUM(J1968:O1968)</x:f>
        <x:v>1371</x:v>
      </x:c>
      <x:c r="AH1968" s="17" t="n">
        <x:f>SUM(Q1968:S1968)</x:f>
        <x:v>20</x:v>
      </x:c>
      <x:c r="AI1968" s="17" t="n">
        <x:f>SUM(U1968:Y1968)</x:f>
        <x:v>2</x:v>
      </x:c>
      <x:c r="AJ1968" s="17" t="str">
        <x:f>IF(AE1968&lt;=34,"≤34",IF(AE1968&lt;=44,"35–44",IF(AE1968&lt;=54,"45–54",IF(AE1968&lt;=64,"55–64","65+"))))</x:f>
        <x:v>35–44</x:v>
      </x:c>
      <x:c r="AK1968" s="17" t="str">
        <x:f>IF(AG1968&gt;=1000,"High Value",IF(AG1968&gt;=300,"Mid Value","Low Value"))</x:f>
        <x:v>High Value</x:v>
      </x:c>
      <x:c r="AL1968" s="17" t="str">
        <x:f>IF(AND(AI1968&gt;=1,I1968&lt;=50),"Priority 1",IF(AND(AG1968&gt;=1000,I1968&lt;=60),"Priority 2",IF(I1968&lt;=30,"Priority 3","Nurture")))</x:f>
        <x:v>Priority 1</x:v>
      </x:c>
    </x:row>
    <x:row r="1969">
      <x:c r="A1969" s="16" t="n">
        <x:v>6281</x:v>
      </x:c>
      <x:c r="B1969" s="16" t="n">
        <x:v>1966</x:v>
      </x:c>
      <x:c r="C1969" s="16" t="str">
        <x:v>Graduation</x:v>
      </x:c>
      <x:c r="D1969" s="16" t="str">
        <x:v>Divorced</x:v>
      </x:c>
      <x:c r="E1969" s="16" t="n">
        <x:v>55686</x:v>
      </x:c>
      <x:c r="F1969" s="16" t="n">
        <x:v>0</x:v>
      </x:c>
      <x:c r="G1969" s="16" t="n">
        <x:v>1</x:v>
      </x:c>
      <x:c r="H1969" s="16" t="str">
        <x:v>14-02-2013</x:v>
      </x:c>
      <x:c r="I1969" s="16" t="n">
        <x:v>27</x:v>
      </x:c>
      <x:c r="J1969" s="16" t="n">
        <x:v>673</x:v>
      </x:c>
      <x:c r="K1969" s="16" t="n">
        <x:v>0</x:v>
      </x:c>
      <x:c r="L1969" s="16" t="n">
        <x:v>199</x:v>
      </x:c>
      <x:c r="M1969" s="16" t="n">
        <x:v>37</x:v>
      </x:c>
      <x:c r="N1969" s="16" t="n">
        <x:v>47</x:v>
      </x:c>
      <x:c r="O1969" s="16" t="n">
        <x:v>26</x:v>
      </x:c>
      <x:c r="P1969" s="16" t="n">
        <x:v>2</x:v>
      </x:c>
      <x:c r="Q1969" s="16" t="n">
        <x:v>6</x:v>
      </x:c>
      <x:c r="R1969" s="16" t="n">
        <x:v>3</x:v>
      </x:c>
      <x:c r="S1969" s="16" t="n">
        <x:v>5</x:v>
      </x:c>
      <x:c r="T1969" s="16" t="n">
        <x:v>4</x:v>
      </x:c>
      <x:c r="U1969" s="16" t="n">
        <x:v>1</x:v>
      </x:c>
      <x:c r="V1969" s="16" t="n">
        <x:v>0</x:v>
      </x:c>
      <x:c r="W1969" s="16" t="n">
        <x:v>0</x:v>
      </x:c>
      <x:c r="X1969" s="16" t="n">
        <x:v>0</x:v>
      </x:c>
      <x:c r="Y1969" s="16" t="n">
        <x:v>0</x:v>
      </x:c>
      <x:c r="Z1969" s="16" t="n">
        <x:v>0</x:v>
      </x:c>
      <x:c r="AA1969" s="16" t="n">
        <x:v>3</x:v>
      </x:c>
      <x:c r="AB1969" s="16" t="n">
        <x:v>11</x:v>
      </x:c>
      <x:c r="AC1969" s="16" t="n">
        <x:v>0</x:v>
      </x:c>
      <x:c r="AD1969" s="21" t="n">
        <x:f>IF(E1969="",MEDIAN($E$2:$E$2237),E1969)</x:f>
        <x:v>55686</x:v>
      </x:c>
      <x:c r="AE1969" s="17" t="n">
        <x:f>2014-B1969</x:f>
        <x:v>48</x:v>
      </x:c>
      <x:c r="AF1969" s="17" t="n">
        <x:f>F1969+G1969</x:f>
        <x:v>1</x:v>
      </x:c>
      <x:c r="AG1969" s="21" t="n">
        <x:f>SUM(J1969:O1969)</x:f>
        <x:v>982</x:v>
      </x:c>
      <x:c r="AH1969" s="17" t="n">
        <x:f>SUM(Q1969:S1969)</x:f>
        <x:v>14</x:v>
      </x:c>
      <x:c r="AI1969" s="17" t="n">
        <x:f>SUM(U1969:Y1969)</x:f>
        <x:v>1</x:v>
      </x:c>
      <x:c r="AJ1969" s="17" t="str">
        <x:f>IF(AE1969&lt;=34,"≤34",IF(AE1969&lt;=44,"35–44",IF(AE1969&lt;=54,"45–54",IF(AE1969&lt;=64,"55–64","65+"))))</x:f>
        <x:v>45–54</x:v>
      </x:c>
      <x:c r="AK1969" s="17" t="str">
        <x:f>IF(AG1969&gt;=1000,"High Value",IF(AG1969&gt;=300,"Mid Value","Low Value"))</x:f>
        <x:v>Mid Value</x:v>
      </x:c>
      <x:c r="AL1969" s="17" t="str">
        <x:f>IF(AND(AI1969&gt;=1,I1969&lt;=50),"Priority 1",IF(AND(AG1969&gt;=1000,I1969&lt;=60),"Priority 2",IF(I1969&lt;=30,"Priority 3","Nurture")))</x:f>
        <x:v>Priority 1</x:v>
      </x:c>
    </x:row>
    <x:row r="1970">
      <x:c r="A1970" s="16" t="n">
        <x:v>4338</x:v>
      </x:c>
      <x:c r="B1970" s="16" t="n">
        <x:v>1983</x:v>
      </x:c>
      <x:c r="C1970" s="16" t="str">
        <x:v>Graduation</x:v>
      </x:c>
      <x:c r="D1970" s="16" t="str">
        <x:v>Single</x:v>
      </x:c>
      <x:c r="E1970" s="16" t="n">
        <x:v>39062</x:v>
      </x:c>
      <x:c r="F1970" s="16" t="n">
        <x:v>1</x:v>
      </x:c>
      <x:c r="G1970" s="16" t="n">
        <x:v>0</x:v>
      </x:c>
      <x:c r="H1970" s="16" t="str">
        <x:v>25-03-2014</x:v>
      </x:c>
      <x:c r="I1970" s="16" t="n">
        <x:v>28</x:v>
      </x:c>
      <x:c r="J1970" s="16" t="n">
        <x:v>23</x:v>
      </x:c>
      <x:c r="K1970" s="16" t="n">
        <x:v>0</x:v>
      </x:c>
      <x:c r="L1970" s="16" t="n">
        <x:v>9</x:v>
      </x:c>
      <x:c r="M1970" s="16" t="n">
        <x:v>0</x:v>
      </x:c>
      <x:c r="N1970" s="16" t="n">
        <x:v>0</x:v>
      </x:c>
      <x:c r="O1970" s="16" t="n">
        <x:v>12</x:v>
      </x:c>
      <x:c r="P1970" s="16" t="n">
        <x:v>1</x:v>
      </x:c>
      <x:c r="Q1970" s="16" t="n">
        <x:v>1</x:v>
      </x:c>
      <x:c r="R1970" s="16" t="n">
        <x:v>0</x:v>
      </x:c>
      <x:c r="S1970" s="16" t="n">
        <x:v>3</x:v>
      </x:c>
      <x:c r="T1970" s="16" t="n">
        <x:v>4</x:v>
      </x:c>
      <x:c r="U1970" s="16" t="n">
        <x:v>1</x:v>
      </x:c>
      <x:c r="V1970" s="16" t="n">
        <x:v>0</x:v>
      </x:c>
      <x:c r="W1970" s="16" t="n">
        <x:v>0</x:v>
      </x:c>
      <x:c r="X1970" s="16" t="n">
        <x:v>0</x:v>
      </x:c>
      <x:c r="Y1970" s="16" t="n">
        <x:v>0</x:v>
      </x:c>
      <x:c r="Z1970" s="16" t="n">
        <x:v>0</x:v>
      </x:c>
      <x:c r="AA1970" s="16" t="n">
        <x:v>3</x:v>
      </x:c>
      <x:c r="AB1970" s="16" t="n">
        <x:v>11</x:v>
      </x:c>
      <x:c r="AC1970" s="16" t="n">
        <x:v>0</x:v>
      </x:c>
      <x:c r="AD1970" s="21" t="n">
        <x:f>IF(E1970="",MEDIAN($E$2:$E$2237),E1970)</x:f>
        <x:v>39062</x:v>
      </x:c>
      <x:c r="AE1970" s="17" t="n">
        <x:f>2014-B1970</x:f>
        <x:v>31</x:v>
      </x:c>
      <x:c r="AF1970" s="17" t="n">
        <x:f>F1970+G1970</x:f>
        <x:v>1</x:v>
      </x:c>
      <x:c r="AG1970" s="21" t="n">
        <x:f>SUM(J1970:O1970)</x:f>
        <x:v>44</x:v>
      </x:c>
      <x:c r="AH1970" s="17" t="n">
        <x:f>SUM(Q1970:S1970)</x:f>
        <x:v>4</x:v>
      </x:c>
      <x:c r="AI1970" s="17" t="n">
        <x:f>SUM(U1970:Y1970)</x:f>
        <x:v>1</x:v>
      </x:c>
      <x:c r="AJ1970" s="17" t="str">
        <x:f>IF(AE1970&lt;=34,"≤34",IF(AE1970&lt;=44,"35–44",IF(AE1970&lt;=54,"45–54",IF(AE1970&lt;=64,"55–64","65+"))))</x:f>
        <x:v>≤34</x:v>
      </x:c>
      <x:c r="AK1970" s="17" t="str">
        <x:f>IF(AG1970&gt;=1000,"High Value",IF(AG1970&gt;=300,"Mid Value","Low Value"))</x:f>
        <x:v>Low Value</x:v>
      </x:c>
      <x:c r="AL1970" s="17" t="str">
        <x:f>IF(AND(AI1970&gt;=1,I1970&lt;=50),"Priority 1",IF(AND(AG1970&gt;=1000,I1970&lt;=60),"Priority 2",IF(I1970&lt;=30,"Priority 3","Nurture")))</x:f>
        <x:v>Priority 1</x:v>
      </x:c>
    </x:row>
    <x:row r="1971">
      <x:c r="A1971" s="16" t="n">
        <x:v>2452</x:v>
      </x:c>
      <x:c r="B1971" s="16" t="n">
        <x:v>1971</x:v>
      </x:c>
      <x:c r="C1971" s="16" t="str">
        <x:v>Graduation</x:v>
      </x:c>
      <x:c r="D1971" s="16" t="str">
        <x:v>Together</x:v>
      </x:c>
      <x:c r="E1971" s="16" t="n">
        <x:v>34600</x:v>
      </x:c>
      <x:c r="F1971" s="16" t="n">
        <x:v>1</x:v>
      </x:c>
      <x:c r="G1971" s="16" t="n">
        <x:v>1</x:v>
      </x:c>
      <x:c r="H1971" s="16" t="str">
        <x:v>01-01-2013</x:v>
      </x:c>
      <x:c r="I1971" s="16" t="n">
        <x:v>8</x:v>
      </x:c>
      <x:c r="J1971" s="16" t="n">
        <x:v>199</x:v>
      </x:c>
      <x:c r="K1971" s="16" t="n">
        <x:v>33</x:v>
      </x:c>
      <x:c r="L1971" s="16" t="n">
        <x:v>60</x:v>
      </x:c>
      <x:c r="M1971" s="16" t="n">
        <x:v>8</x:v>
      </x:c>
      <x:c r="N1971" s="16" t="n">
        <x:v>3</x:v>
      </x:c>
      <x:c r="O1971" s="16" t="n">
        <x:v>15</x:v>
      </x:c>
      <x:c r="P1971" s="16" t="n">
        <x:v>5</x:v>
      </x:c>
      <x:c r="Q1971" s="16" t="n">
        <x:v>5</x:v>
      </x:c>
      <x:c r="R1971" s="16" t="n">
        <x:v>2</x:v>
      </x:c>
      <x:c r="S1971" s="16" t="n">
        <x:v>5</x:v>
      </x:c>
      <x:c r="T1971" s="16" t="n">
        <x:v>8</x:v>
      </x:c>
      <x:c r="U1971" s="16" t="n">
        <x:v>0</x:v>
      </x:c>
      <x:c r="V1971" s="16" t="n">
        <x:v>0</x:v>
      </x:c>
      <x:c r="W1971" s="16" t="n">
        <x:v>0</x:v>
      </x:c>
      <x:c r="X1971" s="16" t="n">
        <x:v>0</x:v>
      </x:c>
      <x:c r="Y1971" s="16" t="n">
        <x:v>0</x:v>
      </x:c>
      <x:c r="Z1971" s="16" t="n">
        <x:v>0</x:v>
      </x:c>
      <x:c r="AA1971" s="16" t="n">
        <x:v>3</x:v>
      </x:c>
      <x:c r="AB1971" s="16" t="n">
        <x:v>11</x:v>
      </x:c>
      <x:c r="AC1971" s="16" t="n">
        <x:v>1</x:v>
      </x:c>
      <x:c r="AD1971" s="21" t="n">
        <x:f>IF(E1971="",MEDIAN($E$2:$E$2237),E1971)</x:f>
        <x:v>34600</x:v>
      </x:c>
      <x:c r="AE1971" s="17" t="n">
        <x:f>2014-B1971</x:f>
        <x:v>43</x:v>
      </x:c>
      <x:c r="AF1971" s="17" t="n">
        <x:f>F1971+G1971</x:f>
        <x:v>2</x:v>
      </x:c>
      <x:c r="AG1971" s="21" t="n">
        <x:f>SUM(J1971:O1971)</x:f>
        <x:v>318</x:v>
      </x:c>
      <x:c r="AH1971" s="17" t="n">
        <x:f>SUM(Q1971:S1971)</x:f>
        <x:v>12</x:v>
      </x:c>
      <x:c r="AI1971" s="17" t="n">
        <x:f>SUM(U1971:Y1971)</x:f>
        <x:v>0</x:v>
      </x:c>
      <x:c r="AJ1971" s="17" t="str">
        <x:f>IF(AE1971&lt;=34,"≤34",IF(AE1971&lt;=44,"35–44",IF(AE1971&lt;=54,"45–54",IF(AE1971&lt;=64,"55–64","65+"))))</x:f>
        <x:v>35–44</x:v>
      </x:c>
      <x:c r="AK1971" s="17" t="str">
        <x:f>IF(AG1971&gt;=1000,"High Value",IF(AG1971&gt;=300,"Mid Value","Low Value"))</x:f>
        <x:v>Mid Value</x:v>
      </x:c>
      <x:c r="AL1971" s="17" t="str">
        <x:f>IF(AND(AI1971&gt;=1,I1971&lt;=50),"Priority 1",IF(AND(AG1971&gt;=1000,I1971&lt;=60),"Priority 2",IF(I1971&lt;=30,"Priority 3","Nurture")))</x:f>
        <x:v>Priority 3</x:v>
      </x:c>
    </x:row>
    <x:row r="1972">
      <x:c r="A1972" s="16" t="n">
        <x:v>9507</x:v>
      </x:c>
      <x:c r="B1972" s="16" t="n">
        <x:v>1975</x:v>
      </x:c>
      <x:c r="C1972" s="16" t="str">
        <x:v>Graduation</x:v>
      </x:c>
      <x:c r="D1972" s="16" t="str">
        <x:v>Married</x:v>
      </x:c>
      <x:c r="E1972" s="16" t="n">
        <x:v>40794</x:v>
      </x:c>
      <x:c r="F1972" s="16" t="n">
        <x:v>0</x:v>
      </x:c>
      <x:c r="G1972" s="16" t="n">
        <x:v>1</x:v>
      </x:c>
      <x:c r="H1972" s="16" t="str">
        <x:v>07-04-2013</x:v>
      </x:c>
      <x:c r="I1972" s="16" t="n">
        <x:v>18</x:v>
      </x:c>
      <x:c r="J1972" s="16" t="n">
        <x:v>261</x:v>
      </x:c>
      <x:c r="K1972" s="16" t="n">
        <x:v>23</x:v>
      </x:c>
      <x:c r="L1972" s="16" t="n">
        <x:v>73</x:v>
      </x:c>
      <x:c r="M1972" s="16" t="n">
        <x:v>4</x:v>
      </x:c>
      <x:c r="N1972" s="16" t="n">
        <x:v>23</x:v>
      </x:c>
      <x:c r="O1972" s="16" t="n">
        <x:v>50</x:v>
      </x:c>
      <x:c r="P1972" s="16" t="n">
        <x:v>2</x:v>
      </x:c>
      <x:c r="Q1972" s="16" t="n">
        <x:v>6</x:v>
      </x:c>
      <x:c r="R1972" s="16" t="n">
        <x:v>3</x:v>
      </x:c>
      <x:c r="S1972" s="16" t="n">
        <x:v>5</x:v>
      </x:c>
      <x:c r="T1972" s="16" t="n">
        <x:v>7</x:v>
      </x:c>
      <x:c r="U1972" s="16" t="n">
        <x:v>0</x:v>
      </x:c>
      <x:c r="V1972" s="16" t="n">
        <x:v>0</x:v>
      </x:c>
      <x:c r="W1972" s="16" t="n">
        <x:v>0</x:v>
      </x:c>
      <x:c r="X1972" s="16" t="n">
        <x:v>0</x:v>
      </x:c>
      <x:c r="Y1972" s="16" t="n">
        <x:v>0</x:v>
      </x:c>
      <x:c r="Z1972" s="16" t="n">
        <x:v>0</x:v>
      </x:c>
      <x:c r="AA1972" s="16" t="n">
        <x:v>3</x:v>
      </x:c>
      <x:c r="AB1972" s="16" t="n">
        <x:v>11</x:v>
      </x:c>
      <x:c r="AC1972" s="16" t="n">
        <x:v>0</x:v>
      </x:c>
      <x:c r="AD1972" s="21" t="n">
        <x:f>IF(E1972="",MEDIAN($E$2:$E$2237),E1972)</x:f>
        <x:v>40794</x:v>
      </x:c>
      <x:c r="AE1972" s="17" t="n">
        <x:f>2014-B1972</x:f>
        <x:v>39</x:v>
      </x:c>
      <x:c r="AF1972" s="17" t="n">
        <x:f>F1972+G1972</x:f>
        <x:v>1</x:v>
      </x:c>
      <x:c r="AG1972" s="21" t="n">
        <x:f>SUM(J1972:O1972)</x:f>
        <x:v>434</x:v>
      </x:c>
      <x:c r="AH1972" s="17" t="n">
        <x:f>SUM(Q1972:S1972)</x:f>
        <x:v>14</x:v>
      </x:c>
      <x:c r="AI1972" s="17" t="n">
        <x:f>SUM(U1972:Y1972)</x:f>
        <x:v>0</x:v>
      </x:c>
      <x:c r="AJ1972" s="17" t="str">
        <x:f>IF(AE1972&lt;=34,"≤34",IF(AE1972&lt;=44,"35–44",IF(AE1972&lt;=54,"45–54",IF(AE1972&lt;=64,"55–64","65+"))))</x:f>
        <x:v>35–44</x:v>
      </x:c>
      <x:c r="AK1972" s="17" t="str">
        <x:f>IF(AG1972&gt;=1000,"High Value",IF(AG1972&gt;=300,"Mid Value","Low Value"))</x:f>
        <x:v>Mid Value</x:v>
      </x:c>
      <x:c r="AL1972" s="17" t="str">
        <x:f>IF(AND(AI1972&gt;=1,I1972&lt;=50),"Priority 1",IF(AND(AG1972&gt;=1000,I1972&lt;=60),"Priority 2",IF(I1972&lt;=30,"Priority 3","Nurture")))</x:f>
        <x:v>Priority 3</x:v>
      </x:c>
    </x:row>
    <x:row r="1973">
      <x:c r="A1973" s="16" t="n">
        <x:v>8360</x:v>
      </x:c>
      <x:c r="B1973" s="16" t="n">
        <x:v>1971</x:v>
      </x:c>
      <x:c r="C1973" s="16" t="str">
        <x:v>2n Cycle</x:v>
      </x:c>
      <x:c r="D1973" s="16" t="str">
        <x:v>Married</x:v>
      </x:c>
      <x:c r="E1973" s="16" t="n">
        <x:v>54690</x:v>
      </x:c>
      <x:c r="F1973" s="16" t="n">
        <x:v>1</x:v>
      </x:c>
      <x:c r="G1973" s="16" t="n">
        <x:v>1</x:v>
      </x:c>
      <x:c r="H1973" s="16" t="str">
        <x:v>07-11-2013</x:v>
      </x:c>
      <x:c r="I1973" s="16" t="n">
        <x:v>76</x:v>
      </x:c>
      <x:c r="J1973" s="16" t="n">
        <x:v>111</x:v>
      </x:c>
      <x:c r="K1973" s="16" t="n">
        <x:v>16</x:v>
      </x:c>
      <x:c r="L1973" s="16" t="n">
        <x:v>37</x:v>
      </x:c>
      <x:c r="M1973" s="16" t="n">
        <x:v>7</x:v>
      </x:c>
      <x:c r="N1973" s="16" t="n">
        <x:v>9</x:v>
      </x:c>
      <x:c r="O1973" s="16" t="n">
        <x:v>18</x:v>
      </x:c>
      <x:c r="P1973" s="16" t="n">
        <x:v>3</x:v>
      </x:c>
      <x:c r="Q1973" s="16" t="n">
        <x:v>3</x:v>
      </x:c>
      <x:c r="R1973" s="16" t="n">
        <x:v>1</x:v>
      </x:c>
      <x:c r="S1973" s="16" t="n">
        <x:v>5</x:v>
      </x:c>
      <x:c r="T1973" s="16" t="n">
        <x:v>3</x:v>
      </x:c>
      <x:c r="U1973" s="16" t="n">
        <x:v>0</x:v>
      </x:c>
      <x:c r="V1973" s="16" t="n">
        <x:v>0</x:v>
      </x:c>
      <x:c r="W1973" s="16" t="n">
        <x:v>0</x:v>
      </x:c>
      <x:c r="X1973" s="16" t="n">
        <x:v>0</x:v>
      </x:c>
      <x:c r="Y1973" s="16" t="n">
        <x:v>0</x:v>
      </x:c>
      <x:c r="Z1973" s="16" t="n">
        <x:v>0</x:v>
      </x:c>
      <x:c r="AA1973" s="16" t="n">
        <x:v>3</x:v>
      </x:c>
      <x:c r="AB1973" s="16" t="n">
        <x:v>11</x:v>
      </x:c>
      <x:c r="AC1973" s="16" t="n">
        <x:v>0</x:v>
      </x:c>
      <x:c r="AD1973" s="21" t="n">
        <x:f>IF(E1973="",MEDIAN($E$2:$E$2237),E1973)</x:f>
        <x:v>54690</x:v>
      </x:c>
      <x:c r="AE1973" s="17" t="n">
        <x:f>2014-B1973</x:f>
        <x:v>43</x:v>
      </x:c>
      <x:c r="AF1973" s="17" t="n">
        <x:f>F1973+G1973</x:f>
        <x:v>2</x:v>
      </x:c>
      <x:c r="AG1973" s="21" t="n">
        <x:f>SUM(J1973:O1973)</x:f>
        <x:v>198</x:v>
      </x:c>
      <x:c r="AH1973" s="17" t="n">
        <x:f>SUM(Q1973:S1973)</x:f>
        <x:v>9</x:v>
      </x:c>
      <x:c r="AI1973" s="17" t="n">
        <x:f>SUM(U1973:Y1973)</x:f>
        <x:v>0</x:v>
      </x:c>
      <x:c r="AJ1973" s="17" t="str">
        <x:f>IF(AE1973&lt;=34,"≤34",IF(AE1973&lt;=44,"35–44",IF(AE1973&lt;=54,"45–54",IF(AE1973&lt;=64,"55–64","65+"))))</x:f>
        <x:v>35–44</x:v>
      </x:c>
      <x:c r="AK1973" s="17" t="str">
        <x:f>IF(AG1973&gt;=1000,"High Value",IF(AG1973&gt;=300,"Mid Value","Low Value"))</x:f>
        <x:v>Low Value</x:v>
      </x:c>
      <x:c r="AL1973" s="17" t="str">
        <x:f>IF(AND(AI1973&gt;=1,I1973&lt;=50),"Priority 1",IF(AND(AG1973&gt;=1000,I1973&lt;=60),"Priority 2",IF(I1973&lt;=30,"Priority 3","Nurture")))</x:f>
        <x:v>Nurture</x:v>
      </x:c>
    </x:row>
    <x:row r="1974">
      <x:c r="A1974" s="16" t="n">
        <x:v>10311</x:v>
      </x:c>
      <x:c r="B1974" s="16" t="n">
        <x:v>1969</x:v>
      </x:c>
      <x:c r="C1974" s="16" t="str">
        <x:v>Graduation</x:v>
      </x:c>
      <x:c r="D1974" s="16" t="str">
        <x:v>Married</x:v>
      </x:c>
      <x:c r="E1974" s="16" t="n">
        <x:v>4428</x:v>
      </x:c>
      <x:c r="F1974" s="16" t="n">
        <x:v>0</x:v>
      </x:c>
      <x:c r="G1974" s="16" t="n">
        <x:v>1</x:v>
      </x:c>
      <x:c r="H1974" s="16" t="str">
        <x:v>05-10-2013</x:v>
      </x:c>
      <x:c r="I1974" s="16" t="n">
        <x:v>0</x:v>
      </x:c>
      <x:c r="J1974" s="16" t="n">
        <x:v>16</x:v>
      </x:c>
      <x:c r="K1974" s="16" t="n">
        <x:v>4</x:v>
      </x:c>
      <x:c r="L1974" s="16" t="n">
        <x:v>12</x:v>
      </x:c>
      <x:c r="M1974" s="16" t="n">
        <x:v>2</x:v>
      </x:c>
      <x:c r="N1974" s="16" t="n">
        <x:v>4</x:v>
      </x:c>
      <x:c r="O1974" s="16" t="n">
        <x:v>321</x:v>
      </x:c>
      <x:c r="P1974" s="16" t="n">
        <x:v>0</x:v>
      </x:c>
      <x:c r="Q1974" s="16" t="n">
        <x:v>25</x:v>
      </x:c>
      <x:c r="R1974" s="16" t="n">
        <x:v>0</x:v>
      </x:c>
      <x:c r="S1974" s="16" t="n">
        <x:v>0</x:v>
      </x:c>
      <x:c r="T1974" s="16" t="n">
        <x:v>1</x:v>
      </x:c>
      <x:c r="U1974" s="16" t="n">
        <x:v>0</x:v>
      </x:c>
      <x:c r="V1974" s="16" t="n">
        <x:v>0</x:v>
      </x:c>
      <x:c r="W1974" s="16" t="n">
        <x:v>0</x:v>
      </x:c>
      <x:c r="X1974" s="16" t="n">
        <x:v>0</x:v>
      </x:c>
      <x:c r="Y1974" s="16" t="n">
        <x:v>0</x:v>
      </x:c>
      <x:c r="Z1974" s="16" t="n">
        <x:v>0</x:v>
      </x:c>
      <x:c r="AA1974" s="16" t="n">
        <x:v>3</x:v>
      </x:c>
      <x:c r="AB1974" s="16" t="n">
        <x:v>11</x:v>
      </x:c>
      <x:c r="AC1974" s="16" t="n">
        <x:v>0</x:v>
      </x:c>
      <x:c r="AD1974" s="21" t="n">
        <x:f>IF(E1974="",MEDIAN($E$2:$E$2237),E1974)</x:f>
        <x:v>4428</x:v>
      </x:c>
      <x:c r="AE1974" s="17" t="n">
        <x:f>2014-B1974</x:f>
        <x:v>45</x:v>
      </x:c>
      <x:c r="AF1974" s="17" t="n">
        <x:f>F1974+G1974</x:f>
        <x:v>1</x:v>
      </x:c>
      <x:c r="AG1974" s="21" t="n">
        <x:f>SUM(J1974:O1974)</x:f>
        <x:v>359</x:v>
      </x:c>
      <x:c r="AH1974" s="17" t="n">
        <x:f>SUM(Q1974:S1974)</x:f>
        <x:v>25</x:v>
      </x:c>
      <x:c r="AI1974" s="17" t="n">
        <x:f>SUM(U1974:Y1974)</x:f>
        <x:v>0</x:v>
      </x:c>
      <x:c r="AJ1974" s="17" t="str">
        <x:f>IF(AE1974&lt;=34,"≤34",IF(AE1974&lt;=44,"35–44",IF(AE1974&lt;=54,"45–54",IF(AE1974&lt;=64,"55–64","65+"))))</x:f>
        <x:v>45–54</x:v>
      </x:c>
      <x:c r="AK1974" s="17" t="str">
        <x:f>IF(AG1974&gt;=1000,"High Value",IF(AG1974&gt;=300,"Mid Value","Low Value"))</x:f>
        <x:v>Mid Value</x:v>
      </x:c>
      <x:c r="AL1974" s="17" t="str">
        <x:f>IF(AND(AI1974&gt;=1,I1974&lt;=50),"Priority 1",IF(AND(AG1974&gt;=1000,I1974&lt;=60),"Priority 2",IF(I1974&lt;=30,"Priority 3","Nurture")))</x:f>
        <x:v>Priority 3</x:v>
      </x:c>
    </x:row>
    <x:row r="1975">
      <x:c r="A1975" s="16" t="n">
        <x:v>5117</x:v>
      </x:c>
      <x:c r="B1975" s="16" t="n">
        <x:v>1963</x:v>
      </x:c>
      <x:c r="C1975" s="16" t="str">
        <x:v>2n Cycle</x:v>
      </x:c>
      <x:c r="D1975" s="16" t="str">
        <x:v>Married</x:v>
      </x:c>
      <x:c r="E1975" s="16" t="n">
        <x:v>32632</x:v>
      </x:c>
      <x:c r="F1975" s="16" t="n">
        <x:v>0</x:v>
      </x:c>
      <x:c r="G1975" s="16" t="n">
        <x:v>0</x:v>
      </x:c>
      <x:c r="H1975" s="16" t="str">
        <x:v>02-08-2012</x:v>
      </x:c>
      <x:c r="I1975" s="16" t="n">
        <x:v>32</x:v>
      </x:c>
      <x:c r="J1975" s="16" t="n">
        <x:v>63</x:v>
      </x:c>
      <x:c r="K1975" s="16" t="n">
        <x:v>151</x:v>
      </x:c>
      <x:c r="L1975" s="16" t="n">
        <x:v>137</x:v>
      </x:c>
      <x:c r="M1975" s="16" t="n">
        <x:v>153</x:v>
      </x:c>
      <x:c r="N1975" s="16" t="n">
        <x:v>19</x:v>
      </x:c>
      <x:c r="O1975" s="16" t="n">
        <x:v>53</x:v>
      </x:c>
      <x:c r="P1975" s="16" t="n">
        <x:v>2</x:v>
      </x:c>
      <x:c r="Q1975" s="16" t="n">
        <x:v>4</x:v>
      </x:c>
      <x:c r="R1975" s="16" t="n">
        <x:v>4</x:v>
      </x:c>
      <x:c r="S1975" s="16" t="n">
        <x:v>8</x:v>
      </x:c>
      <x:c r="T1975" s="16" t="n">
        <x:v>5</x:v>
      </x:c>
      <x:c r="U1975" s="16" t="n">
        <x:v>0</x:v>
      </x:c>
      <x:c r="V1975" s="16" t="n">
        <x:v>0</x:v>
      </x:c>
      <x:c r="W1975" s="16" t="n">
        <x:v>0</x:v>
      </x:c>
      <x:c r="X1975" s="16" t="n">
        <x:v>0</x:v>
      </x:c>
      <x:c r="Y1975" s="16" t="n">
        <x:v>0</x:v>
      </x:c>
      <x:c r="Z1975" s="16" t="n">
        <x:v>0</x:v>
      </x:c>
      <x:c r="AA1975" s="16" t="n">
        <x:v>3</x:v>
      </x:c>
      <x:c r="AB1975" s="16" t="n">
        <x:v>11</x:v>
      </x:c>
      <x:c r="AC1975" s="16" t="n">
        <x:v>0</x:v>
      </x:c>
      <x:c r="AD1975" s="21" t="n">
        <x:f>IF(E1975="",MEDIAN($E$2:$E$2237),E1975)</x:f>
        <x:v>32632</x:v>
      </x:c>
      <x:c r="AE1975" s="17" t="n">
        <x:f>2014-B1975</x:f>
        <x:v>51</x:v>
      </x:c>
      <x:c r="AF1975" s="17" t="n">
        <x:f>F1975+G1975</x:f>
        <x:v>0</x:v>
      </x:c>
      <x:c r="AG1975" s="21" t="n">
        <x:f>SUM(J1975:O1975)</x:f>
        <x:v>576</x:v>
      </x:c>
      <x:c r="AH1975" s="17" t="n">
        <x:f>SUM(Q1975:S1975)</x:f>
        <x:v>16</x:v>
      </x:c>
      <x:c r="AI1975" s="17" t="n">
        <x:f>SUM(U1975:Y1975)</x:f>
        <x:v>0</x:v>
      </x:c>
      <x:c r="AJ1975" s="17" t="str">
        <x:f>IF(AE1975&lt;=34,"≤34",IF(AE1975&lt;=44,"35–44",IF(AE1975&lt;=54,"45–54",IF(AE1975&lt;=64,"55–64","65+"))))</x:f>
        <x:v>45–54</x:v>
      </x:c>
      <x:c r="AK1975" s="17" t="str">
        <x:f>IF(AG1975&gt;=1000,"High Value",IF(AG1975&gt;=300,"Mid Value","Low Value"))</x:f>
        <x:v>Mid Value</x:v>
      </x:c>
      <x:c r="AL1975" s="17" t="str">
        <x:f>IF(AND(AI1975&gt;=1,I1975&lt;=50),"Priority 1",IF(AND(AG1975&gt;=1000,I1975&lt;=60),"Priority 2",IF(I1975&lt;=30,"Priority 3","Nurture")))</x:f>
        <x:v>Nurture</x:v>
      </x:c>
    </x:row>
    <x:row r="1976">
      <x:c r="A1976" s="16" t="n">
        <x:v>4867</x:v>
      </x:c>
      <x:c r="B1976" s="16" t="n">
        <x:v>1968</x:v>
      </x:c>
      <x:c r="C1976" s="16" t="str">
        <x:v>PhD</x:v>
      </x:c>
      <x:c r="D1976" s="16" t="str">
        <x:v>Single</x:v>
      </x:c>
      <x:c r="E1976" s="16" t="n">
        <x:v>38236</x:v>
      </x:c>
      <x:c r="F1976" s="16" t="n">
        <x:v>1</x:v>
      </x:c>
      <x:c r="G1976" s="16" t="n">
        <x:v>1</x:v>
      </x:c>
      <x:c r="H1976" s="16" t="str">
        <x:v>20-09-2013</x:v>
      </x:c>
      <x:c r="I1976" s="16" t="n">
        <x:v>2</x:v>
      </x:c>
      <x:c r="J1976" s="16" t="n">
        <x:v>58</x:v>
      </x:c>
      <x:c r="K1976" s="16" t="n">
        <x:v>0</x:v>
      </x:c>
      <x:c r="L1976" s="16" t="n">
        <x:v>18</x:v>
      </x:c>
      <x:c r="M1976" s="16" t="n">
        <x:v>2</x:v>
      </x:c>
      <x:c r="N1976" s="16" t="n">
        <x:v>0</x:v>
      </x:c>
      <x:c r="O1976" s="16" t="n">
        <x:v>10</x:v>
      </x:c>
      <x:c r="P1976" s="16" t="n">
        <x:v>4</x:v>
      </x:c>
      <x:c r="Q1976" s="16" t="n">
        <x:v>3</x:v>
      </x:c>
      <x:c r="R1976" s="16" t="n">
        <x:v>0</x:v>
      </x:c>
      <x:c r="S1976" s="16" t="n">
        <x:v>4</x:v>
      </x:c>
      <x:c r="T1976" s="16" t="n">
        <x:v>7</x:v>
      </x:c>
      <x:c r="U1976" s="16" t="n">
        <x:v>0</x:v>
      </x:c>
      <x:c r="V1976" s="16" t="n">
        <x:v>0</x:v>
      </x:c>
      <x:c r="W1976" s="16" t="n">
        <x:v>0</x:v>
      </x:c>
      <x:c r="X1976" s="16" t="n">
        <x:v>0</x:v>
      </x:c>
      <x:c r="Y1976" s="16" t="n">
        <x:v>0</x:v>
      </x:c>
      <x:c r="Z1976" s="16" t="n">
        <x:v>0</x:v>
      </x:c>
      <x:c r="AA1976" s="16" t="n">
        <x:v>3</x:v>
      </x:c>
      <x:c r="AB1976" s="16" t="n">
        <x:v>11</x:v>
      </x:c>
      <x:c r="AC1976" s="16" t="n">
        <x:v>0</x:v>
      </x:c>
      <x:c r="AD1976" s="21" t="n">
        <x:f>IF(E1976="",MEDIAN($E$2:$E$2237),E1976)</x:f>
        <x:v>38236</x:v>
      </x:c>
      <x:c r="AE1976" s="17" t="n">
        <x:f>2014-B1976</x:f>
        <x:v>46</x:v>
      </x:c>
      <x:c r="AF1976" s="17" t="n">
        <x:f>F1976+G1976</x:f>
        <x:v>2</x:v>
      </x:c>
      <x:c r="AG1976" s="21" t="n">
        <x:f>SUM(J1976:O1976)</x:f>
        <x:v>88</x:v>
      </x:c>
      <x:c r="AH1976" s="17" t="n">
        <x:f>SUM(Q1976:S1976)</x:f>
        <x:v>7</x:v>
      </x:c>
      <x:c r="AI1976" s="17" t="n">
        <x:f>SUM(U1976:Y1976)</x:f>
        <x:v>0</x:v>
      </x:c>
      <x:c r="AJ1976" s="17" t="str">
        <x:f>IF(AE1976&lt;=34,"≤34",IF(AE1976&lt;=44,"35–44",IF(AE1976&lt;=54,"45–54",IF(AE1976&lt;=64,"55–64","65+"))))</x:f>
        <x:v>45–54</x:v>
      </x:c>
      <x:c r="AK1976" s="17" t="str">
        <x:f>IF(AG1976&gt;=1000,"High Value",IF(AG1976&gt;=300,"Mid Value","Low Value"))</x:f>
        <x:v>Low Value</x:v>
      </x:c>
      <x:c r="AL1976" s="17" t="str">
        <x:f>IF(AND(AI1976&gt;=1,I1976&lt;=50),"Priority 1",IF(AND(AG1976&gt;=1000,I1976&lt;=60),"Priority 2",IF(I1976&lt;=30,"Priority 3","Nurture")))</x:f>
        <x:v>Priority 3</x:v>
      </x:c>
    </x:row>
    <x:row r="1977">
      <x:c r="A1977" s="16" t="n">
        <x:v>9289</x:v>
      </x:c>
      <x:c r="B1977" s="16" t="n">
        <x:v>1979</x:v>
      </x:c>
      <x:c r="C1977" s="16" t="str">
        <x:v>Graduation</x:v>
      </x:c>
      <x:c r="D1977" s="16" t="str">
        <x:v>Married</x:v>
      </x:c>
      <x:c r="E1977" s="16" t="n">
        <x:v>36781</x:v>
      </x:c>
      <x:c r="F1977" s="16" t="n">
        <x:v>1</x:v>
      </x:c>
      <x:c r="G1977" s="16" t="n">
        <x:v>0</x:v>
      </x:c>
      <x:c r="H1977" s="16" t="str">
        <x:v>10-04-2014</x:v>
      </x:c>
      <x:c r="I1977" s="16" t="n">
        <x:v>16</x:v>
      </x:c>
      <x:c r="J1977" s="16" t="n">
        <x:v>29</x:v>
      </x:c>
      <x:c r="K1977" s="16" t="n">
        <x:v>1</x:v>
      </x:c>
      <x:c r="L1977" s="16" t="n">
        <x:v>17</x:v>
      </x:c>
      <x:c r="M1977" s="16" t="n">
        <x:v>0</x:v>
      </x:c>
      <x:c r="N1977" s="16" t="n">
        <x:v>3</x:v>
      </x:c>
      <x:c r="O1977" s="16" t="n">
        <x:v>13</x:v>
      </x:c>
      <x:c r="P1977" s="16" t="n">
        <x:v>1</x:v>
      </x:c>
      <x:c r="Q1977" s="16" t="n">
        <x:v>2</x:v>
      </x:c>
      <x:c r="R1977" s="16" t="n">
        <x:v>1</x:v>
      </x:c>
      <x:c r="S1977" s="16" t="n">
        <x:v>2</x:v>
      </x:c>
      <x:c r="T1977" s="16" t="n">
        <x:v>8</x:v>
      </x:c>
      <x:c r="U1977" s="16" t="n">
        <x:v>0</x:v>
      </x:c>
      <x:c r="V1977" s="16" t="n">
        <x:v>0</x:v>
      </x:c>
      <x:c r="W1977" s="16" t="n">
        <x:v>0</x:v>
      </x:c>
      <x:c r="X1977" s="16" t="n">
        <x:v>0</x:v>
      </x:c>
      <x:c r="Y1977" s="16" t="n">
        <x:v>0</x:v>
      </x:c>
      <x:c r="Z1977" s="16" t="n">
        <x:v>0</x:v>
      </x:c>
      <x:c r="AA1977" s="16" t="n">
        <x:v>3</x:v>
      </x:c>
      <x:c r="AB1977" s="16" t="n">
        <x:v>11</x:v>
      </x:c>
      <x:c r="AC1977" s="16" t="n">
        <x:v>1</x:v>
      </x:c>
      <x:c r="AD1977" s="21" t="n">
        <x:f>IF(E1977="",MEDIAN($E$2:$E$2237),E1977)</x:f>
        <x:v>36781</x:v>
      </x:c>
      <x:c r="AE1977" s="17" t="n">
        <x:f>2014-B1977</x:f>
        <x:v>35</x:v>
      </x:c>
      <x:c r="AF1977" s="17" t="n">
        <x:f>F1977+G1977</x:f>
        <x:v>1</x:v>
      </x:c>
      <x:c r="AG1977" s="21" t="n">
        <x:f>SUM(J1977:O1977)</x:f>
        <x:v>63</x:v>
      </x:c>
      <x:c r="AH1977" s="17" t="n">
        <x:f>SUM(Q1977:S1977)</x:f>
        <x:v>5</x:v>
      </x:c>
      <x:c r="AI1977" s="17" t="n">
        <x:f>SUM(U1977:Y1977)</x:f>
        <x:v>0</x:v>
      </x:c>
      <x:c r="AJ1977" s="17" t="str">
        <x:f>IF(AE1977&lt;=34,"≤34",IF(AE1977&lt;=44,"35–44",IF(AE1977&lt;=54,"45–54",IF(AE1977&lt;=64,"55–64","65+"))))</x:f>
        <x:v>35–44</x:v>
      </x:c>
      <x:c r="AK1977" s="17" t="str">
        <x:f>IF(AG1977&gt;=1000,"High Value",IF(AG1977&gt;=300,"Mid Value","Low Value"))</x:f>
        <x:v>Low Value</x:v>
      </x:c>
      <x:c r="AL1977" s="17" t="str">
        <x:f>IF(AND(AI1977&gt;=1,I1977&lt;=50),"Priority 1",IF(AND(AG1977&gt;=1000,I1977&lt;=60),"Priority 2",IF(I1977&lt;=30,"Priority 3","Nurture")))</x:f>
        <x:v>Priority 3</x:v>
      </x:c>
    </x:row>
    <x:row r="1978">
      <x:c r="A1978" s="16" t="n">
        <x:v>10913</x:v>
      </x:c>
      <x:c r="B1978" s="16" t="n">
        <x:v>1984</x:v>
      </x:c>
      <x:c r="C1978" s="16" t="str">
        <x:v>Master</x:v>
      </x:c>
      <x:c r="D1978" s="16" t="str">
        <x:v>Single</x:v>
      </x:c>
      <x:c r="E1978" s="16" t="n">
        <x:v>31385</x:v>
      </x:c>
      <x:c r="F1978" s="16" t="n">
        <x:v>1</x:v>
      </x:c>
      <x:c r="G1978" s="16" t="n">
        <x:v>0</x:v>
      </x:c>
      <x:c r="H1978" s="16" t="str">
        <x:v>05-12-2012</x:v>
      </x:c>
      <x:c r="I1978" s="16" t="n">
        <x:v>56</x:v>
      </x:c>
      <x:c r="J1978" s="16" t="n">
        <x:v>3</x:v>
      </x:c>
      <x:c r="K1978" s="16" t="n">
        <x:v>2</x:v>
      </x:c>
      <x:c r="L1978" s="16" t="n">
        <x:v>12</x:v>
      </x:c>
      <x:c r="M1978" s="16" t="n">
        <x:v>0</x:v>
      </x:c>
      <x:c r="N1978" s="16" t="n">
        <x:v>1</x:v>
      </x:c>
      <x:c r="O1978" s="16" t="n">
        <x:v>9</x:v>
      </x:c>
      <x:c r="P1978" s="16" t="n">
        <x:v>1</x:v>
      </x:c>
      <x:c r="Q1978" s="16" t="n">
        <x:v>1</x:v>
      </x:c>
      <x:c r="R1978" s="16" t="n">
        <x:v>0</x:v>
      </x:c>
      <x:c r="S1978" s="16" t="n">
        <x:v>2</x:v>
      </x:c>
      <x:c r="T1978" s="16" t="n">
        <x:v>8</x:v>
      </x:c>
      <x:c r="U1978" s="16" t="n">
        <x:v>1</x:v>
      </x:c>
      <x:c r="V1978" s="16" t="n">
        <x:v>0</x:v>
      </x:c>
      <x:c r="W1978" s="16" t="n">
        <x:v>0</x:v>
      </x:c>
      <x:c r="X1978" s="16" t="n">
        <x:v>0</x:v>
      </x:c>
      <x:c r="Y1978" s="16" t="n">
        <x:v>0</x:v>
      </x:c>
      <x:c r="Z1978" s="16" t="n">
        <x:v>0</x:v>
      </x:c>
      <x:c r="AA1978" s="16" t="n">
        <x:v>3</x:v>
      </x:c>
      <x:c r="AB1978" s="16" t="n">
        <x:v>11</x:v>
      </x:c>
      <x:c r="AC1978" s="16" t="n">
        <x:v>1</x:v>
      </x:c>
      <x:c r="AD1978" s="21" t="n">
        <x:f>IF(E1978="",MEDIAN($E$2:$E$2237),E1978)</x:f>
        <x:v>31385</x:v>
      </x:c>
      <x:c r="AE1978" s="17" t="n">
        <x:f>2014-B1978</x:f>
        <x:v>30</x:v>
      </x:c>
      <x:c r="AF1978" s="17" t="n">
        <x:f>F1978+G1978</x:f>
        <x:v>1</x:v>
      </x:c>
      <x:c r="AG1978" s="21" t="n">
        <x:f>SUM(J1978:O1978)</x:f>
        <x:v>27</x:v>
      </x:c>
      <x:c r="AH1978" s="17" t="n">
        <x:f>SUM(Q1978:S1978)</x:f>
        <x:v>3</x:v>
      </x:c>
      <x:c r="AI1978" s="17" t="n">
        <x:f>SUM(U1978:Y1978)</x:f>
        <x:v>1</x:v>
      </x:c>
      <x:c r="AJ1978" s="17" t="str">
        <x:f>IF(AE1978&lt;=34,"≤34",IF(AE1978&lt;=44,"35–44",IF(AE1978&lt;=54,"45–54",IF(AE1978&lt;=64,"55–64","65+"))))</x:f>
        <x:v>≤34</x:v>
      </x:c>
      <x:c r="AK1978" s="17" t="str">
        <x:f>IF(AG1978&gt;=1000,"High Value",IF(AG1978&gt;=300,"Mid Value","Low Value"))</x:f>
        <x:v>Low Value</x:v>
      </x:c>
      <x:c r="AL1978" s="17" t="str">
        <x:f>IF(AND(AI1978&gt;=1,I1978&lt;=50),"Priority 1",IF(AND(AG1978&gt;=1000,I1978&lt;=60),"Priority 2",IF(I1978&lt;=30,"Priority 3","Nurture")))</x:f>
        <x:v>Nurture</x:v>
      </x:c>
    </x:row>
    <x:row r="1979">
      <x:c r="A1979" s="16" t="n">
        <x:v>3032</x:v>
      </x:c>
      <x:c r="B1979" s="16" t="n">
        <x:v>1984</x:v>
      </x:c>
      <x:c r="C1979" s="16" t="str">
        <x:v>Graduation</x:v>
      </x:c>
      <x:c r="D1979" s="16" t="str">
        <x:v>Married</x:v>
      </x:c>
      <x:c r="E1979" s="16" t="n">
        <x:v>24570</x:v>
      </x:c>
      <x:c r="F1979" s="16" t="n">
        <x:v>1</x:v>
      </x:c>
      <x:c r="G1979" s="16" t="n">
        <x:v>0</x:v>
      </x:c>
      <x:c r="H1979" s="16" t="str">
        <x:v>27-02-2013</x:v>
      </x:c>
      <x:c r="I1979" s="16" t="n">
        <x:v>97</x:v>
      </x:c>
      <x:c r="J1979" s="16" t="n">
        <x:v>28</x:v>
      </x:c>
      <x:c r="K1979" s="16" t="n">
        <x:v>34</x:v>
      </x:c>
      <x:c r="L1979" s="16" t="n">
        <x:v>62</x:v>
      </x:c>
      <x:c r="M1979" s="16" t="n">
        <x:v>11</x:v>
      </x:c>
      <x:c r="N1979" s="16" t="n">
        <x:v>14</x:v>
      </x:c>
      <x:c r="O1979" s="16" t="n">
        <x:v>44</x:v>
      </x:c>
      <x:c r="P1979" s="16" t="n">
        <x:v>3</x:v>
      </x:c>
      <x:c r="Q1979" s="16" t="n">
        <x:v>4</x:v>
      </x:c>
      <x:c r="R1979" s="16" t="n">
        <x:v>0</x:v>
      </x:c>
      <x:c r="S1979" s="16" t="n">
        <x:v>4</x:v>
      </x:c>
      <x:c r="T1979" s="16" t="n">
        <x:v>9</x:v>
      </x:c>
      <x:c r="U1979" s="16" t="n">
        <x:v>0</x:v>
      </x:c>
      <x:c r="V1979" s="16" t="n">
        <x:v>0</x:v>
      </x:c>
      <x:c r="W1979" s="16" t="n">
        <x:v>0</x:v>
      </x:c>
      <x:c r="X1979" s="16" t="n">
        <x:v>0</x:v>
      </x:c>
      <x:c r="Y1979" s="16" t="n">
        <x:v>0</x:v>
      </x:c>
      <x:c r="Z1979" s="16" t="n">
        <x:v>0</x:v>
      </x:c>
      <x:c r="AA1979" s="16" t="n">
        <x:v>3</x:v>
      </x:c>
      <x:c r="AB1979" s="16" t="n">
        <x:v>11</x:v>
      </x:c>
      <x:c r="AC1979" s="16" t="n">
        <x:v>0</x:v>
      </x:c>
      <x:c r="AD1979" s="21" t="n">
        <x:f>IF(E1979="",MEDIAN($E$2:$E$2237),E1979)</x:f>
        <x:v>24570</x:v>
      </x:c>
      <x:c r="AE1979" s="17" t="n">
        <x:f>2014-B1979</x:f>
        <x:v>30</x:v>
      </x:c>
      <x:c r="AF1979" s="17" t="n">
        <x:f>F1979+G1979</x:f>
        <x:v>1</x:v>
      </x:c>
      <x:c r="AG1979" s="21" t="n">
        <x:f>SUM(J1979:O1979)</x:f>
        <x:v>193</x:v>
      </x:c>
      <x:c r="AH1979" s="17" t="n">
        <x:f>SUM(Q1979:S1979)</x:f>
        <x:v>8</x:v>
      </x:c>
      <x:c r="AI1979" s="17" t="n">
        <x:f>SUM(U1979:Y1979)</x:f>
        <x:v>0</x:v>
      </x:c>
      <x:c r="AJ1979" s="17" t="str">
        <x:f>IF(AE1979&lt;=34,"≤34",IF(AE1979&lt;=44,"35–44",IF(AE1979&lt;=54,"45–54",IF(AE1979&lt;=64,"55–64","65+"))))</x:f>
        <x:v>≤34</x:v>
      </x:c>
      <x:c r="AK1979" s="17" t="str">
        <x:f>IF(AG1979&gt;=1000,"High Value",IF(AG1979&gt;=300,"Mid Value","Low Value"))</x:f>
        <x:v>Low Value</x:v>
      </x:c>
      <x:c r="AL1979" s="17" t="str">
        <x:f>IF(AND(AI1979&gt;=1,I1979&lt;=50),"Priority 1",IF(AND(AG1979&gt;=1000,I1979&lt;=60),"Priority 2",IF(I1979&lt;=30,"Priority 3","Nurture")))</x:f>
        <x:v>Nurture</x:v>
      </x:c>
    </x:row>
    <x:row r="1980">
      <x:c r="A1980" s="16" t="n">
        <x:v>8524</x:v>
      </x:c>
      <x:c r="B1980" s="16" t="n">
        <x:v>1974</x:v>
      </x:c>
      <x:c r="C1980" s="16" t="str">
        <x:v>PhD</x:v>
      </x:c>
      <x:c r="D1980" s="16" t="str">
        <x:v>Divorced</x:v>
      </x:c>
      <x:c r="E1980" s="16" t="n">
        <x:v>25509</x:v>
      </x:c>
      <x:c r="F1980" s="16" t="n">
        <x:v>1</x:v>
      </x:c>
      <x:c r="G1980" s="16" t="n">
        <x:v>0</x:v>
      </x:c>
      <x:c r="H1980" s="16" t="str">
        <x:v>18-09-2012</x:v>
      </x:c>
      <x:c r="I1980" s="16" t="n">
        <x:v>15</x:v>
      </x:c>
      <x:c r="J1980" s="16" t="n">
        <x:v>40</x:v>
      </x:c>
      <x:c r="K1980" s="16" t="n">
        <x:v>3</x:v>
      </x:c>
      <x:c r="L1980" s="16" t="n">
        <x:v>30</x:v>
      </x:c>
      <x:c r="M1980" s="16" t="n">
        <x:v>10</x:v>
      </x:c>
      <x:c r="N1980" s="16" t="n">
        <x:v>7</x:v>
      </x:c>
      <x:c r="O1980" s="16" t="n">
        <x:v>11</x:v>
      </x:c>
      <x:c r="P1980" s="16" t="n">
        <x:v>3</x:v>
      </x:c>
      <x:c r="Q1980" s="16" t="n">
        <x:v>3</x:v>
      </x:c>
      <x:c r="R1980" s="16" t="n">
        <x:v>0</x:v>
      </x:c>
      <x:c r="S1980" s="16" t="n">
        <x:v>3</x:v>
      </x:c>
      <x:c r="T1980" s="16" t="n">
        <x:v>9</x:v>
      </x:c>
      <x:c r="U1980" s="16" t="n">
        <x:v>0</x:v>
      </x:c>
      <x:c r="V1980" s="16" t="n">
        <x:v>0</x:v>
      </x:c>
      <x:c r="W1980" s="16" t="n">
        <x:v>0</x:v>
      </x:c>
      <x:c r="X1980" s="16" t="n">
        <x:v>0</x:v>
      </x:c>
      <x:c r="Y1980" s="16" t="n">
        <x:v>0</x:v>
      </x:c>
      <x:c r="Z1980" s="16" t="n">
        <x:v>0</x:v>
      </x:c>
      <x:c r="AA1980" s="16" t="n">
        <x:v>3</x:v>
      </x:c>
      <x:c r="AB1980" s="16" t="n">
        <x:v>11</x:v>
      </x:c>
      <x:c r="AC1980" s="16" t="n">
        <x:v>1</x:v>
      </x:c>
      <x:c r="AD1980" s="21" t="n">
        <x:f>IF(E1980="",MEDIAN($E$2:$E$2237),E1980)</x:f>
        <x:v>25509</x:v>
      </x:c>
      <x:c r="AE1980" s="17" t="n">
        <x:f>2014-B1980</x:f>
        <x:v>40</x:v>
      </x:c>
      <x:c r="AF1980" s="17" t="n">
        <x:f>F1980+G1980</x:f>
        <x:v>1</x:v>
      </x:c>
      <x:c r="AG1980" s="21" t="n">
        <x:f>SUM(J1980:O1980)</x:f>
        <x:v>101</x:v>
      </x:c>
      <x:c r="AH1980" s="17" t="n">
        <x:f>SUM(Q1980:S1980)</x:f>
        <x:v>6</x:v>
      </x:c>
      <x:c r="AI1980" s="17" t="n">
        <x:f>SUM(U1980:Y1980)</x:f>
        <x:v>0</x:v>
      </x:c>
      <x:c r="AJ1980" s="17" t="str">
        <x:f>IF(AE1980&lt;=34,"≤34",IF(AE1980&lt;=44,"35–44",IF(AE1980&lt;=54,"45–54",IF(AE1980&lt;=64,"55–64","65+"))))</x:f>
        <x:v>35–44</x:v>
      </x:c>
      <x:c r="AK1980" s="17" t="str">
        <x:f>IF(AG1980&gt;=1000,"High Value",IF(AG1980&gt;=300,"Mid Value","Low Value"))</x:f>
        <x:v>Low Value</x:v>
      </x:c>
      <x:c r="AL1980" s="17" t="str">
        <x:f>IF(AND(AI1980&gt;=1,I1980&lt;=50),"Priority 1",IF(AND(AG1980&gt;=1000,I1980&lt;=60),"Priority 2",IF(I1980&lt;=30,"Priority 3","Nurture")))</x:f>
        <x:v>Priority 3</x:v>
      </x:c>
    </x:row>
    <x:row r="1981">
      <x:c r="A1981" s="16" t="n">
        <x:v>3334</x:v>
      </x:c>
      <x:c r="B1981" s="16" t="n">
        <x:v>1951</x:v>
      </x:c>
      <x:c r="C1981" s="16" t="str">
        <x:v>Graduation</x:v>
      </x:c>
      <x:c r="D1981" s="16" t="str">
        <x:v>Married</x:v>
      </x:c>
      <x:c r="E1981" s="16" t="n">
        <x:v>94642</x:v>
      </x:c>
      <x:c r="F1981" s="16" t="n">
        <x:v>0</x:v>
      </x:c>
      <x:c r="G1981" s="16" t="n">
        <x:v>0</x:v>
      </x:c>
      <x:c r="H1981" s="16" t="str">
        <x:v>12-02-2014</x:v>
      </x:c>
      <x:c r="I1981" s="16" t="n">
        <x:v>35</x:v>
      </x:c>
      <x:c r="J1981" s="16" t="n">
        <x:v>879</x:v>
      </x:c>
      <x:c r="K1981" s="16" t="n">
        <x:v>143</x:v>
      </x:c>
      <x:c r="L1981" s="16" t="n">
        <x:v>797</x:v>
      </x:c>
      <x:c r="M1981" s="16" t="n">
        <x:v>106</x:v>
      </x:c>
      <x:c r="N1981" s="16" t="n">
        <x:v>143</x:v>
      </x:c>
      <x:c r="O1981" s="16" t="n">
        <x:v>143</x:v>
      </x:c>
      <x:c r="P1981" s="16" t="n">
        <x:v>0</x:v>
      </x:c>
      <x:c r="Q1981" s="16" t="n">
        <x:v>5</x:v>
      </x:c>
      <x:c r="R1981" s="16" t="n">
        <x:v>7</x:v>
      </x:c>
      <x:c r="S1981" s="16" t="n">
        <x:v>9</x:v>
      </x:c>
      <x:c r="T1981" s="16" t="n">
        <x:v>1</x:v>
      </x:c>
      <x:c r="U1981" s="16" t="n">
        <x:v>0</x:v>
      </x:c>
      <x:c r="V1981" s="16" t="n">
        <x:v>0</x:v>
      </x:c>
      <x:c r="W1981" s="16" t="n">
        <x:v>1</x:v>
      </x:c>
      <x:c r="X1981" s="16" t="n">
        <x:v>1</x:v>
      </x:c>
      <x:c r="Y1981" s="16" t="n">
        <x:v>0</x:v>
      </x:c>
      <x:c r="Z1981" s="16" t="n">
        <x:v>0</x:v>
      </x:c>
      <x:c r="AA1981" s="16" t="n">
        <x:v>3</x:v>
      </x:c>
      <x:c r="AB1981" s="16" t="n">
        <x:v>11</x:v>
      </x:c>
      <x:c r="AC1981" s="16" t="n">
        <x:v>0</x:v>
      </x:c>
      <x:c r="AD1981" s="21" t="n">
        <x:f>IF(E1981="",MEDIAN($E$2:$E$2237),E1981)</x:f>
        <x:v>94642</x:v>
      </x:c>
      <x:c r="AE1981" s="17" t="n">
        <x:f>2014-B1981</x:f>
        <x:v>63</x:v>
      </x:c>
      <x:c r="AF1981" s="17" t="n">
        <x:f>F1981+G1981</x:f>
        <x:v>0</x:v>
      </x:c>
      <x:c r="AG1981" s="21" t="n">
        <x:f>SUM(J1981:O1981)</x:f>
        <x:v>2211</x:v>
      </x:c>
      <x:c r="AH1981" s="17" t="n">
        <x:f>SUM(Q1981:S1981)</x:f>
        <x:v>21</x:v>
      </x:c>
      <x:c r="AI1981" s="17" t="n">
        <x:f>SUM(U1981:Y1981)</x:f>
        <x:v>2</x:v>
      </x:c>
      <x:c r="AJ1981" s="17" t="str">
        <x:f>IF(AE1981&lt;=34,"≤34",IF(AE1981&lt;=44,"35–44",IF(AE1981&lt;=54,"45–54",IF(AE1981&lt;=64,"55–64","65+"))))</x:f>
        <x:v>55–64</x:v>
      </x:c>
      <x:c r="AK1981" s="17" t="str">
        <x:f>IF(AG1981&gt;=1000,"High Value",IF(AG1981&gt;=300,"Mid Value","Low Value"))</x:f>
        <x:v>High Value</x:v>
      </x:c>
      <x:c r="AL1981" s="17" t="str">
        <x:f>IF(AND(AI1981&gt;=1,I1981&lt;=50),"Priority 1",IF(AND(AG1981&gt;=1000,I1981&lt;=60),"Priority 2",IF(I1981&lt;=30,"Priority 3","Nurture")))</x:f>
        <x:v>Priority 1</x:v>
      </x:c>
    </x:row>
    <x:row r="1982">
      <x:c r="A1982" s="16" t="n">
        <x:v>4470</x:v>
      </x:c>
      <x:c r="B1982" s="16" t="n">
        <x:v>1962</x:v>
      </x:c>
      <x:c r="C1982" s="16" t="str">
        <x:v>Master</x:v>
      </x:c>
      <x:c r="D1982" s="16" t="str">
        <x:v>Married</x:v>
      </x:c>
      <x:c r="E1982" s="16" t="n">
        <x:v>58646</x:v>
      </x:c>
      <x:c r="F1982" s="16" t="n">
        <x:v>0</x:v>
      </x:c>
      <x:c r="G1982" s="16" t="n">
        <x:v>1</x:v>
      </x:c>
      <x:c r="H1982" s="16" t="str">
        <x:v>10-06-2013</x:v>
      </x:c>
      <x:c r="I1982" s="16" t="n">
        <x:v>3</x:v>
      </x:c>
      <x:c r="J1982" s="16" t="n">
        <x:v>62</x:v>
      </x:c>
      <x:c r="K1982" s="16" t="n">
        <x:v>1</x:v>
      </x:c>
      <x:c r="L1982" s="16" t="n">
        <x:v>44</x:v>
      </x:c>
      <x:c r="M1982" s="16" t="n">
        <x:v>6</x:v>
      </x:c>
      <x:c r="N1982" s="16" t="n">
        <x:v>5</x:v>
      </x:c>
      <x:c r="O1982" s="16" t="n">
        <x:v>22</x:v>
      </x:c>
      <x:c r="P1982" s="16" t="n">
        <x:v>1</x:v>
      </x:c>
      <x:c r="Q1982" s="16" t="n">
        <x:v>2</x:v>
      </x:c>
      <x:c r="R1982" s="16" t="n">
        <x:v>1</x:v>
      </x:c>
      <x:c r="S1982" s="16" t="n">
        <x:v>4</x:v>
      </x:c>
      <x:c r="T1982" s="16" t="n">
        <x:v>4</x:v>
      </x:c>
      <x:c r="U1982" s="16" t="n">
        <x:v>0</x:v>
      </x:c>
      <x:c r="V1982" s="16" t="n">
        <x:v>0</x:v>
      </x:c>
      <x:c r="W1982" s="16" t="n">
        <x:v>0</x:v>
      </x:c>
      <x:c r="X1982" s="16" t="n">
        <x:v>0</x:v>
      </x:c>
      <x:c r="Y1982" s="16" t="n">
        <x:v>0</x:v>
      </x:c>
      <x:c r="Z1982" s="16" t="n">
        <x:v>0</x:v>
      </x:c>
      <x:c r="AA1982" s="16" t="n">
        <x:v>3</x:v>
      </x:c>
      <x:c r="AB1982" s="16" t="n">
        <x:v>11</x:v>
      </x:c>
      <x:c r="AC1982" s="16" t="n">
        <x:v>0</x:v>
      </x:c>
      <x:c r="AD1982" s="21" t="n">
        <x:f>IF(E1982="",MEDIAN($E$2:$E$2237),E1982)</x:f>
        <x:v>58646</x:v>
      </x:c>
      <x:c r="AE1982" s="17" t="n">
        <x:f>2014-B1982</x:f>
        <x:v>52</x:v>
      </x:c>
      <x:c r="AF1982" s="17" t="n">
        <x:f>F1982+G1982</x:f>
        <x:v>1</x:v>
      </x:c>
      <x:c r="AG1982" s="21" t="n">
        <x:f>SUM(J1982:O1982)</x:f>
        <x:v>140</x:v>
      </x:c>
      <x:c r="AH1982" s="17" t="n">
        <x:f>SUM(Q1982:S1982)</x:f>
        <x:v>7</x:v>
      </x:c>
      <x:c r="AI1982" s="17" t="n">
        <x:f>SUM(U1982:Y1982)</x:f>
        <x:v>0</x:v>
      </x:c>
      <x:c r="AJ1982" s="17" t="str">
        <x:f>IF(AE1982&lt;=34,"≤34",IF(AE1982&lt;=44,"35–44",IF(AE1982&lt;=54,"45–54",IF(AE1982&lt;=64,"55–64","65+"))))</x:f>
        <x:v>45–54</x:v>
      </x:c>
      <x:c r="AK1982" s="17" t="str">
        <x:f>IF(AG1982&gt;=1000,"High Value",IF(AG1982&gt;=300,"Mid Value","Low Value"))</x:f>
        <x:v>Low Value</x:v>
      </x:c>
      <x:c r="AL1982" s="17" t="str">
        <x:f>IF(AND(AI1982&gt;=1,I1982&lt;=50),"Priority 1",IF(AND(AG1982&gt;=1000,I1982&lt;=60),"Priority 2",IF(I1982&lt;=30,"Priority 3","Nurture")))</x:f>
        <x:v>Priority 3</x:v>
      </x:c>
    </x:row>
    <x:row r="1983">
      <x:c r="A1983" s="16" t="n">
        <x:v>1406</x:v>
      </x:c>
      <x:c r="B1983" s="16" t="n">
        <x:v>1975</x:v>
      </x:c>
      <x:c r="C1983" s="16" t="str">
        <x:v>Graduation</x:v>
      </x:c>
      <x:c r="D1983" s="16" t="str">
        <x:v>Single</x:v>
      </x:c>
      <x:c r="E1983" s="16" t="n">
        <x:v>53201</x:v>
      </x:c>
      <x:c r="F1983" s="16" t="n">
        <x:v>1</x:v>
      </x:c>
      <x:c r="G1983" s="16" t="n">
        <x:v>1</x:v>
      </x:c>
      <x:c r="H1983" s="16" t="str">
        <x:v>12-02-2013</x:v>
      </x:c>
      <x:c r="I1983" s="16" t="n">
        <x:v>49</x:v>
      </x:c>
      <x:c r="J1983" s="16" t="n">
        <x:v>280</x:v>
      </x:c>
      <x:c r="K1983" s="16" t="n">
        <x:v>7</x:v>
      </x:c>
      <x:c r="L1983" s="16" t="n">
        <x:v>81</x:v>
      </x:c>
      <x:c r="M1983" s="16" t="n">
        <x:v>20</x:v>
      </x:c>
      <x:c r="N1983" s="16" t="n">
        <x:v>0</x:v>
      </x:c>
      <x:c r="O1983" s="16" t="n">
        <x:v>27</x:v>
      </x:c>
      <x:c r="P1983" s="16" t="n">
        <x:v>8</x:v>
      </x:c>
      <x:c r="Q1983" s="16" t="n">
        <x:v>6</x:v>
      </x:c>
      <x:c r="R1983" s="16" t="n">
        <x:v>3</x:v>
      </x:c>
      <x:c r="S1983" s="16" t="n">
        <x:v>5</x:v>
      </x:c>
      <x:c r="T1983" s="16" t="n">
        <x:v>7</x:v>
      </x:c>
      <x:c r="U1983" s="16" t="n">
        <x:v>0</x:v>
      </x:c>
      <x:c r="V1983" s="16" t="n">
        <x:v>0</x:v>
      </x:c>
      <x:c r="W1983" s="16" t="n">
        <x:v>0</x:v>
      </x:c>
      <x:c r="X1983" s="16" t="n">
        <x:v>0</x:v>
      </x:c>
      <x:c r="Y1983" s="16" t="n">
        <x:v>0</x:v>
      </x:c>
      <x:c r="Z1983" s="16" t="n">
        <x:v>0</x:v>
      </x:c>
      <x:c r="AA1983" s="16" t="n">
        <x:v>3</x:v>
      </x:c>
      <x:c r="AB1983" s="16" t="n">
        <x:v>11</x:v>
      </x:c>
      <x:c r="AC1983" s="16" t="n">
        <x:v>0</x:v>
      </x:c>
      <x:c r="AD1983" s="21" t="n">
        <x:f>IF(E1983="",MEDIAN($E$2:$E$2237),E1983)</x:f>
        <x:v>53201</x:v>
      </x:c>
      <x:c r="AE1983" s="17" t="n">
        <x:f>2014-B1983</x:f>
        <x:v>39</x:v>
      </x:c>
      <x:c r="AF1983" s="17" t="n">
        <x:f>F1983+G1983</x:f>
        <x:v>2</x:v>
      </x:c>
      <x:c r="AG1983" s="21" t="n">
        <x:f>SUM(J1983:O1983)</x:f>
        <x:v>415</x:v>
      </x:c>
      <x:c r="AH1983" s="17" t="n">
        <x:f>SUM(Q1983:S1983)</x:f>
        <x:v>14</x:v>
      </x:c>
      <x:c r="AI1983" s="17" t="n">
        <x:f>SUM(U1983:Y1983)</x:f>
        <x:v>0</x:v>
      </x:c>
      <x:c r="AJ1983" s="17" t="str">
        <x:f>IF(AE1983&lt;=34,"≤34",IF(AE1983&lt;=44,"35–44",IF(AE1983&lt;=54,"45–54",IF(AE1983&lt;=64,"55–64","65+"))))</x:f>
        <x:v>35–44</x:v>
      </x:c>
      <x:c r="AK1983" s="17" t="str">
        <x:f>IF(AG1983&gt;=1000,"High Value",IF(AG1983&gt;=300,"Mid Value","Low Value"))</x:f>
        <x:v>Mid Value</x:v>
      </x:c>
      <x:c r="AL1983" s="17" t="str">
        <x:f>IF(AND(AI1983&gt;=1,I1983&lt;=50),"Priority 1",IF(AND(AG1983&gt;=1000,I1983&lt;=60),"Priority 2",IF(I1983&lt;=30,"Priority 3","Nurture")))</x:f>
        <x:v>Nurture</x:v>
      </x:c>
    </x:row>
    <x:row r="1984">
      <x:c r="A1984" s="16" t="n">
        <x:v>8619</x:v>
      </x:c>
      <x:c r="B1984" s="16" t="n">
        <x:v>1957</x:v>
      </x:c>
      <x:c r="C1984" s="16" t="str">
        <x:v>Graduation</x:v>
      </x:c>
      <x:c r="D1984" s="16" t="str">
        <x:v>Together</x:v>
      </x:c>
      <x:c r="E1984" s="16" t="n">
        <x:v>21994</x:v>
      </x:c>
      <x:c r="F1984" s="16" t="n">
        <x:v>0</x:v>
      </x:c>
      <x:c r="G1984" s="16" t="n">
        <x:v>1</x:v>
      </x:c>
      <x:c r="H1984" s="16" t="str">
        <x:v>24-12-2012</x:v>
      </x:c>
      <x:c r="I1984" s="16" t="n">
        <x:v>4</x:v>
      </x:c>
      <x:c r="J1984" s="16" t="n">
        <x:v>9</x:v>
      </x:c>
      <x:c r="K1984" s="16" t="n">
        <x:v>0</x:v>
      </x:c>
      <x:c r="L1984" s="16" t="n">
        <x:v>6</x:v>
      </x:c>
      <x:c r="M1984" s="16" t="n">
        <x:v>3</x:v>
      </x:c>
      <x:c r="N1984" s="16" t="n">
        <x:v>1</x:v>
      </x:c>
      <x:c r="O1984" s="16" t="n">
        <x:v>3</x:v>
      </x:c>
      <x:c r="P1984" s="16" t="n">
        <x:v>1</x:v>
      </x:c>
      <x:c r="Q1984" s="16" t="n">
        <x:v>0</x:v>
      </x:c>
      <x:c r="R1984" s="16" t="n">
        <x:v>0</x:v>
      </x:c>
      <x:c r="S1984" s="16" t="n">
        <x:v>3</x:v>
      </x:c>
      <x:c r="T1984" s="16" t="n">
        <x:v>5</x:v>
      </x:c>
      <x:c r="U1984" s="16" t="n">
        <x:v>0</x:v>
      </x:c>
      <x:c r="V1984" s="16" t="n">
        <x:v>0</x:v>
      </x:c>
      <x:c r="W1984" s="16" t="n">
        <x:v>0</x:v>
      </x:c>
      <x:c r="X1984" s="16" t="n">
        <x:v>0</x:v>
      </x:c>
      <x:c r="Y1984" s="16" t="n">
        <x:v>0</x:v>
      </x:c>
      <x:c r="Z1984" s="16" t="n">
        <x:v>0</x:v>
      </x:c>
      <x:c r="AA1984" s="16" t="n">
        <x:v>3</x:v>
      </x:c>
      <x:c r="AB1984" s="16" t="n">
        <x:v>11</x:v>
      </x:c>
      <x:c r="AC1984" s="16" t="n">
        <x:v>0</x:v>
      </x:c>
      <x:c r="AD1984" s="21" t="n">
        <x:f>IF(E1984="",MEDIAN($E$2:$E$2237),E1984)</x:f>
        <x:v>21994</x:v>
      </x:c>
      <x:c r="AE1984" s="17" t="n">
        <x:f>2014-B1984</x:f>
        <x:v>57</x:v>
      </x:c>
      <x:c r="AF1984" s="17" t="n">
        <x:f>F1984+G1984</x:f>
        <x:v>1</x:v>
      </x:c>
      <x:c r="AG1984" s="21" t="n">
        <x:f>SUM(J1984:O1984)</x:f>
        <x:v>22</x:v>
      </x:c>
      <x:c r="AH1984" s="17" t="n">
        <x:f>SUM(Q1984:S1984)</x:f>
        <x:v>3</x:v>
      </x:c>
      <x:c r="AI1984" s="17" t="n">
        <x:f>SUM(U1984:Y1984)</x:f>
        <x:v>0</x:v>
      </x:c>
      <x:c r="AJ1984" s="17" t="str">
        <x:f>IF(AE1984&lt;=34,"≤34",IF(AE1984&lt;=44,"35–44",IF(AE1984&lt;=54,"45–54",IF(AE1984&lt;=64,"55–64","65+"))))</x:f>
        <x:v>55–64</x:v>
      </x:c>
      <x:c r="AK1984" s="17" t="str">
        <x:f>IF(AG1984&gt;=1000,"High Value",IF(AG1984&gt;=300,"Mid Value","Low Value"))</x:f>
        <x:v>Low Value</x:v>
      </x:c>
      <x:c r="AL1984" s="17" t="str">
        <x:f>IF(AND(AI1984&gt;=1,I1984&lt;=50),"Priority 1",IF(AND(AG1984&gt;=1000,I1984&lt;=60),"Priority 2",IF(I1984&lt;=30,"Priority 3","Nurture")))</x:f>
        <x:v>Priority 3</x:v>
      </x:c>
    </x:row>
    <x:row r="1985">
      <x:c r="A1985" s="16" t="n">
        <x:v>10821</x:v>
      </x:c>
      <x:c r="B1985" s="16" t="n">
        <x:v>1978</x:v>
      </x:c>
      <x:c r="C1985" s="16" t="str">
        <x:v>Graduation</x:v>
      </x:c>
      <x:c r="D1985" s="16" t="str">
        <x:v>Married</x:v>
      </x:c>
      <x:c r="E1985" s="16" t="n">
        <x:v>57113</x:v>
      </x:c>
      <x:c r="F1985" s="16" t="n">
        <x:v>1</x:v>
      </x:c>
      <x:c r="G1985" s="16" t="n">
        <x:v>1</x:v>
      </x:c>
      <x:c r="H1985" s="16" t="str">
        <x:v>06-02-2013</x:v>
      </x:c>
      <x:c r="I1985" s="16" t="n">
        <x:v>45</x:v>
      </x:c>
      <x:c r="J1985" s="16" t="n">
        <x:v>182</x:v>
      </x:c>
      <x:c r="K1985" s="16" t="n">
        <x:v>4</x:v>
      </x:c>
      <x:c r="L1985" s="16" t="n">
        <x:v>33</x:v>
      </x:c>
      <x:c r="M1985" s="16" t="n">
        <x:v>0</x:v>
      </x:c>
      <x:c r="N1985" s="16" t="n">
        <x:v>2</x:v>
      </x:c>
      <x:c r="O1985" s="16" t="n">
        <x:v>42</x:v>
      </x:c>
      <x:c r="P1985" s="16" t="n">
        <x:v>6</x:v>
      </x:c>
      <x:c r="Q1985" s="16" t="n">
        <x:v>4</x:v>
      </x:c>
      <x:c r="R1985" s="16" t="n">
        <x:v>1</x:v>
      </x:c>
      <x:c r="S1985" s="16" t="n">
        <x:v>5</x:v>
      </x:c>
      <x:c r="T1985" s="16" t="n">
        <x:v>7</x:v>
      </x:c>
      <x:c r="U1985" s="16" t="n">
        <x:v>0</x:v>
      </x:c>
      <x:c r="V1985" s="16" t="n">
        <x:v>0</x:v>
      </x:c>
      <x:c r="W1985" s="16" t="n">
        <x:v>0</x:v>
      </x:c>
      <x:c r="X1985" s="16" t="n">
        <x:v>0</x:v>
      </x:c>
      <x:c r="Y1985" s="16" t="n">
        <x:v>0</x:v>
      </x:c>
      <x:c r="Z1985" s="16" t="n">
        <x:v>0</x:v>
      </x:c>
      <x:c r="AA1985" s="16" t="n">
        <x:v>3</x:v>
      </x:c>
      <x:c r="AB1985" s="16" t="n">
        <x:v>11</x:v>
      </x:c>
      <x:c r="AC1985" s="16" t="n">
        <x:v>0</x:v>
      </x:c>
      <x:c r="AD1985" s="21" t="n">
        <x:f>IF(E1985="",MEDIAN($E$2:$E$2237),E1985)</x:f>
        <x:v>57113</x:v>
      </x:c>
      <x:c r="AE1985" s="17" t="n">
        <x:f>2014-B1985</x:f>
        <x:v>36</x:v>
      </x:c>
      <x:c r="AF1985" s="17" t="n">
        <x:f>F1985+G1985</x:f>
        <x:v>2</x:v>
      </x:c>
      <x:c r="AG1985" s="21" t="n">
        <x:f>SUM(J1985:O1985)</x:f>
        <x:v>263</x:v>
      </x:c>
      <x:c r="AH1985" s="17" t="n">
        <x:f>SUM(Q1985:S1985)</x:f>
        <x:v>10</x:v>
      </x:c>
      <x:c r="AI1985" s="17" t="n">
        <x:f>SUM(U1985:Y1985)</x:f>
        <x:v>0</x:v>
      </x:c>
      <x:c r="AJ1985" s="17" t="str">
        <x:f>IF(AE1985&lt;=34,"≤34",IF(AE1985&lt;=44,"35–44",IF(AE1985&lt;=54,"45–54",IF(AE1985&lt;=64,"55–64","65+"))))</x:f>
        <x:v>35–44</x:v>
      </x:c>
      <x:c r="AK1985" s="17" t="str">
        <x:f>IF(AG1985&gt;=1000,"High Value",IF(AG1985&gt;=300,"Mid Value","Low Value"))</x:f>
        <x:v>Low Value</x:v>
      </x:c>
      <x:c r="AL1985" s="17" t="str">
        <x:f>IF(AND(AI1985&gt;=1,I1985&lt;=50),"Priority 1",IF(AND(AG1985&gt;=1000,I1985&lt;=60),"Priority 2",IF(I1985&lt;=30,"Priority 3","Nurture")))</x:f>
        <x:v>Nurture</x:v>
      </x:c>
    </x:row>
    <x:row r="1986">
      <x:c r="A1986" s="16" t="n">
        <x:v>4552</x:v>
      </x:c>
      <x:c r="B1986" s="16" t="n">
        <x:v>1991</x:v>
      </x:c>
      <x:c r="C1986" s="16" t="str">
        <x:v>Graduation</x:v>
      </x:c>
      <x:c r="D1986" s="16" t="str">
        <x:v>Married</x:v>
      </x:c>
      <x:c r="E1986" s="16" t="n">
        <x:v>51373</x:v>
      </x:c>
      <x:c r="F1986" s="16" t="n">
        <x:v>0</x:v>
      </x:c>
      <x:c r="G1986" s="16" t="n">
        <x:v>0</x:v>
      </x:c>
      <x:c r="H1986" s="16" t="str">
        <x:v>22-06-2013</x:v>
      </x:c>
      <x:c r="I1986" s="16" t="n">
        <x:v>37</x:v>
      </x:c>
      <x:c r="J1986" s="16" t="n">
        <x:v>83</x:v>
      </x:c>
      <x:c r="K1986" s="16" t="n">
        <x:v>2</x:v>
      </x:c>
      <x:c r="L1986" s="16" t="n">
        <x:v>101</x:v>
      </x:c>
      <x:c r="M1986" s="16" t="n">
        <x:v>64</x:v>
      </x:c>
      <x:c r="N1986" s="16" t="n">
        <x:v>26</x:v>
      </x:c>
      <x:c r="O1986" s="16" t="n">
        <x:v>117</x:v>
      </x:c>
      <x:c r="P1986" s="16" t="n">
        <x:v>1</x:v>
      </x:c>
      <x:c r="Q1986" s="16" t="n">
        <x:v>3</x:v>
      </x:c>
      <x:c r="R1986" s="16" t="n">
        <x:v>5</x:v>
      </x:c>
      <x:c r="S1986" s="16" t="n">
        <x:v>3</x:v>
      </x:c>
      <x:c r="T1986" s="16" t="n">
        <x:v>4</x:v>
      </x:c>
      <x:c r="U1986" s="16" t="n">
        <x:v>0</x:v>
      </x:c>
      <x:c r="V1986" s="16" t="n">
        <x:v>0</x:v>
      </x:c>
      <x:c r="W1986" s="16" t="n">
        <x:v>0</x:v>
      </x:c>
      <x:c r="X1986" s="16" t="n">
        <x:v>0</x:v>
      </x:c>
      <x:c r="Y1986" s="16" t="n">
        <x:v>0</x:v>
      </x:c>
      <x:c r="Z1986" s="16" t="n">
        <x:v>0</x:v>
      </x:c>
      <x:c r="AA1986" s="16" t="n">
        <x:v>3</x:v>
      </x:c>
      <x:c r="AB1986" s="16" t="n">
        <x:v>11</x:v>
      </x:c>
      <x:c r="AC1986" s="16" t="n">
        <x:v>0</x:v>
      </x:c>
      <x:c r="AD1986" s="21" t="n">
        <x:f>IF(E1986="",MEDIAN($E$2:$E$2237),E1986)</x:f>
        <x:v>51373</x:v>
      </x:c>
      <x:c r="AE1986" s="17" t="n">
        <x:f>2014-B1986</x:f>
        <x:v>23</x:v>
      </x:c>
      <x:c r="AF1986" s="17" t="n">
        <x:f>F1986+G1986</x:f>
        <x:v>0</x:v>
      </x:c>
      <x:c r="AG1986" s="21" t="n">
        <x:f>SUM(J1986:O1986)</x:f>
        <x:v>393</x:v>
      </x:c>
      <x:c r="AH1986" s="17" t="n">
        <x:f>SUM(Q1986:S1986)</x:f>
        <x:v>11</x:v>
      </x:c>
      <x:c r="AI1986" s="17" t="n">
        <x:f>SUM(U1986:Y1986)</x:f>
        <x:v>0</x:v>
      </x:c>
      <x:c r="AJ1986" s="17" t="str">
        <x:f>IF(AE1986&lt;=34,"≤34",IF(AE1986&lt;=44,"35–44",IF(AE1986&lt;=54,"45–54",IF(AE1986&lt;=64,"55–64","65+"))))</x:f>
        <x:v>≤34</x:v>
      </x:c>
      <x:c r="AK1986" s="17" t="str">
        <x:f>IF(AG1986&gt;=1000,"High Value",IF(AG1986&gt;=300,"Mid Value","Low Value"))</x:f>
        <x:v>Mid Value</x:v>
      </x:c>
      <x:c r="AL1986" s="17" t="str">
        <x:f>IF(AND(AI1986&gt;=1,I1986&lt;=50),"Priority 1",IF(AND(AG1986&gt;=1000,I1986&lt;=60),"Priority 2",IF(I1986&lt;=30,"Priority 3","Nurture")))</x:f>
        <x:v>Nurture</x:v>
      </x:c>
    </x:row>
    <x:row r="1987">
      <x:c r="A1987" s="16" t="n">
        <x:v>898</x:v>
      </x:c>
      <x:c r="B1987" s="16" t="n">
        <x:v>1986</x:v>
      </x:c>
      <x:c r="C1987" s="16" t="str">
        <x:v>Graduation</x:v>
      </x:c>
      <x:c r="D1987" s="16" t="str">
        <x:v>Married</x:v>
      </x:c>
      <x:c r="E1987" s="16" t="n">
        <x:v>23477</x:v>
      </x:c>
      <x:c r="F1987" s="16" t="n">
        <x:v>1</x:v>
      </x:c>
      <x:c r="G1987" s="16" t="n">
        <x:v>0</x:v>
      </x:c>
      <x:c r="H1987" s="16" t="str">
        <x:v>21-10-2013</x:v>
      </x:c>
      <x:c r="I1987" s="16" t="n">
        <x:v>39</x:v>
      </x:c>
      <x:c r="J1987" s="16" t="n">
        <x:v>38</x:v>
      </x:c>
      <x:c r="K1987" s="16" t="n">
        <x:v>15</x:v>
      </x:c>
      <x:c r="L1987" s="16" t="n">
        <x:v>54</x:v>
      </x:c>
      <x:c r="M1987" s="16" t="n">
        <x:v>3</x:v>
      </x:c>
      <x:c r="N1987" s="16" t="n">
        <x:v>8</x:v>
      </x:c>
      <x:c r="O1987" s="16" t="n">
        <x:v>29</x:v>
      </x:c>
      <x:c r="P1987" s="16" t="n">
        <x:v>3</x:v>
      </x:c>
      <x:c r="Q1987" s="16" t="n">
        <x:v>3</x:v>
      </x:c>
      <x:c r="R1987" s="16" t="n">
        <x:v>0</x:v>
      </x:c>
      <x:c r="S1987" s="16" t="n">
        <x:v>4</x:v>
      </x:c>
      <x:c r="T1987" s="16" t="n">
        <x:v>8</x:v>
      </x:c>
      <x:c r="U1987" s="16" t="n">
        <x:v>0</x:v>
      </x:c>
      <x:c r="V1987" s="16" t="n">
        <x:v>0</x:v>
      </x:c>
      <x:c r="W1987" s="16" t="n">
        <x:v>0</x:v>
      </x:c>
      <x:c r="X1987" s="16" t="n">
        <x:v>0</x:v>
      </x:c>
      <x:c r="Y1987" s="16" t="n">
        <x:v>0</x:v>
      </x:c>
      <x:c r="Z1987" s="16" t="n">
        <x:v>0</x:v>
      </x:c>
      <x:c r="AA1987" s="16" t="n">
        <x:v>3</x:v>
      </x:c>
      <x:c r="AB1987" s="16" t="n">
        <x:v>11</x:v>
      </x:c>
      <x:c r="AC1987" s="16" t="n">
        <x:v>0</x:v>
      </x:c>
      <x:c r="AD1987" s="21" t="n">
        <x:f>IF(E1987="",MEDIAN($E$2:$E$2237),E1987)</x:f>
        <x:v>23477</x:v>
      </x:c>
      <x:c r="AE1987" s="17" t="n">
        <x:f>2014-B1987</x:f>
        <x:v>28</x:v>
      </x:c>
      <x:c r="AF1987" s="17" t="n">
        <x:f>F1987+G1987</x:f>
        <x:v>1</x:v>
      </x:c>
      <x:c r="AG1987" s="21" t="n">
        <x:f>SUM(J1987:O1987)</x:f>
        <x:v>147</x:v>
      </x:c>
      <x:c r="AH1987" s="17" t="n">
        <x:f>SUM(Q1987:S1987)</x:f>
        <x:v>7</x:v>
      </x:c>
      <x:c r="AI1987" s="17" t="n">
        <x:f>SUM(U1987:Y1987)</x:f>
        <x:v>0</x:v>
      </x:c>
      <x:c r="AJ1987" s="17" t="str">
        <x:f>IF(AE1987&lt;=34,"≤34",IF(AE1987&lt;=44,"35–44",IF(AE1987&lt;=54,"45–54",IF(AE1987&lt;=64,"55–64","65+"))))</x:f>
        <x:v>≤34</x:v>
      </x:c>
      <x:c r="AK1987" s="17" t="str">
        <x:f>IF(AG1987&gt;=1000,"High Value",IF(AG1987&gt;=300,"Mid Value","Low Value"))</x:f>
        <x:v>Low Value</x:v>
      </x:c>
      <x:c r="AL1987" s="17" t="str">
        <x:f>IF(AND(AI1987&gt;=1,I1987&lt;=50),"Priority 1",IF(AND(AG1987&gt;=1000,I1987&lt;=60),"Priority 2",IF(I1987&lt;=30,"Priority 3","Nurture")))</x:f>
        <x:v>Nurture</x:v>
      </x:c>
    </x:row>
    <x:row r="1988">
      <x:c r="A1988" s="16" t="n">
        <x:v>9797</x:v>
      </x:c>
      <x:c r="B1988" s="16" t="n">
        <x:v>1956</x:v>
      </x:c>
      <x:c r="C1988" s="16" t="str">
        <x:v>Graduation</x:v>
      </x:c>
      <x:c r="D1988" s="16" t="str">
        <x:v>Married</x:v>
      </x:c>
      <x:c r="E1988" s="16" t="n">
        <x:v>58116</x:v>
      </x:c>
      <x:c r="F1988" s="16" t="n">
        <x:v>0</x:v>
      </x:c>
      <x:c r="G1988" s="16" t="n">
        <x:v>1</x:v>
      </x:c>
      <x:c r="H1988" s="16" t="str">
        <x:v>13-04-2014</x:v>
      </x:c>
      <x:c r="I1988" s="16" t="n">
        <x:v>38</x:v>
      </x:c>
      <x:c r="J1988" s="16" t="n">
        <x:v>228</x:v>
      </x:c>
      <x:c r="K1988" s="16" t="n">
        <x:v>19</x:v>
      </x:c>
      <x:c r="L1988" s="16" t="n">
        <x:v>130</x:v>
      </x:c>
      <x:c r="M1988" s="16" t="n">
        <x:v>4</x:v>
      </x:c>
      <x:c r="N1988" s="16" t="n">
        <x:v>11</x:v>
      </x:c>
      <x:c r="O1988" s="16" t="n">
        <x:v>51</x:v>
      </x:c>
      <x:c r="P1988" s="16" t="n">
        <x:v>2</x:v>
      </x:c>
      <x:c r="Q1988" s="16" t="n">
        <x:v>3</x:v>
      </x:c>
      <x:c r="R1988" s="16" t="n">
        <x:v>3</x:v>
      </x:c>
      <x:c r="S1988" s="16" t="n">
        <x:v>8</x:v>
      </x:c>
      <x:c r="T1988" s="16" t="n">
        <x:v>2</x:v>
      </x:c>
      <x:c r="U1988" s="16" t="n">
        <x:v>0</x:v>
      </x:c>
      <x:c r="V1988" s="16" t="n">
        <x:v>0</x:v>
      </x:c>
      <x:c r="W1988" s="16" t="n">
        <x:v>0</x:v>
      </x:c>
      <x:c r="X1988" s="16" t="n">
        <x:v>0</x:v>
      </x:c>
      <x:c r="Y1988" s="16" t="n">
        <x:v>0</x:v>
      </x:c>
      <x:c r="Z1988" s="16" t="n">
        <x:v>0</x:v>
      </x:c>
      <x:c r="AA1988" s="16" t="n">
        <x:v>3</x:v>
      </x:c>
      <x:c r="AB1988" s="16" t="n">
        <x:v>11</x:v>
      </x:c>
      <x:c r="AC1988" s="16" t="n">
        <x:v>0</x:v>
      </x:c>
      <x:c r="AD1988" s="21" t="n">
        <x:f>IF(E1988="",MEDIAN($E$2:$E$2237),E1988)</x:f>
        <x:v>58116</x:v>
      </x:c>
      <x:c r="AE1988" s="17" t="n">
        <x:f>2014-B1988</x:f>
        <x:v>58</x:v>
      </x:c>
      <x:c r="AF1988" s="17" t="n">
        <x:f>F1988+G1988</x:f>
        <x:v>1</x:v>
      </x:c>
      <x:c r="AG1988" s="21" t="n">
        <x:f>SUM(J1988:O1988)</x:f>
        <x:v>443</x:v>
      </x:c>
      <x:c r="AH1988" s="17" t="n">
        <x:f>SUM(Q1988:S1988)</x:f>
        <x:v>14</x:v>
      </x:c>
      <x:c r="AI1988" s="17" t="n">
        <x:f>SUM(U1988:Y1988)</x:f>
        <x:v>0</x:v>
      </x:c>
      <x:c r="AJ1988" s="17" t="str">
        <x:f>IF(AE1988&lt;=34,"≤34",IF(AE1988&lt;=44,"35–44",IF(AE1988&lt;=54,"45–54",IF(AE1988&lt;=64,"55–64","65+"))))</x:f>
        <x:v>55–64</x:v>
      </x:c>
      <x:c r="AK1988" s="17" t="str">
        <x:f>IF(AG1988&gt;=1000,"High Value",IF(AG1988&gt;=300,"Mid Value","Low Value"))</x:f>
        <x:v>Mid Value</x:v>
      </x:c>
      <x:c r="AL1988" s="17" t="str">
        <x:f>IF(AND(AI1988&gt;=1,I1988&lt;=50),"Priority 1",IF(AND(AG1988&gt;=1000,I1988&lt;=60),"Priority 2",IF(I1988&lt;=30,"Priority 3","Nurture")))</x:f>
        <x:v>Nurture</x:v>
      </x:c>
    </x:row>
    <x:row r="1989">
      <x:c r="A1989" s="16" t="n">
        <x:v>10949</x:v>
      </x:c>
      <x:c r="B1989" s="16" t="n">
        <x:v>1963</x:v>
      </x:c>
      <x:c r="C1989" s="16" t="str">
        <x:v>PhD</x:v>
      </x:c>
      <x:c r="D1989" s="16" t="str">
        <x:v>Divorced</x:v>
      </x:c>
      <x:c r="E1989" s="16" t="n">
        <x:v>72968</x:v>
      </x:c>
      <x:c r="F1989" s="16" t="n">
        <x:v>0</x:v>
      </x:c>
      <x:c r="G1989" s="16" t="n">
        <x:v>0</x:v>
      </x:c>
      <x:c r="H1989" s="16" t="str">
        <x:v>16-12-2013</x:v>
      </x:c>
      <x:c r="I1989" s="16" t="n">
        <x:v>8</x:v>
      </x:c>
      <x:c r="J1989" s="16" t="n">
        <x:v>1092</x:v>
      </x:c>
      <x:c r="K1989" s="16" t="n">
        <x:v>37</x:v>
      </x:c>
      <x:c r="L1989" s="16" t="n">
        <x:v>592</x:v>
      </x:c>
      <x:c r="M1989" s="16" t="n">
        <x:v>145</x:v>
      </x:c>
      <x:c r="N1989" s="16" t="n">
        <x:v>37</x:v>
      </x:c>
      <x:c r="O1989" s="16" t="n">
        <x:v>55</x:v>
      </x:c>
      <x:c r="P1989" s="16" t="n">
        <x:v>1</x:v>
      </x:c>
      <x:c r="Q1989" s="16" t="n">
        <x:v>5</x:v>
      </x:c>
      <x:c r="R1989" s="16" t="n">
        <x:v>5</x:v>
      </x:c>
      <x:c r="S1989" s="16" t="n">
        <x:v>8</x:v>
      </x:c>
      <x:c r="T1989" s="16" t="n">
        <x:v>3</x:v>
      </x:c>
      <x:c r="U1989" s="16" t="n">
        <x:v>0</x:v>
      </x:c>
      <x:c r="V1989" s="16" t="n">
        <x:v>0</x:v>
      </x:c>
      <x:c r="W1989" s="16" t="n">
        <x:v>0</x:v>
      </x:c>
      <x:c r="X1989" s="16" t="n">
        <x:v>1</x:v>
      </x:c>
      <x:c r="Y1989" s="16" t="n">
        <x:v>0</x:v>
      </x:c>
      <x:c r="Z1989" s="16" t="n">
        <x:v>0</x:v>
      </x:c>
      <x:c r="AA1989" s="16" t="n">
        <x:v>3</x:v>
      </x:c>
      <x:c r="AB1989" s="16" t="n">
        <x:v>11</x:v>
      </x:c>
      <x:c r="AC1989" s="16" t="n">
        <x:v>1</x:v>
      </x:c>
      <x:c r="AD1989" s="21" t="n">
        <x:f>IF(E1989="",MEDIAN($E$2:$E$2237),E1989)</x:f>
        <x:v>72968</x:v>
      </x:c>
      <x:c r="AE1989" s="17" t="n">
        <x:f>2014-B1989</x:f>
        <x:v>51</x:v>
      </x:c>
      <x:c r="AF1989" s="17" t="n">
        <x:f>F1989+G1989</x:f>
        <x:v>0</x:v>
      </x:c>
      <x:c r="AG1989" s="21" t="n">
        <x:f>SUM(J1989:O1989)</x:f>
        <x:v>1958</x:v>
      </x:c>
      <x:c r="AH1989" s="17" t="n">
        <x:f>SUM(Q1989:S1989)</x:f>
        <x:v>18</x:v>
      </x:c>
      <x:c r="AI1989" s="17" t="n">
        <x:f>SUM(U1989:Y1989)</x:f>
        <x:v>1</x:v>
      </x:c>
      <x:c r="AJ1989" s="17" t="str">
        <x:f>IF(AE1989&lt;=34,"≤34",IF(AE1989&lt;=44,"35–44",IF(AE1989&lt;=54,"45–54",IF(AE1989&lt;=64,"55–64","65+"))))</x:f>
        <x:v>45–54</x:v>
      </x:c>
      <x:c r="AK1989" s="17" t="str">
        <x:f>IF(AG1989&gt;=1000,"High Value",IF(AG1989&gt;=300,"Mid Value","Low Value"))</x:f>
        <x:v>High Value</x:v>
      </x:c>
      <x:c r="AL1989" s="17" t="str">
        <x:f>IF(AND(AI1989&gt;=1,I1989&lt;=50),"Priority 1",IF(AND(AG1989&gt;=1000,I1989&lt;=60),"Priority 2",IF(I1989&lt;=30,"Priority 3","Nurture")))</x:f>
        <x:v>Priority 1</x:v>
      </x:c>
    </x:row>
    <x:row r="1990">
      <x:c r="A1990" s="16" t="n">
        <x:v>8212</x:v>
      </x:c>
      <x:c r="B1990" s="16" t="n">
        <x:v>1971</x:v>
      </x:c>
      <x:c r="C1990" s="16" t="str">
        <x:v>Master</x:v>
      </x:c>
      <x:c r="D1990" s="16" t="str">
        <x:v>Married</x:v>
      </x:c>
      <x:c r="E1990" s="16" t="n">
        <x:v>39791</x:v>
      </x:c>
      <x:c r="F1990" s="16" t="n">
        <x:v>0</x:v>
      </x:c>
      <x:c r="G1990" s="16" t="n">
        <x:v>1</x:v>
      </x:c>
      <x:c r="H1990" s="16" t="str">
        <x:v>28-03-2013</x:v>
      </x:c>
      <x:c r="I1990" s="16" t="n">
        <x:v>89</x:v>
      </x:c>
      <x:c r="J1990" s="16" t="n">
        <x:v>85</x:v>
      </x:c>
      <x:c r="K1990" s="16" t="n">
        <x:v>15</x:v>
      </x:c>
      <x:c r="L1990" s="16" t="n">
        <x:v>27</x:v>
      </x:c>
      <x:c r="M1990" s="16" t="n">
        <x:v>13</x:v>
      </x:c>
      <x:c r="N1990" s="16" t="n">
        <x:v>13</x:v>
      </x:c>
      <x:c r="O1990" s="16" t="n">
        <x:v>21</x:v>
      </x:c>
      <x:c r="P1990" s="16" t="n">
        <x:v>2</x:v>
      </x:c>
      <x:c r="Q1990" s="16" t="n">
        <x:v>3</x:v>
      </x:c>
      <x:c r="R1990" s="16" t="n">
        <x:v>1</x:v>
      </x:c>
      <x:c r="S1990" s="16" t="n">
        <x:v>4</x:v>
      </x:c>
      <x:c r="T1990" s="16" t="n">
        <x:v>7</x:v>
      </x:c>
      <x:c r="U1990" s="16" t="n">
        <x:v>0</x:v>
      </x:c>
      <x:c r="V1990" s="16" t="n">
        <x:v>0</x:v>
      </x:c>
      <x:c r="W1990" s="16" t="n">
        <x:v>0</x:v>
      </x:c>
      <x:c r="X1990" s="16" t="n">
        <x:v>0</x:v>
      </x:c>
      <x:c r="Y1990" s="16" t="n">
        <x:v>0</x:v>
      </x:c>
      <x:c r="Z1990" s="16" t="n">
        <x:v>0</x:v>
      </x:c>
      <x:c r="AA1990" s="16" t="n">
        <x:v>3</x:v>
      </x:c>
      <x:c r="AB1990" s="16" t="n">
        <x:v>11</x:v>
      </x:c>
      <x:c r="AC1990" s="16" t="n">
        <x:v>0</x:v>
      </x:c>
      <x:c r="AD1990" s="21" t="n">
        <x:f>IF(E1990="",MEDIAN($E$2:$E$2237),E1990)</x:f>
        <x:v>39791</x:v>
      </x:c>
      <x:c r="AE1990" s="17" t="n">
        <x:f>2014-B1990</x:f>
        <x:v>43</x:v>
      </x:c>
      <x:c r="AF1990" s="17" t="n">
        <x:f>F1990+G1990</x:f>
        <x:v>1</x:v>
      </x:c>
      <x:c r="AG1990" s="21" t="n">
        <x:f>SUM(J1990:O1990)</x:f>
        <x:v>174</x:v>
      </x:c>
      <x:c r="AH1990" s="17" t="n">
        <x:f>SUM(Q1990:S1990)</x:f>
        <x:v>8</x:v>
      </x:c>
      <x:c r="AI1990" s="17" t="n">
        <x:f>SUM(U1990:Y1990)</x:f>
        <x:v>0</x:v>
      </x:c>
      <x:c r="AJ1990" s="17" t="str">
        <x:f>IF(AE1990&lt;=34,"≤34",IF(AE1990&lt;=44,"35–44",IF(AE1990&lt;=54,"45–54",IF(AE1990&lt;=64,"55–64","65+"))))</x:f>
        <x:v>35–44</x:v>
      </x:c>
      <x:c r="AK1990" s="17" t="str">
        <x:f>IF(AG1990&gt;=1000,"High Value",IF(AG1990&gt;=300,"Mid Value","Low Value"))</x:f>
        <x:v>Low Value</x:v>
      </x:c>
      <x:c r="AL1990" s="17" t="str">
        <x:f>IF(AND(AI1990&gt;=1,I1990&lt;=50),"Priority 1",IF(AND(AG1990&gt;=1000,I1990&lt;=60),"Priority 2",IF(I1990&lt;=30,"Priority 3","Nurture")))</x:f>
        <x:v>Nurture</x:v>
      </x:c>
    </x:row>
    <x:row r="1991">
      <x:c r="A1991" s="16" t="n">
        <x:v>6248</x:v>
      </x:c>
      <x:c r="B1991" s="16" t="n">
        <x:v>1947</x:v>
      </x:c>
      <x:c r="C1991" s="16" t="str">
        <x:v>Master</x:v>
      </x:c>
      <x:c r="D1991" s="16" t="str">
        <x:v>Single</x:v>
      </x:c>
      <x:c r="E1991" s="16" t="n">
        <x:v>91712</x:v>
      </x:c>
      <x:c r="F1991" s="16" t="n">
        <x:v>0</x:v>
      </x:c>
      <x:c r="G1991" s="16" t="n">
        <x:v>0</x:v>
      </x:c>
      <x:c r="H1991" s="16" t="str">
        <x:v>17-10-2013</x:v>
      </x:c>
      <x:c r="I1991" s="16" t="n">
        <x:v>47</x:v>
      </x:c>
      <x:c r="J1991" s="16" t="n">
        <x:v>1276</x:v>
      </x:c>
      <x:c r="K1991" s="16" t="n">
        <x:v>24</x:v>
      </x:c>
      <x:c r="L1991" s="16" t="n">
        <x:v>746</x:v>
      </x:c>
      <x:c r="M1991" s="16" t="n">
        <x:v>94</x:v>
      </x:c>
      <x:c r="N1991" s="16" t="n">
        <x:v>29</x:v>
      </x:c>
      <x:c r="O1991" s="16" t="n">
        <x:v>48</x:v>
      </x:c>
      <x:c r="P1991" s="16" t="n">
        <x:v>0</x:v>
      </x:c>
      <x:c r="Q1991" s="16" t="n">
        <x:v>9</x:v>
      </x:c>
      <x:c r="R1991" s="16" t="n">
        <x:v>7</x:v>
      </x:c>
      <x:c r="S1991" s="16" t="n">
        <x:v>11</x:v>
      </x:c>
      <x:c r="T1991" s="16" t="n">
        <x:v>3</x:v>
      </x:c>
      <x:c r="U1991" s="16" t="n">
        <x:v>0</x:v>
      </x:c>
      <x:c r="V1991" s="16" t="n">
        <x:v>0</x:v>
      </x:c>
      <x:c r="W1991" s="16" t="n">
        <x:v>1</x:v>
      </x:c>
      <x:c r="X1991" s="16" t="n">
        <x:v>0</x:v>
      </x:c>
      <x:c r="Y1991" s="16" t="n">
        <x:v>0</x:v>
      </x:c>
      <x:c r="Z1991" s="16" t="n">
        <x:v>0</x:v>
      </x:c>
      <x:c r="AA1991" s="16" t="n">
        <x:v>3</x:v>
      </x:c>
      <x:c r="AB1991" s="16" t="n">
        <x:v>11</x:v>
      </x:c>
      <x:c r="AC1991" s="16" t="n">
        <x:v>1</x:v>
      </x:c>
      <x:c r="AD1991" s="21" t="n">
        <x:f>IF(E1991="",MEDIAN($E$2:$E$2237),E1991)</x:f>
        <x:v>91712</x:v>
      </x:c>
      <x:c r="AE1991" s="17" t="n">
        <x:f>2014-B1991</x:f>
        <x:v>67</x:v>
      </x:c>
      <x:c r="AF1991" s="17" t="n">
        <x:f>F1991+G1991</x:f>
        <x:v>0</x:v>
      </x:c>
      <x:c r="AG1991" s="21" t="n">
        <x:f>SUM(J1991:O1991)</x:f>
        <x:v>2217</x:v>
      </x:c>
      <x:c r="AH1991" s="17" t="n">
        <x:f>SUM(Q1991:S1991)</x:f>
        <x:v>27</x:v>
      </x:c>
      <x:c r="AI1991" s="17" t="n">
        <x:f>SUM(U1991:Y1991)</x:f>
        <x:v>1</x:v>
      </x:c>
      <x:c r="AJ1991" s="17" t="str">
        <x:f>IF(AE1991&lt;=34,"≤34",IF(AE1991&lt;=44,"35–44",IF(AE1991&lt;=54,"45–54",IF(AE1991&lt;=64,"55–64","65+"))))</x:f>
        <x:v>65+</x:v>
      </x:c>
      <x:c r="AK1991" s="17" t="str">
        <x:f>IF(AG1991&gt;=1000,"High Value",IF(AG1991&gt;=300,"Mid Value","Low Value"))</x:f>
        <x:v>High Value</x:v>
      </x:c>
      <x:c r="AL1991" s="17" t="str">
        <x:f>IF(AND(AI1991&gt;=1,I1991&lt;=50),"Priority 1",IF(AND(AG1991&gt;=1000,I1991&lt;=60),"Priority 2",IF(I1991&lt;=30,"Priority 3","Nurture")))</x:f>
        <x:v>Priority 1</x:v>
      </x:c>
    </x:row>
    <x:row r="1992">
      <x:c r="A1992" s="16" t="n">
        <x:v>10164</x:v>
      </x:c>
      <x:c r="B1992" s="16" t="n">
        <x:v>1958</x:v>
      </x:c>
      <x:c r="C1992" s="16" t="str">
        <x:v>Graduation</x:v>
      </x:c>
      <x:c r="D1992" s="16" t="str">
        <x:v>Single</x:v>
      </x:c>
      <x:c r="E1992" s="16" t="n">
        <x:v>94472</x:v>
      </x:c>
      <x:c r="F1992" s="16" t="n">
        <x:v>0</x:v>
      </x:c>
      <x:c r="G1992" s="16" t="n">
        <x:v>1</x:v>
      </x:c>
      <x:c r="H1992" s="16" t="str">
        <x:v>03-04-2014</x:v>
      </x:c>
      <x:c r="I1992" s="16" t="n">
        <x:v>75</x:v>
      </x:c>
      <x:c r="J1992" s="16" t="n">
        <x:v>1017</x:v>
      </x:c>
      <x:c r="K1992" s="16" t="n">
        <x:v>33</x:v>
      </x:c>
      <x:c r="L1992" s="16" t="n">
        <x:v>417</x:v>
      </x:c>
      <x:c r="M1992" s="16" t="n">
        <x:v>108</x:v>
      </x:c>
      <x:c r="N1992" s="16" t="n">
        <x:v>100</x:v>
      </x:c>
      <x:c r="O1992" s="16" t="n">
        <x:v>16</x:v>
      </x:c>
      <x:c r="P1992" s="16" t="n">
        <x:v>1</x:v>
      </x:c>
      <x:c r="Q1992" s="16" t="n">
        <x:v>5</x:v>
      </x:c>
      <x:c r="R1992" s="16" t="n">
        <x:v>5</x:v>
      </x:c>
      <x:c r="S1992" s="16" t="n">
        <x:v>5</x:v>
      </x:c>
      <x:c r="T1992" s="16" t="n">
        <x:v>5</x:v>
      </x:c>
      <x:c r="U1992" s="16" t="n">
        <x:v>0</x:v>
      </x:c>
      <x:c r="V1992" s="16" t="n">
        <x:v>1</x:v>
      </x:c>
      <x:c r="W1992" s="16" t="n">
        <x:v>1</x:v>
      </x:c>
      <x:c r="X1992" s="16" t="n">
        <x:v>0</x:v>
      </x:c>
      <x:c r="Y1992" s="16" t="n">
        <x:v>0</x:v>
      </x:c>
      <x:c r="Z1992" s="16" t="n">
        <x:v>0</x:v>
      </x:c>
      <x:c r="AA1992" s="16" t="n">
        <x:v>3</x:v>
      </x:c>
      <x:c r="AB1992" s="16" t="n">
        <x:v>11</x:v>
      </x:c>
      <x:c r="AC1992" s="16" t="n">
        <x:v>0</x:v>
      </x:c>
      <x:c r="AD1992" s="21" t="n">
        <x:f>IF(E1992="",MEDIAN($E$2:$E$2237),E1992)</x:f>
        <x:v>94472</x:v>
      </x:c>
      <x:c r="AE1992" s="17" t="n">
        <x:f>2014-B1992</x:f>
        <x:v>56</x:v>
      </x:c>
      <x:c r="AF1992" s="17" t="n">
        <x:f>F1992+G1992</x:f>
        <x:v>1</x:v>
      </x:c>
      <x:c r="AG1992" s="21" t="n">
        <x:f>SUM(J1992:O1992)</x:f>
        <x:v>1691</x:v>
      </x:c>
      <x:c r="AH1992" s="17" t="n">
        <x:f>SUM(Q1992:S1992)</x:f>
        <x:v>15</x:v>
      </x:c>
      <x:c r="AI1992" s="17" t="n">
        <x:f>SUM(U1992:Y1992)</x:f>
        <x:v>2</x:v>
      </x:c>
      <x:c r="AJ1992" s="17" t="str">
        <x:f>IF(AE1992&lt;=34,"≤34",IF(AE1992&lt;=44,"35–44",IF(AE1992&lt;=54,"45–54",IF(AE1992&lt;=64,"55–64","65+"))))</x:f>
        <x:v>55–64</x:v>
      </x:c>
      <x:c r="AK1992" s="17" t="str">
        <x:f>IF(AG1992&gt;=1000,"High Value",IF(AG1992&gt;=300,"Mid Value","Low Value"))</x:f>
        <x:v>High Value</x:v>
      </x:c>
      <x:c r="AL1992" s="17" t="str">
        <x:f>IF(AND(AI1992&gt;=1,I1992&lt;=50),"Priority 1",IF(AND(AG1992&gt;=1000,I1992&lt;=60),"Priority 2",IF(I1992&lt;=30,"Priority 3","Nurture")))</x:f>
        <x:v>Nurture</x:v>
      </x:c>
    </x:row>
    <x:row r="1993">
      <x:c r="A1993" s="16" t="n">
        <x:v>4547</x:v>
      </x:c>
      <x:c r="B1993" s="16" t="n">
        <x:v>1960</x:v>
      </x:c>
      <x:c r="C1993" s="16" t="str">
        <x:v>Graduation</x:v>
      </x:c>
      <x:c r="D1993" s="16" t="str">
        <x:v>Together</x:v>
      </x:c>
      <x:c r="E1993" s="16" t="n">
        <x:v>13672</x:v>
      </x:c>
      <x:c r="F1993" s="16" t="n">
        <x:v>1</x:v>
      </x:c>
      <x:c r="G1993" s="16" t="n">
        <x:v>1</x:v>
      </x:c>
      <x:c r="H1993" s="16" t="str">
        <x:v>17-04-2013</x:v>
      </x:c>
      <x:c r="I1993" s="16" t="n">
        <x:v>86</x:v>
      </x:c>
      <x:c r="J1993" s="16" t="n">
        <x:v>6</x:v>
      </x:c>
      <x:c r="K1993" s="16" t="n">
        <x:v>2</x:v>
      </x:c>
      <x:c r="L1993" s="16" t="n">
        <x:v>9</x:v>
      </x:c>
      <x:c r="M1993" s="16" t="n">
        <x:v>2</x:v>
      </x:c>
      <x:c r="N1993" s="16" t="n">
        <x:v>1</x:v>
      </x:c>
      <x:c r="O1993" s="16" t="n">
        <x:v>5</x:v>
      </x:c>
      <x:c r="P1993" s="16" t="n">
        <x:v>2</x:v>
      </x:c>
      <x:c r="Q1993" s="16" t="n">
        <x:v>1</x:v>
      </x:c>
      <x:c r="R1993" s="16" t="n">
        <x:v>0</x:v>
      </x:c>
      <x:c r="S1993" s="16" t="n">
        <x:v>3</x:v>
      </x:c>
      <x:c r="T1993" s="16" t="n">
        <x:v>8</x:v>
      </x:c>
      <x:c r="U1993" s="16" t="n">
        <x:v>0</x:v>
      </x:c>
      <x:c r="V1993" s="16" t="n">
        <x:v>0</x:v>
      </x:c>
      <x:c r="W1993" s="16" t="n">
        <x:v>0</x:v>
      </x:c>
      <x:c r="X1993" s="16" t="n">
        <x:v>0</x:v>
      </x:c>
      <x:c r="Y1993" s="16" t="n">
        <x:v>0</x:v>
      </x:c>
      <x:c r="Z1993" s="16" t="n">
        <x:v>0</x:v>
      </x:c>
      <x:c r="AA1993" s="16" t="n">
        <x:v>3</x:v>
      </x:c>
      <x:c r="AB1993" s="16" t="n">
        <x:v>11</x:v>
      </x:c>
      <x:c r="AC1993" s="16" t="n">
        <x:v>0</x:v>
      </x:c>
      <x:c r="AD1993" s="21" t="n">
        <x:f>IF(E1993="",MEDIAN($E$2:$E$2237),E1993)</x:f>
        <x:v>13672</x:v>
      </x:c>
      <x:c r="AE1993" s="17" t="n">
        <x:f>2014-B1993</x:f>
        <x:v>54</x:v>
      </x:c>
      <x:c r="AF1993" s="17" t="n">
        <x:f>F1993+G1993</x:f>
        <x:v>2</x:v>
      </x:c>
      <x:c r="AG1993" s="21" t="n">
        <x:f>SUM(J1993:O1993)</x:f>
        <x:v>25</x:v>
      </x:c>
      <x:c r="AH1993" s="17" t="n">
        <x:f>SUM(Q1993:S1993)</x:f>
        <x:v>4</x:v>
      </x:c>
      <x:c r="AI1993" s="17" t="n">
        <x:f>SUM(U1993:Y1993)</x:f>
        <x:v>0</x:v>
      </x:c>
      <x:c r="AJ1993" s="17" t="str">
        <x:f>IF(AE1993&lt;=34,"≤34",IF(AE1993&lt;=44,"35–44",IF(AE1993&lt;=54,"45–54",IF(AE1993&lt;=64,"55–64","65+"))))</x:f>
        <x:v>45–54</x:v>
      </x:c>
      <x:c r="AK1993" s="17" t="str">
        <x:f>IF(AG1993&gt;=1000,"High Value",IF(AG1993&gt;=300,"Mid Value","Low Value"))</x:f>
        <x:v>Low Value</x:v>
      </x:c>
      <x:c r="AL1993" s="17" t="str">
        <x:f>IF(AND(AI1993&gt;=1,I1993&lt;=50),"Priority 1",IF(AND(AG1993&gt;=1000,I1993&lt;=60),"Priority 2",IF(I1993&lt;=30,"Priority 3","Nurture")))</x:f>
        <x:v>Nurture</x:v>
      </x:c>
    </x:row>
    <x:row r="1994">
      <x:c r="A1994" s="16" t="n">
        <x:v>6815</x:v>
      </x:c>
      <x:c r="B1994" s="16" t="n">
        <x:v>1980</x:v>
      </x:c>
      <x:c r="C1994" s="16" t="str">
        <x:v>2n Cycle</x:v>
      </x:c>
      <x:c r="D1994" s="16" t="str">
        <x:v>Married</x:v>
      </x:c>
      <x:c r="E1994" s="16" t="n">
        <x:v>96547</x:v>
      </x:c>
      <x:c r="F1994" s="16" t="n">
        <x:v>0</x:v>
      </x:c>
      <x:c r="G1994" s="16" t="n">
        <x:v>0</x:v>
      </x:c>
      <x:c r="H1994" s="16" t="str">
        <x:v>23-05-2014</x:v>
      </x:c>
      <x:c r="I1994" s="16" t="n">
        <x:v>4</x:v>
      </x:c>
      <x:c r="J1994" s="16" t="n">
        <x:v>448</x:v>
      </x:c>
      <x:c r="K1994" s="16" t="n">
        <x:v>21</x:v>
      </x:c>
      <x:c r="L1994" s="16" t="n">
        <x:v>125</x:v>
      </x:c>
      <x:c r="M1994" s="16" t="n">
        <x:v>52</x:v>
      </x:c>
      <x:c r="N1994" s="16" t="n">
        <x:v>101</x:v>
      </x:c>
      <x:c r="O1994" s="16" t="n">
        <x:v>62</x:v>
      </x:c>
      <x:c r="P1994" s="16" t="n">
        <x:v>0</x:v>
      </x:c>
      <x:c r="Q1994" s="16" t="n">
        <x:v>7</x:v>
      </x:c>
      <x:c r="R1994" s="16" t="n">
        <x:v>6</x:v>
      </x:c>
      <x:c r="S1994" s="16" t="n">
        <x:v>8</x:v>
      </x:c>
      <x:c r="T1994" s="16" t="n">
        <x:v>2</x:v>
      </x:c>
      <x:c r="U1994" s="16" t="n">
        <x:v>1</x:v>
      </x:c>
      <x:c r="V1994" s="16" t="n">
        <x:v>0</x:v>
      </x:c>
      <x:c r="W1994" s="16" t="n">
        <x:v>1</x:v>
      </x:c>
      <x:c r="X1994" s="16" t="n">
        <x:v>1</x:v>
      </x:c>
      <x:c r="Y1994" s="16" t="n">
        <x:v>0</x:v>
      </x:c>
      <x:c r="Z1994" s="16" t="n">
        <x:v>0</x:v>
      </x:c>
      <x:c r="AA1994" s="16" t="n">
        <x:v>3</x:v>
      </x:c>
      <x:c r="AB1994" s="16" t="n">
        <x:v>11</x:v>
      </x:c>
      <x:c r="AC1994" s="16" t="n">
        <x:v>1</x:v>
      </x:c>
      <x:c r="AD1994" s="21" t="n">
        <x:f>IF(E1994="",MEDIAN($E$2:$E$2237),E1994)</x:f>
        <x:v>96547</x:v>
      </x:c>
      <x:c r="AE1994" s="17" t="n">
        <x:f>2014-B1994</x:f>
        <x:v>34</x:v>
      </x:c>
      <x:c r="AF1994" s="17" t="n">
        <x:f>F1994+G1994</x:f>
        <x:v>0</x:v>
      </x:c>
      <x:c r="AG1994" s="21" t="n">
        <x:f>SUM(J1994:O1994)</x:f>
        <x:v>809</x:v>
      </x:c>
      <x:c r="AH1994" s="17" t="n">
        <x:f>SUM(Q1994:S1994)</x:f>
        <x:v>21</x:v>
      </x:c>
      <x:c r="AI1994" s="17" t="n">
        <x:f>SUM(U1994:Y1994)</x:f>
        <x:v>3</x:v>
      </x:c>
      <x:c r="AJ1994" s="17" t="str">
        <x:f>IF(AE1994&lt;=34,"≤34",IF(AE1994&lt;=44,"35–44",IF(AE1994&lt;=54,"45–54",IF(AE1994&lt;=64,"55–64","65+"))))</x:f>
        <x:v>≤34</x:v>
      </x:c>
      <x:c r="AK1994" s="17" t="str">
        <x:f>IF(AG1994&gt;=1000,"High Value",IF(AG1994&gt;=300,"Mid Value","Low Value"))</x:f>
        <x:v>Mid Value</x:v>
      </x:c>
      <x:c r="AL1994" s="17" t="str">
        <x:f>IF(AND(AI1994&gt;=1,I1994&lt;=50),"Priority 1",IF(AND(AG1994&gt;=1000,I1994&lt;=60),"Priority 2",IF(I1994&lt;=30,"Priority 3","Nurture")))</x:f>
        <x:v>Priority 1</x:v>
      </x:c>
    </x:row>
    <x:row r="1995">
      <x:c r="A1995" s="16" t="n">
        <x:v>4122</x:v>
      </x:c>
      <x:c r="B1995" s="16" t="n">
        <x:v>1975</x:v>
      </x:c>
      <x:c r="C1995" s="16" t="str">
        <x:v>Graduation</x:v>
      </x:c>
      <x:c r="D1995" s="16" t="str">
        <x:v>Married</x:v>
      </x:c>
      <x:c r="E1995" s="16" t="n">
        <x:v>79205</x:v>
      </x:c>
      <x:c r="F1995" s="16" t="n">
        <x:v>0</x:v>
      </x:c>
      <x:c r="G1995" s="16" t="n">
        <x:v>0</x:v>
      </x:c>
      <x:c r="H1995" s="16" t="str">
        <x:v>29-08-2012</x:v>
      </x:c>
      <x:c r="I1995" s="16" t="n">
        <x:v>73</x:v>
      </x:c>
      <x:c r="J1995" s="16" t="n">
        <x:v>504</x:v>
      </x:c>
      <x:c r="K1995" s="16" t="n">
        <x:v>23</x:v>
      </x:c>
      <x:c r="L1995" s="16" t="n">
        <x:v>117</x:v>
      </x:c>
      <x:c r="M1995" s="16" t="n">
        <x:v>179</x:v>
      </x:c>
      <x:c r="N1995" s="16" t="n">
        <x:v>28</x:v>
      </x:c>
      <x:c r="O1995" s="16" t="n">
        <x:v>44</x:v>
      </x:c>
      <x:c r="P1995" s="16" t="n">
        <x:v>1</x:v>
      </x:c>
      <x:c r="Q1995" s="16" t="n">
        <x:v>6</x:v>
      </x:c>
      <x:c r="R1995" s="16" t="n">
        <x:v>5</x:v>
      </x:c>
      <x:c r="S1995" s="16" t="n">
        <x:v>4</x:v>
      </x:c>
      <x:c r="T1995" s="16" t="n">
        <x:v>4</x:v>
      </x:c>
      <x:c r="U1995" s="16" t="n">
        <x:v>0</x:v>
      </x:c>
      <x:c r="V1995" s="16" t="n">
        <x:v>0</x:v>
      </x:c>
      <x:c r="W1995" s="16" t="n">
        <x:v>0</x:v>
      </x:c>
      <x:c r="X1995" s="16" t="n">
        <x:v>1</x:v>
      </x:c>
      <x:c r="Y1995" s="16" t="n">
        <x:v>0</x:v>
      </x:c>
      <x:c r="Z1995" s="16" t="n">
        <x:v>0</x:v>
      </x:c>
      <x:c r="AA1995" s="16" t="n">
        <x:v>3</x:v>
      </x:c>
      <x:c r="AB1995" s="16" t="n">
        <x:v>11</x:v>
      </x:c>
      <x:c r="AC1995" s="16" t="n">
        <x:v>1</x:v>
      </x:c>
      <x:c r="AD1995" s="21" t="n">
        <x:f>IF(E1995="",MEDIAN($E$2:$E$2237),E1995)</x:f>
        <x:v>79205</x:v>
      </x:c>
      <x:c r="AE1995" s="17" t="n">
        <x:f>2014-B1995</x:f>
        <x:v>39</x:v>
      </x:c>
      <x:c r="AF1995" s="17" t="n">
        <x:f>F1995+G1995</x:f>
        <x:v>0</x:v>
      </x:c>
      <x:c r="AG1995" s="21" t="n">
        <x:f>SUM(J1995:O1995)</x:f>
        <x:v>895</x:v>
      </x:c>
      <x:c r="AH1995" s="17" t="n">
        <x:f>SUM(Q1995:S1995)</x:f>
        <x:v>15</x:v>
      </x:c>
      <x:c r="AI1995" s="17" t="n">
        <x:f>SUM(U1995:Y1995)</x:f>
        <x:v>1</x:v>
      </x:c>
      <x:c r="AJ1995" s="17" t="str">
        <x:f>IF(AE1995&lt;=34,"≤34",IF(AE1995&lt;=44,"35–44",IF(AE1995&lt;=54,"45–54",IF(AE1995&lt;=64,"55–64","65+"))))</x:f>
        <x:v>35–44</x:v>
      </x:c>
      <x:c r="AK1995" s="17" t="str">
        <x:f>IF(AG1995&gt;=1000,"High Value",IF(AG1995&gt;=300,"Mid Value","Low Value"))</x:f>
        <x:v>Mid Value</x:v>
      </x:c>
      <x:c r="AL1995" s="17" t="str">
        <x:f>IF(AND(AI1995&gt;=1,I1995&lt;=50),"Priority 1",IF(AND(AG1995&gt;=1000,I1995&lt;=60),"Priority 2",IF(I1995&lt;=30,"Priority 3","Nurture")))</x:f>
        <x:v>Nurture</x:v>
      </x:c>
    </x:row>
    <x:row r="1996">
      <x:c r="A1996" s="16" t="n">
        <x:v>10841</x:v>
      </x:c>
      <x:c r="B1996" s="16" t="n">
        <x:v>1975</x:v>
      </x:c>
      <x:c r="C1996" s="16" t="str">
        <x:v>PhD</x:v>
      </x:c>
      <x:c r="D1996" s="16" t="str">
        <x:v>Together</x:v>
      </x:c>
      <x:c r="E1996" s="16" t="n">
        <x:v>56559</x:v>
      </x:c>
      <x:c r="F1996" s="16" t="n">
        <x:v>0</x:v>
      </x:c>
      <x:c r="G1996" s="16" t="n">
        <x:v>1</x:v>
      </x:c>
      <x:c r="H1996" s="16" t="str">
        <x:v>25-12-2012</x:v>
      </x:c>
      <x:c r="I1996" s="16" t="n">
        <x:v>46</x:v>
      </x:c>
      <x:c r="J1996" s="16" t="n">
        <x:v>226</x:v>
      </x:c>
      <x:c r="K1996" s="16" t="n">
        <x:v>22</x:v>
      </x:c>
      <x:c r="L1996" s="16" t="n">
        <x:v>133</x:v>
      </x:c>
      <x:c r="M1996" s="16" t="n">
        <x:v>41</x:v>
      </x:c>
      <x:c r="N1996" s="16" t="n">
        <x:v>31</x:v>
      </x:c>
      <x:c r="O1996" s="16" t="n">
        <x:v>31</x:v>
      </x:c>
      <x:c r="P1996" s="16" t="n">
        <x:v>3</x:v>
      </x:c>
      <x:c r="Q1996" s="16" t="n">
        <x:v>4</x:v>
      </x:c>
      <x:c r="R1996" s="16" t="n">
        <x:v>3</x:v>
      </x:c>
      <x:c r="S1996" s="16" t="n">
        <x:v>8</x:v>
      </x:c>
      <x:c r="T1996" s="16" t="n">
        <x:v>4</x:v>
      </x:c>
      <x:c r="U1996" s="16" t="n">
        <x:v>0</x:v>
      </x:c>
      <x:c r="V1996" s="16" t="n">
        <x:v>0</x:v>
      </x:c>
      <x:c r="W1996" s="16" t="n">
        <x:v>0</x:v>
      </x:c>
      <x:c r="X1996" s="16" t="n">
        <x:v>0</x:v>
      </x:c>
      <x:c r="Y1996" s="16" t="n">
        <x:v>0</x:v>
      </x:c>
      <x:c r="Z1996" s="16" t="n">
        <x:v>0</x:v>
      </x:c>
      <x:c r="AA1996" s="16" t="n">
        <x:v>3</x:v>
      </x:c>
      <x:c r="AB1996" s="16" t="n">
        <x:v>11</x:v>
      </x:c>
      <x:c r="AC1996" s="16" t="n">
        <x:v>0</x:v>
      </x:c>
      <x:c r="AD1996" s="21" t="n">
        <x:f>IF(E1996="",MEDIAN($E$2:$E$2237),E1996)</x:f>
        <x:v>56559</x:v>
      </x:c>
      <x:c r="AE1996" s="17" t="n">
        <x:f>2014-B1996</x:f>
        <x:v>39</x:v>
      </x:c>
      <x:c r="AF1996" s="17" t="n">
        <x:f>F1996+G1996</x:f>
        <x:v>1</x:v>
      </x:c>
      <x:c r="AG1996" s="21" t="n">
        <x:f>SUM(J1996:O1996)</x:f>
        <x:v>484</x:v>
      </x:c>
      <x:c r="AH1996" s="17" t="n">
        <x:f>SUM(Q1996:S1996)</x:f>
        <x:v>15</x:v>
      </x:c>
      <x:c r="AI1996" s="17" t="n">
        <x:f>SUM(U1996:Y1996)</x:f>
        <x:v>0</x:v>
      </x:c>
      <x:c r="AJ1996" s="17" t="str">
        <x:f>IF(AE1996&lt;=34,"≤34",IF(AE1996&lt;=44,"35–44",IF(AE1996&lt;=54,"45–54",IF(AE1996&lt;=64,"55–64","65+"))))</x:f>
        <x:v>35–44</x:v>
      </x:c>
      <x:c r="AK1996" s="17" t="str">
        <x:f>IF(AG1996&gt;=1000,"High Value",IF(AG1996&gt;=300,"Mid Value","Low Value"))</x:f>
        <x:v>Mid Value</x:v>
      </x:c>
      <x:c r="AL1996" s="17" t="str">
        <x:f>IF(AND(AI1996&gt;=1,I1996&lt;=50),"Priority 1",IF(AND(AG1996&gt;=1000,I1996&lt;=60),"Priority 2",IF(I1996&lt;=30,"Priority 3","Nurture")))</x:f>
        <x:v>Nurture</x:v>
      </x:c>
    </x:row>
    <x:row r="1997">
      <x:c r="A1997" s="16" t="n">
        <x:v>5370</x:v>
      </x:c>
      <x:c r="B1997" s="16" t="n">
        <x:v>1973</x:v>
      </x:c>
      <x:c r="C1997" s="16" t="str">
        <x:v>PhD</x:v>
      </x:c>
      <x:c r="D1997" s="16" t="str">
        <x:v>Married</x:v>
      </x:c>
      <x:c r="E1997" s="16" t="n">
        <x:v>32644</x:v>
      </x:c>
      <x:c r="F1997" s="16" t="n">
        <x:v>1</x:v>
      </x:c>
      <x:c r="G1997" s="16" t="n">
        <x:v>0</x:v>
      </x:c>
      <x:c r="H1997" s="16" t="str">
        <x:v>16-01-2013</x:v>
      </x:c>
      <x:c r="I1997" s="16" t="n">
        <x:v>38</x:v>
      </x:c>
      <x:c r="J1997" s="16" t="n">
        <x:v>239</x:v>
      </x:c>
      <x:c r="K1997" s="16" t="n">
        <x:v>3</x:v>
      </x:c>
      <x:c r="L1997" s="16" t="n">
        <x:v>141</x:v>
      </x:c>
      <x:c r="M1997" s="16" t="n">
        <x:v>0</x:v>
      </x:c>
      <x:c r="N1997" s="16" t="n">
        <x:v>7</x:v>
      </x:c>
      <x:c r="O1997" s="16" t="n">
        <x:v>23</x:v>
      </x:c>
      <x:c r="P1997" s="16" t="n">
        <x:v>4</x:v>
      </x:c>
      <x:c r="Q1997" s="16" t="n">
        <x:v>7</x:v>
      </x:c>
      <x:c r="R1997" s="16" t="n">
        <x:v>1</x:v>
      </x:c>
      <x:c r="S1997" s="16" t="n">
        <x:v>6</x:v>
      </x:c>
      <x:c r="T1997" s="16" t="n">
        <x:v>8</x:v>
      </x:c>
      <x:c r="U1997" s="16" t="n">
        <x:v>1</x:v>
      </x:c>
      <x:c r="V1997" s="16" t="n">
        <x:v>0</x:v>
      </x:c>
      <x:c r="W1997" s="16" t="n">
        <x:v>0</x:v>
      </x:c>
      <x:c r="X1997" s="16" t="n">
        <x:v>0</x:v>
      </x:c>
      <x:c r="Y1997" s="16" t="n">
        <x:v>0</x:v>
      </x:c>
      <x:c r="Z1997" s="16" t="n">
        <x:v>0</x:v>
      </x:c>
      <x:c r="AA1997" s="16" t="n">
        <x:v>3</x:v>
      </x:c>
      <x:c r="AB1997" s="16" t="n">
        <x:v>11</x:v>
      </x:c>
      <x:c r="AC1997" s="16" t="n">
        <x:v>0</x:v>
      </x:c>
      <x:c r="AD1997" s="21" t="n">
        <x:f>IF(E1997="",MEDIAN($E$2:$E$2237),E1997)</x:f>
        <x:v>32644</x:v>
      </x:c>
      <x:c r="AE1997" s="17" t="n">
        <x:f>2014-B1997</x:f>
        <x:v>41</x:v>
      </x:c>
      <x:c r="AF1997" s="17" t="n">
        <x:f>F1997+G1997</x:f>
        <x:v>1</x:v>
      </x:c>
      <x:c r="AG1997" s="21" t="n">
        <x:f>SUM(J1997:O1997)</x:f>
        <x:v>413</x:v>
      </x:c>
      <x:c r="AH1997" s="17" t="n">
        <x:f>SUM(Q1997:S1997)</x:f>
        <x:v>14</x:v>
      </x:c>
      <x:c r="AI1997" s="17" t="n">
        <x:f>SUM(U1997:Y1997)</x:f>
        <x:v>1</x:v>
      </x:c>
      <x:c r="AJ1997" s="17" t="str">
        <x:f>IF(AE1997&lt;=34,"≤34",IF(AE1997&lt;=44,"35–44",IF(AE1997&lt;=54,"45–54",IF(AE1997&lt;=64,"55–64","65+"))))</x:f>
        <x:v>35–44</x:v>
      </x:c>
      <x:c r="AK1997" s="17" t="str">
        <x:f>IF(AG1997&gt;=1000,"High Value",IF(AG1997&gt;=300,"Mid Value","Low Value"))</x:f>
        <x:v>Mid Value</x:v>
      </x:c>
      <x:c r="AL1997" s="17" t="str">
        <x:f>IF(AND(AI1997&gt;=1,I1997&lt;=50),"Priority 1",IF(AND(AG1997&gt;=1000,I1997&lt;=60),"Priority 2",IF(I1997&lt;=30,"Priority 3","Nurture")))</x:f>
        <x:v>Priority 1</x:v>
      </x:c>
    </x:row>
    <x:row r="1998">
      <x:c r="A1998" s="16" t="n">
        <x:v>176</x:v>
      </x:c>
      <x:c r="B1998" s="16" t="n">
        <x:v>1980</x:v>
      </x:c>
      <x:c r="C1998" s="16" t="str">
        <x:v>2n Cycle</x:v>
      </x:c>
      <x:c r="D1998" s="16" t="str">
        <x:v>Single</x:v>
      </x:c>
      <x:c r="E1998" s="16" t="n">
        <x:v>67506</x:v>
      </x:c>
      <x:c r="F1998" s="16" t="n">
        <x:v>0</x:v>
      </x:c>
      <x:c r="G1998" s="16" t="n">
        <x:v>1</x:v>
      </x:c>
      <x:c r="H1998" s="16" t="str">
        <x:v>02-01-2014</x:v>
      </x:c>
      <x:c r="I1998" s="16" t="n">
        <x:v>73</x:v>
      </x:c>
      <x:c r="J1998" s="16" t="n">
        <x:v>90</x:v>
      </x:c>
      <x:c r="K1998" s="16" t="n">
        <x:v>38</x:v>
      </x:c>
      <x:c r="L1998" s="16" t="n">
        <x:v>67</x:v>
      </x:c>
      <x:c r="M1998" s="16" t="n">
        <x:v>33</x:v>
      </x:c>
      <x:c r="N1998" s="16" t="n">
        <x:v>36</x:v>
      </x:c>
      <x:c r="O1998" s="16" t="n">
        <x:v>67</x:v>
      </x:c>
      <x:c r="P1998" s="16" t="n">
        <x:v>1</x:v>
      </x:c>
      <x:c r="Q1998" s="16" t="n">
        <x:v>4</x:v>
      </x:c>
      <x:c r="R1998" s="16" t="n">
        <x:v>1</x:v>
      </x:c>
      <x:c r="S1998" s="16" t="n">
        <x:v>6</x:v>
      </x:c>
      <x:c r="T1998" s="16" t="n">
        <x:v>3</x:v>
      </x:c>
      <x:c r="U1998" s="16" t="n">
        <x:v>0</x:v>
      </x:c>
      <x:c r="V1998" s="16" t="n">
        <x:v>0</x:v>
      </x:c>
      <x:c r="W1998" s="16" t="n">
        <x:v>0</x:v>
      </x:c>
      <x:c r="X1998" s="16" t="n">
        <x:v>0</x:v>
      </x:c>
      <x:c r="Y1998" s="16" t="n">
        <x:v>0</x:v>
      </x:c>
      <x:c r="Z1998" s="16" t="n">
        <x:v>0</x:v>
      </x:c>
      <x:c r="AA1998" s="16" t="n">
        <x:v>3</x:v>
      </x:c>
      <x:c r="AB1998" s="16" t="n">
        <x:v>11</x:v>
      </x:c>
      <x:c r="AC1998" s="16" t="n">
        <x:v>0</x:v>
      </x:c>
      <x:c r="AD1998" s="21" t="n">
        <x:f>IF(E1998="",MEDIAN($E$2:$E$2237),E1998)</x:f>
        <x:v>67506</x:v>
      </x:c>
      <x:c r="AE1998" s="17" t="n">
        <x:f>2014-B1998</x:f>
        <x:v>34</x:v>
      </x:c>
      <x:c r="AF1998" s="17" t="n">
        <x:f>F1998+G1998</x:f>
        <x:v>1</x:v>
      </x:c>
      <x:c r="AG1998" s="21" t="n">
        <x:f>SUM(J1998:O1998)</x:f>
        <x:v>331</x:v>
      </x:c>
      <x:c r="AH1998" s="17" t="n">
        <x:f>SUM(Q1998:S1998)</x:f>
        <x:v>11</x:v>
      </x:c>
      <x:c r="AI1998" s="17" t="n">
        <x:f>SUM(U1998:Y1998)</x:f>
        <x:v>0</x:v>
      </x:c>
      <x:c r="AJ1998" s="17" t="str">
        <x:f>IF(AE1998&lt;=34,"≤34",IF(AE1998&lt;=44,"35–44",IF(AE1998&lt;=54,"45–54",IF(AE1998&lt;=64,"55–64","65+"))))</x:f>
        <x:v>≤34</x:v>
      </x:c>
      <x:c r="AK1998" s="17" t="str">
        <x:f>IF(AG1998&gt;=1000,"High Value",IF(AG1998&gt;=300,"Mid Value","Low Value"))</x:f>
        <x:v>Mid Value</x:v>
      </x:c>
      <x:c r="AL1998" s="17" t="str">
        <x:f>IF(AND(AI1998&gt;=1,I1998&lt;=50),"Priority 1",IF(AND(AG1998&gt;=1000,I1998&lt;=60),"Priority 2",IF(I1998&lt;=30,"Priority 3","Nurture")))</x:f>
        <x:v>Nurture</x:v>
      </x:c>
    </x:row>
    <x:row r="1999">
      <x:c r="A1999" s="16" t="n">
        <x:v>4860</x:v>
      </x:c>
      <x:c r="B1999" s="16" t="n">
        <x:v>1970</x:v>
      </x:c>
      <x:c r="C1999" s="16" t="str">
        <x:v>Graduation</x:v>
      </x:c>
      <x:c r="D1999" s="16" t="str">
        <x:v>Single</x:v>
      </x:c>
      <x:c r="E1999" s="16" t="n">
        <x:v>24206</x:v>
      </x:c>
      <x:c r="F1999" s="16" t="n">
        <x:v>1</x:v>
      </x:c>
      <x:c r="G1999" s="16" t="n">
        <x:v>0</x:v>
      </x:c>
      <x:c r="H1999" s="16" t="str">
        <x:v>08-03-2013</x:v>
      </x:c>
      <x:c r="I1999" s="16" t="n">
        <x:v>66</x:v>
      </x:c>
      <x:c r="J1999" s="16" t="n">
        <x:v>7</x:v>
      </x:c>
      <x:c r="K1999" s="16" t="n">
        <x:v>2</x:v>
      </x:c>
      <x:c r="L1999" s="16" t="n">
        <x:v>8</x:v>
      </x:c>
      <x:c r="M1999" s="16" t="n">
        <x:v>3</x:v>
      </x:c>
      <x:c r="N1999" s="16" t="n">
        <x:v>2</x:v>
      </x:c>
      <x:c r="O1999" s="16" t="n">
        <x:v>3</x:v>
      </x:c>
      <x:c r="P1999" s="16" t="n">
        <x:v>1</x:v>
      </x:c>
      <x:c r="Q1999" s="16" t="n">
        <x:v>1</x:v>
      </x:c>
      <x:c r="R1999" s="16" t="n">
        <x:v>0</x:v>
      </x:c>
      <x:c r="S1999" s="16" t="n">
        <x:v>3</x:v>
      </x:c>
      <x:c r="T1999" s="16" t="n">
        <x:v>6</x:v>
      </x:c>
      <x:c r="U1999" s="16" t="n">
        <x:v>0</x:v>
      </x:c>
      <x:c r="V1999" s="16" t="n">
        <x:v>0</x:v>
      </x:c>
      <x:c r="W1999" s="16" t="n">
        <x:v>0</x:v>
      </x:c>
      <x:c r="X1999" s="16" t="n">
        <x:v>0</x:v>
      </x:c>
      <x:c r="Y1999" s="16" t="n">
        <x:v>0</x:v>
      </x:c>
      <x:c r="Z1999" s="16" t="n">
        <x:v>0</x:v>
      </x:c>
      <x:c r="AA1999" s="16" t="n">
        <x:v>3</x:v>
      </x:c>
      <x:c r="AB1999" s="16" t="n">
        <x:v>11</x:v>
      </x:c>
      <x:c r="AC1999" s="16" t="n">
        <x:v>0</x:v>
      </x:c>
      <x:c r="AD1999" s="21" t="n">
        <x:f>IF(E1999="",MEDIAN($E$2:$E$2237),E1999)</x:f>
        <x:v>24206</x:v>
      </x:c>
      <x:c r="AE1999" s="17" t="n">
        <x:f>2014-B1999</x:f>
        <x:v>44</x:v>
      </x:c>
      <x:c r="AF1999" s="17" t="n">
        <x:f>F1999+G1999</x:f>
        <x:v>1</x:v>
      </x:c>
      <x:c r="AG1999" s="21" t="n">
        <x:f>SUM(J1999:O1999)</x:f>
        <x:v>25</x:v>
      </x:c>
      <x:c r="AH1999" s="17" t="n">
        <x:f>SUM(Q1999:S1999)</x:f>
        <x:v>4</x:v>
      </x:c>
      <x:c r="AI1999" s="17" t="n">
        <x:f>SUM(U1999:Y1999)</x:f>
        <x:v>0</x:v>
      </x:c>
      <x:c r="AJ1999" s="17" t="str">
        <x:f>IF(AE1999&lt;=34,"≤34",IF(AE1999&lt;=44,"35–44",IF(AE1999&lt;=54,"45–54",IF(AE1999&lt;=64,"55–64","65+"))))</x:f>
        <x:v>35–44</x:v>
      </x:c>
      <x:c r="AK1999" s="17" t="str">
        <x:f>IF(AG1999&gt;=1000,"High Value",IF(AG1999&gt;=300,"Mid Value","Low Value"))</x:f>
        <x:v>Low Value</x:v>
      </x:c>
      <x:c r="AL1999" s="17" t="str">
        <x:f>IF(AND(AI1999&gt;=1,I1999&lt;=50),"Priority 1",IF(AND(AG1999&gt;=1000,I1999&lt;=60),"Priority 2",IF(I1999&lt;=30,"Priority 3","Nurture")))</x:f>
        <x:v>Nurture</x:v>
      </x:c>
    </x:row>
    <x:row r="2000">
      <x:c r="A2000" s="16" t="n">
        <x:v>10757</x:v>
      </x:c>
      <x:c r="B2000" s="16" t="n">
        <x:v>1967</x:v>
      </x:c>
      <x:c r="C2000" s="16" t="str">
        <x:v>PhD</x:v>
      </x:c>
      <x:c r="D2000" s="16" t="str">
        <x:v>Divorced</x:v>
      </x:c>
      <x:c r="E2000" s="16" t="n">
        <x:v>28420</x:v>
      </x:c>
      <x:c r="F2000" s="16" t="n">
        <x:v>1</x:v>
      </x:c>
      <x:c r="G2000" s="16" t="n">
        <x:v>0</x:v>
      </x:c>
      <x:c r="H2000" s="16" t="str">
        <x:v>24-12-2013</x:v>
      </x:c>
      <x:c r="I2000" s="16" t="n">
        <x:v>36</x:v>
      </x:c>
      <x:c r="J2000" s="16" t="n">
        <x:v>4</x:v>
      </x:c>
      <x:c r="K2000" s="16" t="n">
        <x:v>2</x:v>
      </x:c>
      <x:c r="L2000" s="16" t="n">
        <x:v>5</x:v>
      </x:c>
      <x:c r="M2000" s="16" t="n">
        <x:v>2</x:v>
      </x:c>
      <x:c r="N2000" s="16" t="n">
        <x:v>0</x:v>
      </x:c>
      <x:c r="O2000" s="16" t="n">
        <x:v>0</x:v>
      </x:c>
      <x:c r="P2000" s="16" t="n">
        <x:v>1</x:v>
      </x:c>
      <x:c r="Q2000" s="16" t="n">
        <x:v>1</x:v>
      </x:c>
      <x:c r="R2000" s="16" t="n">
        <x:v>0</x:v>
      </x:c>
      <x:c r="S2000" s="16" t="n">
        <x:v>2</x:v>
      </x:c>
      <x:c r="T2000" s="16" t="n">
        <x:v>6</x:v>
      </x:c>
      <x:c r="U2000" s="16" t="n">
        <x:v>0</x:v>
      </x:c>
      <x:c r="V2000" s="16" t="n">
        <x:v>0</x:v>
      </x:c>
      <x:c r="W2000" s="16" t="n">
        <x:v>0</x:v>
      </x:c>
      <x:c r="X2000" s="16" t="n">
        <x:v>0</x:v>
      </x:c>
      <x:c r="Y2000" s="16" t="n">
        <x:v>0</x:v>
      </x:c>
      <x:c r="Z2000" s="16" t="n">
        <x:v>0</x:v>
      </x:c>
      <x:c r="AA2000" s="16" t="n">
        <x:v>3</x:v>
      </x:c>
      <x:c r="AB2000" s="16" t="n">
        <x:v>11</x:v>
      </x:c>
      <x:c r="AC2000" s="16" t="n">
        <x:v>0</x:v>
      </x:c>
      <x:c r="AD2000" s="21" t="n">
        <x:f>IF(E2000="",MEDIAN($E$2:$E$2237),E2000)</x:f>
        <x:v>28420</x:v>
      </x:c>
      <x:c r="AE2000" s="17" t="n">
        <x:f>2014-B2000</x:f>
        <x:v>47</x:v>
      </x:c>
      <x:c r="AF2000" s="17" t="n">
        <x:f>F2000+G2000</x:f>
        <x:v>1</x:v>
      </x:c>
      <x:c r="AG2000" s="21" t="n">
        <x:f>SUM(J2000:O2000)</x:f>
        <x:v>13</x:v>
      </x:c>
      <x:c r="AH2000" s="17" t="n">
        <x:f>SUM(Q2000:S2000)</x:f>
        <x:v>3</x:v>
      </x:c>
      <x:c r="AI2000" s="17" t="n">
        <x:f>SUM(U2000:Y2000)</x:f>
        <x:v>0</x:v>
      </x:c>
      <x:c r="AJ2000" s="17" t="str">
        <x:f>IF(AE2000&lt;=34,"≤34",IF(AE2000&lt;=44,"35–44",IF(AE2000&lt;=54,"45–54",IF(AE2000&lt;=64,"55–64","65+"))))</x:f>
        <x:v>45–54</x:v>
      </x:c>
      <x:c r="AK2000" s="17" t="str">
        <x:f>IF(AG2000&gt;=1000,"High Value",IF(AG2000&gt;=300,"Mid Value","Low Value"))</x:f>
        <x:v>Low Value</x:v>
      </x:c>
      <x:c r="AL2000" s="17" t="str">
        <x:f>IF(AND(AI2000&gt;=1,I2000&lt;=50),"Priority 1",IF(AND(AG2000&gt;=1000,I2000&lt;=60),"Priority 2",IF(I2000&lt;=30,"Priority 3","Nurture")))</x:f>
        <x:v>Nurture</x:v>
      </x:c>
    </x:row>
    <x:row r="2001">
      <x:c r="A2001" s="16" t="n">
        <x:v>4023</x:v>
      </x:c>
      <x:c r="B2001" s="16" t="n">
        <x:v>1970</x:v>
      </x:c>
      <x:c r="C2001" s="16" t="str">
        <x:v>Graduation</x:v>
      </x:c>
      <x:c r="D2001" s="16" t="str">
        <x:v>Married</x:v>
      </x:c>
      <x:c r="E2001" s="16" t="n">
        <x:v>22979</x:v>
      </x:c>
      <x:c r="F2001" s="16" t="n">
        <x:v>1</x:v>
      </x:c>
      <x:c r="G2001" s="16" t="n">
        <x:v>0</x:v>
      </x:c>
      <x:c r="H2001" s="16" t="str">
        <x:v>06-09-2012</x:v>
      </x:c>
      <x:c r="I2001" s="16" t="n">
        <x:v>29</x:v>
      </x:c>
      <x:c r="J2001" s="16" t="n">
        <x:v>16</x:v>
      </x:c>
      <x:c r="K2001" s="16" t="n">
        <x:v>17</x:v>
      </x:c>
      <x:c r="L2001" s="16" t="n">
        <x:v>19</x:v>
      </x:c>
      <x:c r="M2001" s="16" t="n">
        <x:v>20</x:v>
      </x:c>
      <x:c r="N2001" s="16" t="n">
        <x:v>21</x:v>
      </x:c>
      <x:c r="O2001" s="16" t="n">
        <x:v>22</x:v>
      </x:c>
      <x:c r="P2001" s="16" t="n">
        <x:v>3</x:v>
      </x:c>
      <x:c r="Q2001" s="16" t="n">
        <x:v>3</x:v>
      </x:c>
      <x:c r="R2001" s="16" t="n">
        <x:v>2</x:v>
      </x:c>
      <x:c r="S2001" s="16" t="n">
        <x:v>2</x:v>
      </x:c>
      <x:c r="T2001" s="16" t="n">
        <x:v>8</x:v>
      </x:c>
      <x:c r="U2001" s="16" t="n">
        <x:v>0</x:v>
      </x:c>
      <x:c r="V2001" s="16" t="n">
        <x:v>0</x:v>
      </x:c>
      <x:c r="W2001" s="16" t="n">
        <x:v>0</x:v>
      </x:c>
      <x:c r="X2001" s="16" t="n">
        <x:v>0</x:v>
      </x:c>
      <x:c r="Y2001" s="16" t="n">
        <x:v>0</x:v>
      </x:c>
      <x:c r="Z2001" s="16" t="n">
        <x:v>0</x:v>
      </x:c>
      <x:c r="AA2001" s="16" t="n">
        <x:v>3</x:v>
      </x:c>
      <x:c r="AB2001" s="16" t="n">
        <x:v>11</x:v>
      </x:c>
      <x:c r="AC2001" s="16" t="n">
        <x:v>1</x:v>
      </x:c>
      <x:c r="AD2001" s="21" t="n">
        <x:f>IF(E2001="",MEDIAN($E$2:$E$2237),E2001)</x:f>
        <x:v>22979</x:v>
      </x:c>
      <x:c r="AE2001" s="17" t="n">
        <x:f>2014-B2001</x:f>
        <x:v>44</x:v>
      </x:c>
      <x:c r="AF2001" s="17" t="n">
        <x:f>F2001+G2001</x:f>
        <x:v>1</x:v>
      </x:c>
      <x:c r="AG2001" s="21" t="n">
        <x:f>SUM(J2001:O2001)</x:f>
        <x:v>115</x:v>
      </x:c>
      <x:c r="AH2001" s="17" t="n">
        <x:f>SUM(Q2001:S2001)</x:f>
        <x:v>7</x:v>
      </x:c>
      <x:c r="AI2001" s="17" t="n">
        <x:f>SUM(U2001:Y2001)</x:f>
        <x:v>0</x:v>
      </x:c>
      <x:c r="AJ2001" s="17" t="str">
        <x:f>IF(AE2001&lt;=34,"≤34",IF(AE2001&lt;=44,"35–44",IF(AE2001&lt;=54,"45–54",IF(AE2001&lt;=64,"55–64","65+"))))</x:f>
        <x:v>35–44</x:v>
      </x:c>
      <x:c r="AK2001" s="17" t="str">
        <x:f>IF(AG2001&gt;=1000,"High Value",IF(AG2001&gt;=300,"Mid Value","Low Value"))</x:f>
        <x:v>Low Value</x:v>
      </x:c>
      <x:c r="AL2001" s="17" t="str">
        <x:f>IF(AND(AI2001&gt;=1,I2001&lt;=50),"Priority 1",IF(AND(AG2001&gt;=1000,I2001&lt;=60),"Priority 2",IF(I2001&lt;=30,"Priority 3","Nurture")))</x:f>
        <x:v>Priority 3</x:v>
      </x:c>
    </x:row>
    <x:row r="2002">
      <x:c r="A2002" s="16" t="n">
        <x:v>6679</x:v>
      </x:c>
      <x:c r="B2002" s="16" t="n">
        <x:v>1966</x:v>
      </x:c>
      <x:c r="C2002" s="16" t="str">
        <x:v>Graduation</x:v>
      </x:c>
      <x:c r="D2002" s="16" t="str">
        <x:v>Single</x:v>
      </x:c>
      <x:c r="E2002" s="16" t="n">
        <x:v>33279</x:v>
      </x:c>
      <x:c r="F2002" s="16" t="n">
        <x:v>0</x:v>
      </x:c>
      <x:c r="G2002" s="16" t="n">
        <x:v>0</x:v>
      </x:c>
      <x:c r="H2002" s="16" t="str">
        <x:v>12-06-2014</x:v>
      </x:c>
      <x:c r="I2002" s="16" t="n">
        <x:v>29</x:v>
      </x:c>
      <x:c r="J2002" s="16" t="n">
        <x:v>10</x:v>
      </x:c>
      <x:c r="K2002" s="16" t="n">
        <x:v>3</x:v>
      </x:c>
      <x:c r="L2002" s="16" t="n">
        <x:v>3</x:v>
      </x:c>
      <x:c r="M2002" s="16" t="n">
        <x:v>0</x:v>
      </x:c>
      <x:c r="N2002" s="16" t="n">
        <x:v>0</x:v>
      </x:c>
      <x:c r="O2002" s="16" t="n">
        <x:v>0</x:v>
      </x:c>
      <x:c r="P2002" s="16" t="n">
        <x:v>1</x:v>
      </x:c>
      <x:c r="Q2002" s="16" t="n">
        <x:v>0</x:v>
      </x:c>
      <x:c r="R2002" s="16" t="n">
        <x:v>0</x:v>
      </x:c>
      <x:c r="S2002" s="16" t="n">
        <x:v>3</x:v>
      </x:c>
      <x:c r="T2002" s="16" t="n">
        <x:v>3</x:v>
      </x:c>
      <x:c r="U2002" s="16" t="n">
        <x:v>0</x:v>
      </x:c>
      <x:c r="V2002" s="16" t="n">
        <x:v>0</x:v>
      </x:c>
      <x:c r="W2002" s="16" t="n">
        <x:v>0</x:v>
      </x:c>
      <x:c r="X2002" s="16" t="n">
        <x:v>0</x:v>
      </x:c>
      <x:c r="Y2002" s="16" t="n">
        <x:v>0</x:v>
      </x:c>
      <x:c r="Z2002" s="16" t="n">
        <x:v>0</x:v>
      </x:c>
      <x:c r="AA2002" s="16" t="n">
        <x:v>3</x:v>
      </x:c>
      <x:c r="AB2002" s="16" t="n">
        <x:v>11</x:v>
      </x:c>
      <x:c r="AC2002" s="16" t="n">
        <x:v>0</x:v>
      </x:c>
      <x:c r="AD2002" s="21" t="n">
        <x:f>IF(E2002="",MEDIAN($E$2:$E$2237),E2002)</x:f>
        <x:v>33279</x:v>
      </x:c>
      <x:c r="AE2002" s="17" t="n">
        <x:f>2014-B2002</x:f>
        <x:v>48</x:v>
      </x:c>
      <x:c r="AF2002" s="17" t="n">
        <x:f>F2002+G2002</x:f>
        <x:v>0</x:v>
      </x:c>
      <x:c r="AG2002" s="21" t="n">
        <x:f>SUM(J2002:O2002)</x:f>
        <x:v>16</x:v>
      </x:c>
      <x:c r="AH2002" s="17" t="n">
        <x:f>SUM(Q2002:S2002)</x:f>
        <x:v>3</x:v>
      </x:c>
      <x:c r="AI2002" s="17" t="n">
        <x:f>SUM(U2002:Y2002)</x:f>
        <x:v>0</x:v>
      </x:c>
      <x:c r="AJ2002" s="17" t="str">
        <x:f>IF(AE2002&lt;=34,"≤34",IF(AE2002&lt;=44,"35–44",IF(AE2002&lt;=54,"45–54",IF(AE2002&lt;=64,"55–64","65+"))))</x:f>
        <x:v>45–54</x:v>
      </x:c>
      <x:c r="AK2002" s="17" t="str">
        <x:f>IF(AG2002&gt;=1000,"High Value",IF(AG2002&gt;=300,"Mid Value","Low Value"))</x:f>
        <x:v>Low Value</x:v>
      </x:c>
      <x:c r="AL2002" s="17" t="str">
        <x:f>IF(AND(AI2002&gt;=1,I2002&lt;=50),"Priority 1",IF(AND(AG2002&gt;=1000,I2002&lt;=60),"Priority 2",IF(I2002&lt;=30,"Priority 3","Nurture")))</x:f>
        <x:v>Priority 3</x:v>
      </x:c>
    </x:row>
    <x:row r="2003">
      <x:c r="A2003" s="16" t="n">
        <x:v>9923</x:v>
      </x:c>
      <x:c r="B2003" s="16" t="n">
        <x:v>1972</x:v>
      </x:c>
      <x:c r="C2003" s="16" t="str">
        <x:v>Master</x:v>
      </x:c>
      <x:c r="D2003" s="16" t="str">
        <x:v>Single</x:v>
      </x:c>
      <x:c r="E2003" s="16" t="n">
        <x:v>46423</x:v>
      </x:c>
      <x:c r="F2003" s="16" t="n">
        <x:v>1</x:v>
      </x:c>
      <x:c r="G2003" s="16" t="n">
        <x:v>1</x:v>
      </x:c>
      <x:c r="H2003" s="16" t="str">
        <x:v>18-09-2013</x:v>
      </x:c>
      <x:c r="I2003" s="16" t="n">
        <x:v>6</x:v>
      </x:c>
      <x:c r="J2003" s="16" t="n">
        <x:v>68</x:v>
      </x:c>
      <x:c r="K2003" s="16" t="n">
        <x:v>0</x:v>
      </x:c>
      <x:c r="L2003" s="16" t="n">
        <x:v>16</x:v>
      </x:c>
      <x:c r="M2003" s="16" t="n">
        <x:v>0</x:v>
      </x:c>
      <x:c r="N2003" s="16" t="n">
        <x:v>0</x:v>
      </x:c>
      <x:c r="O2003" s="16" t="n">
        <x:v>8</x:v>
      </x:c>
      <x:c r="P2003" s="16" t="n">
        <x:v>3</x:v>
      </x:c>
      <x:c r="Q2003" s="16" t="n">
        <x:v>2</x:v>
      </x:c>
      <x:c r="R2003" s="16" t="n">
        <x:v>0</x:v>
      </x:c>
      <x:c r="S2003" s="16" t="n">
        <x:v>4</x:v>
      </x:c>
      <x:c r="T2003" s="16" t="n">
        <x:v>7</x:v>
      </x:c>
      <x:c r="U2003" s="16" t="n">
        <x:v>0</x:v>
      </x:c>
      <x:c r="V2003" s="16" t="n">
        <x:v>0</x:v>
      </x:c>
      <x:c r="W2003" s="16" t="n">
        <x:v>0</x:v>
      </x:c>
      <x:c r="X2003" s="16" t="n">
        <x:v>0</x:v>
      </x:c>
      <x:c r="Y2003" s="16" t="n">
        <x:v>0</x:v>
      </x:c>
      <x:c r="Z2003" s="16" t="n">
        <x:v>0</x:v>
      </x:c>
      <x:c r="AA2003" s="16" t="n">
        <x:v>3</x:v>
      </x:c>
      <x:c r="AB2003" s="16" t="n">
        <x:v>11</x:v>
      </x:c>
      <x:c r="AC2003" s="16" t="n">
        <x:v>0</x:v>
      </x:c>
      <x:c r="AD2003" s="21" t="n">
        <x:f>IF(E2003="",MEDIAN($E$2:$E$2237),E2003)</x:f>
        <x:v>46423</x:v>
      </x:c>
      <x:c r="AE2003" s="17" t="n">
        <x:f>2014-B2003</x:f>
        <x:v>42</x:v>
      </x:c>
      <x:c r="AF2003" s="17" t="n">
        <x:f>F2003+G2003</x:f>
        <x:v>2</x:v>
      </x:c>
      <x:c r="AG2003" s="21" t="n">
        <x:f>SUM(J2003:O2003)</x:f>
        <x:v>92</x:v>
      </x:c>
      <x:c r="AH2003" s="17" t="n">
        <x:f>SUM(Q2003:S2003)</x:f>
        <x:v>6</x:v>
      </x:c>
      <x:c r="AI2003" s="17" t="n">
        <x:f>SUM(U2003:Y2003)</x:f>
        <x:v>0</x:v>
      </x:c>
      <x:c r="AJ2003" s="17" t="str">
        <x:f>IF(AE2003&lt;=34,"≤34",IF(AE2003&lt;=44,"35–44",IF(AE2003&lt;=54,"45–54",IF(AE2003&lt;=64,"55–64","65+"))))</x:f>
        <x:v>35–44</x:v>
      </x:c>
      <x:c r="AK2003" s="17" t="str">
        <x:f>IF(AG2003&gt;=1000,"High Value",IF(AG2003&gt;=300,"Mid Value","Low Value"))</x:f>
        <x:v>Low Value</x:v>
      </x:c>
      <x:c r="AL2003" s="17" t="str">
        <x:f>IF(AND(AI2003&gt;=1,I2003&lt;=50),"Priority 1",IF(AND(AG2003&gt;=1000,I2003&lt;=60),"Priority 2",IF(I2003&lt;=30,"Priority 3","Nurture")))</x:f>
        <x:v>Priority 3</x:v>
      </x:c>
    </x:row>
    <x:row r="2004">
      <x:c r="A2004" s="16" t="n">
        <x:v>7181</x:v>
      </x:c>
      <x:c r="B2004" s="16" t="n">
        <x:v>1977</x:v>
      </x:c>
      <x:c r="C2004" s="16" t="str">
        <x:v>Graduation</x:v>
      </x:c>
      <x:c r="D2004" s="16" t="str">
        <x:v>Married</x:v>
      </x:c>
      <x:c r="E2004" s="16" t="n">
        <x:v>30368</x:v>
      </x:c>
      <x:c r="F2004" s="16" t="n">
        <x:v>0</x:v>
      </x:c>
      <x:c r="G2004" s="16" t="n">
        <x:v>1</x:v>
      </x:c>
      <x:c r="H2004" s="16" t="str">
        <x:v>07-11-2013</x:v>
      </x:c>
      <x:c r="I2004" s="16" t="n">
        <x:v>97</x:v>
      </x:c>
      <x:c r="J2004" s="16" t="n">
        <x:v>35</x:v>
      </x:c>
      <x:c r="K2004" s="16" t="n">
        <x:v>0</x:v>
      </x:c>
      <x:c r="L2004" s="16" t="n">
        <x:v>13</x:v>
      </x:c>
      <x:c r="M2004" s="16" t="n">
        <x:v>2</x:v>
      </x:c>
      <x:c r="N2004" s="16" t="n">
        <x:v>0</x:v>
      </x:c>
      <x:c r="O2004" s="16" t="n">
        <x:v>2</x:v>
      </x:c>
      <x:c r="P2004" s="16" t="n">
        <x:v>2</x:v>
      </x:c>
      <x:c r="Q2004" s="16" t="n">
        <x:v>2</x:v>
      </x:c>
      <x:c r="R2004" s="16" t="n">
        <x:v>0</x:v>
      </x:c>
      <x:c r="S2004" s="16" t="n">
        <x:v>3</x:v>
      </x:c>
      <x:c r="T2004" s="16" t="n">
        <x:v>8</x:v>
      </x:c>
      <x:c r="U2004" s="16" t="n">
        <x:v>0</x:v>
      </x:c>
      <x:c r="V2004" s="16" t="n">
        <x:v>0</x:v>
      </x:c>
      <x:c r="W2004" s="16" t="n">
        <x:v>0</x:v>
      </x:c>
      <x:c r="X2004" s="16" t="n">
        <x:v>0</x:v>
      </x:c>
      <x:c r="Y2004" s="16" t="n">
        <x:v>0</x:v>
      </x:c>
      <x:c r="Z2004" s="16" t="n">
        <x:v>0</x:v>
      </x:c>
      <x:c r="AA2004" s="16" t="n">
        <x:v>3</x:v>
      </x:c>
      <x:c r="AB2004" s="16" t="n">
        <x:v>11</x:v>
      </x:c>
      <x:c r="AC2004" s="16" t="n">
        <x:v>0</x:v>
      </x:c>
      <x:c r="AD2004" s="21" t="n">
        <x:f>IF(E2004="",MEDIAN($E$2:$E$2237),E2004)</x:f>
        <x:v>30368</x:v>
      </x:c>
      <x:c r="AE2004" s="17" t="n">
        <x:f>2014-B2004</x:f>
        <x:v>37</x:v>
      </x:c>
      <x:c r="AF2004" s="17" t="n">
        <x:f>F2004+G2004</x:f>
        <x:v>1</x:v>
      </x:c>
      <x:c r="AG2004" s="21" t="n">
        <x:f>SUM(J2004:O2004)</x:f>
        <x:v>52</x:v>
      </x:c>
      <x:c r="AH2004" s="17" t="n">
        <x:f>SUM(Q2004:S2004)</x:f>
        <x:v>5</x:v>
      </x:c>
      <x:c r="AI2004" s="17" t="n">
        <x:f>SUM(U2004:Y2004)</x:f>
        <x:v>0</x:v>
      </x:c>
      <x:c r="AJ2004" s="17" t="str">
        <x:f>IF(AE2004&lt;=34,"≤34",IF(AE2004&lt;=44,"35–44",IF(AE2004&lt;=54,"45–54",IF(AE2004&lt;=64,"55–64","65+"))))</x:f>
        <x:v>35–44</x:v>
      </x:c>
      <x:c r="AK2004" s="17" t="str">
        <x:f>IF(AG2004&gt;=1000,"High Value",IF(AG2004&gt;=300,"Mid Value","Low Value"))</x:f>
        <x:v>Low Value</x:v>
      </x:c>
      <x:c r="AL2004" s="17" t="str">
        <x:f>IF(AND(AI2004&gt;=1,I2004&lt;=50),"Priority 1",IF(AND(AG2004&gt;=1000,I2004&lt;=60),"Priority 2",IF(I2004&lt;=30,"Priority 3","Nurture")))</x:f>
        <x:v>Nurture</x:v>
      </x:c>
    </x:row>
    <x:row r="2005">
      <x:c r="A2005" s="16" t="n">
        <x:v>3599</x:v>
      </x:c>
      <x:c r="B2005" s="16" t="n">
        <x:v>1970</x:v>
      </x:c>
      <x:c r="C2005" s="16" t="str">
        <x:v>Graduation</x:v>
      </x:c>
      <x:c r="D2005" s="16" t="str">
        <x:v>Married</x:v>
      </x:c>
      <x:c r="E2005" s="16" t="n">
        <x:v>63684</x:v>
      </x:c>
      <x:c r="F2005" s="16" t="n">
        <x:v>0</x:v>
      </x:c>
      <x:c r="G2005" s="16" t="n">
        <x:v>1</x:v>
      </x:c>
      <x:c r="H2005" s="16" t="str">
        <x:v>26-11-2012</x:v>
      </x:c>
      <x:c r="I2005" s="16" t="n">
        <x:v>61</x:v>
      </x:c>
      <x:c r="J2005" s="16" t="n">
        <x:v>575</x:v>
      </x:c>
      <x:c r="K2005" s="16" t="n">
        <x:v>80</x:v>
      </x:c>
      <x:c r="L2005" s="16" t="n">
        <x:v>428</x:v>
      </x:c>
      <x:c r="M2005" s="16" t="n">
        <x:v>208</x:v>
      </x:c>
      <x:c r="N2005" s="16" t="n">
        <x:v>93</x:v>
      </x:c>
      <x:c r="O2005" s="16" t="n">
        <x:v>80</x:v>
      </x:c>
      <x:c r="P2005" s="16" t="n">
        <x:v>3</x:v>
      </x:c>
      <x:c r="Q2005" s="16" t="n">
        <x:v>8</x:v>
      </x:c>
      <x:c r="R2005" s="16" t="n">
        <x:v>4</x:v>
      </x:c>
      <x:c r="S2005" s="16" t="n">
        <x:v>8</x:v>
      </x:c>
      <x:c r="T2005" s="16" t="n">
        <x:v>5</x:v>
      </x:c>
      <x:c r="U2005" s="16" t="n">
        <x:v>0</x:v>
      </x:c>
      <x:c r="V2005" s="16" t="n">
        <x:v>0</x:v>
      </x:c>
      <x:c r="W2005" s="16" t="n">
        <x:v>0</x:v>
      </x:c>
      <x:c r="X2005" s="16" t="n">
        <x:v>0</x:v>
      </x:c>
      <x:c r="Y2005" s="16" t="n">
        <x:v>0</x:v>
      </x:c>
      <x:c r="Z2005" s="16" t="n">
        <x:v>0</x:v>
      </x:c>
      <x:c r="AA2005" s="16" t="n">
        <x:v>3</x:v>
      </x:c>
      <x:c r="AB2005" s="16" t="n">
        <x:v>11</x:v>
      </x:c>
      <x:c r="AC2005" s="16" t="n">
        <x:v>0</x:v>
      </x:c>
      <x:c r="AD2005" s="21" t="n">
        <x:f>IF(E2005="",MEDIAN($E$2:$E$2237),E2005)</x:f>
        <x:v>63684</x:v>
      </x:c>
      <x:c r="AE2005" s="17" t="n">
        <x:f>2014-B2005</x:f>
        <x:v>44</x:v>
      </x:c>
      <x:c r="AF2005" s="17" t="n">
        <x:f>F2005+G2005</x:f>
        <x:v>1</x:v>
      </x:c>
      <x:c r="AG2005" s="21" t="n">
        <x:f>SUM(J2005:O2005)</x:f>
        <x:v>1464</x:v>
      </x:c>
      <x:c r="AH2005" s="17" t="n">
        <x:f>SUM(Q2005:S2005)</x:f>
        <x:v>20</x:v>
      </x:c>
      <x:c r="AI2005" s="17" t="n">
        <x:f>SUM(U2005:Y2005)</x:f>
        <x:v>0</x:v>
      </x:c>
      <x:c r="AJ2005" s="17" t="str">
        <x:f>IF(AE2005&lt;=34,"≤34",IF(AE2005&lt;=44,"35–44",IF(AE2005&lt;=54,"45–54",IF(AE2005&lt;=64,"55–64","65+"))))</x:f>
        <x:v>35–44</x:v>
      </x:c>
      <x:c r="AK2005" s="17" t="str">
        <x:f>IF(AG2005&gt;=1000,"High Value",IF(AG2005&gt;=300,"Mid Value","Low Value"))</x:f>
        <x:v>High Value</x:v>
      </x:c>
      <x:c r="AL2005" s="17" t="str">
        <x:f>IF(AND(AI2005&gt;=1,I2005&lt;=50),"Priority 1",IF(AND(AG2005&gt;=1000,I2005&lt;=60),"Priority 2",IF(I2005&lt;=30,"Priority 3","Nurture")))</x:f>
        <x:v>Nurture</x:v>
      </x:c>
    </x:row>
    <x:row r="2006">
      <x:c r="A2006" s="16" t="n">
        <x:v>405</x:v>
      </x:c>
      <x:c r="B2006" s="16" t="n">
        <x:v>1964</x:v>
      </x:c>
      <x:c r="C2006" s="16" t="str">
        <x:v>Graduation</x:v>
      </x:c>
      <x:c r="D2006" s="16" t="str">
        <x:v>Divorced</x:v>
      </x:c>
      <x:c r="E2006" s="16" t="n">
        <x:v>41638</x:v>
      </x:c>
      <x:c r="F2006" s="16" t="n">
        <x:v>0</x:v>
      </x:c>
      <x:c r="G2006" s="16" t="n">
        <x:v>1</x:v>
      </x:c>
      <x:c r="H2006" s="16" t="str">
        <x:v>13-02-2013</x:v>
      </x:c>
      <x:c r="I2006" s="16" t="n">
        <x:v>68</x:v>
      </x:c>
      <x:c r="J2006" s="16" t="n">
        <x:v>315</x:v>
      </x:c>
      <x:c r="K2006" s="16" t="n">
        <x:v>0</x:v>
      </x:c>
      <x:c r="L2006" s="16" t="n">
        <x:v>31</x:v>
      </x:c>
      <x:c r="M2006" s="16" t="n">
        <x:v>4</x:v>
      </x:c>
      <x:c r="N2006" s="16" t="n">
        <x:v>0</x:v>
      </x:c>
      <x:c r="O2006" s="16" t="n">
        <x:v>91</x:v>
      </x:c>
      <x:c r="P2006" s="16" t="n">
        <x:v>4</x:v>
      </x:c>
      <x:c r="Q2006" s="16" t="n">
        <x:v>5</x:v>
      </x:c>
      <x:c r="R2006" s="16" t="n">
        <x:v>5</x:v>
      </x:c>
      <x:c r="S2006" s="16" t="n">
        <x:v>3</x:v>
      </x:c>
      <x:c r="T2006" s="16" t="n">
        <x:v>8</x:v>
      </x:c>
      <x:c r="U2006" s="16" t="n">
        <x:v>1</x:v>
      </x:c>
      <x:c r="V2006" s="16" t="n">
        <x:v>0</x:v>
      </x:c>
      <x:c r="W2006" s="16" t="n">
        <x:v>0</x:v>
      </x:c>
      <x:c r="X2006" s="16" t="n">
        <x:v>0</x:v>
      </x:c>
      <x:c r="Y2006" s="16" t="n">
        <x:v>0</x:v>
      </x:c>
      <x:c r="Z2006" s="16" t="n">
        <x:v>0</x:v>
      </x:c>
      <x:c r="AA2006" s="16" t="n">
        <x:v>3</x:v>
      </x:c>
      <x:c r="AB2006" s="16" t="n">
        <x:v>11</x:v>
      </x:c>
      <x:c r="AC2006" s="16" t="n">
        <x:v>0</x:v>
      </x:c>
      <x:c r="AD2006" s="21" t="n">
        <x:f>IF(E2006="",MEDIAN($E$2:$E$2237),E2006)</x:f>
        <x:v>41638</x:v>
      </x:c>
      <x:c r="AE2006" s="17" t="n">
        <x:f>2014-B2006</x:f>
        <x:v>50</x:v>
      </x:c>
      <x:c r="AF2006" s="17" t="n">
        <x:f>F2006+G2006</x:f>
        <x:v>1</x:v>
      </x:c>
      <x:c r="AG2006" s="21" t="n">
        <x:f>SUM(J2006:O2006)</x:f>
        <x:v>441</x:v>
      </x:c>
      <x:c r="AH2006" s="17" t="n">
        <x:f>SUM(Q2006:S2006)</x:f>
        <x:v>13</x:v>
      </x:c>
      <x:c r="AI2006" s="17" t="n">
        <x:f>SUM(U2006:Y2006)</x:f>
        <x:v>1</x:v>
      </x:c>
      <x:c r="AJ2006" s="17" t="str">
        <x:f>IF(AE2006&lt;=34,"≤34",IF(AE2006&lt;=44,"35–44",IF(AE2006&lt;=54,"45–54",IF(AE2006&lt;=64,"55–64","65+"))))</x:f>
        <x:v>45–54</x:v>
      </x:c>
      <x:c r="AK2006" s="17" t="str">
        <x:f>IF(AG2006&gt;=1000,"High Value",IF(AG2006&gt;=300,"Mid Value","Low Value"))</x:f>
        <x:v>Mid Value</x:v>
      </x:c>
      <x:c r="AL2006" s="17" t="str">
        <x:f>IF(AND(AI2006&gt;=1,I2006&lt;=50),"Priority 1",IF(AND(AG2006&gt;=1000,I2006&lt;=60),"Priority 2",IF(I2006&lt;=30,"Priority 3","Nurture")))</x:f>
        <x:v>Nurture</x:v>
      </x:c>
    </x:row>
    <x:row r="2007">
      <x:c r="A2007" s="16" t="n">
        <x:v>6870</x:v>
      </x:c>
      <x:c r="B2007" s="16" t="n">
        <x:v>1959</x:v>
      </x:c>
      <x:c r="C2007" s="16" t="str">
        <x:v>PhD</x:v>
      </x:c>
      <x:c r="D2007" s="16" t="str">
        <x:v>Divorced</x:v>
      </x:c>
      <x:c r="E2007" s="16" t="n">
        <x:v>68805</x:v>
      </x:c>
      <x:c r="F2007" s="16" t="n">
        <x:v>0</x:v>
      </x:c>
      <x:c r="G2007" s="16" t="n">
        <x:v>1</x:v>
      </x:c>
      <x:c r="H2007" s="16" t="str">
        <x:v>17-09-2013</x:v>
      </x:c>
      <x:c r="I2007" s="16" t="n">
        <x:v>73</x:v>
      </x:c>
      <x:c r="J2007" s="16" t="n">
        <x:v>182</x:v>
      </x:c>
      <x:c r="K2007" s="16" t="n">
        <x:v>2</x:v>
      </x:c>
      <x:c r="L2007" s="16" t="n">
        <x:v>49</x:v>
      </x:c>
      <x:c r="M2007" s="16" t="n">
        <x:v>17</x:v>
      </x:c>
      <x:c r="N2007" s="16" t="n">
        <x:v>13</x:v>
      </x:c>
      <x:c r="O2007" s="16" t="n">
        <x:v>20</x:v>
      </x:c>
      <x:c r="P2007" s="16" t="n">
        <x:v>1</x:v>
      </x:c>
      <x:c r="Q2007" s="16" t="n">
        <x:v>3</x:v>
      </x:c>
      <x:c r="R2007" s="16" t="n">
        <x:v>1</x:v>
      </x:c>
      <x:c r="S2007" s="16" t="n">
        <x:v>7</x:v>
      </x:c>
      <x:c r="T2007" s="16" t="n">
        <x:v>2</x:v>
      </x:c>
      <x:c r="U2007" s="16" t="n">
        <x:v>0</x:v>
      </x:c>
      <x:c r="V2007" s="16" t="n">
        <x:v>0</x:v>
      </x:c>
      <x:c r="W2007" s="16" t="n">
        <x:v>0</x:v>
      </x:c>
      <x:c r="X2007" s="16" t="n">
        <x:v>0</x:v>
      </x:c>
      <x:c r="Y2007" s="16" t="n">
        <x:v>0</x:v>
      </x:c>
      <x:c r="Z2007" s="16" t="n">
        <x:v>0</x:v>
      </x:c>
      <x:c r="AA2007" s="16" t="n">
        <x:v>3</x:v>
      </x:c>
      <x:c r="AB2007" s="16" t="n">
        <x:v>11</x:v>
      </x:c>
      <x:c r="AC2007" s="16" t="n">
        <x:v>0</x:v>
      </x:c>
      <x:c r="AD2007" s="21" t="n">
        <x:f>IF(E2007="",MEDIAN($E$2:$E$2237),E2007)</x:f>
        <x:v>68805</x:v>
      </x:c>
      <x:c r="AE2007" s="17" t="n">
        <x:f>2014-B2007</x:f>
        <x:v>55</x:v>
      </x:c>
      <x:c r="AF2007" s="17" t="n">
        <x:f>F2007+G2007</x:f>
        <x:v>1</x:v>
      </x:c>
      <x:c r="AG2007" s="21" t="n">
        <x:f>SUM(J2007:O2007)</x:f>
        <x:v>283</x:v>
      </x:c>
      <x:c r="AH2007" s="17" t="n">
        <x:f>SUM(Q2007:S2007)</x:f>
        <x:v>11</x:v>
      </x:c>
      <x:c r="AI2007" s="17" t="n">
        <x:f>SUM(U2007:Y2007)</x:f>
        <x:v>0</x:v>
      </x:c>
      <x:c r="AJ2007" s="17" t="str">
        <x:f>IF(AE2007&lt;=34,"≤34",IF(AE2007&lt;=44,"35–44",IF(AE2007&lt;=54,"45–54",IF(AE2007&lt;=64,"55–64","65+"))))</x:f>
        <x:v>55–64</x:v>
      </x:c>
      <x:c r="AK2007" s="17" t="str">
        <x:f>IF(AG2007&gt;=1000,"High Value",IF(AG2007&gt;=300,"Mid Value","Low Value"))</x:f>
        <x:v>Low Value</x:v>
      </x:c>
      <x:c r="AL2007" s="17" t="str">
        <x:f>IF(AND(AI2007&gt;=1,I2007&lt;=50),"Priority 1",IF(AND(AG2007&gt;=1000,I2007&lt;=60),"Priority 2",IF(I2007&lt;=30,"Priority 3","Nurture")))</x:f>
        <x:v>Nurture</x:v>
      </x:c>
    </x:row>
    <x:row r="2008">
      <x:c r="A2008" s="16" t="n">
        <x:v>832</x:v>
      </x:c>
      <x:c r="B2008" s="16" t="n">
        <x:v>1966</x:v>
      </x:c>
      <x:c r="C2008" s="16" t="str">
        <x:v>PhD</x:v>
      </x:c>
      <x:c r="D2008" s="16" t="str">
        <x:v>Together</x:v>
      </x:c>
      <x:c r="E2008" s="16" t="n">
        <x:v>65814</x:v>
      </x:c>
      <x:c r="F2008" s="16" t="n">
        <x:v>0</x:v>
      </x:c>
      <x:c r="G2008" s="16" t="n">
        <x:v>1</x:v>
      </x:c>
      <x:c r="H2008" s="16" t="str">
        <x:v>02-03-2014</x:v>
      </x:c>
      <x:c r="I2008" s="16" t="n">
        <x:v>90</x:v>
      </x:c>
      <x:c r="J2008" s="16" t="n">
        <x:v>561</x:v>
      </x:c>
      <x:c r="K2008" s="16" t="n">
        <x:v>14</x:v>
      </x:c>
      <x:c r="L2008" s="16" t="n">
        <x:v>113</x:v>
      </x:c>
      <x:c r="M2008" s="16" t="n">
        <x:v>10</x:v>
      </x:c>
      <x:c r="N2008" s="16" t="n">
        <x:v>14</x:v>
      </x:c>
      <x:c r="O2008" s="16" t="n">
        <x:v>35</x:v>
      </x:c>
      <x:c r="P2008" s="16" t="n">
        <x:v>3</x:v>
      </x:c>
      <x:c r="Q2008" s="16" t="n">
        <x:v>8</x:v>
      </x:c>
      <x:c r="R2008" s="16" t="n">
        <x:v>2</x:v>
      </x:c>
      <x:c r="S2008" s="16" t="n">
        <x:v>10</x:v>
      </x:c>
      <x:c r="T2008" s="16" t="n">
        <x:v>5</x:v>
      </x:c>
      <x:c r="U2008" s="16" t="n">
        <x:v>0</x:v>
      </x:c>
      <x:c r="V2008" s="16" t="n">
        <x:v>0</x:v>
      </x:c>
      <x:c r="W2008" s="16" t="n">
        <x:v>0</x:v>
      </x:c>
      <x:c r="X2008" s="16" t="n">
        <x:v>0</x:v>
      </x:c>
      <x:c r="Y2008" s="16" t="n">
        <x:v>0</x:v>
      </x:c>
      <x:c r="Z2008" s="16" t="n">
        <x:v>0</x:v>
      </x:c>
      <x:c r="AA2008" s="16" t="n">
        <x:v>3</x:v>
      </x:c>
      <x:c r="AB2008" s="16" t="n">
        <x:v>11</x:v>
      </x:c>
      <x:c r="AC2008" s="16" t="n">
        <x:v>0</x:v>
      </x:c>
      <x:c r="AD2008" s="21" t="n">
        <x:f>IF(E2008="",MEDIAN($E$2:$E$2237),E2008)</x:f>
        <x:v>65814</x:v>
      </x:c>
      <x:c r="AE2008" s="17" t="n">
        <x:f>2014-B2008</x:f>
        <x:v>48</x:v>
      </x:c>
      <x:c r="AF2008" s="17" t="n">
        <x:f>F2008+G2008</x:f>
        <x:v>1</x:v>
      </x:c>
      <x:c r="AG2008" s="21" t="n">
        <x:f>SUM(J2008:O2008)</x:f>
        <x:v>747</x:v>
      </x:c>
      <x:c r="AH2008" s="17" t="n">
        <x:f>SUM(Q2008:S2008)</x:f>
        <x:v>20</x:v>
      </x:c>
      <x:c r="AI2008" s="17" t="n">
        <x:f>SUM(U2008:Y2008)</x:f>
        <x:v>0</x:v>
      </x:c>
      <x:c r="AJ2008" s="17" t="str">
        <x:f>IF(AE2008&lt;=34,"≤34",IF(AE2008&lt;=44,"35–44",IF(AE2008&lt;=54,"45–54",IF(AE2008&lt;=64,"55–64","65+"))))</x:f>
        <x:v>45–54</x:v>
      </x:c>
      <x:c r="AK2008" s="17" t="str">
        <x:f>IF(AG2008&gt;=1000,"High Value",IF(AG2008&gt;=300,"Mid Value","Low Value"))</x:f>
        <x:v>Mid Value</x:v>
      </x:c>
      <x:c r="AL2008" s="17" t="str">
        <x:f>IF(AND(AI2008&gt;=1,I2008&lt;=50),"Priority 1",IF(AND(AG2008&gt;=1000,I2008&lt;=60),"Priority 2",IF(I2008&lt;=30,"Priority 3","Nurture")))</x:f>
        <x:v>Nurture</x:v>
      </x:c>
    </x:row>
    <x:row r="2009">
      <x:c r="A2009" s="16" t="n">
        <x:v>2002</x:v>
      </x:c>
      <x:c r="B2009" s="16" t="n">
        <x:v>1958</x:v>
      </x:c>
      <x:c r="C2009" s="16" t="str">
        <x:v>Graduation</x:v>
      </x:c>
      <x:c r="D2009" s="16" t="str">
        <x:v>Divorced</x:v>
      </x:c>
      <x:c r="E2009" s="16" t="n">
        <x:v>71964</x:v>
      </x:c>
      <x:c r="F2009" s="16" t="n">
        <x:v>0</x:v>
      </x:c>
      <x:c r="G2009" s="16" t="n">
        <x:v>0</x:v>
      </x:c>
      <x:c r="H2009" s="16" t="str">
        <x:v>20-05-2013</x:v>
      </x:c>
      <x:c r="I2009" s="16" t="n">
        <x:v>81</x:v>
      </x:c>
      <x:c r="J2009" s="16" t="n">
        <x:v>587</x:v>
      </x:c>
      <x:c r="K2009" s="16" t="n">
        <x:v>51</x:v>
      </x:c>
      <x:c r="L2009" s="16" t="n">
        <x:v>932</x:v>
      </x:c>
      <x:c r="M2009" s="16" t="n">
        <x:v>180</x:v>
      </x:c>
      <x:c r="N2009" s="16" t="n">
        <x:v>34</x:v>
      </x:c>
      <x:c r="O2009" s="16" t="n">
        <x:v>86</x:v>
      </x:c>
      <x:c r="P2009" s="16" t="n">
        <x:v>1</x:v>
      </x:c>
      <x:c r="Q2009" s="16" t="n">
        <x:v>5</x:v>
      </x:c>
      <x:c r="R2009" s="16" t="n">
        <x:v>6</x:v>
      </x:c>
      <x:c r="S2009" s="16" t="n">
        <x:v>5</x:v>
      </x:c>
      <x:c r="T2009" s="16" t="n">
        <x:v>3</x:v>
      </x:c>
      <x:c r="U2009" s="16" t="n">
        <x:v>0</x:v>
      </x:c>
      <x:c r="V2009" s="16" t="n">
        <x:v>0</x:v>
      </x:c>
      <x:c r="W2009" s="16" t="n">
        <x:v>0</x:v>
      </x:c>
      <x:c r="X2009" s="16" t="n">
        <x:v>0</x:v>
      </x:c>
      <x:c r="Y2009" s="16" t="n">
        <x:v>0</x:v>
      </x:c>
      <x:c r="Z2009" s="16" t="n">
        <x:v>0</x:v>
      </x:c>
      <x:c r="AA2009" s="16" t="n">
        <x:v>3</x:v>
      </x:c>
      <x:c r="AB2009" s="16" t="n">
        <x:v>11</x:v>
      </x:c>
      <x:c r="AC2009" s="16" t="n">
        <x:v>0</x:v>
      </x:c>
      <x:c r="AD2009" s="21" t="n">
        <x:f>IF(E2009="",MEDIAN($E$2:$E$2237),E2009)</x:f>
        <x:v>71964</x:v>
      </x:c>
      <x:c r="AE2009" s="17" t="n">
        <x:f>2014-B2009</x:f>
        <x:v>56</x:v>
      </x:c>
      <x:c r="AF2009" s="17" t="n">
        <x:f>F2009+G2009</x:f>
        <x:v>0</x:v>
      </x:c>
      <x:c r="AG2009" s="21" t="n">
        <x:f>SUM(J2009:O2009)</x:f>
        <x:v>1870</x:v>
      </x:c>
      <x:c r="AH2009" s="17" t="n">
        <x:f>SUM(Q2009:S2009)</x:f>
        <x:v>16</x:v>
      </x:c>
      <x:c r="AI2009" s="17" t="n">
        <x:f>SUM(U2009:Y2009)</x:f>
        <x:v>0</x:v>
      </x:c>
      <x:c r="AJ2009" s="17" t="str">
        <x:f>IF(AE2009&lt;=34,"≤34",IF(AE2009&lt;=44,"35–44",IF(AE2009&lt;=54,"45–54",IF(AE2009&lt;=64,"55–64","65+"))))</x:f>
        <x:v>55–64</x:v>
      </x:c>
      <x:c r="AK2009" s="17" t="str">
        <x:f>IF(AG2009&gt;=1000,"High Value",IF(AG2009&gt;=300,"Mid Value","Low Value"))</x:f>
        <x:v>High Value</x:v>
      </x:c>
      <x:c r="AL2009" s="17" t="str">
        <x:f>IF(AND(AI2009&gt;=1,I2009&lt;=50),"Priority 1",IF(AND(AG2009&gt;=1000,I2009&lt;=60),"Priority 2",IF(I2009&lt;=30,"Priority 3","Nurture")))</x:f>
        <x:v>Nurture</x:v>
      </x:c>
    </x:row>
    <x:row r="2010">
      <x:c r="A2010" s="16" t="n">
        <x:v>3657</x:v>
      </x:c>
      <x:c r="B2010" s="16" t="n">
        <x:v>1986</x:v>
      </x:c>
      <x:c r="C2010" s="16" t="str">
        <x:v>Graduation</x:v>
      </x:c>
      <x:c r="D2010" s="16" t="str">
        <x:v>Single</x:v>
      </x:c>
      <x:c r="E2010" s="16" t="n">
        <x:v>39146</x:v>
      </x:c>
      <x:c r="F2010" s="16" t="n">
        <x:v>1</x:v>
      </x:c>
      <x:c r="G2010" s="16" t="n">
        <x:v>0</x:v>
      </x:c>
      <x:c r="H2010" s="16" t="str">
        <x:v>14-02-2013</x:v>
      </x:c>
      <x:c r="I2010" s="16" t="n">
        <x:v>1</x:v>
      </x:c>
      <x:c r="J2010" s="16" t="n">
        <x:v>94</x:v>
      </x:c>
      <x:c r="K2010" s="16" t="n">
        <x:v>1</x:v>
      </x:c>
      <x:c r="L2010" s="16" t="n">
        <x:v>33</x:v>
      </x:c>
      <x:c r="M2010" s="16" t="n">
        <x:v>13</x:v>
      </x:c>
      <x:c r="N2010" s="16" t="n">
        <x:v>12</x:v>
      </x:c>
      <x:c r="O2010" s="16" t="n">
        <x:v>12</x:v>
      </x:c>
      <x:c r="P2010" s="16" t="n">
        <x:v>3</x:v>
      </x:c>
      <x:c r="Q2010" s="16" t="n">
        <x:v>4</x:v>
      </x:c>
      <x:c r="R2010" s="16" t="n">
        <x:v>0</x:v>
      </x:c>
      <x:c r="S2010" s="16" t="n">
        <x:v>4</x:v>
      </x:c>
      <x:c r="T2010" s="16" t="n">
        <x:v>8</x:v>
      </x:c>
      <x:c r="U2010" s="16" t="n">
        <x:v>0</x:v>
      </x:c>
      <x:c r="V2010" s="16" t="n">
        <x:v>0</x:v>
      </x:c>
      <x:c r="W2010" s="16" t="n">
        <x:v>0</x:v>
      </x:c>
      <x:c r="X2010" s="16" t="n">
        <x:v>0</x:v>
      </x:c>
      <x:c r="Y2010" s="16" t="n">
        <x:v>0</x:v>
      </x:c>
      <x:c r="Z2010" s="16" t="n">
        <x:v>0</x:v>
      </x:c>
      <x:c r="AA2010" s="16" t="n">
        <x:v>3</x:v>
      </x:c>
      <x:c r="AB2010" s="16" t="n">
        <x:v>11</x:v>
      </x:c>
      <x:c r="AC2010" s="16" t="n">
        <x:v>0</x:v>
      </x:c>
      <x:c r="AD2010" s="21" t="n">
        <x:f>IF(E2010="",MEDIAN($E$2:$E$2237),E2010)</x:f>
        <x:v>39146</x:v>
      </x:c>
      <x:c r="AE2010" s="17" t="n">
        <x:f>2014-B2010</x:f>
        <x:v>28</x:v>
      </x:c>
      <x:c r="AF2010" s="17" t="n">
        <x:f>F2010+G2010</x:f>
        <x:v>1</x:v>
      </x:c>
      <x:c r="AG2010" s="21" t="n">
        <x:f>SUM(J2010:O2010)</x:f>
        <x:v>165</x:v>
      </x:c>
      <x:c r="AH2010" s="17" t="n">
        <x:f>SUM(Q2010:S2010)</x:f>
        <x:v>8</x:v>
      </x:c>
      <x:c r="AI2010" s="17" t="n">
        <x:f>SUM(U2010:Y2010)</x:f>
        <x:v>0</x:v>
      </x:c>
      <x:c r="AJ2010" s="17" t="str">
        <x:f>IF(AE2010&lt;=34,"≤34",IF(AE2010&lt;=44,"35–44",IF(AE2010&lt;=54,"45–54",IF(AE2010&lt;=64,"55–64","65+"))))</x:f>
        <x:v>≤34</x:v>
      </x:c>
      <x:c r="AK2010" s="17" t="str">
        <x:f>IF(AG2010&gt;=1000,"High Value",IF(AG2010&gt;=300,"Mid Value","Low Value"))</x:f>
        <x:v>Low Value</x:v>
      </x:c>
      <x:c r="AL2010" s="17" t="str">
        <x:f>IF(AND(AI2010&gt;=1,I2010&lt;=50),"Priority 1",IF(AND(AG2010&gt;=1000,I2010&lt;=60),"Priority 2",IF(I2010&lt;=30,"Priority 3","Nurture")))</x:f>
        <x:v>Priority 3</x:v>
      </x:c>
    </x:row>
    <x:row r="2011">
      <x:c r="A2011" s="16" t="n">
        <x:v>500</x:v>
      </x:c>
      <x:c r="B2011" s="16" t="n">
        <x:v>1977</x:v>
      </x:c>
      <x:c r="C2011" s="16" t="str">
        <x:v>Graduation</x:v>
      </x:c>
      <x:c r="D2011" s="16" t="str">
        <x:v>Together</x:v>
      </x:c>
      <x:c r="E2011" s="16" t="n">
        <x:v>96876</x:v>
      </x:c>
      <x:c r="F2011" s="16" t="n">
        <x:v>0</x:v>
      </x:c>
      <x:c r="G2011" s="16" t="n">
        <x:v>0</x:v>
      </x:c>
      <x:c r="H2011" s="16" t="str">
        <x:v>06-08-2013</x:v>
      </x:c>
      <x:c r="I2011" s="16" t="n">
        <x:v>79</x:v>
      </x:c>
      <x:c r="J2011" s="16" t="n">
        <x:v>908</x:v>
      </x:c>
      <x:c r="K2011" s="16" t="n">
        <x:v>43</x:v>
      </x:c>
      <x:c r="L2011" s="16" t="n">
        <x:v>735</x:v>
      </x:c>
      <x:c r="M2011" s="16" t="n">
        <x:v>40</x:v>
      </x:c>
      <x:c r="N2011" s="16" t="n">
        <x:v>194</x:v>
      </x:c>
      <x:c r="O2011" s="16" t="n">
        <x:v>21</x:v>
      </x:c>
      <x:c r="P2011" s="16" t="n">
        <x:v>1</x:v>
      </x:c>
      <x:c r="Q2011" s="16" t="n">
        <x:v>7</x:v>
      </x:c>
      <x:c r="R2011" s="16" t="n">
        <x:v>7</x:v>
      </x:c>
      <x:c r="S2011" s="16" t="n">
        <x:v>9</x:v>
      </x:c>
      <x:c r="T2011" s="16" t="n">
        <x:v>2</x:v>
      </x:c>
      <x:c r="U2011" s="16" t="n">
        <x:v>0</x:v>
      </x:c>
      <x:c r="V2011" s="16" t="n">
        <x:v>1</x:v>
      </x:c>
      <x:c r="W2011" s="16" t="n">
        <x:v>1</x:v>
      </x:c>
      <x:c r="X2011" s="16" t="n">
        <x:v>1</x:v>
      </x:c>
      <x:c r="Y2011" s="16" t="n">
        <x:v>0</x:v>
      </x:c>
      <x:c r="Z2011" s="16" t="n">
        <x:v>0</x:v>
      </x:c>
      <x:c r="AA2011" s="16" t="n">
        <x:v>3</x:v>
      </x:c>
      <x:c r="AB2011" s="16" t="n">
        <x:v>11</x:v>
      </x:c>
      <x:c r="AC2011" s="16" t="n">
        <x:v>1</x:v>
      </x:c>
      <x:c r="AD2011" s="21" t="n">
        <x:f>IF(E2011="",MEDIAN($E$2:$E$2237),E2011)</x:f>
        <x:v>96876</x:v>
      </x:c>
      <x:c r="AE2011" s="17" t="n">
        <x:f>2014-B2011</x:f>
        <x:v>37</x:v>
      </x:c>
      <x:c r="AF2011" s="17" t="n">
        <x:f>F2011+G2011</x:f>
        <x:v>0</x:v>
      </x:c>
      <x:c r="AG2011" s="21" t="n">
        <x:f>SUM(J2011:O2011)</x:f>
        <x:v>1941</x:v>
      </x:c>
      <x:c r="AH2011" s="17" t="n">
        <x:f>SUM(Q2011:S2011)</x:f>
        <x:v>23</x:v>
      </x:c>
      <x:c r="AI2011" s="17" t="n">
        <x:f>SUM(U2011:Y2011)</x:f>
        <x:v>3</x:v>
      </x:c>
      <x:c r="AJ2011" s="17" t="str">
        <x:f>IF(AE2011&lt;=34,"≤34",IF(AE2011&lt;=44,"35–44",IF(AE2011&lt;=54,"45–54",IF(AE2011&lt;=64,"55–64","65+"))))</x:f>
        <x:v>35–44</x:v>
      </x:c>
      <x:c r="AK2011" s="17" t="str">
        <x:f>IF(AG2011&gt;=1000,"High Value",IF(AG2011&gt;=300,"Mid Value","Low Value"))</x:f>
        <x:v>High Value</x:v>
      </x:c>
      <x:c r="AL2011" s="17" t="str">
        <x:f>IF(AND(AI2011&gt;=1,I2011&lt;=50),"Priority 1",IF(AND(AG2011&gt;=1000,I2011&lt;=60),"Priority 2",IF(I2011&lt;=30,"Priority 3","Nurture")))</x:f>
        <x:v>Nurture</x:v>
      </x:c>
    </x:row>
    <x:row r="2012">
      <x:c r="A2012" s="16" t="n">
        <x:v>1951</x:v>
      </x:c>
      <x:c r="B2012" s="16" t="n">
        <x:v>1981</x:v>
      </x:c>
      <x:c r="C2012" s="16" t="str">
        <x:v>Basic</x:v>
      </x:c>
      <x:c r="D2012" s="16" t="str">
        <x:v>Married</x:v>
      </x:c>
      <x:c r="E2012" s="16" t="n">
        <x:v>34445</x:v>
      </x:c>
      <x:c r="F2012" s="16" t="n">
        <x:v>0</x:v>
      </x:c>
      <x:c r="G2012" s="16" t="n">
        <x:v>0</x:v>
      </x:c>
      <x:c r="H2012" s="16" t="str">
        <x:v>27-01-2013</x:v>
      </x:c>
      <x:c r="I2012" s="16" t="n">
        <x:v>92</x:v>
      </x:c>
      <x:c r="J2012" s="16" t="n">
        <x:v>228</x:v>
      </x:c>
      <x:c r="K2012" s="16" t="n">
        <x:v>122</x:v>
      </x:c>
      <x:c r="L2012" s="16" t="n">
        <x:v>122</x:v>
      </x:c>
      <x:c r="M2012" s="16" t="n">
        <x:v>208</x:v>
      </x:c>
      <x:c r="N2012" s="16" t="n">
        <x:v>129</x:v>
      </x:c>
      <x:c r="O2012" s="16" t="n">
        <x:v>30</x:v>
      </x:c>
      <x:c r="P2012" s="16" t="n">
        <x:v>6</x:v>
      </x:c>
      <x:c r="Q2012" s="16" t="n">
        <x:v>11</x:v>
      </x:c>
      <x:c r="R2012" s="16" t="n">
        <x:v>2</x:v>
      </x:c>
      <x:c r="S2012" s="16" t="n">
        <x:v>8</x:v>
      </x:c>
      <x:c r="T2012" s="16" t="n">
        <x:v>9</x:v>
      </x:c>
      <x:c r="U2012" s="16" t="n">
        <x:v>0</x:v>
      </x:c>
      <x:c r="V2012" s="16" t="n">
        <x:v>0</x:v>
      </x:c>
      <x:c r="W2012" s="16" t="n">
        <x:v>0</x:v>
      </x:c>
      <x:c r="X2012" s="16" t="n">
        <x:v>0</x:v>
      </x:c>
      <x:c r="Y2012" s="16" t="n">
        <x:v>0</x:v>
      </x:c>
      <x:c r="Z2012" s="16" t="n">
        <x:v>0</x:v>
      </x:c>
      <x:c r="AA2012" s="16" t="n">
        <x:v>3</x:v>
      </x:c>
      <x:c r="AB2012" s="16" t="n">
        <x:v>11</x:v>
      </x:c>
      <x:c r="AC2012" s="16" t="n">
        <x:v>0</x:v>
      </x:c>
      <x:c r="AD2012" s="21" t="n">
        <x:f>IF(E2012="",MEDIAN($E$2:$E$2237),E2012)</x:f>
        <x:v>34445</x:v>
      </x:c>
      <x:c r="AE2012" s="17" t="n">
        <x:f>2014-B2012</x:f>
        <x:v>33</x:v>
      </x:c>
      <x:c r="AF2012" s="17" t="n">
        <x:f>F2012+G2012</x:f>
        <x:v>0</x:v>
      </x:c>
      <x:c r="AG2012" s="21" t="n">
        <x:f>SUM(J2012:O2012)</x:f>
        <x:v>839</x:v>
      </x:c>
      <x:c r="AH2012" s="17" t="n">
        <x:f>SUM(Q2012:S2012)</x:f>
        <x:v>21</x:v>
      </x:c>
      <x:c r="AI2012" s="17" t="n">
        <x:f>SUM(U2012:Y2012)</x:f>
        <x:v>0</x:v>
      </x:c>
      <x:c r="AJ2012" s="17" t="str">
        <x:f>IF(AE2012&lt;=34,"≤34",IF(AE2012&lt;=44,"35–44",IF(AE2012&lt;=54,"45–54",IF(AE2012&lt;=64,"55–64","65+"))))</x:f>
        <x:v>≤34</x:v>
      </x:c>
      <x:c r="AK2012" s="17" t="str">
        <x:f>IF(AG2012&gt;=1000,"High Value",IF(AG2012&gt;=300,"Mid Value","Low Value"))</x:f>
        <x:v>Mid Value</x:v>
      </x:c>
      <x:c r="AL2012" s="17" t="str">
        <x:f>IF(AND(AI2012&gt;=1,I2012&lt;=50),"Priority 1",IF(AND(AG2012&gt;=1000,I2012&lt;=60),"Priority 2",IF(I2012&lt;=30,"Priority 3","Nurture")))</x:f>
        <x:v>Nurture</x:v>
      </x:c>
    </x:row>
    <x:row r="2013">
      <x:c r="A2013" s="16" t="n">
        <x:v>3262</x:v>
      </x:c>
      <x:c r="B2013" s="16" t="n">
        <x:v>1958</x:v>
      </x:c>
      <x:c r="C2013" s="16" t="str">
        <x:v>Graduation</x:v>
      </x:c>
      <x:c r="D2013" s="16" t="str">
        <x:v>Single</x:v>
      </x:c>
      <x:c r="E2013" s="16" t="n">
        <x:v>68281</x:v>
      </x:c>
      <x:c r="F2013" s="16" t="n">
        <x:v>0</x:v>
      </x:c>
      <x:c r="G2013" s="16" t="n">
        <x:v>0</x:v>
      </x:c>
      <x:c r="H2013" s="16" t="str">
        <x:v>07-08-2012</x:v>
      </x:c>
      <x:c r="I2013" s="16" t="n">
        <x:v>31</x:v>
      </x:c>
      <x:c r="J2013" s="16" t="n">
        <x:v>995</x:v>
      </x:c>
      <x:c r="K2013" s="16" t="n">
        <x:v>112</x:v>
      </x:c>
      <x:c r="L2013" s="16" t="n">
        <x:v>417</x:v>
      </x:c>
      <x:c r="M2013" s="16" t="n">
        <x:v>42</x:v>
      </x:c>
      <x:c r="N2013" s="16" t="n">
        <x:v>48</x:v>
      </x:c>
      <x:c r="O2013" s="16" t="n">
        <x:v>41</x:v>
      </x:c>
      <x:c r="P2013" s="16" t="n">
        <x:v>1</x:v>
      </x:c>
      <x:c r="Q2013" s="16" t="n">
        <x:v>2</x:v>
      </x:c>
      <x:c r="R2013" s="16" t="n">
        <x:v>9</x:v>
      </x:c>
      <x:c r="S2013" s="16" t="n">
        <x:v>13</x:v>
      </x:c>
      <x:c r="T2013" s="16" t="n">
        <x:v>5</x:v>
      </x:c>
      <x:c r="U2013" s="16" t="n">
        <x:v>0</x:v>
      </x:c>
      <x:c r="V2013" s="16" t="n">
        <x:v>0</x:v>
      </x:c>
      <x:c r="W2013" s="16" t="n">
        <x:v>0</x:v>
      </x:c>
      <x:c r="X2013" s="16" t="n">
        <x:v>0</x:v>
      </x:c>
      <x:c r="Y2013" s="16" t="n">
        <x:v>0</x:v>
      </x:c>
      <x:c r="Z2013" s="16" t="n">
        <x:v>0</x:v>
      </x:c>
      <x:c r="AA2013" s="16" t="n">
        <x:v>3</x:v>
      </x:c>
      <x:c r="AB2013" s="16" t="n">
        <x:v>11</x:v>
      </x:c>
      <x:c r="AC2013" s="16" t="n">
        <x:v>1</x:v>
      </x:c>
      <x:c r="AD2013" s="21" t="n">
        <x:f>IF(E2013="",MEDIAN($E$2:$E$2237),E2013)</x:f>
        <x:v>68281</x:v>
      </x:c>
      <x:c r="AE2013" s="17" t="n">
        <x:f>2014-B2013</x:f>
        <x:v>56</x:v>
      </x:c>
      <x:c r="AF2013" s="17" t="n">
        <x:f>F2013+G2013</x:f>
        <x:v>0</x:v>
      </x:c>
      <x:c r="AG2013" s="21" t="n">
        <x:f>SUM(J2013:O2013)</x:f>
        <x:v>1655</x:v>
      </x:c>
      <x:c r="AH2013" s="17" t="n">
        <x:f>SUM(Q2013:S2013)</x:f>
        <x:v>24</x:v>
      </x:c>
      <x:c r="AI2013" s="17" t="n">
        <x:f>SUM(U2013:Y2013)</x:f>
        <x:v>0</x:v>
      </x:c>
      <x:c r="AJ2013" s="17" t="str">
        <x:f>IF(AE2013&lt;=34,"≤34",IF(AE2013&lt;=44,"35–44",IF(AE2013&lt;=54,"45–54",IF(AE2013&lt;=64,"55–64","65+"))))</x:f>
        <x:v>55–64</x:v>
      </x:c>
      <x:c r="AK2013" s="17" t="str">
        <x:f>IF(AG2013&gt;=1000,"High Value",IF(AG2013&gt;=300,"Mid Value","Low Value"))</x:f>
        <x:v>High Value</x:v>
      </x:c>
      <x:c r="AL2013" s="17" t="str">
        <x:f>IF(AND(AI2013&gt;=1,I2013&lt;=50),"Priority 1",IF(AND(AG2013&gt;=1000,I2013&lt;=60),"Priority 2",IF(I2013&lt;=30,"Priority 3","Nurture")))</x:f>
        <x:v>Priority 2</x:v>
      </x:c>
    </x:row>
    <x:row r="2014">
      <x:c r="A2014" s="16" t="n">
        <x:v>4102</x:v>
      </x:c>
      <x:c r="B2014" s="16" t="n">
        <x:v>1975</x:v>
      </x:c>
      <x:c r="C2014" s="16" t="str">
        <x:v>2n Cycle</x:v>
      </x:c>
      <x:c r="D2014" s="16" t="str">
        <x:v>Married</x:v>
      </x:c>
      <x:c r="E2014" s="16" t="n">
        <x:v>37284</x:v>
      </x:c>
      <x:c r="F2014" s="16" t="n">
        <x:v>1</x:v>
      </x:c>
      <x:c r="G2014" s="16" t="n">
        <x:v>1</x:v>
      </x:c>
      <x:c r="H2014" s="16" t="str">
        <x:v>29-03-2013</x:v>
      </x:c>
      <x:c r="I2014" s="16" t="n">
        <x:v>46</x:v>
      </x:c>
      <x:c r="J2014" s="16" t="n">
        <x:v>11</x:v>
      </x:c>
      <x:c r="K2014" s="16" t="n">
        <x:v>1</x:v>
      </x:c>
      <x:c r="L2014" s="16" t="n">
        <x:v>2</x:v>
      </x:c>
      <x:c r="M2014" s="16" t="n">
        <x:v>2</x:v>
      </x:c>
      <x:c r="N2014" s="16" t="n">
        <x:v>1</x:v>
      </x:c>
      <x:c r="O2014" s="16" t="n">
        <x:v>6</x:v>
      </x:c>
      <x:c r="P2014" s="16" t="n">
        <x:v>1</x:v>
      </x:c>
      <x:c r="Q2014" s="16" t="n">
        <x:v>0</x:v>
      </x:c>
      <x:c r="R2014" s="16" t="n">
        <x:v>0</x:v>
      </x:c>
      <x:c r="S2014" s="16" t="n">
        <x:v>3</x:v>
      </x:c>
      <x:c r="T2014" s="16" t="n">
        <x:v>6</x:v>
      </x:c>
      <x:c r="U2014" s="16" t="n">
        <x:v>0</x:v>
      </x:c>
      <x:c r="V2014" s="16" t="n">
        <x:v>0</x:v>
      </x:c>
      <x:c r="W2014" s="16" t="n">
        <x:v>0</x:v>
      </x:c>
      <x:c r="X2014" s="16" t="n">
        <x:v>0</x:v>
      </x:c>
      <x:c r="Y2014" s="16" t="n">
        <x:v>0</x:v>
      </x:c>
      <x:c r="Z2014" s="16" t="n">
        <x:v>0</x:v>
      </x:c>
      <x:c r="AA2014" s="16" t="n">
        <x:v>3</x:v>
      </x:c>
      <x:c r="AB2014" s="16" t="n">
        <x:v>11</x:v>
      </x:c>
      <x:c r="AC2014" s="16" t="n">
        <x:v>0</x:v>
      </x:c>
      <x:c r="AD2014" s="21" t="n">
        <x:f>IF(E2014="",MEDIAN($E$2:$E$2237),E2014)</x:f>
        <x:v>37284</x:v>
      </x:c>
      <x:c r="AE2014" s="17" t="n">
        <x:f>2014-B2014</x:f>
        <x:v>39</x:v>
      </x:c>
      <x:c r="AF2014" s="17" t="n">
        <x:f>F2014+G2014</x:f>
        <x:v>2</x:v>
      </x:c>
      <x:c r="AG2014" s="21" t="n">
        <x:f>SUM(J2014:O2014)</x:f>
        <x:v>23</x:v>
      </x:c>
      <x:c r="AH2014" s="17" t="n">
        <x:f>SUM(Q2014:S2014)</x:f>
        <x:v>3</x:v>
      </x:c>
      <x:c r="AI2014" s="17" t="n">
        <x:f>SUM(U2014:Y2014)</x:f>
        <x:v>0</x:v>
      </x:c>
      <x:c r="AJ2014" s="17" t="str">
        <x:f>IF(AE2014&lt;=34,"≤34",IF(AE2014&lt;=44,"35–44",IF(AE2014&lt;=54,"45–54",IF(AE2014&lt;=64,"55–64","65+"))))</x:f>
        <x:v>35–44</x:v>
      </x:c>
      <x:c r="AK2014" s="17" t="str">
        <x:f>IF(AG2014&gt;=1000,"High Value",IF(AG2014&gt;=300,"Mid Value","Low Value"))</x:f>
        <x:v>Low Value</x:v>
      </x:c>
      <x:c r="AL2014" s="17" t="str">
        <x:f>IF(AND(AI2014&gt;=1,I2014&lt;=50),"Priority 1",IF(AND(AG2014&gt;=1000,I2014&lt;=60),"Priority 2",IF(I2014&lt;=30,"Priority 3","Nurture")))</x:f>
        <x:v>Nurture</x:v>
      </x:c>
    </x:row>
    <x:row r="2015">
      <x:c r="A2015" s="16" t="n">
        <x:v>7042</x:v>
      </x:c>
      <x:c r="B2015" s="16" t="n">
        <x:v>1983</x:v>
      </x:c>
      <x:c r="C2015" s="16" t="str">
        <x:v>Graduation</x:v>
      </x:c>
      <x:c r="D2015" s="16" t="str">
        <x:v>Married</x:v>
      </x:c>
      <x:c r="E2015" s="16" t="n">
        <x:v>36790</x:v>
      </x:c>
      <x:c r="F2015" s="16" t="n">
        <x:v>0</x:v>
      </x:c>
      <x:c r="G2015" s="16" t="n">
        <x:v>0</x:v>
      </x:c>
      <x:c r="H2015" s="16" t="str">
        <x:v>01-03-2013</x:v>
      </x:c>
      <x:c r="I2015" s="16" t="n">
        <x:v>14</x:v>
      </x:c>
      <x:c r="J2015" s="16" t="n">
        <x:v>3</x:v>
      </x:c>
      <x:c r="K2015" s="16" t="n">
        <x:v>3</x:v>
      </x:c>
      <x:c r="L2015" s="16" t="n">
        <x:v>14</x:v>
      </x:c>
      <x:c r="M2015" s="16" t="n">
        <x:v>15</x:v>
      </x:c>
      <x:c r="N2015" s="16" t="n">
        <x:v>21</x:v>
      </x:c>
      <x:c r="O2015" s="16" t="n">
        <x:v>10</x:v>
      </x:c>
      <x:c r="P2015" s="16" t="n">
        <x:v>1</x:v>
      </x:c>
      <x:c r="Q2015" s="16" t="n">
        <x:v>2</x:v>
      </x:c>
      <x:c r="R2015" s="16" t="n">
        <x:v>1</x:v>
      </x:c>
      <x:c r="S2015" s="16" t="n">
        <x:v>2</x:v>
      </x:c>
      <x:c r="T2015" s="16" t="n">
        <x:v>9</x:v>
      </x:c>
      <x:c r="U2015" s="16" t="n">
        <x:v>0</x:v>
      </x:c>
      <x:c r="V2015" s="16" t="n">
        <x:v>0</x:v>
      </x:c>
      <x:c r="W2015" s="16" t="n">
        <x:v>0</x:v>
      </x:c>
      <x:c r="X2015" s="16" t="n">
        <x:v>0</x:v>
      </x:c>
      <x:c r="Y2015" s="16" t="n">
        <x:v>0</x:v>
      </x:c>
      <x:c r="Z2015" s="16" t="n">
        <x:v>0</x:v>
      </x:c>
      <x:c r="AA2015" s="16" t="n">
        <x:v>3</x:v>
      </x:c>
      <x:c r="AB2015" s="16" t="n">
        <x:v>11</x:v>
      </x:c>
      <x:c r="AC2015" s="16" t="n">
        <x:v>1</x:v>
      </x:c>
      <x:c r="AD2015" s="21" t="n">
        <x:f>IF(E2015="",MEDIAN($E$2:$E$2237),E2015)</x:f>
        <x:v>36790</x:v>
      </x:c>
      <x:c r="AE2015" s="17" t="n">
        <x:f>2014-B2015</x:f>
        <x:v>31</x:v>
      </x:c>
      <x:c r="AF2015" s="17" t="n">
        <x:f>F2015+G2015</x:f>
        <x:v>0</x:v>
      </x:c>
      <x:c r="AG2015" s="21" t="n">
        <x:f>SUM(J2015:O2015)</x:f>
        <x:v>66</x:v>
      </x:c>
      <x:c r="AH2015" s="17" t="n">
        <x:f>SUM(Q2015:S2015)</x:f>
        <x:v>5</x:v>
      </x:c>
      <x:c r="AI2015" s="17" t="n">
        <x:f>SUM(U2015:Y2015)</x:f>
        <x:v>0</x:v>
      </x:c>
      <x:c r="AJ2015" s="17" t="str">
        <x:f>IF(AE2015&lt;=34,"≤34",IF(AE2015&lt;=44,"35–44",IF(AE2015&lt;=54,"45–54",IF(AE2015&lt;=64,"55–64","65+"))))</x:f>
        <x:v>≤34</x:v>
      </x:c>
      <x:c r="AK2015" s="17" t="str">
        <x:f>IF(AG2015&gt;=1000,"High Value",IF(AG2015&gt;=300,"Mid Value","Low Value"))</x:f>
        <x:v>Low Value</x:v>
      </x:c>
      <x:c r="AL2015" s="17" t="str">
        <x:f>IF(AND(AI2015&gt;=1,I2015&lt;=50),"Priority 1",IF(AND(AG2015&gt;=1000,I2015&lt;=60),"Priority 2",IF(I2015&lt;=30,"Priority 3","Nurture")))</x:f>
        <x:v>Priority 3</x:v>
      </x:c>
    </x:row>
    <x:row r="2016">
      <x:c r="A2016" s="16" t="n">
        <x:v>10598</x:v>
      </x:c>
      <x:c r="B2016" s="16" t="n">
        <x:v>1967</x:v>
      </x:c>
      <x:c r="C2016" s="16" t="str">
        <x:v>Graduation</x:v>
      </x:c>
      <x:c r="D2016" s="16" t="str">
        <x:v>Together</x:v>
      </x:c>
      <x:c r="E2016" s="16" t="n">
        <x:v>27943</x:v>
      </x:c>
      <x:c r="F2016" s="16" t="n">
        <x:v>1</x:v>
      </x:c>
      <x:c r="G2016" s="16" t="n">
        <x:v>1</x:v>
      </x:c>
      <x:c r="H2016" s="16" t="str">
        <x:v>15-04-2013</x:v>
      </x:c>
      <x:c r="I2016" s="16" t="n">
        <x:v>89</x:v>
      </x:c>
      <x:c r="J2016" s="16" t="n">
        <x:v>12</x:v>
      </x:c>
      <x:c r="K2016" s="16" t="n">
        <x:v>1</x:v>
      </x:c>
      <x:c r="L2016" s="16" t="n">
        <x:v>16</x:v>
      </x:c>
      <x:c r="M2016" s="16" t="n">
        <x:v>4</x:v>
      </x:c>
      <x:c r="N2016" s="16" t="n">
        <x:v>1</x:v>
      </x:c>
      <x:c r="O2016" s="16" t="n">
        <x:v>3</x:v>
      </x:c>
      <x:c r="P2016" s="16" t="n">
        <x:v>3</x:v>
      </x:c>
      <x:c r="Q2016" s="16" t="n">
        <x:v>2</x:v>
      </x:c>
      <x:c r="R2016" s="16" t="n">
        <x:v>0</x:v>
      </x:c>
      <x:c r="S2016" s="16" t="n">
        <x:v>3</x:v>
      </x:c>
      <x:c r="T2016" s="16" t="n">
        <x:v>8</x:v>
      </x:c>
      <x:c r="U2016" s="16" t="n">
        <x:v>0</x:v>
      </x:c>
      <x:c r="V2016" s="16" t="n">
        <x:v>0</x:v>
      </x:c>
      <x:c r="W2016" s="16" t="n">
        <x:v>0</x:v>
      </x:c>
      <x:c r="X2016" s="16" t="n">
        <x:v>0</x:v>
      </x:c>
      <x:c r="Y2016" s="16" t="n">
        <x:v>0</x:v>
      </x:c>
      <x:c r="Z2016" s="16" t="n">
        <x:v>0</x:v>
      </x:c>
      <x:c r="AA2016" s="16" t="n">
        <x:v>3</x:v>
      </x:c>
      <x:c r="AB2016" s="16" t="n">
        <x:v>11</x:v>
      </x:c>
      <x:c r="AC2016" s="16" t="n">
        <x:v>0</x:v>
      </x:c>
      <x:c r="AD2016" s="21" t="n">
        <x:f>IF(E2016="",MEDIAN($E$2:$E$2237),E2016)</x:f>
        <x:v>27943</x:v>
      </x:c>
      <x:c r="AE2016" s="17" t="n">
        <x:f>2014-B2016</x:f>
        <x:v>47</x:v>
      </x:c>
      <x:c r="AF2016" s="17" t="n">
        <x:f>F2016+G2016</x:f>
        <x:v>2</x:v>
      </x:c>
      <x:c r="AG2016" s="21" t="n">
        <x:f>SUM(J2016:O2016)</x:f>
        <x:v>37</x:v>
      </x:c>
      <x:c r="AH2016" s="17" t="n">
        <x:f>SUM(Q2016:S2016)</x:f>
        <x:v>5</x:v>
      </x:c>
      <x:c r="AI2016" s="17" t="n">
        <x:f>SUM(U2016:Y2016)</x:f>
        <x:v>0</x:v>
      </x:c>
      <x:c r="AJ2016" s="17" t="str">
        <x:f>IF(AE2016&lt;=34,"≤34",IF(AE2016&lt;=44,"35–44",IF(AE2016&lt;=54,"45–54",IF(AE2016&lt;=64,"55–64","65+"))))</x:f>
        <x:v>45–54</x:v>
      </x:c>
      <x:c r="AK2016" s="17" t="str">
        <x:f>IF(AG2016&gt;=1000,"High Value",IF(AG2016&gt;=300,"Mid Value","Low Value"))</x:f>
        <x:v>Low Value</x:v>
      </x:c>
      <x:c r="AL2016" s="17" t="str">
        <x:f>IF(AND(AI2016&gt;=1,I2016&lt;=50),"Priority 1",IF(AND(AG2016&gt;=1000,I2016&lt;=60),"Priority 2",IF(I2016&lt;=30,"Priority 3","Nurture")))</x:f>
        <x:v>Nurture</x:v>
      </x:c>
    </x:row>
    <x:row r="2017">
      <x:c r="A2017" s="16" t="n">
        <x:v>255</x:v>
      </x:c>
      <x:c r="B2017" s="16" t="n">
        <x:v>1951</x:v>
      </x:c>
      <x:c r="C2017" s="16" t="str">
        <x:v>Graduation</x:v>
      </x:c>
      <x:c r="D2017" s="16" t="str">
        <x:v>Divorced</x:v>
      </x:c>
      <x:c r="E2017" s="16" t="n">
        <x:v>22263</x:v>
      </x:c>
      <x:c r="F2017" s="16" t="n">
        <x:v>1</x:v>
      </x:c>
      <x:c r="G2017" s="16" t="n">
        <x:v>1</x:v>
      </x:c>
      <x:c r="H2017" s="16" t="str">
        <x:v>30-03-2014</x:v>
      </x:c>
      <x:c r="I2017" s="16" t="n">
        <x:v>31</x:v>
      </x:c>
      <x:c r="J2017" s="16" t="n">
        <x:v>17</x:v>
      </x:c>
      <x:c r="K2017" s="16" t="n">
        <x:v>0</x:v>
      </x:c>
      <x:c r="L2017" s="16" t="n">
        <x:v>2</x:v>
      </x:c>
      <x:c r="M2017" s="16" t="n">
        <x:v>0</x:v>
      </x:c>
      <x:c r="N2017" s="16" t="n">
        <x:v>0</x:v>
      </x:c>
      <x:c r="O2017" s="16" t="n">
        <x:v>2</x:v>
      </x:c>
      <x:c r="P2017" s="16" t="n">
        <x:v>2</x:v>
      </x:c>
      <x:c r="Q2017" s="16" t="n">
        <x:v>1</x:v>
      </x:c>
      <x:c r="R2017" s="16" t="n">
        <x:v>0</x:v>
      </x:c>
      <x:c r="S2017" s="16" t="n">
        <x:v>3</x:v>
      </x:c>
      <x:c r="T2017" s="16" t="n">
        <x:v>6</x:v>
      </x:c>
      <x:c r="U2017" s="16" t="n">
        <x:v>0</x:v>
      </x:c>
      <x:c r="V2017" s="16" t="n">
        <x:v>0</x:v>
      </x:c>
      <x:c r="W2017" s="16" t="n">
        <x:v>0</x:v>
      </x:c>
      <x:c r="X2017" s="16" t="n">
        <x:v>0</x:v>
      </x:c>
      <x:c r="Y2017" s="16" t="n">
        <x:v>0</x:v>
      </x:c>
      <x:c r="Z2017" s="16" t="n">
        <x:v>1</x:v>
      </x:c>
      <x:c r="AA2017" s="16" t="n">
        <x:v>3</x:v>
      </x:c>
      <x:c r="AB2017" s="16" t="n">
        <x:v>11</x:v>
      </x:c>
      <x:c r="AC2017" s="16" t="n">
        <x:v>0</x:v>
      </x:c>
      <x:c r="AD2017" s="21" t="n">
        <x:f>IF(E2017="",MEDIAN($E$2:$E$2237),E2017)</x:f>
        <x:v>22263</x:v>
      </x:c>
      <x:c r="AE2017" s="17" t="n">
        <x:f>2014-B2017</x:f>
        <x:v>63</x:v>
      </x:c>
      <x:c r="AF2017" s="17" t="n">
        <x:f>F2017+G2017</x:f>
        <x:v>2</x:v>
      </x:c>
      <x:c r="AG2017" s="21" t="n">
        <x:f>SUM(J2017:O2017)</x:f>
        <x:v>21</x:v>
      </x:c>
      <x:c r="AH2017" s="17" t="n">
        <x:f>SUM(Q2017:S2017)</x:f>
        <x:v>4</x:v>
      </x:c>
      <x:c r="AI2017" s="17" t="n">
        <x:f>SUM(U2017:Y2017)</x:f>
        <x:v>0</x:v>
      </x:c>
      <x:c r="AJ2017" s="17" t="str">
        <x:f>IF(AE2017&lt;=34,"≤34",IF(AE2017&lt;=44,"35–44",IF(AE2017&lt;=54,"45–54",IF(AE2017&lt;=64,"55–64","65+"))))</x:f>
        <x:v>55–64</x:v>
      </x:c>
      <x:c r="AK2017" s="17" t="str">
        <x:f>IF(AG2017&gt;=1000,"High Value",IF(AG2017&gt;=300,"Mid Value","Low Value"))</x:f>
        <x:v>Low Value</x:v>
      </x:c>
      <x:c r="AL2017" s="17" t="str">
        <x:f>IF(AND(AI2017&gt;=1,I2017&lt;=50),"Priority 1",IF(AND(AG2017&gt;=1000,I2017&lt;=60),"Priority 2",IF(I2017&lt;=30,"Priority 3","Nurture")))</x:f>
        <x:v>Nurture</x:v>
      </x:c>
    </x:row>
    <x:row r="2018">
      <x:c r="A2018" s="16" t="n">
        <x:v>2375</x:v>
      </x:c>
      <x:c r="B2018" s="16" t="n">
        <x:v>1972</x:v>
      </x:c>
      <x:c r="C2018" s="16" t="str">
        <x:v>Graduation</x:v>
      </x:c>
      <x:c r="D2018" s="16" t="str">
        <x:v>Together</x:v>
      </x:c>
      <x:c r="E2018" s="16" t="n">
        <x:v>30261</x:v>
      </x:c>
      <x:c r="F2018" s="16" t="n">
        <x:v>1</x:v>
      </x:c>
      <x:c r="G2018" s="16" t="n">
        <x:v>2</x:v>
      </x:c>
      <x:c r="H2018" s="16" t="str">
        <x:v>25-09-2012</x:v>
      </x:c>
      <x:c r="I2018" s="16" t="n">
        <x:v>75</x:v>
      </x:c>
      <x:c r="J2018" s="16" t="n">
        <x:v>8</x:v>
      </x:c>
      <x:c r="K2018" s="16" t="n">
        <x:v>0</x:v>
      </x:c>
      <x:c r="L2018" s="16" t="n">
        <x:v>5</x:v>
      </x:c>
      <x:c r="M2018" s="16" t="n">
        <x:v>0</x:v>
      </x:c>
      <x:c r="N2018" s="16" t="n">
        <x:v>3</x:v>
      </x:c>
      <x:c r="O2018" s="16" t="n">
        <x:v>6</x:v>
      </x:c>
      <x:c r="P2018" s="16" t="n">
        <x:v>1</x:v>
      </x:c>
      <x:c r="Q2018" s="16" t="n">
        <x:v>0</x:v>
      </x:c>
      <x:c r="R2018" s="16" t="n">
        <x:v>0</x:v>
      </x:c>
      <x:c r="S2018" s="16" t="n">
        <x:v>3</x:v>
      </x:c>
      <x:c r="T2018" s="16" t="n">
        <x:v>8</x:v>
      </x:c>
      <x:c r="U2018" s="16" t="n">
        <x:v>0</x:v>
      </x:c>
      <x:c r="V2018" s="16" t="n">
        <x:v>0</x:v>
      </x:c>
      <x:c r="W2018" s="16" t="n">
        <x:v>0</x:v>
      </x:c>
      <x:c r="X2018" s="16" t="n">
        <x:v>0</x:v>
      </x:c>
      <x:c r="Y2018" s="16" t="n">
        <x:v>0</x:v>
      </x:c>
      <x:c r="Z2018" s="16" t="n">
        <x:v>0</x:v>
      </x:c>
      <x:c r="AA2018" s="16" t="n">
        <x:v>3</x:v>
      </x:c>
      <x:c r="AB2018" s="16" t="n">
        <x:v>11</x:v>
      </x:c>
      <x:c r="AC2018" s="16" t="n">
        <x:v>0</x:v>
      </x:c>
      <x:c r="AD2018" s="21" t="n">
        <x:f>IF(E2018="",MEDIAN($E$2:$E$2237),E2018)</x:f>
        <x:v>30261</x:v>
      </x:c>
      <x:c r="AE2018" s="17" t="n">
        <x:f>2014-B2018</x:f>
        <x:v>42</x:v>
      </x:c>
      <x:c r="AF2018" s="17" t="n">
        <x:f>F2018+G2018</x:f>
        <x:v>3</x:v>
      </x:c>
      <x:c r="AG2018" s="21" t="n">
        <x:f>SUM(J2018:O2018)</x:f>
        <x:v>22</x:v>
      </x:c>
      <x:c r="AH2018" s="17" t="n">
        <x:f>SUM(Q2018:S2018)</x:f>
        <x:v>3</x:v>
      </x:c>
      <x:c r="AI2018" s="17" t="n">
        <x:f>SUM(U2018:Y2018)</x:f>
        <x:v>0</x:v>
      </x:c>
      <x:c r="AJ2018" s="17" t="str">
        <x:f>IF(AE2018&lt;=34,"≤34",IF(AE2018&lt;=44,"35–44",IF(AE2018&lt;=54,"45–54",IF(AE2018&lt;=64,"55–64","65+"))))</x:f>
        <x:v>35–44</x:v>
      </x:c>
      <x:c r="AK2018" s="17" t="str">
        <x:f>IF(AG2018&gt;=1000,"High Value",IF(AG2018&gt;=300,"Mid Value","Low Value"))</x:f>
        <x:v>Low Value</x:v>
      </x:c>
      <x:c r="AL2018" s="17" t="str">
        <x:f>IF(AND(AI2018&gt;=1,I2018&lt;=50),"Priority 1",IF(AND(AG2018&gt;=1000,I2018&lt;=60),"Priority 2",IF(I2018&lt;=30,"Priority 3","Nurture")))</x:f>
        <x:v>Nurture</x:v>
      </x:c>
    </x:row>
    <x:row r="2019">
      <x:c r="A2019" s="16" t="n">
        <x:v>9829</x:v>
      </x:c>
      <x:c r="B2019" s="16" t="n">
        <x:v>1978</x:v>
      </x:c>
      <x:c r="C2019" s="16" t="str">
        <x:v>Graduation</x:v>
      </x:c>
      <x:c r="D2019" s="16" t="str">
        <x:v>Together</x:v>
      </x:c>
      <x:c r="E2019" s="16" t="n">
        <x:v>28587</x:v>
      </x:c>
      <x:c r="F2019" s="16" t="n">
        <x:v>1</x:v>
      </x:c>
      <x:c r="G2019" s="16" t="n">
        <x:v>0</x:v>
      </x:c>
      <x:c r="H2019" s="16" t="str">
        <x:v>12-02-2014</x:v>
      </x:c>
      <x:c r="I2019" s="16" t="n">
        <x:v>42</x:v>
      </x:c>
      <x:c r="J2019" s="16" t="n">
        <x:v>22</x:v>
      </x:c>
      <x:c r="K2019" s="16" t="n">
        <x:v>4</x:v>
      </x:c>
      <x:c r="L2019" s="16" t="n">
        <x:v>17</x:v>
      </x:c>
      <x:c r="M2019" s="16" t="n">
        <x:v>12</x:v>
      </x:c>
      <x:c r="N2019" s="16" t="n">
        <x:v>10</x:v>
      </x:c>
      <x:c r="O2019" s="16" t="n">
        <x:v>13</x:v>
      </x:c>
      <x:c r="P2019" s="16" t="n">
        <x:v>3</x:v>
      </x:c>
      <x:c r="Q2019" s="16" t="n">
        <x:v>2</x:v>
      </x:c>
      <x:c r="R2019" s="16" t="n">
        <x:v>0</x:v>
      </x:c>
      <x:c r="S2019" s="16" t="n">
        <x:v>4</x:v>
      </x:c>
      <x:c r="T2019" s="16" t="n">
        <x:v>6</x:v>
      </x:c>
      <x:c r="U2019" s="16" t="n">
        <x:v>0</x:v>
      </x:c>
      <x:c r="V2019" s="16" t="n">
        <x:v>0</x:v>
      </x:c>
      <x:c r="W2019" s="16" t="n">
        <x:v>0</x:v>
      </x:c>
      <x:c r="X2019" s="16" t="n">
        <x:v>0</x:v>
      </x:c>
      <x:c r="Y2019" s="16" t="n">
        <x:v>0</x:v>
      </x:c>
      <x:c r="Z2019" s="16" t="n">
        <x:v>0</x:v>
      </x:c>
      <x:c r="AA2019" s="16" t="n">
        <x:v>3</x:v>
      </x:c>
      <x:c r="AB2019" s="16" t="n">
        <x:v>11</x:v>
      </x:c>
      <x:c r="AC2019" s="16" t="n">
        <x:v>0</x:v>
      </x:c>
      <x:c r="AD2019" s="21" t="n">
        <x:f>IF(E2019="",MEDIAN($E$2:$E$2237),E2019)</x:f>
        <x:v>28587</x:v>
      </x:c>
      <x:c r="AE2019" s="17" t="n">
        <x:f>2014-B2019</x:f>
        <x:v>36</x:v>
      </x:c>
      <x:c r="AF2019" s="17" t="n">
        <x:f>F2019+G2019</x:f>
        <x:v>1</x:v>
      </x:c>
      <x:c r="AG2019" s="21" t="n">
        <x:f>SUM(J2019:O2019)</x:f>
        <x:v>78</x:v>
      </x:c>
      <x:c r="AH2019" s="17" t="n">
        <x:f>SUM(Q2019:S2019)</x:f>
        <x:v>6</x:v>
      </x:c>
      <x:c r="AI2019" s="17" t="n">
        <x:f>SUM(U2019:Y2019)</x:f>
        <x:v>0</x:v>
      </x:c>
      <x:c r="AJ2019" s="17" t="str">
        <x:f>IF(AE2019&lt;=34,"≤34",IF(AE2019&lt;=44,"35–44",IF(AE2019&lt;=54,"45–54",IF(AE2019&lt;=64,"55–64","65+"))))</x:f>
        <x:v>35–44</x:v>
      </x:c>
      <x:c r="AK2019" s="17" t="str">
        <x:f>IF(AG2019&gt;=1000,"High Value",IF(AG2019&gt;=300,"Mid Value","Low Value"))</x:f>
        <x:v>Low Value</x:v>
      </x:c>
      <x:c r="AL2019" s="17" t="str">
        <x:f>IF(AND(AI2019&gt;=1,I2019&lt;=50),"Priority 1",IF(AND(AG2019&gt;=1000,I2019&lt;=60),"Priority 2",IF(I2019&lt;=30,"Priority 3","Nurture")))</x:f>
        <x:v>Nurture</x:v>
      </x:c>
    </x:row>
    <x:row r="2020">
      <x:c r="A2020" s="16" t="n">
        <x:v>6214</x:v>
      </x:c>
      <x:c r="B2020" s="16" t="n">
        <x:v>1982</x:v>
      </x:c>
      <x:c r="C2020" s="16" t="str">
        <x:v>Master</x:v>
      </x:c>
      <x:c r="D2020" s="16" t="str">
        <x:v>Married</x:v>
      </x:c>
      <x:c r="E2020" s="16" t="n">
        <x:v>43815</x:v>
      </x:c>
      <x:c r="F2020" s="16" t="n">
        <x:v>1</x:v>
      </x:c>
      <x:c r="G2020" s="16" t="n">
        <x:v>0</x:v>
      </x:c>
      <x:c r="H2020" s="16" t="str">
        <x:v>05-04-2013</x:v>
      </x:c>
      <x:c r="I2020" s="16" t="n">
        <x:v>53</x:v>
      </x:c>
      <x:c r="J2020" s="16" t="n">
        <x:v>14</x:v>
      </x:c>
      <x:c r="K2020" s="16" t="n">
        <x:v>10</x:v>
      </x:c>
      <x:c r="L2020" s="16" t="n">
        <x:v>29</x:v>
      </x:c>
      <x:c r="M2020" s="16" t="n">
        <x:v>4</x:v>
      </x:c>
      <x:c r="N2020" s="16" t="n">
        <x:v>7</x:v>
      </x:c>
      <x:c r="O2020" s="16" t="n">
        <x:v>15</x:v>
      </x:c>
      <x:c r="P2020" s="16" t="n">
        <x:v>1</x:v>
      </x:c>
      <x:c r="Q2020" s="16" t="n">
        <x:v>2</x:v>
      </x:c>
      <x:c r="R2020" s="16" t="n">
        <x:v>0</x:v>
      </x:c>
      <x:c r="S2020" s="16" t="n">
        <x:v>3</x:v>
      </x:c>
      <x:c r="T2020" s="16" t="n">
        <x:v>6</x:v>
      </x:c>
      <x:c r="U2020" s="16" t="n">
        <x:v>0</x:v>
      </x:c>
      <x:c r="V2020" s="16" t="n">
        <x:v>0</x:v>
      </x:c>
      <x:c r="W2020" s="16" t="n">
        <x:v>0</x:v>
      </x:c>
      <x:c r="X2020" s="16" t="n">
        <x:v>0</x:v>
      </x:c>
      <x:c r="Y2020" s="16" t="n">
        <x:v>0</x:v>
      </x:c>
      <x:c r="Z2020" s="16" t="n">
        <x:v>0</x:v>
      </x:c>
      <x:c r="AA2020" s="16" t="n">
        <x:v>3</x:v>
      </x:c>
      <x:c r="AB2020" s="16" t="n">
        <x:v>11</x:v>
      </x:c>
      <x:c r="AC2020" s="16" t="n">
        <x:v>0</x:v>
      </x:c>
      <x:c r="AD2020" s="21" t="n">
        <x:f>IF(E2020="",MEDIAN($E$2:$E$2237),E2020)</x:f>
        <x:v>43815</x:v>
      </x:c>
      <x:c r="AE2020" s="17" t="n">
        <x:f>2014-B2020</x:f>
        <x:v>32</x:v>
      </x:c>
      <x:c r="AF2020" s="17" t="n">
        <x:f>F2020+G2020</x:f>
        <x:v>1</x:v>
      </x:c>
      <x:c r="AG2020" s="21" t="n">
        <x:f>SUM(J2020:O2020)</x:f>
        <x:v>79</x:v>
      </x:c>
      <x:c r="AH2020" s="17" t="n">
        <x:f>SUM(Q2020:S2020)</x:f>
        <x:v>5</x:v>
      </x:c>
      <x:c r="AI2020" s="17" t="n">
        <x:f>SUM(U2020:Y2020)</x:f>
        <x:v>0</x:v>
      </x:c>
      <x:c r="AJ2020" s="17" t="str">
        <x:f>IF(AE2020&lt;=34,"≤34",IF(AE2020&lt;=44,"35–44",IF(AE2020&lt;=54,"45–54",IF(AE2020&lt;=64,"55–64","65+"))))</x:f>
        <x:v>≤34</x:v>
      </x:c>
      <x:c r="AK2020" s="17" t="str">
        <x:f>IF(AG2020&gt;=1000,"High Value",IF(AG2020&gt;=300,"Mid Value","Low Value"))</x:f>
        <x:v>Low Value</x:v>
      </x:c>
      <x:c r="AL2020" s="17" t="str">
        <x:f>IF(AND(AI2020&gt;=1,I2020&lt;=50),"Priority 1",IF(AND(AG2020&gt;=1000,I2020&lt;=60),"Priority 2",IF(I2020&lt;=30,"Priority 3","Nurture")))</x:f>
        <x:v>Nurture</x:v>
      </x:c>
    </x:row>
    <x:row r="2021">
      <x:c r="A2021" s="16" t="n">
        <x:v>4954</x:v>
      </x:c>
      <x:c r="B2021" s="16" t="n">
        <x:v>1956</x:v>
      </x:c>
      <x:c r="C2021" s="16" t="str">
        <x:v>Graduation</x:v>
      </x:c>
      <x:c r="D2021" s="16" t="str">
        <x:v>Married</x:v>
      </x:c>
      <x:c r="E2021" s="16" t="n">
        <x:v>48195</x:v>
      </x:c>
      <x:c r="F2021" s="16" t="n">
        <x:v>1</x:v>
      </x:c>
      <x:c r="G2021" s="16" t="n">
        <x:v>1</x:v>
      </x:c>
      <x:c r="H2021" s="16" t="str">
        <x:v>21-01-2014</x:v>
      </x:c>
      <x:c r="I2021" s="16" t="n">
        <x:v>53</x:v>
      </x:c>
      <x:c r="J2021" s="16" t="n">
        <x:v>106</x:v>
      </x:c>
      <x:c r="K2021" s="16" t="n">
        <x:v>27</x:v>
      </x:c>
      <x:c r="L2021" s="16" t="n">
        <x:v>68</x:v>
      </x:c>
      <x:c r="M2021" s="16" t="n">
        <x:v>52</x:v>
      </x:c>
      <x:c r="N2021" s="16" t="n">
        <x:v>7</x:v>
      </x:c>
      <x:c r="O2021" s="16" t="n">
        <x:v>5</x:v>
      </x:c>
      <x:c r="P2021" s="16" t="n">
        <x:v>6</x:v>
      </x:c>
      <x:c r="Q2021" s="16" t="n">
        <x:v>4</x:v>
      </x:c>
      <x:c r="R2021" s="16" t="n">
        <x:v>2</x:v>
      </x:c>
      <x:c r="S2021" s="16" t="n">
        <x:v>5</x:v>
      </x:c>
      <x:c r="T2021" s="16" t="n">
        <x:v>6</x:v>
      </x:c>
      <x:c r="U2021" s="16" t="n">
        <x:v>0</x:v>
      </x:c>
      <x:c r="V2021" s="16" t="n">
        <x:v>0</x:v>
      </x:c>
      <x:c r="W2021" s="16" t="n">
        <x:v>0</x:v>
      </x:c>
      <x:c r="X2021" s="16" t="n">
        <x:v>0</x:v>
      </x:c>
      <x:c r="Y2021" s="16" t="n">
        <x:v>0</x:v>
      </x:c>
      <x:c r="Z2021" s="16" t="n">
        <x:v>0</x:v>
      </x:c>
      <x:c r="AA2021" s="16" t="n">
        <x:v>3</x:v>
      </x:c>
      <x:c r="AB2021" s="16" t="n">
        <x:v>11</x:v>
      </x:c>
      <x:c r="AC2021" s="16" t="n">
        <x:v>0</x:v>
      </x:c>
      <x:c r="AD2021" s="21" t="n">
        <x:f>IF(E2021="",MEDIAN($E$2:$E$2237),E2021)</x:f>
        <x:v>48195</x:v>
      </x:c>
      <x:c r="AE2021" s="17" t="n">
        <x:f>2014-B2021</x:f>
        <x:v>58</x:v>
      </x:c>
      <x:c r="AF2021" s="17" t="n">
        <x:f>F2021+G2021</x:f>
        <x:v>2</x:v>
      </x:c>
      <x:c r="AG2021" s="21" t="n">
        <x:f>SUM(J2021:O2021)</x:f>
        <x:v>265</x:v>
      </x:c>
      <x:c r="AH2021" s="17" t="n">
        <x:f>SUM(Q2021:S2021)</x:f>
        <x:v>11</x:v>
      </x:c>
      <x:c r="AI2021" s="17" t="n">
        <x:f>SUM(U2021:Y2021)</x:f>
        <x:v>0</x:v>
      </x:c>
      <x:c r="AJ2021" s="17" t="str">
        <x:f>IF(AE2021&lt;=34,"≤34",IF(AE2021&lt;=44,"35–44",IF(AE2021&lt;=54,"45–54",IF(AE2021&lt;=64,"55–64","65+"))))</x:f>
        <x:v>55–64</x:v>
      </x:c>
      <x:c r="AK2021" s="17" t="str">
        <x:f>IF(AG2021&gt;=1000,"High Value",IF(AG2021&gt;=300,"Mid Value","Low Value"))</x:f>
        <x:v>Low Value</x:v>
      </x:c>
      <x:c r="AL2021" s="17" t="str">
        <x:f>IF(AND(AI2021&gt;=1,I2021&lt;=50),"Priority 1",IF(AND(AG2021&gt;=1000,I2021&lt;=60),"Priority 2",IF(I2021&lt;=30,"Priority 3","Nurture")))</x:f>
        <x:v>Nurture</x:v>
      </x:c>
    </x:row>
    <x:row r="2022">
      <x:c r="A2022" s="16" t="n">
        <x:v>7861</x:v>
      </x:c>
      <x:c r="B2022" s="16" t="n">
        <x:v>1952</x:v>
      </x:c>
      <x:c r="C2022" s="16" t="str">
        <x:v>Master</x:v>
      </x:c>
      <x:c r="D2022" s="16" t="str">
        <x:v>Married</x:v>
      </x:c>
      <x:c r="E2022" s="16" t="n">
        <x:v>77027</x:v>
      </x:c>
      <x:c r="F2022" s="16" t="n">
        <x:v>0</x:v>
      </x:c>
      <x:c r="G2022" s="16" t="n">
        <x:v>1</x:v>
      </x:c>
      <x:c r="H2022" s="16" t="str">
        <x:v>05-02-2014</x:v>
      </x:c>
      <x:c r="I2022" s="16" t="n">
        <x:v>23</x:v>
      </x:c>
      <x:c r="J2022" s="16" t="n">
        <x:v>820</x:v>
      </x:c>
      <x:c r="K2022" s="16" t="n">
        <x:v>57</x:v>
      </x:c>
      <x:c r="L2022" s="16" t="n">
        <x:v>242</x:v>
      </x:c>
      <x:c r="M2022" s="16" t="n">
        <x:v>45</x:v>
      </x:c>
      <x:c r="N2022" s="16" t="n">
        <x:v>0</x:v>
      </x:c>
      <x:c r="O2022" s="16" t="n">
        <x:v>11</x:v>
      </x:c>
      <x:c r="P2022" s="16" t="n">
        <x:v>2</x:v>
      </x:c>
      <x:c r="Q2022" s="16" t="n">
        <x:v>8</x:v>
      </x:c>
      <x:c r="R2022" s="16" t="n">
        <x:v>3</x:v>
      </x:c>
      <x:c r="S2022" s="16" t="n">
        <x:v>6</x:v>
      </x:c>
      <x:c r="T2022" s="16" t="n">
        <x:v>4</x:v>
      </x:c>
      <x:c r="U2022" s="16" t="n">
        <x:v>0</x:v>
      </x:c>
      <x:c r="V2022" s="16" t="n">
        <x:v>0</x:v>
      </x:c>
      <x:c r="W2022" s="16" t="n">
        <x:v>0</x:v>
      </x:c>
      <x:c r="X2022" s="16" t="n">
        <x:v>0</x:v>
      </x:c>
      <x:c r="Y2022" s="16" t="n">
        <x:v>0</x:v>
      </x:c>
      <x:c r="Z2022" s="16" t="n">
        <x:v>0</x:v>
      </x:c>
      <x:c r="AA2022" s="16" t="n">
        <x:v>3</x:v>
      </x:c>
      <x:c r="AB2022" s="16" t="n">
        <x:v>11</x:v>
      </x:c>
      <x:c r="AC2022" s="16" t="n">
        <x:v>0</x:v>
      </x:c>
      <x:c r="AD2022" s="21" t="n">
        <x:f>IF(E2022="",MEDIAN($E$2:$E$2237),E2022)</x:f>
        <x:v>77027</x:v>
      </x:c>
      <x:c r="AE2022" s="17" t="n">
        <x:f>2014-B2022</x:f>
        <x:v>62</x:v>
      </x:c>
      <x:c r="AF2022" s="17" t="n">
        <x:f>F2022+G2022</x:f>
        <x:v>1</x:v>
      </x:c>
      <x:c r="AG2022" s="21" t="n">
        <x:f>SUM(J2022:O2022)</x:f>
        <x:v>1175</x:v>
      </x:c>
      <x:c r="AH2022" s="17" t="n">
        <x:f>SUM(Q2022:S2022)</x:f>
        <x:v>17</x:v>
      </x:c>
      <x:c r="AI2022" s="17" t="n">
        <x:f>SUM(U2022:Y2022)</x:f>
        <x:v>0</x:v>
      </x:c>
      <x:c r="AJ2022" s="17" t="str">
        <x:f>IF(AE2022&lt;=34,"≤34",IF(AE2022&lt;=44,"35–44",IF(AE2022&lt;=54,"45–54",IF(AE2022&lt;=64,"55–64","65+"))))</x:f>
        <x:v>55–64</x:v>
      </x:c>
      <x:c r="AK2022" s="17" t="str">
        <x:f>IF(AG2022&gt;=1000,"High Value",IF(AG2022&gt;=300,"Mid Value","Low Value"))</x:f>
        <x:v>High Value</x:v>
      </x:c>
      <x:c r="AL2022" s="17" t="str">
        <x:f>IF(AND(AI2022&gt;=1,I2022&lt;=50),"Priority 1",IF(AND(AG2022&gt;=1000,I2022&lt;=60),"Priority 2",IF(I2022&lt;=30,"Priority 3","Nurture")))</x:f>
        <x:v>Priority 2</x:v>
      </x:c>
    </x:row>
    <x:row r="2023">
      <x:c r="A2023" s="16" t="n">
        <x:v>4837</x:v>
      </x:c>
      <x:c r="B2023" s="16" t="n">
        <x:v>1965</x:v>
      </x:c>
      <x:c r="C2023" s="16" t="str">
        <x:v>PhD</x:v>
      </x:c>
      <x:c r="D2023" s="16" t="str">
        <x:v>Married</x:v>
      </x:c>
      <x:c r="E2023" s="16" t="n">
        <x:v>71322</x:v>
      </x:c>
      <x:c r="F2023" s="16" t="n">
        <x:v>0</x:v>
      </x:c>
      <x:c r="G2023" s="16" t="n">
        <x:v>1</x:v>
      </x:c>
      <x:c r="H2023" s="16" t="str">
        <x:v>16-02-2013</x:v>
      </x:c>
      <x:c r="I2023" s="16" t="n">
        <x:v>57</x:v>
      </x:c>
      <x:c r="J2023" s="16" t="n">
        <x:v>753</x:v>
      </x:c>
      <x:c r="K2023" s="16" t="n">
        <x:v>43</x:v>
      </x:c>
      <x:c r="L2023" s="16" t="n">
        <x:v>226</x:v>
      </x:c>
      <x:c r="M2023" s="16" t="n">
        <x:v>69</x:v>
      </x:c>
      <x:c r="N2023" s="16" t="n">
        <x:v>10</x:v>
      </x:c>
      <x:c r="O2023" s="16" t="n">
        <x:v>204</x:v>
      </x:c>
      <x:c r="P2023" s="16" t="n">
        <x:v>2</x:v>
      </x:c>
      <x:c r="Q2023" s="16" t="n">
        <x:v>8</x:v>
      </x:c>
      <x:c r="R2023" s="16" t="n">
        <x:v>5</x:v>
      </x:c>
      <x:c r="S2023" s="16" t="n">
        <x:v>13</x:v>
      </x:c>
      <x:c r="T2023" s="16" t="n">
        <x:v>4</x:v>
      </x:c>
      <x:c r="U2023" s="16" t="n">
        <x:v>0</x:v>
      </x:c>
      <x:c r="V2023" s="16" t="n">
        <x:v>0</x:v>
      </x:c>
      <x:c r="W2023" s="16" t="n">
        <x:v>0</x:v>
      </x:c>
      <x:c r="X2023" s="16" t="n">
        <x:v>0</x:v>
      </x:c>
      <x:c r="Y2023" s="16" t="n">
        <x:v>0</x:v>
      </x:c>
      <x:c r="Z2023" s="16" t="n">
        <x:v>0</x:v>
      </x:c>
      <x:c r="AA2023" s="16" t="n">
        <x:v>3</x:v>
      </x:c>
      <x:c r="AB2023" s="16" t="n">
        <x:v>11</x:v>
      </x:c>
      <x:c r="AC2023" s="16" t="n">
        <x:v>0</x:v>
      </x:c>
      <x:c r="AD2023" s="21" t="n">
        <x:f>IF(E2023="",MEDIAN($E$2:$E$2237),E2023)</x:f>
        <x:v>71322</x:v>
      </x:c>
      <x:c r="AE2023" s="17" t="n">
        <x:f>2014-B2023</x:f>
        <x:v>49</x:v>
      </x:c>
      <x:c r="AF2023" s="17" t="n">
        <x:f>F2023+G2023</x:f>
        <x:v>1</x:v>
      </x:c>
      <x:c r="AG2023" s="21" t="n">
        <x:f>SUM(J2023:O2023)</x:f>
        <x:v>1305</x:v>
      </x:c>
      <x:c r="AH2023" s="17" t="n">
        <x:f>SUM(Q2023:S2023)</x:f>
        <x:v>26</x:v>
      </x:c>
      <x:c r="AI2023" s="17" t="n">
        <x:f>SUM(U2023:Y2023)</x:f>
        <x:v>0</x:v>
      </x:c>
      <x:c r="AJ2023" s="17" t="str">
        <x:f>IF(AE2023&lt;=34,"≤34",IF(AE2023&lt;=44,"35–44",IF(AE2023&lt;=54,"45–54",IF(AE2023&lt;=64,"55–64","65+"))))</x:f>
        <x:v>45–54</x:v>
      </x:c>
      <x:c r="AK2023" s="17" t="str">
        <x:f>IF(AG2023&gt;=1000,"High Value",IF(AG2023&gt;=300,"Mid Value","Low Value"))</x:f>
        <x:v>High Value</x:v>
      </x:c>
      <x:c r="AL2023" s="17" t="str">
        <x:f>IF(AND(AI2023&gt;=1,I2023&lt;=50),"Priority 1",IF(AND(AG2023&gt;=1000,I2023&lt;=60),"Priority 2",IF(I2023&lt;=30,"Priority 3","Nurture")))</x:f>
        <x:v>Priority 2</x:v>
      </x:c>
    </x:row>
    <x:row r="2024">
      <x:c r="A2024" s="16" t="n">
        <x:v>9423</x:v>
      </x:c>
      <x:c r="B2024" s="16" t="n">
        <x:v>1979</x:v>
      </x:c>
      <x:c r="C2024" s="16" t="str">
        <x:v>Master</x:v>
      </x:c>
      <x:c r="D2024" s="16" t="str">
        <x:v>Married</x:v>
      </x:c>
      <x:c r="E2024" s="16" t="n">
        <x:v>32765</x:v>
      </x:c>
      <x:c r="F2024" s="16" t="n">
        <x:v>1</x:v>
      </x:c>
      <x:c r="G2024" s="16" t="n">
        <x:v>0</x:v>
      </x:c>
      <x:c r="H2024" s="16" t="str">
        <x:v>23-02-2014</x:v>
      </x:c>
      <x:c r="I2024" s="16" t="n">
        <x:v>49</x:v>
      </x:c>
      <x:c r="J2024" s="16" t="n">
        <x:v>13</x:v>
      </x:c>
      <x:c r="K2024" s="16" t="n">
        <x:v>3</x:v>
      </x:c>
      <x:c r="L2024" s="16" t="n">
        <x:v>17</x:v>
      </x:c>
      <x:c r="M2024" s="16" t="n">
        <x:v>7</x:v>
      </x:c>
      <x:c r="N2024" s="16" t="n">
        <x:v>3</x:v>
      </x:c>
      <x:c r="O2024" s="16" t="n">
        <x:v>3</x:v>
      </x:c>
      <x:c r="P2024" s="16" t="n">
        <x:v>2</x:v>
      </x:c>
      <x:c r="Q2024" s="16" t="n">
        <x:v>2</x:v>
      </x:c>
      <x:c r="R2024" s="16" t="n">
        <x:v>0</x:v>
      </x:c>
      <x:c r="S2024" s="16" t="n">
        <x:v>4</x:v>
      </x:c>
      <x:c r="T2024" s="16" t="n">
        <x:v>5</x:v>
      </x:c>
      <x:c r="U2024" s="16" t="n">
        <x:v>0</x:v>
      </x:c>
      <x:c r="V2024" s="16" t="n">
        <x:v>0</x:v>
      </x:c>
      <x:c r="W2024" s="16" t="n">
        <x:v>0</x:v>
      </x:c>
      <x:c r="X2024" s="16" t="n">
        <x:v>0</x:v>
      </x:c>
      <x:c r="Y2024" s="16" t="n">
        <x:v>0</x:v>
      </x:c>
      <x:c r="Z2024" s="16" t="n">
        <x:v>0</x:v>
      </x:c>
      <x:c r="AA2024" s="16" t="n">
        <x:v>3</x:v>
      </x:c>
      <x:c r="AB2024" s="16" t="n">
        <x:v>11</x:v>
      </x:c>
      <x:c r="AC2024" s="16" t="n">
        <x:v>0</x:v>
      </x:c>
      <x:c r="AD2024" s="21" t="n">
        <x:f>IF(E2024="",MEDIAN($E$2:$E$2237),E2024)</x:f>
        <x:v>32765</x:v>
      </x:c>
      <x:c r="AE2024" s="17" t="n">
        <x:f>2014-B2024</x:f>
        <x:v>35</x:v>
      </x:c>
      <x:c r="AF2024" s="17" t="n">
        <x:f>F2024+G2024</x:f>
        <x:v>1</x:v>
      </x:c>
      <x:c r="AG2024" s="21" t="n">
        <x:f>SUM(J2024:O2024)</x:f>
        <x:v>46</x:v>
      </x:c>
      <x:c r="AH2024" s="17" t="n">
        <x:f>SUM(Q2024:S2024)</x:f>
        <x:v>6</x:v>
      </x:c>
      <x:c r="AI2024" s="17" t="n">
        <x:f>SUM(U2024:Y2024)</x:f>
        <x:v>0</x:v>
      </x:c>
      <x:c r="AJ2024" s="17" t="str">
        <x:f>IF(AE2024&lt;=34,"≤34",IF(AE2024&lt;=44,"35–44",IF(AE2024&lt;=54,"45–54",IF(AE2024&lt;=64,"55–64","65+"))))</x:f>
        <x:v>35–44</x:v>
      </x:c>
      <x:c r="AK2024" s="17" t="str">
        <x:f>IF(AG2024&gt;=1000,"High Value",IF(AG2024&gt;=300,"Mid Value","Low Value"))</x:f>
        <x:v>Low Value</x:v>
      </x:c>
      <x:c r="AL2024" s="17" t="str">
        <x:f>IF(AND(AI2024&gt;=1,I2024&lt;=50),"Priority 1",IF(AND(AG2024&gt;=1000,I2024&lt;=60),"Priority 2",IF(I2024&lt;=30,"Priority 3","Nurture")))</x:f>
        <x:v>Nurture</x:v>
      </x:c>
    </x:row>
    <x:row r="2025">
      <x:c r="A2025" s="16" t="n">
        <x:v>4198</x:v>
      </x:c>
      <x:c r="B2025" s="16" t="n">
        <x:v>1965</x:v>
      </x:c>
      <x:c r="C2025" s="16" t="str">
        <x:v>Graduation</x:v>
      </x:c>
      <x:c r="D2025" s="16" t="str">
        <x:v>Together</x:v>
      </x:c>
      <x:c r="E2025" s="16" t="n">
        <x:v>29672</x:v>
      </x:c>
      <x:c r="F2025" s="16" t="n">
        <x:v>1</x:v>
      </x:c>
      <x:c r="G2025" s="16" t="n">
        <x:v>1</x:v>
      </x:c>
      <x:c r="H2025" s="16" t="str">
        <x:v>12-03-2013</x:v>
      </x:c>
      <x:c r="I2025" s="16" t="n">
        <x:v>6</x:v>
      </x:c>
      <x:c r="J2025" s="16" t="n">
        <x:v>9</x:v>
      </x:c>
      <x:c r="K2025" s="16" t="n">
        <x:v>1</x:v>
      </x:c>
      <x:c r="L2025" s="16" t="n">
        <x:v>3</x:v>
      </x:c>
      <x:c r="M2025" s="16" t="n">
        <x:v>0</x:v>
      </x:c>
      <x:c r="N2025" s="16" t="n">
        <x:v>4</x:v>
      </x:c>
      <x:c r="O2025" s="16" t="n">
        <x:v>8</x:v>
      </x:c>
      <x:c r="P2025" s="16" t="n">
        <x:v>1</x:v>
      </x:c>
      <x:c r="Q2025" s="16" t="n">
        <x:v>0</x:v>
      </x:c>
      <x:c r="R2025" s="16" t="n">
        <x:v>0</x:v>
      </x:c>
      <x:c r="S2025" s="16" t="n">
        <x:v>3</x:v>
      </x:c>
      <x:c r="T2025" s="16" t="n">
        <x:v>6</x:v>
      </x:c>
      <x:c r="U2025" s="16" t="n">
        <x:v>0</x:v>
      </x:c>
      <x:c r="V2025" s="16" t="n">
        <x:v>0</x:v>
      </x:c>
      <x:c r="W2025" s="16" t="n">
        <x:v>0</x:v>
      </x:c>
      <x:c r="X2025" s="16" t="n">
        <x:v>0</x:v>
      </x:c>
      <x:c r="Y2025" s="16" t="n">
        <x:v>0</x:v>
      </x:c>
      <x:c r="Z2025" s="16" t="n">
        <x:v>0</x:v>
      </x:c>
      <x:c r="AA2025" s="16" t="n">
        <x:v>3</x:v>
      </x:c>
      <x:c r="AB2025" s="16" t="n">
        <x:v>11</x:v>
      </x:c>
      <x:c r="AC2025" s="16" t="n">
        <x:v>0</x:v>
      </x:c>
      <x:c r="AD2025" s="21" t="n">
        <x:f>IF(E2025="",MEDIAN($E$2:$E$2237),E2025)</x:f>
        <x:v>29672</x:v>
      </x:c>
      <x:c r="AE2025" s="17" t="n">
        <x:f>2014-B2025</x:f>
        <x:v>49</x:v>
      </x:c>
      <x:c r="AF2025" s="17" t="n">
        <x:f>F2025+G2025</x:f>
        <x:v>2</x:v>
      </x:c>
      <x:c r="AG2025" s="21" t="n">
        <x:f>SUM(J2025:O2025)</x:f>
        <x:v>25</x:v>
      </x:c>
      <x:c r="AH2025" s="17" t="n">
        <x:f>SUM(Q2025:S2025)</x:f>
        <x:v>3</x:v>
      </x:c>
      <x:c r="AI2025" s="17" t="n">
        <x:f>SUM(U2025:Y2025)</x:f>
        <x:v>0</x:v>
      </x:c>
      <x:c r="AJ2025" s="17" t="str">
        <x:f>IF(AE2025&lt;=34,"≤34",IF(AE2025&lt;=44,"35–44",IF(AE2025&lt;=54,"45–54",IF(AE2025&lt;=64,"55–64","65+"))))</x:f>
        <x:v>45–54</x:v>
      </x:c>
      <x:c r="AK2025" s="17" t="str">
        <x:f>IF(AG2025&gt;=1000,"High Value",IF(AG2025&gt;=300,"Mid Value","Low Value"))</x:f>
        <x:v>Low Value</x:v>
      </x:c>
      <x:c r="AL2025" s="17" t="str">
        <x:f>IF(AND(AI2025&gt;=1,I2025&lt;=50),"Priority 1",IF(AND(AG2025&gt;=1000,I2025&lt;=60),"Priority 2",IF(I2025&lt;=30,"Priority 3","Nurture")))</x:f>
        <x:v>Priority 3</x:v>
      </x:c>
    </x:row>
    <x:row r="2026">
      <x:c r="A2026" s="16" t="n">
        <x:v>153</x:v>
      </x:c>
      <x:c r="B2026" s="16" t="n">
        <x:v>1953</x:v>
      </x:c>
      <x:c r="C2026" s="16" t="str">
        <x:v>Graduation</x:v>
      </x:c>
      <x:c r="D2026" s="16" t="str">
        <x:v>Divorced</x:v>
      </x:c>
      <x:c r="E2026" s="16" t="n">
        <x:v>23272</x:v>
      </x:c>
      <x:c r="F2026" s="16" t="n">
        <x:v>0</x:v>
      </x:c>
      <x:c r="G2026" s="16" t="n">
        <x:v>0</x:v>
      </x:c>
      <x:c r="H2026" s="16" t="str">
        <x:v>17-10-2013</x:v>
      </x:c>
      <x:c r="I2026" s="16" t="n">
        <x:v>29</x:v>
      </x:c>
      <x:c r="J2026" s="16" t="n">
        <x:v>19</x:v>
      </x:c>
      <x:c r="K2026" s="16" t="n">
        <x:v>3</x:v>
      </x:c>
      <x:c r="L2026" s="16" t="n">
        <x:v>6</x:v>
      </x:c>
      <x:c r="M2026" s="16" t="n">
        <x:v>4</x:v>
      </x:c>
      <x:c r="N2026" s="16" t="n">
        <x:v>2</x:v>
      </x:c>
      <x:c r="O2026" s="16" t="n">
        <x:v>12</x:v>
      </x:c>
      <x:c r="P2026" s="16" t="n">
        <x:v>1</x:v>
      </x:c>
      <x:c r="Q2026" s="16" t="n">
        <x:v>1</x:v>
      </x:c>
      <x:c r="R2026" s="16" t="n">
        <x:v>0</x:v>
      </x:c>
      <x:c r="S2026" s="16" t="n">
        <x:v>3</x:v>
      </x:c>
      <x:c r="T2026" s="16" t="n">
        <x:v>4</x:v>
      </x:c>
      <x:c r="U2026" s="16" t="n">
        <x:v>0</x:v>
      </x:c>
      <x:c r="V2026" s="16" t="n">
        <x:v>0</x:v>
      </x:c>
      <x:c r="W2026" s="16" t="n">
        <x:v>0</x:v>
      </x:c>
      <x:c r="X2026" s="16" t="n">
        <x:v>0</x:v>
      </x:c>
      <x:c r="Y2026" s="16" t="n">
        <x:v>0</x:v>
      </x:c>
      <x:c r="Z2026" s="16" t="n">
        <x:v>0</x:v>
      </x:c>
      <x:c r="AA2026" s="16" t="n">
        <x:v>3</x:v>
      </x:c>
      <x:c r="AB2026" s="16" t="n">
        <x:v>11</x:v>
      </x:c>
      <x:c r="AC2026" s="16" t="n">
        <x:v>0</x:v>
      </x:c>
      <x:c r="AD2026" s="21" t="n">
        <x:f>IF(E2026="",MEDIAN($E$2:$E$2237),E2026)</x:f>
        <x:v>23272</x:v>
      </x:c>
      <x:c r="AE2026" s="17" t="n">
        <x:f>2014-B2026</x:f>
        <x:v>61</x:v>
      </x:c>
      <x:c r="AF2026" s="17" t="n">
        <x:f>F2026+G2026</x:f>
        <x:v>0</x:v>
      </x:c>
      <x:c r="AG2026" s="21" t="n">
        <x:f>SUM(J2026:O2026)</x:f>
        <x:v>46</x:v>
      </x:c>
      <x:c r="AH2026" s="17" t="n">
        <x:f>SUM(Q2026:S2026)</x:f>
        <x:v>4</x:v>
      </x:c>
      <x:c r="AI2026" s="17" t="n">
        <x:f>SUM(U2026:Y2026)</x:f>
        <x:v>0</x:v>
      </x:c>
      <x:c r="AJ2026" s="17" t="str">
        <x:f>IF(AE2026&lt;=34,"≤34",IF(AE2026&lt;=44,"35–44",IF(AE2026&lt;=54,"45–54",IF(AE2026&lt;=64,"55–64","65+"))))</x:f>
        <x:v>55–64</x:v>
      </x:c>
      <x:c r="AK2026" s="17" t="str">
        <x:f>IF(AG2026&gt;=1000,"High Value",IF(AG2026&gt;=300,"Mid Value","Low Value"))</x:f>
        <x:v>Low Value</x:v>
      </x:c>
      <x:c r="AL2026" s="17" t="str">
        <x:f>IF(AND(AI2026&gt;=1,I2026&lt;=50),"Priority 1",IF(AND(AG2026&gt;=1000,I2026&lt;=60),"Priority 2",IF(I2026&lt;=30,"Priority 3","Nurture")))</x:f>
        <x:v>Priority 3</x:v>
      </x:c>
    </x:row>
    <x:row r="2027">
      <x:c r="A2027" s="16" t="n">
        <x:v>9323</x:v>
      </x:c>
      <x:c r="B2027" s="16" t="n">
        <x:v>1949</x:v>
      </x:c>
      <x:c r="C2027" s="16" t="str">
        <x:v>Master</x:v>
      </x:c>
      <x:c r="D2027" s="16" t="str">
        <x:v>Together</x:v>
      </x:c>
      <x:c r="E2027" s="16" t="n">
        <x:v>49912</x:v>
      </x:c>
      <x:c r="F2027" s="16" t="n">
        <x:v>0</x:v>
      </x:c>
      <x:c r="G2027" s="16" t="n">
        <x:v>1</x:v>
      </x:c>
      <x:c r="H2027" s="16" t="str">
        <x:v>07-09-2012</x:v>
      </x:c>
      <x:c r="I2027" s="16" t="n">
        <x:v>5</x:v>
      </x:c>
      <x:c r="J2027" s="16" t="n">
        <x:v>520</x:v>
      </x:c>
      <x:c r="K2027" s="16" t="n">
        <x:v>8</x:v>
      </x:c>
      <x:c r="L2027" s="16" t="n">
        <x:v>223</x:v>
      </x:c>
      <x:c r="M2027" s="16" t="n">
        <x:v>32</x:v>
      </x:c>
      <x:c r="N2027" s="16" t="n">
        <x:v>49</x:v>
      </x:c>
      <x:c r="O2027" s="16" t="n">
        <x:v>42</x:v>
      </x:c>
      <x:c r="P2027" s="16" t="n">
        <x:v>4</x:v>
      </x:c>
      <x:c r="Q2027" s="16" t="n">
        <x:v>10</x:v>
      </x:c>
      <x:c r="R2027" s="16" t="n">
        <x:v>5</x:v>
      </x:c>
      <x:c r="S2027" s="16" t="n">
        <x:v>7</x:v>
      </x:c>
      <x:c r="T2027" s="16" t="n">
        <x:v>8</x:v>
      </x:c>
      <x:c r="U2027" s="16" t="n">
        <x:v>1</x:v>
      </x:c>
      <x:c r="V2027" s="16" t="n">
        <x:v>0</x:v>
      </x:c>
      <x:c r="W2027" s="16" t="n">
        <x:v>0</x:v>
      </x:c>
      <x:c r="X2027" s="16" t="n">
        <x:v>0</x:v>
      </x:c>
      <x:c r="Y2027" s="16" t="n">
        <x:v>0</x:v>
      </x:c>
      <x:c r="Z2027" s="16" t="n">
        <x:v>0</x:v>
      </x:c>
      <x:c r="AA2027" s="16" t="n">
        <x:v>3</x:v>
      </x:c>
      <x:c r="AB2027" s="16" t="n">
        <x:v>11</x:v>
      </x:c>
      <x:c r="AC2027" s="16" t="n">
        <x:v>1</x:v>
      </x:c>
      <x:c r="AD2027" s="21" t="n">
        <x:f>IF(E2027="",MEDIAN($E$2:$E$2237),E2027)</x:f>
        <x:v>49912</x:v>
      </x:c>
      <x:c r="AE2027" s="17" t="n">
        <x:f>2014-B2027</x:f>
        <x:v>65</x:v>
      </x:c>
      <x:c r="AF2027" s="17" t="n">
        <x:f>F2027+G2027</x:f>
        <x:v>1</x:v>
      </x:c>
      <x:c r="AG2027" s="21" t="n">
        <x:f>SUM(J2027:O2027)</x:f>
        <x:v>874</x:v>
      </x:c>
      <x:c r="AH2027" s="17" t="n">
        <x:f>SUM(Q2027:S2027)</x:f>
        <x:v>22</x:v>
      </x:c>
      <x:c r="AI2027" s="17" t="n">
        <x:f>SUM(U2027:Y2027)</x:f>
        <x:v>1</x:v>
      </x:c>
      <x:c r="AJ2027" s="17" t="str">
        <x:f>IF(AE2027&lt;=34,"≤34",IF(AE2027&lt;=44,"35–44",IF(AE2027&lt;=54,"45–54",IF(AE2027&lt;=64,"55–64","65+"))))</x:f>
        <x:v>65+</x:v>
      </x:c>
      <x:c r="AK2027" s="17" t="str">
        <x:f>IF(AG2027&gt;=1000,"High Value",IF(AG2027&gt;=300,"Mid Value","Low Value"))</x:f>
        <x:v>Mid Value</x:v>
      </x:c>
      <x:c r="AL2027" s="17" t="str">
        <x:f>IF(AND(AI2027&gt;=1,I2027&lt;=50),"Priority 1",IF(AND(AG2027&gt;=1000,I2027&lt;=60),"Priority 2",IF(I2027&lt;=30,"Priority 3","Nurture")))</x:f>
        <x:v>Priority 1</x:v>
      </x:c>
    </x:row>
    <x:row r="2028">
      <x:c r="A2028" s="16" t="n">
        <x:v>10001</x:v>
      </x:c>
      <x:c r="B2028" s="16" t="n">
        <x:v>1985</x:v>
      </x:c>
      <x:c r="C2028" s="16" t="str">
        <x:v>2n Cycle</x:v>
      </x:c>
      <x:c r="D2028" s="16" t="str">
        <x:v>Together</x:v>
      </x:c>
      <x:c r="E2028" s="16" t="n">
        <x:v>7500</x:v>
      </x:c>
      <x:c r="F2028" s="16" t="n">
        <x:v>1</x:v>
      </x:c>
      <x:c r="G2028" s="16" t="n">
        <x:v>0</x:v>
      </x:c>
      <x:c r="H2028" s="16" t="str">
        <x:v>01-08-2012</x:v>
      </x:c>
      <x:c r="I2028" s="16" t="n">
        <x:v>98</x:v>
      </x:c>
      <x:c r="J2028" s="16" t="n">
        <x:v>5</x:v>
      </x:c>
      <x:c r="K2028" s="16" t="n">
        <x:v>17</x:v>
      </x:c>
      <x:c r="L2028" s="16" t="n">
        <x:v>17</x:v>
      </x:c>
      <x:c r="M2028" s="16" t="n">
        <x:v>13</x:v>
      </x:c>
      <x:c r="N2028" s="16" t="n">
        <x:v>14</x:v>
      </x:c>
      <x:c r="O2028" s="16" t="n">
        <x:v>34</x:v>
      </x:c>
      <x:c r="P2028" s="16" t="n">
        <x:v>4</x:v>
      </x:c>
      <x:c r="Q2028" s="16" t="n">
        <x:v>2</x:v>
      </x:c>
      <x:c r="R2028" s="16" t="n">
        <x:v>1</x:v>
      </x:c>
      <x:c r="S2028" s="16" t="n">
        <x:v>3</x:v>
      </x:c>
      <x:c r="T2028" s="16" t="n">
        <x:v>9</x:v>
      </x:c>
      <x:c r="U2028" s="16" t="n">
        <x:v>0</x:v>
      </x:c>
      <x:c r="V2028" s="16" t="n">
        <x:v>0</x:v>
      </x:c>
      <x:c r="W2028" s="16" t="n">
        <x:v>0</x:v>
      </x:c>
      <x:c r="X2028" s="16" t="n">
        <x:v>0</x:v>
      </x:c>
      <x:c r="Y2028" s="16" t="n">
        <x:v>0</x:v>
      </x:c>
      <x:c r="Z2028" s="16" t="n">
        <x:v>0</x:v>
      </x:c>
      <x:c r="AA2028" s="16" t="n">
        <x:v>3</x:v>
      </x:c>
      <x:c r="AB2028" s="16" t="n">
        <x:v>11</x:v>
      </x:c>
      <x:c r="AC2028" s="16" t="n">
        <x:v>0</x:v>
      </x:c>
      <x:c r="AD2028" s="21" t="n">
        <x:f>IF(E2028="",MEDIAN($E$2:$E$2237),E2028)</x:f>
        <x:v>7500</x:v>
      </x:c>
      <x:c r="AE2028" s="17" t="n">
        <x:f>2014-B2028</x:f>
        <x:v>29</x:v>
      </x:c>
      <x:c r="AF2028" s="17" t="n">
        <x:f>F2028+G2028</x:f>
        <x:v>1</x:v>
      </x:c>
      <x:c r="AG2028" s="21" t="n">
        <x:f>SUM(J2028:O2028)</x:f>
        <x:v>100</x:v>
      </x:c>
      <x:c r="AH2028" s="17" t="n">
        <x:f>SUM(Q2028:S2028)</x:f>
        <x:v>6</x:v>
      </x:c>
      <x:c r="AI2028" s="17" t="n">
        <x:f>SUM(U2028:Y2028)</x:f>
        <x:v>0</x:v>
      </x:c>
      <x:c r="AJ2028" s="17" t="str">
        <x:f>IF(AE2028&lt;=34,"≤34",IF(AE2028&lt;=44,"35–44",IF(AE2028&lt;=54,"45–54",IF(AE2028&lt;=64,"55–64","65+"))))</x:f>
        <x:v>≤34</x:v>
      </x:c>
      <x:c r="AK2028" s="17" t="str">
        <x:f>IF(AG2028&gt;=1000,"High Value",IF(AG2028&gt;=300,"Mid Value","Low Value"))</x:f>
        <x:v>Low Value</x:v>
      </x:c>
      <x:c r="AL2028" s="17" t="str">
        <x:f>IF(AND(AI2028&gt;=1,I2028&lt;=50),"Priority 1",IF(AND(AG2028&gt;=1000,I2028&lt;=60),"Priority 2",IF(I2028&lt;=30,"Priority 3","Nurture")))</x:f>
        <x:v>Nurture</x:v>
      </x:c>
    </x:row>
    <x:row r="2029">
      <x:c r="A2029" s="16" t="n">
        <x:v>3945</x:v>
      </x:c>
      <x:c r="B2029" s="16" t="n">
        <x:v>1947</x:v>
      </x:c>
      <x:c r="C2029" s="16" t="str">
        <x:v>PhD</x:v>
      </x:c>
      <x:c r="D2029" s="16" t="str">
        <x:v>Widow</x:v>
      </x:c>
      <x:c r="E2029" s="16" t="n">
        <x:v>68117</x:v>
      </x:c>
      <x:c r="F2029" s="16" t="n">
        <x:v>0</x:v>
      </x:c>
      <x:c r="G2029" s="16" t="n">
        <x:v>1</x:v>
      </x:c>
      <x:c r="H2029" s="16" t="str">
        <x:v>10-03-2013</x:v>
      </x:c>
      <x:c r="I2029" s="16" t="n">
        <x:v>80</x:v>
      </x:c>
      <x:c r="J2029" s="16" t="n">
        <x:v>618</x:v>
      </x:c>
      <x:c r="K2029" s="16" t="n">
        <x:v>44</x:v>
      </x:c>
      <x:c r="L2029" s="16" t="n">
        <x:v>215</x:v>
      </x:c>
      <x:c r="M2029" s="16" t="n">
        <x:v>0</x:v>
      </x:c>
      <x:c r="N2029" s="16" t="n">
        <x:v>17</x:v>
      </x:c>
      <x:c r="O2029" s="16" t="n">
        <x:v>36</x:v>
      </x:c>
      <x:c r="P2029" s="16" t="n">
        <x:v>2</x:v>
      </x:c>
      <x:c r="Q2029" s="16" t="n">
        <x:v>11</x:v>
      </x:c>
      <x:c r="R2029" s="16" t="n">
        <x:v>8</x:v>
      </x:c>
      <x:c r="S2029" s="16" t="n">
        <x:v>4</x:v>
      </x:c>
      <x:c r="T2029" s="16" t="n">
        <x:v>6</x:v>
      </x:c>
      <x:c r="U2029" s="16" t="n">
        <x:v>1</x:v>
      </x:c>
      <x:c r="V2029" s="16" t="n">
        <x:v>0</x:v>
      </x:c>
      <x:c r="W2029" s="16" t="n">
        <x:v>0</x:v>
      </x:c>
      <x:c r="X2029" s="16" t="n">
        <x:v>0</x:v>
      </x:c>
      <x:c r="Y2029" s="16" t="n">
        <x:v>0</x:v>
      </x:c>
      <x:c r="Z2029" s="16" t="n">
        <x:v>0</x:v>
      </x:c>
      <x:c r="AA2029" s="16" t="n">
        <x:v>3</x:v>
      </x:c>
      <x:c r="AB2029" s="16" t="n">
        <x:v>11</x:v>
      </x:c>
      <x:c r="AC2029" s="16" t="n">
        <x:v>1</x:v>
      </x:c>
      <x:c r="AD2029" s="21" t="n">
        <x:f>IF(E2029="",MEDIAN($E$2:$E$2237),E2029)</x:f>
        <x:v>68117</x:v>
      </x:c>
      <x:c r="AE2029" s="17" t="n">
        <x:f>2014-B2029</x:f>
        <x:v>67</x:v>
      </x:c>
      <x:c r="AF2029" s="17" t="n">
        <x:f>F2029+G2029</x:f>
        <x:v>1</x:v>
      </x:c>
      <x:c r="AG2029" s="21" t="n">
        <x:f>SUM(J2029:O2029)</x:f>
        <x:v>930</x:v>
      </x:c>
      <x:c r="AH2029" s="17" t="n">
        <x:f>SUM(Q2029:S2029)</x:f>
        <x:v>23</x:v>
      </x:c>
      <x:c r="AI2029" s="17" t="n">
        <x:f>SUM(U2029:Y2029)</x:f>
        <x:v>1</x:v>
      </x:c>
      <x:c r="AJ2029" s="17" t="str">
        <x:f>IF(AE2029&lt;=34,"≤34",IF(AE2029&lt;=44,"35–44",IF(AE2029&lt;=54,"45–54",IF(AE2029&lt;=64,"55–64","65+"))))</x:f>
        <x:v>65+</x:v>
      </x:c>
      <x:c r="AK2029" s="17" t="str">
        <x:f>IF(AG2029&gt;=1000,"High Value",IF(AG2029&gt;=300,"Mid Value","Low Value"))</x:f>
        <x:v>Mid Value</x:v>
      </x:c>
      <x:c r="AL2029" s="17" t="str">
        <x:f>IF(AND(AI2029&gt;=1,I2029&lt;=50),"Priority 1",IF(AND(AG2029&gt;=1000,I2029&lt;=60),"Priority 2",IF(I2029&lt;=30,"Priority 3","Nurture")))</x:f>
        <x:v>Nurture</x:v>
      </x:c>
    </x:row>
    <x:row r="2030">
      <x:c r="A2030" s="16" t="n">
        <x:v>3799</x:v>
      </x:c>
      <x:c r="B2030" s="16" t="n">
        <x:v>1955</x:v>
      </x:c>
      <x:c r="C2030" s="16" t="str">
        <x:v>Graduation</x:v>
      </x:c>
      <x:c r="D2030" s="16" t="str">
        <x:v>Married</x:v>
      </x:c>
      <x:c r="E2030" s="16" t="n">
        <x:v>67225</x:v>
      </x:c>
      <x:c r="F2030" s="16" t="n">
        <x:v>0</x:v>
      </x:c>
      <x:c r="G2030" s="16" t="n">
        <x:v>1</x:v>
      </x:c>
      <x:c r="H2030" s="16" t="str">
        <x:v>26-11-2013</x:v>
      </x:c>
      <x:c r="I2030" s="16" t="n">
        <x:v>4</x:v>
      </x:c>
      <x:c r="J2030" s="16" t="n">
        <x:v>315</x:v>
      </x:c>
      <x:c r="K2030" s="16" t="n">
        <x:v>35</x:v>
      </x:c>
      <x:c r="L2030" s="16" t="n">
        <x:v>322</x:v>
      </x:c>
      <x:c r="M2030" s="16" t="n">
        <x:v>46</x:v>
      </x:c>
      <x:c r="N2030" s="16" t="n">
        <x:v>7</x:v>
      </x:c>
      <x:c r="O2030" s="16" t="n">
        <x:v>143</x:v>
      </x:c>
      <x:c r="P2030" s="16" t="n">
        <x:v>3</x:v>
      </x:c>
      <x:c r="Q2030" s="16" t="n">
        <x:v>7</x:v>
      </x:c>
      <x:c r="R2030" s="16" t="n">
        <x:v>2</x:v>
      </x:c>
      <x:c r="S2030" s="16" t="n">
        <x:v>11</x:v>
      </x:c>
      <x:c r="T2030" s="16" t="n">
        <x:v>5</x:v>
      </x:c>
      <x:c r="U2030" s="16" t="n">
        <x:v>0</x:v>
      </x:c>
      <x:c r="V2030" s="16" t="n">
        <x:v>0</x:v>
      </x:c>
      <x:c r="W2030" s="16" t="n">
        <x:v>0</x:v>
      </x:c>
      <x:c r="X2030" s="16" t="n">
        <x:v>0</x:v>
      </x:c>
      <x:c r="Y2030" s="16" t="n">
        <x:v>0</x:v>
      </x:c>
      <x:c r="Z2030" s="16" t="n">
        <x:v>0</x:v>
      </x:c>
      <x:c r="AA2030" s="16" t="n">
        <x:v>3</x:v>
      </x:c>
      <x:c r="AB2030" s="16" t="n">
        <x:v>11</x:v>
      </x:c>
      <x:c r="AC2030" s="16" t="n">
        <x:v>0</x:v>
      </x:c>
      <x:c r="AD2030" s="21" t="n">
        <x:f>IF(E2030="",MEDIAN($E$2:$E$2237),E2030)</x:f>
        <x:v>67225</x:v>
      </x:c>
      <x:c r="AE2030" s="17" t="n">
        <x:f>2014-B2030</x:f>
        <x:v>59</x:v>
      </x:c>
      <x:c r="AF2030" s="17" t="n">
        <x:f>F2030+G2030</x:f>
        <x:v>1</x:v>
      </x:c>
      <x:c r="AG2030" s="21" t="n">
        <x:f>SUM(J2030:O2030)</x:f>
        <x:v>868</x:v>
      </x:c>
      <x:c r="AH2030" s="17" t="n">
        <x:f>SUM(Q2030:S2030)</x:f>
        <x:v>20</x:v>
      </x:c>
      <x:c r="AI2030" s="17" t="n">
        <x:f>SUM(U2030:Y2030)</x:f>
        <x:v>0</x:v>
      </x:c>
      <x:c r="AJ2030" s="17" t="str">
        <x:f>IF(AE2030&lt;=34,"≤34",IF(AE2030&lt;=44,"35–44",IF(AE2030&lt;=54,"45–54",IF(AE2030&lt;=64,"55–64","65+"))))</x:f>
        <x:v>55–64</x:v>
      </x:c>
      <x:c r="AK2030" s="17" t="str">
        <x:f>IF(AG2030&gt;=1000,"High Value",IF(AG2030&gt;=300,"Mid Value","Low Value"))</x:f>
        <x:v>Mid Value</x:v>
      </x:c>
      <x:c r="AL2030" s="17" t="str">
        <x:f>IF(AND(AI2030&gt;=1,I2030&lt;=50),"Priority 1",IF(AND(AG2030&gt;=1000,I2030&lt;=60),"Priority 2",IF(I2030&lt;=30,"Priority 3","Nurture")))</x:f>
        <x:v>Priority 3</x:v>
      </x:c>
    </x:row>
    <x:row r="2031">
      <x:c r="A2031" s="16" t="n">
        <x:v>8625</x:v>
      </x:c>
      <x:c r="B2031" s="16" t="n">
        <x:v>1976</x:v>
      </x:c>
      <x:c r="C2031" s="16" t="str">
        <x:v>Graduation</x:v>
      </x:c>
      <x:c r="D2031" s="16" t="str">
        <x:v>Married</x:v>
      </x:c>
      <x:c r="E2031" s="16" t="n">
        <x:v>17649</x:v>
      </x:c>
      <x:c r="F2031" s="16" t="n">
        <x:v>1</x:v>
      </x:c>
      <x:c r="G2031" s="16" t="n">
        <x:v>0</x:v>
      </x:c>
      <x:c r="H2031" s="16" t="str">
        <x:v>12-11-2013</x:v>
      </x:c>
      <x:c r="I2031" s="16" t="n">
        <x:v>70</x:v>
      </x:c>
      <x:c r="J2031" s="16" t="n">
        <x:v>15</x:v>
      </x:c>
      <x:c r="K2031" s="16" t="n">
        <x:v>1</x:v>
      </x:c>
      <x:c r="L2031" s="16" t="n">
        <x:v>23</x:v>
      </x:c>
      <x:c r="M2031" s="16" t="n">
        <x:v>0</x:v>
      </x:c>
      <x:c r="N2031" s="16" t="n">
        <x:v>5</x:v>
      </x:c>
      <x:c r="O2031" s="16" t="n">
        <x:v>1</x:v>
      </x:c>
      <x:c r="P2031" s="16" t="n">
        <x:v>3</x:v>
      </x:c>
      <x:c r="Q2031" s="16" t="n">
        <x:v>3</x:v>
      </x:c>
      <x:c r="R2031" s="16" t="n">
        <x:v>0</x:v>
      </x:c>
      <x:c r="S2031" s="16" t="n">
        <x:v>3</x:v>
      </x:c>
      <x:c r="T2031" s="16" t="n">
        <x:v>8</x:v>
      </x:c>
      <x:c r="U2031" s="16" t="n">
        <x:v>0</x:v>
      </x:c>
      <x:c r="V2031" s="16" t="n">
        <x:v>0</x:v>
      </x:c>
      <x:c r="W2031" s="16" t="n">
        <x:v>0</x:v>
      </x:c>
      <x:c r="X2031" s="16" t="n">
        <x:v>0</x:v>
      </x:c>
      <x:c r="Y2031" s="16" t="n">
        <x:v>0</x:v>
      </x:c>
      <x:c r="Z2031" s="16" t="n">
        <x:v>0</x:v>
      </x:c>
      <x:c r="AA2031" s="16" t="n">
        <x:v>3</x:v>
      </x:c>
      <x:c r="AB2031" s="16" t="n">
        <x:v>11</x:v>
      </x:c>
      <x:c r="AC2031" s="16" t="n">
        <x:v>0</x:v>
      </x:c>
      <x:c r="AD2031" s="21" t="n">
        <x:f>IF(E2031="",MEDIAN($E$2:$E$2237),E2031)</x:f>
        <x:v>17649</x:v>
      </x:c>
      <x:c r="AE2031" s="17" t="n">
        <x:f>2014-B2031</x:f>
        <x:v>38</x:v>
      </x:c>
      <x:c r="AF2031" s="17" t="n">
        <x:f>F2031+G2031</x:f>
        <x:v>1</x:v>
      </x:c>
      <x:c r="AG2031" s="21" t="n">
        <x:f>SUM(J2031:O2031)</x:f>
        <x:v>45</x:v>
      </x:c>
      <x:c r="AH2031" s="17" t="n">
        <x:f>SUM(Q2031:S2031)</x:f>
        <x:v>6</x:v>
      </x:c>
      <x:c r="AI2031" s="17" t="n">
        <x:f>SUM(U2031:Y2031)</x:f>
        <x:v>0</x:v>
      </x:c>
      <x:c r="AJ2031" s="17" t="str">
        <x:f>IF(AE2031&lt;=34,"≤34",IF(AE2031&lt;=44,"35–44",IF(AE2031&lt;=54,"45–54",IF(AE2031&lt;=64,"55–64","65+"))))</x:f>
        <x:v>35–44</x:v>
      </x:c>
      <x:c r="AK2031" s="17" t="str">
        <x:f>IF(AG2031&gt;=1000,"High Value",IF(AG2031&gt;=300,"Mid Value","Low Value"))</x:f>
        <x:v>Low Value</x:v>
      </x:c>
      <x:c r="AL2031" s="17" t="str">
        <x:f>IF(AND(AI2031&gt;=1,I2031&lt;=50),"Priority 1",IF(AND(AG2031&gt;=1000,I2031&lt;=60),"Priority 2",IF(I2031&lt;=30,"Priority 3","Nurture")))</x:f>
        <x:v>Nurture</x:v>
      </x:c>
    </x:row>
    <x:row r="2032">
      <x:c r="A2032" s="16" t="n">
        <x:v>3491</x:v>
      </x:c>
      <x:c r="B2032" s="16" t="n">
        <x:v>1975</x:v>
      </x:c>
      <x:c r="C2032" s="16" t="str">
        <x:v>Graduation</x:v>
      </x:c>
      <x:c r="D2032" s="16" t="str">
        <x:v>Together</x:v>
      </x:c>
      <x:c r="E2032" s="16" t="n">
        <x:v>55914</x:v>
      </x:c>
      <x:c r="F2032" s="16" t="n">
        <x:v>0</x:v>
      </x:c>
      <x:c r="G2032" s="16" t="n">
        <x:v>1</x:v>
      </x:c>
      <x:c r="H2032" s="16" t="str">
        <x:v>29-04-2013</x:v>
      </x:c>
      <x:c r="I2032" s="16" t="n">
        <x:v>32</x:v>
      </x:c>
      <x:c r="J2032" s="16" t="n">
        <x:v>384</x:v>
      </x:c>
      <x:c r="K2032" s="16" t="n">
        <x:v>60</x:v>
      </x:c>
      <x:c r="L2032" s="16" t="n">
        <x:v>364</x:v>
      </x:c>
      <x:c r="M2032" s="16" t="n">
        <x:v>119</x:v>
      </x:c>
      <x:c r="N2032" s="16" t="n">
        <x:v>101</x:v>
      </x:c>
      <x:c r="O2032" s="16" t="n">
        <x:v>232</x:v>
      </x:c>
      <x:c r="P2032" s="16" t="n">
        <x:v>4</x:v>
      </x:c>
      <x:c r="Q2032" s="16" t="n">
        <x:v>11</x:v>
      </x:c>
      <x:c r="R2032" s="16" t="n">
        <x:v>6</x:v>
      </x:c>
      <x:c r="S2032" s="16" t="n">
        <x:v>8</x:v>
      </x:c>
      <x:c r="T2032" s="16" t="n">
        <x:v>7</x:v>
      </x:c>
      <x:c r="U2032" s="16" t="n">
        <x:v>0</x:v>
      </x:c>
      <x:c r="V2032" s="16" t="n">
        <x:v>0</x:v>
      </x:c>
      <x:c r="W2032" s="16" t="n">
        <x:v>0</x:v>
      </x:c>
      <x:c r="X2032" s="16" t="n">
        <x:v>0</x:v>
      </x:c>
      <x:c r="Y2032" s="16" t="n">
        <x:v>0</x:v>
      </x:c>
      <x:c r="Z2032" s="16" t="n">
        <x:v>0</x:v>
      </x:c>
      <x:c r="AA2032" s="16" t="n">
        <x:v>3</x:v>
      </x:c>
      <x:c r="AB2032" s="16" t="n">
        <x:v>11</x:v>
      </x:c>
      <x:c r="AC2032" s="16" t="n">
        <x:v>0</x:v>
      </x:c>
      <x:c r="AD2032" s="21" t="n">
        <x:f>IF(E2032="",MEDIAN($E$2:$E$2237),E2032)</x:f>
        <x:v>55914</x:v>
      </x:c>
      <x:c r="AE2032" s="17" t="n">
        <x:f>2014-B2032</x:f>
        <x:v>39</x:v>
      </x:c>
      <x:c r="AF2032" s="17" t="n">
        <x:f>F2032+G2032</x:f>
        <x:v>1</x:v>
      </x:c>
      <x:c r="AG2032" s="21" t="n">
        <x:f>SUM(J2032:O2032)</x:f>
        <x:v>1260</x:v>
      </x:c>
      <x:c r="AH2032" s="17" t="n">
        <x:f>SUM(Q2032:S2032)</x:f>
        <x:v>25</x:v>
      </x:c>
      <x:c r="AI2032" s="17" t="n">
        <x:f>SUM(U2032:Y2032)</x:f>
        <x:v>0</x:v>
      </x:c>
      <x:c r="AJ2032" s="17" t="str">
        <x:f>IF(AE2032&lt;=34,"≤34",IF(AE2032&lt;=44,"35–44",IF(AE2032&lt;=54,"45–54",IF(AE2032&lt;=64,"55–64","65+"))))</x:f>
        <x:v>35–44</x:v>
      </x:c>
      <x:c r="AK2032" s="17" t="str">
        <x:f>IF(AG2032&gt;=1000,"High Value",IF(AG2032&gt;=300,"Mid Value","Low Value"))</x:f>
        <x:v>High Value</x:v>
      </x:c>
      <x:c r="AL2032" s="17" t="str">
        <x:f>IF(AND(AI2032&gt;=1,I2032&lt;=50),"Priority 1",IF(AND(AG2032&gt;=1000,I2032&lt;=60),"Priority 2",IF(I2032&lt;=30,"Priority 3","Nurture")))</x:f>
        <x:v>Priority 2</x:v>
      </x:c>
    </x:row>
    <x:row r="2033">
      <x:c r="A2033" s="16" t="n">
        <x:v>983</x:v>
      </x:c>
      <x:c r="B2033" s="16" t="n">
        <x:v>1984</x:v>
      </x:c>
      <x:c r="C2033" s="16" t="str">
        <x:v>Graduation</x:v>
      </x:c>
      <x:c r="D2033" s="16" t="str">
        <x:v>Married</x:v>
      </x:c>
      <x:c r="E2033" s="16" t="n">
        <x:v>40059</x:v>
      </x:c>
      <x:c r="F2033" s="16" t="n">
        <x:v>1</x:v>
      </x:c>
      <x:c r="G2033" s="16" t="n">
        <x:v>0</x:v>
      </x:c>
      <x:c r="H2033" s="16" t="str">
        <x:v>28-09-2013</x:v>
      </x:c>
      <x:c r="I2033" s="16" t="n">
        <x:v>82</x:v>
      </x:c>
      <x:c r="J2033" s="16" t="n">
        <x:v>110</x:v>
      </x:c>
      <x:c r="K2033" s="16" t="n">
        <x:v>29</x:v>
      </x:c>
      <x:c r="L2033" s="16" t="n">
        <x:v>92</x:v>
      </x:c>
      <x:c r="M2033" s="16" t="n">
        <x:v>28</x:v>
      </x:c>
      <x:c r="N2033" s="16" t="n">
        <x:v>10</x:v>
      </x:c>
      <x:c r="O2033" s="16" t="n">
        <x:v>145</x:v>
      </x:c>
      <x:c r="P2033" s="16" t="n">
        <x:v>1</x:v>
      </x:c>
      <x:c r="Q2033" s="16" t="n">
        <x:v>6</x:v>
      </x:c>
      <x:c r="R2033" s="16" t="n">
        <x:v>2</x:v>
      </x:c>
      <x:c r="S2033" s="16" t="n">
        <x:v>3</x:v>
      </x:c>
      <x:c r="T2033" s="16" t="n">
        <x:v>8</x:v>
      </x:c>
      <x:c r="U2033" s="16" t="n">
        <x:v>1</x:v>
      </x:c>
      <x:c r="V2033" s="16" t="n">
        <x:v>0</x:v>
      </x:c>
      <x:c r="W2033" s="16" t="n">
        <x:v>0</x:v>
      </x:c>
      <x:c r="X2033" s="16" t="n">
        <x:v>0</x:v>
      </x:c>
      <x:c r="Y2033" s="16" t="n">
        <x:v>0</x:v>
      </x:c>
      <x:c r="Z2033" s="16" t="n">
        <x:v>0</x:v>
      </x:c>
      <x:c r="AA2033" s="16" t="n">
        <x:v>3</x:v>
      </x:c>
      <x:c r="AB2033" s="16" t="n">
        <x:v>11</x:v>
      </x:c>
      <x:c r="AC2033" s="16" t="n">
        <x:v>0</x:v>
      </x:c>
      <x:c r="AD2033" s="21" t="n">
        <x:f>IF(E2033="",MEDIAN($E$2:$E$2237),E2033)</x:f>
        <x:v>40059</x:v>
      </x:c>
      <x:c r="AE2033" s="17" t="n">
        <x:f>2014-B2033</x:f>
        <x:v>30</x:v>
      </x:c>
      <x:c r="AF2033" s="17" t="n">
        <x:f>F2033+G2033</x:f>
        <x:v>1</x:v>
      </x:c>
      <x:c r="AG2033" s="21" t="n">
        <x:f>SUM(J2033:O2033)</x:f>
        <x:v>414</x:v>
      </x:c>
      <x:c r="AH2033" s="17" t="n">
        <x:f>SUM(Q2033:S2033)</x:f>
        <x:v>11</x:v>
      </x:c>
      <x:c r="AI2033" s="17" t="n">
        <x:f>SUM(U2033:Y2033)</x:f>
        <x:v>1</x:v>
      </x:c>
      <x:c r="AJ2033" s="17" t="str">
        <x:f>IF(AE2033&lt;=34,"≤34",IF(AE2033&lt;=44,"35–44",IF(AE2033&lt;=54,"45–54",IF(AE2033&lt;=64,"55–64","65+"))))</x:f>
        <x:v>≤34</x:v>
      </x:c>
      <x:c r="AK2033" s="17" t="str">
        <x:f>IF(AG2033&gt;=1000,"High Value",IF(AG2033&gt;=300,"Mid Value","Low Value"))</x:f>
        <x:v>Mid Value</x:v>
      </x:c>
      <x:c r="AL2033" s="17" t="str">
        <x:f>IF(AND(AI2033&gt;=1,I2033&lt;=50),"Priority 1",IF(AND(AG2033&gt;=1000,I2033&lt;=60),"Priority 2",IF(I2033&lt;=30,"Priority 3","Nurture")))</x:f>
        <x:v>Nurture</x:v>
      </x:c>
    </x:row>
    <x:row r="2034">
      <x:c r="A2034" s="16" t="n">
        <x:v>9119</x:v>
      </x:c>
      <x:c r="B2034" s="16" t="n">
        <x:v>1950</x:v>
      </x:c>
      <x:c r="C2034" s="16" t="str">
        <x:v>Graduation</x:v>
      </x:c>
      <x:c r="D2034" s="16" t="str">
        <x:v>Together</x:v>
      </x:c>
      <x:c r="E2034" s="16" t="n">
        <x:v>60905</x:v>
      </x:c>
      <x:c r="F2034" s="16" t="n">
        <x:v>0</x:v>
      </x:c>
      <x:c r="G2034" s="16" t="n">
        <x:v>1</x:v>
      </x:c>
      <x:c r="H2034" s="16" t="str">
        <x:v>05-12-2013</x:v>
      </x:c>
      <x:c r="I2034" s="16" t="n">
        <x:v>27</x:v>
      </x:c>
      <x:c r="J2034" s="16" t="n">
        <x:v>208</x:v>
      </x:c>
      <x:c r="K2034" s="16" t="n">
        <x:v>17</x:v>
      </x:c>
      <x:c r="L2034" s="16" t="n">
        <x:v>76</x:v>
      </x:c>
      <x:c r="M2034" s="16" t="n">
        <x:v>36</x:v>
      </x:c>
      <x:c r="N2034" s="16" t="n">
        <x:v>17</x:v>
      </x:c>
      <x:c r="O2034" s="16" t="n">
        <x:v>38</x:v>
      </x:c>
      <x:c r="P2034" s="16" t="n">
        <x:v>2</x:v>
      </x:c>
      <x:c r="Q2034" s="16" t="n">
        <x:v>3</x:v>
      </x:c>
      <x:c r="R2034" s="16" t="n">
        <x:v>3</x:v>
      </x:c>
      <x:c r="S2034" s="16" t="n">
        <x:v>7</x:v>
      </x:c>
      <x:c r="T2034" s="16" t="n">
        <x:v>2</x:v>
      </x:c>
      <x:c r="U2034" s="16" t="n">
        <x:v>0</x:v>
      </x:c>
      <x:c r="V2034" s="16" t="n">
        <x:v>0</x:v>
      </x:c>
      <x:c r="W2034" s="16" t="n">
        <x:v>0</x:v>
      </x:c>
      <x:c r="X2034" s="16" t="n">
        <x:v>0</x:v>
      </x:c>
      <x:c r="Y2034" s="16" t="n">
        <x:v>0</x:v>
      </x:c>
      <x:c r="Z2034" s="16" t="n">
        <x:v>0</x:v>
      </x:c>
      <x:c r="AA2034" s="16" t="n">
        <x:v>3</x:v>
      </x:c>
      <x:c r="AB2034" s="16" t="n">
        <x:v>11</x:v>
      </x:c>
      <x:c r="AC2034" s="16" t="n">
        <x:v>0</x:v>
      </x:c>
      <x:c r="AD2034" s="21" t="n">
        <x:f>IF(E2034="",MEDIAN($E$2:$E$2237),E2034)</x:f>
        <x:v>60905</x:v>
      </x:c>
      <x:c r="AE2034" s="17" t="n">
        <x:f>2014-B2034</x:f>
        <x:v>64</x:v>
      </x:c>
      <x:c r="AF2034" s="17" t="n">
        <x:f>F2034+G2034</x:f>
        <x:v>1</x:v>
      </x:c>
      <x:c r="AG2034" s="21" t="n">
        <x:f>SUM(J2034:O2034)</x:f>
        <x:v>392</x:v>
      </x:c>
      <x:c r="AH2034" s="17" t="n">
        <x:f>SUM(Q2034:S2034)</x:f>
        <x:v>13</x:v>
      </x:c>
      <x:c r="AI2034" s="17" t="n">
        <x:f>SUM(U2034:Y2034)</x:f>
        <x:v>0</x:v>
      </x:c>
      <x:c r="AJ2034" s="17" t="str">
        <x:f>IF(AE2034&lt;=34,"≤34",IF(AE2034&lt;=44,"35–44",IF(AE2034&lt;=54,"45–54",IF(AE2034&lt;=64,"55–64","65+"))))</x:f>
        <x:v>55–64</x:v>
      </x:c>
      <x:c r="AK2034" s="17" t="str">
        <x:f>IF(AG2034&gt;=1000,"High Value",IF(AG2034&gt;=300,"Mid Value","Low Value"))</x:f>
        <x:v>Mid Value</x:v>
      </x:c>
      <x:c r="AL2034" s="17" t="str">
        <x:f>IF(AND(AI2034&gt;=1,I2034&lt;=50),"Priority 1",IF(AND(AG2034&gt;=1000,I2034&lt;=60),"Priority 2",IF(I2034&lt;=30,"Priority 3","Nurture")))</x:f>
        <x:v>Priority 3</x:v>
      </x:c>
    </x:row>
    <x:row r="2035">
      <x:c r="A2035" s="16" t="n">
        <x:v>4786</x:v>
      </x:c>
      <x:c r="B2035" s="16" t="n">
        <x:v>1977</x:v>
      </x:c>
      <x:c r="C2035" s="16" t="str">
        <x:v>Graduation</x:v>
      </x:c>
      <x:c r="D2035" s="16" t="str">
        <x:v>Married</x:v>
      </x:c>
      <x:c r="E2035" s="16" t="n">
        <x:v>75330</x:v>
      </x:c>
      <x:c r="F2035" s="16" t="n">
        <x:v>1</x:v>
      </x:c>
      <x:c r="G2035" s="16" t="n">
        <x:v>1</x:v>
      </x:c>
      <x:c r="H2035" s="16" t="str">
        <x:v>04-10-2012</x:v>
      </x:c>
      <x:c r="I2035" s="16" t="n">
        <x:v>94</x:v>
      </x:c>
      <x:c r="J2035" s="16" t="n">
        <x:v>555</x:v>
      </x:c>
      <x:c r="K2035" s="16" t="n">
        <x:v>82</x:v>
      </x:c>
      <x:c r="L2035" s="16" t="n">
        <x:v>257</x:v>
      </x:c>
      <x:c r="M2035" s="16" t="n">
        <x:v>93</x:v>
      </x:c>
      <x:c r="N2035" s="16" t="n">
        <x:v>61</x:v>
      </x:c>
      <x:c r="O2035" s="16" t="n">
        <x:v>61</x:v>
      </x:c>
      <x:c r="P2035" s="16" t="n">
        <x:v>4</x:v>
      </x:c>
      <x:c r="Q2035" s="16" t="n">
        <x:v>10</x:v>
      </x:c>
      <x:c r="R2035" s="16" t="n">
        <x:v>3</x:v>
      </x:c>
      <x:c r="S2035" s="16" t="n">
        <x:v>12</x:v>
      </x:c>
      <x:c r="T2035" s="16" t="n">
        <x:v>6</x:v>
      </x:c>
      <x:c r="U2035" s="16" t="n">
        <x:v>0</x:v>
      </x:c>
      <x:c r="V2035" s="16" t="n">
        <x:v>0</x:v>
      </x:c>
      <x:c r="W2035" s="16" t="n">
        <x:v>0</x:v>
      </x:c>
      <x:c r="X2035" s="16" t="n">
        <x:v>0</x:v>
      </x:c>
      <x:c r="Y2035" s="16" t="n">
        <x:v>0</x:v>
      </x:c>
      <x:c r="Z2035" s="16" t="n">
        <x:v>0</x:v>
      </x:c>
      <x:c r="AA2035" s="16" t="n">
        <x:v>3</x:v>
      </x:c>
      <x:c r="AB2035" s="16" t="n">
        <x:v>11</x:v>
      </x:c>
      <x:c r="AC2035" s="16" t="n">
        <x:v>0</x:v>
      </x:c>
      <x:c r="AD2035" s="21" t="n">
        <x:f>IF(E2035="",MEDIAN($E$2:$E$2237),E2035)</x:f>
        <x:v>75330</x:v>
      </x:c>
      <x:c r="AE2035" s="17" t="n">
        <x:f>2014-B2035</x:f>
        <x:v>37</x:v>
      </x:c>
      <x:c r="AF2035" s="17" t="n">
        <x:f>F2035+G2035</x:f>
        <x:v>2</x:v>
      </x:c>
      <x:c r="AG2035" s="21" t="n">
        <x:f>SUM(J2035:O2035)</x:f>
        <x:v>1109</x:v>
      </x:c>
      <x:c r="AH2035" s="17" t="n">
        <x:f>SUM(Q2035:S2035)</x:f>
        <x:v>25</x:v>
      </x:c>
      <x:c r="AI2035" s="17" t="n">
        <x:f>SUM(U2035:Y2035)</x:f>
        <x:v>0</x:v>
      </x:c>
      <x:c r="AJ2035" s="17" t="str">
        <x:f>IF(AE2035&lt;=34,"≤34",IF(AE2035&lt;=44,"35–44",IF(AE2035&lt;=54,"45–54",IF(AE2035&lt;=64,"55–64","65+"))))</x:f>
        <x:v>35–44</x:v>
      </x:c>
      <x:c r="AK2035" s="17" t="str">
        <x:f>IF(AG2035&gt;=1000,"High Value",IF(AG2035&gt;=300,"Mid Value","Low Value"))</x:f>
        <x:v>High Value</x:v>
      </x:c>
      <x:c r="AL2035" s="17" t="str">
        <x:f>IF(AND(AI2035&gt;=1,I2035&lt;=50),"Priority 1",IF(AND(AG2035&gt;=1000,I2035&lt;=60),"Priority 2",IF(I2035&lt;=30,"Priority 3","Nurture")))</x:f>
        <x:v>Nurture</x:v>
      </x:c>
    </x:row>
    <x:row r="2036">
      <x:c r="A2036" s="16" t="n">
        <x:v>5872</x:v>
      </x:c>
      <x:c r="B2036" s="16" t="n">
        <x:v>1951</x:v>
      </x:c>
      <x:c r="C2036" s="16" t="str">
        <x:v>Graduation</x:v>
      </x:c>
      <x:c r="D2036" s="16" t="str">
        <x:v>Single</x:v>
      </x:c>
      <x:c r="E2036" s="16" t="n">
        <x:v>60689</x:v>
      </x:c>
      <x:c r="F2036" s="16" t="n">
        <x:v>0</x:v>
      </x:c>
      <x:c r="G2036" s="16" t="n">
        <x:v>1</x:v>
      </x:c>
      <x:c r="H2036" s="16" t="str">
        <x:v>01-06-2013</x:v>
      </x:c>
      <x:c r="I2036" s="16" t="n">
        <x:v>23</x:v>
      </x:c>
      <x:c r="J2036" s="16" t="n">
        <x:v>240</x:v>
      </x:c>
      <x:c r="K2036" s="16" t="n">
        <x:v>90</x:v>
      </x:c>
      <x:c r="L2036" s="16" t="n">
        <x:v>216</x:v>
      </x:c>
      <x:c r="M2036" s="16" t="n">
        <x:v>63</x:v>
      </x:c>
      <x:c r="N2036" s="16" t="n">
        <x:v>6</x:v>
      </x:c>
      <x:c r="O2036" s="16" t="n">
        <x:v>24</x:v>
      </x:c>
      <x:c r="P2036" s="16" t="n">
        <x:v>4</x:v>
      </x:c>
      <x:c r="Q2036" s="16" t="n">
        <x:v>4</x:v>
      </x:c>
      <x:c r="R2036" s="16" t="n">
        <x:v>4</x:v>
      </x:c>
      <x:c r="S2036" s="16" t="n">
        <x:v>10</x:v>
      </x:c>
      <x:c r="T2036" s="16" t="n">
        <x:v>3</x:v>
      </x:c>
      <x:c r="U2036" s="16" t="n">
        <x:v>0</x:v>
      </x:c>
      <x:c r="V2036" s="16" t="n">
        <x:v>0</x:v>
      </x:c>
      <x:c r="W2036" s="16" t="n">
        <x:v>0</x:v>
      </x:c>
      <x:c r="X2036" s="16" t="n">
        <x:v>0</x:v>
      </x:c>
      <x:c r="Y2036" s="16" t="n">
        <x:v>0</x:v>
      </x:c>
      <x:c r="Z2036" s="16" t="n">
        <x:v>0</x:v>
      </x:c>
      <x:c r="AA2036" s="16" t="n">
        <x:v>3</x:v>
      </x:c>
      <x:c r="AB2036" s="16" t="n">
        <x:v>11</x:v>
      </x:c>
      <x:c r="AC2036" s="16" t="n">
        <x:v>0</x:v>
      </x:c>
      <x:c r="AD2036" s="21" t="n">
        <x:f>IF(E2036="",MEDIAN($E$2:$E$2237),E2036)</x:f>
        <x:v>60689</x:v>
      </x:c>
      <x:c r="AE2036" s="17" t="n">
        <x:f>2014-B2036</x:f>
        <x:v>63</x:v>
      </x:c>
      <x:c r="AF2036" s="17" t="n">
        <x:f>F2036+G2036</x:f>
        <x:v>1</x:v>
      </x:c>
      <x:c r="AG2036" s="21" t="n">
        <x:f>SUM(J2036:O2036)</x:f>
        <x:v>639</x:v>
      </x:c>
      <x:c r="AH2036" s="17" t="n">
        <x:f>SUM(Q2036:S2036)</x:f>
        <x:v>18</x:v>
      </x:c>
      <x:c r="AI2036" s="17" t="n">
        <x:f>SUM(U2036:Y2036)</x:f>
        <x:v>0</x:v>
      </x:c>
      <x:c r="AJ2036" s="17" t="str">
        <x:f>IF(AE2036&lt;=34,"≤34",IF(AE2036&lt;=44,"35–44",IF(AE2036&lt;=54,"45–54",IF(AE2036&lt;=64,"55–64","65+"))))</x:f>
        <x:v>55–64</x:v>
      </x:c>
      <x:c r="AK2036" s="17" t="str">
        <x:f>IF(AG2036&gt;=1000,"High Value",IF(AG2036&gt;=300,"Mid Value","Low Value"))</x:f>
        <x:v>Mid Value</x:v>
      </x:c>
      <x:c r="AL2036" s="17" t="str">
        <x:f>IF(AND(AI2036&gt;=1,I2036&lt;=50),"Priority 1",IF(AND(AG2036&gt;=1000,I2036&lt;=60),"Priority 2",IF(I2036&lt;=30,"Priority 3","Nurture")))</x:f>
        <x:v>Priority 3</x:v>
      </x:c>
    </x:row>
    <x:row r="2037">
      <x:c r="A2037" s="16" t="n">
        <x:v>6568</x:v>
      </x:c>
      <x:c r="B2037" s="16" t="n">
        <x:v>1984</x:v>
      </x:c>
      <x:c r="C2037" s="16" t="str">
        <x:v>Graduation</x:v>
      </x:c>
      <x:c r="D2037" s="16" t="str">
        <x:v>Married</x:v>
      </x:c>
      <x:c r="E2037" s="16" t="n">
        <x:v>38680</x:v>
      </x:c>
      <x:c r="F2037" s="16" t="n">
        <x:v>1</x:v>
      </x:c>
      <x:c r="G2037" s="16" t="n">
        <x:v>0</x:v>
      </x:c>
      <x:c r="H2037" s="16" t="str">
        <x:v>28-03-2013</x:v>
      </x:c>
      <x:c r="I2037" s="16" t="n">
        <x:v>97</x:v>
      </x:c>
      <x:c r="J2037" s="16" t="n">
        <x:v>11</x:v>
      </x:c>
      <x:c r="K2037" s="16" t="n">
        <x:v>0</x:v>
      </x:c>
      <x:c r="L2037" s="16" t="n">
        <x:v>36</x:v>
      </x:c>
      <x:c r="M2037" s="16" t="n">
        <x:v>15</x:v>
      </x:c>
      <x:c r="N2037" s="16" t="n">
        <x:v>5</x:v>
      </x:c>
      <x:c r="O2037" s="16" t="n">
        <x:v>12</x:v>
      </x:c>
      <x:c r="P2037" s="16" t="n">
        <x:v>1</x:v>
      </x:c>
      <x:c r="Q2037" s="16" t="n">
        <x:v>2</x:v>
      </x:c>
      <x:c r="R2037" s="16" t="n">
        <x:v>0</x:v>
      </x:c>
      <x:c r="S2037" s="16" t="n">
        <x:v>3</x:v>
      </x:c>
      <x:c r="T2037" s="16" t="n">
        <x:v>7</x:v>
      </x:c>
      <x:c r="U2037" s="16" t="n">
        <x:v>0</x:v>
      </x:c>
      <x:c r="V2037" s="16" t="n">
        <x:v>0</x:v>
      </x:c>
      <x:c r="W2037" s="16" t="n">
        <x:v>0</x:v>
      </x:c>
      <x:c r="X2037" s="16" t="n">
        <x:v>0</x:v>
      </x:c>
      <x:c r="Y2037" s="16" t="n">
        <x:v>0</x:v>
      </x:c>
      <x:c r="Z2037" s="16" t="n">
        <x:v>0</x:v>
      </x:c>
      <x:c r="AA2037" s="16" t="n">
        <x:v>3</x:v>
      </x:c>
      <x:c r="AB2037" s="16" t="n">
        <x:v>11</x:v>
      </x:c>
      <x:c r="AC2037" s="16" t="n">
        <x:v>0</x:v>
      </x:c>
      <x:c r="AD2037" s="21" t="n">
        <x:f>IF(E2037="",MEDIAN($E$2:$E$2237),E2037)</x:f>
        <x:v>38680</x:v>
      </x:c>
      <x:c r="AE2037" s="17" t="n">
        <x:f>2014-B2037</x:f>
        <x:v>30</x:v>
      </x:c>
      <x:c r="AF2037" s="17" t="n">
        <x:f>F2037+G2037</x:f>
        <x:v>1</x:v>
      </x:c>
      <x:c r="AG2037" s="21" t="n">
        <x:f>SUM(J2037:O2037)</x:f>
        <x:v>79</x:v>
      </x:c>
      <x:c r="AH2037" s="17" t="n">
        <x:f>SUM(Q2037:S2037)</x:f>
        <x:v>5</x:v>
      </x:c>
      <x:c r="AI2037" s="17" t="n">
        <x:f>SUM(U2037:Y2037)</x:f>
        <x:v>0</x:v>
      </x:c>
      <x:c r="AJ2037" s="17" t="str">
        <x:f>IF(AE2037&lt;=34,"≤34",IF(AE2037&lt;=44,"35–44",IF(AE2037&lt;=54,"45–54",IF(AE2037&lt;=64,"55–64","65+"))))</x:f>
        <x:v>≤34</x:v>
      </x:c>
      <x:c r="AK2037" s="17" t="str">
        <x:f>IF(AG2037&gt;=1000,"High Value",IF(AG2037&gt;=300,"Mid Value","Low Value"))</x:f>
        <x:v>Low Value</x:v>
      </x:c>
      <x:c r="AL2037" s="17" t="str">
        <x:f>IF(AND(AI2037&gt;=1,I2037&lt;=50),"Priority 1",IF(AND(AG2037&gt;=1000,I2037&lt;=60),"Priority 2",IF(I2037&lt;=30,"Priority 3","Nurture")))</x:f>
        <x:v>Nurture</x:v>
      </x:c>
    </x:row>
    <x:row r="2038">
      <x:c r="A2038" s="16" t="n">
        <x:v>5628</x:v>
      </x:c>
      <x:c r="B2038" s="16" t="n">
        <x:v>1982</x:v>
      </x:c>
      <x:c r="C2038" s="16" t="str">
        <x:v>Graduation</x:v>
      </x:c>
      <x:c r="D2038" s="16" t="str">
        <x:v>Together</x:v>
      </x:c>
      <x:c r="E2038" s="16" t="n">
        <x:v>61416</x:v>
      </x:c>
      <x:c r="F2038" s="16" t="n">
        <x:v>0</x:v>
      </x:c>
      <x:c r="G2038" s="16" t="n">
        <x:v>0</x:v>
      </x:c>
      <x:c r="H2038" s="16" t="str">
        <x:v>08-02-2013</x:v>
      </x:c>
      <x:c r="I2038" s="16" t="n">
        <x:v>25</x:v>
      </x:c>
      <x:c r="J2038" s="16" t="n">
        <x:v>848</x:v>
      </x:c>
      <x:c r="K2038" s="16" t="n">
        <x:v>154</x:v>
      </x:c>
      <x:c r="L2038" s="16" t="n">
        <x:v>323</x:v>
      </x:c>
      <x:c r="M2038" s="16" t="n">
        <x:v>201</x:v>
      </x:c>
      <x:c r="N2038" s="16" t="n">
        <x:v>61</x:v>
      </x:c>
      <x:c r="O2038" s="16" t="n">
        <x:v>78</x:v>
      </x:c>
      <x:c r="P2038" s="16" t="n">
        <x:v>1</x:v>
      </x:c>
      <x:c r="Q2038" s="16" t="n">
        <x:v>10</x:v>
      </x:c>
      <x:c r="R2038" s="16" t="n">
        <x:v>3</x:v>
      </x:c>
      <x:c r="S2038" s="16" t="n">
        <x:v>10</x:v>
      </x:c>
      <x:c r="T2038" s="16" t="n">
        <x:v>6</x:v>
      </x:c>
      <x:c r="U2038" s="16" t="n">
        <x:v>1</x:v>
      </x:c>
      <x:c r="V2038" s="16" t="n">
        <x:v>0</x:v>
      </x:c>
      <x:c r="W2038" s="16" t="n">
        <x:v>0</x:v>
      </x:c>
      <x:c r="X2038" s="16" t="n">
        <x:v>0</x:v>
      </x:c>
      <x:c r="Y2038" s="16" t="n">
        <x:v>0</x:v>
      </x:c>
      <x:c r="Z2038" s="16" t="n">
        <x:v>0</x:v>
      </x:c>
      <x:c r="AA2038" s="16" t="n">
        <x:v>3</x:v>
      </x:c>
      <x:c r="AB2038" s="16" t="n">
        <x:v>11</x:v>
      </x:c>
      <x:c r="AC2038" s="16" t="n">
        <x:v>0</x:v>
      </x:c>
      <x:c r="AD2038" s="21" t="n">
        <x:f>IF(E2038="",MEDIAN($E$2:$E$2237),E2038)</x:f>
        <x:v>61416</x:v>
      </x:c>
      <x:c r="AE2038" s="17" t="n">
        <x:f>2014-B2038</x:f>
        <x:v>32</x:v>
      </x:c>
      <x:c r="AF2038" s="17" t="n">
        <x:f>F2038+G2038</x:f>
        <x:v>0</x:v>
      </x:c>
      <x:c r="AG2038" s="21" t="n">
        <x:f>SUM(J2038:O2038)</x:f>
        <x:v>1665</x:v>
      </x:c>
      <x:c r="AH2038" s="17" t="n">
        <x:f>SUM(Q2038:S2038)</x:f>
        <x:v>23</x:v>
      </x:c>
      <x:c r="AI2038" s="17" t="n">
        <x:f>SUM(U2038:Y2038)</x:f>
        <x:v>1</x:v>
      </x:c>
      <x:c r="AJ2038" s="17" t="str">
        <x:f>IF(AE2038&lt;=34,"≤34",IF(AE2038&lt;=44,"35–44",IF(AE2038&lt;=54,"45–54",IF(AE2038&lt;=64,"55–64","65+"))))</x:f>
        <x:v>≤34</x:v>
      </x:c>
      <x:c r="AK2038" s="17" t="str">
        <x:f>IF(AG2038&gt;=1000,"High Value",IF(AG2038&gt;=300,"Mid Value","Low Value"))</x:f>
        <x:v>High Value</x:v>
      </x:c>
      <x:c r="AL2038" s="17" t="str">
        <x:f>IF(AND(AI2038&gt;=1,I2038&lt;=50),"Priority 1",IF(AND(AG2038&gt;=1000,I2038&lt;=60),"Priority 2",IF(I2038&lt;=30,"Priority 3","Nurture")))</x:f>
        <x:v>Priority 1</x:v>
      </x:c>
    </x:row>
    <x:row r="2039">
      <x:c r="A2039" s="16" t="n">
        <x:v>5631</x:v>
      </x:c>
      <x:c r="B2039" s="16" t="n">
        <x:v>1991</x:v>
      </x:c>
      <x:c r="C2039" s="16" t="str">
        <x:v>Graduation</x:v>
      </x:c>
      <x:c r="D2039" s="16" t="str">
        <x:v>Single</x:v>
      </x:c>
      <x:c r="E2039" s="16" t="n">
        <x:v>49767</x:v>
      </x:c>
      <x:c r="F2039" s="16" t="n">
        <x:v>0</x:v>
      </x:c>
      <x:c r="G2039" s="16" t="n">
        <x:v>0</x:v>
      </x:c>
      <x:c r="H2039" s="16" t="str">
        <x:v>02-05-2013</x:v>
      </x:c>
      <x:c r="I2039" s="16" t="n">
        <x:v>92</x:v>
      </x:c>
      <x:c r="J2039" s="16" t="n">
        <x:v>202</x:v>
      </x:c>
      <x:c r="K2039" s="16" t="n">
        <x:v>47</x:v>
      </x:c>
      <x:c r="L2039" s="16" t="n">
        <x:v>197</x:v>
      </x:c>
      <x:c r="M2039" s="16" t="n">
        <x:v>55</x:v>
      </x:c>
      <x:c r="N2039" s="16" t="n">
        <x:v>42</x:v>
      </x:c>
      <x:c r="O2039" s="16" t="n">
        <x:v>149</x:v>
      </x:c>
      <x:c r="P2039" s="16" t="n">
        <x:v>1</x:v>
      </x:c>
      <x:c r="Q2039" s="16" t="n">
        <x:v>5</x:v>
      </x:c>
      <x:c r="R2039" s="16" t="n">
        <x:v>4</x:v>
      </x:c>
      <x:c r="S2039" s="16" t="n">
        <x:v>8</x:v>
      </x:c>
      <x:c r="T2039" s="16" t="n">
        <x:v>4</x:v>
      </x:c>
      <x:c r="U2039" s="16" t="n">
        <x:v>0</x:v>
      </x:c>
      <x:c r="V2039" s="16" t="n">
        <x:v>0</x:v>
      </x:c>
      <x:c r="W2039" s="16" t="n">
        <x:v>0</x:v>
      </x:c>
      <x:c r="X2039" s="16" t="n">
        <x:v>0</x:v>
      </x:c>
      <x:c r="Y2039" s="16" t="n">
        <x:v>0</x:v>
      </x:c>
      <x:c r="Z2039" s="16" t="n">
        <x:v>0</x:v>
      </x:c>
      <x:c r="AA2039" s="16" t="n">
        <x:v>3</x:v>
      </x:c>
      <x:c r="AB2039" s="16" t="n">
        <x:v>11</x:v>
      </x:c>
      <x:c r="AC2039" s="16" t="n">
        <x:v>0</x:v>
      </x:c>
      <x:c r="AD2039" s="21" t="n">
        <x:f>IF(E2039="",MEDIAN($E$2:$E$2237),E2039)</x:f>
        <x:v>49767</x:v>
      </x:c>
      <x:c r="AE2039" s="17" t="n">
        <x:f>2014-B2039</x:f>
        <x:v>23</x:v>
      </x:c>
      <x:c r="AF2039" s="17" t="n">
        <x:f>F2039+G2039</x:f>
        <x:v>0</x:v>
      </x:c>
      <x:c r="AG2039" s="21" t="n">
        <x:f>SUM(J2039:O2039)</x:f>
        <x:v>692</x:v>
      </x:c>
      <x:c r="AH2039" s="17" t="n">
        <x:f>SUM(Q2039:S2039)</x:f>
        <x:v>17</x:v>
      </x:c>
      <x:c r="AI2039" s="17" t="n">
        <x:f>SUM(U2039:Y2039)</x:f>
        <x:v>0</x:v>
      </x:c>
      <x:c r="AJ2039" s="17" t="str">
        <x:f>IF(AE2039&lt;=34,"≤34",IF(AE2039&lt;=44,"35–44",IF(AE2039&lt;=54,"45–54",IF(AE2039&lt;=64,"55–64","65+"))))</x:f>
        <x:v>≤34</x:v>
      </x:c>
      <x:c r="AK2039" s="17" t="str">
        <x:f>IF(AG2039&gt;=1000,"High Value",IF(AG2039&gt;=300,"Mid Value","Low Value"))</x:f>
        <x:v>Mid Value</x:v>
      </x:c>
      <x:c r="AL2039" s="17" t="str">
        <x:f>IF(AND(AI2039&gt;=1,I2039&lt;=50),"Priority 1",IF(AND(AG2039&gt;=1000,I2039&lt;=60),"Priority 2",IF(I2039&lt;=30,"Priority 3","Nurture")))</x:f>
        <x:v>Nurture</x:v>
      </x:c>
    </x:row>
    <x:row r="2040">
      <x:c r="A2040" s="16" t="n">
        <x:v>4974</x:v>
      </x:c>
      <x:c r="B2040" s="16" t="n">
        <x:v>1970</x:v>
      </x:c>
      <x:c r="C2040" s="16" t="str">
        <x:v>Graduation</x:v>
      </x:c>
      <x:c r="D2040" s="16" t="str">
        <x:v>Single</x:v>
      </x:c>
      <x:c r="E2040" s="16" t="n">
        <x:v>83273</x:v>
      </x:c>
      <x:c r="F2040" s="16" t="n">
        <x:v>1</x:v>
      </x:c>
      <x:c r="G2040" s="16" t="n">
        <x:v>2</x:v>
      </x:c>
      <x:c r="H2040" s="16" t="str">
        <x:v>25-09-2012</x:v>
      </x:c>
      <x:c r="I2040" s="16" t="n">
        <x:v>98</x:v>
      </x:c>
      <x:c r="J2040" s="16" t="n">
        <x:v>433</x:v>
      </x:c>
      <x:c r="K2040" s="16" t="n">
        <x:v>89</x:v>
      </x:c>
      <x:c r="L2040" s="16" t="n">
        <x:v>650</x:v>
      </x:c>
      <x:c r="M2040" s="16" t="n">
        <x:v>16</x:v>
      </x:c>
      <x:c r="N2040" s="16" t="n">
        <x:v>102</x:v>
      </x:c>
      <x:c r="O2040" s="16" t="n">
        <x:v>102</x:v>
      </x:c>
      <x:c r="P2040" s="16" t="n">
        <x:v>10</x:v>
      </x:c>
      <x:c r="Q2040" s="16" t="n">
        <x:v>4</x:v>
      </x:c>
      <x:c r="R2040" s="16" t="n">
        <x:v>6</x:v>
      </x:c>
      <x:c r="S2040" s="16" t="n">
        <x:v>9</x:v>
      </x:c>
      <x:c r="T2040" s="16" t="n">
        <x:v>7</x:v>
      </x:c>
      <x:c r="U2040" s="16" t="n">
        <x:v>0</x:v>
      </x:c>
      <x:c r="V2040" s="16" t="n">
        <x:v>0</x:v>
      </x:c>
      <x:c r="W2040" s="16" t="n">
        <x:v>0</x:v>
      </x:c>
      <x:c r="X2040" s="16" t="n">
        <x:v>0</x:v>
      </x:c>
      <x:c r="Y2040" s="16" t="n">
        <x:v>0</x:v>
      </x:c>
      <x:c r="Z2040" s="16" t="n">
        <x:v>0</x:v>
      </x:c>
      <x:c r="AA2040" s="16" t="n">
        <x:v>3</x:v>
      </x:c>
      <x:c r="AB2040" s="16" t="n">
        <x:v>11</x:v>
      </x:c>
      <x:c r="AC2040" s="16" t="n">
        <x:v>0</x:v>
      </x:c>
      <x:c r="AD2040" s="21" t="n">
        <x:f>IF(E2040="",MEDIAN($E$2:$E$2237),E2040)</x:f>
        <x:v>83273</x:v>
      </x:c>
      <x:c r="AE2040" s="17" t="n">
        <x:f>2014-B2040</x:f>
        <x:v>44</x:v>
      </x:c>
      <x:c r="AF2040" s="17" t="n">
        <x:f>F2040+G2040</x:f>
        <x:v>3</x:v>
      </x:c>
      <x:c r="AG2040" s="21" t="n">
        <x:f>SUM(J2040:O2040)</x:f>
        <x:v>1392</x:v>
      </x:c>
      <x:c r="AH2040" s="17" t="n">
        <x:f>SUM(Q2040:S2040)</x:f>
        <x:v>19</x:v>
      </x:c>
      <x:c r="AI2040" s="17" t="n">
        <x:f>SUM(U2040:Y2040)</x:f>
        <x:v>0</x:v>
      </x:c>
      <x:c r="AJ2040" s="17" t="str">
        <x:f>IF(AE2040&lt;=34,"≤34",IF(AE2040&lt;=44,"35–44",IF(AE2040&lt;=54,"45–54",IF(AE2040&lt;=64,"55–64","65+"))))</x:f>
        <x:v>35–44</x:v>
      </x:c>
      <x:c r="AK2040" s="17" t="str">
        <x:f>IF(AG2040&gt;=1000,"High Value",IF(AG2040&gt;=300,"Mid Value","Low Value"))</x:f>
        <x:v>High Value</x:v>
      </x:c>
      <x:c r="AL2040" s="17" t="str">
        <x:f>IF(AND(AI2040&gt;=1,I2040&lt;=50),"Priority 1",IF(AND(AG2040&gt;=1000,I2040&lt;=60),"Priority 2",IF(I2040&lt;=30,"Priority 3","Nurture")))</x:f>
        <x:v>Nurture</x:v>
      </x:c>
    </x:row>
    <x:row r="2041">
      <x:c r="A2041" s="16" t="n">
        <x:v>8416</x:v>
      </x:c>
      <x:c r="B2041" s="16" t="n">
        <x:v>1981</x:v>
      </x:c>
      <x:c r="C2041" s="16" t="str">
        <x:v>Graduation</x:v>
      </x:c>
      <x:c r="D2041" s="16" t="str">
        <x:v>Married</x:v>
      </x:c>
      <x:c r="E2041" s="16" t="n">
        <x:v>29009</x:v>
      </x:c>
      <x:c r="F2041" s="16" t="n">
        <x:v>1</x:v>
      </x:c>
      <x:c r="G2041" s="16" t="n">
        <x:v>0</x:v>
      </x:c>
      <x:c r="H2041" s="16" t="str">
        <x:v>29-11-2013</x:v>
      </x:c>
      <x:c r="I2041" s="16" t="n">
        <x:v>19</x:v>
      </x:c>
      <x:c r="J2041" s="16" t="n">
        <x:v>6</x:v>
      </x:c>
      <x:c r="K2041" s="16" t="n">
        <x:v>6</x:v>
      </x:c>
      <x:c r="L2041" s="16" t="n">
        <x:v>15</x:v>
      </x:c>
      <x:c r="M2041" s="16" t="n">
        <x:v>10</x:v>
      </x:c>
      <x:c r="N2041" s="16" t="n">
        <x:v>5</x:v>
      </x:c>
      <x:c r="O2041" s="16" t="n">
        <x:v>2</x:v>
      </x:c>
      <x:c r="P2041" s="16" t="n">
        <x:v>2</x:v>
      </x:c>
      <x:c r="Q2041" s="16" t="n">
        <x:v>2</x:v>
      </x:c>
      <x:c r="R2041" s="16" t="n">
        <x:v>0</x:v>
      </x:c>
      <x:c r="S2041" s="16" t="n">
        <x:v>3</x:v>
      </x:c>
      <x:c r="T2041" s="16" t="n">
        <x:v>6</x:v>
      </x:c>
      <x:c r="U2041" s="16" t="n">
        <x:v>0</x:v>
      </x:c>
      <x:c r="V2041" s="16" t="n">
        <x:v>0</x:v>
      </x:c>
      <x:c r="W2041" s="16" t="n">
        <x:v>0</x:v>
      </x:c>
      <x:c r="X2041" s="16" t="n">
        <x:v>0</x:v>
      </x:c>
      <x:c r="Y2041" s="16" t="n">
        <x:v>0</x:v>
      </x:c>
      <x:c r="Z2041" s="16" t="n">
        <x:v>0</x:v>
      </x:c>
      <x:c r="AA2041" s="16" t="n">
        <x:v>3</x:v>
      </x:c>
      <x:c r="AB2041" s="16" t="n">
        <x:v>11</x:v>
      </x:c>
      <x:c r="AC2041" s="16" t="n">
        <x:v>0</x:v>
      </x:c>
      <x:c r="AD2041" s="21" t="n">
        <x:f>IF(E2041="",MEDIAN($E$2:$E$2237),E2041)</x:f>
        <x:v>29009</x:v>
      </x:c>
      <x:c r="AE2041" s="17" t="n">
        <x:f>2014-B2041</x:f>
        <x:v>33</x:v>
      </x:c>
      <x:c r="AF2041" s="17" t="n">
        <x:f>F2041+G2041</x:f>
        <x:v>1</x:v>
      </x:c>
      <x:c r="AG2041" s="21" t="n">
        <x:f>SUM(J2041:O2041)</x:f>
        <x:v>44</x:v>
      </x:c>
      <x:c r="AH2041" s="17" t="n">
        <x:f>SUM(Q2041:S2041)</x:f>
        <x:v>5</x:v>
      </x:c>
      <x:c r="AI2041" s="17" t="n">
        <x:f>SUM(U2041:Y2041)</x:f>
        <x:v>0</x:v>
      </x:c>
      <x:c r="AJ2041" s="17" t="str">
        <x:f>IF(AE2041&lt;=34,"≤34",IF(AE2041&lt;=44,"35–44",IF(AE2041&lt;=54,"45–54",IF(AE2041&lt;=64,"55–64","65+"))))</x:f>
        <x:v>≤34</x:v>
      </x:c>
      <x:c r="AK2041" s="17" t="str">
        <x:f>IF(AG2041&gt;=1000,"High Value",IF(AG2041&gt;=300,"Mid Value","Low Value"))</x:f>
        <x:v>Low Value</x:v>
      </x:c>
      <x:c r="AL2041" s="17" t="str">
        <x:f>IF(AND(AI2041&gt;=1,I2041&lt;=50),"Priority 1",IF(AND(AG2041&gt;=1000,I2041&lt;=60),"Priority 2",IF(I2041&lt;=30,"Priority 3","Nurture")))</x:f>
        <x:v>Priority 3</x:v>
      </x:c>
    </x:row>
    <x:row r="2042">
      <x:c r="A2042" s="16" t="n">
        <x:v>5454</x:v>
      </x:c>
      <x:c r="B2042" s="16" t="n">
        <x:v>1979</x:v>
      </x:c>
      <x:c r="C2042" s="16" t="str">
        <x:v>Master</x:v>
      </x:c>
      <x:c r="D2042" s="16" t="str">
        <x:v>Married</x:v>
      </x:c>
      <x:c r="E2042" s="16" t="n">
        <x:v>45057</x:v>
      </x:c>
      <x:c r="F2042" s="16" t="n">
        <x:v>1</x:v>
      </x:c>
      <x:c r="G2042" s="16" t="n">
        <x:v>0</x:v>
      </x:c>
      <x:c r="H2042" s="16" t="str">
        <x:v>01-12-2013</x:v>
      </x:c>
      <x:c r="I2042" s="16" t="n">
        <x:v>80</x:v>
      </x:c>
      <x:c r="J2042" s="16" t="n">
        <x:v>37</x:v>
      </x:c>
      <x:c r="K2042" s="16" t="n">
        <x:v>0</x:v>
      </x:c>
      <x:c r="L2042" s="16" t="n">
        <x:v>7</x:v>
      </x:c>
      <x:c r="M2042" s="16" t="n">
        <x:v>3</x:v>
      </x:c>
      <x:c r="N2042" s="16" t="n">
        <x:v>0</x:v>
      </x:c>
      <x:c r="O2042" s="16" t="n">
        <x:v>3</x:v>
      </x:c>
      <x:c r="P2042" s="16" t="n">
        <x:v>1</x:v>
      </x:c>
      <x:c r="Q2042" s="16" t="n">
        <x:v>2</x:v>
      </x:c>
      <x:c r="R2042" s="16" t="n">
        <x:v>0</x:v>
      </x:c>
      <x:c r="S2042" s="16" t="n">
        <x:v>3</x:v>
      </x:c>
      <x:c r="T2042" s="16" t="n">
        <x:v>5</x:v>
      </x:c>
      <x:c r="U2042" s="16" t="n">
        <x:v>0</x:v>
      </x:c>
      <x:c r="V2042" s="16" t="n">
        <x:v>0</x:v>
      </x:c>
      <x:c r="W2042" s="16" t="n">
        <x:v>0</x:v>
      </x:c>
      <x:c r="X2042" s="16" t="n">
        <x:v>0</x:v>
      </x:c>
      <x:c r="Y2042" s="16" t="n">
        <x:v>0</x:v>
      </x:c>
      <x:c r="Z2042" s="16" t="n">
        <x:v>0</x:v>
      </x:c>
      <x:c r="AA2042" s="16" t="n">
        <x:v>3</x:v>
      </x:c>
      <x:c r="AB2042" s="16" t="n">
        <x:v>11</x:v>
      </x:c>
      <x:c r="AC2042" s="16" t="n">
        <x:v>0</x:v>
      </x:c>
      <x:c r="AD2042" s="21" t="n">
        <x:f>IF(E2042="",MEDIAN($E$2:$E$2237),E2042)</x:f>
        <x:v>45057</x:v>
      </x:c>
      <x:c r="AE2042" s="17" t="n">
        <x:f>2014-B2042</x:f>
        <x:v>35</x:v>
      </x:c>
      <x:c r="AF2042" s="17" t="n">
        <x:f>F2042+G2042</x:f>
        <x:v>1</x:v>
      </x:c>
      <x:c r="AG2042" s="21" t="n">
        <x:f>SUM(J2042:O2042)</x:f>
        <x:v>50</x:v>
      </x:c>
      <x:c r="AH2042" s="17" t="n">
        <x:f>SUM(Q2042:S2042)</x:f>
        <x:v>5</x:v>
      </x:c>
      <x:c r="AI2042" s="17" t="n">
        <x:f>SUM(U2042:Y2042)</x:f>
        <x:v>0</x:v>
      </x:c>
      <x:c r="AJ2042" s="17" t="str">
        <x:f>IF(AE2042&lt;=34,"≤34",IF(AE2042&lt;=44,"35–44",IF(AE2042&lt;=54,"45–54",IF(AE2042&lt;=64,"55–64","65+"))))</x:f>
        <x:v>35–44</x:v>
      </x:c>
      <x:c r="AK2042" s="17" t="str">
        <x:f>IF(AG2042&gt;=1000,"High Value",IF(AG2042&gt;=300,"Mid Value","Low Value"))</x:f>
        <x:v>Low Value</x:v>
      </x:c>
      <x:c r="AL2042" s="17" t="str">
        <x:f>IF(AND(AI2042&gt;=1,I2042&lt;=50),"Priority 1",IF(AND(AG2042&gt;=1000,I2042&lt;=60),"Priority 2",IF(I2042&lt;=30,"Priority 3","Nurture")))</x:f>
        <x:v>Nurture</x:v>
      </x:c>
    </x:row>
    <x:row r="2043">
      <x:c r="A2043" s="16" t="n">
        <x:v>4095</x:v>
      </x:c>
      <x:c r="B2043" s="16" t="n">
        <x:v>1971</x:v>
      </x:c>
      <x:c r="C2043" s="16" t="str">
        <x:v>Graduation</x:v>
      </x:c>
      <x:c r="D2043" s="16" t="str">
        <x:v>Married</x:v>
      </x:c>
      <x:c r="E2043" s="16" t="n">
        <x:v>37150</x:v>
      </x:c>
      <x:c r="F2043" s="16" t="n">
        <x:v>1</x:v>
      </x:c>
      <x:c r="G2043" s="16" t="n">
        <x:v>0</x:v>
      </x:c>
      <x:c r="H2043" s="16" t="str">
        <x:v>11-09-2012</x:v>
      </x:c>
      <x:c r="I2043" s="16" t="n">
        <x:v>80</x:v>
      </x:c>
      <x:c r="J2043" s="16" t="n">
        <x:v>167</x:v>
      </x:c>
      <x:c r="K2043" s="16" t="n">
        <x:v>37</x:v>
      </x:c>
      <x:c r="L2043" s="16" t="n">
        <x:v>64</x:v>
      </x:c>
      <x:c r="M2043" s="16" t="n">
        <x:v>49</x:v>
      </x:c>
      <x:c r="N2043" s="16" t="n">
        <x:v>34</x:v>
      </x:c>
      <x:c r="O2043" s="16" t="n">
        <x:v>116</x:v>
      </x:c>
      <x:c r="P2043" s="16" t="n">
        <x:v>8</x:v>
      </x:c>
      <x:c r="Q2043" s="16" t="n">
        <x:v>4</x:v>
      </x:c>
      <x:c r="R2043" s="16" t="n">
        <x:v>3</x:v>
      </x:c>
      <x:c r="S2043" s="16" t="n">
        <x:v>6</x:v>
      </x:c>
      <x:c r="T2043" s="16" t="n">
        <x:v>7</x:v>
      </x:c>
      <x:c r="U2043" s="16" t="n">
        <x:v>0</x:v>
      </x:c>
      <x:c r="V2043" s="16" t="n">
        <x:v>0</x:v>
      </x:c>
      <x:c r="W2043" s="16" t="n">
        <x:v>0</x:v>
      </x:c>
      <x:c r="X2043" s="16" t="n">
        <x:v>0</x:v>
      </x:c>
      <x:c r="Y2043" s="16" t="n">
        <x:v>0</x:v>
      </x:c>
      <x:c r="Z2043" s="16" t="n">
        <x:v>0</x:v>
      </x:c>
      <x:c r="AA2043" s="16" t="n">
        <x:v>3</x:v>
      </x:c>
      <x:c r="AB2043" s="16" t="n">
        <x:v>11</x:v>
      </x:c>
      <x:c r="AC2043" s="16" t="n">
        <x:v>0</x:v>
      </x:c>
      <x:c r="AD2043" s="21" t="n">
        <x:f>IF(E2043="",MEDIAN($E$2:$E$2237),E2043)</x:f>
        <x:v>37150</x:v>
      </x:c>
      <x:c r="AE2043" s="17" t="n">
        <x:f>2014-B2043</x:f>
        <x:v>43</x:v>
      </x:c>
      <x:c r="AF2043" s="17" t="n">
        <x:f>F2043+G2043</x:f>
        <x:v>1</x:v>
      </x:c>
      <x:c r="AG2043" s="21" t="n">
        <x:f>SUM(J2043:O2043)</x:f>
        <x:v>467</x:v>
      </x:c>
      <x:c r="AH2043" s="17" t="n">
        <x:f>SUM(Q2043:S2043)</x:f>
        <x:v>13</x:v>
      </x:c>
      <x:c r="AI2043" s="17" t="n">
        <x:f>SUM(U2043:Y2043)</x:f>
        <x:v>0</x:v>
      </x:c>
      <x:c r="AJ2043" s="17" t="str">
        <x:f>IF(AE2043&lt;=34,"≤34",IF(AE2043&lt;=44,"35–44",IF(AE2043&lt;=54,"45–54",IF(AE2043&lt;=64,"55–64","65+"))))</x:f>
        <x:v>35–44</x:v>
      </x:c>
      <x:c r="AK2043" s="17" t="str">
        <x:f>IF(AG2043&gt;=1000,"High Value",IF(AG2043&gt;=300,"Mid Value","Low Value"))</x:f>
        <x:v>Mid Value</x:v>
      </x:c>
      <x:c r="AL2043" s="17" t="str">
        <x:f>IF(AND(AI2043&gt;=1,I2043&lt;=50),"Priority 1",IF(AND(AG2043&gt;=1000,I2043&lt;=60),"Priority 2",IF(I2043&lt;=30,"Priority 3","Nurture")))</x:f>
        <x:v>Nurture</x:v>
      </x:c>
    </x:row>
    <x:row r="2044">
      <x:c r="A2044" s="16" t="n">
        <x:v>5474</x:v>
      </x:c>
      <x:c r="B2044" s="16" t="n">
        <x:v>1970</x:v>
      </x:c>
      <x:c r="C2044" s="16" t="str">
        <x:v>Graduation</x:v>
      </x:c>
      <x:c r="D2044" s="16" t="str">
        <x:v>Single</x:v>
      </x:c>
      <x:c r="E2044" s="16" t="n">
        <x:v>43020</x:v>
      </x:c>
      <x:c r="F2044" s="16" t="n">
        <x:v>1</x:v>
      </x:c>
      <x:c r="G2044" s="16" t="n">
        <x:v>0</x:v>
      </x:c>
      <x:c r="H2044" s="16" t="str">
        <x:v>30-11-2013</x:v>
      </x:c>
      <x:c r="I2044" s="16" t="n">
        <x:v>79</x:v>
      </x:c>
      <x:c r="J2044" s="16" t="n">
        <x:v>45</x:v>
      </x:c>
      <x:c r="K2044" s="16" t="n">
        <x:v>7</x:v>
      </x:c>
      <x:c r="L2044" s="16" t="n">
        <x:v>99</x:v>
      </x:c>
      <x:c r="M2044" s="16" t="n">
        <x:v>4</x:v>
      </x:c>
      <x:c r="N2044" s="16" t="n">
        <x:v>25</x:v>
      </x:c>
      <x:c r="O2044" s="16" t="n">
        <x:v>43</x:v>
      </x:c>
      <x:c r="P2044" s="16" t="n">
        <x:v>3</x:v>
      </x:c>
      <x:c r="Q2044" s="16" t="n">
        <x:v>4</x:v>
      </x:c>
      <x:c r="R2044" s="16" t="n">
        <x:v>1</x:v>
      </x:c>
      <x:c r="S2044" s="16" t="n">
        <x:v>4</x:v>
      </x:c>
      <x:c r="T2044" s="16" t="n">
        <x:v>6</x:v>
      </x:c>
      <x:c r="U2044" s="16" t="n">
        <x:v>0</x:v>
      </x:c>
      <x:c r="V2044" s="16" t="n">
        <x:v>0</x:v>
      </x:c>
      <x:c r="W2044" s="16" t="n">
        <x:v>0</x:v>
      </x:c>
      <x:c r="X2044" s="16" t="n">
        <x:v>0</x:v>
      </x:c>
      <x:c r="Y2044" s="16" t="n">
        <x:v>0</x:v>
      </x:c>
      <x:c r="Z2044" s="16" t="n">
        <x:v>0</x:v>
      </x:c>
      <x:c r="AA2044" s="16" t="n">
        <x:v>3</x:v>
      </x:c>
      <x:c r="AB2044" s="16" t="n">
        <x:v>11</x:v>
      </x:c>
      <x:c r="AC2044" s="16" t="n">
        <x:v>0</x:v>
      </x:c>
      <x:c r="AD2044" s="21" t="n">
        <x:f>IF(E2044="",MEDIAN($E$2:$E$2237),E2044)</x:f>
        <x:v>43020</x:v>
      </x:c>
      <x:c r="AE2044" s="17" t="n">
        <x:f>2014-B2044</x:f>
        <x:v>44</x:v>
      </x:c>
      <x:c r="AF2044" s="17" t="n">
        <x:f>F2044+G2044</x:f>
        <x:v>1</x:v>
      </x:c>
      <x:c r="AG2044" s="21" t="n">
        <x:f>SUM(J2044:O2044)</x:f>
        <x:v>223</x:v>
      </x:c>
      <x:c r="AH2044" s="17" t="n">
        <x:f>SUM(Q2044:S2044)</x:f>
        <x:v>9</x:v>
      </x:c>
      <x:c r="AI2044" s="17" t="n">
        <x:f>SUM(U2044:Y2044)</x:f>
        <x:v>0</x:v>
      </x:c>
      <x:c r="AJ2044" s="17" t="str">
        <x:f>IF(AE2044&lt;=34,"≤34",IF(AE2044&lt;=44,"35–44",IF(AE2044&lt;=54,"45–54",IF(AE2044&lt;=64,"55–64","65+"))))</x:f>
        <x:v>35–44</x:v>
      </x:c>
      <x:c r="AK2044" s="17" t="str">
        <x:f>IF(AG2044&gt;=1000,"High Value",IF(AG2044&gt;=300,"Mid Value","Low Value"))</x:f>
        <x:v>Low Value</x:v>
      </x:c>
      <x:c r="AL2044" s="17" t="str">
        <x:f>IF(AND(AI2044&gt;=1,I2044&lt;=50),"Priority 1",IF(AND(AG2044&gt;=1000,I2044&lt;=60),"Priority 2",IF(I2044&lt;=30,"Priority 3","Nurture")))</x:f>
        <x:v>Nurture</x:v>
      </x:c>
    </x:row>
    <x:row r="2045">
      <x:c r="A2045" s="16" t="n">
        <x:v>4268</x:v>
      </x:c>
      <x:c r="B2045" s="16" t="n">
        <x:v>1959</x:v>
      </x:c>
      <x:c r="C2045" s="16" t="str">
        <x:v>Graduation</x:v>
      </x:c>
      <x:c r="D2045" s="16" t="str">
        <x:v>Married</x:v>
      </x:c>
      <x:c r="E2045" s="16" t="n">
        <x:v>53154</x:v>
      </x:c>
      <x:c r="F2045" s="16" t="n">
        <x:v>0</x:v>
      </x:c>
      <x:c r="G2045" s="16" t="n">
        <x:v>1</x:v>
      </x:c>
      <x:c r="H2045" s="16" t="str">
        <x:v>09-06-2014</x:v>
      </x:c>
      <x:c r="I2045" s="16" t="n">
        <x:v>50</x:v>
      </x:c>
      <x:c r="J2045" s="16" t="n">
        <x:v>129</x:v>
      </x:c>
      <x:c r="K2045" s="16" t="n">
        <x:v>0</x:v>
      </x:c>
      <x:c r="L2045" s="16" t="n">
        <x:v>21</x:v>
      </x:c>
      <x:c r="M2045" s="16" t="n">
        <x:v>0</x:v>
      </x:c>
      <x:c r="N2045" s="16" t="n">
        <x:v>1</x:v>
      </x:c>
      <x:c r="O2045" s="16" t="n">
        <x:v>7</x:v>
      </x:c>
      <x:c r="P2045" s="16" t="n">
        <x:v>1</x:v>
      </x:c>
      <x:c r="Q2045" s="16" t="n">
        <x:v>3</x:v>
      </x:c>
      <x:c r="R2045" s="16" t="n">
        <x:v>1</x:v>
      </x:c>
      <x:c r="S2045" s="16" t="n">
        <x:v>4</x:v>
      </x:c>
      <x:c r="T2045" s="16" t="n">
        <x:v>4</x:v>
      </x:c>
      <x:c r="U2045" s="16" t="n">
        <x:v>0</x:v>
      </x:c>
      <x:c r="V2045" s="16" t="n">
        <x:v>0</x:v>
      </x:c>
      <x:c r="W2045" s="16" t="n">
        <x:v>0</x:v>
      </x:c>
      <x:c r="X2045" s="16" t="n">
        <x:v>0</x:v>
      </x:c>
      <x:c r="Y2045" s="16" t="n">
        <x:v>0</x:v>
      </x:c>
      <x:c r="Z2045" s="16" t="n">
        <x:v>0</x:v>
      </x:c>
      <x:c r="AA2045" s="16" t="n">
        <x:v>3</x:v>
      </x:c>
      <x:c r="AB2045" s="16" t="n">
        <x:v>11</x:v>
      </x:c>
      <x:c r="AC2045" s="16" t="n">
        <x:v>0</x:v>
      </x:c>
      <x:c r="AD2045" s="21" t="n">
        <x:f>IF(E2045="",MEDIAN($E$2:$E$2237),E2045)</x:f>
        <x:v>53154</x:v>
      </x:c>
      <x:c r="AE2045" s="17" t="n">
        <x:f>2014-B2045</x:f>
        <x:v>55</x:v>
      </x:c>
      <x:c r="AF2045" s="17" t="n">
        <x:f>F2045+G2045</x:f>
        <x:v>1</x:v>
      </x:c>
      <x:c r="AG2045" s="21" t="n">
        <x:f>SUM(J2045:O2045)</x:f>
        <x:v>158</x:v>
      </x:c>
      <x:c r="AH2045" s="17" t="n">
        <x:f>SUM(Q2045:S2045)</x:f>
        <x:v>8</x:v>
      </x:c>
      <x:c r="AI2045" s="17" t="n">
        <x:f>SUM(U2045:Y2045)</x:f>
        <x:v>0</x:v>
      </x:c>
      <x:c r="AJ2045" s="17" t="str">
        <x:f>IF(AE2045&lt;=34,"≤34",IF(AE2045&lt;=44,"35–44",IF(AE2045&lt;=54,"45–54",IF(AE2045&lt;=64,"55–64","65+"))))</x:f>
        <x:v>55–64</x:v>
      </x:c>
      <x:c r="AK2045" s="17" t="str">
        <x:f>IF(AG2045&gt;=1000,"High Value",IF(AG2045&gt;=300,"Mid Value","Low Value"))</x:f>
        <x:v>Low Value</x:v>
      </x:c>
      <x:c r="AL2045" s="17" t="str">
        <x:f>IF(AND(AI2045&gt;=1,I2045&lt;=50),"Priority 1",IF(AND(AG2045&gt;=1000,I2045&lt;=60),"Priority 2",IF(I2045&lt;=30,"Priority 3","Nurture")))</x:f>
        <x:v>Nurture</x:v>
      </x:c>
    </x:row>
    <x:row r="2046">
      <x:c r="A2046" s="16" t="n">
        <x:v>10701</x:v>
      </x:c>
      <x:c r="B2046" s="16" t="n">
        <x:v>1973</x:v>
      </x:c>
      <x:c r="C2046" s="16" t="str">
        <x:v>Graduation</x:v>
      </x:c>
      <x:c r="D2046" s="16" t="str">
        <x:v>Married</x:v>
      </x:c>
      <x:c r="E2046" s="16" t="n">
        <x:v>65308</x:v>
      </x:c>
      <x:c r="F2046" s="16" t="n">
        <x:v>0</x:v>
      </x:c>
      <x:c r="G2046" s="16" t="n">
        <x:v>0</x:v>
      </x:c>
      <x:c r="H2046" s="16" t="str">
        <x:v>11-09-2013</x:v>
      </x:c>
      <x:c r="I2046" s="16" t="n">
        <x:v>60</x:v>
      </x:c>
      <x:c r="J2046" s="16" t="n">
        <x:v>713</x:v>
      </x:c>
      <x:c r="K2046" s="16" t="n">
        <x:v>0</x:v>
      </x:c>
      <x:c r="L2046" s="16" t="n">
        <x:v>264</x:v>
      </x:c>
      <x:c r="M2046" s="16" t="n">
        <x:v>120</x:v>
      </x:c>
      <x:c r="N2046" s="16" t="n">
        <x:v>80</x:v>
      </x:c>
      <x:c r="O2046" s="16" t="n">
        <x:v>34</x:v>
      </x:c>
      <x:c r="P2046" s="16" t="n">
        <x:v>1</x:v>
      </x:c>
      <x:c r="Q2046" s="16" t="n">
        <x:v>7</x:v>
      </x:c>
      <x:c r="R2046" s="16" t="n">
        <x:v>8</x:v>
      </x:c>
      <x:c r="S2046" s="16" t="n">
        <x:v>12</x:v>
      </x:c>
      <x:c r="T2046" s="16" t="n">
        <x:v>4</x:v>
      </x:c>
      <x:c r="U2046" s="16" t="n">
        <x:v>0</x:v>
      </x:c>
      <x:c r="V2046" s="16" t="n">
        <x:v>0</x:v>
      </x:c>
      <x:c r="W2046" s="16" t="n">
        <x:v>1</x:v>
      </x:c>
      <x:c r="X2046" s="16" t="n">
        <x:v>1</x:v>
      </x:c>
      <x:c r="Y2046" s="16" t="n">
        <x:v>0</x:v>
      </x:c>
      <x:c r="Z2046" s="16" t="n">
        <x:v>0</x:v>
      </x:c>
      <x:c r="AA2046" s="16" t="n">
        <x:v>3</x:v>
      </x:c>
      <x:c r="AB2046" s="16" t="n">
        <x:v>11</x:v>
      </x:c>
      <x:c r="AC2046" s="16" t="n">
        <x:v>0</x:v>
      </x:c>
      <x:c r="AD2046" s="21" t="n">
        <x:f>IF(E2046="",MEDIAN($E$2:$E$2237),E2046)</x:f>
        <x:v>65308</x:v>
      </x:c>
      <x:c r="AE2046" s="17" t="n">
        <x:f>2014-B2046</x:f>
        <x:v>41</x:v>
      </x:c>
      <x:c r="AF2046" s="17" t="n">
        <x:f>F2046+G2046</x:f>
        <x:v>0</x:v>
      </x:c>
      <x:c r="AG2046" s="21" t="n">
        <x:f>SUM(J2046:O2046)</x:f>
        <x:v>1211</x:v>
      </x:c>
      <x:c r="AH2046" s="17" t="n">
        <x:f>SUM(Q2046:S2046)</x:f>
        <x:v>27</x:v>
      </x:c>
      <x:c r="AI2046" s="17" t="n">
        <x:f>SUM(U2046:Y2046)</x:f>
        <x:v>2</x:v>
      </x:c>
      <x:c r="AJ2046" s="17" t="str">
        <x:f>IF(AE2046&lt;=34,"≤34",IF(AE2046&lt;=44,"35–44",IF(AE2046&lt;=54,"45–54",IF(AE2046&lt;=64,"55–64","65+"))))</x:f>
        <x:v>35–44</x:v>
      </x:c>
      <x:c r="AK2046" s="17" t="str">
        <x:f>IF(AG2046&gt;=1000,"High Value",IF(AG2046&gt;=300,"Mid Value","Low Value"))</x:f>
        <x:v>High Value</x:v>
      </x:c>
      <x:c r="AL2046" s="17" t="str">
        <x:f>IF(AND(AI2046&gt;=1,I2046&lt;=50),"Priority 1",IF(AND(AG2046&gt;=1000,I2046&lt;=60),"Priority 2",IF(I2046&lt;=30,"Priority 3","Nurture")))</x:f>
        <x:v>Priority 2</x:v>
      </x:c>
    </x:row>
    <x:row r="2047">
      <x:c r="A2047" s="16" t="n">
        <x:v>3507</x:v>
      </x:c>
      <x:c r="B2047" s="16" t="n">
        <x:v>1970</x:v>
      </x:c>
      <x:c r="C2047" s="16" t="str">
        <x:v>Graduation</x:v>
      </x:c>
      <x:c r="D2047" s="16" t="str">
        <x:v>Single</x:v>
      </x:c>
      <x:c r="E2047" s="16" t="n">
        <x:v>76467</x:v>
      </x:c>
      <x:c r="F2047" s="16" t="n">
        <x:v>1</x:v>
      </x:c>
      <x:c r="G2047" s="16" t="n">
        <x:v>0</x:v>
      </x:c>
      <x:c r="H2047" s="16" t="str">
        <x:v>17-08-2012</x:v>
      </x:c>
      <x:c r="I2047" s="16" t="n">
        <x:v>44</x:v>
      </x:c>
      <x:c r="J2047" s="16" t="n">
        <x:v>676</x:v>
      </x:c>
      <x:c r="K2047" s="16" t="n">
        <x:v>161</x:v>
      </x:c>
      <x:c r="L2047" s="16" t="n">
        <x:v>426</x:v>
      </x:c>
      <x:c r="M2047" s="16" t="n">
        <x:v>210</x:v>
      </x:c>
      <x:c r="N2047" s="16" t="n">
        <x:v>44</x:v>
      </x:c>
      <x:c r="O2047" s="16" t="n">
        <x:v>58</x:v>
      </x:c>
      <x:c r="P2047" s="16" t="n">
        <x:v>2</x:v>
      </x:c>
      <x:c r="Q2047" s="16" t="n">
        <x:v>2</x:v>
      </x:c>
      <x:c r="R2047" s="16" t="n">
        <x:v>5</x:v>
      </x:c>
      <x:c r="S2047" s="16" t="n">
        <x:v>5</x:v>
      </x:c>
      <x:c r="T2047" s="16" t="n">
        <x:v>6</x:v>
      </x:c>
      <x:c r="U2047" s="16" t="n">
        <x:v>0</x:v>
      </x:c>
      <x:c r="V2047" s="16" t="n">
        <x:v>0</x:v>
      </x:c>
      <x:c r="W2047" s="16" t="n">
        <x:v>0</x:v>
      </x:c>
      <x:c r="X2047" s="16" t="n">
        <x:v>0</x:v>
      </x:c>
      <x:c r="Y2047" s="16" t="n">
        <x:v>0</x:v>
      </x:c>
      <x:c r="Z2047" s="16" t="n">
        <x:v>0</x:v>
      </x:c>
      <x:c r="AA2047" s="16" t="n">
        <x:v>3</x:v>
      </x:c>
      <x:c r="AB2047" s="16" t="n">
        <x:v>11</x:v>
      </x:c>
      <x:c r="AC2047" s="16" t="n">
        <x:v>1</x:v>
      </x:c>
      <x:c r="AD2047" s="21" t="n">
        <x:f>IF(E2047="",MEDIAN($E$2:$E$2237),E2047)</x:f>
        <x:v>76467</x:v>
      </x:c>
      <x:c r="AE2047" s="17" t="n">
        <x:f>2014-B2047</x:f>
        <x:v>44</x:v>
      </x:c>
      <x:c r="AF2047" s="17" t="n">
        <x:f>F2047+G2047</x:f>
        <x:v>1</x:v>
      </x:c>
      <x:c r="AG2047" s="21" t="n">
        <x:f>SUM(J2047:O2047)</x:f>
        <x:v>1575</x:v>
      </x:c>
      <x:c r="AH2047" s="17" t="n">
        <x:f>SUM(Q2047:S2047)</x:f>
        <x:v>12</x:v>
      </x:c>
      <x:c r="AI2047" s="17" t="n">
        <x:f>SUM(U2047:Y2047)</x:f>
        <x:v>0</x:v>
      </x:c>
      <x:c r="AJ2047" s="17" t="str">
        <x:f>IF(AE2047&lt;=34,"≤34",IF(AE2047&lt;=44,"35–44",IF(AE2047&lt;=54,"45–54",IF(AE2047&lt;=64,"55–64","65+"))))</x:f>
        <x:v>35–44</x:v>
      </x:c>
      <x:c r="AK2047" s="17" t="str">
        <x:f>IF(AG2047&gt;=1000,"High Value",IF(AG2047&gt;=300,"Mid Value","Low Value"))</x:f>
        <x:v>High Value</x:v>
      </x:c>
      <x:c r="AL2047" s="17" t="str">
        <x:f>IF(AND(AI2047&gt;=1,I2047&lt;=50),"Priority 1",IF(AND(AG2047&gt;=1000,I2047&lt;=60),"Priority 2",IF(I2047&lt;=30,"Priority 3","Nurture")))</x:f>
        <x:v>Priority 2</x:v>
      </x:c>
    </x:row>
    <x:row r="2048">
      <x:c r="A2048" s="16" t="n">
        <x:v>2079</x:v>
      </x:c>
      <x:c r="B2048" s="16" t="n">
        <x:v>1947</x:v>
      </x:c>
      <x:c r="C2048" s="16" t="str">
        <x:v>2n Cycle</x:v>
      </x:c>
      <x:c r="D2048" s="16" t="str">
        <x:v>Married</x:v>
      </x:c>
      <x:c r="E2048" s="16" t="n">
        <x:v>81044</x:v>
      </x:c>
      <x:c r="F2048" s="16" t="n">
        <x:v>0</x:v>
      </x:c>
      <x:c r="G2048" s="16" t="n">
        <x:v>0</x:v>
      </x:c>
      <x:c r="H2048" s="16" t="str">
        <x:v>27-12-2013</x:v>
      </x:c>
      <x:c r="I2048" s="16" t="n">
        <x:v>0</x:v>
      </x:c>
      <x:c r="J2048" s="16" t="n">
        <x:v>450</x:v>
      </x:c>
      <x:c r="K2048" s="16" t="n">
        <x:v>26</x:v>
      </x:c>
      <x:c r="L2048" s="16" t="n">
        <x:v>535</x:v>
      </x:c>
      <x:c r="M2048" s="16" t="n">
        <x:v>73</x:v>
      </x:c>
      <x:c r="N2048" s="16" t="n">
        <x:v>98</x:v>
      </x:c>
      <x:c r="O2048" s="16" t="n">
        <x:v>26</x:v>
      </x:c>
      <x:c r="P2048" s="16" t="n">
        <x:v>1</x:v>
      </x:c>
      <x:c r="Q2048" s="16" t="n">
        <x:v>5</x:v>
      </x:c>
      <x:c r="R2048" s="16" t="n">
        <x:v>6</x:v>
      </x:c>
      <x:c r="S2048" s="16" t="n">
        <x:v>10</x:v>
      </x:c>
      <x:c r="T2048" s="16" t="n">
        <x:v>1</x:v>
      </x:c>
      <x:c r="U2048" s="16" t="n">
        <x:v>0</x:v>
      </x:c>
      <x:c r="V2048" s="16" t="n">
        <x:v>0</x:v>
      </x:c>
      <x:c r="W2048" s="16" t="n">
        <x:v>0</x:v>
      </x:c>
      <x:c r="X2048" s="16" t="n">
        <x:v>0</x:v>
      </x:c>
      <x:c r="Y2048" s="16" t="n">
        <x:v>0</x:v>
      </x:c>
      <x:c r="Z2048" s="16" t="n">
        <x:v>0</x:v>
      </x:c>
      <x:c r="AA2048" s="16" t="n">
        <x:v>3</x:v>
      </x:c>
      <x:c r="AB2048" s="16" t="n">
        <x:v>11</x:v>
      </x:c>
      <x:c r="AC2048" s="16" t="n">
        <x:v>0</x:v>
      </x:c>
      <x:c r="AD2048" s="21" t="n">
        <x:f>IF(E2048="",MEDIAN($E$2:$E$2237),E2048)</x:f>
        <x:v>81044</x:v>
      </x:c>
      <x:c r="AE2048" s="17" t="n">
        <x:f>2014-B2048</x:f>
        <x:v>67</x:v>
      </x:c>
      <x:c r="AF2048" s="17" t="n">
        <x:f>F2048+G2048</x:f>
        <x:v>0</x:v>
      </x:c>
      <x:c r="AG2048" s="21" t="n">
        <x:f>SUM(J2048:O2048)</x:f>
        <x:v>1208</x:v>
      </x:c>
      <x:c r="AH2048" s="17" t="n">
        <x:f>SUM(Q2048:S2048)</x:f>
        <x:v>21</x:v>
      </x:c>
      <x:c r="AI2048" s="17" t="n">
        <x:f>SUM(U2048:Y2048)</x:f>
        <x:v>0</x:v>
      </x:c>
      <x:c r="AJ2048" s="17" t="str">
        <x:f>IF(AE2048&lt;=34,"≤34",IF(AE2048&lt;=44,"35–44",IF(AE2048&lt;=54,"45–54",IF(AE2048&lt;=64,"55–64","65+"))))</x:f>
        <x:v>65+</x:v>
      </x:c>
      <x:c r="AK2048" s="17" t="str">
        <x:f>IF(AG2048&gt;=1000,"High Value",IF(AG2048&gt;=300,"Mid Value","Low Value"))</x:f>
        <x:v>High Value</x:v>
      </x:c>
      <x:c r="AL2048" s="17" t="str">
        <x:f>IF(AND(AI2048&gt;=1,I2048&lt;=50),"Priority 1",IF(AND(AG2048&gt;=1000,I2048&lt;=60),"Priority 2",IF(I2048&lt;=30,"Priority 3","Nurture")))</x:f>
        <x:v>Priority 2</x:v>
      </x:c>
    </x:row>
    <x:row r="2049">
      <x:c r="A2049" s="16" t="n">
        <x:v>626</x:v>
      </x:c>
      <x:c r="B2049" s="16" t="n">
        <x:v>1951</x:v>
      </x:c>
      <x:c r="C2049" s="16" t="str">
        <x:v>Graduation</x:v>
      </x:c>
      <x:c r="D2049" s="16" t="str">
        <x:v>Married</x:v>
      </x:c>
      <x:c r="E2049" s="16" t="n">
        <x:v>32871</x:v>
      </x:c>
      <x:c r="F2049" s="16" t="n">
        <x:v>1</x:v>
      </x:c>
      <x:c r="G2049" s="16" t="n">
        <x:v>1</x:v>
      </x:c>
      <x:c r="H2049" s="16" t="str">
        <x:v>09-03-2013</x:v>
      </x:c>
      <x:c r="I2049" s="16" t="n">
        <x:v>28</x:v>
      </x:c>
      <x:c r="J2049" s="16" t="n">
        <x:v>22</x:v>
      </x:c>
      <x:c r="K2049" s="16" t="n">
        <x:v>2</x:v>
      </x:c>
      <x:c r="L2049" s="16" t="n">
        <x:v>12</x:v>
      </x:c>
      <x:c r="M2049" s="16" t="n">
        <x:v>0</x:v>
      </x:c>
      <x:c r="N2049" s="16" t="n">
        <x:v>2</x:v>
      </x:c>
      <x:c r="O2049" s="16" t="n">
        <x:v>5</x:v>
      </x:c>
      <x:c r="P2049" s="16" t="n">
        <x:v>1</x:v>
      </x:c>
      <x:c r="Q2049" s="16" t="n">
        <x:v>1</x:v>
      </x:c>
      <x:c r="R2049" s="16" t="n">
        <x:v>0</x:v>
      </x:c>
      <x:c r="S2049" s="16" t="n">
        <x:v>3</x:v>
      </x:c>
      <x:c r="T2049" s="16" t="n">
        <x:v>4</x:v>
      </x:c>
      <x:c r="U2049" s="16" t="n">
        <x:v>0</x:v>
      </x:c>
      <x:c r="V2049" s="16" t="n">
        <x:v>0</x:v>
      </x:c>
      <x:c r="W2049" s="16" t="n">
        <x:v>0</x:v>
      </x:c>
      <x:c r="X2049" s="16" t="n">
        <x:v>0</x:v>
      </x:c>
      <x:c r="Y2049" s="16" t="n">
        <x:v>0</x:v>
      </x:c>
      <x:c r="Z2049" s="16" t="n">
        <x:v>0</x:v>
      </x:c>
      <x:c r="AA2049" s="16" t="n">
        <x:v>3</x:v>
      </x:c>
      <x:c r="AB2049" s="16" t="n">
        <x:v>11</x:v>
      </x:c>
      <x:c r="AC2049" s="16" t="n">
        <x:v>0</x:v>
      </x:c>
      <x:c r="AD2049" s="21" t="n">
        <x:f>IF(E2049="",MEDIAN($E$2:$E$2237),E2049)</x:f>
        <x:v>32871</x:v>
      </x:c>
      <x:c r="AE2049" s="17" t="n">
        <x:f>2014-B2049</x:f>
        <x:v>63</x:v>
      </x:c>
      <x:c r="AF2049" s="17" t="n">
        <x:f>F2049+G2049</x:f>
        <x:v>2</x:v>
      </x:c>
      <x:c r="AG2049" s="21" t="n">
        <x:f>SUM(J2049:O2049)</x:f>
        <x:v>43</x:v>
      </x:c>
      <x:c r="AH2049" s="17" t="n">
        <x:f>SUM(Q2049:S2049)</x:f>
        <x:v>4</x:v>
      </x:c>
      <x:c r="AI2049" s="17" t="n">
        <x:f>SUM(U2049:Y2049)</x:f>
        <x:v>0</x:v>
      </x:c>
      <x:c r="AJ2049" s="17" t="str">
        <x:f>IF(AE2049&lt;=34,"≤34",IF(AE2049&lt;=44,"35–44",IF(AE2049&lt;=54,"45–54",IF(AE2049&lt;=64,"55–64","65+"))))</x:f>
        <x:v>55–64</x:v>
      </x:c>
      <x:c r="AK2049" s="17" t="str">
        <x:f>IF(AG2049&gt;=1000,"High Value",IF(AG2049&gt;=300,"Mid Value","Low Value"))</x:f>
        <x:v>Low Value</x:v>
      </x:c>
      <x:c r="AL2049" s="17" t="str">
        <x:f>IF(AND(AI2049&gt;=1,I2049&lt;=50),"Priority 1",IF(AND(AG2049&gt;=1000,I2049&lt;=60),"Priority 2",IF(I2049&lt;=30,"Priority 3","Nurture")))</x:f>
        <x:v>Priority 3</x:v>
      </x:c>
    </x:row>
    <x:row r="2050">
      <x:c r="A2050" s="16" t="n">
        <x:v>4426</x:v>
      </x:c>
      <x:c r="B2050" s="16" t="n">
        <x:v>1975</x:v>
      </x:c>
      <x:c r="C2050" s="16" t="str">
        <x:v>Graduation</x:v>
      </x:c>
      <x:c r="D2050" s="16" t="str">
        <x:v>Single</x:v>
      </x:c>
      <x:c r="E2050" s="16" t="n">
        <x:v>55801</x:v>
      </x:c>
      <x:c r="F2050" s="16" t="n">
        <x:v>1</x:v>
      </x:c>
      <x:c r="G2050" s="16" t="n">
        <x:v>1</x:v>
      </x:c>
      <x:c r="H2050" s="16" t="str">
        <x:v>22-09-2013</x:v>
      </x:c>
      <x:c r="I2050" s="16" t="n">
        <x:v>35</x:v>
      </x:c>
      <x:c r="J2050" s="16" t="n">
        <x:v>367</x:v>
      </x:c>
      <x:c r="K2050" s="16" t="n">
        <x:v>4</x:v>
      </x:c>
      <x:c r="L2050" s="16" t="n">
        <x:v>51</x:v>
      </x:c>
      <x:c r="M2050" s="16" t="n">
        <x:v>6</x:v>
      </x:c>
      <x:c r="N2050" s="16" t="n">
        <x:v>4</x:v>
      </x:c>
      <x:c r="O2050" s="16" t="n">
        <x:v>95</x:v>
      </x:c>
      <x:c r="P2050" s="16" t="n">
        <x:v>6</x:v>
      </x:c>
      <x:c r="Q2050" s="16" t="n">
        <x:v>7</x:v>
      </x:c>
      <x:c r="R2050" s="16" t="n">
        <x:v>2</x:v>
      </x:c>
      <x:c r="S2050" s="16" t="n">
        <x:v>6</x:v>
      </x:c>
      <x:c r="T2050" s="16" t="n">
        <x:v>7</x:v>
      </x:c>
      <x:c r="U2050" s="16" t="n">
        <x:v>0</x:v>
      </x:c>
      <x:c r="V2050" s="16" t="n">
        <x:v>0</x:v>
      </x:c>
      <x:c r="W2050" s="16" t="n">
        <x:v>0</x:v>
      </x:c>
      <x:c r="X2050" s="16" t="n">
        <x:v>1</x:v>
      </x:c>
      <x:c r="Y2050" s="16" t="n">
        <x:v>0</x:v>
      </x:c>
      <x:c r="Z2050" s="16" t="n">
        <x:v>0</x:v>
      </x:c>
      <x:c r="AA2050" s="16" t="n">
        <x:v>3</x:v>
      </x:c>
      <x:c r="AB2050" s="16" t="n">
        <x:v>11</x:v>
      </x:c>
      <x:c r="AC2050" s="16" t="n">
        <x:v>0</x:v>
      </x:c>
      <x:c r="AD2050" s="21" t="n">
        <x:f>IF(E2050="",MEDIAN($E$2:$E$2237),E2050)</x:f>
        <x:v>55801</x:v>
      </x:c>
      <x:c r="AE2050" s="17" t="n">
        <x:f>2014-B2050</x:f>
        <x:v>39</x:v>
      </x:c>
      <x:c r="AF2050" s="17" t="n">
        <x:f>F2050+G2050</x:f>
        <x:v>2</x:v>
      </x:c>
      <x:c r="AG2050" s="21" t="n">
        <x:f>SUM(J2050:O2050)</x:f>
        <x:v>527</x:v>
      </x:c>
      <x:c r="AH2050" s="17" t="n">
        <x:f>SUM(Q2050:S2050)</x:f>
        <x:v>15</x:v>
      </x:c>
      <x:c r="AI2050" s="17" t="n">
        <x:f>SUM(U2050:Y2050)</x:f>
        <x:v>1</x:v>
      </x:c>
      <x:c r="AJ2050" s="17" t="str">
        <x:f>IF(AE2050&lt;=34,"≤34",IF(AE2050&lt;=44,"35–44",IF(AE2050&lt;=54,"45–54",IF(AE2050&lt;=64,"55–64","65+"))))</x:f>
        <x:v>35–44</x:v>
      </x:c>
      <x:c r="AK2050" s="17" t="str">
        <x:f>IF(AG2050&gt;=1000,"High Value",IF(AG2050&gt;=300,"Mid Value","Low Value"))</x:f>
        <x:v>Mid Value</x:v>
      </x:c>
      <x:c r="AL2050" s="17" t="str">
        <x:f>IF(AND(AI2050&gt;=1,I2050&lt;=50),"Priority 1",IF(AND(AG2050&gt;=1000,I2050&lt;=60),"Priority 2",IF(I2050&lt;=30,"Priority 3","Nurture")))</x:f>
        <x:v>Priority 1</x:v>
      </x:c>
    </x:row>
    <x:row r="2051">
      <x:c r="A2051" s="16" t="n">
        <x:v>2591</x:v>
      </x:c>
      <x:c r="B2051" s="16" t="n">
        <x:v>1959</x:v>
      </x:c>
      <x:c r="C2051" s="16" t="str">
        <x:v>Graduation</x:v>
      </x:c>
      <x:c r="D2051" s="16" t="str">
        <x:v>Widow</x:v>
      </x:c>
      <x:c r="E2051" s="16" t="n">
        <x:v>76320</x:v>
      </x:c>
      <x:c r="F2051" s="16" t="n">
        <x:v>0</x:v>
      </x:c>
      <x:c r="G2051" s="16" t="n">
        <x:v>1</x:v>
      </x:c>
      <x:c r="H2051" s="16" t="str">
        <x:v>22-06-2014</x:v>
      </x:c>
      <x:c r="I2051" s="16" t="n">
        <x:v>49</x:v>
      </x:c>
      <x:c r="J2051" s="16" t="n">
        <x:v>526</x:v>
      </x:c>
      <x:c r="K2051" s="16" t="n">
        <x:v>35</x:v>
      </x:c>
      <x:c r="L2051" s="16" t="n">
        <x:v>214</x:v>
      </x:c>
      <x:c r="M2051" s="16" t="n">
        <x:v>69</x:v>
      </x:c>
      <x:c r="N2051" s="16" t="n">
        <x:v>53</x:v>
      </x:c>
      <x:c r="O2051" s="16" t="n">
        <x:v>35</x:v>
      </x:c>
      <x:c r="P2051" s="16" t="n">
        <x:v>2</x:v>
      </x:c>
      <x:c r="Q2051" s="16" t="n">
        <x:v>6</x:v>
      </x:c>
      <x:c r="R2051" s="16" t="n">
        <x:v>3</x:v>
      </x:c>
      <x:c r="S2051" s="16" t="n">
        <x:v>4</x:v>
      </x:c>
      <x:c r="T2051" s="16" t="n">
        <x:v>2</x:v>
      </x:c>
      <x:c r="U2051" s="16" t="n">
        <x:v>0</x:v>
      </x:c>
      <x:c r="V2051" s="16" t="n">
        <x:v>0</x:v>
      </x:c>
      <x:c r="W2051" s="16" t="n">
        <x:v>0</x:v>
      </x:c>
      <x:c r="X2051" s="16" t="n">
        <x:v>0</x:v>
      </x:c>
      <x:c r="Y2051" s="16" t="n">
        <x:v>0</x:v>
      </x:c>
      <x:c r="Z2051" s="16" t="n">
        <x:v>0</x:v>
      </x:c>
      <x:c r="AA2051" s="16" t="n">
        <x:v>3</x:v>
      </x:c>
      <x:c r="AB2051" s="16" t="n">
        <x:v>11</x:v>
      </x:c>
      <x:c r="AC2051" s="16" t="n">
        <x:v>0</x:v>
      </x:c>
      <x:c r="AD2051" s="21" t="n">
        <x:f>IF(E2051="",MEDIAN($E$2:$E$2237),E2051)</x:f>
        <x:v>76320</x:v>
      </x:c>
      <x:c r="AE2051" s="17" t="n">
        <x:f>2014-B2051</x:f>
        <x:v>55</x:v>
      </x:c>
      <x:c r="AF2051" s="17" t="n">
        <x:f>F2051+G2051</x:f>
        <x:v>1</x:v>
      </x:c>
      <x:c r="AG2051" s="21" t="n">
        <x:f>SUM(J2051:O2051)</x:f>
        <x:v>932</x:v>
      </x:c>
      <x:c r="AH2051" s="17" t="n">
        <x:f>SUM(Q2051:S2051)</x:f>
        <x:v>13</x:v>
      </x:c>
      <x:c r="AI2051" s="17" t="n">
        <x:f>SUM(U2051:Y2051)</x:f>
        <x:v>0</x:v>
      </x:c>
      <x:c r="AJ2051" s="17" t="str">
        <x:f>IF(AE2051&lt;=34,"≤34",IF(AE2051&lt;=44,"35–44",IF(AE2051&lt;=54,"45–54",IF(AE2051&lt;=64,"55–64","65+"))))</x:f>
        <x:v>55–64</x:v>
      </x:c>
      <x:c r="AK2051" s="17" t="str">
        <x:f>IF(AG2051&gt;=1000,"High Value",IF(AG2051&gt;=300,"Mid Value","Low Value"))</x:f>
        <x:v>Mid Value</x:v>
      </x:c>
      <x:c r="AL2051" s="17" t="str">
        <x:f>IF(AND(AI2051&gt;=1,I2051&lt;=50),"Priority 1",IF(AND(AG2051&gt;=1000,I2051&lt;=60),"Priority 2",IF(I2051&lt;=30,"Priority 3","Nurture")))</x:f>
        <x:v>Nurture</x:v>
      </x:c>
    </x:row>
    <x:row r="2052">
      <x:c r="A2052" s="16" t="n">
        <x:v>10509</x:v>
      </x:c>
      <x:c r="B2052" s="16" t="n">
        <x:v>1955</x:v>
      </x:c>
      <x:c r="C2052" s="16" t="str">
        <x:v>Master</x:v>
      </x:c>
      <x:c r="D2052" s="16" t="str">
        <x:v>Single</x:v>
      </x:c>
      <x:c r="E2052" s="16" t="n">
        <x:v>36927</x:v>
      </x:c>
      <x:c r="F2052" s="16" t="n">
        <x:v>1</x:v>
      </x:c>
      <x:c r="G2052" s="16" t="n">
        <x:v>1</x:v>
      </x:c>
      <x:c r="H2052" s="16" t="str">
        <x:v>02-06-2014</x:v>
      </x:c>
      <x:c r="I2052" s="16" t="n">
        <x:v>46</x:v>
      </x:c>
      <x:c r="J2052" s="16" t="n">
        <x:v>51</x:v>
      </x:c>
      <x:c r="K2052" s="16" t="n">
        <x:v>0</x:v>
      </x:c>
      <x:c r="L2052" s="16" t="n">
        <x:v>16</x:v>
      </x:c>
      <x:c r="M2052" s="16" t="n">
        <x:v>0</x:v>
      </x:c>
      <x:c r="N2052" s="16" t="n">
        <x:v>0</x:v>
      </x:c>
      <x:c r="O2052" s="16" t="n">
        <x:v>4</x:v>
      </x:c>
      <x:c r="P2052" s="16" t="n">
        <x:v>2</x:v>
      </x:c>
      <x:c r="Q2052" s="16" t="n">
        <x:v>3</x:v>
      </x:c>
      <x:c r="R2052" s="16" t="n">
        <x:v>0</x:v>
      </x:c>
      <x:c r="S2052" s="16" t="n">
        <x:v>3</x:v>
      </x:c>
      <x:c r="T2052" s="16" t="n">
        <x:v>8</x:v>
      </x:c>
      <x:c r="U2052" s="16" t="n">
        <x:v>0</x:v>
      </x:c>
      <x:c r="V2052" s="16" t="n">
        <x:v>0</x:v>
      </x:c>
      <x:c r="W2052" s="16" t="n">
        <x:v>0</x:v>
      </x:c>
      <x:c r="X2052" s="16" t="n">
        <x:v>0</x:v>
      </x:c>
      <x:c r="Y2052" s="16" t="n">
        <x:v>0</x:v>
      </x:c>
      <x:c r="Z2052" s="16" t="n">
        <x:v>0</x:v>
      </x:c>
      <x:c r="AA2052" s="16" t="n">
        <x:v>3</x:v>
      </x:c>
      <x:c r="AB2052" s="16" t="n">
        <x:v>11</x:v>
      </x:c>
      <x:c r="AC2052" s="16" t="n">
        <x:v>0</x:v>
      </x:c>
      <x:c r="AD2052" s="21" t="n">
        <x:f>IF(E2052="",MEDIAN($E$2:$E$2237),E2052)</x:f>
        <x:v>36927</x:v>
      </x:c>
      <x:c r="AE2052" s="17" t="n">
        <x:f>2014-B2052</x:f>
        <x:v>59</x:v>
      </x:c>
      <x:c r="AF2052" s="17" t="n">
        <x:f>F2052+G2052</x:f>
        <x:v>2</x:v>
      </x:c>
      <x:c r="AG2052" s="21" t="n">
        <x:f>SUM(J2052:O2052)</x:f>
        <x:v>71</x:v>
      </x:c>
      <x:c r="AH2052" s="17" t="n">
        <x:f>SUM(Q2052:S2052)</x:f>
        <x:v>6</x:v>
      </x:c>
      <x:c r="AI2052" s="17" t="n">
        <x:f>SUM(U2052:Y2052)</x:f>
        <x:v>0</x:v>
      </x:c>
      <x:c r="AJ2052" s="17" t="str">
        <x:f>IF(AE2052&lt;=34,"≤34",IF(AE2052&lt;=44,"35–44",IF(AE2052&lt;=54,"45–54",IF(AE2052&lt;=64,"55–64","65+"))))</x:f>
        <x:v>55–64</x:v>
      </x:c>
      <x:c r="AK2052" s="17" t="str">
        <x:f>IF(AG2052&gt;=1000,"High Value",IF(AG2052&gt;=300,"Mid Value","Low Value"))</x:f>
        <x:v>Low Value</x:v>
      </x:c>
      <x:c r="AL2052" s="17" t="str">
        <x:f>IF(AND(AI2052&gt;=1,I2052&lt;=50),"Priority 1",IF(AND(AG2052&gt;=1000,I2052&lt;=60),"Priority 2",IF(I2052&lt;=30,"Priority 3","Nurture")))</x:f>
        <x:v>Nurture</x:v>
      </x:c>
    </x:row>
    <x:row r="2053">
      <x:c r="A2053" s="16" t="n">
        <x:v>6382</x:v>
      </x:c>
      <x:c r="B2053" s="16" t="n">
        <x:v>1953</x:v>
      </x:c>
      <x:c r="C2053" s="16" t="str">
        <x:v>Graduation</x:v>
      </x:c>
      <x:c r="D2053" s="16" t="str">
        <x:v>Together</x:v>
      </x:c>
      <x:c r="E2053" s="16" t="n">
        <x:v>48794</x:v>
      </x:c>
      <x:c r="F2053" s="16" t="n">
        <x:v>1</x:v>
      </x:c>
      <x:c r="G2053" s="16" t="n">
        <x:v>1</x:v>
      </x:c>
      <x:c r="H2053" s="16" t="str">
        <x:v>26-06-2014</x:v>
      </x:c>
      <x:c r="I2053" s="16" t="n">
        <x:v>97</x:v>
      </x:c>
      <x:c r="J2053" s="16" t="n">
        <x:v>25</x:v>
      </x:c>
      <x:c r="K2053" s="16" t="n">
        <x:v>0</x:v>
      </x:c>
      <x:c r="L2053" s="16" t="n">
        <x:v>11</x:v>
      </x:c>
      <x:c r="M2053" s="16" t="n">
        <x:v>3</x:v>
      </x:c>
      <x:c r="N2053" s="16" t="n">
        <x:v>0</x:v>
      </x:c>
      <x:c r="O2053" s="16" t="n">
        <x:v>15</x:v>
      </x:c>
      <x:c r="P2053" s="16" t="n">
        <x:v>1</x:v>
      </x:c>
      <x:c r="Q2053" s="16" t="n">
        <x:v>1</x:v>
      </x:c>
      <x:c r="R2053" s="16" t="n">
        <x:v>0</x:v>
      </x:c>
      <x:c r="S2053" s="16" t="n">
        <x:v>3</x:v>
      </x:c>
      <x:c r="T2053" s="16" t="n">
        <x:v>4</x:v>
      </x:c>
      <x:c r="U2053" s="16" t="n">
        <x:v>0</x:v>
      </x:c>
      <x:c r="V2053" s="16" t="n">
        <x:v>0</x:v>
      </x:c>
      <x:c r="W2053" s="16" t="n">
        <x:v>0</x:v>
      </x:c>
      <x:c r="X2053" s="16" t="n">
        <x:v>0</x:v>
      </x:c>
      <x:c r="Y2053" s="16" t="n">
        <x:v>0</x:v>
      </x:c>
      <x:c r="Z2053" s="16" t="n">
        <x:v>0</x:v>
      </x:c>
      <x:c r="AA2053" s="16" t="n">
        <x:v>3</x:v>
      </x:c>
      <x:c r="AB2053" s="16" t="n">
        <x:v>11</x:v>
      </x:c>
      <x:c r="AC2053" s="16" t="n">
        <x:v>0</x:v>
      </x:c>
      <x:c r="AD2053" s="21" t="n">
        <x:f>IF(E2053="",MEDIAN($E$2:$E$2237),E2053)</x:f>
        <x:v>48794</x:v>
      </x:c>
      <x:c r="AE2053" s="17" t="n">
        <x:f>2014-B2053</x:f>
        <x:v>61</x:v>
      </x:c>
      <x:c r="AF2053" s="17" t="n">
        <x:f>F2053+G2053</x:f>
        <x:v>2</x:v>
      </x:c>
      <x:c r="AG2053" s="21" t="n">
        <x:f>SUM(J2053:O2053)</x:f>
        <x:v>54</x:v>
      </x:c>
      <x:c r="AH2053" s="17" t="n">
        <x:f>SUM(Q2053:S2053)</x:f>
        <x:v>4</x:v>
      </x:c>
      <x:c r="AI2053" s="17" t="n">
        <x:f>SUM(U2053:Y2053)</x:f>
        <x:v>0</x:v>
      </x:c>
      <x:c r="AJ2053" s="17" t="str">
        <x:f>IF(AE2053&lt;=34,"≤34",IF(AE2053&lt;=44,"35–44",IF(AE2053&lt;=54,"45–54",IF(AE2053&lt;=64,"55–64","65+"))))</x:f>
        <x:v>55–64</x:v>
      </x:c>
      <x:c r="AK2053" s="17" t="str">
        <x:f>IF(AG2053&gt;=1000,"High Value",IF(AG2053&gt;=300,"Mid Value","Low Value"))</x:f>
        <x:v>Low Value</x:v>
      </x:c>
      <x:c r="AL2053" s="17" t="str">
        <x:f>IF(AND(AI2053&gt;=1,I2053&lt;=50),"Priority 1",IF(AND(AG2053&gt;=1000,I2053&lt;=60),"Priority 2",IF(I2053&lt;=30,"Priority 3","Nurture")))</x:f>
        <x:v>Nurture</x:v>
      </x:c>
    </x:row>
    <x:row r="2054">
      <x:c r="A2054" s="16" t="n">
        <x:v>6673</x:v>
      </x:c>
      <x:c r="B2054" s="16" t="n">
        <x:v>1965</x:v>
      </x:c>
      <x:c r="C2054" s="16" t="str">
        <x:v>Graduation</x:v>
      </x:c>
      <x:c r="D2054" s="16" t="str">
        <x:v>Single</x:v>
      </x:c>
      <x:c r="E2054" s="16" t="n">
        <x:v>23478</x:v>
      </x:c>
      <x:c r="F2054" s="16" t="n">
        <x:v>0</x:v>
      </x:c>
      <x:c r="G2054" s="16" t="n">
        <x:v>0</x:v>
      </x:c>
      <x:c r="H2054" s="16" t="str">
        <x:v>19-03-2013</x:v>
      </x:c>
      <x:c r="I2054" s="16" t="n">
        <x:v>51</x:v>
      </x:c>
      <x:c r="J2054" s="16" t="n">
        <x:v>28</x:v>
      </x:c>
      <x:c r="K2054" s="16" t="n">
        <x:v>6</x:v>
      </x:c>
      <x:c r="L2054" s="16" t="n">
        <x:v>27</x:v>
      </x:c>
      <x:c r="M2054" s="16" t="n">
        <x:v>12</x:v>
      </x:c>
      <x:c r="N2054" s="16" t="n">
        <x:v>17</x:v>
      </x:c>
      <x:c r="O2054" s="16" t="n">
        <x:v>39</x:v>
      </x:c>
      <x:c r="P2054" s="16" t="n">
        <x:v>1</x:v>
      </x:c>
      <x:c r="Q2054" s="16" t="n">
        <x:v>3</x:v>
      </x:c>
      <x:c r="R2054" s="16" t="n">
        <x:v>0</x:v>
      </x:c>
      <x:c r="S2054" s="16" t="n">
        <x:v>3</x:v>
      </x:c>
      <x:c r="T2054" s="16" t="n">
        <x:v>8</x:v>
      </x:c>
      <x:c r="U2054" s="16" t="n">
        <x:v>0</x:v>
      </x:c>
      <x:c r="V2054" s="16" t="n">
        <x:v>0</x:v>
      </x:c>
      <x:c r="W2054" s="16" t="n">
        <x:v>0</x:v>
      </x:c>
      <x:c r="X2054" s="16" t="n">
        <x:v>0</x:v>
      </x:c>
      <x:c r="Y2054" s="16" t="n">
        <x:v>0</x:v>
      </x:c>
      <x:c r="Z2054" s="16" t="n">
        <x:v>0</x:v>
      </x:c>
      <x:c r="AA2054" s="16" t="n">
        <x:v>3</x:v>
      </x:c>
      <x:c r="AB2054" s="16" t="n">
        <x:v>11</x:v>
      </x:c>
      <x:c r="AC2054" s="16" t="n">
        <x:v>0</x:v>
      </x:c>
      <x:c r="AD2054" s="21" t="n">
        <x:f>IF(E2054="",MEDIAN($E$2:$E$2237),E2054)</x:f>
        <x:v>23478</x:v>
      </x:c>
      <x:c r="AE2054" s="17" t="n">
        <x:f>2014-B2054</x:f>
        <x:v>49</x:v>
      </x:c>
      <x:c r="AF2054" s="17" t="n">
        <x:f>F2054+G2054</x:f>
        <x:v>0</x:v>
      </x:c>
      <x:c r="AG2054" s="21" t="n">
        <x:f>SUM(J2054:O2054)</x:f>
        <x:v>129</x:v>
      </x:c>
      <x:c r="AH2054" s="17" t="n">
        <x:f>SUM(Q2054:S2054)</x:f>
        <x:v>6</x:v>
      </x:c>
      <x:c r="AI2054" s="17" t="n">
        <x:f>SUM(U2054:Y2054)</x:f>
        <x:v>0</x:v>
      </x:c>
      <x:c r="AJ2054" s="17" t="str">
        <x:f>IF(AE2054&lt;=34,"≤34",IF(AE2054&lt;=44,"35–44",IF(AE2054&lt;=54,"45–54",IF(AE2054&lt;=64,"55–64","65+"))))</x:f>
        <x:v>45–54</x:v>
      </x:c>
      <x:c r="AK2054" s="17" t="str">
        <x:f>IF(AG2054&gt;=1000,"High Value",IF(AG2054&gt;=300,"Mid Value","Low Value"))</x:f>
        <x:v>Low Value</x:v>
      </x:c>
      <x:c r="AL2054" s="17" t="str">
        <x:f>IF(AND(AI2054&gt;=1,I2054&lt;=50),"Priority 1",IF(AND(AG2054&gt;=1000,I2054&lt;=60),"Priority 2",IF(I2054&lt;=30,"Priority 3","Nurture")))</x:f>
        <x:v>Nurture</x:v>
      </x:c>
    </x:row>
    <x:row r="2055">
      <x:c r="A2055" s="16" t="n">
        <x:v>7441</x:v>
      </x:c>
      <x:c r="B2055" s="16" t="n">
        <x:v>1973</x:v>
      </x:c>
      <x:c r="C2055" s="16" t="str">
        <x:v>Graduation</x:v>
      </x:c>
      <x:c r="D2055" s="16" t="str">
        <x:v>Divorced</x:v>
      </x:c>
      <x:c r="E2055" s="16" t="n">
        <x:v>71128</x:v>
      </x:c>
      <x:c r="F2055" s="16" t="n">
        <x:v>1</x:v>
      </x:c>
      <x:c r="G2055" s="16" t="n">
        <x:v>0</x:v>
      </x:c>
      <x:c r="H2055" s="16" t="str">
        <x:v>06-10-2012</x:v>
      </x:c>
      <x:c r="I2055" s="16" t="n">
        <x:v>80</x:v>
      </x:c>
      <x:c r="J2055" s="16" t="n">
        <x:v>958</x:v>
      </x:c>
      <x:c r="K2055" s="16" t="n">
        <x:v>159</x:v>
      </x:c>
      <x:c r="L2055" s="16" t="n">
        <x:v>447</x:v>
      </x:c>
      <x:c r="M2055" s="16" t="n">
        <x:v>20</x:v>
      </x:c>
      <x:c r="N2055" s="16" t="n">
        <x:v>0</x:v>
      </x:c>
      <x:c r="O2055" s="16" t="n">
        <x:v>31</x:v>
      </x:c>
      <x:c r="P2055" s="16" t="n">
        <x:v>3</x:v>
      </x:c>
      <x:c r="Q2055" s="16" t="n">
        <x:v>2</x:v>
      </x:c>
      <x:c r="R2055" s="16" t="n">
        <x:v>10</x:v>
      </x:c>
      <x:c r="S2055" s="16" t="n">
        <x:v>12</x:v>
      </x:c>
      <x:c r="T2055" s="16" t="n">
        <x:v>7</x:v>
      </x:c>
      <x:c r="U2055" s="16" t="n">
        <x:v>0</x:v>
      </x:c>
      <x:c r="V2055" s="16" t="n">
        <x:v>0</x:v>
      </x:c>
      <x:c r="W2055" s="16" t="n">
        <x:v>0</x:v>
      </x:c>
      <x:c r="X2055" s="16" t="n">
        <x:v>0</x:v>
      </x:c>
      <x:c r="Y2055" s="16" t="n">
        <x:v>0</x:v>
      </x:c>
      <x:c r="Z2055" s="16" t="n">
        <x:v>0</x:v>
      </x:c>
      <x:c r="AA2055" s="16" t="n">
        <x:v>3</x:v>
      </x:c>
      <x:c r="AB2055" s="16" t="n">
        <x:v>11</x:v>
      </x:c>
      <x:c r="AC2055" s="16" t="n">
        <x:v>0</x:v>
      </x:c>
      <x:c r="AD2055" s="21" t="n">
        <x:f>IF(E2055="",MEDIAN($E$2:$E$2237),E2055)</x:f>
        <x:v>71128</x:v>
      </x:c>
      <x:c r="AE2055" s="17" t="n">
        <x:f>2014-B2055</x:f>
        <x:v>41</x:v>
      </x:c>
      <x:c r="AF2055" s="17" t="n">
        <x:f>F2055+G2055</x:f>
        <x:v>1</x:v>
      </x:c>
      <x:c r="AG2055" s="21" t="n">
        <x:f>SUM(J2055:O2055)</x:f>
        <x:v>1615</x:v>
      </x:c>
      <x:c r="AH2055" s="17" t="n">
        <x:f>SUM(Q2055:S2055)</x:f>
        <x:v>24</x:v>
      </x:c>
      <x:c r="AI2055" s="17" t="n">
        <x:f>SUM(U2055:Y2055)</x:f>
        <x:v>0</x:v>
      </x:c>
      <x:c r="AJ2055" s="17" t="str">
        <x:f>IF(AE2055&lt;=34,"≤34",IF(AE2055&lt;=44,"35–44",IF(AE2055&lt;=54,"45–54",IF(AE2055&lt;=64,"55–64","65+"))))</x:f>
        <x:v>35–44</x:v>
      </x:c>
      <x:c r="AK2055" s="17" t="str">
        <x:f>IF(AG2055&gt;=1000,"High Value",IF(AG2055&gt;=300,"Mid Value","Low Value"))</x:f>
        <x:v>High Value</x:v>
      </x:c>
      <x:c r="AL2055" s="17" t="str">
        <x:f>IF(AND(AI2055&gt;=1,I2055&lt;=50),"Priority 1",IF(AND(AG2055&gt;=1000,I2055&lt;=60),"Priority 2",IF(I2055&lt;=30,"Priority 3","Nurture")))</x:f>
        <x:v>Nurture</x:v>
      </x:c>
    </x:row>
    <x:row r="2056">
      <x:c r="A2056" s="16" t="n">
        <x:v>1071</x:v>
      </x:c>
      <x:c r="B2056" s="16" t="n">
        <x:v>1976</x:v>
      </x:c>
      <x:c r="C2056" s="16" t="str">
        <x:v>PhD</x:v>
      </x:c>
      <x:c r="D2056" s="16" t="str">
        <x:v>Divorced</x:v>
      </x:c>
      <x:c r="E2056" s="16" t="n">
        <x:v>70179</x:v>
      </x:c>
      <x:c r="F2056" s="16" t="n">
        <x:v>0</x:v>
      </x:c>
      <x:c r="G2056" s="16" t="n">
        <x:v>1</x:v>
      </x:c>
      <x:c r="H2056" s="16" t="str">
        <x:v>21-07-2013</x:v>
      </x:c>
      <x:c r="I2056" s="16" t="n">
        <x:v>10</x:v>
      </x:c>
      <x:c r="J2056" s="16" t="n">
        <x:v>532</x:v>
      </x:c>
      <x:c r="K2056" s="16" t="n">
        <x:v>88</x:v>
      </x:c>
      <x:c r="L2056" s="16" t="n">
        <x:v>168</x:v>
      </x:c>
      <x:c r="M2056" s="16" t="n">
        <x:v>69</x:v>
      </x:c>
      <x:c r="N2056" s="16" t="n">
        <x:v>44</x:v>
      </x:c>
      <x:c r="O2056" s="16" t="n">
        <x:v>133</x:v>
      </x:c>
      <x:c r="P2056" s="16" t="n">
        <x:v>3</x:v>
      </x:c>
      <x:c r="Q2056" s="16" t="n">
        <x:v>7</x:v>
      </x:c>
      <x:c r="R2056" s="16" t="n">
        <x:v>3</x:v>
      </x:c>
      <x:c r="S2056" s="16" t="n">
        <x:v>13</x:v>
      </x:c>
      <x:c r="T2056" s="16" t="n">
        <x:v>5</x:v>
      </x:c>
      <x:c r="U2056" s="16" t="n">
        <x:v>0</x:v>
      </x:c>
      <x:c r="V2056" s="16" t="n">
        <x:v>0</x:v>
      </x:c>
      <x:c r="W2056" s="16" t="n">
        <x:v>0</x:v>
      </x:c>
      <x:c r="X2056" s="16" t="n">
        <x:v>0</x:v>
      </x:c>
      <x:c r="Y2056" s="16" t="n">
        <x:v>0</x:v>
      </x:c>
      <x:c r="Z2056" s="16" t="n">
        <x:v>0</x:v>
      </x:c>
      <x:c r="AA2056" s="16" t="n">
        <x:v>3</x:v>
      </x:c>
      <x:c r="AB2056" s="16" t="n">
        <x:v>11</x:v>
      </x:c>
      <x:c r="AC2056" s="16" t="n">
        <x:v>0</x:v>
      </x:c>
      <x:c r="AD2056" s="21" t="n">
        <x:f>IF(E2056="",MEDIAN($E$2:$E$2237),E2056)</x:f>
        <x:v>70179</x:v>
      </x:c>
      <x:c r="AE2056" s="17" t="n">
        <x:f>2014-B2056</x:f>
        <x:v>38</x:v>
      </x:c>
      <x:c r="AF2056" s="17" t="n">
        <x:f>F2056+G2056</x:f>
        <x:v>1</x:v>
      </x:c>
      <x:c r="AG2056" s="21" t="n">
        <x:f>SUM(J2056:O2056)</x:f>
        <x:v>1034</x:v>
      </x:c>
      <x:c r="AH2056" s="17" t="n">
        <x:f>SUM(Q2056:S2056)</x:f>
        <x:v>23</x:v>
      </x:c>
      <x:c r="AI2056" s="17" t="n">
        <x:f>SUM(U2056:Y2056)</x:f>
        <x:v>0</x:v>
      </x:c>
      <x:c r="AJ2056" s="17" t="str">
        <x:f>IF(AE2056&lt;=34,"≤34",IF(AE2056&lt;=44,"35–44",IF(AE2056&lt;=54,"45–54",IF(AE2056&lt;=64,"55–64","65+"))))</x:f>
        <x:v>35–44</x:v>
      </x:c>
      <x:c r="AK2056" s="17" t="str">
        <x:f>IF(AG2056&gt;=1000,"High Value",IF(AG2056&gt;=300,"Mid Value","Low Value"))</x:f>
        <x:v>High Value</x:v>
      </x:c>
      <x:c r="AL2056" s="17" t="str">
        <x:f>IF(AND(AI2056&gt;=1,I2056&lt;=50),"Priority 1",IF(AND(AG2056&gt;=1000,I2056&lt;=60),"Priority 2",IF(I2056&lt;=30,"Priority 3","Nurture")))</x:f>
        <x:v>Priority 2</x:v>
      </x:c>
    </x:row>
    <x:row r="2057">
      <x:c r="A2057" s="16" t="n">
        <x:v>10061</x:v>
      </x:c>
      <x:c r="B2057" s="16" t="n">
        <x:v>1950</x:v>
      </x:c>
      <x:c r="C2057" s="16" t="str">
        <x:v>Graduation</x:v>
      </x:c>
      <x:c r="D2057" s="16" t="str">
        <x:v>Married</x:v>
      </x:c>
      <x:c r="E2057" s="16" t="n">
        <x:v>59462</x:v>
      </x:c>
      <x:c r="F2057" s="16" t="n">
        <x:v>0</x:v>
      </x:c>
      <x:c r="G2057" s="16" t="n">
        <x:v>1</x:v>
      </x:c>
      <x:c r="H2057" s="16" t="str">
        <x:v>05-01-2013</x:v>
      </x:c>
      <x:c r="I2057" s="16" t="n">
        <x:v>29</x:v>
      </x:c>
      <x:c r="J2057" s="16" t="n">
        <x:v>724</x:v>
      </x:c>
      <x:c r="K2057" s="16" t="n">
        <x:v>17</x:v>
      </x:c>
      <x:c r="L2057" s="16" t="n">
        <x:v>143</x:v>
      </x:c>
      <x:c r="M2057" s="16" t="n">
        <x:v>0</x:v>
      </x:c>
      <x:c r="N2057" s="16" t="n">
        <x:v>8</x:v>
      </x:c>
      <x:c r="O2057" s="16" t="n">
        <x:v>196</x:v>
      </x:c>
      <x:c r="P2057" s="16" t="n">
        <x:v>2</x:v>
      </x:c>
      <x:c r="Q2057" s="16" t="n">
        <x:v>9</x:v>
      </x:c>
      <x:c r="R2057" s="16" t="n">
        <x:v>2</x:v>
      </x:c>
      <x:c r="S2057" s="16" t="n">
        <x:v>12</x:v>
      </x:c>
      <x:c r="T2057" s="16" t="n">
        <x:v>7</x:v>
      </x:c>
      <x:c r="U2057" s="16" t="n">
        <x:v>0</x:v>
      </x:c>
      <x:c r="V2057" s="16" t="n">
        <x:v>0</x:v>
      </x:c>
      <x:c r="W2057" s="16" t="n">
        <x:v>0</x:v>
      </x:c>
      <x:c r="X2057" s="16" t="n">
        <x:v>0</x:v>
      </x:c>
      <x:c r="Y2057" s="16" t="n">
        <x:v>0</x:v>
      </x:c>
      <x:c r="Z2057" s="16" t="n">
        <x:v>0</x:v>
      </x:c>
      <x:c r="AA2057" s="16" t="n">
        <x:v>3</x:v>
      </x:c>
      <x:c r="AB2057" s="16" t="n">
        <x:v>11</x:v>
      </x:c>
      <x:c r="AC2057" s="16" t="n">
        <x:v>0</x:v>
      </x:c>
      <x:c r="AD2057" s="21" t="n">
        <x:f>IF(E2057="",MEDIAN($E$2:$E$2237),E2057)</x:f>
        <x:v>59462</x:v>
      </x:c>
      <x:c r="AE2057" s="17" t="n">
        <x:f>2014-B2057</x:f>
        <x:v>64</x:v>
      </x:c>
      <x:c r="AF2057" s="17" t="n">
        <x:f>F2057+G2057</x:f>
        <x:v>1</x:v>
      </x:c>
      <x:c r="AG2057" s="21" t="n">
        <x:f>SUM(J2057:O2057)</x:f>
        <x:v>1088</x:v>
      </x:c>
      <x:c r="AH2057" s="17" t="n">
        <x:f>SUM(Q2057:S2057)</x:f>
        <x:v>23</x:v>
      </x:c>
      <x:c r="AI2057" s="17" t="n">
        <x:f>SUM(U2057:Y2057)</x:f>
        <x:v>0</x:v>
      </x:c>
      <x:c r="AJ2057" s="17" t="str">
        <x:f>IF(AE2057&lt;=34,"≤34",IF(AE2057&lt;=44,"35–44",IF(AE2057&lt;=54,"45–54",IF(AE2057&lt;=64,"55–64","65+"))))</x:f>
        <x:v>55–64</x:v>
      </x:c>
      <x:c r="AK2057" s="17" t="str">
        <x:f>IF(AG2057&gt;=1000,"High Value",IF(AG2057&gt;=300,"Mid Value","Low Value"))</x:f>
        <x:v>High Value</x:v>
      </x:c>
      <x:c r="AL2057" s="17" t="str">
        <x:f>IF(AND(AI2057&gt;=1,I2057&lt;=50),"Priority 1",IF(AND(AG2057&gt;=1000,I2057&lt;=60),"Priority 2",IF(I2057&lt;=30,"Priority 3","Nurture")))</x:f>
        <x:v>Priority 2</x:v>
      </x:c>
    </x:row>
    <x:row r="2058">
      <x:c r="A2058" s="16" t="n">
        <x:v>7187</x:v>
      </x:c>
      <x:c r="B2058" s="16" t="n">
        <x:v>1969</x:v>
      </x:c>
      <x:c r="C2058" s="16" t="str">
        <x:v>Master</x:v>
      </x:c>
      <x:c r="D2058" s="16" t="str">
        <x:v>Together</x:v>
      </x:c>
      <x:c r="E2058" s="16"/>
      <x:c r="F2058" s="16" t="n">
        <x:v>1</x:v>
      </x:c>
      <x:c r="G2058" s="16" t="n">
        <x:v>1</x:v>
      </x:c>
      <x:c r="H2058" s="16" t="str">
        <x:v>18-05-2013</x:v>
      </x:c>
      <x:c r="I2058" s="16" t="n">
        <x:v>52</x:v>
      </x:c>
      <x:c r="J2058" s="16" t="n">
        <x:v>375</x:v>
      </x:c>
      <x:c r="K2058" s="16" t="n">
        <x:v>42</x:v>
      </x:c>
      <x:c r="L2058" s="16" t="n">
        <x:v>48</x:v>
      </x:c>
      <x:c r="M2058" s="16" t="n">
        <x:v>94</x:v>
      </x:c>
      <x:c r="N2058" s="16" t="n">
        <x:v>66</x:v>
      </x:c>
      <x:c r="O2058" s="16" t="n">
        <x:v>96</x:v>
      </x:c>
      <x:c r="P2058" s="16" t="n">
        <x:v>7</x:v>
      </x:c>
      <x:c r="Q2058" s="16" t="n">
        <x:v>4</x:v>
      </x:c>
      <x:c r="R2058" s="16" t="n">
        <x:v>10</x:v>
      </x:c>
      <x:c r="S2058" s="16" t="n">
        <x:v>4</x:v>
      </x:c>
      <x:c r="T2058" s="16" t="n">
        <x:v>3</x:v>
      </x:c>
      <x:c r="U2058" s="16" t="n">
        <x:v>0</x:v>
      </x:c>
      <x:c r="V2058" s="16" t="n">
        <x:v>0</x:v>
      </x:c>
      <x:c r="W2058" s="16" t="n">
        <x:v>0</x:v>
      </x:c>
      <x:c r="X2058" s="16" t="n">
        <x:v>0</x:v>
      </x:c>
      <x:c r="Y2058" s="16" t="n">
        <x:v>0</x:v>
      </x:c>
      <x:c r="Z2058" s="16" t="n">
        <x:v>0</x:v>
      </x:c>
      <x:c r="AA2058" s="16" t="n">
        <x:v>3</x:v>
      </x:c>
      <x:c r="AB2058" s="16" t="n">
        <x:v>11</x:v>
      </x:c>
      <x:c r="AC2058" s="16" t="n">
        <x:v>0</x:v>
      </x:c>
      <x:c r="AD2058" s="21" t="n">
        <x:f>IF(E2058="",MEDIAN($E$2:$E$2237),E2058)</x:f>
        <x:v>51371</x:v>
      </x:c>
      <x:c r="AE2058" s="17" t="n">
        <x:f>2014-B2058</x:f>
        <x:v>45</x:v>
      </x:c>
      <x:c r="AF2058" s="17" t="n">
        <x:f>F2058+G2058</x:f>
        <x:v>2</x:v>
      </x:c>
      <x:c r="AG2058" s="21" t="n">
        <x:f>SUM(J2058:O2058)</x:f>
        <x:v>721</x:v>
      </x:c>
      <x:c r="AH2058" s="17" t="n">
        <x:f>SUM(Q2058:S2058)</x:f>
        <x:v>18</x:v>
      </x:c>
      <x:c r="AI2058" s="17" t="n">
        <x:f>SUM(U2058:Y2058)</x:f>
        <x:v>0</x:v>
      </x:c>
      <x:c r="AJ2058" s="17" t="str">
        <x:f>IF(AE2058&lt;=34,"≤34",IF(AE2058&lt;=44,"35–44",IF(AE2058&lt;=54,"45–54",IF(AE2058&lt;=64,"55–64","65+"))))</x:f>
        <x:v>45–54</x:v>
      </x:c>
      <x:c r="AK2058" s="17" t="str">
        <x:f>IF(AG2058&gt;=1000,"High Value",IF(AG2058&gt;=300,"Mid Value","Low Value"))</x:f>
        <x:v>Mid Value</x:v>
      </x:c>
      <x:c r="AL2058" s="17" t="str">
        <x:f>IF(AND(AI2058&gt;=1,I2058&lt;=50),"Priority 1",IF(AND(AG2058&gt;=1000,I2058&lt;=60),"Priority 2",IF(I2058&lt;=30,"Priority 3","Nurture")))</x:f>
        <x:v>Nurture</x:v>
      </x:c>
    </x:row>
    <x:row r="2059">
      <x:c r="A2059" s="16" t="n">
        <x:v>8775</x:v>
      </x:c>
      <x:c r="B2059" s="16" t="n">
        <x:v>1969</x:v>
      </x:c>
      <x:c r="C2059" s="16" t="str">
        <x:v>Graduation</x:v>
      </x:c>
      <x:c r="D2059" s="16" t="str">
        <x:v>Together</x:v>
      </x:c>
      <x:c r="E2059" s="16" t="n">
        <x:v>38361</x:v>
      </x:c>
      <x:c r="F2059" s="16" t="n">
        <x:v>1</x:v>
      </x:c>
      <x:c r="G2059" s="16" t="n">
        <x:v>0</x:v>
      </x:c>
      <x:c r="H2059" s="16" t="str">
        <x:v>27-12-2013</x:v>
      </x:c>
      <x:c r="I2059" s="16" t="n">
        <x:v>74</x:v>
      </x:c>
      <x:c r="J2059" s="16" t="n">
        <x:v>39</x:v>
      </x:c>
      <x:c r="K2059" s="16" t="n">
        <x:v>0</x:v>
      </x:c>
      <x:c r="L2059" s="16" t="n">
        <x:v>56</x:v>
      </x:c>
      <x:c r="M2059" s="16" t="n">
        <x:v>20</x:v>
      </x:c>
      <x:c r="N2059" s="16" t="n">
        <x:v>8</x:v>
      </x:c>
      <x:c r="O2059" s="16" t="n">
        <x:v>14</x:v>
      </x:c>
      <x:c r="P2059" s="16" t="n">
        <x:v>3</x:v>
      </x:c>
      <x:c r="Q2059" s="16" t="n">
        <x:v>3</x:v>
      </x:c>
      <x:c r="R2059" s="16" t="n">
        <x:v>1</x:v>
      </x:c>
      <x:c r="S2059" s="16" t="n">
        <x:v>3</x:v>
      </x:c>
      <x:c r="T2059" s="16" t="n">
        <x:v>7</x:v>
      </x:c>
      <x:c r="U2059" s="16" t="n">
        <x:v>0</x:v>
      </x:c>
      <x:c r="V2059" s="16" t="n">
        <x:v>0</x:v>
      </x:c>
      <x:c r="W2059" s="16" t="n">
        <x:v>0</x:v>
      </x:c>
      <x:c r="X2059" s="16" t="n">
        <x:v>0</x:v>
      </x:c>
      <x:c r="Y2059" s="16" t="n">
        <x:v>0</x:v>
      </x:c>
      <x:c r="Z2059" s="16" t="n">
        <x:v>0</x:v>
      </x:c>
      <x:c r="AA2059" s="16" t="n">
        <x:v>3</x:v>
      </x:c>
      <x:c r="AB2059" s="16" t="n">
        <x:v>11</x:v>
      </x:c>
      <x:c r="AC2059" s="16" t="n">
        <x:v>0</x:v>
      </x:c>
      <x:c r="AD2059" s="21" t="n">
        <x:f>IF(E2059="",MEDIAN($E$2:$E$2237),E2059)</x:f>
        <x:v>38361</x:v>
      </x:c>
      <x:c r="AE2059" s="17" t="n">
        <x:f>2014-B2059</x:f>
        <x:v>45</x:v>
      </x:c>
      <x:c r="AF2059" s="17" t="n">
        <x:f>F2059+G2059</x:f>
        <x:v>1</x:v>
      </x:c>
      <x:c r="AG2059" s="21" t="n">
        <x:f>SUM(J2059:O2059)</x:f>
        <x:v>137</x:v>
      </x:c>
      <x:c r="AH2059" s="17" t="n">
        <x:f>SUM(Q2059:S2059)</x:f>
        <x:v>7</x:v>
      </x:c>
      <x:c r="AI2059" s="17" t="n">
        <x:f>SUM(U2059:Y2059)</x:f>
        <x:v>0</x:v>
      </x:c>
      <x:c r="AJ2059" s="17" t="str">
        <x:f>IF(AE2059&lt;=34,"≤34",IF(AE2059&lt;=44,"35–44",IF(AE2059&lt;=54,"45–54",IF(AE2059&lt;=64,"55–64","65+"))))</x:f>
        <x:v>45–54</x:v>
      </x:c>
      <x:c r="AK2059" s="17" t="str">
        <x:f>IF(AG2059&gt;=1000,"High Value",IF(AG2059&gt;=300,"Mid Value","Low Value"))</x:f>
        <x:v>Low Value</x:v>
      </x:c>
      <x:c r="AL2059" s="17" t="str">
        <x:f>IF(AND(AI2059&gt;=1,I2059&lt;=50),"Priority 1",IF(AND(AG2059&gt;=1000,I2059&lt;=60),"Priority 2",IF(I2059&lt;=30,"Priority 3","Nurture")))</x:f>
        <x:v>Nurture</x:v>
      </x:c>
    </x:row>
    <x:row r="2060">
      <x:c r="A2060" s="16" t="n">
        <x:v>1612</x:v>
      </x:c>
      <x:c r="B2060" s="16" t="n">
        <x:v>1981</x:v>
      </x:c>
      <x:c r="C2060" s="16" t="str">
        <x:v>PhD</x:v>
      </x:c>
      <x:c r="D2060" s="16" t="str">
        <x:v>Single</x:v>
      </x:c>
      <x:c r="E2060" s="16"/>
      <x:c r="F2060" s="16" t="n">
        <x:v>1</x:v>
      </x:c>
      <x:c r="G2060" s="16" t="n">
        <x:v>0</x:v>
      </x:c>
      <x:c r="H2060" s="16" t="str">
        <x:v>31-05-2013</x:v>
      </x:c>
      <x:c r="I2060" s="16" t="n">
        <x:v>82</x:v>
      </x:c>
      <x:c r="J2060" s="16" t="n">
        <x:v>23</x:v>
      </x:c>
      <x:c r="K2060" s="16" t="n">
        <x:v>0</x:v>
      </x:c>
      <x:c r="L2060" s="16" t="n">
        <x:v>15</x:v>
      </x:c>
      <x:c r="M2060" s="16" t="n">
        <x:v>0</x:v>
      </x:c>
      <x:c r="N2060" s="16" t="n">
        <x:v>2</x:v>
      </x:c>
      <x:c r="O2060" s="16" t="n">
        <x:v>7</x:v>
      </x:c>
      <x:c r="P2060" s="16" t="n">
        <x:v>2</x:v>
      </x:c>
      <x:c r="Q2060" s="16" t="n">
        <x:v>3</x:v>
      </x:c>
      <x:c r="R2060" s="16" t="n">
        <x:v>0</x:v>
      </x:c>
      <x:c r="S2060" s="16" t="n">
        <x:v>3</x:v>
      </x:c>
      <x:c r="T2060" s="16" t="n">
        <x:v>6</x:v>
      </x:c>
      <x:c r="U2060" s="16" t="n">
        <x:v>0</x:v>
      </x:c>
      <x:c r="V2060" s="16" t="n">
        <x:v>0</x:v>
      </x:c>
      <x:c r="W2060" s="16" t="n">
        <x:v>0</x:v>
      </x:c>
      <x:c r="X2060" s="16" t="n">
        <x:v>0</x:v>
      </x:c>
      <x:c r="Y2060" s="16" t="n">
        <x:v>0</x:v>
      </x:c>
      <x:c r="Z2060" s="16" t="n">
        <x:v>0</x:v>
      </x:c>
      <x:c r="AA2060" s="16" t="n">
        <x:v>3</x:v>
      </x:c>
      <x:c r="AB2060" s="16" t="n">
        <x:v>11</x:v>
      </x:c>
      <x:c r="AC2060" s="16" t="n">
        <x:v>0</x:v>
      </x:c>
      <x:c r="AD2060" s="21" t="n">
        <x:f>IF(E2060="",MEDIAN($E$2:$E$2237),E2060)</x:f>
        <x:v>51371</x:v>
      </x:c>
      <x:c r="AE2060" s="17" t="n">
        <x:f>2014-B2060</x:f>
        <x:v>33</x:v>
      </x:c>
      <x:c r="AF2060" s="17" t="n">
        <x:f>F2060+G2060</x:f>
        <x:v>1</x:v>
      </x:c>
      <x:c r="AG2060" s="21" t="n">
        <x:f>SUM(J2060:O2060)</x:f>
        <x:v>47</x:v>
      </x:c>
      <x:c r="AH2060" s="17" t="n">
        <x:f>SUM(Q2060:S2060)</x:f>
        <x:v>6</x:v>
      </x:c>
      <x:c r="AI2060" s="17" t="n">
        <x:f>SUM(U2060:Y2060)</x:f>
        <x:v>0</x:v>
      </x:c>
      <x:c r="AJ2060" s="17" t="str">
        <x:f>IF(AE2060&lt;=34,"≤34",IF(AE2060&lt;=44,"35–44",IF(AE2060&lt;=54,"45–54",IF(AE2060&lt;=64,"55–64","65+"))))</x:f>
        <x:v>≤34</x:v>
      </x:c>
      <x:c r="AK2060" s="17" t="str">
        <x:f>IF(AG2060&gt;=1000,"High Value",IF(AG2060&gt;=300,"Mid Value","Low Value"))</x:f>
        <x:v>Low Value</x:v>
      </x:c>
      <x:c r="AL2060" s="17" t="str">
        <x:f>IF(AND(AI2060&gt;=1,I2060&lt;=50),"Priority 1",IF(AND(AG2060&gt;=1000,I2060&lt;=60),"Priority 2",IF(I2060&lt;=30,"Priority 3","Nurture")))</x:f>
        <x:v>Nurture</x:v>
      </x:c>
    </x:row>
    <x:row r="2061">
      <x:c r="A2061" s="16" t="n">
        <x:v>2345</x:v>
      </x:c>
      <x:c r="B2061" s="16" t="n">
        <x:v>1982</x:v>
      </x:c>
      <x:c r="C2061" s="16" t="str">
        <x:v>PhD</x:v>
      </x:c>
      <x:c r="D2061" s="16" t="str">
        <x:v>Together</x:v>
      </x:c>
      <x:c r="E2061" s="16" t="n">
        <x:v>70038</x:v>
      </x:c>
      <x:c r="F2061" s="16" t="n">
        <x:v>0</x:v>
      </x:c>
      <x:c r="G2061" s="16" t="n">
        <x:v>0</x:v>
      </x:c>
      <x:c r="H2061" s="16" t="str">
        <x:v>25-10-2013</x:v>
      </x:c>
      <x:c r="I2061" s="16" t="n">
        <x:v>54</x:v>
      </x:c>
      <x:c r="J2061" s="16" t="n">
        <x:v>587</x:v>
      </x:c>
      <x:c r="K2061" s="16" t="n">
        <x:v>54</x:v>
      </x:c>
      <x:c r="L2061" s="16" t="n">
        <x:v>348</x:v>
      </x:c>
      <x:c r="M2061" s="16" t="n">
        <x:v>71</x:v>
      </x:c>
      <x:c r="N2061" s="16" t="n">
        <x:v>54</x:v>
      </x:c>
      <x:c r="O2061" s="16" t="n">
        <x:v>130</x:v>
      </x:c>
      <x:c r="P2061" s="16" t="n">
        <x:v>1</x:v>
      </x:c>
      <x:c r="Q2061" s="16" t="n">
        <x:v>4</x:v>
      </x:c>
      <x:c r="R2061" s="16" t="n">
        <x:v>4</x:v>
      </x:c>
      <x:c r="S2061" s="16" t="n">
        <x:v>8</x:v>
      </x:c>
      <x:c r="T2061" s="16" t="n">
        <x:v>2</x:v>
      </x:c>
      <x:c r="U2061" s="16" t="n">
        <x:v>0</x:v>
      </x:c>
      <x:c r="V2061" s="16" t="n">
        <x:v>0</x:v>
      </x:c>
      <x:c r="W2061" s="16" t="n">
        <x:v>0</x:v>
      </x:c>
      <x:c r="X2061" s="16" t="n">
        <x:v>0</x:v>
      </x:c>
      <x:c r="Y2061" s="16" t="n">
        <x:v>0</x:v>
      </x:c>
      <x:c r="Z2061" s="16" t="n">
        <x:v>0</x:v>
      </x:c>
      <x:c r="AA2061" s="16" t="n">
        <x:v>3</x:v>
      </x:c>
      <x:c r="AB2061" s="16" t="n">
        <x:v>11</x:v>
      </x:c>
      <x:c r="AC2061" s="16" t="n">
        <x:v>0</x:v>
      </x:c>
      <x:c r="AD2061" s="21" t="n">
        <x:f>IF(E2061="",MEDIAN($E$2:$E$2237),E2061)</x:f>
        <x:v>70038</x:v>
      </x:c>
      <x:c r="AE2061" s="17" t="n">
        <x:f>2014-B2061</x:f>
        <x:v>32</x:v>
      </x:c>
      <x:c r="AF2061" s="17" t="n">
        <x:f>F2061+G2061</x:f>
        <x:v>0</x:v>
      </x:c>
      <x:c r="AG2061" s="21" t="n">
        <x:f>SUM(J2061:O2061)</x:f>
        <x:v>1244</x:v>
      </x:c>
      <x:c r="AH2061" s="17" t="n">
        <x:f>SUM(Q2061:S2061)</x:f>
        <x:v>16</x:v>
      </x:c>
      <x:c r="AI2061" s="17" t="n">
        <x:f>SUM(U2061:Y2061)</x:f>
        <x:v>0</x:v>
      </x:c>
      <x:c r="AJ2061" s="17" t="str">
        <x:f>IF(AE2061&lt;=34,"≤34",IF(AE2061&lt;=44,"35–44",IF(AE2061&lt;=54,"45–54",IF(AE2061&lt;=64,"55–64","65+"))))</x:f>
        <x:v>≤34</x:v>
      </x:c>
      <x:c r="AK2061" s="17" t="str">
        <x:f>IF(AG2061&gt;=1000,"High Value",IF(AG2061&gt;=300,"Mid Value","Low Value"))</x:f>
        <x:v>High Value</x:v>
      </x:c>
      <x:c r="AL2061" s="17" t="str">
        <x:f>IF(AND(AI2061&gt;=1,I2061&lt;=50),"Priority 1",IF(AND(AG2061&gt;=1000,I2061&lt;=60),"Priority 2",IF(I2061&lt;=30,"Priority 3","Nurture")))</x:f>
        <x:v>Priority 2</x:v>
      </x:c>
    </x:row>
    <x:row r="2062">
      <x:c r="A2062" s="16" t="n">
        <x:v>322</x:v>
      </x:c>
      <x:c r="B2062" s="16" t="n">
        <x:v>1978</x:v>
      </x:c>
      <x:c r="C2062" s="16" t="str">
        <x:v>Graduation</x:v>
      </x:c>
      <x:c r="D2062" s="16" t="str">
        <x:v>Together</x:v>
      </x:c>
      <x:c r="E2062" s="16" t="n">
        <x:v>42554</x:v>
      </x:c>
      <x:c r="F2062" s="16" t="n">
        <x:v>1</x:v>
      </x:c>
      <x:c r="G2062" s="16" t="n">
        <x:v>1</x:v>
      </x:c>
      <x:c r="H2062" s="16" t="str">
        <x:v>12-01-2013</x:v>
      </x:c>
      <x:c r="I2062" s="16" t="n">
        <x:v>93</x:v>
      </x:c>
      <x:c r="J2062" s="16" t="n">
        <x:v>29</x:v>
      </x:c>
      <x:c r="K2062" s="16" t="n">
        <x:v>1</x:v>
      </x:c>
      <x:c r="L2062" s="16" t="n">
        <x:v>11</x:v>
      </x:c>
      <x:c r="M2062" s="16" t="n">
        <x:v>0</x:v>
      </x:c>
      <x:c r="N2062" s="16" t="n">
        <x:v>0</x:v>
      </x:c>
      <x:c r="O2062" s="16" t="n">
        <x:v>0</x:v>
      </x:c>
      <x:c r="P2062" s="16" t="n">
        <x:v>2</x:v>
      </x:c>
      <x:c r="Q2062" s="16" t="n">
        <x:v>2</x:v>
      </x:c>
      <x:c r="R2062" s="16" t="n">
        <x:v>0</x:v>
      </x:c>
      <x:c r="S2062" s="16" t="n">
        <x:v>3</x:v>
      </x:c>
      <x:c r="T2062" s="16" t="n">
        <x:v>4</x:v>
      </x:c>
      <x:c r="U2062" s="16" t="n">
        <x:v>0</x:v>
      </x:c>
      <x:c r="V2062" s="16" t="n">
        <x:v>0</x:v>
      </x:c>
      <x:c r="W2062" s="16" t="n">
        <x:v>0</x:v>
      </x:c>
      <x:c r="X2062" s="16" t="n">
        <x:v>0</x:v>
      </x:c>
      <x:c r="Y2062" s="16" t="n">
        <x:v>0</x:v>
      </x:c>
      <x:c r="Z2062" s="16" t="n">
        <x:v>0</x:v>
      </x:c>
      <x:c r="AA2062" s="16" t="n">
        <x:v>3</x:v>
      </x:c>
      <x:c r="AB2062" s="16" t="n">
        <x:v>11</x:v>
      </x:c>
      <x:c r="AC2062" s="16" t="n">
        <x:v>0</x:v>
      </x:c>
      <x:c r="AD2062" s="21" t="n">
        <x:f>IF(E2062="",MEDIAN($E$2:$E$2237),E2062)</x:f>
        <x:v>42554</x:v>
      </x:c>
      <x:c r="AE2062" s="17" t="n">
        <x:f>2014-B2062</x:f>
        <x:v>36</x:v>
      </x:c>
      <x:c r="AF2062" s="17" t="n">
        <x:f>F2062+G2062</x:f>
        <x:v>2</x:v>
      </x:c>
      <x:c r="AG2062" s="21" t="n">
        <x:f>SUM(J2062:O2062)</x:f>
        <x:v>41</x:v>
      </x:c>
      <x:c r="AH2062" s="17" t="n">
        <x:f>SUM(Q2062:S2062)</x:f>
        <x:v>5</x:v>
      </x:c>
      <x:c r="AI2062" s="17" t="n">
        <x:f>SUM(U2062:Y2062)</x:f>
        <x:v>0</x:v>
      </x:c>
      <x:c r="AJ2062" s="17" t="str">
        <x:f>IF(AE2062&lt;=34,"≤34",IF(AE2062&lt;=44,"35–44",IF(AE2062&lt;=54,"45–54",IF(AE2062&lt;=64,"55–64","65+"))))</x:f>
        <x:v>35–44</x:v>
      </x:c>
      <x:c r="AK2062" s="17" t="str">
        <x:f>IF(AG2062&gt;=1000,"High Value",IF(AG2062&gt;=300,"Mid Value","Low Value"))</x:f>
        <x:v>Low Value</x:v>
      </x:c>
      <x:c r="AL2062" s="17" t="str">
        <x:f>IF(AND(AI2062&gt;=1,I2062&lt;=50),"Priority 1",IF(AND(AG2062&gt;=1000,I2062&lt;=60),"Priority 2",IF(I2062&lt;=30,"Priority 3","Nurture")))</x:f>
        <x:v>Nurture</x:v>
      </x:c>
    </x:row>
    <x:row r="2063">
      <x:c r="A2063" s="16" t="n">
        <x:v>10897</x:v>
      </x:c>
      <x:c r="B2063" s="16" t="n">
        <x:v>1974</x:v>
      </x:c>
      <x:c r="C2063" s="16" t="str">
        <x:v>Graduation</x:v>
      </x:c>
      <x:c r="D2063" s="16" t="str">
        <x:v>Married</x:v>
      </x:c>
      <x:c r="E2063" s="16" t="n">
        <x:v>67445</x:v>
      </x:c>
      <x:c r="F2063" s="16" t="n">
        <x:v>0</x:v>
      </x:c>
      <x:c r="G2063" s="16" t="n">
        <x:v>1</x:v>
      </x:c>
      <x:c r="H2063" s="16" t="str">
        <x:v>12-08-2012</x:v>
      </x:c>
      <x:c r="I2063" s="16" t="n">
        <x:v>63</x:v>
      </x:c>
      <x:c r="J2063" s="16" t="n">
        <x:v>757</x:v>
      </x:c>
      <x:c r="K2063" s="16" t="n">
        <x:v>80</x:v>
      </x:c>
      <x:c r="L2063" s="16" t="n">
        <x:v>217</x:v>
      </x:c>
      <x:c r="M2063" s="16" t="n">
        <x:v>29</x:v>
      </x:c>
      <x:c r="N2063" s="16" t="n">
        <x:v>80</x:v>
      </x:c>
      <x:c r="O2063" s="16" t="n">
        <x:v>11</x:v>
      </x:c>
      <x:c r="P2063" s="16" t="n">
        <x:v>5</x:v>
      </x:c>
      <x:c r="Q2063" s="16" t="n">
        <x:v>9</x:v>
      </x:c>
      <x:c r="R2063" s="16" t="n">
        <x:v>6</x:v>
      </x:c>
      <x:c r="S2063" s="16" t="n">
        <x:v>12</x:v>
      </x:c>
      <x:c r="T2063" s="16" t="n">
        <x:v>6</x:v>
      </x:c>
      <x:c r="U2063" s="16" t="n">
        <x:v>0</x:v>
      </x:c>
      <x:c r="V2063" s="16" t="n">
        <x:v>0</x:v>
      </x:c>
      <x:c r="W2063" s="16" t="n">
        <x:v>0</x:v>
      </x:c>
      <x:c r="X2063" s="16" t="n">
        <x:v>0</x:v>
      </x:c>
      <x:c r="Y2063" s="16" t="n">
        <x:v>0</x:v>
      </x:c>
      <x:c r="Z2063" s="16" t="n">
        <x:v>0</x:v>
      </x:c>
      <x:c r="AA2063" s="16" t="n">
        <x:v>3</x:v>
      </x:c>
      <x:c r="AB2063" s="16" t="n">
        <x:v>11</x:v>
      </x:c>
      <x:c r="AC2063" s="16" t="n">
        <x:v>0</x:v>
      </x:c>
      <x:c r="AD2063" s="21" t="n">
        <x:f>IF(E2063="",MEDIAN($E$2:$E$2237),E2063)</x:f>
        <x:v>67445</x:v>
      </x:c>
      <x:c r="AE2063" s="17" t="n">
        <x:f>2014-B2063</x:f>
        <x:v>40</x:v>
      </x:c>
      <x:c r="AF2063" s="17" t="n">
        <x:f>F2063+G2063</x:f>
        <x:v>1</x:v>
      </x:c>
      <x:c r="AG2063" s="21" t="n">
        <x:f>SUM(J2063:O2063)</x:f>
        <x:v>1174</x:v>
      </x:c>
      <x:c r="AH2063" s="17" t="n">
        <x:f>SUM(Q2063:S2063)</x:f>
        <x:v>27</x:v>
      </x:c>
      <x:c r="AI2063" s="17" t="n">
        <x:f>SUM(U2063:Y2063)</x:f>
        <x:v>0</x:v>
      </x:c>
      <x:c r="AJ2063" s="17" t="str">
        <x:f>IF(AE2063&lt;=34,"≤34",IF(AE2063&lt;=44,"35–44",IF(AE2063&lt;=54,"45–54",IF(AE2063&lt;=64,"55–64","65+"))))</x:f>
        <x:v>35–44</x:v>
      </x:c>
      <x:c r="AK2063" s="17" t="str">
        <x:f>IF(AG2063&gt;=1000,"High Value",IF(AG2063&gt;=300,"Mid Value","Low Value"))</x:f>
        <x:v>High Value</x:v>
      </x:c>
      <x:c r="AL2063" s="17" t="str">
        <x:f>IF(AND(AI2063&gt;=1,I2063&lt;=50),"Priority 1",IF(AND(AG2063&gt;=1000,I2063&lt;=60),"Priority 2",IF(I2063&lt;=30,"Priority 3","Nurture")))</x:f>
        <x:v>Nurture</x:v>
      </x:c>
    </x:row>
    <x:row r="2064">
      <x:c r="A2064" s="16" t="n">
        <x:v>123</x:v>
      </x:c>
      <x:c r="B2064" s="16" t="n">
        <x:v>1951</x:v>
      </x:c>
      <x:c r="C2064" s="16" t="str">
        <x:v>Graduation</x:v>
      </x:c>
      <x:c r="D2064" s="16" t="str">
        <x:v>Widow</x:v>
      </x:c>
      <x:c r="E2064" s="16" t="n">
        <x:v>67046</x:v>
      </x:c>
      <x:c r="F2064" s="16" t="n">
        <x:v>0</x:v>
      </x:c>
      <x:c r="G2064" s="16" t="n">
        <x:v>1</x:v>
      </x:c>
      <x:c r="H2064" s="16" t="str">
        <x:v>06-01-2013</x:v>
      </x:c>
      <x:c r="I2064" s="16" t="n">
        <x:v>92</x:v>
      </x:c>
      <x:c r="J2064" s="16" t="n">
        <x:v>544</x:v>
      </x:c>
      <x:c r="K2064" s="16" t="n">
        <x:v>35</x:v>
      </x:c>
      <x:c r="L2064" s="16" t="n">
        <x:v>133</x:v>
      </x:c>
      <x:c r="M2064" s="16" t="n">
        <x:v>23</x:v>
      </x:c>
      <x:c r="N2064" s="16" t="n">
        <x:v>151</x:v>
      </x:c>
      <x:c r="O2064" s="16" t="n">
        <x:v>107</x:v>
      </x:c>
      <x:c r="P2064" s="16" t="n">
        <x:v>2</x:v>
      </x:c>
      <x:c r="Q2064" s="16" t="n">
        <x:v>4</x:v>
      </x:c>
      <x:c r="R2064" s="16" t="n">
        <x:v>5</x:v>
      </x:c>
      <x:c r="S2064" s="16" t="n">
        <x:v>4</x:v>
      </x:c>
      <x:c r="T2064" s="16" t="n">
        <x:v>2</x:v>
      </x:c>
      <x:c r="U2064" s="16" t="n">
        <x:v>0</x:v>
      </x:c>
      <x:c r="V2064" s="16" t="n">
        <x:v>0</x:v>
      </x:c>
      <x:c r="W2064" s="16" t="n">
        <x:v>0</x:v>
      </x:c>
      <x:c r="X2064" s="16" t="n">
        <x:v>0</x:v>
      </x:c>
      <x:c r="Y2064" s="16" t="n">
        <x:v>0</x:v>
      </x:c>
      <x:c r="Z2064" s="16" t="n">
        <x:v>0</x:v>
      </x:c>
      <x:c r="AA2064" s="16" t="n">
        <x:v>3</x:v>
      </x:c>
      <x:c r="AB2064" s="16" t="n">
        <x:v>11</x:v>
      </x:c>
      <x:c r="AC2064" s="16" t="n">
        <x:v>0</x:v>
      </x:c>
      <x:c r="AD2064" s="21" t="n">
        <x:f>IF(E2064="",MEDIAN($E$2:$E$2237),E2064)</x:f>
        <x:v>67046</x:v>
      </x:c>
      <x:c r="AE2064" s="17" t="n">
        <x:f>2014-B2064</x:f>
        <x:v>63</x:v>
      </x:c>
      <x:c r="AF2064" s="17" t="n">
        <x:f>F2064+G2064</x:f>
        <x:v>1</x:v>
      </x:c>
      <x:c r="AG2064" s="21" t="n">
        <x:f>SUM(J2064:O2064)</x:f>
        <x:v>993</x:v>
      </x:c>
      <x:c r="AH2064" s="17" t="n">
        <x:f>SUM(Q2064:S2064)</x:f>
        <x:v>13</x:v>
      </x:c>
      <x:c r="AI2064" s="17" t="n">
        <x:f>SUM(U2064:Y2064)</x:f>
        <x:v>0</x:v>
      </x:c>
      <x:c r="AJ2064" s="17" t="str">
        <x:f>IF(AE2064&lt;=34,"≤34",IF(AE2064&lt;=44,"35–44",IF(AE2064&lt;=54,"45–54",IF(AE2064&lt;=64,"55–64","65+"))))</x:f>
        <x:v>55–64</x:v>
      </x:c>
      <x:c r="AK2064" s="17" t="str">
        <x:f>IF(AG2064&gt;=1000,"High Value",IF(AG2064&gt;=300,"Mid Value","Low Value"))</x:f>
        <x:v>Mid Value</x:v>
      </x:c>
      <x:c r="AL2064" s="17" t="str">
        <x:f>IF(AND(AI2064&gt;=1,I2064&lt;=50),"Priority 1",IF(AND(AG2064&gt;=1000,I2064&lt;=60),"Priority 2",IF(I2064&lt;=30,"Priority 3","Nurture")))</x:f>
        <x:v>Nurture</x:v>
      </x:c>
    </x:row>
    <x:row r="2065">
      <x:c r="A2065" s="16" t="n">
        <x:v>6103</x:v>
      </x:c>
      <x:c r="B2065" s="16" t="n">
        <x:v>1948</x:v>
      </x:c>
      <x:c r="C2065" s="16" t="str">
        <x:v>Graduation</x:v>
      </x:c>
      <x:c r="D2065" s="16" t="str">
        <x:v>Married</x:v>
      </x:c>
      <x:c r="E2065" s="16" t="n">
        <x:v>42192</x:v>
      </x:c>
      <x:c r="F2065" s="16" t="n">
        <x:v>0</x:v>
      </x:c>
      <x:c r="G2065" s="16" t="n">
        <x:v>0</x:v>
      </x:c>
      <x:c r="H2065" s="16" t="str">
        <x:v>06-09-2013</x:v>
      </x:c>
      <x:c r="I2065" s="16" t="n">
        <x:v>40</x:v>
      </x:c>
      <x:c r="J2065" s="16" t="n">
        <x:v>40</x:v>
      </x:c>
      <x:c r="K2065" s="16" t="n">
        <x:v>15</x:v>
      </x:c>
      <x:c r="L2065" s="16" t="n">
        <x:v>15</x:v>
      </x:c>
      <x:c r="M2065" s="16" t="n">
        <x:v>17</x:v>
      </x:c>
      <x:c r="N2065" s="16" t="n">
        <x:v>6</x:v>
      </x:c>
      <x:c r="O2065" s="16" t="n">
        <x:v>7</x:v>
      </x:c>
      <x:c r="P2065" s="16" t="n">
        <x:v>1</x:v>
      </x:c>
      <x:c r="Q2065" s="16" t="n">
        <x:v>2</x:v>
      </x:c>
      <x:c r="R2065" s="16" t="n">
        <x:v>1</x:v>
      </x:c>
      <x:c r="S2065" s="16" t="n">
        <x:v>3</x:v>
      </x:c>
      <x:c r="T2065" s="16" t="n">
        <x:v>4</x:v>
      </x:c>
      <x:c r="U2065" s="16" t="n">
        <x:v>0</x:v>
      </x:c>
      <x:c r="V2065" s="16" t="n">
        <x:v>0</x:v>
      </x:c>
      <x:c r="W2065" s="16" t="n">
        <x:v>0</x:v>
      </x:c>
      <x:c r="X2065" s="16" t="n">
        <x:v>0</x:v>
      </x:c>
      <x:c r="Y2065" s="16" t="n">
        <x:v>0</x:v>
      </x:c>
      <x:c r="Z2065" s="16" t="n">
        <x:v>0</x:v>
      </x:c>
      <x:c r="AA2065" s="16" t="n">
        <x:v>3</x:v>
      </x:c>
      <x:c r="AB2065" s="16" t="n">
        <x:v>11</x:v>
      </x:c>
      <x:c r="AC2065" s="16" t="n">
        <x:v>0</x:v>
      </x:c>
      <x:c r="AD2065" s="21" t="n">
        <x:f>IF(E2065="",MEDIAN($E$2:$E$2237),E2065)</x:f>
        <x:v>42192</x:v>
      </x:c>
      <x:c r="AE2065" s="17" t="n">
        <x:f>2014-B2065</x:f>
        <x:v>66</x:v>
      </x:c>
      <x:c r="AF2065" s="17" t="n">
        <x:f>F2065+G2065</x:f>
        <x:v>0</x:v>
      </x:c>
      <x:c r="AG2065" s="21" t="n">
        <x:f>SUM(J2065:O2065)</x:f>
        <x:v>100</x:v>
      </x:c>
      <x:c r="AH2065" s="17" t="n">
        <x:f>SUM(Q2065:S2065)</x:f>
        <x:v>6</x:v>
      </x:c>
      <x:c r="AI2065" s="17" t="n">
        <x:f>SUM(U2065:Y2065)</x:f>
        <x:v>0</x:v>
      </x:c>
      <x:c r="AJ2065" s="17" t="str">
        <x:f>IF(AE2065&lt;=34,"≤34",IF(AE2065&lt;=44,"35–44",IF(AE2065&lt;=54,"45–54",IF(AE2065&lt;=64,"55–64","65+"))))</x:f>
        <x:v>65+</x:v>
      </x:c>
      <x:c r="AK2065" s="17" t="str">
        <x:f>IF(AG2065&gt;=1000,"High Value",IF(AG2065&gt;=300,"Mid Value","Low Value"))</x:f>
        <x:v>Low Value</x:v>
      </x:c>
      <x:c r="AL2065" s="17" t="str">
        <x:f>IF(AND(AI2065&gt;=1,I2065&lt;=50),"Priority 1",IF(AND(AG2065&gt;=1000,I2065&lt;=60),"Priority 2",IF(I2065&lt;=30,"Priority 3","Nurture")))</x:f>
        <x:v>Nurture</x:v>
      </x:c>
    </x:row>
    <x:row r="2066">
      <x:c r="A2066" s="16" t="n">
        <x:v>7899</x:v>
      </x:c>
      <x:c r="B2066" s="16" t="n">
        <x:v>1952</x:v>
      </x:c>
      <x:c r="C2066" s="16" t="str">
        <x:v>PhD</x:v>
      </x:c>
      <x:c r="D2066" s="16" t="str">
        <x:v>Married</x:v>
      </x:c>
      <x:c r="E2066" s="16" t="n">
        <x:v>77610</x:v>
      </x:c>
      <x:c r="F2066" s="16" t="n">
        <x:v>0</x:v>
      </x:c>
      <x:c r="G2066" s="16" t="n">
        <x:v>1</x:v>
      </x:c>
      <x:c r="H2066" s="16" t="str">
        <x:v>29-10-2012</x:v>
      </x:c>
      <x:c r="I2066" s="16" t="n">
        <x:v>70</x:v>
      </x:c>
      <x:c r="J2066" s="16" t="n">
        <x:v>1245</x:v>
      </x:c>
      <x:c r="K2066" s="16" t="n">
        <x:v>33</x:v>
      </x:c>
      <x:c r="L2066" s="16" t="n">
        <x:v>332</x:v>
      </x:c>
      <x:c r="M2066" s="16" t="n">
        <x:v>21</x:v>
      </x:c>
      <x:c r="N2066" s="16" t="n">
        <x:v>33</x:v>
      </x:c>
      <x:c r="O2066" s="16" t="n">
        <x:v>16</x:v>
      </x:c>
      <x:c r="P2066" s="16" t="n">
        <x:v>2</x:v>
      </x:c>
      <x:c r="Q2066" s="16" t="n">
        <x:v>4</x:v>
      </x:c>
      <x:c r="R2066" s="16" t="n">
        <x:v>7</x:v>
      </x:c>
      <x:c r="S2066" s="16" t="n">
        <x:v>4</x:v>
      </x:c>
      <x:c r="T2066" s="16" t="n">
        <x:v>7</x:v>
      </x:c>
      <x:c r="U2066" s="16" t="n">
        <x:v>0</x:v>
      </x:c>
      <x:c r="V2066" s="16" t="n">
        <x:v>0</x:v>
      </x:c>
      <x:c r="W2066" s="16" t="n">
        <x:v>0</x:v>
      </x:c>
      <x:c r="X2066" s="16" t="n">
        <x:v>0</x:v>
      </x:c>
      <x:c r="Y2066" s="16" t="n">
        <x:v>0</x:v>
      </x:c>
      <x:c r="Z2066" s="16" t="n">
        <x:v>0</x:v>
      </x:c>
      <x:c r="AA2066" s="16" t="n">
        <x:v>3</x:v>
      </x:c>
      <x:c r="AB2066" s="16" t="n">
        <x:v>11</x:v>
      </x:c>
      <x:c r="AC2066" s="16" t="n">
        <x:v>0</x:v>
      </x:c>
      <x:c r="AD2066" s="21" t="n">
        <x:f>IF(E2066="",MEDIAN($E$2:$E$2237),E2066)</x:f>
        <x:v>77610</x:v>
      </x:c>
      <x:c r="AE2066" s="17" t="n">
        <x:f>2014-B2066</x:f>
        <x:v>62</x:v>
      </x:c>
      <x:c r="AF2066" s="17" t="n">
        <x:f>F2066+G2066</x:f>
        <x:v>1</x:v>
      </x:c>
      <x:c r="AG2066" s="21" t="n">
        <x:f>SUM(J2066:O2066)</x:f>
        <x:v>1680</x:v>
      </x:c>
      <x:c r="AH2066" s="17" t="n">
        <x:f>SUM(Q2066:S2066)</x:f>
        <x:v>15</x:v>
      </x:c>
      <x:c r="AI2066" s="17" t="n">
        <x:f>SUM(U2066:Y2066)</x:f>
        <x:v>0</x:v>
      </x:c>
      <x:c r="AJ2066" s="17" t="str">
        <x:f>IF(AE2066&lt;=34,"≤34",IF(AE2066&lt;=44,"35–44",IF(AE2066&lt;=54,"45–54",IF(AE2066&lt;=64,"55–64","65+"))))</x:f>
        <x:v>55–64</x:v>
      </x:c>
      <x:c r="AK2066" s="17" t="str">
        <x:f>IF(AG2066&gt;=1000,"High Value",IF(AG2066&gt;=300,"Mid Value","Low Value"))</x:f>
        <x:v>High Value</x:v>
      </x:c>
      <x:c r="AL2066" s="17" t="str">
        <x:f>IF(AND(AI2066&gt;=1,I2066&lt;=50),"Priority 1",IF(AND(AG2066&gt;=1000,I2066&lt;=60),"Priority 2",IF(I2066&lt;=30,"Priority 3","Nurture")))</x:f>
        <x:v>Nurture</x:v>
      </x:c>
    </x:row>
    <x:row r="2067">
      <x:c r="A2067" s="16" t="n">
        <x:v>10500</x:v>
      </x:c>
      <x:c r="B2067" s="16" t="n">
        <x:v>1984</x:v>
      </x:c>
      <x:c r="C2067" s="16" t="str">
        <x:v>Graduation</x:v>
      </x:c>
      <x:c r="D2067" s="16" t="str">
        <x:v>Married</x:v>
      </x:c>
      <x:c r="E2067" s="16" t="n">
        <x:v>31761</x:v>
      </x:c>
      <x:c r="F2067" s="16" t="n">
        <x:v>1</x:v>
      </x:c>
      <x:c r="G2067" s="16" t="n">
        <x:v>0</x:v>
      </x:c>
      <x:c r="H2067" s="16" t="str">
        <x:v>05-04-2014</x:v>
      </x:c>
      <x:c r="I2067" s="16" t="n">
        <x:v>96</x:v>
      </x:c>
      <x:c r="J2067" s="16" t="n">
        <x:v>19</x:v>
      </x:c>
      <x:c r="K2067" s="16" t="n">
        <x:v>1</x:v>
      </x:c>
      <x:c r="L2067" s="16" t="n">
        <x:v>20</x:v>
      </x:c>
      <x:c r="M2067" s="16" t="n">
        <x:v>16</x:v>
      </x:c>
      <x:c r="N2067" s="16" t="n">
        <x:v>14</x:v>
      </x:c>
      <x:c r="O2067" s="16" t="n">
        <x:v>28</x:v>
      </x:c>
      <x:c r="P2067" s="16" t="n">
        <x:v>2</x:v>
      </x:c>
      <x:c r="Q2067" s="16" t="n">
        <x:v>3</x:v>
      </x:c>
      <x:c r="R2067" s="16" t="n">
        <x:v>0</x:v>
      </x:c>
      <x:c r="S2067" s="16" t="n">
        <x:v>4</x:v>
      </x:c>
      <x:c r="T2067" s="16" t="n">
        <x:v>5</x:v>
      </x:c>
      <x:c r="U2067" s="16" t="n">
        <x:v>0</x:v>
      </x:c>
      <x:c r="V2067" s="16" t="n">
        <x:v>0</x:v>
      </x:c>
      <x:c r="W2067" s="16" t="n">
        <x:v>0</x:v>
      </x:c>
      <x:c r="X2067" s="16" t="n">
        <x:v>0</x:v>
      </x:c>
      <x:c r="Y2067" s="16" t="n">
        <x:v>0</x:v>
      </x:c>
      <x:c r="Z2067" s="16" t="n">
        <x:v>0</x:v>
      </x:c>
      <x:c r="AA2067" s="16" t="n">
        <x:v>3</x:v>
      </x:c>
      <x:c r="AB2067" s="16" t="n">
        <x:v>11</x:v>
      </x:c>
      <x:c r="AC2067" s="16" t="n">
        <x:v>0</x:v>
      </x:c>
      <x:c r="AD2067" s="21" t="n">
        <x:f>IF(E2067="",MEDIAN($E$2:$E$2237),E2067)</x:f>
        <x:v>31761</x:v>
      </x:c>
      <x:c r="AE2067" s="17" t="n">
        <x:f>2014-B2067</x:f>
        <x:v>30</x:v>
      </x:c>
      <x:c r="AF2067" s="17" t="n">
        <x:f>F2067+G2067</x:f>
        <x:v>1</x:v>
      </x:c>
      <x:c r="AG2067" s="21" t="n">
        <x:f>SUM(J2067:O2067)</x:f>
        <x:v>98</x:v>
      </x:c>
      <x:c r="AH2067" s="17" t="n">
        <x:f>SUM(Q2067:S2067)</x:f>
        <x:v>7</x:v>
      </x:c>
      <x:c r="AI2067" s="17" t="n">
        <x:f>SUM(U2067:Y2067)</x:f>
        <x:v>0</x:v>
      </x:c>
      <x:c r="AJ2067" s="17" t="str">
        <x:f>IF(AE2067&lt;=34,"≤34",IF(AE2067&lt;=44,"35–44",IF(AE2067&lt;=54,"45–54",IF(AE2067&lt;=64,"55–64","65+"))))</x:f>
        <x:v>≤34</x:v>
      </x:c>
      <x:c r="AK2067" s="17" t="str">
        <x:f>IF(AG2067&gt;=1000,"High Value",IF(AG2067&gt;=300,"Mid Value","Low Value"))</x:f>
        <x:v>Low Value</x:v>
      </x:c>
      <x:c r="AL2067" s="17" t="str">
        <x:f>IF(AND(AI2067&gt;=1,I2067&lt;=50),"Priority 1",IF(AND(AG2067&gt;=1000,I2067&lt;=60),"Priority 2",IF(I2067&lt;=30,"Priority 3","Nurture")))</x:f>
        <x:v>Nurture</x:v>
      </x:c>
    </x:row>
    <x:row r="2068">
      <x:c r="A2068" s="16" t="n">
        <x:v>1655</x:v>
      </x:c>
      <x:c r="B2068" s="16" t="n">
        <x:v>1979</x:v>
      </x:c>
      <x:c r="C2068" s="16" t="str">
        <x:v>Graduation</x:v>
      </x:c>
      <x:c r="D2068" s="16" t="str">
        <x:v>Together</x:v>
      </x:c>
      <x:c r="E2068" s="16" t="n">
        <x:v>34350</x:v>
      </x:c>
      <x:c r="F2068" s="16" t="n">
        <x:v>1</x:v>
      </x:c>
      <x:c r="G2068" s="16" t="n">
        <x:v>0</x:v>
      </x:c>
      <x:c r="H2068" s="16" t="str">
        <x:v>19-10-2013</x:v>
      </x:c>
      <x:c r="I2068" s="16" t="n">
        <x:v>81</x:v>
      </x:c>
      <x:c r="J2068" s="16" t="n">
        <x:v>16</x:v>
      </x:c>
      <x:c r="K2068" s="16" t="n">
        <x:v>3</x:v>
      </x:c>
      <x:c r="L2068" s="16" t="n">
        <x:v>15</x:v>
      </x:c>
      <x:c r="M2068" s="16" t="n">
        <x:v>2</x:v>
      </x:c>
      <x:c r="N2068" s="16" t="n">
        <x:v>1</x:v>
      </x:c>
      <x:c r="O2068" s="16" t="n">
        <x:v>11</x:v>
      </x:c>
      <x:c r="P2068" s="16" t="n">
        <x:v>1</x:v>
      </x:c>
      <x:c r="Q2068" s="16" t="n">
        <x:v>1</x:v>
      </x:c>
      <x:c r="R2068" s="16" t="n">
        <x:v>0</x:v>
      </x:c>
      <x:c r="S2068" s="16" t="n">
        <x:v>3</x:v>
      </x:c>
      <x:c r="T2068" s="16" t="n">
        <x:v>7</x:v>
      </x:c>
      <x:c r="U2068" s="16" t="n">
        <x:v>0</x:v>
      </x:c>
      <x:c r="V2068" s="16" t="n">
        <x:v>0</x:v>
      </x:c>
      <x:c r="W2068" s="16" t="n">
        <x:v>0</x:v>
      </x:c>
      <x:c r="X2068" s="16" t="n">
        <x:v>0</x:v>
      </x:c>
      <x:c r="Y2068" s="16" t="n">
        <x:v>0</x:v>
      </x:c>
      <x:c r="Z2068" s="16" t="n">
        <x:v>0</x:v>
      </x:c>
      <x:c r="AA2068" s="16" t="n">
        <x:v>3</x:v>
      </x:c>
      <x:c r="AB2068" s="16" t="n">
        <x:v>11</x:v>
      </x:c>
      <x:c r="AC2068" s="16" t="n">
        <x:v>0</x:v>
      </x:c>
      <x:c r="AD2068" s="21" t="n">
        <x:f>IF(E2068="",MEDIAN($E$2:$E$2237),E2068)</x:f>
        <x:v>34350</x:v>
      </x:c>
      <x:c r="AE2068" s="17" t="n">
        <x:f>2014-B2068</x:f>
        <x:v>35</x:v>
      </x:c>
      <x:c r="AF2068" s="17" t="n">
        <x:f>F2068+G2068</x:f>
        <x:v>1</x:v>
      </x:c>
      <x:c r="AG2068" s="21" t="n">
        <x:f>SUM(J2068:O2068)</x:f>
        <x:v>48</x:v>
      </x:c>
      <x:c r="AH2068" s="17" t="n">
        <x:f>SUM(Q2068:S2068)</x:f>
        <x:v>4</x:v>
      </x:c>
      <x:c r="AI2068" s="17" t="n">
        <x:f>SUM(U2068:Y2068)</x:f>
        <x:v>0</x:v>
      </x:c>
      <x:c r="AJ2068" s="17" t="str">
        <x:f>IF(AE2068&lt;=34,"≤34",IF(AE2068&lt;=44,"35–44",IF(AE2068&lt;=54,"45–54",IF(AE2068&lt;=64,"55–64","65+"))))</x:f>
        <x:v>35–44</x:v>
      </x:c>
      <x:c r="AK2068" s="17" t="str">
        <x:f>IF(AG2068&gt;=1000,"High Value",IF(AG2068&gt;=300,"Mid Value","Low Value"))</x:f>
        <x:v>Low Value</x:v>
      </x:c>
      <x:c r="AL2068" s="17" t="str">
        <x:f>IF(AND(AI2068&gt;=1,I2068&lt;=50),"Priority 1",IF(AND(AG2068&gt;=1000,I2068&lt;=60),"Priority 2",IF(I2068&lt;=30,"Priority 3","Nurture")))</x:f>
        <x:v>Nurture</x:v>
      </x:c>
    </x:row>
    <x:row r="2069">
      <x:c r="A2069" s="16" t="n">
        <x:v>2406</x:v>
      </x:c>
      <x:c r="B2069" s="16" t="n">
        <x:v>1949</x:v>
      </x:c>
      <x:c r="C2069" s="16" t="str">
        <x:v>Graduation</x:v>
      </x:c>
      <x:c r="D2069" s="16" t="str">
        <x:v>Together</x:v>
      </x:c>
      <x:c r="E2069" s="16" t="n">
        <x:v>54591</x:v>
      </x:c>
      <x:c r="F2069" s="16" t="n">
        <x:v>0</x:v>
      </x:c>
      <x:c r="G2069" s="16" t="n">
        <x:v>1</x:v>
      </x:c>
      <x:c r="H2069" s="16" t="str">
        <x:v>05-08-2013</x:v>
      </x:c>
      <x:c r="I2069" s="16" t="n">
        <x:v>63</x:v>
      </x:c>
      <x:c r="J2069" s="16" t="n">
        <x:v>376</x:v>
      </x:c>
      <x:c r="K2069" s="16" t="n">
        <x:v>4</x:v>
      </x:c>
      <x:c r="L2069" s="16" t="n">
        <x:v>94</x:v>
      </x:c>
      <x:c r="M2069" s="16" t="n">
        <x:v>12</x:v>
      </x:c>
      <x:c r="N2069" s="16" t="n">
        <x:v>9</x:v>
      </x:c>
      <x:c r="O2069" s="16" t="n">
        <x:v>24</x:v>
      </x:c>
      <x:c r="P2069" s="16" t="n">
        <x:v>3</x:v>
      </x:c>
      <x:c r="Q2069" s="16" t="n">
        <x:v>6</x:v>
      </x:c>
      <x:c r="R2069" s="16" t="n">
        <x:v>2</x:v>
      </x:c>
      <x:c r="S2069" s="16" t="n">
        <x:v>8</x:v>
      </x:c>
      <x:c r="T2069" s="16" t="n">
        <x:v>5</x:v>
      </x:c>
      <x:c r="U2069" s="16" t="n">
        <x:v>0</x:v>
      </x:c>
      <x:c r="V2069" s="16" t="n">
        <x:v>0</x:v>
      </x:c>
      <x:c r="W2069" s="16" t="n">
        <x:v>0</x:v>
      </x:c>
      <x:c r="X2069" s="16" t="n">
        <x:v>0</x:v>
      </x:c>
      <x:c r="Y2069" s="16" t="n">
        <x:v>0</x:v>
      </x:c>
      <x:c r="Z2069" s="16" t="n">
        <x:v>0</x:v>
      </x:c>
      <x:c r="AA2069" s="16" t="n">
        <x:v>3</x:v>
      </x:c>
      <x:c r="AB2069" s="16" t="n">
        <x:v>11</x:v>
      </x:c>
      <x:c r="AC2069" s="16" t="n">
        <x:v>0</x:v>
      </x:c>
      <x:c r="AD2069" s="21" t="n">
        <x:f>IF(E2069="",MEDIAN($E$2:$E$2237),E2069)</x:f>
        <x:v>54591</x:v>
      </x:c>
      <x:c r="AE2069" s="17" t="n">
        <x:f>2014-B2069</x:f>
        <x:v>65</x:v>
      </x:c>
      <x:c r="AF2069" s="17" t="n">
        <x:f>F2069+G2069</x:f>
        <x:v>1</x:v>
      </x:c>
      <x:c r="AG2069" s="21" t="n">
        <x:f>SUM(J2069:O2069)</x:f>
        <x:v>519</x:v>
      </x:c>
      <x:c r="AH2069" s="17" t="n">
        <x:f>SUM(Q2069:S2069)</x:f>
        <x:v>16</x:v>
      </x:c>
      <x:c r="AI2069" s="17" t="n">
        <x:f>SUM(U2069:Y2069)</x:f>
        <x:v>0</x:v>
      </x:c>
      <x:c r="AJ2069" s="17" t="str">
        <x:f>IF(AE2069&lt;=34,"≤34",IF(AE2069&lt;=44,"35–44",IF(AE2069&lt;=54,"45–54",IF(AE2069&lt;=64,"55–64","65+"))))</x:f>
        <x:v>65+</x:v>
      </x:c>
      <x:c r="AK2069" s="17" t="str">
        <x:f>IF(AG2069&gt;=1000,"High Value",IF(AG2069&gt;=300,"Mid Value","Low Value"))</x:f>
        <x:v>Mid Value</x:v>
      </x:c>
      <x:c r="AL2069" s="17" t="str">
        <x:f>IF(AND(AI2069&gt;=1,I2069&lt;=50),"Priority 1",IF(AND(AG2069&gt;=1000,I2069&lt;=60),"Priority 2",IF(I2069&lt;=30,"Priority 3","Nurture")))</x:f>
        <x:v>Nurture</x:v>
      </x:c>
    </x:row>
    <x:row r="2070">
      <x:c r="A2070" s="16" t="n">
        <x:v>2712</x:v>
      </x:c>
      <x:c r="B2070" s="16" t="n">
        <x:v>1956</x:v>
      </x:c>
      <x:c r="C2070" s="16" t="str">
        <x:v>Graduation</x:v>
      </x:c>
      <x:c r="D2070" s="16" t="str">
        <x:v>Married</x:v>
      </x:c>
      <x:c r="E2070" s="16" t="n">
        <x:v>71866</x:v>
      </x:c>
      <x:c r="F2070" s="16" t="n">
        <x:v>0</x:v>
      </x:c>
      <x:c r="G2070" s="16" t="n">
        <x:v>1</x:v>
      </x:c>
      <x:c r="H2070" s="16" t="str">
        <x:v>25-12-2013</x:v>
      </x:c>
      <x:c r="I2070" s="16" t="n">
        <x:v>85</x:v>
      </x:c>
      <x:c r="J2070" s="16" t="n">
        <x:v>184</x:v>
      </x:c>
      <x:c r="K2070" s="16" t="n">
        <x:v>178</x:v>
      </x:c>
      <x:c r="L2070" s="16" t="n">
        <x:v>178</x:v>
      </x:c>
      <x:c r="M2070" s="16" t="n">
        <x:v>103</x:v>
      </x:c>
      <x:c r="N2070" s="16" t="n">
        <x:v>39</x:v>
      </x:c>
      <x:c r="O2070" s="16" t="n">
        <x:v>33</x:v>
      </x:c>
      <x:c r="P2070" s="16" t="n">
        <x:v>1</x:v>
      </x:c>
      <x:c r="Q2070" s="16" t="n">
        <x:v>6</x:v>
      </x:c>
      <x:c r="R2070" s="16" t="n">
        <x:v>3</x:v>
      </x:c>
      <x:c r="S2070" s="16" t="n">
        <x:v>10</x:v>
      </x:c>
      <x:c r="T2070" s="16" t="n">
        <x:v>3</x:v>
      </x:c>
      <x:c r="U2070" s="16" t="n">
        <x:v>0</x:v>
      </x:c>
      <x:c r="V2070" s="16" t="n">
        <x:v>0</x:v>
      </x:c>
      <x:c r="W2070" s="16" t="n">
        <x:v>0</x:v>
      </x:c>
      <x:c r="X2070" s="16" t="n">
        <x:v>0</x:v>
      </x:c>
      <x:c r="Y2070" s="16" t="n">
        <x:v>0</x:v>
      </x:c>
      <x:c r="Z2070" s="16" t="n">
        <x:v>0</x:v>
      </x:c>
      <x:c r="AA2070" s="16" t="n">
        <x:v>3</x:v>
      </x:c>
      <x:c r="AB2070" s="16" t="n">
        <x:v>11</x:v>
      </x:c>
      <x:c r="AC2070" s="16" t="n">
        <x:v>0</x:v>
      </x:c>
      <x:c r="AD2070" s="21" t="n">
        <x:f>IF(E2070="",MEDIAN($E$2:$E$2237),E2070)</x:f>
        <x:v>71866</x:v>
      </x:c>
      <x:c r="AE2070" s="17" t="n">
        <x:f>2014-B2070</x:f>
        <x:v>58</x:v>
      </x:c>
      <x:c r="AF2070" s="17" t="n">
        <x:f>F2070+G2070</x:f>
        <x:v>1</x:v>
      </x:c>
      <x:c r="AG2070" s="21" t="n">
        <x:f>SUM(J2070:O2070)</x:f>
        <x:v>715</x:v>
      </x:c>
      <x:c r="AH2070" s="17" t="n">
        <x:f>SUM(Q2070:S2070)</x:f>
        <x:v>19</x:v>
      </x:c>
      <x:c r="AI2070" s="17" t="n">
        <x:f>SUM(U2070:Y2070)</x:f>
        <x:v>0</x:v>
      </x:c>
      <x:c r="AJ2070" s="17" t="str">
        <x:f>IF(AE2070&lt;=34,"≤34",IF(AE2070&lt;=44,"35–44",IF(AE2070&lt;=54,"45–54",IF(AE2070&lt;=64,"55–64","65+"))))</x:f>
        <x:v>55–64</x:v>
      </x:c>
      <x:c r="AK2070" s="17" t="str">
        <x:f>IF(AG2070&gt;=1000,"High Value",IF(AG2070&gt;=300,"Mid Value","Low Value"))</x:f>
        <x:v>Mid Value</x:v>
      </x:c>
      <x:c r="AL2070" s="17" t="str">
        <x:f>IF(AND(AI2070&gt;=1,I2070&lt;=50),"Priority 1",IF(AND(AG2070&gt;=1000,I2070&lt;=60),"Priority 2",IF(I2070&lt;=30,"Priority 3","Nurture")))</x:f>
        <x:v>Nurture</x:v>
      </x:c>
    </x:row>
    <x:row r="2071">
      <x:c r="A2071" s="16" t="n">
        <x:v>5517</x:v>
      </x:c>
      <x:c r="B2071" s="16" t="n">
        <x:v>1969</x:v>
      </x:c>
      <x:c r="C2071" s="16" t="str">
        <x:v>Graduation</x:v>
      </x:c>
      <x:c r="D2071" s="16" t="str">
        <x:v>Married</x:v>
      </x:c>
      <x:c r="E2071" s="16" t="n">
        <x:v>25293</x:v>
      </x:c>
      <x:c r="F2071" s="16" t="n">
        <x:v>1</x:v>
      </x:c>
      <x:c r="G2071" s="16" t="n">
        <x:v>0</x:v>
      </x:c>
      <x:c r="H2071" s="16" t="str">
        <x:v>15-09-2013</x:v>
      </x:c>
      <x:c r="I2071" s="16" t="n">
        <x:v>51</x:v>
      </x:c>
      <x:c r="J2071" s="16" t="n">
        <x:v>15</x:v>
      </x:c>
      <x:c r="K2071" s="16" t="n">
        <x:v>0</x:v>
      </x:c>
      <x:c r="L2071" s="16" t="n">
        <x:v>11</x:v>
      </x:c>
      <x:c r="M2071" s="16" t="n">
        <x:v>0</x:v>
      </x:c>
      <x:c r="N2071" s="16" t="n">
        <x:v>2</x:v>
      </x:c>
      <x:c r="O2071" s="16" t="n">
        <x:v>9</x:v>
      </x:c>
      <x:c r="P2071" s="16" t="n">
        <x:v>1</x:v>
      </x:c>
      <x:c r="Q2071" s="16" t="n">
        <x:v>1</x:v>
      </x:c>
      <x:c r="R2071" s="16" t="n">
        <x:v>1</x:v>
      </x:c>
      <x:c r="S2071" s="16" t="n">
        <x:v>2</x:v>
      </x:c>
      <x:c r="T2071" s="16" t="n">
        <x:v>8</x:v>
      </x:c>
      <x:c r="U2071" s="16" t="n">
        <x:v>0</x:v>
      </x:c>
      <x:c r="V2071" s="16" t="n">
        <x:v>0</x:v>
      </x:c>
      <x:c r="W2071" s="16" t="n">
        <x:v>0</x:v>
      </x:c>
      <x:c r="X2071" s="16" t="n">
        <x:v>0</x:v>
      </x:c>
      <x:c r="Y2071" s="16" t="n">
        <x:v>0</x:v>
      </x:c>
      <x:c r="Z2071" s="16" t="n">
        <x:v>0</x:v>
      </x:c>
      <x:c r="AA2071" s="16" t="n">
        <x:v>3</x:v>
      </x:c>
      <x:c r="AB2071" s="16" t="n">
        <x:v>11</x:v>
      </x:c>
      <x:c r="AC2071" s="16" t="n">
        <x:v>0</x:v>
      </x:c>
      <x:c r="AD2071" s="21" t="n">
        <x:f>IF(E2071="",MEDIAN($E$2:$E$2237),E2071)</x:f>
        <x:v>25293</x:v>
      </x:c>
      <x:c r="AE2071" s="17" t="n">
        <x:f>2014-B2071</x:f>
        <x:v>45</x:v>
      </x:c>
      <x:c r="AF2071" s="17" t="n">
        <x:f>F2071+G2071</x:f>
        <x:v>1</x:v>
      </x:c>
      <x:c r="AG2071" s="21" t="n">
        <x:f>SUM(J2071:O2071)</x:f>
        <x:v>37</x:v>
      </x:c>
      <x:c r="AH2071" s="17" t="n">
        <x:f>SUM(Q2071:S2071)</x:f>
        <x:v>4</x:v>
      </x:c>
      <x:c r="AI2071" s="17" t="n">
        <x:f>SUM(U2071:Y2071)</x:f>
        <x:v>0</x:v>
      </x:c>
      <x:c r="AJ2071" s="17" t="str">
        <x:f>IF(AE2071&lt;=34,"≤34",IF(AE2071&lt;=44,"35–44",IF(AE2071&lt;=54,"45–54",IF(AE2071&lt;=64,"55–64","65+"))))</x:f>
        <x:v>45–54</x:v>
      </x:c>
      <x:c r="AK2071" s="17" t="str">
        <x:f>IF(AG2071&gt;=1000,"High Value",IF(AG2071&gt;=300,"Mid Value","Low Value"))</x:f>
        <x:v>Low Value</x:v>
      </x:c>
      <x:c r="AL2071" s="17" t="str">
        <x:f>IF(AND(AI2071&gt;=1,I2071&lt;=50),"Priority 1",IF(AND(AG2071&gt;=1000,I2071&lt;=60),"Priority 2",IF(I2071&lt;=30,"Priority 3","Nurture")))</x:f>
        <x:v>Nurture</x:v>
      </x:c>
    </x:row>
    <x:row r="2072">
      <x:c r="A2072" s="16" t="n">
        <x:v>10643</x:v>
      </x:c>
      <x:c r="B2072" s="16" t="n">
        <x:v>1987</x:v>
      </x:c>
      <x:c r="C2072" s="16" t="str">
        <x:v>PhD</x:v>
      </x:c>
      <x:c r="D2072" s="16" t="str">
        <x:v>Single</x:v>
      </x:c>
      <x:c r="E2072" s="16" t="n">
        <x:v>42000</x:v>
      </x:c>
      <x:c r="F2072" s="16" t="n">
        <x:v>0</x:v>
      </x:c>
      <x:c r="G2072" s="16" t="n">
        <x:v>0</x:v>
      </x:c>
      <x:c r="H2072" s="16" t="str">
        <x:v>10-01-2013</x:v>
      </x:c>
      <x:c r="I2072" s="16" t="n">
        <x:v>23</x:v>
      </x:c>
      <x:c r="J2072" s="16" t="n">
        <x:v>124</x:v>
      </x:c>
      <x:c r="K2072" s="16" t="n">
        <x:v>83</x:v>
      </x:c>
      <x:c r="L2072" s="16" t="n">
        <x:v>267</x:v>
      </x:c>
      <x:c r="M2072" s="16" t="n">
        <x:v>85</x:v>
      </x:c>
      <x:c r="N2072" s="16" t="n">
        <x:v>59</x:v>
      </x:c>
      <x:c r="O2072" s="16" t="n">
        <x:v>35</x:v>
      </x:c>
      <x:c r="P2072" s="16" t="n">
        <x:v>2</x:v>
      </x:c>
      <x:c r="Q2072" s="16" t="n">
        <x:v>5</x:v>
      </x:c>
      <x:c r="R2072" s="16" t="n">
        <x:v>2</x:v>
      </x:c>
      <x:c r="S2072" s="16" t="n">
        <x:v>11</x:v>
      </x:c>
      <x:c r="T2072" s="16" t="n">
        <x:v>5</x:v>
      </x:c>
      <x:c r="U2072" s="16" t="n">
        <x:v>0</x:v>
      </x:c>
      <x:c r="V2072" s="16" t="n">
        <x:v>0</x:v>
      </x:c>
      <x:c r="W2072" s="16" t="n">
        <x:v>0</x:v>
      </x:c>
      <x:c r="X2072" s="16" t="n">
        <x:v>0</x:v>
      </x:c>
      <x:c r="Y2072" s="16" t="n">
        <x:v>0</x:v>
      </x:c>
      <x:c r="Z2072" s="16" t="n">
        <x:v>0</x:v>
      </x:c>
      <x:c r="AA2072" s="16" t="n">
        <x:v>3</x:v>
      </x:c>
      <x:c r="AB2072" s="16" t="n">
        <x:v>11</x:v>
      </x:c>
      <x:c r="AC2072" s="16" t="n">
        <x:v>1</x:v>
      </x:c>
      <x:c r="AD2072" s="21" t="n">
        <x:f>IF(E2072="",MEDIAN($E$2:$E$2237),E2072)</x:f>
        <x:v>42000</x:v>
      </x:c>
      <x:c r="AE2072" s="17" t="n">
        <x:f>2014-B2072</x:f>
        <x:v>27</x:v>
      </x:c>
      <x:c r="AF2072" s="17" t="n">
        <x:f>F2072+G2072</x:f>
        <x:v>0</x:v>
      </x:c>
      <x:c r="AG2072" s="21" t="n">
        <x:f>SUM(J2072:O2072)</x:f>
        <x:v>653</x:v>
      </x:c>
      <x:c r="AH2072" s="17" t="n">
        <x:f>SUM(Q2072:S2072)</x:f>
        <x:v>18</x:v>
      </x:c>
      <x:c r="AI2072" s="17" t="n">
        <x:f>SUM(U2072:Y2072)</x:f>
        <x:v>0</x:v>
      </x:c>
      <x:c r="AJ2072" s="17" t="str">
        <x:f>IF(AE2072&lt;=34,"≤34",IF(AE2072&lt;=44,"35–44",IF(AE2072&lt;=54,"45–54",IF(AE2072&lt;=64,"55–64","65+"))))</x:f>
        <x:v>≤34</x:v>
      </x:c>
      <x:c r="AK2072" s="17" t="str">
        <x:f>IF(AG2072&gt;=1000,"High Value",IF(AG2072&gt;=300,"Mid Value","Low Value"))</x:f>
        <x:v>Mid Value</x:v>
      </x:c>
      <x:c r="AL2072" s="17" t="str">
        <x:f>IF(AND(AI2072&gt;=1,I2072&lt;=50),"Priority 1",IF(AND(AG2072&gt;=1000,I2072&lt;=60),"Priority 2",IF(I2072&lt;=30,"Priority 3","Nurture")))</x:f>
        <x:v>Priority 3</x:v>
      </x:c>
    </x:row>
    <x:row r="2073">
      <x:c r="A2073" s="16" t="n">
        <x:v>2254</x:v>
      </x:c>
      <x:c r="B2073" s="16" t="n">
        <x:v>1983</x:v>
      </x:c>
      <x:c r="C2073" s="16" t="str">
        <x:v>Graduation</x:v>
      </x:c>
      <x:c r="D2073" s="16" t="str">
        <x:v>Married</x:v>
      </x:c>
      <x:c r="E2073" s="16" t="n">
        <x:v>69520</x:v>
      </x:c>
      <x:c r="F2073" s="16" t="n">
        <x:v>0</x:v>
      </x:c>
      <x:c r="G2073" s="16" t="n">
        <x:v>0</x:v>
      </x:c>
      <x:c r="H2073" s="16" t="str">
        <x:v>07-07-2013</x:v>
      </x:c>
      <x:c r="I2073" s="16" t="n">
        <x:v>95</x:v>
      </x:c>
      <x:c r="J2073" s="16" t="n">
        <x:v>627</x:v>
      </x:c>
      <x:c r="K2073" s="16" t="n">
        <x:v>120</x:v>
      </x:c>
      <x:c r="L2073" s="16" t="n">
        <x:v>414</x:v>
      </x:c>
      <x:c r="M2073" s="16" t="n">
        <x:v>121</x:v>
      </x:c>
      <x:c r="N2073" s="16" t="n">
        <x:v>80</x:v>
      </x:c>
      <x:c r="O2073" s="16" t="n">
        <x:v>93</x:v>
      </x:c>
      <x:c r="P2073" s="16" t="n">
        <x:v>1</x:v>
      </x:c>
      <x:c r="Q2073" s="16" t="n">
        <x:v>9</x:v>
      </x:c>
      <x:c r="R2073" s="16" t="n">
        <x:v>6</x:v>
      </x:c>
      <x:c r="S2073" s="16" t="n">
        <x:v>5</x:v>
      </x:c>
      <x:c r="T2073" s="16" t="n">
        <x:v>5</x:v>
      </x:c>
      <x:c r="U2073" s="16" t="n">
        <x:v>0</x:v>
      </x:c>
      <x:c r="V2073" s="16" t="n">
        <x:v>0</x:v>
      </x:c>
      <x:c r="W2073" s="16" t="n">
        <x:v>0</x:v>
      </x:c>
      <x:c r="X2073" s="16" t="n">
        <x:v>0</x:v>
      </x:c>
      <x:c r="Y2073" s="16" t="n">
        <x:v>0</x:v>
      </x:c>
      <x:c r="Z2073" s="16" t="n">
        <x:v>0</x:v>
      </x:c>
      <x:c r="AA2073" s="16" t="n">
        <x:v>3</x:v>
      </x:c>
      <x:c r="AB2073" s="16" t="n">
        <x:v>11</x:v>
      </x:c>
      <x:c r="AC2073" s="16" t="n">
        <x:v>0</x:v>
      </x:c>
      <x:c r="AD2073" s="21" t="n">
        <x:f>IF(E2073="",MEDIAN($E$2:$E$2237),E2073)</x:f>
        <x:v>69520</x:v>
      </x:c>
      <x:c r="AE2073" s="17" t="n">
        <x:f>2014-B2073</x:f>
        <x:v>31</x:v>
      </x:c>
      <x:c r="AF2073" s="17" t="n">
        <x:f>F2073+G2073</x:f>
        <x:v>0</x:v>
      </x:c>
      <x:c r="AG2073" s="21" t="n">
        <x:f>SUM(J2073:O2073)</x:f>
        <x:v>1455</x:v>
      </x:c>
      <x:c r="AH2073" s="17" t="n">
        <x:f>SUM(Q2073:S2073)</x:f>
        <x:v>20</x:v>
      </x:c>
      <x:c r="AI2073" s="17" t="n">
        <x:f>SUM(U2073:Y2073)</x:f>
        <x:v>0</x:v>
      </x:c>
      <x:c r="AJ2073" s="17" t="str">
        <x:f>IF(AE2073&lt;=34,"≤34",IF(AE2073&lt;=44,"35–44",IF(AE2073&lt;=54,"45–54",IF(AE2073&lt;=64,"55–64","65+"))))</x:f>
        <x:v>≤34</x:v>
      </x:c>
      <x:c r="AK2073" s="17" t="str">
        <x:f>IF(AG2073&gt;=1000,"High Value",IF(AG2073&gt;=300,"Mid Value","Low Value"))</x:f>
        <x:v>High Value</x:v>
      </x:c>
      <x:c r="AL2073" s="17" t="str">
        <x:f>IF(AND(AI2073&gt;=1,I2073&lt;=50),"Priority 1",IF(AND(AG2073&gt;=1000,I2073&lt;=60),"Priority 2",IF(I2073&lt;=30,"Priority 3","Nurture")))</x:f>
        <x:v>Nurture</x:v>
      </x:c>
    </x:row>
    <x:row r="2074">
      <x:c r="A2074" s="16" t="n">
        <x:v>10281</x:v>
      </x:c>
      <x:c r="B2074" s="16" t="n">
        <x:v>1970</x:v>
      </x:c>
      <x:c r="C2074" s="16" t="str">
        <x:v>Graduation</x:v>
      </x:c>
      <x:c r="D2074" s="16" t="str">
        <x:v>Divorced</x:v>
      </x:c>
      <x:c r="E2074" s="16" t="n">
        <x:v>64713</x:v>
      </x:c>
      <x:c r="F2074" s="16" t="n">
        <x:v>1</x:v>
      </x:c>
      <x:c r="G2074" s="16" t="n">
        <x:v>0</x:v>
      </x:c>
      <x:c r="H2074" s="16" t="str">
        <x:v>07-02-2014</x:v>
      </x:c>
      <x:c r="I2074" s="16" t="n">
        <x:v>11</x:v>
      </x:c>
      <x:c r="J2074" s="16" t="n">
        <x:v>180</x:v>
      </x:c>
      <x:c r="K2074" s="16" t="n">
        <x:v>60</x:v>
      </x:c>
      <x:c r="L2074" s="16" t="n">
        <x:v>241</x:v>
      </x:c>
      <x:c r="M2074" s="16" t="n">
        <x:v>13</x:v>
      </x:c>
      <x:c r="N2074" s="16" t="n">
        <x:v>54</x:v>
      </x:c>
      <x:c r="O2074" s="16" t="n">
        <x:v>54</x:v>
      </x:c>
      <x:c r="P2074" s="16" t="n">
        <x:v>2</x:v>
      </x:c>
      <x:c r="Q2074" s="16" t="n">
        <x:v>5</x:v>
      </x:c>
      <x:c r="R2074" s="16" t="n">
        <x:v>5</x:v>
      </x:c>
      <x:c r="S2074" s="16" t="n">
        <x:v>7</x:v>
      </x:c>
      <x:c r="T2074" s="16" t="n">
        <x:v>4</x:v>
      </x:c>
      <x:c r="U2074" s="16" t="n">
        <x:v>0</x:v>
      </x:c>
      <x:c r="V2074" s="16" t="n">
        <x:v>0</x:v>
      </x:c>
      <x:c r="W2074" s="16" t="n">
        <x:v>0</x:v>
      </x:c>
      <x:c r="X2074" s="16" t="n">
        <x:v>0</x:v>
      </x:c>
      <x:c r="Y2074" s="16" t="n">
        <x:v>0</x:v>
      </x:c>
      <x:c r="Z2074" s="16" t="n">
        <x:v>0</x:v>
      </x:c>
      <x:c r="AA2074" s="16" t="n">
        <x:v>3</x:v>
      </x:c>
      <x:c r="AB2074" s="16" t="n">
        <x:v>11</x:v>
      </x:c>
      <x:c r="AC2074" s="16" t="n">
        <x:v>1</x:v>
      </x:c>
      <x:c r="AD2074" s="21" t="n">
        <x:f>IF(E2074="",MEDIAN($E$2:$E$2237),E2074)</x:f>
        <x:v>64713</x:v>
      </x:c>
      <x:c r="AE2074" s="17" t="n">
        <x:f>2014-B2074</x:f>
        <x:v>44</x:v>
      </x:c>
      <x:c r="AF2074" s="17" t="n">
        <x:f>F2074+G2074</x:f>
        <x:v>1</x:v>
      </x:c>
      <x:c r="AG2074" s="21" t="n">
        <x:f>SUM(J2074:O2074)</x:f>
        <x:v>602</x:v>
      </x:c>
      <x:c r="AH2074" s="17" t="n">
        <x:f>SUM(Q2074:S2074)</x:f>
        <x:v>17</x:v>
      </x:c>
      <x:c r="AI2074" s="17" t="n">
        <x:f>SUM(U2074:Y2074)</x:f>
        <x:v>0</x:v>
      </x:c>
      <x:c r="AJ2074" s="17" t="str">
        <x:f>IF(AE2074&lt;=34,"≤34",IF(AE2074&lt;=44,"35–44",IF(AE2074&lt;=54,"45–54",IF(AE2074&lt;=64,"55–64","65+"))))</x:f>
        <x:v>35–44</x:v>
      </x:c>
      <x:c r="AK2074" s="17" t="str">
        <x:f>IF(AG2074&gt;=1000,"High Value",IF(AG2074&gt;=300,"Mid Value","Low Value"))</x:f>
        <x:v>Mid Value</x:v>
      </x:c>
      <x:c r="AL2074" s="17" t="str">
        <x:f>IF(AND(AI2074&gt;=1,I2074&lt;=50),"Priority 1",IF(AND(AG2074&gt;=1000,I2074&lt;=60),"Priority 2",IF(I2074&lt;=30,"Priority 3","Nurture")))</x:f>
        <x:v>Priority 3</x:v>
      </x:c>
    </x:row>
    <x:row r="2075">
      <x:c r="A2075" s="16" t="n">
        <x:v>6958</x:v>
      </x:c>
      <x:c r="B2075" s="16" t="n">
        <x:v>1977</x:v>
      </x:c>
      <x:c r="C2075" s="16" t="str">
        <x:v>Master</x:v>
      </x:c>
      <x:c r="D2075" s="16" t="str">
        <x:v>Married</x:v>
      </x:c>
      <x:c r="E2075" s="16" t="n">
        <x:v>27889</x:v>
      </x:c>
      <x:c r="F2075" s="16" t="n">
        <x:v>1</x:v>
      </x:c>
      <x:c r="G2075" s="16" t="n">
        <x:v>0</x:v>
      </x:c>
      <x:c r="H2075" s="16" t="str">
        <x:v>05-07-2013</x:v>
      </x:c>
      <x:c r="I2075" s="16" t="n">
        <x:v>42</x:v>
      </x:c>
      <x:c r="J2075" s="16" t="n">
        <x:v>14</x:v>
      </x:c>
      <x:c r="K2075" s="16" t="n">
        <x:v>0</x:v>
      </x:c>
      <x:c r="L2075" s="16" t="n">
        <x:v>4</x:v>
      </x:c>
      <x:c r="M2075" s="16" t="n">
        <x:v>0</x:v>
      </x:c>
      <x:c r="N2075" s="16" t="n">
        <x:v>0</x:v>
      </x:c>
      <x:c r="O2075" s="16" t="n">
        <x:v>8</x:v>
      </x:c>
      <x:c r="P2075" s="16" t="n">
        <x:v>1</x:v>
      </x:c>
      <x:c r="Q2075" s="16" t="n">
        <x:v>1</x:v>
      </x:c>
      <x:c r="R2075" s="16" t="n">
        <x:v>1</x:v>
      </x:c>
      <x:c r="S2075" s="16" t="n">
        <x:v>2</x:v>
      </x:c>
      <x:c r="T2075" s="16" t="n">
        <x:v>6</x:v>
      </x:c>
      <x:c r="U2075" s="16" t="n">
        <x:v>0</x:v>
      </x:c>
      <x:c r="V2075" s="16" t="n">
        <x:v>0</x:v>
      </x:c>
      <x:c r="W2075" s="16" t="n">
        <x:v>0</x:v>
      </x:c>
      <x:c r="X2075" s="16" t="n">
        <x:v>0</x:v>
      </x:c>
      <x:c r="Y2075" s="16" t="n">
        <x:v>0</x:v>
      </x:c>
      <x:c r="Z2075" s="16" t="n">
        <x:v>0</x:v>
      </x:c>
      <x:c r="AA2075" s="16" t="n">
        <x:v>3</x:v>
      </x:c>
      <x:c r="AB2075" s="16" t="n">
        <x:v>11</x:v>
      </x:c>
      <x:c r="AC2075" s="16" t="n">
        <x:v>0</x:v>
      </x:c>
      <x:c r="AD2075" s="21" t="n">
        <x:f>IF(E2075="",MEDIAN($E$2:$E$2237),E2075)</x:f>
        <x:v>27889</x:v>
      </x:c>
      <x:c r="AE2075" s="17" t="n">
        <x:f>2014-B2075</x:f>
        <x:v>37</x:v>
      </x:c>
      <x:c r="AF2075" s="17" t="n">
        <x:f>F2075+G2075</x:f>
        <x:v>1</x:v>
      </x:c>
      <x:c r="AG2075" s="21" t="n">
        <x:f>SUM(J2075:O2075)</x:f>
        <x:v>26</x:v>
      </x:c>
      <x:c r="AH2075" s="17" t="n">
        <x:f>SUM(Q2075:S2075)</x:f>
        <x:v>4</x:v>
      </x:c>
      <x:c r="AI2075" s="17" t="n">
        <x:f>SUM(U2075:Y2075)</x:f>
        <x:v>0</x:v>
      </x:c>
      <x:c r="AJ2075" s="17" t="str">
        <x:f>IF(AE2075&lt;=34,"≤34",IF(AE2075&lt;=44,"35–44",IF(AE2075&lt;=54,"45–54",IF(AE2075&lt;=64,"55–64","65+"))))</x:f>
        <x:v>35–44</x:v>
      </x:c>
      <x:c r="AK2075" s="17" t="str">
        <x:f>IF(AG2075&gt;=1000,"High Value",IF(AG2075&gt;=300,"Mid Value","Low Value"))</x:f>
        <x:v>Low Value</x:v>
      </x:c>
      <x:c r="AL2075" s="17" t="str">
        <x:f>IF(AND(AI2075&gt;=1,I2075&lt;=50),"Priority 1",IF(AND(AG2075&gt;=1000,I2075&lt;=60),"Priority 2",IF(I2075&lt;=30,"Priority 3","Nurture")))</x:f>
        <x:v>Nurture</x:v>
      </x:c>
    </x:row>
    <x:row r="2076">
      <x:c r="A2076" s="16" t="n">
        <x:v>954</x:v>
      </x:c>
      <x:c r="B2076" s="16" t="n">
        <x:v>1960</x:v>
      </x:c>
      <x:c r="C2076" s="16" t="str">
        <x:v>Basic</x:v>
      </x:c>
      <x:c r="D2076" s="16" t="str">
        <x:v>Widow</x:v>
      </x:c>
      <x:c r="E2076" s="16" t="n">
        <x:v>22123</x:v>
      </x:c>
      <x:c r="F2076" s="16" t="n">
        <x:v>0</x:v>
      </x:c>
      <x:c r="G2076" s="16" t="n">
        <x:v>0</x:v>
      </x:c>
      <x:c r="H2076" s="16" t="str">
        <x:v>27-03-2014</x:v>
      </x:c>
      <x:c r="I2076" s="16" t="n">
        <x:v>77</x:v>
      </x:c>
      <x:c r="J2076" s="16" t="n">
        <x:v>3</x:v>
      </x:c>
      <x:c r="K2076" s="16" t="n">
        <x:v>3</x:v>
      </x:c>
      <x:c r="L2076" s="16" t="n">
        <x:v>24</x:v>
      </x:c>
      <x:c r="M2076" s="16" t="n">
        <x:v>34</x:v>
      </x:c>
      <x:c r="N2076" s="16" t="n">
        <x:v>7</x:v>
      </x:c>
      <x:c r="O2076" s="16" t="n">
        <x:v>31</x:v>
      </x:c>
      <x:c r="P2076" s="16" t="n">
        <x:v>1</x:v>
      </x:c>
      <x:c r="Q2076" s="16" t="n">
        <x:v>2</x:v>
      </x:c>
      <x:c r="R2076" s="16" t="n">
        <x:v>1</x:v>
      </x:c>
      <x:c r="S2076" s="16" t="n">
        <x:v>3</x:v>
      </x:c>
      <x:c r="T2076" s="16" t="n">
        <x:v>5</x:v>
      </x:c>
      <x:c r="U2076" s="16" t="n">
        <x:v>0</x:v>
      </x:c>
      <x:c r="V2076" s="16" t="n">
        <x:v>0</x:v>
      </x:c>
      <x:c r="W2076" s="16" t="n">
        <x:v>0</x:v>
      </x:c>
      <x:c r="X2076" s="16" t="n">
        <x:v>0</x:v>
      </x:c>
      <x:c r="Y2076" s="16" t="n">
        <x:v>0</x:v>
      </x:c>
      <x:c r="Z2076" s="16" t="n">
        <x:v>0</x:v>
      </x:c>
      <x:c r="AA2076" s="16" t="n">
        <x:v>3</x:v>
      </x:c>
      <x:c r="AB2076" s="16" t="n">
        <x:v>11</x:v>
      </x:c>
      <x:c r="AC2076" s="16" t="n">
        <x:v>0</x:v>
      </x:c>
      <x:c r="AD2076" s="21" t="n">
        <x:f>IF(E2076="",MEDIAN($E$2:$E$2237),E2076)</x:f>
        <x:v>22123</x:v>
      </x:c>
      <x:c r="AE2076" s="17" t="n">
        <x:f>2014-B2076</x:f>
        <x:v>54</x:v>
      </x:c>
      <x:c r="AF2076" s="17" t="n">
        <x:f>F2076+G2076</x:f>
        <x:v>0</x:v>
      </x:c>
      <x:c r="AG2076" s="21" t="n">
        <x:f>SUM(J2076:O2076)</x:f>
        <x:v>102</x:v>
      </x:c>
      <x:c r="AH2076" s="17" t="n">
        <x:f>SUM(Q2076:S2076)</x:f>
        <x:v>6</x:v>
      </x:c>
      <x:c r="AI2076" s="17" t="n">
        <x:f>SUM(U2076:Y2076)</x:f>
        <x:v>0</x:v>
      </x:c>
      <x:c r="AJ2076" s="17" t="str">
        <x:f>IF(AE2076&lt;=34,"≤34",IF(AE2076&lt;=44,"35–44",IF(AE2076&lt;=54,"45–54",IF(AE2076&lt;=64,"55–64","65+"))))</x:f>
        <x:v>45–54</x:v>
      </x:c>
      <x:c r="AK2076" s="17" t="str">
        <x:f>IF(AG2076&gt;=1000,"High Value",IF(AG2076&gt;=300,"Mid Value","Low Value"))</x:f>
        <x:v>Low Value</x:v>
      </x:c>
      <x:c r="AL2076" s="17" t="str">
        <x:f>IF(AND(AI2076&gt;=1,I2076&lt;=50),"Priority 1",IF(AND(AG2076&gt;=1000,I2076&lt;=60),"Priority 2",IF(I2076&lt;=30,"Priority 3","Nurture")))</x:f>
        <x:v>Nurture</x:v>
      </x:c>
    </x:row>
    <x:row r="2077">
      <x:c r="A2077" s="16" t="n">
        <x:v>5079</x:v>
      </x:c>
      <x:c r="B2077" s="16" t="n">
        <x:v>1971</x:v>
      </x:c>
      <x:c r="C2077" s="16" t="str">
        <x:v>Graduation</x:v>
      </x:c>
      <x:c r="D2077" s="16" t="str">
        <x:v>Married</x:v>
      </x:c>
      <x:c r="E2077" s="16"/>
      <x:c r="F2077" s="16" t="n">
        <x:v>1</x:v>
      </x:c>
      <x:c r="G2077" s="16" t="n">
        <x:v>1</x:v>
      </x:c>
      <x:c r="H2077" s="16" t="str">
        <x:v>03-03-2013</x:v>
      </x:c>
      <x:c r="I2077" s="16" t="n">
        <x:v>82</x:v>
      </x:c>
      <x:c r="J2077" s="16" t="n">
        <x:v>71</x:v>
      </x:c>
      <x:c r="K2077" s="16" t="n">
        <x:v>1</x:v>
      </x:c>
      <x:c r="L2077" s="16" t="n">
        <x:v>16</x:v>
      </x:c>
      <x:c r="M2077" s="16" t="n">
        <x:v>0</x:v>
      </x:c>
      <x:c r="N2077" s="16" t="n">
        <x:v>0</x:v>
      </x:c>
      <x:c r="O2077" s="16" t="n">
        <x:v>9</x:v>
      </x:c>
      <x:c r="P2077" s="16" t="n">
        <x:v>4</x:v>
      </x:c>
      <x:c r="Q2077" s="16" t="n">
        <x:v>2</x:v>
      </x:c>
      <x:c r="R2077" s="16" t="n">
        <x:v>1</x:v>
      </x:c>
      <x:c r="S2077" s="16" t="n">
        <x:v>3</x:v>
      </x:c>
      <x:c r="T2077" s="16" t="n">
        <x:v>8</x:v>
      </x:c>
      <x:c r="U2077" s="16" t="n">
        <x:v>0</x:v>
      </x:c>
      <x:c r="V2077" s="16" t="n">
        <x:v>0</x:v>
      </x:c>
      <x:c r="W2077" s="16" t="n">
        <x:v>0</x:v>
      </x:c>
      <x:c r="X2077" s="16" t="n">
        <x:v>0</x:v>
      </x:c>
      <x:c r="Y2077" s="16" t="n">
        <x:v>0</x:v>
      </x:c>
      <x:c r="Z2077" s="16" t="n">
        <x:v>0</x:v>
      </x:c>
      <x:c r="AA2077" s="16" t="n">
        <x:v>3</x:v>
      </x:c>
      <x:c r="AB2077" s="16" t="n">
        <x:v>11</x:v>
      </x:c>
      <x:c r="AC2077" s="16" t="n">
        <x:v>0</x:v>
      </x:c>
      <x:c r="AD2077" s="21" t="n">
        <x:f>IF(E2077="",MEDIAN($E$2:$E$2237),E2077)</x:f>
        <x:v>51371</x:v>
      </x:c>
      <x:c r="AE2077" s="17" t="n">
        <x:f>2014-B2077</x:f>
        <x:v>43</x:v>
      </x:c>
      <x:c r="AF2077" s="17" t="n">
        <x:f>F2077+G2077</x:f>
        <x:v>2</x:v>
      </x:c>
      <x:c r="AG2077" s="21" t="n">
        <x:f>SUM(J2077:O2077)</x:f>
        <x:v>97</x:v>
      </x:c>
      <x:c r="AH2077" s="17" t="n">
        <x:f>SUM(Q2077:S2077)</x:f>
        <x:v>6</x:v>
      </x:c>
      <x:c r="AI2077" s="17" t="n">
        <x:f>SUM(U2077:Y2077)</x:f>
        <x:v>0</x:v>
      </x:c>
      <x:c r="AJ2077" s="17" t="str">
        <x:f>IF(AE2077&lt;=34,"≤34",IF(AE2077&lt;=44,"35–44",IF(AE2077&lt;=54,"45–54",IF(AE2077&lt;=64,"55–64","65+"))))</x:f>
        <x:v>35–44</x:v>
      </x:c>
      <x:c r="AK2077" s="17" t="str">
        <x:f>IF(AG2077&gt;=1000,"High Value",IF(AG2077&gt;=300,"Mid Value","Low Value"))</x:f>
        <x:v>Low Value</x:v>
      </x:c>
      <x:c r="AL2077" s="17" t="str">
        <x:f>IF(AND(AI2077&gt;=1,I2077&lt;=50),"Priority 1",IF(AND(AG2077&gt;=1000,I2077&lt;=60),"Priority 2",IF(I2077&lt;=30,"Priority 3","Nurture")))</x:f>
        <x:v>Nurture</x:v>
      </x:c>
    </x:row>
    <x:row r="2078">
      <x:c r="A2078" s="16" t="n">
        <x:v>10339</x:v>
      </x:c>
      <x:c r="B2078" s="16" t="n">
        <x:v>1954</x:v>
      </x:c>
      <x:c r="C2078" s="16" t="str">
        <x:v>Master</x:v>
      </x:c>
      <x:c r="D2078" s="16" t="str">
        <x:v>Together</x:v>
      </x:c>
      <x:c r="E2078" s="16"/>
      <x:c r="F2078" s="16" t="n">
        <x:v>0</x:v>
      </x:c>
      <x:c r="G2078" s="16" t="n">
        <x:v>1</x:v>
      </x:c>
      <x:c r="H2078" s="16" t="str">
        <x:v>23-06-2013</x:v>
      </x:c>
      <x:c r="I2078" s="16" t="n">
        <x:v>83</x:v>
      </x:c>
      <x:c r="J2078" s="16" t="n">
        <x:v>161</x:v>
      </x:c>
      <x:c r="K2078" s="16" t="n">
        <x:v>0</x:v>
      </x:c>
      <x:c r="L2078" s="16" t="n">
        <x:v>22</x:v>
      </x:c>
      <x:c r="M2078" s="16" t="n">
        <x:v>0</x:v>
      </x:c>
      <x:c r="N2078" s="16" t="n">
        <x:v>0</x:v>
      </x:c>
      <x:c r="O2078" s="16" t="n">
        <x:v>24</x:v>
      </x:c>
      <x:c r="P2078" s="16" t="n">
        <x:v>2</x:v>
      </x:c>
      <x:c r="Q2078" s="16" t="n">
        <x:v>4</x:v>
      </x:c>
      <x:c r="R2078" s="16" t="n">
        <x:v>1</x:v>
      </x:c>
      <x:c r="S2078" s="16" t="n">
        <x:v>4</x:v>
      </x:c>
      <x:c r="T2078" s="16" t="n">
        <x:v>6</x:v>
      </x:c>
      <x:c r="U2078" s="16" t="n">
        <x:v>0</x:v>
      </x:c>
      <x:c r="V2078" s="16" t="n">
        <x:v>0</x:v>
      </x:c>
      <x:c r="W2078" s="16" t="n">
        <x:v>0</x:v>
      </x:c>
      <x:c r="X2078" s="16" t="n">
        <x:v>0</x:v>
      </x:c>
      <x:c r="Y2078" s="16" t="n">
        <x:v>0</x:v>
      </x:c>
      <x:c r="Z2078" s="16" t="n">
        <x:v>0</x:v>
      </x:c>
      <x:c r="AA2078" s="16" t="n">
        <x:v>3</x:v>
      </x:c>
      <x:c r="AB2078" s="16" t="n">
        <x:v>11</x:v>
      </x:c>
      <x:c r="AC2078" s="16" t="n">
        <x:v>0</x:v>
      </x:c>
      <x:c r="AD2078" s="21" t="n">
        <x:f>IF(E2078="",MEDIAN($E$2:$E$2237),E2078)</x:f>
        <x:v>51371</x:v>
      </x:c>
      <x:c r="AE2078" s="17" t="n">
        <x:f>2014-B2078</x:f>
        <x:v>60</x:v>
      </x:c>
      <x:c r="AF2078" s="17" t="n">
        <x:f>F2078+G2078</x:f>
        <x:v>1</x:v>
      </x:c>
      <x:c r="AG2078" s="21" t="n">
        <x:f>SUM(J2078:O2078)</x:f>
        <x:v>207</x:v>
      </x:c>
      <x:c r="AH2078" s="17" t="n">
        <x:f>SUM(Q2078:S2078)</x:f>
        <x:v>9</x:v>
      </x:c>
      <x:c r="AI2078" s="17" t="n">
        <x:f>SUM(U2078:Y2078)</x:f>
        <x:v>0</x:v>
      </x:c>
      <x:c r="AJ2078" s="17" t="str">
        <x:f>IF(AE2078&lt;=34,"≤34",IF(AE2078&lt;=44,"35–44",IF(AE2078&lt;=54,"45–54",IF(AE2078&lt;=64,"55–64","65+"))))</x:f>
        <x:v>55–64</x:v>
      </x:c>
      <x:c r="AK2078" s="17" t="str">
        <x:f>IF(AG2078&gt;=1000,"High Value",IF(AG2078&gt;=300,"Mid Value","Low Value"))</x:f>
        <x:v>Low Value</x:v>
      </x:c>
      <x:c r="AL2078" s="17" t="str">
        <x:f>IF(AND(AI2078&gt;=1,I2078&lt;=50),"Priority 1",IF(AND(AG2078&gt;=1000,I2078&lt;=60),"Priority 2",IF(I2078&lt;=30,"Priority 3","Nurture")))</x:f>
        <x:v>Nurture</x:v>
      </x:c>
    </x:row>
    <x:row r="2079">
      <x:c r="A2079" s="16" t="n">
        <x:v>4643</x:v>
      </x:c>
      <x:c r="B2079" s="16" t="n">
        <x:v>1973</x:v>
      </x:c>
      <x:c r="C2079" s="16" t="str">
        <x:v>Graduation</x:v>
      </x:c>
      <x:c r="D2079" s="16" t="str">
        <x:v>Married</x:v>
      </x:c>
      <x:c r="E2079" s="16" t="n">
        <x:v>27803</x:v>
      </x:c>
      <x:c r="F2079" s="16" t="n">
        <x:v>1</x:v>
      </x:c>
      <x:c r="G2079" s="16" t="n">
        <x:v>0</x:v>
      </x:c>
      <x:c r="H2079" s="16" t="str">
        <x:v>26-08-2012</x:v>
      </x:c>
      <x:c r="I2079" s="16" t="n">
        <x:v>40</x:v>
      </x:c>
      <x:c r="J2079" s="16" t="n">
        <x:v>8</x:v>
      </x:c>
      <x:c r="K2079" s="16" t="n">
        <x:v>26</x:v>
      </x:c>
      <x:c r="L2079" s="16" t="n">
        <x:v>46</x:v>
      </x:c>
      <x:c r="M2079" s="16" t="n">
        <x:v>38</x:v>
      </x:c>
      <x:c r="N2079" s="16" t="n">
        <x:v>9</x:v>
      </x:c>
      <x:c r="O2079" s="16" t="n">
        <x:v>49</x:v>
      </x:c>
      <x:c r="P2079" s="16" t="n">
        <x:v>2</x:v>
      </x:c>
      <x:c r="Q2079" s="16" t="n">
        <x:v>3</x:v>
      </x:c>
      <x:c r="R2079" s="16" t="n">
        <x:v>0</x:v>
      </x:c>
      <x:c r="S2079" s="16" t="n">
        <x:v>4</x:v>
      </x:c>
      <x:c r="T2079" s="16" t="n">
        <x:v>8</x:v>
      </x:c>
      <x:c r="U2079" s="16" t="n">
        <x:v>0</x:v>
      </x:c>
      <x:c r="V2079" s="16" t="n">
        <x:v>0</x:v>
      </x:c>
      <x:c r="W2079" s="16" t="n">
        <x:v>0</x:v>
      </x:c>
      <x:c r="X2079" s="16" t="n">
        <x:v>0</x:v>
      </x:c>
      <x:c r="Y2079" s="16" t="n">
        <x:v>0</x:v>
      </x:c>
      <x:c r="Z2079" s="16" t="n">
        <x:v>0</x:v>
      </x:c>
      <x:c r="AA2079" s="16" t="n">
        <x:v>3</x:v>
      </x:c>
      <x:c r="AB2079" s="16" t="n">
        <x:v>11</x:v>
      </x:c>
      <x:c r="AC2079" s="16" t="n">
        <x:v>0</x:v>
      </x:c>
      <x:c r="AD2079" s="21" t="n">
        <x:f>IF(E2079="",MEDIAN($E$2:$E$2237),E2079)</x:f>
        <x:v>27803</x:v>
      </x:c>
      <x:c r="AE2079" s="17" t="n">
        <x:f>2014-B2079</x:f>
        <x:v>41</x:v>
      </x:c>
      <x:c r="AF2079" s="17" t="n">
        <x:f>F2079+G2079</x:f>
        <x:v>1</x:v>
      </x:c>
      <x:c r="AG2079" s="21" t="n">
        <x:f>SUM(J2079:O2079)</x:f>
        <x:v>176</x:v>
      </x:c>
      <x:c r="AH2079" s="17" t="n">
        <x:f>SUM(Q2079:S2079)</x:f>
        <x:v>7</x:v>
      </x:c>
      <x:c r="AI2079" s="17" t="n">
        <x:f>SUM(U2079:Y2079)</x:f>
        <x:v>0</x:v>
      </x:c>
      <x:c r="AJ2079" s="17" t="str">
        <x:f>IF(AE2079&lt;=34,"≤34",IF(AE2079&lt;=44,"35–44",IF(AE2079&lt;=54,"45–54",IF(AE2079&lt;=64,"55–64","65+"))))</x:f>
        <x:v>35–44</x:v>
      </x:c>
      <x:c r="AK2079" s="17" t="str">
        <x:f>IF(AG2079&gt;=1000,"High Value",IF(AG2079&gt;=300,"Mid Value","Low Value"))</x:f>
        <x:v>Low Value</x:v>
      </x:c>
      <x:c r="AL2079" s="17" t="str">
        <x:f>IF(AND(AI2079&gt;=1,I2079&lt;=50),"Priority 1",IF(AND(AG2079&gt;=1000,I2079&lt;=60),"Priority 2",IF(I2079&lt;=30,"Priority 3","Nurture")))</x:f>
        <x:v>Nurture</x:v>
      </x:c>
    </x:row>
    <x:row r="2080">
      <x:c r="A2080" s="16" t="n">
        <x:v>3117</x:v>
      </x:c>
      <x:c r="B2080" s="16" t="n">
        <x:v>1955</x:v>
      </x:c>
      <x:c r="C2080" s="16" t="str">
        <x:v>Graduation</x:v>
      </x:c>
      <x:c r="D2080" s="16" t="str">
        <x:v>Single</x:v>
      </x:c>
      <x:c r="E2080" s="16"/>
      <x:c r="F2080" s="16" t="n">
        <x:v>0</x:v>
      </x:c>
      <x:c r="G2080" s="16" t="n">
        <x:v>1</x:v>
      </x:c>
      <x:c r="H2080" s="16" t="str">
        <x:v>18-10-2013</x:v>
      </x:c>
      <x:c r="I2080" s="16" t="n">
        <x:v>95</x:v>
      </x:c>
      <x:c r="J2080" s="16" t="n">
        <x:v>264</x:v>
      </x:c>
      <x:c r="K2080" s="16" t="n">
        <x:v>0</x:v>
      </x:c>
      <x:c r="L2080" s="16" t="n">
        <x:v>21</x:v>
      </x:c>
      <x:c r="M2080" s="16" t="n">
        <x:v>12</x:v>
      </x:c>
      <x:c r="N2080" s="16" t="n">
        <x:v>6</x:v>
      </x:c>
      <x:c r="O2080" s="16" t="n">
        <x:v>147</x:v>
      </x:c>
      <x:c r="P2080" s="16" t="n">
        <x:v>3</x:v>
      </x:c>
      <x:c r="Q2080" s="16" t="n">
        <x:v>6</x:v>
      </x:c>
      <x:c r="R2080" s="16" t="n">
        <x:v>1</x:v>
      </x:c>
      <x:c r="S2080" s="16" t="n">
        <x:v>5</x:v>
      </x:c>
      <x:c r="T2080" s="16" t="n">
        <x:v>7</x:v>
      </x:c>
      <x:c r="U2080" s="16" t="n">
        <x:v>0</x:v>
      </x:c>
      <x:c r="V2080" s="16" t="n">
        <x:v>0</x:v>
      </x:c>
      <x:c r="W2080" s="16" t="n">
        <x:v>0</x:v>
      </x:c>
      <x:c r="X2080" s="16" t="n">
        <x:v>0</x:v>
      </x:c>
      <x:c r="Y2080" s="16" t="n">
        <x:v>0</x:v>
      </x:c>
      <x:c r="Z2080" s="16" t="n">
        <x:v>0</x:v>
      </x:c>
      <x:c r="AA2080" s="16" t="n">
        <x:v>3</x:v>
      </x:c>
      <x:c r="AB2080" s="16" t="n">
        <x:v>11</x:v>
      </x:c>
      <x:c r="AC2080" s="16" t="n">
        <x:v>0</x:v>
      </x:c>
      <x:c r="AD2080" s="21" t="n">
        <x:f>IF(E2080="",MEDIAN($E$2:$E$2237),E2080)</x:f>
        <x:v>51371</x:v>
      </x:c>
      <x:c r="AE2080" s="17" t="n">
        <x:f>2014-B2080</x:f>
        <x:v>59</x:v>
      </x:c>
      <x:c r="AF2080" s="17" t="n">
        <x:f>F2080+G2080</x:f>
        <x:v>1</x:v>
      </x:c>
      <x:c r="AG2080" s="21" t="n">
        <x:f>SUM(J2080:O2080)</x:f>
        <x:v>450</x:v>
      </x:c>
      <x:c r="AH2080" s="17" t="n">
        <x:f>SUM(Q2080:S2080)</x:f>
        <x:v>12</x:v>
      </x:c>
      <x:c r="AI2080" s="17" t="n">
        <x:f>SUM(U2080:Y2080)</x:f>
        <x:v>0</x:v>
      </x:c>
      <x:c r="AJ2080" s="17" t="str">
        <x:f>IF(AE2080&lt;=34,"≤34",IF(AE2080&lt;=44,"35–44",IF(AE2080&lt;=54,"45–54",IF(AE2080&lt;=64,"55–64","65+"))))</x:f>
        <x:v>55–64</x:v>
      </x:c>
      <x:c r="AK2080" s="17" t="str">
        <x:f>IF(AG2080&gt;=1000,"High Value",IF(AG2080&gt;=300,"Mid Value","Low Value"))</x:f>
        <x:v>Mid Value</x:v>
      </x:c>
      <x:c r="AL2080" s="17" t="str">
        <x:f>IF(AND(AI2080&gt;=1,I2080&lt;=50),"Priority 1",IF(AND(AG2080&gt;=1000,I2080&lt;=60),"Priority 2",IF(I2080&lt;=30,"Priority 3","Nurture")))</x:f>
        <x:v>Nurture</x:v>
      </x:c>
    </x:row>
    <x:row r="2081">
      <x:c r="A2081" s="16" t="n">
        <x:v>6497</x:v>
      </x:c>
      <x:c r="B2081" s="16" t="n">
        <x:v>1960</x:v>
      </x:c>
      <x:c r="C2081" s="16" t="str">
        <x:v>Graduation</x:v>
      </x:c>
      <x:c r="D2081" s="16" t="str">
        <x:v>Married</x:v>
      </x:c>
      <x:c r="E2081" s="16" t="n">
        <x:v>51651</x:v>
      </x:c>
      <x:c r="F2081" s="16" t="n">
        <x:v>0</x:v>
      </x:c>
      <x:c r="G2081" s="16" t="n">
        <x:v>1</x:v>
      </x:c>
      <x:c r="H2081" s="16" t="str">
        <x:v>07-11-2012</x:v>
      </x:c>
      <x:c r="I2081" s="16" t="n">
        <x:v>32</x:v>
      </x:c>
      <x:c r="J2081" s="16" t="n">
        <x:v>293</x:v>
      </x:c>
      <x:c r="K2081" s="16" t="n">
        <x:v>6</x:v>
      </x:c>
      <x:c r="L2081" s="16" t="n">
        <x:v>23</x:v>
      </x:c>
      <x:c r="M2081" s="16" t="n">
        <x:v>13</x:v>
      </x:c>
      <x:c r="N2081" s="16" t="n">
        <x:v>6</x:v>
      </x:c>
      <x:c r="O2081" s="16" t="n">
        <x:v>92</x:v>
      </x:c>
      <x:c r="P2081" s="16" t="n">
        <x:v>4</x:v>
      </x:c>
      <x:c r="Q2081" s="16" t="n">
        <x:v>6</x:v>
      </x:c>
      <x:c r="R2081" s="16" t="n">
        <x:v>2</x:v>
      </x:c>
      <x:c r="S2081" s="16" t="n">
        <x:v>5</x:v>
      </x:c>
      <x:c r="T2081" s="16" t="n">
        <x:v>8</x:v>
      </x:c>
      <x:c r="U2081" s="16" t="n">
        <x:v>0</x:v>
      </x:c>
      <x:c r="V2081" s="16" t="n">
        <x:v>0</x:v>
      </x:c>
      <x:c r="W2081" s="16" t="n">
        <x:v>0</x:v>
      </x:c>
      <x:c r="X2081" s="16" t="n">
        <x:v>0</x:v>
      </x:c>
      <x:c r="Y2081" s="16" t="n">
        <x:v>0</x:v>
      </x:c>
      <x:c r="Z2081" s="16" t="n">
        <x:v>0</x:v>
      </x:c>
      <x:c r="AA2081" s="16" t="n">
        <x:v>3</x:v>
      </x:c>
      <x:c r="AB2081" s="16" t="n">
        <x:v>11</x:v>
      </x:c>
      <x:c r="AC2081" s="16" t="n">
        <x:v>0</x:v>
      </x:c>
      <x:c r="AD2081" s="21" t="n">
        <x:f>IF(E2081="",MEDIAN($E$2:$E$2237),E2081)</x:f>
        <x:v>51651</x:v>
      </x:c>
      <x:c r="AE2081" s="17" t="n">
        <x:f>2014-B2081</x:f>
        <x:v>54</x:v>
      </x:c>
      <x:c r="AF2081" s="17" t="n">
        <x:f>F2081+G2081</x:f>
        <x:v>1</x:v>
      </x:c>
      <x:c r="AG2081" s="21" t="n">
        <x:f>SUM(J2081:O2081)</x:f>
        <x:v>433</x:v>
      </x:c>
      <x:c r="AH2081" s="17" t="n">
        <x:f>SUM(Q2081:S2081)</x:f>
        <x:v>13</x:v>
      </x:c>
      <x:c r="AI2081" s="17" t="n">
        <x:f>SUM(U2081:Y2081)</x:f>
        <x:v>0</x:v>
      </x:c>
      <x:c r="AJ2081" s="17" t="str">
        <x:f>IF(AE2081&lt;=34,"≤34",IF(AE2081&lt;=44,"35–44",IF(AE2081&lt;=54,"45–54",IF(AE2081&lt;=64,"55–64","65+"))))</x:f>
        <x:v>45–54</x:v>
      </x:c>
      <x:c r="AK2081" s="17" t="str">
        <x:f>IF(AG2081&gt;=1000,"High Value",IF(AG2081&gt;=300,"Mid Value","Low Value"))</x:f>
        <x:v>Mid Value</x:v>
      </x:c>
      <x:c r="AL2081" s="17" t="str">
        <x:f>IF(AND(AI2081&gt;=1,I2081&lt;=50),"Priority 1",IF(AND(AG2081&gt;=1000,I2081&lt;=60),"Priority 2",IF(I2081&lt;=30,"Priority 3","Nurture")))</x:f>
        <x:v>Nurture</x:v>
      </x:c>
    </x:row>
    <x:row r="2082">
      <x:c r="A2082" s="16" t="n">
        <x:v>5396</x:v>
      </x:c>
      <x:c r="B2082" s="16" t="n">
        <x:v>1988</x:v>
      </x:c>
      <x:c r="C2082" s="16" t="str">
        <x:v>Graduation</x:v>
      </x:c>
      <x:c r="D2082" s="16" t="str">
        <x:v>Married</x:v>
      </x:c>
      <x:c r="E2082" s="16" t="n">
        <x:v>68487</x:v>
      </x:c>
      <x:c r="F2082" s="16" t="n">
        <x:v>0</x:v>
      </x:c>
      <x:c r="G2082" s="16" t="n">
        <x:v>0</x:v>
      </x:c>
      <x:c r="H2082" s="16" t="str">
        <x:v>13-01-2013</x:v>
      </x:c>
      <x:c r="I2082" s="16" t="n">
        <x:v>48</x:v>
      </x:c>
      <x:c r="J2082" s="16" t="n">
        <x:v>758</x:v>
      </x:c>
      <x:c r="K2082" s="16" t="n">
        <x:v>12</x:v>
      </x:c>
      <x:c r="L2082" s="16" t="n">
        <x:v>385</x:v>
      </x:c>
      <x:c r="M2082" s="16" t="n">
        <x:v>33</x:v>
      </x:c>
      <x:c r="N2082" s="16" t="n">
        <x:v>89</x:v>
      </x:c>
      <x:c r="O2082" s="16" t="n">
        <x:v>89</x:v>
      </x:c>
      <x:c r="P2082" s="16" t="n">
        <x:v>1</x:v>
      </x:c>
      <x:c r="Q2082" s="16" t="n">
        <x:v>9</x:v>
      </x:c>
      <x:c r="R2082" s="16" t="n">
        <x:v>7</x:v>
      </x:c>
      <x:c r="S2082" s="16" t="n">
        <x:v>13</x:v>
      </x:c>
      <x:c r="T2082" s="16" t="n">
        <x:v>4</x:v>
      </x:c>
      <x:c r="U2082" s="16" t="n">
        <x:v>0</x:v>
      </x:c>
      <x:c r="V2082" s="16" t="n">
        <x:v>0</x:v>
      </x:c>
      <x:c r="W2082" s="16" t="n">
        <x:v>0</x:v>
      </x:c>
      <x:c r="X2082" s="16" t="n">
        <x:v>0</x:v>
      </x:c>
      <x:c r="Y2082" s="16" t="n">
        <x:v>0</x:v>
      </x:c>
      <x:c r="Z2082" s="16" t="n">
        <x:v>0</x:v>
      </x:c>
      <x:c r="AA2082" s="16" t="n">
        <x:v>3</x:v>
      </x:c>
      <x:c r="AB2082" s="16" t="n">
        <x:v>11</x:v>
      </x:c>
      <x:c r="AC2082" s="16" t="n">
        <x:v>0</x:v>
      </x:c>
      <x:c r="AD2082" s="21" t="n">
        <x:f>IF(E2082="",MEDIAN($E$2:$E$2237),E2082)</x:f>
        <x:v>68487</x:v>
      </x:c>
      <x:c r="AE2082" s="17" t="n">
        <x:f>2014-B2082</x:f>
        <x:v>26</x:v>
      </x:c>
      <x:c r="AF2082" s="17" t="n">
        <x:f>F2082+G2082</x:f>
        <x:v>0</x:v>
      </x:c>
      <x:c r="AG2082" s="21" t="n">
        <x:f>SUM(J2082:O2082)</x:f>
        <x:v>1366</x:v>
      </x:c>
      <x:c r="AH2082" s="17" t="n">
        <x:f>SUM(Q2082:S2082)</x:f>
        <x:v>29</x:v>
      </x:c>
      <x:c r="AI2082" s="17" t="n">
        <x:f>SUM(U2082:Y2082)</x:f>
        <x:v>0</x:v>
      </x:c>
      <x:c r="AJ2082" s="17" t="str">
        <x:f>IF(AE2082&lt;=34,"≤34",IF(AE2082&lt;=44,"35–44",IF(AE2082&lt;=54,"45–54",IF(AE2082&lt;=64,"55–64","65+"))))</x:f>
        <x:v>≤34</x:v>
      </x:c>
      <x:c r="AK2082" s="17" t="str">
        <x:f>IF(AG2082&gt;=1000,"High Value",IF(AG2082&gt;=300,"Mid Value","Low Value"))</x:f>
        <x:v>High Value</x:v>
      </x:c>
      <x:c r="AL2082" s="17" t="str">
        <x:f>IF(AND(AI2082&gt;=1,I2082&lt;=50),"Priority 1",IF(AND(AG2082&gt;=1000,I2082&lt;=60),"Priority 2",IF(I2082&lt;=30,"Priority 3","Nurture")))</x:f>
        <x:v>Priority 2</x:v>
      </x:c>
    </x:row>
    <x:row r="2083">
      <x:c r="A2083" s="16" t="n">
        <x:v>5250</x:v>
      </x:c>
      <x:c r="B2083" s="16" t="n">
        <x:v>1943</x:v>
      </x:c>
      <x:c r="C2083" s="16" t="str">
        <x:v>Master</x:v>
      </x:c>
      <x:c r="D2083" s="16" t="str">
        <x:v>Widow</x:v>
      </x:c>
      <x:c r="E2083" s="16"/>
      <x:c r="F2083" s="16" t="n">
        <x:v>0</x:v>
      </x:c>
      <x:c r="G2083" s="16" t="n">
        <x:v>0</x:v>
      </x:c>
      <x:c r="H2083" s="16" t="str">
        <x:v>30-10-2013</x:v>
      </x:c>
      <x:c r="I2083" s="16" t="n">
        <x:v>75</x:v>
      </x:c>
      <x:c r="J2083" s="16" t="n">
        <x:v>532</x:v>
      </x:c>
      <x:c r="K2083" s="16" t="n">
        <x:v>126</x:v>
      </x:c>
      <x:c r="L2083" s="16" t="n">
        <x:v>490</x:v>
      </x:c>
      <x:c r="M2083" s="16" t="n">
        <x:v>164</x:v>
      </x:c>
      <x:c r="N2083" s="16" t="n">
        <x:v>126</x:v>
      </x:c>
      <x:c r="O2083" s="16" t="n">
        <x:v>126</x:v>
      </x:c>
      <x:c r="P2083" s="16" t="n">
        <x:v>1</x:v>
      </x:c>
      <x:c r="Q2083" s="16" t="n">
        <x:v>5</x:v>
      </x:c>
      <x:c r="R2083" s="16" t="n">
        <x:v>5</x:v>
      </x:c>
      <x:c r="S2083" s="16" t="n">
        <x:v>11</x:v>
      </x:c>
      <x:c r="T2083" s="16" t="n">
        <x:v>1</x:v>
      </x:c>
      <x:c r="U2083" s="16" t="n">
        <x:v>0</x:v>
      </x:c>
      <x:c r="V2083" s="16" t="n">
        <x:v>0</x:v>
      </x:c>
      <x:c r="W2083" s="16" t="n">
        <x:v>1</x:v>
      </x:c>
      <x:c r="X2083" s="16" t="n">
        <x:v>0</x:v>
      </x:c>
      <x:c r="Y2083" s="16" t="n">
        <x:v>0</x:v>
      </x:c>
      <x:c r="Z2083" s="16" t="n">
        <x:v>0</x:v>
      </x:c>
      <x:c r="AA2083" s="16" t="n">
        <x:v>3</x:v>
      </x:c>
      <x:c r="AB2083" s="16" t="n">
        <x:v>11</x:v>
      </x:c>
      <x:c r="AC2083" s="16" t="n">
        <x:v>1</x:v>
      </x:c>
      <x:c r="AD2083" s="21" t="n">
        <x:f>IF(E2083="",MEDIAN($E$2:$E$2237),E2083)</x:f>
        <x:v>51371</x:v>
      </x:c>
      <x:c r="AE2083" s="17" t="n">
        <x:f>2014-B2083</x:f>
        <x:v>71</x:v>
      </x:c>
      <x:c r="AF2083" s="17" t="n">
        <x:f>F2083+G2083</x:f>
        <x:v>0</x:v>
      </x:c>
      <x:c r="AG2083" s="21" t="n">
        <x:f>SUM(J2083:O2083)</x:f>
        <x:v>1564</x:v>
      </x:c>
      <x:c r="AH2083" s="17" t="n">
        <x:f>SUM(Q2083:S2083)</x:f>
        <x:v>21</x:v>
      </x:c>
      <x:c r="AI2083" s="17" t="n">
        <x:f>SUM(U2083:Y2083)</x:f>
        <x:v>1</x:v>
      </x:c>
      <x:c r="AJ2083" s="17" t="str">
        <x:f>IF(AE2083&lt;=34,"≤34",IF(AE2083&lt;=44,"35–44",IF(AE2083&lt;=54,"45–54",IF(AE2083&lt;=64,"55–64","65+"))))</x:f>
        <x:v>65+</x:v>
      </x:c>
      <x:c r="AK2083" s="17" t="str">
        <x:f>IF(AG2083&gt;=1000,"High Value",IF(AG2083&gt;=300,"Mid Value","Low Value"))</x:f>
        <x:v>High Value</x:v>
      </x:c>
      <x:c r="AL2083" s="17" t="str">
        <x:f>IF(AND(AI2083&gt;=1,I2083&lt;=50),"Priority 1",IF(AND(AG2083&gt;=1000,I2083&lt;=60),"Priority 2",IF(I2083&lt;=30,"Priority 3","Nurture")))</x:f>
        <x:v>Nurture</x:v>
      </x:c>
    </x:row>
    <x:row r="2084">
      <x:c r="A2084" s="16" t="n">
        <x:v>1052</x:v>
      </x:c>
      <x:c r="B2084" s="16" t="n">
        <x:v>1969</x:v>
      </x:c>
      <x:c r="C2084" s="16" t="str">
        <x:v>Graduation</x:v>
      </x:c>
      <x:c r="D2084" s="16" t="str">
        <x:v>Married</x:v>
      </x:c>
      <x:c r="E2084" s="16" t="n">
        <x:v>56796</x:v>
      </x:c>
      <x:c r="F2084" s="16" t="n">
        <x:v>0</x:v>
      </x:c>
      <x:c r="G2084" s="16" t="n">
        <x:v>1</x:v>
      </x:c>
      <x:c r="H2084" s="16" t="str">
        <x:v>16-02-2013</x:v>
      </x:c>
      <x:c r="I2084" s="16" t="n">
        <x:v>24</x:v>
      </x:c>
      <x:c r="J2084" s="16" t="n">
        <x:v>656</x:v>
      </x:c>
      <x:c r="K2084" s="16" t="n">
        <x:v>38</x:v>
      </x:c>
      <x:c r="L2084" s="16" t="n">
        <x:v>161</x:v>
      </x:c>
      <x:c r="M2084" s="16" t="n">
        <x:v>62</x:v>
      </x:c>
      <x:c r="N2084" s="16" t="n">
        <x:v>47</x:v>
      </x:c>
      <x:c r="O2084" s="16" t="n">
        <x:v>37</x:v>
      </x:c>
      <x:c r="P2084" s="16" t="n">
        <x:v>3</x:v>
      </x:c>
      <x:c r="Q2084" s="16" t="n">
        <x:v>8</x:v>
      </x:c>
      <x:c r="R2084" s="16" t="n">
        <x:v>9</x:v>
      </x:c>
      <x:c r="S2084" s="16" t="n">
        <x:v>7</x:v>
      </x:c>
      <x:c r="T2084" s="16" t="n">
        <x:v>7</x:v>
      </x:c>
      <x:c r="U2084" s="16" t="n">
        <x:v>0</x:v>
      </x:c>
      <x:c r="V2084" s="16" t="n">
        <x:v>0</x:v>
      </x:c>
      <x:c r="W2084" s="16" t="n">
        <x:v>0</x:v>
      </x:c>
      <x:c r="X2084" s="16" t="n">
        <x:v>0</x:v>
      </x:c>
      <x:c r="Y2084" s="16" t="n">
        <x:v>0</x:v>
      </x:c>
      <x:c r="Z2084" s="16" t="n">
        <x:v>0</x:v>
      </x:c>
      <x:c r="AA2084" s="16" t="n">
        <x:v>3</x:v>
      </x:c>
      <x:c r="AB2084" s="16" t="n">
        <x:v>11</x:v>
      </x:c>
      <x:c r="AC2084" s="16" t="n">
        <x:v>0</x:v>
      </x:c>
      <x:c r="AD2084" s="21" t="n">
        <x:f>IF(E2084="",MEDIAN($E$2:$E$2237),E2084)</x:f>
        <x:v>56796</x:v>
      </x:c>
      <x:c r="AE2084" s="17" t="n">
        <x:f>2014-B2084</x:f>
        <x:v>45</x:v>
      </x:c>
      <x:c r="AF2084" s="17" t="n">
        <x:f>F2084+G2084</x:f>
        <x:v>1</x:v>
      </x:c>
      <x:c r="AG2084" s="21" t="n">
        <x:f>SUM(J2084:O2084)</x:f>
        <x:v>1001</x:v>
      </x:c>
      <x:c r="AH2084" s="17" t="n">
        <x:f>SUM(Q2084:S2084)</x:f>
        <x:v>24</x:v>
      </x:c>
      <x:c r="AI2084" s="17" t="n">
        <x:f>SUM(U2084:Y2084)</x:f>
        <x:v>0</x:v>
      </x:c>
      <x:c r="AJ2084" s="17" t="str">
        <x:f>IF(AE2084&lt;=34,"≤34",IF(AE2084&lt;=44,"35–44",IF(AE2084&lt;=54,"45–54",IF(AE2084&lt;=64,"55–64","65+"))))</x:f>
        <x:v>45–54</x:v>
      </x:c>
      <x:c r="AK2084" s="17" t="str">
        <x:f>IF(AG2084&gt;=1000,"High Value",IF(AG2084&gt;=300,"Mid Value","Low Value"))</x:f>
        <x:v>High Value</x:v>
      </x:c>
      <x:c r="AL2084" s="17" t="str">
        <x:f>IF(AND(AI2084&gt;=1,I2084&lt;=50),"Priority 1",IF(AND(AG2084&gt;=1000,I2084&lt;=60),"Priority 2",IF(I2084&lt;=30,"Priority 3","Nurture")))</x:f>
        <x:v>Priority 2</x:v>
      </x:c>
    </x:row>
    <x:row r="2085">
      <x:c r="A2085" s="16" t="n">
        <x:v>2802</x:v>
      </x:c>
      <x:c r="B2085" s="16" t="n">
        <x:v>1992</x:v>
      </x:c>
      <x:c r="C2085" s="16" t="str">
        <x:v>2n Cycle</x:v>
      </x:c>
      <x:c r="D2085" s="16" t="str">
        <x:v>Married</x:v>
      </x:c>
      <x:c r="E2085" s="16" t="n">
        <x:v>87000</x:v>
      </x:c>
      <x:c r="F2085" s="16" t="n">
        <x:v>0</x:v>
      </x:c>
      <x:c r="G2085" s="16" t="n">
        <x:v>0</x:v>
      </x:c>
      <x:c r="H2085" s="16" t="str">
        <x:v>15-12-2012</x:v>
      </x:c>
      <x:c r="I2085" s="16" t="n">
        <x:v>61</x:v>
      </x:c>
      <x:c r="J2085" s="16" t="n">
        <x:v>196</x:v>
      </x:c>
      <x:c r="K2085" s="16" t="n">
        <x:v>25</x:v>
      </x:c>
      <x:c r="L2085" s="16" t="n">
        <x:v>607</x:v>
      </x:c>
      <x:c r="M2085" s="16" t="n">
        <x:v>67</x:v>
      </x:c>
      <x:c r="N2085" s="16" t="n">
        <x:v>17</x:v>
      </x:c>
      <x:c r="O2085" s="16" t="n">
        <x:v>49</x:v>
      </x:c>
      <x:c r="P2085" s="16" t="n">
        <x:v>1</x:v>
      </x:c>
      <x:c r="Q2085" s="16" t="n">
        <x:v>4</x:v>
      </x:c>
      <x:c r="R2085" s="16" t="n">
        <x:v>6</x:v>
      </x:c>
      <x:c r="S2085" s="16" t="n">
        <x:v>7</x:v>
      </x:c>
      <x:c r="T2085" s="16" t="n">
        <x:v>2</x:v>
      </x:c>
      <x:c r="U2085" s="16" t="n">
        <x:v>0</x:v>
      </x:c>
      <x:c r="V2085" s="16" t="n">
        <x:v>0</x:v>
      </x:c>
      <x:c r="W2085" s="16" t="n">
        <x:v>0</x:v>
      </x:c>
      <x:c r="X2085" s="16" t="n">
        <x:v>0</x:v>
      </x:c>
      <x:c r="Y2085" s="16" t="n">
        <x:v>0</x:v>
      </x:c>
      <x:c r="Z2085" s="16" t="n">
        <x:v>0</x:v>
      </x:c>
      <x:c r="AA2085" s="16" t="n">
        <x:v>3</x:v>
      </x:c>
      <x:c r="AB2085" s="16" t="n">
        <x:v>11</x:v>
      </x:c>
      <x:c r="AC2085" s="16" t="n">
        <x:v>0</x:v>
      </x:c>
      <x:c r="AD2085" s="21" t="n">
        <x:f>IF(E2085="",MEDIAN($E$2:$E$2237),E2085)</x:f>
        <x:v>87000</x:v>
      </x:c>
      <x:c r="AE2085" s="17" t="n">
        <x:f>2014-B2085</x:f>
        <x:v>22</x:v>
      </x:c>
      <x:c r="AF2085" s="17" t="n">
        <x:f>F2085+G2085</x:f>
        <x:v>0</x:v>
      </x:c>
      <x:c r="AG2085" s="21" t="n">
        <x:f>SUM(J2085:O2085)</x:f>
        <x:v>961</x:v>
      </x:c>
      <x:c r="AH2085" s="17" t="n">
        <x:f>SUM(Q2085:S2085)</x:f>
        <x:v>17</x:v>
      </x:c>
      <x:c r="AI2085" s="17" t="n">
        <x:f>SUM(U2085:Y2085)</x:f>
        <x:v>0</x:v>
      </x:c>
      <x:c r="AJ2085" s="17" t="str">
        <x:f>IF(AE2085&lt;=34,"≤34",IF(AE2085&lt;=44,"35–44",IF(AE2085&lt;=54,"45–54",IF(AE2085&lt;=64,"55–64","65+"))))</x:f>
        <x:v>≤34</x:v>
      </x:c>
      <x:c r="AK2085" s="17" t="str">
        <x:f>IF(AG2085&gt;=1000,"High Value",IF(AG2085&gt;=300,"Mid Value","Low Value"))</x:f>
        <x:v>Mid Value</x:v>
      </x:c>
      <x:c r="AL2085" s="17" t="str">
        <x:f>IF(AND(AI2085&gt;=1,I2085&lt;=50),"Priority 1",IF(AND(AG2085&gt;=1000,I2085&lt;=60),"Priority 2",IF(I2085&lt;=30,"Priority 3","Nurture")))</x:f>
        <x:v>Nurture</x:v>
      </x:c>
    </x:row>
    <x:row r="2086">
      <x:c r="A2086" s="16" t="n">
        <x:v>6343</x:v>
      </x:c>
      <x:c r="B2086" s="16" t="n">
        <x:v>1959</x:v>
      </x:c>
      <x:c r="C2086" s="16" t="str">
        <x:v>Graduation</x:v>
      </x:c>
      <x:c r="D2086" s="16" t="str">
        <x:v>Married</x:v>
      </x:c>
      <x:c r="E2086" s="16" t="n">
        <x:v>79823</x:v>
      </x:c>
      <x:c r="F2086" s="16" t="n">
        <x:v>0</x:v>
      </x:c>
      <x:c r="G2086" s="16" t="n">
        <x:v>1</x:v>
      </x:c>
      <x:c r="H2086" s="16" t="str">
        <x:v>31-03-2014</x:v>
      </x:c>
      <x:c r="I2086" s="16" t="n">
        <x:v>6</x:v>
      </x:c>
      <x:c r="J2086" s="16" t="n">
        <x:v>835</x:v>
      </x:c>
      <x:c r="K2086" s="16" t="n">
        <x:v>73</x:v>
      </x:c>
      <x:c r="L2086" s="16" t="n">
        <x:v>380</x:v>
      </x:c>
      <x:c r="M2086" s="16" t="n">
        <x:v>114</x:v>
      </x:c>
      <x:c r="N2086" s="16" t="n">
        <x:v>73</x:v>
      </x:c>
      <x:c r="O2086" s="16" t="n">
        <x:v>43</x:v>
      </x:c>
      <x:c r="P2086" s="16" t="n">
        <x:v>1</x:v>
      </x:c>
      <x:c r="Q2086" s="16" t="n">
        <x:v>6</x:v>
      </x:c>
      <x:c r="R2086" s="16" t="n">
        <x:v>9</x:v>
      </x:c>
      <x:c r="S2086" s="16" t="n">
        <x:v>7</x:v>
      </x:c>
      <x:c r="T2086" s="16" t="n">
        <x:v>2</x:v>
      </x:c>
      <x:c r="U2086" s="16" t="n">
        <x:v>0</x:v>
      </x:c>
      <x:c r="V2086" s="16" t="n">
        <x:v>1</x:v>
      </x:c>
      <x:c r="W2086" s="16" t="n">
        <x:v>0</x:v>
      </x:c>
      <x:c r="X2086" s="16" t="n">
        <x:v>0</x:v>
      </x:c>
      <x:c r="Y2086" s="16" t="n">
        <x:v>0</x:v>
      </x:c>
      <x:c r="Z2086" s="16" t="n">
        <x:v>0</x:v>
      </x:c>
      <x:c r="AA2086" s="16" t="n">
        <x:v>3</x:v>
      </x:c>
      <x:c r="AB2086" s="16" t="n">
        <x:v>11</x:v>
      </x:c>
      <x:c r="AC2086" s="16" t="n">
        <x:v>0</x:v>
      </x:c>
      <x:c r="AD2086" s="21" t="n">
        <x:f>IF(E2086="",MEDIAN($E$2:$E$2237),E2086)</x:f>
        <x:v>79823</x:v>
      </x:c>
      <x:c r="AE2086" s="17" t="n">
        <x:f>2014-B2086</x:f>
        <x:v>55</x:v>
      </x:c>
      <x:c r="AF2086" s="17" t="n">
        <x:f>F2086+G2086</x:f>
        <x:v>1</x:v>
      </x:c>
      <x:c r="AG2086" s="21" t="n">
        <x:f>SUM(J2086:O2086)</x:f>
        <x:v>1518</x:v>
      </x:c>
      <x:c r="AH2086" s="17" t="n">
        <x:f>SUM(Q2086:S2086)</x:f>
        <x:v>22</x:v>
      </x:c>
      <x:c r="AI2086" s="17" t="n">
        <x:f>SUM(U2086:Y2086)</x:f>
        <x:v>1</x:v>
      </x:c>
      <x:c r="AJ2086" s="17" t="str">
        <x:f>IF(AE2086&lt;=34,"≤34",IF(AE2086&lt;=44,"35–44",IF(AE2086&lt;=54,"45–54",IF(AE2086&lt;=64,"55–64","65+"))))</x:f>
        <x:v>55–64</x:v>
      </x:c>
      <x:c r="AK2086" s="17" t="str">
        <x:f>IF(AG2086&gt;=1000,"High Value",IF(AG2086&gt;=300,"Mid Value","Low Value"))</x:f>
        <x:v>High Value</x:v>
      </x:c>
      <x:c r="AL2086" s="17" t="str">
        <x:f>IF(AND(AI2086&gt;=1,I2086&lt;=50),"Priority 1",IF(AND(AG2086&gt;=1000,I2086&lt;=60),"Priority 2",IF(I2086&lt;=30,"Priority 3","Nurture")))</x:f>
        <x:v>Priority 1</x:v>
      </x:c>
    </x:row>
    <x:row r="2087">
      <x:c r="A2087" s="16" t="n">
        <x:v>6507</x:v>
      </x:c>
      <x:c r="B2087" s="16" t="n">
        <x:v>1980</x:v>
      </x:c>
      <x:c r="C2087" s="16" t="str">
        <x:v>Graduation</x:v>
      </x:c>
      <x:c r="D2087" s="16" t="str">
        <x:v>Single</x:v>
      </x:c>
      <x:c r="E2087" s="16" t="n">
        <x:v>30828</x:v>
      </x:c>
      <x:c r="F2087" s="16" t="n">
        <x:v>1</x:v>
      </x:c>
      <x:c r="G2087" s="16" t="n">
        <x:v>0</x:v>
      </x:c>
      <x:c r="H2087" s="16" t="str">
        <x:v>04-10-2013</x:v>
      </x:c>
      <x:c r="I2087" s="16" t="n">
        <x:v>16</x:v>
      </x:c>
      <x:c r="J2087" s="16" t="n">
        <x:v>16</x:v>
      </x:c>
      <x:c r="K2087" s="16" t="n">
        <x:v>11</x:v>
      </x:c>
      <x:c r="L2087" s="16" t="n">
        <x:v>15</x:v>
      </x:c>
      <x:c r="M2087" s="16" t="n">
        <x:v>2</x:v>
      </x:c>
      <x:c r="N2087" s="16" t="n">
        <x:v>0</x:v>
      </x:c>
      <x:c r="O2087" s="16" t="n">
        <x:v>12</x:v>
      </x:c>
      <x:c r="P2087" s="16" t="n">
        <x:v>2</x:v>
      </x:c>
      <x:c r="Q2087" s="16" t="n">
        <x:v>1</x:v>
      </x:c>
      <x:c r="R2087" s="16" t="n">
        <x:v>1</x:v>
      </x:c>
      <x:c r="S2087" s="16" t="n">
        <x:v>4</x:v>
      </x:c>
      <x:c r="T2087" s="16" t="n">
        <x:v>3</x:v>
      </x:c>
      <x:c r="U2087" s="16" t="n">
        <x:v>0</x:v>
      </x:c>
      <x:c r="V2087" s="16" t="n">
        <x:v>0</x:v>
      </x:c>
      <x:c r="W2087" s="16" t="n">
        <x:v>0</x:v>
      </x:c>
      <x:c r="X2087" s="16" t="n">
        <x:v>0</x:v>
      </x:c>
      <x:c r="Y2087" s="16" t="n">
        <x:v>0</x:v>
      </x:c>
      <x:c r="Z2087" s="16" t="n">
        <x:v>0</x:v>
      </x:c>
      <x:c r="AA2087" s="16" t="n">
        <x:v>3</x:v>
      </x:c>
      <x:c r="AB2087" s="16" t="n">
        <x:v>11</x:v>
      </x:c>
      <x:c r="AC2087" s="16" t="n">
        <x:v>0</x:v>
      </x:c>
      <x:c r="AD2087" s="21" t="n">
        <x:f>IF(E2087="",MEDIAN($E$2:$E$2237),E2087)</x:f>
        <x:v>30828</x:v>
      </x:c>
      <x:c r="AE2087" s="17" t="n">
        <x:f>2014-B2087</x:f>
        <x:v>34</x:v>
      </x:c>
      <x:c r="AF2087" s="17" t="n">
        <x:f>F2087+G2087</x:f>
        <x:v>1</x:v>
      </x:c>
      <x:c r="AG2087" s="21" t="n">
        <x:f>SUM(J2087:O2087)</x:f>
        <x:v>56</x:v>
      </x:c>
      <x:c r="AH2087" s="17" t="n">
        <x:f>SUM(Q2087:S2087)</x:f>
        <x:v>6</x:v>
      </x:c>
      <x:c r="AI2087" s="17" t="n">
        <x:f>SUM(U2087:Y2087)</x:f>
        <x:v>0</x:v>
      </x:c>
      <x:c r="AJ2087" s="17" t="str">
        <x:f>IF(AE2087&lt;=34,"≤34",IF(AE2087&lt;=44,"35–44",IF(AE2087&lt;=54,"45–54",IF(AE2087&lt;=64,"55–64","65+"))))</x:f>
        <x:v>≤34</x:v>
      </x:c>
      <x:c r="AK2087" s="17" t="str">
        <x:f>IF(AG2087&gt;=1000,"High Value",IF(AG2087&gt;=300,"Mid Value","Low Value"))</x:f>
        <x:v>Low Value</x:v>
      </x:c>
      <x:c r="AL2087" s="17" t="str">
        <x:f>IF(AND(AI2087&gt;=1,I2087&lt;=50),"Priority 1",IF(AND(AG2087&gt;=1000,I2087&lt;=60),"Priority 2",IF(I2087&lt;=30,"Priority 3","Nurture")))</x:f>
        <x:v>Priority 3</x:v>
      </x:c>
    </x:row>
    <x:row r="2088">
      <x:c r="A2088" s="16" t="n">
        <x:v>7901</x:v>
      </x:c>
      <x:c r="B2088" s="16" t="n">
        <x:v>1971</x:v>
      </x:c>
      <x:c r="C2088" s="16" t="str">
        <x:v>Master</x:v>
      </x:c>
      <x:c r="D2088" s="16" t="str">
        <x:v>Married</x:v>
      </x:c>
      <x:c r="E2088" s="16" t="n">
        <x:v>34109</x:v>
      </x:c>
      <x:c r="F2088" s="16" t="n">
        <x:v>0</x:v>
      </x:c>
      <x:c r="G2088" s="16" t="n">
        <x:v>1</x:v>
      </x:c>
      <x:c r="H2088" s="16" t="str">
        <x:v>06-11-2013</x:v>
      </x:c>
      <x:c r="I2088" s="16" t="n">
        <x:v>39</x:v>
      </x:c>
      <x:c r="J2088" s="16" t="n">
        <x:v>9</x:v>
      </x:c>
      <x:c r="K2088" s="16" t="n">
        <x:v>1</x:v>
      </x:c>
      <x:c r="L2088" s="16" t="n">
        <x:v>5</x:v>
      </x:c>
      <x:c r="M2088" s="16" t="n">
        <x:v>2</x:v>
      </x:c>
      <x:c r="N2088" s="16" t="n">
        <x:v>1</x:v>
      </x:c>
      <x:c r="O2088" s="16" t="n">
        <x:v>4</x:v>
      </x:c>
      <x:c r="P2088" s="16" t="n">
        <x:v>1</x:v>
      </x:c>
      <x:c r="Q2088" s="16" t="n">
        <x:v>0</x:v>
      </x:c>
      <x:c r="R2088" s="16" t="n">
        <x:v>0</x:v>
      </x:c>
      <x:c r="S2088" s="16" t="n">
        <x:v>3</x:v>
      </x:c>
      <x:c r="T2088" s="16" t="n">
        <x:v>4</x:v>
      </x:c>
      <x:c r="U2088" s="16" t="n">
        <x:v>0</x:v>
      </x:c>
      <x:c r="V2088" s="16" t="n">
        <x:v>0</x:v>
      </x:c>
      <x:c r="W2088" s="16" t="n">
        <x:v>0</x:v>
      </x:c>
      <x:c r="X2088" s="16" t="n">
        <x:v>0</x:v>
      </x:c>
      <x:c r="Y2088" s="16" t="n">
        <x:v>0</x:v>
      </x:c>
      <x:c r="Z2088" s="16" t="n">
        <x:v>0</x:v>
      </x:c>
      <x:c r="AA2088" s="16" t="n">
        <x:v>3</x:v>
      </x:c>
      <x:c r="AB2088" s="16" t="n">
        <x:v>11</x:v>
      </x:c>
      <x:c r="AC2088" s="16" t="n">
        <x:v>0</x:v>
      </x:c>
      <x:c r="AD2088" s="21" t="n">
        <x:f>IF(E2088="",MEDIAN($E$2:$E$2237),E2088)</x:f>
        <x:v>34109</x:v>
      </x:c>
      <x:c r="AE2088" s="17" t="n">
        <x:f>2014-B2088</x:f>
        <x:v>43</x:v>
      </x:c>
      <x:c r="AF2088" s="17" t="n">
        <x:f>F2088+G2088</x:f>
        <x:v>1</x:v>
      </x:c>
      <x:c r="AG2088" s="21" t="n">
        <x:f>SUM(J2088:O2088)</x:f>
        <x:v>22</x:v>
      </x:c>
      <x:c r="AH2088" s="17" t="n">
        <x:f>SUM(Q2088:S2088)</x:f>
        <x:v>3</x:v>
      </x:c>
      <x:c r="AI2088" s="17" t="n">
        <x:f>SUM(U2088:Y2088)</x:f>
        <x:v>0</x:v>
      </x:c>
      <x:c r="AJ2088" s="17" t="str">
        <x:f>IF(AE2088&lt;=34,"≤34",IF(AE2088&lt;=44,"35–44",IF(AE2088&lt;=54,"45–54",IF(AE2088&lt;=64,"55–64","65+"))))</x:f>
        <x:v>35–44</x:v>
      </x:c>
      <x:c r="AK2088" s="17" t="str">
        <x:f>IF(AG2088&gt;=1000,"High Value",IF(AG2088&gt;=300,"Mid Value","Low Value"))</x:f>
        <x:v>Low Value</x:v>
      </x:c>
      <x:c r="AL2088" s="17" t="str">
        <x:f>IF(AND(AI2088&gt;=1,I2088&lt;=50),"Priority 1",IF(AND(AG2088&gt;=1000,I2088&lt;=60),"Priority 2",IF(I2088&lt;=30,"Priority 3","Nurture")))</x:f>
        <x:v>Nurture</x:v>
      </x:c>
    </x:row>
    <x:row r="2089">
      <x:c r="A2089" s="16" t="n">
        <x:v>4865</x:v>
      </x:c>
      <x:c r="B2089" s="16" t="n">
        <x:v>1974</x:v>
      </x:c>
      <x:c r="C2089" s="16" t="str">
        <x:v>Master</x:v>
      </x:c>
      <x:c r="D2089" s="16" t="str">
        <x:v>Divorced</x:v>
      </x:c>
      <x:c r="E2089" s="16" t="n">
        <x:v>53367</x:v>
      </x:c>
      <x:c r="F2089" s="16" t="n">
        <x:v>1</x:v>
      </x:c>
      <x:c r="G2089" s="16" t="n">
        <x:v>1</x:v>
      </x:c>
      <x:c r="H2089" s="16" t="str">
        <x:v>31-08-2013</x:v>
      </x:c>
      <x:c r="I2089" s="16" t="n">
        <x:v>2</x:v>
      </x:c>
      <x:c r="J2089" s="16" t="n">
        <x:v>229</x:v>
      </x:c>
      <x:c r="K2089" s="16" t="n">
        <x:v>7</x:v>
      </x:c>
      <x:c r="L2089" s="16" t="n">
        <x:v>140</x:v>
      </x:c>
      <x:c r="M2089" s="16" t="n">
        <x:v>10</x:v>
      </x:c>
      <x:c r="N2089" s="16" t="n">
        <x:v>3</x:v>
      </x:c>
      <x:c r="O2089" s="16" t="n">
        <x:v>11</x:v>
      </x:c>
      <x:c r="P2089" s="16" t="n">
        <x:v>7</x:v>
      </x:c>
      <x:c r="Q2089" s="16" t="n">
        <x:v>5</x:v>
      </x:c>
      <x:c r="R2089" s="16" t="n">
        <x:v>1</x:v>
      </x:c>
      <x:c r="S2089" s="16" t="n">
        <x:v>8</x:v>
      </x:c>
      <x:c r="T2089" s="16" t="n">
        <x:v>7</x:v>
      </x:c>
      <x:c r="U2089" s="16" t="n">
        <x:v>0</x:v>
      </x:c>
      <x:c r="V2089" s="16" t="n">
        <x:v>0</x:v>
      </x:c>
      <x:c r="W2089" s="16" t="n">
        <x:v>0</x:v>
      </x:c>
      <x:c r="X2089" s="16" t="n">
        <x:v>0</x:v>
      </x:c>
      <x:c r="Y2089" s="16" t="n">
        <x:v>0</x:v>
      </x:c>
      <x:c r="Z2089" s="16" t="n">
        <x:v>0</x:v>
      </x:c>
      <x:c r="AA2089" s="16" t="n">
        <x:v>3</x:v>
      </x:c>
      <x:c r="AB2089" s="16" t="n">
        <x:v>11</x:v>
      </x:c>
      <x:c r="AC2089" s="16" t="n">
        <x:v>1</x:v>
      </x:c>
      <x:c r="AD2089" s="21" t="n">
        <x:f>IF(E2089="",MEDIAN($E$2:$E$2237),E2089)</x:f>
        <x:v>53367</x:v>
      </x:c>
      <x:c r="AE2089" s="17" t="n">
        <x:f>2014-B2089</x:f>
        <x:v>40</x:v>
      </x:c>
      <x:c r="AF2089" s="17" t="n">
        <x:f>F2089+G2089</x:f>
        <x:v>2</x:v>
      </x:c>
      <x:c r="AG2089" s="21" t="n">
        <x:f>SUM(J2089:O2089)</x:f>
        <x:v>400</x:v>
      </x:c>
      <x:c r="AH2089" s="17" t="n">
        <x:f>SUM(Q2089:S2089)</x:f>
        <x:v>14</x:v>
      </x:c>
      <x:c r="AI2089" s="17" t="n">
        <x:f>SUM(U2089:Y2089)</x:f>
        <x:v>0</x:v>
      </x:c>
      <x:c r="AJ2089" s="17" t="str">
        <x:f>IF(AE2089&lt;=34,"≤34",IF(AE2089&lt;=44,"35–44",IF(AE2089&lt;=54,"45–54",IF(AE2089&lt;=64,"55–64","65+"))))</x:f>
        <x:v>35–44</x:v>
      </x:c>
      <x:c r="AK2089" s="17" t="str">
        <x:f>IF(AG2089&gt;=1000,"High Value",IF(AG2089&gt;=300,"Mid Value","Low Value"))</x:f>
        <x:v>Mid Value</x:v>
      </x:c>
      <x:c r="AL2089" s="17" t="str">
        <x:f>IF(AND(AI2089&gt;=1,I2089&lt;=50),"Priority 1",IF(AND(AG2089&gt;=1000,I2089&lt;=60),"Priority 2",IF(I2089&lt;=30,"Priority 3","Nurture")))</x:f>
        <x:v>Priority 3</x:v>
      </x:c>
    </x:row>
    <x:row r="2090">
      <x:c r="A2090" s="16" t="n">
        <x:v>2686</x:v>
      </x:c>
      <x:c r="B2090" s="16" t="n">
        <x:v>1969</x:v>
      </x:c>
      <x:c r="C2090" s="16" t="str">
        <x:v>Basic</x:v>
      </x:c>
      <x:c r="D2090" s="16" t="str">
        <x:v>Together</x:v>
      </x:c>
      <x:c r="E2090" s="16" t="n">
        <x:v>22390</x:v>
      </x:c>
      <x:c r="F2090" s="16" t="n">
        <x:v>0</x:v>
      </x:c>
      <x:c r="G2090" s="16" t="n">
        <x:v>0</x:v>
      </x:c>
      <x:c r="H2090" s="16" t="str">
        <x:v>21-10-2013</x:v>
      </x:c>
      <x:c r="I2090" s="16" t="n">
        <x:v>49</x:v>
      </x:c>
      <x:c r="J2090" s="16" t="n">
        <x:v>0</x:v>
      </x:c>
      <x:c r="K2090" s="16" t="n">
        <x:v>1</x:v>
      </x:c>
      <x:c r="L2090" s="16" t="n">
        <x:v>4</x:v>
      </x:c>
      <x:c r="M2090" s="16" t="n">
        <x:v>15</x:v>
      </x:c>
      <x:c r="N2090" s="16" t="n">
        <x:v>1</x:v>
      </x:c>
      <x:c r="O2090" s="16" t="n">
        <x:v>5</x:v>
      </x:c>
      <x:c r="P2090" s="16" t="n">
        <x:v>1</x:v>
      </x:c>
      <x:c r="Q2090" s="16" t="n">
        <x:v>1</x:v>
      </x:c>
      <x:c r="R2090" s="16" t="n">
        <x:v>0</x:v>
      </x:c>
      <x:c r="S2090" s="16" t="n">
        <x:v>2</x:v>
      </x:c>
      <x:c r="T2090" s="16" t="n">
        <x:v>7</x:v>
      </x:c>
      <x:c r="U2090" s="16" t="n">
        <x:v>0</x:v>
      </x:c>
      <x:c r="V2090" s="16" t="n">
        <x:v>0</x:v>
      </x:c>
      <x:c r="W2090" s="16" t="n">
        <x:v>0</x:v>
      </x:c>
      <x:c r="X2090" s="16" t="n">
        <x:v>0</x:v>
      </x:c>
      <x:c r="Y2090" s="16" t="n">
        <x:v>0</x:v>
      </x:c>
      <x:c r="Z2090" s="16" t="n">
        <x:v>0</x:v>
      </x:c>
      <x:c r="AA2090" s="16" t="n">
        <x:v>3</x:v>
      </x:c>
      <x:c r="AB2090" s="16" t="n">
        <x:v>11</x:v>
      </x:c>
      <x:c r="AC2090" s="16" t="n">
        <x:v>0</x:v>
      </x:c>
      <x:c r="AD2090" s="21" t="n">
        <x:f>IF(E2090="",MEDIAN($E$2:$E$2237),E2090)</x:f>
        <x:v>22390</x:v>
      </x:c>
      <x:c r="AE2090" s="17" t="n">
        <x:f>2014-B2090</x:f>
        <x:v>45</x:v>
      </x:c>
      <x:c r="AF2090" s="17" t="n">
        <x:f>F2090+G2090</x:f>
        <x:v>0</x:v>
      </x:c>
      <x:c r="AG2090" s="21" t="n">
        <x:f>SUM(J2090:O2090)</x:f>
        <x:v>26</x:v>
      </x:c>
      <x:c r="AH2090" s="17" t="n">
        <x:f>SUM(Q2090:S2090)</x:f>
        <x:v>3</x:v>
      </x:c>
      <x:c r="AI2090" s="17" t="n">
        <x:f>SUM(U2090:Y2090)</x:f>
        <x:v>0</x:v>
      </x:c>
      <x:c r="AJ2090" s="17" t="str">
        <x:f>IF(AE2090&lt;=34,"≤34",IF(AE2090&lt;=44,"35–44",IF(AE2090&lt;=54,"45–54",IF(AE2090&lt;=64,"55–64","65+"))))</x:f>
        <x:v>45–54</x:v>
      </x:c>
      <x:c r="AK2090" s="17" t="str">
        <x:f>IF(AG2090&gt;=1000,"High Value",IF(AG2090&gt;=300,"Mid Value","Low Value"))</x:f>
        <x:v>Low Value</x:v>
      </x:c>
      <x:c r="AL2090" s="17" t="str">
        <x:f>IF(AND(AI2090&gt;=1,I2090&lt;=50),"Priority 1",IF(AND(AG2090&gt;=1000,I2090&lt;=60),"Priority 2",IF(I2090&lt;=30,"Priority 3","Nurture")))</x:f>
        <x:v>Nurture</x:v>
      </x:c>
    </x:row>
    <x:row r="2091">
      <x:c r="A2091" s="16" t="n">
        <x:v>3107</x:v>
      </x:c>
      <x:c r="B2091" s="16" t="n">
        <x:v>1976</x:v>
      </x:c>
      <x:c r="C2091" s="16" t="str">
        <x:v>Graduation</x:v>
      </x:c>
      <x:c r="D2091" s="16" t="str">
        <x:v>Together</x:v>
      </x:c>
      <x:c r="E2091" s="16" t="n">
        <x:v>71322</x:v>
      </x:c>
      <x:c r="F2091" s="16" t="n">
        <x:v>0</x:v>
      </x:c>
      <x:c r="G2091" s="16" t="n">
        <x:v>1</x:v>
      </x:c>
      <x:c r="H2091" s="16" t="str">
        <x:v>02-05-2014</x:v>
      </x:c>
      <x:c r="I2091" s="16" t="n">
        <x:v>31</x:v>
      </x:c>
      <x:c r="J2091" s="16" t="n">
        <x:v>121</x:v>
      </x:c>
      <x:c r="K2091" s="16" t="n">
        <x:v>24</x:v>
      </x:c>
      <x:c r="L2091" s="16" t="n">
        <x:v>124</x:v>
      </x:c>
      <x:c r="M2091" s="16" t="n">
        <x:v>24</x:v>
      </x:c>
      <x:c r="N2091" s="16" t="n">
        <x:v>15</x:v>
      </x:c>
      <x:c r="O2091" s="16" t="n">
        <x:v>42</x:v>
      </x:c>
      <x:c r="P2091" s="16" t="n">
        <x:v>1</x:v>
      </x:c>
      <x:c r="Q2091" s="16" t="n">
        <x:v>4</x:v>
      </x:c>
      <x:c r="R2091" s="16" t="n">
        <x:v>1</x:v>
      </x:c>
      <x:c r="S2091" s="16" t="n">
        <x:v>7</x:v>
      </x:c>
      <x:c r="T2091" s="16" t="n">
        <x:v>2</x:v>
      </x:c>
      <x:c r="U2091" s="16" t="n">
        <x:v>0</x:v>
      </x:c>
      <x:c r="V2091" s="16" t="n">
        <x:v>0</x:v>
      </x:c>
      <x:c r="W2091" s="16" t="n">
        <x:v>0</x:v>
      </x:c>
      <x:c r="X2091" s="16" t="n">
        <x:v>0</x:v>
      </x:c>
      <x:c r="Y2091" s="16" t="n">
        <x:v>0</x:v>
      </x:c>
      <x:c r="Z2091" s="16" t="n">
        <x:v>0</x:v>
      </x:c>
      <x:c r="AA2091" s="16" t="n">
        <x:v>3</x:v>
      </x:c>
      <x:c r="AB2091" s="16" t="n">
        <x:v>11</x:v>
      </x:c>
      <x:c r="AC2091" s="16" t="n">
        <x:v>0</x:v>
      </x:c>
      <x:c r="AD2091" s="21" t="n">
        <x:f>IF(E2091="",MEDIAN($E$2:$E$2237),E2091)</x:f>
        <x:v>71322</x:v>
      </x:c>
      <x:c r="AE2091" s="17" t="n">
        <x:f>2014-B2091</x:f>
        <x:v>38</x:v>
      </x:c>
      <x:c r="AF2091" s="17" t="n">
        <x:f>F2091+G2091</x:f>
        <x:v>1</x:v>
      </x:c>
      <x:c r="AG2091" s="21" t="n">
        <x:f>SUM(J2091:O2091)</x:f>
        <x:v>350</x:v>
      </x:c>
      <x:c r="AH2091" s="17" t="n">
        <x:f>SUM(Q2091:S2091)</x:f>
        <x:v>12</x:v>
      </x:c>
      <x:c r="AI2091" s="17" t="n">
        <x:f>SUM(U2091:Y2091)</x:f>
        <x:v>0</x:v>
      </x:c>
      <x:c r="AJ2091" s="17" t="str">
        <x:f>IF(AE2091&lt;=34,"≤34",IF(AE2091&lt;=44,"35–44",IF(AE2091&lt;=54,"45–54",IF(AE2091&lt;=64,"55–64","65+"))))</x:f>
        <x:v>35–44</x:v>
      </x:c>
      <x:c r="AK2091" s="17" t="str">
        <x:f>IF(AG2091&gt;=1000,"High Value",IF(AG2091&gt;=300,"Mid Value","Low Value"))</x:f>
        <x:v>Mid Value</x:v>
      </x:c>
      <x:c r="AL2091" s="17" t="str">
        <x:f>IF(AND(AI2091&gt;=1,I2091&lt;=50),"Priority 1",IF(AND(AG2091&gt;=1000,I2091&lt;=60),"Priority 2",IF(I2091&lt;=30,"Priority 3","Nurture")))</x:f>
        <x:v>Nurture</x:v>
      </x:c>
    </x:row>
    <x:row r="2092">
      <x:c r="A2092" s="16" t="n">
        <x:v>7734</x:v>
      </x:c>
      <x:c r="B2092" s="16" t="n">
        <x:v>1993</x:v>
      </x:c>
      <x:c r="C2092" s="16" t="str">
        <x:v>Graduation</x:v>
      </x:c>
      <x:c r="D2092" s="16" t="str">
        <x:v>Absurd</x:v>
      </x:c>
      <x:c r="E2092" s="16" t="n">
        <x:v>79244</x:v>
      </x:c>
      <x:c r="F2092" s="16" t="n">
        <x:v>0</x:v>
      </x:c>
      <x:c r="G2092" s="16" t="n">
        <x:v>0</x:v>
      </x:c>
      <x:c r="H2092" s="16" t="str">
        <x:v>19-12-2012</x:v>
      </x:c>
      <x:c r="I2092" s="16" t="n">
        <x:v>58</x:v>
      </x:c>
      <x:c r="J2092" s="16" t="n">
        <x:v>471</x:v>
      </x:c>
      <x:c r="K2092" s="16" t="n">
        <x:v>102</x:v>
      </x:c>
      <x:c r="L2092" s="16" t="n">
        <x:v>125</x:v>
      </x:c>
      <x:c r="M2092" s="16" t="n">
        <x:v>212</x:v>
      </x:c>
      <x:c r="N2092" s="16" t="n">
        <x:v>61</x:v>
      </x:c>
      <x:c r="O2092" s="16" t="n">
        <x:v>245</x:v>
      </x:c>
      <x:c r="P2092" s="16" t="n">
        <x:v>1</x:v>
      </x:c>
      <x:c r="Q2092" s="16" t="n">
        <x:v>4</x:v>
      </x:c>
      <x:c r="R2092" s="16" t="n">
        <x:v>10</x:v>
      </x:c>
      <x:c r="S2092" s="16" t="n">
        <x:v>7</x:v>
      </x:c>
      <x:c r="T2092" s="16" t="n">
        <x:v>1</x:v>
      </x:c>
      <x:c r="U2092" s="16" t="n">
        <x:v>0</x:v>
      </x:c>
      <x:c r="V2092" s="16" t="n">
        <x:v>0</x:v>
      </x:c>
      <x:c r="W2092" s="16" t="n">
        <x:v>1</x:v>
      </x:c>
      <x:c r="X2092" s="16" t="n">
        <x:v>1</x:v>
      </x:c>
      <x:c r="Y2092" s="16" t="n">
        <x:v>0</x:v>
      </x:c>
      <x:c r="Z2092" s="16" t="n">
        <x:v>0</x:v>
      </x:c>
      <x:c r="AA2092" s="16" t="n">
        <x:v>3</x:v>
      </x:c>
      <x:c r="AB2092" s="16" t="n">
        <x:v>11</x:v>
      </x:c>
      <x:c r="AC2092" s="16" t="n">
        <x:v>1</x:v>
      </x:c>
      <x:c r="AD2092" s="21" t="n">
        <x:f>IF(E2092="",MEDIAN($E$2:$E$2237),E2092)</x:f>
        <x:v>79244</x:v>
      </x:c>
      <x:c r="AE2092" s="17" t="n">
        <x:f>2014-B2092</x:f>
        <x:v>21</x:v>
      </x:c>
      <x:c r="AF2092" s="17" t="n">
        <x:f>F2092+G2092</x:f>
        <x:v>0</x:v>
      </x:c>
      <x:c r="AG2092" s="21" t="n">
        <x:f>SUM(J2092:O2092)</x:f>
        <x:v>1216</x:v>
      </x:c>
      <x:c r="AH2092" s="17" t="n">
        <x:f>SUM(Q2092:S2092)</x:f>
        <x:v>21</x:v>
      </x:c>
      <x:c r="AI2092" s="17" t="n">
        <x:f>SUM(U2092:Y2092)</x:f>
        <x:v>2</x:v>
      </x:c>
      <x:c r="AJ2092" s="17" t="str">
        <x:f>IF(AE2092&lt;=34,"≤34",IF(AE2092&lt;=44,"35–44",IF(AE2092&lt;=54,"45–54",IF(AE2092&lt;=64,"55–64","65+"))))</x:f>
        <x:v>≤34</x:v>
      </x:c>
      <x:c r="AK2092" s="17" t="str">
        <x:f>IF(AG2092&gt;=1000,"High Value",IF(AG2092&gt;=300,"Mid Value","Low Value"))</x:f>
        <x:v>High Value</x:v>
      </x:c>
      <x:c r="AL2092" s="17" t="str">
        <x:f>IF(AND(AI2092&gt;=1,I2092&lt;=50),"Priority 1",IF(AND(AG2092&gt;=1000,I2092&lt;=60),"Priority 2",IF(I2092&lt;=30,"Priority 3","Nurture")))</x:f>
        <x:v>Priority 2</x:v>
      </x:c>
    </x:row>
    <x:row r="2093">
      <x:c r="A2093" s="16" t="n">
        <x:v>1146</x:v>
      </x:c>
      <x:c r="B2093" s="16" t="n">
        <x:v>1949</x:v>
      </x:c>
      <x:c r="C2093" s="16" t="str">
        <x:v>Master</x:v>
      </x:c>
      <x:c r="D2093" s="16" t="str">
        <x:v>Together</x:v>
      </x:c>
      <x:c r="E2093" s="16" t="n">
        <x:v>49912</x:v>
      </x:c>
      <x:c r="F2093" s="16" t="n">
        <x:v>0</x:v>
      </x:c>
      <x:c r="G2093" s="16" t="n">
        <x:v>1</x:v>
      </x:c>
      <x:c r="H2093" s="16" t="str">
        <x:v>07-09-2012</x:v>
      </x:c>
      <x:c r="I2093" s="16" t="n">
        <x:v>5</x:v>
      </x:c>
      <x:c r="J2093" s="16" t="n">
        <x:v>520</x:v>
      </x:c>
      <x:c r="K2093" s="16" t="n">
        <x:v>8</x:v>
      </x:c>
      <x:c r="L2093" s="16" t="n">
        <x:v>223</x:v>
      </x:c>
      <x:c r="M2093" s="16" t="n">
        <x:v>32</x:v>
      </x:c>
      <x:c r="N2093" s="16" t="n">
        <x:v>49</x:v>
      </x:c>
      <x:c r="O2093" s="16" t="n">
        <x:v>42</x:v>
      </x:c>
      <x:c r="P2093" s="16" t="n">
        <x:v>4</x:v>
      </x:c>
      <x:c r="Q2093" s="16" t="n">
        <x:v>10</x:v>
      </x:c>
      <x:c r="R2093" s="16" t="n">
        <x:v>5</x:v>
      </x:c>
      <x:c r="S2093" s="16" t="n">
        <x:v>7</x:v>
      </x:c>
      <x:c r="T2093" s="16" t="n">
        <x:v>8</x:v>
      </x:c>
      <x:c r="U2093" s="16" t="n">
        <x:v>1</x:v>
      </x:c>
      <x:c r="V2093" s="16" t="n">
        <x:v>0</x:v>
      </x:c>
      <x:c r="W2093" s="16" t="n">
        <x:v>0</x:v>
      </x:c>
      <x:c r="X2093" s="16" t="n">
        <x:v>0</x:v>
      </x:c>
      <x:c r="Y2093" s="16" t="n">
        <x:v>0</x:v>
      </x:c>
      <x:c r="Z2093" s="16" t="n">
        <x:v>0</x:v>
      </x:c>
      <x:c r="AA2093" s="16" t="n">
        <x:v>3</x:v>
      </x:c>
      <x:c r="AB2093" s="16" t="n">
        <x:v>11</x:v>
      </x:c>
      <x:c r="AC2093" s="16" t="n">
        <x:v>1</x:v>
      </x:c>
      <x:c r="AD2093" s="21" t="n">
        <x:f>IF(E2093="",MEDIAN($E$2:$E$2237),E2093)</x:f>
        <x:v>49912</x:v>
      </x:c>
      <x:c r="AE2093" s="17" t="n">
        <x:f>2014-B2093</x:f>
        <x:v>65</x:v>
      </x:c>
      <x:c r="AF2093" s="17" t="n">
        <x:f>F2093+G2093</x:f>
        <x:v>1</x:v>
      </x:c>
      <x:c r="AG2093" s="21" t="n">
        <x:f>SUM(J2093:O2093)</x:f>
        <x:v>874</x:v>
      </x:c>
      <x:c r="AH2093" s="17" t="n">
        <x:f>SUM(Q2093:S2093)</x:f>
        <x:v>22</x:v>
      </x:c>
      <x:c r="AI2093" s="17" t="n">
        <x:f>SUM(U2093:Y2093)</x:f>
        <x:v>1</x:v>
      </x:c>
      <x:c r="AJ2093" s="17" t="str">
        <x:f>IF(AE2093&lt;=34,"≤34",IF(AE2093&lt;=44,"35–44",IF(AE2093&lt;=54,"45–54",IF(AE2093&lt;=64,"55–64","65+"))))</x:f>
        <x:v>65+</x:v>
      </x:c>
      <x:c r="AK2093" s="17" t="str">
        <x:f>IF(AG2093&gt;=1000,"High Value",IF(AG2093&gt;=300,"Mid Value","Low Value"))</x:f>
        <x:v>Mid Value</x:v>
      </x:c>
      <x:c r="AL2093" s="17" t="str">
        <x:f>IF(AND(AI2093&gt;=1,I2093&lt;=50),"Priority 1",IF(AND(AG2093&gt;=1000,I2093&lt;=60),"Priority 2",IF(I2093&lt;=30,"Priority 3","Nurture")))</x:f>
        <x:v>Priority 1</x:v>
      </x:c>
    </x:row>
    <x:row r="2094">
      <x:c r="A2094" s="16" t="n">
        <x:v>11031</x:v>
      </x:c>
      <x:c r="B2094" s="16" t="n">
        <x:v>1950</x:v>
      </x:c>
      <x:c r="C2094" s="16" t="str">
        <x:v>PhD</x:v>
      </x:c>
      <x:c r="D2094" s="16" t="str">
        <x:v>Married</x:v>
      </x:c>
      <x:c r="E2094" s="16" t="n">
        <x:v>48699</x:v>
      </x:c>
      <x:c r="F2094" s="16" t="n">
        <x:v>1</x:v>
      </x:c>
      <x:c r="G2094" s="16" t="n">
        <x:v>1</x:v>
      </x:c>
      <x:c r="H2094" s="16" t="str">
        <x:v>21-05-2013</x:v>
      </x:c>
      <x:c r="I2094" s="16" t="n">
        <x:v>90</x:v>
      </x:c>
      <x:c r="J2094" s="16" t="n">
        <x:v>26</x:v>
      </x:c>
      <x:c r="K2094" s="16" t="n">
        <x:v>1</x:v>
      </x:c>
      <x:c r="L2094" s="16" t="n">
        <x:v>10</x:v>
      </x:c>
      <x:c r="M2094" s="16" t="n">
        <x:v>2</x:v>
      </x:c>
      <x:c r="N2094" s="16" t="n">
        <x:v>0</x:v>
      </x:c>
      <x:c r="O2094" s="16" t="n">
        <x:v>1</x:v>
      </x:c>
      <x:c r="P2094" s="16" t="n">
        <x:v>1</x:v>
      </x:c>
      <x:c r="Q2094" s="16" t="n">
        <x:v>1</x:v>
      </x:c>
      <x:c r="R2094" s="16" t="n">
        <x:v>0</x:v>
      </x:c>
      <x:c r="S2094" s="16" t="n">
        <x:v>3</x:v>
      </x:c>
      <x:c r="T2094" s="16" t="n">
        <x:v>5</x:v>
      </x:c>
      <x:c r="U2094" s="16" t="n">
        <x:v>0</x:v>
      </x:c>
      <x:c r="V2094" s="16" t="n">
        <x:v>0</x:v>
      </x:c>
      <x:c r="W2094" s="16" t="n">
        <x:v>0</x:v>
      </x:c>
      <x:c r="X2094" s="16" t="n">
        <x:v>0</x:v>
      </x:c>
      <x:c r="Y2094" s="16" t="n">
        <x:v>0</x:v>
      </x:c>
      <x:c r="Z2094" s="16" t="n">
        <x:v>0</x:v>
      </x:c>
      <x:c r="AA2094" s="16" t="n">
        <x:v>3</x:v>
      </x:c>
      <x:c r="AB2094" s="16" t="n">
        <x:v>11</x:v>
      </x:c>
      <x:c r="AC2094" s="16" t="n">
        <x:v>0</x:v>
      </x:c>
      <x:c r="AD2094" s="21" t="n">
        <x:f>IF(E2094="",MEDIAN($E$2:$E$2237),E2094)</x:f>
        <x:v>48699</x:v>
      </x:c>
      <x:c r="AE2094" s="17" t="n">
        <x:f>2014-B2094</x:f>
        <x:v>64</x:v>
      </x:c>
      <x:c r="AF2094" s="17" t="n">
        <x:f>F2094+G2094</x:f>
        <x:v>2</x:v>
      </x:c>
      <x:c r="AG2094" s="21" t="n">
        <x:f>SUM(J2094:O2094)</x:f>
        <x:v>40</x:v>
      </x:c>
      <x:c r="AH2094" s="17" t="n">
        <x:f>SUM(Q2094:S2094)</x:f>
        <x:v>4</x:v>
      </x:c>
      <x:c r="AI2094" s="17" t="n">
        <x:f>SUM(U2094:Y2094)</x:f>
        <x:v>0</x:v>
      </x:c>
      <x:c r="AJ2094" s="17" t="str">
        <x:f>IF(AE2094&lt;=34,"≤34",IF(AE2094&lt;=44,"35–44",IF(AE2094&lt;=54,"45–54",IF(AE2094&lt;=64,"55–64","65+"))))</x:f>
        <x:v>55–64</x:v>
      </x:c>
      <x:c r="AK2094" s="17" t="str">
        <x:f>IF(AG2094&gt;=1000,"High Value",IF(AG2094&gt;=300,"Mid Value","Low Value"))</x:f>
        <x:v>Low Value</x:v>
      </x:c>
      <x:c r="AL2094" s="17" t="str">
        <x:f>IF(AND(AI2094&gt;=1,I2094&lt;=50),"Priority 1",IF(AND(AG2094&gt;=1000,I2094&lt;=60),"Priority 2",IF(I2094&lt;=30,"Priority 3","Nurture")))</x:f>
        <x:v>Nurture</x:v>
      </x:c>
    </x:row>
    <x:row r="2095">
      <x:c r="A2095" s="16" t="n">
        <x:v>7428</x:v>
      </x:c>
      <x:c r="B2095" s="16" t="n">
        <x:v>1975</x:v>
      </x:c>
      <x:c r="C2095" s="16" t="str">
        <x:v>Graduation</x:v>
      </x:c>
      <x:c r="D2095" s="16" t="str">
        <x:v>Together</x:v>
      </x:c>
      <x:c r="E2095" s="16" t="n">
        <x:v>80144</x:v>
      </x:c>
      <x:c r="F2095" s="16" t="n">
        <x:v>0</x:v>
      </x:c>
      <x:c r="G2095" s="16" t="n">
        <x:v>0</x:v>
      </x:c>
      <x:c r="H2095" s="16" t="str">
        <x:v>30-09-2013</x:v>
      </x:c>
      <x:c r="I2095" s="16" t="n">
        <x:v>47</x:v>
      </x:c>
      <x:c r="J2095" s="16" t="n">
        <x:v>240</x:v>
      </x:c>
      <x:c r="K2095" s="16" t="n">
        <x:v>132</x:v>
      </x:c>
      <x:c r="L2095" s="16" t="n">
        <x:v>445</x:v>
      </x:c>
      <x:c r="M2095" s="16" t="n">
        <x:v>250</x:v>
      </x:c>
      <x:c r="N2095" s="16" t="n">
        <x:v>192</x:v>
      </x:c>
      <x:c r="O2095" s="16" t="n">
        <x:v>108</x:v>
      </x:c>
      <x:c r="P2095" s="16" t="n">
        <x:v>1</x:v>
      </x:c>
      <x:c r="Q2095" s="16" t="n">
        <x:v>3</x:v>
      </x:c>
      <x:c r="R2095" s="16" t="n">
        <x:v>7</x:v>
      </x:c>
      <x:c r="S2095" s="16" t="n">
        <x:v>8</x:v>
      </x:c>
      <x:c r="T2095" s="16" t="n">
        <x:v>1</x:v>
      </x:c>
      <x:c r="U2095" s="16" t="n">
        <x:v>0</x:v>
      </x:c>
      <x:c r="V2095" s="16" t="n">
        <x:v>0</x:v>
      </x:c>
      <x:c r="W2095" s="16" t="n">
        <x:v>0</x:v>
      </x:c>
      <x:c r="X2095" s="16" t="n">
        <x:v>0</x:v>
      </x:c>
      <x:c r="Y2095" s="16" t="n">
        <x:v>0</x:v>
      </x:c>
      <x:c r="Z2095" s="16" t="n">
        <x:v>0</x:v>
      </x:c>
      <x:c r="AA2095" s="16" t="n">
        <x:v>3</x:v>
      </x:c>
      <x:c r="AB2095" s="16" t="n">
        <x:v>11</x:v>
      </x:c>
      <x:c r="AC2095" s="16" t="n">
        <x:v>0</x:v>
      </x:c>
      <x:c r="AD2095" s="21" t="n">
        <x:f>IF(E2095="",MEDIAN($E$2:$E$2237),E2095)</x:f>
        <x:v>80144</x:v>
      </x:c>
      <x:c r="AE2095" s="17" t="n">
        <x:f>2014-B2095</x:f>
        <x:v>39</x:v>
      </x:c>
      <x:c r="AF2095" s="17" t="n">
        <x:f>F2095+G2095</x:f>
        <x:v>0</x:v>
      </x:c>
      <x:c r="AG2095" s="21" t="n">
        <x:f>SUM(J2095:O2095)</x:f>
        <x:v>1367</x:v>
      </x:c>
      <x:c r="AH2095" s="17" t="n">
        <x:f>SUM(Q2095:S2095)</x:f>
        <x:v>18</x:v>
      </x:c>
      <x:c r="AI2095" s="17" t="n">
        <x:f>SUM(U2095:Y2095)</x:f>
        <x:v>0</x:v>
      </x:c>
      <x:c r="AJ2095" s="17" t="str">
        <x:f>IF(AE2095&lt;=34,"≤34",IF(AE2095&lt;=44,"35–44",IF(AE2095&lt;=54,"45–54",IF(AE2095&lt;=64,"55–64","65+"))))</x:f>
        <x:v>35–44</x:v>
      </x:c>
      <x:c r="AK2095" s="17" t="str">
        <x:f>IF(AG2095&gt;=1000,"High Value",IF(AG2095&gt;=300,"Mid Value","Low Value"))</x:f>
        <x:v>High Value</x:v>
      </x:c>
      <x:c r="AL2095" s="17" t="str">
        <x:f>IF(AND(AI2095&gt;=1,I2095&lt;=50),"Priority 1",IF(AND(AG2095&gt;=1000,I2095&lt;=60),"Priority 2",IF(I2095&lt;=30,"Priority 3","Nurture")))</x:f>
        <x:v>Priority 2</x:v>
      </x:c>
    </x:row>
    <x:row r="2096">
      <x:c r="A2096" s="16" t="n">
        <x:v>975</x:v>
      </x:c>
      <x:c r="B2096" s="16" t="n">
        <x:v>1956</x:v>
      </x:c>
      <x:c r="C2096" s="16" t="str">
        <x:v>Graduation</x:v>
      </x:c>
      <x:c r="D2096" s="16" t="str">
        <x:v>Single</x:v>
      </x:c>
      <x:c r="E2096" s="16" t="n">
        <x:v>54252</x:v>
      </x:c>
      <x:c r="F2096" s="16" t="n">
        <x:v>1</x:v>
      </x:c>
      <x:c r="G2096" s="16" t="n">
        <x:v>1</x:v>
      </x:c>
      <x:c r="H2096" s="16" t="str">
        <x:v>28-05-2013</x:v>
      </x:c>
      <x:c r="I2096" s="16" t="n">
        <x:v>25</x:v>
      </x:c>
      <x:c r="J2096" s="16" t="n">
        <x:v>178</x:v>
      </x:c>
      <x:c r="K2096" s="16" t="n">
        <x:v>4</x:v>
      </x:c>
      <x:c r="L2096" s="16" t="n">
        <x:v>26</x:v>
      </x:c>
      <x:c r="M2096" s="16" t="n">
        <x:v>8</x:v>
      </x:c>
      <x:c r="N2096" s="16" t="n">
        <x:v>4</x:v>
      </x:c>
      <x:c r="O2096" s="16" t="n">
        <x:v>44</x:v>
      </x:c>
      <x:c r="P2096" s="16" t="n">
        <x:v>5</x:v>
      </x:c>
      <x:c r="Q2096" s="16" t="n">
        <x:v>4</x:v>
      </x:c>
      <x:c r="R2096" s="16" t="n">
        <x:v>1</x:v>
      </x:c>
      <x:c r="S2096" s="16" t="n">
        <x:v>5</x:v>
      </x:c>
      <x:c r="T2096" s="16" t="n">
        <x:v>6</x:v>
      </x:c>
      <x:c r="U2096" s="16" t="n">
        <x:v>0</x:v>
      </x:c>
      <x:c r="V2096" s="16" t="n">
        <x:v>0</x:v>
      </x:c>
      <x:c r="W2096" s="16" t="n">
        <x:v>0</x:v>
      </x:c>
      <x:c r="X2096" s="16" t="n">
        <x:v>0</x:v>
      </x:c>
      <x:c r="Y2096" s="16" t="n">
        <x:v>0</x:v>
      </x:c>
      <x:c r="Z2096" s="16" t="n">
        <x:v>0</x:v>
      </x:c>
      <x:c r="AA2096" s="16" t="n">
        <x:v>3</x:v>
      </x:c>
      <x:c r="AB2096" s="16" t="n">
        <x:v>11</x:v>
      </x:c>
      <x:c r="AC2096" s="16" t="n">
        <x:v>0</x:v>
      </x:c>
      <x:c r="AD2096" s="21" t="n">
        <x:f>IF(E2096="",MEDIAN($E$2:$E$2237),E2096)</x:f>
        <x:v>54252</x:v>
      </x:c>
      <x:c r="AE2096" s="17" t="n">
        <x:f>2014-B2096</x:f>
        <x:v>58</x:v>
      </x:c>
      <x:c r="AF2096" s="17" t="n">
        <x:f>F2096+G2096</x:f>
        <x:v>2</x:v>
      </x:c>
      <x:c r="AG2096" s="21" t="n">
        <x:f>SUM(J2096:O2096)</x:f>
        <x:v>264</x:v>
      </x:c>
      <x:c r="AH2096" s="17" t="n">
        <x:f>SUM(Q2096:S2096)</x:f>
        <x:v>10</x:v>
      </x:c>
      <x:c r="AI2096" s="17" t="n">
        <x:f>SUM(U2096:Y2096)</x:f>
        <x:v>0</x:v>
      </x:c>
      <x:c r="AJ2096" s="17" t="str">
        <x:f>IF(AE2096&lt;=34,"≤34",IF(AE2096&lt;=44,"35–44",IF(AE2096&lt;=54,"45–54",IF(AE2096&lt;=64,"55–64","65+"))))</x:f>
        <x:v>55–64</x:v>
      </x:c>
      <x:c r="AK2096" s="17" t="str">
        <x:f>IF(AG2096&gt;=1000,"High Value",IF(AG2096&gt;=300,"Mid Value","Low Value"))</x:f>
        <x:v>Low Value</x:v>
      </x:c>
      <x:c r="AL2096" s="17" t="str">
        <x:f>IF(AND(AI2096&gt;=1,I2096&lt;=50),"Priority 1",IF(AND(AG2096&gt;=1000,I2096&lt;=60),"Priority 2",IF(I2096&lt;=30,"Priority 3","Nurture")))</x:f>
        <x:v>Priority 3</x:v>
      </x:c>
    </x:row>
    <x:row r="2097">
      <x:c r="A2097" s="16" t="n">
        <x:v>1103</x:v>
      </x:c>
      <x:c r="B2097" s="16" t="n">
        <x:v>1976</x:v>
      </x:c>
      <x:c r="C2097" s="16" t="str">
        <x:v>Master</x:v>
      </x:c>
      <x:c r="D2097" s="16" t="str">
        <x:v>Married</x:v>
      </x:c>
      <x:c r="E2097" s="16" t="n">
        <x:v>81929</x:v>
      </x:c>
      <x:c r="F2097" s="16" t="n">
        <x:v>1</x:v>
      </x:c>
      <x:c r="G2097" s="16" t="n">
        <x:v>0</x:v>
      </x:c>
      <x:c r="H2097" s="16" t="str">
        <x:v>29-09-2012</x:v>
      </x:c>
      <x:c r="I2097" s="16" t="n">
        <x:v>60</x:v>
      </x:c>
      <x:c r="J2097" s="16" t="n">
        <x:v>1486</x:v>
      </x:c>
      <x:c r="K2097" s="16" t="n">
        <x:v>55</x:v>
      </x:c>
      <x:c r="L2097" s="16" t="n">
        <x:v>278</x:v>
      </x:c>
      <x:c r="M2097" s="16" t="n">
        <x:v>49</x:v>
      </x:c>
      <x:c r="N2097" s="16" t="n">
        <x:v>0</x:v>
      </x:c>
      <x:c r="O2097" s="16" t="n">
        <x:v>185</x:v>
      </x:c>
      <x:c r="P2097" s="16" t="n">
        <x:v>2</x:v>
      </x:c>
      <x:c r="Q2097" s="16" t="n">
        <x:v>4</x:v>
      </x:c>
      <x:c r="R2097" s="16" t="n">
        <x:v>4</x:v>
      </x:c>
      <x:c r="S2097" s="16" t="n">
        <x:v>10</x:v>
      </x:c>
      <x:c r="T2097" s="16" t="n">
        <x:v>6</x:v>
      </x:c>
      <x:c r="U2097" s="16" t="n">
        <x:v>1</x:v>
      </x:c>
      <x:c r="V2097" s="16" t="n">
        <x:v>0</x:v>
      </x:c>
      <x:c r="W2097" s="16" t="n">
        <x:v>1</x:v>
      </x:c>
      <x:c r="X2097" s="16" t="n">
        <x:v>0</x:v>
      </x:c>
      <x:c r="Y2097" s="16" t="n">
        <x:v>0</x:v>
      </x:c>
      <x:c r="Z2097" s="16" t="n">
        <x:v>0</x:v>
      </x:c>
      <x:c r="AA2097" s="16" t="n">
        <x:v>3</x:v>
      </x:c>
      <x:c r="AB2097" s="16" t="n">
        <x:v>11</x:v>
      </x:c>
      <x:c r="AC2097" s="16" t="n">
        <x:v>1</x:v>
      </x:c>
      <x:c r="AD2097" s="21" t="n">
        <x:f>IF(E2097="",MEDIAN($E$2:$E$2237),E2097)</x:f>
        <x:v>81929</x:v>
      </x:c>
      <x:c r="AE2097" s="17" t="n">
        <x:f>2014-B2097</x:f>
        <x:v>38</x:v>
      </x:c>
      <x:c r="AF2097" s="17" t="n">
        <x:f>F2097+G2097</x:f>
        <x:v>1</x:v>
      </x:c>
      <x:c r="AG2097" s="21" t="n">
        <x:f>SUM(J2097:O2097)</x:f>
        <x:v>2053</x:v>
      </x:c>
      <x:c r="AH2097" s="17" t="n">
        <x:f>SUM(Q2097:S2097)</x:f>
        <x:v>18</x:v>
      </x:c>
      <x:c r="AI2097" s="17" t="n">
        <x:f>SUM(U2097:Y2097)</x:f>
        <x:v>2</x:v>
      </x:c>
      <x:c r="AJ2097" s="17" t="str">
        <x:f>IF(AE2097&lt;=34,"≤34",IF(AE2097&lt;=44,"35–44",IF(AE2097&lt;=54,"45–54",IF(AE2097&lt;=64,"55–64","65+"))))</x:f>
        <x:v>35–44</x:v>
      </x:c>
      <x:c r="AK2097" s="17" t="str">
        <x:f>IF(AG2097&gt;=1000,"High Value",IF(AG2097&gt;=300,"Mid Value","Low Value"))</x:f>
        <x:v>High Value</x:v>
      </x:c>
      <x:c r="AL2097" s="17" t="str">
        <x:f>IF(AND(AI2097&gt;=1,I2097&lt;=50),"Priority 1",IF(AND(AG2097&gt;=1000,I2097&lt;=60),"Priority 2",IF(I2097&lt;=30,"Priority 3","Nurture")))</x:f>
        <x:v>Priority 2</x:v>
      </x:c>
    </x:row>
    <x:row r="2098">
      <x:c r="A2098" s="16" t="n">
        <x:v>3422</x:v>
      </x:c>
      <x:c r="B2098" s="16" t="n">
        <x:v>1975</x:v>
      </x:c>
      <x:c r="C2098" s="16" t="str">
        <x:v>Graduation</x:v>
      </x:c>
      <x:c r="D2098" s="16" t="str">
        <x:v>Married</x:v>
      </x:c>
      <x:c r="E2098" s="16" t="n">
        <x:v>76068</x:v>
      </x:c>
      <x:c r="F2098" s="16" t="n">
        <x:v>0</x:v>
      </x:c>
      <x:c r="G2098" s="16" t="n">
        <x:v>1</x:v>
      </x:c>
      <x:c r="H2098" s="16" t="str">
        <x:v>29-11-2012</x:v>
      </x:c>
      <x:c r="I2098" s="16" t="n">
        <x:v>67</x:v>
      </x:c>
      <x:c r="J2098" s="16" t="n">
        <x:v>1115</x:v>
      </x:c>
      <x:c r="K2098" s="16" t="n">
        <x:v>12</x:v>
      </x:c>
      <x:c r="L2098" s="16" t="n">
        <x:v>128</x:v>
      </x:c>
      <x:c r="M2098" s="16" t="n">
        <x:v>33</x:v>
      </x:c>
      <x:c r="N2098" s="16" t="n">
        <x:v>12</x:v>
      </x:c>
      <x:c r="O2098" s="16" t="n">
        <x:v>76</x:v>
      </x:c>
      <x:c r="P2098" s="16" t="n">
        <x:v>1</x:v>
      </x:c>
      <x:c r="Q2098" s="16" t="n">
        <x:v>2</x:v>
      </x:c>
      <x:c r="R2098" s="16" t="n">
        <x:v>3</x:v>
      </x:c>
      <x:c r="S2098" s="16" t="n">
        <x:v>4</x:v>
      </x:c>
      <x:c r="T2098" s="16" t="n">
        <x:v>6</x:v>
      </x:c>
      <x:c r="U2098" s="16" t="n">
        <x:v>0</x:v>
      </x:c>
      <x:c r="V2098" s="16" t="n">
        <x:v>1</x:v>
      </x:c>
      <x:c r="W2098" s="16" t="n">
        <x:v>0</x:v>
      </x:c>
      <x:c r="X2098" s="16" t="n">
        <x:v>0</x:v>
      </x:c>
      <x:c r="Y2098" s="16" t="n">
        <x:v>1</x:v>
      </x:c>
      <x:c r="Z2098" s="16" t="n">
        <x:v>0</x:v>
      </x:c>
      <x:c r="AA2098" s="16" t="n">
        <x:v>3</x:v>
      </x:c>
      <x:c r="AB2098" s="16" t="n">
        <x:v>11</x:v>
      </x:c>
      <x:c r="AC2098" s="16" t="n">
        <x:v>0</x:v>
      </x:c>
      <x:c r="AD2098" s="21" t="n">
        <x:f>IF(E2098="",MEDIAN($E$2:$E$2237),E2098)</x:f>
        <x:v>76068</x:v>
      </x:c>
      <x:c r="AE2098" s="17" t="n">
        <x:f>2014-B2098</x:f>
        <x:v>39</x:v>
      </x:c>
      <x:c r="AF2098" s="17" t="n">
        <x:f>F2098+G2098</x:f>
        <x:v>1</x:v>
      </x:c>
      <x:c r="AG2098" s="21" t="n">
        <x:f>SUM(J2098:O2098)</x:f>
        <x:v>1376</x:v>
      </x:c>
      <x:c r="AH2098" s="17" t="n">
        <x:f>SUM(Q2098:S2098)</x:f>
        <x:v>9</x:v>
      </x:c>
      <x:c r="AI2098" s="17" t="n">
        <x:f>SUM(U2098:Y2098)</x:f>
        <x:v>2</x:v>
      </x:c>
      <x:c r="AJ2098" s="17" t="str">
        <x:f>IF(AE2098&lt;=34,"≤34",IF(AE2098&lt;=44,"35–44",IF(AE2098&lt;=54,"45–54",IF(AE2098&lt;=64,"55–64","65+"))))</x:f>
        <x:v>35–44</x:v>
      </x:c>
      <x:c r="AK2098" s="17" t="str">
        <x:f>IF(AG2098&gt;=1000,"High Value",IF(AG2098&gt;=300,"Mid Value","Low Value"))</x:f>
        <x:v>High Value</x:v>
      </x:c>
      <x:c r="AL2098" s="17" t="str">
        <x:f>IF(AND(AI2098&gt;=1,I2098&lt;=50),"Priority 1",IF(AND(AG2098&gt;=1000,I2098&lt;=60),"Priority 2",IF(I2098&lt;=30,"Priority 3","Nurture")))</x:f>
        <x:v>Nurture</x:v>
      </x:c>
    </x:row>
    <x:row r="2099">
      <x:c r="A2099" s="16" t="n">
        <x:v>1055</x:v>
      </x:c>
      <x:c r="B2099" s="16" t="n">
        <x:v>1976</x:v>
      </x:c>
      <x:c r="C2099" s="16" t="str">
        <x:v>Master</x:v>
      </x:c>
      <x:c r="D2099" s="16" t="str">
        <x:v>Married</x:v>
      </x:c>
      <x:c r="E2099" s="16" t="n">
        <x:v>53204</x:v>
      </x:c>
      <x:c r="F2099" s="16" t="n">
        <x:v>1</x:v>
      </x:c>
      <x:c r="G2099" s="16" t="n">
        <x:v>1</x:v>
      </x:c>
      <x:c r="H2099" s="16" t="str">
        <x:v>20-03-2014</x:v>
      </x:c>
      <x:c r="I2099" s="16" t="n">
        <x:v>40</x:v>
      </x:c>
      <x:c r="J2099" s="16" t="n">
        <x:v>29</x:v>
      </x:c>
      <x:c r="K2099" s="16" t="n">
        <x:v>0</x:v>
      </x:c>
      <x:c r="L2099" s="16" t="n">
        <x:v>8</x:v>
      </x:c>
      <x:c r="M2099" s="16" t="n">
        <x:v>2</x:v>
      </x:c>
      <x:c r="N2099" s="16" t="n">
        <x:v>0</x:v>
      </x:c>
      <x:c r="O2099" s="16" t="n">
        <x:v>6</x:v>
      </x:c>
      <x:c r="P2099" s="16" t="n">
        <x:v>1</x:v>
      </x:c>
      <x:c r="Q2099" s="16" t="n">
        <x:v>1</x:v>
      </x:c>
      <x:c r="R2099" s="16" t="n">
        <x:v>0</x:v>
      </x:c>
      <x:c r="S2099" s="16" t="n">
        <x:v>3</x:v>
      </x:c>
      <x:c r="T2099" s="16" t="n">
        <x:v>4</x:v>
      </x:c>
      <x:c r="U2099" s="16" t="n">
        <x:v>0</x:v>
      </x:c>
      <x:c r="V2099" s="16" t="n">
        <x:v>0</x:v>
      </x:c>
      <x:c r="W2099" s="16" t="n">
        <x:v>0</x:v>
      </x:c>
      <x:c r="X2099" s="16" t="n">
        <x:v>0</x:v>
      </x:c>
      <x:c r="Y2099" s="16" t="n">
        <x:v>0</x:v>
      </x:c>
      <x:c r="Z2099" s="16" t="n">
        <x:v>0</x:v>
      </x:c>
      <x:c r="AA2099" s="16" t="n">
        <x:v>3</x:v>
      </x:c>
      <x:c r="AB2099" s="16" t="n">
        <x:v>11</x:v>
      </x:c>
      <x:c r="AC2099" s="16" t="n">
        <x:v>0</x:v>
      </x:c>
      <x:c r="AD2099" s="21" t="n">
        <x:f>IF(E2099="",MEDIAN($E$2:$E$2237),E2099)</x:f>
        <x:v>53204</x:v>
      </x:c>
      <x:c r="AE2099" s="17" t="n">
        <x:f>2014-B2099</x:f>
        <x:v>38</x:v>
      </x:c>
      <x:c r="AF2099" s="17" t="n">
        <x:f>F2099+G2099</x:f>
        <x:v>2</x:v>
      </x:c>
      <x:c r="AG2099" s="21" t="n">
        <x:f>SUM(J2099:O2099)</x:f>
        <x:v>45</x:v>
      </x:c>
      <x:c r="AH2099" s="17" t="n">
        <x:f>SUM(Q2099:S2099)</x:f>
        <x:v>4</x:v>
      </x:c>
      <x:c r="AI2099" s="17" t="n">
        <x:f>SUM(U2099:Y2099)</x:f>
        <x:v>0</x:v>
      </x:c>
      <x:c r="AJ2099" s="17" t="str">
        <x:f>IF(AE2099&lt;=34,"≤34",IF(AE2099&lt;=44,"35–44",IF(AE2099&lt;=54,"45–54",IF(AE2099&lt;=64,"55–64","65+"))))</x:f>
        <x:v>35–44</x:v>
      </x:c>
      <x:c r="AK2099" s="17" t="str">
        <x:f>IF(AG2099&gt;=1000,"High Value",IF(AG2099&gt;=300,"Mid Value","Low Value"))</x:f>
        <x:v>Low Value</x:v>
      </x:c>
      <x:c r="AL2099" s="17" t="str">
        <x:f>IF(AND(AI2099&gt;=1,I2099&lt;=50),"Priority 1",IF(AND(AG2099&gt;=1000,I2099&lt;=60),"Priority 2",IF(I2099&lt;=30,"Priority 3","Nurture")))</x:f>
        <x:v>Nurture</x:v>
      </x:c>
    </x:row>
    <x:row r="2100">
      <x:c r="A2100" s="16" t="n">
        <x:v>6544</x:v>
      </x:c>
      <x:c r="B2100" s="16" t="n">
        <x:v>1949</x:v>
      </x:c>
      <x:c r="C2100" s="16" t="str">
        <x:v>PhD</x:v>
      </x:c>
      <x:c r="D2100" s="16" t="str">
        <x:v>Together</x:v>
      </x:c>
      <x:c r="E2100" s="16" t="n">
        <x:v>67911</x:v>
      </x:c>
      <x:c r="F2100" s="16" t="n">
        <x:v>0</x:v>
      </x:c>
      <x:c r="G2100" s="16" t="n">
        <x:v>1</x:v>
      </x:c>
      <x:c r="H2100" s="16" t="str">
        <x:v>22-05-2014</x:v>
      </x:c>
      <x:c r="I2100" s="16" t="n">
        <x:v>63</x:v>
      </x:c>
      <x:c r="J2100" s="16" t="n">
        <x:v>529</x:v>
      </x:c>
      <x:c r="K2100" s="16" t="n">
        <x:v>0</x:v>
      </x:c>
      <x:c r="L2100" s="16" t="n">
        <x:v>356</x:v>
      </x:c>
      <x:c r="M2100" s="16" t="n">
        <x:v>63</x:v>
      </x:c>
      <x:c r="N2100" s="16" t="n">
        <x:v>28</x:v>
      </x:c>
      <x:c r="O2100" s="16" t="n">
        <x:v>0</x:v>
      </x:c>
      <x:c r="P2100" s="16" t="n">
        <x:v>3</x:v>
      </x:c>
      <x:c r="Q2100" s="16" t="n">
        <x:v>6</x:v>
      </x:c>
      <x:c r="R2100" s="16" t="n">
        <x:v>7</x:v>
      </x:c>
      <x:c r="S2100" s="16" t="n">
        <x:v>11</x:v>
      </x:c>
      <x:c r="T2100" s="16" t="n">
        <x:v>3</x:v>
      </x:c>
      <x:c r="U2100" s="16" t="n">
        <x:v>0</x:v>
      </x:c>
      <x:c r="V2100" s="16" t="n">
        <x:v>0</x:v>
      </x:c>
      <x:c r="W2100" s="16" t="n">
        <x:v>0</x:v>
      </x:c>
      <x:c r="X2100" s="16" t="n">
        <x:v>0</x:v>
      </x:c>
      <x:c r="Y2100" s="16" t="n">
        <x:v>0</x:v>
      </x:c>
      <x:c r="Z2100" s="16" t="n">
        <x:v>0</x:v>
      </x:c>
      <x:c r="AA2100" s="16" t="n">
        <x:v>3</x:v>
      </x:c>
      <x:c r="AB2100" s="16" t="n">
        <x:v>11</x:v>
      </x:c>
      <x:c r="AC2100" s="16" t="n">
        <x:v>0</x:v>
      </x:c>
      <x:c r="AD2100" s="21" t="n">
        <x:f>IF(E2100="",MEDIAN($E$2:$E$2237),E2100)</x:f>
        <x:v>67911</x:v>
      </x:c>
      <x:c r="AE2100" s="17" t="n">
        <x:f>2014-B2100</x:f>
        <x:v>65</x:v>
      </x:c>
      <x:c r="AF2100" s="17" t="n">
        <x:f>F2100+G2100</x:f>
        <x:v>1</x:v>
      </x:c>
      <x:c r="AG2100" s="21" t="n">
        <x:f>SUM(J2100:O2100)</x:f>
        <x:v>976</x:v>
      </x:c>
      <x:c r="AH2100" s="17" t="n">
        <x:f>SUM(Q2100:S2100)</x:f>
        <x:v>24</x:v>
      </x:c>
      <x:c r="AI2100" s="17" t="n">
        <x:f>SUM(U2100:Y2100)</x:f>
        <x:v>0</x:v>
      </x:c>
      <x:c r="AJ2100" s="17" t="str">
        <x:f>IF(AE2100&lt;=34,"≤34",IF(AE2100&lt;=44,"35–44",IF(AE2100&lt;=54,"45–54",IF(AE2100&lt;=64,"55–64","65+"))))</x:f>
        <x:v>65+</x:v>
      </x:c>
      <x:c r="AK2100" s="17" t="str">
        <x:f>IF(AG2100&gt;=1000,"High Value",IF(AG2100&gt;=300,"Mid Value","Low Value"))</x:f>
        <x:v>Mid Value</x:v>
      </x:c>
      <x:c r="AL2100" s="17" t="str">
        <x:f>IF(AND(AI2100&gt;=1,I2100&lt;=50),"Priority 1",IF(AND(AG2100&gt;=1000,I2100&lt;=60),"Priority 2",IF(I2100&lt;=30,"Priority 3","Nurture")))</x:f>
        <x:v>Nurture</x:v>
      </x:c>
    </x:row>
    <x:row r="2101">
      <x:c r="A2101" s="16" t="n">
        <x:v>1241</x:v>
      </x:c>
      <x:c r="B2101" s="16" t="n">
        <x:v>1984</x:v>
      </x:c>
      <x:c r="C2101" s="16" t="str">
        <x:v>2n Cycle</x:v>
      </x:c>
      <x:c r="D2101" s="16" t="str">
        <x:v>Married</x:v>
      </x:c>
      <x:c r="E2101" s="16" t="n">
        <x:v>14796</x:v>
      </x:c>
      <x:c r="F2101" s="16" t="n">
        <x:v>1</x:v>
      </x:c>
      <x:c r="G2101" s="16" t="n">
        <x:v>0</x:v>
      </x:c>
      <x:c r="H2101" s="16" t="str">
        <x:v>17-09-2012</x:v>
      </x:c>
      <x:c r="I2101" s="16" t="n">
        <x:v>1</x:v>
      </x:c>
      <x:c r="J2101" s="16" t="n">
        <x:v>13</x:v>
      </x:c>
      <x:c r="K2101" s="16" t="n">
        <x:v>3</x:v>
      </x:c>
      <x:c r="L2101" s="16" t="n">
        <x:v>8</x:v>
      </x:c>
      <x:c r="M2101" s="16" t="n">
        <x:v>7</x:v>
      </x:c>
      <x:c r="N2101" s="16" t="n">
        <x:v>4</x:v>
      </x:c>
      <x:c r="O2101" s="16" t="n">
        <x:v>16</x:v>
      </x:c>
      <x:c r="P2101" s="16" t="n">
        <x:v>2</x:v>
      </x:c>
      <x:c r="Q2101" s="16" t="n">
        <x:v>1</x:v>
      </x:c>
      <x:c r="R2101" s="16" t="n">
        <x:v>0</x:v>
      </x:c>
      <x:c r="S2101" s="16" t="n">
        <x:v>3</x:v>
      </x:c>
      <x:c r="T2101" s="16" t="n">
        <x:v>9</x:v>
      </x:c>
      <x:c r="U2101" s="16" t="n">
        <x:v>0</x:v>
      </x:c>
      <x:c r="V2101" s="16" t="n">
        <x:v>0</x:v>
      </x:c>
      <x:c r="W2101" s="16" t="n">
        <x:v>0</x:v>
      </x:c>
      <x:c r="X2101" s="16" t="n">
        <x:v>0</x:v>
      </x:c>
      <x:c r="Y2101" s="16" t="n">
        <x:v>0</x:v>
      </x:c>
      <x:c r="Z2101" s="16" t="n">
        <x:v>0</x:v>
      </x:c>
      <x:c r="AA2101" s="16" t="n">
        <x:v>3</x:v>
      </x:c>
      <x:c r="AB2101" s="16" t="n">
        <x:v>11</x:v>
      </x:c>
      <x:c r="AC2101" s="16" t="n">
        <x:v>1</x:v>
      </x:c>
      <x:c r="AD2101" s="21" t="n">
        <x:f>IF(E2101="",MEDIAN($E$2:$E$2237),E2101)</x:f>
        <x:v>14796</x:v>
      </x:c>
      <x:c r="AE2101" s="17" t="n">
        <x:f>2014-B2101</x:f>
        <x:v>30</x:v>
      </x:c>
      <x:c r="AF2101" s="17" t="n">
        <x:f>F2101+G2101</x:f>
        <x:v>1</x:v>
      </x:c>
      <x:c r="AG2101" s="21" t="n">
        <x:f>SUM(J2101:O2101)</x:f>
        <x:v>51</x:v>
      </x:c>
      <x:c r="AH2101" s="17" t="n">
        <x:f>SUM(Q2101:S2101)</x:f>
        <x:v>4</x:v>
      </x:c>
      <x:c r="AI2101" s="17" t="n">
        <x:f>SUM(U2101:Y2101)</x:f>
        <x:v>0</x:v>
      </x:c>
      <x:c r="AJ2101" s="17" t="str">
        <x:f>IF(AE2101&lt;=34,"≤34",IF(AE2101&lt;=44,"35–44",IF(AE2101&lt;=54,"45–54",IF(AE2101&lt;=64,"55–64","65+"))))</x:f>
        <x:v>≤34</x:v>
      </x:c>
      <x:c r="AK2101" s="17" t="str">
        <x:f>IF(AG2101&gt;=1000,"High Value",IF(AG2101&gt;=300,"Mid Value","Low Value"))</x:f>
        <x:v>Low Value</x:v>
      </x:c>
      <x:c r="AL2101" s="17" t="str">
        <x:f>IF(AND(AI2101&gt;=1,I2101&lt;=50),"Priority 1",IF(AND(AG2101&gt;=1000,I2101&lt;=60),"Priority 2",IF(I2101&lt;=30,"Priority 3","Nurture")))</x:f>
        <x:v>Priority 3</x:v>
      </x:c>
    </x:row>
    <x:row r="2102">
      <x:c r="A2102" s="16" t="n">
        <x:v>2909</x:v>
      </x:c>
      <x:c r="B2102" s="16" t="n">
        <x:v>1974</x:v>
      </x:c>
      <x:c r="C2102" s="16" t="str">
        <x:v>PhD</x:v>
      </x:c>
      <x:c r="D2102" s="16" t="str">
        <x:v>Married</x:v>
      </x:c>
      <x:c r="E2102" s="16" t="n">
        <x:v>78128</x:v>
      </x:c>
      <x:c r="F2102" s="16" t="n">
        <x:v>0</x:v>
      </x:c>
      <x:c r="G2102" s="16" t="n">
        <x:v>1</x:v>
      </x:c>
      <x:c r="H2102" s="16" t="str">
        <x:v>19-02-2014</x:v>
      </x:c>
      <x:c r="I2102" s="16" t="n">
        <x:v>89</x:v>
      </x:c>
      <x:c r="J2102" s="16" t="n">
        <x:v>934</x:v>
      </x:c>
      <x:c r="K2102" s="16" t="n">
        <x:v>24</x:v>
      </x:c>
      <x:c r="L2102" s="16" t="n">
        <x:v>230</x:v>
      </x:c>
      <x:c r="M2102" s="16" t="n">
        <x:v>16</x:v>
      </x:c>
      <x:c r="N2102" s="16" t="n">
        <x:v>24</x:v>
      </x:c>
      <x:c r="O2102" s="16" t="n">
        <x:v>36</x:v>
      </x:c>
      <x:c r="P2102" s="16" t="n">
        <x:v>2</x:v>
      </x:c>
      <x:c r="Q2102" s="16" t="n">
        <x:v>8</x:v>
      </x:c>
      <x:c r="R2102" s="16" t="n">
        <x:v>4</x:v>
      </x:c>
      <x:c r="S2102" s="16" t="n">
        <x:v>6</x:v>
      </x:c>
      <x:c r="T2102" s="16" t="n">
        <x:v>3</x:v>
      </x:c>
      <x:c r="U2102" s="16" t="n">
        <x:v>0</x:v>
      </x:c>
      <x:c r="V2102" s="16" t="n">
        <x:v>1</x:v>
      </x:c>
      <x:c r="W2102" s="16" t="n">
        <x:v>1</x:v>
      </x:c>
      <x:c r="X2102" s="16" t="n">
        <x:v>0</x:v>
      </x:c>
      <x:c r="Y2102" s="16" t="n">
        <x:v>0</x:v>
      </x:c>
      <x:c r="Z2102" s="16" t="n">
        <x:v>0</x:v>
      </x:c>
      <x:c r="AA2102" s="16" t="n">
        <x:v>3</x:v>
      </x:c>
      <x:c r="AB2102" s="16" t="n">
        <x:v>11</x:v>
      </x:c>
      <x:c r="AC2102" s="16" t="n">
        <x:v>0</x:v>
      </x:c>
      <x:c r="AD2102" s="21" t="n">
        <x:f>IF(E2102="",MEDIAN($E$2:$E$2237),E2102)</x:f>
        <x:v>78128</x:v>
      </x:c>
      <x:c r="AE2102" s="17" t="n">
        <x:f>2014-B2102</x:f>
        <x:v>40</x:v>
      </x:c>
      <x:c r="AF2102" s="17" t="n">
        <x:f>F2102+G2102</x:f>
        <x:v>1</x:v>
      </x:c>
      <x:c r="AG2102" s="21" t="n">
        <x:f>SUM(J2102:O2102)</x:f>
        <x:v>1264</x:v>
      </x:c>
      <x:c r="AH2102" s="17" t="n">
        <x:f>SUM(Q2102:S2102)</x:f>
        <x:v>18</x:v>
      </x:c>
      <x:c r="AI2102" s="17" t="n">
        <x:f>SUM(U2102:Y2102)</x:f>
        <x:v>2</x:v>
      </x:c>
      <x:c r="AJ2102" s="17" t="str">
        <x:f>IF(AE2102&lt;=34,"≤34",IF(AE2102&lt;=44,"35–44",IF(AE2102&lt;=54,"45–54",IF(AE2102&lt;=64,"55–64","65+"))))</x:f>
        <x:v>35–44</x:v>
      </x:c>
      <x:c r="AK2102" s="17" t="str">
        <x:f>IF(AG2102&gt;=1000,"High Value",IF(AG2102&gt;=300,"Mid Value","Low Value"))</x:f>
        <x:v>High Value</x:v>
      </x:c>
      <x:c r="AL2102" s="17" t="str">
        <x:f>IF(AND(AI2102&gt;=1,I2102&lt;=50),"Priority 1",IF(AND(AG2102&gt;=1000,I2102&lt;=60),"Priority 2",IF(I2102&lt;=30,"Priority 3","Nurture")))</x:f>
        <x:v>Nurture</x:v>
      </x:c>
    </x:row>
    <x:row r="2103">
      <x:c r="A2103" s="16" t="n">
        <x:v>5802</x:v>
      </x:c>
      <x:c r="B2103" s="16" t="n">
        <x:v>1972</x:v>
      </x:c>
      <x:c r="C2103" s="16" t="str">
        <x:v>Basic</x:v>
      </x:c>
      <x:c r="D2103" s="16" t="str">
        <x:v>Married</x:v>
      </x:c>
      <x:c r="E2103" s="16" t="n">
        <x:v>14188</x:v>
      </x:c>
      <x:c r="F2103" s="16" t="n">
        <x:v>0</x:v>
      </x:c>
      <x:c r="G2103" s="16" t="n">
        <x:v>0</x:v>
      </x:c>
      <x:c r="H2103" s="16" t="str">
        <x:v>28-02-2013</x:v>
      </x:c>
      <x:c r="I2103" s="16" t="n">
        <x:v>40</x:v>
      </x:c>
      <x:c r="J2103" s="16" t="n">
        <x:v>2</x:v>
      </x:c>
      <x:c r="K2103" s="16" t="n">
        <x:v>7</x:v>
      </x:c>
      <x:c r="L2103" s="16" t="n">
        <x:v>11</x:v>
      </x:c>
      <x:c r="M2103" s="16" t="n">
        <x:v>16</x:v>
      </x:c>
      <x:c r="N2103" s="16" t="n">
        <x:v>12</x:v>
      </x:c>
      <x:c r="O2103" s="16" t="n">
        <x:v>27</x:v>
      </x:c>
      <x:c r="P2103" s="16" t="n">
        <x:v>1</x:v>
      </x:c>
      <x:c r="Q2103" s="16" t="n">
        <x:v>2</x:v>
      </x:c>
      <x:c r="R2103" s="16" t="n">
        <x:v>0</x:v>
      </x:c>
      <x:c r="S2103" s="16" t="n">
        <x:v>4</x:v>
      </x:c>
      <x:c r="T2103" s="16" t="n">
        <x:v>6</x:v>
      </x:c>
      <x:c r="U2103" s="16" t="n">
        <x:v>0</x:v>
      </x:c>
      <x:c r="V2103" s="16" t="n">
        <x:v>0</x:v>
      </x:c>
      <x:c r="W2103" s="16" t="n">
        <x:v>0</x:v>
      </x:c>
      <x:c r="X2103" s="16" t="n">
        <x:v>0</x:v>
      </x:c>
      <x:c r="Y2103" s="16" t="n">
        <x:v>0</x:v>
      </x:c>
      <x:c r="Z2103" s="16" t="n">
        <x:v>0</x:v>
      </x:c>
      <x:c r="AA2103" s="16" t="n">
        <x:v>3</x:v>
      </x:c>
      <x:c r="AB2103" s="16" t="n">
        <x:v>11</x:v>
      </x:c>
      <x:c r="AC2103" s="16" t="n">
        <x:v>0</x:v>
      </x:c>
      <x:c r="AD2103" s="21" t="n">
        <x:f>IF(E2103="",MEDIAN($E$2:$E$2237),E2103)</x:f>
        <x:v>14188</x:v>
      </x:c>
      <x:c r="AE2103" s="17" t="n">
        <x:f>2014-B2103</x:f>
        <x:v>42</x:v>
      </x:c>
      <x:c r="AF2103" s="17" t="n">
        <x:f>F2103+G2103</x:f>
        <x:v>0</x:v>
      </x:c>
      <x:c r="AG2103" s="21" t="n">
        <x:f>SUM(J2103:O2103)</x:f>
        <x:v>75</x:v>
      </x:c>
      <x:c r="AH2103" s="17" t="n">
        <x:f>SUM(Q2103:S2103)</x:f>
        <x:v>6</x:v>
      </x:c>
      <x:c r="AI2103" s="17" t="n">
        <x:f>SUM(U2103:Y2103)</x:f>
        <x:v>0</x:v>
      </x:c>
      <x:c r="AJ2103" s="17" t="str">
        <x:f>IF(AE2103&lt;=34,"≤34",IF(AE2103&lt;=44,"35–44",IF(AE2103&lt;=54,"45–54",IF(AE2103&lt;=64,"55–64","65+"))))</x:f>
        <x:v>35–44</x:v>
      </x:c>
      <x:c r="AK2103" s="17" t="str">
        <x:f>IF(AG2103&gt;=1000,"High Value",IF(AG2103&gt;=300,"Mid Value","Low Value"))</x:f>
        <x:v>Low Value</x:v>
      </x:c>
      <x:c r="AL2103" s="17" t="str">
        <x:f>IF(AND(AI2103&gt;=1,I2103&lt;=50),"Priority 1",IF(AND(AG2103&gt;=1000,I2103&lt;=60),"Priority 2",IF(I2103&lt;=30,"Priority 3","Nurture")))</x:f>
        <x:v>Nurture</x:v>
      </x:c>
    </x:row>
    <x:row r="2104">
      <x:c r="A2104" s="16" t="n">
        <x:v>1407</x:v>
      </x:c>
      <x:c r="B2104" s="16" t="n">
        <x:v>1986</x:v>
      </x:c>
      <x:c r="C2104" s="16" t="str">
        <x:v>Basic</x:v>
      </x:c>
      <x:c r="D2104" s="16" t="str">
        <x:v>Married</x:v>
      </x:c>
      <x:c r="E2104" s="16" t="n">
        <x:v>20425</x:v>
      </x:c>
      <x:c r="F2104" s="16" t="n">
        <x:v>1</x:v>
      </x:c>
      <x:c r="G2104" s="16" t="n">
        <x:v>0</x:v>
      </x:c>
      <x:c r="H2104" s="16" t="str">
        <x:v>29-10-2012</x:v>
      </x:c>
      <x:c r="I2104" s="16" t="n">
        <x:v>5</x:v>
      </x:c>
      <x:c r="J2104" s="16" t="n">
        <x:v>4</x:v>
      </x:c>
      <x:c r="K2104" s="16" t="n">
        <x:v>12</x:v>
      </x:c>
      <x:c r="L2104" s="16" t="n">
        <x:v>5</x:v>
      </x:c>
      <x:c r="M2104" s="16" t="n">
        <x:v>3</x:v>
      </x:c>
      <x:c r="N2104" s="16" t="n">
        <x:v>16</x:v>
      </x:c>
      <x:c r="O2104" s="16" t="n">
        <x:v>17</x:v>
      </x:c>
      <x:c r="P2104" s="16" t="n">
        <x:v>2</x:v>
      </x:c>
      <x:c r="Q2104" s="16" t="n">
        <x:v>2</x:v>
      </x:c>
      <x:c r="R2104" s="16" t="n">
        <x:v>0</x:v>
      </x:c>
      <x:c r="S2104" s="16" t="n">
        <x:v>3</x:v>
      </x:c>
      <x:c r="T2104" s="16" t="n">
        <x:v>7</x:v>
      </x:c>
      <x:c r="U2104" s="16" t="n">
        <x:v>0</x:v>
      </x:c>
      <x:c r="V2104" s="16" t="n">
        <x:v>0</x:v>
      </x:c>
      <x:c r="W2104" s="16" t="n">
        <x:v>0</x:v>
      </x:c>
      <x:c r="X2104" s="16" t="n">
        <x:v>0</x:v>
      </x:c>
      <x:c r="Y2104" s="16" t="n">
        <x:v>0</x:v>
      </x:c>
      <x:c r="Z2104" s="16" t="n">
        <x:v>0</x:v>
      </x:c>
      <x:c r="AA2104" s="16" t="n">
        <x:v>3</x:v>
      </x:c>
      <x:c r="AB2104" s="16" t="n">
        <x:v>11</x:v>
      </x:c>
      <x:c r="AC2104" s="16" t="n">
        <x:v>0</x:v>
      </x:c>
      <x:c r="AD2104" s="21" t="n">
        <x:f>IF(E2104="",MEDIAN($E$2:$E$2237),E2104)</x:f>
        <x:v>20425</x:v>
      </x:c>
      <x:c r="AE2104" s="17" t="n">
        <x:f>2014-B2104</x:f>
        <x:v>28</x:v>
      </x:c>
      <x:c r="AF2104" s="17" t="n">
        <x:f>F2104+G2104</x:f>
        <x:v>1</x:v>
      </x:c>
      <x:c r="AG2104" s="21" t="n">
        <x:f>SUM(J2104:O2104)</x:f>
        <x:v>57</x:v>
      </x:c>
      <x:c r="AH2104" s="17" t="n">
        <x:f>SUM(Q2104:S2104)</x:f>
        <x:v>5</x:v>
      </x:c>
      <x:c r="AI2104" s="17" t="n">
        <x:f>SUM(U2104:Y2104)</x:f>
        <x:v>0</x:v>
      </x:c>
      <x:c r="AJ2104" s="17" t="str">
        <x:f>IF(AE2104&lt;=34,"≤34",IF(AE2104&lt;=44,"35–44",IF(AE2104&lt;=54,"45–54",IF(AE2104&lt;=64,"55–64","65+"))))</x:f>
        <x:v>≤34</x:v>
      </x:c>
      <x:c r="AK2104" s="17" t="str">
        <x:f>IF(AG2104&gt;=1000,"High Value",IF(AG2104&gt;=300,"Mid Value","Low Value"))</x:f>
        <x:v>Low Value</x:v>
      </x:c>
      <x:c r="AL2104" s="17" t="str">
        <x:f>IF(AND(AI2104&gt;=1,I2104&lt;=50),"Priority 1",IF(AND(AG2104&gt;=1000,I2104&lt;=60),"Priority 2",IF(I2104&lt;=30,"Priority 3","Nurture")))</x:f>
        <x:v>Priority 3</x:v>
      </x:c>
    </x:row>
    <x:row r="2105">
      <x:c r="A2105" s="16" t="n">
        <x:v>6183</x:v>
      </x:c>
      <x:c r="B2105" s="16" t="n">
        <x:v>1962</x:v>
      </x:c>
      <x:c r="C2105" s="16" t="str">
        <x:v>Master</x:v>
      </x:c>
      <x:c r="D2105" s="16" t="str">
        <x:v>Married</x:v>
      </x:c>
      <x:c r="E2105" s="16" t="n">
        <x:v>58646</x:v>
      </x:c>
      <x:c r="F2105" s="16" t="n">
        <x:v>0</x:v>
      </x:c>
      <x:c r="G2105" s="16" t="n">
        <x:v>1</x:v>
      </x:c>
      <x:c r="H2105" s="16" t="str">
        <x:v>10-06-2013</x:v>
      </x:c>
      <x:c r="I2105" s="16" t="n">
        <x:v>3</x:v>
      </x:c>
      <x:c r="J2105" s="16" t="n">
        <x:v>62</x:v>
      </x:c>
      <x:c r="K2105" s="16" t="n">
        <x:v>1</x:v>
      </x:c>
      <x:c r="L2105" s="16" t="n">
        <x:v>44</x:v>
      </x:c>
      <x:c r="M2105" s="16" t="n">
        <x:v>6</x:v>
      </x:c>
      <x:c r="N2105" s="16" t="n">
        <x:v>5</x:v>
      </x:c>
      <x:c r="O2105" s="16" t="n">
        <x:v>22</x:v>
      </x:c>
      <x:c r="P2105" s="16" t="n">
        <x:v>1</x:v>
      </x:c>
      <x:c r="Q2105" s="16" t="n">
        <x:v>2</x:v>
      </x:c>
      <x:c r="R2105" s="16" t="n">
        <x:v>1</x:v>
      </x:c>
      <x:c r="S2105" s="16" t="n">
        <x:v>4</x:v>
      </x:c>
      <x:c r="T2105" s="16" t="n">
        <x:v>4</x:v>
      </x:c>
      <x:c r="U2105" s="16" t="n">
        <x:v>0</x:v>
      </x:c>
      <x:c r="V2105" s="16" t="n">
        <x:v>0</x:v>
      </x:c>
      <x:c r="W2105" s="16" t="n">
        <x:v>0</x:v>
      </x:c>
      <x:c r="X2105" s="16" t="n">
        <x:v>0</x:v>
      </x:c>
      <x:c r="Y2105" s="16" t="n">
        <x:v>0</x:v>
      </x:c>
      <x:c r="Z2105" s="16" t="n">
        <x:v>0</x:v>
      </x:c>
      <x:c r="AA2105" s="16" t="n">
        <x:v>3</x:v>
      </x:c>
      <x:c r="AB2105" s="16" t="n">
        <x:v>11</x:v>
      </x:c>
      <x:c r="AC2105" s="16" t="n">
        <x:v>0</x:v>
      </x:c>
      <x:c r="AD2105" s="21" t="n">
        <x:f>IF(E2105="",MEDIAN($E$2:$E$2237),E2105)</x:f>
        <x:v>58646</x:v>
      </x:c>
      <x:c r="AE2105" s="17" t="n">
        <x:f>2014-B2105</x:f>
        <x:v>52</x:v>
      </x:c>
      <x:c r="AF2105" s="17" t="n">
        <x:f>F2105+G2105</x:f>
        <x:v>1</x:v>
      </x:c>
      <x:c r="AG2105" s="21" t="n">
        <x:f>SUM(J2105:O2105)</x:f>
        <x:v>140</x:v>
      </x:c>
      <x:c r="AH2105" s="17" t="n">
        <x:f>SUM(Q2105:S2105)</x:f>
        <x:v>7</x:v>
      </x:c>
      <x:c r="AI2105" s="17" t="n">
        <x:f>SUM(U2105:Y2105)</x:f>
        <x:v>0</x:v>
      </x:c>
      <x:c r="AJ2105" s="17" t="str">
        <x:f>IF(AE2105&lt;=34,"≤34",IF(AE2105&lt;=44,"35–44",IF(AE2105&lt;=54,"45–54",IF(AE2105&lt;=64,"55–64","65+"))))</x:f>
        <x:v>45–54</x:v>
      </x:c>
      <x:c r="AK2105" s="17" t="str">
        <x:f>IF(AG2105&gt;=1000,"High Value",IF(AG2105&gt;=300,"Mid Value","Low Value"))</x:f>
        <x:v>Low Value</x:v>
      </x:c>
      <x:c r="AL2105" s="17" t="str">
        <x:f>IF(AND(AI2105&gt;=1,I2105&lt;=50),"Priority 1",IF(AND(AG2105&gt;=1000,I2105&lt;=60),"Priority 2",IF(I2105&lt;=30,"Priority 3","Nurture")))</x:f>
        <x:v>Priority 3</x:v>
      </x:c>
    </x:row>
    <x:row r="2106">
      <x:c r="A2106" s="16" t="n">
        <x:v>340</x:v>
      </x:c>
      <x:c r="B2106" s="16" t="n">
        <x:v>1970</x:v>
      </x:c>
      <x:c r="C2106" s="16" t="str">
        <x:v>Graduation</x:v>
      </x:c>
      <x:c r="D2106" s="16" t="str">
        <x:v>Divorced</x:v>
      </x:c>
      <x:c r="E2106" s="16" t="n">
        <x:v>72967</x:v>
      </x:c>
      <x:c r="F2106" s="16" t="n">
        <x:v>0</x:v>
      </x:c>
      <x:c r="G2106" s="16" t="n">
        <x:v>1</x:v>
      </x:c>
      <x:c r="H2106" s="16" t="str">
        <x:v>15-12-2012</x:v>
      </x:c>
      <x:c r="I2106" s="16" t="n">
        <x:v>1</x:v>
      </x:c>
      <x:c r="J2106" s="16" t="n">
        <x:v>158</x:v>
      </x:c>
      <x:c r="K2106" s="16" t="n">
        <x:v>35</x:v>
      </x:c>
      <x:c r="L2106" s="16" t="n">
        <x:v>179</x:v>
      </x:c>
      <x:c r="M2106" s="16" t="n">
        <x:v>0</x:v>
      </x:c>
      <x:c r="N2106" s="16" t="n">
        <x:v>0</x:v>
      </x:c>
      <x:c r="O2106" s="16" t="n">
        <x:v>125</x:v>
      </x:c>
      <x:c r="P2106" s="16" t="n">
        <x:v>2</x:v>
      </x:c>
      <x:c r="Q2106" s="16" t="n">
        <x:v>7</x:v>
      </x:c>
      <x:c r="R2106" s="16" t="n">
        <x:v>2</x:v>
      </x:c>
      <x:c r="S2106" s="16" t="n">
        <x:v>8</x:v>
      </x:c>
      <x:c r="T2106" s="16" t="n">
        <x:v>5</x:v>
      </x:c>
      <x:c r="U2106" s="16" t="n">
        <x:v>1</x:v>
      </x:c>
      <x:c r="V2106" s="16" t="n">
        <x:v>0</x:v>
      </x:c>
      <x:c r="W2106" s="16" t="n">
        <x:v>0</x:v>
      </x:c>
      <x:c r="X2106" s="16" t="n">
        <x:v>0</x:v>
      </x:c>
      <x:c r="Y2106" s="16" t="n">
        <x:v>0</x:v>
      </x:c>
      <x:c r="Z2106" s="16" t="n">
        <x:v>0</x:v>
      </x:c>
      <x:c r="AA2106" s="16" t="n">
        <x:v>3</x:v>
      </x:c>
      <x:c r="AB2106" s="16" t="n">
        <x:v>11</x:v>
      </x:c>
      <x:c r="AC2106" s="16" t="n">
        <x:v>1</x:v>
      </x:c>
      <x:c r="AD2106" s="21" t="n">
        <x:f>IF(E2106="",MEDIAN($E$2:$E$2237),E2106)</x:f>
        <x:v>72967</x:v>
      </x:c>
      <x:c r="AE2106" s="17" t="n">
        <x:f>2014-B2106</x:f>
        <x:v>44</x:v>
      </x:c>
      <x:c r="AF2106" s="17" t="n">
        <x:f>F2106+G2106</x:f>
        <x:v>1</x:v>
      </x:c>
      <x:c r="AG2106" s="21" t="n">
        <x:f>SUM(J2106:O2106)</x:f>
        <x:v>497</x:v>
      </x:c>
      <x:c r="AH2106" s="17" t="n">
        <x:f>SUM(Q2106:S2106)</x:f>
        <x:v>17</x:v>
      </x:c>
      <x:c r="AI2106" s="17" t="n">
        <x:f>SUM(U2106:Y2106)</x:f>
        <x:v>1</x:v>
      </x:c>
      <x:c r="AJ2106" s="17" t="str">
        <x:f>IF(AE2106&lt;=34,"≤34",IF(AE2106&lt;=44,"35–44",IF(AE2106&lt;=54,"45–54",IF(AE2106&lt;=64,"55–64","65+"))))</x:f>
        <x:v>35–44</x:v>
      </x:c>
      <x:c r="AK2106" s="17" t="str">
        <x:f>IF(AG2106&gt;=1000,"High Value",IF(AG2106&gt;=300,"Mid Value","Low Value"))</x:f>
        <x:v>Mid Value</x:v>
      </x:c>
      <x:c r="AL2106" s="17" t="str">
        <x:f>IF(AND(AI2106&gt;=1,I2106&lt;=50),"Priority 1",IF(AND(AG2106&gt;=1000,I2106&lt;=60),"Priority 2",IF(I2106&lt;=30,"Priority 3","Nurture")))</x:f>
        <x:v>Priority 1</x:v>
      </x:c>
    </x:row>
    <x:row r="2107">
      <x:c r="A2107" s="16" t="n">
        <x:v>5991</x:v>
      </x:c>
      <x:c r="B2107" s="16" t="n">
        <x:v>1949</x:v>
      </x:c>
      <x:c r="C2107" s="16" t="str">
        <x:v>Master</x:v>
      </x:c>
      <x:c r="D2107" s="16" t="str">
        <x:v>Married</x:v>
      </x:c>
      <x:c r="E2107" s="16" t="n">
        <x:v>48150</x:v>
      </x:c>
      <x:c r="F2107" s="16" t="n">
        <x:v>0</x:v>
      </x:c>
      <x:c r="G2107" s="16" t="n">
        <x:v>1</x:v>
      </x:c>
      <x:c r="H2107" s="16" t="str">
        <x:v>08-06-2013</x:v>
      </x:c>
      <x:c r="I2107" s="16" t="n">
        <x:v>24</x:v>
      </x:c>
      <x:c r="J2107" s="16" t="n">
        <x:v>173</x:v>
      </x:c>
      <x:c r="K2107" s="16" t="n">
        <x:v>2</x:v>
      </x:c>
      <x:c r="L2107" s="16" t="n">
        <x:v>39</x:v>
      </x:c>
      <x:c r="M2107" s="16" t="n">
        <x:v>3</x:v>
      </x:c>
      <x:c r="N2107" s="16" t="n">
        <x:v>2</x:v>
      </x:c>
      <x:c r="O2107" s="16" t="n">
        <x:v>47</x:v>
      </x:c>
      <x:c r="P2107" s="16" t="n">
        <x:v>3</x:v>
      </x:c>
      <x:c r="Q2107" s="16" t="n">
        <x:v>5</x:v>
      </x:c>
      <x:c r="R2107" s="16" t="n">
        <x:v>1</x:v>
      </x:c>
      <x:c r="S2107" s="16" t="n">
        <x:v>4</x:v>
      </x:c>
      <x:c r="T2107" s="16" t="n">
        <x:v>7</x:v>
      </x:c>
      <x:c r="U2107" s="16" t="n">
        <x:v>0</x:v>
      </x:c>
      <x:c r="V2107" s="16" t="n">
        <x:v>0</x:v>
      </x:c>
      <x:c r="W2107" s="16" t="n">
        <x:v>0</x:v>
      </x:c>
      <x:c r="X2107" s="16" t="n">
        <x:v>0</x:v>
      </x:c>
      <x:c r="Y2107" s="16" t="n">
        <x:v>0</x:v>
      </x:c>
      <x:c r="Z2107" s="16" t="n">
        <x:v>0</x:v>
      </x:c>
      <x:c r="AA2107" s="16" t="n">
        <x:v>3</x:v>
      </x:c>
      <x:c r="AB2107" s="16" t="n">
        <x:v>11</x:v>
      </x:c>
      <x:c r="AC2107" s="16" t="n">
        <x:v>0</x:v>
      </x:c>
      <x:c r="AD2107" s="21" t="n">
        <x:f>IF(E2107="",MEDIAN($E$2:$E$2237),E2107)</x:f>
        <x:v>48150</x:v>
      </x:c>
      <x:c r="AE2107" s="17" t="n">
        <x:f>2014-B2107</x:f>
        <x:v>65</x:v>
      </x:c>
      <x:c r="AF2107" s="17" t="n">
        <x:f>F2107+G2107</x:f>
        <x:v>1</x:v>
      </x:c>
      <x:c r="AG2107" s="21" t="n">
        <x:f>SUM(J2107:O2107)</x:f>
        <x:v>266</x:v>
      </x:c>
      <x:c r="AH2107" s="17" t="n">
        <x:f>SUM(Q2107:S2107)</x:f>
        <x:v>10</x:v>
      </x:c>
      <x:c r="AI2107" s="17" t="n">
        <x:f>SUM(U2107:Y2107)</x:f>
        <x:v>0</x:v>
      </x:c>
      <x:c r="AJ2107" s="17" t="str">
        <x:f>IF(AE2107&lt;=34,"≤34",IF(AE2107&lt;=44,"35–44",IF(AE2107&lt;=54,"45–54",IF(AE2107&lt;=64,"55–64","65+"))))</x:f>
        <x:v>65+</x:v>
      </x:c>
      <x:c r="AK2107" s="17" t="str">
        <x:f>IF(AG2107&gt;=1000,"High Value",IF(AG2107&gt;=300,"Mid Value","Low Value"))</x:f>
        <x:v>Low Value</x:v>
      </x:c>
      <x:c r="AL2107" s="17" t="str">
        <x:f>IF(AND(AI2107&gt;=1,I2107&lt;=50),"Priority 1",IF(AND(AG2107&gt;=1000,I2107&lt;=60),"Priority 2",IF(I2107&lt;=30,"Priority 3","Nurture")))</x:f>
        <x:v>Priority 3</x:v>
      </x:c>
    </x:row>
    <x:row r="2108">
      <x:c r="A2108" s="16" t="n">
        <x:v>3104</x:v>
      </x:c>
      <x:c r="B2108" s="16" t="n">
        <x:v>1961</x:v>
      </x:c>
      <x:c r="C2108" s="16" t="str">
        <x:v>Graduation</x:v>
      </x:c>
      <x:c r="D2108" s="16" t="str">
        <x:v>Single</x:v>
      </x:c>
      <x:c r="E2108" s="16" t="n">
        <x:v>82332</x:v>
      </x:c>
      <x:c r="F2108" s="16" t="n">
        <x:v>0</x:v>
      </x:c>
      <x:c r="G2108" s="16" t="n">
        <x:v>0</x:v>
      </x:c>
      <x:c r="H2108" s="16" t="str">
        <x:v>17-09-2012</x:v>
      </x:c>
      <x:c r="I2108" s="16" t="n">
        <x:v>89</x:v>
      </x:c>
      <x:c r="J2108" s="16" t="n">
        <x:v>830</x:v>
      </x:c>
      <x:c r="K2108" s="16" t="n">
        <x:v>59</x:v>
      </x:c>
      <x:c r="L2108" s="16" t="n">
        <x:v>968</x:v>
      </x:c>
      <x:c r="M2108" s="16" t="n">
        <x:v>51</x:v>
      </x:c>
      <x:c r="N2108" s="16" t="n">
        <x:v>79</x:v>
      </x:c>
      <x:c r="O2108" s="16" t="n">
        <x:v>19</x:v>
      </x:c>
      <x:c r="P2108" s="16" t="n">
        <x:v>1</x:v>
      </x:c>
      <x:c r="Q2108" s="16" t="n">
        <x:v>5</x:v>
      </x:c>
      <x:c r="R2108" s="16" t="n">
        <x:v>3</x:v>
      </x:c>
      <x:c r="S2108" s="16" t="n">
        <x:v>12</x:v>
      </x:c>
      <x:c r="T2108" s="16" t="n">
        <x:v>2</x:v>
      </x:c>
      <x:c r="U2108" s="16" t="n">
        <x:v>0</x:v>
      </x:c>
      <x:c r="V2108" s="16" t="n">
        <x:v>0</x:v>
      </x:c>
      <x:c r="W2108" s="16" t="n">
        <x:v>1</x:v>
      </x:c>
      <x:c r="X2108" s="16" t="n">
        <x:v>0</x:v>
      </x:c>
      <x:c r="Y2108" s="16" t="n">
        <x:v>0</x:v>
      </x:c>
      <x:c r="Z2108" s="16" t="n">
        <x:v>0</x:v>
      </x:c>
      <x:c r="AA2108" s="16" t="n">
        <x:v>3</x:v>
      </x:c>
      <x:c r="AB2108" s="16" t="n">
        <x:v>11</x:v>
      </x:c>
      <x:c r="AC2108" s="16" t="n">
        <x:v>1</x:v>
      </x:c>
      <x:c r="AD2108" s="21" t="n">
        <x:f>IF(E2108="",MEDIAN($E$2:$E$2237),E2108)</x:f>
        <x:v>82332</x:v>
      </x:c>
      <x:c r="AE2108" s="17" t="n">
        <x:f>2014-B2108</x:f>
        <x:v>53</x:v>
      </x:c>
      <x:c r="AF2108" s="17" t="n">
        <x:f>F2108+G2108</x:f>
        <x:v>0</x:v>
      </x:c>
      <x:c r="AG2108" s="21" t="n">
        <x:f>SUM(J2108:O2108)</x:f>
        <x:v>2006</x:v>
      </x:c>
      <x:c r="AH2108" s="17" t="n">
        <x:f>SUM(Q2108:S2108)</x:f>
        <x:v>20</x:v>
      </x:c>
      <x:c r="AI2108" s="17" t="n">
        <x:f>SUM(U2108:Y2108)</x:f>
        <x:v>1</x:v>
      </x:c>
      <x:c r="AJ2108" s="17" t="str">
        <x:f>IF(AE2108&lt;=34,"≤34",IF(AE2108&lt;=44,"35–44",IF(AE2108&lt;=54,"45–54",IF(AE2108&lt;=64,"55–64","65+"))))</x:f>
        <x:v>45–54</x:v>
      </x:c>
      <x:c r="AK2108" s="17" t="str">
        <x:f>IF(AG2108&gt;=1000,"High Value",IF(AG2108&gt;=300,"Mid Value","Low Value"))</x:f>
        <x:v>High Value</x:v>
      </x:c>
      <x:c r="AL2108" s="17" t="str">
        <x:f>IF(AND(AI2108&gt;=1,I2108&lt;=50),"Priority 1",IF(AND(AG2108&gt;=1000,I2108&lt;=60),"Priority 2",IF(I2108&lt;=30,"Priority 3","Nurture")))</x:f>
        <x:v>Nurture</x:v>
      </x:c>
    </x:row>
    <x:row r="2109">
      <x:c r="A2109" s="16" t="n">
        <x:v>9729</x:v>
      </x:c>
      <x:c r="B2109" s="16" t="n">
        <x:v>1955</x:v>
      </x:c>
      <x:c r="C2109" s="16" t="str">
        <x:v>Graduation</x:v>
      </x:c>
      <x:c r="D2109" s="16" t="str">
        <x:v>Widow</x:v>
      </x:c>
      <x:c r="E2109" s="16" t="n">
        <x:v>58275</x:v>
      </x:c>
      <x:c r="F2109" s="16" t="n">
        <x:v>1</x:v>
      </x:c>
      <x:c r="G2109" s="16" t="n">
        <x:v>1</x:v>
      </x:c>
      <x:c r="H2109" s="16" t="str">
        <x:v>02-06-2013</x:v>
      </x:c>
      <x:c r="I2109" s="16" t="n">
        <x:v>48</x:v>
      </x:c>
      <x:c r="J2109" s="16" t="n">
        <x:v>189</x:v>
      </x:c>
      <x:c r="K2109" s="16" t="n">
        <x:v>10</x:v>
      </x:c>
      <x:c r="L2109" s="16" t="n">
        <x:v>253</x:v>
      </x:c>
      <x:c r="M2109" s="16" t="n">
        <x:v>56</x:v>
      </x:c>
      <x:c r="N2109" s="16" t="n">
        <x:v>43</x:v>
      </x:c>
      <x:c r="O2109" s="16" t="n">
        <x:v>64</x:v>
      </x:c>
      <x:c r="P2109" s="16" t="n">
        <x:v>6</x:v>
      </x:c>
      <x:c r="Q2109" s="16" t="n">
        <x:v>8</x:v>
      </x:c>
      <x:c r="R2109" s="16" t="n">
        <x:v>2</x:v>
      </x:c>
      <x:c r="S2109" s="16" t="n">
        <x:v>7</x:v>
      </x:c>
      <x:c r="T2109" s="16" t="n">
        <x:v>7</x:v>
      </x:c>
      <x:c r="U2109" s="16" t="n">
        <x:v>0</x:v>
      </x:c>
      <x:c r="V2109" s="16" t="n">
        <x:v>0</x:v>
      </x:c>
      <x:c r="W2109" s="16" t="n">
        <x:v>0</x:v>
      </x:c>
      <x:c r="X2109" s="16" t="n">
        <x:v>0</x:v>
      </x:c>
      <x:c r="Y2109" s="16" t="n">
        <x:v>0</x:v>
      </x:c>
      <x:c r="Z2109" s="16" t="n">
        <x:v>0</x:v>
      </x:c>
      <x:c r="AA2109" s="16" t="n">
        <x:v>3</x:v>
      </x:c>
      <x:c r="AB2109" s="16" t="n">
        <x:v>11</x:v>
      </x:c>
      <x:c r="AC2109" s="16" t="n">
        <x:v>0</x:v>
      </x:c>
      <x:c r="AD2109" s="21" t="n">
        <x:f>IF(E2109="",MEDIAN($E$2:$E$2237),E2109)</x:f>
        <x:v>58275</x:v>
      </x:c>
      <x:c r="AE2109" s="17" t="n">
        <x:f>2014-B2109</x:f>
        <x:v>59</x:v>
      </x:c>
      <x:c r="AF2109" s="17" t="n">
        <x:f>F2109+G2109</x:f>
        <x:v>2</x:v>
      </x:c>
      <x:c r="AG2109" s="21" t="n">
        <x:f>SUM(J2109:O2109)</x:f>
        <x:v>615</x:v>
      </x:c>
      <x:c r="AH2109" s="17" t="n">
        <x:f>SUM(Q2109:S2109)</x:f>
        <x:v>17</x:v>
      </x:c>
      <x:c r="AI2109" s="17" t="n">
        <x:f>SUM(U2109:Y2109)</x:f>
        <x:v>0</x:v>
      </x:c>
      <x:c r="AJ2109" s="17" t="str">
        <x:f>IF(AE2109&lt;=34,"≤34",IF(AE2109&lt;=44,"35–44",IF(AE2109&lt;=54,"45–54",IF(AE2109&lt;=64,"55–64","65+"))))</x:f>
        <x:v>55–64</x:v>
      </x:c>
      <x:c r="AK2109" s="17" t="str">
        <x:f>IF(AG2109&gt;=1000,"High Value",IF(AG2109&gt;=300,"Mid Value","Low Value"))</x:f>
        <x:v>Mid Value</x:v>
      </x:c>
      <x:c r="AL2109" s="17" t="str">
        <x:f>IF(AND(AI2109&gt;=1,I2109&lt;=50),"Priority 1",IF(AND(AG2109&gt;=1000,I2109&lt;=60),"Priority 2",IF(I2109&lt;=30,"Priority 3","Nurture")))</x:f>
        <x:v>Nurture</x:v>
      </x:c>
    </x:row>
    <x:row r="2110">
      <x:c r="A2110" s="16" t="n">
        <x:v>1008</x:v>
      </x:c>
      <x:c r="B2110" s="16" t="n">
        <x:v>1981</x:v>
      </x:c>
      <x:c r="C2110" s="16" t="str">
        <x:v>PhD</x:v>
      </x:c>
      <x:c r="D2110" s="16" t="str">
        <x:v>Together</x:v>
      </x:c>
      <x:c r="E2110" s="16" t="n">
        <x:v>44953</x:v>
      </x:c>
      <x:c r="F2110" s="16" t="n">
        <x:v>0</x:v>
      </x:c>
      <x:c r="G2110" s="16" t="n">
        <x:v>0</x:v>
      </x:c>
      <x:c r="H2110" s="16" t="str">
        <x:v>21-12-2012</x:v>
      </x:c>
      <x:c r="I2110" s="16" t="n">
        <x:v>31</x:v>
      </x:c>
      <x:c r="J2110" s="16" t="n">
        <x:v>728</x:v>
      </x:c>
      <x:c r="K2110" s="16" t="n">
        <x:v>17</x:v>
      </x:c>
      <x:c r="L2110" s="16" t="n">
        <x:v>133</x:v>
      </x:c>
      <x:c r="M2110" s="16" t="n">
        <x:v>11</x:v>
      </x:c>
      <x:c r="N2110" s="16" t="n">
        <x:v>8</x:v>
      </x:c>
      <x:c r="O2110" s="16" t="n">
        <x:v>124</x:v>
      </x:c>
      <x:c r="P2110" s="16" t="n">
        <x:v>1</x:v>
      </x:c>
      <x:c r="Q2110" s="16" t="n">
        <x:v>7</x:v>
      </x:c>
      <x:c r="R2110" s="16" t="n">
        <x:v>3</x:v>
      </x:c>
      <x:c r="S2110" s="16" t="n">
        <x:v>13</x:v>
      </x:c>
      <x:c r="T2110" s="16" t="n">
        <x:v>6</x:v>
      </x:c>
      <x:c r="U2110" s="16" t="n">
        <x:v>1</x:v>
      </x:c>
      <x:c r="V2110" s="16" t="n">
        <x:v>0</x:v>
      </x:c>
      <x:c r="W2110" s="16" t="n">
        <x:v>0</x:v>
      </x:c>
      <x:c r="X2110" s="16" t="n">
        <x:v>0</x:v>
      </x:c>
      <x:c r="Y2110" s="16" t="n">
        <x:v>0</x:v>
      </x:c>
      <x:c r="Z2110" s="16" t="n">
        <x:v>0</x:v>
      </x:c>
      <x:c r="AA2110" s="16" t="n">
        <x:v>3</x:v>
      </x:c>
      <x:c r="AB2110" s="16" t="n">
        <x:v>11</x:v>
      </x:c>
      <x:c r="AC2110" s="16" t="n">
        <x:v>0</x:v>
      </x:c>
      <x:c r="AD2110" s="21" t="n">
        <x:f>IF(E2110="",MEDIAN($E$2:$E$2237),E2110)</x:f>
        <x:v>44953</x:v>
      </x:c>
      <x:c r="AE2110" s="17" t="n">
        <x:f>2014-B2110</x:f>
        <x:v>33</x:v>
      </x:c>
      <x:c r="AF2110" s="17" t="n">
        <x:f>F2110+G2110</x:f>
        <x:v>0</x:v>
      </x:c>
      <x:c r="AG2110" s="21" t="n">
        <x:f>SUM(J2110:O2110)</x:f>
        <x:v>1021</x:v>
      </x:c>
      <x:c r="AH2110" s="17" t="n">
        <x:f>SUM(Q2110:S2110)</x:f>
        <x:v>23</x:v>
      </x:c>
      <x:c r="AI2110" s="17" t="n">
        <x:f>SUM(U2110:Y2110)</x:f>
        <x:v>1</x:v>
      </x:c>
      <x:c r="AJ2110" s="17" t="str">
        <x:f>IF(AE2110&lt;=34,"≤34",IF(AE2110&lt;=44,"35–44",IF(AE2110&lt;=54,"45–54",IF(AE2110&lt;=64,"55–64","65+"))))</x:f>
        <x:v>≤34</x:v>
      </x:c>
      <x:c r="AK2110" s="17" t="str">
        <x:f>IF(AG2110&gt;=1000,"High Value",IF(AG2110&gt;=300,"Mid Value","Low Value"))</x:f>
        <x:v>High Value</x:v>
      </x:c>
      <x:c r="AL2110" s="17" t="str">
        <x:f>IF(AND(AI2110&gt;=1,I2110&lt;=50),"Priority 1",IF(AND(AG2110&gt;=1000,I2110&lt;=60),"Priority 2",IF(I2110&lt;=30,"Priority 3","Nurture")))</x:f>
        <x:v>Priority 1</x:v>
      </x:c>
    </x:row>
    <x:row r="2111">
      <x:c r="A2111" s="16" t="n">
        <x:v>11091</x:v>
      </x:c>
      <x:c r="B2111" s="16" t="n">
        <x:v>1953</x:v>
      </x:c>
      <x:c r="C2111" s="16" t="str">
        <x:v>Graduation</x:v>
      </x:c>
      <x:c r="D2111" s="16" t="str">
        <x:v>Together</x:v>
      </x:c>
      <x:c r="E2111" s="16" t="n">
        <x:v>34587</x:v>
      </x:c>
      <x:c r="F2111" s="16" t="n">
        <x:v>1</x:v>
      </x:c>
      <x:c r="G2111" s="16" t="n">
        <x:v>1</x:v>
      </x:c>
      <x:c r="H2111" s="16" t="str">
        <x:v>16-05-2014</x:v>
      </x:c>
      <x:c r="I2111" s="16" t="n">
        <x:v>68</x:v>
      </x:c>
      <x:c r="J2111" s="16" t="n">
        <x:v>7</x:v>
      </x:c>
      <x:c r="K2111" s="16" t="n">
        <x:v>2</x:v>
      </x:c>
      <x:c r="L2111" s="16" t="n">
        <x:v>9</x:v>
      </x:c>
      <x:c r="M2111" s="16" t="n">
        <x:v>2</x:v>
      </x:c>
      <x:c r="N2111" s="16" t="n">
        <x:v>0</x:v>
      </x:c>
      <x:c r="O2111" s="16" t="n">
        <x:v>2</x:v>
      </x:c>
      <x:c r="P2111" s="16" t="n">
        <x:v>2</x:v>
      </x:c>
      <x:c r="Q2111" s="16" t="n">
        <x:v>1</x:v>
      </x:c>
      <x:c r="R2111" s="16" t="n">
        <x:v>0</x:v>
      </x:c>
      <x:c r="S2111" s="16" t="n">
        <x:v>3</x:v>
      </x:c>
      <x:c r="T2111" s="16" t="n">
        <x:v>4</x:v>
      </x:c>
      <x:c r="U2111" s="16" t="n">
        <x:v>0</x:v>
      </x:c>
      <x:c r="V2111" s="16" t="n">
        <x:v>0</x:v>
      </x:c>
      <x:c r="W2111" s="16" t="n">
        <x:v>0</x:v>
      </x:c>
      <x:c r="X2111" s="16" t="n">
        <x:v>0</x:v>
      </x:c>
      <x:c r="Y2111" s="16" t="n">
        <x:v>0</x:v>
      </x:c>
      <x:c r="Z2111" s="16" t="n">
        <x:v>0</x:v>
      </x:c>
      <x:c r="AA2111" s="16" t="n">
        <x:v>3</x:v>
      </x:c>
      <x:c r="AB2111" s="16" t="n">
        <x:v>11</x:v>
      </x:c>
      <x:c r="AC2111" s="16" t="n">
        <x:v>0</x:v>
      </x:c>
      <x:c r="AD2111" s="21" t="n">
        <x:f>IF(E2111="",MEDIAN($E$2:$E$2237),E2111)</x:f>
        <x:v>34587</x:v>
      </x:c>
      <x:c r="AE2111" s="17" t="n">
        <x:f>2014-B2111</x:f>
        <x:v>61</x:v>
      </x:c>
      <x:c r="AF2111" s="17" t="n">
        <x:f>F2111+G2111</x:f>
        <x:v>2</x:v>
      </x:c>
      <x:c r="AG2111" s="21" t="n">
        <x:f>SUM(J2111:O2111)</x:f>
        <x:v>22</x:v>
      </x:c>
      <x:c r="AH2111" s="17" t="n">
        <x:f>SUM(Q2111:S2111)</x:f>
        <x:v>4</x:v>
      </x:c>
      <x:c r="AI2111" s="17" t="n">
        <x:f>SUM(U2111:Y2111)</x:f>
        <x:v>0</x:v>
      </x:c>
      <x:c r="AJ2111" s="17" t="str">
        <x:f>IF(AE2111&lt;=34,"≤34",IF(AE2111&lt;=44,"35–44",IF(AE2111&lt;=54,"45–54",IF(AE2111&lt;=64,"55–64","65+"))))</x:f>
        <x:v>55–64</x:v>
      </x:c>
      <x:c r="AK2111" s="17" t="str">
        <x:f>IF(AG2111&gt;=1000,"High Value",IF(AG2111&gt;=300,"Mid Value","Low Value"))</x:f>
        <x:v>Low Value</x:v>
      </x:c>
      <x:c r="AL2111" s="17" t="str">
        <x:f>IF(AND(AI2111&gt;=1,I2111&lt;=50),"Priority 1",IF(AND(AG2111&gt;=1000,I2111&lt;=60),"Priority 2",IF(I2111&lt;=30,"Priority 3","Nurture")))</x:f>
        <x:v>Nurture</x:v>
      </x:c>
    </x:row>
    <x:row r="2112">
      <x:c r="A2112" s="16" t="n">
        <x:v>3969</x:v>
      </x:c>
      <x:c r="B2112" s="16" t="n">
        <x:v>1974</x:v>
      </x:c>
      <x:c r="C2112" s="16" t="str">
        <x:v>Master</x:v>
      </x:c>
      <x:c r="D2112" s="16" t="str">
        <x:v>Together</x:v>
      </x:c>
      <x:c r="E2112" s="16" t="n">
        <x:v>43018</x:v>
      </x:c>
      <x:c r="F2112" s="16" t="n">
        <x:v>0</x:v>
      </x:c>
      <x:c r="G2112" s="16" t="n">
        <x:v>1</x:v>
      </x:c>
      <x:c r="H2112" s="16" t="str">
        <x:v>01-11-2013</x:v>
      </x:c>
      <x:c r="I2112" s="16" t="n">
        <x:v>46</x:v>
      </x:c>
      <x:c r="J2112" s="16" t="n">
        <x:v>35</x:v>
      </x:c>
      <x:c r="K2112" s="16" t="n">
        <x:v>4</x:v>
      </x:c>
      <x:c r="L2112" s="16" t="n">
        <x:v>17</x:v>
      </x:c>
      <x:c r="M2112" s="16" t="n">
        <x:v>7</x:v>
      </x:c>
      <x:c r="N2112" s="16" t="n">
        <x:v>6</x:v>
      </x:c>
      <x:c r="O2112" s="16" t="n">
        <x:v>64</x:v>
      </x:c>
      <x:c r="P2112" s="16" t="n">
        <x:v>1</x:v>
      </x:c>
      <x:c r="Q2112" s="16" t="n">
        <x:v>2</x:v>
      </x:c>
      <x:c r="R2112" s="16" t="n">
        <x:v>2</x:v>
      </x:c>
      <x:c r="S2112" s="16" t="n">
        <x:v>2</x:v>
      </x:c>
      <x:c r="T2112" s="16" t="n">
        <x:v>5</x:v>
      </x:c>
      <x:c r="U2112" s="16" t="n">
        <x:v>0</x:v>
      </x:c>
      <x:c r="V2112" s="16" t="n">
        <x:v>0</x:v>
      </x:c>
      <x:c r="W2112" s="16" t="n">
        <x:v>0</x:v>
      </x:c>
      <x:c r="X2112" s="16" t="n">
        <x:v>0</x:v>
      </x:c>
      <x:c r="Y2112" s="16" t="n">
        <x:v>0</x:v>
      </x:c>
      <x:c r="Z2112" s="16" t="n">
        <x:v>0</x:v>
      </x:c>
      <x:c r="AA2112" s="16" t="n">
        <x:v>3</x:v>
      </x:c>
      <x:c r="AB2112" s="16" t="n">
        <x:v>11</x:v>
      </x:c>
      <x:c r="AC2112" s="16" t="n">
        <x:v>0</x:v>
      </x:c>
      <x:c r="AD2112" s="21" t="n">
        <x:f>IF(E2112="",MEDIAN($E$2:$E$2237),E2112)</x:f>
        <x:v>43018</x:v>
      </x:c>
      <x:c r="AE2112" s="17" t="n">
        <x:f>2014-B2112</x:f>
        <x:v>40</x:v>
      </x:c>
      <x:c r="AF2112" s="17" t="n">
        <x:f>F2112+G2112</x:f>
        <x:v>1</x:v>
      </x:c>
      <x:c r="AG2112" s="21" t="n">
        <x:f>SUM(J2112:O2112)</x:f>
        <x:v>133</x:v>
      </x:c>
      <x:c r="AH2112" s="17" t="n">
        <x:f>SUM(Q2112:S2112)</x:f>
        <x:v>6</x:v>
      </x:c>
      <x:c r="AI2112" s="17" t="n">
        <x:f>SUM(U2112:Y2112)</x:f>
        <x:v>0</x:v>
      </x:c>
      <x:c r="AJ2112" s="17" t="str">
        <x:f>IF(AE2112&lt;=34,"≤34",IF(AE2112&lt;=44,"35–44",IF(AE2112&lt;=54,"45–54",IF(AE2112&lt;=64,"55–64","65+"))))</x:f>
        <x:v>35–44</x:v>
      </x:c>
      <x:c r="AK2112" s="17" t="str">
        <x:f>IF(AG2112&gt;=1000,"High Value",IF(AG2112&gt;=300,"Mid Value","Low Value"))</x:f>
        <x:v>Low Value</x:v>
      </x:c>
      <x:c r="AL2112" s="17" t="str">
        <x:f>IF(AND(AI2112&gt;=1,I2112&lt;=50),"Priority 1",IF(AND(AG2112&gt;=1000,I2112&lt;=60),"Priority 2",IF(I2112&lt;=30,"Priority 3","Nurture")))</x:f>
        <x:v>Nurture</x:v>
      </x:c>
    </x:row>
    <x:row r="2113">
      <x:c r="A2113" s="16" t="n">
        <x:v>1916</x:v>
      </x:c>
      <x:c r="B2113" s="16" t="n">
        <x:v>1954</x:v>
      </x:c>
      <x:c r="C2113" s="16" t="str">
        <x:v>Master</x:v>
      </x:c>
      <x:c r="D2113" s="16" t="str">
        <x:v>Married</x:v>
      </x:c>
      <x:c r="E2113" s="16" t="n">
        <x:v>45736</x:v>
      </x:c>
      <x:c r="F2113" s="16" t="n">
        <x:v>0</x:v>
      </x:c>
      <x:c r="G2113" s="16" t="n">
        <x:v>1</x:v>
      </x:c>
      <x:c r="H2113" s="16" t="str">
        <x:v>24-07-2013</x:v>
      </x:c>
      <x:c r="I2113" s="16" t="n">
        <x:v>92</x:v>
      </x:c>
      <x:c r="J2113" s="16" t="n">
        <x:v>188</x:v>
      </x:c>
      <x:c r="K2113" s="16" t="n">
        <x:v>3</x:v>
      </x:c>
      <x:c r="L2113" s="16" t="n">
        <x:v>180</x:v>
      </x:c>
      <x:c r="M2113" s="16" t="n">
        <x:v>20</x:v>
      </x:c>
      <x:c r="N2113" s="16" t="n">
        <x:v>3</x:v>
      </x:c>
      <x:c r="O2113" s="16" t="n">
        <x:v>43</x:v>
      </x:c>
      <x:c r="P2113" s="16" t="n">
        <x:v>5</x:v>
      </x:c>
      <x:c r="Q2113" s="16" t="n">
        <x:v>7</x:v>
      </x:c>
      <x:c r="R2113" s="16" t="n">
        <x:v>1</x:v>
      </x:c>
      <x:c r="S2113" s="16" t="n">
        <x:v>6</x:v>
      </x:c>
      <x:c r="T2113" s="16" t="n">
        <x:v>7</x:v>
      </x:c>
      <x:c r="U2113" s="16" t="n">
        <x:v>0</x:v>
      </x:c>
      <x:c r="V2113" s="16" t="n">
        <x:v>0</x:v>
      </x:c>
      <x:c r="W2113" s="16" t="n">
        <x:v>0</x:v>
      </x:c>
      <x:c r="X2113" s="16" t="n">
        <x:v>0</x:v>
      </x:c>
      <x:c r="Y2113" s="16" t="n">
        <x:v>0</x:v>
      </x:c>
      <x:c r="Z2113" s="16" t="n">
        <x:v>0</x:v>
      </x:c>
      <x:c r="AA2113" s="16" t="n">
        <x:v>3</x:v>
      </x:c>
      <x:c r="AB2113" s="16" t="n">
        <x:v>11</x:v>
      </x:c>
      <x:c r="AC2113" s="16" t="n">
        <x:v>0</x:v>
      </x:c>
      <x:c r="AD2113" s="21" t="n">
        <x:f>IF(E2113="",MEDIAN($E$2:$E$2237),E2113)</x:f>
        <x:v>45736</x:v>
      </x:c>
      <x:c r="AE2113" s="17" t="n">
        <x:f>2014-B2113</x:f>
        <x:v>60</x:v>
      </x:c>
      <x:c r="AF2113" s="17" t="n">
        <x:f>F2113+G2113</x:f>
        <x:v>1</x:v>
      </x:c>
      <x:c r="AG2113" s="21" t="n">
        <x:f>SUM(J2113:O2113)</x:f>
        <x:v>437</x:v>
      </x:c>
      <x:c r="AH2113" s="17" t="n">
        <x:f>SUM(Q2113:S2113)</x:f>
        <x:v>14</x:v>
      </x:c>
      <x:c r="AI2113" s="17" t="n">
        <x:f>SUM(U2113:Y2113)</x:f>
        <x:v>0</x:v>
      </x:c>
      <x:c r="AJ2113" s="17" t="str">
        <x:f>IF(AE2113&lt;=34,"≤34",IF(AE2113&lt;=44,"35–44",IF(AE2113&lt;=54,"45–54",IF(AE2113&lt;=64,"55–64","65+"))))</x:f>
        <x:v>55–64</x:v>
      </x:c>
      <x:c r="AK2113" s="17" t="str">
        <x:f>IF(AG2113&gt;=1000,"High Value",IF(AG2113&gt;=300,"Mid Value","Low Value"))</x:f>
        <x:v>Mid Value</x:v>
      </x:c>
      <x:c r="AL2113" s="17" t="str">
        <x:f>IF(AND(AI2113&gt;=1,I2113&lt;=50),"Priority 1",IF(AND(AG2113&gt;=1000,I2113&lt;=60),"Priority 2",IF(I2113&lt;=30,"Priority 3","Nurture")))</x:f>
        <x:v>Nurture</x:v>
      </x:c>
    </x:row>
    <x:row r="2114">
      <x:c r="A2114" s="16" t="n">
        <x:v>9907</x:v>
      </x:c>
      <x:c r="B2114" s="16" t="n">
        <x:v>1969</x:v>
      </x:c>
      <x:c r="C2114" s="16" t="str">
        <x:v>Master</x:v>
      </x:c>
      <x:c r="D2114" s="16" t="str">
        <x:v>Together</x:v>
      </x:c>
      <x:c r="E2114" s="16" t="n">
        <x:v>66476</x:v>
      </x:c>
      <x:c r="F2114" s="16" t="n">
        <x:v>0</x:v>
      </x:c>
      <x:c r="G2114" s="16" t="n">
        <x:v>1</x:v>
      </x:c>
      <x:c r="H2114" s="16" t="str">
        <x:v>04-12-2013</x:v>
      </x:c>
      <x:c r="I2114" s="16" t="n">
        <x:v>80</x:v>
      </x:c>
      <x:c r="J2114" s="16" t="n">
        <x:v>742</x:v>
      </x:c>
      <x:c r="K2114" s="16" t="n">
        <x:v>28</x:v>
      </x:c>
      <x:c r="L2114" s="16" t="n">
        <x:v>152</x:v>
      </x:c>
      <x:c r="M2114" s="16" t="n">
        <x:v>25</x:v>
      </x:c>
      <x:c r="N2114" s="16" t="n">
        <x:v>9</x:v>
      </x:c>
      <x:c r="O2114" s="16" t="n">
        <x:v>57</x:v>
      </x:c>
      <x:c r="P2114" s="16" t="n">
        <x:v>2</x:v>
      </x:c>
      <x:c r="Q2114" s="16" t="n">
        <x:v>6</x:v>
      </x:c>
      <x:c r="R2114" s="16" t="n">
        <x:v>8</x:v>
      </x:c>
      <x:c r="S2114" s="16" t="n">
        <x:v>10</x:v>
      </x:c>
      <x:c r="T2114" s="16" t="n">
        <x:v>4</x:v>
      </x:c>
      <x:c r="U2114" s="16" t="n">
        <x:v>0</x:v>
      </x:c>
      <x:c r="V2114" s="16" t="n">
        <x:v>0</x:v>
      </x:c>
      <x:c r="W2114" s="16" t="n">
        <x:v>0</x:v>
      </x:c>
      <x:c r="X2114" s="16" t="n">
        <x:v>0</x:v>
      </x:c>
      <x:c r="Y2114" s="16" t="n">
        <x:v>0</x:v>
      </x:c>
      <x:c r="Z2114" s="16" t="n">
        <x:v>0</x:v>
      </x:c>
      <x:c r="AA2114" s="16" t="n">
        <x:v>3</x:v>
      </x:c>
      <x:c r="AB2114" s="16" t="n">
        <x:v>11</x:v>
      </x:c>
      <x:c r="AC2114" s="16" t="n">
        <x:v>0</x:v>
      </x:c>
      <x:c r="AD2114" s="21" t="n">
        <x:f>IF(E2114="",MEDIAN($E$2:$E$2237),E2114)</x:f>
        <x:v>66476</x:v>
      </x:c>
      <x:c r="AE2114" s="17" t="n">
        <x:f>2014-B2114</x:f>
        <x:v>45</x:v>
      </x:c>
      <x:c r="AF2114" s="17" t="n">
        <x:f>F2114+G2114</x:f>
        <x:v>1</x:v>
      </x:c>
      <x:c r="AG2114" s="21" t="n">
        <x:f>SUM(J2114:O2114)</x:f>
        <x:v>1013</x:v>
      </x:c>
      <x:c r="AH2114" s="17" t="n">
        <x:f>SUM(Q2114:S2114)</x:f>
        <x:v>24</x:v>
      </x:c>
      <x:c r="AI2114" s="17" t="n">
        <x:f>SUM(U2114:Y2114)</x:f>
        <x:v>0</x:v>
      </x:c>
      <x:c r="AJ2114" s="17" t="str">
        <x:f>IF(AE2114&lt;=34,"≤34",IF(AE2114&lt;=44,"35–44",IF(AE2114&lt;=54,"45–54",IF(AE2114&lt;=64,"55–64","65+"))))</x:f>
        <x:v>45–54</x:v>
      </x:c>
      <x:c r="AK2114" s="17" t="str">
        <x:f>IF(AG2114&gt;=1000,"High Value",IF(AG2114&gt;=300,"Mid Value","Low Value"))</x:f>
        <x:v>High Value</x:v>
      </x:c>
      <x:c r="AL2114" s="17" t="str">
        <x:f>IF(AND(AI2114&gt;=1,I2114&lt;=50),"Priority 1",IF(AND(AG2114&gt;=1000,I2114&lt;=60),"Priority 2",IF(I2114&lt;=30,"Priority 3","Nurture")))</x:f>
        <x:v>Nurture</x:v>
      </x:c>
    </x:row>
    <x:row r="2115">
      <x:c r="A2115" s="16" t="n">
        <x:v>87</x:v>
      </x:c>
      <x:c r="B2115" s="16" t="n">
        <x:v>1981</x:v>
      </x:c>
      <x:c r="C2115" s="16" t="str">
        <x:v>2n Cycle</x:v>
      </x:c>
      <x:c r="D2115" s="16" t="str">
        <x:v>Married</x:v>
      </x:c>
      <x:c r="E2115" s="16" t="n">
        <x:v>27733</x:v>
      </x:c>
      <x:c r="F2115" s="16" t="n">
        <x:v>1</x:v>
      </x:c>
      <x:c r="G2115" s="16" t="n">
        <x:v>0</x:v>
      </x:c>
      <x:c r="H2115" s="16" t="str">
        <x:v>26-08-2013</x:v>
      </x:c>
      <x:c r="I2115" s="16" t="n">
        <x:v>16</x:v>
      </x:c>
      <x:c r="J2115" s="16" t="n">
        <x:v>0</x:v>
      </x:c>
      <x:c r="K2115" s="16" t="n">
        <x:v>7</x:v>
      </x:c>
      <x:c r="L2115" s="16" t="n">
        <x:v>5</x:v>
      </x:c>
      <x:c r="M2115" s="16" t="n">
        <x:v>26</x:v>
      </x:c>
      <x:c r="N2115" s="16" t="n">
        <x:v>2</x:v>
      </x:c>
      <x:c r="O2115" s="16" t="n">
        <x:v>17</x:v>
      </x:c>
      <x:c r="P2115" s="16" t="n">
        <x:v>2</x:v>
      </x:c>
      <x:c r="Q2115" s="16" t="n">
        <x:v>2</x:v>
      </x:c>
      <x:c r="R2115" s="16" t="n">
        <x:v>0</x:v>
      </x:c>
      <x:c r="S2115" s="16" t="n">
        <x:v>3</x:v>
      </x:c>
      <x:c r="T2115" s="16" t="n">
        <x:v>7</x:v>
      </x:c>
      <x:c r="U2115" s="16" t="n">
        <x:v>0</x:v>
      </x:c>
      <x:c r="V2115" s="16" t="n">
        <x:v>0</x:v>
      </x:c>
      <x:c r="W2115" s="16" t="n">
        <x:v>0</x:v>
      </x:c>
      <x:c r="X2115" s="16" t="n">
        <x:v>0</x:v>
      </x:c>
      <x:c r="Y2115" s="16" t="n">
        <x:v>0</x:v>
      </x:c>
      <x:c r="Z2115" s="16" t="n">
        <x:v>0</x:v>
      </x:c>
      <x:c r="AA2115" s="16" t="n">
        <x:v>3</x:v>
      </x:c>
      <x:c r="AB2115" s="16" t="n">
        <x:v>11</x:v>
      </x:c>
      <x:c r="AC2115" s="16" t="n">
        <x:v>0</x:v>
      </x:c>
      <x:c r="AD2115" s="21" t="n">
        <x:f>IF(E2115="",MEDIAN($E$2:$E$2237),E2115)</x:f>
        <x:v>27733</x:v>
      </x:c>
      <x:c r="AE2115" s="17" t="n">
        <x:f>2014-B2115</x:f>
        <x:v>33</x:v>
      </x:c>
      <x:c r="AF2115" s="17" t="n">
        <x:f>F2115+G2115</x:f>
        <x:v>1</x:v>
      </x:c>
      <x:c r="AG2115" s="21" t="n">
        <x:f>SUM(J2115:O2115)</x:f>
        <x:v>57</x:v>
      </x:c>
      <x:c r="AH2115" s="17" t="n">
        <x:f>SUM(Q2115:S2115)</x:f>
        <x:v>5</x:v>
      </x:c>
      <x:c r="AI2115" s="17" t="n">
        <x:f>SUM(U2115:Y2115)</x:f>
        <x:v>0</x:v>
      </x:c>
      <x:c r="AJ2115" s="17" t="str">
        <x:f>IF(AE2115&lt;=34,"≤34",IF(AE2115&lt;=44,"35–44",IF(AE2115&lt;=54,"45–54",IF(AE2115&lt;=64,"55–64","65+"))))</x:f>
        <x:v>≤34</x:v>
      </x:c>
      <x:c r="AK2115" s="17" t="str">
        <x:f>IF(AG2115&gt;=1000,"High Value",IF(AG2115&gt;=300,"Mid Value","Low Value"))</x:f>
        <x:v>Low Value</x:v>
      </x:c>
      <x:c r="AL2115" s="17" t="str">
        <x:f>IF(AND(AI2115&gt;=1,I2115&lt;=50),"Priority 1",IF(AND(AG2115&gt;=1000,I2115&lt;=60),"Priority 2",IF(I2115&lt;=30,"Priority 3","Nurture")))</x:f>
        <x:v>Priority 3</x:v>
      </x:c>
    </x:row>
    <x:row r="2116">
      <x:c r="A2116" s="16" t="n">
        <x:v>8659</x:v>
      </x:c>
      <x:c r="B2116" s="16" t="n">
        <x:v>1952</x:v>
      </x:c>
      <x:c r="C2116" s="16" t="str">
        <x:v>PhD</x:v>
      </x:c>
      <x:c r="D2116" s="16" t="str">
        <x:v>Together</x:v>
      </x:c>
      <x:c r="E2116" s="16" t="n">
        <x:v>69805</x:v>
      </x:c>
      <x:c r="F2116" s="16" t="n">
        <x:v>0</x:v>
      </x:c>
      <x:c r="G2116" s="16" t="n">
        <x:v>1</x:v>
      </x:c>
      <x:c r="H2116" s="16" t="str">
        <x:v>21-01-2014</x:v>
      </x:c>
      <x:c r="I2116" s="16" t="n">
        <x:v>50</x:v>
      </x:c>
      <x:c r="J2116" s="16" t="n">
        <x:v>750</x:v>
      </x:c>
      <x:c r="K2116" s="16" t="n">
        <x:v>71</x:v>
      </x:c>
      <x:c r="L2116" s="16" t="n">
        <x:v>174</x:v>
      </x:c>
      <x:c r="M2116" s="16" t="n">
        <x:v>13</x:v>
      </x:c>
      <x:c r="N2116" s="16" t="n">
        <x:v>10</x:v>
      </x:c>
      <x:c r="O2116" s="16" t="n">
        <x:v>20</x:v>
      </x:c>
      <x:c r="P2116" s="16" t="n">
        <x:v>2</x:v>
      </x:c>
      <x:c r="Q2116" s="16" t="n">
        <x:v>6</x:v>
      </x:c>
      <x:c r="R2116" s="16" t="n">
        <x:v>8</x:v>
      </x:c>
      <x:c r="S2116" s="16" t="n">
        <x:v>11</x:v>
      </x:c>
      <x:c r="T2116" s="16" t="n">
        <x:v>2</x:v>
      </x:c>
      <x:c r="U2116" s="16" t="n">
        <x:v>0</x:v>
      </x:c>
      <x:c r="V2116" s="16" t="n">
        <x:v>0</x:v>
      </x:c>
      <x:c r="W2116" s="16" t="n">
        <x:v>0</x:v>
      </x:c>
      <x:c r="X2116" s="16" t="n">
        <x:v>0</x:v>
      </x:c>
      <x:c r="Y2116" s="16" t="n">
        <x:v>0</x:v>
      </x:c>
      <x:c r="Z2116" s="16" t="n">
        <x:v>0</x:v>
      </x:c>
      <x:c r="AA2116" s="16" t="n">
        <x:v>3</x:v>
      </x:c>
      <x:c r="AB2116" s="16" t="n">
        <x:v>11</x:v>
      </x:c>
      <x:c r="AC2116" s="16" t="n">
        <x:v>0</x:v>
      </x:c>
      <x:c r="AD2116" s="21" t="n">
        <x:f>IF(E2116="",MEDIAN($E$2:$E$2237),E2116)</x:f>
        <x:v>69805</x:v>
      </x:c>
      <x:c r="AE2116" s="17" t="n">
        <x:f>2014-B2116</x:f>
        <x:v>62</x:v>
      </x:c>
      <x:c r="AF2116" s="17" t="n">
        <x:f>F2116+G2116</x:f>
        <x:v>1</x:v>
      </x:c>
      <x:c r="AG2116" s="21" t="n">
        <x:f>SUM(J2116:O2116)</x:f>
        <x:v>1038</x:v>
      </x:c>
      <x:c r="AH2116" s="17" t="n">
        <x:f>SUM(Q2116:S2116)</x:f>
        <x:v>25</x:v>
      </x:c>
      <x:c r="AI2116" s="17" t="n">
        <x:f>SUM(U2116:Y2116)</x:f>
        <x:v>0</x:v>
      </x:c>
      <x:c r="AJ2116" s="17" t="str">
        <x:f>IF(AE2116&lt;=34,"≤34",IF(AE2116&lt;=44,"35–44",IF(AE2116&lt;=54,"45–54",IF(AE2116&lt;=64,"55–64","65+"))))</x:f>
        <x:v>55–64</x:v>
      </x:c>
      <x:c r="AK2116" s="17" t="str">
        <x:f>IF(AG2116&gt;=1000,"High Value",IF(AG2116&gt;=300,"Mid Value","Low Value"))</x:f>
        <x:v>High Value</x:v>
      </x:c>
      <x:c r="AL2116" s="17" t="str">
        <x:f>IF(AND(AI2116&gt;=1,I2116&lt;=50),"Priority 1",IF(AND(AG2116&gt;=1000,I2116&lt;=60),"Priority 2",IF(I2116&lt;=30,"Priority 3","Nurture")))</x:f>
        <x:v>Priority 2</x:v>
      </x:c>
    </x:row>
    <x:row r="2117">
      <x:c r="A2117" s="16" t="n">
        <x:v>6262</x:v>
      </x:c>
      <x:c r="B2117" s="16" t="n">
        <x:v>1962</x:v>
      </x:c>
      <x:c r="C2117" s="16" t="str">
        <x:v>Master</x:v>
      </x:c>
      <x:c r="D2117" s="16" t="str">
        <x:v>Single</x:v>
      </x:c>
      <x:c r="E2117" s="16" t="n">
        <x:v>72217</x:v>
      </x:c>
      <x:c r="F2117" s="16" t="n">
        <x:v>0</x:v>
      </x:c>
      <x:c r="G2117" s="16" t="n">
        <x:v>0</x:v>
      </x:c>
      <x:c r="H2117" s="16" t="str">
        <x:v>10-04-2013</x:v>
      </x:c>
      <x:c r="I2117" s="16" t="n">
        <x:v>93</x:v>
      </x:c>
      <x:c r="J2117" s="16" t="n">
        <x:v>816</x:v>
      </x:c>
      <x:c r="K2117" s="16" t="n">
        <x:v>42</x:v>
      </x:c>
      <x:c r="L2117" s="16" t="n">
        <x:v>450</x:v>
      </x:c>
      <x:c r="M2117" s="16" t="n">
        <x:v>55</x:v>
      </x:c>
      <x:c r="N2117" s="16" t="n">
        <x:v>56</x:v>
      </x:c>
      <x:c r="O2117" s="16" t="n">
        <x:v>154</x:v>
      </x:c>
      <x:c r="P2117" s="16" t="n">
        <x:v>1</x:v>
      </x:c>
      <x:c r="Q2117" s="16" t="n">
        <x:v>3</x:v>
      </x:c>
      <x:c r="R2117" s="16" t="n">
        <x:v>10</x:v>
      </x:c>
      <x:c r="S2117" s="16" t="n">
        <x:v>8</x:v>
      </x:c>
      <x:c r="T2117" s="16" t="n">
        <x:v>2</x:v>
      </x:c>
      <x:c r="U2117" s="16" t="n">
        <x:v>0</x:v>
      </x:c>
      <x:c r="V2117" s="16" t="n">
        <x:v>0</x:v>
      </x:c>
      <x:c r="W2117" s="16" t="n">
        <x:v>0</x:v>
      </x:c>
      <x:c r="X2117" s="16" t="n">
        <x:v>0</x:v>
      </x:c>
      <x:c r="Y2117" s="16" t="n">
        <x:v>0</x:v>
      </x:c>
      <x:c r="Z2117" s="16" t="n">
        <x:v>0</x:v>
      </x:c>
      <x:c r="AA2117" s="16" t="n">
        <x:v>3</x:v>
      </x:c>
      <x:c r="AB2117" s="16" t="n">
        <x:v>11</x:v>
      </x:c>
      <x:c r="AC2117" s="16" t="n">
        <x:v>0</x:v>
      </x:c>
      <x:c r="AD2117" s="21" t="n">
        <x:f>IF(E2117="",MEDIAN($E$2:$E$2237),E2117)</x:f>
        <x:v>72217</x:v>
      </x:c>
      <x:c r="AE2117" s="17" t="n">
        <x:f>2014-B2117</x:f>
        <x:v>52</x:v>
      </x:c>
      <x:c r="AF2117" s="17" t="n">
        <x:f>F2117+G2117</x:f>
        <x:v>0</x:v>
      </x:c>
      <x:c r="AG2117" s="21" t="n">
        <x:f>SUM(J2117:O2117)</x:f>
        <x:v>1573</x:v>
      </x:c>
      <x:c r="AH2117" s="17" t="n">
        <x:f>SUM(Q2117:S2117)</x:f>
        <x:v>21</x:v>
      </x:c>
      <x:c r="AI2117" s="17" t="n">
        <x:f>SUM(U2117:Y2117)</x:f>
        <x:v>0</x:v>
      </x:c>
      <x:c r="AJ2117" s="17" t="str">
        <x:f>IF(AE2117&lt;=34,"≤34",IF(AE2117&lt;=44,"35–44",IF(AE2117&lt;=54,"45–54",IF(AE2117&lt;=64,"55–64","65+"))))</x:f>
        <x:v>45–54</x:v>
      </x:c>
      <x:c r="AK2117" s="17" t="str">
        <x:f>IF(AG2117&gt;=1000,"High Value",IF(AG2117&gt;=300,"Mid Value","Low Value"))</x:f>
        <x:v>High Value</x:v>
      </x:c>
      <x:c r="AL2117" s="17" t="str">
        <x:f>IF(AND(AI2117&gt;=1,I2117&lt;=50),"Priority 1",IF(AND(AG2117&gt;=1000,I2117&lt;=60),"Priority 2",IF(I2117&lt;=30,"Priority 3","Nurture")))</x:f>
        <x:v>Nurture</x:v>
      </x:c>
    </x:row>
    <x:row r="2118">
      <x:c r="A2118" s="16" t="n">
        <x:v>6147</x:v>
      </x:c>
      <x:c r="B2118" s="16" t="n">
        <x:v>1971</x:v>
      </x:c>
      <x:c r="C2118" s="16" t="str">
        <x:v>Graduation</x:v>
      </x:c>
      <x:c r="D2118" s="16" t="str">
        <x:v>Divorced</x:v>
      </x:c>
      <x:c r="E2118" s="16" t="n">
        <x:v>25818</x:v>
      </x:c>
      <x:c r="F2118" s="16" t="n">
        <x:v>1</x:v>
      </x:c>
      <x:c r="G2118" s="16" t="n">
        <x:v>0</x:v>
      </x:c>
      <x:c r="H2118" s="16" t="str">
        <x:v>18-10-2012</x:v>
      </x:c>
      <x:c r="I2118" s="16" t="n">
        <x:v>51</x:v>
      </x:c>
      <x:c r="J2118" s="16" t="n">
        <x:v>5</x:v>
      </x:c>
      <x:c r="K2118" s="16" t="n">
        <x:v>2</x:v>
      </x:c>
      <x:c r="L2118" s="16" t="n">
        <x:v>8</x:v>
      </x:c>
      <x:c r="M2118" s="16" t="n">
        <x:v>2</x:v>
      </x:c>
      <x:c r="N2118" s="16" t="n">
        <x:v>2</x:v>
      </x:c>
      <x:c r="O2118" s="16" t="n">
        <x:v>9</x:v>
      </x:c>
      <x:c r="P2118" s="16" t="n">
        <x:v>1</x:v>
      </x:c>
      <x:c r="Q2118" s="16" t="n">
        <x:v>0</x:v>
      </x:c>
      <x:c r="R2118" s="16" t="n">
        <x:v>1</x:v>
      </x:c>
      <x:c r="S2118" s="16" t="n">
        <x:v>2</x:v>
      </x:c>
      <x:c r="T2118" s="16" t="n">
        <x:v>7</x:v>
      </x:c>
      <x:c r="U2118" s="16" t="n">
        <x:v>0</x:v>
      </x:c>
      <x:c r="V2118" s="16" t="n">
        <x:v>0</x:v>
      </x:c>
      <x:c r="W2118" s="16" t="n">
        <x:v>0</x:v>
      </x:c>
      <x:c r="X2118" s="16" t="n">
        <x:v>0</x:v>
      </x:c>
      <x:c r="Y2118" s="16" t="n">
        <x:v>0</x:v>
      </x:c>
      <x:c r="Z2118" s="16" t="n">
        <x:v>0</x:v>
      </x:c>
      <x:c r="AA2118" s="16" t="n">
        <x:v>3</x:v>
      </x:c>
      <x:c r="AB2118" s="16" t="n">
        <x:v>11</x:v>
      </x:c>
      <x:c r="AC2118" s="16" t="n">
        <x:v>0</x:v>
      </x:c>
      <x:c r="AD2118" s="21" t="n">
        <x:f>IF(E2118="",MEDIAN($E$2:$E$2237),E2118)</x:f>
        <x:v>25818</x:v>
      </x:c>
      <x:c r="AE2118" s="17" t="n">
        <x:f>2014-B2118</x:f>
        <x:v>43</x:v>
      </x:c>
      <x:c r="AF2118" s="17" t="n">
        <x:f>F2118+G2118</x:f>
        <x:v>1</x:v>
      </x:c>
      <x:c r="AG2118" s="21" t="n">
        <x:f>SUM(J2118:O2118)</x:f>
        <x:v>28</x:v>
      </x:c>
      <x:c r="AH2118" s="17" t="n">
        <x:f>SUM(Q2118:S2118)</x:f>
        <x:v>3</x:v>
      </x:c>
      <x:c r="AI2118" s="17" t="n">
        <x:f>SUM(U2118:Y2118)</x:f>
        <x:v>0</x:v>
      </x:c>
      <x:c r="AJ2118" s="17" t="str">
        <x:f>IF(AE2118&lt;=34,"≤34",IF(AE2118&lt;=44,"35–44",IF(AE2118&lt;=54,"45–54",IF(AE2118&lt;=64,"55–64","65+"))))</x:f>
        <x:v>35–44</x:v>
      </x:c>
      <x:c r="AK2118" s="17" t="str">
        <x:f>IF(AG2118&gt;=1000,"High Value",IF(AG2118&gt;=300,"Mid Value","Low Value"))</x:f>
        <x:v>Low Value</x:v>
      </x:c>
      <x:c r="AL2118" s="17" t="str">
        <x:f>IF(AND(AI2118&gt;=1,I2118&lt;=50),"Priority 1",IF(AND(AG2118&gt;=1000,I2118&lt;=60),"Priority 2",IF(I2118&lt;=30,"Priority 3","Nurture")))</x:f>
        <x:v>Nurture</x:v>
      </x:c>
    </x:row>
    <x:row r="2119">
      <x:c r="A2119" s="16" t="n">
        <x:v>8832</x:v>
      </x:c>
      <x:c r="B2119" s="16" t="n">
        <x:v>1976</x:v>
      </x:c>
      <x:c r="C2119" s="16" t="str">
        <x:v>Master</x:v>
      </x:c>
      <x:c r="D2119" s="16" t="str">
        <x:v>Together</x:v>
      </x:c>
      <x:c r="E2119" s="16" t="n">
        <x:v>37509</x:v>
      </x:c>
      <x:c r="F2119" s="16" t="n">
        <x:v>1</x:v>
      </x:c>
      <x:c r="G2119" s="16" t="n">
        <x:v>0</x:v>
      </x:c>
      <x:c r="H2119" s="16" t="str">
        <x:v>12-09-2012</x:v>
      </x:c>
      <x:c r="I2119" s="16" t="n">
        <x:v>24</x:v>
      </x:c>
      <x:c r="J2119" s="16" t="n">
        <x:v>37</x:v>
      </x:c>
      <x:c r="K2119" s="16" t="n">
        <x:v>5</x:v>
      </x:c>
      <x:c r="L2119" s="16" t="n">
        <x:v>56</x:v>
      </x:c>
      <x:c r="M2119" s="16" t="n">
        <x:v>12</x:v>
      </x:c>
      <x:c r="N2119" s="16" t="n">
        <x:v>8</x:v>
      </x:c>
      <x:c r="O2119" s="16" t="n">
        <x:v>5</x:v>
      </x:c>
      <x:c r="P2119" s="16" t="n">
        <x:v>2</x:v>
      </x:c>
      <x:c r="Q2119" s="16" t="n">
        <x:v>3</x:v>
      </x:c>
      <x:c r="R2119" s="16" t="n">
        <x:v>0</x:v>
      </x:c>
      <x:c r="S2119" s="16" t="n">
        <x:v>4</x:v>
      </x:c>
      <x:c r="T2119" s="16" t="n">
        <x:v>7</x:v>
      </x:c>
      <x:c r="U2119" s="16" t="n">
        <x:v>0</x:v>
      </x:c>
      <x:c r="V2119" s="16" t="n">
        <x:v>0</x:v>
      </x:c>
      <x:c r="W2119" s="16" t="n">
        <x:v>0</x:v>
      </x:c>
      <x:c r="X2119" s="16" t="n">
        <x:v>0</x:v>
      </x:c>
      <x:c r="Y2119" s="16" t="n">
        <x:v>0</x:v>
      </x:c>
      <x:c r="Z2119" s="16" t="n">
        <x:v>0</x:v>
      </x:c>
      <x:c r="AA2119" s="16" t="n">
        <x:v>3</x:v>
      </x:c>
      <x:c r="AB2119" s="16" t="n">
        <x:v>11</x:v>
      </x:c>
      <x:c r="AC2119" s="16" t="n">
        <x:v>0</x:v>
      </x:c>
      <x:c r="AD2119" s="21" t="n">
        <x:f>IF(E2119="",MEDIAN($E$2:$E$2237),E2119)</x:f>
        <x:v>37509</x:v>
      </x:c>
      <x:c r="AE2119" s="17" t="n">
        <x:f>2014-B2119</x:f>
        <x:v>38</x:v>
      </x:c>
      <x:c r="AF2119" s="17" t="n">
        <x:f>F2119+G2119</x:f>
        <x:v>1</x:v>
      </x:c>
      <x:c r="AG2119" s="21" t="n">
        <x:f>SUM(J2119:O2119)</x:f>
        <x:v>123</x:v>
      </x:c>
      <x:c r="AH2119" s="17" t="n">
        <x:f>SUM(Q2119:S2119)</x:f>
        <x:v>7</x:v>
      </x:c>
      <x:c r="AI2119" s="17" t="n">
        <x:f>SUM(U2119:Y2119)</x:f>
        <x:v>0</x:v>
      </x:c>
      <x:c r="AJ2119" s="17" t="str">
        <x:f>IF(AE2119&lt;=34,"≤34",IF(AE2119&lt;=44,"35–44",IF(AE2119&lt;=54,"45–54",IF(AE2119&lt;=64,"55–64","65+"))))</x:f>
        <x:v>35–44</x:v>
      </x:c>
      <x:c r="AK2119" s="17" t="str">
        <x:f>IF(AG2119&gt;=1000,"High Value",IF(AG2119&gt;=300,"Mid Value","Low Value"))</x:f>
        <x:v>Low Value</x:v>
      </x:c>
      <x:c r="AL2119" s="17" t="str">
        <x:f>IF(AND(AI2119&gt;=1,I2119&lt;=50),"Priority 1",IF(AND(AG2119&gt;=1000,I2119&lt;=60),"Priority 2",IF(I2119&lt;=30,"Priority 3","Nurture")))</x:f>
        <x:v>Priority 3</x:v>
      </x:c>
    </x:row>
    <x:row r="2120">
      <x:c r="A2120" s="16" t="n">
        <x:v>10067</x:v>
      </x:c>
      <x:c r="B2120" s="16" t="n">
        <x:v>1976</x:v>
      </x:c>
      <x:c r="C2120" s="16" t="str">
        <x:v>2n Cycle</x:v>
      </x:c>
      <x:c r="D2120" s="16" t="str">
        <x:v>Together</x:v>
      </x:c>
      <x:c r="E2120" s="16" t="n">
        <x:v>25176</x:v>
      </x:c>
      <x:c r="F2120" s="16" t="n">
        <x:v>1</x:v>
      </x:c>
      <x:c r="G2120" s="16" t="n">
        <x:v>1</x:v>
      </x:c>
      <x:c r="H2120" s="16" t="str">
        <x:v>10-08-2013</x:v>
      </x:c>
      <x:c r="I2120" s="16" t="n">
        <x:v>79</x:v>
      </x:c>
      <x:c r="J2120" s="16" t="n">
        <x:v>4</x:v>
      </x:c>
      <x:c r="K2120" s="16" t="n">
        <x:v>0</x:v>
      </x:c>
      <x:c r="L2120" s="16" t="n">
        <x:v>4</x:v>
      </x:c>
      <x:c r="M2120" s="16" t="n">
        <x:v>0</x:v>
      </x:c>
      <x:c r="N2120" s="16" t="n">
        <x:v>0</x:v>
      </x:c>
      <x:c r="O2120" s="16" t="n">
        <x:v>5</x:v>
      </x:c>
      <x:c r="P2120" s="16" t="n">
        <x:v>1</x:v>
      </x:c>
      <x:c r="Q2120" s="16" t="n">
        <x:v>1</x:v>
      </x:c>
      <x:c r="R2120" s="16" t="n">
        <x:v>0</x:v>
      </x:c>
      <x:c r="S2120" s="16" t="n">
        <x:v>2</x:v>
      </x:c>
      <x:c r="T2120" s="16" t="n">
        <x:v>7</x:v>
      </x:c>
      <x:c r="U2120" s="16" t="n">
        <x:v>0</x:v>
      </x:c>
      <x:c r="V2120" s="16" t="n">
        <x:v>0</x:v>
      </x:c>
      <x:c r="W2120" s="16" t="n">
        <x:v>0</x:v>
      </x:c>
      <x:c r="X2120" s="16" t="n">
        <x:v>0</x:v>
      </x:c>
      <x:c r="Y2120" s="16" t="n">
        <x:v>0</x:v>
      </x:c>
      <x:c r="Z2120" s="16" t="n">
        <x:v>0</x:v>
      </x:c>
      <x:c r="AA2120" s="16" t="n">
        <x:v>3</x:v>
      </x:c>
      <x:c r="AB2120" s="16" t="n">
        <x:v>11</x:v>
      </x:c>
      <x:c r="AC2120" s="16" t="n">
        <x:v>0</x:v>
      </x:c>
      <x:c r="AD2120" s="21" t="n">
        <x:f>IF(E2120="",MEDIAN($E$2:$E$2237),E2120)</x:f>
        <x:v>25176</x:v>
      </x:c>
      <x:c r="AE2120" s="17" t="n">
        <x:f>2014-B2120</x:f>
        <x:v>38</x:v>
      </x:c>
      <x:c r="AF2120" s="17" t="n">
        <x:f>F2120+G2120</x:f>
        <x:v>2</x:v>
      </x:c>
      <x:c r="AG2120" s="21" t="n">
        <x:f>SUM(J2120:O2120)</x:f>
        <x:v>13</x:v>
      </x:c>
      <x:c r="AH2120" s="17" t="n">
        <x:f>SUM(Q2120:S2120)</x:f>
        <x:v>3</x:v>
      </x:c>
      <x:c r="AI2120" s="17" t="n">
        <x:f>SUM(U2120:Y2120)</x:f>
        <x:v>0</x:v>
      </x:c>
      <x:c r="AJ2120" s="17" t="str">
        <x:f>IF(AE2120&lt;=34,"≤34",IF(AE2120&lt;=44,"35–44",IF(AE2120&lt;=54,"45–54",IF(AE2120&lt;=64,"55–64","65+"))))</x:f>
        <x:v>35–44</x:v>
      </x:c>
      <x:c r="AK2120" s="17" t="str">
        <x:f>IF(AG2120&gt;=1000,"High Value",IF(AG2120&gt;=300,"Mid Value","Low Value"))</x:f>
        <x:v>Low Value</x:v>
      </x:c>
      <x:c r="AL2120" s="17" t="str">
        <x:f>IF(AND(AI2120&gt;=1,I2120&lt;=50),"Priority 1",IF(AND(AG2120&gt;=1000,I2120&lt;=60),"Priority 2",IF(I2120&lt;=30,"Priority 3","Nurture")))</x:f>
        <x:v>Nurture</x:v>
      </x:c>
    </x:row>
    <x:row r="2121">
      <x:c r="A2121" s="16" t="n">
        <x:v>7532</x:v>
      </x:c>
      <x:c r="B2121" s="16" t="n">
        <x:v>1980</x:v>
      </x:c>
      <x:c r="C2121" s="16" t="str">
        <x:v>Graduation</x:v>
      </x:c>
      <x:c r="D2121" s="16" t="str">
        <x:v>Married</x:v>
      </x:c>
      <x:c r="E2121" s="16" t="n">
        <x:v>43586</x:v>
      </x:c>
      <x:c r="F2121" s="16" t="n">
        <x:v>0</x:v>
      </x:c>
      <x:c r="G2121" s="16" t="n">
        <x:v>1</x:v>
      </x:c>
      <x:c r="H2121" s="16" t="str">
        <x:v>30-08-2012</x:v>
      </x:c>
      <x:c r="I2121" s="16" t="n">
        <x:v>26</x:v>
      </x:c>
      <x:c r="J2121" s="16" t="n">
        <x:v>99</x:v>
      </x:c>
      <x:c r="K2121" s="16" t="n">
        <x:v>2</x:v>
      </x:c>
      <x:c r="L2121" s="16" t="n">
        <x:v>11</x:v>
      </x:c>
      <x:c r="M2121" s="16" t="n">
        <x:v>4</x:v>
      </x:c>
      <x:c r="N2121" s="16" t="n">
        <x:v>0</x:v>
      </x:c>
      <x:c r="O2121" s="16" t="n">
        <x:v>16</x:v>
      </x:c>
      <x:c r="P2121" s="16" t="n">
        <x:v>3</x:v>
      </x:c>
      <x:c r="Q2121" s="16" t="n">
        <x:v>3</x:v>
      </x:c>
      <x:c r="R2121" s="16" t="n">
        <x:v>0</x:v>
      </x:c>
      <x:c r="S2121" s="16" t="n">
        <x:v>4</x:v>
      </x:c>
      <x:c r="T2121" s="16" t="n">
        <x:v>8</x:v>
      </x:c>
      <x:c r="U2121" s="16" t="n">
        <x:v>0</x:v>
      </x:c>
      <x:c r="V2121" s="16" t="n">
        <x:v>0</x:v>
      </x:c>
      <x:c r="W2121" s="16" t="n">
        <x:v>0</x:v>
      </x:c>
      <x:c r="X2121" s="16" t="n">
        <x:v>0</x:v>
      </x:c>
      <x:c r="Y2121" s="16" t="n">
        <x:v>0</x:v>
      </x:c>
      <x:c r="Z2121" s="16" t="n">
        <x:v>0</x:v>
      </x:c>
      <x:c r="AA2121" s="16" t="n">
        <x:v>3</x:v>
      </x:c>
      <x:c r="AB2121" s="16" t="n">
        <x:v>11</x:v>
      </x:c>
      <x:c r="AC2121" s="16" t="n">
        <x:v>0</x:v>
      </x:c>
      <x:c r="AD2121" s="21" t="n">
        <x:f>IF(E2121="",MEDIAN($E$2:$E$2237),E2121)</x:f>
        <x:v>43586</x:v>
      </x:c>
      <x:c r="AE2121" s="17" t="n">
        <x:f>2014-B2121</x:f>
        <x:v>34</x:v>
      </x:c>
      <x:c r="AF2121" s="17" t="n">
        <x:f>F2121+G2121</x:f>
        <x:v>1</x:v>
      </x:c>
      <x:c r="AG2121" s="21" t="n">
        <x:f>SUM(J2121:O2121)</x:f>
        <x:v>132</x:v>
      </x:c>
      <x:c r="AH2121" s="17" t="n">
        <x:f>SUM(Q2121:S2121)</x:f>
        <x:v>7</x:v>
      </x:c>
      <x:c r="AI2121" s="17" t="n">
        <x:f>SUM(U2121:Y2121)</x:f>
        <x:v>0</x:v>
      </x:c>
      <x:c r="AJ2121" s="17" t="str">
        <x:f>IF(AE2121&lt;=34,"≤34",IF(AE2121&lt;=44,"35–44",IF(AE2121&lt;=54,"45–54",IF(AE2121&lt;=64,"55–64","65+"))))</x:f>
        <x:v>≤34</x:v>
      </x:c>
      <x:c r="AK2121" s="17" t="str">
        <x:f>IF(AG2121&gt;=1000,"High Value",IF(AG2121&gt;=300,"Mid Value","Low Value"))</x:f>
        <x:v>Low Value</x:v>
      </x:c>
      <x:c r="AL2121" s="17" t="str">
        <x:f>IF(AND(AI2121&gt;=1,I2121&lt;=50),"Priority 1",IF(AND(AG2121&gt;=1000,I2121&lt;=60),"Priority 2",IF(I2121&lt;=30,"Priority 3","Nurture")))</x:f>
        <x:v>Priority 3</x:v>
      </x:c>
    </x:row>
    <x:row r="2122">
      <x:c r="A2122" s="16" t="n">
        <x:v>4915</x:v>
      </x:c>
      <x:c r="B2122" s="16" t="n">
        <x:v>1956</x:v>
      </x:c>
      <x:c r="C2122" s="16" t="str">
        <x:v>2n Cycle</x:v>
      </x:c>
      <x:c r="D2122" s="16" t="str">
        <x:v>Married</x:v>
      </x:c>
      <x:c r="E2122" s="16" t="n">
        <x:v>53230</x:v>
      </x:c>
      <x:c r="F2122" s="16" t="n">
        <x:v>0</x:v>
      </x:c>
      <x:c r="G2122" s="16" t="n">
        <x:v>1</x:v>
      </x:c>
      <x:c r="H2122" s="16" t="str">
        <x:v>03-08-2012</x:v>
      </x:c>
      <x:c r="I2122" s="16" t="n">
        <x:v>86</x:v>
      </x:c>
      <x:c r="J2122" s="16" t="n">
        <x:v>176</x:v>
      </x:c>
      <x:c r="K2122" s="16" t="n">
        <x:v>72</x:v>
      </x:c>
      <x:c r="L2122" s="16" t="n">
        <x:v>98</x:v>
      </x:c>
      <x:c r="M2122" s="16" t="n">
        <x:v>136</x:v>
      </x:c>
      <x:c r="N2122" s="16" t="n">
        <x:v>21</x:v>
      </x:c>
      <x:c r="O2122" s="16" t="n">
        <x:v>229</x:v>
      </x:c>
      <x:c r="P2122" s="16" t="n">
        <x:v>4</x:v>
      </x:c>
      <x:c r="Q2122" s="16" t="n">
        <x:v>5</x:v>
      </x:c>
      <x:c r="R2122" s="16" t="n">
        <x:v>2</x:v>
      </x:c>
      <x:c r="S2122" s="16" t="n">
        <x:v>12</x:v>
      </x:c>
      <x:c r="T2122" s="16" t="n">
        <x:v>5</x:v>
      </x:c>
      <x:c r="U2122" s="16" t="n">
        <x:v>0</x:v>
      </x:c>
      <x:c r="V2122" s="16" t="n">
        <x:v>0</x:v>
      </x:c>
      <x:c r="W2122" s="16" t="n">
        <x:v>0</x:v>
      </x:c>
      <x:c r="X2122" s="16" t="n">
        <x:v>0</x:v>
      </x:c>
      <x:c r="Y2122" s="16" t="n">
        <x:v>0</x:v>
      </x:c>
      <x:c r="Z2122" s="16" t="n">
        <x:v>0</x:v>
      </x:c>
      <x:c r="AA2122" s="16" t="n">
        <x:v>3</x:v>
      </x:c>
      <x:c r="AB2122" s="16" t="n">
        <x:v>11</x:v>
      </x:c>
      <x:c r="AC2122" s="16" t="n">
        <x:v>0</x:v>
      </x:c>
      <x:c r="AD2122" s="21" t="n">
        <x:f>IF(E2122="",MEDIAN($E$2:$E$2237),E2122)</x:f>
        <x:v>53230</x:v>
      </x:c>
      <x:c r="AE2122" s="17" t="n">
        <x:f>2014-B2122</x:f>
        <x:v>58</x:v>
      </x:c>
      <x:c r="AF2122" s="17" t="n">
        <x:f>F2122+G2122</x:f>
        <x:v>1</x:v>
      </x:c>
      <x:c r="AG2122" s="21" t="n">
        <x:f>SUM(J2122:O2122)</x:f>
        <x:v>732</x:v>
      </x:c>
      <x:c r="AH2122" s="17" t="n">
        <x:f>SUM(Q2122:S2122)</x:f>
        <x:v>19</x:v>
      </x:c>
      <x:c r="AI2122" s="17" t="n">
        <x:f>SUM(U2122:Y2122)</x:f>
        <x:v>0</x:v>
      </x:c>
      <x:c r="AJ2122" s="17" t="str">
        <x:f>IF(AE2122&lt;=34,"≤34",IF(AE2122&lt;=44,"35–44",IF(AE2122&lt;=54,"45–54",IF(AE2122&lt;=64,"55–64","65+"))))</x:f>
        <x:v>55–64</x:v>
      </x:c>
      <x:c r="AK2122" s="17" t="str">
        <x:f>IF(AG2122&gt;=1000,"High Value",IF(AG2122&gt;=300,"Mid Value","Low Value"))</x:f>
        <x:v>Mid Value</x:v>
      </x:c>
      <x:c r="AL2122" s="17" t="str">
        <x:f>IF(AND(AI2122&gt;=1,I2122&lt;=50),"Priority 1",IF(AND(AG2122&gt;=1000,I2122&lt;=60),"Priority 2",IF(I2122&lt;=30,"Priority 3","Nurture")))</x:f>
        <x:v>Nurture</x:v>
      </x:c>
    </x:row>
    <x:row r="2123">
      <x:c r="A2123" s="16" t="n">
        <x:v>2115</x:v>
      </x:c>
      <x:c r="B2123" s="16" t="n">
        <x:v>1957</x:v>
      </x:c>
      <x:c r="C2123" s="16" t="str">
        <x:v>Graduation</x:v>
      </x:c>
      <x:c r="D2123" s="16" t="str">
        <x:v>Together</x:v>
      </x:c>
      <x:c r="E2123" s="16" t="n">
        <x:v>50116</x:v>
      </x:c>
      <x:c r="F2123" s="16" t="n">
        <x:v>1</x:v>
      </x:c>
      <x:c r="G2123" s="16" t="n">
        <x:v>1</x:v>
      </x:c>
      <x:c r="H2123" s="16" t="str">
        <x:v>20-06-2014</x:v>
      </x:c>
      <x:c r="I2123" s="16" t="n">
        <x:v>68</x:v>
      </x:c>
      <x:c r="J2123" s="16" t="n">
        <x:v>54</x:v>
      </x:c>
      <x:c r="K2123" s="16" t="n">
        <x:v>0</x:v>
      </x:c>
      <x:c r="L2123" s="16" t="n">
        <x:v>10</x:v>
      </x:c>
      <x:c r="M2123" s="16" t="n">
        <x:v>0</x:v>
      </x:c>
      <x:c r="N2123" s="16" t="n">
        <x:v>0</x:v>
      </x:c>
      <x:c r="O2123" s="16" t="n">
        <x:v>2</x:v>
      </x:c>
      <x:c r="P2123" s="16" t="n">
        <x:v>2</x:v>
      </x:c>
      <x:c r="Q2123" s="16" t="n">
        <x:v>1</x:v>
      </x:c>
      <x:c r="R2123" s="16" t="n">
        <x:v>0</x:v>
      </x:c>
      <x:c r="S2123" s="16" t="n">
        <x:v>4</x:v>
      </x:c>
      <x:c r="T2123" s="16" t="n">
        <x:v>5</x:v>
      </x:c>
      <x:c r="U2123" s="16" t="n">
        <x:v>0</x:v>
      </x:c>
      <x:c r="V2123" s="16" t="n">
        <x:v>1</x:v>
      </x:c>
      <x:c r="W2123" s="16" t="n">
        <x:v>0</x:v>
      </x:c>
      <x:c r="X2123" s="16" t="n">
        <x:v>0</x:v>
      </x:c>
      <x:c r="Y2123" s="16" t="n">
        <x:v>0</x:v>
      </x:c>
      <x:c r="Z2123" s="16" t="n">
        <x:v>0</x:v>
      </x:c>
      <x:c r="AA2123" s="16" t="n">
        <x:v>3</x:v>
      </x:c>
      <x:c r="AB2123" s="16" t="n">
        <x:v>11</x:v>
      </x:c>
      <x:c r="AC2123" s="16" t="n">
        <x:v>0</x:v>
      </x:c>
      <x:c r="AD2123" s="21" t="n">
        <x:f>IF(E2123="",MEDIAN($E$2:$E$2237),E2123)</x:f>
        <x:v>50116</x:v>
      </x:c>
      <x:c r="AE2123" s="17" t="n">
        <x:f>2014-B2123</x:f>
        <x:v>57</x:v>
      </x:c>
      <x:c r="AF2123" s="17" t="n">
        <x:f>F2123+G2123</x:f>
        <x:v>2</x:v>
      </x:c>
      <x:c r="AG2123" s="21" t="n">
        <x:f>SUM(J2123:O2123)</x:f>
        <x:v>66</x:v>
      </x:c>
      <x:c r="AH2123" s="17" t="n">
        <x:f>SUM(Q2123:S2123)</x:f>
        <x:v>5</x:v>
      </x:c>
      <x:c r="AI2123" s="17" t="n">
        <x:f>SUM(U2123:Y2123)</x:f>
        <x:v>1</x:v>
      </x:c>
      <x:c r="AJ2123" s="17" t="str">
        <x:f>IF(AE2123&lt;=34,"≤34",IF(AE2123&lt;=44,"35–44",IF(AE2123&lt;=54,"45–54",IF(AE2123&lt;=64,"55–64","65+"))))</x:f>
        <x:v>55–64</x:v>
      </x:c>
      <x:c r="AK2123" s="17" t="str">
        <x:f>IF(AG2123&gt;=1000,"High Value",IF(AG2123&gt;=300,"Mid Value","Low Value"))</x:f>
        <x:v>Low Value</x:v>
      </x:c>
      <x:c r="AL2123" s="17" t="str">
        <x:f>IF(AND(AI2123&gt;=1,I2123&lt;=50),"Priority 1",IF(AND(AG2123&gt;=1000,I2123&lt;=60),"Priority 2",IF(I2123&lt;=30,"Priority 3","Nurture")))</x:f>
        <x:v>Nurture</x:v>
      </x:c>
    </x:row>
    <x:row r="2124">
      <x:c r="A2124" s="16" t="n">
        <x:v>2088</x:v>
      </x:c>
      <x:c r="B2124" s="16" t="n">
        <x:v>1972</x:v>
      </x:c>
      <x:c r="C2124" s="16" t="str">
        <x:v>Graduation</x:v>
      </x:c>
      <x:c r="D2124" s="16" t="str">
        <x:v>Together</x:v>
      </x:c>
      <x:c r="E2124" s="16" t="n">
        <x:v>84906</x:v>
      </x:c>
      <x:c r="F2124" s="16" t="n">
        <x:v>0</x:v>
      </x:c>
      <x:c r="G2124" s="16" t="n">
        <x:v>0</x:v>
      </x:c>
      <x:c r="H2124" s="16" t="str">
        <x:v>04-10-2013</x:v>
      </x:c>
      <x:c r="I2124" s="16" t="n">
        <x:v>98</x:v>
      </x:c>
      <x:c r="J2124" s="16" t="n">
        <x:v>997</x:v>
      </x:c>
      <x:c r="K2124" s="16" t="n">
        <x:v>15</x:v>
      </x:c>
      <x:c r="L2124" s="16" t="n">
        <x:v>414</x:v>
      </x:c>
      <x:c r="M2124" s="16" t="n">
        <x:v>99</x:v>
      </x:c>
      <x:c r="N2124" s="16" t="n">
        <x:v>30</x:v>
      </x:c>
      <x:c r="O2124" s="16" t="n">
        <x:v>76</x:v>
      </x:c>
      <x:c r="P2124" s="16" t="n">
        <x:v>1</x:v>
      </x:c>
      <x:c r="Q2124" s="16" t="n">
        <x:v>5</x:v>
      </x:c>
      <x:c r="R2124" s="16" t="n">
        <x:v>6</x:v>
      </x:c>
      <x:c r="S2124" s="16" t="n">
        <x:v>12</x:v>
      </x:c>
      <x:c r="T2124" s="16" t="n">
        <x:v>2</x:v>
      </x:c>
      <x:c r="U2124" s="16" t="n">
        <x:v>0</x:v>
      </x:c>
      <x:c r="V2124" s="16" t="n">
        <x:v>1</x:v>
      </x:c>
      <x:c r="W2124" s="16" t="n">
        <x:v>1</x:v>
      </x:c>
      <x:c r="X2124" s="16" t="n">
        <x:v>0</x:v>
      </x:c>
      <x:c r="Y2124" s="16" t="n">
        <x:v>1</x:v>
      </x:c>
      <x:c r="Z2124" s="16" t="n">
        <x:v>0</x:v>
      </x:c>
      <x:c r="AA2124" s="16" t="n">
        <x:v>3</x:v>
      </x:c>
      <x:c r="AB2124" s="16" t="n">
        <x:v>11</x:v>
      </x:c>
      <x:c r="AC2124" s="16" t="n">
        <x:v>0</x:v>
      </x:c>
      <x:c r="AD2124" s="21" t="n">
        <x:f>IF(E2124="",MEDIAN($E$2:$E$2237),E2124)</x:f>
        <x:v>84906</x:v>
      </x:c>
      <x:c r="AE2124" s="17" t="n">
        <x:f>2014-B2124</x:f>
        <x:v>42</x:v>
      </x:c>
      <x:c r="AF2124" s="17" t="n">
        <x:f>F2124+G2124</x:f>
        <x:v>0</x:v>
      </x:c>
      <x:c r="AG2124" s="21" t="n">
        <x:f>SUM(J2124:O2124)</x:f>
        <x:v>1631</x:v>
      </x:c>
      <x:c r="AH2124" s="17" t="n">
        <x:f>SUM(Q2124:S2124)</x:f>
        <x:v>23</x:v>
      </x:c>
      <x:c r="AI2124" s="17" t="n">
        <x:f>SUM(U2124:Y2124)</x:f>
        <x:v>3</x:v>
      </x:c>
      <x:c r="AJ2124" s="17" t="str">
        <x:f>IF(AE2124&lt;=34,"≤34",IF(AE2124&lt;=44,"35–44",IF(AE2124&lt;=54,"45–54",IF(AE2124&lt;=64,"55–64","65+"))))</x:f>
        <x:v>35–44</x:v>
      </x:c>
      <x:c r="AK2124" s="17" t="str">
        <x:f>IF(AG2124&gt;=1000,"High Value",IF(AG2124&gt;=300,"Mid Value","Low Value"))</x:f>
        <x:v>High Value</x:v>
      </x:c>
      <x:c r="AL2124" s="17" t="str">
        <x:f>IF(AND(AI2124&gt;=1,I2124&lt;=50),"Priority 1",IF(AND(AG2124&gt;=1000,I2124&lt;=60),"Priority 2",IF(I2124&lt;=30,"Priority 3","Nurture")))</x:f>
        <x:v>Nurture</x:v>
      </x:c>
    </x:row>
    <x:row r="2125">
      <x:c r="A2125" s="16" t="n">
        <x:v>2493</x:v>
      </x:c>
      <x:c r="B2125" s="16" t="n">
        <x:v>1966</x:v>
      </x:c>
      <x:c r="C2125" s="16" t="str">
        <x:v>Graduation</x:v>
      </x:c>
      <x:c r="D2125" s="16" t="str">
        <x:v>Married</x:v>
      </x:c>
      <x:c r="E2125" s="16" t="n">
        <x:v>61286</x:v>
      </x:c>
      <x:c r="F2125" s="16" t="n">
        <x:v>0</x:v>
      </x:c>
      <x:c r="G2125" s="16" t="n">
        <x:v>1</x:v>
      </x:c>
      <x:c r="H2125" s="16" t="str">
        <x:v>02-08-2013</x:v>
      </x:c>
      <x:c r="I2125" s="16" t="n">
        <x:v>34</x:v>
      </x:c>
      <x:c r="J2125" s="16" t="n">
        <x:v>356</x:v>
      </x:c>
      <x:c r="K2125" s="16" t="n">
        <x:v>0</x:v>
      </x:c>
      <x:c r="L2125" s="16" t="n">
        <x:v>107</x:v>
      </x:c>
      <x:c r="M2125" s="16" t="n">
        <x:v>19</x:v>
      </x:c>
      <x:c r="N2125" s="16" t="n">
        <x:v>9</x:v>
      </x:c>
      <x:c r="O2125" s="16" t="n">
        <x:v>117</x:v>
      </x:c>
      <x:c r="P2125" s="16" t="n">
        <x:v>2</x:v>
      </x:c>
      <x:c r="Q2125" s="16" t="n">
        <x:v>7</x:v>
      </x:c>
      <x:c r="R2125" s="16" t="n">
        <x:v>1</x:v>
      </x:c>
      <x:c r="S2125" s="16" t="n">
        <x:v>8</x:v>
      </x:c>
      <x:c r="T2125" s="16" t="n">
        <x:v>5</x:v>
      </x:c>
      <x:c r="U2125" s="16" t="n">
        <x:v>0</x:v>
      </x:c>
      <x:c r="V2125" s="16" t="n">
        <x:v>0</x:v>
      </x:c>
      <x:c r="W2125" s="16" t="n">
        <x:v>0</x:v>
      </x:c>
      <x:c r="X2125" s="16" t="n">
        <x:v>0</x:v>
      </x:c>
      <x:c r="Y2125" s="16" t="n">
        <x:v>0</x:v>
      </x:c>
      <x:c r="Z2125" s="16" t="n">
        <x:v>0</x:v>
      </x:c>
      <x:c r="AA2125" s="16" t="n">
        <x:v>3</x:v>
      </x:c>
      <x:c r="AB2125" s="16" t="n">
        <x:v>11</x:v>
      </x:c>
      <x:c r="AC2125" s="16" t="n">
        <x:v>0</x:v>
      </x:c>
      <x:c r="AD2125" s="21" t="n">
        <x:f>IF(E2125="",MEDIAN($E$2:$E$2237),E2125)</x:f>
        <x:v>61286</x:v>
      </x:c>
      <x:c r="AE2125" s="17" t="n">
        <x:f>2014-B2125</x:f>
        <x:v>48</x:v>
      </x:c>
      <x:c r="AF2125" s="17" t="n">
        <x:f>F2125+G2125</x:f>
        <x:v>1</x:v>
      </x:c>
      <x:c r="AG2125" s="21" t="n">
        <x:f>SUM(J2125:O2125)</x:f>
        <x:v>608</x:v>
      </x:c>
      <x:c r="AH2125" s="17" t="n">
        <x:f>SUM(Q2125:S2125)</x:f>
        <x:v>16</x:v>
      </x:c>
      <x:c r="AI2125" s="17" t="n">
        <x:f>SUM(U2125:Y2125)</x:f>
        <x:v>0</x:v>
      </x:c>
      <x:c r="AJ2125" s="17" t="str">
        <x:f>IF(AE2125&lt;=34,"≤34",IF(AE2125&lt;=44,"35–44",IF(AE2125&lt;=54,"45–54",IF(AE2125&lt;=64,"55–64","65+"))))</x:f>
        <x:v>45–54</x:v>
      </x:c>
      <x:c r="AK2125" s="17" t="str">
        <x:f>IF(AG2125&gt;=1000,"High Value",IF(AG2125&gt;=300,"Mid Value","Low Value"))</x:f>
        <x:v>Mid Value</x:v>
      </x:c>
      <x:c r="AL2125" s="17" t="str">
        <x:f>IF(AND(AI2125&gt;=1,I2125&lt;=50),"Priority 1",IF(AND(AG2125&gt;=1000,I2125&lt;=60),"Priority 2",IF(I2125&lt;=30,"Priority 3","Nurture")))</x:f>
        <x:v>Nurture</x:v>
      </x:c>
    </x:row>
    <x:row r="2126">
      <x:c r="A2126" s="16" t="n">
        <x:v>6292</x:v>
      </x:c>
      <x:c r="B2126" s="16" t="n">
        <x:v>1986</x:v>
      </x:c>
      <x:c r="C2126" s="16" t="str">
        <x:v>PhD</x:v>
      </x:c>
      <x:c r="D2126" s="16" t="str">
        <x:v>Married</x:v>
      </x:c>
      <x:c r="E2126" s="16" t="n">
        <x:v>82333</x:v>
      </x:c>
      <x:c r="F2126" s="16" t="n">
        <x:v>0</x:v>
      </x:c>
      <x:c r="G2126" s="16" t="n">
        <x:v>0</x:v>
      </x:c>
      <x:c r="H2126" s="16" t="str">
        <x:v>30-03-2013</x:v>
      </x:c>
      <x:c r="I2126" s="16" t="n">
        <x:v>60</x:v>
      </x:c>
      <x:c r="J2126" s="16" t="n">
        <x:v>1311</x:v>
      </x:c>
      <x:c r="K2126" s="16" t="n">
        <x:v>0</x:v>
      </x:c>
      <x:c r="L2126" s="16" t="n">
        <x:v>359</x:v>
      </x:c>
      <x:c r="M2126" s="16" t="n">
        <x:v>46</x:v>
      </x:c>
      <x:c r="N2126" s="16" t="n">
        <x:v>89</x:v>
      </x:c>
      <x:c r="O2126" s="16" t="n">
        <x:v>17</x:v>
      </x:c>
      <x:c r="P2126" s="16" t="n">
        <x:v>1</x:v>
      </x:c>
      <x:c r="Q2126" s="16" t="n">
        <x:v>4</x:v>
      </x:c>
      <x:c r="R2126" s="16" t="n">
        <x:v>3</x:v>
      </x:c>
      <x:c r="S2126" s="16" t="n">
        <x:v>10</x:v>
      </x:c>
      <x:c r="T2126" s="16" t="n">
        <x:v>2</x:v>
      </x:c>
      <x:c r="U2126" s="16" t="n">
        <x:v>0</x:v>
      </x:c>
      <x:c r="V2126" s="16" t="n">
        <x:v>0</x:v>
      </x:c>
      <x:c r="W2126" s="16" t="n">
        <x:v>1</x:v>
      </x:c>
      <x:c r="X2126" s="16" t="n">
        <x:v>0</x:v>
      </x:c>
      <x:c r="Y2126" s="16" t="n">
        <x:v>0</x:v>
      </x:c>
      <x:c r="Z2126" s="16" t="n">
        <x:v>0</x:v>
      </x:c>
      <x:c r="AA2126" s="16" t="n">
        <x:v>3</x:v>
      </x:c>
      <x:c r="AB2126" s="16" t="n">
        <x:v>11</x:v>
      </x:c>
      <x:c r="AC2126" s="16" t="n">
        <x:v>1</x:v>
      </x:c>
      <x:c r="AD2126" s="21" t="n">
        <x:f>IF(E2126="",MEDIAN($E$2:$E$2237),E2126)</x:f>
        <x:v>82333</x:v>
      </x:c>
      <x:c r="AE2126" s="17" t="n">
        <x:f>2014-B2126</x:f>
        <x:v>28</x:v>
      </x:c>
      <x:c r="AF2126" s="17" t="n">
        <x:f>F2126+G2126</x:f>
        <x:v>0</x:v>
      </x:c>
      <x:c r="AG2126" s="21" t="n">
        <x:f>SUM(J2126:O2126)</x:f>
        <x:v>1822</x:v>
      </x:c>
      <x:c r="AH2126" s="17" t="n">
        <x:f>SUM(Q2126:S2126)</x:f>
        <x:v>17</x:v>
      </x:c>
      <x:c r="AI2126" s="17" t="n">
        <x:f>SUM(U2126:Y2126)</x:f>
        <x:v>1</x:v>
      </x:c>
      <x:c r="AJ2126" s="17" t="str">
        <x:f>IF(AE2126&lt;=34,"≤34",IF(AE2126&lt;=44,"35–44",IF(AE2126&lt;=54,"45–54",IF(AE2126&lt;=64,"55–64","65+"))))</x:f>
        <x:v>≤34</x:v>
      </x:c>
      <x:c r="AK2126" s="17" t="str">
        <x:f>IF(AG2126&gt;=1000,"High Value",IF(AG2126&gt;=300,"Mid Value","Low Value"))</x:f>
        <x:v>High Value</x:v>
      </x:c>
      <x:c r="AL2126" s="17" t="str">
        <x:f>IF(AND(AI2126&gt;=1,I2126&lt;=50),"Priority 1",IF(AND(AG2126&gt;=1000,I2126&lt;=60),"Priority 2",IF(I2126&lt;=30,"Priority 3","Nurture")))</x:f>
        <x:v>Priority 2</x:v>
      </x:c>
    </x:row>
    <x:row r="2127">
      <x:c r="A2127" s="16" t="n">
        <x:v>1631</x:v>
      </x:c>
      <x:c r="B2127" s="16" t="n">
        <x:v>1965</x:v>
      </x:c>
      <x:c r="C2127" s="16" t="str">
        <x:v>PhD</x:v>
      </x:c>
      <x:c r="D2127" s="16" t="str">
        <x:v>Together</x:v>
      </x:c>
      <x:c r="E2127" s="16" t="n">
        <x:v>65220</x:v>
      </x:c>
      <x:c r="F2127" s="16" t="n">
        <x:v>0</x:v>
      </x:c>
      <x:c r="G2127" s="16" t="n">
        <x:v>0</x:v>
      </x:c>
      <x:c r="H2127" s="16" t="str">
        <x:v>03-09-2012</x:v>
      </x:c>
      <x:c r="I2127" s="16" t="n">
        <x:v>3</x:v>
      </x:c>
      <x:c r="J2127" s="16" t="n">
        <x:v>890</x:v>
      </x:c>
      <x:c r="K2127" s="16" t="n">
        <x:v>63</x:v>
      </x:c>
      <x:c r="L2127" s="16" t="n">
        <x:v>292</x:v>
      </x:c>
      <x:c r="M2127" s="16" t="n">
        <x:v>0</x:v>
      </x:c>
      <x:c r="N2127" s="16" t="n">
        <x:v>25</x:v>
      </x:c>
      <x:c r="O2127" s="16" t="n">
        <x:v>12</x:v>
      </x:c>
      <x:c r="P2127" s="16" t="n">
        <x:v>4</x:v>
      </x:c>
      <x:c r="Q2127" s="16" t="n">
        <x:v>8</x:v>
      </x:c>
      <x:c r="R2127" s="16" t="n">
        <x:v>4</x:v>
      </x:c>
      <x:c r="S2127" s="16" t="n">
        <x:v>7</x:v>
      </x:c>
      <x:c r="T2127" s="16" t="n">
        <x:v>6</x:v>
      </x:c>
      <x:c r="U2127" s="16" t="n">
        <x:v>0</x:v>
      </x:c>
      <x:c r="V2127" s="16" t="n">
        <x:v>0</x:v>
      </x:c>
      <x:c r="W2127" s="16" t="n">
        <x:v>0</x:v>
      </x:c>
      <x:c r="X2127" s="16" t="n">
        <x:v>0</x:v>
      </x:c>
      <x:c r="Y2127" s="16" t="n">
        <x:v>0</x:v>
      </x:c>
      <x:c r="Z2127" s="16" t="n">
        <x:v>0</x:v>
      </x:c>
      <x:c r="AA2127" s="16" t="n">
        <x:v>3</x:v>
      </x:c>
      <x:c r="AB2127" s="16" t="n">
        <x:v>11</x:v>
      </x:c>
      <x:c r="AC2127" s="16" t="n">
        <x:v>1</x:v>
      </x:c>
      <x:c r="AD2127" s="21" t="n">
        <x:f>IF(E2127="",MEDIAN($E$2:$E$2237),E2127)</x:f>
        <x:v>65220</x:v>
      </x:c>
      <x:c r="AE2127" s="17" t="n">
        <x:f>2014-B2127</x:f>
        <x:v>49</x:v>
      </x:c>
      <x:c r="AF2127" s="17" t="n">
        <x:f>F2127+G2127</x:f>
        <x:v>0</x:v>
      </x:c>
      <x:c r="AG2127" s="21" t="n">
        <x:f>SUM(J2127:O2127)</x:f>
        <x:v>1282</x:v>
      </x:c>
      <x:c r="AH2127" s="17" t="n">
        <x:f>SUM(Q2127:S2127)</x:f>
        <x:v>19</x:v>
      </x:c>
      <x:c r="AI2127" s="17" t="n">
        <x:f>SUM(U2127:Y2127)</x:f>
        <x:v>0</x:v>
      </x:c>
      <x:c r="AJ2127" s="17" t="str">
        <x:f>IF(AE2127&lt;=34,"≤34",IF(AE2127&lt;=44,"35–44",IF(AE2127&lt;=54,"45–54",IF(AE2127&lt;=64,"55–64","65+"))))</x:f>
        <x:v>45–54</x:v>
      </x:c>
      <x:c r="AK2127" s="17" t="str">
        <x:f>IF(AG2127&gt;=1000,"High Value",IF(AG2127&gt;=300,"Mid Value","Low Value"))</x:f>
        <x:v>High Value</x:v>
      </x:c>
      <x:c r="AL2127" s="17" t="str">
        <x:f>IF(AND(AI2127&gt;=1,I2127&lt;=50),"Priority 1",IF(AND(AG2127&gt;=1000,I2127&lt;=60),"Priority 2",IF(I2127&lt;=30,"Priority 3","Nurture")))</x:f>
        <x:v>Priority 2</x:v>
      </x:c>
    </x:row>
    <x:row r="2128">
      <x:c r="A2128" s="16" t="n">
        <x:v>10104</x:v>
      </x:c>
      <x:c r="B2128" s="16" t="n">
        <x:v>1974</x:v>
      </x:c>
      <x:c r="C2128" s="16" t="str">
        <x:v>Graduation</x:v>
      </x:c>
      <x:c r="D2128" s="16" t="str">
        <x:v>Together</x:v>
      </x:c>
      <x:c r="E2128" s="16" t="n">
        <x:v>33590</x:v>
      </x:c>
      <x:c r="F2128" s="16" t="n">
        <x:v>2</x:v>
      </x:c>
      <x:c r="G2128" s="16" t="n">
        <x:v>1</x:v>
      </x:c>
      <x:c r="H2128" s="16" t="str">
        <x:v>03-11-2013</x:v>
      </x:c>
      <x:c r="I2128" s="16" t="n">
        <x:v>65</x:v>
      </x:c>
      <x:c r="J2128" s="16" t="n">
        <x:v>4</x:v>
      </x:c>
      <x:c r="K2128" s="16" t="n">
        <x:v>0</x:v>
      </x:c>
      <x:c r="L2128" s="16" t="n">
        <x:v>2</x:v>
      </x:c>
      <x:c r="M2128" s="16" t="n">
        <x:v>0</x:v>
      </x:c>
      <x:c r="N2128" s="16" t="n">
        <x:v>0</x:v>
      </x:c>
      <x:c r="O2128" s="16" t="n">
        <x:v>2</x:v>
      </x:c>
      <x:c r="P2128" s="16" t="n">
        <x:v>1</x:v>
      </x:c>
      <x:c r="Q2128" s="16" t="n">
        <x:v>1</x:v>
      </x:c>
      <x:c r="R2128" s="16" t="n">
        <x:v>0</x:v>
      </x:c>
      <x:c r="S2128" s="16" t="n">
        <x:v>2</x:v>
      </x:c>
      <x:c r="T2128" s="16" t="n">
        <x:v>7</x:v>
      </x:c>
      <x:c r="U2128" s="16" t="n">
        <x:v>0</x:v>
      </x:c>
      <x:c r="V2128" s="16" t="n">
        <x:v>0</x:v>
      </x:c>
      <x:c r="W2128" s="16" t="n">
        <x:v>0</x:v>
      </x:c>
      <x:c r="X2128" s="16" t="n">
        <x:v>0</x:v>
      </x:c>
      <x:c r="Y2128" s="16" t="n">
        <x:v>0</x:v>
      </x:c>
      <x:c r="Z2128" s="16" t="n">
        <x:v>0</x:v>
      </x:c>
      <x:c r="AA2128" s="16" t="n">
        <x:v>3</x:v>
      </x:c>
      <x:c r="AB2128" s="16" t="n">
        <x:v>11</x:v>
      </x:c>
      <x:c r="AC2128" s="16" t="n">
        <x:v>0</x:v>
      </x:c>
      <x:c r="AD2128" s="21" t="n">
        <x:f>IF(E2128="",MEDIAN($E$2:$E$2237),E2128)</x:f>
        <x:v>33590</x:v>
      </x:c>
      <x:c r="AE2128" s="17" t="n">
        <x:f>2014-B2128</x:f>
        <x:v>40</x:v>
      </x:c>
      <x:c r="AF2128" s="17" t="n">
        <x:f>F2128+G2128</x:f>
        <x:v>3</x:v>
      </x:c>
      <x:c r="AG2128" s="21" t="n">
        <x:f>SUM(J2128:O2128)</x:f>
        <x:v>8</x:v>
      </x:c>
      <x:c r="AH2128" s="17" t="n">
        <x:f>SUM(Q2128:S2128)</x:f>
        <x:v>3</x:v>
      </x:c>
      <x:c r="AI2128" s="17" t="n">
        <x:f>SUM(U2128:Y2128)</x:f>
        <x:v>0</x:v>
      </x:c>
      <x:c r="AJ2128" s="17" t="str">
        <x:f>IF(AE2128&lt;=34,"≤34",IF(AE2128&lt;=44,"35–44",IF(AE2128&lt;=54,"45–54",IF(AE2128&lt;=64,"55–64","65+"))))</x:f>
        <x:v>35–44</x:v>
      </x:c>
      <x:c r="AK2128" s="17" t="str">
        <x:f>IF(AG2128&gt;=1000,"High Value",IF(AG2128&gt;=300,"Mid Value","Low Value"))</x:f>
        <x:v>Low Value</x:v>
      </x:c>
      <x:c r="AL2128" s="17" t="str">
        <x:f>IF(AND(AI2128&gt;=1,I2128&lt;=50),"Priority 1",IF(AND(AG2128&gt;=1000,I2128&lt;=60),"Priority 2",IF(I2128&lt;=30,"Priority 3","Nurture")))</x:f>
        <x:v>Nurture</x:v>
      </x:c>
    </x:row>
    <x:row r="2129">
      <x:c r="A2129" s="16" t="n">
        <x:v>3006</x:v>
      </x:c>
      <x:c r="B2129" s="16" t="n">
        <x:v>1976</x:v>
      </x:c>
      <x:c r="C2129" s="16" t="str">
        <x:v>Graduation</x:v>
      </x:c>
      <x:c r="D2129" s="16" t="str">
        <x:v>Divorced</x:v>
      </x:c>
      <x:c r="E2129" s="16" t="n">
        <x:v>30992</x:v>
      </x:c>
      <x:c r="F2129" s="16" t="n">
        <x:v>1</x:v>
      </x:c>
      <x:c r="G2129" s="16" t="n">
        <x:v>0</x:v>
      </x:c>
      <x:c r="H2129" s="16" t="str">
        <x:v>22-04-2013</x:v>
      </x:c>
      <x:c r="I2129" s="16" t="n">
        <x:v>83</x:v>
      </x:c>
      <x:c r="J2129" s="16" t="n">
        <x:v>17</x:v>
      </x:c>
      <x:c r="K2129" s="16" t="n">
        <x:v>0</x:v>
      </x:c>
      <x:c r="L2129" s="16" t="n">
        <x:v>14</x:v>
      </x:c>
      <x:c r="M2129" s="16" t="n">
        <x:v>7</x:v>
      </x:c>
      <x:c r="N2129" s="16" t="n">
        <x:v>3</x:v>
      </x:c>
      <x:c r="O2129" s="16" t="n">
        <x:v>2</x:v>
      </x:c>
      <x:c r="P2129" s="16" t="n">
        <x:v>1</x:v>
      </x:c>
      <x:c r="Q2129" s="16" t="n">
        <x:v>1</x:v>
      </x:c>
      <x:c r="R2129" s="16" t="n">
        <x:v>0</x:v>
      </x:c>
      <x:c r="S2129" s="16" t="n">
        <x:v>3</x:v>
      </x:c>
      <x:c r="T2129" s="16" t="n">
        <x:v>7</x:v>
      </x:c>
      <x:c r="U2129" s="16" t="n">
        <x:v>0</x:v>
      </x:c>
      <x:c r="V2129" s="16" t="n">
        <x:v>0</x:v>
      </x:c>
      <x:c r="W2129" s="16" t="n">
        <x:v>0</x:v>
      </x:c>
      <x:c r="X2129" s="16" t="n">
        <x:v>0</x:v>
      </x:c>
      <x:c r="Y2129" s="16" t="n">
        <x:v>0</x:v>
      </x:c>
      <x:c r="Z2129" s="16" t="n">
        <x:v>0</x:v>
      </x:c>
      <x:c r="AA2129" s="16" t="n">
        <x:v>3</x:v>
      </x:c>
      <x:c r="AB2129" s="16" t="n">
        <x:v>11</x:v>
      </x:c>
      <x:c r="AC2129" s="16" t="n">
        <x:v>0</x:v>
      </x:c>
      <x:c r="AD2129" s="21" t="n">
        <x:f>IF(E2129="",MEDIAN($E$2:$E$2237),E2129)</x:f>
        <x:v>30992</x:v>
      </x:c>
      <x:c r="AE2129" s="17" t="n">
        <x:f>2014-B2129</x:f>
        <x:v>38</x:v>
      </x:c>
      <x:c r="AF2129" s="17" t="n">
        <x:f>F2129+G2129</x:f>
        <x:v>1</x:v>
      </x:c>
      <x:c r="AG2129" s="21" t="n">
        <x:f>SUM(J2129:O2129)</x:f>
        <x:v>43</x:v>
      </x:c>
      <x:c r="AH2129" s="17" t="n">
        <x:f>SUM(Q2129:S2129)</x:f>
        <x:v>4</x:v>
      </x:c>
      <x:c r="AI2129" s="17" t="n">
        <x:f>SUM(U2129:Y2129)</x:f>
        <x:v>0</x:v>
      </x:c>
      <x:c r="AJ2129" s="17" t="str">
        <x:f>IF(AE2129&lt;=34,"≤34",IF(AE2129&lt;=44,"35–44",IF(AE2129&lt;=54,"45–54",IF(AE2129&lt;=64,"55–64","65+"))))</x:f>
        <x:v>35–44</x:v>
      </x:c>
      <x:c r="AK2129" s="17" t="str">
        <x:f>IF(AG2129&gt;=1000,"High Value",IF(AG2129&gt;=300,"Mid Value","Low Value"))</x:f>
        <x:v>Low Value</x:v>
      </x:c>
      <x:c r="AL2129" s="17" t="str">
        <x:f>IF(AND(AI2129&gt;=1,I2129&lt;=50),"Priority 1",IF(AND(AG2129&gt;=1000,I2129&lt;=60),"Priority 2",IF(I2129&lt;=30,"Priority 3","Nurture")))</x:f>
        <x:v>Nurture</x:v>
      </x:c>
    </x:row>
    <x:row r="2130">
      <x:c r="A2130" s="16" t="n">
        <x:v>3919</x:v>
      </x:c>
      <x:c r="B2130" s="16" t="n">
        <x:v>1976</x:v>
      </x:c>
      <x:c r="C2130" s="16" t="str">
        <x:v>Master</x:v>
      </x:c>
      <x:c r="D2130" s="16" t="str">
        <x:v>Single</x:v>
      </x:c>
      <x:c r="E2130" s="16" t="n">
        <x:v>72309</x:v>
      </x:c>
      <x:c r="F2130" s="16" t="n">
        <x:v>0</x:v>
      </x:c>
      <x:c r="G2130" s="16" t="n">
        <x:v>0</x:v>
      </x:c>
      <x:c r="H2130" s="16" t="str">
        <x:v>11-03-2013</x:v>
      </x:c>
      <x:c r="I2130" s="16" t="n">
        <x:v>64</x:v>
      </x:c>
      <x:c r="J2130" s="16" t="n">
        <x:v>960</x:v>
      </x:c>
      <x:c r="K2130" s="16" t="n">
        <x:v>0</x:v>
      </x:c>
      <x:c r="L2130" s="16" t="n">
        <x:v>883</x:v>
      </x:c>
      <x:c r="M2130" s="16" t="n">
        <x:v>50</x:v>
      </x:c>
      <x:c r="N2130" s="16" t="n">
        <x:v>38</x:v>
      </x:c>
      <x:c r="O2130" s="16" t="n">
        <x:v>0</x:v>
      </x:c>
      <x:c r="P2130" s="16" t="n">
        <x:v>1</x:v>
      </x:c>
      <x:c r="Q2130" s="16" t="n">
        <x:v>5</x:v>
      </x:c>
      <x:c r="R2130" s="16" t="n">
        <x:v>6</x:v>
      </x:c>
      <x:c r="S2130" s="16" t="n">
        <x:v>8</x:v>
      </x:c>
      <x:c r="T2130" s="16" t="n">
        <x:v>3</x:v>
      </x:c>
      <x:c r="U2130" s="16" t="n">
        <x:v>0</x:v>
      </x:c>
      <x:c r="V2130" s="16" t="n">
        <x:v>0</x:v>
      </x:c>
      <x:c r="W2130" s="16" t="n">
        <x:v>0</x:v>
      </x:c>
      <x:c r="X2130" s="16" t="n">
        <x:v>1</x:v>
      </x:c>
      <x:c r="Y2130" s="16" t="n">
        <x:v>0</x:v>
      </x:c>
      <x:c r="Z2130" s="16" t="n">
        <x:v>0</x:v>
      </x:c>
      <x:c r="AA2130" s="16" t="n">
        <x:v>3</x:v>
      </x:c>
      <x:c r="AB2130" s="16" t="n">
        <x:v>11</x:v>
      </x:c>
      <x:c r="AC2130" s="16" t="n">
        <x:v>1</x:v>
      </x:c>
      <x:c r="AD2130" s="21" t="n">
        <x:f>IF(E2130="",MEDIAN($E$2:$E$2237),E2130)</x:f>
        <x:v>72309</x:v>
      </x:c>
      <x:c r="AE2130" s="17" t="n">
        <x:f>2014-B2130</x:f>
        <x:v>38</x:v>
      </x:c>
      <x:c r="AF2130" s="17" t="n">
        <x:f>F2130+G2130</x:f>
        <x:v>0</x:v>
      </x:c>
      <x:c r="AG2130" s="21" t="n">
        <x:f>SUM(J2130:O2130)</x:f>
        <x:v>1931</x:v>
      </x:c>
      <x:c r="AH2130" s="17" t="n">
        <x:f>SUM(Q2130:S2130)</x:f>
        <x:v>19</x:v>
      </x:c>
      <x:c r="AI2130" s="17" t="n">
        <x:f>SUM(U2130:Y2130)</x:f>
        <x:v>1</x:v>
      </x:c>
      <x:c r="AJ2130" s="17" t="str">
        <x:f>IF(AE2130&lt;=34,"≤34",IF(AE2130&lt;=44,"35–44",IF(AE2130&lt;=54,"45–54",IF(AE2130&lt;=64,"55–64","65+"))))</x:f>
        <x:v>35–44</x:v>
      </x:c>
      <x:c r="AK2130" s="17" t="str">
        <x:f>IF(AG2130&gt;=1000,"High Value",IF(AG2130&gt;=300,"Mid Value","Low Value"))</x:f>
        <x:v>High Value</x:v>
      </x:c>
      <x:c r="AL2130" s="17" t="str">
        <x:f>IF(AND(AI2130&gt;=1,I2130&lt;=50),"Priority 1",IF(AND(AG2130&gt;=1000,I2130&lt;=60),"Priority 2",IF(I2130&lt;=30,"Priority 3","Nurture")))</x:f>
        <x:v>Nurture</x:v>
      </x:c>
    </x:row>
    <x:row r="2131">
      <x:c r="A2131" s="16" t="n">
        <x:v>11181</x:v>
      </x:c>
      <x:c r="B2131" s="16" t="n">
        <x:v>1949</x:v>
      </x:c>
      <x:c r="C2131" s="16" t="str">
        <x:v>PhD</x:v>
      </x:c>
      <x:c r="D2131" s="16" t="str">
        <x:v>Married</x:v>
      </x:c>
      <x:c r="E2131" s="16" t="n">
        <x:v>156924</x:v>
      </x:c>
      <x:c r="F2131" s="16" t="n">
        <x:v>0</x:v>
      </x:c>
      <x:c r="G2131" s="16" t="n">
        <x:v>0</x:v>
      </x:c>
      <x:c r="H2131" s="16" t="str">
        <x:v>29-08-2013</x:v>
      </x:c>
      <x:c r="I2131" s="16" t="n">
        <x:v>85</x:v>
      </x:c>
      <x:c r="J2131" s="16" t="n">
        <x:v>2</x:v>
      </x:c>
      <x:c r="K2131" s="16" t="n">
        <x:v>1</x:v>
      </x:c>
      <x:c r="L2131" s="16" t="n">
        <x:v>2</x:v>
      </x:c>
      <x:c r="M2131" s="16" t="n">
        <x:v>1</x:v>
      </x:c>
      <x:c r="N2131" s="16" t="n">
        <x:v>1</x:v>
      </x:c>
      <x:c r="O2131" s="16" t="n">
        <x:v>1</x:v>
      </x:c>
      <x:c r="P2131" s="16" t="n">
        <x:v>0</x:v>
      </x:c>
      <x:c r="Q2131" s="16" t="n">
        <x:v>0</x:v>
      </x:c>
      <x:c r="R2131" s="16" t="n">
        <x:v>0</x:v>
      </x:c>
      <x:c r="S2131" s="16" t="n">
        <x:v>0</x:v>
      </x:c>
      <x:c r="T2131" s="16" t="n">
        <x:v>0</x:v>
      </x:c>
      <x:c r="U2131" s="16" t="n">
        <x:v>0</x:v>
      </x:c>
      <x:c r="V2131" s="16" t="n">
        <x:v>0</x:v>
      </x:c>
      <x:c r="W2131" s="16" t="n">
        <x:v>0</x:v>
      </x:c>
      <x:c r="X2131" s="16" t="n">
        <x:v>0</x:v>
      </x:c>
      <x:c r="Y2131" s="16" t="n">
        <x:v>0</x:v>
      </x:c>
      <x:c r="Z2131" s="16" t="n">
        <x:v>0</x:v>
      </x:c>
      <x:c r="AA2131" s="16" t="n">
        <x:v>3</x:v>
      </x:c>
      <x:c r="AB2131" s="16" t="n">
        <x:v>11</x:v>
      </x:c>
      <x:c r="AC2131" s="16" t="n">
        <x:v>0</x:v>
      </x:c>
      <x:c r="AD2131" s="21" t="n">
        <x:f>IF(E2131="",MEDIAN($E$2:$E$2237),E2131)</x:f>
        <x:v>156924</x:v>
      </x:c>
      <x:c r="AE2131" s="17" t="n">
        <x:f>2014-B2131</x:f>
        <x:v>65</x:v>
      </x:c>
      <x:c r="AF2131" s="17" t="n">
        <x:f>F2131+G2131</x:f>
        <x:v>0</x:v>
      </x:c>
      <x:c r="AG2131" s="21" t="n">
        <x:f>SUM(J2131:O2131)</x:f>
        <x:v>8</x:v>
      </x:c>
      <x:c r="AH2131" s="17" t="n">
        <x:f>SUM(Q2131:S2131)</x:f>
        <x:v>0</x:v>
      </x:c>
      <x:c r="AI2131" s="17" t="n">
        <x:f>SUM(U2131:Y2131)</x:f>
        <x:v>0</x:v>
      </x:c>
      <x:c r="AJ2131" s="17" t="str">
        <x:f>IF(AE2131&lt;=34,"≤34",IF(AE2131&lt;=44,"35–44",IF(AE2131&lt;=54,"45–54",IF(AE2131&lt;=64,"55–64","65+"))))</x:f>
        <x:v>65+</x:v>
      </x:c>
      <x:c r="AK2131" s="17" t="str">
        <x:f>IF(AG2131&gt;=1000,"High Value",IF(AG2131&gt;=300,"Mid Value","Low Value"))</x:f>
        <x:v>Low Value</x:v>
      </x:c>
      <x:c r="AL2131" s="17" t="str">
        <x:f>IF(AND(AI2131&gt;=1,I2131&lt;=50),"Priority 1",IF(AND(AG2131&gt;=1000,I2131&lt;=60),"Priority 2",IF(I2131&lt;=30,"Priority 3","Nurture")))</x:f>
        <x:v>Nurture</x:v>
      </x:c>
    </x:row>
    <x:row r="2132">
      <x:c r="A2132" s="16" t="n">
        <x:v>642</x:v>
      </x:c>
      <x:c r="B2132" s="16" t="n">
        <x:v>1980</x:v>
      </x:c>
      <x:c r="C2132" s="16" t="str">
        <x:v>Basic</x:v>
      </x:c>
      <x:c r="D2132" s="16" t="str">
        <x:v>Married</x:v>
      </x:c>
      <x:c r="E2132" s="16" t="n">
        <x:v>16005</x:v>
      </x:c>
      <x:c r="F2132" s="16" t="n">
        <x:v>1</x:v>
      </x:c>
      <x:c r="G2132" s="16" t="n">
        <x:v>0</x:v>
      </x:c>
      <x:c r="H2132" s="16" t="str">
        <x:v>14-08-2012</x:v>
      </x:c>
      <x:c r="I2132" s="16" t="n">
        <x:v>69</x:v>
      </x:c>
      <x:c r="J2132" s="16" t="n">
        <x:v>1</x:v>
      </x:c>
      <x:c r="K2132" s="16" t="n">
        <x:v>3</x:v>
      </x:c>
      <x:c r="L2132" s="16" t="n">
        <x:v>2</x:v>
      </x:c>
      <x:c r="M2132" s="16" t="n">
        <x:v>20</x:v>
      </x:c>
      <x:c r="N2132" s="16" t="n">
        <x:v>30</x:v>
      </x:c>
      <x:c r="O2132" s="16" t="n">
        <x:v>47</x:v>
      </x:c>
      <x:c r="P2132" s="16" t="n">
        <x:v>3</x:v>
      </x:c>
      <x:c r="Q2132" s="16" t="n">
        <x:v>2</x:v>
      </x:c>
      <x:c r="R2132" s="16" t="n">
        <x:v>1</x:v>
      </x:c>
      <x:c r="S2132" s="16" t="n">
        <x:v>2</x:v>
      </x:c>
      <x:c r="T2132" s="16" t="n">
        <x:v>8</x:v>
      </x:c>
      <x:c r="U2132" s="16" t="n">
        <x:v>0</x:v>
      </x:c>
      <x:c r="V2132" s="16" t="n">
        <x:v>0</x:v>
      </x:c>
      <x:c r="W2132" s="16" t="n">
        <x:v>0</x:v>
      </x:c>
      <x:c r="X2132" s="16" t="n">
        <x:v>0</x:v>
      </x:c>
      <x:c r="Y2132" s="16" t="n">
        <x:v>0</x:v>
      </x:c>
      <x:c r="Z2132" s="16" t="n">
        <x:v>0</x:v>
      </x:c>
      <x:c r="AA2132" s="16" t="n">
        <x:v>3</x:v>
      </x:c>
      <x:c r="AB2132" s="16" t="n">
        <x:v>11</x:v>
      </x:c>
      <x:c r="AC2132" s="16" t="n">
        <x:v>0</x:v>
      </x:c>
      <x:c r="AD2132" s="21" t="n">
        <x:f>IF(E2132="",MEDIAN($E$2:$E$2237),E2132)</x:f>
        <x:v>16005</x:v>
      </x:c>
      <x:c r="AE2132" s="17" t="n">
        <x:f>2014-B2132</x:f>
        <x:v>34</x:v>
      </x:c>
      <x:c r="AF2132" s="17" t="n">
        <x:f>F2132+G2132</x:f>
        <x:v>1</x:v>
      </x:c>
      <x:c r="AG2132" s="21" t="n">
        <x:f>SUM(J2132:O2132)</x:f>
        <x:v>103</x:v>
      </x:c>
      <x:c r="AH2132" s="17" t="n">
        <x:f>SUM(Q2132:S2132)</x:f>
        <x:v>5</x:v>
      </x:c>
      <x:c r="AI2132" s="17" t="n">
        <x:f>SUM(U2132:Y2132)</x:f>
        <x:v>0</x:v>
      </x:c>
      <x:c r="AJ2132" s="17" t="str">
        <x:f>IF(AE2132&lt;=34,"≤34",IF(AE2132&lt;=44,"35–44",IF(AE2132&lt;=54,"45–54",IF(AE2132&lt;=64,"55–64","65+"))))</x:f>
        <x:v>≤34</x:v>
      </x:c>
      <x:c r="AK2132" s="17" t="str">
        <x:f>IF(AG2132&gt;=1000,"High Value",IF(AG2132&gt;=300,"Mid Value","Low Value"))</x:f>
        <x:v>Low Value</x:v>
      </x:c>
      <x:c r="AL2132" s="17" t="str">
        <x:f>IF(AND(AI2132&gt;=1,I2132&lt;=50),"Priority 1",IF(AND(AG2132&gt;=1000,I2132&lt;=60),"Priority 2",IF(I2132&lt;=30,"Priority 3","Nurture")))</x:f>
        <x:v>Nurture</x:v>
      </x:c>
    </x:row>
    <x:row r="2133">
      <x:c r="A2133" s="16" t="n">
        <x:v>4369</x:v>
      </x:c>
      <x:c r="B2133" s="16" t="n">
        <x:v>1957</x:v>
      </x:c>
      <x:c r="C2133" s="16" t="str">
        <x:v>Master</x:v>
      </x:c>
      <x:c r="D2133" s="16" t="str">
        <x:v>Absurd</x:v>
      </x:c>
      <x:c r="E2133" s="16" t="n">
        <x:v>65487</x:v>
      </x:c>
      <x:c r="F2133" s="16" t="n">
        <x:v>0</x:v>
      </x:c>
      <x:c r="G2133" s="16" t="n">
        <x:v>0</x:v>
      </x:c>
      <x:c r="H2133" s="16" t="str">
        <x:v>10-01-2014</x:v>
      </x:c>
      <x:c r="I2133" s="16" t="n">
        <x:v>48</x:v>
      </x:c>
      <x:c r="J2133" s="16" t="n">
        <x:v>240</x:v>
      </x:c>
      <x:c r="K2133" s="16" t="n">
        <x:v>67</x:v>
      </x:c>
      <x:c r="L2133" s="16" t="n">
        <x:v>500</x:v>
      </x:c>
      <x:c r="M2133" s="16" t="n">
        <x:v>199</x:v>
      </x:c>
      <x:c r="N2133" s="16" t="n">
        <x:v>0</x:v>
      </x:c>
      <x:c r="O2133" s="16" t="n">
        <x:v>163</x:v>
      </x:c>
      <x:c r="P2133" s="16" t="n">
        <x:v>3</x:v>
      </x:c>
      <x:c r="Q2133" s="16" t="n">
        <x:v>3</x:v>
      </x:c>
      <x:c r="R2133" s="16" t="n">
        <x:v>5</x:v>
      </x:c>
      <x:c r="S2133" s="16" t="n">
        <x:v>6</x:v>
      </x:c>
      <x:c r="T2133" s="16" t="n">
        <x:v>2</x:v>
      </x:c>
      <x:c r="U2133" s="16" t="n">
        <x:v>0</x:v>
      </x:c>
      <x:c r="V2133" s="16" t="n">
        <x:v>0</x:v>
      </x:c>
      <x:c r="W2133" s="16" t="n">
        <x:v>0</x:v>
      </x:c>
      <x:c r="X2133" s="16" t="n">
        <x:v>0</x:v>
      </x:c>
      <x:c r="Y2133" s="16" t="n">
        <x:v>0</x:v>
      </x:c>
      <x:c r="Z2133" s="16" t="n">
        <x:v>0</x:v>
      </x:c>
      <x:c r="AA2133" s="16" t="n">
        <x:v>3</x:v>
      </x:c>
      <x:c r="AB2133" s="16" t="n">
        <x:v>11</x:v>
      </x:c>
      <x:c r="AC2133" s="16" t="n">
        <x:v>0</x:v>
      </x:c>
      <x:c r="AD2133" s="21" t="n">
        <x:f>IF(E2133="",MEDIAN($E$2:$E$2237),E2133)</x:f>
        <x:v>65487</x:v>
      </x:c>
      <x:c r="AE2133" s="17" t="n">
        <x:f>2014-B2133</x:f>
        <x:v>57</x:v>
      </x:c>
      <x:c r="AF2133" s="17" t="n">
        <x:f>F2133+G2133</x:f>
        <x:v>0</x:v>
      </x:c>
      <x:c r="AG2133" s="21" t="n">
        <x:f>SUM(J2133:O2133)</x:f>
        <x:v>1169</x:v>
      </x:c>
      <x:c r="AH2133" s="17" t="n">
        <x:f>SUM(Q2133:S2133)</x:f>
        <x:v>14</x:v>
      </x:c>
      <x:c r="AI2133" s="17" t="n">
        <x:f>SUM(U2133:Y2133)</x:f>
        <x:v>0</x:v>
      </x:c>
      <x:c r="AJ2133" s="17" t="str">
        <x:f>IF(AE2133&lt;=34,"≤34",IF(AE2133&lt;=44,"35–44",IF(AE2133&lt;=54,"45–54",IF(AE2133&lt;=64,"55–64","65+"))))</x:f>
        <x:v>55–64</x:v>
      </x:c>
      <x:c r="AK2133" s="17" t="str">
        <x:f>IF(AG2133&gt;=1000,"High Value",IF(AG2133&gt;=300,"Mid Value","Low Value"))</x:f>
        <x:v>High Value</x:v>
      </x:c>
      <x:c r="AL2133" s="17" t="str">
        <x:f>IF(AND(AI2133&gt;=1,I2133&lt;=50),"Priority 1",IF(AND(AG2133&gt;=1000,I2133&lt;=60),"Priority 2",IF(I2133&lt;=30,"Priority 3","Nurture")))</x:f>
        <x:v>Priority 2</x:v>
      </x:c>
    </x:row>
    <x:row r="2134">
      <x:c r="A2134" s="16" t="n">
        <x:v>10127</x:v>
      </x:c>
      <x:c r="B2134" s="16" t="n">
        <x:v>1965</x:v>
      </x:c>
      <x:c r="C2134" s="16" t="str">
        <x:v>Graduation</x:v>
      </x:c>
      <x:c r="D2134" s="16" t="str">
        <x:v>Married</x:v>
      </x:c>
      <x:c r="E2134" s="16" t="n">
        <x:v>58692</x:v>
      </x:c>
      <x:c r="F2134" s="16" t="n">
        <x:v>0</x:v>
      </x:c>
      <x:c r="G2134" s="16" t="n">
        <x:v>1</x:v>
      </x:c>
      <x:c r="H2134" s="16" t="str">
        <x:v>06-04-2014</x:v>
      </x:c>
      <x:c r="I2134" s="16" t="n">
        <x:v>21</x:v>
      </x:c>
      <x:c r="J2134" s="16" t="n">
        <x:v>301</x:v>
      </x:c>
      <x:c r="K2134" s="16" t="n">
        <x:v>11</x:v>
      </x:c>
      <x:c r="L2134" s="16" t="n">
        <x:v>61</x:v>
      </x:c>
      <x:c r="M2134" s="16" t="n">
        <x:v>4</x:v>
      </x:c>
      <x:c r="N2134" s="16" t="n">
        <x:v>7</x:v>
      </x:c>
      <x:c r="O2134" s="16" t="n">
        <x:v>11</x:v>
      </x:c>
      <x:c r="P2134" s="16" t="n">
        <x:v>1</x:v>
      </x:c>
      <x:c r="Q2134" s="16" t="n">
        <x:v>8</x:v>
      </x:c>
      <x:c r="R2134" s="16" t="n">
        <x:v>2</x:v>
      </x:c>
      <x:c r="S2134" s="16" t="n">
        <x:v>4</x:v>
      </x:c>
      <x:c r="T2134" s="16" t="n">
        <x:v>7</x:v>
      </x:c>
      <x:c r="U2134" s="16" t="n">
        <x:v>0</x:v>
      </x:c>
      <x:c r="V2134" s="16" t="n">
        <x:v>0</x:v>
      </x:c>
      <x:c r="W2134" s="16" t="n">
        <x:v>0</x:v>
      </x:c>
      <x:c r="X2134" s="16" t="n">
        <x:v>0</x:v>
      </x:c>
      <x:c r="Y2134" s="16" t="n">
        <x:v>0</x:v>
      </x:c>
      <x:c r="Z2134" s="16" t="n">
        <x:v>0</x:v>
      </x:c>
      <x:c r="AA2134" s="16" t="n">
        <x:v>3</x:v>
      </x:c>
      <x:c r="AB2134" s="16" t="n">
        <x:v>11</x:v>
      </x:c>
      <x:c r="AC2134" s="16" t="n">
        <x:v>0</x:v>
      </x:c>
      <x:c r="AD2134" s="21" t="n">
        <x:f>IF(E2134="",MEDIAN($E$2:$E$2237),E2134)</x:f>
        <x:v>58692</x:v>
      </x:c>
      <x:c r="AE2134" s="17" t="n">
        <x:f>2014-B2134</x:f>
        <x:v>49</x:v>
      </x:c>
      <x:c r="AF2134" s="17" t="n">
        <x:f>F2134+G2134</x:f>
        <x:v>1</x:v>
      </x:c>
      <x:c r="AG2134" s="21" t="n">
        <x:f>SUM(J2134:O2134)</x:f>
        <x:v>395</x:v>
      </x:c>
      <x:c r="AH2134" s="17" t="n">
        <x:f>SUM(Q2134:S2134)</x:f>
        <x:v>14</x:v>
      </x:c>
      <x:c r="AI2134" s="17" t="n">
        <x:f>SUM(U2134:Y2134)</x:f>
        <x:v>0</x:v>
      </x:c>
      <x:c r="AJ2134" s="17" t="str">
        <x:f>IF(AE2134&lt;=34,"≤34",IF(AE2134&lt;=44,"35–44",IF(AE2134&lt;=54,"45–54",IF(AE2134&lt;=64,"55–64","65+"))))</x:f>
        <x:v>45–54</x:v>
      </x:c>
      <x:c r="AK2134" s="17" t="str">
        <x:f>IF(AG2134&gt;=1000,"High Value",IF(AG2134&gt;=300,"Mid Value","Low Value"))</x:f>
        <x:v>Mid Value</x:v>
      </x:c>
      <x:c r="AL2134" s="17" t="str">
        <x:f>IF(AND(AI2134&gt;=1,I2134&lt;=50),"Priority 1",IF(AND(AG2134&gt;=1000,I2134&lt;=60),"Priority 2",IF(I2134&lt;=30,"Priority 3","Nurture")))</x:f>
        <x:v>Priority 3</x:v>
      </x:c>
    </x:row>
    <x:row r="2135">
      <x:c r="A2135" s="16" t="n">
        <x:v>271</x:v>
      </x:c>
      <x:c r="B2135" s="16" t="n">
        <x:v>1969</x:v>
      </x:c>
      <x:c r="C2135" s="16" t="str">
        <x:v>Graduation</x:v>
      </x:c>
      <x:c r="D2135" s="16" t="str">
        <x:v>Widow</x:v>
      </x:c>
      <x:c r="E2135" s="16" t="n">
        <x:v>40590</x:v>
      </x:c>
      <x:c r="F2135" s="16" t="n">
        <x:v>1</x:v>
      </x:c>
      <x:c r="G2135" s="16" t="n">
        <x:v>1</x:v>
      </x:c>
      <x:c r="H2135" s="16" t="str">
        <x:v>02-10-2013</x:v>
      </x:c>
      <x:c r="I2135" s="16" t="n">
        <x:v>30</x:v>
      </x:c>
      <x:c r="J2135" s="16" t="n">
        <x:v>154</x:v>
      </x:c>
      <x:c r="K2135" s="16" t="n">
        <x:v>0</x:v>
      </x:c>
      <x:c r="L2135" s="16" t="n">
        <x:v>50</x:v>
      </x:c>
      <x:c r="M2135" s="16" t="n">
        <x:v>6</x:v>
      </x:c>
      <x:c r="N2135" s="16" t="n">
        <x:v>11</x:v>
      </x:c>
      <x:c r="O2135" s="16" t="n">
        <x:v>37</x:v>
      </x:c>
      <x:c r="P2135" s="16" t="n">
        <x:v>5</x:v>
      </x:c>
      <x:c r="Q2135" s="16" t="n">
        <x:v>3</x:v>
      </x:c>
      <x:c r="R2135" s="16" t="n">
        <x:v>4</x:v>
      </x:c>
      <x:c r="S2135" s="16" t="n">
        <x:v>3</x:v>
      </x:c>
      <x:c r="T2135" s="16" t="n">
        <x:v>6</x:v>
      </x:c>
      <x:c r="U2135" s="16" t="n">
        <x:v>1</x:v>
      </x:c>
      <x:c r="V2135" s="16" t="n">
        <x:v>0</x:v>
      </x:c>
      <x:c r="W2135" s="16" t="n">
        <x:v>0</x:v>
      </x:c>
      <x:c r="X2135" s="16" t="n">
        <x:v>0</x:v>
      </x:c>
      <x:c r="Y2135" s="16" t="n">
        <x:v>0</x:v>
      </x:c>
      <x:c r="Z2135" s="16" t="n">
        <x:v>0</x:v>
      </x:c>
      <x:c r="AA2135" s="16" t="n">
        <x:v>3</x:v>
      </x:c>
      <x:c r="AB2135" s="16" t="n">
        <x:v>11</x:v>
      </x:c>
      <x:c r="AC2135" s="16" t="n">
        <x:v>0</x:v>
      </x:c>
      <x:c r="AD2135" s="21" t="n">
        <x:f>IF(E2135="",MEDIAN($E$2:$E$2237),E2135)</x:f>
        <x:v>40590</x:v>
      </x:c>
      <x:c r="AE2135" s="17" t="n">
        <x:f>2014-B2135</x:f>
        <x:v>45</x:v>
      </x:c>
      <x:c r="AF2135" s="17" t="n">
        <x:f>F2135+G2135</x:f>
        <x:v>2</x:v>
      </x:c>
      <x:c r="AG2135" s="21" t="n">
        <x:f>SUM(J2135:O2135)</x:f>
        <x:v>258</x:v>
      </x:c>
      <x:c r="AH2135" s="17" t="n">
        <x:f>SUM(Q2135:S2135)</x:f>
        <x:v>10</x:v>
      </x:c>
      <x:c r="AI2135" s="17" t="n">
        <x:f>SUM(U2135:Y2135)</x:f>
        <x:v>1</x:v>
      </x:c>
      <x:c r="AJ2135" s="17" t="str">
        <x:f>IF(AE2135&lt;=34,"≤34",IF(AE2135&lt;=44,"35–44",IF(AE2135&lt;=54,"45–54",IF(AE2135&lt;=64,"55–64","65+"))))</x:f>
        <x:v>45–54</x:v>
      </x:c>
      <x:c r="AK2135" s="17" t="str">
        <x:f>IF(AG2135&gt;=1000,"High Value",IF(AG2135&gt;=300,"Mid Value","Low Value"))</x:f>
        <x:v>Low Value</x:v>
      </x:c>
      <x:c r="AL2135" s="17" t="str">
        <x:f>IF(AND(AI2135&gt;=1,I2135&lt;=50),"Priority 1",IF(AND(AG2135&gt;=1000,I2135&lt;=60),"Priority 2",IF(I2135&lt;=30,"Priority 3","Nurture")))</x:f>
        <x:v>Priority 1</x:v>
      </x:c>
    </x:row>
    <x:row r="2136">
      <x:c r="A2136" s="16" t="n">
        <x:v>4973</x:v>
      </x:c>
      <x:c r="B2136" s="16" t="n">
        <x:v>1970</x:v>
      </x:c>
      <x:c r="C2136" s="16" t="str">
        <x:v>Graduation</x:v>
      </x:c>
      <x:c r="D2136" s="16" t="str">
        <x:v>Single</x:v>
      </x:c>
      <x:c r="E2136" s="16" t="n">
        <x:v>20587</x:v>
      </x:c>
      <x:c r="F2136" s="16" t="n">
        <x:v>1</x:v>
      </x:c>
      <x:c r="G2136" s="16" t="n">
        <x:v>0</x:v>
      </x:c>
      <x:c r="H2136" s="16" t="str">
        <x:v>11-05-2014</x:v>
      </x:c>
      <x:c r="I2136" s="16" t="n">
        <x:v>39</x:v>
      </x:c>
      <x:c r="J2136" s="16" t="n">
        <x:v>2</x:v>
      </x:c>
      <x:c r="K2136" s="16" t="n">
        <x:v>3</x:v>
      </x:c>
      <x:c r="L2136" s="16" t="n">
        <x:v>6</x:v>
      </x:c>
      <x:c r="M2136" s="16" t="n">
        <x:v>4</x:v>
      </x:c>
      <x:c r="N2136" s="16" t="n">
        <x:v>1</x:v>
      </x:c>
      <x:c r="O2136" s="16" t="n">
        <x:v>9</x:v>
      </x:c>
      <x:c r="P2136" s="16" t="n">
        <x:v>1</x:v>
      </x:c>
      <x:c r="Q2136" s="16" t="n">
        <x:v>1</x:v>
      </x:c>
      <x:c r="R2136" s="16" t="n">
        <x:v>1</x:v>
      </x:c>
      <x:c r="S2136" s="16" t="n">
        <x:v>2</x:v>
      </x:c>
      <x:c r="T2136" s="16" t="n">
        <x:v>7</x:v>
      </x:c>
      <x:c r="U2136" s="16" t="n">
        <x:v>0</x:v>
      </x:c>
      <x:c r="V2136" s="16" t="n">
        <x:v>0</x:v>
      </x:c>
      <x:c r="W2136" s="16" t="n">
        <x:v>0</x:v>
      </x:c>
      <x:c r="X2136" s="16" t="n">
        <x:v>0</x:v>
      </x:c>
      <x:c r="Y2136" s="16" t="n">
        <x:v>0</x:v>
      </x:c>
      <x:c r="Z2136" s="16" t="n">
        <x:v>0</x:v>
      </x:c>
      <x:c r="AA2136" s="16" t="n">
        <x:v>3</x:v>
      </x:c>
      <x:c r="AB2136" s="16" t="n">
        <x:v>11</x:v>
      </x:c>
      <x:c r="AC2136" s="16" t="n">
        <x:v>0</x:v>
      </x:c>
      <x:c r="AD2136" s="21" t="n">
        <x:f>IF(E2136="",MEDIAN($E$2:$E$2237),E2136)</x:f>
        <x:v>20587</x:v>
      </x:c>
      <x:c r="AE2136" s="17" t="n">
        <x:f>2014-B2136</x:f>
        <x:v>44</x:v>
      </x:c>
      <x:c r="AF2136" s="17" t="n">
        <x:f>F2136+G2136</x:f>
        <x:v>1</x:v>
      </x:c>
      <x:c r="AG2136" s="21" t="n">
        <x:f>SUM(J2136:O2136)</x:f>
        <x:v>25</x:v>
      </x:c>
      <x:c r="AH2136" s="17" t="n">
        <x:f>SUM(Q2136:S2136)</x:f>
        <x:v>4</x:v>
      </x:c>
      <x:c r="AI2136" s="17" t="n">
        <x:f>SUM(U2136:Y2136)</x:f>
        <x:v>0</x:v>
      </x:c>
      <x:c r="AJ2136" s="17" t="str">
        <x:f>IF(AE2136&lt;=34,"≤34",IF(AE2136&lt;=44,"35–44",IF(AE2136&lt;=54,"45–54",IF(AE2136&lt;=64,"55–64","65+"))))</x:f>
        <x:v>35–44</x:v>
      </x:c>
      <x:c r="AK2136" s="17" t="str">
        <x:f>IF(AG2136&gt;=1000,"High Value",IF(AG2136&gt;=300,"Mid Value","Low Value"))</x:f>
        <x:v>Low Value</x:v>
      </x:c>
      <x:c r="AL2136" s="17" t="str">
        <x:f>IF(AND(AI2136&gt;=1,I2136&lt;=50),"Priority 1",IF(AND(AG2136&gt;=1000,I2136&lt;=60),"Priority 2",IF(I2136&lt;=30,"Priority 3","Nurture")))</x:f>
        <x:v>Nurture</x:v>
      </x:c>
    </x:row>
    <x:row r="2137">
      <x:c r="A2137" s="16" t="n">
        <x:v>2948</x:v>
      </x:c>
      <x:c r="B2137" s="16" t="n">
        <x:v>1954</x:v>
      </x:c>
      <x:c r="C2137" s="16" t="str">
        <x:v>Master</x:v>
      </x:c>
      <x:c r="D2137" s="16" t="str">
        <x:v>Divorced</x:v>
      </x:c>
      <x:c r="E2137" s="16" t="n">
        <x:v>62637</x:v>
      </x:c>
      <x:c r="F2137" s="16" t="n">
        <x:v>0</x:v>
      </x:c>
      <x:c r="G2137" s="16" t="n">
        <x:v>1</x:v>
      </x:c>
      <x:c r="H2137" s="16" t="str">
        <x:v>01-03-2014</x:v>
      </x:c>
      <x:c r="I2137" s="16" t="n">
        <x:v>76</x:v>
      </x:c>
      <x:c r="J2137" s="16" t="n">
        <x:v>104</x:v>
      </x:c>
      <x:c r="K2137" s="16" t="n">
        <x:v>12</x:v>
      </x:c>
      <x:c r="L2137" s="16" t="n">
        <x:v>48</x:v>
      </x:c>
      <x:c r="M2137" s="16" t="n">
        <x:v>4</x:v>
      </x:c>
      <x:c r="N2137" s="16" t="n">
        <x:v>12</x:v>
      </x:c>
      <x:c r="O2137" s="16" t="n">
        <x:v>5</x:v>
      </x:c>
      <x:c r="P2137" s="16" t="n">
        <x:v>1</x:v>
      </x:c>
      <x:c r="Q2137" s="16" t="n">
        <x:v>2</x:v>
      </x:c>
      <x:c r="R2137" s="16" t="n">
        <x:v>2</x:v>
      </x:c>
      <x:c r="S2137" s="16" t="n">
        <x:v>5</x:v>
      </x:c>
      <x:c r="T2137" s="16" t="n">
        <x:v>2</x:v>
      </x:c>
      <x:c r="U2137" s="16" t="n">
        <x:v>0</x:v>
      </x:c>
      <x:c r="V2137" s="16" t="n">
        <x:v>0</x:v>
      </x:c>
      <x:c r="W2137" s="16" t="n">
        <x:v>0</x:v>
      </x:c>
      <x:c r="X2137" s="16" t="n">
        <x:v>0</x:v>
      </x:c>
      <x:c r="Y2137" s="16" t="n">
        <x:v>0</x:v>
      </x:c>
      <x:c r="Z2137" s="16" t="n">
        <x:v>0</x:v>
      </x:c>
      <x:c r="AA2137" s="16" t="n">
        <x:v>3</x:v>
      </x:c>
      <x:c r="AB2137" s="16" t="n">
        <x:v>11</x:v>
      </x:c>
      <x:c r="AC2137" s="16" t="n">
        <x:v>0</x:v>
      </x:c>
      <x:c r="AD2137" s="21" t="n">
        <x:f>IF(E2137="",MEDIAN($E$2:$E$2237),E2137)</x:f>
        <x:v>62637</x:v>
      </x:c>
      <x:c r="AE2137" s="17" t="n">
        <x:f>2014-B2137</x:f>
        <x:v>60</x:v>
      </x:c>
      <x:c r="AF2137" s="17" t="n">
        <x:f>F2137+G2137</x:f>
        <x:v>1</x:v>
      </x:c>
      <x:c r="AG2137" s="21" t="n">
        <x:f>SUM(J2137:O2137)</x:f>
        <x:v>185</x:v>
      </x:c>
      <x:c r="AH2137" s="17" t="n">
        <x:f>SUM(Q2137:S2137)</x:f>
        <x:v>9</x:v>
      </x:c>
      <x:c r="AI2137" s="17" t="n">
        <x:f>SUM(U2137:Y2137)</x:f>
        <x:v>0</x:v>
      </x:c>
      <x:c r="AJ2137" s="17" t="str">
        <x:f>IF(AE2137&lt;=34,"≤34",IF(AE2137&lt;=44,"35–44",IF(AE2137&lt;=54,"45–54",IF(AE2137&lt;=64,"55–64","65+"))))</x:f>
        <x:v>55–64</x:v>
      </x:c>
      <x:c r="AK2137" s="17" t="str">
        <x:f>IF(AG2137&gt;=1000,"High Value",IF(AG2137&gt;=300,"Mid Value","Low Value"))</x:f>
        <x:v>Low Value</x:v>
      </x:c>
      <x:c r="AL2137" s="17" t="str">
        <x:f>IF(AND(AI2137&gt;=1,I2137&lt;=50),"Priority 1",IF(AND(AG2137&gt;=1000,I2137&lt;=60),"Priority 2",IF(I2137&lt;=30,"Priority 3","Nurture")))</x:f>
        <x:v>Nurture</x:v>
      </x:c>
    </x:row>
    <x:row r="2138">
      <x:c r="A2138" s="16" t="n">
        <x:v>2715</x:v>
      </x:c>
      <x:c r="B2138" s="16" t="n">
        <x:v>1966</x:v>
      </x:c>
      <x:c r="C2138" s="16" t="str">
        <x:v>Master</x:v>
      </x:c>
      <x:c r="D2138" s="16" t="str">
        <x:v>Divorced</x:v>
      </x:c>
      <x:c r="E2138" s="16" t="n">
        <x:v>29435</x:v>
      </x:c>
      <x:c r="F2138" s="16" t="n">
        <x:v>1</x:v>
      </x:c>
      <x:c r="G2138" s="16" t="n">
        <x:v>1</x:v>
      </x:c>
      <x:c r="H2138" s="16" t="str">
        <x:v>06-08-2012</x:v>
      </x:c>
      <x:c r="I2138" s="16" t="n">
        <x:v>11</x:v>
      </x:c>
      <x:c r="J2138" s="16" t="n">
        <x:v>70</x:v>
      </x:c>
      <x:c r="K2138" s="16" t="n">
        <x:v>3</x:v>
      </x:c>
      <x:c r="L2138" s="16" t="n">
        <x:v>37</x:v>
      </x:c>
      <x:c r="M2138" s="16" t="n">
        <x:v>4</x:v>
      </x:c>
      <x:c r="N2138" s="16" t="n">
        <x:v>2</x:v>
      </x:c>
      <x:c r="O2138" s="16" t="n">
        <x:v>64</x:v>
      </x:c>
      <x:c r="P2138" s="16" t="n">
        <x:v>4</x:v>
      </x:c>
      <x:c r="Q2138" s="16" t="n">
        <x:v>3</x:v>
      </x:c>
      <x:c r="R2138" s="16" t="n">
        <x:v>2</x:v>
      </x:c>
      <x:c r="S2138" s="16" t="n">
        <x:v>2</x:v>
      </x:c>
      <x:c r="T2138" s="16" t="n">
        <x:v>9</x:v>
      </x:c>
      <x:c r="U2138" s="16" t="n">
        <x:v>0</x:v>
      </x:c>
      <x:c r="V2138" s="16" t="n">
        <x:v>0</x:v>
      </x:c>
      <x:c r="W2138" s="16" t="n">
        <x:v>0</x:v>
      </x:c>
      <x:c r="X2138" s="16" t="n">
        <x:v>0</x:v>
      </x:c>
      <x:c r="Y2138" s="16" t="n">
        <x:v>0</x:v>
      </x:c>
      <x:c r="Z2138" s="16" t="n">
        <x:v>0</x:v>
      </x:c>
      <x:c r="AA2138" s="16" t="n">
        <x:v>3</x:v>
      </x:c>
      <x:c r="AB2138" s="16" t="n">
        <x:v>11</x:v>
      </x:c>
      <x:c r="AC2138" s="16" t="n">
        <x:v>1</x:v>
      </x:c>
      <x:c r="AD2138" s="21" t="n">
        <x:f>IF(E2138="",MEDIAN($E$2:$E$2237),E2138)</x:f>
        <x:v>29435</x:v>
      </x:c>
      <x:c r="AE2138" s="17" t="n">
        <x:f>2014-B2138</x:f>
        <x:v>48</x:v>
      </x:c>
      <x:c r="AF2138" s="17" t="n">
        <x:f>F2138+G2138</x:f>
        <x:v>2</x:v>
      </x:c>
      <x:c r="AG2138" s="21" t="n">
        <x:f>SUM(J2138:O2138)</x:f>
        <x:v>180</x:v>
      </x:c>
      <x:c r="AH2138" s="17" t="n">
        <x:f>SUM(Q2138:S2138)</x:f>
        <x:v>7</x:v>
      </x:c>
      <x:c r="AI2138" s="17" t="n">
        <x:f>SUM(U2138:Y2138)</x:f>
        <x:v>0</x:v>
      </x:c>
      <x:c r="AJ2138" s="17" t="str">
        <x:f>IF(AE2138&lt;=34,"≤34",IF(AE2138&lt;=44,"35–44",IF(AE2138&lt;=54,"45–54",IF(AE2138&lt;=64,"55–64","65+"))))</x:f>
        <x:v>45–54</x:v>
      </x:c>
      <x:c r="AK2138" s="17" t="str">
        <x:f>IF(AG2138&gt;=1000,"High Value",IF(AG2138&gt;=300,"Mid Value","Low Value"))</x:f>
        <x:v>Low Value</x:v>
      </x:c>
      <x:c r="AL2138" s="17" t="str">
        <x:f>IF(AND(AI2138&gt;=1,I2138&lt;=50),"Priority 1",IF(AND(AG2138&gt;=1000,I2138&lt;=60),"Priority 2",IF(I2138&lt;=30,"Priority 3","Nurture")))</x:f>
        <x:v>Priority 3</x:v>
      </x:c>
    </x:row>
    <x:row r="2139">
      <x:c r="A2139" s="16" t="n">
        <x:v>10432</x:v>
      </x:c>
      <x:c r="B2139" s="16" t="n">
        <x:v>1974</x:v>
      </x:c>
      <x:c r="C2139" s="16" t="str">
        <x:v>Graduation</x:v>
      </x:c>
      <x:c r="D2139" s="16" t="str">
        <x:v>Divorced</x:v>
      </x:c>
      <x:c r="E2139" s="16" t="n">
        <x:v>19346</x:v>
      </x:c>
      <x:c r="F2139" s="16" t="n">
        <x:v>1</x:v>
      </x:c>
      <x:c r="G2139" s="16" t="n">
        <x:v>0</x:v>
      </x:c>
      <x:c r="H2139" s="16" t="str">
        <x:v>30-01-2014</x:v>
      </x:c>
      <x:c r="I2139" s="16" t="n">
        <x:v>26</x:v>
      </x:c>
      <x:c r="J2139" s="16" t="n">
        <x:v>2</x:v>
      </x:c>
      <x:c r="K2139" s="16" t="n">
        <x:v>0</x:v>
      </x:c>
      <x:c r="L2139" s="16" t="n">
        <x:v>9</x:v>
      </x:c>
      <x:c r="M2139" s="16" t="n">
        <x:v>3</x:v>
      </x:c>
      <x:c r="N2139" s="16" t="n">
        <x:v>6</x:v>
      </x:c>
      <x:c r="O2139" s="16" t="n">
        <x:v>2</x:v>
      </x:c>
      <x:c r="P2139" s="16" t="n">
        <x:v>1</x:v>
      </x:c>
      <x:c r="Q2139" s="16" t="n">
        <x:v>1</x:v>
      </x:c>
      <x:c r="R2139" s="16" t="n">
        <x:v>0</x:v>
      </x:c>
      <x:c r="S2139" s="16" t="n">
        <x:v>3</x:v>
      </x:c>
      <x:c r="T2139" s="16" t="n">
        <x:v>8</x:v>
      </x:c>
      <x:c r="U2139" s="16" t="n">
        <x:v>0</x:v>
      </x:c>
      <x:c r="V2139" s="16" t="n">
        <x:v>0</x:v>
      </x:c>
      <x:c r="W2139" s="16" t="n">
        <x:v>0</x:v>
      </x:c>
      <x:c r="X2139" s="16" t="n">
        <x:v>0</x:v>
      </x:c>
      <x:c r="Y2139" s="16" t="n">
        <x:v>0</x:v>
      </x:c>
      <x:c r="Z2139" s="16" t="n">
        <x:v>0</x:v>
      </x:c>
      <x:c r="AA2139" s="16" t="n">
        <x:v>3</x:v>
      </x:c>
      <x:c r="AB2139" s="16" t="n">
        <x:v>11</x:v>
      </x:c>
      <x:c r="AC2139" s="16" t="n">
        <x:v>0</x:v>
      </x:c>
      <x:c r="AD2139" s="21" t="n">
        <x:f>IF(E2139="",MEDIAN($E$2:$E$2237),E2139)</x:f>
        <x:v>19346</x:v>
      </x:c>
      <x:c r="AE2139" s="17" t="n">
        <x:f>2014-B2139</x:f>
        <x:v>40</x:v>
      </x:c>
      <x:c r="AF2139" s="17" t="n">
        <x:f>F2139+G2139</x:f>
        <x:v>1</x:v>
      </x:c>
      <x:c r="AG2139" s="21" t="n">
        <x:f>SUM(J2139:O2139)</x:f>
        <x:v>22</x:v>
      </x:c>
      <x:c r="AH2139" s="17" t="n">
        <x:f>SUM(Q2139:S2139)</x:f>
        <x:v>4</x:v>
      </x:c>
      <x:c r="AI2139" s="17" t="n">
        <x:f>SUM(U2139:Y2139)</x:f>
        <x:v>0</x:v>
      </x:c>
      <x:c r="AJ2139" s="17" t="str">
        <x:f>IF(AE2139&lt;=34,"≤34",IF(AE2139&lt;=44,"35–44",IF(AE2139&lt;=54,"45–54",IF(AE2139&lt;=64,"55–64","65+"))))</x:f>
        <x:v>35–44</x:v>
      </x:c>
      <x:c r="AK2139" s="17" t="str">
        <x:f>IF(AG2139&gt;=1000,"High Value",IF(AG2139&gt;=300,"Mid Value","Low Value"))</x:f>
        <x:v>Low Value</x:v>
      </x:c>
      <x:c r="AL2139" s="17" t="str">
        <x:f>IF(AND(AI2139&gt;=1,I2139&lt;=50),"Priority 1",IF(AND(AG2139&gt;=1000,I2139&lt;=60),"Priority 2",IF(I2139&lt;=30,"Priority 3","Nurture")))</x:f>
        <x:v>Priority 3</x:v>
      </x:c>
    </x:row>
    <x:row r="2140">
      <x:c r="A2140" s="16" t="n">
        <x:v>9216</x:v>
      </x:c>
      <x:c r="B2140" s="16" t="n">
        <x:v>1971</x:v>
      </x:c>
      <x:c r="C2140" s="16" t="str">
        <x:v>Graduation</x:v>
      </x:c>
      <x:c r="D2140" s="16" t="str">
        <x:v>Married</x:v>
      </x:c>
      <x:c r="E2140" s="16" t="n">
        <x:v>35788</x:v>
      </x:c>
      <x:c r="F2140" s="16" t="n">
        <x:v>1</x:v>
      </x:c>
      <x:c r="G2140" s="16" t="n">
        <x:v>1</x:v>
      </x:c>
      <x:c r="H2140" s="16" t="str">
        <x:v>23-01-2014</x:v>
      </x:c>
      <x:c r="I2140" s="16" t="n">
        <x:v>34</x:v>
      </x:c>
      <x:c r="J2140" s="16" t="n">
        <x:v>23</x:v>
      </x:c>
      <x:c r="K2140" s="16" t="n">
        <x:v>2</x:v>
      </x:c>
      <x:c r="L2140" s="16" t="n">
        <x:v>11</x:v>
      </x:c>
      <x:c r="M2140" s="16" t="n">
        <x:v>3</x:v>
      </x:c>
      <x:c r="N2140" s="16" t="n">
        <x:v>1</x:v>
      </x:c>
      <x:c r="O2140" s="16" t="n">
        <x:v>4</x:v>
      </x:c>
      <x:c r="P2140" s="16" t="n">
        <x:v>2</x:v>
      </x:c>
      <x:c r="Q2140" s="16" t="n">
        <x:v>2</x:v>
      </x:c>
      <x:c r="R2140" s="16" t="n">
        <x:v>0</x:v>
      </x:c>
      <x:c r="S2140" s="16" t="n">
        <x:v>3</x:v>
      </x:c>
      <x:c r="T2140" s="16" t="n">
        <x:v>6</x:v>
      </x:c>
      <x:c r="U2140" s="16" t="n">
        <x:v>0</x:v>
      </x:c>
      <x:c r="V2140" s="16" t="n">
        <x:v>0</x:v>
      </x:c>
      <x:c r="W2140" s="16" t="n">
        <x:v>0</x:v>
      </x:c>
      <x:c r="X2140" s="16" t="n">
        <x:v>0</x:v>
      </x:c>
      <x:c r="Y2140" s="16" t="n">
        <x:v>0</x:v>
      </x:c>
      <x:c r="Z2140" s="16" t="n">
        <x:v>0</x:v>
      </x:c>
      <x:c r="AA2140" s="16" t="n">
        <x:v>3</x:v>
      </x:c>
      <x:c r="AB2140" s="16" t="n">
        <x:v>11</x:v>
      </x:c>
      <x:c r="AC2140" s="16" t="n">
        <x:v>0</x:v>
      </x:c>
      <x:c r="AD2140" s="21" t="n">
        <x:f>IF(E2140="",MEDIAN($E$2:$E$2237),E2140)</x:f>
        <x:v>35788</x:v>
      </x:c>
      <x:c r="AE2140" s="17" t="n">
        <x:f>2014-B2140</x:f>
        <x:v>43</x:v>
      </x:c>
      <x:c r="AF2140" s="17" t="n">
        <x:f>F2140+G2140</x:f>
        <x:v>2</x:v>
      </x:c>
      <x:c r="AG2140" s="21" t="n">
        <x:f>SUM(J2140:O2140)</x:f>
        <x:v>44</x:v>
      </x:c>
      <x:c r="AH2140" s="17" t="n">
        <x:f>SUM(Q2140:S2140)</x:f>
        <x:v>5</x:v>
      </x:c>
      <x:c r="AI2140" s="17" t="n">
        <x:f>SUM(U2140:Y2140)</x:f>
        <x:v>0</x:v>
      </x:c>
      <x:c r="AJ2140" s="17" t="str">
        <x:f>IF(AE2140&lt;=34,"≤34",IF(AE2140&lt;=44,"35–44",IF(AE2140&lt;=54,"45–54",IF(AE2140&lt;=64,"55–64","65+"))))</x:f>
        <x:v>35–44</x:v>
      </x:c>
      <x:c r="AK2140" s="17" t="str">
        <x:f>IF(AG2140&gt;=1000,"High Value",IF(AG2140&gt;=300,"Mid Value","Low Value"))</x:f>
        <x:v>Low Value</x:v>
      </x:c>
      <x:c r="AL2140" s="17" t="str">
        <x:f>IF(AND(AI2140&gt;=1,I2140&lt;=50),"Priority 1",IF(AND(AG2140&gt;=1000,I2140&lt;=60),"Priority 2",IF(I2140&lt;=30,"Priority 3","Nurture")))</x:f>
        <x:v>Nurture</x:v>
      </x:c>
    </x:row>
    <x:row r="2141">
      <x:c r="A2141" s="16" t="n">
        <x:v>7124</x:v>
      </x:c>
      <x:c r="B2141" s="16" t="n">
        <x:v>1968</x:v>
      </x:c>
      <x:c r="C2141" s="16" t="str">
        <x:v>Graduation</x:v>
      </x:c>
      <x:c r="D2141" s="16" t="str">
        <x:v>Divorced</x:v>
      </x:c>
      <x:c r="E2141" s="16" t="n">
        <x:v>36997</x:v>
      </x:c>
      <x:c r="F2141" s="16" t="n">
        <x:v>1</x:v>
      </x:c>
      <x:c r="G2141" s="16" t="n">
        <x:v>1</x:v>
      </x:c>
      <x:c r="H2141" s="16" t="str">
        <x:v>01-02-2013</x:v>
      </x:c>
      <x:c r="I2141" s="16" t="n">
        <x:v>72</x:v>
      </x:c>
      <x:c r="J2141" s="16" t="n">
        <x:v>43</x:v>
      </x:c>
      <x:c r="K2141" s="16" t="n">
        <x:v>4</x:v>
      </x:c>
      <x:c r="L2141" s="16" t="n">
        <x:v>12</x:v>
      </x:c>
      <x:c r="M2141" s="16" t="n">
        <x:v>8</x:v>
      </x:c>
      <x:c r="N2141" s="16" t="n">
        <x:v>0</x:v>
      </x:c>
      <x:c r="O2141" s="16" t="n">
        <x:v>27</x:v>
      </x:c>
      <x:c r="P2141" s="16" t="n">
        <x:v>5</x:v>
      </x:c>
      <x:c r="Q2141" s="16" t="n">
        <x:v>2</x:v>
      </x:c>
      <x:c r="R2141" s="16" t="n">
        <x:v>1</x:v>
      </x:c>
      <x:c r="S2141" s="16" t="n">
        <x:v>4</x:v>
      </x:c>
      <x:c r="T2141" s="16" t="n">
        <x:v>5</x:v>
      </x:c>
      <x:c r="U2141" s="16" t="n">
        <x:v>0</x:v>
      </x:c>
      <x:c r="V2141" s="16" t="n">
        <x:v>0</x:v>
      </x:c>
      <x:c r="W2141" s="16" t="n">
        <x:v>0</x:v>
      </x:c>
      <x:c r="X2141" s="16" t="n">
        <x:v>0</x:v>
      </x:c>
      <x:c r="Y2141" s="16" t="n">
        <x:v>0</x:v>
      </x:c>
      <x:c r="Z2141" s="16" t="n">
        <x:v>0</x:v>
      </x:c>
      <x:c r="AA2141" s="16" t="n">
        <x:v>3</x:v>
      </x:c>
      <x:c r="AB2141" s="16" t="n">
        <x:v>11</x:v>
      </x:c>
      <x:c r="AC2141" s="16" t="n">
        <x:v>0</x:v>
      </x:c>
      <x:c r="AD2141" s="21" t="n">
        <x:f>IF(E2141="",MEDIAN($E$2:$E$2237),E2141)</x:f>
        <x:v>36997</x:v>
      </x:c>
      <x:c r="AE2141" s="17" t="n">
        <x:f>2014-B2141</x:f>
        <x:v>46</x:v>
      </x:c>
      <x:c r="AF2141" s="17" t="n">
        <x:f>F2141+G2141</x:f>
        <x:v>2</x:v>
      </x:c>
      <x:c r="AG2141" s="21" t="n">
        <x:f>SUM(J2141:O2141)</x:f>
        <x:v>94</x:v>
      </x:c>
      <x:c r="AH2141" s="17" t="n">
        <x:f>SUM(Q2141:S2141)</x:f>
        <x:v>7</x:v>
      </x:c>
      <x:c r="AI2141" s="17" t="n">
        <x:f>SUM(U2141:Y2141)</x:f>
        <x:v>0</x:v>
      </x:c>
      <x:c r="AJ2141" s="17" t="str">
        <x:f>IF(AE2141&lt;=34,"≤34",IF(AE2141&lt;=44,"35–44",IF(AE2141&lt;=54,"45–54",IF(AE2141&lt;=64,"55–64","65+"))))</x:f>
        <x:v>45–54</x:v>
      </x:c>
      <x:c r="AK2141" s="17" t="str">
        <x:f>IF(AG2141&gt;=1000,"High Value",IF(AG2141&gt;=300,"Mid Value","Low Value"))</x:f>
        <x:v>Low Value</x:v>
      </x:c>
      <x:c r="AL2141" s="17" t="str">
        <x:f>IF(AND(AI2141&gt;=1,I2141&lt;=50),"Priority 1",IF(AND(AG2141&gt;=1000,I2141&lt;=60),"Priority 2",IF(I2141&lt;=30,"Priority 3","Nurture")))</x:f>
        <x:v>Nurture</x:v>
      </x:c>
    </x:row>
    <x:row r="2142">
      <x:c r="A2142" s="16" t="n">
        <x:v>9727</x:v>
      </x:c>
      <x:c r="B2142" s="16" t="n">
        <x:v>1957</x:v>
      </x:c>
      <x:c r="C2142" s="16" t="str">
        <x:v>Graduation</x:v>
      </x:c>
      <x:c r="D2142" s="16" t="str">
        <x:v>Married</x:v>
      </x:c>
      <x:c r="E2142" s="16" t="n">
        <x:v>23539</x:v>
      </x:c>
      <x:c r="F2142" s="16" t="n">
        <x:v>0</x:v>
      </x:c>
      <x:c r="G2142" s="16" t="n">
        <x:v>0</x:v>
      </x:c>
      <x:c r="H2142" s="16" t="str">
        <x:v>28-02-2014</x:v>
      </x:c>
      <x:c r="I2142" s="16" t="n">
        <x:v>13</x:v>
      </x:c>
      <x:c r="J2142" s="16" t="n">
        <x:v>4</x:v>
      </x:c>
      <x:c r="K2142" s="16" t="n">
        <x:v>24</x:v>
      </x:c>
      <x:c r="L2142" s="16" t="n">
        <x:v>11</x:v>
      </x:c>
      <x:c r="M2142" s="16" t="n">
        <x:v>16</x:v>
      </x:c>
      <x:c r="N2142" s="16" t="n">
        <x:v>1</x:v>
      </x:c>
      <x:c r="O2142" s="16" t="n">
        <x:v>25</x:v>
      </x:c>
      <x:c r="P2142" s="16" t="n">
        <x:v>1</x:v>
      </x:c>
      <x:c r="Q2142" s="16" t="n">
        <x:v>2</x:v>
      </x:c>
      <x:c r="R2142" s="16" t="n">
        <x:v>0</x:v>
      </x:c>
      <x:c r="S2142" s="16" t="n">
        <x:v>4</x:v>
      </x:c>
      <x:c r="T2142" s="16" t="n">
        <x:v>6</x:v>
      </x:c>
      <x:c r="U2142" s="16" t="n">
        <x:v>0</x:v>
      </x:c>
      <x:c r="V2142" s="16" t="n">
        <x:v>0</x:v>
      </x:c>
      <x:c r="W2142" s="16" t="n">
        <x:v>0</x:v>
      </x:c>
      <x:c r="X2142" s="16" t="n">
        <x:v>0</x:v>
      </x:c>
      <x:c r="Y2142" s="16" t="n">
        <x:v>0</x:v>
      </x:c>
      <x:c r="Z2142" s="16" t="n">
        <x:v>0</x:v>
      </x:c>
      <x:c r="AA2142" s="16" t="n">
        <x:v>3</x:v>
      </x:c>
      <x:c r="AB2142" s="16" t="n">
        <x:v>11</x:v>
      </x:c>
      <x:c r="AC2142" s="16" t="n">
        <x:v>0</x:v>
      </x:c>
      <x:c r="AD2142" s="21" t="n">
        <x:f>IF(E2142="",MEDIAN($E$2:$E$2237),E2142)</x:f>
        <x:v>23539</x:v>
      </x:c>
      <x:c r="AE2142" s="17" t="n">
        <x:f>2014-B2142</x:f>
        <x:v>57</x:v>
      </x:c>
      <x:c r="AF2142" s="17" t="n">
        <x:f>F2142+G2142</x:f>
        <x:v>0</x:v>
      </x:c>
      <x:c r="AG2142" s="21" t="n">
        <x:f>SUM(J2142:O2142)</x:f>
        <x:v>81</x:v>
      </x:c>
      <x:c r="AH2142" s="17" t="n">
        <x:f>SUM(Q2142:S2142)</x:f>
        <x:v>6</x:v>
      </x:c>
      <x:c r="AI2142" s="17" t="n">
        <x:f>SUM(U2142:Y2142)</x:f>
        <x:v>0</x:v>
      </x:c>
      <x:c r="AJ2142" s="17" t="str">
        <x:f>IF(AE2142&lt;=34,"≤34",IF(AE2142&lt;=44,"35–44",IF(AE2142&lt;=54,"45–54",IF(AE2142&lt;=64,"55–64","65+"))))</x:f>
        <x:v>55–64</x:v>
      </x:c>
      <x:c r="AK2142" s="17" t="str">
        <x:f>IF(AG2142&gt;=1000,"High Value",IF(AG2142&gt;=300,"Mid Value","Low Value"))</x:f>
        <x:v>Low Value</x:v>
      </x:c>
      <x:c r="AL2142" s="17" t="str">
        <x:f>IF(AND(AI2142&gt;=1,I2142&lt;=50),"Priority 1",IF(AND(AG2142&gt;=1000,I2142&lt;=60),"Priority 2",IF(I2142&lt;=30,"Priority 3","Nurture")))</x:f>
        <x:v>Priority 3</x:v>
      </x:c>
    </x:row>
    <x:row r="2143">
      <x:c r="A2143" s="16" t="n">
        <x:v>5136</x:v>
      </x:c>
      <x:c r="B2143" s="16" t="n">
        <x:v>1973</x:v>
      </x:c>
      <x:c r="C2143" s="16" t="str">
        <x:v>Graduation</x:v>
      </x:c>
      <x:c r="D2143" s="16" t="str">
        <x:v>Single</x:v>
      </x:c>
      <x:c r="E2143" s="16" t="n">
        <x:v>65333</x:v>
      </x:c>
      <x:c r="F2143" s="16" t="n">
        <x:v>0</x:v>
      </x:c>
      <x:c r="G2143" s="16" t="n">
        <x:v>1</x:v>
      </x:c>
      <x:c r="H2143" s="16" t="str">
        <x:v>17-01-2014</x:v>
      </x:c>
      <x:c r="I2143" s="16" t="n">
        <x:v>58</x:v>
      </x:c>
      <x:c r="J2143" s="16" t="n">
        <x:v>654</x:v>
      </x:c>
      <x:c r="K2143" s="16" t="n">
        <x:v>7</x:v>
      </x:c>
      <x:c r="L2143" s="16" t="n">
        <x:v>92</x:v>
      </x:c>
      <x:c r="M2143" s="16" t="n">
        <x:v>0</x:v>
      </x:c>
      <x:c r="N2143" s="16" t="n">
        <x:v>15</x:v>
      </x:c>
      <x:c r="O2143" s="16" t="n">
        <x:v>30</x:v>
      </x:c>
      <x:c r="P2143" s="16" t="n">
        <x:v>7</x:v>
      </x:c>
      <x:c r="Q2143" s="16" t="n">
        <x:v>9</x:v>
      </x:c>
      <x:c r="R2143" s="16" t="n">
        <x:v>4</x:v>
      </x:c>
      <x:c r="S2143" s="16" t="n">
        <x:v>8</x:v>
      </x:c>
      <x:c r="T2143" s="16" t="n">
        <x:v>6</x:v>
      </x:c>
      <x:c r="U2143" s="16" t="n">
        <x:v>0</x:v>
      </x:c>
      <x:c r="V2143" s="16" t="n">
        <x:v>1</x:v>
      </x:c>
      <x:c r="W2143" s="16" t="n">
        <x:v>1</x:v>
      </x:c>
      <x:c r="X2143" s="16" t="n">
        <x:v>0</x:v>
      </x:c>
      <x:c r="Y2143" s="16" t="n">
        <x:v>0</x:v>
      </x:c>
      <x:c r="Z2143" s="16" t="n">
        <x:v>0</x:v>
      </x:c>
      <x:c r="AA2143" s="16" t="n">
        <x:v>3</x:v>
      </x:c>
      <x:c r="AB2143" s="16" t="n">
        <x:v>11</x:v>
      </x:c>
      <x:c r="AC2143" s="16" t="n">
        <x:v>0</x:v>
      </x:c>
      <x:c r="AD2143" s="21" t="n">
        <x:f>IF(E2143="",MEDIAN($E$2:$E$2237),E2143)</x:f>
        <x:v>65333</x:v>
      </x:c>
      <x:c r="AE2143" s="17" t="n">
        <x:f>2014-B2143</x:f>
        <x:v>41</x:v>
      </x:c>
      <x:c r="AF2143" s="17" t="n">
        <x:f>F2143+G2143</x:f>
        <x:v>1</x:v>
      </x:c>
      <x:c r="AG2143" s="21" t="n">
        <x:f>SUM(J2143:O2143)</x:f>
        <x:v>798</x:v>
      </x:c>
      <x:c r="AH2143" s="17" t="n">
        <x:f>SUM(Q2143:S2143)</x:f>
        <x:v>21</x:v>
      </x:c>
      <x:c r="AI2143" s="17" t="n">
        <x:f>SUM(U2143:Y2143)</x:f>
        <x:v>2</x:v>
      </x:c>
      <x:c r="AJ2143" s="17" t="str">
        <x:f>IF(AE2143&lt;=34,"≤34",IF(AE2143&lt;=44,"35–44",IF(AE2143&lt;=54,"45–54",IF(AE2143&lt;=64,"55–64","65+"))))</x:f>
        <x:v>35–44</x:v>
      </x:c>
      <x:c r="AK2143" s="17" t="str">
        <x:f>IF(AG2143&gt;=1000,"High Value",IF(AG2143&gt;=300,"Mid Value","Low Value"))</x:f>
        <x:v>Mid Value</x:v>
      </x:c>
      <x:c r="AL2143" s="17" t="str">
        <x:f>IF(AND(AI2143&gt;=1,I2143&lt;=50),"Priority 1",IF(AND(AG2143&gt;=1000,I2143&lt;=60),"Priority 2",IF(I2143&lt;=30,"Priority 3","Nurture")))</x:f>
        <x:v>Nurture</x:v>
      </x:c>
    </x:row>
    <x:row r="2144">
      <x:c r="A2144" s="16" t="n">
        <x:v>9790</x:v>
      </x:c>
      <x:c r="B2144" s="16" t="n">
        <x:v>1957</x:v>
      </x:c>
      <x:c r="C2144" s="16" t="str">
        <x:v>Graduation</x:v>
      </x:c>
      <x:c r="D2144" s="16" t="str">
        <x:v>Single</x:v>
      </x:c>
      <x:c r="E2144" s="16" t="n">
        <x:v>78499</x:v>
      </x:c>
      <x:c r="F2144" s="16" t="n">
        <x:v>0</x:v>
      </x:c>
      <x:c r="G2144" s="16" t="n">
        <x:v>0</x:v>
      </x:c>
      <x:c r="H2144" s="16" t="str">
        <x:v>23-11-2013</x:v>
      </x:c>
      <x:c r="I2144" s="16" t="n">
        <x:v>12</x:v>
      </x:c>
      <x:c r="J2144" s="16" t="n">
        <x:v>912</x:v>
      </x:c>
      <x:c r="K2144" s="16" t="n">
        <x:v>72</x:v>
      </x:c>
      <x:c r="L2144" s="16" t="n">
        <x:v>170</x:v>
      </x:c>
      <x:c r="M2144" s="16" t="n">
        <x:v>47</x:v>
      </x:c>
      <x:c r="N2144" s="16" t="n">
        <x:v>36</x:v>
      </x:c>
      <x:c r="O2144" s="16" t="n">
        <x:v>97</x:v>
      </x:c>
      <x:c r="P2144" s="16" t="n">
        <x:v>1</x:v>
      </x:c>
      <x:c r="Q2144" s="16" t="n">
        <x:v>11</x:v>
      </x:c>
      <x:c r="R2144" s="16" t="n">
        <x:v>3</x:v>
      </x:c>
      <x:c r="S2144" s="16" t="n">
        <x:v>4</x:v>
      </x:c>
      <x:c r="T2144" s="16" t="n">
        <x:v>4</x:v>
      </x:c>
      <x:c r="U2144" s="16" t="n">
        <x:v>0</x:v>
      </x:c>
      <x:c r="V2144" s="16" t="n">
        <x:v>0</x:v>
      </x:c>
      <x:c r="W2144" s="16" t="n">
        <x:v>1</x:v>
      </x:c>
      <x:c r="X2144" s="16" t="n">
        <x:v>0</x:v>
      </x:c>
      <x:c r="Y2144" s="16" t="n">
        <x:v>0</x:v>
      </x:c>
      <x:c r="Z2144" s="16" t="n">
        <x:v>0</x:v>
      </x:c>
      <x:c r="AA2144" s="16" t="n">
        <x:v>3</x:v>
      </x:c>
      <x:c r="AB2144" s="16" t="n">
        <x:v>11</x:v>
      </x:c>
      <x:c r="AC2144" s="16" t="n">
        <x:v>1</x:v>
      </x:c>
      <x:c r="AD2144" s="21" t="n">
        <x:f>IF(E2144="",MEDIAN($E$2:$E$2237),E2144)</x:f>
        <x:v>78499</x:v>
      </x:c>
      <x:c r="AE2144" s="17" t="n">
        <x:f>2014-B2144</x:f>
        <x:v>57</x:v>
      </x:c>
      <x:c r="AF2144" s="17" t="n">
        <x:f>F2144+G2144</x:f>
        <x:v>0</x:v>
      </x:c>
      <x:c r="AG2144" s="21" t="n">
        <x:f>SUM(J2144:O2144)</x:f>
        <x:v>1334</x:v>
      </x:c>
      <x:c r="AH2144" s="17" t="n">
        <x:f>SUM(Q2144:S2144)</x:f>
        <x:v>18</x:v>
      </x:c>
      <x:c r="AI2144" s="17" t="n">
        <x:f>SUM(U2144:Y2144)</x:f>
        <x:v>1</x:v>
      </x:c>
      <x:c r="AJ2144" s="17" t="str">
        <x:f>IF(AE2144&lt;=34,"≤34",IF(AE2144&lt;=44,"35–44",IF(AE2144&lt;=54,"45–54",IF(AE2144&lt;=64,"55–64","65+"))))</x:f>
        <x:v>55–64</x:v>
      </x:c>
      <x:c r="AK2144" s="17" t="str">
        <x:f>IF(AG2144&gt;=1000,"High Value",IF(AG2144&gt;=300,"Mid Value","Low Value"))</x:f>
        <x:v>High Value</x:v>
      </x:c>
      <x:c r="AL2144" s="17" t="str">
        <x:f>IF(AND(AI2144&gt;=1,I2144&lt;=50),"Priority 1",IF(AND(AG2144&gt;=1000,I2144&lt;=60),"Priority 2",IF(I2144&lt;=30,"Priority 3","Nurture")))</x:f>
        <x:v>Priority 1</x:v>
      </x:c>
    </x:row>
    <x:row r="2145">
      <x:c r="A2145" s="16" t="n">
        <x:v>1818</x:v>
      </x:c>
      <x:c r="B2145" s="16" t="n">
        <x:v>1971</x:v>
      </x:c>
      <x:c r="C2145" s="16" t="str">
        <x:v>PhD</x:v>
      </x:c>
      <x:c r="D2145" s="16" t="str">
        <x:v>Together</x:v>
      </x:c>
      <x:c r="E2145" s="16" t="n">
        <x:v>29732</x:v>
      </x:c>
      <x:c r="F2145" s="16" t="n">
        <x:v>1</x:v>
      </x:c>
      <x:c r="G2145" s="16" t="n">
        <x:v>0</x:v>
      </x:c>
      <x:c r="H2145" s="16" t="str">
        <x:v>25-03-2014</x:v>
      </x:c>
      <x:c r="I2145" s="16" t="n">
        <x:v>23</x:v>
      </x:c>
      <x:c r="J2145" s="16" t="n">
        <x:v>25</x:v>
      </x:c>
      <x:c r="K2145" s="16" t="n">
        <x:v>0</x:v>
      </x:c>
      <x:c r="L2145" s="16" t="n">
        <x:v>8</x:v>
      </x:c>
      <x:c r="M2145" s="16" t="n">
        <x:v>0</x:v>
      </x:c>
      <x:c r="N2145" s="16" t="n">
        <x:v>1</x:v>
      </x:c>
      <x:c r="O2145" s="16" t="n">
        <x:v>4</x:v>
      </x:c>
      <x:c r="P2145" s="16" t="n">
        <x:v>1</x:v>
      </x:c>
      <x:c r="Q2145" s="16" t="n">
        <x:v>2</x:v>
      </x:c>
      <x:c r="R2145" s="16" t="n">
        <x:v>0</x:v>
      </x:c>
      <x:c r="S2145" s="16" t="n">
        <x:v>2</x:v>
      </x:c>
      <x:c r="T2145" s="16" t="n">
        <x:v>9</x:v>
      </x:c>
      <x:c r="U2145" s="16" t="n">
        <x:v>0</x:v>
      </x:c>
      <x:c r="V2145" s="16" t="n">
        <x:v>0</x:v>
      </x:c>
      <x:c r="W2145" s="16" t="n">
        <x:v>0</x:v>
      </x:c>
      <x:c r="X2145" s="16" t="n">
        <x:v>0</x:v>
      </x:c>
      <x:c r="Y2145" s="16" t="n">
        <x:v>0</x:v>
      </x:c>
      <x:c r="Z2145" s="16" t="n">
        <x:v>0</x:v>
      </x:c>
      <x:c r="AA2145" s="16" t="n">
        <x:v>3</x:v>
      </x:c>
      <x:c r="AB2145" s="16" t="n">
        <x:v>11</x:v>
      </x:c>
      <x:c r="AC2145" s="16" t="n">
        <x:v>0</x:v>
      </x:c>
      <x:c r="AD2145" s="21" t="n">
        <x:f>IF(E2145="",MEDIAN($E$2:$E$2237),E2145)</x:f>
        <x:v>29732</x:v>
      </x:c>
      <x:c r="AE2145" s="17" t="n">
        <x:f>2014-B2145</x:f>
        <x:v>43</x:v>
      </x:c>
      <x:c r="AF2145" s="17" t="n">
        <x:f>F2145+G2145</x:f>
        <x:v>1</x:v>
      </x:c>
      <x:c r="AG2145" s="21" t="n">
        <x:f>SUM(J2145:O2145)</x:f>
        <x:v>38</x:v>
      </x:c>
      <x:c r="AH2145" s="17" t="n">
        <x:f>SUM(Q2145:S2145)</x:f>
        <x:v>4</x:v>
      </x:c>
      <x:c r="AI2145" s="17" t="n">
        <x:f>SUM(U2145:Y2145)</x:f>
        <x:v>0</x:v>
      </x:c>
      <x:c r="AJ2145" s="17" t="str">
        <x:f>IF(AE2145&lt;=34,"≤34",IF(AE2145&lt;=44,"35–44",IF(AE2145&lt;=54,"45–54",IF(AE2145&lt;=64,"55–64","65+"))))</x:f>
        <x:v>35–44</x:v>
      </x:c>
      <x:c r="AK2145" s="17" t="str">
        <x:f>IF(AG2145&gt;=1000,"High Value",IF(AG2145&gt;=300,"Mid Value","Low Value"))</x:f>
        <x:v>Low Value</x:v>
      </x:c>
      <x:c r="AL2145" s="17" t="str">
        <x:f>IF(AND(AI2145&gt;=1,I2145&lt;=50),"Priority 1",IF(AND(AG2145&gt;=1000,I2145&lt;=60),"Priority 2",IF(I2145&lt;=30,"Priority 3","Nurture")))</x:f>
        <x:v>Priority 3</x:v>
      </x:c>
    </x:row>
    <x:row r="2146">
      <x:c r="A2146" s="16" t="n">
        <x:v>1100</x:v>
      </x:c>
      <x:c r="B2146" s="16" t="n">
        <x:v>1960</x:v>
      </x:c>
      <x:c r="C2146" s="16" t="str">
        <x:v>Master</x:v>
      </x:c>
      <x:c r="D2146" s="16" t="str">
        <x:v>Together</x:v>
      </x:c>
      <x:c r="E2146" s="16" t="n">
        <x:v>41275</x:v>
      </x:c>
      <x:c r="F2146" s="16" t="n">
        <x:v>1</x:v>
      </x:c>
      <x:c r="G2146" s="16" t="n">
        <x:v>2</x:v>
      </x:c>
      <x:c r="H2146" s="16" t="str">
        <x:v>24-03-2014</x:v>
      </x:c>
      <x:c r="I2146" s="16" t="n">
        <x:v>33</x:v>
      </x:c>
      <x:c r="J2146" s="16" t="n">
        <x:v>24</x:v>
      </x:c>
      <x:c r="K2146" s="16" t="n">
        <x:v>4</x:v>
      </x:c>
      <x:c r="L2146" s="16" t="n">
        <x:v>22</x:v>
      </x:c>
      <x:c r="M2146" s="16" t="n">
        <x:v>0</x:v>
      </x:c>
      <x:c r="N2146" s="16" t="n">
        <x:v>2</x:v>
      </x:c>
      <x:c r="O2146" s="16" t="n">
        <x:v>9</x:v>
      </x:c>
      <x:c r="P2146" s="16" t="n">
        <x:v>4</x:v>
      </x:c>
      <x:c r="Q2146" s="16" t="n">
        <x:v>3</x:v>
      </x:c>
      <x:c r="R2146" s="16" t="n">
        <x:v>1</x:v>
      </x:c>
      <x:c r="S2146" s="16" t="n">
        <x:v>3</x:v>
      </x:c>
      <x:c r="T2146" s="16" t="n">
        <x:v>5</x:v>
      </x:c>
      <x:c r="U2146" s="16" t="n">
        <x:v>0</x:v>
      </x:c>
      <x:c r="V2146" s="16" t="n">
        <x:v>0</x:v>
      </x:c>
      <x:c r="W2146" s="16" t="n">
        <x:v>0</x:v>
      </x:c>
      <x:c r="X2146" s="16" t="n">
        <x:v>0</x:v>
      </x:c>
      <x:c r="Y2146" s="16" t="n">
        <x:v>0</x:v>
      </x:c>
      <x:c r="Z2146" s="16" t="n">
        <x:v>0</x:v>
      </x:c>
      <x:c r="AA2146" s="16" t="n">
        <x:v>3</x:v>
      </x:c>
      <x:c r="AB2146" s="16" t="n">
        <x:v>11</x:v>
      </x:c>
      <x:c r="AC2146" s="16" t="n">
        <x:v>0</x:v>
      </x:c>
      <x:c r="AD2146" s="21" t="n">
        <x:f>IF(E2146="",MEDIAN($E$2:$E$2237),E2146)</x:f>
        <x:v>41275</x:v>
      </x:c>
      <x:c r="AE2146" s="17" t="n">
        <x:f>2014-B2146</x:f>
        <x:v>54</x:v>
      </x:c>
      <x:c r="AF2146" s="17" t="n">
        <x:f>F2146+G2146</x:f>
        <x:v>3</x:v>
      </x:c>
      <x:c r="AG2146" s="21" t="n">
        <x:f>SUM(J2146:O2146)</x:f>
        <x:v>61</x:v>
      </x:c>
      <x:c r="AH2146" s="17" t="n">
        <x:f>SUM(Q2146:S2146)</x:f>
        <x:v>7</x:v>
      </x:c>
      <x:c r="AI2146" s="17" t="n">
        <x:f>SUM(U2146:Y2146)</x:f>
        <x:v>0</x:v>
      </x:c>
      <x:c r="AJ2146" s="17" t="str">
        <x:f>IF(AE2146&lt;=34,"≤34",IF(AE2146&lt;=44,"35–44",IF(AE2146&lt;=54,"45–54",IF(AE2146&lt;=64,"55–64","65+"))))</x:f>
        <x:v>45–54</x:v>
      </x:c>
      <x:c r="AK2146" s="17" t="str">
        <x:f>IF(AG2146&gt;=1000,"High Value",IF(AG2146&gt;=300,"Mid Value","Low Value"))</x:f>
        <x:v>Low Value</x:v>
      </x:c>
      <x:c r="AL2146" s="17" t="str">
        <x:f>IF(AND(AI2146&gt;=1,I2146&lt;=50),"Priority 1",IF(AND(AG2146&gt;=1000,I2146&lt;=60),"Priority 2",IF(I2146&lt;=30,"Priority 3","Nurture")))</x:f>
        <x:v>Nurture</x:v>
      </x:c>
    </x:row>
    <x:row r="2147">
      <x:c r="A2147" s="16" t="n">
        <x:v>7873</x:v>
      </x:c>
      <x:c r="B2147" s="16" t="n">
        <x:v>1973</x:v>
      </x:c>
      <x:c r="C2147" s="16" t="str">
        <x:v>PhD</x:v>
      </x:c>
      <x:c r="D2147" s="16" t="str">
        <x:v>Together</x:v>
      </x:c>
      <x:c r="E2147" s="16" t="n">
        <x:v>63516</x:v>
      </x:c>
      <x:c r="F2147" s="16" t="n">
        <x:v>1</x:v>
      </x:c>
      <x:c r="G2147" s="16" t="n">
        <x:v>1</x:v>
      </x:c>
      <x:c r="H2147" s="16" t="str">
        <x:v>06-07-2013</x:v>
      </x:c>
      <x:c r="I2147" s="16" t="n">
        <x:v>30</x:v>
      </x:c>
      <x:c r="J2147" s="16" t="n">
        <x:v>141</x:v>
      </x:c>
      <x:c r="K2147" s="16" t="n">
        <x:v>11</x:v>
      </x:c>
      <x:c r="L2147" s="16" t="n">
        <x:v>114</x:v>
      </x:c>
      <x:c r="M2147" s="16" t="n">
        <x:v>15</x:v>
      </x:c>
      <x:c r="N2147" s="16" t="n">
        <x:v>14</x:v>
      </x:c>
      <x:c r="O2147" s="16" t="n">
        <x:v>5</x:v>
      </x:c>
      <x:c r="P2147" s="16" t="n">
        <x:v>4</x:v>
      </x:c>
      <x:c r="Q2147" s="16" t="n">
        <x:v>4</x:v>
      </x:c>
      <x:c r="R2147" s="16" t="n">
        <x:v>1</x:v>
      </x:c>
      <x:c r="S2147" s="16" t="n">
        <x:v>7</x:v>
      </x:c>
      <x:c r="T2147" s="16" t="n">
        <x:v>5</x:v>
      </x:c>
      <x:c r="U2147" s="16" t="n">
        <x:v>0</x:v>
      </x:c>
      <x:c r="V2147" s="16" t="n">
        <x:v>0</x:v>
      </x:c>
      <x:c r="W2147" s="16" t="n">
        <x:v>0</x:v>
      </x:c>
      <x:c r="X2147" s="16" t="n">
        <x:v>0</x:v>
      </x:c>
      <x:c r="Y2147" s="16" t="n">
        <x:v>0</x:v>
      </x:c>
      <x:c r="Z2147" s="16" t="n">
        <x:v>0</x:v>
      </x:c>
      <x:c r="AA2147" s="16" t="n">
        <x:v>3</x:v>
      </x:c>
      <x:c r="AB2147" s="16" t="n">
        <x:v>11</x:v>
      </x:c>
      <x:c r="AC2147" s="16" t="n">
        <x:v>0</x:v>
      </x:c>
      <x:c r="AD2147" s="21" t="n">
        <x:f>IF(E2147="",MEDIAN($E$2:$E$2237),E2147)</x:f>
        <x:v>63516</x:v>
      </x:c>
      <x:c r="AE2147" s="17" t="n">
        <x:f>2014-B2147</x:f>
        <x:v>41</x:v>
      </x:c>
      <x:c r="AF2147" s="17" t="n">
        <x:f>F2147+G2147</x:f>
        <x:v>2</x:v>
      </x:c>
      <x:c r="AG2147" s="21" t="n">
        <x:f>SUM(J2147:O2147)</x:f>
        <x:v>300</x:v>
      </x:c>
      <x:c r="AH2147" s="17" t="n">
        <x:f>SUM(Q2147:S2147)</x:f>
        <x:v>12</x:v>
      </x:c>
      <x:c r="AI2147" s="17" t="n">
        <x:f>SUM(U2147:Y2147)</x:f>
        <x:v>0</x:v>
      </x:c>
      <x:c r="AJ2147" s="17" t="str">
        <x:f>IF(AE2147&lt;=34,"≤34",IF(AE2147&lt;=44,"35–44",IF(AE2147&lt;=54,"45–54",IF(AE2147&lt;=64,"55–64","65+"))))</x:f>
        <x:v>35–44</x:v>
      </x:c>
      <x:c r="AK2147" s="17" t="str">
        <x:f>IF(AG2147&gt;=1000,"High Value",IF(AG2147&gt;=300,"Mid Value","Low Value"))</x:f>
        <x:v>Mid Value</x:v>
      </x:c>
      <x:c r="AL2147" s="17" t="str">
        <x:f>IF(AND(AI2147&gt;=1,I2147&lt;=50),"Priority 1",IF(AND(AG2147&gt;=1000,I2147&lt;=60),"Priority 2",IF(I2147&lt;=30,"Priority 3","Nurture")))</x:f>
        <x:v>Priority 3</x:v>
      </x:c>
    </x:row>
    <x:row r="2148">
      <x:c r="A2148" s="16" t="n">
        <x:v>10609</x:v>
      </x:c>
      <x:c r="B2148" s="16" t="n">
        <x:v>1962</x:v>
      </x:c>
      <x:c r="C2148" s="16" t="str">
        <x:v>PhD</x:v>
      </x:c>
      <x:c r="D2148" s="16" t="str">
        <x:v>Married</x:v>
      </x:c>
      <x:c r="E2148" s="16" t="n">
        <x:v>42769</x:v>
      </x:c>
      <x:c r="F2148" s="16" t="n">
        <x:v>0</x:v>
      </x:c>
      <x:c r="G2148" s="16" t="n">
        <x:v>1</x:v>
      </x:c>
      <x:c r="H2148" s="16" t="str">
        <x:v>12-10-2013</x:v>
      </x:c>
      <x:c r="I2148" s="16" t="n">
        <x:v>15</x:v>
      </x:c>
      <x:c r="J2148" s="16" t="n">
        <x:v>71</x:v>
      </x:c>
      <x:c r="K2148" s="16" t="n">
        <x:v>0</x:v>
      </x:c>
      <x:c r="L2148" s="16" t="n">
        <x:v>13</x:v>
      </x:c>
      <x:c r="M2148" s="16" t="n">
        <x:v>3</x:v>
      </x:c>
      <x:c r="N2148" s="16" t="n">
        <x:v>1</x:v>
      </x:c>
      <x:c r="O2148" s="16" t="n">
        <x:v>0</x:v>
      </x:c>
      <x:c r="P2148" s="16" t="n">
        <x:v>2</x:v>
      </x:c>
      <x:c r="Q2148" s="16" t="n">
        <x:v>1</x:v>
      </x:c>
      <x:c r="R2148" s="16" t="n">
        <x:v>1</x:v>
      </x:c>
      <x:c r="S2148" s="16" t="n">
        <x:v>4</x:v>
      </x:c>
      <x:c r="T2148" s="16" t="n">
        <x:v>4</x:v>
      </x:c>
      <x:c r="U2148" s="16" t="n">
        <x:v>0</x:v>
      </x:c>
      <x:c r="V2148" s="16" t="n">
        <x:v>0</x:v>
      </x:c>
      <x:c r="W2148" s="16" t="n">
        <x:v>0</x:v>
      </x:c>
      <x:c r="X2148" s="16" t="n">
        <x:v>0</x:v>
      </x:c>
      <x:c r="Y2148" s="16" t="n">
        <x:v>0</x:v>
      </x:c>
      <x:c r="Z2148" s="16" t="n">
        <x:v>0</x:v>
      </x:c>
      <x:c r="AA2148" s="16" t="n">
        <x:v>3</x:v>
      </x:c>
      <x:c r="AB2148" s="16" t="n">
        <x:v>11</x:v>
      </x:c>
      <x:c r="AC2148" s="16" t="n">
        <x:v>0</x:v>
      </x:c>
      <x:c r="AD2148" s="21" t="n">
        <x:f>IF(E2148="",MEDIAN($E$2:$E$2237),E2148)</x:f>
        <x:v>42769</x:v>
      </x:c>
      <x:c r="AE2148" s="17" t="n">
        <x:f>2014-B2148</x:f>
        <x:v>52</x:v>
      </x:c>
      <x:c r="AF2148" s="17" t="n">
        <x:f>F2148+G2148</x:f>
        <x:v>1</x:v>
      </x:c>
      <x:c r="AG2148" s="21" t="n">
        <x:f>SUM(J2148:O2148)</x:f>
        <x:v>88</x:v>
      </x:c>
      <x:c r="AH2148" s="17" t="n">
        <x:f>SUM(Q2148:S2148)</x:f>
        <x:v>6</x:v>
      </x:c>
      <x:c r="AI2148" s="17" t="n">
        <x:f>SUM(U2148:Y2148)</x:f>
        <x:v>0</x:v>
      </x:c>
      <x:c r="AJ2148" s="17" t="str">
        <x:f>IF(AE2148&lt;=34,"≤34",IF(AE2148&lt;=44,"35–44",IF(AE2148&lt;=54,"45–54",IF(AE2148&lt;=64,"55–64","65+"))))</x:f>
        <x:v>45–54</x:v>
      </x:c>
      <x:c r="AK2148" s="17" t="str">
        <x:f>IF(AG2148&gt;=1000,"High Value",IF(AG2148&gt;=300,"Mid Value","Low Value"))</x:f>
        <x:v>Low Value</x:v>
      </x:c>
      <x:c r="AL2148" s="17" t="str">
        <x:f>IF(AND(AI2148&gt;=1,I2148&lt;=50),"Priority 1",IF(AND(AG2148&gt;=1000,I2148&lt;=60),"Priority 2",IF(I2148&lt;=30,"Priority 3","Nurture")))</x:f>
        <x:v>Priority 3</x:v>
      </x:c>
    </x:row>
    <x:row r="2149">
      <x:c r="A2149" s="16" t="n">
        <x:v>6950</x:v>
      </x:c>
      <x:c r="B2149" s="16" t="n">
        <x:v>1958</x:v>
      </x:c>
      <x:c r="C2149" s="16" t="str">
        <x:v>Master</x:v>
      </x:c>
      <x:c r="D2149" s="16" t="str">
        <x:v>Married</x:v>
      </x:c>
      <x:c r="E2149" s="16" t="n">
        <x:v>49572</x:v>
      </x:c>
      <x:c r="F2149" s="16" t="n">
        <x:v>1</x:v>
      </x:c>
      <x:c r="G2149" s="16" t="n">
        <x:v>1</x:v>
      </x:c>
      <x:c r="H2149" s="16" t="str">
        <x:v>15-12-2013</x:v>
      </x:c>
      <x:c r="I2149" s="16" t="n">
        <x:v>25</x:v>
      </x:c>
      <x:c r="J2149" s="16" t="n">
        <x:v>35</x:v>
      </x:c>
      <x:c r="K2149" s="16" t="n">
        <x:v>1</x:v>
      </x:c>
      <x:c r="L2149" s="16" t="n">
        <x:v>16</x:v>
      </x:c>
      <x:c r="M2149" s="16" t="n">
        <x:v>0</x:v>
      </x:c>
      <x:c r="N2149" s="16" t="n">
        <x:v>1</x:v>
      </x:c>
      <x:c r="O2149" s="16" t="n">
        <x:v>1</x:v>
      </x:c>
      <x:c r="P2149" s="16" t="n">
        <x:v>2</x:v>
      </x:c>
      <x:c r="Q2149" s="16" t="n">
        <x:v>2</x:v>
      </x:c>
      <x:c r="R2149" s="16" t="n">
        <x:v>0</x:v>
      </x:c>
      <x:c r="S2149" s="16" t="n">
        <x:v>3</x:v>
      </x:c>
      <x:c r="T2149" s="16" t="n">
        <x:v>7</x:v>
      </x:c>
      <x:c r="U2149" s="16" t="n">
        <x:v>0</x:v>
      </x:c>
      <x:c r="V2149" s="16" t="n">
        <x:v>0</x:v>
      </x:c>
      <x:c r="W2149" s="16" t="n">
        <x:v>0</x:v>
      </x:c>
      <x:c r="X2149" s="16" t="n">
        <x:v>0</x:v>
      </x:c>
      <x:c r="Y2149" s="16" t="n">
        <x:v>0</x:v>
      </x:c>
      <x:c r="Z2149" s="16" t="n">
        <x:v>0</x:v>
      </x:c>
      <x:c r="AA2149" s="16" t="n">
        <x:v>3</x:v>
      </x:c>
      <x:c r="AB2149" s="16" t="n">
        <x:v>11</x:v>
      </x:c>
      <x:c r="AC2149" s="16" t="n">
        <x:v>0</x:v>
      </x:c>
      <x:c r="AD2149" s="21" t="n">
        <x:f>IF(E2149="",MEDIAN($E$2:$E$2237),E2149)</x:f>
        <x:v>49572</x:v>
      </x:c>
      <x:c r="AE2149" s="17" t="n">
        <x:f>2014-B2149</x:f>
        <x:v>56</x:v>
      </x:c>
      <x:c r="AF2149" s="17" t="n">
        <x:f>F2149+G2149</x:f>
        <x:v>2</x:v>
      </x:c>
      <x:c r="AG2149" s="21" t="n">
        <x:f>SUM(J2149:O2149)</x:f>
        <x:v>54</x:v>
      </x:c>
      <x:c r="AH2149" s="17" t="n">
        <x:f>SUM(Q2149:S2149)</x:f>
        <x:v>5</x:v>
      </x:c>
      <x:c r="AI2149" s="17" t="n">
        <x:f>SUM(U2149:Y2149)</x:f>
        <x:v>0</x:v>
      </x:c>
      <x:c r="AJ2149" s="17" t="str">
        <x:f>IF(AE2149&lt;=34,"≤34",IF(AE2149&lt;=44,"35–44",IF(AE2149&lt;=54,"45–54",IF(AE2149&lt;=64,"55–64","65+"))))</x:f>
        <x:v>55–64</x:v>
      </x:c>
      <x:c r="AK2149" s="17" t="str">
        <x:f>IF(AG2149&gt;=1000,"High Value",IF(AG2149&gt;=300,"Mid Value","Low Value"))</x:f>
        <x:v>Low Value</x:v>
      </x:c>
      <x:c r="AL2149" s="17" t="str">
        <x:f>IF(AND(AI2149&gt;=1,I2149&lt;=50),"Priority 1",IF(AND(AG2149&gt;=1000,I2149&lt;=60),"Priority 2",IF(I2149&lt;=30,"Priority 3","Nurture")))</x:f>
        <x:v>Priority 3</x:v>
      </x:c>
    </x:row>
    <x:row r="2150">
      <x:c r="A2150" s="16" t="n">
        <x:v>7233</x:v>
      </x:c>
      <x:c r="B2150" s="16" t="n">
        <x:v>1972</x:v>
      </x:c>
      <x:c r="C2150" s="16" t="str">
        <x:v>Graduation</x:v>
      </x:c>
      <x:c r="D2150" s="16" t="str">
        <x:v>Married</x:v>
      </x:c>
      <x:c r="E2150" s="16" t="n">
        <x:v>69209</x:v>
      </x:c>
      <x:c r="F2150" s="16" t="n">
        <x:v>0</x:v>
      </x:c>
      <x:c r="G2150" s="16" t="n">
        <x:v>0</x:v>
      </x:c>
      <x:c r="H2150" s="16" t="str">
        <x:v>17-09-2012</x:v>
      </x:c>
      <x:c r="I2150" s="16" t="n">
        <x:v>4</x:v>
      </x:c>
      <x:c r="J2150" s="16" t="n">
        <x:v>496</x:v>
      </x:c>
      <x:c r="K2150" s="16" t="n">
        <x:v>32</x:v>
      </x:c>
      <x:c r="L2150" s="16" t="n">
        <x:v>849</x:v>
      </x:c>
      <x:c r="M2150" s="16" t="n">
        <x:v>229</x:v>
      </x:c>
      <x:c r="N2150" s="16" t="n">
        <x:v>48</x:v>
      </x:c>
      <x:c r="O2150" s="16" t="n">
        <x:v>128</x:v>
      </x:c>
      <x:c r="P2150" s="16" t="n">
        <x:v>2</x:v>
      </x:c>
      <x:c r="Q2150" s="16" t="n">
        <x:v>5</x:v>
      </x:c>
      <x:c r="R2150" s="16" t="n">
        <x:v>3</x:v>
      </x:c>
      <x:c r="S2150" s="16" t="n">
        <x:v>6</x:v>
      </x:c>
      <x:c r="T2150" s="16" t="n">
        <x:v>4</x:v>
      </x:c>
      <x:c r="U2150" s="16" t="n">
        <x:v>0</x:v>
      </x:c>
      <x:c r="V2150" s="16" t="n">
        <x:v>0</x:v>
      </x:c>
      <x:c r="W2150" s="16" t="n">
        <x:v>0</x:v>
      </x:c>
      <x:c r="X2150" s="16" t="n">
        <x:v>1</x:v>
      </x:c>
      <x:c r="Y2150" s="16" t="n">
        <x:v>0</x:v>
      </x:c>
      <x:c r="Z2150" s="16" t="n">
        <x:v>0</x:v>
      </x:c>
      <x:c r="AA2150" s="16" t="n">
        <x:v>3</x:v>
      </x:c>
      <x:c r="AB2150" s="16" t="n">
        <x:v>11</x:v>
      </x:c>
      <x:c r="AC2150" s="16" t="n">
        <x:v>0</x:v>
      </x:c>
      <x:c r="AD2150" s="21" t="n">
        <x:f>IF(E2150="",MEDIAN($E$2:$E$2237),E2150)</x:f>
        <x:v>69209</x:v>
      </x:c>
      <x:c r="AE2150" s="17" t="n">
        <x:f>2014-B2150</x:f>
        <x:v>42</x:v>
      </x:c>
      <x:c r="AF2150" s="17" t="n">
        <x:f>F2150+G2150</x:f>
        <x:v>0</x:v>
      </x:c>
      <x:c r="AG2150" s="21" t="n">
        <x:f>SUM(J2150:O2150)</x:f>
        <x:v>1782</x:v>
      </x:c>
      <x:c r="AH2150" s="17" t="n">
        <x:f>SUM(Q2150:S2150)</x:f>
        <x:v>14</x:v>
      </x:c>
      <x:c r="AI2150" s="17" t="n">
        <x:f>SUM(U2150:Y2150)</x:f>
        <x:v>1</x:v>
      </x:c>
      <x:c r="AJ2150" s="17" t="str">
        <x:f>IF(AE2150&lt;=34,"≤34",IF(AE2150&lt;=44,"35–44",IF(AE2150&lt;=54,"45–54",IF(AE2150&lt;=64,"55–64","65+"))))</x:f>
        <x:v>35–44</x:v>
      </x:c>
      <x:c r="AK2150" s="17" t="str">
        <x:f>IF(AG2150&gt;=1000,"High Value",IF(AG2150&gt;=300,"Mid Value","Low Value"))</x:f>
        <x:v>High Value</x:v>
      </x:c>
      <x:c r="AL2150" s="17" t="str">
        <x:f>IF(AND(AI2150&gt;=1,I2150&lt;=50),"Priority 1",IF(AND(AG2150&gt;=1000,I2150&lt;=60),"Priority 2",IF(I2150&lt;=30,"Priority 3","Nurture")))</x:f>
        <x:v>Priority 1</x:v>
      </x:c>
    </x:row>
    <x:row r="2151">
      <x:c r="A2151" s="16" t="n">
        <x:v>9481</x:v>
      </x:c>
      <x:c r="B2151" s="16" t="n">
        <x:v>1976</x:v>
      </x:c>
      <x:c r="C2151" s="16" t="str">
        <x:v>Graduation</x:v>
      </x:c>
      <x:c r="D2151" s="16" t="str">
        <x:v>Married</x:v>
      </x:c>
      <x:c r="E2151" s="16" t="n">
        <x:v>17148</x:v>
      </x:c>
      <x:c r="F2151" s="16" t="n">
        <x:v>1</x:v>
      </x:c>
      <x:c r="G2151" s="16" t="n">
        <x:v>0</x:v>
      </x:c>
      <x:c r="H2151" s="16" t="str">
        <x:v>28-01-2014</x:v>
      </x:c>
      <x:c r="I2151" s="16" t="n">
        <x:v>80</x:v>
      </x:c>
      <x:c r="J2151" s="16" t="n">
        <x:v>9</x:v>
      </x:c>
      <x:c r="K2151" s="16" t="n">
        <x:v>9</x:v>
      </x:c>
      <x:c r="L2151" s="16" t="n">
        <x:v>11</x:v>
      </x:c>
      <x:c r="M2151" s="16" t="n">
        <x:v>13</x:v>
      </x:c>
      <x:c r="N2151" s="16" t="n">
        <x:v>10</x:v>
      </x:c>
      <x:c r="O2151" s="16" t="n">
        <x:v>16</x:v>
      </x:c>
      <x:c r="P2151" s="16" t="n">
        <x:v>4</x:v>
      </x:c>
      <x:c r="Q2151" s="16" t="n">
        <x:v>3</x:v>
      </x:c>
      <x:c r="R2151" s="16" t="n">
        <x:v>1</x:v>
      </x:c>
      <x:c r="S2151" s="16" t="n">
        <x:v>3</x:v>
      </x:c>
      <x:c r="T2151" s="16" t="n">
        <x:v>8</x:v>
      </x:c>
      <x:c r="U2151" s="16" t="n">
        <x:v>0</x:v>
      </x:c>
      <x:c r="V2151" s="16" t="n">
        <x:v>0</x:v>
      </x:c>
      <x:c r="W2151" s="16" t="n">
        <x:v>0</x:v>
      </x:c>
      <x:c r="X2151" s="16" t="n">
        <x:v>0</x:v>
      </x:c>
      <x:c r="Y2151" s="16" t="n">
        <x:v>0</x:v>
      </x:c>
      <x:c r="Z2151" s="16" t="n">
        <x:v>0</x:v>
      </x:c>
      <x:c r="AA2151" s="16" t="n">
        <x:v>3</x:v>
      </x:c>
      <x:c r="AB2151" s="16" t="n">
        <x:v>11</x:v>
      </x:c>
      <x:c r="AC2151" s="16" t="n">
        <x:v>0</x:v>
      </x:c>
      <x:c r="AD2151" s="21" t="n">
        <x:f>IF(E2151="",MEDIAN($E$2:$E$2237),E2151)</x:f>
        <x:v>17148</x:v>
      </x:c>
      <x:c r="AE2151" s="17" t="n">
        <x:f>2014-B2151</x:f>
        <x:v>38</x:v>
      </x:c>
      <x:c r="AF2151" s="17" t="n">
        <x:f>F2151+G2151</x:f>
        <x:v>1</x:v>
      </x:c>
      <x:c r="AG2151" s="21" t="n">
        <x:f>SUM(J2151:O2151)</x:f>
        <x:v>68</x:v>
      </x:c>
      <x:c r="AH2151" s="17" t="n">
        <x:f>SUM(Q2151:S2151)</x:f>
        <x:v>7</x:v>
      </x:c>
      <x:c r="AI2151" s="17" t="n">
        <x:f>SUM(U2151:Y2151)</x:f>
        <x:v>0</x:v>
      </x:c>
      <x:c r="AJ2151" s="17" t="str">
        <x:f>IF(AE2151&lt;=34,"≤34",IF(AE2151&lt;=44,"35–44",IF(AE2151&lt;=54,"45–54",IF(AE2151&lt;=64,"55–64","65+"))))</x:f>
        <x:v>35–44</x:v>
      </x:c>
      <x:c r="AK2151" s="17" t="str">
        <x:f>IF(AG2151&gt;=1000,"High Value",IF(AG2151&gt;=300,"Mid Value","Low Value"))</x:f>
        <x:v>Low Value</x:v>
      </x:c>
      <x:c r="AL2151" s="17" t="str">
        <x:f>IF(AND(AI2151&gt;=1,I2151&lt;=50),"Priority 1",IF(AND(AG2151&gt;=1000,I2151&lt;=60),"Priority 2",IF(I2151&lt;=30,"Priority 3","Nurture")))</x:f>
        <x:v>Nurture</x:v>
      </x:c>
    </x:row>
    <x:row r="2152">
      <x:c r="A2152" s="16" t="n">
        <x:v>7699</x:v>
      </x:c>
      <x:c r="B2152" s="16" t="n">
        <x:v>1969</x:v>
      </x:c>
      <x:c r="C2152" s="16" t="str">
        <x:v>Graduation</x:v>
      </x:c>
      <x:c r="D2152" s="16" t="str">
        <x:v>Widow</x:v>
      </x:c>
      <x:c r="E2152" s="16" t="n">
        <x:v>40590</x:v>
      </x:c>
      <x:c r="F2152" s="16" t="n">
        <x:v>1</x:v>
      </x:c>
      <x:c r="G2152" s="16" t="n">
        <x:v>1</x:v>
      </x:c>
      <x:c r="H2152" s="16" t="str">
        <x:v>02-10-2013</x:v>
      </x:c>
      <x:c r="I2152" s="16" t="n">
        <x:v>30</x:v>
      </x:c>
      <x:c r="J2152" s="16" t="n">
        <x:v>154</x:v>
      </x:c>
      <x:c r="K2152" s="16" t="n">
        <x:v>0</x:v>
      </x:c>
      <x:c r="L2152" s="16" t="n">
        <x:v>50</x:v>
      </x:c>
      <x:c r="M2152" s="16" t="n">
        <x:v>6</x:v>
      </x:c>
      <x:c r="N2152" s="16" t="n">
        <x:v>11</x:v>
      </x:c>
      <x:c r="O2152" s="16" t="n">
        <x:v>37</x:v>
      </x:c>
      <x:c r="P2152" s="16" t="n">
        <x:v>5</x:v>
      </x:c>
      <x:c r="Q2152" s="16" t="n">
        <x:v>3</x:v>
      </x:c>
      <x:c r="R2152" s="16" t="n">
        <x:v>4</x:v>
      </x:c>
      <x:c r="S2152" s="16" t="n">
        <x:v>3</x:v>
      </x:c>
      <x:c r="T2152" s="16" t="n">
        <x:v>6</x:v>
      </x:c>
      <x:c r="U2152" s="16" t="n">
        <x:v>1</x:v>
      </x:c>
      <x:c r="V2152" s="16" t="n">
        <x:v>0</x:v>
      </x:c>
      <x:c r="W2152" s="16" t="n">
        <x:v>0</x:v>
      </x:c>
      <x:c r="X2152" s="16" t="n">
        <x:v>0</x:v>
      </x:c>
      <x:c r="Y2152" s="16" t="n">
        <x:v>0</x:v>
      </x:c>
      <x:c r="Z2152" s="16" t="n">
        <x:v>0</x:v>
      </x:c>
      <x:c r="AA2152" s="16" t="n">
        <x:v>3</x:v>
      </x:c>
      <x:c r="AB2152" s="16" t="n">
        <x:v>11</x:v>
      </x:c>
      <x:c r="AC2152" s="16" t="n">
        <x:v>0</x:v>
      </x:c>
      <x:c r="AD2152" s="21" t="n">
        <x:f>IF(E2152="",MEDIAN($E$2:$E$2237),E2152)</x:f>
        <x:v>40590</x:v>
      </x:c>
      <x:c r="AE2152" s="17" t="n">
        <x:f>2014-B2152</x:f>
        <x:v>45</x:v>
      </x:c>
      <x:c r="AF2152" s="17" t="n">
        <x:f>F2152+G2152</x:f>
        <x:v>2</x:v>
      </x:c>
      <x:c r="AG2152" s="21" t="n">
        <x:f>SUM(J2152:O2152)</x:f>
        <x:v>258</x:v>
      </x:c>
      <x:c r="AH2152" s="17" t="n">
        <x:f>SUM(Q2152:S2152)</x:f>
        <x:v>10</x:v>
      </x:c>
      <x:c r="AI2152" s="17" t="n">
        <x:f>SUM(U2152:Y2152)</x:f>
        <x:v>1</x:v>
      </x:c>
      <x:c r="AJ2152" s="17" t="str">
        <x:f>IF(AE2152&lt;=34,"≤34",IF(AE2152&lt;=44,"35–44",IF(AE2152&lt;=54,"45–54",IF(AE2152&lt;=64,"55–64","65+"))))</x:f>
        <x:v>45–54</x:v>
      </x:c>
      <x:c r="AK2152" s="17" t="str">
        <x:f>IF(AG2152&gt;=1000,"High Value",IF(AG2152&gt;=300,"Mid Value","Low Value"))</x:f>
        <x:v>Low Value</x:v>
      </x:c>
      <x:c r="AL2152" s="17" t="str">
        <x:f>IF(AND(AI2152&gt;=1,I2152&lt;=50),"Priority 1",IF(AND(AG2152&gt;=1000,I2152&lt;=60),"Priority 2",IF(I2152&lt;=30,"Priority 3","Nurture")))</x:f>
        <x:v>Priority 1</x:v>
      </x:c>
    </x:row>
    <x:row r="2153">
      <x:c r="A2153" s="16" t="n">
        <x:v>2711</x:v>
      </x:c>
      <x:c r="B2153" s="16" t="n">
        <x:v>1976</x:v>
      </x:c>
      <x:c r="C2153" s="16" t="str">
        <x:v>Master</x:v>
      </x:c>
      <x:c r="D2153" s="16" t="str">
        <x:v>Together</x:v>
      </x:c>
      <x:c r="E2153" s="16" t="n">
        <x:v>30560</x:v>
      </x:c>
      <x:c r="F2153" s="16" t="n">
        <x:v>1</x:v>
      </x:c>
      <x:c r="G2153" s="16" t="n">
        <x:v>0</x:v>
      </x:c>
      <x:c r="H2153" s="16" t="str">
        <x:v>27-06-2013</x:v>
      </x:c>
      <x:c r="I2153" s="16" t="n">
        <x:v>6</x:v>
      </x:c>
      <x:c r="J2153" s="16" t="n">
        <x:v>9</x:v>
      </x:c>
      <x:c r="K2153" s="16" t="n">
        <x:v>1</x:v>
      </x:c>
      <x:c r="L2153" s="16" t="n">
        <x:v>5</x:v>
      </x:c>
      <x:c r="M2153" s="16" t="n">
        <x:v>4</x:v>
      </x:c>
      <x:c r="N2153" s="16" t="n">
        <x:v>5</x:v>
      </x:c>
      <x:c r="O2153" s="16" t="n">
        <x:v>7</x:v>
      </x:c>
      <x:c r="P2153" s="16" t="n">
        <x:v>1</x:v>
      </x:c>
      <x:c r="Q2153" s="16" t="n">
        <x:v>1</x:v>
      </x:c>
      <x:c r="R2153" s="16" t="n">
        <x:v>0</x:v>
      </x:c>
      <x:c r="S2153" s="16" t="n">
        <x:v>3</x:v>
      </x:c>
      <x:c r="T2153" s="16" t="n">
        <x:v>7</x:v>
      </x:c>
      <x:c r="U2153" s="16" t="n">
        <x:v>0</x:v>
      </x:c>
      <x:c r="V2153" s="16" t="n">
        <x:v>0</x:v>
      </x:c>
      <x:c r="W2153" s="16" t="n">
        <x:v>0</x:v>
      </x:c>
      <x:c r="X2153" s="16" t="n">
        <x:v>0</x:v>
      </x:c>
      <x:c r="Y2153" s="16" t="n">
        <x:v>0</x:v>
      </x:c>
      <x:c r="Z2153" s="16" t="n">
        <x:v>0</x:v>
      </x:c>
      <x:c r="AA2153" s="16" t="n">
        <x:v>3</x:v>
      </x:c>
      <x:c r="AB2153" s="16" t="n">
        <x:v>11</x:v>
      </x:c>
      <x:c r="AC2153" s="16" t="n">
        <x:v>0</x:v>
      </x:c>
      <x:c r="AD2153" s="21" t="n">
        <x:f>IF(E2153="",MEDIAN($E$2:$E$2237),E2153)</x:f>
        <x:v>30560</x:v>
      </x:c>
      <x:c r="AE2153" s="17" t="n">
        <x:f>2014-B2153</x:f>
        <x:v>38</x:v>
      </x:c>
      <x:c r="AF2153" s="17" t="n">
        <x:f>F2153+G2153</x:f>
        <x:v>1</x:v>
      </x:c>
      <x:c r="AG2153" s="21" t="n">
        <x:f>SUM(J2153:O2153)</x:f>
        <x:v>31</x:v>
      </x:c>
      <x:c r="AH2153" s="17" t="n">
        <x:f>SUM(Q2153:S2153)</x:f>
        <x:v>4</x:v>
      </x:c>
      <x:c r="AI2153" s="17" t="n">
        <x:f>SUM(U2153:Y2153)</x:f>
        <x:v>0</x:v>
      </x:c>
      <x:c r="AJ2153" s="17" t="str">
        <x:f>IF(AE2153&lt;=34,"≤34",IF(AE2153&lt;=44,"35–44",IF(AE2153&lt;=54,"45–54",IF(AE2153&lt;=64,"55–64","65+"))))</x:f>
        <x:v>35–44</x:v>
      </x:c>
      <x:c r="AK2153" s="17" t="str">
        <x:f>IF(AG2153&gt;=1000,"High Value",IF(AG2153&gt;=300,"Mid Value","Low Value"))</x:f>
        <x:v>Low Value</x:v>
      </x:c>
      <x:c r="AL2153" s="17" t="str">
        <x:f>IF(AND(AI2153&gt;=1,I2153&lt;=50),"Priority 1",IF(AND(AG2153&gt;=1000,I2153&lt;=60),"Priority 2",IF(I2153&lt;=30,"Priority 3","Nurture")))</x:f>
        <x:v>Priority 3</x:v>
      </x:c>
    </x:row>
    <x:row r="2154">
      <x:c r="A2154" s="16" t="n">
        <x:v>8933</x:v>
      </x:c>
      <x:c r="B2154" s="16" t="n">
        <x:v>1983</x:v>
      </x:c>
      <x:c r="C2154" s="16" t="str">
        <x:v>2n Cycle</x:v>
      </x:c>
      <x:c r="D2154" s="16" t="str">
        <x:v>Married</x:v>
      </x:c>
      <x:c r="E2154" s="16" t="n">
        <x:v>32146</x:v>
      </x:c>
      <x:c r="F2154" s="16" t="n">
        <x:v>1</x:v>
      </x:c>
      <x:c r="G2154" s="16" t="n">
        <x:v>0</x:v>
      </x:c>
      <x:c r="H2154" s="16" t="str">
        <x:v>12-05-2014</x:v>
      </x:c>
      <x:c r="I2154" s="16" t="n">
        <x:v>16</x:v>
      </x:c>
      <x:c r="J2154" s="16" t="n">
        <x:v>26</x:v>
      </x:c>
      <x:c r="K2154" s="16" t="n">
        <x:v>3</x:v>
      </x:c>
      <x:c r="L2154" s="16" t="n">
        <x:v>23</x:v>
      </x:c>
      <x:c r="M2154" s="16" t="n">
        <x:v>4</x:v>
      </x:c>
      <x:c r="N2154" s="16" t="n">
        <x:v>7</x:v>
      </x:c>
      <x:c r="O2154" s="16" t="n">
        <x:v>3</x:v>
      </x:c>
      <x:c r="P2154" s="16" t="n">
        <x:v>2</x:v>
      </x:c>
      <x:c r="Q2154" s="16" t="n">
        <x:v>2</x:v>
      </x:c>
      <x:c r="R2154" s="16" t="n">
        <x:v>0</x:v>
      </x:c>
      <x:c r="S2154" s="16" t="n">
        <x:v>4</x:v>
      </x:c>
      <x:c r="T2154" s="16" t="n">
        <x:v>6</x:v>
      </x:c>
      <x:c r="U2154" s="16" t="n">
        <x:v>0</x:v>
      </x:c>
      <x:c r="V2154" s="16" t="n">
        <x:v>0</x:v>
      </x:c>
      <x:c r="W2154" s="16" t="n">
        <x:v>0</x:v>
      </x:c>
      <x:c r="X2154" s="16" t="n">
        <x:v>0</x:v>
      </x:c>
      <x:c r="Y2154" s="16" t="n">
        <x:v>0</x:v>
      </x:c>
      <x:c r="Z2154" s="16" t="n">
        <x:v>0</x:v>
      </x:c>
      <x:c r="AA2154" s="16" t="n">
        <x:v>3</x:v>
      </x:c>
      <x:c r="AB2154" s="16" t="n">
        <x:v>11</x:v>
      </x:c>
      <x:c r="AC2154" s="16" t="n">
        <x:v>0</x:v>
      </x:c>
      <x:c r="AD2154" s="21" t="n">
        <x:f>IF(E2154="",MEDIAN($E$2:$E$2237),E2154)</x:f>
        <x:v>32146</x:v>
      </x:c>
      <x:c r="AE2154" s="17" t="n">
        <x:f>2014-B2154</x:f>
        <x:v>31</x:v>
      </x:c>
      <x:c r="AF2154" s="17" t="n">
        <x:f>F2154+G2154</x:f>
        <x:v>1</x:v>
      </x:c>
      <x:c r="AG2154" s="21" t="n">
        <x:f>SUM(J2154:O2154)</x:f>
        <x:v>66</x:v>
      </x:c>
      <x:c r="AH2154" s="17" t="n">
        <x:f>SUM(Q2154:S2154)</x:f>
        <x:v>6</x:v>
      </x:c>
      <x:c r="AI2154" s="17" t="n">
        <x:f>SUM(U2154:Y2154)</x:f>
        <x:v>0</x:v>
      </x:c>
      <x:c r="AJ2154" s="17" t="str">
        <x:f>IF(AE2154&lt;=34,"≤34",IF(AE2154&lt;=44,"35–44",IF(AE2154&lt;=54,"45–54",IF(AE2154&lt;=64,"55–64","65+"))))</x:f>
        <x:v>≤34</x:v>
      </x:c>
      <x:c r="AK2154" s="17" t="str">
        <x:f>IF(AG2154&gt;=1000,"High Value",IF(AG2154&gt;=300,"Mid Value","Low Value"))</x:f>
        <x:v>Low Value</x:v>
      </x:c>
      <x:c r="AL2154" s="17" t="str">
        <x:f>IF(AND(AI2154&gt;=1,I2154&lt;=50),"Priority 1",IF(AND(AG2154&gt;=1000,I2154&lt;=60),"Priority 2",IF(I2154&lt;=30,"Priority 3","Nurture")))</x:f>
        <x:v>Priority 3</x:v>
      </x:c>
    </x:row>
    <x:row r="2155">
      <x:c r="A2155" s="16" t="n">
        <x:v>8726</x:v>
      </x:c>
      <x:c r="B2155" s="16" t="n">
        <x:v>1964</x:v>
      </x:c>
      <x:c r="C2155" s="16" t="str">
        <x:v>2n Cycle</x:v>
      </x:c>
      <x:c r="D2155" s="16" t="str">
        <x:v>Divorced</x:v>
      </x:c>
      <x:c r="E2155" s="16" t="n">
        <x:v>41713</x:v>
      </x:c>
      <x:c r="F2155" s="16" t="n">
        <x:v>1</x:v>
      </x:c>
      <x:c r="G2155" s="16" t="n">
        <x:v>1</x:v>
      </x:c>
      <x:c r="H2155" s="16" t="str">
        <x:v>29-04-2014</x:v>
      </x:c>
      <x:c r="I2155" s="16" t="n">
        <x:v>57</x:v>
      </x:c>
      <x:c r="J2155" s="16" t="n">
        <x:v>77</x:v>
      </x:c>
      <x:c r="K2155" s="16" t="n">
        <x:v>8</x:v>
      </x:c>
      <x:c r="L2155" s="16" t="n">
        <x:v>44</x:v>
      </x:c>
      <x:c r="M2155" s="16" t="n">
        <x:v>10</x:v>
      </x:c>
      <x:c r="N2155" s="16" t="n">
        <x:v>10</x:v>
      </x:c>
      <x:c r="O2155" s="16" t="n">
        <x:v>25</x:v>
      </x:c>
      <x:c r="P2155" s="16" t="n">
        <x:v>5</x:v>
      </x:c>
      <x:c r="Q2155" s="16" t="n">
        <x:v>3</x:v>
      </x:c>
      <x:c r="R2155" s="16" t="n">
        <x:v>1</x:v>
      </x:c>
      <x:c r="S2155" s="16" t="n">
        <x:v>4</x:v>
      </x:c>
      <x:c r="T2155" s="16" t="n">
        <x:v>6</x:v>
      </x:c>
      <x:c r="U2155" s="16" t="n">
        <x:v>0</x:v>
      </x:c>
      <x:c r="V2155" s="16" t="n">
        <x:v>0</x:v>
      </x:c>
      <x:c r="W2155" s="16" t="n">
        <x:v>0</x:v>
      </x:c>
      <x:c r="X2155" s="16" t="n">
        <x:v>0</x:v>
      </x:c>
      <x:c r="Y2155" s="16" t="n">
        <x:v>0</x:v>
      </x:c>
      <x:c r="Z2155" s="16" t="n">
        <x:v>0</x:v>
      </x:c>
      <x:c r="AA2155" s="16" t="n">
        <x:v>3</x:v>
      </x:c>
      <x:c r="AB2155" s="16" t="n">
        <x:v>11</x:v>
      </x:c>
      <x:c r="AC2155" s="16" t="n">
        <x:v>0</x:v>
      </x:c>
      <x:c r="AD2155" s="21" t="n">
        <x:f>IF(E2155="",MEDIAN($E$2:$E$2237),E2155)</x:f>
        <x:v>41713</x:v>
      </x:c>
      <x:c r="AE2155" s="17" t="n">
        <x:f>2014-B2155</x:f>
        <x:v>50</x:v>
      </x:c>
      <x:c r="AF2155" s="17" t="n">
        <x:f>F2155+G2155</x:f>
        <x:v>2</x:v>
      </x:c>
      <x:c r="AG2155" s="21" t="n">
        <x:f>SUM(J2155:O2155)</x:f>
        <x:v>174</x:v>
      </x:c>
      <x:c r="AH2155" s="17" t="n">
        <x:f>SUM(Q2155:S2155)</x:f>
        <x:v>8</x:v>
      </x:c>
      <x:c r="AI2155" s="17" t="n">
        <x:f>SUM(U2155:Y2155)</x:f>
        <x:v>0</x:v>
      </x:c>
      <x:c r="AJ2155" s="17" t="str">
        <x:f>IF(AE2155&lt;=34,"≤34",IF(AE2155&lt;=44,"35–44",IF(AE2155&lt;=54,"45–54",IF(AE2155&lt;=64,"55–64","65+"))))</x:f>
        <x:v>45–54</x:v>
      </x:c>
      <x:c r="AK2155" s="17" t="str">
        <x:f>IF(AG2155&gt;=1000,"High Value",IF(AG2155&gt;=300,"Mid Value","Low Value"))</x:f>
        <x:v>Low Value</x:v>
      </x:c>
      <x:c r="AL2155" s="17" t="str">
        <x:f>IF(AND(AI2155&gt;=1,I2155&lt;=50),"Priority 1",IF(AND(AG2155&gt;=1000,I2155&lt;=60),"Priority 2",IF(I2155&lt;=30,"Priority 3","Nurture")))</x:f>
        <x:v>Nurture</x:v>
      </x:c>
    </x:row>
    <x:row r="2156">
      <x:c r="A2156" s="16" t="n">
        <x:v>1515</x:v>
      </x:c>
      <x:c r="B2156" s="16" t="n">
        <x:v>1975</x:v>
      </x:c>
      <x:c r="C2156" s="16" t="str">
        <x:v>Master</x:v>
      </x:c>
      <x:c r="D2156" s="16" t="str">
        <x:v>Together</x:v>
      </x:c>
      <x:c r="E2156" s="16" t="n">
        <x:v>34176</x:v>
      </x:c>
      <x:c r="F2156" s="16" t="n">
        <x:v>0</x:v>
      </x:c>
      <x:c r="G2156" s="16" t="n">
        <x:v>1</x:v>
      </x:c>
      <x:c r="H2156" s="16" t="str">
        <x:v>22-01-2014</x:v>
      </x:c>
      <x:c r="I2156" s="16" t="n">
        <x:v>9</x:v>
      </x:c>
      <x:c r="J2156" s="16" t="n">
        <x:v>11</x:v>
      </x:c>
      <x:c r="K2156" s="16" t="n">
        <x:v>2</x:v>
      </x:c>
      <x:c r="L2156" s="16" t="n">
        <x:v>7</x:v>
      </x:c>
      <x:c r="M2156" s="16" t="n">
        <x:v>4</x:v>
      </x:c>
      <x:c r="N2156" s="16" t="n">
        <x:v>2</x:v>
      </x:c>
      <x:c r="O2156" s="16" t="n">
        <x:v>2</x:v>
      </x:c>
      <x:c r="P2156" s="16" t="n">
        <x:v>1</x:v>
      </x:c>
      <x:c r="Q2156" s="16" t="n">
        <x:v>1</x:v>
      </x:c>
      <x:c r="R2156" s="16" t="n">
        <x:v>0</x:v>
      </x:c>
      <x:c r="S2156" s="16" t="n">
        <x:v>3</x:v>
      </x:c>
      <x:c r="T2156" s="16" t="n">
        <x:v>3</x:v>
      </x:c>
      <x:c r="U2156" s="16" t="n">
        <x:v>0</x:v>
      </x:c>
      <x:c r="V2156" s="16" t="n">
        <x:v>0</x:v>
      </x:c>
      <x:c r="W2156" s="16" t="n">
        <x:v>0</x:v>
      </x:c>
      <x:c r="X2156" s="16" t="n">
        <x:v>0</x:v>
      </x:c>
      <x:c r="Y2156" s="16" t="n">
        <x:v>0</x:v>
      </x:c>
      <x:c r="Z2156" s="16" t="n">
        <x:v>0</x:v>
      </x:c>
      <x:c r="AA2156" s="16" t="n">
        <x:v>3</x:v>
      </x:c>
      <x:c r="AB2156" s="16" t="n">
        <x:v>11</x:v>
      </x:c>
      <x:c r="AC2156" s="16" t="n">
        <x:v>0</x:v>
      </x:c>
      <x:c r="AD2156" s="21" t="n">
        <x:f>IF(E2156="",MEDIAN($E$2:$E$2237),E2156)</x:f>
        <x:v>34176</x:v>
      </x:c>
      <x:c r="AE2156" s="17" t="n">
        <x:f>2014-B2156</x:f>
        <x:v>39</x:v>
      </x:c>
      <x:c r="AF2156" s="17" t="n">
        <x:f>F2156+G2156</x:f>
        <x:v>1</x:v>
      </x:c>
      <x:c r="AG2156" s="21" t="n">
        <x:f>SUM(J2156:O2156)</x:f>
        <x:v>28</x:v>
      </x:c>
      <x:c r="AH2156" s="17" t="n">
        <x:f>SUM(Q2156:S2156)</x:f>
        <x:v>4</x:v>
      </x:c>
      <x:c r="AI2156" s="17" t="n">
        <x:f>SUM(U2156:Y2156)</x:f>
        <x:v>0</x:v>
      </x:c>
      <x:c r="AJ2156" s="17" t="str">
        <x:f>IF(AE2156&lt;=34,"≤34",IF(AE2156&lt;=44,"35–44",IF(AE2156&lt;=54,"45–54",IF(AE2156&lt;=64,"55–64","65+"))))</x:f>
        <x:v>35–44</x:v>
      </x:c>
      <x:c r="AK2156" s="17" t="str">
        <x:f>IF(AG2156&gt;=1000,"High Value",IF(AG2156&gt;=300,"Mid Value","Low Value"))</x:f>
        <x:v>Low Value</x:v>
      </x:c>
      <x:c r="AL2156" s="17" t="str">
        <x:f>IF(AND(AI2156&gt;=1,I2156&lt;=50),"Priority 1",IF(AND(AG2156&gt;=1000,I2156&lt;=60),"Priority 2",IF(I2156&lt;=30,"Priority 3","Nurture")))</x:f>
        <x:v>Priority 3</x:v>
      </x:c>
    </x:row>
    <x:row r="2157">
      <x:c r="A2157" s="16" t="n">
        <x:v>5186</x:v>
      </x:c>
      <x:c r="B2157" s="16" t="n">
        <x:v>1955</x:v>
      </x:c>
      <x:c r="C2157" s="16" t="str">
        <x:v>PhD</x:v>
      </x:c>
      <x:c r="D2157" s="16" t="str">
        <x:v>Married</x:v>
      </x:c>
      <x:c r="E2157" s="16" t="n">
        <x:v>58482</x:v>
      </x:c>
      <x:c r="F2157" s="16" t="n">
        <x:v>0</x:v>
      </x:c>
      <x:c r="G2157" s="16" t="n">
        <x:v>1</x:v>
      </x:c>
      <x:c r="H2157" s="16" t="str">
        <x:v>12-03-2014</x:v>
      </x:c>
      <x:c r="I2157" s="16" t="n">
        <x:v>59</x:v>
      </x:c>
      <x:c r="J2157" s="16" t="n">
        <x:v>576</x:v>
      </x:c>
      <x:c r="K2157" s="16" t="n">
        <x:v>7</x:v>
      </x:c>
      <x:c r="L2157" s="16" t="n">
        <x:v>115</x:v>
      </x:c>
      <x:c r="M2157" s="16" t="n">
        <x:v>19</x:v>
      </x:c>
      <x:c r="N2157" s="16" t="n">
        <x:v>7</x:v>
      </x:c>
      <x:c r="O2157" s="16" t="n">
        <x:v>7</x:v>
      </x:c>
      <x:c r="P2157" s="16" t="n">
        <x:v>2</x:v>
      </x:c>
      <x:c r="Q2157" s="16" t="n">
        <x:v>7</x:v>
      </x:c>
      <x:c r="R2157" s="16" t="n">
        <x:v>4</x:v>
      </x:c>
      <x:c r="S2157" s="16" t="n">
        <x:v>9</x:v>
      </x:c>
      <x:c r="T2157" s="16" t="n">
        <x:v>6</x:v>
      </x:c>
      <x:c r="U2157" s="16" t="n">
        <x:v>0</x:v>
      </x:c>
      <x:c r="V2157" s="16" t="n">
        <x:v>1</x:v>
      </x:c>
      <x:c r="W2157" s="16" t="n">
        <x:v>0</x:v>
      </x:c>
      <x:c r="X2157" s="16" t="n">
        <x:v>0</x:v>
      </x:c>
      <x:c r="Y2157" s="16" t="n">
        <x:v>0</x:v>
      </x:c>
      <x:c r="Z2157" s="16" t="n">
        <x:v>0</x:v>
      </x:c>
      <x:c r="AA2157" s="16" t="n">
        <x:v>3</x:v>
      </x:c>
      <x:c r="AB2157" s="16" t="n">
        <x:v>11</x:v>
      </x:c>
      <x:c r="AC2157" s="16" t="n">
        <x:v>0</x:v>
      </x:c>
      <x:c r="AD2157" s="21" t="n">
        <x:f>IF(E2157="",MEDIAN($E$2:$E$2237),E2157)</x:f>
        <x:v>58482</x:v>
      </x:c>
      <x:c r="AE2157" s="17" t="n">
        <x:f>2014-B2157</x:f>
        <x:v>59</x:v>
      </x:c>
      <x:c r="AF2157" s="17" t="n">
        <x:f>F2157+G2157</x:f>
        <x:v>1</x:v>
      </x:c>
      <x:c r="AG2157" s="21" t="n">
        <x:f>SUM(J2157:O2157)</x:f>
        <x:v>731</x:v>
      </x:c>
      <x:c r="AH2157" s="17" t="n">
        <x:f>SUM(Q2157:S2157)</x:f>
        <x:v>20</x:v>
      </x:c>
      <x:c r="AI2157" s="17" t="n">
        <x:f>SUM(U2157:Y2157)</x:f>
        <x:v>1</x:v>
      </x:c>
      <x:c r="AJ2157" s="17" t="str">
        <x:f>IF(AE2157&lt;=34,"≤34",IF(AE2157&lt;=44,"35–44",IF(AE2157&lt;=54,"45–54",IF(AE2157&lt;=64,"55–64","65+"))))</x:f>
        <x:v>55–64</x:v>
      </x:c>
      <x:c r="AK2157" s="17" t="str">
        <x:f>IF(AG2157&gt;=1000,"High Value",IF(AG2157&gt;=300,"Mid Value","Low Value"))</x:f>
        <x:v>Mid Value</x:v>
      </x:c>
      <x:c r="AL2157" s="17" t="str">
        <x:f>IF(AND(AI2157&gt;=1,I2157&lt;=50),"Priority 1",IF(AND(AG2157&gt;=1000,I2157&lt;=60),"Priority 2",IF(I2157&lt;=30,"Priority 3","Nurture")))</x:f>
        <x:v>Nurture</x:v>
      </x:c>
    </x:row>
    <x:row r="2158">
      <x:c r="A2158" s="16" t="n">
        <x:v>10157</x:v>
      </x:c>
      <x:c r="B2158" s="16" t="n">
        <x:v>1965</x:v>
      </x:c>
      <x:c r="C2158" s="16" t="str">
        <x:v>Graduation</x:v>
      </x:c>
      <x:c r="D2158" s="16" t="str">
        <x:v>Single</x:v>
      </x:c>
      <x:c r="E2158" s="16" t="n">
        <x:v>59686</x:v>
      </x:c>
      <x:c r="F2158" s="16" t="n">
        <x:v>0</x:v>
      </x:c>
      <x:c r="G2158" s="16" t="n">
        <x:v>1</x:v>
      </x:c>
      <x:c r="H2158" s="16" t="str">
        <x:v>25-01-2014</x:v>
      </x:c>
      <x:c r="I2158" s="16" t="n">
        <x:v>78</x:v>
      </x:c>
      <x:c r="J2158" s="16" t="n">
        <x:v>89</x:v>
      </x:c>
      <x:c r="K2158" s="16" t="n">
        <x:v>15</x:v>
      </x:c>
      <x:c r="L2158" s="16" t="n">
        <x:v>89</x:v>
      </x:c>
      <x:c r="M2158" s="16" t="n">
        <x:v>34</x:v>
      </x:c>
      <x:c r="N2158" s="16" t="n">
        <x:v>42</x:v>
      </x:c>
      <x:c r="O2158" s="16" t="n">
        <x:v>5</x:v>
      </x:c>
      <x:c r="P2158" s="16" t="n">
        <x:v>1</x:v>
      </x:c>
      <x:c r="Q2158" s="16" t="n">
        <x:v>4</x:v>
      </x:c>
      <x:c r="R2158" s="16" t="n">
        <x:v>1</x:v>
      </x:c>
      <x:c r="S2158" s="16" t="n">
        <x:v>6</x:v>
      </x:c>
      <x:c r="T2158" s="16" t="n">
        <x:v>4</x:v>
      </x:c>
      <x:c r="U2158" s="16" t="n">
        <x:v>0</x:v>
      </x:c>
      <x:c r="V2158" s="16" t="n">
        <x:v>0</x:v>
      </x:c>
      <x:c r="W2158" s="16" t="n">
        <x:v>0</x:v>
      </x:c>
      <x:c r="X2158" s="16" t="n">
        <x:v>0</x:v>
      </x:c>
      <x:c r="Y2158" s="16" t="n">
        <x:v>0</x:v>
      </x:c>
      <x:c r="Z2158" s="16" t="n">
        <x:v>0</x:v>
      </x:c>
      <x:c r="AA2158" s="16" t="n">
        <x:v>3</x:v>
      </x:c>
      <x:c r="AB2158" s="16" t="n">
        <x:v>11</x:v>
      </x:c>
      <x:c r="AC2158" s="16" t="n">
        <x:v>0</x:v>
      </x:c>
      <x:c r="AD2158" s="21" t="n">
        <x:f>IF(E2158="",MEDIAN($E$2:$E$2237),E2158)</x:f>
        <x:v>59686</x:v>
      </x:c>
      <x:c r="AE2158" s="17" t="n">
        <x:f>2014-B2158</x:f>
        <x:v>49</x:v>
      </x:c>
      <x:c r="AF2158" s="17" t="n">
        <x:f>F2158+G2158</x:f>
        <x:v>1</x:v>
      </x:c>
      <x:c r="AG2158" s="21" t="n">
        <x:f>SUM(J2158:O2158)</x:f>
        <x:v>274</x:v>
      </x:c>
      <x:c r="AH2158" s="17" t="n">
        <x:f>SUM(Q2158:S2158)</x:f>
        <x:v>11</x:v>
      </x:c>
      <x:c r="AI2158" s="17" t="n">
        <x:f>SUM(U2158:Y2158)</x:f>
        <x:v>0</x:v>
      </x:c>
      <x:c r="AJ2158" s="17" t="str">
        <x:f>IF(AE2158&lt;=34,"≤34",IF(AE2158&lt;=44,"35–44",IF(AE2158&lt;=54,"45–54",IF(AE2158&lt;=64,"55–64","65+"))))</x:f>
        <x:v>45–54</x:v>
      </x:c>
      <x:c r="AK2158" s="17" t="str">
        <x:f>IF(AG2158&gt;=1000,"High Value",IF(AG2158&gt;=300,"Mid Value","Low Value"))</x:f>
        <x:v>Low Value</x:v>
      </x:c>
      <x:c r="AL2158" s="17" t="str">
        <x:f>IF(AND(AI2158&gt;=1,I2158&lt;=50),"Priority 1",IF(AND(AG2158&gt;=1000,I2158&lt;=60),"Priority 2",IF(I2158&lt;=30,"Priority 3","Nurture")))</x:f>
        <x:v>Nurture</x:v>
      </x:c>
    </x:row>
    <x:row r="2159">
      <x:c r="A2159" s="16" t="n">
        <x:v>5667</x:v>
      </x:c>
      <x:c r="B2159" s="16" t="n">
        <x:v>1964</x:v>
      </x:c>
      <x:c r="C2159" s="16" t="str">
        <x:v>PhD</x:v>
      </x:c>
      <x:c r="D2159" s="16" t="str">
        <x:v>Married</x:v>
      </x:c>
      <x:c r="E2159" s="16" t="n">
        <x:v>60896</x:v>
      </x:c>
      <x:c r="F2159" s="16" t="n">
        <x:v>0</x:v>
      </x:c>
      <x:c r="G2159" s="16" t="n">
        <x:v>1</x:v>
      </x:c>
      <x:c r="H2159" s="16" t="str">
        <x:v>11-10-2012</x:v>
      </x:c>
      <x:c r="I2159" s="16" t="n">
        <x:v>90</x:v>
      </x:c>
      <x:c r="J2159" s="16" t="n">
        <x:v>1013</x:v>
      </x:c>
      <x:c r="K2159" s="16" t="n">
        <x:v>30</x:v>
      </x:c>
      <x:c r="L2159" s="16" t="n">
        <x:v>399</x:v>
      </x:c>
      <x:c r="M2159" s="16" t="n">
        <x:v>60</x:v>
      </x:c>
      <x:c r="N2159" s="16" t="n">
        <x:v>46</x:v>
      </x:c>
      <x:c r="O2159" s="16" t="n">
        <x:v>153</x:v>
      </x:c>
      <x:c r="P2159" s="16" t="n">
        <x:v>3</x:v>
      </x:c>
      <x:c r="Q2159" s="16" t="n">
        <x:v>9</x:v>
      </x:c>
      <x:c r="R2159" s="16" t="n">
        <x:v>10</x:v>
      </x:c>
      <x:c r="S2159" s="16" t="n">
        <x:v>4</x:v>
      </x:c>
      <x:c r="T2159" s="16" t="n">
        <x:v>6</x:v>
      </x:c>
      <x:c r="U2159" s="16" t="n">
        <x:v>0</x:v>
      </x:c>
      <x:c r="V2159" s="16" t="n">
        <x:v>0</x:v>
      </x:c>
      <x:c r="W2159" s="16" t="n">
        <x:v>0</x:v>
      </x:c>
      <x:c r="X2159" s="16" t="n">
        <x:v>0</x:v>
      </x:c>
      <x:c r="Y2159" s="16" t="n">
        <x:v>0</x:v>
      </x:c>
      <x:c r="Z2159" s="16" t="n">
        <x:v>0</x:v>
      </x:c>
      <x:c r="AA2159" s="16" t="n">
        <x:v>3</x:v>
      </x:c>
      <x:c r="AB2159" s="16" t="n">
        <x:v>11</x:v>
      </x:c>
      <x:c r="AC2159" s="16" t="n">
        <x:v>1</x:v>
      </x:c>
      <x:c r="AD2159" s="21" t="n">
        <x:f>IF(E2159="",MEDIAN($E$2:$E$2237),E2159)</x:f>
        <x:v>60896</x:v>
      </x:c>
      <x:c r="AE2159" s="17" t="n">
        <x:f>2014-B2159</x:f>
        <x:v>50</x:v>
      </x:c>
      <x:c r="AF2159" s="17" t="n">
        <x:f>F2159+G2159</x:f>
        <x:v>1</x:v>
      </x:c>
      <x:c r="AG2159" s="21" t="n">
        <x:f>SUM(J2159:O2159)</x:f>
        <x:v>1701</x:v>
      </x:c>
      <x:c r="AH2159" s="17" t="n">
        <x:f>SUM(Q2159:S2159)</x:f>
        <x:v>23</x:v>
      </x:c>
      <x:c r="AI2159" s="17" t="n">
        <x:f>SUM(U2159:Y2159)</x:f>
        <x:v>0</x:v>
      </x:c>
      <x:c r="AJ2159" s="17" t="str">
        <x:f>IF(AE2159&lt;=34,"≤34",IF(AE2159&lt;=44,"35–44",IF(AE2159&lt;=54,"45–54",IF(AE2159&lt;=64,"55–64","65+"))))</x:f>
        <x:v>45–54</x:v>
      </x:c>
      <x:c r="AK2159" s="17" t="str">
        <x:f>IF(AG2159&gt;=1000,"High Value",IF(AG2159&gt;=300,"Mid Value","Low Value"))</x:f>
        <x:v>High Value</x:v>
      </x:c>
      <x:c r="AL2159" s="17" t="str">
        <x:f>IF(AND(AI2159&gt;=1,I2159&lt;=50),"Priority 1",IF(AND(AG2159&gt;=1000,I2159&lt;=60),"Priority 2",IF(I2159&lt;=30,"Priority 3","Nurture")))</x:f>
        <x:v>Nurture</x:v>
      </x:c>
    </x:row>
    <x:row r="2160">
      <x:c r="A2160" s="16" t="n">
        <x:v>902</x:v>
      </x:c>
      <x:c r="B2160" s="16" t="n">
        <x:v>1980</x:v>
      </x:c>
      <x:c r="C2160" s="16" t="str">
        <x:v>Graduation</x:v>
      </x:c>
      <x:c r="D2160" s="16" t="str">
        <x:v>Together</x:v>
      </x:c>
      <x:c r="E2160" s="16" t="n">
        <x:v>62994</x:v>
      </x:c>
      <x:c r="F2160" s="16" t="n">
        <x:v>1</x:v>
      </x:c>
      <x:c r="G2160" s="16" t="n">
        <x:v>0</x:v>
      </x:c>
      <x:c r="H2160" s="16" t="str">
        <x:v>04-03-2014</x:v>
      </x:c>
      <x:c r="I2160" s="16" t="n">
        <x:v>74</x:v>
      </x:c>
      <x:c r="J2160" s="16" t="n">
        <x:v>224</x:v>
      </x:c>
      <x:c r="K2160" s="16" t="n">
        <x:v>12</x:v>
      </x:c>
      <x:c r="L2160" s="16" t="n">
        <x:v>48</x:v>
      </x:c>
      <x:c r="M2160" s="16" t="n">
        <x:v>4</x:v>
      </x:c>
      <x:c r="N2160" s="16" t="n">
        <x:v>12</x:v>
      </x:c>
      <x:c r="O2160" s="16" t="n">
        <x:v>12</x:v>
      </x:c>
      <x:c r="P2160" s="16" t="n">
        <x:v>1</x:v>
      </x:c>
      <x:c r="Q2160" s="16" t="n">
        <x:v>6</x:v>
      </x:c>
      <x:c r="R2160" s="16" t="n">
        <x:v>2</x:v>
      </x:c>
      <x:c r="S2160" s="16" t="n">
        <x:v>4</x:v>
      </x:c>
      <x:c r="T2160" s="16" t="n">
        <x:v>6</x:v>
      </x:c>
      <x:c r="U2160" s="16" t="n">
        <x:v>0</x:v>
      </x:c>
      <x:c r="V2160" s="16" t="n">
        <x:v>0</x:v>
      </x:c>
      <x:c r="W2160" s="16" t="n">
        <x:v>0</x:v>
      </x:c>
      <x:c r="X2160" s="16" t="n">
        <x:v>0</x:v>
      </x:c>
      <x:c r="Y2160" s="16" t="n">
        <x:v>0</x:v>
      </x:c>
      <x:c r="Z2160" s="16" t="n">
        <x:v>0</x:v>
      </x:c>
      <x:c r="AA2160" s="16" t="n">
        <x:v>3</x:v>
      </x:c>
      <x:c r="AB2160" s="16" t="n">
        <x:v>11</x:v>
      </x:c>
      <x:c r="AC2160" s="16" t="n">
        <x:v>0</x:v>
      </x:c>
      <x:c r="AD2160" s="21" t="n">
        <x:f>IF(E2160="",MEDIAN($E$2:$E$2237),E2160)</x:f>
        <x:v>62994</x:v>
      </x:c>
      <x:c r="AE2160" s="17" t="n">
        <x:f>2014-B2160</x:f>
        <x:v>34</x:v>
      </x:c>
      <x:c r="AF2160" s="17" t="n">
        <x:f>F2160+G2160</x:f>
        <x:v>1</x:v>
      </x:c>
      <x:c r="AG2160" s="21" t="n">
        <x:f>SUM(J2160:O2160)</x:f>
        <x:v>312</x:v>
      </x:c>
      <x:c r="AH2160" s="17" t="n">
        <x:f>SUM(Q2160:S2160)</x:f>
        <x:v>12</x:v>
      </x:c>
      <x:c r="AI2160" s="17" t="n">
        <x:f>SUM(U2160:Y2160)</x:f>
        <x:v>0</x:v>
      </x:c>
      <x:c r="AJ2160" s="17" t="str">
        <x:f>IF(AE2160&lt;=34,"≤34",IF(AE2160&lt;=44,"35–44",IF(AE2160&lt;=54,"45–54",IF(AE2160&lt;=64,"55–64","65+"))))</x:f>
        <x:v>≤34</x:v>
      </x:c>
      <x:c r="AK2160" s="17" t="str">
        <x:f>IF(AG2160&gt;=1000,"High Value",IF(AG2160&gt;=300,"Mid Value","Low Value"))</x:f>
        <x:v>Mid Value</x:v>
      </x:c>
      <x:c r="AL2160" s="17" t="str">
        <x:f>IF(AND(AI2160&gt;=1,I2160&lt;=50),"Priority 1",IF(AND(AG2160&gt;=1000,I2160&lt;=60),"Priority 2",IF(I2160&lt;=30,"Priority 3","Nurture")))</x:f>
        <x:v>Nurture</x:v>
      </x:c>
    </x:row>
    <x:row r="2161">
      <x:c r="A2161" s="16" t="n">
        <x:v>977</x:v>
      </x:c>
      <x:c r="B2161" s="16" t="n">
        <x:v>1957</x:v>
      </x:c>
      <x:c r="C2161" s="16" t="str">
        <x:v>Graduation</x:v>
      </x:c>
      <x:c r="D2161" s="16" t="str">
        <x:v>Together</x:v>
      </x:c>
      <x:c r="E2161" s="16" t="n">
        <x:v>47320</x:v>
      </x:c>
      <x:c r="F2161" s="16" t="n">
        <x:v>0</x:v>
      </x:c>
      <x:c r="G2161" s="16" t="n">
        <x:v>1</x:v>
      </x:c>
      <x:c r="H2161" s="16" t="str">
        <x:v>01-08-2013</x:v>
      </x:c>
      <x:c r="I2161" s="16" t="n">
        <x:v>10</x:v>
      </x:c>
      <x:c r="J2161" s="16" t="n">
        <x:v>200</x:v>
      </x:c>
      <x:c r="K2161" s="16" t="n">
        <x:v>19</x:v>
      </x:c>
      <x:c r="L2161" s="16" t="n">
        <x:v>111</x:v>
      </x:c>
      <x:c r="M2161" s="16" t="n">
        <x:v>50</x:v>
      </x:c>
      <x:c r="N2161" s="16" t="n">
        <x:v>15</x:v>
      </x:c>
      <x:c r="O2161" s="16" t="n">
        <x:v>19</x:v>
      </x:c>
      <x:c r="P2161" s="16" t="n">
        <x:v>6</x:v>
      </x:c>
      <x:c r="Q2161" s="16" t="n">
        <x:v>5</x:v>
      </x:c>
      <x:c r="R2161" s="16" t="n">
        <x:v>1</x:v>
      </x:c>
      <x:c r="S2161" s="16" t="n">
        <x:v>8</x:v>
      </x:c>
      <x:c r="T2161" s="16" t="n">
        <x:v>6</x:v>
      </x:c>
      <x:c r="U2161" s="16" t="n">
        <x:v>0</x:v>
      </x:c>
      <x:c r="V2161" s="16" t="n">
        <x:v>0</x:v>
      </x:c>
      <x:c r="W2161" s="16" t="n">
        <x:v>0</x:v>
      </x:c>
      <x:c r="X2161" s="16" t="n">
        <x:v>0</x:v>
      </x:c>
      <x:c r="Y2161" s="16" t="n">
        <x:v>0</x:v>
      </x:c>
      <x:c r="Z2161" s="16" t="n">
        <x:v>0</x:v>
      </x:c>
      <x:c r="AA2161" s="16" t="n">
        <x:v>3</x:v>
      </x:c>
      <x:c r="AB2161" s="16" t="n">
        <x:v>11</x:v>
      </x:c>
      <x:c r="AC2161" s="16" t="n">
        <x:v>0</x:v>
      </x:c>
      <x:c r="AD2161" s="21" t="n">
        <x:f>IF(E2161="",MEDIAN($E$2:$E$2237),E2161)</x:f>
        <x:v>47320</x:v>
      </x:c>
      <x:c r="AE2161" s="17" t="n">
        <x:f>2014-B2161</x:f>
        <x:v>57</x:v>
      </x:c>
      <x:c r="AF2161" s="17" t="n">
        <x:f>F2161+G2161</x:f>
        <x:v>1</x:v>
      </x:c>
      <x:c r="AG2161" s="21" t="n">
        <x:f>SUM(J2161:O2161)</x:f>
        <x:v>414</x:v>
      </x:c>
      <x:c r="AH2161" s="17" t="n">
        <x:f>SUM(Q2161:S2161)</x:f>
        <x:v>14</x:v>
      </x:c>
      <x:c r="AI2161" s="17" t="n">
        <x:f>SUM(U2161:Y2161)</x:f>
        <x:v>0</x:v>
      </x:c>
      <x:c r="AJ2161" s="17" t="str">
        <x:f>IF(AE2161&lt;=34,"≤34",IF(AE2161&lt;=44,"35–44",IF(AE2161&lt;=54,"45–54",IF(AE2161&lt;=64,"55–64","65+"))))</x:f>
        <x:v>55–64</x:v>
      </x:c>
      <x:c r="AK2161" s="17" t="str">
        <x:f>IF(AG2161&gt;=1000,"High Value",IF(AG2161&gt;=300,"Mid Value","Low Value"))</x:f>
        <x:v>Mid Value</x:v>
      </x:c>
      <x:c r="AL2161" s="17" t="str">
        <x:f>IF(AND(AI2161&gt;=1,I2161&lt;=50),"Priority 1",IF(AND(AG2161&gt;=1000,I2161&lt;=60),"Priority 2",IF(I2161&lt;=30,"Priority 3","Nurture")))</x:f>
        <x:v>Priority 3</x:v>
      </x:c>
    </x:row>
    <x:row r="2162">
      <x:c r="A2162" s="16" t="n">
        <x:v>7313</x:v>
      </x:c>
      <x:c r="B2162" s="16" t="n">
        <x:v>1949</x:v>
      </x:c>
      <x:c r="C2162" s="16" t="str">
        <x:v>2n Cycle</x:v>
      </x:c>
      <x:c r="D2162" s="16" t="str">
        <x:v>Widow</x:v>
      </x:c>
      <x:c r="E2162" s="16" t="n">
        <x:v>74859</x:v>
      </x:c>
      <x:c r="F2162" s="16" t="n">
        <x:v>0</x:v>
      </x:c>
      <x:c r="G2162" s="16" t="n">
        <x:v>0</x:v>
      </x:c>
      <x:c r="H2162" s="16" t="str">
        <x:v>03-06-2013</x:v>
      </x:c>
      <x:c r="I2162" s="16" t="n">
        <x:v>63</x:v>
      </x:c>
      <x:c r="J2162" s="16" t="n">
        <x:v>570</x:v>
      </x:c>
      <x:c r="K2162" s="16" t="n">
        <x:v>73</x:v>
      </x:c>
      <x:c r="L2162" s="16" t="n">
        <x:v>614</x:v>
      </x:c>
      <x:c r="M2162" s="16" t="n">
        <x:v>133</x:v>
      </x:c>
      <x:c r="N2162" s="16" t="n">
        <x:v>102</x:v>
      </x:c>
      <x:c r="O2162" s="16" t="n">
        <x:v>73</x:v>
      </x:c>
      <x:c r="P2162" s="16" t="n">
        <x:v>1</x:v>
      </x:c>
      <x:c r="Q2162" s="16" t="n">
        <x:v>6</x:v>
      </x:c>
      <x:c r="R2162" s="16" t="n">
        <x:v>5</x:v>
      </x:c>
      <x:c r="S2162" s="16" t="n">
        <x:v>11</x:v>
      </x:c>
      <x:c r="T2162" s="16" t="n">
        <x:v>3</x:v>
      </x:c>
      <x:c r="U2162" s="16" t="n">
        <x:v>0</x:v>
      </x:c>
      <x:c r="V2162" s="16" t="n">
        <x:v>0</x:v>
      </x:c>
      <x:c r="W2162" s="16" t="n">
        <x:v>0</x:v>
      </x:c>
      <x:c r="X2162" s="16" t="n">
        <x:v>1</x:v>
      </x:c>
      <x:c r="Y2162" s="16" t="n">
        <x:v>0</x:v>
      </x:c>
      <x:c r="Z2162" s="16" t="n">
        <x:v>0</x:v>
      </x:c>
      <x:c r="AA2162" s="16" t="n">
        <x:v>3</x:v>
      </x:c>
      <x:c r="AB2162" s="16" t="n">
        <x:v>11</x:v>
      </x:c>
      <x:c r="AC2162" s="16" t="n">
        <x:v>0</x:v>
      </x:c>
      <x:c r="AD2162" s="21" t="n">
        <x:f>IF(E2162="",MEDIAN($E$2:$E$2237),E2162)</x:f>
        <x:v>74859</x:v>
      </x:c>
      <x:c r="AE2162" s="17" t="n">
        <x:f>2014-B2162</x:f>
        <x:v>65</x:v>
      </x:c>
      <x:c r="AF2162" s="17" t="n">
        <x:f>F2162+G2162</x:f>
        <x:v>0</x:v>
      </x:c>
      <x:c r="AG2162" s="21" t="n">
        <x:f>SUM(J2162:O2162)</x:f>
        <x:v>1565</x:v>
      </x:c>
      <x:c r="AH2162" s="17" t="n">
        <x:f>SUM(Q2162:S2162)</x:f>
        <x:v>22</x:v>
      </x:c>
      <x:c r="AI2162" s="17" t="n">
        <x:f>SUM(U2162:Y2162)</x:f>
        <x:v>1</x:v>
      </x:c>
      <x:c r="AJ2162" s="17" t="str">
        <x:f>IF(AE2162&lt;=34,"≤34",IF(AE2162&lt;=44,"35–44",IF(AE2162&lt;=54,"45–54",IF(AE2162&lt;=64,"55–64","65+"))))</x:f>
        <x:v>65+</x:v>
      </x:c>
      <x:c r="AK2162" s="17" t="str">
        <x:f>IF(AG2162&gt;=1000,"High Value",IF(AG2162&gt;=300,"Mid Value","Low Value"))</x:f>
        <x:v>High Value</x:v>
      </x:c>
      <x:c r="AL2162" s="17" t="str">
        <x:f>IF(AND(AI2162&gt;=1,I2162&lt;=50),"Priority 1",IF(AND(AG2162&gt;=1000,I2162&lt;=60),"Priority 2",IF(I2162&lt;=30,"Priority 3","Nurture")))</x:f>
        <x:v>Nurture</x:v>
      </x:c>
    </x:row>
    <x:row r="2163">
      <x:c r="A2163" s="16" t="n">
        <x:v>7600</x:v>
      </x:c>
      <x:c r="B2163" s="16" t="n">
        <x:v>1992</x:v>
      </x:c>
      <x:c r="C2163" s="16" t="str">
        <x:v>Basic</x:v>
      </x:c>
      <x:c r="D2163" s="16" t="str">
        <x:v>Single</x:v>
      </x:c>
      <x:c r="E2163" s="16" t="n">
        <x:v>15253</x:v>
      </x:c>
      <x:c r="F2163" s="16" t="n">
        <x:v>1</x:v>
      </x:c>
      <x:c r="G2163" s="16" t="n">
        <x:v>0</x:v>
      </x:c>
      <x:c r="H2163" s="16" t="str">
        <x:v>28-10-2013</x:v>
      </x:c>
      <x:c r="I2163" s="16" t="n">
        <x:v>13</x:v>
      </x:c>
      <x:c r="J2163" s="16" t="n">
        <x:v>1</x:v>
      </x:c>
      <x:c r="K2163" s="16" t="n">
        <x:v>3</x:v>
      </x:c>
      <x:c r="L2163" s="16" t="n">
        <x:v>3</x:v>
      </x:c>
      <x:c r="M2163" s="16" t="n">
        <x:v>8</x:v>
      </x:c>
      <x:c r="N2163" s="16" t="n">
        <x:v>1</x:v>
      </x:c>
      <x:c r="O2163" s="16" t="n">
        <x:v>13</x:v>
      </x:c>
      <x:c r="P2163" s="16" t="n">
        <x:v>2</x:v>
      </x:c>
      <x:c r="Q2163" s="16" t="n">
        <x:v>1</x:v>
      </x:c>
      <x:c r="R2163" s="16" t="n">
        <x:v>0</x:v>
      </x:c>
      <x:c r="S2163" s="16" t="n">
        <x:v>3</x:v>
      </x:c>
      <x:c r="T2163" s="16" t="n">
        <x:v>7</x:v>
      </x:c>
      <x:c r="U2163" s="16" t="n">
        <x:v>0</x:v>
      </x:c>
      <x:c r="V2163" s="16" t="n">
        <x:v>0</x:v>
      </x:c>
      <x:c r="W2163" s="16" t="n">
        <x:v>0</x:v>
      </x:c>
      <x:c r="X2163" s="16" t="n">
        <x:v>0</x:v>
      </x:c>
      <x:c r="Y2163" s="16" t="n">
        <x:v>0</x:v>
      </x:c>
      <x:c r="Z2163" s="16" t="n">
        <x:v>0</x:v>
      </x:c>
      <x:c r="AA2163" s="16" t="n">
        <x:v>3</x:v>
      </x:c>
      <x:c r="AB2163" s="16" t="n">
        <x:v>11</x:v>
      </x:c>
      <x:c r="AC2163" s="16" t="n">
        <x:v>0</x:v>
      </x:c>
      <x:c r="AD2163" s="21" t="n">
        <x:f>IF(E2163="",MEDIAN($E$2:$E$2237),E2163)</x:f>
        <x:v>15253</x:v>
      </x:c>
      <x:c r="AE2163" s="17" t="n">
        <x:f>2014-B2163</x:f>
        <x:v>22</x:v>
      </x:c>
      <x:c r="AF2163" s="17" t="n">
        <x:f>F2163+G2163</x:f>
        <x:v>1</x:v>
      </x:c>
      <x:c r="AG2163" s="21" t="n">
        <x:f>SUM(J2163:O2163)</x:f>
        <x:v>29</x:v>
      </x:c>
      <x:c r="AH2163" s="17" t="n">
        <x:f>SUM(Q2163:S2163)</x:f>
        <x:v>4</x:v>
      </x:c>
      <x:c r="AI2163" s="17" t="n">
        <x:f>SUM(U2163:Y2163)</x:f>
        <x:v>0</x:v>
      </x:c>
      <x:c r="AJ2163" s="17" t="str">
        <x:f>IF(AE2163&lt;=34,"≤34",IF(AE2163&lt;=44,"35–44",IF(AE2163&lt;=54,"45–54",IF(AE2163&lt;=64,"55–64","65+"))))</x:f>
        <x:v>≤34</x:v>
      </x:c>
      <x:c r="AK2163" s="17" t="str">
        <x:f>IF(AG2163&gt;=1000,"High Value",IF(AG2163&gt;=300,"Mid Value","Low Value"))</x:f>
        <x:v>Low Value</x:v>
      </x:c>
      <x:c r="AL2163" s="17" t="str">
        <x:f>IF(AND(AI2163&gt;=1,I2163&lt;=50),"Priority 1",IF(AND(AG2163&gt;=1000,I2163&lt;=60),"Priority 2",IF(I2163&lt;=30,"Priority 3","Nurture")))</x:f>
        <x:v>Priority 3</x:v>
      </x:c>
    </x:row>
    <x:row r="2164">
      <x:c r="A2164" s="16" t="n">
        <x:v>9706</x:v>
      </x:c>
      <x:c r="B2164" s="16" t="n">
        <x:v>1974</x:v>
      </x:c>
      <x:c r="C2164" s="16" t="str">
        <x:v>PhD</x:v>
      </x:c>
      <x:c r="D2164" s="16" t="str">
        <x:v>Single</x:v>
      </x:c>
      <x:c r="E2164" s="16" t="n">
        <x:v>31560</x:v>
      </x:c>
      <x:c r="F2164" s="16" t="n">
        <x:v>1</x:v>
      </x:c>
      <x:c r="G2164" s="16" t="n">
        <x:v>0</x:v>
      </x:c>
      <x:c r="H2164" s="16" t="str">
        <x:v>24-06-2013</x:v>
      </x:c>
      <x:c r="I2164" s="16" t="n">
        <x:v>98</x:v>
      </x:c>
      <x:c r="J2164" s="16" t="n">
        <x:v>62</x:v>
      </x:c>
      <x:c r="K2164" s="16" t="n">
        <x:v>1</x:v>
      </x:c>
      <x:c r="L2164" s="16" t="n">
        <x:v>20</x:v>
      </x:c>
      <x:c r="M2164" s="16" t="n">
        <x:v>4</x:v>
      </x:c>
      <x:c r="N2164" s="16" t="n">
        <x:v>0</x:v>
      </x:c>
      <x:c r="O2164" s="16" t="n">
        <x:v>7</x:v>
      </x:c>
      <x:c r="P2164" s="16" t="n">
        <x:v>2</x:v>
      </x:c>
      <x:c r="Q2164" s="16" t="n">
        <x:v>2</x:v>
      </x:c>
      <x:c r="R2164" s="16" t="n">
        <x:v>1</x:v>
      </x:c>
      <x:c r="S2164" s="16" t="n">
        <x:v>3</x:v>
      </x:c>
      <x:c r="T2164" s="16" t="n">
        <x:v>8</x:v>
      </x:c>
      <x:c r="U2164" s="16" t="n">
        <x:v>0</x:v>
      </x:c>
      <x:c r="V2164" s="16" t="n">
        <x:v>0</x:v>
      </x:c>
      <x:c r="W2164" s="16" t="n">
        <x:v>0</x:v>
      </x:c>
      <x:c r="X2164" s="16" t="n">
        <x:v>0</x:v>
      </x:c>
      <x:c r="Y2164" s="16" t="n">
        <x:v>0</x:v>
      </x:c>
      <x:c r="Z2164" s="16" t="n">
        <x:v>0</x:v>
      </x:c>
      <x:c r="AA2164" s="16" t="n">
        <x:v>3</x:v>
      </x:c>
      <x:c r="AB2164" s="16" t="n">
        <x:v>11</x:v>
      </x:c>
      <x:c r="AC2164" s="16" t="n">
        <x:v>0</x:v>
      </x:c>
      <x:c r="AD2164" s="21" t="n">
        <x:f>IF(E2164="",MEDIAN($E$2:$E$2237),E2164)</x:f>
        <x:v>31560</x:v>
      </x:c>
      <x:c r="AE2164" s="17" t="n">
        <x:f>2014-B2164</x:f>
        <x:v>40</x:v>
      </x:c>
      <x:c r="AF2164" s="17" t="n">
        <x:f>F2164+G2164</x:f>
        <x:v>1</x:v>
      </x:c>
      <x:c r="AG2164" s="21" t="n">
        <x:f>SUM(J2164:O2164)</x:f>
        <x:v>94</x:v>
      </x:c>
      <x:c r="AH2164" s="17" t="n">
        <x:f>SUM(Q2164:S2164)</x:f>
        <x:v>6</x:v>
      </x:c>
      <x:c r="AI2164" s="17" t="n">
        <x:f>SUM(U2164:Y2164)</x:f>
        <x:v>0</x:v>
      </x:c>
      <x:c r="AJ2164" s="17" t="str">
        <x:f>IF(AE2164&lt;=34,"≤34",IF(AE2164&lt;=44,"35–44",IF(AE2164&lt;=54,"45–54",IF(AE2164&lt;=64,"55–64","65+"))))</x:f>
        <x:v>35–44</x:v>
      </x:c>
      <x:c r="AK2164" s="17" t="str">
        <x:f>IF(AG2164&gt;=1000,"High Value",IF(AG2164&gt;=300,"Mid Value","Low Value"))</x:f>
        <x:v>Low Value</x:v>
      </x:c>
      <x:c r="AL2164" s="17" t="str">
        <x:f>IF(AND(AI2164&gt;=1,I2164&lt;=50),"Priority 1",IF(AND(AG2164&gt;=1000,I2164&lt;=60),"Priority 2",IF(I2164&lt;=30,"Priority 3","Nurture")))</x:f>
        <x:v>Nurture</x:v>
      </x:c>
    </x:row>
    <x:row r="2165">
      <x:c r="A2165" s="16" t="n">
        <x:v>2429</x:v>
      </x:c>
      <x:c r="B2165" s="16" t="n">
        <x:v>1954</x:v>
      </x:c>
      <x:c r="C2165" s="16" t="str">
        <x:v>Graduation</x:v>
      </x:c>
      <x:c r="D2165" s="16" t="str">
        <x:v>Divorced</x:v>
      </x:c>
      <x:c r="E2165" s="16" t="n">
        <x:v>72071</x:v>
      </x:c>
      <x:c r="F2165" s="16" t="n">
        <x:v>0</x:v>
      </x:c>
      <x:c r="G2165" s="16" t="n">
        <x:v>1</x:v>
      </x:c>
      <x:c r="H2165" s="16" t="str">
        <x:v>14-02-2013</x:v>
      </x:c>
      <x:c r="I2165" s="16" t="n">
        <x:v>4</x:v>
      </x:c>
      <x:c r="J2165" s="16" t="n">
        <x:v>531</x:v>
      </x:c>
      <x:c r="K2165" s="16" t="n">
        <x:v>69</x:v>
      </x:c>
      <x:c r="L2165" s="16" t="n">
        <x:v>300</x:v>
      </x:c>
      <x:c r="M2165" s="16" t="n">
        <x:v>150</x:v>
      </x:c>
      <x:c r="N2165" s="16" t="n">
        <x:v>138</x:v>
      </x:c>
      <x:c r="O2165" s="16" t="n">
        <x:v>150</x:v>
      </x:c>
      <x:c r="P2165" s="16" t="n">
        <x:v>3</x:v>
      </x:c>
      <x:c r="Q2165" s="16" t="n">
        <x:v>5</x:v>
      </x:c>
      <x:c r="R2165" s="16" t="n">
        <x:v>4</x:v>
      </x:c>
      <x:c r="S2165" s="16" t="n">
        <x:v>8</x:v>
      </x:c>
      <x:c r="T2165" s="16" t="n">
        <x:v>2</x:v>
      </x:c>
      <x:c r="U2165" s="16" t="n">
        <x:v>0</x:v>
      </x:c>
      <x:c r="V2165" s="16" t="n">
        <x:v>0</x:v>
      </x:c>
      <x:c r="W2165" s="16" t="n">
        <x:v>0</x:v>
      </x:c>
      <x:c r="X2165" s="16" t="n">
        <x:v>0</x:v>
      </x:c>
      <x:c r="Y2165" s="16" t="n">
        <x:v>0</x:v>
      </x:c>
      <x:c r="Z2165" s="16" t="n">
        <x:v>0</x:v>
      </x:c>
      <x:c r="AA2165" s="16" t="n">
        <x:v>3</x:v>
      </x:c>
      <x:c r="AB2165" s="16" t="n">
        <x:v>11</x:v>
      </x:c>
      <x:c r="AC2165" s="16" t="n">
        <x:v>0</x:v>
      </x:c>
      <x:c r="AD2165" s="21" t="n">
        <x:f>IF(E2165="",MEDIAN($E$2:$E$2237),E2165)</x:f>
        <x:v>72071</x:v>
      </x:c>
      <x:c r="AE2165" s="17" t="n">
        <x:f>2014-B2165</x:f>
        <x:v>60</x:v>
      </x:c>
      <x:c r="AF2165" s="17" t="n">
        <x:f>F2165+G2165</x:f>
        <x:v>1</x:v>
      </x:c>
      <x:c r="AG2165" s="21" t="n">
        <x:f>SUM(J2165:O2165)</x:f>
        <x:v>1338</x:v>
      </x:c>
      <x:c r="AH2165" s="17" t="n">
        <x:f>SUM(Q2165:S2165)</x:f>
        <x:v>17</x:v>
      </x:c>
      <x:c r="AI2165" s="17" t="n">
        <x:f>SUM(U2165:Y2165)</x:f>
        <x:v>0</x:v>
      </x:c>
      <x:c r="AJ2165" s="17" t="str">
        <x:f>IF(AE2165&lt;=34,"≤34",IF(AE2165&lt;=44,"35–44",IF(AE2165&lt;=54,"45–54",IF(AE2165&lt;=64,"55–64","65+"))))</x:f>
        <x:v>55–64</x:v>
      </x:c>
      <x:c r="AK2165" s="17" t="str">
        <x:f>IF(AG2165&gt;=1000,"High Value",IF(AG2165&gt;=300,"Mid Value","Low Value"))</x:f>
        <x:v>High Value</x:v>
      </x:c>
      <x:c r="AL2165" s="17" t="str">
        <x:f>IF(AND(AI2165&gt;=1,I2165&lt;=50),"Priority 1",IF(AND(AG2165&gt;=1000,I2165&lt;=60),"Priority 2",IF(I2165&lt;=30,"Priority 3","Nurture")))</x:f>
        <x:v>Priority 2</x:v>
      </x:c>
    </x:row>
    <x:row r="2166">
      <x:c r="A2166" s="16" t="n">
        <x:v>3520</x:v>
      </x:c>
      <x:c r="B2166" s="16" t="n">
        <x:v>1990</x:v>
      </x:c>
      <x:c r="C2166" s="16" t="str">
        <x:v>Master</x:v>
      </x:c>
      <x:c r="D2166" s="16" t="str">
        <x:v>Single</x:v>
      </x:c>
      <x:c r="E2166" s="16" t="n">
        <x:v>91172</x:v>
      </x:c>
      <x:c r="F2166" s="16" t="n">
        <x:v>0</x:v>
      </x:c>
      <x:c r="G2166" s="16" t="n">
        <x:v>0</x:v>
      </x:c>
      <x:c r="H2166" s="16" t="str">
        <x:v>27-03-2013</x:v>
      </x:c>
      <x:c r="I2166" s="16" t="n">
        <x:v>94</x:v>
      </x:c>
      <x:c r="J2166" s="16" t="n">
        <x:v>162</x:v>
      </x:c>
      <x:c r="K2166" s="16" t="n">
        <x:v>28</x:v>
      </x:c>
      <x:c r="L2166" s="16" t="n">
        <x:v>818</x:v>
      </x:c>
      <x:c r="M2166" s="16" t="n">
        <x:v>0</x:v>
      </x:c>
      <x:c r="N2166" s="16" t="n">
        <x:v>28</x:v>
      </x:c>
      <x:c r="O2166" s="16" t="n">
        <x:v>56</x:v>
      </x:c>
      <x:c r="P2166" s="16" t="n">
        <x:v>0</x:v>
      </x:c>
      <x:c r="Q2166" s="16" t="n">
        <x:v>4</x:v>
      </x:c>
      <x:c r="R2166" s="16" t="n">
        <x:v>3</x:v>
      </x:c>
      <x:c r="S2166" s="16" t="n">
        <x:v>7</x:v>
      </x:c>
      <x:c r="T2166" s="16" t="n">
        <x:v>3</x:v>
      </x:c>
      <x:c r="U2166" s="16" t="n">
        <x:v>1</x:v>
      </x:c>
      <x:c r="V2166" s="16" t="n">
        <x:v>0</x:v>
      </x:c>
      <x:c r="W2166" s="16" t="n">
        <x:v>1</x:v>
      </x:c>
      <x:c r="X2166" s="16" t="n">
        <x:v>1</x:v>
      </x:c>
      <x:c r="Y2166" s="16" t="n">
        <x:v>1</x:v>
      </x:c>
      <x:c r="Z2166" s="16" t="n">
        <x:v>0</x:v>
      </x:c>
      <x:c r="AA2166" s="16" t="n">
        <x:v>3</x:v>
      </x:c>
      <x:c r="AB2166" s="16" t="n">
        <x:v>11</x:v>
      </x:c>
      <x:c r="AC2166" s="16" t="n">
        <x:v>1</x:v>
      </x:c>
      <x:c r="AD2166" s="21" t="n">
        <x:f>IF(E2166="",MEDIAN($E$2:$E$2237),E2166)</x:f>
        <x:v>91172</x:v>
      </x:c>
      <x:c r="AE2166" s="17" t="n">
        <x:f>2014-B2166</x:f>
        <x:v>24</x:v>
      </x:c>
      <x:c r="AF2166" s="17" t="n">
        <x:f>F2166+G2166</x:f>
        <x:v>0</x:v>
      </x:c>
      <x:c r="AG2166" s="21" t="n">
        <x:f>SUM(J2166:O2166)</x:f>
        <x:v>1092</x:v>
      </x:c>
      <x:c r="AH2166" s="17" t="n">
        <x:f>SUM(Q2166:S2166)</x:f>
        <x:v>14</x:v>
      </x:c>
      <x:c r="AI2166" s="17" t="n">
        <x:f>SUM(U2166:Y2166)</x:f>
        <x:v>4</x:v>
      </x:c>
      <x:c r="AJ2166" s="17" t="str">
        <x:f>IF(AE2166&lt;=34,"≤34",IF(AE2166&lt;=44,"35–44",IF(AE2166&lt;=54,"45–54",IF(AE2166&lt;=64,"55–64","65+"))))</x:f>
        <x:v>≤34</x:v>
      </x:c>
      <x:c r="AK2166" s="17" t="str">
        <x:f>IF(AG2166&gt;=1000,"High Value",IF(AG2166&gt;=300,"Mid Value","Low Value"))</x:f>
        <x:v>High Value</x:v>
      </x:c>
      <x:c r="AL2166" s="17" t="str">
        <x:f>IF(AND(AI2166&gt;=1,I2166&lt;=50),"Priority 1",IF(AND(AG2166&gt;=1000,I2166&lt;=60),"Priority 2",IF(I2166&lt;=30,"Priority 3","Nurture")))</x:f>
        <x:v>Nurture</x:v>
      </x:c>
    </x:row>
    <x:row r="2167">
      <x:c r="A2167" s="16" t="n">
        <x:v>10394</x:v>
      </x:c>
      <x:c r="B2167" s="16" t="n">
        <x:v>1984</x:v>
      </x:c>
      <x:c r="C2167" s="16" t="str">
        <x:v>Graduation</x:v>
      </x:c>
      <x:c r="D2167" s="16" t="str">
        <x:v>Married</x:v>
      </x:c>
      <x:c r="E2167" s="16" t="n">
        <x:v>90000</x:v>
      </x:c>
      <x:c r="F2167" s="16" t="n">
        <x:v>0</x:v>
      </x:c>
      <x:c r="G2167" s="16" t="n">
        <x:v>0</x:v>
      </x:c>
      <x:c r="H2167" s="16" t="str">
        <x:v>23-12-2013</x:v>
      </x:c>
      <x:c r="I2167" s="16" t="n">
        <x:v>91</x:v>
      </x:c>
      <x:c r="J2167" s="16" t="n">
        <x:v>675</x:v>
      </x:c>
      <x:c r="K2167" s="16" t="n">
        <x:v>144</x:v>
      </x:c>
      <x:c r="L2167" s="16" t="n">
        <x:v>133</x:v>
      </x:c>
      <x:c r="M2167" s="16" t="n">
        <x:v>94</x:v>
      </x:c>
      <x:c r="N2167" s="16" t="n">
        <x:v>192</x:v>
      </x:c>
      <x:c r="O2167" s="16" t="n">
        <x:v>241</x:v>
      </x:c>
      <x:c r="P2167" s="16" t="n">
        <x:v>1</x:v>
      </x:c>
      <x:c r="Q2167" s="16" t="n">
        <x:v>4</x:v>
      </x:c>
      <x:c r="R2167" s="16" t="n">
        <x:v>8</x:v>
      </x:c>
      <x:c r="S2167" s="16" t="n">
        <x:v>5</x:v>
      </x:c>
      <x:c r="T2167" s="16" t="n">
        <x:v>1</x:v>
      </x:c>
      <x:c r="U2167" s="16" t="n">
        <x:v>1</x:v>
      </x:c>
      <x:c r="V2167" s="16" t="n">
        <x:v>0</x:v>
      </x:c>
      <x:c r="W2167" s="16" t="n">
        <x:v>1</x:v>
      </x:c>
      <x:c r="X2167" s="16" t="n">
        <x:v>1</x:v>
      </x:c>
      <x:c r="Y2167" s="16" t="n">
        <x:v>0</x:v>
      </x:c>
      <x:c r="Z2167" s="16" t="n">
        <x:v>0</x:v>
      </x:c>
      <x:c r="AA2167" s="16" t="n">
        <x:v>3</x:v>
      </x:c>
      <x:c r="AB2167" s="16" t="n">
        <x:v>11</x:v>
      </x:c>
      <x:c r="AC2167" s="16" t="n">
        <x:v>0</x:v>
      </x:c>
      <x:c r="AD2167" s="21" t="n">
        <x:f>IF(E2167="",MEDIAN($E$2:$E$2237),E2167)</x:f>
        <x:v>90000</x:v>
      </x:c>
      <x:c r="AE2167" s="17" t="n">
        <x:f>2014-B2167</x:f>
        <x:v>30</x:v>
      </x:c>
      <x:c r="AF2167" s="17" t="n">
        <x:f>F2167+G2167</x:f>
        <x:v>0</x:v>
      </x:c>
      <x:c r="AG2167" s="21" t="n">
        <x:f>SUM(J2167:O2167)</x:f>
        <x:v>1479</x:v>
      </x:c>
      <x:c r="AH2167" s="17" t="n">
        <x:f>SUM(Q2167:S2167)</x:f>
        <x:v>17</x:v>
      </x:c>
      <x:c r="AI2167" s="17" t="n">
        <x:f>SUM(U2167:Y2167)</x:f>
        <x:v>3</x:v>
      </x:c>
      <x:c r="AJ2167" s="17" t="str">
        <x:f>IF(AE2167&lt;=34,"≤34",IF(AE2167&lt;=44,"35–44",IF(AE2167&lt;=54,"45–54",IF(AE2167&lt;=64,"55–64","65+"))))</x:f>
        <x:v>≤34</x:v>
      </x:c>
      <x:c r="AK2167" s="17" t="str">
        <x:f>IF(AG2167&gt;=1000,"High Value",IF(AG2167&gt;=300,"Mid Value","Low Value"))</x:f>
        <x:v>High Value</x:v>
      </x:c>
      <x:c r="AL2167" s="17" t="str">
        <x:f>IF(AND(AI2167&gt;=1,I2167&lt;=50),"Priority 1",IF(AND(AG2167&gt;=1000,I2167&lt;=60),"Priority 2",IF(I2167&lt;=30,"Priority 3","Nurture")))</x:f>
        <x:v>Nurture</x:v>
      </x:c>
    </x:row>
    <x:row r="2168">
      <x:c r="A2168" s="16" t="n">
        <x:v>4548</x:v>
      </x:c>
      <x:c r="B2168" s="16" t="n">
        <x:v>1981</x:v>
      </x:c>
      <x:c r="C2168" s="16" t="str">
        <x:v>Graduation</x:v>
      </x:c>
      <x:c r="D2168" s="16" t="str">
        <x:v>Single</x:v>
      </x:c>
      <x:c r="E2168" s="16" t="n">
        <x:v>41967</x:v>
      </x:c>
      <x:c r="F2168" s="16" t="n">
        <x:v>1</x:v>
      </x:c>
      <x:c r="G2168" s="16" t="n">
        <x:v>1</x:v>
      </x:c>
      <x:c r="H2168" s="16" t="str">
        <x:v>23-11-2013</x:v>
      </x:c>
      <x:c r="I2168" s="16" t="n">
        <x:v>66</x:v>
      </x:c>
      <x:c r="J2168" s="16" t="n">
        <x:v>23</x:v>
      </x:c>
      <x:c r="K2168" s="16" t="n">
        <x:v>4</x:v>
      </x:c>
      <x:c r="L2168" s="16" t="n">
        <x:v>10</x:v>
      </x:c>
      <x:c r="M2168" s="16" t="n">
        <x:v>0</x:v>
      </x:c>
      <x:c r="N2168" s="16" t="n">
        <x:v>2</x:v>
      </x:c>
      <x:c r="O2168" s="16" t="n">
        <x:v>15</x:v>
      </x:c>
      <x:c r="P2168" s="16" t="n">
        <x:v>1</x:v>
      </x:c>
      <x:c r="Q2168" s="16" t="n">
        <x:v>1</x:v>
      </x:c>
      <x:c r="R2168" s="16" t="n">
        <x:v>0</x:v>
      </x:c>
      <x:c r="S2168" s="16" t="n">
        <x:v>3</x:v>
      </x:c>
      <x:c r="T2168" s="16" t="n">
        <x:v>4</x:v>
      </x:c>
      <x:c r="U2168" s="16" t="n">
        <x:v>0</x:v>
      </x:c>
      <x:c r="V2168" s="16" t="n">
        <x:v>0</x:v>
      </x:c>
      <x:c r="W2168" s="16" t="n">
        <x:v>0</x:v>
      </x:c>
      <x:c r="X2168" s="16" t="n">
        <x:v>0</x:v>
      </x:c>
      <x:c r="Y2168" s="16" t="n">
        <x:v>0</x:v>
      </x:c>
      <x:c r="Z2168" s="16" t="n">
        <x:v>0</x:v>
      </x:c>
      <x:c r="AA2168" s="16" t="n">
        <x:v>3</x:v>
      </x:c>
      <x:c r="AB2168" s="16" t="n">
        <x:v>11</x:v>
      </x:c>
      <x:c r="AC2168" s="16" t="n">
        <x:v>0</x:v>
      </x:c>
      <x:c r="AD2168" s="21" t="n">
        <x:f>IF(E2168="",MEDIAN($E$2:$E$2237),E2168)</x:f>
        <x:v>41967</x:v>
      </x:c>
      <x:c r="AE2168" s="17" t="n">
        <x:f>2014-B2168</x:f>
        <x:v>33</x:v>
      </x:c>
      <x:c r="AF2168" s="17" t="n">
        <x:f>F2168+G2168</x:f>
        <x:v>2</x:v>
      </x:c>
      <x:c r="AG2168" s="21" t="n">
        <x:f>SUM(J2168:O2168)</x:f>
        <x:v>54</x:v>
      </x:c>
      <x:c r="AH2168" s="17" t="n">
        <x:f>SUM(Q2168:S2168)</x:f>
        <x:v>4</x:v>
      </x:c>
      <x:c r="AI2168" s="17" t="n">
        <x:f>SUM(U2168:Y2168)</x:f>
        <x:v>0</x:v>
      </x:c>
      <x:c r="AJ2168" s="17" t="str">
        <x:f>IF(AE2168&lt;=34,"≤34",IF(AE2168&lt;=44,"35–44",IF(AE2168&lt;=54,"45–54",IF(AE2168&lt;=64,"55–64","65+"))))</x:f>
        <x:v>≤34</x:v>
      </x:c>
      <x:c r="AK2168" s="17" t="str">
        <x:f>IF(AG2168&gt;=1000,"High Value",IF(AG2168&gt;=300,"Mid Value","Low Value"))</x:f>
        <x:v>Low Value</x:v>
      </x:c>
      <x:c r="AL2168" s="17" t="str">
        <x:f>IF(AND(AI2168&gt;=1,I2168&lt;=50),"Priority 1",IF(AND(AG2168&gt;=1000,I2168&lt;=60),"Priority 2",IF(I2168&lt;=30,"Priority 3","Nurture")))</x:f>
        <x:v>Nurture</x:v>
      </x:c>
    </x:row>
    <x:row r="2169">
      <x:c r="A2169" s="16" t="n">
        <x:v>9362</x:v>
      </x:c>
      <x:c r="B2169" s="16" t="n">
        <x:v>1965</x:v>
      </x:c>
      <x:c r="C2169" s="16" t="str">
        <x:v>Graduation</x:v>
      </x:c>
      <x:c r="D2169" s="16" t="str">
        <x:v>Single</x:v>
      </x:c>
      <x:c r="E2169" s="16" t="n">
        <x:v>69263</x:v>
      </x:c>
      <x:c r="F2169" s="16" t="n">
        <x:v>0</x:v>
      </x:c>
      <x:c r="G2169" s="16" t="n">
        <x:v>1</x:v>
      </x:c>
      <x:c r="H2169" s="16" t="str">
        <x:v>05-03-2014</x:v>
      </x:c>
      <x:c r="I2169" s="16" t="n">
        <x:v>14</x:v>
      </x:c>
      <x:c r="J2169" s="16" t="n">
        <x:v>492</x:v>
      </x:c>
      <x:c r="K2169" s="16" t="n">
        <x:v>5</x:v>
      </x:c>
      <x:c r="L2169" s="16" t="n">
        <x:v>32</x:v>
      </x:c>
      <x:c r="M2169" s="16" t="n">
        <x:v>13</x:v>
      </x:c>
      <x:c r="N2169" s="16" t="n">
        <x:v>5</x:v>
      </x:c>
      <x:c r="O2169" s="16" t="n">
        <x:v>21</x:v>
      </x:c>
      <x:c r="P2169" s="16" t="n">
        <x:v>1</x:v>
      </x:c>
      <x:c r="Q2169" s="16" t="n">
        <x:v>9</x:v>
      </x:c>
      <x:c r="R2169" s="16" t="n">
        <x:v>1</x:v>
      </x:c>
      <x:c r="S2169" s="16" t="n">
        <x:v>7</x:v>
      </x:c>
      <x:c r="T2169" s="16" t="n">
        <x:v>6</x:v>
      </x:c>
      <x:c r="U2169" s="16" t="n">
        <x:v>0</x:v>
      </x:c>
      <x:c r="V2169" s="16" t="n">
        <x:v>1</x:v>
      </x:c>
      <x:c r="W2169" s="16" t="n">
        <x:v>0</x:v>
      </x:c>
      <x:c r="X2169" s="16" t="n">
        <x:v>0</x:v>
      </x:c>
      <x:c r="Y2169" s="16" t="n">
        <x:v>0</x:v>
      </x:c>
      <x:c r="Z2169" s="16" t="n">
        <x:v>0</x:v>
      </x:c>
      <x:c r="AA2169" s="16" t="n">
        <x:v>3</x:v>
      </x:c>
      <x:c r="AB2169" s="16" t="n">
        <x:v>11</x:v>
      </x:c>
      <x:c r="AC2169" s="16" t="n">
        <x:v>0</x:v>
      </x:c>
      <x:c r="AD2169" s="21" t="n">
        <x:f>IF(E2169="",MEDIAN($E$2:$E$2237),E2169)</x:f>
        <x:v>69263</x:v>
      </x:c>
      <x:c r="AE2169" s="17" t="n">
        <x:f>2014-B2169</x:f>
        <x:v>49</x:v>
      </x:c>
      <x:c r="AF2169" s="17" t="n">
        <x:f>F2169+G2169</x:f>
        <x:v>1</x:v>
      </x:c>
      <x:c r="AG2169" s="21" t="n">
        <x:f>SUM(J2169:O2169)</x:f>
        <x:v>568</x:v>
      </x:c>
      <x:c r="AH2169" s="17" t="n">
        <x:f>SUM(Q2169:S2169)</x:f>
        <x:v>17</x:v>
      </x:c>
      <x:c r="AI2169" s="17" t="n">
        <x:f>SUM(U2169:Y2169)</x:f>
        <x:v>1</x:v>
      </x:c>
      <x:c r="AJ2169" s="17" t="str">
        <x:f>IF(AE2169&lt;=34,"≤34",IF(AE2169&lt;=44,"35–44",IF(AE2169&lt;=54,"45–54",IF(AE2169&lt;=64,"55–64","65+"))))</x:f>
        <x:v>45–54</x:v>
      </x:c>
      <x:c r="AK2169" s="17" t="str">
        <x:f>IF(AG2169&gt;=1000,"High Value",IF(AG2169&gt;=300,"Mid Value","Low Value"))</x:f>
        <x:v>Mid Value</x:v>
      </x:c>
      <x:c r="AL2169" s="17" t="str">
        <x:f>IF(AND(AI2169&gt;=1,I2169&lt;=50),"Priority 1",IF(AND(AG2169&gt;=1000,I2169&lt;=60),"Priority 2",IF(I2169&lt;=30,"Priority 3","Nurture")))</x:f>
        <x:v>Priority 1</x:v>
      </x:c>
    </x:row>
    <x:row r="2170">
      <x:c r="A2170" s="16" t="n">
        <x:v>3968</x:v>
      </x:c>
      <x:c r="B2170" s="16" t="n">
        <x:v>1970</x:v>
      </x:c>
      <x:c r="C2170" s="16" t="str">
        <x:v>2n Cycle</x:v>
      </x:c>
      <x:c r="D2170" s="16" t="str">
        <x:v>Divorced</x:v>
      </x:c>
      <x:c r="E2170" s="16" t="n">
        <x:v>65706</x:v>
      </x:c>
      <x:c r="F2170" s="16" t="n">
        <x:v>0</x:v>
      </x:c>
      <x:c r="G2170" s="16" t="n">
        <x:v>0</x:v>
      </x:c>
      <x:c r="H2170" s="16" t="str">
        <x:v>28-06-2013</x:v>
      </x:c>
      <x:c r="I2170" s="16" t="n">
        <x:v>77</x:v>
      </x:c>
      <x:c r="J2170" s="16" t="n">
        <x:v>918</x:v>
      </x:c>
      <x:c r="K2170" s="16" t="n">
        <x:v>10</x:v>
      </x:c>
      <x:c r="L2170" s="16" t="n">
        <x:v>129</x:v>
      </x:c>
      <x:c r="M2170" s="16" t="n">
        <x:v>13</x:v>
      </x:c>
      <x:c r="N2170" s="16" t="n">
        <x:v>0</x:v>
      </x:c>
      <x:c r="O2170" s="16" t="n">
        <x:v>129</x:v>
      </x:c>
      <x:c r="P2170" s="16" t="n">
        <x:v>1</x:v>
      </x:c>
      <x:c r="Q2170" s="16" t="n">
        <x:v>11</x:v>
      </x:c>
      <x:c r="R2170" s="16" t="n">
        <x:v>3</x:v>
      </x:c>
      <x:c r="S2170" s="16" t="n">
        <x:v>12</x:v>
      </x:c>
      <x:c r="T2170" s="16" t="n">
        <x:v>7</x:v>
      </x:c>
      <x:c r="U2170" s="16" t="n">
        <x:v>0</x:v>
      </x:c>
      <x:c r="V2170" s="16" t="n">
        <x:v>1</x:v>
      </x:c>
      <x:c r="W2170" s="16" t="n">
        <x:v>1</x:v>
      </x:c>
      <x:c r="X2170" s="16" t="n">
        <x:v>0</x:v>
      </x:c>
      <x:c r="Y2170" s="16" t="n">
        <x:v>1</x:v>
      </x:c>
      <x:c r="Z2170" s="16" t="n">
        <x:v>0</x:v>
      </x:c>
      <x:c r="AA2170" s="16" t="n">
        <x:v>3</x:v>
      </x:c>
      <x:c r="AB2170" s="16" t="n">
        <x:v>11</x:v>
      </x:c>
      <x:c r="AC2170" s="16" t="n">
        <x:v>1</x:v>
      </x:c>
      <x:c r="AD2170" s="21" t="n">
        <x:f>IF(E2170="",MEDIAN($E$2:$E$2237),E2170)</x:f>
        <x:v>65706</x:v>
      </x:c>
      <x:c r="AE2170" s="17" t="n">
        <x:f>2014-B2170</x:f>
        <x:v>44</x:v>
      </x:c>
      <x:c r="AF2170" s="17" t="n">
        <x:f>F2170+G2170</x:f>
        <x:v>0</x:v>
      </x:c>
      <x:c r="AG2170" s="21" t="n">
        <x:f>SUM(J2170:O2170)</x:f>
        <x:v>1199</x:v>
      </x:c>
      <x:c r="AH2170" s="17" t="n">
        <x:f>SUM(Q2170:S2170)</x:f>
        <x:v>26</x:v>
      </x:c>
      <x:c r="AI2170" s="17" t="n">
        <x:f>SUM(U2170:Y2170)</x:f>
        <x:v>3</x:v>
      </x:c>
      <x:c r="AJ2170" s="17" t="str">
        <x:f>IF(AE2170&lt;=34,"≤34",IF(AE2170&lt;=44,"35–44",IF(AE2170&lt;=54,"45–54",IF(AE2170&lt;=64,"55–64","65+"))))</x:f>
        <x:v>35–44</x:v>
      </x:c>
      <x:c r="AK2170" s="17" t="str">
        <x:f>IF(AG2170&gt;=1000,"High Value",IF(AG2170&gt;=300,"Mid Value","Low Value"))</x:f>
        <x:v>High Value</x:v>
      </x:c>
      <x:c r="AL2170" s="17" t="str">
        <x:f>IF(AND(AI2170&gt;=1,I2170&lt;=50),"Priority 1",IF(AND(AG2170&gt;=1000,I2170&lt;=60),"Priority 2",IF(I2170&lt;=30,"Priority 3","Nurture")))</x:f>
        <x:v>Nurture</x:v>
      </x:c>
    </x:row>
    <x:row r="2171">
      <x:c r="A2171" s="16" t="n">
        <x:v>4084</x:v>
      </x:c>
      <x:c r="B2171" s="16" t="n">
        <x:v>1975</x:v>
      </x:c>
      <x:c r="C2171" s="16" t="str">
        <x:v>Graduation</x:v>
      </x:c>
      <x:c r="D2171" s="16" t="str">
        <x:v>Together</x:v>
      </x:c>
      <x:c r="E2171" s="16" t="n">
        <x:v>60934</x:v>
      </x:c>
      <x:c r="F2171" s="16" t="n">
        <x:v>0</x:v>
      </x:c>
      <x:c r="G2171" s="16" t="n">
        <x:v>1</x:v>
      </x:c>
      <x:c r="H2171" s="16" t="str">
        <x:v>17-01-2014</x:v>
      </x:c>
      <x:c r="I2171" s="16" t="n">
        <x:v>41</x:v>
      </x:c>
      <x:c r="J2171" s="16" t="n">
        <x:v>224</x:v>
      </x:c>
      <x:c r="K2171" s="16" t="n">
        <x:v>155</x:v>
      </x:c>
      <x:c r="L2171" s="16" t="n">
        <x:v>155</x:v>
      </x:c>
      <x:c r="M2171" s="16" t="n">
        <x:v>192</x:v>
      </x:c>
      <x:c r="N2171" s="16" t="n">
        <x:v>93</x:v>
      </x:c>
      <x:c r="O2171" s="16" t="n">
        <x:v>54</x:v>
      </x:c>
      <x:c r="P2171" s="16" t="n">
        <x:v>2</x:v>
      </x:c>
      <x:c r="Q2171" s="16" t="n">
        <x:v>6</x:v>
      </x:c>
      <x:c r="R2171" s="16" t="n">
        <x:v>4</x:v>
      </x:c>
      <x:c r="S2171" s="16" t="n">
        <x:v>11</x:v>
      </x:c>
      <x:c r="T2171" s="16" t="n">
        <x:v>4</x:v>
      </x:c>
      <x:c r="U2171" s="16" t="n">
        <x:v>0</x:v>
      </x:c>
      <x:c r="V2171" s="16" t="n">
        <x:v>0</x:v>
      </x:c>
      <x:c r="W2171" s="16" t="n">
        <x:v>0</x:v>
      </x:c>
      <x:c r="X2171" s="16" t="n">
        <x:v>0</x:v>
      </x:c>
      <x:c r="Y2171" s="16" t="n">
        <x:v>0</x:v>
      </x:c>
      <x:c r="Z2171" s="16" t="n">
        <x:v>0</x:v>
      </x:c>
      <x:c r="AA2171" s="16" t="n">
        <x:v>3</x:v>
      </x:c>
      <x:c r="AB2171" s="16" t="n">
        <x:v>11</x:v>
      </x:c>
      <x:c r="AC2171" s="16" t="n">
        <x:v>0</x:v>
      </x:c>
      <x:c r="AD2171" s="21" t="n">
        <x:f>IF(E2171="",MEDIAN($E$2:$E$2237),E2171)</x:f>
        <x:v>60934</x:v>
      </x:c>
      <x:c r="AE2171" s="17" t="n">
        <x:f>2014-B2171</x:f>
        <x:v>39</x:v>
      </x:c>
      <x:c r="AF2171" s="17" t="n">
        <x:f>F2171+G2171</x:f>
        <x:v>1</x:v>
      </x:c>
      <x:c r="AG2171" s="21" t="n">
        <x:f>SUM(J2171:O2171)</x:f>
        <x:v>873</x:v>
      </x:c>
      <x:c r="AH2171" s="17" t="n">
        <x:f>SUM(Q2171:S2171)</x:f>
        <x:v>21</x:v>
      </x:c>
      <x:c r="AI2171" s="17" t="n">
        <x:f>SUM(U2171:Y2171)</x:f>
        <x:v>0</x:v>
      </x:c>
      <x:c r="AJ2171" s="17" t="str">
        <x:f>IF(AE2171&lt;=34,"≤34",IF(AE2171&lt;=44,"35–44",IF(AE2171&lt;=54,"45–54",IF(AE2171&lt;=64,"55–64","65+"))))</x:f>
        <x:v>35–44</x:v>
      </x:c>
      <x:c r="AK2171" s="17" t="str">
        <x:f>IF(AG2171&gt;=1000,"High Value",IF(AG2171&gt;=300,"Mid Value","Low Value"))</x:f>
        <x:v>Mid Value</x:v>
      </x:c>
      <x:c r="AL2171" s="17" t="str">
        <x:f>IF(AND(AI2171&gt;=1,I2171&lt;=50),"Priority 1",IF(AND(AG2171&gt;=1000,I2171&lt;=60),"Priority 2",IF(I2171&lt;=30,"Priority 3","Nurture")))</x:f>
        <x:v>Nurture</x:v>
      </x:c>
    </x:row>
    <x:row r="2172">
      <x:c r="A2172" s="16" t="n">
        <x:v>6721</x:v>
      </x:c>
      <x:c r="B2172" s="16" t="n">
        <x:v>1951</x:v>
      </x:c>
      <x:c r="C2172" s="16" t="str">
        <x:v>Graduation</x:v>
      </x:c>
      <x:c r="D2172" s="16" t="str">
        <x:v>Married</x:v>
      </x:c>
      <x:c r="E2172" s="16" t="n">
        <x:v>71965</x:v>
      </x:c>
      <x:c r="F2172" s="16" t="n">
        <x:v>0</x:v>
      </x:c>
      <x:c r="G2172" s="16" t="n">
        <x:v>1</x:v>
      </x:c>
      <x:c r="H2172" s="16" t="str">
        <x:v>29-07-2013</x:v>
      </x:c>
      <x:c r="I2172" s="16" t="n">
        <x:v>21</x:v>
      </x:c>
      <x:c r="J2172" s="16" t="n">
        <x:v>572</x:v>
      </x:c>
      <x:c r="K2172" s="16" t="n">
        <x:v>19</x:v>
      </x:c>
      <x:c r="L2172" s="16" t="n">
        <x:v>286</x:v>
      </x:c>
      <x:c r="M2172" s="16" t="n">
        <x:v>50</x:v>
      </x:c>
      <x:c r="N2172" s="16" t="n">
        <x:v>38</x:v>
      </x:c>
      <x:c r="O2172" s="16" t="n">
        <x:v>248</x:v>
      </x:c>
      <x:c r="P2172" s="16" t="n">
        <x:v>3</x:v>
      </x:c>
      <x:c r="Q2172" s="16" t="n">
        <x:v>6</x:v>
      </x:c>
      <x:c r="R2172" s="16" t="n">
        <x:v>3</x:v>
      </x:c>
      <x:c r="S2172" s="16" t="n">
        <x:v>5</x:v>
      </x:c>
      <x:c r="T2172" s="16" t="n">
        <x:v>3</x:v>
      </x:c>
      <x:c r="U2172" s="16" t="n">
        <x:v>0</x:v>
      </x:c>
      <x:c r="V2172" s="16" t="n">
        <x:v>0</x:v>
      </x:c>
      <x:c r="W2172" s="16" t="n">
        <x:v>0</x:v>
      </x:c>
      <x:c r="X2172" s="16" t="n">
        <x:v>0</x:v>
      </x:c>
      <x:c r="Y2172" s="16" t="n">
        <x:v>0</x:v>
      </x:c>
      <x:c r="Z2172" s="16" t="n">
        <x:v>0</x:v>
      </x:c>
      <x:c r="AA2172" s="16" t="n">
        <x:v>3</x:v>
      </x:c>
      <x:c r="AB2172" s="16" t="n">
        <x:v>11</x:v>
      </x:c>
      <x:c r="AC2172" s="16" t="n">
        <x:v>0</x:v>
      </x:c>
      <x:c r="AD2172" s="21" t="n">
        <x:f>IF(E2172="",MEDIAN($E$2:$E$2237),E2172)</x:f>
        <x:v>71965</x:v>
      </x:c>
      <x:c r="AE2172" s="17" t="n">
        <x:f>2014-B2172</x:f>
        <x:v>63</x:v>
      </x:c>
      <x:c r="AF2172" s="17" t="n">
        <x:f>F2172+G2172</x:f>
        <x:v>1</x:v>
      </x:c>
      <x:c r="AG2172" s="21" t="n">
        <x:f>SUM(J2172:O2172)</x:f>
        <x:v>1213</x:v>
      </x:c>
      <x:c r="AH2172" s="17" t="n">
        <x:f>SUM(Q2172:S2172)</x:f>
        <x:v>14</x:v>
      </x:c>
      <x:c r="AI2172" s="17" t="n">
        <x:f>SUM(U2172:Y2172)</x:f>
        <x:v>0</x:v>
      </x:c>
      <x:c r="AJ2172" s="17" t="str">
        <x:f>IF(AE2172&lt;=34,"≤34",IF(AE2172&lt;=44,"35–44",IF(AE2172&lt;=54,"45–54",IF(AE2172&lt;=64,"55–64","65+"))))</x:f>
        <x:v>55–64</x:v>
      </x:c>
      <x:c r="AK2172" s="17" t="str">
        <x:f>IF(AG2172&gt;=1000,"High Value",IF(AG2172&gt;=300,"Mid Value","Low Value"))</x:f>
        <x:v>High Value</x:v>
      </x:c>
      <x:c r="AL2172" s="17" t="str">
        <x:f>IF(AND(AI2172&gt;=1,I2172&lt;=50),"Priority 1",IF(AND(AG2172&gt;=1000,I2172&lt;=60),"Priority 2",IF(I2172&lt;=30,"Priority 3","Nurture")))</x:f>
        <x:v>Priority 2</x:v>
      </x:c>
    </x:row>
    <x:row r="2173">
      <x:c r="A2173" s="16" t="n">
        <x:v>2829</x:v>
      </x:c>
      <x:c r="B2173" s="16" t="n">
        <x:v>1955</x:v>
      </x:c>
      <x:c r="C2173" s="16" t="str">
        <x:v>Graduation</x:v>
      </x:c>
      <x:c r="D2173" s="16" t="str">
        <x:v>Married</x:v>
      </x:c>
      <x:c r="E2173" s="16" t="n">
        <x:v>65210</x:v>
      </x:c>
      <x:c r="F2173" s="16" t="n">
        <x:v>0</x:v>
      </x:c>
      <x:c r="G2173" s="16" t="n">
        <x:v>1</x:v>
      </x:c>
      <x:c r="H2173" s="16" t="str">
        <x:v>10-03-2014</x:v>
      </x:c>
      <x:c r="I2173" s="16" t="n">
        <x:v>25</x:v>
      </x:c>
      <x:c r="J2173" s="16" t="n">
        <x:v>626</x:v>
      </x:c>
      <x:c r="K2173" s="16" t="n">
        <x:v>0</x:v>
      </x:c>
      <x:c r="L2173" s="16" t="n">
        <x:v>70</x:v>
      </x:c>
      <x:c r="M2173" s="16" t="n">
        <x:v>0</x:v>
      </x:c>
      <x:c r="N2173" s="16" t="n">
        <x:v>7</x:v>
      </x:c>
      <x:c r="O2173" s="16" t="n">
        <x:v>28</x:v>
      </x:c>
      <x:c r="P2173" s="16" t="n">
        <x:v>2</x:v>
      </x:c>
      <x:c r="Q2173" s="16" t="n">
        <x:v>9</x:v>
      </x:c>
      <x:c r="R2173" s="16" t="n">
        <x:v>3</x:v>
      </x:c>
      <x:c r="S2173" s="16" t="n">
        <x:v>8</x:v>
      </x:c>
      <x:c r="T2173" s="16" t="n">
        <x:v>6</x:v>
      </x:c>
      <x:c r="U2173" s="16" t="n">
        <x:v>0</x:v>
      </x:c>
      <x:c r="V2173" s="16" t="n">
        <x:v>1</x:v>
      </x:c>
      <x:c r="W2173" s="16" t="n">
        <x:v>0</x:v>
      </x:c>
      <x:c r="X2173" s="16" t="n">
        <x:v>1</x:v>
      </x:c>
      <x:c r="Y2173" s="16" t="n">
        <x:v>0</x:v>
      </x:c>
      <x:c r="Z2173" s="16" t="n">
        <x:v>0</x:v>
      </x:c>
      <x:c r="AA2173" s="16" t="n">
        <x:v>3</x:v>
      </x:c>
      <x:c r="AB2173" s="16" t="n">
        <x:v>11</x:v>
      </x:c>
      <x:c r="AC2173" s="16" t="n">
        <x:v>0</x:v>
      </x:c>
      <x:c r="AD2173" s="21" t="n">
        <x:f>IF(E2173="",MEDIAN($E$2:$E$2237),E2173)</x:f>
        <x:v>65210</x:v>
      </x:c>
      <x:c r="AE2173" s="17" t="n">
        <x:f>2014-B2173</x:f>
        <x:v>59</x:v>
      </x:c>
      <x:c r="AF2173" s="17" t="n">
        <x:f>F2173+G2173</x:f>
        <x:v>1</x:v>
      </x:c>
      <x:c r="AG2173" s="21" t="n">
        <x:f>SUM(J2173:O2173)</x:f>
        <x:v>731</x:v>
      </x:c>
      <x:c r="AH2173" s="17" t="n">
        <x:f>SUM(Q2173:S2173)</x:f>
        <x:v>20</x:v>
      </x:c>
      <x:c r="AI2173" s="17" t="n">
        <x:f>SUM(U2173:Y2173)</x:f>
        <x:v>2</x:v>
      </x:c>
      <x:c r="AJ2173" s="17" t="str">
        <x:f>IF(AE2173&lt;=34,"≤34",IF(AE2173&lt;=44,"35–44",IF(AE2173&lt;=54,"45–54",IF(AE2173&lt;=64,"55–64","65+"))))</x:f>
        <x:v>55–64</x:v>
      </x:c>
      <x:c r="AK2173" s="17" t="str">
        <x:f>IF(AG2173&gt;=1000,"High Value",IF(AG2173&gt;=300,"Mid Value","Low Value"))</x:f>
        <x:v>Mid Value</x:v>
      </x:c>
      <x:c r="AL2173" s="17" t="str">
        <x:f>IF(AND(AI2173&gt;=1,I2173&lt;=50),"Priority 1",IF(AND(AG2173&gt;=1000,I2173&lt;=60),"Priority 2",IF(I2173&lt;=30,"Priority 3","Nurture")))</x:f>
        <x:v>Priority 1</x:v>
      </x:c>
    </x:row>
    <x:row r="2174">
      <x:c r="A2174" s="16" t="n">
        <x:v>1772</x:v>
      </x:c>
      <x:c r="B2174" s="16" t="n">
        <x:v>1975</x:v>
      </x:c>
      <x:c r="C2174" s="16" t="str">
        <x:v>PhD</x:v>
      </x:c>
      <x:c r="D2174" s="16" t="str">
        <x:v>Married</x:v>
      </x:c>
      <x:c r="E2174" s="16" t="n">
        <x:v>79174</x:v>
      </x:c>
      <x:c r="F2174" s="16" t="n">
        <x:v>0</x:v>
      </x:c>
      <x:c r="G2174" s="16" t="n">
        <x:v>0</x:v>
      </x:c>
      <x:c r="H2174" s="16" t="str">
        <x:v>11-01-2013</x:v>
      </x:c>
      <x:c r="I2174" s="16" t="n">
        <x:v>2</x:v>
      </x:c>
      <x:c r="J2174" s="16" t="n">
        <x:v>1074</x:v>
      </x:c>
      <x:c r="K2174" s="16" t="n">
        <x:v>37</x:v>
      </x:c>
      <x:c r="L2174" s="16" t="n">
        <x:v>518</x:v>
      </x:c>
      <x:c r="M2174" s="16" t="n">
        <x:v>193</x:v>
      </x:c>
      <x:c r="N2174" s="16" t="n">
        <x:v>92</x:v>
      </x:c>
      <x:c r="O2174" s="16" t="n">
        <x:v>129</x:v>
      </x:c>
      <x:c r="P2174" s="16" t="n">
        <x:v>1</x:v>
      </x:c>
      <x:c r="Q2174" s="16" t="n">
        <x:v>5</x:v>
      </x:c>
      <x:c r="R2174" s="16" t="n">
        <x:v>6</x:v>
      </x:c>
      <x:c r="S2174" s="16" t="n">
        <x:v>7</x:v>
      </x:c>
      <x:c r="T2174" s="16" t="n">
        <x:v>2</x:v>
      </x:c>
      <x:c r="U2174" s="16" t="n">
        <x:v>0</x:v>
      </x:c>
      <x:c r="V2174" s="16" t="n">
        <x:v>0</x:v>
      </x:c>
      <x:c r="W2174" s="16" t="n">
        <x:v>1</x:v>
      </x:c>
      <x:c r="X2174" s="16" t="n">
        <x:v>1</x:v>
      </x:c>
      <x:c r="Y2174" s="16" t="n">
        <x:v>0</x:v>
      </x:c>
      <x:c r="Z2174" s="16" t="n">
        <x:v>0</x:v>
      </x:c>
      <x:c r="AA2174" s="16" t="n">
        <x:v>3</x:v>
      </x:c>
      <x:c r="AB2174" s="16" t="n">
        <x:v>11</x:v>
      </x:c>
      <x:c r="AC2174" s="16" t="n">
        <x:v>1</x:v>
      </x:c>
      <x:c r="AD2174" s="21" t="n">
        <x:f>IF(E2174="",MEDIAN($E$2:$E$2237),E2174)</x:f>
        <x:v>79174</x:v>
      </x:c>
      <x:c r="AE2174" s="17" t="n">
        <x:f>2014-B2174</x:f>
        <x:v>39</x:v>
      </x:c>
      <x:c r="AF2174" s="17" t="n">
        <x:f>F2174+G2174</x:f>
        <x:v>0</x:v>
      </x:c>
      <x:c r="AG2174" s="21" t="n">
        <x:f>SUM(J2174:O2174)</x:f>
        <x:v>2043</x:v>
      </x:c>
      <x:c r="AH2174" s="17" t="n">
        <x:f>SUM(Q2174:S2174)</x:f>
        <x:v>18</x:v>
      </x:c>
      <x:c r="AI2174" s="17" t="n">
        <x:f>SUM(U2174:Y2174)</x:f>
        <x:v>2</x:v>
      </x:c>
      <x:c r="AJ2174" s="17" t="str">
        <x:f>IF(AE2174&lt;=34,"≤34",IF(AE2174&lt;=44,"35–44",IF(AE2174&lt;=54,"45–54",IF(AE2174&lt;=64,"55–64","65+"))))</x:f>
        <x:v>35–44</x:v>
      </x:c>
      <x:c r="AK2174" s="17" t="str">
        <x:f>IF(AG2174&gt;=1000,"High Value",IF(AG2174&gt;=300,"Mid Value","Low Value"))</x:f>
        <x:v>High Value</x:v>
      </x:c>
      <x:c r="AL2174" s="17" t="str">
        <x:f>IF(AND(AI2174&gt;=1,I2174&lt;=50),"Priority 1",IF(AND(AG2174&gt;=1000,I2174&lt;=60),"Priority 2",IF(I2174&lt;=30,"Priority 3","Nurture")))</x:f>
        <x:v>Priority 1</x:v>
      </x:c>
    </x:row>
    <x:row r="2175">
      <x:c r="A2175" s="16" t="n">
        <x:v>1544</x:v>
      </x:c>
      <x:c r="B2175" s="16" t="n">
        <x:v>1967</x:v>
      </x:c>
      <x:c r="C2175" s="16" t="str">
        <x:v>Master</x:v>
      </x:c>
      <x:c r="D2175" s="16" t="str">
        <x:v>Divorced</x:v>
      </x:c>
      <x:c r="E2175" s="16" t="n">
        <x:v>81380</x:v>
      </x:c>
      <x:c r="F2175" s="16" t="n">
        <x:v>0</x:v>
      </x:c>
      <x:c r="G2175" s="16" t="n">
        <x:v>0</x:v>
      </x:c>
      <x:c r="H2175" s="16" t="str">
        <x:v>22-12-2012</x:v>
      </x:c>
      <x:c r="I2175" s="16" t="n">
        <x:v>51</x:v>
      </x:c>
      <x:c r="J2175" s="16" t="n">
        <x:v>741</x:v>
      </x:c>
      <x:c r="K2175" s="16" t="n">
        <x:v>68</x:v>
      </x:c>
      <x:c r="L2175" s="16" t="n">
        <x:v>689</x:v>
      </x:c>
      <x:c r="M2175" s="16" t="n">
        <x:v>224</x:v>
      </x:c>
      <x:c r="N2175" s="16" t="n">
        <x:v>68</x:v>
      </x:c>
      <x:c r="O2175" s="16" t="n">
        <x:v>103</x:v>
      </x:c>
      <x:c r="P2175" s="16" t="n">
        <x:v>1</x:v>
      </x:c>
      <x:c r="Q2175" s="16" t="n">
        <x:v>4</x:v>
      </x:c>
      <x:c r="R2175" s="16" t="n">
        <x:v>2</x:v>
      </x:c>
      <x:c r="S2175" s="16" t="n">
        <x:v>10</x:v>
      </x:c>
      <x:c r="T2175" s="16" t="n">
        <x:v>2</x:v>
      </x:c>
      <x:c r="U2175" s="16" t="n">
        <x:v>0</x:v>
      </x:c>
      <x:c r="V2175" s="16" t="n">
        <x:v>0</x:v>
      </x:c>
      <x:c r="W2175" s="16" t="n">
        <x:v>0</x:v>
      </x:c>
      <x:c r="X2175" s="16" t="n">
        <x:v>0</x:v>
      </x:c>
      <x:c r="Y2175" s="16" t="n">
        <x:v>0</x:v>
      </x:c>
      <x:c r="Z2175" s="16" t="n">
        <x:v>0</x:v>
      </x:c>
      <x:c r="AA2175" s="16" t="n">
        <x:v>3</x:v>
      </x:c>
      <x:c r="AB2175" s="16" t="n">
        <x:v>11</x:v>
      </x:c>
      <x:c r="AC2175" s="16" t="n">
        <x:v>0</x:v>
      </x:c>
      <x:c r="AD2175" s="21" t="n">
        <x:f>IF(E2175="",MEDIAN($E$2:$E$2237),E2175)</x:f>
        <x:v>81380</x:v>
      </x:c>
      <x:c r="AE2175" s="17" t="n">
        <x:f>2014-B2175</x:f>
        <x:v>47</x:v>
      </x:c>
      <x:c r="AF2175" s="17" t="n">
        <x:f>F2175+G2175</x:f>
        <x:v>0</x:v>
      </x:c>
      <x:c r="AG2175" s="21" t="n">
        <x:f>SUM(J2175:O2175)</x:f>
        <x:v>1893</x:v>
      </x:c>
      <x:c r="AH2175" s="17" t="n">
        <x:f>SUM(Q2175:S2175)</x:f>
        <x:v>16</x:v>
      </x:c>
      <x:c r="AI2175" s="17" t="n">
        <x:f>SUM(U2175:Y2175)</x:f>
        <x:v>0</x:v>
      </x:c>
      <x:c r="AJ2175" s="17" t="str">
        <x:f>IF(AE2175&lt;=34,"≤34",IF(AE2175&lt;=44,"35–44",IF(AE2175&lt;=54,"45–54",IF(AE2175&lt;=64,"55–64","65+"))))</x:f>
        <x:v>45–54</x:v>
      </x:c>
      <x:c r="AK2175" s="17" t="str">
        <x:f>IF(AG2175&gt;=1000,"High Value",IF(AG2175&gt;=300,"Mid Value","Low Value"))</x:f>
        <x:v>High Value</x:v>
      </x:c>
      <x:c r="AL2175" s="17" t="str">
        <x:f>IF(AND(AI2175&gt;=1,I2175&lt;=50),"Priority 1",IF(AND(AG2175&gt;=1000,I2175&lt;=60),"Priority 2",IF(I2175&lt;=30,"Priority 3","Nurture")))</x:f>
        <x:v>Priority 2</x:v>
      </x:c>
    </x:row>
    <x:row r="2176">
      <x:c r="A2176" s="16" t="n">
        <x:v>492</x:v>
      </x:c>
      <x:c r="B2176" s="16" t="n">
        <x:v>1973</x:v>
      </x:c>
      <x:c r="C2176" s="16" t="str">
        <x:v>PhD</x:v>
      </x:c>
      <x:c r="D2176" s="16" t="str">
        <x:v>YOLO</x:v>
      </x:c>
      <x:c r="E2176" s="16" t="n">
        <x:v>48432</x:v>
      </x:c>
      <x:c r="F2176" s="16" t="n">
        <x:v>0</x:v>
      </x:c>
      <x:c r="G2176" s="16" t="n">
        <x:v>1</x:v>
      </x:c>
      <x:c r="H2176" s="16" t="str">
        <x:v>18-10-2012</x:v>
      </x:c>
      <x:c r="I2176" s="16" t="n">
        <x:v>3</x:v>
      </x:c>
      <x:c r="J2176" s="16" t="n">
        <x:v>322</x:v>
      </x:c>
      <x:c r="K2176" s="16" t="n">
        <x:v>3</x:v>
      </x:c>
      <x:c r="L2176" s="16" t="n">
        <x:v>50</x:v>
      </x:c>
      <x:c r="M2176" s="16" t="n">
        <x:v>4</x:v>
      </x:c>
      <x:c r="N2176" s="16" t="n">
        <x:v>3</x:v>
      </x:c>
      <x:c r="O2176" s="16" t="n">
        <x:v>42</x:v>
      </x:c>
      <x:c r="P2176" s="16" t="n">
        <x:v>5</x:v>
      </x:c>
      <x:c r="Q2176" s="16" t="n">
        <x:v>7</x:v>
      </x:c>
      <x:c r="R2176" s="16" t="n">
        <x:v>1</x:v>
      </x:c>
      <x:c r="S2176" s="16" t="n">
        <x:v>6</x:v>
      </x:c>
      <x:c r="T2176" s="16" t="n">
        <x:v>8</x:v>
      </x:c>
      <x:c r="U2176" s="16" t="n">
        <x:v>0</x:v>
      </x:c>
      <x:c r="V2176" s="16" t="n">
        <x:v>0</x:v>
      </x:c>
      <x:c r="W2176" s="16" t="n">
        <x:v>0</x:v>
      </x:c>
      <x:c r="X2176" s="16" t="n">
        <x:v>0</x:v>
      </x:c>
      <x:c r="Y2176" s="16" t="n">
        <x:v>0</x:v>
      </x:c>
      <x:c r="Z2176" s="16" t="n">
        <x:v>0</x:v>
      </x:c>
      <x:c r="AA2176" s="16" t="n">
        <x:v>3</x:v>
      </x:c>
      <x:c r="AB2176" s="16" t="n">
        <x:v>11</x:v>
      </x:c>
      <x:c r="AC2176" s="16" t="n">
        <x:v>0</x:v>
      </x:c>
      <x:c r="AD2176" s="21" t="n">
        <x:f>IF(E2176="",MEDIAN($E$2:$E$2237),E2176)</x:f>
        <x:v>48432</x:v>
      </x:c>
      <x:c r="AE2176" s="17" t="n">
        <x:f>2014-B2176</x:f>
        <x:v>41</x:v>
      </x:c>
      <x:c r="AF2176" s="17" t="n">
        <x:f>F2176+G2176</x:f>
        <x:v>1</x:v>
      </x:c>
      <x:c r="AG2176" s="21" t="n">
        <x:f>SUM(J2176:O2176)</x:f>
        <x:v>424</x:v>
      </x:c>
      <x:c r="AH2176" s="17" t="n">
        <x:f>SUM(Q2176:S2176)</x:f>
        <x:v>14</x:v>
      </x:c>
      <x:c r="AI2176" s="17" t="n">
        <x:f>SUM(U2176:Y2176)</x:f>
        <x:v>0</x:v>
      </x:c>
      <x:c r="AJ2176" s="17" t="str">
        <x:f>IF(AE2176&lt;=34,"≤34",IF(AE2176&lt;=44,"35–44",IF(AE2176&lt;=54,"45–54",IF(AE2176&lt;=64,"55–64","65+"))))</x:f>
        <x:v>35–44</x:v>
      </x:c>
      <x:c r="AK2176" s="17" t="str">
        <x:f>IF(AG2176&gt;=1000,"High Value",IF(AG2176&gt;=300,"Mid Value","Low Value"))</x:f>
        <x:v>Mid Value</x:v>
      </x:c>
      <x:c r="AL2176" s="17" t="str">
        <x:f>IF(AND(AI2176&gt;=1,I2176&lt;=50),"Priority 1",IF(AND(AG2176&gt;=1000,I2176&lt;=60),"Priority 2",IF(I2176&lt;=30,"Priority 3","Nurture")))</x:f>
        <x:v>Priority 3</x:v>
      </x:c>
    </x:row>
    <x:row r="2177">
      <x:c r="A2177" s="16" t="n">
        <x:v>4377</x:v>
      </x:c>
      <x:c r="B2177" s="16" t="n">
        <x:v>1971</x:v>
      </x:c>
      <x:c r="C2177" s="16" t="str">
        <x:v>Graduation</x:v>
      </x:c>
      <x:c r="D2177" s="16" t="str">
        <x:v>Married</x:v>
      </x:c>
      <x:c r="E2177" s="16" t="n">
        <x:v>52914</x:v>
      </x:c>
      <x:c r="F2177" s="16" t="n">
        <x:v>0</x:v>
      </x:c>
      <x:c r="G2177" s="16" t="n">
        <x:v>1</x:v>
      </x:c>
      <x:c r="H2177" s="16" t="str">
        <x:v>07-01-2013</x:v>
      </x:c>
      <x:c r="I2177" s="16" t="n">
        <x:v>32</x:v>
      </x:c>
      <x:c r="J2177" s="16" t="n">
        <x:v>254</x:v>
      </x:c>
      <x:c r="K2177" s="16" t="n">
        <x:v>10</x:v>
      </x:c>
      <x:c r="L2177" s="16" t="n">
        <x:v>44</x:v>
      </x:c>
      <x:c r="M2177" s="16" t="n">
        <x:v>30</x:v>
      </x:c>
      <x:c r="N2177" s="16" t="n">
        <x:v>10</x:v>
      </x:c>
      <x:c r="O2177" s="16" t="n">
        <x:v>227</x:v>
      </x:c>
      <x:c r="P2177" s="16" t="n">
        <x:v>2</x:v>
      </x:c>
      <x:c r="Q2177" s="16" t="n">
        <x:v>7</x:v>
      </x:c>
      <x:c r="R2177" s="16" t="n">
        <x:v>3</x:v>
      </x:c>
      <x:c r="S2177" s="16" t="n">
        <x:v>3</x:v>
      </x:c>
      <x:c r="T2177" s="16" t="n">
        <x:v>7</x:v>
      </x:c>
      <x:c r="U2177" s="16" t="n">
        <x:v>1</x:v>
      </x:c>
      <x:c r="V2177" s="16" t="n">
        <x:v>0</x:v>
      </x:c>
      <x:c r="W2177" s="16" t="n">
        <x:v>0</x:v>
      </x:c>
      <x:c r="X2177" s="16" t="n">
        <x:v>0</x:v>
      </x:c>
      <x:c r="Y2177" s="16" t="n">
        <x:v>0</x:v>
      </x:c>
      <x:c r="Z2177" s="16" t="n">
        <x:v>0</x:v>
      </x:c>
      <x:c r="AA2177" s="16" t="n">
        <x:v>3</x:v>
      </x:c>
      <x:c r="AB2177" s="16" t="n">
        <x:v>11</x:v>
      </x:c>
      <x:c r="AC2177" s="16" t="n">
        <x:v>0</x:v>
      </x:c>
      <x:c r="AD2177" s="21" t="n">
        <x:f>IF(E2177="",MEDIAN($E$2:$E$2237),E2177)</x:f>
        <x:v>52914</x:v>
      </x:c>
      <x:c r="AE2177" s="17" t="n">
        <x:f>2014-B2177</x:f>
        <x:v>43</x:v>
      </x:c>
      <x:c r="AF2177" s="17" t="n">
        <x:f>F2177+G2177</x:f>
        <x:v>1</x:v>
      </x:c>
      <x:c r="AG2177" s="21" t="n">
        <x:f>SUM(J2177:O2177)</x:f>
        <x:v>575</x:v>
      </x:c>
      <x:c r="AH2177" s="17" t="n">
        <x:f>SUM(Q2177:S2177)</x:f>
        <x:v>13</x:v>
      </x:c>
      <x:c r="AI2177" s="17" t="n">
        <x:f>SUM(U2177:Y2177)</x:f>
        <x:v>1</x:v>
      </x:c>
      <x:c r="AJ2177" s="17" t="str">
        <x:f>IF(AE2177&lt;=34,"≤34",IF(AE2177&lt;=44,"35–44",IF(AE2177&lt;=54,"45–54",IF(AE2177&lt;=64,"55–64","65+"))))</x:f>
        <x:v>35–44</x:v>
      </x:c>
      <x:c r="AK2177" s="17" t="str">
        <x:f>IF(AG2177&gt;=1000,"High Value",IF(AG2177&gt;=300,"Mid Value","Low Value"))</x:f>
        <x:v>Mid Value</x:v>
      </x:c>
      <x:c r="AL2177" s="17" t="str">
        <x:f>IF(AND(AI2177&gt;=1,I2177&lt;=50),"Priority 1",IF(AND(AG2177&gt;=1000,I2177&lt;=60),"Priority 2",IF(I2177&lt;=30,"Priority 3","Nurture")))</x:f>
        <x:v>Priority 1</x:v>
      </x:c>
    </x:row>
    <x:row r="2178">
      <x:c r="A2178" s="16" t="n">
        <x:v>4541</x:v>
      </x:c>
      <x:c r="B2178" s="16" t="n">
        <x:v>1955</x:v>
      </x:c>
      <x:c r="C2178" s="16" t="str">
        <x:v>Graduation</x:v>
      </x:c>
      <x:c r="D2178" s="16" t="str">
        <x:v>Together</x:v>
      </x:c>
      <x:c r="E2178" s="16" t="n">
        <x:v>38946</x:v>
      </x:c>
      <x:c r="F2178" s="16" t="n">
        <x:v>0</x:v>
      </x:c>
      <x:c r="G2178" s="16" t="n">
        <x:v>1</x:v>
      </x:c>
      <x:c r="H2178" s="16" t="str">
        <x:v>24-10-2013</x:v>
      </x:c>
      <x:c r="I2178" s="16" t="n">
        <x:v>84</x:v>
      </x:c>
      <x:c r="J2178" s="16" t="n">
        <x:v>116</x:v>
      </x:c>
      <x:c r="K2178" s="16" t="n">
        <x:v>6</x:v>
      </x:c>
      <x:c r="L2178" s="16" t="n">
        <x:v>82</x:v>
      </x:c>
      <x:c r="M2178" s="16" t="n">
        <x:v>6</x:v>
      </x:c>
      <x:c r="N2178" s="16" t="n">
        <x:v>6</x:v>
      </x:c>
      <x:c r="O2178" s="16" t="n">
        <x:v>41</x:v>
      </x:c>
      <x:c r="P2178" s="16" t="n">
        <x:v>2</x:v>
      </x:c>
      <x:c r="Q2178" s="16" t="n">
        <x:v>3</x:v>
      </x:c>
      <x:c r="R2178" s="16" t="n">
        <x:v>1</x:v>
      </x:c>
      <x:c r="S2178" s="16" t="n">
        <x:v>6</x:v>
      </x:c>
      <x:c r="T2178" s="16" t="n">
        <x:v>5</x:v>
      </x:c>
      <x:c r="U2178" s="16" t="n">
        <x:v>0</x:v>
      </x:c>
      <x:c r="V2178" s="16" t="n">
        <x:v>0</x:v>
      </x:c>
      <x:c r="W2178" s="16" t="n">
        <x:v>0</x:v>
      </x:c>
      <x:c r="X2178" s="16" t="n">
        <x:v>0</x:v>
      </x:c>
      <x:c r="Y2178" s="16" t="n">
        <x:v>0</x:v>
      </x:c>
      <x:c r="Z2178" s="16" t="n">
        <x:v>0</x:v>
      </x:c>
      <x:c r="AA2178" s="16" t="n">
        <x:v>3</x:v>
      </x:c>
      <x:c r="AB2178" s="16" t="n">
        <x:v>11</x:v>
      </x:c>
      <x:c r="AC2178" s="16" t="n">
        <x:v>0</x:v>
      </x:c>
      <x:c r="AD2178" s="21" t="n">
        <x:f>IF(E2178="",MEDIAN($E$2:$E$2237),E2178)</x:f>
        <x:v>38946</x:v>
      </x:c>
      <x:c r="AE2178" s="17" t="n">
        <x:f>2014-B2178</x:f>
        <x:v>59</x:v>
      </x:c>
      <x:c r="AF2178" s="17" t="n">
        <x:f>F2178+G2178</x:f>
        <x:v>1</x:v>
      </x:c>
      <x:c r="AG2178" s="21" t="n">
        <x:f>SUM(J2178:O2178)</x:f>
        <x:v>257</x:v>
      </x:c>
      <x:c r="AH2178" s="17" t="n">
        <x:f>SUM(Q2178:S2178)</x:f>
        <x:v>10</x:v>
      </x:c>
      <x:c r="AI2178" s="17" t="n">
        <x:f>SUM(U2178:Y2178)</x:f>
        <x:v>0</x:v>
      </x:c>
      <x:c r="AJ2178" s="17" t="str">
        <x:f>IF(AE2178&lt;=34,"≤34",IF(AE2178&lt;=44,"35–44",IF(AE2178&lt;=54,"45–54",IF(AE2178&lt;=64,"55–64","65+"))))</x:f>
        <x:v>55–64</x:v>
      </x:c>
      <x:c r="AK2178" s="17" t="str">
        <x:f>IF(AG2178&gt;=1000,"High Value",IF(AG2178&gt;=300,"Mid Value","Low Value"))</x:f>
        <x:v>Low Value</x:v>
      </x:c>
      <x:c r="AL2178" s="17" t="str">
        <x:f>IF(AND(AI2178&gt;=1,I2178&lt;=50),"Priority 1",IF(AND(AG2178&gt;=1000,I2178&lt;=60),"Priority 2",IF(I2178&lt;=30,"Priority 3","Nurture")))</x:f>
        <x:v>Nurture</x:v>
      </x:c>
    </x:row>
    <x:row r="2179">
      <x:c r="A2179" s="16" t="n">
        <x:v>1321</x:v>
      </x:c>
      <x:c r="B2179" s="16" t="n">
        <x:v>1974</x:v>
      </x:c>
      <x:c r="C2179" s="16" t="str">
        <x:v>Graduation</x:v>
      </x:c>
      <x:c r="D2179" s="16" t="str">
        <x:v>Married</x:v>
      </x:c>
      <x:c r="E2179" s="16" t="n">
        <x:v>26067</x:v>
      </x:c>
      <x:c r="F2179" s="16" t="n">
        <x:v>1</x:v>
      </x:c>
      <x:c r="G2179" s="16" t="n">
        <x:v>0</x:v>
      </x:c>
      <x:c r="H2179" s="16" t="str">
        <x:v>04-11-2013</x:v>
      </x:c>
      <x:c r="I2179" s="16" t="n">
        <x:v>49</x:v>
      </x:c>
      <x:c r="J2179" s="16" t="n">
        <x:v>22</x:v>
      </x:c>
      <x:c r="K2179" s="16" t="n">
        <x:v>2</x:v>
      </x:c>
      <x:c r="L2179" s="16" t="n">
        <x:v>18</x:v>
      </x:c>
      <x:c r="M2179" s="16" t="n">
        <x:v>0</x:v>
      </x:c>
      <x:c r="N2179" s="16" t="n">
        <x:v>2</x:v>
      </x:c>
      <x:c r="O2179" s="16" t="n">
        <x:v>12</x:v>
      </x:c>
      <x:c r="P2179" s="16" t="n">
        <x:v>3</x:v>
      </x:c>
      <x:c r="Q2179" s="16" t="n">
        <x:v>3</x:v>
      </x:c>
      <x:c r="R2179" s="16" t="n">
        <x:v>0</x:v>
      </x:c>
      <x:c r="S2179" s="16" t="n">
        <x:v>3</x:v>
      </x:c>
      <x:c r="T2179" s="16" t="n">
        <x:v>8</x:v>
      </x:c>
      <x:c r="U2179" s="16" t="n">
        <x:v>0</x:v>
      </x:c>
      <x:c r="V2179" s="16" t="n">
        <x:v>0</x:v>
      </x:c>
      <x:c r="W2179" s="16" t="n">
        <x:v>0</x:v>
      </x:c>
      <x:c r="X2179" s="16" t="n">
        <x:v>0</x:v>
      </x:c>
      <x:c r="Y2179" s="16" t="n">
        <x:v>0</x:v>
      </x:c>
      <x:c r="Z2179" s="16" t="n">
        <x:v>0</x:v>
      </x:c>
      <x:c r="AA2179" s="16" t="n">
        <x:v>3</x:v>
      </x:c>
      <x:c r="AB2179" s="16" t="n">
        <x:v>11</x:v>
      </x:c>
      <x:c r="AC2179" s="16" t="n">
        <x:v>0</x:v>
      </x:c>
      <x:c r="AD2179" s="21" t="n">
        <x:f>IF(E2179="",MEDIAN($E$2:$E$2237),E2179)</x:f>
        <x:v>26067</x:v>
      </x:c>
      <x:c r="AE2179" s="17" t="n">
        <x:f>2014-B2179</x:f>
        <x:v>40</x:v>
      </x:c>
      <x:c r="AF2179" s="17" t="n">
        <x:f>F2179+G2179</x:f>
        <x:v>1</x:v>
      </x:c>
      <x:c r="AG2179" s="21" t="n">
        <x:f>SUM(J2179:O2179)</x:f>
        <x:v>56</x:v>
      </x:c>
      <x:c r="AH2179" s="17" t="n">
        <x:f>SUM(Q2179:S2179)</x:f>
        <x:v>6</x:v>
      </x:c>
      <x:c r="AI2179" s="17" t="n">
        <x:f>SUM(U2179:Y2179)</x:f>
        <x:v>0</x:v>
      </x:c>
      <x:c r="AJ2179" s="17" t="str">
        <x:f>IF(AE2179&lt;=34,"≤34",IF(AE2179&lt;=44,"35–44",IF(AE2179&lt;=54,"45–54",IF(AE2179&lt;=64,"55–64","65+"))))</x:f>
        <x:v>35–44</x:v>
      </x:c>
      <x:c r="AK2179" s="17" t="str">
        <x:f>IF(AG2179&gt;=1000,"High Value",IF(AG2179&gt;=300,"Mid Value","Low Value"))</x:f>
        <x:v>Low Value</x:v>
      </x:c>
      <x:c r="AL2179" s="17" t="str">
        <x:f>IF(AND(AI2179&gt;=1,I2179&lt;=50),"Priority 1",IF(AND(AG2179&gt;=1000,I2179&lt;=60),"Priority 2",IF(I2179&lt;=30,"Priority 3","Nurture")))</x:f>
        <x:v>Nurture</x:v>
      </x:c>
    </x:row>
    <x:row r="2180">
      <x:c r="A2180" s="16" t="n">
        <x:v>8858</x:v>
      </x:c>
      <x:c r="B2180" s="16" t="n">
        <x:v>1972</x:v>
      </x:c>
      <x:c r="C2180" s="16" t="str">
        <x:v>PhD</x:v>
      </x:c>
      <x:c r="D2180" s="16" t="str">
        <x:v>Married</x:v>
      </x:c>
      <x:c r="E2180" s="16" t="n">
        <x:v>44325</x:v>
      </x:c>
      <x:c r="F2180" s="16" t="n">
        <x:v>0</x:v>
      </x:c>
      <x:c r="G2180" s="16" t="n">
        <x:v>1</x:v>
      </x:c>
      <x:c r="H2180" s="16" t="str">
        <x:v>07-03-2013</x:v>
      </x:c>
      <x:c r="I2180" s="16" t="n">
        <x:v>69</x:v>
      </x:c>
      <x:c r="J2180" s="16" t="n">
        <x:v>516</x:v>
      </x:c>
      <x:c r="K2180" s="16" t="n">
        <x:v>0</x:v>
      </x:c>
      <x:c r="L2180" s="16" t="n">
        <x:v>21</x:v>
      </x:c>
      <x:c r="M2180" s="16" t="n">
        <x:v>0</x:v>
      </x:c>
      <x:c r="N2180" s="16" t="n">
        <x:v>0</x:v>
      </x:c>
      <x:c r="O2180" s="16" t="n">
        <x:v>5</x:v>
      </x:c>
      <x:c r="P2180" s="16" t="n">
        <x:v>4</x:v>
      </x:c>
      <x:c r="Q2180" s="16" t="n">
        <x:v>8</x:v>
      </x:c>
      <x:c r="R2180" s="16" t="n">
        <x:v>2</x:v>
      </x:c>
      <x:c r="S2180" s="16" t="n">
        <x:v>7</x:v>
      </x:c>
      <x:c r="T2180" s="16" t="n">
        <x:v>8</x:v>
      </x:c>
      <x:c r="U2180" s="16" t="n">
        <x:v>0</x:v>
      </x:c>
      <x:c r="V2180" s="16" t="n">
        <x:v>1</x:v>
      </x:c>
      <x:c r="W2180" s="16" t="n">
        <x:v>0</x:v>
      </x:c>
      <x:c r="X2180" s="16" t="n">
        <x:v>0</x:v>
      </x:c>
      <x:c r="Y2180" s="16" t="n">
        <x:v>0</x:v>
      </x:c>
      <x:c r="Z2180" s="16" t="n">
        <x:v>0</x:v>
      </x:c>
      <x:c r="AA2180" s="16" t="n">
        <x:v>3</x:v>
      </x:c>
      <x:c r="AB2180" s="16" t="n">
        <x:v>11</x:v>
      </x:c>
      <x:c r="AC2180" s="16" t="n">
        <x:v>0</x:v>
      </x:c>
      <x:c r="AD2180" s="21" t="n">
        <x:f>IF(E2180="",MEDIAN($E$2:$E$2237),E2180)</x:f>
        <x:v>44325</x:v>
      </x:c>
      <x:c r="AE2180" s="17" t="n">
        <x:f>2014-B2180</x:f>
        <x:v>42</x:v>
      </x:c>
      <x:c r="AF2180" s="17" t="n">
        <x:f>F2180+G2180</x:f>
        <x:v>1</x:v>
      </x:c>
      <x:c r="AG2180" s="21" t="n">
        <x:f>SUM(J2180:O2180)</x:f>
        <x:v>542</x:v>
      </x:c>
      <x:c r="AH2180" s="17" t="n">
        <x:f>SUM(Q2180:S2180)</x:f>
        <x:v>17</x:v>
      </x:c>
      <x:c r="AI2180" s="17" t="n">
        <x:f>SUM(U2180:Y2180)</x:f>
        <x:v>1</x:v>
      </x:c>
      <x:c r="AJ2180" s="17" t="str">
        <x:f>IF(AE2180&lt;=34,"≤34",IF(AE2180&lt;=44,"35–44",IF(AE2180&lt;=54,"45–54",IF(AE2180&lt;=64,"55–64","65+"))))</x:f>
        <x:v>35–44</x:v>
      </x:c>
      <x:c r="AK2180" s="17" t="str">
        <x:f>IF(AG2180&gt;=1000,"High Value",IF(AG2180&gt;=300,"Mid Value","Low Value"))</x:f>
        <x:v>Mid Value</x:v>
      </x:c>
      <x:c r="AL2180" s="17" t="str">
        <x:f>IF(AND(AI2180&gt;=1,I2180&lt;=50),"Priority 1",IF(AND(AG2180&gt;=1000,I2180&lt;=60),"Priority 2",IF(I2180&lt;=30,"Priority 3","Nurture")))</x:f>
        <x:v>Nurture</x:v>
      </x:c>
    </x:row>
    <x:row r="2181">
      <x:c r="A2181" s="16" t="n">
        <x:v>3266</x:v>
      </x:c>
      <x:c r="B2181" s="16" t="n">
        <x:v>1964</x:v>
      </x:c>
      <x:c r="C2181" s="16" t="str">
        <x:v>Graduation</x:v>
      </x:c>
      <x:c r="D2181" s="16" t="str">
        <x:v>Married</x:v>
      </x:c>
      <x:c r="E2181" s="16" t="n">
        <x:v>42523</x:v>
      </x:c>
      <x:c r="F2181" s="16" t="n">
        <x:v>0</x:v>
      </x:c>
      <x:c r="G2181" s="16" t="n">
        <x:v>0</x:v>
      </x:c>
      <x:c r="H2181" s="16" t="str">
        <x:v>23-04-2014</x:v>
      </x:c>
      <x:c r="I2181" s="16" t="n">
        <x:v>96</x:v>
      </x:c>
      <x:c r="J2181" s="16" t="n">
        <x:v>14</x:v>
      </x:c>
      <x:c r="K2181" s="16" t="n">
        <x:v>36</x:v>
      </x:c>
      <x:c r="L2181" s="16" t="n">
        <x:v>11</x:v>
      </x:c>
      <x:c r="M2181" s="16" t="n">
        <x:v>3</x:v>
      </x:c>
      <x:c r="N2181" s="16" t="n">
        <x:v>26</x:v>
      </x:c>
      <x:c r="O2181" s="16" t="n">
        <x:v>35</x:v>
      </x:c>
      <x:c r="P2181" s="16" t="n">
        <x:v>1</x:v>
      </x:c>
      <x:c r="Q2181" s="16" t="n">
        <x:v>1</x:v>
      </x:c>
      <x:c r="R2181" s="16" t="n">
        <x:v>1</x:v>
      </x:c>
      <x:c r="S2181" s="16" t="n">
        <x:v>4</x:v>
      </x:c>
      <x:c r="T2181" s="16" t="n">
        <x:v>2</x:v>
      </x:c>
      <x:c r="U2181" s="16" t="n">
        <x:v>0</x:v>
      </x:c>
      <x:c r="V2181" s="16" t="n">
        <x:v>0</x:v>
      </x:c>
      <x:c r="W2181" s="16" t="n">
        <x:v>0</x:v>
      </x:c>
      <x:c r="X2181" s="16" t="n">
        <x:v>0</x:v>
      </x:c>
      <x:c r="Y2181" s="16" t="n">
        <x:v>0</x:v>
      </x:c>
      <x:c r="Z2181" s="16" t="n">
        <x:v>0</x:v>
      </x:c>
      <x:c r="AA2181" s="16" t="n">
        <x:v>3</x:v>
      </x:c>
      <x:c r="AB2181" s="16" t="n">
        <x:v>11</x:v>
      </x:c>
      <x:c r="AC2181" s="16" t="n">
        <x:v>0</x:v>
      </x:c>
      <x:c r="AD2181" s="21" t="n">
        <x:f>IF(E2181="",MEDIAN($E$2:$E$2237),E2181)</x:f>
        <x:v>42523</x:v>
      </x:c>
      <x:c r="AE2181" s="17" t="n">
        <x:f>2014-B2181</x:f>
        <x:v>50</x:v>
      </x:c>
      <x:c r="AF2181" s="17" t="n">
        <x:f>F2181+G2181</x:f>
        <x:v>0</x:v>
      </x:c>
      <x:c r="AG2181" s="21" t="n">
        <x:f>SUM(J2181:O2181)</x:f>
        <x:v>125</x:v>
      </x:c>
      <x:c r="AH2181" s="17" t="n">
        <x:f>SUM(Q2181:S2181)</x:f>
        <x:v>6</x:v>
      </x:c>
      <x:c r="AI2181" s="17" t="n">
        <x:f>SUM(U2181:Y2181)</x:f>
        <x:v>0</x:v>
      </x:c>
      <x:c r="AJ2181" s="17" t="str">
        <x:f>IF(AE2181&lt;=34,"≤34",IF(AE2181&lt;=44,"35–44",IF(AE2181&lt;=54,"45–54",IF(AE2181&lt;=64,"55–64","65+"))))</x:f>
        <x:v>45–54</x:v>
      </x:c>
      <x:c r="AK2181" s="17" t="str">
        <x:f>IF(AG2181&gt;=1000,"High Value",IF(AG2181&gt;=300,"Mid Value","Low Value"))</x:f>
        <x:v>Low Value</x:v>
      </x:c>
      <x:c r="AL2181" s="17" t="str">
        <x:f>IF(AND(AI2181&gt;=1,I2181&lt;=50),"Priority 1",IF(AND(AG2181&gt;=1000,I2181&lt;=60),"Priority 2",IF(I2181&lt;=30,"Priority 3","Nurture")))</x:f>
        <x:v>Nurture</x:v>
      </x:c>
    </x:row>
    <x:row r="2182">
      <x:c r="A2182" s="16" t="n">
        <x:v>11187</x:v>
      </x:c>
      <x:c r="B2182" s="16" t="n">
        <x:v>1978</x:v>
      </x:c>
      <x:c r="C2182" s="16" t="str">
        <x:v>Basic</x:v>
      </x:c>
      <x:c r="D2182" s="16" t="str">
        <x:v>Single</x:v>
      </x:c>
      <x:c r="E2182" s="16" t="n">
        <x:v>26487</x:v>
      </x:c>
      <x:c r="F2182" s="16" t="n">
        <x:v>1</x:v>
      </x:c>
      <x:c r="G2182" s="16" t="n">
        <x:v>0</x:v>
      </x:c>
      <x:c r="H2182" s="16" t="str">
        <x:v>20-05-2013</x:v>
      </x:c>
      <x:c r="I2182" s="16" t="n">
        <x:v>23</x:v>
      </x:c>
      <x:c r="J2182" s="16" t="n">
        <x:v>2</x:v>
      </x:c>
      <x:c r="K2182" s="16" t="n">
        <x:v>8</x:v>
      </x:c>
      <x:c r="L2182" s="16" t="n">
        <x:v>10</x:v>
      </x:c>
      <x:c r="M2182" s="16" t="n">
        <x:v>12</x:v>
      </x:c>
      <x:c r="N2182" s="16" t="n">
        <x:v>14</x:v>
      </x:c>
      <x:c r="O2182" s="16" t="n">
        <x:v>23</x:v>
      </x:c>
      <x:c r="P2182" s="16" t="n">
        <x:v>3</x:v>
      </x:c>
      <x:c r="Q2182" s="16" t="n">
        <x:v>2</x:v>
      </x:c>
      <x:c r="R2182" s="16" t="n">
        <x:v>1</x:v>
      </x:c>
      <x:c r="S2182" s="16" t="n">
        <x:v>3</x:v>
      </x:c>
      <x:c r="T2182" s="16" t="n">
        <x:v>5</x:v>
      </x:c>
      <x:c r="U2182" s="16" t="n">
        <x:v>0</x:v>
      </x:c>
      <x:c r="V2182" s="16" t="n">
        <x:v>0</x:v>
      </x:c>
      <x:c r="W2182" s="16" t="n">
        <x:v>0</x:v>
      </x:c>
      <x:c r="X2182" s="16" t="n">
        <x:v>0</x:v>
      </x:c>
      <x:c r="Y2182" s="16" t="n">
        <x:v>0</x:v>
      </x:c>
      <x:c r="Z2182" s="16" t="n">
        <x:v>0</x:v>
      </x:c>
      <x:c r="AA2182" s="16" t="n">
        <x:v>3</x:v>
      </x:c>
      <x:c r="AB2182" s="16" t="n">
        <x:v>11</x:v>
      </x:c>
      <x:c r="AC2182" s="16" t="n">
        <x:v>0</x:v>
      </x:c>
      <x:c r="AD2182" s="21" t="n">
        <x:f>IF(E2182="",MEDIAN($E$2:$E$2237),E2182)</x:f>
        <x:v>26487</x:v>
      </x:c>
      <x:c r="AE2182" s="17" t="n">
        <x:f>2014-B2182</x:f>
        <x:v>36</x:v>
      </x:c>
      <x:c r="AF2182" s="17" t="n">
        <x:f>F2182+G2182</x:f>
        <x:v>1</x:v>
      </x:c>
      <x:c r="AG2182" s="21" t="n">
        <x:f>SUM(J2182:O2182)</x:f>
        <x:v>69</x:v>
      </x:c>
      <x:c r="AH2182" s="17" t="n">
        <x:f>SUM(Q2182:S2182)</x:f>
        <x:v>6</x:v>
      </x:c>
      <x:c r="AI2182" s="17" t="n">
        <x:f>SUM(U2182:Y2182)</x:f>
        <x:v>0</x:v>
      </x:c>
      <x:c r="AJ2182" s="17" t="str">
        <x:f>IF(AE2182&lt;=34,"≤34",IF(AE2182&lt;=44,"35–44",IF(AE2182&lt;=54,"45–54",IF(AE2182&lt;=64,"55–64","65+"))))</x:f>
        <x:v>35–44</x:v>
      </x:c>
      <x:c r="AK2182" s="17" t="str">
        <x:f>IF(AG2182&gt;=1000,"High Value",IF(AG2182&gt;=300,"Mid Value","Low Value"))</x:f>
        <x:v>Low Value</x:v>
      </x:c>
      <x:c r="AL2182" s="17" t="str">
        <x:f>IF(AND(AI2182&gt;=1,I2182&lt;=50),"Priority 1",IF(AND(AG2182&gt;=1000,I2182&lt;=60),"Priority 2",IF(I2182&lt;=30,"Priority 3","Nurture")))</x:f>
        <x:v>Priority 3</x:v>
      </x:c>
    </x:row>
    <x:row r="2183">
      <x:c r="A2183" s="16" t="n">
        <x:v>8207</x:v>
      </x:c>
      <x:c r="B2183" s="16" t="n">
        <x:v>1957</x:v>
      </x:c>
      <x:c r="C2183" s="16" t="str">
        <x:v>2n Cycle</x:v>
      </x:c>
      <x:c r="D2183" s="16" t="str">
        <x:v>Married</x:v>
      </x:c>
      <x:c r="E2183" s="16" t="n">
        <x:v>53233</x:v>
      </x:c>
      <x:c r="F2183" s="16" t="n">
        <x:v>0</x:v>
      </x:c>
      <x:c r="G2183" s="16" t="n">
        <x:v>1</x:v>
      </x:c>
      <x:c r="H2183" s="16" t="str">
        <x:v>18-03-2014</x:v>
      </x:c>
      <x:c r="I2183" s="16" t="n">
        <x:v>18</x:v>
      </x:c>
      <x:c r="J2183" s="16" t="n">
        <x:v>28</x:v>
      </x:c>
      <x:c r="K2183" s="16" t="n">
        <x:v>0</x:v>
      </x:c>
      <x:c r="L2183" s="16" t="n">
        <x:v>9</x:v>
      </x:c>
      <x:c r="M2183" s="16" t="n">
        <x:v>3</x:v>
      </x:c>
      <x:c r="N2183" s="16" t="n">
        <x:v>0</x:v>
      </x:c>
      <x:c r="O2183" s="16" t="n">
        <x:v>0</x:v>
      </x:c>
      <x:c r="P2183" s="16" t="n">
        <x:v>1</x:v>
      </x:c>
      <x:c r="Q2183" s="16" t="n">
        <x:v>1</x:v>
      </x:c>
      <x:c r="R2183" s="16" t="n">
        <x:v>0</x:v>
      </x:c>
      <x:c r="S2183" s="16" t="n">
        <x:v>3</x:v>
      </x:c>
      <x:c r="T2183" s="16" t="n">
        <x:v>4</x:v>
      </x:c>
      <x:c r="U2183" s="16" t="n">
        <x:v>0</x:v>
      </x:c>
      <x:c r="V2183" s="16" t="n">
        <x:v>0</x:v>
      </x:c>
      <x:c r="W2183" s="16" t="n">
        <x:v>0</x:v>
      </x:c>
      <x:c r="X2183" s="16" t="n">
        <x:v>0</x:v>
      </x:c>
      <x:c r="Y2183" s="16" t="n">
        <x:v>0</x:v>
      </x:c>
      <x:c r="Z2183" s="16" t="n">
        <x:v>0</x:v>
      </x:c>
      <x:c r="AA2183" s="16" t="n">
        <x:v>3</x:v>
      </x:c>
      <x:c r="AB2183" s="16" t="n">
        <x:v>11</x:v>
      </x:c>
      <x:c r="AC2183" s="16" t="n">
        <x:v>0</x:v>
      </x:c>
      <x:c r="AD2183" s="21" t="n">
        <x:f>IF(E2183="",MEDIAN($E$2:$E$2237),E2183)</x:f>
        <x:v>53233</x:v>
      </x:c>
      <x:c r="AE2183" s="17" t="n">
        <x:f>2014-B2183</x:f>
        <x:v>57</x:v>
      </x:c>
      <x:c r="AF2183" s="17" t="n">
        <x:f>F2183+G2183</x:f>
        <x:v>1</x:v>
      </x:c>
      <x:c r="AG2183" s="21" t="n">
        <x:f>SUM(J2183:O2183)</x:f>
        <x:v>40</x:v>
      </x:c>
      <x:c r="AH2183" s="17" t="n">
        <x:f>SUM(Q2183:S2183)</x:f>
        <x:v>4</x:v>
      </x:c>
      <x:c r="AI2183" s="17" t="n">
        <x:f>SUM(U2183:Y2183)</x:f>
        <x:v>0</x:v>
      </x:c>
      <x:c r="AJ2183" s="17" t="str">
        <x:f>IF(AE2183&lt;=34,"≤34",IF(AE2183&lt;=44,"35–44",IF(AE2183&lt;=54,"45–54",IF(AE2183&lt;=64,"55–64","65+"))))</x:f>
        <x:v>55–64</x:v>
      </x:c>
      <x:c r="AK2183" s="17" t="str">
        <x:f>IF(AG2183&gt;=1000,"High Value",IF(AG2183&gt;=300,"Mid Value","Low Value"))</x:f>
        <x:v>Low Value</x:v>
      </x:c>
      <x:c r="AL2183" s="17" t="str">
        <x:f>IF(AND(AI2183&gt;=1,I2183&lt;=50),"Priority 1",IF(AND(AG2183&gt;=1000,I2183&lt;=60),"Priority 2",IF(I2183&lt;=30,"Priority 3","Nurture")))</x:f>
        <x:v>Priority 3</x:v>
      </x:c>
    </x:row>
    <x:row r="2184">
      <x:c r="A2184" s="16" t="n">
        <x:v>9723</x:v>
      </x:c>
      <x:c r="B2184" s="16" t="n">
        <x:v>1960</x:v>
      </x:c>
      <x:c r="C2184" s="16" t="str">
        <x:v>Graduation</x:v>
      </x:c>
      <x:c r="D2184" s="16" t="str">
        <x:v>Married</x:v>
      </x:c>
      <x:c r="E2184" s="16" t="n">
        <x:v>67716</x:v>
      </x:c>
      <x:c r="F2184" s="16" t="n">
        <x:v>0</x:v>
      </x:c>
      <x:c r="G2184" s="16" t="n">
        <x:v>1</x:v>
      </x:c>
      <x:c r="H2184" s="16" t="str">
        <x:v>10-01-2013</x:v>
      </x:c>
      <x:c r="I2184" s="16" t="n">
        <x:v>8</x:v>
      </x:c>
      <x:c r="J2184" s="16" t="n">
        <x:v>530</x:v>
      </x:c>
      <x:c r="K2184" s="16" t="n">
        <x:v>142</x:v>
      </x:c>
      <x:c r="L2184" s="16" t="n">
        <x:v>217</x:v>
      </x:c>
      <x:c r="M2184" s="16" t="n">
        <x:v>62</x:v>
      </x:c>
      <x:c r="N2184" s="16" t="n">
        <x:v>9</x:v>
      </x:c>
      <x:c r="O2184" s="16" t="n">
        <x:v>56</x:v>
      </x:c>
      <x:c r="P2184" s="16" t="n">
        <x:v>4</x:v>
      </x:c>
      <x:c r="Q2184" s="16" t="n">
        <x:v>7</x:v>
      </x:c>
      <x:c r="R2184" s="16" t="n">
        <x:v>4</x:v>
      </x:c>
      <x:c r="S2184" s="16" t="n">
        <x:v>13</x:v>
      </x:c>
      <x:c r="T2184" s="16" t="n">
        <x:v>5</x:v>
      </x:c>
      <x:c r="U2184" s="16" t="n">
        <x:v>0</x:v>
      </x:c>
      <x:c r="V2184" s="16" t="n">
        <x:v>1</x:v>
      </x:c>
      <x:c r="W2184" s="16" t="n">
        <x:v>0</x:v>
      </x:c>
      <x:c r="X2184" s="16" t="n">
        <x:v>0</x:v>
      </x:c>
      <x:c r="Y2184" s="16" t="n">
        <x:v>0</x:v>
      </x:c>
      <x:c r="Z2184" s="16" t="n">
        <x:v>0</x:v>
      </x:c>
      <x:c r="AA2184" s="16" t="n">
        <x:v>3</x:v>
      </x:c>
      <x:c r="AB2184" s="16" t="n">
        <x:v>11</x:v>
      </x:c>
      <x:c r="AC2184" s="16" t="n">
        <x:v>0</x:v>
      </x:c>
      <x:c r="AD2184" s="21" t="n">
        <x:f>IF(E2184="",MEDIAN($E$2:$E$2237),E2184)</x:f>
        <x:v>67716</x:v>
      </x:c>
      <x:c r="AE2184" s="17" t="n">
        <x:f>2014-B2184</x:f>
        <x:v>54</x:v>
      </x:c>
      <x:c r="AF2184" s="17" t="n">
        <x:f>F2184+G2184</x:f>
        <x:v>1</x:v>
      </x:c>
      <x:c r="AG2184" s="21" t="n">
        <x:f>SUM(J2184:O2184)</x:f>
        <x:v>1016</x:v>
      </x:c>
      <x:c r="AH2184" s="17" t="n">
        <x:f>SUM(Q2184:S2184)</x:f>
        <x:v>24</x:v>
      </x:c>
      <x:c r="AI2184" s="17" t="n">
        <x:f>SUM(U2184:Y2184)</x:f>
        <x:v>1</x:v>
      </x:c>
      <x:c r="AJ2184" s="17" t="str">
        <x:f>IF(AE2184&lt;=34,"≤34",IF(AE2184&lt;=44,"35–44",IF(AE2184&lt;=54,"45–54",IF(AE2184&lt;=64,"55–64","65+"))))</x:f>
        <x:v>45–54</x:v>
      </x:c>
      <x:c r="AK2184" s="17" t="str">
        <x:f>IF(AG2184&gt;=1000,"High Value",IF(AG2184&gt;=300,"Mid Value","Low Value"))</x:f>
        <x:v>High Value</x:v>
      </x:c>
      <x:c r="AL2184" s="17" t="str">
        <x:f>IF(AND(AI2184&gt;=1,I2184&lt;=50),"Priority 1",IF(AND(AG2184&gt;=1000,I2184&lt;=60),"Priority 2",IF(I2184&lt;=30,"Priority 3","Nurture")))</x:f>
        <x:v>Priority 1</x:v>
      </x:c>
    </x:row>
    <x:row r="2185">
      <x:c r="A2185" s="16" t="n">
        <x:v>2666</x:v>
      </x:c>
      <x:c r="B2185" s="16" t="n">
        <x:v>1972</x:v>
      </x:c>
      <x:c r="C2185" s="16" t="str">
        <x:v>Master</x:v>
      </x:c>
      <x:c r="D2185" s="16" t="str">
        <x:v>Married</x:v>
      </x:c>
      <x:c r="E2185" s="16" t="n">
        <x:v>76234</x:v>
      </x:c>
      <x:c r="F2185" s="16" t="n">
        <x:v>0</x:v>
      </x:c>
      <x:c r="G2185" s="16" t="n">
        <x:v>1</x:v>
      </x:c>
      <x:c r="H2185" s="16" t="str">
        <x:v>06-02-2014</x:v>
      </x:c>
      <x:c r="I2185" s="16" t="n">
        <x:v>21</x:v>
      </x:c>
      <x:c r="J2185" s="16" t="n">
        <x:v>519</x:v>
      </x:c>
      <x:c r="K2185" s="16" t="n">
        <x:v>50</x:v>
      </x:c>
      <x:c r="L2185" s="16" t="n">
        <x:v>167</x:v>
      </x:c>
      <x:c r="M2185" s="16" t="n">
        <x:v>130</x:v>
      </x:c>
      <x:c r="N2185" s="16" t="n">
        <x:v>0</x:v>
      </x:c>
      <x:c r="O2185" s="16" t="n">
        <x:v>41</x:v>
      </x:c>
      <x:c r="P2185" s="16" t="n">
        <x:v>1</x:v>
      </x:c>
      <x:c r="Q2185" s="16" t="n">
        <x:v>8</x:v>
      </x:c>
      <x:c r="R2185" s="16" t="n">
        <x:v>3</x:v>
      </x:c>
      <x:c r="S2185" s="16" t="n">
        <x:v>11</x:v>
      </x:c>
      <x:c r="T2185" s="16" t="n">
        <x:v>3</x:v>
      </x:c>
      <x:c r="U2185" s="16" t="n">
        <x:v>0</x:v>
      </x:c>
      <x:c r="V2185" s="16" t="n">
        <x:v>1</x:v>
      </x:c>
      <x:c r="W2185" s="16" t="n">
        <x:v>0</x:v>
      </x:c>
      <x:c r="X2185" s="16" t="n">
        <x:v>0</x:v>
      </x:c>
      <x:c r="Y2185" s="16" t="n">
        <x:v>0</x:v>
      </x:c>
      <x:c r="Z2185" s="16" t="n">
        <x:v>0</x:v>
      </x:c>
      <x:c r="AA2185" s="16" t="n">
        <x:v>3</x:v>
      </x:c>
      <x:c r="AB2185" s="16" t="n">
        <x:v>11</x:v>
      </x:c>
      <x:c r="AC2185" s="16" t="n">
        <x:v>0</x:v>
      </x:c>
      <x:c r="AD2185" s="21" t="n">
        <x:f>IF(E2185="",MEDIAN($E$2:$E$2237),E2185)</x:f>
        <x:v>76234</x:v>
      </x:c>
      <x:c r="AE2185" s="17" t="n">
        <x:f>2014-B2185</x:f>
        <x:v>42</x:v>
      </x:c>
      <x:c r="AF2185" s="17" t="n">
        <x:f>F2185+G2185</x:f>
        <x:v>1</x:v>
      </x:c>
      <x:c r="AG2185" s="21" t="n">
        <x:f>SUM(J2185:O2185)</x:f>
        <x:v>907</x:v>
      </x:c>
      <x:c r="AH2185" s="17" t="n">
        <x:f>SUM(Q2185:S2185)</x:f>
        <x:v>22</x:v>
      </x:c>
      <x:c r="AI2185" s="17" t="n">
        <x:f>SUM(U2185:Y2185)</x:f>
        <x:v>1</x:v>
      </x:c>
      <x:c r="AJ2185" s="17" t="str">
        <x:f>IF(AE2185&lt;=34,"≤34",IF(AE2185&lt;=44,"35–44",IF(AE2185&lt;=54,"45–54",IF(AE2185&lt;=64,"55–64","65+"))))</x:f>
        <x:v>35–44</x:v>
      </x:c>
      <x:c r="AK2185" s="17" t="str">
        <x:f>IF(AG2185&gt;=1000,"High Value",IF(AG2185&gt;=300,"Mid Value","Low Value"))</x:f>
        <x:v>Mid Value</x:v>
      </x:c>
      <x:c r="AL2185" s="17" t="str">
        <x:f>IF(AND(AI2185&gt;=1,I2185&lt;=50),"Priority 1",IF(AND(AG2185&gt;=1000,I2185&lt;=60),"Priority 2",IF(I2185&lt;=30,"Priority 3","Nurture")))</x:f>
        <x:v>Priority 1</x:v>
      </x:c>
    </x:row>
    <x:row r="2186">
      <x:c r="A2186" s="16" t="n">
        <x:v>5721</x:v>
      </x:c>
      <x:c r="B2186" s="16" t="n">
        <x:v>1956</x:v>
      </x:c>
      <x:c r="C2186" s="16" t="str">
        <x:v>PhD</x:v>
      </x:c>
      <x:c r="D2186" s="16" t="str">
        <x:v>Married</x:v>
      </x:c>
      <x:c r="E2186" s="16" t="n">
        <x:v>84117</x:v>
      </x:c>
      <x:c r="F2186" s="16" t="n">
        <x:v>0</x:v>
      </x:c>
      <x:c r="G2186" s="16" t="n">
        <x:v>0</x:v>
      </x:c>
      <x:c r="H2186" s="16" t="str">
        <x:v>11-05-2014</x:v>
      </x:c>
      <x:c r="I2186" s="16" t="n">
        <x:v>60</x:v>
      </x:c>
      <x:c r="J2186" s="16" t="n">
        <x:v>611</x:v>
      </x:c>
      <x:c r="K2186" s="16" t="n">
        <x:v>76</x:v>
      </x:c>
      <x:c r="L2186" s="16" t="n">
        <x:v>749</x:v>
      </x:c>
      <x:c r="M2186" s="16" t="n">
        <x:v>59</x:v>
      </x:c>
      <x:c r="N2186" s="16" t="n">
        <x:v>45</x:v>
      </x:c>
      <x:c r="O2186" s="16" t="n">
        <x:v>26</x:v>
      </x:c>
      <x:c r="P2186" s="16" t="n">
        <x:v>1</x:v>
      </x:c>
      <x:c r="Q2186" s="16" t="n">
        <x:v>7</x:v>
      </x:c>
      <x:c r="R2186" s="16" t="n">
        <x:v>10</x:v>
      </x:c>
      <x:c r="S2186" s="16" t="n">
        <x:v>6</x:v>
      </x:c>
      <x:c r="T2186" s="16" t="n">
        <x:v>2</x:v>
      </x:c>
      <x:c r="U2186" s="16" t="n">
        <x:v>0</x:v>
      </x:c>
      <x:c r="V2186" s="16" t="n">
        <x:v>0</x:v>
      </x:c>
      <x:c r="W2186" s="16" t="n">
        <x:v>1</x:v>
      </x:c>
      <x:c r="X2186" s="16" t="n">
        <x:v>0</x:v>
      </x:c>
      <x:c r="Y2186" s="16" t="n">
        <x:v>0</x:v>
      </x:c>
      <x:c r="Z2186" s="16" t="n">
        <x:v>0</x:v>
      </x:c>
      <x:c r="AA2186" s="16" t="n">
        <x:v>3</x:v>
      </x:c>
      <x:c r="AB2186" s="16" t="n">
        <x:v>11</x:v>
      </x:c>
      <x:c r="AC2186" s="16" t="n">
        <x:v>0</x:v>
      </x:c>
      <x:c r="AD2186" s="21" t="n">
        <x:f>IF(E2186="",MEDIAN($E$2:$E$2237),E2186)</x:f>
        <x:v>84117</x:v>
      </x:c>
      <x:c r="AE2186" s="17" t="n">
        <x:f>2014-B2186</x:f>
        <x:v>58</x:v>
      </x:c>
      <x:c r="AF2186" s="17" t="n">
        <x:f>F2186+G2186</x:f>
        <x:v>0</x:v>
      </x:c>
      <x:c r="AG2186" s="21" t="n">
        <x:f>SUM(J2186:O2186)</x:f>
        <x:v>1566</x:v>
      </x:c>
      <x:c r="AH2186" s="17" t="n">
        <x:f>SUM(Q2186:S2186)</x:f>
        <x:v>23</x:v>
      </x:c>
      <x:c r="AI2186" s="17" t="n">
        <x:f>SUM(U2186:Y2186)</x:f>
        <x:v>1</x:v>
      </x:c>
      <x:c r="AJ2186" s="17" t="str">
        <x:f>IF(AE2186&lt;=34,"≤34",IF(AE2186&lt;=44,"35–44",IF(AE2186&lt;=54,"45–54",IF(AE2186&lt;=64,"55–64","65+"))))</x:f>
        <x:v>55–64</x:v>
      </x:c>
      <x:c r="AK2186" s="17" t="str">
        <x:f>IF(AG2186&gt;=1000,"High Value",IF(AG2186&gt;=300,"Mid Value","Low Value"))</x:f>
        <x:v>High Value</x:v>
      </x:c>
      <x:c r="AL2186" s="17" t="str">
        <x:f>IF(AND(AI2186&gt;=1,I2186&lt;=50),"Priority 1",IF(AND(AG2186&gt;=1000,I2186&lt;=60),"Priority 2",IF(I2186&lt;=30,"Priority 3","Nurture")))</x:f>
        <x:v>Priority 2</x:v>
      </x:c>
    </x:row>
    <x:row r="2187">
      <x:c r="A2187" s="16" t="n">
        <x:v>10652</x:v>
      </x:c>
      <x:c r="B2187" s="16" t="n">
        <x:v>1957</x:v>
      </x:c>
      <x:c r="C2187" s="16" t="str">
        <x:v>Master</x:v>
      </x:c>
      <x:c r="D2187" s="16" t="str">
        <x:v>Together</x:v>
      </x:c>
      <x:c r="E2187" s="16" t="n">
        <x:v>65487</x:v>
      </x:c>
      <x:c r="F2187" s="16" t="n">
        <x:v>0</x:v>
      </x:c>
      <x:c r="G2187" s="16" t="n">
        <x:v>0</x:v>
      </x:c>
      <x:c r="H2187" s="16" t="str">
        <x:v>10-01-2014</x:v>
      </x:c>
      <x:c r="I2187" s="16" t="n">
        <x:v>48</x:v>
      </x:c>
      <x:c r="J2187" s="16" t="n">
        <x:v>240</x:v>
      </x:c>
      <x:c r="K2187" s="16" t="n">
        <x:v>67</x:v>
      </x:c>
      <x:c r="L2187" s="16" t="n">
        <x:v>500</x:v>
      </x:c>
      <x:c r="M2187" s="16" t="n">
        <x:v>199</x:v>
      </x:c>
      <x:c r="N2187" s="16" t="n">
        <x:v>0</x:v>
      </x:c>
      <x:c r="O2187" s="16" t="n">
        <x:v>163</x:v>
      </x:c>
      <x:c r="P2187" s="16" t="n">
        <x:v>3</x:v>
      </x:c>
      <x:c r="Q2187" s="16" t="n">
        <x:v>3</x:v>
      </x:c>
      <x:c r="R2187" s="16" t="n">
        <x:v>5</x:v>
      </x:c>
      <x:c r="S2187" s="16" t="n">
        <x:v>6</x:v>
      </x:c>
      <x:c r="T2187" s="16" t="n">
        <x:v>2</x:v>
      </x:c>
      <x:c r="U2187" s="16" t="n">
        <x:v>0</x:v>
      </x:c>
      <x:c r="V2187" s="16" t="n">
        <x:v>0</x:v>
      </x:c>
      <x:c r="W2187" s="16" t="n">
        <x:v>0</x:v>
      </x:c>
      <x:c r="X2187" s="16" t="n">
        <x:v>0</x:v>
      </x:c>
      <x:c r="Y2187" s="16" t="n">
        <x:v>0</x:v>
      </x:c>
      <x:c r="Z2187" s="16" t="n">
        <x:v>0</x:v>
      </x:c>
      <x:c r="AA2187" s="16" t="n">
        <x:v>3</x:v>
      </x:c>
      <x:c r="AB2187" s="16" t="n">
        <x:v>11</x:v>
      </x:c>
      <x:c r="AC2187" s="16" t="n">
        <x:v>0</x:v>
      </x:c>
      <x:c r="AD2187" s="21" t="n">
        <x:f>IF(E2187="",MEDIAN($E$2:$E$2237),E2187)</x:f>
        <x:v>65487</x:v>
      </x:c>
      <x:c r="AE2187" s="17" t="n">
        <x:f>2014-B2187</x:f>
        <x:v>57</x:v>
      </x:c>
      <x:c r="AF2187" s="17" t="n">
        <x:f>F2187+G2187</x:f>
        <x:v>0</x:v>
      </x:c>
      <x:c r="AG2187" s="21" t="n">
        <x:f>SUM(J2187:O2187)</x:f>
        <x:v>1169</x:v>
      </x:c>
      <x:c r="AH2187" s="17" t="n">
        <x:f>SUM(Q2187:S2187)</x:f>
        <x:v>14</x:v>
      </x:c>
      <x:c r="AI2187" s="17" t="n">
        <x:f>SUM(U2187:Y2187)</x:f>
        <x:v>0</x:v>
      </x:c>
      <x:c r="AJ2187" s="17" t="str">
        <x:f>IF(AE2187&lt;=34,"≤34",IF(AE2187&lt;=44,"35–44",IF(AE2187&lt;=54,"45–54",IF(AE2187&lt;=64,"55–64","65+"))))</x:f>
        <x:v>55–64</x:v>
      </x:c>
      <x:c r="AK2187" s="17" t="str">
        <x:f>IF(AG2187&gt;=1000,"High Value",IF(AG2187&gt;=300,"Mid Value","Low Value"))</x:f>
        <x:v>High Value</x:v>
      </x:c>
      <x:c r="AL2187" s="17" t="str">
        <x:f>IF(AND(AI2187&gt;=1,I2187&lt;=50),"Priority 1",IF(AND(AG2187&gt;=1000,I2187&lt;=60),"Priority 2",IF(I2187&lt;=30,"Priority 3","Nurture")))</x:f>
        <x:v>Priority 2</x:v>
      </x:c>
    </x:row>
    <x:row r="2188">
      <x:c r="A2188" s="16" t="n">
        <x:v>1646</x:v>
      </x:c>
      <x:c r="B2188" s="16" t="n">
        <x:v>1972</x:v>
      </x:c>
      <x:c r="C2188" s="16" t="str">
        <x:v>Basic</x:v>
      </x:c>
      <x:c r="D2188" s="16" t="str">
        <x:v>Married</x:v>
      </x:c>
      <x:c r="E2188" s="16" t="n">
        <x:v>25224</x:v>
      </x:c>
      <x:c r="F2188" s="16" t="n">
        <x:v>1</x:v>
      </x:c>
      <x:c r="G2188" s="16" t="n">
        <x:v>0</x:v>
      </x:c>
      <x:c r="H2188" s="16" t="str">
        <x:v>16-03-2014</x:v>
      </x:c>
      <x:c r="I2188" s="16" t="n">
        <x:v>36</x:v>
      </x:c>
      <x:c r="J2188" s="16" t="n">
        <x:v>4</x:v>
      </x:c>
      <x:c r="K2188" s="16" t="n">
        <x:v>9</x:v>
      </x:c>
      <x:c r="L2188" s="16" t="n">
        <x:v>12</x:v>
      </x:c>
      <x:c r="M2188" s="16" t="n">
        <x:v>11</x:v>
      </x:c>
      <x:c r="N2188" s="16" t="n">
        <x:v>2</x:v>
      </x:c>
      <x:c r="O2188" s="16" t="n">
        <x:v>8</x:v>
      </x:c>
      <x:c r="P2188" s="16" t="n">
        <x:v>2</x:v>
      </x:c>
      <x:c r="Q2188" s="16" t="n">
        <x:v>1</x:v>
      </x:c>
      <x:c r="R2188" s="16" t="n">
        <x:v>1</x:v>
      </x:c>
      <x:c r="S2188" s="16" t="n">
        <x:v>3</x:v>
      </x:c>
      <x:c r="T2188" s="16" t="n">
        <x:v>3</x:v>
      </x:c>
      <x:c r="U2188" s="16" t="n">
        <x:v>0</x:v>
      </x:c>
      <x:c r="V2188" s="16" t="n">
        <x:v>0</x:v>
      </x:c>
      <x:c r="W2188" s="16" t="n">
        <x:v>0</x:v>
      </x:c>
      <x:c r="X2188" s="16" t="n">
        <x:v>0</x:v>
      </x:c>
      <x:c r="Y2188" s="16" t="n">
        <x:v>0</x:v>
      </x:c>
      <x:c r="Z2188" s="16" t="n">
        <x:v>0</x:v>
      </x:c>
      <x:c r="AA2188" s="16" t="n">
        <x:v>3</x:v>
      </x:c>
      <x:c r="AB2188" s="16" t="n">
        <x:v>11</x:v>
      </x:c>
      <x:c r="AC2188" s="16" t="n">
        <x:v>0</x:v>
      </x:c>
      <x:c r="AD2188" s="21" t="n">
        <x:f>IF(E2188="",MEDIAN($E$2:$E$2237),E2188)</x:f>
        <x:v>25224</x:v>
      </x:c>
      <x:c r="AE2188" s="17" t="n">
        <x:f>2014-B2188</x:f>
        <x:v>42</x:v>
      </x:c>
      <x:c r="AF2188" s="17" t="n">
        <x:f>F2188+G2188</x:f>
        <x:v>1</x:v>
      </x:c>
      <x:c r="AG2188" s="21" t="n">
        <x:f>SUM(J2188:O2188)</x:f>
        <x:v>46</x:v>
      </x:c>
      <x:c r="AH2188" s="17" t="n">
        <x:f>SUM(Q2188:S2188)</x:f>
        <x:v>5</x:v>
      </x:c>
      <x:c r="AI2188" s="17" t="n">
        <x:f>SUM(U2188:Y2188)</x:f>
        <x:v>0</x:v>
      </x:c>
      <x:c r="AJ2188" s="17" t="str">
        <x:f>IF(AE2188&lt;=34,"≤34",IF(AE2188&lt;=44,"35–44",IF(AE2188&lt;=54,"45–54",IF(AE2188&lt;=64,"55–64","65+"))))</x:f>
        <x:v>35–44</x:v>
      </x:c>
      <x:c r="AK2188" s="17" t="str">
        <x:f>IF(AG2188&gt;=1000,"High Value",IF(AG2188&gt;=300,"Mid Value","Low Value"))</x:f>
        <x:v>Low Value</x:v>
      </x:c>
      <x:c r="AL2188" s="17" t="str">
        <x:f>IF(AND(AI2188&gt;=1,I2188&lt;=50),"Priority 1",IF(AND(AG2188&gt;=1000,I2188&lt;=60),"Priority 2",IF(I2188&lt;=30,"Priority 3","Nurture")))</x:f>
        <x:v>Nurture</x:v>
      </x:c>
    </x:row>
    <x:row r="2189">
      <x:c r="A2189" s="16" t="n">
        <x:v>4418</x:v>
      </x:c>
      <x:c r="B2189" s="16" t="n">
        <x:v>1983</x:v>
      </x:c>
      <x:c r="C2189" s="16" t="str">
        <x:v>Master</x:v>
      </x:c>
      <x:c r="D2189" s="16" t="str">
        <x:v>Single</x:v>
      </x:c>
      <x:c r="E2189" s="16" t="n">
        <x:v>89616</x:v>
      </x:c>
      <x:c r="F2189" s="16" t="n">
        <x:v>0</x:v>
      </x:c>
      <x:c r="G2189" s="16" t="n">
        <x:v>0</x:v>
      </x:c>
      <x:c r="H2189" s="16" t="str">
        <x:v>25-02-2013</x:v>
      </x:c>
      <x:c r="I2189" s="16" t="n">
        <x:v>36</x:v>
      </x:c>
      <x:c r="J2189" s="16" t="n">
        <x:v>671</x:v>
      </x:c>
      <x:c r="K2189" s="16" t="n">
        <x:v>47</x:v>
      </x:c>
      <x:c r="L2189" s="16" t="n">
        <x:v>655</x:v>
      </x:c>
      <x:c r="M2189" s="16" t="n">
        <x:v>145</x:v>
      </x:c>
      <x:c r="N2189" s="16" t="n">
        <x:v>111</x:v>
      </x:c>
      <x:c r="O2189" s="16" t="n">
        <x:v>15</x:v>
      </x:c>
      <x:c r="P2189" s="16" t="n">
        <x:v>1</x:v>
      </x:c>
      <x:c r="Q2189" s="16" t="n">
        <x:v>7</x:v>
      </x:c>
      <x:c r="R2189" s="16" t="n">
        <x:v>5</x:v>
      </x:c>
      <x:c r="S2189" s="16" t="n">
        <x:v>12</x:v>
      </x:c>
      <x:c r="T2189" s="16" t="n">
        <x:v>2</x:v>
      </x:c>
      <x:c r="U2189" s="16" t="n">
        <x:v>0</x:v>
      </x:c>
      <x:c r="V2189" s="16" t="n">
        <x:v>0</x:v>
      </x:c>
      <x:c r="W2189" s="16" t="n">
        <x:v>0</x:v>
      </x:c>
      <x:c r="X2189" s="16" t="n">
        <x:v>0</x:v>
      </x:c>
      <x:c r="Y2189" s="16" t="n">
        <x:v>0</x:v>
      </x:c>
      <x:c r="Z2189" s="16" t="n">
        <x:v>0</x:v>
      </x:c>
      <x:c r="AA2189" s="16" t="n">
        <x:v>3</x:v>
      </x:c>
      <x:c r="AB2189" s="16" t="n">
        <x:v>11</x:v>
      </x:c>
      <x:c r="AC2189" s="16" t="n">
        <x:v>1</x:v>
      </x:c>
      <x:c r="AD2189" s="21" t="n">
        <x:f>IF(E2189="",MEDIAN($E$2:$E$2237),E2189)</x:f>
        <x:v>89616</x:v>
      </x:c>
      <x:c r="AE2189" s="17" t="n">
        <x:f>2014-B2189</x:f>
        <x:v>31</x:v>
      </x:c>
      <x:c r="AF2189" s="17" t="n">
        <x:f>F2189+G2189</x:f>
        <x:v>0</x:v>
      </x:c>
      <x:c r="AG2189" s="21" t="n">
        <x:f>SUM(J2189:O2189)</x:f>
        <x:v>1644</x:v>
      </x:c>
      <x:c r="AH2189" s="17" t="n">
        <x:f>SUM(Q2189:S2189)</x:f>
        <x:v>24</x:v>
      </x:c>
      <x:c r="AI2189" s="17" t="n">
        <x:f>SUM(U2189:Y2189)</x:f>
        <x:v>0</x:v>
      </x:c>
      <x:c r="AJ2189" s="17" t="str">
        <x:f>IF(AE2189&lt;=34,"≤34",IF(AE2189&lt;=44,"35–44",IF(AE2189&lt;=54,"45–54",IF(AE2189&lt;=64,"55–64","65+"))))</x:f>
        <x:v>≤34</x:v>
      </x:c>
      <x:c r="AK2189" s="17" t="str">
        <x:f>IF(AG2189&gt;=1000,"High Value",IF(AG2189&gt;=300,"Mid Value","Low Value"))</x:f>
        <x:v>High Value</x:v>
      </x:c>
      <x:c r="AL2189" s="17" t="str">
        <x:f>IF(AND(AI2189&gt;=1,I2189&lt;=50),"Priority 1",IF(AND(AG2189&gt;=1000,I2189&lt;=60),"Priority 2",IF(I2189&lt;=30,"Priority 3","Nurture")))</x:f>
        <x:v>Priority 2</x:v>
      </x:c>
    </x:row>
    <x:row r="2190">
      <x:c r="A2190" s="16" t="n">
        <x:v>2656</x:v>
      </x:c>
      <x:c r="B2190" s="16" t="n">
        <x:v>1971</x:v>
      </x:c>
      <x:c r="C2190" s="16" t="str">
        <x:v>Graduation</x:v>
      </x:c>
      <x:c r="D2190" s="16" t="str">
        <x:v>Divorced</x:v>
      </x:c>
      <x:c r="E2190" s="16" t="n">
        <x:v>40851</x:v>
      </x:c>
      <x:c r="F2190" s="16" t="n">
        <x:v>1</x:v>
      </x:c>
      <x:c r="G2190" s="16" t="n">
        <x:v>1</x:v>
      </x:c>
      <x:c r="H2190" s="16" t="str">
        <x:v>21-02-2013</x:v>
      </x:c>
      <x:c r="I2190" s="16" t="n">
        <x:v>63</x:v>
      </x:c>
      <x:c r="J2190" s="16" t="n">
        <x:v>23</x:v>
      </x:c>
      <x:c r="K2190" s="16" t="n">
        <x:v>1</x:v>
      </x:c>
      <x:c r="L2190" s="16" t="n">
        <x:v>7</x:v>
      </x:c>
      <x:c r="M2190" s="16" t="n">
        <x:v>0</x:v>
      </x:c>
      <x:c r="N2190" s="16" t="n">
        <x:v>4</x:v>
      </x:c>
      <x:c r="O2190" s="16" t="n">
        <x:v>24</x:v>
      </x:c>
      <x:c r="P2190" s="16" t="n">
        <x:v>1</x:v>
      </x:c>
      <x:c r="Q2190" s="16" t="n">
        <x:v>1</x:v>
      </x:c>
      <x:c r="R2190" s="16" t="n">
        <x:v>1</x:v>
      </x:c>
      <x:c r="S2190" s="16" t="n">
        <x:v>2</x:v>
      </x:c>
      <x:c r="T2190" s="16" t="n">
        <x:v>7</x:v>
      </x:c>
      <x:c r="U2190" s="16" t="n">
        <x:v>0</x:v>
      </x:c>
      <x:c r="V2190" s="16" t="n">
        <x:v>0</x:v>
      </x:c>
      <x:c r="W2190" s="16" t="n">
        <x:v>0</x:v>
      </x:c>
      <x:c r="X2190" s="16" t="n">
        <x:v>0</x:v>
      </x:c>
      <x:c r="Y2190" s="16" t="n">
        <x:v>0</x:v>
      </x:c>
      <x:c r="Z2190" s="16" t="n">
        <x:v>0</x:v>
      </x:c>
      <x:c r="AA2190" s="16" t="n">
        <x:v>3</x:v>
      </x:c>
      <x:c r="AB2190" s="16" t="n">
        <x:v>11</x:v>
      </x:c>
      <x:c r="AC2190" s="16" t="n">
        <x:v>0</x:v>
      </x:c>
      <x:c r="AD2190" s="21" t="n">
        <x:f>IF(E2190="",MEDIAN($E$2:$E$2237),E2190)</x:f>
        <x:v>40851</x:v>
      </x:c>
      <x:c r="AE2190" s="17" t="n">
        <x:f>2014-B2190</x:f>
        <x:v>43</x:v>
      </x:c>
      <x:c r="AF2190" s="17" t="n">
        <x:f>F2190+G2190</x:f>
        <x:v>2</x:v>
      </x:c>
      <x:c r="AG2190" s="21" t="n">
        <x:f>SUM(J2190:O2190)</x:f>
        <x:v>59</x:v>
      </x:c>
      <x:c r="AH2190" s="17" t="n">
        <x:f>SUM(Q2190:S2190)</x:f>
        <x:v>4</x:v>
      </x:c>
      <x:c r="AI2190" s="17" t="n">
        <x:f>SUM(U2190:Y2190)</x:f>
        <x:v>0</x:v>
      </x:c>
      <x:c r="AJ2190" s="17" t="str">
        <x:f>IF(AE2190&lt;=34,"≤34",IF(AE2190&lt;=44,"35–44",IF(AE2190&lt;=54,"45–54",IF(AE2190&lt;=64,"55–64","65+"))))</x:f>
        <x:v>35–44</x:v>
      </x:c>
      <x:c r="AK2190" s="17" t="str">
        <x:f>IF(AG2190&gt;=1000,"High Value",IF(AG2190&gt;=300,"Mid Value","Low Value"))</x:f>
        <x:v>Low Value</x:v>
      </x:c>
      <x:c r="AL2190" s="17" t="str">
        <x:f>IF(AND(AI2190&gt;=1,I2190&lt;=50),"Priority 1",IF(AND(AG2190&gt;=1000,I2190&lt;=60),"Priority 2",IF(I2190&lt;=30,"Priority 3","Nurture")))</x:f>
        <x:v>Nurture</x:v>
      </x:c>
    </x:row>
    <x:row r="2191">
      <x:c r="A2191" s="16" t="n">
        <x:v>7990</x:v>
      </x:c>
      <x:c r="B2191" s="16" t="n">
        <x:v>1947</x:v>
      </x:c>
      <x:c r="C2191" s="16" t="str">
        <x:v>Graduation</x:v>
      </x:c>
      <x:c r="D2191" s="16" t="str">
        <x:v>Married</x:v>
      </x:c>
      <x:c r="E2191" s="16" t="n">
        <x:v>27469</x:v>
      </x:c>
      <x:c r="F2191" s="16" t="n">
        <x:v>0</x:v>
      </x:c>
      <x:c r="G2191" s="16" t="n">
        <x:v>0</x:v>
      </x:c>
      <x:c r="H2191" s="16" t="str">
        <x:v>02-08-2012</x:v>
      </x:c>
      <x:c r="I2191" s="16" t="n">
        <x:v>2</x:v>
      </x:c>
      <x:c r="J2191" s="16" t="n">
        <x:v>9</x:v>
      </x:c>
      <x:c r="K2191" s="16" t="n">
        <x:v>1</x:v>
      </x:c>
      <x:c r="L2191" s="16" t="n">
        <x:v>2</x:v>
      </x:c>
      <x:c r="M2191" s="16" t="n">
        <x:v>3</x:v>
      </x:c>
      <x:c r="N2191" s="16" t="n">
        <x:v>2</x:v>
      </x:c>
      <x:c r="O2191" s="16" t="n">
        <x:v>0</x:v>
      </x:c>
      <x:c r="P2191" s="16" t="n">
        <x:v>1</x:v>
      </x:c>
      <x:c r="Q2191" s="16" t="n">
        <x:v>0</x:v>
      </x:c>
      <x:c r="R2191" s="16" t="n">
        <x:v>0</x:v>
      </x:c>
      <x:c r="S2191" s="16" t="n">
        <x:v>3</x:v>
      </x:c>
      <x:c r="T2191" s="16" t="n">
        <x:v>6</x:v>
      </x:c>
      <x:c r="U2191" s="16" t="n">
        <x:v>0</x:v>
      </x:c>
      <x:c r="V2191" s="16" t="n">
        <x:v>0</x:v>
      </x:c>
      <x:c r="W2191" s="16" t="n">
        <x:v>0</x:v>
      </x:c>
      <x:c r="X2191" s="16" t="n">
        <x:v>0</x:v>
      </x:c>
      <x:c r="Y2191" s="16" t="n">
        <x:v>0</x:v>
      </x:c>
      <x:c r="Z2191" s="16" t="n">
        <x:v>0</x:v>
      </x:c>
      <x:c r="AA2191" s="16" t="n">
        <x:v>3</x:v>
      </x:c>
      <x:c r="AB2191" s="16" t="n">
        <x:v>11</x:v>
      </x:c>
      <x:c r="AC2191" s="16" t="n">
        <x:v>0</x:v>
      </x:c>
      <x:c r="AD2191" s="21" t="n">
        <x:f>IF(E2191="",MEDIAN($E$2:$E$2237),E2191)</x:f>
        <x:v>27469</x:v>
      </x:c>
      <x:c r="AE2191" s="17" t="n">
        <x:f>2014-B2191</x:f>
        <x:v>67</x:v>
      </x:c>
      <x:c r="AF2191" s="17" t="n">
        <x:f>F2191+G2191</x:f>
        <x:v>0</x:v>
      </x:c>
      <x:c r="AG2191" s="21" t="n">
        <x:f>SUM(J2191:O2191)</x:f>
        <x:v>17</x:v>
      </x:c>
      <x:c r="AH2191" s="17" t="n">
        <x:f>SUM(Q2191:S2191)</x:f>
        <x:v>3</x:v>
      </x:c>
      <x:c r="AI2191" s="17" t="n">
        <x:f>SUM(U2191:Y2191)</x:f>
        <x:v>0</x:v>
      </x:c>
      <x:c r="AJ2191" s="17" t="str">
        <x:f>IF(AE2191&lt;=34,"≤34",IF(AE2191&lt;=44,"35–44",IF(AE2191&lt;=54,"45–54",IF(AE2191&lt;=64,"55–64","65+"))))</x:f>
        <x:v>65+</x:v>
      </x:c>
      <x:c r="AK2191" s="17" t="str">
        <x:f>IF(AG2191&gt;=1000,"High Value",IF(AG2191&gt;=300,"Mid Value","Low Value"))</x:f>
        <x:v>Low Value</x:v>
      </x:c>
      <x:c r="AL2191" s="17" t="str">
        <x:f>IF(AND(AI2191&gt;=1,I2191&lt;=50),"Priority 1",IF(AND(AG2191&gt;=1000,I2191&lt;=60),"Priority 2",IF(I2191&lt;=30,"Priority 3","Nurture")))</x:f>
        <x:v>Priority 3</x:v>
      </x:c>
    </x:row>
    <x:row r="2192">
      <x:c r="A2192" s="16" t="n">
        <x:v>8722</x:v>
      </x:c>
      <x:c r="B2192" s="16" t="n">
        <x:v>1957</x:v>
      </x:c>
      <x:c r="C2192" s="16" t="str">
        <x:v>2n Cycle</x:v>
      </x:c>
      <x:c r="D2192" s="16" t="str">
        <x:v>Married</x:v>
      </x:c>
      <x:c r="E2192" s="16" t="n">
        <x:v>82347</x:v>
      </x:c>
      <x:c r="F2192" s="16" t="n">
        <x:v>0</x:v>
      </x:c>
      <x:c r="G2192" s="16" t="n">
        <x:v>0</x:v>
      </x:c>
      <x:c r="H2192" s="16" t="str">
        <x:v>06-11-2012</x:v>
      </x:c>
      <x:c r="I2192" s="16" t="n">
        <x:v>38</x:v>
      </x:c>
      <x:c r="J2192" s="16" t="n">
        <x:v>556</x:v>
      </x:c>
      <x:c r="K2192" s="16" t="n">
        <x:v>54</x:v>
      </x:c>
      <x:c r="L2192" s="16" t="n">
        <x:v>845</x:v>
      </x:c>
      <x:c r="M2192" s="16" t="n">
        <x:v>202</x:v>
      </x:c>
      <x:c r="N2192" s="16" t="n">
        <x:v>133</x:v>
      </x:c>
      <x:c r="O2192" s="16" t="n">
        <x:v>63</x:v>
      </x:c>
      <x:c r="P2192" s="16" t="n">
        <x:v>1</x:v>
      </x:c>
      <x:c r="Q2192" s="16" t="n">
        <x:v>7</x:v>
      </x:c>
      <x:c r="R2192" s="16" t="n">
        <x:v>7</x:v>
      </x:c>
      <x:c r="S2192" s="16" t="n">
        <x:v>10</x:v>
      </x:c>
      <x:c r="T2192" s="16" t="n">
        <x:v>3</x:v>
      </x:c>
      <x:c r="U2192" s="16" t="n">
        <x:v>1</x:v>
      </x:c>
      <x:c r="V2192" s="16" t="n">
        <x:v>0</x:v>
      </x:c>
      <x:c r="W2192" s="16" t="n">
        <x:v>0</x:v>
      </x:c>
      <x:c r="X2192" s="16" t="n">
        <x:v>1</x:v>
      </x:c>
      <x:c r="Y2192" s="16" t="n">
        <x:v>0</x:v>
      </x:c>
      <x:c r="Z2192" s="16" t="n">
        <x:v>0</x:v>
      </x:c>
      <x:c r="AA2192" s="16" t="n">
        <x:v>3</x:v>
      </x:c>
      <x:c r="AB2192" s="16" t="n">
        <x:v>11</x:v>
      </x:c>
      <x:c r="AC2192" s="16" t="n">
        <x:v>1</x:v>
      </x:c>
      <x:c r="AD2192" s="21" t="n">
        <x:f>IF(E2192="",MEDIAN($E$2:$E$2237),E2192)</x:f>
        <x:v>82347</x:v>
      </x:c>
      <x:c r="AE2192" s="17" t="n">
        <x:f>2014-B2192</x:f>
        <x:v>57</x:v>
      </x:c>
      <x:c r="AF2192" s="17" t="n">
        <x:f>F2192+G2192</x:f>
        <x:v>0</x:v>
      </x:c>
      <x:c r="AG2192" s="21" t="n">
        <x:f>SUM(J2192:O2192)</x:f>
        <x:v>1853</x:v>
      </x:c>
      <x:c r="AH2192" s="17" t="n">
        <x:f>SUM(Q2192:S2192)</x:f>
        <x:v>24</x:v>
      </x:c>
      <x:c r="AI2192" s="17" t="n">
        <x:f>SUM(U2192:Y2192)</x:f>
        <x:v>2</x:v>
      </x:c>
      <x:c r="AJ2192" s="17" t="str">
        <x:f>IF(AE2192&lt;=34,"≤34",IF(AE2192&lt;=44,"35–44",IF(AE2192&lt;=54,"45–54",IF(AE2192&lt;=64,"55–64","65+"))))</x:f>
        <x:v>55–64</x:v>
      </x:c>
      <x:c r="AK2192" s="17" t="str">
        <x:f>IF(AG2192&gt;=1000,"High Value",IF(AG2192&gt;=300,"Mid Value","Low Value"))</x:f>
        <x:v>High Value</x:v>
      </x:c>
      <x:c r="AL2192" s="17" t="str">
        <x:f>IF(AND(AI2192&gt;=1,I2192&lt;=50),"Priority 1",IF(AND(AG2192&gt;=1000,I2192&lt;=60),"Priority 2",IF(I2192&lt;=30,"Priority 3","Nurture")))</x:f>
        <x:v>Priority 1</x:v>
      </x:c>
    </x:row>
    <x:row r="2193">
      <x:c r="A2193" s="16" t="n">
        <x:v>7118</x:v>
      </x:c>
      <x:c r="B2193" s="16" t="n">
        <x:v>1957</x:v>
      </x:c>
      <x:c r="C2193" s="16" t="str">
        <x:v>Graduation</x:v>
      </x:c>
      <x:c r="D2193" s="16" t="str">
        <x:v>Married</x:v>
      </x:c>
      <x:c r="E2193" s="16" t="n">
        <x:v>73803</x:v>
      </x:c>
      <x:c r="F2193" s="16" t="n">
        <x:v>0</x:v>
      </x:c>
      <x:c r="G2193" s="16" t="n">
        <x:v>1</x:v>
      </x:c>
      <x:c r="H2193" s="16" t="str">
        <x:v>01-08-2012</x:v>
      </x:c>
      <x:c r="I2193" s="16" t="n">
        <x:v>61</x:v>
      </x:c>
      <x:c r="J2193" s="16" t="n">
        <x:v>833</x:v>
      </x:c>
      <x:c r="K2193" s="16" t="n">
        <x:v>80</x:v>
      </x:c>
      <x:c r="L2193" s="16" t="n">
        <x:v>363</x:v>
      </x:c>
      <x:c r="M2193" s="16" t="n">
        <x:v>52</x:v>
      </x:c>
      <x:c r="N2193" s="16" t="n">
        <x:v>26</x:v>
      </x:c>
      <x:c r="O2193" s="16" t="n">
        <x:v>174</x:v>
      </x:c>
      <x:c r="P2193" s="16" t="n">
        <x:v>2</x:v>
      </x:c>
      <x:c r="Q2193" s="16" t="n">
        <x:v>9</x:v>
      </x:c>
      <x:c r="R2193" s="16" t="n">
        <x:v>5</x:v>
      </x:c>
      <x:c r="S2193" s="16" t="n">
        <x:v>6</x:v>
      </x:c>
      <x:c r="T2193" s="16" t="n">
        <x:v>6</x:v>
      </x:c>
      <x:c r="U2193" s="16" t="n">
        <x:v>1</x:v>
      </x:c>
      <x:c r="V2193" s="16" t="n">
        <x:v>0</x:v>
      </x:c>
      <x:c r="W2193" s="16" t="n">
        <x:v>0</x:v>
      </x:c>
      <x:c r="X2193" s="16" t="n">
        <x:v>0</x:v>
      </x:c>
      <x:c r="Y2193" s="16" t="n">
        <x:v>0</x:v>
      </x:c>
      <x:c r="Z2193" s="16" t="n">
        <x:v>0</x:v>
      </x:c>
      <x:c r="AA2193" s="16" t="n">
        <x:v>3</x:v>
      </x:c>
      <x:c r="AB2193" s="16" t="n">
        <x:v>11</x:v>
      </x:c>
      <x:c r="AC2193" s="16" t="n">
        <x:v>1</x:v>
      </x:c>
      <x:c r="AD2193" s="21" t="n">
        <x:f>IF(E2193="",MEDIAN($E$2:$E$2237),E2193)</x:f>
        <x:v>73803</x:v>
      </x:c>
      <x:c r="AE2193" s="17" t="n">
        <x:f>2014-B2193</x:f>
        <x:v>57</x:v>
      </x:c>
      <x:c r="AF2193" s="17" t="n">
        <x:f>F2193+G2193</x:f>
        <x:v>1</x:v>
      </x:c>
      <x:c r="AG2193" s="21" t="n">
        <x:f>SUM(J2193:O2193)</x:f>
        <x:v>1528</x:v>
      </x:c>
      <x:c r="AH2193" s="17" t="n">
        <x:f>SUM(Q2193:S2193)</x:f>
        <x:v>20</x:v>
      </x:c>
      <x:c r="AI2193" s="17" t="n">
        <x:f>SUM(U2193:Y2193)</x:f>
        <x:v>1</x:v>
      </x:c>
      <x:c r="AJ2193" s="17" t="str">
        <x:f>IF(AE2193&lt;=34,"≤34",IF(AE2193&lt;=44,"35–44",IF(AE2193&lt;=54,"45–54",IF(AE2193&lt;=64,"55–64","65+"))))</x:f>
        <x:v>55–64</x:v>
      </x:c>
      <x:c r="AK2193" s="17" t="str">
        <x:f>IF(AG2193&gt;=1000,"High Value",IF(AG2193&gt;=300,"Mid Value","Low Value"))</x:f>
        <x:v>High Value</x:v>
      </x:c>
      <x:c r="AL2193" s="17" t="str">
        <x:f>IF(AND(AI2193&gt;=1,I2193&lt;=50),"Priority 1",IF(AND(AG2193&gt;=1000,I2193&lt;=60),"Priority 2",IF(I2193&lt;=30,"Priority 3","Nurture")))</x:f>
        <x:v>Nurture</x:v>
      </x:c>
    </x:row>
    <x:row r="2194">
      <x:c r="A2194" s="16" t="n">
        <x:v>2980</x:v>
      </x:c>
      <x:c r="B2194" s="16" t="n">
        <x:v>1952</x:v>
      </x:c>
      <x:c r="C2194" s="16" t="str">
        <x:v>Master</x:v>
      </x:c>
      <x:c r="D2194" s="16" t="str">
        <x:v>Single</x:v>
      </x:c>
      <x:c r="E2194" s="16" t="n">
        <x:v>8820</x:v>
      </x:c>
      <x:c r="F2194" s="16" t="n">
        <x:v>1</x:v>
      </x:c>
      <x:c r="G2194" s="16" t="n">
        <x:v>1</x:v>
      </x:c>
      <x:c r="H2194" s="16" t="str">
        <x:v>22-03-2013</x:v>
      </x:c>
      <x:c r="I2194" s="16" t="n">
        <x:v>52</x:v>
      </x:c>
      <x:c r="J2194" s="16" t="n">
        <x:v>12</x:v>
      </x:c>
      <x:c r="K2194" s="16" t="n">
        <x:v>0</x:v>
      </x:c>
      <x:c r="L2194" s="16" t="n">
        <x:v>13</x:v>
      </x:c>
      <x:c r="M2194" s="16" t="n">
        <x:v>4</x:v>
      </x:c>
      <x:c r="N2194" s="16" t="n">
        <x:v>2</x:v>
      </x:c>
      <x:c r="O2194" s="16" t="n">
        <x:v>4</x:v>
      </x:c>
      <x:c r="P2194" s="16" t="n">
        <x:v>4</x:v>
      </x:c>
      <x:c r="Q2194" s="16" t="n">
        <x:v>3</x:v>
      </x:c>
      <x:c r="R2194" s="16" t="n">
        <x:v>0</x:v>
      </x:c>
      <x:c r="S2194" s="16" t="n">
        <x:v>3</x:v>
      </x:c>
      <x:c r="T2194" s="16" t="n">
        <x:v>8</x:v>
      </x:c>
      <x:c r="U2194" s="16" t="n">
        <x:v>0</x:v>
      </x:c>
      <x:c r="V2194" s="16" t="n">
        <x:v>0</x:v>
      </x:c>
      <x:c r="W2194" s="16" t="n">
        <x:v>0</x:v>
      </x:c>
      <x:c r="X2194" s="16" t="n">
        <x:v>0</x:v>
      </x:c>
      <x:c r="Y2194" s="16" t="n">
        <x:v>0</x:v>
      </x:c>
      <x:c r="Z2194" s="16" t="n">
        <x:v>0</x:v>
      </x:c>
      <x:c r="AA2194" s="16" t="n">
        <x:v>3</x:v>
      </x:c>
      <x:c r="AB2194" s="16" t="n">
        <x:v>11</x:v>
      </x:c>
      <x:c r="AC2194" s="16" t="n">
        <x:v>0</x:v>
      </x:c>
      <x:c r="AD2194" s="21" t="n">
        <x:f>IF(E2194="",MEDIAN($E$2:$E$2237),E2194)</x:f>
        <x:v>8820</x:v>
      </x:c>
      <x:c r="AE2194" s="17" t="n">
        <x:f>2014-B2194</x:f>
        <x:v>62</x:v>
      </x:c>
      <x:c r="AF2194" s="17" t="n">
        <x:f>F2194+G2194</x:f>
        <x:v>2</x:v>
      </x:c>
      <x:c r="AG2194" s="21" t="n">
        <x:f>SUM(J2194:O2194)</x:f>
        <x:v>35</x:v>
      </x:c>
      <x:c r="AH2194" s="17" t="n">
        <x:f>SUM(Q2194:S2194)</x:f>
        <x:v>6</x:v>
      </x:c>
      <x:c r="AI2194" s="17" t="n">
        <x:f>SUM(U2194:Y2194)</x:f>
        <x:v>0</x:v>
      </x:c>
      <x:c r="AJ2194" s="17" t="str">
        <x:f>IF(AE2194&lt;=34,"≤34",IF(AE2194&lt;=44,"35–44",IF(AE2194&lt;=54,"45–54",IF(AE2194&lt;=64,"55–64","65+"))))</x:f>
        <x:v>55–64</x:v>
      </x:c>
      <x:c r="AK2194" s="17" t="str">
        <x:f>IF(AG2194&gt;=1000,"High Value",IF(AG2194&gt;=300,"Mid Value","Low Value"))</x:f>
        <x:v>Low Value</x:v>
      </x:c>
      <x:c r="AL2194" s="17" t="str">
        <x:f>IF(AND(AI2194&gt;=1,I2194&lt;=50),"Priority 1",IF(AND(AG2194&gt;=1000,I2194&lt;=60),"Priority 2",IF(I2194&lt;=30,"Priority 3","Nurture")))</x:f>
        <x:v>Nurture</x:v>
      </x:c>
    </x:row>
    <x:row r="2195">
      <x:c r="A2195" s="16" t="n">
        <x:v>1839</x:v>
      </x:c>
      <x:c r="B2195" s="16" t="n">
        <x:v>1974</x:v>
      </x:c>
      <x:c r="C2195" s="16" t="str">
        <x:v>Graduation</x:v>
      </x:c>
      <x:c r="D2195" s="16" t="str">
        <x:v>Single</x:v>
      </x:c>
      <x:c r="E2195" s="16" t="n">
        <x:v>43322</x:v>
      </x:c>
      <x:c r="F2195" s="16" t="n">
        <x:v>0</x:v>
      </x:c>
      <x:c r="G2195" s="16" t="n">
        <x:v>0</x:v>
      </x:c>
      <x:c r="H2195" s="16" t="str">
        <x:v>21-04-2014</x:v>
      </x:c>
      <x:c r="I2195" s="16" t="n">
        <x:v>25</x:v>
      </x:c>
      <x:c r="J2195" s="16" t="n">
        <x:v>56</x:v>
      </x:c>
      <x:c r="K2195" s="16" t="n">
        <x:v>7</x:v>
      </x:c>
      <x:c r="L2195" s="16" t="n">
        <x:v>48</x:v>
      </x:c>
      <x:c r="M2195" s="16" t="n">
        <x:v>10</x:v>
      </x:c>
      <x:c r="N2195" s="16" t="n">
        <x:v>2</x:v>
      </x:c>
      <x:c r="O2195" s="16" t="n">
        <x:v>18</x:v>
      </x:c>
      <x:c r="P2195" s="16" t="n">
        <x:v>1</x:v>
      </x:c>
      <x:c r="Q2195" s="16" t="n">
        <x:v>3</x:v>
      </x:c>
      <x:c r="R2195" s="16" t="n">
        <x:v>0</x:v>
      </x:c>
      <x:c r="S2195" s="16" t="n">
        <x:v>4</x:v>
      </x:c>
      <x:c r="T2195" s="16" t="n">
        <x:v>7</x:v>
      </x:c>
      <x:c r="U2195" s="16" t="n">
        <x:v>0</x:v>
      </x:c>
      <x:c r="V2195" s="16" t="n">
        <x:v>0</x:v>
      </x:c>
      <x:c r="W2195" s="16" t="n">
        <x:v>0</x:v>
      </x:c>
      <x:c r="X2195" s="16" t="n">
        <x:v>0</x:v>
      </x:c>
      <x:c r="Y2195" s="16" t="n">
        <x:v>0</x:v>
      </x:c>
      <x:c r="Z2195" s="16" t="n">
        <x:v>0</x:v>
      </x:c>
      <x:c r="AA2195" s="16" t="n">
        <x:v>3</x:v>
      </x:c>
      <x:c r="AB2195" s="16" t="n">
        <x:v>11</x:v>
      </x:c>
      <x:c r="AC2195" s="16" t="n">
        <x:v>0</x:v>
      </x:c>
      <x:c r="AD2195" s="21" t="n">
        <x:f>IF(E2195="",MEDIAN($E$2:$E$2237),E2195)</x:f>
        <x:v>43322</x:v>
      </x:c>
      <x:c r="AE2195" s="17" t="n">
        <x:f>2014-B2195</x:f>
        <x:v>40</x:v>
      </x:c>
      <x:c r="AF2195" s="17" t="n">
        <x:f>F2195+G2195</x:f>
        <x:v>0</x:v>
      </x:c>
      <x:c r="AG2195" s="21" t="n">
        <x:f>SUM(J2195:O2195)</x:f>
        <x:v>141</x:v>
      </x:c>
      <x:c r="AH2195" s="17" t="n">
        <x:f>SUM(Q2195:S2195)</x:f>
        <x:v>7</x:v>
      </x:c>
      <x:c r="AI2195" s="17" t="n">
        <x:f>SUM(U2195:Y2195)</x:f>
        <x:v>0</x:v>
      </x:c>
      <x:c r="AJ2195" s="17" t="str">
        <x:f>IF(AE2195&lt;=34,"≤34",IF(AE2195&lt;=44,"35–44",IF(AE2195&lt;=54,"45–54",IF(AE2195&lt;=64,"55–64","65+"))))</x:f>
        <x:v>35–44</x:v>
      </x:c>
      <x:c r="AK2195" s="17" t="str">
        <x:f>IF(AG2195&gt;=1000,"High Value",IF(AG2195&gt;=300,"Mid Value","Low Value"))</x:f>
        <x:v>Low Value</x:v>
      </x:c>
      <x:c r="AL2195" s="17" t="str">
        <x:f>IF(AND(AI2195&gt;=1,I2195&lt;=50),"Priority 1",IF(AND(AG2195&gt;=1000,I2195&lt;=60),"Priority 2",IF(I2195&lt;=30,"Priority 3","Nurture")))</x:f>
        <x:v>Priority 3</x:v>
      </x:c>
    </x:row>
    <x:row r="2196">
      <x:c r="A2196" s="16" t="n">
        <x:v>10722</x:v>
      </x:c>
      <x:c r="B2196" s="16" t="n">
        <x:v>1973</x:v>
      </x:c>
      <x:c r="C2196" s="16" t="str">
        <x:v>Graduation</x:v>
      </x:c>
      <x:c r="D2196" s="16" t="str">
        <x:v>Together</x:v>
      </x:c>
      <x:c r="E2196" s="16" t="n">
        <x:v>55593</x:v>
      </x:c>
      <x:c r="F2196" s="16" t="n">
        <x:v>0</x:v>
      </x:c>
      <x:c r="G2196" s="16" t="n">
        <x:v>1</x:v>
      </x:c>
      <x:c r="H2196" s="16" t="str">
        <x:v>21-08-2013</x:v>
      </x:c>
      <x:c r="I2196" s="16" t="n">
        <x:v>63</x:v>
      </x:c>
      <x:c r="J2196" s="16" t="n">
        <x:v>293</x:v>
      </x:c>
      <x:c r="K2196" s="16" t="n">
        <x:v>8</x:v>
      </x:c>
      <x:c r="L2196" s="16" t="n">
        <x:v>124</x:v>
      </x:c>
      <x:c r="M2196" s="16" t="n">
        <x:v>11</x:v>
      </x:c>
      <x:c r="N2196" s="16" t="n">
        <x:v>4</x:v>
      </x:c>
      <x:c r="O2196" s="16" t="n">
        <x:v>106</x:v>
      </x:c>
      <x:c r="P2196" s="16" t="n">
        <x:v>2</x:v>
      </x:c>
      <x:c r="Q2196" s="16" t="n">
        <x:v>6</x:v>
      </x:c>
      <x:c r="R2196" s="16" t="n">
        <x:v>6</x:v>
      </x:c>
      <x:c r="S2196" s="16" t="n">
        <x:v>3</x:v>
      </x:c>
      <x:c r="T2196" s="16" t="n">
        <x:v>6</x:v>
      </x:c>
      <x:c r="U2196" s="16" t="n">
        <x:v>1</x:v>
      </x:c>
      <x:c r="V2196" s="16" t="n">
        <x:v>0</x:v>
      </x:c>
      <x:c r="W2196" s="16" t="n">
        <x:v>0</x:v>
      </x:c>
      <x:c r="X2196" s="16" t="n">
        <x:v>0</x:v>
      </x:c>
      <x:c r="Y2196" s="16" t="n">
        <x:v>0</x:v>
      </x:c>
      <x:c r="Z2196" s="16" t="n">
        <x:v>0</x:v>
      </x:c>
      <x:c r="AA2196" s="16" t="n">
        <x:v>3</x:v>
      </x:c>
      <x:c r="AB2196" s="16" t="n">
        <x:v>11</x:v>
      </x:c>
      <x:c r="AC2196" s="16" t="n">
        <x:v>0</x:v>
      </x:c>
      <x:c r="AD2196" s="21" t="n">
        <x:f>IF(E2196="",MEDIAN($E$2:$E$2237),E2196)</x:f>
        <x:v>55593</x:v>
      </x:c>
      <x:c r="AE2196" s="17" t="n">
        <x:f>2014-B2196</x:f>
        <x:v>41</x:v>
      </x:c>
      <x:c r="AF2196" s="17" t="n">
        <x:f>F2196+G2196</x:f>
        <x:v>1</x:v>
      </x:c>
      <x:c r="AG2196" s="21" t="n">
        <x:f>SUM(J2196:O2196)</x:f>
        <x:v>546</x:v>
      </x:c>
      <x:c r="AH2196" s="17" t="n">
        <x:f>SUM(Q2196:S2196)</x:f>
        <x:v>15</x:v>
      </x:c>
      <x:c r="AI2196" s="17" t="n">
        <x:f>SUM(U2196:Y2196)</x:f>
        <x:v>1</x:v>
      </x:c>
      <x:c r="AJ2196" s="17" t="str">
        <x:f>IF(AE2196&lt;=34,"≤34",IF(AE2196&lt;=44,"35–44",IF(AE2196&lt;=54,"45–54",IF(AE2196&lt;=64,"55–64","65+"))))</x:f>
        <x:v>35–44</x:v>
      </x:c>
      <x:c r="AK2196" s="17" t="str">
        <x:f>IF(AG2196&gt;=1000,"High Value",IF(AG2196&gt;=300,"Mid Value","Low Value"))</x:f>
        <x:v>Mid Value</x:v>
      </x:c>
      <x:c r="AL2196" s="17" t="str">
        <x:f>IF(AND(AI2196&gt;=1,I2196&lt;=50),"Priority 1",IF(AND(AG2196&gt;=1000,I2196&lt;=60),"Priority 2",IF(I2196&lt;=30,"Priority 3","Nurture")))</x:f>
        <x:v>Nurture</x:v>
      </x:c>
    </x:row>
    <x:row r="2197">
      <x:c r="A2197" s="16" t="n">
        <x:v>2632</x:v>
      </x:c>
      <x:c r="B2197" s="16" t="n">
        <x:v>1954</x:v>
      </x:c>
      <x:c r="C2197" s="16" t="str">
        <x:v>Graduation</x:v>
      </x:c>
      <x:c r="D2197" s="16" t="str">
        <x:v>Married</x:v>
      </x:c>
      <x:c r="E2197" s="16" t="n">
        <x:v>50501</x:v>
      </x:c>
      <x:c r="F2197" s="16" t="n">
        <x:v>1</x:v>
      </x:c>
      <x:c r="G2197" s="16" t="n">
        <x:v>1</x:v>
      </x:c>
      <x:c r="H2197" s="16" t="str">
        <x:v>18-06-2013</x:v>
      </x:c>
      <x:c r="I2197" s="16" t="n">
        <x:v>10</x:v>
      </x:c>
      <x:c r="J2197" s="16" t="n">
        <x:v>297</x:v>
      </x:c>
      <x:c r="K2197" s="16" t="n">
        <x:v>0</x:v>
      </x:c>
      <x:c r="L2197" s="16" t="n">
        <x:v>38</x:v>
      </x:c>
      <x:c r="M2197" s="16" t="n">
        <x:v>13</x:v>
      </x:c>
      <x:c r="N2197" s="16" t="n">
        <x:v>0</x:v>
      </x:c>
      <x:c r="O2197" s="16" t="n">
        <x:v>152</x:v>
      </x:c>
      <x:c r="P2197" s="16" t="n">
        <x:v>7</x:v>
      </x:c>
      <x:c r="Q2197" s="16" t="n">
        <x:v>5</x:v>
      </x:c>
      <x:c r="R2197" s="16" t="n">
        <x:v>4</x:v>
      </x:c>
      <x:c r="S2197" s="16" t="n">
        <x:v>4</x:v>
      </x:c>
      <x:c r="T2197" s="16" t="n">
        <x:v>6</x:v>
      </x:c>
      <x:c r="U2197" s="16" t="n">
        <x:v>1</x:v>
      </x:c>
      <x:c r="V2197" s="16" t="n">
        <x:v>0</x:v>
      </x:c>
      <x:c r="W2197" s="16" t="n">
        <x:v>0</x:v>
      </x:c>
      <x:c r="X2197" s="16" t="n">
        <x:v>0</x:v>
      </x:c>
      <x:c r="Y2197" s="16" t="n">
        <x:v>0</x:v>
      </x:c>
      <x:c r="Z2197" s="16" t="n">
        <x:v>0</x:v>
      </x:c>
      <x:c r="AA2197" s="16" t="n">
        <x:v>3</x:v>
      </x:c>
      <x:c r="AB2197" s="16" t="n">
        <x:v>11</x:v>
      </x:c>
      <x:c r="AC2197" s="16" t="n">
        <x:v>1</x:v>
      </x:c>
      <x:c r="AD2197" s="21" t="n">
        <x:f>IF(E2197="",MEDIAN($E$2:$E$2237),E2197)</x:f>
        <x:v>50501</x:v>
      </x:c>
      <x:c r="AE2197" s="17" t="n">
        <x:f>2014-B2197</x:f>
        <x:v>60</x:v>
      </x:c>
      <x:c r="AF2197" s="17" t="n">
        <x:f>F2197+G2197</x:f>
        <x:v>2</x:v>
      </x:c>
      <x:c r="AG2197" s="21" t="n">
        <x:f>SUM(J2197:O2197)</x:f>
        <x:v>500</x:v>
      </x:c>
      <x:c r="AH2197" s="17" t="n">
        <x:f>SUM(Q2197:S2197)</x:f>
        <x:v>13</x:v>
      </x:c>
      <x:c r="AI2197" s="17" t="n">
        <x:f>SUM(U2197:Y2197)</x:f>
        <x:v>1</x:v>
      </x:c>
      <x:c r="AJ2197" s="17" t="str">
        <x:f>IF(AE2197&lt;=34,"≤34",IF(AE2197&lt;=44,"35–44",IF(AE2197&lt;=54,"45–54",IF(AE2197&lt;=64,"55–64","65+"))))</x:f>
        <x:v>55–64</x:v>
      </x:c>
      <x:c r="AK2197" s="17" t="str">
        <x:f>IF(AG2197&gt;=1000,"High Value",IF(AG2197&gt;=300,"Mid Value","Low Value"))</x:f>
        <x:v>Mid Value</x:v>
      </x:c>
      <x:c r="AL2197" s="17" t="str">
        <x:f>IF(AND(AI2197&gt;=1,I2197&lt;=50),"Priority 1",IF(AND(AG2197&gt;=1000,I2197&lt;=60),"Priority 2",IF(I2197&lt;=30,"Priority 3","Nurture")))</x:f>
        <x:v>Priority 1</x:v>
      </x:c>
    </x:row>
    <x:row r="2198">
      <x:c r="A2198" s="16" t="n">
        <x:v>9014</x:v>
      </x:c>
      <x:c r="B2198" s="16" t="n">
        <x:v>1975</x:v>
      </x:c>
      <x:c r="C2198" s="16" t="str">
        <x:v>Graduation</x:v>
      </x:c>
      <x:c r="D2198" s="16" t="str">
        <x:v>Married</x:v>
      </x:c>
      <x:c r="E2198" s="16" t="n">
        <x:v>37085</x:v>
      </x:c>
      <x:c r="F2198" s="16" t="n">
        <x:v>1</x:v>
      </x:c>
      <x:c r="G2198" s="16" t="n">
        <x:v>1</x:v>
      </x:c>
      <x:c r="H2198" s="16" t="str">
        <x:v>26-06-2014</x:v>
      </x:c>
      <x:c r="I2198" s="16" t="n">
        <x:v>65</x:v>
      </x:c>
      <x:c r="J2198" s="16" t="n">
        <x:v>39</x:v>
      </x:c>
      <x:c r="K2198" s="16" t="n">
        <x:v>1</x:v>
      </x:c>
      <x:c r="L2198" s="16" t="n">
        <x:v>16</x:v>
      </x:c>
      <x:c r="M2198" s="16" t="n">
        <x:v>2</x:v>
      </x:c>
      <x:c r="N2198" s="16" t="n">
        <x:v>0</x:v>
      </x:c>
      <x:c r="O2198" s="16" t="n">
        <x:v>3</x:v>
      </x:c>
      <x:c r="P2198" s="16" t="n">
        <x:v>4</x:v>
      </x:c>
      <x:c r="Q2198" s="16" t="n">
        <x:v>3</x:v>
      </x:c>
      <x:c r="R2198" s="16" t="n">
        <x:v>0</x:v>
      </x:c>
      <x:c r="S2198" s="16" t="n">
        <x:v>3</x:v>
      </x:c>
      <x:c r="T2198" s="16" t="n">
        <x:v>8</x:v>
      </x:c>
      <x:c r="U2198" s="16" t="n">
        <x:v>0</x:v>
      </x:c>
      <x:c r="V2198" s="16" t="n">
        <x:v>0</x:v>
      </x:c>
      <x:c r="W2198" s="16" t="n">
        <x:v>0</x:v>
      </x:c>
      <x:c r="X2198" s="16" t="n">
        <x:v>0</x:v>
      </x:c>
      <x:c r="Y2198" s="16" t="n">
        <x:v>0</x:v>
      </x:c>
      <x:c r="Z2198" s="16" t="n">
        <x:v>0</x:v>
      </x:c>
      <x:c r="AA2198" s="16" t="n">
        <x:v>3</x:v>
      </x:c>
      <x:c r="AB2198" s="16" t="n">
        <x:v>11</x:v>
      </x:c>
      <x:c r="AC2198" s="16" t="n">
        <x:v>0</x:v>
      </x:c>
      <x:c r="AD2198" s="21" t="n">
        <x:f>IF(E2198="",MEDIAN($E$2:$E$2237),E2198)</x:f>
        <x:v>37085</x:v>
      </x:c>
      <x:c r="AE2198" s="17" t="n">
        <x:f>2014-B2198</x:f>
        <x:v>39</x:v>
      </x:c>
      <x:c r="AF2198" s="17" t="n">
        <x:f>F2198+G2198</x:f>
        <x:v>2</x:v>
      </x:c>
      <x:c r="AG2198" s="21" t="n">
        <x:f>SUM(J2198:O2198)</x:f>
        <x:v>61</x:v>
      </x:c>
      <x:c r="AH2198" s="17" t="n">
        <x:f>SUM(Q2198:S2198)</x:f>
        <x:v>6</x:v>
      </x:c>
      <x:c r="AI2198" s="17" t="n">
        <x:f>SUM(U2198:Y2198)</x:f>
        <x:v>0</x:v>
      </x:c>
      <x:c r="AJ2198" s="17" t="str">
        <x:f>IF(AE2198&lt;=34,"≤34",IF(AE2198&lt;=44,"35–44",IF(AE2198&lt;=54,"45–54",IF(AE2198&lt;=64,"55–64","65+"))))</x:f>
        <x:v>35–44</x:v>
      </x:c>
      <x:c r="AK2198" s="17" t="str">
        <x:f>IF(AG2198&gt;=1000,"High Value",IF(AG2198&gt;=300,"Mid Value","Low Value"))</x:f>
        <x:v>Low Value</x:v>
      </x:c>
      <x:c r="AL2198" s="17" t="str">
        <x:f>IF(AND(AI2198&gt;=1,I2198&lt;=50),"Priority 1",IF(AND(AG2198&gt;=1000,I2198&lt;=60),"Priority 2",IF(I2198&lt;=30,"Priority 3","Nurture")))</x:f>
        <x:v>Nurture</x:v>
      </x:c>
    </x:row>
    <x:row r="2199">
      <x:c r="A2199" s="16" t="n">
        <x:v>7620</x:v>
      </x:c>
      <x:c r="B2199" s="16" t="n">
        <x:v>1990</x:v>
      </x:c>
      <x:c r="C2199" s="16" t="str">
        <x:v>Basic</x:v>
      </x:c>
      <x:c r="D2199" s="16" t="str">
        <x:v>Single</x:v>
      </x:c>
      <x:c r="E2199" s="16" t="n">
        <x:v>16185</x:v>
      </x:c>
      <x:c r="F2199" s="16" t="n">
        <x:v>1</x:v>
      </x:c>
      <x:c r="G2199" s="16" t="n">
        <x:v>0</x:v>
      </x:c>
      <x:c r="H2199" s="16" t="str">
        <x:v>05-08-2013</x:v>
      </x:c>
      <x:c r="I2199" s="16" t="n">
        <x:v>71</x:v>
      </x:c>
      <x:c r="J2199" s="16" t="n">
        <x:v>5</x:v>
      </x:c>
      <x:c r="K2199" s="16" t="n">
        <x:v>11</x:v>
      </x:c>
      <x:c r="L2199" s="16" t="n">
        <x:v>16</x:v>
      </x:c>
      <x:c r="M2199" s="16" t="n">
        <x:v>21</x:v>
      </x:c>
      <x:c r="N2199" s="16" t="n">
        <x:v>8</x:v>
      </x:c>
      <x:c r="O2199" s="16" t="n">
        <x:v>45</x:v>
      </x:c>
      <x:c r="P2199" s="16" t="n">
        <x:v>2</x:v>
      </x:c>
      <x:c r="Q2199" s="16" t="n">
        <x:v>2</x:v>
      </x:c>
      <x:c r="R2199" s="16" t="n">
        <x:v>2</x:v>
      </x:c>
      <x:c r="S2199" s="16" t="n">
        <x:v>2</x:v>
      </x:c>
      <x:c r="T2199" s="16" t="n">
        <x:v>8</x:v>
      </x:c>
      <x:c r="U2199" s="16" t="n">
        <x:v>0</x:v>
      </x:c>
      <x:c r="V2199" s="16" t="n">
        <x:v>0</x:v>
      </x:c>
      <x:c r="W2199" s="16" t="n">
        <x:v>0</x:v>
      </x:c>
      <x:c r="X2199" s="16" t="n">
        <x:v>0</x:v>
      </x:c>
      <x:c r="Y2199" s="16" t="n">
        <x:v>0</x:v>
      </x:c>
      <x:c r="Z2199" s="16" t="n">
        <x:v>0</x:v>
      </x:c>
      <x:c r="AA2199" s="16" t="n">
        <x:v>3</x:v>
      </x:c>
      <x:c r="AB2199" s="16" t="n">
        <x:v>11</x:v>
      </x:c>
      <x:c r="AC2199" s="16" t="n">
        <x:v>0</x:v>
      </x:c>
      <x:c r="AD2199" s="21" t="n">
        <x:f>IF(E2199="",MEDIAN($E$2:$E$2237),E2199)</x:f>
        <x:v>16185</x:v>
      </x:c>
      <x:c r="AE2199" s="17" t="n">
        <x:f>2014-B2199</x:f>
        <x:v>24</x:v>
      </x:c>
      <x:c r="AF2199" s="17" t="n">
        <x:f>F2199+G2199</x:f>
        <x:v>1</x:v>
      </x:c>
      <x:c r="AG2199" s="21" t="n">
        <x:f>SUM(J2199:O2199)</x:f>
        <x:v>106</x:v>
      </x:c>
      <x:c r="AH2199" s="17" t="n">
        <x:f>SUM(Q2199:S2199)</x:f>
        <x:v>6</x:v>
      </x:c>
      <x:c r="AI2199" s="17" t="n">
        <x:f>SUM(U2199:Y2199)</x:f>
        <x:v>0</x:v>
      </x:c>
      <x:c r="AJ2199" s="17" t="str">
        <x:f>IF(AE2199&lt;=34,"≤34",IF(AE2199&lt;=44,"35–44",IF(AE2199&lt;=54,"45–54",IF(AE2199&lt;=64,"55–64","65+"))))</x:f>
        <x:v>≤34</x:v>
      </x:c>
      <x:c r="AK2199" s="17" t="str">
        <x:f>IF(AG2199&gt;=1000,"High Value",IF(AG2199&gt;=300,"Mid Value","Low Value"))</x:f>
        <x:v>Low Value</x:v>
      </x:c>
      <x:c r="AL2199" s="17" t="str">
        <x:f>IF(AND(AI2199&gt;=1,I2199&lt;=50),"Priority 1",IF(AND(AG2199&gt;=1000,I2199&lt;=60),"Priority 2",IF(I2199&lt;=30,"Priority 3","Nurture")))</x:f>
        <x:v>Nurture</x:v>
      </x:c>
    </x:row>
    <x:row r="2200">
      <x:c r="A2200" s="16" t="n">
        <x:v>10968</x:v>
      </x:c>
      <x:c r="B2200" s="16" t="n">
        <x:v>1969</x:v>
      </x:c>
      <x:c r="C2200" s="16" t="str">
        <x:v>Graduation</x:v>
      </x:c>
      <x:c r="D2200" s="16" t="str">
        <x:v>Single</x:v>
      </x:c>
      <x:c r="E2200" s="16" t="n">
        <x:v>57731</x:v>
      </x:c>
      <x:c r="F2200" s="16" t="n">
        <x:v>0</x:v>
      </x:c>
      <x:c r="G2200" s="16" t="n">
        <x:v>1</x:v>
      </x:c>
      <x:c r="H2200" s="16" t="str">
        <x:v>23-11-2012</x:v>
      </x:c>
      <x:c r="I2200" s="16" t="n">
        <x:v>0</x:v>
      </x:c>
      <x:c r="J2200" s="16" t="n">
        <x:v>266</x:v>
      </x:c>
      <x:c r="K2200" s="16" t="n">
        <x:v>21</x:v>
      </x:c>
      <x:c r="L2200" s="16" t="n">
        <x:v>300</x:v>
      </x:c>
      <x:c r="M2200" s="16" t="n">
        <x:v>65</x:v>
      </x:c>
      <x:c r="N2200" s="16" t="n">
        <x:v>8</x:v>
      </x:c>
      <x:c r="O2200" s="16" t="n">
        <x:v>44</x:v>
      </x:c>
      <x:c r="P2200" s="16" t="n">
        <x:v>4</x:v>
      </x:c>
      <x:c r="Q2200" s="16" t="n">
        <x:v>8</x:v>
      </x:c>
      <x:c r="R2200" s="16" t="n">
        <x:v>8</x:v>
      </x:c>
      <x:c r="S2200" s="16" t="n">
        <x:v>6</x:v>
      </x:c>
      <x:c r="T2200" s="16" t="n">
        <x:v>6</x:v>
      </x:c>
      <x:c r="U2200" s="16" t="n">
        <x:v>0</x:v>
      </x:c>
      <x:c r="V2200" s="16" t="n">
        <x:v>0</x:v>
      </x:c>
      <x:c r="W2200" s="16" t="n">
        <x:v>0</x:v>
      </x:c>
      <x:c r="X2200" s="16" t="n">
        <x:v>0</x:v>
      </x:c>
      <x:c r="Y2200" s="16" t="n">
        <x:v>0</x:v>
      </x:c>
      <x:c r="Z2200" s="16" t="n">
        <x:v>0</x:v>
      </x:c>
      <x:c r="AA2200" s="16" t="n">
        <x:v>3</x:v>
      </x:c>
      <x:c r="AB2200" s="16" t="n">
        <x:v>11</x:v>
      </x:c>
      <x:c r="AC2200" s="16" t="n">
        <x:v>0</x:v>
      </x:c>
      <x:c r="AD2200" s="21" t="n">
        <x:f>IF(E2200="",MEDIAN($E$2:$E$2237),E2200)</x:f>
        <x:v>57731</x:v>
      </x:c>
      <x:c r="AE2200" s="17" t="n">
        <x:f>2014-B2200</x:f>
        <x:v>45</x:v>
      </x:c>
      <x:c r="AF2200" s="17" t="n">
        <x:f>F2200+G2200</x:f>
        <x:v>1</x:v>
      </x:c>
      <x:c r="AG2200" s="21" t="n">
        <x:f>SUM(J2200:O2200)</x:f>
        <x:v>704</x:v>
      </x:c>
      <x:c r="AH2200" s="17" t="n">
        <x:f>SUM(Q2200:S2200)</x:f>
        <x:v>22</x:v>
      </x:c>
      <x:c r="AI2200" s="17" t="n">
        <x:f>SUM(U2200:Y2200)</x:f>
        <x:v>0</x:v>
      </x:c>
      <x:c r="AJ2200" s="17" t="str">
        <x:f>IF(AE2200&lt;=34,"≤34",IF(AE2200&lt;=44,"35–44",IF(AE2200&lt;=54,"45–54",IF(AE2200&lt;=64,"55–64","65+"))))</x:f>
        <x:v>45–54</x:v>
      </x:c>
      <x:c r="AK2200" s="17" t="str">
        <x:f>IF(AG2200&gt;=1000,"High Value",IF(AG2200&gt;=300,"Mid Value","Low Value"))</x:f>
        <x:v>Mid Value</x:v>
      </x:c>
      <x:c r="AL2200" s="17" t="str">
        <x:f>IF(AND(AI2200&gt;=1,I2200&lt;=50),"Priority 1",IF(AND(AG2200&gt;=1000,I2200&lt;=60),"Priority 2",IF(I2200&lt;=30,"Priority 3","Nurture")))</x:f>
        <x:v>Priority 3</x:v>
      </x:c>
    </x:row>
    <x:row r="2201">
      <x:c r="A2201" s="16" t="n">
        <x:v>11133</x:v>
      </x:c>
      <x:c r="B2201" s="16" t="n">
        <x:v>1973</x:v>
      </x:c>
      <x:c r="C2201" s="16" t="str">
        <x:v>PhD</x:v>
      </x:c>
      <x:c r="D2201" s="16" t="str">
        <x:v>YOLO</x:v>
      </x:c>
      <x:c r="E2201" s="16" t="n">
        <x:v>48432</x:v>
      </x:c>
      <x:c r="F2201" s="16" t="n">
        <x:v>0</x:v>
      </x:c>
      <x:c r="G2201" s="16" t="n">
        <x:v>1</x:v>
      </x:c>
      <x:c r="H2201" s="16" t="str">
        <x:v>18-10-2012</x:v>
      </x:c>
      <x:c r="I2201" s="16" t="n">
        <x:v>3</x:v>
      </x:c>
      <x:c r="J2201" s="16" t="n">
        <x:v>322</x:v>
      </x:c>
      <x:c r="K2201" s="16" t="n">
        <x:v>3</x:v>
      </x:c>
      <x:c r="L2201" s="16" t="n">
        <x:v>50</x:v>
      </x:c>
      <x:c r="M2201" s="16" t="n">
        <x:v>4</x:v>
      </x:c>
      <x:c r="N2201" s="16" t="n">
        <x:v>3</x:v>
      </x:c>
      <x:c r="O2201" s="16" t="n">
        <x:v>42</x:v>
      </x:c>
      <x:c r="P2201" s="16" t="n">
        <x:v>5</x:v>
      </x:c>
      <x:c r="Q2201" s="16" t="n">
        <x:v>7</x:v>
      </x:c>
      <x:c r="R2201" s="16" t="n">
        <x:v>1</x:v>
      </x:c>
      <x:c r="S2201" s="16" t="n">
        <x:v>6</x:v>
      </x:c>
      <x:c r="T2201" s="16" t="n">
        <x:v>8</x:v>
      </x:c>
      <x:c r="U2201" s="16" t="n">
        <x:v>0</x:v>
      </x:c>
      <x:c r="V2201" s="16" t="n">
        <x:v>0</x:v>
      </x:c>
      <x:c r="W2201" s="16" t="n">
        <x:v>0</x:v>
      </x:c>
      <x:c r="X2201" s="16" t="n">
        <x:v>0</x:v>
      </x:c>
      <x:c r="Y2201" s="16" t="n">
        <x:v>0</x:v>
      </x:c>
      <x:c r="Z2201" s="16" t="n">
        <x:v>0</x:v>
      </x:c>
      <x:c r="AA2201" s="16" t="n">
        <x:v>3</x:v>
      </x:c>
      <x:c r="AB2201" s="16" t="n">
        <x:v>11</x:v>
      </x:c>
      <x:c r="AC2201" s="16" t="n">
        <x:v>1</x:v>
      </x:c>
      <x:c r="AD2201" s="21" t="n">
        <x:f>IF(E2201="",MEDIAN($E$2:$E$2237),E2201)</x:f>
        <x:v>48432</x:v>
      </x:c>
      <x:c r="AE2201" s="17" t="n">
        <x:f>2014-B2201</x:f>
        <x:v>41</x:v>
      </x:c>
      <x:c r="AF2201" s="17" t="n">
        <x:f>F2201+G2201</x:f>
        <x:v>1</x:v>
      </x:c>
      <x:c r="AG2201" s="21" t="n">
        <x:f>SUM(J2201:O2201)</x:f>
        <x:v>424</x:v>
      </x:c>
      <x:c r="AH2201" s="17" t="n">
        <x:f>SUM(Q2201:S2201)</x:f>
        <x:v>14</x:v>
      </x:c>
      <x:c r="AI2201" s="17" t="n">
        <x:f>SUM(U2201:Y2201)</x:f>
        <x:v>0</x:v>
      </x:c>
      <x:c r="AJ2201" s="17" t="str">
        <x:f>IF(AE2201&lt;=34,"≤34",IF(AE2201&lt;=44,"35–44",IF(AE2201&lt;=54,"45–54",IF(AE2201&lt;=64,"55–64","65+"))))</x:f>
        <x:v>35–44</x:v>
      </x:c>
      <x:c r="AK2201" s="17" t="str">
        <x:f>IF(AG2201&gt;=1000,"High Value",IF(AG2201&gt;=300,"Mid Value","Low Value"))</x:f>
        <x:v>Mid Value</x:v>
      </x:c>
      <x:c r="AL2201" s="17" t="str">
        <x:f>IF(AND(AI2201&gt;=1,I2201&lt;=50),"Priority 1",IF(AND(AG2201&gt;=1000,I2201&lt;=60),"Priority 2",IF(I2201&lt;=30,"Priority 3","Nurture")))</x:f>
        <x:v>Priority 3</x:v>
      </x:c>
    </x:row>
    <x:row r="2202">
      <x:c r="A2202" s="16" t="n">
        <x:v>2736</x:v>
      </x:c>
      <x:c r="B2202" s="16" t="n">
        <x:v>1978</x:v>
      </x:c>
      <x:c r="C2202" s="16" t="str">
        <x:v>Graduation</x:v>
      </x:c>
      <x:c r="D2202" s="16" t="str">
        <x:v>Married</x:v>
      </x:c>
      <x:c r="E2202" s="16" t="n">
        <x:v>73807</x:v>
      </x:c>
      <x:c r="F2202" s="16" t="n">
        <x:v>0</x:v>
      </x:c>
      <x:c r="G2202" s="16" t="n">
        <x:v>1</x:v>
      </x:c>
      <x:c r="H2202" s="16" t="str">
        <x:v>02-01-2013</x:v>
      </x:c>
      <x:c r="I2202" s="16" t="n">
        <x:v>88</x:v>
      </x:c>
      <x:c r="J2202" s="16" t="n">
        <x:v>366</x:v>
      </x:c>
      <x:c r="K2202" s="16" t="n">
        <x:v>124</x:v>
      </x:c>
      <x:c r="L2202" s="16" t="n">
        <x:v>156</x:v>
      </x:c>
      <x:c r="M2202" s="16" t="n">
        <x:v>71</x:v>
      </x:c>
      <x:c r="N2202" s="16" t="n">
        <x:v>78</x:v>
      </x:c>
      <x:c r="O2202" s="16" t="n">
        <x:v>54</x:v>
      </x:c>
      <x:c r="P2202" s="16" t="n">
        <x:v>2</x:v>
      </x:c>
      <x:c r="Q2202" s="16" t="n">
        <x:v>5</x:v>
      </x:c>
      <x:c r="R2202" s="16" t="n">
        <x:v>5</x:v>
      </x:c>
      <x:c r="S2202" s="16" t="n">
        <x:v>11</x:v>
      </x:c>
      <x:c r="T2202" s="16" t="n">
        <x:v>2</x:v>
      </x:c>
      <x:c r="U2202" s="16" t="n">
        <x:v>0</x:v>
      </x:c>
      <x:c r="V2202" s="16" t="n">
        <x:v>0</x:v>
      </x:c>
      <x:c r="W2202" s="16" t="n">
        <x:v>0</x:v>
      </x:c>
      <x:c r="X2202" s="16" t="n">
        <x:v>0</x:v>
      </x:c>
      <x:c r="Y2202" s="16" t="n">
        <x:v>0</x:v>
      </x:c>
      <x:c r="Z2202" s="16" t="n">
        <x:v>0</x:v>
      </x:c>
      <x:c r="AA2202" s="16" t="n">
        <x:v>3</x:v>
      </x:c>
      <x:c r="AB2202" s="16" t="n">
        <x:v>11</x:v>
      </x:c>
      <x:c r="AC2202" s="16" t="n">
        <x:v>0</x:v>
      </x:c>
      <x:c r="AD2202" s="21" t="n">
        <x:f>IF(E2202="",MEDIAN($E$2:$E$2237),E2202)</x:f>
        <x:v>73807</x:v>
      </x:c>
      <x:c r="AE2202" s="17" t="n">
        <x:f>2014-B2202</x:f>
        <x:v>36</x:v>
      </x:c>
      <x:c r="AF2202" s="17" t="n">
        <x:f>F2202+G2202</x:f>
        <x:v>1</x:v>
      </x:c>
      <x:c r="AG2202" s="21" t="n">
        <x:f>SUM(J2202:O2202)</x:f>
        <x:v>849</x:v>
      </x:c>
      <x:c r="AH2202" s="17" t="n">
        <x:f>SUM(Q2202:S2202)</x:f>
        <x:v>21</x:v>
      </x:c>
      <x:c r="AI2202" s="17" t="n">
        <x:f>SUM(U2202:Y2202)</x:f>
        <x:v>0</x:v>
      </x:c>
      <x:c r="AJ2202" s="17" t="str">
        <x:f>IF(AE2202&lt;=34,"≤34",IF(AE2202&lt;=44,"35–44",IF(AE2202&lt;=54,"45–54",IF(AE2202&lt;=64,"55–64","65+"))))</x:f>
        <x:v>35–44</x:v>
      </x:c>
      <x:c r="AK2202" s="17" t="str">
        <x:f>IF(AG2202&gt;=1000,"High Value",IF(AG2202&gt;=300,"Mid Value","Low Value"))</x:f>
        <x:v>Mid Value</x:v>
      </x:c>
      <x:c r="AL2202" s="17" t="str">
        <x:f>IF(AND(AI2202&gt;=1,I2202&lt;=50),"Priority 1",IF(AND(AG2202&gt;=1000,I2202&lt;=60),"Priority 2",IF(I2202&lt;=30,"Priority 3","Nurture")))</x:f>
        <x:v>Nurture</x:v>
      </x:c>
    </x:row>
    <x:row r="2203">
      <x:c r="A2203" s="16" t="n">
        <x:v>1876</x:v>
      </x:c>
      <x:c r="B2203" s="16" t="n">
        <x:v>1990</x:v>
      </x:c>
      <x:c r="C2203" s="16" t="str">
        <x:v>Graduation</x:v>
      </x:c>
      <x:c r="D2203" s="16" t="str">
        <x:v>Married</x:v>
      </x:c>
      <x:c r="E2203" s="16" t="n">
        <x:v>18929</x:v>
      </x:c>
      <x:c r="F2203" s="16" t="n">
        <x:v>0</x:v>
      </x:c>
      <x:c r="G2203" s="16" t="n">
        <x:v>0</x:v>
      </x:c>
      <x:c r="H2203" s="16" t="str">
        <x:v>16-02-2013</x:v>
      </x:c>
      <x:c r="I2203" s="16" t="n">
        <x:v>15</x:v>
      </x:c>
      <x:c r="J2203" s="16" t="n">
        <x:v>32</x:v>
      </x:c>
      <x:c r="K2203" s="16" t="n">
        <x:v>0</x:v>
      </x:c>
      <x:c r="L2203" s="16" t="n">
        <x:v>8</x:v>
      </x:c>
      <x:c r="M2203" s="16" t="n">
        <x:v>23</x:v>
      </x:c>
      <x:c r="N2203" s="16" t="n">
        <x:v>4</x:v>
      </x:c>
      <x:c r="O2203" s="16" t="n">
        <x:v>18</x:v>
      </x:c>
      <x:c r="P2203" s="16" t="n">
        <x:v>1</x:v>
      </x:c>
      <x:c r="Q2203" s="16" t="n">
        <x:v>1</x:v>
      </x:c>
      <x:c r="R2203" s="16" t="n">
        <x:v>0</x:v>
      </x:c>
      <x:c r="S2203" s="16" t="n">
        <x:v>4</x:v>
      </x:c>
      <x:c r="T2203" s="16" t="n">
        <x:v>6</x:v>
      </x:c>
      <x:c r="U2203" s="16" t="n">
        <x:v>0</x:v>
      </x:c>
      <x:c r="V2203" s="16" t="n">
        <x:v>0</x:v>
      </x:c>
      <x:c r="W2203" s="16" t="n">
        <x:v>0</x:v>
      </x:c>
      <x:c r="X2203" s="16" t="n">
        <x:v>0</x:v>
      </x:c>
      <x:c r="Y2203" s="16" t="n">
        <x:v>0</x:v>
      </x:c>
      <x:c r="Z2203" s="16" t="n">
        <x:v>0</x:v>
      </x:c>
      <x:c r="AA2203" s="16" t="n">
        <x:v>3</x:v>
      </x:c>
      <x:c r="AB2203" s="16" t="n">
        <x:v>11</x:v>
      </x:c>
      <x:c r="AC2203" s="16" t="n">
        <x:v>0</x:v>
      </x:c>
      <x:c r="AD2203" s="21" t="n">
        <x:f>IF(E2203="",MEDIAN($E$2:$E$2237),E2203)</x:f>
        <x:v>18929</x:v>
      </x:c>
      <x:c r="AE2203" s="17" t="n">
        <x:f>2014-B2203</x:f>
        <x:v>24</x:v>
      </x:c>
      <x:c r="AF2203" s="17" t="n">
        <x:f>F2203+G2203</x:f>
        <x:v>0</x:v>
      </x:c>
      <x:c r="AG2203" s="21" t="n">
        <x:f>SUM(J2203:O2203)</x:f>
        <x:v>85</x:v>
      </x:c>
      <x:c r="AH2203" s="17" t="n">
        <x:f>SUM(Q2203:S2203)</x:f>
        <x:v>5</x:v>
      </x:c>
      <x:c r="AI2203" s="17" t="n">
        <x:f>SUM(U2203:Y2203)</x:f>
        <x:v>0</x:v>
      </x:c>
      <x:c r="AJ2203" s="17" t="str">
        <x:f>IF(AE2203&lt;=34,"≤34",IF(AE2203&lt;=44,"35–44",IF(AE2203&lt;=54,"45–54",IF(AE2203&lt;=64,"55–64","65+"))))</x:f>
        <x:v>≤34</x:v>
      </x:c>
      <x:c r="AK2203" s="17" t="str">
        <x:f>IF(AG2203&gt;=1000,"High Value",IF(AG2203&gt;=300,"Mid Value","Low Value"))</x:f>
        <x:v>Low Value</x:v>
      </x:c>
      <x:c r="AL2203" s="17" t="str">
        <x:f>IF(AND(AI2203&gt;=1,I2203&lt;=50),"Priority 1",IF(AND(AG2203&gt;=1000,I2203&lt;=60),"Priority 2",IF(I2203&lt;=30,"Priority 3","Nurture")))</x:f>
        <x:v>Priority 3</x:v>
      </x:c>
    </x:row>
    <x:row r="2204">
      <x:c r="A2204" s="16" t="n">
        <x:v>5959</x:v>
      </x:c>
      <x:c r="B2204" s="16" t="n">
        <x:v>1968</x:v>
      </x:c>
      <x:c r="C2204" s="16" t="str">
        <x:v>Graduation</x:v>
      </x:c>
      <x:c r="D2204" s="16" t="str">
        <x:v>Single</x:v>
      </x:c>
      <x:c r="E2204" s="16" t="n">
        <x:v>35893</x:v>
      </x:c>
      <x:c r="F2204" s="16" t="n">
        <x:v>1</x:v>
      </x:c>
      <x:c r="G2204" s="16" t="n">
        <x:v>1</x:v>
      </x:c>
      <x:c r="H2204" s="16" t="str">
        <x:v>15-10-2012</x:v>
      </x:c>
      <x:c r="I2204" s="16" t="n">
        <x:v>80</x:v>
      </x:c>
      <x:c r="J2204" s="16" t="n">
        <x:v>158</x:v>
      </x:c>
      <x:c r="K2204" s="16" t="n">
        <x:v>0</x:v>
      </x:c>
      <x:c r="L2204" s="16" t="n">
        <x:v>23</x:v>
      </x:c>
      <x:c r="M2204" s="16" t="n">
        <x:v>0</x:v>
      </x:c>
      <x:c r="N2204" s="16" t="n">
        <x:v>0</x:v>
      </x:c>
      <x:c r="O2204" s="16" t="n">
        <x:v>18</x:v>
      </x:c>
      <x:c r="P2204" s="16" t="n">
        <x:v>6</x:v>
      </x:c>
      <x:c r="Q2204" s="16" t="n">
        <x:v>3</x:v>
      </x:c>
      <x:c r="R2204" s="16" t="n">
        <x:v>1</x:v>
      </x:c>
      <x:c r="S2204" s="16" t="n">
        <x:v>5</x:v>
      </x:c>
      <x:c r="T2204" s="16" t="n">
        <x:v>8</x:v>
      </x:c>
      <x:c r="U2204" s="16" t="n">
        <x:v>0</x:v>
      </x:c>
      <x:c r="V2204" s="16" t="n">
        <x:v>0</x:v>
      </x:c>
      <x:c r="W2204" s="16" t="n">
        <x:v>0</x:v>
      </x:c>
      <x:c r="X2204" s="16" t="n">
        <x:v>0</x:v>
      </x:c>
      <x:c r="Y2204" s="16" t="n">
        <x:v>0</x:v>
      </x:c>
      <x:c r="Z2204" s="16" t="n">
        <x:v>0</x:v>
      </x:c>
      <x:c r="AA2204" s="16" t="n">
        <x:v>3</x:v>
      </x:c>
      <x:c r="AB2204" s="16" t="n">
        <x:v>11</x:v>
      </x:c>
      <x:c r="AC2204" s="16" t="n">
        <x:v>0</x:v>
      </x:c>
      <x:c r="AD2204" s="21" t="n">
        <x:f>IF(E2204="",MEDIAN($E$2:$E$2237),E2204)</x:f>
        <x:v>35893</x:v>
      </x:c>
      <x:c r="AE2204" s="17" t="n">
        <x:f>2014-B2204</x:f>
        <x:v>46</x:v>
      </x:c>
      <x:c r="AF2204" s="17" t="n">
        <x:f>F2204+G2204</x:f>
        <x:v>2</x:v>
      </x:c>
      <x:c r="AG2204" s="21" t="n">
        <x:f>SUM(J2204:O2204)</x:f>
        <x:v>199</x:v>
      </x:c>
      <x:c r="AH2204" s="17" t="n">
        <x:f>SUM(Q2204:S2204)</x:f>
        <x:v>9</x:v>
      </x:c>
      <x:c r="AI2204" s="17" t="n">
        <x:f>SUM(U2204:Y2204)</x:f>
        <x:v>0</x:v>
      </x:c>
      <x:c r="AJ2204" s="17" t="str">
        <x:f>IF(AE2204&lt;=34,"≤34",IF(AE2204&lt;=44,"35–44",IF(AE2204&lt;=54,"45–54",IF(AE2204&lt;=64,"55–64","65+"))))</x:f>
        <x:v>45–54</x:v>
      </x:c>
      <x:c r="AK2204" s="17" t="str">
        <x:f>IF(AG2204&gt;=1000,"High Value",IF(AG2204&gt;=300,"Mid Value","Low Value"))</x:f>
        <x:v>Low Value</x:v>
      </x:c>
      <x:c r="AL2204" s="17" t="str">
        <x:f>IF(AND(AI2204&gt;=1,I2204&lt;=50),"Priority 1",IF(AND(AG2204&gt;=1000,I2204&lt;=60),"Priority 2",IF(I2204&lt;=30,"Priority 3","Nurture")))</x:f>
        <x:v>Nurture</x:v>
      </x:c>
    </x:row>
    <x:row r="2205">
      <x:c r="A2205" s="16" t="n">
        <x:v>1092</x:v>
      </x:c>
      <x:c r="B2205" s="16" t="n">
        <x:v>1980</x:v>
      </x:c>
      <x:c r="C2205" s="16" t="str">
        <x:v>Graduation</x:v>
      </x:c>
      <x:c r="D2205" s="16" t="str">
        <x:v>Married</x:v>
      </x:c>
      <x:c r="E2205" s="16" t="n">
        <x:v>61014</x:v>
      </x:c>
      <x:c r="F2205" s="16" t="n">
        <x:v>0</x:v>
      </x:c>
      <x:c r="G2205" s="16" t="n">
        <x:v>1</x:v>
      </x:c>
      <x:c r="H2205" s="16" t="str">
        <x:v>11-08-2012</x:v>
      </x:c>
      <x:c r="I2205" s="16" t="n">
        <x:v>17</x:v>
      </x:c>
      <x:c r="J2205" s="16" t="n">
        <x:v>269</x:v>
      </x:c>
      <x:c r="K2205" s="16" t="n">
        <x:v>129</x:v>
      </x:c>
      <x:c r="L2205" s="16" t="n">
        <x:v>495</x:v>
      </x:c>
      <x:c r="M2205" s="16" t="n">
        <x:v>182</x:v>
      </x:c>
      <x:c r="N2205" s="16" t="n">
        <x:v>43</x:v>
      </x:c>
      <x:c r="O2205" s="16" t="n">
        <x:v>29</x:v>
      </x:c>
      <x:c r="P2205" s="16" t="n">
        <x:v>4</x:v>
      </x:c>
      <x:c r="Q2205" s="16" t="n">
        <x:v>9</x:v>
      </x:c>
      <x:c r="R2205" s="16" t="n">
        <x:v>3</x:v>
      </x:c>
      <x:c r="S2205" s="16" t="n">
        <x:v>4</x:v>
      </x:c>
      <x:c r="T2205" s="16" t="n">
        <x:v>7</x:v>
      </x:c>
      <x:c r="U2205" s="16" t="n">
        <x:v>0</x:v>
      </x:c>
      <x:c r="V2205" s="16" t="n">
        <x:v>0</x:v>
      </x:c>
      <x:c r="W2205" s="16" t="n">
        <x:v>0</x:v>
      </x:c>
      <x:c r="X2205" s="16" t="n">
        <x:v>0</x:v>
      </x:c>
      <x:c r="Y2205" s="16" t="n">
        <x:v>0</x:v>
      </x:c>
      <x:c r="Z2205" s="16" t="n">
        <x:v>0</x:v>
      </x:c>
      <x:c r="AA2205" s="16" t="n">
        <x:v>3</x:v>
      </x:c>
      <x:c r="AB2205" s="16" t="n">
        <x:v>11</x:v>
      </x:c>
      <x:c r="AC2205" s="16" t="n">
        <x:v>0</x:v>
      </x:c>
      <x:c r="AD2205" s="21" t="n">
        <x:f>IF(E2205="",MEDIAN($E$2:$E$2237),E2205)</x:f>
        <x:v>61014</x:v>
      </x:c>
      <x:c r="AE2205" s="17" t="n">
        <x:f>2014-B2205</x:f>
        <x:v>34</x:v>
      </x:c>
      <x:c r="AF2205" s="17" t="n">
        <x:f>F2205+G2205</x:f>
        <x:v>1</x:v>
      </x:c>
      <x:c r="AG2205" s="21" t="n">
        <x:f>SUM(J2205:O2205)</x:f>
        <x:v>1147</x:v>
      </x:c>
      <x:c r="AH2205" s="17" t="n">
        <x:f>SUM(Q2205:S2205)</x:f>
        <x:v>16</x:v>
      </x:c>
      <x:c r="AI2205" s="17" t="n">
        <x:f>SUM(U2205:Y2205)</x:f>
        <x:v>0</x:v>
      </x:c>
      <x:c r="AJ2205" s="17" t="str">
        <x:f>IF(AE2205&lt;=34,"≤34",IF(AE2205&lt;=44,"35–44",IF(AE2205&lt;=54,"45–54",IF(AE2205&lt;=64,"55–64","65+"))))</x:f>
        <x:v>≤34</x:v>
      </x:c>
      <x:c r="AK2205" s="17" t="str">
        <x:f>IF(AG2205&gt;=1000,"High Value",IF(AG2205&gt;=300,"Mid Value","Low Value"))</x:f>
        <x:v>High Value</x:v>
      </x:c>
      <x:c r="AL2205" s="17" t="str">
        <x:f>IF(AND(AI2205&gt;=1,I2205&lt;=50),"Priority 1",IF(AND(AG2205&gt;=1000,I2205&lt;=60),"Priority 2",IF(I2205&lt;=30,"Priority 3","Nurture")))</x:f>
        <x:v>Priority 2</x:v>
      </x:c>
    </x:row>
    <x:row r="2206">
      <x:c r="A2206" s="16" t="n">
        <x:v>4333</x:v>
      </x:c>
      <x:c r="B2206" s="16" t="n">
        <x:v>1954</x:v>
      </x:c>
      <x:c r="C2206" s="16" t="str">
        <x:v>Graduation</x:v>
      </x:c>
      <x:c r="D2206" s="16" t="str">
        <x:v>Together</x:v>
      </x:c>
      <x:c r="E2206" s="16" t="n">
        <x:v>32144</x:v>
      </x:c>
      <x:c r="F2206" s="16" t="n">
        <x:v>1</x:v>
      </x:c>
      <x:c r="G2206" s="16" t="n">
        <x:v>1</x:v>
      </x:c>
      <x:c r="H2206" s="16" t="str">
        <x:v>23-03-2014</x:v>
      </x:c>
      <x:c r="I2206" s="16" t="n">
        <x:v>76</x:v>
      </x:c>
      <x:c r="J2206" s="16" t="n">
        <x:v>41</x:v>
      </x:c>
      <x:c r="K2206" s="16" t="n">
        <x:v>0</x:v>
      </x:c>
      <x:c r="L2206" s="16" t="n">
        <x:v>10</x:v>
      </x:c>
      <x:c r="M2206" s="16" t="n">
        <x:v>0</x:v>
      </x:c>
      <x:c r="N2206" s="16" t="n">
        <x:v>0</x:v>
      </x:c>
      <x:c r="O2206" s="16" t="n">
        <x:v>3</x:v>
      </x:c>
      <x:c r="P2206" s="16" t="n">
        <x:v>4</x:v>
      </x:c>
      <x:c r="Q2206" s="16" t="n">
        <x:v>2</x:v>
      </x:c>
      <x:c r="R2206" s="16" t="n">
        <x:v>1</x:v>
      </x:c>
      <x:c r="S2206" s="16" t="n">
        <x:v>3</x:v>
      </x:c>
      <x:c r="T2206" s="16" t="n">
        <x:v>7</x:v>
      </x:c>
      <x:c r="U2206" s="16" t="n">
        <x:v>0</x:v>
      </x:c>
      <x:c r="V2206" s="16" t="n">
        <x:v>1</x:v>
      </x:c>
      <x:c r="W2206" s="16" t="n">
        <x:v>0</x:v>
      </x:c>
      <x:c r="X2206" s="16" t="n">
        <x:v>0</x:v>
      </x:c>
      <x:c r="Y2206" s="16" t="n">
        <x:v>0</x:v>
      </x:c>
      <x:c r="Z2206" s="16" t="n">
        <x:v>0</x:v>
      </x:c>
      <x:c r="AA2206" s="16" t="n">
        <x:v>3</x:v>
      </x:c>
      <x:c r="AB2206" s="16" t="n">
        <x:v>11</x:v>
      </x:c>
      <x:c r="AC2206" s="16" t="n">
        <x:v>0</x:v>
      </x:c>
      <x:c r="AD2206" s="21" t="n">
        <x:f>IF(E2206="",MEDIAN($E$2:$E$2237),E2206)</x:f>
        <x:v>32144</x:v>
      </x:c>
      <x:c r="AE2206" s="17" t="n">
        <x:f>2014-B2206</x:f>
        <x:v>60</x:v>
      </x:c>
      <x:c r="AF2206" s="17" t="n">
        <x:f>F2206+G2206</x:f>
        <x:v>2</x:v>
      </x:c>
      <x:c r="AG2206" s="21" t="n">
        <x:f>SUM(J2206:O2206)</x:f>
        <x:v>54</x:v>
      </x:c>
      <x:c r="AH2206" s="17" t="n">
        <x:f>SUM(Q2206:S2206)</x:f>
        <x:v>6</x:v>
      </x:c>
      <x:c r="AI2206" s="17" t="n">
        <x:f>SUM(U2206:Y2206)</x:f>
        <x:v>1</x:v>
      </x:c>
      <x:c r="AJ2206" s="17" t="str">
        <x:f>IF(AE2206&lt;=34,"≤34",IF(AE2206&lt;=44,"35–44",IF(AE2206&lt;=54,"45–54",IF(AE2206&lt;=64,"55–64","65+"))))</x:f>
        <x:v>55–64</x:v>
      </x:c>
      <x:c r="AK2206" s="17" t="str">
        <x:f>IF(AG2206&gt;=1000,"High Value",IF(AG2206&gt;=300,"Mid Value","Low Value"))</x:f>
        <x:v>Low Value</x:v>
      </x:c>
      <x:c r="AL2206" s="17" t="str">
        <x:f>IF(AND(AI2206&gt;=1,I2206&lt;=50),"Priority 1",IF(AND(AG2206&gt;=1000,I2206&lt;=60),"Priority 2",IF(I2206&lt;=30,"Priority 3","Nurture")))</x:f>
        <x:v>Nurture</x:v>
      </x:c>
    </x:row>
    <x:row r="2207">
      <x:c r="A2207" s="16" t="n">
        <x:v>3850</x:v>
      </x:c>
      <x:c r="B2207" s="16" t="n">
        <x:v>1963</x:v>
      </x:c>
      <x:c r="C2207" s="16" t="str">
        <x:v>Basic</x:v>
      </x:c>
      <x:c r="D2207" s="16" t="str">
        <x:v>Together</x:v>
      </x:c>
      <x:c r="E2207" s="16" t="n">
        <x:v>14918</x:v>
      </x:c>
      <x:c r="F2207" s="16" t="n">
        <x:v>0</x:v>
      </x:c>
      <x:c r="G2207" s="16" t="n">
        <x:v>1</x:v>
      </x:c>
      <x:c r="H2207" s="16" t="str">
        <x:v>07-12-2012</x:v>
      </x:c>
      <x:c r="I2207" s="16" t="n">
        <x:v>52</x:v>
      </x:c>
      <x:c r="J2207" s="16" t="n">
        <x:v>3</x:v>
      </x:c>
      <x:c r="K2207" s="16" t="n">
        <x:v>3</x:v>
      </x:c>
      <x:c r="L2207" s="16" t="n">
        <x:v>3</x:v>
      </x:c>
      <x:c r="M2207" s="16" t="n">
        <x:v>15</x:v>
      </x:c>
      <x:c r="N2207" s="16" t="n">
        <x:v>4</x:v>
      </x:c>
      <x:c r="O2207" s="16" t="n">
        <x:v>15</x:v>
      </x:c>
      <x:c r="P2207" s="16" t="n">
        <x:v>1</x:v>
      </x:c>
      <x:c r="Q2207" s="16" t="n">
        <x:v>1</x:v>
      </x:c>
      <x:c r="R2207" s="16" t="n">
        <x:v>0</x:v>
      </x:c>
      <x:c r="S2207" s="16" t="n">
        <x:v>3</x:v>
      </x:c>
      <x:c r="T2207" s="16" t="n">
        <x:v>6</x:v>
      </x:c>
      <x:c r="U2207" s="16" t="n">
        <x:v>0</x:v>
      </x:c>
      <x:c r="V2207" s="16" t="n">
        <x:v>0</x:v>
      </x:c>
      <x:c r="W2207" s="16" t="n">
        <x:v>0</x:v>
      </x:c>
      <x:c r="X2207" s="16" t="n">
        <x:v>0</x:v>
      </x:c>
      <x:c r="Y2207" s="16" t="n">
        <x:v>0</x:v>
      </x:c>
      <x:c r="Z2207" s="16" t="n">
        <x:v>0</x:v>
      </x:c>
      <x:c r="AA2207" s="16" t="n">
        <x:v>3</x:v>
      </x:c>
      <x:c r="AB2207" s="16" t="n">
        <x:v>11</x:v>
      </x:c>
      <x:c r="AC2207" s="16" t="n">
        <x:v>0</x:v>
      </x:c>
      <x:c r="AD2207" s="21" t="n">
        <x:f>IF(E2207="",MEDIAN($E$2:$E$2237),E2207)</x:f>
        <x:v>14918</x:v>
      </x:c>
      <x:c r="AE2207" s="17" t="n">
        <x:f>2014-B2207</x:f>
        <x:v>51</x:v>
      </x:c>
      <x:c r="AF2207" s="17" t="n">
        <x:f>F2207+G2207</x:f>
        <x:v>1</x:v>
      </x:c>
      <x:c r="AG2207" s="21" t="n">
        <x:f>SUM(J2207:O2207)</x:f>
        <x:v>43</x:v>
      </x:c>
      <x:c r="AH2207" s="17" t="n">
        <x:f>SUM(Q2207:S2207)</x:f>
        <x:v>4</x:v>
      </x:c>
      <x:c r="AI2207" s="17" t="n">
        <x:f>SUM(U2207:Y2207)</x:f>
        <x:v>0</x:v>
      </x:c>
      <x:c r="AJ2207" s="17" t="str">
        <x:f>IF(AE2207&lt;=34,"≤34",IF(AE2207&lt;=44,"35–44",IF(AE2207&lt;=54,"45–54",IF(AE2207&lt;=64,"55–64","65+"))))</x:f>
        <x:v>45–54</x:v>
      </x:c>
      <x:c r="AK2207" s="17" t="str">
        <x:f>IF(AG2207&gt;=1000,"High Value",IF(AG2207&gt;=300,"Mid Value","Low Value"))</x:f>
        <x:v>Low Value</x:v>
      </x:c>
      <x:c r="AL2207" s="17" t="str">
        <x:f>IF(AND(AI2207&gt;=1,I2207&lt;=50),"Priority 1",IF(AND(AG2207&gt;=1000,I2207&lt;=60),"Priority 2",IF(I2207&lt;=30,"Priority 3","Nurture")))</x:f>
        <x:v>Nurture</x:v>
      </x:c>
    </x:row>
    <x:row r="2208">
      <x:c r="A2208" s="16" t="n">
        <x:v>6168</x:v>
      </x:c>
      <x:c r="B2208" s="16" t="n">
        <x:v>1963</x:v>
      </x:c>
      <x:c r="C2208" s="16" t="str">
        <x:v>Graduation</x:v>
      </x:c>
      <x:c r="D2208" s="16" t="str">
        <x:v>Divorced</x:v>
      </x:c>
      <x:c r="E2208" s="16" t="n">
        <x:v>45146</x:v>
      </x:c>
      <x:c r="F2208" s="16" t="n">
        <x:v>1</x:v>
      </x:c>
      <x:c r="G2208" s="16" t="n">
        <x:v>1</x:v>
      </x:c>
      <x:c r="H2208" s="16" t="str">
        <x:v>15-07-2013</x:v>
      </x:c>
      <x:c r="I2208" s="16" t="n">
        <x:v>28</x:v>
      </x:c>
      <x:c r="J2208" s="16" t="n">
        <x:v>33</x:v>
      </x:c>
      <x:c r="K2208" s="16" t="n">
        <x:v>0</x:v>
      </x:c>
      <x:c r="L2208" s="16" t="n">
        <x:v>5</x:v>
      </x:c>
      <x:c r="M2208" s="16" t="n">
        <x:v>0</x:v>
      </x:c>
      <x:c r="N2208" s="16" t="n">
        <x:v>0</x:v>
      </x:c>
      <x:c r="O2208" s="16" t="n">
        <x:v>15</x:v>
      </x:c>
      <x:c r="P2208" s="16" t="n">
        <x:v>2</x:v>
      </x:c>
      <x:c r="Q2208" s="16" t="n">
        <x:v>1</x:v>
      </x:c>
      <x:c r="R2208" s="16" t="n">
        <x:v>1</x:v>
      </x:c>
      <x:c r="S2208" s="16" t="n">
        <x:v>2</x:v>
      </x:c>
      <x:c r="T2208" s="16" t="n">
        <x:v>4</x:v>
      </x:c>
      <x:c r="U2208" s="16" t="n">
        <x:v>0</x:v>
      </x:c>
      <x:c r="V2208" s="16" t="n">
        <x:v>0</x:v>
      </x:c>
      <x:c r="W2208" s="16" t="n">
        <x:v>0</x:v>
      </x:c>
      <x:c r="X2208" s="16" t="n">
        <x:v>0</x:v>
      </x:c>
      <x:c r="Y2208" s="16" t="n">
        <x:v>0</x:v>
      </x:c>
      <x:c r="Z2208" s="16" t="n">
        <x:v>0</x:v>
      </x:c>
      <x:c r="AA2208" s="16" t="n">
        <x:v>3</x:v>
      </x:c>
      <x:c r="AB2208" s="16" t="n">
        <x:v>11</x:v>
      </x:c>
      <x:c r="AC2208" s="16" t="n">
        <x:v>0</x:v>
      </x:c>
      <x:c r="AD2208" s="21" t="n">
        <x:f>IF(E2208="",MEDIAN($E$2:$E$2237),E2208)</x:f>
        <x:v>45146</x:v>
      </x:c>
      <x:c r="AE2208" s="17" t="n">
        <x:f>2014-B2208</x:f>
        <x:v>51</x:v>
      </x:c>
      <x:c r="AF2208" s="17" t="n">
        <x:f>F2208+G2208</x:f>
        <x:v>2</x:v>
      </x:c>
      <x:c r="AG2208" s="21" t="n">
        <x:f>SUM(J2208:O2208)</x:f>
        <x:v>53</x:v>
      </x:c>
      <x:c r="AH2208" s="17" t="n">
        <x:f>SUM(Q2208:S2208)</x:f>
        <x:v>4</x:v>
      </x:c>
      <x:c r="AI2208" s="17" t="n">
        <x:f>SUM(U2208:Y2208)</x:f>
        <x:v>0</x:v>
      </x:c>
      <x:c r="AJ2208" s="17" t="str">
        <x:f>IF(AE2208&lt;=34,"≤34",IF(AE2208&lt;=44,"35–44",IF(AE2208&lt;=54,"45–54",IF(AE2208&lt;=64,"55–64","65+"))))</x:f>
        <x:v>45–54</x:v>
      </x:c>
      <x:c r="AK2208" s="17" t="str">
        <x:f>IF(AG2208&gt;=1000,"High Value",IF(AG2208&gt;=300,"Mid Value","Low Value"))</x:f>
        <x:v>Low Value</x:v>
      </x:c>
      <x:c r="AL2208" s="17" t="str">
        <x:f>IF(AND(AI2208&gt;=1,I2208&lt;=50),"Priority 1",IF(AND(AG2208&gt;=1000,I2208&lt;=60),"Priority 2",IF(I2208&lt;=30,"Priority 3","Nurture")))</x:f>
        <x:v>Priority 3</x:v>
      </x:c>
    </x:row>
    <x:row r="2209">
      <x:c r="A2209" s="16" t="n">
        <x:v>607</x:v>
      </x:c>
      <x:c r="B2209" s="16" t="n">
        <x:v>1955</x:v>
      </x:c>
      <x:c r="C2209" s="16" t="str">
        <x:v>2n Cycle</x:v>
      </x:c>
      <x:c r="D2209" s="16" t="str">
        <x:v>Divorced</x:v>
      </x:c>
      <x:c r="E2209" s="16" t="n">
        <x:v>41769</x:v>
      </x:c>
      <x:c r="F2209" s="16" t="n">
        <x:v>0</x:v>
      </x:c>
      <x:c r="G2209" s="16" t="n">
        <x:v>1</x:v>
      </x:c>
      <x:c r="H2209" s="16" t="str">
        <x:v>13-02-2013</x:v>
      </x:c>
      <x:c r="I2209" s="16" t="n">
        <x:v>31</x:v>
      </x:c>
      <x:c r="J2209" s="16" t="n">
        <x:v>302</x:v>
      </x:c>
      <x:c r="K2209" s="16" t="n">
        <x:v>29</x:v>
      </x:c>
      <x:c r="L2209" s="16" t="n">
        <x:v>131</x:v>
      </x:c>
      <x:c r="M2209" s="16" t="n">
        <x:v>32</x:v>
      </x:c>
      <x:c r="N2209" s="16" t="n">
        <x:v>0</x:v>
      </x:c>
      <x:c r="O2209" s="16" t="n">
        <x:v>27</x:v>
      </x:c>
      <x:c r="P2209" s="16" t="n">
        <x:v>6</x:v>
      </x:c>
      <x:c r="Q2209" s="16" t="n">
        <x:v>8</x:v>
      </x:c>
      <x:c r="R2209" s="16" t="n">
        <x:v>1</x:v>
      </x:c>
      <x:c r="S2209" s="16" t="n">
        <x:v>7</x:v>
      </x:c>
      <x:c r="T2209" s="16" t="n">
        <x:v>8</x:v>
      </x:c>
      <x:c r="U2209" s="16" t="n">
        <x:v>0</x:v>
      </x:c>
      <x:c r="V2209" s="16" t="n">
        <x:v>0</x:v>
      </x:c>
      <x:c r="W2209" s="16" t="n">
        <x:v>0</x:v>
      </x:c>
      <x:c r="X2209" s="16" t="n">
        <x:v>0</x:v>
      </x:c>
      <x:c r="Y2209" s="16" t="n">
        <x:v>0</x:v>
      </x:c>
      <x:c r="Z2209" s="16" t="n">
        <x:v>0</x:v>
      </x:c>
      <x:c r="AA2209" s="16" t="n">
        <x:v>3</x:v>
      </x:c>
      <x:c r="AB2209" s="16" t="n">
        <x:v>11</x:v>
      </x:c>
      <x:c r="AC2209" s="16" t="n">
        <x:v>0</x:v>
      </x:c>
      <x:c r="AD2209" s="21" t="n">
        <x:f>IF(E2209="",MEDIAN($E$2:$E$2237),E2209)</x:f>
        <x:v>41769</x:v>
      </x:c>
      <x:c r="AE2209" s="17" t="n">
        <x:f>2014-B2209</x:f>
        <x:v>59</x:v>
      </x:c>
      <x:c r="AF2209" s="17" t="n">
        <x:f>F2209+G2209</x:f>
        <x:v>1</x:v>
      </x:c>
      <x:c r="AG2209" s="21" t="n">
        <x:f>SUM(J2209:O2209)</x:f>
        <x:v>521</x:v>
      </x:c>
      <x:c r="AH2209" s="17" t="n">
        <x:f>SUM(Q2209:S2209)</x:f>
        <x:v>16</x:v>
      </x:c>
      <x:c r="AI2209" s="17" t="n">
        <x:f>SUM(U2209:Y2209)</x:f>
        <x:v>0</x:v>
      </x:c>
      <x:c r="AJ2209" s="17" t="str">
        <x:f>IF(AE2209&lt;=34,"≤34",IF(AE2209&lt;=44,"35–44",IF(AE2209&lt;=54,"45–54",IF(AE2209&lt;=64,"55–64","65+"))))</x:f>
        <x:v>55–64</x:v>
      </x:c>
      <x:c r="AK2209" s="17" t="str">
        <x:f>IF(AG2209&gt;=1000,"High Value",IF(AG2209&gt;=300,"Mid Value","Low Value"))</x:f>
        <x:v>Mid Value</x:v>
      </x:c>
      <x:c r="AL2209" s="17" t="str">
        <x:f>IF(AND(AI2209&gt;=1,I2209&lt;=50),"Priority 1",IF(AND(AG2209&gt;=1000,I2209&lt;=60),"Priority 2",IF(I2209&lt;=30,"Priority 3","Nurture")))</x:f>
        <x:v>Nurture</x:v>
      </x:c>
    </x:row>
    <x:row r="2210">
      <x:c r="A2210" s="16" t="n">
        <x:v>10469</x:v>
      </x:c>
      <x:c r="B2210" s="16" t="n">
        <x:v>1981</x:v>
      </x:c>
      <x:c r="C2210" s="16" t="str">
        <x:v>Graduation</x:v>
      </x:c>
      <x:c r="D2210" s="16" t="str">
        <x:v>Together</x:v>
      </x:c>
      <x:c r="E2210" s="16" t="n">
        <x:v>88325</x:v>
      </x:c>
      <x:c r="F2210" s="16" t="n">
        <x:v>0</x:v>
      </x:c>
      <x:c r="G2210" s="16" t="n">
        <x:v>0</x:v>
      </x:c>
      <x:c r="H2210" s="16" t="str">
        <x:v>05-02-2014</x:v>
      </x:c>
      <x:c r="I2210" s="16" t="n">
        <x:v>42</x:v>
      </x:c>
      <x:c r="J2210" s="16" t="n">
        <x:v>519</x:v>
      </x:c>
      <x:c r="K2210" s="16" t="n">
        <x:v>71</x:v>
      </x:c>
      <x:c r="L2210" s="16" t="n">
        <x:v>860</x:v>
      </x:c>
      <x:c r="M2210" s="16" t="n">
        <x:v>93</x:v>
      </x:c>
      <x:c r="N2210" s="16" t="n">
        <x:v>27</x:v>
      </x:c>
      <x:c r="O2210" s="16" t="n">
        <x:v>53</x:v>
      </x:c>
      <x:c r="P2210" s="16" t="n">
        <x:v>1</x:v>
      </x:c>
      <x:c r="Q2210" s="16" t="n">
        <x:v>6</x:v>
      </x:c>
      <x:c r="R2210" s="16" t="n">
        <x:v>2</x:v>
      </x:c>
      <x:c r="S2210" s="16" t="n">
        <x:v>9</x:v>
      </x:c>
      <x:c r="T2210" s="16" t="n">
        <x:v>2</x:v>
      </x:c>
      <x:c r="U2210" s="16" t="n">
        <x:v>0</x:v>
      </x:c>
      <x:c r="V2210" s="16" t="n">
        <x:v>0</x:v>
      </x:c>
      <x:c r="W2210" s="16" t="n">
        <x:v>0</x:v>
      </x:c>
      <x:c r="X2210" s="16" t="n">
        <x:v>0</x:v>
      </x:c>
      <x:c r="Y2210" s="16" t="n">
        <x:v>0</x:v>
      </x:c>
      <x:c r="Z2210" s="16" t="n">
        <x:v>0</x:v>
      </x:c>
      <x:c r="AA2210" s="16" t="n">
        <x:v>3</x:v>
      </x:c>
      <x:c r="AB2210" s="16" t="n">
        <x:v>11</x:v>
      </x:c>
      <x:c r="AC2210" s="16" t="n">
        <x:v>0</x:v>
      </x:c>
      <x:c r="AD2210" s="21" t="n">
        <x:f>IF(E2210="",MEDIAN($E$2:$E$2237),E2210)</x:f>
        <x:v>88325</x:v>
      </x:c>
      <x:c r="AE2210" s="17" t="n">
        <x:f>2014-B2210</x:f>
        <x:v>33</x:v>
      </x:c>
      <x:c r="AF2210" s="17" t="n">
        <x:f>F2210+G2210</x:f>
        <x:v>0</x:v>
      </x:c>
      <x:c r="AG2210" s="21" t="n">
        <x:f>SUM(J2210:O2210)</x:f>
        <x:v>1623</x:v>
      </x:c>
      <x:c r="AH2210" s="17" t="n">
        <x:f>SUM(Q2210:S2210)</x:f>
        <x:v>17</x:v>
      </x:c>
      <x:c r="AI2210" s="17" t="n">
        <x:f>SUM(U2210:Y2210)</x:f>
        <x:v>0</x:v>
      </x:c>
      <x:c r="AJ2210" s="17" t="str">
        <x:f>IF(AE2210&lt;=34,"≤34",IF(AE2210&lt;=44,"35–44",IF(AE2210&lt;=54,"45–54",IF(AE2210&lt;=64,"55–64","65+"))))</x:f>
        <x:v>≤34</x:v>
      </x:c>
      <x:c r="AK2210" s="17" t="str">
        <x:f>IF(AG2210&gt;=1000,"High Value",IF(AG2210&gt;=300,"Mid Value","Low Value"))</x:f>
        <x:v>High Value</x:v>
      </x:c>
      <x:c r="AL2210" s="17" t="str">
        <x:f>IF(AND(AI2210&gt;=1,I2210&lt;=50),"Priority 1",IF(AND(AG2210&gt;=1000,I2210&lt;=60),"Priority 2",IF(I2210&lt;=30,"Priority 3","Nurture")))</x:f>
        <x:v>Priority 2</x:v>
      </x:c>
    </x:row>
    <x:row r="2211">
      <x:c r="A2211" s="16" t="n">
        <x:v>6983</x:v>
      </x:c>
      <x:c r="B2211" s="16" t="n">
        <x:v>1950</x:v>
      </x:c>
      <x:c r="C2211" s="16" t="str">
        <x:v>Master</x:v>
      </x:c>
      <x:c r="D2211" s="16" t="str">
        <x:v>Divorced</x:v>
      </x:c>
      <x:c r="E2211" s="16" t="n">
        <x:v>38054</x:v>
      </x:c>
      <x:c r="F2211" s="16" t="n">
        <x:v>1</x:v>
      </x:c>
      <x:c r="G2211" s="16" t="n">
        <x:v>1</x:v>
      </x:c>
      <x:c r="H2211" s="16" t="str">
        <x:v>01-05-2014</x:v>
      </x:c>
      <x:c r="I2211" s="16" t="n">
        <x:v>24</x:v>
      </x:c>
      <x:c r="J2211" s="16" t="n">
        <x:v>23</x:v>
      </x:c>
      <x:c r="K2211" s="16" t="n">
        <x:v>2</x:v>
      </x:c>
      <x:c r="L2211" s="16" t="n">
        <x:v>17</x:v>
      </x:c>
      <x:c r="M2211" s="16" t="n">
        <x:v>2</x:v>
      </x:c>
      <x:c r="N2211" s="16" t="n">
        <x:v>1</x:v>
      </x:c>
      <x:c r="O2211" s="16" t="n">
        <x:v>0</x:v>
      </x:c>
      <x:c r="P2211" s="16" t="n">
        <x:v>2</x:v>
      </x:c>
      <x:c r="Q2211" s="16" t="n">
        <x:v>2</x:v>
      </x:c>
      <x:c r="R2211" s="16" t="n">
        <x:v>0</x:v>
      </x:c>
      <x:c r="S2211" s="16" t="n">
        <x:v>3</x:v>
      </x:c>
      <x:c r="T2211" s="16" t="n">
        <x:v>7</x:v>
      </x:c>
      <x:c r="U2211" s="16" t="n">
        <x:v>0</x:v>
      </x:c>
      <x:c r="V2211" s="16" t="n">
        <x:v>0</x:v>
      </x:c>
      <x:c r="W2211" s="16" t="n">
        <x:v>0</x:v>
      </x:c>
      <x:c r="X2211" s="16" t="n">
        <x:v>0</x:v>
      </x:c>
      <x:c r="Y2211" s="16" t="n">
        <x:v>0</x:v>
      </x:c>
      <x:c r="Z2211" s="16" t="n">
        <x:v>0</x:v>
      </x:c>
      <x:c r="AA2211" s="16" t="n">
        <x:v>3</x:v>
      </x:c>
      <x:c r="AB2211" s="16" t="n">
        <x:v>11</x:v>
      </x:c>
      <x:c r="AC2211" s="16" t="n">
        <x:v>0</x:v>
      </x:c>
      <x:c r="AD2211" s="21" t="n">
        <x:f>IF(E2211="",MEDIAN($E$2:$E$2237),E2211)</x:f>
        <x:v>38054</x:v>
      </x:c>
      <x:c r="AE2211" s="17" t="n">
        <x:f>2014-B2211</x:f>
        <x:v>64</x:v>
      </x:c>
      <x:c r="AF2211" s="17" t="n">
        <x:f>F2211+G2211</x:f>
        <x:v>2</x:v>
      </x:c>
      <x:c r="AG2211" s="21" t="n">
        <x:f>SUM(J2211:O2211)</x:f>
        <x:v>45</x:v>
      </x:c>
      <x:c r="AH2211" s="17" t="n">
        <x:f>SUM(Q2211:S2211)</x:f>
        <x:v>5</x:v>
      </x:c>
      <x:c r="AI2211" s="17" t="n">
        <x:f>SUM(U2211:Y2211)</x:f>
        <x:v>0</x:v>
      </x:c>
      <x:c r="AJ2211" s="17" t="str">
        <x:f>IF(AE2211&lt;=34,"≤34",IF(AE2211&lt;=44,"35–44",IF(AE2211&lt;=54,"45–54",IF(AE2211&lt;=64,"55–64","65+"))))</x:f>
        <x:v>55–64</x:v>
      </x:c>
      <x:c r="AK2211" s="17" t="str">
        <x:f>IF(AG2211&gt;=1000,"High Value",IF(AG2211&gt;=300,"Mid Value","Low Value"))</x:f>
        <x:v>Low Value</x:v>
      </x:c>
      <x:c r="AL2211" s="17" t="str">
        <x:f>IF(AND(AI2211&gt;=1,I2211&lt;=50),"Priority 1",IF(AND(AG2211&gt;=1000,I2211&lt;=60),"Priority 2",IF(I2211&lt;=30,"Priority 3","Nurture")))</x:f>
        <x:v>Priority 3</x:v>
      </x:c>
    </x:row>
    <x:row r="2212">
      <x:c r="A2212" s="16" t="n">
        <x:v>3661</x:v>
      </x:c>
      <x:c r="B2212" s="16" t="n">
        <x:v>1995</x:v>
      </x:c>
      <x:c r="C2212" s="16" t="str">
        <x:v>2n Cycle</x:v>
      </x:c>
      <x:c r="D2212" s="16" t="str">
        <x:v>Single</x:v>
      </x:c>
      <x:c r="E2212" s="16" t="n">
        <x:v>80617</x:v>
      </x:c>
      <x:c r="F2212" s="16" t="n">
        <x:v>0</x:v>
      </x:c>
      <x:c r="G2212" s="16" t="n">
        <x:v>0</x:v>
      </x:c>
      <x:c r="H2212" s="16" t="str">
        <x:v>12-10-2012</x:v>
      </x:c>
      <x:c r="I2212" s="16" t="n">
        <x:v>42</x:v>
      </x:c>
      <x:c r="J2212" s="16" t="n">
        <x:v>594</x:v>
      </x:c>
      <x:c r="K2212" s="16" t="n">
        <x:v>51</x:v>
      </x:c>
      <x:c r="L2212" s="16" t="n">
        <x:v>631</x:v>
      </x:c>
      <x:c r="M2212" s="16" t="n">
        <x:v>72</x:v>
      </x:c>
      <x:c r="N2212" s="16" t="n">
        <x:v>55</x:v>
      </x:c>
      <x:c r="O2212" s="16" t="n">
        <x:v>32</x:v>
      </x:c>
      <x:c r="P2212" s="16" t="n">
        <x:v>1</x:v>
      </x:c>
      <x:c r="Q2212" s="16" t="n">
        <x:v>4</x:v>
      </x:c>
      <x:c r="R2212" s="16" t="n">
        <x:v>6</x:v>
      </x:c>
      <x:c r="S2212" s="16" t="n">
        <x:v>8</x:v>
      </x:c>
      <x:c r="T2212" s="16" t="n">
        <x:v>2</x:v>
      </x:c>
      <x:c r="U2212" s="16" t="n">
        <x:v>0</x:v>
      </x:c>
      <x:c r="V2212" s="16" t="n">
        <x:v>0</x:v>
      </x:c>
      <x:c r="W2212" s="16" t="n">
        <x:v>0</x:v>
      </x:c>
      <x:c r="X2212" s="16" t="n">
        <x:v>0</x:v>
      </x:c>
      <x:c r="Y2212" s="16" t="n">
        <x:v>0</x:v>
      </x:c>
      <x:c r="Z2212" s="16" t="n">
        <x:v>0</x:v>
      </x:c>
      <x:c r="AA2212" s="16" t="n">
        <x:v>3</x:v>
      </x:c>
      <x:c r="AB2212" s="16" t="n">
        <x:v>11</x:v>
      </x:c>
      <x:c r="AC2212" s="16" t="n">
        <x:v>0</x:v>
      </x:c>
      <x:c r="AD2212" s="21" t="n">
        <x:f>IF(E2212="",MEDIAN($E$2:$E$2237),E2212)</x:f>
        <x:v>80617</x:v>
      </x:c>
      <x:c r="AE2212" s="17" t="n">
        <x:f>2014-B2212</x:f>
        <x:v>19</x:v>
      </x:c>
      <x:c r="AF2212" s="17" t="n">
        <x:f>F2212+G2212</x:f>
        <x:v>0</x:v>
      </x:c>
      <x:c r="AG2212" s="21" t="n">
        <x:f>SUM(J2212:O2212)</x:f>
        <x:v>1435</x:v>
      </x:c>
      <x:c r="AH2212" s="17" t="n">
        <x:f>SUM(Q2212:S2212)</x:f>
        <x:v>18</x:v>
      </x:c>
      <x:c r="AI2212" s="17" t="n">
        <x:f>SUM(U2212:Y2212)</x:f>
        <x:v>0</x:v>
      </x:c>
      <x:c r="AJ2212" s="17" t="str">
        <x:f>IF(AE2212&lt;=34,"≤34",IF(AE2212&lt;=44,"35–44",IF(AE2212&lt;=54,"45–54",IF(AE2212&lt;=64,"55–64","65+"))))</x:f>
        <x:v>≤34</x:v>
      </x:c>
      <x:c r="AK2212" s="17" t="str">
        <x:f>IF(AG2212&gt;=1000,"High Value",IF(AG2212&gt;=300,"Mid Value","Low Value"))</x:f>
        <x:v>High Value</x:v>
      </x:c>
      <x:c r="AL2212" s="17" t="str">
        <x:f>IF(AND(AI2212&gt;=1,I2212&lt;=50),"Priority 1",IF(AND(AG2212&gt;=1000,I2212&lt;=60),"Priority 2",IF(I2212&lt;=30,"Priority 3","Nurture")))</x:f>
        <x:v>Priority 2</x:v>
      </x:c>
    </x:row>
    <x:row r="2213">
      <x:c r="A2213" s="16" t="n">
        <x:v>9303</x:v>
      </x:c>
      <x:c r="B2213" s="16" t="n">
        <x:v>1976</x:v>
      </x:c>
      <x:c r="C2213" s="16" t="str">
        <x:v>Graduation</x:v>
      </x:c>
      <x:c r="D2213" s="16" t="str">
        <x:v>Married</x:v>
      </x:c>
      <x:c r="E2213" s="16" t="n">
        <x:v>5305</x:v>
      </x:c>
      <x:c r="F2213" s="16" t="n">
        <x:v>0</x:v>
      </x:c>
      <x:c r="G2213" s="16" t="n">
        <x:v>1</x:v>
      </x:c>
      <x:c r="H2213" s="16" t="str">
        <x:v>30-07-2013</x:v>
      </x:c>
      <x:c r="I2213" s="16" t="n">
        <x:v>12</x:v>
      </x:c>
      <x:c r="J2213" s="16" t="n">
        <x:v>12</x:v>
      </x:c>
      <x:c r="K2213" s="16" t="n">
        <x:v>4</x:v>
      </x:c>
      <x:c r="L2213" s="16" t="n">
        <x:v>7</x:v>
      </x:c>
      <x:c r="M2213" s="16" t="n">
        <x:v>1</x:v>
      </x:c>
      <x:c r="N2213" s="16" t="n">
        <x:v>3</x:v>
      </x:c>
      <x:c r="O2213" s="16" t="n">
        <x:v>5</x:v>
      </x:c>
      <x:c r="P2213" s="16" t="n">
        <x:v>0</x:v>
      </x:c>
      <x:c r="Q2213" s="16" t="n">
        <x:v>1</x:v>
      </x:c>
      <x:c r="R2213" s="16" t="n">
        <x:v>0</x:v>
      </x:c>
      <x:c r="S2213" s="16" t="n">
        <x:v>0</x:v>
      </x:c>
      <x:c r="T2213" s="16" t="n">
        <x:v>13</x:v>
      </x:c>
      <x:c r="U2213" s="16" t="n">
        <x:v>0</x:v>
      </x:c>
      <x:c r="V2213" s="16" t="n">
        <x:v>0</x:v>
      </x:c>
      <x:c r="W2213" s="16" t="n">
        <x:v>0</x:v>
      </x:c>
      <x:c r="X2213" s="16" t="n">
        <x:v>0</x:v>
      </x:c>
      <x:c r="Y2213" s="16" t="n">
        <x:v>0</x:v>
      </x:c>
      <x:c r="Z2213" s="16" t="n">
        <x:v>0</x:v>
      </x:c>
      <x:c r="AA2213" s="16" t="n">
        <x:v>3</x:v>
      </x:c>
      <x:c r="AB2213" s="16" t="n">
        <x:v>11</x:v>
      </x:c>
      <x:c r="AC2213" s="16" t="n">
        <x:v>0</x:v>
      </x:c>
      <x:c r="AD2213" s="21" t="n">
        <x:f>IF(E2213="",MEDIAN($E$2:$E$2237),E2213)</x:f>
        <x:v>5305</x:v>
      </x:c>
      <x:c r="AE2213" s="17" t="n">
        <x:f>2014-B2213</x:f>
        <x:v>38</x:v>
      </x:c>
      <x:c r="AF2213" s="17" t="n">
        <x:f>F2213+G2213</x:f>
        <x:v>1</x:v>
      </x:c>
      <x:c r="AG2213" s="21" t="n">
        <x:f>SUM(J2213:O2213)</x:f>
        <x:v>32</x:v>
      </x:c>
      <x:c r="AH2213" s="17" t="n">
        <x:f>SUM(Q2213:S2213)</x:f>
        <x:v>1</x:v>
      </x:c>
      <x:c r="AI2213" s="17" t="n">
        <x:f>SUM(U2213:Y2213)</x:f>
        <x:v>0</x:v>
      </x:c>
      <x:c r="AJ2213" s="17" t="str">
        <x:f>IF(AE2213&lt;=34,"≤34",IF(AE2213&lt;=44,"35–44",IF(AE2213&lt;=54,"45–54",IF(AE2213&lt;=64,"55–64","65+"))))</x:f>
        <x:v>35–44</x:v>
      </x:c>
      <x:c r="AK2213" s="17" t="str">
        <x:f>IF(AG2213&gt;=1000,"High Value",IF(AG2213&gt;=300,"Mid Value","Low Value"))</x:f>
        <x:v>Low Value</x:v>
      </x:c>
      <x:c r="AL2213" s="17" t="str">
        <x:f>IF(AND(AI2213&gt;=1,I2213&lt;=50),"Priority 1",IF(AND(AG2213&gt;=1000,I2213&lt;=60),"Priority 2",IF(I2213&lt;=30,"Priority 3","Nurture")))</x:f>
        <x:v>Priority 3</x:v>
      </x:c>
    </x:row>
    <x:row r="2214">
      <x:c r="A2214" s="16" t="n">
        <x:v>692</x:v>
      </x:c>
      <x:c r="B2214" s="16" t="n">
        <x:v>1954</x:v>
      </x:c>
      <x:c r="C2214" s="16" t="str">
        <x:v>Graduation</x:v>
      </x:c>
      <x:c r="D2214" s="16" t="str">
        <x:v>Together</x:v>
      </x:c>
      <x:c r="E2214" s="16" t="n">
        <x:v>36807</x:v>
      </x:c>
      <x:c r="F2214" s="16" t="n">
        <x:v>1</x:v>
      </x:c>
      <x:c r="G2214" s="16" t="n">
        <x:v>1</x:v>
      </x:c>
      <x:c r="H2214" s="16" t="str">
        <x:v>20-12-2012</x:v>
      </x:c>
      <x:c r="I2214" s="16" t="n">
        <x:v>88</x:v>
      </x:c>
      <x:c r="J2214" s="16" t="n">
        <x:v>4</x:v>
      </x:c>
      <x:c r="K2214" s="16" t="n">
        <x:v>2</x:v>
      </x:c>
      <x:c r="L2214" s="16" t="n">
        <x:v>5</x:v>
      </x:c>
      <x:c r="M2214" s="16" t="n">
        <x:v>0</x:v>
      </x:c>
      <x:c r="N2214" s="16" t="n">
        <x:v>0</x:v>
      </x:c>
      <x:c r="O2214" s="16" t="n">
        <x:v>5</x:v>
      </x:c>
      <x:c r="P2214" s="16" t="n">
        <x:v>1</x:v>
      </x:c>
      <x:c r="Q2214" s="16" t="n">
        <x:v>1</x:v>
      </x:c>
      <x:c r="R2214" s="16" t="n">
        <x:v>0</x:v>
      </x:c>
      <x:c r="S2214" s="16" t="n">
        <x:v>2</x:v>
      </x:c>
      <x:c r="T2214" s="16" t="n">
        <x:v>6</x:v>
      </x:c>
      <x:c r="U2214" s="16" t="n">
        <x:v>0</x:v>
      </x:c>
      <x:c r="V2214" s="16" t="n">
        <x:v>0</x:v>
      </x:c>
      <x:c r="W2214" s="16" t="n">
        <x:v>0</x:v>
      </x:c>
      <x:c r="X2214" s="16" t="n">
        <x:v>0</x:v>
      </x:c>
      <x:c r="Y2214" s="16" t="n">
        <x:v>0</x:v>
      </x:c>
      <x:c r="Z2214" s="16" t="n">
        <x:v>0</x:v>
      </x:c>
      <x:c r="AA2214" s="16" t="n">
        <x:v>3</x:v>
      </x:c>
      <x:c r="AB2214" s="16" t="n">
        <x:v>11</x:v>
      </x:c>
      <x:c r="AC2214" s="16" t="n">
        <x:v>0</x:v>
      </x:c>
      <x:c r="AD2214" s="21" t="n">
        <x:f>IF(E2214="",MEDIAN($E$2:$E$2237),E2214)</x:f>
        <x:v>36807</x:v>
      </x:c>
      <x:c r="AE2214" s="17" t="n">
        <x:f>2014-B2214</x:f>
        <x:v>60</x:v>
      </x:c>
      <x:c r="AF2214" s="17" t="n">
        <x:f>F2214+G2214</x:f>
        <x:v>2</x:v>
      </x:c>
      <x:c r="AG2214" s="21" t="n">
        <x:f>SUM(J2214:O2214)</x:f>
        <x:v>16</x:v>
      </x:c>
      <x:c r="AH2214" s="17" t="n">
        <x:f>SUM(Q2214:S2214)</x:f>
        <x:v>3</x:v>
      </x:c>
      <x:c r="AI2214" s="17" t="n">
        <x:f>SUM(U2214:Y2214)</x:f>
        <x:v>0</x:v>
      </x:c>
      <x:c r="AJ2214" s="17" t="str">
        <x:f>IF(AE2214&lt;=34,"≤34",IF(AE2214&lt;=44,"35–44",IF(AE2214&lt;=54,"45–54",IF(AE2214&lt;=64,"55–64","65+"))))</x:f>
        <x:v>55–64</x:v>
      </x:c>
      <x:c r="AK2214" s="17" t="str">
        <x:f>IF(AG2214&gt;=1000,"High Value",IF(AG2214&gt;=300,"Mid Value","Low Value"))</x:f>
        <x:v>Low Value</x:v>
      </x:c>
      <x:c r="AL2214" s="17" t="str">
        <x:f>IF(AND(AI2214&gt;=1,I2214&lt;=50),"Priority 1",IF(AND(AG2214&gt;=1000,I2214&lt;=60),"Priority 2",IF(I2214&lt;=30,"Priority 3","Nurture")))</x:f>
        <x:v>Nurture</x:v>
      </x:c>
    </x:row>
    <x:row r="2215">
      <x:c r="A2215" s="16" t="n">
        <x:v>736</x:v>
      </x:c>
      <x:c r="B2215" s="16" t="n">
        <x:v>1983</x:v>
      </x:c>
      <x:c r="C2215" s="16" t="str">
        <x:v>Graduation</x:v>
      </x:c>
      <x:c r="D2215" s="16" t="str">
        <x:v>Together</x:v>
      </x:c>
      <x:c r="E2215" s="16" t="n">
        <x:v>28427</x:v>
      </x:c>
      <x:c r="F2215" s="16" t="n">
        <x:v>1</x:v>
      </x:c>
      <x:c r="G2215" s="16" t="n">
        <x:v>0</x:v>
      </x:c>
      <x:c r="H2215" s="16" t="str">
        <x:v>21-03-2013</x:v>
      </x:c>
      <x:c r="I2215" s="16" t="n">
        <x:v>67</x:v>
      </x:c>
      <x:c r="J2215" s="16" t="n">
        <x:v>18</x:v>
      </x:c>
      <x:c r="K2215" s="16" t="n">
        <x:v>3</x:v>
      </x:c>
      <x:c r="L2215" s="16" t="n">
        <x:v>19</x:v>
      </x:c>
      <x:c r="M2215" s="16" t="n">
        <x:v>3</x:v>
      </x:c>
      <x:c r="N2215" s="16" t="n">
        <x:v>3</x:v>
      </x:c>
      <x:c r="O2215" s="16" t="n">
        <x:v>6</x:v>
      </x:c>
      <x:c r="P2215" s="16" t="n">
        <x:v>2</x:v>
      </x:c>
      <x:c r="Q2215" s="16" t="n">
        <x:v>2</x:v>
      </x:c>
      <x:c r="R2215" s="16" t="n">
        <x:v>0</x:v>
      </x:c>
      <x:c r="S2215" s="16" t="n">
        <x:v>3</x:v>
      </x:c>
      <x:c r="T2215" s="16" t="n">
        <x:v>8</x:v>
      </x:c>
      <x:c r="U2215" s="16" t="n">
        <x:v>0</x:v>
      </x:c>
      <x:c r="V2215" s="16" t="n">
        <x:v>0</x:v>
      </x:c>
      <x:c r="W2215" s="16" t="n">
        <x:v>0</x:v>
      </x:c>
      <x:c r="X2215" s="16" t="n">
        <x:v>0</x:v>
      </x:c>
      <x:c r="Y2215" s="16" t="n">
        <x:v>0</x:v>
      </x:c>
      <x:c r="Z2215" s="16" t="n">
        <x:v>0</x:v>
      </x:c>
      <x:c r="AA2215" s="16" t="n">
        <x:v>3</x:v>
      </x:c>
      <x:c r="AB2215" s="16" t="n">
        <x:v>11</x:v>
      </x:c>
      <x:c r="AC2215" s="16" t="n">
        <x:v>0</x:v>
      </x:c>
      <x:c r="AD2215" s="21" t="n">
        <x:f>IF(E2215="",MEDIAN($E$2:$E$2237),E2215)</x:f>
        <x:v>28427</x:v>
      </x:c>
      <x:c r="AE2215" s="17" t="n">
        <x:f>2014-B2215</x:f>
        <x:v>31</x:v>
      </x:c>
      <x:c r="AF2215" s="17" t="n">
        <x:f>F2215+G2215</x:f>
        <x:v>1</x:v>
      </x:c>
      <x:c r="AG2215" s="21" t="n">
        <x:f>SUM(J2215:O2215)</x:f>
        <x:v>52</x:v>
      </x:c>
      <x:c r="AH2215" s="17" t="n">
        <x:f>SUM(Q2215:S2215)</x:f>
        <x:v>5</x:v>
      </x:c>
      <x:c r="AI2215" s="17" t="n">
        <x:f>SUM(U2215:Y2215)</x:f>
        <x:v>0</x:v>
      </x:c>
      <x:c r="AJ2215" s="17" t="str">
        <x:f>IF(AE2215&lt;=34,"≤34",IF(AE2215&lt;=44,"35–44",IF(AE2215&lt;=54,"45–54",IF(AE2215&lt;=64,"55–64","65+"))))</x:f>
        <x:v>≤34</x:v>
      </x:c>
      <x:c r="AK2215" s="17" t="str">
        <x:f>IF(AG2215&gt;=1000,"High Value",IF(AG2215&gt;=300,"Mid Value","Low Value"))</x:f>
        <x:v>Low Value</x:v>
      </x:c>
      <x:c r="AL2215" s="17" t="str">
        <x:f>IF(AND(AI2215&gt;=1,I2215&lt;=50),"Priority 1",IF(AND(AG2215&gt;=1000,I2215&lt;=60),"Priority 2",IF(I2215&lt;=30,"Priority 3","Nurture")))</x:f>
        <x:v>Nurture</x:v>
      </x:c>
    </x:row>
    <x:row r="2216">
      <x:c r="A2216" s="16" t="n">
        <x:v>9589</x:v>
      </x:c>
      <x:c r="B2216" s="16" t="n">
        <x:v>1948</x:v>
      </x:c>
      <x:c r="C2216" s="16" t="str">
        <x:v>PhD</x:v>
      </x:c>
      <x:c r="D2216" s="16" t="str">
        <x:v>Widow</x:v>
      </x:c>
      <x:c r="E2216" s="16" t="n">
        <x:v>82032</x:v>
      </x:c>
      <x:c r="F2216" s="16" t="n">
        <x:v>0</x:v>
      </x:c>
      <x:c r="G2216" s="16" t="n">
        <x:v>0</x:v>
      </x:c>
      <x:c r="H2216" s="16" t="str">
        <x:v>05-04-2014</x:v>
      </x:c>
      <x:c r="I2216" s="16" t="n">
        <x:v>54</x:v>
      </x:c>
      <x:c r="J2216" s="16" t="n">
        <x:v>332</x:v>
      </x:c>
      <x:c r="K2216" s="16" t="n">
        <x:v>194</x:v>
      </x:c>
      <x:c r="L2216" s="16" t="n">
        <x:v>377</x:v>
      </x:c>
      <x:c r="M2216" s="16" t="n">
        <x:v>149</x:v>
      </x:c>
      <x:c r="N2216" s="16" t="n">
        <x:v>125</x:v>
      </x:c>
      <x:c r="O2216" s="16" t="n">
        <x:v>57</x:v>
      </x:c>
      <x:c r="P2216" s="16" t="n">
        <x:v>0</x:v>
      </x:c>
      <x:c r="Q2216" s="16" t="n">
        <x:v>4</x:v>
      </x:c>
      <x:c r="R2216" s="16" t="n">
        <x:v>6</x:v>
      </x:c>
      <x:c r="S2216" s="16" t="n">
        <x:v>7</x:v>
      </x:c>
      <x:c r="T2216" s="16" t="n">
        <x:v>1</x:v>
      </x:c>
      <x:c r="U2216" s="16" t="n">
        <x:v>0</x:v>
      </x:c>
      <x:c r="V2216" s="16" t="n">
        <x:v>0</x:v>
      </x:c>
      <x:c r="W2216" s="16" t="n">
        <x:v>0</x:v>
      </x:c>
      <x:c r="X2216" s="16" t="n">
        <x:v>0</x:v>
      </x:c>
      <x:c r="Y2216" s="16" t="n">
        <x:v>0</x:v>
      </x:c>
      <x:c r="Z2216" s="16" t="n">
        <x:v>0</x:v>
      </x:c>
      <x:c r="AA2216" s="16" t="n">
        <x:v>3</x:v>
      </x:c>
      <x:c r="AB2216" s="16" t="n">
        <x:v>11</x:v>
      </x:c>
      <x:c r="AC2216" s="16" t="n">
        <x:v>0</x:v>
      </x:c>
      <x:c r="AD2216" s="21" t="n">
        <x:f>IF(E2216="",MEDIAN($E$2:$E$2237),E2216)</x:f>
        <x:v>82032</x:v>
      </x:c>
      <x:c r="AE2216" s="17" t="n">
        <x:f>2014-B2216</x:f>
        <x:v>66</x:v>
      </x:c>
      <x:c r="AF2216" s="17" t="n">
        <x:f>F2216+G2216</x:f>
        <x:v>0</x:v>
      </x:c>
      <x:c r="AG2216" s="21" t="n">
        <x:f>SUM(J2216:O2216)</x:f>
        <x:v>1234</x:v>
      </x:c>
      <x:c r="AH2216" s="17" t="n">
        <x:f>SUM(Q2216:S2216)</x:f>
        <x:v>17</x:v>
      </x:c>
      <x:c r="AI2216" s="17" t="n">
        <x:f>SUM(U2216:Y2216)</x:f>
        <x:v>0</x:v>
      </x:c>
      <x:c r="AJ2216" s="17" t="str">
        <x:f>IF(AE2216&lt;=34,"≤34",IF(AE2216&lt;=44,"35–44",IF(AE2216&lt;=54,"45–54",IF(AE2216&lt;=64,"55–64","65+"))))</x:f>
        <x:v>65+</x:v>
      </x:c>
      <x:c r="AK2216" s="17" t="str">
        <x:f>IF(AG2216&gt;=1000,"High Value",IF(AG2216&gt;=300,"Mid Value","Low Value"))</x:f>
        <x:v>High Value</x:v>
      </x:c>
      <x:c r="AL2216" s="17" t="str">
        <x:f>IF(AND(AI2216&gt;=1,I2216&lt;=50),"Priority 1",IF(AND(AG2216&gt;=1000,I2216&lt;=60),"Priority 2",IF(I2216&lt;=30,"Priority 3","Nurture")))</x:f>
        <x:v>Priority 2</x:v>
      </x:c>
    </x:row>
    <x:row r="2217">
      <x:c r="A2217" s="16" t="n">
        <x:v>4838</x:v>
      </x:c>
      <x:c r="B2217" s="16" t="n">
        <x:v>1978</x:v>
      </x:c>
      <x:c r="C2217" s="16" t="str">
        <x:v>Graduation</x:v>
      </x:c>
      <x:c r="D2217" s="16" t="str">
        <x:v>Together</x:v>
      </x:c>
      <x:c r="E2217" s="16" t="n">
        <x:v>22775</x:v>
      </x:c>
      <x:c r="F2217" s="16" t="n">
        <x:v>1</x:v>
      </x:c>
      <x:c r="G2217" s="16" t="n">
        <x:v>0</x:v>
      </x:c>
      <x:c r="H2217" s="16" t="str">
        <x:v>19-06-2013</x:v>
      </x:c>
      <x:c r="I2217" s="16" t="n">
        <x:v>40</x:v>
      </x:c>
      <x:c r="J2217" s="16" t="n">
        <x:v>5</x:v>
      </x:c>
      <x:c r="K2217" s="16" t="n">
        <x:v>1</x:v>
      </x:c>
      <x:c r="L2217" s="16" t="n">
        <x:v>8</x:v>
      </x:c>
      <x:c r="M2217" s="16" t="n">
        <x:v>0</x:v>
      </x:c>
      <x:c r="N2217" s="16" t="n">
        <x:v>0</x:v>
      </x:c>
      <x:c r="O2217" s="16" t="n">
        <x:v>1</x:v>
      </x:c>
      <x:c r="P2217" s="16" t="n">
        <x:v>1</x:v>
      </x:c>
      <x:c r="Q2217" s="16" t="n">
        <x:v>1</x:v>
      </x:c>
      <x:c r="R2217" s="16" t="n">
        <x:v>0</x:v>
      </x:c>
      <x:c r="S2217" s="16" t="n">
        <x:v>2</x:v>
      </x:c>
      <x:c r="T2217" s="16" t="n">
        <x:v>8</x:v>
      </x:c>
      <x:c r="U2217" s="16" t="n">
        <x:v>0</x:v>
      </x:c>
      <x:c r="V2217" s="16" t="n">
        <x:v>0</x:v>
      </x:c>
      <x:c r="W2217" s="16" t="n">
        <x:v>0</x:v>
      </x:c>
      <x:c r="X2217" s="16" t="n">
        <x:v>0</x:v>
      </x:c>
      <x:c r="Y2217" s="16" t="n">
        <x:v>0</x:v>
      </x:c>
      <x:c r="Z2217" s="16" t="n">
        <x:v>0</x:v>
      </x:c>
      <x:c r="AA2217" s="16" t="n">
        <x:v>3</x:v>
      </x:c>
      <x:c r="AB2217" s="16" t="n">
        <x:v>11</x:v>
      </x:c>
      <x:c r="AC2217" s="16" t="n">
        <x:v>0</x:v>
      </x:c>
      <x:c r="AD2217" s="21" t="n">
        <x:f>IF(E2217="",MEDIAN($E$2:$E$2237),E2217)</x:f>
        <x:v>22775</x:v>
      </x:c>
      <x:c r="AE2217" s="17" t="n">
        <x:f>2014-B2217</x:f>
        <x:v>36</x:v>
      </x:c>
      <x:c r="AF2217" s="17" t="n">
        <x:f>F2217+G2217</x:f>
        <x:v>1</x:v>
      </x:c>
      <x:c r="AG2217" s="21" t="n">
        <x:f>SUM(J2217:O2217)</x:f>
        <x:v>15</x:v>
      </x:c>
      <x:c r="AH2217" s="17" t="n">
        <x:f>SUM(Q2217:S2217)</x:f>
        <x:v>3</x:v>
      </x:c>
      <x:c r="AI2217" s="17" t="n">
        <x:f>SUM(U2217:Y2217)</x:f>
        <x:v>0</x:v>
      </x:c>
      <x:c r="AJ2217" s="17" t="str">
        <x:f>IF(AE2217&lt;=34,"≤34",IF(AE2217&lt;=44,"35–44",IF(AE2217&lt;=54,"45–54",IF(AE2217&lt;=64,"55–64","65+"))))</x:f>
        <x:v>35–44</x:v>
      </x:c>
      <x:c r="AK2217" s="17" t="str">
        <x:f>IF(AG2217&gt;=1000,"High Value",IF(AG2217&gt;=300,"Mid Value","Low Value"))</x:f>
        <x:v>Low Value</x:v>
      </x:c>
      <x:c r="AL2217" s="17" t="str">
        <x:f>IF(AND(AI2217&gt;=1,I2217&lt;=50),"Priority 1",IF(AND(AG2217&gt;=1000,I2217&lt;=60),"Priority 2",IF(I2217&lt;=30,"Priority 3","Nurture")))</x:f>
        <x:v>Nurture</x:v>
      </x:c>
    </x:row>
    <x:row r="2218">
      <x:c r="A2218" s="16" t="n">
        <x:v>9246</x:v>
      </x:c>
      <x:c r="B2218" s="16" t="n">
        <x:v>1985</x:v>
      </x:c>
      <x:c r="C2218" s="16" t="str">
        <x:v>Master</x:v>
      </x:c>
      <x:c r="D2218" s="16" t="str">
        <x:v>Together</x:v>
      </x:c>
      <x:c r="E2218" s="16" t="n">
        <x:v>40101</x:v>
      </x:c>
      <x:c r="F2218" s="16" t="n">
        <x:v>1</x:v>
      </x:c>
      <x:c r="G2218" s="16" t="n">
        <x:v>0</x:v>
      </x:c>
      <x:c r="H2218" s="16" t="str">
        <x:v>14-10-2012</x:v>
      </x:c>
      <x:c r="I2218" s="16" t="n">
        <x:v>73</x:v>
      </x:c>
      <x:c r="J2218" s="16" t="n">
        <x:v>171</x:v>
      </x:c>
      <x:c r="K2218" s="16" t="n">
        <x:v>3</x:v>
      </x:c>
      <x:c r="L2218" s="16" t="n">
        <x:v>129</x:v>
      </x:c>
      <x:c r="M2218" s="16" t="n">
        <x:v>26</x:v>
      </x:c>
      <x:c r="N2218" s="16" t="n">
        <x:v>24</x:v>
      </x:c>
      <x:c r="O2218" s="16" t="n">
        <x:v>62</x:v>
      </x:c>
      <x:c r="P2218" s="16" t="n">
        <x:v>4</x:v>
      </x:c>
      <x:c r="Q2218" s="16" t="n">
        <x:v>6</x:v>
      </x:c>
      <x:c r="R2218" s="16" t="n">
        <x:v>1</x:v>
      </x:c>
      <x:c r="S2218" s="16" t="n">
        <x:v>6</x:v>
      </x:c>
      <x:c r="T2218" s="16" t="n">
        <x:v>7</x:v>
      </x:c>
      <x:c r="U2218" s="16" t="n">
        <x:v>0</x:v>
      </x:c>
      <x:c r="V2218" s="16" t="n">
        <x:v>0</x:v>
      </x:c>
      <x:c r="W2218" s="16" t="n">
        <x:v>0</x:v>
      </x:c>
      <x:c r="X2218" s="16" t="n">
        <x:v>0</x:v>
      </x:c>
      <x:c r="Y2218" s="16" t="n">
        <x:v>0</x:v>
      </x:c>
      <x:c r="Z2218" s="16" t="n">
        <x:v>0</x:v>
      </x:c>
      <x:c r="AA2218" s="16" t="n">
        <x:v>3</x:v>
      </x:c>
      <x:c r="AB2218" s="16" t="n">
        <x:v>11</x:v>
      </x:c>
      <x:c r="AC2218" s="16" t="n">
        <x:v>0</x:v>
      </x:c>
      <x:c r="AD2218" s="21" t="n">
        <x:f>IF(E2218="",MEDIAN($E$2:$E$2237),E2218)</x:f>
        <x:v>40101</x:v>
      </x:c>
      <x:c r="AE2218" s="17" t="n">
        <x:f>2014-B2218</x:f>
        <x:v>29</x:v>
      </x:c>
      <x:c r="AF2218" s="17" t="n">
        <x:f>F2218+G2218</x:f>
        <x:v>1</x:v>
      </x:c>
      <x:c r="AG2218" s="21" t="n">
        <x:f>SUM(J2218:O2218)</x:f>
        <x:v>415</x:v>
      </x:c>
      <x:c r="AH2218" s="17" t="n">
        <x:f>SUM(Q2218:S2218)</x:f>
        <x:v>13</x:v>
      </x:c>
      <x:c r="AI2218" s="17" t="n">
        <x:f>SUM(U2218:Y2218)</x:f>
        <x:v>0</x:v>
      </x:c>
      <x:c r="AJ2218" s="17" t="str">
        <x:f>IF(AE2218&lt;=34,"≤34",IF(AE2218&lt;=44,"35–44",IF(AE2218&lt;=54,"45–54",IF(AE2218&lt;=64,"55–64","65+"))))</x:f>
        <x:v>≤34</x:v>
      </x:c>
      <x:c r="AK2218" s="17" t="str">
        <x:f>IF(AG2218&gt;=1000,"High Value",IF(AG2218&gt;=300,"Mid Value","Low Value"))</x:f>
        <x:v>Mid Value</x:v>
      </x:c>
      <x:c r="AL2218" s="17" t="str">
        <x:f>IF(AND(AI2218&gt;=1,I2218&lt;=50),"Priority 1",IF(AND(AG2218&gt;=1000,I2218&lt;=60),"Priority 2",IF(I2218&lt;=30,"Priority 3","Nurture")))</x:f>
        <x:v>Nurture</x:v>
      </x:c>
    </x:row>
    <x:row r="2219">
      <x:c r="A2219" s="16" t="n">
        <x:v>6261</x:v>
      </x:c>
      <x:c r="B2219" s="16" t="n">
        <x:v>1979</x:v>
      </x:c>
      <x:c r="C2219" s="16" t="str">
        <x:v>Graduation</x:v>
      </x:c>
      <x:c r="D2219" s="16" t="str">
        <x:v>Married</x:v>
      </x:c>
      <x:c r="E2219" s="16" t="n">
        <x:v>58025</x:v>
      </x:c>
      <x:c r="F2219" s="16" t="n">
        <x:v>0</x:v>
      </x:c>
      <x:c r="G2219" s="16" t="n">
        <x:v>1</x:v>
      </x:c>
      <x:c r="H2219" s="16" t="str">
        <x:v>26-11-2013</x:v>
      </x:c>
      <x:c r="I2219" s="16" t="n">
        <x:v>81</x:v>
      </x:c>
      <x:c r="J2219" s="16" t="n">
        <x:v>270</x:v>
      </x:c>
      <x:c r="K2219" s="16" t="n">
        <x:v>31</x:v>
      </x:c>
      <x:c r="L2219" s="16" t="n">
        <x:v>88</x:v>
      </x:c>
      <x:c r="M2219" s="16" t="n">
        <x:v>11</x:v>
      </x:c>
      <x:c r="N2219" s="16" t="n">
        <x:v>48</x:v>
      </x:c>
      <x:c r="O2219" s="16" t="n">
        <x:v>22</x:v>
      </x:c>
      <x:c r="P2219" s="16" t="n">
        <x:v>3</x:v>
      </x:c>
      <x:c r="Q2219" s="16" t="n">
        <x:v>3</x:v>
      </x:c>
      <x:c r="R2219" s="16" t="n">
        <x:v>2</x:v>
      </x:c>
      <x:c r="S2219" s="16" t="n">
        <x:v>10</x:v>
      </x:c>
      <x:c r="T2219" s="16" t="n">
        <x:v>4</x:v>
      </x:c>
      <x:c r="U2219" s="16" t="n">
        <x:v>0</x:v>
      </x:c>
      <x:c r="V2219" s="16" t="n">
        <x:v>0</x:v>
      </x:c>
      <x:c r="W2219" s="16" t="n">
        <x:v>0</x:v>
      </x:c>
      <x:c r="X2219" s="16" t="n">
        <x:v>0</x:v>
      </x:c>
      <x:c r="Y2219" s="16" t="n">
        <x:v>0</x:v>
      </x:c>
      <x:c r="Z2219" s="16" t="n">
        <x:v>0</x:v>
      </x:c>
      <x:c r="AA2219" s="16" t="n">
        <x:v>3</x:v>
      </x:c>
      <x:c r="AB2219" s="16" t="n">
        <x:v>11</x:v>
      </x:c>
      <x:c r="AC2219" s="16" t="n">
        <x:v>0</x:v>
      </x:c>
      <x:c r="AD2219" s="21" t="n">
        <x:f>IF(E2219="",MEDIAN($E$2:$E$2237),E2219)</x:f>
        <x:v>58025</x:v>
      </x:c>
      <x:c r="AE2219" s="17" t="n">
        <x:f>2014-B2219</x:f>
        <x:v>35</x:v>
      </x:c>
      <x:c r="AF2219" s="17" t="n">
        <x:f>F2219+G2219</x:f>
        <x:v>1</x:v>
      </x:c>
      <x:c r="AG2219" s="21" t="n">
        <x:f>SUM(J2219:O2219)</x:f>
        <x:v>470</x:v>
      </x:c>
      <x:c r="AH2219" s="17" t="n">
        <x:f>SUM(Q2219:S2219)</x:f>
        <x:v>15</x:v>
      </x:c>
      <x:c r="AI2219" s="17" t="n">
        <x:f>SUM(U2219:Y2219)</x:f>
        <x:v>0</x:v>
      </x:c>
      <x:c r="AJ2219" s="17" t="str">
        <x:f>IF(AE2219&lt;=34,"≤34",IF(AE2219&lt;=44,"35–44",IF(AE2219&lt;=54,"45–54",IF(AE2219&lt;=64,"55–64","65+"))))</x:f>
        <x:v>35–44</x:v>
      </x:c>
      <x:c r="AK2219" s="17" t="str">
        <x:f>IF(AG2219&gt;=1000,"High Value",IF(AG2219&gt;=300,"Mid Value","Low Value"))</x:f>
        <x:v>Mid Value</x:v>
      </x:c>
      <x:c r="AL2219" s="17" t="str">
        <x:f>IF(AND(AI2219&gt;=1,I2219&lt;=50),"Priority 1",IF(AND(AG2219&gt;=1000,I2219&lt;=60),"Priority 2",IF(I2219&lt;=30,"Priority 3","Nurture")))</x:f>
        <x:v>Nurture</x:v>
      </x:c>
    </x:row>
    <x:row r="2220">
      <x:c r="A2220" s="16" t="n">
        <x:v>7366</x:v>
      </x:c>
      <x:c r="B2220" s="16" t="n">
        <x:v>1982</x:v>
      </x:c>
      <x:c r="C2220" s="16" t="str">
        <x:v>Master</x:v>
      </x:c>
      <x:c r="D2220" s="16" t="str">
        <x:v>Single</x:v>
      </x:c>
      <x:c r="E2220" s="16" t="n">
        <x:v>75777</x:v>
      </x:c>
      <x:c r="F2220" s="16" t="n">
        <x:v>0</x:v>
      </x:c>
      <x:c r="G2220" s="16" t="n">
        <x:v>0</x:v>
      </x:c>
      <x:c r="H2220" s="16" t="str">
        <x:v>04-07-2013</x:v>
      </x:c>
      <x:c r="I2220" s="16" t="n">
        <x:v>12</x:v>
      </x:c>
      <x:c r="J2220" s="16" t="n">
        <x:v>712</x:v>
      </x:c>
      <x:c r="K2220" s="16" t="n">
        <x:v>26</x:v>
      </x:c>
      <x:c r="L2220" s="16" t="n">
        <x:v>538</x:v>
      </x:c>
      <x:c r="M2220" s="16" t="n">
        <x:v>69</x:v>
      </x:c>
      <x:c r="N2220" s="16" t="n">
        <x:v>13</x:v>
      </x:c>
      <x:c r="O2220" s="16" t="n">
        <x:v>80</x:v>
      </x:c>
      <x:c r="P2220" s="16" t="n">
        <x:v>1</x:v>
      </x:c>
      <x:c r="Q2220" s="16" t="n">
        <x:v>3</x:v>
      </x:c>
      <x:c r="R2220" s="16" t="n">
        <x:v>6</x:v>
      </x:c>
      <x:c r="S2220" s="16" t="n">
        <x:v>11</x:v>
      </x:c>
      <x:c r="T2220" s="16" t="n">
        <x:v>1</x:v>
      </x:c>
      <x:c r="U2220" s="16" t="n">
        <x:v>0</x:v>
      </x:c>
      <x:c r="V2220" s="16" t="n">
        <x:v>1</x:v>
      </x:c>
      <x:c r="W2220" s="16" t="n">
        <x:v>1</x:v>
      </x:c>
      <x:c r="X2220" s="16" t="n">
        <x:v>0</x:v>
      </x:c>
      <x:c r="Y2220" s="16" t="n">
        <x:v>0</x:v>
      </x:c>
      <x:c r="Z2220" s="16" t="n">
        <x:v>0</x:v>
      </x:c>
      <x:c r="AA2220" s="16" t="n">
        <x:v>3</x:v>
      </x:c>
      <x:c r="AB2220" s="16" t="n">
        <x:v>11</x:v>
      </x:c>
      <x:c r="AC2220" s="16" t="n">
        <x:v>1</x:v>
      </x:c>
      <x:c r="AD2220" s="21" t="n">
        <x:f>IF(E2220="",MEDIAN($E$2:$E$2237),E2220)</x:f>
        <x:v>75777</x:v>
      </x:c>
      <x:c r="AE2220" s="17" t="n">
        <x:f>2014-B2220</x:f>
        <x:v>32</x:v>
      </x:c>
      <x:c r="AF2220" s="17" t="n">
        <x:f>F2220+G2220</x:f>
        <x:v>0</x:v>
      </x:c>
      <x:c r="AG2220" s="21" t="n">
        <x:f>SUM(J2220:O2220)</x:f>
        <x:v>1438</x:v>
      </x:c>
      <x:c r="AH2220" s="17" t="n">
        <x:f>SUM(Q2220:S2220)</x:f>
        <x:v>20</x:v>
      </x:c>
      <x:c r="AI2220" s="17" t="n">
        <x:f>SUM(U2220:Y2220)</x:f>
        <x:v>2</x:v>
      </x:c>
      <x:c r="AJ2220" s="17" t="str">
        <x:f>IF(AE2220&lt;=34,"≤34",IF(AE2220&lt;=44,"35–44",IF(AE2220&lt;=54,"45–54",IF(AE2220&lt;=64,"55–64","65+"))))</x:f>
        <x:v>≤34</x:v>
      </x:c>
      <x:c r="AK2220" s="17" t="str">
        <x:f>IF(AG2220&gt;=1000,"High Value",IF(AG2220&gt;=300,"Mid Value","Low Value"))</x:f>
        <x:v>High Value</x:v>
      </x:c>
      <x:c r="AL2220" s="17" t="str">
        <x:f>IF(AND(AI2220&gt;=1,I2220&lt;=50),"Priority 1",IF(AND(AG2220&gt;=1000,I2220&lt;=60),"Priority 2",IF(I2220&lt;=30,"Priority 3","Nurture")))</x:f>
        <x:v>Priority 1</x:v>
      </x:c>
    </x:row>
    <x:row r="2221">
      <x:c r="A2221" s="16" t="n">
        <x:v>10659</x:v>
      </x:c>
      <x:c r="B2221" s="16" t="n">
        <x:v>1979</x:v>
      </x:c>
      <x:c r="C2221" s="16" t="str">
        <x:v>2n Cycle</x:v>
      </x:c>
      <x:c r="D2221" s="16" t="str">
        <x:v>Together</x:v>
      </x:c>
      <x:c r="E2221" s="16" t="n">
        <x:v>7500</x:v>
      </x:c>
      <x:c r="F2221" s="16" t="n">
        <x:v>1</x:v>
      </x:c>
      <x:c r="G2221" s="16" t="n">
        <x:v>0</x:v>
      </x:c>
      <x:c r="H2221" s="16" t="str">
        <x:v>07-05-2013</x:v>
      </x:c>
      <x:c r="I2221" s="16" t="n">
        <x:v>7</x:v>
      </x:c>
      <x:c r="J2221" s="16" t="n">
        <x:v>2</x:v>
      </x:c>
      <x:c r="K2221" s="16" t="n">
        <x:v>8</x:v>
      </x:c>
      <x:c r="L2221" s="16" t="n">
        <x:v>11</x:v>
      </x:c>
      <x:c r="M2221" s="16" t="n">
        <x:v>3</x:v>
      </x:c>
      <x:c r="N2221" s="16" t="n">
        <x:v>8</x:v>
      </x:c>
      <x:c r="O2221" s="16" t="n">
        <x:v>21</x:v>
      </x:c>
      <x:c r="P2221" s="16" t="n">
        <x:v>4</x:v>
      </x:c>
      <x:c r="Q2221" s="16" t="n">
        <x:v>3</x:v>
      </x:c>
      <x:c r="R2221" s="16" t="n">
        <x:v>2</x:v>
      </x:c>
      <x:c r="S2221" s="16" t="n">
        <x:v>2</x:v>
      </x:c>
      <x:c r="T2221" s="16" t="n">
        <x:v>7</x:v>
      </x:c>
      <x:c r="U2221" s="16" t="n">
        <x:v>0</x:v>
      </x:c>
      <x:c r="V2221" s="16" t="n">
        <x:v>0</x:v>
      </x:c>
      <x:c r="W2221" s="16" t="n">
        <x:v>0</x:v>
      </x:c>
      <x:c r="X2221" s="16" t="n">
        <x:v>0</x:v>
      </x:c>
      <x:c r="Y2221" s="16" t="n">
        <x:v>0</x:v>
      </x:c>
      <x:c r="Z2221" s="16" t="n">
        <x:v>0</x:v>
      </x:c>
      <x:c r="AA2221" s="16" t="n">
        <x:v>3</x:v>
      </x:c>
      <x:c r="AB2221" s="16" t="n">
        <x:v>11</x:v>
      </x:c>
      <x:c r="AC2221" s="16" t="n">
        <x:v>0</x:v>
      </x:c>
      <x:c r="AD2221" s="21" t="n">
        <x:f>IF(E2221="",MEDIAN($E$2:$E$2237),E2221)</x:f>
        <x:v>7500</x:v>
      </x:c>
      <x:c r="AE2221" s="17" t="n">
        <x:f>2014-B2221</x:f>
        <x:v>35</x:v>
      </x:c>
      <x:c r="AF2221" s="17" t="n">
        <x:f>F2221+G2221</x:f>
        <x:v>1</x:v>
      </x:c>
      <x:c r="AG2221" s="21" t="n">
        <x:f>SUM(J2221:O2221)</x:f>
        <x:v>53</x:v>
      </x:c>
      <x:c r="AH2221" s="17" t="n">
        <x:f>SUM(Q2221:S2221)</x:f>
        <x:v>7</x:v>
      </x:c>
      <x:c r="AI2221" s="17" t="n">
        <x:f>SUM(U2221:Y2221)</x:f>
        <x:v>0</x:v>
      </x:c>
      <x:c r="AJ2221" s="17" t="str">
        <x:f>IF(AE2221&lt;=34,"≤34",IF(AE2221&lt;=44,"35–44",IF(AE2221&lt;=54,"45–54",IF(AE2221&lt;=64,"55–64","65+"))))</x:f>
        <x:v>35–44</x:v>
      </x:c>
      <x:c r="AK2221" s="17" t="str">
        <x:f>IF(AG2221&gt;=1000,"High Value",IF(AG2221&gt;=300,"Mid Value","Low Value"))</x:f>
        <x:v>Low Value</x:v>
      </x:c>
      <x:c r="AL2221" s="17" t="str">
        <x:f>IF(AND(AI2221&gt;=1,I2221&lt;=50),"Priority 1",IF(AND(AG2221&gt;=1000,I2221&lt;=60),"Priority 2",IF(I2221&lt;=30,"Priority 3","Nurture")))</x:f>
        <x:v>Priority 3</x:v>
      </x:c>
    </x:row>
    <x:row r="2222">
      <x:c r="A2222" s="16" t="n">
        <x:v>1448</x:v>
      </x:c>
      <x:c r="B2222" s="16" t="n">
        <x:v>1963</x:v>
      </x:c>
      <x:c r="C2222" s="16" t="str">
        <x:v>Master</x:v>
      </x:c>
      <x:c r="D2222" s="16" t="str">
        <x:v>Married</x:v>
      </x:c>
      <x:c r="E2222" s="16" t="n">
        <x:v>33562</x:v>
      </x:c>
      <x:c r="F2222" s="16" t="n">
        <x:v>1</x:v>
      </x:c>
      <x:c r="G2222" s="16" t="n">
        <x:v>2</x:v>
      </x:c>
      <x:c r="H2222" s="16" t="str">
        <x:v>25-06-2014</x:v>
      </x:c>
      <x:c r="I2222" s="16" t="n">
        <x:v>33</x:v>
      </x:c>
      <x:c r="J2222" s="16" t="n">
        <x:v>21</x:v>
      </x:c>
      <x:c r="K2222" s="16" t="n">
        <x:v>12</x:v>
      </x:c>
      <x:c r="L2222" s="16" t="n">
        <x:v>12</x:v>
      </x:c>
      <x:c r="M2222" s="16" t="n">
        <x:v>0</x:v>
      </x:c>
      <x:c r="N2222" s="16" t="n">
        <x:v>3</x:v>
      </x:c>
      <x:c r="O2222" s="16" t="n">
        <x:v>3</x:v>
      </x:c>
      <x:c r="P2222" s="16" t="n">
        <x:v>3</x:v>
      </x:c>
      <x:c r="Q2222" s="16" t="n">
        <x:v>2</x:v>
      </x:c>
      <x:c r="R2222" s="16" t="n">
        <x:v>0</x:v>
      </x:c>
      <x:c r="S2222" s="16" t="n">
        <x:v>4</x:v>
      </x:c>
      <x:c r="T2222" s="16" t="n">
        <x:v>4</x:v>
      </x:c>
      <x:c r="U2222" s="16" t="n">
        <x:v>0</x:v>
      </x:c>
      <x:c r="V2222" s="16" t="n">
        <x:v>0</x:v>
      </x:c>
      <x:c r="W2222" s="16" t="n">
        <x:v>0</x:v>
      </x:c>
      <x:c r="X2222" s="16" t="n">
        <x:v>0</x:v>
      </x:c>
      <x:c r="Y2222" s="16" t="n">
        <x:v>0</x:v>
      </x:c>
      <x:c r="Z2222" s="16" t="n">
        <x:v>0</x:v>
      </x:c>
      <x:c r="AA2222" s="16" t="n">
        <x:v>3</x:v>
      </x:c>
      <x:c r="AB2222" s="16" t="n">
        <x:v>11</x:v>
      </x:c>
      <x:c r="AC2222" s="16" t="n">
        <x:v>0</x:v>
      </x:c>
      <x:c r="AD2222" s="21" t="n">
        <x:f>IF(E2222="",MEDIAN($E$2:$E$2237),E2222)</x:f>
        <x:v>33562</x:v>
      </x:c>
      <x:c r="AE2222" s="17" t="n">
        <x:f>2014-B2222</x:f>
        <x:v>51</x:v>
      </x:c>
      <x:c r="AF2222" s="17" t="n">
        <x:f>F2222+G2222</x:f>
        <x:v>3</x:v>
      </x:c>
      <x:c r="AG2222" s="21" t="n">
        <x:f>SUM(J2222:O2222)</x:f>
        <x:v>51</x:v>
      </x:c>
      <x:c r="AH2222" s="17" t="n">
        <x:f>SUM(Q2222:S2222)</x:f>
        <x:v>6</x:v>
      </x:c>
      <x:c r="AI2222" s="17" t="n">
        <x:f>SUM(U2222:Y2222)</x:f>
        <x:v>0</x:v>
      </x:c>
      <x:c r="AJ2222" s="17" t="str">
        <x:f>IF(AE2222&lt;=34,"≤34",IF(AE2222&lt;=44,"35–44",IF(AE2222&lt;=54,"45–54",IF(AE2222&lt;=64,"55–64","65+"))))</x:f>
        <x:v>45–54</x:v>
      </x:c>
      <x:c r="AK2222" s="17" t="str">
        <x:f>IF(AG2222&gt;=1000,"High Value",IF(AG2222&gt;=300,"Mid Value","Low Value"))</x:f>
        <x:v>Low Value</x:v>
      </x:c>
      <x:c r="AL2222" s="17" t="str">
        <x:f>IF(AND(AI2222&gt;=1,I2222&lt;=50),"Priority 1",IF(AND(AG2222&gt;=1000,I2222&lt;=60),"Priority 2",IF(I2222&lt;=30,"Priority 3","Nurture")))</x:f>
        <x:v>Nurture</x:v>
      </x:c>
    </x:row>
    <x:row r="2223">
      <x:c r="A2223" s="16" t="n">
        <x:v>4286</x:v>
      </x:c>
      <x:c r="B2223" s="16" t="n">
        <x:v>1970</x:v>
      </x:c>
      <x:c r="C2223" s="16" t="str">
        <x:v>PhD</x:v>
      </x:c>
      <x:c r="D2223" s="16" t="str">
        <x:v>Single</x:v>
      </x:c>
      <x:c r="E2223" s="16" t="n">
        <x:v>57642</x:v>
      </x:c>
      <x:c r="F2223" s="16" t="n">
        <x:v>0</x:v>
      </x:c>
      <x:c r="G2223" s="16" t="n">
        <x:v>1</x:v>
      </x:c>
      <x:c r="H2223" s="16" t="str">
        <x:v>09-01-2014</x:v>
      </x:c>
      <x:c r="I2223" s="16" t="n">
        <x:v>24</x:v>
      </x:c>
      <x:c r="J2223" s="16" t="n">
        <x:v>580</x:v>
      </x:c>
      <x:c r="K2223" s="16" t="n">
        <x:v>6</x:v>
      </x:c>
      <x:c r="L2223" s="16" t="n">
        <x:v>58</x:v>
      </x:c>
      <x:c r="M2223" s="16" t="n">
        <x:v>8</x:v>
      </x:c>
      <x:c r="N2223" s="16" t="n">
        <x:v>0</x:v>
      </x:c>
      <x:c r="O2223" s="16" t="n">
        <x:v>27</x:v>
      </x:c>
      <x:c r="P2223" s="16" t="n">
        <x:v>3</x:v>
      </x:c>
      <x:c r="Q2223" s="16" t="n">
        <x:v>7</x:v>
      </x:c>
      <x:c r="R2223" s="16" t="n">
        <x:v>6</x:v>
      </x:c>
      <x:c r="S2223" s="16" t="n">
        <x:v>6</x:v>
      </x:c>
      <x:c r="T2223" s="16" t="n">
        <x:v>4</x:v>
      </x:c>
      <x:c r="U2223" s="16" t="n">
        <x:v>1</x:v>
      </x:c>
      <x:c r="V2223" s="16" t="n">
        <x:v>0</x:v>
      </x:c>
      <x:c r="W2223" s="16" t="n">
        <x:v>0</x:v>
      </x:c>
      <x:c r="X2223" s="16" t="n">
        <x:v>0</x:v>
      </x:c>
      <x:c r="Y2223" s="16" t="n">
        <x:v>0</x:v>
      </x:c>
      <x:c r="Z2223" s="16" t="n">
        <x:v>0</x:v>
      </x:c>
      <x:c r="AA2223" s="16" t="n">
        <x:v>3</x:v>
      </x:c>
      <x:c r="AB2223" s="16" t="n">
        <x:v>11</x:v>
      </x:c>
      <x:c r="AC2223" s="16" t="n">
        <x:v>0</x:v>
      </x:c>
      <x:c r="AD2223" s="21" t="n">
        <x:f>IF(E2223="",MEDIAN($E$2:$E$2237),E2223)</x:f>
        <x:v>57642</x:v>
      </x:c>
      <x:c r="AE2223" s="17" t="n">
        <x:f>2014-B2223</x:f>
        <x:v>44</x:v>
      </x:c>
      <x:c r="AF2223" s="17" t="n">
        <x:f>F2223+G2223</x:f>
        <x:v>1</x:v>
      </x:c>
      <x:c r="AG2223" s="21" t="n">
        <x:f>SUM(J2223:O2223)</x:f>
        <x:v>679</x:v>
      </x:c>
      <x:c r="AH2223" s="17" t="n">
        <x:f>SUM(Q2223:S2223)</x:f>
        <x:v>19</x:v>
      </x:c>
      <x:c r="AI2223" s="17" t="n">
        <x:f>SUM(U2223:Y2223)</x:f>
        <x:v>1</x:v>
      </x:c>
      <x:c r="AJ2223" s="17" t="str">
        <x:f>IF(AE2223&lt;=34,"≤34",IF(AE2223&lt;=44,"35–44",IF(AE2223&lt;=54,"45–54",IF(AE2223&lt;=64,"55–64","65+"))))</x:f>
        <x:v>35–44</x:v>
      </x:c>
      <x:c r="AK2223" s="17" t="str">
        <x:f>IF(AG2223&gt;=1000,"High Value",IF(AG2223&gt;=300,"Mid Value","Low Value"))</x:f>
        <x:v>Mid Value</x:v>
      </x:c>
      <x:c r="AL2223" s="17" t="str">
        <x:f>IF(AND(AI2223&gt;=1,I2223&lt;=50),"Priority 1",IF(AND(AG2223&gt;=1000,I2223&lt;=60),"Priority 2",IF(I2223&lt;=30,"Priority 3","Nurture")))</x:f>
        <x:v>Priority 1</x:v>
      </x:c>
    </x:row>
    <x:row r="2224">
      <x:c r="A2224" s="16" t="n">
        <x:v>4749</x:v>
      </x:c>
      <x:c r="B2224" s="16" t="n">
        <x:v>1968</x:v>
      </x:c>
      <x:c r="C2224" s="16" t="str">
        <x:v>Graduation</x:v>
      </x:c>
      <x:c r="D2224" s="16" t="str">
        <x:v>Together</x:v>
      </x:c>
      <x:c r="E2224" s="16" t="n">
        <x:v>58554</x:v>
      </x:c>
      <x:c r="F2224" s="16" t="n">
        <x:v>1</x:v>
      </x:c>
      <x:c r="G2224" s="16" t="n">
        <x:v>1</x:v>
      </x:c>
      <x:c r="H2224" s="16" t="str">
        <x:v>26-09-2012</x:v>
      </x:c>
      <x:c r="I2224" s="16" t="n">
        <x:v>55</x:v>
      </x:c>
      <x:c r="J2224" s="16" t="n">
        <x:v>368</x:v>
      </x:c>
      <x:c r="K2224" s="16" t="n">
        <x:v>24</x:v>
      </x:c>
      <x:c r="L2224" s="16" t="n">
        <x:v>68</x:v>
      </x:c>
      <x:c r="M2224" s="16" t="n">
        <x:v>38</x:v>
      </x:c>
      <x:c r="N2224" s="16" t="n">
        <x:v>0</x:v>
      </x:c>
      <x:c r="O2224" s="16" t="n">
        <x:v>88</x:v>
      </x:c>
      <x:c r="P2224" s="16" t="n">
        <x:v>6</x:v>
      </x:c>
      <x:c r="Q2224" s="16" t="n">
        <x:v>8</x:v>
      </x:c>
      <x:c r="R2224" s="16" t="n">
        <x:v>2</x:v>
      </x:c>
      <x:c r="S2224" s="16" t="n">
        <x:v>6</x:v>
      </x:c>
      <x:c r="T2224" s="16" t="n">
        <x:v>7</x:v>
      </x:c>
      <x:c r="U2224" s="16" t="n">
        <x:v>0</x:v>
      </x:c>
      <x:c r="V2224" s="16" t="n">
        <x:v>0</x:v>
      </x:c>
      <x:c r="W2224" s="16" t="n">
        <x:v>0</x:v>
      </x:c>
      <x:c r="X2224" s="16" t="n">
        <x:v>0</x:v>
      </x:c>
      <x:c r="Y2224" s="16" t="n">
        <x:v>0</x:v>
      </x:c>
      <x:c r="Z2224" s="16" t="n">
        <x:v>0</x:v>
      </x:c>
      <x:c r="AA2224" s="16" t="n">
        <x:v>3</x:v>
      </x:c>
      <x:c r="AB2224" s="16" t="n">
        <x:v>11</x:v>
      </x:c>
      <x:c r="AC2224" s="16" t="n">
        <x:v>0</x:v>
      </x:c>
      <x:c r="AD2224" s="21" t="n">
        <x:f>IF(E2224="",MEDIAN($E$2:$E$2237),E2224)</x:f>
        <x:v>58554</x:v>
      </x:c>
      <x:c r="AE2224" s="17" t="n">
        <x:f>2014-B2224</x:f>
        <x:v>46</x:v>
      </x:c>
      <x:c r="AF2224" s="17" t="n">
        <x:f>F2224+G2224</x:f>
        <x:v>2</x:v>
      </x:c>
      <x:c r="AG2224" s="21" t="n">
        <x:f>SUM(J2224:O2224)</x:f>
        <x:v>586</x:v>
      </x:c>
      <x:c r="AH2224" s="17" t="n">
        <x:f>SUM(Q2224:S2224)</x:f>
        <x:v>16</x:v>
      </x:c>
      <x:c r="AI2224" s="17" t="n">
        <x:f>SUM(U2224:Y2224)</x:f>
        <x:v>0</x:v>
      </x:c>
      <x:c r="AJ2224" s="17" t="str">
        <x:f>IF(AE2224&lt;=34,"≤34",IF(AE2224&lt;=44,"35–44",IF(AE2224&lt;=54,"45–54",IF(AE2224&lt;=64,"55–64","65+"))))</x:f>
        <x:v>45–54</x:v>
      </x:c>
      <x:c r="AK2224" s="17" t="str">
        <x:f>IF(AG2224&gt;=1000,"High Value",IF(AG2224&gt;=300,"Mid Value","Low Value"))</x:f>
        <x:v>Mid Value</x:v>
      </x:c>
      <x:c r="AL2224" s="17" t="str">
        <x:f>IF(AND(AI2224&gt;=1,I2224&lt;=50),"Priority 1",IF(AND(AG2224&gt;=1000,I2224&lt;=60),"Priority 2",IF(I2224&lt;=30,"Priority 3","Nurture")))</x:f>
        <x:v>Nurture</x:v>
      </x:c>
    </x:row>
    <x:row r="2225">
      <x:c r="A2225" s="16" t="n">
        <x:v>4478</x:v>
      </x:c>
      <x:c r="B2225" s="16" t="n">
        <x:v>1979</x:v>
      </x:c>
      <x:c r="C2225" s="16" t="str">
        <x:v>Graduation</x:v>
      </x:c>
      <x:c r="D2225" s="16" t="str">
        <x:v>Married</x:v>
      </x:c>
      <x:c r="E2225" s="16" t="n">
        <x:v>63777</x:v>
      </x:c>
      <x:c r="F2225" s="16" t="n">
        <x:v>1</x:v>
      </x:c>
      <x:c r="G2225" s="16" t="n">
        <x:v>1</x:v>
      </x:c>
      <x:c r="H2225" s="16" t="str">
        <x:v>24-03-2013</x:v>
      </x:c>
      <x:c r="I2225" s="16" t="n">
        <x:v>87</x:v>
      </x:c>
      <x:c r="J2225" s="16" t="n">
        <x:v>457</x:v>
      </x:c>
      <x:c r="K2225" s="16" t="n">
        <x:v>5</x:v>
      </x:c>
      <x:c r="L2225" s="16" t="n">
        <x:v>106</x:v>
      </x:c>
      <x:c r="M2225" s="16" t="n">
        <x:v>15</x:v>
      </x:c>
      <x:c r="N2225" s="16" t="n">
        <x:v>17</x:v>
      </x:c>
      <x:c r="O2225" s="16" t="n">
        <x:v>53</x:v>
      </x:c>
      <x:c r="P2225" s="16" t="n">
        <x:v>8</x:v>
      </x:c>
      <x:c r="Q2225" s="16" t="n">
        <x:v>11</x:v>
      </x:c>
      <x:c r="R2225" s="16" t="n">
        <x:v>1</x:v>
      </x:c>
      <x:c r="S2225" s="16" t="n">
        <x:v>6</x:v>
      </x:c>
      <x:c r="T2225" s="16" t="n">
        <x:v>8</x:v>
      </x:c>
      <x:c r="U2225" s="16" t="n">
        <x:v>0</x:v>
      </x:c>
      <x:c r="V2225" s="16" t="n">
        <x:v>0</x:v>
      </x:c>
      <x:c r="W2225" s="16" t="n">
        <x:v>0</x:v>
      </x:c>
      <x:c r="X2225" s="16" t="n">
        <x:v>0</x:v>
      </x:c>
      <x:c r="Y2225" s="16" t="n">
        <x:v>0</x:v>
      </x:c>
      <x:c r="Z2225" s="16" t="n">
        <x:v>0</x:v>
      </x:c>
      <x:c r="AA2225" s="16" t="n">
        <x:v>3</x:v>
      </x:c>
      <x:c r="AB2225" s="16" t="n">
        <x:v>11</x:v>
      </x:c>
      <x:c r="AC2225" s="16" t="n">
        <x:v>0</x:v>
      </x:c>
      <x:c r="AD2225" s="21" t="n">
        <x:f>IF(E2225="",MEDIAN($E$2:$E$2237),E2225)</x:f>
        <x:v>63777</x:v>
      </x:c>
      <x:c r="AE2225" s="17" t="n">
        <x:f>2014-B2225</x:f>
        <x:v>35</x:v>
      </x:c>
      <x:c r="AF2225" s="17" t="n">
        <x:f>F2225+G2225</x:f>
        <x:v>2</x:v>
      </x:c>
      <x:c r="AG2225" s="21" t="n">
        <x:f>SUM(J2225:O2225)</x:f>
        <x:v>653</x:v>
      </x:c>
      <x:c r="AH2225" s="17" t="n">
        <x:f>SUM(Q2225:S2225)</x:f>
        <x:v>18</x:v>
      </x:c>
      <x:c r="AI2225" s="17" t="n">
        <x:f>SUM(U2225:Y2225)</x:f>
        <x:v>0</x:v>
      </x:c>
      <x:c r="AJ2225" s="17" t="str">
        <x:f>IF(AE2225&lt;=34,"≤34",IF(AE2225&lt;=44,"35–44",IF(AE2225&lt;=54,"45–54",IF(AE2225&lt;=64,"55–64","65+"))))</x:f>
        <x:v>35–44</x:v>
      </x:c>
      <x:c r="AK2225" s="17" t="str">
        <x:f>IF(AG2225&gt;=1000,"High Value",IF(AG2225&gt;=300,"Mid Value","Low Value"))</x:f>
        <x:v>Mid Value</x:v>
      </x:c>
      <x:c r="AL2225" s="17" t="str">
        <x:f>IF(AND(AI2225&gt;=1,I2225&lt;=50),"Priority 1",IF(AND(AG2225&gt;=1000,I2225&lt;=60),"Priority 2",IF(I2225&lt;=30,"Priority 3","Nurture")))</x:f>
        <x:v>Nurture</x:v>
      </x:c>
    </x:row>
    <x:row r="2226">
      <x:c r="A2226" s="16" t="n">
        <x:v>4201</x:v>
      </x:c>
      <x:c r="B2226" s="16" t="n">
        <x:v>1962</x:v>
      </x:c>
      <x:c r="C2226" s="16" t="str">
        <x:v>Graduation</x:v>
      </x:c>
      <x:c r="D2226" s="16" t="str">
        <x:v>Single</x:v>
      </x:c>
      <x:c r="E2226" s="16" t="n">
        <x:v>57967</x:v>
      </x:c>
      <x:c r="F2226" s="16" t="n">
        <x:v>0</x:v>
      </x:c>
      <x:c r="G2226" s="16" t="n">
        <x:v>1</x:v>
      </x:c>
      <x:c r="H2226" s="16" t="str">
        <x:v>03-03-2013</x:v>
      </x:c>
      <x:c r="I2226" s="16" t="n">
        <x:v>39</x:v>
      </x:c>
      <x:c r="J2226" s="16" t="n">
        <x:v>229</x:v>
      </x:c>
      <x:c r="K2226" s="16" t="n">
        <x:v>7</x:v>
      </x:c>
      <x:c r="L2226" s="16" t="n">
        <x:v>137</x:v>
      </x:c>
      <x:c r="M2226" s="16" t="n">
        <x:v>4</x:v>
      </x:c>
      <x:c r="N2226" s="16" t="n">
        <x:v>0</x:v>
      </x:c>
      <x:c r="O2226" s="16" t="n">
        <x:v>91</x:v>
      </x:c>
      <x:c r="P2226" s="16" t="n">
        <x:v>5</x:v>
      </x:c>
      <x:c r="Q2226" s="16" t="n">
        <x:v>4</x:v>
      </x:c>
      <x:c r="R2226" s="16" t="n">
        <x:v>2</x:v>
      </x:c>
      <x:c r="S2226" s="16" t="n">
        <x:v>8</x:v>
      </x:c>
      <x:c r="T2226" s="16" t="n">
        <x:v>5</x:v>
      </x:c>
      <x:c r="U2226" s="16" t="n">
        <x:v>0</x:v>
      </x:c>
      <x:c r="V2226" s="16" t="n">
        <x:v>0</x:v>
      </x:c>
      <x:c r="W2226" s="16" t="n">
        <x:v>0</x:v>
      </x:c>
      <x:c r="X2226" s="16" t="n">
        <x:v>0</x:v>
      </x:c>
      <x:c r="Y2226" s="16" t="n">
        <x:v>0</x:v>
      </x:c>
      <x:c r="Z2226" s="16" t="n">
        <x:v>0</x:v>
      </x:c>
      <x:c r="AA2226" s="16" t="n">
        <x:v>3</x:v>
      </x:c>
      <x:c r="AB2226" s="16" t="n">
        <x:v>11</x:v>
      </x:c>
      <x:c r="AC2226" s="16" t="n">
        <x:v>0</x:v>
      </x:c>
      <x:c r="AD2226" s="21" t="n">
        <x:f>IF(E2226="",MEDIAN($E$2:$E$2237),E2226)</x:f>
        <x:v>57967</x:v>
      </x:c>
      <x:c r="AE2226" s="17" t="n">
        <x:f>2014-B2226</x:f>
        <x:v>52</x:v>
      </x:c>
      <x:c r="AF2226" s="17" t="n">
        <x:f>F2226+G2226</x:f>
        <x:v>1</x:v>
      </x:c>
      <x:c r="AG2226" s="21" t="n">
        <x:f>SUM(J2226:O2226)</x:f>
        <x:v>468</x:v>
      </x:c>
      <x:c r="AH2226" s="17" t="n">
        <x:f>SUM(Q2226:S2226)</x:f>
        <x:v>14</x:v>
      </x:c>
      <x:c r="AI2226" s="17" t="n">
        <x:f>SUM(U2226:Y2226)</x:f>
        <x:v>0</x:v>
      </x:c>
      <x:c r="AJ2226" s="17" t="str">
        <x:f>IF(AE2226&lt;=34,"≤34",IF(AE2226&lt;=44,"35–44",IF(AE2226&lt;=54,"45–54",IF(AE2226&lt;=64,"55–64","65+"))))</x:f>
        <x:v>45–54</x:v>
      </x:c>
      <x:c r="AK2226" s="17" t="str">
        <x:f>IF(AG2226&gt;=1000,"High Value",IF(AG2226&gt;=300,"Mid Value","Low Value"))</x:f>
        <x:v>Mid Value</x:v>
      </x:c>
      <x:c r="AL2226" s="17" t="str">
        <x:f>IF(AND(AI2226&gt;=1,I2226&lt;=50),"Priority 1",IF(AND(AG2226&gt;=1000,I2226&lt;=60),"Priority 2",IF(I2226&lt;=30,"Priority 3","Nurture")))</x:f>
        <x:v>Nurture</x:v>
      </x:c>
    </x:row>
    <x:row r="2227">
      <x:c r="A2227" s="16" t="n">
        <x:v>8720</x:v>
      </x:c>
      <x:c r="B2227" s="16" t="n">
        <x:v>1978</x:v>
      </x:c>
      <x:c r="C2227" s="16" t="str">
        <x:v>2n Cycle</x:v>
      </x:c>
      <x:c r="D2227" s="16" t="str">
        <x:v>Together</x:v>
      </x:c>
      <x:c r="E2227" s="16"/>
      <x:c r="F2227" s="16" t="n">
        <x:v>0</x:v>
      </x:c>
      <x:c r="G2227" s="16" t="n">
        <x:v>0</x:v>
      </x:c>
      <x:c r="H2227" s="16" t="str">
        <x:v>12-08-2012</x:v>
      </x:c>
      <x:c r="I2227" s="16" t="n">
        <x:v>53</x:v>
      </x:c>
      <x:c r="J2227" s="16" t="n">
        <x:v>32</x:v>
      </x:c>
      <x:c r="K2227" s="16" t="n">
        <x:v>2</x:v>
      </x:c>
      <x:c r="L2227" s="16" t="n">
        <x:v>1607</x:v>
      </x:c>
      <x:c r="M2227" s="16" t="n">
        <x:v>12</x:v>
      </x:c>
      <x:c r="N2227" s="16" t="n">
        <x:v>4</x:v>
      </x:c>
      <x:c r="O2227" s="16" t="n">
        <x:v>22</x:v>
      </x:c>
      <x:c r="P2227" s="16" t="n">
        <x:v>0</x:v>
      </x:c>
      <x:c r="Q2227" s="16" t="n">
        <x:v>0</x:v>
      </x:c>
      <x:c r="R2227" s="16" t="n">
        <x:v>0</x:v>
      </x:c>
      <x:c r="S2227" s="16" t="n">
        <x:v>1</x:v>
      </x:c>
      <x:c r="T2227" s="16" t="n">
        <x:v>0</x:v>
      </x:c>
      <x:c r="U2227" s="16" t="n">
        <x:v>0</x:v>
      </x:c>
      <x:c r="V2227" s="16" t="n">
        <x:v>1</x:v>
      </x:c>
      <x:c r="W2227" s="16" t="n">
        <x:v>0</x:v>
      </x:c>
      <x:c r="X2227" s="16" t="n">
        <x:v>0</x:v>
      </x:c>
      <x:c r="Y2227" s="16" t="n">
        <x:v>0</x:v>
      </x:c>
      <x:c r="Z2227" s="16" t="n">
        <x:v>0</x:v>
      </x:c>
      <x:c r="AA2227" s="16" t="n">
        <x:v>3</x:v>
      </x:c>
      <x:c r="AB2227" s="16" t="n">
        <x:v>11</x:v>
      </x:c>
      <x:c r="AC2227" s="16" t="n">
        <x:v>0</x:v>
      </x:c>
      <x:c r="AD2227" s="21" t="n">
        <x:f>IF(E2227="",MEDIAN($E$2:$E$2237),E2227)</x:f>
        <x:v>51371</x:v>
      </x:c>
      <x:c r="AE2227" s="17" t="n">
        <x:f>2014-B2227</x:f>
        <x:v>36</x:v>
      </x:c>
      <x:c r="AF2227" s="17" t="n">
        <x:f>F2227+G2227</x:f>
        <x:v>0</x:v>
      </x:c>
      <x:c r="AG2227" s="21" t="n">
        <x:f>SUM(J2227:O2227)</x:f>
        <x:v>1679</x:v>
      </x:c>
      <x:c r="AH2227" s="17" t="n">
        <x:f>SUM(Q2227:S2227)</x:f>
        <x:v>1</x:v>
      </x:c>
      <x:c r="AI2227" s="17" t="n">
        <x:f>SUM(U2227:Y2227)</x:f>
        <x:v>1</x:v>
      </x:c>
      <x:c r="AJ2227" s="17" t="str">
        <x:f>IF(AE2227&lt;=34,"≤34",IF(AE2227&lt;=44,"35–44",IF(AE2227&lt;=54,"45–54",IF(AE2227&lt;=64,"55–64","65+"))))</x:f>
        <x:v>35–44</x:v>
      </x:c>
      <x:c r="AK2227" s="17" t="str">
        <x:f>IF(AG2227&gt;=1000,"High Value",IF(AG2227&gt;=300,"Mid Value","Low Value"))</x:f>
        <x:v>High Value</x:v>
      </x:c>
      <x:c r="AL2227" s="17" t="str">
        <x:f>IF(AND(AI2227&gt;=1,I2227&lt;=50),"Priority 1",IF(AND(AG2227&gt;=1000,I2227&lt;=60),"Priority 2",IF(I2227&lt;=30,"Priority 3","Nurture")))</x:f>
        <x:v>Priority 2</x:v>
      </x:c>
    </x:row>
    <x:row r="2228">
      <x:c r="A2228" s="16" t="n">
        <x:v>10084</x:v>
      </x:c>
      <x:c r="B2228" s="16" t="n">
        <x:v>1972</x:v>
      </x:c>
      <x:c r="C2228" s="16" t="str">
        <x:v>Graduation</x:v>
      </x:c>
      <x:c r="D2228" s="16" t="str">
        <x:v>Married</x:v>
      </x:c>
      <x:c r="E2228" s="16" t="n">
        <x:v>24434</x:v>
      </x:c>
      <x:c r="F2228" s="16" t="n">
        <x:v>2</x:v>
      </x:c>
      <x:c r="G2228" s="16" t="n">
        <x:v>0</x:v>
      </x:c>
      <x:c r="H2228" s="16" t="str">
        <x:v>18-05-2014</x:v>
      </x:c>
      <x:c r="I2228" s="16" t="n">
        <x:v>9</x:v>
      </x:c>
      <x:c r="J2228" s="16" t="n">
        <x:v>3</x:v>
      </x:c>
      <x:c r="K2228" s="16" t="n">
        <x:v>2</x:v>
      </x:c>
      <x:c r="L2228" s="16" t="n">
        <x:v>8</x:v>
      </x:c>
      <x:c r="M2228" s="16" t="n">
        <x:v>20</x:v>
      </x:c>
      <x:c r="N2228" s="16" t="n">
        <x:v>0</x:v>
      </x:c>
      <x:c r="O2228" s="16" t="n">
        <x:v>17</x:v>
      </x:c>
      <x:c r="P2228" s="16" t="n">
        <x:v>2</x:v>
      </x:c>
      <x:c r="Q2228" s="16" t="n">
        <x:v>2</x:v>
      </x:c>
      <x:c r="R2228" s="16" t="n">
        <x:v>1</x:v>
      </x:c>
      <x:c r="S2228" s="16" t="n">
        <x:v>2</x:v>
      </x:c>
      <x:c r="T2228" s="16" t="n">
        <x:v>7</x:v>
      </x:c>
      <x:c r="U2228" s="16" t="n">
        <x:v>0</x:v>
      </x:c>
      <x:c r="V2228" s="16" t="n">
        <x:v>0</x:v>
      </x:c>
      <x:c r="W2228" s="16" t="n">
        <x:v>0</x:v>
      </x:c>
      <x:c r="X2228" s="16" t="n">
        <x:v>0</x:v>
      </x:c>
      <x:c r="Y2228" s="16" t="n">
        <x:v>0</x:v>
      </x:c>
      <x:c r="Z2228" s="16" t="n">
        <x:v>0</x:v>
      </x:c>
      <x:c r="AA2228" s="16" t="n">
        <x:v>3</x:v>
      </x:c>
      <x:c r="AB2228" s="16" t="n">
        <x:v>11</x:v>
      </x:c>
      <x:c r="AC2228" s="16" t="n">
        <x:v>0</x:v>
      </x:c>
      <x:c r="AD2228" s="21" t="n">
        <x:f>IF(E2228="",MEDIAN($E$2:$E$2237),E2228)</x:f>
        <x:v>24434</x:v>
      </x:c>
      <x:c r="AE2228" s="17" t="n">
        <x:f>2014-B2228</x:f>
        <x:v>42</x:v>
      </x:c>
      <x:c r="AF2228" s="17" t="n">
        <x:f>F2228+G2228</x:f>
        <x:v>2</x:v>
      </x:c>
      <x:c r="AG2228" s="21" t="n">
        <x:f>SUM(J2228:O2228)</x:f>
        <x:v>50</x:v>
      </x:c>
      <x:c r="AH2228" s="17" t="n">
        <x:f>SUM(Q2228:S2228)</x:f>
        <x:v>5</x:v>
      </x:c>
      <x:c r="AI2228" s="17" t="n">
        <x:f>SUM(U2228:Y2228)</x:f>
        <x:v>0</x:v>
      </x:c>
      <x:c r="AJ2228" s="17" t="str">
        <x:f>IF(AE2228&lt;=34,"≤34",IF(AE2228&lt;=44,"35–44",IF(AE2228&lt;=54,"45–54",IF(AE2228&lt;=64,"55–64","65+"))))</x:f>
        <x:v>35–44</x:v>
      </x:c>
      <x:c r="AK2228" s="17" t="str">
        <x:f>IF(AG2228&gt;=1000,"High Value",IF(AG2228&gt;=300,"Mid Value","Low Value"))</x:f>
        <x:v>Low Value</x:v>
      </x:c>
      <x:c r="AL2228" s="17" t="str">
        <x:f>IF(AND(AI2228&gt;=1,I2228&lt;=50),"Priority 1",IF(AND(AG2228&gt;=1000,I2228&lt;=60),"Priority 2",IF(I2228&lt;=30,"Priority 3","Nurture")))</x:f>
        <x:v>Priority 3</x:v>
      </x:c>
    </x:row>
    <x:row r="2229">
      <x:c r="A2229" s="16" t="n">
        <x:v>7004</x:v>
      </x:c>
      <x:c r="B2229" s="16" t="n">
        <x:v>1984</x:v>
      </x:c>
      <x:c r="C2229" s="16" t="str">
        <x:v>Graduation</x:v>
      </x:c>
      <x:c r="D2229" s="16" t="str">
        <x:v>Single</x:v>
      </x:c>
      <x:c r="E2229" s="16" t="n">
        <x:v>11012</x:v>
      </x:c>
      <x:c r="F2229" s="16" t="n">
        <x:v>1</x:v>
      </x:c>
      <x:c r="G2229" s="16" t="n">
        <x:v>0</x:v>
      </x:c>
      <x:c r="H2229" s="16" t="str">
        <x:v>16-03-2013</x:v>
      </x:c>
      <x:c r="I2229" s="16" t="n">
        <x:v>82</x:v>
      </x:c>
      <x:c r="J2229" s="16" t="n">
        <x:v>24</x:v>
      </x:c>
      <x:c r="K2229" s="16" t="n">
        <x:v>3</x:v>
      </x:c>
      <x:c r="L2229" s="16" t="n">
        <x:v>26</x:v>
      </x:c>
      <x:c r="M2229" s="16" t="n">
        <x:v>7</x:v>
      </x:c>
      <x:c r="N2229" s="16" t="n">
        <x:v>1</x:v>
      </x:c>
      <x:c r="O2229" s="16" t="n">
        <x:v>23</x:v>
      </x:c>
      <x:c r="P2229" s="16" t="n">
        <x:v>3</x:v>
      </x:c>
      <x:c r="Q2229" s="16" t="n">
        <x:v>3</x:v>
      </x:c>
      <x:c r="R2229" s="16" t="n">
        <x:v>1</x:v>
      </x:c>
      <x:c r="S2229" s="16" t="n">
        <x:v>2</x:v>
      </x:c>
      <x:c r="T2229" s="16" t="n">
        <x:v>9</x:v>
      </x:c>
      <x:c r="U2229" s="16" t="n">
        <x:v>1</x:v>
      </x:c>
      <x:c r="V2229" s="16" t="n">
        <x:v>0</x:v>
      </x:c>
      <x:c r="W2229" s="16" t="n">
        <x:v>0</x:v>
      </x:c>
      <x:c r="X2229" s="16" t="n">
        <x:v>0</x:v>
      </x:c>
      <x:c r="Y2229" s="16" t="n">
        <x:v>0</x:v>
      </x:c>
      <x:c r="Z2229" s="16" t="n">
        <x:v>0</x:v>
      </x:c>
      <x:c r="AA2229" s="16" t="n">
        <x:v>3</x:v>
      </x:c>
      <x:c r="AB2229" s="16" t="n">
        <x:v>11</x:v>
      </x:c>
      <x:c r="AC2229" s="16" t="n">
        <x:v>0</x:v>
      </x:c>
      <x:c r="AD2229" s="21" t="n">
        <x:f>IF(E2229="",MEDIAN($E$2:$E$2237),E2229)</x:f>
        <x:v>11012</x:v>
      </x:c>
      <x:c r="AE2229" s="17" t="n">
        <x:f>2014-B2229</x:f>
        <x:v>30</x:v>
      </x:c>
      <x:c r="AF2229" s="17" t="n">
        <x:f>F2229+G2229</x:f>
        <x:v>1</x:v>
      </x:c>
      <x:c r="AG2229" s="21" t="n">
        <x:f>SUM(J2229:O2229)</x:f>
        <x:v>84</x:v>
      </x:c>
      <x:c r="AH2229" s="17" t="n">
        <x:f>SUM(Q2229:S2229)</x:f>
        <x:v>6</x:v>
      </x:c>
      <x:c r="AI2229" s="17" t="n">
        <x:f>SUM(U2229:Y2229)</x:f>
        <x:v>1</x:v>
      </x:c>
      <x:c r="AJ2229" s="17" t="str">
        <x:f>IF(AE2229&lt;=34,"≤34",IF(AE2229&lt;=44,"35–44",IF(AE2229&lt;=54,"45–54",IF(AE2229&lt;=64,"55–64","65+"))))</x:f>
        <x:v>≤34</x:v>
      </x:c>
      <x:c r="AK2229" s="17" t="str">
        <x:f>IF(AG2229&gt;=1000,"High Value",IF(AG2229&gt;=300,"Mid Value","Low Value"))</x:f>
        <x:v>Low Value</x:v>
      </x:c>
      <x:c r="AL2229" s="17" t="str">
        <x:f>IF(AND(AI2229&gt;=1,I2229&lt;=50),"Priority 1",IF(AND(AG2229&gt;=1000,I2229&lt;=60),"Priority 2",IF(I2229&lt;=30,"Priority 3","Nurture")))</x:f>
        <x:v>Nurture</x:v>
      </x:c>
    </x:row>
    <x:row r="2230">
      <x:c r="A2230" s="16" t="n">
        <x:v>9817</x:v>
      </x:c>
      <x:c r="B2230" s="16" t="n">
        <x:v>1970</x:v>
      </x:c>
      <x:c r="C2230" s="16" t="str">
        <x:v>Master</x:v>
      </x:c>
      <x:c r="D2230" s="16" t="str">
        <x:v>Single</x:v>
      </x:c>
      <x:c r="E2230" s="16" t="n">
        <x:v>44802</x:v>
      </x:c>
      <x:c r="F2230" s="16" t="n">
        <x:v>0</x:v>
      </x:c>
      <x:c r="G2230" s="16" t="n">
        <x:v>0</x:v>
      </x:c>
      <x:c r="H2230" s="16" t="str">
        <x:v>21-08-2012</x:v>
      </x:c>
      <x:c r="I2230" s="16" t="n">
        <x:v>71</x:v>
      </x:c>
      <x:c r="J2230" s="16" t="n">
        <x:v>853</x:v>
      </x:c>
      <x:c r="K2230" s="16" t="n">
        <x:v>10</x:v>
      </x:c>
      <x:c r="L2230" s="16" t="n">
        <x:v>143</x:v>
      </x:c>
      <x:c r="M2230" s="16" t="n">
        <x:v>13</x:v>
      </x:c>
      <x:c r="N2230" s="16" t="n">
        <x:v>10</x:v>
      </x:c>
      <x:c r="O2230" s="16" t="n">
        <x:v>20</x:v>
      </x:c>
      <x:c r="P2230" s="16" t="n">
        <x:v>2</x:v>
      </x:c>
      <x:c r="Q2230" s="16" t="n">
        <x:v>9</x:v>
      </x:c>
      <x:c r="R2230" s="16" t="n">
        <x:v>4</x:v>
      </x:c>
      <x:c r="S2230" s="16" t="n">
        <x:v>12</x:v>
      </x:c>
      <x:c r="T2230" s="16" t="n">
        <x:v>8</x:v>
      </x:c>
      <x:c r="U2230" s="16" t="n">
        <x:v>0</x:v>
      </x:c>
      <x:c r="V2230" s="16" t="n">
        <x:v>0</x:v>
      </x:c>
      <x:c r="W2230" s="16" t="n">
        <x:v>0</x:v>
      </x:c>
      <x:c r="X2230" s="16" t="n">
        <x:v>0</x:v>
      </x:c>
      <x:c r="Y2230" s="16" t="n">
        <x:v>0</x:v>
      </x:c>
      <x:c r="Z2230" s="16" t="n">
        <x:v>0</x:v>
      </x:c>
      <x:c r="AA2230" s="16" t="n">
        <x:v>3</x:v>
      </x:c>
      <x:c r="AB2230" s="16" t="n">
        <x:v>11</x:v>
      </x:c>
      <x:c r="AC2230" s="16" t="n">
        <x:v>0</x:v>
      </x:c>
      <x:c r="AD2230" s="21" t="n">
        <x:f>IF(E2230="",MEDIAN($E$2:$E$2237),E2230)</x:f>
        <x:v>44802</x:v>
      </x:c>
      <x:c r="AE2230" s="17" t="n">
        <x:f>2014-B2230</x:f>
        <x:v>44</x:v>
      </x:c>
      <x:c r="AF2230" s="17" t="n">
        <x:f>F2230+G2230</x:f>
        <x:v>0</x:v>
      </x:c>
      <x:c r="AG2230" s="21" t="n">
        <x:f>SUM(J2230:O2230)</x:f>
        <x:v>1049</x:v>
      </x:c>
      <x:c r="AH2230" s="17" t="n">
        <x:f>SUM(Q2230:S2230)</x:f>
        <x:v>25</x:v>
      </x:c>
      <x:c r="AI2230" s="17" t="n">
        <x:f>SUM(U2230:Y2230)</x:f>
        <x:v>0</x:v>
      </x:c>
      <x:c r="AJ2230" s="17" t="str">
        <x:f>IF(AE2230&lt;=34,"≤34",IF(AE2230&lt;=44,"35–44",IF(AE2230&lt;=54,"45–54",IF(AE2230&lt;=64,"55–64","65+"))))</x:f>
        <x:v>35–44</x:v>
      </x:c>
      <x:c r="AK2230" s="17" t="str">
        <x:f>IF(AG2230&gt;=1000,"High Value",IF(AG2230&gt;=300,"Mid Value","Low Value"))</x:f>
        <x:v>High Value</x:v>
      </x:c>
      <x:c r="AL2230" s="17" t="str">
        <x:f>IF(AND(AI2230&gt;=1,I2230&lt;=50),"Priority 1",IF(AND(AG2230&gt;=1000,I2230&lt;=60),"Priority 2",IF(I2230&lt;=30,"Priority 3","Nurture")))</x:f>
        <x:v>Nurture</x:v>
      </x:c>
    </x:row>
    <x:row r="2231">
      <x:c r="A2231" s="16" t="n">
        <x:v>8080</x:v>
      </x:c>
      <x:c r="B2231" s="16" t="n">
        <x:v>1986</x:v>
      </x:c>
      <x:c r="C2231" s="16" t="str">
        <x:v>Graduation</x:v>
      </x:c>
      <x:c r="D2231" s="16" t="str">
        <x:v>Single</x:v>
      </x:c>
      <x:c r="E2231" s="16" t="n">
        <x:v>26816</x:v>
      </x:c>
      <x:c r="F2231" s="16" t="n">
        <x:v>0</x:v>
      </x:c>
      <x:c r="G2231" s="16" t="n">
        <x:v>0</x:v>
      </x:c>
      <x:c r="H2231" s="16" t="str">
        <x:v>17-08-2012</x:v>
      </x:c>
      <x:c r="I2231" s="16" t="n">
        <x:v>50</x:v>
      </x:c>
      <x:c r="J2231" s="16" t="n">
        <x:v>5</x:v>
      </x:c>
      <x:c r="K2231" s="16" t="n">
        <x:v>1</x:v>
      </x:c>
      <x:c r="L2231" s="16" t="n">
        <x:v>6</x:v>
      </x:c>
      <x:c r="M2231" s="16" t="n">
        <x:v>3</x:v>
      </x:c>
      <x:c r="N2231" s="16" t="n">
        <x:v>4</x:v>
      </x:c>
      <x:c r="O2231" s="16" t="n">
        <x:v>3</x:v>
      </x:c>
      <x:c r="P2231" s="16" t="n">
        <x:v>1</x:v>
      </x:c>
      <x:c r="Q2231" s="16" t="n">
        <x:v>0</x:v>
      </x:c>
      <x:c r="R2231" s="16" t="n">
        <x:v>0</x:v>
      </x:c>
      <x:c r="S2231" s="16" t="n">
        <x:v>3</x:v>
      </x:c>
      <x:c r="T2231" s="16" t="n">
        <x:v>4</x:v>
      </x:c>
      <x:c r="U2231" s="16" t="n">
        <x:v>0</x:v>
      </x:c>
      <x:c r="V2231" s="16" t="n">
        <x:v>0</x:v>
      </x:c>
      <x:c r="W2231" s="16" t="n">
        <x:v>0</x:v>
      </x:c>
      <x:c r="X2231" s="16" t="n">
        <x:v>0</x:v>
      </x:c>
      <x:c r="Y2231" s="16" t="n">
        <x:v>0</x:v>
      </x:c>
      <x:c r="Z2231" s="16" t="n">
        <x:v>0</x:v>
      </x:c>
      <x:c r="AA2231" s="16" t="n">
        <x:v>3</x:v>
      </x:c>
      <x:c r="AB2231" s="16" t="n">
        <x:v>11</x:v>
      </x:c>
      <x:c r="AC2231" s="16" t="n">
        <x:v>0</x:v>
      </x:c>
      <x:c r="AD2231" s="21" t="n">
        <x:f>IF(E2231="",MEDIAN($E$2:$E$2237),E2231)</x:f>
        <x:v>26816</x:v>
      </x:c>
      <x:c r="AE2231" s="17" t="n">
        <x:f>2014-B2231</x:f>
        <x:v>28</x:v>
      </x:c>
      <x:c r="AF2231" s="17" t="n">
        <x:f>F2231+G2231</x:f>
        <x:v>0</x:v>
      </x:c>
      <x:c r="AG2231" s="21" t="n">
        <x:f>SUM(J2231:O2231)</x:f>
        <x:v>22</x:v>
      </x:c>
      <x:c r="AH2231" s="17" t="n">
        <x:f>SUM(Q2231:S2231)</x:f>
        <x:v>3</x:v>
      </x:c>
      <x:c r="AI2231" s="17" t="n">
        <x:f>SUM(U2231:Y2231)</x:f>
        <x:v>0</x:v>
      </x:c>
      <x:c r="AJ2231" s="17" t="str">
        <x:f>IF(AE2231&lt;=34,"≤34",IF(AE2231&lt;=44,"35–44",IF(AE2231&lt;=54,"45–54",IF(AE2231&lt;=64,"55–64","65+"))))</x:f>
        <x:v>≤34</x:v>
      </x:c>
      <x:c r="AK2231" s="17" t="str">
        <x:f>IF(AG2231&gt;=1000,"High Value",IF(AG2231&gt;=300,"Mid Value","Low Value"))</x:f>
        <x:v>Low Value</x:v>
      </x:c>
      <x:c r="AL2231" s="17" t="str">
        <x:f>IF(AND(AI2231&gt;=1,I2231&lt;=50),"Priority 1",IF(AND(AG2231&gt;=1000,I2231&lt;=60),"Priority 2",IF(I2231&lt;=30,"Priority 3","Nurture")))</x:f>
        <x:v>Nurture</x:v>
      </x:c>
    </x:row>
    <x:row r="2232">
      <x:c r="A2232" s="16" t="n">
        <x:v>8372</x:v>
      </x:c>
      <x:c r="B2232" s="16" t="n">
        <x:v>1974</x:v>
      </x:c>
      <x:c r="C2232" s="16" t="str">
        <x:v>Graduation</x:v>
      </x:c>
      <x:c r="D2232" s="16" t="str">
        <x:v>Married</x:v>
      </x:c>
      <x:c r="E2232" s="16" t="n">
        <x:v>34421</x:v>
      </x:c>
      <x:c r="F2232" s="16" t="n">
        <x:v>1</x:v>
      </x:c>
      <x:c r="G2232" s="16" t="n">
        <x:v>0</x:v>
      </x:c>
      <x:c r="H2232" s="16" t="str">
        <x:v>01-07-2013</x:v>
      </x:c>
      <x:c r="I2232" s="16" t="n">
        <x:v>81</x:v>
      </x:c>
      <x:c r="J2232" s="16" t="n">
        <x:v>3</x:v>
      </x:c>
      <x:c r="K2232" s="16" t="n">
        <x:v>3</x:v>
      </x:c>
      <x:c r="L2232" s="16" t="n">
        <x:v>7</x:v>
      </x:c>
      <x:c r="M2232" s="16" t="n">
        <x:v>6</x:v>
      </x:c>
      <x:c r="N2232" s="16" t="n">
        <x:v>2</x:v>
      </x:c>
      <x:c r="O2232" s="16" t="n">
        <x:v>9</x:v>
      </x:c>
      <x:c r="P2232" s="16" t="n">
        <x:v>1</x:v>
      </x:c>
      <x:c r="Q2232" s="16" t="n">
        <x:v>1</x:v>
      </x:c>
      <x:c r="R2232" s="16" t="n">
        <x:v>0</x:v>
      </x:c>
      <x:c r="S2232" s="16" t="n">
        <x:v>2</x:v>
      </x:c>
      <x:c r="T2232" s="16" t="n">
        <x:v>7</x:v>
      </x:c>
      <x:c r="U2232" s="16" t="n">
        <x:v>0</x:v>
      </x:c>
      <x:c r="V2232" s="16" t="n">
        <x:v>0</x:v>
      </x:c>
      <x:c r="W2232" s="16" t="n">
        <x:v>0</x:v>
      </x:c>
      <x:c r="X2232" s="16" t="n">
        <x:v>0</x:v>
      </x:c>
      <x:c r="Y2232" s="16" t="n">
        <x:v>0</x:v>
      </x:c>
      <x:c r="Z2232" s="16" t="n">
        <x:v>0</x:v>
      </x:c>
      <x:c r="AA2232" s="16" t="n">
        <x:v>3</x:v>
      </x:c>
      <x:c r="AB2232" s="16" t="n">
        <x:v>11</x:v>
      </x:c>
      <x:c r="AC2232" s="16" t="n">
        <x:v>0</x:v>
      </x:c>
      <x:c r="AD2232" s="21" t="n">
        <x:f>IF(E2232="",MEDIAN($E$2:$E$2237),E2232)</x:f>
        <x:v>34421</x:v>
      </x:c>
      <x:c r="AE2232" s="17" t="n">
        <x:f>2014-B2232</x:f>
        <x:v>40</x:v>
      </x:c>
      <x:c r="AF2232" s="17" t="n">
        <x:f>F2232+G2232</x:f>
        <x:v>1</x:v>
      </x:c>
      <x:c r="AG2232" s="21" t="n">
        <x:f>SUM(J2232:O2232)</x:f>
        <x:v>30</x:v>
      </x:c>
      <x:c r="AH2232" s="17" t="n">
        <x:f>SUM(Q2232:S2232)</x:f>
        <x:v>3</x:v>
      </x:c>
      <x:c r="AI2232" s="17" t="n">
        <x:f>SUM(U2232:Y2232)</x:f>
        <x:v>0</x:v>
      </x:c>
      <x:c r="AJ2232" s="17" t="str">
        <x:f>IF(AE2232&lt;=34,"≤34",IF(AE2232&lt;=44,"35–44",IF(AE2232&lt;=54,"45–54",IF(AE2232&lt;=64,"55–64","65+"))))</x:f>
        <x:v>35–44</x:v>
      </x:c>
      <x:c r="AK2232" s="17" t="str">
        <x:f>IF(AG2232&gt;=1000,"High Value",IF(AG2232&gt;=300,"Mid Value","Low Value"))</x:f>
        <x:v>Low Value</x:v>
      </x:c>
      <x:c r="AL2232" s="17" t="str">
        <x:f>IF(AND(AI2232&gt;=1,I2232&lt;=50),"Priority 1",IF(AND(AG2232&gt;=1000,I2232&lt;=60),"Priority 2",IF(I2232&lt;=30,"Priority 3","Nurture")))</x:f>
        <x:v>Nurture</x:v>
      </x:c>
    </x:row>
    <x:row r="2233">
      <x:c r="A2233" s="16" t="n">
        <x:v>10870</x:v>
      </x:c>
      <x:c r="B2233" s="16" t="n">
        <x:v>1967</x:v>
      </x:c>
      <x:c r="C2233" s="16" t="str">
        <x:v>Graduation</x:v>
      </x:c>
      <x:c r="D2233" s="16" t="str">
        <x:v>Married</x:v>
      </x:c>
      <x:c r="E2233" s="16" t="n">
        <x:v>61223</x:v>
      </x:c>
      <x:c r="F2233" s="16" t="n">
        <x:v>0</x:v>
      </x:c>
      <x:c r="G2233" s="16" t="n">
        <x:v>1</x:v>
      </x:c>
      <x:c r="H2233" s="16" t="str">
        <x:v>13-06-2013</x:v>
      </x:c>
      <x:c r="I2233" s="16" t="n">
        <x:v>46</x:v>
      </x:c>
      <x:c r="J2233" s="16" t="n">
        <x:v>709</x:v>
      </x:c>
      <x:c r="K2233" s="16" t="n">
        <x:v>43</x:v>
      </x:c>
      <x:c r="L2233" s="16" t="n">
        <x:v>182</x:v>
      </x:c>
      <x:c r="M2233" s="16" t="n">
        <x:v>42</x:v>
      </x:c>
      <x:c r="N2233" s="16" t="n">
        <x:v>118</x:v>
      </x:c>
      <x:c r="O2233" s="16" t="n">
        <x:v>247</x:v>
      </x:c>
      <x:c r="P2233" s="16" t="n">
        <x:v>2</x:v>
      </x:c>
      <x:c r="Q2233" s="16" t="n">
        <x:v>9</x:v>
      </x:c>
      <x:c r="R2233" s="16" t="n">
        <x:v>3</x:v>
      </x:c>
      <x:c r="S2233" s="16" t="n">
        <x:v>4</x:v>
      </x:c>
      <x:c r="T2233" s="16" t="n">
        <x:v>5</x:v>
      </x:c>
      <x:c r="U2233" s="16" t="n">
        <x:v>0</x:v>
      </x:c>
      <x:c r="V2233" s="16" t="n">
        <x:v>0</x:v>
      </x:c>
      <x:c r="W2233" s="16" t="n">
        <x:v>0</x:v>
      </x:c>
      <x:c r="X2233" s="16" t="n">
        <x:v>0</x:v>
      </x:c>
      <x:c r="Y2233" s="16" t="n">
        <x:v>0</x:v>
      </x:c>
      <x:c r="Z2233" s="16" t="n">
        <x:v>0</x:v>
      </x:c>
      <x:c r="AA2233" s="16" t="n">
        <x:v>3</x:v>
      </x:c>
      <x:c r="AB2233" s="16" t="n">
        <x:v>11</x:v>
      </x:c>
      <x:c r="AC2233" s="16" t="n">
        <x:v>0</x:v>
      </x:c>
      <x:c r="AD2233" s="21" t="n">
        <x:f>IF(E2233="",MEDIAN($E$2:$E$2237),E2233)</x:f>
        <x:v>61223</x:v>
      </x:c>
      <x:c r="AE2233" s="17" t="n">
        <x:f>2014-B2233</x:f>
        <x:v>47</x:v>
      </x:c>
      <x:c r="AF2233" s="17" t="n">
        <x:f>F2233+G2233</x:f>
        <x:v>1</x:v>
      </x:c>
      <x:c r="AG2233" s="21" t="n">
        <x:f>SUM(J2233:O2233)</x:f>
        <x:v>1341</x:v>
      </x:c>
      <x:c r="AH2233" s="17" t="n">
        <x:f>SUM(Q2233:S2233)</x:f>
        <x:v>16</x:v>
      </x:c>
      <x:c r="AI2233" s="17" t="n">
        <x:f>SUM(U2233:Y2233)</x:f>
        <x:v>0</x:v>
      </x:c>
      <x:c r="AJ2233" s="17" t="str">
        <x:f>IF(AE2233&lt;=34,"≤34",IF(AE2233&lt;=44,"35–44",IF(AE2233&lt;=54,"45–54",IF(AE2233&lt;=64,"55–64","65+"))))</x:f>
        <x:v>45–54</x:v>
      </x:c>
      <x:c r="AK2233" s="17" t="str">
        <x:f>IF(AG2233&gt;=1000,"High Value",IF(AG2233&gt;=300,"Mid Value","Low Value"))</x:f>
        <x:v>High Value</x:v>
      </x:c>
      <x:c r="AL2233" s="17" t="str">
        <x:f>IF(AND(AI2233&gt;=1,I2233&lt;=50),"Priority 1",IF(AND(AG2233&gt;=1000,I2233&lt;=60),"Priority 2",IF(I2233&lt;=30,"Priority 3","Nurture")))</x:f>
        <x:v>Priority 2</x:v>
      </x:c>
    </x:row>
    <x:row r="2234">
      <x:c r="A2234" s="16" t="n">
        <x:v>4001</x:v>
      </x:c>
      <x:c r="B2234" s="16" t="n">
        <x:v>1946</x:v>
      </x:c>
      <x:c r="C2234" s="16" t="str">
        <x:v>PhD</x:v>
      </x:c>
      <x:c r="D2234" s="16" t="str">
        <x:v>Together</x:v>
      </x:c>
      <x:c r="E2234" s="16" t="n">
        <x:v>64014</x:v>
      </x:c>
      <x:c r="F2234" s="16" t="n">
        <x:v>2</x:v>
      </x:c>
      <x:c r="G2234" s="16" t="n">
        <x:v>1</x:v>
      </x:c>
      <x:c r="H2234" s="16" t="str">
        <x:v>10-06-2014</x:v>
      </x:c>
      <x:c r="I2234" s="16" t="n">
        <x:v>56</x:v>
      </x:c>
      <x:c r="J2234" s="16" t="n">
        <x:v>406</x:v>
      </x:c>
      <x:c r="K2234" s="16" t="n">
        <x:v>0</x:v>
      </x:c>
      <x:c r="L2234" s="16" t="n">
        <x:v>30</x:v>
      </x:c>
      <x:c r="M2234" s="16" t="n">
        <x:v>0</x:v>
      </x:c>
      <x:c r="N2234" s="16" t="n">
        <x:v>0</x:v>
      </x:c>
      <x:c r="O2234" s="16" t="n">
        <x:v>8</x:v>
      </x:c>
      <x:c r="P2234" s="16" t="n">
        <x:v>7</x:v>
      </x:c>
      <x:c r="Q2234" s="16" t="n">
        <x:v>8</x:v>
      </x:c>
      <x:c r="R2234" s="16" t="n">
        <x:v>2</x:v>
      </x:c>
      <x:c r="S2234" s="16" t="n">
        <x:v>5</x:v>
      </x:c>
      <x:c r="T2234" s="16" t="n">
        <x:v>7</x:v>
      </x:c>
      <x:c r="U2234" s="16" t="n">
        <x:v>0</x:v>
      </x:c>
      <x:c r="V2234" s="16" t="n">
        <x:v>0</x:v>
      </x:c>
      <x:c r="W2234" s="16" t="n">
        <x:v>0</x:v>
      </x:c>
      <x:c r="X2234" s="16" t="n">
        <x:v>1</x:v>
      </x:c>
      <x:c r="Y2234" s="16" t="n">
        <x:v>0</x:v>
      </x:c>
      <x:c r="Z2234" s="16" t="n">
        <x:v>0</x:v>
      </x:c>
      <x:c r="AA2234" s="16" t="n">
        <x:v>3</x:v>
      </x:c>
      <x:c r="AB2234" s="16" t="n">
        <x:v>11</x:v>
      </x:c>
      <x:c r="AC2234" s="16" t="n">
        <x:v>0</x:v>
      </x:c>
      <x:c r="AD2234" s="21" t="n">
        <x:f>IF(E2234="",MEDIAN($E$2:$E$2237),E2234)</x:f>
        <x:v>64014</x:v>
      </x:c>
      <x:c r="AE2234" s="17" t="n">
        <x:f>2014-B2234</x:f>
        <x:v>68</x:v>
      </x:c>
      <x:c r="AF2234" s="17" t="n">
        <x:f>F2234+G2234</x:f>
        <x:v>3</x:v>
      </x:c>
      <x:c r="AG2234" s="21" t="n">
        <x:f>SUM(J2234:O2234)</x:f>
        <x:v>444</x:v>
      </x:c>
      <x:c r="AH2234" s="17" t="n">
        <x:f>SUM(Q2234:S2234)</x:f>
        <x:v>15</x:v>
      </x:c>
      <x:c r="AI2234" s="17" t="n">
        <x:f>SUM(U2234:Y2234)</x:f>
        <x:v>1</x:v>
      </x:c>
      <x:c r="AJ2234" s="17" t="str">
        <x:f>IF(AE2234&lt;=34,"≤34",IF(AE2234&lt;=44,"35–44",IF(AE2234&lt;=54,"45–54",IF(AE2234&lt;=64,"55–64","65+"))))</x:f>
        <x:v>65+</x:v>
      </x:c>
      <x:c r="AK2234" s="17" t="str">
        <x:f>IF(AG2234&gt;=1000,"High Value",IF(AG2234&gt;=300,"Mid Value","Low Value"))</x:f>
        <x:v>Mid Value</x:v>
      </x:c>
      <x:c r="AL2234" s="17" t="str">
        <x:f>IF(AND(AI2234&gt;=1,I2234&lt;=50),"Priority 1",IF(AND(AG2234&gt;=1000,I2234&lt;=60),"Priority 2",IF(I2234&lt;=30,"Priority 3","Nurture")))</x:f>
        <x:v>Nurture</x:v>
      </x:c>
    </x:row>
    <x:row r="2235">
      <x:c r="A2235" s="16" t="n">
        <x:v>7270</x:v>
      </x:c>
      <x:c r="B2235" s="16" t="n">
        <x:v>1981</x:v>
      </x:c>
      <x:c r="C2235" s="16" t="str">
        <x:v>Graduation</x:v>
      </x:c>
      <x:c r="D2235" s="16" t="str">
        <x:v>Divorced</x:v>
      </x:c>
      <x:c r="E2235" s="16" t="n">
        <x:v>56981</x:v>
      </x:c>
      <x:c r="F2235" s="16" t="n">
        <x:v>0</x:v>
      </x:c>
      <x:c r="G2235" s="16" t="n">
        <x:v>0</x:v>
      </x:c>
      <x:c r="H2235" s="16" t="str">
        <x:v>25-01-2014</x:v>
      </x:c>
      <x:c r="I2235" s="16" t="n">
        <x:v>91</x:v>
      </x:c>
      <x:c r="J2235" s="16" t="n">
        <x:v>908</x:v>
      </x:c>
      <x:c r="K2235" s="16" t="n">
        <x:v>48</x:v>
      </x:c>
      <x:c r="L2235" s="16" t="n">
        <x:v>217</x:v>
      </x:c>
      <x:c r="M2235" s="16" t="n">
        <x:v>32</x:v>
      </x:c>
      <x:c r="N2235" s="16" t="n">
        <x:v>12</x:v>
      </x:c>
      <x:c r="O2235" s="16" t="n">
        <x:v>24</x:v>
      </x:c>
      <x:c r="P2235" s="16" t="n">
        <x:v>1</x:v>
      </x:c>
      <x:c r="Q2235" s="16" t="n">
        <x:v>2</x:v>
      </x:c>
      <x:c r="R2235" s="16" t="n">
        <x:v>3</x:v>
      </x:c>
      <x:c r="S2235" s="16" t="n">
        <x:v>13</x:v>
      </x:c>
      <x:c r="T2235" s="16" t="n">
        <x:v>6</x:v>
      </x:c>
      <x:c r="U2235" s="16" t="n">
        <x:v>0</x:v>
      </x:c>
      <x:c r="V2235" s="16" t="n">
        <x:v>1</x:v>
      </x:c>
      <x:c r="W2235" s="16" t="n">
        <x:v>0</x:v>
      </x:c>
      <x:c r="X2235" s="16" t="n">
        <x:v>0</x:v>
      </x:c>
      <x:c r="Y2235" s="16" t="n">
        <x:v>0</x:v>
      </x:c>
      <x:c r="Z2235" s="16" t="n">
        <x:v>0</x:v>
      </x:c>
      <x:c r="AA2235" s="16" t="n">
        <x:v>3</x:v>
      </x:c>
      <x:c r="AB2235" s="16" t="n">
        <x:v>11</x:v>
      </x:c>
      <x:c r="AC2235" s="16" t="n">
        <x:v>0</x:v>
      </x:c>
      <x:c r="AD2235" s="21" t="n">
        <x:f>IF(E2235="",MEDIAN($E$2:$E$2237),E2235)</x:f>
        <x:v>56981</x:v>
      </x:c>
      <x:c r="AE2235" s="17" t="n">
        <x:f>2014-B2235</x:f>
        <x:v>33</x:v>
      </x:c>
      <x:c r="AF2235" s="17" t="n">
        <x:f>F2235+G2235</x:f>
        <x:v>0</x:v>
      </x:c>
      <x:c r="AG2235" s="21" t="n">
        <x:f>SUM(J2235:O2235)</x:f>
        <x:v>1241</x:v>
      </x:c>
      <x:c r="AH2235" s="17" t="n">
        <x:f>SUM(Q2235:S2235)</x:f>
        <x:v>18</x:v>
      </x:c>
      <x:c r="AI2235" s="17" t="n">
        <x:f>SUM(U2235:Y2235)</x:f>
        <x:v>1</x:v>
      </x:c>
      <x:c r="AJ2235" s="17" t="str">
        <x:f>IF(AE2235&lt;=34,"≤34",IF(AE2235&lt;=44,"35–44",IF(AE2235&lt;=54,"45–54",IF(AE2235&lt;=64,"55–64","65+"))))</x:f>
        <x:v>≤34</x:v>
      </x:c>
      <x:c r="AK2235" s="17" t="str">
        <x:f>IF(AG2235&gt;=1000,"High Value",IF(AG2235&gt;=300,"Mid Value","Low Value"))</x:f>
        <x:v>High Value</x:v>
      </x:c>
      <x:c r="AL2235" s="17" t="str">
        <x:f>IF(AND(AI2235&gt;=1,I2235&lt;=50),"Priority 1",IF(AND(AG2235&gt;=1000,I2235&lt;=60),"Priority 2",IF(I2235&lt;=30,"Priority 3","Nurture")))</x:f>
        <x:v>Nurture</x:v>
      </x:c>
    </x:row>
    <x:row r="2236">
      <x:c r="A2236" s="16" t="n">
        <x:v>8235</x:v>
      </x:c>
      <x:c r="B2236" s="16" t="n">
        <x:v>1956</x:v>
      </x:c>
      <x:c r="C2236" s="16" t="str">
        <x:v>Master</x:v>
      </x:c>
      <x:c r="D2236" s="16" t="str">
        <x:v>Together</x:v>
      </x:c>
      <x:c r="E2236" s="16" t="n">
        <x:v>69245</x:v>
      </x:c>
      <x:c r="F2236" s="16" t="n">
        <x:v>0</x:v>
      </x:c>
      <x:c r="G2236" s="16" t="n">
        <x:v>1</x:v>
      </x:c>
      <x:c r="H2236" s="16" t="str">
        <x:v>24-01-2014</x:v>
      </x:c>
      <x:c r="I2236" s="16" t="n">
        <x:v>8</x:v>
      </x:c>
      <x:c r="J2236" s="16" t="n">
        <x:v>428</x:v>
      </x:c>
      <x:c r="K2236" s="16" t="n">
        <x:v>30</x:v>
      </x:c>
      <x:c r="L2236" s="16" t="n">
        <x:v>214</x:v>
      </x:c>
      <x:c r="M2236" s="16" t="n">
        <x:v>80</x:v>
      </x:c>
      <x:c r="N2236" s="16" t="n">
        <x:v>30</x:v>
      </x:c>
      <x:c r="O2236" s="16" t="n">
        <x:v>61</x:v>
      </x:c>
      <x:c r="P2236" s="16" t="n">
        <x:v>2</x:v>
      </x:c>
      <x:c r="Q2236" s="16" t="n">
        <x:v>6</x:v>
      </x:c>
      <x:c r="R2236" s="16" t="n">
        <x:v>5</x:v>
      </x:c>
      <x:c r="S2236" s="16" t="n">
        <x:v>10</x:v>
      </x:c>
      <x:c r="T2236" s="16" t="n">
        <x:v>3</x:v>
      </x:c>
      <x:c r="U2236" s="16" t="n">
        <x:v>0</x:v>
      </x:c>
      <x:c r="V2236" s="16" t="n">
        <x:v>0</x:v>
      </x:c>
      <x:c r="W2236" s="16" t="n">
        <x:v>0</x:v>
      </x:c>
      <x:c r="X2236" s="16" t="n">
        <x:v>0</x:v>
      </x:c>
      <x:c r="Y2236" s="16" t="n">
        <x:v>0</x:v>
      </x:c>
      <x:c r="Z2236" s="16" t="n">
        <x:v>0</x:v>
      </x:c>
      <x:c r="AA2236" s="16" t="n">
        <x:v>3</x:v>
      </x:c>
      <x:c r="AB2236" s="16" t="n">
        <x:v>11</x:v>
      </x:c>
      <x:c r="AC2236" s="16" t="n">
        <x:v>0</x:v>
      </x:c>
      <x:c r="AD2236" s="21" t="n">
        <x:f>IF(E2236="",MEDIAN($E$2:$E$2237),E2236)</x:f>
        <x:v>69245</x:v>
      </x:c>
      <x:c r="AE2236" s="17" t="n">
        <x:f>2014-B2236</x:f>
        <x:v>58</x:v>
      </x:c>
      <x:c r="AF2236" s="17" t="n">
        <x:f>F2236+G2236</x:f>
        <x:v>1</x:v>
      </x:c>
      <x:c r="AG2236" s="21" t="n">
        <x:f>SUM(J2236:O2236)</x:f>
        <x:v>843</x:v>
      </x:c>
      <x:c r="AH2236" s="17" t="n">
        <x:f>SUM(Q2236:S2236)</x:f>
        <x:v>21</x:v>
      </x:c>
      <x:c r="AI2236" s="17" t="n">
        <x:f>SUM(U2236:Y2236)</x:f>
        <x:v>0</x:v>
      </x:c>
      <x:c r="AJ2236" s="17" t="str">
        <x:f>IF(AE2236&lt;=34,"≤34",IF(AE2236&lt;=44,"35–44",IF(AE2236&lt;=54,"45–54",IF(AE2236&lt;=64,"55–64","65+"))))</x:f>
        <x:v>55–64</x:v>
      </x:c>
      <x:c r="AK2236" s="17" t="str">
        <x:f>IF(AG2236&gt;=1000,"High Value",IF(AG2236&gt;=300,"Mid Value","Low Value"))</x:f>
        <x:v>Mid Value</x:v>
      </x:c>
      <x:c r="AL2236" s="17" t="str">
        <x:f>IF(AND(AI2236&gt;=1,I2236&lt;=50),"Priority 1",IF(AND(AG2236&gt;=1000,I2236&lt;=60),"Priority 2",IF(I2236&lt;=30,"Priority 3","Nurture")))</x:f>
        <x:v>Priority 3</x:v>
      </x:c>
    </x:row>
    <x:row r="2237">
      <x:c r="A2237" s="18" t="n">
        <x:v>9405</x:v>
      </x:c>
      <x:c r="B2237" s="18" t="n">
        <x:v>1954</x:v>
      </x:c>
      <x:c r="C2237" s="18" t="str">
        <x:v>PhD</x:v>
      </x:c>
      <x:c r="D2237" s="18" t="str">
        <x:v>Married</x:v>
      </x:c>
      <x:c r="E2237" s="18" t="n">
        <x:v>52869</x:v>
      </x:c>
      <x:c r="F2237" s="18" t="n">
        <x:v>1</x:v>
      </x:c>
      <x:c r="G2237" s="18" t="n">
        <x:v>1</x:v>
      </x:c>
      <x:c r="H2237" s="18" t="str">
        <x:v>15-10-2012</x:v>
      </x:c>
      <x:c r="I2237" s="18" t="n">
        <x:v>40</x:v>
      </x:c>
      <x:c r="J2237" s="18" t="n">
        <x:v>84</x:v>
      </x:c>
      <x:c r="K2237" s="18" t="n">
        <x:v>3</x:v>
      </x:c>
      <x:c r="L2237" s="18" t="n">
        <x:v>61</x:v>
      </x:c>
      <x:c r="M2237" s="18" t="n">
        <x:v>2</x:v>
      </x:c>
      <x:c r="N2237" s="18" t="n">
        <x:v>1</x:v>
      </x:c>
      <x:c r="O2237" s="18" t="n">
        <x:v>21</x:v>
      </x:c>
      <x:c r="P2237" s="18" t="n">
        <x:v>3</x:v>
      </x:c>
      <x:c r="Q2237" s="18" t="n">
        <x:v>3</x:v>
      </x:c>
      <x:c r="R2237" s="18" t="n">
        <x:v>1</x:v>
      </x:c>
      <x:c r="S2237" s="18" t="n">
        <x:v>4</x:v>
      </x:c>
      <x:c r="T2237" s="18" t="n">
        <x:v>7</x:v>
      </x:c>
      <x:c r="U2237" s="18" t="n">
        <x:v>0</x:v>
      </x:c>
      <x:c r="V2237" s="18" t="n">
        <x:v>0</x:v>
      </x:c>
      <x:c r="W2237" s="18" t="n">
        <x:v>0</x:v>
      </x:c>
      <x:c r="X2237" s="18" t="n">
        <x:v>0</x:v>
      </x:c>
      <x:c r="Y2237" s="18" t="n">
        <x:v>0</x:v>
      </x:c>
      <x:c r="Z2237" s="18" t="n">
        <x:v>0</x:v>
      </x:c>
      <x:c r="AA2237" s="18" t="n">
        <x:v>3</x:v>
      </x:c>
      <x:c r="AB2237" s="18" t="n">
        <x:v>11</x:v>
      </x:c>
      <x:c r="AC2237" s="18" t="n">
        <x:v>1</x:v>
      </x:c>
      <x:c r="AD2237" s="22" t="n">
        <x:f>IF(E2237="",MEDIAN($E$2:$E$2237),E2237)</x:f>
        <x:v>52869</x:v>
      </x:c>
      <x:c r="AE2237" s="19" t="n">
        <x:f>2014-B2237</x:f>
        <x:v>60</x:v>
      </x:c>
      <x:c r="AF2237" s="19" t="n">
        <x:f>F2237+G2237</x:f>
        <x:v>2</x:v>
      </x:c>
      <x:c r="AG2237" s="22" t="n">
        <x:f>SUM(J2237:O2237)</x:f>
        <x:v>172</x:v>
      </x:c>
      <x:c r="AH2237" s="19" t="n">
        <x:f>SUM(Q2237:S2237)</x:f>
        <x:v>8</x:v>
      </x:c>
      <x:c r="AI2237" s="19" t="n">
        <x:f>SUM(U2237:Y2237)</x:f>
        <x:v>0</x:v>
      </x:c>
      <x:c r="AJ2237" s="19" t="str">
        <x:f>IF(AE2237&lt;=34,"≤34",IF(AE2237&lt;=44,"35–44",IF(AE2237&lt;=54,"45–54",IF(AE2237&lt;=64,"55–64","65+"))))</x:f>
        <x:v>55–64</x:v>
      </x:c>
      <x:c r="AK2237" s="19" t="str">
        <x:f>IF(AG2237&gt;=1000,"High Value",IF(AG2237&gt;=300,"Mid Value","Low Value"))</x:f>
        <x:v>Low Value</x:v>
      </x:c>
      <x:c r="AL2237" s="19" t="str">
        <x:f>IF(AND(AI2237&gt;=1,I2237&lt;=50),"Priority 1",IF(AND(AG2237&gt;=1000,I2237&lt;=60),"Priority 2",IF(I2237&lt;=30,"Priority 3","Nurture")))</x:f>
        <x:v>Nurture</x:v>
      </x:c>
    </x:row>
  </x:sheetData>
  <x:conditionalFormatting sqref="AL2:AL2237">
    <x:cfRule type="containsText" dxfId="0" priority="1" operator="containsText" text="Priority 1"/>
    <x:cfRule type="containsText" dxfId="1" priority="2" operator="containsText" text="Nurture"/>
  </x:conditionalFormatting>
  <x:pageMargins left="0.7" right="0.7" top="0.75" bottom="0.75" header="0.3" footer="0.3"/>
  <x:tableParts count="1">
    <x:tablePart xmlns:r="http://schemas.openxmlformats.org/officeDocument/2006/relationships" r:id="R8809c267135649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6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28" customHeight="1">
      <x:c r="A1" s="4" t="str">
        <x:v>ID</x:v>
      </x:c>
      <x:c r="B1" s="4" t="str">
        <x:v>Year_Birth</x:v>
      </x:c>
      <x:c r="C1" s="4" t="str">
        <x:v>Education</x:v>
      </x:c>
      <x:c r="D1" s="4" t="str">
        <x:v>Marital_Status</x:v>
      </x:c>
      <x:c r="E1" s="4" t="str">
        <x:v>Income</x:v>
      </x:c>
      <x:c r="F1" s="4" t="str">
        <x:v>Kidhome</x:v>
      </x:c>
      <x:c r="G1" s="4" t="str">
        <x:v>Teenhome</x:v>
      </x:c>
      <x:c r="H1" s="4" t="str">
        <x:v>Dt_Customer</x:v>
      </x:c>
      <x:c r="I1" s="4" t="str">
        <x:v>Recency</x:v>
      </x:c>
      <x:c r="J1" s="4" t="str">
        <x:v>MntWines</x:v>
      </x:c>
      <x:c r="K1" s="4" t="str">
        <x:v>MntFruits</x:v>
      </x:c>
      <x:c r="L1" s="4" t="str">
        <x:v>MntMeatProducts</x:v>
      </x:c>
      <x:c r="M1" s="4" t="str">
        <x:v>MntFishProducts</x:v>
      </x:c>
      <x:c r="N1" s="4" t="str">
        <x:v>MntSweetProducts</x:v>
      </x:c>
      <x:c r="O1" s="4" t="str">
        <x:v>MntGoldProds</x:v>
      </x:c>
      <x:c r="P1" s="4" t="str">
        <x:v>NumDealsPurchases</x:v>
      </x:c>
      <x:c r="Q1" s="4" t="str">
        <x:v>NumWebPurchases</x:v>
      </x:c>
      <x:c r="R1" s="4" t="str">
        <x:v>NumCatalogPurchases</x:v>
      </x:c>
      <x:c r="S1" s="4" t="str">
        <x:v>NumStorePurchases</x:v>
      </x:c>
      <x:c r="T1" s="4" t="str">
        <x:v>NumWebVisitsMonth</x:v>
      </x:c>
      <x:c r="U1" s="4" t="str">
        <x:v>AcceptedCmp3</x:v>
      </x:c>
      <x:c r="V1" s="4" t="str">
        <x:v>AcceptedCmp4</x:v>
      </x:c>
      <x:c r="W1" s="4" t="str">
        <x:v>AcceptedCmp5</x:v>
      </x:c>
      <x:c r="X1" s="4" t="str">
        <x:v>AcceptedCmp1</x:v>
      </x:c>
      <x:c r="Y1" s="4" t="str">
        <x:v>AcceptedCmp2</x:v>
      </x:c>
      <x:c r="Z1" s="4" t="str">
        <x:v>Complain</x:v>
      </x:c>
      <x:c r="AA1" s="4" t="str">
        <x:v>Z_CostContact</x:v>
      </x:c>
      <x:c r="AB1" s="4" t="str">
        <x:v>Z_Revenue</x:v>
      </x:c>
      <x:c r="AC1" s="4" t="str">
        <x:v>Response</x:v>
      </x:c>
    </x:row>
    <x:row r="2">
      <x:c r="A2" s="5" t="n">
        <x:v>5524</x:v>
      </x:c>
      <x:c r="B2" s="5" t="n">
        <x:v>1957</x:v>
      </x:c>
      <x:c r="C2" s="5" t="str">
        <x:v>Graduation</x:v>
      </x:c>
      <x:c r="D2" s="5" t="str">
        <x:v>Single</x:v>
      </x:c>
      <x:c r="E2" s="5" t="n">
        <x:v>58138</x:v>
      </x:c>
      <x:c r="F2" s="5" t="n">
        <x:v>0</x:v>
      </x:c>
      <x:c r="G2" s="5" t="n">
        <x:v>0</x:v>
      </x:c>
      <x:c r="H2" s="8" t="str">
        <x:v>04-09-2012</x:v>
      </x:c>
      <x:c r="I2" s="5" t="n">
        <x:v>58</x:v>
      </x:c>
      <x:c r="J2" s="5" t="n">
        <x:v>635</x:v>
      </x:c>
      <x:c r="K2" s="5" t="n">
        <x:v>88</x:v>
      </x:c>
      <x:c r="L2" s="5" t="n">
        <x:v>546</x:v>
      </x:c>
      <x:c r="M2" s="5" t="n">
        <x:v>172</x:v>
      </x:c>
      <x:c r="N2" s="5" t="n">
        <x:v>88</x:v>
      </x:c>
      <x:c r="O2" s="5" t="n">
        <x:v>88</x:v>
      </x:c>
      <x:c r="P2" s="5" t="n">
        <x:v>3</x:v>
      </x:c>
      <x:c r="Q2" s="5" t="n">
        <x:v>8</x:v>
      </x:c>
      <x:c r="R2" s="5" t="n">
        <x:v>10</x:v>
      </x:c>
      <x:c r="S2" s="5" t="n">
        <x:v>4</x:v>
      </x:c>
      <x:c r="T2" s="5" t="n">
        <x:v>7</x:v>
      </x:c>
      <x:c r="U2" s="5" t="n">
        <x:v>0</x:v>
      </x:c>
      <x:c r="V2" s="5" t="n">
        <x:v>0</x:v>
      </x:c>
      <x:c r="W2" s="5" t="n">
        <x:v>0</x:v>
      </x:c>
      <x:c r="X2" s="5" t="n">
        <x:v>0</x:v>
      </x:c>
      <x:c r="Y2" s="5" t="n">
        <x:v>0</x:v>
      </x:c>
      <x:c r="Z2" s="5" t="n">
        <x:v>0</x:v>
      </x:c>
      <x:c r="AA2" s="5" t="n">
        <x:v>3</x:v>
      </x:c>
      <x:c r="AB2" s="5" t="n">
        <x:v>11</x:v>
      </x:c>
      <x:c r="AC2" s="5" t="n">
        <x:v>1</x:v>
      </x:c>
    </x:row>
    <x:row r="3">
      <x:c r="A3" s="6" t="n">
        <x:v>2174</x:v>
      </x:c>
      <x:c r="B3" s="6" t="n">
        <x:v>1954</x:v>
      </x:c>
      <x:c r="C3" s="6" t="str">
        <x:v>Graduation</x:v>
      </x:c>
      <x:c r="D3" s="6" t="str">
        <x:v>Single</x:v>
      </x:c>
      <x:c r="E3" s="6" t="n">
        <x:v>46344</x:v>
      </x:c>
      <x:c r="F3" s="6" t="n">
        <x:v>1</x:v>
      </x:c>
      <x:c r="G3" s="6" t="n">
        <x:v>1</x:v>
      </x:c>
      <x:c r="H3" s="9" t="str">
        <x:v>08-03-2014</x:v>
      </x:c>
      <x:c r="I3" s="6" t="n">
        <x:v>38</x:v>
      </x:c>
      <x:c r="J3" s="6" t="n">
        <x:v>11</x:v>
      </x:c>
      <x:c r="K3" s="6" t="n">
        <x:v>1</x:v>
      </x:c>
      <x:c r="L3" s="6" t="n">
        <x:v>6</x:v>
      </x:c>
      <x:c r="M3" s="6" t="n">
        <x:v>2</x:v>
      </x:c>
      <x:c r="N3" s="6" t="n">
        <x:v>1</x:v>
      </x:c>
      <x:c r="O3" s="6" t="n">
        <x:v>6</x:v>
      </x:c>
      <x:c r="P3" s="6" t="n">
        <x:v>2</x:v>
      </x:c>
      <x:c r="Q3" s="6" t="n">
        <x:v>1</x:v>
      </x:c>
      <x:c r="R3" s="6" t="n">
        <x:v>1</x:v>
      </x:c>
      <x:c r="S3" s="6" t="n">
        <x:v>2</x:v>
      </x:c>
      <x:c r="T3" s="6" t="n">
        <x:v>5</x:v>
      </x:c>
      <x:c r="U3" s="6" t="n">
        <x:v>0</x:v>
      </x:c>
      <x:c r="V3" s="6" t="n">
        <x:v>0</x:v>
      </x:c>
      <x:c r="W3" s="6" t="n">
        <x:v>0</x:v>
      </x:c>
      <x:c r="X3" s="6" t="n">
        <x:v>0</x:v>
      </x:c>
      <x:c r="Y3" s="6" t="n">
        <x:v>0</x:v>
      </x:c>
      <x:c r="Z3" s="6" t="n">
        <x:v>0</x:v>
      </x:c>
      <x:c r="AA3" s="6" t="n">
        <x:v>3</x:v>
      </x:c>
      <x:c r="AB3" s="6" t="n">
        <x:v>11</x:v>
      </x:c>
      <x:c r="AC3" s="6" t="n">
        <x:v>0</x:v>
      </x:c>
    </x:row>
    <x:row r="4">
      <x:c r="A4" s="6" t="n">
        <x:v>4141</x:v>
      </x:c>
      <x:c r="B4" s="6" t="n">
        <x:v>1965</x:v>
      </x:c>
      <x:c r="C4" s="6" t="str">
        <x:v>Graduation</x:v>
      </x:c>
      <x:c r="D4" s="6" t="str">
        <x:v>Together</x:v>
      </x:c>
      <x:c r="E4" s="6" t="n">
        <x:v>71613</x:v>
      </x:c>
      <x:c r="F4" s="6" t="n">
        <x:v>0</x:v>
      </x:c>
      <x:c r="G4" s="6" t="n">
        <x:v>0</x:v>
      </x:c>
      <x:c r="H4" s="9" t="str">
        <x:v>21-08-2013</x:v>
      </x:c>
      <x:c r="I4" s="6" t="n">
        <x:v>26</x:v>
      </x:c>
      <x:c r="J4" s="6" t="n">
        <x:v>426</x:v>
      </x:c>
      <x:c r="K4" s="6" t="n">
        <x:v>49</x:v>
      </x:c>
      <x:c r="L4" s="6" t="n">
        <x:v>127</x:v>
      </x:c>
      <x:c r="M4" s="6" t="n">
        <x:v>111</x:v>
      </x:c>
      <x:c r="N4" s="6" t="n">
        <x:v>21</x:v>
      </x:c>
      <x:c r="O4" s="6" t="n">
        <x:v>42</x:v>
      </x:c>
      <x:c r="P4" s="6" t="n">
        <x:v>1</x:v>
      </x:c>
      <x:c r="Q4" s="6" t="n">
        <x:v>8</x:v>
      </x:c>
      <x:c r="R4" s="6" t="n">
        <x:v>2</x:v>
      </x:c>
      <x:c r="S4" s="6" t="n">
        <x:v>10</x:v>
      </x:c>
      <x:c r="T4" s="6" t="n">
        <x:v>4</x:v>
      </x:c>
      <x:c r="U4" s="6" t="n">
        <x:v>0</x:v>
      </x:c>
      <x:c r="V4" s="6" t="n">
        <x:v>0</x:v>
      </x:c>
      <x:c r="W4" s="6" t="n">
        <x:v>0</x:v>
      </x:c>
      <x:c r="X4" s="6" t="n">
        <x:v>0</x:v>
      </x:c>
      <x:c r="Y4" s="6" t="n">
        <x:v>0</x:v>
      </x:c>
      <x:c r="Z4" s="6" t="n">
        <x:v>0</x:v>
      </x:c>
      <x:c r="AA4" s="6" t="n">
        <x:v>3</x:v>
      </x:c>
      <x:c r="AB4" s="6" t="n">
        <x:v>11</x:v>
      </x:c>
      <x:c r="AC4" s="6" t="n">
        <x:v>0</x:v>
      </x:c>
    </x:row>
    <x:row r="5">
      <x:c r="A5" s="6" t="n">
        <x:v>6182</x:v>
      </x:c>
      <x:c r="B5" s="6" t="n">
        <x:v>1984</x:v>
      </x:c>
      <x:c r="C5" s="6" t="str">
        <x:v>Graduation</x:v>
      </x:c>
      <x:c r="D5" s="6" t="str">
        <x:v>Together</x:v>
      </x:c>
      <x:c r="E5" s="6" t="n">
        <x:v>26646</x:v>
      </x:c>
      <x:c r="F5" s="6" t="n">
        <x:v>1</x:v>
      </x:c>
      <x:c r="G5" s="6" t="n">
        <x:v>0</x:v>
      </x:c>
      <x:c r="H5" s="9" t="str">
        <x:v>10-02-2014</x:v>
      </x:c>
      <x:c r="I5" s="6" t="n">
        <x:v>26</x:v>
      </x:c>
      <x:c r="J5" s="6" t="n">
        <x:v>11</x:v>
      </x:c>
      <x:c r="K5" s="6" t="n">
        <x:v>4</x:v>
      </x:c>
      <x:c r="L5" s="6" t="n">
        <x:v>20</x:v>
      </x:c>
      <x:c r="M5" s="6" t="n">
        <x:v>10</x:v>
      </x:c>
      <x:c r="N5" s="6" t="n">
        <x:v>3</x:v>
      </x:c>
      <x:c r="O5" s="6" t="n">
        <x:v>5</x:v>
      </x:c>
      <x:c r="P5" s="6" t="n">
        <x:v>2</x:v>
      </x:c>
      <x:c r="Q5" s="6" t="n">
        <x:v>2</x:v>
      </x:c>
      <x:c r="R5" s="6" t="n">
        <x:v>0</x:v>
      </x:c>
      <x:c r="S5" s="6" t="n">
        <x:v>4</x:v>
      </x:c>
      <x:c r="T5" s="6" t="n">
        <x:v>6</x:v>
      </x:c>
      <x:c r="U5" s="6" t="n">
        <x:v>0</x:v>
      </x:c>
      <x:c r="V5" s="6" t="n">
        <x:v>0</x:v>
      </x:c>
      <x:c r="W5" s="6" t="n">
        <x:v>0</x:v>
      </x:c>
      <x:c r="X5" s="6" t="n">
        <x:v>0</x:v>
      </x:c>
      <x:c r="Y5" s="6" t="n">
        <x:v>0</x:v>
      </x:c>
      <x:c r="Z5" s="6" t="n">
        <x:v>0</x:v>
      </x:c>
      <x:c r="AA5" s="6" t="n">
        <x:v>3</x:v>
      </x:c>
      <x:c r="AB5" s="6" t="n">
        <x:v>11</x:v>
      </x:c>
      <x:c r="AC5" s="6" t="n">
        <x:v>0</x:v>
      </x:c>
    </x:row>
    <x:row r="6">
      <x:c r="A6" s="6" t="n">
        <x:v>5324</x:v>
      </x:c>
      <x:c r="B6" s="6" t="n">
        <x:v>1981</x:v>
      </x:c>
      <x:c r="C6" s="6" t="str">
        <x:v>PhD</x:v>
      </x:c>
      <x:c r="D6" s="6" t="str">
        <x:v>Married</x:v>
      </x:c>
      <x:c r="E6" s="6" t="n">
        <x:v>58293</x:v>
      </x:c>
      <x:c r="F6" s="6" t="n">
        <x:v>1</x:v>
      </x:c>
      <x:c r="G6" s="6" t="n">
        <x:v>0</x:v>
      </x:c>
      <x:c r="H6" s="9" t="str">
        <x:v>19-01-2014</x:v>
      </x:c>
      <x:c r="I6" s="6" t="n">
        <x:v>94</x:v>
      </x:c>
      <x:c r="J6" s="6" t="n">
        <x:v>173</x:v>
      </x:c>
      <x:c r="K6" s="6" t="n">
        <x:v>43</x:v>
      </x:c>
      <x:c r="L6" s="6" t="n">
        <x:v>118</x:v>
      </x:c>
      <x:c r="M6" s="6" t="n">
        <x:v>46</x:v>
      </x:c>
      <x:c r="N6" s="6" t="n">
        <x:v>27</x:v>
      </x:c>
      <x:c r="O6" s="6" t="n">
        <x:v>15</x:v>
      </x:c>
      <x:c r="P6" s="6" t="n">
        <x:v>5</x:v>
      </x:c>
      <x:c r="Q6" s="6" t="n">
        <x:v>5</x:v>
      </x:c>
      <x:c r="R6" s="6" t="n">
        <x:v>3</x:v>
      </x:c>
      <x:c r="S6" s="6" t="n">
        <x:v>6</x:v>
      </x:c>
      <x:c r="T6" s="6" t="n">
        <x:v>5</x:v>
      </x:c>
      <x:c r="U6" s="6" t="n">
        <x:v>0</x:v>
      </x:c>
      <x:c r="V6" s="6" t="n">
        <x:v>0</x:v>
      </x:c>
      <x:c r="W6" s="6" t="n">
        <x:v>0</x:v>
      </x:c>
      <x:c r="X6" s="6" t="n">
        <x:v>0</x:v>
      </x:c>
      <x:c r="Y6" s="6" t="n">
        <x:v>0</x:v>
      </x:c>
      <x:c r="Z6" s="6" t="n">
        <x:v>0</x:v>
      </x:c>
      <x:c r="AA6" s="6" t="n">
        <x:v>3</x:v>
      </x:c>
      <x:c r="AB6" s="6" t="n">
        <x:v>11</x:v>
      </x:c>
      <x:c r="AC6" s="6" t="n">
        <x:v>0</x:v>
      </x:c>
    </x:row>
    <x:row r="7">
      <x:c r="A7" s="6" t="n">
        <x:v>7446</x:v>
      </x:c>
      <x:c r="B7" s="6" t="n">
        <x:v>1967</x:v>
      </x:c>
      <x:c r="C7" s="6" t="str">
        <x:v>Master</x:v>
      </x:c>
      <x:c r="D7" s="6" t="str">
        <x:v>Together</x:v>
      </x:c>
      <x:c r="E7" s="6" t="n">
        <x:v>62513</x:v>
      </x:c>
      <x:c r="F7" s="6" t="n">
        <x:v>0</x:v>
      </x:c>
      <x:c r="G7" s="6" t="n">
        <x:v>1</x:v>
      </x:c>
      <x:c r="H7" s="9" t="str">
        <x:v>09-09-2013</x:v>
      </x:c>
      <x:c r="I7" s="6" t="n">
        <x:v>16</x:v>
      </x:c>
      <x:c r="J7" s="6" t="n">
        <x:v>520</x:v>
      </x:c>
      <x:c r="K7" s="6" t="n">
        <x:v>42</x:v>
      </x:c>
      <x:c r="L7" s="6" t="n">
        <x:v>98</x:v>
      </x:c>
      <x:c r="M7" s="6" t="n">
        <x:v>0</x:v>
      </x:c>
      <x:c r="N7" s="6" t="n">
        <x:v>42</x:v>
      </x:c>
      <x:c r="O7" s="6" t="n">
        <x:v>14</x:v>
      </x:c>
      <x:c r="P7" s="6" t="n">
        <x:v>2</x:v>
      </x:c>
      <x:c r="Q7" s="6" t="n">
        <x:v>6</x:v>
      </x:c>
      <x:c r="R7" s="6" t="n">
        <x:v>4</x:v>
      </x:c>
      <x:c r="S7" s="6" t="n">
        <x:v>10</x:v>
      </x:c>
      <x:c r="T7" s="6" t="n">
        <x:v>6</x:v>
      </x:c>
      <x:c r="U7" s="6" t="n">
        <x:v>0</x:v>
      </x:c>
      <x:c r="V7" s="6" t="n">
        <x:v>0</x:v>
      </x:c>
      <x:c r="W7" s="6" t="n">
        <x:v>0</x:v>
      </x:c>
      <x:c r="X7" s="6" t="n">
        <x:v>0</x:v>
      </x:c>
      <x:c r="Y7" s="6" t="n">
        <x:v>0</x:v>
      </x:c>
      <x:c r="Z7" s="6" t="n">
        <x:v>0</x:v>
      </x:c>
      <x:c r="AA7" s="6" t="n">
        <x:v>3</x:v>
      </x:c>
      <x:c r="AB7" s="6" t="n">
        <x:v>11</x:v>
      </x:c>
      <x:c r="AC7" s="6" t="n">
        <x:v>0</x:v>
      </x:c>
    </x:row>
    <x:row r="8">
      <x:c r="A8" s="6" t="n">
        <x:v>965</x:v>
      </x:c>
      <x:c r="B8" s="6" t="n">
        <x:v>1971</x:v>
      </x:c>
      <x:c r="C8" s="6" t="str">
        <x:v>Graduation</x:v>
      </x:c>
      <x:c r="D8" s="6" t="str">
        <x:v>Divorced</x:v>
      </x:c>
      <x:c r="E8" s="6" t="n">
        <x:v>55635</x:v>
      </x:c>
      <x:c r="F8" s="6" t="n">
        <x:v>0</x:v>
      </x:c>
      <x:c r="G8" s="6" t="n">
        <x:v>1</x:v>
      </x:c>
      <x:c r="H8" s="9" t="str">
        <x:v>13-11-2012</x:v>
      </x:c>
      <x:c r="I8" s="6" t="n">
        <x:v>34</x:v>
      </x:c>
      <x:c r="J8" s="6" t="n">
        <x:v>235</x:v>
      </x:c>
      <x:c r="K8" s="6" t="n">
        <x:v>65</x:v>
      </x:c>
      <x:c r="L8" s="6" t="n">
        <x:v>164</x:v>
      </x:c>
      <x:c r="M8" s="6" t="n">
        <x:v>50</x:v>
      </x:c>
      <x:c r="N8" s="6" t="n">
        <x:v>49</x:v>
      </x:c>
      <x:c r="O8" s="6" t="n">
        <x:v>27</x:v>
      </x:c>
      <x:c r="P8" s="6" t="n">
        <x:v>4</x:v>
      </x:c>
      <x:c r="Q8" s="6" t="n">
        <x:v>7</x:v>
      </x:c>
      <x:c r="R8" s="6" t="n">
        <x:v>3</x:v>
      </x:c>
      <x:c r="S8" s="6" t="n">
        <x:v>7</x:v>
      </x:c>
      <x:c r="T8" s="6" t="n">
        <x:v>6</x:v>
      </x:c>
      <x:c r="U8" s="6" t="n">
        <x:v>0</x:v>
      </x:c>
      <x:c r="V8" s="6" t="n">
        <x:v>0</x:v>
      </x:c>
      <x:c r="W8" s="6" t="n">
        <x:v>0</x:v>
      </x:c>
      <x:c r="X8" s="6" t="n">
        <x:v>0</x:v>
      </x:c>
      <x:c r="Y8" s="6" t="n">
        <x:v>0</x:v>
      </x:c>
      <x:c r="Z8" s="6" t="n">
        <x:v>0</x:v>
      </x:c>
      <x:c r="AA8" s="6" t="n">
        <x:v>3</x:v>
      </x:c>
      <x:c r="AB8" s="6" t="n">
        <x:v>11</x:v>
      </x:c>
      <x:c r="AC8" s="6" t="n">
        <x:v>0</x:v>
      </x:c>
    </x:row>
    <x:row r="9">
      <x:c r="A9" s="6" t="n">
        <x:v>6177</x:v>
      </x:c>
      <x:c r="B9" s="6" t="n">
        <x:v>1985</x:v>
      </x:c>
      <x:c r="C9" s="6" t="str">
        <x:v>PhD</x:v>
      </x:c>
      <x:c r="D9" s="6" t="str">
        <x:v>Married</x:v>
      </x:c>
      <x:c r="E9" s="6" t="n">
        <x:v>33454</x:v>
      </x:c>
      <x:c r="F9" s="6" t="n">
        <x:v>1</x:v>
      </x:c>
      <x:c r="G9" s="6" t="n">
        <x:v>0</x:v>
      </x:c>
      <x:c r="H9" s="9" t="str">
        <x:v>08-05-2013</x:v>
      </x:c>
      <x:c r="I9" s="6" t="n">
        <x:v>32</x:v>
      </x:c>
      <x:c r="J9" s="6" t="n">
        <x:v>76</x:v>
      </x:c>
      <x:c r="K9" s="6" t="n">
        <x:v>10</x:v>
      </x:c>
      <x:c r="L9" s="6" t="n">
        <x:v>56</x:v>
      </x:c>
      <x:c r="M9" s="6" t="n">
        <x:v>3</x:v>
      </x:c>
      <x:c r="N9" s="6" t="n">
        <x:v>1</x:v>
      </x:c>
      <x:c r="O9" s="6" t="n">
        <x:v>23</x:v>
      </x:c>
      <x:c r="P9" s="6" t="n">
        <x:v>2</x:v>
      </x:c>
      <x:c r="Q9" s="6" t="n">
        <x:v>4</x:v>
      </x:c>
      <x:c r="R9" s="6" t="n">
        <x:v>0</x:v>
      </x:c>
      <x:c r="S9" s="6" t="n">
        <x:v>4</x:v>
      </x:c>
      <x:c r="T9" s="6" t="n">
        <x:v>8</x:v>
      </x:c>
      <x:c r="U9" s="6" t="n">
        <x:v>0</x:v>
      </x:c>
      <x:c r="V9" s="6" t="n">
        <x:v>0</x:v>
      </x:c>
      <x:c r="W9" s="6" t="n">
        <x:v>0</x:v>
      </x:c>
      <x:c r="X9" s="6" t="n">
        <x:v>0</x:v>
      </x:c>
      <x:c r="Y9" s="6" t="n">
        <x:v>0</x:v>
      </x:c>
      <x:c r="Z9" s="6" t="n">
        <x:v>0</x:v>
      </x:c>
      <x:c r="AA9" s="6" t="n">
        <x:v>3</x:v>
      </x:c>
      <x:c r="AB9" s="6" t="n">
        <x:v>11</x:v>
      </x:c>
      <x:c r="AC9" s="6" t="n">
        <x:v>0</x:v>
      </x:c>
    </x:row>
    <x:row r="10">
      <x:c r="A10" s="6" t="n">
        <x:v>4855</x:v>
      </x:c>
      <x:c r="B10" s="6" t="n">
        <x:v>1974</x:v>
      </x:c>
      <x:c r="C10" s="6" t="str">
        <x:v>PhD</x:v>
      </x:c>
      <x:c r="D10" s="6" t="str">
        <x:v>Together</x:v>
      </x:c>
      <x:c r="E10" s="6" t="n">
        <x:v>30351</x:v>
      </x:c>
      <x:c r="F10" s="6" t="n">
        <x:v>1</x:v>
      </x:c>
      <x:c r="G10" s="6" t="n">
        <x:v>0</x:v>
      </x:c>
      <x:c r="H10" s="9" t="str">
        <x:v>06-06-2013</x:v>
      </x:c>
      <x:c r="I10" s="6" t="n">
        <x:v>19</x:v>
      </x:c>
      <x:c r="J10" s="6" t="n">
        <x:v>14</x:v>
      </x:c>
      <x:c r="K10" s="6" t="n">
        <x:v>0</x:v>
      </x:c>
      <x:c r="L10" s="6" t="n">
        <x:v>24</x:v>
      </x:c>
      <x:c r="M10" s="6" t="n">
        <x:v>3</x:v>
      </x:c>
      <x:c r="N10" s="6" t="n">
        <x:v>3</x:v>
      </x:c>
      <x:c r="O10" s="6" t="n">
        <x:v>2</x:v>
      </x:c>
      <x:c r="P10" s="6" t="n">
        <x:v>1</x:v>
      </x:c>
      <x:c r="Q10" s="6" t="n">
        <x:v>3</x:v>
      </x:c>
      <x:c r="R10" s="6" t="n">
        <x:v>0</x:v>
      </x:c>
      <x:c r="S10" s="6" t="n">
        <x:v>2</x:v>
      </x:c>
      <x:c r="T10" s="6" t="n">
        <x:v>9</x:v>
      </x:c>
      <x:c r="U10" s="6" t="n">
        <x:v>0</x:v>
      </x:c>
      <x:c r="V10" s="6" t="n">
        <x:v>0</x:v>
      </x:c>
      <x:c r="W10" s="6" t="n">
        <x:v>0</x:v>
      </x:c>
      <x:c r="X10" s="6" t="n">
        <x:v>0</x:v>
      </x:c>
      <x:c r="Y10" s="6" t="n">
        <x:v>0</x:v>
      </x:c>
      <x:c r="Z10" s="6" t="n">
        <x:v>0</x:v>
      </x:c>
      <x:c r="AA10" s="6" t="n">
        <x:v>3</x:v>
      </x:c>
      <x:c r="AB10" s="6" t="n">
        <x:v>11</x:v>
      </x:c>
      <x:c r="AC10" s="6" t="n">
        <x:v>1</x:v>
      </x:c>
    </x:row>
    <x:row r="11">
      <x:c r="A11" s="6" t="n">
        <x:v>5899</x:v>
      </x:c>
      <x:c r="B11" s="6" t="n">
        <x:v>1950</x:v>
      </x:c>
      <x:c r="C11" s="6" t="str">
        <x:v>PhD</x:v>
      </x:c>
      <x:c r="D11" s="6" t="str">
        <x:v>Together</x:v>
      </x:c>
      <x:c r="E11" s="6" t="n">
        <x:v>5648</x:v>
      </x:c>
      <x:c r="F11" s="6" t="n">
        <x:v>1</x:v>
      </x:c>
      <x:c r="G11" s="6" t="n">
        <x:v>1</x:v>
      </x:c>
      <x:c r="H11" s="9" t="str">
        <x:v>13-03-2014</x:v>
      </x:c>
      <x:c r="I11" s="6" t="n">
        <x:v>68</x:v>
      </x:c>
      <x:c r="J11" s="6" t="n">
        <x:v>28</x:v>
      </x:c>
      <x:c r="K11" s="6" t="n">
        <x:v>0</x:v>
      </x:c>
      <x:c r="L11" s="6" t="n">
        <x:v>6</x:v>
      </x:c>
      <x:c r="M11" s="6" t="n">
        <x:v>1</x:v>
      </x:c>
      <x:c r="N11" s="6" t="n">
        <x:v>1</x:v>
      </x:c>
      <x:c r="O11" s="6" t="n">
        <x:v>13</x:v>
      </x:c>
      <x:c r="P11" s="6" t="n">
        <x:v>1</x:v>
      </x:c>
      <x:c r="Q11" s="6" t="n">
        <x:v>1</x:v>
      </x:c>
      <x:c r="R11" s="6" t="n">
        <x:v>0</x:v>
      </x:c>
      <x:c r="S11" s="6" t="n">
        <x:v>0</x:v>
      </x:c>
      <x:c r="T11" s="6" t="n">
        <x:v>20</x:v>
      </x:c>
      <x:c r="U11" s="6" t="n">
        <x:v>1</x:v>
      </x:c>
      <x:c r="V11" s="6" t="n">
        <x:v>0</x:v>
      </x:c>
      <x:c r="W11" s="6" t="n">
        <x:v>0</x:v>
      </x:c>
      <x:c r="X11" s="6" t="n">
        <x:v>0</x:v>
      </x:c>
      <x:c r="Y11" s="6" t="n">
        <x:v>0</x:v>
      </x:c>
      <x:c r="Z11" s="6" t="n">
        <x:v>0</x:v>
      </x:c>
      <x:c r="AA11" s="6" t="n">
        <x:v>3</x:v>
      </x:c>
      <x:c r="AB11" s="6" t="n">
        <x:v>11</x:v>
      </x:c>
      <x:c r="AC11" s="6" t="n">
        <x:v>0</x:v>
      </x:c>
    </x:row>
    <x:row r="12">
      <x:c r="A12" s="6" t="n">
        <x:v>1994</x:v>
      </x:c>
      <x:c r="B12" s="6" t="n">
        <x:v>1983</x:v>
      </x:c>
      <x:c r="C12" s="6" t="str">
        <x:v>Graduation</x:v>
      </x:c>
      <x:c r="D12" s="6" t="str">
        <x:v>Married</x:v>
      </x:c>
      <x:c r="E12" s="6"/>
      <x:c r="F12" s="6" t="n">
        <x:v>1</x:v>
      </x:c>
      <x:c r="G12" s="6" t="n">
        <x:v>0</x:v>
      </x:c>
      <x:c r="H12" s="9" t="str">
        <x:v>15-11-2013</x:v>
      </x:c>
      <x:c r="I12" s="6" t="n">
        <x:v>11</x:v>
      </x:c>
      <x:c r="J12" s="6" t="n">
        <x:v>5</x:v>
      </x:c>
      <x:c r="K12" s="6" t="n">
        <x:v>5</x:v>
      </x:c>
      <x:c r="L12" s="6" t="n">
        <x:v>6</x:v>
      </x:c>
      <x:c r="M12" s="6" t="n">
        <x:v>0</x:v>
      </x:c>
      <x:c r="N12" s="6" t="n">
        <x:v>2</x:v>
      </x:c>
      <x:c r="O12" s="6" t="n">
        <x:v>1</x:v>
      </x:c>
      <x:c r="P12" s="6" t="n">
        <x:v>1</x:v>
      </x:c>
      <x:c r="Q12" s="6" t="n">
        <x:v>1</x:v>
      </x:c>
      <x:c r="R12" s="6" t="n">
        <x:v>0</x:v>
      </x:c>
      <x:c r="S12" s="6" t="n">
        <x:v>2</x:v>
      </x:c>
      <x:c r="T12" s="6" t="n">
        <x:v>7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  <x:c r="Y12" s="6" t="n">
        <x:v>0</x:v>
      </x:c>
      <x:c r="Z12" s="6" t="n">
        <x:v>0</x:v>
      </x:c>
      <x:c r="AA12" s="6" t="n">
        <x:v>3</x:v>
      </x:c>
      <x:c r="AB12" s="6" t="n">
        <x:v>11</x:v>
      </x:c>
      <x:c r="AC12" s="6" t="n">
        <x:v>0</x:v>
      </x:c>
    </x:row>
    <x:row r="13">
      <x:c r="A13" s="6" t="n">
        <x:v>387</x:v>
      </x:c>
      <x:c r="B13" s="6" t="n">
        <x:v>1976</x:v>
      </x:c>
      <x:c r="C13" s="6" t="str">
        <x:v>Basic</x:v>
      </x:c>
      <x:c r="D13" s="6" t="str">
        <x:v>Married</x:v>
      </x:c>
      <x:c r="E13" s="6" t="n">
        <x:v>7500</x:v>
      </x:c>
      <x:c r="F13" s="6" t="n">
        <x:v>0</x:v>
      </x:c>
      <x:c r="G13" s="6" t="n">
        <x:v>0</x:v>
      </x:c>
      <x:c r="H13" s="9" t="str">
        <x:v>13-11-2012</x:v>
      </x:c>
      <x:c r="I13" s="6" t="n">
        <x:v>59</x:v>
      </x:c>
      <x:c r="J13" s="6" t="n">
        <x:v>6</x:v>
      </x:c>
      <x:c r="K13" s="6" t="n">
        <x:v>16</x:v>
      </x:c>
      <x:c r="L13" s="6" t="n">
        <x:v>11</x:v>
      </x:c>
      <x:c r="M13" s="6" t="n">
        <x:v>11</x:v>
      </x:c>
      <x:c r="N13" s="6" t="n">
        <x:v>1</x:v>
      </x:c>
      <x:c r="O13" s="6" t="n">
        <x:v>16</x:v>
      </x:c>
      <x:c r="P13" s="6" t="n">
        <x:v>1</x:v>
      </x:c>
      <x:c r="Q13" s="6" t="n">
        <x:v>2</x:v>
      </x:c>
      <x:c r="R13" s="6" t="n">
        <x:v>0</x:v>
      </x:c>
      <x:c r="S13" s="6" t="n">
        <x:v>3</x:v>
      </x:c>
      <x:c r="T13" s="6" t="n">
        <x:v>8</x:v>
      </x:c>
      <x:c r="U13" s="6" t="n">
        <x:v>0</x:v>
      </x:c>
      <x:c r="V13" s="6" t="n">
        <x:v>0</x:v>
      </x:c>
      <x:c r="W13" s="6" t="n">
        <x:v>0</x:v>
      </x:c>
      <x:c r="X13" s="6" t="n">
        <x:v>0</x:v>
      </x:c>
      <x:c r="Y13" s="6" t="n">
        <x:v>0</x:v>
      </x:c>
      <x:c r="Z13" s="6" t="n">
        <x:v>0</x:v>
      </x:c>
      <x:c r="AA13" s="6" t="n">
        <x:v>3</x:v>
      </x:c>
      <x:c r="AB13" s="6" t="n">
        <x:v>11</x:v>
      </x:c>
      <x:c r="AC13" s="6" t="n">
        <x:v>0</x:v>
      </x:c>
    </x:row>
    <x:row r="14">
      <x:c r="A14" s="6" t="n">
        <x:v>2125</x:v>
      </x:c>
      <x:c r="B14" s="6" t="n">
        <x:v>1959</x:v>
      </x:c>
      <x:c r="C14" s="6" t="str">
        <x:v>Graduation</x:v>
      </x:c>
      <x:c r="D14" s="6" t="str">
        <x:v>Divorced</x:v>
      </x:c>
      <x:c r="E14" s="6" t="n">
        <x:v>63033</x:v>
      </x:c>
      <x:c r="F14" s="6" t="n">
        <x:v>0</x:v>
      </x:c>
      <x:c r="G14" s="6" t="n">
        <x:v>0</x:v>
      </x:c>
      <x:c r="H14" s="9" t="str">
        <x:v>15-11-2013</x:v>
      </x:c>
      <x:c r="I14" s="6" t="n">
        <x:v>82</x:v>
      </x:c>
      <x:c r="J14" s="6" t="n">
        <x:v>194</x:v>
      </x:c>
      <x:c r="K14" s="6" t="n">
        <x:v>61</x:v>
      </x:c>
      <x:c r="L14" s="6" t="n">
        <x:v>480</x:v>
      </x:c>
      <x:c r="M14" s="6" t="n">
        <x:v>225</x:v>
      </x:c>
      <x:c r="N14" s="6" t="n">
        <x:v>112</x:v>
      </x:c>
      <x:c r="O14" s="6" t="n">
        <x:v>30</x:v>
      </x:c>
      <x:c r="P14" s="6" t="n">
        <x:v>1</x:v>
      </x:c>
      <x:c r="Q14" s="6" t="n">
        <x:v>3</x:v>
      </x:c>
      <x:c r="R14" s="6" t="n">
        <x:v>4</x:v>
      </x:c>
      <x:c r="S14" s="6" t="n">
        <x:v>8</x:v>
      </x:c>
      <x:c r="T14" s="6" t="n">
        <x:v>2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  <x:c r="Y14" s="6" t="n">
        <x:v>0</x:v>
      </x:c>
      <x:c r="Z14" s="6" t="n">
        <x:v>0</x:v>
      </x:c>
      <x:c r="AA14" s="6" t="n">
        <x:v>3</x:v>
      </x:c>
      <x:c r="AB14" s="6" t="n">
        <x:v>11</x:v>
      </x:c>
      <x:c r="AC14" s="6" t="n">
        <x:v>0</x:v>
      </x:c>
    </x:row>
    <x:row r="15">
      <x:c r="A15" s="6" t="n">
        <x:v>8180</x:v>
      </x:c>
      <x:c r="B15" s="6" t="n">
        <x:v>1952</x:v>
      </x:c>
      <x:c r="C15" s="6" t="str">
        <x:v>Master</x:v>
      </x:c>
      <x:c r="D15" s="6" t="str">
        <x:v>Divorced</x:v>
      </x:c>
      <x:c r="E15" s="6" t="n">
        <x:v>59354</x:v>
      </x:c>
      <x:c r="F15" s="6" t="n">
        <x:v>1</x:v>
      </x:c>
      <x:c r="G15" s="6" t="n">
        <x:v>1</x:v>
      </x:c>
      <x:c r="H15" s="9" t="str">
        <x:v>15-11-2013</x:v>
      </x:c>
      <x:c r="I15" s="6" t="n">
        <x:v>53</x:v>
      </x:c>
      <x:c r="J15" s="6" t="n">
        <x:v>233</x:v>
      </x:c>
      <x:c r="K15" s="6" t="n">
        <x:v>2</x:v>
      </x:c>
      <x:c r="L15" s="6" t="n">
        <x:v>53</x:v>
      </x:c>
      <x:c r="M15" s="6" t="n">
        <x:v>3</x:v>
      </x:c>
      <x:c r="N15" s="6" t="n">
        <x:v>5</x:v>
      </x:c>
      <x:c r="O15" s="6" t="n">
        <x:v>14</x:v>
      </x:c>
      <x:c r="P15" s="6" t="n">
        <x:v>3</x:v>
      </x:c>
      <x:c r="Q15" s="6" t="n">
        <x:v>6</x:v>
      </x:c>
      <x:c r="R15" s="6" t="n">
        <x:v>1</x:v>
      </x:c>
      <x:c r="S15" s="6" t="n">
        <x:v>5</x:v>
      </x:c>
      <x:c r="T15" s="6" t="n">
        <x:v>6</x:v>
      </x:c>
      <x:c r="U15" s="6" t="n">
        <x:v>0</x:v>
      </x:c>
      <x:c r="V15" s="6" t="n">
        <x:v>0</x:v>
      </x:c>
      <x:c r="W15" s="6" t="n">
        <x:v>0</x:v>
      </x:c>
      <x:c r="X15" s="6" t="n">
        <x:v>0</x:v>
      </x:c>
      <x:c r="Y15" s="6" t="n">
        <x:v>0</x:v>
      </x:c>
      <x:c r="Z15" s="6" t="n">
        <x:v>0</x:v>
      </x:c>
      <x:c r="AA15" s="6" t="n">
        <x:v>3</x:v>
      </x:c>
      <x:c r="AB15" s="6" t="n">
        <x:v>11</x:v>
      </x:c>
      <x:c r="AC15" s="6" t="n">
        <x:v>0</x:v>
      </x:c>
    </x:row>
    <x:row r="16">
      <x:c r="A16" s="6" t="n">
        <x:v>2569</x:v>
      </x:c>
      <x:c r="B16" s="6" t="n">
        <x:v>1987</x:v>
      </x:c>
      <x:c r="C16" s="6" t="str">
        <x:v>Graduation</x:v>
      </x:c>
      <x:c r="D16" s="6" t="str">
        <x:v>Married</x:v>
      </x:c>
      <x:c r="E16" s="6" t="n">
        <x:v>17323</x:v>
      </x:c>
      <x:c r="F16" s="6" t="n">
        <x:v>0</x:v>
      </x:c>
      <x:c r="G16" s="6" t="n">
        <x:v>0</x:v>
      </x:c>
      <x:c r="H16" s="9" t="str">
        <x:v>10-10-2012</x:v>
      </x:c>
      <x:c r="I16" s="6" t="n">
        <x:v>38</x:v>
      </x:c>
      <x:c r="J16" s="6" t="n">
        <x:v>3</x:v>
      </x:c>
      <x:c r="K16" s="6" t="n">
        <x:v>14</x:v>
      </x:c>
      <x:c r="L16" s="6" t="n">
        <x:v>17</x:v>
      </x:c>
      <x:c r="M16" s="6" t="n">
        <x:v>6</x:v>
      </x:c>
      <x:c r="N16" s="6" t="n">
        <x:v>1</x:v>
      </x:c>
      <x:c r="O16" s="6" t="n">
        <x:v>5</x:v>
      </x:c>
      <x:c r="P16" s="6" t="n">
        <x:v>1</x:v>
      </x:c>
      <x:c r="Q16" s="6" t="n">
        <x:v>1</x:v>
      </x:c>
      <x:c r="R16" s="6" t="n">
        <x:v>0</x:v>
      </x:c>
      <x:c r="S16" s="6" t="n">
        <x:v>3</x:v>
      </x:c>
      <x:c r="T16" s="6" t="n">
        <x:v>8</x:v>
      </x:c>
      <x:c r="U16" s="6" t="n">
        <x:v>0</x:v>
      </x:c>
      <x:c r="V16" s="6" t="n">
        <x:v>0</x:v>
      </x:c>
      <x:c r="W16" s="6" t="n">
        <x:v>0</x:v>
      </x:c>
      <x:c r="X16" s="6" t="n">
        <x:v>0</x:v>
      </x:c>
      <x:c r="Y16" s="6" t="n">
        <x:v>0</x:v>
      </x:c>
      <x:c r="Z16" s="6" t="n">
        <x:v>0</x:v>
      </x:c>
      <x:c r="AA16" s="6" t="n">
        <x:v>3</x:v>
      </x:c>
      <x:c r="AB16" s="6" t="n">
        <x:v>11</x:v>
      </x:c>
      <x:c r="AC16" s="6" t="n">
        <x:v>0</x:v>
      </x:c>
    </x:row>
    <x:row r="17">
      <x:c r="A17" s="6" t="n">
        <x:v>2114</x:v>
      </x:c>
      <x:c r="B17" s="6" t="n">
        <x:v>1946</x:v>
      </x:c>
      <x:c r="C17" s="6" t="str">
        <x:v>PhD</x:v>
      </x:c>
      <x:c r="D17" s="6" t="str">
        <x:v>Single</x:v>
      </x:c>
      <x:c r="E17" s="6" t="n">
        <x:v>82800</x:v>
      </x:c>
      <x:c r="F17" s="6" t="n">
        <x:v>0</x:v>
      </x:c>
      <x:c r="G17" s="6" t="n">
        <x:v>0</x:v>
      </x:c>
      <x:c r="H17" s="9" t="str">
        <x:v>24-11-2012</x:v>
      </x:c>
      <x:c r="I17" s="6" t="n">
        <x:v>23</x:v>
      </x:c>
      <x:c r="J17" s="6" t="n">
        <x:v>1006</x:v>
      </x:c>
      <x:c r="K17" s="6" t="n">
        <x:v>22</x:v>
      </x:c>
      <x:c r="L17" s="6" t="n">
        <x:v>115</x:v>
      </x:c>
      <x:c r="M17" s="6" t="n">
        <x:v>59</x:v>
      </x:c>
      <x:c r="N17" s="6" t="n">
        <x:v>68</x:v>
      </x:c>
      <x:c r="O17" s="6" t="n">
        <x:v>45</x:v>
      </x:c>
      <x:c r="P17" s="6" t="n">
        <x:v>1</x:v>
      </x:c>
      <x:c r="Q17" s="6" t="n">
        <x:v>7</x:v>
      </x:c>
      <x:c r="R17" s="6" t="n">
        <x:v>6</x:v>
      </x:c>
      <x:c r="S17" s="6" t="n">
        <x:v>12</x:v>
      </x:c>
      <x:c r="T17" s="6" t="n">
        <x:v>3</x:v>
      </x:c>
      <x:c r="U17" s="6" t="n">
        <x:v>0</x:v>
      </x:c>
      <x:c r="V17" s="6" t="n">
        <x:v>0</x:v>
      </x:c>
      <x:c r="W17" s="6" t="n">
        <x:v>1</x:v>
      </x:c>
      <x:c r="X17" s="6" t="n">
        <x:v>1</x:v>
      </x:c>
      <x:c r="Y17" s="6" t="n">
        <x:v>0</x:v>
      </x:c>
      <x:c r="Z17" s="6" t="n">
        <x:v>0</x:v>
      </x:c>
      <x:c r="AA17" s="6" t="n">
        <x:v>3</x:v>
      </x:c>
      <x:c r="AB17" s="6" t="n">
        <x:v>11</x:v>
      </x:c>
      <x:c r="AC17" s="6" t="n">
        <x:v>1</x:v>
      </x:c>
    </x:row>
    <x:row r="18">
      <x:c r="A18" s="6" t="n">
        <x:v>9736</x:v>
      </x:c>
      <x:c r="B18" s="6" t="n">
        <x:v>1980</x:v>
      </x:c>
      <x:c r="C18" s="6" t="str">
        <x:v>Graduation</x:v>
      </x:c>
      <x:c r="D18" s="6" t="str">
        <x:v>Married</x:v>
      </x:c>
      <x:c r="E18" s="6" t="n">
        <x:v>41850</x:v>
      </x:c>
      <x:c r="F18" s="6" t="n">
        <x:v>1</x:v>
      </x:c>
      <x:c r="G18" s="6" t="n">
        <x:v>1</x:v>
      </x:c>
      <x:c r="H18" s="9" t="str">
        <x:v>24-12-2012</x:v>
      </x:c>
      <x:c r="I18" s="6" t="n">
        <x:v>51</x:v>
      </x:c>
      <x:c r="J18" s="6" t="n">
        <x:v>53</x:v>
      </x:c>
      <x:c r="K18" s="6" t="n">
        <x:v>5</x:v>
      </x:c>
      <x:c r="L18" s="6" t="n">
        <x:v>19</x:v>
      </x:c>
      <x:c r="M18" s="6" t="n">
        <x:v>2</x:v>
      </x:c>
      <x:c r="N18" s="6" t="n">
        <x:v>13</x:v>
      </x:c>
      <x:c r="O18" s="6" t="n">
        <x:v>4</x:v>
      </x:c>
      <x:c r="P18" s="6" t="n">
        <x:v>3</x:v>
      </x:c>
      <x:c r="Q18" s="6" t="n">
        <x:v>3</x:v>
      </x:c>
      <x:c r="R18" s="6" t="n">
        <x:v>0</x:v>
      </x:c>
      <x:c r="S18" s="6" t="n">
        <x:v>3</x:v>
      </x:c>
      <x:c r="T18" s="6" t="n">
        <x:v>8</x:v>
      </x:c>
      <x:c r="U18" s="6" t="n">
        <x:v>0</x:v>
      </x:c>
      <x:c r="V18" s="6" t="n">
        <x:v>0</x:v>
      </x:c>
      <x:c r="W18" s="6" t="n">
        <x:v>0</x:v>
      </x:c>
      <x:c r="X18" s="6" t="n">
        <x:v>0</x:v>
      </x:c>
      <x:c r="Y18" s="6" t="n">
        <x:v>0</x:v>
      </x:c>
      <x:c r="Z18" s="6" t="n">
        <x:v>0</x:v>
      </x:c>
      <x:c r="AA18" s="6" t="n">
        <x:v>3</x:v>
      </x:c>
      <x:c r="AB18" s="6" t="n">
        <x:v>11</x:v>
      </x:c>
      <x:c r="AC18" s="6" t="n">
        <x:v>0</x:v>
      </x:c>
    </x:row>
    <x:row r="19">
      <x:c r="A19" s="6" t="n">
        <x:v>4939</x:v>
      </x:c>
      <x:c r="B19" s="6" t="n">
        <x:v>1946</x:v>
      </x:c>
      <x:c r="C19" s="6" t="str">
        <x:v>Graduation</x:v>
      </x:c>
      <x:c r="D19" s="6" t="str">
        <x:v>Together</x:v>
      </x:c>
      <x:c r="E19" s="6" t="n">
        <x:v>37760</x:v>
      </x:c>
      <x:c r="F19" s="6" t="n">
        <x:v>0</x:v>
      </x:c>
      <x:c r="G19" s="6" t="n">
        <x:v>0</x:v>
      </x:c>
      <x:c r="H19" s="9" t="str">
        <x:v>31-08-2012</x:v>
      </x:c>
      <x:c r="I19" s="6" t="n">
        <x:v>20</x:v>
      </x:c>
      <x:c r="J19" s="6" t="n">
        <x:v>84</x:v>
      </x:c>
      <x:c r="K19" s="6" t="n">
        <x:v>5</x:v>
      </x:c>
      <x:c r="L19" s="6" t="n">
        <x:v>38</x:v>
      </x:c>
      <x:c r="M19" s="6" t="n">
        <x:v>150</x:v>
      </x:c>
      <x:c r="N19" s="6" t="n">
        <x:v>12</x:v>
      </x:c>
      <x:c r="O19" s="6" t="n">
        <x:v>28</x:v>
      </x:c>
      <x:c r="P19" s="6" t="n">
        <x:v>2</x:v>
      </x:c>
      <x:c r="Q19" s="6" t="n">
        <x:v>4</x:v>
      </x:c>
      <x:c r="R19" s="6" t="n">
        <x:v>1</x:v>
      </x:c>
      <x:c r="S19" s="6" t="n">
        <x:v>6</x:v>
      </x:c>
      <x:c r="T19" s="6" t="n">
        <x:v>7</x:v>
      </x:c>
      <x:c r="U19" s="6" t="n">
        <x:v>0</x:v>
      </x:c>
      <x:c r="V19" s="6" t="n">
        <x:v>0</x:v>
      </x:c>
      <x:c r="W19" s="6" t="n">
        <x:v>0</x:v>
      </x:c>
      <x:c r="X19" s="6" t="n">
        <x:v>0</x:v>
      </x:c>
      <x:c r="Y19" s="6" t="n">
        <x:v>0</x:v>
      </x:c>
      <x:c r="Z19" s="6" t="n">
        <x:v>0</x:v>
      </x:c>
      <x:c r="AA19" s="6" t="n">
        <x:v>3</x:v>
      </x:c>
      <x:c r="AB19" s="6" t="n">
        <x:v>11</x:v>
      </x:c>
      <x:c r="AC19" s="6" t="n">
        <x:v>0</x:v>
      </x:c>
    </x:row>
    <x:row r="20">
      <x:c r="A20" s="6" t="n">
        <x:v>6565</x:v>
      </x:c>
      <x:c r="B20" s="6" t="n">
        <x:v>1949</x:v>
      </x:c>
      <x:c r="C20" s="6" t="str">
        <x:v>Master</x:v>
      </x:c>
      <x:c r="D20" s="6" t="str">
        <x:v>Married</x:v>
      </x:c>
      <x:c r="E20" s="6" t="n">
        <x:v>76995</x:v>
      </x:c>
      <x:c r="F20" s="6" t="n">
        <x:v>0</x:v>
      </x:c>
      <x:c r="G20" s="6" t="n">
        <x:v>1</x:v>
      </x:c>
      <x:c r="H20" s="9" t="str">
        <x:v>28-03-2013</x:v>
      </x:c>
      <x:c r="I20" s="6" t="n">
        <x:v>91</x:v>
      </x:c>
      <x:c r="J20" s="6" t="n">
        <x:v>1012</x:v>
      </x:c>
      <x:c r="K20" s="6" t="n">
        <x:v>80</x:v>
      </x:c>
      <x:c r="L20" s="6" t="n">
        <x:v>498</x:v>
      </x:c>
      <x:c r="M20" s="6" t="n">
        <x:v>0</x:v>
      </x:c>
      <x:c r="N20" s="6" t="n">
        <x:v>16</x:v>
      </x:c>
      <x:c r="O20" s="6" t="n">
        <x:v>176</x:v>
      </x:c>
      <x:c r="P20" s="6" t="n">
        <x:v>2</x:v>
      </x:c>
      <x:c r="Q20" s="6" t="n">
        <x:v>11</x:v>
      </x:c>
      <x:c r="R20" s="6" t="n">
        <x:v>4</x:v>
      </x:c>
      <x:c r="S20" s="6" t="n">
        <x:v>9</x:v>
      </x:c>
      <x:c r="T20" s="6" t="n">
        <x:v>5</x:v>
      </x:c>
      <x:c r="U20" s="6" t="n">
        <x:v>0</x:v>
      </x:c>
      <x:c r="V20" s="6" t="n">
        <x:v>0</x:v>
      </x:c>
      <x:c r="W20" s="6" t="n">
        <x:v>0</x:v>
      </x:c>
      <x:c r="X20" s="6" t="n">
        <x:v>1</x:v>
      </x:c>
      <x:c r="Y20" s="6" t="n">
        <x:v>0</x:v>
      </x:c>
      <x:c r="Z20" s="6" t="n">
        <x:v>0</x:v>
      </x:c>
      <x:c r="AA20" s="6" t="n">
        <x:v>3</x:v>
      </x:c>
      <x:c r="AB20" s="6" t="n">
        <x:v>11</x:v>
      </x:c>
      <x:c r="AC20" s="6" t="n">
        <x:v>0</x:v>
      </x:c>
    </x:row>
    <x:row r="21">
      <x:c r="A21" s="6" t="n">
        <x:v>2278</x:v>
      </x:c>
      <x:c r="B21" s="6" t="n">
        <x:v>1985</x:v>
      </x:c>
      <x:c r="C21" s="6" t="str">
        <x:v>2n Cycle</x:v>
      </x:c>
      <x:c r="D21" s="6" t="str">
        <x:v>Single</x:v>
      </x:c>
      <x:c r="E21" s="6" t="n">
        <x:v>33812</x:v>
      </x:c>
      <x:c r="F21" s="6" t="n">
        <x:v>1</x:v>
      </x:c>
      <x:c r="G21" s="6" t="n">
        <x:v>0</x:v>
      </x:c>
      <x:c r="H21" s="9" t="str">
        <x:v>03-11-2012</x:v>
      </x:c>
      <x:c r="I21" s="6" t="n">
        <x:v>86</x:v>
      </x:c>
      <x:c r="J21" s="6" t="n">
        <x:v>4</x:v>
      </x:c>
      <x:c r="K21" s="6" t="n">
        <x:v>17</x:v>
      </x:c>
      <x:c r="L21" s="6" t="n">
        <x:v>19</x:v>
      </x:c>
      <x:c r="M21" s="6" t="n">
        <x:v>30</x:v>
      </x:c>
      <x:c r="N21" s="6" t="n">
        <x:v>24</x:v>
      </x:c>
      <x:c r="O21" s="6" t="n">
        <x:v>39</x:v>
      </x:c>
      <x:c r="P21" s="6" t="n">
        <x:v>2</x:v>
      </x:c>
      <x:c r="Q21" s="6" t="n">
        <x:v>2</x:v>
      </x:c>
      <x:c r="R21" s="6" t="n">
        <x:v>1</x:v>
      </x:c>
      <x:c r="S21" s="6" t="n">
        <x:v>3</x:v>
      </x:c>
      <x:c r="T21" s="6" t="n">
        <x:v>6</x:v>
      </x:c>
      <x:c r="U21" s="6" t="n">
        <x:v>0</x:v>
      </x:c>
      <x:c r="V21" s="6" t="n">
        <x:v>0</x:v>
      </x:c>
      <x:c r="W21" s="6" t="n">
        <x:v>0</x:v>
      </x:c>
      <x:c r="X21" s="6" t="n">
        <x:v>0</x:v>
      </x:c>
      <x:c r="Y21" s="6" t="n">
        <x:v>0</x:v>
      </x:c>
      <x:c r="Z21" s="6" t="n">
        <x:v>0</x:v>
      </x:c>
      <x:c r="AA21" s="6" t="n">
        <x:v>3</x:v>
      </x:c>
      <x:c r="AB21" s="6" t="n">
        <x:v>11</x:v>
      </x:c>
      <x:c r="AC21" s="6" t="n">
        <x:v>0</x:v>
      </x:c>
    </x:row>
    <x:row r="22">
      <x:c r="A22" s="6" t="n">
        <x:v>9360</x:v>
      </x:c>
      <x:c r="B22" s="6" t="n">
        <x:v>1982</x:v>
      </x:c>
      <x:c r="C22" s="6" t="str">
        <x:v>Graduation</x:v>
      </x:c>
      <x:c r="D22" s="6" t="str">
        <x:v>Married</x:v>
      </x:c>
      <x:c r="E22" s="6" t="n">
        <x:v>37040</x:v>
      </x:c>
      <x:c r="F22" s="6" t="n">
        <x:v>0</x:v>
      </x:c>
      <x:c r="G22" s="6" t="n">
        <x:v>0</x:v>
      </x:c>
      <x:c r="H22" s="9" t="str">
        <x:v>08-08-2012</x:v>
      </x:c>
      <x:c r="I22" s="6" t="n">
        <x:v>41</x:v>
      </x:c>
      <x:c r="J22" s="6" t="n">
        <x:v>86</x:v>
      </x:c>
      <x:c r="K22" s="6" t="n">
        <x:v>2</x:v>
      </x:c>
      <x:c r="L22" s="6" t="n">
        <x:v>73</x:v>
      </x:c>
      <x:c r="M22" s="6" t="n">
        <x:v>69</x:v>
      </x:c>
      <x:c r="N22" s="6" t="n">
        <x:v>38</x:v>
      </x:c>
      <x:c r="O22" s="6" t="n">
        <x:v>48</x:v>
      </x:c>
      <x:c r="P22" s="6" t="n">
        <x:v>1</x:v>
      </x:c>
      <x:c r="Q22" s="6" t="n">
        <x:v>4</x:v>
      </x:c>
      <x:c r="R22" s="6" t="n">
        <x:v>2</x:v>
      </x:c>
      <x:c r="S22" s="6" t="n">
        <x:v>5</x:v>
      </x:c>
      <x:c r="T22" s="6" t="n">
        <x:v>8</x:v>
      </x:c>
      <x:c r="U22" s="6" t="n">
        <x:v>0</x:v>
      </x:c>
      <x:c r="V22" s="6" t="n">
        <x:v>0</x:v>
      </x:c>
      <x:c r="W22" s="6" t="n">
        <x:v>0</x:v>
      </x:c>
      <x:c r="X22" s="6" t="n">
        <x:v>0</x:v>
      </x:c>
      <x:c r="Y22" s="6" t="n">
        <x:v>0</x:v>
      </x:c>
      <x:c r="Z22" s="6" t="n">
        <x:v>0</x:v>
      </x:c>
      <x:c r="AA22" s="6" t="n">
        <x:v>3</x:v>
      </x:c>
      <x:c r="AB22" s="6" t="n">
        <x:v>11</x:v>
      </x:c>
      <x:c r="AC22" s="6" t="n">
        <x:v>0</x:v>
      </x:c>
    </x:row>
    <x:row r="23">
      <x:c r="A23" s="6" t="n">
        <x:v>5376</x:v>
      </x:c>
      <x:c r="B23" s="6" t="n">
        <x:v>1979</x:v>
      </x:c>
      <x:c r="C23" s="6" t="str">
        <x:v>Graduation</x:v>
      </x:c>
      <x:c r="D23" s="6" t="str">
        <x:v>Married</x:v>
      </x:c>
      <x:c r="E23" s="6" t="n">
        <x:v>2447</x:v>
      </x:c>
      <x:c r="F23" s="6" t="n">
        <x:v>1</x:v>
      </x:c>
      <x:c r="G23" s="6" t="n">
        <x:v>0</x:v>
      </x:c>
      <x:c r="H23" s="9" t="str">
        <x:v>06-01-2013</x:v>
      </x:c>
      <x:c r="I23" s="6" t="n">
        <x:v>42</x:v>
      </x:c>
      <x:c r="J23" s="6" t="n">
        <x:v>1</x:v>
      </x:c>
      <x:c r="K23" s="6" t="n">
        <x:v>1</x:v>
      </x:c>
      <x:c r="L23" s="6" t="n">
        <x:v>1725</x:v>
      </x:c>
      <x:c r="M23" s="6" t="n">
        <x:v>1</x:v>
      </x:c>
      <x:c r="N23" s="6" t="n">
        <x:v>1</x:v>
      </x:c>
      <x:c r="O23" s="6" t="n">
        <x:v>1</x:v>
      </x:c>
      <x:c r="P23" s="6" t="n">
        <x:v>15</x:v>
      </x:c>
      <x:c r="Q23" s="6" t="n">
        <x:v>0</x:v>
      </x:c>
      <x:c r="R23" s="6" t="n">
        <x:v>28</x:v>
      </x:c>
      <x:c r="S23" s="6" t="n">
        <x:v>0</x:v>
      </x:c>
      <x:c r="T23" s="6" t="n">
        <x:v>1</x:v>
      </x:c>
      <x:c r="U23" s="6" t="n">
        <x:v>0</x:v>
      </x:c>
      <x:c r="V23" s="6" t="n">
        <x:v>0</x:v>
      </x:c>
      <x:c r="W23" s="6" t="n">
        <x:v>0</x:v>
      </x:c>
      <x:c r="X23" s="6" t="n">
        <x:v>0</x:v>
      </x:c>
      <x:c r="Y23" s="6" t="n">
        <x:v>0</x:v>
      </x:c>
      <x:c r="Z23" s="6" t="n">
        <x:v>0</x:v>
      </x:c>
      <x:c r="AA23" s="6" t="n">
        <x:v>3</x:v>
      </x:c>
      <x:c r="AB23" s="6" t="n">
        <x:v>11</x:v>
      </x:c>
      <x:c r="AC23" s="6" t="n">
        <x:v>0</x:v>
      </x:c>
    </x:row>
    <x:row r="24">
      <x:c r="A24" s="6" t="n">
        <x:v>1993</x:v>
      </x:c>
      <x:c r="B24" s="6" t="n">
        <x:v>1949</x:v>
      </x:c>
      <x:c r="C24" s="6" t="str">
        <x:v>PhD</x:v>
      </x:c>
      <x:c r="D24" s="6" t="str">
        <x:v>Married</x:v>
      </x:c>
      <x:c r="E24" s="6" t="n">
        <x:v>58607</x:v>
      </x:c>
      <x:c r="F24" s="6" t="n">
        <x:v>0</x:v>
      </x:c>
      <x:c r="G24" s="6" t="n">
        <x:v>1</x:v>
      </x:c>
      <x:c r="H24" s="9" t="str">
        <x:v>23-12-2012</x:v>
      </x:c>
      <x:c r="I24" s="6" t="n">
        <x:v>63</x:v>
      </x:c>
      <x:c r="J24" s="6" t="n">
        <x:v>867</x:v>
      </x:c>
      <x:c r="K24" s="6" t="n">
        <x:v>0</x:v>
      </x:c>
      <x:c r="L24" s="6" t="n">
        <x:v>86</x:v>
      </x:c>
      <x:c r="M24" s="6" t="n">
        <x:v>0</x:v>
      </x:c>
      <x:c r="N24" s="6" t="n">
        <x:v>0</x:v>
      </x:c>
      <x:c r="O24" s="6" t="n">
        <x:v>19</x:v>
      </x:c>
      <x:c r="P24" s="6" t="n">
        <x:v>3</x:v>
      </x:c>
      <x:c r="Q24" s="6" t="n">
        <x:v>2</x:v>
      </x:c>
      <x:c r="R24" s="6" t="n">
        <x:v>3</x:v>
      </x:c>
      <x:c r="S24" s="6" t="n">
        <x:v>9</x:v>
      </x:c>
      <x:c r="T24" s="6" t="n">
        <x:v>8</x:v>
      </x:c>
      <x:c r="U24" s="6" t="n">
        <x:v>0</x:v>
      </x:c>
      <x:c r="V24" s="6" t="n">
        <x:v>1</x:v>
      </x:c>
      <x:c r="W24" s="6" t="n">
        <x:v>0</x:v>
      </x:c>
      <x:c r="X24" s="6" t="n">
        <x:v>0</x:v>
      </x:c>
      <x:c r="Y24" s="6" t="n">
        <x:v>0</x:v>
      </x:c>
      <x:c r="Z24" s="6" t="n">
        <x:v>0</x:v>
      </x:c>
      <x:c r="AA24" s="6" t="n">
        <x:v>3</x:v>
      </x:c>
      <x:c r="AB24" s="6" t="n">
        <x:v>11</x:v>
      </x:c>
      <x:c r="AC24" s="6" t="n">
        <x:v>0</x:v>
      </x:c>
    </x:row>
    <x:row r="25">
      <x:c r="A25" s="6" t="n">
        <x:v>4047</x:v>
      </x:c>
      <x:c r="B25" s="6" t="n">
        <x:v>1954</x:v>
      </x:c>
      <x:c r="C25" s="6" t="str">
        <x:v>PhD</x:v>
      </x:c>
      <x:c r="D25" s="6" t="str">
        <x:v>Married</x:v>
      </x:c>
      <x:c r="E25" s="6" t="n">
        <x:v>65324</x:v>
      </x:c>
      <x:c r="F25" s="6" t="n">
        <x:v>0</x:v>
      </x:c>
      <x:c r="G25" s="6" t="n">
        <x:v>1</x:v>
      </x:c>
      <x:c r="H25" s="9" t="str">
        <x:v>11-01-2014</x:v>
      </x:c>
      <x:c r="I25" s="6" t="n">
        <x:v>0</x:v>
      </x:c>
      <x:c r="J25" s="6" t="n">
        <x:v>384</x:v>
      </x:c>
      <x:c r="K25" s="6" t="n">
        <x:v>0</x:v>
      </x:c>
      <x:c r="L25" s="6" t="n">
        <x:v>102</x:v>
      </x:c>
      <x:c r="M25" s="6" t="n">
        <x:v>21</x:v>
      </x:c>
      <x:c r="N25" s="6" t="n">
        <x:v>32</x:v>
      </x:c>
      <x:c r="O25" s="6" t="n">
        <x:v>5</x:v>
      </x:c>
      <x:c r="P25" s="6" t="n">
        <x:v>3</x:v>
      </x:c>
      <x:c r="Q25" s="6" t="n">
        <x:v>6</x:v>
      </x:c>
      <x:c r="R25" s="6" t="n">
        <x:v>2</x:v>
      </x:c>
      <x:c r="S25" s="6" t="n">
        <x:v>9</x:v>
      </x:c>
      <x:c r="T25" s="6" t="n">
        <x:v>4</x:v>
      </x:c>
      <x:c r="U25" s="6" t="n">
        <x:v>0</x:v>
      </x:c>
      <x:c r="V25" s="6" t="n">
        <x:v>0</x:v>
      </x:c>
      <x:c r="W25" s="6" t="n">
        <x:v>0</x:v>
      </x:c>
      <x:c r="X25" s="6" t="n">
        <x:v>0</x:v>
      </x:c>
      <x:c r="Y25" s="6" t="n">
        <x:v>0</x:v>
      </x:c>
      <x:c r="Z25" s="6" t="n">
        <x:v>0</x:v>
      </x:c>
      <x:c r="AA25" s="6" t="n">
        <x:v>3</x:v>
      </x:c>
      <x:c r="AB25" s="6" t="n">
        <x:v>11</x:v>
      </x:c>
      <x:c r="AC25" s="6" t="n">
        <x:v>0</x:v>
      </x:c>
    </x:row>
    <x:row r="26">
      <x:c r="A26" s="6" t="n">
        <x:v>1409</x:v>
      </x:c>
      <x:c r="B26" s="6" t="n">
        <x:v>1951</x:v>
      </x:c>
      <x:c r="C26" s="6" t="str">
        <x:v>Graduation</x:v>
      </x:c>
      <x:c r="D26" s="6" t="str">
        <x:v>Together</x:v>
      </x:c>
      <x:c r="E26" s="6" t="n">
        <x:v>40689</x:v>
      </x:c>
      <x:c r="F26" s="6" t="n">
        <x:v>0</x:v>
      </x:c>
      <x:c r="G26" s="6" t="n">
        <x:v>1</x:v>
      </x:c>
      <x:c r="H26" s="9" t="str">
        <x:v>18-03-2013</x:v>
      </x:c>
      <x:c r="I26" s="6" t="n">
        <x:v>69</x:v>
      </x:c>
      <x:c r="J26" s="6" t="n">
        <x:v>270</x:v>
      </x:c>
      <x:c r="K26" s="6" t="n">
        <x:v>3</x:v>
      </x:c>
      <x:c r="L26" s="6" t="n">
        <x:v>27</x:v>
      </x:c>
      <x:c r="M26" s="6" t="n">
        <x:v>39</x:v>
      </x:c>
      <x:c r="N26" s="6" t="n">
        <x:v>6</x:v>
      </x:c>
      <x:c r="O26" s="6" t="n">
        <x:v>99</x:v>
      </x:c>
      <x:c r="P26" s="6" t="n">
        <x:v>7</x:v>
      </x:c>
      <x:c r="Q26" s="6" t="n">
        <x:v>7</x:v>
      </x:c>
      <x:c r="R26" s="6" t="n">
        <x:v>1</x:v>
      </x:c>
      <x:c r="S26" s="6" t="n">
        <x:v>5</x:v>
      </x:c>
      <x:c r="T26" s="6" t="n">
        <x:v>8</x:v>
      </x:c>
      <x:c r="U26" s="6" t="n">
        <x:v>0</x:v>
      </x:c>
      <x:c r="V26" s="6" t="n">
        <x:v>0</x:v>
      </x:c>
      <x:c r="W26" s="6" t="n">
        <x:v>0</x:v>
      </x:c>
      <x:c r="X26" s="6" t="n">
        <x:v>0</x:v>
      </x:c>
      <x:c r="Y26" s="6" t="n">
        <x:v>0</x:v>
      </x:c>
      <x:c r="Z26" s="6" t="n">
        <x:v>0</x:v>
      </x:c>
      <x:c r="AA26" s="6" t="n">
        <x:v>3</x:v>
      </x:c>
      <x:c r="AB26" s="6" t="n">
        <x:v>11</x:v>
      </x:c>
      <x:c r="AC26" s="6" t="n">
        <x:v>0</x:v>
      </x:c>
    </x:row>
    <x:row r="27">
      <x:c r="A27" s="6" t="n">
        <x:v>7892</x:v>
      </x:c>
      <x:c r="B27" s="6" t="n">
        <x:v>1969</x:v>
      </x:c>
      <x:c r="C27" s="6" t="str">
        <x:v>Graduation</x:v>
      </x:c>
      <x:c r="D27" s="6" t="str">
        <x:v>Single</x:v>
      </x:c>
      <x:c r="E27" s="6" t="n">
        <x:v>18589</x:v>
      </x:c>
      <x:c r="F27" s="6" t="n">
        <x:v>0</x:v>
      </x:c>
      <x:c r="G27" s="6" t="n">
        <x:v>0</x:v>
      </x:c>
      <x:c r="H27" s="9" t="str">
        <x:v>02-01-2013</x:v>
      </x:c>
      <x:c r="I27" s="6" t="n">
        <x:v>89</x:v>
      </x:c>
      <x:c r="J27" s="6" t="n">
        <x:v>6</x:v>
      </x:c>
      <x:c r="K27" s="6" t="n">
        <x:v>4</x:v>
      </x:c>
      <x:c r="L27" s="6" t="n">
        <x:v>25</x:v>
      </x:c>
      <x:c r="M27" s="6" t="n">
        <x:v>15</x:v>
      </x:c>
      <x:c r="N27" s="6" t="n">
        <x:v>12</x:v>
      </x:c>
      <x:c r="O27" s="6" t="n">
        <x:v>13</x:v>
      </x:c>
      <x:c r="P27" s="6" t="n">
        <x:v>2</x:v>
      </x:c>
      <x:c r="Q27" s="6" t="n">
        <x:v>2</x:v>
      </x:c>
      <x:c r="R27" s="6" t="n">
        <x:v>1</x:v>
      </x:c>
      <x:c r="S27" s="6" t="n">
        <x:v>3</x:v>
      </x:c>
      <x:c r="T27" s="6" t="n">
        <x:v>7</x:v>
      </x:c>
      <x:c r="U27" s="6" t="n">
        <x:v>0</x:v>
      </x:c>
      <x:c r="V27" s="6" t="n">
        <x:v>0</x:v>
      </x:c>
      <x:c r="W27" s="6" t="n">
        <x:v>0</x:v>
      </x:c>
      <x:c r="X27" s="6" t="n">
        <x:v>0</x:v>
      </x:c>
      <x:c r="Y27" s="6" t="n">
        <x:v>0</x:v>
      </x:c>
      <x:c r="Z27" s="6" t="n">
        <x:v>0</x:v>
      </x:c>
      <x:c r="AA27" s="6" t="n">
        <x:v>3</x:v>
      </x:c>
      <x:c r="AB27" s="6" t="n">
        <x:v>11</x:v>
      </x:c>
      <x:c r="AC27" s="6" t="n">
        <x:v>0</x:v>
      </x:c>
    </x:row>
    <x:row r="28">
      <x:c r="A28" s="6" t="n">
        <x:v>2404</x:v>
      </x:c>
      <x:c r="B28" s="6" t="n">
        <x:v>1976</x:v>
      </x:c>
      <x:c r="C28" s="6" t="str">
        <x:v>Graduation</x:v>
      </x:c>
      <x:c r="D28" s="6" t="str">
        <x:v>Married</x:v>
      </x:c>
      <x:c r="E28" s="6" t="n">
        <x:v>53359</x:v>
      </x:c>
      <x:c r="F28" s="6" t="n">
        <x:v>1</x:v>
      </x:c>
      <x:c r="G28" s="6" t="n">
        <x:v>1</x:v>
      </x:c>
      <x:c r="H28" s="9" t="str">
        <x:v>27-05-2013</x:v>
      </x:c>
      <x:c r="I28" s="6" t="n">
        <x:v>4</x:v>
      </x:c>
      <x:c r="J28" s="6" t="n">
        <x:v>173</x:v>
      </x:c>
      <x:c r="K28" s="6" t="n">
        <x:v>4</x:v>
      </x:c>
      <x:c r="L28" s="6" t="n">
        <x:v>30</x:v>
      </x:c>
      <x:c r="M28" s="6" t="n">
        <x:v>3</x:v>
      </x:c>
      <x:c r="N28" s="6" t="n">
        <x:v>6</x:v>
      </x:c>
      <x:c r="O28" s="6" t="n">
        <x:v>41</x:v>
      </x:c>
      <x:c r="P28" s="6" t="n">
        <x:v>4</x:v>
      </x:c>
      <x:c r="Q28" s="6" t="n">
        <x:v>5</x:v>
      </x:c>
      <x:c r="R28" s="6" t="n">
        <x:v>1</x:v>
      </x:c>
      <x:c r="S28" s="6" t="n">
        <x:v>4</x:v>
      </x:c>
      <x:c r="T28" s="6" t="n">
        <x:v>7</x:v>
      </x:c>
      <x:c r="U28" s="6" t="n">
        <x:v>0</x:v>
      </x:c>
      <x:c r="V28" s="6" t="n">
        <x:v>0</x:v>
      </x:c>
      <x:c r="W28" s="6" t="n">
        <x:v>0</x:v>
      </x:c>
      <x:c r="X28" s="6" t="n">
        <x:v>0</x:v>
      </x:c>
      <x:c r="Y28" s="6" t="n">
        <x:v>0</x:v>
      </x:c>
      <x:c r="Z28" s="6" t="n">
        <x:v>0</x:v>
      </x:c>
      <x:c r="AA28" s="6" t="n">
        <x:v>3</x:v>
      </x:c>
      <x:c r="AB28" s="6" t="n">
        <x:v>11</x:v>
      </x:c>
      <x:c r="AC28" s="6" t="n">
        <x:v>0</x:v>
      </x:c>
    </x:row>
    <x:row r="29">
      <x:c r="A29" s="6" t="n">
        <x:v>5255</x:v>
      </x:c>
      <x:c r="B29" s="6" t="n">
        <x:v>1986</x:v>
      </x:c>
      <x:c r="C29" s="6" t="str">
        <x:v>Graduation</x:v>
      </x:c>
      <x:c r="D29" s="6" t="str">
        <x:v>Single</x:v>
      </x:c>
      <x:c r="E29" s="6"/>
      <x:c r="F29" s="6" t="n">
        <x:v>1</x:v>
      </x:c>
      <x:c r="G29" s="6" t="n">
        <x:v>0</x:v>
      </x:c>
      <x:c r="H29" s="9" t="str">
        <x:v>20-02-2013</x:v>
      </x:c>
      <x:c r="I29" s="6" t="n">
        <x:v>19</x:v>
      </x:c>
      <x:c r="J29" s="6" t="n">
        <x:v>5</x:v>
      </x:c>
      <x:c r="K29" s="6" t="n">
        <x:v>1</x:v>
      </x:c>
      <x:c r="L29" s="6" t="n">
        <x:v>3</x:v>
      </x:c>
      <x:c r="M29" s="6" t="n">
        <x:v>3</x:v>
      </x:c>
      <x:c r="N29" s="6" t="n">
        <x:v>263</x:v>
      </x:c>
      <x:c r="O29" s="6" t="n">
        <x:v>362</x:v>
      </x:c>
      <x:c r="P29" s="6" t="n">
        <x:v>0</x:v>
      </x:c>
      <x:c r="Q29" s="6" t="n">
        <x:v>27</x:v>
      </x:c>
      <x:c r="R29" s="6" t="n">
        <x:v>0</x:v>
      </x:c>
      <x:c r="S29" s="6" t="n">
        <x:v>0</x:v>
      </x:c>
      <x:c r="T29" s="6" t="n">
        <x:v>1</x:v>
      </x:c>
      <x:c r="U29" s="6" t="n">
        <x:v>0</x:v>
      </x:c>
      <x:c r="V29" s="6" t="n">
        <x:v>0</x:v>
      </x:c>
      <x:c r="W29" s="6" t="n">
        <x:v>0</x:v>
      </x:c>
      <x:c r="X29" s="6" t="n">
        <x:v>0</x:v>
      </x:c>
      <x:c r="Y29" s="6" t="n">
        <x:v>0</x:v>
      </x:c>
      <x:c r="Z29" s="6" t="n">
        <x:v>0</x:v>
      </x:c>
      <x:c r="AA29" s="6" t="n">
        <x:v>3</x:v>
      </x:c>
      <x:c r="AB29" s="6" t="n">
        <x:v>11</x:v>
      </x:c>
      <x:c r="AC29" s="6" t="n">
        <x:v>0</x:v>
      </x:c>
    </x:row>
    <x:row r="30">
      <x:c r="A30" s="6" t="n">
        <x:v>9422</x:v>
      </x:c>
      <x:c r="B30" s="6" t="n">
        <x:v>1989</x:v>
      </x:c>
      <x:c r="C30" s="6" t="str">
        <x:v>Graduation</x:v>
      </x:c>
      <x:c r="D30" s="6" t="str">
        <x:v>Married</x:v>
      </x:c>
      <x:c r="E30" s="6" t="n">
        <x:v>38360</x:v>
      </x:c>
      <x:c r="F30" s="6" t="n">
        <x:v>1</x:v>
      </x:c>
      <x:c r="G30" s="6" t="n">
        <x:v>0</x:v>
      </x:c>
      <x:c r="H30" s="9" t="str">
        <x:v>31-05-2013</x:v>
      </x:c>
      <x:c r="I30" s="6" t="n">
        <x:v>26</x:v>
      </x:c>
      <x:c r="J30" s="6" t="n">
        <x:v>36</x:v>
      </x:c>
      <x:c r="K30" s="6" t="n">
        <x:v>2</x:v>
      </x:c>
      <x:c r="L30" s="6" t="n">
        <x:v>42</x:v>
      </x:c>
      <x:c r="M30" s="6" t="n">
        <x:v>20</x:v>
      </x:c>
      <x:c r="N30" s="6" t="n">
        <x:v>21</x:v>
      </x:c>
      <x:c r="O30" s="6" t="n">
        <x:v>10</x:v>
      </x:c>
      <x:c r="P30" s="6" t="n">
        <x:v>2</x:v>
      </x:c>
      <x:c r="Q30" s="6" t="n">
        <x:v>2</x:v>
      </x:c>
      <x:c r="R30" s="6" t="n">
        <x:v>1</x:v>
      </x:c>
      <x:c r="S30" s="6" t="n">
        <x:v>4</x:v>
      </x:c>
      <x:c r="T30" s="6" t="n">
        <x:v>3</x:v>
      </x:c>
      <x:c r="U30" s="6" t="n">
        <x:v>0</x:v>
      </x:c>
      <x:c r="V30" s="6" t="n">
        <x:v>0</x:v>
      </x:c>
      <x:c r="W30" s="6" t="n">
        <x:v>0</x:v>
      </x:c>
      <x:c r="X30" s="6" t="n">
        <x:v>0</x:v>
      </x:c>
      <x:c r="Y30" s="6" t="n">
        <x:v>0</x:v>
      </x:c>
      <x:c r="Z30" s="6" t="n">
        <x:v>0</x:v>
      </x:c>
      <x:c r="AA30" s="6" t="n">
        <x:v>3</x:v>
      </x:c>
      <x:c r="AB30" s="6" t="n">
        <x:v>11</x:v>
      </x:c>
      <x:c r="AC30" s="6" t="n">
        <x:v>0</x:v>
      </x:c>
    </x:row>
    <x:row r="31">
      <x:c r="A31" s="6" t="n">
        <x:v>1966</x:v>
      </x:c>
      <x:c r="B31" s="6" t="n">
        <x:v>1965</x:v>
      </x:c>
      <x:c r="C31" s="6" t="str">
        <x:v>PhD</x:v>
      </x:c>
      <x:c r="D31" s="6" t="str">
        <x:v>Married</x:v>
      </x:c>
      <x:c r="E31" s="6" t="n">
        <x:v>84618</x:v>
      </x:c>
      <x:c r="F31" s="6" t="n">
        <x:v>0</x:v>
      </x:c>
      <x:c r="G31" s="6" t="n">
        <x:v>0</x:v>
      </x:c>
      <x:c r="H31" s="9" t="str">
        <x:v>22-11-2013</x:v>
      </x:c>
      <x:c r="I31" s="6" t="n">
        <x:v>96</x:v>
      </x:c>
      <x:c r="J31" s="6" t="n">
        <x:v>684</x:v>
      </x:c>
      <x:c r="K31" s="6" t="n">
        <x:v>100</x:v>
      </x:c>
      <x:c r="L31" s="6" t="n">
        <x:v>801</x:v>
      </x:c>
      <x:c r="M31" s="6" t="n">
        <x:v>21</x:v>
      </x:c>
      <x:c r="N31" s="6" t="n">
        <x:v>66</x:v>
      </x:c>
      <x:c r="O31" s="6" t="n">
        <x:v>0</x:v>
      </x:c>
      <x:c r="P31" s="6" t="n">
        <x:v>1</x:v>
      </x:c>
      <x:c r="Q31" s="6" t="n">
        <x:v>6</x:v>
      </x:c>
      <x:c r="R31" s="6" t="n">
        <x:v>9</x:v>
      </x:c>
      <x:c r="S31" s="6" t="n">
        <x:v>10</x:v>
      </x:c>
      <x:c r="T31" s="6" t="n">
        <x:v>2</x:v>
      </x:c>
      <x:c r="U31" s="6" t="n">
        <x:v>0</x:v>
      </x:c>
      <x:c r="V31" s="6" t="n">
        <x:v>0</x:v>
      </x:c>
      <x:c r="W31" s="6" t="n">
        <x:v>1</x:v>
      </x:c>
      <x:c r="X31" s="6" t="n">
        <x:v>0</x:v>
      </x:c>
      <x:c r="Y31" s="6" t="n">
        <x:v>0</x:v>
      </x:c>
      <x:c r="Z31" s="6" t="n">
        <x:v>0</x:v>
      </x:c>
      <x:c r="AA31" s="6" t="n">
        <x:v>3</x:v>
      </x:c>
      <x:c r="AB31" s="6" t="n">
        <x:v>11</x:v>
      </x:c>
      <x:c r="AC31" s="6" t="n">
        <x:v>0</x:v>
      </x:c>
    </x:row>
    <x:row r="32">
      <x:c r="A32" s="6" t="n">
        <x:v>6864</x:v>
      </x:c>
      <x:c r="B32" s="6" t="n">
        <x:v>1989</x:v>
      </x:c>
      <x:c r="C32" s="6" t="str">
        <x:v>Master</x:v>
      </x:c>
      <x:c r="D32" s="6" t="str">
        <x:v>Divorced</x:v>
      </x:c>
      <x:c r="E32" s="6" t="n">
        <x:v>10979</x:v>
      </x:c>
      <x:c r="F32" s="6" t="n">
        <x:v>0</x:v>
      </x:c>
      <x:c r="G32" s="6" t="n">
        <x:v>0</x:v>
      </x:c>
      <x:c r="H32" s="9" t="str">
        <x:v>22-05-2014</x:v>
      </x:c>
      <x:c r="I32" s="6" t="n">
        <x:v>34</x:v>
      </x:c>
      <x:c r="J32" s="6" t="n">
        <x:v>8</x:v>
      </x:c>
      <x:c r="K32" s="6" t="n">
        <x:v>4</x:v>
      </x:c>
      <x:c r="L32" s="6" t="n">
        <x:v>10</x:v>
      </x:c>
      <x:c r="M32" s="6" t="n">
        <x:v>2</x:v>
      </x:c>
      <x:c r="N32" s="6" t="n">
        <x:v>2</x:v>
      </x:c>
      <x:c r="O32" s="6" t="n">
        <x:v>4</x:v>
      </x:c>
      <x:c r="P32" s="6" t="n">
        <x:v>2</x:v>
      </x:c>
      <x:c r="Q32" s="6" t="n">
        <x:v>3</x:v>
      </x:c>
      <x:c r="R32" s="6" t="n">
        <x:v>0</x:v>
      </x:c>
      <x:c r="S32" s="6" t="n">
        <x:v>3</x:v>
      </x:c>
      <x:c r="T32" s="6" t="n">
        <x:v>5</x:v>
      </x:c>
      <x:c r="U32" s="6" t="n">
        <x:v>0</x:v>
      </x:c>
      <x:c r="V32" s="6" t="n">
        <x:v>0</x:v>
      </x:c>
      <x:c r="W32" s="6" t="n">
        <x:v>0</x:v>
      </x:c>
      <x:c r="X32" s="6" t="n">
        <x:v>0</x:v>
      </x:c>
      <x:c r="Y32" s="6" t="n">
        <x:v>0</x:v>
      </x:c>
      <x:c r="Z32" s="6" t="n">
        <x:v>0</x:v>
      </x:c>
      <x:c r="AA32" s="6" t="n">
        <x:v>3</x:v>
      </x:c>
      <x:c r="AB32" s="6" t="n">
        <x:v>11</x:v>
      </x:c>
      <x:c r="AC32" s="6" t="n">
        <x:v>0</x:v>
      </x:c>
    </x:row>
    <x:row r="33">
      <x:c r="A33" s="6" t="n">
        <x:v>3033</x:v>
      </x:c>
      <x:c r="B33" s="6" t="n">
        <x:v>1963</x:v>
      </x:c>
      <x:c r="C33" s="6" t="str">
        <x:v>Master</x:v>
      </x:c>
      <x:c r="D33" s="6" t="str">
        <x:v>Together</x:v>
      </x:c>
      <x:c r="E33" s="6" t="n">
        <x:v>38620</x:v>
      </x:c>
      <x:c r="F33" s="6" t="n">
        <x:v>0</x:v>
      </x:c>
      <x:c r="G33" s="6" t="n">
        <x:v>0</x:v>
      </x:c>
      <x:c r="H33" s="9" t="str">
        <x:v>11-05-2013</x:v>
      </x:c>
      <x:c r="I33" s="6" t="n">
        <x:v>56</x:v>
      </x:c>
      <x:c r="J33" s="6" t="n">
        <x:v>112</x:v>
      </x:c>
      <x:c r="K33" s="6" t="n">
        <x:v>17</x:v>
      </x:c>
      <x:c r="L33" s="6" t="n">
        <x:v>44</x:v>
      </x:c>
      <x:c r="M33" s="6" t="n">
        <x:v>34</x:v>
      </x:c>
      <x:c r="N33" s="6" t="n">
        <x:v>22</x:v>
      </x:c>
      <x:c r="O33" s="6" t="n">
        <x:v>89</x:v>
      </x:c>
      <x:c r="P33" s="6" t="n">
        <x:v>1</x:v>
      </x:c>
      <x:c r="Q33" s="6" t="n">
        <x:v>2</x:v>
      </x:c>
      <x:c r="R33" s="6" t="n">
        <x:v>5</x:v>
      </x:c>
      <x:c r="S33" s="6" t="n">
        <x:v>3</x:v>
      </x:c>
      <x:c r="T33" s="6" t="n">
        <x:v>3</x:v>
      </x:c>
      <x:c r="U33" s="6" t="n">
        <x:v>0</x:v>
      </x:c>
      <x:c r="V33" s="6" t="n">
        <x:v>0</x:v>
      </x:c>
      <x:c r="W33" s="6" t="n">
        <x:v>0</x:v>
      </x:c>
      <x:c r="X33" s="6" t="n">
        <x:v>0</x:v>
      </x:c>
      <x:c r="Y33" s="6" t="n">
        <x:v>0</x:v>
      </x:c>
      <x:c r="Z33" s="6" t="n">
        <x:v>0</x:v>
      </x:c>
      <x:c r="AA33" s="6" t="n">
        <x:v>3</x:v>
      </x:c>
      <x:c r="AB33" s="6" t="n">
        <x:v>11</x:v>
      </x:c>
      <x:c r="AC33" s="6" t="n">
        <x:v>0</x:v>
      </x:c>
    </x:row>
    <x:row r="34">
      <x:c r="A34" s="6" t="n">
        <x:v>5710</x:v>
      </x:c>
      <x:c r="B34" s="6" t="n">
        <x:v>1970</x:v>
      </x:c>
      <x:c r="C34" s="6" t="str">
        <x:v>Graduation</x:v>
      </x:c>
      <x:c r="D34" s="6" t="str">
        <x:v>Together</x:v>
      </x:c>
      <x:c r="E34" s="6" t="n">
        <x:v>40548</x:v>
      </x:c>
      <x:c r="F34" s="6" t="n">
        <x:v>0</x:v>
      </x:c>
      <x:c r="G34" s="6" t="n">
        <x:v>1</x:v>
      </x:c>
      <x:c r="H34" s="9" t="str">
        <x:v>10-10-2012</x:v>
      </x:c>
      <x:c r="I34" s="6" t="n">
        <x:v>31</x:v>
      </x:c>
      <x:c r="J34" s="6" t="n">
        <x:v>110</x:v>
      </x:c>
      <x:c r="K34" s="6" t="n">
        <x:v>0</x:v>
      </x:c>
      <x:c r="L34" s="6" t="n">
        <x:v>5</x:v>
      </x:c>
      <x:c r="M34" s="6" t="n">
        <x:v>2</x:v>
      </x:c>
      <x:c r="N34" s="6" t="n">
        <x:v>0</x:v>
      </x:c>
      <x:c r="O34" s="6" t="n">
        <x:v>3</x:v>
      </x:c>
      <x:c r="P34" s="6" t="n">
        <x:v>2</x:v>
      </x:c>
      <x:c r="Q34" s="6" t="n">
        <x:v>2</x:v>
      </x:c>
      <x:c r="R34" s="6" t="n">
        <x:v>1</x:v>
      </x:c>
      <x:c r="S34" s="6" t="n">
        <x:v>4</x:v>
      </x:c>
      <x:c r="T34" s="6" t="n">
        <x:v>5</x:v>
      </x:c>
      <x:c r="U34" s="6" t="n">
        <x:v>0</x:v>
      </x:c>
      <x:c r="V34" s="6" t="n">
        <x:v>1</x:v>
      </x:c>
      <x:c r="W34" s="6" t="n">
        <x:v>0</x:v>
      </x:c>
      <x:c r="X34" s="6" t="n">
        <x:v>0</x:v>
      </x:c>
      <x:c r="Y34" s="6" t="n">
        <x:v>0</x:v>
      </x:c>
      <x:c r="Z34" s="6" t="n">
        <x:v>0</x:v>
      </x:c>
      <x:c r="AA34" s="6" t="n">
        <x:v>3</x:v>
      </x:c>
      <x:c r="AB34" s="6" t="n">
        <x:v>11</x:v>
      </x:c>
      <x:c r="AC34" s="6" t="n">
        <x:v>0</x:v>
      </x:c>
    </x:row>
    <x:row r="35">
      <x:c r="A35" s="6" t="n">
        <x:v>7373</x:v>
      </x:c>
      <x:c r="B35" s="6" t="n">
        <x:v>1952</x:v>
      </x:c>
      <x:c r="C35" s="6" t="str">
        <x:v>PhD</x:v>
      </x:c>
      <x:c r="D35" s="6" t="str">
        <x:v>Divorced</x:v>
      </x:c>
      <x:c r="E35" s="6" t="n">
        <x:v>46610</x:v>
      </x:c>
      <x:c r="F35" s="6" t="n">
        <x:v>0</x:v>
      </x:c>
      <x:c r="G35" s="6" t="n">
        <x:v>2</x:v>
      </x:c>
      <x:c r="H35" s="9" t="str">
        <x:v>29-10-2012</x:v>
      </x:c>
      <x:c r="I35" s="6" t="n">
        <x:v>8</x:v>
      </x:c>
      <x:c r="J35" s="6" t="n">
        <x:v>96</x:v>
      </x:c>
      <x:c r="K35" s="6" t="n">
        <x:v>12</x:v>
      </x:c>
      <x:c r="L35" s="6" t="n">
        <x:v>96</x:v>
      </x:c>
      <x:c r="M35" s="6" t="n">
        <x:v>33</x:v>
      </x:c>
      <x:c r="N35" s="6" t="n">
        <x:v>22</x:v>
      </x:c>
      <x:c r="O35" s="6" t="n">
        <x:v>43</x:v>
      </x:c>
      <x:c r="P35" s="6" t="n">
        <x:v>6</x:v>
      </x:c>
      <x:c r="Q35" s="6" t="n">
        <x:v>4</x:v>
      </x:c>
      <x:c r="R35" s="6" t="n">
        <x:v>1</x:v>
      </x:c>
      <x:c r="S35" s="6" t="n">
        <x:v>6</x:v>
      </x:c>
      <x:c r="T35" s="6" t="n">
        <x:v>6</x:v>
      </x:c>
      <x:c r="U35" s="6" t="n">
        <x:v>0</x:v>
      </x:c>
      <x:c r="V35" s="6" t="n">
        <x:v>0</x:v>
      </x:c>
      <x:c r="W35" s="6" t="n">
        <x:v>0</x:v>
      </x:c>
      <x:c r="X35" s="6" t="n">
        <x:v>0</x:v>
      </x:c>
      <x:c r="Y35" s="6" t="n">
        <x:v>0</x:v>
      </x:c>
      <x:c r="Z35" s="6" t="n">
        <x:v>0</x:v>
      </x:c>
      <x:c r="AA35" s="6" t="n">
        <x:v>3</x:v>
      </x:c>
      <x:c r="AB35" s="6" t="n">
        <x:v>11</x:v>
      </x:c>
      <x:c r="AC35" s="6" t="n">
        <x:v>1</x:v>
      </x:c>
    </x:row>
    <x:row r="36">
      <x:c r="A36" s="6" t="n">
        <x:v>8755</x:v>
      </x:c>
      <x:c r="B36" s="6" t="n">
        <x:v>1946</x:v>
      </x:c>
      <x:c r="C36" s="6" t="str">
        <x:v>Master</x:v>
      </x:c>
      <x:c r="D36" s="6" t="str">
        <x:v>Married</x:v>
      </x:c>
      <x:c r="E36" s="6" t="n">
        <x:v>68657</x:v>
      </x:c>
      <x:c r="F36" s="6" t="n">
        <x:v>0</x:v>
      </x:c>
      <x:c r="G36" s="6" t="n">
        <x:v>0</x:v>
      </x:c>
      <x:c r="H36" s="9" t="str">
        <x:v>20-02-2013</x:v>
      </x:c>
      <x:c r="I36" s="6" t="n">
        <x:v>4</x:v>
      </x:c>
      <x:c r="J36" s="6" t="n">
        <x:v>482</x:v>
      </x:c>
      <x:c r="K36" s="6" t="n">
        <x:v>34</x:v>
      </x:c>
      <x:c r="L36" s="6" t="n">
        <x:v>471</x:v>
      </x:c>
      <x:c r="M36" s="6" t="n">
        <x:v>119</x:v>
      </x:c>
      <x:c r="N36" s="6" t="n">
        <x:v>68</x:v>
      </x:c>
      <x:c r="O36" s="6" t="n">
        <x:v>22</x:v>
      </x:c>
      <x:c r="P36" s="6" t="n">
        <x:v>1</x:v>
      </x:c>
      <x:c r="Q36" s="6" t="n">
        <x:v>3</x:v>
      </x:c>
      <x:c r="R36" s="6" t="n">
        <x:v>5</x:v>
      </x:c>
      <x:c r="S36" s="6" t="n">
        <x:v>9</x:v>
      </x:c>
      <x:c r="T36" s="6" t="n">
        <x:v>7</x:v>
      </x:c>
      <x:c r="U36" s="6" t="n">
        <x:v>0</x:v>
      </x:c>
      <x:c r="V36" s="6" t="n">
        <x:v>0</x:v>
      </x:c>
      <x:c r="W36" s="6" t="n">
        <x:v>0</x:v>
      </x:c>
      <x:c r="X36" s="6" t="n">
        <x:v>0</x:v>
      </x:c>
      <x:c r="Y36" s="6" t="n">
        <x:v>0</x:v>
      </x:c>
      <x:c r="Z36" s="6" t="n">
        <x:v>0</x:v>
      </x:c>
      <x:c r="AA36" s="6" t="n">
        <x:v>3</x:v>
      </x:c>
      <x:c r="AB36" s="6" t="n">
        <x:v>11</x:v>
      </x:c>
      <x:c r="AC36" s="6" t="n">
        <x:v>0</x:v>
      </x:c>
    </x:row>
    <x:row r="37">
      <x:c r="A37" s="6" t="n">
        <x:v>10738</x:v>
      </x:c>
      <x:c r="B37" s="6" t="n">
        <x:v>1951</x:v>
      </x:c>
      <x:c r="C37" s="6" t="str">
        <x:v>Master</x:v>
      </x:c>
      <x:c r="D37" s="6" t="str">
        <x:v>Single</x:v>
      </x:c>
      <x:c r="E37" s="6" t="n">
        <x:v>49389</x:v>
      </x:c>
      <x:c r="F37" s="6" t="n">
        <x:v>1</x:v>
      </x:c>
      <x:c r="G37" s="6" t="n">
        <x:v>1</x:v>
      </x:c>
      <x:c r="H37" s="9" t="str">
        <x:v>29-08-2013</x:v>
      </x:c>
      <x:c r="I37" s="6" t="n">
        <x:v>55</x:v>
      </x:c>
      <x:c r="J37" s="6" t="n">
        <x:v>40</x:v>
      </x:c>
      <x:c r="K37" s="6" t="n">
        <x:v>0</x:v>
      </x:c>
      <x:c r="L37" s="6" t="n">
        <x:v>19</x:v>
      </x:c>
      <x:c r="M37" s="6" t="n">
        <x:v>2</x:v>
      </x:c>
      <x:c r="N37" s="6" t="n">
        <x:v>1</x:v>
      </x:c>
      <x:c r="O37" s="6" t="n">
        <x:v>3</x:v>
      </x:c>
      <x:c r="P37" s="6" t="n">
        <x:v>1</x:v>
      </x:c>
      <x:c r="Q37" s="6" t="n">
        <x:v>2</x:v>
      </x:c>
      <x:c r="R37" s="6" t="n">
        <x:v>0</x:v>
      </x:c>
      <x:c r="S37" s="6" t="n">
        <x:v>3</x:v>
      </x:c>
      <x:c r="T37" s="6" t="n">
        <x:v>7</x:v>
      </x:c>
      <x:c r="U37" s="6" t="n">
        <x:v>0</x:v>
      </x:c>
      <x:c r="V37" s="6" t="n">
        <x:v>0</x:v>
      </x:c>
      <x:c r="W37" s="6" t="n">
        <x:v>0</x:v>
      </x:c>
      <x:c r="X37" s="6" t="n">
        <x:v>0</x:v>
      </x:c>
      <x:c r="Y37" s="6" t="n">
        <x:v>0</x:v>
      </x:c>
      <x:c r="Z37" s="6" t="n">
        <x:v>0</x:v>
      </x:c>
      <x:c r="AA37" s="6" t="n">
        <x:v>3</x:v>
      </x:c>
      <x:c r="AB37" s="6" t="n">
        <x:v>11</x:v>
      </x:c>
      <x:c r="AC37" s="6" t="n">
        <x:v>0</x:v>
      </x:c>
    </x:row>
    <x:row r="38">
      <x:c r="A38" s="6" t="n">
        <x:v>4339</x:v>
      </x:c>
      <x:c r="B38" s="6" t="n">
        <x:v>1970</x:v>
      </x:c>
      <x:c r="C38" s="6" t="str">
        <x:v>PhD</x:v>
      </x:c>
      <x:c r="D38" s="6" t="str">
        <x:v>Married</x:v>
      </x:c>
      <x:c r="E38" s="6" t="n">
        <x:v>67353</x:v>
      </x:c>
      <x:c r="F38" s="6" t="n">
        <x:v>0</x:v>
      </x:c>
      <x:c r="G38" s="6" t="n">
        <x:v>1</x:v>
      </x:c>
      <x:c r="H38" s="9" t="str">
        <x:v>31-12-2013</x:v>
      </x:c>
      <x:c r="I38" s="6" t="n">
        <x:v>37</x:v>
      </x:c>
      <x:c r="J38" s="6" t="n">
        <x:v>702</x:v>
      </x:c>
      <x:c r="K38" s="6" t="n">
        <x:v>17</x:v>
      </x:c>
      <x:c r="L38" s="6" t="n">
        <x:v>151</x:v>
      </x:c>
      <x:c r="M38" s="6" t="n">
        <x:v>0</x:v>
      </x:c>
      <x:c r="N38" s="6" t="n">
        <x:v>8</x:v>
      </x:c>
      <x:c r="O38" s="6" t="n">
        <x:v>35</x:v>
      </x:c>
      <x:c r="P38" s="6" t="n">
        <x:v>5</x:v>
      </x:c>
      <x:c r="Q38" s="6" t="n">
        <x:v>5</x:v>
      </x:c>
      <x:c r="R38" s="6" t="n">
        <x:v>6</x:v>
      </x:c>
      <x:c r="S38" s="6" t="n">
        <x:v>12</x:v>
      </x:c>
      <x:c r="T38" s="6" t="n">
        <x:v>2</x:v>
      </x:c>
      <x:c r="U38" s="6" t="n">
        <x:v>0</x:v>
      </x:c>
      <x:c r="V38" s="6" t="n">
        <x:v>0</x:v>
      </x:c>
      <x:c r="W38" s="6" t="n">
        <x:v>0</x:v>
      </x:c>
      <x:c r="X38" s="6" t="n">
        <x:v>0</x:v>
      </x:c>
      <x:c r="Y38" s="6" t="n">
        <x:v>0</x:v>
      </x:c>
      <x:c r="Z38" s="6" t="n">
        <x:v>0</x:v>
      </x:c>
      <x:c r="AA38" s="6" t="n">
        <x:v>3</x:v>
      </x:c>
      <x:c r="AB38" s="6" t="n">
        <x:v>11</x:v>
      </x:c>
      <x:c r="AC38" s="6" t="n">
        <x:v>0</x:v>
      </x:c>
    </x:row>
    <x:row r="39">
      <x:c r="A39" s="6" t="n">
        <x:v>10755</x:v>
      </x:c>
      <x:c r="B39" s="6" t="n">
        <x:v>1976</x:v>
      </x:c>
      <x:c r="C39" s="6" t="str">
        <x:v>2n Cycle</x:v>
      </x:c>
      <x:c r="D39" s="6" t="str">
        <x:v>Married</x:v>
      </x:c>
      <x:c r="E39" s="6" t="n">
        <x:v>23718</x:v>
      </x:c>
      <x:c r="F39" s="6" t="n">
        <x:v>1</x:v>
      </x:c>
      <x:c r="G39" s="6" t="n">
        <x:v>0</x:v>
      </x:c>
      <x:c r="H39" s="9" t="str">
        <x:v>02-09-2013</x:v>
      </x:c>
      <x:c r="I39" s="6" t="n">
        <x:v>76</x:v>
      </x:c>
      <x:c r="J39" s="6" t="n">
        <x:v>6</x:v>
      </x:c>
      <x:c r="K39" s="6" t="n">
        <x:v>3</x:v>
      </x:c>
      <x:c r="L39" s="6" t="n">
        <x:v>14</x:v>
      </x:c>
      <x:c r="M39" s="6" t="n">
        <x:v>15</x:v>
      </x:c>
      <x:c r="N39" s="6" t="n">
        <x:v>7</x:v>
      </x:c>
      <x:c r="O39" s="6" t="n">
        <x:v>36</x:v>
      </x:c>
      <x:c r="P39" s="6" t="n">
        <x:v>3</x:v>
      </x:c>
      <x:c r="Q39" s="6" t="n">
        <x:v>3</x:v>
      </x:c>
      <x:c r="R39" s="6" t="n">
        <x:v>1</x:v>
      </x:c>
      <x:c r="S39" s="6" t="n">
        <x:v>2</x:v>
      </x:c>
      <x:c r="T39" s="6" t="n">
        <x:v>7</x:v>
      </x:c>
      <x:c r="U39" s="6" t="n">
        <x:v>0</x:v>
      </x:c>
      <x:c r="V39" s="6" t="n">
        <x:v>0</x:v>
      </x:c>
      <x:c r="W39" s="6" t="n">
        <x:v>0</x:v>
      </x:c>
      <x:c r="X39" s="6" t="n">
        <x:v>0</x:v>
      </x:c>
      <x:c r="Y39" s="6" t="n">
        <x:v>0</x:v>
      </x:c>
      <x:c r="Z39" s="6" t="n">
        <x:v>0</x:v>
      </x:c>
      <x:c r="AA39" s="6" t="n">
        <x:v>3</x:v>
      </x:c>
      <x:c r="AB39" s="6" t="n">
        <x:v>11</x:v>
      </x:c>
      <x:c r="AC39" s="6" t="n">
        <x:v>0</x:v>
      </x:c>
    </x:row>
    <x:row r="40">
      <x:c r="A40" s="6" t="n">
        <x:v>8595</x:v>
      </x:c>
      <x:c r="B40" s="6" t="n">
        <x:v>1973</x:v>
      </x:c>
      <x:c r="C40" s="6" t="str">
        <x:v>Graduation</x:v>
      </x:c>
      <x:c r="D40" s="6" t="str">
        <x:v>Widow</x:v>
      </x:c>
      <x:c r="E40" s="6" t="n">
        <x:v>42429</x:v>
      </x:c>
      <x:c r="F40" s="6" t="n">
        <x:v>0</x:v>
      </x:c>
      <x:c r="G40" s="6" t="n">
        <x:v>1</x:v>
      </x:c>
      <x:c r="H40" s="9" t="str">
        <x:v>11-02-2014</x:v>
      </x:c>
      <x:c r="I40" s="6" t="n">
        <x:v>99</x:v>
      </x:c>
      <x:c r="J40" s="6" t="n">
        <x:v>55</x:v>
      </x:c>
      <x:c r="K40" s="6" t="n">
        <x:v>0</x:v>
      </x:c>
      <x:c r="L40" s="6" t="n">
        <x:v>6</x:v>
      </x:c>
      <x:c r="M40" s="6" t="n">
        <x:v>2</x:v>
      </x:c>
      <x:c r="N40" s="6" t="n">
        <x:v>0</x:v>
      </x:c>
      <x:c r="O40" s="6" t="n">
        <x:v>4</x:v>
      </x:c>
      <x:c r="P40" s="6" t="n">
        <x:v>2</x:v>
      </x:c>
      <x:c r="Q40" s="6" t="n">
        <x:v>1</x:v>
      </x:c>
      <x:c r="R40" s="6" t="n">
        <x:v>1</x:v>
      </x:c>
      <x:c r="S40" s="6" t="n">
        <x:v>3</x:v>
      </x:c>
      <x:c r="T40" s="6" t="n">
        <x:v>5</x:v>
      </x:c>
      <x:c r="U40" s="6" t="n">
        <x:v>0</x:v>
      </x:c>
      <x:c r="V40" s="6" t="n">
        <x:v>0</x:v>
      </x:c>
      <x:c r="W40" s="6" t="n">
        <x:v>0</x:v>
      </x:c>
      <x:c r="X40" s="6" t="n">
        <x:v>0</x:v>
      </x:c>
      <x:c r="Y40" s="6" t="n">
        <x:v>0</x:v>
      </x:c>
      <x:c r="Z40" s="6" t="n">
        <x:v>0</x:v>
      </x:c>
      <x:c r="AA40" s="6" t="n">
        <x:v>3</x:v>
      </x:c>
      <x:c r="AB40" s="6" t="n">
        <x:v>11</x:v>
      </x:c>
      <x:c r="AC40" s="6" t="n">
        <x:v>0</x:v>
      </x:c>
    </x:row>
    <x:row r="41">
      <x:c r="A41" s="6" t="n">
        <x:v>2968</x:v>
      </x:c>
      <x:c r="B41" s="6" t="n">
        <x:v>1943</x:v>
      </x:c>
      <x:c r="C41" s="6" t="str">
        <x:v>PhD</x:v>
      </x:c>
      <x:c r="D41" s="6" t="str">
        <x:v>Divorced</x:v>
      </x:c>
      <x:c r="E41" s="6" t="n">
        <x:v>48948</x:v>
      </x:c>
      <x:c r="F41" s="6" t="n">
        <x:v>0</x:v>
      </x:c>
      <x:c r="G41" s="6" t="n">
        <x:v>0</x:v>
      </x:c>
      <x:c r="H41" s="9" t="str">
        <x:v>01-02-2013</x:v>
      </x:c>
      <x:c r="I41" s="6" t="n">
        <x:v>53</x:v>
      </x:c>
      <x:c r="J41" s="6" t="n">
        <x:v>437</x:v>
      </x:c>
      <x:c r="K41" s="6" t="n">
        <x:v>8</x:v>
      </x:c>
      <x:c r="L41" s="6" t="n">
        <x:v>206</x:v>
      </x:c>
      <x:c r="M41" s="6" t="n">
        <x:v>160</x:v>
      </x:c>
      <x:c r="N41" s="6" t="n">
        <x:v>49</x:v>
      </x:c>
      <x:c r="O41" s="6" t="n">
        <x:v>42</x:v>
      </x:c>
      <x:c r="P41" s="6" t="n">
        <x:v>2</x:v>
      </x:c>
      <x:c r="Q41" s="6" t="n">
        <x:v>7</x:v>
      </x:c>
      <x:c r="R41" s="6" t="n">
        <x:v>10</x:v>
      </x:c>
      <x:c r="S41" s="6" t="n">
        <x:v>5</x:v>
      </x:c>
      <x:c r="T41" s="6" t="n">
        <x:v>6</x:v>
      </x:c>
      <x:c r="U41" s="6" t="n">
        <x:v>1</x:v>
      </x:c>
      <x:c r="V41" s="6" t="n">
        <x:v>0</x:v>
      </x:c>
      <x:c r="W41" s="6" t="n">
        <x:v>0</x:v>
      </x:c>
      <x:c r="X41" s="6" t="n">
        <x:v>0</x:v>
      </x:c>
      <x:c r="Y41" s="6" t="n">
        <x:v>0</x:v>
      </x:c>
      <x:c r="Z41" s="6" t="n">
        <x:v>0</x:v>
      </x:c>
      <x:c r="AA41" s="6" t="n">
        <x:v>3</x:v>
      </x:c>
      <x:c r="AB41" s="6" t="n">
        <x:v>11</x:v>
      </x:c>
      <x:c r="AC41" s="6" t="n">
        <x:v>1</x:v>
      </x:c>
    </x:row>
    <x:row r="42">
      <x:c r="A42" s="6" t="n">
        <x:v>8601</x:v>
      </x:c>
      <x:c r="B42" s="6" t="n">
        <x:v>1980</x:v>
      </x:c>
      <x:c r="C42" s="6" t="str">
        <x:v>Graduation</x:v>
      </x:c>
      <x:c r="D42" s="6" t="str">
        <x:v>Married</x:v>
      </x:c>
      <x:c r="E42" s="6" t="n">
        <x:v>80011</x:v>
      </x:c>
      <x:c r="F42" s="6" t="n">
        <x:v>0</x:v>
      </x:c>
      <x:c r="G42" s="6" t="n">
        <x:v>1</x:v>
      </x:c>
      <x:c r="H42" s="9" t="str">
        <x:v>29-04-2013</x:v>
      </x:c>
      <x:c r="I42" s="6" t="n">
        <x:v>3</x:v>
      </x:c>
      <x:c r="J42" s="6" t="n">
        <x:v>421</x:v>
      </x:c>
      <x:c r="K42" s="6" t="n">
        <x:v>76</x:v>
      </x:c>
      <x:c r="L42" s="6" t="n">
        <x:v>536</x:v>
      </x:c>
      <x:c r="M42" s="6" t="n">
        <x:v>82</x:v>
      </x:c>
      <x:c r="N42" s="6" t="n">
        <x:v>178</x:v>
      </x:c>
      <x:c r="O42" s="6" t="n">
        <x:v>102</x:v>
      </x:c>
      <x:c r="P42" s="6" t="n">
        <x:v>2</x:v>
      </x:c>
      <x:c r="Q42" s="6" t="n">
        <x:v>8</x:v>
      </x:c>
      <x:c r="R42" s="6" t="n">
        <x:v>6</x:v>
      </x:c>
      <x:c r="S42" s="6" t="n">
        <x:v>5</x:v>
      </x:c>
      <x:c r="T42" s="6" t="n">
        <x:v>4</x:v>
      </x:c>
      <x:c r="U42" s="6" t="n">
        <x:v>0</x:v>
      </x:c>
      <x:c r="V42" s="6" t="n">
        <x:v>0</x:v>
      </x:c>
      <x:c r="W42" s="6" t="n">
        <x:v>0</x:v>
      </x:c>
      <x:c r="X42" s="6" t="n">
        <x:v>0</x:v>
      </x:c>
      <x:c r="Y42" s="6" t="n">
        <x:v>0</x:v>
      </x:c>
      <x:c r="Z42" s="6" t="n">
        <x:v>0</x:v>
      </x:c>
      <x:c r="AA42" s="6" t="n">
        <x:v>3</x:v>
      </x:c>
      <x:c r="AB42" s="6" t="n">
        <x:v>11</x:v>
      </x:c>
      <x:c r="AC42" s="6" t="n">
        <x:v>0</x:v>
      </x:c>
    </x:row>
    <x:row r="43">
      <x:c r="A43" s="6" t="n">
        <x:v>503</x:v>
      </x:c>
      <x:c r="B43" s="6" t="n">
        <x:v>1985</x:v>
      </x:c>
      <x:c r="C43" s="6" t="str">
        <x:v>Master</x:v>
      </x:c>
      <x:c r="D43" s="6" t="str">
        <x:v>Married</x:v>
      </x:c>
      <x:c r="E43" s="6" t="n">
        <x:v>20559</x:v>
      </x:c>
      <x:c r="F43" s="6" t="n">
        <x:v>1</x:v>
      </x:c>
      <x:c r="G43" s="6" t="n">
        <x:v>0</x:v>
      </x:c>
      <x:c r="H43" s="9" t="str">
        <x:v>12-03-2013</x:v>
      </x:c>
      <x:c r="I43" s="6" t="n">
        <x:v>88</x:v>
      </x:c>
      <x:c r="J43" s="6" t="n">
        <x:v>13</x:v>
      </x:c>
      <x:c r="K43" s="6" t="n">
        <x:v>1</x:v>
      </x:c>
      <x:c r="L43" s="6" t="n">
        <x:v>29</x:v>
      </x:c>
      <x:c r="M43" s="6" t="n">
        <x:v>3</x:v>
      </x:c>
      <x:c r="N43" s="6" t="n">
        <x:v>0</x:v>
      </x:c>
      <x:c r="O43" s="6" t="n">
        <x:v>7</x:v>
      </x:c>
      <x:c r="P43" s="6" t="n">
        <x:v>2</x:v>
      </x:c>
      <x:c r="Q43" s="6" t="n">
        <x:v>2</x:v>
      </x:c>
      <x:c r="R43" s="6" t="n">
        <x:v>0</x:v>
      </x:c>
      <x:c r="S43" s="6" t="n">
        <x:v>3</x:v>
      </x:c>
      <x:c r="T43" s="6" t="n">
        <x:v>8</x:v>
      </x:c>
      <x:c r="U43" s="6" t="n">
        <x:v>0</x:v>
      </x:c>
      <x:c r="V43" s="6" t="n">
        <x:v>0</x:v>
      </x:c>
      <x:c r="W43" s="6" t="n">
        <x:v>0</x:v>
      </x:c>
      <x:c r="X43" s="6" t="n">
        <x:v>0</x:v>
      </x:c>
      <x:c r="Y43" s="6" t="n">
        <x:v>0</x:v>
      </x:c>
      <x:c r="Z43" s="6" t="n">
        <x:v>0</x:v>
      </x:c>
      <x:c r="AA43" s="6" t="n">
        <x:v>3</x:v>
      </x:c>
      <x:c r="AB43" s="6" t="n">
        <x:v>11</x:v>
      </x:c>
      <x:c r="AC43" s="6" t="n">
        <x:v>0</x:v>
      </x:c>
    </x:row>
    <x:row r="44">
      <x:c r="A44" s="6" t="n">
        <x:v>8430</x:v>
      </x:c>
      <x:c r="B44" s="6" t="n">
        <x:v>1957</x:v>
      </x:c>
      <x:c r="C44" s="6" t="str">
        <x:v>Graduation</x:v>
      </x:c>
      <x:c r="D44" s="6" t="str">
        <x:v>Together</x:v>
      </x:c>
      <x:c r="E44" s="6" t="n">
        <x:v>21994</x:v>
      </x:c>
      <x:c r="F44" s="6" t="n">
        <x:v>0</x:v>
      </x:c>
      <x:c r="G44" s="6" t="n">
        <x:v>1</x:v>
      </x:c>
      <x:c r="H44" s="9" t="str">
        <x:v>24-12-2012</x:v>
      </x:c>
      <x:c r="I44" s="6" t="n">
        <x:v>4</x:v>
      </x:c>
      <x:c r="J44" s="6" t="n">
        <x:v>9</x:v>
      </x:c>
      <x:c r="K44" s="6" t="n">
        <x:v>0</x:v>
      </x:c>
      <x:c r="L44" s="6" t="n">
        <x:v>6</x:v>
      </x:c>
      <x:c r="M44" s="6" t="n">
        <x:v>3</x:v>
      </x:c>
      <x:c r="N44" s="6" t="n">
        <x:v>1</x:v>
      </x:c>
      <x:c r="O44" s="6" t="n">
        <x:v>3</x:v>
      </x:c>
      <x:c r="P44" s="6" t="n">
        <x:v>1</x:v>
      </x:c>
      <x:c r="Q44" s="6" t="n">
        <x:v>0</x:v>
      </x:c>
      <x:c r="R44" s="6" t="n">
        <x:v>0</x:v>
      </x:c>
      <x:c r="S44" s="6" t="n">
        <x:v>3</x:v>
      </x:c>
      <x:c r="T44" s="6" t="n">
        <x:v>5</x:v>
      </x:c>
      <x:c r="U44" s="6" t="n">
        <x:v>0</x:v>
      </x:c>
      <x:c r="V44" s="6" t="n">
        <x:v>0</x:v>
      </x:c>
      <x:c r="W44" s="6" t="n">
        <x:v>0</x:v>
      </x:c>
      <x:c r="X44" s="6" t="n">
        <x:v>0</x:v>
      </x:c>
      <x:c r="Y44" s="6" t="n">
        <x:v>0</x:v>
      </x:c>
      <x:c r="Z44" s="6" t="n">
        <x:v>0</x:v>
      </x:c>
      <x:c r="AA44" s="6" t="n">
        <x:v>3</x:v>
      </x:c>
      <x:c r="AB44" s="6" t="n">
        <x:v>11</x:v>
      </x:c>
      <x:c r="AC44" s="6" t="n">
        <x:v>0</x:v>
      </x:c>
    </x:row>
    <x:row r="45">
      <x:c r="A45" s="6" t="n">
        <x:v>7281</x:v>
      </x:c>
      <x:c r="B45" s="6" t="n">
        <x:v>1959</x:v>
      </x:c>
      <x:c r="C45" s="6" t="str">
        <x:v>PhD</x:v>
      </x:c>
      <x:c r="D45" s="6" t="str">
        <x:v>Single</x:v>
      </x:c>
      <x:c r="E45" s="6"/>
      <x:c r="F45" s="6" t="n">
        <x:v>0</x:v>
      </x:c>
      <x:c r="G45" s="6" t="n">
        <x:v>0</x:v>
      </x:c>
      <x:c r="H45" s="9" t="str">
        <x:v>05-11-2013</x:v>
      </x:c>
      <x:c r="I45" s="6" t="n">
        <x:v>80</x:v>
      </x:c>
      <x:c r="J45" s="6" t="n">
        <x:v>81</x:v>
      </x:c>
      <x:c r="K45" s="6" t="n">
        <x:v>11</x:v>
      </x:c>
      <x:c r="L45" s="6" t="n">
        <x:v>50</x:v>
      </x:c>
      <x:c r="M45" s="6" t="n">
        <x:v>3</x:v>
      </x:c>
      <x:c r="N45" s="6" t="n">
        <x:v>2</x:v>
      </x:c>
      <x:c r="O45" s="6" t="n">
        <x:v>39</x:v>
      </x:c>
      <x:c r="P45" s="6" t="n">
        <x:v>1</x:v>
      </x:c>
      <x:c r="Q45" s="6" t="n">
        <x:v>1</x:v>
      </x:c>
      <x:c r="R45" s="6" t="n">
        <x:v>3</x:v>
      </x:c>
      <x:c r="S45" s="6" t="n">
        <x:v>4</x:v>
      </x:c>
      <x:c r="T45" s="6" t="n">
        <x:v>2</x:v>
      </x:c>
      <x:c r="U45" s="6" t="n">
        <x:v>0</x:v>
      </x:c>
      <x:c r="V45" s="6" t="n">
        <x:v>0</x:v>
      </x:c>
      <x:c r="W45" s="6" t="n">
        <x:v>0</x:v>
      </x:c>
      <x:c r="X45" s="6" t="n">
        <x:v>0</x:v>
      </x:c>
      <x:c r="Y45" s="6" t="n">
        <x:v>0</x:v>
      </x:c>
      <x:c r="Z45" s="6" t="n">
        <x:v>0</x:v>
      </x:c>
      <x:c r="AA45" s="6" t="n">
        <x:v>3</x:v>
      </x:c>
      <x:c r="AB45" s="6" t="n">
        <x:v>11</x:v>
      </x:c>
      <x:c r="AC45" s="6" t="n">
        <x:v>0</x:v>
      </x:c>
    </x:row>
    <x:row r="46">
      <x:c r="A46" s="6" t="n">
        <x:v>2139</x:v>
      </x:c>
      <x:c r="B46" s="6" t="n">
        <x:v>1975</x:v>
      </x:c>
      <x:c r="C46" s="6" t="str">
        <x:v>Master</x:v>
      </x:c>
      <x:c r="D46" s="6" t="str">
        <x:v>Married</x:v>
      </x:c>
      <x:c r="E46" s="6" t="n">
        <x:v>7500</x:v>
      </x:c>
      <x:c r="F46" s="6" t="n">
        <x:v>1</x:v>
      </x:c>
      <x:c r="G46" s="6" t="n">
        <x:v>0</x:v>
      </x:c>
      <x:c r="H46" s="9" t="str">
        <x:v>02-10-2013</x:v>
      </x:c>
      <x:c r="I46" s="6" t="n">
        <x:v>19</x:v>
      </x:c>
      <x:c r="J46" s="6" t="n">
        <x:v>3</x:v>
      </x:c>
      <x:c r="K46" s="6" t="n">
        <x:v>1</x:v>
      </x:c>
      <x:c r="L46" s="6" t="n">
        <x:v>10</x:v>
      </x:c>
      <x:c r="M46" s="6" t="n">
        <x:v>3</x:v>
      </x:c>
      <x:c r="N46" s="6" t="n">
        <x:v>2</x:v>
      </x:c>
      <x:c r="O46" s="6" t="n">
        <x:v>12</x:v>
      </x:c>
      <x:c r="P46" s="6" t="n">
        <x:v>3</x:v>
      </x:c>
      <x:c r="Q46" s="6" t="n">
        <x:v>2</x:v>
      </x:c>
      <x:c r="R46" s="6" t="n">
        <x:v>0</x:v>
      </x:c>
      <x:c r="S46" s="6" t="n">
        <x:v>3</x:v>
      </x:c>
      <x:c r="T46" s="6" t="n">
        <x:v>5</x:v>
      </x:c>
      <x:c r="U46" s="6" t="n">
        <x:v>0</x:v>
      </x:c>
      <x:c r="V46" s="6" t="n">
        <x:v>0</x:v>
      </x:c>
      <x:c r="W46" s="6" t="n">
        <x:v>0</x:v>
      </x:c>
      <x:c r="X46" s="6" t="n">
        <x:v>0</x:v>
      </x:c>
      <x:c r="Y46" s="6" t="n">
        <x:v>0</x:v>
      </x:c>
      <x:c r="Z46" s="6" t="n">
        <x:v>0</x:v>
      </x:c>
      <x:c r="AA46" s="6" t="n">
        <x:v>3</x:v>
      </x:c>
      <x:c r="AB46" s="6" t="n">
        <x:v>11</x:v>
      </x:c>
      <x:c r="AC46" s="6" t="n">
        <x:v>0</x:v>
      </x:c>
    </x:row>
    <x:row r="47">
      <x:c r="A47" s="6" t="n">
        <x:v>1371</x:v>
      </x:c>
      <x:c r="B47" s="6" t="n">
        <x:v>1976</x:v>
      </x:c>
      <x:c r="C47" s="6" t="str">
        <x:v>Graduation</x:v>
      </x:c>
      <x:c r="D47" s="6" t="str">
        <x:v>Single</x:v>
      </x:c>
      <x:c r="E47" s="6" t="n">
        <x:v>79941</x:v>
      </x:c>
      <x:c r="F47" s="6" t="n">
        <x:v>0</x:v>
      </x:c>
      <x:c r="G47" s="6" t="n">
        <x:v>0</x:v>
      </x:c>
      <x:c r="H47" s="9" t="str">
        <x:v>28-06-2014</x:v>
      </x:c>
      <x:c r="I47" s="6" t="n">
        <x:v>72</x:v>
      </x:c>
      <x:c r="J47" s="6" t="n">
        <x:v>123</x:v>
      </x:c>
      <x:c r="K47" s="6" t="n">
        <x:v>164</x:v>
      </x:c>
      <x:c r="L47" s="6" t="n">
        <x:v>266</x:v>
      </x:c>
      <x:c r="M47" s="6" t="n">
        <x:v>227</x:v>
      </x:c>
      <x:c r="N47" s="6" t="n">
        <x:v>30</x:v>
      </x:c>
      <x:c r="O47" s="6" t="n">
        <x:v>174</x:v>
      </x:c>
      <x:c r="P47" s="6" t="n">
        <x:v>1</x:v>
      </x:c>
      <x:c r="Q47" s="6" t="n">
        <x:v>2</x:v>
      </x:c>
      <x:c r="R47" s="6" t="n">
        <x:v>4</x:v>
      </x:c>
      <x:c r="S47" s="6" t="n">
        <x:v>9</x:v>
      </x:c>
      <x:c r="T47" s="6" t="n">
        <x:v>1</x:v>
      </x:c>
      <x:c r="U47" s="6" t="n">
        <x:v>0</x:v>
      </x:c>
      <x:c r="V47" s="6" t="n">
        <x:v>0</x:v>
      </x:c>
      <x:c r="W47" s="6" t="n">
        <x:v>0</x:v>
      </x:c>
      <x:c r="X47" s="6" t="n">
        <x:v>0</x:v>
      </x:c>
      <x:c r="Y47" s="6" t="n">
        <x:v>0</x:v>
      </x:c>
      <x:c r="Z47" s="6" t="n">
        <x:v>0</x:v>
      </x:c>
      <x:c r="AA47" s="6" t="n">
        <x:v>3</x:v>
      </x:c>
      <x:c r="AB47" s="6" t="n">
        <x:v>11</x:v>
      </x:c>
      <x:c r="AC47" s="6" t="n">
        <x:v>0</x:v>
      </x:c>
    </x:row>
    <x:row r="48">
      <x:c r="A48" s="6" t="n">
        <x:v>9909</x:v>
      </x:c>
      <x:c r="B48" s="6" t="n">
        <x:v>1996</x:v>
      </x:c>
      <x:c r="C48" s="6" t="str">
        <x:v>2n Cycle</x:v>
      </x:c>
      <x:c r="D48" s="6" t="str">
        <x:v>Married</x:v>
      </x:c>
      <x:c r="E48" s="6" t="n">
        <x:v>7500</x:v>
      </x:c>
      <x:c r="F48" s="6" t="n">
        <x:v>0</x:v>
      </x:c>
      <x:c r="G48" s="6" t="n">
        <x:v>0</x:v>
      </x:c>
      <x:c r="H48" s="9" t="str">
        <x:v>09-11-2012</x:v>
      </x:c>
      <x:c r="I48" s="6" t="n">
        <x:v>24</x:v>
      </x:c>
      <x:c r="J48" s="6" t="n">
        <x:v>3</x:v>
      </x:c>
      <x:c r="K48" s="6" t="n">
        <x:v>18</x:v>
      </x:c>
      <x:c r="L48" s="6" t="n">
        <x:v>14</x:v>
      </x:c>
      <x:c r="M48" s="6" t="n">
        <x:v>15</x:v>
      </x:c>
      <x:c r="N48" s="6" t="n">
        <x:v>22</x:v>
      </x:c>
      <x:c r="O48" s="6" t="n">
        <x:v>50</x:v>
      </x:c>
      <x:c r="P48" s="6" t="n">
        <x:v>3</x:v>
      </x:c>
      <x:c r="Q48" s="6" t="n">
        <x:v>3</x:v>
      </x:c>
      <x:c r="R48" s="6" t="n">
        <x:v>1</x:v>
      </x:c>
      <x:c r="S48" s="6" t="n">
        <x:v>3</x:v>
      </x:c>
      <x:c r="T48" s="6" t="n">
        <x:v>9</x:v>
      </x:c>
      <x:c r="U48" s="6" t="n">
        <x:v>0</x:v>
      </x:c>
      <x:c r="V48" s="6" t="n">
        <x:v>0</x:v>
      </x:c>
      <x:c r="W48" s="6" t="n">
        <x:v>0</x:v>
      </x:c>
      <x:c r="X48" s="6" t="n">
        <x:v>0</x:v>
      </x:c>
      <x:c r="Y48" s="6" t="n">
        <x:v>0</x:v>
      </x:c>
      <x:c r="Z48" s="6" t="n">
        <x:v>0</x:v>
      </x:c>
      <x:c r="AA48" s="6" t="n">
        <x:v>3</x:v>
      </x:c>
      <x:c r="AB48" s="6" t="n">
        <x:v>11</x:v>
      </x:c>
      <x:c r="AC48" s="6" t="n">
        <x:v>1</x:v>
      </x:c>
    </x:row>
    <x:row r="49">
      <x:c r="A49" s="6" t="n">
        <x:v>7286</x:v>
      </x:c>
      <x:c r="B49" s="6" t="n">
        <x:v>1968</x:v>
      </x:c>
      <x:c r="C49" s="6" t="str">
        <x:v>Graduation</x:v>
      </x:c>
      <x:c r="D49" s="6" t="str">
        <x:v>Together</x:v>
      </x:c>
      <x:c r="E49" s="6" t="n">
        <x:v>41728</x:v>
      </x:c>
      <x:c r="F49" s="6" t="n">
        <x:v>1</x:v>
      </x:c>
      <x:c r="G49" s="6" t="n">
        <x:v>0</x:v>
      </x:c>
      <x:c r="H49" s="9" t="str">
        <x:v>24-05-2013</x:v>
      </x:c>
      <x:c r="I49" s="6" t="n">
        <x:v>92</x:v>
      </x:c>
      <x:c r="J49" s="6" t="n">
        <x:v>13</x:v>
      </x:c>
      <x:c r="K49" s="6" t="n">
        <x:v>6</x:v>
      </x:c>
      <x:c r="L49" s="6" t="n">
        <x:v>15</x:v>
      </x:c>
      <x:c r="M49" s="6" t="n">
        <x:v>3</x:v>
      </x:c>
      <x:c r="N49" s="6" t="n">
        <x:v>5</x:v>
      </x:c>
      <x:c r="O49" s="6" t="n">
        <x:v>13</x:v>
      </x:c>
      <x:c r="P49" s="6" t="n">
        <x:v>1</x:v>
      </x:c>
      <x:c r="Q49" s="6" t="n">
        <x:v>2</x:v>
      </x:c>
      <x:c r="R49" s="6" t="n">
        <x:v>0</x:v>
      </x:c>
      <x:c r="S49" s="6" t="n">
        <x:v>2</x:v>
      </x:c>
      <x:c r="T49" s="6" t="n">
        <x:v>10</x:v>
      </x:c>
      <x:c r="U49" s="6" t="n">
        <x:v>0</x:v>
      </x:c>
      <x:c r="V49" s="6" t="n">
        <x:v>0</x:v>
      </x:c>
      <x:c r="W49" s="6" t="n">
        <x:v>0</x:v>
      </x:c>
      <x:c r="X49" s="6" t="n">
        <x:v>0</x:v>
      </x:c>
      <x:c r="Y49" s="6" t="n">
        <x:v>0</x:v>
      </x:c>
      <x:c r="Z49" s="6" t="n">
        <x:v>0</x:v>
      </x:c>
      <x:c r="AA49" s="6" t="n">
        <x:v>3</x:v>
      </x:c>
      <x:c r="AB49" s="6" t="n">
        <x:v>11</x:v>
      </x:c>
      <x:c r="AC49" s="6" t="n">
        <x:v>0</x:v>
      </x:c>
    </x:row>
    <x:row r="50">
      <x:c r="A50" s="6" t="n">
        <x:v>7244</x:v>
      </x:c>
      <x:c r="B50" s="6" t="n">
        <x:v>1951</x:v>
      </x:c>
      <x:c r="C50" s="6" t="str">
        <x:v>Graduation</x:v>
      </x:c>
      <x:c r="D50" s="6" t="str">
        <x:v>Single</x:v>
      </x:c>
      <x:c r="E50" s="6"/>
      <x:c r="F50" s="6" t="n">
        <x:v>2</x:v>
      </x:c>
      <x:c r="G50" s="6" t="n">
        <x:v>1</x:v>
      </x:c>
      <x:c r="H50" s="9" t="str">
        <x:v>01-01-2014</x:v>
      </x:c>
      <x:c r="I50" s="6" t="n">
        <x:v>96</x:v>
      </x:c>
      <x:c r="J50" s="6" t="n">
        <x:v>48</x:v>
      </x:c>
      <x:c r="K50" s="6" t="n">
        <x:v>5</x:v>
      </x:c>
      <x:c r="L50" s="6" t="n">
        <x:v>48</x:v>
      </x:c>
      <x:c r="M50" s="6" t="n">
        <x:v>6</x:v>
      </x:c>
      <x:c r="N50" s="6" t="n">
        <x:v>10</x:v>
      </x:c>
      <x:c r="O50" s="6" t="n">
        <x:v>7</x:v>
      </x:c>
      <x:c r="P50" s="6" t="n">
        <x:v>3</x:v>
      </x:c>
      <x:c r="Q50" s="6" t="n">
        <x:v>2</x:v>
      </x:c>
      <x:c r="R50" s="6" t="n">
        <x:v>1</x:v>
      </x:c>
      <x:c r="S50" s="6" t="n">
        <x:v>4</x:v>
      </x:c>
      <x:c r="T50" s="6" t="n">
        <x:v>6</x:v>
      </x:c>
      <x:c r="U50" s="6" t="n">
        <x:v>0</x:v>
      </x:c>
      <x:c r="V50" s="6" t="n">
        <x:v>0</x:v>
      </x:c>
      <x:c r="W50" s="6" t="n">
        <x:v>0</x:v>
      </x:c>
      <x:c r="X50" s="6" t="n">
        <x:v>0</x:v>
      </x:c>
      <x:c r="Y50" s="6" t="n">
        <x:v>0</x:v>
      </x:c>
      <x:c r="Z50" s="6" t="n">
        <x:v>0</x:v>
      </x:c>
      <x:c r="AA50" s="6" t="n">
        <x:v>3</x:v>
      </x:c>
      <x:c r="AB50" s="6" t="n">
        <x:v>11</x:v>
      </x:c>
      <x:c r="AC50" s="6" t="n">
        <x:v>0</x:v>
      </x:c>
    </x:row>
    <x:row r="51">
      <x:c r="A51" s="6" t="n">
        <x:v>6566</x:v>
      </x:c>
      <x:c r="B51" s="6" t="n">
        <x:v>1954</x:v>
      </x:c>
      <x:c r="C51" s="6" t="str">
        <x:v>PhD</x:v>
      </x:c>
      <x:c r="D51" s="6" t="str">
        <x:v>Married</x:v>
      </x:c>
      <x:c r="E51" s="6" t="n">
        <x:v>72550</x:v>
      </x:c>
      <x:c r="F51" s="6" t="n">
        <x:v>1</x:v>
      </x:c>
      <x:c r="G51" s="6" t="n">
        <x:v>1</x:v>
      </x:c>
      <x:c r="H51" s="9" t="str">
        <x:v>08-11-2012</x:v>
      </x:c>
      <x:c r="I51" s="6" t="n">
        <x:v>39</x:v>
      </x:c>
      <x:c r="J51" s="6" t="n">
        <x:v>826</x:v>
      </x:c>
      <x:c r="K51" s="6" t="n">
        <x:v>50</x:v>
      </x:c>
      <x:c r="L51" s="6" t="n">
        <x:v>317</x:v>
      </x:c>
      <x:c r="M51" s="6" t="n">
        <x:v>50</x:v>
      </x:c>
      <x:c r="N51" s="6" t="n">
        <x:v>38</x:v>
      </x:c>
      <x:c r="O51" s="6" t="n">
        <x:v>38</x:v>
      </x:c>
      <x:c r="P51" s="6" t="n">
        <x:v>9</x:v>
      </x:c>
      <x:c r="Q51" s="6" t="n">
        <x:v>5</x:v>
      </x:c>
      <x:c r="R51" s="6" t="n">
        <x:v>2</x:v>
      </x:c>
      <x:c r="S51" s="6" t="n">
        <x:v>12</x:v>
      </x:c>
      <x:c r="T51" s="6" t="n">
        <x:v>8</x:v>
      </x:c>
      <x:c r="U51" s="6" t="n">
        <x:v>0</x:v>
      </x:c>
      <x:c r="V51" s="6" t="n">
        <x:v>0</x:v>
      </x:c>
      <x:c r="W51" s="6" t="n">
        <x:v>0</x:v>
      </x:c>
      <x:c r="X51" s="6" t="n">
        <x:v>0</x:v>
      </x:c>
      <x:c r="Y51" s="6" t="n">
        <x:v>0</x:v>
      </x:c>
      <x:c r="Z51" s="6" t="n">
        <x:v>0</x:v>
      </x:c>
      <x:c r="AA51" s="6" t="n">
        <x:v>3</x:v>
      </x:c>
      <x:c r="AB51" s="6" t="n">
        <x:v>11</x:v>
      </x:c>
      <x:c r="AC51" s="6" t="n">
        <x:v>0</x:v>
      </x:c>
    </x:row>
    <x:row r="52">
      <x:c r="A52" s="6" t="n">
        <x:v>8614</x:v>
      </x:c>
      <x:c r="B52" s="6" t="n">
        <x:v>1957</x:v>
      </x:c>
      <x:c r="C52" s="6" t="str">
        <x:v>Graduation</x:v>
      </x:c>
      <x:c r="D52" s="6" t="str">
        <x:v>Widow</x:v>
      </x:c>
      <x:c r="E52" s="6" t="n">
        <x:v>65486</x:v>
      </x:c>
      <x:c r="F52" s="6" t="n">
        <x:v>0</x:v>
      </x:c>
      <x:c r="G52" s="6" t="n">
        <x:v>1</x:v>
      </x:c>
      <x:c r="H52" s="9" t="str">
        <x:v>12-05-2014</x:v>
      </x:c>
      <x:c r="I52" s="6" t="n">
        <x:v>29</x:v>
      </x:c>
      <x:c r="J52" s="6" t="n">
        <x:v>245</x:v>
      </x:c>
      <x:c r="K52" s="6" t="n">
        <x:v>19</x:v>
      </x:c>
      <x:c r="L52" s="6" t="n">
        <x:v>125</x:v>
      </x:c>
      <x:c r="M52" s="6" t="n">
        <x:v>37</x:v>
      </x:c>
      <x:c r="N52" s="6" t="n">
        <x:v>67</x:v>
      </x:c>
      <x:c r="O52" s="6" t="n">
        <x:v>14</x:v>
      </x:c>
      <x:c r="P52" s="6" t="n">
        <x:v>1</x:v>
      </x:c>
      <x:c r="Q52" s="6" t="n">
        <x:v>4</x:v>
      </x:c>
      <x:c r="R52" s="6" t="n">
        <x:v>2</x:v>
      </x:c>
      <x:c r="S52" s="6" t="n">
        <x:v>10</x:v>
      </x:c>
      <x:c r="T52" s="6" t="n">
        <x:v>2</x:v>
      </x:c>
      <x:c r="U52" s="6" t="n">
        <x:v>0</x:v>
      </x:c>
      <x:c r="V52" s="6" t="n">
        <x:v>0</x:v>
      </x:c>
      <x:c r="W52" s="6" t="n">
        <x:v>0</x:v>
      </x:c>
      <x:c r="X52" s="6" t="n">
        <x:v>0</x:v>
      </x:c>
      <x:c r="Y52" s="6" t="n">
        <x:v>0</x:v>
      </x:c>
      <x:c r="Z52" s="6" t="n">
        <x:v>0</x:v>
      </x:c>
      <x:c r="AA52" s="6" t="n">
        <x:v>3</x:v>
      </x:c>
      <x:c r="AB52" s="6" t="n">
        <x:v>11</x:v>
      </x:c>
      <x:c r="AC52" s="6" t="n">
        <x:v>0</x:v>
      </x:c>
    </x:row>
    <x:row r="53">
      <x:c r="A53" s="6" t="n">
        <x:v>4114</x:v>
      </x:c>
      <x:c r="B53" s="6" t="n">
        <x:v>1964</x:v>
      </x:c>
      <x:c r="C53" s="6" t="str">
        <x:v>Master</x:v>
      </x:c>
      <x:c r="D53" s="6" t="str">
        <x:v>Married</x:v>
      </x:c>
      <x:c r="E53" s="6" t="n">
        <x:v>79143</x:v>
      </x:c>
      <x:c r="F53" s="6" t="n">
        <x:v>0</x:v>
      </x:c>
      <x:c r="G53" s="6" t="n">
        <x:v>0</x:v>
      </x:c>
      <x:c r="H53" s="9" t="str">
        <x:v>11-08-2012</x:v>
      </x:c>
      <x:c r="I53" s="6" t="n">
        <x:v>2</x:v>
      </x:c>
      <x:c r="J53" s="6" t="n">
        <x:v>650</x:v>
      </x:c>
      <x:c r="K53" s="6" t="n">
        <x:v>37</x:v>
      </x:c>
      <x:c r="L53" s="6" t="n">
        <x:v>780</x:v>
      </x:c>
      <x:c r="M53" s="6" t="n">
        <x:v>27</x:v>
      </x:c>
      <x:c r="N53" s="6" t="n">
        <x:v>167</x:v>
      </x:c>
      <x:c r="O53" s="6" t="n">
        <x:v>32</x:v>
      </x:c>
      <x:c r="P53" s="6" t="n">
        <x:v>1</x:v>
      </x:c>
      <x:c r="Q53" s="6" t="n">
        <x:v>6</x:v>
      </x:c>
      <x:c r="R53" s="6" t="n">
        <x:v>9</x:v>
      </x:c>
      <x:c r="S53" s="6" t="n">
        <x:v>13</x:v>
      </x:c>
      <x:c r="T53" s="6" t="n">
        <x:v>3</x:v>
      </x:c>
      <x:c r="U53" s="6" t="n">
        <x:v>0</x:v>
      </x:c>
      <x:c r="V53" s="6" t="n">
        <x:v>0</x:v>
      </x:c>
      <x:c r="W53" s="6" t="n">
        <x:v>0</x:v>
      </x:c>
      <x:c r="X53" s="6" t="n">
        <x:v>0</x:v>
      </x:c>
      <x:c r="Y53" s="6" t="n">
        <x:v>0</x:v>
      </x:c>
      <x:c r="Z53" s="6" t="n">
        <x:v>0</x:v>
      </x:c>
      <x:c r="AA53" s="6" t="n">
        <x:v>3</x:v>
      </x:c>
      <x:c r="AB53" s="6" t="n">
        <x:v>11</x:v>
      </x:c>
      <x:c r="AC53" s="6" t="n">
        <x:v>0</x:v>
      </x:c>
    </x:row>
    <x:row r="54">
      <x:c r="A54" s="6" t="n">
        <x:v>1331</x:v>
      </x:c>
      <x:c r="B54" s="6" t="n">
        <x:v>1977</x:v>
      </x:c>
      <x:c r="C54" s="6" t="str">
        <x:v>Graduation</x:v>
      </x:c>
      <x:c r="D54" s="6" t="str">
        <x:v>Single</x:v>
      </x:c>
      <x:c r="E54" s="6" t="n">
        <x:v>35790</x:v>
      </x:c>
      <x:c r="F54" s="6" t="n">
        <x:v>1</x:v>
      </x:c>
      <x:c r="G54" s="6" t="n">
        <x:v>0</x:v>
      </x:c>
      <x:c r="H54" s="9" t="str">
        <x:v>02-01-2013</x:v>
      </x:c>
      <x:c r="I54" s="6" t="n">
        <x:v>54</x:v>
      </x:c>
      <x:c r="J54" s="6" t="n">
        <x:v>12</x:v>
      </x:c>
      <x:c r="K54" s="6" t="n">
        <x:v>6</x:v>
      </x:c>
      <x:c r="L54" s="6" t="n">
        <x:v>20</x:v>
      </x:c>
      <x:c r="M54" s="6" t="n">
        <x:v>30</x:v>
      </x:c>
      <x:c r="N54" s="6" t="n">
        <x:v>1</x:v>
      </x:c>
      <x:c r="O54" s="6" t="n">
        <x:v>3</x:v>
      </x:c>
      <x:c r="P54" s="6" t="n">
        <x:v>2</x:v>
      </x:c>
      <x:c r="Q54" s="6" t="n">
        <x:v>2</x:v>
      </x:c>
      <x:c r="R54" s="6" t="n">
        <x:v>0</x:v>
      </x:c>
      <x:c r="S54" s="6" t="n">
        <x:v>3</x:v>
      </x:c>
      <x:c r="T54" s="6" t="n">
        <x:v>7</x:v>
      </x:c>
      <x:c r="U54" s="6" t="n">
        <x:v>0</x:v>
      </x:c>
      <x:c r="V54" s="6" t="n">
        <x:v>0</x:v>
      </x:c>
      <x:c r="W54" s="6" t="n">
        <x:v>0</x:v>
      </x:c>
      <x:c r="X54" s="6" t="n">
        <x:v>0</x:v>
      </x:c>
      <x:c r="Y54" s="6" t="n">
        <x:v>0</x:v>
      </x:c>
      <x:c r="Z54" s="6" t="n">
        <x:v>0</x:v>
      </x:c>
      <x:c r="AA54" s="6" t="n">
        <x:v>3</x:v>
      </x:c>
      <x:c r="AB54" s="6" t="n">
        <x:v>11</x:v>
      </x:c>
      <x:c r="AC54" s="6" t="n">
        <x:v>0</x:v>
      </x:c>
    </x:row>
    <x:row r="55">
      <x:c r="A55" s="6" t="n">
        <x:v>2225</x:v>
      </x:c>
      <x:c r="B55" s="6" t="n">
        <x:v>1977</x:v>
      </x:c>
      <x:c r="C55" s="6" t="str">
        <x:v>Graduation</x:v>
      </x:c>
      <x:c r="D55" s="6" t="str">
        <x:v>Divorced</x:v>
      </x:c>
      <x:c r="E55" s="6" t="n">
        <x:v>82582</x:v>
      </x:c>
      <x:c r="F55" s="6" t="n">
        <x:v>0</x:v>
      </x:c>
      <x:c r="G55" s="6" t="n">
        <x:v>0</x:v>
      </x:c>
      <x:c r="H55" s="9" t="str">
        <x:v>07-06-2014</x:v>
      </x:c>
      <x:c r="I55" s="6" t="n">
        <x:v>54</x:v>
      </x:c>
      <x:c r="J55" s="6" t="n">
        <x:v>510</x:v>
      </x:c>
      <x:c r="K55" s="6" t="n">
        <x:v>120</x:v>
      </x:c>
      <x:c r="L55" s="6" t="n">
        <x:v>550</x:v>
      </x:c>
      <x:c r="M55" s="6" t="n">
        <x:v>156</x:v>
      </x:c>
      <x:c r="N55" s="6" t="n">
        <x:v>40</x:v>
      </x:c>
      <x:c r="O55" s="6" t="n">
        <x:v>241</x:v>
      </x:c>
      <x:c r="P55" s="6" t="n">
        <x:v>1</x:v>
      </x:c>
      <x:c r="Q55" s="6" t="n">
        <x:v>4</x:v>
      </x:c>
      <x:c r="R55" s="6" t="n">
        <x:v>9</x:v>
      </x:c>
      <x:c r="S55" s="6" t="n">
        <x:v>7</x:v>
      </x:c>
      <x:c r="T55" s="6" t="n">
        <x:v>1</x:v>
      </x:c>
      <x:c r="U55" s="6" t="n">
        <x:v>1</x:v>
      </x:c>
      <x:c r="V55" s="6" t="n">
        <x:v>0</x:v>
      </x:c>
      <x:c r="W55" s="6" t="n">
        <x:v>0</x:v>
      </x:c>
      <x:c r="X55" s="6" t="n">
        <x:v>1</x:v>
      </x:c>
      <x:c r="Y55" s="6" t="n">
        <x:v>0</x:v>
      </x:c>
      <x:c r="Z55" s="6" t="n">
        <x:v>0</x:v>
      </x:c>
      <x:c r="AA55" s="6" t="n">
        <x:v>3</x:v>
      </x:c>
      <x:c r="AB55" s="6" t="n">
        <x:v>11</x:v>
      </x:c>
      <x:c r="AC55" s="6" t="n">
        <x:v>1</x:v>
      </x:c>
    </x:row>
    <x:row r="56">
      <x:c r="A56" s="6" t="n">
        <x:v>9381</x:v>
      </x:c>
      <x:c r="B56" s="6" t="n">
        <x:v>1978</x:v>
      </x:c>
      <x:c r="C56" s="6" t="str">
        <x:v>Graduation</x:v>
      </x:c>
      <x:c r="D56" s="6" t="str">
        <x:v>Married</x:v>
      </x:c>
      <x:c r="E56" s="6" t="n">
        <x:v>66373</x:v>
      </x:c>
      <x:c r="F56" s="6" t="n">
        <x:v>1</x:v>
      </x:c>
      <x:c r="G56" s="6" t="n">
        <x:v>1</x:v>
      </x:c>
      <x:c r="H56" s="9" t="str">
        <x:v>12-06-2013</x:v>
      </x:c>
      <x:c r="I56" s="6" t="n">
        <x:v>57</x:v>
      </x:c>
      <x:c r="J56" s="6" t="n">
        <x:v>328</x:v>
      </x:c>
      <x:c r="K56" s="6" t="n">
        <x:v>9</x:v>
      </x:c>
      <x:c r="L56" s="6" t="n">
        <x:v>124</x:v>
      </x:c>
      <x:c r="M56" s="6" t="n">
        <x:v>12</x:v>
      </x:c>
      <x:c r="N56" s="6" t="n">
        <x:v>24</x:v>
      </x:c>
      <x:c r="O56" s="6" t="n">
        <x:v>109</x:v>
      </x:c>
      <x:c r="P56" s="6" t="n">
        <x:v>7</x:v>
      </x:c>
      <x:c r="Q56" s="6" t="n">
        <x:v>4</x:v>
      </x:c>
      <x:c r="R56" s="6" t="n">
        <x:v>2</x:v>
      </x:c>
      <x:c r="S56" s="6" t="n">
        <x:v>10</x:v>
      </x:c>
      <x:c r="T56" s="6" t="n">
        <x:v>3</x:v>
      </x:c>
      <x:c r="U56" s="6" t="n">
        <x:v>0</x:v>
      </x:c>
      <x:c r="V56" s="6" t="n">
        <x:v>0</x:v>
      </x:c>
      <x:c r="W56" s="6" t="n">
        <x:v>0</x:v>
      </x:c>
      <x:c r="X56" s="6" t="n">
        <x:v>0</x:v>
      </x:c>
      <x:c r="Y56" s="6" t="n">
        <x:v>0</x:v>
      </x:c>
      <x:c r="Z56" s="6" t="n">
        <x:v>0</x:v>
      </x:c>
      <x:c r="AA56" s="6" t="n">
        <x:v>3</x:v>
      </x:c>
      <x:c r="AB56" s="6" t="n">
        <x:v>11</x:v>
      </x:c>
      <x:c r="AC56" s="6" t="n">
        <x:v>0</x:v>
      </x:c>
    </x:row>
    <x:row r="57">
      <x:c r="A57" s="6" t="n">
        <x:v>6260</x:v>
      </x:c>
      <x:c r="B57" s="6" t="n">
        <x:v>1955</x:v>
      </x:c>
      <x:c r="C57" s="6" t="str">
        <x:v>Master</x:v>
      </x:c>
      <x:c r="D57" s="6" t="str">
        <x:v>Together</x:v>
      </x:c>
      <x:c r="E57" s="6" t="n">
        <x:v>82384</x:v>
      </x:c>
      <x:c r="F57" s="6" t="n">
        <x:v>0</x:v>
      </x:c>
      <x:c r="G57" s="6" t="n">
        <x:v>0</x:v>
      </x:c>
      <x:c r="H57" s="9" t="str">
        <x:v>19-11-2012</x:v>
      </x:c>
      <x:c r="I57" s="6" t="n">
        <x:v>55</x:v>
      </x:c>
      <x:c r="J57" s="6" t="n">
        <x:v>984</x:v>
      </x:c>
      <x:c r="K57" s="6" t="n">
        <x:v>51</x:v>
      </x:c>
      <x:c r="L57" s="6" t="n">
        <x:v>432</x:v>
      </x:c>
      <x:c r="M57" s="6" t="n">
        <x:v>180</x:v>
      </x:c>
      <x:c r="N57" s="6" t="n">
        <x:v>120</x:v>
      </x:c>
      <x:c r="O57" s="6" t="n">
        <x:v>190</x:v>
      </x:c>
      <x:c r="P57" s="6" t="n">
        <x:v>1</x:v>
      </x:c>
      <x:c r="Q57" s="6" t="n">
        <x:v>3</x:v>
      </x:c>
      <x:c r="R57" s="6" t="n">
        <x:v>10</x:v>
      </x:c>
      <x:c r="S57" s="6" t="n">
        <x:v>13</x:v>
      </x:c>
      <x:c r="T57" s="6" t="n">
        <x:v>1</x:v>
      </x:c>
      <x:c r="U57" s="6" t="n">
        <x:v>0</x:v>
      </x:c>
      <x:c r="V57" s="6" t="n">
        <x:v>0</x:v>
      </x:c>
      <x:c r="W57" s="6" t="n">
        <x:v>1</x:v>
      </x:c>
      <x:c r="X57" s="6" t="n">
        <x:v>0</x:v>
      </x:c>
      <x:c r="Y57" s="6" t="n">
        <x:v>0</x:v>
      </x:c>
      <x:c r="Z57" s="6" t="n">
        <x:v>0</x:v>
      </x:c>
      <x:c r="AA57" s="6" t="n">
        <x:v>3</x:v>
      </x:c>
      <x:c r="AB57" s="6" t="n">
        <x:v>11</x:v>
      </x:c>
      <x:c r="AC57" s="6" t="n">
        <x:v>1</x:v>
      </x:c>
    </x:row>
    <x:row r="58">
      <x:c r="A58" s="6" t="n">
        <x:v>10383</x:v>
      </x:c>
      <x:c r="B58" s="6" t="n">
        <x:v>1966</x:v>
      </x:c>
      <x:c r="C58" s="6" t="str">
        <x:v>Graduation</x:v>
      </x:c>
      <x:c r="D58" s="6" t="str">
        <x:v>Divorced</x:v>
      </x:c>
      <x:c r="E58" s="6" t="n">
        <x:v>70287</x:v>
      </x:c>
      <x:c r="F58" s="6" t="n">
        <x:v>0</x:v>
      </x:c>
      <x:c r="G58" s="6" t="n">
        <x:v>0</x:v>
      </x:c>
      <x:c r="H58" s="9" t="str">
        <x:v>02-04-2013</x:v>
      </x:c>
      <x:c r="I58" s="6" t="n">
        <x:v>30</x:v>
      </x:c>
      <x:c r="J58" s="6" t="n">
        <x:v>295</x:v>
      </x:c>
      <x:c r="K58" s="6" t="n">
        <x:v>35</x:v>
      </x:c>
      <x:c r="L58" s="6" t="n">
        <x:v>482</x:v>
      </x:c>
      <x:c r="M58" s="6" t="n">
        <x:v>121</x:v>
      </x:c>
      <x:c r="N58" s="6" t="n">
        <x:v>120</x:v>
      </x:c>
      <x:c r="O58" s="6" t="n">
        <x:v>40</x:v>
      </x:c>
      <x:c r="P58" s="6" t="n">
        <x:v>1</x:v>
      </x:c>
      <x:c r="Q58" s="6" t="n">
        <x:v>5</x:v>
      </x:c>
      <x:c r="R58" s="6" t="n">
        <x:v>5</x:v>
      </x:c>
      <x:c r="S58" s="6" t="n">
        <x:v>10</x:v>
      </x:c>
      <x:c r="T58" s="6" t="n">
        <x:v>3</x:v>
      </x:c>
      <x:c r="U58" s="6" t="n">
        <x:v>0</x:v>
      </x:c>
      <x:c r="V58" s="6" t="n">
        <x:v>0</x:v>
      </x:c>
      <x:c r="W58" s="6" t="n">
        <x:v>0</x:v>
      </x:c>
      <x:c r="X58" s="6" t="n">
        <x:v>0</x:v>
      </x:c>
      <x:c r="Y58" s="6" t="n">
        <x:v>0</x:v>
      </x:c>
      <x:c r="Z58" s="6" t="n">
        <x:v>0</x:v>
      </x:c>
      <x:c r="AA58" s="6" t="n">
        <x:v>3</x:v>
      </x:c>
      <x:c r="AB58" s="6" t="n">
        <x:v>11</x:v>
      </x:c>
      <x:c r="AC58" s="6" t="n">
        <x:v>1</x:v>
      </x:c>
    </x:row>
    <x:row r="59">
      <x:c r="A59" s="6" t="n">
        <x:v>7437</x:v>
      </x:c>
      <x:c r="B59" s="6" t="n">
        <x:v>1988</x:v>
      </x:c>
      <x:c r="C59" s="6" t="str">
        <x:v>Graduation</x:v>
      </x:c>
      <x:c r="D59" s="6" t="str">
        <x:v>Single</x:v>
      </x:c>
      <x:c r="E59" s="6" t="n">
        <x:v>27938</x:v>
      </x:c>
      <x:c r="F59" s="6" t="n">
        <x:v>1</x:v>
      </x:c>
      <x:c r="G59" s="6" t="n">
        <x:v>0</x:v>
      </x:c>
      <x:c r="H59" s="9" t="str">
        <x:v>28-04-2014</x:v>
      </x:c>
      <x:c r="I59" s="6" t="n">
        <x:v>31</x:v>
      </x:c>
      <x:c r="J59" s="6" t="n">
        <x:v>13</x:v>
      </x:c>
      <x:c r="K59" s="6" t="n">
        <x:v>0</x:v>
      </x:c>
      <x:c r="L59" s="6" t="n">
        <x:v>8</x:v>
      </x:c>
      <x:c r="M59" s="6" t="n">
        <x:v>2</x:v>
      </x:c>
      <x:c r="N59" s="6" t="n">
        <x:v>1</x:v>
      </x:c>
      <x:c r="O59" s="6" t="n">
        <x:v>5</x:v>
      </x:c>
      <x:c r="P59" s="6" t="n">
        <x:v>1</x:v>
      </x:c>
      <x:c r="Q59" s="6" t="n">
        <x:v>1</x:v>
      </x:c>
      <x:c r="R59" s="6" t="n">
        <x:v>0</x:v>
      </x:c>
      <x:c r="S59" s="6" t="n">
        <x:v>4</x:v>
      </x:c>
      <x:c r="T59" s="6" t="n">
        <x:v>3</x:v>
      </x:c>
      <x:c r="U59" s="6" t="n">
        <x:v>0</x:v>
      </x:c>
      <x:c r="V59" s="6" t="n">
        <x:v>0</x:v>
      </x:c>
      <x:c r="W59" s="6" t="n">
        <x:v>0</x:v>
      </x:c>
      <x:c r="X59" s="6" t="n">
        <x:v>0</x:v>
      </x:c>
      <x:c r="Y59" s="6" t="n">
        <x:v>0</x:v>
      </x:c>
      <x:c r="Z59" s="6" t="n">
        <x:v>0</x:v>
      </x:c>
      <x:c r="AA59" s="6" t="n">
        <x:v>3</x:v>
      </x:c>
      <x:c r="AB59" s="6" t="n">
        <x:v>11</x:v>
      </x:c>
      <x:c r="AC59" s="6" t="n">
        <x:v>0</x:v>
      </x:c>
    </x:row>
    <x:row r="60">
      <x:c r="A60" s="6" t="n">
        <x:v>8557</x:v>
      </x:c>
      <x:c r="B60" s="6" t="n">
        <x:v>1982</x:v>
      </x:c>
      <x:c r="C60" s="6" t="str">
        <x:v>Graduation</x:v>
      </x:c>
      <x:c r="D60" s="6" t="str">
        <x:v>Single</x:v>
      </x:c>
      <x:c r="E60" s="6"/>
      <x:c r="F60" s="6" t="n">
        <x:v>1</x:v>
      </x:c>
      <x:c r="G60" s="6" t="n">
        <x:v>0</x:v>
      </x:c>
      <x:c r="H60" s="9" t="str">
        <x:v>17-06-2013</x:v>
      </x:c>
      <x:c r="I60" s="6" t="n">
        <x:v>57</x:v>
      </x:c>
      <x:c r="J60" s="6" t="n">
        <x:v>11</x:v>
      </x:c>
      <x:c r="K60" s="6" t="n">
        <x:v>3</x:v>
      </x:c>
      <x:c r="L60" s="6" t="n">
        <x:v>22</x:v>
      </x:c>
      <x:c r="M60" s="6" t="n">
        <x:v>2</x:v>
      </x:c>
      <x:c r="N60" s="6" t="n">
        <x:v>2</x:v>
      </x:c>
      <x:c r="O60" s="6" t="n">
        <x:v>6</x:v>
      </x:c>
      <x:c r="P60" s="6" t="n">
        <x:v>2</x:v>
      </x:c>
      <x:c r="Q60" s="6" t="n">
        <x:v>2</x:v>
      </x:c>
      <x:c r="R60" s="6" t="n">
        <x:v>0</x:v>
      </x:c>
      <x:c r="S60" s="6" t="n">
        <x:v>3</x:v>
      </x:c>
      <x:c r="T60" s="6" t="n">
        <x:v>6</x:v>
      </x:c>
      <x:c r="U60" s="6" t="n">
        <x:v>0</x:v>
      </x:c>
      <x:c r="V60" s="6" t="n">
        <x:v>0</x:v>
      </x:c>
      <x:c r="W60" s="6" t="n">
        <x:v>0</x:v>
      </x:c>
      <x:c r="X60" s="6" t="n">
        <x:v>0</x:v>
      </x:c>
      <x:c r="Y60" s="6" t="n">
        <x:v>0</x:v>
      </x:c>
      <x:c r="Z60" s="6" t="n">
        <x:v>0</x:v>
      </x:c>
      <x:c r="AA60" s="6" t="n">
        <x:v>3</x:v>
      </x:c>
      <x:c r="AB60" s="6" t="n">
        <x:v>11</x:v>
      </x:c>
      <x:c r="AC60" s="6" t="n">
        <x:v>0</x:v>
      </x:c>
    </x:row>
    <x:row r="61">
      <x:c r="A61" s="6" t="n">
        <x:v>8375</x:v>
      </x:c>
      <x:c r="B61" s="6" t="n">
        <x:v>1968</x:v>
      </x:c>
      <x:c r="C61" s="6" t="str">
        <x:v>PhD</x:v>
      </x:c>
      <x:c r="D61" s="6" t="str">
        <x:v>Married</x:v>
      </x:c>
      <x:c r="E61" s="6" t="n">
        <x:v>55954</x:v>
      </x:c>
      <x:c r="F61" s="6" t="n">
        <x:v>0</x:v>
      </x:c>
      <x:c r="G61" s="6" t="n">
        <x:v>1</x:v>
      </x:c>
      <x:c r="H61" s="9" t="str">
        <x:v>03-03-2014</x:v>
      </x:c>
      <x:c r="I61" s="6" t="n">
        <x:v>63</x:v>
      </x:c>
      <x:c r="J61" s="6" t="n">
        <x:v>447</x:v>
      </x:c>
      <x:c r="K61" s="6" t="n">
        <x:v>0</x:v>
      </x:c>
      <x:c r="L61" s="6" t="n">
        <x:v>28</x:v>
      </x:c>
      <x:c r="M61" s="6" t="n">
        <x:v>0</x:v>
      </x:c>
      <x:c r="N61" s="6" t="n">
        <x:v>0</x:v>
      </x:c>
      <x:c r="O61" s="6" t="n">
        <x:v>43</x:v>
      </x:c>
      <x:c r="P61" s="6" t="n">
        <x:v>3</x:v>
      </x:c>
      <x:c r="Q61" s="6" t="n">
        <x:v>8</x:v>
      </x:c>
      <x:c r="R61" s="6" t="n">
        <x:v>2</x:v>
      </x:c>
      <x:c r="S61" s="6" t="n">
        <x:v>6</x:v>
      </x:c>
      <x:c r="T61" s="6" t="n">
        <x:v>7</x:v>
      </x:c>
      <x:c r="U61" s="6" t="n">
        <x:v>0</x:v>
      </x:c>
      <x:c r="V61" s="6" t="n">
        <x:v>0</x:v>
      </x:c>
      <x:c r="W61" s="6" t="n">
        <x:v>0</x:v>
      </x:c>
      <x:c r="X61" s="6" t="n">
        <x:v>0</x:v>
      </x:c>
      <x:c r="Y61" s="6" t="n">
        <x:v>0</x:v>
      </x:c>
      <x:c r="Z61" s="6" t="n">
        <x:v>0</x:v>
      </x:c>
      <x:c r="AA61" s="6" t="n">
        <x:v>3</x:v>
      </x:c>
      <x:c r="AB61" s="6" t="n">
        <x:v>11</x:v>
      </x:c>
      <x:c r="AC61" s="6" t="n">
        <x:v>0</x:v>
      </x:c>
    </x:row>
    <x:row r="62">
      <x:c r="A62" s="6" t="n">
        <x:v>6853</x:v>
      </x:c>
      <x:c r="B62" s="6" t="n">
        <x:v>1982</x:v>
      </x:c>
      <x:c r="C62" s="6" t="str">
        <x:v>Master</x:v>
      </x:c>
      <x:c r="D62" s="6" t="str">
        <x:v>Single</x:v>
      </x:c>
      <x:c r="E62" s="6" t="n">
        <x:v>75777</x:v>
      </x:c>
      <x:c r="F62" s="6" t="n">
        <x:v>0</x:v>
      </x:c>
      <x:c r="G62" s="6" t="n">
        <x:v>0</x:v>
      </x:c>
      <x:c r="H62" s="9" t="str">
        <x:v>04-07-2013</x:v>
      </x:c>
      <x:c r="I62" s="6" t="n">
        <x:v>12</x:v>
      </x:c>
      <x:c r="J62" s="6" t="n">
        <x:v>712</x:v>
      </x:c>
      <x:c r="K62" s="6" t="n">
        <x:v>26</x:v>
      </x:c>
      <x:c r="L62" s="6" t="n">
        <x:v>538</x:v>
      </x:c>
      <x:c r="M62" s="6" t="n">
        <x:v>69</x:v>
      </x:c>
      <x:c r="N62" s="6" t="n">
        <x:v>13</x:v>
      </x:c>
      <x:c r="O62" s="6" t="n">
        <x:v>80</x:v>
      </x:c>
      <x:c r="P62" s="6" t="n">
        <x:v>1</x:v>
      </x:c>
      <x:c r="Q62" s="6" t="n">
        <x:v>3</x:v>
      </x:c>
      <x:c r="R62" s="6" t="n">
        <x:v>6</x:v>
      </x:c>
      <x:c r="S62" s="6" t="n">
        <x:v>11</x:v>
      </x:c>
      <x:c r="T62" s="6" t="n">
        <x:v>1</x:v>
      </x:c>
      <x:c r="U62" s="6" t="n">
        <x:v>0</x:v>
      </x:c>
      <x:c r="V62" s="6" t="n">
        <x:v>1</x:v>
      </x:c>
      <x:c r="W62" s="6" t="n">
        <x:v>1</x:v>
      </x:c>
      <x:c r="X62" s="6" t="n">
        <x:v>0</x:v>
      </x:c>
      <x:c r="Y62" s="6" t="n">
        <x:v>0</x:v>
      </x:c>
      <x:c r="Z62" s="6" t="n">
        <x:v>0</x:v>
      </x:c>
      <x:c r="AA62" s="6" t="n">
        <x:v>3</x:v>
      </x:c>
      <x:c r="AB62" s="6" t="n">
        <x:v>11</x:v>
      </x:c>
      <x:c r="AC62" s="6" t="n">
        <x:v>1</x:v>
      </x:c>
    </x:row>
    <x:row r="63">
      <x:c r="A63" s="6" t="n">
        <x:v>3076</x:v>
      </x:c>
      <x:c r="B63" s="6" t="n">
        <x:v>1975</x:v>
      </x:c>
      <x:c r="C63" s="6" t="str">
        <x:v>Graduation</x:v>
      </x:c>
      <x:c r="D63" s="6" t="str">
        <x:v>Together</x:v>
      </x:c>
      <x:c r="E63" s="6" t="n">
        <x:v>66653</x:v>
      </x:c>
      <x:c r="F63" s="6" t="n">
        <x:v>1</x:v>
      </x:c>
      <x:c r="G63" s="6" t="n">
        <x:v>1</x:v>
      </x:c>
      <x:c r="H63" s="9" t="str">
        <x:v>07-09-2012</x:v>
      </x:c>
      <x:c r="I63" s="6" t="n">
        <x:v>18</x:v>
      </x:c>
      <x:c r="J63" s="6" t="n">
        <x:v>452</x:v>
      </x:c>
      <x:c r="K63" s="6" t="n">
        <x:v>18</x:v>
      </x:c>
      <x:c r="L63" s="6" t="n">
        <x:v>102</x:v>
      </x:c>
      <x:c r="M63" s="6" t="n">
        <x:v>16</x:v>
      </x:c>
      <x:c r="N63" s="6" t="n">
        <x:v>18</x:v>
      </x:c>
      <x:c r="O63" s="6" t="n">
        <x:v>6</x:v>
      </x:c>
      <x:c r="P63" s="6" t="n">
        <x:v>4</x:v>
      </x:c>
      <x:c r="Q63" s="6" t="n">
        <x:v>4</x:v>
      </x:c>
      <x:c r="R63" s="6" t="n">
        <x:v>2</x:v>
      </x:c>
      <x:c r="S63" s="6" t="n">
        <x:v>12</x:v>
      </x:c>
      <x:c r="T63" s="6" t="n">
        <x:v>3</x:v>
      </x:c>
      <x:c r="U63" s="6" t="n">
        <x:v>0</x:v>
      </x:c>
      <x:c r="V63" s="6" t="n">
        <x:v>0</x:v>
      </x:c>
      <x:c r="W63" s="6" t="n">
        <x:v>0</x:v>
      </x:c>
      <x:c r="X63" s="6" t="n">
        <x:v>0</x:v>
      </x:c>
      <x:c r="Y63" s="6" t="n">
        <x:v>0</x:v>
      </x:c>
      <x:c r="Z63" s="6" t="n">
        <x:v>0</x:v>
      </x:c>
      <x:c r="AA63" s="6" t="n">
        <x:v>3</x:v>
      </x:c>
      <x:c r="AB63" s="6" t="n">
        <x:v>11</x:v>
      </x:c>
      <x:c r="AC63" s="6" t="n">
        <x:v>0</x:v>
      </x:c>
    </x:row>
    <x:row r="64">
      <x:c r="A64" s="6" t="n">
        <x:v>1012</x:v>
      </x:c>
      <x:c r="B64" s="6" t="n">
        <x:v>1952</x:v>
      </x:c>
      <x:c r="C64" s="6" t="str">
        <x:v>Graduation</x:v>
      </x:c>
      <x:c r="D64" s="6" t="str">
        <x:v>Single</x:v>
      </x:c>
      <x:c r="E64" s="6" t="n">
        <x:v>61823</x:v>
      </x:c>
      <x:c r="F64" s="6" t="n">
        <x:v>0</x:v>
      </x:c>
      <x:c r="G64" s="6" t="n">
        <x:v>1</x:v>
      </x:c>
      <x:c r="H64" s="9" t="str">
        <x:v>18-02-2013</x:v>
      </x:c>
      <x:c r="I64" s="6" t="n">
        <x:v>26</x:v>
      </x:c>
      <x:c r="J64" s="6" t="n">
        <x:v>523</x:v>
      </x:c>
      <x:c r="K64" s="6" t="n">
        <x:v>7</x:v>
      </x:c>
      <x:c r="L64" s="6" t="n">
        <x:v>134</x:v>
      </x:c>
      <x:c r="M64" s="6" t="n">
        <x:v>37</x:v>
      </x:c>
      <x:c r="N64" s="6" t="n">
        <x:v>14</x:v>
      </x:c>
      <x:c r="O64" s="6" t="n">
        <x:v>169</x:v>
      </x:c>
      <x:c r="P64" s="6" t="n">
        <x:v>4</x:v>
      </x:c>
      <x:c r="Q64" s="6" t="n">
        <x:v>8</x:v>
      </x:c>
      <x:c r="R64" s="6" t="n">
        <x:v>2</x:v>
      </x:c>
      <x:c r="S64" s="6" t="n">
        <x:v>10</x:v>
      </x:c>
      <x:c r="T64" s="6" t="n">
        <x:v>7</x:v>
      </x:c>
      <x:c r="U64" s="6" t="n">
        <x:v>0</x:v>
      </x:c>
      <x:c r="V64" s="6" t="n">
        <x:v>0</x:v>
      </x:c>
      <x:c r="W64" s="6" t="n">
        <x:v>0</x:v>
      </x:c>
      <x:c r="X64" s="6" t="n">
        <x:v>0</x:v>
      </x:c>
      <x:c r="Y64" s="6" t="n">
        <x:v>0</x:v>
      </x:c>
      <x:c r="Z64" s="6" t="n">
        <x:v>0</x:v>
      </x:c>
      <x:c r="AA64" s="6" t="n">
        <x:v>3</x:v>
      </x:c>
      <x:c r="AB64" s="6" t="n">
        <x:v>11</x:v>
      </x:c>
      <x:c r="AC64" s="6" t="n">
        <x:v>0</x:v>
      </x:c>
    </x:row>
    <x:row r="65">
      <x:c r="A65" s="6" t="n">
        <x:v>6518</x:v>
      </x:c>
      <x:c r="B65" s="6" t="n">
        <x:v>1951</x:v>
      </x:c>
      <x:c r="C65" s="6" t="str">
        <x:v>PhD</x:v>
      </x:c>
      <x:c r="D65" s="6" t="str">
        <x:v>Widow</x:v>
      </x:c>
      <x:c r="E65" s="6" t="n">
        <x:v>67680</x:v>
      </x:c>
      <x:c r="F65" s="6" t="n">
        <x:v>0</x:v>
      </x:c>
      <x:c r="G65" s="6" t="n">
        <x:v>1</x:v>
      </x:c>
      <x:c r="H65" s="9" t="str">
        <x:v>11-06-2013</x:v>
      </x:c>
      <x:c r="I65" s="6" t="n">
        <x:v>8</x:v>
      </x:c>
      <x:c r="J65" s="6" t="n">
        <x:v>546</x:v>
      </x:c>
      <x:c r="K65" s="6" t="n">
        <x:v>0</x:v>
      </x:c>
      <x:c r="L65" s="6" t="n">
        <x:v>48</x:v>
      </x:c>
      <x:c r="M65" s="6" t="n">
        <x:v>0</x:v>
      </x:c>
      <x:c r="N65" s="6" t="n">
        <x:v>6</x:v>
      </x:c>
      <x:c r="O65" s="6" t="n">
        <x:v>6</x:v>
      </x:c>
      <x:c r="P65" s="6" t="n">
        <x:v>1</x:v>
      </x:c>
      <x:c r="Q65" s="6" t="n">
        <x:v>7</x:v>
      </x:c>
      <x:c r="R65" s="6" t="n">
        <x:v>3</x:v>
      </x:c>
      <x:c r="S65" s="6" t="n">
        <x:v>8</x:v>
      </x:c>
      <x:c r="T65" s="6" t="n">
        <x:v>5</x:v>
      </x:c>
      <x:c r="U65" s="6" t="n">
        <x:v>0</x:v>
      </x:c>
      <x:c r="V65" s="6" t="n">
        <x:v>0</x:v>
      </x:c>
      <x:c r="W65" s="6" t="n">
        <x:v>0</x:v>
      </x:c>
      <x:c r="X65" s="6" t="n">
        <x:v>0</x:v>
      </x:c>
      <x:c r="Y65" s="6" t="n">
        <x:v>0</x:v>
      </x:c>
      <x:c r="Z65" s="6" t="n">
        <x:v>0</x:v>
      </x:c>
      <x:c r="AA65" s="6" t="n">
        <x:v>3</x:v>
      </x:c>
      <x:c r="AB65" s="6" t="n">
        <x:v>11</x:v>
      </x:c>
      <x:c r="AC65" s="6" t="n">
        <x:v>0</x:v>
      </x:c>
    </x:row>
    <x:row r="66">
      <x:c r="A66" s="6" t="n">
        <x:v>4137</x:v>
      </x:c>
      <x:c r="B66" s="6" t="n">
        <x:v>1948</x:v>
      </x:c>
      <x:c r="C66" s="6" t="str">
        <x:v>Graduation</x:v>
      </x:c>
      <x:c r="D66" s="6" t="str">
        <x:v>Together</x:v>
      </x:c>
      <x:c r="E66" s="6" t="n">
        <x:v>70666</x:v>
      </x:c>
      <x:c r="F66" s="6" t="n">
        <x:v>0</x:v>
      </x:c>
      <x:c r="G66" s="6" t="n">
        <x:v>0</x:v>
      </x:c>
      <x:c r="H66" s="9" t="str">
        <x:v>06-12-2013</x:v>
      </x:c>
      <x:c r="I66" s="6" t="n">
        <x:v>29</x:v>
      </x:c>
      <x:c r="J66" s="6" t="n">
        <x:v>398</x:v>
      </x:c>
      <x:c r="K66" s="6" t="n">
        <x:v>40</x:v>
      </x:c>
      <x:c r="L66" s="6" t="n">
        <x:v>367</x:v>
      </x:c>
      <x:c r="M66" s="6" t="n">
        <x:v>119</x:v>
      </x:c>
      <x:c r="N66" s="6" t="n">
        <x:v>122</x:v>
      </x:c>
      <x:c r="O66" s="6" t="n">
        <x:v>30</x:v>
      </x:c>
      <x:c r="P66" s="6" t="n">
        <x:v>1</x:v>
      </x:c>
      <x:c r="Q66" s="6" t="n">
        <x:v>7</x:v>
      </x:c>
      <x:c r="R66" s="6" t="n">
        <x:v>4</x:v>
      </x:c>
      <x:c r="S66" s="6" t="n">
        <x:v>4</x:v>
      </x:c>
      <x:c r="T66" s="6" t="n">
        <x:v>4</x:v>
      </x:c>
      <x:c r="U66" s="6" t="n">
        <x:v>0</x:v>
      </x:c>
      <x:c r="V66" s="6" t="n">
        <x:v>0</x:v>
      </x:c>
      <x:c r="W66" s="6" t="n">
        <x:v>0</x:v>
      </x:c>
      <x:c r="X66" s="6" t="n">
        <x:v>0</x:v>
      </x:c>
      <x:c r="Y66" s="6" t="n">
        <x:v>0</x:v>
      </x:c>
      <x:c r="Z66" s="6" t="n">
        <x:v>0</x:v>
      </x:c>
      <x:c r="AA66" s="6" t="n">
        <x:v>3</x:v>
      </x:c>
      <x:c r="AB66" s="6" t="n">
        <x:v>11</x:v>
      </x:c>
      <x:c r="AC66" s="6" t="n">
        <x:v>0</x:v>
      </x:c>
    </x:row>
    <x:row r="67">
      <x:c r="A67" s="6" t="n">
        <x:v>8082</x:v>
      </x:c>
      <x:c r="B67" s="6" t="n">
        <x:v>1971</x:v>
      </x:c>
      <x:c r="C67" s="6" t="str">
        <x:v>Graduation</x:v>
      </x:c>
      <x:c r="D67" s="6" t="str">
        <x:v>Married</x:v>
      </x:c>
      <x:c r="E67" s="6" t="n">
        <x:v>25721</x:v>
      </x:c>
      <x:c r="F67" s="6" t="n">
        <x:v>1</x:v>
      </x:c>
      <x:c r="G67" s="6" t="n">
        <x:v>0</x:v>
      </x:c>
      <x:c r="H67" s="9" t="str">
        <x:v>21-05-2013</x:v>
      </x:c>
      <x:c r="I67" s="6" t="n">
        <x:v>75</x:v>
      </x:c>
      <x:c r="J67" s="6" t="n">
        <x:v>1</x:v>
      </x:c>
      <x:c r="K67" s="6" t="n">
        <x:v>3</x:v>
      </x:c>
      <x:c r="L67" s="6" t="n">
        <x:v>6</x:v>
      </x:c>
      <x:c r="M67" s="6" t="n">
        <x:v>3</x:v>
      </x:c>
      <x:c r="N67" s="6" t="n">
        <x:v>6</x:v>
      </x:c>
      <x:c r="O67" s="6" t="n">
        <x:v>15</x:v>
      </x:c>
      <x:c r="P67" s="6" t="n">
        <x:v>1</x:v>
      </x:c>
      <x:c r="Q67" s="6" t="n">
        <x:v>1</x:v>
      </x:c>
      <x:c r="R67" s="6" t="n">
        <x:v>1</x:v>
      </x:c>
      <x:c r="S67" s="6" t="n">
        <x:v>2</x:v>
      </x:c>
      <x:c r="T67" s="6" t="n">
        <x:v>7</x:v>
      </x:c>
      <x:c r="U67" s="6" t="n">
        <x:v>0</x:v>
      </x:c>
      <x:c r="V67" s="6" t="n">
        <x:v>0</x:v>
      </x:c>
      <x:c r="W67" s="6" t="n">
        <x:v>0</x:v>
      </x:c>
      <x:c r="X67" s="6" t="n">
        <x:v>0</x:v>
      </x:c>
      <x:c r="Y67" s="6" t="n">
        <x:v>0</x:v>
      </x:c>
      <x:c r="Z67" s="6" t="n">
        <x:v>0</x:v>
      </x:c>
      <x:c r="AA67" s="6" t="n">
        <x:v>3</x:v>
      </x:c>
      <x:c r="AB67" s="6" t="n">
        <x:v>11</x:v>
      </x:c>
      <x:c r="AC67" s="6" t="n">
        <x:v>1</x:v>
      </x:c>
    </x:row>
    <x:row r="68">
      <x:c r="A68" s="6" t="n">
        <x:v>1386</x:v>
      </x:c>
      <x:c r="B68" s="6" t="n">
        <x:v>1967</x:v>
      </x:c>
      <x:c r="C68" s="6" t="str">
        <x:v>Graduation</x:v>
      </x:c>
      <x:c r="D68" s="6" t="str">
        <x:v>Together</x:v>
      </x:c>
      <x:c r="E68" s="6" t="n">
        <x:v>32474</x:v>
      </x:c>
      <x:c r="F68" s="6" t="n">
        <x:v>1</x:v>
      </x:c>
      <x:c r="G68" s="6" t="n">
        <x:v>1</x:v>
      </x:c>
      <x:c r="H68" s="9" t="str">
        <x:v>11-05-2014</x:v>
      </x:c>
      <x:c r="I68" s="6" t="n">
        <x:v>0</x:v>
      </x:c>
      <x:c r="J68" s="6" t="n">
        <x:v>10</x:v>
      </x:c>
      <x:c r="K68" s="6" t="n">
        <x:v>0</x:v>
      </x:c>
      <x:c r="L68" s="6" t="n">
        <x:v>1</x:v>
      </x:c>
      <x:c r="M68" s="6" t="n">
        <x:v>0</x:v>
      </x:c>
      <x:c r="N68" s="6" t="n">
        <x:v>0</x:v>
      </x:c>
      <x:c r="O68" s="6" t="n">
        <x:v>0</x:v>
      </x:c>
      <x:c r="P68" s="6" t="n">
        <x:v>1</x:v>
      </x:c>
      <x:c r="Q68" s="6" t="n">
        <x:v>1</x:v>
      </x:c>
      <x:c r="R68" s="6" t="n">
        <x:v>0</x:v>
      </x:c>
      <x:c r="S68" s="6" t="n">
        <x:v>2</x:v>
      </x:c>
      <x:c r="T68" s="6" t="n">
        <x:v>7</x:v>
      </x:c>
      <x:c r="U68" s="6" t="n">
        <x:v>0</x:v>
      </x:c>
      <x:c r="V68" s="6" t="n">
        <x:v>0</x:v>
      </x:c>
      <x:c r="W68" s="6" t="n">
        <x:v>0</x:v>
      </x:c>
      <x:c r="X68" s="6" t="n">
        <x:v>0</x:v>
      </x:c>
      <x:c r="Y68" s="6" t="n">
        <x:v>0</x:v>
      </x:c>
      <x:c r="Z68" s="6" t="n">
        <x:v>0</x:v>
      </x:c>
      <x:c r="AA68" s="6" t="n">
        <x:v>3</x:v>
      </x:c>
      <x:c r="AB68" s="6" t="n">
        <x:v>11</x:v>
      </x:c>
      <x:c r="AC68" s="6" t="n">
        <x:v>0</x:v>
      </x:c>
    </x:row>
    <x:row r="69">
      <x:c r="A69" s="6" t="n">
        <x:v>9369</x:v>
      </x:c>
      <x:c r="B69" s="6" t="n">
        <x:v>1979</x:v>
      </x:c>
      <x:c r="C69" s="6" t="str">
        <x:v>2n Cycle</x:v>
      </x:c>
      <x:c r="D69" s="6" t="str">
        <x:v>Single</x:v>
      </x:c>
      <x:c r="E69" s="6" t="n">
        <x:v>88194</x:v>
      </x:c>
      <x:c r="F69" s="6" t="n">
        <x:v>0</x:v>
      </x:c>
      <x:c r="G69" s="6" t="n">
        <x:v>1</x:v>
      </x:c>
      <x:c r="H69" s="9" t="str">
        <x:v>19-03-2014</x:v>
      </x:c>
      <x:c r="I69" s="6" t="n">
        <x:v>19</x:v>
      </x:c>
      <x:c r="J69" s="6" t="n">
        <x:v>688</x:v>
      </x:c>
      <x:c r="K69" s="6" t="n">
        <x:v>14</x:v>
      </x:c>
      <x:c r="L69" s="6" t="n">
        <x:v>309</x:v>
      </x:c>
      <x:c r="M69" s="6" t="n">
        <x:v>201</x:v>
      </x:c>
      <x:c r="N69" s="6" t="n">
        <x:v>24</x:v>
      </x:c>
      <x:c r="O69" s="6" t="n">
        <x:v>38</x:v>
      </x:c>
      <x:c r="P69" s="6" t="n">
        <x:v>1</x:v>
      </x:c>
      <x:c r="Q69" s="6" t="n">
        <x:v>11</x:v>
      </x:c>
      <x:c r="R69" s="6" t="n">
        <x:v>10</x:v>
      </x:c>
      <x:c r="S69" s="6" t="n">
        <x:v>10</x:v>
      </x:c>
      <x:c r="T69" s="6" t="n">
        <x:v>5</x:v>
      </x:c>
      <x:c r="U69" s="6" t="n">
        <x:v>1</x:v>
      </x:c>
      <x:c r="V69" s="6" t="n">
        <x:v>0</x:v>
      </x:c>
      <x:c r="W69" s="6" t="n">
        <x:v>0</x:v>
      </x:c>
      <x:c r="X69" s="6" t="n">
        <x:v>1</x:v>
      </x:c>
      <x:c r="Y69" s="6" t="n">
        <x:v>0</x:v>
      </x:c>
      <x:c r="Z69" s="6" t="n">
        <x:v>0</x:v>
      </x:c>
      <x:c r="AA69" s="6" t="n">
        <x:v>3</x:v>
      </x:c>
      <x:c r="AB69" s="6" t="n">
        <x:v>11</x:v>
      </x:c>
      <x:c r="AC69" s="6" t="n">
        <x:v>1</x:v>
      </x:c>
    </x:row>
    <x:row r="70">
      <x:c r="A70" s="6" t="n">
        <x:v>4477</x:v>
      </x:c>
      <x:c r="B70" s="6" t="n">
        <x:v>1958</x:v>
      </x:c>
      <x:c r="C70" s="6" t="str">
        <x:v>Graduation</x:v>
      </x:c>
      <x:c r="D70" s="6" t="str">
        <x:v>Together</x:v>
      </x:c>
      <x:c r="E70" s="6" t="n">
        <x:v>69096</x:v>
      </x:c>
      <x:c r="F70" s="6" t="n">
        <x:v>0</x:v>
      </x:c>
      <x:c r="G70" s="6" t="n">
        <x:v>1</x:v>
      </x:c>
      <x:c r="H70" s="9" t="str">
        <x:v>27-09-2013</x:v>
      </x:c>
      <x:c r="I70" s="6" t="n">
        <x:v>4</x:v>
      </x:c>
      <x:c r="J70" s="6" t="n">
        <x:v>247</x:v>
      </x:c>
      <x:c r="K70" s="6" t="n">
        <x:v>49</x:v>
      </x:c>
      <x:c r="L70" s="6" t="n">
        <x:v>159</x:v>
      </x:c>
      <x:c r="M70" s="6" t="n">
        <x:v>7</x:v>
      </x:c>
      <x:c r="N70" s="6" t="n">
        <x:v>82</x:v>
      </x:c>
      <x:c r="O70" s="6" t="n">
        <x:v>109</x:v>
      </x:c>
      <x:c r="P70" s="6" t="n">
        <x:v>1</x:v>
      </x:c>
      <x:c r="Q70" s="6" t="n">
        <x:v>5</x:v>
      </x:c>
      <x:c r="R70" s="6" t="n">
        <x:v>2</x:v>
      </x:c>
      <x:c r="S70" s="6" t="n">
        <x:v>10</x:v>
      </x:c>
      <x:c r="T70" s="6" t="n">
        <x:v>4</x:v>
      </x:c>
      <x:c r="U70" s="6" t="n">
        <x:v>0</x:v>
      </x:c>
      <x:c r="V70" s="6" t="n">
        <x:v>0</x:v>
      </x:c>
      <x:c r="W70" s="6" t="n">
        <x:v>0</x:v>
      </x:c>
      <x:c r="X70" s="6" t="n">
        <x:v>0</x:v>
      </x:c>
      <x:c r="Y70" s="6" t="n">
        <x:v>0</x:v>
      </x:c>
      <x:c r="Z70" s="6" t="n">
        <x:v>0</x:v>
      </x:c>
      <x:c r="AA70" s="6" t="n">
        <x:v>3</x:v>
      </x:c>
      <x:c r="AB70" s="6" t="n">
        <x:v>11</x:v>
      </x:c>
      <x:c r="AC70" s="6" t="n">
        <x:v>0</x:v>
      </x:c>
    </x:row>
    <x:row r="71">
      <x:c r="A71" s="6" t="n">
        <x:v>1357</x:v>
      </x:c>
      <x:c r="B71" s="6" t="n">
        <x:v>1970</x:v>
      </x:c>
      <x:c r="C71" s="6" t="str">
        <x:v>Graduation</x:v>
      </x:c>
      <x:c r="D71" s="6" t="str">
        <x:v>Together</x:v>
      </x:c>
      <x:c r="E71" s="6" t="n">
        <x:v>74854</x:v>
      </x:c>
      <x:c r="F71" s="6" t="n">
        <x:v>1</x:v>
      </x:c>
      <x:c r="G71" s="6" t="n">
        <x:v>2</x:v>
      </x:c>
      <x:c r="H71" s="9" t="str">
        <x:v>08-04-2013</x:v>
      </x:c>
      <x:c r="I71" s="6" t="n">
        <x:v>90</x:v>
      </x:c>
      <x:c r="J71" s="6" t="n">
        <x:v>856</x:v>
      </x:c>
      <x:c r="K71" s="6" t="n">
        <x:v>59</x:v>
      </x:c>
      <x:c r="L71" s="6" t="n">
        <x:v>487</x:v>
      </x:c>
      <x:c r="M71" s="6" t="n">
        <x:v>58</x:v>
      </x:c>
      <x:c r="N71" s="6" t="n">
        <x:v>29</x:v>
      </x:c>
      <x:c r="O71" s="6" t="n">
        <x:v>73</x:v>
      </x:c>
      <x:c r="P71" s="6" t="n">
        <x:v>7</x:v>
      </x:c>
      <x:c r="Q71" s="6" t="n">
        <x:v>2</x:v>
      </x:c>
      <x:c r="R71" s="6" t="n">
        <x:v>5</x:v>
      </x:c>
      <x:c r="S71" s="6" t="n">
        <x:v>5</x:v>
      </x:c>
      <x:c r="T71" s="6" t="n">
        <x:v>5</x:v>
      </x:c>
      <x:c r="U71" s="6" t="n">
        <x:v>0</x:v>
      </x:c>
      <x:c r="V71" s="6" t="n">
        <x:v>0</x:v>
      </x:c>
      <x:c r="W71" s="6" t="n">
        <x:v>0</x:v>
      </x:c>
      <x:c r="X71" s="6" t="n">
        <x:v>0</x:v>
      </x:c>
      <x:c r="Y71" s="6" t="n">
        <x:v>0</x:v>
      </x:c>
      <x:c r="Z71" s="6" t="n">
        <x:v>0</x:v>
      </x:c>
      <x:c r="AA71" s="6" t="n">
        <x:v>3</x:v>
      </x:c>
      <x:c r="AB71" s="6" t="n">
        <x:v>11</x:v>
      </x:c>
      <x:c r="AC71" s="6" t="n">
        <x:v>0</x:v>
      </x:c>
    </x:row>
    <x:row r="72">
      <x:c r="A72" s="6" t="n">
        <x:v>1402</x:v>
      </x:c>
      <x:c r="B72" s="6" t="n">
        <x:v>1954</x:v>
      </x:c>
      <x:c r="C72" s="6" t="str">
        <x:v>Master</x:v>
      </x:c>
      <x:c r="D72" s="6" t="str">
        <x:v>Married</x:v>
      </x:c>
      <x:c r="E72" s="6" t="n">
        <x:v>66991</x:v>
      </x:c>
      <x:c r="F72" s="6" t="n">
        <x:v>0</x:v>
      </x:c>
      <x:c r="G72" s="6" t="n">
        <x:v>0</x:v>
      </x:c>
      <x:c r="H72" s="9" t="str">
        <x:v>11-09-2012</x:v>
      </x:c>
      <x:c r="I72" s="6" t="n">
        <x:v>1</x:v>
      </x:c>
      <x:c r="J72" s="6" t="n">
        <x:v>496</x:v>
      </x:c>
      <x:c r="K72" s="6" t="n">
        <x:v>36</x:v>
      </x:c>
      <x:c r="L72" s="6" t="n">
        <x:v>460</x:v>
      </x:c>
      <x:c r="M72" s="6" t="n">
        <x:v>189</x:v>
      </x:c>
      <x:c r="N72" s="6" t="n">
        <x:v>60</x:v>
      </x:c>
      <x:c r="O72" s="6" t="n">
        <x:v>12</x:v>
      </x:c>
      <x:c r="P72" s="6" t="n">
        <x:v>3</x:v>
      </x:c>
      <x:c r="Q72" s="6" t="n">
        <x:v>4</x:v>
      </x:c>
      <x:c r="R72" s="6" t="n">
        <x:v>8</x:v>
      </x:c>
      <x:c r="S72" s="6" t="n">
        <x:v>6</x:v>
      </x:c>
      <x:c r="T72" s="6" t="n">
        <x:v>3</x:v>
      </x:c>
      <x:c r="U72" s="6" t="n">
        <x:v>0</x:v>
      </x:c>
      <x:c r="V72" s="6" t="n">
        <x:v>0</x:v>
      </x:c>
      <x:c r="W72" s="6" t="n">
        <x:v>0</x:v>
      </x:c>
      <x:c r="X72" s="6" t="n">
        <x:v>0</x:v>
      </x:c>
      <x:c r="Y72" s="6" t="n">
        <x:v>0</x:v>
      </x:c>
      <x:c r="Z72" s="6" t="n">
        <x:v>0</x:v>
      </x:c>
      <x:c r="AA72" s="6" t="n">
        <x:v>3</x:v>
      </x:c>
      <x:c r="AB72" s="6" t="n">
        <x:v>11</x:v>
      </x:c>
      <x:c r="AC72" s="6" t="n">
        <x:v>0</x:v>
      </x:c>
    </x:row>
    <x:row r="73">
      <x:c r="A73" s="6" t="n">
        <x:v>10629</x:v>
      </x:c>
      <x:c r="B73" s="6" t="n">
        <x:v>1973</x:v>
      </x:c>
      <x:c r="C73" s="6" t="str">
        <x:v>2n Cycle</x:v>
      </x:c>
      <x:c r="D73" s="6" t="str">
        <x:v>Married</x:v>
      </x:c>
      <x:c r="E73" s="6"/>
      <x:c r="F73" s="6" t="n">
        <x:v>1</x:v>
      </x:c>
      <x:c r="G73" s="6" t="n">
        <x:v>0</x:v>
      </x:c>
      <x:c r="H73" s="9" t="str">
        <x:v>14-09-2012</x:v>
      </x:c>
      <x:c r="I73" s="6" t="n">
        <x:v>25</x:v>
      </x:c>
      <x:c r="J73" s="6" t="n">
        <x:v>25</x:v>
      </x:c>
      <x:c r="K73" s="6" t="n">
        <x:v>3</x:v>
      </x:c>
      <x:c r="L73" s="6" t="n">
        <x:v>43</x:v>
      </x:c>
      <x:c r="M73" s="6" t="n">
        <x:v>17</x:v>
      </x:c>
      <x:c r="N73" s="6" t="n">
        <x:v>4</x:v>
      </x:c>
      <x:c r="O73" s="6" t="n">
        <x:v>17</x:v>
      </x:c>
      <x:c r="P73" s="6" t="n">
        <x:v>3</x:v>
      </x:c>
      <x:c r="Q73" s="6" t="n">
        <x:v>3</x:v>
      </x:c>
      <x:c r="R73" s="6" t="n">
        <x:v>0</x:v>
      </x:c>
      <x:c r="S73" s="6" t="n">
        <x:v>3</x:v>
      </x:c>
      <x:c r="T73" s="6" t="n">
        <x:v>8</x:v>
      </x:c>
      <x:c r="U73" s="6" t="n">
        <x:v>0</x:v>
      </x:c>
      <x:c r="V73" s="6" t="n">
        <x:v>0</x:v>
      </x:c>
      <x:c r="W73" s="6" t="n">
        <x:v>0</x:v>
      </x:c>
      <x:c r="X73" s="6" t="n">
        <x:v>0</x:v>
      </x:c>
      <x:c r="Y73" s="6" t="n">
        <x:v>0</x:v>
      </x:c>
      <x:c r="Z73" s="6" t="n">
        <x:v>0</x:v>
      </x:c>
      <x:c r="AA73" s="6" t="n">
        <x:v>3</x:v>
      </x:c>
      <x:c r="AB73" s="6" t="n">
        <x:v>11</x:v>
      </x:c>
      <x:c r="AC73" s="6" t="n">
        <x:v>0</x:v>
      </x:c>
    </x:row>
    <x:row r="74">
      <x:c r="A74" s="6" t="n">
        <x:v>6312</x:v>
      </x:c>
      <x:c r="B74" s="6" t="n">
        <x:v>1959</x:v>
      </x:c>
      <x:c r="C74" s="6" t="str">
        <x:v>Graduation</x:v>
      </x:c>
      <x:c r="D74" s="6" t="str">
        <x:v>Married</x:v>
      </x:c>
      <x:c r="E74" s="6" t="n">
        <x:v>65031</x:v>
      </x:c>
      <x:c r="F74" s="6" t="n">
        <x:v>0</x:v>
      </x:c>
      <x:c r="G74" s="6" t="n">
        <x:v>1</x:v>
      </x:c>
      <x:c r="H74" s="9" t="str">
        <x:v>17-03-2013</x:v>
      </x:c>
      <x:c r="I74" s="6" t="n">
        <x:v>29</x:v>
      </x:c>
      <x:c r="J74" s="6" t="n">
        <x:v>258</x:v>
      </x:c>
      <x:c r="K74" s="6" t="n">
        <x:v>107</x:v>
      </x:c>
      <x:c r="L74" s="6" t="n">
        <x:v>291</x:v>
      </x:c>
      <x:c r="M74" s="6" t="n">
        <x:v>84</x:v>
      </x:c>
      <x:c r="N74" s="6" t="n">
        <x:v>37</x:v>
      </x:c>
      <x:c r="O74" s="6" t="n">
        <x:v>86</x:v>
      </x:c>
      <x:c r="P74" s="6" t="n">
        <x:v>4</x:v>
      </x:c>
      <x:c r="Q74" s="6" t="n">
        <x:v>10</x:v>
      </x:c>
      <x:c r="R74" s="6" t="n">
        <x:v>3</x:v>
      </x:c>
      <x:c r="S74" s="6" t="n">
        <x:v>13</x:v>
      </x:c>
      <x:c r="T74" s="6" t="n">
        <x:v>7</x:v>
      </x:c>
      <x:c r="U74" s="6" t="n">
        <x:v>0</x:v>
      </x:c>
      <x:c r="V74" s="6" t="n">
        <x:v>0</x:v>
      </x:c>
      <x:c r="W74" s="6" t="n">
        <x:v>0</x:v>
      </x:c>
      <x:c r="X74" s="6" t="n">
        <x:v>0</x:v>
      </x:c>
      <x:c r="Y74" s="6" t="n">
        <x:v>0</x:v>
      </x:c>
      <x:c r="Z74" s="6" t="n">
        <x:v>0</x:v>
      </x:c>
      <x:c r="AA74" s="6" t="n">
        <x:v>3</x:v>
      </x:c>
      <x:c r="AB74" s="6" t="n">
        <x:v>11</x:v>
      </x:c>
      <x:c r="AC74" s="6" t="n">
        <x:v>0</x:v>
      </x:c>
    </x:row>
    <x:row r="75">
      <x:c r="A75" s="6" t="n">
        <x:v>8132</x:v>
      </x:c>
      <x:c r="B75" s="6" t="n">
        <x:v>1975</x:v>
      </x:c>
      <x:c r="C75" s="6" t="str">
        <x:v>PhD</x:v>
      </x:c>
      <x:c r="D75" s="6" t="str">
        <x:v>Married</x:v>
      </x:c>
      <x:c r="E75" s="6" t="n">
        <x:v>60631</x:v>
      </x:c>
      <x:c r="F75" s="6" t="n">
        <x:v>1</x:v>
      </x:c>
      <x:c r="G75" s="6" t="n">
        <x:v>1</x:v>
      </x:c>
      <x:c r="H75" s="9" t="str">
        <x:v>05-04-2013</x:v>
      </x:c>
      <x:c r="I75" s="6" t="n">
        <x:v>88</x:v>
      </x:c>
      <x:c r="J75" s="6" t="n">
        <x:v>565</x:v>
      </x:c>
      <x:c r="K75" s="6" t="n">
        <x:v>6</x:v>
      </x:c>
      <x:c r="L75" s="6" t="n">
        <x:v>65</x:v>
      </x:c>
      <x:c r="M75" s="6" t="n">
        <x:v>0</x:v>
      </x:c>
      <x:c r="N75" s="6" t="n">
        <x:v>6</x:v>
      </x:c>
      <x:c r="O75" s="6" t="n">
        <x:v>19</x:v>
      </x:c>
      <x:c r="P75" s="6" t="n">
        <x:v>5</x:v>
      </x:c>
      <x:c r="Q75" s="6" t="n">
        <x:v>9</x:v>
      </x:c>
      <x:c r="R75" s="6" t="n">
        <x:v>2</x:v>
      </x:c>
      <x:c r="S75" s="6" t="n">
        <x:v>8</x:v>
      </x:c>
      <x:c r="T75" s="6" t="n">
        <x:v>7</x:v>
      </x:c>
      <x:c r="U75" s="6" t="n">
        <x:v>0</x:v>
      </x:c>
      <x:c r="V75" s="6" t="n">
        <x:v>1</x:v>
      </x:c>
      <x:c r="W75" s="6" t="n">
        <x:v>0</x:v>
      </x:c>
      <x:c r="X75" s="6" t="n">
        <x:v>0</x:v>
      </x:c>
      <x:c r="Y75" s="6" t="n">
        <x:v>0</x:v>
      </x:c>
      <x:c r="Z75" s="6" t="n">
        <x:v>0</x:v>
      </x:c>
      <x:c r="AA75" s="6" t="n">
        <x:v>3</x:v>
      </x:c>
      <x:c r="AB75" s="6" t="n">
        <x:v>11</x:v>
      </x:c>
      <x:c r="AC75" s="6" t="n">
        <x:v>0</x:v>
      </x:c>
    </x:row>
    <x:row r="76">
      <x:c r="A76" s="6" t="n">
        <x:v>1050</x:v>
      </x:c>
      <x:c r="B76" s="6" t="n">
        <x:v>1952</x:v>
      </x:c>
      <x:c r="C76" s="6" t="str">
        <x:v>Graduation</x:v>
      </x:c>
      <x:c r="D76" s="6" t="str">
        <x:v>Married</x:v>
      </x:c>
      <x:c r="E76" s="6" t="n">
        <x:v>28332</x:v>
      </x:c>
      <x:c r="F76" s="6" t="n">
        <x:v>0</x:v>
      </x:c>
      <x:c r="G76" s="6" t="n">
        <x:v>0</x:v>
      </x:c>
      <x:c r="H76" s="9" t="str">
        <x:v>30-04-2014</x:v>
      </x:c>
      <x:c r="I76" s="6" t="n">
        <x:v>58</x:v>
      </x:c>
      <x:c r="J76" s="6" t="n">
        <x:v>14</x:v>
      </x:c>
      <x:c r="K76" s="6" t="n">
        <x:v>10</x:v>
      </x:c>
      <x:c r="L76" s="6" t="n">
        <x:v>13</x:v>
      </x:c>
      <x:c r="M76" s="6" t="n">
        <x:v>4</x:v>
      </x:c>
      <x:c r="N76" s="6" t="n">
        <x:v>15</x:v>
      </x:c>
      <x:c r="O76" s="6" t="n">
        <x:v>9</x:v>
      </x:c>
      <x:c r="P76" s="6" t="n">
        <x:v>1</x:v>
      </x:c>
      <x:c r="Q76" s="6" t="n">
        <x:v>2</x:v>
      </x:c>
      <x:c r="R76" s="6" t="n">
        <x:v>1</x:v>
      </x:c>
      <x:c r="S76" s="6" t="n">
        <x:v>4</x:v>
      </x:c>
      <x:c r="T76" s="6" t="n">
        <x:v>2</x:v>
      </x:c>
      <x:c r="U76" s="6" t="n">
        <x:v>0</x:v>
      </x:c>
      <x:c r="V76" s="6" t="n">
        <x:v>0</x:v>
      </x:c>
      <x:c r="W76" s="6" t="n">
        <x:v>0</x:v>
      </x:c>
      <x:c r="X76" s="6" t="n">
        <x:v>0</x:v>
      </x:c>
      <x:c r="Y76" s="6" t="n">
        <x:v>0</x:v>
      </x:c>
      <x:c r="Z76" s="6" t="n">
        <x:v>0</x:v>
      </x:c>
      <x:c r="AA76" s="6" t="n">
        <x:v>3</x:v>
      </x:c>
      <x:c r="AB76" s="6" t="n">
        <x:v>11</x:v>
      </x:c>
      <x:c r="AC76" s="6" t="n">
        <x:v>0</x:v>
      </x:c>
    </x:row>
    <x:row r="77">
      <x:c r="A77" s="6" t="n">
        <x:v>5846</x:v>
      </x:c>
      <x:c r="B77" s="6" t="n">
        <x:v>1977</x:v>
      </x:c>
      <x:c r="C77" s="6" t="str">
        <x:v>Graduation</x:v>
      </x:c>
      <x:c r="D77" s="6" t="str">
        <x:v>Divorced</x:v>
      </x:c>
      <x:c r="E77" s="6" t="n">
        <x:v>40246</x:v>
      </x:c>
      <x:c r="F77" s="6" t="n">
        <x:v>1</x:v>
      </x:c>
      <x:c r="G77" s="6" t="n">
        <x:v>0</x:v>
      </x:c>
      <x:c r="H77" s="9" t="str">
        <x:v>19-12-2012</x:v>
      </x:c>
      <x:c r="I77" s="6" t="n">
        <x:v>68</x:v>
      </x:c>
      <x:c r="J77" s="6" t="n">
        <x:v>2</x:v>
      </x:c>
      <x:c r="K77" s="6" t="n">
        <x:v>1</x:v>
      </x:c>
      <x:c r="L77" s="6" t="n">
        <x:v>6</x:v>
      </x:c>
      <x:c r="M77" s="6" t="n">
        <x:v>2</x:v>
      </x:c>
      <x:c r="N77" s="6" t="n">
        <x:v>1</x:v>
      </x:c>
      <x:c r="O77" s="6" t="n">
        <x:v>1</x:v>
      </x:c>
      <x:c r="P77" s="6" t="n">
        <x:v>1</x:v>
      </x:c>
      <x:c r="Q77" s="6" t="n">
        <x:v>1</x:v>
      </x:c>
      <x:c r="R77" s="6" t="n">
        <x:v>0</x:v>
      </x:c>
      <x:c r="S77" s="6" t="n">
        <x:v>2</x:v>
      </x:c>
      <x:c r="T77" s="6" t="n">
        <x:v>6</x:v>
      </x:c>
      <x:c r="U77" s="6" t="n">
        <x:v>0</x:v>
      </x:c>
      <x:c r="V77" s="6" t="n">
        <x:v>0</x:v>
      </x:c>
      <x:c r="W77" s="6" t="n">
        <x:v>0</x:v>
      </x:c>
      <x:c r="X77" s="6" t="n">
        <x:v>0</x:v>
      </x:c>
      <x:c r="Y77" s="6" t="n">
        <x:v>0</x:v>
      </x:c>
      <x:c r="Z77" s="6" t="n">
        <x:v>0</x:v>
      </x:c>
      <x:c r="AA77" s="6" t="n">
        <x:v>3</x:v>
      </x:c>
      <x:c r="AB77" s="6" t="n">
        <x:v>11</x:v>
      </x:c>
      <x:c r="AC77" s="6" t="n">
        <x:v>0</x:v>
      </x:c>
    </x:row>
    <x:row r="78">
      <x:c r="A78" s="6" t="n">
        <x:v>1859</x:v>
      </x:c>
      <x:c r="B78" s="6" t="n">
        <x:v>1972</x:v>
      </x:c>
      <x:c r="C78" s="6" t="str">
        <x:v>Master</x:v>
      </x:c>
      <x:c r="D78" s="6" t="str">
        <x:v>Married</x:v>
      </x:c>
      <x:c r="E78" s="6" t="n">
        <x:v>75251</x:v>
      </x:c>
      <x:c r="F78" s="6" t="n">
        <x:v>0</x:v>
      </x:c>
      <x:c r="G78" s="6" t="n">
        <x:v>0</x:v>
      </x:c>
      <x:c r="H78" s="9" t="str">
        <x:v>27-08-2012</x:v>
      </x:c>
      <x:c r="I78" s="6" t="n">
        <x:v>34</x:v>
      </x:c>
      <x:c r="J78" s="6" t="n">
        <x:v>721</x:v>
      </x:c>
      <x:c r="K78" s="6" t="n">
        <x:v>111</x:v>
      </x:c>
      <x:c r="L78" s="6" t="n">
        <x:v>925</x:v>
      </x:c>
      <x:c r="M78" s="6" t="n">
        <x:v>97</x:v>
      </x:c>
      <x:c r="N78" s="6" t="n">
        <x:v>18</x:v>
      </x:c>
      <x:c r="O78" s="6" t="n">
        <x:v>18</x:v>
      </x:c>
      <x:c r="P78" s="6" t="n">
        <x:v>1</x:v>
      </x:c>
      <x:c r="Q78" s="6" t="n">
        <x:v>7</x:v>
      </x:c>
      <x:c r="R78" s="6" t="n">
        <x:v>6</x:v>
      </x:c>
      <x:c r="S78" s="6" t="n">
        <x:v>5</x:v>
      </x:c>
      <x:c r="T78" s="6" t="n">
        <x:v>5</x:v>
      </x:c>
      <x:c r="U78" s="6" t="n">
        <x:v>0</x:v>
      </x:c>
      <x:c r="V78" s="6" t="n">
        <x:v>0</x:v>
      </x:c>
      <x:c r="W78" s="6" t="n">
        <x:v>0</x:v>
      </x:c>
      <x:c r="X78" s="6" t="n">
        <x:v>0</x:v>
      </x:c>
      <x:c r="Y78" s="6" t="n">
        <x:v>0</x:v>
      </x:c>
      <x:c r="Z78" s="6" t="n">
        <x:v>0</x:v>
      </x:c>
      <x:c r="AA78" s="6" t="n">
        <x:v>3</x:v>
      </x:c>
      <x:c r="AB78" s="6" t="n">
        <x:v>11</x:v>
      </x:c>
      <x:c r="AC78" s="6" t="n">
        <x:v>1</x:v>
      </x:c>
    </x:row>
    <x:row r="79">
      <x:c r="A79" s="6" t="n">
        <x:v>7503</x:v>
      </x:c>
      <x:c r="B79" s="6" t="n">
        <x:v>1976</x:v>
      </x:c>
      <x:c r="C79" s="6" t="str">
        <x:v>Graduation</x:v>
      </x:c>
      <x:c r="D79" s="6" t="str">
        <x:v>Single</x:v>
      </x:c>
      <x:c r="E79" s="6" t="n">
        <x:v>75825</x:v>
      </x:c>
      <x:c r="F79" s="6" t="n">
        <x:v>0</x:v>
      </x:c>
      <x:c r="G79" s="6" t="n">
        <x:v>0</x:v>
      </x:c>
      <x:c r="H79" s="9" t="str">
        <x:v>12-10-2012</x:v>
      </x:c>
      <x:c r="I79" s="6" t="n">
        <x:v>40</x:v>
      </x:c>
      <x:c r="J79" s="6" t="n">
        <x:v>1032</x:v>
      </x:c>
      <x:c r="K79" s="6" t="n">
        <x:v>105</x:v>
      </x:c>
      <x:c r="L79" s="6" t="n">
        <x:v>779</x:v>
      </x:c>
      <x:c r="M79" s="6" t="n">
        <x:v>137</x:v>
      </x:c>
      <x:c r="N79" s="6" t="n">
        <x:v>105</x:v>
      </x:c>
      <x:c r="O79" s="6" t="n">
        <x:v>51</x:v>
      </x:c>
      <x:c r="P79" s="6" t="n">
        <x:v>0</x:v>
      </x:c>
      <x:c r="Q79" s="6" t="n">
        <x:v>5</x:v>
      </x:c>
      <x:c r="R79" s="6" t="n">
        <x:v>8</x:v>
      </x:c>
      <x:c r="S79" s="6" t="n">
        <x:v>9</x:v>
      </x:c>
      <x:c r="T79" s="6" t="n">
        <x:v>4</x:v>
      </x:c>
      <x:c r="U79" s="6" t="n">
        <x:v>1</x:v>
      </x:c>
      <x:c r="V79" s="6" t="n">
        <x:v>0</x:v>
      </x:c>
      <x:c r="W79" s="6" t="n">
        <x:v>0</x:v>
      </x:c>
      <x:c r="X79" s="6" t="n">
        <x:v>0</x:v>
      </x:c>
      <x:c r="Y79" s="6" t="n">
        <x:v>0</x:v>
      </x:c>
      <x:c r="Z79" s="6" t="n">
        <x:v>0</x:v>
      </x:c>
      <x:c r="AA79" s="6" t="n">
        <x:v>3</x:v>
      </x:c>
      <x:c r="AB79" s="6" t="n">
        <x:v>11</x:v>
      </x:c>
      <x:c r="AC79" s="6" t="n">
        <x:v>1</x:v>
      </x:c>
    </x:row>
    <x:row r="80">
      <x:c r="A80" s="6" t="n">
        <x:v>10401</x:v>
      </x:c>
      <x:c r="B80" s="6" t="n">
        <x:v>1976</x:v>
      </x:c>
      <x:c r="C80" s="6" t="str">
        <x:v>2n Cycle</x:v>
      </x:c>
      <x:c r="D80" s="6" t="str">
        <x:v>Together</x:v>
      </x:c>
      <x:c r="E80" s="6" t="n">
        <x:v>26326</x:v>
      </x:c>
      <x:c r="F80" s="6" t="n">
        <x:v>0</x:v>
      </x:c>
      <x:c r="G80" s="6" t="n">
        <x:v>0</x:v>
      </x:c>
      <x:c r="H80" s="9" t="str">
        <x:v>04-09-2013</x:v>
      </x:c>
      <x:c r="I80" s="6" t="n">
        <x:v>12</x:v>
      </x:c>
      <x:c r="J80" s="6" t="n">
        <x:v>1</x:v>
      </x:c>
      <x:c r="K80" s="6" t="n">
        <x:v>0</x:v>
      </x:c>
      <x:c r="L80" s="6" t="n">
        <x:v>5</x:v>
      </x:c>
      <x:c r="M80" s="6" t="n">
        <x:v>0</x:v>
      </x:c>
      <x:c r="N80" s="6" t="n">
        <x:v>3</x:v>
      </x:c>
      <x:c r="O80" s="6" t="n">
        <x:v>9</x:v>
      </x:c>
      <x:c r="P80" s="6" t="n">
        <x:v>1</x:v>
      </x:c>
      <x:c r="Q80" s="6" t="n">
        <x:v>0</x:v>
      </x:c>
      <x:c r="R80" s="6" t="n">
        <x:v>0</x:v>
      </x:c>
      <x:c r="S80" s="6" t="n">
        <x:v>3</x:v>
      </x:c>
      <x:c r="T80" s="6" t="n">
        <x:v>3</x:v>
      </x:c>
      <x:c r="U80" s="6" t="n">
        <x:v>0</x:v>
      </x:c>
      <x:c r="V80" s="6" t="n">
        <x:v>0</x:v>
      </x:c>
      <x:c r="W80" s="6" t="n">
        <x:v>0</x:v>
      </x:c>
      <x:c r="X80" s="6" t="n">
        <x:v>0</x:v>
      </x:c>
      <x:c r="Y80" s="6" t="n">
        <x:v>0</x:v>
      </x:c>
      <x:c r="Z80" s="6" t="n">
        <x:v>1</x:v>
      </x:c>
      <x:c r="AA80" s="6" t="n">
        <x:v>3</x:v>
      </x:c>
      <x:c r="AB80" s="6" t="n">
        <x:v>11</x:v>
      </x:c>
      <x:c r="AC80" s="6" t="n">
        <x:v>0</x:v>
      </x:c>
    </x:row>
    <x:row r="81">
      <x:c r="A81" s="6" t="n">
        <x:v>1618</x:v>
      </x:c>
      <x:c r="B81" s="6" t="n">
        <x:v>1965</x:v>
      </x:c>
      <x:c r="C81" s="6" t="str">
        <x:v>Graduation</x:v>
      </x:c>
      <x:c r="D81" s="6" t="str">
        <x:v>Together</x:v>
      </x:c>
      <x:c r="E81" s="6" t="n">
        <x:v>56046</x:v>
      </x:c>
      <x:c r="F81" s="6" t="n">
        <x:v>0</x:v>
      </x:c>
      <x:c r="G81" s="6" t="n">
        <x:v>0</x:v>
      </x:c>
      <x:c r="H81" s="9" t="str">
        <x:v>02-01-2013</x:v>
      </x:c>
      <x:c r="I81" s="6" t="n">
        <x:v>9</x:v>
      </x:c>
      <x:c r="J81" s="6" t="n">
        <x:v>577</x:v>
      </x:c>
      <x:c r="K81" s="6" t="n">
        <x:v>0</x:v>
      </x:c>
      <x:c r="L81" s="6" t="n">
        <x:v>64</x:v>
      </x:c>
      <x:c r="M81" s="6" t="n">
        <x:v>0</x:v>
      </x:c>
      <x:c r="N81" s="6" t="n">
        <x:v>0</x:v>
      </x:c>
      <x:c r="O81" s="6" t="n">
        <x:v>51</x:v>
      </x:c>
      <x:c r="P81" s="6" t="n">
        <x:v>2</x:v>
      </x:c>
      <x:c r="Q81" s="6" t="n">
        <x:v>10</x:v>
      </x:c>
      <x:c r="R81" s="6" t="n">
        <x:v>1</x:v>
      </x:c>
      <x:c r="S81" s="6" t="n">
        <x:v>8</x:v>
      </x:c>
      <x:c r="T81" s="6" t="n">
        <x:v>8</x:v>
      </x:c>
      <x:c r="U81" s="6" t="n">
        <x:v>1</x:v>
      </x:c>
      <x:c r="V81" s="6" t="n">
        <x:v>0</x:v>
      </x:c>
      <x:c r="W81" s="6" t="n">
        <x:v>0</x:v>
      </x:c>
      <x:c r="X81" s="6" t="n">
        <x:v>0</x:v>
      </x:c>
      <x:c r="Y81" s="6" t="n">
        <x:v>0</x:v>
      </x:c>
      <x:c r="Z81" s="6" t="n">
        <x:v>0</x:v>
      </x:c>
      <x:c r="AA81" s="6" t="n">
        <x:v>3</x:v>
      </x:c>
      <x:c r="AB81" s="6" t="n">
        <x:v>11</x:v>
      </x:c>
      <x:c r="AC81" s="6" t="n">
        <x:v>1</x:v>
      </x:c>
    </x:row>
    <x:row r="82">
      <x:c r="A82" s="6" t="n">
        <x:v>3332</x:v>
      </x:c>
      <x:c r="B82" s="6" t="n">
        <x:v>1985</x:v>
      </x:c>
      <x:c r="C82" s="6" t="str">
        <x:v>Graduation</x:v>
      </x:c>
      <x:c r="D82" s="6" t="str">
        <x:v>Single</x:v>
      </x:c>
      <x:c r="E82" s="6" t="n">
        <x:v>29760</x:v>
      </x:c>
      <x:c r="F82" s="6" t="n">
        <x:v>1</x:v>
      </x:c>
      <x:c r="G82" s="6" t="n">
        <x:v>0</x:v>
      </x:c>
      <x:c r="H82" s="9" t="str">
        <x:v>29-08-2012</x:v>
      </x:c>
      <x:c r="I82" s="6" t="n">
        <x:v>87</x:v>
      </x:c>
      <x:c r="J82" s="6" t="n">
        <x:v>64</x:v>
      </x:c>
      <x:c r="K82" s="6" t="n">
        <x:v>4</x:v>
      </x:c>
      <x:c r="L82" s="6" t="n">
        <x:v>68</x:v>
      </x:c>
      <x:c r="M82" s="6" t="n">
        <x:v>7</x:v>
      </x:c>
      <x:c r="N82" s="6" t="n">
        <x:v>5</x:v>
      </x:c>
      <x:c r="O82" s="6" t="n">
        <x:v>17</x:v>
      </x:c>
      <x:c r="P82" s="6" t="n">
        <x:v>4</x:v>
      </x:c>
      <x:c r="Q82" s="6" t="n">
        <x:v>3</x:v>
      </x:c>
      <x:c r="R82" s="6" t="n">
        <x:v>1</x:v>
      </x:c>
      <x:c r="S82" s="6" t="n">
        <x:v>4</x:v>
      </x:c>
      <x:c r="T82" s="6" t="n">
        <x:v>8</x:v>
      </x:c>
      <x:c r="U82" s="6" t="n">
        <x:v>0</x:v>
      </x:c>
      <x:c r="V82" s="6" t="n">
        <x:v>0</x:v>
      </x:c>
      <x:c r="W82" s="6" t="n">
        <x:v>0</x:v>
      </x:c>
      <x:c r="X82" s="6" t="n">
        <x:v>0</x:v>
      </x:c>
      <x:c r="Y82" s="6" t="n">
        <x:v>0</x:v>
      </x:c>
      <x:c r="Z82" s="6" t="n">
        <x:v>0</x:v>
      </x:c>
      <x:c r="AA82" s="6" t="n">
        <x:v>3</x:v>
      </x:c>
      <x:c r="AB82" s="6" t="n">
        <x:v>11</x:v>
      </x:c>
      <x:c r="AC82" s="6" t="n">
        <x:v>0</x:v>
      </x:c>
    </x:row>
    <x:row r="83">
      <x:c r="A83" s="6" t="n">
        <x:v>2261</x:v>
      </x:c>
      <x:c r="B83" s="6" t="n">
        <x:v>1969</x:v>
      </x:c>
      <x:c r="C83" s="6" t="str">
        <x:v>Graduation</x:v>
      </x:c>
      <x:c r="D83" s="6" t="str">
        <x:v>Married</x:v>
      </x:c>
      <x:c r="E83" s="6" t="n">
        <x:v>26304</x:v>
      </x:c>
      <x:c r="F83" s="6" t="n">
        <x:v>1</x:v>
      </x:c>
      <x:c r="G83" s="6" t="n">
        <x:v>0</x:v>
      </x:c>
      <x:c r="H83" s="9" t="str">
        <x:v>23-06-2013</x:v>
      </x:c>
      <x:c r="I83" s="6" t="n">
        <x:v>5</x:v>
      </x:c>
      <x:c r="J83" s="6" t="n">
        <x:v>4</x:v>
      </x:c>
      <x:c r="K83" s="6" t="n">
        <x:v>1</x:v>
      </x:c>
      <x:c r="L83" s="6" t="n">
        <x:v>5</x:v>
      </x:c>
      <x:c r="M83" s="6" t="n">
        <x:v>2</x:v>
      </x:c>
      <x:c r="N83" s="6" t="n">
        <x:v>0</x:v>
      </x:c>
      <x:c r="O83" s="6" t="n">
        <x:v>4</x:v>
      </x:c>
      <x:c r="P83" s="6" t="n">
        <x:v>1</x:v>
      </x:c>
      <x:c r="Q83" s="6" t="n">
        <x:v>1</x:v>
      </x:c>
      <x:c r="R83" s="6" t="n">
        <x:v>0</x:v>
      </x:c>
      <x:c r="S83" s="6" t="n">
        <x:v>2</x:v>
      </x:c>
      <x:c r="T83" s="6" t="n">
        <x:v>7</x:v>
      </x:c>
      <x:c r="U83" s="6" t="n">
        <x:v>0</x:v>
      </x:c>
      <x:c r="V83" s="6" t="n">
        <x:v>0</x:v>
      </x:c>
      <x:c r="W83" s="6" t="n">
        <x:v>0</x:v>
      </x:c>
      <x:c r="X83" s="6" t="n">
        <x:v>0</x:v>
      </x:c>
      <x:c r="Y83" s="6" t="n">
        <x:v>0</x:v>
      </x:c>
      <x:c r="Z83" s="6" t="n">
        <x:v>0</x:v>
      </x:c>
      <x:c r="AA83" s="6" t="n">
        <x:v>3</x:v>
      </x:c>
      <x:c r="AB83" s="6" t="n">
        <x:v>11</x:v>
      </x:c>
      <x:c r="AC83" s="6" t="n">
        <x:v>0</x:v>
      </x:c>
    </x:row>
    <x:row r="84">
      <x:c r="A84" s="6" t="n">
        <x:v>5346</x:v>
      </x:c>
      <x:c r="B84" s="6" t="n">
        <x:v>1973</x:v>
      </x:c>
      <x:c r="C84" s="6" t="str">
        <x:v>2n Cycle</x:v>
      </x:c>
      <x:c r="D84" s="6" t="str">
        <x:v>Married</x:v>
      </x:c>
      <x:c r="E84" s="6" t="n">
        <x:v>23559</x:v>
      </x:c>
      <x:c r="F84" s="6" t="n">
        <x:v>1</x:v>
      </x:c>
      <x:c r="G84" s="6" t="n">
        <x:v>0</x:v>
      </x:c>
      <x:c r="H84" s="9" t="str">
        <x:v>03-07-2013</x:v>
      </x:c>
      <x:c r="I84" s="6" t="n">
        <x:v>87</x:v>
      </x:c>
      <x:c r="J84" s="6" t="n">
        <x:v>25</x:v>
      </x:c>
      <x:c r="K84" s="6" t="n">
        <x:v>5</x:v>
      </x:c>
      <x:c r="L84" s="6" t="n">
        <x:v>19</x:v>
      </x:c>
      <x:c r="M84" s="6" t="n">
        <x:v>7</x:v>
      </x:c>
      <x:c r="N84" s="6" t="n">
        <x:v>0</x:v>
      </x:c>
      <x:c r="O84" s="6" t="n">
        <x:v>23</x:v>
      </x:c>
      <x:c r="P84" s="6" t="n">
        <x:v>3</x:v>
      </x:c>
      <x:c r="Q84" s="6" t="n">
        <x:v>3</x:v>
      </x:c>
      <x:c r="R84" s="6" t="n">
        <x:v>0</x:v>
      </x:c>
      <x:c r="S84" s="6" t="n">
        <x:v>3</x:v>
      </x:c>
      <x:c r="T84" s="6" t="n">
        <x:v>7</x:v>
      </x:c>
      <x:c r="U84" s="6" t="n">
        <x:v>0</x:v>
      </x:c>
      <x:c r="V84" s="6" t="n">
        <x:v>0</x:v>
      </x:c>
      <x:c r="W84" s="6" t="n">
        <x:v>0</x:v>
      </x:c>
      <x:c r="X84" s="6" t="n">
        <x:v>0</x:v>
      </x:c>
      <x:c r="Y84" s="6" t="n">
        <x:v>0</x:v>
      </x:c>
      <x:c r="Z84" s="6" t="n">
        <x:v>0</x:v>
      </x:c>
      <x:c r="AA84" s="6" t="n">
        <x:v>3</x:v>
      </x:c>
      <x:c r="AB84" s="6" t="n">
        <x:v>11</x:v>
      </x:c>
      <x:c r="AC84" s="6" t="n">
        <x:v>0</x:v>
      </x:c>
    </x:row>
    <x:row r="85">
      <x:c r="A85" s="6" t="n">
        <x:v>4119</x:v>
      </x:c>
      <x:c r="B85" s="6" t="n">
        <x:v>1963</x:v>
      </x:c>
      <x:c r="C85" s="6" t="str">
        <x:v>Master</x:v>
      </x:c>
      <x:c r="D85" s="6" t="str">
        <x:v>Together</x:v>
      </x:c>
      <x:c r="E85" s="6" t="n">
        <x:v>38620</x:v>
      </x:c>
      <x:c r="F85" s="6" t="n">
        <x:v>0</x:v>
      </x:c>
      <x:c r="G85" s="6" t="n">
        <x:v>0</x:v>
      </x:c>
      <x:c r="H85" s="9" t="str">
        <x:v>11-05-2013</x:v>
      </x:c>
      <x:c r="I85" s="6" t="n">
        <x:v>56</x:v>
      </x:c>
      <x:c r="J85" s="6" t="n">
        <x:v>112</x:v>
      </x:c>
      <x:c r="K85" s="6" t="n">
        <x:v>17</x:v>
      </x:c>
      <x:c r="L85" s="6" t="n">
        <x:v>44</x:v>
      </x:c>
      <x:c r="M85" s="6" t="n">
        <x:v>34</x:v>
      </x:c>
      <x:c r="N85" s="6" t="n">
        <x:v>22</x:v>
      </x:c>
      <x:c r="O85" s="6" t="n">
        <x:v>89</x:v>
      </x:c>
      <x:c r="P85" s="6" t="n">
        <x:v>1</x:v>
      </x:c>
      <x:c r="Q85" s="6" t="n">
        <x:v>2</x:v>
      </x:c>
      <x:c r="R85" s="6" t="n">
        <x:v>5</x:v>
      </x:c>
      <x:c r="S85" s="6" t="n">
        <x:v>3</x:v>
      </x:c>
      <x:c r="T85" s="6" t="n">
        <x:v>3</x:v>
      </x:c>
      <x:c r="U85" s="6" t="n">
        <x:v>0</x:v>
      </x:c>
      <x:c r="V85" s="6" t="n">
        <x:v>0</x:v>
      </x:c>
      <x:c r="W85" s="6" t="n">
        <x:v>0</x:v>
      </x:c>
      <x:c r="X85" s="6" t="n">
        <x:v>0</x:v>
      </x:c>
      <x:c r="Y85" s="6" t="n">
        <x:v>0</x:v>
      </x:c>
      <x:c r="Z85" s="6" t="n">
        <x:v>0</x:v>
      </x:c>
      <x:c r="AA85" s="6" t="n">
        <x:v>3</x:v>
      </x:c>
      <x:c r="AB85" s="6" t="n">
        <x:v>11</x:v>
      </x:c>
      <x:c r="AC85" s="6" t="n">
        <x:v>0</x:v>
      </x:c>
    </x:row>
    <x:row r="86">
      <x:c r="A86" s="6" t="n">
        <x:v>535</x:v>
      </x:c>
      <x:c r="B86" s="6" t="n">
        <x:v>1987</x:v>
      </x:c>
      <x:c r="C86" s="6" t="str">
        <x:v>Graduation</x:v>
      </x:c>
      <x:c r="D86" s="6" t="str">
        <x:v>Divorced</x:v>
      </x:c>
      <x:c r="E86" s="6" t="n">
        <x:v>81361</x:v>
      </x:c>
      <x:c r="F86" s="6" t="n">
        <x:v>0</x:v>
      </x:c>
      <x:c r="G86" s="6" t="n">
        <x:v>0</x:v>
      </x:c>
      <x:c r="H86" s="9" t="str">
        <x:v>25-02-2014</x:v>
      </x:c>
      <x:c r="I86" s="6" t="n">
        <x:v>18</x:v>
      </x:c>
      <x:c r="J86" s="6" t="n">
        <x:v>163</x:v>
      </x:c>
      <x:c r="K86" s="6" t="n">
        <x:v>23</x:v>
      </x:c>
      <x:c r="L86" s="6" t="n">
        <x:v>424</x:v>
      </x:c>
      <x:c r="M86" s="6" t="n">
        <x:v>27</x:v>
      </x:c>
      <x:c r="N86" s="6" t="n">
        <x:v>65</x:v>
      </x:c>
      <x:c r="O86" s="6" t="n">
        <x:v>76</x:v>
      </x:c>
      <x:c r="P86" s="6" t="n">
        <x:v>1</x:v>
      </x:c>
      <x:c r="Q86" s="6" t="n">
        <x:v>3</x:v>
      </x:c>
      <x:c r="R86" s="6" t="n">
        <x:v>10</x:v>
      </x:c>
      <x:c r="S86" s="6" t="n">
        <x:v>13</x:v>
      </x:c>
      <x:c r="T86" s="6" t="n">
        <x:v>1</x:v>
      </x:c>
      <x:c r="U86" s="6" t="n">
        <x:v>0</x:v>
      </x:c>
      <x:c r="V86" s="6" t="n">
        <x:v>0</x:v>
      </x:c>
      <x:c r="W86" s="6" t="n">
        <x:v>0</x:v>
      </x:c>
      <x:c r="X86" s="6" t="n">
        <x:v>0</x:v>
      </x:c>
      <x:c r="Y86" s="6" t="n">
        <x:v>0</x:v>
      </x:c>
      <x:c r="Z86" s="6" t="n">
        <x:v>0</x:v>
      </x:c>
      <x:c r="AA86" s="6" t="n">
        <x:v>3</x:v>
      </x:c>
      <x:c r="AB86" s="6" t="n">
        <x:v>11</x:v>
      </x:c>
      <x:c r="AC86" s="6" t="n">
        <x:v>0</x:v>
      </x:c>
    </x:row>
    <x:row r="87">
      <x:c r="A87" s="6" t="n">
        <x:v>5268</x:v>
      </x:c>
      <x:c r="B87" s="6" t="n">
        <x:v>1960</x:v>
      </x:c>
      <x:c r="C87" s="6" t="str">
        <x:v>Graduation</x:v>
      </x:c>
      <x:c r="D87" s="6" t="str">
        <x:v>Married</x:v>
      </x:c>
      <x:c r="E87" s="6" t="n">
        <x:v>29440</x:v>
      </x:c>
      <x:c r="F87" s="6" t="n">
        <x:v>1</x:v>
      </x:c>
      <x:c r="G87" s="6" t="n">
        <x:v>1</x:v>
      </x:c>
      <x:c r="H87" s="9" t="str">
        <x:v>11-08-2013</x:v>
      </x:c>
      <x:c r="I87" s="6" t="n">
        <x:v>95</x:v>
      </x:c>
      <x:c r="J87" s="6" t="n">
        <x:v>17</x:v>
      </x:c>
      <x:c r="K87" s="6" t="n">
        <x:v>8</x:v>
      </x:c>
      <x:c r="L87" s="6" t="n">
        <x:v>14</x:v>
      </x:c>
      <x:c r="M87" s="6" t="n">
        <x:v>10</x:v>
      </x:c>
      <x:c r="N87" s="6" t="n">
        <x:v>4</x:v>
      </x:c>
      <x:c r="O87" s="6" t="n">
        <x:v>3</x:v>
      </x:c>
      <x:c r="P87" s="6" t="n">
        <x:v>2</x:v>
      </x:c>
      <x:c r="Q87" s="6" t="n">
        <x:v>1</x:v>
      </x:c>
      <x:c r="R87" s="6" t="n">
        <x:v>0</x:v>
      </x:c>
      <x:c r="S87" s="6" t="n">
        <x:v>4</x:v>
      </x:c>
      <x:c r="T87" s="6" t="n">
        <x:v>7</x:v>
      </x:c>
      <x:c r="U87" s="6" t="n">
        <x:v>0</x:v>
      </x:c>
      <x:c r="V87" s="6" t="n">
        <x:v>0</x:v>
      </x:c>
      <x:c r="W87" s="6" t="n">
        <x:v>0</x:v>
      </x:c>
      <x:c r="X87" s="6" t="n">
        <x:v>0</x:v>
      </x:c>
      <x:c r="Y87" s="6" t="n">
        <x:v>0</x:v>
      </x:c>
      <x:c r="Z87" s="6" t="n">
        <x:v>0</x:v>
      </x:c>
      <x:c r="AA87" s="6" t="n">
        <x:v>3</x:v>
      </x:c>
      <x:c r="AB87" s="6" t="n">
        <x:v>11</x:v>
      </x:c>
      <x:c r="AC87" s="6" t="n">
        <x:v>0</x:v>
      </x:c>
    </x:row>
    <x:row r="88">
      <x:c r="A88" s="6" t="n">
        <x:v>273</x:v>
      </x:c>
      <x:c r="B88" s="6" t="n">
        <x:v>1970</x:v>
      </x:c>
      <x:c r="C88" s="6" t="str">
        <x:v>Master</x:v>
      </x:c>
      <x:c r="D88" s="6" t="str">
        <x:v>Married</x:v>
      </x:c>
      <x:c r="E88" s="6" t="n">
        <x:v>36138</x:v>
      </x:c>
      <x:c r="F88" s="6" t="n">
        <x:v>1</x:v>
      </x:c>
      <x:c r="G88" s="6" t="n">
        <x:v>1</x:v>
      </x:c>
      <x:c r="H88" s="9" t="str">
        <x:v>16-07-2013</x:v>
      </x:c>
      <x:c r="I88" s="6" t="n">
        <x:v>48</x:v>
      </x:c>
      <x:c r="J88" s="6" t="n">
        <x:v>130</x:v>
      </x:c>
      <x:c r="K88" s="6" t="n">
        <x:v>0</x:v>
      </x:c>
      <x:c r="L88" s="6" t="n">
        <x:v>16</x:v>
      </x:c>
      <x:c r="M88" s="6" t="n">
        <x:v>0</x:v>
      </x:c>
      <x:c r="N88" s="6" t="n">
        <x:v>0</x:v>
      </x:c>
      <x:c r="O88" s="6" t="n">
        <x:v>5</x:v>
      </x:c>
      <x:c r="P88" s="6" t="n">
        <x:v>5</x:v>
      </x:c>
      <x:c r="Q88" s="6" t="n">
        <x:v>3</x:v>
      </x:c>
      <x:c r="R88" s="6" t="n">
        <x:v>1</x:v>
      </x:c>
      <x:c r="S88" s="6" t="n">
        <x:v>4</x:v>
      </x:c>
      <x:c r="T88" s="6" t="n">
        <x:v>7</x:v>
      </x:c>
      <x:c r="U88" s="6" t="n">
        <x:v>0</x:v>
      </x:c>
      <x:c r="V88" s="6" t="n">
        <x:v>1</x:v>
      </x:c>
      <x:c r="W88" s="6" t="n">
        <x:v>0</x:v>
      </x:c>
      <x:c r="X88" s="6" t="n">
        <x:v>0</x:v>
      </x:c>
      <x:c r="Y88" s="6" t="n">
        <x:v>0</x:v>
      </x:c>
      <x:c r="Z88" s="6" t="n">
        <x:v>0</x:v>
      </x:c>
      <x:c r="AA88" s="6" t="n">
        <x:v>3</x:v>
      </x:c>
      <x:c r="AB88" s="6" t="n">
        <x:v>11</x:v>
      </x:c>
      <x:c r="AC88" s="6" t="n">
        <x:v>0</x:v>
      </x:c>
    </x:row>
    <x:row r="89">
      <x:c r="A89" s="6" t="n">
        <x:v>4452</x:v>
      </x:c>
      <x:c r="B89" s="6" t="n">
        <x:v>1957</x:v>
      </x:c>
      <x:c r="C89" s="6" t="str">
        <x:v>Graduation</x:v>
      </x:c>
      <x:c r="D89" s="6" t="str">
        <x:v>Single</x:v>
      </x:c>
      <x:c r="E89" s="6" t="n">
        <x:v>50388</x:v>
      </x:c>
      <x:c r="F89" s="6" t="n">
        <x:v>0</x:v>
      </x:c>
      <x:c r="G89" s="6" t="n">
        <x:v>1</x:v>
      </x:c>
      <x:c r="H89" s="9" t="str">
        <x:v>28-05-2014</x:v>
      </x:c>
      <x:c r="I89" s="6" t="n">
        <x:v>3</x:v>
      </x:c>
      <x:c r="J89" s="6" t="n">
        <x:v>292</x:v>
      </x:c>
      <x:c r="K89" s="6" t="n">
        <x:v>6</x:v>
      </x:c>
      <x:c r="L89" s="6" t="n">
        <x:v>37</x:v>
      </x:c>
      <x:c r="M89" s="6" t="n">
        <x:v>0</x:v>
      </x:c>
      <x:c r="N89" s="6" t="n">
        <x:v>3</x:v>
      </x:c>
      <x:c r="O89" s="6" t="n">
        <x:v>34</x:v>
      </x:c>
      <x:c r="P89" s="6" t="n">
        <x:v>4</x:v>
      </x:c>
      <x:c r="Q89" s="6" t="n">
        <x:v>6</x:v>
      </x:c>
      <x:c r="R89" s="6" t="n">
        <x:v>1</x:v>
      </x:c>
      <x:c r="S89" s="6" t="n">
        <x:v>6</x:v>
      </x:c>
      <x:c r="T89" s="6" t="n">
        <x:v>7</x:v>
      </x:c>
      <x:c r="U89" s="6" t="n">
        <x:v>0</x:v>
      </x:c>
      <x:c r="V89" s="6" t="n">
        <x:v>1</x:v>
      </x:c>
      <x:c r="W89" s="6" t="n">
        <x:v>0</x:v>
      </x:c>
      <x:c r="X89" s="6" t="n">
        <x:v>1</x:v>
      </x:c>
      <x:c r="Y89" s="6" t="n">
        <x:v>0</x:v>
      </x:c>
      <x:c r="Z89" s="6" t="n">
        <x:v>0</x:v>
      </x:c>
      <x:c r="AA89" s="6" t="n">
        <x:v>3</x:v>
      </x:c>
      <x:c r="AB89" s="6" t="n">
        <x:v>11</x:v>
      </x:c>
      <x:c r="AC89" s="6" t="n">
        <x:v>1</x:v>
      </x:c>
    </x:row>
    <x:row r="90">
      <x:c r="A90" s="6" t="n">
        <x:v>8504</x:v>
      </x:c>
      <x:c r="B90" s="6" t="n">
        <x:v>1973</x:v>
      </x:c>
      <x:c r="C90" s="6" t="str">
        <x:v>Graduation</x:v>
      </x:c>
      <x:c r="D90" s="6" t="str">
        <x:v>Married</x:v>
      </x:c>
      <x:c r="E90" s="6" t="n">
        <x:v>79593</x:v>
      </x:c>
      <x:c r="F90" s="6" t="n">
        <x:v>0</x:v>
      </x:c>
      <x:c r="G90" s="6" t="n">
        <x:v>0</x:v>
      </x:c>
      <x:c r="H90" s="9" t="str">
        <x:v>12-05-2014</x:v>
      </x:c>
      <x:c r="I90" s="6" t="n">
        <x:v>70</x:v>
      </x:c>
      <x:c r="J90" s="6" t="n">
        <x:v>350</x:v>
      </x:c>
      <x:c r="K90" s="6" t="n">
        <x:v>60</x:v>
      </x:c>
      <x:c r="L90" s="6" t="n">
        <x:v>568</x:v>
      </x:c>
      <x:c r="M90" s="6" t="n">
        <x:v>110</x:v>
      </x:c>
      <x:c r="N90" s="6" t="n">
        <x:v>133</x:v>
      </x:c>
      <x:c r="O90" s="6" t="n">
        <x:v>145</x:v>
      </x:c>
      <x:c r="P90" s="6" t="n">
        <x:v>1</x:v>
      </x:c>
      <x:c r="Q90" s="6" t="n">
        <x:v>5</x:v>
      </x:c>
      <x:c r="R90" s="6" t="n">
        <x:v>6</x:v>
      </x:c>
      <x:c r="S90" s="6" t="n">
        <x:v>7</x:v>
      </x:c>
      <x:c r="T90" s="6" t="n">
        <x:v>2</x:v>
      </x:c>
      <x:c r="U90" s="6" t="n">
        <x:v>0</x:v>
      </x:c>
      <x:c r="V90" s="6" t="n">
        <x:v>0</x:v>
      </x:c>
      <x:c r="W90" s="6" t="n">
        <x:v>1</x:v>
      </x:c>
      <x:c r="X90" s="6" t="n">
        <x:v>0</x:v>
      </x:c>
      <x:c r="Y90" s="6" t="n">
        <x:v>0</x:v>
      </x:c>
      <x:c r="Z90" s="6" t="n">
        <x:v>0</x:v>
      </x:c>
      <x:c r="AA90" s="6" t="n">
        <x:v>3</x:v>
      </x:c>
      <x:c r="AB90" s="6" t="n">
        <x:v>11</x:v>
      </x:c>
      <x:c r="AC90" s="6" t="n">
        <x:v>0</x:v>
      </x:c>
    </x:row>
    <x:row r="91">
      <x:c r="A91" s="6" t="n">
        <x:v>771</x:v>
      </x:c>
      <x:c r="B91" s="6" t="n">
        <x:v>1967</x:v>
      </x:c>
      <x:c r="C91" s="6" t="str">
        <x:v>Graduation</x:v>
      </x:c>
      <x:c r="D91" s="6" t="str">
        <x:v>Together</x:v>
      </x:c>
      <x:c r="E91" s="6" t="n">
        <x:v>54178</x:v>
      </x:c>
      <x:c r="F91" s="6" t="n">
        <x:v>0</x:v>
      </x:c>
      <x:c r="G91" s="6" t="n">
        <x:v>1</x:v>
      </x:c>
      <x:c r="H91" s="9" t="str">
        <x:v>21-01-2014</x:v>
      </x:c>
      <x:c r="I91" s="6" t="n">
        <x:v>79</x:v>
      </x:c>
      <x:c r="J91" s="6" t="n">
        <x:v>135</x:v>
      </x:c>
      <x:c r="K91" s="6" t="n">
        <x:v>9</x:v>
      </x:c>
      <x:c r="L91" s="6" t="n">
        <x:v>39</x:v>
      </x:c>
      <x:c r="M91" s="6" t="n">
        <x:v>4</x:v>
      </x:c>
      <x:c r="N91" s="6" t="n">
        <x:v>0</x:v>
      </x:c>
      <x:c r="O91" s="6" t="n">
        <x:v>7</x:v>
      </x:c>
      <x:c r="P91" s="6" t="n">
        <x:v>1</x:v>
      </x:c>
      <x:c r="Q91" s="6" t="n">
        <x:v>2</x:v>
      </x:c>
      <x:c r="R91" s="6" t="n">
        <x:v>2</x:v>
      </x:c>
      <x:c r="S91" s="6" t="n">
        <x:v>5</x:v>
      </x:c>
      <x:c r="T91" s="6" t="n">
        <x:v>2</x:v>
      </x:c>
      <x:c r="U91" s="6" t="n">
        <x:v>0</x:v>
      </x:c>
      <x:c r="V91" s="6" t="n">
        <x:v>0</x:v>
      </x:c>
      <x:c r="W91" s="6" t="n">
        <x:v>0</x:v>
      </x:c>
      <x:c r="X91" s="6" t="n">
        <x:v>0</x:v>
      </x:c>
      <x:c r="Y91" s="6" t="n">
        <x:v>0</x:v>
      </x:c>
      <x:c r="Z91" s="6" t="n">
        <x:v>0</x:v>
      </x:c>
      <x:c r="AA91" s="6" t="n">
        <x:v>3</x:v>
      </x:c>
      <x:c r="AB91" s="6" t="n">
        <x:v>11</x:v>
      </x:c>
      <x:c r="AC91" s="6" t="n">
        <x:v>0</x:v>
      </x:c>
    </x:row>
    <x:row r="92">
      <x:c r="A92" s="6" t="n">
        <x:v>8996</x:v>
      </x:c>
      <x:c r="B92" s="6" t="n">
        <x:v>1957</x:v>
      </x:c>
      <x:c r="C92" s="6" t="str">
        <x:v>PhD</x:v>
      </x:c>
      <x:c r="D92" s="6" t="str">
        <x:v>Married</x:v>
      </x:c>
      <x:c r="E92" s="6"/>
      <x:c r="F92" s="6" t="n">
        <x:v>2</x:v>
      </x:c>
      <x:c r="G92" s="6" t="n">
        <x:v>1</x:v>
      </x:c>
      <x:c r="H92" s="9" t="str">
        <x:v>19-11-2012</x:v>
      </x:c>
      <x:c r="I92" s="6" t="n">
        <x:v>4</x:v>
      </x:c>
      <x:c r="J92" s="6" t="n">
        <x:v>230</x:v>
      </x:c>
      <x:c r="K92" s="6" t="n">
        <x:v>42</x:v>
      </x:c>
      <x:c r="L92" s="6" t="n">
        <x:v>192</x:v>
      </x:c>
      <x:c r="M92" s="6" t="n">
        <x:v>49</x:v>
      </x:c>
      <x:c r="N92" s="6" t="n">
        <x:v>37</x:v>
      </x:c>
      <x:c r="O92" s="6" t="n">
        <x:v>53</x:v>
      </x:c>
      <x:c r="P92" s="6" t="n">
        <x:v>12</x:v>
      </x:c>
      <x:c r="Q92" s="6" t="n">
        <x:v>7</x:v>
      </x:c>
      <x:c r="R92" s="6" t="n">
        <x:v>2</x:v>
      </x:c>
      <x:c r="S92" s="6" t="n">
        <x:v>8</x:v>
      </x:c>
      <x:c r="T92" s="6" t="n">
        <x:v>9</x:v>
      </x:c>
      <x:c r="U92" s="6" t="n">
        <x:v>0</x:v>
      </x:c>
      <x:c r="V92" s="6" t="n">
        <x:v>0</x:v>
      </x:c>
      <x:c r="W92" s="6" t="n">
        <x:v>0</x:v>
      </x:c>
      <x:c r="X92" s="6" t="n">
        <x:v>0</x:v>
      </x:c>
      <x:c r="Y92" s="6" t="n">
        <x:v>0</x:v>
      </x:c>
      <x:c r="Z92" s="6" t="n">
        <x:v>0</x:v>
      </x:c>
      <x:c r="AA92" s="6" t="n">
        <x:v>3</x:v>
      </x:c>
      <x:c r="AB92" s="6" t="n">
        <x:v>11</x:v>
      </x:c>
      <x:c r="AC92" s="6" t="n">
        <x:v>0</x:v>
      </x:c>
    </x:row>
    <x:row r="93">
      <x:c r="A93" s="6" t="n">
        <x:v>9235</x:v>
      </x:c>
      <x:c r="B93" s="6" t="n">
        <x:v>1957</x:v>
      </x:c>
      <x:c r="C93" s="6" t="str">
        <x:v>Graduation</x:v>
      </x:c>
      <x:c r="D93" s="6" t="str">
        <x:v>Single</x:v>
      </x:c>
      <x:c r="E93" s="6"/>
      <x:c r="F93" s="6" t="n">
        <x:v>1</x:v>
      </x:c>
      <x:c r="G93" s="6" t="n">
        <x:v>1</x:v>
      </x:c>
      <x:c r="H93" s="9" t="str">
        <x:v>27-05-2014</x:v>
      </x:c>
      <x:c r="I93" s="6" t="n">
        <x:v>45</x:v>
      </x:c>
      <x:c r="J93" s="6" t="n">
        <x:v>7</x:v>
      </x:c>
      <x:c r="K93" s="6" t="n">
        <x:v>0</x:v>
      </x:c>
      <x:c r="L93" s="6" t="n">
        <x:v>8</x:v>
      </x:c>
      <x:c r="M93" s="6" t="n">
        <x:v>2</x:v>
      </x:c>
      <x:c r="N93" s="6" t="n">
        <x:v>0</x:v>
      </x:c>
      <x:c r="O93" s="6" t="n">
        <x:v>1</x:v>
      </x:c>
      <x:c r="P93" s="6" t="n">
        <x:v>1</x:v>
      </x:c>
      <x:c r="Q93" s="6" t="n">
        <x:v>1</x:v>
      </x:c>
      <x:c r="R93" s="6" t="n">
        <x:v>0</x:v>
      </x:c>
      <x:c r="S93" s="6" t="n">
        <x:v>2</x:v>
      </x:c>
      <x:c r="T93" s="6" t="n">
        <x:v>7</x:v>
      </x:c>
      <x:c r="U93" s="6" t="n">
        <x:v>0</x:v>
      </x:c>
      <x:c r="V93" s="6" t="n">
        <x:v>0</x:v>
      </x:c>
      <x:c r="W93" s="6" t="n">
        <x:v>0</x:v>
      </x:c>
      <x:c r="X93" s="6" t="n">
        <x:v>0</x:v>
      </x:c>
      <x:c r="Y93" s="6" t="n">
        <x:v>0</x:v>
      </x:c>
      <x:c r="Z93" s="6" t="n">
        <x:v>0</x:v>
      </x:c>
      <x:c r="AA93" s="6" t="n">
        <x:v>3</x:v>
      </x:c>
      <x:c r="AB93" s="6" t="n">
        <x:v>11</x:v>
      </x:c>
      <x:c r="AC93" s="6" t="n">
        <x:v>0</x:v>
      </x:c>
    </x:row>
    <x:row r="94">
      <x:c r="A94" s="6" t="n">
        <x:v>5798</x:v>
      </x:c>
      <x:c r="B94" s="6" t="n">
        <x:v>1973</x:v>
      </x:c>
      <x:c r="C94" s="6" t="str">
        <x:v>Master</x:v>
      </x:c>
      <x:c r="D94" s="6" t="str">
        <x:v>Together</x:v>
      </x:c>
      <x:c r="E94" s="6"/>
      <x:c r="F94" s="6" t="n">
        <x:v>0</x:v>
      </x:c>
      <x:c r="G94" s="6" t="n">
        <x:v>0</x:v>
      </x:c>
      <x:c r="H94" s="9" t="str">
        <x:v>23-11-2013</x:v>
      </x:c>
      <x:c r="I94" s="6" t="n">
        <x:v>87</x:v>
      </x:c>
      <x:c r="J94" s="6" t="n">
        <x:v>445</x:v>
      </x:c>
      <x:c r="K94" s="6" t="n">
        <x:v>37</x:v>
      </x:c>
      <x:c r="L94" s="6" t="n">
        <x:v>359</x:v>
      </x:c>
      <x:c r="M94" s="6" t="n">
        <x:v>98</x:v>
      </x:c>
      <x:c r="N94" s="6" t="n">
        <x:v>28</x:v>
      </x:c>
      <x:c r="O94" s="6" t="n">
        <x:v>18</x:v>
      </x:c>
      <x:c r="P94" s="6" t="n">
        <x:v>1</x:v>
      </x:c>
      <x:c r="Q94" s="6" t="n">
        <x:v>2</x:v>
      </x:c>
      <x:c r="R94" s="6" t="n">
        <x:v>4</x:v>
      </x:c>
      <x:c r="S94" s="6" t="n">
        <x:v>8</x:v>
      </x:c>
      <x:c r="T94" s="6" t="n">
        <x:v>1</x:v>
      </x:c>
      <x:c r="U94" s="6" t="n">
        <x:v>0</x:v>
      </x:c>
      <x:c r="V94" s="6" t="n">
        <x:v>0</x:v>
      </x:c>
      <x:c r="W94" s="6" t="n">
        <x:v>0</x:v>
      </x:c>
      <x:c r="X94" s="6" t="n">
        <x:v>0</x:v>
      </x:c>
      <x:c r="Y94" s="6" t="n">
        <x:v>0</x:v>
      </x:c>
      <x:c r="Z94" s="6" t="n">
        <x:v>0</x:v>
      </x:c>
      <x:c r="AA94" s="6" t="n">
        <x:v>3</x:v>
      </x:c>
      <x:c r="AB94" s="6" t="n">
        <x:v>11</x:v>
      </x:c>
      <x:c r="AC94" s="6" t="n">
        <x:v>0</x:v>
      </x:c>
    </x:row>
    <x:row r="95">
      <x:c r="A95" s="6" t="n">
        <x:v>11178</x:v>
      </x:c>
      <x:c r="B95" s="6" t="n">
        <x:v>1972</x:v>
      </x:c>
      <x:c r="C95" s="6" t="str">
        <x:v>Master</x:v>
      </x:c>
      <x:c r="D95" s="6" t="str">
        <x:v>Single</x:v>
      </x:c>
      <x:c r="E95" s="6" t="n">
        <x:v>42394</x:v>
      </x:c>
      <x:c r="F95" s="6" t="n">
        <x:v>1</x:v>
      </x:c>
      <x:c r="G95" s="6" t="n">
        <x:v>0</x:v>
      </x:c>
      <x:c r="H95" s="9" t="str">
        <x:v>23-03-2014</x:v>
      </x:c>
      <x:c r="I95" s="6" t="n">
        <x:v>69</x:v>
      </x:c>
      <x:c r="J95" s="6" t="n">
        <x:v>15</x:v>
      </x:c>
      <x:c r="K95" s="6" t="n">
        <x:v>2</x:v>
      </x:c>
      <x:c r="L95" s="6" t="n">
        <x:v>10</x:v>
      </x:c>
      <x:c r="M95" s="6" t="n">
        <x:v>0</x:v>
      </x:c>
      <x:c r="N95" s="6" t="n">
        <x:v>1</x:v>
      </x:c>
      <x:c r="O95" s="6" t="n">
        <x:v>4</x:v>
      </x:c>
      <x:c r="P95" s="6" t="n">
        <x:v>1</x:v>
      </x:c>
      <x:c r="Q95" s="6" t="n">
        <x:v>1</x:v>
      </x:c>
      <x:c r="R95" s="6" t="n">
        <x:v>0</x:v>
      </x:c>
      <x:c r="S95" s="6" t="n">
        <x:v>3</x:v>
      </x:c>
      <x:c r="T95" s="6" t="n">
        <x:v>7</x:v>
      </x:c>
      <x:c r="U95" s="6" t="n">
        <x:v>0</x:v>
      </x:c>
      <x:c r="V95" s="6" t="n">
        <x:v>0</x:v>
      </x:c>
      <x:c r="W95" s="6" t="n">
        <x:v>0</x:v>
      </x:c>
      <x:c r="X95" s="6" t="n">
        <x:v>0</x:v>
      </x:c>
      <x:c r="Y95" s="6" t="n">
        <x:v>0</x:v>
      </x:c>
      <x:c r="Z95" s="6" t="n">
        <x:v>0</x:v>
      </x:c>
      <x:c r="AA95" s="6" t="n">
        <x:v>3</x:v>
      </x:c>
      <x:c r="AB95" s="6" t="n">
        <x:v>11</x:v>
      </x:c>
      <x:c r="AC95" s="6" t="n">
        <x:v>0</x:v>
      </x:c>
    </x:row>
    <x:row r="96">
      <x:c r="A96" s="6" t="n">
        <x:v>2230</x:v>
      </x:c>
      <x:c r="B96" s="6" t="n">
        <x:v>1970</x:v>
      </x:c>
      <x:c r="C96" s="6" t="str">
        <x:v>PhD</x:v>
      </x:c>
      <x:c r="D96" s="6" t="str">
        <x:v>Married</x:v>
      </x:c>
      <x:c r="E96" s="6" t="n">
        <x:v>23626</x:v>
      </x:c>
      <x:c r="F96" s="6" t="n">
        <x:v>1</x:v>
      </x:c>
      <x:c r="G96" s="6" t="n">
        <x:v>0</x:v>
      </x:c>
      <x:c r="H96" s="9" t="str">
        <x:v>24-05-2014</x:v>
      </x:c>
      <x:c r="I96" s="6" t="n">
        <x:v>84</x:v>
      </x:c>
      <x:c r="J96" s="6" t="n">
        <x:v>27</x:v>
      </x:c>
      <x:c r="K96" s="6" t="n">
        <x:v>2</x:v>
      </x:c>
      <x:c r="L96" s="6" t="n">
        <x:v>14</x:v>
      </x:c>
      <x:c r="M96" s="6" t="n">
        <x:v>0</x:v>
      </x:c>
      <x:c r="N96" s="6" t="n">
        <x:v>0</x:v>
      </x:c>
      <x:c r="O96" s="6" t="n">
        <x:v>0</x:v>
      </x:c>
      <x:c r="P96" s="6" t="n">
        <x:v>3</x:v>
      </x:c>
      <x:c r="Q96" s="6" t="n">
        <x:v>3</x:v>
      </x:c>
      <x:c r="R96" s="6" t="n">
        <x:v>1</x:v>
      </x:c>
      <x:c r="S96" s="6" t="n">
        <x:v>3</x:v>
      </x:c>
      <x:c r="T96" s="6" t="n">
        <x:v>5</x:v>
      </x:c>
      <x:c r="U96" s="6" t="n">
        <x:v>0</x:v>
      </x:c>
      <x:c r="V96" s="6" t="n">
        <x:v>0</x:v>
      </x:c>
      <x:c r="W96" s="6" t="n">
        <x:v>0</x:v>
      </x:c>
      <x:c r="X96" s="6" t="n">
        <x:v>0</x:v>
      </x:c>
      <x:c r="Y96" s="6" t="n">
        <x:v>0</x:v>
      </x:c>
      <x:c r="Z96" s="6" t="n">
        <x:v>0</x:v>
      </x:c>
      <x:c r="AA96" s="6" t="n">
        <x:v>3</x:v>
      </x:c>
      <x:c r="AB96" s="6" t="n">
        <x:v>11</x:v>
      </x:c>
      <x:c r="AC96" s="6" t="n">
        <x:v>0</x:v>
      </x:c>
    </x:row>
    <x:row r="97">
      <x:c r="A97" s="6" t="n">
        <x:v>7516</x:v>
      </x:c>
      <x:c r="B97" s="6" t="n">
        <x:v>1983</x:v>
      </x:c>
      <x:c r="C97" s="6" t="str">
        <x:v>Graduation</x:v>
      </x:c>
      <x:c r="D97" s="6" t="str">
        <x:v>Married</x:v>
      </x:c>
      <x:c r="E97" s="6" t="n">
        <x:v>30096</x:v>
      </x:c>
      <x:c r="F97" s="6" t="n">
        <x:v>1</x:v>
      </x:c>
      <x:c r="G97" s="6" t="n">
        <x:v>0</x:v>
      </x:c>
      <x:c r="H97" s="9" t="str">
        <x:v>22-05-2014</x:v>
      </x:c>
      <x:c r="I97" s="6" t="n">
        <x:v>30</x:v>
      </x:c>
      <x:c r="J97" s="6" t="n">
        <x:v>5</x:v>
      </x:c>
      <x:c r="K97" s="6" t="n">
        <x:v>3</x:v>
      </x:c>
      <x:c r="L97" s="6" t="n">
        <x:v>11</x:v>
      </x:c>
      <x:c r="M97" s="6" t="n">
        <x:v>12</x:v>
      </x:c>
      <x:c r="N97" s="6" t="n">
        <x:v>5</x:v>
      </x:c>
      <x:c r="O97" s="6" t="n">
        <x:v>9</x:v>
      </x:c>
      <x:c r="P97" s="6" t="n">
        <x:v>1</x:v>
      </x:c>
      <x:c r="Q97" s="6" t="n">
        <x:v>2</x:v>
      </x:c>
      <x:c r="R97" s="6" t="n">
        <x:v>0</x:v>
      </x:c>
      <x:c r="S97" s="6" t="n">
        <x:v>3</x:v>
      </x:c>
      <x:c r="T97" s="6" t="n">
        <x:v>6</x:v>
      </x:c>
      <x:c r="U97" s="6" t="n">
        <x:v>0</x:v>
      </x:c>
      <x:c r="V97" s="6" t="n">
        <x:v>0</x:v>
      </x:c>
      <x:c r="W97" s="6" t="n">
        <x:v>0</x:v>
      </x:c>
      <x:c r="X97" s="6" t="n">
        <x:v>0</x:v>
      </x:c>
      <x:c r="Y97" s="6" t="n">
        <x:v>0</x:v>
      </x:c>
      <x:c r="Z97" s="6" t="n">
        <x:v>0</x:v>
      </x:c>
      <x:c r="AA97" s="6" t="n">
        <x:v>3</x:v>
      </x:c>
      <x:c r="AB97" s="6" t="n">
        <x:v>11</x:v>
      </x:c>
      <x:c r="AC97" s="6" t="n">
        <x:v>0</x:v>
      </x:c>
    </x:row>
    <x:row r="98">
      <x:c r="A98" s="6" t="n">
        <x:v>7247</x:v>
      </x:c>
      <x:c r="B98" s="6" t="n">
        <x:v>1960</x:v>
      </x:c>
      <x:c r="C98" s="6" t="str">
        <x:v>Graduation</x:v>
      </x:c>
      <x:c r="D98" s="6" t="str">
        <x:v>Widow</x:v>
      </x:c>
      <x:c r="E98" s="6" t="n">
        <x:v>47916</x:v>
      </x:c>
      <x:c r="F98" s="6" t="n">
        <x:v>0</x:v>
      </x:c>
      <x:c r="G98" s="6" t="n">
        <x:v>1</x:v>
      </x:c>
      <x:c r="H98" s="9" t="str">
        <x:v>22-11-2012</x:v>
      </x:c>
      <x:c r="I98" s="6" t="n">
        <x:v>72</x:v>
      </x:c>
      <x:c r="J98" s="6" t="n">
        <x:v>505</x:v>
      </x:c>
      <x:c r="K98" s="6" t="n">
        <x:v>0</x:v>
      </x:c>
      <x:c r="L98" s="6" t="n">
        <x:v>26</x:v>
      </x:c>
      <x:c r="M98" s="6" t="n">
        <x:v>0</x:v>
      </x:c>
      <x:c r="N98" s="6" t="n">
        <x:v>0</x:v>
      </x:c>
      <x:c r="O98" s="6" t="n">
        <x:v>75</x:v>
      </x:c>
      <x:c r="P98" s="6" t="n">
        <x:v>5</x:v>
      </x:c>
      <x:c r="Q98" s="6" t="n">
        <x:v>7</x:v>
      </x:c>
      <x:c r="R98" s="6" t="n">
        <x:v>4</x:v>
      </x:c>
      <x:c r="S98" s="6" t="n">
        <x:v>6</x:v>
      </x:c>
      <x:c r="T98" s="6" t="n">
        <x:v>6</x:v>
      </x:c>
      <x:c r="U98" s="6" t="n">
        <x:v>0</x:v>
      </x:c>
      <x:c r="V98" s="6" t="n">
        <x:v>1</x:v>
      </x:c>
      <x:c r="W98" s="6" t="n">
        <x:v>0</x:v>
      </x:c>
      <x:c r="X98" s="6" t="n">
        <x:v>0</x:v>
      </x:c>
      <x:c r="Y98" s="6" t="n">
        <x:v>0</x:v>
      </x:c>
      <x:c r="Z98" s="6" t="n">
        <x:v>0</x:v>
      </x:c>
      <x:c r="AA98" s="6" t="n">
        <x:v>3</x:v>
      </x:c>
      <x:c r="AB98" s="6" t="n">
        <x:v>11</x:v>
      </x:c>
      <x:c r="AC98" s="6" t="n">
        <x:v>0</x:v>
      </x:c>
    </x:row>
    <x:row r="99">
      <x:c r="A99" s="6" t="n">
        <x:v>11100</x:v>
      </x:c>
      <x:c r="B99" s="6" t="n">
        <x:v>1972</x:v>
      </x:c>
      <x:c r="C99" s="6" t="str">
        <x:v>Graduation</x:v>
      </x:c>
      <x:c r="D99" s="6" t="str">
        <x:v>Divorced</x:v>
      </x:c>
      <x:c r="E99" s="6" t="n">
        <x:v>51813</x:v>
      </x:c>
      <x:c r="F99" s="6" t="n">
        <x:v>1</x:v>
      </x:c>
      <x:c r="G99" s="6" t="n">
        <x:v>1</x:v>
      </x:c>
      <x:c r="H99" s="9" t="str">
        <x:v>11-04-2013</x:v>
      </x:c>
      <x:c r="I99" s="6" t="n">
        <x:v>37</x:v>
      </x:c>
      <x:c r="J99" s="6" t="n">
        <x:v>51</x:v>
      </x:c>
      <x:c r="K99" s="6" t="n">
        <x:v>2</x:v>
      </x:c>
      <x:c r="L99" s="6" t="n">
        <x:v>7</x:v>
      </x:c>
      <x:c r="M99" s="6" t="n">
        <x:v>0</x:v>
      </x:c>
      <x:c r="N99" s="6" t="n">
        <x:v>1</x:v>
      </x:c>
      <x:c r="O99" s="6" t="n">
        <x:v>2</x:v>
      </x:c>
      <x:c r="P99" s="6" t="n">
        <x:v>2</x:v>
      </x:c>
      <x:c r="Q99" s="6" t="n">
        <x:v>2</x:v>
      </x:c>
      <x:c r="R99" s="6" t="n">
        <x:v>0</x:v>
      </x:c>
      <x:c r="S99" s="6" t="n">
        <x:v>3</x:v>
      </x:c>
      <x:c r="T99" s="6" t="n">
        <x:v>7</x:v>
      </x:c>
      <x:c r="U99" s="6" t="n">
        <x:v>0</x:v>
      </x:c>
      <x:c r="V99" s="6" t="n">
        <x:v>0</x:v>
      </x:c>
      <x:c r="W99" s="6" t="n">
        <x:v>0</x:v>
      </x:c>
      <x:c r="X99" s="6" t="n">
        <x:v>0</x:v>
      </x:c>
      <x:c r="Y99" s="6" t="n">
        <x:v>0</x:v>
      </x:c>
      <x:c r="Z99" s="6" t="n">
        <x:v>0</x:v>
      </x:c>
      <x:c r="AA99" s="6" t="n">
        <x:v>3</x:v>
      </x:c>
      <x:c r="AB99" s="6" t="n">
        <x:v>11</x:v>
      </x:c>
      <x:c r="AC99" s="6" t="n">
        <x:v>0</x:v>
      </x:c>
    </x:row>
    <x:row r="100">
      <x:c r="A100" s="6" t="n">
        <x:v>4646</x:v>
      </x:c>
      <x:c r="B100" s="6" t="n">
        <x:v>1951</x:v>
      </x:c>
      <x:c r="C100" s="6" t="str">
        <x:v>2n Cycle</x:v>
      </x:c>
      <x:c r="D100" s="6" t="str">
        <x:v>Married</x:v>
      </x:c>
      <x:c r="E100" s="6" t="n">
        <x:v>78497</x:v>
      </x:c>
      <x:c r="F100" s="6" t="n">
        <x:v>0</x:v>
      </x:c>
      <x:c r="G100" s="6" t="n">
        <x:v>0</x:v>
      </x:c>
      <x:c r="H100" s="9" t="str">
        <x:v>01-12-2013</x:v>
      </x:c>
      <x:c r="I100" s="6" t="n">
        <x:v>44</x:v>
      </x:c>
      <x:c r="J100" s="6" t="n">
        <x:v>207</x:v>
      </x:c>
      <x:c r="K100" s="6" t="n">
        <x:v>26</x:v>
      </x:c>
      <x:c r="L100" s="6" t="n">
        <x:v>447</x:v>
      </x:c>
      <x:c r="M100" s="6" t="n">
        <x:v>75</x:v>
      </x:c>
      <x:c r="N100" s="6" t="n">
        <x:v>0</x:v>
      </x:c>
      <x:c r="O100" s="6" t="n">
        <x:v>223</x:v>
      </x:c>
      <x:c r="P100" s="6" t="n">
        <x:v>1</x:v>
      </x:c>
      <x:c r="Q100" s="6" t="n">
        <x:v>5</x:v>
      </x:c>
      <x:c r="R100" s="6" t="n">
        <x:v>7</x:v>
      </x:c>
      <x:c r="S100" s="6" t="n">
        <x:v>12</x:v>
      </x:c>
      <x:c r="T100" s="6" t="n">
        <x:v>2</x:v>
      </x:c>
      <x:c r="U100" s="6" t="n">
        <x:v>0</x:v>
      </x:c>
      <x:c r="V100" s="6" t="n">
        <x:v>0</x:v>
      </x:c>
      <x:c r="W100" s="6" t="n">
        <x:v>0</x:v>
      </x:c>
      <x:c r="X100" s="6" t="n">
        <x:v>1</x:v>
      </x:c>
      <x:c r="Y100" s="6" t="n">
        <x:v>0</x:v>
      </x:c>
      <x:c r="Z100" s="6" t="n">
        <x:v>0</x:v>
      </x:c>
      <x:c r="AA100" s="6" t="n">
        <x:v>3</x:v>
      </x:c>
      <x:c r="AB100" s="6" t="n">
        <x:v>11</x:v>
      </x:c>
      <x:c r="AC100" s="6" t="n">
        <x:v>0</x:v>
      </x:c>
    </x:row>
    <x:row r="101">
      <x:c r="A101" s="6" t="n">
        <x:v>3037</x:v>
      </x:c>
      <x:c r="B101" s="6" t="n">
        <x:v>1983</x:v>
      </x:c>
      <x:c r="C101" s="6" t="str">
        <x:v>PhD</x:v>
      </x:c>
      <x:c r="D101" s="6" t="str">
        <x:v>Married</x:v>
      </x:c>
      <x:c r="E101" s="6" t="n">
        <x:v>50150</x:v>
      </x:c>
      <x:c r="F101" s="6" t="n">
        <x:v>0</x:v>
      </x:c>
      <x:c r="G101" s="6" t="n">
        <x:v>0</x:v>
      </x:c>
      <x:c r="H101" s="9" t="str">
        <x:v>20-06-2013</x:v>
      </x:c>
      <x:c r="I101" s="6" t="n">
        <x:v>32</x:v>
      </x:c>
      <x:c r="J101" s="6" t="n">
        <x:v>135</x:v>
      </x:c>
      <x:c r="K101" s="6" t="n">
        <x:v>46</x:v>
      </x:c>
      <x:c r="L101" s="6" t="n">
        <x:v>92</x:v>
      </x:c>
      <x:c r="M101" s="6" t="n">
        <x:v>65</x:v>
      </x:c>
      <x:c r="N101" s="6" t="n">
        <x:v>61</x:v>
      </x:c>
      <x:c r="O101" s="6" t="n">
        <x:v>11</x:v>
      </x:c>
      <x:c r="P101" s="6" t="n">
        <x:v>2</x:v>
      </x:c>
      <x:c r="Q101" s="6" t="n">
        <x:v>5</x:v>
      </x:c>
      <x:c r="R101" s="6" t="n">
        <x:v>2</x:v>
      </x:c>
      <x:c r="S101" s="6" t="n">
        <x:v>7</x:v>
      </x:c>
      <x:c r="T101" s="6" t="n">
        <x:v>5</x:v>
      </x:c>
      <x:c r="U101" s="6" t="n">
        <x:v>0</x:v>
      </x:c>
      <x:c r="V101" s="6" t="n">
        <x:v>0</x:v>
      </x:c>
      <x:c r="W101" s="6" t="n">
        <x:v>0</x:v>
      </x:c>
      <x:c r="X101" s="6" t="n">
        <x:v>0</x:v>
      </x:c>
      <x:c r="Y101" s="6" t="n">
        <x:v>0</x:v>
      </x:c>
      <x:c r="Z101" s="6" t="n">
        <x:v>0</x:v>
      </x:c>
      <x:c r="AA101" s="6" t="n">
        <x:v>3</x:v>
      </x:c>
      <x:c r="AB101" s="6" t="n">
        <x:v>11</x:v>
      </x:c>
      <x:c r="AC101" s="6" t="n">
        <x:v>0</x:v>
      </x:c>
    </x:row>
    <x:row r="102">
      <x:c r="A102" s="6" t="n">
        <x:v>1473</x:v>
      </x:c>
      <x:c r="B102" s="6" t="n">
        <x:v>1960</x:v>
      </x:c>
      <x:c r="C102" s="6" t="str">
        <x:v>2n Cycle</x:v>
      </x:c>
      <x:c r="D102" s="6" t="str">
        <x:v>Single</x:v>
      </x:c>
      <x:c r="E102" s="6" t="n">
        <x:v>47823</x:v>
      </x:c>
      <x:c r="F102" s="6" t="n">
        <x:v>0</x:v>
      </x:c>
      <x:c r="G102" s="6" t="n">
        <x:v>1</x:v>
      </x:c>
      <x:c r="H102" s="9" t="str">
        <x:v>23-07-2013</x:v>
      </x:c>
      <x:c r="I102" s="6" t="n">
        <x:v>0</x:v>
      </x:c>
      <x:c r="J102" s="6" t="n">
        <x:v>53</x:v>
      </x:c>
      <x:c r="K102" s="6" t="n">
        <x:v>1</x:v>
      </x:c>
      <x:c r="L102" s="6" t="n">
        <x:v>5</x:v>
      </x:c>
      <x:c r="M102" s="6" t="n">
        <x:v>2</x:v>
      </x:c>
      <x:c r="N102" s="6" t="n">
        <x:v>1</x:v>
      </x:c>
      <x:c r="O102" s="6" t="n">
        <x:v>10</x:v>
      </x:c>
      <x:c r="P102" s="6" t="n">
        <x:v>2</x:v>
      </x:c>
      <x:c r="Q102" s="6" t="n">
        <x:v>2</x:v>
      </x:c>
      <x:c r="R102" s="6" t="n">
        <x:v>0</x:v>
      </x:c>
      <x:c r="S102" s="6" t="n">
        <x:v>3</x:v>
      </x:c>
      <x:c r="T102" s="6" t="n">
        <x:v>8</x:v>
      </x:c>
      <x:c r="U102" s="6" t="n">
        <x:v>0</x:v>
      </x:c>
      <x:c r="V102" s="6" t="n">
        <x:v>0</x:v>
      </x:c>
      <x:c r="W102" s="6" t="n">
        <x:v>0</x:v>
      </x:c>
      <x:c r="X102" s="6" t="n">
        <x:v>0</x:v>
      </x:c>
      <x:c r="Y102" s="6" t="n">
        <x:v>0</x:v>
      </x:c>
      <x:c r="Z102" s="6" t="n">
        <x:v>0</x:v>
      </x:c>
      <x:c r="AA102" s="6" t="n">
        <x:v>3</x:v>
      </x:c>
      <x:c r="AB102" s="6" t="n">
        <x:v>11</x:v>
      </x:c>
      <x:c r="AC102" s="6" t="n">
        <x:v>0</x:v>
      </x:c>
    </x:row>
    <x:row r="103">
      <x:c r="A103" s="6" t="n">
        <x:v>1016</x:v>
      </x:c>
      <x:c r="B103" s="6" t="n">
        <x:v>1959</x:v>
      </x:c>
      <x:c r="C103" s="6" t="str">
        <x:v>PhD</x:v>
      </x:c>
      <x:c r="D103" s="6" t="str">
        <x:v>Single</x:v>
      </x:c>
      <x:c r="E103" s="6" t="n">
        <x:v>34554</x:v>
      </x:c>
      <x:c r="F103" s="6" t="n">
        <x:v>0</x:v>
      </x:c>
      <x:c r="G103" s="6" t="n">
        <x:v>1</x:v>
      </x:c>
      <x:c r="H103" s="9" t="str">
        <x:v>30-03-2014</x:v>
      </x:c>
      <x:c r="I103" s="6" t="n">
        <x:v>43</x:v>
      </x:c>
      <x:c r="J103" s="6" t="n">
        <x:v>41</x:v>
      </x:c>
      <x:c r="K103" s="6" t="n">
        <x:v>1</x:v>
      </x:c>
      <x:c r="L103" s="6" t="n">
        <x:v>6</x:v>
      </x:c>
      <x:c r="M103" s="6" t="n">
        <x:v>2</x:v>
      </x:c>
      <x:c r="N103" s="6" t="n">
        <x:v>0</x:v>
      </x:c>
      <x:c r="O103" s="6" t="n">
        <x:v>5</x:v>
      </x:c>
      <x:c r="P103" s="6" t="n">
        <x:v>2</x:v>
      </x:c>
      <x:c r="Q103" s="6" t="n">
        <x:v>2</x:v>
      </x:c>
      <x:c r="R103" s="6" t="n">
        <x:v>0</x:v>
      </x:c>
      <x:c r="S103" s="6" t="n">
        <x:v>3</x:v>
      </x:c>
      <x:c r="T103" s="6" t="n">
        <x:v>6</x:v>
      </x:c>
      <x:c r="U103" s="6" t="n">
        <x:v>0</x:v>
      </x:c>
      <x:c r="V103" s="6" t="n">
        <x:v>0</x:v>
      </x:c>
      <x:c r="W103" s="6" t="n">
        <x:v>0</x:v>
      </x:c>
      <x:c r="X103" s="6" t="n">
        <x:v>0</x:v>
      </x:c>
      <x:c r="Y103" s="6" t="n">
        <x:v>0</x:v>
      </x:c>
      <x:c r="Z103" s="6" t="n">
        <x:v>0</x:v>
      </x:c>
      <x:c r="AA103" s="6" t="n">
        <x:v>3</x:v>
      </x:c>
      <x:c r="AB103" s="6" t="n">
        <x:v>11</x:v>
      </x:c>
      <x:c r="AC103" s="6" t="n">
        <x:v>0</x:v>
      </x:c>
    </x:row>
    <x:row r="104">
      <x:c r="A104" s="6" t="n">
        <x:v>4518</x:v>
      </x:c>
      <x:c r="B104" s="6" t="n">
        <x:v>1979</x:v>
      </x:c>
      <x:c r="C104" s="6" t="str">
        <x:v>Graduation</x:v>
      </x:c>
      <x:c r="D104" s="6" t="str">
        <x:v>Together</x:v>
      </x:c>
      <x:c r="E104" s="6" t="n">
        <x:v>85693</x:v>
      </x:c>
      <x:c r="F104" s="6" t="n">
        <x:v>0</x:v>
      </x:c>
      <x:c r="G104" s="6" t="n">
        <x:v>1</x:v>
      </x:c>
      <x:c r="H104" s="9" t="str">
        <x:v>20-04-2013</x:v>
      </x:c>
      <x:c r="I104" s="6" t="n">
        <x:v>59</x:v>
      </x:c>
      <x:c r="J104" s="6" t="n">
        <x:v>386</x:v>
      </x:c>
      <x:c r="K104" s="6" t="n">
        <x:v>172</x:v>
      </x:c>
      <x:c r="L104" s="6" t="n">
        <x:v>183</x:v>
      </x:c>
      <x:c r="M104" s="6" t="n">
        <x:v>185</x:v>
      </x:c>
      <x:c r="N104" s="6" t="n">
        <x:v>132</x:v>
      </x:c>
      <x:c r="O104" s="6" t="n">
        <x:v>111</x:v>
      </x:c>
      <x:c r="P104" s="6" t="n">
        <x:v>2</x:v>
      </x:c>
      <x:c r="Q104" s="6" t="n">
        <x:v>9</x:v>
      </x:c>
      <x:c r="R104" s="6" t="n">
        <x:v>5</x:v>
      </x:c>
      <x:c r="S104" s="6" t="n">
        <x:v>11</x:v>
      </x:c>
      <x:c r="T104" s="6" t="n">
        <x:v>5</x:v>
      </x:c>
      <x:c r="U104" s="6" t="n">
        <x:v>0</x:v>
      </x:c>
      <x:c r="V104" s="6" t="n">
        <x:v>0</x:v>
      </x:c>
      <x:c r="W104" s="6" t="n">
        <x:v>0</x:v>
      </x:c>
      <x:c r="X104" s="6" t="n">
        <x:v>0</x:v>
      </x:c>
      <x:c r="Y104" s="6" t="n">
        <x:v>0</x:v>
      </x:c>
      <x:c r="Z104" s="6" t="n">
        <x:v>0</x:v>
      </x:c>
      <x:c r="AA104" s="6" t="n">
        <x:v>3</x:v>
      </x:c>
      <x:c r="AB104" s="6" t="n">
        <x:v>11</x:v>
      </x:c>
      <x:c r="AC104" s="6" t="n">
        <x:v>0</x:v>
      </x:c>
    </x:row>
    <x:row r="105">
      <x:c r="A105" s="6" t="n">
        <x:v>9370</x:v>
      </x:c>
      <x:c r="B105" s="6" t="n">
        <x:v>1945</x:v>
      </x:c>
      <x:c r="C105" s="6" t="str">
        <x:v>PhD</x:v>
      </x:c>
      <x:c r="D105" s="6" t="str">
        <x:v>Married</x:v>
      </x:c>
      <x:c r="E105" s="6" t="n">
        <x:v>65846</x:v>
      </x:c>
      <x:c r="F105" s="6" t="n">
        <x:v>0</x:v>
      </x:c>
      <x:c r="G105" s="6" t="n">
        <x:v>0</x:v>
      </x:c>
      <x:c r="H105" s="9" t="str">
        <x:v>17-05-2013</x:v>
      </x:c>
      <x:c r="I105" s="6" t="n">
        <x:v>68</x:v>
      </x:c>
      <x:c r="J105" s="6" t="n">
        <x:v>562</x:v>
      </x:c>
      <x:c r="K105" s="6" t="n">
        <x:v>81</x:v>
      </x:c>
      <x:c r="L105" s="6" t="n">
        <x:v>276</x:v>
      </x:c>
      <x:c r="M105" s="6" t="n">
        <x:v>80</x:v>
      </x:c>
      <x:c r="N105" s="6" t="n">
        <x:v>40</x:v>
      </x:c>
      <x:c r="O105" s="6" t="n">
        <x:v>81</x:v>
      </x:c>
      <x:c r="P105" s="6" t="n">
        <x:v>1</x:v>
      </x:c>
      <x:c r="Q105" s="6" t="n">
        <x:v>6</x:v>
      </x:c>
      <x:c r="R105" s="6" t="n">
        <x:v>3</x:v>
      </x:c>
      <x:c r="S105" s="6" t="n">
        <x:v>6</x:v>
      </x:c>
      <x:c r="T105" s="6" t="n">
        <x:v>4</x:v>
      </x:c>
      <x:c r="U105" s="6" t="n">
        <x:v>0</x:v>
      </x:c>
      <x:c r="V105" s="6" t="n">
        <x:v>0</x:v>
      </x:c>
      <x:c r="W105" s="6" t="n">
        <x:v>0</x:v>
      </x:c>
      <x:c r="X105" s="6" t="n">
        <x:v>0</x:v>
      </x:c>
      <x:c r="Y105" s="6" t="n">
        <x:v>0</x:v>
      </x:c>
      <x:c r="Z105" s="6" t="n">
        <x:v>0</x:v>
      </x:c>
      <x:c r="AA105" s="6" t="n">
        <x:v>3</x:v>
      </x:c>
      <x:c r="AB105" s="6" t="n">
        <x:v>11</x:v>
      </x:c>
      <x:c r="AC105" s="6" t="n">
        <x:v>0</x:v>
      </x:c>
    </x:row>
    <x:row r="106">
      <x:c r="A106" s="6" t="n">
        <x:v>8908</x:v>
      </x:c>
      <x:c r="B106" s="6" t="n">
        <x:v>1959</x:v>
      </x:c>
      <x:c r="C106" s="6" t="str">
        <x:v>Graduation</x:v>
      </x:c>
      <x:c r="D106" s="6" t="str">
        <x:v>Married</x:v>
      </x:c>
      <x:c r="E106" s="6" t="n">
        <x:v>87195</x:v>
      </x:c>
      <x:c r="F106" s="6" t="n">
        <x:v>0</x:v>
      </x:c>
      <x:c r="G106" s="6" t="n">
        <x:v>0</x:v>
      </x:c>
      <x:c r="H106" s="9" t="str">
        <x:v>08-05-2014</x:v>
      </x:c>
      <x:c r="I106" s="6" t="n">
        <x:v>35</x:v>
      </x:c>
      <x:c r="J106" s="6" t="n">
        <x:v>217</x:v>
      </x:c>
      <x:c r="K106" s="6" t="n">
        <x:v>76</x:v>
      </x:c>
      <x:c r="L106" s="6" t="n">
        <x:v>690</x:v>
      </x:c>
      <x:c r="M106" s="6" t="n">
        <x:v>50</x:v>
      </x:c>
      <x:c r="N106" s="6" t="n">
        <x:v>26</x:v>
      </x:c>
      <x:c r="O106" s="6" t="n">
        <x:v>38</x:v>
      </x:c>
      <x:c r="P106" s="6" t="n">
        <x:v>1</x:v>
      </x:c>
      <x:c r="Q106" s="6" t="n">
        <x:v>3</x:v>
      </x:c>
      <x:c r="R106" s="6" t="n">
        <x:v>11</x:v>
      </x:c>
      <x:c r="S106" s="6" t="n">
        <x:v>5</x:v>
      </x:c>
      <x:c r="T106" s="6" t="n">
        <x:v>1</x:v>
      </x:c>
      <x:c r="U106" s="6" t="n">
        <x:v>0</x:v>
      </x:c>
      <x:c r="V106" s="6" t="n">
        <x:v>0</x:v>
      </x:c>
      <x:c r="W106" s="6" t="n">
        <x:v>0</x:v>
      </x:c>
      <x:c r="X106" s="6" t="n">
        <x:v>0</x:v>
      </x:c>
      <x:c r="Y106" s="6" t="n">
        <x:v>0</x:v>
      </x:c>
      <x:c r="Z106" s="6" t="n">
        <x:v>0</x:v>
      </x:c>
      <x:c r="AA106" s="6" t="n">
        <x:v>3</x:v>
      </x:c>
      <x:c r="AB106" s="6" t="n">
        <x:v>11</x:v>
      </x:c>
      <x:c r="AC106" s="6" t="n">
        <x:v>1</x:v>
      </x:c>
    </x:row>
    <x:row r="107">
      <x:c r="A107" s="6" t="n">
        <x:v>8373</x:v>
      </x:c>
      <x:c r="B107" s="6" t="n">
        <x:v>1979</x:v>
      </x:c>
      <x:c r="C107" s="6" t="str">
        <x:v>Basic</x:v>
      </x:c>
      <x:c r="D107" s="6" t="str">
        <x:v>Together</x:v>
      </x:c>
      <x:c r="E107" s="6" t="n">
        <x:v>24594</x:v>
      </x:c>
      <x:c r="F107" s="6" t="n">
        <x:v>1</x:v>
      </x:c>
      <x:c r="G107" s="6" t="n">
        <x:v>0</x:v>
      </x:c>
      <x:c r="H107" s="9" t="str">
        <x:v>10-12-2013</x:v>
      </x:c>
      <x:c r="I107" s="6" t="n">
        <x:v>94</x:v>
      </x:c>
      <x:c r="J107" s="6" t="n">
        <x:v>1</x:v>
      </x:c>
      <x:c r="K107" s="6" t="n">
        <x:v>3</x:v>
      </x:c>
      <x:c r="L107" s="6" t="n">
        <x:v>6</x:v>
      </x:c>
      <x:c r="M107" s="6" t="n">
        <x:v>10</x:v>
      </x:c>
      <x:c r="N107" s="6" t="n">
        <x:v>0</x:v>
      </x:c>
      <x:c r="O107" s="6" t="n">
        <x:v>9</x:v>
      </x:c>
      <x:c r="P107" s="6" t="n">
        <x:v>1</x:v>
      </x:c>
      <x:c r="Q107" s="6" t="n">
        <x:v>1</x:v>
      </x:c>
      <x:c r="R107" s="6" t="n">
        <x:v>0</x:v>
      </x:c>
      <x:c r="S107" s="6" t="n">
        <x:v>3</x:v>
      </x:c>
      <x:c r="T107" s="6" t="n">
        <x:v>5</x:v>
      </x:c>
      <x:c r="U107" s="6" t="n">
        <x:v>0</x:v>
      </x:c>
      <x:c r="V107" s="6" t="n">
        <x:v>0</x:v>
      </x:c>
      <x:c r="W107" s="6" t="n">
        <x:v>0</x:v>
      </x:c>
      <x:c r="X107" s="6" t="n">
        <x:v>0</x:v>
      </x:c>
      <x:c r="Y107" s="6" t="n">
        <x:v>0</x:v>
      </x:c>
      <x:c r="Z107" s="6" t="n">
        <x:v>0</x:v>
      </x:c>
      <x:c r="AA107" s="6" t="n">
        <x:v>3</x:v>
      </x:c>
      <x:c r="AB107" s="6" t="n">
        <x:v>11</x:v>
      </x:c>
      <x:c r="AC107" s="6" t="n">
        <x:v>0</x:v>
      </x:c>
    </x:row>
    <x:row r="108">
      <x:c r="A108" s="6" t="n">
        <x:v>7533</x:v>
      </x:c>
      <x:c r="B108" s="6" t="n">
        <x:v>1964</x:v>
      </x:c>
      <x:c r="C108" s="6" t="str">
        <x:v>Graduation</x:v>
      </x:c>
      <x:c r="D108" s="6" t="str">
        <x:v>Married</x:v>
      </x:c>
      <x:c r="E108" s="6" t="n">
        <x:v>49096</x:v>
      </x:c>
      <x:c r="F108" s="6" t="n">
        <x:v>1</x:v>
      </x:c>
      <x:c r="G108" s="6" t="n">
        <x:v>1</x:v>
      </x:c>
      <x:c r="H108" s="9" t="str">
        <x:v>24-09-2013</x:v>
      </x:c>
      <x:c r="I108" s="6" t="n">
        <x:v>15</x:v>
      </x:c>
      <x:c r="J108" s="6" t="n">
        <x:v>144</x:v>
      </x:c>
      <x:c r="K108" s="6" t="n">
        <x:v>1</x:v>
      </x:c>
      <x:c r="L108" s="6" t="n">
        <x:v>32</x:v>
      </x:c>
      <x:c r="M108" s="6" t="n">
        <x:v>2</x:v>
      </x:c>
      <x:c r="N108" s="6" t="n">
        <x:v>1</x:v>
      </x:c>
      <x:c r="O108" s="6" t="n">
        <x:v>7</x:v>
      </x:c>
      <x:c r="P108" s="6" t="n">
        <x:v>4</x:v>
      </x:c>
      <x:c r="Q108" s="6" t="n">
        <x:v>4</x:v>
      </x:c>
      <x:c r="R108" s="6" t="n">
        <x:v>1</x:v>
      </x:c>
      <x:c r="S108" s="6" t="n">
        <x:v>4</x:v>
      </x:c>
      <x:c r="T108" s="6" t="n">
        <x:v>7</x:v>
      </x:c>
      <x:c r="U108" s="6" t="n">
        <x:v>0</x:v>
      </x:c>
      <x:c r="V108" s="6" t="n">
        <x:v>0</x:v>
      </x:c>
      <x:c r="W108" s="6" t="n">
        <x:v>0</x:v>
      </x:c>
      <x:c r="X108" s="6" t="n">
        <x:v>0</x:v>
      </x:c>
      <x:c r="Y108" s="6" t="n">
        <x:v>0</x:v>
      </x:c>
      <x:c r="Z108" s="6" t="n">
        <x:v>0</x:v>
      </x:c>
      <x:c r="AA108" s="6" t="n">
        <x:v>3</x:v>
      </x:c>
      <x:c r="AB108" s="6" t="n">
        <x:v>11</x:v>
      </x:c>
      <x:c r="AC108" s="6" t="n">
        <x:v>0</x:v>
      </x:c>
    </x:row>
    <x:row r="109">
      <x:c r="A109" s="6" t="n">
        <x:v>2683</x:v>
      </x:c>
      <x:c r="B109" s="6" t="n">
        <x:v>1969</x:v>
      </x:c>
      <x:c r="C109" s="6" t="str">
        <x:v>Graduation</x:v>
      </x:c>
      <x:c r="D109" s="6" t="str">
        <x:v>Married</x:v>
      </x:c>
      <x:c r="E109" s="6" t="n">
        <x:v>52413</x:v>
      </x:c>
      <x:c r="F109" s="6" t="n">
        <x:v>0</x:v>
      </x:c>
      <x:c r="G109" s="6" t="n">
        <x:v>2</x:v>
      </x:c>
      <x:c r="H109" s="9" t="str">
        <x:v>02-02-2013</x:v>
      </x:c>
      <x:c r="I109" s="6" t="n">
        <x:v>56</x:v>
      </x:c>
      <x:c r="J109" s="6" t="n">
        <x:v>295</x:v>
      </x:c>
      <x:c r="K109" s="6" t="n">
        <x:v>106</x:v>
      </x:c>
      <x:c r="L109" s="6" t="n">
        <x:v>271</x:v>
      </x:c>
      <x:c r="M109" s="6" t="n">
        <x:v>75</x:v>
      </x:c>
      <x:c r="N109" s="6" t="n">
        <x:v>98</x:v>
      </x:c>
      <x:c r="O109" s="6" t="n">
        <x:v>65</x:v>
      </x:c>
      <x:c r="P109" s="6" t="n">
        <x:v>4</x:v>
      </x:c>
      <x:c r="Q109" s="6" t="n">
        <x:v>6</x:v>
      </x:c>
      <x:c r="R109" s="6" t="n">
        <x:v>4</x:v>
      </x:c>
      <x:c r="S109" s="6" t="n">
        <x:v>12</x:v>
      </x:c>
      <x:c r="T109" s="6" t="n">
        <x:v>6</x:v>
      </x:c>
      <x:c r="U109" s="6" t="n">
        <x:v>0</x:v>
      </x:c>
      <x:c r="V109" s="6" t="n">
        <x:v>0</x:v>
      </x:c>
      <x:c r="W109" s="6" t="n">
        <x:v>0</x:v>
      </x:c>
      <x:c r="X109" s="6" t="n">
        <x:v>0</x:v>
      </x:c>
      <x:c r="Y109" s="6" t="n">
        <x:v>0</x:v>
      </x:c>
      <x:c r="Z109" s="6" t="n">
        <x:v>0</x:v>
      </x:c>
      <x:c r="AA109" s="6" t="n">
        <x:v>3</x:v>
      </x:c>
      <x:c r="AB109" s="6" t="n">
        <x:v>11</x:v>
      </x:c>
      <x:c r="AC109" s="6" t="n">
        <x:v>0</x:v>
      </x:c>
    </x:row>
    <x:row r="110">
      <x:c r="A110" s="6" t="n">
        <x:v>3629</x:v>
      </x:c>
      <x:c r="B110" s="6" t="n">
        <x:v>1978</x:v>
      </x:c>
      <x:c r="C110" s="6" t="str">
        <x:v>Graduation</x:v>
      </x:c>
      <x:c r="D110" s="6" t="str">
        <x:v>Single</x:v>
      </x:c>
      <x:c r="E110" s="6" t="n">
        <x:v>38557</x:v>
      </x:c>
      <x:c r="F110" s="6" t="n">
        <x:v>1</x:v>
      </x:c>
      <x:c r="G110" s="6" t="n">
        <x:v>0</x:v>
      </x:c>
      <x:c r="H110" s="9" t="str">
        <x:v>19-12-2012</x:v>
      </x:c>
      <x:c r="I110" s="6" t="n">
        <x:v>17</x:v>
      </x:c>
      <x:c r="J110" s="6" t="n">
        <x:v>76</x:v>
      </x:c>
      <x:c r="K110" s="6" t="n">
        <x:v>3</x:v>
      </x:c>
      <x:c r="L110" s="6" t="n">
        <x:v>31</x:v>
      </x:c>
      <x:c r="M110" s="6" t="n">
        <x:v>4</x:v>
      </x:c>
      <x:c r="N110" s="6" t="n">
        <x:v>4</x:v>
      </x:c>
      <x:c r="O110" s="6" t="n">
        <x:v>27</x:v>
      </x:c>
      <x:c r="P110" s="6" t="n">
        <x:v>2</x:v>
      </x:c>
      <x:c r="Q110" s="6" t="n">
        <x:v>3</x:v>
      </x:c>
      <x:c r="R110" s="6" t="n">
        <x:v>1</x:v>
      </x:c>
      <x:c r="S110" s="6" t="n">
        <x:v>3</x:v>
      </x:c>
      <x:c r="T110" s="6" t="n">
        <x:v>7</x:v>
      </x:c>
      <x:c r="U110" s="6" t="n">
        <x:v>0</x:v>
      </x:c>
      <x:c r="V110" s="6" t="n">
        <x:v>0</x:v>
      </x:c>
      <x:c r="W110" s="6" t="n">
        <x:v>0</x:v>
      </x:c>
      <x:c r="X110" s="6" t="n">
        <x:v>0</x:v>
      </x:c>
      <x:c r="Y110" s="6" t="n">
        <x:v>0</x:v>
      </x:c>
      <x:c r="Z110" s="6" t="n">
        <x:v>0</x:v>
      </x:c>
      <x:c r="AA110" s="6" t="n">
        <x:v>3</x:v>
      </x:c>
      <x:c r="AB110" s="6" t="n">
        <x:v>11</x:v>
      </x:c>
      <x:c r="AC110" s="6" t="n">
        <x:v>0</x:v>
      </x:c>
    </x:row>
    <x:row r="111">
      <x:c r="A111" s="6" t="n">
        <x:v>10991</x:v>
      </x:c>
      <x:c r="B111" s="6" t="n">
        <x:v>1960</x:v>
      </x:c>
      <x:c r="C111" s="6" t="str">
        <x:v>Master</x:v>
      </x:c>
      <x:c r="D111" s="6" t="str">
        <x:v>Married</x:v>
      </x:c>
      <x:c r="E111" s="6" t="n">
        <x:v>89058</x:v>
      </x:c>
      <x:c r="F111" s="6" t="n">
        <x:v>0</x:v>
      </x:c>
      <x:c r="G111" s="6" t="n">
        <x:v>0</x:v>
      </x:c>
      <x:c r="H111" s="9" t="str">
        <x:v>07-12-2012</x:v>
      </x:c>
      <x:c r="I111" s="6" t="n">
        <x:v>18</x:v>
      </x:c>
      <x:c r="J111" s="6" t="n">
        <x:v>454</x:v>
      </x:c>
      <x:c r="K111" s="6" t="n">
        <x:v>194</x:v>
      </x:c>
      <x:c r="L111" s="6" t="n">
        <x:v>106</x:v>
      </x:c>
      <x:c r="M111" s="6" t="n">
        <x:v>31</x:v>
      </x:c>
      <x:c r="N111" s="6" t="n">
        <x:v>22</x:v>
      </x:c>
      <x:c r="O111" s="6" t="n">
        <x:v>43</x:v>
      </x:c>
      <x:c r="P111" s="6" t="n">
        <x:v>1</x:v>
      </x:c>
      <x:c r="Q111" s="6" t="n">
        <x:v>5</x:v>
      </x:c>
      <x:c r="R111" s="6" t="n">
        <x:v>4</x:v>
      </x:c>
      <x:c r="S111" s="6" t="n">
        <x:v>4</x:v>
      </x:c>
      <x:c r="T111" s="6" t="n">
        <x:v>2</x:v>
      </x:c>
      <x:c r="U111" s="6" t="n">
        <x:v>0</x:v>
      </x:c>
      <x:c r="V111" s="6" t="n">
        <x:v>0</x:v>
      </x:c>
      <x:c r="W111" s="6" t="n">
        <x:v>0</x:v>
      </x:c>
      <x:c r="X111" s="6" t="n">
        <x:v>0</x:v>
      </x:c>
      <x:c r="Y111" s="6" t="n">
        <x:v>0</x:v>
      </x:c>
      <x:c r="Z111" s="6" t="n">
        <x:v>0</x:v>
      </x:c>
      <x:c r="AA111" s="6" t="n">
        <x:v>3</x:v>
      </x:c>
      <x:c r="AB111" s="6" t="n">
        <x:v>11</x:v>
      </x:c>
      <x:c r="AC111" s="6" t="n">
        <x:v>0</x:v>
      </x:c>
    </x:row>
    <x:row r="112">
      <x:c r="A112" s="6" t="n">
        <x:v>5077</x:v>
      </x:c>
      <x:c r="B112" s="6" t="n">
        <x:v>1979</x:v>
      </x:c>
      <x:c r="C112" s="6" t="str">
        <x:v>Graduation</x:v>
      </x:c>
      <x:c r="D112" s="6" t="str">
        <x:v>Together</x:v>
      </x:c>
      <x:c r="E112" s="6" t="n">
        <x:v>77298</x:v>
      </x:c>
      <x:c r="F112" s="6" t="n">
        <x:v>0</x:v>
      </x:c>
      <x:c r="G112" s="6" t="n">
        <x:v>1</x:v>
      </x:c>
      <x:c r="H112" s="9" t="str">
        <x:v>02-11-2013</x:v>
      </x:c>
      <x:c r="I112" s="6" t="n">
        <x:v>46</x:v>
      </x:c>
      <x:c r="J112" s="6" t="n">
        <x:v>425</x:v>
      </x:c>
      <x:c r="K112" s="6" t="n">
        <x:v>115</x:v>
      </x:c>
      <x:c r="L112" s="6" t="n">
        <x:v>292</x:v>
      </x:c>
      <x:c r="M112" s="6" t="n">
        <x:v>23</x:v>
      </x:c>
      <x:c r="N112" s="6" t="n">
        <x:v>35</x:v>
      </x:c>
      <x:c r="O112" s="6" t="n">
        <x:v>79</x:v>
      </x:c>
      <x:c r="P112" s="6" t="n">
        <x:v>1</x:v>
      </x:c>
      <x:c r="Q112" s="6" t="n">
        <x:v>6</x:v>
      </x:c>
      <x:c r="R112" s="6" t="n">
        <x:v>6</x:v>
      </x:c>
      <x:c r="S112" s="6" t="n">
        <x:v>11</x:v>
      </x:c>
      <x:c r="T112" s="6" t="n">
        <x:v>3</x:v>
      </x:c>
      <x:c r="U112" s="6" t="n">
        <x:v>0</x:v>
      </x:c>
      <x:c r="V112" s="6" t="n">
        <x:v>0</x:v>
      </x:c>
      <x:c r="W112" s="6" t="n">
        <x:v>0</x:v>
      </x:c>
      <x:c r="X112" s="6" t="n">
        <x:v>0</x:v>
      </x:c>
      <x:c r="Y112" s="6" t="n">
        <x:v>0</x:v>
      </x:c>
      <x:c r="Z112" s="6" t="n">
        <x:v>0</x:v>
      </x:c>
      <x:c r="AA112" s="6" t="n">
        <x:v>3</x:v>
      </x:c>
      <x:c r="AB112" s="6" t="n">
        <x:v>11</x:v>
      </x:c>
      <x:c r="AC112" s="6" t="n">
        <x:v>0</x:v>
      </x:c>
    </x:row>
    <x:row r="113">
      <x:c r="A113" s="6" t="n">
        <x:v>7431</x:v>
      </x:c>
      <x:c r="B113" s="6" t="n">
        <x:v>1991</x:v>
      </x:c>
      <x:c r="C113" s="6" t="str">
        <x:v>PhD</x:v>
      </x:c>
      <x:c r="D113" s="6" t="str">
        <x:v>Single</x:v>
      </x:c>
      <x:c r="E113" s="6" t="n">
        <x:v>68126</x:v>
      </x:c>
      <x:c r="F113" s="6" t="n">
        <x:v>0</x:v>
      </x:c>
      <x:c r="G113" s="6" t="n">
        <x:v>0</x:v>
      </x:c>
      <x:c r="H113" s="9" t="str">
        <x:v>10-11-2012</x:v>
      </x:c>
      <x:c r="I113" s="6" t="n">
        <x:v>40</x:v>
      </x:c>
      <x:c r="J113" s="6" t="n">
        <x:v>1332</x:v>
      </x:c>
      <x:c r="K113" s="6" t="n">
        <x:v>17</x:v>
      </x:c>
      <x:c r="L113" s="6" t="n">
        <x:v>311</x:v>
      </x:c>
      <x:c r="M113" s="6" t="n">
        <x:v>23</x:v>
      </x:c>
      <x:c r="N113" s="6" t="n">
        <x:v>51</x:v>
      </x:c>
      <x:c r="O113" s="6" t="n">
        <x:v>86</x:v>
      </x:c>
      <x:c r="P113" s="6" t="n">
        <x:v>1</x:v>
      </x:c>
      <x:c r="Q113" s="6" t="n">
        <x:v>7</x:v>
      </x:c>
      <x:c r="R113" s="6" t="n">
        <x:v>4</x:v>
      </x:c>
      <x:c r="S113" s="6" t="n">
        <x:v>5</x:v>
      </x:c>
      <x:c r="T113" s="6" t="n">
        <x:v>9</x:v>
      </x:c>
      <x:c r="U113" s="6" t="n">
        <x:v>0</x:v>
      </x:c>
      <x:c r="V113" s="6" t="n">
        <x:v>1</x:v>
      </x:c>
      <x:c r="W113" s="6" t="n">
        <x:v>0</x:v>
      </x:c>
      <x:c r="X113" s="6" t="n">
        <x:v>0</x:v>
      </x:c>
      <x:c r="Y113" s="6" t="n">
        <x:v>0</x:v>
      </x:c>
      <x:c r="Z113" s="6" t="n">
        <x:v>0</x:v>
      </x:c>
      <x:c r="AA113" s="6" t="n">
        <x:v>3</x:v>
      </x:c>
      <x:c r="AB113" s="6" t="n">
        <x:v>11</x:v>
      </x:c>
      <x:c r="AC113" s="6" t="n">
        <x:v>1</x:v>
      </x:c>
    </x:row>
    <x:row r="114">
      <x:c r="A114" s="6" t="n">
        <x:v>3267</x:v>
      </x:c>
      <x:c r="B114" s="6" t="n">
        <x:v>1963</x:v>
      </x:c>
      <x:c r="C114" s="6" t="str">
        <x:v>Master</x:v>
      </x:c>
      <x:c r="D114" s="6" t="str">
        <x:v>Together</x:v>
      </x:c>
      <x:c r="E114" s="6" t="n">
        <x:v>57288</x:v>
      </x:c>
      <x:c r="F114" s="6" t="n">
        <x:v>0</x:v>
      </x:c>
      <x:c r="G114" s="6" t="n">
        <x:v>1</x:v>
      </x:c>
      <x:c r="H114" s="9" t="str">
        <x:v>25-06-2014</x:v>
      </x:c>
      <x:c r="I114" s="6" t="n">
        <x:v>27</x:v>
      </x:c>
      <x:c r="J114" s="6" t="n">
        <x:v>527</x:v>
      </x:c>
      <x:c r="K114" s="6" t="n">
        <x:v>0</x:v>
      </x:c>
      <x:c r="L114" s="6" t="n">
        <x:v>21</x:v>
      </x:c>
      <x:c r="M114" s="6" t="n">
        <x:v>0</x:v>
      </x:c>
      <x:c r="N114" s="6" t="n">
        <x:v>0</x:v>
      </x:c>
      <x:c r="O114" s="6" t="n">
        <x:v>60</x:v>
      </x:c>
      <x:c r="P114" s="6" t="n">
        <x:v>3</x:v>
      </x:c>
      <x:c r="Q114" s="6" t="n">
        <x:v>8</x:v>
      </x:c>
      <x:c r="R114" s="6" t="n">
        <x:v>1</x:v>
      </x:c>
      <x:c r="S114" s="6" t="n">
        <x:v>8</x:v>
      </x:c>
      <x:c r="T114" s="6" t="n">
        <x:v>6</x:v>
      </x:c>
      <x:c r="U114" s="6" t="n">
        <x:v>0</x:v>
      </x:c>
      <x:c r="V114" s="6" t="n">
        <x:v>1</x:v>
      </x:c>
      <x:c r="W114" s="6" t="n">
        <x:v>0</x:v>
      </x:c>
      <x:c r="X114" s="6" t="n">
        <x:v>0</x:v>
      </x:c>
      <x:c r="Y114" s="6" t="n">
        <x:v>0</x:v>
      </x:c>
      <x:c r="Z114" s="6" t="n">
        <x:v>0</x:v>
      </x:c>
      <x:c r="AA114" s="6" t="n">
        <x:v>3</x:v>
      </x:c>
      <x:c r="AB114" s="6" t="n">
        <x:v>11</x:v>
      </x:c>
      <x:c r="AC114" s="6" t="n">
        <x:v>0</x:v>
      </x:c>
    </x:row>
    <x:row r="115">
      <x:c r="A115" s="6" t="n">
        <x:v>999</x:v>
      </x:c>
      <x:c r="B115" s="6" t="n">
        <x:v>1991</x:v>
      </x:c>
      <x:c r="C115" s="6" t="str">
        <x:v>Graduation</x:v>
      </x:c>
      <x:c r="D115" s="6" t="str">
        <x:v>Single</x:v>
      </x:c>
      <x:c r="E115" s="6" t="n">
        <x:v>86037</x:v>
      </x:c>
      <x:c r="F115" s="6" t="n">
        <x:v>0</x:v>
      </x:c>
      <x:c r="G115" s="6" t="n">
        <x:v>0</x:v>
      </x:c>
      <x:c r="H115" s="9" t="str">
        <x:v>02-01-2013</x:v>
      </x:c>
      <x:c r="I115" s="6" t="n">
        <x:v>95</x:v>
      </x:c>
      <x:c r="J115" s="6" t="n">
        <x:v>490</x:v>
      </x:c>
      <x:c r="K115" s="6" t="n">
        <x:v>44</x:v>
      </x:c>
      <x:c r="L115" s="6" t="n">
        <x:v>125</x:v>
      </x:c>
      <x:c r="M115" s="6" t="n">
        <x:v>29</x:v>
      </x:c>
      <x:c r="N115" s="6" t="n">
        <x:v>20</x:v>
      </x:c>
      <x:c r="O115" s="6" t="n">
        <x:v>22</x:v>
      </x:c>
      <x:c r="P115" s="6" t="n">
        <x:v>1</x:v>
      </x:c>
      <x:c r="Q115" s="6" t="n">
        <x:v>6</x:v>
      </x:c>
      <x:c r="R115" s="6" t="n">
        <x:v>7</x:v>
      </x:c>
      <x:c r="S115" s="6" t="n">
        <x:v>11</x:v>
      </x:c>
      <x:c r="T115" s="6" t="n">
        <x:v>3</x:v>
      </x:c>
      <x:c r="U115" s="6" t="n">
        <x:v>0</x:v>
      </x:c>
      <x:c r="V115" s="6" t="n">
        <x:v>1</x:v>
      </x:c>
      <x:c r="W115" s="6" t="n">
        <x:v>1</x:v>
      </x:c>
      <x:c r="X115" s="6" t="n">
        <x:v>0</x:v>
      </x:c>
      <x:c r="Y115" s="6" t="n">
        <x:v>0</x:v>
      </x:c>
      <x:c r="Z115" s="6" t="n">
        <x:v>0</x:v>
      </x:c>
      <x:c r="AA115" s="6" t="n">
        <x:v>3</x:v>
      </x:c>
      <x:c r="AB115" s="6" t="n">
        <x:v>11</x:v>
      </x:c>
      <x:c r="AC115" s="6" t="n">
        <x:v>1</x:v>
      </x:c>
    </x:row>
    <x:row r="116">
      <x:c r="A116" s="6" t="n">
        <x:v>9215</x:v>
      </x:c>
      <x:c r="B116" s="6" t="n">
        <x:v>1980</x:v>
      </x:c>
      <x:c r="C116" s="6" t="str">
        <x:v>PhD</x:v>
      </x:c>
      <x:c r="D116" s="6" t="str">
        <x:v>Married</x:v>
      </x:c>
      <x:c r="E116" s="6" t="n">
        <x:v>43974</x:v>
      </x:c>
      <x:c r="F116" s="6" t="n">
        <x:v>1</x:v>
      </x:c>
      <x:c r="G116" s="6" t="n">
        <x:v>0</x:v>
      </x:c>
      <x:c r="H116" s="9" t="str">
        <x:v>12-12-2012</x:v>
      </x:c>
      <x:c r="I116" s="6" t="n">
        <x:v>19</x:v>
      </x:c>
      <x:c r="J116" s="6" t="n">
        <x:v>378</x:v>
      </x:c>
      <x:c r="K116" s="6" t="n">
        <x:v>0</x:v>
      </x:c>
      <x:c r="L116" s="6" t="n">
        <x:v>101</x:v>
      </x:c>
      <x:c r="M116" s="6" t="n">
        <x:v>0</x:v>
      </x:c>
      <x:c r="N116" s="6" t="n">
        <x:v>0</x:v>
      </x:c>
      <x:c r="O116" s="6" t="n">
        <x:v>72</x:v>
      </x:c>
      <x:c r="P116" s="6" t="n">
        <x:v>5</x:v>
      </x:c>
      <x:c r="Q116" s="6" t="n">
        <x:v>6</x:v>
      </x:c>
      <x:c r="R116" s="6" t="n">
        <x:v>4</x:v>
      </x:c>
      <x:c r="S116" s="6" t="n">
        <x:v>6</x:v>
      </x:c>
      <x:c r="T116" s="6" t="n">
        <x:v>7</x:v>
      </x:c>
      <x:c r="U116" s="6" t="n">
        <x:v>0</x:v>
      </x:c>
      <x:c r="V116" s="6" t="n">
        <x:v>0</x:v>
      </x:c>
      <x:c r="W116" s="6" t="n">
        <x:v>0</x:v>
      </x:c>
      <x:c r="X116" s="6" t="n">
        <x:v>0</x:v>
      </x:c>
      <x:c r="Y116" s="6" t="n">
        <x:v>0</x:v>
      </x:c>
      <x:c r="Z116" s="6" t="n">
        <x:v>0</x:v>
      </x:c>
      <x:c r="AA116" s="6" t="n">
        <x:v>3</x:v>
      </x:c>
      <x:c r="AB116" s="6" t="n">
        <x:v>11</x:v>
      </x:c>
      <x:c r="AC116" s="6" t="n">
        <x:v>0</x:v>
      </x:c>
    </x:row>
    <x:row r="117">
      <x:c r="A117" s="6" t="n">
        <x:v>2286</x:v>
      </x:c>
      <x:c r="B117" s="6" t="n">
        <x:v>1962</x:v>
      </x:c>
      <x:c r="C117" s="6" t="str">
        <x:v>Graduation</x:v>
      </x:c>
      <x:c r="D117" s="6" t="str">
        <x:v>Single</x:v>
      </x:c>
      <x:c r="E117" s="6" t="n">
        <x:v>50785</x:v>
      </x:c>
      <x:c r="F117" s="6" t="n">
        <x:v>1</x:v>
      </x:c>
      <x:c r="G117" s="6" t="n">
        <x:v>1</x:v>
      </x:c>
      <x:c r="H117" s="9" t="str">
        <x:v>10-09-2013</x:v>
      </x:c>
      <x:c r="I117" s="6" t="n">
        <x:v>27</x:v>
      </x:c>
      <x:c r="J117" s="6" t="n">
        <x:v>64</x:v>
      </x:c>
      <x:c r="K117" s="6" t="n">
        <x:v>1</x:v>
      </x:c>
      <x:c r="L117" s="6" t="n">
        <x:v>21</x:v>
      </x:c>
      <x:c r="M117" s="6" t="n">
        <x:v>0</x:v>
      </x:c>
      <x:c r="N117" s="6" t="n">
        <x:v>1</x:v>
      </x:c>
      <x:c r="O117" s="6" t="n">
        <x:v>27</x:v>
      </x:c>
      <x:c r="P117" s="6" t="n">
        <x:v>2</x:v>
      </x:c>
      <x:c r="Q117" s="6" t="n">
        <x:v>2</x:v>
      </x:c>
      <x:c r="R117" s="6" t="n">
        <x:v>1</x:v>
      </x:c>
      <x:c r="S117" s="6" t="n">
        <x:v>3</x:v>
      </x:c>
      <x:c r="T117" s="6" t="n">
        <x:v>6</x:v>
      </x:c>
      <x:c r="U117" s="6" t="n">
        <x:v>0</x:v>
      </x:c>
      <x:c r="V117" s="6" t="n">
        <x:v>0</x:v>
      </x:c>
      <x:c r="W117" s="6" t="n">
        <x:v>0</x:v>
      </x:c>
      <x:c r="X117" s="6" t="n">
        <x:v>0</x:v>
      </x:c>
      <x:c r="Y117" s="6" t="n">
        <x:v>0</x:v>
      </x:c>
      <x:c r="Z117" s="6" t="n">
        <x:v>0</x:v>
      </x:c>
      <x:c r="AA117" s="6" t="n">
        <x:v>3</x:v>
      </x:c>
      <x:c r="AB117" s="6" t="n">
        <x:v>11</x:v>
      </x:c>
      <x:c r="AC117" s="6" t="n">
        <x:v>0</x:v>
      </x:c>
    </x:row>
    <x:row r="118">
      <x:c r="A118" s="6" t="n">
        <x:v>1592</x:v>
      </x:c>
      <x:c r="B118" s="6" t="n">
        <x:v>1970</x:v>
      </x:c>
      <x:c r="C118" s="6" t="str">
        <x:v>Graduation</x:v>
      </x:c>
      <x:c r="D118" s="6" t="str">
        <x:v>Married</x:v>
      </x:c>
      <x:c r="E118" s="6" t="n">
        <x:v>90765</x:v>
      </x:c>
      <x:c r="F118" s="6" t="n">
        <x:v>0</x:v>
      </x:c>
      <x:c r="G118" s="6" t="n">
        <x:v>0</x:v>
      </x:c>
      <x:c r="H118" s="9" t="str">
        <x:v>24-01-2014</x:v>
      </x:c>
      <x:c r="I118" s="6" t="n">
        <x:v>25</x:v>
      </x:c>
      <x:c r="J118" s="6" t="n">
        <x:v>547</x:v>
      </x:c>
      <x:c r="K118" s="6" t="n">
        <x:v>99</x:v>
      </x:c>
      <x:c r="L118" s="6" t="n">
        <x:v>812</x:v>
      </x:c>
      <x:c r="M118" s="6" t="n">
        <x:v>151</x:v>
      </x:c>
      <x:c r="N118" s="6" t="n">
        <x:v>82</x:v>
      </x:c>
      <x:c r="O118" s="6" t="n">
        <x:v>33</x:v>
      </x:c>
      <x:c r="P118" s="6" t="n">
        <x:v>0</x:v>
      </x:c>
      <x:c r="Q118" s="6" t="n">
        <x:v>4</x:v>
      </x:c>
      <x:c r="R118" s="6" t="n">
        <x:v>6</x:v>
      </x:c>
      <x:c r="S118" s="6" t="n">
        <x:v>5</x:v>
      </x:c>
      <x:c r="T118" s="6" t="n">
        <x:v>1</x:v>
      </x:c>
      <x:c r="U118" s="6" t="n">
        <x:v>0</x:v>
      </x:c>
      <x:c r="V118" s="6" t="n">
        <x:v>0</x:v>
      </x:c>
      <x:c r="W118" s="6" t="n">
        <x:v>1</x:v>
      </x:c>
      <x:c r="X118" s="6" t="n">
        <x:v>1</x:v>
      </x:c>
      <x:c r="Y118" s="6" t="n">
        <x:v>0</x:v>
      </x:c>
      <x:c r="Z118" s="6" t="n">
        <x:v>0</x:v>
      </x:c>
      <x:c r="AA118" s="6" t="n">
        <x:v>3</x:v>
      </x:c>
      <x:c r="AB118" s="6" t="n">
        <x:v>11</x:v>
      </x:c>
      <x:c r="AC118" s="6" t="n">
        <x:v>0</x:v>
      </x:c>
    </x:row>
    <x:row r="119">
      <x:c r="A119" s="6" t="n">
        <x:v>367</x:v>
      </x:c>
      <x:c r="B119" s="6" t="n">
        <x:v>1978</x:v>
      </x:c>
      <x:c r="C119" s="6" t="str">
        <x:v>2n Cycle</x:v>
      </x:c>
      <x:c r="D119" s="6" t="str">
        <x:v>Married</x:v>
      </x:c>
      <x:c r="E119" s="6" t="n">
        <x:v>36550</x:v>
      </x:c>
      <x:c r="F119" s="6" t="n">
        <x:v>1</x:v>
      </x:c>
      <x:c r="G119" s="6" t="n">
        <x:v>0</x:v>
      </x:c>
      <x:c r="H119" s="9" t="str">
        <x:v>19-02-2013</x:v>
      </x:c>
      <x:c r="I119" s="6" t="n">
        <x:v>74</x:v>
      </x:c>
      <x:c r="J119" s="6" t="n">
        <x:v>47</x:v>
      </x:c>
      <x:c r="K119" s="6" t="n">
        <x:v>90</x:v>
      </x:c>
      <x:c r="L119" s="6" t="n">
        <x:v>94</x:v>
      </x:c>
      <x:c r="M119" s="6" t="n">
        <x:v>123</x:v>
      </x:c>
      <x:c r="N119" s="6" t="n">
        <x:v>103</x:v>
      </x:c>
      <x:c r="O119" s="6" t="n">
        <x:v>120</x:v>
      </x:c>
      <x:c r="P119" s="6" t="n">
        <x:v>5</x:v>
      </x:c>
      <x:c r="Q119" s="6" t="n">
        <x:v>9</x:v>
      </x:c>
      <x:c r="R119" s="6" t="n">
        <x:v>1</x:v>
      </x:c>
      <x:c r="S119" s="6" t="n">
        <x:v>5</x:v>
      </x:c>
      <x:c r="T119" s="6" t="n">
        <x:v>9</x:v>
      </x:c>
      <x:c r="U119" s="6" t="n">
        <x:v>0</x:v>
      </x:c>
      <x:c r="V119" s="6" t="n">
        <x:v>0</x:v>
      </x:c>
      <x:c r="W119" s="6" t="n">
        <x:v>0</x:v>
      </x:c>
      <x:c r="X119" s="6" t="n">
        <x:v>0</x:v>
      </x:c>
      <x:c r="Y119" s="6" t="n">
        <x:v>0</x:v>
      </x:c>
      <x:c r="Z119" s="6" t="n">
        <x:v>0</x:v>
      </x:c>
      <x:c r="AA119" s="6" t="n">
        <x:v>3</x:v>
      </x:c>
      <x:c r="AB119" s="6" t="n">
        <x:v>11</x:v>
      </x:c>
      <x:c r="AC119" s="6" t="n">
        <x:v>0</x:v>
      </x:c>
    </x:row>
    <x:row r="120">
      <x:c r="A120" s="6" t="n">
        <x:v>5234</x:v>
      </x:c>
      <x:c r="B120" s="6" t="n">
        <x:v>1967</x:v>
      </x:c>
      <x:c r="C120" s="6" t="str">
        <x:v>2n Cycle</x:v>
      </x:c>
      <x:c r="D120" s="6" t="str">
        <x:v>Together</x:v>
      </x:c>
      <x:c r="E120" s="6" t="n">
        <x:v>30753</x:v>
      </x:c>
      <x:c r="F120" s="6" t="n">
        <x:v>1</x:v>
      </x:c>
      <x:c r="G120" s="6" t="n">
        <x:v>1</x:v>
      </x:c>
      <x:c r="H120" s="9" t="str">
        <x:v>11-07-2013</x:v>
      </x:c>
      <x:c r="I120" s="6" t="n">
        <x:v>85</x:v>
      </x:c>
      <x:c r="J120" s="6" t="n">
        <x:v>12</x:v>
      </x:c>
      <x:c r="K120" s="6" t="n">
        <x:v>5</x:v>
      </x:c>
      <x:c r="L120" s="6" t="n">
        <x:v>25</x:v>
      </x:c>
      <x:c r="M120" s="6" t="n">
        <x:v>0</x:v>
      </x:c>
      <x:c r="N120" s="6" t="n">
        <x:v>9</x:v>
      </x:c>
      <x:c r="O120" s="6" t="n">
        <x:v>30</x:v>
      </x:c>
      <x:c r="P120" s="6" t="n">
        <x:v>2</x:v>
      </x:c>
      <x:c r="Q120" s="6" t="n">
        <x:v>1</x:v>
      </x:c>
      <x:c r="R120" s="6" t="n">
        <x:v>1</x:v>
      </x:c>
      <x:c r="S120" s="6" t="n">
        <x:v>3</x:v>
      </x:c>
      <x:c r="T120" s="6" t="n">
        <x:v>5</x:v>
      </x:c>
      <x:c r="U120" s="6" t="n">
        <x:v>0</x:v>
      </x:c>
      <x:c r="V120" s="6" t="n">
        <x:v>0</x:v>
      </x:c>
      <x:c r="W120" s="6" t="n">
        <x:v>0</x:v>
      </x:c>
      <x:c r="X120" s="6" t="n">
        <x:v>0</x:v>
      </x:c>
      <x:c r="Y120" s="6" t="n">
        <x:v>0</x:v>
      </x:c>
      <x:c r="Z120" s="6" t="n">
        <x:v>0</x:v>
      </x:c>
      <x:c r="AA120" s="6" t="n">
        <x:v>3</x:v>
      </x:c>
      <x:c r="AB120" s="6" t="n">
        <x:v>11</x:v>
      </x:c>
      <x:c r="AC120" s="6" t="n">
        <x:v>0</x:v>
      </x:c>
    </x:row>
    <x:row r="121">
      <x:c r="A121" s="6" t="n">
        <x:v>9862</x:v>
      </x:c>
      <x:c r="B121" s="6" t="n">
        <x:v>1969</x:v>
      </x:c>
      <x:c r="C121" s="6" t="str">
        <x:v>Graduation</x:v>
      </x:c>
      <x:c r="D121" s="6" t="str">
        <x:v>Together</x:v>
      </x:c>
      <x:c r="E121" s="6" t="n">
        <x:v>21918</x:v>
      </x:c>
      <x:c r="F121" s="6" t="n">
        <x:v>1</x:v>
      </x:c>
      <x:c r="G121" s="6" t="n">
        <x:v>0</x:v>
      </x:c>
      <x:c r="H121" s="9" t="str">
        <x:v>14-11-2013</x:v>
      </x:c>
      <x:c r="I121" s="6" t="n">
        <x:v>37</x:v>
      </x:c>
      <x:c r="J121" s="6" t="n">
        <x:v>1</x:v>
      </x:c>
      <x:c r="K121" s="6" t="n">
        <x:v>6</x:v>
      </x:c>
      <x:c r="L121" s="6" t="n">
        <x:v>7</x:v>
      </x:c>
      <x:c r="M121" s="6" t="n">
        <x:v>11</x:v>
      </x:c>
      <x:c r="N121" s="6" t="n">
        <x:v>5</x:v>
      </x:c>
      <x:c r="O121" s="6" t="n">
        <x:v>3</x:v>
      </x:c>
      <x:c r="P121" s="6" t="n">
        <x:v>2</x:v>
      </x:c>
      <x:c r="Q121" s="6" t="n">
        <x:v>2</x:v>
      </x:c>
      <x:c r="R121" s="6" t="n">
        <x:v>0</x:v>
      </x:c>
      <x:c r="S121" s="6" t="n">
        <x:v>3</x:v>
      </x:c>
      <x:c r="T121" s="6" t="n">
        <x:v>6</x:v>
      </x:c>
      <x:c r="U121" s="6" t="n">
        <x:v>0</x:v>
      </x:c>
      <x:c r="V121" s="6" t="n">
        <x:v>0</x:v>
      </x:c>
      <x:c r="W121" s="6" t="n">
        <x:v>0</x:v>
      </x:c>
      <x:c r="X121" s="6" t="n">
        <x:v>0</x:v>
      </x:c>
      <x:c r="Y121" s="6" t="n">
        <x:v>0</x:v>
      </x:c>
      <x:c r="Z121" s="6" t="n">
        <x:v>0</x:v>
      </x:c>
      <x:c r="AA121" s="6" t="n">
        <x:v>3</x:v>
      </x:c>
      <x:c r="AB121" s="6" t="n">
        <x:v>11</x:v>
      </x:c>
      <x:c r="AC121" s="6" t="n">
        <x:v>0</x:v>
      </x:c>
    </x:row>
    <x:row r="122">
      <x:c r="A122" s="6" t="n">
        <x:v>9805</x:v>
      </x:c>
      <x:c r="B122" s="6" t="n">
        <x:v>1953</x:v>
      </x:c>
      <x:c r="C122" s="6" t="str">
        <x:v>Master</x:v>
      </x:c>
      <x:c r="D122" s="6" t="str">
        <x:v>Together</x:v>
      </x:c>
      <x:c r="E122" s="6" t="n">
        <x:v>56129</x:v>
      </x:c>
      <x:c r="F122" s="6" t="n">
        <x:v>0</x:v>
      </x:c>
      <x:c r="G122" s="6" t="n">
        <x:v>1</x:v>
      </x:c>
      <x:c r="H122" s="9" t="str">
        <x:v>20-06-2013</x:v>
      </x:c>
      <x:c r="I122" s="6" t="n">
        <x:v>65</x:v>
      </x:c>
      <x:c r="J122" s="6" t="n">
        <x:v>320</x:v>
      </x:c>
      <x:c r="K122" s="6" t="n">
        <x:v>48</x:v>
      </x:c>
      <x:c r="L122" s="6" t="n">
        <x:v>133</x:v>
      </x:c>
      <x:c r="M122" s="6" t="n">
        <x:v>39</x:v>
      </x:c>
      <x:c r="N122" s="6" t="n">
        <x:v>72</x:v>
      </x:c>
      <x:c r="O122" s="6" t="n">
        <x:v>48</x:v>
      </x:c>
      <x:c r="P122" s="6" t="n">
        <x:v>4</x:v>
      </x:c>
      <x:c r="Q122" s="6" t="n">
        <x:v>6</x:v>
      </x:c>
      <x:c r="R122" s="6" t="n">
        <x:v>2</x:v>
      </x:c>
      <x:c r="S122" s="6" t="n">
        <x:v>10</x:v>
      </x:c>
      <x:c r="T122" s="6" t="n">
        <x:v>4</x:v>
      </x:c>
      <x:c r="U122" s="6" t="n">
        <x:v>0</x:v>
      </x:c>
      <x:c r="V122" s="6" t="n">
        <x:v>0</x:v>
      </x:c>
      <x:c r="W122" s="6" t="n">
        <x:v>0</x:v>
      </x:c>
      <x:c r="X122" s="6" t="n">
        <x:v>0</x:v>
      </x:c>
      <x:c r="Y122" s="6" t="n">
        <x:v>0</x:v>
      </x:c>
      <x:c r="Z122" s="6" t="n">
        <x:v>0</x:v>
      </x:c>
      <x:c r="AA122" s="6" t="n">
        <x:v>3</x:v>
      </x:c>
      <x:c r="AB122" s="6" t="n">
        <x:v>11</x:v>
      </x:c>
      <x:c r="AC122" s="6" t="n">
        <x:v>0</x:v>
      </x:c>
    </x:row>
    <x:row r="123">
      <x:c r="A123" s="6" t="n">
        <x:v>6205</x:v>
      </x:c>
      <x:c r="B123" s="6" t="n">
        <x:v>1967</x:v>
      </x:c>
      <x:c r="C123" s="6" t="str">
        <x:v>Master</x:v>
      </x:c>
      <x:c r="D123" s="6" t="str">
        <x:v>Single</x:v>
      </x:c>
      <x:c r="E123" s="6" t="n">
        <x:v>32557</x:v>
      </x:c>
      <x:c r="F123" s="6" t="n">
        <x:v>1</x:v>
      </x:c>
      <x:c r="G123" s="6" t="n">
        <x:v>0</x:v>
      </x:c>
      <x:c r="H123" s="9" t="str">
        <x:v>24-02-2014</x:v>
      </x:c>
      <x:c r="I123" s="6" t="n">
        <x:v>13</x:v>
      </x:c>
      <x:c r="J123" s="6" t="n">
        <x:v>34</x:v>
      </x:c>
      <x:c r="K123" s="6" t="n">
        <x:v>3</x:v>
      </x:c>
      <x:c r="L123" s="6" t="n">
        <x:v>29</x:v>
      </x:c>
      <x:c r="M123" s="6" t="n">
        <x:v>0</x:v>
      </x:c>
      <x:c r="N123" s="6" t="n">
        <x:v>4</x:v>
      </x:c>
      <x:c r="O123" s="6" t="n">
        <x:v>10</x:v>
      </x:c>
      <x:c r="P123" s="6" t="n">
        <x:v>3</x:v>
      </x:c>
      <x:c r="Q123" s="6" t="n">
        <x:v>2</x:v>
      </x:c>
      <x:c r="R123" s="6" t="n">
        <x:v>1</x:v>
      </x:c>
      <x:c r="S123" s="6" t="n">
        <x:v>3</x:v>
      </x:c>
      <x:c r="T123" s="6" t="n">
        <x:v>5</x:v>
      </x:c>
      <x:c r="U123" s="6" t="n">
        <x:v>0</x:v>
      </x:c>
      <x:c r="V123" s="6" t="n">
        <x:v>0</x:v>
      </x:c>
      <x:c r="W123" s="6" t="n">
        <x:v>0</x:v>
      </x:c>
      <x:c r="X123" s="6" t="n">
        <x:v>0</x:v>
      </x:c>
      <x:c r="Y123" s="6" t="n">
        <x:v>0</x:v>
      </x:c>
      <x:c r="Z123" s="6" t="n">
        <x:v>0</x:v>
      </x:c>
      <x:c r="AA123" s="6" t="n">
        <x:v>3</x:v>
      </x:c>
      <x:c r="AB123" s="6" t="n">
        <x:v>11</x:v>
      </x:c>
      <x:c r="AC123" s="6" t="n">
        <x:v>1</x:v>
      </x:c>
    </x:row>
    <x:row r="124">
      <x:c r="A124" s="6" t="n">
        <x:v>8442</x:v>
      </x:c>
      <x:c r="B124" s="6" t="n">
        <x:v>1985</x:v>
      </x:c>
      <x:c r="C124" s="6" t="str">
        <x:v>Master</x:v>
      </x:c>
      <x:c r="D124" s="6" t="str">
        <x:v>Married</x:v>
      </x:c>
      <x:c r="E124" s="6" t="n">
        <x:v>19510</x:v>
      </x:c>
      <x:c r="F124" s="6" t="n">
        <x:v>2</x:v>
      </x:c>
      <x:c r="G124" s="6" t="n">
        <x:v>0</x:v>
      </x:c>
      <x:c r="H124" s="9" t="str">
        <x:v>04-09-2013</x:v>
      </x:c>
      <x:c r="I124" s="6" t="n">
        <x:v>63</x:v>
      </x:c>
      <x:c r="J124" s="6" t="n">
        <x:v>9</x:v>
      </x:c>
      <x:c r="K124" s="6" t="n">
        <x:v>0</x:v>
      </x:c>
      <x:c r="L124" s="6" t="n">
        <x:v>7</x:v>
      </x:c>
      <x:c r="M124" s="6" t="n">
        <x:v>3</x:v>
      </x:c>
      <x:c r="N124" s="6" t="n">
        <x:v>4</x:v>
      </x:c>
      <x:c r="O124" s="6" t="n">
        <x:v>7</x:v>
      </x:c>
      <x:c r="P124" s="6" t="n">
        <x:v>2</x:v>
      </x:c>
      <x:c r="Q124" s="6" t="n">
        <x:v>1</x:v>
      </x:c>
      <x:c r="R124" s="6" t="n">
        <x:v>0</x:v>
      </x:c>
      <x:c r="S124" s="6" t="n">
        <x:v>3</x:v>
      </x:c>
      <x:c r="T124" s="6" t="n">
        <x:v>7</x:v>
      </x:c>
      <x:c r="U124" s="6" t="n">
        <x:v>0</x:v>
      </x:c>
      <x:c r="V124" s="6" t="n">
        <x:v>0</x:v>
      </x:c>
      <x:c r="W124" s="6" t="n">
        <x:v>0</x:v>
      </x:c>
      <x:c r="X124" s="6" t="n">
        <x:v>0</x:v>
      </x:c>
      <x:c r="Y124" s="6" t="n">
        <x:v>0</x:v>
      </x:c>
      <x:c r="Z124" s="6" t="n">
        <x:v>0</x:v>
      </x:c>
      <x:c r="AA124" s="6" t="n">
        <x:v>3</x:v>
      </x:c>
      <x:c r="AB124" s="6" t="n">
        <x:v>11</x:v>
      </x:c>
      <x:c r="AC124" s="6" t="n">
        <x:v>0</x:v>
      </x:c>
    </x:row>
    <x:row r="125">
      <x:c r="A125" s="6" t="n">
        <x:v>7386</x:v>
      </x:c>
      <x:c r="B125" s="6" t="n">
        <x:v>1976</x:v>
      </x:c>
      <x:c r="C125" s="6" t="str">
        <x:v>Graduation</x:v>
      </x:c>
      <x:c r="D125" s="6" t="str">
        <x:v>Divorced</x:v>
      </x:c>
      <x:c r="E125" s="6" t="n">
        <x:v>30992</x:v>
      </x:c>
      <x:c r="F125" s="6" t="n">
        <x:v>1</x:v>
      </x:c>
      <x:c r="G125" s="6" t="n">
        <x:v>0</x:v>
      </x:c>
      <x:c r="H125" s="9" t="str">
        <x:v>22-04-2013</x:v>
      </x:c>
      <x:c r="I125" s="6" t="n">
        <x:v>83</x:v>
      </x:c>
      <x:c r="J125" s="6" t="n">
        <x:v>17</x:v>
      </x:c>
      <x:c r="K125" s="6" t="n">
        <x:v>0</x:v>
      </x:c>
      <x:c r="L125" s="6" t="n">
        <x:v>14</x:v>
      </x:c>
      <x:c r="M125" s="6" t="n">
        <x:v>7</x:v>
      </x:c>
      <x:c r="N125" s="6" t="n">
        <x:v>3</x:v>
      </x:c>
      <x:c r="O125" s="6" t="n">
        <x:v>2</x:v>
      </x:c>
      <x:c r="P125" s="6" t="n">
        <x:v>1</x:v>
      </x:c>
      <x:c r="Q125" s="6" t="n">
        <x:v>1</x:v>
      </x:c>
      <x:c r="R125" s="6" t="n">
        <x:v>0</x:v>
      </x:c>
      <x:c r="S125" s="6" t="n">
        <x:v>3</x:v>
      </x:c>
      <x:c r="T125" s="6" t="n">
        <x:v>7</x:v>
      </x:c>
      <x:c r="U125" s="6" t="n">
        <x:v>0</x:v>
      </x:c>
      <x:c r="V125" s="6" t="n">
        <x:v>0</x:v>
      </x:c>
      <x:c r="W125" s="6" t="n">
        <x:v>0</x:v>
      </x:c>
      <x:c r="X125" s="6" t="n">
        <x:v>0</x:v>
      </x:c>
      <x:c r="Y125" s="6" t="n">
        <x:v>0</x:v>
      </x:c>
      <x:c r="Z125" s="6" t="n">
        <x:v>0</x:v>
      </x:c>
      <x:c r="AA125" s="6" t="n">
        <x:v>3</x:v>
      </x:c>
      <x:c r="AB125" s="6" t="n">
        <x:v>11</x:v>
      </x:c>
      <x:c r="AC125" s="6" t="n">
        <x:v>0</x:v>
      </x:c>
    </x:row>
    <x:row r="126">
      <x:c r="A126" s="6" t="n">
        <x:v>7215</x:v>
      </x:c>
      <x:c r="B126" s="6" t="n">
        <x:v>1983</x:v>
      </x:c>
      <x:c r="C126" s="6" t="str">
        <x:v>Graduation</x:v>
      </x:c>
      <x:c r="D126" s="6" t="str">
        <x:v>Single</x:v>
      </x:c>
      <x:c r="E126" s="6" t="n">
        <x:v>101970</x:v>
      </x:c>
      <x:c r="F126" s="6" t="n">
        <x:v>0</x:v>
      </x:c>
      <x:c r="G126" s="6" t="n">
        <x:v>0</x:v>
      </x:c>
      <x:c r="H126" s="9" t="str">
        <x:v>12-03-2013</x:v>
      </x:c>
      <x:c r="I126" s="6" t="n">
        <x:v>69</x:v>
      </x:c>
      <x:c r="J126" s="6" t="n">
        <x:v>722</x:v>
      </x:c>
      <x:c r="K126" s="6" t="n">
        <x:v>27</x:v>
      </x:c>
      <x:c r="L126" s="6" t="n">
        <x:v>102</x:v>
      </x:c>
      <x:c r="M126" s="6" t="n">
        <x:v>44</x:v>
      </x:c>
      <x:c r="N126" s="6" t="n">
        <x:v>72</x:v>
      </x:c>
      <x:c r="O126" s="6" t="n">
        <x:v>168</x:v>
      </x:c>
      <x:c r="P126" s="6" t="n">
        <x:v>0</x:v>
      </x:c>
      <x:c r="Q126" s="6" t="n">
        <x:v>6</x:v>
      </x:c>
      <x:c r="R126" s="6" t="n">
        <x:v>8</x:v>
      </x:c>
      <x:c r="S126" s="6" t="n">
        <x:v>13</x:v>
      </x:c>
      <x:c r="T126" s="6" t="n">
        <x:v>2</x:v>
      </x:c>
      <x:c r="U126" s="6" t="n">
        <x:v>0</x:v>
      </x:c>
      <x:c r="V126" s="6" t="n">
        <x:v>1</x:v>
      </x:c>
      <x:c r="W126" s="6" t="n">
        <x:v>1</x:v>
      </x:c>
      <x:c r="X126" s="6" t="n">
        <x:v>1</x:v>
      </x:c>
      <x:c r="Y126" s="6" t="n">
        <x:v>0</x:v>
      </x:c>
      <x:c r="Z126" s="6" t="n">
        <x:v>0</x:v>
      </x:c>
      <x:c r="AA126" s="6" t="n">
        <x:v>3</x:v>
      </x:c>
      <x:c r="AB126" s="6" t="n">
        <x:v>11</x:v>
      </x:c>
      <x:c r="AC126" s="6" t="n">
        <x:v>1</x:v>
      </x:c>
    </x:row>
    <x:row r="127">
      <x:c r="A127" s="6" t="n">
        <x:v>1491</x:v>
      </x:c>
      <x:c r="B127" s="6" t="n">
        <x:v>1965</x:v>
      </x:c>
      <x:c r="C127" s="6" t="str">
        <x:v>2n Cycle</x:v>
      </x:c>
      <x:c r="D127" s="6" t="str">
        <x:v>Together</x:v>
      </x:c>
      <x:c r="E127" s="6" t="n">
        <x:v>71488</x:v>
      </x:c>
      <x:c r="F127" s="6" t="n">
        <x:v>0</x:v>
      </x:c>
      <x:c r="G127" s="6" t="n">
        <x:v>0</x:v>
      </x:c>
      <x:c r="H127" s="9" t="str">
        <x:v>18-02-2013</x:v>
      </x:c>
      <x:c r="I127" s="6" t="n">
        <x:v>87</x:v>
      </x:c>
      <x:c r="J127" s="6" t="n">
        <x:v>162</x:v>
      </x:c>
      <x:c r="K127" s="6" t="n">
        <x:v>33</x:v>
      </x:c>
      <x:c r="L127" s="6" t="n">
        <x:v>124</x:v>
      </x:c>
      <x:c r="M127" s="6" t="n">
        <x:v>40</x:v>
      </x:c>
      <x:c r="N127" s="6" t="n">
        <x:v>28</x:v>
      </x:c>
      <x:c r="O127" s="6" t="n">
        <x:v>172</x:v>
      </x:c>
      <x:c r="P127" s="6" t="n">
        <x:v>2</x:v>
      </x:c>
      <x:c r="Q127" s="6" t="n">
        <x:v>3</x:v>
      </x:c>
      <x:c r="R127" s="6" t="n">
        <x:v>4</x:v>
      </x:c>
      <x:c r="S127" s="6" t="n">
        <x:v>7</x:v>
      </x:c>
      <x:c r="T127" s="6" t="n">
        <x:v>1</x:v>
      </x:c>
      <x:c r="U127" s="6" t="n">
        <x:v>0</x:v>
      </x:c>
      <x:c r="V127" s="6" t="n">
        <x:v>0</x:v>
      </x:c>
      <x:c r="W127" s="6" t="n">
        <x:v>0</x:v>
      </x:c>
      <x:c r="X127" s="6" t="n">
        <x:v>0</x:v>
      </x:c>
      <x:c r="Y127" s="6" t="n">
        <x:v>0</x:v>
      </x:c>
      <x:c r="Z127" s="6" t="n">
        <x:v>0</x:v>
      </x:c>
      <x:c r="AA127" s="6" t="n">
        <x:v>3</x:v>
      </x:c>
      <x:c r="AB127" s="6" t="n">
        <x:v>11</x:v>
      </x:c>
      <x:c r="AC127" s="6" t="n">
        <x:v>0</x:v>
      </x:c>
    </x:row>
    <x:row r="128">
      <x:c r="A128" s="6" t="n">
        <x:v>11071</x:v>
      </x:c>
      <x:c r="B128" s="6" t="n">
        <x:v>1984</x:v>
      </x:c>
      <x:c r="C128" s="6" t="str">
        <x:v>Graduation</x:v>
      </x:c>
      <x:c r="D128" s="6" t="str">
        <x:v>Single</x:v>
      </x:c>
      <x:c r="E128" s="6" t="n">
        <x:v>79607</x:v>
      </x:c>
      <x:c r="F128" s="6" t="n">
        <x:v>0</x:v>
      </x:c>
      <x:c r="G128" s="6" t="n">
        <x:v>0</x:v>
      </x:c>
      <x:c r="H128" s="9" t="str">
        <x:v>21-04-2013</x:v>
      </x:c>
      <x:c r="I128" s="6" t="n">
        <x:v>37</x:v>
      </x:c>
      <x:c r="J128" s="6" t="n">
        <x:v>450</x:v>
      </x:c>
      <x:c r="K128" s="6" t="n">
        <x:v>133</x:v>
      </x:c>
      <x:c r="L128" s="6" t="n">
        <x:v>951</x:v>
      </x:c>
      <x:c r="M128" s="6" t="n">
        <x:v>173</x:v>
      </x:c>
      <x:c r="N128" s="6" t="n">
        <x:v>0</x:v>
      </x:c>
      <x:c r="O128" s="6" t="n">
        <x:v>216</x:v>
      </x:c>
      <x:c r="P128" s="6" t="n">
        <x:v>1</x:v>
      </x:c>
      <x:c r="Q128" s="6" t="n">
        <x:v>3</x:v>
      </x:c>
      <x:c r="R128" s="6" t="n">
        <x:v>6</x:v>
      </x:c>
      <x:c r="S128" s="6" t="n">
        <x:v>6</x:v>
      </x:c>
      <x:c r="T128" s="6" t="n">
        <x:v>1</x:v>
      </x:c>
      <x:c r="U128" s="6" t="n">
        <x:v>0</x:v>
      </x:c>
      <x:c r="V128" s="6" t="n">
        <x:v>0</x:v>
      </x:c>
      <x:c r="W128" s="6" t="n">
        <x:v>0</x:v>
      </x:c>
      <x:c r="X128" s="6" t="n">
        <x:v>0</x:v>
      </x:c>
      <x:c r="Y128" s="6" t="n">
        <x:v>0</x:v>
      </x:c>
      <x:c r="Z128" s="6" t="n">
        <x:v>0</x:v>
      </x:c>
      <x:c r="AA128" s="6" t="n">
        <x:v>3</x:v>
      </x:c>
      <x:c r="AB128" s="6" t="n">
        <x:v>11</x:v>
      </x:c>
      <x:c r="AC128" s="6" t="n">
        <x:v>1</x:v>
      </x:c>
    </x:row>
    <x:row r="129">
      <x:c r="A129" s="6" t="n">
        <x:v>3381</x:v>
      </x:c>
      <x:c r="B129" s="6" t="n">
        <x:v>1953</x:v>
      </x:c>
      <x:c r="C129" s="6" t="str">
        <x:v>Master</x:v>
      </x:c>
      <x:c r="D129" s="6" t="str">
        <x:v>Married</x:v>
      </x:c>
      <x:c r="E129" s="6" t="n">
        <x:v>54348</x:v>
      </x:c>
      <x:c r="F129" s="6" t="n">
        <x:v>1</x:v>
      </x:c>
      <x:c r="G129" s="6" t="n">
        <x:v>1</x:v>
      </x:c>
      <x:c r="H129" s="9" t="str">
        <x:v>08-06-2014</x:v>
      </x:c>
      <x:c r="I129" s="6" t="n">
        <x:v>51</x:v>
      </x:c>
      <x:c r="J129" s="6" t="n">
        <x:v>70</x:v>
      </x:c>
      <x:c r="K129" s="6" t="n">
        <x:v>0</x:v>
      </x:c>
      <x:c r="L129" s="6" t="n">
        <x:v>16</x:v>
      </x:c>
      <x:c r="M129" s="6" t="n">
        <x:v>0</x:v>
      </x:c>
      <x:c r="N129" s="6" t="n">
        <x:v>0</x:v>
      </x:c>
      <x:c r="O129" s="6" t="n">
        <x:v>4</x:v>
      </x:c>
      <x:c r="P129" s="6" t="n">
        <x:v>2</x:v>
      </x:c>
      <x:c r="Q129" s="6" t="n">
        <x:v>2</x:v>
      </x:c>
      <x:c r="R129" s="6" t="n">
        <x:v>0</x:v>
      </x:c>
      <x:c r="S129" s="6" t="n">
        <x:v>4</x:v>
      </x:c>
      <x:c r="T129" s="6" t="n">
        <x:v>6</x:v>
      </x:c>
      <x:c r="U129" s="6" t="n">
        <x:v>0</x:v>
      </x:c>
      <x:c r="V129" s="6" t="n">
        <x:v>0</x:v>
      </x:c>
      <x:c r="W129" s="6" t="n">
        <x:v>0</x:v>
      </x:c>
      <x:c r="X129" s="6" t="n">
        <x:v>0</x:v>
      </x:c>
      <x:c r="Y129" s="6" t="n">
        <x:v>0</x:v>
      </x:c>
      <x:c r="Z129" s="6" t="n">
        <x:v>0</x:v>
      </x:c>
      <x:c r="AA129" s="6" t="n">
        <x:v>3</x:v>
      </x:c>
      <x:c r="AB129" s="6" t="n">
        <x:v>11</x:v>
      </x:c>
      <x:c r="AC129" s="6" t="n">
        <x:v>0</x:v>
      </x:c>
    </x:row>
    <x:row r="130">
      <x:c r="A130" s="6" t="n">
        <x:v>8268</x:v>
      </x:c>
      <x:c r="B130" s="6" t="n">
        <x:v>1961</x:v>
      </x:c>
      <x:c r="C130" s="6" t="str">
        <x:v>PhD</x:v>
      </x:c>
      <x:c r="D130" s="6" t="str">
        <x:v>Married</x:v>
      </x:c>
      <x:c r="E130" s="6"/>
      <x:c r="F130" s="6" t="n">
        <x:v>0</x:v>
      </x:c>
      <x:c r="G130" s="6" t="n">
        <x:v>1</x:v>
      </x:c>
      <x:c r="H130" s="9" t="str">
        <x:v>11-07-2013</x:v>
      </x:c>
      <x:c r="I130" s="6" t="n">
        <x:v>23</x:v>
      </x:c>
      <x:c r="J130" s="6" t="n">
        <x:v>352</x:v>
      </x:c>
      <x:c r="K130" s="6" t="n">
        <x:v>0</x:v>
      </x:c>
      <x:c r="L130" s="6" t="n">
        <x:v>27</x:v>
      </x:c>
      <x:c r="M130" s="6" t="n">
        <x:v>10</x:v>
      </x:c>
      <x:c r="N130" s="6" t="n">
        <x:v>0</x:v>
      </x:c>
      <x:c r="O130" s="6" t="n">
        <x:v>15</x:v>
      </x:c>
      <x:c r="P130" s="6" t="n">
        <x:v>3</x:v>
      </x:c>
      <x:c r="Q130" s="6" t="n">
        <x:v>6</x:v>
      </x:c>
      <x:c r="R130" s="6" t="n">
        <x:v>1</x:v>
      </x:c>
      <x:c r="S130" s="6" t="n">
        <x:v>7</x:v>
      </x:c>
      <x:c r="T130" s="6" t="n">
        <x:v>6</x:v>
      </x:c>
      <x:c r="U130" s="6" t="n">
        <x:v>0</x:v>
      </x:c>
      <x:c r="V130" s="6" t="n">
        <x:v>0</x:v>
      </x:c>
      <x:c r="W130" s="6" t="n">
        <x:v>0</x:v>
      </x:c>
      <x:c r="X130" s="6" t="n">
        <x:v>0</x:v>
      </x:c>
      <x:c r="Y130" s="6" t="n">
        <x:v>0</x:v>
      </x:c>
      <x:c r="Z130" s="6" t="n">
        <x:v>0</x:v>
      </x:c>
      <x:c r="AA130" s="6" t="n">
        <x:v>3</x:v>
      </x:c>
      <x:c r="AB130" s="6" t="n">
        <x:v>11</x:v>
      </x:c>
      <x:c r="AC130" s="6" t="n">
        <x:v>0</x:v>
      </x:c>
    </x:row>
    <x:row r="131">
      <x:c r="A131" s="6" t="n">
        <x:v>11051</x:v>
      </x:c>
      <x:c r="B131" s="6" t="n">
        <x:v>1956</x:v>
      </x:c>
      <x:c r="C131" s="6" t="str">
        <x:v>PhD</x:v>
      </x:c>
      <x:c r="D131" s="6" t="str">
        <x:v>Together</x:v>
      </x:c>
      <x:c r="E131" s="6" t="n">
        <x:v>77376</x:v>
      </x:c>
      <x:c r="F131" s="6" t="n">
        <x:v>1</x:v>
      </x:c>
      <x:c r="G131" s="6" t="n">
        <x:v>1</x:v>
      </x:c>
      <x:c r="H131" s="9" t="str">
        <x:v>10-05-2014</x:v>
      </x:c>
      <x:c r="I131" s="6" t="n">
        <x:v>72</x:v>
      </x:c>
      <x:c r="J131" s="6" t="n">
        <x:v>492</x:v>
      </x:c>
      <x:c r="K131" s="6" t="n">
        <x:v>19</x:v>
      </x:c>
      <x:c r="L131" s="6" t="n">
        <x:v>110</x:v>
      </x:c>
      <x:c r="M131" s="6" t="n">
        <x:v>16</x:v>
      </x:c>
      <x:c r="N131" s="6" t="n">
        <x:v>12</x:v>
      </x:c>
      <x:c r="O131" s="6" t="n">
        <x:v>12</x:v>
      </x:c>
      <x:c r="P131" s="6" t="n">
        <x:v>4</x:v>
      </x:c>
      <x:c r="Q131" s="6" t="n">
        <x:v>6</x:v>
      </x:c>
      <x:c r="R131" s="6" t="n">
        <x:v>3</x:v>
      </x:c>
      <x:c r="S131" s="6" t="n">
        <x:v>10</x:v>
      </x:c>
      <x:c r="T131" s="6" t="n">
        <x:v>4</x:v>
      </x:c>
      <x:c r="U131" s="6" t="n">
        <x:v>0</x:v>
      </x:c>
      <x:c r="V131" s="6" t="n">
        <x:v>0</x:v>
      </x:c>
      <x:c r="W131" s="6" t="n">
        <x:v>0</x:v>
      </x:c>
      <x:c r="X131" s="6" t="n">
        <x:v>0</x:v>
      </x:c>
      <x:c r="Y131" s="6" t="n">
        <x:v>0</x:v>
      </x:c>
      <x:c r="Z131" s="6" t="n">
        <x:v>0</x:v>
      </x:c>
      <x:c r="AA131" s="6" t="n">
        <x:v>3</x:v>
      </x:c>
      <x:c r="AB131" s="6" t="n">
        <x:v>11</x:v>
      </x:c>
      <x:c r="AC131" s="6" t="n">
        <x:v>0</x:v>
      </x:c>
    </x:row>
    <x:row r="132">
      <x:c r="A132" s="6" t="n">
        <x:v>8026</x:v>
      </x:c>
      <x:c r="B132" s="6" t="n">
        <x:v>1952</x:v>
      </x:c>
      <x:c r="C132" s="6" t="str">
        <x:v>Graduation</x:v>
      </x:c>
      <x:c r="D132" s="6" t="str">
        <x:v>Married</x:v>
      </x:c>
      <x:c r="E132" s="6" t="n">
        <x:v>62998</x:v>
      </x:c>
      <x:c r="F132" s="6" t="n">
        <x:v>0</x:v>
      </x:c>
      <x:c r="G132" s="6" t="n">
        <x:v>1</x:v>
      </x:c>
      <x:c r="H132" s="9" t="str">
        <x:v>30-09-2013</x:v>
      </x:c>
      <x:c r="I132" s="6" t="n">
        <x:v>10</x:v>
      </x:c>
      <x:c r="J132" s="6" t="n">
        <x:v>120</x:v>
      </x:c>
      <x:c r="K132" s="6" t="n">
        <x:v>58</x:v>
      </x:c>
      <x:c r="L132" s="6" t="n">
        <x:v>73</x:v>
      </x:c>
      <x:c r="M132" s="6" t="n">
        <x:v>65</x:v>
      </x:c>
      <x:c r="N132" s="6" t="n">
        <x:v>89</x:v>
      </x:c>
      <x:c r="O132" s="6" t="n">
        <x:v>58</x:v>
      </x:c>
      <x:c r="P132" s="6" t="n">
        <x:v>5</x:v>
      </x:c>
      <x:c r="Q132" s="6" t="n">
        <x:v>5</x:v>
      </x:c>
      <x:c r="R132" s="6" t="n">
        <x:v>4</x:v>
      </x:c>
      <x:c r="S132" s="6" t="n">
        <x:v>5</x:v>
      </x:c>
      <x:c r="T132" s="6" t="n">
        <x:v>5</x:v>
      </x:c>
      <x:c r="U132" s="6" t="n">
        <x:v>0</x:v>
      </x:c>
      <x:c r="V132" s="6" t="n">
        <x:v>0</x:v>
      </x:c>
      <x:c r="W132" s="6" t="n">
        <x:v>0</x:v>
      </x:c>
      <x:c r="X132" s="6" t="n">
        <x:v>0</x:v>
      </x:c>
      <x:c r="Y132" s="6" t="n">
        <x:v>0</x:v>
      </x:c>
      <x:c r="Z132" s="6" t="n">
        <x:v>0</x:v>
      </x:c>
      <x:c r="AA132" s="6" t="n">
        <x:v>3</x:v>
      </x:c>
      <x:c r="AB132" s="6" t="n">
        <x:v>11</x:v>
      </x:c>
      <x:c r="AC132" s="6" t="n">
        <x:v>0</x:v>
      </x:c>
    </x:row>
    <x:row r="133">
      <x:c r="A133" s="6" t="n">
        <x:v>433</x:v>
      </x:c>
      <x:c r="B133" s="6" t="n">
        <x:v>1958</x:v>
      </x:c>
      <x:c r="C133" s="6" t="str">
        <x:v>Master</x:v>
      </x:c>
      <x:c r="D133" s="6" t="str">
        <x:v>Alone</x:v>
      </x:c>
      <x:c r="E133" s="6" t="n">
        <x:v>61331</x:v>
      </x:c>
      <x:c r="F133" s="6" t="n">
        <x:v>1</x:v>
      </x:c>
      <x:c r="G133" s="6" t="n">
        <x:v>1</x:v>
      </x:c>
      <x:c r="H133" s="9" t="str">
        <x:v>10-03-2013</x:v>
      </x:c>
      <x:c r="I133" s="6" t="n">
        <x:v>42</x:v>
      </x:c>
      <x:c r="J133" s="6" t="n">
        <x:v>534</x:v>
      </x:c>
      <x:c r="K133" s="6" t="n">
        <x:v>5</x:v>
      </x:c>
      <x:c r="L133" s="6" t="n">
        <x:v>47</x:v>
      </x:c>
      <x:c r="M133" s="6" t="n">
        <x:v>0</x:v>
      </x:c>
      <x:c r="N133" s="6" t="n">
        <x:v>5</x:v>
      </x:c>
      <x:c r="O133" s="6" t="n">
        <x:v>41</x:v>
      </x:c>
      <x:c r="P133" s="6" t="n">
        <x:v>5</x:v>
      </x:c>
      <x:c r="Q133" s="6" t="n">
        <x:v>11</x:v>
      </x:c>
      <x:c r="R133" s="6" t="n">
        <x:v>1</x:v>
      </x:c>
      <x:c r="S133" s="6" t="n">
        <x:v>6</x:v>
      </x:c>
      <x:c r="T133" s="6" t="n">
        <x:v>8</x:v>
      </x:c>
      <x:c r="U133" s="6" t="n">
        <x:v>0</x:v>
      </x:c>
      <x:c r="V133" s="6" t="n">
        <x:v>0</x:v>
      </x:c>
      <x:c r="W133" s="6" t="n">
        <x:v>0</x:v>
      </x:c>
      <x:c r="X133" s="6" t="n">
        <x:v>0</x:v>
      </x:c>
      <x:c r="Y133" s="6" t="n">
        <x:v>0</x:v>
      </x:c>
      <x:c r="Z133" s="6" t="n">
        <x:v>0</x:v>
      </x:c>
      <x:c r="AA133" s="6" t="n">
        <x:v>3</x:v>
      </x:c>
      <x:c r="AB133" s="6" t="n">
        <x:v>11</x:v>
      </x:c>
      <x:c r="AC133" s="6" t="n">
        <x:v>0</x:v>
      </x:c>
    </x:row>
    <x:row r="134">
      <x:c r="A134" s="6" t="n">
        <x:v>9597</x:v>
      </x:c>
      <x:c r="B134" s="6" t="n">
        <x:v>1969</x:v>
      </x:c>
      <x:c r="C134" s="6" t="str">
        <x:v>Graduation</x:v>
      </x:c>
      <x:c r="D134" s="6" t="str">
        <x:v>Married</x:v>
      </x:c>
      <x:c r="E134" s="6" t="n">
        <x:v>73448</x:v>
      </x:c>
      <x:c r="F134" s="6" t="n">
        <x:v>0</x:v>
      </x:c>
      <x:c r="G134" s="6" t="n">
        <x:v>0</x:v>
      </x:c>
      <x:c r="H134" s="9" t="str">
        <x:v>10-02-2014</x:v>
      </x:c>
      <x:c r="I134" s="6" t="n">
        <x:v>10</x:v>
      </x:c>
      <x:c r="J134" s="6" t="n">
        <x:v>236</x:v>
      </x:c>
      <x:c r="K134" s="6" t="n">
        <x:v>106</x:v>
      </x:c>
      <x:c r="L134" s="6" t="n">
        <x:v>189</x:v>
      </x:c>
      <x:c r="M134" s="6" t="n">
        <x:v>23</x:v>
      </x:c>
      <x:c r="N134" s="6" t="n">
        <x:v>41</x:v>
      </x:c>
      <x:c r="O134" s="6" t="n">
        <x:v>130</x:v>
      </x:c>
      <x:c r="P134" s="6" t="n">
        <x:v>1</x:v>
      </x:c>
      <x:c r="Q134" s="6" t="n">
        <x:v>7</x:v>
      </x:c>
      <x:c r="R134" s="6" t="n">
        <x:v>2</x:v>
      </x:c>
      <x:c r="S134" s="6" t="n">
        <x:v>9</x:v>
      </x:c>
      <x:c r="T134" s="6" t="n">
        <x:v>4</x:v>
      </x:c>
      <x:c r="U134" s="6" t="n">
        <x:v>0</x:v>
      </x:c>
      <x:c r="V134" s="6" t="n">
        <x:v>0</x:v>
      </x:c>
      <x:c r="W134" s="6" t="n">
        <x:v>0</x:v>
      </x:c>
      <x:c r="X134" s="6" t="n">
        <x:v>0</x:v>
      </x:c>
      <x:c r="Y134" s="6" t="n">
        <x:v>0</x:v>
      </x:c>
      <x:c r="Z134" s="6" t="n">
        <x:v>0</x:v>
      </x:c>
      <x:c r="AA134" s="6" t="n">
        <x:v>3</x:v>
      </x:c>
      <x:c r="AB134" s="6" t="n">
        <x:v>11</x:v>
      </x:c>
      <x:c r="AC134" s="6" t="n">
        <x:v>0</x:v>
      </x:c>
    </x:row>
    <x:row r="135">
      <x:c r="A135" s="6" t="n">
        <x:v>1295</x:v>
      </x:c>
      <x:c r="B135" s="6" t="n">
        <x:v>1963</x:v>
      </x:c>
      <x:c r="C135" s="6" t="str">
        <x:v>Graduation</x:v>
      </x:c>
      <x:c r="D135" s="6" t="str">
        <x:v>Married</x:v>
      </x:c>
      <x:c r="E135" s="6"/>
      <x:c r="F135" s="6" t="n">
        <x:v>0</x:v>
      </x:c>
      <x:c r="G135" s="6" t="n">
        <x:v>1</x:v>
      </x:c>
      <x:c r="H135" s="9" t="str">
        <x:v>11-08-2013</x:v>
      </x:c>
      <x:c r="I135" s="6" t="n">
        <x:v>96</x:v>
      </x:c>
      <x:c r="J135" s="6" t="n">
        <x:v>231</x:v>
      </x:c>
      <x:c r="K135" s="6" t="n">
        <x:v>65</x:v>
      </x:c>
      <x:c r="L135" s="6" t="n">
        <x:v>196</x:v>
      </x:c>
      <x:c r="M135" s="6" t="n">
        <x:v>38</x:v>
      </x:c>
      <x:c r="N135" s="6" t="n">
        <x:v>71</x:v>
      </x:c>
      <x:c r="O135" s="6" t="n">
        <x:v>124</x:v>
      </x:c>
      <x:c r="P135" s="6" t="n">
        <x:v>1</x:v>
      </x:c>
      <x:c r="Q135" s="6" t="n">
        <x:v>6</x:v>
      </x:c>
      <x:c r="R135" s="6" t="n">
        <x:v>5</x:v>
      </x:c>
      <x:c r="S135" s="6" t="n">
        <x:v>7</x:v>
      </x:c>
      <x:c r="T135" s="6" t="n">
        <x:v>4</x:v>
      </x:c>
      <x:c r="U135" s="6" t="n">
        <x:v>0</x:v>
      </x:c>
      <x:c r="V135" s="6" t="n">
        <x:v>0</x:v>
      </x:c>
      <x:c r="W135" s="6" t="n">
        <x:v>0</x:v>
      </x:c>
      <x:c r="X135" s="6" t="n">
        <x:v>0</x:v>
      </x:c>
      <x:c r="Y135" s="6" t="n">
        <x:v>0</x:v>
      </x:c>
      <x:c r="Z135" s="6" t="n">
        <x:v>0</x:v>
      </x:c>
      <x:c r="AA135" s="6" t="n">
        <x:v>3</x:v>
      </x:c>
      <x:c r="AB135" s="6" t="n">
        <x:v>11</x:v>
      </x:c>
      <x:c r="AC135" s="6" t="n">
        <x:v>0</x:v>
      </x:c>
    </x:row>
    <x:row r="136">
      <x:c r="A136" s="6" t="n">
        <x:v>5290</x:v>
      </x:c>
      <x:c r="B136" s="6" t="n">
        <x:v>1964</x:v>
      </x:c>
      <x:c r="C136" s="6" t="str">
        <x:v>PhD</x:v>
      </x:c>
      <x:c r="D136" s="6" t="str">
        <x:v>Married</x:v>
      </x:c>
      <x:c r="E136" s="6" t="n">
        <x:v>41551</x:v>
      </x:c>
      <x:c r="F136" s="6" t="n">
        <x:v>1</x:v>
      </x:c>
      <x:c r="G136" s="6" t="n">
        <x:v>1</x:v>
      </x:c>
      <x:c r="H136" s="9" t="str">
        <x:v>14-08-2013</x:v>
      </x:c>
      <x:c r="I136" s="6" t="n">
        <x:v>51</x:v>
      </x:c>
      <x:c r="J136" s="6" t="n">
        <x:v>220</x:v>
      </x:c>
      <x:c r="K136" s="6" t="n">
        <x:v>0</x:v>
      </x:c>
      <x:c r="L136" s="6" t="n">
        <x:v>33</x:v>
      </x:c>
      <x:c r="M136" s="6" t="n">
        <x:v>3</x:v>
      </x:c>
      <x:c r="N136" s="6" t="n">
        <x:v>0</x:v>
      </x:c>
      <x:c r="O136" s="6" t="n">
        <x:v>23</x:v>
      </x:c>
      <x:c r="P136" s="6" t="n">
        <x:v>5</x:v>
      </x:c>
      <x:c r="Q136" s="6" t="n">
        <x:v>5</x:v>
      </x:c>
      <x:c r="R136" s="6" t="n">
        <x:v>1</x:v>
      </x:c>
      <x:c r="S136" s="6" t="n">
        <x:v>5</x:v>
      </x:c>
      <x:c r="T136" s="6" t="n">
        <x:v>8</x:v>
      </x:c>
      <x:c r="U136" s="6" t="n">
        <x:v>0</x:v>
      </x:c>
      <x:c r="V136" s="6" t="n">
        <x:v>0</x:v>
      </x:c>
      <x:c r="W136" s="6" t="n">
        <x:v>0</x:v>
      </x:c>
      <x:c r="X136" s="6" t="n">
        <x:v>0</x:v>
      </x:c>
      <x:c r="Y136" s="6" t="n">
        <x:v>0</x:v>
      </x:c>
      <x:c r="Z136" s="6" t="n">
        <x:v>0</x:v>
      </x:c>
      <x:c r="AA136" s="6" t="n">
        <x:v>3</x:v>
      </x:c>
      <x:c r="AB136" s="6" t="n">
        <x:v>11</x:v>
      </x:c>
      <x:c r="AC136" s="6" t="n">
        <x:v>0</x:v>
      </x:c>
    </x:row>
    <x:row r="137">
      <x:c r="A137" s="6" t="n">
        <x:v>1685</x:v>
      </x:c>
      <x:c r="B137" s="6" t="n">
        <x:v>1967</x:v>
      </x:c>
      <x:c r="C137" s="6" t="str">
        <x:v>PhD</x:v>
      </x:c>
      <x:c r="D137" s="6" t="str">
        <x:v>Together</x:v>
      </x:c>
      <x:c r="E137" s="6" t="n">
        <x:v>62981</x:v>
      </x:c>
      <x:c r="F137" s="6" t="n">
        <x:v>0</x:v>
      </x:c>
      <x:c r="G137" s="6" t="n">
        <x:v>0</x:v>
      </x:c>
      <x:c r="H137" s="9" t="str">
        <x:v>17-03-2013</x:v>
      </x:c>
      <x:c r="I137" s="6" t="n">
        <x:v>21</x:v>
      </x:c>
      <x:c r="J137" s="6" t="n">
        <x:v>796</x:v>
      </x:c>
      <x:c r="K137" s="6" t="n">
        <x:v>14</x:v>
      </x:c>
      <x:c r="L137" s="6" t="n">
        <x:v>590</x:v>
      </x:c>
      <x:c r="M137" s="6" t="n">
        <x:v>38</x:v>
      </x:c>
      <x:c r="N137" s="6" t="n">
        <x:v>44</x:v>
      </x:c>
      <x:c r="O137" s="6" t="n">
        <x:v>0</x:v>
      </x:c>
      <x:c r="P137" s="6" t="n">
        <x:v>1</x:v>
      </x:c>
      <x:c r="Q137" s="6" t="n">
        <x:v>4</x:v>
      </x:c>
      <x:c r="R137" s="6" t="n">
        <x:v>5</x:v>
      </x:c>
      <x:c r="S137" s="6" t="n">
        <x:v>13</x:v>
      </x:c>
      <x:c r="T137" s="6" t="n">
        <x:v>3</x:v>
      </x:c>
      <x:c r="U137" s="6" t="n">
        <x:v>0</x:v>
      </x:c>
      <x:c r="V137" s="6" t="n">
        <x:v>1</x:v>
      </x:c>
      <x:c r="W137" s="6" t="n">
        <x:v>0</x:v>
      </x:c>
      <x:c r="X137" s="6" t="n">
        <x:v>0</x:v>
      </x:c>
      <x:c r="Y137" s="6" t="n">
        <x:v>0</x:v>
      </x:c>
      <x:c r="Z137" s="6" t="n">
        <x:v>0</x:v>
      </x:c>
      <x:c r="AA137" s="6" t="n">
        <x:v>3</x:v>
      </x:c>
      <x:c r="AB137" s="6" t="n">
        <x:v>11</x:v>
      </x:c>
      <x:c r="AC137" s="6" t="n">
        <x:v>0</x:v>
      </x:c>
    </x:row>
    <x:row r="138">
      <x:c r="A138" s="6" t="n">
        <x:v>5342</x:v>
      </x:c>
      <x:c r="B138" s="6" t="n">
        <x:v>1976</x:v>
      </x:c>
      <x:c r="C138" s="6" t="str">
        <x:v>Basic</x:v>
      </x:c>
      <x:c r="D138" s="6" t="str">
        <x:v>Divorced</x:v>
      </x:c>
      <x:c r="E138" s="6" t="n">
        <x:v>9548</x:v>
      </x:c>
      <x:c r="F138" s="6" t="n">
        <x:v>1</x:v>
      </x:c>
      <x:c r="G138" s="6" t="n">
        <x:v>0</x:v>
      </x:c>
      <x:c r="H138" s="9" t="str">
        <x:v>08-08-2012</x:v>
      </x:c>
      <x:c r="I138" s="6" t="n">
        <x:v>31</x:v>
      </x:c>
      <x:c r="J138" s="6" t="n">
        <x:v>0</x:v>
      </x:c>
      <x:c r="K138" s="6" t="n">
        <x:v>1</x:v>
      </x:c>
      <x:c r="L138" s="6" t="n">
        <x:v>3</x:v>
      </x:c>
      <x:c r="M138" s="6" t="n">
        <x:v>10</x:v>
      </x:c>
      <x:c r="N138" s="6" t="n">
        <x:v>6</x:v>
      </x:c>
      <x:c r="O138" s="6" t="n">
        <x:v>9</x:v>
      </x:c>
      <x:c r="P138" s="6" t="n">
        <x:v>2</x:v>
      </x:c>
      <x:c r="Q138" s="6" t="n">
        <x:v>1</x:v>
      </x:c>
      <x:c r="R138" s="6" t="n">
        <x:v>0</x:v>
      </x:c>
      <x:c r="S138" s="6" t="n">
        <x:v>3</x:v>
      </x:c>
      <x:c r="T138" s="6" t="n">
        <x:v>8</x:v>
      </x:c>
      <x:c r="U138" s="6" t="n">
        <x:v>0</x:v>
      </x:c>
      <x:c r="V138" s="6" t="n">
        <x:v>0</x:v>
      </x:c>
      <x:c r="W138" s="6" t="n">
        <x:v>0</x:v>
      </x:c>
      <x:c r="X138" s="6" t="n">
        <x:v>0</x:v>
      </x:c>
      <x:c r="Y138" s="6" t="n">
        <x:v>0</x:v>
      </x:c>
      <x:c r="Z138" s="6" t="n">
        <x:v>0</x:v>
      </x:c>
      <x:c r="AA138" s="6" t="n">
        <x:v>3</x:v>
      </x:c>
      <x:c r="AB138" s="6" t="n">
        <x:v>11</x:v>
      </x:c>
      <x:c r="AC138" s="6" t="n">
        <x:v>0</x:v>
      </x:c>
    </x:row>
    <x:row r="139">
      <x:c r="A139" s="6" t="n">
        <x:v>9579</x:v>
      </x:c>
      <x:c r="B139" s="6" t="n">
        <x:v>1959</x:v>
      </x:c>
      <x:c r="C139" s="6" t="str">
        <x:v>PhD</x:v>
      </x:c>
      <x:c r="D139" s="6" t="str">
        <x:v>Married</x:v>
      </x:c>
      <x:c r="E139" s="6" t="n">
        <x:v>33762</x:v>
      </x:c>
      <x:c r="F139" s="6" t="n">
        <x:v>2</x:v>
      </x:c>
      <x:c r="G139" s="6" t="n">
        <x:v>1</x:v>
      </x:c>
      <x:c r="H139" s="9" t="str">
        <x:v>07-07-2013</x:v>
      </x:c>
      <x:c r="I139" s="6" t="n">
        <x:v>61</x:v>
      </x:c>
      <x:c r="J139" s="6" t="n">
        <x:v>53</x:v>
      </x:c>
      <x:c r="K139" s="6" t="n">
        <x:v>1</x:v>
      </x:c>
      <x:c r="L139" s="6" t="n">
        <x:v>34</x:v>
      </x:c>
      <x:c r="M139" s="6" t="n">
        <x:v>2</x:v>
      </x:c>
      <x:c r="N139" s="6" t="n">
        <x:v>0</x:v>
      </x:c>
      <x:c r="O139" s="6" t="n">
        <x:v>16</x:v>
      </x:c>
      <x:c r="P139" s="6" t="n">
        <x:v>3</x:v>
      </x:c>
      <x:c r="Q139" s="6" t="n">
        <x:v>2</x:v>
      </x:c>
      <x:c r="R139" s="6" t="n">
        <x:v>2</x:v>
      </x:c>
      <x:c r="S139" s="6" t="n">
        <x:v>2</x:v>
      </x:c>
      <x:c r="T139" s="6" t="n">
        <x:v>8</x:v>
      </x:c>
      <x:c r="U139" s="6" t="n">
        <x:v>0</x:v>
      </x:c>
      <x:c r="V139" s="6" t="n">
        <x:v>0</x:v>
      </x:c>
      <x:c r="W139" s="6" t="n">
        <x:v>0</x:v>
      </x:c>
      <x:c r="X139" s="6" t="n">
        <x:v>0</x:v>
      </x:c>
      <x:c r="Y139" s="6" t="n">
        <x:v>0</x:v>
      </x:c>
      <x:c r="Z139" s="6" t="n">
        <x:v>0</x:v>
      </x:c>
      <x:c r="AA139" s="6" t="n">
        <x:v>3</x:v>
      </x:c>
      <x:c r="AB139" s="6" t="n">
        <x:v>11</x:v>
      </x:c>
      <x:c r="AC139" s="6" t="n">
        <x:v>0</x:v>
      </x:c>
    </x:row>
    <x:row r="140">
      <x:c r="A140" s="6" t="n">
        <x:v>7660</x:v>
      </x:c>
      <x:c r="B140" s="6" t="n">
        <x:v>1973</x:v>
      </x:c>
      <x:c r="C140" s="6" t="str">
        <x:v>PhD</x:v>
      </x:c>
      <x:c r="D140" s="6" t="str">
        <x:v>Alone</x:v>
      </x:c>
      <x:c r="E140" s="6" t="n">
        <x:v>35860</x:v>
      </x:c>
      <x:c r="F140" s="6" t="n">
        <x:v>1</x:v>
      </x:c>
      <x:c r="G140" s="6" t="n">
        <x:v>1</x:v>
      </x:c>
      <x:c r="H140" s="9" t="str">
        <x:v>19-05-2014</x:v>
      </x:c>
      <x:c r="I140" s="6" t="n">
        <x:v>37</x:v>
      </x:c>
      <x:c r="J140" s="6" t="n">
        <x:v>15</x:v>
      </x:c>
      <x:c r="K140" s="6" t="n">
        <x:v>0</x:v>
      </x:c>
      <x:c r="L140" s="6" t="n">
        <x:v>8</x:v>
      </x:c>
      <x:c r="M140" s="6" t="n">
        <x:v>4</x:v>
      </x:c>
      <x:c r="N140" s="6" t="n">
        <x:v>2</x:v>
      </x:c>
      <x:c r="O140" s="6" t="n">
        <x:v>20</x:v>
      </x:c>
      <x:c r="P140" s="6" t="n">
        <x:v>2</x:v>
      </x:c>
      <x:c r="Q140" s="6" t="n">
        <x:v>1</x:v>
      </x:c>
      <x:c r="R140" s="6" t="n">
        <x:v>1</x:v>
      </x:c>
      <x:c r="S140" s="6" t="n">
        <x:v>2</x:v>
      </x:c>
      <x:c r="T140" s="6" t="n">
        <x:v>5</x:v>
      </x:c>
      <x:c r="U140" s="6" t="n">
        <x:v>1</x:v>
      </x:c>
      <x:c r="V140" s="6" t="n">
        <x:v>0</x:v>
      </x:c>
      <x:c r="W140" s="6" t="n">
        <x:v>0</x:v>
      </x:c>
      <x:c r="X140" s="6" t="n">
        <x:v>0</x:v>
      </x:c>
      <x:c r="Y140" s="6" t="n">
        <x:v>0</x:v>
      </x:c>
      <x:c r="Z140" s="6" t="n">
        <x:v>0</x:v>
      </x:c>
      <x:c r="AA140" s="6" t="n">
        <x:v>3</x:v>
      </x:c>
      <x:c r="AB140" s="6" t="n">
        <x:v>11</x:v>
      </x:c>
      <x:c r="AC140" s="6" t="n">
        <x:v>1</x:v>
      </x:c>
    </x:row>
    <x:row r="141">
      <x:c r="A141" s="6" t="n">
        <x:v>1461</x:v>
      </x:c>
      <x:c r="B141" s="6" t="n">
        <x:v>1965</x:v>
      </x:c>
      <x:c r="C141" s="6" t="str">
        <x:v>PhD</x:v>
      </x:c>
      <x:c r="D141" s="6" t="str">
        <x:v>Divorced</x:v>
      </x:c>
      <x:c r="E141" s="6" t="n">
        <x:v>36921</x:v>
      </x:c>
      <x:c r="F141" s="6" t="n">
        <x:v>1</x:v>
      </x:c>
      <x:c r="G141" s="6" t="n">
        <x:v>1</x:v>
      </x:c>
      <x:c r="H141" s="9" t="str">
        <x:v>28-07-2013</x:v>
      </x:c>
      <x:c r="I141" s="6" t="n">
        <x:v>74</x:v>
      </x:c>
      <x:c r="J141" s="6" t="n">
        <x:v>17</x:v>
      </x:c>
      <x:c r="K141" s="6" t="n">
        <x:v>1</x:v>
      </x:c>
      <x:c r="L141" s="6" t="n">
        <x:v>12</x:v>
      </x:c>
      <x:c r="M141" s="6" t="n">
        <x:v>3</x:v>
      </x:c>
      <x:c r="N141" s="6" t="n">
        <x:v>1</x:v>
      </x:c>
      <x:c r="O141" s="6" t="n">
        <x:v>4</x:v>
      </x:c>
      <x:c r="P141" s="6" t="n">
        <x:v>2</x:v>
      </x:c>
      <x:c r="Q141" s="6" t="n">
        <x:v>2</x:v>
      </x:c>
      <x:c r="R141" s="6" t="n">
        <x:v>0</x:v>
      </x:c>
      <x:c r="S141" s="6" t="n">
        <x:v>3</x:v>
      </x:c>
      <x:c r="T141" s="6" t="n">
        <x:v>7</x:v>
      </x:c>
      <x:c r="U141" s="6" t="n">
        <x:v>0</x:v>
      </x:c>
      <x:c r="V141" s="6" t="n">
        <x:v>0</x:v>
      </x:c>
      <x:c r="W141" s="6" t="n">
        <x:v>0</x:v>
      </x:c>
      <x:c r="X141" s="6" t="n">
        <x:v>0</x:v>
      </x:c>
      <x:c r="Y141" s="6" t="n">
        <x:v>0</x:v>
      </x:c>
      <x:c r="Z141" s="6" t="n">
        <x:v>0</x:v>
      </x:c>
      <x:c r="AA141" s="6" t="n">
        <x:v>3</x:v>
      </x:c>
      <x:c r="AB141" s="6" t="n">
        <x:v>11</x:v>
      </x:c>
      <x:c r="AC141" s="6" t="n">
        <x:v>0</x:v>
      </x:c>
    </x:row>
    <x:row r="142">
      <x:c r="A142" s="6" t="n">
        <x:v>821</x:v>
      </x:c>
      <x:c r="B142" s="6" t="n">
        <x:v>1992</x:v>
      </x:c>
      <x:c r="C142" s="6" t="str">
        <x:v>Master</x:v>
      </x:c>
      <x:c r="D142" s="6" t="str">
        <x:v>Single</x:v>
      </x:c>
      <x:c r="E142" s="6" t="n">
        <x:v>92859</x:v>
      </x:c>
      <x:c r="F142" s="6" t="n">
        <x:v>0</x:v>
      </x:c>
      <x:c r="G142" s="6" t="n">
        <x:v>0</x:v>
      </x:c>
      <x:c r="H142" s="9" t="str">
        <x:v>19-10-2012</x:v>
      </x:c>
      <x:c r="I142" s="6" t="n">
        <x:v>46</x:v>
      </x:c>
      <x:c r="J142" s="6" t="n">
        <x:v>962</x:v>
      </x:c>
      <x:c r="K142" s="6" t="n">
        <x:v>61</x:v>
      </x:c>
      <x:c r="L142" s="6" t="n">
        <x:v>921</x:v>
      </x:c>
      <x:c r="M142" s="6" t="n">
        <x:v>52</x:v>
      </x:c>
      <x:c r="N142" s="6" t="n">
        <x:v>61</x:v>
      </x:c>
      <x:c r="O142" s="6" t="n">
        <x:v>20</x:v>
      </x:c>
      <x:c r="P142" s="6" t="n">
        <x:v>1</x:v>
      </x:c>
      <x:c r="Q142" s="6" t="n">
        <x:v>5</x:v>
      </x:c>
      <x:c r="R142" s="6" t="n">
        <x:v>4</x:v>
      </x:c>
      <x:c r="S142" s="6" t="n">
        <x:v>12</x:v>
      </x:c>
      <x:c r="T142" s="6" t="n">
        <x:v>2</x:v>
      </x:c>
      <x:c r="U142" s="6" t="n">
        <x:v>0</x:v>
      </x:c>
      <x:c r="V142" s="6" t="n">
        <x:v>0</x:v>
      </x:c>
      <x:c r="W142" s="6" t="n">
        <x:v>0</x:v>
      </x:c>
      <x:c r="X142" s="6" t="n">
        <x:v>0</x:v>
      </x:c>
      <x:c r="Y142" s="6" t="n">
        <x:v>0</x:v>
      </x:c>
      <x:c r="Z142" s="6" t="n">
        <x:v>0</x:v>
      </x:c>
      <x:c r="AA142" s="6" t="n">
        <x:v>3</x:v>
      </x:c>
      <x:c r="AB142" s="6" t="n">
        <x:v>11</x:v>
      </x:c>
      <x:c r="AC142" s="6" t="n">
        <x:v>0</x:v>
      </x:c>
    </x:row>
    <x:row r="143">
      <x:c r="A143" s="6" t="n">
        <x:v>11084</x:v>
      </x:c>
      <x:c r="B143" s="6" t="n">
        <x:v>1976</x:v>
      </x:c>
      <x:c r="C143" s="6" t="str">
        <x:v>Master</x:v>
      </x:c>
      <x:c r="D143" s="6" t="str">
        <x:v>Together</x:v>
      </x:c>
      <x:c r="E143" s="6" t="n">
        <x:v>65104</x:v>
      </x:c>
      <x:c r="F143" s="6" t="n">
        <x:v>0</x:v>
      </x:c>
      <x:c r="G143" s="6" t="n">
        <x:v>1</x:v>
      </x:c>
      <x:c r="H143" s="9" t="str">
        <x:v>14-11-2013</x:v>
      </x:c>
      <x:c r="I143" s="6" t="n">
        <x:v>4</x:v>
      </x:c>
      <x:c r="J143" s="6" t="n">
        <x:v>738</x:v>
      </x:c>
      <x:c r="K143" s="6" t="n">
        <x:v>0</x:v>
      </x:c>
      <x:c r="L143" s="6" t="n">
        <x:v>232</x:v>
      </x:c>
      <x:c r="M143" s="6" t="n">
        <x:v>13</x:v>
      </x:c>
      <x:c r="N143" s="6" t="n">
        <x:v>20</x:v>
      </x:c>
      <x:c r="O143" s="6" t="n">
        <x:v>50</x:v>
      </x:c>
      <x:c r="P143" s="6" t="n">
        <x:v>2</x:v>
      </x:c>
      <x:c r="Q143" s="6" t="n">
        <x:v>3</x:v>
      </x:c>
      <x:c r="R143" s="6" t="n">
        <x:v>5</x:v>
      </x:c>
      <x:c r="S143" s="6" t="n">
        <x:v>7</x:v>
      </x:c>
      <x:c r="T143" s="6" t="n">
        <x:v>7</x:v>
      </x:c>
      <x:c r="U143" s="6" t="n">
        <x:v>0</x:v>
      </x:c>
      <x:c r="V143" s="6" t="n">
        <x:v>0</x:v>
      </x:c>
      <x:c r="W143" s="6" t="n">
        <x:v>0</x:v>
      </x:c>
      <x:c r="X143" s="6" t="n">
        <x:v>0</x:v>
      </x:c>
      <x:c r="Y143" s="6" t="n">
        <x:v>0</x:v>
      </x:c>
      <x:c r="Z143" s="6" t="n">
        <x:v>0</x:v>
      </x:c>
      <x:c r="AA143" s="6" t="n">
        <x:v>3</x:v>
      </x:c>
      <x:c r="AB143" s="6" t="n">
        <x:v>11</x:v>
      </x:c>
      <x:c r="AC143" s="6" t="n">
        <x:v>1</x:v>
      </x:c>
    </x:row>
    <x:row r="144">
      <x:c r="A144" s="6" t="n">
        <x:v>8690</x:v>
      </x:c>
      <x:c r="B144" s="6" t="n">
        <x:v>1962</x:v>
      </x:c>
      <x:c r="C144" s="6" t="str">
        <x:v>Graduation</x:v>
      </x:c>
      <x:c r="D144" s="6" t="str">
        <x:v>Married</x:v>
      </x:c>
      <x:c r="E144" s="6" t="n">
        <x:v>86111</x:v>
      </x:c>
      <x:c r="F144" s="6" t="n">
        <x:v>0</x:v>
      </x:c>
      <x:c r="G144" s="6" t="n">
        <x:v>0</x:v>
      </x:c>
      <x:c r="H144" s="9" t="str">
        <x:v>19-04-2013</x:v>
      </x:c>
      <x:c r="I144" s="6" t="n">
        <x:v>73</x:v>
      </x:c>
      <x:c r="J144" s="6" t="n">
        <x:v>399</x:v>
      </x:c>
      <x:c r="K144" s="6" t="n">
        <x:v>28</x:v>
      </x:c>
      <x:c r="L144" s="6" t="n">
        <x:v>756</x:v>
      </x:c>
      <x:c r="M144" s="6" t="n">
        <x:v>36</x:v>
      </x:c>
      <x:c r="N144" s="6" t="n">
        <x:v>40</x:v>
      </x:c>
      <x:c r="O144" s="6" t="n">
        <x:v>126</x:v>
      </x:c>
      <x:c r="P144" s="6" t="n">
        <x:v>1</x:v>
      </x:c>
      <x:c r="Q144" s="6" t="n">
        <x:v>5</x:v>
      </x:c>
      <x:c r="R144" s="6" t="n">
        <x:v>7</x:v>
      </x:c>
      <x:c r="S144" s="6" t="n">
        <x:v>10</x:v>
      </x:c>
      <x:c r="T144" s="6" t="n">
        <x:v>2</x:v>
      </x:c>
      <x:c r="U144" s="6" t="n">
        <x:v>0</x:v>
      </x:c>
      <x:c r="V144" s="6" t="n">
        <x:v>0</x:v>
      </x:c>
      <x:c r="W144" s="6" t="n">
        <x:v>0</x:v>
      </x:c>
      <x:c r="X144" s="6" t="n">
        <x:v>0</x:v>
      </x:c>
      <x:c r="Y144" s="6" t="n">
        <x:v>0</x:v>
      </x:c>
      <x:c r="Z144" s="6" t="n">
        <x:v>0</x:v>
      </x:c>
      <x:c r="AA144" s="6" t="n">
        <x:v>3</x:v>
      </x:c>
      <x:c r="AB144" s="6" t="n">
        <x:v>11</x:v>
      </x:c>
      <x:c r="AC144" s="6" t="n">
        <x:v>0</x:v>
      </x:c>
    </x:row>
    <x:row r="145">
      <x:c r="A145" s="6" t="n">
        <x:v>2937</x:v>
      </x:c>
      <x:c r="B145" s="6" t="n">
        <x:v>1974</x:v>
      </x:c>
      <x:c r="C145" s="6" t="str">
        <x:v>PhD</x:v>
      </x:c>
      <x:c r="D145" s="6" t="str">
        <x:v>Single</x:v>
      </x:c>
      <x:c r="E145" s="6" t="n">
        <x:v>68352</x:v>
      </x:c>
      <x:c r="F145" s="6" t="n">
        <x:v>0</x:v>
      </x:c>
      <x:c r="G145" s="6" t="n">
        <x:v>1</x:v>
      </x:c>
      <x:c r="H145" s="9" t="str">
        <x:v>28-08-2013</x:v>
      </x:c>
      <x:c r="I145" s="6" t="n">
        <x:v>47</x:v>
      </x:c>
      <x:c r="J145" s="6" t="n">
        <x:v>614</x:v>
      </x:c>
      <x:c r="K145" s="6" t="n">
        <x:v>16</x:v>
      </x:c>
      <x:c r="L145" s="6" t="n">
        <x:v>132</x:v>
      </x:c>
      <x:c r="M145" s="6" t="n">
        <x:v>43</x:v>
      </x:c>
      <x:c r="N145" s="6" t="n">
        <x:v>33</x:v>
      </x:c>
      <x:c r="O145" s="6" t="n">
        <x:v>33</x:v>
      </x:c>
      <x:c r="P145" s="6" t="n">
        <x:v>3</x:v>
      </x:c>
      <x:c r="Q145" s="6" t="n">
        <x:v>8</x:v>
      </x:c>
      <x:c r="R145" s="6" t="n">
        <x:v>5</x:v>
      </x:c>
      <x:c r="S145" s="6" t="n">
        <x:v>9</x:v>
      </x:c>
      <x:c r="T145" s="6" t="n">
        <x:v>6</x:v>
      </x:c>
      <x:c r="U145" s="6" t="n">
        <x:v>0</x:v>
      </x:c>
      <x:c r="V145" s="6" t="n">
        <x:v>0</x:v>
      </x:c>
      <x:c r="W145" s="6" t="n">
        <x:v>0</x:v>
      </x:c>
      <x:c r="X145" s="6" t="n">
        <x:v>0</x:v>
      </x:c>
      <x:c r="Y145" s="6" t="n">
        <x:v>0</x:v>
      </x:c>
      <x:c r="Z145" s="6" t="n">
        <x:v>0</x:v>
      </x:c>
      <x:c r="AA145" s="6" t="n">
        <x:v>3</x:v>
      </x:c>
      <x:c r="AB145" s="6" t="n">
        <x:v>11</x:v>
      </x:c>
      <x:c r="AC145" s="6" t="n">
        <x:v>0</x:v>
      </x:c>
    </x:row>
    <x:row r="146">
      <x:c r="A146" s="6" t="n">
        <x:v>9701</x:v>
      </x:c>
      <x:c r="B146" s="6" t="n">
        <x:v>1988</x:v>
      </x:c>
      <x:c r="C146" s="6" t="str">
        <x:v>Graduation</x:v>
      </x:c>
      <x:c r="D146" s="6" t="str">
        <x:v>Together</x:v>
      </x:c>
      <x:c r="E146" s="6" t="n">
        <x:v>41883</x:v>
      </x:c>
      <x:c r="F146" s="6" t="n">
        <x:v>1</x:v>
      </x:c>
      <x:c r="G146" s="6" t="n">
        <x:v>0</x:v>
      </x:c>
      <x:c r="H146" s="9" t="str">
        <x:v>19-03-2013</x:v>
      </x:c>
      <x:c r="I146" s="6" t="n">
        <x:v>13</x:v>
      </x:c>
      <x:c r="J146" s="6" t="n">
        <x:v>32</x:v>
      </x:c>
      <x:c r="K146" s="6" t="n">
        <x:v>34</x:v>
      </x:c>
      <x:c r="L146" s="6" t="n">
        <x:v>41</x:v>
      </x:c>
      <x:c r="M146" s="6" t="n">
        <x:v>73</x:v>
      </x:c>
      <x:c r="N146" s="6" t="n">
        <x:v>16</x:v>
      </x:c>
      <x:c r="O146" s="6" t="n">
        <x:v>116</x:v>
      </x:c>
      <x:c r="P146" s="6" t="n">
        <x:v>3</x:v>
      </x:c>
      <x:c r="Q146" s="6" t="n">
        <x:v>4</x:v>
      </x:c>
      <x:c r="R146" s="6" t="n">
        <x:v>2</x:v>
      </x:c>
      <x:c r="S146" s="6" t="n">
        <x:v>3</x:v>
      </x:c>
      <x:c r="T146" s="6" t="n">
        <x:v>7</x:v>
      </x:c>
      <x:c r="U146" s="6" t="n">
        <x:v>0</x:v>
      </x:c>
      <x:c r="V146" s="6" t="n">
        <x:v>0</x:v>
      </x:c>
      <x:c r="W146" s="6" t="n">
        <x:v>0</x:v>
      </x:c>
      <x:c r="X146" s="6" t="n">
        <x:v>0</x:v>
      </x:c>
      <x:c r="Y146" s="6" t="n">
        <x:v>0</x:v>
      </x:c>
      <x:c r="Z146" s="6" t="n">
        <x:v>0</x:v>
      </x:c>
      <x:c r="AA146" s="6" t="n">
        <x:v>3</x:v>
      </x:c>
      <x:c r="AB146" s="6" t="n">
        <x:v>11</x:v>
      </x:c>
      <x:c r="AC146" s="6" t="n">
        <x:v>0</x:v>
      </x:c>
    </x:row>
    <x:row r="147">
      <x:c r="A147" s="6" t="n">
        <x:v>9949</x:v>
      </x:c>
      <x:c r="B147" s="6" t="n">
        <x:v>1976</x:v>
      </x:c>
      <x:c r="C147" s="6" t="str">
        <x:v>Graduation</x:v>
      </x:c>
      <x:c r="D147" s="6" t="str">
        <x:v>Married</x:v>
      </x:c>
      <x:c r="E147" s="6" t="n">
        <x:v>59809</x:v>
      </x:c>
      <x:c r="F147" s="6" t="n">
        <x:v>0</x:v>
      </x:c>
      <x:c r="G147" s="6" t="n">
        <x:v>2</x:v>
      </x:c>
      <x:c r="H147" s="9" t="str">
        <x:v>18-10-2012</x:v>
      </x:c>
      <x:c r="I147" s="6" t="n">
        <x:v>36</x:v>
      </x:c>
      <x:c r="J147" s="6" t="n">
        <x:v>598</x:v>
      </x:c>
      <x:c r="K147" s="6" t="n">
        <x:v>16</x:v>
      </x:c>
      <x:c r="L147" s="6" t="n">
        <x:v>141</x:v>
      </x:c>
      <x:c r="M147" s="6" t="n">
        <x:v>32</x:v>
      </x:c>
      <x:c r="N147" s="6" t="n">
        <x:v>41</x:v>
      </x:c>
      <x:c r="O147" s="6" t="n">
        <x:v>49</x:v>
      </x:c>
      <x:c r="P147" s="6" t="n">
        <x:v>3</x:v>
      </x:c>
      <x:c r="Q147" s="6" t="n">
        <x:v>3</x:v>
      </x:c>
      <x:c r="R147" s="6" t="n">
        <x:v>3</x:v>
      </x:c>
      <x:c r="S147" s="6" t="n">
        <x:v>6</x:v>
      </x:c>
      <x:c r="T147" s="6" t="n">
        <x:v>8</x:v>
      </x:c>
      <x:c r="U147" s="6" t="n">
        <x:v>0</x:v>
      </x:c>
      <x:c r="V147" s="6" t="n">
        <x:v>0</x:v>
      </x:c>
      <x:c r="W147" s="6" t="n">
        <x:v>0</x:v>
      </x:c>
      <x:c r="X147" s="6" t="n">
        <x:v>0</x:v>
      </x:c>
      <x:c r="Y147" s="6" t="n">
        <x:v>0</x:v>
      </x:c>
      <x:c r="Z147" s="6" t="n">
        <x:v>0</x:v>
      </x:c>
      <x:c r="AA147" s="6" t="n">
        <x:v>3</x:v>
      </x:c>
      <x:c r="AB147" s="6" t="n">
        <x:v>11</x:v>
      </x:c>
      <x:c r="AC147" s="6" t="n">
        <x:v>0</x:v>
      </x:c>
    </x:row>
    <x:row r="148">
      <x:c r="A148" s="6" t="n">
        <x:v>10837</x:v>
      </x:c>
      <x:c r="B148" s="6" t="n">
        <x:v>1975</x:v>
      </x:c>
      <x:c r="C148" s="6" t="str">
        <x:v>Graduation</x:v>
      </x:c>
      <x:c r="D148" s="6" t="str">
        <x:v>Married</x:v>
      </x:c>
      <x:c r="E148" s="6" t="n">
        <x:v>23957</x:v>
      </x:c>
      <x:c r="F148" s="6" t="n">
        <x:v>1</x:v>
      </x:c>
      <x:c r="G148" s="6" t="n">
        <x:v>0</x:v>
      </x:c>
      <x:c r="H148" s="9" t="str">
        <x:v>28-10-2012</x:v>
      </x:c>
      <x:c r="I148" s="6" t="n">
        <x:v>47</x:v>
      </x:c>
      <x:c r="J148" s="6" t="n">
        <x:v>2</x:v>
      </x:c>
      <x:c r="K148" s="6" t="n">
        <x:v>1</x:v>
      </x:c>
      <x:c r="L148" s="6" t="n">
        <x:v>18</x:v>
      </x:c>
      <x:c r="M148" s="6" t="n">
        <x:v>20</x:v>
      </x:c>
      <x:c r="N148" s="6" t="n">
        <x:v>11</x:v>
      </x:c>
      <x:c r="O148" s="6" t="n">
        <x:v>16</x:v>
      </x:c>
      <x:c r="P148" s="6" t="n">
        <x:v>1</x:v>
      </x:c>
      <x:c r="Q148" s="6" t="n">
        <x:v>2</x:v>
      </x:c>
      <x:c r="R148" s="6" t="n">
        <x:v>0</x:v>
      </x:c>
      <x:c r="S148" s="6" t="n">
        <x:v>3</x:v>
      </x:c>
      <x:c r="T148" s="6" t="n">
        <x:v>6</x:v>
      </x:c>
      <x:c r="U148" s="6" t="n">
        <x:v>0</x:v>
      </x:c>
      <x:c r="V148" s="6" t="n">
        <x:v>0</x:v>
      </x:c>
      <x:c r="W148" s="6" t="n">
        <x:v>0</x:v>
      </x:c>
      <x:c r="X148" s="6" t="n">
        <x:v>0</x:v>
      </x:c>
      <x:c r="Y148" s="6" t="n">
        <x:v>0</x:v>
      </x:c>
      <x:c r="Z148" s="6" t="n">
        <x:v>0</x:v>
      </x:c>
      <x:c r="AA148" s="6" t="n">
        <x:v>3</x:v>
      </x:c>
      <x:c r="AB148" s="6" t="n">
        <x:v>11</x:v>
      </x:c>
      <x:c r="AC148" s="6" t="n">
        <x:v>1</x:v>
      </x:c>
    </x:row>
    <x:row r="149">
      <x:c r="A149" s="6" t="n">
        <x:v>3120</x:v>
      </x:c>
      <x:c r="B149" s="6" t="n">
        <x:v>1981</x:v>
      </x:c>
      <x:c r="C149" s="6" t="str">
        <x:v>Graduation</x:v>
      </x:c>
      <x:c r="D149" s="6" t="str">
        <x:v>Together</x:v>
      </x:c>
      <x:c r="E149" s="6" t="n">
        <x:v>38547</x:v>
      </x:c>
      <x:c r="F149" s="6" t="n">
        <x:v>1</x:v>
      </x:c>
      <x:c r="G149" s="6" t="n">
        <x:v>0</x:v>
      </x:c>
      <x:c r="H149" s="9" t="str">
        <x:v>28-08-2013</x:v>
      </x:c>
      <x:c r="I149" s="6" t="n">
        <x:v>49</x:v>
      </x:c>
      <x:c r="J149" s="6" t="n">
        <x:v>6</x:v>
      </x:c>
      <x:c r="K149" s="6" t="n">
        <x:v>1</x:v>
      </x:c>
      <x:c r="L149" s="6" t="n">
        <x:v>10</x:v>
      </x:c>
      <x:c r="M149" s="6" t="n">
        <x:v>0</x:v>
      </x:c>
      <x:c r="N149" s="6" t="n">
        <x:v>1</x:v>
      </x:c>
      <x:c r="O149" s="6" t="n">
        <x:v>4</x:v>
      </x:c>
      <x:c r="P149" s="6" t="n">
        <x:v>1</x:v>
      </x:c>
      <x:c r="Q149" s="6" t="n">
        <x:v>1</x:v>
      </x:c>
      <x:c r="R149" s="6" t="n">
        <x:v>0</x:v>
      </x:c>
      <x:c r="S149" s="6" t="n">
        <x:v>2</x:v>
      </x:c>
      <x:c r="T149" s="6" t="n">
        <x:v>8</x:v>
      </x:c>
      <x:c r="U149" s="6" t="n">
        <x:v>0</x:v>
      </x:c>
      <x:c r="V149" s="6" t="n">
        <x:v>0</x:v>
      </x:c>
      <x:c r="W149" s="6" t="n">
        <x:v>0</x:v>
      </x:c>
      <x:c r="X149" s="6" t="n">
        <x:v>0</x:v>
      </x:c>
      <x:c r="Y149" s="6" t="n">
        <x:v>0</x:v>
      </x:c>
      <x:c r="Z149" s="6" t="n">
        <x:v>1</x:v>
      </x:c>
      <x:c r="AA149" s="6" t="n">
        <x:v>3</x:v>
      </x:c>
      <x:c r="AB149" s="6" t="n">
        <x:v>11</x:v>
      </x:c>
      <x:c r="AC149" s="6" t="n">
        <x:v>0</x:v>
      </x:c>
    </x:row>
    <x:row r="150">
      <x:c r="A150" s="6" t="n">
        <x:v>5885</x:v>
      </x:c>
      <x:c r="B150" s="6" t="n">
        <x:v>1973</x:v>
      </x:c>
      <x:c r="C150" s="6" t="str">
        <x:v>2n Cycle</x:v>
      </x:c>
      <x:c r="D150" s="6" t="str">
        <x:v>Married</x:v>
      </x:c>
      <x:c r="E150" s="6" t="n">
        <x:v>35688</x:v>
      </x:c>
      <x:c r="F150" s="6" t="n">
        <x:v>2</x:v>
      </x:c>
      <x:c r="G150" s="6" t="n">
        <x:v>1</x:v>
      </x:c>
      <x:c r="H150" s="9" t="str">
        <x:v>22-08-2012</x:v>
      </x:c>
      <x:c r="I150" s="6" t="n">
        <x:v>94</x:v>
      </x:c>
      <x:c r="J150" s="6" t="n">
        <x:v>73</x:v>
      </x:c>
      <x:c r="K150" s="6" t="n">
        <x:v>3</x:v>
      </x:c>
      <x:c r="L150" s="6" t="n">
        <x:v>90</x:v>
      </x:c>
      <x:c r="M150" s="6" t="n">
        <x:v>12</x:v>
      </x:c>
      <x:c r="N150" s="6" t="n">
        <x:v>1</x:v>
      </x:c>
      <x:c r="O150" s="6" t="n">
        <x:v>32</x:v>
      </x:c>
      <x:c r="P150" s="6" t="n">
        <x:v>7</x:v>
      </x:c>
      <x:c r="Q150" s="6" t="n">
        <x:v>4</x:v>
      </x:c>
      <x:c r="R150" s="6" t="n">
        <x:v>1</x:v>
      </x:c>
      <x:c r="S150" s="6" t="n">
        <x:v>4</x:v>
      </x:c>
      <x:c r="T150" s="6" t="n">
        <x:v>8</x:v>
      </x:c>
      <x:c r="U150" s="6" t="n">
        <x:v>0</x:v>
      </x:c>
      <x:c r="V150" s="6" t="n">
        <x:v>0</x:v>
      </x:c>
      <x:c r="W150" s="6" t="n">
        <x:v>0</x:v>
      </x:c>
      <x:c r="X150" s="6" t="n">
        <x:v>0</x:v>
      </x:c>
      <x:c r="Y150" s="6" t="n">
        <x:v>0</x:v>
      </x:c>
      <x:c r="Z150" s="6" t="n">
        <x:v>0</x:v>
      </x:c>
      <x:c r="AA150" s="6" t="n">
        <x:v>3</x:v>
      </x:c>
      <x:c r="AB150" s="6" t="n">
        <x:v>11</x:v>
      </x:c>
      <x:c r="AC150" s="6" t="n">
        <x:v>0</x:v>
      </x:c>
    </x:row>
    <x:row r="151">
      <x:c r="A151" s="6" t="n">
        <x:v>4050</x:v>
      </x:c>
      <x:c r="B151" s="6" t="n">
        <x:v>1966</x:v>
      </x:c>
      <x:c r="C151" s="6" t="str">
        <x:v>Master</x:v>
      </x:c>
      <x:c r="D151" s="6" t="str">
        <x:v>Married</x:v>
      </x:c>
      <x:c r="E151" s="6" t="n">
        <x:v>49605</x:v>
      </x:c>
      <x:c r="F151" s="6" t="n">
        <x:v>0</x:v>
      </x:c>
      <x:c r="G151" s="6" t="n">
        <x:v>0</x:v>
      </x:c>
      <x:c r="H151" s="9" t="str">
        <x:v>21-06-2014</x:v>
      </x:c>
      <x:c r="I151" s="6" t="n">
        <x:v>65</x:v>
      </x:c>
      <x:c r="J151" s="6" t="n">
        <x:v>42</x:v>
      </x:c>
      <x:c r="K151" s="6" t="n">
        <x:v>16</x:v>
      </x:c>
      <x:c r="L151" s="6" t="n">
        <x:v>29</x:v>
      </x:c>
      <x:c r="M151" s="6" t="n">
        <x:v>12</x:v>
      </x:c>
      <x:c r="N151" s="6" t="n">
        <x:v>20</x:v>
      </x:c>
      <x:c r="O151" s="6" t="n">
        <x:v>8</x:v>
      </x:c>
      <x:c r="P151" s="6" t="n">
        <x:v>1</x:v>
      </x:c>
      <x:c r="Q151" s="6" t="n">
        <x:v>2</x:v>
      </x:c>
      <x:c r="R151" s="6" t="n">
        <x:v>1</x:v>
      </x:c>
      <x:c r="S151" s="6" t="n">
        <x:v>4</x:v>
      </x:c>
      <x:c r="T151" s="6" t="n">
        <x:v>3</x:v>
      </x:c>
      <x:c r="U151" s="6" t="n">
        <x:v>0</x:v>
      </x:c>
      <x:c r="V151" s="6" t="n">
        <x:v>0</x:v>
      </x:c>
      <x:c r="W151" s="6" t="n">
        <x:v>0</x:v>
      </x:c>
      <x:c r="X151" s="6" t="n">
        <x:v>0</x:v>
      </x:c>
      <x:c r="Y151" s="6" t="n">
        <x:v>0</x:v>
      </x:c>
      <x:c r="Z151" s="6" t="n">
        <x:v>0</x:v>
      </x:c>
      <x:c r="AA151" s="6" t="n">
        <x:v>3</x:v>
      </x:c>
      <x:c r="AB151" s="6" t="n">
        <x:v>11</x:v>
      </x:c>
      <x:c r="AC151" s="6" t="n">
        <x:v>0</x:v>
      </x:c>
    </x:row>
    <x:row r="152">
      <x:c r="A152" s="6" t="n">
        <x:v>3830</x:v>
      </x:c>
      <x:c r="B152" s="6" t="n">
        <x:v>1953</x:v>
      </x:c>
      <x:c r="C152" s="6" t="str">
        <x:v>Master</x:v>
      </x:c>
      <x:c r="D152" s="6" t="str">
        <x:v>Married</x:v>
      </x:c>
      <x:c r="E152" s="6" t="n">
        <x:v>59354</x:v>
      </x:c>
      <x:c r="F152" s="6" t="n">
        <x:v>0</x:v>
      </x:c>
      <x:c r="G152" s="6" t="n">
        <x:v>2</x:v>
      </x:c>
      <x:c r="H152" s="9" t="str">
        <x:v>24-04-2014</x:v>
      </x:c>
      <x:c r="I152" s="6" t="n">
        <x:v>59</x:v>
      </x:c>
      <x:c r="J152" s="6" t="n">
        <x:v>295</x:v>
      </x:c>
      <x:c r="K152" s="6" t="n">
        <x:v>21</x:v>
      </x:c>
      <x:c r="L152" s="6" t="n">
        <x:v>78</x:v>
      </x:c>
      <x:c r="M152" s="6" t="n">
        <x:v>39</x:v>
      </x:c>
      <x:c r="N152" s="6" t="n">
        <x:v>13</x:v>
      </x:c>
      <x:c r="O152" s="6" t="n">
        <x:v>13</x:v>
      </x:c>
      <x:c r="P152" s="6" t="n">
        <x:v>1</x:v>
      </x:c>
      <x:c r="Q152" s="6" t="n">
        <x:v>4</x:v>
      </x:c>
      <x:c r="R152" s="6" t="n">
        <x:v>4</x:v>
      </x:c>
      <x:c r="S152" s="6" t="n">
        <x:v>7</x:v>
      </x:c>
      <x:c r="T152" s="6" t="n">
        <x:v>3</x:v>
      </x:c>
      <x:c r="U152" s="6" t="n">
        <x:v>0</x:v>
      </x:c>
      <x:c r="V152" s="6" t="n">
        <x:v>0</x:v>
      </x:c>
      <x:c r="W152" s="6" t="n">
        <x:v>0</x:v>
      </x:c>
      <x:c r="X152" s="6" t="n">
        <x:v>0</x:v>
      </x:c>
      <x:c r="Y152" s="6" t="n">
        <x:v>0</x:v>
      </x:c>
      <x:c r="Z152" s="6" t="n">
        <x:v>0</x:v>
      </x:c>
      <x:c r="AA152" s="6" t="n">
        <x:v>3</x:v>
      </x:c>
      <x:c r="AB152" s="6" t="n">
        <x:v>11</x:v>
      </x:c>
      <x:c r="AC152" s="6" t="n">
        <x:v>0</x:v>
      </x:c>
    </x:row>
    <x:row r="153">
      <x:c r="A153" s="6" t="n">
        <x:v>7987</x:v>
      </x:c>
      <x:c r="B153" s="6" t="n">
        <x:v>1969</x:v>
      </x:c>
      <x:c r="C153" s="6" t="str">
        <x:v>Graduation</x:v>
      </x:c>
      <x:c r="D153" s="6" t="str">
        <x:v>Married</x:v>
      </x:c>
      <x:c r="E153" s="6" t="n">
        <x:v>65747</x:v>
      </x:c>
      <x:c r="F153" s="6" t="n">
        <x:v>0</x:v>
      </x:c>
      <x:c r="G153" s="6" t="n">
        <x:v>1</x:v>
      </x:c>
      <x:c r="H153" s="9" t="str">
        <x:v>07-03-2014</x:v>
      </x:c>
      <x:c r="I153" s="6" t="n">
        <x:v>96</x:v>
      </x:c>
      <x:c r="J153" s="6" t="n">
        <x:v>346</x:v>
      </x:c>
      <x:c r="K153" s="6" t="n">
        <x:v>17</x:v>
      </x:c>
      <x:c r="L153" s="6" t="n">
        <x:v>48</x:v>
      </x:c>
      <x:c r="M153" s="6" t="n">
        <x:v>23</x:v>
      </x:c>
      <x:c r="N153" s="6" t="n">
        <x:v>13</x:v>
      </x:c>
      <x:c r="O153" s="6" t="n">
        <x:v>13</x:v>
      </x:c>
      <x:c r="P153" s="6" t="n">
        <x:v>4</x:v>
      </x:c>
      <x:c r="Q153" s="6" t="n">
        <x:v>8</x:v>
      </x:c>
      <x:c r="R153" s="6" t="n">
        <x:v>1</x:v>
      </x:c>
      <x:c r="S153" s="6" t="n">
        <x:v>6</x:v>
      </x:c>
      <x:c r="T153" s="6" t="n">
        <x:v>6</x:v>
      </x:c>
      <x:c r="U153" s="6" t="n">
        <x:v>0</x:v>
      </x:c>
      <x:c r="V153" s="6" t="n">
        <x:v>1</x:v>
      </x:c>
      <x:c r="W153" s="6" t="n">
        <x:v>0</x:v>
      </x:c>
      <x:c r="X153" s="6" t="n">
        <x:v>0</x:v>
      </x:c>
      <x:c r="Y153" s="6" t="n">
        <x:v>0</x:v>
      </x:c>
      <x:c r="Z153" s="6" t="n">
        <x:v>0</x:v>
      </x:c>
      <x:c r="AA153" s="6" t="n">
        <x:v>3</x:v>
      </x:c>
      <x:c r="AB153" s="6" t="n">
        <x:v>11</x:v>
      </x:c>
      <x:c r="AC153" s="6" t="n">
        <x:v>0</x:v>
      </x:c>
    </x:row>
    <x:row r="154">
      <x:c r="A154" s="6" t="n">
        <x:v>7798</x:v>
      </x:c>
      <x:c r="B154" s="6" t="n">
        <x:v>1972</x:v>
      </x:c>
      <x:c r="C154" s="6" t="str">
        <x:v>2n Cycle</x:v>
      </x:c>
      <x:c r="D154" s="6" t="str">
        <x:v>Together</x:v>
      </x:c>
      <x:c r="E154" s="6" t="n">
        <x:v>46344</x:v>
      </x:c>
      <x:c r="F154" s="6" t="n">
        <x:v>0</x:v>
      </x:c>
      <x:c r="G154" s="6" t="n">
        <x:v>1</x:v>
      </x:c>
      <x:c r="H154" s="9" t="str">
        <x:v>14-12-2012</x:v>
      </x:c>
      <x:c r="I154" s="6" t="n">
        <x:v>28</x:v>
      </x:c>
      <x:c r="J154" s="6" t="n">
        <x:v>233</x:v>
      </x:c>
      <x:c r="K154" s="6" t="n">
        <x:v>20</x:v>
      </x:c>
      <x:c r="L154" s="6" t="n">
        <x:v>57</x:v>
      </x:c>
      <x:c r="M154" s="6" t="n">
        <x:v>8</x:v>
      </x:c>
      <x:c r="N154" s="6" t="n">
        <x:v>20</x:v>
      </x:c>
      <x:c r="O154" s="6" t="n">
        <x:v>91</x:v>
      </x:c>
      <x:c r="P154" s="6" t="n">
        <x:v>4</x:v>
      </x:c>
      <x:c r="Q154" s="6" t="n">
        <x:v>7</x:v>
      </x:c>
      <x:c r="R154" s="6" t="n">
        <x:v>1</x:v>
      </x:c>
      <x:c r="S154" s="6" t="n">
        <x:v>5</x:v>
      </x:c>
      <x:c r="T154" s="6" t="n">
        <x:v>7</x:v>
      </x:c>
      <x:c r="U154" s="6" t="n">
        <x:v>0</x:v>
      </x:c>
      <x:c r="V154" s="6" t="n">
        <x:v>0</x:v>
      </x:c>
      <x:c r="W154" s="6" t="n">
        <x:v>0</x:v>
      </x:c>
      <x:c r="X154" s="6" t="n">
        <x:v>0</x:v>
      </x:c>
      <x:c r="Y154" s="6" t="n">
        <x:v>0</x:v>
      </x:c>
      <x:c r="Z154" s="6" t="n">
        <x:v>0</x:v>
      </x:c>
      <x:c r="AA154" s="6" t="n">
        <x:v>3</x:v>
      </x:c>
      <x:c r="AB154" s="6" t="n">
        <x:v>11</x:v>
      </x:c>
      <x:c r="AC154" s="6" t="n">
        <x:v>0</x:v>
      </x:c>
    </x:row>
    <x:row r="155">
      <x:c r="A155" s="6" t="n">
        <x:v>92</x:v>
      </x:c>
      <x:c r="B155" s="6" t="n">
        <x:v>1988</x:v>
      </x:c>
      <x:c r="C155" s="6" t="str">
        <x:v>Graduation</x:v>
      </x:c>
      <x:c r="D155" s="6" t="str">
        <x:v>Alone</x:v>
      </x:c>
      <x:c r="E155" s="6" t="n">
        <x:v>34176</x:v>
      </x:c>
      <x:c r="F155" s="6" t="n">
        <x:v>1</x:v>
      </x:c>
      <x:c r="G155" s="6" t="n">
        <x:v>0</x:v>
      </x:c>
      <x:c r="H155" s="9" t="str">
        <x:v>12-05-2014</x:v>
      </x:c>
      <x:c r="I155" s="6" t="n">
        <x:v>12</x:v>
      </x:c>
      <x:c r="J155" s="6" t="n">
        <x:v>5</x:v>
      </x:c>
      <x:c r="K155" s="6" t="n">
        <x:v>7</x:v>
      </x:c>
      <x:c r="L155" s="6" t="n">
        <x:v>24</x:v>
      </x:c>
      <x:c r="M155" s="6" t="n">
        <x:v>19</x:v>
      </x:c>
      <x:c r="N155" s="6" t="n">
        <x:v>14</x:v>
      </x:c>
      <x:c r="O155" s="6" t="n">
        <x:v>20</x:v>
      </x:c>
      <x:c r="P155" s="6" t="n">
        <x:v>4</x:v>
      </x:c>
      <x:c r="Q155" s="6" t="n">
        <x:v>3</x:v>
      </x:c>
      <x:c r="R155" s="6" t="n">
        <x:v>0</x:v>
      </x:c>
      <x:c r="S155" s="6" t="n">
        <x:v>4</x:v>
      </x:c>
      <x:c r="T155" s="6" t="n">
        <x:v>6</x:v>
      </x:c>
      <x:c r="U155" s="6" t="n">
        <x:v>0</x:v>
      </x:c>
      <x:c r="V155" s="6" t="n">
        <x:v>0</x:v>
      </x:c>
      <x:c r="W155" s="6" t="n">
        <x:v>0</x:v>
      </x:c>
      <x:c r="X155" s="6" t="n">
        <x:v>0</x:v>
      </x:c>
      <x:c r="Y155" s="6" t="n">
        <x:v>0</x:v>
      </x:c>
      <x:c r="Z155" s="6" t="n">
        <x:v>0</x:v>
      </x:c>
      <x:c r="AA155" s="6" t="n">
        <x:v>3</x:v>
      </x:c>
      <x:c r="AB155" s="6" t="n">
        <x:v>11</x:v>
      </x:c>
      <x:c r="AC155" s="6" t="n">
        <x:v>0</x:v>
      </x:c>
    </x:row>
    <x:row r="156">
      <x:c r="A156" s="6" t="n">
        <x:v>7055</x:v>
      </x:c>
      <x:c r="B156" s="6" t="n">
        <x:v>1952</x:v>
      </x:c>
      <x:c r="C156" s="6" t="str">
        <x:v>PhD</x:v>
      </x:c>
      <x:c r="D156" s="6" t="str">
        <x:v>Together</x:v>
      </x:c>
      <x:c r="E156" s="6" t="n">
        <x:v>61010</x:v>
      </x:c>
      <x:c r="F156" s="6" t="n">
        <x:v>0</x:v>
      </x:c>
      <x:c r="G156" s="6" t="n">
        <x:v>1</x:v>
      </x:c>
      <x:c r="H156" s="9" t="str">
        <x:v>09-10-2012</x:v>
      </x:c>
      <x:c r="I156" s="6" t="n">
        <x:v>57</x:v>
      </x:c>
      <x:c r="J156" s="6" t="n">
        <x:v>888</x:v>
      </x:c>
      <x:c r="K156" s="6" t="n">
        <x:v>0</x:v>
      </x:c>
      <x:c r="L156" s="6" t="n">
        <x:v>57</x:v>
      </x:c>
      <x:c r="M156" s="6" t="n">
        <x:v>0</x:v>
      </x:c>
      <x:c r="N156" s="6" t="n">
        <x:v>0</x:v>
      </x:c>
      <x:c r="O156" s="6" t="n">
        <x:v>76</x:v>
      </x:c>
      <x:c r="P156" s="6" t="n">
        <x:v>2</x:v>
      </x:c>
      <x:c r="Q156" s="6" t="n">
        <x:v>8</x:v>
      </x:c>
      <x:c r="R156" s="6" t="n">
        <x:v>5</x:v>
      </x:c>
      <x:c r="S156" s="6" t="n">
        <x:v>11</x:v>
      </x:c>
      <x:c r="T156" s="6" t="n">
        <x:v>5</x:v>
      </x:c>
      <x:c r="U156" s="6" t="n">
        <x:v>0</x:v>
      </x:c>
      <x:c r="V156" s="6" t="n">
        <x:v>0</x:v>
      </x:c>
      <x:c r="W156" s="6" t="n">
        <x:v>0</x:v>
      </x:c>
      <x:c r="X156" s="6" t="n">
        <x:v>0</x:v>
      </x:c>
      <x:c r="Y156" s="6" t="n">
        <x:v>0</x:v>
      </x:c>
      <x:c r="Z156" s="6" t="n">
        <x:v>0</x:v>
      </x:c>
      <x:c r="AA156" s="6" t="n">
        <x:v>3</x:v>
      </x:c>
      <x:c r="AB156" s="6" t="n">
        <x:v>11</x:v>
      </x:c>
      <x:c r="AC156" s="6" t="n">
        <x:v>0</x:v>
      </x:c>
    </x:row>
    <x:row r="157">
      <x:c r="A157" s="6" t="n">
        <x:v>10240</x:v>
      </x:c>
      <x:c r="B157" s="6" t="n">
        <x:v>1949</x:v>
      </x:c>
      <x:c r="C157" s="6" t="str">
        <x:v>Graduation</x:v>
      </x:c>
      <x:c r="D157" s="6" t="str">
        <x:v>Together</x:v>
      </x:c>
      <x:c r="E157" s="6" t="n">
        <x:v>69372</x:v>
      </x:c>
      <x:c r="F157" s="6" t="n">
        <x:v>0</x:v>
      </x:c>
      <x:c r="G157" s="6" t="n">
        <x:v>0</x:v>
      </x:c>
      <x:c r="H157" s="9" t="str">
        <x:v>19-02-2013</x:v>
      </x:c>
      <x:c r="I157" s="6" t="n">
        <x:v>10</x:v>
      </x:c>
      <x:c r="J157" s="6" t="n">
        <x:v>997</x:v>
      </x:c>
      <x:c r="K157" s="6" t="n">
        <x:v>26</x:v>
      </x:c>
      <x:c r="L157" s="6" t="n">
        <x:v>269</x:v>
      </x:c>
      <x:c r="M157" s="6" t="n">
        <x:v>34</x:v>
      </x:c>
      <x:c r="N157" s="6" t="n">
        <x:v>13</x:v>
      </x:c>
      <x:c r="O157" s="6" t="n">
        <x:v>42</x:v>
      </x:c>
      <x:c r="P157" s="6" t="n">
        <x:v>1</x:v>
      </x:c>
      <x:c r="Q157" s="6" t="n">
        <x:v>10</x:v>
      </x:c>
      <x:c r="R157" s="6" t="n">
        <x:v>4</x:v>
      </x:c>
      <x:c r="S157" s="6" t="n">
        <x:v>6</x:v>
      </x:c>
      <x:c r="T157" s="6" t="n">
        <x:v>4</x:v>
      </x:c>
      <x:c r="U157" s="6" t="n">
        <x:v>0</x:v>
      </x:c>
      <x:c r="V157" s="6" t="n">
        <x:v>1</x:v>
      </x:c>
      <x:c r="W157" s="6" t="n">
        <x:v>1</x:v>
      </x:c>
      <x:c r="X157" s="6" t="n">
        <x:v>0</x:v>
      </x:c>
      <x:c r="Y157" s="6" t="n">
        <x:v>0</x:v>
      </x:c>
      <x:c r="Z157" s="6" t="n">
        <x:v>0</x:v>
      </x:c>
      <x:c r="AA157" s="6" t="n">
        <x:v>3</x:v>
      </x:c>
      <x:c r="AB157" s="6" t="n">
        <x:v>11</x:v>
      </x:c>
      <x:c r="AC157" s="6" t="n">
        <x:v>1</x:v>
      </x:c>
    </x:row>
    <x:row r="158">
      <x:c r="A158" s="6" t="n">
        <x:v>3025</x:v>
      </x:c>
      <x:c r="B158" s="6" t="n">
        <x:v>1958</x:v>
      </x:c>
      <x:c r="C158" s="6" t="str">
        <x:v>Graduation</x:v>
      </x:c>
      <x:c r="D158" s="6" t="str">
        <x:v>Single</x:v>
      </x:c>
      <x:c r="E158" s="6" t="n">
        <x:v>49967</x:v>
      </x:c>
      <x:c r="F158" s="6" t="n">
        <x:v>0</x:v>
      </x:c>
      <x:c r="G158" s="6" t="n">
        <x:v>1</x:v>
      </x:c>
      <x:c r="H158" s="9" t="str">
        <x:v>08-07-2013</x:v>
      </x:c>
      <x:c r="I158" s="6" t="n">
        <x:v>4</x:v>
      </x:c>
      <x:c r="J158" s="6" t="n">
        <x:v>212</x:v>
      </x:c>
      <x:c r="K158" s="6" t="n">
        <x:v>6</x:v>
      </x:c>
      <x:c r="L158" s="6" t="n">
        <x:v>69</x:v>
      </x:c>
      <x:c r="M158" s="6" t="n">
        <x:v>4</x:v>
      </x:c>
      <x:c r="N158" s="6" t="n">
        <x:v>12</x:v>
      </x:c>
      <x:c r="O158" s="6" t="n">
        <x:v>3</x:v>
      </x:c>
      <x:c r="P158" s="6" t="n">
        <x:v>3</x:v>
      </x:c>
      <x:c r="Q158" s="6" t="n">
        <x:v>6</x:v>
      </x:c>
      <x:c r="R158" s="6" t="n">
        <x:v>1</x:v>
      </x:c>
      <x:c r="S158" s="6" t="n">
        <x:v>5</x:v>
      </x:c>
      <x:c r="T158" s="6" t="n">
        <x:v>7</x:v>
      </x:c>
      <x:c r="U158" s="6" t="n">
        <x:v>0</x:v>
      </x:c>
      <x:c r="V158" s="6" t="n">
        <x:v>0</x:v>
      </x:c>
      <x:c r="W158" s="6" t="n">
        <x:v>0</x:v>
      </x:c>
      <x:c r="X158" s="6" t="n">
        <x:v>0</x:v>
      </x:c>
      <x:c r="Y158" s="6" t="n">
        <x:v>0</x:v>
      </x:c>
      <x:c r="Z158" s="6" t="n">
        <x:v>0</x:v>
      </x:c>
      <x:c r="AA158" s="6" t="n">
        <x:v>3</x:v>
      </x:c>
      <x:c r="AB158" s="6" t="n">
        <x:v>11</x:v>
      </x:c>
      <x:c r="AC158" s="6" t="n">
        <x:v>0</x:v>
      </x:c>
    </x:row>
    <x:row r="159">
      <x:c r="A159" s="6" t="n">
        <x:v>9283</x:v>
      </x:c>
      <x:c r="B159" s="6" t="n">
        <x:v>1978</x:v>
      </x:c>
      <x:c r="C159" s="6" t="str">
        <x:v>Graduation</x:v>
      </x:c>
      <x:c r="D159" s="6" t="str">
        <x:v>Single</x:v>
      </x:c>
      <x:c r="E159" s="6" t="n">
        <x:v>60199</x:v>
      </x:c>
      <x:c r="F159" s="6" t="n">
        <x:v>1</x:v>
      </x:c>
      <x:c r="G159" s="6" t="n">
        <x:v>2</x:v>
      </x:c>
      <x:c r="H159" s="9" t="str">
        <x:v>12-09-2013</x:v>
      </x:c>
      <x:c r="I159" s="6" t="n">
        <x:v>49</x:v>
      </x:c>
      <x:c r="J159" s="6" t="n">
        <x:v>8</x:v>
      </x:c>
      <x:c r="K159" s="6" t="n">
        <x:v>1</x:v>
      </x:c>
      <x:c r="L159" s="6" t="n">
        <x:v>7</x:v>
      </x:c>
      <x:c r="M159" s="6" t="n">
        <x:v>2</x:v>
      </x:c>
      <x:c r="N159" s="6" t="n">
        <x:v>0</x:v>
      </x:c>
      <x:c r="O159" s="6" t="n">
        <x:v>0</x:v>
      </x:c>
      <x:c r="P159" s="6" t="n">
        <x:v>1</x:v>
      </x:c>
      <x:c r="Q159" s="6" t="n">
        <x:v>0</x:v>
      </x:c>
      <x:c r="R159" s="6" t="n">
        <x:v>0</x:v>
      </x:c>
      <x:c r="S159" s="6" t="n">
        <x:v>3</x:v>
      </x:c>
      <x:c r="T159" s="6" t="n">
        <x:v>4</x:v>
      </x:c>
      <x:c r="U159" s="6" t="n">
        <x:v>0</x:v>
      </x:c>
      <x:c r="V159" s="6" t="n">
        <x:v>0</x:v>
      </x:c>
      <x:c r="W159" s="6" t="n">
        <x:v>0</x:v>
      </x:c>
      <x:c r="X159" s="6" t="n">
        <x:v>0</x:v>
      </x:c>
      <x:c r="Y159" s="6" t="n">
        <x:v>0</x:v>
      </x:c>
      <x:c r="Z159" s="6" t="n">
        <x:v>0</x:v>
      </x:c>
      <x:c r="AA159" s="6" t="n">
        <x:v>3</x:v>
      </x:c>
      <x:c r="AB159" s="6" t="n">
        <x:v>11</x:v>
      </x:c>
      <x:c r="AC159" s="6" t="n">
        <x:v>0</x:v>
      </x:c>
    </x:row>
    <x:row r="160">
      <x:c r="A160" s="6" t="n">
        <x:v>9970</x:v>
      </x:c>
      <x:c r="B160" s="6" t="n">
        <x:v>1977</x:v>
      </x:c>
      <x:c r="C160" s="6" t="str">
        <x:v>Graduation</x:v>
      </x:c>
      <x:c r="D160" s="6" t="str">
        <x:v>Together</x:v>
      </x:c>
      <x:c r="E160" s="6" t="n">
        <x:v>55375</x:v>
      </x:c>
      <x:c r="F160" s="6" t="n">
        <x:v>0</x:v>
      </x:c>
      <x:c r="G160" s="6" t="n">
        <x:v>1</x:v>
      </x:c>
      <x:c r="H160" s="9" t="str">
        <x:v>17-10-2013</x:v>
      </x:c>
      <x:c r="I160" s="6" t="n">
        <x:v>3</x:v>
      </x:c>
      <x:c r="J160" s="6" t="n">
        <x:v>42</x:v>
      </x:c>
      <x:c r="K160" s="6" t="n">
        <x:v>11</x:v>
      </x:c>
      <x:c r="L160" s="6" t="n">
        <x:v>57</x:v>
      </x:c>
      <x:c r="M160" s="6" t="n">
        <x:v>10</x:v>
      </x:c>
      <x:c r="N160" s="6" t="n">
        <x:v>28</x:v>
      </x:c>
      <x:c r="O160" s="6" t="n">
        <x:v>14</x:v>
      </x:c>
      <x:c r="P160" s="6" t="n">
        <x:v>1</x:v>
      </x:c>
      <x:c r="Q160" s="6" t="n">
        <x:v>1</x:v>
      </x:c>
      <x:c r="R160" s="6" t="n">
        <x:v>1</x:v>
      </x:c>
      <x:c r="S160" s="6" t="n">
        <x:v>6</x:v>
      </x:c>
      <x:c r="T160" s="6" t="n">
        <x:v>2</x:v>
      </x:c>
      <x:c r="U160" s="6" t="n">
        <x:v>0</x:v>
      </x:c>
      <x:c r="V160" s="6" t="n">
        <x:v>0</x:v>
      </x:c>
      <x:c r="W160" s="6" t="n">
        <x:v>0</x:v>
      </x:c>
      <x:c r="X160" s="6" t="n">
        <x:v>0</x:v>
      </x:c>
      <x:c r="Y160" s="6" t="n">
        <x:v>0</x:v>
      </x:c>
      <x:c r="Z160" s="6" t="n">
        <x:v>0</x:v>
      </x:c>
      <x:c r="AA160" s="6" t="n">
        <x:v>3</x:v>
      </x:c>
      <x:c r="AB160" s="6" t="n">
        <x:v>11</x:v>
      </x:c>
      <x:c r="AC160" s="6" t="n">
        <x:v>0</x:v>
      </x:c>
    </x:row>
    <x:row r="161">
      <x:c r="A161" s="6" t="n">
        <x:v>2730</x:v>
      </x:c>
      <x:c r="B161" s="6" t="n">
        <x:v>1955</x:v>
      </x:c>
      <x:c r="C161" s="6" t="str">
        <x:v>Graduation</x:v>
      </x:c>
      <x:c r="D161" s="6" t="str">
        <x:v>Single</x:v>
      </x:c>
      <x:c r="E161" s="6" t="n">
        <x:v>80317</x:v>
      </x:c>
      <x:c r="F161" s="6" t="n">
        <x:v>0</x:v>
      </x:c>
      <x:c r="G161" s="6" t="n">
        <x:v>0</x:v>
      </x:c>
      <x:c r="H161" s="9" t="str">
        <x:v>20-08-2013</x:v>
      </x:c>
      <x:c r="I161" s="6" t="n">
        <x:v>64</x:v>
      </x:c>
      <x:c r="J161" s="6" t="n">
        <x:v>536</x:v>
      </x:c>
      <x:c r="K161" s="6" t="n">
        <x:v>11</x:v>
      </x:c>
      <x:c r="L161" s="6" t="n">
        <x:v>387</x:v>
      </x:c>
      <x:c r="M161" s="6" t="n">
        <x:v>149</x:v>
      </x:c>
      <x:c r="N161" s="6" t="n">
        <x:v>91</x:v>
      </x:c>
      <x:c r="O161" s="6" t="n">
        <x:v>57</x:v>
      </x:c>
      <x:c r="P161" s="6" t="n">
        <x:v>1</x:v>
      </x:c>
      <x:c r="Q161" s="6" t="n">
        <x:v>3</x:v>
      </x:c>
      <x:c r="R161" s="6" t="n">
        <x:v>4</x:v>
      </x:c>
      <x:c r="S161" s="6" t="n">
        <x:v>10</x:v>
      </x:c>
      <x:c r="T161" s="6" t="n">
        <x:v>1</x:v>
      </x:c>
      <x:c r="U161" s="6" t="n">
        <x:v>0</x:v>
      </x:c>
      <x:c r="V161" s="6" t="n">
        <x:v>0</x:v>
      </x:c>
      <x:c r="W161" s="6" t="n">
        <x:v>0</x:v>
      </x:c>
      <x:c r="X161" s="6" t="n">
        <x:v>0</x:v>
      </x:c>
      <x:c r="Y161" s="6" t="n">
        <x:v>0</x:v>
      </x:c>
      <x:c r="Z161" s="6" t="n">
        <x:v>0</x:v>
      </x:c>
      <x:c r="AA161" s="6" t="n">
        <x:v>3</x:v>
      </x:c>
      <x:c r="AB161" s="6" t="n">
        <x:v>11</x:v>
      </x:c>
      <x:c r="AC161" s="6" t="n">
        <x:v>0</x:v>
      </x:c>
    </x:row>
    <x:row r="162">
      <x:c r="A162" s="6" t="n">
        <x:v>2795</x:v>
      </x:c>
      <x:c r="B162" s="6" t="n">
        <x:v>1958</x:v>
      </x:c>
      <x:c r="C162" s="6" t="str">
        <x:v>Master</x:v>
      </x:c>
      <x:c r="D162" s="6" t="str">
        <x:v>Single</x:v>
      </x:c>
      <x:c r="E162" s="6" t="n">
        <x:v>30523</x:v>
      </x:c>
      <x:c r="F162" s="6" t="n">
        <x:v>2</x:v>
      </x:c>
      <x:c r="G162" s="6" t="n">
        <x:v>1</x:v>
      </x:c>
      <x:c r="H162" s="9" t="str">
        <x:v>01-07-2013</x:v>
      </x:c>
      <x:c r="I162" s="6" t="n">
        <x:v>0</x:v>
      </x:c>
      <x:c r="J162" s="6" t="n">
        <x:v>5</x:v>
      </x:c>
      <x:c r="K162" s="6" t="n">
        <x:v>0</x:v>
      </x:c>
      <x:c r="L162" s="6" t="n">
        <x:v>3</x:v>
      </x:c>
      <x:c r="M162" s="6" t="n">
        <x:v>0</x:v>
      </x:c>
      <x:c r="N162" s="6" t="n">
        <x:v>0</x:v>
      </x:c>
      <x:c r="O162" s="6" t="n">
        <x:v>5</x:v>
      </x:c>
      <x:c r="P162" s="6" t="n">
        <x:v>1</x:v>
      </x:c>
      <x:c r="Q162" s="6" t="n">
        <x:v>1</x:v>
      </x:c>
      <x:c r="R162" s="6" t="n">
        <x:v>0</x:v>
      </x:c>
      <x:c r="S162" s="6" t="n">
        <x:v>2</x:v>
      </x:c>
      <x:c r="T162" s="6" t="n">
        <x:v>7</x:v>
      </x:c>
      <x:c r="U162" s="6" t="n">
        <x:v>0</x:v>
      </x:c>
      <x:c r="V162" s="6" t="n">
        <x:v>0</x:v>
      </x:c>
      <x:c r="W162" s="6" t="n">
        <x:v>0</x:v>
      </x:c>
      <x:c r="X162" s="6" t="n">
        <x:v>0</x:v>
      </x:c>
      <x:c r="Y162" s="6" t="n">
        <x:v>0</x:v>
      </x:c>
      <x:c r="Z162" s="6" t="n">
        <x:v>0</x:v>
      </x:c>
      <x:c r="AA162" s="6" t="n">
        <x:v>3</x:v>
      </x:c>
      <x:c r="AB162" s="6" t="n">
        <x:v>11</x:v>
      </x:c>
      <x:c r="AC162" s="6" t="n">
        <x:v>0</x:v>
      </x:c>
    </x:row>
    <x:row r="163">
      <x:c r="A163" s="6" t="n">
        <x:v>9260</x:v>
      </x:c>
      <x:c r="B163" s="6" t="n">
        <x:v>1945</x:v>
      </x:c>
      <x:c r="C163" s="6" t="str">
        <x:v>PhD</x:v>
      </x:c>
      <x:c r="D163" s="6" t="str">
        <x:v>Married</x:v>
      </x:c>
      <x:c r="E163" s="6" t="n">
        <x:v>70356</x:v>
      </x:c>
      <x:c r="F163" s="6" t="n">
        <x:v>0</x:v>
      </x:c>
      <x:c r="G163" s="6" t="n">
        <x:v>0</x:v>
      </x:c>
      <x:c r="H163" s="9" t="str">
        <x:v>05-11-2012</x:v>
      </x:c>
      <x:c r="I163" s="6" t="n">
        <x:v>20</x:v>
      </x:c>
      <x:c r="J163" s="6" t="n">
        <x:v>1349</x:v>
      </x:c>
      <x:c r="K163" s="6" t="n">
        <x:v>16</x:v>
      </x:c>
      <x:c r="L163" s="6" t="n">
        <x:v>249</x:v>
      </x:c>
      <x:c r="M163" s="6" t="n">
        <x:v>43</x:v>
      </x:c>
      <x:c r="N163" s="6" t="n">
        <x:v>16</x:v>
      </x:c>
      <x:c r="O163" s="6" t="n">
        <x:v>33</x:v>
      </x:c>
      <x:c r="P163" s="6" t="n">
        <x:v>2</x:v>
      </x:c>
      <x:c r="Q163" s="6" t="n">
        <x:v>10</x:v>
      </x:c>
      <x:c r="R163" s="6" t="n">
        <x:v>6</x:v>
      </x:c>
      <x:c r="S163" s="6" t="n">
        <x:v>9</x:v>
      </x:c>
      <x:c r="T163" s="6" t="n">
        <x:v>6</x:v>
      </x:c>
      <x:c r="U163" s="6" t="n">
        <x:v>0</x:v>
      </x:c>
      <x:c r="V163" s="6" t="n">
        <x:v>0</x:v>
      </x:c>
      <x:c r="W163" s="6" t="n">
        <x:v>0</x:v>
      </x:c>
      <x:c r="X163" s="6" t="n">
        <x:v>0</x:v>
      </x:c>
      <x:c r="Y163" s="6" t="n">
        <x:v>0</x:v>
      </x:c>
      <x:c r="Z163" s="6" t="n">
        <x:v>0</x:v>
      </x:c>
      <x:c r="AA163" s="6" t="n">
        <x:v>3</x:v>
      </x:c>
      <x:c r="AB163" s="6" t="n">
        <x:v>11</x:v>
      </x:c>
      <x:c r="AC163" s="6" t="n">
        <x:v>0</x:v>
      </x:c>
    </x:row>
    <x:row r="164">
      <x:c r="A164" s="6" t="n">
        <x:v>8182</x:v>
      </x:c>
      <x:c r="B164" s="6" t="n">
        <x:v>1984</x:v>
      </x:c>
      <x:c r="C164" s="6" t="str">
        <x:v>Graduation</x:v>
      </x:c>
      <x:c r="D164" s="6" t="str">
        <x:v>Married</x:v>
      </x:c>
      <x:c r="E164" s="6" t="n">
        <x:v>23228</x:v>
      </x:c>
      <x:c r="F164" s="6" t="n">
        <x:v>1</x:v>
      </x:c>
      <x:c r="G164" s="6" t="n">
        <x:v>0</x:v>
      </x:c>
      <x:c r="H164" s="9" t="str">
        <x:v>05-01-2014</x:v>
      </x:c>
      <x:c r="I164" s="6" t="n">
        <x:v>91</x:v>
      </x:c>
      <x:c r="J164" s="6" t="n">
        <x:v>53</x:v>
      </x:c>
      <x:c r="K164" s="6" t="n">
        <x:v>3</x:v>
      </x:c>
      <x:c r="L164" s="6" t="n">
        <x:v>49</x:v>
      </x:c>
      <x:c r="M164" s="6" t="n">
        <x:v>7</x:v>
      </x:c>
      <x:c r="N164" s="6" t="n">
        <x:v>4</x:v>
      </x:c>
      <x:c r="O164" s="6" t="n">
        <x:v>5</x:v>
      </x:c>
      <x:c r="P164" s="6" t="n">
        <x:v>4</x:v>
      </x:c>
      <x:c r="Q164" s="6" t="n">
        <x:v>3</x:v>
      </x:c>
      <x:c r="R164" s="6" t="n">
        <x:v>0</x:v>
      </x:c>
      <x:c r="S164" s="6" t="n">
        <x:v>4</x:v>
      </x:c>
      <x:c r="T164" s="6" t="n">
        <x:v>8</x:v>
      </x:c>
      <x:c r="U164" s="6" t="n">
        <x:v>0</x:v>
      </x:c>
      <x:c r="V164" s="6" t="n">
        <x:v>0</x:v>
      </x:c>
      <x:c r="W164" s="6" t="n">
        <x:v>0</x:v>
      </x:c>
      <x:c r="X164" s="6" t="n">
        <x:v>0</x:v>
      </x:c>
      <x:c r="Y164" s="6" t="n">
        <x:v>0</x:v>
      </x:c>
      <x:c r="Z164" s="6" t="n">
        <x:v>0</x:v>
      </x:c>
      <x:c r="AA164" s="6" t="n">
        <x:v>3</x:v>
      </x:c>
      <x:c r="AB164" s="6" t="n">
        <x:v>11</x:v>
      </x:c>
      <x:c r="AC164" s="6" t="n">
        <x:v>0</x:v>
      </x:c>
    </x:row>
    <x:row r="165">
      <x:c r="A165" s="6" t="n">
        <x:v>10095</x:v>
      </x:c>
      <x:c r="B165" s="6" t="n">
        <x:v>1975</x:v>
      </x:c>
      <x:c r="C165" s="6" t="str">
        <x:v>PhD</x:v>
      </x:c>
      <x:c r="D165" s="6" t="str">
        <x:v>Divorced</x:v>
      </x:c>
      <x:c r="E165" s="6" t="n">
        <x:v>74165</x:v>
      </x:c>
      <x:c r="F165" s="6" t="n">
        <x:v>0</x:v>
      </x:c>
      <x:c r="G165" s="6" t="n">
        <x:v>0</x:v>
      </x:c>
      <x:c r="H165" s="9" t="str">
        <x:v>01-05-2013</x:v>
      </x:c>
      <x:c r="I165" s="6" t="n">
        <x:v>9</x:v>
      </x:c>
      <x:c r="J165" s="6" t="n">
        <x:v>1001</x:v>
      </x:c>
      <x:c r="K165" s="6" t="n">
        <x:v>12</x:v>
      </x:c>
      <x:c r="L165" s="6" t="n">
        <x:v>240</x:v>
      </x:c>
      <x:c r="M165" s="6" t="n">
        <x:v>16</x:v>
      </x:c>
      <x:c r="N165" s="6" t="n">
        <x:v>12</x:v>
      </x:c>
      <x:c r="O165" s="6" t="n">
        <x:v>12</x:v>
      </x:c>
      <x:c r="P165" s="6" t="n">
        <x:v>1</x:v>
      </x:c>
      <x:c r="Q165" s="6" t="n">
        <x:v>5</x:v>
      </x:c>
      <x:c r="R165" s="6" t="n">
        <x:v>4</x:v>
      </x:c>
      <x:c r="S165" s="6" t="n">
        <x:v>10</x:v>
      </x:c>
      <x:c r="T165" s="6" t="n">
        <x:v>2</x:v>
      </x:c>
      <x:c r="U165" s="6" t="n">
        <x:v>0</x:v>
      </x:c>
      <x:c r="V165" s="6" t="n">
        <x:v>0</x:v>
      </x:c>
      <x:c r="W165" s="6" t="n">
        <x:v>0</x:v>
      </x:c>
      <x:c r="X165" s="6" t="n">
        <x:v>0</x:v>
      </x:c>
      <x:c r="Y165" s="6" t="n">
        <x:v>0</x:v>
      </x:c>
      <x:c r="Z165" s="6" t="n">
        <x:v>0</x:v>
      </x:c>
      <x:c r="AA165" s="6" t="n">
        <x:v>3</x:v>
      </x:c>
      <x:c r="AB165" s="6" t="n">
        <x:v>11</x:v>
      </x:c>
      <x:c r="AC165" s="6" t="n">
        <x:v>0</x:v>
      </x:c>
    </x:row>
    <x:row r="166">
      <x:c r="A166" s="6" t="n">
        <x:v>8475</x:v>
      </x:c>
      <x:c r="B166" s="6" t="n">
        <x:v>1973</x:v>
      </x:c>
      <x:c r="C166" s="6" t="str">
        <x:v>PhD</x:v>
      </x:c>
      <x:c r="D166" s="6" t="str">
        <x:v>Married</x:v>
      </x:c>
      <x:c r="E166" s="6" t="n">
        <x:v>157243</x:v>
      </x:c>
      <x:c r="F166" s="6" t="n">
        <x:v>0</x:v>
      </x:c>
      <x:c r="G166" s="6" t="n">
        <x:v>1</x:v>
      </x:c>
      <x:c r="H166" s="9" t="str">
        <x:v>01-03-2014</x:v>
      </x:c>
      <x:c r="I166" s="6" t="n">
        <x:v>98</x:v>
      </x:c>
      <x:c r="J166" s="6" t="n">
        <x:v>20</x:v>
      </x:c>
      <x:c r="K166" s="6" t="n">
        <x:v>2</x:v>
      </x:c>
      <x:c r="L166" s="6" t="n">
        <x:v>1582</x:v>
      </x:c>
      <x:c r="M166" s="6" t="n">
        <x:v>1</x:v>
      </x:c>
      <x:c r="N166" s="6" t="n">
        <x:v>2</x:v>
      </x:c>
      <x:c r="O166" s="6" t="n">
        <x:v>1</x:v>
      </x:c>
      <x:c r="P166" s="6" t="n">
        <x:v>15</x:v>
      </x:c>
      <x:c r="Q166" s="6" t="n">
        <x:v>0</x:v>
      </x:c>
      <x:c r="R166" s="6" t="n">
        <x:v>22</x:v>
      </x:c>
      <x:c r="S166" s="6" t="n">
        <x:v>0</x:v>
      </x:c>
      <x:c r="T166" s="6" t="n">
        <x:v>0</x:v>
      </x:c>
      <x:c r="U166" s="6" t="n">
        <x:v>0</x:v>
      </x:c>
      <x:c r="V166" s="6" t="n">
        <x:v>0</x:v>
      </x:c>
      <x:c r="W166" s="6" t="n">
        <x:v>0</x:v>
      </x:c>
      <x:c r="X166" s="6" t="n">
        <x:v>0</x:v>
      </x:c>
      <x:c r="Y166" s="6" t="n">
        <x:v>0</x:v>
      </x:c>
      <x:c r="Z166" s="6" t="n">
        <x:v>0</x:v>
      </x:c>
      <x:c r="AA166" s="6" t="n">
        <x:v>3</x:v>
      </x:c>
      <x:c r="AB166" s="6" t="n">
        <x:v>11</x:v>
      </x:c>
      <x:c r="AC166" s="6" t="n">
        <x:v>0</x:v>
      </x:c>
    </x:row>
    <x:row r="167">
      <x:c r="A167" s="6" t="n">
        <x:v>4370</x:v>
      </x:c>
      <x:c r="B167" s="6" t="n">
        <x:v>1966</x:v>
      </x:c>
      <x:c r="C167" s="6" t="str">
        <x:v>Graduation</x:v>
      </x:c>
      <x:c r="D167" s="6" t="str">
        <x:v>Together</x:v>
      </x:c>
      <x:c r="E167" s="6" t="n">
        <x:v>43482</x:v>
      </x:c>
      <x:c r="F167" s="6" t="n">
        <x:v>2</x:v>
      </x:c>
      <x:c r="G167" s="6" t="n">
        <x:v>1</x:v>
      </x:c>
      <x:c r="H167" s="9" t="str">
        <x:v>13-11-2013</x:v>
      </x:c>
      <x:c r="I167" s="6" t="n">
        <x:v>83</x:v>
      </x:c>
      <x:c r="J167" s="6" t="n">
        <x:v>18</x:v>
      </x:c>
      <x:c r="K167" s="6" t="n">
        <x:v>1</x:v>
      </x:c>
      <x:c r="L167" s="6" t="n">
        <x:v>32</x:v>
      </x:c>
      <x:c r="M167" s="6" t="n">
        <x:v>6</x:v>
      </x:c>
      <x:c r="N167" s="6" t="n">
        <x:v>3</x:v>
      </x:c>
      <x:c r="O167" s="6" t="n">
        <x:v>28</x:v>
      </x:c>
      <x:c r="P167" s="6" t="n">
        <x:v>3</x:v>
      </x:c>
      <x:c r="Q167" s="6" t="n">
        <x:v>2</x:v>
      </x:c>
      <x:c r="R167" s="6" t="n">
        <x:v>0</x:v>
      </x:c>
      <x:c r="S167" s="6" t="n">
        <x:v>4</x:v>
      </x:c>
      <x:c r="T167" s="6" t="n">
        <x:v>6</x:v>
      </x:c>
      <x:c r="U167" s="6" t="n">
        <x:v>0</x:v>
      </x:c>
      <x:c r="V167" s="6" t="n">
        <x:v>0</x:v>
      </x:c>
      <x:c r="W167" s="6" t="n">
        <x:v>0</x:v>
      </x:c>
      <x:c r="X167" s="6" t="n">
        <x:v>0</x:v>
      </x:c>
      <x:c r="Y167" s="6" t="n">
        <x:v>0</x:v>
      </x:c>
      <x:c r="Z167" s="6" t="n">
        <x:v>0</x:v>
      </x:c>
      <x:c r="AA167" s="6" t="n">
        <x:v>3</x:v>
      </x:c>
      <x:c r="AB167" s="6" t="n">
        <x:v>11</x:v>
      </x:c>
      <x:c r="AC167" s="6" t="n">
        <x:v>0</x:v>
      </x:c>
    </x:row>
    <x:row r="168">
      <x:c r="A168" s="6" t="n">
        <x:v>10573</x:v>
      </x:c>
      <x:c r="B168" s="6" t="n">
        <x:v>1953</x:v>
      </x:c>
      <x:c r="C168" s="6" t="str">
        <x:v>Graduation</x:v>
      </x:c>
      <x:c r="D168" s="6" t="str">
        <x:v>Divorced</x:v>
      </x:c>
      <x:c r="E168" s="6" t="n">
        <x:v>62551</x:v>
      </x:c>
      <x:c r="F168" s="6" t="n">
        <x:v>0</x:v>
      </x:c>
      <x:c r="G168" s="6" t="n">
        <x:v>0</x:v>
      </x:c>
      <x:c r="H168" s="9" t="str">
        <x:v>18-11-2013</x:v>
      </x:c>
      <x:c r="I168" s="6" t="n">
        <x:v>27</x:v>
      </x:c>
      <x:c r="J168" s="6" t="n">
        <x:v>125</x:v>
      </x:c>
      <x:c r="K168" s="6" t="n">
        <x:v>16</x:v>
      </x:c>
      <x:c r="L168" s="6" t="n">
        <x:v>98</x:v>
      </x:c>
      <x:c r="M168" s="6" t="n">
        <x:v>134</x:v>
      </x:c>
      <x:c r="N168" s="6" t="n">
        <x:v>21</x:v>
      </x:c>
      <x:c r="O168" s="6" t="n">
        <x:v>27</x:v>
      </x:c>
      <x:c r="P168" s="6" t="n">
        <x:v>1</x:v>
      </x:c>
      <x:c r="Q168" s="6" t="n">
        <x:v>6</x:v>
      </x:c>
      <x:c r="R168" s="6" t="n">
        <x:v>7</x:v>
      </x:c>
      <x:c r="S168" s="6" t="n">
        <x:v>4</x:v>
      </x:c>
      <x:c r="T168" s="6" t="n">
        <x:v>3</x:v>
      </x:c>
      <x:c r="U168" s="6" t="n">
        <x:v>1</x:v>
      </x:c>
      <x:c r="V168" s="6" t="n">
        <x:v>0</x:v>
      </x:c>
      <x:c r="W168" s="6" t="n">
        <x:v>0</x:v>
      </x:c>
      <x:c r="X168" s="6" t="n">
        <x:v>0</x:v>
      </x:c>
      <x:c r="Y168" s="6" t="n">
        <x:v>0</x:v>
      </x:c>
      <x:c r="Z168" s="6" t="n">
        <x:v>0</x:v>
      </x:c>
      <x:c r="AA168" s="6" t="n">
        <x:v>3</x:v>
      </x:c>
      <x:c r="AB168" s="6" t="n">
        <x:v>11</x:v>
      </x:c>
      <x:c r="AC168" s="6" t="n">
        <x:v>0</x:v>
      </x:c>
    </x:row>
    <x:row r="169">
      <x:c r="A169" s="6" t="n">
        <x:v>3712</x:v>
      </x:c>
      <x:c r="B169" s="6" t="n">
        <x:v>1959</x:v>
      </x:c>
      <x:c r="C169" s="6" t="str">
        <x:v>Graduation</x:v>
      </x:c>
      <x:c r="D169" s="6" t="str">
        <x:v>Divorced</x:v>
      </x:c>
      <x:c r="E169" s="6" t="n">
        <x:v>52332</x:v>
      </x:c>
      <x:c r="F169" s="6" t="n">
        <x:v>0</x:v>
      </x:c>
      <x:c r="G169" s="6" t="n">
        <x:v>0</x:v>
      </x:c>
      <x:c r="H169" s="9" t="str">
        <x:v>28-08-2013</x:v>
      </x:c>
      <x:c r="I169" s="6" t="n">
        <x:v>63</x:v>
      </x:c>
      <x:c r="J169" s="6" t="n">
        <x:v>212</x:v>
      </x:c>
      <x:c r="K169" s="6" t="n">
        <x:v>5</x:v>
      </x:c>
      <x:c r="L169" s="6" t="n">
        <x:v>33</x:v>
      </x:c>
      <x:c r="M169" s="6" t="n">
        <x:v>7</x:v>
      </x:c>
      <x:c r="N169" s="6" t="n">
        <x:v>0</x:v>
      </x:c>
      <x:c r="O169" s="6" t="n">
        <x:v>2</x:v>
      </x:c>
      <x:c r="P169" s="6" t="n">
        <x:v>1</x:v>
      </x:c>
      <x:c r="Q169" s="6" t="n">
        <x:v>3</x:v>
      </x:c>
      <x:c r="R169" s="6" t="n">
        <x:v>2</x:v>
      </x:c>
      <x:c r="S169" s="6" t="n">
        <x:v>6</x:v>
      </x:c>
      <x:c r="T169" s="6" t="n">
        <x:v>4</x:v>
      </x:c>
      <x:c r="U169" s="6" t="n">
        <x:v>0</x:v>
      </x:c>
      <x:c r="V169" s="6" t="n">
        <x:v>1</x:v>
      </x:c>
      <x:c r="W169" s="6" t="n">
        <x:v>0</x:v>
      </x:c>
      <x:c r="X169" s="6" t="n">
        <x:v>0</x:v>
      </x:c>
      <x:c r="Y169" s="6" t="n">
        <x:v>0</x:v>
      </x:c>
      <x:c r="Z169" s="6" t="n">
        <x:v>0</x:v>
      </x:c>
      <x:c r="AA169" s="6" t="n">
        <x:v>3</x:v>
      </x:c>
      <x:c r="AB169" s="6" t="n">
        <x:v>11</x:v>
      </x:c>
      <x:c r="AC169" s="6" t="n">
        <x:v>0</x:v>
      </x:c>
    </x:row>
    <x:row r="170">
      <x:c r="A170" s="6" t="n">
        <x:v>6637</x:v>
      </x:c>
      <x:c r="B170" s="6" t="n">
        <x:v>1988</x:v>
      </x:c>
      <x:c r="C170" s="6" t="str">
        <x:v>Graduation</x:v>
      </x:c>
      <x:c r="D170" s="6" t="str">
        <x:v>Single</x:v>
      </x:c>
      <x:c r="E170" s="6" t="n">
        <x:v>66951</x:v>
      </x:c>
      <x:c r="F170" s="6" t="n">
        <x:v>0</x:v>
      </x:c>
      <x:c r="G170" s="6" t="n">
        <x:v>0</x:v>
      </x:c>
      <x:c r="H170" s="9" t="str">
        <x:v>02-11-2013</x:v>
      </x:c>
      <x:c r="I170" s="6" t="n">
        <x:v>46</x:v>
      </x:c>
      <x:c r="J170" s="6" t="n">
        <x:v>277</x:v>
      </x:c>
      <x:c r="K170" s="6" t="n">
        <x:v>162</x:v>
      </x:c>
      <x:c r="L170" s="6" t="n">
        <x:v>305</x:v>
      </x:c>
      <x:c r="M170" s="6" t="n">
        <x:v>173</x:v>
      </x:c>
      <x:c r="N170" s="6" t="n">
        <x:v>76</x:v>
      </x:c>
      <x:c r="O170" s="6" t="n">
        <x:v>124</x:v>
      </x:c>
      <x:c r="P170" s="6" t="n">
        <x:v>1</x:v>
      </x:c>
      <x:c r="Q170" s="6" t="n">
        <x:v>3</x:v>
      </x:c>
      <x:c r="R170" s="6" t="n">
        <x:v>4</x:v>
      </x:c>
      <x:c r="S170" s="6" t="n">
        <x:v>7</x:v>
      </x:c>
      <x:c r="T170" s="6" t="n">
        <x:v>1</x:v>
      </x:c>
      <x:c r="U170" s="6" t="n">
        <x:v>0</x:v>
      </x:c>
      <x:c r="V170" s="6" t="n">
        <x:v>0</x:v>
      </x:c>
      <x:c r="W170" s="6" t="n">
        <x:v>0</x:v>
      </x:c>
      <x:c r="X170" s="6" t="n">
        <x:v>0</x:v>
      </x:c>
      <x:c r="Y170" s="6" t="n">
        <x:v>0</x:v>
      </x:c>
      <x:c r="Z170" s="6" t="n">
        <x:v>0</x:v>
      </x:c>
      <x:c r="AA170" s="6" t="n">
        <x:v>3</x:v>
      </x:c>
      <x:c r="AB170" s="6" t="n">
        <x:v>11</x:v>
      </x:c>
      <x:c r="AC170" s="6" t="n">
        <x:v>0</x:v>
      </x:c>
    </x:row>
    <x:row r="171">
      <x:c r="A171" s="6" t="n">
        <x:v>3152</x:v>
      </x:c>
      <x:c r="B171" s="6" t="n">
        <x:v>1957</x:v>
      </x:c>
      <x:c r="C171" s="6" t="str">
        <x:v>Graduation</x:v>
      </x:c>
      <x:c r="D171" s="6" t="str">
        <x:v>Together</x:v>
      </x:c>
      <x:c r="E171" s="6" t="n">
        <x:v>26091</x:v>
      </x:c>
      <x:c r="F171" s="6" t="n">
        <x:v>1</x:v>
      </x:c>
      <x:c r="G171" s="6" t="n">
        <x:v>1</x:v>
      </x:c>
      <x:c r="H171" s="9" t="str">
        <x:v>25-02-2014</x:v>
      </x:c>
      <x:c r="I171" s="6" t="n">
        <x:v>84</x:v>
      </x:c>
      <x:c r="J171" s="6" t="n">
        <x:v>15</x:v>
      </x:c>
      <x:c r="K171" s="6" t="n">
        <x:v>10</x:v>
      </x:c>
      <x:c r="L171" s="6" t="n">
        <x:v>19</x:v>
      </x:c>
      <x:c r="M171" s="6" t="n">
        <x:v>8</x:v>
      </x:c>
      <x:c r="N171" s="6" t="n">
        <x:v>17</x:v>
      </x:c>
      <x:c r="O171" s="6" t="n">
        <x:v>20</x:v>
      </x:c>
      <x:c r="P171" s="6" t="n">
        <x:v>3</x:v>
      </x:c>
      <x:c r="Q171" s="6" t="n">
        <x:v>2</x:v>
      </x:c>
      <x:c r="R171" s="6" t="n">
        <x:v>1</x:v>
      </x:c>
      <x:c r="S171" s="6" t="n">
        <x:v>3</x:v>
      </x:c>
      <x:c r="T171" s="6" t="n">
        <x:v>5</x:v>
      </x:c>
      <x:c r="U171" s="6" t="n">
        <x:v>0</x:v>
      </x:c>
      <x:c r="V171" s="6" t="n">
        <x:v>0</x:v>
      </x:c>
      <x:c r="W171" s="6" t="n">
        <x:v>0</x:v>
      </x:c>
      <x:c r="X171" s="6" t="n">
        <x:v>0</x:v>
      </x:c>
      <x:c r="Y171" s="6" t="n">
        <x:v>0</x:v>
      </x:c>
      <x:c r="Z171" s="6" t="n">
        <x:v>0</x:v>
      </x:c>
      <x:c r="AA171" s="6" t="n">
        <x:v>3</x:v>
      </x:c>
      <x:c r="AB171" s="6" t="n">
        <x:v>11</x:v>
      </x:c>
      <x:c r="AC171" s="6" t="n">
        <x:v>0</x:v>
      </x:c>
    </x:row>
    <x:row r="172">
      <x:c r="A172" s="6" t="n">
        <x:v>5610</x:v>
      </x:c>
      <x:c r="B172" s="6" t="n">
        <x:v>1965</x:v>
      </x:c>
      <x:c r="C172" s="6" t="str">
        <x:v>Graduation</x:v>
      </x:c>
      <x:c r="D172" s="6" t="str">
        <x:v>Together</x:v>
      </x:c>
      <x:c r="E172" s="6" t="n">
        <x:v>33456</x:v>
      </x:c>
      <x:c r="F172" s="6" t="n">
        <x:v>1</x:v>
      </x:c>
      <x:c r="G172" s="6" t="n">
        <x:v>1</x:v>
      </x:c>
      <x:c r="H172" s="9" t="str">
        <x:v>21-04-2014</x:v>
      </x:c>
      <x:c r="I172" s="6" t="n">
        <x:v>58</x:v>
      </x:c>
      <x:c r="J172" s="6" t="n">
        <x:v>7</x:v>
      </x:c>
      <x:c r="K172" s="6" t="n">
        <x:v>3</x:v>
      </x:c>
      <x:c r="L172" s="6" t="n">
        <x:v>10</x:v>
      </x:c>
      <x:c r="M172" s="6" t="n">
        <x:v>8</x:v>
      </x:c>
      <x:c r="N172" s="6" t="n">
        <x:v>1</x:v>
      </x:c>
      <x:c r="O172" s="6" t="n">
        <x:v>7</x:v>
      </x:c>
      <x:c r="P172" s="6" t="n">
        <x:v>2</x:v>
      </x:c>
      <x:c r="Q172" s="6" t="n">
        <x:v>1</x:v>
      </x:c>
      <x:c r="R172" s="6" t="n">
        <x:v>0</x:v>
      </x:c>
      <x:c r="S172" s="6" t="n">
        <x:v>3</x:v>
      </x:c>
      <x:c r="T172" s="6" t="n">
        <x:v>7</x:v>
      </x:c>
      <x:c r="U172" s="6" t="n">
        <x:v>0</x:v>
      </x:c>
      <x:c r="V172" s="6" t="n">
        <x:v>0</x:v>
      </x:c>
      <x:c r="W172" s="6" t="n">
        <x:v>0</x:v>
      </x:c>
      <x:c r="X172" s="6" t="n">
        <x:v>0</x:v>
      </x:c>
      <x:c r="Y172" s="6" t="n">
        <x:v>0</x:v>
      </x:c>
      <x:c r="Z172" s="6" t="n">
        <x:v>0</x:v>
      </x:c>
      <x:c r="AA172" s="6" t="n">
        <x:v>3</x:v>
      </x:c>
      <x:c r="AB172" s="6" t="n">
        <x:v>11</x:v>
      </x:c>
      <x:c r="AC172" s="6" t="n">
        <x:v>0</x:v>
      </x:c>
    </x:row>
    <x:row r="173">
      <x:c r="A173" s="6" t="n">
        <x:v>6460</x:v>
      </x:c>
      <x:c r="B173" s="6" t="n">
        <x:v>1982</x:v>
      </x:c>
      <x:c r="C173" s="6" t="str">
        <x:v>Graduation</x:v>
      </x:c>
      <x:c r="D173" s="6" t="str">
        <x:v>Married</x:v>
      </x:c>
      <x:c r="E173" s="6" t="n">
        <x:v>28718</x:v>
      </x:c>
      <x:c r="F173" s="6" t="n">
        <x:v>1</x:v>
      </x:c>
      <x:c r="G173" s="6" t="n">
        <x:v>0</x:v>
      </x:c>
      <x:c r="H173" s="9" t="str">
        <x:v>13-07-2013</x:v>
      </x:c>
      <x:c r="I173" s="6" t="n">
        <x:v>78</x:v>
      </x:c>
      <x:c r="J173" s="6" t="n">
        <x:v>12</x:v>
      </x:c>
      <x:c r="K173" s="6" t="n">
        <x:v>4</x:v>
      </x:c>
      <x:c r="L173" s="6" t="n">
        <x:v>6</x:v>
      </x:c>
      <x:c r="M173" s="6" t="n">
        <x:v>11</x:v>
      </x:c>
      <x:c r="N173" s="6" t="n">
        <x:v>8</x:v>
      </x:c>
      <x:c r="O173" s="6" t="n">
        <x:v>16</x:v>
      </x:c>
      <x:c r="P173" s="6" t="n">
        <x:v>2</x:v>
      </x:c>
      <x:c r="Q173" s="6" t="n">
        <x:v>2</x:v>
      </x:c>
      <x:c r="R173" s="6" t="n">
        <x:v>0</x:v>
      </x:c>
      <x:c r="S173" s="6" t="n">
        <x:v>3</x:v>
      </x:c>
      <x:c r="T173" s="6" t="n">
        <x:v>8</x:v>
      </x:c>
      <x:c r="U173" s="6" t="n">
        <x:v>0</x:v>
      </x:c>
      <x:c r="V173" s="6" t="n">
        <x:v>0</x:v>
      </x:c>
      <x:c r="W173" s="6" t="n">
        <x:v>0</x:v>
      </x:c>
      <x:c r="X173" s="6" t="n">
        <x:v>0</x:v>
      </x:c>
      <x:c r="Y173" s="6" t="n">
        <x:v>0</x:v>
      </x:c>
      <x:c r="Z173" s="6" t="n">
        <x:v>0</x:v>
      </x:c>
      <x:c r="AA173" s="6" t="n">
        <x:v>3</x:v>
      </x:c>
      <x:c r="AB173" s="6" t="n">
        <x:v>11</x:v>
      </x:c>
      <x:c r="AC173" s="6" t="n">
        <x:v>0</x:v>
      </x:c>
    </x:row>
    <x:row r="174">
      <x:c r="A174" s="6" t="n">
        <x:v>1349</x:v>
      </x:c>
      <x:c r="B174" s="6" t="n">
        <x:v>1970</x:v>
      </x:c>
      <x:c r="C174" s="6" t="str">
        <x:v>Graduation</x:v>
      </x:c>
      <x:c r="D174" s="6" t="str">
        <x:v>Married</x:v>
      </x:c>
      <x:c r="E174" s="6" t="n">
        <x:v>50447</x:v>
      </x:c>
      <x:c r="F174" s="6" t="n">
        <x:v>2</x:v>
      </x:c>
      <x:c r="G174" s="6" t="n">
        <x:v>0</x:v>
      </x:c>
      <x:c r="H174" s="9" t="str">
        <x:v>21-04-2014</x:v>
      </x:c>
      <x:c r="I174" s="6" t="n">
        <x:v>4</x:v>
      </x:c>
      <x:c r="J174" s="6" t="n">
        <x:v>85</x:v>
      </x:c>
      <x:c r="K174" s="6" t="n">
        <x:v>7</x:v>
      </x:c>
      <x:c r="L174" s="6" t="n">
        <x:v>24</x:v>
      </x:c>
      <x:c r="M174" s="6" t="n">
        <x:v>2</x:v>
      </x:c>
      <x:c r="N174" s="6" t="n">
        <x:v>3</x:v>
      </x:c>
      <x:c r="O174" s="6" t="n">
        <x:v>27</x:v>
      </x:c>
      <x:c r="P174" s="6" t="n">
        <x:v>1</x:v>
      </x:c>
      <x:c r="Q174" s="6" t="n">
        <x:v>3</x:v>
      </x:c>
      <x:c r="R174" s="6" t="n">
        <x:v>1</x:v>
      </x:c>
      <x:c r="S174" s="6" t="n">
        <x:v>3</x:v>
      </x:c>
      <x:c r="T174" s="6" t="n">
        <x:v>6</x:v>
      </x:c>
      <x:c r="U174" s="6" t="n">
        <x:v>0</x:v>
      </x:c>
      <x:c r="V174" s="6" t="n">
        <x:v>0</x:v>
      </x:c>
      <x:c r="W174" s="6" t="n">
        <x:v>0</x:v>
      </x:c>
      <x:c r="X174" s="6" t="n">
        <x:v>0</x:v>
      </x:c>
      <x:c r="Y174" s="6" t="n">
        <x:v>0</x:v>
      </x:c>
      <x:c r="Z174" s="6" t="n">
        <x:v>0</x:v>
      </x:c>
      <x:c r="AA174" s="6" t="n">
        <x:v>3</x:v>
      </x:c>
      <x:c r="AB174" s="6" t="n">
        <x:v>11</x:v>
      </x:c>
      <x:c r="AC174" s="6" t="n">
        <x:v>0</x:v>
      </x:c>
    </x:row>
    <x:row r="175">
      <x:c r="A175" s="6" t="n">
        <x:v>1880</x:v>
      </x:c>
      <x:c r="B175" s="6" t="n">
        <x:v>1959</x:v>
      </x:c>
      <x:c r="C175" s="6" t="str">
        <x:v>PhD</x:v>
      </x:c>
      <x:c r="D175" s="6" t="str">
        <x:v>Together</x:v>
      </x:c>
      <x:c r="E175" s="6" t="n">
        <x:v>53537</x:v>
      </x:c>
      <x:c r="F175" s="6" t="n">
        <x:v>1</x:v>
      </x:c>
      <x:c r="G175" s="6" t="n">
        <x:v>1</x:v>
      </x:c>
      <x:c r="H175" s="9" t="str">
        <x:v>30-01-2014</x:v>
      </x:c>
      <x:c r="I175" s="6" t="n">
        <x:v>17</x:v>
      </x:c>
      <x:c r="J175" s="6" t="n">
        <x:v>81</x:v>
      </x:c>
      <x:c r="K175" s="6" t="n">
        <x:v>0</x:v>
      </x:c>
      <x:c r="L175" s="6" t="n">
        <x:v>6</x:v>
      </x:c>
      <x:c r="M175" s="6" t="n">
        <x:v>0</x:v>
      </x:c>
      <x:c r="N175" s="6" t="n">
        <x:v>0</x:v>
      </x:c>
      <x:c r="O175" s="6" t="n">
        <x:v>6</x:v>
      </x:c>
      <x:c r="P175" s="6" t="n">
        <x:v>2</x:v>
      </x:c>
      <x:c r="Q175" s="6" t="n">
        <x:v>2</x:v>
      </x:c>
      <x:c r="R175" s="6" t="n">
        <x:v>1</x:v>
      </x:c>
      <x:c r="S175" s="6" t="n">
        <x:v>3</x:v>
      </x:c>
      <x:c r="T175" s="6" t="n">
        <x:v>5</x:v>
      </x:c>
      <x:c r="U175" s="6" t="n">
        <x:v>0</x:v>
      </x:c>
      <x:c r="V175" s="6" t="n">
        <x:v>0</x:v>
      </x:c>
      <x:c r="W175" s="6" t="n">
        <x:v>0</x:v>
      </x:c>
      <x:c r="X175" s="6" t="n">
        <x:v>0</x:v>
      </x:c>
      <x:c r="Y175" s="6" t="n">
        <x:v>0</x:v>
      </x:c>
      <x:c r="Z175" s="6" t="n">
        <x:v>0</x:v>
      </x:c>
      <x:c r="AA175" s="6" t="n">
        <x:v>3</x:v>
      </x:c>
      <x:c r="AB175" s="6" t="n">
        <x:v>11</x:v>
      </x:c>
      <x:c r="AC175" s="6" t="n">
        <x:v>0</x:v>
      </x:c>
    </x:row>
    <x:row r="176">
      <x:c r="A176" s="6" t="n">
        <x:v>641</x:v>
      </x:c>
      <x:c r="B176" s="6" t="n">
        <x:v>1967</x:v>
      </x:c>
      <x:c r="C176" s="6" t="str">
        <x:v>Graduation</x:v>
      </x:c>
      <x:c r="D176" s="6" t="str">
        <x:v>Single</x:v>
      </x:c>
      <x:c r="E176" s="6" t="n">
        <x:v>52074</x:v>
      </x:c>
      <x:c r="F176" s="6" t="n">
        <x:v>0</x:v>
      </x:c>
      <x:c r="G176" s="6" t="n">
        <x:v>1</x:v>
      </x:c>
      <x:c r="H176" s="9" t="str">
        <x:v>04-04-2014</x:v>
      </x:c>
      <x:c r="I176" s="6" t="n">
        <x:v>77</x:v>
      </x:c>
      <x:c r="J176" s="6" t="n">
        <x:v>59</x:v>
      </x:c>
      <x:c r="K176" s="6" t="n">
        <x:v>0</x:v>
      </x:c>
      <x:c r="L176" s="6" t="n">
        <x:v>12</x:v>
      </x:c>
      <x:c r="M176" s="6" t="n">
        <x:v>0</x:v>
      </x:c>
      <x:c r="N176" s="6" t="n">
        <x:v>0</x:v>
      </x:c>
      <x:c r="O176" s="6" t="n">
        <x:v>48</x:v>
      </x:c>
      <x:c r="P176" s="6" t="n">
        <x:v>1</x:v>
      </x:c>
      <x:c r="Q176" s="6" t="n">
        <x:v>2</x:v>
      </x:c>
      <x:c r="R176" s="6" t="n">
        <x:v>2</x:v>
      </x:c>
      <x:c r="S176" s="6" t="n">
        <x:v>2</x:v>
      </x:c>
      <x:c r="T176" s="6" t="n">
        <x:v>4</x:v>
      </x:c>
      <x:c r="U176" s="6" t="n">
        <x:v>1</x:v>
      </x:c>
      <x:c r="V176" s="6" t="n">
        <x:v>0</x:v>
      </x:c>
      <x:c r="W176" s="6" t="n">
        <x:v>0</x:v>
      </x:c>
      <x:c r="X176" s="6" t="n">
        <x:v>0</x:v>
      </x:c>
      <x:c r="Y176" s="6" t="n">
        <x:v>0</x:v>
      </x:c>
      <x:c r="Z176" s="6" t="n">
        <x:v>0</x:v>
      </x:c>
      <x:c r="AA176" s="6" t="n">
        <x:v>3</x:v>
      </x:c>
      <x:c r="AB176" s="6" t="n">
        <x:v>11</x:v>
      </x:c>
      <x:c r="AC176" s="6" t="n">
        <x:v>0</x:v>
      </x:c>
    </x:row>
    <x:row r="177">
      <x:c r="A177" s="6" t="n">
        <x:v>8717</x:v>
      </x:c>
      <x:c r="B177" s="6" t="n">
        <x:v>1975</x:v>
      </x:c>
      <x:c r="C177" s="6" t="str">
        <x:v>PhD</x:v>
      </x:c>
      <x:c r="D177" s="6" t="str">
        <x:v>Married</x:v>
      </x:c>
      <x:c r="E177" s="6" t="n">
        <x:v>80427</x:v>
      </x:c>
      <x:c r="F177" s="6" t="n">
        <x:v>0</x:v>
      </x:c>
      <x:c r="G177" s="6" t="n">
        <x:v>1</x:v>
      </x:c>
      <x:c r="H177" s="9" t="str">
        <x:v>12-09-2012</x:v>
      </x:c>
      <x:c r="I177" s="6" t="n">
        <x:v>56</x:v>
      </x:c>
      <x:c r="J177" s="6" t="n">
        <x:v>1149</x:v>
      </x:c>
      <x:c r="K177" s="6" t="n">
        <x:v>71</x:v>
      </x:c>
      <x:c r="L177" s="6" t="n">
        <x:v>449</x:v>
      </x:c>
      <x:c r="M177" s="6" t="n">
        <x:v>69</x:v>
      </x:c>
      <x:c r="N177" s="6" t="n">
        <x:v>71</x:v>
      </x:c>
      <x:c r="O177" s="6" t="n">
        <x:v>26</x:v>
      </x:c>
      <x:c r="P177" s="6" t="n">
        <x:v>1</x:v>
      </x:c>
      <x:c r="Q177" s="6" t="n">
        <x:v>11</x:v>
      </x:c>
      <x:c r="R177" s="6" t="n">
        <x:v>8</x:v>
      </x:c>
      <x:c r="S177" s="6" t="n">
        <x:v>8</x:v>
      </x:c>
      <x:c r="T177" s="6" t="n">
        <x:v>5</x:v>
      </x:c>
      <x:c r="U177" s="6" t="n">
        <x:v>0</x:v>
      </x:c>
      <x:c r="V177" s="6" t="n">
        <x:v>0</x:v>
      </x:c>
      <x:c r="W177" s="6" t="n">
        <x:v>0</x:v>
      </x:c>
      <x:c r="X177" s="6" t="n">
        <x:v>0</x:v>
      </x:c>
      <x:c r="Y177" s="6" t="n">
        <x:v>0</x:v>
      </x:c>
      <x:c r="Z177" s="6" t="n">
        <x:v>0</x:v>
      </x:c>
      <x:c r="AA177" s="6" t="n">
        <x:v>3</x:v>
      </x:c>
      <x:c r="AB177" s="6" t="n">
        <x:v>11</x:v>
      </x:c>
      <x:c r="AC177" s="6" t="n">
        <x:v>0</x:v>
      </x:c>
    </x:row>
    <x:row r="178">
      <x:c r="A178" s="6" t="n">
        <x:v>10314</x:v>
      </x:c>
      <x:c r="B178" s="6" t="n">
        <x:v>1948</x:v>
      </x:c>
      <x:c r="C178" s="6" t="str">
        <x:v>PhD</x:v>
      </x:c>
      <x:c r="D178" s="6" t="str">
        <x:v>Married</x:v>
      </x:c>
      <x:c r="E178" s="6" t="n">
        <x:v>83837</x:v>
      </x:c>
      <x:c r="F178" s="6" t="n">
        <x:v>0</x:v>
      </x:c>
      <x:c r="G178" s="6" t="n">
        <x:v>0</x:v>
      </x:c>
      <x:c r="H178" s="9" t="str">
        <x:v>16-12-2012</x:v>
      </x:c>
      <x:c r="I178" s="6" t="n">
        <x:v>79</x:v>
      </x:c>
      <x:c r="J178" s="6" t="n">
        <x:v>847</x:v>
      </x:c>
      <x:c r="K178" s="6" t="n">
        <x:v>66</x:v>
      </x:c>
      <x:c r="L178" s="6" t="n">
        <x:v>119</x:v>
      </x:c>
      <x:c r="M178" s="6" t="n">
        <x:v>86</x:v>
      </x:c>
      <x:c r="N178" s="6" t="n">
        <x:v>89</x:v>
      </x:c>
      <x:c r="O178" s="6" t="n">
        <x:v>111</x:v>
      </x:c>
      <x:c r="P178" s="6" t="n">
        <x:v>1</x:v>
      </x:c>
      <x:c r="Q178" s="6" t="n">
        <x:v>9</x:v>
      </x:c>
      <x:c r="R178" s="6" t="n">
        <x:v>10</x:v>
      </x:c>
      <x:c r="S178" s="6" t="n">
        <x:v>5</x:v>
      </x:c>
      <x:c r="T178" s="6" t="n">
        <x:v>4</x:v>
      </x:c>
      <x:c r="U178" s="6" t="n">
        <x:v>0</x:v>
      </x:c>
      <x:c r="V178" s="6" t="n">
        <x:v>1</x:v>
      </x:c>
      <x:c r="W178" s="6" t="n">
        <x:v>0</x:v>
      </x:c>
      <x:c r="X178" s="6" t="n">
        <x:v>1</x:v>
      </x:c>
      <x:c r="Y178" s="6" t="n">
        <x:v>0</x:v>
      </x:c>
      <x:c r="Z178" s="6" t="n">
        <x:v>0</x:v>
      </x:c>
      <x:c r="AA178" s="6" t="n">
        <x:v>3</x:v>
      </x:c>
      <x:c r="AB178" s="6" t="n">
        <x:v>11</x:v>
      </x:c>
      <x:c r="AC178" s="6" t="n">
        <x:v>1</x:v>
      </x:c>
    </x:row>
    <x:row r="179">
      <x:c r="A179" s="6" t="n">
        <x:v>10854</x:v>
      </x:c>
      <x:c r="B179" s="6" t="n">
        <x:v>1970</x:v>
      </x:c>
      <x:c r="C179" s="6" t="str">
        <x:v>PhD</x:v>
      </x:c>
      <x:c r="D179" s="6" t="str">
        <x:v>Married</x:v>
      </x:c>
      <x:c r="E179" s="6" t="n">
        <x:v>38853</x:v>
      </x:c>
      <x:c r="F179" s="6" t="n">
        <x:v>1</x:v>
      </x:c>
      <x:c r="G179" s="6" t="n">
        <x:v>1</x:v>
      </x:c>
      <x:c r="H179" s="9" t="str">
        <x:v>23-05-2014</x:v>
      </x:c>
      <x:c r="I179" s="6" t="n">
        <x:v>90</x:v>
      </x:c>
      <x:c r="J179" s="6" t="n">
        <x:v>29</x:v>
      </x:c>
      <x:c r="K179" s="6" t="n">
        <x:v>0</x:v>
      </x:c>
      <x:c r="L179" s="6" t="n">
        <x:v>14</x:v>
      </x:c>
      <x:c r="M179" s="6" t="n">
        <x:v>0</x:v>
      </x:c>
      <x:c r="N179" s="6" t="n">
        <x:v>0</x:v>
      </x:c>
      <x:c r="O179" s="6" t="n">
        <x:v>2</x:v>
      </x:c>
      <x:c r="P179" s="6" t="n">
        <x:v>2</x:v>
      </x:c>
      <x:c r="Q179" s="6" t="n">
        <x:v>2</x:v>
      </x:c>
      <x:c r="R179" s="6" t="n">
        <x:v>0</x:v>
      </x:c>
      <x:c r="S179" s="6" t="n">
        <x:v>3</x:v>
      </x:c>
      <x:c r="T179" s="6" t="n">
        <x:v>7</x:v>
      </x:c>
      <x:c r="U179" s="6" t="n">
        <x:v>0</x:v>
      </x:c>
      <x:c r="V179" s="6" t="n">
        <x:v>0</x:v>
      </x:c>
      <x:c r="W179" s="6" t="n">
        <x:v>0</x:v>
      </x:c>
      <x:c r="X179" s="6" t="n">
        <x:v>0</x:v>
      </x:c>
      <x:c r="Y179" s="6" t="n">
        <x:v>0</x:v>
      </x:c>
      <x:c r="Z179" s="6" t="n">
        <x:v>0</x:v>
      </x:c>
      <x:c r="AA179" s="6" t="n">
        <x:v>3</x:v>
      </x:c>
      <x:c r="AB179" s="6" t="n">
        <x:v>11</x:v>
      </x:c>
      <x:c r="AC179" s="6" t="n">
        <x:v>0</x:v>
      </x:c>
    </x:row>
    <x:row r="180">
      <x:c r="A180" s="6" t="n">
        <x:v>10492</x:v>
      </x:c>
      <x:c r="B180" s="6" t="n">
        <x:v>1959</x:v>
      </x:c>
      <x:c r="C180" s="6" t="str">
        <x:v>Graduation</x:v>
      </x:c>
      <x:c r="D180" s="6" t="str">
        <x:v>Together</x:v>
      </x:c>
      <x:c r="E180" s="6" t="n">
        <x:v>38285</x:v>
      </x:c>
      <x:c r="F180" s="6" t="n">
        <x:v>2</x:v>
      </x:c>
      <x:c r="G180" s="6" t="n">
        <x:v>1</x:v>
      </x:c>
      <x:c r="H180" s="9" t="str">
        <x:v>24-06-2014</x:v>
      </x:c>
      <x:c r="I180" s="6" t="n">
        <x:v>96</x:v>
      </x:c>
      <x:c r="J180" s="6" t="n">
        <x:v>2</x:v>
      </x:c>
      <x:c r="K180" s="6" t="n">
        <x:v>0</x:v>
      </x:c>
      <x:c r="L180" s="6" t="n">
        <x:v>5</x:v>
      </x:c>
      <x:c r="M180" s="6" t="n">
        <x:v>2</x:v>
      </x:c>
      <x:c r="N180" s="6" t="n">
        <x:v>0</x:v>
      </x:c>
      <x:c r="O180" s="6" t="n">
        <x:v>1</x:v>
      </x:c>
      <x:c r="P180" s="6" t="n">
        <x:v>1</x:v>
      </x:c>
      <x:c r="Q180" s="6" t="n">
        <x:v>0</x:v>
      </x:c>
      <x:c r="R180" s="6" t="n">
        <x:v>0</x:v>
      </x:c>
      <x:c r="S180" s="6" t="n">
        <x:v>3</x:v>
      </x:c>
      <x:c r="T180" s="6" t="n">
        <x:v>2</x:v>
      </x:c>
      <x:c r="U180" s="6" t="n">
        <x:v>0</x:v>
      </x:c>
      <x:c r="V180" s="6" t="n">
        <x:v>0</x:v>
      </x:c>
      <x:c r="W180" s="6" t="n">
        <x:v>0</x:v>
      </x:c>
      <x:c r="X180" s="6" t="n">
        <x:v>0</x:v>
      </x:c>
      <x:c r="Y180" s="6" t="n">
        <x:v>0</x:v>
      </x:c>
      <x:c r="Z180" s="6" t="n">
        <x:v>0</x:v>
      </x:c>
      <x:c r="AA180" s="6" t="n">
        <x:v>3</x:v>
      </x:c>
      <x:c r="AB180" s="6" t="n">
        <x:v>11</x:v>
      </x:c>
      <x:c r="AC180" s="6" t="n">
        <x:v>0</x:v>
      </x:c>
    </x:row>
    <x:row r="181">
      <x:c r="A181" s="6" t="n">
        <x:v>6935</x:v>
      </x:c>
      <x:c r="B181" s="6" t="n">
        <x:v>1951</x:v>
      </x:c>
      <x:c r="C181" s="6" t="str">
        <x:v>2n Cycle</x:v>
      </x:c>
      <x:c r="D181" s="6" t="str">
        <x:v>Married</x:v>
      </x:c>
      <x:c r="E181" s="6" t="n">
        <x:v>78497</x:v>
      </x:c>
      <x:c r="F181" s="6" t="n">
        <x:v>0</x:v>
      </x:c>
      <x:c r="G181" s="6" t="n">
        <x:v>0</x:v>
      </x:c>
      <x:c r="H181" s="9" t="str">
        <x:v>01-12-2013</x:v>
      </x:c>
      <x:c r="I181" s="6" t="n">
        <x:v>44</x:v>
      </x:c>
      <x:c r="J181" s="6" t="n">
        <x:v>207</x:v>
      </x:c>
      <x:c r="K181" s="6" t="n">
        <x:v>26</x:v>
      </x:c>
      <x:c r="L181" s="6" t="n">
        <x:v>447</x:v>
      </x:c>
      <x:c r="M181" s="6" t="n">
        <x:v>75</x:v>
      </x:c>
      <x:c r="N181" s="6" t="n">
        <x:v>0</x:v>
      </x:c>
      <x:c r="O181" s="6" t="n">
        <x:v>223</x:v>
      </x:c>
      <x:c r="P181" s="6" t="n">
        <x:v>1</x:v>
      </x:c>
      <x:c r="Q181" s="6" t="n">
        <x:v>5</x:v>
      </x:c>
      <x:c r="R181" s="6" t="n">
        <x:v>7</x:v>
      </x:c>
      <x:c r="S181" s="6" t="n">
        <x:v>12</x:v>
      </x:c>
      <x:c r="T181" s="6" t="n">
        <x:v>2</x:v>
      </x:c>
      <x:c r="U181" s="6" t="n">
        <x:v>0</x:v>
      </x:c>
      <x:c r="V181" s="6" t="n">
        <x:v>0</x:v>
      </x:c>
      <x:c r="W181" s="6" t="n">
        <x:v>0</x:v>
      </x:c>
      <x:c r="X181" s="6" t="n">
        <x:v>1</x:v>
      </x:c>
      <x:c r="Y181" s="6" t="n">
        <x:v>0</x:v>
      </x:c>
      <x:c r="Z181" s="6" t="n">
        <x:v>0</x:v>
      </x:c>
      <x:c r="AA181" s="6" t="n">
        <x:v>3</x:v>
      </x:c>
      <x:c r="AB181" s="6" t="n">
        <x:v>11</x:v>
      </x:c>
      <x:c r="AC181" s="6" t="n">
        <x:v>0</x:v>
      </x:c>
    </x:row>
    <x:row r="182">
      <x:c r="A182" s="6" t="n">
        <x:v>7698</x:v>
      </x:c>
      <x:c r="B182" s="6" t="n">
        <x:v>1976</x:v>
      </x:c>
      <x:c r="C182" s="6" t="str">
        <x:v>PhD</x:v>
      </x:c>
      <x:c r="D182" s="6" t="str">
        <x:v>Married</x:v>
      </x:c>
      <x:c r="E182" s="6" t="n">
        <x:v>51650</x:v>
      </x:c>
      <x:c r="F182" s="6" t="n">
        <x:v>0</x:v>
      </x:c>
      <x:c r="G182" s="6" t="n">
        <x:v>1</x:v>
      </x:c>
      <x:c r="H182" s="9" t="str">
        <x:v>11-05-2014</x:v>
      </x:c>
      <x:c r="I182" s="6" t="n">
        <x:v>81</x:v>
      </x:c>
      <x:c r="J182" s="6" t="n">
        <x:v>152</x:v>
      </x:c>
      <x:c r="K182" s="6" t="n">
        <x:v>3</x:v>
      </x:c>
      <x:c r="L182" s="6" t="n">
        <x:v>22</x:v>
      </x:c>
      <x:c r="M182" s="6" t="n">
        <x:v>2</x:v>
      </x:c>
      <x:c r="N182" s="6" t="n">
        <x:v>5</x:v>
      </x:c>
      <x:c r="O182" s="6" t="n">
        <x:v>7</x:v>
      </x:c>
      <x:c r="P182" s="6" t="n">
        <x:v>1</x:v>
      </x:c>
      <x:c r="Q182" s="6" t="n">
        <x:v>4</x:v>
      </x:c>
      <x:c r="R182" s="6" t="n">
        <x:v>1</x:v>
      </x:c>
      <x:c r="S182" s="6" t="n">
        <x:v>4</x:v>
      </x:c>
      <x:c r="T182" s="6" t="n">
        <x:v>5</x:v>
      </x:c>
      <x:c r="U182" s="6" t="n">
        <x:v>0</x:v>
      </x:c>
      <x:c r="V182" s="6" t="n">
        <x:v>0</x:v>
      </x:c>
      <x:c r="W182" s="6" t="n">
        <x:v>0</x:v>
      </x:c>
      <x:c r="X182" s="6" t="n">
        <x:v>0</x:v>
      </x:c>
      <x:c r="Y182" s="6" t="n">
        <x:v>0</x:v>
      </x:c>
      <x:c r="Z182" s="6" t="n">
        <x:v>0</x:v>
      </x:c>
      <x:c r="AA182" s="6" t="n">
        <x:v>3</x:v>
      </x:c>
      <x:c r="AB182" s="6" t="n">
        <x:v>11</x:v>
      </x:c>
      <x:c r="AC182" s="6" t="n">
        <x:v>0</x:v>
      </x:c>
    </x:row>
    <x:row r="183">
      <x:c r="A183" s="6" t="n">
        <x:v>3559</x:v>
      </x:c>
      <x:c r="B183" s="6" t="n">
        <x:v>1988</x:v>
      </x:c>
      <x:c r="C183" s="6" t="str">
        <x:v>2n Cycle</x:v>
      </x:c>
      <x:c r="D183" s="6" t="str">
        <x:v>Married</x:v>
      </x:c>
      <x:c r="E183" s="6" t="n">
        <x:v>16248</x:v>
      </x:c>
      <x:c r="F183" s="6" t="n">
        <x:v>1</x:v>
      </x:c>
      <x:c r="G183" s="6" t="n">
        <x:v>0</x:v>
      </x:c>
      <x:c r="H183" s="9" t="str">
        <x:v>10-05-2014</x:v>
      </x:c>
      <x:c r="I183" s="6" t="n">
        <x:v>77</x:v>
      </x:c>
      <x:c r="J183" s="6" t="n">
        <x:v>12</x:v>
      </x:c>
      <x:c r="K183" s="6" t="n">
        <x:v>11</x:v>
      </x:c>
      <x:c r="L183" s="6" t="n">
        <x:v>10</x:v>
      </x:c>
      <x:c r="M183" s="6" t="n">
        <x:v>3</x:v>
      </x:c>
      <x:c r="N183" s="6" t="n">
        <x:v>12</x:v>
      </x:c>
      <x:c r="O183" s="6" t="n">
        <x:v>9</x:v>
      </x:c>
      <x:c r="P183" s="6" t="n">
        <x:v>3</x:v>
      </x:c>
      <x:c r="Q183" s="6" t="n">
        <x:v>2</x:v>
      </x:c>
      <x:c r="R183" s="6" t="n">
        <x:v>1</x:v>
      </x:c>
      <x:c r="S183" s="6" t="n">
        <x:v>3</x:v>
      </x:c>
      <x:c r="T183" s="6" t="n">
        <x:v>6</x:v>
      </x:c>
      <x:c r="U183" s="6" t="n">
        <x:v>0</x:v>
      </x:c>
      <x:c r="V183" s="6" t="n">
        <x:v>0</x:v>
      </x:c>
      <x:c r="W183" s="6" t="n">
        <x:v>0</x:v>
      </x:c>
      <x:c r="X183" s="6" t="n">
        <x:v>0</x:v>
      </x:c>
      <x:c r="Y183" s="6" t="n">
        <x:v>0</x:v>
      </x:c>
      <x:c r="Z183" s="6" t="n">
        <x:v>0</x:v>
      </x:c>
      <x:c r="AA183" s="6" t="n">
        <x:v>3</x:v>
      </x:c>
      <x:c r="AB183" s="6" t="n">
        <x:v>11</x:v>
      </x:c>
      <x:c r="AC183" s="6" t="n">
        <x:v>0</x:v>
      </x:c>
    </x:row>
    <x:row r="184">
      <x:c r="A184" s="6" t="n">
        <x:v>10562</x:v>
      </x:c>
      <x:c r="B184" s="6" t="n">
        <x:v>1946</x:v>
      </x:c>
      <x:c r="C184" s="6" t="str">
        <x:v>Master</x:v>
      </x:c>
      <x:c r="D184" s="6" t="str">
        <x:v>Married</x:v>
      </x:c>
      <x:c r="E184" s="6" t="n">
        <x:v>66835</x:v>
      </x:c>
      <x:c r="F184" s="6" t="n">
        <x:v>0</x:v>
      </x:c>
      <x:c r="G184" s="6" t="n">
        <x:v>0</x:v>
      </x:c>
      <x:c r="H184" s="9" t="str">
        <x:v>28-09-2013</x:v>
      </x:c>
      <x:c r="I184" s="6" t="n">
        <x:v>21</x:v>
      </x:c>
      <x:c r="J184" s="6" t="n">
        <x:v>620</x:v>
      </x:c>
      <x:c r="K184" s="6" t="n">
        <x:v>26</x:v>
      </x:c>
      <x:c r="L184" s="6" t="n">
        <x:v>195</x:v>
      </x:c>
      <x:c r="M184" s="6" t="n">
        <x:v>34</x:v>
      </x:c>
      <x:c r="N184" s="6" t="n">
        <x:v>17</x:v>
      </x:c>
      <x:c r="O184" s="6" t="n">
        <x:v>141</x:v>
      </x:c>
      <x:c r="P184" s="6" t="n">
        <x:v>1</x:v>
      </x:c>
      <x:c r="Q184" s="6" t="n">
        <x:v>6</x:v>
      </x:c>
      <x:c r="R184" s="6" t="n">
        <x:v>4</x:v>
      </x:c>
      <x:c r="S184" s="6" t="n">
        <x:v>13</x:v>
      </x:c>
      <x:c r="T184" s="6" t="n">
        <x:v>2</x:v>
      </x:c>
      <x:c r="U184" s="6" t="n">
        <x:v>0</x:v>
      </x:c>
      <x:c r="V184" s="6" t="n">
        <x:v>0</x:v>
      </x:c>
      <x:c r="W184" s="6" t="n">
        <x:v>0</x:v>
      </x:c>
      <x:c r="X184" s="6" t="n">
        <x:v>0</x:v>
      </x:c>
      <x:c r="Y184" s="6" t="n">
        <x:v>0</x:v>
      </x:c>
      <x:c r="Z184" s="6" t="n">
        <x:v>0</x:v>
      </x:c>
      <x:c r="AA184" s="6" t="n">
        <x:v>3</x:v>
      </x:c>
      <x:c r="AB184" s="6" t="n">
        <x:v>11</x:v>
      </x:c>
      <x:c r="AC184" s="6" t="n">
        <x:v>0</x:v>
      </x:c>
    </x:row>
    <x:row r="185">
      <x:c r="A185" s="6" t="n">
        <x:v>10796</x:v>
      </x:c>
      <x:c r="B185" s="6" t="n">
        <x:v>1984</x:v>
      </x:c>
      <x:c r="C185" s="6" t="str">
        <x:v>Master</x:v>
      </x:c>
      <x:c r="D185" s="6" t="str">
        <x:v>Married</x:v>
      </x:c>
      <x:c r="E185" s="6" t="n">
        <x:v>30477</x:v>
      </x:c>
      <x:c r="F185" s="6" t="n">
        <x:v>1</x:v>
      </x:c>
      <x:c r="G185" s="6" t="n">
        <x:v>0</x:v>
      </x:c>
      <x:c r="H185" s="9" t="str">
        <x:v>22-01-2014</x:v>
      </x:c>
      <x:c r="I185" s="6" t="n">
        <x:v>16</x:v>
      </x:c>
      <x:c r="J185" s="6" t="n">
        <x:v>47</x:v>
      </x:c>
      <x:c r="K185" s="6" t="n">
        <x:v>1</x:v>
      </x:c>
      <x:c r="L185" s="6" t="n">
        <x:v>6</x:v>
      </x:c>
      <x:c r="M185" s="6" t="n">
        <x:v>0</x:v>
      </x:c>
      <x:c r="N185" s="6" t="n">
        <x:v>0</x:v>
      </x:c>
      <x:c r="O185" s="6" t="n">
        <x:v>12</x:v>
      </x:c>
      <x:c r="P185" s="6" t="n">
        <x:v>1</x:v>
      </x:c>
      <x:c r="Q185" s="6" t="n">
        <x:v>1</x:v>
      </x:c>
      <x:c r="R185" s="6" t="n">
        <x:v>1</x:v>
      </x:c>
      <x:c r="S185" s="6" t="n">
        <x:v>3</x:v>
      </x:c>
      <x:c r="T185" s="6" t="n">
        <x:v>6</x:v>
      </x:c>
      <x:c r="U185" s="6" t="n">
        <x:v>0</x:v>
      </x:c>
      <x:c r="V185" s="6" t="n">
        <x:v>0</x:v>
      </x:c>
      <x:c r="W185" s="6" t="n">
        <x:v>0</x:v>
      </x:c>
      <x:c r="X185" s="6" t="n">
        <x:v>0</x:v>
      </x:c>
      <x:c r="Y185" s="6" t="n">
        <x:v>0</x:v>
      </x:c>
      <x:c r="Z185" s="6" t="n">
        <x:v>0</x:v>
      </x:c>
      <x:c r="AA185" s="6" t="n">
        <x:v>3</x:v>
      </x:c>
      <x:c r="AB185" s="6" t="n">
        <x:v>11</x:v>
      </x:c>
      <x:c r="AC185" s="6" t="n">
        <x:v>0</x:v>
      </x:c>
    </x:row>
    <x:row r="186">
      <x:c r="A186" s="6" t="n">
        <x:v>2563</x:v>
      </x:c>
      <x:c r="B186" s="6" t="n">
        <x:v>1961</x:v>
      </x:c>
      <x:c r="C186" s="6" t="str">
        <x:v>Basic</x:v>
      </x:c>
      <x:c r="D186" s="6" t="str">
        <x:v>Married</x:v>
      </x:c>
      <x:c r="E186" s="6" t="n">
        <x:v>28249</x:v>
      </x:c>
      <x:c r="F186" s="6" t="n">
        <x:v>0</x:v>
      </x:c>
      <x:c r="G186" s="6" t="n">
        <x:v>0</x:v>
      </x:c>
      <x:c r="H186" s="9" t="str">
        <x:v>15-06-2014</x:v>
      </x:c>
      <x:c r="I186" s="6" t="n">
        <x:v>80</x:v>
      </x:c>
      <x:c r="J186" s="6" t="n">
        <x:v>1</x:v>
      </x:c>
      <x:c r="K186" s="6" t="n">
        <x:v>9</x:v>
      </x:c>
      <x:c r="L186" s="6" t="n">
        <x:v>7</x:v>
      </x:c>
      <x:c r="M186" s="6" t="n">
        <x:v>2</x:v>
      </x:c>
      <x:c r="N186" s="6" t="n">
        <x:v>14</x:v>
      </x:c>
      <x:c r="O186" s="6" t="n">
        <x:v>10</x:v>
      </x:c>
      <x:c r="P186" s="6" t="n">
        <x:v>1</x:v>
      </x:c>
      <x:c r="Q186" s="6" t="n">
        <x:v>2</x:v>
      </x:c>
      <x:c r="R186" s="6" t="n">
        <x:v>0</x:v>
      </x:c>
      <x:c r="S186" s="6" t="n">
        <x:v>3</x:v>
      </x:c>
      <x:c r="T186" s="6" t="n">
        <x:v>6</x:v>
      </x:c>
      <x:c r="U186" s="6" t="n">
        <x:v>0</x:v>
      </x:c>
      <x:c r="V186" s="6" t="n">
        <x:v>0</x:v>
      </x:c>
      <x:c r="W186" s="6" t="n">
        <x:v>0</x:v>
      </x:c>
      <x:c r="X186" s="6" t="n">
        <x:v>0</x:v>
      </x:c>
      <x:c r="Y186" s="6" t="n">
        <x:v>0</x:v>
      </x:c>
      <x:c r="Z186" s="6" t="n">
        <x:v>0</x:v>
      </x:c>
      <x:c r="AA186" s="6" t="n">
        <x:v>3</x:v>
      </x:c>
      <x:c r="AB186" s="6" t="n">
        <x:v>11</x:v>
      </x:c>
      <x:c r="AC186" s="6" t="n">
        <x:v>0</x:v>
      </x:c>
    </x:row>
    <x:row r="187">
      <x:c r="A187" s="6" t="n">
        <x:v>3518</x:v>
      </x:c>
      <x:c r="B187" s="6" t="n">
        <x:v>1983</x:v>
      </x:c>
      <x:c r="C187" s="6" t="str">
        <x:v>Graduation</x:v>
      </x:c>
      <x:c r="D187" s="6" t="str">
        <x:v>Married</x:v>
      </x:c>
      <x:c r="E187" s="6" t="n">
        <x:v>25271</x:v>
      </x:c>
      <x:c r="F187" s="6" t="n">
        <x:v>1</x:v>
      </x:c>
      <x:c r="G187" s="6" t="n">
        <x:v>0</x:v>
      </x:c>
      <x:c r="H187" s="9" t="str">
        <x:v>05-12-2012</x:v>
      </x:c>
      <x:c r="I187" s="6" t="n">
        <x:v>45</x:v>
      </x:c>
      <x:c r="J187" s="6" t="n">
        <x:v>10</x:v>
      </x:c>
      <x:c r="K187" s="6" t="n">
        <x:v>1</x:v>
      </x:c>
      <x:c r="L187" s="6" t="n">
        <x:v>18</x:v>
      </x:c>
      <x:c r="M187" s="6" t="n">
        <x:v>10</x:v>
      </x:c>
      <x:c r="N187" s="6" t="n">
        <x:v>4</x:v>
      </x:c>
      <x:c r="O187" s="6" t="n">
        <x:v>7</x:v>
      </x:c>
      <x:c r="P187" s="6" t="n">
        <x:v>1</x:v>
      </x:c>
      <x:c r="Q187" s="6" t="n">
        <x:v>1</x:v>
      </x:c>
      <x:c r="R187" s="6" t="n">
        <x:v>1</x:v>
      </x:c>
      <x:c r="S187" s="6" t="n">
        <x:v>2</x:v>
      </x:c>
      <x:c r="T187" s="6" t="n">
        <x:v>9</x:v>
      </x:c>
      <x:c r="U187" s="6" t="n">
        <x:v>0</x:v>
      </x:c>
      <x:c r="V187" s="6" t="n">
        <x:v>0</x:v>
      </x:c>
      <x:c r="W187" s="6" t="n">
        <x:v>0</x:v>
      </x:c>
      <x:c r="X187" s="6" t="n">
        <x:v>0</x:v>
      </x:c>
      <x:c r="Y187" s="6" t="n">
        <x:v>0</x:v>
      </x:c>
      <x:c r="Z187" s="6" t="n">
        <x:v>0</x:v>
      </x:c>
      <x:c r="AA187" s="6" t="n">
        <x:v>3</x:v>
      </x:c>
      <x:c r="AB187" s="6" t="n">
        <x:v>11</x:v>
      </x:c>
      <x:c r="AC187" s="6" t="n">
        <x:v>0</x:v>
      </x:c>
    </x:row>
    <x:row r="188">
      <x:c r="A188" s="6" t="n">
        <x:v>5823</x:v>
      </x:c>
      <x:c r="B188" s="6" t="n">
        <x:v>1970</x:v>
      </x:c>
      <x:c r="C188" s="6" t="str">
        <x:v>PhD</x:v>
      </x:c>
      <x:c r="D188" s="6" t="str">
        <x:v>Single</x:v>
      </x:c>
      <x:c r="E188" s="6" t="n">
        <x:v>32303</x:v>
      </x:c>
      <x:c r="F188" s="6" t="n">
        <x:v>0</x:v>
      </x:c>
      <x:c r="G188" s="6" t="n">
        <x:v>1</x:v>
      </x:c>
      <x:c r="H188" s="9" t="str">
        <x:v>08-03-2014</x:v>
      </x:c>
      <x:c r="I188" s="6" t="n">
        <x:v>63</x:v>
      </x:c>
      <x:c r="J188" s="6" t="n">
        <x:v>35</x:v>
      </x:c>
      <x:c r="K188" s="6" t="n">
        <x:v>0</x:v>
      </x:c>
      <x:c r="L188" s="6" t="n">
        <x:v>2</x:v>
      </x:c>
      <x:c r="M188" s="6" t="n">
        <x:v>0</x:v>
      </x:c>
      <x:c r="N188" s="6" t="n">
        <x:v>0</x:v>
      </x:c>
      <x:c r="O188" s="6" t="n">
        <x:v>2</x:v>
      </x:c>
      <x:c r="P188" s="6" t="n">
        <x:v>2</x:v>
      </x:c>
      <x:c r="Q188" s="6" t="n">
        <x:v>1</x:v>
      </x:c>
      <x:c r="R188" s="6" t="n">
        <x:v>0</x:v>
      </x:c>
      <x:c r="S188" s="6" t="n">
        <x:v>4</x:v>
      </x:c>
      <x:c r="T188" s="6" t="n">
        <x:v>5</x:v>
      </x:c>
      <x:c r="U188" s="6" t="n">
        <x:v>0</x:v>
      </x:c>
      <x:c r="V188" s="6" t="n">
        <x:v>0</x:v>
      </x:c>
      <x:c r="W188" s="6" t="n">
        <x:v>0</x:v>
      </x:c>
      <x:c r="X188" s="6" t="n">
        <x:v>0</x:v>
      </x:c>
      <x:c r="Y188" s="6" t="n">
        <x:v>0</x:v>
      </x:c>
      <x:c r="Z188" s="6" t="n">
        <x:v>0</x:v>
      </x:c>
      <x:c r="AA188" s="6" t="n">
        <x:v>3</x:v>
      </x:c>
      <x:c r="AB188" s="6" t="n">
        <x:v>11</x:v>
      </x:c>
      <x:c r="AC188" s="6" t="n">
        <x:v>0</x:v>
      </x:c>
    </x:row>
    <x:row r="189">
      <x:c r="A189" s="6" t="n">
        <x:v>3934</x:v>
      </x:c>
      <x:c r="B189" s="6" t="n">
        <x:v>1966</x:v>
      </x:c>
      <x:c r="C189" s="6" t="str">
        <x:v>Graduation</x:v>
      </x:c>
      <x:c r="D189" s="6" t="str">
        <x:v>Married</x:v>
      </x:c>
      <x:c r="E189" s="6" t="n">
        <x:v>61286</x:v>
      </x:c>
      <x:c r="F189" s="6" t="n">
        <x:v>0</x:v>
      </x:c>
      <x:c r="G189" s="6" t="n">
        <x:v>1</x:v>
      </x:c>
      <x:c r="H189" s="9" t="str">
        <x:v>02-08-2013</x:v>
      </x:c>
      <x:c r="I189" s="6" t="n">
        <x:v>34</x:v>
      </x:c>
      <x:c r="J189" s="6" t="n">
        <x:v>356</x:v>
      </x:c>
      <x:c r="K189" s="6" t="n">
        <x:v>0</x:v>
      </x:c>
      <x:c r="L189" s="6" t="n">
        <x:v>107</x:v>
      </x:c>
      <x:c r="M189" s="6" t="n">
        <x:v>19</x:v>
      </x:c>
      <x:c r="N189" s="6" t="n">
        <x:v>9</x:v>
      </x:c>
      <x:c r="O189" s="6" t="n">
        <x:v>117</x:v>
      </x:c>
      <x:c r="P189" s="6" t="n">
        <x:v>2</x:v>
      </x:c>
      <x:c r="Q189" s="6" t="n">
        <x:v>7</x:v>
      </x:c>
      <x:c r="R189" s="6" t="n">
        <x:v>1</x:v>
      </x:c>
      <x:c r="S189" s="6" t="n">
        <x:v>8</x:v>
      </x:c>
      <x:c r="T189" s="6" t="n">
        <x:v>5</x:v>
      </x:c>
      <x:c r="U189" s="6" t="n">
        <x:v>0</x:v>
      </x:c>
      <x:c r="V189" s="6" t="n">
        <x:v>0</x:v>
      </x:c>
      <x:c r="W189" s="6" t="n">
        <x:v>0</x:v>
      </x:c>
      <x:c r="X189" s="6" t="n">
        <x:v>0</x:v>
      </x:c>
      <x:c r="Y189" s="6" t="n">
        <x:v>0</x:v>
      </x:c>
      <x:c r="Z189" s="6" t="n">
        <x:v>0</x:v>
      </x:c>
      <x:c r="AA189" s="6" t="n">
        <x:v>3</x:v>
      </x:c>
      <x:c r="AB189" s="6" t="n">
        <x:v>11</x:v>
      </x:c>
      <x:c r="AC189" s="6" t="n">
        <x:v>0</x:v>
      </x:c>
    </x:row>
    <x:row r="190">
      <x:c r="A190" s="6" t="n">
        <x:v>6982</x:v>
      </x:c>
      <x:c r="B190" s="6" t="n">
        <x:v>1976</x:v>
      </x:c>
      <x:c r="C190" s="6" t="str">
        <x:v>Graduation</x:v>
      </x:c>
      <x:c r="D190" s="6" t="str">
        <x:v>Married</x:v>
      </x:c>
      <x:c r="E190" s="6" t="n">
        <x:v>74068</x:v>
      </x:c>
      <x:c r="F190" s="6" t="n">
        <x:v>0</x:v>
      </x:c>
      <x:c r="G190" s="6" t="n">
        <x:v>0</x:v>
      </x:c>
      <x:c r="H190" s="9" t="str">
        <x:v>19-03-2013</x:v>
      </x:c>
      <x:c r="I190" s="6" t="n">
        <x:v>14</x:v>
      </x:c>
      <x:c r="J190" s="6" t="n">
        <x:v>783</x:v>
      </x:c>
      <x:c r="K190" s="6" t="n">
        <x:v>30</x:v>
      </x:c>
      <x:c r="L190" s="6" t="n">
        <x:v>537</x:v>
      </x:c>
      <x:c r="M190" s="6" t="n">
        <x:v>140</x:v>
      </x:c>
      <x:c r="N190" s="6" t="n">
        <x:v>76</x:v>
      </x:c>
      <x:c r="O190" s="6" t="n">
        <x:v>15</x:v>
      </x:c>
      <x:c r="P190" s="6" t="n">
        <x:v>1</x:v>
      </x:c>
      <x:c r="Q190" s="6" t="n">
        <x:v>4</x:v>
      </x:c>
      <x:c r="R190" s="6" t="n">
        <x:v>10</x:v>
      </x:c>
      <x:c r="S190" s="6" t="n">
        <x:v>9</x:v>
      </x:c>
      <x:c r="T190" s="6" t="n">
        <x:v>2</x:v>
      </x:c>
      <x:c r="U190" s="6" t="n">
        <x:v>0</x:v>
      </x:c>
      <x:c r="V190" s="6" t="n">
        <x:v>0</x:v>
      </x:c>
      <x:c r="W190" s="6" t="n">
        <x:v>0</x:v>
      </x:c>
      <x:c r="X190" s="6" t="n">
        <x:v>0</x:v>
      </x:c>
      <x:c r="Y190" s="6" t="n">
        <x:v>0</x:v>
      </x:c>
      <x:c r="Z190" s="6" t="n">
        <x:v>0</x:v>
      </x:c>
      <x:c r="AA190" s="6" t="n">
        <x:v>3</x:v>
      </x:c>
      <x:c r="AB190" s="6" t="n">
        <x:v>11</x:v>
      </x:c>
      <x:c r="AC190" s="6" t="n">
        <x:v>0</x:v>
      </x:c>
    </x:row>
    <x:row r="191">
      <x:c r="A191" s="6" t="n">
        <x:v>6431</x:v>
      </x:c>
      <x:c r="B191" s="6" t="n">
        <x:v>1964</x:v>
      </x:c>
      <x:c r="C191" s="6" t="str">
        <x:v>PhD</x:v>
      </x:c>
      <x:c r="D191" s="6" t="str">
        <x:v>Married</x:v>
      </x:c>
      <x:c r="E191" s="6" t="n">
        <x:v>45759</x:v>
      </x:c>
      <x:c r="F191" s="6" t="n">
        <x:v>1</x:v>
      </x:c>
      <x:c r="G191" s="6" t="n">
        <x:v>1</x:v>
      </x:c>
      <x:c r="H191" s="9" t="str">
        <x:v>23-02-2013</x:v>
      </x:c>
      <x:c r="I191" s="6" t="n">
        <x:v>13</x:v>
      </x:c>
      <x:c r="J191" s="6" t="n">
        <x:v>42</x:v>
      </x:c>
      <x:c r="K191" s="6" t="n">
        <x:v>1</x:v>
      </x:c>
      <x:c r="L191" s="6" t="n">
        <x:v>18</x:v>
      </x:c>
      <x:c r="M191" s="6" t="n">
        <x:v>3</x:v>
      </x:c>
      <x:c r="N191" s="6" t="n">
        <x:v>0</x:v>
      </x:c>
      <x:c r="O191" s="6" t="n">
        <x:v>4</x:v>
      </x:c>
      <x:c r="P191" s="6" t="n">
        <x:v>2</x:v>
      </x:c>
      <x:c r="Q191" s="6" t="n">
        <x:v>2</x:v>
      </x:c>
      <x:c r="R191" s="6" t="n">
        <x:v>0</x:v>
      </x:c>
      <x:c r="S191" s="6" t="n">
        <x:v>3</x:v>
      </x:c>
      <x:c r="T191" s="6" t="n">
        <x:v>7</x:v>
      </x:c>
      <x:c r="U191" s="6" t="n">
        <x:v>0</x:v>
      </x:c>
      <x:c r="V191" s="6" t="n">
        <x:v>0</x:v>
      </x:c>
      <x:c r="W191" s="6" t="n">
        <x:v>0</x:v>
      </x:c>
      <x:c r="X191" s="6" t="n">
        <x:v>0</x:v>
      </x:c>
      <x:c r="Y191" s="6" t="n">
        <x:v>0</x:v>
      </x:c>
      <x:c r="Z191" s="6" t="n">
        <x:v>0</x:v>
      </x:c>
      <x:c r="AA191" s="6" t="n">
        <x:v>3</x:v>
      </x:c>
      <x:c r="AB191" s="6" t="n">
        <x:v>11</x:v>
      </x:c>
      <x:c r="AC191" s="6" t="n">
        <x:v>0</x:v>
      </x:c>
    </x:row>
    <x:row r="192">
      <x:c r="A192" s="6" t="n">
        <x:v>9733</x:v>
      </x:c>
      <x:c r="B192" s="6" t="n">
        <x:v>1978</x:v>
      </x:c>
      <x:c r="C192" s="6" t="str">
        <x:v>Basic</x:v>
      </x:c>
      <x:c r="D192" s="6" t="str">
        <x:v>Together</x:v>
      </x:c>
      <x:c r="E192" s="6" t="n">
        <x:v>24882</x:v>
      </x:c>
      <x:c r="F192" s="6" t="n">
        <x:v>1</x:v>
      </x:c>
      <x:c r="G192" s="6" t="n">
        <x:v>0</x:v>
      </x:c>
      <x:c r="H192" s="9" t="str">
        <x:v>09-09-2012</x:v>
      </x:c>
      <x:c r="I192" s="6" t="n">
        <x:v>52</x:v>
      </x:c>
      <x:c r="J192" s="6" t="n">
        <x:v>1</x:v>
      </x:c>
      <x:c r="K192" s="6" t="n">
        <x:v>4</x:v>
      </x:c>
      <x:c r="L192" s="6" t="n">
        <x:v>10</x:v>
      </x:c>
      <x:c r="M192" s="6" t="n">
        <x:v>29</x:v>
      </x:c>
      <x:c r="N192" s="6" t="n">
        <x:v>0</x:v>
      </x:c>
      <x:c r="O192" s="6" t="n">
        <x:v>36</x:v>
      </x:c>
      <x:c r="P192" s="6" t="n">
        <x:v>1</x:v>
      </x:c>
      <x:c r="Q192" s="6" t="n">
        <x:v>1</x:v>
      </x:c>
      <x:c r="R192" s="6" t="n">
        <x:v>1</x:v>
      </x:c>
      <x:c r="S192" s="6" t="n">
        <x:v>2</x:v>
      </x:c>
      <x:c r="T192" s="6" t="n">
        <x:v>6</x:v>
      </x:c>
      <x:c r="U192" s="6" t="n">
        <x:v>1</x:v>
      </x:c>
      <x:c r="V192" s="6" t="n">
        <x:v>0</x:v>
      </x:c>
      <x:c r="W192" s="6" t="n">
        <x:v>0</x:v>
      </x:c>
      <x:c r="X192" s="6" t="n">
        <x:v>0</x:v>
      </x:c>
      <x:c r="Y192" s="6" t="n">
        <x:v>0</x:v>
      </x:c>
      <x:c r="Z192" s="6" t="n">
        <x:v>0</x:v>
      </x:c>
      <x:c r="AA192" s="6" t="n">
        <x:v>3</x:v>
      </x:c>
      <x:c r="AB192" s="6" t="n">
        <x:v>11</x:v>
      </x:c>
      <x:c r="AC192" s="6" t="n">
        <x:v>0</x:v>
      </x:c>
    </x:row>
    <x:row r="193">
      <x:c r="A193" s="6" t="n">
        <x:v>5602</x:v>
      </x:c>
      <x:c r="B193" s="6" t="n">
        <x:v>1989</x:v>
      </x:c>
      <x:c r="C193" s="6" t="str">
        <x:v>PhD</x:v>
      </x:c>
      <x:c r="D193" s="6" t="str">
        <x:v>Together</x:v>
      </x:c>
      <x:c r="E193" s="6" t="n">
        <x:v>66973</x:v>
      </x:c>
      <x:c r="F193" s="6" t="n">
        <x:v>0</x:v>
      </x:c>
      <x:c r="G193" s="6" t="n">
        <x:v>0</x:v>
      </x:c>
      <x:c r="H193" s="9" t="str">
        <x:v>17-05-2013</x:v>
      </x:c>
      <x:c r="I193" s="6" t="n">
        <x:v>98</x:v>
      </x:c>
      <x:c r="J193" s="6" t="n">
        <x:v>466</x:v>
      </x:c>
      <x:c r="K193" s="6" t="n">
        <x:v>22</x:v>
      </x:c>
      <x:c r="L193" s="6" t="n">
        <x:v>432</x:v>
      </x:c>
      <x:c r="M193" s="6" t="n">
        <x:v>147</x:v>
      </x:c>
      <x:c r="N193" s="6" t="n">
        <x:v>113</x:v>
      </x:c>
      <x:c r="O193" s="6" t="n">
        <x:v>102</x:v>
      </x:c>
      <x:c r="P193" s="6" t="n">
        <x:v>1</x:v>
      </x:c>
      <x:c r="Q193" s="6" t="n">
        <x:v>8</x:v>
      </x:c>
      <x:c r="R193" s="6" t="n">
        <x:v>7</x:v>
      </x:c>
      <x:c r="S193" s="6" t="n">
        <x:v>12</x:v>
      </x:c>
      <x:c r="T193" s="6" t="n">
        <x:v>3</x:v>
      </x:c>
      <x:c r="U193" s="6" t="n">
        <x:v>0</x:v>
      </x:c>
      <x:c r="V193" s="6" t="n">
        <x:v>0</x:v>
      </x:c>
      <x:c r="W193" s="6" t="n">
        <x:v>0</x:v>
      </x:c>
      <x:c r="X193" s="6" t="n">
        <x:v>0</x:v>
      </x:c>
      <x:c r="Y193" s="6" t="n">
        <x:v>0</x:v>
      </x:c>
      <x:c r="Z193" s="6" t="n">
        <x:v>0</x:v>
      </x:c>
      <x:c r="AA193" s="6" t="n">
        <x:v>3</x:v>
      </x:c>
      <x:c r="AB193" s="6" t="n">
        <x:v>11</x:v>
      </x:c>
      <x:c r="AC193" s="6" t="n">
        <x:v>0</x:v>
      </x:c>
    </x:row>
    <x:row r="194">
      <x:c r="A194" s="6" t="n">
        <x:v>7829</x:v>
      </x:c>
      <x:c r="B194" s="6" t="n">
        <x:v>1900</x:v>
      </x:c>
      <x:c r="C194" s="6" t="str">
        <x:v>2n Cycle</x:v>
      </x:c>
      <x:c r="D194" s="6" t="str">
        <x:v>Divorced</x:v>
      </x:c>
      <x:c r="E194" s="6" t="n">
        <x:v>36640</x:v>
      </x:c>
      <x:c r="F194" s="6" t="n">
        <x:v>1</x:v>
      </x:c>
      <x:c r="G194" s="6" t="n">
        <x:v>0</x:v>
      </x:c>
      <x:c r="H194" s="9" t="str">
        <x:v>26-09-2013</x:v>
      </x:c>
      <x:c r="I194" s="6" t="n">
        <x:v>99</x:v>
      </x:c>
      <x:c r="J194" s="6" t="n">
        <x:v>15</x:v>
      </x:c>
      <x:c r="K194" s="6" t="n">
        <x:v>6</x:v>
      </x:c>
      <x:c r="L194" s="6" t="n">
        <x:v>8</x:v>
      </x:c>
      <x:c r="M194" s="6" t="n">
        <x:v>7</x:v>
      </x:c>
      <x:c r="N194" s="6" t="n">
        <x:v>4</x:v>
      </x:c>
      <x:c r="O194" s="6" t="n">
        <x:v>25</x:v>
      </x:c>
      <x:c r="P194" s="6" t="n">
        <x:v>1</x:v>
      </x:c>
      <x:c r="Q194" s="6" t="n">
        <x:v>2</x:v>
      </x:c>
      <x:c r="R194" s="6" t="n">
        <x:v>1</x:v>
      </x:c>
      <x:c r="S194" s="6" t="n">
        <x:v>2</x:v>
      </x:c>
      <x:c r="T194" s="6" t="n">
        <x:v>5</x:v>
      </x:c>
      <x:c r="U194" s="6" t="n">
        <x:v>0</x:v>
      </x:c>
      <x:c r="V194" s="6" t="n">
        <x:v>0</x:v>
      </x:c>
      <x:c r="W194" s="6" t="n">
        <x:v>0</x:v>
      </x:c>
      <x:c r="X194" s="6" t="n">
        <x:v>0</x:v>
      </x:c>
      <x:c r="Y194" s="6" t="n">
        <x:v>0</x:v>
      </x:c>
      <x:c r="Z194" s="6" t="n">
        <x:v>1</x:v>
      </x:c>
      <x:c r="AA194" s="6" t="n">
        <x:v>3</x:v>
      </x:c>
      <x:c r="AB194" s="6" t="n">
        <x:v>11</x:v>
      </x:c>
      <x:c r="AC194" s="6" t="n">
        <x:v>0</x:v>
      </x:c>
    </x:row>
    <x:row r="195">
      <x:c r="A195" s="6" t="n">
        <x:v>1324</x:v>
      </x:c>
      <x:c r="B195" s="6" t="n">
        <x:v>1988</x:v>
      </x:c>
      <x:c r="C195" s="6" t="str">
        <x:v>Graduation</x:v>
      </x:c>
      <x:c r="D195" s="6" t="str">
        <x:v>Married</x:v>
      </x:c>
      <x:c r="E195" s="6" t="n">
        <x:v>38872</x:v>
      </x:c>
      <x:c r="F195" s="6" t="n">
        <x:v>1</x:v>
      </x:c>
      <x:c r="G195" s="6" t="n">
        <x:v>0</x:v>
      </x:c>
      <x:c r="H195" s="9" t="str">
        <x:v>30-05-2013</x:v>
      </x:c>
      <x:c r="I195" s="6" t="n">
        <x:v>93</x:v>
      </x:c>
      <x:c r="J195" s="6" t="n">
        <x:v>23</x:v>
      </x:c>
      <x:c r="K195" s="6" t="n">
        <x:v>3</x:v>
      </x:c>
      <x:c r="L195" s="6" t="n">
        <x:v>21</x:v>
      </x:c>
      <x:c r="M195" s="6" t="n">
        <x:v>3</x:v>
      </x:c>
      <x:c r="N195" s="6" t="n">
        <x:v>19</x:v>
      </x:c>
      <x:c r="O195" s="6" t="n">
        <x:v>22</x:v>
      </x:c>
      <x:c r="P195" s="6" t="n">
        <x:v>2</x:v>
      </x:c>
      <x:c r="Q195" s="6" t="n">
        <x:v>3</x:v>
      </x:c>
      <x:c r="R195" s="6" t="n">
        <x:v>0</x:v>
      </x:c>
      <x:c r="S195" s="6" t="n">
        <x:v>3</x:v>
      </x:c>
      <x:c r="T195" s="6" t="n">
        <x:v>8</x:v>
      </x:c>
      <x:c r="U195" s="6" t="n">
        <x:v>0</x:v>
      </x:c>
      <x:c r="V195" s="6" t="n">
        <x:v>0</x:v>
      </x:c>
      <x:c r="W195" s="6" t="n">
        <x:v>0</x:v>
      </x:c>
      <x:c r="X195" s="6" t="n">
        <x:v>0</x:v>
      </x:c>
      <x:c r="Y195" s="6" t="n">
        <x:v>0</x:v>
      </x:c>
      <x:c r="Z195" s="6" t="n">
        <x:v>0</x:v>
      </x:c>
      <x:c r="AA195" s="6" t="n">
        <x:v>3</x:v>
      </x:c>
      <x:c r="AB195" s="6" t="n">
        <x:v>11</x:v>
      </x:c>
      <x:c r="AC195" s="6" t="n">
        <x:v>0</x:v>
      </x:c>
    </x:row>
    <x:row r="196">
      <x:c r="A196" s="6" t="n">
        <x:v>326</x:v>
      </x:c>
      <x:c r="B196" s="6" t="n">
        <x:v>1973</x:v>
      </x:c>
      <x:c r="C196" s="6" t="str">
        <x:v>Graduation</x:v>
      </x:c>
      <x:c r="D196" s="6" t="str">
        <x:v>Married</x:v>
      </x:c>
      <x:c r="E196" s="6" t="n">
        <x:v>51148</x:v>
      </x:c>
      <x:c r="F196" s="6" t="n">
        <x:v>1</x:v>
      </x:c>
      <x:c r="G196" s="6" t="n">
        <x:v>1</x:v>
      </x:c>
      <x:c r="H196" s="9" t="str">
        <x:v>18-02-2013</x:v>
      </x:c>
      <x:c r="I196" s="6" t="n">
        <x:v>38</x:v>
      </x:c>
      <x:c r="J196" s="6" t="n">
        <x:v>235</x:v>
      </x:c>
      <x:c r="K196" s="6" t="n">
        <x:v>6</x:v>
      </x:c>
      <x:c r="L196" s="6" t="n">
        <x:v>45</x:v>
      </x:c>
      <x:c r="M196" s="6" t="n">
        <x:v>8</x:v>
      </x:c>
      <x:c r="N196" s="6" t="n">
        <x:v>9</x:v>
      </x:c>
      <x:c r="O196" s="6" t="n">
        <x:v>12</x:v>
      </x:c>
      <x:c r="P196" s="6" t="n">
        <x:v>4</x:v>
      </x:c>
      <x:c r="Q196" s="6" t="n">
        <x:v>5</x:v>
      </x:c>
      <x:c r="R196" s="6" t="n">
        <x:v>1</x:v>
      </x:c>
      <x:c r="S196" s="6" t="n">
        <x:v>6</x:v>
      </x:c>
      <x:c r="T196" s="6" t="n">
        <x:v>6</x:v>
      </x:c>
      <x:c r="U196" s="6" t="n">
        <x:v>0</x:v>
      </x:c>
      <x:c r="V196" s="6" t="n">
        <x:v>0</x:v>
      </x:c>
      <x:c r="W196" s="6" t="n">
        <x:v>0</x:v>
      </x:c>
      <x:c r="X196" s="6" t="n">
        <x:v>0</x:v>
      </x:c>
      <x:c r="Y196" s="6" t="n">
        <x:v>0</x:v>
      </x:c>
      <x:c r="Z196" s="6" t="n">
        <x:v>0</x:v>
      </x:c>
      <x:c r="AA196" s="6" t="n">
        <x:v>3</x:v>
      </x:c>
      <x:c r="AB196" s="6" t="n">
        <x:v>11</x:v>
      </x:c>
      <x:c r="AC196" s="6" t="n">
        <x:v>0</x:v>
      </x:c>
    </x:row>
    <x:row r="197">
      <x:c r="A197" s="6" t="n">
        <x:v>7224</x:v>
      </x:c>
      <x:c r="B197" s="6" t="n">
        <x:v>1977</x:v>
      </x:c>
      <x:c r="C197" s="6" t="str">
        <x:v>Graduation</x:v>
      </x:c>
      <x:c r="D197" s="6" t="str">
        <x:v>Married</x:v>
      </x:c>
      <x:c r="E197" s="6" t="n">
        <x:v>31353</x:v>
      </x:c>
      <x:c r="F197" s="6" t="n">
        <x:v>1</x:v>
      </x:c>
      <x:c r="G197" s="6" t="n">
        <x:v>1</x:v>
      </x:c>
      <x:c r="H197" s="9" t="str">
        <x:v>29-12-2013</x:v>
      </x:c>
      <x:c r="I197" s="6" t="n">
        <x:v>24</x:v>
      </x:c>
      <x:c r="J197" s="6" t="n">
        <x:v>10</x:v>
      </x:c>
      <x:c r="K197" s="6" t="n">
        <x:v>0</x:v>
      </x:c>
      <x:c r="L197" s="6" t="n">
        <x:v>10</x:v>
      </x:c>
      <x:c r="M197" s="6" t="n">
        <x:v>3</x:v>
      </x:c>
      <x:c r="N197" s="6" t="n">
        <x:v>1</x:v>
      </x:c>
      <x:c r="O197" s="6" t="n">
        <x:v>7</x:v>
      </x:c>
      <x:c r="P197" s="6" t="n">
        <x:v>2</x:v>
      </x:c>
      <x:c r="Q197" s="6" t="n">
        <x:v>1</x:v>
      </x:c>
      <x:c r="R197" s="6" t="n">
        <x:v>1</x:v>
      </x:c>
      <x:c r="S197" s="6" t="n">
        <x:v>2</x:v>
      </x:c>
      <x:c r="T197" s="6" t="n">
        <x:v>8</x:v>
      </x:c>
      <x:c r="U197" s="6" t="n">
        <x:v>0</x:v>
      </x:c>
      <x:c r="V197" s="6" t="n">
        <x:v>0</x:v>
      </x:c>
      <x:c r="W197" s="6" t="n">
        <x:v>0</x:v>
      </x:c>
      <x:c r="X197" s="6" t="n">
        <x:v>0</x:v>
      </x:c>
      <x:c r="Y197" s="6" t="n">
        <x:v>0</x:v>
      </x:c>
      <x:c r="Z197" s="6" t="n">
        <x:v>0</x:v>
      </x:c>
      <x:c r="AA197" s="6" t="n">
        <x:v>3</x:v>
      </x:c>
      <x:c r="AB197" s="6" t="n">
        <x:v>11</x:v>
      </x:c>
      <x:c r="AC197" s="6" t="n">
        <x:v>0</x:v>
      </x:c>
    </x:row>
    <x:row r="198">
      <x:c r="A198" s="6" t="n">
        <x:v>6999</x:v>
      </x:c>
      <x:c r="B198" s="6" t="n">
        <x:v>1980</x:v>
      </x:c>
      <x:c r="C198" s="6" t="str">
        <x:v>Master</x:v>
      </x:c>
      <x:c r="D198" s="6" t="str">
        <x:v>Married</x:v>
      </x:c>
      <x:c r="E198" s="6" t="n">
        <x:v>69661</x:v>
      </x:c>
      <x:c r="F198" s="6" t="n">
        <x:v>0</x:v>
      </x:c>
      <x:c r="G198" s="6" t="n">
        <x:v>0</x:v>
      </x:c>
      <x:c r="H198" s="9" t="str">
        <x:v>13-05-2014</x:v>
      </x:c>
      <x:c r="I198" s="6" t="n">
        <x:v>80</x:v>
      </x:c>
      <x:c r="J198" s="6" t="n">
        <x:v>656</x:v>
      </x:c>
      <x:c r="K198" s="6" t="n">
        <x:v>16</x:v>
      </x:c>
      <x:c r="L198" s="6" t="n">
        <x:v>106</x:v>
      </x:c>
      <x:c r="M198" s="6" t="n">
        <x:v>32</x:v>
      </x:c>
      <x:c r="N198" s="6" t="n">
        <x:v>16</x:v>
      </x:c>
      <x:c r="O198" s="6" t="n">
        <x:v>8</x:v>
      </x:c>
      <x:c r="P198" s="6" t="n">
        <x:v>1</x:v>
      </x:c>
      <x:c r="Q198" s="6" t="n">
        <x:v>7</x:v>
      </x:c>
      <x:c r="R198" s="6" t="n">
        <x:v>3</x:v>
      </x:c>
      <x:c r="S198" s="6" t="n">
        <x:v>12</x:v>
      </x:c>
      <x:c r="T198" s="6" t="n">
        <x:v>3</x:v>
      </x:c>
      <x:c r="U198" s="6" t="n">
        <x:v>0</x:v>
      </x:c>
      <x:c r="V198" s="6" t="n">
        <x:v>0</x:v>
      </x:c>
      <x:c r="W198" s="6" t="n">
        <x:v>0</x:v>
      </x:c>
      <x:c r="X198" s="6" t="n">
        <x:v>0</x:v>
      </x:c>
      <x:c r="Y198" s="6" t="n">
        <x:v>0</x:v>
      </x:c>
      <x:c r="Z198" s="6" t="n">
        <x:v>0</x:v>
      </x:c>
      <x:c r="AA198" s="6" t="n">
        <x:v>3</x:v>
      </x:c>
      <x:c r="AB198" s="6" t="n">
        <x:v>11</x:v>
      </x:c>
      <x:c r="AC198" s="6" t="n">
        <x:v>0</x:v>
      </x:c>
    </x:row>
    <x:row r="199">
      <x:c r="A199" s="6" t="n">
        <x:v>9938</x:v>
      </x:c>
      <x:c r="B199" s="6" t="n">
        <x:v>1954</x:v>
      </x:c>
      <x:c r="C199" s="6" t="str">
        <x:v>Graduation</x:v>
      </x:c>
      <x:c r="D199" s="6" t="str">
        <x:v>Married</x:v>
      </x:c>
      <x:c r="E199" s="6" t="n">
        <x:v>80067</x:v>
      </x:c>
      <x:c r="F199" s="6" t="n">
        <x:v>0</x:v>
      </x:c>
      <x:c r="G199" s="6" t="n">
        <x:v>0</x:v>
      </x:c>
      <x:c r="H199" s="9" t="str">
        <x:v>19-09-2013</x:v>
      </x:c>
      <x:c r="I199" s="6" t="n">
        <x:v>82</x:v>
      </x:c>
      <x:c r="J199" s="6" t="n">
        <x:v>519</x:v>
      </x:c>
      <x:c r="K199" s="6" t="n">
        <x:v>17</x:v>
      </x:c>
      <x:c r="L199" s="6" t="n">
        <x:v>813</x:v>
      </x:c>
      <x:c r="M199" s="6" t="n">
        <x:v>27</x:v>
      </x:c>
      <x:c r="N199" s="6" t="n">
        <x:v>173</x:v>
      </x:c>
      <x:c r="O199" s="6" t="n">
        <x:v>51</x:v>
      </x:c>
      <x:c r="P199" s="6" t="n">
        <x:v>1</x:v>
      </x:c>
      <x:c r="Q199" s="6" t="n">
        <x:v>4</x:v>
      </x:c>
      <x:c r="R199" s="6" t="n">
        <x:v>6</x:v>
      </x:c>
      <x:c r="S199" s="6" t="n">
        <x:v>6</x:v>
      </x:c>
      <x:c r="T199" s="6" t="n">
        <x:v>2</x:v>
      </x:c>
      <x:c r="U199" s="6" t="n">
        <x:v>0</x:v>
      </x:c>
      <x:c r="V199" s="6" t="n">
        <x:v>0</x:v>
      </x:c>
      <x:c r="W199" s="6" t="n">
        <x:v>1</x:v>
      </x:c>
      <x:c r="X199" s="6" t="n">
        <x:v>0</x:v>
      </x:c>
      <x:c r="Y199" s="6" t="n">
        <x:v>0</x:v>
      </x:c>
      <x:c r="Z199" s="6" t="n">
        <x:v>0</x:v>
      </x:c>
      <x:c r="AA199" s="6" t="n">
        <x:v>3</x:v>
      </x:c>
      <x:c r="AB199" s="6" t="n">
        <x:v>11</x:v>
      </x:c>
      <x:c r="AC199" s="6" t="n">
        <x:v>0</x:v>
      </x:c>
    </x:row>
    <x:row r="200">
      <x:c r="A200" s="6" t="n">
        <x:v>6422</x:v>
      </x:c>
      <x:c r="B200" s="6" t="n">
        <x:v>1954</x:v>
      </x:c>
      <x:c r="C200" s="6" t="str">
        <x:v>Graduation</x:v>
      </x:c>
      <x:c r="D200" s="6" t="str">
        <x:v>Married</x:v>
      </x:c>
      <x:c r="E200" s="6" t="n">
        <x:v>86718</x:v>
      </x:c>
      <x:c r="F200" s="6" t="n">
        <x:v>0</x:v>
      </x:c>
      <x:c r="G200" s="6" t="n">
        <x:v>0</x:v>
      </x:c>
      <x:c r="H200" s="9" t="str">
        <x:v>17-01-2013</x:v>
      </x:c>
      <x:c r="I200" s="6" t="n">
        <x:v>20</x:v>
      </x:c>
      <x:c r="J200" s="6" t="n">
        <x:v>344</x:v>
      </x:c>
      <x:c r="K200" s="6" t="n">
        <x:v>189</x:v>
      </x:c>
      <x:c r="L200" s="6" t="n">
        <x:v>482</x:v>
      </x:c>
      <x:c r="M200" s="6" t="n">
        <x:v>50</x:v>
      </x:c>
      <x:c r="N200" s="6" t="n">
        <x:v>33</x:v>
      </x:c>
      <x:c r="O200" s="6" t="n">
        <x:v>172</x:v>
      </x:c>
      <x:c r="P200" s="6" t="n">
        <x:v>1</x:v>
      </x:c>
      <x:c r="Q200" s="6" t="n">
        <x:v>5</x:v>
      </x:c>
      <x:c r="R200" s="6" t="n">
        <x:v>6</x:v>
      </x:c>
      <x:c r="S200" s="6" t="n">
        <x:v>5</x:v>
      </x:c>
      <x:c r="T200" s="6" t="n">
        <x:v>2</x:v>
      </x:c>
      <x:c r="U200" s="6" t="n">
        <x:v>0</x:v>
      </x:c>
      <x:c r="V200" s="6" t="n">
        <x:v>0</x:v>
      </x:c>
      <x:c r="W200" s="6" t="n">
        <x:v>0</x:v>
      </x:c>
      <x:c r="X200" s="6" t="n">
        <x:v>0</x:v>
      </x:c>
      <x:c r="Y200" s="6" t="n">
        <x:v>0</x:v>
      </x:c>
      <x:c r="Z200" s="6" t="n">
        <x:v>0</x:v>
      </x:c>
      <x:c r="AA200" s="6" t="n">
        <x:v>3</x:v>
      </x:c>
      <x:c r="AB200" s="6" t="n">
        <x:v>11</x:v>
      </x:c>
      <x:c r="AC200" s="6" t="n">
        <x:v>0</x:v>
      </x:c>
    </x:row>
    <x:row r="201">
      <x:c r="A201" s="6" t="n">
        <x:v>3182</x:v>
      </x:c>
      <x:c r="B201" s="6" t="n">
        <x:v>1973</x:v>
      </x:c>
      <x:c r="C201" s="6" t="str">
        <x:v>PhD</x:v>
      </x:c>
      <x:c r="D201" s="6" t="str">
        <x:v>Single</x:v>
      </x:c>
      <x:c r="E201" s="6" t="n">
        <x:v>46854</x:v>
      </x:c>
      <x:c r="F201" s="6" t="n">
        <x:v>1</x:v>
      </x:c>
      <x:c r="G201" s="6" t="n">
        <x:v>1</x:v>
      </x:c>
      <x:c r="H201" s="9" t="str">
        <x:v>31-03-2014</x:v>
      </x:c>
      <x:c r="I201" s="6" t="n">
        <x:v>81</x:v>
      </x:c>
      <x:c r="J201" s="6" t="n">
        <x:v>96</x:v>
      </x:c>
      <x:c r="K201" s="6" t="n">
        <x:v>1</x:v>
      </x:c>
      <x:c r="L201" s="6" t="n">
        <x:v>79</x:v>
      </x:c>
      <x:c r="M201" s="6" t="n">
        <x:v>7</x:v>
      </x:c>
      <x:c r="N201" s="6" t="n">
        <x:v>1</x:v>
      </x:c>
      <x:c r="O201" s="6" t="n">
        <x:v>79</x:v>
      </x:c>
      <x:c r="P201" s="6" t="n">
        <x:v>6</x:v>
      </x:c>
      <x:c r="Q201" s="6" t="n">
        <x:v>5</x:v>
      </x:c>
      <x:c r="R201" s="6" t="n">
        <x:v>1</x:v>
      </x:c>
      <x:c r="S201" s="6" t="n">
        <x:v>3</x:v>
      </x:c>
      <x:c r="T201" s="6" t="n">
        <x:v>8</x:v>
      </x:c>
      <x:c r="U201" s="6" t="n">
        <x:v>1</x:v>
      </x:c>
      <x:c r="V201" s="6" t="n">
        <x:v>0</x:v>
      </x:c>
      <x:c r="W201" s="6" t="n">
        <x:v>0</x:v>
      </x:c>
      <x:c r="X201" s="6" t="n">
        <x:v>0</x:v>
      </x:c>
      <x:c r="Y201" s="6" t="n">
        <x:v>0</x:v>
      </x:c>
      <x:c r="Z201" s="6" t="n">
        <x:v>0</x:v>
      </x:c>
      <x:c r="AA201" s="6" t="n">
        <x:v>3</x:v>
      </x:c>
      <x:c r="AB201" s="6" t="n">
        <x:v>11</x:v>
      </x:c>
      <x:c r="AC201" s="6" t="n">
        <x:v>1</x:v>
      </x:c>
    </x:row>
    <x:row r="202">
      <x:c r="A202" s="6" t="n">
        <x:v>7300</x:v>
      </x:c>
      <x:c r="B202" s="6" t="n">
        <x:v>1952</x:v>
      </x:c>
      <x:c r="C202" s="6" t="str">
        <x:v>Graduation</x:v>
      </x:c>
      <x:c r="D202" s="6" t="str">
        <x:v>Divorced</x:v>
      </x:c>
      <x:c r="E202" s="6" t="n">
        <x:v>69142</x:v>
      </x:c>
      <x:c r="F202" s="6" t="n">
        <x:v>0</x:v>
      </x:c>
      <x:c r="G202" s="6" t="n">
        <x:v>1</x:v>
      </x:c>
      <x:c r="H202" s="9" t="str">
        <x:v>29-06-2014</x:v>
      </x:c>
      <x:c r="I202" s="6" t="n">
        <x:v>50</x:v>
      </x:c>
      <x:c r="J202" s="6" t="n">
        <x:v>448</x:v>
      </x:c>
      <x:c r="K202" s="6" t="n">
        <x:v>4</x:v>
      </x:c>
      <x:c r="L202" s="6" t="n">
        <x:v>34</x:v>
      </x:c>
      <x:c r="M202" s="6" t="n">
        <x:v>6</x:v>
      </x:c>
      <x:c r="N202" s="6" t="n">
        <x:v>4</x:v>
      </x:c>
      <x:c r="O202" s="6" t="n">
        <x:v>39</x:v>
      </x:c>
      <x:c r="P202" s="6" t="n">
        <x:v>3</x:v>
      </x:c>
      <x:c r="Q202" s="6" t="n">
        <x:v>8</x:v>
      </x:c>
      <x:c r="R202" s="6" t="n">
        <x:v>1</x:v>
      </x:c>
      <x:c r="S202" s="6" t="n">
        <x:v>7</x:v>
      </x:c>
      <x:c r="T202" s="6" t="n">
        <x:v>5</x:v>
      </x:c>
      <x:c r="U202" s="6" t="n">
        <x:v>0</x:v>
      </x:c>
      <x:c r="V202" s="6" t="n">
        <x:v>1</x:v>
      </x:c>
      <x:c r="W202" s="6" t="n">
        <x:v>0</x:v>
      </x:c>
      <x:c r="X202" s="6" t="n">
        <x:v>0</x:v>
      </x:c>
      <x:c r="Y202" s="6" t="n">
        <x:v>0</x:v>
      </x:c>
      <x:c r="Z202" s="6" t="n">
        <x:v>0</x:v>
      </x:c>
      <x:c r="AA202" s="6" t="n">
        <x:v>3</x:v>
      </x:c>
      <x:c r="AB202" s="6" t="n">
        <x:v>11</x:v>
      </x:c>
      <x:c r="AC202" s="6" t="n">
        <x:v>0</x:v>
      </x:c>
    </x:row>
    <x:row r="203">
      <x:c r="A203" s="6" t="n">
        <x:v>10424</x:v>
      </x:c>
      <x:c r="B203" s="6" t="n">
        <x:v>1968</x:v>
      </x:c>
      <x:c r="C203" s="6" t="str">
        <x:v>Graduation</x:v>
      </x:c>
      <x:c r="D203" s="6" t="str">
        <x:v>Single</x:v>
      </x:c>
      <x:c r="E203" s="6" t="n">
        <x:v>75922</x:v>
      </x:c>
      <x:c r="F203" s="6" t="n">
        <x:v>0</x:v>
      </x:c>
      <x:c r="G203" s="6" t="n">
        <x:v>0</x:v>
      </x:c>
      <x:c r="H203" s="9" t="str">
        <x:v>09-12-2013</x:v>
      </x:c>
      <x:c r="I203" s="6" t="n">
        <x:v>60</x:v>
      </x:c>
      <x:c r="J203" s="6" t="n">
        <x:v>265</x:v>
      </x:c>
      <x:c r="K203" s="6" t="n">
        <x:v>138</x:v>
      </x:c>
      <x:c r="L203" s="6" t="n">
        <x:v>553</x:v>
      </x:c>
      <x:c r="M203" s="6" t="n">
        <x:v>224</x:v>
      </x:c>
      <x:c r="N203" s="6" t="n">
        <x:v>23</x:v>
      </x:c>
      <x:c r="O203" s="6" t="n">
        <x:v>92</x:v>
      </x:c>
      <x:c r="P203" s="6" t="n">
        <x:v>1</x:v>
      </x:c>
      <x:c r="Q203" s="6" t="n">
        <x:v>4</x:v>
      </x:c>
      <x:c r="R203" s="6" t="n">
        <x:v>4</x:v>
      </x:c>
      <x:c r="S203" s="6" t="n">
        <x:v>9</x:v>
      </x:c>
      <x:c r="T203" s="6" t="n">
        <x:v>1</x:v>
      </x:c>
      <x:c r="U203" s="6" t="n">
        <x:v>0</x:v>
      </x:c>
      <x:c r="V203" s="6" t="n">
        <x:v>0</x:v>
      </x:c>
      <x:c r="W203" s="6" t="n">
        <x:v>0</x:v>
      </x:c>
      <x:c r="X203" s="6" t="n">
        <x:v>0</x:v>
      </x:c>
      <x:c r="Y203" s="6" t="n">
        <x:v>0</x:v>
      </x:c>
      <x:c r="Z203" s="6" t="n">
        <x:v>0</x:v>
      </x:c>
      <x:c r="AA203" s="6" t="n">
        <x:v>3</x:v>
      </x:c>
      <x:c r="AB203" s="6" t="n">
        <x:v>11</x:v>
      </x:c>
      <x:c r="AC203" s="6" t="n">
        <x:v>0</x:v>
      </x:c>
    </x:row>
    <x:row r="204">
      <x:c r="A204" s="6" t="n">
        <x:v>8727</x:v>
      </x:c>
      <x:c r="B204" s="6" t="n">
        <x:v>1978</x:v>
      </x:c>
      <x:c r="C204" s="6" t="str">
        <x:v>Graduation</x:v>
      </x:c>
      <x:c r="D204" s="6" t="str">
        <x:v>Divorced</x:v>
      </x:c>
      <x:c r="E204" s="6" t="n">
        <x:v>63693</x:v>
      </x:c>
      <x:c r="F204" s="6" t="n">
        <x:v>0</x:v>
      </x:c>
      <x:c r="G204" s="6" t="n">
        <x:v>1</x:v>
      </x:c>
      <x:c r="H204" s="9" t="str">
        <x:v>14-10-2013</x:v>
      </x:c>
      <x:c r="I204" s="6" t="n">
        <x:v>63</x:v>
      </x:c>
      <x:c r="J204" s="6" t="n">
        <x:v>587</x:v>
      </x:c>
      <x:c r="K204" s="6" t="n">
        <x:v>43</x:v>
      </x:c>
      <x:c r="L204" s="6" t="n">
        <x:v>337</x:v>
      </x:c>
      <x:c r="M204" s="6" t="n">
        <x:v>42</x:v>
      </x:c>
      <x:c r="N204" s="6" t="n">
        <x:v>87</x:v>
      </x:c>
      <x:c r="O204" s="6" t="n">
        <x:v>54</x:v>
      </x:c>
      <x:c r="P204" s="6" t="n">
        <x:v>3</x:v>
      </x:c>
      <x:c r="Q204" s="6" t="n">
        <x:v>11</x:v>
      </x:c>
      <x:c r="R204" s="6" t="n">
        <x:v>6</x:v>
      </x:c>
      <x:c r="S204" s="6" t="n">
        <x:v>9</x:v>
      </x:c>
      <x:c r="T204" s="6" t="n">
        <x:v>6</x:v>
      </x:c>
      <x:c r="U204" s="6" t="n">
        <x:v>0</x:v>
      </x:c>
      <x:c r="V204" s="6" t="n">
        <x:v>0</x:v>
      </x:c>
      <x:c r="W204" s="6" t="n">
        <x:v>0</x:v>
      </x:c>
      <x:c r="X204" s="6" t="n">
        <x:v>0</x:v>
      </x:c>
      <x:c r="Y204" s="6" t="n">
        <x:v>0</x:v>
      </x:c>
      <x:c r="Z204" s="6" t="n">
        <x:v>0</x:v>
      </x:c>
      <x:c r="AA204" s="6" t="n">
        <x:v>3</x:v>
      </x:c>
      <x:c r="AB204" s="6" t="n">
        <x:v>11</x:v>
      </x:c>
      <x:c r="AC204" s="6" t="n">
        <x:v>0</x:v>
      </x:c>
    </x:row>
    <x:row r="205">
      <x:c r="A205" s="6" t="n">
        <x:v>2798</x:v>
      </x:c>
      <x:c r="B205" s="6" t="n">
        <x:v>1977</x:v>
      </x:c>
      <x:c r="C205" s="6" t="str">
        <x:v>PhD</x:v>
      </x:c>
      <x:c r="D205" s="6" t="str">
        <x:v>Together</x:v>
      </x:c>
      <x:c r="E205" s="6" t="n">
        <x:v>102160</x:v>
      </x:c>
      <x:c r="F205" s="6" t="n">
        <x:v>0</x:v>
      </x:c>
      <x:c r="G205" s="6" t="n">
        <x:v>0</x:v>
      </x:c>
      <x:c r="H205" s="9" t="str">
        <x:v>02-11-2012</x:v>
      </x:c>
      <x:c r="I205" s="6" t="n">
        <x:v>54</x:v>
      </x:c>
      <x:c r="J205" s="6" t="n">
        <x:v>763</x:v>
      </x:c>
      <x:c r="K205" s="6" t="n">
        <x:v>29</x:v>
      </x:c>
      <x:c r="L205" s="6" t="n">
        <x:v>138</x:v>
      </x:c>
      <x:c r="M205" s="6" t="n">
        <x:v>76</x:v>
      </x:c>
      <x:c r="N205" s="6" t="n">
        <x:v>176</x:v>
      </x:c>
      <x:c r="O205" s="6" t="n">
        <x:v>58</x:v>
      </x:c>
      <x:c r="P205" s="6" t="n">
        <x:v>0</x:v>
      </x:c>
      <x:c r="Q205" s="6" t="n">
        <x:v>7</x:v>
      </x:c>
      <x:c r="R205" s="6" t="n">
        <x:v>9</x:v>
      </x:c>
      <x:c r="S205" s="6" t="n">
        <x:v>10</x:v>
      </x:c>
      <x:c r="T205" s="6" t="n">
        <x:v>4</x:v>
      </x:c>
      <x:c r="U205" s="6" t="n">
        <x:v>0</x:v>
      </x:c>
      <x:c r="V205" s="6" t="n">
        <x:v>1</x:v>
      </x:c>
      <x:c r="W205" s="6" t="n">
        <x:v>1</x:v>
      </x:c>
      <x:c r="X205" s="6" t="n">
        <x:v>1</x:v>
      </x:c>
      <x:c r="Y205" s="6" t="n">
        <x:v>0</x:v>
      </x:c>
      <x:c r="Z205" s="6" t="n">
        <x:v>0</x:v>
      </x:c>
      <x:c r="AA205" s="6" t="n">
        <x:v>3</x:v>
      </x:c>
      <x:c r="AB205" s="6" t="n">
        <x:v>11</x:v>
      </x:c>
      <x:c r="AC205" s="6" t="n">
        <x:v>1</x:v>
      </x:c>
    </x:row>
    <x:row r="206">
      <x:c r="A206" s="6" t="n">
        <x:v>1030</x:v>
      </x:c>
      <x:c r="B206" s="6" t="n">
        <x:v>1965</x:v>
      </x:c>
      <x:c r="C206" s="6" t="str">
        <x:v>PhD</x:v>
      </x:c>
      <x:c r="D206" s="6" t="str">
        <x:v>Single</x:v>
      </x:c>
      <x:c r="E206" s="6" t="n">
        <x:v>40637</x:v>
      </x:c>
      <x:c r="F206" s="6" t="n">
        <x:v>1</x:v>
      </x:c>
      <x:c r="G206" s="6" t="n">
        <x:v>1</x:v>
      </x:c>
      <x:c r="H206" s="9" t="str">
        <x:v>17-07-2013</x:v>
      </x:c>
      <x:c r="I206" s="6" t="n">
        <x:v>72</x:v>
      </x:c>
      <x:c r="J206" s="6" t="n">
        <x:v>22</x:v>
      </x:c>
      <x:c r="K206" s="6" t="n">
        <x:v>0</x:v>
      </x:c>
      <x:c r="L206" s="6" t="n">
        <x:v>13</x:v>
      </x:c>
      <x:c r="M206" s="6" t="n">
        <x:v>0</x:v>
      </x:c>
      <x:c r="N206" s="6" t="n">
        <x:v>0</x:v>
      </x:c>
      <x:c r="O206" s="6" t="n">
        <x:v>3</x:v>
      </x:c>
      <x:c r="P206" s="6" t="n">
        <x:v>2</x:v>
      </x:c>
      <x:c r="Q206" s="6" t="n">
        <x:v>1</x:v>
      </x:c>
      <x:c r="R206" s="6" t="n">
        <x:v>0</x:v>
      </x:c>
      <x:c r="S206" s="6" t="n">
        <x:v>3</x:v>
      </x:c>
      <x:c r="T206" s="6" t="n">
        <x:v>7</x:v>
      </x:c>
      <x:c r="U206" s="6" t="n">
        <x:v>0</x:v>
      </x:c>
      <x:c r="V206" s="6" t="n">
        <x:v>0</x:v>
      </x:c>
      <x:c r="W206" s="6" t="n">
        <x:v>0</x:v>
      </x:c>
      <x:c r="X206" s="6" t="n">
        <x:v>0</x:v>
      </x:c>
      <x:c r="Y206" s="6" t="n">
        <x:v>0</x:v>
      </x:c>
      <x:c r="Z206" s="6" t="n">
        <x:v>0</x:v>
      </x:c>
      <x:c r="AA206" s="6" t="n">
        <x:v>3</x:v>
      </x:c>
      <x:c r="AB206" s="6" t="n">
        <x:v>11</x:v>
      </x:c>
      <x:c r="AC206" s="6" t="n">
        <x:v>0</x:v>
      </x:c>
    </x:row>
    <x:row r="207">
      <x:c r="A207" s="6" t="n">
        <x:v>624</x:v>
      </x:c>
      <x:c r="B207" s="6" t="n">
        <x:v>1984</x:v>
      </x:c>
      <x:c r="C207" s="6" t="str">
        <x:v>Master</x:v>
      </x:c>
      <x:c r="D207" s="6" t="str">
        <x:v>Single</x:v>
      </x:c>
      <x:c r="E207" s="6" t="n">
        <x:v>18890</x:v>
      </x:c>
      <x:c r="F207" s="6" t="n">
        <x:v>0</x:v>
      </x:c>
      <x:c r="G207" s="6" t="n">
        <x:v>0</x:v>
      </x:c>
      <x:c r="H207" s="9" t="str">
        <x:v>10-11-2012</x:v>
      </x:c>
      <x:c r="I207" s="6" t="n">
        <x:v>5</x:v>
      </x:c>
      <x:c r="J207" s="6" t="n">
        <x:v>6</x:v>
      </x:c>
      <x:c r="K207" s="6" t="n">
        <x:v>4</x:v>
      </x:c>
      <x:c r="L207" s="6" t="n">
        <x:v>1</x:v>
      </x:c>
      <x:c r="M207" s="6" t="n">
        <x:v>7</x:v>
      </x:c>
      <x:c r="N207" s="6" t="n">
        <x:v>2</x:v>
      </x:c>
      <x:c r="O207" s="6" t="n">
        <x:v>15</x:v>
      </x:c>
      <x:c r="P207" s="6" t="n">
        <x:v>1</x:v>
      </x:c>
      <x:c r="Q207" s="6" t="n">
        <x:v>0</x:v>
      </x:c>
      <x:c r="R207" s="6" t="n">
        <x:v>1</x:v>
      </x:c>
      <x:c r="S207" s="6" t="n">
        <x:v>2</x:v>
      </x:c>
      <x:c r="T207" s="6" t="n">
        <x:v>6</x:v>
      </x:c>
      <x:c r="U207" s="6" t="n">
        <x:v>1</x:v>
      </x:c>
      <x:c r="V207" s="6" t="n">
        <x:v>0</x:v>
      </x:c>
      <x:c r="W207" s="6" t="n">
        <x:v>0</x:v>
      </x:c>
      <x:c r="X207" s="6" t="n">
        <x:v>0</x:v>
      </x:c>
      <x:c r="Y207" s="6" t="n">
        <x:v>0</x:v>
      </x:c>
      <x:c r="Z207" s="6" t="n">
        <x:v>0</x:v>
      </x:c>
      <x:c r="AA207" s="6" t="n">
        <x:v>3</x:v>
      </x:c>
      <x:c r="AB207" s="6" t="n">
        <x:v>11</x:v>
      </x:c>
      <x:c r="AC207" s="6" t="n">
        <x:v>1</x:v>
      </x:c>
    </x:row>
    <x:row r="208">
      <x:c r="A208" s="6" t="n">
        <x:v>5176</x:v>
      </x:c>
      <x:c r="B208" s="6" t="n">
        <x:v>1988</x:v>
      </x:c>
      <x:c r="C208" s="6" t="str">
        <x:v>Graduation</x:v>
      </x:c>
      <x:c r="D208" s="6" t="str">
        <x:v>Together</x:v>
      </x:c>
      <x:c r="E208" s="6" t="n">
        <x:v>29604</x:v>
      </x:c>
      <x:c r="F208" s="6" t="n">
        <x:v>1</x:v>
      </x:c>
      <x:c r="G208" s="6" t="n">
        <x:v>0</x:v>
      </x:c>
      <x:c r="H208" s="9" t="str">
        <x:v>08-12-2013</x:v>
      </x:c>
      <x:c r="I208" s="6" t="n">
        <x:v>88</x:v>
      </x:c>
      <x:c r="J208" s="6" t="n">
        <x:v>7</x:v>
      </x:c>
      <x:c r="K208" s="6" t="n">
        <x:v>6</x:v>
      </x:c>
      <x:c r="L208" s="6" t="n">
        <x:v>13</x:v>
      </x:c>
      <x:c r="M208" s="6" t="n">
        <x:v>7</x:v>
      </x:c>
      <x:c r="N208" s="6" t="n">
        <x:v>6</x:v>
      </x:c>
      <x:c r="O208" s="6" t="n">
        <x:v>14</x:v>
      </x:c>
      <x:c r="P208" s="6" t="n">
        <x:v>1</x:v>
      </x:c>
      <x:c r="Q208" s="6" t="n">
        <x:v>1</x:v>
      </x:c>
      <x:c r="R208" s="6" t="n">
        <x:v>0</x:v>
      </x:c>
      <x:c r="S208" s="6" t="n">
        <x:v>3</x:v>
      </x:c>
      <x:c r="T208" s="6" t="n">
        <x:v>9</x:v>
      </x:c>
      <x:c r="U208" s="6" t="n">
        <x:v>1</x:v>
      </x:c>
      <x:c r="V208" s="6" t="n">
        <x:v>0</x:v>
      </x:c>
      <x:c r="W208" s="6" t="n">
        <x:v>0</x:v>
      </x:c>
      <x:c r="X208" s="6" t="n">
        <x:v>0</x:v>
      </x:c>
      <x:c r="Y208" s="6" t="n">
        <x:v>0</x:v>
      </x:c>
      <x:c r="Z208" s="6" t="n">
        <x:v>0</x:v>
      </x:c>
      <x:c r="AA208" s="6" t="n">
        <x:v>3</x:v>
      </x:c>
      <x:c r="AB208" s="6" t="n">
        <x:v>11</x:v>
      </x:c>
      <x:c r="AC208" s="6" t="n">
        <x:v>0</x:v>
      </x:c>
    </x:row>
    <x:row r="209">
      <x:c r="A209" s="6" t="n">
        <x:v>5552</x:v>
      </x:c>
      <x:c r="B209" s="6" t="n">
        <x:v>1963</x:v>
      </x:c>
      <x:c r="C209" s="6" t="str">
        <x:v>Master</x:v>
      </x:c>
      <x:c r="D209" s="6" t="str">
        <x:v>Divorced</x:v>
      </x:c>
      <x:c r="E209" s="6" t="n">
        <x:v>48721</x:v>
      </x:c>
      <x:c r="F209" s="6" t="n">
        <x:v>1</x:v>
      </x:c>
      <x:c r="G209" s="6" t="n">
        <x:v>1</x:v>
      </x:c>
      <x:c r="H209" s="9" t="str">
        <x:v>13-05-2013</x:v>
      </x:c>
      <x:c r="I209" s="6" t="n">
        <x:v>50</x:v>
      </x:c>
      <x:c r="J209" s="6" t="n">
        <x:v>81</x:v>
      </x:c>
      <x:c r="K209" s="6" t="n">
        <x:v>18</x:v>
      </x:c>
      <x:c r="L209" s="6" t="n">
        <x:v>113</x:v>
      </x:c>
      <x:c r="M209" s="6" t="n">
        <x:v>47</x:v>
      </x:c>
      <x:c r="N209" s="6" t="n">
        <x:v>13</x:v>
      </x:c>
      <x:c r="O209" s="6" t="n">
        <x:v>21</x:v>
      </x:c>
      <x:c r="P209" s="6" t="n">
        <x:v>6</x:v>
      </x:c>
      <x:c r="Q209" s="6" t="n">
        <x:v>4</x:v>
      </x:c>
      <x:c r="R209" s="6" t="n">
        <x:v>2</x:v>
      </x:c>
      <x:c r="S209" s="6" t="n">
        <x:v>5</x:v>
      </x:c>
      <x:c r="T209" s="6" t="n">
        <x:v>6</x:v>
      </x:c>
      <x:c r="U209" s="6" t="n">
        <x:v>0</x:v>
      </x:c>
      <x:c r="V209" s="6" t="n">
        <x:v>0</x:v>
      </x:c>
      <x:c r="W209" s="6" t="n">
        <x:v>0</x:v>
      </x:c>
      <x:c r="X209" s="6" t="n">
        <x:v>0</x:v>
      </x:c>
      <x:c r="Y209" s="6" t="n">
        <x:v>0</x:v>
      </x:c>
      <x:c r="Z209" s="6" t="n">
        <x:v>0</x:v>
      </x:c>
      <x:c r="AA209" s="6" t="n">
        <x:v>3</x:v>
      </x:c>
      <x:c r="AB209" s="6" t="n">
        <x:v>11</x:v>
      </x:c>
      <x:c r="AC209" s="6" t="n">
        <x:v>0</x:v>
      </x:c>
    </x:row>
    <x:row r="210">
      <x:c r="A210" s="6" t="n">
        <x:v>868</x:v>
      </x:c>
      <x:c r="B210" s="6" t="n">
        <x:v>1966</x:v>
      </x:c>
      <x:c r="C210" s="6" t="str">
        <x:v>Graduation</x:v>
      </x:c>
      <x:c r="D210" s="6" t="str">
        <x:v>Married</x:v>
      </x:c>
      <x:c r="E210" s="6" t="n">
        <x:v>44794</x:v>
      </x:c>
      <x:c r="F210" s="6" t="n">
        <x:v>0</x:v>
      </x:c>
      <x:c r="G210" s="6" t="n">
        <x:v>1</x:v>
      </x:c>
      <x:c r="H210" s="9" t="str">
        <x:v>08-06-2014</x:v>
      </x:c>
      <x:c r="I210" s="6" t="n">
        <x:v>99</x:v>
      </x:c>
      <x:c r="J210" s="6" t="n">
        <x:v>54</x:v>
      </x:c>
      <x:c r="K210" s="6" t="n">
        <x:v>0</x:v>
      </x:c>
      <x:c r="L210" s="6" t="n">
        <x:v>7</x:v>
      </x:c>
      <x:c r="M210" s="6" t="n">
        <x:v>0</x:v>
      </x:c>
      <x:c r="N210" s="6" t="n">
        <x:v>0</x:v>
      </x:c>
      <x:c r="O210" s="6" t="n">
        <x:v>4</x:v>
      </x:c>
      <x:c r="P210" s="6" t="n">
        <x:v>1</x:v>
      </x:c>
      <x:c r="Q210" s="6" t="n">
        <x:v>2</x:v>
      </x:c>
      <x:c r="R210" s="6" t="n">
        <x:v>0</x:v>
      </x:c>
      <x:c r="S210" s="6" t="n">
        <x:v>3</x:v>
      </x:c>
      <x:c r="T210" s="6" t="n">
        <x:v>6</x:v>
      </x:c>
      <x:c r="U210" s="6" t="n">
        <x:v>0</x:v>
      </x:c>
      <x:c r="V210" s="6" t="n">
        <x:v>0</x:v>
      </x:c>
      <x:c r="W210" s="6" t="n">
        <x:v>0</x:v>
      </x:c>
      <x:c r="X210" s="6" t="n">
        <x:v>0</x:v>
      </x:c>
      <x:c r="Y210" s="6" t="n">
        <x:v>0</x:v>
      </x:c>
      <x:c r="Z210" s="6" t="n">
        <x:v>0</x:v>
      </x:c>
      <x:c r="AA210" s="6" t="n">
        <x:v>3</x:v>
      </x:c>
      <x:c r="AB210" s="6" t="n">
        <x:v>11</x:v>
      </x:c>
      <x:c r="AC210" s="6" t="n">
        <x:v>0</x:v>
      </x:c>
    </x:row>
    <x:row r="211">
      <x:c r="A211" s="6" t="n">
        <x:v>380</x:v>
      </x:c>
      <x:c r="B211" s="6" t="n">
        <x:v>1954</x:v>
      </x:c>
      <x:c r="C211" s="6" t="str">
        <x:v>Graduation</x:v>
      </x:c>
      <x:c r="D211" s="6" t="str">
        <x:v>Divorced</x:v>
      </x:c>
      <x:c r="E211" s="6" t="n">
        <x:v>64497</x:v>
      </x:c>
      <x:c r="F211" s="6" t="n">
        <x:v>0</x:v>
      </x:c>
      <x:c r="G211" s="6" t="n">
        <x:v>1</x:v>
      </x:c>
      <x:c r="H211" s="9" t="str">
        <x:v>10-09-2012</x:v>
      </x:c>
      <x:c r="I211" s="6" t="n">
        <x:v>17</x:v>
      </x:c>
      <x:c r="J211" s="6" t="n">
        <x:v>1170</x:v>
      </x:c>
      <x:c r="K211" s="6" t="n">
        <x:v>48</x:v>
      </x:c>
      <x:c r="L211" s="6" t="n">
        <x:v>320</x:v>
      </x:c>
      <x:c r="M211" s="6" t="n">
        <x:v>42</x:v>
      </x:c>
      <x:c r="N211" s="6" t="n">
        <x:v>32</x:v>
      </x:c>
      <x:c r="O211" s="6" t="n">
        <x:v>192</x:v>
      </x:c>
      <x:c r="P211" s="6" t="n">
        <x:v>5</x:v>
      </x:c>
      <x:c r="Q211" s="6" t="n">
        <x:v>11</x:v>
      </x:c>
      <x:c r="R211" s="6" t="n">
        <x:v>4</x:v>
      </x:c>
      <x:c r="S211" s="6" t="n">
        <x:v>9</x:v>
      </x:c>
      <x:c r="T211" s="6" t="n">
        <x:v>8</x:v>
      </x:c>
      <x:c r="U211" s="6" t="n">
        <x:v>1</x:v>
      </x:c>
      <x:c r="V211" s="6" t="n">
        <x:v>0</x:v>
      </x:c>
      <x:c r="W211" s="6" t="n">
        <x:v>0</x:v>
      </x:c>
      <x:c r="X211" s="6" t="n">
        <x:v>0</x:v>
      </x:c>
      <x:c r="Y211" s="6" t="n">
        <x:v>0</x:v>
      </x:c>
      <x:c r="Z211" s="6" t="n">
        <x:v>0</x:v>
      </x:c>
      <x:c r="AA211" s="6" t="n">
        <x:v>3</x:v>
      </x:c>
      <x:c r="AB211" s="6" t="n">
        <x:v>11</x:v>
      </x:c>
      <x:c r="AC211" s="6" t="n">
        <x:v>1</x:v>
      </x:c>
    </x:row>
    <x:row r="212">
      <x:c r="A212" s="6" t="n">
        <x:v>2677</x:v>
      </x:c>
      <x:c r="B212" s="6" t="n">
        <x:v>1956</x:v>
      </x:c>
      <x:c r="C212" s="6" t="str">
        <x:v>Graduation</x:v>
      </x:c>
      <x:c r="D212" s="6" t="str">
        <x:v>Together</x:v>
      </x:c>
      <x:c r="E212" s="6" t="n">
        <x:v>46097</x:v>
      </x:c>
      <x:c r="F212" s="6" t="n">
        <x:v>0</x:v>
      </x:c>
      <x:c r="G212" s="6" t="n">
        <x:v>1</x:v>
      </x:c>
      <x:c r="H212" s="9" t="str">
        <x:v>31-03-2013</x:v>
      </x:c>
      <x:c r="I212" s="6" t="n">
        <x:v>11</x:v>
      </x:c>
      <x:c r="J212" s="6" t="n">
        <x:v>72</x:v>
      </x:c>
      <x:c r="K212" s="6" t="n">
        <x:v>24</x:v>
      </x:c>
      <x:c r="L212" s="6" t="n">
        <x:v>68</x:v>
      </x:c>
      <x:c r="M212" s="6" t="n">
        <x:v>65</x:v>
      </x:c>
      <x:c r="N212" s="6" t="n">
        <x:v>4</x:v>
      </x:c>
      <x:c r="O212" s="6" t="n">
        <x:v>8</x:v>
      </x:c>
      <x:c r="P212" s="6" t="n">
        <x:v>5</x:v>
      </x:c>
      <x:c r="Q212" s="6" t="n">
        <x:v>3</x:v>
      </x:c>
      <x:c r="R212" s="6" t="n">
        <x:v>1</x:v>
      </x:c>
      <x:c r="S212" s="6" t="n">
        <x:v>6</x:v>
      </x:c>
      <x:c r="T212" s="6" t="n">
        <x:v>4</x:v>
      </x:c>
      <x:c r="U212" s="6" t="n">
        <x:v>0</x:v>
      </x:c>
      <x:c r="V212" s="6" t="n">
        <x:v>0</x:v>
      </x:c>
      <x:c r="W212" s="6" t="n">
        <x:v>0</x:v>
      </x:c>
      <x:c r="X212" s="6" t="n">
        <x:v>0</x:v>
      </x:c>
      <x:c r="Y212" s="6" t="n">
        <x:v>0</x:v>
      </x:c>
      <x:c r="Z212" s="6" t="n">
        <x:v>0</x:v>
      </x:c>
      <x:c r="AA212" s="6" t="n">
        <x:v>3</x:v>
      </x:c>
      <x:c r="AB212" s="6" t="n">
        <x:v>11</x:v>
      </x:c>
      <x:c r="AC212" s="6" t="n">
        <x:v>0</x:v>
      </x:c>
    </x:row>
    <x:row r="213">
      <x:c r="A213" s="6" t="n">
        <x:v>6521</x:v>
      </x:c>
      <x:c r="B213" s="6" t="n">
        <x:v>1954</x:v>
      </x:c>
      <x:c r="C213" s="6" t="str">
        <x:v>Graduation</x:v>
      </x:c>
      <x:c r="D213" s="6" t="str">
        <x:v>Together</x:v>
      </x:c>
      <x:c r="E213" s="6" t="n">
        <x:v>77972</x:v>
      </x:c>
      <x:c r="F213" s="6" t="n">
        <x:v>0</x:v>
      </x:c>
      <x:c r="G213" s="6" t="n">
        <x:v>0</x:v>
      </x:c>
      <x:c r="H213" s="9" t="str">
        <x:v>18-03-2014</x:v>
      </x:c>
      <x:c r="I213" s="6" t="n">
        <x:v>18</x:v>
      </x:c>
      <x:c r="J213" s="6" t="n">
        <x:v>613</x:v>
      </x:c>
      <x:c r="K213" s="6" t="n">
        <x:v>22</x:v>
      </x:c>
      <x:c r="L213" s="6" t="n">
        <x:v>319</x:v>
      </x:c>
      <x:c r="M213" s="6" t="n">
        <x:v>33</x:v>
      </x:c>
      <x:c r="N213" s="6" t="n">
        <x:v>102</x:v>
      </x:c>
      <x:c r="O213" s="6" t="n">
        <x:v>12</x:v>
      </x:c>
      <x:c r="P213" s="6" t="n">
        <x:v>1</x:v>
      </x:c>
      <x:c r="Q213" s="6" t="n">
        <x:v>4</x:v>
      </x:c>
      <x:c r="R213" s="6" t="n">
        <x:v>6</x:v>
      </x:c>
      <x:c r="S213" s="6" t="n">
        <x:v>9</x:v>
      </x:c>
      <x:c r="T213" s="6" t="n">
        <x:v>1</x:v>
      </x:c>
      <x:c r="U213" s="6" t="n">
        <x:v>0</x:v>
      </x:c>
      <x:c r="V213" s="6" t="n">
        <x:v>0</x:v>
      </x:c>
      <x:c r="W213" s="6" t="n">
        <x:v>0</x:v>
      </x:c>
      <x:c r="X213" s="6" t="n">
        <x:v>0</x:v>
      </x:c>
      <x:c r="Y213" s="6" t="n">
        <x:v>0</x:v>
      </x:c>
      <x:c r="Z213" s="6" t="n">
        <x:v>0</x:v>
      </x:c>
      <x:c r="AA213" s="6" t="n">
        <x:v>3</x:v>
      </x:c>
      <x:c r="AB213" s="6" t="n">
        <x:v>11</x:v>
      </x:c>
      <x:c r="AC213" s="6" t="n">
        <x:v>0</x:v>
      </x:c>
    </x:row>
    <x:row r="214">
      <x:c r="A214" s="6" t="n">
        <x:v>6927</x:v>
      </x:c>
      <x:c r="B214" s="6" t="n">
        <x:v>1968</x:v>
      </x:c>
      <x:c r="C214" s="6" t="str">
        <x:v>PhD</x:v>
      </x:c>
      <x:c r="D214" s="6" t="str">
        <x:v>Married</x:v>
      </x:c>
      <x:c r="E214" s="6" t="n">
        <x:v>44377</x:v>
      </x:c>
      <x:c r="F214" s="6" t="n">
        <x:v>1</x:v>
      </x:c>
      <x:c r="G214" s="6" t="n">
        <x:v>1</x:v>
      </x:c>
      <x:c r="H214" s="9" t="str">
        <x:v>05-10-2012</x:v>
      </x:c>
      <x:c r="I214" s="6" t="n">
        <x:v>70</x:v>
      </x:c>
      <x:c r="J214" s="6" t="n">
        <x:v>224</x:v>
      </x:c>
      <x:c r="K214" s="6" t="n">
        <x:v>0</x:v>
      </x:c>
      <x:c r="L214" s="6" t="n">
        <x:v>30</x:v>
      </x:c>
      <x:c r="M214" s="6" t="n">
        <x:v>0</x:v>
      </x:c>
      <x:c r="N214" s="6" t="n">
        <x:v>0</x:v>
      </x:c>
      <x:c r="O214" s="6" t="n">
        <x:v>10</x:v>
      </x:c>
      <x:c r="P214" s="6" t="n">
        <x:v>8</x:v>
      </x:c>
      <x:c r="Q214" s="6" t="n">
        <x:v>5</x:v>
      </x:c>
      <x:c r="R214" s="6" t="n">
        <x:v>1</x:v>
      </x:c>
      <x:c r="S214" s="6" t="n">
        <x:v>5</x:v>
      </x:c>
      <x:c r="T214" s="6" t="n">
        <x:v>8</x:v>
      </x:c>
      <x:c r="U214" s="6" t="n">
        <x:v>0</x:v>
      </x:c>
      <x:c r="V214" s="6" t="n">
        <x:v>0</x:v>
      </x:c>
      <x:c r="W214" s="6" t="n">
        <x:v>0</x:v>
      </x:c>
      <x:c r="X214" s="6" t="n">
        <x:v>0</x:v>
      </x:c>
      <x:c r="Y214" s="6" t="n">
        <x:v>0</x:v>
      </x:c>
      <x:c r="Z214" s="6" t="n">
        <x:v>0</x:v>
      </x:c>
      <x:c r="AA214" s="6" t="n">
        <x:v>3</x:v>
      </x:c>
      <x:c r="AB214" s="6" t="n">
        <x:v>11</x:v>
      </x:c>
      <x:c r="AC214" s="6" t="n">
        <x:v>0</x:v>
      </x:c>
    </x:row>
    <x:row r="215">
      <x:c r="A215" s="6" t="n">
        <x:v>2877</x:v>
      </x:c>
      <x:c r="B215" s="6" t="n">
        <x:v>1974</x:v>
      </x:c>
      <x:c r="C215" s="6" t="str">
        <x:v>Master</x:v>
      </x:c>
      <x:c r="D215" s="6" t="str">
        <x:v>Together</x:v>
      </x:c>
      <x:c r="E215" s="6" t="n">
        <x:v>46014</x:v>
      </x:c>
      <x:c r="F215" s="6" t="n">
        <x:v>1</x:v>
      </x:c>
      <x:c r="G215" s="6" t="n">
        <x:v>1</x:v>
      </x:c>
      <x:c r="H215" s="9" t="str">
        <x:v>21-01-2013</x:v>
      </x:c>
      <x:c r="I215" s="6" t="n">
        <x:v>21</x:v>
      </x:c>
      <x:c r="J215" s="6" t="n">
        <x:v>410</x:v>
      </x:c>
      <x:c r="K215" s="6" t="n">
        <x:v>0</x:v>
      </x:c>
      <x:c r="L215" s="6" t="n">
        <x:v>59</x:v>
      </x:c>
      <x:c r="M215" s="6" t="n">
        <x:v>19</x:v>
      </x:c>
      <x:c r="N215" s="6" t="n">
        <x:v>9</x:v>
      </x:c>
      <x:c r="O215" s="6" t="n">
        <x:v>44</x:v>
      </x:c>
      <x:c r="P215" s="6" t="n">
        <x:v>10</x:v>
      </x:c>
      <x:c r="Q215" s="6" t="n">
        <x:v>7</x:v>
      </x:c>
      <x:c r="R215" s="6" t="n">
        <x:v>1</x:v>
      </x:c>
      <x:c r="S215" s="6" t="n">
        <x:v>8</x:v>
      </x:c>
      <x:c r="T215" s="6" t="n">
        <x:v>7</x:v>
      </x:c>
      <x:c r="U215" s="6" t="n">
        <x:v>0</x:v>
      </x:c>
      <x:c r="V215" s="6" t="n">
        <x:v>0</x:v>
      </x:c>
      <x:c r="W215" s="6" t="n">
        <x:v>0</x:v>
      </x:c>
      <x:c r="X215" s="6" t="n">
        <x:v>0</x:v>
      </x:c>
      <x:c r="Y215" s="6" t="n">
        <x:v>0</x:v>
      </x:c>
      <x:c r="Z215" s="6" t="n">
        <x:v>0</x:v>
      </x:c>
      <x:c r="AA215" s="6" t="n">
        <x:v>3</x:v>
      </x:c>
      <x:c r="AB215" s="6" t="n">
        <x:v>11</x:v>
      </x:c>
      <x:c r="AC215" s="6" t="n">
        <x:v>0</x:v>
      </x:c>
    </x:row>
    <x:row r="216">
      <x:c r="A216" s="6" t="n">
        <x:v>0</x:v>
      </x:c>
      <x:c r="B216" s="6" t="n">
        <x:v>1985</x:v>
      </x:c>
      <x:c r="C216" s="6" t="str">
        <x:v>Graduation</x:v>
      </x:c>
      <x:c r="D216" s="6" t="str">
        <x:v>Married</x:v>
      </x:c>
      <x:c r="E216" s="6" t="n">
        <x:v>70951</x:v>
      </x:c>
      <x:c r="F216" s="6" t="n">
        <x:v>0</x:v>
      </x:c>
      <x:c r="G216" s="6" t="n">
        <x:v>0</x:v>
      </x:c>
      <x:c r="H216" s="9" t="str">
        <x:v>04-05-2013</x:v>
      </x:c>
      <x:c r="I216" s="6" t="n">
        <x:v>66</x:v>
      </x:c>
      <x:c r="J216" s="6" t="n">
        <x:v>239</x:v>
      </x:c>
      <x:c r="K216" s="6" t="n">
        <x:v>10</x:v>
      </x:c>
      <x:c r="L216" s="6" t="n">
        <x:v>554</x:v>
      </x:c>
      <x:c r="M216" s="6" t="n">
        <x:v>254</x:v>
      </x:c>
      <x:c r="N216" s="6" t="n">
        <x:v>87</x:v>
      </x:c>
      <x:c r="O216" s="6" t="n">
        <x:v>54</x:v>
      </x:c>
      <x:c r="P216" s="6" t="n">
        <x:v>1</x:v>
      </x:c>
      <x:c r="Q216" s="6" t="n">
        <x:v>3</x:v>
      </x:c>
      <x:c r="R216" s="6" t="n">
        <x:v>4</x:v>
      </x:c>
      <x:c r="S216" s="6" t="n">
        <x:v>9</x:v>
      </x:c>
      <x:c r="T216" s="6" t="n">
        <x:v>1</x:v>
      </x:c>
      <x:c r="U216" s="6" t="n">
        <x:v>0</x:v>
      </x:c>
      <x:c r="V216" s="6" t="n">
        <x:v>0</x:v>
      </x:c>
      <x:c r="W216" s="6" t="n">
        <x:v>0</x:v>
      </x:c>
      <x:c r="X216" s="6" t="n">
        <x:v>0</x:v>
      </x:c>
      <x:c r="Y216" s="6" t="n">
        <x:v>0</x:v>
      </x:c>
      <x:c r="Z216" s="6" t="n">
        <x:v>0</x:v>
      </x:c>
      <x:c r="AA216" s="6" t="n">
        <x:v>3</x:v>
      </x:c>
      <x:c r="AB216" s="6" t="n">
        <x:v>11</x:v>
      </x:c>
      <x:c r="AC216" s="6" t="n">
        <x:v>0</x:v>
      </x:c>
    </x:row>
    <x:row r="217">
      <x:c r="A217" s="6" t="n">
        <x:v>1584</x:v>
      </x:c>
      <x:c r="B217" s="6" t="n">
        <x:v>1977</x:v>
      </x:c>
      <x:c r="C217" s="6" t="str">
        <x:v>Graduation</x:v>
      </x:c>
      <x:c r="D217" s="6" t="str">
        <x:v>Married</x:v>
      </x:c>
      <x:c r="E217" s="6" t="n">
        <x:v>41443</x:v>
      </x:c>
      <x:c r="F217" s="6" t="n">
        <x:v>1</x:v>
      </x:c>
      <x:c r="G217" s="6" t="n">
        <x:v>0</x:v>
      </x:c>
      <x:c r="H217" s="9" t="str">
        <x:v>01-04-2014</x:v>
      </x:c>
      <x:c r="I217" s="6" t="n">
        <x:v>79</x:v>
      </x:c>
      <x:c r="J217" s="6" t="n">
        <x:v>171</x:v>
      </x:c>
      <x:c r="K217" s="6" t="n">
        <x:v>7</x:v>
      </x:c>
      <x:c r="L217" s="6" t="n">
        <x:v>171</x:v>
      </x:c>
      <x:c r="M217" s="6" t="n">
        <x:v>25</x:v>
      </x:c>
      <x:c r="N217" s="6" t="n">
        <x:v>19</x:v>
      </x:c>
      <x:c r="O217" s="6" t="n">
        <x:v>89</x:v>
      </x:c>
      <x:c r="P217" s="6" t="n">
        <x:v>6</x:v>
      </x:c>
      <x:c r="Q217" s="6" t="n">
        <x:v>8</x:v>
      </x:c>
      <x:c r="R217" s="6" t="n">
        <x:v>1</x:v>
      </x:c>
      <x:c r="S217" s="6" t="n">
        <x:v>5</x:v>
      </x:c>
      <x:c r="T217" s="6" t="n">
        <x:v>8</x:v>
      </x:c>
      <x:c r="U217" s="6" t="n">
        <x:v>0</x:v>
      </x:c>
      <x:c r="V217" s="6" t="n">
        <x:v>0</x:v>
      </x:c>
      <x:c r="W217" s="6" t="n">
        <x:v>0</x:v>
      </x:c>
      <x:c r="X217" s="6" t="n">
        <x:v>0</x:v>
      </x:c>
      <x:c r="Y217" s="6" t="n">
        <x:v>0</x:v>
      </x:c>
      <x:c r="Z217" s="6" t="n">
        <x:v>0</x:v>
      </x:c>
      <x:c r="AA217" s="6" t="n">
        <x:v>3</x:v>
      </x:c>
      <x:c r="AB217" s="6" t="n">
        <x:v>11</x:v>
      </x:c>
      <x:c r="AC217" s="6" t="n">
        <x:v>0</x:v>
      </x:c>
    </x:row>
    <x:row r="218">
      <x:c r="A218" s="6" t="n">
        <x:v>7264</x:v>
      </x:c>
      <x:c r="B218" s="6" t="n">
        <x:v>1978</x:v>
      </x:c>
      <x:c r="C218" s="6" t="str">
        <x:v>2n Cycle</x:v>
      </x:c>
      <x:c r="D218" s="6" t="str">
        <x:v>Single</x:v>
      </x:c>
      <x:c r="E218" s="6" t="n">
        <x:v>52195</x:v>
      </x:c>
      <x:c r="F218" s="6" t="n">
        <x:v>2</x:v>
      </x:c>
      <x:c r="G218" s="6" t="n">
        <x:v>1</x:v>
      </x:c>
      <x:c r="H218" s="9" t="str">
        <x:v>12-05-2014</x:v>
      </x:c>
      <x:c r="I218" s="6" t="n">
        <x:v>2</x:v>
      </x:c>
      <x:c r="J218" s="6" t="n">
        <x:v>12</x:v>
      </x:c>
      <x:c r="K218" s="6" t="n">
        <x:v>0</x:v>
      </x:c>
      <x:c r="L218" s="6" t="n">
        <x:v>4</x:v>
      </x:c>
      <x:c r="M218" s="6" t="n">
        <x:v>0</x:v>
      </x:c>
      <x:c r="N218" s="6" t="n">
        <x:v>0</x:v>
      </x:c>
      <x:c r="O218" s="6" t="n">
        <x:v>1</x:v>
      </x:c>
      <x:c r="P218" s="6" t="n">
        <x:v>1</x:v>
      </x:c>
      <x:c r="Q218" s="6" t="n">
        <x:v>1</x:v>
      </x:c>
      <x:c r="R218" s="6" t="n">
        <x:v>0</x:v>
      </x:c>
      <x:c r="S218" s="6" t="n">
        <x:v>2</x:v>
      </x:c>
      <x:c r="T218" s="6" t="n">
        <x:v>8</x:v>
      </x:c>
      <x:c r="U218" s="6" t="n">
        <x:v>0</x:v>
      </x:c>
      <x:c r="V218" s="6" t="n">
        <x:v>0</x:v>
      </x:c>
      <x:c r="W218" s="6" t="n">
        <x:v>0</x:v>
      </x:c>
      <x:c r="X218" s="6" t="n">
        <x:v>0</x:v>
      </x:c>
      <x:c r="Y218" s="6" t="n">
        <x:v>0</x:v>
      </x:c>
      <x:c r="Z218" s="6" t="n">
        <x:v>0</x:v>
      </x:c>
      <x:c r="AA218" s="6" t="n">
        <x:v>3</x:v>
      </x:c>
      <x:c r="AB218" s="6" t="n">
        <x:v>11</x:v>
      </x:c>
      <x:c r="AC218" s="6" t="n">
        <x:v>0</x:v>
      </x:c>
    </x:row>
    <x:row r="219">
      <x:c r="A219" s="6" t="n">
        <x:v>6274</x:v>
      </x:c>
      <x:c r="B219" s="6" t="n">
        <x:v>1948</x:v>
      </x:c>
      <x:c r="C219" s="6" t="str">
        <x:v>Master</x:v>
      </x:c>
      <x:c r="D219" s="6" t="str">
        <x:v>Married</x:v>
      </x:c>
      <x:c r="E219" s="6" t="n">
        <x:v>83790</x:v>
      </x:c>
      <x:c r="F219" s="6" t="n">
        <x:v>0</x:v>
      </x:c>
      <x:c r="G219" s="6" t="n">
        <x:v>0</x:v>
      </x:c>
      <x:c r="H219" s="9" t="str">
        <x:v>15-11-2013</x:v>
      </x:c>
      <x:c r="I219" s="6" t="n">
        <x:v>81</x:v>
      </x:c>
      <x:c r="J219" s="6" t="n">
        <x:v>1076</x:v>
      </x:c>
      <x:c r="K219" s="6" t="n">
        <x:v>16</x:v>
      </x:c>
      <x:c r="L219" s="6" t="n">
        <x:v>417</x:v>
      </x:c>
      <x:c r="M219" s="6" t="n">
        <x:v>42</x:v>
      </x:c>
      <x:c r="N219" s="6" t="n">
        <x:v>48</x:v>
      </x:c>
      <x:c r="O219" s="6" t="n">
        <x:v>16</x:v>
      </x:c>
      <x:c r="P219" s="6" t="n">
        <x:v>1</x:v>
      </x:c>
      <x:c r="Q219" s="6" t="n">
        <x:v>8</x:v>
      </x:c>
      <x:c r="R219" s="6" t="n">
        <x:v>10</x:v>
      </x:c>
      <x:c r="S219" s="6" t="n">
        <x:v>6</x:v>
      </x:c>
      <x:c r="T219" s="6" t="n">
        <x:v>3</x:v>
      </x:c>
      <x:c r="U219" s="6" t="n">
        <x:v>0</x:v>
      </x:c>
      <x:c r="V219" s="6" t="n">
        <x:v>1</x:v>
      </x:c>
      <x:c r="W219" s="6" t="n">
        <x:v>1</x:v>
      </x:c>
      <x:c r="X219" s="6" t="n">
        <x:v>0</x:v>
      </x:c>
      <x:c r="Y219" s="6" t="n">
        <x:v>0</x:v>
      </x:c>
      <x:c r="Z219" s="6" t="n">
        <x:v>0</x:v>
      </x:c>
      <x:c r="AA219" s="6" t="n">
        <x:v>3</x:v>
      </x:c>
      <x:c r="AB219" s="6" t="n">
        <x:v>11</x:v>
      </x:c>
      <x:c r="AC219" s="6" t="n">
        <x:v>0</x:v>
      </x:c>
    </x:row>
    <x:row r="220">
      <x:c r="A220" s="6" t="n">
        <x:v>1377</x:v>
      </x:c>
      <x:c r="B220" s="6" t="n">
        <x:v>1954</x:v>
      </x:c>
      <x:c r="C220" s="6" t="str">
        <x:v>Master</x:v>
      </x:c>
      <x:c r="D220" s="6" t="str">
        <x:v>Widow</x:v>
      </x:c>
      <x:c r="E220" s="6" t="n">
        <x:v>44551</x:v>
      </x:c>
      <x:c r="F220" s="6" t="n">
        <x:v>0</x:v>
      </x:c>
      <x:c r="G220" s="6" t="n">
        <x:v>1</x:v>
      </x:c>
      <x:c r="H220" s="9" t="str">
        <x:v>31-08-2013</x:v>
      </x:c>
      <x:c r="I220" s="6" t="n">
        <x:v>24</x:v>
      </x:c>
      <x:c r="J220" s="6" t="n">
        <x:v>182</x:v>
      </x:c>
      <x:c r="K220" s="6" t="n">
        <x:v>4</x:v>
      </x:c>
      <x:c r="L220" s="6" t="n">
        <x:v>33</x:v>
      </x:c>
      <x:c r="M220" s="6" t="n">
        <x:v>0</x:v>
      </x:c>
      <x:c r="N220" s="6" t="n">
        <x:v>0</x:v>
      </x:c>
      <x:c r="O220" s="6" t="n">
        <x:v>66</x:v>
      </x:c>
      <x:c r="P220" s="6" t="n">
        <x:v>2</x:v>
      </x:c>
      <x:c r="Q220" s="6" t="n">
        <x:v>4</x:v>
      </x:c>
      <x:c r="R220" s="6" t="n">
        <x:v>1</x:v>
      </x:c>
      <x:c r="S220" s="6" t="n">
        <x:v>5</x:v>
      </x:c>
      <x:c r="T220" s="6" t="n">
        <x:v>7</x:v>
      </x:c>
      <x:c r="U220" s="6" t="n">
        <x:v>0</x:v>
      </x:c>
      <x:c r="V220" s="6" t="n">
        <x:v>0</x:v>
      </x:c>
      <x:c r="W220" s="6" t="n">
        <x:v>0</x:v>
      </x:c>
      <x:c r="X220" s="6" t="n">
        <x:v>0</x:v>
      </x:c>
      <x:c r="Y220" s="6" t="n">
        <x:v>0</x:v>
      </x:c>
      <x:c r="Z220" s="6" t="n">
        <x:v>0</x:v>
      </x:c>
      <x:c r="AA220" s="6" t="n">
        <x:v>3</x:v>
      </x:c>
      <x:c r="AB220" s="6" t="n">
        <x:v>11</x:v>
      </x:c>
      <x:c r="AC220" s="6" t="n">
        <x:v>0</x:v>
      </x:c>
    </x:row>
    <x:row r="221">
      <x:c r="A221" s="6" t="n">
        <x:v>454</x:v>
      </x:c>
      <x:c r="B221" s="6" t="n">
        <x:v>1980</x:v>
      </x:c>
      <x:c r="C221" s="6" t="str">
        <x:v>Graduation</x:v>
      </x:c>
      <x:c r="D221" s="6" t="str">
        <x:v>Together</x:v>
      </x:c>
      <x:c r="E221" s="6" t="n">
        <x:v>69508</x:v>
      </x:c>
      <x:c r="F221" s="6" t="n">
        <x:v>1</x:v>
      </x:c>
      <x:c r="G221" s="6" t="n">
        <x:v>0</x:v>
      </x:c>
      <x:c r="H221" s="9" t="str">
        <x:v>14-11-2012</x:v>
      </x:c>
      <x:c r="I221" s="6" t="n">
        <x:v>48</x:v>
      </x:c>
      <x:c r="J221" s="6" t="n">
        <x:v>824</x:v>
      </x:c>
      <x:c r="K221" s="6" t="n">
        <x:v>32</x:v>
      </x:c>
      <x:c r="L221" s="6" t="n">
        <x:v>162</x:v>
      </x:c>
      <x:c r="M221" s="6" t="n">
        <x:v>42</x:v>
      </x:c>
      <x:c r="N221" s="6" t="n">
        <x:v>32</x:v>
      </x:c>
      <x:c r="O221" s="6" t="n">
        <x:v>43</x:v>
      </x:c>
      <x:c r="P221" s="6" t="n">
        <x:v>2</x:v>
      </x:c>
      <x:c r="Q221" s="6" t="n">
        <x:v>11</x:v>
      </x:c>
      <x:c r="R221" s="6" t="n">
        <x:v>4</x:v>
      </x:c>
      <x:c r="S221" s="6" t="n">
        <x:v>11</x:v>
      </x:c>
      <x:c r="T221" s="6" t="n">
        <x:v>6</x:v>
      </x:c>
      <x:c r="U221" s="6" t="n">
        <x:v>0</x:v>
      </x:c>
      <x:c r="V221" s="6" t="n">
        <x:v>0</x:v>
      </x:c>
      <x:c r="W221" s="6" t="n">
        <x:v>0</x:v>
      </x:c>
      <x:c r="X221" s="6" t="n">
        <x:v>0</x:v>
      </x:c>
      <x:c r="Y221" s="6" t="n">
        <x:v>0</x:v>
      </x:c>
      <x:c r="Z221" s="6" t="n">
        <x:v>0</x:v>
      </x:c>
      <x:c r="AA221" s="6" t="n">
        <x:v>3</x:v>
      </x:c>
      <x:c r="AB221" s="6" t="n">
        <x:v>11</x:v>
      </x:c>
      <x:c r="AC221" s="6" t="n">
        <x:v>0</x:v>
      </x:c>
    </x:row>
    <x:row r="222">
      <x:c r="A222" s="6" t="n">
        <x:v>1755</x:v>
      </x:c>
      <x:c r="B222" s="6" t="n">
        <x:v>1988</x:v>
      </x:c>
      <x:c r="C222" s="6" t="str">
        <x:v>2n Cycle</x:v>
      </x:c>
      <x:c r="D222" s="6" t="str">
        <x:v>Together</x:v>
      </x:c>
      <x:c r="E222" s="6" t="n">
        <x:v>45204</x:v>
      </x:c>
      <x:c r="F222" s="6" t="n">
        <x:v>1</x:v>
      </x:c>
      <x:c r="G222" s="6" t="n">
        <x:v>0</x:v>
      </x:c>
      <x:c r="H222" s="9" t="str">
        <x:v>11-04-2014</x:v>
      </x:c>
      <x:c r="I222" s="6" t="n">
        <x:v>93</x:v>
      </x:c>
      <x:c r="J222" s="6" t="n">
        <x:v>30</x:v>
      </x:c>
      <x:c r="K222" s="6" t="n">
        <x:v>11</x:v>
      </x:c>
      <x:c r="L222" s="6" t="n">
        <x:v>25</x:v>
      </x:c>
      <x:c r="M222" s="6" t="n">
        <x:v>29</x:v>
      </x:c>
      <x:c r="N222" s="6" t="n">
        <x:v>1</x:v>
      </x:c>
      <x:c r="O222" s="6" t="n">
        <x:v>18</x:v>
      </x:c>
      <x:c r="P222" s="6" t="n">
        <x:v>1</x:v>
      </x:c>
      <x:c r="Q222" s="6" t="n">
        <x:v>1</x:v>
      </x:c>
      <x:c r="R222" s="6" t="n">
        <x:v>1</x:v>
      </x:c>
      <x:c r="S222" s="6" t="n">
        <x:v>4</x:v>
      </x:c>
      <x:c r="T222" s="6" t="n">
        <x:v>3</x:v>
      </x:c>
      <x:c r="U222" s="6" t="n">
        <x:v>0</x:v>
      </x:c>
      <x:c r="V222" s="6" t="n">
        <x:v>0</x:v>
      </x:c>
      <x:c r="W222" s="6" t="n">
        <x:v>0</x:v>
      </x:c>
      <x:c r="X222" s="6" t="n">
        <x:v>0</x:v>
      </x:c>
      <x:c r="Y222" s="6" t="n">
        <x:v>0</x:v>
      </x:c>
      <x:c r="Z222" s="6" t="n">
        <x:v>0</x:v>
      </x:c>
      <x:c r="AA222" s="6" t="n">
        <x:v>3</x:v>
      </x:c>
      <x:c r="AB222" s="6" t="n">
        <x:v>11</x:v>
      </x:c>
      <x:c r="AC222" s="6" t="n">
        <x:v>0</x:v>
      </x:c>
    </x:row>
    <x:row r="223">
      <x:c r="A223" s="6" t="n">
        <x:v>2075</x:v>
      </x:c>
      <x:c r="B223" s="6" t="n">
        <x:v>1969</x:v>
      </x:c>
      <x:c r="C223" s="6" t="str">
        <x:v>Graduation</x:v>
      </x:c>
      <x:c r="D223" s="6" t="str">
        <x:v>Married</x:v>
      </x:c>
      <x:c r="E223" s="6" t="n">
        <x:v>72460</x:v>
      </x:c>
      <x:c r="F223" s="6" t="n">
        <x:v>0</x:v>
      </x:c>
      <x:c r="G223" s="6" t="n">
        <x:v>0</x:v>
      </x:c>
      <x:c r="H223" s="9" t="str">
        <x:v>14-11-2013</x:v>
      </x:c>
      <x:c r="I223" s="6" t="n">
        <x:v>56</x:v>
      </x:c>
      <x:c r="J223" s="6" t="n">
        <x:v>377</x:v>
      </x:c>
      <x:c r="K223" s="6" t="n">
        <x:v>10</x:v>
      </x:c>
      <x:c r="L223" s="6" t="n">
        <x:v>540</x:v>
      </x:c>
      <x:c r="M223" s="6" t="n">
        <x:v>80</x:v>
      </x:c>
      <x:c r="N223" s="6" t="n">
        <x:v>30</x:v>
      </x:c>
      <x:c r="O223" s="6" t="n">
        <x:v>10</x:v>
      </x:c>
      <x:c r="P223" s="6" t="n">
        <x:v>1</x:v>
      </x:c>
      <x:c r="Q223" s="6" t="n">
        <x:v>3</x:v>
      </x:c>
      <x:c r="R223" s="6" t="n">
        <x:v>5</x:v>
      </x:c>
      <x:c r="S223" s="6" t="n">
        <x:v>7</x:v>
      </x:c>
      <x:c r="T223" s="6" t="n">
        <x:v>1</x:v>
      </x:c>
      <x:c r="U223" s="6" t="n">
        <x:v>0</x:v>
      </x:c>
      <x:c r="V223" s="6" t="n">
        <x:v>0</x:v>
      </x:c>
      <x:c r="W223" s="6" t="n">
        <x:v>0</x:v>
      </x:c>
      <x:c r="X223" s="6" t="n">
        <x:v>0</x:v>
      </x:c>
      <x:c r="Y223" s="6" t="n">
        <x:v>0</x:v>
      </x:c>
      <x:c r="Z223" s="6" t="n">
        <x:v>0</x:v>
      </x:c>
      <x:c r="AA223" s="6" t="n">
        <x:v>3</x:v>
      </x:c>
      <x:c r="AB223" s="6" t="n">
        <x:v>11</x:v>
      </x:c>
      <x:c r="AC223" s="6" t="n">
        <x:v>0</x:v>
      </x:c>
    </x:row>
    <x:row r="224">
      <x:c r="A224" s="6" t="n">
        <x:v>4785</x:v>
      </x:c>
      <x:c r="B224" s="6" t="n">
        <x:v>1970</x:v>
      </x:c>
      <x:c r="C224" s="6" t="str">
        <x:v>PhD</x:v>
      </x:c>
      <x:c r="D224" s="6" t="str">
        <x:v>Together</x:v>
      </x:c>
      <x:c r="E224" s="6" t="n">
        <x:v>77622</x:v>
      </x:c>
      <x:c r="F224" s="6" t="n">
        <x:v>0</x:v>
      </x:c>
      <x:c r="G224" s="6" t="n">
        <x:v>2</x:v>
      </x:c>
      <x:c r="H224" s="9" t="str">
        <x:v>14-04-2014</x:v>
      </x:c>
      <x:c r="I224" s="6" t="n">
        <x:v>3</x:v>
      </x:c>
      <x:c r="J224" s="6" t="n">
        <x:v>520</x:v>
      </x:c>
      <x:c r="K224" s="6" t="n">
        <x:v>7</x:v>
      </x:c>
      <x:c r="L224" s="6" t="n">
        <x:v>154</x:v>
      </x:c>
      <x:c r="M224" s="6" t="n">
        <x:v>19</x:v>
      </x:c>
      <x:c r="N224" s="6" t="n">
        <x:v>0</x:v>
      </x:c>
      <x:c r="O224" s="6" t="n">
        <x:v>14</x:v>
      </x:c>
      <x:c r="P224" s="6" t="n">
        <x:v>2</x:v>
      </x:c>
      <x:c r="Q224" s="6" t="n">
        <x:v>6</x:v>
      </x:c>
      <x:c r="R224" s="6" t="n">
        <x:v>3</x:v>
      </x:c>
      <x:c r="S224" s="6" t="n">
        <x:v>11</x:v>
      </x:c>
      <x:c r="T224" s="6" t="n">
        <x:v>3</x:v>
      </x:c>
      <x:c r="U224" s="6" t="n">
        <x:v>0</x:v>
      </x:c>
      <x:c r="V224" s="6" t="n">
        <x:v>0</x:v>
      </x:c>
      <x:c r="W224" s="6" t="n">
        <x:v>0</x:v>
      </x:c>
      <x:c r="X224" s="6" t="n">
        <x:v>0</x:v>
      </x:c>
      <x:c r="Y224" s="6" t="n">
        <x:v>0</x:v>
      </x:c>
      <x:c r="Z224" s="6" t="n">
        <x:v>0</x:v>
      </x:c>
      <x:c r="AA224" s="6" t="n">
        <x:v>3</x:v>
      </x:c>
      <x:c r="AB224" s="6" t="n">
        <x:v>11</x:v>
      </x:c>
      <x:c r="AC224" s="6" t="n">
        <x:v>0</x:v>
      </x:c>
    </x:row>
    <x:row r="225">
      <x:c r="A225" s="6" t="n">
        <x:v>9076</x:v>
      </x:c>
      <x:c r="B225" s="6" t="n">
        <x:v>1980</x:v>
      </x:c>
      <x:c r="C225" s="6" t="str">
        <x:v>PhD</x:v>
      </x:c>
      <x:c r="D225" s="6" t="str">
        <x:v>Married</x:v>
      </x:c>
      <x:c r="E225" s="6" t="n">
        <x:v>30732</x:v>
      </x:c>
      <x:c r="F225" s="6" t="n">
        <x:v>1</x:v>
      </x:c>
      <x:c r="G225" s="6" t="n">
        <x:v>0</x:v>
      </x:c>
      <x:c r="H225" s="9" t="str">
        <x:v>05-01-2013</x:v>
      </x:c>
      <x:c r="I225" s="6" t="n">
        <x:v>44</x:v>
      </x:c>
      <x:c r="J225" s="6" t="n">
        <x:v>155</x:v>
      </x:c>
      <x:c r="K225" s="6" t="n">
        <x:v>1</x:v>
      </x:c>
      <x:c r="L225" s="6" t="n">
        <x:v>25</x:v>
      </x:c>
      <x:c r="M225" s="6" t="n">
        <x:v>0</x:v>
      </x:c>
      <x:c r="N225" s="6" t="n">
        <x:v>1</x:v>
      </x:c>
      <x:c r="O225" s="6" t="n">
        <x:v>3</x:v>
      </x:c>
      <x:c r="P225" s="6" t="n">
        <x:v>4</x:v>
      </x:c>
      <x:c r="Q225" s="6" t="n">
        <x:v>4</x:v>
      </x:c>
      <x:c r="R225" s="6" t="n">
        <x:v>1</x:v>
      </x:c>
      <x:c r="S225" s="6" t="n">
        <x:v>4</x:v>
      </x:c>
      <x:c r="T225" s="6" t="n">
        <x:v>8</x:v>
      </x:c>
      <x:c r="U225" s="6" t="n">
        <x:v>0</x:v>
      </x:c>
      <x:c r="V225" s="6" t="n">
        <x:v>0</x:v>
      </x:c>
      <x:c r="W225" s="6" t="n">
        <x:v>0</x:v>
      </x:c>
      <x:c r="X225" s="6" t="n">
        <x:v>0</x:v>
      </x:c>
      <x:c r="Y225" s="6" t="n">
        <x:v>0</x:v>
      </x:c>
      <x:c r="Z225" s="6" t="n">
        <x:v>0</x:v>
      </x:c>
      <x:c r="AA225" s="6" t="n">
        <x:v>3</x:v>
      </x:c>
      <x:c r="AB225" s="6" t="n">
        <x:v>11</x:v>
      </x:c>
      <x:c r="AC225" s="6" t="n">
        <x:v>0</x:v>
      </x:c>
    </x:row>
    <x:row r="226">
      <x:c r="A226" s="6" t="n">
        <x:v>7079</x:v>
      </x:c>
      <x:c r="B226" s="6" t="n">
        <x:v>1962</x:v>
      </x:c>
      <x:c r="C226" s="6" t="str">
        <x:v>Graduation</x:v>
      </x:c>
      <x:c r="D226" s="6" t="str">
        <x:v>Divorced</x:v>
      </x:c>
      <x:c r="E226" s="6" t="n">
        <x:v>63887</x:v>
      </x:c>
      <x:c r="F226" s="6" t="n">
        <x:v>0</x:v>
      </x:c>
      <x:c r="G226" s="6" t="n">
        <x:v>1</x:v>
      </x:c>
      <x:c r="H226" s="9" t="str">
        <x:v>08-09-2012</x:v>
      </x:c>
      <x:c r="I226" s="6" t="n">
        <x:v>38</x:v>
      </x:c>
      <x:c r="J226" s="6" t="n">
        <x:v>897</x:v>
      </x:c>
      <x:c r="K226" s="6" t="n">
        <x:v>23</x:v>
      </x:c>
      <x:c r="L226" s="6" t="n">
        <x:v>207</x:v>
      </x:c>
      <x:c r="M226" s="6" t="n">
        <x:v>15</x:v>
      </x:c>
      <x:c r="N226" s="6" t="n">
        <x:v>11</x:v>
      </x:c>
      <x:c r="O226" s="6" t="n">
        <x:v>92</x:v>
      </x:c>
      <x:c r="P226" s="6" t="n">
        <x:v>5</x:v>
      </x:c>
      <x:c r="Q226" s="6" t="n">
        <x:v>9</x:v>
      </x:c>
      <x:c r="R226" s="6" t="n">
        <x:v>6</x:v>
      </x:c>
      <x:c r="S226" s="6" t="n">
        <x:v>12</x:v>
      </x:c>
      <x:c r="T226" s="6" t="n">
        <x:v>6</x:v>
      </x:c>
      <x:c r="U226" s="6" t="n">
        <x:v>0</x:v>
      </x:c>
      <x:c r="V226" s="6" t="n">
        <x:v>0</x:v>
      </x:c>
      <x:c r="W226" s="6" t="n">
        <x:v>0</x:v>
      </x:c>
      <x:c r="X226" s="6" t="n">
        <x:v>0</x:v>
      </x:c>
      <x:c r="Y226" s="6" t="n">
        <x:v>0</x:v>
      </x:c>
      <x:c r="Z226" s="6" t="n">
        <x:v>0</x:v>
      </x:c>
      <x:c r="AA226" s="6" t="n">
        <x:v>3</x:v>
      </x:c>
      <x:c r="AB226" s="6" t="n">
        <x:v>11</x:v>
      </x:c>
      <x:c r="AC226" s="6" t="n">
        <x:v>0</x:v>
      </x:c>
    </x:row>
    <x:row r="227">
      <x:c r="A227" s="6" t="n">
        <x:v>4653</x:v>
      </x:c>
      <x:c r="B227" s="6" t="n">
        <x:v>1978</x:v>
      </x:c>
      <x:c r="C227" s="6" t="str">
        <x:v>Graduation</x:v>
      </x:c>
      <x:c r="D227" s="6" t="str">
        <x:v>Together</x:v>
      </x:c>
      <x:c r="E227" s="6" t="n">
        <x:v>42011</x:v>
      </x:c>
      <x:c r="F227" s="6" t="n">
        <x:v>1</x:v>
      </x:c>
      <x:c r="G227" s="6" t="n">
        <x:v>0</x:v>
      </x:c>
      <x:c r="H227" s="9" t="str">
        <x:v>26-03-2013</x:v>
      </x:c>
      <x:c r="I227" s="6" t="n">
        <x:v>46</x:v>
      </x:c>
      <x:c r="J227" s="6" t="n">
        <x:v>131</x:v>
      </x:c>
      <x:c r="K227" s="6" t="n">
        <x:v>0</x:v>
      </x:c>
      <x:c r="L227" s="6" t="n">
        <x:v>16</x:v>
      </x:c>
      <x:c r="M227" s="6" t="n">
        <x:v>2</x:v>
      </x:c>
      <x:c r="N227" s="6" t="n">
        <x:v>1</x:v>
      </x:c>
      <x:c r="O227" s="6" t="n">
        <x:v>39</x:v>
      </x:c>
      <x:c r="P227" s="6" t="n">
        <x:v>4</x:v>
      </x:c>
      <x:c r="Q227" s="6" t="n">
        <x:v>3</x:v>
      </x:c>
      <x:c r="R227" s="6" t="n">
        <x:v>1</x:v>
      </x:c>
      <x:c r="S227" s="6" t="n">
        <x:v>4</x:v>
      </x:c>
      <x:c r="T227" s="6" t="n">
        <x:v>8</x:v>
      </x:c>
      <x:c r="U227" s="6" t="n">
        <x:v>0</x:v>
      </x:c>
      <x:c r="V227" s="6" t="n">
        <x:v>0</x:v>
      </x:c>
      <x:c r="W227" s="6" t="n">
        <x:v>0</x:v>
      </x:c>
      <x:c r="X227" s="6" t="n">
        <x:v>0</x:v>
      </x:c>
      <x:c r="Y227" s="6" t="n">
        <x:v>0</x:v>
      </x:c>
      <x:c r="Z227" s="6" t="n">
        <x:v>0</x:v>
      </x:c>
      <x:c r="AA227" s="6" t="n">
        <x:v>3</x:v>
      </x:c>
      <x:c r="AB227" s="6" t="n">
        <x:v>11</x:v>
      </x:c>
      <x:c r="AC227" s="6" t="n">
        <x:v>0</x:v>
      </x:c>
    </x:row>
    <x:row r="228">
      <x:c r="A228" s="6" t="n">
        <x:v>7375</x:v>
      </x:c>
      <x:c r="B228" s="6" t="n">
        <x:v>1976</x:v>
      </x:c>
      <x:c r="C228" s="6" t="str">
        <x:v>Graduation</x:v>
      </x:c>
      <x:c r="D228" s="6" t="str">
        <x:v>Together</x:v>
      </x:c>
      <x:c r="E228" s="6" t="n">
        <x:v>51369</x:v>
      </x:c>
      <x:c r="F228" s="6" t="n">
        <x:v>0</x:v>
      </x:c>
      <x:c r="G228" s="6" t="n">
        <x:v>1</x:v>
      </x:c>
      <x:c r="H228" s="9" t="str">
        <x:v>25-10-2012</x:v>
      </x:c>
      <x:c r="I228" s="6" t="n">
        <x:v>84</x:v>
      </x:c>
      <x:c r="J228" s="6" t="n">
        <x:v>297</x:v>
      </x:c>
      <x:c r="K228" s="6" t="n">
        <x:v>7</x:v>
      </x:c>
      <x:c r="L228" s="6" t="n">
        <x:v>79</x:v>
      </x:c>
      <x:c r="M228" s="6" t="n">
        <x:v>0</x:v>
      </x:c>
      <x:c r="N228" s="6" t="n">
        <x:v>11</x:v>
      </x:c>
      <x:c r="O228" s="6" t="n">
        <x:v>182</x:v>
      </x:c>
      <x:c r="P228" s="6" t="n">
        <x:v>2</x:v>
      </x:c>
      <x:c r="Q228" s="6" t="n">
        <x:v>8</x:v>
      </x:c>
      <x:c r="R228" s="6" t="n">
        <x:v>2</x:v>
      </x:c>
      <x:c r="S228" s="6" t="n">
        <x:v>4</x:v>
      </x:c>
      <x:c r="T228" s="6" t="n">
        <x:v>8</x:v>
      </x:c>
      <x:c r="U228" s="6" t="n">
        <x:v>0</x:v>
      </x:c>
      <x:c r="V228" s="6" t="n">
        <x:v>0</x:v>
      </x:c>
      <x:c r="W228" s="6" t="n">
        <x:v>0</x:v>
      </x:c>
      <x:c r="X228" s="6" t="n">
        <x:v>0</x:v>
      </x:c>
      <x:c r="Y228" s="6" t="n">
        <x:v>0</x:v>
      </x:c>
      <x:c r="Z228" s="6" t="n">
        <x:v>0</x:v>
      </x:c>
      <x:c r="AA228" s="6" t="n">
        <x:v>3</x:v>
      </x:c>
      <x:c r="AB228" s="6" t="n">
        <x:v>11</x:v>
      </x:c>
      <x:c r="AC228" s="6" t="n">
        <x:v>0</x:v>
      </x:c>
    </x:row>
    <x:row r="229">
      <x:c r="A229" s="6" t="n">
        <x:v>709</x:v>
      </x:c>
      <x:c r="B229" s="6" t="n">
        <x:v>1952</x:v>
      </x:c>
      <x:c r="C229" s="6" t="str">
        <x:v>Graduation</x:v>
      </x:c>
      <x:c r="D229" s="6" t="str">
        <x:v>Divorced</x:v>
      </x:c>
      <x:c r="E229" s="6" t="n">
        <x:v>51537</x:v>
      </x:c>
      <x:c r="F229" s="6" t="n">
        <x:v>0</x:v>
      </x:c>
      <x:c r="G229" s="6" t="n">
        <x:v>1</x:v>
      </x:c>
      <x:c r="H229" s="9" t="str">
        <x:v>09-12-2012</x:v>
      </x:c>
      <x:c r="I229" s="6" t="n">
        <x:v>27</x:v>
      </x:c>
      <x:c r="J229" s="6" t="n">
        <x:v>787</x:v>
      </x:c>
      <x:c r="K229" s="6" t="n">
        <x:v>20</x:v>
      </x:c>
      <x:c r="L229" s="6" t="n">
        <x:v>204</x:v>
      </x:c>
      <x:c r="M229" s="6" t="n">
        <x:v>0</x:v>
      </x:c>
      <x:c r="N229" s="6" t="n">
        <x:v>0</x:v>
      </x:c>
      <x:c r="O229" s="6" t="n">
        <x:v>92</x:v>
      </x:c>
      <x:c r="P229" s="6" t="n">
        <x:v>3</x:v>
      </x:c>
      <x:c r="Q229" s="6" t="n">
        <x:v>2</x:v>
      </x:c>
      <x:c r="R229" s="6" t="n">
        <x:v>2</x:v>
      </x:c>
      <x:c r="S229" s="6" t="n">
        <x:v>11</x:v>
      </x:c>
      <x:c r="T229" s="6" t="n">
        <x:v>8</x:v>
      </x:c>
      <x:c r="U229" s="6" t="n">
        <x:v>0</x:v>
      </x:c>
      <x:c r="V229" s="6" t="n">
        <x:v>0</x:v>
      </x:c>
      <x:c r="W229" s="6" t="n">
        <x:v>0</x:v>
      </x:c>
      <x:c r="X229" s="6" t="n">
        <x:v>0</x:v>
      </x:c>
      <x:c r="Y229" s="6" t="n">
        <x:v>0</x:v>
      </x:c>
      <x:c r="Z229" s="6" t="n">
        <x:v>0</x:v>
      </x:c>
      <x:c r="AA229" s="6" t="n">
        <x:v>3</x:v>
      </x:c>
      <x:c r="AB229" s="6" t="n">
        <x:v>11</x:v>
      </x:c>
      <x:c r="AC229" s="6" t="n">
        <x:v>0</x:v>
      </x:c>
    </x:row>
    <x:row r="230">
      <x:c r="A230" s="6" t="n">
        <x:v>460</x:v>
      </x:c>
      <x:c r="B230" s="6" t="n">
        <x:v>1972</x:v>
      </x:c>
      <x:c r="C230" s="6" t="str">
        <x:v>PhD</x:v>
      </x:c>
      <x:c r="D230" s="6" t="str">
        <x:v>Married</x:v>
      </x:c>
      <x:c r="E230" s="6" t="n">
        <x:v>79930</x:v>
      </x:c>
      <x:c r="F230" s="6" t="n">
        <x:v>0</x:v>
      </x:c>
      <x:c r="G230" s="6" t="n">
        <x:v>0</x:v>
      </x:c>
      <x:c r="H230" s="9" t="str">
        <x:v>08-08-2012</x:v>
      </x:c>
      <x:c r="I230" s="6" t="n">
        <x:v>72</x:v>
      </x:c>
      <x:c r="J230" s="6" t="n">
        <x:v>792</x:v>
      </x:c>
      <x:c r="K230" s="6" t="n">
        <x:v>86</x:v>
      </x:c>
      <x:c r="L230" s="6" t="n">
        <x:v>740</x:v>
      </x:c>
      <x:c r="M230" s="6" t="n">
        <x:v>67</x:v>
      </x:c>
      <x:c r="N230" s="6" t="n">
        <x:v>51</x:v>
      </x:c>
      <x:c r="O230" s="6" t="n">
        <x:v>17</x:v>
      </x:c>
      <x:c r="P230" s="6" t="n">
        <x:v>1</x:v>
      </x:c>
      <x:c r="Q230" s="6" t="n">
        <x:v>3</x:v>
      </x:c>
      <x:c r="R230" s="6" t="n">
        <x:v>5</x:v>
      </x:c>
      <x:c r="S230" s="6" t="n">
        <x:v>8</x:v>
      </x:c>
      <x:c r="T230" s="6" t="n">
        <x:v>2</x:v>
      </x:c>
      <x:c r="U230" s="6" t="n">
        <x:v>0</x:v>
      </x:c>
      <x:c r="V230" s="6" t="n">
        <x:v>0</x:v>
      </x:c>
      <x:c r="W230" s="6" t="n">
        <x:v>0</x:v>
      </x:c>
      <x:c r="X230" s="6" t="n">
        <x:v>0</x:v>
      </x:c>
      <x:c r="Y230" s="6" t="n">
        <x:v>0</x:v>
      </x:c>
      <x:c r="Z230" s="6" t="n">
        <x:v>0</x:v>
      </x:c>
      <x:c r="AA230" s="6" t="n">
        <x:v>3</x:v>
      </x:c>
      <x:c r="AB230" s="6" t="n">
        <x:v>11</x:v>
      </x:c>
      <x:c r="AC230" s="6" t="n">
        <x:v>0</x:v>
      </x:c>
    </x:row>
    <x:row r="231">
      <x:c r="A231" s="6" t="n">
        <x:v>3726</x:v>
      </x:c>
      <x:c r="B231" s="6" t="n">
        <x:v>1986</x:v>
      </x:c>
      <x:c r="C231" s="6" t="str">
        <x:v>PhD</x:v>
      </x:c>
      <x:c r="D231" s="6" t="str">
        <x:v>Together</x:v>
      </x:c>
      <x:c r="E231" s="6" t="n">
        <x:v>34320</x:v>
      </x:c>
      <x:c r="F231" s="6" t="n">
        <x:v>1</x:v>
      </x:c>
      <x:c r="G231" s="6" t="n">
        <x:v>0</x:v>
      </x:c>
      <x:c r="H231" s="9" t="str">
        <x:v>16-02-2014</x:v>
      </x:c>
      <x:c r="I231" s="6" t="n">
        <x:v>66</x:v>
      </x:c>
      <x:c r="J231" s="6" t="n">
        <x:v>4</x:v>
      </x:c>
      <x:c r="K231" s="6" t="n">
        <x:v>1</x:v>
      </x:c>
      <x:c r="L231" s="6" t="n">
        <x:v>9</x:v>
      </x:c>
      <x:c r="M231" s="6" t="n">
        <x:v>3</x:v>
      </x:c>
      <x:c r="N231" s="6" t="n">
        <x:v>0</x:v>
      </x:c>
      <x:c r="O231" s="6" t="n">
        <x:v>0</x:v>
      </x:c>
      <x:c r="P231" s="6" t="n">
        <x:v>1</x:v>
      </x:c>
      <x:c r="Q231" s="6" t="n">
        <x:v>1</x:v>
      </x:c>
      <x:c r="R231" s="6" t="n">
        <x:v>0</x:v>
      </x:c>
      <x:c r="S231" s="6" t="n">
        <x:v>2</x:v>
      </x:c>
      <x:c r="T231" s="6" t="n">
        <x:v>8</x:v>
      </x:c>
      <x:c r="U231" s="6" t="n">
        <x:v>0</x:v>
      </x:c>
      <x:c r="V231" s="6" t="n">
        <x:v>0</x:v>
      </x:c>
      <x:c r="W231" s="6" t="n">
        <x:v>0</x:v>
      </x:c>
      <x:c r="X231" s="6" t="n">
        <x:v>0</x:v>
      </x:c>
      <x:c r="Y231" s="6" t="n">
        <x:v>0</x:v>
      </x:c>
      <x:c r="Z231" s="6" t="n">
        <x:v>0</x:v>
      </x:c>
      <x:c r="AA231" s="6" t="n">
        <x:v>3</x:v>
      </x:c>
      <x:c r="AB231" s="6" t="n">
        <x:v>11</x:v>
      </x:c>
      <x:c r="AC231" s="6" t="n">
        <x:v>0</x:v>
      </x:c>
    </x:row>
    <x:row r="232">
      <x:c r="A232" s="6" t="n">
        <x:v>6798</x:v>
      </x:c>
      <x:c r="B232" s="6" t="n">
        <x:v>1966</x:v>
      </x:c>
      <x:c r="C232" s="6" t="str">
        <x:v>Graduation</x:v>
      </x:c>
      <x:c r="D232" s="6" t="str">
        <x:v>Single</x:v>
      </x:c>
      <x:c r="E232" s="6" t="n">
        <x:v>37070</x:v>
      </x:c>
      <x:c r="F232" s="6" t="n">
        <x:v>1</x:v>
      </x:c>
      <x:c r="G232" s="6" t="n">
        <x:v>1</x:v>
      </x:c>
      <x:c r="H232" s="9" t="str">
        <x:v>20-03-2013</x:v>
      </x:c>
      <x:c r="I232" s="6" t="n">
        <x:v>30</x:v>
      </x:c>
      <x:c r="J232" s="6" t="n">
        <x:v>231</x:v>
      </x:c>
      <x:c r="K232" s="6" t="n">
        <x:v>7</x:v>
      </x:c>
      <x:c r="L232" s="6" t="n">
        <x:v>137</x:v>
      </x:c>
      <x:c r="M232" s="6" t="n">
        <x:v>4</x:v>
      </x:c>
      <x:c r="N232" s="6" t="n">
        <x:v>15</x:v>
      </x:c>
      <x:c r="O232" s="6" t="n">
        <x:v>39</x:v>
      </x:c>
      <x:c r="P232" s="6" t="n">
        <x:v>9</x:v>
      </x:c>
      <x:c r="Q232" s="6" t="n">
        <x:v>5</x:v>
      </x:c>
      <x:c r="R232" s="6" t="n">
        <x:v>1</x:v>
      </x:c>
      <x:c r="S232" s="6" t="n">
        <x:v>8</x:v>
      </x:c>
      <x:c r="T232" s="6" t="n">
        <x:v>7</x:v>
      </x:c>
      <x:c r="U232" s="6" t="n">
        <x:v>0</x:v>
      </x:c>
      <x:c r="V232" s="6" t="n">
        <x:v>0</x:v>
      </x:c>
      <x:c r="W232" s="6" t="n">
        <x:v>0</x:v>
      </x:c>
      <x:c r="X232" s="6" t="n">
        <x:v>0</x:v>
      </x:c>
      <x:c r="Y232" s="6" t="n">
        <x:v>0</x:v>
      </x:c>
      <x:c r="Z232" s="6" t="n">
        <x:v>0</x:v>
      </x:c>
      <x:c r="AA232" s="6" t="n">
        <x:v>3</x:v>
      </x:c>
      <x:c r="AB232" s="6" t="n">
        <x:v>11</x:v>
      </x:c>
      <x:c r="AC232" s="6" t="n">
        <x:v>1</x:v>
      </x:c>
    </x:row>
    <x:row r="233">
      <x:c r="A233" s="6" t="n">
        <x:v>5341</x:v>
      </x:c>
      <x:c r="B233" s="6" t="n">
        <x:v>1962</x:v>
      </x:c>
      <x:c r="C233" s="6" t="str">
        <x:v>2n Cycle</x:v>
      </x:c>
      <x:c r="D233" s="6" t="str">
        <x:v>Divorced</x:v>
      </x:c>
      <x:c r="E233" s="6" t="n">
        <x:v>81975</x:v>
      </x:c>
      <x:c r="F233" s="6" t="n">
        <x:v>0</x:v>
      </x:c>
      <x:c r="G233" s="6" t="n">
        <x:v>1</x:v>
      </x:c>
      <x:c r="H233" s="9" t="str">
        <x:v>05-01-2013</x:v>
      </x:c>
      <x:c r="I233" s="6" t="n">
        <x:v>2</x:v>
      </x:c>
      <x:c r="J233" s="6" t="n">
        <x:v>983</x:v>
      </x:c>
      <x:c r="K233" s="6" t="n">
        <x:v>76</x:v>
      </x:c>
      <x:c r="L233" s="6" t="n">
        <x:v>184</x:v>
      </x:c>
      <x:c r="M233" s="6" t="n">
        <x:v>180</x:v>
      </x:c>
      <x:c r="N233" s="6" t="n">
        <x:v>138</x:v>
      </x:c>
      <x:c r="O233" s="6" t="n">
        <x:v>27</x:v>
      </x:c>
      <x:c r="P233" s="6" t="n">
        <x:v>1</x:v>
      </x:c>
      <x:c r="Q233" s="6" t="n">
        <x:v>6</x:v>
      </x:c>
      <x:c r="R233" s="6" t="n">
        <x:v>3</x:v>
      </x:c>
      <x:c r="S233" s="6" t="n">
        <x:v>4</x:v>
      </x:c>
      <x:c r="T233" s="6" t="n">
        <x:v>7</x:v>
      </x:c>
      <x:c r="U233" s="6" t="n">
        <x:v>0</x:v>
      </x:c>
      <x:c r="V233" s="6" t="n">
        <x:v>0</x:v>
      </x:c>
      <x:c r="W233" s="6" t="n">
        <x:v>1</x:v>
      </x:c>
      <x:c r="X233" s="6" t="n">
        <x:v>0</x:v>
      </x:c>
      <x:c r="Y233" s="6" t="n">
        <x:v>0</x:v>
      </x:c>
      <x:c r="Z233" s="6" t="n">
        <x:v>0</x:v>
      </x:c>
      <x:c r="AA233" s="6" t="n">
        <x:v>3</x:v>
      </x:c>
      <x:c r="AB233" s="6" t="n">
        <x:v>11</x:v>
      </x:c>
      <x:c r="AC233" s="6" t="n">
        <x:v>0</x:v>
      </x:c>
    </x:row>
    <x:row r="234">
      <x:c r="A234" s="6" t="n">
        <x:v>1606</x:v>
      </x:c>
      <x:c r="B234" s="6" t="n">
        <x:v>1971</x:v>
      </x:c>
      <x:c r="C234" s="6" t="str">
        <x:v>Graduation</x:v>
      </x:c>
      <x:c r="D234" s="6" t="str">
        <x:v>Together</x:v>
      </x:c>
      <x:c r="E234" s="6" t="n">
        <x:v>38590</x:v>
      </x:c>
      <x:c r="F234" s="6" t="n">
        <x:v>1</x:v>
      </x:c>
      <x:c r="G234" s="6" t="n">
        <x:v>0</x:v>
      </x:c>
      <x:c r="H234" s="9" t="str">
        <x:v>15-05-2013</x:v>
      </x:c>
      <x:c r="I234" s="6" t="n">
        <x:v>65</x:v>
      </x:c>
      <x:c r="J234" s="6" t="n">
        <x:v>3</x:v>
      </x:c>
      <x:c r="K234" s="6" t="n">
        <x:v>1</x:v>
      </x:c>
      <x:c r="L234" s="6" t="n">
        <x:v>8</x:v>
      </x:c>
      <x:c r="M234" s="6" t="n">
        <x:v>4</x:v>
      </x:c>
      <x:c r="N234" s="6" t="n">
        <x:v>3</x:v>
      </x:c>
      <x:c r="O234" s="6" t="n">
        <x:v>3</x:v>
      </x:c>
      <x:c r="P234" s="6" t="n">
        <x:v>1</x:v>
      </x:c>
      <x:c r="Q234" s="6" t="n">
        <x:v>1</x:v>
      </x:c>
      <x:c r="R234" s="6" t="n">
        <x:v>0</x:v>
      </x:c>
      <x:c r="S234" s="6" t="n">
        <x:v>2</x:v>
      </x:c>
      <x:c r="T234" s="6" t="n">
        <x:v>8</x:v>
      </x:c>
      <x:c r="U234" s="6" t="n">
        <x:v>0</x:v>
      </x:c>
      <x:c r="V234" s="6" t="n">
        <x:v>0</x:v>
      </x:c>
      <x:c r="W234" s="6" t="n">
        <x:v>0</x:v>
      </x:c>
      <x:c r="X234" s="6" t="n">
        <x:v>0</x:v>
      </x:c>
      <x:c r="Y234" s="6" t="n">
        <x:v>0</x:v>
      </x:c>
      <x:c r="Z234" s="6" t="n">
        <x:v>0</x:v>
      </x:c>
      <x:c r="AA234" s="6" t="n">
        <x:v>3</x:v>
      </x:c>
      <x:c r="AB234" s="6" t="n">
        <x:v>11</x:v>
      </x:c>
      <x:c r="AC234" s="6" t="n">
        <x:v>0</x:v>
      </x:c>
    </x:row>
    <x:row r="235">
      <x:c r="A235" s="6" t="n">
        <x:v>9617</x:v>
      </x:c>
      <x:c r="B235" s="6" t="n">
        <x:v>1951</x:v>
      </x:c>
      <x:c r="C235" s="6" t="str">
        <x:v>Graduation</x:v>
      </x:c>
      <x:c r="D235" s="6" t="str">
        <x:v>Single</x:v>
      </x:c>
      <x:c r="E235" s="6" t="n">
        <x:v>15033</x:v>
      </x:c>
      <x:c r="F235" s="6" t="n">
        <x:v>0</x:v>
      </x:c>
      <x:c r="G235" s="6" t="n">
        <x:v>0</x:v>
      </x:c>
      <x:c r="H235" s="9" t="str">
        <x:v>16-04-2014</x:v>
      </x:c>
      <x:c r="I235" s="6" t="n">
        <x:v>37</x:v>
      </x:c>
      <x:c r="J235" s="6" t="n">
        <x:v>0</x:v>
      </x:c>
      <x:c r="K235" s="6" t="n">
        <x:v>4</x:v>
      </x:c>
      <x:c r="L235" s="6" t="n">
        <x:v>5</x:v>
      </x:c>
      <x:c r="M235" s="6" t="n">
        <x:v>6</x:v>
      </x:c>
      <x:c r="N235" s="6" t="n">
        <x:v>0</x:v>
      </x:c>
      <x:c r="O235" s="6" t="n">
        <x:v>4</x:v>
      </x:c>
      <x:c r="P235" s="6" t="n">
        <x:v>1</x:v>
      </x:c>
      <x:c r="Q235" s="6" t="n">
        <x:v>1</x:v>
      </x:c>
      <x:c r="R235" s="6" t="n">
        <x:v>0</x:v>
      </x:c>
      <x:c r="S235" s="6" t="n">
        <x:v>3</x:v>
      </x:c>
      <x:c r="T235" s="6" t="n">
        <x:v>3</x:v>
      </x:c>
      <x:c r="U235" s="6" t="n">
        <x:v>0</x:v>
      </x:c>
      <x:c r="V235" s="6" t="n">
        <x:v>0</x:v>
      </x:c>
      <x:c r="W235" s="6" t="n">
        <x:v>0</x:v>
      </x:c>
      <x:c r="X235" s="6" t="n">
        <x:v>0</x:v>
      </x:c>
      <x:c r="Y235" s="6" t="n">
        <x:v>0</x:v>
      </x:c>
      <x:c r="Z235" s="6" t="n">
        <x:v>0</x:v>
      </x:c>
      <x:c r="AA235" s="6" t="n">
        <x:v>3</x:v>
      </x:c>
      <x:c r="AB235" s="6" t="n">
        <x:v>11</x:v>
      </x:c>
      <x:c r="AC235" s="6" t="n">
        <x:v>0</x:v>
      </x:c>
    </x:row>
    <x:row r="236">
      <x:c r="A236" s="6" t="n">
        <x:v>3233</x:v>
      </x:c>
      <x:c r="B236" s="6" t="n">
        <x:v>1965</x:v>
      </x:c>
      <x:c r="C236" s="6" t="str">
        <x:v>PhD</x:v>
      </x:c>
      <x:c r="D236" s="6" t="str">
        <x:v>Married</x:v>
      </x:c>
      <x:c r="E236" s="6" t="n">
        <x:v>62745</x:v>
      </x:c>
      <x:c r="F236" s="6" t="n">
        <x:v>0</x:v>
      </x:c>
      <x:c r="G236" s="6" t="n">
        <x:v>1</x:v>
      </x:c>
      <x:c r="H236" s="9" t="str">
        <x:v>23-03-2013</x:v>
      </x:c>
      <x:c r="I236" s="6" t="n">
        <x:v>89</x:v>
      </x:c>
      <x:c r="J236" s="6" t="n">
        <x:v>562</x:v>
      </x:c>
      <x:c r="K236" s="6" t="n">
        <x:v>21</x:v>
      </x:c>
      <x:c r="L236" s="6" t="n">
        <x:v>464</x:v>
      </x:c>
      <x:c r="M236" s="6" t="n">
        <x:v>28</x:v>
      </x:c>
      <x:c r="N236" s="6" t="n">
        <x:v>10</x:v>
      </x:c>
      <x:c r="O236" s="6" t="n">
        <x:v>32</x:v>
      </x:c>
      <x:c r="P236" s="6" t="n">
        <x:v>3</x:v>
      </x:c>
      <x:c r="Q236" s="6" t="n">
        <x:v>7</x:v>
      </x:c>
      <x:c r="R236" s="6" t="n">
        <x:v>8</x:v>
      </x:c>
      <x:c r="S236" s="6" t="n">
        <x:v>11</x:v>
      </x:c>
      <x:c r="T236" s="6" t="n">
        <x:v>5</x:v>
      </x:c>
      <x:c r="U236" s="6" t="n">
        <x:v>0</x:v>
      </x:c>
      <x:c r="V236" s="6" t="n">
        <x:v>0</x:v>
      </x:c>
      <x:c r="W236" s="6" t="n">
        <x:v>0</x:v>
      </x:c>
      <x:c r="X236" s="6" t="n">
        <x:v>0</x:v>
      </x:c>
      <x:c r="Y236" s="6" t="n">
        <x:v>0</x:v>
      </x:c>
      <x:c r="Z236" s="6" t="n">
        <x:v>0</x:v>
      </x:c>
      <x:c r="AA236" s="6" t="n">
        <x:v>3</x:v>
      </x:c>
      <x:c r="AB236" s="6" t="n">
        <x:v>11</x:v>
      </x:c>
      <x:c r="AC236" s="6" t="n">
        <x:v>0</x:v>
      </x:c>
    </x:row>
    <x:row r="237">
      <x:c r="A237" s="6" t="n">
        <x:v>89</x:v>
      </x:c>
      <x:c r="B237" s="6" t="n">
        <x:v>1975</x:v>
      </x:c>
      <x:c r="C237" s="6" t="str">
        <x:v>2n Cycle</x:v>
      </x:c>
      <x:c r="D237" s="6" t="str">
        <x:v>Married</x:v>
      </x:c>
      <x:c r="E237" s="6" t="n">
        <x:v>22212</x:v>
      </x:c>
      <x:c r="F237" s="6" t="n">
        <x:v>1</x:v>
      </x:c>
      <x:c r="G237" s="6" t="n">
        <x:v>0</x:v>
      </x:c>
      <x:c r="H237" s="9" t="str">
        <x:v>09-12-2013</x:v>
      </x:c>
      <x:c r="I237" s="6" t="n">
        <x:v>49</x:v>
      </x:c>
      <x:c r="J237" s="6" t="n">
        <x:v>5</x:v>
      </x:c>
      <x:c r="K237" s="6" t="n">
        <x:v>9</x:v>
      </x:c>
      <x:c r="L237" s="6" t="n">
        <x:v>20</x:v>
      </x:c>
      <x:c r="M237" s="6" t="n">
        <x:v>6</x:v>
      </x:c>
      <x:c r="N237" s="6" t="n">
        <x:v>8</x:v>
      </x:c>
      <x:c r="O237" s="6" t="n">
        <x:v>21</x:v>
      </x:c>
      <x:c r="P237" s="6" t="n">
        <x:v>2</x:v>
      </x:c>
      <x:c r="Q237" s="6" t="n">
        <x:v>2</x:v>
      </x:c>
      <x:c r="R237" s="6" t="n">
        <x:v>0</x:v>
      </x:c>
      <x:c r="S237" s="6" t="n">
        <x:v>4</x:v>
      </x:c>
      <x:c r="T237" s="6" t="n">
        <x:v>6</x:v>
      </x:c>
      <x:c r="U237" s="6" t="n">
        <x:v>0</x:v>
      </x:c>
      <x:c r="V237" s="6" t="n">
        <x:v>0</x:v>
      </x:c>
      <x:c r="W237" s="6" t="n">
        <x:v>0</x:v>
      </x:c>
      <x:c r="X237" s="6" t="n">
        <x:v>0</x:v>
      </x:c>
      <x:c r="Y237" s="6" t="n">
        <x:v>0</x:v>
      </x:c>
      <x:c r="Z237" s="6" t="n">
        <x:v>0</x:v>
      </x:c>
      <x:c r="AA237" s="6" t="n">
        <x:v>3</x:v>
      </x:c>
      <x:c r="AB237" s="6" t="n">
        <x:v>11</x:v>
      </x:c>
      <x:c r="AC237" s="6" t="n">
        <x:v>0</x:v>
      </x:c>
    </x:row>
    <x:row r="238">
      <x:c r="A238" s="6" t="n">
        <x:v>2936</x:v>
      </x:c>
      <x:c r="B238" s="6" t="n">
        <x:v>1982</x:v>
      </x:c>
      <x:c r="C238" s="6" t="str">
        <x:v>Master</x:v>
      </x:c>
      <x:c r="D238" s="6" t="str">
        <x:v>Together</x:v>
      </x:c>
      <x:c r="E238" s="6" t="n">
        <x:v>23661</x:v>
      </x:c>
      <x:c r="F238" s="6" t="n">
        <x:v>1</x:v>
      </x:c>
      <x:c r="G238" s="6" t="n">
        <x:v>0</x:v>
      </x:c>
      <x:c r="H238" s="9" t="str">
        <x:v>04-12-2013</x:v>
      </x:c>
      <x:c r="I238" s="6" t="n">
        <x:v>46</x:v>
      </x:c>
      <x:c r="J238" s="6" t="n">
        <x:v>18</x:v>
      </x:c>
      <x:c r="K238" s="6" t="n">
        <x:v>0</x:v>
      </x:c>
      <x:c r="L238" s="6" t="n">
        <x:v>4</x:v>
      </x:c>
      <x:c r="M238" s="6" t="n">
        <x:v>0</x:v>
      </x:c>
      <x:c r="N238" s="6" t="n">
        <x:v>0</x:v>
      </x:c>
      <x:c r="O238" s="6" t="n">
        <x:v>1</x:v>
      </x:c>
      <x:c r="P238" s="6" t="n">
        <x:v>1</x:v>
      </x:c>
      <x:c r="Q238" s="6" t="n">
        <x:v>1</x:v>
      </x:c>
      <x:c r="R238" s="6" t="n">
        <x:v>0</x:v>
      </x:c>
      <x:c r="S238" s="6" t="n">
        <x:v>3</x:v>
      </x:c>
      <x:c r="T238" s="6" t="n">
        <x:v>7</x:v>
      </x:c>
      <x:c r="U238" s="6" t="n">
        <x:v>0</x:v>
      </x:c>
      <x:c r="V238" s="6" t="n">
        <x:v>0</x:v>
      </x:c>
      <x:c r="W238" s="6" t="n">
        <x:v>0</x:v>
      </x:c>
      <x:c r="X238" s="6" t="n">
        <x:v>0</x:v>
      </x:c>
      <x:c r="Y238" s="6" t="n">
        <x:v>0</x:v>
      </x:c>
      <x:c r="Z238" s="6" t="n">
        <x:v>0</x:v>
      </x:c>
      <x:c r="AA238" s="6" t="n">
        <x:v>3</x:v>
      </x:c>
      <x:c r="AB238" s="6" t="n">
        <x:v>11</x:v>
      </x:c>
      <x:c r="AC238" s="6" t="n">
        <x:v>0</x:v>
      </x:c>
    </x:row>
    <x:row r="239">
      <x:c r="A239" s="6" t="n">
        <x:v>9449</x:v>
      </x:c>
      <x:c r="B239" s="6" t="n">
        <x:v>1958</x:v>
      </x:c>
      <x:c r="C239" s="6" t="str">
        <x:v>PhD</x:v>
      </x:c>
      <x:c r="D239" s="6" t="str">
        <x:v>Single</x:v>
      </x:c>
      <x:c r="E239" s="6" t="n">
        <x:v>79761</x:v>
      </x:c>
      <x:c r="F239" s="6" t="n">
        <x:v>0</x:v>
      </x:c>
      <x:c r="G239" s="6" t="n">
        <x:v>1</x:v>
      </x:c>
      <x:c r="H239" s="9" t="str">
        <x:v>04-10-2013</x:v>
      </x:c>
      <x:c r="I239" s="6" t="n">
        <x:v>32</x:v>
      </x:c>
      <x:c r="J239" s="6" t="n">
        <x:v>415</x:v>
      </x:c>
      <x:c r="K239" s="6" t="n">
        <x:v>5</x:v>
      </x:c>
      <x:c r="L239" s="6" t="n">
        <x:v>124</x:v>
      </x:c>
      <x:c r="M239" s="6" t="n">
        <x:v>15</x:v>
      </x:c>
      <x:c r="N239" s="6" t="n">
        <x:v>35</x:v>
      </x:c>
      <x:c r="O239" s="6" t="n">
        <x:v>11</x:v>
      </x:c>
      <x:c r="P239" s="6" t="n">
        <x:v>1</x:v>
      </x:c>
      <x:c r="Q239" s="6" t="n">
        <x:v>5</x:v>
      </x:c>
      <x:c r="R239" s="6" t="n">
        <x:v>2</x:v>
      </x:c>
      <x:c r="S239" s="6" t="n">
        <x:v>11</x:v>
      </x:c>
      <x:c r="T239" s="6" t="n">
        <x:v>3</x:v>
      </x:c>
      <x:c r="U239" s="6" t="n">
        <x:v>0</x:v>
      </x:c>
      <x:c r="V239" s="6" t="n">
        <x:v>0</x:v>
      </x:c>
      <x:c r="W239" s="6" t="n">
        <x:v>0</x:v>
      </x:c>
      <x:c r="X239" s="6" t="n">
        <x:v>0</x:v>
      </x:c>
      <x:c r="Y239" s="6" t="n">
        <x:v>0</x:v>
      </x:c>
      <x:c r="Z239" s="6" t="n">
        <x:v>0</x:v>
      </x:c>
      <x:c r="AA239" s="6" t="n">
        <x:v>3</x:v>
      </x:c>
      <x:c r="AB239" s="6" t="n">
        <x:v>11</x:v>
      </x:c>
      <x:c r="AC239" s="6" t="n">
        <x:v>0</x:v>
      </x:c>
    </x:row>
    <x:row r="240">
      <x:c r="A240" s="6" t="n">
        <x:v>7297</x:v>
      </x:c>
      <x:c r="B240" s="6" t="n">
        <x:v>1973</x:v>
      </x:c>
      <x:c r="C240" s="6" t="str">
        <x:v>Graduation</x:v>
      </x:c>
      <x:c r="D240" s="6" t="str">
        <x:v>Single</x:v>
      </x:c>
      <x:c r="E240" s="6" t="n">
        <x:v>7500</x:v>
      </x:c>
      <x:c r="F240" s="6" t="n">
        <x:v>1</x:v>
      </x:c>
      <x:c r="G240" s="6" t="n">
        <x:v>0</x:v>
      </x:c>
      <x:c r="H240" s="9" t="str">
        <x:v>26-12-2013</x:v>
      </x:c>
      <x:c r="I240" s="6" t="n">
        <x:v>54</x:v>
      </x:c>
      <x:c r="J240" s="6" t="n">
        <x:v>5</x:v>
      </x:c>
      <x:c r="K240" s="6" t="n">
        <x:v>3</x:v>
      </x:c>
      <x:c r="L240" s="6" t="n">
        <x:v>10</x:v>
      </x:c>
      <x:c r="M240" s="6" t="n">
        <x:v>12</x:v>
      </x:c>
      <x:c r="N240" s="6" t="n">
        <x:v>7</x:v>
      </x:c>
      <x:c r="O240" s="6" t="n">
        <x:v>20</x:v>
      </x:c>
      <x:c r="P240" s="6" t="n">
        <x:v>4</x:v>
      </x:c>
      <x:c r="Q240" s="6" t="n">
        <x:v>3</x:v>
      </x:c>
      <x:c r="R240" s="6" t="n">
        <x:v>1</x:v>
      </x:c>
      <x:c r="S240" s="6" t="n">
        <x:v>3</x:v>
      </x:c>
      <x:c r="T240" s="6" t="n">
        <x:v>7</x:v>
      </x:c>
      <x:c r="U240" s="6" t="n">
        <x:v>0</x:v>
      </x:c>
      <x:c r="V240" s="6" t="n">
        <x:v>0</x:v>
      </x:c>
      <x:c r="W240" s="6" t="n">
        <x:v>0</x:v>
      </x:c>
      <x:c r="X240" s="6" t="n">
        <x:v>0</x:v>
      </x:c>
      <x:c r="Y240" s="6" t="n">
        <x:v>0</x:v>
      </x:c>
      <x:c r="Z240" s="6" t="n">
        <x:v>0</x:v>
      </x:c>
      <x:c r="AA240" s="6" t="n">
        <x:v>3</x:v>
      </x:c>
      <x:c r="AB240" s="6" t="n">
        <x:v>11</x:v>
      </x:c>
      <x:c r="AC240" s="6" t="n">
        <x:v>0</x:v>
      </x:c>
    </x:row>
    <x:row r="241">
      <x:c r="A241" s="6" t="n">
        <x:v>11004</x:v>
      </x:c>
      <x:c r="B241" s="6" t="n">
        <x:v>1893</x:v>
      </x:c>
      <x:c r="C241" s="6" t="str">
        <x:v>2n Cycle</x:v>
      </x:c>
      <x:c r="D241" s="6" t="str">
        <x:v>Single</x:v>
      </x:c>
      <x:c r="E241" s="6" t="n">
        <x:v>60182</x:v>
      </x:c>
      <x:c r="F241" s="6" t="n">
        <x:v>0</x:v>
      </x:c>
      <x:c r="G241" s="6" t="n">
        <x:v>1</x:v>
      </x:c>
      <x:c r="H241" s="9" t="str">
        <x:v>17-05-2014</x:v>
      </x:c>
      <x:c r="I241" s="6" t="n">
        <x:v>23</x:v>
      </x:c>
      <x:c r="J241" s="6" t="n">
        <x:v>8</x:v>
      </x:c>
      <x:c r="K241" s="6" t="n">
        <x:v>0</x:v>
      </x:c>
      <x:c r="L241" s="6" t="n">
        <x:v>5</x:v>
      </x:c>
      <x:c r="M241" s="6" t="n">
        <x:v>7</x:v>
      </x:c>
      <x:c r="N241" s="6" t="n">
        <x:v>0</x:v>
      </x:c>
      <x:c r="O241" s="6" t="n">
        <x:v>2</x:v>
      </x:c>
      <x:c r="P241" s="6" t="n">
        <x:v>1</x:v>
      </x:c>
      <x:c r="Q241" s="6" t="n">
        <x:v>1</x:v>
      </x:c>
      <x:c r="R241" s="6" t="n">
        <x:v>0</x:v>
      </x:c>
      <x:c r="S241" s="6" t="n">
        <x:v>2</x:v>
      </x:c>
      <x:c r="T241" s="6" t="n">
        <x:v>4</x:v>
      </x:c>
      <x:c r="U241" s="6" t="n">
        <x:v>0</x:v>
      </x:c>
      <x:c r="V241" s="6" t="n">
        <x:v>0</x:v>
      </x:c>
      <x:c r="W241" s="6" t="n">
        <x:v>0</x:v>
      </x:c>
      <x:c r="X241" s="6" t="n">
        <x:v>0</x:v>
      </x:c>
      <x:c r="Y241" s="6" t="n">
        <x:v>0</x:v>
      </x:c>
      <x:c r="Z241" s="6" t="n">
        <x:v>0</x:v>
      </x:c>
      <x:c r="AA241" s="6" t="n">
        <x:v>3</x:v>
      </x:c>
      <x:c r="AB241" s="6" t="n">
        <x:v>11</x:v>
      </x:c>
      <x:c r="AC241" s="6" t="n">
        <x:v>0</x:v>
      </x:c>
    </x:row>
    <x:row r="242">
      <x:c r="A242" s="6" t="n">
        <x:v>313</x:v>
      </x:c>
      <x:c r="B242" s="6" t="n">
        <x:v>1968</x:v>
      </x:c>
      <x:c r="C242" s="6" t="str">
        <x:v>Graduation</x:v>
      </x:c>
      <x:c r="D242" s="6" t="str">
        <x:v>Widow</x:v>
      </x:c>
      <x:c r="E242" s="6" t="n">
        <x:v>73455</x:v>
      </x:c>
      <x:c r="F242" s="6" t="n">
        <x:v>0</x:v>
      </x:c>
      <x:c r="G242" s="6" t="n">
        <x:v>0</x:v>
      </x:c>
      <x:c r="H242" s="9" t="str">
        <x:v>28-10-2013</x:v>
      </x:c>
      <x:c r="I242" s="6" t="n">
        <x:v>98</x:v>
      </x:c>
      <x:c r="J242" s="6" t="n">
        <x:v>901</x:v>
      </x:c>
      <x:c r="K242" s="6" t="n">
        <x:v>61</x:v>
      </x:c>
      <x:c r="L242" s="6" t="n">
        <x:v>757</x:v>
      </x:c>
      <x:c r="M242" s="6" t="n">
        <x:v>186</x:v>
      </x:c>
      <x:c r="N242" s="6" t="n">
        <x:v>163</x:v>
      </x:c>
      <x:c r="O242" s="6" t="n">
        <x:v>20</x:v>
      </x:c>
      <x:c r="P242" s="6" t="n">
        <x:v>1</x:v>
      </x:c>
      <x:c r="Q242" s="6" t="n">
        <x:v>6</x:v>
      </x:c>
      <x:c r="R242" s="6" t="n">
        <x:v>5</x:v>
      </x:c>
      <x:c r="S242" s="6" t="n">
        <x:v>10</x:v>
      </x:c>
      <x:c r="T242" s="6" t="n">
        <x:v>3</x:v>
      </x:c>
      <x:c r="U242" s="6" t="n">
        <x:v>0</x:v>
      </x:c>
      <x:c r="V242" s="6" t="n">
        <x:v>1</x:v>
      </x:c>
      <x:c r="W242" s="6" t="n">
        <x:v>0</x:v>
      </x:c>
      <x:c r="X242" s="6" t="n">
        <x:v>0</x:v>
      </x:c>
      <x:c r="Y242" s="6" t="n">
        <x:v>0</x:v>
      </x:c>
      <x:c r="Z242" s="6" t="n">
        <x:v>0</x:v>
      </x:c>
      <x:c r="AA242" s="6" t="n">
        <x:v>3</x:v>
      </x:c>
      <x:c r="AB242" s="6" t="n">
        <x:v>11</x:v>
      </x:c>
      <x:c r="AC242" s="6" t="n">
        <x:v>0</x:v>
      </x:c>
    </x:row>
    <x:row r="243">
      <x:c r="A243" s="6" t="n">
        <x:v>9940</x:v>
      </x:c>
      <x:c r="B243" s="6" t="n">
        <x:v>1958</x:v>
      </x:c>
      <x:c r="C243" s="6" t="str">
        <x:v>Graduation</x:v>
      </x:c>
      <x:c r="D243" s="6" t="str">
        <x:v>Together</x:v>
      </x:c>
      <x:c r="E243" s="6" t="n">
        <x:v>64961</x:v>
      </x:c>
      <x:c r="F243" s="6" t="n">
        <x:v>0</x:v>
      </x:c>
      <x:c r="G243" s="6" t="n">
        <x:v>1</x:v>
      </x:c>
      <x:c r="H243" s="9" t="str">
        <x:v>23-12-2012</x:v>
      </x:c>
      <x:c r="I243" s="6" t="n">
        <x:v>97</x:v>
      </x:c>
      <x:c r="J243" s="6" t="n">
        <x:v>382</x:v>
      </x:c>
      <x:c r="K243" s="6" t="n">
        <x:v>114</x:v>
      </x:c>
      <x:c r="L243" s="6" t="n">
        <x:v>276</x:v>
      </x:c>
      <x:c r="M243" s="6" t="n">
        <x:v>75</x:v>
      </x:c>
      <x:c r="N243" s="6" t="n">
        <x:v>124</x:v>
      </x:c>
      <x:c r="O243" s="6" t="n">
        <x:v>38</x:v>
      </x:c>
      <x:c r="P243" s="6" t="n">
        <x:v>2</x:v>
      </x:c>
      <x:c r="Q243" s="6" t="n">
        <x:v>6</x:v>
      </x:c>
      <x:c r="R243" s="6" t="n">
        <x:v>4</x:v>
      </x:c>
      <x:c r="S243" s="6" t="n">
        <x:v>4</x:v>
      </x:c>
      <x:c r="T243" s="6" t="n">
        <x:v>3</x:v>
      </x:c>
      <x:c r="U243" s="6" t="n">
        <x:v>0</x:v>
      </x:c>
      <x:c r="V243" s="6" t="n">
        <x:v>0</x:v>
      </x:c>
      <x:c r="W243" s="6" t="n">
        <x:v>0</x:v>
      </x:c>
      <x:c r="X243" s="6" t="n">
        <x:v>0</x:v>
      </x:c>
      <x:c r="Y243" s="6" t="n">
        <x:v>0</x:v>
      </x:c>
      <x:c r="Z243" s="6" t="n">
        <x:v>0</x:v>
      </x:c>
      <x:c r="AA243" s="6" t="n">
        <x:v>3</x:v>
      </x:c>
      <x:c r="AB243" s="6" t="n">
        <x:v>11</x:v>
      </x:c>
      <x:c r="AC243" s="6" t="n">
        <x:v>0</x:v>
      </x:c>
    </x:row>
    <x:row r="244">
      <x:c r="A244" s="6" t="n">
        <x:v>10735</x:v>
      </x:c>
      <x:c r="B244" s="6" t="n">
        <x:v>1971</x:v>
      </x:c>
      <x:c r="C244" s="6" t="str">
        <x:v>Graduation</x:v>
      </x:c>
      <x:c r="D244" s="6" t="str">
        <x:v>Single</x:v>
      </x:c>
      <x:c r="E244" s="6" t="n">
        <x:v>22804</x:v>
      </x:c>
      <x:c r="F244" s="6" t="n">
        <x:v>1</x:v>
      </x:c>
      <x:c r="G244" s="6" t="n">
        <x:v>0</x:v>
      </x:c>
      <x:c r="H244" s="9" t="str">
        <x:v>31-07-2013</x:v>
      </x:c>
      <x:c r="I244" s="6" t="n">
        <x:v>75</x:v>
      </x:c>
      <x:c r="J244" s="6" t="n">
        <x:v>14</x:v>
      </x:c>
      <x:c r="K244" s="6" t="n">
        <x:v>1</x:v>
      </x:c>
      <x:c r="L244" s="6" t="n">
        <x:v>7</x:v>
      </x:c>
      <x:c r="M244" s="6" t="n">
        <x:v>2</x:v>
      </x:c>
      <x:c r="N244" s="6" t="n">
        <x:v>1</x:v>
      </x:c>
      <x:c r="O244" s="6" t="n">
        <x:v>1</x:v>
      </x:c>
      <x:c r="P244" s="6" t="n">
        <x:v>1</x:v>
      </x:c>
      <x:c r="Q244" s="6" t="n">
        <x:v>2</x:v>
      </x:c>
      <x:c r="R244" s="6" t="n">
        <x:v>0</x:v>
      </x:c>
      <x:c r="S244" s="6" t="n">
        <x:v>2</x:v>
      </x:c>
      <x:c r="T244" s="6" t="n">
        <x:v>9</x:v>
      </x:c>
      <x:c r="U244" s="6" t="n">
        <x:v>0</x:v>
      </x:c>
      <x:c r="V244" s="6" t="n">
        <x:v>0</x:v>
      </x:c>
      <x:c r="W244" s="6" t="n">
        <x:v>0</x:v>
      </x:c>
      <x:c r="X244" s="6" t="n">
        <x:v>0</x:v>
      </x:c>
      <x:c r="Y244" s="6" t="n">
        <x:v>0</x:v>
      </x:c>
      <x:c r="Z244" s="6" t="n">
        <x:v>0</x:v>
      </x:c>
      <x:c r="AA244" s="6" t="n">
        <x:v>3</x:v>
      </x:c>
      <x:c r="AB244" s="6" t="n">
        <x:v>11</x:v>
      </x:c>
      <x:c r="AC244" s="6" t="n">
        <x:v>0</x:v>
      </x:c>
    </x:row>
    <x:row r="245">
      <x:c r="A245" s="6" t="n">
        <x:v>9529</x:v>
      </x:c>
      <x:c r="B245" s="6" t="n">
        <x:v>1990</x:v>
      </x:c>
      <x:c r="C245" s="6" t="str">
        <x:v>Graduation</x:v>
      </x:c>
      <x:c r="D245" s="6" t="str">
        <x:v>Married</x:v>
      </x:c>
      <x:c r="E245" s="6" t="n">
        <x:v>73687</x:v>
      </x:c>
      <x:c r="F245" s="6" t="n">
        <x:v>0</x:v>
      </x:c>
      <x:c r="G245" s="6" t="n">
        <x:v>0</x:v>
      </x:c>
      <x:c r="H245" s="9" t="str">
        <x:v>28-11-2013</x:v>
      </x:c>
      <x:c r="I245" s="6" t="n">
        <x:v>8</x:v>
      </x:c>
      <x:c r="J245" s="6" t="n">
        <x:v>559</x:v>
      </x:c>
      <x:c r="K245" s="6" t="n">
        <x:v>153</x:v>
      </x:c>
      <x:c r="L245" s="6" t="n">
        <x:v>503</x:v>
      </x:c>
      <x:c r="M245" s="6" t="n">
        <x:v>218</x:v>
      </x:c>
      <x:c r="N245" s="6" t="n">
        <x:v>13</x:v>
      </x:c>
      <x:c r="O245" s="6" t="n">
        <x:v>181</x:v>
      </x:c>
      <x:c r="P245" s="6" t="n">
        <x:v>1</x:v>
      </x:c>
      <x:c r="Q245" s="6" t="n">
        <x:v>3</x:v>
      </x:c>
      <x:c r="R245" s="6" t="n">
        <x:v>9</x:v>
      </x:c>
      <x:c r="S245" s="6" t="n">
        <x:v>9</x:v>
      </x:c>
      <x:c r="T245" s="6" t="n">
        <x:v>2</x:v>
      </x:c>
      <x:c r="U245" s="6" t="n">
        <x:v>0</x:v>
      </x:c>
      <x:c r="V245" s="6" t="n">
        <x:v>0</x:v>
      </x:c>
      <x:c r="W245" s="6" t="n">
        <x:v>0</x:v>
      </x:c>
      <x:c r="X245" s="6" t="n">
        <x:v>1</x:v>
      </x:c>
      <x:c r="Y245" s="6" t="n">
        <x:v>0</x:v>
      </x:c>
      <x:c r="Z245" s="6" t="n">
        <x:v>0</x:v>
      </x:c>
      <x:c r="AA245" s="6" t="n">
        <x:v>3</x:v>
      </x:c>
      <x:c r="AB245" s="6" t="n">
        <x:v>11</x:v>
      </x:c>
      <x:c r="AC245" s="6" t="n">
        <x:v>1</x:v>
      </x:c>
    </x:row>
    <x:row r="246">
      <x:c r="A246" s="6" t="n">
        <x:v>6439</x:v>
      </x:c>
      <x:c r="B246" s="6" t="n">
        <x:v>1958</x:v>
      </x:c>
      <x:c r="C246" s="6" t="str">
        <x:v>Graduation</x:v>
      </x:c>
      <x:c r="D246" s="6" t="str">
        <x:v>Married</x:v>
      </x:c>
      <x:c r="E246" s="6" t="n">
        <x:v>61074</x:v>
      </x:c>
      <x:c r="F246" s="6" t="n">
        <x:v>0</x:v>
      </x:c>
      <x:c r="G246" s="6" t="n">
        <x:v>1</x:v>
      </x:c>
      <x:c r="H246" s="9" t="str">
        <x:v>17-08-2012</x:v>
      </x:c>
      <x:c r="I246" s="6" t="n">
        <x:v>37</x:v>
      </x:c>
      <x:c r="J246" s="6" t="n">
        <x:v>789</x:v>
      </x:c>
      <x:c r="K246" s="6" t="n">
        <x:v>0</x:v>
      </x:c>
      <x:c r="L246" s="6" t="n">
        <x:v>133</x:v>
      </x:c>
      <x:c r="M246" s="6" t="n">
        <x:v>0</x:v>
      </x:c>
      <x:c r="N246" s="6" t="n">
        <x:v>28</x:v>
      </x:c>
      <x:c r="O246" s="6" t="n">
        <x:v>152</x:v>
      </x:c>
      <x:c r="P246" s="6" t="n">
        <x:v>7</x:v>
      </x:c>
      <x:c r="Q246" s="6" t="n">
        <x:v>11</x:v>
      </x:c>
      <x:c r="R246" s="6" t="n">
        <x:v>5</x:v>
      </x:c>
      <x:c r="S246" s="6" t="n">
        <x:v>8</x:v>
      </x:c>
      <x:c r="T246" s="6" t="n">
        <x:v>7</x:v>
      </x:c>
      <x:c r="U246" s="6" t="n">
        <x:v>0</x:v>
      </x:c>
      <x:c r="V246" s="6" t="n">
        <x:v>0</x:v>
      </x:c>
      <x:c r="W246" s="6" t="n">
        <x:v>0</x:v>
      </x:c>
      <x:c r="X246" s="6" t="n">
        <x:v>0</x:v>
      </x:c>
      <x:c r="Y246" s="6" t="n">
        <x:v>0</x:v>
      </x:c>
      <x:c r="Z246" s="6" t="n">
        <x:v>0</x:v>
      </x:c>
      <x:c r="AA246" s="6" t="n">
        <x:v>3</x:v>
      </x:c>
      <x:c r="AB246" s="6" t="n">
        <x:v>11</x:v>
      </x:c>
      <x:c r="AC246" s="6" t="n">
        <x:v>0</x:v>
      </x:c>
    </x:row>
    <x:row r="247">
      <x:c r="A247" s="6" t="n">
        <x:v>7411</x:v>
      </x:c>
      <x:c r="B247" s="6" t="n">
        <x:v>1964</x:v>
      </x:c>
      <x:c r="C247" s="6" t="str">
        <x:v>PhD</x:v>
      </x:c>
      <x:c r="D247" s="6" t="str">
        <x:v>Married</x:v>
      </x:c>
      <x:c r="E247" s="6" t="n">
        <x:v>31686</x:v>
      </x:c>
      <x:c r="F247" s="6" t="n">
        <x:v>1</x:v>
      </x:c>
      <x:c r="G247" s="6" t="n">
        <x:v>1</x:v>
      </x:c>
      <x:c r="H247" s="9" t="str">
        <x:v>05-06-2014</x:v>
      </x:c>
      <x:c r="I247" s="6" t="n">
        <x:v>31</x:v>
      </x:c>
      <x:c r="J247" s="6" t="n">
        <x:v>11</x:v>
      </x:c>
      <x:c r="K247" s="6" t="n">
        <x:v>0</x:v>
      </x:c>
      <x:c r="L247" s="6" t="n">
        <x:v>5</x:v>
      </x:c>
      <x:c r="M247" s="6" t="n">
        <x:v>0</x:v>
      </x:c>
      <x:c r="N247" s="6" t="n">
        <x:v>0</x:v>
      </x:c>
      <x:c r="O247" s="6" t="n">
        <x:v>1</x:v>
      </x:c>
      <x:c r="P247" s="6" t="n">
        <x:v>2</x:v>
      </x:c>
      <x:c r="Q247" s="6" t="n">
        <x:v>1</x:v>
      </x:c>
      <x:c r="R247" s="6" t="n">
        <x:v>0</x:v>
      </x:c>
      <x:c r="S247" s="6" t="n">
        <x:v>3</x:v>
      </x:c>
      <x:c r="T247" s="6" t="n">
        <x:v>6</x:v>
      </x:c>
      <x:c r="U247" s="6" t="n">
        <x:v>0</x:v>
      </x:c>
      <x:c r="V247" s="6" t="n">
        <x:v>0</x:v>
      </x:c>
      <x:c r="W247" s="6" t="n">
        <x:v>0</x:v>
      </x:c>
      <x:c r="X247" s="6" t="n">
        <x:v>0</x:v>
      </x:c>
      <x:c r="Y247" s="6" t="n">
        <x:v>0</x:v>
      </x:c>
      <x:c r="Z247" s="6" t="n">
        <x:v>0</x:v>
      </x:c>
      <x:c r="AA247" s="6" t="n">
        <x:v>3</x:v>
      </x:c>
      <x:c r="AB247" s="6" t="n">
        <x:v>11</x:v>
      </x:c>
      <x:c r="AC247" s="6" t="n">
        <x:v>0</x:v>
      </x:c>
    </x:row>
    <x:row r="248">
      <x:c r="A248" s="6" t="n">
        <x:v>2176</x:v>
      </x:c>
      <x:c r="B248" s="6" t="n">
        <x:v>1972</x:v>
      </x:c>
      <x:c r="C248" s="6" t="str">
        <x:v>Graduation</x:v>
      </x:c>
      <x:c r="D248" s="6" t="str">
        <x:v>Married</x:v>
      </x:c>
      <x:c r="E248" s="6" t="n">
        <x:v>80134</x:v>
      </x:c>
      <x:c r="F248" s="6" t="n">
        <x:v>1</x:v>
      </x:c>
      <x:c r="G248" s="6" t="n">
        <x:v>0</x:v>
      </x:c>
      <x:c r="H248" s="9" t="str">
        <x:v>20-05-2013</x:v>
      </x:c>
      <x:c r="I248" s="6" t="n">
        <x:v>40</x:v>
      </x:c>
      <x:c r="J248" s="6" t="n">
        <x:v>1218</x:v>
      </x:c>
      <x:c r="K248" s="6" t="n">
        <x:v>16</x:v>
      </x:c>
      <x:c r="L248" s="6" t="n">
        <x:v>272</x:v>
      </x:c>
      <x:c r="M248" s="6" t="n">
        <x:v>104</x:v>
      </x:c>
      <x:c r="N248" s="6" t="n">
        <x:v>0</x:v>
      </x:c>
      <x:c r="O248" s="6" t="n">
        <x:v>80</x:v>
      </x:c>
      <x:c r="P248" s="6" t="n">
        <x:v>2</x:v>
      </x:c>
      <x:c r="Q248" s="6" t="n">
        <x:v>5</x:v>
      </x:c>
      <x:c r="R248" s="6" t="n">
        <x:v>3</x:v>
      </x:c>
      <x:c r="S248" s="6" t="n">
        <x:v>6</x:v>
      </x:c>
      <x:c r="T248" s="6" t="n">
        <x:v>6</x:v>
      </x:c>
      <x:c r="U248" s="6" t="n">
        <x:v>0</x:v>
      </x:c>
      <x:c r="V248" s="6" t="n">
        <x:v>1</x:v>
      </x:c>
      <x:c r="W248" s="6" t="n">
        <x:v>1</x:v>
      </x:c>
      <x:c r="X248" s="6" t="n">
        <x:v>1</x:v>
      </x:c>
      <x:c r="Y248" s="6" t="n">
        <x:v>0</x:v>
      </x:c>
      <x:c r="Z248" s="6" t="n">
        <x:v>0</x:v>
      </x:c>
      <x:c r="AA248" s="6" t="n">
        <x:v>3</x:v>
      </x:c>
      <x:c r="AB248" s="6" t="n">
        <x:v>11</x:v>
      </x:c>
      <x:c r="AC248" s="6" t="n">
        <x:v>1</x:v>
      </x:c>
    </x:row>
    <x:row r="249">
      <x:c r="A249" s="6" t="n">
        <x:v>9265</x:v>
      </x:c>
      <x:c r="B249" s="6" t="n">
        <x:v>1953</x:v>
      </x:c>
      <x:c r="C249" s="6" t="str">
        <x:v>Graduation</x:v>
      </x:c>
      <x:c r="D249" s="6" t="str">
        <x:v>Married</x:v>
      </x:c>
      <x:c r="E249" s="6" t="n">
        <x:v>75027</x:v>
      </x:c>
      <x:c r="F249" s="6" t="n">
        <x:v>0</x:v>
      </x:c>
      <x:c r="G249" s="6" t="n">
        <x:v>1</x:v>
      </x:c>
      <x:c r="H249" s="9" t="str">
        <x:v>09-01-2013</x:v>
      </x:c>
      <x:c r="I249" s="6" t="n">
        <x:v>74</x:v>
      </x:c>
      <x:c r="J249" s="6" t="n">
        <x:v>925</x:v>
      </x:c>
      <x:c r="K249" s="6" t="n">
        <x:v>64</x:v>
      </x:c>
      <x:c r="L249" s="6" t="n">
        <x:v>179</x:v>
      </x:c>
      <x:c r="M249" s="6" t="n">
        <x:v>133</x:v>
      </x:c>
      <x:c r="N249" s="6" t="n">
        <x:v>12</x:v>
      </x:c>
      <x:c r="O249" s="6" t="n">
        <x:v>77</x:v>
      </x:c>
      <x:c r="P249" s="6" t="n">
        <x:v>2</x:v>
      </x:c>
      <x:c r="Q249" s="6" t="n">
        <x:v>9</x:v>
      </x:c>
      <x:c r="R249" s="6" t="n">
        <x:v>4</x:v>
      </x:c>
      <x:c r="S249" s="6" t="n">
        <x:v>6</x:v>
      </x:c>
      <x:c r="T249" s="6" t="n">
        <x:v>5</x:v>
      </x:c>
      <x:c r="U249" s="6" t="n">
        <x:v>0</x:v>
      </x:c>
      <x:c r="V249" s="6" t="n">
        <x:v>0</x:v>
      </x:c>
      <x:c r="W249" s="6" t="n">
        <x:v>0</x:v>
      </x:c>
      <x:c r="X249" s="6" t="n">
        <x:v>0</x:v>
      </x:c>
      <x:c r="Y249" s="6" t="n">
        <x:v>0</x:v>
      </x:c>
      <x:c r="Z249" s="6" t="n">
        <x:v>0</x:v>
      </x:c>
      <x:c r="AA249" s="6" t="n">
        <x:v>3</x:v>
      </x:c>
      <x:c r="AB249" s="6" t="n">
        <x:v>11</x:v>
      </x:c>
      <x:c r="AC249" s="6" t="n">
        <x:v>0</x:v>
      </x:c>
    </x:row>
    <x:row r="250">
      <x:c r="A250" s="6" t="n">
        <x:v>8867</x:v>
      </x:c>
      <x:c r="B250" s="6" t="n">
        <x:v>1988</x:v>
      </x:c>
      <x:c r="C250" s="6" t="str">
        <x:v>PhD</x:v>
      </x:c>
      <x:c r="D250" s="6" t="str">
        <x:v>Married</x:v>
      </x:c>
      <x:c r="E250" s="6" t="n">
        <x:v>67546</x:v>
      </x:c>
      <x:c r="F250" s="6" t="n">
        <x:v>0</x:v>
      </x:c>
      <x:c r="G250" s="6" t="n">
        <x:v>0</x:v>
      </x:c>
      <x:c r="H250" s="9" t="str">
        <x:v>31-08-2012</x:v>
      </x:c>
      <x:c r="I250" s="6" t="n">
        <x:v>90</x:v>
      </x:c>
      <x:c r="J250" s="6" t="n">
        <x:v>864</x:v>
      </x:c>
      <x:c r="K250" s="6" t="n">
        <x:v>134</x:v>
      </x:c>
      <x:c r="L250" s="6" t="n">
        <x:v>768</x:v>
      </x:c>
      <x:c r="M250" s="6" t="n">
        <x:v>150</x:v>
      </x:c>
      <x:c r="N250" s="6" t="n">
        <x:v>38</x:v>
      </x:c>
      <x:c r="O250" s="6" t="n">
        <x:v>172</x:v>
      </x:c>
      <x:c r="P250" s="6" t="n">
        <x:v>1</x:v>
      </x:c>
      <x:c r="Q250" s="6" t="n">
        <x:v>4</x:v>
      </x:c>
      <x:c r="R250" s="6" t="n">
        <x:v>10</x:v>
      </x:c>
      <x:c r="S250" s="6" t="n">
        <x:v>5</x:v>
      </x:c>
      <x:c r="T250" s="6" t="n">
        <x:v>3</x:v>
      </x:c>
      <x:c r="U250" s="6" t="n">
        <x:v>0</x:v>
      </x:c>
      <x:c r="V250" s="6" t="n">
        <x:v>0</x:v>
      </x:c>
      <x:c r="W250" s="6" t="n">
        <x:v>0</x:v>
      </x:c>
      <x:c r="X250" s="6" t="n">
        <x:v>0</x:v>
      </x:c>
      <x:c r="Y250" s="6" t="n">
        <x:v>0</x:v>
      </x:c>
      <x:c r="Z250" s="6" t="n">
        <x:v>0</x:v>
      </x:c>
      <x:c r="AA250" s="6" t="n">
        <x:v>3</x:v>
      </x:c>
      <x:c r="AB250" s="6" t="n">
        <x:v>11</x:v>
      </x:c>
      <x:c r="AC250" s="6" t="n">
        <x:v>0</x:v>
      </x:c>
    </x:row>
    <x:row r="251">
      <x:c r="A251" s="6" t="n">
        <x:v>8932</x:v>
      </x:c>
      <x:c r="B251" s="6" t="n">
        <x:v>1969</x:v>
      </x:c>
      <x:c r="C251" s="6" t="str">
        <x:v>Master</x:v>
      </x:c>
      <x:c r="D251" s="6" t="str">
        <x:v>Together</x:v>
      </x:c>
      <x:c r="E251" s="6" t="n">
        <x:v>65176</x:v>
      </x:c>
      <x:c r="F251" s="6" t="n">
        <x:v>0</x:v>
      </x:c>
      <x:c r="G251" s="6" t="n">
        <x:v>1</x:v>
      </x:c>
      <x:c r="H251" s="9" t="str">
        <x:v>29-10-2012</x:v>
      </x:c>
      <x:c r="I251" s="6" t="n">
        <x:v>57</x:v>
      </x:c>
      <x:c r="J251" s="6" t="n">
        <x:v>960</x:v>
      </x:c>
      <x:c r="K251" s="6" t="n">
        <x:v>28</x:v>
      </x:c>
      <x:c r="L251" s="6" t="n">
        <x:v>183</x:v>
      </x:c>
      <x:c r="M251" s="6" t="n">
        <x:v>220</x:v>
      </x:c>
      <x:c r="N251" s="6" t="n">
        <x:v>70</x:v>
      </x:c>
      <x:c r="O251" s="6" t="n">
        <x:v>70</x:v>
      </x:c>
      <x:c r="P251" s="6" t="n">
        <x:v>4</x:v>
      </x:c>
      <x:c r="Q251" s="6" t="n">
        <x:v>9</x:v>
      </x:c>
      <x:c r="R251" s="6" t="n">
        <x:v>6</x:v>
      </x:c>
      <x:c r="S251" s="6" t="n">
        <x:v>6</x:v>
      </x:c>
      <x:c r="T251" s="6" t="n">
        <x:v>6</x:v>
      </x:c>
      <x:c r="U251" s="6" t="n">
        <x:v>0</x:v>
      </x:c>
      <x:c r="V251" s="6" t="n">
        <x:v>0</x:v>
      </x:c>
      <x:c r="W251" s="6" t="n">
        <x:v>0</x:v>
      </x:c>
      <x:c r="X251" s="6" t="n">
        <x:v>0</x:v>
      </x:c>
      <x:c r="Y251" s="6" t="n">
        <x:v>0</x:v>
      </x:c>
      <x:c r="Z251" s="6" t="n">
        <x:v>0</x:v>
      </x:c>
      <x:c r="AA251" s="6" t="n">
        <x:v>3</x:v>
      </x:c>
      <x:c r="AB251" s="6" t="n">
        <x:v>11</x:v>
      </x:c>
      <x:c r="AC251" s="6" t="n">
        <x:v>0</x:v>
      </x:c>
    </x:row>
    <x:row r="252">
      <x:c r="A252" s="6" t="n">
        <x:v>10236</x:v>
      </x:c>
      <x:c r="B252" s="6" t="n">
        <x:v>1975</x:v>
      </x:c>
      <x:c r="C252" s="6" t="str">
        <x:v>Master</x:v>
      </x:c>
      <x:c r="D252" s="6" t="str">
        <x:v>Single</x:v>
      </x:c>
      <x:c r="E252" s="6" t="n">
        <x:v>31160</x:v>
      </x:c>
      <x:c r="F252" s="6" t="n">
        <x:v>1</x:v>
      </x:c>
      <x:c r="G252" s="6" t="n">
        <x:v>0</x:v>
      </x:c>
      <x:c r="H252" s="9" t="str">
        <x:v>16-09-2013</x:v>
      </x:c>
      <x:c r="I252" s="6" t="n">
        <x:v>59</x:v>
      </x:c>
      <x:c r="J252" s="6" t="n">
        <x:v>16</x:v>
      </x:c>
      <x:c r="K252" s="6" t="n">
        <x:v>3</x:v>
      </x:c>
      <x:c r="L252" s="6" t="n">
        <x:v>25</x:v>
      </x:c>
      <x:c r="M252" s="6" t="n">
        <x:v>6</x:v>
      </x:c>
      <x:c r="N252" s="6" t="n">
        <x:v>1</x:v>
      </x:c>
      <x:c r="O252" s="6" t="n">
        <x:v>13</x:v>
      </x:c>
      <x:c r="P252" s="6" t="n">
        <x:v>2</x:v>
      </x:c>
      <x:c r="Q252" s="6" t="n">
        <x:v>2</x:v>
      </x:c>
      <x:c r="R252" s="6" t="n">
        <x:v>0</x:v>
      </x:c>
      <x:c r="S252" s="6" t="n">
        <x:v>3</x:v>
      </x:c>
      <x:c r="T252" s="6" t="n">
        <x:v>8</x:v>
      </x:c>
      <x:c r="U252" s="6" t="n">
        <x:v>0</x:v>
      </x:c>
      <x:c r="V252" s="6" t="n">
        <x:v>0</x:v>
      </x:c>
      <x:c r="W252" s="6" t="n">
        <x:v>0</x:v>
      </x:c>
      <x:c r="X252" s="6" t="n">
        <x:v>0</x:v>
      </x:c>
      <x:c r="Y252" s="6" t="n">
        <x:v>0</x:v>
      </x:c>
      <x:c r="Z252" s="6" t="n">
        <x:v>0</x:v>
      </x:c>
      <x:c r="AA252" s="6" t="n">
        <x:v>3</x:v>
      </x:c>
      <x:c r="AB252" s="6" t="n">
        <x:v>11</x:v>
      </x:c>
      <x:c r="AC252" s="6" t="n">
        <x:v>0</x:v>
      </x:c>
    </x:row>
    <x:row r="253">
      <x:c r="A253" s="6" t="n">
        <x:v>6340</x:v>
      </x:c>
      <x:c r="B253" s="6" t="n">
        <x:v>1985</x:v>
      </x:c>
      <x:c r="C253" s="6" t="str">
        <x:v>Graduation</x:v>
      </x:c>
      <x:c r="D253" s="6" t="str">
        <x:v>Single</x:v>
      </x:c>
      <x:c r="E253" s="6" t="n">
        <x:v>29938</x:v>
      </x:c>
      <x:c r="F253" s="6" t="n">
        <x:v>1</x:v>
      </x:c>
      <x:c r="G253" s="6" t="n">
        <x:v>0</x:v>
      </x:c>
      <x:c r="H253" s="9" t="str">
        <x:v>27-10-2013</x:v>
      </x:c>
      <x:c r="I253" s="6" t="n">
        <x:v>52</x:v>
      </x:c>
      <x:c r="J253" s="6" t="n">
        <x:v>3</x:v>
      </x:c>
      <x:c r="K253" s="6" t="n">
        <x:v>3</x:v>
      </x:c>
      <x:c r="L253" s="6" t="n">
        <x:v>7</x:v>
      </x:c>
      <x:c r="M253" s="6" t="n">
        <x:v>0</x:v>
      </x:c>
      <x:c r="N253" s="6" t="n">
        <x:v>2</x:v>
      </x:c>
      <x:c r="O253" s="6" t="n">
        <x:v>11</x:v>
      </x:c>
      <x:c r="P253" s="6" t="n">
        <x:v>2</x:v>
      </x:c>
      <x:c r="Q253" s="6" t="n">
        <x:v>1</x:v>
      </x:c>
      <x:c r="R253" s="6" t="n">
        <x:v>0</x:v>
      </x:c>
      <x:c r="S253" s="6" t="n">
        <x:v>3</x:v>
      </x:c>
      <x:c r="T253" s="6" t="n">
        <x:v>6</x:v>
      </x:c>
      <x:c r="U253" s="6" t="n">
        <x:v>0</x:v>
      </x:c>
      <x:c r="V253" s="6" t="n">
        <x:v>0</x:v>
      </x:c>
      <x:c r="W253" s="6" t="n">
        <x:v>0</x:v>
      </x:c>
      <x:c r="X253" s="6" t="n">
        <x:v>0</x:v>
      </x:c>
      <x:c r="Y253" s="6" t="n">
        <x:v>0</x:v>
      </x:c>
      <x:c r="Z253" s="6" t="n">
        <x:v>0</x:v>
      </x:c>
      <x:c r="AA253" s="6" t="n">
        <x:v>3</x:v>
      </x:c>
      <x:c r="AB253" s="6" t="n">
        <x:v>11</x:v>
      </x:c>
      <x:c r="AC253" s="6" t="n">
        <x:v>0</x:v>
      </x:c>
    </x:row>
    <x:row r="254">
      <x:c r="A254" s="6" t="n">
        <x:v>10089</x:v>
      </x:c>
      <x:c r="B254" s="6" t="n">
        <x:v>1974</x:v>
      </x:c>
      <x:c r="C254" s="6" t="str">
        <x:v>Graduation</x:v>
      </x:c>
      <x:c r="D254" s="6" t="str">
        <x:v>Divorced</x:v>
      </x:c>
      <x:c r="E254" s="6" t="n">
        <x:v>102692</x:v>
      </x:c>
      <x:c r="F254" s="6" t="n">
        <x:v>0</x:v>
      </x:c>
      <x:c r="G254" s="6" t="n">
        <x:v>0</x:v>
      </x:c>
      <x:c r="H254" s="9" t="str">
        <x:v>05-04-2013</x:v>
      </x:c>
      <x:c r="I254" s="6" t="n">
        <x:v>5</x:v>
      </x:c>
      <x:c r="J254" s="6" t="n">
        <x:v>168</x:v>
      </x:c>
      <x:c r="K254" s="6" t="n">
        <x:v>148</x:v>
      </x:c>
      <x:c r="L254" s="6" t="n">
        <x:v>444</x:v>
      </x:c>
      <x:c r="M254" s="6" t="n">
        <x:v>32</x:v>
      </x:c>
      <x:c r="N254" s="6" t="n">
        <x:v>172</x:v>
      </x:c>
      <x:c r="O254" s="6" t="n">
        <x:v>148</x:v>
      </x:c>
      <x:c r="P254" s="6" t="n">
        <x:v>1</x:v>
      </x:c>
      <x:c r="Q254" s="6" t="n">
        <x:v>6</x:v>
      </x:c>
      <x:c r="R254" s="6" t="n">
        <x:v>9</x:v>
      </x:c>
      <x:c r="S254" s="6" t="n">
        <x:v>13</x:v>
      </x:c>
      <x:c r="T254" s="6" t="n">
        <x:v>2</x:v>
      </x:c>
      <x:c r="U254" s="6" t="n">
        <x:v>0</x:v>
      </x:c>
      <x:c r="V254" s="6" t="n">
        <x:v>1</x:v>
      </x:c>
      <x:c r="W254" s="6" t="n">
        <x:v>1</x:v>
      </x:c>
      <x:c r="X254" s="6" t="n">
        <x:v>1</x:v>
      </x:c>
      <x:c r="Y254" s="6" t="n">
        <x:v>1</x:v>
      </x:c>
      <x:c r="Z254" s="6" t="n">
        <x:v>0</x:v>
      </x:c>
      <x:c r="AA254" s="6" t="n">
        <x:v>3</x:v>
      </x:c>
      <x:c r="AB254" s="6" t="n">
        <x:v>11</x:v>
      </x:c>
      <x:c r="AC254" s="6" t="n">
        <x:v>1</x:v>
      </x:c>
    </x:row>
    <x:row r="255">
      <x:c r="A255" s="6" t="n">
        <x:v>2227</x:v>
      </x:c>
      <x:c r="B255" s="6" t="n">
        <x:v>1958</x:v>
      </x:c>
      <x:c r="C255" s="6" t="str">
        <x:v>2n Cycle</x:v>
      </x:c>
      <x:c r="D255" s="6" t="str">
        <x:v>Together</x:v>
      </x:c>
      <x:c r="E255" s="6" t="n">
        <x:v>26490</x:v>
      </x:c>
      <x:c r="F255" s="6" t="n">
        <x:v>0</x:v>
      </x:c>
      <x:c r="G255" s="6" t="n">
        <x:v>0</x:v>
      </x:c>
      <x:c r="H255" s="9" t="str">
        <x:v>22-09-2012</x:v>
      </x:c>
      <x:c r="I255" s="6" t="n">
        <x:v>92</x:v>
      </x:c>
      <x:c r="J255" s="6" t="n">
        <x:v>45</x:v>
      </x:c>
      <x:c r="K255" s="6" t="n">
        <x:v>47</x:v>
      </x:c>
      <x:c r="L255" s="6" t="n">
        <x:v>52</x:v>
      </x:c>
      <x:c r="M255" s="6" t="n">
        <x:v>21</x:v>
      </x:c>
      <x:c r="N255" s="6" t="n">
        <x:v>20</x:v>
      </x:c>
      <x:c r="O255" s="6" t="n">
        <x:v>25</x:v>
      </x:c>
      <x:c r="P255" s="6" t="n">
        <x:v>2</x:v>
      </x:c>
      <x:c r="Q255" s="6" t="n">
        <x:v>3</x:v>
      </x:c>
      <x:c r="R255" s="6" t="n">
        <x:v>1</x:v>
      </x:c>
      <x:c r="S255" s="6" t="n">
        <x:v>5</x:v>
      </x:c>
      <x:c r="T255" s="6" t="n">
        <x:v>6</x:v>
      </x:c>
      <x:c r="U255" s="6" t="n">
        <x:v>0</x:v>
      </x:c>
      <x:c r="V255" s="6" t="n">
        <x:v>0</x:v>
      </x:c>
      <x:c r="W255" s="6" t="n">
        <x:v>0</x:v>
      </x:c>
      <x:c r="X255" s="6" t="n">
        <x:v>0</x:v>
      </x:c>
      <x:c r="Y255" s="6" t="n">
        <x:v>0</x:v>
      </x:c>
      <x:c r="Z255" s="6" t="n">
        <x:v>0</x:v>
      </x:c>
      <x:c r="AA255" s="6" t="n">
        <x:v>3</x:v>
      </x:c>
      <x:c r="AB255" s="6" t="n">
        <x:v>11</x:v>
      </x:c>
      <x:c r="AC255" s="6" t="n">
        <x:v>0</x:v>
      </x:c>
    </x:row>
    <x:row r="256">
      <x:c r="A256" s="6" t="n">
        <x:v>10992</x:v>
      </x:c>
      <x:c r="B256" s="6" t="n">
        <x:v>1967</x:v>
      </x:c>
      <x:c r="C256" s="6" t="str">
        <x:v>Graduation</x:v>
      </x:c>
      <x:c r="D256" s="6" t="str">
        <x:v>Together</x:v>
      </x:c>
      <x:c r="E256" s="6" t="n">
        <x:v>75702</x:v>
      </x:c>
      <x:c r="F256" s="6" t="n">
        <x:v>1</x:v>
      </x:c>
      <x:c r="G256" s="6" t="n">
        <x:v>1</x:v>
      </x:c>
      <x:c r="H256" s="9" t="str">
        <x:v>29-08-2012</x:v>
      </x:c>
      <x:c r="I256" s="6" t="n">
        <x:v>77</x:v>
      </x:c>
      <x:c r="J256" s="6" t="n">
        <x:v>650</x:v>
      </x:c>
      <x:c r="K256" s="6" t="n">
        <x:v>28</x:v>
      </x:c>
      <x:c r="L256" s="6" t="n">
        <x:v>353</x:v>
      </x:c>
      <x:c r="M256" s="6" t="n">
        <x:v>45</x:v>
      </x:c>
      <x:c r="N256" s="6" t="n">
        <x:v>42</x:v>
      </x:c>
      <x:c r="O256" s="6" t="n">
        <x:v>30</x:v>
      </x:c>
      <x:c r="P256" s="6" t="n">
        <x:v>5</x:v>
      </x:c>
      <x:c r="Q256" s="6" t="n">
        <x:v>4</x:v>
      </x:c>
      <x:c r="R256" s="6" t="n">
        <x:v>6</x:v>
      </x:c>
      <x:c r="S256" s="6" t="n">
        <x:v>11</x:v>
      </x:c>
      <x:c r="T256" s="6" t="n">
        <x:v>8</x:v>
      </x:c>
      <x:c r="U256" s="6" t="n">
        <x:v>0</x:v>
      </x:c>
      <x:c r="V256" s="6" t="n">
        <x:v>0</x:v>
      </x:c>
      <x:c r="W256" s="6" t="n">
        <x:v>0</x:v>
      </x:c>
      <x:c r="X256" s="6" t="n">
        <x:v>0</x:v>
      </x:c>
      <x:c r="Y256" s="6" t="n">
        <x:v>0</x:v>
      </x:c>
      <x:c r="Z256" s="6" t="n">
        <x:v>0</x:v>
      </x:c>
      <x:c r="AA256" s="6" t="n">
        <x:v>3</x:v>
      </x:c>
      <x:c r="AB256" s="6" t="n">
        <x:v>11</x:v>
      </x:c>
      <x:c r="AC256" s="6" t="n">
        <x:v>0</x:v>
      </x:c>
    </x:row>
    <x:row r="257">
      <x:c r="A257" s="6" t="n">
        <x:v>5304</x:v>
      </x:c>
      <x:c r="B257" s="6" t="n">
        <x:v>1974</x:v>
      </x:c>
      <x:c r="C257" s="6" t="str">
        <x:v>PhD</x:v>
      </x:c>
      <x:c r="D257" s="6" t="str">
        <x:v>Single</x:v>
      </x:c>
      <x:c r="E257" s="6" t="n">
        <x:v>30899</x:v>
      </x:c>
      <x:c r="F257" s="6" t="n">
        <x:v>1</x:v>
      </x:c>
      <x:c r="G257" s="6" t="n">
        <x:v>0</x:v>
      </x:c>
      <x:c r="H257" s="9" t="str">
        <x:v>13-10-2012</x:v>
      </x:c>
      <x:c r="I257" s="6" t="n">
        <x:v>35</x:v>
      </x:c>
      <x:c r="J257" s="6" t="n">
        <x:v>24</x:v>
      </x:c>
      <x:c r="K257" s="6" t="n">
        <x:v>0</x:v>
      </x:c>
      <x:c r="L257" s="6" t="n">
        <x:v>8</x:v>
      </x:c>
      <x:c r="M257" s="6" t="n">
        <x:v>0</x:v>
      </x:c>
      <x:c r="N257" s="6" t="n">
        <x:v>0</x:v>
      </x:c>
      <x:c r="O257" s="6" t="n">
        <x:v>1</x:v>
      </x:c>
      <x:c r="P257" s="6" t="n">
        <x:v>2</x:v>
      </x:c>
      <x:c r="Q257" s="6" t="n">
        <x:v>1</x:v>
      </x:c>
      <x:c r="R257" s="6" t="n">
        <x:v>0</x:v>
      </x:c>
      <x:c r="S257" s="6" t="n">
        <x:v>3</x:v>
      </x:c>
      <x:c r="T257" s="6" t="n">
        <x:v>6</x:v>
      </x:c>
      <x:c r="U257" s="6" t="n">
        <x:v>0</x:v>
      </x:c>
      <x:c r="V257" s="6" t="n">
        <x:v>0</x:v>
      </x:c>
      <x:c r="W257" s="6" t="n">
        <x:v>0</x:v>
      </x:c>
      <x:c r="X257" s="6" t="n">
        <x:v>0</x:v>
      </x:c>
      <x:c r="Y257" s="6" t="n">
        <x:v>0</x:v>
      </x:c>
      <x:c r="Z257" s="6" t="n">
        <x:v>0</x:v>
      </x:c>
      <x:c r="AA257" s="6" t="n">
        <x:v>3</x:v>
      </x:c>
      <x:c r="AB257" s="6" t="n">
        <x:v>11</x:v>
      </x:c>
      <x:c r="AC257" s="6" t="n">
        <x:v>0</x:v>
      </x:c>
    </x:row>
    <x:row r="258">
      <x:c r="A258" s="6" t="n">
        <x:v>309</x:v>
      </x:c>
      <x:c r="B258" s="6" t="n">
        <x:v>1961</x:v>
      </x:c>
      <x:c r="C258" s="6" t="str">
        <x:v>PhD</x:v>
      </x:c>
      <x:c r="D258" s="6" t="str">
        <x:v>Together</x:v>
      </x:c>
      <x:c r="E258" s="6" t="n">
        <x:v>63342</x:v>
      </x:c>
      <x:c r="F258" s="6" t="n">
        <x:v>0</x:v>
      </x:c>
      <x:c r="G258" s="6" t="n">
        <x:v>1</x:v>
      </x:c>
      <x:c r="H258" s="9" t="str">
        <x:v>16-10-2012</x:v>
      </x:c>
      <x:c r="I258" s="6" t="n">
        <x:v>48</x:v>
      </x:c>
      <x:c r="J258" s="6" t="n">
        <x:v>918</x:v>
      </x:c>
      <x:c r="K258" s="6" t="n">
        <x:v>21</x:v>
      </x:c>
      <x:c r="L258" s="6" t="n">
        <x:v>118</x:v>
      </x:c>
      <x:c r="M258" s="6" t="n">
        <x:v>13</x:v>
      </x:c>
      <x:c r="N258" s="6" t="n">
        <x:v>10</x:v>
      </x:c>
      <x:c r="O258" s="6" t="n">
        <x:v>21</x:v>
      </x:c>
      <x:c r="P258" s="6" t="n">
        <x:v>3</x:v>
      </x:c>
      <x:c r="Q258" s="6" t="n">
        <x:v>8</x:v>
      </x:c>
      <x:c r="R258" s="6" t="n">
        <x:v>3</x:v>
      </x:c>
      <x:c r="S258" s="6" t="n">
        <x:v>5</x:v>
      </x:c>
      <x:c r="T258" s="6" t="n">
        <x:v>6</x:v>
      </x:c>
      <x:c r="U258" s="6" t="n">
        <x:v>0</x:v>
      </x:c>
      <x:c r="V258" s="6" t="n">
        <x:v>1</x:v>
      </x:c>
      <x:c r="W258" s="6" t="n">
        <x:v>0</x:v>
      </x:c>
      <x:c r="X258" s="6" t="n">
        <x:v>0</x:v>
      </x:c>
      <x:c r="Y258" s="6" t="n">
        <x:v>0</x:v>
      </x:c>
      <x:c r="Z258" s="6" t="n">
        <x:v>0</x:v>
      </x:c>
      <x:c r="AA258" s="6" t="n">
        <x:v>3</x:v>
      </x:c>
      <x:c r="AB258" s="6" t="n">
        <x:v>11</x:v>
      </x:c>
      <x:c r="AC258" s="6" t="n">
        <x:v>0</x:v>
      </x:c>
    </x:row>
    <x:row r="259">
      <x:c r="A259" s="6" t="n">
        <x:v>3406</x:v>
      </x:c>
      <x:c r="B259" s="6" t="n">
        <x:v>1964</x:v>
      </x:c>
      <x:c r="C259" s="6" t="str">
        <x:v>Graduation</x:v>
      </x:c>
      <x:c r="D259" s="6" t="str">
        <x:v>Single</x:v>
      </x:c>
      <x:c r="E259" s="6" t="n">
        <x:v>45989</x:v>
      </x:c>
      <x:c r="F259" s="6" t="n">
        <x:v>0</x:v>
      </x:c>
      <x:c r="G259" s="6" t="n">
        <x:v>1</x:v>
      </x:c>
      <x:c r="H259" s="9" t="str">
        <x:v>22-10-2012</x:v>
      </x:c>
      <x:c r="I259" s="6" t="n">
        <x:v>97</x:v>
      </x:c>
      <x:c r="J259" s="6" t="n">
        <x:v>138</x:v>
      </x:c>
      <x:c r="K259" s="6" t="n">
        <x:v>33</x:v>
      </x:c>
      <x:c r="L259" s="6" t="n">
        <x:v>87</x:v>
      </x:c>
      <x:c r="M259" s="6" t="n">
        <x:v>28</x:v>
      </x:c>
      <x:c r="N259" s="6" t="n">
        <x:v>24</x:v>
      </x:c>
      <x:c r="O259" s="6" t="n">
        <x:v>12</x:v>
      </x:c>
      <x:c r="P259" s="6" t="n">
        <x:v>4</x:v>
      </x:c>
      <x:c r="Q259" s="6" t="n">
        <x:v>3</x:v>
      </x:c>
      <x:c r="R259" s="6" t="n">
        <x:v>2</x:v>
      </x:c>
      <x:c r="S259" s="6" t="n">
        <x:v>7</x:v>
      </x:c>
      <x:c r="T259" s="6" t="n">
        <x:v>3</x:v>
      </x:c>
      <x:c r="U259" s="6" t="n">
        <x:v>0</x:v>
      </x:c>
      <x:c r="V259" s="6" t="n">
        <x:v>0</x:v>
      </x:c>
      <x:c r="W259" s="6" t="n">
        <x:v>0</x:v>
      </x:c>
      <x:c r="X259" s="6" t="n">
        <x:v>0</x:v>
      </x:c>
      <x:c r="Y259" s="6" t="n">
        <x:v>0</x:v>
      </x:c>
      <x:c r="Z259" s="6" t="n">
        <x:v>0</x:v>
      </x:c>
      <x:c r="AA259" s="6" t="n">
        <x:v>3</x:v>
      </x:c>
      <x:c r="AB259" s="6" t="n">
        <x:v>11</x:v>
      </x:c>
      <x:c r="AC259" s="6" t="n">
        <x:v>0</x:v>
      </x:c>
    </x:row>
    <x:row r="260">
      <x:c r="A260" s="6" t="n">
        <x:v>2661</x:v>
      </x:c>
      <x:c r="B260" s="6" t="n">
        <x:v>1964</x:v>
      </x:c>
      <x:c r="C260" s="6" t="str">
        <x:v>Graduation</x:v>
      </x:c>
      <x:c r="D260" s="6" t="str">
        <x:v>Single</x:v>
      </x:c>
      <x:c r="E260" s="6" t="n">
        <x:v>18701</x:v>
      </x:c>
      <x:c r="F260" s="6" t="n">
        <x:v>1</x:v>
      </x:c>
      <x:c r="G260" s="6" t="n">
        <x:v>1</x:v>
      </x:c>
      <x:c r="H260" s="9" t="str">
        <x:v>04-06-2013</x:v>
      </x:c>
      <x:c r="I260" s="6" t="n">
        <x:v>95</x:v>
      </x:c>
      <x:c r="J260" s="6" t="n">
        <x:v>12</x:v>
      </x:c>
      <x:c r="K260" s="6" t="n">
        <x:v>4</x:v>
      </x:c>
      <x:c r="L260" s="6" t="n">
        <x:v>2</x:v>
      </x:c>
      <x:c r="M260" s="6" t="n">
        <x:v>10</x:v>
      </x:c>
      <x:c r="N260" s="6" t="n">
        <x:v>6</x:v>
      </x:c>
      <x:c r="O260" s="6" t="n">
        <x:v>10</x:v>
      </x:c>
      <x:c r="P260" s="6" t="n">
        <x:v>4</x:v>
      </x:c>
      <x:c r="Q260" s="6" t="n">
        <x:v>2</x:v>
      </x:c>
      <x:c r="R260" s="6" t="n">
        <x:v>0</x:v>
      </x:c>
      <x:c r="S260" s="6" t="n">
        <x:v>4</x:v>
      </x:c>
      <x:c r="T260" s="6" t="n">
        <x:v>5</x:v>
      </x:c>
      <x:c r="U260" s="6" t="n">
        <x:v>0</x:v>
      </x:c>
      <x:c r="V260" s="6" t="n">
        <x:v>0</x:v>
      </x:c>
      <x:c r="W260" s="6" t="n">
        <x:v>0</x:v>
      </x:c>
      <x:c r="X260" s="6" t="n">
        <x:v>0</x:v>
      </x:c>
      <x:c r="Y260" s="6" t="n">
        <x:v>0</x:v>
      </x:c>
      <x:c r="Z260" s="6" t="n">
        <x:v>0</x:v>
      </x:c>
      <x:c r="AA260" s="6" t="n">
        <x:v>3</x:v>
      </x:c>
      <x:c r="AB260" s="6" t="n">
        <x:v>11</x:v>
      </x:c>
      <x:c r="AC260" s="6" t="n">
        <x:v>0</x:v>
      </x:c>
    </x:row>
    <x:row r="261">
      <x:c r="A261" s="6" t="n">
        <x:v>3153</x:v>
      </x:c>
      <x:c r="B261" s="6" t="n">
        <x:v>1957</x:v>
      </x:c>
      <x:c r="C261" s="6" t="str">
        <x:v>PhD</x:v>
      </x:c>
      <x:c r="D261" s="6" t="str">
        <x:v>Single</x:v>
      </x:c>
      <x:c r="E261" s="6" t="n">
        <x:v>40737</x:v>
      </x:c>
      <x:c r="F261" s="6" t="n">
        <x:v>2</x:v>
      </x:c>
      <x:c r="G261" s="6" t="n">
        <x:v>1</x:v>
      </x:c>
      <x:c r="H261" s="9" t="str">
        <x:v>08-12-2013</x:v>
      </x:c>
      <x:c r="I261" s="6" t="n">
        <x:v>24</x:v>
      </x:c>
      <x:c r="J261" s="6" t="n">
        <x:v>11</x:v>
      </x:c>
      <x:c r="K261" s="6" t="n">
        <x:v>0</x:v>
      </x:c>
      <x:c r="L261" s="6" t="n">
        <x:v>4</x:v>
      </x:c>
      <x:c r="M261" s="6" t="n">
        <x:v>0</x:v>
      </x:c>
      <x:c r="N261" s="6" t="n">
        <x:v>0</x:v>
      </x:c>
      <x:c r="O261" s="6" t="n">
        <x:v>2</x:v>
      </x:c>
      <x:c r="P261" s="6" t="n">
        <x:v>1</x:v>
      </x:c>
      <x:c r="Q261" s="6" t="n">
        <x:v>1</x:v>
      </x:c>
      <x:c r="R261" s="6" t="n">
        <x:v>0</x:v>
      </x:c>
      <x:c r="S261" s="6" t="n">
        <x:v>2</x:v>
      </x:c>
      <x:c r="T261" s="6" t="n">
        <x:v>8</x:v>
      </x:c>
      <x:c r="U261" s="6" t="n">
        <x:v>0</x:v>
      </x:c>
      <x:c r="V261" s="6" t="n">
        <x:v>0</x:v>
      </x:c>
      <x:c r="W261" s="6" t="n">
        <x:v>0</x:v>
      </x:c>
      <x:c r="X261" s="6" t="n">
        <x:v>0</x:v>
      </x:c>
      <x:c r="Y261" s="6" t="n">
        <x:v>0</x:v>
      </x:c>
      <x:c r="Z261" s="6" t="n">
        <x:v>0</x:v>
      </x:c>
      <x:c r="AA261" s="6" t="n">
        <x:v>3</x:v>
      </x:c>
      <x:c r="AB261" s="6" t="n">
        <x:v>11</x:v>
      </x:c>
      <x:c r="AC261" s="6" t="n">
        <x:v>0</x:v>
      </x:c>
    </x:row>
    <x:row r="262">
      <x:c r="A262" s="6" t="n">
        <x:v>10264</x:v>
      </x:c>
      <x:c r="B262" s="6" t="n">
        <x:v>1979</x:v>
      </x:c>
      <x:c r="C262" s="6" t="str">
        <x:v>Graduation</x:v>
      </x:c>
      <x:c r="D262" s="6" t="str">
        <x:v>Divorced</x:v>
      </x:c>
      <x:c r="E262" s="6" t="n">
        <x:v>15287</x:v>
      </x:c>
      <x:c r="F262" s="6" t="n">
        <x:v>1</x:v>
      </x:c>
      <x:c r="G262" s="6" t="n">
        <x:v>0</x:v>
      </x:c>
      <x:c r="H262" s="9" t="str">
        <x:v>10-10-2012</x:v>
      </x:c>
      <x:c r="I262" s="6" t="n">
        <x:v>60</x:v>
      </x:c>
      <x:c r="J262" s="6" t="n">
        <x:v>1</x:v>
      </x:c>
      <x:c r="K262" s="6" t="n">
        <x:v>2</x:v>
      </x:c>
      <x:c r="L262" s="6" t="n">
        <x:v>8</x:v>
      </x:c>
      <x:c r="M262" s="6" t="n">
        <x:v>4</x:v>
      </x:c>
      <x:c r="N262" s="6" t="n">
        <x:v>3</x:v>
      </x:c>
      <x:c r="O262" s="6" t="n">
        <x:v>13</x:v>
      </x:c>
      <x:c r="P262" s="6" t="n">
        <x:v>2</x:v>
      </x:c>
      <x:c r="Q262" s="6" t="n">
        <x:v>1</x:v>
      </x:c>
      <x:c r="R262" s="6" t="n">
        <x:v>1</x:v>
      </x:c>
      <x:c r="S262" s="6" t="n">
        <x:v>2</x:v>
      </x:c>
      <x:c r="T262" s="6" t="n">
        <x:v>7</x:v>
      </x:c>
      <x:c r="U262" s="6" t="n">
        <x:v>1</x:v>
      </x:c>
      <x:c r="V262" s="6" t="n">
        <x:v>0</x:v>
      </x:c>
      <x:c r="W262" s="6" t="n">
        <x:v>0</x:v>
      </x:c>
      <x:c r="X262" s="6" t="n">
        <x:v>0</x:v>
      </x:c>
      <x:c r="Y262" s="6" t="n">
        <x:v>0</x:v>
      </x:c>
      <x:c r="Z262" s="6" t="n">
        <x:v>0</x:v>
      </x:c>
      <x:c r="AA262" s="6" t="n">
        <x:v>3</x:v>
      </x:c>
      <x:c r="AB262" s="6" t="n">
        <x:v>11</x:v>
      </x:c>
      <x:c r="AC262" s="6" t="n">
        <x:v>1</x:v>
      </x:c>
    </x:row>
    <x:row r="263">
      <x:c r="A263" s="6" t="n">
        <x:v>1184</x:v>
      </x:c>
      <x:c r="B263" s="6" t="n">
        <x:v>1968</x:v>
      </x:c>
      <x:c r="C263" s="6" t="str">
        <x:v>PhD</x:v>
      </x:c>
      <x:c r="D263" s="6" t="str">
        <x:v>Divorced</x:v>
      </x:c>
      <x:c r="E263" s="6" t="n">
        <x:v>69674</x:v>
      </x:c>
      <x:c r="F263" s="6" t="n">
        <x:v>0</x:v>
      </x:c>
      <x:c r="G263" s="6" t="n">
        <x:v>2</x:v>
      </x:c>
      <x:c r="H263" s="9" t="str">
        <x:v>22-05-2013</x:v>
      </x:c>
      <x:c r="I263" s="6" t="n">
        <x:v>46</x:v>
      </x:c>
      <x:c r="J263" s="6" t="n">
        <x:v>554</x:v>
      </x:c>
      <x:c r="K263" s="6" t="n">
        <x:v>41</x:v>
      </x:c>
      <x:c r="L263" s="6" t="n">
        <x:v>215</x:v>
      </x:c>
      <x:c r="M263" s="6" t="n">
        <x:v>11</x:v>
      </x:c>
      <x:c r="N263" s="6" t="n">
        <x:v>0</x:v>
      </x:c>
      <x:c r="O263" s="6" t="n">
        <x:v>24</x:v>
      </x:c>
      <x:c r="P263" s="6" t="n">
        <x:v>3</x:v>
      </x:c>
      <x:c r="Q263" s="6" t="n">
        <x:v>10</x:v>
      </x:c>
      <x:c r="R263" s="6" t="n">
        <x:v>2</x:v>
      </x:c>
      <x:c r="S263" s="6" t="n">
        <x:v>10</x:v>
      </x:c>
      <x:c r="T263" s="6" t="n">
        <x:v>5</x:v>
      </x:c>
      <x:c r="U263" s="6" t="n">
        <x:v>0</x:v>
      </x:c>
      <x:c r="V263" s="6" t="n">
        <x:v>0</x:v>
      </x:c>
      <x:c r="W263" s="6" t="n">
        <x:v>0</x:v>
      </x:c>
      <x:c r="X263" s="6" t="n">
        <x:v>0</x:v>
      </x:c>
      <x:c r="Y263" s="6" t="n">
        <x:v>0</x:v>
      </x:c>
      <x:c r="Z263" s="6" t="n">
        <x:v>0</x:v>
      </x:c>
      <x:c r="AA263" s="6" t="n">
        <x:v>3</x:v>
      </x:c>
      <x:c r="AB263" s="6" t="n">
        <x:v>11</x:v>
      </x:c>
      <x:c r="AC263" s="6" t="n">
        <x:v>0</x:v>
      </x:c>
    </x:row>
    <x:row r="264">
      <x:c r="A264" s="6" t="n">
        <x:v>4200</x:v>
      </x:c>
      <x:c r="B264" s="6" t="n">
        <x:v>1970</x:v>
      </x:c>
      <x:c r="C264" s="6" t="str">
        <x:v>Master</x:v>
      </x:c>
      <x:c r="D264" s="6" t="str">
        <x:v>Married</x:v>
      </x:c>
      <x:c r="E264" s="6" t="n">
        <x:v>44159</x:v>
      </x:c>
      <x:c r="F264" s="6" t="n">
        <x:v>1</x:v>
      </x:c>
      <x:c r="G264" s="6" t="n">
        <x:v>0</x:v>
      </x:c>
      <x:c r="H264" s="9" t="str">
        <x:v>17-06-2014</x:v>
      </x:c>
      <x:c r="I264" s="6" t="n">
        <x:v>85</x:v>
      </x:c>
      <x:c r="J264" s="6" t="n">
        <x:v>167</x:v>
      </x:c>
      <x:c r="K264" s="6" t="n">
        <x:v>2</x:v>
      </x:c>
      <x:c r="L264" s="6" t="n">
        <x:v>62</x:v>
      </x:c>
      <x:c r="M264" s="6" t="n">
        <x:v>24</x:v>
      </x:c>
      <x:c r="N264" s="6" t="n">
        <x:v>13</x:v>
      </x:c>
      <x:c r="O264" s="6" t="n">
        <x:v>7</x:v>
      </x:c>
      <x:c r="P264" s="6" t="n">
        <x:v>4</x:v>
      </x:c>
      <x:c r="Q264" s="6" t="n">
        <x:v>4</x:v>
      </x:c>
      <x:c r="R264" s="6" t="n">
        <x:v>1</x:v>
      </x:c>
      <x:c r="S264" s="6" t="n">
        <x:v>6</x:v>
      </x:c>
      <x:c r="T264" s="6" t="n">
        <x:v>5</x:v>
      </x:c>
      <x:c r="U264" s="6" t="n">
        <x:v>0</x:v>
      </x:c>
      <x:c r="V264" s="6" t="n">
        <x:v>0</x:v>
      </x:c>
      <x:c r="W264" s="6" t="n">
        <x:v>0</x:v>
      </x:c>
      <x:c r="X264" s="6" t="n">
        <x:v>0</x:v>
      </x:c>
      <x:c r="Y264" s="6" t="n">
        <x:v>0</x:v>
      </x:c>
      <x:c r="Z264" s="6" t="n">
        <x:v>0</x:v>
      </x:c>
      <x:c r="AA264" s="6" t="n">
        <x:v>3</x:v>
      </x:c>
      <x:c r="AB264" s="6" t="n">
        <x:v>11</x:v>
      </x:c>
      <x:c r="AC264" s="6" t="n">
        <x:v>0</x:v>
      </x:c>
    </x:row>
    <x:row r="265">
      <x:c r="A265" s="6" t="n">
        <x:v>9396</x:v>
      </x:c>
      <x:c r="B265" s="6" t="n">
        <x:v>1978</x:v>
      </x:c>
      <x:c r="C265" s="6" t="str">
        <x:v>PhD</x:v>
      </x:c>
      <x:c r="D265" s="6" t="str">
        <x:v>Married</x:v>
      </x:c>
      <x:c r="E265" s="6" t="n">
        <x:v>37717</x:v>
      </x:c>
      <x:c r="F265" s="6" t="n">
        <x:v>1</x:v>
      </x:c>
      <x:c r="G265" s="6" t="n">
        <x:v>0</x:v>
      </x:c>
      <x:c r="H265" s="9" t="str">
        <x:v>23-11-2012</x:v>
      </x:c>
      <x:c r="I265" s="6" t="n">
        <x:v>31</x:v>
      </x:c>
      <x:c r="J265" s="6" t="n">
        <x:v>9</x:v>
      </x:c>
      <x:c r="K265" s="6" t="n">
        <x:v>0</x:v>
      </x:c>
      <x:c r="L265" s="6" t="n">
        <x:v>6</x:v>
      </x:c>
      <x:c r="M265" s="6" t="n">
        <x:v>4</x:v>
      </x:c>
      <x:c r="N265" s="6" t="n">
        <x:v>1</x:v>
      </x:c>
      <x:c r="O265" s="6" t="n">
        <x:v>5</x:v>
      </x:c>
      <x:c r="P265" s="6" t="n">
        <x:v>1</x:v>
      </x:c>
      <x:c r="Q265" s="6" t="n">
        <x:v>1</x:v>
      </x:c>
      <x:c r="R265" s="6" t="n">
        <x:v>0</x:v>
      </x:c>
      <x:c r="S265" s="6" t="n">
        <x:v>2</x:v>
      </x:c>
      <x:c r="T265" s="6" t="n">
        <x:v>9</x:v>
      </x:c>
      <x:c r="U265" s="6" t="n">
        <x:v>0</x:v>
      </x:c>
      <x:c r="V265" s="6" t="n">
        <x:v>0</x:v>
      </x:c>
      <x:c r="W265" s="6" t="n">
        <x:v>0</x:v>
      </x:c>
      <x:c r="X265" s="6" t="n">
        <x:v>0</x:v>
      </x:c>
      <x:c r="Y265" s="6" t="n">
        <x:v>0</x:v>
      </x:c>
      <x:c r="Z265" s="6" t="n">
        <x:v>0</x:v>
      </x:c>
      <x:c r="AA265" s="6" t="n">
        <x:v>3</x:v>
      </x:c>
      <x:c r="AB265" s="6" t="n">
        <x:v>11</x:v>
      </x:c>
      <x:c r="AC265" s="6" t="n">
        <x:v>0</x:v>
      </x:c>
    </x:row>
    <x:row r="266">
      <x:c r="A266" s="6" t="n">
        <x:v>2387</x:v>
      </x:c>
      <x:c r="B266" s="6" t="n">
        <x:v>1952</x:v>
      </x:c>
      <x:c r="C266" s="6" t="str">
        <x:v>Master</x:v>
      </x:c>
      <x:c r="D266" s="6" t="str">
        <x:v>Together</x:v>
      </x:c>
      <x:c r="E266" s="6" t="n">
        <x:v>43776</x:v>
      </x:c>
      <x:c r="F266" s="6" t="n">
        <x:v>1</x:v>
      </x:c>
      <x:c r="G266" s="6" t="n">
        <x:v>1</x:v>
      </x:c>
      <x:c r="H266" s="9" t="str">
        <x:v>03-02-2013</x:v>
      </x:c>
      <x:c r="I266" s="6" t="n">
        <x:v>9</x:v>
      </x:c>
      <x:c r="J266" s="6" t="n">
        <x:v>177</x:v>
      </x:c>
      <x:c r="K266" s="6" t="n">
        <x:v>2</x:v>
      </x:c>
      <x:c r="L266" s="6" t="n">
        <x:v>71</x:v>
      </x:c>
      <x:c r="M266" s="6" t="n">
        <x:v>3</x:v>
      </x:c>
      <x:c r="N266" s="6" t="n">
        <x:v>2</x:v>
      </x:c>
      <x:c r="O266" s="6" t="n">
        <x:v>20</x:v>
      </x:c>
      <x:c r="P266" s="6" t="n">
        <x:v>6</x:v>
      </x:c>
      <x:c r="Q266" s="6" t="n">
        <x:v>5</x:v>
      </x:c>
      <x:c r="R266" s="6" t="n">
        <x:v>2</x:v>
      </x:c>
      <x:c r="S266" s="6" t="n">
        <x:v>4</x:v>
      </x:c>
      <x:c r="T266" s="6" t="n">
        <x:v>8</x:v>
      </x:c>
      <x:c r="U266" s="6" t="n">
        <x:v>0</x:v>
      </x:c>
      <x:c r="V266" s="6" t="n">
        <x:v>0</x:v>
      </x:c>
      <x:c r="W266" s="6" t="n">
        <x:v>0</x:v>
      </x:c>
      <x:c r="X266" s="6" t="n">
        <x:v>0</x:v>
      </x:c>
      <x:c r="Y266" s="6" t="n">
        <x:v>0</x:v>
      </x:c>
      <x:c r="Z266" s="6" t="n">
        <x:v>0</x:v>
      </x:c>
      <x:c r="AA266" s="6" t="n">
        <x:v>3</x:v>
      </x:c>
      <x:c r="AB266" s="6" t="n">
        <x:v>11</x:v>
      </x:c>
      <x:c r="AC266" s="6" t="n">
        <x:v>1</x:v>
      </x:c>
    </x:row>
    <x:row r="267">
      <x:c r="A267" s="6" t="n">
        <x:v>6690</x:v>
      </x:c>
      <x:c r="B267" s="6" t="n">
        <x:v>1966</x:v>
      </x:c>
      <x:c r="C267" s="6" t="str">
        <x:v>Master</x:v>
      </x:c>
      <x:c r="D267" s="6" t="str">
        <x:v>Married</x:v>
      </x:c>
      <x:c r="E267" s="6" t="n">
        <x:v>38179</x:v>
      </x:c>
      <x:c r="F267" s="6" t="n">
        <x:v>1</x:v>
      </x:c>
      <x:c r="G267" s="6" t="n">
        <x:v>1</x:v>
      </x:c>
      <x:c r="H267" s="9" t="str">
        <x:v>14-03-2013</x:v>
      </x:c>
      <x:c r="I267" s="6" t="n">
        <x:v>30</x:v>
      </x:c>
      <x:c r="J267" s="6" t="n">
        <x:v>38</x:v>
      </x:c>
      <x:c r="K267" s="6" t="n">
        <x:v>4</x:v>
      </x:c>
      <x:c r="L267" s="6" t="n">
        <x:v>22</x:v>
      </x:c>
      <x:c r="M267" s="6" t="n">
        <x:v>4</x:v>
      </x:c>
      <x:c r="N267" s="6" t="n">
        <x:v>2</x:v>
      </x:c>
      <x:c r="O267" s="6" t="n">
        <x:v>20</x:v>
      </x:c>
      <x:c r="P267" s="6" t="n">
        <x:v>4</x:v>
      </x:c>
      <x:c r="Q267" s="6" t="n">
        <x:v>3</x:v>
      </x:c>
      <x:c r="R267" s="6" t="n">
        <x:v>1</x:v>
      </x:c>
      <x:c r="S267" s="6" t="n">
        <x:v>3</x:v>
      </x:c>
      <x:c r="T267" s="6" t="n">
        <x:v>7</x:v>
      </x:c>
      <x:c r="U267" s="6" t="n">
        <x:v>0</x:v>
      </x:c>
      <x:c r="V267" s="6" t="n">
        <x:v>0</x:v>
      </x:c>
      <x:c r="W267" s="6" t="n">
        <x:v>0</x:v>
      </x:c>
      <x:c r="X267" s="6" t="n">
        <x:v>0</x:v>
      </x:c>
      <x:c r="Y267" s="6" t="n">
        <x:v>0</x:v>
      </x:c>
      <x:c r="Z267" s="6" t="n">
        <x:v>0</x:v>
      </x:c>
      <x:c r="AA267" s="6" t="n">
        <x:v>3</x:v>
      </x:c>
      <x:c r="AB267" s="6" t="n">
        <x:v>11</x:v>
      </x:c>
      <x:c r="AC267" s="6" t="n">
        <x:v>0</x:v>
      </x:c>
    </x:row>
    <x:row r="268">
      <x:c r="A268" s="6" t="n">
        <x:v>1225</x:v>
      </x:c>
      <x:c r="B268" s="6" t="n">
        <x:v>1963</x:v>
      </x:c>
      <x:c r="C268" s="6" t="str">
        <x:v>Graduation</x:v>
      </x:c>
      <x:c r="D268" s="6" t="str">
        <x:v>Married</x:v>
      </x:c>
      <x:c r="E268" s="6" t="n">
        <x:v>80124</x:v>
      </x:c>
      <x:c r="F268" s="6" t="n">
        <x:v>0</x:v>
      </x:c>
      <x:c r="G268" s="6" t="n">
        <x:v>0</x:v>
      </x:c>
      <x:c r="H268" s="9" t="str">
        <x:v>26-06-2014</x:v>
      </x:c>
      <x:c r="I268" s="6" t="n">
        <x:v>47</x:v>
      </x:c>
      <x:c r="J268" s="6" t="n">
        <x:v>483</x:v>
      </x:c>
      <x:c r="K268" s="6" t="n">
        <x:v>84</x:v>
      </x:c>
      <x:c r="L268" s="6" t="n">
        <x:v>398</x:v>
      </x:c>
      <x:c r="M268" s="6" t="n">
        <x:v>205</x:v>
      </x:c>
      <x:c r="N268" s="6" t="n">
        <x:v>84</x:v>
      </x:c>
      <x:c r="O268" s="6" t="n">
        <x:v>241</x:v>
      </x:c>
      <x:c r="P268" s="6" t="n">
        <x:v>1</x:v>
      </x:c>
      <x:c r="Q268" s="6" t="n">
        <x:v>3</x:v>
      </x:c>
      <x:c r="R268" s="6" t="n">
        <x:v>7</x:v>
      </x:c>
      <x:c r="S268" s="6" t="n">
        <x:v>8</x:v>
      </x:c>
      <x:c r="T268" s="6" t="n">
        <x:v>1</x:v>
      </x:c>
      <x:c r="U268" s="6" t="n">
        <x:v>1</x:v>
      </x:c>
      <x:c r="V268" s="6" t="n">
        <x:v>0</x:v>
      </x:c>
      <x:c r="W268" s="6" t="n">
        <x:v>0</x:v>
      </x:c>
      <x:c r="X268" s="6" t="n">
        <x:v>0</x:v>
      </x:c>
      <x:c r="Y268" s="6" t="n">
        <x:v>0</x:v>
      </x:c>
      <x:c r="Z268" s="6" t="n">
        <x:v>0</x:v>
      </x:c>
      <x:c r="AA268" s="6" t="n">
        <x:v>3</x:v>
      </x:c>
      <x:c r="AB268" s="6" t="n">
        <x:v>11</x:v>
      </x:c>
      <x:c r="AC268" s="6" t="n">
        <x:v>0</x:v>
      </x:c>
    </x:row>
    <x:row r="269">
      <x:c r="A269" s="6" t="n">
        <x:v>9703</x:v>
      </x:c>
      <x:c r="B269" s="6" t="n">
        <x:v>1970</x:v>
      </x:c>
      <x:c r="C269" s="6" t="str">
        <x:v>PhD</x:v>
      </x:c>
      <x:c r="D269" s="6" t="str">
        <x:v>Married</x:v>
      </x:c>
      <x:c r="E269" s="6" t="n">
        <x:v>38097</x:v>
      </x:c>
      <x:c r="F269" s="6" t="n">
        <x:v>1</x:v>
      </x:c>
      <x:c r="G269" s="6" t="n">
        <x:v>1</x:v>
      </x:c>
      <x:c r="H269" s="9" t="str">
        <x:v>15-10-2012</x:v>
      </x:c>
      <x:c r="I269" s="6" t="n">
        <x:v>70</x:v>
      </x:c>
      <x:c r="J269" s="6" t="n">
        <x:v>77</x:v>
      </x:c>
      <x:c r="K269" s="6" t="n">
        <x:v>2</x:v>
      </x:c>
      <x:c r="L269" s="6" t="n">
        <x:v>35</x:v>
      </x:c>
      <x:c r="M269" s="6" t="n">
        <x:v>0</x:v>
      </x:c>
      <x:c r="N269" s="6" t="n">
        <x:v>1</x:v>
      </x:c>
      <x:c r="O269" s="6" t="n">
        <x:v>69</x:v>
      </x:c>
      <x:c r="P269" s="6" t="n">
        <x:v>4</x:v>
      </x:c>
      <x:c r="Q269" s="6" t="n">
        <x:v>3</x:v>
      </x:c>
      <x:c r="R269" s="6" t="n">
        <x:v>2</x:v>
      </x:c>
      <x:c r="S269" s="6" t="n">
        <x:v>2</x:v>
      </x:c>
      <x:c r="T269" s="6" t="n">
        <x:v>7</x:v>
      </x:c>
      <x:c r="U269" s="6" t="n">
        <x:v>1</x:v>
      </x:c>
      <x:c r="V269" s="6" t="n">
        <x:v>0</x:v>
      </x:c>
      <x:c r="W269" s="6" t="n">
        <x:v>0</x:v>
      </x:c>
      <x:c r="X269" s="6" t="n">
        <x:v>0</x:v>
      </x:c>
      <x:c r="Y269" s="6" t="n">
        <x:v>0</x:v>
      </x:c>
      <x:c r="Z269" s="6" t="n">
        <x:v>0</x:v>
      </x:c>
      <x:c r="AA269" s="6" t="n">
        <x:v>3</x:v>
      </x:c>
      <x:c r="AB269" s="6" t="n">
        <x:v>11</x:v>
      </x:c>
      <x:c r="AC269" s="6" t="n">
        <x:v>1</x:v>
      </x:c>
    </x:row>
    <x:row r="270">
      <x:c r="A270" s="6" t="n">
        <x:v>291</x:v>
      </x:c>
      <x:c r="B270" s="6" t="n">
        <x:v>1970</x:v>
      </x:c>
      <x:c r="C270" s="6" t="str">
        <x:v>Graduation</x:v>
      </x:c>
      <x:c r="D270" s="6" t="str">
        <x:v>Married</x:v>
      </x:c>
      <x:c r="E270" s="6" t="n">
        <x:v>72940</x:v>
      </x:c>
      <x:c r="F270" s="6" t="n">
        <x:v>0</x:v>
      </x:c>
      <x:c r="G270" s="6" t="n">
        <x:v>0</x:v>
      </x:c>
      <x:c r="H270" s="9" t="str">
        <x:v>19-06-2013</x:v>
      </x:c>
      <x:c r="I270" s="6" t="n">
        <x:v>13</x:v>
      </x:c>
      <x:c r="J270" s="6" t="n">
        <x:v>182</x:v>
      </x:c>
      <x:c r="K270" s="6" t="n">
        <x:v>74</x:v>
      </x:c>
      <x:c r="L270" s="6" t="n">
        <x:v>298</x:v>
      </x:c>
      <x:c r="M270" s="6" t="n">
        <x:v>162</x:v>
      </x:c>
      <x:c r="N270" s="6" t="n">
        <x:v>149</x:v>
      </x:c>
      <x:c r="O270" s="6" t="n">
        <x:v>116</x:v>
      </x:c>
      <x:c r="P270" s="6" t="n">
        <x:v>1</x:v>
      </x:c>
      <x:c r="Q270" s="6" t="n">
        <x:v>3</x:v>
      </x:c>
      <x:c r="R270" s="6" t="n">
        <x:v>3</x:v>
      </x:c>
      <x:c r="S270" s="6" t="n">
        <x:v>6</x:v>
      </x:c>
      <x:c r="T270" s="6" t="n">
        <x:v>1</x:v>
      </x:c>
      <x:c r="U270" s="6" t="n">
        <x:v>0</x:v>
      </x:c>
      <x:c r="V270" s="6" t="n">
        <x:v>0</x:v>
      </x:c>
      <x:c r="W270" s="6" t="n">
        <x:v>0</x:v>
      </x:c>
      <x:c r="X270" s="6" t="n">
        <x:v>0</x:v>
      </x:c>
      <x:c r="Y270" s="6" t="n">
        <x:v>0</x:v>
      </x:c>
      <x:c r="Z270" s="6" t="n">
        <x:v>0</x:v>
      </x:c>
      <x:c r="AA270" s="6" t="n">
        <x:v>3</x:v>
      </x:c>
      <x:c r="AB270" s="6" t="n">
        <x:v>11</x:v>
      </x:c>
      <x:c r="AC270" s="6" t="n">
        <x:v>0</x:v>
      </x:c>
    </x:row>
    <x:row r="271">
      <x:c r="A271" s="6" t="n">
        <x:v>4557</x:v>
      </x:c>
      <x:c r="B271" s="6" t="n">
        <x:v>1970</x:v>
      </x:c>
      <x:c r="C271" s="6" t="str">
        <x:v>Graduation</x:v>
      </x:c>
      <x:c r="D271" s="6" t="str">
        <x:v>Together</x:v>
      </x:c>
      <x:c r="E271" s="6" t="n">
        <x:v>22070</x:v>
      </x:c>
      <x:c r="F271" s="6" t="n">
        <x:v>1</x:v>
      </x:c>
      <x:c r="G271" s="6" t="n">
        <x:v>0</x:v>
      </x:c>
      <x:c r="H271" s="9" t="str">
        <x:v>04-10-2013</x:v>
      </x:c>
      <x:c r="I271" s="6" t="n">
        <x:v>11</x:v>
      </x:c>
      <x:c r="J271" s="6" t="n">
        <x:v>10</x:v>
      </x:c>
      <x:c r="K271" s="6" t="n">
        <x:v>7</x:v>
      </x:c>
      <x:c r="L271" s="6" t="n">
        <x:v>19</x:v>
      </x:c>
      <x:c r="M271" s="6" t="n">
        <x:v>8</x:v>
      </x:c>
      <x:c r="N271" s="6" t="n">
        <x:v>2</x:v>
      </x:c>
      <x:c r="O271" s="6" t="n">
        <x:v>21</x:v>
      </x:c>
      <x:c r="P271" s="6" t="n">
        <x:v>2</x:v>
      </x:c>
      <x:c r="Q271" s="6" t="n">
        <x:v>2</x:v>
      </x:c>
      <x:c r="R271" s="6" t="n">
        <x:v>2</x:v>
      </x:c>
      <x:c r="S271" s="6" t="n">
        <x:v>2</x:v>
      </x:c>
      <x:c r="T271" s="6" t="n">
        <x:v>6</x:v>
      </x:c>
      <x:c r="U271" s="6" t="n">
        <x:v>0</x:v>
      </x:c>
      <x:c r="V271" s="6" t="n">
        <x:v>0</x:v>
      </x:c>
      <x:c r="W271" s="6" t="n">
        <x:v>0</x:v>
      </x:c>
      <x:c r="X271" s="6" t="n">
        <x:v>0</x:v>
      </x:c>
      <x:c r="Y271" s="6" t="n">
        <x:v>0</x:v>
      </x:c>
      <x:c r="Z271" s="6" t="n">
        <x:v>0</x:v>
      </x:c>
      <x:c r="AA271" s="6" t="n">
        <x:v>3</x:v>
      </x:c>
      <x:c r="AB271" s="6" t="n">
        <x:v>11</x:v>
      </x:c>
      <x:c r="AC271" s="6" t="n">
        <x:v>0</x:v>
      </x:c>
    </x:row>
    <x:row r="272">
      <x:c r="A272" s="6" t="n">
        <x:v>2379</x:v>
      </x:c>
      <x:c r="B272" s="6" t="n">
        <x:v>1953</x:v>
      </x:c>
      <x:c r="C272" s="6" t="str">
        <x:v>Graduation</x:v>
      </x:c>
      <x:c r="D272" s="6" t="str">
        <x:v>Single</x:v>
      </x:c>
      <x:c r="E272" s="6" t="n">
        <x:v>69267</x:v>
      </x:c>
      <x:c r="F272" s="6" t="n">
        <x:v>0</x:v>
      </x:c>
      <x:c r="G272" s="6" t="n">
        <x:v>0</x:v>
      </x:c>
      <x:c r="H272" s="9" t="str">
        <x:v>22-09-2012</x:v>
      </x:c>
      <x:c r="I272" s="6" t="n">
        <x:v>31</x:v>
      </x:c>
      <x:c r="J272" s="6" t="n">
        <x:v>778</x:v>
      </x:c>
      <x:c r="K272" s="6" t="n">
        <x:v>44</x:v>
      </x:c>
      <x:c r="L272" s="6" t="n">
        <x:v>499</x:v>
      </x:c>
      <x:c r="M272" s="6" t="n">
        <x:v>95</x:v>
      </x:c>
      <x:c r="N272" s="6" t="n">
        <x:v>73</x:v>
      </x:c>
      <x:c r="O272" s="6" t="n">
        <x:v>146</x:v>
      </x:c>
      <x:c r="P272" s="6" t="n">
        <x:v>2</x:v>
      </x:c>
      <x:c r="Q272" s="6" t="n">
        <x:v>3</x:v>
      </x:c>
      <x:c r="R272" s="6" t="n">
        <x:v>4</x:v>
      </x:c>
      <x:c r="S272" s="6" t="n">
        <x:v>5</x:v>
      </x:c>
      <x:c r="T272" s="6" t="n">
        <x:v>7</x:v>
      </x:c>
      <x:c r="U272" s="6" t="n">
        <x:v>0</x:v>
      </x:c>
      <x:c r="V272" s="6" t="n">
        <x:v>0</x:v>
      </x:c>
      <x:c r="W272" s="6" t="n">
        <x:v>0</x:v>
      </x:c>
      <x:c r="X272" s="6" t="n">
        <x:v>0</x:v>
      </x:c>
      <x:c r="Y272" s="6" t="n">
        <x:v>0</x:v>
      </x:c>
      <x:c r="Z272" s="6" t="n">
        <x:v>0</x:v>
      </x:c>
      <x:c r="AA272" s="6" t="n">
        <x:v>3</x:v>
      </x:c>
      <x:c r="AB272" s="6" t="n">
        <x:v>11</x:v>
      </x:c>
      <x:c r="AC272" s="6" t="n">
        <x:v>1</x:v>
      </x:c>
    </x:row>
    <x:row r="273">
      <x:c r="A273" s="6" t="n">
        <x:v>5726</x:v>
      </x:c>
      <x:c r="B273" s="6" t="n">
        <x:v>1983</x:v>
      </x:c>
      <x:c r="C273" s="6" t="str">
        <x:v>Master</x:v>
      </x:c>
      <x:c r="D273" s="6" t="str">
        <x:v>Single</x:v>
      </x:c>
      <x:c r="E273" s="6" t="n">
        <x:v>31788</x:v>
      </x:c>
      <x:c r="F273" s="6" t="n">
        <x:v>1</x:v>
      </x:c>
      <x:c r="G273" s="6" t="n">
        <x:v>0</x:v>
      </x:c>
      <x:c r="H273" s="9" t="str">
        <x:v>20-03-2014</x:v>
      </x:c>
      <x:c r="I273" s="6" t="n">
        <x:v>15</x:v>
      </x:c>
      <x:c r="J273" s="6" t="n">
        <x:v>16</x:v>
      </x:c>
      <x:c r="K273" s="6" t="n">
        <x:v>7</x:v>
      </x:c>
      <x:c r="L273" s="6" t="n">
        <x:v>23</x:v>
      </x:c>
      <x:c r="M273" s="6" t="n">
        <x:v>0</x:v>
      </x:c>
      <x:c r="N273" s="6" t="n">
        <x:v>8</x:v>
      </x:c>
      <x:c r="O273" s="6" t="n">
        <x:v>6</x:v>
      </x:c>
      <x:c r="P273" s="6" t="n">
        <x:v>3</x:v>
      </x:c>
      <x:c r="Q273" s="6" t="n">
        <x:v>3</x:v>
      </x:c>
      <x:c r="R273" s="6" t="n">
        <x:v>0</x:v>
      </x:c>
      <x:c r="S273" s="6" t="n">
        <x:v>4</x:v>
      </x:c>
      <x:c r="T273" s="6" t="n">
        <x:v>5</x:v>
      </x:c>
      <x:c r="U273" s="6" t="n">
        <x:v>0</x:v>
      </x:c>
      <x:c r="V273" s="6" t="n">
        <x:v>0</x:v>
      </x:c>
      <x:c r="W273" s="6" t="n">
        <x:v>0</x:v>
      </x:c>
      <x:c r="X273" s="6" t="n">
        <x:v>0</x:v>
      </x:c>
      <x:c r="Y273" s="6" t="n">
        <x:v>0</x:v>
      </x:c>
      <x:c r="Z273" s="6" t="n">
        <x:v>1</x:v>
      </x:c>
      <x:c r="AA273" s="6" t="n">
        <x:v>3</x:v>
      </x:c>
      <x:c r="AB273" s="6" t="n">
        <x:v>11</x:v>
      </x:c>
      <x:c r="AC273" s="6" t="n">
        <x:v>0</x:v>
      </x:c>
    </x:row>
    <x:row r="274">
      <x:c r="A274" s="6" t="n">
        <x:v>3066</x:v>
      </x:c>
      <x:c r="B274" s="6" t="n">
        <x:v>1975</x:v>
      </x:c>
      <x:c r="C274" s="6" t="str">
        <x:v>PhD</x:v>
      </x:c>
      <x:c r="D274" s="6" t="str">
        <x:v>Together</x:v>
      </x:c>
      <x:c r="E274" s="6" t="n">
        <x:v>61905</x:v>
      </x:c>
      <x:c r="F274" s="6" t="n">
        <x:v>0</x:v>
      </x:c>
      <x:c r="G274" s="6" t="n">
        <x:v>1</x:v>
      </x:c>
      <x:c r="H274" s="9" t="str">
        <x:v>04-02-2014</x:v>
      </x:c>
      <x:c r="I274" s="6" t="n">
        <x:v>2</x:v>
      </x:c>
      <x:c r="J274" s="6" t="n">
        <x:v>167</x:v>
      </x:c>
      <x:c r="K274" s="6" t="n">
        <x:v>0</x:v>
      </x:c>
      <x:c r="L274" s="6" t="n">
        <x:v>43</x:v>
      </x:c>
      <x:c r="M274" s="6" t="n">
        <x:v>6</x:v>
      </x:c>
      <x:c r="N274" s="6" t="n">
        <x:v>2</x:v>
      </x:c>
      <x:c r="O274" s="6" t="n">
        <x:v>13</x:v>
      </x:c>
      <x:c r="P274" s="6" t="n">
        <x:v>2</x:v>
      </x:c>
      <x:c r="Q274" s="6" t="n">
        <x:v>4</x:v>
      </x:c>
      <x:c r="R274" s="6" t="n">
        <x:v>2</x:v>
      </x:c>
      <x:c r="S274" s="6" t="n">
        <x:v>4</x:v>
      </x:c>
      <x:c r="T274" s="6" t="n">
        <x:v>5</x:v>
      </x:c>
      <x:c r="U274" s="6" t="n">
        <x:v>0</x:v>
      </x:c>
      <x:c r="V274" s="6" t="n">
        <x:v>0</x:v>
      </x:c>
      <x:c r="W274" s="6" t="n">
        <x:v>0</x:v>
      </x:c>
      <x:c r="X274" s="6" t="n">
        <x:v>0</x:v>
      </x:c>
      <x:c r="Y274" s="6" t="n">
        <x:v>0</x:v>
      </x:c>
      <x:c r="Z274" s="6" t="n">
        <x:v>0</x:v>
      </x:c>
      <x:c r="AA274" s="6" t="n">
        <x:v>3</x:v>
      </x:c>
      <x:c r="AB274" s="6" t="n">
        <x:v>11</x:v>
      </x:c>
      <x:c r="AC274" s="6" t="n">
        <x:v>0</x:v>
      </x:c>
    </x:row>
    <x:row r="275">
      <x:c r="A275" s="6" t="n">
        <x:v>6336</x:v>
      </x:c>
      <x:c r="B275" s="6" t="n">
        <x:v>1960</x:v>
      </x:c>
      <x:c r="C275" s="6" t="str">
        <x:v>Graduation</x:v>
      </x:c>
      <x:c r="D275" s="6" t="str">
        <x:v>Married</x:v>
      </x:c>
      <x:c r="E275" s="6" t="n">
        <x:v>29315</x:v>
      </x:c>
      <x:c r="F275" s="6" t="n">
        <x:v>1</x:v>
      </x:c>
      <x:c r="G275" s="6" t="n">
        <x:v>1</x:v>
      </x:c>
      <x:c r="H275" s="9" t="str">
        <x:v>06-04-2014</x:v>
      </x:c>
      <x:c r="I275" s="6" t="n">
        <x:v>55</x:v>
      </x:c>
      <x:c r="J275" s="6" t="n">
        <x:v>13</x:v>
      </x:c>
      <x:c r="K275" s="6" t="n">
        <x:v>2</x:v>
      </x:c>
      <x:c r="L275" s="6" t="n">
        <x:v>14</x:v>
      </x:c>
      <x:c r="M275" s="6" t="n">
        <x:v>8</x:v>
      </x:c>
      <x:c r="N275" s="6" t="n">
        <x:v>7</x:v>
      </x:c>
      <x:c r="O275" s="6" t="n">
        <x:v>4</x:v>
      </x:c>
      <x:c r="P275" s="6" t="n">
        <x:v>4</x:v>
      </x:c>
      <x:c r="Q275" s="6" t="n">
        <x:v>2</x:v>
      </x:c>
      <x:c r="R275" s="6" t="n">
        <x:v>0</x:v>
      </x:c>
      <x:c r="S275" s="6" t="n">
        <x:v>4</x:v>
      </x:c>
      <x:c r="T275" s="6" t="n">
        <x:v>6</x:v>
      </x:c>
      <x:c r="U275" s="6" t="n">
        <x:v>0</x:v>
      </x:c>
      <x:c r="V275" s="6" t="n">
        <x:v>0</x:v>
      </x:c>
      <x:c r="W275" s="6" t="n">
        <x:v>0</x:v>
      </x:c>
      <x:c r="X275" s="6" t="n">
        <x:v>0</x:v>
      </x:c>
      <x:c r="Y275" s="6" t="n">
        <x:v>0</x:v>
      </x:c>
      <x:c r="Z275" s="6" t="n">
        <x:v>0</x:v>
      </x:c>
      <x:c r="AA275" s="6" t="n">
        <x:v>3</x:v>
      </x:c>
      <x:c r="AB275" s="6" t="n">
        <x:v>11</x:v>
      </x:c>
      <x:c r="AC275" s="6" t="n">
        <x:v>0</x:v>
      </x:c>
    </x:row>
    <x:row r="276">
      <x:c r="A276" s="6" t="n">
        <x:v>10967</x:v>
      </x:c>
      <x:c r="B276" s="6" t="n">
        <x:v>1963</x:v>
      </x:c>
      <x:c r="C276" s="6" t="str">
        <x:v>Graduation</x:v>
      </x:c>
      <x:c r="D276" s="6" t="str">
        <x:v>Divorced</x:v>
      </x:c>
      <x:c r="E276" s="6" t="n">
        <x:v>33378</x:v>
      </x:c>
      <x:c r="F276" s="6" t="n">
        <x:v>1</x:v>
      </x:c>
      <x:c r="G276" s="6" t="n">
        <x:v>1</x:v>
      </x:c>
      <x:c r="H276" s="9" t="str">
        <x:v>06-02-2013</x:v>
      </x:c>
      <x:c r="I276" s="6" t="n">
        <x:v>38</x:v>
      </x:c>
      <x:c r="J276" s="6" t="n">
        <x:v>33</x:v>
      </x:c>
      <x:c r="K276" s="6" t="n">
        <x:v>6</x:v>
      </x:c>
      <x:c r="L276" s="6" t="n">
        <x:v>40</x:v>
      </x:c>
      <x:c r="M276" s="6" t="n">
        <x:v>3</x:v>
      </x:c>
      <x:c r="N276" s="6" t="n">
        <x:v>7</x:v>
      </x:c>
      <x:c r="O276" s="6" t="n">
        <x:v>10</x:v>
      </x:c>
      <x:c r="P276" s="6" t="n">
        <x:v>3</x:v>
      </x:c>
      <x:c r="Q276" s="6" t="n">
        <x:v>2</x:v>
      </x:c>
      <x:c r="R276" s="6" t="n">
        <x:v>0</x:v>
      </x:c>
      <x:c r="S276" s="6" t="n">
        <x:v>4</x:v>
      </x:c>
      <x:c r="T276" s="6" t="n">
        <x:v>7</x:v>
      </x:c>
      <x:c r="U276" s="6" t="n">
        <x:v>0</x:v>
      </x:c>
      <x:c r="V276" s="6" t="n">
        <x:v>0</x:v>
      </x:c>
      <x:c r="W276" s="6" t="n">
        <x:v>0</x:v>
      </x:c>
      <x:c r="X276" s="6" t="n">
        <x:v>0</x:v>
      </x:c>
      <x:c r="Y276" s="6" t="n">
        <x:v>0</x:v>
      </x:c>
      <x:c r="Z276" s="6" t="n">
        <x:v>0</x:v>
      </x:c>
      <x:c r="AA276" s="6" t="n">
        <x:v>3</x:v>
      </x:c>
      <x:c r="AB276" s="6" t="n">
        <x:v>11</x:v>
      </x:c>
      <x:c r="AC276" s="6" t="n">
        <x:v>0</x:v>
      </x:c>
    </x:row>
    <x:row r="277">
      <x:c r="A277" s="6" t="n">
        <x:v>2304</x:v>
      </x:c>
      <x:c r="B277" s="6" t="n">
        <x:v>1963</x:v>
      </x:c>
      <x:c r="C277" s="6" t="str">
        <x:v>PhD</x:v>
      </x:c>
      <x:c r="D277" s="6" t="str">
        <x:v>Together</x:v>
      </x:c>
      <x:c r="E277" s="6" t="n">
        <x:v>66313</x:v>
      </x:c>
      <x:c r="F277" s="6" t="n">
        <x:v>0</x:v>
      </x:c>
      <x:c r="G277" s="6" t="n">
        <x:v>1</x:v>
      </x:c>
      <x:c r="H277" s="9" t="str">
        <x:v>16-09-2013</x:v>
      </x:c>
      <x:c r="I277" s="6" t="n">
        <x:v>86</x:v>
      </x:c>
      <x:c r="J277" s="6" t="n">
        <x:v>625</x:v>
      </x:c>
      <x:c r="K277" s="6" t="n">
        <x:v>7</x:v>
      </x:c>
      <x:c r="L277" s="6" t="n">
        <x:v>99</x:v>
      </x:c>
      <x:c r="M277" s="6" t="n">
        <x:v>10</x:v>
      </x:c>
      <x:c r="N277" s="6" t="n">
        <x:v>22</x:v>
      </x:c>
      <x:c r="O277" s="6" t="n">
        <x:v>7</x:v>
      </x:c>
      <x:c r="P277" s="6" t="n">
        <x:v>2</x:v>
      </x:c>
      <x:c r="Q277" s="6" t="n">
        <x:v>6</x:v>
      </x:c>
      <x:c r="R277" s="6" t="n">
        <x:v>3</x:v>
      </x:c>
      <x:c r="S277" s="6" t="n">
        <x:v>12</x:v>
      </x:c>
      <x:c r="T277" s="6" t="n">
        <x:v>4</x:v>
      </x:c>
      <x:c r="U277" s="6" t="n">
        <x:v>0</x:v>
      </x:c>
      <x:c r="V277" s="6" t="n">
        <x:v>0</x:v>
      </x:c>
      <x:c r="W277" s="6" t="n">
        <x:v>0</x:v>
      </x:c>
      <x:c r="X277" s="6" t="n">
        <x:v>0</x:v>
      </x:c>
      <x:c r="Y277" s="6" t="n">
        <x:v>0</x:v>
      </x:c>
      <x:c r="Z277" s="6" t="n">
        <x:v>0</x:v>
      </x:c>
      <x:c r="AA277" s="6" t="n">
        <x:v>3</x:v>
      </x:c>
      <x:c r="AB277" s="6" t="n">
        <x:v>11</x:v>
      </x:c>
      <x:c r="AC277" s="6" t="n">
        <x:v>0</x:v>
      </x:c>
    </x:row>
    <x:row r="278">
      <x:c r="A278" s="6" t="n">
        <x:v>3445</x:v>
      </x:c>
      <x:c r="B278" s="6" t="n">
        <x:v>1956</x:v>
      </x:c>
      <x:c r="C278" s="6" t="str">
        <x:v>Graduation</x:v>
      </x:c>
      <x:c r="D278" s="6" t="str">
        <x:v>Single</x:v>
      </x:c>
      <x:c r="E278" s="6" t="n">
        <x:v>60714</x:v>
      </x:c>
      <x:c r="F278" s="6" t="n">
        <x:v>0</x:v>
      </x:c>
      <x:c r="G278" s="6" t="n">
        <x:v>0</x:v>
      </x:c>
      <x:c r="H278" s="9" t="str">
        <x:v>17-01-2013</x:v>
      </x:c>
      <x:c r="I278" s="6" t="n">
        <x:v>56</x:v>
      </x:c>
      <x:c r="J278" s="6" t="n">
        <x:v>216</x:v>
      </x:c>
      <x:c r="K278" s="6" t="n">
        <x:v>162</x:v>
      </x:c>
      <x:c r="L278" s="6" t="n">
        <x:v>224</x:v>
      </x:c>
      <x:c r="M278" s="6" t="n">
        <x:v>101</x:v>
      </x:c>
      <x:c r="N278" s="6" t="n">
        <x:v>92</x:v>
      </x:c>
      <x:c r="O278" s="6" t="n">
        <x:v>162</x:v>
      </x:c>
      <x:c r="P278" s="6" t="n">
        <x:v>2</x:v>
      </x:c>
      <x:c r="Q278" s="6" t="n">
        <x:v>7</x:v>
      </x:c>
      <x:c r="R278" s="6" t="n">
        <x:v>4</x:v>
      </x:c>
      <x:c r="S278" s="6" t="n">
        <x:v>10</x:v>
      </x:c>
      <x:c r="T278" s="6" t="n">
        <x:v>5</x:v>
      </x:c>
      <x:c r="U278" s="6" t="n">
        <x:v>0</x:v>
      </x:c>
      <x:c r="V278" s="6" t="n">
        <x:v>0</x:v>
      </x:c>
      <x:c r="W278" s="6" t="n">
        <x:v>0</x:v>
      </x:c>
      <x:c r="X278" s="6" t="n">
        <x:v>0</x:v>
      </x:c>
      <x:c r="Y278" s="6" t="n">
        <x:v>0</x:v>
      </x:c>
      <x:c r="Z278" s="6" t="n">
        <x:v>0</x:v>
      </x:c>
      <x:c r="AA278" s="6" t="n">
        <x:v>3</x:v>
      </x:c>
      <x:c r="AB278" s="6" t="n">
        <x:v>11</x:v>
      </x:c>
      <x:c r="AC278" s="6" t="n">
        <x:v>1</x:v>
      </x:c>
    </x:row>
    <x:row r="279">
      <x:c r="A279" s="6" t="n">
        <x:v>7828</x:v>
      </x:c>
      <x:c r="B279" s="6" t="n">
        <x:v>1981</x:v>
      </x:c>
      <x:c r="C279" s="6" t="str">
        <x:v>Master</x:v>
      </x:c>
      <x:c r="D279" s="6" t="str">
        <x:v>Together</x:v>
      </x:c>
      <x:c r="E279" s="6" t="n">
        <x:v>77882</x:v>
      </x:c>
      <x:c r="F279" s="6" t="n">
        <x:v>0</x:v>
      </x:c>
      <x:c r="G279" s="6" t="n">
        <x:v>0</x:v>
      </x:c>
      <x:c r="H279" s="9" t="str">
        <x:v>30-04-2014</x:v>
      </x:c>
      <x:c r="I279" s="6" t="n">
        <x:v>29</x:v>
      </x:c>
      <x:c r="J279" s="6" t="n">
        <x:v>68</x:v>
      </x:c>
      <x:c r="K279" s="6" t="n">
        <x:v>129</x:v>
      </x:c>
      <x:c r="L279" s="6" t="n">
        <x:v>396</x:v>
      </x:c>
      <x:c r="M279" s="6" t="n">
        <x:v>188</x:v>
      </x:c>
      <x:c r="N279" s="6" t="n">
        <x:v>22</x:v>
      </x:c>
      <x:c r="O279" s="6" t="n">
        <x:v>15</x:v>
      </x:c>
      <x:c r="P279" s="6" t="n">
        <x:v>1</x:v>
      </x:c>
      <x:c r="Q279" s="6" t="n">
        <x:v>3</x:v>
      </x:c>
      <x:c r="R279" s="6" t="n">
        <x:v>3</x:v>
      </x:c>
      <x:c r="S279" s="6" t="n">
        <x:v>5</x:v>
      </x:c>
      <x:c r="T279" s="6" t="n">
        <x:v>1</x:v>
      </x:c>
      <x:c r="U279" s="6" t="n">
        <x:v>0</x:v>
      </x:c>
      <x:c r="V279" s="6" t="n">
        <x:v>0</x:v>
      </x:c>
      <x:c r="W279" s="6" t="n">
        <x:v>0</x:v>
      </x:c>
      <x:c r="X279" s="6" t="n">
        <x:v>0</x:v>
      </x:c>
      <x:c r="Y279" s="6" t="n">
        <x:v>0</x:v>
      </x:c>
      <x:c r="Z279" s="6" t="n">
        <x:v>0</x:v>
      </x:c>
      <x:c r="AA279" s="6" t="n">
        <x:v>3</x:v>
      </x:c>
      <x:c r="AB279" s="6" t="n">
        <x:v>11</x:v>
      </x:c>
      <x:c r="AC279" s="6" t="n">
        <x:v>0</x:v>
      </x:c>
    </x:row>
    <x:row r="280">
      <x:c r="A280" s="6" t="n">
        <x:v>3762</x:v>
      </x:c>
      <x:c r="B280" s="6" t="n">
        <x:v>1986</x:v>
      </x:c>
      <x:c r="C280" s="6" t="str">
        <x:v>PhD</x:v>
      </x:c>
      <x:c r="D280" s="6" t="str">
        <x:v>Single</x:v>
      </x:c>
      <x:c r="E280" s="6" t="n">
        <x:v>69867</x:v>
      </x:c>
      <x:c r="F280" s="6" t="n">
        <x:v>0</x:v>
      </x:c>
      <x:c r="G280" s="6" t="n">
        <x:v>0</x:v>
      </x:c>
      <x:c r="H280" s="9" t="str">
        <x:v>02-04-2013</x:v>
      </x:c>
      <x:c r="I280" s="6" t="n">
        <x:v>30</x:v>
      </x:c>
      <x:c r="J280" s="6" t="n">
        <x:v>196</x:v>
      </x:c>
      <x:c r="K280" s="6" t="n">
        <x:v>0</x:v>
      </x:c>
      <x:c r="L280" s="6" t="n">
        <x:v>512</x:v>
      </x:c>
      <x:c r="M280" s="6" t="n">
        <x:v>33</x:v>
      </x:c>
      <x:c r="N280" s="6" t="n">
        <x:v>130</x:v>
      </x:c>
      <x:c r="O280" s="6" t="n">
        <x:v>54</x:v>
      </x:c>
      <x:c r="P280" s="6" t="n">
        <x:v>1</x:v>
      </x:c>
      <x:c r="Q280" s="6" t="n">
        <x:v>3</x:v>
      </x:c>
      <x:c r="R280" s="6" t="n">
        <x:v>5</x:v>
      </x:c>
      <x:c r="S280" s="6" t="n">
        <x:v>8</x:v>
      </x:c>
      <x:c r="T280" s="6" t="n">
        <x:v>1</x:v>
      </x:c>
      <x:c r="U280" s="6" t="n">
        <x:v>0</x:v>
      </x:c>
      <x:c r="V280" s="6" t="n">
        <x:v>0</x:v>
      </x:c>
      <x:c r="W280" s="6" t="n">
        <x:v>0</x:v>
      </x:c>
      <x:c r="X280" s="6" t="n">
        <x:v>1</x:v>
      </x:c>
      <x:c r="Y280" s="6" t="n">
        <x:v>0</x:v>
      </x:c>
      <x:c r="Z280" s="6" t="n">
        <x:v>0</x:v>
      </x:c>
      <x:c r="AA280" s="6" t="n">
        <x:v>3</x:v>
      </x:c>
      <x:c r="AB280" s="6" t="n">
        <x:v>11</x:v>
      </x:c>
      <x:c r="AC280" s="6" t="n">
        <x:v>1</x:v>
      </x:c>
    </x:row>
    <x:row r="281">
      <x:c r="A281" s="6" t="n">
        <x:v>4391</x:v>
      </x:c>
      <x:c r="B281" s="6" t="n">
        <x:v>1968</x:v>
      </x:c>
      <x:c r="C281" s="6" t="str">
        <x:v>Master</x:v>
      </x:c>
      <x:c r="D281" s="6" t="str">
        <x:v>Divorced</x:v>
      </x:c>
      <x:c r="E281" s="6" t="n">
        <x:v>63841</x:v>
      </x:c>
      <x:c r="F281" s="6" t="n">
        <x:v>0</x:v>
      </x:c>
      <x:c r="G281" s="6" t="n">
        <x:v>1</x:v>
      </x:c>
      <x:c r="H281" s="9" t="str">
        <x:v>21-04-2013</x:v>
      </x:c>
      <x:c r="I281" s="6" t="n">
        <x:v>64</x:v>
      </x:c>
      <x:c r="J281" s="6" t="n">
        <x:v>635</x:v>
      </x:c>
      <x:c r="K281" s="6" t="n">
        <x:v>15</x:v>
      </x:c>
      <x:c r="L281" s="6" t="n">
        <x:v>100</x:v>
      </x:c>
      <x:c r="M281" s="6" t="n">
        <x:v>20</x:v>
      </x:c>
      <x:c r="N281" s="6" t="n">
        <x:v>7</x:v>
      </x:c>
      <x:c r="O281" s="6" t="n">
        <x:v>131</x:v>
      </x:c>
      <x:c r="P281" s="6" t="n">
        <x:v>1</x:v>
      </x:c>
      <x:c r="Q281" s="6" t="n">
        <x:v>9</x:v>
      </x:c>
      <x:c r="R281" s="6" t="n">
        <x:v>3</x:v>
      </x:c>
      <x:c r="S281" s="6" t="n">
        <x:v>9</x:v>
      </x:c>
      <x:c r="T281" s="6" t="n">
        <x:v>6</x:v>
      </x:c>
      <x:c r="U281" s="6" t="n">
        <x:v>0</x:v>
      </x:c>
      <x:c r="V281" s="6" t="n">
        <x:v>0</x:v>
      </x:c>
      <x:c r="W281" s="6" t="n">
        <x:v>0</x:v>
      </x:c>
      <x:c r="X281" s="6" t="n">
        <x:v>0</x:v>
      </x:c>
      <x:c r="Y281" s="6" t="n">
        <x:v>0</x:v>
      </x:c>
      <x:c r="Z281" s="6" t="n">
        <x:v>0</x:v>
      </x:c>
      <x:c r="AA281" s="6" t="n">
        <x:v>3</x:v>
      </x:c>
      <x:c r="AB281" s="6" t="n">
        <x:v>11</x:v>
      </x:c>
      <x:c r="AC281" s="6" t="n">
        <x:v>0</x:v>
      </x:c>
    </x:row>
    <x:row r="282">
      <x:c r="A282" s="6" t="n">
        <x:v>4669</x:v>
      </x:c>
      <x:c r="B282" s="6" t="n">
        <x:v>1981</x:v>
      </x:c>
      <x:c r="C282" s="6" t="str">
        <x:v>Basic</x:v>
      </x:c>
      <x:c r="D282" s="6" t="str">
        <x:v>Married</x:v>
      </x:c>
      <x:c r="E282" s="6" t="n">
        <x:v>24480</x:v>
      </x:c>
      <x:c r="F282" s="6" t="n">
        <x:v>1</x:v>
      </x:c>
      <x:c r="G282" s="6" t="n">
        <x:v>0</x:v>
      </x:c>
      <x:c r="H282" s="9" t="str">
        <x:v>11-02-2013</x:v>
      </x:c>
      <x:c r="I282" s="6" t="n">
        <x:v>46</x:v>
      </x:c>
      <x:c r="J282" s="6" t="n">
        <x:v>4</x:v>
      </x:c>
      <x:c r="K282" s="6" t="n">
        <x:v>19</x:v>
      </x:c>
      <x:c r="L282" s="6" t="n">
        <x:v>9</x:v>
      </x:c>
      <x:c r="M282" s="6" t="n">
        <x:v>28</x:v>
      </x:c>
      <x:c r="N282" s="6" t="n">
        <x:v>25</x:v>
      </x:c>
      <x:c r="O282" s="6" t="n">
        <x:v>17</x:v>
      </x:c>
      <x:c r="P282" s="6" t="n">
        <x:v>3</x:v>
      </x:c>
      <x:c r="Q282" s="6" t="n">
        <x:v>3</x:v>
      </x:c>
      <x:c r="R282" s="6" t="n">
        <x:v>0</x:v>
      </x:c>
      <x:c r="S282" s="6" t="n">
        <x:v>4</x:v>
      </x:c>
      <x:c r="T282" s="6" t="n">
        <x:v>7</x:v>
      </x:c>
      <x:c r="U282" s="6" t="n">
        <x:v>0</x:v>
      </x:c>
      <x:c r="V282" s="6" t="n">
        <x:v>0</x:v>
      </x:c>
      <x:c r="W282" s="6" t="n">
        <x:v>0</x:v>
      </x:c>
      <x:c r="X282" s="6" t="n">
        <x:v>0</x:v>
      </x:c>
      <x:c r="Y282" s="6" t="n">
        <x:v>0</x:v>
      </x:c>
      <x:c r="Z282" s="6" t="n">
        <x:v>0</x:v>
      </x:c>
      <x:c r="AA282" s="6" t="n">
        <x:v>3</x:v>
      </x:c>
      <x:c r="AB282" s="6" t="n">
        <x:v>11</x:v>
      </x:c>
      <x:c r="AC282" s="6" t="n">
        <x:v>0</x:v>
      </x:c>
    </x:row>
    <x:row r="283">
      <x:c r="A283" s="6" t="n">
        <x:v>10144</x:v>
      </x:c>
      <x:c r="B283" s="6" t="n">
        <x:v>1976</x:v>
      </x:c>
      <x:c r="C283" s="6" t="str">
        <x:v>Graduation</x:v>
      </x:c>
      <x:c r="D283" s="6" t="str">
        <x:v>Together</x:v>
      </x:c>
      <x:c r="E283" s="6" t="n">
        <x:v>51369</x:v>
      </x:c>
      <x:c r="F283" s="6" t="n">
        <x:v>0</x:v>
      </x:c>
      <x:c r="G283" s="6" t="n">
        <x:v>1</x:v>
      </x:c>
      <x:c r="H283" s="9" t="str">
        <x:v>25-10-2012</x:v>
      </x:c>
      <x:c r="I283" s="6" t="n">
        <x:v>84</x:v>
      </x:c>
      <x:c r="J283" s="6" t="n">
        <x:v>297</x:v>
      </x:c>
      <x:c r="K283" s="6" t="n">
        <x:v>7</x:v>
      </x:c>
      <x:c r="L283" s="6" t="n">
        <x:v>79</x:v>
      </x:c>
      <x:c r="M283" s="6" t="n">
        <x:v>0</x:v>
      </x:c>
      <x:c r="N283" s="6" t="n">
        <x:v>11</x:v>
      </x:c>
      <x:c r="O283" s="6" t="n">
        <x:v>182</x:v>
      </x:c>
      <x:c r="P283" s="6" t="n">
        <x:v>2</x:v>
      </x:c>
      <x:c r="Q283" s="6" t="n">
        <x:v>8</x:v>
      </x:c>
      <x:c r="R283" s="6" t="n">
        <x:v>2</x:v>
      </x:c>
      <x:c r="S283" s="6" t="n">
        <x:v>4</x:v>
      </x:c>
      <x:c r="T283" s="6" t="n">
        <x:v>8</x:v>
      </x:c>
      <x:c r="U283" s="6" t="n">
        <x:v>0</x:v>
      </x:c>
      <x:c r="V283" s="6" t="n">
        <x:v>0</x:v>
      </x:c>
      <x:c r="W283" s="6" t="n">
        <x:v>0</x:v>
      </x:c>
      <x:c r="X283" s="6" t="n">
        <x:v>0</x:v>
      </x:c>
      <x:c r="Y283" s="6" t="n">
        <x:v>0</x:v>
      </x:c>
      <x:c r="Z283" s="6" t="n">
        <x:v>0</x:v>
      </x:c>
      <x:c r="AA283" s="6" t="n">
        <x:v>3</x:v>
      </x:c>
      <x:c r="AB283" s="6" t="n">
        <x:v>11</x:v>
      </x:c>
      <x:c r="AC283" s="6" t="n">
        <x:v>0</x:v>
      </x:c>
    </x:row>
    <x:row r="284">
      <x:c r="A284" s="6" t="n">
        <x:v>8652</x:v>
      </x:c>
      <x:c r="B284" s="6" t="n">
        <x:v>1946</x:v>
      </x:c>
      <x:c r="C284" s="6" t="str">
        <x:v>Graduation</x:v>
      </x:c>
      <x:c r="D284" s="6" t="str">
        <x:v>Together</x:v>
      </x:c>
      <x:c r="E284" s="6" t="n">
        <x:v>37760</x:v>
      </x:c>
      <x:c r="F284" s="6" t="n">
        <x:v>0</x:v>
      </x:c>
      <x:c r="G284" s="6" t="n">
        <x:v>0</x:v>
      </x:c>
      <x:c r="H284" s="9" t="str">
        <x:v>31-08-2012</x:v>
      </x:c>
      <x:c r="I284" s="6" t="n">
        <x:v>20</x:v>
      </x:c>
      <x:c r="J284" s="6" t="n">
        <x:v>84</x:v>
      </x:c>
      <x:c r="K284" s="6" t="n">
        <x:v>5</x:v>
      </x:c>
      <x:c r="L284" s="6" t="n">
        <x:v>38</x:v>
      </x:c>
      <x:c r="M284" s="6" t="n">
        <x:v>150</x:v>
      </x:c>
      <x:c r="N284" s="6" t="n">
        <x:v>12</x:v>
      </x:c>
      <x:c r="O284" s="6" t="n">
        <x:v>28</x:v>
      </x:c>
      <x:c r="P284" s="6" t="n">
        <x:v>2</x:v>
      </x:c>
      <x:c r="Q284" s="6" t="n">
        <x:v>4</x:v>
      </x:c>
      <x:c r="R284" s="6" t="n">
        <x:v>1</x:v>
      </x:c>
      <x:c r="S284" s="6" t="n">
        <x:v>6</x:v>
      </x:c>
      <x:c r="T284" s="6" t="n">
        <x:v>7</x:v>
      </x:c>
      <x:c r="U284" s="6" t="n">
        <x:v>0</x:v>
      </x:c>
      <x:c r="V284" s="6" t="n">
        <x:v>0</x:v>
      </x:c>
      <x:c r="W284" s="6" t="n">
        <x:v>0</x:v>
      </x:c>
      <x:c r="X284" s="6" t="n">
        <x:v>0</x:v>
      </x:c>
      <x:c r="Y284" s="6" t="n">
        <x:v>0</x:v>
      </x:c>
      <x:c r="Z284" s="6" t="n">
        <x:v>0</x:v>
      </x:c>
      <x:c r="AA284" s="6" t="n">
        <x:v>3</x:v>
      </x:c>
      <x:c r="AB284" s="6" t="n">
        <x:v>11</x:v>
      </x:c>
      <x:c r="AC284" s="6" t="n">
        <x:v>0</x:v>
      </x:c>
    </x:row>
    <x:row r="285">
      <x:c r="A285" s="6" t="n">
        <x:v>1672</x:v>
      </x:c>
      <x:c r="B285" s="6" t="n">
        <x:v>1974</x:v>
      </x:c>
      <x:c r="C285" s="6" t="str">
        <x:v>PhD</x:v>
      </x:c>
      <x:c r="D285" s="6" t="str">
        <x:v>Together</x:v>
      </x:c>
      <x:c r="E285" s="6" t="n">
        <x:v>65640</x:v>
      </x:c>
      <x:c r="F285" s="6" t="n">
        <x:v>0</x:v>
      </x:c>
      <x:c r="G285" s="6" t="n">
        <x:v>1</x:v>
      </x:c>
      <x:c r="H285" s="9" t="str">
        <x:v>01-03-2014</x:v>
      </x:c>
      <x:c r="I285" s="6" t="n">
        <x:v>74</x:v>
      </x:c>
      <x:c r="J285" s="6" t="n">
        <x:v>204</x:v>
      </x:c>
      <x:c r="K285" s="6" t="n">
        <x:v>7</x:v>
      </x:c>
      <x:c r="L285" s="6" t="n">
        <x:v>149</x:v>
      </x:c>
      <x:c r="M285" s="6" t="n">
        <x:v>20</x:v>
      </x:c>
      <x:c r="N285" s="6" t="n">
        <x:v>15</x:v>
      </x:c>
      <x:c r="O285" s="6" t="n">
        <x:v>66</x:v>
      </x:c>
      <x:c r="P285" s="6" t="n">
        <x:v>1</x:v>
      </x:c>
      <x:c r="Q285" s="6" t="n">
        <x:v>5</x:v>
      </x:c>
      <x:c r="R285" s="6" t="n">
        <x:v>1</x:v>
      </x:c>
      <x:c r="S285" s="6" t="n">
        <x:v>8</x:v>
      </x:c>
      <x:c r="T285" s="6" t="n">
        <x:v>2</x:v>
      </x:c>
      <x:c r="U285" s="6" t="n">
        <x:v>0</x:v>
      </x:c>
      <x:c r="V285" s="6" t="n">
        <x:v>0</x:v>
      </x:c>
      <x:c r="W285" s="6" t="n">
        <x:v>0</x:v>
      </x:c>
      <x:c r="X285" s="6" t="n">
        <x:v>0</x:v>
      </x:c>
      <x:c r="Y285" s="6" t="n">
        <x:v>0</x:v>
      </x:c>
      <x:c r="Z285" s="6" t="n">
        <x:v>0</x:v>
      </x:c>
      <x:c r="AA285" s="6" t="n">
        <x:v>3</x:v>
      </x:c>
      <x:c r="AB285" s="6" t="n">
        <x:v>11</x:v>
      </x:c>
      <x:c r="AC285" s="6" t="n">
        <x:v>0</x:v>
      </x:c>
    </x:row>
    <x:row r="286">
      <x:c r="A286" s="6" t="n">
        <x:v>8962</x:v>
      </x:c>
      <x:c r="B286" s="6" t="n">
        <x:v>1975</x:v>
      </x:c>
      <x:c r="C286" s="6" t="str">
        <x:v>Master</x:v>
      </x:c>
      <x:c r="D286" s="6" t="str">
        <x:v>Married</x:v>
      </x:c>
      <x:c r="E286" s="6" t="n">
        <x:v>44319</x:v>
      </x:c>
      <x:c r="F286" s="6" t="n">
        <x:v>1</x:v>
      </x:c>
      <x:c r="G286" s="6" t="n">
        <x:v>1</x:v>
      </x:c>
      <x:c r="H286" s="9" t="str">
        <x:v>17-04-2014</x:v>
      </x:c>
      <x:c r="I286" s="6" t="n">
        <x:v>18</x:v>
      </x:c>
      <x:c r="J286" s="6" t="n">
        <x:v>26</x:v>
      </x:c>
      <x:c r="K286" s="6" t="n">
        <x:v>0</x:v>
      </x:c>
      <x:c r="L286" s="6" t="n">
        <x:v>8</x:v>
      </x:c>
      <x:c r="M286" s="6" t="n">
        <x:v>0</x:v>
      </x:c>
      <x:c r="N286" s="6" t="n">
        <x:v>0</x:v>
      </x:c>
      <x:c r="O286" s="6" t="n">
        <x:v>3</x:v>
      </x:c>
      <x:c r="P286" s="6" t="n">
        <x:v>2</x:v>
      </x:c>
      <x:c r="Q286" s="6" t="n">
        <x:v>2</x:v>
      </x:c>
      <x:c r="R286" s="6" t="n">
        <x:v>0</x:v>
      </x:c>
      <x:c r="S286" s="6" t="n">
        <x:v>3</x:v>
      </x:c>
      <x:c r="T286" s="6" t="n">
        <x:v>5</x:v>
      </x:c>
      <x:c r="U286" s="6" t="n">
        <x:v>0</x:v>
      </x:c>
      <x:c r="V286" s="6" t="n">
        <x:v>0</x:v>
      </x:c>
      <x:c r="W286" s="6" t="n">
        <x:v>0</x:v>
      </x:c>
      <x:c r="X286" s="6" t="n">
        <x:v>0</x:v>
      </x:c>
      <x:c r="Y286" s="6" t="n">
        <x:v>0</x:v>
      </x:c>
      <x:c r="Z286" s="6" t="n">
        <x:v>0</x:v>
      </x:c>
      <x:c r="AA286" s="6" t="n">
        <x:v>3</x:v>
      </x:c>
      <x:c r="AB286" s="6" t="n">
        <x:v>11</x:v>
      </x:c>
      <x:c r="AC286" s="6" t="n">
        <x:v>0</x:v>
      </x:c>
    </x:row>
    <x:row r="287">
      <x:c r="A287" s="6" t="n">
        <x:v>9974</x:v>
      </x:c>
      <x:c r="B287" s="6" t="n">
        <x:v>1974</x:v>
      </x:c>
      <x:c r="C287" s="6" t="str">
        <x:v>Graduation</x:v>
      </x:c>
      <x:c r="D287" s="6" t="str">
        <x:v>Married</x:v>
      </x:c>
      <x:c r="E287" s="6" t="n">
        <x:v>30631</x:v>
      </x:c>
      <x:c r="F287" s="6" t="n">
        <x:v>1</x:v>
      </x:c>
      <x:c r="G287" s="6" t="n">
        <x:v>0</x:v>
      </x:c>
      <x:c r="H287" s="9" t="str">
        <x:v>12-07-2013</x:v>
      </x:c>
      <x:c r="I287" s="6" t="n">
        <x:v>75</x:v>
      </x:c>
      <x:c r="J287" s="6" t="n">
        <x:v>15</x:v>
      </x:c>
      <x:c r="K287" s="6" t="n">
        <x:v>6</x:v>
      </x:c>
      <x:c r="L287" s="6" t="n">
        <x:v>20</x:v>
      </x:c>
      <x:c r="M287" s="6" t="n">
        <x:v>4</x:v>
      </x:c>
      <x:c r="N287" s="6" t="n">
        <x:v>5</x:v>
      </x:c>
      <x:c r="O287" s="6" t="n">
        <x:v>20</x:v>
      </x:c>
      <x:c r="P287" s="6" t="n">
        <x:v>1</x:v>
      </x:c>
      <x:c r="Q287" s="6" t="n">
        <x:v>3</x:v>
      </x:c>
      <x:c r="R287" s="6" t="n">
        <x:v>1</x:v>
      </x:c>
      <x:c r="S287" s="6" t="n">
        <x:v>2</x:v>
      </x:c>
      <x:c r="T287" s="6" t="n">
        <x:v>7</x:v>
      </x:c>
      <x:c r="U287" s="6" t="n">
        <x:v>0</x:v>
      </x:c>
      <x:c r="V287" s="6" t="n">
        <x:v>0</x:v>
      </x:c>
      <x:c r="W287" s="6" t="n">
        <x:v>0</x:v>
      </x:c>
      <x:c r="X287" s="6" t="n">
        <x:v>0</x:v>
      </x:c>
      <x:c r="Y287" s="6" t="n">
        <x:v>0</x:v>
      </x:c>
      <x:c r="Z287" s="6" t="n">
        <x:v>0</x:v>
      </x:c>
      <x:c r="AA287" s="6" t="n">
        <x:v>3</x:v>
      </x:c>
      <x:c r="AB287" s="6" t="n">
        <x:v>11</x:v>
      </x:c>
      <x:c r="AC287" s="6" t="n">
        <x:v>0</x:v>
      </x:c>
    </x:row>
    <x:row r="288">
      <x:c r="A288" s="6" t="n">
        <x:v>10983</x:v>
      </x:c>
      <x:c r="B288" s="6" t="n">
        <x:v>1952</x:v>
      </x:c>
      <x:c r="C288" s="6" t="str">
        <x:v>Graduation</x:v>
      </x:c>
      <x:c r="D288" s="6" t="str">
        <x:v>Together</x:v>
      </x:c>
      <x:c r="E288" s="6" t="n">
        <x:v>75278</x:v>
      </x:c>
      <x:c r="F288" s="6" t="n">
        <x:v>0</x:v>
      </x:c>
      <x:c r="G288" s="6" t="n">
        <x:v>0</x:v>
      </x:c>
      <x:c r="H288" s="9" t="str">
        <x:v>29-01-2013</x:v>
      </x:c>
      <x:c r="I288" s="6" t="n">
        <x:v>17</x:v>
      </x:c>
      <x:c r="J288" s="6" t="n">
        <x:v>304</x:v>
      </x:c>
      <x:c r="K288" s="6" t="n">
        <x:v>98</x:v>
      </x:c>
      <x:c r="L288" s="6" t="n">
        <x:v>230</x:v>
      </x:c>
      <x:c r="M288" s="6" t="n">
        <x:v>150</x:v>
      </x:c>
      <x:c r="N288" s="6" t="n">
        <x:v>74</x:v>
      </x:c>
      <x:c r="O288" s="6" t="n">
        <x:v>74</x:v>
      </x:c>
      <x:c r="P288" s="6" t="n">
        <x:v>1</x:v>
      </x:c>
      <x:c r="Q288" s="6" t="n">
        <x:v>6</x:v>
      </x:c>
      <x:c r="R288" s="6" t="n">
        <x:v>3</x:v>
      </x:c>
      <x:c r="S288" s="6" t="n">
        <x:v>13</x:v>
      </x:c>
      <x:c r="T288" s="6" t="n">
        <x:v>3</x:v>
      </x:c>
      <x:c r="U288" s="6" t="n">
        <x:v>0</x:v>
      </x:c>
      <x:c r="V288" s="6" t="n">
        <x:v>0</x:v>
      </x:c>
      <x:c r="W288" s="6" t="n">
        <x:v>0</x:v>
      </x:c>
      <x:c r="X288" s="6" t="n">
        <x:v>0</x:v>
      </x:c>
      <x:c r="Y288" s="6" t="n">
        <x:v>0</x:v>
      </x:c>
      <x:c r="Z288" s="6" t="n">
        <x:v>0</x:v>
      </x:c>
      <x:c r="AA288" s="6" t="n">
        <x:v>3</x:v>
      </x:c>
      <x:c r="AB288" s="6" t="n">
        <x:v>11</x:v>
      </x:c>
      <x:c r="AC288" s="6" t="n">
        <x:v>0</x:v>
      </x:c>
    </x:row>
    <x:row r="289">
      <x:c r="A289" s="6" t="n">
        <x:v>8148</x:v>
      </x:c>
      <x:c r="B289" s="6" t="n">
        <x:v>1956</x:v>
      </x:c>
      <x:c r="C289" s="6" t="str">
        <x:v>Master</x:v>
      </x:c>
      <x:c r="D289" s="6" t="str">
        <x:v>Together</x:v>
      </x:c>
      <x:c r="E289" s="6" t="n">
        <x:v>50898</x:v>
      </x:c>
      <x:c r="F289" s="6" t="n">
        <x:v>1</x:v>
      </x:c>
      <x:c r="G289" s="6" t="n">
        <x:v>1</x:v>
      </x:c>
      <x:c r="H289" s="9" t="str">
        <x:v>08-01-2013</x:v>
      </x:c>
      <x:c r="I289" s="6" t="n">
        <x:v>88</x:v>
      </x:c>
      <x:c r="J289" s="6" t="n">
        <x:v>285</x:v>
      </x:c>
      <x:c r="K289" s="6" t="n">
        <x:v>28</x:v>
      </x:c>
      <x:c r="L289" s="6" t="n">
        <x:v>242</x:v>
      </x:c>
      <x:c r="M289" s="6" t="n">
        <x:v>55</x:v>
      </x:c>
      <x:c r="N289" s="6" t="n">
        <x:v>114</x:v>
      </x:c>
      <x:c r="O289" s="6" t="n">
        <x:v>135</x:v>
      </x:c>
      <x:c r="P289" s="6" t="n">
        <x:v>13</x:v>
      </x:c>
      <x:c r="Q289" s="6" t="n">
        <x:v>6</x:v>
      </x:c>
      <x:c r="R289" s="6" t="n">
        <x:v>2</x:v>
      </x:c>
      <x:c r="S289" s="6" t="n">
        <x:v>12</x:v>
      </x:c>
      <x:c r="T289" s="6" t="n">
        <x:v>5</x:v>
      </x:c>
      <x:c r="U289" s="6" t="n">
        <x:v>0</x:v>
      </x:c>
      <x:c r="V289" s="6" t="n">
        <x:v>0</x:v>
      </x:c>
      <x:c r="W289" s="6" t="n">
        <x:v>0</x:v>
      </x:c>
      <x:c r="X289" s="6" t="n">
        <x:v>0</x:v>
      </x:c>
      <x:c r="Y289" s="6" t="n">
        <x:v>0</x:v>
      </x:c>
      <x:c r="Z289" s="6" t="n">
        <x:v>0</x:v>
      </x:c>
      <x:c r="AA289" s="6" t="n">
        <x:v>3</x:v>
      </x:c>
      <x:c r="AB289" s="6" t="n">
        <x:v>11</x:v>
      </x:c>
      <x:c r="AC289" s="6" t="n">
        <x:v>0</x:v>
      </x:c>
    </x:row>
    <x:row r="290">
      <x:c r="A290" s="6" t="n">
        <x:v>10102</x:v>
      </x:c>
      <x:c r="B290" s="6" t="n">
        <x:v>1966</x:v>
      </x:c>
      <x:c r="C290" s="6" t="str">
        <x:v>Graduation</x:v>
      </x:c>
      <x:c r="D290" s="6" t="str">
        <x:v>Widow</x:v>
      </x:c>
      <x:c r="E290" s="6" t="n">
        <x:v>79946</x:v>
      </x:c>
      <x:c r="F290" s="6" t="n">
        <x:v>0</x:v>
      </x:c>
      <x:c r="G290" s="6" t="n">
        <x:v>0</x:v>
      </x:c>
      <x:c r="H290" s="9" t="str">
        <x:v>12-05-2014</x:v>
      </x:c>
      <x:c r="I290" s="6" t="n">
        <x:v>19</x:v>
      </x:c>
      <x:c r="J290" s="6" t="n">
        <x:v>395</x:v>
      </x:c>
      <x:c r="K290" s="6" t="n">
        <x:v>183</x:v>
      </x:c>
      <x:c r="L290" s="6" t="n">
        <x:v>565</x:v>
      </x:c>
      <x:c r="M290" s="6" t="n">
        <x:v>166</x:v>
      </x:c>
      <x:c r="N290" s="6" t="n">
        <x:v>141</x:v>
      </x:c>
      <x:c r="O290" s="6" t="n">
        <x:v>28</x:v>
      </x:c>
      <x:c r="P290" s="6" t="n">
        <x:v>1</x:v>
      </x:c>
      <x:c r="Q290" s="6" t="n">
        <x:v>5</x:v>
      </x:c>
      <x:c r="R290" s="6" t="n">
        <x:v>11</x:v>
      </x:c>
      <x:c r="S290" s="6" t="n">
        <x:v>5</x:v>
      </x:c>
      <x:c r="T290" s="6" t="n">
        <x:v>3</x:v>
      </x:c>
      <x:c r="U290" s="6" t="n">
        <x:v>0</x:v>
      </x:c>
      <x:c r="V290" s="6" t="n">
        <x:v>0</x:v>
      </x:c>
      <x:c r="W290" s="6" t="n">
        <x:v>0</x:v>
      </x:c>
      <x:c r="X290" s="6" t="n">
        <x:v>0</x:v>
      </x:c>
      <x:c r="Y290" s="6" t="n">
        <x:v>0</x:v>
      </x:c>
      <x:c r="Z290" s="6" t="n">
        <x:v>0</x:v>
      </x:c>
      <x:c r="AA290" s="6" t="n">
        <x:v>3</x:v>
      </x:c>
      <x:c r="AB290" s="6" t="n">
        <x:v>11</x:v>
      </x:c>
      <x:c r="AC290" s="6" t="n">
        <x:v>0</x:v>
      </x:c>
    </x:row>
    <x:row r="291">
      <x:c r="A291" s="6" t="n">
        <x:v>4697</x:v>
      </x:c>
      <x:c r="B291" s="6" t="n">
        <x:v>1949</x:v>
      </x:c>
      <x:c r="C291" s="6" t="str">
        <x:v>Master</x:v>
      </x:c>
      <x:c r="D291" s="6" t="str">
        <x:v>Divorced</x:v>
      </x:c>
      <x:c r="E291" s="6" t="n">
        <x:v>35416</x:v>
      </x:c>
      <x:c r="F291" s="6" t="n">
        <x:v>0</x:v>
      </x:c>
      <x:c r="G291" s="6" t="n">
        <x:v>0</x:v>
      </x:c>
      <x:c r="H291" s="9" t="str">
        <x:v>13-06-2013</x:v>
      </x:c>
      <x:c r="I291" s="6" t="n">
        <x:v>62</x:v>
      </x:c>
      <x:c r="J291" s="6" t="n">
        <x:v>248</x:v>
      </x:c>
      <x:c r="K291" s="6" t="n">
        <x:v>3</x:v>
      </x:c>
      <x:c r="L291" s="6" t="n">
        <x:v>81</x:v>
      </x:c>
      <x:c r="M291" s="6" t="n">
        <x:v>4</x:v>
      </x:c>
      <x:c r="N291" s="6" t="n">
        <x:v>3</x:v>
      </x:c>
      <x:c r="O291" s="6" t="n">
        <x:v>51</x:v>
      </x:c>
      <x:c r="P291" s="6" t="n">
        <x:v>3</x:v>
      </x:c>
      <x:c r="Q291" s="6" t="n">
        <x:v>7</x:v>
      </x:c>
      <x:c r="R291" s="6" t="n">
        <x:v>1</x:v>
      </x:c>
      <x:c r="S291" s="6" t="n">
        <x:v>5</x:v>
      </x:c>
      <x:c r="T291" s="6" t="n">
        <x:v>8</x:v>
      </x:c>
      <x:c r="U291" s="6" t="n">
        <x:v>0</x:v>
      </x:c>
      <x:c r="V291" s="6" t="n">
        <x:v>0</x:v>
      </x:c>
      <x:c r="W291" s="6" t="n">
        <x:v>0</x:v>
      </x:c>
      <x:c r="X291" s="6" t="n">
        <x:v>0</x:v>
      </x:c>
      <x:c r="Y291" s="6" t="n">
        <x:v>0</x:v>
      </x:c>
      <x:c r="Z291" s="6" t="n">
        <x:v>0</x:v>
      </x:c>
      <x:c r="AA291" s="6" t="n">
        <x:v>3</x:v>
      </x:c>
      <x:c r="AB291" s="6" t="n">
        <x:v>11</x:v>
      </x:c>
      <x:c r="AC291" s="6" t="n">
        <x:v>0</x:v>
      </x:c>
    </x:row>
    <x:row r="292">
      <x:c r="A292" s="6" t="n">
        <x:v>9262</x:v>
      </x:c>
      <x:c r="B292" s="6" t="n">
        <x:v>1984</x:v>
      </x:c>
      <x:c r="C292" s="6" t="str">
        <x:v>2n Cycle</x:v>
      </x:c>
      <x:c r="D292" s="6" t="str">
        <x:v>Together</x:v>
      </x:c>
      <x:c r="E292" s="6" t="n">
        <x:v>32414</x:v>
      </x:c>
      <x:c r="F292" s="6" t="n">
        <x:v>0</x:v>
      </x:c>
      <x:c r="G292" s="6" t="n">
        <x:v>0</x:v>
      </x:c>
      <x:c r="H292" s="9" t="str">
        <x:v>04-07-2013</x:v>
      </x:c>
      <x:c r="I292" s="6" t="n">
        <x:v>11</x:v>
      </x:c>
      <x:c r="J292" s="6" t="n">
        <x:v>20</x:v>
      </x:c>
      <x:c r="K292" s="6" t="n">
        <x:v>6</x:v>
      </x:c>
      <x:c r="L292" s="6" t="n">
        <x:v>5</x:v>
      </x:c>
      <x:c r="M292" s="6" t="n">
        <x:v>0</x:v>
      </x:c>
      <x:c r="N292" s="6" t="n">
        <x:v>9</x:v>
      </x:c>
      <x:c r="O292" s="6" t="n">
        <x:v>12</x:v>
      </x:c>
      <x:c r="P292" s="6" t="n">
        <x:v>1</x:v>
      </x:c>
      <x:c r="Q292" s="6" t="n">
        <x:v>1</x:v>
      </x:c>
      <x:c r="R292" s="6" t="n">
        <x:v>0</x:v>
      </x:c>
      <x:c r="S292" s="6" t="n">
        <x:v>3</x:v>
      </x:c>
      <x:c r="T292" s="6" t="n">
        <x:v>7</x:v>
      </x:c>
      <x:c r="U292" s="6" t="n">
        <x:v>1</x:v>
      </x:c>
      <x:c r="V292" s="6" t="n">
        <x:v>0</x:v>
      </x:c>
      <x:c r="W292" s="6" t="n">
        <x:v>0</x:v>
      </x:c>
      <x:c r="X292" s="6" t="n">
        <x:v>0</x:v>
      </x:c>
      <x:c r="Y292" s="6" t="n">
        <x:v>0</x:v>
      </x:c>
      <x:c r="Z292" s="6" t="n">
        <x:v>0</x:v>
      </x:c>
      <x:c r="AA292" s="6" t="n">
        <x:v>3</x:v>
      </x:c>
      <x:c r="AB292" s="6" t="n">
        <x:v>11</x:v>
      </x:c>
      <x:c r="AC292" s="6" t="n">
        <x:v>0</x:v>
      </x:c>
    </x:row>
    <x:row r="293">
      <x:c r="A293" s="6" t="n">
        <x:v>7254</x:v>
      </x:c>
      <x:c r="B293" s="6" t="n">
        <x:v>1969</x:v>
      </x:c>
      <x:c r="C293" s="6" t="str">
        <x:v>Graduation</x:v>
      </x:c>
      <x:c r="D293" s="6" t="str">
        <x:v>Together</x:v>
      </x:c>
      <x:c r="E293" s="6" t="n">
        <x:v>38361</x:v>
      </x:c>
      <x:c r="F293" s="6" t="n">
        <x:v>1</x:v>
      </x:c>
      <x:c r="G293" s="6" t="n">
        <x:v>0</x:v>
      </x:c>
      <x:c r="H293" s="9" t="str">
        <x:v>27-12-2013</x:v>
      </x:c>
      <x:c r="I293" s="6" t="n">
        <x:v>74</x:v>
      </x:c>
      <x:c r="J293" s="6" t="n">
        <x:v>39</x:v>
      </x:c>
      <x:c r="K293" s="6" t="n">
        <x:v>0</x:v>
      </x:c>
      <x:c r="L293" s="6" t="n">
        <x:v>56</x:v>
      </x:c>
      <x:c r="M293" s="6" t="n">
        <x:v>20</x:v>
      </x:c>
      <x:c r="N293" s="6" t="n">
        <x:v>8</x:v>
      </x:c>
      <x:c r="O293" s="6" t="n">
        <x:v>14</x:v>
      </x:c>
      <x:c r="P293" s="6" t="n">
        <x:v>3</x:v>
      </x:c>
      <x:c r="Q293" s="6" t="n">
        <x:v>3</x:v>
      </x:c>
      <x:c r="R293" s="6" t="n">
        <x:v>1</x:v>
      </x:c>
      <x:c r="S293" s="6" t="n">
        <x:v>3</x:v>
      </x:c>
      <x:c r="T293" s="6" t="n">
        <x:v>7</x:v>
      </x:c>
      <x:c r="U293" s="6" t="n">
        <x:v>0</x:v>
      </x:c>
      <x:c r="V293" s="6" t="n">
        <x:v>0</x:v>
      </x:c>
      <x:c r="W293" s="6" t="n">
        <x:v>0</x:v>
      </x:c>
      <x:c r="X293" s="6" t="n">
        <x:v>0</x:v>
      </x:c>
      <x:c r="Y293" s="6" t="n">
        <x:v>0</x:v>
      </x:c>
      <x:c r="Z293" s="6" t="n">
        <x:v>0</x:v>
      </x:c>
      <x:c r="AA293" s="6" t="n">
        <x:v>3</x:v>
      </x:c>
      <x:c r="AB293" s="6" t="n">
        <x:v>11</x:v>
      </x:c>
      <x:c r="AC293" s="6" t="n">
        <x:v>0</x:v>
      </x:c>
    </x:row>
    <x:row r="294">
      <x:c r="A294" s="6" t="n">
        <x:v>4543</x:v>
      </x:c>
      <x:c r="B294" s="6" t="n">
        <x:v>1980</x:v>
      </x:c>
      <x:c r="C294" s="6" t="str">
        <x:v>Graduation</x:v>
      </x:c>
      <x:c r="D294" s="6" t="str">
        <x:v>Married</x:v>
      </x:c>
      <x:c r="E294" s="6" t="n">
        <x:v>82497</x:v>
      </x:c>
      <x:c r="F294" s="6" t="n">
        <x:v>0</x:v>
      </x:c>
      <x:c r="G294" s="6" t="n">
        <x:v>0</x:v>
      </x:c>
      <x:c r="H294" s="9" t="str">
        <x:v>31-10-2012</x:v>
      </x:c>
      <x:c r="I294" s="6" t="n">
        <x:v>32</x:v>
      </x:c>
      <x:c r="J294" s="6" t="n">
        <x:v>777</x:v>
      </x:c>
      <x:c r="K294" s="6" t="n">
        <x:v>129</x:v>
      </x:c>
      <x:c r="L294" s="6" t="n">
        <x:v>573</x:v>
      </x:c>
      <x:c r="M294" s="6" t="n">
        <x:v>216</x:v>
      </x:c>
      <x:c r="N294" s="6" t="n">
        <x:v>21</x:v>
      </x:c>
      <x:c r="O294" s="6" t="n">
        <x:v>203</x:v>
      </x:c>
      <x:c r="P294" s="6" t="n">
        <x:v>1</x:v>
      </x:c>
      <x:c r="Q294" s="6" t="n">
        <x:v>2</x:v>
      </x:c>
      <x:c r="R294" s="6" t="n">
        <x:v>7</x:v>
      </x:c>
      <x:c r="S294" s="6" t="n">
        <x:v>9</x:v>
      </x:c>
      <x:c r="T294" s="6" t="n">
        <x:v>4</x:v>
      </x:c>
      <x:c r="U294" s="6" t="n">
        <x:v>0</x:v>
      </x:c>
      <x:c r="V294" s="6" t="n">
        <x:v>0</x:v>
      </x:c>
      <x:c r="W294" s="6" t="n">
        <x:v>1</x:v>
      </x:c>
      <x:c r="X294" s="6" t="n">
        <x:v>0</x:v>
      </x:c>
      <x:c r="Y294" s="6" t="n">
        <x:v>0</x:v>
      </x:c>
      <x:c r="Z294" s="6" t="n">
        <x:v>0</x:v>
      </x:c>
      <x:c r="AA294" s="6" t="n">
        <x:v>3</x:v>
      </x:c>
      <x:c r="AB294" s="6" t="n">
        <x:v>11</x:v>
      </x:c>
      <x:c r="AC294" s="6" t="n">
        <x:v>0</x:v>
      </x:c>
    </x:row>
    <x:row r="295">
      <x:c r="A295" s="6" t="n">
        <x:v>4927</x:v>
      </x:c>
      <x:c r="B295" s="6" t="n">
        <x:v>1971</x:v>
      </x:c>
      <x:c r="C295" s="6" t="str">
        <x:v>Graduation</x:v>
      </x:c>
      <x:c r="D295" s="6" t="str">
        <x:v>Together</x:v>
      </x:c>
      <x:c r="E295" s="6" t="n">
        <x:v>16626</x:v>
      </x:c>
      <x:c r="F295" s="6" t="n">
        <x:v>2</x:v>
      </x:c>
      <x:c r="G295" s="6" t="n">
        <x:v>0</x:v>
      </x:c>
      <x:c r="H295" s="9" t="str">
        <x:v>15-01-2014</x:v>
      </x:c>
      <x:c r="I295" s="6" t="n">
        <x:v>76</x:v>
      </x:c>
      <x:c r="J295" s="6" t="n">
        <x:v>8</x:v>
      </x:c>
      <x:c r="K295" s="6" t="n">
        <x:v>3</x:v>
      </x:c>
      <x:c r="L295" s="6" t="n">
        <x:v>22</x:v>
      </x:c>
      <x:c r="M295" s="6" t="n">
        <x:v>21</x:v>
      </x:c>
      <x:c r="N295" s="6" t="n">
        <x:v>1</x:v>
      </x:c>
      <x:c r="O295" s="6" t="n">
        <x:v>13</x:v>
      </x:c>
      <x:c r="P295" s="6" t="n">
        <x:v>3</x:v>
      </x:c>
      <x:c r="Q295" s="6" t="n">
        <x:v>3</x:v>
      </x:c>
      <x:c r="R295" s="6" t="n">
        <x:v>0</x:v>
      </x:c>
      <x:c r="S295" s="6" t="n">
        <x:v>3</x:v>
      </x:c>
      <x:c r="T295" s="6" t="n">
        <x:v>9</x:v>
      </x:c>
      <x:c r="U295" s="6" t="n">
        <x:v>0</x:v>
      </x:c>
      <x:c r="V295" s="6" t="n">
        <x:v>0</x:v>
      </x:c>
      <x:c r="W295" s="6" t="n">
        <x:v>0</x:v>
      </x:c>
      <x:c r="X295" s="6" t="n">
        <x:v>0</x:v>
      </x:c>
      <x:c r="Y295" s="6" t="n">
        <x:v>0</x:v>
      </x:c>
      <x:c r="Z295" s="6" t="n">
        <x:v>0</x:v>
      </x:c>
      <x:c r="AA295" s="6" t="n">
        <x:v>3</x:v>
      </x:c>
      <x:c r="AB295" s="6" t="n">
        <x:v>11</x:v>
      </x:c>
      <x:c r="AC295" s="6" t="n">
        <x:v>0</x:v>
      </x:c>
    </x:row>
    <x:row r="296">
      <x:c r="A296" s="6" t="n">
        <x:v>10451</x:v>
      </x:c>
      <x:c r="B296" s="6" t="n">
        <x:v>1965</x:v>
      </x:c>
      <x:c r="C296" s="6" t="str">
        <x:v>Graduation</x:v>
      </x:c>
      <x:c r="D296" s="6" t="str">
        <x:v>Together</x:v>
      </x:c>
      <x:c r="E296" s="6" t="n">
        <x:v>29672</x:v>
      </x:c>
      <x:c r="F296" s="6" t="n">
        <x:v>1</x:v>
      </x:c>
      <x:c r="G296" s="6" t="n">
        <x:v>1</x:v>
      </x:c>
      <x:c r="H296" s="9" t="str">
        <x:v>12-03-2013</x:v>
      </x:c>
      <x:c r="I296" s="6" t="n">
        <x:v>6</x:v>
      </x:c>
      <x:c r="J296" s="6" t="n">
        <x:v>9</x:v>
      </x:c>
      <x:c r="K296" s="6" t="n">
        <x:v>1</x:v>
      </x:c>
      <x:c r="L296" s="6" t="n">
        <x:v>3</x:v>
      </x:c>
      <x:c r="M296" s="6" t="n">
        <x:v>0</x:v>
      </x:c>
      <x:c r="N296" s="6" t="n">
        <x:v>4</x:v>
      </x:c>
      <x:c r="O296" s="6" t="n">
        <x:v>8</x:v>
      </x:c>
      <x:c r="P296" s="6" t="n">
        <x:v>1</x:v>
      </x:c>
      <x:c r="Q296" s="6" t="n">
        <x:v>0</x:v>
      </x:c>
      <x:c r="R296" s="6" t="n">
        <x:v>0</x:v>
      </x:c>
      <x:c r="S296" s="6" t="n">
        <x:v>3</x:v>
      </x:c>
      <x:c r="T296" s="6" t="n">
        <x:v>6</x:v>
      </x:c>
      <x:c r="U296" s="6" t="n">
        <x:v>0</x:v>
      </x:c>
      <x:c r="V296" s="6" t="n">
        <x:v>0</x:v>
      </x:c>
      <x:c r="W296" s="6" t="n">
        <x:v>0</x:v>
      </x:c>
      <x:c r="X296" s="6" t="n">
        <x:v>0</x:v>
      </x:c>
      <x:c r="Y296" s="6" t="n">
        <x:v>0</x:v>
      </x:c>
      <x:c r="Z296" s="6" t="n">
        <x:v>0</x:v>
      </x:c>
      <x:c r="AA296" s="6" t="n">
        <x:v>3</x:v>
      </x:c>
      <x:c r="AB296" s="6" t="n">
        <x:v>11</x:v>
      </x:c>
      <x:c r="AC296" s="6" t="n">
        <x:v>0</x:v>
      </x:c>
    </x:row>
    <x:row r="297">
      <x:c r="A297" s="6" t="n">
        <x:v>2926</x:v>
      </x:c>
      <x:c r="B297" s="6" t="n">
        <x:v>1952</x:v>
      </x:c>
      <x:c r="C297" s="6" t="str">
        <x:v>Master</x:v>
      </x:c>
      <x:c r="D297" s="6" t="str">
        <x:v>Together</x:v>
      </x:c>
      <x:c r="E297" s="6" t="n">
        <x:v>55951</x:v>
      </x:c>
      <x:c r="F297" s="6" t="n">
        <x:v>0</x:v>
      </x:c>
      <x:c r="G297" s="6" t="n">
        <x:v>1</x:v>
      </x:c>
      <x:c r="H297" s="9" t="str">
        <x:v>23-08-2012</x:v>
      </x:c>
      <x:c r="I297" s="6" t="n">
        <x:v>62</x:v>
      </x:c>
      <x:c r="J297" s="6" t="n">
        <x:v>1241</x:v>
      </x:c>
      <x:c r="K297" s="6" t="n">
        <x:v>0</x:v>
      </x:c>
      <x:c r="L297" s="6" t="n">
        <x:v>80</x:v>
      </x:c>
      <x:c r="M297" s="6" t="n">
        <x:v>0</x:v>
      </x:c>
      <x:c r="N297" s="6" t="n">
        <x:v>13</x:v>
      </x:c>
      <x:c r="O297" s="6" t="n">
        <x:v>40</x:v>
      </x:c>
      <x:c r="P297" s="6" t="n">
        <x:v>3</x:v>
      </x:c>
      <x:c r="Q297" s="6" t="n">
        <x:v>3</x:v>
      </x:c>
      <x:c r="R297" s="6" t="n">
        <x:v>6</x:v>
      </x:c>
      <x:c r="S297" s="6" t="n">
        <x:v>11</x:v>
      </x:c>
      <x:c r="T297" s="6" t="n">
        <x:v>8</x:v>
      </x:c>
      <x:c r="U297" s="6" t="n">
        <x:v>0</x:v>
      </x:c>
      <x:c r="V297" s="6" t="n">
        <x:v>1</x:v>
      </x:c>
      <x:c r="W297" s="6" t="n">
        <x:v>0</x:v>
      </x:c>
      <x:c r="X297" s="6" t="n">
        <x:v>0</x:v>
      </x:c>
      <x:c r="Y297" s="6" t="n">
        <x:v>1</x:v>
      </x:c>
      <x:c r="Z297" s="6" t="n">
        <x:v>0</x:v>
      </x:c>
      <x:c r="AA297" s="6" t="n">
        <x:v>3</x:v>
      </x:c>
      <x:c r="AB297" s="6" t="n">
        <x:v>11</x:v>
      </x:c>
      <x:c r="AC297" s="6" t="n">
        <x:v>0</x:v>
      </x:c>
    </x:row>
    <x:row r="298">
      <x:c r="A298" s="6" t="n">
        <x:v>2874</x:v>
      </x:c>
      <x:c r="B298" s="6" t="n">
        <x:v>1988</x:v>
      </x:c>
      <x:c r="C298" s="6" t="str">
        <x:v>2n Cycle</x:v>
      </x:c>
      <x:c r="D298" s="6" t="str">
        <x:v>Divorced</x:v>
      </x:c>
      <x:c r="E298" s="6" t="n">
        <x:v>35388</x:v>
      </x:c>
      <x:c r="F298" s="6" t="n">
        <x:v>1</x:v>
      </x:c>
      <x:c r="G298" s="6" t="n">
        <x:v>0</x:v>
      </x:c>
      <x:c r="H298" s="9" t="str">
        <x:v>07-03-2013</x:v>
      </x:c>
      <x:c r="I298" s="6" t="n">
        <x:v>20</x:v>
      </x:c>
      <x:c r="J298" s="6" t="n">
        <x:v>6</x:v>
      </x:c>
      <x:c r="K298" s="6" t="n">
        <x:v>4</x:v>
      </x:c>
      <x:c r="L298" s="6" t="n">
        <x:v>7</x:v>
      </x:c>
      <x:c r="M298" s="6" t="n">
        <x:v>4</x:v>
      </x:c>
      <x:c r="N298" s="6" t="n">
        <x:v>3</x:v>
      </x:c>
      <x:c r="O298" s="6" t="n">
        <x:v>8</x:v>
      </x:c>
      <x:c r="P298" s="6" t="n">
        <x:v>1</x:v>
      </x:c>
      <x:c r="Q298" s="6" t="n">
        <x:v>1</x:v>
      </x:c>
      <x:c r="R298" s="6" t="n">
        <x:v>0</x:v>
      </x:c>
      <x:c r="S298" s="6" t="n">
        <x:v>3</x:v>
      </x:c>
      <x:c r="T298" s="6" t="n">
        <x:v>7</x:v>
      </x:c>
      <x:c r="U298" s="6" t="n">
        <x:v>0</x:v>
      </x:c>
      <x:c r="V298" s="6" t="n">
        <x:v>0</x:v>
      </x:c>
      <x:c r="W298" s="6" t="n">
        <x:v>0</x:v>
      </x:c>
      <x:c r="X298" s="6" t="n">
        <x:v>0</x:v>
      </x:c>
      <x:c r="Y298" s="6" t="n">
        <x:v>0</x:v>
      </x:c>
      <x:c r="Z298" s="6" t="n">
        <x:v>0</x:v>
      </x:c>
      <x:c r="AA298" s="6" t="n">
        <x:v>3</x:v>
      </x:c>
      <x:c r="AB298" s="6" t="n">
        <x:v>11</x:v>
      </x:c>
      <x:c r="AC298" s="6" t="n">
        <x:v>0</x:v>
      </x:c>
    </x:row>
    <x:row r="299">
      <x:c r="A299" s="6" t="n">
        <x:v>9738</x:v>
      </x:c>
      <x:c r="B299" s="6" t="n">
        <x:v>1986</x:v>
      </x:c>
      <x:c r="C299" s="6" t="str">
        <x:v>Master</x:v>
      </x:c>
      <x:c r="D299" s="6" t="str">
        <x:v>Together</x:v>
      </x:c>
      <x:c r="E299" s="6" t="n">
        <x:v>42386</x:v>
      </x:c>
      <x:c r="F299" s="6" t="n">
        <x:v>1</x:v>
      </x:c>
      <x:c r="G299" s="6" t="n">
        <x:v>0</x:v>
      </x:c>
      <x:c r="H299" s="9" t="str">
        <x:v>13-01-2013</x:v>
      </x:c>
      <x:c r="I299" s="6" t="n">
        <x:v>43</x:v>
      </x:c>
      <x:c r="J299" s="6" t="n">
        <x:v>65</x:v>
      </x:c>
      <x:c r="K299" s="6" t="n">
        <x:v>4</x:v>
      </x:c>
      <x:c r="L299" s="6" t="n">
        <x:v>16</x:v>
      </x:c>
      <x:c r="M299" s="6" t="n">
        <x:v>0</x:v>
      </x:c>
      <x:c r="N299" s="6" t="n">
        <x:v>4</x:v>
      </x:c>
      <x:c r="O299" s="6" t="n">
        <x:v>11</x:v>
      </x:c>
      <x:c r="P299" s="6" t="n">
        <x:v>1</x:v>
      </x:c>
      <x:c r="Q299" s="6" t="n">
        <x:v>3</x:v>
      </x:c>
      <x:c r="R299" s="6" t="n">
        <x:v>0</x:v>
      </x:c>
      <x:c r="S299" s="6" t="n">
        <x:v>3</x:v>
      </x:c>
      <x:c r="T299" s="6" t="n">
        <x:v>8</x:v>
      </x:c>
      <x:c r="U299" s="6" t="n">
        <x:v>0</x:v>
      </x:c>
      <x:c r="V299" s="6" t="n">
        <x:v>0</x:v>
      </x:c>
      <x:c r="W299" s="6" t="n">
        <x:v>0</x:v>
      </x:c>
      <x:c r="X299" s="6" t="n">
        <x:v>0</x:v>
      </x:c>
      <x:c r="Y299" s="6" t="n">
        <x:v>0</x:v>
      </x:c>
      <x:c r="Z299" s="6" t="n">
        <x:v>0</x:v>
      </x:c>
      <x:c r="AA299" s="6" t="n">
        <x:v>3</x:v>
      </x:c>
      <x:c r="AB299" s="6" t="n">
        <x:v>11</x:v>
      </x:c>
      <x:c r="AC299" s="6" t="n">
        <x:v>0</x:v>
      </x:c>
    </x:row>
    <x:row r="300">
      <x:c r="A300" s="6" t="n">
        <x:v>7119</x:v>
      </x:c>
      <x:c r="B300" s="6" t="n">
        <x:v>1982</x:v>
      </x:c>
      <x:c r="C300" s="6" t="str">
        <x:v>Graduation</x:v>
      </x:c>
      <x:c r="D300" s="6" t="str">
        <x:v>Single</x:v>
      </x:c>
      <x:c r="E300" s="6" t="n">
        <x:v>68627</x:v>
      </x:c>
      <x:c r="F300" s="6" t="n">
        <x:v>0</x:v>
      </x:c>
      <x:c r="G300" s="6" t="n">
        <x:v>0</x:v>
      </x:c>
      <x:c r="H300" s="9" t="str">
        <x:v>12-01-2013</x:v>
      </x:c>
      <x:c r="I300" s="6" t="n">
        <x:v>45</x:v>
      </x:c>
      <x:c r="J300" s="6" t="n">
        <x:v>395</x:v>
      </x:c>
      <x:c r="K300" s="6" t="n">
        <x:v>15</x:v>
      </x:c>
      <x:c r="L300" s="6" t="n">
        <x:v>263</x:v>
      </x:c>
      <x:c r="M300" s="6" t="n">
        <x:v>60</x:v>
      </x:c>
      <x:c r="N300" s="6" t="n">
        <x:v>54</x:v>
      </x:c>
      <x:c r="O300" s="6" t="n">
        <x:v>38</x:v>
      </x:c>
      <x:c r="P300" s="6" t="n">
        <x:v>1</x:v>
      </x:c>
      <x:c r="Q300" s="6" t="n">
        <x:v>2</x:v>
      </x:c>
      <x:c r="R300" s="6" t="n">
        <x:v>3</x:v>
      </x:c>
      <x:c r="S300" s="6" t="n">
        <x:v>6</x:v>
      </x:c>
      <x:c r="T300" s="6" t="n">
        <x:v>1</x:v>
      </x:c>
      <x:c r="U300" s="6" t="n">
        <x:v>0</x:v>
      </x:c>
      <x:c r="V300" s="6" t="n">
        <x:v>0</x:v>
      </x:c>
      <x:c r="W300" s="6" t="n">
        <x:v>0</x:v>
      </x:c>
      <x:c r="X300" s="6" t="n">
        <x:v>0</x:v>
      </x:c>
      <x:c r="Y300" s="6" t="n">
        <x:v>0</x:v>
      </x:c>
      <x:c r="Z300" s="6" t="n">
        <x:v>0</x:v>
      </x:c>
      <x:c r="AA300" s="6" t="n">
        <x:v>3</x:v>
      </x:c>
      <x:c r="AB300" s="6" t="n">
        <x:v>11</x:v>
      </x:c>
      <x:c r="AC300" s="6" t="n">
        <x:v>0</x:v>
      </x:c>
    </x:row>
    <x:row r="301">
      <x:c r="A301" s="6" t="n">
        <x:v>3924</x:v>
      </x:c>
      <x:c r="B301" s="6" t="n">
        <x:v>1965</x:v>
      </x:c>
      <x:c r="C301" s="6" t="str">
        <x:v>PhD</x:v>
      </x:c>
      <x:c r="D301" s="6" t="str">
        <x:v>Divorced</x:v>
      </x:c>
      <x:c r="E301" s="6" t="n">
        <x:v>57912</x:v>
      </x:c>
      <x:c r="F301" s="6" t="n">
        <x:v>0</x:v>
      </x:c>
      <x:c r="G301" s="6" t="n">
        <x:v>1</x:v>
      </x:c>
      <x:c r="H301" s="9" t="str">
        <x:v>17-03-2014</x:v>
      </x:c>
      <x:c r="I301" s="6" t="n">
        <x:v>34</x:v>
      </x:c>
      <x:c r="J301" s="6" t="n">
        <x:v>801</x:v>
      </x:c>
      <x:c r="K301" s="6" t="n">
        <x:v>0</x:v>
      </x:c>
      <x:c r="L301" s="6" t="n">
        <x:v>80</x:v>
      </x:c>
      <x:c r="M301" s="6" t="n">
        <x:v>0</x:v>
      </x:c>
      <x:c r="N301" s="6" t="n">
        <x:v>0</x:v>
      </x:c>
      <x:c r="O301" s="6" t="n">
        <x:v>35</x:v>
      </x:c>
      <x:c r="P301" s="6" t="n">
        <x:v>5</x:v>
      </x:c>
      <x:c r="Q301" s="6" t="n">
        <x:v>8</x:v>
      </x:c>
      <x:c r="R301" s="6" t="n">
        <x:v>3</x:v>
      </x:c>
      <x:c r="S301" s="6" t="n">
        <x:v>12</x:v>
      </x:c>
      <x:c r="T301" s="6" t="n">
        <x:v>5</x:v>
      </x:c>
      <x:c r="U301" s="6" t="n">
        <x:v>0</x:v>
      </x:c>
      <x:c r="V301" s="6" t="n">
        <x:v>1</x:v>
      </x:c>
      <x:c r="W301" s="6" t="n">
        <x:v>0</x:v>
      </x:c>
      <x:c r="X301" s="6" t="n">
        <x:v>0</x:v>
      </x:c>
      <x:c r="Y301" s="6" t="n">
        <x:v>0</x:v>
      </x:c>
      <x:c r="Z301" s="6" t="n">
        <x:v>0</x:v>
      </x:c>
      <x:c r="AA301" s="6" t="n">
        <x:v>3</x:v>
      </x:c>
      <x:c r="AB301" s="6" t="n">
        <x:v>11</x:v>
      </x:c>
      <x:c r="AC301" s="6" t="n">
        <x:v>0</x:v>
      </x:c>
    </x:row>
    <x:row r="302">
      <x:c r="A302" s="6" t="n">
        <x:v>5827</x:v>
      </x:c>
      <x:c r="B302" s="6" t="n">
        <x:v>1958</x:v>
      </x:c>
      <x:c r="C302" s="6" t="str">
        <x:v>Graduation</x:v>
      </x:c>
      <x:c r="D302" s="6" t="str">
        <x:v>Divorced</x:v>
      </x:c>
      <x:c r="E302" s="6" t="n">
        <x:v>35246</x:v>
      </x:c>
      <x:c r="F302" s="6" t="n">
        <x:v>1</x:v>
      </x:c>
      <x:c r="G302" s="6" t="n">
        <x:v>1</x:v>
      </x:c>
      <x:c r="H302" s="9" t="str">
        <x:v>16-04-2014</x:v>
      </x:c>
      <x:c r="I302" s="6" t="n">
        <x:v>53</x:v>
      </x:c>
      <x:c r="J302" s="6" t="n">
        <x:v>36</x:v>
      </x:c>
      <x:c r="K302" s="6" t="n">
        <x:v>0</x:v>
      </x:c>
      <x:c r="L302" s="6" t="n">
        <x:v>12</x:v>
      </x:c>
      <x:c r="M302" s="6" t="n">
        <x:v>2</x:v>
      </x:c>
      <x:c r="N302" s="6" t="n">
        <x:v>2</x:v>
      </x:c>
      <x:c r="O302" s="6" t="n">
        <x:v>10</x:v>
      </x:c>
      <x:c r="P302" s="6" t="n">
        <x:v>4</x:v>
      </x:c>
      <x:c r="Q302" s="6" t="n">
        <x:v>3</x:v>
      </x:c>
      <x:c r="R302" s="6" t="n">
        <x:v>1</x:v>
      </x:c>
      <x:c r="S302" s="6" t="n">
        <x:v>3</x:v>
      </x:c>
      <x:c r="T302" s="6" t="n">
        <x:v>5</x:v>
      </x:c>
      <x:c r="U302" s="6" t="n">
        <x:v>0</x:v>
      </x:c>
      <x:c r="V302" s="6" t="n">
        <x:v>0</x:v>
      </x:c>
      <x:c r="W302" s="6" t="n">
        <x:v>0</x:v>
      </x:c>
      <x:c r="X302" s="6" t="n">
        <x:v>0</x:v>
      </x:c>
      <x:c r="Y302" s="6" t="n">
        <x:v>0</x:v>
      </x:c>
      <x:c r="Z302" s="6" t="n">
        <x:v>0</x:v>
      </x:c>
      <x:c r="AA302" s="6" t="n">
        <x:v>3</x:v>
      </x:c>
      <x:c r="AB302" s="6" t="n">
        <x:v>11</x:v>
      </x:c>
      <x:c r="AC302" s="6" t="n">
        <x:v>0</x:v>
      </x:c>
    </x:row>
    <x:row r="303">
      <x:c r="A303" s="6" t="n">
        <x:v>5596</x:v>
      </x:c>
      <x:c r="B303" s="6" t="n">
        <x:v>1956</x:v>
      </x:c>
      <x:c r="C303" s="6" t="str">
        <x:v>2n Cycle</x:v>
      </x:c>
      <x:c r="D303" s="6" t="str">
        <x:v>Together</x:v>
      </x:c>
      <x:c r="E303" s="6" t="n">
        <x:v>58821</x:v>
      </x:c>
      <x:c r="F303" s="6" t="n">
        <x:v>0</x:v>
      </x:c>
      <x:c r="G303" s="6" t="n">
        <x:v>1</x:v>
      </x:c>
      <x:c r="H303" s="9" t="str">
        <x:v>12-10-2013</x:v>
      </x:c>
      <x:c r="I303" s="6" t="n">
        <x:v>44</x:v>
      </x:c>
      <x:c r="J303" s="6" t="n">
        <x:v>513</x:v>
      </x:c>
      <x:c r="K303" s="6" t="n">
        <x:v>14</x:v>
      </x:c>
      <x:c r="L303" s="6" t="n">
        <x:v>154</x:v>
      </x:c>
      <x:c r="M303" s="6" t="n">
        <x:v>19</x:v>
      </x:c>
      <x:c r="N303" s="6" t="n">
        <x:v>0</x:v>
      </x:c>
      <x:c r="O303" s="6" t="n">
        <x:v>28</x:v>
      </x:c>
      <x:c r="P303" s="6" t="n">
        <x:v>1</x:v>
      </x:c>
      <x:c r="Q303" s="6" t="n">
        <x:v>9</x:v>
      </x:c>
      <x:c r="R303" s="6" t="n">
        <x:v>2</x:v>
      </x:c>
      <x:c r="S303" s="6" t="n">
        <x:v>9</x:v>
      </x:c>
      <x:c r="T303" s="6" t="n">
        <x:v>6</x:v>
      </x:c>
      <x:c r="U303" s="6" t="n">
        <x:v>0</x:v>
      </x:c>
      <x:c r="V303" s="6" t="n">
        <x:v>0</x:v>
      </x:c>
      <x:c r="W303" s="6" t="n">
        <x:v>0</x:v>
      </x:c>
      <x:c r="X303" s="6" t="n">
        <x:v>0</x:v>
      </x:c>
      <x:c r="Y303" s="6" t="n">
        <x:v>0</x:v>
      </x:c>
      <x:c r="Z303" s="6" t="n">
        <x:v>0</x:v>
      </x:c>
      <x:c r="AA303" s="6" t="n">
        <x:v>3</x:v>
      </x:c>
      <x:c r="AB303" s="6" t="n">
        <x:v>11</x:v>
      </x:c>
      <x:c r="AC303" s="6" t="n">
        <x:v>0</x:v>
      </x:c>
    </x:row>
    <x:row r="304">
      <x:c r="A304" s="6" t="n">
        <x:v>10812</x:v>
      </x:c>
      <x:c r="B304" s="6" t="n">
        <x:v>1978</x:v>
      </x:c>
      <x:c r="C304" s="6" t="str">
        <x:v>PhD</x:v>
      </x:c>
      <x:c r="D304" s="6" t="str">
        <x:v>Married</x:v>
      </x:c>
      <x:c r="E304" s="6" t="n">
        <x:v>46377</x:v>
      </x:c>
      <x:c r="F304" s="6" t="n">
        <x:v>1</x:v>
      </x:c>
      <x:c r="G304" s="6" t="n">
        <x:v>0</x:v>
      </x:c>
      <x:c r="H304" s="9" t="str">
        <x:v>01-03-2014</x:v>
      </x:c>
      <x:c r="I304" s="6" t="n">
        <x:v>89</x:v>
      </x:c>
      <x:c r="J304" s="6" t="n">
        <x:v>37</x:v>
      </x:c>
      <x:c r="K304" s="6" t="n">
        <x:v>0</x:v>
      </x:c>
      <x:c r="L304" s="6" t="n">
        <x:v>46</x:v>
      </x:c>
      <x:c r="M304" s="6" t="n">
        <x:v>4</x:v>
      </x:c>
      <x:c r="N304" s="6" t="n">
        <x:v>3</x:v>
      </x:c>
      <x:c r="O304" s="6" t="n">
        <x:v>0</x:v>
      </x:c>
      <x:c r="P304" s="6" t="n">
        <x:v>1</x:v>
      </x:c>
      <x:c r="Q304" s="6" t="n">
        <x:v>2</x:v>
      </x:c>
      <x:c r="R304" s="6" t="n">
        <x:v>1</x:v>
      </x:c>
      <x:c r="S304" s="6" t="n">
        <x:v>3</x:v>
      </x:c>
      <x:c r="T304" s="6" t="n">
        <x:v>4</x:v>
      </x:c>
      <x:c r="U304" s="6" t="n">
        <x:v>0</x:v>
      </x:c>
      <x:c r="V304" s="6" t="n">
        <x:v>0</x:v>
      </x:c>
      <x:c r="W304" s="6" t="n">
        <x:v>0</x:v>
      </x:c>
      <x:c r="X304" s="6" t="n">
        <x:v>0</x:v>
      </x:c>
      <x:c r="Y304" s="6" t="n">
        <x:v>0</x:v>
      </x:c>
      <x:c r="Z304" s="6" t="n">
        <x:v>0</x:v>
      </x:c>
      <x:c r="AA304" s="6" t="n">
        <x:v>3</x:v>
      </x:c>
      <x:c r="AB304" s="6" t="n">
        <x:v>11</x:v>
      </x:c>
      <x:c r="AC304" s="6" t="n">
        <x:v>0</x:v>
      </x:c>
    </x:row>
    <x:row r="305">
      <x:c r="A305" s="6" t="n">
        <x:v>1717</x:v>
      </x:c>
      <x:c r="B305" s="6" t="n">
        <x:v>1988</x:v>
      </x:c>
      <x:c r="C305" s="6" t="str">
        <x:v>Graduation</x:v>
      </x:c>
      <x:c r="D305" s="6" t="str">
        <x:v>Single</x:v>
      </x:c>
      <x:c r="E305" s="6" t="n">
        <x:v>39747</x:v>
      </x:c>
      <x:c r="F305" s="6" t="n">
        <x:v>1</x:v>
      </x:c>
      <x:c r="G305" s="6" t="n">
        <x:v>0</x:v>
      </x:c>
      <x:c r="H305" s="9" t="str">
        <x:v>13-04-2014</x:v>
      </x:c>
      <x:c r="I305" s="6" t="n">
        <x:v>43</x:v>
      </x:c>
      <x:c r="J305" s="6" t="n">
        <x:v>80</x:v>
      </x:c>
      <x:c r="K305" s="6" t="n">
        <x:v>15</x:v>
      </x:c>
      <x:c r="L305" s="6" t="n">
        <x:v>93</x:v>
      </x:c>
      <x:c r="M305" s="6" t="n">
        <x:v>20</x:v>
      </x:c>
      <x:c r="N305" s="6" t="n">
        <x:v>13</x:v>
      </x:c>
      <x:c r="O305" s="6" t="n">
        <x:v>52</x:v>
      </x:c>
      <x:c r="P305" s="6" t="n">
        <x:v>3</x:v>
      </x:c>
      <x:c r="Q305" s="6" t="n">
        <x:v>5</x:v>
      </x:c>
      <x:c r="R305" s="6" t="n">
        <x:v>1</x:v>
      </x:c>
      <x:c r="S305" s="6" t="n">
        <x:v>4</x:v>
      </x:c>
      <x:c r="T305" s="6" t="n">
        <x:v>8</x:v>
      </x:c>
      <x:c r="U305" s="6" t="n">
        <x:v>0</x:v>
      </x:c>
      <x:c r="V305" s="6" t="n">
        <x:v>0</x:v>
      </x:c>
      <x:c r="W305" s="6" t="n">
        <x:v>0</x:v>
      </x:c>
      <x:c r="X305" s="6" t="n">
        <x:v>0</x:v>
      </x:c>
      <x:c r="Y305" s="6" t="n">
        <x:v>0</x:v>
      </x:c>
      <x:c r="Z305" s="6" t="n">
        <x:v>0</x:v>
      </x:c>
      <x:c r="AA305" s="6" t="n">
        <x:v>3</x:v>
      </x:c>
      <x:c r="AB305" s="6" t="n">
        <x:v>11</x:v>
      </x:c>
      <x:c r="AC305" s="6" t="n">
        <x:v>0</x:v>
      </x:c>
    </x:row>
    <x:row r="306">
      <x:c r="A306" s="6" t="n">
        <x:v>9491</x:v>
      </x:c>
      <x:c r="B306" s="6" t="n">
        <x:v>1984</x:v>
      </x:c>
      <x:c r="C306" s="6" t="str">
        <x:v>Graduation</x:v>
      </x:c>
      <x:c r="D306" s="6" t="str">
        <x:v>Together</x:v>
      </x:c>
      <x:c r="E306" s="6" t="n">
        <x:v>23976</x:v>
      </x:c>
      <x:c r="F306" s="6" t="n">
        <x:v>1</x:v>
      </x:c>
      <x:c r="G306" s="6" t="n">
        <x:v>0</x:v>
      </x:c>
      <x:c r="H306" s="9" t="str">
        <x:v>27-12-2013</x:v>
      </x:c>
      <x:c r="I306" s="6" t="n">
        <x:v>68</x:v>
      </x:c>
      <x:c r="J306" s="6" t="n">
        <x:v>14</x:v>
      </x:c>
      <x:c r="K306" s="6" t="n">
        <x:v>1</x:v>
      </x:c>
      <x:c r="L306" s="6" t="n">
        <x:v>21</x:v>
      </x:c>
      <x:c r="M306" s="6" t="n">
        <x:v>2</x:v>
      </x:c>
      <x:c r="N306" s="6" t="n">
        <x:v>3</x:v>
      </x:c>
      <x:c r="O306" s="6" t="n">
        <x:v>25</x:v>
      </x:c>
      <x:c r="P306" s="6" t="n">
        <x:v>3</x:v>
      </x:c>
      <x:c r="Q306" s="6" t="n">
        <x:v>3</x:v>
      </x:c>
      <x:c r="R306" s="6" t="n">
        <x:v>1</x:v>
      </x:c>
      <x:c r="S306" s="6" t="n">
        <x:v>3</x:v>
      </x:c>
      <x:c r="T306" s="6" t="n">
        <x:v>7</x:v>
      </x:c>
      <x:c r="U306" s="6" t="n">
        <x:v>0</x:v>
      </x:c>
      <x:c r="V306" s="6" t="n">
        <x:v>0</x:v>
      </x:c>
      <x:c r="W306" s="6" t="n">
        <x:v>0</x:v>
      </x:c>
      <x:c r="X306" s="6" t="n">
        <x:v>0</x:v>
      </x:c>
      <x:c r="Y306" s="6" t="n">
        <x:v>0</x:v>
      </x:c>
      <x:c r="Z306" s="6" t="n">
        <x:v>0</x:v>
      </x:c>
      <x:c r="AA306" s="6" t="n">
        <x:v>3</x:v>
      </x:c>
      <x:c r="AB306" s="6" t="n">
        <x:v>11</x:v>
      </x:c>
      <x:c r="AC306" s="6" t="n">
        <x:v>0</x:v>
      </x:c>
    </x:row>
    <x:row r="307">
      <x:c r="A307" s="6" t="n">
        <x:v>9274</x:v>
      </x:c>
      <x:c r="B307" s="6" t="n">
        <x:v>1961</x:v>
      </x:c>
      <x:c r="C307" s="6" t="str">
        <x:v>Master</x:v>
      </x:c>
      <x:c r="D307" s="6" t="str">
        <x:v>Married</x:v>
      </x:c>
      <x:c r="E307" s="6" t="n">
        <x:v>80950</x:v>
      </x:c>
      <x:c r="F307" s="6" t="n">
        <x:v>0</x:v>
      </x:c>
      <x:c r="G307" s="6" t="n">
        <x:v>0</x:v>
      </x:c>
      <x:c r="H307" s="9" t="str">
        <x:v>28-03-2013</x:v>
      </x:c>
      <x:c r="I307" s="6" t="n">
        <x:v>44</x:v>
      </x:c>
      <x:c r="J307" s="6" t="n">
        <x:v>525</x:v>
      </x:c>
      <x:c r="K307" s="6" t="n">
        <x:v>147</x:v>
      </x:c>
      <x:c r="L307" s="6" t="n">
        <x:v>112</x:v>
      </x:c>
      <x:c r="M307" s="6" t="n">
        <x:v>219</x:v>
      </x:c>
      <x:c r="N307" s="6" t="n">
        <x:v>147</x:v>
      </x:c>
      <x:c r="O307" s="6" t="n">
        <x:v>63</x:v>
      </x:c>
      <x:c r="P307" s="6" t="n">
        <x:v>1</x:v>
      </x:c>
      <x:c r="Q307" s="6" t="n">
        <x:v>6</x:v>
      </x:c>
      <x:c r="R307" s="6" t="n">
        <x:v>7</x:v>
      </x:c>
      <x:c r="S307" s="6" t="n">
        <x:v>9</x:v>
      </x:c>
      <x:c r="T307" s="6" t="n">
        <x:v>2</x:v>
      </x:c>
      <x:c r="U307" s="6" t="n">
        <x:v>0</x:v>
      </x:c>
      <x:c r="V307" s="6" t="n">
        <x:v>0</x:v>
      </x:c>
      <x:c r="W307" s="6" t="n">
        <x:v>0</x:v>
      </x:c>
      <x:c r="X307" s="6" t="n">
        <x:v>1</x:v>
      </x:c>
      <x:c r="Y307" s="6" t="n">
        <x:v>0</x:v>
      </x:c>
      <x:c r="Z307" s="6" t="n">
        <x:v>0</x:v>
      </x:c>
      <x:c r="AA307" s="6" t="n">
        <x:v>3</x:v>
      </x:c>
      <x:c r="AB307" s="6" t="n">
        <x:v>11</x:v>
      </x:c>
      <x:c r="AC307" s="6" t="n">
        <x:v>0</x:v>
      </x:c>
    </x:row>
    <x:row r="308">
      <x:c r="A308" s="6" t="n">
        <x:v>6609</x:v>
      </x:c>
      <x:c r="B308" s="6" t="n">
        <x:v>1966</x:v>
      </x:c>
      <x:c r="C308" s="6" t="str">
        <x:v>Graduation</x:v>
      </x:c>
      <x:c r="D308" s="6" t="str">
        <x:v>Widow</x:v>
      </x:c>
      <x:c r="E308" s="6" t="n">
        <x:v>27038</x:v>
      </x:c>
      <x:c r="F308" s="6" t="n">
        <x:v>0</x:v>
      </x:c>
      <x:c r="G308" s="6" t="n">
        <x:v>0</x:v>
      </x:c>
      <x:c r="H308" s="9" t="str">
        <x:v>18-09-2012</x:v>
      </x:c>
      <x:c r="I308" s="6" t="n">
        <x:v>64</x:v>
      </x:c>
      <x:c r="J308" s="6" t="n">
        <x:v>1</x:v>
      </x:c>
      <x:c r="K308" s="6" t="n">
        <x:v>26</x:v>
      </x:c>
      <x:c r="L308" s="6" t="n">
        <x:v>25</x:v>
      </x:c>
      <x:c r="M308" s="6" t="n">
        <x:v>17</x:v>
      </x:c>
      <x:c r="N308" s="6" t="n">
        <x:v>23</x:v>
      </x:c>
      <x:c r="O308" s="6" t="n">
        <x:v>15</x:v>
      </x:c>
      <x:c r="P308" s="6" t="n">
        <x:v>1</x:v>
      </x:c>
      <x:c r="Q308" s="6" t="n">
        <x:v>3</x:v>
      </x:c>
      <x:c r="R308" s="6" t="n">
        <x:v>0</x:v>
      </x:c>
      <x:c r="S308" s="6" t="n">
        <x:v>3</x:v>
      </x:c>
      <x:c r="T308" s="6" t="n">
        <x:v>9</x:v>
      </x:c>
      <x:c r="U308" s="6" t="n">
        <x:v>0</x:v>
      </x:c>
      <x:c r="V308" s="6" t="n">
        <x:v>0</x:v>
      </x:c>
      <x:c r="W308" s="6" t="n">
        <x:v>0</x:v>
      </x:c>
      <x:c r="X308" s="6" t="n">
        <x:v>0</x:v>
      </x:c>
      <x:c r="Y308" s="6" t="n">
        <x:v>0</x:v>
      </x:c>
      <x:c r="Z308" s="6" t="n">
        <x:v>0</x:v>
      </x:c>
      <x:c r="AA308" s="6" t="n">
        <x:v>3</x:v>
      </x:c>
      <x:c r="AB308" s="6" t="n">
        <x:v>11</x:v>
      </x:c>
      <x:c r="AC308" s="6" t="n">
        <x:v>1</x:v>
      </x:c>
    </x:row>
    <x:row r="309">
      <x:c r="A309" s="6" t="n">
        <x:v>6963</x:v>
      </x:c>
      <x:c r="B309" s="6" t="n">
        <x:v>1947</x:v>
      </x:c>
      <x:c r="C309" s="6" t="str">
        <x:v>Graduation</x:v>
      </x:c>
      <x:c r="D309" s="6" t="str">
        <x:v>Single</x:v>
      </x:c>
      <x:c r="E309" s="6" t="n">
        <x:v>77457</x:v>
      </x:c>
      <x:c r="F309" s="6" t="n">
        <x:v>0</x:v>
      </x:c>
      <x:c r="G309" s="6" t="n">
        <x:v>0</x:v>
      </x:c>
      <x:c r="H309" s="9" t="str">
        <x:v>05-03-2014</x:v>
      </x:c>
      <x:c r="I309" s="6" t="n">
        <x:v>85</x:v>
      </x:c>
      <x:c r="J309" s="6" t="n">
        <x:v>675</x:v>
      </x:c>
      <x:c r="K309" s="6" t="n">
        <x:v>11</x:v>
      </x:c>
      <x:c r="L309" s="6" t="n">
        <x:v>400</x:v>
      </x:c>
      <x:c r="M309" s="6" t="n">
        <x:v>15</x:v>
      </x:c>
      <x:c r="N309" s="6" t="n">
        <x:v>45</x:v>
      </x:c>
      <x:c r="O309" s="6" t="n">
        <x:v>11</x:v>
      </x:c>
      <x:c r="P309" s="6" t="n">
        <x:v>1</x:v>
      </x:c>
      <x:c r="Q309" s="6" t="n">
        <x:v>2</x:v>
      </x:c>
      <x:c r="R309" s="6" t="n">
        <x:v>5</x:v>
      </x:c>
      <x:c r="S309" s="6" t="n">
        <x:v>10</x:v>
      </x:c>
      <x:c r="T309" s="6" t="n">
        <x:v>1</x:v>
      </x:c>
      <x:c r="U309" s="6" t="n">
        <x:v>0</x:v>
      </x:c>
      <x:c r="V309" s="6" t="n">
        <x:v>0</x:v>
      </x:c>
      <x:c r="W309" s="6" t="n">
        <x:v>1</x:v>
      </x:c>
      <x:c r="X309" s="6" t="n">
        <x:v>0</x:v>
      </x:c>
      <x:c r="Y309" s="6" t="n">
        <x:v>0</x:v>
      </x:c>
      <x:c r="Z309" s="6" t="n">
        <x:v>0</x:v>
      </x:c>
      <x:c r="AA309" s="6" t="n">
        <x:v>3</x:v>
      </x:c>
      <x:c r="AB309" s="6" t="n">
        <x:v>11</x:v>
      </x:c>
      <x:c r="AC309" s="6" t="n">
        <x:v>0</x:v>
      </x:c>
    </x:row>
    <x:row r="310">
      <x:c r="A310" s="6" t="n">
        <x:v>4440</x:v>
      </x:c>
      <x:c r="B310" s="6" t="n">
        <x:v>1964</x:v>
      </x:c>
      <x:c r="C310" s="6" t="str">
        <x:v>Master</x:v>
      </x:c>
      <x:c r="D310" s="6" t="str">
        <x:v>Married</x:v>
      </x:c>
      <x:c r="E310" s="6" t="n">
        <x:v>64100</x:v>
      </x:c>
      <x:c r="F310" s="6" t="n">
        <x:v>0</x:v>
      </x:c>
      <x:c r="G310" s="6" t="n">
        <x:v>1</x:v>
      </x:c>
      <x:c r="H310" s="9" t="str">
        <x:v>10-09-2013</x:v>
      </x:c>
      <x:c r="I310" s="6" t="n">
        <x:v>93</x:v>
      </x:c>
      <x:c r="J310" s="6" t="n">
        <x:v>509</x:v>
      </x:c>
      <x:c r="K310" s="6" t="n">
        <x:v>0</x:v>
      </x:c>
      <x:c r="L310" s="6" t="n">
        <x:v>27</x:v>
      </x:c>
      <x:c r="M310" s="6" t="n">
        <x:v>0</x:v>
      </x:c>
      <x:c r="N310" s="6" t="n">
        <x:v>0</x:v>
      </x:c>
      <x:c r="O310" s="6" t="n">
        <x:v>10</x:v>
      </x:c>
      <x:c r="P310" s="6" t="n">
        <x:v>1</x:v>
      </x:c>
      <x:c r="Q310" s="6" t="n">
        <x:v>8</x:v>
      </x:c>
      <x:c r="R310" s="6" t="n">
        <x:v>3</x:v>
      </x:c>
      <x:c r="S310" s="6" t="n">
        <x:v>6</x:v>
      </x:c>
      <x:c r="T310" s="6" t="n">
        <x:v>7</x:v>
      </x:c>
      <x:c r="U310" s="6" t="n">
        <x:v>0</x:v>
      </x:c>
      <x:c r="V310" s="6" t="n">
        <x:v>1</x:v>
      </x:c>
      <x:c r="W310" s="6" t="n">
        <x:v>0</x:v>
      </x:c>
      <x:c r="X310" s="6" t="n">
        <x:v>0</x:v>
      </x:c>
      <x:c r="Y310" s="6" t="n">
        <x:v>0</x:v>
      </x:c>
      <x:c r="Z310" s="6" t="n">
        <x:v>0</x:v>
      </x:c>
      <x:c r="AA310" s="6" t="n">
        <x:v>3</x:v>
      </x:c>
      <x:c r="AB310" s="6" t="n">
        <x:v>11</x:v>
      </x:c>
      <x:c r="AC310" s="6" t="n">
        <x:v>0</x:v>
      </x:c>
    </x:row>
    <x:row r="311">
      <x:c r="A311" s="6" t="n">
        <x:v>1379</x:v>
      </x:c>
      <x:c r="B311" s="6" t="n">
        <x:v>1992</x:v>
      </x:c>
      <x:c r="C311" s="6" t="str">
        <x:v>Master</x:v>
      </x:c>
      <x:c r="D311" s="6" t="str">
        <x:v>Together</x:v>
      </x:c>
      <x:c r="E311" s="6" t="n">
        <x:v>42670</x:v>
      </x:c>
      <x:c r="F311" s="6" t="n">
        <x:v>0</x:v>
      </x:c>
      <x:c r="G311" s="6" t="n">
        <x:v>0</x:v>
      </x:c>
      <x:c r="H311" s="9" t="str">
        <x:v>27-04-2013</x:v>
      </x:c>
      <x:c r="I311" s="6" t="n">
        <x:v>12</x:v>
      </x:c>
      <x:c r="J311" s="6" t="n">
        <x:v>154</x:v>
      </x:c>
      <x:c r="K311" s="6" t="n">
        <x:v>2</x:v>
      </x:c>
      <x:c r="L311" s="6" t="n">
        <x:v>46</x:v>
      </x:c>
      <x:c r="M311" s="6" t="n">
        <x:v>20</x:v>
      </x:c>
      <x:c r="N311" s="6" t="n">
        <x:v>4</x:v>
      </x:c>
      <x:c r="O311" s="6" t="n">
        <x:v>15</x:v>
      </x:c>
      <x:c r="P311" s="6" t="n">
        <x:v>1</x:v>
      </x:c>
      <x:c r="Q311" s="6" t="n">
        <x:v>4</x:v>
      </x:c>
      <x:c r="R311" s="6" t="n">
        <x:v>2</x:v>
      </x:c>
      <x:c r="S311" s="6" t="n">
        <x:v>4</x:v>
      </x:c>
      <x:c r="T311" s="6" t="n">
        <x:v>4</x:v>
      </x:c>
      <x:c r="U311" s="6" t="n">
        <x:v>0</x:v>
      </x:c>
      <x:c r="V311" s="6" t="n">
        <x:v>0</x:v>
      </x:c>
      <x:c r="W311" s="6" t="n">
        <x:v>0</x:v>
      </x:c>
      <x:c r="X311" s="6" t="n">
        <x:v>0</x:v>
      </x:c>
      <x:c r="Y311" s="6" t="n">
        <x:v>0</x:v>
      </x:c>
      <x:c r="Z311" s="6" t="n">
        <x:v>0</x:v>
      </x:c>
      <x:c r="AA311" s="6" t="n">
        <x:v>3</x:v>
      </x:c>
      <x:c r="AB311" s="6" t="n">
        <x:v>11</x:v>
      </x:c>
      <x:c r="AC311" s="6" t="n">
        <x:v>0</x:v>
      </x:c>
    </x:row>
    <x:row r="312">
      <x:c r="A312" s="6" t="n">
        <x:v>10032</x:v>
      </x:c>
      <x:c r="B312" s="6" t="n">
        <x:v>1976</x:v>
      </x:c>
      <x:c r="C312" s="6" t="str">
        <x:v>Graduation</x:v>
      </x:c>
      <x:c r="D312" s="6" t="str">
        <x:v>Divorced</x:v>
      </x:c>
      <x:c r="E312" s="6" t="n">
        <x:v>12571</x:v>
      </x:c>
      <x:c r="F312" s="6" t="n">
        <x:v>1</x:v>
      </x:c>
      <x:c r="G312" s="6" t="n">
        <x:v>0</x:v>
      </x:c>
      <x:c r="H312" s="9" t="str">
        <x:v>18-01-2014</x:v>
      </x:c>
      <x:c r="I312" s="6" t="n">
        <x:v>86</x:v>
      </x:c>
      <x:c r="J312" s="6" t="n">
        <x:v>3</x:v>
      </x:c>
      <x:c r="K312" s="6" t="n">
        <x:v>5</x:v>
      </x:c>
      <x:c r="L312" s="6" t="n">
        <x:v>14</x:v>
      </x:c>
      <x:c r="M312" s="6" t="n">
        <x:v>2</x:v>
      </x:c>
      <x:c r="N312" s="6" t="n">
        <x:v>12</x:v>
      </x:c>
      <x:c r="O312" s="6" t="n">
        <x:v>17</x:v>
      </x:c>
      <x:c r="P312" s="6" t="n">
        <x:v>4</x:v>
      </x:c>
      <x:c r="Q312" s="6" t="n">
        <x:v>3</x:v>
      </x:c>
      <x:c r="R312" s="6" t="n">
        <x:v>1</x:v>
      </x:c>
      <x:c r="S312" s="6" t="n">
        <x:v>3</x:v>
      </x:c>
      <x:c r="T312" s="6" t="n">
        <x:v>6</x:v>
      </x:c>
      <x:c r="U312" s="6" t="n">
        <x:v>0</x:v>
      </x:c>
      <x:c r="V312" s="6" t="n">
        <x:v>0</x:v>
      </x:c>
      <x:c r="W312" s="6" t="n">
        <x:v>0</x:v>
      </x:c>
      <x:c r="X312" s="6" t="n">
        <x:v>0</x:v>
      </x:c>
      <x:c r="Y312" s="6" t="n">
        <x:v>0</x:v>
      </x:c>
      <x:c r="Z312" s="6" t="n">
        <x:v>0</x:v>
      </x:c>
      <x:c r="AA312" s="6" t="n">
        <x:v>3</x:v>
      </x:c>
      <x:c r="AB312" s="6" t="n">
        <x:v>11</x:v>
      </x:c>
      <x:c r="AC312" s="6" t="n">
        <x:v>0</x:v>
      </x:c>
    </x:row>
    <x:row r="313">
      <x:c r="A313" s="6" t="n">
        <x:v>2826</x:v>
      </x:c>
      <x:c r="B313" s="6" t="n">
        <x:v>1967</x:v>
      </x:c>
      <x:c r="C313" s="6" t="str">
        <x:v>Graduation</x:v>
      </x:c>
      <x:c r="D313" s="6" t="str">
        <x:v>Married</x:v>
      </x:c>
      <x:c r="E313" s="6" t="n">
        <x:v>22574</x:v>
      </x:c>
      <x:c r="F313" s="6" t="n">
        <x:v>2</x:v>
      </x:c>
      <x:c r="G313" s="6" t="n">
        <x:v>1</x:v>
      </x:c>
      <x:c r="H313" s="9" t="str">
        <x:v>28-10-2013</x:v>
      </x:c>
      <x:c r="I313" s="6" t="n">
        <x:v>28</x:v>
      </x:c>
      <x:c r="J313" s="6" t="n">
        <x:v>25</x:v>
      </x:c>
      <x:c r="K313" s="6" t="n">
        <x:v>0</x:v>
      </x:c>
      <x:c r="L313" s="6" t="n">
        <x:v>8</x:v>
      </x:c>
      <x:c r="M313" s="6" t="n">
        <x:v>2</x:v>
      </x:c>
      <x:c r="N313" s="6" t="n">
        <x:v>0</x:v>
      </x:c>
      <x:c r="O313" s="6" t="n">
        <x:v>2</x:v>
      </x:c>
      <x:c r="P313" s="6" t="n">
        <x:v>2</x:v>
      </x:c>
      <x:c r="Q313" s="6" t="n">
        <x:v>2</x:v>
      </x:c>
      <x:c r="R313" s="6" t="n">
        <x:v>0</x:v>
      </x:c>
      <x:c r="S313" s="6" t="n">
        <x:v>3</x:v>
      </x:c>
      <x:c r="T313" s="6" t="n">
        <x:v>7</x:v>
      </x:c>
      <x:c r="U313" s="6" t="n">
        <x:v>0</x:v>
      </x:c>
      <x:c r="V313" s="6" t="n">
        <x:v>0</x:v>
      </x:c>
      <x:c r="W313" s="6" t="n">
        <x:v>0</x:v>
      </x:c>
      <x:c r="X313" s="6" t="n">
        <x:v>0</x:v>
      </x:c>
      <x:c r="Y313" s="6" t="n">
        <x:v>0</x:v>
      </x:c>
      <x:c r="Z313" s="6" t="n">
        <x:v>0</x:v>
      </x:c>
      <x:c r="AA313" s="6" t="n">
        <x:v>3</x:v>
      </x:c>
      <x:c r="AB313" s="6" t="n">
        <x:v>11</x:v>
      </x:c>
      <x:c r="AC313" s="6" t="n">
        <x:v>0</x:v>
      </x:c>
    </x:row>
    <x:row r="314">
      <x:c r="A314" s="6" t="n">
        <x:v>2437</x:v>
      </x:c>
      <x:c r="B314" s="6" t="n">
        <x:v>1989</x:v>
      </x:c>
      <x:c r="C314" s="6" t="str">
        <x:v>Graduation</x:v>
      </x:c>
      <x:c r="D314" s="6" t="str">
        <x:v>Married</x:v>
      </x:c>
      <x:c r="E314" s="6"/>
      <x:c r="F314" s="6" t="n">
        <x:v>0</x:v>
      </x:c>
      <x:c r="G314" s="6" t="n">
        <x:v>0</x:v>
      </x:c>
      <x:c r="H314" s="9" t="str">
        <x:v>03-06-2013</x:v>
      </x:c>
      <x:c r="I314" s="6" t="n">
        <x:v>69</x:v>
      </x:c>
      <x:c r="J314" s="6" t="n">
        <x:v>861</x:v>
      </x:c>
      <x:c r="K314" s="6" t="n">
        <x:v>138</x:v>
      </x:c>
      <x:c r="L314" s="6" t="n">
        <x:v>461</x:v>
      </x:c>
      <x:c r="M314" s="6" t="n">
        <x:v>60</x:v>
      </x:c>
      <x:c r="N314" s="6" t="n">
        <x:v>30</x:v>
      </x:c>
      <x:c r="O314" s="6" t="n">
        <x:v>61</x:v>
      </x:c>
      <x:c r="P314" s="6" t="n">
        <x:v>1</x:v>
      </x:c>
      <x:c r="Q314" s="6" t="n">
        <x:v>6</x:v>
      </x:c>
      <x:c r="R314" s="6" t="n">
        <x:v>5</x:v>
      </x:c>
      <x:c r="S314" s="6" t="n">
        <x:v>12</x:v>
      </x:c>
      <x:c r="T314" s="6" t="n">
        <x:v>3</x:v>
      </x:c>
      <x:c r="U314" s="6" t="n">
        <x:v>0</x:v>
      </x:c>
      <x:c r="V314" s="6" t="n">
        <x:v>1</x:v>
      </x:c>
      <x:c r="W314" s="6" t="n">
        <x:v>0</x:v>
      </x:c>
      <x:c r="X314" s="6" t="n">
        <x:v>1</x:v>
      </x:c>
      <x:c r="Y314" s="6" t="n">
        <x:v>0</x:v>
      </x:c>
      <x:c r="Z314" s="6" t="n">
        <x:v>0</x:v>
      </x:c>
      <x:c r="AA314" s="6" t="n">
        <x:v>3</x:v>
      </x:c>
      <x:c r="AB314" s="6" t="n">
        <x:v>11</x:v>
      </x:c>
      <x:c r="AC314" s="6" t="n">
        <x:v>0</x:v>
      </x:c>
    </x:row>
    <x:row r="315">
      <x:c r="A315" s="6" t="n">
        <x:v>6320</x:v>
      </x:c>
      <x:c r="B315" s="6" t="n">
        <x:v>1976</x:v>
      </x:c>
      <x:c r="C315" s="6" t="str">
        <x:v>Master</x:v>
      </x:c>
      <x:c r="D315" s="6" t="str">
        <x:v>Single</x:v>
      </x:c>
      <x:c r="E315" s="6" t="n">
        <x:v>70893</x:v>
      </x:c>
      <x:c r="F315" s="6" t="n">
        <x:v>0</x:v>
      </x:c>
      <x:c r="G315" s="6" t="n">
        <x:v>0</x:v>
      </x:c>
      <x:c r="H315" s="9" t="str">
        <x:v>06-02-2013</x:v>
      </x:c>
      <x:c r="I315" s="6" t="n">
        <x:v>42</x:v>
      </x:c>
      <x:c r="J315" s="6" t="n">
        <x:v>768</x:v>
      </x:c>
      <x:c r="K315" s="6" t="n">
        <x:v>44</x:v>
      </x:c>
      <x:c r="L315" s="6" t="n">
        <x:v>561</x:v>
      </x:c>
      <x:c r="M315" s="6" t="n">
        <x:v>77</x:v>
      </x:c>
      <x:c r="N315" s="6" t="n">
        <x:v>44</x:v>
      </x:c>
      <x:c r="O315" s="6" t="n">
        <x:v>14</x:v>
      </x:c>
      <x:c r="P315" s="6" t="n">
        <x:v>1</x:v>
      </x:c>
      <x:c r="Q315" s="6" t="n">
        <x:v>6</x:v>
      </x:c>
      <x:c r="R315" s="6" t="n">
        <x:v>6</x:v>
      </x:c>
      <x:c r="S315" s="6" t="n">
        <x:v>10</x:v>
      </x:c>
      <x:c r="T315" s="6" t="n">
        <x:v>3</x:v>
      </x:c>
      <x:c r="U315" s="6" t="n">
        <x:v>0</x:v>
      </x:c>
      <x:c r="V315" s="6" t="n">
        <x:v>0</x:v>
      </x:c>
      <x:c r="W315" s="6" t="n">
        <x:v>0</x:v>
      </x:c>
      <x:c r="X315" s="6" t="n">
        <x:v>0</x:v>
      </x:c>
      <x:c r="Y315" s="6" t="n">
        <x:v>0</x:v>
      </x:c>
      <x:c r="Z315" s="6" t="n">
        <x:v>0</x:v>
      </x:c>
      <x:c r="AA315" s="6" t="n">
        <x:v>3</x:v>
      </x:c>
      <x:c r="AB315" s="6" t="n">
        <x:v>11</x:v>
      </x:c>
      <x:c r="AC315" s="6" t="n">
        <x:v>0</x:v>
      </x:c>
    </x:row>
    <x:row r="316">
      <x:c r="A316" s="6" t="n">
        <x:v>3050</x:v>
      </x:c>
      <x:c r="B316" s="6" t="n">
        <x:v>1966</x:v>
      </x:c>
      <x:c r="C316" s="6" t="str">
        <x:v>Graduation</x:v>
      </x:c>
      <x:c r="D316" s="6" t="str">
        <x:v>Married</x:v>
      </x:c>
      <x:c r="E316" s="6" t="n">
        <x:v>54198</x:v>
      </x:c>
      <x:c r="F316" s="6" t="n">
        <x:v>1</x:v>
      </x:c>
      <x:c r="G316" s="6" t="n">
        <x:v>1</x:v>
      </x:c>
      <x:c r="H316" s="9" t="str">
        <x:v>17-12-2013</x:v>
      </x:c>
      <x:c r="I316" s="6" t="n">
        <x:v>13</x:v>
      </x:c>
      <x:c r="J316" s="6" t="n">
        <x:v>185</x:v>
      </x:c>
      <x:c r="K316" s="6" t="n">
        <x:v>0</x:v>
      </x:c>
      <x:c r="L316" s="6" t="n">
        <x:v>28</x:v>
      </x:c>
      <x:c r="M316" s="6" t="n">
        <x:v>3</x:v>
      </x:c>
      <x:c r="N316" s="6" t="n">
        <x:v>2</x:v>
      </x:c>
      <x:c r="O316" s="6" t="n">
        <x:v>17</x:v>
      </x:c>
      <x:c r="P316" s="6" t="n">
        <x:v>6</x:v>
      </x:c>
      <x:c r="Q316" s="6" t="n">
        <x:v>3</x:v>
      </x:c>
      <x:c r="R316" s="6" t="n">
        <x:v>1</x:v>
      </x:c>
      <x:c r="S316" s="6" t="n">
        <x:v>6</x:v>
      </x:c>
      <x:c r="T316" s="6" t="n">
        <x:v>4</x:v>
      </x:c>
      <x:c r="U316" s="6" t="n">
        <x:v>0</x:v>
      </x:c>
      <x:c r="V316" s="6" t="n">
        <x:v>0</x:v>
      </x:c>
      <x:c r="W316" s="6" t="n">
        <x:v>0</x:v>
      </x:c>
      <x:c r="X316" s="6" t="n">
        <x:v>0</x:v>
      </x:c>
      <x:c r="Y316" s="6" t="n">
        <x:v>0</x:v>
      </x:c>
      <x:c r="Z316" s="6" t="n">
        <x:v>0</x:v>
      </x:c>
      <x:c r="AA316" s="6" t="n">
        <x:v>3</x:v>
      </x:c>
      <x:c r="AB316" s="6" t="n">
        <x:v>11</x:v>
      </x:c>
      <x:c r="AC316" s="6" t="n">
        <x:v>0</x:v>
      </x:c>
    </x:row>
    <x:row r="317">
      <x:c r="A317" s="6" t="n">
        <x:v>231</x:v>
      </x:c>
      <x:c r="B317" s="6" t="n">
        <x:v>1956</x:v>
      </x:c>
      <x:c r="C317" s="6" t="str">
        <x:v>Master</x:v>
      </x:c>
      <x:c r="D317" s="6" t="str">
        <x:v>Together</x:v>
      </x:c>
      <x:c r="E317" s="6" t="n">
        <x:v>28839</x:v>
      </x:c>
      <x:c r="F317" s="6" t="n">
        <x:v>1</x:v>
      </x:c>
      <x:c r="G317" s="6" t="n">
        <x:v>1</x:v>
      </x:c>
      <x:c r="H317" s="9" t="str">
        <x:v>11-03-2014</x:v>
      </x:c>
      <x:c r="I317" s="6" t="n">
        <x:v>86</x:v>
      </x:c>
      <x:c r="J317" s="6" t="n">
        <x:v>24</x:v>
      </x:c>
      <x:c r="K317" s="6" t="n">
        <x:v>0</x:v>
      </x:c>
      <x:c r="L317" s="6" t="n">
        <x:v>7</x:v>
      </x:c>
      <x:c r="M317" s="6" t="n">
        <x:v>0</x:v>
      </x:c>
      <x:c r="N317" s="6" t="n">
        <x:v>0</x:v>
      </x:c>
      <x:c r="O317" s="6" t="n">
        <x:v>1</x:v>
      </x:c>
      <x:c r="P317" s="6" t="n">
        <x:v>2</x:v>
      </x:c>
      <x:c r="Q317" s="6" t="n">
        <x:v>2</x:v>
      </x:c>
      <x:c r="R317" s="6" t="n">
        <x:v>0</x:v>
      </x:c>
      <x:c r="S317" s="6" t="n">
        <x:v>3</x:v>
      </x:c>
      <x:c r="T317" s="6" t="n">
        <x:v>5</x:v>
      </x:c>
      <x:c r="U317" s="6" t="n">
        <x:v>0</x:v>
      </x:c>
      <x:c r="V317" s="6" t="n">
        <x:v>0</x:v>
      </x:c>
      <x:c r="W317" s="6" t="n">
        <x:v>0</x:v>
      </x:c>
      <x:c r="X317" s="6" t="n">
        <x:v>0</x:v>
      </x:c>
      <x:c r="Y317" s="6" t="n">
        <x:v>0</x:v>
      </x:c>
      <x:c r="Z317" s="6" t="n">
        <x:v>0</x:v>
      </x:c>
      <x:c r="AA317" s="6" t="n">
        <x:v>3</x:v>
      </x:c>
      <x:c r="AB317" s="6" t="n">
        <x:v>11</x:v>
      </x:c>
      <x:c r="AC317" s="6" t="n">
        <x:v>0</x:v>
      </x:c>
    </x:row>
    <x:row r="318">
      <x:c r="A318" s="6" t="n">
        <x:v>2392</x:v>
      </x:c>
      <x:c r="B318" s="6" t="n">
        <x:v>1972</x:v>
      </x:c>
      <x:c r="C318" s="6" t="str">
        <x:v>Graduation</x:v>
      </x:c>
      <x:c r="D318" s="6" t="str">
        <x:v>Married</x:v>
      </x:c>
      <x:c r="E318" s="6" t="n">
        <x:v>40321</x:v>
      </x:c>
      <x:c r="F318" s="6" t="n">
        <x:v>1</x:v>
      </x:c>
      <x:c r="G318" s="6" t="n">
        <x:v>1</x:v>
      </x:c>
      <x:c r="H318" s="9" t="str">
        <x:v>29-07-2013</x:v>
      </x:c>
      <x:c r="I318" s="6" t="n">
        <x:v>59</x:v>
      </x:c>
      <x:c r="J318" s="6" t="n">
        <x:v>44</x:v>
      </x:c>
      <x:c r="K318" s="6" t="n">
        <x:v>4</x:v>
      </x:c>
      <x:c r="L318" s="6" t="n">
        <x:v>21</x:v>
      </x:c>
      <x:c r="M318" s="6" t="n">
        <x:v>6</x:v>
      </x:c>
      <x:c r="N318" s="6" t="n">
        <x:v>0</x:v>
      </x:c>
      <x:c r="O318" s="6" t="n">
        <x:v>27</x:v>
      </x:c>
      <x:c r="P318" s="6" t="n">
        <x:v>2</x:v>
      </x:c>
      <x:c r="Q318" s="6" t="n">
        <x:v>3</x:v>
      </x:c>
      <x:c r="R318" s="6" t="n">
        <x:v>0</x:v>
      </x:c>
      <x:c r="S318" s="6" t="n">
        <x:v>3</x:v>
      </x:c>
      <x:c r="T318" s="6" t="n">
        <x:v>7</x:v>
      </x:c>
      <x:c r="U318" s="6" t="n">
        <x:v>0</x:v>
      </x:c>
      <x:c r="V318" s="6" t="n">
        <x:v>0</x:v>
      </x:c>
      <x:c r="W318" s="6" t="n">
        <x:v>0</x:v>
      </x:c>
      <x:c r="X318" s="6" t="n">
        <x:v>0</x:v>
      </x:c>
      <x:c r="Y318" s="6" t="n">
        <x:v>0</x:v>
      </x:c>
      <x:c r="Z318" s="6" t="n">
        <x:v>0</x:v>
      </x:c>
      <x:c r="AA318" s="6" t="n">
        <x:v>3</x:v>
      </x:c>
      <x:c r="AB318" s="6" t="n">
        <x:v>11</x:v>
      </x:c>
      <x:c r="AC318" s="6" t="n">
        <x:v>0</x:v>
      </x:c>
    </x:row>
    <x:row r="319">
      <x:c r="A319" s="6" t="n">
        <x:v>9478</x:v>
      </x:c>
      <x:c r="B319" s="6" t="n">
        <x:v>1985</x:v>
      </x:c>
      <x:c r="C319" s="6" t="str">
        <x:v>Graduation</x:v>
      </x:c>
      <x:c r="D319" s="6" t="str">
        <x:v>Single</x:v>
      </x:c>
      <x:c r="E319" s="6" t="n">
        <x:v>66503</x:v>
      </x:c>
      <x:c r="F319" s="6" t="n">
        <x:v>1</x:v>
      </x:c>
      <x:c r="G319" s="6" t="n">
        <x:v>0</x:v>
      </x:c>
      <x:c r="H319" s="9" t="str">
        <x:v>14-08-2012</x:v>
      </x:c>
      <x:c r="I319" s="6" t="n">
        <x:v>30</x:v>
      </x:c>
      <x:c r="J319" s="6" t="n">
        <x:v>91</x:v>
      </x:c>
      <x:c r="K319" s="6" t="n">
        <x:v>64</x:v>
      </x:c>
      <x:c r="L319" s="6" t="n">
        <x:v>128</x:v>
      </x:c>
      <x:c r="M319" s="6" t="n">
        <x:v>65</x:v>
      </x:c>
      <x:c r="N319" s="6" t="n">
        <x:v>3</x:v>
      </x:c>
      <x:c r="O319" s="6" t="n">
        <x:v>50</x:v>
      </x:c>
      <x:c r="P319" s="6" t="n">
        <x:v>2</x:v>
      </x:c>
      <x:c r="Q319" s="6" t="n">
        <x:v>4</x:v>
      </x:c>
      <x:c r="R319" s="6" t="n">
        <x:v>3</x:v>
      </x:c>
      <x:c r="S319" s="6" t="n">
        <x:v>6</x:v>
      </x:c>
      <x:c r="T319" s="6" t="n">
        <x:v>3</x:v>
      </x:c>
      <x:c r="U319" s="6" t="n">
        <x:v>0</x:v>
      </x:c>
      <x:c r="V319" s="6" t="n">
        <x:v>0</x:v>
      </x:c>
      <x:c r="W319" s="6" t="n">
        <x:v>0</x:v>
      </x:c>
      <x:c r="X319" s="6" t="n">
        <x:v>0</x:v>
      </x:c>
      <x:c r="Y319" s="6" t="n">
        <x:v>0</x:v>
      </x:c>
      <x:c r="Z319" s="6" t="n">
        <x:v>0</x:v>
      </x:c>
      <x:c r="AA319" s="6" t="n">
        <x:v>3</x:v>
      </x:c>
      <x:c r="AB319" s="6" t="n">
        <x:v>11</x:v>
      </x:c>
      <x:c r="AC319" s="6" t="n">
        <x:v>0</x:v>
      </x:c>
    </x:row>
    <x:row r="320">
      <x:c r="A320" s="6" t="n">
        <x:v>113</x:v>
      </x:c>
      <x:c r="B320" s="6" t="n">
        <x:v>1951</x:v>
      </x:c>
      <x:c r="C320" s="6" t="str">
        <x:v>Graduation</x:v>
      </x:c>
      <x:c r="D320" s="6" t="str">
        <x:v>Married</x:v>
      </x:c>
      <x:c r="E320" s="6" t="n">
        <x:v>30833</x:v>
      </x:c>
      <x:c r="F320" s="6" t="n">
        <x:v>1</x:v>
      </x:c>
      <x:c r="G320" s="6" t="n">
        <x:v>1</x:v>
      </x:c>
      <x:c r="H320" s="9" t="str">
        <x:v>16-07-2013</x:v>
      </x:c>
      <x:c r="I320" s="6" t="n">
        <x:v>33</x:v>
      </x:c>
      <x:c r="J320" s="6" t="n">
        <x:v>11</x:v>
      </x:c>
      <x:c r="K320" s="6" t="n">
        <x:v>0</x:v>
      </x:c>
      <x:c r="L320" s="6" t="n">
        <x:v>7</x:v>
      </x:c>
      <x:c r="M320" s="6" t="n">
        <x:v>3</x:v>
      </x:c>
      <x:c r="N320" s="6" t="n">
        <x:v>1</x:v>
      </x:c>
      <x:c r="O320" s="6" t="n">
        <x:v>6</x:v>
      </x:c>
      <x:c r="P320" s="6" t="n">
        <x:v>2</x:v>
      </x:c>
      <x:c r="Q320" s="6" t="n">
        <x:v>1</x:v>
      </x:c>
      <x:c r="R320" s="6" t="n">
        <x:v>0</x:v>
      </x:c>
      <x:c r="S320" s="6" t="n">
        <x:v>3</x:v>
      </x:c>
      <x:c r="T320" s="6" t="n">
        <x:v>5</x:v>
      </x:c>
      <x:c r="U320" s="6" t="n">
        <x:v>0</x:v>
      </x:c>
      <x:c r="V320" s="6" t="n">
        <x:v>0</x:v>
      </x:c>
      <x:c r="W320" s="6" t="n">
        <x:v>0</x:v>
      </x:c>
      <x:c r="X320" s="6" t="n">
        <x:v>0</x:v>
      </x:c>
      <x:c r="Y320" s="6" t="n">
        <x:v>0</x:v>
      </x:c>
      <x:c r="Z320" s="6" t="n">
        <x:v>0</x:v>
      </x:c>
      <x:c r="AA320" s="6" t="n">
        <x:v>3</x:v>
      </x:c>
      <x:c r="AB320" s="6" t="n">
        <x:v>11</x:v>
      </x:c>
      <x:c r="AC320" s="6" t="n">
        <x:v>0</x:v>
      </x:c>
    </x:row>
    <x:row r="321">
      <x:c r="A321" s="6" t="n">
        <x:v>2863</x:v>
      </x:c>
      <x:c r="B321" s="6" t="n">
        <x:v>1970</x:v>
      </x:c>
      <x:c r="C321" s="6" t="str">
        <x:v>Graduation</x:v>
      </x:c>
      <x:c r="D321" s="6" t="str">
        <x:v>Single</x:v>
      </x:c>
      <x:c r="E321" s="6"/>
      <x:c r="F321" s="6" t="n">
        <x:v>1</x:v>
      </x:c>
      <x:c r="G321" s="6" t="n">
        <x:v>2</x:v>
      </x:c>
      <x:c r="H321" s="9" t="str">
        <x:v>23-08-2013</x:v>
      </x:c>
      <x:c r="I321" s="6" t="n">
        <x:v>67</x:v>
      </x:c>
      <x:c r="J321" s="6" t="n">
        <x:v>738</x:v>
      </x:c>
      <x:c r="K321" s="6" t="n">
        <x:v>20</x:v>
      </x:c>
      <x:c r="L321" s="6" t="n">
        <x:v>172</x:v>
      </x:c>
      <x:c r="M321" s="6" t="n">
        <x:v>52</x:v>
      </x:c>
      <x:c r="N321" s="6" t="n">
        <x:v>50</x:v>
      </x:c>
      <x:c r="O321" s="6" t="n">
        <x:v>20</x:v>
      </x:c>
      <x:c r="P321" s="6" t="n">
        <x:v>6</x:v>
      </x:c>
      <x:c r="Q321" s="6" t="n">
        <x:v>2</x:v>
      </x:c>
      <x:c r="R321" s="6" t="n">
        <x:v>3</x:v>
      </x:c>
      <x:c r="S321" s="6" t="n">
        <x:v>10</x:v>
      </x:c>
      <x:c r="T321" s="6" t="n">
        <x:v>7</x:v>
      </x:c>
      <x:c r="U321" s="6" t="n">
        <x:v>0</x:v>
      </x:c>
      <x:c r="V321" s="6" t="n">
        <x:v>1</x:v>
      </x:c>
      <x:c r="W321" s="6" t="n">
        <x:v>0</x:v>
      </x:c>
      <x:c r="X321" s="6" t="n">
        <x:v>1</x:v>
      </x:c>
      <x:c r="Y321" s="6" t="n">
        <x:v>0</x:v>
      </x:c>
      <x:c r="Z321" s="6" t="n">
        <x:v>0</x:v>
      </x:c>
      <x:c r="AA321" s="6" t="n">
        <x:v>3</x:v>
      </x:c>
      <x:c r="AB321" s="6" t="n">
        <x:v>11</x:v>
      </x:c>
      <x:c r="AC321" s="6" t="n">
        <x:v>0</x:v>
      </x:c>
    </x:row>
    <x:row r="322">
      <x:c r="A322" s="6" t="n">
        <x:v>1802</x:v>
      </x:c>
      <x:c r="B322" s="6" t="n">
        <x:v>1971</x:v>
      </x:c>
      <x:c r="C322" s="6" t="str">
        <x:v>Graduation</x:v>
      </x:c>
      <x:c r="D322" s="6" t="str">
        <x:v>Married</x:v>
      </x:c>
      <x:c r="E322" s="6" t="n">
        <x:v>64795</x:v>
      </x:c>
      <x:c r="F322" s="6" t="n">
        <x:v>0</x:v>
      </x:c>
      <x:c r="G322" s="6" t="n">
        <x:v>1</x:v>
      </x:c>
      <x:c r="H322" s="9" t="str">
        <x:v>17-01-2013</x:v>
      </x:c>
      <x:c r="I322" s="6" t="n">
        <x:v>23</x:v>
      </x:c>
      <x:c r="J322" s="6" t="n">
        <x:v>412</x:v>
      </x:c>
      <x:c r="K322" s="6" t="n">
        <x:v>5</x:v>
      </x:c>
      <x:c r="L322" s="6" t="n">
        <x:v>119</x:v>
      </x:c>
      <x:c r="M322" s="6" t="n">
        <x:v>38</x:v>
      </x:c>
      <x:c r="N322" s="6" t="n">
        <x:v>29</x:v>
      </x:c>
      <x:c r="O322" s="6" t="n">
        <x:v>77</x:v>
      </x:c>
      <x:c r="P322" s="6" t="n">
        <x:v>3</x:v>
      </x:c>
      <x:c r="Q322" s="6" t="n">
        <x:v>3</x:v>
      </x:c>
      <x:c r="R322" s="6" t="n">
        <x:v>3</x:v>
      </x:c>
      <x:c r="S322" s="6" t="n">
        <x:v>12</x:v>
      </x:c>
      <x:c r="T322" s="6" t="n">
        <x:v>2</x:v>
      </x:c>
      <x:c r="U322" s="6" t="n">
        <x:v>0</x:v>
      </x:c>
      <x:c r="V322" s="6" t="n">
        <x:v>0</x:v>
      </x:c>
      <x:c r="W322" s="6" t="n">
        <x:v>0</x:v>
      </x:c>
      <x:c r="X322" s="6" t="n">
        <x:v>0</x:v>
      </x:c>
      <x:c r="Y322" s="6" t="n">
        <x:v>0</x:v>
      </x:c>
      <x:c r="Z322" s="6" t="n">
        <x:v>0</x:v>
      </x:c>
      <x:c r="AA322" s="6" t="n">
        <x:v>3</x:v>
      </x:c>
      <x:c r="AB322" s="6" t="n">
        <x:v>11</x:v>
      </x:c>
      <x:c r="AC322" s="6" t="n">
        <x:v>0</x:v>
      </x:c>
    </x:row>
    <x:row r="323">
      <x:c r="A323" s="6" t="n">
        <x:v>520</x:v>
      </x:c>
      <x:c r="B323" s="6" t="n">
        <x:v>1974</x:v>
      </x:c>
      <x:c r="C323" s="6" t="str">
        <x:v>Graduation</x:v>
      </x:c>
      <x:c r="D323" s="6" t="str">
        <x:v>Married</x:v>
      </x:c>
      <x:c r="E323" s="6" t="n">
        <x:v>34421</x:v>
      </x:c>
      <x:c r="F323" s="6" t="n">
        <x:v>1</x:v>
      </x:c>
      <x:c r="G323" s="6" t="n">
        <x:v>0</x:v>
      </x:c>
      <x:c r="H323" s="9" t="str">
        <x:v>01-07-2013</x:v>
      </x:c>
      <x:c r="I323" s="6" t="n">
        <x:v>81</x:v>
      </x:c>
      <x:c r="J323" s="6" t="n">
        <x:v>3</x:v>
      </x:c>
      <x:c r="K323" s="6" t="n">
        <x:v>3</x:v>
      </x:c>
      <x:c r="L323" s="6" t="n">
        <x:v>7</x:v>
      </x:c>
      <x:c r="M323" s="6" t="n">
        <x:v>6</x:v>
      </x:c>
      <x:c r="N323" s="6" t="n">
        <x:v>2</x:v>
      </x:c>
      <x:c r="O323" s="6" t="n">
        <x:v>9</x:v>
      </x:c>
      <x:c r="P323" s="6" t="n">
        <x:v>1</x:v>
      </x:c>
      <x:c r="Q323" s="6" t="n">
        <x:v>1</x:v>
      </x:c>
      <x:c r="R323" s="6" t="n">
        <x:v>0</x:v>
      </x:c>
      <x:c r="S323" s="6" t="n">
        <x:v>2</x:v>
      </x:c>
      <x:c r="T323" s="6" t="n">
        <x:v>7</x:v>
      </x:c>
      <x:c r="U323" s="6" t="n">
        <x:v>0</x:v>
      </x:c>
      <x:c r="V323" s="6" t="n">
        <x:v>0</x:v>
      </x:c>
      <x:c r="W323" s="6" t="n">
        <x:v>0</x:v>
      </x:c>
      <x:c r="X323" s="6" t="n">
        <x:v>0</x:v>
      </x:c>
      <x:c r="Y323" s="6" t="n">
        <x:v>0</x:v>
      </x:c>
      <x:c r="Z323" s="6" t="n">
        <x:v>0</x:v>
      </x:c>
      <x:c r="AA323" s="6" t="n">
        <x:v>3</x:v>
      </x:c>
      <x:c r="AB323" s="6" t="n">
        <x:v>11</x:v>
      </x:c>
      <x:c r="AC323" s="6" t="n">
        <x:v>0</x:v>
      </x:c>
    </x:row>
    <x:row r="324">
      <x:c r="A324" s="6" t="n">
        <x:v>8275</x:v>
      </x:c>
      <x:c r="B324" s="6" t="n">
        <x:v>1965</x:v>
      </x:c>
      <x:c r="C324" s="6" t="str">
        <x:v>PhD</x:v>
      </x:c>
      <x:c r="D324" s="6" t="str">
        <x:v>Divorced</x:v>
      </x:c>
      <x:c r="E324" s="6" t="n">
        <x:v>47025</x:v>
      </x:c>
      <x:c r="F324" s="6" t="n">
        <x:v>1</x:v>
      </x:c>
      <x:c r="G324" s="6" t="n">
        <x:v>1</x:v>
      </x:c>
      <x:c r="H324" s="9" t="str">
        <x:v>09-02-2014</x:v>
      </x:c>
      <x:c r="I324" s="6" t="n">
        <x:v>6</x:v>
      </x:c>
      <x:c r="J324" s="6" t="n">
        <x:v>16</x:v>
      </x:c>
      <x:c r="K324" s="6" t="n">
        <x:v>0</x:v>
      </x:c>
      <x:c r="L324" s="6" t="n">
        <x:v>3</x:v>
      </x:c>
      <x:c r="M324" s="6" t="n">
        <x:v>0</x:v>
      </x:c>
      <x:c r="N324" s="6" t="n">
        <x:v>0</x:v>
      </x:c>
      <x:c r="O324" s="6" t="n">
        <x:v>1</x:v>
      </x:c>
      <x:c r="P324" s="6" t="n">
        <x:v>1</x:v>
      </x:c>
      <x:c r="Q324" s="6" t="n">
        <x:v>1</x:v>
      </x:c>
      <x:c r="R324" s="6" t="n">
        <x:v>0</x:v>
      </x:c>
      <x:c r="S324" s="6" t="n">
        <x:v>2</x:v>
      </x:c>
      <x:c r="T324" s="6" t="n">
        <x:v>7</x:v>
      </x:c>
      <x:c r="U324" s="6" t="n">
        <x:v>0</x:v>
      </x:c>
      <x:c r="V324" s="6" t="n">
        <x:v>0</x:v>
      </x:c>
      <x:c r="W324" s="6" t="n">
        <x:v>0</x:v>
      </x:c>
      <x:c r="X324" s="6" t="n">
        <x:v>0</x:v>
      </x:c>
      <x:c r="Y324" s="6" t="n">
        <x:v>0</x:v>
      </x:c>
      <x:c r="Z324" s="6" t="n">
        <x:v>0</x:v>
      </x:c>
      <x:c r="AA324" s="6" t="n">
        <x:v>3</x:v>
      </x:c>
      <x:c r="AB324" s="6" t="n">
        <x:v>11</x:v>
      </x:c>
      <x:c r="AC324" s="6" t="n">
        <x:v>0</x:v>
      </x:c>
    </x:row>
    <x:row r="325">
      <x:c r="A325" s="6" t="n">
        <x:v>9750</x:v>
      </x:c>
      <x:c r="B325" s="6" t="n">
        <x:v>1961</x:v>
      </x:c>
      <x:c r="C325" s="6" t="str">
        <x:v>PhD</x:v>
      </x:c>
      <x:c r="D325" s="6" t="str">
        <x:v>Divorced</x:v>
      </x:c>
      <x:c r="E325" s="6" t="n">
        <x:v>64325</x:v>
      </x:c>
      <x:c r="F325" s="6" t="n">
        <x:v>0</x:v>
      </x:c>
      <x:c r="G325" s="6" t="n">
        <x:v>1</x:v>
      </x:c>
      <x:c r="H325" s="9" t="str">
        <x:v>07-02-2013</x:v>
      </x:c>
      <x:c r="I325" s="6" t="n">
        <x:v>41</x:v>
      </x:c>
      <x:c r="J325" s="6" t="n">
        <x:v>731</x:v>
      </x:c>
      <x:c r="K325" s="6" t="n">
        <x:v>60</x:v>
      </x:c>
      <x:c r="L325" s="6" t="n">
        <x:v>353</x:v>
      </x:c>
      <x:c r="M325" s="6" t="n">
        <x:v>78</x:v>
      </x:c>
      <x:c r="N325" s="6" t="n">
        <x:v>12</x:v>
      </x:c>
      <x:c r="O325" s="6" t="n">
        <x:v>73</x:v>
      </x:c>
      <x:c r="P325" s="6" t="n">
        <x:v>5</x:v>
      </x:c>
      <x:c r="Q325" s="6" t="n">
        <x:v>10</x:v>
      </x:c>
      <x:c r="R325" s="6" t="n">
        <x:v>3</x:v>
      </x:c>
      <x:c r="S325" s="6" t="n">
        <x:v>5</x:v>
      </x:c>
      <x:c r="T325" s="6" t="n">
        <x:v>7</x:v>
      </x:c>
      <x:c r="U325" s="6" t="n">
        <x:v>0</x:v>
      </x:c>
      <x:c r="V325" s="6" t="n">
        <x:v>0</x:v>
      </x:c>
      <x:c r="W325" s="6" t="n">
        <x:v>0</x:v>
      </x:c>
      <x:c r="X325" s="6" t="n">
        <x:v>0</x:v>
      </x:c>
      <x:c r="Y325" s="6" t="n">
        <x:v>0</x:v>
      </x:c>
      <x:c r="Z325" s="6" t="n">
        <x:v>0</x:v>
      </x:c>
      <x:c r="AA325" s="6" t="n">
        <x:v>3</x:v>
      </x:c>
      <x:c r="AB325" s="6" t="n">
        <x:v>11</x:v>
      </x:c>
      <x:c r="AC325" s="6" t="n">
        <x:v>0</x:v>
      </x:c>
    </x:row>
    <x:row r="326">
      <x:c r="A326" s="6" t="n">
        <x:v>2607</x:v>
      </x:c>
      <x:c r="B326" s="6" t="n">
        <x:v>1953</x:v>
      </x:c>
      <x:c r="C326" s="6" t="str">
        <x:v>Graduation</x:v>
      </x:c>
      <x:c r="D326" s="6" t="str">
        <x:v>Single</x:v>
      </x:c>
      <x:c r="E326" s="6" t="n">
        <x:v>40464</x:v>
      </x:c>
      <x:c r="F326" s="6" t="n">
        <x:v>0</x:v>
      </x:c>
      <x:c r="G326" s="6" t="n">
        <x:v>1</x:v>
      </x:c>
      <x:c r="H326" s="9" t="str">
        <x:v>11-01-2013</x:v>
      </x:c>
      <x:c r="I326" s="6" t="n">
        <x:v>78</x:v>
      </x:c>
      <x:c r="J326" s="6" t="n">
        <x:v>424</x:v>
      </x:c>
      <x:c r="K326" s="6" t="n">
        <x:v>17</x:v>
      </x:c>
      <x:c r="L326" s="6" t="n">
        <x:v>118</x:v>
      </x:c>
      <x:c r="M326" s="6" t="n">
        <x:v>7</x:v>
      </x:c>
      <x:c r="N326" s="6" t="n">
        <x:v>23</x:v>
      </x:c>
      <x:c r="O326" s="6" t="n">
        <x:v>41</x:v>
      </x:c>
      <x:c r="P326" s="6" t="n">
        <x:v>6</x:v>
      </x:c>
      <x:c r="Q326" s="6" t="n">
        <x:v>8</x:v>
      </x:c>
      <x:c r="R326" s="6" t="n">
        <x:v>2</x:v>
      </x:c>
      <x:c r="S326" s="6" t="n">
        <x:v>8</x:v>
      </x:c>
      <x:c r="T326" s="6" t="n">
        <x:v>8</x:v>
      </x:c>
      <x:c r="U326" s="6" t="n">
        <x:v>0</x:v>
      </x:c>
      <x:c r="V326" s="6" t="n">
        <x:v>0</x:v>
      </x:c>
      <x:c r="W326" s="6" t="n">
        <x:v>0</x:v>
      </x:c>
      <x:c r="X326" s="6" t="n">
        <x:v>0</x:v>
      </x:c>
      <x:c r="Y326" s="6" t="n">
        <x:v>0</x:v>
      </x:c>
      <x:c r="Z326" s="6" t="n">
        <x:v>0</x:v>
      </x:c>
      <x:c r="AA326" s="6" t="n">
        <x:v>3</x:v>
      </x:c>
      <x:c r="AB326" s="6" t="n">
        <x:v>11</x:v>
      </x:c>
      <x:c r="AC326" s="6" t="n">
        <x:v>0</x:v>
      </x:c>
    </x:row>
    <x:row r="327">
      <x:c r="A327" s="6" t="n">
        <x:v>7214</x:v>
      </x:c>
      <x:c r="B327" s="6" t="n">
        <x:v>1957</x:v>
      </x:c>
      <x:c r="C327" s="6" t="str">
        <x:v>Graduation</x:v>
      </x:c>
      <x:c r="D327" s="6" t="str">
        <x:v>Married</x:v>
      </x:c>
      <x:c r="E327" s="6" t="n">
        <x:v>62187</x:v>
      </x:c>
      <x:c r="F327" s="6" t="n">
        <x:v>0</x:v>
      </x:c>
      <x:c r="G327" s="6" t="n">
        <x:v>0</x:v>
      </x:c>
      <x:c r="H327" s="9" t="str">
        <x:v>05-07-2013</x:v>
      </x:c>
      <x:c r="I327" s="6" t="n">
        <x:v>49</x:v>
      </x:c>
      <x:c r="J327" s="6" t="n">
        <x:v>792</x:v>
      </x:c>
      <x:c r="K327" s="6" t="n">
        <x:v>0</x:v>
      </x:c>
      <x:c r="L327" s="6" t="n">
        <x:v>275</x:v>
      </x:c>
      <x:c r="M327" s="6" t="n">
        <x:v>45</x:v>
      </x:c>
      <x:c r="N327" s="6" t="n">
        <x:v>45</x:v>
      </x:c>
      <x:c r="O327" s="6" t="n">
        <x:v>126</x:v>
      </x:c>
      <x:c r="P327" s="6" t="n">
        <x:v>1</x:v>
      </x:c>
      <x:c r="Q327" s="6" t="n">
        <x:v>4</x:v>
      </x:c>
      <x:c r="R327" s="6" t="n">
        <x:v>8</x:v>
      </x:c>
      <x:c r="S327" s="6" t="n">
        <x:v>5</x:v>
      </x:c>
      <x:c r="T327" s="6" t="n">
        <x:v>3</x:v>
      </x:c>
      <x:c r="U327" s="6" t="n">
        <x:v>0</x:v>
      </x:c>
      <x:c r="V327" s="6" t="n">
        <x:v>0</x:v>
      </x:c>
      <x:c r="W327" s="6" t="n">
        <x:v>0</x:v>
      </x:c>
      <x:c r="X327" s="6" t="n">
        <x:v>0</x:v>
      </x:c>
      <x:c r="Y327" s="6" t="n">
        <x:v>0</x:v>
      </x:c>
      <x:c r="Z327" s="6" t="n">
        <x:v>0</x:v>
      </x:c>
      <x:c r="AA327" s="6" t="n">
        <x:v>3</x:v>
      </x:c>
      <x:c r="AB327" s="6" t="n">
        <x:v>11</x:v>
      </x:c>
      <x:c r="AC327" s="6" t="n">
        <x:v>0</x:v>
      </x:c>
    </x:row>
    <x:row r="328">
      <x:c r="A328" s="6" t="n">
        <x:v>5835</x:v>
      </x:c>
      <x:c r="B328" s="6" t="n">
        <x:v>1976</x:v>
      </x:c>
      <x:c r="C328" s="6" t="str">
        <x:v>PhD</x:v>
      </x:c>
      <x:c r="D328" s="6" t="str">
        <x:v>Divorced</x:v>
      </x:c>
      <x:c r="E328" s="6" t="n">
        <x:v>14849</x:v>
      </x:c>
      <x:c r="F328" s="6" t="n">
        <x:v>1</x:v>
      </x:c>
      <x:c r="G328" s="6" t="n">
        <x:v>0</x:v>
      </x:c>
      <x:c r="H328" s="9" t="str">
        <x:v>02-07-2013</x:v>
      </x:c>
      <x:c r="I328" s="6" t="n">
        <x:v>39</x:v>
      </x:c>
      <x:c r="J328" s="6" t="n">
        <x:v>21</x:v>
      </x:c>
      <x:c r="K328" s="6" t="n">
        <x:v>2</x:v>
      </x:c>
      <x:c r="L328" s="6" t="n">
        <x:v>28</x:v>
      </x:c>
      <x:c r="M328" s="6" t="n">
        <x:v>3</x:v>
      </x:c>
      <x:c r="N328" s="6" t="n">
        <x:v>2</x:v>
      </x:c>
      <x:c r="O328" s="6" t="n">
        <x:v>9</x:v>
      </x:c>
      <x:c r="P328" s="6" t="n">
        <x:v>3</x:v>
      </x:c>
      <x:c r="Q328" s="6" t="n">
        <x:v>2</x:v>
      </x:c>
      <x:c r="R328" s="6" t="n">
        <x:v>0</x:v>
      </x:c>
      <x:c r="S328" s="6" t="n">
        <x:v>4</x:v>
      </x:c>
      <x:c r="T328" s="6" t="n">
        <x:v>8</x:v>
      </x:c>
      <x:c r="U328" s="6" t="n">
        <x:v>0</x:v>
      </x:c>
      <x:c r="V328" s="6" t="n">
        <x:v>0</x:v>
      </x:c>
      <x:c r="W328" s="6" t="n">
        <x:v>0</x:v>
      </x:c>
      <x:c r="X328" s="6" t="n">
        <x:v>0</x:v>
      </x:c>
      <x:c r="Y328" s="6" t="n">
        <x:v>0</x:v>
      </x:c>
      <x:c r="Z328" s="6" t="n">
        <x:v>0</x:v>
      </x:c>
      <x:c r="AA328" s="6" t="n">
        <x:v>3</x:v>
      </x:c>
      <x:c r="AB328" s="6" t="n">
        <x:v>11</x:v>
      </x:c>
      <x:c r="AC328" s="6" t="n">
        <x:v>0</x:v>
      </x:c>
    </x:row>
    <x:row r="329">
      <x:c r="A329" s="6" t="n">
        <x:v>3896</x:v>
      </x:c>
      <x:c r="B329" s="6" t="n">
        <x:v>1984</x:v>
      </x:c>
      <x:c r="C329" s="6" t="str">
        <x:v>Graduation</x:v>
      </x:c>
      <x:c r="D329" s="6" t="str">
        <x:v>Married</x:v>
      </x:c>
      <x:c r="E329" s="6" t="n">
        <x:v>27255</x:v>
      </x:c>
      <x:c r="F329" s="6" t="n">
        <x:v>1</x:v>
      </x:c>
      <x:c r="G329" s="6" t="n">
        <x:v>0</x:v>
      </x:c>
      <x:c r="H329" s="9" t="str">
        <x:v>07-11-2013</x:v>
      </x:c>
      <x:c r="I329" s="6" t="n">
        <x:v>3</x:v>
      </x:c>
      <x:c r="J329" s="6" t="n">
        <x:v>22</x:v>
      </x:c>
      <x:c r="K329" s="6" t="n">
        <x:v>1</x:v>
      </x:c>
      <x:c r="L329" s="6" t="n">
        <x:v>11</x:v>
      </x:c>
      <x:c r="M329" s="6" t="n">
        <x:v>0</x:v>
      </x:c>
      <x:c r="N329" s="6" t="n">
        <x:v>1</x:v>
      </x:c>
      <x:c r="O329" s="6" t="n">
        <x:v>2</x:v>
      </x:c>
      <x:c r="P329" s="6" t="n">
        <x:v>1</x:v>
      </x:c>
      <x:c r="Q329" s="6" t="n">
        <x:v>1</x:v>
      </x:c>
      <x:c r="R329" s="6" t="n">
        <x:v>0</x:v>
      </x:c>
      <x:c r="S329" s="6" t="n">
        <x:v>3</x:v>
      </x:c>
      <x:c r="T329" s="6" t="n">
        <x:v>7</x:v>
      </x:c>
      <x:c r="U329" s="6" t="n">
        <x:v>0</x:v>
      </x:c>
      <x:c r="V329" s="6" t="n">
        <x:v>0</x:v>
      </x:c>
      <x:c r="W329" s="6" t="n">
        <x:v>0</x:v>
      </x:c>
      <x:c r="X329" s="6" t="n">
        <x:v>0</x:v>
      </x:c>
      <x:c r="Y329" s="6" t="n">
        <x:v>0</x:v>
      </x:c>
      <x:c r="Z329" s="6" t="n">
        <x:v>0</x:v>
      </x:c>
      <x:c r="AA329" s="6" t="n">
        <x:v>3</x:v>
      </x:c>
      <x:c r="AB329" s="6" t="n">
        <x:v>11</x:v>
      </x:c>
      <x:c r="AC329" s="6" t="n">
        <x:v>0</x:v>
      </x:c>
    </x:row>
    <x:row r="330">
      <x:c r="A330" s="6" t="n">
        <x:v>10350</x:v>
      </x:c>
      <x:c r="B330" s="6" t="n">
        <x:v>1950</x:v>
      </x:c>
      <x:c r="C330" s="6" t="str">
        <x:v>PhD</x:v>
      </x:c>
      <x:c r="D330" s="6" t="str">
        <x:v>Married</x:v>
      </x:c>
      <x:c r="E330" s="6" t="n">
        <x:v>54432</x:v>
      </x:c>
      <x:c r="F330" s="6" t="n">
        <x:v>2</x:v>
      </x:c>
      <x:c r="G330" s="6" t="n">
        <x:v>1</x:v>
      </x:c>
      <x:c r="H330" s="9" t="str">
        <x:v>09-05-2013</x:v>
      </x:c>
      <x:c r="I330" s="6" t="n">
        <x:v>37</x:v>
      </x:c>
      <x:c r="J330" s="6" t="n">
        <x:v>33</x:v>
      </x:c>
      <x:c r="K330" s="6" t="n">
        <x:v>0</x:v>
      </x:c>
      <x:c r="L330" s="6" t="n">
        <x:v>5</x:v>
      </x:c>
      <x:c r="M330" s="6" t="n">
        <x:v>0</x:v>
      </x:c>
      <x:c r="N330" s="6" t="n">
        <x:v>0</x:v>
      </x:c>
      <x:c r="O330" s="6" t="n">
        <x:v>0</x:v>
      </x:c>
      <x:c r="P330" s="6" t="n">
        <x:v>1</x:v>
      </x:c>
      <x:c r="Q330" s="6" t="n">
        <x:v>1</x:v>
      </x:c>
      <x:c r="R330" s="6" t="n">
        <x:v>0</x:v>
      </x:c>
      <x:c r="S330" s="6" t="n">
        <x:v>3</x:v>
      </x:c>
      <x:c r="T330" s="6" t="n">
        <x:v>4</x:v>
      </x:c>
      <x:c r="U330" s="6" t="n">
        <x:v>0</x:v>
      </x:c>
      <x:c r="V330" s="6" t="n">
        <x:v>0</x:v>
      </x:c>
      <x:c r="W330" s="6" t="n">
        <x:v>0</x:v>
      </x:c>
      <x:c r="X330" s="6" t="n">
        <x:v>0</x:v>
      </x:c>
      <x:c r="Y330" s="6" t="n">
        <x:v>0</x:v>
      </x:c>
      <x:c r="Z330" s="6" t="n">
        <x:v>0</x:v>
      </x:c>
      <x:c r="AA330" s="6" t="n">
        <x:v>3</x:v>
      </x:c>
      <x:c r="AB330" s="6" t="n">
        <x:v>11</x:v>
      </x:c>
      <x:c r="AC330" s="6" t="n">
        <x:v>0</x:v>
      </x:c>
    </x:row>
    <x:row r="331">
      <x:c r="A331" s="6" t="n">
        <x:v>7786</x:v>
      </x:c>
      <x:c r="B331" s="6" t="n">
        <x:v>1986</x:v>
      </x:c>
      <x:c r="C331" s="6" t="str">
        <x:v>PhD</x:v>
      </x:c>
      <x:c r="D331" s="6" t="str">
        <x:v>Single</x:v>
      </x:c>
      <x:c r="E331" s="6" t="n">
        <x:v>29999</x:v>
      </x:c>
      <x:c r="F331" s="6" t="n">
        <x:v>1</x:v>
      </x:c>
      <x:c r="G331" s="6" t="n">
        <x:v>0</x:v>
      </x:c>
      <x:c r="H331" s="9" t="str">
        <x:v>13-02-2013</x:v>
      </x:c>
      <x:c r="I331" s="6" t="n">
        <x:v>22</x:v>
      </x:c>
      <x:c r="J331" s="6" t="n">
        <x:v>68</x:v>
      </x:c>
      <x:c r="K331" s="6" t="n">
        <x:v>7</x:v>
      </x:c>
      <x:c r="L331" s="6" t="n">
        <x:v>59</x:v>
      </x:c>
      <x:c r="M331" s="6" t="n">
        <x:v>10</x:v>
      </x:c>
      <x:c r="N331" s="6" t="n">
        <x:v>5</x:v>
      </x:c>
      <x:c r="O331" s="6" t="n">
        <x:v>11</x:v>
      </x:c>
      <x:c r="P331" s="6" t="n">
        <x:v>4</x:v>
      </x:c>
      <x:c r="Q331" s="6" t="n">
        <x:v>3</x:v>
      </x:c>
      <x:c r="R331" s="6" t="n">
        <x:v>1</x:v>
      </x:c>
      <x:c r="S331" s="6" t="n">
        <x:v>4</x:v>
      </x:c>
      <x:c r="T331" s="6" t="n">
        <x:v>8</x:v>
      </x:c>
      <x:c r="U331" s="6" t="n">
        <x:v>0</x:v>
      </x:c>
      <x:c r="V331" s="6" t="n">
        <x:v>0</x:v>
      </x:c>
      <x:c r="W331" s="6" t="n">
        <x:v>0</x:v>
      </x:c>
      <x:c r="X331" s="6" t="n">
        <x:v>0</x:v>
      </x:c>
      <x:c r="Y331" s="6" t="n">
        <x:v>0</x:v>
      </x:c>
      <x:c r="Z331" s="6" t="n">
        <x:v>0</x:v>
      </x:c>
      <x:c r="AA331" s="6" t="n">
        <x:v>3</x:v>
      </x:c>
      <x:c r="AB331" s="6" t="n">
        <x:v>11</x:v>
      </x:c>
      <x:c r="AC331" s="6" t="n">
        <x:v>0</x:v>
      </x:c>
    </x:row>
    <x:row r="332">
      <x:c r="A332" s="6" t="n">
        <x:v>2861</x:v>
      </x:c>
      <x:c r="B332" s="6" t="n">
        <x:v>1983</x:v>
      </x:c>
      <x:c r="C332" s="6" t="str">
        <x:v>Graduation</x:v>
      </x:c>
      <x:c r="D332" s="6" t="str">
        <x:v>Single</x:v>
      </x:c>
      <x:c r="E332" s="6" t="n">
        <x:v>24072</x:v>
      </x:c>
      <x:c r="F332" s="6" t="n">
        <x:v>1</x:v>
      </x:c>
      <x:c r="G332" s="6" t="n">
        <x:v>0</x:v>
      </x:c>
      <x:c r="H332" s="9" t="str">
        <x:v>16-04-2013</x:v>
      </x:c>
      <x:c r="I332" s="6" t="n">
        <x:v>79</x:v>
      </x:c>
      <x:c r="J332" s="6" t="n">
        <x:v>9</x:v>
      </x:c>
      <x:c r="K332" s="6" t="n">
        <x:v>1</x:v>
      </x:c>
      <x:c r="L332" s="6" t="n">
        <x:v>6</x:v>
      </x:c>
      <x:c r="M332" s="6" t="n">
        <x:v>3</x:v>
      </x:c>
      <x:c r="N332" s="6" t="n">
        <x:v>0</x:v>
      </x:c>
      <x:c r="O332" s="6" t="n">
        <x:v>4</x:v>
      </x:c>
      <x:c r="P332" s="6" t="n">
        <x:v>1</x:v>
      </x:c>
      <x:c r="Q332" s="6" t="n">
        <x:v>1</x:v>
      </x:c>
      <x:c r="R332" s="6" t="n">
        <x:v>0</x:v>
      </x:c>
      <x:c r="S332" s="6" t="n">
        <x:v>2</x:v>
      </x:c>
      <x:c r="T332" s="6" t="n">
        <x:v>8</x:v>
      </x:c>
      <x:c r="U332" s="6" t="n">
        <x:v>0</x:v>
      </x:c>
      <x:c r="V332" s="6" t="n">
        <x:v>0</x:v>
      </x:c>
      <x:c r="W332" s="6" t="n">
        <x:v>0</x:v>
      </x:c>
      <x:c r="X332" s="6" t="n">
        <x:v>0</x:v>
      </x:c>
      <x:c r="Y332" s="6" t="n">
        <x:v>0</x:v>
      </x:c>
      <x:c r="Z332" s="6" t="n">
        <x:v>0</x:v>
      </x:c>
      <x:c r="AA332" s="6" t="n">
        <x:v>3</x:v>
      </x:c>
      <x:c r="AB332" s="6" t="n">
        <x:v>11</x:v>
      </x:c>
      <x:c r="AC332" s="6" t="n">
        <x:v>0</x:v>
      </x:c>
    </x:row>
    <x:row r="333">
      <x:c r="A333" s="6" t="n">
        <x:v>663</x:v>
      </x:c>
      <x:c r="B333" s="6" t="n">
        <x:v>1989</x:v>
      </x:c>
      <x:c r="C333" s="6" t="str">
        <x:v>PhD</x:v>
      </x:c>
      <x:c r="D333" s="6" t="str">
        <x:v>Single</x:v>
      </x:c>
      <x:c r="E333" s="6" t="n">
        <x:v>33996</x:v>
      </x:c>
      <x:c r="F333" s="6" t="n">
        <x:v>0</x:v>
      </x:c>
      <x:c r="G333" s="6" t="n">
        <x:v>0</x:v>
      </x:c>
      <x:c r="H333" s="9" t="str">
        <x:v>11-09-2013</x:v>
      </x:c>
      <x:c r="I333" s="6" t="n">
        <x:v>46</x:v>
      </x:c>
      <x:c r="J333" s="6" t="n">
        <x:v>40</x:v>
      </x:c>
      <x:c r="K333" s="6" t="n">
        <x:v>2</x:v>
      </x:c>
      <x:c r="L333" s="6" t="n">
        <x:v>15</x:v>
      </x:c>
      <x:c r="M333" s="6" t="n">
        <x:v>8</x:v>
      </x:c>
      <x:c r="N333" s="6" t="n">
        <x:v>0</x:v>
      </x:c>
      <x:c r="O333" s="6" t="n">
        <x:v>6</x:v>
      </x:c>
      <x:c r="P333" s="6" t="n">
        <x:v>1</x:v>
      </x:c>
      <x:c r="Q333" s="6" t="n">
        <x:v>1</x:v>
      </x:c>
      <x:c r="R333" s="6" t="n">
        <x:v>1</x:v>
      </x:c>
      <x:c r="S333" s="6" t="n">
        <x:v>3</x:v>
      </x:c>
      <x:c r="T333" s="6" t="n">
        <x:v>4</x:v>
      </x:c>
      <x:c r="U333" s="6" t="n">
        <x:v>0</x:v>
      </x:c>
      <x:c r="V333" s="6" t="n">
        <x:v>0</x:v>
      </x:c>
      <x:c r="W333" s="6" t="n">
        <x:v>0</x:v>
      </x:c>
      <x:c r="X333" s="6" t="n">
        <x:v>0</x:v>
      </x:c>
      <x:c r="Y333" s="6" t="n">
        <x:v>0</x:v>
      </x:c>
      <x:c r="Z333" s="6" t="n">
        <x:v>0</x:v>
      </x:c>
      <x:c r="AA333" s="6" t="n">
        <x:v>3</x:v>
      </x:c>
      <x:c r="AB333" s="6" t="n">
        <x:v>11</x:v>
      </x:c>
      <x:c r="AC333" s="6" t="n">
        <x:v>0</x:v>
      </x:c>
    </x:row>
    <x:row r="334">
      <x:c r="A334" s="6" t="n">
        <x:v>10675</x:v>
      </x:c>
      <x:c r="B334" s="6" t="n">
        <x:v>1956</x:v>
      </x:c>
      <x:c r="C334" s="6" t="str">
        <x:v>PhD</x:v>
      </x:c>
      <x:c r="D334" s="6" t="str">
        <x:v>Married</x:v>
      </x:c>
      <x:c r="E334" s="6" t="n">
        <x:v>66334</x:v>
      </x:c>
      <x:c r="F334" s="6" t="n">
        <x:v>0</x:v>
      </x:c>
      <x:c r="G334" s="6" t="n">
        <x:v>1</x:v>
      </x:c>
      <x:c r="H334" s="9" t="str">
        <x:v>03-04-2013</x:v>
      </x:c>
      <x:c r="I334" s="6" t="n">
        <x:v>82</x:v>
      </x:c>
      <x:c r="J334" s="6" t="n">
        <x:v>909</x:v>
      </x:c>
      <x:c r="K334" s="6" t="n">
        <x:v>11</x:v>
      </x:c>
      <x:c r="L334" s="6" t="n">
        <x:v>218</x:v>
      </x:c>
      <x:c r="M334" s="6" t="n">
        <x:v>0</x:v>
      </x:c>
      <x:c r="N334" s="6" t="n">
        <x:v>0</x:v>
      </x:c>
      <x:c r="O334" s="6" t="n">
        <x:v>23</x:v>
      </x:c>
      <x:c r="P334" s="6" t="n">
        <x:v>2</x:v>
      </x:c>
      <x:c r="Q334" s="6" t="n">
        <x:v>9</x:v>
      </x:c>
      <x:c r="R334" s="6" t="n">
        <x:v>3</x:v>
      </x:c>
      <x:c r="S334" s="6" t="n">
        <x:v>5</x:v>
      </x:c>
      <x:c r="T334" s="6" t="n">
        <x:v>5</x:v>
      </x:c>
      <x:c r="U334" s="6" t="n">
        <x:v>0</x:v>
      </x:c>
      <x:c r="V334" s="6" t="n">
        <x:v>0</x:v>
      </x:c>
      <x:c r="W334" s="6" t="n">
        <x:v>0</x:v>
      </x:c>
      <x:c r="X334" s="6" t="n">
        <x:v>0</x:v>
      </x:c>
      <x:c r="Y334" s="6" t="n">
        <x:v>0</x:v>
      </x:c>
      <x:c r="Z334" s="6" t="n">
        <x:v>0</x:v>
      </x:c>
      <x:c r="AA334" s="6" t="n">
        <x:v>3</x:v>
      </x:c>
      <x:c r="AB334" s="6" t="n">
        <x:v>11</x:v>
      </x:c>
      <x:c r="AC334" s="6" t="n">
        <x:v>1</x:v>
      </x:c>
    </x:row>
    <x:row r="335">
      <x:c r="A335" s="6" t="n">
        <x:v>2521</x:v>
      </x:c>
      <x:c r="B335" s="6" t="n">
        <x:v>1971</x:v>
      </x:c>
      <x:c r="C335" s="6" t="str">
        <x:v>Master</x:v>
      </x:c>
      <x:c r="D335" s="6" t="str">
        <x:v>Married</x:v>
      </x:c>
      <x:c r="E335" s="6" t="n">
        <x:v>35178</x:v>
      </x:c>
      <x:c r="F335" s="6" t="n">
        <x:v>1</x:v>
      </x:c>
      <x:c r="G335" s="6" t="n">
        <x:v>0</x:v>
      </x:c>
      <x:c r="H335" s="9" t="str">
        <x:v>10-01-2013</x:v>
      </x:c>
      <x:c r="I335" s="6" t="n">
        <x:v>10</x:v>
      </x:c>
      <x:c r="J335" s="6" t="n">
        <x:v>23</x:v>
      </x:c>
      <x:c r="K335" s="6" t="n">
        <x:v>1</x:v>
      </x:c>
      <x:c r="L335" s="6" t="n">
        <x:v>13</x:v>
      </x:c>
      <x:c r="M335" s="6" t="n">
        <x:v>2</x:v>
      </x:c>
      <x:c r="N335" s="6" t="n">
        <x:v>2</x:v>
      </x:c>
      <x:c r="O335" s="6" t="n">
        <x:v>18</x:v>
      </x:c>
      <x:c r="P335" s="6" t="n">
        <x:v>1</x:v>
      </x:c>
      <x:c r="Q335" s="6" t="n">
        <x:v>1</x:v>
      </x:c>
      <x:c r="R335" s="6" t="n">
        <x:v>1</x:v>
      </x:c>
      <x:c r="S335" s="6" t="n">
        <x:v>2</x:v>
      </x:c>
      <x:c r="T335" s="6" t="n">
        <x:v>7</x:v>
      </x:c>
      <x:c r="U335" s="6" t="n">
        <x:v>1</x:v>
      </x:c>
      <x:c r="V335" s="6" t="n">
        <x:v>0</x:v>
      </x:c>
      <x:c r="W335" s="6" t="n">
        <x:v>0</x:v>
      </x:c>
      <x:c r="X335" s="6" t="n">
        <x:v>0</x:v>
      </x:c>
      <x:c r="Y335" s="6" t="n">
        <x:v>0</x:v>
      </x:c>
      <x:c r="Z335" s="6" t="n">
        <x:v>0</x:v>
      </x:c>
      <x:c r="AA335" s="6" t="n">
        <x:v>3</x:v>
      </x:c>
      <x:c r="AB335" s="6" t="n">
        <x:v>11</x:v>
      </x:c>
      <x:c r="AC335" s="6" t="n">
        <x:v>1</x:v>
      </x:c>
    </x:row>
    <x:row r="336">
      <x:c r="A336" s="6" t="n">
        <x:v>9592</x:v>
      </x:c>
      <x:c r="B336" s="6" t="n">
        <x:v>1983</x:v>
      </x:c>
      <x:c r="C336" s="6" t="str">
        <x:v>Graduation</x:v>
      </x:c>
      <x:c r="D336" s="6" t="str">
        <x:v>Together</x:v>
      </x:c>
      <x:c r="E336" s="6" t="n">
        <x:v>22010</x:v>
      </x:c>
      <x:c r="F336" s="6" t="n">
        <x:v>1</x:v>
      </x:c>
      <x:c r="G336" s="6" t="n">
        <x:v>0</x:v>
      </x:c>
      <x:c r="H336" s="9" t="str">
        <x:v>30-06-2013</x:v>
      </x:c>
      <x:c r="I336" s="6" t="n">
        <x:v>51</x:v>
      </x:c>
      <x:c r="J336" s="6" t="n">
        <x:v>11</x:v>
      </x:c>
      <x:c r="K336" s="6" t="n">
        <x:v>2</x:v>
      </x:c>
      <x:c r="L336" s="6" t="n">
        <x:v>9</x:v>
      </x:c>
      <x:c r="M336" s="6" t="n">
        <x:v>3</x:v>
      </x:c>
      <x:c r="N336" s="6" t="n">
        <x:v>0</x:v>
      </x:c>
      <x:c r="O336" s="6" t="n">
        <x:v>8</x:v>
      </x:c>
      <x:c r="P336" s="6" t="n">
        <x:v>2</x:v>
      </x:c>
      <x:c r="Q336" s="6" t="n">
        <x:v>2</x:v>
      </x:c>
      <x:c r="R336" s="6" t="n">
        <x:v>0</x:v>
      </x:c>
      <x:c r="S336" s="6" t="n">
        <x:v>3</x:v>
      </x:c>
      <x:c r="T336" s="6" t="n">
        <x:v>8</x:v>
      </x:c>
      <x:c r="U336" s="6" t="n">
        <x:v>0</x:v>
      </x:c>
      <x:c r="V336" s="6" t="n">
        <x:v>0</x:v>
      </x:c>
      <x:c r="W336" s="6" t="n">
        <x:v>0</x:v>
      </x:c>
      <x:c r="X336" s="6" t="n">
        <x:v>0</x:v>
      </x:c>
      <x:c r="Y336" s="6" t="n">
        <x:v>0</x:v>
      </x:c>
      <x:c r="Z336" s="6" t="n">
        <x:v>0</x:v>
      </x:c>
      <x:c r="AA336" s="6" t="n">
        <x:v>3</x:v>
      </x:c>
      <x:c r="AB336" s="6" t="n">
        <x:v>11</x:v>
      </x:c>
      <x:c r="AC336" s="6" t="n">
        <x:v>0</x:v>
      </x:c>
    </x:row>
    <x:row r="337">
      <x:c r="A337" s="6" t="n">
        <x:v>10151</x:v>
      </x:c>
      <x:c r="B337" s="6" t="n">
        <x:v>1960</x:v>
      </x:c>
      <x:c r="C337" s="6" t="str">
        <x:v>Graduation</x:v>
      </x:c>
      <x:c r="D337" s="6" t="str">
        <x:v>Divorced</x:v>
      </x:c>
      <x:c r="E337" s="6" t="n">
        <x:v>62204</x:v>
      </x:c>
      <x:c r="F337" s="6" t="n">
        <x:v>0</x:v>
      </x:c>
      <x:c r="G337" s="6" t="n">
        <x:v>2</x:v>
      </x:c>
      <x:c r="H337" s="9" t="str">
        <x:v>12-09-2012</x:v>
      </x:c>
      <x:c r="I337" s="6" t="n">
        <x:v>38</x:v>
      </x:c>
      <x:c r="J337" s="6" t="n">
        <x:v>317</x:v>
      </x:c>
      <x:c r="K337" s="6" t="n">
        <x:v>46</x:v>
      </x:c>
      <x:c r="L337" s="6" t="n">
        <x:v>247</x:v>
      </x:c>
      <x:c r="M337" s="6" t="n">
        <x:v>151</x:v>
      </x:c>
      <x:c r="N337" s="6" t="n">
        <x:v>46</x:v>
      </x:c>
      <x:c r="O337" s="6" t="n">
        <x:v>139</x:v>
      </x:c>
      <x:c r="P337" s="6" t="n">
        <x:v>1</x:v>
      </x:c>
      <x:c r="Q337" s="6" t="n">
        <x:v>4</x:v>
      </x:c>
      <x:c r="R337" s="6" t="n">
        <x:v>5</x:v>
      </x:c>
      <x:c r="S337" s="6" t="n">
        <x:v>12</x:v>
      </x:c>
      <x:c r="T337" s="6" t="n">
        <x:v>3</x:v>
      </x:c>
      <x:c r="U337" s="6" t="n">
        <x:v>0</x:v>
      </x:c>
      <x:c r="V337" s="6" t="n">
        <x:v>0</x:v>
      </x:c>
      <x:c r="W337" s="6" t="n">
        <x:v>0</x:v>
      </x:c>
      <x:c r="X337" s="6" t="n">
        <x:v>0</x:v>
      </x:c>
      <x:c r="Y337" s="6" t="n">
        <x:v>0</x:v>
      </x:c>
      <x:c r="Z337" s="6" t="n">
        <x:v>0</x:v>
      </x:c>
      <x:c r="AA337" s="6" t="n">
        <x:v>3</x:v>
      </x:c>
      <x:c r="AB337" s="6" t="n">
        <x:v>11</x:v>
      </x:c>
      <x:c r="AC337" s="6" t="n">
        <x:v>0</x:v>
      </x:c>
    </x:row>
    <x:row r="338">
      <x:c r="A338" s="6" t="n">
        <x:v>7381</x:v>
      </x:c>
      <x:c r="B338" s="6" t="n">
        <x:v>1968</x:v>
      </x:c>
      <x:c r="C338" s="6" t="str">
        <x:v>Graduation</x:v>
      </x:c>
      <x:c r="D338" s="6" t="str">
        <x:v>Divorced</x:v>
      </x:c>
      <x:c r="E338" s="6" t="n">
        <x:v>75693</x:v>
      </x:c>
      <x:c r="F338" s="6" t="n">
        <x:v>0</x:v>
      </x:c>
      <x:c r="G338" s="6" t="n">
        <x:v>0</x:v>
      </x:c>
      <x:c r="H338" s="9" t="str">
        <x:v>06-12-2012</x:v>
      </x:c>
      <x:c r="I338" s="6" t="n">
        <x:v>10</x:v>
      </x:c>
      <x:c r="J338" s="6" t="n">
        <x:v>797</x:v>
      </x:c>
      <x:c r="K338" s="6" t="n">
        <x:v>153</x:v>
      </x:c>
      <x:c r="L338" s="6" t="n">
        <x:v>293</x:v>
      </x:c>
      <x:c r="M338" s="6" t="n">
        <x:v>72</x:v>
      </x:c>
      <x:c r="N338" s="6" t="n">
        <x:v>97</x:v>
      </x:c>
      <x:c r="O338" s="6" t="n">
        <x:v>30</x:v>
      </x:c>
      <x:c r="P338" s="6" t="n">
        <x:v>1</x:v>
      </x:c>
      <x:c r="Q338" s="6" t="n">
        <x:v>11</x:v>
      </x:c>
      <x:c r="R338" s="6" t="n">
        <x:v>4</x:v>
      </x:c>
      <x:c r="S338" s="6" t="n">
        <x:v>6</x:v>
      </x:c>
      <x:c r="T338" s="6" t="n">
        <x:v>4</x:v>
      </x:c>
      <x:c r="U338" s="6" t="n">
        <x:v>0</x:v>
      </x:c>
      <x:c r="V338" s="6" t="n">
        <x:v>1</x:v>
      </x:c>
      <x:c r="W338" s="6" t="n">
        <x:v>1</x:v>
      </x:c>
      <x:c r="X338" s="6" t="n">
        <x:v>1</x:v>
      </x:c>
      <x:c r="Y338" s="6" t="n">
        <x:v>0</x:v>
      </x:c>
      <x:c r="Z338" s="6" t="n">
        <x:v>0</x:v>
      </x:c>
      <x:c r="AA338" s="6" t="n">
        <x:v>3</x:v>
      </x:c>
      <x:c r="AB338" s="6" t="n">
        <x:v>11</x:v>
      </x:c>
      <x:c r="AC338" s="6" t="n">
        <x:v>1</x:v>
      </x:c>
    </x:row>
    <x:row r="339">
      <x:c r="A339" s="6" t="n">
        <x:v>4099</x:v>
      </x:c>
      <x:c r="B339" s="6" t="n">
        <x:v>1972</x:v>
      </x:c>
      <x:c r="C339" s="6" t="str">
        <x:v>Graduation</x:v>
      </x:c>
      <x:c r="D339" s="6" t="str">
        <x:v>Married</x:v>
      </x:c>
      <x:c r="E339" s="6" t="n">
        <x:v>30675</x:v>
      </x:c>
      <x:c r="F339" s="6" t="n">
        <x:v>1</x:v>
      </x:c>
      <x:c r="G339" s="6" t="n">
        <x:v>0</x:v>
      </x:c>
      <x:c r="H339" s="9" t="str">
        <x:v>12-11-2012</x:v>
      </x:c>
      <x:c r="I339" s="6" t="n">
        <x:v>14</x:v>
      </x:c>
      <x:c r="J339" s="6" t="n">
        <x:v>10</x:v>
      </x:c>
      <x:c r="K339" s="6" t="n">
        <x:v>2</x:v>
      </x:c>
      <x:c r="L339" s="6" t="n">
        <x:v>16</x:v>
      </x:c>
      <x:c r="M339" s="6" t="n">
        <x:v>11</x:v>
      </x:c>
      <x:c r="N339" s="6" t="n">
        <x:v>2</x:v>
      </x:c>
      <x:c r="O339" s="6" t="n">
        <x:v>21</x:v>
      </x:c>
      <x:c r="P339" s="6" t="n">
        <x:v>1</x:v>
      </x:c>
      <x:c r="Q339" s="6" t="n">
        <x:v>1</x:v>
      </x:c>
      <x:c r="R339" s="6" t="n">
        <x:v>0</x:v>
      </x:c>
      <x:c r="S339" s="6" t="n">
        <x:v>3</x:v>
      </x:c>
      <x:c r="T339" s="6" t="n">
        <x:v>8</x:v>
      </x:c>
      <x:c r="U339" s="6" t="n">
        <x:v>0</x:v>
      </x:c>
      <x:c r="V339" s="6" t="n">
        <x:v>0</x:v>
      </x:c>
      <x:c r="W339" s="6" t="n">
        <x:v>0</x:v>
      </x:c>
      <x:c r="X339" s="6" t="n">
        <x:v>0</x:v>
      </x:c>
      <x:c r="Y339" s="6" t="n">
        <x:v>0</x:v>
      </x:c>
      <x:c r="Z339" s="6" t="n">
        <x:v>0</x:v>
      </x:c>
      <x:c r="AA339" s="6" t="n">
        <x:v>3</x:v>
      </x:c>
      <x:c r="AB339" s="6" t="n">
        <x:v>11</x:v>
      </x:c>
      <x:c r="AC339" s="6" t="n">
        <x:v>0</x:v>
      </x:c>
    </x:row>
    <x:row r="340">
      <x:c r="A340" s="6" t="n">
        <x:v>9560</x:v>
      </x:c>
      <x:c r="B340" s="6" t="n">
        <x:v>1965</x:v>
      </x:c>
      <x:c r="C340" s="6" t="str">
        <x:v>Graduation</x:v>
      </x:c>
      <x:c r="D340" s="6" t="str">
        <x:v>Together</x:v>
      </x:c>
      <x:c r="E340" s="6" t="n">
        <x:v>83003</x:v>
      </x:c>
      <x:c r="F340" s="6" t="n">
        <x:v>0</x:v>
      </x:c>
      <x:c r="G340" s="6" t="n">
        <x:v>0</x:v>
      </x:c>
      <x:c r="H340" s="9" t="str">
        <x:v>03-03-2013</x:v>
      </x:c>
      <x:c r="I340" s="6" t="n">
        <x:v>18</x:v>
      </x:c>
      <x:c r="J340" s="6" t="n">
        <x:v>856</x:v>
      </x:c>
      <x:c r="K340" s="6" t="n">
        <x:v>61</x:v>
      </x:c>
      <x:c r="L340" s="6" t="n">
        <x:v>570</x:v>
      </x:c>
      <x:c r="M340" s="6" t="n">
        <x:v>40</x:v>
      </x:c>
      <x:c r="N340" s="6" t="n">
        <x:v>25</x:v>
      </x:c>
      <x:c r="O340" s="6" t="n">
        <x:v>122</x:v>
      </x:c>
      <x:c r="P340" s="6" t="n">
        <x:v>1</x:v>
      </x:c>
      <x:c r="Q340" s="6" t="n">
        <x:v>7</x:v>
      </x:c>
      <x:c r="R340" s="6" t="n">
        <x:v>6</x:v>
      </x:c>
      <x:c r="S340" s="6" t="n">
        <x:v>8</x:v>
      </x:c>
      <x:c r="T340" s="6" t="n">
        <x:v>3</x:v>
      </x:c>
      <x:c r="U340" s="6" t="n">
        <x:v>0</x:v>
      </x:c>
      <x:c r="V340" s="6" t="n">
        <x:v>0</x:v>
      </x:c>
      <x:c r="W340" s="6" t="n">
        <x:v>1</x:v>
      </x:c>
      <x:c r="X340" s="6" t="n">
        <x:v>0</x:v>
      </x:c>
      <x:c r="Y340" s="6" t="n">
        <x:v>0</x:v>
      </x:c>
      <x:c r="Z340" s="6" t="n">
        <x:v>0</x:v>
      </x:c>
      <x:c r="AA340" s="6" t="n">
        <x:v>3</x:v>
      </x:c>
      <x:c r="AB340" s="6" t="n">
        <x:v>11</x:v>
      </x:c>
      <x:c r="AC340" s="6" t="n">
        <x:v>1</x:v>
      </x:c>
    </x:row>
    <x:row r="341">
      <x:c r="A341" s="6" t="n">
        <x:v>1150</x:v>
      </x:c>
      <x:c r="B341" s="6" t="n">
        <x:v>1899</x:v>
      </x:c>
      <x:c r="C341" s="6" t="str">
        <x:v>PhD</x:v>
      </x:c>
      <x:c r="D341" s="6" t="str">
        <x:v>Together</x:v>
      </x:c>
      <x:c r="E341" s="6" t="n">
        <x:v>83532</x:v>
      </x:c>
      <x:c r="F341" s="6" t="n">
        <x:v>0</x:v>
      </x:c>
      <x:c r="G341" s="6" t="n">
        <x:v>0</x:v>
      </x:c>
      <x:c r="H341" s="9" t="str">
        <x:v>26-09-2013</x:v>
      </x:c>
      <x:c r="I341" s="6" t="n">
        <x:v>36</x:v>
      </x:c>
      <x:c r="J341" s="6" t="n">
        <x:v>755</x:v>
      </x:c>
      <x:c r="K341" s="6" t="n">
        <x:v>144</x:v>
      </x:c>
      <x:c r="L341" s="6" t="n">
        <x:v>562</x:v>
      </x:c>
      <x:c r="M341" s="6" t="n">
        <x:v>104</x:v>
      </x:c>
      <x:c r="N341" s="6" t="n">
        <x:v>64</x:v>
      </x:c>
      <x:c r="O341" s="6" t="n">
        <x:v>224</x:v>
      </x:c>
      <x:c r="P341" s="6" t="n">
        <x:v>1</x:v>
      </x:c>
      <x:c r="Q341" s="6" t="n">
        <x:v>4</x:v>
      </x:c>
      <x:c r="R341" s="6" t="n">
        <x:v>6</x:v>
      </x:c>
      <x:c r="S341" s="6" t="n">
        <x:v>4</x:v>
      </x:c>
      <x:c r="T341" s="6" t="n">
        <x:v>1</x:v>
      </x:c>
      <x:c r="U341" s="6" t="n">
        <x:v>0</x:v>
      </x:c>
      <x:c r="V341" s="6" t="n">
        <x:v>0</x:v>
      </x:c>
      <x:c r="W341" s="6" t="n">
        <x:v>1</x:v>
      </x:c>
      <x:c r="X341" s="6" t="n">
        <x:v>0</x:v>
      </x:c>
      <x:c r="Y341" s="6" t="n">
        <x:v>0</x:v>
      </x:c>
      <x:c r="Z341" s="6" t="n">
        <x:v>0</x:v>
      </x:c>
      <x:c r="AA341" s="6" t="n">
        <x:v>3</x:v>
      </x:c>
      <x:c r="AB341" s="6" t="n">
        <x:v>11</x:v>
      </x:c>
      <x:c r="AC341" s="6" t="n">
        <x:v>0</x:v>
      </x:c>
    </x:row>
    <x:row r="342">
      <x:c r="A342" s="6" t="n">
        <x:v>10172</x:v>
      </x:c>
      <x:c r="B342" s="6" t="n">
        <x:v>1988</x:v>
      </x:c>
      <x:c r="C342" s="6" t="str">
        <x:v>Graduation</x:v>
      </x:c>
      <x:c r="D342" s="6" t="str">
        <x:v>Single</x:v>
      </x:c>
      <x:c r="E342" s="6" t="n">
        <x:v>68655</x:v>
      </x:c>
      <x:c r="F342" s="6" t="n">
        <x:v>0</x:v>
      </x:c>
      <x:c r="G342" s="6" t="n">
        <x:v>0</x:v>
      </x:c>
      <x:c r="H342" s="9" t="str">
        <x:v>10-08-2012</x:v>
      </x:c>
      <x:c r="I342" s="6" t="n">
        <x:v>95</x:v>
      </x:c>
      <x:c r="J342" s="6" t="n">
        <x:v>456</x:v>
      </x:c>
      <x:c r="K342" s="6" t="n">
        <x:v>19</x:v>
      </x:c>
      <x:c r="L342" s="6" t="n">
        <x:v>832</x:v>
      </x:c>
      <x:c r="M342" s="6" t="n">
        <x:v>75</x:v>
      </x:c>
      <x:c r="N342" s="6" t="n">
        <x:v>118</x:v>
      </x:c>
      <x:c r="O342" s="6" t="n">
        <x:v>38</x:v>
      </x:c>
      <x:c r="P342" s="6" t="n">
        <x:v>1</x:v>
      </x:c>
      <x:c r="Q342" s="6" t="n">
        <x:v>4</x:v>
      </x:c>
      <x:c r="R342" s="6" t="n">
        <x:v>5</x:v>
      </x:c>
      <x:c r="S342" s="6" t="n">
        <x:v>11</x:v>
      </x:c>
      <x:c r="T342" s="6" t="n">
        <x:v>3</x:v>
      </x:c>
      <x:c r="U342" s="6" t="n">
        <x:v>0</x:v>
      </x:c>
      <x:c r="V342" s="6" t="n">
        <x:v>0</x:v>
      </x:c>
      <x:c r="W342" s="6" t="n">
        <x:v>0</x:v>
      </x:c>
      <x:c r="X342" s="6" t="n">
        <x:v>0</x:v>
      </x:c>
      <x:c r="Y342" s="6" t="n">
        <x:v>0</x:v>
      </x:c>
      <x:c r="Z342" s="6" t="n">
        <x:v>0</x:v>
      </x:c>
      <x:c r="AA342" s="6" t="n">
        <x:v>3</x:v>
      </x:c>
      <x:c r="AB342" s="6" t="n">
        <x:v>11</x:v>
      </x:c>
      <x:c r="AC342" s="6" t="n">
        <x:v>0</x:v>
      </x:c>
    </x:row>
    <x:row r="343">
      <x:c r="A343" s="6" t="n">
        <x:v>11191</x:v>
      </x:c>
      <x:c r="B343" s="6" t="n">
        <x:v>1986</x:v>
      </x:c>
      <x:c r="C343" s="6" t="str">
        <x:v>Graduation</x:v>
      </x:c>
      <x:c r="D343" s="6" t="str">
        <x:v>Divorced</x:v>
      </x:c>
      <x:c r="E343" s="6" t="n">
        <x:v>41411</x:v>
      </x:c>
      <x:c r="F343" s="6" t="n">
        <x:v>0</x:v>
      </x:c>
      <x:c r="G343" s="6" t="n">
        <x:v>0</x:v>
      </x:c>
      <x:c r="H343" s="9" t="str">
        <x:v>07-12-2013</x:v>
      </x:c>
      <x:c r="I343" s="6" t="n">
        <x:v>11</x:v>
      </x:c>
      <x:c r="J343" s="6" t="n">
        <x:v>37</x:v>
      </x:c>
      <x:c r="K343" s="6" t="n">
        <x:v>32</x:v>
      </x:c>
      <x:c r="L343" s="6" t="n">
        <x:v>38</x:v>
      </x:c>
      <x:c r="M343" s="6" t="n">
        <x:v>11</x:v>
      </x:c>
      <x:c r="N343" s="6" t="n">
        <x:v>3</x:v>
      </x:c>
      <x:c r="O343" s="6" t="n">
        <x:v>18</x:v>
      </x:c>
      <x:c r="P343" s="6" t="n">
        <x:v>1</x:v>
      </x:c>
      <x:c r="Q343" s="6" t="n">
        <x:v>2</x:v>
      </x:c>
      <x:c r="R343" s="6" t="n">
        <x:v>1</x:v>
      </x:c>
      <x:c r="S343" s="6" t="n">
        <x:v>4</x:v>
      </x:c>
      <x:c r="T343" s="6" t="n">
        <x:v>6</x:v>
      </x:c>
      <x:c r="U343" s="6" t="n">
        <x:v>0</x:v>
      </x:c>
      <x:c r="V343" s="6" t="n">
        <x:v>0</x:v>
      </x:c>
      <x:c r="W343" s="6" t="n">
        <x:v>0</x:v>
      </x:c>
      <x:c r="X343" s="6" t="n">
        <x:v>0</x:v>
      </x:c>
      <x:c r="Y343" s="6" t="n">
        <x:v>0</x:v>
      </x:c>
      <x:c r="Z343" s="6" t="n">
        <x:v>0</x:v>
      </x:c>
      <x:c r="AA343" s="6" t="n">
        <x:v>3</x:v>
      </x:c>
      <x:c r="AB343" s="6" t="n">
        <x:v>11</x:v>
      </x:c>
      <x:c r="AC343" s="6" t="n">
        <x:v>0</x:v>
      </x:c>
    </x:row>
    <x:row r="344">
      <x:c r="A344" s="6" t="n">
        <x:v>9707</x:v>
      </x:c>
      <x:c r="B344" s="6" t="n">
        <x:v>1969</x:v>
      </x:c>
      <x:c r="C344" s="6" t="str">
        <x:v>PhD</x:v>
      </x:c>
      <x:c r="D344" s="6" t="str">
        <x:v>Married</x:v>
      </x:c>
      <x:c r="E344" s="6" t="n">
        <x:v>55212</x:v>
      </x:c>
      <x:c r="F344" s="6" t="n">
        <x:v>0</x:v>
      </x:c>
      <x:c r="G344" s="6" t="n">
        <x:v>1</x:v>
      </x:c>
      <x:c r="H344" s="9" t="str">
        <x:v>23-11-2012</x:v>
      </x:c>
      <x:c r="I344" s="6" t="n">
        <x:v>65</x:v>
      </x:c>
      <x:c r="J344" s="6" t="n">
        <x:v>1103</x:v>
      </x:c>
      <x:c r="K344" s="6" t="n">
        <x:v>0</x:v>
      </x:c>
      <x:c r="L344" s="6" t="n">
        <x:v>45</x:v>
      </x:c>
      <x:c r="M344" s="6" t="n">
        <x:v>0</x:v>
      </x:c>
      <x:c r="N344" s="6" t="n">
        <x:v>0</x:v>
      </x:c>
      <x:c r="O344" s="6" t="n">
        <x:v>34</x:v>
      </x:c>
      <x:c r="P344" s="6" t="n">
        <x:v>3</x:v>
      </x:c>
      <x:c r="Q344" s="6" t="n">
        <x:v>4</x:v>
      </x:c>
      <x:c r="R344" s="6" t="n">
        <x:v>2</x:v>
      </x:c>
      <x:c r="S344" s="6" t="n">
        <x:v>11</x:v>
      </x:c>
      <x:c r="T344" s="6" t="n">
        <x:v>8</x:v>
      </x:c>
      <x:c r="U344" s="6" t="n">
        <x:v>0</x:v>
      </x:c>
      <x:c r="V344" s="6" t="n">
        <x:v>1</x:v>
      </x:c>
      <x:c r="W344" s="6" t="n">
        <x:v>0</x:v>
      </x:c>
      <x:c r="X344" s="6" t="n">
        <x:v>0</x:v>
      </x:c>
      <x:c r="Y344" s="6" t="n">
        <x:v>1</x:v>
      </x:c>
      <x:c r="Z344" s="6" t="n">
        <x:v>0</x:v>
      </x:c>
      <x:c r="AA344" s="6" t="n">
        <x:v>3</x:v>
      </x:c>
      <x:c r="AB344" s="6" t="n">
        <x:v>11</x:v>
      </x:c>
      <x:c r="AC344" s="6" t="n">
        <x:v>0</x:v>
      </x:c>
    </x:row>
    <x:row r="345">
      <x:c r="A345" s="6" t="n">
        <x:v>6245</x:v>
      </x:c>
      <x:c r="B345" s="6" t="n">
        <x:v>1950</x:v>
      </x:c>
      <x:c r="C345" s="6" t="str">
        <x:v>PhD</x:v>
      </x:c>
      <x:c r="D345" s="6" t="str">
        <x:v>Together</x:v>
      </x:c>
      <x:c r="E345" s="6" t="n">
        <x:v>59292</x:v>
      </x:c>
      <x:c r="F345" s="6" t="n">
        <x:v>0</x:v>
      </x:c>
      <x:c r="G345" s="6" t="n">
        <x:v>1</x:v>
      </x:c>
      <x:c r="H345" s="9" t="str">
        <x:v>13-06-2013</x:v>
      </x:c>
      <x:c r="I345" s="6" t="n">
        <x:v>71</x:v>
      </x:c>
      <x:c r="J345" s="6" t="n">
        <x:v>378</x:v>
      </x:c>
      <x:c r="K345" s="6" t="n">
        <x:v>14</x:v>
      </x:c>
      <x:c r="L345" s="6" t="n">
        <x:v>68</x:v>
      </x:c>
      <x:c r="M345" s="6" t="n">
        <x:v>19</x:v>
      </x:c>
      <x:c r="N345" s="6" t="n">
        <x:v>14</x:v>
      </x:c>
      <x:c r="O345" s="6" t="n">
        <x:v>14</x:v>
      </x:c>
      <x:c r="P345" s="6" t="n">
        <x:v>2</x:v>
      </x:c>
      <x:c r="Q345" s="6" t="n">
        <x:v>3</x:v>
      </x:c>
      <x:c r="R345" s="6" t="n">
        <x:v>5</x:v>
      </x:c>
      <x:c r="S345" s="6" t="n">
        <x:v>8</x:v>
      </x:c>
      <x:c r="T345" s="6" t="n">
        <x:v>3</x:v>
      </x:c>
      <x:c r="U345" s="6" t="n">
        <x:v>0</x:v>
      </x:c>
      <x:c r="V345" s="6" t="n">
        <x:v>0</x:v>
      </x:c>
      <x:c r="W345" s="6" t="n">
        <x:v>0</x:v>
      </x:c>
      <x:c r="X345" s="6" t="n">
        <x:v>0</x:v>
      </x:c>
      <x:c r="Y345" s="6" t="n">
        <x:v>0</x:v>
      </x:c>
      <x:c r="Z345" s="6" t="n">
        <x:v>0</x:v>
      </x:c>
      <x:c r="AA345" s="6" t="n">
        <x:v>3</x:v>
      </x:c>
      <x:c r="AB345" s="6" t="n">
        <x:v>11</x:v>
      </x:c>
      <x:c r="AC345" s="6" t="n">
        <x:v>0</x:v>
      </x:c>
    </x:row>
    <x:row r="346">
      <x:c r="A346" s="6" t="n">
        <x:v>8234</x:v>
      </x:c>
      <x:c r="B346" s="6" t="n">
        <x:v>1973</x:v>
      </x:c>
      <x:c r="C346" s="6" t="str">
        <x:v>Basic</x:v>
      </x:c>
      <x:c r="D346" s="6" t="str">
        <x:v>Together</x:v>
      </x:c>
      <x:c r="E346" s="6" t="n">
        <x:v>27190</x:v>
      </x:c>
      <x:c r="F346" s="6" t="n">
        <x:v>1</x:v>
      </x:c>
      <x:c r="G346" s="6" t="n">
        <x:v>0</x:v>
      </x:c>
      <x:c r="H346" s="9" t="str">
        <x:v>15-08-2013</x:v>
      </x:c>
      <x:c r="I346" s="6" t="n">
        <x:v>13</x:v>
      </x:c>
      <x:c r="J346" s="6" t="n">
        <x:v>1</x:v>
      </x:c>
      <x:c r="K346" s="6" t="n">
        <x:v>6</x:v>
      </x:c>
      <x:c r="L346" s="6" t="n">
        <x:v>7</x:v>
      </x:c>
      <x:c r="M346" s="6" t="n">
        <x:v>0</x:v>
      </x:c>
      <x:c r="N346" s="6" t="n">
        <x:v>1</x:v>
      </x:c>
      <x:c r="O346" s="6" t="n">
        <x:v>3</x:v>
      </x:c>
      <x:c r="P346" s="6" t="n">
        <x:v>1</x:v>
      </x:c>
      <x:c r="Q346" s="6" t="n">
        <x:v>1</x:v>
      </x:c>
      <x:c r="R346" s="6" t="n">
        <x:v>0</x:v>
      </x:c>
      <x:c r="S346" s="6" t="n">
        <x:v>2</x:v>
      </x:c>
      <x:c r="T346" s="6" t="n">
        <x:v>8</x:v>
      </x:c>
      <x:c r="U346" s="6" t="n">
        <x:v>1</x:v>
      </x:c>
      <x:c r="V346" s="6" t="n">
        <x:v>0</x:v>
      </x:c>
      <x:c r="W346" s="6" t="n">
        <x:v>0</x:v>
      </x:c>
      <x:c r="X346" s="6" t="n">
        <x:v>0</x:v>
      </x:c>
      <x:c r="Y346" s="6" t="n">
        <x:v>0</x:v>
      </x:c>
      <x:c r="Z346" s="6" t="n">
        <x:v>0</x:v>
      </x:c>
      <x:c r="AA346" s="6" t="n">
        <x:v>3</x:v>
      </x:c>
      <x:c r="AB346" s="6" t="n">
        <x:v>11</x:v>
      </x:c>
      <x:c r="AC346" s="6" t="n">
        <x:v>1</x:v>
      </x:c>
    </x:row>
    <x:row r="347">
      <x:c r="A347" s="6" t="n">
        <x:v>1411</x:v>
      </x:c>
      <x:c r="B347" s="6" t="n">
        <x:v>1952</x:v>
      </x:c>
      <x:c r="C347" s="6" t="str">
        <x:v>Graduation</x:v>
      </x:c>
      <x:c r="D347" s="6" t="str">
        <x:v>Divorced</x:v>
      </x:c>
      <x:c r="E347" s="6" t="n">
        <x:v>82623</x:v>
      </x:c>
      <x:c r="F347" s="6" t="n">
        <x:v>0</x:v>
      </x:c>
      <x:c r="G347" s="6" t="n">
        <x:v>0</x:v>
      </x:c>
      <x:c r="H347" s="9" t="str">
        <x:v>10-11-2013</x:v>
      </x:c>
      <x:c r="I347" s="6" t="n">
        <x:v>58</x:v>
      </x:c>
      <x:c r="J347" s="6" t="n">
        <x:v>204</x:v>
      </x:c>
      <x:c r="K347" s="6" t="n">
        <x:v>34</x:v>
      </x:c>
      <x:c r="L347" s="6" t="n">
        <x:v>204</x:v>
      </x:c>
      <x:c r="M347" s="6" t="n">
        <x:v>172</x:v>
      </x:c>
      <x:c r="N347" s="6" t="n">
        <x:v>153</x:v>
      </x:c>
      <x:c r="O347" s="6" t="n">
        <x:v>173</x:v>
      </x:c>
      <x:c r="P347" s="6" t="n">
        <x:v>1</x:v>
      </x:c>
      <x:c r="Q347" s="6" t="n">
        <x:v>2</x:v>
      </x:c>
      <x:c r="R347" s="6" t="n">
        <x:v>9</x:v>
      </x:c>
      <x:c r="S347" s="6" t="n">
        <x:v>4</x:v>
      </x:c>
      <x:c r="T347" s="6" t="n">
        <x:v>1</x:v>
      </x:c>
      <x:c r="U347" s="6" t="n">
        <x:v>0</x:v>
      </x:c>
      <x:c r="V347" s="6" t="n">
        <x:v>0</x:v>
      </x:c>
      <x:c r="W347" s="6" t="n">
        <x:v>0</x:v>
      </x:c>
      <x:c r="X347" s="6" t="n">
        <x:v>0</x:v>
      </x:c>
      <x:c r="Y347" s="6" t="n">
        <x:v>0</x:v>
      </x:c>
      <x:c r="Z347" s="6" t="n">
        <x:v>0</x:v>
      </x:c>
      <x:c r="AA347" s="6" t="n">
        <x:v>3</x:v>
      </x:c>
      <x:c r="AB347" s="6" t="n">
        <x:v>11</x:v>
      </x:c>
      <x:c r="AC347" s="6" t="n">
        <x:v>0</x:v>
      </x:c>
    </x:row>
    <x:row r="348">
      <x:c r="A348" s="6" t="n">
        <x:v>8553</x:v>
      </x:c>
      <x:c r="B348" s="6" t="n">
        <x:v>1965</x:v>
      </x:c>
      <x:c r="C348" s="6" t="str">
        <x:v>Graduation</x:v>
      </x:c>
      <x:c r="D348" s="6" t="str">
        <x:v>Married</x:v>
      </x:c>
      <x:c r="E348" s="6" t="n">
        <x:v>44300</x:v>
      </x:c>
      <x:c r="F348" s="6" t="n">
        <x:v>1</x:v>
      </x:c>
      <x:c r="G348" s="6" t="n">
        <x:v>1</x:v>
      </x:c>
      <x:c r="H348" s="9" t="str">
        <x:v>23-06-2013</x:v>
      </x:c>
      <x:c r="I348" s="6" t="n">
        <x:v>65</x:v>
      </x:c>
      <x:c r="J348" s="6" t="n">
        <x:v>30</x:v>
      </x:c>
      <x:c r="K348" s="6" t="n">
        <x:v>0</x:v>
      </x:c>
      <x:c r="L348" s="6" t="n">
        <x:v>9</x:v>
      </x:c>
      <x:c r="M348" s="6" t="n">
        <x:v>0</x:v>
      </x:c>
      <x:c r="N348" s="6" t="n">
        <x:v>0</x:v>
      </x:c>
      <x:c r="O348" s="6" t="n">
        <x:v>3</x:v>
      </x:c>
      <x:c r="P348" s="6" t="n">
        <x:v>2</x:v>
      </x:c>
      <x:c r="Q348" s="6" t="n">
        <x:v>1</x:v>
      </x:c>
      <x:c r="R348" s="6" t="n">
        <x:v>0</x:v>
      </x:c>
      <x:c r="S348" s="6" t="n">
        <x:v>3</x:v>
      </x:c>
      <x:c r="T348" s="6" t="n">
        <x:v>6</x:v>
      </x:c>
      <x:c r="U348" s="6" t="n">
        <x:v>0</x:v>
      </x:c>
      <x:c r="V348" s="6" t="n">
        <x:v>0</x:v>
      </x:c>
      <x:c r="W348" s="6" t="n">
        <x:v>0</x:v>
      </x:c>
      <x:c r="X348" s="6" t="n">
        <x:v>0</x:v>
      </x:c>
      <x:c r="Y348" s="6" t="n">
        <x:v>0</x:v>
      </x:c>
      <x:c r="Z348" s="6" t="n">
        <x:v>0</x:v>
      </x:c>
      <x:c r="AA348" s="6" t="n">
        <x:v>3</x:v>
      </x:c>
      <x:c r="AB348" s="6" t="n">
        <x:v>11</x:v>
      </x:c>
      <x:c r="AC348" s="6" t="n">
        <x:v>0</x:v>
      </x:c>
    </x:row>
    <x:row r="349">
      <x:c r="A349" s="6" t="n">
        <x:v>1826</x:v>
      </x:c>
      <x:c r="B349" s="6" t="n">
        <x:v>1970</x:v>
      </x:c>
      <x:c r="C349" s="6" t="str">
        <x:v>Graduation</x:v>
      </x:c>
      <x:c r="D349" s="6" t="str">
        <x:v>Divorced</x:v>
      </x:c>
      <x:c r="E349" s="6" t="n">
        <x:v>84835</x:v>
      </x:c>
      <x:c r="F349" s="6" t="n">
        <x:v>0</x:v>
      </x:c>
      <x:c r="G349" s="6" t="n">
        <x:v>0</x:v>
      </x:c>
      <x:c r="H349" s="9" t="str">
        <x:v>16-06-2014</x:v>
      </x:c>
      <x:c r="I349" s="6" t="n">
        <x:v>0</x:v>
      </x:c>
      <x:c r="J349" s="6" t="n">
        <x:v>189</x:v>
      </x:c>
      <x:c r="K349" s="6" t="n">
        <x:v>104</x:v>
      </x:c>
      <x:c r="L349" s="6" t="n">
        <x:v>379</x:v>
      </x:c>
      <x:c r="M349" s="6" t="n">
        <x:v>111</x:v>
      </x:c>
      <x:c r="N349" s="6" t="n">
        <x:v>189</x:v>
      </x:c>
      <x:c r="O349" s="6" t="n">
        <x:v>218</x:v>
      </x:c>
      <x:c r="P349" s="6" t="n">
        <x:v>1</x:v>
      </x:c>
      <x:c r="Q349" s="6" t="n">
        <x:v>4</x:v>
      </x:c>
      <x:c r="R349" s="6" t="n">
        <x:v>4</x:v>
      </x:c>
      <x:c r="S349" s="6" t="n">
        <x:v>6</x:v>
      </x:c>
      <x:c r="T349" s="6" t="n">
        <x:v>1</x:v>
      </x:c>
      <x:c r="U349" s="6" t="n">
        <x:v>0</x:v>
      </x:c>
      <x:c r="V349" s="6" t="n">
        <x:v>0</x:v>
      </x:c>
      <x:c r="W349" s="6" t="n">
        <x:v>0</x:v>
      </x:c>
      <x:c r="X349" s="6" t="n">
        <x:v>0</x:v>
      </x:c>
      <x:c r="Y349" s="6" t="n">
        <x:v>0</x:v>
      </x:c>
      <x:c r="Z349" s="6" t="n">
        <x:v>0</x:v>
      </x:c>
      <x:c r="AA349" s="6" t="n">
        <x:v>3</x:v>
      </x:c>
      <x:c r="AB349" s="6" t="n">
        <x:v>11</x:v>
      </x:c>
      <x:c r="AC349" s="6" t="n">
        <x:v>1</x:v>
      </x:c>
    </x:row>
    <x:row r="350">
      <x:c r="A350" s="6" t="n">
        <x:v>8842</x:v>
      </x:c>
      <x:c r="B350" s="6" t="n">
        <x:v>1971</x:v>
      </x:c>
      <x:c r="C350" s="6" t="str">
        <x:v>Graduation</x:v>
      </x:c>
      <x:c r="D350" s="6" t="str">
        <x:v>Widow</x:v>
      </x:c>
      <x:c r="E350" s="6" t="n">
        <x:v>30372</x:v>
      </x:c>
      <x:c r="F350" s="6" t="n">
        <x:v>1</x:v>
      </x:c>
      <x:c r="G350" s="6" t="n">
        <x:v>1</x:v>
      </x:c>
      <x:c r="H350" s="9" t="str">
        <x:v>25-12-2012</x:v>
      </x:c>
      <x:c r="I350" s="6" t="n">
        <x:v>33</x:v>
      </x:c>
      <x:c r="J350" s="6" t="n">
        <x:v>15</x:v>
      </x:c>
      <x:c r="K350" s="6" t="n">
        <x:v>0</x:v>
      </x:c>
      <x:c r="L350" s="6" t="n">
        <x:v>12</x:v>
      </x:c>
      <x:c r="M350" s="6" t="n">
        <x:v>7</x:v>
      </x:c>
      <x:c r="N350" s="6" t="n">
        <x:v>3</x:v>
      </x:c>
      <x:c r="O350" s="6" t="n">
        <x:v>7</x:v>
      </x:c>
      <x:c r="P350" s="6" t="n">
        <x:v>3</x:v>
      </x:c>
      <x:c r="Q350" s="6" t="n">
        <x:v>2</x:v>
      </x:c>
      <x:c r="R350" s="6" t="n">
        <x:v>0</x:v>
      </x:c>
      <x:c r="S350" s="6" t="n">
        <x:v>3</x:v>
      </x:c>
      <x:c r="T350" s="6" t="n">
        <x:v>7</x:v>
      </x:c>
      <x:c r="U350" s="6" t="n">
        <x:v>0</x:v>
      </x:c>
      <x:c r="V350" s="6" t="n">
        <x:v>0</x:v>
      </x:c>
      <x:c r="W350" s="6" t="n">
        <x:v>0</x:v>
      </x:c>
      <x:c r="X350" s="6" t="n">
        <x:v>0</x:v>
      </x:c>
      <x:c r="Y350" s="6" t="n">
        <x:v>0</x:v>
      </x:c>
      <x:c r="Z350" s="6" t="n">
        <x:v>0</x:v>
      </x:c>
      <x:c r="AA350" s="6" t="n">
        <x:v>3</x:v>
      </x:c>
      <x:c r="AB350" s="6" t="n">
        <x:v>11</x:v>
      </x:c>
      <x:c r="AC350" s="6" t="n">
        <x:v>0</x:v>
      </x:c>
    </x:row>
    <x:row r="351">
      <x:c r="A351" s="6" t="n">
        <x:v>11030</x:v>
      </x:c>
      <x:c r="B351" s="6" t="n">
        <x:v>1976</x:v>
      </x:c>
      <x:c r="C351" s="6" t="str">
        <x:v>Master</x:v>
      </x:c>
      <x:c r="D351" s="6" t="str">
        <x:v>Married</x:v>
      </x:c>
      <x:c r="E351" s="6" t="n">
        <x:v>33181</x:v>
      </x:c>
      <x:c r="F351" s="6" t="n">
        <x:v>1</x:v>
      </x:c>
      <x:c r="G351" s="6" t="n">
        <x:v>0</x:v>
      </x:c>
      <x:c r="H351" s="9" t="str">
        <x:v>03-01-2014</x:v>
      </x:c>
      <x:c r="I351" s="6" t="n">
        <x:v>90</x:v>
      </x:c>
      <x:c r="J351" s="6" t="n">
        <x:v>9</x:v>
      </x:c>
      <x:c r="K351" s="6" t="n">
        <x:v>0</x:v>
      </x:c>
      <x:c r="L351" s="6" t="n">
        <x:v>3</x:v>
      </x:c>
      <x:c r="M351" s="6" t="n">
        <x:v>0</x:v>
      </x:c>
      <x:c r="N351" s="6" t="n">
        <x:v>0</x:v>
      </x:c>
      <x:c r="O351" s="6" t="n">
        <x:v>4</x:v>
      </x:c>
      <x:c r="P351" s="6" t="n">
        <x:v>1</x:v>
      </x:c>
      <x:c r="Q351" s="6" t="n">
        <x:v>1</x:v>
      </x:c>
      <x:c r="R351" s="6" t="n">
        <x:v>0</x:v>
      </x:c>
      <x:c r="S351" s="6" t="n">
        <x:v>2</x:v>
      </x:c>
      <x:c r="T351" s="6" t="n">
        <x:v>6</x:v>
      </x:c>
      <x:c r="U351" s="6" t="n">
        <x:v>1</x:v>
      </x:c>
      <x:c r="V351" s="6" t="n">
        <x:v>0</x:v>
      </x:c>
      <x:c r="W351" s="6" t="n">
        <x:v>0</x:v>
      </x:c>
      <x:c r="X351" s="6" t="n">
        <x:v>0</x:v>
      </x:c>
      <x:c r="Y351" s="6" t="n">
        <x:v>0</x:v>
      </x:c>
      <x:c r="Z351" s="6" t="n">
        <x:v>0</x:v>
      </x:c>
      <x:c r="AA351" s="6" t="n">
        <x:v>3</x:v>
      </x:c>
      <x:c r="AB351" s="6" t="n">
        <x:v>11</x:v>
      </x:c>
      <x:c r="AC351" s="6" t="n">
        <x:v>0</x:v>
      </x:c>
    </x:row>
    <x:row r="352">
      <x:c r="A352" s="6" t="n">
        <x:v>2579</x:v>
      </x:c>
      <x:c r="B352" s="6" t="n">
        <x:v>1957</x:v>
      </x:c>
      <x:c r="C352" s="6" t="str">
        <x:v>Graduation</x:v>
      </x:c>
      <x:c r="D352" s="6" t="str">
        <x:v>Married</x:v>
      </x:c>
      <x:c r="E352" s="6" t="n">
        <x:v>71113</x:v>
      </x:c>
      <x:c r="F352" s="6" t="n">
        <x:v>0</x:v>
      </x:c>
      <x:c r="G352" s="6" t="n">
        <x:v>1</x:v>
      </x:c>
      <x:c r="H352" s="9" t="str">
        <x:v>17-12-2013</x:v>
      </x:c>
      <x:c r="I352" s="6" t="n">
        <x:v>95</x:v>
      </x:c>
      <x:c r="J352" s="6" t="n">
        <x:v>495</x:v>
      </x:c>
      <x:c r="K352" s="6" t="n">
        <x:v>33</x:v>
      </x:c>
      <x:c r="L352" s="6" t="n">
        <x:v>255</x:v>
      </x:c>
      <x:c r="M352" s="6" t="n">
        <x:v>11</x:v>
      </x:c>
      <x:c r="N352" s="6" t="n">
        <x:v>33</x:v>
      </x:c>
      <x:c r="O352" s="6" t="n">
        <x:v>8</x:v>
      </x:c>
      <x:c r="P352" s="6" t="n">
        <x:v>4</x:v>
      </x:c>
      <x:c r="Q352" s="6" t="n">
        <x:v>6</x:v>
      </x:c>
      <x:c r="R352" s="6" t="n">
        <x:v>7</x:v>
      </x:c>
      <x:c r="S352" s="6" t="n">
        <x:v>9</x:v>
      </x:c>
      <x:c r="T352" s="6" t="n">
        <x:v>4</x:v>
      </x:c>
      <x:c r="U352" s="6" t="n">
        <x:v>0</x:v>
      </x:c>
      <x:c r="V352" s="6" t="n">
        <x:v>0</x:v>
      </x:c>
      <x:c r="W352" s="6" t="n">
        <x:v>0</x:v>
      </x:c>
      <x:c r="X352" s="6" t="n">
        <x:v>0</x:v>
      </x:c>
      <x:c r="Y352" s="6" t="n">
        <x:v>0</x:v>
      </x:c>
      <x:c r="Z352" s="6" t="n">
        <x:v>0</x:v>
      </x:c>
      <x:c r="AA352" s="6" t="n">
        <x:v>3</x:v>
      </x:c>
      <x:c r="AB352" s="6" t="n">
        <x:v>11</x:v>
      </x:c>
      <x:c r="AC352" s="6" t="n">
        <x:v>0</x:v>
      </x:c>
    </x:row>
    <x:row r="353">
      <x:c r="A353" s="6" t="n">
        <x:v>175</x:v>
      </x:c>
      <x:c r="B353" s="6" t="n">
        <x:v>1986</x:v>
      </x:c>
      <x:c r="C353" s="6" t="str">
        <x:v>Graduation</x:v>
      </x:c>
      <x:c r="D353" s="6" t="str">
        <x:v>Married</x:v>
      </x:c>
      <x:c r="E353" s="6" t="n">
        <x:v>71952</x:v>
      </x:c>
      <x:c r="F353" s="6" t="n">
        <x:v>1</x:v>
      </x:c>
      <x:c r="G353" s="6" t="n">
        <x:v>0</x:v>
      </x:c>
      <x:c r="H353" s="9" t="str">
        <x:v>10-01-2013</x:v>
      </x:c>
      <x:c r="I353" s="6" t="n">
        <x:v>93</x:v>
      </x:c>
      <x:c r="J353" s="6" t="n">
        <x:v>656</x:v>
      </x:c>
      <x:c r="K353" s="6" t="n">
        <x:v>80</x:v>
      </x:c>
      <x:c r="L353" s="6" t="n">
        <x:v>455</x:v>
      </x:c>
      <x:c r="M353" s="6" t="n">
        <x:v>52</x:v>
      </x:c>
      <x:c r="N353" s="6" t="n">
        <x:v>107</x:v>
      </x:c>
      <x:c r="O353" s="6" t="n">
        <x:v>93</x:v>
      </x:c>
      <x:c r="P353" s="6" t="n">
        <x:v>2</x:v>
      </x:c>
      <x:c r="Q353" s="6" t="n">
        <x:v>8</x:v>
      </x:c>
      <x:c r="R353" s="6" t="n">
        <x:v>4</x:v>
      </x:c>
      <x:c r="S353" s="6" t="n">
        <x:v>8</x:v>
      </x:c>
      <x:c r="T353" s="6" t="n">
        <x:v>4</x:v>
      </x:c>
      <x:c r="U353" s="6" t="n">
        <x:v>1</x:v>
      </x:c>
      <x:c r="V353" s="6" t="n">
        <x:v>0</x:v>
      </x:c>
      <x:c r="W353" s="6" t="n">
        <x:v>1</x:v>
      </x:c>
      <x:c r="X353" s="6" t="n">
        <x:v>0</x:v>
      </x:c>
      <x:c r="Y353" s="6" t="n">
        <x:v>0</x:v>
      </x:c>
      <x:c r="Z353" s="6" t="n">
        <x:v>0</x:v>
      </x:c>
      <x:c r="AA353" s="6" t="n">
        <x:v>3</x:v>
      </x:c>
      <x:c r="AB353" s="6" t="n">
        <x:v>11</x:v>
      </x:c>
      <x:c r="AC353" s="6" t="n">
        <x:v>0</x:v>
      </x:c>
    </x:row>
    <x:row r="354">
      <x:c r="A354" s="6" t="n">
        <x:v>9185</x:v>
      </x:c>
      <x:c r="B354" s="6" t="n">
        <x:v>1966</x:v>
      </x:c>
      <x:c r="C354" s="6" t="str">
        <x:v>PhD</x:v>
      </x:c>
      <x:c r="D354" s="6" t="str">
        <x:v>Single</x:v>
      </x:c>
      <x:c r="E354" s="6" t="n">
        <x:v>69759</x:v>
      </x:c>
      <x:c r="F354" s="6" t="n">
        <x:v>0</x:v>
      </x:c>
      <x:c r="G354" s="6" t="n">
        <x:v>0</x:v>
      </x:c>
      <x:c r="H354" s="9" t="str">
        <x:v>28-10-2013</x:v>
      </x:c>
      <x:c r="I354" s="6" t="n">
        <x:v>38</x:v>
      </x:c>
      <x:c r="J354" s="6" t="n">
        <x:v>452</x:v>
      </x:c>
      <x:c r="K354" s="6" t="n">
        <x:v>20</x:v>
      </x:c>
      <x:c r="L354" s="6" t="n">
        <x:v>514</x:v>
      </x:c>
      <x:c r="M354" s="6" t="n">
        <x:v>13</x:v>
      </x:c>
      <x:c r="N354" s="6" t="n">
        <x:v>30</x:v>
      </x:c>
      <x:c r="O354" s="6" t="n">
        <x:v>0</x:v>
      </x:c>
      <x:c r="P354" s="6" t="n">
        <x:v>3</x:v>
      </x:c>
      <x:c r="Q354" s="6" t="n">
        <x:v>4</x:v>
      </x:c>
      <x:c r="R354" s="6" t="n">
        <x:v>6</x:v>
      </x:c>
      <x:c r="S354" s="6" t="n">
        <x:v>5</x:v>
      </x:c>
      <x:c r="T354" s="6" t="n">
        <x:v>3</x:v>
      </x:c>
      <x:c r="U354" s="6" t="n">
        <x:v>0</x:v>
      </x:c>
      <x:c r="V354" s="6" t="n">
        <x:v>0</x:v>
      </x:c>
      <x:c r="W354" s="6" t="n">
        <x:v>0</x:v>
      </x:c>
      <x:c r="X354" s="6" t="n">
        <x:v>0</x:v>
      </x:c>
      <x:c r="Y354" s="6" t="n">
        <x:v>0</x:v>
      </x:c>
      <x:c r="Z354" s="6" t="n">
        <x:v>0</x:v>
      </x:c>
      <x:c r="AA354" s="6" t="n">
        <x:v>3</x:v>
      </x:c>
      <x:c r="AB354" s="6" t="n">
        <x:v>11</x:v>
      </x:c>
      <x:c r="AC354" s="6" t="n">
        <x:v>1</x:v>
      </x:c>
    </x:row>
    <x:row r="355">
      <x:c r="A355" s="6" t="n">
        <x:v>11056</x:v>
      </x:c>
      <x:c r="B355" s="6" t="n">
        <x:v>1974</x:v>
      </x:c>
      <x:c r="C355" s="6" t="str">
        <x:v>Graduation</x:v>
      </x:c>
      <x:c r="D355" s="6" t="str">
        <x:v>Married</x:v>
      </x:c>
      <x:c r="E355" s="6" t="n">
        <x:v>72099</x:v>
      </x:c>
      <x:c r="F355" s="6" t="n">
        <x:v>0</x:v>
      </x:c>
      <x:c r="G355" s="6" t="n">
        <x:v>0</x:v>
      </x:c>
      <x:c r="H355" s="9" t="str">
        <x:v>27-10-2012</x:v>
      </x:c>
      <x:c r="I355" s="6" t="n">
        <x:v>18</x:v>
      </x:c>
      <x:c r="J355" s="6" t="n">
        <x:v>546</x:v>
      </x:c>
      <x:c r="K355" s="6" t="n">
        <x:v>91</x:v>
      </x:c>
      <x:c r="L355" s="6" t="n">
        <x:v>410</x:v>
      </x:c>
      <x:c r="M355" s="6" t="n">
        <x:v>119</x:v>
      </x:c>
      <x:c r="N355" s="6" t="n">
        <x:v>0</x:v>
      </x:c>
      <x:c r="O355" s="6" t="n">
        <x:v>22</x:v>
      </x:c>
      <x:c r="P355" s="6" t="n">
        <x:v>1</x:v>
      </x:c>
      <x:c r="Q355" s="6" t="n">
        <x:v>3</x:v>
      </x:c>
      <x:c r="R355" s="6" t="n">
        <x:v>4</x:v>
      </x:c>
      <x:c r="S355" s="6" t="n">
        <x:v>10</x:v>
      </x:c>
      <x:c r="T355" s="6" t="n">
        <x:v>1</x:v>
      </x:c>
      <x:c r="U355" s="6" t="n">
        <x:v>0</x:v>
      </x:c>
      <x:c r="V355" s="6" t="n">
        <x:v>0</x:v>
      </x:c>
      <x:c r="W355" s="6" t="n">
        <x:v>0</x:v>
      </x:c>
      <x:c r="X355" s="6" t="n">
        <x:v>0</x:v>
      </x:c>
      <x:c r="Y355" s="6" t="n">
        <x:v>0</x:v>
      </x:c>
      <x:c r="Z355" s="6" t="n">
        <x:v>0</x:v>
      </x:c>
      <x:c r="AA355" s="6" t="n">
        <x:v>3</x:v>
      </x:c>
      <x:c r="AB355" s="6" t="n">
        <x:v>11</x:v>
      </x:c>
      <x:c r="AC355" s="6" t="n">
        <x:v>0</x:v>
      </x:c>
    </x:row>
    <x:row r="356">
      <x:c r="A356" s="6" t="n">
        <x:v>9365</x:v>
      </x:c>
      <x:c r="B356" s="6" t="n">
        <x:v>1976</x:v>
      </x:c>
      <x:c r="C356" s="6" t="str">
        <x:v>PhD</x:v>
      </x:c>
      <x:c r="D356" s="6" t="str">
        <x:v>Single</x:v>
      </x:c>
      <x:c r="E356" s="6" t="n">
        <x:v>60000</x:v>
      </x:c>
      <x:c r="F356" s="6" t="n">
        <x:v>0</x:v>
      </x:c>
      <x:c r="G356" s="6" t="n">
        <x:v>1</x:v>
      </x:c>
      <x:c r="H356" s="9" t="str">
        <x:v>22-12-2012</x:v>
      </x:c>
      <x:c r="I356" s="6" t="n">
        <x:v>57</x:v>
      </x:c>
      <x:c r="J356" s="6" t="n">
        <x:v>1048</x:v>
      </x:c>
      <x:c r="K356" s="6" t="n">
        <x:v>0</x:v>
      </x:c>
      <x:c r="L356" s="6" t="n">
        <x:v>217</x:v>
      </x:c>
      <x:c r="M356" s="6" t="n">
        <x:v>0</x:v>
      </x:c>
      <x:c r="N356" s="6" t="n">
        <x:v>0</x:v>
      </x:c>
      <x:c r="O356" s="6" t="n">
        <x:v>12</x:v>
      </x:c>
      <x:c r="P356" s="6" t="n">
        <x:v>5</x:v>
      </x:c>
      <x:c r="Q356" s="6" t="n">
        <x:v>11</x:v>
      </x:c>
      <x:c r="R356" s="6" t="n">
        <x:v>3</x:v>
      </x:c>
      <x:c r="S356" s="6" t="n">
        <x:v>5</x:v>
      </x:c>
      <x:c r="T356" s="6" t="n">
        <x:v>6</x:v>
      </x:c>
      <x:c r="U356" s="6" t="n">
        <x:v>0</x:v>
      </x:c>
      <x:c r="V356" s="6" t="n">
        <x:v>0</x:v>
      </x:c>
      <x:c r="W356" s="6" t="n">
        <x:v>0</x:v>
      </x:c>
      <x:c r="X356" s="6" t="n">
        <x:v>0</x:v>
      </x:c>
      <x:c r="Y356" s="6" t="n">
        <x:v>0</x:v>
      </x:c>
      <x:c r="Z356" s="6" t="n">
        <x:v>0</x:v>
      </x:c>
      <x:c r="AA356" s="6" t="n">
        <x:v>3</x:v>
      </x:c>
      <x:c r="AB356" s="6" t="n">
        <x:v>11</x:v>
      </x:c>
      <x:c r="AC356" s="6" t="n">
        <x:v>0</x:v>
      </x:c>
    </x:row>
    <x:row r="357">
      <x:c r="A357" s="6" t="n">
        <x:v>6201</x:v>
      </x:c>
      <x:c r="B357" s="6" t="n">
        <x:v>1978</x:v>
      </x:c>
      <x:c r="C357" s="6" t="str">
        <x:v>Graduation</x:v>
      </x:c>
      <x:c r="D357" s="6" t="str">
        <x:v>Single</x:v>
      </x:c>
      <x:c r="E357" s="6" t="n">
        <x:v>38643</x:v>
      </x:c>
      <x:c r="F357" s="6" t="n">
        <x:v>1</x:v>
      </x:c>
      <x:c r="G357" s="6" t="n">
        <x:v>1</x:v>
      </x:c>
      <x:c r="H357" s="9" t="str">
        <x:v>29-11-2013</x:v>
      </x:c>
      <x:c r="I357" s="6" t="n">
        <x:v>45</x:v>
      </x:c>
      <x:c r="J357" s="6" t="n">
        <x:v>22</x:v>
      </x:c>
      <x:c r="K357" s="6" t="n">
        <x:v>2</x:v>
      </x:c>
      <x:c r="L357" s="6" t="n">
        <x:v>14</x:v>
      </x:c>
      <x:c r="M357" s="6" t="n">
        <x:v>0</x:v>
      </x:c>
      <x:c r="N357" s="6" t="n">
        <x:v>1</x:v>
      </x:c>
      <x:c r="O357" s="6" t="n">
        <x:v>10</x:v>
      </x:c>
      <x:c r="P357" s="6" t="n">
        <x:v>2</x:v>
      </x:c>
      <x:c r="Q357" s="6" t="n">
        <x:v>2</x:v>
      </x:c>
      <x:c r="R357" s="6" t="n">
        <x:v>0</x:v>
      </x:c>
      <x:c r="S357" s="6" t="n">
        <x:v>3</x:v>
      </x:c>
      <x:c r="T357" s="6" t="n">
        <x:v>7</x:v>
      </x:c>
      <x:c r="U357" s="6" t="n">
        <x:v>0</x:v>
      </x:c>
      <x:c r="V357" s="6" t="n">
        <x:v>0</x:v>
      </x:c>
      <x:c r="W357" s="6" t="n">
        <x:v>0</x:v>
      </x:c>
      <x:c r="X357" s="6" t="n">
        <x:v>0</x:v>
      </x:c>
      <x:c r="Y357" s="6" t="n">
        <x:v>0</x:v>
      </x:c>
      <x:c r="Z357" s="6" t="n">
        <x:v>1</x:v>
      </x:c>
      <x:c r="AA357" s="6" t="n">
        <x:v>3</x:v>
      </x:c>
      <x:c r="AB357" s="6" t="n">
        <x:v>11</x:v>
      </x:c>
      <x:c r="AC357" s="6" t="n">
        <x:v>0</x:v>
      </x:c>
    </x:row>
    <x:row r="358">
      <x:c r="A358" s="6" t="n">
        <x:v>2061</x:v>
      </x:c>
      <x:c r="B358" s="6" t="n">
        <x:v>1955</x:v>
      </x:c>
      <x:c r="C358" s="6" t="str">
        <x:v>Graduation</x:v>
      </x:c>
      <x:c r="D358" s="6" t="str">
        <x:v>Married</x:v>
      </x:c>
      <x:c r="E358" s="6" t="n">
        <x:v>50737</x:v>
      </x:c>
      <x:c r="F358" s="6" t="n">
        <x:v>0</x:v>
      </x:c>
      <x:c r="G358" s="6" t="n">
        <x:v>1</x:v>
      </x:c>
      <x:c r="H358" s="9" t="str">
        <x:v>11-05-2013</x:v>
      </x:c>
      <x:c r="I358" s="6" t="n">
        <x:v>61</x:v>
      </x:c>
      <x:c r="J358" s="6" t="n">
        <x:v>78</x:v>
      </x:c>
      <x:c r="K358" s="6" t="n">
        <x:v>0</x:v>
      </x:c>
      <x:c r="L358" s="6" t="n">
        <x:v>11</x:v>
      </x:c>
      <x:c r="M358" s="6" t="n">
        <x:v>0</x:v>
      </x:c>
      <x:c r="N358" s="6" t="n">
        <x:v>0</x:v>
      </x:c>
      <x:c r="O358" s="6" t="n">
        <x:v>10</x:v>
      </x:c>
      <x:c r="P358" s="6" t="n">
        <x:v>1</x:v>
      </x:c>
      <x:c r="Q358" s="6" t="n">
        <x:v>2</x:v>
      </x:c>
      <x:c r="R358" s="6" t="n">
        <x:v>0</x:v>
      </x:c>
      <x:c r="S358" s="6" t="n">
        <x:v>4</x:v>
      </x:c>
      <x:c r="T358" s="6" t="n">
        <x:v>6</x:v>
      </x:c>
      <x:c r="U358" s="6" t="n">
        <x:v>0</x:v>
      </x:c>
      <x:c r="V358" s="6" t="n">
        <x:v>1</x:v>
      </x:c>
      <x:c r="W358" s="6" t="n">
        <x:v>0</x:v>
      </x:c>
      <x:c r="X358" s="6" t="n">
        <x:v>0</x:v>
      </x:c>
      <x:c r="Y358" s="6" t="n">
        <x:v>0</x:v>
      </x:c>
      <x:c r="Z358" s="6" t="n">
        <x:v>0</x:v>
      </x:c>
      <x:c r="AA358" s="6" t="n">
        <x:v>3</x:v>
      </x:c>
      <x:c r="AB358" s="6" t="n">
        <x:v>11</x:v>
      </x:c>
      <x:c r="AC358" s="6" t="n">
        <x:v>0</x:v>
      </x:c>
    </x:row>
    <x:row r="359">
      <x:c r="A359" s="6" t="n">
        <x:v>6184</x:v>
      </x:c>
      <x:c r="B359" s="6" t="n">
        <x:v>1969</x:v>
      </x:c>
      <x:c r="C359" s="6" t="str">
        <x:v>PhD</x:v>
      </x:c>
      <x:c r="D359" s="6" t="str">
        <x:v>Married</x:v>
      </x:c>
      <x:c r="E359" s="6" t="n">
        <x:v>68462</x:v>
      </x:c>
      <x:c r="F359" s="6" t="n">
        <x:v>0</x:v>
      </x:c>
      <x:c r="G359" s="6" t="n">
        <x:v>0</x:v>
      </x:c>
      <x:c r="H359" s="9" t="str">
        <x:v>12-12-2012</x:v>
      </x:c>
      <x:c r="I359" s="6" t="n">
        <x:v>6</x:v>
      </x:c>
      <x:c r="J359" s="6" t="n">
        <x:v>561</x:v>
      </x:c>
      <x:c r="K359" s="6" t="n">
        <x:v>64</x:v>
      </x:c>
      <x:c r="L359" s="6" t="n">
        <x:v>785</x:v>
      </x:c>
      <x:c r="M359" s="6" t="n">
        <x:v>84</x:v>
      </x:c>
      <x:c r="N359" s="6" t="n">
        <x:v>128</x:v>
      </x:c>
      <x:c r="O359" s="6" t="n">
        <x:v>48</x:v>
      </x:c>
      <x:c r="P359" s="6" t="n">
        <x:v>1</x:v>
      </x:c>
      <x:c r="Q359" s="6" t="n">
        <x:v>3</x:v>
      </x:c>
      <x:c r="R359" s="6" t="n">
        <x:v>3</x:v>
      </x:c>
      <x:c r="S359" s="6" t="n">
        <x:v>8</x:v>
      </x:c>
      <x:c r="T359" s="6" t="n">
        <x:v>1</x:v>
      </x:c>
      <x:c r="U359" s="6" t="n">
        <x:v>0</x:v>
      </x:c>
      <x:c r="V359" s="6" t="n">
        <x:v>0</x:v>
      </x:c>
      <x:c r="W359" s="6" t="n">
        <x:v>0</x:v>
      </x:c>
      <x:c r="X359" s="6" t="n">
        <x:v>0</x:v>
      </x:c>
      <x:c r="Y359" s="6" t="n">
        <x:v>0</x:v>
      </x:c>
      <x:c r="Z359" s="6" t="n">
        <x:v>0</x:v>
      </x:c>
      <x:c r="AA359" s="6" t="n">
        <x:v>3</x:v>
      </x:c>
      <x:c r="AB359" s="6" t="n">
        <x:v>11</x:v>
      </x:c>
      <x:c r="AC359" s="6" t="n">
        <x:v>0</x:v>
      </x:c>
    </x:row>
    <x:row r="360">
      <x:c r="A360" s="6" t="n">
        <x:v>6142</x:v>
      </x:c>
      <x:c r="B360" s="6" t="n">
        <x:v>1943</x:v>
      </x:c>
      <x:c r="C360" s="6" t="str">
        <x:v>Master</x:v>
      </x:c>
      <x:c r="D360" s="6" t="str">
        <x:v>Married</x:v>
      </x:c>
      <x:c r="E360" s="6" t="n">
        <x:v>65073</x:v>
      </x:c>
      <x:c r="F360" s="6" t="n">
        <x:v>0</x:v>
      </x:c>
      <x:c r="G360" s="6" t="n">
        <x:v>0</x:v>
      </x:c>
      <x:c r="H360" s="9" t="str">
        <x:v>20-08-2013</x:v>
      </x:c>
      <x:c r="I360" s="6" t="n">
        <x:v>65</x:v>
      </x:c>
      <x:c r="J360" s="6" t="n">
        <x:v>629</x:v>
      </x:c>
      <x:c r="K360" s="6" t="n">
        <x:v>17</x:v>
      </x:c>
      <x:c r="L360" s="6" t="n">
        <x:v>177</x:v>
      </x:c>
      <x:c r="M360" s="6" t="n">
        <x:v>69</x:v>
      </x:c>
      <x:c r="N360" s="6" t="n">
        <x:v>0</x:v>
      </x:c>
      <x:c r="O360" s="6" t="n">
        <x:v>8</x:v>
      </x:c>
      <x:c r="P360" s="6" t="n">
        <x:v>1</x:v>
      </x:c>
      <x:c r="Q360" s="6" t="n">
        <x:v>5</x:v>
      </x:c>
      <x:c r="R360" s="6" t="n">
        <x:v>3</x:v>
      </x:c>
      <x:c r="S360" s="6" t="n">
        <x:v>5</x:v>
      </x:c>
      <x:c r="T360" s="6" t="n">
        <x:v>2</x:v>
      </x:c>
      <x:c r="U360" s="6" t="n">
        <x:v>0</x:v>
      </x:c>
      <x:c r="V360" s="6" t="n">
        <x:v>0</x:v>
      </x:c>
      <x:c r="W360" s="6" t="n">
        <x:v>0</x:v>
      </x:c>
      <x:c r="X360" s="6" t="n">
        <x:v>0</x:v>
      </x:c>
      <x:c r="Y360" s="6" t="n">
        <x:v>0</x:v>
      </x:c>
      <x:c r="Z360" s="6" t="n">
        <x:v>1</x:v>
      </x:c>
      <x:c r="AA360" s="6" t="n">
        <x:v>3</x:v>
      </x:c>
      <x:c r="AB360" s="6" t="n">
        <x:v>11</x:v>
      </x:c>
      <x:c r="AC360" s="6" t="n">
        <x:v>0</x:v>
      </x:c>
    </x:row>
    <x:row r="361">
      <x:c r="A361" s="6" t="n">
        <x:v>4107</x:v>
      </x:c>
      <x:c r="B361" s="6" t="n">
        <x:v>1948</x:v>
      </x:c>
      <x:c r="C361" s="6" t="str">
        <x:v>PhD</x:v>
      </x:c>
      <x:c r="D361" s="6" t="str">
        <x:v>Together</x:v>
      </x:c>
      <x:c r="E361" s="6" t="n">
        <x:v>46681</x:v>
      </x:c>
      <x:c r="F361" s="6" t="n">
        <x:v>0</x:v>
      </x:c>
      <x:c r="G361" s="6" t="n">
        <x:v>2</x:v>
      </x:c>
      <x:c r="H361" s="9" t="str">
        <x:v>08-10-2013</x:v>
      </x:c>
      <x:c r="I361" s="6" t="n">
        <x:v>52</x:v>
      </x:c>
      <x:c r="J361" s="6" t="n">
        <x:v>269</x:v>
      </x:c>
      <x:c r="K361" s="6" t="n">
        <x:v>15</x:v>
      </x:c>
      <x:c r="L361" s="6" t="n">
        <x:v>69</x:v>
      </x:c>
      <x:c r="M361" s="6" t="n">
        <x:v>15</x:v>
      </x:c>
      <x:c r="N361" s="6" t="n">
        <x:v>19</x:v>
      </x:c>
      <x:c r="O361" s="6" t="n">
        <x:v>38</x:v>
      </x:c>
      <x:c r="P361" s="6" t="n">
        <x:v>2</x:v>
      </x:c>
      <x:c r="Q361" s="6" t="n">
        <x:v>4</x:v>
      </x:c>
      <x:c r="R361" s="6" t="n">
        <x:v>6</x:v>
      </x:c>
      <x:c r="S361" s="6" t="n">
        <x:v>4</x:v>
      </x:c>
      <x:c r="T361" s="6" t="n">
        <x:v>5</x:v>
      </x:c>
      <x:c r="U361" s="6" t="n">
        <x:v>0</x:v>
      </x:c>
      <x:c r="V361" s="6" t="n">
        <x:v>0</x:v>
      </x:c>
      <x:c r="W361" s="6" t="n">
        <x:v>0</x:v>
      </x:c>
      <x:c r="X361" s="6" t="n">
        <x:v>0</x:v>
      </x:c>
      <x:c r="Y361" s="6" t="n">
        <x:v>0</x:v>
      </x:c>
      <x:c r="Z361" s="6" t="n">
        <x:v>0</x:v>
      </x:c>
      <x:c r="AA361" s="6" t="n">
        <x:v>3</x:v>
      </x:c>
      <x:c r="AB361" s="6" t="n">
        <x:v>11</x:v>
      </x:c>
      <x:c r="AC361" s="6" t="n">
        <x:v>0</x:v>
      </x:c>
    </x:row>
    <x:row r="362">
      <x:c r="A362" s="6" t="n">
        <x:v>7274</x:v>
      </x:c>
      <x:c r="B362" s="6" t="n">
        <x:v>1957</x:v>
      </x:c>
      <x:c r="C362" s="6" t="str">
        <x:v>Graduation</x:v>
      </x:c>
      <x:c r="D362" s="6" t="str">
        <x:v>Married</x:v>
      </x:c>
      <x:c r="E362" s="6" t="n">
        <x:v>78618</x:v>
      </x:c>
      <x:c r="F362" s="6" t="n">
        <x:v>0</x:v>
      </x:c>
      <x:c r="G362" s="6" t="n">
        <x:v>0</x:v>
      </x:c>
      <x:c r="H362" s="9" t="str">
        <x:v>28-09-2012</x:v>
      </x:c>
      <x:c r="I362" s="6" t="n">
        <x:v>87</x:v>
      </x:c>
      <x:c r="J362" s="6" t="n">
        <x:v>736</x:v>
      </x:c>
      <x:c r="K362" s="6" t="n">
        <x:v>163</x:v>
      </x:c>
      <x:c r="L362" s="6" t="n">
        <x:v>818</x:v>
      </x:c>
      <x:c r="M362" s="6" t="n">
        <x:v>212</x:v>
      </x:c>
      <x:c r="N362" s="6" t="n">
        <x:v>163</x:v>
      </x:c>
      <x:c r="O362" s="6" t="n">
        <x:v>61</x:v>
      </x:c>
      <x:c r="P362" s="6" t="n">
        <x:v>1</x:v>
      </x:c>
      <x:c r="Q362" s="6" t="n">
        <x:v>4</x:v>
      </x:c>
      <x:c r="R362" s="6" t="n">
        <x:v>7</x:v>
      </x:c>
      <x:c r="S362" s="6" t="n">
        <x:v>10</x:v>
      </x:c>
      <x:c r="T362" s="6" t="n">
        <x:v>2</x:v>
      </x:c>
      <x:c r="U362" s="6" t="n">
        <x:v>0</x:v>
      </x:c>
      <x:c r="V362" s="6" t="n">
        <x:v>1</x:v>
      </x:c>
      <x:c r="W362" s="6" t="n">
        <x:v>0</x:v>
      </x:c>
      <x:c r="X362" s="6" t="n">
        <x:v>0</x:v>
      </x:c>
      <x:c r="Y362" s="6" t="n">
        <x:v>0</x:v>
      </x:c>
      <x:c r="Z362" s="6" t="n">
        <x:v>0</x:v>
      </x:c>
      <x:c r="AA362" s="6" t="n">
        <x:v>3</x:v>
      </x:c>
      <x:c r="AB362" s="6" t="n">
        <x:v>11</x:v>
      </x:c>
      <x:c r="AC362" s="6" t="n">
        <x:v>0</x:v>
      </x:c>
    </x:row>
    <x:row r="363">
      <x:c r="A363" s="6" t="n">
        <x:v>9336</x:v>
      </x:c>
      <x:c r="B363" s="6" t="n">
        <x:v>1969</x:v>
      </x:c>
      <x:c r="C363" s="6" t="str">
        <x:v>PhD</x:v>
      </x:c>
      <x:c r="D363" s="6" t="str">
        <x:v>Widow</x:v>
      </x:c>
      <x:c r="E363" s="6" t="n">
        <x:v>62187</x:v>
      </x:c>
      <x:c r="F363" s="6" t="n">
        <x:v>0</x:v>
      </x:c>
      <x:c r="G363" s="6" t="n">
        <x:v>1</x:v>
      </x:c>
      <x:c r="H363" s="9" t="str">
        <x:v>22-03-2014</x:v>
      </x:c>
      <x:c r="I363" s="6" t="n">
        <x:v>38</x:v>
      </x:c>
      <x:c r="J363" s="6" t="n">
        <x:v>512</x:v>
      </x:c>
      <x:c r="K363" s="6" t="n">
        <x:v>0</x:v>
      </x:c>
      <x:c r="L363" s="6" t="n">
        <x:v>83</x:v>
      </x:c>
      <x:c r="M363" s="6" t="n">
        <x:v>0</x:v>
      </x:c>
      <x:c r="N363" s="6" t="n">
        <x:v>0</x:v>
      </x:c>
      <x:c r="O363" s="6" t="n">
        <x:v>41</x:v>
      </x:c>
      <x:c r="P363" s="6" t="n">
        <x:v>3</x:v>
      </x:c>
      <x:c r="Q363" s="6" t="n">
        <x:v>6</x:v>
      </x:c>
      <x:c r="R363" s="6" t="n">
        <x:v>2</x:v>
      </x:c>
      <x:c r="S363" s="6" t="n">
        <x:v>10</x:v>
      </x:c>
      <x:c r="T363" s="6" t="n">
        <x:v>4</x:v>
      </x:c>
      <x:c r="U363" s="6" t="n">
        <x:v>0</x:v>
      </x:c>
      <x:c r="V363" s="6" t="n">
        <x:v>0</x:v>
      </x:c>
      <x:c r="W363" s="6" t="n">
        <x:v>0</x:v>
      </x:c>
      <x:c r="X363" s="6" t="n">
        <x:v>0</x:v>
      </x:c>
      <x:c r="Y363" s="6" t="n">
        <x:v>0</x:v>
      </x:c>
      <x:c r="Z363" s="6" t="n">
        <x:v>0</x:v>
      </x:c>
      <x:c r="AA363" s="6" t="n">
        <x:v>3</x:v>
      </x:c>
      <x:c r="AB363" s="6" t="n">
        <x:v>11</x:v>
      </x:c>
      <x:c r="AC363" s="6" t="n">
        <x:v>0</x:v>
      </x:c>
    </x:row>
    <x:row r="364">
      <x:c r="A364" s="6" t="n">
        <x:v>2958</x:v>
      </x:c>
      <x:c r="B364" s="6" t="n">
        <x:v>1978</x:v>
      </x:c>
      <x:c r="C364" s="6" t="str">
        <x:v>Graduation</x:v>
      </x:c>
      <x:c r="D364" s="6" t="str">
        <x:v>Married</x:v>
      </x:c>
      <x:c r="E364" s="6" t="n">
        <x:v>28442</x:v>
      </x:c>
      <x:c r="F364" s="6" t="n">
        <x:v>2</x:v>
      </x:c>
      <x:c r="G364" s="6" t="n">
        <x:v>0</x:v>
      </x:c>
      <x:c r="H364" s="9" t="str">
        <x:v>24-02-2014</x:v>
      </x:c>
      <x:c r="I364" s="6" t="n">
        <x:v>53</x:v>
      </x:c>
      <x:c r="J364" s="6" t="n">
        <x:v>19</x:v>
      </x:c>
      <x:c r="K364" s="6" t="n">
        <x:v>3</x:v>
      </x:c>
      <x:c r="L364" s="6" t="n">
        <x:v>10</x:v>
      </x:c>
      <x:c r="M364" s="6" t="n">
        <x:v>11</x:v>
      </x:c>
      <x:c r="N364" s="6" t="n">
        <x:v>8</x:v>
      </x:c>
      <x:c r="O364" s="6" t="n">
        <x:v>6</x:v>
      </x:c>
      <x:c r="P364" s="6" t="n">
        <x:v>3</x:v>
      </x:c>
      <x:c r="Q364" s="6" t="n">
        <x:v>2</x:v>
      </x:c>
      <x:c r="R364" s="6" t="n">
        <x:v>1</x:v>
      </x:c>
      <x:c r="S364" s="6" t="n">
        <x:v>4</x:v>
      </x:c>
      <x:c r="T364" s="6" t="n">
        <x:v>4</x:v>
      </x:c>
      <x:c r="U364" s="6" t="n">
        <x:v>0</x:v>
      </x:c>
      <x:c r="V364" s="6" t="n">
        <x:v>0</x:v>
      </x:c>
      <x:c r="W364" s="6" t="n">
        <x:v>0</x:v>
      </x:c>
      <x:c r="X364" s="6" t="n">
        <x:v>0</x:v>
      </x:c>
      <x:c r="Y364" s="6" t="n">
        <x:v>0</x:v>
      </x:c>
      <x:c r="Z364" s="6" t="n">
        <x:v>0</x:v>
      </x:c>
      <x:c r="AA364" s="6" t="n">
        <x:v>3</x:v>
      </x:c>
      <x:c r="AB364" s="6" t="n">
        <x:v>11</x:v>
      </x:c>
      <x:c r="AC364" s="6" t="n">
        <x:v>0</x:v>
      </x:c>
    </x:row>
    <x:row r="365">
      <x:c r="A365" s="6" t="n">
        <x:v>933</x:v>
      </x:c>
      <x:c r="B365" s="6" t="n">
        <x:v>1978</x:v>
      </x:c>
      <x:c r="C365" s="6" t="str">
        <x:v>PhD</x:v>
      </x:c>
      <x:c r="D365" s="6" t="str">
        <x:v>Married</x:v>
      </x:c>
      <x:c r="E365" s="6" t="n">
        <x:v>37717</x:v>
      </x:c>
      <x:c r="F365" s="6" t="n">
        <x:v>1</x:v>
      </x:c>
      <x:c r="G365" s="6" t="n">
        <x:v>0</x:v>
      </x:c>
      <x:c r="H365" s="9" t="str">
        <x:v>23-11-2012</x:v>
      </x:c>
      <x:c r="I365" s="6" t="n">
        <x:v>31</x:v>
      </x:c>
      <x:c r="J365" s="6" t="n">
        <x:v>9</x:v>
      </x:c>
      <x:c r="K365" s="6" t="n">
        <x:v>0</x:v>
      </x:c>
      <x:c r="L365" s="6" t="n">
        <x:v>6</x:v>
      </x:c>
      <x:c r="M365" s="6" t="n">
        <x:v>4</x:v>
      </x:c>
      <x:c r="N365" s="6" t="n">
        <x:v>1</x:v>
      </x:c>
      <x:c r="O365" s="6" t="n">
        <x:v>5</x:v>
      </x:c>
      <x:c r="P365" s="6" t="n">
        <x:v>1</x:v>
      </x:c>
      <x:c r="Q365" s="6" t="n">
        <x:v>1</x:v>
      </x:c>
      <x:c r="R365" s="6" t="n">
        <x:v>0</x:v>
      </x:c>
      <x:c r="S365" s="6" t="n">
        <x:v>2</x:v>
      </x:c>
      <x:c r="T365" s="6" t="n">
        <x:v>9</x:v>
      </x:c>
      <x:c r="U365" s="6" t="n">
        <x:v>0</x:v>
      </x:c>
      <x:c r="V365" s="6" t="n">
        <x:v>0</x:v>
      </x:c>
      <x:c r="W365" s="6" t="n">
        <x:v>0</x:v>
      </x:c>
      <x:c r="X365" s="6" t="n">
        <x:v>0</x:v>
      </x:c>
      <x:c r="Y365" s="6" t="n">
        <x:v>0</x:v>
      </x:c>
      <x:c r="Z365" s="6" t="n">
        <x:v>0</x:v>
      </x:c>
      <x:c r="AA365" s="6" t="n">
        <x:v>3</x:v>
      </x:c>
      <x:c r="AB365" s="6" t="n">
        <x:v>11</x:v>
      </x:c>
      <x:c r="AC365" s="6" t="n">
        <x:v>0</x:v>
      </x:c>
    </x:row>
    <x:row r="366">
      <x:c r="A366" s="6" t="n">
        <x:v>5837</x:v>
      </x:c>
      <x:c r="B366" s="6" t="n">
        <x:v>1967</x:v>
      </x:c>
      <x:c r="C366" s="6" t="str">
        <x:v>Graduation</x:v>
      </x:c>
      <x:c r="D366" s="6" t="str">
        <x:v>Married</x:v>
      </x:c>
      <x:c r="E366" s="6" t="n">
        <x:v>51479</x:v>
      </x:c>
      <x:c r="F366" s="6" t="n">
        <x:v>1</x:v>
      </x:c>
      <x:c r="G366" s="6" t="n">
        <x:v>1</x:v>
      </x:c>
      <x:c r="H366" s="9" t="str">
        <x:v>28-12-2012</x:v>
      </x:c>
      <x:c r="I366" s="6" t="n">
        <x:v>67</x:v>
      </x:c>
      <x:c r="J366" s="6" t="n">
        <x:v>247</x:v>
      </x:c>
      <x:c r="K366" s="6" t="n">
        <x:v>8</x:v>
      </x:c>
      <x:c r="L366" s="6" t="n">
        <x:v>160</x:v>
      </x:c>
      <x:c r="M366" s="6" t="n">
        <x:v>6</x:v>
      </x:c>
      <x:c r="N366" s="6" t="n">
        <x:v>8</x:v>
      </x:c>
      <x:c r="O366" s="6" t="n">
        <x:v>65</x:v>
      </x:c>
      <x:c r="P366" s="6" t="n">
        <x:v>7</x:v>
      </x:c>
      <x:c r="Q366" s="6" t="n">
        <x:v>6</x:v>
      </x:c>
      <x:c r="R366" s="6" t="n">
        <x:v>3</x:v>
      </x:c>
      <x:c r="S366" s="6" t="n">
        <x:v>6</x:v>
      </x:c>
      <x:c r="T366" s="6" t="n">
        <x:v>7</x:v>
      </x:c>
      <x:c r="U366" s="6" t="n">
        <x:v>0</x:v>
      </x:c>
      <x:c r="V366" s="6" t="n">
        <x:v>0</x:v>
      </x:c>
      <x:c r="W366" s="6" t="n">
        <x:v>0</x:v>
      </x:c>
      <x:c r="X366" s="6" t="n">
        <x:v>0</x:v>
      </x:c>
      <x:c r="Y366" s="6" t="n">
        <x:v>0</x:v>
      </x:c>
      <x:c r="Z366" s="6" t="n">
        <x:v>0</x:v>
      </x:c>
      <x:c r="AA366" s="6" t="n">
        <x:v>3</x:v>
      </x:c>
      <x:c r="AB366" s="6" t="n">
        <x:v>11</x:v>
      </x:c>
      <x:c r="AC366" s="6" t="n">
        <x:v>0</x:v>
      </x:c>
    </x:row>
    <x:row r="367">
      <x:c r="A367" s="6" t="n">
        <x:v>10704</x:v>
      </x:c>
      <x:c r="B367" s="6" t="n">
        <x:v>1969</x:v>
      </x:c>
      <x:c r="C367" s="6" t="str">
        <x:v>Graduation</x:v>
      </x:c>
      <x:c r="D367" s="6" t="str">
        <x:v>Single</x:v>
      </x:c>
      <x:c r="E367" s="6" t="n">
        <x:v>54803</x:v>
      </x:c>
      <x:c r="F367" s="6" t="n">
        <x:v>0</x:v>
      </x:c>
      <x:c r="G367" s="6" t="n">
        <x:v>1</x:v>
      </x:c>
      <x:c r="H367" s="9" t="str">
        <x:v>21-08-2012</x:v>
      </x:c>
      <x:c r="I367" s="6" t="n">
        <x:v>65</x:v>
      </x:c>
      <x:c r="J367" s="6" t="n">
        <x:v>404</x:v>
      </x:c>
      <x:c r="K367" s="6" t="n">
        <x:v>0</x:v>
      </x:c>
      <x:c r="L367" s="6" t="n">
        <x:v>92</x:v>
      </x:c>
      <x:c r="M367" s="6" t="n">
        <x:v>28</x:v>
      </x:c>
      <x:c r="N367" s="6" t="n">
        <x:v>27</x:v>
      </x:c>
      <x:c r="O367" s="6" t="n">
        <x:v>142</x:v>
      </x:c>
      <x:c r="P367" s="6" t="n">
        <x:v>2</x:v>
      </x:c>
      <x:c r="Q367" s="6" t="n">
        <x:v>6</x:v>
      </x:c>
      <x:c r="R367" s="6" t="n">
        <x:v>2</x:v>
      </x:c>
      <x:c r="S367" s="6" t="n">
        <x:v>9</x:v>
      </x:c>
      <x:c r="T367" s="6" t="n">
        <x:v>4</x:v>
      </x:c>
      <x:c r="U367" s="6" t="n">
        <x:v>0</x:v>
      </x:c>
      <x:c r="V367" s="6" t="n">
        <x:v>0</x:v>
      </x:c>
      <x:c r="W367" s="6" t="n">
        <x:v>0</x:v>
      </x:c>
      <x:c r="X367" s="6" t="n">
        <x:v>0</x:v>
      </x:c>
      <x:c r="Y367" s="6" t="n">
        <x:v>0</x:v>
      </x:c>
      <x:c r="Z367" s="6" t="n">
        <x:v>0</x:v>
      </x:c>
      <x:c r="AA367" s="6" t="n">
        <x:v>3</x:v>
      </x:c>
      <x:c r="AB367" s="6" t="n">
        <x:v>11</x:v>
      </x:c>
      <x:c r="AC367" s="6" t="n">
        <x:v>0</x:v>
      </x:c>
    </x:row>
    <x:row r="368">
      <x:c r="A368" s="6" t="n">
        <x:v>5125</x:v>
      </x:c>
      <x:c r="B368" s="6" t="n">
        <x:v>1960</x:v>
      </x:c>
      <x:c r="C368" s="6" t="str">
        <x:v>Graduation</x:v>
      </x:c>
      <x:c r="D368" s="6" t="str">
        <x:v>Married</x:v>
      </x:c>
      <x:c r="E368" s="6" t="n">
        <x:v>79530</x:v>
      </x:c>
      <x:c r="F368" s="6" t="n">
        <x:v>0</x:v>
      </x:c>
      <x:c r="G368" s="6" t="n">
        <x:v>0</x:v>
      </x:c>
      <x:c r="H368" s="9" t="str">
        <x:v>17-05-2013</x:v>
      </x:c>
      <x:c r="I368" s="6" t="n">
        <x:v>64</x:v>
      </x:c>
      <x:c r="J368" s="6" t="n">
        <x:v>333</x:v>
      </x:c>
      <x:c r="K368" s="6" t="n">
        <x:v>0</x:v>
      </x:c>
      <x:c r="L368" s="6" t="n">
        <x:v>815</x:v>
      </x:c>
      <x:c r="M368" s="6" t="n">
        <x:v>129</x:v>
      </x:c>
      <x:c r="N368" s="6" t="n">
        <x:v>42</x:v>
      </x:c>
      <x:c r="O368" s="6" t="n">
        <x:v>29</x:v>
      </x:c>
      <x:c r="P368" s="6" t="n">
        <x:v>1</x:v>
      </x:c>
      <x:c r="Q368" s="6" t="n">
        <x:v>4</x:v>
      </x:c>
      <x:c r="R368" s="6" t="n">
        <x:v>10</x:v>
      </x:c>
      <x:c r="S368" s="6" t="n">
        <x:v>11</x:v>
      </x:c>
      <x:c r="T368" s="6" t="n">
        <x:v>2</x:v>
      </x:c>
      <x:c r="U368" s="6" t="n">
        <x:v>0</x:v>
      </x:c>
      <x:c r="V368" s="6" t="n">
        <x:v>0</x:v>
      </x:c>
      <x:c r="W368" s="6" t="n">
        <x:v>0</x:v>
      </x:c>
      <x:c r="X368" s="6" t="n">
        <x:v>0</x:v>
      </x:c>
      <x:c r="Y368" s="6" t="n">
        <x:v>0</x:v>
      </x:c>
      <x:c r="Z368" s="6" t="n">
        <x:v>0</x:v>
      </x:c>
      <x:c r="AA368" s="6" t="n">
        <x:v>3</x:v>
      </x:c>
      <x:c r="AB368" s="6" t="n">
        <x:v>11</x:v>
      </x:c>
      <x:c r="AC368" s="6" t="n">
        <x:v>0</x:v>
      </x:c>
    </x:row>
    <x:row r="369">
      <x:c r="A369" s="6" t="n">
        <x:v>4432</x:v>
      </x:c>
      <x:c r="B369" s="6" t="n">
        <x:v>1976</x:v>
      </x:c>
      <x:c r="C369" s="6" t="str">
        <x:v>Graduation</x:v>
      </x:c>
      <x:c r="D369" s="6" t="str">
        <x:v>Divorced</x:v>
      </x:c>
      <x:c r="E369" s="6" t="n">
        <x:v>31615</x:v>
      </x:c>
      <x:c r="F369" s="6" t="n">
        <x:v>1</x:v>
      </x:c>
      <x:c r="G369" s="6" t="n">
        <x:v>0</x:v>
      </x:c>
      <x:c r="H369" s="9" t="str">
        <x:v>16-03-2013</x:v>
      </x:c>
      <x:c r="I369" s="6" t="n">
        <x:v>82</x:v>
      </x:c>
      <x:c r="J369" s="6" t="n">
        <x:v>2</x:v>
      </x:c>
      <x:c r="K369" s="6" t="n">
        <x:v>3</x:v>
      </x:c>
      <x:c r="L369" s="6" t="n">
        <x:v>20</x:v>
      </x:c>
      <x:c r="M369" s="6" t="n">
        <x:v>6</x:v>
      </x:c>
      <x:c r="N369" s="6" t="n">
        <x:v>11</x:v>
      </x:c>
      <x:c r="O369" s="6" t="n">
        <x:v>9</x:v>
      </x:c>
      <x:c r="P369" s="6" t="n">
        <x:v>2</x:v>
      </x:c>
      <x:c r="Q369" s="6" t="n">
        <x:v>2</x:v>
      </x:c>
      <x:c r="R369" s="6" t="n">
        <x:v>0</x:v>
      </x:c>
      <x:c r="S369" s="6" t="n">
        <x:v>3</x:v>
      </x:c>
      <x:c r="T369" s="6" t="n">
        <x:v>7</x:v>
      </x:c>
      <x:c r="U369" s="6" t="n">
        <x:v>0</x:v>
      </x:c>
      <x:c r="V369" s="6" t="n">
        <x:v>0</x:v>
      </x:c>
      <x:c r="W369" s="6" t="n">
        <x:v>0</x:v>
      </x:c>
      <x:c r="X369" s="6" t="n">
        <x:v>0</x:v>
      </x:c>
      <x:c r="Y369" s="6" t="n">
        <x:v>0</x:v>
      </x:c>
      <x:c r="Z369" s="6" t="n">
        <x:v>0</x:v>
      </x:c>
      <x:c r="AA369" s="6" t="n">
        <x:v>3</x:v>
      </x:c>
      <x:c r="AB369" s="6" t="n">
        <x:v>11</x:v>
      </x:c>
      <x:c r="AC369" s="6" t="n">
        <x:v>0</x:v>
      </x:c>
    </x:row>
    <x:row r="370">
      <x:c r="A370" s="6" t="n">
        <x:v>5955</x:v>
      </x:c>
      <x:c r="B370" s="6" t="n">
        <x:v>1962</x:v>
      </x:c>
      <x:c r="C370" s="6" t="str">
        <x:v>Graduation</x:v>
      </x:c>
      <x:c r="D370" s="6" t="str">
        <x:v>Together</x:v>
      </x:c>
      <x:c r="E370" s="6" t="n">
        <x:v>72025</x:v>
      </x:c>
      <x:c r="F370" s="6" t="n">
        <x:v>0</x:v>
      </x:c>
      <x:c r="G370" s="6" t="n">
        <x:v>0</x:v>
      </x:c>
      <x:c r="H370" s="9" t="str">
        <x:v>17-11-2012</x:v>
      </x:c>
      <x:c r="I370" s="6" t="n">
        <x:v>27</x:v>
      </x:c>
      <x:c r="J370" s="6" t="n">
        <x:v>833</x:v>
      </x:c>
      <x:c r="K370" s="6" t="n">
        <x:v>33</x:v>
      </x:c>
      <x:c r="L370" s="6" t="n">
        <x:v>549</x:v>
      </x:c>
      <x:c r="M370" s="6" t="n">
        <x:v>151</x:v>
      </x:c>
      <x:c r="N370" s="6" t="n">
        <x:v>133</x:v>
      </x:c>
      <x:c r="O370" s="6" t="n">
        <x:v>233</x:v>
      </x:c>
      <x:c r="P370" s="6" t="n">
        <x:v>1</x:v>
      </x:c>
      <x:c r="Q370" s="6" t="n">
        <x:v>4</x:v>
      </x:c>
      <x:c r="R370" s="6" t="n">
        <x:v>3</x:v>
      </x:c>
      <x:c r="S370" s="6" t="n">
        <x:v>8</x:v>
      </x:c>
      <x:c r="T370" s="6" t="n">
        <x:v>3</x:v>
      </x:c>
      <x:c r="U370" s="6" t="n">
        <x:v>0</x:v>
      </x:c>
      <x:c r="V370" s="6" t="n">
        <x:v>0</x:v>
      </x:c>
      <x:c r="W370" s="6" t="n">
        <x:v>0</x:v>
      </x:c>
      <x:c r="X370" s="6" t="n">
        <x:v>0</x:v>
      </x:c>
      <x:c r="Y370" s="6" t="n">
        <x:v>0</x:v>
      </x:c>
      <x:c r="Z370" s="6" t="n">
        <x:v>0</x:v>
      </x:c>
      <x:c r="AA370" s="6" t="n">
        <x:v>3</x:v>
      </x:c>
      <x:c r="AB370" s="6" t="n">
        <x:v>11</x:v>
      </x:c>
      <x:c r="AC370" s="6" t="n">
        <x:v>0</x:v>
      </x:c>
    </x:row>
    <x:row r="371">
      <x:c r="A371" s="6" t="n">
        <x:v>2928</x:v>
      </x:c>
      <x:c r="B371" s="6" t="n">
        <x:v>1975</x:v>
      </x:c>
      <x:c r="C371" s="6" t="str">
        <x:v>PhD</x:v>
      </x:c>
      <x:c r="D371" s="6" t="str">
        <x:v>Single</x:v>
      </x:c>
      <x:c r="E371" s="6" t="n">
        <x:v>52614</x:v>
      </x:c>
      <x:c r="F371" s="6" t="n">
        <x:v>0</x:v>
      </x:c>
      <x:c r="G371" s="6" t="n">
        <x:v>1</x:v>
      </x:c>
      <x:c r="H371" s="9" t="str">
        <x:v>01-12-2012</x:v>
      </x:c>
      <x:c r="I371" s="6" t="n">
        <x:v>63</x:v>
      </x:c>
      <x:c r="J371" s="6" t="n">
        <x:v>789</x:v>
      </x:c>
      <x:c r="K371" s="6" t="n">
        <x:v>0</x:v>
      </x:c>
      <x:c r="L371" s="6" t="n">
        <x:v>142</x:v>
      </x:c>
      <x:c r="M371" s="6" t="n">
        <x:v>12</x:v>
      </x:c>
      <x:c r="N371" s="6" t="n">
        <x:v>9</x:v>
      </x:c>
      <x:c r="O371" s="6" t="n">
        <x:v>38</x:v>
      </x:c>
      <x:c r="P371" s="6" t="n">
        <x:v>2</x:v>
      </x:c>
      <x:c r="Q371" s="6" t="n">
        <x:v>2</x:v>
      </x:c>
      <x:c r="R371" s="6" t="n">
        <x:v>4</x:v>
      </x:c>
      <x:c r="S371" s="6" t="n">
        <x:v>8</x:v>
      </x:c>
      <x:c r="T371" s="6" t="n">
        <x:v>8</x:v>
      </x:c>
      <x:c r="U371" s="6" t="n">
        <x:v>0</x:v>
      </x:c>
      <x:c r="V371" s="6" t="n">
        <x:v>0</x:v>
      </x:c>
      <x:c r="W371" s="6" t="n">
        <x:v>0</x:v>
      </x:c>
      <x:c r="X371" s="6" t="n">
        <x:v>0</x:v>
      </x:c>
      <x:c r="Y371" s="6" t="n">
        <x:v>0</x:v>
      </x:c>
      <x:c r="Z371" s="6" t="n">
        <x:v>0</x:v>
      </x:c>
      <x:c r="AA371" s="6" t="n">
        <x:v>3</x:v>
      </x:c>
      <x:c r="AB371" s="6" t="n">
        <x:v>11</x:v>
      </x:c>
      <x:c r="AC371" s="6" t="n">
        <x:v>0</x:v>
      </x:c>
    </x:row>
    <x:row r="372">
      <x:c r="A372" s="6" t="n">
        <x:v>5680</x:v>
      </x:c>
      <x:c r="B372" s="6" t="n">
        <x:v>1984</x:v>
      </x:c>
      <x:c r="C372" s="6" t="str">
        <x:v>2n Cycle</x:v>
      </x:c>
      <x:c r="D372" s="6" t="str">
        <x:v>Married</x:v>
      </x:c>
      <x:c r="E372" s="6" t="n">
        <x:v>35684</x:v>
      </x:c>
      <x:c r="F372" s="6" t="n">
        <x:v>1</x:v>
      </x:c>
      <x:c r="G372" s="6" t="n">
        <x:v>0</x:v>
      </x:c>
      <x:c r="H372" s="9" t="str">
        <x:v>22-04-2014</x:v>
      </x:c>
      <x:c r="I372" s="6" t="n">
        <x:v>66</x:v>
      </x:c>
      <x:c r="J372" s="6" t="n">
        <x:v>10</x:v>
      </x:c>
      <x:c r="K372" s="6" t="n">
        <x:v>4</x:v>
      </x:c>
      <x:c r="L372" s="6" t="n">
        <x:v>7</x:v>
      </x:c>
      <x:c r="M372" s="6" t="n">
        <x:v>0</x:v>
      </x:c>
      <x:c r="N372" s="6" t="n">
        <x:v>6</x:v>
      </x:c>
      <x:c r="O372" s="6" t="n">
        <x:v>3</x:v>
      </x:c>
      <x:c r="P372" s="6" t="n">
        <x:v>1</x:v>
      </x:c>
      <x:c r="Q372" s="6" t="n">
        <x:v>1</x:v>
      </x:c>
      <x:c r="R372" s="6" t="n">
        <x:v>0</x:v>
      </x:c>
      <x:c r="S372" s="6" t="n">
        <x:v>3</x:v>
      </x:c>
      <x:c r="T372" s="6" t="n">
        <x:v>6</x:v>
      </x:c>
      <x:c r="U372" s="6" t="n">
        <x:v>0</x:v>
      </x:c>
      <x:c r="V372" s="6" t="n">
        <x:v>0</x:v>
      </x:c>
      <x:c r="W372" s="6" t="n">
        <x:v>0</x:v>
      </x:c>
      <x:c r="X372" s="6" t="n">
        <x:v>0</x:v>
      </x:c>
      <x:c r="Y372" s="6" t="n">
        <x:v>0</x:v>
      </x:c>
      <x:c r="Z372" s="6" t="n">
        <x:v>0</x:v>
      </x:c>
      <x:c r="AA372" s="6" t="n">
        <x:v>3</x:v>
      </x:c>
      <x:c r="AB372" s="6" t="n">
        <x:v>11</x:v>
      </x:c>
      <x:c r="AC372" s="6" t="n">
        <x:v>0</x:v>
      </x:c>
    </x:row>
    <x:row r="373">
      <x:c r="A373" s="6" t="n">
        <x:v>10313</x:v>
      </x:c>
      <x:c r="B373" s="6" t="n">
        <x:v>1975</x:v>
      </x:c>
      <x:c r="C373" s="6" t="str">
        <x:v>Graduation</x:v>
      </x:c>
      <x:c r="D373" s="6" t="str">
        <x:v>Married</x:v>
      </x:c>
      <x:c r="E373" s="6" t="n">
        <x:v>48178</x:v>
      </x:c>
      <x:c r="F373" s="6" t="n">
        <x:v>1</x:v>
      </x:c>
      <x:c r="G373" s="6" t="n">
        <x:v>1</x:v>
      </x:c>
      <x:c r="H373" s="9" t="str">
        <x:v>28-10-2012</x:v>
      </x:c>
      <x:c r="I373" s="6" t="n">
        <x:v>69</x:v>
      </x:c>
      <x:c r="J373" s="6" t="n">
        <x:v>159</x:v>
      </x:c>
      <x:c r="K373" s="6" t="n">
        <x:v>4</x:v>
      </x:c>
      <x:c r="L373" s="6" t="n">
        <x:v>45</x:v>
      </x:c>
      <x:c r="M373" s="6" t="n">
        <x:v>6</x:v>
      </x:c>
      <x:c r="N373" s="6" t="n">
        <x:v>2</x:v>
      </x:c>
      <x:c r="O373" s="6" t="n">
        <x:v>38</x:v>
      </x:c>
      <x:c r="P373" s="6" t="n">
        <x:v>6</x:v>
      </x:c>
      <x:c r="Q373" s="6" t="n">
        <x:v>5</x:v>
      </x:c>
      <x:c r="R373" s="6" t="n">
        <x:v>1</x:v>
      </x:c>
      <x:c r="S373" s="6" t="n">
        <x:v>4</x:v>
      </x:c>
      <x:c r="T373" s="6" t="n">
        <x:v>8</x:v>
      </x:c>
      <x:c r="U373" s="6" t="n">
        <x:v>0</x:v>
      </x:c>
      <x:c r="V373" s="6" t="n">
        <x:v>0</x:v>
      </x:c>
      <x:c r="W373" s="6" t="n">
        <x:v>0</x:v>
      </x:c>
      <x:c r="X373" s="6" t="n">
        <x:v>0</x:v>
      </x:c>
      <x:c r="Y373" s="6" t="n">
        <x:v>0</x:v>
      </x:c>
      <x:c r="Z373" s="6" t="n">
        <x:v>0</x:v>
      </x:c>
      <x:c r="AA373" s="6" t="n">
        <x:v>3</x:v>
      </x:c>
      <x:c r="AB373" s="6" t="n">
        <x:v>11</x:v>
      </x:c>
      <x:c r="AC373" s="6" t="n">
        <x:v>0</x:v>
      </x:c>
    </x:row>
    <x:row r="374">
      <x:c r="A374" s="6" t="n">
        <x:v>2557</x:v>
      </x:c>
      <x:c r="B374" s="6" t="n">
        <x:v>1970</x:v>
      </x:c>
      <x:c r="C374" s="6" t="str">
        <x:v>Master</x:v>
      </x:c>
      <x:c r="D374" s="6" t="str">
        <x:v>Single</x:v>
      </x:c>
      <x:c r="E374" s="6" t="n">
        <x:v>29548</x:v>
      </x:c>
      <x:c r="F374" s="6" t="n">
        <x:v>1</x:v>
      </x:c>
      <x:c r="G374" s="6" t="n">
        <x:v>0</x:v>
      </x:c>
      <x:c r="H374" s="9" t="str">
        <x:v>29-08-2013</x:v>
      </x:c>
      <x:c r="I374" s="6" t="n">
        <x:v>52</x:v>
      </x:c>
      <x:c r="J374" s="6" t="n">
        <x:v>7</x:v>
      </x:c>
      <x:c r="K374" s="6" t="n">
        <x:v>1</x:v>
      </x:c>
      <x:c r="L374" s="6" t="n">
        <x:v>6</x:v>
      </x:c>
      <x:c r="M374" s="6" t="n">
        <x:v>3</x:v>
      </x:c>
      <x:c r="N374" s="6" t="n">
        <x:v>1</x:v>
      </x:c>
      <x:c r="O374" s="6" t="n">
        <x:v>11</x:v>
      </x:c>
      <x:c r="P374" s="6" t="n">
        <x:v>1</x:v>
      </x:c>
      <x:c r="Q374" s="6" t="n">
        <x:v>1</x:v>
      </x:c>
      <x:c r="R374" s="6" t="n">
        <x:v>1</x:v>
      </x:c>
      <x:c r="S374" s="6" t="n">
        <x:v>2</x:v>
      </x:c>
      <x:c r="T374" s="6" t="n">
        <x:v>4</x:v>
      </x:c>
      <x:c r="U374" s="6" t="n">
        <x:v>1</x:v>
      </x:c>
      <x:c r="V374" s="6" t="n">
        <x:v>0</x:v>
      </x:c>
      <x:c r="W374" s="6" t="n">
        <x:v>0</x:v>
      </x:c>
      <x:c r="X374" s="6" t="n">
        <x:v>0</x:v>
      </x:c>
      <x:c r="Y374" s="6" t="n">
        <x:v>0</x:v>
      </x:c>
      <x:c r="Z374" s="6" t="n">
        <x:v>0</x:v>
      </x:c>
      <x:c r="AA374" s="6" t="n">
        <x:v>3</x:v>
      </x:c>
      <x:c r="AB374" s="6" t="n">
        <x:v>11</x:v>
      </x:c>
      <x:c r="AC374" s="6" t="n">
        <x:v>0</x:v>
      </x:c>
    </x:row>
    <x:row r="375">
      <x:c r="A375" s="6" t="n">
        <x:v>1245</x:v>
      </x:c>
      <x:c r="B375" s="6" t="n">
        <x:v>1966</x:v>
      </x:c>
      <x:c r="C375" s="6" t="str">
        <x:v>Graduation</x:v>
      </x:c>
      <x:c r="D375" s="6" t="str">
        <x:v>Single</x:v>
      </x:c>
      <x:c r="E375" s="6" t="n">
        <x:v>63810</x:v>
      </x:c>
      <x:c r="F375" s="6" t="n">
        <x:v>0</x:v>
      </x:c>
      <x:c r="G375" s="6" t="n">
        <x:v>1</x:v>
      </x:c>
      <x:c r="H375" s="9" t="str">
        <x:v>11-11-2012</x:v>
      </x:c>
      <x:c r="I375" s="6" t="n">
        <x:v>45</x:v>
      </x:c>
      <x:c r="J375" s="6" t="n">
        <x:v>977</x:v>
      </x:c>
      <x:c r="K375" s="6" t="n">
        <x:v>12</x:v>
      </x:c>
      <x:c r="L375" s="6" t="n">
        <x:v>253</x:v>
      </x:c>
      <x:c r="M375" s="6" t="n">
        <x:v>16</x:v>
      </x:c>
      <x:c r="N375" s="6" t="n">
        <x:v>12</x:v>
      </x:c>
      <x:c r="O375" s="6" t="n">
        <x:v>101</x:v>
      </x:c>
      <x:c r="P375" s="6" t="n">
        <x:v>4</x:v>
      </x:c>
      <x:c r="Q375" s="6" t="n">
        <x:v>4</x:v>
      </x:c>
      <x:c r="R375" s="6" t="n">
        <x:v>3</x:v>
      </x:c>
      <x:c r="S375" s="6" t="n">
        <x:v>12</x:v>
      </x:c>
      <x:c r="T375" s="6" t="n">
        <x:v>8</x:v>
      </x:c>
      <x:c r="U375" s="6" t="n">
        <x:v>0</x:v>
      </x:c>
      <x:c r="V375" s="6" t="n">
        <x:v>1</x:v>
      </x:c>
      <x:c r="W375" s="6" t="n">
        <x:v>0</x:v>
      </x:c>
      <x:c r="X375" s="6" t="n">
        <x:v>0</x:v>
      </x:c>
      <x:c r="Y375" s="6" t="n">
        <x:v>0</x:v>
      </x:c>
      <x:c r="Z375" s="6" t="n">
        <x:v>0</x:v>
      </x:c>
      <x:c r="AA375" s="6" t="n">
        <x:v>3</x:v>
      </x:c>
      <x:c r="AB375" s="6" t="n">
        <x:v>11</x:v>
      </x:c>
      <x:c r="AC375" s="6" t="n">
        <x:v>0</x:v>
      </x:c>
    </x:row>
    <x:row r="376">
      <x:c r="A376" s="6" t="n">
        <x:v>1519</x:v>
      </x:c>
      <x:c r="B376" s="6" t="n">
        <x:v>1972</x:v>
      </x:c>
      <x:c r="C376" s="6" t="str">
        <x:v>PhD</x:v>
      </x:c>
      <x:c r="D376" s="6" t="str">
        <x:v>Single</x:v>
      </x:c>
      <x:c r="E376" s="6" t="n">
        <x:v>38578</x:v>
      </x:c>
      <x:c r="F376" s="6" t="n">
        <x:v>1</x:v>
      </x:c>
      <x:c r="G376" s="6" t="n">
        <x:v>1</x:v>
      </x:c>
      <x:c r="H376" s="9" t="str">
        <x:v>22-06-2013</x:v>
      </x:c>
      <x:c r="I376" s="6" t="n">
        <x:v>2</x:v>
      </x:c>
      <x:c r="J376" s="6" t="n">
        <x:v>38</x:v>
      </x:c>
      <x:c r="K376" s="6" t="n">
        <x:v>4</x:v>
      </x:c>
      <x:c r="L376" s="6" t="n">
        <x:v>22</x:v>
      </x:c>
      <x:c r="M376" s="6" t="n">
        <x:v>3</x:v>
      </x:c>
      <x:c r="N376" s="6" t="n">
        <x:v>3</x:v>
      </x:c>
      <x:c r="O376" s="6" t="n">
        <x:v>3</x:v>
      </x:c>
      <x:c r="P376" s="6" t="n">
        <x:v>3</x:v>
      </x:c>
      <x:c r="Q376" s="6" t="n">
        <x:v>3</x:v>
      </x:c>
      <x:c r="R376" s="6" t="n">
        <x:v>0</x:v>
      </x:c>
      <x:c r="S376" s="6" t="n">
        <x:v>3</x:v>
      </x:c>
      <x:c r="T376" s="6" t="n">
        <x:v>8</x:v>
      </x:c>
      <x:c r="U376" s="6" t="n">
        <x:v>0</x:v>
      </x:c>
      <x:c r="V376" s="6" t="n">
        <x:v>0</x:v>
      </x:c>
      <x:c r="W376" s="6" t="n">
        <x:v>0</x:v>
      </x:c>
      <x:c r="X376" s="6" t="n">
        <x:v>0</x:v>
      </x:c>
      <x:c r="Y376" s="6" t="n">
        <x:v>0</x:v>
      </x:c>
      <x:c r="Z376" s="6" t="n">
        <x:v>0</x:v>
      </x:c>
      <x:c r="AA376" s="6" t="n">
        <x:v>3</x:v>
      </x:c>
      <x:c r="AB376" s="6" t="n">
        <x:v>11</x:v>
      </x:c>
      <x:c r="AC376" s="6" t="n">
        <x:v>1</x:v>
      </x:c>
    </x:row>
    <x:row r="377">
      <x:c r="A377" s="6" t="n">
        <x:v>10703</x:v>
      </x:c>
      <x:c r="B377" s="6" t="n">
        <x:v>1975</x:v>
      </x:c>
      <x:c r="C377" s="6" t="str">
        <x:v>Master</x:v>
      </x:c>
      <x:c r="D377" s="6" t="str">
        <x:v>Single</x:v>
      </x:c>
      <x:c r="E377" s="6" t="n">
        <x:v>46098</x:v>
      </x:c>
      <x:c r="F377" s="6" t="n">
        <x:v>1</x:v>
      </x:c>
      <x:c r="G377" s="6" t="n">
        <x:v>1</x:v>
      </x:c>
      <x:c r="H377" s="9" t="str">
        <x:v>18-08-2012</x:v>
      </x:c>
      <x:c r="I377" s="6" t="n">
        <x:v>86</x:v>
      </x:c>
      <x:c r="J377" s="6" t="n">
        <x:v>57</x:v>
      </x:c>
      <x:c r="K377" s="6" t="n">
        <x:v>0</x:v>
      </x:c>
      <x:c r="L377" s="6" t="n">
        <x:v>27</x:v>
      </x:c>
      <x:c r="M377" s="6" t="n">
        <x:v>0</x:v>
      </x:c>
      <x:c r="N377" s="6" t="n">
        <x:v>0</x:v>
      </x:c>
      <x:c r="O377" s="6" t="n">
        <x:v>36</x:v>
      </x:c>
      <x:c r="P377" s="6" t="n">
        <x:v>4</x:v>
      </x:c>
      <x:c r="Q377" s="6" t="n">
        <x:v>3</x:v>
      </x:c>
      <x:c r="R377" s="6" t="n">
        <x:v>2</x:v>
      </x:c>
      <x:c r="S377" s="6" t="n">
        <x:v>2</x:v>
      </x:c>
      <x:c r="T377" s="6" t="n">
        <x:v>8</x:v>
      </x:c>
      <x:c r="U377" s="6" t="n">
        <x:v>0</x:v>
      </x:c>
      <x:c r="V377" s="6" t="n">
        <x:v>0</x:v>
      </x:c>
      <x:c r="W377" s="6" t="n">
        <x:v>0</x:v>
      </x:c>
      <x:c r="X377" s="6" t="n">
        <x:v>0</x:v>
      </x:c>
      <x:c r="Y377" s="6" t="n">
        <x:v>0</x:v>
      </x:c>
      <x:c r="Z377" s="6" t="n">
        <x:v>0</x:v>
      </x:c>
      <x:c r="AA377" s="6" t="n">
        <x:v>3</x:v>
      </x:c>
      <x:c r="AB377" s="6" t="n">
        <x:v>11</x:v>
      </x:c>
      <x:c r="AC377" s="6" t="n">
        <x:v>0</x:v>
      </x:c>
    </x:row>
    <x:row r="378">
      <x:c r="A378" s="6" t="n">
        <x:v>1726</x:v>
      </x:c>
      <x:c r="B378" s="6" t="n">
        <x:v>1970</x:v>
      </x:c>
      <x:c r="C378" s="6" t="str">
        <x:v>Graduation</x:v>
      </x:c>
      <x:c r="D378" s="6" t="str">
        <x:v>Single</x:v>
      </x:c>
      <x:c r="E378" s="6" t="n">
        <x:v>22585</x:v>
      </x:c>
      <x:c r="F378" s="6" t="n">
        <x:v>0</x:v>
      </x:c>
      <x:c r="G378" s="6" t="n">
        <x:v>0</x:v>
      </x:c>
      <x:c r="H378" s="9" t="str">
        <x:v>18-03-2013</x:v>
      </x:c>
      <x:c r="I378" s="6" t="n">
        <x:v>23</x:v>
      </x:c>
      <x:c r="J378" s="6" t="n">
        <x:v>3</x:v>
      </x:c>
      <x:c r="K378" s="6" t="n">
        <x:v>9</x:v>
      </x:c>
      <x:c r="L378" s="6" t="n">
        <x:v>15</x:v>
      </x:c>
      <x:c r="M378" s="6" t="n">
        <x:v>13</x:v>
      </x:c>
      <x:c r="N378" s="6" t="n">
        <x:v>2</x:v>
      </x:c>
      <x:c r="O378" s="6" t="n">
        <x:v>39</x:v>
      </x:c>
      <x:c r="P378" s="6" t="n">
        <x:v>1</x:v>
      </x:c>
      <x:c r="Q378" s="6" t="n">
        <x:v>1</x:v>
      </x:c>
      <x:c r="R378" s="6" t="n">
        <x:v>1</x:v>
      </x:c>
      <x:c r="S378" s="6" t="n">
        <x:v>2</x:v>
      </x:c>
      <x:c r="T378" s="6" t="n">
        <x:v>9</x:v>
      </x:c>
      <x:c r="U378" s="6" t="n">
        <x:v>1</x:v>
      </x:c>
      <x:c r="V378" s="6" t="n">
        <x:v>0</x:v>
      </x:c>
      <x:c r="W378" s="6" t="n">
        <x:v>0</x:v>
      </x:c>
      <x:c r="X378" s="6" t="n">
        <x:v>0</x:v>
      </x:c>
      <x:c r="Y378" s="6" t="n">
        <x:v>0</x:v>
      </x:c>
      <x:c r="Z378" s="6" t="n">
        <x:v>0</x:v>
      </x:c>
      <x:c r="AA378" s="6" t="n">
        <x:v>3</x:v>
      </x:c>
      <x:c r="AB378" s="6" t="n">
        <x:v>11</x:v>
      </x:c>
      <x:c r="AC378" s="6" t="n">
        <x:v>1</x:v>
      </x:c>
    </x:row>
    <x:row r="379">
      <x:c r="A379" s="6" t="n">
        <x:v>4459</x:v>
      </x:c>
      <x:c r="B379" s="6" t="n">
        <x:v>1989</x:v>
      </x:c>
      <x:c r="C379" s="6" t="str">
        <x:v>Graduation</x:v>
      </x:c>
      <x:c r="D379" s="6" t="str">
        <x:v>Single</x:v>
      </x:c>
      <x:c r="E379" s="6" t="n">
        <x:v>30279</x:v>
      </x:c>
      <x:c r="F379" s="6" t="n">
        <x:v>1</x:v>
      </x:c>
      <x:c r="G379" s="6" t="n">
        <x:v>0</x:v>
      </x:c>
      <x:c r="H379" s="9" t="str">
        <x:v>30-12-2012</x:v>
      </x:c>
      <x:c r="I379" s="6" t="n">
        <x:v>13</x:v>
      </x:c>
      <x:c r="J379" s="6" t="n">
        <x:v>10</x:v>
      </x:c>
      <x:c r="K379" s="6" t="n">
        <x:v>4</x:v>
      </x:c>
      <x:c r="L379" s="6" t="n">
        <x:v>14</x:v>
      </x:c>
      <x:c r="M379" s="6" t="n">
        <x:v>4</x:v>
      </x:c>
      <x:c r="N379" s="6" t="n">
        <x:v>4</x:v>
      </x:c>
      <x:c r="O379" s="6" t="n">
        <x:v>1</x:v>
      </x:c>
      <x:c r="P379" s="6" t="n">
        <x:v>1</x:v>
      </x:c>
      <x:c r="Q379" s="6" t="n">
        <x:v>1</x:v>
      </x:c>
      <x:c r="R379" s="6" t="n">
        <x:v>0</x:v>
      </x:c>
      <x:c r="S379" s="6" t="n">
        <x:v>3</x:v>
      </x:c>
      <x:c r="T379" s="6" t="n">
        <x:v>8</x:v>
      </x:c>
      <x:c r="U379" s="6" t="n">
        <x:v>0</x:v>
      </x:c>
      <x:c r="V379" s="6" t="n">
        <x:v>0</x:v>
      </x:c>
      <x:c r="W379" s="6" t="n">
        <x:v>0</x:v>
      </x:c>
      <x:c r="X379" s="6" t="n">
        <x:v>0</x:v>
      </x:c>
      <x:c r="Y379" s="6" t="n">
        <x:v>0</x:v>
      </x:c>
      <x:c r="Z379" s="6" t="n">
        <x:v>0</x:v>
      </x:c>
      <x:c r="AA379" s="6" t="n">
        <x:v>3</x:v>
      </x:c>
      <x:c r="AB379" s="6" t="n">
        <x:v>11</x:v>
      </x:c>
      <x:c r="AC379" s="6" t="n">
        <x:v>0</x:v>
      </x:c>
    </x:row>
    <x:row r="380">
      <x:c r="A380" s="6" t="n">
        <x:v>1729</x:v>
      </x:c>
      <x:c r="B380" s="6" t="n">
        <x:v>1961</x:v>
      </x:c>
      <x:c r="C380" s="6" t="str">
        <x:v>PhD</x:v>
      </x:c>
      <x:c r="D380" s="6" t="str">
        <x:v>Together</x:v>
      </x:c>
      <x:c r="E380" s="6" t="n">
        <x:v>66426</x:v>
      </x:c>
      <x:c r="F380" s="6" t="n">
        <x:v>0</x:v>
      </x:c>
      <x:c r="G380" s="6" t="n">
        <x:v>1</x:v>
      </x:c>
      <x:c r="H380" s="9" t="str">
        <x:v>02-10-2013</x:v>
      </x:c>
      <x:c r="I380" s="6" t="n">
        <x:v>14</x:v>
      </x:c>
      <x:c r="J380" s="6" t="n">
        <x:v>1043</x:v>
      </x:c>
      <x:c r="K380" s="6" t="n">
        <x:v>24</x:v>
      </x:c>
      <x:c r="L380" s="6" t="n">
        <x:v>97</x:v>
      </x:c>
      <x:c r="M380" s="6" t="n">
        <x:v>32</x:v>
      </x:c>
      <x:c r="N380" s="6" t="n">
        <x:v>24</x:v>
      </x:c>
      <x:c r="O380" s="6" t="n">
        <x:v>157</x:v>
      </x:c>
      <x:c r="P380" s="6" t="n">
        <x:v>2</x:v>
      </x:c>
      <x:c r="Q380" s="6" t="n">
        <x:v>3</x:v>
      </x:c>
      <x:c r="R380" s="6" t="n">
        <x:v>5</x:v>
      </x:c>
      <x:c r="S380" s="6" t="n">
        <x:v>10</x:v>
      </x:c>
      <x:c r="T380" s="6" t="n">
        <x:v>6</x:v>
      </x:c>
      <x:c r="U380" s="6" t="n">
        <x:v>0</x:v>
      </x:c>
      <x:c r="V380" s="6" t="n">
        <x:v>0</x:v>
      </x:c>
      <x:c r="W380" s="6" t="n">
        <x:v>0</x:v>
      </x:c>
      <x:c r="X380" s="6" t="n">
        <x:v>0</x:v>
      </x:c>
      <x:c r="Y380" s="6" t="n">
        <x:v>0</x:v>
      </x:c>
      <x:c r="Z380" s="6" t="n">
        <x:v>0</x:v>
      </x:c>
      <x:c r="AA380" s="6" t="n">
        <x:v>3</x:v>
      </x:c>
      <x:c r="AB380" s="6" t="n">
        <x:v>11</x:v>
      </x:c>
      <x:c r="AC380" s="6" t="n">
        <x:v>0</x:v>
      </x:c>
    </x:row>
    <x:row r="381">
      <x:c r="A381" s="6" t="n">
        <x:v>1517</x:v>
      </x:c>
      <x:c r="B381" s="6" t="n">
        <x:v>1969</x:v>
      </x:c>
      <x:c r="C381" s="6" t="str">
        <x:v>Graduation</x:v>
      </x:c>
      <x:c r="D381" s="6" t="str">
        <x:v>Single</x:v>
      </x:c>
      <x:c r="E381" s="6" t="n">
        <x:v>30822</x:v>
      </x:c>
      <x:c r="F381" s="6" t="n">
        <x:v>1</x:v>
      </x:c>
      <x:c r="G381" s="6" t="n">
        <x:v>0</x:v>
      </x:c>
      <x:c r="H381" s="9" t="str">
        <x:v>14-06-2013</x:v>
      </x:c>
      <x:c r="I381" s="6" t="n">
        <x:v>92</x:v>
      </x:c>
      <x:c r="J381" s="6" t="n">
        <x:v>3</x:v>
      </x:c>
      <x:c r="K381" s="6" t="n">
        <x:v>9</x:v>
      </x:c>
      <x:c r="L381" s="6" t="n">
        <x:v>13</x:v>
      </x:c>
      <x:c r="M381" s="6" t="n">
        <x:v>2</x:v>
      </x:c>
      <x:c r="N381" s="6" t="n">
        <x:v>12</x:v>
      </x:c>
      <x:c r="O381" s="6" t="n">
        <x:v>12</x:v>
      </x:c>
      <x:c r="P381" s="6" t="n">
        <x:v>1</x:v>
      </x:c>
      <x:c r="Q381" s="6" t="n">
        <x:v>1</x:v>
      </x:c>
      <x:c r="R381" s="6" t="n">
        <x:v>0</x:v>
      </x:c>
      <x:c r="S381" s="6" t="n">
        <x:v>3</x:v>
      </x:c>
      <x:c r="T381" s="6" t="n">
        <x:v>7</x:v>
      </x:c>
      <x:c r="U381" s="6" t="n">
        <x:v>0</x:v>
      </x:c>
      <x:c r="V381" s="6" t="n">
        <x:v>0</x:v>
      </x:c>
      <x:c r="W381" s="6" t="n">
        <x:v>0</x:v>
      </x:c>
      <x:c r="X381" s="6" t="n">
        <x:v>0</x:v>
      </x:c>
      <x:c r="Y381" s="6" t="n">
        <x:v>0</x:v>
      </x:c>
      <x:c r="Z381" s="6" t="n">
        <x:v>0</x:v>
      </x:c>
      <x:c r="AA381" s="6" t="n">
        <x:v>3</x:v>
      </x:c>
      <x:c r="AB381" s="6" t="n">
        <x:v>11</x:v>
      </x:c>
      <x:c r="AC381" s="6" t="n">
        <x:v>0</x:v>
      </x:c>
    </x:row>
    <x:row r="382">
      <x:c r="A382" s="6" t="n">
        <x:v>2098</x:v>
      </x:c>
      <x:c r="B382" s="6" t="n">
        <x:v>1969</x:v>
      </x:c>
      <x:c r="C382" s="6" t="str">
        <x:v>PhD</x:v>
      </x:c>
      <x:c r="D382" s="6" t="str">
        <x:v>Married</x:v>
      </x:c>
      <x:c r="E382" s="6" t="n">
        <x:v>33581</x:v>
      </x:c>
      <x:c r="F382" s="6" t="n">
        <x:v>2</x:v>
      </x:c>
      <x:c r="G382" s="6" t="n">
        <x:v>0</x:v>
      </x:c>
      <x:c r="H382" s="9" t="str">
        <x:v>08-01-2013</x:v>
      </x:c>
      <x:c r="I382" s="6" t="n">
        <x:v>38</x:v>
      </x:c>
      <x:c r="J382" s="6" t="n">
        <x:v>11</x:v>
      </x:c>
      <x:c r="K382" s="6" t="n">
        <x:v>0</x:v>
      </x:c>
      <x:c r="L382" s="6" t="n">
        <x:v>5</x:v>
      </x:c>
      <x:c r="M382" s="6" t="n">
        <x:v>0</x:v>
      </x:c>
      <x:c r="N382" s="6" t="n">
        <x:v>0</x:v>
      </x:c>
      <x:c r="O382" s="6" t="n">
        <x:v>1</x:v>
      </x:c>
      <x:c r="P382" s="6" t="n">
        <x:v>1</x:v>
      </x:c>
      <x:c r="Q382" s="6" t="n">
        <x:v>1</x:v>
      </x:c>
      <x:c r="R382" s="6" t="n">
        <x:v>0</x:v>
      </x:c>
      <x:c r="S382" s="6" t="n">
        <x:v>2</x:v>
      </x:c>
      <x:c r="T382" s="6" t="n">
        <x:v>8</x:v>
      </x:c>
      <x:c r="U382" s="6" t="n">
        <x:v>0</x:v>
      </x:c>
      <x:c r="V382" s="6" t="n">
        <x:v>0</x:v>
      </x:c>
      <x:c r="W382" s="6" t="n">
        <x:v>0</x:v>
      </x:c>
      <x:c r="X382" s="6" t="n">
        <x:v>0</x:v>
      </x:c>
      <x:c r="Y382" s="6" t="n">
        <x:v>0</x:v>
      </x:c>
      <x:c r="Z382" s="6" t="n">
        <x:v>0</x:v>
      </x:c>
      <x:c r="AA382" s="6" t="n">
        <x:v>3</x:v>
      </x:c>
      <x:c r="AB382" s="6" t="n">
        <x:v>11</x:v>
      </x:c>
      <x:c r="AC382" s="6" t="n">
        <x:v>0</x:v>
      </x:c>
    </x:row>
    <x:row r="383">
      <x:c r="A383" s="6" t="n">
        <x:v>9543</x:v>
      </x:c>
      <x:c r="B383" s="6" t="n">
        <x:v>1985</x:v>
      </x:c>
      <x:c r="C383" s="6" t="str">
        <x:v>Graduation</x:v>
      </x:c>
      <x:c r="D383" s="6" t="str">
        <x:v>Married</x:v>
      </x:c>
      <x:c r="E383" s="6" t="n">
        <x:v>19986</x:v>
      </x:c>
      <x:c r="F383" s="6" t="n">
        <x:v>1</x:v>
      </x:c>
      <x:c r="G383" s="6" t="n">
        <x:v>0</x:v>
      </x:c>
      <x:c r="H383" s="9" t="str">
        <x:v>14-11-2013</x:v>
      </x:c>
      <x:c r="I383" s="6" t="n">
        <x:v>74</x:v>
      </x:c>
      <x:c r="J383" s="6" t="n">
        <x:v>3</x:v>
      </x:c>
      <x:c r="K383" s="6" t="n">
        <x:v>6</x:v>
      </x:c>
      <x:c r="L383" s="6" t="n">
        <x:v>5</x:v>
      </x:c>
      <x:c r="M383" s="6" t="n">
        <x:v>0</x:v>
      </x:c>
      <x:c r="N383" s="6" t="n">
        <x:v>2</x:v>
      </x:c>
      <x:c r="O383" s="6" t="n">
        <x:v>6</x:v>
      </x:c>
      <x:c r="P383" s="6" t="n">
        <x:v>1</x:v>
      </x:c>
      <x:c r="Q383" s="6" t="n">
        <x:v>0</x:v>
      </x:c>
      <x:c r="R383" s="6" t="n">
        <x:v>0</x:v>
      </x:c>
      <x:c r="S383" s="6" t="n">
        <x:v>3</x:v>
      </x:c>
      <x:c r="T383" s="6" t="n">
        <x:v>7</x:v>
      </x:c>
      <x:c r="U383" s="6" t="n">
        <x:v>0</x:v>
      </x:c>
      <x:c r="V383" s="6" t="n">
        <x:v>0</x:v>
      </x:c>
      <x:c r="W383" s="6" t="n">
        <x:v>0</x:v>
      </x:c>
      <x:c r="X383" s="6" t="n">
        <x:v>0</x:v>
      </x:c>
      <x:c r="Y383" s="6" t="n">
        <x:v>0</x:v>
      </x:c>
      <x:c r="Z383" s="6" t="n">
        <x:v>0</x:v>
      </x:c>
      <x:c r="AA383" s="6" t="n">
        <x:v>3</x:v>
      </x:c>
      <x:c r="AB383" s="6" t="n">
        <x:v>11</x:v>
      </x:c>
      <x:c r="AC383" s="6" t="n">
        <x:v>0</x:v>
      </x:c>
    </x:row>
    <x:row r="384">
      <x:c r="A384" s="6" t="n">
        <x:v>6878</x:v>
      </x:c>
      <x:c r="B384" s="6" t="n">
        <x:v>1954</x:v>
      </x:c>
      <x:c r="C384" s="6" t="str">
        <x:v>Graduation</x:v>
      </x:c>
      <x:c r="D384" s="6" t="str">
        <x:v>Widow</x:v>
      </x:c>
      <x:c r="E384" s="6" t="n">
        <x:v>27421</x:v>
      </x:c>
      <x:c r="F384" s="6" t="n">
        <x:v>0</x:v>
      </x:c>
      <x:c r="G384" s="6" t="n">
        <x:v>0</x:v>
      </x:c>
      <x:c r="H384" s="9" t="str">
        <x:v>12-12-2012</x:v>
      </x:c>
      <x:c r="I384" s="6" t="n">
        <x:v>14</x:v>
      </x:c>
      <x:c r="J384" s="6" t="n">
        <x:v>43</x:v>
      </x:c>
      <x:c r="K384" s="6" t="n">
        <x:v>12</x:v>
      </x:c>
      <x:c r="L384" s="6" t="n">
        <x:v>96</x:v>
      </x:c>
      <x:c r="M384" s="6" t="n">
        <x:v>78</x:v>
      </x:c>
      <x:c r="N384" s="6" t="n">
        <x:v>40</x:v>
      </x:c>
      <x:c r="O384" s="6" t="n">
        <x:v>55</x:v>
      </x:c>
      <x:c r="P384" s="6" t="n">
        <x:v>3</x:v>
      </x:c>
      <x:c r="Q384" s="6" t="n">
        <x:v>4</x:v>
      </x:c>
      <x:c r="R384" s="6" t="n">
        <x:v>1</x:v>
      </x:c>
      <x:c r="S384" s="6" t="n">
        <x:v>6</x:v>
      </x:c>
      <x:c r="T384" s="6" t="n">
        <x:v>7</x:v>
      </x:c>
      <x:c r="U384" s="6" t="n">
        <x:v>0</x:v>
      </x:c>
      <x:c r="V384" s="6" t="n">
        <x:v>0</x:v>
      </x:c>
      <x:c r="W384" s="6" t="n">
        <x:v>0</x:v>
      </x:c>
      <x:c r="X384" s="6" t="n">
        <x:v>0</x:v>
      </x:c>
      <x:c r="Y384" s="6" t="n">
        <x:v>0</x:v>
      </x:c>
      <x:c r="Z384" s="6" t="n">
        <x:v>0</x:v>
      </x:c>
      <x:c r="AA384" s="6" t="n">
        <x:v>3</x:v>
      </x:c>
      <x:c r="AB384" s="6" t="n">
        <x:v>11</x:v>
      </x:c>
      <x:c r="AC384" s="6" t="n">
        <x:v>0</x:v>
      </x:c>
    </x:row>
    <x:row r="385">
      <x:c r="A385" s="6" t="n">
        <x:v>3310</x:v>
      </x:c>
      <x:c r="B385" s="6" t="n">
        <x:v>1973</x:v>
      </x:c>
      <x:c r="C385" s="6" t="str">
        <x:v>2n Cycle</x:v>
      </x:c>
      <x:c r="D385" s="6" t="str">
        <x:v>Married</x:v>
      </x:c>
      <x:c r="E385" s="6" t="n">
        <x:v>35688</x:v>
      </x:c>
      <x:c r="F385" s="6" t="n">
        <x:v>2</x:v>
      </x:c>
      <x:c r="G385" s="6" t="n">
        <x:v>1</x:v>
      </x:c>
      <x:c r="H385" s="9" t="str">
        <x:v>22-08-2012</x:v>
      </x:c>
      <x:c r="I385" s="6" t="n">
        <x:v>94</x:v>
      </x:c>
      <x:c r="J385" s="6" t="n">
        <x:v>73</x:v>
      </x:c>
      <x:c r="K385" s="6" t="n">
        <x:v>3</x:v>
      </x:c>
      <x:c r="L385" s="6" t="n">
        <x:v>90</x:v>
      </x:c>
      <x:c r="M385" s="6" t="n">
        <x:v>12</x:v>
      </x:c>
      <x:c r="N385" s="6" t="n">
        <x:v>1</x:v>
      </x:c>
      <x:c r="O385" s="6" t="n">
        <x:v>32</x:v>
      </x:c>
      <x:c r="P385" s="6" t="n">
        <x:v>7</x:v>
      </x:c>
      <x:c r="Q385" s="6" t="n">
        <x:v>4</x:v>
      </x:c>
      <x:c r="R385" s="6" t="n">
        <x:v>1</x:v>
      </x:c>
      <x:c r="S385" s="6" t="n">
        <x:v>4</x:v>
      </x:c>
      <x:c r="T385" s="6" t="n">
        <x:v>8</x:v>
      </x:c>
      <x:c r="U385" s="6" t="n">
        <x:v>0</x:v>
      </x:c>
      <x:c r="V385" s="6" t="n">
        <x:v>0</x:v>
      </x:c>
      <x:c r="W385" s="6" t="n">
        <x:v>0</x:v>
      </x:c>
      <x:c r="X385" s="6" t="n">
        <x:v>0</x:v>
      </x:c>
      <x:c r="Y385" s="6" t="n">
        <x:v>0</x:v>
      </x:c>
      <x:c r="Z385" s="6" t="n">
        <x:v>0</x:v>
      </x:c>
      <x:c r="AA385" s="6" t="n">
        <x:v>3</x:v>
      </x:c>
      <x:c r="AB385" s="6" t="n">
        <x:v>11</x:v>
      </x:c>
      <x:c r="AC385" s="6" t="n">
        <x:v>0</x:v>
      </x:c>
    </x:row>
    <x:row r="386">
      <x:c r="A386" s="6" t="n">
        <x:v>2724</x:v>
      </x:c>
      <x:c r="B386" s="6" t="n">
        <x:v>1981</x:v>
      </x:c>
      <x:c r="C386" s="6" t="str">
        <x:v>Master</x:v>
      </x:c>
      <x:c r="D386" s="6" t="str">
        <x:v>Single</x:v>
      </x:c>
      <x:c r="E386" s="6" t="n">
        <x:v>36143</x:v>
      </x:c>
      <x:c r="F386" s="6" t="n">
        <x:v>1</x:v>
      </x:c>
      <x:c r="G386" s="6" t="n">
        <x:v>0</x:v>
      </x:c>
      <x:c r="H386" s="9" t="str">
        <x:v>30-03-2014</x:v>
      </x:c>
      <x:c r="I386" s="6" t="n">
        <x:v>33</x:v>
      </x:c>
      <x:c r="J386" s="6" t="n">
        <x:v>12</x:v>
      </x:c>
      <x:c r="K386" s="6" t="n">
        <x:v>0</x:v>
      </x:c>
      <x:c r="L386" s="6" t="n">
        <x:v>1</x:v>
      </x:c>
      <x:c r="M386" s="6" t="n">
        <x:v>0</x:v>
      </x:c>
      <x:c r="N386" s="6" t="n">
        <x:v>0</x:v>
      </x:c>
      <x:c r="O386" s="6" t="n">
        <x:v>6</x:v>
      </x:c>
      <x:c r="P386" s="6" t="n">
        <x:v>1</x:v>
      </x:c>
      <x:c r="Q386" s="6" t="n">
        <x:v>0</x:v>
      </x:c>
      <x:c r="R386" s="6" t="n">
        <x:v>1</x:v>
      </x:c>
      <x:c r="S386" s="6" t="n">
        <x:v>2</x:v>
      </x:c>
      <x:c r="T386" s="6" t="n">
        <x:v>3</x:v>
      </x:c>
      <x:c r="U386" s="6" t="n">
        <x:v>0</x:v>
      </x:c>
      <x:c r="V386" s="6" t="n">
        <x:v>0</x:v>
      </x:c>
      <x:c r="W386" s="6" t="n">
        <x:v>0</x:v>
      </x:c>
      <x:c r="X386" s="6" t="n">
        <x:v>0</x:v>
      </x:c>
      <x:c r="Y386" s="6" t="n">
        <x:v>0</x:v>
      </x:c>
      <x:c r="Z386" s="6" t="n">
        <x:v>0</x:v>
      </x:c>
      <x:c r="AA386" s="6" t="n">
        <x:v>3</x:v>
      </x:c>
      <x:c r="AB386" s="6" t="n">
        <x:v>11</x:v>
      </x:c>
      <x:c r="AC386" s="6" t="n">
        <x:v>0</x:v>
      </x:c>
    </x:row>
    <x:row r="387">
      <x:c r="A387" s="6" t="n">
        <x:v>948</x:v>
      </x:c>
      <x:c r="B387" s="6" t="n">
        <x:v>1971</x:v>
      </x:c>
      <x:c r="C387" s="6" t="str">
        <x:v>Graduation</x:v>
      </x:c>
      <x:c r="D387" s="6" t="str">
        <x:v>Single</x:v>
      </x:c>
      <x:c r="E387" s="6" t="n">
        <x:v>10245</x:v>
      </x:c>
      <x:c r="F387" s="6" t="n">
        <x:v>1</x:v>
      </x:c>
      <x:c r="G387" s="6" t="n">
        <x:v>0</x:v>
      </x:c>
      <x:c r="H387" s="9" t="str">
        <x:v>15-05-2013</x:v>
      </x:c>
      <x:c r="I387" s="6" t="n">
        <x:v>32</x:v>
      </x:c>
      <x:c r="J387" s="6" t="n">
        <x:v>4</x:v>
      </x:c>
      <x:c r="K387" s="6" t="n">
        <x:v>7</x:v>
      </x:c>
      <x:c r="L387" s="6" t="n">
        <x:v>7</x:v>
      </x:c>
      <x:c r="M387" s="6" t="n">
        <x:v>6</x:v>
      </x:c>
      <x:c r="N387" s="6" t="n">
        <x:v>4</x:v>
      </x:c>
      <x:c r="O387" s="6" t="n">
        <x:v>13</x:v>
      </x:c>
      <x:c r="P387" s="6" t="n">
        <x:v>3</x:v>
      </x:c>
      <x:c r="Q387" s="6" t="n">
        <x:v>1</x:v>
      </x:c>
      <x:c r="R387" s="6" t="n">
        <x:v>2</x:v>
      </x:c>
      <x:c r="S387" s="6" t="n">
        <x:v>2</x:v>
      </x:c>
      <x:c r="T387" s="6" t="n">
        <x:v>5</x:v>
      </x:c>
      <x:c r="U387" s="6" t="n">
        <x:v>0</x:v>
      </x:c>
      <x:c r="V387" s="6" t="n">
        <x:v>0</x:v>
      </x:c>
      <x:c r="W387" s="6" t="n">
        <x:v>0</x:v>
      </x:c>
      <x:c r="X387" s="6" t="n">
        <x:v>0</x:v>
      </x:c>
      <x:c r="Y387" s="6" t="n">
        <x:v>0</x:v>
      </x:c>
      <x:c r="Z387" s="6" t="n">
        <x:v>0</x:v>
      </x:c>
      <x:c r="AA387" s="6" t="n">
        <x:v>3</x:v>
      </x:c>
      <x:c r="AB387" s="6" t="n">
        <x:v>11</x:v>
      </x:c>
      <x:c r="AC387" s="6" t="n">
        <x:v>0</x:v>
      </x:c>
    </x:row>
    <x:row r="388">
      <x:c r="A388" s="6" t="n">
        <x:v>6720</x:v>
      </x:c>
      <x:c r="B388" s="6" t="n">
        <x:v>1968</x:v>
      </x:c>
      <x:c r="C388" s="6" t="str">
        <x:v>Master</x:v>
      </x:c>
      <x:c r="D388" s="6" t="str">
        <x:v>Together</x:v>
      </x:c>
      <x:c r="E388" s="6" t="n">
        <x:v>43795</x:v>
      </x:c>
      <x:c r="F388" s="6" t="n">
        <x:v>0</x:v>
      </x:c>
      <x:c r="G388" s="6" t="n">
        <x:v>1</x:v>
      </x:c>
      <x:c r="H388" s="9" t="str">
        <x:v>16-10-2013</x:v>
      </x:c>
      <x:c r="I388" s="6" t="n">
        <x:v>11</x:v>
      </x:c>
      <x:c r="J388" s="6" t="n">
        <x:v>314</x:v>
      </x:c>
      <x:c r="K388" s="6" t="n">
        <x:v>11</x:v>
      </x:c>
      <x:c r="L388" s="6" t="n">
        <x:v>53</x:v>
      </x:c>
      <x:c r="M388" s="6" t="n">
        <x:v>4</x:v>
      </x:c>
      <x:c r="N388" s="6" t="n">
        <x:v>3</x:v>
      </x:c>
      <x:c r="O388" s="6" t="n">
        <x:v>107</x:v>
      </x:c>
      <x:c r="P388" s="6" t="n">
        <x:v>3</x:v>
      </x:c>
      <x:c r="Q388" s="6" t="n">
        <x:v>7</x:v>
      </x:c>
      <x:c r="R388" s="6" t="n">
        <x:v>3</x:v>
      </x:c>
      <x:c r="S388" s="6" t="n">
        <x:v>4</x:v>
      </x:c>
      <x:c r="T388" s="6" t="n">
        <x:v>7</x:v>
      </x:c>
      <x:c r="U388" s="6" t="n">
        <x:v>0</x:v>
      </x:c>
      <x:c r="V388" s="6" t="n">
        <x:v>1</x:v>
      </x:c>
      <x:c r="W388" s="6" t="n">
        <x:v>0</x:v>
      </x:c>
      <x:c r="X388" s="6" t="n">
        <x:v>0</x:v>
      </x:c>
      <x:c r="Y388" s="6" t="n">
        <x:v>0</x:v>
      </x:c>
      <x:c r="Z388" s="6" t="n">
        <x:v>0</x:v>
      </x:c>
      <x:c r="AA388" s="6" t="n">
        <x:v>3</x:v>
      </x:c>
      <x:c r="AB388" s="6" t="n">
        <x:v>11</x:v>
      </x:c>
      <x:c r="AC388" s="6" t="n">
        <x:v>1</x:v>
      </x:c>
    </x:row>
    <x:row r="389">
      <x:c r="A389" s="6" t="n">
        <x:v>6202</x:v>
      </x:c>
      <x:c r="B389" s="6" t="n">
        <x:v>1960</x:v>
      </x:c>
      <x:c r="C389" s="6" t="str">
        <x:v>Graduation</x:v>
      </x:c>
      <x:c r="D389" s="6" t="str">
        <x:v>Together</x:v>
      </x:c>
      <x:c r="E389" s="6" t="n">
        <x:v>63381</x:v>
      </x:c>
      <x:c r="F389" s="6" t="n">
        <x:v>0</x:v>
      </x:c>
      <x:c r="G389" s="6" t="n">
        <x:v>1</x:v>
      </x:c>
      <x:c r="H389" s="9" t="str">
        <x:v>05-10-2012</x:v>
      </x:c>
      <x:c r="I389" s="6" t="n">
        <x:v>78</x:v>
      </x:c>
      <x:c r="J389" s="6" t="n">
        <x:v>571</x:v>
      </x:c>
      <x:c r="K389" s="6" t="n">
        <x:v>50</x:v>
      </x:c>
      <x:c r="L389" s="6" t="n">
        <x:v>142</x:v>
      </x:c>
      <x:c r="M389" s="6" t="n">
        <x:v>33</x:v>
      </x:c>
      <x:c r="N389" s="6" t="n">
        <x:v>50</x:v>
      </x:c>
      <x:c r="O389" s="6" t="n">
        <x:v>159</x:v>
      </x:c>
      <x:c r="P389" s="6" t="n">
        <x:v>4</x:v>
      </x:c>
      <x:c r="Q389" s="6" t="n">
        <x:v>4</x:v>
      </x:c>
      <x:c r="R389" s="6" t="n">
        <x:v>5</x:v>
      </x:c>
      <x:c r="S389" s="6" t="n">
        <x:v>13</x:v>
      </x:c>
      <x:c r="T389" s="6" t="n">
        <x:v>2</x:v>
      </x:c>
      <x:c r="U389" s="6" t="n">
        <x:v>0</x:v>
      </x:c>
      <x:c r="V389" s="6" t="n">
        <x:v>0</x:v>
      </x:c>
      <x:c r="W389" s="6" t="n">
        <x:v>0</x:v>
      </x:c>
      <x:c r="X389" s="6" t="n">
        <x:v>0</x:v>
      </x:c>
      <x:c r="Y389" s="6" t="n">
        <x:v>0</x:v>
      </x:c>
      <x:c r="Z389" s="6" t="n">
        <x:v>0</x:v>
      </x:c>
      <x:c r="AA389" s="6" t="n">
        <x:v>3</x:v>
      </x:c>
      <x:c r="AB389" s="6" t="n">
        <x:v>11</x:v>
      </x:c>
      <x:c r="AC389" s="6" t="n">
        <x:v>0</x:v>
      </x:c>
    </x:row>
    <x:row r="390">
      <x:c r="A390" s="6" t="n">
        <x:v>2066</x:v>
      </x:c>
      <x:c r="B390" s="6" t="n">
        <x:v>1949</x:v>
      </x:c>
      <x:c r="C390" s="6" t="str">
        <x:v>Graduation</x:v>
      </x:c>
      <x:c r="D390" s="6" t="str">
        <x:v>Together</x:v>
      </x:c>
      <x:c r="E390" s="6" t="n">
        <x:v>38823</x:v>
      </x:c>
      <x:c r="F390" s="6" t="n">
        <x:v>0</x:v>
      </x:c>
      <x:c r="G390" s="6" t="n">
        <x:v>1</x:v>
      </x:c>
      <x:c r="H390" s="9" t="str">
        <x:v>30-08-2012</x:v>
      </x:c>
      <x:c r="I390" s="6" t="n">
        <x:v>56</x:v>
      </x:c>
      <x:c r="J390" s="6" t="n">
        <x:v>70</x:v>
      </x:c>
      <x:c r="K390" s="6" t="n">
        <x:v>0</x:v>
      </x:c>
      <x:c r="L390" s="6" t="n">
        <x:v>11</x:v>
      </x:c>
      <x:c r="M390" s="6" t="n">
        <x:v>2</x:v>
      </x:c>
      <x:c r="N390" s="6" t="n">
        <x:v>8</x:v>
      </x:c>
      <x:c r="O390" s="6" t="n">
        <x:v>23</x:v>
      </x:c>
      <x:c r="P390" s="6" t="n">
        <x:v>1</x:v>
      </x:c>
      <x:c r="Q390" s="6" t="n">
        <x:v>2</x:v>
      </x:c>
      <x:c r="R390" s="6" t="n">
        <x:v>1</x:v>
      </x:c>
      <x:c r="S390" s="6" t="n">
        <x:v>3</x:v>
      </x:c>
      <x:c r="T390" s="6" t="n">
        <x:v>6</x:v>
      </x:c>
      <x:c r="U390" s="6" t="n">
        <x:v>0</x:v>
      </x:c>
      <x:c r="V390" s="6" t="n">
        <x:v>0</x:v>
      </x:c>
      <x:c r="W390" s="6" t="n">
        <x:v>0</x:v>
      </x:c>
      <x:c r="X390" s="6" t="n">
        <x:v>0</x:v>
      </x:c>
      <x:c r="Y390" s="6" t="n">
        <x:v>0</x:v>
      </x:c>
      <x:c r="Z390" s="6" t="n">
        <x:v>0</x:v>
      </x:c>
      <x:c r="AA390" s="6" t="n">
        <x:v>3</x:v>
      </x:c>
      <x:c r="AB390" s="6" t="n">
        <x:v>11</x:v>
      </x:c>
      <x:c r="AC390" s="6" t="n">
        <x:v>0</x:v>
      </x:c>
    </x:row>
    <x:row r="391">
      <x:c r="A391" s="6" t="n">
        <x:v>9799</x:v>
      </x:c>
      <x:c r="B391" s="6" t="n">
        <x:v>1968</x:v>
      </x:c>
      <x:c r="C391" s="6" t="str">
        <x:v>PhD</x:v>
      </x:c>
      <x:c r="D391" s="6" t="str">
        <x:v>Divorced</x:v>
      </x:c>
      <x:c r="E391" s="6" t="n">
        <x:v>83664</x:v>
      </x:c>
      <x:c r="F391" s="6" t="n">
        <x:v>1</x:v>
      </x:c>
      <x:c r="G391" s="6" t="n">
        <x:v>1</x:v>
      </x:c>
      <x:c r="H391" s="9" t="str">
        <x:v>08-05-2013</x:v>
      </x:c>
      <x:c r="I391" s="6" t="n">
        <x:v>57</x:v>
      </x:c>
      <x:c r="J391" s="6" t="n">
        <x:v>866</x:v>
      </x:c>
      <x:c r="K391" s="6" t="n">
        <x:v>21</x:v>
      </x:c>
      <x:c r="L391" s="6" t="n">
        <x:v>151</x:v>
      </x:c>
      <x:c r="M391" s="6" t="n">
        <x:v>28</x:v>
      </x:c>
      <x:c r="N391" s="6" t="n">
        <x:v>21</x:v>
      </x:c>
      <x:c r="O391" s="6" t="n">
        <x:v>86</x:v>
      </x:c>
      <x:c r="P391" s="6" t="n">
        <x:v>3</x:v>
      </x:c>
      <x:c r="Q391" s="6" t="n">
        <x:v>2</x:v>
      </x:c>
      <x:c r="R391" s="6" t="n">
        <x:v>2</x:v>
      </x:c>
      <x:c r="S391" s="6" t="n">
        <x:v>12</x:v>
      </x:c>
      <x:c r="T391" s="6" t="n">
        <x:v>5</x:v>
      </x:c>
      <x:c r="U391" s="6" t="n">
        <x:v>0</x:v>
      </x:c>
      <x:c r="V391" s="6" t="n">
        <x:v>0</x:v>
      </x:c>
      <x:c r="W391" s="6" t="n">
        <x:v>0</x:v>
      </x:c>
      <x:c r="X391" s="6" t="n">
        <x:v>0</x:v>
      </x:c>
      <x:c r="Y391" s="6" t="n">
        <x:v>0</x:v>
      </x:c>
      <x:c r="Z391" s="6" t="n">
        <x:v>0</x:v>
      </x:c>
      <x:c r="AA391" s="6" t="n">
        <x:v>3</x:v>
      </x:c>
      <x:c r="AB391" s="6" t="n">
        <x:v>11</x:v>
      </x:c>
      <x:c r="AC391" s="6" t="n">
        <x:v>0</x:v>
      </x:c>
    </x:row>
    <x:row r="392">
      <x:c r="A392" s="6" t="n">
        <x:v>8318</x:v>
      </x:c>
      <x:c r="B392" s="6" t="n">
        <x:v>1979</x:v>
      </x:c>
      <x:c r="C392" s="6" t="str">
        <x:v>Graduation</x:v>
      </x:c>
      <x:c r="D392" s="6" t="str">
        <x:v>Together</x:v>
      </x:c>
      <x:c r="E392" s="6" t="n">
        <x:v>90300</x:v>
      </x:c>
      <x:c r="F392" s="6" t="n">
        <x:v>0</x:v>
      </x:c>
      <x:c r="G392" s="6" t="n">
        <x:v>0</x:v>
      </x:c>
      <x:c r="H392" s="9" t="str">
        <x:v>03-01-2014</x:v>
      </x:c>
      <x:c r="I392" s="6" t="n">
        <x:v>7</x:v>
      </x:c>
      <x:c r="J392" s="6" t="n">
        <x:v>594</x:v>
      </x:c>
      <x:c r="K392" s="6" t="n">
        <x:v>134</x:v>
      </x:c>
      <x:c r="L392" s="6" t="n">
        <x:v>786</x:v>
      </x:c>
      <x:c r="M392" s="6" t="n">
        <x:v>33</x:v>
      </x:c>
      <x:c r="N392" s="6" t="n">
        <x:v>134</x:v>
      </x:c>
      <x:c r="O392" s="6" t="n">
        <x:v>57</x:v>
      </x:c>
      <x:c r="P392" s="6" t="n">
        <x:v>0</x:v>
      </x:c>
      <x:c r="Q392" s="6" t="n">
        <x:v>5</x:v>
      </x:c>
      <x:c r="R392" s="6" t="n">
        <x:v>6</x:v>
      </x:c>
      <x:c r="S392" s="6" t="n">
        <x:v>8</x:v>
      </x:c>
      <x:c r="T392" s="6" t="n">
        <x:v>1</x:v>
      </x:c>
      <x:c r="U392" s="6" t="n">
        <x:v>0</x:v>
      </x:c>
      <x:c r="V392" s="6" t="n">
        <x:v>0</x:v>
      </x:c>
      <x:c r="W392" s="6" t="n">
        <x:v>1</x:v>
      </x:c>
      <x:c r="X392" s="6" t="n">
        <x:v>0</x:v>
      </x:c>
      <x:c r="Y392" s="6" t="n">
        <x:v>0</x:v>
      </x:c>
      <x:c r="Z392" s="6" t="n">
        <x:v>0</x:v>
      </x:c>
      <x:c r="AA392" s="6" t="n">
        <x:v>3</x:v>
      </x:c>
      <x:c r="AB392" s="6" t="n">
        <x:v>11</x:v>
      </x:c>
      <x:c r="AC392" s="6" t="n">
        <x:v>0</x:v>
      </x:c>
    </x:row>
    <x:row r="393">
      <x:c r="A393" s="6" t="n">
        <x:v>5642</x:v>
      </x:c>
      <x:c r="B393" s="6" t="n">
        <x:v>1979</x:v>
      </x:c>
      <x:c r="C393" s="6" t="str">
        <x:v>Master</x:v>
      </x:c>
      <x:c r="D393" s="6" t="str">
        <x:v>Together</x:v>
      </x:c>
      <x:c r="E393" s="6" t="n">
        <x:v>62499</x:v>
      </x:c>
      <x:c r="F393" s="6" t="n">
        <x:v>1</x:v>
      </x:c>
      <x:c r="G393" s="6" t="n">
        <x:v>0</x:v>
      </x:c>
      <x:c r="H393" s="9" t="str">
        <x:v>09-12-2013</x:v>
      </x:c>
      <x:c r="I393" s="6" t="n">
        <x:v>0</x:v>
      </x:c>
      <x:c r="J393" s="6" t="n">
        <x:v>140</x:v>
      </x:c>
      <x:c r="K393" s="6" t="n">
        <x:v>4</x:v>
      </x:c>
      <x:c r="L393" s="6" t="n">
        <x:v>61</x:v>
      </x:c>
      <x:c r="M393" s="6" t="n">
        <x:v>0</x:v>
      </x:c>
      <x:c r="N393" s="6" t="n">
        <x:v>13</x:v>
      </x:c>
      <x:c r="O393" s="6" t="n">
        <x:v>4</x:v>
      </x:c>
      <x:c r="P393" s="6" t="n">
        <x:v>2</x:v>
      </x:c>
      <x:c r="Q393" s="6" t="n">
        <x:v>3</x:v>
      </x:c>
      <x:c r="R393" s="6" t="n">
        <x:v>1</x:v>
      </x:c>
      <x:c r="S393" s="6" t="n">
        <x:v>6</x:v>
      </x:c>
      <x:c r="T393" s="6" t="n">
        <x:v>4</x:v>
      </x:c>
      <x:c r="U393" s="6" t="n">
        <x:v>0</x:v>
      </x:c>
      <x:c r="V393" s="6" t="n">
        <x:v>0</x:v>
      </x:c>
      <x:c r="W393" s="6" t="n">
        <x:v>0</x:v>
      </x:c>
      <x:c r="X393" s="6" t="n">
        <x:v>0</x:v>
      </x:c>
      <x:c r="Y393" s="6" t="n">
        <x:v>0</x:v>
      </x:c>
      <x:c r="Z393" s="6" t="n">
        <x:v>0</x:v>
      </x:c>
      <x:c r="AA393" s="6" t="n">
        <x:v>3</x:v>
      </x:c>
      <x:c r="AB393" s="6" t="n">
        <x:v>11</x:v>
      </x:c>
      <x:c r="AC393" s="6" t="n">
        <x:v>0</x:v>
      </x:c>
    </x:row>
    <x:row r="394">
      <x:c r="A394" s="6" t="n">
        <x:v>2669</x:v>
      </x:c>
      <x:c r="B394" s="6" t="n">
        <x:v>1993</x:v>
      </x:c>
      <x:c r="C394" s="6" t="str">
        <x:v>Graduation</x:v>
      </x:c>
      <x:c r="D394" s="6" t="str">
        <x:v>Single</x:v>
      </x:c>
      <x:c r="E394" s="6" t="n">
        <x:v>74293</x:v>
      </x:c>
      <x:c r="F394" s="6" t="n">
        <x:v>0</x:v>
      </x:c>
      <x:c r="G394" s="6" t="n">
        <x:v>0</x:v>
      </x:c>
      <x:c r="H394" s="9" t="str">
        <x:v>04-05-2014</x:v>
      </x:c>
      <x:c r="I394" s="6" t="n">
        <x:v>66</x:v>
      </x:c>
      <x:c r="J394" s="6" t="n">
        <x:v>375</x:v>
      </x:c>
      <x:c r="K394" s="6" t="n">
        <x:v>152</x:v>
      </x:c>
      <x:c r="L394" s="6" t="n">
        <x:v>335</x:v>
      </x:c>
      <x:c r="M394" s="6" t="n">
        <x:v>93</x:v>
      </x:c>
      <x:c r="N394" s="6" t="n">
        <x:v>91</x:v>
      </x:c>
      <x:c r="O394" s="6" t="n">
        <x:v>81</x:v>
      </x:c>
      <x:c r="P394" s="6" t="n">
        <x:v>1</x:v>
      </x:c>
      <x:c r="Q394" s="6" t="n">
        <x:v>5</x:v>
      </x:c>
      <x:c r="R394" s="6" t="n">
        <x:v>4</x:v>
      </x:c>
      <x:c r="S394" s="6" t="n">
        <x:v>6</x:v>
      </x:c>
      <x:c r="T394" s="6" t="n">
        <x:v>2</x:v>
      </x:c>
      <x:c r="U394" s="6" t="n">
        <x:v>0</x:v>
      </x:c>
      <x:c r="V394" s="6" t="n">
        <x:v>0</x:v>
      </x:c>
      <x:c r="W394" s="6" t="n">
        <x:v>0</x:v>
      </x:c>
      <x:c r="X394" s="6" t="n">
        <x:v>0</x:v>
      </x:c>
      <x:c r="Y394" s="6" t="n">
        <x:v>0</x:v>
      </x:c>
      <x:c r="Z394" s="6" t="n">
        <x:v>0</x:v>
      </x:c>
      <x:c r="AA394" s="6" t="n">
        <x:v>3</x:v>
      </x:c>
      <x:c r="AB394" s="6" t="n">
        <x:v>11</x:v>
      </x:c>
      <x:c r="AC394" s="6" t="n">
        <x:v>0</x:v>
      </x:c>
    </x:row>
    <x:row r="395">
      <x:c r="A395" s="6" t="n">
        <x:v>455</x:v>
      </x:c>
      <x:c r="B395" s="6" t="n">
        <x:v>1946</x:v>
      </x:c>
      <x:c r="C395" s="6" t="str">
        <x:v>PhD</x:v>
      </x:c>
      <x:c r="D395" s="6" t="str">
        <x:v>Married</x:v>
      </x:c>
      <x:c r="E395" s="6" t="n">
        <x:v>51012</x:v>
      </x:c>
      <x:c r="F395" s="6" t="n">
        <x:v>0</x:v>
      </x:c>
      <x:c r="G395" s="6" t="n">
        <x:v>0</x:v>
      </x:c>
      <x:c r="H395" s="9" t="str">
        <x:v>18-04-2013</x:v>
      </x:c>
      <x:c r="I395" s="6" t="n">
        <x:v>86</x:v>
      </x:c>
      <x:c r="J395" s="6" t="n">
        <x:v>102</x:v>
      </x:c>
      <x:c r="K395" s="6" t="n">
        <x:v>9</x:v>
      </x:c>
      <x:c r="L395" s="6" t="n">
        <x:v>63</x:v>
      </x:c>
      <x:c r="M395" s="6" t="n">
        <x:v>2</x:v>
      </x:c>
      <x:c r="N395" s="6" t="n">
        <x:v>9</x:v>
      </x:c>
      <x:c r="O395" s="6" t="n">
        <x:v>24</x:v>
      </x:c>
      <x:c r="P395" s="6" t="n">
        <x:v>1</x:v>
      </x:c>
      <x:c r="Q395" s="6" t="n">
        <x:v>4</x:v>
      </x:c>
      <x:c r="R395" s="6" t="n">
        <x:v>1</x:v>
      </x:c>
      <x:c r="S395" s="6" t="n">
        <x:v>4</x:v>
      </x:c>
      <x:c r="T395" s="6" t="n">
        <x:v>6</x:v>
      </x:c>
      <x:c r="U395" s="6" t="n">
        <x:v>0</x:v>
      </x:c>
      <x:c r="V395" s="6" t="n">
        <x:v>0</x:v>
      </x:c>
      <x:c r="W395" s="6" t="n">
        <x:v>0</x:v>
      </x:c>
      <x:c r="X395" s="6" t="n">
        <x:v>0</x:v>
      </x:c>
      <x:c r="Y395" s="6" t="n">
        <x:v>0</x:v>
      </x:c>
      <x:c r="Z395" s="6" t="n">
        <x:v>0</x:v>
      </x:c>
      <x:c r="AA395" s="6" t="n">
        <x:v>3</x:v>
      </x:c>
      <x:c r="AB395" s="6" t="n">
        <x:v>11</x:v>
      </x:c>
      <x:c r="AC395" s="6" t="n">
        <x:v>0</x:v>
      </x:c>
    </x:row>
    <x:row r="396">
      <x:c r="A396" s="6" t="n">
        <x:v>7683</x:v>
      </x:c>
      <x:c r="B396" s="6" t="n">
        <x:v>1968</x:v>
      </x:c>
      <x:c r="C396" s="6" t="str">
        <x:v>Master</x:v>
      </x:c>
      <x:c r="D396" s="6" t="str">
        <x:v>Married</x:v>
      </x:c>
      <x:c r="E396" s="6" t="n">
        <x:v>70777</x:v>
      </x:c>
      <x:c r="F396" s="6" t="n">
        <x:v>0</x:v>
      </x:c>
      <x:c r="G396" s="6" t="n">
        <x:v>1</x:v>
      </x:c>
      <x:c r="H396" s="9" t="str">
        <x:v>25-02-2014</x:v>
      </x:c>
      <x:c r="I396" s="6" t="n">
        <x:v>80</x:v>
      </x:c>
      <x:c r="J396" s="6" t="n">
        <x:v>554</x:v>
      </x:c>
      <x:c r="K396" s="6" t="n">
        <x:v>35</x:v>
      </x:c>
      <x:c r="L396" s="6" t="n">
        <x:v>113</x:v>
      </x:c>
      <x:c r="M396" s="6" t="n">
        <x:v>0</x:v>
      </x:c>
      <x:c r="N396" s="6" t="n">
        <x:v>7</x:v>
      </x:c>
      <x:c r="O396" s="6" t="n">
        <x:v>78</x:v>
      </x:c>
      <x:c r="P396" s="6" t="n">
        <x:v>3</x:v>
      </x:c>
      <x:c r="Q396" s="6" t="n">
        <x:v>5</x:v>
      </x:c>
      <x:c r="R396" s="6" t="n">
        <x:v>3</x:v>
      </x:c>
      <x:c r="S396" s="6" t="n">
        <x:v>12</x:v>
      </x:c>
      <x:c r="T396" s="6" t="n">
        <x:v>3</x:v>
      </x:c>
      <x:c r="U396" s="6" t="n">
        <x:v>0</x:v>
      </x:c>
      <x:c r="V396" s="6" t="n">
        <x:v>0</x:v>
      </x:c>
      <x:c r="W396" s="6" t="n">
        <x:v>0</x:v>
      </x:c>
      <x:c r="X396" s="6" t="n">
        <x:v>0</x:v>
      </x:c>
      <x:c r="Y396" s="6" t="n">
        <x:v>0</x:v>
      </x:c>
      <x:c r="Z396" s="6" t="n">
        <x:v>0</x:v>
      </x:c>
      <x:c r="AA396" s="6" t="n">
        <x:v>3</x:v>
      </x:c>
      <x:c r="AB396" s="6" t="n">
        <x:v>11</x:v>
      </x:c>
      <x:c r="AC396" s="6" t="n">
        <x:v>0</x:v>
      </x:c>
    </x:row>
    <x:row r="397">
      <x:c r="A397" s="6" t="n">
        <x:v>3428</x:v>
      </x:c>
      <x:c r="B397" s="6" t="n">
        <x:v>1991</x:v>
      </x:c>
      <x:c r="C397" s="6" t="str">
        <x:v>PhD</x:v>
      </x:c>
      <x:c r="D397" s="6" t="str">
        <x:v>Together</x:v>
      </x:c>
      <x:c r="E397" s="6" t="n">
        <x:v>68682</x:v>
      </x:c>
      <x:c r="F397" s="6" t="n">
        <x:v>0</x:v>
      </x:c>
      <x:c r="G397" s="6" t="n">
        <x:v>0</x:v>
      </x:c>
      <x:c r="H397" s="9" t="str">
        <x:v>06-10-2013</x:v>
      </x:c>
      <x:c r="I397" s="6" t="n">
        <x:v>56</x:v>
      </x:c>
      <x:c r="J397" s="6" t="n">
        <x:v>919</x:v>
      </x:c>
      <x:c r="K397" s="6" t="n">
        <x:v>0</x:v>
      </x:c>
      <x:c r="L397" s="6" t="n">
        <x:v>505</x:v>
      </x:c>
      <x:c r="M397" s="6" t="n">
        <x:v>99</x:v>
      </x:c>
      <x:c r="N397" s="6" t="n">
        <x:v>30</x:v>
      </x:c>
      <x:c r="O397" s="6" t="n">
        <x:v>45</x:v>
      </x:c>
      <x:c r="P397" s="6" t="n">
        <x:v>1</x:v>
      </x:c>
      <x:c r="Q397" s="6" t="n">
        <x:v>4</x:v>
      </x:c>
      <x:c r="R397" s="6" t="n">
        <x:v>9</x:v>
      </x:c>
      <x:c r="S397" s="6" t="n">
        <x:v>10</x:v>
      </x:c>
      <x:c r="T397" s="6" t="n">
        <x:v>2</x:v>
      </x:c>
      <x:c r="U397" s="6" t="n">
        <x:v>0</x:v>
      </x:c>
      <x:c r="V397" s="6" t="n">
        <x:v>0</x:v>
      </x:c>
      <x:c r="W397" s="6" t="n">
        <x:v>0</x:v>
      </x:c>
      <x:c r="X397" s="6" t="n">
        <x:v>0</x:v>
      </x:c>
      <x:c r="Y397" s="6" t="n">
        <x:v>0</x:v>
      </x:c>
      <x:c r="Z397" s="6" t="n">
        <x:v>0</x:v>
      </x:c>
      <x:c r="AA397" s="6" t="n">
        <x:v>3</x:v>
      </x:c>
      <x:c r="AB397" s="6" t="n">
        <x:v>11</x:v>
      </x:c>
      <x:c r="AC397" s="6" t="n">
        <x:v>0</x:v>
      </x:c>
    </x:row>
    <x:row r="398">
      <x:c r="A398" s="6" t="n">
        <x:v>7414</x:v>
      </x:c>
      <x:c r="B398" s="6" t="n">
        <x:v>1971</x:v>
      </x:c>
      <x:c r="C398" s="6" t="str">
        <x:v>Graduation</x:v>
      </x:c>
      <x:c r="D398" s="6" t="str">
        <x:v>Married</x:v>
      </x:c>
      <x:c r="E398" s="6" t="n">
        <x:v>43824</x:v>
      </x:c>
      <x:c r="F398" s="6" t="n">
        <x:v>1</x:v>
      </x:c>
      <x:c r="G398" s="6" t="n">
        <x:v>1</x:v>
      </x:c>
      <x:c r="H398" s="9" t="str">
        <x:v>15-09-2012</x:v>
      </x:c>
      <x:c r="I398" s="6" t="n">
        <x:v>18</x:v>
      </x:c>
      <x:c r="J398" s="6" t="n">
        <x:v>96</x:v>
      </x:c>
      <x:c r="K398" s="6" t="n">
        <x:v>1</x:v>
      </x:c>
      <x:c r="L398" s="6" t="n">
        <x:v>42</x:v>
      </x:c>
      <x:c r="M398" s="6" t="n">
        <x:v>12</x:v>
      </x:c>
      <x:c r="N398" s="6" t="n">
        <x:v>3</x:v>
      </x:c>
      <x:c r="O398" s="6" t="n">
        <x:v>32</x:v>
      </x:c>
      <x:c r="P398" s="6" t="n">
        <x:v>4</x:v>
      </x:c>
      <x:c r="Q398" s="6" t="n">
        <x:v>3</x:v>
      </x:c>
      <x:c r="R398" s="6" t="n">
        <x:v>1</x:v>
      </x:c>
      <x:c r="S398" s="6" t="n">
        <x:v>4</x:v>
      </x:c>
      <x:c r="T398" s="6" t="n">
        <x:v>8</x:v>
      </x:c>
      <x:c r="U398" s="6" t="n">
        <x:v>0</x:v>
      </x:c>
      <x:c r="V398" s="6" t="n">
        <x:v>0</x:v>
      </x:c>
      <x:c r="W398" s="6" t="n">
        <x:v>0</x:v>
      </x:c>
      <x:c r="X398" s="6" t="n">
        <x:v>0</x:v>
      </x:c>
      <x:c r="Y398" s="6" t="n">
        <x:v>0</x:v>
      </x:c>
      <x:c r="Z398" s="6" t="n">
        <x:v>0</x:v>
      </x:c>
      <x:c r="AA398" s="6" t="n">
        <x:v>3</x:v>
      </x:c>
      <x:c r="AB398" s="6" t="n">
        <x:v>11</x:v>
      </x:c>
      <x:c r="AC398" s="6" t="n">
        <x:v>0</x:v>
      </x:c>
    </x:row>
    <x:row r="399">
      <x:c r="A399" s="6" t="n">
        <x:v>6354</x:v>
      </x:c>
      <x:c r="B399" s="6" t="n">
        <x:v>1984</x:v>
      </x:c>
      <x:c r="C399" s="6" t="str">
        <x:v>Graduation</x:v>
      </x:c>
      <x:c r="D399" s="6" t="str">
        <x:v>Together</x:v>
      </x:c>
      <x:c r="E399" s="6" t="n">
        <x:v>15345</x:v>
      </x:c>
      <x:c r="F399" s="6" t="n">
        <x:v>1</x:v>
      </x:c>
      <x:c r="G399" s="6" t="n">
        <x:v>0</x:v>
      </x:c>
      <x:c r="H399" s="9" t="str">
        <x:v>31-08-2012</x:v>
      </x:c>
      <x:c r="I399" s="6" t="n">
        <x:v>51</x:v>
      </x:c>
      <x:c r="J399" s="6" t="n">
        <x:v>5</x:v>
      </x:c>
      <x:c r="K399" s="6" t="n">
        <x:v>2</x:v>
      </x:c>
      <x:c r="L399" s="6" t="n">
        <x:v>16</x:v>
      </x:c>
      <x:c r="M399" s="6" t="n">
        <x:v>3</x:v>
      </x:c>
      <x:c r="N399" s="6" t="n">
        <x:v>2</x:v>
      </x:c>
      <x:c r="O399" s="6" t="n">
        <x:v>19</x:v>
      </x:c>
      <x:c r="P399" s="6" t="n">
        <x:v>2</x:v>
      </x:c>
      <x:c r="Q399" s="6" t="n">
        <x:v>1</x:v>
      </x:c>
      <x:c r="R399" s="6" t="n">
        <x:v>1</x:v>
      </x:c>
      <x:c r="S399" s="6" t="n">
        <x:v>2</x:v>
      </x:c>
      <x:c r="T399" s="6" t="n">
        <x:v>8</x:v>
      </x:c>
      <x:c r="U399" s="6" t="n">
        <x:v>0</x:v>
      </x:c>
      <x:c r="V399" s="6" t="n">
        <x:v>0</x:v>
      </x:c>
      <x:c r="W399" s="6" t="n">
        <x:v>0</x:v>
      </x:c>
      <x:c r="X399" s="6" t="n">
        <x:v>0</x:v>
      </x:c>
      <x:c r="Y399" s="6" t="n">
        <x:v>0</x:v>
      </x:c>
      <x:c r="Z399" s="6" t="n">
        <x:v>0</x:v>
      </x:c>
      <x:c r="AA399" s="6" t="n">
        <x:v>3</x:v>
      </x:c>
      <x:c r="AB399" s="6" t="n">
        <x:v>11</x:v>
      </x:c>
      <x:c r="AC399" s="6" t="n">
        <x:v>1</x:v>
      </x:c>
    </x:row>
    <x:row r="400">
      <x:c r="A400" s="6" t="n">
        <x:v>798</x:v>
      </x:c>
      <x:c r="B400" s="6" t="n">
        <x:v>1987</x:v>
      </x:c>
      <x:c r="C400" s="6" t="str">
        <x:v>Graduation</x:v>
      </x:c>
      <x:c r="D400" s="6" t="str">
        <x:v>Single</x:v>
      </x:c>
      <x:c r="E400" s="6" t="n">
        <x:v>23442</x:v>
      </x:c>
      <x:c r="F400" s="6" t="n">
        <x:v>1</x:v>
      </x:c>
      <x:c r="G400" s="6" t="n">
        <x:v>0</x:v>
      </x:c>
      <x:c r="H400" s="9" t="str">
        <x:v>24-12-2012</x:v>
      </x:c>
      <x:c r="I400" s="6" t="n">
        <x:v>71</x:v>
      </x:c>
      <x:c r="J400" s="6" t="n">
        <x:v>2</x:v>
      </x:c>
      <x:c r="K400" s="6" t="n">
        <x:v>0</x:v>
      </x:c>
      <x:c r="L400" s="6" t="n">
        <x:v>6</x:v>
      </x:c>
      <x:c r="M400" s="6" t="n">
        <x:v>8</x:v>
      </x:c>
      <x:c r="N400" s="6" t="n">
        <x:v>6</x:v>
      </x:c>
      <x:c r="O400" s="6" t="n">
        <x:v>5</x:v>
      </x:c>
      <x:c r="P400" s="6" t="n">
        <x:v>1</x:v>
      </x:c>
      <x:c r="Q400" s="6" t="n">
        <x:v>1</x:v>
      </x:c>
      <x:c r="R400" s="6" t="n">
        <x:v>0</x:v>
      </x:c>
      <x:c r="S400" s="6" t="n">
        <x:v>3</x:v>
      </x:c>
      <x:c r="T400" s="6" t="n">
        <x:v>7</x:v>
      </x:c>
      <x:c r="U400" s="6" t="n">
        <x:v>0</x:v>
      </x:c>
      <x:c r="V400" s="6" t="n">
        <x:v>0</x:v>
      </x:c>
      <x:c r="W400" s="6" t="n">
        <x:v>0</x:v>
      </x:c>
      <x:c r="X400" s="6" t="n">
        <x:v>0</x:v>
      </x:c>
      <x:c r="Y400" s="6" t="n">
        <x:v>0</x:v>
      </x:c>
      <x:c r="Z400" s="6" t="n">
        <x:v>0</x:v>
      </x:c>
      <x:c r="AA400" s="6" t="n">
        <x:v>3</x:v>
      </x:c>
      <x:c r="AB400" s="6" t="n">
        <x:v>11</x:v>
      </x:c>
      <x:c r="AC400" s="6" t="n">
        <x:v>0</x:v>
      </x:c>
    </x:row>
    <x:row r="401">
      <x:c r="A401" s="6" t="n">
        <x:v>8213</x:v>
      </x:c>
      <x:c r="B401" s="6" t="n">
        <x:v>1980</x:v>
      </x:c>
      <x:c r="C401" s="6" t="str">
        <x:v>2n Cycle</x:v>
      </x:c>
      <x:c r="D401" s="6" t="str">
        <x:v>Together</x:v>
      </x:c>
      <x:c r="E401" s="6" t="n">
        <x:v>14515</x:v>
      </x:c>
      <x:c r="F401" s="6" t="n">
        <x:v>1</x:v>
      </x:c>
      <x:c r="G401" s="6" t="n">
        <x:v>0</x:v>
      </x:c>
      <x:c r="H401" s="9" t="str">
        <x:v>09-11-2012</x:v>
      </x:c>
      <x:c r="I401" s="6" t="n">
        <x:v>71</x:v>
      </x:c>
      <x:c r="J401" s="6" t="n">
        <x:v>6</x:v>
      </x:c>
      <x:c r="K401" s="6" t="n">
        <x:v>4</x:v>
      </x:c>
      <x:c r="L401" s="6" t="n">
        <x:v>9</x:v>
      </x:c>
      <x:c r="M401" s="6" t="n">
        <x:v>6</x:v>
      </x:c>
      <x:c r="N401" s="6" t="n">
        <x:v>36</x:v>
      </x:c>
      <x:c r="O401" s="6" t="n">
        <x:v>35</x:v>
      </x:c>
      <x:c r="P401" s="6" t="n">
        <x:v>4</x:v>
      </x:c>
      <x:c r="Q401" s="6" t="n">
        <x:v>2</x:v>
      </x:c>
      <x:c r="R401" s="6" t="n">
        <x:v>2</x:v>
      </x:c>
      <x:c r="S401" s="6" t="n">
        <x:v>3</x:v>
      </x:c>
      <x:c r="T401" s="6" t="n">
        <x:v>7</x:v>
      </x:c>
      <x:c r="U401" s="6" t="n">
        <x:v>0</x:v>
      </x:c>
      <x:c r="V401" s="6" t="n">
        <x:v>0</x:v>
      </x:c>
      <x:c r="W401" s="6" t="n">
        <x:v>0</x:v>
      </x:c>
      <x:c r="X401" s="6" t="n">
        <x:v>0</x:v>
      </x:c>
      <x:c r="Y401" s="6" t="n">
        <x:v>0</x:v>
      </x:c>
      <x:c r="Z401" s="6" t="n">
        <x:v>0</x:v>
      </x:c>
      <x:c r="AA401" s="6" t="n">
        <x:v>3</x:v>
      </x:c>
      <x:c r="AB401" s="6" t="n">
        <x:v>11</x:v>
      </x:c>
      <x:c r="AC401" s="6" t="n">
        <x:v>1</x:v>
      </x:c>
    </x:row>
    <x:row r="402">
      <x:c r="A402" s="6" t="n">
        <x:v>2488</x:v>
      </x:c>
      <x:c r="B402" s="6" t="n">
        <x:v>1956</x:v>
      </x:c>
      <x:c r="C402" s="6" t="str">
        <x:v>2n Cycle</x:v>
      </x:c>
      <x:c r="D402" s="6" t="str">
        <x:v>Divorced</x:v>
      </x:c>
      <x:c r="E402" s="6" t="n">
        <x:v>31395</x:v>
      </x:c>
      <x:c r="F402" s="6" t="n">
        <x:v>1</x:v>
      </x:c>
      <x:c r="G402" s="6" t="n">
        <x:v>1</x:v>
      </x:c>
      <x:c r="H402" s="9" t="str">
        <x:v>23-03-2013</x:v>
      </x:c>
      <x:c r="I402" s="6" t="n">
        <x:v>80</x:v>
      </x:c>
      <x:c r="J402" s="6" t="n">
        <x:v>23</x:v>
      </x:c>
      <x:c r="K402" s="6" t="n">
        <x:v>1</x:v>
      </x:c>
      <x:c r="L402" s="6" t="n">
        <x:v>25</x:v>
      </x:c>
      <x:c r="M402" s="6" t="n">
        <x:v>0</x:v>
      </x:c>
      <x:c r="N402" s="6" t="n">
        <x:v>8</x:v>
      </x:c>
      <x:c r="O402" s="6" t="n">
        <x:v>7</x:v>
      </x:c>
      <x:c r="P402" s="6" t="n">
        <x:v>4</x:v>
      </x:c>
      <x:c r="Q402" s="6" t="n">
        <x:v>2</x:v>
      </x:c>
      <x:c r="R402" s="6" t="n">
        <x:v>1</x:v>
      </x:c>
      <x:c r="S402" s="6" t="n">
        <x:v>3</x:v>
      </x:c>
      <x:c r="T402" s="6" t="n">
        <x:v>6</x:v>
      </x:c>
      <x:c r="U402" s="6" t="n">
        <x:v>0</x:v>
      </x:c>
      <x:c r="V402" s="6" t="n">
        <x:v>0</x:v>
      </x:c>
      <x:c r="W402" s="6" t="n">
        <x:v>0</x:v>
      </x:c>
      <x:c r="X402" s="6" t="n">
        <x:v>0</x:v>
      </x:c>
      <x:c r="Y402" s="6" t="n">
        <x:v>0</x:v>
      </x:c>
      <x:c r="Z402" s="6" t="n">
        <x:v>0</x:v>
      </x:c>
      <x:c r="AA402" s="6" t="n">
        <x:v>3</x:v>
      </x:c>
      <x:c r="AB402" s="6" t="n">
        <x:v>11</x:v>
      </x:c>
      <x:c r="AC402" s="6" t="n">
        <x:v>0</x:v>
      </x:c>
    </x:row>
    <x:row r="403">
      <x:c r="A403" s="6" t="n">
        <x:v>9999</x:v>
      </x:c>
      <x:c r="B403" s="6" t="n">
        <x:v>1965</x:v>
      </x:c>
      <x:c r="C403" s="6" t="str">
        <x:v>Graduation</x:v>
      </x:c>
      <x:c r="D403" s="6" t="str">
        <x:v>Together</x:v>
      </x:c>
      <x:c r="E403" s="6" t="n">
        <x:v>75276</x:v>
      </x:c>
      <x:c r="F403" s="6" t="n">
        <x:v>0</x:v>
      </x:c>
      <x:c r="G403" s="6" t="n">
        <x:v>0</x:v>
      </x:c>
      <x:c r="H403" s="9" t="str">
        <x:v>27-09-2012</x:v>
      </x:c>
      <x:c r="I403" s="6" t="n">
        <x:v>2</x:v>
      </x:c>
      <x:c r="J403" s="6" t="n">
        <x:v>610</x:v>
      </x:c>
      <x:c r="K403" s="6" t="n">
        <x:v>105</x:v>
      </x:c>
      <x:c r="L403" s="6" t="n">
        <x:v>125</x:v>
      </x:c>
      <x:c r="M403" s="6" t="n">
        <x:v>137</x:v>
      </x:c>
      <x:c r="N403" s="6" t="n">
        <x:v>42</x:v>
      </x:c>
      <x:c r="O403" s="6" t="n">
        <x:v>21</x:v>
      </x:c>
      <x:c r="P403" s="6" t="n">
        <x:v>1</x:v>
      </x:c>
      <x:c r="Q403" s="6" t="n">
        <x:v>9</x:v>
      </x:c>
      <x:c r="R403" s="6" t="n">
        <x:v>4</x:v>
      </x:c>
      <x:c r="S403" s="6" t="n">
        <x:v>9</x:v>
      </x:c>
      <x:c r="T403" s="6" t="n">
        <x:v>5</x:v>
      </x:c>
      <x:c r="U403" s="6" t="n">
        <x:v>0</x:v>
      </x:c>
      <x:c r="V403" s="6" t="n">
        <x:v>0</x:v>
      </x:c>
      <x:c r="W403" s="6" t="n">
        <x:v>0</x:v>
      </x:c>
      <x:c r="X403" s="6" t="n">
        <x:v>0</x:v>
      </x:c>
      <x:c r="Y403" s="6" t="n">
        <x:v>0</x:v>
      </x:c>
      <x:c r="Z403" s="6" t="n">
        <x:v>0</x:v>
      </x:c>
      <x:c r="AA403" s="6" t="n">
        <x:v>3</x:v>
      </x:c>
      <x:c r="AB403" s="6" t="n">
        <x:v>11</x:v>
      </x:c>
      <x:c r="AC403" s="6" t="n">
        <x:v>0</x:v>
      </x:c>
    </x:row>
    <x:row r="404">
      <x:c r="A404" s="6" t="n">
        <x:v>7617</x:v>
      </x:c>
      <x:c r="B404" s="6" t="n">
        <x:v>1974</x:v>
      </x:c>
      <x:c r="C404" s="6" t="str">
        <x:v>Graduation</x:v>
      </x:c>
      <x:c r="D404" s="6" t="str">
        <x:v>Single</x:v>
      </x:c>
      <x:c r="E404" s="6" t="n">
        <x:v>42373</x:v>
      </x:c>
      <x:c r="F404" s="6" t="n">
        <x:v>1</x:v>
      </x:c>
      <x:c r="G404" s="6" t="n">
        <x:v>1</x:v>
      </x:c>
      <x:c r="H404" s="9" t="str">
        <x:v>15-08-2013</x:v>
      </x:c>
      <x:c r="I404" s="6" t="n">
        <x:v>83</x:v>
      </x:c>
      <x:c r="J404" s="6" t="n">
        <x:v>67</x:v>
      </x:c>
      <x:c r="K404" s="6" t="n">
        <x:v>5</x:v>
      </x:c>
      <x:c r="L404" s="6" t="n">
        <x:v>61</x:v>
      </x:c>
      <x:c r="M404" s="6" t="n">
        <x:v>3</x:v>
      </x:c>
      <x:c r="N404" s="6" t="n">
        <x:v>8</x:v>
      </x:c>
      <x:c r="O404" s="6" t="n">
        <x:v>19</x:v>
      </x:c>
      <x:c r="P404" s="6" t="n">
        <x:v>5</x:v>
      </x:c>
      <x:c r="Q404" s="6" t="n">
        <x:v>2</x:v>
      </x:c>
      <x:c r="R404" s="6" t="n">
        <x:v>1</x:v>
      </x:c>
      <x:c r="S404" s="6" t="n">
        <x:v>5</x:v>
      </x:c>
      <x:c r="T404" s="6" t="n">
        <x:v>5</x:v>
      </x:c>
      <x:c r="U404" s="6" t="n">
        <x:v>0</x:v>
      </x:c>
      <x:c r="V404" s="6" t="n">
        <x:v>0</x:v>
      </x:c>
      <x:c r="W404" s="6" t="n">
        <x:v>0</x:v>
      </x:c>
      <x:c r="X404" s="6" t="n">
        <x:v>0</x:v>
      </x:c>
      <x:c r="Y404" s="6" t="n">
        <x:v>0</x:v>
      </x:c>
      <x:c r="Z404" s="6" t="n">
        <x:v>0</x:v>
      </x:c>
      <x:c r="AA404" s="6" t="n">
        <x:v>3</x:v>
      </x:c>
      <x:c r="AB404" s="6" t="n">
        <x:v>11</x:v>
      </x:c>
      <x:c r="AC404" s="6" t="n">
        <x:v>0</x:v>
      </x:c>
    </x:row>
    <x:row r="405">
      <x:c r="A405" s="6" t="n">
        <x:v>615</x:v>
      </x:c>
      <x:c r="B405" s="6" t="n">
        <x:v>1960</x:v>
      </x:c>
      <x:c r="C405" s="6" t="str">
        <x:v>Graduation</x:v>
      </x:c>
      <x:c r="D405" s="6" t="str">
        <x:v>Together</x:v>
      </x:c>
      <x:c r="E405" s="6" t="n">
        <x:v>30507</x:v>
      </x:c>
      <x:c r="F405" s="6" t="n">
        <x:v>0</x:v>
      </x:c>
      <x:c r="G405" s="6" t="n">
        <x:v>0</x:v>
      </x:c>
      <x:c r="H405" s="9" t="str">
        <x:v>11-03-2013</x:v>
      </x:c>
      <x:c r="I405" s="6" t="n">
        <x:v>29</x:v>
      </x:c>
      <x:c r="J405" s="6" t="n">
        <x:v>65</x:v>
      </x:c>
      <x:c r="K405" s="6" t="n">
        <x:v>36</x:v>
      </x:c>
      <x:c r="L405" s="6" t="n">
        <x:v>74</x:v>
      </x:c>
      <x:c r="M405" s="6" t="n">
        <x:v>38</x:v>
      </x:c>
      <x:c r="N405" s="6" t="n">
        <x:v>20</x:v>
      </x:c>
      <x:c r="O405" s="6" t="n">
        <x:v>110</x:v>
      </x:c>
      <x:c r="P405" s="6" t="n">
        <x:v>1</x:v>
      </x:c>
      <x:c r="Q405" s="6" t="n">
        <x:v>5</x:v>
      </x:c>
      <x:c r="R405" s="6" t="n">
        <x:v>1</x:v>
      </x:c>
      <x:c r="S405" s="6" t="n">
        <x:v>4</x:v>
      </x:c>
      <x:c r="T405" s="6" t="n">
        <x:v>7</x:v>
      </x:c>
      <x:c r="U405" s="6" t="n">
        <x:v>0</x:v>
      </x:c>
      <x:c r="V405" s="6" t="n">
        <x:v>0</x:v>
      </x:c>
      <x:c r="W405" s="6" t="n">
        <x:v>0</x:v>
      </x:c>
      <x:c r="X405" s="6" t="n">
        <x:v>0</x:v>
      </x:c>
      <x:c r="Y405" s="6" t="n">
        <x:v>0</x:v>
      </x:c>
      <x:c r="Z405" s="6" t="n">
        <x:v>0</x:v>
      </x:c>
      <x:c r="AA405" s="6" t="n">
        <x:v>3</x:v>
      </x:c>
      <x:c r="AB405" s="6" t="n">
        <x:v>11</x:v>
      </x:c>
      <x:c r="AC405" s="6" t="n">
        <x:v>0</x:v>
      </x:c>
    </x:row>
    <x:row r="406">
      <x:c r="A406" s="6" t="n">
        <x:v>2552</x:v>
      </x:c>
      <x:c r="B406" s="6" t="n">
        <x:v>1955</x:v>
      </x:c>
      <x:c r="C406" s="6" t="str">
        <x:v>PhD</x:v>
      </x:c>
      <x:c r="D406" s="6" t="str">
        <x:v>Single</x:v>
      </x:c>
      <x:c r="E406" s="6" t="n">
        <x:v>55521</x:v>
      </x:c>
      <x:c r="F406" s="6" t="n">
        <x:v>1</x:v>
      </x:c>
      <x:c r="G406" s="6" t="n">
        <x:v>2</x:v>
      </x:c>
      <x:c r="H406" s="9" t="str">
        <x:v>22-10-2013</x:v>
      </x:c>
      <x:c r="I406" s="6" t="n">
        <x:v>11</x:v>
      </x:c>
      <x:c r="J406" s="6" t="n">
        <x:v>416</x:v>
      </x:c>
      <x:c r="K406" s="6" t="n">
        <x:v>0</x:v>
      </x:c>
      <x:c r="L406" s="6" t="n">
        <x:v>26</x:v>
      </x:c>
      <x:c r="M406" s="6" t="n">
        <x:v>0</x:v>
      </x:c>
      <x:c r="N406" s="6" t="n">
        <x:v>0</x:v>
      </x:c>
      <x:c r="O406" s="6" t="n">
        <x:v>4</x:v>
      </x:c>
      <x:c r="P406" s="6" t="n">
        <x:v>9</x:v>
      </x:c>
      <x:c r="Q406" s="6" t="n">
        <x:v>6</x:v>
      </x:c>
      <x:c r="R406" s="6" t="n">
        <x:v>3</x:v>
      </x:c>
      <x:c r="S406" s="6" t="n">
        <x:v>6</x:v>
      </x:c>
      <x:c r="T406" s="6" t="n">
        <x:v>7</x:v>
      </x:c>
      <x:c r="U406" s="6" t="n">
        <x:v>0</x:v>
      </x:c>
      <x:c r="V406" s="6" t="n">
        <x:v>1</x:v>
      </x:c>
      <x:c r="W406" s="6" t="n">
        <x:v>0</x:v>
      </x:c>
      <x:c r="X406" s="6" t="n">
        <x:v>0</x:v>
      </x:c>
      <x:c r="Y406" s="6" t="n">
        <x:v>0</x:v>
      </x:c>
      <x:c r="Z406" s="6" t="n">
        <x:v>0</x:v>
      </x:c>
      <x:c r="AA406" s="6" t="n">
        <x:v>3</x:v>
      </x:c>
      <x:c r="AB406" s="6" t="n">
        <x:v>11</x:v>
      </x:c>
      <x:c r="AC406" s="6" t="n">
        <x:v>1</x:v>
      </x:c>
    </x:row>
    <x:row r="407">
      <x:c r="A407" s="6" t="n">
        <x:v>194</x:v>
      </x:c>
      <x:c r="B407" s="6" t="n">
        <x:v>1965</x:v>
      </x:c>
      <x:c r="C407" s="6" t="str">
        <x:v>Graduation</x:v>
      </x:c>
      <x:c r="D407" s="6" t="str">
        <x:v>Married</x:v>
      </x:c>
      <x:c r="E407" s="6" t="n">
        <x:v>48006</x:v>
      </x:c>
      <x:c r="F407" s="6" t="n">
        <x:v>1</x:v>
      </x:c>
      <x:c r="G407" s="6" t="n">
        <x:v>1</x:v>
      </x:c>
      <x:c r="H407" s="9" t="str">
        <x:v>09-06-2014</x:v>
      </x:c>
      <x:c r="I407" s="6" t="n">
        <x:v>55</x:v>
      </x:c>
      <x:c r="J407" s="6" t="n">
        <x:v>23</x:v>
      </x:c>
      <x:c r="K407" s="6" t="n">
        <x:v>0</x:v>
      </x:c>
      <x:c r="L407" s="6" t="n">
        <x:v>11</x:v>
      </x:c>
      <x:c r="M407" s="6" t="n">
        <x:v>3</x:v>
      </x:c>
      <x:c r="N407" s="6" t="n">
        <x:v>2</x:v>
      </x:c>
      <x:c r="O407" s="6" t="n">
        <x:v>2</x:v>
      </x:c>
      <x:c r="P407" s="6" t="n">
        <x:v>1</x:v>
      </x:c>
      <x:c r="Q407" s="6" t="n">
        <x:v>1</x:v>
      </x:c>
      <x:c r="R407" s="6" t="n">
        <x:v>0</x:v>
      </x:c>
      <x:c r="S407" s="6" t="n">
        <x:v>3</x:v>
      </x:c>
      <x:c r="T407" s="6" t="n">
        <x:v>6</x:v>
      </x:c>
      <x:c r="U407" s="6" t="n">
        <x:v>0</x:v>
      </x:c>
      <x:c r="V407" s="6" t="n">
        <x:v>0</x:v>
      </x:c>
      <x:c r="W407" s="6" t="n">
        <x:v>0</x:v>
      </x:c>
      <x:c r="X407" s="6" t="n">
        <x:v>0</x:v>
      </x:c>
      <x:c r="Y407" s="6" t="n">
        <x:v>0</x:v>
      </x:c>
      <x:c r="Z407" s="6" t="n">
        <x:v>0</x:v>
      </x:c>
      <x:c r="AA407" s="6" t="n">
        <x:v>3</x:v>
      </x:c>
      <x:c r="AB407" s="6" t="n">
        <x:v>11</x:v>
      </x:c>
      <x:c r="AC407" s="6" t="n">
        <x:v>0</x:v>
      </x:c>
    </x:row>
    <x:row r="408">
      <x:c r="A408" s="6" t="n">
        <x:v>3645</x:v>
      </x:c>
      <x:c r="B408" s="6" t="n">
        <x:v>1972</x:v>
      </x:c>
      <x:c r="C408" s="6" t="str">
        <x:v>PhD</x:v>
      </x:c>
      <x:c r="D408" s="6" t="str">
        <x:v>Single</x:v>
      </x:c>
      <x:c r="E408" s="6" t="n">
        <x:v>27213</x:v>
      </x:c>
      <x:c r="F408" s="6" t="n">
        <x:v>1</x:v>
      </x:c>
      <x:c r="G408" s="6" t="n">
        <x:v>0</x:v>
      </x:c>
      <x:c r="H408" s="9" t="str">
        <x:v>30-08-2012</x:v>
      </x:c>
      <x:c r="I408" s="6" t="n">
        <x:v>19</x:v>
      </x:c>
      <x:c r="J408" s="6" t="n">
        <x:v>19</x:v>
      </x:c>
      <x:c r="K408" s="6" t="n">
        <x:v>3</x:v>
      </x:c>
      <x:c r="L408" s="6" t="n">
        <x:v>26</x:v>
      </x:c>
      <x:c r="M408" s="6" t="n">
        <x:v>10</x:v>
      </x:c>
      <x:c r="N408" s="6" t="n">
        <x:v>9</x:v>
      </x:c>
      <x:c r="O408" s="6" t="n">
        <x:v>3</x:v>
      </x:c>
      <x:c r="P408" s="6" t="n">
        <x:v>3</x:v>
      </x:c>
      <x:c r="Q408" s="6" t="n">
        <x:v>2</x:v>
      </x:c>
      <x:c r="R408" s="6" t="n">
        <x:v>0</x:v>
      </x:c>
      <x:c r="S408" s="6" t="n">
        <x:v>4</x:v>
      </x:c>
      <x:c r="T408" s="6" t="n">
        <x:v>8</x:v>
      </x:c>
      <x:c r="U408" s="6" t="n">
        <x:v>0</x:v>
      </x:c>
      <x:c r="V408" s="6" t="n">
        <x:v>0</x:v>
      </x:c>
      <x:c r="W408" s="6" t="n">
        <x:v>0</x:v>
      </x:c>
      <x:c r="X408" s="6" t="n">
        <x:v>0</x:v>
      </x:c>
      <x:c r="Y408" s="6" t="n">
        <x:v>0</x:v>
      </x:c>
      <x:c r="Z408" s="6" t="n">
        <x:v>0</x:v>
      </x:c>
      <x:c r="AA408" s="6" t="n">
        <x:v>3</x:v>
      </x:c>
      <x:c r="AB408" s="6" t="n">
        <x:v>11</x:v>
      </x:c>
      <x:c r="AC408" s="6" t="n">
        <x:v>1</x:v>
      </x:c>
    </x:row>
    <x:row r="409">
      <x:c r="A409" s="6" t="n">
        <x:v>8890</x:v>
      </x:c>
      <x:c r="B409" s="6" t="n">
        <x:v>1971</x:v>
      </x:c>
      <x:c r="C409" s="6" t="str">
        <x:v>PhD</x:v>
      </x:c>
      <x:c r="D409" s="6" t="str">
        <x:v>Divorced</x:v>
      </x:c>
      <x:c r="E409" s="6" t="n">
        <x:v>65808</x:v>
      </x:c>
      <x:c r="F409" s="6" t="n">
        <x:v>1</x:v>
      </x:c>
      <x:c r="G409" s="6" t="n">
        <x:v>1</x:v>
      </x:c>
      <x:c r="H409" s="9" t="str">
        <x:v>30-05-2014</x:v>
      </x:c>
      <x:c r="I409" s="6" t="n">
        <x:v>1</x:v>
      </x:c>
      <x:c r="J409" s="6" t="n">
        <x:v>155</x:v>
      </x:c>
      <x:c r="K409" s="6" t="n">
        <x:v>7</x:v>
      </x:c>
      <x:c r="L409" s="6" t="n">
        <x:v>80</x:v>
      </x:c>
      <x:c r="M409" s="6" t="n">
        <x:v>13</x:v>
      </x:c>
      <x:c r="N409" s="6" t="n">
        <x:v>7</x:v>
      </x:c>
      <x:c r="O409" s="6" t="n">
        <x:v>10</x:v>
      </x:c>
      <x:c r="P409" s="6" t="n">
        <x:v>3</x:v>
      </x:c>
      <x:c r="Q409" s="6" t="n">
        <x:v>5</x:v>
      </x:c>
      <x:c r="R409" s="6" t="n">
        <x:v>1</x:v>
      </x:c>
      <x:c r="S409" s="6" t="n">
        <x:v>5</x:v>
      </x:c>
      <x:c r="T409" s="6" t="n">
        <x:v>6</x:v>
      </x:c>
      <x:c r="U409" s="6" t="n">
        <x:v>0</x:v>
      </x:c>
      <x:c r="V409" s="6" t="n">
        <x:v>0</x:v>
      </x:c>
      <x:c r="W409" s="6" t="n">
        <x:v>0</x:v>
      </x:c>
      <x:c r="X409" s="6" t="n">
        <x:v>0</x:v>
      </x:c>
      <x:c r="Y409" s="6" t="n">
        <x:v>0</x:v>
      </x:c>
      <x:c r="Z409" s="6" t="n">
        <x:v>0</x:v>
      </x:c>
      <x:c r="AA409" s="6" t="n">
        <x:v>3</x:v>
      </x:c>
      <x:c r="AB409" s="6" t="n">
        <x:v>11</x:v>
      </x:c>
      <x:c r="AC409" s="6" t="n">
        <x:v>0</x:v>
      </x:c>
    </x:row>
    <x:row r="410">
      <x:c r="A410" s="6" t="n">
        <x:v>5049</x:v>
      </x:c>
      <x:c r="B410" s="6" t="n">
        <x:v>1974</x:v>
      </x:c>
      <x:c r="C410" s="6" t="str">
        <x:v>PhD</x:v>
      </x:c>
      <x:c r="D410" s="6" t="str">
        <x:v>Together</x:v>
      </x:c>
      <x:c r="E410" s="6" t="n">
        <x:v>30351</x:v>
      </x:c>
      <x:c r="F410" s="6" t="n">
        <x:v>1</x:v>
      </x:c>
      <x:c r="G410" s="6" t="n">
        <x:v>0</x:v>
      </x:c>
      <x:c r="H410" s="9" t="str">
        <x:v>06-06-2013</x:v>
      </x:c>
      <x:c r="I410" s="6" t="n">
        <x:v>19</x:v>
      </x:c>
      <x:c r="J410" s="6" t="n">
        <x:v>14</x:v>
      </x:c>
      <x:c r="K410" s="6" t="n">
        <x:v>0</x:v>
      </x:c>
      <x:c r="L410" s="6" t="n">
        <x:v>24</x:v>
      </x:c>
      <x:c r="M410" s="6" t="n">
        <x:v>3</x:v>
      </x:c>
      <x:c r="N410" s="6" t="n">
        <x:v>3</x:v>
      </x:c>
      <x:c r="O410" s="6" t="n">
        <x:v>2</x:v>
      </x:c>
      <x:c r="P410" s="6" t="n">
        <x:v>1</x:v>
      </x:c>
      <x:c r="Q410" s="6" t="n">
        <x:v>3</x:v>
      </x:c>
      <x:c r="R410" s="6" t="n">
        <x:v>0</x:v>
      </x:c>
      <x:c r="S410" s="6" t="n">
        <x:v>2</x:v>
      </x:c>
      <x:c r="T410" s="6" t="n">
        <x:v>9</x:v>
      </x:c>
      <x:c r="U410" s="6" t="n">
        <x:v>0</x:v>
      </x:c>
      <x:c r="V410" s="6" t="n">
        <x:v>0</x:v>
      </x:c>
      <x:c r="W410" s="6" t="n">
        <x:v>0</x:v>
      </x:c>
      <x:c r="X410" s="6" t="n">
        <x:v>0</x:v>
      </x:c>
      <x:c r="Y410" s="6" t="n">
        <x:v>0</x:v>
      </x:c>
      <x:c r="Z410" s="6" t="n">
        <x:v>0</x:v>
      </x:c>
      <x:c r="AA410" s="6" t="n">
        <x:v>3</x:v>
      </x:c>
      <x:c r="AB410" s="6" t="n">
        <x:v>11</x:v>
      </x:c>
      <x:c r="AC410" s="6" t="n">
        <x:v>0</x:v>
      </x:c>
    </x:row>
    <x:row r="411">
      <x:c r="A411" s="6" t="n">
        <x:v>9973</x:v>
      </x:c>
      <x:c r="B411" s="6" t="n">
        <x:v>1963</x:v>
      </x:c>
      <x:c r="C411" s="6" t="str">
        <x:v>Graduation</x:v>
      </x:c>
      <x:c r="D411" s="6" t="str">
        <x:v>Married</x:v>
      </x:c>
      <x:c r="E411" s="6" t="n">
        <x:v>50437</x:v>
      </x:c>
      <x:c r="F411" s="6" t="n">
        <x:v>0</x:v>
      </x:c>
      <x:c r="G411" s="6" t="n">
        <x:v>2</x:v>
      </x:c>
      <x:c r="H411" s="9" t="str">
        <x:v>17-10-2012</x:v>
      </x:c>
      <x:c r="I411" s="6" t="n">
        <x:v>28</x:v>
      </x:c>
      <x:c r="J411" s="6" t="n">
        <x:v>370</x:v>
      </x:c>
      <x:c r="K411" s="6" t="n">
        <x:v>9</x:v>
      </x:c>
      <x:c r="L411" s="6" t="n">
        <x:v>92</x:v>
      </x:c>
      <x:c r="M411" s="6" t="n">
        <x:v>6</x:v>
      </x:c>
      <x:c r="N411" s="6" t="n">
        <x:v>9</x:v>
      </x:c>
      <x:c r="O411" s="6" t="n">
        <x:v>4</x:v>
      </x:c>
      <x:c r="P411" s="6" t="n">
        <x:v>3</x:v>
      </x:c>
      <x:c r="Q411" s="6" t="n">
        <x:v>7</x:v>
      </x:c>
      <x:c r="R411" s="6" t="n">
        <x:v>1</x:v>
      </x:c>
      <x:c r="S411" s="6" t="n">
        <x:v>8</x:v>
      </x:c>
      <x:c r="T411" s="6" t="n">
        <x:v>7</x:v>
      </x:c>
      <x:c r="U411" s="6" t="n">
        <x:v>0</x:v>
      </x:c>
      <x:c r="V411" s="6" t="n">
        <x:v>0</x:v>
      </x:c>
      <x:c r="W411" s="6" t="n">
        <x:v>0</x:v>
      </x:c>
      <x:c r="X411" s="6" t="n">
        <x:v>0</x:v>
      </x:c>
      <x:c r="Y411" s="6" t="n">
        <x:v>0</x:v>
      </x:c>
      <x:c r="Z411" s="6" t="n">
        <x:v>0</x:v>
      </x:c>
      <x:c r="AA411" s="6" t="n">
        <x:v>3</x:v>
      </x:c>
      <x:c r="AB411" s="6" t="n">
        <x:v>11</x:v>
      </x:c>
      <x:c r="AC411" s="6" t="n">
        <x:v>0</x:v>
      </x:c>
    </x:row>
    <x:row r="412">
      <x:c r="A412" s="6" t="n">
        <x:v>7301</x:v>
      </x:c>
      <x:c r="B412" s="6" t="n">
        <x:v>1982</x:v>
      </x:c>
      <x:c r="C412" s="6" t="str">
        <x:v>2n Cycle</x:v>
      </x:c>
      <x:c r="D412" s="6" t="str">
        <x:v>Single</x:v>
      </x:c>
      <x:c r="E412" s="6" t="n">
        <x:v>23616</x:v>
      </x:c>
      <x:c r="F412" s="6" t="n">
        <x:v>1</x:v>
      </x:c>
      <x:c r="G412" s="6" t="n">
        <x:v>0</x:v>
      </x:c>
      <x:c r="H412" s="9" t="str">
        <x:v>17-11-2012</x:v>
      </x:c>
      <x:c r="I412" s="6" t="n">
        <x:v>76</x:v>
      </x:c>
      <x:c r="J412" s="6" t="n">
        <x:v>4</x:v>
      </x:c>
      <x:c r="K412" s="6" t="n">
        <x:v>22</x:v>
      </x:c>
      <x:c r="L412" s="6" t="n">
        <x:v>11</x:v>
      </x:c>
      <x:c r="M412" s="6" t="n">
        <x:v>3</x:v>
      </x:c>
      <x:c r="N412" s="6" t="n">
        <x:v>7</x:v>
      </x:c>
      <x:c r="O412" s="6" t="n">
        <x:v>32</x:v>
      </x:c>
      <x:c r="P412" s="6" t="n">
        <x:v>2</x:v>
      </x:c>
      <x:c r="Q412" s="6" t="n">
        <x:v>3</x:v>
      </x:c>
      <x:c r="R412" s="6" t="n">
        <x:v>0</x:v>
      </x:c>
      <x:c r="S412" s="6" t="n">
        <x:v>3</x:v>
      </x:c>
      <x:c r="T412" s="6" t="n">
        <x:v>8</x:v>
      </x:c>
      <x:c r="U412" s="6" t="n">
        <x:v>0</x:v>
      </x:c>
      <x:c r="V412" s="6" t="n">
        <x:v>0</x:v>
      </x:c>
      <x:c r="W412" s="6" t="n">
        <x:v>0</x:v>
      </x:c>
      <x:c r="X412" s="6" t="n">
        <x:v>0</x:v>
      </x:c>
      <x:c r="Y412" s="6" t="n">
        <x:v>0</x:v>
      </x:c>
      <x:c r="Z412" s="6" t="n">
        <x:v>0</x:v>
      </x:c>
      <x:c r="AA412" s="6" t="n">
        <x:v>3</x:v>
      </x:c>
      <x:c r="AB412" s="6" t="n">
        <x:v>11</x:v>
      </x:c>
      <x:c r="AC412" s="6" t="n">
        <x:v>1</x:v>
      </x:c>
    </x:row>
    <x:row r="413">
      <x:c r="A413" s="6" t="n">
        <x:v>10882</x:v>
      </x:c>
      <x:c r="B413" s="6" t="n">
        <x:v>1976</x:v>
      </x:c>
      <x:c r="C413" s="6" t="str">
        <x:v>Graduation</x:v>
      </x:c>
      <x:c r="D413" s="6" t="str">
        <x:v>Married</x:v>
      </x:c>
      <x:c r="E413" s="6" t="n">
        <x:v>53858</x:v>
      </x:c>
      <x:c r="F413" s="6" t="n">
        <x:v>0</x:v>
      </x:c>
      <x:c r="G413" s="6" t="n">
        <x:v>1</x:v>
      </x:c>
      <x:c r="H413" s="9" t="str">
        <x:v>09-11-2012</x:v>
      </x:c>
      <x:c r="I413" s="6" t="n">
        <x:v>50</x:v>
      </x:c>
      <x:c r="J413" s="6" t="n">
        <x:v>407</x:v>
      </x:c>
      <x:c r="K413" s="6" t="n">
        <x:v>53</x:v>
      </x:c>
      <x:c r="L413" s="6" t="n">
        <x:v>221</x:v>
      </x:c>
      <x:c r="M413" s="6" t="n">
        <x:v>58</x:v>
      </x:c>
      <x:c r="N413" s="6" t="n">
        <x:v>150</x:v>
      </x:c>
      <x:c r="O413" s="6" t="n">
        <x:v>26</x:v>
      </x:c>
      <x:c r="P413" s="6" t="n">
        <x:v>4</x:v>
      </x:c>
      <x:c r="Q413" s="6" t="n">
        <x:v>4</x:v>
      </x:c>
      <x:c r="R413" s="6" t="n">
        <x:v>3</x:v>
      </x:c>
      <x:c r="S413" s="6" t="n">
        <x:v>6</x:v>
      </x:c>
      <x:c r="T413" s="6" t="n">
        <x:v>4</x:v>
      </x:c>
      <x:c r="U413" s="6" t="n">
        <x:v>0</x:v>
      </x:c>
      <x:c r="V413" s="6" t="n">
        <x:v>0</x:v>
      </x:c>
      <x:c r="W413" s="6" t="n">
        <x:v>0</x:v>
      </x:c>
      <x:c r="X413" s="6" t="n">
        <x:v>0</x:v>
      </x:c>
      <x:c r="Y413" s="6" t="n">
        <x:v>0</x:v>
      </x:c>
      <x:c r="Z413" s="6" t="n">
        <x:v>0</x:v>
      </x:c>
      <x:c r="AA413" s="6" t="n">
        <x:v>3</x:v>
      </x:c>
      <x:c r="AB413" s="6" t="n">
        <x:v>11</x:v>
      </x:c>
      <x:c r="AC413" s="6" t="n">
        <x:v>0</x:v>
      </x:c>
    </x:row>
    <x:row r="414">
      <x:c r="A414" s="6" t="n">
        <x:v>7030</x:v>
      </x:c>
      <x:c r="B414" s="6" t="n">
        <x:v>1955</x:v>
      </x:c>
      <x:c r="C414" s="6" t="str">
        <x:v>PhD</x:v>
      </x:c>
      <x:c r="D414" s="6" t="str">
        <x:v>Married</x:v>
      </x:c>
      <x:c r="E414" s="6" t="n">
        <x:v>66465</x:v>
      </x:c>
      <x:c r="F414" s="6" t="n">
        <x:v>0</x:v>
      </x:c>
      <x:c r="G414" s="6" t="n">
        <x:v>1</x:v>
      </x:c>
      <x:c r="H414" s="9" t="str">
        <x:v>30-03-2013</x:v>
      </x:c>
      <x:c r="I414" s="6" t="n">
        <x:v>1</x:v>
      </x:c>
      <x:c r="J414" s="6" t="n">
        <x:v>1200</x:v>
      </x:c>
      <x:c r="K414" s="6" t="n">
        <x:v>0</x:v>
      </x:c>
      <x:c r="L414" s="6" t="n">
        <x:v>204</x:v>
      </x:c>
      <x:c r="M414" s="6" t="n">
        <x:v>38</x:v>
      </x:c>
      <x:c r="N414" s="6" t="n">
        <x:v>29</x:v>
      </x:c>
      <x:c r="O414" s="6" t="n">
        <x:v>14</x:v>
      </x:c>
      <x:c r="P414" s="6" t="n">
        <x:v>3</x:v>
      </x:c>
      <x:c r="Q414" s="6" t="n">
        <x:v>11</x:v>
      </x:c>
      <x:c r="R414" s="6" t="n">
        <x:v>9</x:v>
      </x:c>
      <x:c r="S414" s="6" t="n">
        <x:v>12</x:v>
      </x:c>
      <x:c r="T414" s="6" t="n">
        <x:v>6</x:v>
      </x:c>
      <x:c r="U414" s="6" t="n">
        <x:v>0</x:v>
      </x:c>
      <x:c r="V414" s="6" t="n">
        <x:v>0</x:v>
      </x:c>
      <x:c r="W414" s="6" t="n">
        <x:v>0</x:v>
      </x:c>
      <x:c r="X414" s="6" t="n">
        <x:v>1</x:v>
      </x:c>
      <x:c r="Y414" s="6" t="n">
        <x:v>0</x:v>
      </x:c>
      <x:c r="Z414" s="6" t="n">
        <x:v>0</x:v>
      </x:c>
      <x:c r="AA414" s="6" t="n">
        <x:v>3</x:v>
      </x:c>
      <x:c r="AB414" s="6" t="n">
        <x:v>11</x:v>
      </x:c>
      <x:c r="AC414" s="6" t="n">
        <x:v>0</x:v>
      </x:c>
    </x:row>
    <x:row r="415">
      <x:c r="A415" s="6" t="n">
        <x:v>7422</x:v>
      </x:c>
      <x:c r="B415" s="6" t="n">
        <x:v>1987</x:v>
      </x:c>
      <x:c r="C415" s="6" t="str">
        <x:v>Graduation</x:v>
      </x:c>
      <x:c r="D415" s="6" t="str">
        <x:v>Single</x:v>
      </x:c>
      <x:c r="E415" s="6" t="n">
        <x:v>46923</x:v>
      </x:c>
      <x:c r="F415" s="6" t="n">
        <x:v>1</x:v>
      </x:c>
      <x:c r="G415" s="6" t="n">
        <x:v>0</x:v>
      </x:c>
      <x:c r="H415" s="9" t="str">
        <x:v>22-08-2012</x:v>
      </x:c>
      <x:c r="I415" s="6" t="n">
        <x:v>90</x:v>
      </x:c>
      <x:c r="J415" s="6" t="n">
        <x:v>85</x:v>
      </x:c>
      <x:c r="K415" s="6" t="n">
        <x:v>44</x:v>
      </x:c>
      <x:c r="L415" s="6" t="n">
        <x:v>54</x:v>
      </x:c>
      <x:c r="M415" s="6" t="n">
        <x:v>102</x:v>
      </x:c>
      <x:c r="N415" s="6" t="n">
        <x:v>78</x:v>
      </x:c>
      <x:c r="O415" s="6" t="n">
        <x:v>6</x:v>
      </x:c>
      <x:c r="P415" s="6" t="n">
        <x:v>3</x:v>
      </x:c>
      <x:c r="Q415" s="6" t="n">
        <x:v>5</x:v>
      </x:c>
      <x:c r="R415" s="6" t="n">
        <x:v>1</x:v>
      </x:c>
      <x:c r="S415" s="6" t="n">
        <x:v>7</x:v>
      </x:c>
      <x:c r="T415" s="6" t="n">
        <x:v>7</x:v>
      </x:c>
      <x:c r="U415" s="6" t="n">
        <x:v>0</x:v>
      </x:c>
      <x:c r="V415" s="6" t="n">
        <x:v>0</x:v>
      </x:c>
      <x:c r="W415" s="6" t="n">
        <x:v>0</x:v>
      </x:c>
      <x:c r="X415" s="6" t="n">
        <x:v>0</x:v>
      </x:c>
      <x:c r="Y415" s="6" t="n">
        <x:v>0</x:v>
      </x:c>
      <x:c r="Z415" s="6" t="n">
        <x:v>0</x:v>
      </x:c>
      <x:c r="AA415" s="6" t="n">
        <x:v>3</x:v>
      </x:c>
      <x:c r="AB415" s="6" t="n">
        <x:v>11</x:v>
      </x:c>
      <x:c r="AC415" s="6" t="n">
        <x:v>0</x:v>
      </x:c>
    </x:row>
    <x:row r="416">
      <x:c r="A416" s="6" t="n">
        <x:v>3523</x:v>
      </x:c>
      <x:c r="B416" s="6" t="n">
        <x:v>1962</x:v>
      </x:c>
      <x:c r="C416" s="6" t="str">
        <x:v>Graduation</x:v>
      </x:c>
      <x:c r="D416" s="6" t="str">
        <x:v>Together</x:v>
      </x:c>
      <x:c r="E416" s="6" t="n">
        <x:v>75072</x:v>
      </x:c>
      <x:c r="F416" s="6" t="n">
        <x:v>0</x:v>
      </x:c>
      <x:c r="G416" s="6" t="n">
        <x:v>1</x:v>
      </x:c>
      <x:c r="H416" s="9" t="str">
        <x:v>23-01-2013</x:v>
      </x:c>
      <x:c r="I416" s="6" t="n">
        <x:v>83</x:v>
      </x:c>
      <x:c r="J416" s="6" t="n">
        <x:v>583</x:v>
      </x:c>
      <x:c r="K416" s="6" t="n">
        <x:v>34</x:v>
      </x:c>
      <x:c r="L416" s="6" t="n">
        <x:v>309</x:v>
      </x:c>
      <x:c r="M416" s="6" t="n">
        <x:v>0</x:v>
      </x:c>
      <x:c r="N416" s="6" t="n">
        <x:v>22</x:v>
      </x:c>
      <x:c r="O416" s="6" t="n">
        <x:v>125</x:v>
      </x:c>
      <x:c r="P416" s="6" t="n">
        <x:v>2</x:v>
      </x:c>
      <x:c r="Q416" s="6" t="n">
        <x:v>5</x:v>
      </x:c>
      <x:c r="R416" s="6" t="n">
        <x:v>4</x:v>
      </x:c>
      <x:c r="S416" s="6" t="n">
        <x:v>8</x:v>
      </x:c>
      <x:c r="T416" s="6" t="n">
        <x:v>3</x:v>
      </x:c>
      <x:c r="U416" s="6" t="n">
        <x:v>0</x:v>
      </x:c>
      <x:c r="V416" s="6" t="n">
        <x:v>0</x:v>
      </x:c>
      <x:c r="W416" s="6" t="n">
        <x:v>0</x:v>
      </x:c>
      <x:c r="X416" s="6" t="n">
        <x:v>0</x:v>
      </x:c>
      <x:c r="Y416" s="6" t="n">
        <x:v>0</x:v>
      </x:c>
      <x:c r="Z416" s="6" t="n">
        <x:v>0</x:v>
      </x:c>
      <x:c r="AA416" s="6" t="n">
        <x:v>3</x:v>
      </x:c>
      <x:c r="AB416" s="6" t="n">
        <x:v>11</x:v>
      </x:c>
      <x:c r="AC416" s="6" t="n">
        <x:v>0</x:v>
      </x:c>
    </x:row>
    <x:row r="417">
      <x:c r="A417" s="6" t="n">
        <x:v>7106</x:v>
      </x:c>
      <x:c r="B417" s="6" t="n">
        <x:v>1943</x:v>
      </x:c>
      <x:c r="C417" s="6" t="str">
        <x:v>PhD</x:v>
      </x:c>
      <x:c r="D417" s="6" t="str">
        <x:v>Married</x:v>
      </x:c>
      <x:c r="E417" s="6" t="n">
        <x:v>75865</x:v>
      </x:c>
      <x:c r="F417" s="6" t="n">
        <x:v>0</x:v>
      </x:c>
      <x:c r="G417" s="6" t="n">
        <x:v>0</x:v>
      </x:c>
      <x:c r="H417" s="9" t="str">
        <x:v>31-03-2014</x:v>
      </x:c>
      <x:c r="I417" s="6" t="n">
        <x:v>73</x:v>
      </x:c>
      <x:c r="J417" s="6" t="n">
        <x:v>483</x:v>
      </x:c>
      <x:c r="K417" s="6" t="n">
        <x:v>0</x:v>
      </x:c>
      <x:c r="L417" s="6" t="n">
        <x:v>591</x:v>
      </x:c>
      <x:c r="M417" s="6" t="n">
        <x:v>156</x:v>
      </x:c>
      <x:c r="N417" s="6" t="n">
        <x:v>0</x:v>
      </x:c>
      <x:c r="O417" s="6" t="n">
        <x:v>12</x:v>
      </x:c>
      <x:c r="P417" s="6" t="n">
        <x:v>1</x:v>
      </x:c>
      <x:c r="Q417" s="6" t="n">
        <x:v>3</x:v>
      </x:c>
      <x:c r="R417" s="6" t="n">
        <x:v>5</x:v>
      </x:c>
      <x:c r="S417" s="6" t="n">
        <x:v>10</x:v>
      </x:c>
      <x:c r="T417" s="6" t="n">
        <x:v>1</x:v>
      </x:c>
      <x:c r="U417" s="6" t="n">
        <x:v>0</x:v>
      </x:c>
      <x:c r="V417" s="6" t="n">
        <x:v>0</x:v>
      </x:c>
      <x:c r="W417" s="6" t="n">
        <x:v>0</x:v>
      </x:c>
      <x:c r="X417" s="6" t="n">
        <x:v>0</x:v>
      </x:c>
      <x:c r="Y417" s="6" t="n">
        <x:v>0</x:v>
      </x:c>
      <x:c r="Z417" s="6" t="n">
        <x:v>0</x:v>
      </x:c>
      <x:c r="AA417" s="6" t="n">
        <x:v>3</x:v>
      </x:c>
      <x:c r="AB417" s="6" t="n">
        <x:v>11</x:v>
      </x:c>
      <x:c r="AC417" s="6" t="n">
        <x:v>0</x:v>
      </x:c>
    </x:row>
    <x:row r="418">
      <x:c r="A418" s="6" t="n">
        <x:v>6504</x:v>
      </x:c>
      <x:c r="B418" s="6" t="n">
        <x:v>1975</x:v>
      </x:c>
      <x:c r="C418" s="6" t="str">
        <x:v>2n Cycle</x:v>
      </x:c>
      <x:c r="D418" s="6" t="str">
        <x:v>Together</x:v>
      </x:c>
      <x:c r="E418" s="6" t="n">
        <x:v>19789</x:v>
      </x:c>
      <x:c r="F418" s="6" t="n">
        <x:v>1</x:v>
      </x:c>
      <x:c r="G418" s="6" t="n">
        <x:v>0</x:v>
      </x:c>
      <x:c r="H418" s="9" t="str">
        <x:v>20-11-2013</x:v>
      </x:c>
      <x:c r="I418" s="6" t="n">
        <x:v>24</x:v>
      </x:c>
      <x:c r="J418" s="6" t="n">
        <x:v>2</x:v>
      </x:c>
      <x:c r="K418" s="6" t="n">
        <x:v>5</x:v>
      </x:c>
      <x:c r="L418" s="6" t="n">
        <x:v>9</x:v>
      </x:c>
      <x:c r="M418" s="6" t="n">
        <x:v>28</x:v>
      </x:c>
      <x:c r="N418" s="6" t="n">
        <x:v>6</x:v>
      </x:c>
      <x:c r="O418" s="6" t="n">
        <x:v>28</x:v>
      </x:c>
      <x:c r="P418" s="6" t="n">
        <x:v>3</x:v>
      </x:c>
      <x:c r="Q418" s="6" t="n">
        <x:v>2</x:v>
      </x:c>
      <x:c r="R418" s="6" t="n">
        <x:v>1</x:v>
      </x:c>
      <x:c r="S418" s="6" t="n">
        <x:v>3</x:v>
      </x:c>
      <x:c r="T418" s="6" t="n">
        <x:v>5</x:v>
      </x:c>
      <x:c r="U418" s="6" t="n">
        <x:v>1</x:v>
      </x:c>
      <x:c r="V418" s="6" t="n">
        <x:v>0</x:v>
      </x:c>
      <x:c r="W418" s="6" t="n">
        <x:v>0</x:v>
      </x:c>
      <x:c r="X418" s="6" t="n">
        <x:v>0</x:v>
      </x:c>
      <x:c r="Y418" s="6" t="n">
        <x:v>0</x:v>
      </x:c>
      <x:c r="Z418" s="6" t="n">
        <x:v>0</x:v>
      </x:c>
      <x:c r="AA418" s="6" t="n">
        <x:v>3</x:v>
      </x:c>
      <x:c r="AB418" s="6" t="n">
        <x:v>11</x:v>
      </x:c>
      <x:c r="AC418" s="6" t="n">
        <x:v>0</x:v>
      </x:c>
    </x:row>
    <x:row r="419">
      <x:c r="A419" s="6" t="n">
        <x:v>5067</x:v>
      </x:c>
      <x:c r="B419" s="6" t="n">
        <x:v>1994</x:v>
      </x:c>
      <x:c r="C419" s="6" t="str">
        <x:v>Graduation</x:v>
      </x:c>
      <x:c r="D419" s="6" t="str">
        <x:v>Together</x:v>
      </x:c>
      <x:c r="E419" s="6" t="n">
        <x:v>80134</x:v>
      </x:c>
      <x:c r="F419" s="6" t="n">
        <x:v>0</x:v>
      </x:c>
      <x:c r="G419" s="6" t="n">
        <x:v>0</x:v>
      </x:c>
      <x:c r="H419" s="9" t="str">
        <x:v>14-02-2014</x:v>
      </x:c>
      <x:c r="I419" s="6" t="n">
        <x:v>11</x:v>
      </x:c>
      <x:c r="J419" s="6" t="n">
        <x:v>966</x:v>
      </x:c>
      <x:c r="K419" s="6" t="n">
        <x:v>26</x:v>
      </x:c>
      <x:c r="L419" s="6" t="n">
        <x:v>282</x:v>
      </x:c>
      <x:c r="M419" s="6" t="n">
        <x:v>52</x:v>
      </x:c>
      <x:c r="N419" s="6" t="n">
        <x:v>26</x:v>
      </x:c>
      <x:c r="O419" s="6" t="n">
        <x:v>26</x:v>
      </x:c>
      <x:c r="P419" s="6" t="n">
        <x:v>1</x:v>
      </x:c>
      <x:c r="Q419" s="6" t="n">
        <x:v>2</x:v>
      </x:c>
      <x:c r="R419" s="6" t="n">
        <x:v>7</x:v>
      </x:c>
      <x:c r="S419" s="6" t="n">
        <x:v>11</x:v>
      </x:c>
      <x:c r="T419" s="6" t="n">
        <x:v>5</x:v>
      </x:c>
      <x:c r="U419" s="6" t="n">
        <x:v>0</x:v>
      </x:c>
      <x:c r="V419" s="6" t="n">
        <x:v>1</x:v>
      </x:c>
      <x:c r="W419" s="6" t="n">
        <x:v>1</x:v>
      </x:c>
      <x:c r="X419" s="6" t="n">
        <x:v>1</x:v>
      </x:c>
      <x:c r="Y419" s="6" t="n">
        <x:v>1</x:v>
      </x:c>
      <x:c r="Z419" s="6" t="n">
        <x:v>0</x:v>
      </x:c>
      <x:c r="AA419" s="6" t="n">
        <x:v>3</x:v>
      </x:c>
      <x:c r="AB419" s="6" t="n">
        <x:v>11</x:v>
      </x:c>
      <x:c r="AC419" s="6" t="n">
        <x:v>0</x:v>
      </x:c>
    </x:row>
    <x:row r="420">
      <x:c r="A420" s="6" t="n">
        <x:v>4216</x:v>
      </x:c>
      <x:c r="B420" s="6" t="n">
        <x:v>1981</x:v>
      </x:c>
      <x:c r="C420" s="6" t="str">
        <x:v>Graduation</x:v>
      </x:c>
      <x:c r="D420" s="6" t="str">
        <x:v>Single</x:v>
      </x:c>
      <x:c r="E420" s="6" t="n">
        <x:v>91065</x:v>
      </x:c>
      <x:c r="F420" s="6" t="n">
        <x:v>0</x:v>
      </x:c>
      <x:c r="G420" s="6" t="n">
        <x:v>0</x:v>
      </x:c>
      <x:c r="H420" s="9" t="str">
        <x:v>22-02-2013</x:v>
      </x:c>
      <x:c r="I420" s="6" t="n">
        <x:v>33</x:v>
      </x:c>
      <x:c r="J420" s="6" t="n">
        <x:v>822</x:v>
      </x:c>
      <x:c r="K420" s="6" t="n">
        <x:v>114</x:v>
      </x:c>
      <x:c r="L420" s="6" t="n">
        <x:v>108</x:v>
      </x:c>
      <x:c r="M420" s="6" t="n">
        <x:v>179</x:v>
      </x:c>
      <x:c r="N420" s="6" t="n">
        <x:v>137</x:v>
      </x:c>
      <x:c r="O420" s="6" t="n">
        <x:v>114</x:v>
      </x:c>
      <x:c r="P420" s="6" t="n">
        <x:v>1</x:v>
      </x:c>
      <x:c r="Q420" s="6" t="n">
        <x:v>7</x:v>
      </x:c>
      <x:c r="R420" s="6" t="n">
        <x:v>9</x:v>
      </x:c>
      <x:c r="S420" s="6" t="n">
        <x:v>9</x:v>
      </x:c>
      <x:c r="T420" s="6" t="n">
        <x:v>3</x:v>
      </x:c>
      <x:c r="U420" s="6" t="n">
        <x:v>0</x:v>
      </x:c>
      <x:c r="V420" s="6" t="n">
        <x:v>0</x:v>
      </x:c>
      <x:c r="W420" s="6" t="n">
        <x:v>1</x:v>
      </x:c>
      <x:c r="X420" s="6" t="n">
        <x:v>1</x:v>
      </x:c>
      <x:c r="Y420" s="6" t="n">
        <x:v>0</x:v>
      </x:c>
      <x:c r="Z420" s="6" t="n">
        <x:v>0</x:v>
      </x:c>
      <x:c r="AA420" s="6" t="n">
        <x:v>3</x:v>
      </x:c>
      <x:c r="AB420" s="6" t="n">
        <x:v>11</x:v>
      </x:c>
      <x:c r="AC420" s="6" t="n">
        <x:v>1</x:v>
      </x:c>
    </x:row>
    <x:row r="421">
      <x:c r="A421" s="6" t="n">
        <x:v>8581</x:v>
      </x:c>
      <x:c r="B421" s="6" t="n">
        <x:v>1971</x:v>
      </x:c>
      <x:c r="C421" s="6" t="str">
        <x:v>Master</x:v>
      </x:c>
      <x:c r="D421" s="6" t="str">
        <x:v>Married</x:v>
      </x:c>
      <x:c r="E421" s="6" t="n">
        <x:v>49505</x:v>
      </x:c>
      <x:c r="F421" s="6" t="n">
        <x:v>1</x:v>
      </x:c>
      <x:c r="G421" s="6" t="n">
        <x:v>1</x:v>
      </x:c>
      <x:c r="H421" s="9" t="str">
        <x:v>05-03-2013</x:v>
      </x:c>
      <x:c r="I421" s="6" t="n">
        <x:v>4</x:v>
      </x:c>
      <x:c r="J421" s="6" t="n">
        <x:v>604</x:v>
      </x:c>
      <x:c r="K421" s="6" t="n">
        <x:v>0</x:v>
      </x:c>
      <x:c r="L421" s="6" t="n">
        <x:v>100</x:v>
      </x:c>
      <x:c r="M421" s="6" t="n">
        <x:v>19</x:v>
      </x:c>
      <x:c r="N421" s="6" t="n">
        <x:v>0</x:v>
      </x:c>
      <x:c r="O421" s="6" t="n">
        <x:v>28</x:v>
      </x:c>
      <x:c r="P421" s="6" t="n">
        <x:v>9</x:v>
      </x:c>
      <x:c r="Q421" s="6" t="n">
        <x:v>10</x:v>
      </x:c>
      <x:c r="R421" s="6" t="n">
        <x:v>2</x:v>
      </x:c>
      <x:c r="S421" s="6" t="n">
        <x:v>8</x:v>
      </x:c>
      <x:c r="T421" s="6" t="n">
        <x:v>8</x:v>
      </x:c>
      <x:c r="U421" s="6" t="n">
        <x:v>0</x:v>
      </x:c>
      <x:c r="V421" s="6" t="n">
        <x:v>0</x:v>
      </x:c>
      <x:c r="W421" s="6" t="n">
        <x:v>0</x:v>
      </x:c>
      <x:c r="X421" s="6" t="n">
        <x:v>0</x:v>
      </x:c>
      <x:c r="Y421" s="6" t="n">
        <x:v>0</x:v>
      </x:c>
      <x:c r="Z421" s="6" t="n">
        <x:v>0</x:v>
      </x:c>
      <x:c r="AA421" s="6" t="n">
        <x:v>3</x:v>
      </x:c>
      <x:c r="AB421" s="6" t="n">
        <x:v>11</x:v>
      </x:c>
      <x:c r="AC421" s="6" t="n">
        <x:v>0</x:v>
      </x:c>
    </x:row>
    <x:row r="422">
      <x:c r="A422" s="6" t="n">
        <x:v>5929</x:v>
      </x:c>
      <x:c r="B422" s="6" t="n">
        <x:v>1973</x:v>
      </x:c>
      <x:c r="C422" s="6" t="str">
        <x:v>PhD</x:v>
      </x:c>
      <x:c r="D422" s="6" t="str">
        <x:v>Married</x:v>
      </x:c>
      <x:c r="E422" s="6" t="n">
        <x:v>37401</x:v>
      </x:c>
      <x:c r="F422" s="6" t="n">
        <x:v>1</x:v>
      </x:c>
      <x:c r="G422" s="6" t="n">
        <x:v>0</x:v>
      </x:c>
      <x:c r="H422" s="9" t="str">
        <x:v>06-05-2014</x:v>
      </x:c>
      <x:c r="I422" s="6" t="n">
        <x:v>14</x:v>
      </x:c>
      <x:c r="J422" s="6" t="n">
        <x:v>19</x:v>
      </x:c>
      <x:c r="K422" s="6" t="n">
        <x:v>3</x:v>
      </x:c>
      <x:c r="L422" s="6" t="n">
        <x:v>19</x:v>
      </x:c>
      <x:c r="M422" s="6" t="n">
        <x:v>3</x:v>
      </x:c>
      <x:c r="N422" s="6" t="n">
        <x:v>1</x:v>
      </x:c>
      <x:c r="O422" s="6" t="n">
        <x:v>3</x:v>
      </x:c>
      <x:c r="P422" s="6" t="n">
        <x:v>2</x:v>
      </x:c>
      <x:c r="Q422" s="6" t="n">
        <x:v>2</x:v>
      </x:c>
      <x:c r="R422" s="6" t="n">
        <x:v>0</x:v>
      </x:c>
      <x:c r="S422" s="6" t="n">
        <x:v>3</x:v>
      </x:c>
      <x:c r="T422" s="6" t="n">
        <x:v>7</x:v>
      </x:c>
      <x:c r="U422" s="6" t="n">
        <x:v>0</x:v>
      </x:c>
      <x:c r="V422" s="6" t="n">
        <x:v>0</x:v>
      </x:c>
      <x:c r="W422" s="6" t="n">
        <x:v>0</x:v>
      </x:c>
      <x:c r="X422" s="6" t="n">
        <x:v>0</x:v>
      </x:c>
      <x:c r="Y422" s="6" t="n">
        <x:v>0</x:v>
      </x:c>
      <x:c r="Z422" s="6" t="n">
        <x:v>0</x:v>
      </x:c>
      <x:c r="AA422" s="6" t="n">
        <x:v>3</x:v>
      </x:c>
      <x:c r="AB422" s="6" t="n">
        <x:v>11</x:v>
      </x:c>
      <x:c r="AC422" s="6" t="n">
        <x:v>0</x:v>
      </x:c>
    </x:row>
    <x:row r="423">
      <x:c r="A423" s="6" t="n">
        <x:v>3129</x:v>
      </x:c>
      <x:c r="B423" s="6" t="n">
        <x:v>1983</x:v>
      </x:c>
      <x:c r="C423" s="6" t="str">
        <x:v>Graduation</x:v>
      </x:c>
      <x:c r="D423" s="6" t="str">
        <x:v>Married</x:v>
      </x:c>
      <x:c r="E423" s="6" t="n">
        <x:v>30096</x:v>
      </x:c>
      <x:c r="F423" s="6" t="n">
        <x:v>1</x:v>
      </x:c>
      <x:c r="G423" s="6" t="n">
        <x:v>0</x:v>
      </x:c>
      <x:c r="H423" s="9" t="str">
        <x:v>22-05-2014</x:v>
      </x:c>
      <x:c r="I423" s="6" t="n">
        <x:v>30</x:v>
      </x:c>
      <x:c r="J423" s="6" t="n">
        <x:v>5</x:v>
      </x:c>
      <x:c r="K423" s="6" t="n">
        <x:v>3</x:v>
      </x:c>
      <x:c r="L423" s="6" t="n">
        <x:v>11</x:v>
      </x:c>
      <x:c r="M423" s="6" t="n">
        <x:v>12</x:v>
      </x:c>
      <x:c r="N423" s="6" t="n">
        <x:v>5</x:v>
      </x:c>
      <x:c r="O423" s="6" t="n">
        <x:v>9</x:v>
      </x:c>
      <x:c r="P423" s="6" t="n">
        <x:v>1</x:v>
      </x:c>
      <x:c r="Q423" s="6" t="n">
        <x:v>2</x:v>
      </x:c>
      <x:c r="R423" s="6" t="n">
        <x:v>0</x:v>
      </x:c>
      <x:c r="S423" s="6" t="n">
        <x:v>3</x:v>
      </x:c>
      <x:c r="T423" s="6" t="n">
        <x:v>6</x:v>
      </x:c>
      <x:c r="U423" s="6" t="n">
        <x:v>0</x:v>
      </x:c>
      <x:c r="V423" s="6" t="n">
        <x:v>0</x:v>
      </x:c>
      <x:c r="W423" s="6" t="n">
        <x:v>0</x:v>
      </x:c>
      <x:c r="X423" s="6" t="n">
        <x:v>0</x:v>
      </x:c>
      <x:c r="Y423" s="6" t="n">
        <x:v>0</x:v>
      </x:c>
      <x:c r="Z423" s="6" t="n">
        <x:v>0</x:v>
      </x:c>
      <x:c r="AA423" s="6" t="n">
        <x:v>3</x:v>
      </x:c>
      <x:c r="AB423" s="6" t="n">
        <x:v>11</x:v>
      </x:c>
      <x:c r="AC423" s="6" t="n">
        <x:v>0</x:v>
      </x:c>
    </x:row>
    <x:row r="424">
      <x:c r="A424" s="6" t="n">
        <x:v>6528</x:v>
      </x:c>
      <x:c r="B424" s="6" t="n">
        <x:v>1982</x:v>
      </x:c>
      <x:c r="C424" s="6" t="str">
        <x:v>Master</x:v>
      </x:c>
      <x:c r="D424" s="6" t="str">
        <x:v>Together</x:v>
      </x:c>
      <x:c r="E424" s="6" t="n">
        <x:v>18492</x:v>
      </x:c>
      <x:c r="F424" s="6" t="n">
        <x:v>1</x:v>
      </x:c>
      <x:c r="G424" s="6" t="n">
        <x:v>0</x:v>
      </x:c>
      <x:c r="H424" s="9" t="str">
        <x:v>05-06-2014</x:v>
      </x:c>
      <x:c r="I424" s="6" t="n">
        <x:v>75</x:v>
      </x:c>
      <x:c r="J424" s="6" t="n">
        <x:v>2</x:v>
      </x:c>
      <x:c r="K424" s="6" t="n">
        <x:v>2</x:v>
      </x:c>
      <x:c r="L424" s="6" t="n">
        <x:v>2</x:v>
      </x:c>
      <x:c r="M424" s="6" t="n">
        <x:v>2</x:v>
      </x:c>
      <x:c r="N424" s="6" t="n">
        <x:v>1</x:v>
      </x:c>
      <x:c r="O424" s="6" t="n">
        <x:v>1</x:v>
      </x:c>
      <x:c r="P424" s="6" t="n">
        <x:v>1</x:v>
      </x:c>
      <x:c r="Q424" s="6" t="n">
        <x:v>1</x:v>
      </x:c>
      <x:c r="R424" s="6" t="n">
        <x:v>0</x:v>
      </x:c>
      <x:c r="S424" s="6" t="n">
        <x:v>2</x:v>
      </x:c>
      <x:c r="T424" s="6" t="n">
        <x:v>8</x:v>
      </x:c>
      <x:c r="U424" s="6" t="n">
        <x:v>0</x:v>
      </x:c>
      <x:c r="V424" s="6" t="n">
        <x:v>0</x:v>
      </x:c>
      <x:c r="W424" s="6" t="n">
        <x:v>0</x:v>
      </x:c>
      <x:c r="X424" s="6" t="n">
        <x:v>0</x:v>
      </x:c>
      <x:c r="Y424" s="6" t="n">
        <x:v>0</x:v>
      </x:c>
      <x:c r="Z424" s="6" t="n">
        <x:v>0</x:v>
      </x:c>
      <x:c r="AA424" s="6" t="n">
        <x:v>3</x:v>
      </x:c>
      <x:c r="AB424" s="6" t="n">
        <x:v>11</x:v>
      </x:c>
      <x:c r="AC424" s="6" t="n">
        <x:v>0</x:v>
      </x:c>
    </x:row>
    <x:row r="425">
      <x:c r="A425" s="6" t="n">
        <x:v>1361</x:v>
      </x:c>
      <x:c r="B425" s="6" t="n">
        <x:v>1974</x:v>
      </x:c>
      <x:c r="C425" s="6" t="str">
        <x:v>Master</x:v>
      </x:c>
      <x:c r="D425" s="6" t="str">
        <x:v>Married</x:v>
      </x:c>
      <x:c r="E425" s="6" t="n">
        <x:v>82584</x:v>
      </x:c>
      <x:c r="F425" s="6" t="n">
        <x:v>0</x:v>
      </x:c>
      <x:c r="G425" s="6" t="n">
        <x:v>0</x:v>
      </x:c>
      <x:c r="H425" s="9" t="str">
        <x:v>04-06-2013</x:v>
      </x:c>
      <x:c r="I425" s="6" t="n">
        <x:v>26</x:v>
      </x:c>
      <x:c r="J425" s="6" t="n">
        <x:v>1076</x:v>
      </x:c>
      <x:c r="K425" s="6" t="n">
        <x:v>68</x:v>
      </x:c>
      <x:c r="L425" s="6" t="n">
        <x:v>103</x:v>
      </x:c>
      <x:c r="M425" s="6" t="n">
        <x:v>29</x:v>
      </x:c>
      <x:c r="N425" s="6" t="n">
        <x:v>91</x:v>
      </x:c>
      <x:c r="O425" s="6" t="n">
        <x:v>68</x:v>
      </x:c>
      <x:c r="P425" s="6" t="n">
        <x:v>1</x:v>
      </x:c>
      <x:c r="Q425" s="6" t="n">
        <x:v>3</x:v>
      </x:c>
      <x:c r="R425" s="6" t="n">
        <x:v>4</x:v>
      </x:c>
      <x:c r="S425" s="6" t="n">
        <x:v>8</x:v>
      </x:c>
      <x:c r="T425" s="6" t="n">
        <x:v>1</x:v>
      </x:c>
      <x:c r="U425" s="6" t="n">
        <x:v>0</x:v>
      </x:c>
      <x:c r="V425" s="6" t="n">
        <x:v>1</x:v>
      </x:c>
      <x:c r="W425" s="6" t="n">
        <x:v>1</x:v>
      </x:c>
      <x:c r="X425" s="6" t="n">
        <x:v>0</x:v>
      </x:c>
      <x:c r="Y425" s="6" t="n">
        <x:v>0</x:v>
      </x:c>
      <x:c r="Z425" s="6" t="n">
        <x:v>0</x:v>
      </x:c>
      <x:c r="AA425" s="6" t="n">
        <x:v>3</x:v>
      </x:c>
      <x:c r="AB425" s="6" t="n">
        <x:v>11</x:v>
      </x:c>
      <x:c r="AC425" s="6" t="n">
        <x:v>1</x:v>
      </x:c>
    </x:row>
    <x:row r="426">
      <x:c r="A426" s="6" t="n">
        <x:v>6932</x:v>
      </x:c>
      <x:c r="B426" s="6" t="n">
        <x:v>1941</x:v>
      </x:c>
      <x:c r="C426" s="6" t="str">
        <x:v>PhD</x:v>
      </x:c>
      <x:c r="D426" s="6" t="str">
        <x:v>Married</x:v>
      </x:c>
      <x:c r="E426" s="6" t="n">
        <x:v>93027</x:v>
      </x:c>
      <x:c r="F426" s="6" t="n">
        <x:v>0</x:v>
      </x:c>
      <x:c r="G426" s="6" t="n">
        <x:v>0</x:v>
      </x:c>
      <x:c r="H426" s="9" t="str">
        <x:v>13-04-2013</x:v>
      </x:c>
      <x:c r="I426" s="6" t="n">
        <x:v>77</x:v>
      </x:c>
      <x:c r="J426" s="6" t="n">
        <x:v>1285</x:v>
      </x:c>
      <x:c r="K426" s="6" t="n">
        <x:v>42</x:v>
      </x:c>
      <x:c r="L426" s="6" t="n">
        <x:v>716</x:v>
      </x:c>
      <x:c r="M426" s="6" t="n">
        <x:v>55</x:v>
      </x:c>
      <x:c r="N426" s="6" t="n">
        <x:v>0</x:v>
      </x:c>
      <x:c r="O426" s="6" t="n">
        <x:v>21</x:v>
      </x:c>
      <x:c r="P426" s="6" t="n">
        <x:v>0</x:v>
      </x:c>
      <x:c r="Q426" s="6" t="n">
        <x:v>7</x:v>
      </x:c>
      <x:c r="R426" s="6" t="n">
        <x:v>10</x:v>
      </x:c>
      <x:c r="S426" s="6" t="n">
        <x:v>5</x:v>
      </x:c>
      <x:c r="T426" s="6" t="n">
        <x:v>2</x:v>
      </x:c>
      <x:c r="U426" s="6" t="n">
        <x:v>0</x:v>
      </x:c>
      <x:c r="V426" s="6" t="n">
        <x:v>0</x:v>
      </x:c>
      <x:c r="W426" s="6" t="n">
        <x:v>1</x:v>
      </x:c>
      <x:c r="X426" s="6" t="n">
        <x:v>0</x:v>
      </x:c>
      <x:c r="Y426" s="6" t="n">
        <x:v>0</x:v>
      </x:c>
      <x:c r="Z426" s="6" t="n">
        <x:v>0</x:v>
      </x:c>
      <x:c r="AA426" s="6" t="n">
        <x:v>3</x:v>
      </x:c>
      <x:c r="AB426" s="6" t="n">
        <x:v>11</x:v>
      </x:c>
      <x:c r="AC426" s="6" t="n">
        <x:v>0</x:v>
      </x:c>
    </x:row>
    <x:row r="427">
      <x:c r="A427" s="6" t="n">
        <x:v>7284</x:v>
      </x:c>
      <x:c r="B427" s="6" t="n">
        <x:v>1953</x:v>
      </x:c>
      <x:c r="C427" s="6" t="str">
        <x:v>Graduation</x:v>
      </x:c>
      <x:c r="D427" s="6" t="str">
        <x:v>Married</x:v>
      </x:c>
      <x:c r="E427" s="6" t="n">
        <x:v>48686</x:v>
      </x:c>
      <x:c r="F427" s="6" t="n">
        <x:v>1</x:v>
      </x:c>
      <x:c r="G427" s="6" t="n">
        <x:v>2</x:v>
      </x:c>
      <x:c r="H427" s="9" t="str">
        <x:v>04-12-2013</x:v>
      </x:c>
      <x:c r="I427" s="6" t="n">
        <x:v>8</x:v>
      </x:c>
      <x:c r="J427" s="6" t="n">
        <x:v>10</x:v>
      </x:c>
      <x:c r="K427" s="6" t="n">
        <x:v>0</x:v>
      </x:c>
      <x:c r="L427" s="6" t="n">
        <x:v>7</x:v>
      </x:c>
      <x:c r="M427" s="6" t="n">
        <x:v>2</x:v>
      </x:c>
      <x:c r="N427" s="6" t="n">
        <x:v>0</x:v>
      </x:c>
      <x:c r="O427" s="6" t="n">
        <x:v>1</x:v>
      </x:c>
      <x:c r="P427" s="6" t="n">
        <x:v>1</x:v>
      </x:c>
      <x:c r="Q427" s="6" t="n">
        <x:v>1</x:v>
      </x:c>
      <x:c r="R427" s="6" t="n">
        <x:v>0</x:v>
      </x:c>
      <x:c r="S427" s="6" t="n">
        <x:v>2</x:v>
      </x:c>
      <x:c r="T427" s="6" t="n">
        <x:v>8</x:v>
      </x:c>
      <x:c r="U427" s="6" t="n">
        <x:v>0</x:v>
      </x:c>
      <x:c r="V427" s="6" t="n">
        <x:v>0</x:v>
      </x:c>
      <x:c r="W427" s="6" t="n">
        <x:v>0</x:v>
      </x:c>
      <x:c r="X427" s="6" t="n">
        <x:v>0</x:v>
      </x:c>
      <x:c r="Y427" s="6" t="n">
        <x:v>0</x:v>
      </x:c>
      <x:c r="Z427" s="6" t="n">
        <x:v>0</x:v>
      </x:c>
      <x:c r="AA427" s="6" t="n">
        <x:v>3</x:v>
      </x:c>
      <x:c r="AB427" s="6" t="n">
        <x:v>11</x:v>
      </x:c>
      <x:c r="AC427" s="6" t="n">
        <x:v>0</x:v>
      </x:c>
    </x:row>
    <x:row r="428">
      <x:c r="A428" s="6" t="n">
        <x:v>1340</x:v>
      </x:c>
      <x:c r="B428" s="6" t="n">
        <x:v>1986</x:v>
      </x:c>
      <x:c r="C428" s="6" t="str">
        <x:v>Graduation</x:v>
      </x:c>
      <x:c r="D428" s="6" t="str">
        <x:v>Married</x:v>
      </x:c>
      <x:c r="E428" s="6" t="n">
        <x:v>92910</x:v>
      </x:c>
      <x:c r="F428" s="6" t="n">
        <x:v>0</x:v>
      </x:c>
      <x:c r="G428" s="6" t="n">
        <x:v>0</x:v>
      </x:c>
      <x:c r="H428" s="9" t="str">
        <x:v>24-04-2014</x:v>
      </x:c>
      <x:c r="I428" s="6" t="n">
        <x:v>42</x:v>
      </x:c>
      <x:c r="J428" s="6" t="n">
        <x:v>551</x:v>
      </x:c>
      <x:c r="K428" s="6" t="n">
        <x:v>137</x:v>
      </x:c>
      <x:c r="L428" s="6" t="n">
        <x:v>792</x:v>
      </x:c>
      <x:c r="M428" s="6" t="n">
        <x:v>179</x:v>
      </x:c>
      <x:c r="N428" s="6" t="n">
        <x:v>103</x:v>
      </x:c>
      <x:c r="O428" s="6" t="n">
        <x:v>33</x:v>
      </x:c>
      <x:c r="P428" s="6" t="n">
        <x:v>1</x:v>
      </x:c>
      <x:c r="Q428" s="6" t="n">
        <x:v>6</x:v>
      </x:c>
      <x:c r="R428" s="6" t="n">
        <x:v>7</x:v>
      </x:c>
      <x:c r="S428" s="6" t="n">
        <x:v>13</x:v>
      </x:c>
      <x:c r="T428" s="6" t="n">
        <x:v>1</x:v>
      </x:c>
      <x:c r="U428" s="6" t="n">
        <x:v>0</x:v>
      </x:c>
      <x:c r="V428" s="6" t="n">
        <x:v>1</x:v>
      </x:c>
      <x:c r="W428" s="6" t="n">
        <x:v>1</x:v>
      </x:c>
      <x:c r="X428" s="6" t="n">
        <x:v>1</x:v>
      </x:c>
      <x:c r="Y428" s="6" t="n">
        <x:v>0</x:v>
      </x:c>
      <x:c r="Z428" s="6" t="n">
        <x:v>0</x:v>
      </x:c>
      <x:c r="AA428" s="6" t="n">
        <x:v>3</x:v>
      </x:c>
      <x:c r="AB428" s="6" t="n">
        <x:v>11</x:v>
      </x:c>
      <x:c r="AC428" s="6" t="n">
        <x:v>0</x:v>
      </x:c>
    </x:row>
    <x:row r="429">
      <x:c r="A429" s="6" t="n">
        <x:v>8746</x:v>
      </x:c>
      <x:c r="B429" s="6" t="n">
        <x:v>1989</x:v>
      </x:c>
      <x:c r="C429" s="6" t="str">
        <x:v>Graduation</x:v>
      </x:c>
      <x:c r="D429" s="6" t="str">
        <x:v>Married</x:v>
      </x:c>
      <x:c r="E429" s="6" t="n">
        <x:v>75433</x:v>
      </x:c>
      <x:c r="F429" s="6" t="n">
        <x:v>1</x:v>
      </x:c>
      <x:c r="G429" s="6" t="n">
        <x:v>0</x:v>
      </x:c>
      <x:c r="H429" s="9" t="str">
        <x:v>05-04-2014</x:v>
      </x:c>
      <x:c r="I429" s="6" t="n">
        <x:v>28</x:v>
      </x:c>
      <x:c r="J429" s="6" t="n">
        <x:v>800</x:v>
      </x:c>
      <x:c r="K429" s="6" t="n">
        <x:v>0</x:v>
      </x:c>
      <x:c r="L429" s="6" t="n">
        <x:v>297</x:v>
      </x:c>
      <x:c r="M429" s="6" t="n">
        <x:v>0</x:v>
      </x:c>
      <x:c r="N429" s="6" t="n">
        <x:v>34</x:v>
      </x:c>
      <x:c r="O429" s="6" t="n">
        <x:v>57</x:v>
      </x:c>
      <x:c r="P429" s="6" t="n">
        <x:v>2</x:v>
      </x:c>
      <x:c r="Q429" s="6" t="n">
        <x:v>2</x:v>
      </x:c>
      <x:c r="R429" s="6" t="n">
        <x:v>5</x:v>
      </x:c>
      <x:c r="S429" s="6" t="n">
        <x:v>10</x:v>
      </x:c>
      <x:c r="T429" s="6" t="n">
        <x:v>6</x:v>
      </x:c>
      <x:c r="U429" s="6" t="n">
        <x:v>0</x:v>
      </x:c>
      <x:c r="V429" s="6" t="n">
        <x:v>1</x:v>
      </x:c>
      <x:c r="W429" s="6" t="n">
        <x:v>0</x:v>
      </x:c>
      <x:c r="X429" s="6" t="n">
        <x:v>1</x:v>
      </x:c>
      <x:c r="Y429" s="6" t="n">
        <x:v>0</x:v>
      </x:c>
      <x:c r="Z429" s="6" t="n">
        <x:v>0</x:v>
      </x:c>
      <x:c r="AA429" s="6" t="n">
        <x:v>3</x:v>
      </x:c>
      <x:c r="AB429" s="6" t="n">
        <x:v>11</x:v>
      </x:c>
      <x:c r="AC429" s="6" t="n">
        <x:v>0</x:v>
      </x:c>
    </x:row>
    <x:row r="430">
      <x:c r="A430" s="6" t="n">
        <x:v>5987</x:v>
      </x:c>
      <x:c r="B430" s="6" t="n">
        <x:v>1989</x:v>
      </x:c>
      <x:c r="C430" s="6" t="str">
        <x:v>2n Cycle</x:v>
      </x:c>
      <x:c r="D430" s="6" t="str">
        <x:v>Together</x:v>
      </x:c>
      <x:c r="E430" s="6" t="n">
        <x:v>10404</x:v>
      </x:c>
      <x:c r="F430" s="6" t="n">
        <x:v>1</x:v>
      </x:c>
      <x:c r="G430" s="6" t="n">
        <x:v>0</x:v>
      </x:c>
      <x:c r="H430" s="9" t="str">
        <x:v>04-05-2014</x:v>
      </x:c>
      <x:c r="I430" s="6" t="n">
        <x:v>52</x:v>
      </x:c>
      <x:c r="J430" s="6" t="n">
        <x:v>2</x:v>
      </x:c>
      <x:c r="K430" s="6" t="n">
        <x:v>2</x:v>
      </x:c>
      <x:c r="L430" s="6" t="n">
        <x:v>11</x:v>
      </x:c>
      <x:c r="M430" s="6" t="n">
        <x:v>10</x:v>
      </x:c>
      <x:c r="N430" s="6" t="n">
        <x:v>6</x:v>
      </x:c>
      <x:c r="O430" s="6" t="n">
        <x:v>12</x:v>
      </x:c>
      <x:c r="P430" s="6" t="n">
        <x:v>2</x:v>
      </x:c>
      <x:c r="Q430" s="6" t="n">
        <x:v>1</x:v>
      </x:c>
      <x:c r="R430" s="6" t="n">
        <x:v>0</x:v>
      </x:c>
      <x:c r="S430" s="6" t="n">
        <x:v>4</x:v>
      </x:c>
      <x:c r="T430" s="6" t="n">
        <x:v>5</x:v>
      </x:c>
      <x:c r="U430" s="6" t="n">
        <x:v>0</x:v>
      </x:c>
      <x:c r="V430" s="6" t="n">
        <x:v>0</x:v>
      </x:c>
      <x:c r="W430" s="6" t="n">
        <x:v>0</x:v>
      </x:c>
      <x:c r="X430" s="6" t="n">
        <x:v>0</x:v>
      </x:c>
      <x:c r="Y430" s="6" t="n">
        <x:v>0</x:v>
      </x:c>
      <x:c r="Z430" s="6" t="n">
        <x:v>0</x:v>
      </x:c>
      <x:c r="AA430" s="6" t="n">
        <x:v>3</x:v>
      </x:c>
      <x:c r="AB430" s="6" t="n">
        <x:v>11</x:v>
      </x:c>
      <x:c r="AC430" s="6" t="n">
        <x:v>0</x:v>
      </x:c>
    </x:row>
    <x:row r="431">
      <x:c r="A431" s="6" t="n">
        <x:v>3767</x:v>
      </x:c>
      <x:c r="B431" s="6" t="n">
        <x:v>1968</x:v>
      </x:c>
      <x:c r="C431" s="6" t="str">
        <x:v>Graduation</x:v>
      </x:c>
      <x:c r="D431" s="6" t="str">
        <x:v>Married</x:v>
      </x:c>
      <x:c r="E431" s="6" t="n">
        <x:v>61314</x:v>
      </x:c>
      <x:c r="F431" s="6" t="n">
        <x:v>0</x:v>
      </x:c>
      <x:c r="G431" s="6" t="n">
        <x:v>1</x:v>
      </x:c>
      <x:c r="H431" s="9" t="str">
        <x:v>25-04-2013</x:v>
      </x:c>
      <x:c r="I431" s="6" t="n">
        <x:v>1</x:v>
      </x:c>
      <x:c r="J431" s="6" t="n">
        <x:v>378</x:v>
      </x:c>
      <x:c r="K431" s="6" t="n">
        <x:v>0</x:v>
      </x:c>
      <x:c r="L431" s="6" t="n">
        <x:v>189</x:v>
      </x:c>
      <x:c r="M431" s="6" t="n">
        <x:v>97</x:v>
      </x:c>
      <x:c r="N431" s="6" t="n">
        <x:v>172</x:v>
      </x:c>
      <x:c r="O431" s="6" t="n">
        <x:v>172</x:v>
      </x:c>
      <x:c r="P431" s="6" t="n">
        <x:v>2</x:v>
      </x:c>
      <x:c r="Q431" s="6" t="n">
        <x:v>5</x:v>
      </x:c>
      <x:c r="R431" s="6" t="n">
        <x:v>5</x:v>
      </x:c>
      <x:c r="S431" s="6" t="n">
        <x:v>12</x:v>
      </x:c>
      <x:c r="T431" s="6" t="n">
        <x:v>3</x:v>
      </x:c>
      <x:c r="U431" s="6" t="n">
        <x:v>0</x:v>
      </x:c>
      <x:c r="V431" s="6" t="n">
        <x:v>0</x:v>
      </x:c>
      <x:c r="W431" s="6" t="n">
        <x:v>0</x:v>
      </x:c>
      <x:c r="X431" s="6" t="n">
        <x:v>0</x:v>
      </x:c>
      <x:c r="Y431" s="6" t="n">
        <x:v>0</x:v>
      </x:c>
      <x:c r="Z431" s="6" t="n">
        <x:v>0</x:v>
      </x:c>
      <x:c r="AA431" s="6" t="n">
        <x:v>3</x:v>
      </x:c>
      <x:c r="AB431" s="6" t="n">
        <x:v>11</x:v>
      </x:c>
      <x:c r="AC431" s="6" t="n">
        <x:v>0</x:v>
      </x:c>
    </x:row>
    <x:row r="432">
      <x:c r="A432" s="6" t="n">
        <x:v>3725</x:v>
      </x:c>
      <x:c r="B432" s="6" t="n">
        <x:v>1961</x:v>
      </x:c>
      <x:c r="C432" s="6" t="str">
        <x:v>PhD</x:v>
      </x:c>
      <x:c r="D432" s="6" t="str">
        <x:v>Single</x:v>
      </x:c>
      <x:c r="E432" s="6" t="n">
        <x:v>84865</x:v>
      </x:c>
      <x:c r="F432" s="6" t="n">
        <x:v>0</x:v>
      </x:c>
      <x:c r="G432" s="6" t="n">
        <x:v>0</x:v>
      </x:c>
      <x:c r="H432" s="9" t="str">
        <x:v>09-05-2013</x:v>
      </x:c>
      <x:c r="I432" s="6" t="n">
        <x:v>1</x:v>
      </x:c>
      <x:c r="J432" s="6" t="n">
        <x:v>1248</x:v>
      </x:c>
      <x:c r="K432" s="6" t="n">
        <x:v>16</x:v>
      </x:c>
      <x:c r="L432" s="6" t="n">
        <x:v>349</x:v>
      </x:c>
      <x:c r="M432" s="6" t="n">
        <x:v>43</x:v>
      </x:c>
      <x:c r="N432" s="6" t="n">
        <x:v>16</x:v>
      </x:c>
      <x:c r="O432" s="6" t="n">
        <x:v>16</x:v>
      </x:c>
      <x:c r="P432" s="6" t="n">
        <x:v>1</x:v>
      </x:c>
      <x:c r="Q432" s="6" t="n">
        <x:v>2</x:v>
      </x:c>
      <x:c r="R432" s="6" t="n">
        <x:v>4</x:v>
      </x:c>
      <x:c r="S432" s="6" t="n">
        <x:v>9</x:v>
      </x:c>
      <x:c r="T432" s="6" t="n">
        <x:v>4</x:v>
      </x:c>
      <x:c r="U432" s="6" t="n">
        <x:v>0</x:v>
      </x:c>
      <x:c r="V432" s="6" t="n">
        <x:v>1</x:v>
      </x:c>
      <x:c r="W432" s="6" t="n">
        <x:v>1</x:v>
      </x:c>
      <x:c r="X432" s="6" t="n">
        <x:v>1</x:v>
      </x:c>
      <x:c r="Y432" s="6" t="n">
        <x:v>1</x:v>
      </x:c>
      <x:c r="Z432" s="6" t="n">
        <x:v>0</x:v>
      </x:c>
      <x:c r="AA432" s="6" t="n">
        <x:v>3</x:v>
      </x:c>
      <x:c r="AB432" s="6" t="n">
        <x:v>11</x:v>
      </x:c>
      <x:c r="AC432" s="6" t="n">
        <x:v>1</x:v>
      </x:c>
    </x:row>
    <x:row r="433">
      <x:c r="A433" s="6" t="n">
        <x:v>4324</x:v>
      </x:c>
      <x:c r="B433" s="6" t="n">
        <x:v>1989</x:v>
      </x:c>
      <x:c r="C433" s="6" t="str">
        <x:v>Graduation</x:v>
      </x:c>
      <x:c r="D433" s="6" t="str">
        <x:v>Married</x:v>
      </x:c>
      <x:c r="E433" s="6" t="n">
        <x:v>42387</x:v>
      </x:c>
      <x:c r="F433" s="6" t="n">
        <x:v>1</x:v>
      </x:c>
      <x:c r="G433" s="6" t="n">
        <x:v>0</x:v>
      </x:c>
      <x:c r="H433" s="9" t="str">
        <x:v>29-10-2012</x:v>
      </x:c>
      <x:c r="I433" s="6" t="n">
        <x:v>42</x:v>
      </x:c>
      <x:c r="J433" s="6" t="n">
        <x:v>235</x:v>
      </x:c>
      <x:c r="K433" s="6" t="n">
        <x:v>0</x:v>
      </x:c>
      <x:c r="L433" s="6" t="n">
        <x:v>235</x:v>
      </x:c>
      <x:c r="M433" s="6" t="n">
        <x:v>19</x:v>
      </x:c>
      <x:c r="N433" s="6" t="n">
        <x:v>4</x:v>
      </x:c>
      <x:c r="O433" s="6" t="n">
        <x:v>191</x:v>
      </x:c>
      <x:c r="P433" s="6" t="n">
        <x:v>5</x:v>
      </x:c>
      <x:c r="Q433" s="6" t="n">
        <x:v>8</x:v>
      </x:c>
      <x:c r="R433" s="6" t="n">
        <x:v>1</x:v>
      </x:c>
      <x:c r="S433" s="6" t="n">
        <x:v>7</x:v>
      </x:c>
      <x:c r="T433" s="6" t="n">
        <x:v>8</x:v>
      </x:c>
      <x:c r="U433" s="6" t="n">
        <x:v>0</x:v>
      </x:c>
      <x:c r="V433" s="6" t="n">
        <x:v>0</x:v>
      </x:c>
      <x:c r="W433" s="6" t="n">
        <x:v>0</x:v>
      </x:c>
      <x:c r="X433" s="6" t="n">
        <x:v>0</x:v>
      </x:c>
      <x:c r="Y433" s="6" t="n">
        <x:v>0</x:v>
      </x:c>
      <x:c r="Z433" s="6" t="n">
        <x:v>0</x:v>
      </x:c>
      <x:c r="AA433" s="6" t="n">
        <x:v>3</x:v>
      </x:c>
      <x:c r="AB433" s="6" t="n">
        <x:v>11</x:v>
      </x:c>
      <x:c r="AC433" s="6" t="n">
        <x:v>0</x:v>
      </x:c>
    </x:row>
    <x:row r="434">
      <x:c r="A434" s="6" t="n">
        <x:v>238</x:v>
      </x:c>
      <x:c r="B434" s="6" t="n">
        <x:v>1967</x:v>
      </x:c>
      <x:c r="C434" s="6" t="str">
        <x:v>2n Cycle</x:v>
      </x:c>
      <x:c r="D434" s="6" t="str">
        <x:v>Together</x:v>
      </x:c>
      <x:c r="E434" s="6" t="n">
        <x:v>67309</x:v>
      </x:c>
      <x:c r="F434" s="6" t="n">
        <x:v>1</x:v>
      </x:c>
      <x:c r="G434" s="6" t="n">
        <x:v>1</x:v>
      </x:c>
      <x:c r="H434" s="9" t="str">
        <x:v>23-01-2013</x:v>
      </x:c>
      <x:c r="I434" s="6" t="n">
        <x:v>76</x:v>
      </x:c>
      <x:c r="J434" s="6" t="n">
        <x:v>515</x:v>
      </x:c>
      <x:c r="K434" s="6" t="n">
        <x:v>47</x:v>
      </x:c>
      <x:c r="L434" s="6" t="n">
        <x:v>181</x:v>
      </x:c>
      <x:c r="M434" s="6" t="n">
        <x:v>149</x:v>
      </x:c>
      <x:c r="N434" s="6" t="n">
        <x:v>95</x:v>
      </x:c>
      <x:c r="O434" s="6" t="n">
        <x:v>95</x:v>
      </x:c>
      <x:c r="P434" s="6" t="n">
        <x:v>15</x:v>
      </x:c>
      <x:c r="Q434" s="6" t="n">
        <x:v>9</x:v>
      </x:c>
      <x:c r="R434" s="6" t="n">
        <x:v>6</x:v>
      </x:c>
      <x:c r="S434" s="6" t="n">
        <x:v>9</x:v>
      </x:c>
      <x:c r="T434" s="6" t="n">
        <x:v>7</x:v>
      </x:c>
      <x:c r="U434" s="6" t="n">
        <x:v>0</x:v>
      </x:c>
      <x:c r="V434" s="6" t="n">
        <x:v>0</x:v>
      </x:c>
      <x:c r="W434" s="6" t="n">
        <x:v>0</x:v>
      </x:c>
      <x:c r="X434" s="6" t="n">
        <x:v>0</x:v>
      </x:c>
      <x:c r="Y434" s="6" t="n">
        <x:v>0</x:v>
      </x:c>
      <x:c r="Z434" s="6" t="n">
        <x:v>0</x:v>
      </x:c>
      <x:c r="AA434" s="6" t="n">
        <x:v>3</x:v>
      </x:c>
      <x:c r="AB434" s="6" t="n">
        <x:v>11</x:v>
      </x:c>
      <x:c r="AC434" s="6" t="n">
        <x:v>0</x:v>
      </x:c>
    </x:row>
    <x:row r="435">
      <x:c r="A435" s="6" t="n">
        <x:v>6694</x:v>
      </x:c>
      <x:c r="B435" s="6" t="n">
        <x:v>1964</x:v>
      </x:c>
      <x:c r="C435" s="6" t="str">
        <x:v>Graduation</x:v>
      </x:c>
      <x:c r="D435" s="6" t="str">
        <x:v>Married</x:v>
      </x:c>
      <x:c r="E435" s="6" t="n">
        <x:v>75236</x:v>
      </x:c>
      <x:c r="F435" s="6" t="n">
        <x:v>0</x:v>
      </x:c>
      <x:c r="G435" s="6" t="n">
        <x:v>1</x:v>
      </x:c>
      <x:c r="H435" s="9" t="str">
        <x:v>25-11-2013</x:v>
      </x:c>
      <x:c r="I435" s="6" t="n">
        <x:v>27</x:v>
      </x:c>
      <x:c r="J435" s="6" t="n">
        <x:v>438</x:v>
      </x:c>
      <x:c r="K435" s="6" t="n">
        <x:v>66</x:v>
      </x:c>
      <x:c r="L435" s="6" t="n">
        <x:v>400</x:v>
      </x:c>
      <x:c r="M435" s="6" t="n">
        <x:v>12</x:v>
      </x:c>
      <x:c r="N435" s="6" t="n">
        <x:v>38</x:v>
      </x:c>
      <x:c r="O435" s="6" t="n">
        <x:v>114</x:v>
      </x:c>
      <x:c r="P435" s="6" t="n">
        <x:v>1</x:v>
      </x:c>
      <x:c r="Q435" s="6" t="n">
        <x:v>8</x:v>
      </x:c>
      <x:c r="R435" s="6" t="n">
        <x:v>3</x:v>
      </x:c>
      <x:c r="S435" s="6" t="n">
        <x:v>13</x:v>
      </x:c>
      <x:c r="T435" s="6" t="n">
        <x:v>4</x:v>
      </x:c>
      <x:c r="U435" s="6" t="n">
        <x:v>0</x:v>
      </x:c>
      <x:c r="V435" s="6" t="n">
        <x:v>0</x:v>
      </x:c>
      <x:c r="W435" s="6" t="n">
        <x:v>0</x:v>
      </x:c>
      <x:c r="X435" s="6" t="n">
        <x:v>0</x:v>
      </x:c>
      <x:c r="Y435" s="6" t="n">
        <x:v>0</x:v>
      </x:c>
      <x:c r="Z435" s="6" t="n">
        <x:v>0</x:v>
      </x:c>
      <x:c r="AA435" s="6" t="n">
        <x:v>3</x:v>
      </x:c>
      <x:c r="AB435" s="6" t="n">
        <x:v>11</x:v>
      </x:c>
      <x:c r="AC435" s="6" t="n">
        <x:v>0</x:v>
      </x:c>
    </x:row>
    <x:row r="436">
      <x:c r="A436" s="6" t="n">
        <x:v>498</x:v>
      </x:c>
      <x:c r="B436" s="6" t="n">
        <x:v>1970</x:v>
      </x:c>
      <x:c r="C436" s="6" t="str">
        <x:v>Graduation</x:v>
      </x:c>
      <x:c r="D436" s="6" t="str">
        <x:v>Single</x:v>
      </x:c>
      <x:c r="E436" s="6" t="n">
        <x:v>30015</x:v>
      </x:c>
      <x:c r="F436" s="6" t="n">
        <x:v>1</x:v>
      </x:c>
      <x:c r="G436" s="6" t="n">
        <x:v>0</x:v>
      </x:c>
      <x:c r="H436" s="9" t="str">
        <x:v>02-02-2014</x:v>
      </x:c>
      <x:c r="I436" s="6" t="n">
        <x:v>28</x:v>
      </x:c>
      <x:c r="J436" s="6" t="n">
        <x:v>25</x:v>
      </x:c>
      <x:c r="K436" s="6" t="n">
        <x:v>0</x:v>
      </x:c>
      <x:c r="L436" s="6" t="n">
        <x:v>22</x:v>
      </x:c>
      <x:c r="M436" s="6" t="n">
        <x:v>2</x:v>
      </x:c>
      <x:c r="N436" s="6" t="n">
        <x:v>3</x:v>
      </x:c>
      <x:c r="O436" s="6" t="n">
        <x:v>5</x:v>
      </x:c>
      <x:c r="P436" s="6" t="n">
        <x:v>2</x:v>
      </x:c>
      <x:c r="Q436" s="6" t="n">
        <x:v>1</x:v>
      </x:c>
      <x:c r="R436" s="6" t="n">
        <x:v>0</x:v>
      </x:c>
      <x:c r="S436" s="6" t="n">
        <x:v>4</x:v>
      </x:c>
      <x:c r="T436" s="6" t="n">
        <x:v>5</x:v>
      </x:c>
      <x:c r="U436" s="6" t="n">
        <x:v>0</x:v>
      </x:c>
      <x:c r="V436" s="6" t="n">
        <x:v>0</x:v>
      </x:c>
      <x:c r="W436" s="6" t="n">
        <x:v>0</x:v>
      </x:c>
      <x:c r="X436" s="6" t="n">
        <x:v>0</x:v>
      </x:c>
      <x:c r="Y436" s="6" t="n">
        <x:v>0</x:v>
      </x:c>
      <x:c r="Z436" s="6" t="n">
        <x:v>0</x:v>
      </x:c>
      <x:c r="AA436" s="6" t="n">
        <x:v>3</x:v>
      </x:c>
      <x:c r="AB436" s="6" t="n">
        <x:v>11</x:v>
      </x:c>
      <x:c r="AC436" s="6" t="n">
        <x:v>0</x:v>
      </x:c>
    </x:row>
    <x:row r="437">
      <x:c r="A437" s="6" t="n">
        <x:v>9347</x:v>
      </x:c>
      <x:c r="B437" s="6" t="n">
        <x:v>1956</x:v>
      </x:c>
      <x:c r="C437" s="6" t="str">
        <x:v>Master</x:v>
      </x:c>
      <x:c r="D437" s="6" t="str">
        <x:v>Together</x:v>
      </x:c>
      <x:c r="E437" s="6" t="n">
        <x:v>50943</x:v>
      </x:c>
      <x:c r="F437" s="6" t="n">
        <x:v>0</x:v>
      </x:c>
      <x:c r="G437" s="6" t="n">
        <x:v>1</x:v>
      </x:c>
      <x:c r="H437" s="9" t="str">
        <x:v>21-06-2013</x:v>
      </x:c>
      <x:c r="I437" s="6" t="n">
        <x:v>49</x:v>
      </x:c>
      <x:c r="J437" s="6" t="n">
        <x:v>31</x:v>
      </x:c>
      <x:c r="K437" s="6" t="n">
        <x:v>0</x:v>
      </x:c>
      <x:c r="L437" s="6" t="n">
        <x:v>7</x:v>
      </x:c>
      <x:c r="M437" s="6" t="n">
        <x:v>2</x:v>
      </x:c>
      <x:c r="N437" s="6" t="n">
        <x:v>0</x:v>
      </x:c>
      <x:c r="O437" s="6" t="n">
        <x:v>6</x:v>
      </x:c>
      <x:c r="P437" s="6" t="n">
        <x:v>1</x:v>
      </x:c>
      <x:c r="Q437" s="6" t="n">
        <x:v>1</x:v>
      </x:c>
      <x:c r="R437" s="6" t="n">
        <x:v>0</x:v>
      </x:c>
      <x:c r="S437" s="6" t="n">
        <x:v>3</x:v>
      </x:c>
      <x:c r="T437" s="6" t="n">
        <x:v>5</x:v>
      </x:c>
      <x:c r="U437" s="6" t="n">
        <x:v>0</x:v>
      </x:c>
      <x:c r="V437" s="6" t="n">
        <x:v>0</x:v>
      </x:c>
      <x:c r="W437" s="6" t="n">
        <x:v>0</x:v>
      </x:c>
      <x:c r="X437" s="6" t="n">
        <x:v>0</x:v>
      </x:c>
      <x:c r="Y437" s="6" t="n">
        <x:v>0</x:v>
      </x:c>
      <x:c r="Z437" s="6" t="n">
        <x:v>0</x:v>
      </x:c>
      <x:c r="AA437" s="6" t="n">
        <x:v>3</x:v>
      </x:c>
      <x:c r="AB437" s="6" t="n">
        <x:v>11</x:v>
      </x:c>
      <x:c r="AC437" s="6" t="n">
        <x:v>0</x:v>
      </x:c>
    </x:row>
    <x:row r="438">
      <x:c r="A438" s="6" t="n">
        <x:v>9699</x:v>
      </x:c>
      <x:c r="B438" s="6" t="n">
        <x:v>1966</x:v>
      </x:c>
      <x:c r="C438" s="6" t="str">
        <x:v>Graduation</x:v>
      </x:c>
      <x:c r="D438" s="6" t="str">
        <x:v>Divorced</x:v>
      </x:c>
      <x:c r="E438" s="6" t="n">
        <x:v>67272</x:v>
      </x:c>
      <x:c r="F438" s="6" t="n">
        <x:v>0</x:v>
      </x:c>
      <x:c r="G438" s="6" t="n">
        <x:v>1</x:v>
      </x:c>
      <x:c r="H438" s="9" t="str">
        <x:v>21-12-2013</x:v>
      </x:c>
      <x:c r="I438" s="6" t="n">
        <x:v>12</x:v>
      </x:c>
      <x:c r="J438" s="6" t="n">
        <x:v>357</x:v>
      </x:c>
      <x:c r="K438" s="6" t="n">
        <x:v>35</x:v>
      </x:c>
      <x:c r="L438" s="6" t="n">
        <x:v>271</x:v>
      </x:c>
      <x:c r="M438" s="6" t="n">
        <x:v>28</x:v>
      </x:c>
      <x:c r="N438" s="6" t="n">
        <x:v>28</x:v>
      </x:c>
      <x:c r="O438" s="6" t="n">
        <x:v>14</x:v>
      </x:c>
      <x:c r="P438" s="6" t="n">
        <x:v>3</x:v>
      </x:c>
      <x:c r="Q438" s="6" t="n">
        <x:v>6</x:v>
      </x:c>
      <x:c r="R438" s="6" t="n">
        <x:v>2</x:v>
      </x:c>
      <x:c r="S438" s="6" t="n">
        <x:v>12</x:v>
      </x:c>
      <x:c r="T438" s="6" t="n">
        <x:v>5</x:v>
      </x:c>
      <x:c r="U438" s="6" t="n">
        <x:v>0</x:v>
      </x:c>
      <x:c r="V438" s="6" t="n">
        <x:v>0</x:v>
      </x:c>
      <x:c r="W438" s="6" t="n">
        <x:v>0</x:v>
      </x:c>
      <x:c r="X438" s="6" t="n">
        <x:v>0</x:v>
      </x:c>
      <x:c r="Y438" s="6" t="n">
        <x:v>0</x:v>
      </x:c>
      <x:c r="Z438" s="6" t="n">
        <x:v>0</x:v>
      </x:c>
      <x:c r="AA438" s="6" t="n">
        <x:v>3</x:v>
      </x:c>
      <x:c r="AB438" s="6" t="n">
        <x:v>11</x:v>
      </x:c>
      <x:c r="AC438" s="6" t="n">
        <x:v>0</x:v>
      </x:c>
    </x:row>
    <x:row r="439">
      <x:c r="A439" s="6" t="n">
        <x:v>10664</x:v>
      </x:c>
      <x:c r="B439" s="6" t="n">
        <x:v>1949</x:v>
      </x:c>
      <x:c r="C439" s="6" t="str">
        <x:v>Master</x:v>
      </x:c>
      <x:c r="D439" s="6" t="str">
        <x:v>Widow</x:v>
      </x:c>
      <x:c r="E439" s="6" t="n">
        <x:v>51529</x:v>
      </x:c>
      <x:c r="F439" s="6" t="n">
        <x:v>0</x:v>
      </x:c>
      <x:c r="G439" s="6" t="n">
        <x:v>1</x:v>
      </x:c>
      <x:c r="H439" s="9" t="str">
        <x:v>07-09-2013</x:v>
      </x:c>
      <x:c r="I439" s="6" t="n">
        <x:v>14</x:v>
      </x:c>
      <x:c r="J439" s="6" t="n">
        <x:v>400</x:v>
      </x:c>
      <x:c r="K439" s="6" t="n">
        <x:v>4</x:v>
      </x:c>
      <x:c r="L439" s="6" t="n">
        <x:v>35</x:v>
      </x:c>
      <x:c r="M439" s="6" t="n">
        <x:v>6</x:v>
      </x:c>
      <x:c r="N439" s="6" t="n">
        <x:v>0</x:v>
      </x:c>
      <x:c r="O439" s="6" t="n">
        <x:v>22</x:v>
      </x:c>
      <x:c r="P439" s="6" t="n">
        <x:v>2</x:v>
      </x:c>
      <x:c r="Q439" s="6" t="n">
        <x:v>9</x:v>
      </x:c>
      <x:c r="R439" s="6" t="n">
        <x:v>1</x:v>
      </x:c>
      <x:c r="S439" s="6" t="n">
        <x:v>5</x:v>
      </x:c>
      <x:c r="T439" s="6" t="n">
        <x:v>8</x:v>
      </x:c>
      <x:c r="U439" s="6" t="n">
        <x:v>0</x:v>
      </x:c>
      <x:c r="V439" s="6" t="n">
        <x:v>0</x:v>
      </x:c>
      <x:c r="W439" s="6" t="n">
        <x:v>0</x:v>
      </x:c>
      <x:c r="X439" s="6" t="n">
        <x:v>0</x:v>
      </x:c>
      <x:c r="Y439" s="6" t="n">
        <x:v>0</x:v>
      </x:c>
      <x:c r="Z439" s="6" t="n">
        <x:v>0</x:v>
      </x:c>
      <x:c r="AA439" s="6" t="n">
        <x:v>3</x:v>
      </x:c>
      <x:c r="AB439" s="6" t="n">
        <x:v>11</x:v>
      </x:c>
      <x:c r="AC439" s="6" t="n">
        <x:v>0</x:v>
      </x:c>
    </x:row>
    <x:row r="440">
      <x:c r="A440" s="6" t="n">
        <x:v>5455</x:v>
      </x:c>
      <x:c r="B440" s="6" t="n">
        <x:v>1971</x:v>
      </x:c>
      <x:c r="C440" s="6" t="str">
        <x:v>PhD</x:v>
      </x:c>
      <x:c r="D440" s="6" t="str">
        <x:v>Married</x:v>
      </x:c>
      <x:c r="E440" s="6" t="n">
        <x:v>32011</x:v>
      </x:c>
      <x:c r="F440" s="6" t="n">
        <x:v>1</x:v>
      </x:c>
      <x:c r="G440" s="6" t="n">
        <x:v>0</x:v>
      </x:c>
      <x:c r="H440" s="9" t="str">
        <x:v>22-08-2013</x:v>
      </x:c>
      <x:c r="I440" s="6" t="n">
        <x:v>89</x:v>
      </x:c>
      <x:c r="J440" s="6" t="n">
        <x:v>99</x:v>
      </x:c>
      <x:c r="K440" s="6" t="n">
        <x:v>0</x:v>
      </x:c>
      <x:c r="L440" s="6" t="n">
        <x:v>15</x:v>
      </x:c>
      <x:c r="M440" s="6" t="n">
        <x:v>2</x:v>
      </x:c>
      <x:c r="N440" s="6" t="n">
        <x:v>1</x:v>
      </x:c>
      <x:c r="O440" s="6" t="n">
        <x:v>5</x:v>
      </x:c>
      <x:c r="P440" s="6" t="n">
        <x:v>3</x:v>
      </x:c>
      <x:c r="Q440" s="6" t="n">
        <x:v>2</x:v>
      </x:c>
      <x:c r="R440" s="6" t="n">
        <x:v>1</x:v>
      </x:c>
      <x:c r="S440" s="6" t="n">
        <x:v>4</x:v>
      </x:c>
      <x:c r="T440" s="6" t="n">
        <x:v>7</x:v>
      </x:c>
      <x:c r="U440" s="6" t="n">
        <x:v>0</x:v>
      </x:c>
      <x:c r="V440" s="6" t="n">
        <x:v>0</x:v>
      </x:c>
      <x:c r="W440" s="6" t="n">
        <x:v>0</x:v>
      </x:c>
      <x:c r="X440" s="6" t="n">
        <x:v>0</x:v>
      </x:c>
      <x:c r="Y440" s="6" t="n">
        <x:v>0</x:v>
      </x:c>
      <x:c r="Z440" s="6" t="n">
        <x:v>0</x:v>
      </x:c>
      <x:c r="AA440" s="6" t="n">
        <x:v>3</x:v>
      </x:c>
      <x:c r="AB440" s="6" t="n">
        <x:v>11</x:v>
      </x:c>
      <x:c r="AC440" s="6" t="n">
        <x:v>0</x:v>
      </x:c>
    </x:row>
    <x:row r="441">
      <x:c r="A441" s="6" t="n">
        <x:v>456</x:v>
      </x:c>
      <x:c r="B441" s="6" t="n">
        <x:v>1986</x:v>
      </x:c>
      <x:c r="C441" s="6" t="str">
        <x:v>2n Cycle</x:v>
      </x:c>
      <x:c r="D441" s="6" t="str">
        <x:v>Married</x:v>
      </x:c>
      <x:c r="E441" s="6" t="n">
        <x:v>7500</x:v>
      </x:c>
      <x:c r="F441" s="6" t="n">
        <x:v>1</x:v>
      </x:c>
      <x:c r="G441" s="6" t="n">
        <x:v>0</x:v>
      </x:c>
      <x:c r="H441" s="9" t="str">
        <x:v>07-02-2013</x:v>
      </x:c>
      <x:c r="I441" s="6" t="n">
        <x:v>96</x:v>
      </x:c>
      <x:c r="J441" s="6" t="n">
        <x:v>1</x:v>
      </x:c>
      <x:c r="K441" s="6" t="n">
        <x:v>11</x:v>
      </x:c>
      <x:c r="L441" s="6" t="n">
        <x:v>5</x:v>
      </x:c>
      <x:c r="M441" s="6" t="n">
        <x:v>4</x:v>
      </x:c>
      <x:c r="N441" s="6" t="n">
        <x:v>6</x:v>
      </x:c>
      <x:c r="O441" s="6" t="n">
        <x:v>9</x:v>
      </x:c>
      <x:c r="P441" s="6" t="n">
        <x:v>2</x:v>
      </x:c>
      <x:c r="Q441" s="6" t="n">
        <x:v>2</x:v>
      </x:c>
      <x:c r="R441" s="6" t="n">
        <x:v>0</x:v>
      </x:c>
      <x:c r="S441" s="6" t="n">
        <x:v>3</x:v>
      </x:c>
      <x:c r="T441" s="6" t="n">
        <x:v>8</x:v>
      </x:c>
      <x:c r="U441" s="6" t="n">
        <x:v>0</x:v>
      </x:c>
      <x:c r="V441" s="6" t="n">
        <x:v>0</x:v>
      </x:c>
      <x:c r="W441" s="6" t="n">
        <x:v>0</x:v>
      </x:c>
      <x:c r="X441" s="6" t="n">
        <x:v>0</x:v>
      </x:c>
      <x:c r="Y441" s="6" t="n">
        <x:v>0</x:v>
      </x:c>
      <x:c r="Z441" s="6" t="n">
        <x:v>0</x:v>
      </x:c>
      <x:c r="AA441" s="6" t="n">
        <x:v>3</x:v>
      </x:c>
      <x:c r="AB441" s="6" t="n">
        <x:v>11</x:v>
      </x:c>
      <x:c r="AC441" s="6" t="n">
        <x:v>0</x:v>
      </x:c>
    </x:row>
    <x:row r="442">
      <x:c r="A442" s="6" t="n">
        <x:v>5012</x:v>
      </x:c>
      <x:c r="B442" s="6" t="n">
        <x:v>1989</x:v>
      </x:c>
      <x:c r="C442" s="6" t="str">
        <x:v>Graduation</x:v>
      </x:c>
      <x:c r="D442" s="6" t="str">
        <x:v>Married</x:v>
      </x:c>
      <x:c r="E442" s="6" t="n">
        <x:v>28691</x:v>
      </x:c>
      <x:c r="F442" s="6" t="n">
        <x:v>1</x:v>
      </x:c>
      <x:c r="G442" s="6" t="n">
        <x:v>0</x:v>
      </x:c>
      <x:c r="H442" s="9" t="str">
        <x:v>04-07-2013</x:v>
      </x:c>
      <x:c r="I442" s="6" t="n">
        <x:v>56</x:v>
      </x:c>
      <x:c r="J442" s="6" t="n">
        <x:v>5</x:v>
      </x:c>
      <x:c r="K442" s="6" t="n">
        <x:v>4</x:v>
      </x:c>
      <x:c r="L442" s="6" t="n">
        <x:v>13</x:v>
      </x:c>
      <x:c r="M442" s="6" t="n">
        <x:v>8</x:v>
      </x:c>
      <x:c r="N442" s="6" t="n">
        <x:v>0</x:v>
      </x:c>
      <x:c r="O442" s="6" t="n">
        <x:v>4</x:v>
      </x:c>
      <x:c r="P442" s="6" t="n">
        <x:v>1</x:v>
      </x:c>
      <x:c r="Q442" s="6" t="n">
        <x:v>1</x:v>
      </x:c>
      <x:c r="R442" s="6" t="n">
        <x:v>0</x:v>
      </x:c>
      <x:c r="S442" s="6" t="n">
        <x:v>3</x:v>
      </x:c>
      <x:c r="T442" s="6" t="n">
        <x:v>8</x:v>
      </x:c>
      <x:c r="U442" s="6" t="n">
        <x:v>0</x:v>
      </x:c>
      <x:c r="V442" s="6" t="n">
        <x:v>0</x:v>
      </x:c>
      <x:c r="W442" s="6" t="n">
        <x:v>0</x:v>
      </x:c>
      <x:c r="X442" s="6" t="n">
        <x:v>0</x:v>
      </x:c>
      <x:c r="Y442" s="6" t="n">
        <x:v>0</x:v>
      </x:c>
      <x:c r="Z442" s="6" t="n">
        <x:v>0</x:v>
      </x:c>
      <x:c r="AA442" s="6" t="n">
        <x:v>3</x:v>
      </x:c>
      <x:c r="AB442" s="6" t="n">
        <x:v>11</x:v>
      </x:c>
      <x:c r="AC442" s="6" t="n">
        <x:v>0</x:v>
      </x:c>
    </x:row>
    <x:row r="443">
      <x:c r="A443" s="6" t="n">
        <x:v>7495</x:v>
      </x:c>
      <x:c r="B443" s="6" t="n">
        <x:v>1948</x:v>
      </x:c>
      <x:c r="C443" s="6" t="str">
        <x:v>PhD</x:v>
      </x:c>
      <x:c r="D443" s="6" t="str">
        <x:v>Married</x:v>
      </x:c>
      <x:c r="E443" s="6" t="n">
        <x:v>56223</x:v>
      </x:c>
      <x:c r="F443" s="6" t="n">
        <x:v>0</x:v>
      </x:c>
      <x:c r="G443" s="6" t="n">
        <x:v>1</x:v>
      </x:c>
      <x:c r="H443" s="9" t="str">
        <x:v>20-12-2013</x:v>
      </x:c>
      <x:c r="I443" s="6" t="n">
        <x:v>72</x:v>
      </x:c>
      <x:c r="J443" s="6" t="n">
        <x:v>77</x:v>
      </x:c>
      <x:c r="K443" s="6" t="n">
        <x:v>28</x:v>
      </x:c>
      <x:c r="L443" s="6" t="n">
        <x:v>31</x:v>
      </x:c>
      <x:c r="M443" s="6" t="n">
        <x:v>16</x:v>
      </x:c>
      <x:c r="N443" s="6" t="n">
        <x:v>0</x:v>
      </x:c>
      <x:c r="O443" s="6" t="n">
        <x:v>4</x:v>
      </x:c>
      <x:c r="P443" s="6" t="n">
        <x:v>2</x:v>
      </x:c>
      <x:c r="Q443" s="6" t="n">
        <x:v>2</x:v>
      </x:c>
      <x:c r="R443" s="6" t="n">
        <x:v>1</x:v>
      </x:c>
      <x:c r="S443" s="6" t="n">
        <x:v>5</x:v>
      </x:c>
      <x:c r="T443" s="6" t="n">
        <x:v>4</x:v>
      </x:c>
      <x:c r="U443" s="6" t="n">
        <x:v>0</x:v>
      </x:c>
      <x:c r="V443" s="6" t="n">
        <x:v>0</x:v>
      </x:c>
      <x:c r="W443" s="6" t="n">
        <x:v>0</x:v>
      </x:c>
      <x:c r="X443" s="6" t="n">
        <x:v>0</x:v>
      </x:c>
      <x:c r="Y443" s="6" t="n">
        <x:v>0</x:v>
      </x:c>
      <x:c r="Z443" s="6" t="n">
        <x:v>0</x:v>
      </x:c>
      <x:c r="AA443" s="6" t="n">
        <x:v>3</x:v>
      </x:c>
      <x:c r="AB443" s="6" t="n">
        <x:v>11</x:v>
      </x:c>
      <x:c r="AC443" s="6" t="n">
        <x:v>0</x:v>
      </x:c>
    </x:row>
    <x:row r="444">
      <x:c r="A444" s="6" t="n">
        <x:v>5029</x:v>
      </x:c>
      <x:c r="B444" s="6" t="n">
        <x:v>1946</x:v>
      </x:c>
      <x:c r="C444" s="6" t="str">
        <x:v>Graduation</x:v>
      </x:c>
      <x:c r="D444" s="6" t="str">
        <x:v>Married</x:v>
      </x:c>
      <x:c r="E444" s="6" t="n">
        <x:v>18100</x:v>
      </x:c>
      <x:c r="F444" s="6" t="n">
        <x:v>0</x:v>
      </x:c>
      <x:c r="G444" s="6" t="n">
        <x:v>0</x:v>
      </x:c>
      <x:c r="H444" s="9" t="str">
        <x:v>06-08-2013</x:v>
      </x:c>
      <x:c r="I444" s="6" t="n">
        <x:v>14</x:v>
      </x:c>
      <x:c r="J444" s="6" t="n">
        <x:v>3</x:v>
      </x:c>
      <x:c r="K444" s="6" t="n">
        <x:v>1</x:v>
      </x:c>
      <x:c r="L444" s="6" t="n">
        <x:v>2</x:v>
      </x:c>
      <x:c r="M444" s="6" t="n">
        <x:v>4</x:v>
      </x:c>
      <x:c r="N444" s="6" t="n">
        <x:v>3</x:v>
      </x:c>
      <x:c r="O444" s="6" t="n">
        <x:v>1</x:v>
      </x:c>
      <x:c r="P444" s="6" t="n">
        <x:v>1</x:v>
      </x:c>
      <x:c r="Q444" s="6" t="n">
        <x:v>0</x:v>
      </x:c>
      <x:c r="R444" s="6" t="n">
        <x:v>0</x:v>
      </x:c>
      <x:c r="S444" s="6" t="n">
        <x:v>3</x:v>
      </x:c>
      <x:c r="T444" s="6" t="n">
        <x:v>5</x:v>
      </x:c>
      <x:c r="U444" s="6" t="n">
        <x:v>0</x:v>
      </x:c>
      <x:c r="V444" s="6" t="n">
        <x:v>0</x:v>
      </x:c>
      <x:c r="W444" s="6" t="n">
        <x:v>0</x:v>
      </x:c>
      <x:c r="X444" s="6" t="n">
        <x:v>0</x:v>
      </x:c>
      <x:c r="Y444" s="6" t="n">
        <x:v>0</x:v>
      </x:c>
      <x:c r="Z444" s="6" t="n">
        <x:v>0</x:v>
      </x:c>
      <x:c r="AA444" s="6" t="n">
        <x:v>3</x:v>
      </x:c>
      <x:c r="AB444" s="6" t="n">
        <x:v>11</x:v>
      </x:c>
      <x:c r="AC444" s="6" t="n">
        <x:v>0</x:v>
      </x:c>
    </x:row>
    <x:row r="445">
      <x:c r="A445" s="6" t="n">
        <x:v>10642</x:v>
      </x:c>
      <x:c r="B445" s="6" t="n">
        <x:v>1989</x:v>
      </x:c>
      <x:c r="C445" s="6" t="str">
        <x:v>Graduation</x:v>
      </x:c>
      <x:c r="D445" s="6" t="str">
        <x:v>Single</x:v>
      </x:c>
      <x:c r="E445" s="6" t="n">
        <x:v>30279</x:v>
      </x:c>
      <x:c r="F445" s="6" t="n">
        <x:v>1</x:v>
      </x:c>
      <x:c r="G445" s="6" t="n">
        <x:v>0</x:v>
      </x:c>
      <x:c r="H445" s="9" t="str">
        <x:v>30-12-2012</x:v>
      </x:c>
      <x:c r="I445" s="6" t="n">
        <x:v>13</x:v>
      </x:c>
      <x:c r="J445" s="6" t="n">
        <x:v>10</x:v>
      </x:c>
      <x:c r="K445" s="6" t="n">
        <x:v>4</x:v>
      </x:c>
      <x:c r="L445" s="6" t="n">
        <x:v>14</x:v>
      </x:c>
      <x:c r="M445" s="6" t="n">
        <x:v>4</x:v>
      </x:c>
      <x:c r="N445" s="6" t="n">
        <x:v>4</x:v>
      </x:c>
      <x:c r="O445" s="6" t="n">
        <x:v>1</x:v>
      </x:c>
      <x:c r="P445" s="6" t="n">
        <x:v>1</x:v>
      </x:c>
      <x:c r="Q445" s="6" t="n">
        <x:v>1</x:v>
      </x:c>
      <x:c r="R445" s="6" t="n">
        <x:v>0</x:v>
      </x:c>
      <x:c r="S445" s="6" t="n">
        <x:v>3</x:v>
      </x:c>
      <x:c r="T445" s="6" t="n">
        <x:v>8</x:v>
      </x:c>
      <x:c r="U445" s="6" t="n">
        <x:v>0</x:v>
      </x:c>
      <x:c r="V445" s="6" t="n">
        <x:v>0</x:v>
      </x:c>
      <x:c r="W445" s="6" t="n">
        <x:v>0</x:v>
      </x:c>
      <x:c r="X445" s="6" t="n">
        <x:v>0</x:v>
      </x:c>
      <x:c r="Y445" s="6" t="n">
        <x:v>0</x:v>
      </x:c>
      <x:c r="Z445" s="6" t="n">
        <x:v>0</x:v>
      </x:c>
      <x:c r="AA445" s="6" t="n">
        <x:v>3</x:v>
      </x:c>
      <x:c r="AB445" s="6" t="n">
        <x:v>11</x:v>
      </x:c>
      <x:c r="AC445" s="6" t="n">
        <x:v>0</x:v>
      </x:c>
    </x:row>
    <x:row r="446">
      <x:c r="A446" s="6" t="n">
        <x:v>2106</x:v>
      </x:c>
      <x:c r="B446" s="6" t="n">
        <x:v>1974</x:v>
      </x:c>
      <x:c r="C446" s="6" t="str">
        <x:v>2n Cycle</x:v>
      </x:c>
      <x:c r="D446" s="6" t="str">
        <x:v>Married</x:v>
      </x:c>
      <x:c r="E446" s="6" t="n">
        <x:v>20130</x:v>
      </x:c>
      <x:c r="F446" s="6" t="n">
        <x:v>0</x:v>
      </x:c>
      <x:c r="G446" s="6" t="n">
        <x:v>0</x:v>
      </x:c>
      <x:c r="H446" s="9" t="str">
        <x:v>17-03-2014</x:v>
      </x:c>
      <x:c r="I446" s="6" t="n">
        <x:v>99</x:v>
      </x:c>
      <x:c r="J446" s="6" t="n">
        <x:v>0</x:v>
      </x:c>
      <x:c r="K446" s="6" t="n">
        <x:v>6</x:v>
      </x:c>
      <x:c r="L446" s="6" t="n">
        <x:v>3</x:v>
      </x:c>
      <x:c r="M446" s="6" t="n">
        <x:v>7</x:v>
      </x:c>
      <x:c r="N446" s="6" t="n">
        <x:v>6</x:v>
      </x:c>
      <x:c r="O446" s="6" t="n">
        <x:v>12</x:v>
      </x:c>
      <x:c r="P446" s="6" t="n">
        <x:v>1</x:v>
      </x:c>
      <x:c r="Q446" s="6" t="n">
        <x:v>1</x:v>
      </x:c>
      <x:c r="R446" s="6" t="n">
        <x:v>0</x:v>
      </x:c>
      <x:c r="S446" s="6" t="n">
        <x:v>3</x:v>
      </x:c>
      <x:c r="T446" s="6" t="n">
        <x:v>8</x:v>
      </x:c>
      <x:c r="U446" s="6" t="n">
        <x:v>0</x:v>
      </x:c>
      <x:c r="V446" s="6" t="n">
        <x:v>0</x:v>
      </x:c>
      <x:c r="W446" s="6" t="n">
        <x:v>0</x:v>
      </x:c>
      <x:c r="X446" s="6" t="n">
        <x:v>0</x:v>
      </x:c>
      <x:c r="Y446" s="6" t="n">
        <x:v>0</x:v>
      </x:c>
      <x:c r="Z446" s="6" t="n">
        <x:v>0</x:v>
      </x:c>
      <x:c r="AA446" s="6" t="n">
        <x:v>3</x:v>
      </x:c>
      <x:c r="AB446" s="6" t="n">
        <x:v>11</x:v>
      </x:c>
      <x:c r="AC446" s="6" t="n">
        <x:v>0</x:v>
      </x:c>
    </x:row>
    <x:row r="447">
      <x:c r="A447" s="6" t="n">
        <x:v>10364</x:v>
      </x:c>
      <x:c r="B447" s="6" t="n">
        <x:v>1959</x:v>
      </x:c>
      <x:c r="C447" s="6" t="str">
        <x:v>Graduation</x:v>
      </x:c>
      <x:c r="D447" s="6" t="str">
        <x:v>Divorced</x:v>
      </x:c>
      <x:c r="E447" s="6" t="n">
        <x:v>23295</x:v>
      </x:c>
      <x:c r="F447" s="6" t="n">
        <x:v>0</x:v>
      </x:c>
      <x:c r="G447" s="6" t="n">
        <x:v>0</x:v>
      </x:c>
      <x:c r="H447" s="9" t="str">
        <x:v>13-07-2013</x:v>
      </x:c>
      <x:c r="I447" s="6" t="n">
        <x:v>72</x:v>
      </x:c>
      <x:c r="J447" s="6" t="n">
        <x:v>0</x:v>
      </x:c>
      <x:c r="K447" s="6" t="n">
        <x:v>0</x:v>
      </x:c>
      <x:c r="L447" s="6" t="n">
        <x:v>1</x:v>
      </x:c>
      <x:c r="M447" s="6" t="n">
        <x:v>2</x:v>
      </x:c>
      <x:c r="N447" s="6" t="n">
        <x:v>12</x:v>
      </x:c>
      <x:c r="O447" s="6" t="n">
        <x:v>5</x:v>
      </x:c>
      <x:c r="P447" s="6" t="n">
        <x:v>1</x:v>
      </x:c>
      <x:c r="Q447" s="6" t="n">
        <x:v>1</x:v>
      </x:c>
      <x:c r="R447" s="6" t="n">
        <x:v>0</x:v>
      </x:c>
      <x:c r="S447" s="6" t="n">
        <x:v>2</x:v>
      </x:c>
      <x:c r="T447" s="6" t="n">
        <x:v>8</x:v>
      </x:c>
      <x:c r="U447" s="6" t="n">
        <x:v>0</x:v>
      </x:c>
      <x:c r="V447" s="6" t="n">
        <x:v>0</x:v>
      </x:c>
      <x:c r="W447" s="6" t="n">
        <x:v>0</x:v>
      </x:c>
      <x:c r="X447" s="6" t="n">
        <x:v>0</x:v>
      </x:c>
      <x:c r="Y447" s="6" t="n">
        <x:v>0</x:v>
      </x:c>
      <x:c r="Z447" s="6" t="n">
        <x:v>0</x:v>
      </x:c>
      <x:c r="AA447" s="6" t="n">
        <x:v>3</x:v>
      </x:c>
      <x:c r="AB447" s="6" t="n">
        <x:v>11</x:v>
      </x:c>
      <x:c r="AC447" s="6" t="n">
        <x:v>0</x:v>
      </x:c>
    </x:row>
    <x:row r="448">
      <x:c r="A448" s="6" t="n">
        <x:v>5954</x:v>
      </x:c>
      <x:c r="B448" s="6" t="n">
        <x:v>1972</x:v>
      </x:c>
      <x:c r="C448" s="6" t="str">
        <x:v>Master</x:v>
      </x:c>
      <x:c r="D448" s="6" t="str">
        <x:v>Divorced</x:v>
      </x:c>
      <x:c r="E448" s="6" t="n">
        <x:v>42618</x:v>
      </x:c>
      <x:c r="F448" s="6" t="n">
        <x:v>1</x:v>
      </x:c>
      <x:c r="G448" s="6" t="n">
        <x:v>0</x:v>
      </x:c>
      <x:c r="H448" s="9" t="str">
        <x:v>09-10-2013</x:v>
      </x:c>
      <x:c r="I448" s="6" t="n">
        <x:v>92</x:v>
      </x:c>
      <x:c r="J448" s="6" t="n">
        <x:v>76</x:v>
      </x:c>
      <x:c r="K448" s="6" t="n">
        <x:v>14</x:v>
      </x:c>
      <x:c r="L448" s="6" t="n">
        <x:v>74</x:v>
      </x:c>
      <x:c r="M448" s="6" t="n">
        <x:v>13</x:v>
      </x:c>
      <x:c r="N448" s="6" t="n">
        <x:v>5</x:v>
      </x:c>
      <x:c r="O448" s="6" t="n">
        <x:v>10</x:v>
      </x:c>
      <x:c r="P448" s="6" t="n">
        <x:v>2</x:v>
      </x:c>
      <x:c r="Q448" s="6" t="n">
        <x:v>5</x:v>
      </x:c>
      <x:c r="R448" s="6" t="n">
        <x:v>0</x:v>
      </x:c>
      <x:c r="S448" s="6" t="n">
        <x:v>4</x:v>
      </x:c>
      <x:c r="T448" s="6" t="n">
        <x:v>8</x:v>
      </x:c>
      <x:c r="U448" s="6" t="n">
        <x:v>0</x:v>
      </x:c>
      <x:c r="V448" s="6" t="n">
        <x:v>0</x:v>
      </x:c>
      <x:c r="W448" s="6" t="n">
        <x:v>0</x:v>
      </x:c>
      <x:c r="X448" s="6" t="n">
        <x:v>0</x:v>
      </x:c>
      <x:c r="Y448" s="6" t="n">
        <x:v>0</x:v>
      </x:c>
      <x:c r="Z448" s="6" t="n">
        <x:v>0</x:v>
      </x:c>
      <x:c r="AA448" s="6" t="n">
        <x:v>3</x:v>
      </x:c>
      <x:c r="AB448" s="6" t="n">
        <x:v>11</x:v>
      </x:c>
      <x:c r="AC448" s="6" t="n">
        <x:v>0</x:v>
      </x:c>
    </x:row>
    <x:row r="449">
      <x:c r="A449" s="6" t="n">
        <x:v>1137</x:v>
      </x:c>
      <x:c r="B449" s="6" t="n">
        <x:v>1964</x:v>
      </x:c>
      <x:c r="C449" s="6" t="str">
        <x:v>Graduation</x:v>
      </x:c>
      <x:c r="D449" s="6" t="str">
        <x:v>Single</x:v>
      </x:c>
      <x:c r="E449" s="6" t="n">
        <x:v>81246</x:v>
      </x:c>
      <x:c r="F449" s="6" t="n">
        <x:v>0</x:v>
      </x:c>
      <x:c r="G449" s="6" t="n">
        <x:v>0</x:v>
      </x:c>
      <x:c r="H449" s="9" t="str">
        <x:v>29-12-2013</x:v>
      </x:c>
      <x:c r="I449" s="6" t="n">
        <x:v>87</x:v>
      </x:c>
      <x:c r="J449" s="6" t="n">
        <x:v>398</x:v>
      </x:c>
      <x:c r="K449" s="6" t="n">
        <x:v>190</x:v>
      </x:c>
      <x:c r="L449" s="6" t="n">
        <x:v>537</x:v>
      </x:c>
      <x:c r="M449" s="6" t="n">
        <x:v>61</x:v>
      </x:c>
      <x:c r="N449" s="6" t="n">
        <x:v>156</x:v>
      </x:c>
      <x:c r="O449" s="6" t="n">
        <x:v>37</x:v>
      </x:c>
      <x:c r="P449" s="6" t="n">
        <x:v>1</x:v>
      </x:c>
      <x:c r="Q449" s="6" t="n">
        <x:v>4</x:v>
      </x:c>
      <x:c r="R449" s="6" t="n">
        <x:v>5</x:v>
      </x:c>
      <x:c r="S449" s="6" t="n">
        <x:v>7</x:v>
      </x:c>
      <x:c r="T449" s="6" t="n">
        <x:v>1</x:v>
      </x:c>
      <x:c r="U449" s="6" t="n">
        <x:v>1</x:v>
      </x:c>
      <x:c r="V449" s="6" t="n">
        <x:v>0</x:v>
      </x:c>
      <x:c r="W449" s="6" t="n">
        <x:v>0</x:v>
      </x:c>
      <x:c r="X449" s="6" t="n">
        <x:v>1</x:v>
      </x:c>
      <x:c r="Y449" s="6" t="n">
        <x:v>0</x:v>
      </x:c>
      <x:c r="Z449" s="6" t="n">
        <x:v>0</x:v>
      </x:c>
      <x:c r="AA449" s="6" t="n">
        <x:v>3</x:v>
      </x:c>
      <x:c r="AB449" s="6" t="n">
        <x:v>11</x:v>
      </x:c>
      <x:c r="AC449" s="6" t="n">
        <x:v>0</x:v>
      </x:c>
    </x:row>
    <x:row r="450">
      <x:c r="A450" s="6" t="n">
        <x:v>2541</x:v>
      </x:c>
      <x:c r="B450" s="6" t="n">
        <x:v>1976</x:v>
      </x:c>
      <x:c r="C450" s="6" t="str">
        <x:v>Graduation</x:v>
      </x:c>
      <x:c r="D450" s="6" t="str">
        <x:v>Married</x:v>
      </x:c>
      <x:c r="E450" s="6" t="n">
        <x:v>24027</x:v>
      </x:c>
      <x:c r="F450" s="6" t="n">
        <x:v>1</x:v>
      </x:c>
      <x:c r="G450" s="6" t="n">
        <x:v>0</x:v>
      </x:c>
      <x:c r="H450" s="9" t="str">
        <x:v>09-06-2013</x:v>
      </x:c>
      <x:c r="I450" s="6" t="n">
        <x:v>7</x:v>
      </x:c>
      <x:c r="J450" s="6" t="n">
        <x:v>14</x:v>
      </x:c>
      <x:c r="K450" s="6" t="n">
        <x:v>7</x:v>
      </x:c>
      <x:c r="L450" s="6" t="n">
        <x:v>11</x:v>
      </x:c>
      <x:c r="M450" s="6" t="n">
        <x:v>11</x:v>
      </x:c>
      <x:c r="N450" s="6" t="n">
        <x:v>0</x:v>
      </x:c>
      <x:c r="O450" s="6" t="n">
        <x:v>5</x:v>
      </x:c>
      <x:c r="P450" s="6" t="n">
        <x:v>2</x:v>
      </x:c>
      <x:c r="Q450" s="6" t="n">
        <x:v>2</x:v>
      </x:c>
      <x:c r="R450" s="6" t="n">
        <x:v>0</x:v>
      </x:c>
      <x:c r="S450" s="6" t="n">
        <x:v>3</x:v>
      </x:c>
      <x:c r="T450" s="6" t="n">
        <x:v>8</x:v>
      </x:c>
      <x:c r="U450" s="6" t="n">
        <x:v>0</x:v>
      </x:c>
      <x:c r="V450" s="6" t="n">
        <x:v>0</x:v>
      </x:c>
      <x:c r="W450" s="6" t="n">
        <x:v>0</x:v>
      </x:c>
      <x:c r="X450" s="6" t="n">
        <x:v>0</x:v>
      </x:c>
      <x:c r="Y450" s="6" t="n">
        <x:v>0</x:v>
      </x:c>
      <x:c r="Z450" s="6" t="n">
        <x:v>0</x:v>
      </x:c>
      <x:c r="AA450" s="6" t="n">
        <x:v>3</x:v>
      </x:c>
      <x:c r="AB450" s="6" t="n">
        <x:v>11</x:v>
      </x:c>
      <x:c r="AC450" s="6" t="n">
        <x:v>0</x:v>
      </x:c>
    </x:row>
    <x:row r="451">
      <x:c r="A451" s="6" t="n">
        <x:v>1142</x:v>
      </x:c>
      <x:c r="B451" s="6" t="n">
        <x:v>1953</x:v>
      </x:c>
      <x:c r="C451" s="6" t="str">
        <x:v>PhD</x:v>
      </x:c>
      <x:c r="D451" s="6" t="str">
        <x:v>Married</x:v>
      </x:c>
      <x:c r="E451" s="6" t="n">
        <x:v>55707</x:v>
      </x:c>
      <x:c r="F451" s="6" t="n">
        <x:v>0</x:v>
      </x:c>
      <x:c r="G451" s="6" t="n">
        <x:v>1</x:v>
      </x:c>
      <x:c r="H451" s="9" t="str">
        <x:v>22-12-2013</x:v>
      </x:c>
      <x:c r="I451" s="6" t="n">
        <x:v>91</x:v>
      </x:c>
      <x:c r="J451" s="6" t="n">
        <x:v>208</x:v>
      </x:c>
      <x:c r="K451" s="6" t="n">
        <x:v>7</x:v>
      </x:c>
      <x:c r="L451" s="6" t="n">
        <x:v>82</x:v>
      </x:c>
      <x:c r="M451" s="6" t="n">
        <x:v>30</x:v>
      </x:c>
      <x:c r="N451" s="6" t="n">
        <x:v>66</x:v>
      </x:c>
      <x:c r="O451" s="6" t="n">
        <x:v>35</x:v>
      </x:c>
      <x:c r="P451" s="6" t="n">
        <x:v>2</x:v>
      </x:c>
      <x:c r="Q451" s="6" t="n">
        <x:v>3</x:v>
      </x:c>
      <x:c r="R451" s="6" t="n">
        <x:v>2</x:v>
      </x:c>
      <x:c r="S451" s="6" t="n">
        <x:v>9</x:v>
      </x:c>
      <x:c r="T451" s="6" t="n">
        <x:v>3</x:v>
      </x:c>
      <x:c r="U451" s="6" t="n">
        <x:v>0</x:v>
      </x:c>
      <x:c r="V451" s="6" t="n">
        <x:v>0</x:v>
      </x:c>
      <x:c r="W451" s="6" t="n">
        <x:v>0</x:v>
      </x:c>
      <x:c r="X451" s="6" t="n">
        <x:v>0</x:v>
      </x:c>
      <x:c r="Y451" s="6" t="n">
        <x:v>0</x:v>
      </x:c>
      <x:c r="Z451" s="6" t="n">
        <x:v>0</x:v>
      </x:c>
      <x:c r="AA451" s="6" t="n">
        <x:v>3</x:v>
      </x:c>
      <x:c r="AB451" s="6" t="n">
        <x:v>11</x:v>
      </x:c>
      <x:c r="AC451" s="6" t="n">
        <x:v>0</x:v>
      </x:c>
    </x:row>
    <x:row r="452">
      <x:c r="A452" s="6" t="n">
        <x:v>2276</x:v>
      </x:c>
      <x:c r="B452" s="6" t="n">
        <x:v>1955</x:v>
      </x:c>
      <x:c r="C452" s="6" t="str">
        <x:v>Graduation</x:v>
      </x:c>
      <x:c r="D452" s="6" t="str">
        <x:v>Single</x:v>
      </x:c>
      <x:c r="E452" s="6" t="n">
        <x:v>57959</x:v>
      </x:c>
      <x:c r="F452" s="6" t="n">
        <x:v>0</x:v>
      </x:c>
      <x:c r="G452" s="6" t="n">
        <x:v>1</x:v>
      </x:c>
      <x:c r="H452" s="9" t="str">
        <x:v>02-05-2013</x:v>
      </x:c>
      <x:c r="I452" s="6" t="n">
        <x:v>71</x:v>
      </x:c>
      <x:c r="J452" s="6" t="n">
        <x:v>430</x:v>
      </x:c>
      <x:c r="K452" s="6" t="n">
        <x:v>16</x:v>
      </x:c>
      <x:c r="L452" s="6" t="n">
        <x:v>322</x:v>
      </x:c>
      <x:c r="M452" s="6" t="n">
        <x:v>43</x:v>
      </x:c>
      <x:c r="N452" s="6" t="n">
        <x:v>24</x:v>
      </x:c>
      <x:c r="O452" s="6" t="n">
        <x:v>33</x:v>
      </x:c>
      <x:c r="P452" s="6" t="n">
        <x:v>5</x:v>
      </x:c>
      <x:c r="Q452" s="6" t="n">
        <x:v>4</x:v>
      </x:c>
      <x:c r="R452" s="6" t="n">
        <x:v>7</x:v>
      </x:c>
      <x:c r="S452" s="6" t="n">
        <x:v>11</x:v>
      </x:c>
      <x:c r="T452" s="6" t="n">
        <x:v>3</x:v>
      </x:c>
      <x:c r="U452" s="6" t="n">
        <x:v>0</x:v>
      </x:c>
      <x:c r="V452" s="6" t="n">
        <x:v>0</x:v>
      </x:c>
      <x:c r="W452" s="6" t="n">
        <x:v>0</x:v>
      </x:c>
      <x:c r="X452" s="6" t="n">
        <x:v>0</x:v>
      </x:c>
      <x:c r="Y452" s="6" t="n">
        <x:v>0</x:v>
      </x:c>
      <x:c r="Z452" s="6" t="n">
        <x:v>0</x:v>
      </x:c>
      <x:c r="AA452" s="6" t="n">
        <x:v>3</x:v>
      </x:c>
      <x:c r="AB452" s="6" t="n">
        <x:v>11</x:v>
      </x:c>
      <x:c r="AC452" s="6" t="n">
        <x:v>0</x:v>
      </x:c>
    </x:row>
    <x:row r="453">
      <x:c r="A453" s="6" t="n">
        <x:v>2807</x:v>
      </x:c>
      <x:c r="B453" s="6" t="n">
        <x:v>1969</x:v>
      </x:c>
      <x:c r="C453" s="6" t="str">
        <x:v>Graduation</x:v>
      </x:c>
      <x:c r="D453" s="6" t="str">
        <x:v>Married</x:v>
      </x:c>
      <x:c r="E453" s="6" t="n">
        <x:v>56796</x:v>
      </x:c>
      <x:c r="F453" s="6" t="n">
        <x:v>0</x:v>
      </x:c>
      <x:c r="G453" s="6" t="n">
        <x:v>1</x:v>
      </x:c>
      <x:c r="H453" s="9" t="str">
        <x:v>16-02-2013</x:v>
      </x:c>
      <x:c r="I453" s="6" t="n">
        <x:v>24</x:v>
      </x:c>
      <x:c r="J453" s="6" t="n">
        <x:v>656</x:v>
      </x:c>
      <x:c r="K453" s="6" t="n">
        <x:v>38</x:v>
      </x:c>
      <x:c r="L453" s="6" t="n">
        <x:v>161</x:v>
      </x:c>
      <x:c r="M453" s="6" t="n">
        <x:v>62</x:v>
      </x:c>
      <x:c r="N453" s="6" t="n">
        <x:v>47</x:v>
      </x:c>
      <x:c r="O453" s="6" t="n">
        <x:v>37</x:v>
      </x:c>
      <x:c r="P453" s="6" t="n">
        <x:v>3</x:v>
      </x:c>
      <x:c r="Q453" s="6" t="n">
        <x:v>8</x:v>
      </x:c>
      <x:c r="R453" s="6" t="n">
        <x:v>9</x:v>
      </x:c>
      <x:c r="S453" s="6" t="n">
        <x:v>7</x:v>
      </x:c>
      <x:c r="T453" s="6" t="n">
        <x:v>7</x:v>
      </x:c>
      <x:c r="U453" s="6" t="n">
        <x:v>0</x:v>
      </x:c>
      <x:c r="V453" s="6" t="n">
        <x:v>0</x:v>
      </x:c>
      <x:c r="W453" s="6" t="n">
        <x:v>0</x:v>
      </x:c>
      <x:c r="X453" s="6" t="n">
        <x:v>0</x:v>
      </x:c>
      <x:c r="Y453" s="6" t="n">
        <x:v>0</x:v>
      </x:c>
      <x:c r="Z453" s="6" t="n">
        <x:v>0</x:v>
      </x:c>
      <x:c r="AA453" s="6" t="n">
        <x:v>3</x:v>
      </x:c>
      <x:c r="AB453" s="6" t="n">
        <x:v>11</x:v>
      </x:c>
      <x:c r="AC453" s="6" t="n">
        <x:v>0</x:v>
      </x:c>
    </x:row>
    <x:row r="454">
      <x:c r="A454" s="6" t="n">
        <x:v>6471</x:v>
      </x:c>
      <x:c r="B454" s="6" t="n">
        <x:v>1971</x:v>
      </x:c>
      <x:c r="C454" s="6" t="str">
        <x:v>Master</x:v>
      </x:c>
      <x:c r="D454" s="6" t="str">
        <x:v>Single</x:v>
      </x:c>
      <x:c r="E454" s="6" t="n">
        <x:v>36230</x:v>
      </x:c>
      <x:c r="F454" s="6" t="n">
        <x:v>1</x:v>
      </x:c>
      <x:c r="G454" s="6" t="n">
        <x:v>0</x:v>
      </x:c>
      <x:c r="H454" s="9" t="str">
        <x:v>17-10-2013</x:v>
      </x:c>
      <x:c r="I454" s="6" t="n">
        <x:v>17</x:v>
      </x:c>
      <x:c r="J454" s="6" t="n">
        <x:v>14</x:v>
      </x:c>
      <x:c r="K454" s="6" t="n">
        <x:v>2</x:v>
      </x:c>
      <x:c r="L454" s="6" t="n">
        <x:v>30</x:v>
      </x:c>
      <x:c r="M454" s="6" t="n">
        <x:v>8</x:v>
      </x:c>
      <x:c r="N454" s="6" t="n">
        <x:v>2</x:v>
      </x:c>
      <x:c r="O454" s="6" t="n">
        <x:v>3</x:v>
      </x:c>
      <x:c r="P454" s="6" t="n">
        <x:v>1</x:v>
      </x:c>
      <x:c r="Q454" s="6" t="n">
        <x:v>2</x:v>
      </x:c>
      <x:c r="R454" s="6" t="n">
        <x:v>0</x:v>
      </x:c>
      <x:c r="S454" s="6" t="n">
        <x:v>4</x:v>
      </x:c>
      <x:c r="T454" s="6" t="n">
        <x:v>5</x:v>
      </x:c>
      <x:c r="U454" s="6" t="n">
        <x:v>0</x:v>
      </x:c>
      <x:c r="V454" s="6" t="n">
        <x:v>0</x:v>
      </x:c>
      <x:c r="W454" s="6" t="n">
        <x:v>0</x:v>
      </x:c>
      <x:c r="X454" s="6" t="n">
        <x:v>0</x:v>
      </x:c>
      <x:c r="Y454" s="6" t="n">
        <x:v>0</x:v>
      </x:c>
      <x:c r="Z454" s="6" t="n">
        <x:v>0</x:v>
      </x:c>
      <x:c r="AA454" s="6" t="n">
        <x:v>3</x:v>
      </x:c>
      <x:c r="AB454" s="6" t="n">
        <x:v>11</x:v>
      </x:c>
      <x:c r="AC454" s="6" t="n">
        <x:v>0</x:v>
      </x:c>
    </x:row>
    <x:row r="455">
      <x:c r="A455" s="6" t="n">
        <x:v>6131</x:v>
      </x:c>
      <x:c r="B455" s="6" t="n">
        <x:v>1980</x:v>
      </x:c>
      <x:c r="C455" s="6" t="str">
        <x:v>2n Cycle</x:v>
      </x:c>
      <x:c r="D455" s="6" t="str">
        <x:v>Married</x:v>
      </x:c>
      <x:c r="E455" s="6" t="n">
        <x:v>70829</x:v>
      </x:c>
      <x:c r="F455" s="6" t="n">
        <x:v>1</x:v>
      </x:c>
      <x:c r="G455" s="6" t="n">
        <x:v>1</x:v>
      </x:c>
      <x:c r="H455" s="9" t="str">
        <x:v>01-12-2013</x:v>
      </x:c>
      <x:c r="I455" s="6" t="n">
        <x:v>87</x:v>
      </x:c>
      <x:c r="J455" s="6" t="n">
        <x:v>141</x:v>
      </x:c>
      <x:c r="K455" s="6" t="n">
        <x:v>70</x:v>
      </x:c>
      <x:c r="L455" s="6" t="n">
        <x:v>106</x:v>
      </x:c>
      <x:c r="M455" s="6" t="n">
        <x:v>72</x:v>
      </x:c>
      <x:c r="N455" s="6" t="n">
        <x:v>19</x:v>
      </x:c>
      <x:c r="O455" s="6" t="n">
        <x:v>23</x:v>
      </x:c>
      <x:c r="P455" s="6" t="n">
        <x:v>2</x:v>
      </x:c>
      <x:c r="Q455" s="6" t="n">
        <x:v>4</x:v>
      </x:c>
      <x:c r="R455" s="6" t="n">
        <x:v>2</x:v>
      </x:c>
      <x:c r="S455" s="6" t="n">
        <x:v>8</x:v>
      </x:c>
      <x:c r="T455" s="6" t="n">
        <x:v>3</x:v>
      </x:c>
      <x:c r="U455" s="6" t="n">
        <x:v>0</x:v>
      </x:c>
      <x:c r="V455" s="6" t="n">
        <x:v>0</x:v>
      </x:c>
      <x:c r="W455" s="6" t="n">
        <x:v>0</x:v>
      </x:c>
      <x:c r="X455" s="6" t="n">
        <x:v>0</x:v>
      </x:c>
      <x:c r="Y455" s="6" t="n">
        <x:v>0</x:v>
      </x:c>
      <x:c r="Z455" s="6" t="n">
        <x:v>0</x:v>
      </x:c>
      <x:c r="AA455" s="6" t="n">
        <x:v>3</x:v>
      </x:c>
      <x:c r="AB455" s="6" t="n">
        <x:v>11</x:v>
      </x:c>
      <x:c r="AC455" s="6" t="n">
        <x:v>0</x:v>
      </x:c>
    </x:row>
    <x:row r="456">
      <x:c r="A456" s="6" t="n">
        <x:v>6233</x:v>
      </x:c>
      <x:c r="B456" s="6" t="n">
        <x:v>1976</x:v>
      </x:c>
      <x:c r="C456" s="6" t="str">
        <x:v>Graduation</x:v>
      </x:c>
      <x:c r="D456" s="6" t="str">
        <x:v>Married</x:v>
      </x:c>
      <x:c r="E456" s="6" t="n">
        <x:v>65991</x:v>
      </x:c>
      <x:c r="F456" s="6" t="n">
        <x:v>0</x:v>
      </x:c>
      <x:c r="G456" s="6" t="n">
        <x:v>1</x:v>
      </x:c>
      <x:c r="H456" s="9" t="str">
        <x:v>07-09-2012</x:v>
      </x:c>
      <x:c r="I456" s="6" t="n">
        <x:v>21</x:v>
      </x:c>
      <x:c r="J456" s="6" t="n">
        <x:v>507</x:v>
      </x:c>
      <x:c r="K456" s="6" t="n">
        <x:v>19</x:v>
      </x:c>
      <x:c r="L456" s="6" t="n">
        <x:v>364</x:v>
      </x:c>
      <x:c r="M456" s="6" t="n">
        <x:v>25</x:v>
      </x:c>
      <x:c r="N456" s="6" t="n">
        <x:v>47</x:v>
      </x:c>
      <x:c r="O456" s="6" t="n">
        <x:v>9</x:v>
      </x:c>
      <x:c r="P456" s="6" t="n">
        <x:v>3</x:v>
      </x:c>
      <x:c r="Q456" s="6" t="n">
        <x:v>9</x:v>
      </x:c>
      <x:c r="R456" s="6" t="n">
        <x:v>5</x:v>
      </x:c>
      <x:c r="S456" s="6" t="n">
        <x:v>10</x:v>
      </x:c>
      <x:c r="T456" s="6" t="n">
        <x:v>7</x:v>
      </x:c>
      <x:c r="U456" s="6" t="n">
        <x:v>0</x:v>
      </x:c>
      <x:c r="V456" s="6" t="n">
        <x:v>0</x:v>
      </x:c>
      <x:c r="W456" s="6" t="n">
        <x:v>0</x:v>
      </x:c>
      <x:c r="X456" s="6" t="n">
        <x:v>0</x:v>
      </x:c>
      <x:c r="Y456" s="6" t="n">
        <x:v>0</x:v>
      </x:c>
      <x:c r="Z456" s="6" t="n">
        <x:v>0</x:v>
      </x:c>
      <x:c r="AA456" s="6" t="n">
        <x:v>3</x:v>
      </x:c>
      <x:c r="AB456" s="6" t="n">
        <x:v>11</x:v>
      </x:c>
      <x:c r="AC456" s="6" t="n">
        <x:v>0</x:v>
      </x:c>
    </x:row>
    <x:row r="457">
      <x:c r="A457" s="6" t="n">
        <x:v>4148</x:v>
      </x:c>
      <x:c r="B457" s="6" t="n">
        <x:v>1972</x:v>
      </x:c>
      <x:c r="C457" s="6" t="str">
        <x:v>Graduation</x:v>
      </x:c>
      <x:c r="D457" s="6" t="str">
        <x:v>Married</x:v>
      </x:c>
      <x:c r="E457" s="6" t="n">
        <x:v>38988</x:v>
      </x:c>
      <x:c r="F457" s="6" t="n">
        <x:v>1</x:v>
      </x:c>
      <x:c r="G457" s="6" t="n">
        <x:v>2</x:v>
      </x:c>
      <x:c r="H457" s="9" t="str">
        <x:v>20-08-2012</x:v>
      </x:c>
      <x:c r="I457" s="6" t="n">
        <x:v>90</x:v>
      </x:c>
      <x:c r="J457" s="6" t="n">
        <x:v>164</x:v>
      </x:c>
      <x:c r="K457" s="6" t="n">
        <x:v>24</x:v>
      </x:c>
      <x:c r="L457" s="6" t="n">
        <x:v>103</x:v>
      </x:c>
      <x:c r="M457" s="6" t="n">
        <x:v>12</x:v>
      </x:c>
      <x:c r="N457" s="6" t="n">
        <x:v>3</x:v>
      </x:c>
      <x:c r="O457" s="6" t="n">
        <x:v>42</x:v>
      </x:c>
      <x:c r="P457" s="6" t="n">
        <x:v>7</x:v>
      </x:c>
      <x:c r="Q457" s="6" t="n">
        <x:v>5</x:v>
      </x:c>
      <x:c r="R457" s="6" t="n">
        <x:v>1</x:v>
      </x:c>
      <x:c r="S457" s="6" t="n">
        <x:v>6</x:v>
      </x:c>
      <x:c r="T457" s="6" t="n">
        <x:v>8</x:v>
      </x:c>
      <x:c r="U457" s="6" t="n">
        <x:v>0</x:v>
      </x:c>
      <x:c r="V457" s="6" t="n">
        <x:v>0</x:v>
      </x:c>
      <x:c r="W457" s="6" t="n">
        <x:v>0</x:v>
      </x:c>
      <x:c r="X457" s="6" t="n">
        <x:v>0</x:v>
      </x:c>
      <x:c r="Y457" s="6" t="n">
        <x:v>0</x:v>
      </x:c>
      <x:c r="Z457" s="6" t="n">
        <x:v>0</x:v>
      </x:c>
      <x:c r="AA457" s="6" t="n">
        <x:v>3</x:v>
      </x:c>
      <x:c r="AB457" s="6" t="n">
        <x:v>11</x:v>
      </x:c>
      <x:c r="AC457" s="6" t="n">
        <x:v>0</x:v>
      </x:c>
    </x:row>
    <x:row r="458">
      <x:c r="A458" s="6" t="n">
        <x:v>4947</x:v>
      </x:c>
      <x:c r="B458" s="6" t="n">
        <x:v>1966</x:v>
      </x:c>
      <x:c r="C458" s="6" t="str">
        <x:v>2n Cycle</x:v>
      </x:c>
      <x:c r="D458" s="6" t="str">
        <x:v>Single</x:v>
      </x:c>
      <x:c r="E458" s="6" t="n">
        <x:v>89572</x:v>
      </x:c>
      <x:c r="F458" s="6" t="n">
        <x:v>0</x:v>
      </x:c>
      <x:c r="G458" s="6" t="n">
        <x:v>0</x:v>
      </x:c>
      <x:c r="H458" s="9" t="str">
        <x:v>15-09-2012</x:v>
      </x:c>
      <x:c r="I458" s="6" t="n">
        <x:v>44</x:v>
      </x:c>
      <x:c r="J458" s="6" t="n">
        <x:v>606</x:v>
      </x:c>
      <x:c r="K458" s="6" t="n">
        <x:v>24</x:v>
      </x:c>
      <x:c r="L458" s="6" t="n">
        <x:v>974</x:v>
      </x:c>
      <x:c r="M458" s="6" t="n">
        <x:v>197</x:v>
      </x:c>
      <x:c r="N458" s="6" t="n">
        <x:v>194</x:v>
      </x:c>
      <x:c r="O458" s="6" t="n">
        <x:v>64</x:v>
      </x:c>
      <x:c r="P458" s="6" t="n">
        <x:v>1</x:v>
      </x:c>
      <x:c r="Q458" s="6" t="n">
        <x:v>7</x:v>
      </x:c>
      <x:c r="R458" s="6" t="n">
        <x:v>7</x:v>
      </x:c>
      <x:c r="S458" s="6" t="n">
        <x:v>9</x:v>
      </x:c>
      <x:c r="T458" s="6" t="n">
        <x:v>4</x:v>
      </x:c>
      <x:c r="U458" s="6" t="n">
        <x:v>0</x:v>
      </x:c>
      <x:c r="V458" s="6" t="n">
        <x:v>1</x:v>
      </x:c>
      <x:c r="W458" s="6" t="n">
        <x:v>0</x:v>
      </x:c>
      <x:c r="X458" s="6" t="n">
        <x:v>1</x:v>
      </x:c>
      <x:c r="Y458" s="6" t="n">
        <x:v>0</x:v>
      </x:c>
      <x:c r="Z458" s="6" t="n">
        <x:v>0</x:v>
      </x:c>
      <x:c r="AA458" s="6" t="n">
        <x:v>3</x:v>
      </x:c>
      <x:c r="AB458" s="6" t="n">
        <x:v>11</x:v>
      </x:c>
      <x:c r="AC458" s="6" t="n">
        <x:v>1</x:v>
      </x:c>
    </x:row>
    <x:row r="459">
      <x:c r="A459" s="6" t="n">
        <x:v>3225</x:v>
      </x:c>
      <x:c r="B459" s="6" t="n">
        <x:v>1984</x:v>
      </x:c>
      <x:c r="C459" s="6" t="str">
        <x:v>Master</x:v>
      </x:c>
      <x:c r="D459" s="6" t="str">
        <x:v>Married</x:v>
      </x:c>
      <x:c r="E459" s="6" t="n">
        <x:v>42207</x:v>
      </x:c>
      <x:c r="F459" s="6" t="n">
        <x:v>1</x:v>
      </x:c>
      <x:c r="G459" s="6" t="n">
        <x:v>0</x:v>
      </x:c>
      <x:c r="H459" s="9" t="str">
        <x:v>01-04-2013</x:v>
      </x:c>
      <x:c r="I459" s="6" t="n">
        <x:v>71</x:v>
      </x:c>
      <x:c r="J459" s="6" t="n">
        <x:v>116</x:v>
      </x:c>
      <x:c r="K459" s="6" t="n">
        <x:v>11</x:v>
      </x:c>
      <x:c r="L459" s="6" t="n">
        <x:v>72</x:v>
      </x:c>
      <x:c r="M459" s="6" t="n">
        <x:v>3</x:v>
      </x:c>
      <x:c r="N459" s="6" t="n">
        <x:v>17</x:v>
      </x:c>
      <x:c r="O459" s="6" t="n">
        <x:v>46</x:v>
      </x:c>
      <x:c r="P459" s="6" t="n">
        <x:v>4</x:v>
      </x:c>
      <x:c r="Q459" s="6" t="n">
        <x:v>4</x:v>
      </x:c>
      <x:c r="R459" s="6" t="n">
        <x:v>1</x:v>
      </x:c>
      <x:c r="S459" s="6" t="n">
        <x:v>5</x:v>
      </x:c>
      <x:c r="T459" s="6" t="n">
        <x:v>6</x:v>
      </x:c>
      <x:c r="U459" s="6" t="n">
        <x:v>1</x:v>
      </x:c>
      <x:c r="V459" s="6" t="n">
        <x:v>0</x:v>
      </x:c>
      <x:c r="W459" s="6" t="n">
        <x:v>0</x:v>
      </x:c>
      <x:c r="X459" s="6" t="n">
        <x:v>0</x:v>
      </x:c>
      <x:c r="Y459" s="6" t="n">
        <x:v>0</x:v>
      </x:c>
      <x:c r="Z459" s="6" t="n">
        <x:v>0</x:v>
      </x:c>
      <x:c r="AA459" s="6" t="n">
        <x:v>3</x:v>
      </x:c>
      <x:c r="AB459" s="6" t="n">
        <x:v>11</x:v>
      </x:c>
      <x:c r="AC459" s="6" t="n">
        <x:v>1</x:v>
      </x:c>
    </x:row>
    <x:row r="460">
      <x:c r="A460" s="6" t="n">
        <x:v>7540</x:v>
      </x:c>
      <x:c r="B460" s="6" t="n">
        <x:v>1952</x:v>
      </x:c>
      <x:c r="C460" s="6" t="str">
        <x:v>Graduation</x:v>
      </x:c>
      <x:c r="D460" s="6" t="str">
        <x:v>Married</x:v>
      </x:c>
      <x:c r="E460" s="6" t="n">
        <x:v>50300</x:v>
      </x:c>
      <x:c r="F460" s="6" t="n">
        <x:v>0</x:v>
      </x:c>
      <x:c r="G460" s="6" t="n">
        <x:v>1</x:v>
      </x:c>
      <x:c r="H460" s="9" t="str">
        <x:v>25-05-2014</x:v>
      </x:c>
      <x:c r="I460" s="6" t="n">
        <x:v>52</x:v>
      </x:c>
      <x:c r="J460" s="6" t="n">
        <x:v>143</x:v>
      </x:c>
      <x:c r="K460" s="6" t="n">
        <x:v>15</x:v>
      </x:c>
      <x:c r="L460" s="6" t="n">
        <x:v>60</x:v>
      </x:c>
      <x:c r="M460" s="6" t="n">
        <x:v>24</x:v>
      </x:c>
      <x:c r="N460" s="6" t="n">
        <x:v>23</x:v>
      </x:c>
      <x:c r="O460" s="6" t="n">
        <x:v>5</x:v>
      </x:c>
      <x:c r="P460" s="6" t="n">
        <x:v>2</x:v>
      </x:c>
      <x:c r="Q460" s="6" t="n">
        <x:v>2</x:v>
      </x:c>
      <x:c r="R460" s="6" t="n">
        <x:v>1</x:v>
      </x:c>
      <x:c r="S460" s="6" t="n">
        <x:v>8</x:v>
      </x:c>
      <x:c r="T460" s="6" t="n">
        <x:v>2</x:v>
      </x:c>
      <x:c r="U460" s="6" t="n">
        <x:v>0</x:v>
      </x:c>
      <x:c r="V460" s="6" t="n">
        <x:v>0</x:v>
      </x:c>
      <x:c r="W460" s="6" t="n">
        <x:v>0</x:v>
      </x:c>
      <x:c r="X460" s="6" t="n">
        <x:v>0</x:v>
      </x:c>
      <x:c r="Y460" s="6" t="n">
        <x:v>0</x:v>
      </x:c>
      <x:c r="Z460" s="6" t="n">
        <x:v>0</x:v>
      </x:c>
      <x:c r="AA460" s="6" t="n">
        <x:v>3</x:v>
      </x:c>
      <x:c r="AB460" s="6" t="n">
        <x:v>11</x:v>
      </x:c>
      <x:c r="AC460" s="6" t="n">
        <x:v>0</x:v>
      </x:c>
    </x:row>
    <x:row r="461">
      <x:c r="A461" s="6" t="n">
        <x:v>10648</x:v>
      </x:c>
      <x:c r="B461" s="6" t="n">
        <x:v>1982</x:v>
      </x:c>
      <x:c r="C461" s="6" t="str">
        <x:v>2n Cycle</x:v>
      </x:c>
      <x:c r="D461" s="6" t="str">
        <x:v>Together</x:v>
      </x:c>
      <x:c r="E461" s="6" t="n">
        <x:v>66664</x:v>
      </x:c>
      <x:c r="F461" s="6" t="n">
        <x:v>0</x:v>
      </x:c>
      <x:c r="G461" s="6" t="n">
        <x:v>0</x:v>
      </x:c>
      <x:c r="H461" s="9" t="str">
        <x:v>25-09-2012</x:v>
      </x:c>
      <x:c r="I461" s="6" t="n">
        <x:v>78</x:v>
      </x:c>
      <x:c r="J461" s="6" t="n">
        <x:v>398</x:v>
      </x:c>
      <x:c r="K461" s="6" t="n">
        <x:v>96</x:v>
      </x:c>
      <x:c r="L461" s="6" t="n">
        <x:v>447</x:v>
      </x:c>
      <x:c r="M461" s="6" t="n">
        <x:v>220</x:v>
      </x:c>
      <x:c r="N461" s="6" t="n">
        <x:v>96</x:v>
      </x:c>
      <x:c r="O461" s="6" t="n">
        <x:v>32</x:v>
      </x:c>
      <x:c r="P461" s="6" t="n">
        <x:v>1</x:v>
      </x:c>
      <x:c r="Q461" s="6" t="n">
        <x:v>5</x:v>
      </x:c>
      <x:c r="R461" s="6" t="n">
        <x:v>7</x:v>
      </x:c>
      <x:c r="S461" s="6" t="n">
        <x:v>6</x:v>
      </x:c>
      <x:c r="T461" s="6" t="n">
        <x:v>3</x:v>
      </x:c>
      <x:c r="U461" s="6" t="n">
        <x:v>0</x:v>
      </x:c>
      <x:c r="V461" s="6" t="n">
        <x:v>0</x:v>
      </x:c>
      <x:c r="W461" s="6" t="n">
        <x:v>0</x:v>
      </x:c>
      <x:c r="X461" s="6" t="n">
        <x:v>0</x:v>
      </x:c>
      <x:c r="Y461" s="6" t="n">
        <x:v>0</x:v>
      </x:c>
      <x:c r="Z461" s="6" t="n">
        <x:v>0</x:v>
      </x:c>
      <x:c r="AA461" s="6" t="n">
        <x:v>3</x:v>
      </x:c>
      <x:c r="AB461" s="6" t="n">
        <x:v>11</x:v>
      </x:c>
      <x:c r="AC461" s="6" t="n">
        <x:v>0</x:v>
      </x:c>
    </x:row>
    <x:row r="462">
      <x:c r="A462" s="6" t="n">
        <x:v>1992</x:v>
      </x:c>
      <x:c r="B462" s="6" t="n">
        <x:v>1964</x:v>
      </x:c>
      <x:c r="C462" s="6" t="str">
        <x:v>Graduation</x:v>
      </x:c>
      <x:c r="D462" s="6" t="str">
        <x:v>Married</x:v>
      </x:c>
      <x:c r="E462" s="6" t="n">
        <x:v>60597</x:v>
      </x:c>
      <x:c r="F462" s="6" t="n">
        <x:v>0</x:v>
      </x:c>
      <x:c r="G462" s="6" t="n">
        <x:v>1</x:v>
      </x:c>
      <x:c r="H462" s="9" t="str">
        <x:v>01-01-2014</x:v>
      </x:c>
      <x:c r="I462" s="6" t="n">
        <x:v>2</x:v>
      </x:c>
      <x:c r="J462" s="6" t="n">
        <x:v>522</x:v>
      </x:c>
      <x:c r="K462" s="6" t="n">
        <x:v>0</x:v>
      </x:c>
      <x:c r="L462" s="6" t="n">
        <x:v>257</x:v>
      </x:c>
      <x:c r="M462" s="6" t="n">
        <x:v>32</x:v>
      </x:c>
      <x:c r="N462" s="6" t="n">
        <x:v>16</x:v>
      </x:c>
      <x:c r="O462" s="6" t="n">
        <x:v>66</x:v>
      </x:c>
      <x:c r="P462" s="6" t="n">
        <x:v>4</x:v>
      </x:c>
      <x:c r="Q462" s="6" t="n">
        <x:v>2</x:v>
      </x:c>
      <x:c r="R462" s="6" t="n">
        <x:v>2</x:v>
      </x:c>
      <x:c r="S462" s="6" t="n">
        <x:v>8</x:v>
      </x:c>
      <x:c r="T462" s="6" t="n">
        <x:v>7</x:v>
      </x:c>
      <x:c r="U462" s="6" t="n">
        <x:v>0</x:v>
      </x:c>
      <x:c r="V462" s="6" t="n">
        <x:v>0</x:v>
      </x:c>
      <x:c r="W462" s="6" t="n">
        <x:v>0</x:v>
      </x:c>
      <x:c r="X462" s="6" t="n">
        <x:v>1</x:v>
      </x:c>
      <x:c r="Y462" s="6" t="n">
        <x:v>0</x:v>
      </x:c>
      <x:c r="Z462" s="6" t="n">
        <x:v>0</x:v>
      </x:c>
      <x:c r="AA462" s="6" t="n">
        <x:v>3</x:v>
      </x:c>
      <x:c r="AB462" s="6" t="n">
        <x:v>11</x:v>
      </x:c>
      <x:c r="AC462" s="6" t="n">
        <x:v>1</x:v>
      </x:c>
    </x:row>
    <x:row r="463">
      <x:c r="A463" s="6" t="n">
        <x:v>7851</x:v>
      </x:c>
      <x:c r="B463" s="6" t="n">
        <x:v>1949</x:v>
      </x:c>
      <x:c r="C463" s="6" t="str">
        <x:v>Graduation</x:v>
      </x:c>
      <x:c r="D463" s="6" t="str">
        <x:v>Widow</x:v>
      </x:c>
      <x:c r="E463" s="6" t="n">
        <x:v>70165</x:v>
      </x:c>
      <x:c r="F463" s="6" t="n">
        <x:v>0</x:v>
      </x:c>
      <x:c r="G463" s="6" t="n">
        <x:v>0</x:v>
      </x:c>
      <x:c r="H463" s="9" t="str">
        <x:v>22-09-2013</x:v>
      </x:c>
      <x:c r="I463" s="6" t="n">
        <x:v>60</x:v>
      </x:c>
      <x:c r="J463" s="6" t="n">
        <x:v>161</x:v>
      </x:c>
      <x:c r="K463" s="6" t="n">
        <x:v>0</x:v>
      </x:c>
      <x:c r="L463" s="6" t="n">
        <x:v>253</x:v>
      </x:c>
      <x:c r="M463" s="6" t="n">
        <x:v>199</x:v>
      </x:c>
      <x:c r="N463" s="6" t="n">
        <x:v>191</x:v>
      </x:c>
      <x:c r="O463" s="6" t="n">
        <x:v>122</x:v>
      </x:c>
      <x:c r="P463" s="6" t="n">
        <x:v>1</x:v>
      </x:c>
      <x:c r="Q463" s="6" t="n">
        <x:v>3</x:v>
      </x:c>
      <x:c r="R463" s="6" t="n">
        <x:v>7</x:v>
      </x:c>
      <x:c r="S463" s="6" t="n">
        <x:v>11</x:v>
      </x:c>
      <x:c r="T463" s="6" t="n">
        <x:v>1</x:v>
      </x:c>
      <x:c r="U463" s="6" t="n">
        <x:v>0</x:v>
      </x:c>
      <x:c r="V463" s="6" t="n">
        <x:v>0</x:v>
      </x:c>
      <x:c r="W463" s="6" t="n">
        <x:v>0</x:v>
      </x:c>
      <x:c r="X463" s="6" t="n">
        <x:v>0</x:v>
      </x:c>
      <x:c r="Y463" s="6" t="n">
        <x:v>0</x:v>
      </x:c>
      <x:c r="Z463" s="6" t="n">
        <x:v>0</x:v>
      </x:c>
      <x:c r="AA463" s="6" t="n">
        <x:v>3</x:v>
      </x:c>
      <x:c r="AB463" s="6" t="n">
        <x:v>11</x:v>
      </x:c>
      <x:c r="AC463" s="6" t="n">
        <x:v>0</x:v>
      </x:c>
    </x:row>
    <x:row r="464">
      <x:c r="A464" s="6" t="n">
        <x:v>8594</x:v>
      </x:c>
      <x:c r="B464" s="6" t="n">
        <x:v>1958</x:v>
      </x:c>
      <x:c r="C464" s="6" t="str">
        <x:v>PhD</x:v>
      </x:c>
      <x:c r="D464" s="6" t="str">
        <x:v>Widow</x:v>
      </x:c>
      <x:c r="E464" s="6" t="n">
        <x:v>50520</x:v>
      </x:c>
      <x:c r="F464" s="6" t="n">
        <x:v>0</x:v>
      </x:c>
      <x:c r="G464" s="6" t="n">
        <x:v>1</x:v>
      </x:c>
      <x:c r="H464" s="9" t="str">
        <x:v>28-01-2014</x:v>
      </x:c>
      <x:c r="I464" s="6" t="n">
        <x:v>25</x:v>
      </x:c>
      <x:c r="J464" s="6" t="n">
        <x:v>112</x:v>
      </x:c>
      <x:c r="K464" s="6" t="n">
        <x:v>0</x:v>
      </x:c>
      <x:c r="L464" s="6" t="n">
        <x:v>6</x:v>
      </x:c>
      <x:c r="M464" s="6" t="n">
        <x:v>2</x:v>
      </x:c>
      <x:c r="N464" s="6" t="n">
        <x:v>1</x:v>
      </x:c>
      <x:c r="O464" s="6" t="n">
        <x:v>14</x:v>
      </x:c>
      <x:c r="P464" s="6" t="n">
        <x:v>2</x:v>
      </x:c>
      <x:c r="Q464" s="6" t="n">
        <x:v>3</x:v>
      </x:c>
      <x:c r="R464" s="6" t="n">
        <x:v>1</x:v>
      </x:c>
      <x:c r="S464" s="6" t="n">
        <x:v>3</x:v>
      </x:c>
      <x:c r="T464" s="6" t="n">
        <x:v>6</x:v>
      </x:c>
      <x:c r="U464" s="6" t="n">
        <x:v>0</x:v>
      </x:c>
      <x:c r="V464" s="6" t="n">
        <x:v>0</x:v>
      </x:c>
      <x:c r="W464" s="6" t="n">
        <x:v>0</x:v>
      </x:c>
      <x:c r="X464" s="6" t="n">
        <x:v>0</x:v>
      </x:c>
      <x:c r="Y464" s="6" t="n">
        <x:v>0</x:v>
      </x:c>
      <x:c r="Z464" s="6" t="n">
        <x:v>0</x:v>
      </x:c>
      <x:c r="AA464" s="6" t="n">
        <x:v>3</x:v>
      </x:c>
      <x:c r="AB464" s="6" t="n">
        <x:v>11</x:v>
      </x:c>
      <x:c r="AC464" s="6" t="n">
        <x:v>0</x:v>
      </x:c>
    </x:row>
    <x:row r="465">
      <x:c r="A465" s="6" t="n">
        <x:v>7059</x:v>
      </x:c>
      <x:c r="B465" s="6" t="n">
        <x:v>1963</x:v>
      </x:c>
      <x:c r="C465" s="6" t="str">
        <x:v>Graduation</x:v>
      </x:c>
      <x:c r="D465" s="6" t="str">
        <x:v>Married</x:v>
      </x:c>
      <x:c r="E465" s="6" t="n">
        <x:v>80124</x:v>
      </x:c>
      <x:c r="F465" s="6" t="n">
        <x:v>0</x:v>
      </x:c>
      <x:c r="G465" s="6" t="n">
        <x:v>0</x:v>
      </x:c>
      <x:c r="H465" s="9" t="str">
        <x:v>26-06-2014</x:v>
      </x:c>
      <x:c r="I465" s="6" t="n">
        <x:v>47</x:v>
      </x:c>
      <x:c r="J465" s="6" t="n">
        <x:v>483</x:v>
      </x:c>
      <x:c r="K465" s="6" t="n">
        <x:v>84</x:v>
      </x:c>
      <x:c r="L465" s="6" t="n">
        <x:v>398</x:v>
      </x:c>
      <x:c r="M465" s="6" t="n">
        <x:v>205</x:v>
      </x:c>
      <x:c r="N465" s="6" t="n">
        <x:v>84</x:v>
      </x:c>
      <x:c r="O465" s="6" t="n">
        <x:v>241</x:v>
      </x:c>
      <x:c r="P465" s="6" t="n">
        <x:v>1</x:v>
      </x:c>
      <x:c r="Q465" s="6" t="n">
        <x:v>3</x:v>
      </x:c>
      <x:c r="R465" s="6" t="n">
        <x:v>7</x:v>
      </x:c>
      <x:c r="S465" s="6" t="n">
        <x:v>8</x:v>
      </x:c>
      <x:c r="T465" s="6" t="n">
        <x:v>1</x:v>
      </x:c>
      <x:c r="U465" s="6" t="n">
        <x:v>1</x:v>
      </x:c>
      <x:c r="V465" s="6" t="n">
        <x:v>0</x:v>
      </x:c>
      <x:c r="W465" s="6" t="n">
        <x:v>0</x:v>
      </x:c>
      <x:c r="X465" s="6" t="n">
        <x:v>0</x:v>
      </x:c>
      <x:c r="Y465" s="6" t="n">
        <x:v>0</x:v>
      </x:c>
      <x:c r="Z465" s="6" t="n">
        <x:v>0</x:v>
      </x:c>
      <x:c r="AA465" s="6" t="n">
        <x:v>3</x:v>
      </x:c>
      <x:c r="AB465" s="6" t="n">
        <x:v>11</x:v>
      </x:c>
      <x:c r="AC465" s="6" t="n">
        <x:v>0</x:v>
      </x:c>
    </x:row>
    <x:row r="466">
      <x:c r="A466" s="6" t="n">
        <x:v>2815</x:v>
      </x:c>
      <x:c r="B466" s="6" t="n">
        <x:v>1975</x:v>
      </x:c>
      <x:c r="C466" s="6" t="str">
        <x:v>Graduation</x:v>
      </x:c>
      <x:c r="D466" s="6" t="str">
        <x:v>Married</x:v>
      </x:c>
      <x:c r="E466" s="6" t="n">
        <x:v>33183</x:v>
      </x:c>
      <x:c r="F466" s="6" t="n">
        <x:v>1</x:v>
      </x:c>
      <x:c r="G466" s="6" t="n">
        <x:v>0</x:v>
      </x:c>
      <x:c r="H466" s="9" t="str">
        <x:v>24-02-2014</x:v>
      </x:c>
      <x:c r="I466" s="6" t="n">
        <x:v>46</x:v>
      </x:c>
      <x:c r="J466" s="6" t="n">
        <x:v>7</x:v>
      </x:c>
      <x:c r="K466" s="6" t="n">
        <x:v>5</x:v>
      </x:c>
      <x:c r="L466" s="6" t="n">
        <x:v>39</x:v>
      </x:c>
      <x:c r="M466" s="6" t="n">
        <x:v>17</x:v>
      </x:c>
      <x:c r="N466" s="6" t="n">
        <x:v>15</x:v>
      </x:c>
      <x:c r="O466" s="6" t="n">
        <x:v>37</x:v>
      </x:c>
      <x:c r="P466" s="6" t="n">
        <x:v>2</x:v>
      </x:c>
      <x:c r="Q466" s="6" t="n">
        <x:v>4</x:v>
      </x:c>
      <x:c r="R466" s="6" t="n">
        <x:v>0</x:v>
      </x:c>
      <x:c r="S466" s="6" t="n">
        <x:v>3</x:v>
      </x:c>
      <x:c r="T466" s="6" t="n">
        <x:v>7</x:v>
      </x:c>
      <x:c r="U466" s="6" t="n">
        <x:v>0</x:v>
      </x:c>
      <x:c r="V466" s="6" t="n">
        <x:v>0</x:v>
      </x:c>
      <x:c r="W466" s="6" t="n">
        <x:v>0</x:v>
      </x:c>
      <x:c r="X466" s="6" t="n">
        <x:v>0</x:v>
      </x:c>
      <x:c r="Y466" s="6" t="n">
        <x:v>0</x:v>
      </x:c>
      <x:c r="Z466" s="6" t="n">
        <x:v>0</x:v>
      </x:c>
      <x:c r="AA466" s="6" t="n">
        <x:v>3</x:v>
      </x:c>
      <x:c r="AB466" s="6" t="n">
        <x:v>11</x:v>
      </x:c>
      <x:c r="AC466" s="6" t="n">
        <x:v>0</x:v>
      </x:c>
    </x:row>
    <x:row r="467">
      <x:c r="A467" s="6" t="n">
        <x:v>2416</x:v>
      </x:c>
      <x:c r="B467" s="6" t="n">
        <x:v>1969</x:v>
      </x:c>
      <x:c r="C467" s="6" t="str">
        <x:v>PhD</x:v>
      </x:c>
      <x:c r="D467" s="6" t="str">
        <x:v>Single</x:v>
      </x:c>
      <x:c r="E467" s="6" t="n">
        <x:v>66582</x:v>
      </x:c>
      <x:c r="F467" s="6" t="n">
        <x:v>0</x:v>
      </x:c>
      <x:c r="G467" s="6" t="n">
        <x:v>0</x:v>
      </x:c>
      <x:c r="H467" s="9" t="str">
        <x:v>03-03-2014</x:v>
      </x:c>
      <x:c r="I467" s="6" t="n">
        <x:v>83</x:v>
      </x:c>
      <x:c r="J467" s="6" t="n">
        <x:v>789</x:v>
      </x:c>
      <x:c r="K467" s="6" t="n">
        <x:v>25</x:v>
      </x:c>
      <x:c r="L467" s="6" t="n">
        <x:v>420</x:v>
      </x:c>
      <x:c r="M467" s="6" t="n">
        <x:v>16</x:v>
      </x:c>
      <x:c r="N467" s="6" t="n">
        <x:v>38</x:v>
      </x:c>
      <x:c r="O467" s="6" t="n">
        <x:v>0</x:v>
      </x:c>
      <x:c r="P467" s="6" t="n">
        <x:v>1</x:v>
      </x:c>
      <x:c r="Q467" s="6" t="n">
        <x:v>2</x:v>
      </x:c>
      <x:c r="R467" s="6" t="n">
        <x:v>8</x:v>
      </x:c>
      <x:c r="S467" s="6" t="n">
        <x:v>9</x:v>
      </x:c>
      <x:c r="T467" s="6" t="n">
        <x:v>1</x:v>
      </x:c>
      <x:c r="U467" s="6" t="n">
        <x:v>0</x:v>
      </x:c>
      <x:c r="V467" s="6" t="n">
        <x:v>0</x:v>
      </x:c>
      <x:c r="W467" s="6" t="n">
        <x:v>0</x:v>
      </x:c>
      <x:c r="X467" s="6" t="n">
        <x:v>0</x:v>
      </x:c>
      <x:c r="Y467" s="6" t="n">
        <x:v>0</x:v>
      </x:c>
      <x:c r="Z467" s="6" t="n">
        <x:v>0</x:v>
      </x:c>
      <x:c r="AA467" s="6" t="n">
        <x:v>3</x:v>
      </x:c>
      <x:c r="AB467" s="6" t="n">
        <x:v>11</x:v>
      </x:c>
      <x:c r="AC467" s="6" t="n">
        <x:v>0</x:v>
      </x:c>
    </x:row>
    <x:row r="468">
      <x:c r="A468" s="6" t="n">
        <x:v>7999</x:v>
      </x:c>
      <x:c r="B468" s="6" t="n">
        <x:v>1955</x:v>
      </x:c>
      <x:c r="C468" s="6" t="str">
        <x:v>PhD</x:v>
      </x:c>
      <x:c r="D468" s="6" t="str">
        <x:v>Together</x:v>
      </x:c>
      <x:c r="E468" s="6" t="n">
        <x:v>75261</x:v>
      </x:c>
      <x:c r="F468" s="6" t="n">
        <x:v>0</x:v>
      </x:c>
      <x:c r="G468" s="6" t="n">
        <x:v>0</x:v>
      </x:c>
      <x:c r="H468" s="9" t="str">
        <x:v>23-04-2013</x:v>
      </x:c>
      <x:c r="I468" s="6" t="n">
        <x:v>17</x:v>
      </x:c>
      <x:c r="J468" s="6" t="n">
        <x:v>1239</x:v>
      </x:c>
      <x:c r="K468" s="6" t="n">
        <x:v>17</x:v>
      </x:c>
      <x:c r="L468" s="6" t="n">
        <x:v>413</x:v>
      </x:c>
      <x:c r="M468" s="6" t="n">
        <x:v>23</x:v>
      </x:c>
      <x:c r="N468" s="6" t="n">
        <x:v>34</x:v>
      </x:c>
      <x:c r="O468" s="6" t="n">
        <x:v>17</x:v>
      </x:c>
      <x:c r="P468" s="6" t="n">
        <x:v>1</x:v>
      </x:c>
      <x:c r="Q468" s="6" t="n">
        <x:v>5</x:v>
      </x:c>
      <x:c r="R468" s="6" t="n">
        <x:v>6</x:v>
      </x:c>
      <x:c r="S468" s="6" t="n">
        <x:v>5</x:v>
      </x:c>
      <x:c r="T468" s="6" t="n">
        <x:v>2</x:v>
      </x:c>
      <x:c r="U468" s="6" t="n">
        <x:v>0</x:v>
      </x:c>
      <x:c r="V468" s="6" t="n">
        <x:v>1</x:v>
      </x:c>
      <x:c r="W468" s="6" t="n">
        <x:v>1</x:v>
      </x:c>
      <x:c r="X468" s="6" t="n">
        <x:v>0</x:v>
      </x:c>
      <x:c r="Y468" s="6" t="n">
        <x:v>0</x:v>
      </x:c>
      <x:c r="Z468" s="6" t="n">
        <x:v>0</x:v>
      </x:c>
      <x:c r="AA468" s="6" t="n">
        <x:v>3</x:v>
      </x:c>
      <x:c r="AB468" s="6" t="n">
        <x:v>11</x:v>
      </x:c>
      <x:c r="AC468" s="6" t="n">
        <x:v>1</x:v>
      </x:c>
    </x:row>
    <x:row r="469">
      <x:c r="A469" s="6" t="n">
        <x:v>9213</x:v>
      </x:c>
      <x:c r="B469" s="6" t="n">
        <x:v>1970</x:v>
      </x:c>
      <x:c r="C469" s="6" t="str">
        <x:v>Graduation</x:v>
      </x:c>
      <x:c r="D469" s="6" t="str">
        <x:v>Widow</x:v>
      </x:c>
      <x:c r="E469" s="6" t="n">
        <x:v>31880</x:v>
      </x:c>
      <x:c r="F469" s="6" t="n">
        <x:v>1</x:v>
      </x:c>
      <x:c r="G469" s="6" t="n">
        <x:v>0</x:v>
      </x:c>
      <x:c r="H469" s="9" t="str">
        <x:v>31-10-2012</x:v>
      </x:c>
      <x:c r="I469" s="6" t="n">
        <x:v>13</x:v>
      </x:c>
      <x:c r="J469" s="6" t="n">
        <x:v>4</x:v>
      </x:c>
      <x:c r="K469" s="6" t="n">
        <x:v>1</x:v>
      </x:c>
      <x:c r="L469" s="6" t="n">
        <x:v>5</x:v>
      </x:c>
      <x:c r="M469" s="6" t="n">
        <x:v>2</x:v>
      </x:c>
      <x:c r="N469" s="6" t="n">
        <x:v>0</x:v>
      </x:c>
      <x:c r="O469" s="6" t="n">
        <x:v>3</x:v>
      </x:c>
      <x:c r="P469" s="6" t="n">
        <x:v>1</x:v>
      </x:c>
      <x:c r="Q469" s="6" t="n">
        <x:v>1</x:v>
      </x:c>
      <x:c r="R469" s="6" t="n">
        <x:v>0</x:v>
      </x:c>
      <x:c r="S469" s="6" t="n">
        <x:v>2</x:v>
      </x:c>
      <x:c r="T469" s="6" t="n">
        <x:v>8</x:v>
      </x:c>
      <x:c r="U469" s="6" t="n">
        <x:v>0</x:v>
      </x:c>
      <x:c r="V469" s="6" t="n">
        <x:v>0</x:v>
      </x:c>
      <x:c r="W469" s="6" t="n">
        <x:v>0</x:v>
      </x:c>
      <x:c r="X469" s="6" t="n">
        <x:v>0</x:v>
      </x:c>
      <x:c r="Y469" s="6" t="n">
        <x:v>0</x:v>
      </x:c>
      <x:c r="Z469" s="6" t="n">
        <x:v>0</x:v>
      </x:c>
      <x:c r="AA469" s="6" t="n">
        <x:v>3</x:v>
      </x:c>
      <x:c r="AB469" s="6" t="n">
        <x:v>11</x:v>
      </x:c>
      <x:c r="AC469" s="6" t="n">
        <x:v>0</x:v>
      </x:c>
    </x:row>
    <x:row r="470">
      <x:c r="A470" s="6" t="n">
        <x:v>9697</x:v>
      </x:c>
      <x:c r="B470" s="6" t="n">
        <x:v>1951</x:v>
      </x:c>
      <x:c r="C470" s="6" t="str">
        <x:v>Graduation</x:v>
      </x:c>
      <x:c r="D470" s="6" t="str">
        <x:v>Married</x:v>
      </x:c>
      <x:c r="E470" s="6" t="n">
        <x:v>53790</x:v>
      </x:c>
      <x:c r="F470" s="6" t="n">
        <x:v>0</x:v>
      </x:c>
      <x:c r="G470" s="6" t="n">
        <x:v>2</x:v>
      </x:c>
      <x:c r="H470" s="9" t="str">
        <x:v>06-03-2014</x:v>
      </x:c>
      <x:c r="I470" s="6" t="n">
        <x:v>86</x:v>
      </x:c>
      <x:c r="J470" s="6" t="n">
        <x:v>335</x:v>
      </x:c>
      <x:c r="K470" s="6" t="n">
        <x:v>42</x:v>
      </x:c>
      <x:c r="L470" s="6" t="n">
        <x:v>127</x:v>
      </x:c>
      <x:c r="M470" s="6" t="n">
        <x:v>28</x:v>
      </x:c>
      <x:c r="N470" s="6" t="n">
        <x:v>5</x:v>
      </x:c>
      <x:c r="O470" s="6" t="n">
        <x:v>5</x:v>
      </x:c>
      <x:c r="P470" s="6" t="n">
        <x:v>3</x:v>
      </x:c>
      <x:c r="Q470" s="6" t="n">
        <x:v>7</x:v>
      </x:c>
      <x:c r="R470" s="6" t="n">
        <x:v>2</x:v>
      </x:c>
      <x:c r="S470" s="6" t="n">
        <x:v>8</x:v>
      </x:c>
      <x:c r="T470" s="6" t="n">
        <x:v>6</x:v>
      </x:c>
      <x:c r="U470" s="6" t="n">
        <x:v>0</x:v>
      </x:c>
      <x:c r="V470" s="6" t="n">
        <x:v>0</x:v>
      </x:c>
      <x:c r="W470" s="6" t="n">
        <x:v>0</x:v>
      </x:c>
      <x:c r="X470" s="6" t="n">
        <x:v>0</x:v>
      </x:c>
      <x:c r="Y470" s="6" t="n">
        <x:v>0</x:v>
      </x:c>
      <x:c r="Z470" s="6" t="n">
        <x:v>0</x:v>
      </x:c>
      <x:c r="AA470" s="6" t="n">
        <x:v>3</x:v>
      </x:c>
      <x:c r="AB470" s="6" t="n">
        <x:v>11</x:v>
      </x:c>
      <x:c r="AC470" s="6" t="n">
        <x:v>0</x:v>
      </x:c>
    </x:row>
    <x:row r="471">
      <x:c r="A471" s="6" t="n">
        <x:v>3916</x:v>
      </x:c>
      <x:c r="B471" s="6" t="n">
        <x:v>1971</x:v>
      </x:c>
      <x:c r="C471" s="6" t="str">
        <x:v>PhD</x:v>
      </x:c>
      <x:c r="D471" s="6" t="str">
        <x:v>Together</x:v>
      </x:c>
      <x:c r="E471" s="6" t="n">
        <x:v>49269</x:v>
      </x:c>
      <x:c r="F471" s="6" t="n">
        <x:v>1</x:v>
      </x:c>
      <x:c r="G471" s="6" t="n">
        <x:v>0</x:v>
      </x:c>
      <x:c r="H471" s="9" t="str">
        <x:v>15-08-2012</x:v>
      </x:c>
      <x:c r="I471" s="6" t="n">
        <x:v>92</x:v>
      </x:c>
      <x:c r="J471" s="6" t="n">
        <x:v>639</x:v>
      </x:c>
      <x:c r="K471" s="6" t="n">
        <x:v>8</x:v>
      </x:c>
      <x:c r="L471" s="6" t="n">
        <x:v>166</x:v>
      </x:c>
      <x:c r="M471" s="6" t="n">
        <x:v>11</x:v>
      </x:c>
      <x:c r="N471" s="6" t="n">
        <x:v>8</x:v>
      </x:c>
      <x:c r="O471" s="6" t="n">
        <x:v>58</x:v>
      </x:c>
      <x:c r="P471" s="6" t="n">
        <x:v>3</x:v>
      </x:c>
      <x:c r="Q471" s="6" t="n">
        <x:v>7</x:v>
      </x:c>
      <x:c r="R471" s="6" t="n">
        <x:v>3</x:v>
      </x:c>
      <x:c r="S471" s="6" t="n">
        <x:v>12</x:v>
      </x:c>
      <x:c r="T471" s="6" t="n">
        <x:v>7</x:v>
      </x:c>
      <x:c r="U471" s="6" t="n">
        <x:v>0</x:v>
      </x:c>
      <x:c r="V471" s="6" t="n">
        <x:v>0</x:v>
      </x:c>
      <x:c r="W471" s="6" t="n">
        <x:v>0</x:v>
      </x:c>
      <x:c r="X471" s="6" t="n">
        <x:v>0</x:v>
      </x:c>
      <x:c r="Y471" s="6" t="n">
        <x:v>0</x:v>
      </x:c>
      <x:c r="Z471" s="6" t="n">
        <x:v>0</x:v>
      </x:c>
      <x:c r="AA471" s="6" t="n">
        <x:v>3</x:v>
      </x:c>
      <x:c r="AB471" s="6" t="n">
        <x:v>11</x:v>
      </x:c>
      <x:c r="AC471" s="6" t="n">
        <x:v>0</x:v>
      </x:c>
    </x:row>
    <x:row r="472">
      <x:c r="A472" s="6" t="n">
        <x:v>2021</x:v>
      </x:c>
      <x:c r="B472" s="6" t="n">
        <x:v>1975</x:v>
      </x:c>
      <x:c r="C472" s="6" t="str">
        <x:v>Graduation</x:v>
      </x:c>
      <x:c r="D472" s="6" t="str">
        <x:v>Married</x:v>
      </x:c>
      <x:c r="E472" s="6" t="n">
        <x:v>61456</x:v>
      </x:c>
      <x:c r="F472" s="6" t="n">
        <x:v>0</x:v>
      </x:c>
      <x:c r="G472" s="6" t="n">
        <x:v>1</x:v>
      </x:c>
      <x:c r="H472" s="9" t="str">
        <x:v>27-03-2013</x:v>
      </x:c>
      <x:c r="I472" s="6" t="n">
        <x:v>47</x:v>
      </x:c>
      <x:c r="J472" s="6" t="n">
        <x:v>563</x:v>
      </x:c>
      <x:c r="K472" s="6" t="n">
        <x:v>76</x:v>
      </x:c>
      <x:c r="L472" s="6" t="n">
        <x:v>384</x:v>
      </x:c>
      <x:c r="M472" s="6" t="n">
        <x:v>84</x:v>
      </x:c>
      <x:c r="N472" s="6" t="n">
        <x:v>192</x:v>
      </x:c>
      <x:c r="O472" s="6" t="n">
        <x:v>89</x:v>
      </x:c>
      <x:c r="P472" s="6" t="n">
        <x:v>4</x:v>
      </x:c>
      <x:c r="Q472" s="6" t="n">
        <x:v>6</x:v>
      </x:c>
      <x:c r="R472" s="6" t="n">
        <x:v>10</x:v>
      </x:c>
      <x:c r="S472" s="6" t="n">
        <x:v>13</x:v>
      </x:c>
      <x:c r="T472" s="6" t="n">
        <x:v>4</x:v>
      </x:c>
      <x:c r="U472" s="6" t="n">
        <x:v>0</x:v>
      </x:c>
      <x:c r="V472" s="6" t="n">
        <x:v>0</x:v>
      </x:c>
      <x:c r="W472" s="6" t="n">
        <x:v>0</x:v>
      </x:c>
      <x:c r="X472" s="6" t="n">
        <x:v>0</x:v>
      </x:c>
      <x:c r="Y472" s="6" t="n">
        <x:v>0</x:v>
      </x:c>
      <x:c r="Z472" s="6" t="n">
        <x:v>0</x:v>
      </x:c>
      <x:c r="AA472" s="6" t="n">
        <x:v>3</x:v>
      </x:c>
      <x:c r="AB472" s="6" t="n">
        <x:v>11</x:v>
      </x:c>
      <x:c r="AC472" s="6" t="n">
        <x:v>0</x:v>
      </x:c>
    </x:row>
    <x:row r="473">
      <x:c r="A473" s="6" t="n">
        <x:v>1581</x:v>
      </x:c>
      <x:c r="B473" s="6" t="n">
        <x:v>1980</x:v>
      </x:c>
      <x:c r="C473" s="6" t="str">
        <x:v>Graduation</x:v>
      </x:c>
      <x:c r="D473" s="6" t="str">
        <x:v>Married</x:v>
      </x:c>
      <x:c r="E473" s="6" t="n">
        <x:v>37406</x:v>
      </x:c>
      <x:c r="F473" s="6" t="n">
        <x:v>1</x:v>
      </x:c>
      <x:c r="G473" s="6" t="n">
        <x:v>0</x:v>
      </x:c>
      <x:c r="H473" s="9" t="str">
        <x:v>10-10-2013</x:v>
      </x:c>
      <x:c r="I473" s="6" t="n">
        <x:v>18</x:v>
      </x:c>
      <x:c r="J473" s="6" t="n">
        <x:v>2</x:v>
      </x:c>
      <x:c r="K473" s="6" t="n">
        <x:v>0</x:v>
      </x:c>
      <x:c r="L473" s="6" t="n">
        <x:v>8</x:v>
      </x:c>
      <x:c r="M473" s="6" t="n">
        <x:v>2</x:v>
      </x:c>
      <x:c r="N473" s="6" t="n">
        <x:v>2</x:v>
      </x:c>
      <x:c r="O473" s="6" t="n">
        <x:v>3</x:v>
      </x:c>
      <x:c r="P473" s="6" t="n">
        <x:v>1</x:v>
      </x:c>
      <x:c r="Q473" s="6" t="n">
        <x:v>1</x:v>
      </x:c>
      <x:c r="R473" s="6" t="n">
        <x:v>0</x:v>
      </x:c>
      <x:c r="S473" s="6" t="n">
        <x:v>2</x:v>
      </x:c>
      <x:c r="T473" s="6" t="n">
        <x:v>8</x:v>
      </x:c>
      <x:c r="U473" s="6" t="n">
        <x:v>0</x:v>
      </x:c>
      <x:c r="V473" s="6" t="n">
        <x:v>0</x:v>
      </x:c>
      <x:c r="W473" s="6" t="n">
        <x:v>0</x:v>
      </x:c>
      <x:c r="X473" s="6" t="n">
        <x:v>0</x:v>
      </x:c>
      <x:c r="Y473" s="6" t="n">
        <x:v>0</x:v>
      </x:c>
      <x:c r="Z473" s="6" t="n">
        <x:v>0</x:v>
      </x:c>
      <x:c r="AA473" s="6" t="n">
        <x:v>3</x:v>
      </x:c>
      <x:c r="AB473" s="6" t="n">
        <x:v>11</x:v>
      </x:c>
      <x:c r="AC473" s="6" t="n">
        <x:v>1</x:v>
      </x:c>
    </x:row>
    <x:row r="474">
      <x:c r="A474" s="6" t="n">
        <x:v>564</x:v>
      </x:c>
      <x:c r="B474" s="6" t="n">
        <x:v>1981</x:v>
      </x:c>
      <x:c r="C474" s="6" t="str">
        <x:v>PhD</x:v>
      </x:c>
      <x:c r="D474" s="6" t="str">
        <x:v>Together</x:v>
      </x:c>
      <x:c r="E474" s="6" t="n">
        <x:v>56937</x:v>
      </x:c>
      <x:c r="F474" s="6" t="n">
        <x:v>1</x:v>
      </x:c>
      <x:c r="G474" s="6" t="n">
        <x:v>0</x:v>
      </x:c>
      <x:c r="H474" s="9" t="str">
        <x:v>04-08-2012</x:v>
      </x:c>
      <x:c r="I474" s="6" t="n">
        <x:v>81</x:v>
      </x:c>
      <x:c r="J474" s="6" t="n">
        <x:v>746</x:v>
      </x:c>
      <x:c r="K474" s="6" t="n">
        <x:v>8</x:v>
      </x:c>
      <x:c r="L474" s="6" t="n">
        <x:v>125</x:v>
      </x:c>
      <x:c r="M474" s="6" t="n">
        <x:v>11</x:v>
      </x:c>
      <x:c r="N474" s="6" t="n">
        <x:v>8</x:v>
      </x:c>
      <x:c r="O474" s="6" t="n">
        <x:v>8</x:v>
      </x:c>
      <x:c r="P474" s="6" t="n">
        <x:v>7</x:v>
      </x:c>
      <x:c r="Q474" s="6" t="n">
        <x:v>8</x:v>
      </x:c>
      <x:c r="R474" s="6" t="n">
        <x:v>6</x:v>
      </x:c>
      <x:c r="S474" s="6" t="n">
        <x:v>9</x:v>
      </x:c>
      <x:c r="T474" s="6" t="n">
        <x:v>6</x:v>
      </x:c>
      <x:c r="U474" s="6" t="n">
        <x:v>0</x:v>
      </x:c>
      <x:c r="V474" s="6" t="n">
        <x:v>1</x:v>
      </x:c>
      <x:c r="W474" s="6" t="n">
        <x:v>0</x:v>
      </x:c>
      <x:c r="X474" s="6" t="n">
        <x:v>0</x:v>
      </x:c>
      <x:c r="Y474" s="6" t="n">
        <x:v>0</x:v>
      </x:c>
      <x:c r="Z474" s="6" t="n">
        <x:v>0</x:v>
      </x:c>
      <x:c r="AA474" s="6" t="n">
        <x:v>3</x:v>
      </x:c>
      <x:c r="AB474" s="6" t="n">
        <x:v>11</x:v>
      </x:c>
      <x:c r="AC474" s="6" t="n">
        <x:v>1</x:v>
      </x:c>
    </x:row>
    <x:row r="475">
      <x:c r="A475" s="6" t="n">
        <x:v>6619</x:v>
      </x:c>
      <x:c r="B475" s="6" t="n">
        <x:v>1978</x:v>
      </x:c>
      <x:c r="C475" s="6" t="str">
        <x:v>Graduation</x:v>
      </x:c>
      <x:c r="D475" s="6" t="str">
        <x:v>Married</x:v>
      </x:c>
      <x:c r="E475" s="6" t="n">
        <x:v>38415</x:v>
      </x:c>
      <x:c r="F475" s="6" t="n">
        <x:v>1</x:v>
      </x:c>
      <x:c r="G475" s="6" t="n">
        <x:v>1</x:v>
      </x:c>
      <x:c r="H475" s="9" t="str">
        <x:v>02-01-2013</x:v>
      </x:c>
      <x:c r="I475" s="6" t="n">
        <x:v>91</x:v>
      </x:c>
      <x:c r="J475" s="6" t="n">
        <x:v>22</x:v>
      </x:c>
      <x:c r="K475" s="6" t="n">
        <x:v>1</x:v>
      </x:c>
      <x:c r="L475" s="6" t="n">
        <x:v>13</x:v>
      </x:c>
      <x:c r="M475" s="6" t="n">
        <x:v>4</x:v>
      </x:c>
      <x:c r="N475" s="6" t="n">
        <x:v>0</x:v>
      </x:c>
      <x:c r="O475" s="6" t="n">
        <x:v>4</x:v>
      </x:c>
      <x:c r="P475" s="6" t="n">
        <x:v>2</x:v>
      </x:c>
      <x:c r="Q475" s="6" t="n">
        <x:v>1</x:v>
      </x:c>
      <x:c r="R475" s="6" t="n">
        <x:v>0</x:v>
      </x:c>
      <x:c r="S475" s="6" t="n">
        <x:v>3</x:v>
      </x:c>
      <x:c r="T475" s="6" t="n">
        <x:v>7</x:v>
      </x:c>
      <x:c r="U475" s="6" t="n">
        <x:v>0</x:v>
      </x:c>
      <x:c r="V475" s="6" t="n">
        <x:v>0</x:v>
      </x:c>
      <x:c r="W475" s="6" t="n">
        <x:v>0</x:v>
      </x:c>
      <x:c r="X475" s="6" t="n">
        <x:v>0</x:v>
      </x:c>
      <x:c r="Y475" s="6" t="n">
        <x:v>0</x:v>
      </x:c>
      <x:c r="Z475" s="6" t="n">
        <x:v>0</x:v>
      </x:c>
      <x:c r="AA475" s="6" t="n">
        <x:v>3</x:v>
      </x:c>
      <x:c r="AB475" s="6" t="n">
        <x:v>11</x:v>
      </x:c>
      <x:c r="AC475" s="6" t="n">
        <x:v>0</x:v>
      </x:c>
    </x:row>
    <x:row r="476">
      <x:c r="A476" s="6" t="n">
        <x:v>9081</x:v>
      </x:c>
      <x:c r="B476" s="6" t="n">
        <x:v>1988</x:v>
      </x:c>
      <x:c r="C476" s="6" t="str">
        <x:v>Graduation</x:v>
      </x:c>
      <x:c r="D476" s="6" t="str">
        <x:v>Single</x:v>
      </x:c>
      <x:c r="E476" s="6" t="n">
        <x:v>20518</x:v>
      </x:c>
      <x:c r="F476" s="6" t="n">
        <x:v>1</x:v>
      </x:c>
      <x:c r="G476" s="6" t="n">
        <x:v>0</x:v>
      </x:c>
      <x:c r="H476" s="9" t="str">
        <x:v>18-05-2014</x:v>
      </x:c>
      <x:c r="I476" s="6" t="n">
        <x:v>58</x:v>
      </x:c>
      <x:c r="J476" s="6" t="n">
        <x:v>4</x:v>
      </x:c>
      <x:c r="K476" s="6" t="n">
        <x:v>1</x:v>
      </x:c>
      <x:c r="L476" s="6" t="n">
        <x:v>6</x:v>
      </x:c>
      <x:c r="M476" s="6" t="n">
        <x:v>4</x:v>
      </x:c>
      <x:c r="N476" s="6" t="n">
        <x:v>1</x:v>
      </x:c>
      <x:c r="O476" s="6" t="n">
        <x:v>9</x:v>
      </x:c>
      <x:c r="P476" s="6" t="n">
        <x:v>1</x:v>
      </x:c>
      <x:c r="Q476" s="6" t="n">
        <x:v>1</x:v>
      </x:c>
      <x:c r="R476" s="6" t="n">
        <x:v>1</x:v>
      </x:c>
      <x:c r="S476" s="6" t="n">
        <x:v>2</x:v>
      </x:c>
      <x:c r="T476" s="6" t="n">
        <x:v>5</x:v>
      </x:c>
      <x:c r="U476" s="6" t="n">
        <x:v>0</x:v>
      </x:c>
      <x:c r="V476" s="6" t="n">
        <x:v>0</x:v>
      </x:c>
      <x:c r="W476" s="6" t="n">
        <x:v>0</x:v>
      </x:c>
      <x:c r="X476" s="6" t="n">
        <x:v>0</x:v>
      </x:c>
      <x:c r="Y476" s="6" t="n">
        <x:v>0</x:v>
      </x:c>
      <x:c r="Z476" s="6" t="n">
        <x:v>0</x:v>
      </x:c>
      <x:c r="AA476" s="6" t="n">
        <x:v>3</x:v>
      </x:c>
      <x:c r="AB476" s="6" t="n">
        <x:v>11</x:v>
      </x:c>
      <x:c r="AC476" s="6" t="n">
        <x:v>0</x:v>
      </x:c>
    </x:row>
    <x:row r="477">
      <x:c r="A477" s="6" t="n">
        <x:v>178</x:v>
      </x:c>
      <x:c r="B477" s="6" t="n">
        <x:v>1956</x:v>
      </x:c>
      <x:c r="C477" s="6" t="str">
        <x:v>Graduation</x:v>
      </x:c>
      <x:c r="D477" s="6" t="str">
        <x:v>Married</x:v>
      </x:c>
      <x:c r="E477" s="6" t="n">
        <x:v>62503</x:v>
      </x:c>
      <x:c r="F477" s="6" t="n">
        <x:v>0</x:v>
      </x:c>
      <x:c r="G477" s="6" t="n">
        <x:v>1</x:v>
      </x:c>
      <x:c r="H477" s="9" t="str">
        <x:v>18-02-2013</x:v>
      </x:c>
      <x:c r="I477" s="6" t="n">
        <x:v>40</x:v>
      </x:c>
      <x:c r="J477" s="6" t="n">
        <x:v>478</x:v>
      </x:c>
      <x:c r="K477" s="6" t="n">
        <x:v>0</x:v>
      </x:c>
      <x:c r="L477" s="6" t="n">
        <x:v>193</x:v>
      </x:c>
      <x:c r="M477" s="6" t="n">
        <x:v>110</x:v>
      </x:c>
      <x:c r="N477" s="6" t="n">
        <x:v>75</x:v>
      </x:c>
      <x:c r="O477" s="6" t="n">
        <x:v>117</x:v>
      </x:c>
      <x:c r="P477" s="6" t="n">
        <x:v>4</x:v>
      </x:c>
      <x:c r="Q477" s="6" t="n">
        <x:v>8</x:v>
      </x:c>
      <x:c r="R477" s="6" t="n">
        <x:v>3</x:v>
      </x:c>
      <x:c r="S477" s="6" t="n">
        <x:v>11</x:v>
      </x:c>
      <x:c r="T477" s="6" t="n">
        <x:v>5</x:v>
      </x:c>
      <x:c r="U477" s="6" t="n">
        <x:v>0</x:v>
      </x:c>
      <x:c r="V477" s="6" t="n">
        <x:v>0</x:v>
      </x:c>
      <x:c r="W477" s="6" t="n">
        <x:v>0</x:v>
      </x:c>
      <x:c r="X477" s="6" t="n">
        <x:v>0</x:v>
      </x:c>
      <x:c r="Y477" s="6" t="n">
        <x:v>0</x:v>
      </x:c>
      <x:c r="Z477" s="6" t="n">
        <x:v>0</x:v>
      </x:c>
      <x:c r="AA477" s="6" t="n">
        <x:v>3</x:v>
      </x:c>
      <x:c r="AB477" s="6" t="n">
        <x:v>11</x:v>
      </x:c>
      <x:c r="AC477" s="6" t="n">
        <x:v>0</x:v>
      </x:c>
    </x:row>
    <x:row r="478">
      <x:c r="A478" s="6" t="n">
        <x:v>916</x:v>
      </x:c>
      <x:c r="B478" s="6" t="n">
        <x:v>1972</x:v>
      </x:c>
      <x:c r="C478" s="6" t="str">
        <x:v>PhD</x:v>
      </x:c>
      <x:c r="D478" s="6" t="str">
        <x:v>Single</x:v>
      </x:c>
      <x:c r="E478" s="6" t="n">
        <x:v>41644</x:v>
      </x:c>
      <x:c r="F478" s="6" t="n">
        <x:v>1</x:v>
      </x:c>
      <x:c r="G478" s="6" t="n">
        <x:v>1</x:v>
      </x:c>
      <x:c r="H478" s="9" t="str">
        <x:v>09-05-2014</x:v>
      </x:c>
      <x:c r="I478" s="6" t="n">
        <x:v>67</x:v>
      </x:c>
      <x:c r="J478" s="6" t="n">
        <x:v>20</x:v>
      </x:c>
      <x:c r="K478" s="6" t="n">
        <x:v>3</x:v>
      </x:c>
      <x:c r="L478" s="6" t="n">
        <x:v>4</x:v>
      </x:c>
      <x:c r="M478" s="6" t="n">
        <x:v>2</x:v>
      </x:c>
      <x:c r="N478" s="6" t="n">
        <x:v>0</x:v>
      </x:c>
      <x:c r="O478" s="6" t="n">
        <x:v>2</x:v>
      </x:c>
      <x:c r="P478" s="6" t="n">
        <x:v>2</x:v>
      </x:c>
      <x:c r="Q478" s="6" t="n">
        <x:v>1</x:v>
      </x:c>
      <x:c r="R478" s="6" t="n">
        <x:v>0</x:v>
      </x:c>
      <x:c r="S478" s="6" t="n">
        <x:v>3</x:v>
      </x:c>
      <x:c r="T478" s="6" t="n">
        <x:v>3</x:v>
      </x:c>
      <x:c r="U478" s="6" t="n">
        <x:v>0</x:v>
      </x:c>
      <x:c r="V478" s="6" t="n">
        <x:v>0</x:v>
      </x:c>
      <x:c r="W478" s="6" t="n">
        <x:v>0</x:v>
      </x:c>
      <x:c r="X478" s="6" t="n">
        <x:v>0</x:v>
      </x:c>
      <x:c r="Y478" s="6" t="n">
        <x:v>0</x:v>
      </x:c>
      <x:c r="Z478" s="6" t="n">
        <x:v>0</x:v>
      </x:c>
      <x:c r="AA478" s="6" t="n">
        <x:v>3</x:v>
      </x:c>
      <x:c r="AB478" s="6" t="n">
        <x:v>11</x:v>
      </x:c>
      <x:c r="AC478" s="6" t="n">
        <x:v>0</x:v>
      </x:c>
    </x:row>
    <x:row r="479">
      <x:c r="A479" s="6" t="n">
        <x:v>5512</x:v>
      </x:c>
      <x:c r="B479" s="6" t="n">
        <x:v>1977</x:v>
      </x:c>
      <x:c r="C479" s="6" t="str">
        <x:v>Master</x:v>
      </x:c>
      <x:c r="D479" s="6" t="str">
        <x:v>Married</x:v>
      </x:c>
      <x:c r="E479" s="6" t="n">
        <x:v>55842</x:v>
      </x:c>
      <x:c r="F479" s="6" t="n">
        <x:v>0</x:v>
      </x:c>
      <x:c r="G479" s="6" t="n">
        <x:v>1</x:v>
      </x:c>
      <x:c r="H479" s="9" t="str">
        <x:v>23-05-2014</x:v>
      </x:c>
      <x:c r="I479" s="6" t="n">
        <x:v>19</x:v>
      </x:c>
      <x:c r="J479" s="6" t="n">
        <x:v>451</x:v>
      </x:c>
      <x:c r="K479" s="6" t="n">
        <x:v>0</x:v>
      </x:c>
      <x:c r="L479" s="6" t="n">
        <x:v>39</x:v>
      </x:c>
      <x:c r="M479" s="6" t="n">
        <x:v>0</x:v>
      </x:c>
      <x:c r="N479" s="6" t="n">
        <x:v>4</x:v>
      </x:c>
      <x:c r="O479" s="6" t="n">
        <x:v>24</x:v>
      </x:c>
      <x:c r="P479" s="6" t="n">
        <x:v>1</x:v>
      </x:c>
      <x:c r="Q479" s="6" t="n">
        <x:v>7</x:v>
      </x:c>
      <x:c r="R479" s="6" t="n">
        <x:v>1</x:v>
      </x:c>
      <x:c r="S479" s="6" t="n">
        <x:v>8</x:v>
      </x:c>
      <x:c r="T479" s="6" t="n">
        <x:v>5</x:v>
      </x:c>
      <x:c r="U479" s="6" t="n">
        <x:v>0</x:v>
      </x:c>
      <x:c r="V479" s="6" t="n">
        <x:v>0</x:v>
      </x:c>
      <x:c r="W479" s="6" t="n">
        <x:v>0</x:v>
      </x:c>
      <x:c r="X479" s="6" t="n">
        <x:v>0</x:v>
      </x:c>
      <x:c r="Y479" s="6" t="n">
        <x:v>0</x:v>
      </x:c>
      <x:c r="Z479" s="6" t="n">
        <x:v>0</x:v>
      </x:c>
      <x:c r="AA479" s="6" t="n">
        <x:v>3</x:v>
      </x:c>
      <x:c r="AB479" s="6" t="n">
        <x:v>11</x:v>
      </x:c>
      <x:c r="AC479" s="6" t="n">
        <x:v>0</x:v>
      </x:c>
    </x:row>
    <x:row r="480">
      <x:c r="A480" s="6" t="n">
        <x:v>8970</x:v>
      </x:c>
      <x:c r="B480" s="6" t="n">
        <x:v>1972</x:v>
      </x:c>
      <x:c r="C480" s="6" t="str">
        <x:v>PhD</x:v>
      </x:c>
      <x:c r="D480" s="6" t="str">
        <x:v>Married</x:v>
      </x:c>
      <x:c r="E480" s="6" t="n">
        <x:v>62010</x:v>
      </x:c>
      <x:c r="F480" s="6" t="n">
        <x:v>0</x:v>
      </x:c>
      <x:c r="G480" s="6" t="n">
        <x:v>1</x:v>
      </x:c>
      <x:c r="H480" s="9" t="str">
        <x:v>23-10-2012</x:v>
      </x:c>
      <x:c r="I480" s="6" t="n">
        <x:v>93</x:v>
      </x:c>
      <x:c r="J480" s="6" t="n">
        <x:v>371</x:v>
      </x:c>
      <x:c r="K480" s="6" t="n">
        <x:v>22</x:v>
      </x:c>
      <x:c r="L480" s="6" t="n">
        <x:v>39</x:v>
      </x:c>
      <x:c r="M480" s="6" t="n">
        <x:v>6</x:v>
      </x:c>
      <x:c r="N480" s="6" t="n">
        <x:v>0</x:v>
      </x:c>
      <x:c r="O480" s="6" t="n">
        <x:v>92</x:v>
      </x:c>
      <x:c r="P480" s="6" t="n">
        <x:v>4</x:v>
      </x:c>
      <x:c r="Q480" s="6" t="n">
        <x:v>6</x:v>
      </x:c>
      <x:c r="R480" s="6" t="n">
        <x:v>2</x:v>
      </x:c>
      <x:c r="S480" s="6" t="n">
        <x:v>7</x:v>
      </x:c>
      <x:c r="T480" s="6" t="n">
        <x:v>5</x:v>
      </x:c>
      <x:c r="U480" s="6" t="n">
        <x:v>0</x:v>
      </x:c>
      <x:c r="V480" s="6" t="n">
        <x:v>0</x:v>
      </x:c>
      <x:c r="W480" s="6" t="n">
        <x:v>0</x:v>
      </x:c>
      <x:c r="X480" s="6" t="n">
        <x:v>0</x:v>
      </x:c>
      <x:c r="Y480" s="6" t="n">
        <x:v>0</x:v>
      </x:c>
      <x:c r="Z480" s="6" t="n">
        <x:v>0</x:v>
      </x:c>
      <x:c r="AA480" s="6" t="n">
        <x:v>3</x:v>
      </x:c>
      <x:c r="AB480" s="6" t="n">
        <x:v>11</x:v>
      </x:c>
      <x:c r="AC480" s="6" t="n">
        <x:v>0</x:v>
      </x:c>
    </x:row>
    <x:row r="481">
      <x:c r="A481" s="6" t="n">
        <x:v>10581</x:v>
      </x:c>
      <x:c r="B481" s="6" t="n">
        <x:v>1977</x:v>
      </x:c>
      <x:c r="C481" s="6" t="str">
        <x:v>Graduation</x:v>
      </x:c>
      <x:c r="D481" s="6" t="str">
        <x:v>Married</x:v>
      </x:c>
      <x:c r="E481" s="6" t="n">
        <x:v>41124</x:v>
      </x:c>
      <x:c r="F481" s="6" t="n">
        <x:v>1</x:v>
      </x:c>
      <x:c r="G481" s="6" t="n">
        <x:v>0</x:v>
      </x:c>
      <x:c r="H481" s="9" t="str">
        <x:v>31-10-2012</x:v>
      </x:c>
      <x:c r="I481" s="6" t="n">
        <x:v>41</x:v>
      </x:c>
      <x:c r="J481" s="6" t="n">
        <x:v>281</x:v>
      </x:c>
      <x:c r="K481" s="6" t="n">
        <x:v>7</x:v>
      </x:c>
      <x:c r="L481" s="6" t="n">
        <x:v>84</x:v>
      </x:c>
      <x:c r="M481" s="6" t="n">
        <x:v>15</x:v>
      </x:c>
      <x:c r="N481" s="6" t="n">
        <x:v>0</x:v>
      </x:c>
      <x:c r="O481" s="6" t="n">
        <x:v>119</x:v>
      </x:c>
      <x:c r="P481" s="6" t="n">
        <x:v>7</x:v>
      </x:c>
      <x:c r="Q481" s="6" t="n">
        <x:v>7</x:v>
      </x:c>
      <x:c r="R481" s="6" t="n">
        <x:v>3</x:v>
      </x:c>
      <x:c r="S481" s="6" t="n">
        <x:v>4</x:v>
      </x:c>
      <x:c r="T481" s="6" t="n">
        <x:v>8</x:v>
      </x:c>
      <x:c r="U481" s="6" t="n">
        <x:v>0</x:v>
      </x:c>
      <x:c r="V481" s="6" t="n">
        <x:v>0</x:v>
      </x:c>
      <x:c r="W481" s="6" t="n">
        <x:v>0</x:v>
      </x:c>
      <x:c r="X481" s="6" t="n">
        <x:v>0</x:v>
      </x:c>
      <x:c r="Y481" s="6" t="n">
        <x:v>0</x:v>
      </x:c>
      <x:c r="Z481" s="6" t="n">
        <x:v>0</x:v>
      </x:c>
      <x:c r="AA481" s="6" t="n">
        <x:v>3</x:v>
      </x:c>
      <x:c r="AB481" s="6" t="n">
        <x:v>11</x:v>
      </x:c>
      <x:c r="AC481" s="6" t="n">
        <x:v>0</x:v>
      </x:c>
    </x:row>
    <x:row r="482">
      <x:c r="A482" s="6" t="n">
        <x:v>5300</x:v>
      </x:c>
      <x:c r="B482" s="6" t="n">
        <x:v>1973</x:v>
      </x:c>
      <x:c r="C482" s="6" t="str">
        <x:v>Master</x:v>
      </x:c>
      <x:c r="D482" s="6" t="str">
        <x:v>Married</x:v>
      </x:c>
      <x:c r="E482" s="6" t="n">
        <x:v>38961</x:v>
      </x:c>
      <x:c r="F482" s="6" t="n">
        <x:v>1</x:v>
      </x:c>
      <x:c r="G482" s="6" t="n">
        <x:v>0</x:v>
      </x:c>
      <x:c r="H482" s="9" t="str">
        <x:v>30-12-2013</x:v>
      </x:c>
      <x:c r="I482" s="6" t="n">
        <x:v>60</x:v>
      </x:c>
      <x:c r="J482" s="6" t="n">
        <x:v>19</x:v>
      </x:c>
      <x:c r="K482" s="6" t="n">
        <x:v>7</x:v>
      </x:c>
      <x:c r="L482" s="6" t="n">
        <x:v>19</x:v>
      </x:c>
      <x:c r="M482" s="6" t="n">
        <x:v>0</x:v>
      </x:c>
      <x:c r="N482" s="6" t="n">
        <x:v>1</x:v>
      </x:c>
      <x:c r="O482" s="6" t="n">
        <x:v>24</x:v>
      </x:c>
      <x:c r="P482" s="6" t="n">
        <x:v>1</x:v>
      </x:c>
      <x:c r="Q482" s="6" t="n">
        <x:v>2</x:v>
      </x:c>
      <x:c r="R482" s="6" t="n">
        <x:v>1</x:v>
      </x:c>
      <x:c r="S482" s="6" t="n">
        <x:v>2</x:v>
      </x:c>
      <x:c r="T482" s="6" t="n">
        <x:v>7</x:v>
      </x:c>
      <x:c r="U482" s="6" t="n">
        <x:v>0</x:v>
      </x:c>
      <x:c r="V482" s="6" t="n">
        <x:v>0</x:v>
      </x:c>
      <x:c r="W482" s="6" t="n">
        <x:v>0</x:v>
      </x:c>
      <x:c r="X482" s="6" t="n">
        <x:v>0</x:v>
      </x:c>
      <x:c r="Y482" s="6" t="n">
        <x:v>0</x:v>
      </x:c>
      <x:c r="Z482" s="6" t="n">
        <x:v>0</x:v>
      </x:c>
      <x:c r="AA482" s="6" t="n">
        <x:v>3</x:v>
      </x:c>
      <x:c r="AB482" s="6" t="n">
        <x:v>11</x:v>
      </x:c>
      <x:c r="AC482" s="6" t="n">
        <x:v>0</x:v>
      </x:c>
    </x:row>
    <x:row r="483">
      <x:c r="A483" s="6" t="n">
        <x:v>5154</x:v>
      </x:c>
      <x:c r="B483" s="6" t="n">
        <x:v>1972</x:v>
      </x:c>
      <x:c r="C483" s="6" t="str">
        <x:v>Master</x:v>
      </x:c>
      <x:c r="D483" s="6" t="str">
        <x:v>Divorced</x:v>
      </x:c>
      <x:c r="E483" s="6" t="n">
        <x:v>37760</x:v>
      </x:c>
      <x:c r="F483" s="6" t="n">
        <x:v>1</x:v>
      </x:c>
      <x:c r="G483" s="6" t="n">
        <x:v>0</x:v>
      </x:c>
      <x:c r="H483" s="9" t="str">
        <x:v>11-08-2013</x:v>
      </x:c>
      <x:c r="I483" s="6" t="n">
        <x:v>54</x:v>
      </x:c>
      <x:c r="J483" s="6" t="n">
        <x:v>26</x:v>
      </x:c>
      <x:c r="K483" s="6" t="n">
        <x:v>3</x:v>
      </x:c>
      <x:c r="L483" s="6" t="n">
        <x:v>13</x:v>
      </x:c>
      <x:c r="M483" s="6" t="n">
        <x:v>2</x:v>
      </x:c>
      <x:c r="N483" s="6" t="n">
        <x:v>10</x:v>
      </x:c>
      <x:c r="O483" s="6" t="n">
        <x:v>0</x:v>
      </x:c>
      <x:c r="P483" s="6" t="n">
        <x:v>1</x:v>
      </x:c>
      <x:c r="Q483" s="6" t="n">
        <x:v>2</x:v>
      </x:c>
      <x:c r="R483" s="6" t="n">
        <x:v>0</x:v>
      </x:c>
      <x:c r="S483" s="6" t="n">
        <x:v>3</x:v>
      </x:c>
      <x:c r="T483" s="6" t="n">
        <x:v>6</x:v>
      </x:c>
      <x:c r="U483" s="6" t="n">
        <x:v>0</x:v>
      </x:c>
      <x:c r="V483" s="6" t="n">
        <x:v>0</x:v>
      </x:c>
      <x:c r="W483" s="6" t="n">
        <x:v>0</x:v>
      </x:c>
      <x:c r="X483" s="6" t="n">
        <x:v>0</x:v>
      </x:c>
      <x:c r="Y483" s="6" t="n">
        <x:v>0</x:v>
      </x:c>
      <x:c r="Z483" s="6" t="n">
        <x:v>0</x:v>
      </x:c>
      <x:c r="AA483" s="6" t="n">
        <x:v>3</x:v>
      </x:c>
      <x:c r="AB483" s="6" t="n">
        <x:v>11</x:v>
      </x:c>
      <x:c r="AC483" s="6" t="n">
        <x:v>0</x:v>
      </x:c>
    </x:row>
    <x:row r="484">
      <x:c r="A484" s="6" t="n">
        <x:v>8346</x:v>
      </x:c>
      <x:c r="B484" s="6" t="n">
        <x:v>1974</x:v>
      </x:c>
      <x:c r="C484" s="6" t="str">
        <x:v>Graduation</x:v>
      </x:c>
      <x:c r="D484" s="6" t="str">
        <x:v>Single</x:v>
      </x:c>
      <x:c r="E484" s="6" t="n">
        <x:v>32233</x:v>
      </x:c>
      <x:c r="F484" s="6" t="n">
        <x:v>1</x:v>
      </x:c>
      <x:c r="G484" s="6" t="n">
        <x:v>0</x:v>
      </x:c>
      <x:c r="H484" s="9" t="str">
        <x:v>19-08-2012</x:v>
      </x:c>
      <x:c r="I484" s="6" t="n">
        <x:v>26</x:v>
      </x:c>
      <x:c r="J484" s="6" t="n">
        <x:v>138</x:v>
      </x:c>
      <x:c r="K484" s="6" t="n">
        <x:v>15</x:v>
      </x:c>
      <x:c r="L484" s="6" t="n">
        <x:v>35</x:v>
      </x:c>
      <x:c r="M484" s="6" t="n">
        <x:v>25</x:v>
      </x:c>
      <x:c r="N484" s="6" t="n">
        <x:v>11</x:v>
      </x:c>
      <x:c r="O484" s="6" t="n">
        <x:v>72</x:v>
      </x:c>
      <x:c r="P484" s="6" t="n">
        <x:v>2</x:v>
      </x:c>
      <x:c r="Q484" s="6" t="n">
        <x:v>6</x:v>
      </x:c>
      <x:c r="R484" s="6" t="n">
        <x:v>2</x:v>
      </x:c>
      <x:c r="S484" s="6" t="n">
        <x:v>2</x:v>
      </x:c>
      <x:c r="T484" s="6" t="n">
        <x:v>9</x:v>
      </x:c>
      <x:c r="U484" s="6" t="n">
        <x:v>1</x:v>
      </x:c>
      <x:c r="V484" s="6" t="n">
        <x:v>0</x:v>
      </x:c>
      <x:c r="W484" s="6" t="n">
        <x:v>0</x:v>
      </x:c>
      <x:c r="X484" s="6" t="n">
        <x:v>0</x:v>
      </x:c>
      <x:c r="Y484" s="6" t="n">
        <x:v>0</x:v>
      </x:c>
      <x:c r="Z484" s="6" t="n">
        <x:v>0</x:v>
      </x:c>
      <x:c r="AA484" s="6" t="n">
        <x:v>3</x:v>
      </x:c>
      <x:c r="AB484" s="6" t="n">
        <x:v>11</x:v>
      </x:c>
      <x:c r="AC484" s="6" t="n">
        <x:v>1</x:v>
      </x:c>
    </x:row>
    <x:row r="485">
      <x:c r="A485" s="6" t="n">
        <x:v>1676</x:v>
      </x:c>
      <x:c r="B485" s="6" t="n">
        <x:v>1975</x:v>
      </x:c>
      <x:c r="C485" s="6" t="str">
        <x:v>Graduation</x:v>
      </x:c>
      <x:c r="D485" s="6" t="str">
        <x:v>Married</x:v>
      </x:c>
      <x:c r="E485" s="6" t="n">
        <x:v>43057</x:v>
      </x:c>
      <x:c r="F485" s="6" t="n">
        <x:v>0</x:v>
      </x:c>
      <x:c r="G485" s="6" t="n">
        <x:v>1</x:v>
      </x:c>
      <x:c r="H485" s="9" t="str">
        <x:v>30-10-2013</x:v>
      </x:c>
      <x:c r="I485" s="6" t="n">
        <x:v>30</x:v>
      </x:c>
      <x:c r="J485" s="6" t="n">
        <x:v>213</x:v>
      </x:c>
      <x:c r="K485" s="6" t="n">
        <x:v>2</x:v>
      </x:c>
      <x:c r="L485" s="6" t="n">
        <x:v>44</x:v>
      </x:c>
      <x:c r="M485" s="6" t="n">
        <x:v>0</x:v>
      </x:c>
      <x:c r="N485" s="6" t="n">
        <x:v>2</x:v>
      </x:c>
      <x:c r="O485" s="6" t="n">
        <x:v>5</x:v>
      </x:c>
      <x:c r="P485" s="6" t="n">
        <x:v>4</x:v>
      </x:c>
      <x:c r="Q485" s="6" t="n">
        <x:v>4</x:v>
      </x:c>
      <x:c r="R485" s="6" t="n">
        <x:v>2</x:v>
      </x:c>
      <x:c r="S485" s="6" t="n">
        <x:v>5</x:v>
      </x:c>
      <x:c r="T485" s="6" t="n">
        <x:v>5</x:v>
      </x:c>
      <x:c r="U485" s="6" t="n">
        <x:v>0</x:v>
      </x:c>
      <x:c r="V485" s="6" t="n">
        <x:v>0</x:v>
      </x:c>
      <x:c r="W485" s="6" t="n">
        <x:v>0</x:v>
      </x:c>
      <x:c r="X485" s="6" t="n">
        <x:v>0</x:v>
      </x:c>
      <x:c r="Y485" s="6" t="n">
        <x:v>0</x:v>
      </x:c>
      <x:c r="Z485" s="6" t="n">
        <x:v>0</x:v>
      </x:c>
      <x:c r="AA485" s="6" t="n">
        <x:v>3</x:v>
      </x:c>
      <x:c r="AB485" s="6" t="n">
        <x:v>11</x:v>
      </x:c>
      <x:c r="AC485" s="6" t="n">
        <x:v>0</x:v>
      </x:c>
    </x:row>
    <x:row r="486">
      <x:c r="A486" s="6" t="n">
        <x:v>9286</x:v>
      </x:c>
      <x:c r="B486" s="6" t="n">
        <x:v>1960</x:v>
      </x:c>
      <x:c r="C486" s="6" t="str">
        <x:v>Master</x:v>
      </x:c>
      <x:c r="D486" s="6" t="str">
        <x:v>Together</x:v>
      </x:c>
      <x:c r="E486" s="6" t="n">
        <x:v>83151</x:v>
      </x:c>
      <x:c r="F486" s="6" t="n">
        <x:v>0</x:v>
      </x:c>
      <x:c r="G486" s="6" t="n">
        <x:v>0</x:v>
      </x:c>
      <x:c r="H486" s="9" t="str">
        <x:v>10-10-2012</x:v>
      </x:c>
      <x:c r="I486" s="6" t="n">
        <x:v>93</x:v>
      </x:c>
      <x:c r="J486" s="6" t="n">
        <x:v>407</x:v>
      </x:c>
      <x:c r="K486" s="6" t="n">
        <x:v>28</x:v>
      </x:c>
      <x:c r="L486" s="6" t="n">
        <x:v>100</x:v>
      </x:c>
      <x:c r="M486" s="6" t="n">
        <x:v>120</x:v>
      </x:c>
      <x:c r="N486" s="6" t="n">
        <x:v>74</x:v>
      </x:c>
      <x:c r="O486" s="6" t="n">
        <x:v>18</x:v>
      </x:c>
      <x:c r="P486" s="6" t="n">
        <x:v>1</x:v>
      </x:c>
      <x:c r="Q486" s="6" t="n">
        <x:v>5</x:v>
      </x:c>
      <x:c r="R486" s="6" t="n">
        <x:v>9</x:v>
      </x:c>
      <x:c r="S486" s="6" t="n">
        <x:v>4</x:v>
      </x:c>
      <x:c r="T486" s="6" t="n">
        <x:v>3</x:v>
      </x:c>
      <x:c r="U486" s="6" t="n">
        <x:v>0</x:v>
      </x:c>
      <x:c r="V486" s="6" t="n">
        <x:v>0</x:v>
      </x:c>
      <x:c r="W486" s="6" t="n">
        <x:v>0</x:v>
      </x:c>
      <x:c r="X486" s="6" t="n">
        <x:v>0</x:v>
      </x:c>
      <x:c r="Y486" s="6" t="n">
        <x:v>0</x:v>
      </x:c>
      <x:c r="Z486" s="6" t="n">
        <x:v>0</x:v>
      </x:c>
      <x:c r="AA486" s="6" t="n">
        <x:v>3</x:v>
      </x:c>
      <x:c r="AB486" s="6" t="n">
        <x:v>11</x:v>
      </x:c>
      <x:c r="AC486" s="6" t="n">
        <x:v>0</x:v>
      </x:c>
    </x:row>
    <x:row r="487">
      <x:c r="A487" s="6" t="n">
        <x:v>2426</x:v>
      </x:c>
      <x:c r="B487" s="6" t="n">
        <x:v>1964</x:v>
      </x:c>
      <x:c r="C487" s="6" t="str">
        <x:v>PhD</x:v>
      </x:c>
      <x:c r="D487" s="6" t="str">
        <x:v>Divorced</x:v>
      </x:c>
      <x:c r="E487" s="6" t="n">
        <x:v>78825</x:v>
      </x:c>
      <x:c r="F487" s="6" t="n">
        <x:v>0</x:v>
      </x:c>
      <x:c r="G487" s="6" t="n">
        <x:v>0</x:v>
      </x:c>
      <x:c r="H487" s="9" t="str">
        <x:v>14-09-2012</x:v>
      </x:c>
      <x:c r="I487" s="6" t="n">
        <x:v>35</x:v>
      </x:c>
      <x:c r="J487" s="6" t="n">
        <x:v>483</x:v>
      </x:c>
      <x:c r="K487" s="6" t="n">
        <x:v>74</x:v>
      </x:c>
      <x:c r="L487" s="6" t="n">
        <x:v>114</x:v>
      </x:c>
      <x:c r="M487" s="6" t="n">
        <x:v>169</x:v>
      </x:c>
      <x:c r="N487" s="6" t="n">
        <x:v>37</x:v>
      </x:c>
      <x:c r="O487" s="6" t="n">
        <x:v>18</x:v>
      </x:c>
      <x:c r="P487" s="6" t="n">
        <x:v>1</x:v>
      </x:c>
      <x:c r="Q487" s="6" t="n">
        <x:v>5</x:v>
      </x:c>
      <x:c r="R487" s="6" t="n">
        <x:v>10</x:v>
      </x:c>
      <x:c r="S487" s="6" t="n">
        <x:v>13</x:v>
      </x:c>
      <x:c r="T487" s="6" t="n">
        <x:v>3</x:v>
      </x:c>
      <x:c r="U487" s="6" t="n">
        <x:v>0</x:v>
      </x:c>
      <x:c r="V487" s="6" t="n">
        <x:v>0</x:v>
      </x:c>
      <x:c r="W487" s="6" t="n">
        <x:v>0</x:v>
      </x:c>
      <x:c r="X487" s="6" t="n">
        <x:v>0</x:v>
      </x:c>
      <x:c r="Y487" s="6" t="n">
        <x:v>0</x:v>
      </x:c>
      <x:c r="Z487" s="6" t="n">
        <x:v>0</x:v>
      </x:c>
      <x:c r="AA487" s="6" t="n">
        <x:v>3</x:v>
      </x:c>
      <x:c r="AB487" s="6" t="n">
        <x:v>11</x:v>
      </x:c>
      <x:c r="AC487" s="6" t="n">
        <x:v>1</x:v>
      </x:c>
    </x:row>
    <x:row r="488">
      <x:c r="A488" s="6" t="n">
        <x:v>5172</x:v>
      </x:c>
      <x:c r="B488" s="6" t="n">
        <x:v>1976</x:v>
      </x:c>
      <x:c r="C488" s="6" t="str">
        <x:v>Master</x:v>
      </x:c>
      <x:c r="D488" s="6" t="str">
        <x:v>Together</x:v>
      </x:c>
      <x:c r="E488" s="6" t="n">
        <x:v>65104</x:v>
      </x:c>
      <x:c r="F488" s="6" t="n">
        <x:v>0</x:v>
      </x:c>
      <x:c r="G488" s="6" t="n">
        <x:v>1</x:v>
      </x:c>
      <x:c r="H488" s="9" t="str">
        <x:v>14-11-2013</x:v>
      </x:c>
      <x:c r="I488" s="6" t="n">
        <x:v>4</x:v>
      </x:c>
      <x:c r="J488" s="6" t="n">
        <x:v>738</x:v>
      </x:c>
      <x:c r="K488" s="6" t="n">
        <x:v>0</x:v>
      </x:c>
      <x:c r="L488" s="6" t="n">
        <x:v>232</x:v>
      </x:c>
      <x:c r="M488" s="6" t="n">
        <x:v>13</x:v>
      </x:c>
      <x:c r="N488" s="6" t="n">
        <x:v>20</x:v>
      </x:c>
      <x:c r="O488" s="6" t="n">
        <x:v>50</x:v>
      </x:c>
      <x:c r="P488" s="6" t="n">
        <x:v>2</x:v>
      </x:c>
      <x:c r="Q488" s="6" t="n">
        <x:v>3</x:v>
      </x:c>
      <x:c r="R488" s="6" t="n">
        <x:v>5</x:v>
      </x:c>
      <x:c r="S488" s="6" t="n">
        <x:v>7</x:v>
      </x:c>
      <x:c r="T488" s="6" t="n">
        <x:v>7</x:v>
      </x:c>
      <x:c r="U488" s="6" t="n">
        <x:v>0</x:v>
      </x:c>
      <x:c r="V488" s="6" t="n">
        <x:v>0</x:v>
      </x:c>
      <x:c r="W488" s="6" t="n">
        <x:v>0</x:v>
      </x:c>
      <x:c r="X488" s="6" t="n">
        <x:v>0</x:v>
      </x:c>
      <x:c r="Y488" s="6" t="n">
        <x:v>0</x:v>
      </x:c>
      <x:c r="Z488" s="6" t="n">
        <x:v>0</x:v>
      </x:c>
      <x:c r="AA488" s="6" t="n">
        <x:v>3</x:v>
      </x:c>
      <x:c r="AB488" s="6" t="n">
        <x:v>11</x:v>
      </x:c>
      <x:c r="AC488" s="6" t="n">
        <x:v>0</x:v>
      </x:c>
    </x:row>
    <x:row r="489">
      <x:c r="A489" s="6" t="n">
        <x:v>5562</x:v>
      </x:c>
      <x:c r="B489" s="6" t="n">
        <x:v>1974</x:v>
      </x:c>
      <x:c r="C489" s="6" t="str">
        <x:v>Graduation</x:v>
      </x:c>
      <x:c r="D489" s="6" t="str">
        <x:v>Married</x:v>
      </x:c>
      <x:c r="E489" s="6" t="n">
        <x:v>60093</x:v>
      </x:c>
      <x:c r="F489" s="6" t="n">
        <x:v>0</x:v>
      </x:c>
      <x:c r="G489" s="6" t="n">
        <x:v>1</x:v>
      </x:c>
      <x:c r="H489" s="9" t="str">
        <x:v>26-06-2013</x:v>
      </x:c>
      <x:c r="I489" s="6" t="n">
        <x:v>92</x:v>
      </x:c>
      <x:c r="J489" s="6" t="n">
        <x:v>502</x:v>
      </x:c>
      <x:c r="K489" s="6" t="n">
        <x:v>12</x:v>
      </x:c>
      <x:c r="L489" s="6" t="n">
        <x:v>109</x:v>
      </x:c>
      <x:c r="M489" s="6" t="n">
        <x:v>16</x:v>
      </x:c>
      <x:c r="N489" s="6" t="n">
        <x:v>6</x:v>
      </x:c>
      <x:c r="O489" s="6" t="n">
        <x:v>90</x:v>
      </x:c>
      <x:c r="P489" s="6" t="n">
        <x:v>2</x:v>
      </x:c>
      <x:c r="Q489" s="6" t="n">
        <x:v>7</x:v>
      </x:c>
      <x:c r="R489" s="6" t="n">
        <x:v>2</x:v>
      </x:c>
      <x:c r="S489" s="6" t="n">
        <x:v>10</x:v>
      </x:c>
      <x:c r="T489" s="6" t="n">
        <x:v>6</x:v>
      </x:c>
      <x:c r="U489" s="6" t="n">
        <x:v>0</x:v>
      </x:c>
      <x:c r="V489" s="6" t="n">
        <x:v>0</x:v>
      </x:c>
      <x:c r="W489" s="6" t="n">
        <x:v>0</x:v>
      </x:c>
      <x:c r="X489" s="6" t="n">
        <x:v>0</x:v>
      </x:c>
      <x:c r="Y489" s="6" t="n">
        <x:v>0</x:v>
      </x:c>
      <x:c r="Z489" s="6" t="n">
        <x:v>0</x:v>
      </x:c>
      <x:c r="AA489" s="6" t="n">
        <x:v>3</x:v>
      </x:c>
      <x:c r="AB489" s="6" t="n">
        <x:v>11</x:v>
      </x:c>
      <x:c r="AC489" s="6" t="n">
        <x:v>0</x:v>
      </x:c>
    </x:row>
    <x:row r="490">
      <x:c r="A490" s="6" t="n">
        <x:v>3436</x:v>
      </x:c>
      <x:c r="B490" s="6" t="n">
        <x:v>1969</x:v>
      </x:c>
      <x:c r="C490" s="6" t="str">
        <x:v>Graduation</x:v>
      </x:c>
      <x:c r="D490" s="6" t="str">
        <x:v>Married</x:v>
      </x:c>
      <x:c r="E490" s="6" t="n">
        <x:v>14045</x:v>
      </x:c>
      <x:c r="F490" s="6" t="n">
        <x:v>1</x:v>
      </x:c>
      <x:c r="G490" s="6" t="n">
        <x:v>0</x:v>
      </x:c>
      <x:c r="H490" s="9" t="str">
        <x:v>26-01-2014</x:v>
      </x:c>
      <x:c r="I490" s="6" t="n">
        <x:v>24</x:v>
      </x:c>
      <x:c r="J490" s="6" t="n">
        <x:v>11</x:v>
      </x:c>
      <x:c r="K490" s="6" t="n">
        <x:v>0</x:v>
      </x:c>
      <x:c r="L490" s="6" t="n">
        <x:v>5</x:v>
      </x:c>
      <x:c r="M490" s="6" t="n">
        <x:v>2</x:v>
      </x:c>
      <x:c r="N490" s="6" t="n">
        <x:v>1</x:v>
      </x:c>
      <x:c r="O490" s="6" t="n">
        <x:v>1</x:v>
      </x:c>
      <x:c r="P490" s="6" t="n">
        <x:v>1</x:v>
      </x:c>
      <x:c r="Q490" s="6" t="n">
        <x:v>1</x:v>
      </x:c>
      <x:c r="R490" s="6" t="n">
        <x:v>0</x:v>
      </x:c>
      <x:c r="S490" s="6" t="n">
        <x:v>3</x:v>
      </x:c>
      <x:c r="T490" s="6" t="n">
        <x:v>7</x:v>
      </x:c>
      <x:c r="U490" s="6" t="n">
        <x:v>0</x:v>
      </x:c>
      <x:c r="V490" s="6" t="n">
        <x:v>0</x:v>
      </x:c>
      <x:c r="W490" s="6" t="n">
        <x:v>0</x:v>
      </x:c>
      <x:c r="X490" s="6" t="n">
        <x:v>0</x:v>
      </x:c>
      <x:c r="Y490" s="6" t="n">
        <x:v>0</x:v>
      </x:c>
      <x:c r="Z490" s="6" t="n">
        <x:v>0</x:v>
      </x:c>
      <x:c r="AA490" s="6" t="n">
        <x:v>3</x:v>
      </x:c>
      <x:c r="AB490" s="6" t="n">
        <x:v>11</x:v>
      </x:c>
      <x:c r="AC490" s="6" t="n">
        <x:v>0</x:v>
      </x:c>
    </x:row>
    <x:row r="491">
      <x:c r="A491" s="6" t="n">
        <x:v>3921</x:v>
      </x:c>
      <x:c r="B491" s="6" t="n">
        <x:v>1952</x:v>
      </x:c>
      <x:c r="C491" s="6" t="str">
        <x:v>2n Cycle</x:v>
      </x:c>
      <x:c r="D491" s="6" t="str">
        <x:v>Widow</x:v>
      </x:c>
      <x:c r="E491" s="6" t="n">
        <x:v>28457</x:v>
      </x:c>
      <x:c r="F491" s="6" t="n">
        <x:v>0</x:v>
      </x:c>
      <x:c r="G491" s="6" t="n">
        <x:v>0</x:v>
      </x:c>
      <x:c r="H491" s="9" t="str">
        <x:v>28-10-2012</x:v>
      </x:c>
      <x:c r="I491" s="6" t="n">
        <x:v>96</x:v>
      </x:c>
      <x:c r="J491" s="6" t="n">
        <x:v>24</x:v>
      </x:c>
      <x:c r="K491" s="6" t="n">
        <x:v>1</x:v>
      </x:c>
      <x:c r="L491" s="6" t="n">
        <x:v>108</x:v>
      </x:c>
      <x:c r="M491" s="6" t="n">
        <x:v>29</x:v>
      </x:c>
      <x:c r="N491" s="6" t="n">
        <x:v>29</x:v>
      </x:c>
      <x:c r="O491" s="6" t="n">
        <x:v>14</x:v>
      </x:c>
      <x:c r="P491" s="6" t="n">
        <x:v>1</x:v>
      </x:c>
      <x:c r="Q491" s="6" t="n">
        <x:v>4</x:v>
      </x:c>
      <x:c r="R491" s="6" t="n">
        <x:v>1</x:v>
      </x:c>
      <x:c r="S491" s="6" t="n">
        <x:v>4</x:v>
      </x:c>
      <x:c r="T491" s="6" t="n">
        <x:v>8</x:v>
      </x:c>
      <x:c r="U491" s="6" t="n">
        <x:v>0</x:v>
      </x:c>
      <x:c r="V491" s="6" t="n">
        <x:v>0</x:v>
      </x:c>
      <x:c r="W491" s="6" t="n">
        <x:v>0</x:v>
      </x:c>
      <x:c r="X491" s="6" t="n">
        <x:v>0</x:v>
      </x:c>
      <x:c r="Y491" s="6" t="n">
        <x:v>0</x:v>
      </x:c>
      <x:c r="Z491" s="6" t="n">
        <x:v>0</x:v>
      </x:c>
      <x:c r="AA491" s="6" t="n">
        <x:v>3</x:v>
      </x:c>
      <x:c r="AB491" s="6" t="n">
        <x:v>11</x:v>
      </x:c>
      <x:c r="AC491" s="6" t="n">
        <x:v>0</x:v>
      </x:c>
    </x:row>
    <x:row r="492">
      <x:c r="A492" s="6" t="n">
        <x:v>3403</x:v>
      </x:c>
      <x:c r="B492" s="6" t="n">
        <x:v>1958</x:v>
      </x:c>
      <x:c r="C492" s="6" t="str">
        <x:v>PhD</x:v>
      </x:c>
      <x:c r="D492" s="6" t="str">
        <x:v>Together</x:v>
      </x:c>
      <x:c r="E492" s="6" t="n">
        <x:v>78952</x:v>
      </x:c>
      <x:c r="F492" s="6" t="n">
        <x:v>0</x:v>
      </x:c>
      <x:c r="G492" s="6" t="n">
        <x:v>1</x:v>
      </x:c>
      <x:c r="H492" s="9" t="str">
        <x:v>24-09-2012</x:v>
      </x:c>
      <x:c r="I492" s="6" t="n">
        <x:v>11</x:v>
      </x:c>
      <x:c r="J492" s="6" t="n">
        <x:v>1170</x:v>
      </x:c>
      <x:c r="K492" s="6" t="n">
        <x:v>19</x:v>
      </x:c>
      <x:c r="L492" s="6" t="n">
        <x:v>594</x:v>
      </x:c>
      <x:c r="M492" s="6" t="n">
        <x:v>99</x:v>
      </x:c>
      <x:c r="N492" s="6" t="n">
        <x:v>76</x:v>
      </x:c>
      <x:c r="O492" s="6" t="n">
        <x:v>134</x:v>
      </x:c>
      <x:c r="P492" s="6" t="n">
        <x:v>2</x:v>
      </x:c>
      <x:c r="Q492" s="6" t="n">
        <x:v>2</x:v>
      </x:c>
      <x:c r="R492" s="6" t="n">
        <x:v>5</x:v>
      </x:c>
      <x:c r="S492" s="6" t="n">
        <x:v>12</x:v>
      </x:c>
      <x:c r="T492" s="6" t="n">
        <x:v>6</x:v>
      </x:c>
      <x:c r="U492" s="6" t="n">
        <x:v>0</x:v>
      </x:c>
      <x:c r="V492" s="6" t="n">
        <x:v>0</x:v>
      </x:c>
      <x:c r="W492" s="6" t="n">
        <x:v>0</x:v>
      </x:c>
      <x:c r="X492" s="6" t="n">
        <x:v>0</x:v>
      </x:c>
      <x:c r="Y492" s="6" t="n">
        <x:v>0</x:v>
      </x:c>
      <x:c r="Z492" s="6" t="n">
        <x:v>0</x:v>
      </x:c>
      <x:c r="AA492" s="6" t="n">
        <x:v>3</x:v>
      </x:c>
      <x:c r="AB492" s="6" t="n">
        <x:v>11</x:v>
      </x:c>
      <x:c r="AC492" s="6" t="n">
        <x:v>0</x:v>
      </x:c>
    </x:row>
    <x:row r="493">
      <x:c r="A493" s="6" t="n">
        <x:v>22</x:v>
      </x:c>
      <x:c r="B493" s="6" t="n">
        <x:v>1976</x:v>
      </x:c>
      <x:c r="C493" s="6" t="str">
        <x:v>Graduation</x:v>
      </x:c>
      <x:c r="D493" s="6" t="str">
        <x:v>Divorced</x:v>
      </x:c>
      <x:c r="E493" s="6" t="n">
        <x:v>46310</x:v>
      </x:c>
      <x:c r="F493" s="6" t="n">
        <x:v>1</x:v>
      </x:c>
      <x:c r="G493" s="6" t="n">
        <x:v>0</x:v>
      </x:c>
      <x:c r="H493" s="9" t="str">
        <x:v>03-12-2012</x:v>
      </x:c>
      <x:c r="I493" s="6" t="n">
        <x:v>99</x:v>
      </x:c>
      <x:c r="J493" s="6" t="n">
        <x:v>185</x:v>
      </x:c>
      <x:c r="K493" s="6" t="n">
        <x:v>2</x:v>
      </x:c>
      <x:c r="L493" s="6" t="n">
        <x:v>88</x:v>
      </x:c>
      <x:c r="M493" s="6" t="n">
        <x:v>15</x:v>
      </x:c>
      <x:c r="N493" s="6" t="n">
        <x:v>5</x:v>
      </x:c>
      <x:c r="O493" s="6" t="n">
        <x:v>14</x:v>
      </x:c>
      <x:c r="P493" s="6" t="n">
        <x:v>2</x:v>
      </x:c>
      <x:c r="Q493" s="6" t="n">
        <x:v>6</x:v>
      </x:c>
      <x:c r="R493" s="6" t="n">
        <x:v>1</x:v>
      </x:c>
      <x:c r="S493" s="6" t="n">
        <x:v>5</x:v>
      </x:c>
      <x:c r="T493" s="6" t="n">
        <x:v>8</x:v>
      </x:c>
      <x:c r="U493" s="6" t="n">
        <x:v>0</x:v>
      </x:c>
      <x:c r="V493" s="6" t="n">
        <x:v>0</x:v>
      </x:c>
      <x:c r="W493" s="6" t="n">
        <x:v>0</x:v>
      </x:c>
      <x:c r="X493" s="6" t="n">
        <x:v>0</x:v>
      </x:c>
      <x:c r="Y493" s="6" t="n">
        <x:v>0</x:v>
      </x:c>
      <x:c r="Z493" s="6" t="n">
        <x:v>0</x:v>
      </x:c>
      <x:c r="AA493" s="6" t="n">
        <x:v>3</x:v>
      </x:c>
      <x:c r="AB493" s="6" t="n">
        <x:v>11</x:v>
      </x:c>
      <x:c r="AC493" s="6" t="n">
        <x:v>0</x:v>
      </x:c>
    </x:row>
    <x:row r="494">
      <x:c r="A494" s="6" t="n">
        <x:v>10965</x:v>
      </x:c>
      <x:c r="B494" s="6" t="n">
        <x:v>1955</x:v>
      </x:c>
      <x:c r="C494" s="6" t="str">
        <x:v>Graduation</x:v>
      </x:c>
      <x:c r="D494" s="6" t="str">
        <x:v>Together</x:v>
      </x:c>
      <x:c r="E494" s="6" t="n">
        <x:v>76005</x:v>
      </x:c>
      <x:c r="F494" s="6" t="n">
        <x:v>0</x:v>
      </x:c>
      <x:c r="G494" s="6" t="n">
        <x:v>0</x:v>
      </x:c>
      <x:c r="H494" s="9" t="str">
        <x:v>22-02-2013</x:v>
      </x:c>
      <x:c r="I494" s="6" t="n">
        <x:v>72</x:v>
      </x:c>
      <x:c r="J494" s="6" t="n">
        <x:v>983</x:v>
      </x:c>
      <x:c r="K494" s="6" t="n">
        <x:v>20</x:v>
      </x:c>
      <x:c r="L494" s="6" t="n">
        <x:v>389</x:v>
      </x:c>
      <x:c r="M494" s="6" t="n">
        <x:v>240</x:v>
      </x:c>
      <x:c r="N494" s="6" t="n">
        <x:v>50</x:v>
      </x:c>
      <x:c r="O494" s="6" t="n">
        <x:v>40</x:v>
      </x:c>
      <x:c r="P494" s="6" t="n">
        <x:v>1</x:v>
      </x:c>
      <x:c r="Q494" s="6" t="n">
        <x:v>3</x:v>
      </x:c>
      <x:c r="R494" s="6" t="n">
        <x:v>5</x:v>
      </x:c>
      <x:c r="S494" s="6" t="n">
        <x:v>13</x:v>
      </x:c>
      <x:c r="T494" s="6" t="n">
        <x:v>6</x:v>
      </x:c>
      <x:c r="U494" s="6" t="n">
        <x:v>0</x:v>
      </x:c>
      <x:c r="V494" s="6" t="n">
        <x:v>0</x:v>
      </x:c>
      <x:c r="W494" s="6" t="n">
        <x:v>0</x:v>
      </x:c>
      <x:c r="X494" s="6" t="n">
        <x:v>1</x:v>
      </x:c>
      <x:c r="Y494" s="6" t="n">
        <x:v>0</x:v>
      </x:c>
      <x:c r="Z494" s="6" t="n">
        <x:v>0</x:v>
      </x:c>
      <x:c r="AA494" s="6" t="n">
        <x:v>3</x:v>
      </x:c>
      <x:c r="AB494" s="6" t="n">
        <x:v>11</x:v>
      </x:c>
      <x:c r="AC494" s="6" t="n">
        <x:v>0</x:v>
      </x:c>
    </x:row>
    <x:row r="495">
      <x:c r="A495" s="6" t="n">
        <x:v>9426</x:v>
      </x:c>
      <x:c r="B495" s="6" t="n">
        <x:v>1964</x:v>
      </x:c>
      <x:c r="C495" s="6" t="str">
        <x:v>Master</x:v>
      </x:c>
      <x:c r="D495" s="6" t="str">
        <x:v>Single</x:v>
      </x:c>
      <x:c r="E495" s="6" t="n">
        <x:v>58308</x:v>
      </x:c>
      <x:c r="F495" s="6" t="n">
        <x:v>0</x:v>
      </x:c>
      <x:c r="G495" s="6" t="n">
        <x:v>1</x:v>
      </x:c>
      <x:c r="H495" s="9" t="str">
        <x:v>12-01-2013</x:v>
      </x:c>
      <x:c r="I495" s="6" t="n">
        <x:v>77</x:v>
      </x:c>
      <x:c r="J495" s="6" t="n">
        <x:v>691</x:v>
      </x:c>
      <x:c r="K495" s="6" t="n">
        <x:v>0</x:v>
      </x:c>
      <x:c r="L495" s="6" t="n">
        <x:v>69</x:v>
      </x:c>
      <x:c r="M495" s="6" t="n">
        <x:v>10</x:v>
      </x:c>
      <x:c r="N495" s="6" t="n">
        <x:v>0</x:v>
      </x:c>
      <x:c r="O495" s="6" t="n">
        <x:v>130</x:v>
      </x:c>
      <x:c r="P495" s="6" t="n">
        <x:v>4</x:v>
      </x:c>
      <x:c r="Q495" s="6" t="n">
        <x:v>2</x:v>
      </x:c>
      <x:c r="R495" s="6" t="n">
        <x:v>6</x:v>
      </x:c>
      <x:c r="S495" s="6" t="n">
        <x:v>3</x:v>
      </x:c>
      <x:c r="T495" s="6" t="n">
        <x:v>8</x:v>
      </x:c>
      <x:c r="U495" s="6" t="n">
        <x:v>0</x:v>
      </x:c>
      <x:c r="V495" s="6" t="n">
        <x:v>0</x:v>
      </x:c>
      <x:c r="W495" s="6" t="n">
        <x:v>0</x:v>
      </x:c>
      <x:c r="X495" s="6" t="n">
        <x:v>0</x:v>
      </x:c>
      <x:c r="Y495" s="6" t="n">
        <x:v>0</x:v>
      </x:c>
      <x:c r="Z495" s="6" t="n">
        <x:v>0</x:v>
      </x:c>
      <x:c r="AA495" s="6" t="n">
        <x:v>3</x:v>
      </x:c>
      <x:c r="AB495" s="6" t="n">
        <x:v>11</x:v>
      </x:c>
      <x:c r="AC495" s="6" t="n">
        <x:v>0</x:v>
      </x:c>
    </x:row>
    <x:row r="496">
      <x:c r="A496" s="6" t="n">
        <x:v>6605</x:v>
      </x:c>
      <x:c r="B496" s="6" t="n">
        <x:v>1944</x:v>
      </x:c>
      <x:c r="C496" s="6" t="str">
        <x:v>PhD</x:v>
      </x:c>
      <x:c r="D496" s="6" t="str">
        <x:v>Divorced</x:v>
      </x:c>
      <x:c r="E496" s="6" t="n">
        <x:v>55614</x:v>
      </x:c>
      <x:c r="F496" s="6" t="n">
        <x:v>0</x:v>
      </x:c>
      <x:c r="G496" s="6" t="n">
        <x:v>0</x:v>
      </x:c>
      <x:c r="H496" s="9" t="str">
        <x:v>27-11-2013</x:v>
      </x:c>
      <x:c r="I496" s="6" t="n">
        <x:v>85</x:v>
      </x:c>
      <x:c r="J496" s="6" t="n">
        <x:v>504</x:v>
      </x:c>
      <x:c r="K496" s="6" t="n">
        <x:v>13</x:v>
      </x:c>
      <x:c r="L496" s="6" t="n">
        <x:v>131</x:v>
      </x:c>
      <x:c r="M496" s="6" t="n">
        <x:v>8</x:v>
      </x:c>
      <x:c r="N496" s="6" t="n">
        <x:v>0</x:v>
      </x:c>
      <x:c r="O496" s="6" t="n">
        <x:v>26</x:v>
      </x:c>
      <x:c r="P496" s="6" t="n">
        <x:v>1</x:v>
      </x:c>
      <x:c r="Q496" s="6" t="n">
        <x:v>9</x:v>
      </x:c>
      <x:c r="R496" s="6" t="n">
        <x:v>4</x:v>
      </x:c>
      <x:c r="S496" s="6" t="n">
        <x:v>6</x:v>
      </x:c>
      <x:c r="T496" s="6" t="n">
        <x:v>7</x:v>
      </x:c>
      <x:c r="U496" s="6" t="n">
        <x:v>0</x:v>
      </x:c>
      <x:c r="V496" s="6" t="n">
        <x:v>1</x:v>
      </x:c>
      <x:c r="W496" s="6" t="n">
        <x:v>0</x:v>
      </x:c>
      <x:c r="X496" s="6" t="n">
        <x:v>0</x:v>
      </x:c>
      <x:c r="Y496" s="6" t="n">
        <x:v>0</x:v>
      </x:c>
      <x:c r="Z496" s="6" t="n">
        <x:v>0</x:v>
      </x:c>
      <x:c r="AA496" s="6" t="n">
        <x:v>3</x:v>
      </x:c>
      <x:c r="AB496" s="6" t="n">
        <x:v>11</x:v>
      </x:c>
      <x:c r="AC496" s="6" t="n">
        <x:v>0</x:v>
      </x:c>
    </x:row>
    <x:row r="497">
      <x:c r="A497" s="6" t="n">
        <x:v>3136</x:v>
      </x:c>
      <x:c r="B497" s="6" t="n">
        <x:v>1962</x:v>
      </x:c>
      <x:c r="C497" s="6" t="str">
        <x:v>Master</x:v>
      </x:c>
      <x:c r="D497" s="6" t="str">
        <x:v>Divorced</x:v>
      </x:c>
      <x:c r="E497" s="6" t="n">
        <x:v>59432</x:v>
      </x:c>
      <x:c r="F497" s="6" t="n">
        <x:v>0</x:v>
      </x:c>
      <x:c r="G497" s="6" t="n">
        <x:v>1</x:v>
      </x:c>
      <x:c r="H497" s="9" t="str">
        <x:v>13-04-2013</x:v>
      </x:c>
      <x:c r="I497" s="6" t="n">
        <x:v>88</x:v>
      </x:c>
      <x:c r="J497" s="6" t="n">
        <x:v>317</x:v>
      </x:c>
      <x:c r="K497" s="6" t="n">
        <x:v>25</x:v>
      </x:c>
      <x:c r="L497" s="6" t="n">
        <x:v>265</x:v>
      </x:c>
      <x:c r="M497" s="6" t="n">
        <x:v>25</x:v>
      </x:c>
      <x:c r="N497" s="6" t="n">
        <x:v>19</x:v>
      </x:c>
      <x:c r="O497" s="6" t="n">
        <x:v>12</x:v>
      </x:c>
      <x:c r="P497" s="6" t="n">
        <x:v>3</x:v>
      </x:c>
      <x:c r="Q497" s="6" t="n">
        <x:v>5</x:v>
      </x:c>
      <x:c r="R497" s="6" t="n">
        <x:v>3</x:v>
      </x:c>
      <x:c r="S497" s="6" t="n">
        <x:v>11</x:v>
      </x:c>
      <x:c r="T497" s="6" t="n">
        <x:v>5</x:v>
      </x:c>
      <x:c r="U497" s="6" t="n">
        <x:v>0</x:v>
      </x:c>
      <x:c r="V497" s="6" t="n">
        <x:v>0</x:v>
      </x:c>
      <x:c r="W497" s="6" t="n">
        <x:v>0</x:v>
      </x:c>
      <x:c r="X497" s="6" t="n">
        <x:v>0</x:v>
      </x:c>
      <x:c r="Y497" s="6" t="n">
        <x:v>0</x:v>
      </x:c>
      <x:c r="Z497" s="6" t="n">
        <x:v>0</x:v>
      </x:c>
      <x:c r="AA497" s="6" t="n">
        <x:v>3</x:v>
      </x:c>
      <x:c r="AB497" s="6" t="n">
        <x:v>11</x:v>
      </x:c>
      <x:c r="AC497" s="6" t="n">
        <x:v>0</x:v>
      </x:c>
    </x:row>
    <x:row r="498">
      <x:c r="A498" s="6" t="n">
        <x:v>8737</x:v>
      </x:c>
      <x:c r="B498" s="6" t="n">
        <x:v>1978</x:v>
      </x:c>
      <x:c r="C498" s="6" t="str">
        <x:v>Graduation</x:v>
      </x:c>
      <x:c r="D498" s="6" t="str">
        <x:v>Divorced</x:v>
      </x:c>
      <x:c r="E498" s="6" t="n">
        <x:v>55563</x:v>
      </x:c>
      <x:c r="F498" s="6" t="n">
        <x:v>0</x:v>
      </x:c>
      <x:c r="G498" s="6" t="n">
        <x:v>1</x:v>
      </x:c>
      <x:c r="H498" s="9" t="str">
        <x:v>05-04-2014</x:v>
      </x:c>
      <x:c r="I498" s="6" t="n">
        <x:v>22</x:v>
      </x:c>
      <x:c r="J498" s="6" t="n">
        <x:v>29</x:v>
      </x:c>
      <x:c r="K498" s="6" t="n">
        <x:v>1</x:v>
      </x:c>
      <x:c r="L498" s="6" t="n">
        <x:v>9</x:v>
      </x:c>
      <x:c r="M498" s="6" t="n">
        <x:v>2</x:v>
      </x:c>
      <x:c r="N498" s="6" t="n">
        <x:v>0</x:v>
      </x:c>
      <x:c r="O498" s="6" t="n">
        <x:v>2</x:v>
      </x:c>
      <x:c r="P498" s="6" t="n">
        <x:v>1</x:v>
      </x:c>
      <x:c r="Q498" s="6" t="n">
        <x:v>2</x:v>
      </x:c>
      <x:c r="R498" s="6" t="n">
        <x:v>0</x:v>
      </x:c>
      <x:c r="S498" s="6" t="n">
        <x:v>3</x:v>
      </x:c>
      <x:c r="T498" s="6" t="n">
        <x:v>3</x:v>
      </x:c>
      <x:c r="U498" s="6" t="n">
        <x:v>0</x:v>
      </x:c>
      <x:c r="V498" s="6" t="n">
        <x:v>0</x:v>
      </x:c>
      <x:c r="W498" s="6" t="n">
        <x:v>0</x:v>
      </x:c>
      <x:c r="X498" s="6" t="n">
        <x:v>0</x:v>
      </x:c>
      <x:c r="Y498" s="6" t="n">
        <x:v>0</x:v>
      </x:c>
      <x:c r="Z498" s="6" t="n">
        <x:v>0</x:v>
      </x:c>
      <x:c r="AA498" s="6" t="n">
        <x:v>3</x:v>
      </x:c>
      <x:c r="AB498" s="6" t="n">
        <x:v>11</x:v>
      </x:c>
      <x:c r="AC498" s="6" t="n">
        <x:v>0</x:v>
      </x:c>
    </x:row>
    <x:row r="499">
      <x:c r="A499" s="6" t="n">
        <x:v>11088</x:v>
      </x:c>
      <x:c r="B499" s="6" t="n">
        <x:v>1971</x:v>
      </x:c>
      <x:c r="C499" s="6" t="str">
        <x:v>PhD</x:v>
      </x:c>
      <x:c r="D499" s="6" t="str">
        <x:v>Together</x:v>
      </x:c>
      <x:c r="E499" s="6" t="n">
        <x:v>78642</x:v>
      </x:c>
      <x:c r="F499" s="6" t="n">
        <x:v>0</x:v>
      </x:c>
      <x:c r="G499" s="6" t="n">
        <x:v>1</x:v>
      </x:c>
      <x:c r="H499" s="9" t="str">
        <x:v>21-04-2013</x:v>
      </x:c>
      <x:c r="I499" s="6" t="n">
        <x:v>83</x:v>
      </x:c>
      <x:c r="J499" s="6" t="n">
        <x:v>1396</x:v>
      </x:c>
      <x:c r="K499" s="6" t="n">
        <x:v>0</x:v>
      </x:c>
      <x:c r="L499" s="6" t="n">
        <x:v>322</x:v>
      </x:c>
      <x:c r="M499" s="6" t="n">
        <x:v>46</x:v>
      </x:c>
      <x:c r="N499" s="6" t="n">
        <x:v>35</x:v>
      </x:c>
      <x:c r="O499" s="6" t="n">
        <x:v>17</x:v>
      </x:c>
      <x:c r="P499" s="6" t="n">
        <x:v>1</x:v>
      </x:c>
      <x:c r="Q499" s="6" t="n">
        <x:v>4</x:v>
      </x:c>
      <x:c r="R499" s="6" t="n">
        <x:v>9</x:v>
      </x:c>
      <x:c r="S499" s="6" t="n">
        <x:v>4</x:v>
      </x:c>
      <x:c r="T499" s="6" t="n">
        <x:v>6</x:v>
      </x:c>
      <x:c r="U499" s="6" t="n">
        <x:v>0</x:v>
      </x:c>
      <x:c r="V499" s="6" t="n">
        <x:v>0</x:v>
      </x:c>
      <x:c r="W499" s="6" t="n">
        <x:v>0</x:v>
      </x:c>
      <x:c r="X499" s="6" t="n">
        <x:v>0</x:v>
      </x:c>
      <x:c r="Y499" s="6" t="n">
        <x:v>0</x:v>
      </x:c>
      <x:c r="Z499" s="6" t="n">
        <x:v>0</x:v>
      </x:c>
      <x:c r="AA499" s="6" t="n">
        <x:v>3</x:v>
      </x:c>
      <x:c r="AB499" s="6" t="n">
        <x:v>11</x:v>
      </x:c>
      <x:c r="AC499" s="6" t="n">
        <x:v>0</x:v>
      </x:c>
    </x:row>
    <x:row r="500">
      <x:c r="A500" s="6" t="n">
        <x:v>716</x:v>
      </x:c>
      <x:c r="B500" s="6" t="n">
        <x:v>1949</x:v>
      </x:c>
      <x:c r="C500" s="6" t="str">
        <x:v>PhD</x:v>
      </x:c>
      <x:c r="D500" s="6" t="str">
        <x:v>Together</x:v>
      </x:c>
      <x:c r="E500" s="6" t="n">
        <x:v>67911</x:v>
      </x:c>
      <x:c r="F500" s="6" t="n">
        <x:v>0</x:v>
      </x:c>
      <x:c r="G500" s="6" t="n">
        <x:v>1</x:v>
      </x:c>
      <x:c r="H500" s="9" t="str">
        <x:v>22-05-2014</x:v>
      </x:c>
      <x:c r="I500" s="6" t="n">
        <x:v>63</x:v>
      </x:c>
      <x:c r="J500" s="6" t="n">
        <x:v>529</x:v>
      </x:c>
      <x:c r="K500" s="6" t="n">
        <x:v>0</x:v>
      </x:c>
      <x:c r="L500" s="6" t="n">
        <x:v>356</x:v>
      </x:c>
      <x:c r="M500" s="6" t="n">
        <x:v>63</x:v>
      </x:c>
      <x:c r="N500" s="6" t="n">
        <x:v>28</x:v>
      </x:c>
      <x:c r="O500" s="6" t="n">
        <x:v>0</x:v>
      </x:c>
      <x:c r="P500" s="6" t="n">
        <x:v>3</x:v>
      </x:c>
      <x:c r="Q500" s="6" t="n">
        <x:v>6</x:v>
      </x:c>
      <x:c r="R500" s="6" t="n">
        <x:v>7</x:v>
      </x:c>
      <x:c r="S500" s="6" t="n">
        <x:v>11</x:v>
      </x:c>
      <x:c r="T500" s="6" t="n">
        <x:v>3</x:v>
      </x:c>
      <x:c r="U500" s="6" t="n">
        <x:v>0</x:v>
      </x:c>
      <x:c r="V500" s="6" t="n">
        <x:v>0</x:v>
      </x:c>
      <x:c r="W500" s="6" t="n">
        <x:v>0</x:v>
      </x:c>
      <x:c r="X500" s="6" t="n">
        <x:v>0</x:v>
      </x:c>
      <x:c r="Y500" s="6" t="n">
        <x:v>0</x:v>
      </x:c>
      <x:c r="Z500" s="6" t="n">
        <x:v>0</x:v>
      </x:c>
      <x:c r="AA500" s="6" t="n">
        <x:v>3</x:v>
      </x:c>
      <x:c r="AB500" s="6" t="n">
        <x:v>11</x:v>
      </x:c>
      <x:c r="AC500" s="6" t="n">
        <x:v>0</x:v>
      </x:c>
    </x:row>
    <x:row r="501">
      <x:c r="A501" s="6" t="n">
        <x:v>466</x:v>
      </x:c>
      <x:c r="B501" s="6" t="n">
        <x:v>1944</x:v>
      </x:c>
      <x:c r="C501" s="6" t="str">
        <x:v>Graduation</x:v>
      </x:c>
      <x:c r="D501" s="6" t="str">
        <x:v>Married</x:v>
      </x:c>
      <x:c r="E501" s="6" t="n">
        <x:v>65275</x:v>
      </x:c>
      <x:c r="F501" s="6" t="n">
        <x:v>0</x:v>
      </x:c>
      <x:c r="G501" s="6" t="n">
        <x:v>0</x:v>
      </x:c>
      <x:c r="H501" s="9" t="str">
        <x:v>03-04-2013</x:v>
      </x:c>
      <x:c r="I501" s="6" t="n">
        <x:v>9</x:v>
      </x:c>
      <x:c r="J501" s="6" t="n">
        <x:v>388</x:v>
      </x:c>
      <x:c r="K501" s="6" t="n">
        <x:v>14</x:v>
      </x:c>
      <x:c r="L501" s="6" t="n">
        <x:v>218</x:v>
      </x:c>
      <x:c r="M501" s="6" t="n">
        <x:v>91</x:v>
      </x:c>
      <x:c r="N501" s="6" t="n">
        <x:v>14</x:v>
      </x:c>
      <x:c r="O501" s="6" t="n">
        <x:v>21</x:v>
      </x:c>
      <x:c r="P501" s="6" t="n">
        <x:v>1</x:v>
      </x:c>
      <x:c r="Q501" s="6" t="n">
        <x:v>4</x:v>
      </x:c>
      <x:c r="R501" s="6" t="n">
        <x:v>3</x:v>
      </x:c>
      <x:c r="S501" s="6" t="n">
        <x:v>13</x:v>
      </x:c>
      <x:c r="T501" s="6" t="n">
        <x:v>2</x:v>
      </x:c>
      <x:c r="U501" s="6" t="n">
        <x:v>0</x:v>
      </x:c>
      <x:c r="V501" s="6" t="n">
        <x:v>0</x:v>
      </x:c>
      <x:c r="W501" s="6" t="n">
        <x:v>0</x:v>
      </x:c>
      <x:c r="X501" s="6" t="n">
        <x:v>0</x:v>
      </x:c>
      <x:c r="Y501" s="6" t="n">
        <x:v>0</x:v>
      </x:c>
      <x:c r="Z501" s="6" t="n">
        <x:v>0</x:v>
      </x:c>
      <x:c r="AA501" s="6" t="n">
        <x:v>3</x:v>
      </x:c>
      <x:c r="AB501" s="6" t="n">
        <x:v>11</x:v>
      </x:c>
      <x:c r="AC501" s="6" t="n">
        <x:v>0</x:v>
      </x:c>
    </x:row>
    <x:row r="502">
      <x:c r="A502" s="6" t="n">
        <x:v>9135</x:v>
      </x:c>
      <x:c r="B502" s="6" t="n">
        <x:v>1950</x:v>
      </x:c>
      <x:c r="C502" s="6" t="str">
        <x:v>Graduation</x:v>
      </x:c>
      <x:c r="D502" s="6" t="str">
        <x:v>Together</x:v>
      </x:c>
      <x:c r="E502" s="6" t="n">
        <x:v>27203</x:v>
      </x:c>
      <x:c r="F502" s="6" t="n">
        <x:v>1</x:v>
      </x:c>
      <x:c r="G502" s="6" t="n">
        <x:v>1</x:v>
      </x:c>
      <x:c r="H502" s="9" t="str">
        <x:v>06-08-2012</x:v>
      </x:c>
      <x:c r="I502" s="6" t="n">
        <x:v>92</x:v>
      </x:c>
      <x:c r="J502" s="6" t="n">
        <x:v>13</x:v>
      </x:c>
      <x:c r="K502" s="6" t="n">
        <x:v>2</x:v>
      </x:c>
      <x:c r="L502" s="6" t="n">
        <x:v>21</x:v>
      </x:c>
      <x:c r="M502" s="6" t="n">
        <x:v>4</x:v>
      </x:c>
      <x:c r="N502" s="6" t="n">
        <x:v>0</x:v>
      </x:c>
      <x:c r="O502" s="6" t="n">
        <x:v>24</x:v>
      </x:c>
      <x:c r="P502" s="6" t="n">
        <x:v>2</x:v>
      </x:c>
      <x:c r="Q502" s="6" t="n">
        <x:v>1</x:v>
      </x:c>
      <x:c r="R502" s="6" t="n">
        <x:v>1</x:v>
      </x:c>
      <x:c r="S502" s="6" t="n">
        <x:v>2</x:v>
      </x:c>
      <x:c r="T502" s="6" t="n">
        <x:v>8</x:v>
      </x:c>
      <x:c r="U502" s="6" t="n">
        <x:v>0</x:v>
      </x:c>
      <x:c r="V502" s="6" t="n">
        <x:v>0</x:v>
      </x:c>
      <x:c r="W502" s="6" t="n">
        <x:v>0</x:v>
      </x:c>
      <x:c r="X502" s="6" t="n">
        <x:v>0</x:v>
      </x:c>
      <x:c r="Y502" s="6" t="n">
        <x:v>0</x:v>
      </x:c>
      <x:c r="Z502" s="6" t="n">
        <x:v>0</x:v>
      </x:c>
      <x:c r="AA502" s="6" t="n">
        <x:v>3</x:v>
      </x:c>
      <x:c r="AB502" s="6" t="n">
        <x:v>11</x:v>
      </x:c>
      <x:c r="AC502" s="6" t="n">
        <x:v>0</x:v>
      </x:c>
    </x:row>
    <x:row r="503">
      <x:c r="A503" s="6" t="n">
        <x:v>10623</x:v>
      </x:c>
      <x:c r="B503" s="6" t="n">
        <x:v>1961</x:v>
      </x:c>
      <x:c r="C503" s="6" t="str">
        <x:v>Master</x:v>
      </x:c>
      <x:c r="D503" s="6" t="str">
        <x:v>Together</x:v>
      </x:c>
      <x:c r="E503" s="6" t="n">
        <x:v>48330</x:v>
      </x:c>
      <x:c r="F503" s="6" t="n">
        <x:v>0</x:v>
      </x:c>
      <x:c r="G503" s="6" t="n">
        <x:v>1</x:v>
      </x:c>
      <x:c r="H503" s="9" t="str">
        <x:v>15-11-2013</x:v>
      </x:c>
      <x:c r="I503" s="6" t="n">
        <x:v>2</x:v>
      </x:c>
      <x:c r="J503" s="6" t="n">
        <x:v>28</x:v>
      </x:c>
      <x:c r="K503" s="6" t="n">
        <x:v>0</x:v>
      </x:c>
      <x:c r="L503" s="6" t="n">
        <x:v>4</x:v>
      </x:c>
      <x:c r="M503" s="6" t="n">
        <x:v>0</x:v>
      </x:c>
      <x:c r="N503" s="6" t="n">
        <x:v>0</x:v>
      </x:c>
      <x:c r="O503" s="6" t="n">
        <x:v>0</x:v>
      </x:c>
      <x:c r="P503" s="6" t="n">
        <x:v>1</x:v>
      </x:c>
      <x:c r="Q503" s="6" t="n">
        <x:v>1</x:v>
      </x:c>
      <x:c r="R503" s="6" t="n">
        <x:v>0</x:v>
      </x:c>
      <x:c r="S503" s="6" t="n">
        <x:v>3</x:v>
      </x:c>
      <x:c r="T503" s="6" t="n">
        <x:v>5</x:v>
      </x:c>
      <x:c r="U503" s="6" t="n">
        <x:v>0</x:v>
      </x:c>
      <x:c r="V503" s="6" t="n">
        <x:v>0</x:v>
      </x:c>
      <x:c r="W503" s="6" t="n">
        <x:v>0</x:v>
      </x:c>
      <x:c r="X503" s="6" t="n">
        <x:v>0</x:v>
      </x:c>
      <x:c r="Y503" s="6" t="n">
        <x:v>0</x:v>
      </x:c>
      <x:c r="Z503" s="6" t="n">
        <x:v>0</x:v>
      </x:c>
      <x:c r="AA503" s="6" t="n">
        <x:v>3</x:v>
      </x:c>
      <x:c r="AB503" s="6" t="n">
        <x:v>11</x:v>
      </x:c>
      <x:c r="AC503" s="6" t="n">
        <x:v>0</x:v>
      </x:c>
    </x:row>
    <x:row r="504">
      <x:c r="A504" s="6" t="n">
        <x:v>8151</x:v>
      </x:c>
      <x:c r="B504" s="6" t="n">
        <x:v>1990</x:v>
      </x:c>
      <x:c r="C504" s="6" t="str">
        <x:v>Basic</x:v>
      </x:c>
      <x:c r="D504" s="6" t="str">
        <x:v>Married</x:v>
      </x:c>
      <x:c r="E504" s="6" t="n">
        <x:v>24279</x:v>
      </x:c>
      <x:c r="F504" s="6" t="n">
        <x:v>0</x:v>
      </x:c>
      <x:c r="G504" s="6" t="n">
        <x:v>0</x:v>
      </x:c>
      <x:c r="H504" s="9" t="str">
        <x:v>29-12-2012</x:v>
      </x:c>
      <x:c r="I504" s="6" t="n">
        <x:v>6</x:v>
      </x:c>
      <x:c r="J504" s="6" t="n">
        <x:v>16</x:v>
      </x:c>
      <x:c r="K504" s="6" t="n">
        <x:v>36</x:v>
      </x:c>
      <x:c r="L504" s="6" t="n">
        <x:v>21</x:v>
      </x:c>
      <x:c r="M504" s="6" t="n">
        <x:v>20</x:v>
      </x:c>
      <x:c r="N504" s="6" t="n">
        <x:v>62</x:v>
      </x:c>
      <x:c r="O504" s="6" t="n">
        <x:v>108</x:v>
      </x:c>
      <x:c r="P504" s="6" t="n">
        <x:v>1</x:v>
      </x:c>
      <x:c r="Q504" s="6" t="n">
        <x:v>4</x:v>
      </x:c>
      <x:c r="R504" s="6" t="n">
        <x:v>1</x:v>
      </x:c>
      <x:c r="S504" s="6" t="n">
        <x:v>3</x:v>
      </x:c>
      <x:c r="T504" s="6" t="n">
        <x:v>8</x:v>
      </x:c>
      <x:c r="U504" s="6" t="n">
        <x:v>0</x:v>
      </x:c>
      <x:c r="V504" s="6" t="n">
        <x:v>0</x:v>
      </x:c>
      <x:c r="W504" s="6" t="n">
        <x:v>0</x:v>
      </x:c>
      <x:c r="X504" s="6" t="n">
        <x:v>0</x:v>
      </x:c>
      <x:c r="Y504" s="6" t="n">
        <x:v>0</x:v>
      </x:c>
      <x:c r="Z504" s="6" t="n">
        <x:v>0</x:v>
      </x:c>
      <x:c r="AA504" s="6" t="n">
        <x:v>3</x:v>
      </x:c>
      <x:c r="AB504" s="6" t="n">
        <x:v>11</x:v>
      </x:c>
      <x:c r="AC504" s="6" t="n">
        <x:v>0</x:v>
      </x:c>
    </x:row>
    <x:row r="505">
      <x:c r="A505" s="6" t="n">
        <x:v>5140</x:v>
      </x:c>
      <x:c r="B505" s="6" t="n">
        <x:v>1985</x:v>
      </x:c>
      <x:c r="C505" s="6" t="str">
        <x:v>PhD</x:v>
      </x:c>
      <x:c r="D505" s="6" t="str">
        <x:v>Married</x:v>
      </x:c>
      <x:c r="E505" s="6" t="n">
        <x:v>64355</x:v>
      </x:c>
      <x:c r="F505" s="6" t="n">
        <x:v>1</x:v>
      </x:c>
      <x:c r="G505" s="6" t="n">
        <x:v>0</x:v>
      </x:c>
      <x:c r="H505" s="9" t="str">
        <x:v>24-08-2012</x:v>
      </x:c>
      <x:c r="I505" s="6" t="n">
        <x:v>66</x:v>
      </x:c>
      <x:c r="J505" s="6" t="n">
        <x:v>1047</x:v>
      </x:c>
      <x:c r="K505" s="6" t="n">
        <x:v>0</x:v>
      </x:c>
      <x:c r="L505" s="6" t="n">
        <x:v>140</x:v>
      </x:c>
      <x:c r="M505" s="6" t="n">
        <x:v>67</x:v>
      </x:c>
      <x:c r="N505" s="6" t="n">
        <x:v>38</x:v>
      </x:c>
      <x:c r="O505" s="6" t="n">
        <x:v>153</x:v>
      </x:c>
      <x:c r="P505" s="6" t="n">
        <x:v>2</x:v>
      </x:c>
      <x:c r="Q505" s="6" t="n">
        <x:v>4</x:v>
      </x:c>
      <x:c r="R505" s="6" t="n">
        <x:v>3</x:v>
      </x:c>
      <x:c r="S505" s="6" t="n">
        <x:v>12</x:v>
      </x:c>
      <x:c r="T505" s="6" t="n">
        <x:v>8</x:v>
      </x:c>
      <x:c r="U505" s="6" t="n">
        <x:v>0</x:v>
      </x:c>
      <x:c r="V505" s="6" t="n">
        <x:v>0</x:v>
      </x:c>
      <x:c r="W505" s="6" t="n">
        <x:v>0</x:v>
      </x:c>
      <x:c r="X505" s="6" t="n">
        <x:v>0</x:v>
      </x:c>
      <x:c r="Y505" s="6" t="n">
        <x:v>0</x:v>
      </x:c>
      <x:c r="Z505" s="6" t="n">
        <x:v>0</x:v>
      </x:c>
      <x:c r="AA505" s="6" t="n">
        <x:v>3</x:v>
      </x:c>
      <x:c r="AB505" s="6" t="n">
        <x:v>11</x:v>
      </x:c>
      <x:c r="AC505" s="6" t="n">
        <x:v>0</x:v>
      </x:c>
    </x:row>
    <x:row r="506">
      <x:c r="A506" s="6" t="n">
        <x:v>10160</x:v>
      </x:c>
      <x:c r="B506" s="6" t="n">
        <x:v>1956</x:v>
      </x:c>
      <x:c r="C506" s="6" t="str">
        <x:v>Master</x:v>
      </x:c>
      <x:c r="D506" s="6" t="str">
        <x:v>Together</x:v>
      </x:c>
      <x:c r="E506" s="6" t="n">
        <x:v>50943</x:v>
      </x:c>
      <x:c r="F506" s="6" t="n">
        <x:v>0</x:v>
      </x:c>
      <x:c r="G506" s="6" t="n">
        <x:v>1</x:v>
      </x:c>
      <x:c r="H506" s="9" t="str">
        <x:v>21-06-2013</x:v>
      </x:c>
      <x:c r="I506" s="6" t="n">
        <x:v>49</x:v>
      </x:c>
      <x:c r="J506" s="6" t="n">
        <x:v>31</x:v>
      </x:c>
      <x:c r="K506" s="6" t="n">
        <x:v>0</x:v>
      </x:c>
      <x:c r="L506" s="6" t="n">
        <x:v>7</x:v>
      </x:c>
      <x:c r="M506" s="6" t="n">
        <x:v>2</x:v>
      </x:c>
      <x:c r="N506" s="6" t="n">
        <x:v>0</x:v>
      </x:c>
      <x:c r="O506" s="6" t="n">
        <x:v>6</x:v>
      </x:c>
      <x:c r="P506" s="6" t="n">
        <x:v>1</x:v>
      </x:c>
      <x:c r="Q506" s="6" t="n">
        <x:v>1</x:v>
      </x:c>
      <x:c r="R506" s="6" t="n">
        <x:v>0</x:v>
      </x:c>
      <x:c r="S506" s="6" t="n">
        <x:v>3</x:v>
      </x:c>
      <x:c r="T506" s="6" t="n">
        <x:v>5</x:v>
      </x:c>
      <x:c r="U506" s="6" t="n">
        <x:v>0</x:v>
      </x:c>
      <x:c r="V506" s="6" t="n">
        <x:v>0</x:v>
      </x:c>
      <x:c r="W506" s="6" t="n">
        <x:v>0</x:v>
      </x:c>
      <x:c r="X506" s="6" t="n">
        <x:v>0</x:v>
      </x:c>
      <x:c r="Y506" s="6" t="n">
        <x:v>0</x:v>
      </x:c>
      <x:c r="Z506" s="6" t="n">
        <x:v>0</x:v>
      </x:c>
      <x:c r="AA506" s="6" t="n">
        <x:v>3</x:v>
      </x:c>
      <x:c r="AB506" s="6" t="n">
        <x:v>11</x:v>
      </x:c>
      <x:c r="AC506" s="6" t="n">
        <x:v>0</x:v>
      </x:c>
    </x:row>
    <x:row r="507">
      <x:c r="A507" s="6" t="n">
        <x:v>4945</x:v>
      </x:c>
      <x:c r="B507" s="6" t="n">
        <x:v>1953</x:v>
      </x:c>
      <x:c r="C507" s="6" t="str">
        <x:v>Graduation</x:v>
      </x:c>
      <x:c r="D507" s="6" t="str">
        <x:v>Widow</x:v>
      </x:c>
      <x:c r="E507" s="6" t="n">
        <x:v>53653</x:v>
      </x:c>
      <x:c r="F507" s="6" t="n">
        <x:v>0</x:v>
      </x:c>
      <x:c r="G507" s="6" t="n">
        <x:v>0</x:v>
      </x:c>
      <x:c r="H507" s="9" t="str">
        <x:v>07-11-2012</x:v>
      </x:c>
      <x:c r="I507" s="6" t="n">
        <x:v>29</x:v>
      </x:c>
      <x:c r="J507" s="6" t="n">
        <x:v>815</x:v>
      </x:c>
      <x:c r="K507" s="6" t="n">
        <x:v>10</x:v>
      </x:c>
      <x:c r="L507" s="6" t="n">
        <x:v>239</x:v>
      </x:c>
      <x:c r="M507" s="6" t="n">
        <x:v>28</x:v>
      </x:c>
      <x:c r="N507" s="6" t="n">
        <x:v>10</x:v>
      </x:c>
      <x:c r="O507" s="6" t="n">
        <x:v>108</x:v>
      </x:c>
      <x:c r="P507" s="6" t="n">
        <x:v>2</x:v>
      </x:c>
      <x:c r="Q507" s="6" t="n">
        <x:v>10</x:v>
      </x:c>
      <x:c r="R507" s="6" t="n">
        <x:v>4</x:v>
      </x:c>
      <x:c r="S507" s="6" t="n">
        <x:v>12</x:v>
      </x:c>
      <x:c r="T507" s="6" t="n">
        <x:v>6</x:v>
      </x:c>
      <x:c r="U507" s="6" t="n">
        <x:v>0</x:v>
      </x:c>
      <x:c r="V507" s="6" t="n">
        <x:v>0</x:v>
      </x:c>
      <x:c r="W507" s="6" t="n">
        <x:v>0</x:v>
      </x:c>
      <x:c r="X507" s="6" t="n">
        <x:v>0</x:v>
      </x:c>
      <x:c r="Y507" s="6" t="n">
        <x:v>0</x:v>
      </x:c>
      <x:c r="Z507" s="6" t="n">
        <x:v>0</x:v>
      </x:c>
      <x:c r="AA507" s="6" t="n">
        <x:v>3</x:v>
      </x:c>
      <x:c r="AB507" s="6" t="n">
        <x:v>11</x:v>
      </x:c>
      <x:c r="AC507" s="6" t="n">
        <x:v>0</x:v>
      </x:c>
    </x:row>
    <x:row r="508">
      <x:c r="A508" s="6" t="n">
        <x:v>10584</x:v>
      </x:c>
      <x:c r="B508" s="6" t="n">
        <x:v>1976</x:v>
      </x:c>
      <x:c r="C508" s="6" t="str">
        <x:v>Graduation</x:v>
      </x:c>
      <x:c r="D508" s="6" t="str">
        <x:v>Married</x:v>
      </x:c>
      <x:c r="E508" s="6" t="n">
        <x:v>65665</x:v>
      </x:c>
      <x:c r="F508" s="6" t="n">
        <x:v>0</x:v>
      </x:c>
      <x:c r="G508" s="6" t="n">
        <x:v>1</x:v>
      </x:c>
      <x:c r="H508" s="9" t="str">
        <x:v>02-12-2013</x:v>
      </x:c>
      <x:c r="I508" s="6" t="n">
        <x:v>77</x:v>
      </x:c>
      <x:c r="J508" s="6" t="n">
        <x:v>225</x:v>
      </x:c>
      <x:c r="K508" s="6" t="n">
        <x:v>162</x:v>
      </x:c>
      <x:c r="L508" s="6" t="n">
        <x:v>387</x:v>
      </x:c>
      <x:c r="M508" s="6" t="n">
        <x:v>106</x:v>
      </x:c>
      <x:c r="N508" s="6" t="n">
        <x:v>36</x:v>
      </x:c>
      <x:c r="O508" s="6" t="n">
        <x:v>29</x:v>
      </x:c>
      <x:c r="P508" s="6" t="n">
        <x:v>1</x:v>
      </x:c>
      <x:c r="Q508" s="6" t="n">
        <x:v>5</x:v>
      </x:c>
      <x:c r="R508" s="6" t="n">
        <x:v>10</x:v>
      </x:c>
      <x:c r="S508" s="6" t="n">
        <x:v>8</x:v>
      </x:c>
      <x:c r="T508" s="6" t="n">
        <x:v>3</x:v>
      </x:c>
      <x:c r="U508" s="6" t="n">
        <x:v>0</x:v>
      </x:c>
      <x:c r="V508" s="6" t="n">
        <x:v>0</x:v>
      </x:c>
      <x:c r="W508" s="6" t="n">
        <x:v>0</x:v>
      </x:c>
      <x:c r="X508" s="6" t="n">
        <x:v>0</x:v>
      </x:c>
      <x:c r="Y508" s="6" t="n">
        <x:v>0</x:v>
      </x:c>
      <x:c r="Z508" s="6" t="n">
        <x:v>0</x:v>
      </x:c>
      <x:c r="AA508" s="6" t="n">
        <x:v>3</x:v>
      </x:c>
      <x:c r="AB508" s="6" t="n">
        <x:v>11</x:v>
      </x:c>
      <x:c r="AC508" s="6" t="n">
        <x:v>0</x:v>
      </x:c>
    </x:row>
    <x:row r="509">
      <x:c r="A509" s="6" t="n">
        <x:v>6071</x:v>
      </x:c>
      <x:c r="B509" s="6" t="n">
        <x:v>1989</x:v>
      </x:c>
      <x:c r="C509" s="6" t="str">
        <x:v>Graduation</x:v>
      </x:c>
      <x:c r="D509" s="6" t="str">
        <x:v>Single</x:v>
      </x:c>
      <x:c r="E509" s="6" t="n">
        <x:v>81217</x:v>
      </x:c>
      <x:c r="F509" s="6" t="n">
        <x:v>0</x:v>
      </x:c>
      <x:c r="G509" s="6" t="n">
        <x:v>0</x:v>
      </x:c>
      <x:c r="H509" s="9" t="str">
        <x:v>19-07-2013</x:v>
      </x:c>
      <x:c r="I509" s="6" t="n">
        <x:v>77</x:v>
      </x:c>
      <x:c r="J509" s="6" t="n">
        <x:v>493</x:v>
      </x:c>
      <x:c r="K509" s="6" t="n">
        <x:v>70</x:v>
      </x:c>
      <x:c r="L509" s="6" t="n">
        <x:v>324</x:v>
      </x:c>
      <x:c r="M509" s="6" t="n">
        <x:v>146</x:v>
      </x:c>
      <x:c r="N509" s="6" t="n">
        <x:v>40</x:v>
      </x:c>
      <x:c r="O509" s="6" t="n">
        <x:v>84</x:v>
      </x:c>
      <x:c r="P509" s="6" t="n">
        <x:v>1</x:v>
      </x:c>
      <x:c r="Q509" s="6" t="n">
        <x:v>3</x:v>
      </x:c>
      <x:c r="R509" s="6" t="n">
        <x:v>7</x:v>
      </x:c>
      <x:c r="S509" s="6" t="n">
        <x:v>11</x:v>
      </x:c>
      <x:c r="T509" s="6" t="n">
        <x:v>1</x:v>
      </x:c>
      <x:c r="U509" s="6" t="n">
        <x:v>0</x:v>
      </x:c>
      <x:c r="V509" s="6" t="n">
        <x:v>0</x:v>
      </x:c>
      <x:c r="W509" s="6" t="n">
        <x:v>0</x:v>
      </x:c>
      <x:c r="X509" s="6" t="n">
        <x:v>0</x:v>
      </x:c>
      <x:c r="Y509" s="6" t="n">
        <x:v>0</x:v>
      </x:c>
      <x:c r="Z509" s="6" t="n">
        <x:v>0</x:v>
      </x:c>
      <x:c r="AA509" s="6" t="n">
        <x:v>3</x:v>
      </x:c>
      <x:c r="AB509" s="6" t="n">
        <x:v>11</x:v>
      </x:c>
      <x:c r="AC509" s="6" t="n">
        <x:v>0</x:v>
      </x:c>
    </x:row>
    <x:row r="510">
      <x:c r="A510" s="6" t="n">
        <x:v>3386</x:v>
      </x:c>
      <x:c r="B510" s="6" t="n">
        <x:v>1992</x:v>
      </x:c>
      <x:c r="C510" s="6" t="str">
        <x:v>Graduation</x:v>
      </x:c>
      <x:c r="D510" s="6" t="str">
        <x:v>Married</x:v>
      </x:c>
      <x:c r="E510" s="6" t="n">
        <x:v>34935</x:v>
      </x:c>
      <x:c r="F510" s="6" t="n">
        <x:v>0</x:v>
      </x:c>
      <x:c r="G510" s="6" t="n">
        <x:v>0</x:v>
      </x:c>
      <x:c r="H510" s="9" t="str">
        <x:v>21-06-2013</x:v>
      </x:c>
      <x:c r="I510" s="6" t="n">
        <x:v>71</x:v>
      </x:c>
      <x:c r="J510" s="6" t="n">
        <x:v>34</x:v>
      </x:c>
      <x:c r="K510" s="6" t="n">
        <x:v>4</x:v>
      </x:c>
      <x:c r="L510" s="6" t="n">
        <x:v>66</x:v>
      </x:c>
      <x:c r="M510" s="6" t="n">
        <x:v>3</x:v>
      </x:c>
      <x:c r="N510" s="6" t="n">
        <x:v>10</x:v>
      </x:c>
      <x:c r="O510" s="6" t="n">
        <x:v>20</x:v>
      </x:c>
      <x:c r="P510" s="6" t="n">
        <x:v>1</x:v>
      </x:c>
      <x:c r="Q510" s="6" t="n">
        <x:v>2</x:v>
      </x:c>
      <x:c r="R510" s="6" t="n">
        <x:v>1</x:v>
      </x:c>
      <x:c r="S510" s="6" t="n">
        <x:v>4</x:v>
      </x:c>
      <x:c r="T510" s="6" t="n">
        <x:v>7</x:v>
      </x:c>
      <x:c r="U510" s="6" t="n">
        <x:v>0</x:v>
      </x:c>
      <x:c r="V510" s="6" t="n">
        <x:v>0</x:v>
      </x:c>
      <x:c r="W510" s="6" t="n">
        <x:v>0</x:v>
      </x:c>
      <x:c r="X510" s="6" t="n">
        <x:v>0</x:v>
      </x:c>
      <x:c r="Y510" s="6" t="n">
        <x:v>0</x:v>
      </x:c>
      <x:c r="Z510" s="6" t="n">
        <x:v>0</x:v>
      </x:c>
      <x:c r="AA510" s="6" t="n">
        <x:v>3</x:v>
      </x:c>
      <x:c r="AB510" s="6" t="n">
        <x:v>11</x:v>
      </x:c>
      <x:c r="AC510" s="6" t="n">
        <x:v>0</x:v>
      </x:c>
    </x:row>
    <x:row r="511">
      <x:c r="A511" s="6" t="n">
        <x:v>8939</x:v>
      </x:c>
      <x:c r="B511" s="6" t="n">
        <x:v>1959</x:v>
      </x:c>
      <x:c r="C511" s="6" t="str">
        <x:v>Graduation</x:v>
      </x:c>
      <x:c r="D511" s="6" t="str">
        <x:v>Divorced</x:v>
      </x:c>
      <x:c r="E511" s="6" t="n">
        <x:v>61250</x:v>
      </x:c>
      <x:c r="F511" s="6" t="n">
        <x:v>0</x:v>
      </x:c>
      <x:c r="G511" s="6" t="n">
        <x:v>1</x:v>
      </x:c>
      <x:c r="H511" s="9" t="str">
        <x:v>16-12-2012</x:v>
      </x:c>
      <x:c r="I511" s="6" t="n">
        <x:v>49</x:v>
      </x:c>
      <x:c r="J511" s="6" t="n">
        <x:v>382</x:v>
      </x:c>
      <x:c r="K511" s="6" t="n">
        <x:v>138</x:v>
      </x:c>
      <x:c r="L511" s="6" t="n">
        <x:v>65</x:v>
      </x:c>
      <x:c r="M511" s="6" t="n">
        <x:v>60</x:v>
      </x:c>
      <x:c r="N511" s="6" t="n">
        <x:v>26</x:v>
      </x:c>
      <x:c r="O511" s="6" t="n">
        <x:v>59</x:v>
      </x:c>
      <x:c r="P511" s="6" t="n">
        <x:v>6</x:v>
      </x:c>
      <x:c r="Q511" s="6" t="n">
        <x:v>5</x:v>
      </x:c>
      <x:c r="R511" s="6" t="n">
        <x:v>2</x:v>
      </x:c>
      <x:c r="S511" s="6" t="n">
        <x:v>12</x:v>
      </x:c>
      <x:c r="T511" s="6" t="n">
        <x:v>5</x:v>
      </x:c>
      <x:c r="U511" s="6" t="n">
        <x:v>0</x:v>
      </x:c>
      <x:c r="V511" s="6" t="n">
        <x:v>0</x:v>
      </x:c>
      <x:c r="W511" s="6" t="n">
        <x:v>0</x:v>
      </x:c>
      <x:c r="X511" s="6" t="n">
        <x:v>0</x:v>
      </x:c>
      <x:c r="Y511" s="6" t="n">
        <x:v>0</x:v>
      </x:c>
      <x:c r="Z511" s="6" t="n">
        <x:v>0</x:v>
      </x:c>
      <x:c r="AA511" s="6" t="n">
        <x:v>3</x:v>
      </x:c>
      <x:c r="AB511" s="6" t="n">
        <x:v>11</x:v>
      </x:c>
      <x:c r="AC511" s="6" t="n">
        <x:v>0</x:v>
      </x:c>
    </x:row>
    <x:row r="512">
      <x:c r="A512" s="6" t="n">
        <x:v>9925</x:v>
      </x:c>
      <x:c r="B512" s="6" t="n">
        <x:v>1981</x:v>
      </x:c>
      <x:c r="C512" s="6" t="str">
        <x:v>PhD</x:v>
      </x:c>
      <x:c r="D512" s="6" t="str">
        <x:v>Together</x:v>
      </x:c>
      <x:c r="E512" s="6" t="n">
        <x:v>39665</x:v>
      </x:c>
      <x:c r="F512" s="6" t="n">
        <x:v>1</x:v>
      </x:c>
      <x:c r="G512" s="6" t="n">
        <x:v>0</x:v>
      </x:c>
      <x:c r="H512" s="9" t="str">
        <x:v>25-05-2013</x:v>
      </x:c>
      <x:c r="I512" s="6" t="n">
        <x:v>97</x:v>
      </x:c>
      <x:c r="J512" s="6" t="n">
        <x:v>127</x:v>
      </x:c>
      <x:c r="K512" s="6" t="n">
        <x:v>1</x:v>
      </x:c>
      <x:c r="L512" s="6" t="n">
        <x:v>56</x:v>
      </x:c>
      <x:c r="M512" s="6" t="n">
        <x:v>0</x:v>
      </x:c>
      <x:c r="N512" s="6" t="n">
        <x:v>1</x:v>
      </x:c>
      <x:c r="O512" s="6" t="n">
        <x:v>31</x:v>
      </x:c>
      <x:c r="P512" s="6" t="n">
        <x:v>3</x:v>
      </x:c>
      <x:c r="Q512" s="6" t="n">
        <x:v>4</x:v>
      </x:c>
      <x:c r="R512" s="6" t="n">
        <x:v>2</x:v>
      </x:c>
      <x:c r="S512" s="6" t="n">
        <x:v>3</x:v>
      </x:c>
      <x:c r="T512" s="6" t="n">
        <x:v>7</x:v>
      </x:c>
      <x:c r="U512" s="6" t="n">
        <x:v>1</x:v>
      </x:c>
      <x:c r="V512" s="6" t="n">
        <x:v>0</x:v>
      </x:c>
      <x:c r="W512" s="6" t="n">
        <x:v>0</x:v>
      </x:c>
      <x:c r="X512" s="6" t="n">
        <x:v>0</x:v>
      </x:c>
      <x:c r="Y512" s="6" t="n">
        <x:v>0</x:v>
      </x:c>
      <x:c r="Z512" s="6" t="n">
        <x:v>0</x:v>
      </x:c>
      <x:c r="AA512" s="6" t="n">
        <x:v>3</x:v>
      </x:c>
      <x:c r="AB512" s="6" t="n">
        <x:v>11</x:v>
      </x:c>
      <x:c r="AC512" s="6" t="n">
        <x:v>0</x:v>
      </x:c>
    </x:row>
    <x:row r="513">
      <x:c r="A513" s="6" t="n">
        <x:v>4320</x:v>
      </x:c>
      <x:c r="B513" s="6" t="n">
        <x:v>1979</x:v>
      </x:c>
      <x:c r="C513" s="6" t="str">
        <x:v>Graduation</x:v>
      </x:c>
      <x:c r="D513" s="6" t="str">
        <x:v>Single</x:v>
      </x:c>
      <x:c r="E513" s="6" t="n">
        <x:v>60152</x:v>
      </x:c>
      <x:c r="F513" s="6" t="n">
        <x:v>0</x:v>
      </x:c>
      <x:c r="G513" s="6" t="n">
        <x:v>1</x:v>
      </x:c>
      <x:c r="H513" s="9" t="str">
        <x:v>28-03-2013</x:v>
      </x:c>
      <x:c r="I513" s="6" t="n">
        <x:v>6</x:v>
      </x:c>
      <x:c r="J513" s="6" t="n">
        <x:v>325</x:v>
      </x:c>
      <x:c r="K513" s="6" t="n">
        <x:v>83</x:v>
      </x:c>
      <x:c r="L513" s="6" t="n">
        <x:v>300</x:v>
      </x:c>
      <x:c r="M513" s="6" t="n">
        <x:v>86</x:v>
      </x:c>
      <x:c r="N513" s="6" t="n">
        <x:v>58</x:v>
      </x:c>
      <x:c r="O513" s="6" t="n">
        <x:v>91</x:v>
      </x:c>
      <x:c r="P513" s="6" t="n">
        <x:v>1</x:v>
      </x:c>
      <x:c r="Q513" s="6" t="n">
        <x:v>6</x:v>
      </x:c>
      <x:c r="R513" s="6" t="n">
        <x:v>4</x:v>
      </x:c>
      <x:c r="S513" s="6" t="n">
        <x:v>12</x:v>
      </x:c>
      <x:c r="T513" s="6" t="n">
        <x:v>3</x:v>
      </x:c>
      <x:c r="U513" s="6" t="n">
        <x:v>0</x:v>
      </x:c>
      <x:c r="V513" s="6" t="n">
        <x:v>0</x:v>
      </x:c>
      <x:c r="W513" s="6" t="n">
        <x:v>0</x:v>
      </x:c>
      <x:c r="X513" s="6" t="n">
        <x:v>0</x:v>
      </x:c>
      <x:c r="Y513" s="6" t="n">
        <x:v>0</x:v>
      </x:c>
      <x:c r="Z513" s="6" t="n">
        <x:v>0</x:v>
      </x:c>
      <x:c r="AA513" s="6" t="n">
        <x:v>3</x:v>
      </x:c>
      <x:c r="AB513" s="6" t="n">
        <x:v>11</x:v>
      </x:c>
      <x:c r="AC513" s="6" t="n">
        <x:v>0</x:v>
      </x:c>
    </x:row>
    <x:row r="514">
      <x:c r="A514" s="6" t="n">
        <x:v>5389</x:v>
      </x:c>
      <x:c r="B514" s="6" t="n">
        <x:v>1964</x:v>
      </x:c>
      <x:c r="C514" s="6" t="str">
        <x:v>Graduation</x:v>
      </x:c>
      <x:c r="D514" s="6" t="str">
        <x:v>Married</x:v>
      </x:c>
      <x:c r="E514" s="6" t="n">
        <x:v>48920</x:v>
      </x:c>
      <x:c r="F514" s="6" t="n">
        <x:v>0</x:v>
      </x:c>
      <x:c r="G514" s="6" t="n">
        <x:v>2</x:v>
      </x:c>
      <x:c r="H514" s="9" t="str">
        <x:v>20-10-2013</x:v>
      </x:c>
      <x:c r="I514" s="6" t="n">
        <x:v>93</x:v>
      </x:c>
      <x:c r="J514" s="6" t="n">
        <x:v>238</x:v>
      </x:c>
      <x:c r="K514" s="6" t="n">
        <x:v>17</x:v>
      </x:c>
      <x:c r="L514" s="6" t="n">
        <x:v>68</x:v>
      </x:c>
      <x:c r="M514" s="6" t="n">
        <x:v>8</x:v>
      </x:c>
      <x:c r="N514" s="6" t="n">
        <x:v>10</x:v>
      </x:c>
      <x:c r="O514" s="6" t="n">
        <x:v>6</x:v>
      </x:c>
      <x:c r="P514" s="6" t="n">
        <x:v>3</x:v>
      </x:c>
      <x:c r="Q514" s="6" t="n">
        <x:v>6</x:v>
      </x:c>
      <x:c r="R514" s="6" t="n">
        <x:v>2</x:v>
      </x:c>
      <x:c r="S514" s="6" t="n">
        <x:v>5</x:v>
      </x:c>
      <x:c r="T514" s="6" t="n">
        <x:v>7</x:v>
      </x:c>
      <x:c r="U514" s="6" t="n">
        <x:v>0</x:v>
      </x:c>
      <x:c r="V514" s="6" t="n">
        <x:v>1</x:v>
      </x:c>
      <x:c r="W514" s="6" t="n">
        <x:v>0</x:v>
      </x:c>
      <x:c r="X514" s="6" t="n">
        <x:v>0</x:v>
      </x:c>
      <x:c r="Y514" s="6" t="n">
        <x:v>0</x:v>
      </x:c>
      <x:c r="Z514" s="6" t="n">
        <x:v>0</x:v>
      </x:c>
      <x:c r="AA514" s="6" t="n">
        <x:v>3</x:v>
      </x:c>
      <x:c r="AB514" s="6" t="n">
        <x:v>11</x:v>
      </x:c>
      <x:c r="AC514" s="6" t="n">
        <x:v>0</x:v>
      </x:c>
    </x:row>
    <x:row r="515">
      <x:c r="A515" s="6" t="n">
        <x:v>6036</x:v>
      </x:c>
      <x:c r="B515" s="6" t="n">
        <x:v>1959</x:v>
      </x:c>
      <x:c r="C515" s="6" t="str">
        <x:v>Master</x:v>
      </x:c>
      <x:c r="D515" s="6" t="str">
        <x:v>Together</x:v>
      </x:c>
      <x:c r="E515" s="6" t="n">
        <x:v>89120</x:v>
      </x:c>
      <x:c r="F515" s="6" t="n">
        <x:v>0</x:v>
      </x:c>
      <x:c r="G515" s="6" t="n">
        <x:v>0</x:v>
      </x:c>
      <x:c r="H515" s="9" t="str">
        <x:v>17-03-2014</x:v>
      </x:c>
      <x:c r="I515" s="6" t="n">
        <x:v>78</x:v>
      </x:c>
      <x:c r="J515" s="6" t="n">
        <x:v>1168</x:v>
      </x:c>
      <x:c r="K515" s="6" t="n">
        <x:v>92</x:v>
      </x:c>
      <x:c r="L515" s="6" t="n">
        <x:v>408</x:v>
      </x:c>
      <x:c r="M515" s="6" t="n">
        <x:v>72</x:v>
      </x:c>
      <x:c r="N515" s="6" t="n">
        <x:v>129</x:v>
      </x:c>
      <x:c r="O515" s="6" t="n">
        <x:v>55</x:v>
      </x:c>
      <x:c r="P515" s="6" t="n">
        <x:v>1</x:v>
      </x:c>
      <x:c r="Q515" s="6" t="n">
        <x:v>5</x:v>
      </x:c>
      <x:c r="R515" s="6" t="n">
        <x:v>6</x:v>
      </x:c>
      <x:c r="S515" s="6" t="n">
        <x:v>7</x:v>
      </x:c>
      <x:c r="T515" s="6" t="n">
        <x:v>1</x:v>
      </x:c>
      <x:c r="U515" s="6" t="n">
        <x:v>0</x:v>
      </x:c>
      <x:c r="V515" s="6" t="n">
        <x:v>0</x:v>
      </x:c>
      <x:c r="W515" s="6" t="n">
        <x:v>1</x:v>
      </x:c>
      <x:c r="X515" s="6" t="n">
        <x:v>0</x:v>
      </x:c>
      <x:c r="Y515" s="6" t="n">
        <x:v>0</x:v>
      </x:c>
      <x:c r="Z515" s="6" t="n">
        <x:v>0</x:v>
      </x:c>
      <x:c r="AA515" s="6" t="n">
        <x:v>3</x:v>
      </x:c>
      <x:c r="AB515" s="6" t="n">
        <x:v>11</x:v>
      </x:c>
      <x:c r="AC515" s="6" t="n">
        <x:v>0</x:v>
      </x:c>
    </x:row>
    <x:row r="516">
      <x:c r="A516" s="6" t="n">
        <x:v>182</x:v>
      </x:c>
      <x:c r="B516" s="6" t="n">
        <x:v>1946</x:v>
      </x:c>
      <x:c r="C516" s="6" t="str">
        <x:v>PhD</x:v>
      </x:c>
      <x:c r="D516" s="6" t="str">
        <x:v>Together</x:v>
      </x:c>
      <x:c r="E516" s="6" t="n">
        <x:v>44124</x:v>
      </x:c>
      <x:c r="F516" s="6" t="n">
        <x:v>0</x:v>
      </x:c>
      <x:c r="G516" s="6" t="n">
        <x:v>1</x:v>
      </x:c>
      <x:c r="H516" s="9" t="str">
        <x:v>11-05-2013</x:v>
      </x:c>
      <x:c r="I516" s="6" t="n">
        <x:v>62</x:v>
      </x:c>
      <x:c r="J516" s="6" t="n">
        <x:v>284</x:v>
      </x:c>
      <x:c r="K516" s="6" t="n">
        <x:v>0</x:v>
      </x:c>
      <x:c r="L516" s="6" t="n">
        <x:v>55</x:v>
      </x:c>
      <x:c r="M516" s="6" t="n">
        <x:v>0</x:v>
      </x:c>
      <x:c r="N516" s="6" t="n">
        <x:v>6</x:v>
      </x:c>
      <x:c r="O516" s="6" t="n">
        <x:v>52</x:v>
      </x:c>
      <x:c r="P516" s="6" t="n">
        <x:v>4</x:v>
      </x:c>
      <x:c r="Q516" s="6" t="n">
        <x:v>6</x:v>
      </x:c>
      <x:c r="R516" s="6" t="n">
        <x:v>2</x:v>
      </x:c>
      <x:c r="S516" s="6" t="n">
        <x:v>5</x:v>
      </x:c>
      <x:c r="T516" s="6" t="n">
        <x:v>8</x:v>
      </x:c>
      <x:c r="U516" s="6" t="n">
        <x:v>0</x:v>
      </x:c>
      <x:c r="V516" s="6" t="n">
        <x:v>0</x:v>
      </x:c>
      <x:c r="W516" s="6" t="n">
        <x:v>0</x:v>
      </x:c>
      <x:c r="X516" s="6" t="n">
        <x:v>0</x:v>
      </x:c>
      <x:c r="Y516" s="6" t="n">
        <x:v>0</x:v>
      </x:c>
      <x:c r="Z516" s="6" t="n">
        <x:v>0</x:v>
      </x:c>
      <x:c r="AA516" s="6" t="n">
        <x:v>3</x:v>
      </x:c>
      <x:c r="AB516" s="6" t="n">
        <x:v>11</x:v>
      </x:c>
      <x:c r="AC516" s="6" t="n">
        <x:v>0</x:v>
      </x:c>
    </x:row>
    <x:row r="517">
      <x:c r="A517" s="6" t="n">
        <x:v>203</x:v>
      </x:c>
      <x:c r="B517" s="6" t="n">
        <x:v>1975</x:v>
      </x:c>
      <x:c r="C517" s="6" t="str">
        <x:v>Master</x:v>
      </x:c>
      <x:c r="D517" s="6" t="str">
        <x:v>Single</x:v>
      </x:c>
      <x:c r="E517" s="6" t="n">
        <x:v>81169</x:v>
      </x:c>
      <x:c r="F517" s="6" t="n">
        <x:v>0</x:v>
      </x:c>
      <x:c r="G517" s="6" t="n">
        <x:v>0</x:v>
      </x:c>
      <x:c r="H517" s="9" t="str">
        <x:v>14-04-2013</x:v>
      </x:c>
      <x:c r="I517" s="6" t="n">
        <x:v>47</x:v>
      </x:c>
      <x:c r="J517" s="6" t="n">
        <x:v>1288</x:v>
      </x:c>
      <x:c r="K517" s="6" t="n">
        <x:v>20</x:v>
      </x:c>
      <x:c r="L517" s="6" t="n">
        <x:v>613</x:v>
      </x:c>
      <x:c r="M517" s="6" t="n">
        <x:v>80</x:v>
      </x:c>
      <x:c r="N517" s="6" t="n">
        <x:v>61</x:v>
      </x:c>
      <x:c r="O517" s="6" t="n">
        <x:v>27</x:v>
      </x:c>
      <x:c r="P517" s="6" t="n">
        <x:v>1</x:v>
      </x:c>
      <x:c r="Q517" s="6" t="n">
        <x:v>5</x:v>
      </x:c>
      <x:c r="R517" s="6" t="n">
        <x:v>7</x:v>
      </x:c>
      <x:c r="S517" s="6" t="n">
        <x:v>9</x:v>
      </x:c>
      <x:c r="T517" s="6" t="n">
        <x:v>2</x:v>
      </x:c>
      <x:c r="U517" s="6" t="n">
        <x:v>0</x:v>
      </x:c>
      <x:c r="V517" s="6" t="n">
        <x:v>0</x:v>
      </x:c>
      <x:c r="W517" s="6" t="n">
        <x:v>0</x:v>
      </x:c>
      <x:c r="X517" s="6" t="n">
        <x:v>0</x:v>
      </x:c>
      <x:c r="Y517" s="6" t="n">
        <x:v>0</x:v>
      </x:c>
      <x:c r="Z517" s="6" t="n">
        <x:v>0</x:v>
      </x:c>
      <x:c r="AA517" s="6" t="n">
        <x:v>3</x:v>
      </x:c>
      <x:c r="AB517" s="6" t="n">
        <x:v>11</x:v>
      </x:c>
      <x:c r="AC517" s="6" t="n">
        <x:v>0</x:v>
      </x:c>
    </x:row>
    <x:row r="518">
      <x:c r="A518" s="6" t="n">
        <x:v>11025</x:v>
      </x:c>
      <x:c r="B518" s="6" t="n">
        <x:v>1961</x:v>
      </x:c>
      <x:c r="C518" s="6" t="str">
        <x:v>Graduation</x:v>
      </x:c>
      <x:c r="D518" s="6" t="str">
        <x:v>Married</x:v>
      </x:c>
      <x:c r="E518" s="6" t="n">
        <x:v>36443</x:v>
      </x:c>
      <x:c r="F518" s="6" t="n">
        <x:v>1</x:v>
      </x:c>
      <x:c r="G518" s="6" t="n">
        <x:v>1</x:v>
      </x:c>
      <x:c r="H518" s="9" t="str">
        <x:v>03-02-2013</x:v>
      </x:c>
      <x:c r="I518" s="6" t="n">
        <x:v>9</x:v>
      </x:c>
      <x:c r="J518" s="6" t="n">
        <x:v>65</x:v>
      </x:c>
      <x:c r="K518" s="6" t="n">
        <x:v>0</x:v>
      </x:c>
      <x:c r="L518" s="6" t="n">
        <x:v>46</x:v>
      </x:c>
      <x:c r="M518" s="6" t="n">
        <x:v>4</x:v>
      </x:c>
      <x:c r="N518" s="6" t="n">
        <x:v>3</x:v>
      </x:c>
      <x:c r="O518" s="6" t="n">
        <x:v>20</x:v>
      </x:c>
      <x:c r="P518" s="6" t="n">
        <x:v>4</x:v>
      </x:c>
      <x:c r="Q518" s="6" t="n">
        <x:v>3</x:v>
      </x:c>
      <x:c r="R518" s="6" t="n">
        <x:v>1</x:v>
      </x:c>
      <x:c r="S518" s="6" t="n">
        <x:v>3</x:v>
      </x:c>
      <x:c r="T518" s="6" t="n">
        <x:v>8</x:v>
      </x:c>
      <x:c r="U518" s="6" t="n">
        <x:v>0</x:v>
      </x:c>
      <x:c r="V518" s="6" t="n">
        <x:v>0</x:v>
      </x:c>
      <x:c r="W518" s="6" t="n">
        <x:v>0</x:v>
      </x:c>
      <x:c r="X518" s="6" t="n">
        <x:v>0</x:v>
      </x:c>
      <x:c r="Y518" s="6" t="n">
        <x:v>0</x:v>
      </x:c>
      <x:c r="Z518" s="6" t="n">
        <x:v>0</x:v>
      </x:c>
      <x:c r="AA518" s="6" t="n">
        <x:v>3</x:v>
      </x:c>
      <x:c r="AB518" s="6" t="n">
        <x:v>11</x:v>
      </x:c>
      <x:c r="AC518" s="6" t="n">
        <x:v>0</x:v>
      </x:c>
    </x:row>
    <x:row r="519">
      <x:c r="A519" s="6" t="n">
        <x:v>10203</x:v>
      </x:c>
      <x:c r="B519" s="6" t="n">
        <x:v>1990</x:v>
      </x:c>
      <x:c r="C519" s="6" t="str">
        <x:v>Graduation</x:v>
      </x:c>
      <x:c r="D519" s="6" t="str">
        <x:v>Single</x:v>
      </x:c>
      <x:c r="E519" s="6" t="n">
        <x:v>26095</x:v>
      </x:c>
      <x:c r="F519" s="6" t="n">
        <x:v>1</x:v>
      </x:c>
      <x:c r="G519" s="6" t="n">
        <x:v>0</x:v>
      </x:c>
      <x:c r="H519" s="9" t="str">
        <x:v>30-06-2013</x:v>
      </x:c>
      <x:c r="I519" s="6" t="n">
        <x:v>77</x:v>
      </x:c>
      <x:c r="J519" s="6" t="n">
        <x:v>11</x:v>
      </x:c>
      <x:c r="K519" s="6" t="n">
        <x:v>7</x:v>
      </x:c>
      <x:c r="L519" s="6" t="n">
        <x:v>9</x:v>
      </x:c>
      <x:c r="M519" s="6" t="n">
        <x:v>3</x:v>
      </x:c>
      <x:c r="N519" s="6" t="n">
        <x:v>1</x:v>
      </x:c>
      <x:c r="O519" s="6" t="n">
        <x:v>11</x:v>
      </x:c>
      <x:c r="P519" s="6" t="n">
        <x:v>1</x:v>
      </x:c>
      <x:c r="Q519" s="6" t="n">
        <x:v>1</x:v>
      </x:c>
      <x:c r="R519" s="6" t="n">
        <x:v>0</x:v>
      </x:c>
      <x:c r="S519" s="6" t="n">
        <x:v>3</x:v>
      </x:c>
      <x:c r="T519" s="6" t="n">
        <x:v>7</x:v>
      </x:c>
      <x:c r="U519" s="6" t="n">
        <x:v>0</x:v>
      </x:c>
      <x:c r="V519" s="6" t="n">
        <x:v>0</x:v>
      </x:c>
      <x:c r="W519" s="6" t="n">
        <x:v>0</x:v>
      </x:c>
      <x:c r="X519" s="6" t="n">
        <x:v>0</x:v>
      </x:c>
      <x:c r="Y519" s="6" t="n">
        <x:v>0</x:v>
      </x:c>
      <x:c r="Z519" s="6" t="n">
        <x:v>0</x:v>
      </x:c>
      <x:c r="AA519" s="6" t="n">
        <x:v>3</x:v>
      </x:c>
      <x:c r="AB519" s="6" t="n">
        <x:v>11</x:v>
      </x:c>
      <x:c r="AC519" s="6" t="n">
        <x:v>0</x:v>
      </x:c>
    </x:row>
    <x:row r="520">
      <x:c r="A520" s="6" t="n">
        <x:v>4607</x:v>
      </x:c>
      <x:c r="B520" s="6" t="n">
        <x:v>1959</x:v>
      </x:c>
      <x:c r="C520" s="6" t="str">
        <x:v>Graduation</x:v>
      </x:c>
      <x:c r="D520" s="6" t="str">
        <x:v>Together</x:v>
      </x:c>
      <x:c r="E520" s="6" t="n">
        <x:v>71367</x:v>
      </x:c>
      <x:c r="F520" s="6" t="n">
        <x:v>0</x:v>
      </x:c>
      <x:c r="G520" s="6" t="n">
        <x:v>0</x:v>
      </x:c>
      <x:c r="H520" s="9" t="str">
        <x:v>23-08-2013</x:v>
      </x:c>
      <x:c r="I520" s="6" t="n">
        <x:v>24</x:v>
      </x:c>
      <x:c r="J520" s="6" t="n">
        <x:v>227</x:v>
      </x:c>
      <x:c r="K520" s="6" t="n">
        <x:v>23</x:v>
      </x:c>
      <x:c r="L520" s="6" t="n">
        <x:v>389</x:v>
      </x:c>
      <x:c r="M520" s="6" t="n">
        <x:v>42</x:v>
      </x:c>
      <x:c r="N520" s="6" t="n">
        <x:v>21</x:v>
      </x:c>
      <x:c r="O520" s="6" t="n">
        <x:v>75</x:v>
      </x:c>
      <x:c r="P520" s="6" t="n">
        <x:v>1</x:v>
      </x:c>
      <x:c r="Q520" s="6" t="n">
        <x:v>4</x:v>
      </x:c>
      <x:c r="R520" s="6" t="n">
        <x:v>5</x:v>
      </x:c>
      <x:c r="S520" s="6" t="n">
        <x:v>7</x:v>
      </x:c>
      <x:c r="T520" s="6" t="n">
        <x:v>2</x:v>
      </x:c>
      <x:c r="U520" s="6" t="n">
        <x:v>0</x:v>
      </x:c>
      <x:c r="V520" s="6" t="n">
        <x:v>0</x:v>
      </x:c>
      <x:c r="W520" s="6" t="n">
        <x:v>0</x:v>
      </x:c>
      <x:c r="X520" s="6" t="n">
        <x:v>0</x:v>
      </x:c>
      <x:c r="Y520" s="6" t="n">
        <x:v>0</x:v>
      </x:c>
      <x:c r="Z520" s="6" t="n">
        <x:v>0</x:v>
      </x:c>
      <x:c r="AA520" s="6" t="n">
        <x:v>3</x:v>
      </x:c>
      <x:c r="AB520" s="6" t="n">
        <x:v>11</x:v>
      </x:c>
      <x:c r="AC520" s="6" t="n">
        <x:v>0</x:v>
      </x:c>
    </x:row>
    <x:row r="521">
      <x:c r="A521" s="6" t="n">
        <x:v>3711</x:v>
      </x:c>
      <x:c r="B521" s="6" t="n">
        <x:v>1944</x:v>
      </x:c>
      <x:c r="C521" s="6" t="str">
        <x:v>Master</x:v>
      </x:c>
      <x:c r="D521" s="6" t="str">
        <x:v>Married</x:v>
      </x:c>
      <x:c r="E521" s="6" t="n">
        <x:v>80184</x:v>
      </x:c>
      <x:c r="F521" s="6" t="n">
        <x:v>0</x:v>
      </x:c>
      <x:c r="G521" s="6" t="n">
        <x:v>0</x:v>
      </x:c>
      <x:c r="H521" s="9" t="str">
        <x:v>01-03-2014</x:v>
      </x:c>
      <x:c r="I521" s="6" t="n">
        <x:v>19</x:v>
      </x:c>
      <x:c r="J521" s="6" t="n">
        <x:v>1035</x:v>
      </x:c>
      <x:c r="K521" s="6" t="n">
        <x:v>134</x:v>
      </x:c>
      <x:c r="L521" s="6" t="n">
        <x:v>670</x:v>
      </x:c>
      <x:c r="M521" s="6" t="n">
        <x:v>25</x:v>
      </x:c>
      <x:c r="N521" s="6" t="n">
        <x:v>38</x:v>
      </x:c>
      <x:c r="O521" s="6" t="n">
        <x:v>0</x:v>
      </x:c>
      <x:c r="P521" s="6" t="n">
        <x:v>1</x:v>
      </x:c>
      <x:c r="Q521" s="6" t="n">
        <x:v>6</x:v>
      </x:c>
      <x:c r="R521" s="6" t="n">
        <x:v>3</x:v>
      </x:c>
      <x:c r="S521" s="6" t="n">
        <x:v>10</x:v>
      </x:c>
      <x:c r="T521" s="6" t="n">
        <x:v>3</x:v>
      </x:c>
      <x:c r="U521" s="6" t="n">
        <x:v>0</x:v>
      </x:c>
      <x:c r="V521" s="6" t="n">
        <x:v>0</x:v>
      </x:c>
      <x:c r="W521" s="6" t="n">
        <x:v>1</x:v>
      </x:c>
      <x:c r="X521" s="6" t="n">
        <x:v>1</x:v>
      </x:c>
      <x:c r="Y521" s="6" t="n">
        <x:v>0</x:v>
      </x:c>
      <x:c r="Z521" s="6" t="n">
        <x:v>0</x:v>
      </x:c>
      <x:c r="AA521" s="6" t="n">
        <x:v>3</x:v>
      </x:c>
      <x:c r="AB521" s="6" t="n">
        <x:v>11</x:v>
      </x:c>
      <x:c r="AC521" s="6" t="n">
        <x:v>0</x:v>
      </x:c>
    </x:row>
    <x:row r="522">
      <x:c r="A522" s="6" t="n">
        <x:v>3696</x:v>
      </x:c>
      <x:c r="B522" s="6" t="n">
        <x:v>1965</x:v>
      </x:c>
      <x:c r="C522" s="6" t="str">
        <x:v>Graduation</x:v>
      </x:c>
      <x:c r="D522" s="6" t="str">
        <x:v>Divorced</x:v>
      </x:c>
      <x:c r="E522" s="6" t="n">
        <x:v>30630</x:v>
      </x:c>
      <x:c r="F522" s="6" t="n">
        <x:v>1</x:v>
      </x:c>
      <x:c r="G522" s="6" t="n">
        <x:v>1</x:v>
      </x:c>
      <x:c r="H522" s="9" t="str">
        <x:v>27-01-2014</x:v>
      </x:c>
      <x:c r="I522" s="6" t="n">
        <x:v>67</x:v>
      </x:c>
      <x:c r="J522" s="6" t="n">
        <x:v>27</x:v>
      </x:c>
      <x:c r="K522" s="6" t="n">
        <x:v>1</x:v>
      </x:c>
      <x:c r="L522" s="6" t="n">
        <x:v>12</x:v>
      </x:c>
      <x:c r="M522" s="6" t="n">
        <x:v>2</x:v>
      </x:c>
      <x:c r="N522" s="6" t="n">
        <x:v>0</x:v>
      </x:c>
      <x:c r="O522" s="6" t="n">
        <x:v>10</x:v>
      </x:c>
      <x:c r="P522" s="6" t="n">
        <x:v>2</x:v>
      </x:c>
      <x:c r="Q522" s="6" t="n">
        <x:v>2</x:v>
      </x:c>
      <x:c r="R522" s="6" t="n">
        <x:v>0</x:v>
      </x:c>
      <x:c r="S522" s="6" t="n">
        <x:v>3</x:v>
      </x:c>
      <x:c r="T522" s="6" t="n">
        <x:v>7</x:v>
      </x:c>
      <x:c r="U522" s="6" t="n">
        <x:v>0</x:v>
      </x:c>
      <x:c r="V522" s="6" t="n">
        <x:v>0</x:v>
      </x:c>
      <x:c r="W522" s="6" t="n">
        <x:v>0</x:v>
      </x:c>
      <x:c r="X522" s="6" t="n">
        <x:v>0</x:v>
      </x:c>
      <x:c r="Y522" s="6" t="n">
        <x:v>0</x:v>
      </x:c>
      <x:c r="Z522" s="6" t="n">
        <x:v>0</x:v>
      </x:c>
      <x:c r="AA522" s="6" t="n">
        <x:v>3</x:v>
      </x:c>
      <x:c r="AB522" s="6" t="n">
        <x:v>11</x:v>
      </x:c>
      <x:c r="AC522" s="6" t="n">
        <x:v>0</x:v>
      </x:c>
    </x:row>
    <x:row r="523">
      <x:c r="A523" s="6" t="n">
        <x:v>2532</x:v>
      </x:c>
      <x:c r="B523" s="6" t="n">
        <x:v>1987</x:v>
      </x:c>
      <x:c r="C523" s="6" t="str">
        <x:v>Master</x:v>
      </x:c>
      <x:c r="D523" s="6" t="str">
        <x:v>Single</x:v>
      </x:c>
      <x:c r="E523" s="6" t="n">
        <x:v>73454</x:v>
      </x:c>
      <x:c r="F523" s="6" t="n">
        <x:v>0</x:v>
      </x:c>
      <x:c r="G523" s="6" t="n">
        <x:v>0</x:v>
      </x:c>
      <x:c r="H523" s="9" t="str">
        <x:v>01-03-2014</x:v>
      </x:c>
      <x:c r="I523" s="6" t="n">
        <x:v>95</x:v>
      </x:c>
      <x:c r="J523" s="6" t="n">
        <x:v>982</x:v>
      </x:c>
      <x:c r="K523" s="6" t="n">
        <x:v>73</x:v>
      </x:c>
      <x:c r="L523" s="6" t="n">
        <x:v>351</x:v>
      </x:c>
      <x:c r="M523" s="6" t="n">
        <x:v>56</x:v>
      </x:c>
      <x:c r="N523" s="6" t="n">
        <x:v>14</x:v>
      </x:c>
      <x:c r="O523" s="6" t="n">
        <x:v>175</x:v>
      </x:c>
      <x:c r="P523" s="6" t="n">
        <x:v>1</x:v>
      </x:c>
      <x:c r="Q523" s="6" t="n">
        <x:v>2</x:v>
      </x:c>
      <x:c r="R523" s="6" t="n">
        <x:v>4</x:v>
      </x:c>
      <x:c r="S523" s="6" t="n">
        <x:v>6</x:v>
      </x:c>
      <x:c r="T523" s="6" t="n">
        <x:v>5</x:v>
      </x:c>
      <x:c r="U523" s="6" t="n">
        <x:v>1</x:v>
      </x:c>
      <x:c r="V523" s="6" t="n">
        <x:v>0</x:v>
      </x:c>
      <x:c r="W523" s="6" t="n">
        <x:v>0</x:v>
      </x:c>
      <x:c r="X523" s="6" t="n">
        <x:v>0</x:v>
      </x:c>
      <x:c r="Y523" s="6" t="n">
        <x:v>0</x:v>
      </x:c>
      <x:c r="Z523" s="6" t="n">
        <x:v>0</x:v>
      </x:c>
      <x:c r="AA523" s="6" t="n">
        <x:v>3</x:v>
      </x:c>
      <x:c r="AB523" s="6" t="n">
        <x:v>11</x:v>
      </x:c>
      <x:c r="AC523" s="6" t="n">
        <x:v>0</x:v>
      </x:c>
    </x:row>
    <x:row r="524">
      <x:c r="A524" s="6" t="n">
        <x:v>9214</x:v>
      </x:c>
      <x:c r="B524" s="6" t="n">
        <x:v>1991</x:v>
      </x:c>
      <x:c r="C524" s="6" t="str">
        <x:v>Graduation</x:v>
      </x:c>
      <x:c r="D524" s="6" t="str">
        <x:v>Married</x:v>
      </x:c>
      <x:c r="E524" s="6" t="n">
        <x:v>42691</x:v>
      </x:c>
      <x:c r="F524" s="6" t="n">
        <x:v>0</x:v>
      </x:c>
      <x:c r="G524" s="6" t="n">
        <x:v>0</x:v>
      </x:c>
      <x:c r="H524" s="9" t="str">
        <x:v>16-08-2013</x:v>
      </x:c>
      <x:c r="I524" s="6" t="n">
        <x:v>48</x:v>
      </x:c>
      <x:c r="J524" s="6" t="n">
        <x:v>179</x:v>
      </x:c>
      <x:c r="K524" s="6" t="n">
        <x:v>2</x:v>
      </x:c>
      <x:c r="L524" s="6" t="n">
        <x:v>64</x:v>
      </x:c>
      <x:c r="M524" s="6" t="n">
        <x:v>38</x:v>
      </x:c>
      <x:c r="N524" s="6" t="n">
        <x:v>17</x:v>
      </x:c>
      <x:c r="O524" s="6" t="n">
        <x:v>58</x:v>
      </x:c>
      <x:c r="P524" s="6" t="n">
        <x:v>1</x:v>
      </x:c>
      <x:c r="Q524" s="6" t="n">
        <x:v>5</x:v>
      </x:c>
      <x:c r="R524" s="6" t="n">
        <x:v>1</x:v>
      </x:c>
      <x:c r="S524" s="6" t="n">
        <x:v>6</x:v>
      </x:c>
      <x:c r="T524" s="6" t="n">
        <x:v>5</x:v>
      </x:c>
      <x:c r="U524" s="6" t="n">
        <x:v>0</x:v>
      </x:c>
      <x:c r="V524" s="6" t="n">
        <x:v>0</x:v>
      </x:c>
      <x:c r="W524" s="6" t="n">
        <x:v>0</x:v>
      </x:c>
      <x:c r="X524" s="6" t="n">
        <x:v>0</x:v>
      </x:c>
      <x:c r="Y524" s="6" t="n">
        <x:v>0</x:v>
      </x:c>
      <x:c r="Z524" s="6" t="n">
        <x:v>0</x:v>
      </x:c>
      <x:c r="AA524" s="6" t="n">
        <x:v>3</x:v>
      </x:c>
      <x:c r="AB524" s="6" t="n">
        <x:v>11</x:v>
      </x:c>
      <x:c r="AC524" s="6" t="n">
        <x:v>0</x:v>
      </x:c>
    </x:row>
    <x:row r="525">
      <x:c r="A525" s="6" t="n">
        <x:v>4943</x:v>
      </x:c>
      <x:c r="B525" s="6" t="n">
        <x:v>1953</x:v>
      </x:c>
      <x:c r="C525" s="6" t="str">
        <x:v>Graduation</x:v>
      </x:c>
      <x:c r="D525" s="6" t="str">
        <x:v>Married</x:v>
      </x:c>
      <x:c r="E525" s="6" t="n">
        <x:v>70503</x:v>
      </x:c>
      <x:c r="F525" s="6" t="n">
        <x:v>0</x:v>
      </x:c>
      <x:c r="G525" s="6" t="n">
        <x:v>0</x:v>
      </x:c>
      <x:c r="H525" s="9" t="str">
        <x:v>30-09-2012</x:v>
      </x:c>
      <x:c r="I525" s="6" t="n">
        <x:v>73</x:v>
      </x:c>
      <x:c r="J525" s="6" t="n">
        <x:v>1379</x:v>
      </x:c>
      <x:c r="K525" s="6" t="n">
        <x:v>33</x:v>
      </x:c>
      <x:c r="L525" s="6" t="n">
        <x:v>216</x:v>
      </x:c>
      <x:c r="M525" s="6" t="n">
        <x:v>0</x:v>
      </x:c>
      <x:c r="N525" s="6" t="n">
        <x:v>33</x:v>
      </x:c>
      <x:c r="O525" s="6" t="n">
        <x:v>66</x:v>
      </x:c>
      <x:c r="P525" s="6" t="n">
        <x:v>1</x:v>
      </x:c>
      <x:c r="Q525" s="6" t="n">
        <x:v>2</x:v>
      </x:c>
      <x:c r="R525" s="6" t="n">
        <x:v>4</x:v>
      </x:c>
      <x:c r="S525" s="6" t="n">
        <x:v>9</x:v>
      </x:c>
      <x:c r="T525" s="6" t="n">
        <x:v>6</x:v>
      </x:c>
      <x:c r="U525" s="6" t="n">
        <x:v>0</x:v>
      </x:c>
      <x:c r="V525" s="6" t="n">
        <x:v>1</x:v>
      </x:c>
      <x:c r="W525" s="6" t="n">
        <x:v>1</x:v>
      </x:c>
      <x:c r="X525" s="6" t="n">
        <x:v>0</x:v>
      </x:c>
      <x:c r="Y525" s="6" t="n">
        <x:v>0</x:v>
      </x:c>
      <x:c r="Z525" s="6" t="n">
        <x:v>0</x:v>
      </x:c>
      <x:c r="AA525" s="6" t="n">
        <x:v>3</x:v>
      </x:c>
      <x:c r="AB525" s="6" t="n">
        <x:v>11</x:v>
      </x:c>
      <x:c r="AC525" s="6" t="n">
        <x:v>0</x:v>
      </x:c>
    </x:row>
    <x:row r="526">
      <x:c r="A526" s="6" t="n">
        <x:v>35</x:v>
      </x:c>
      <x:c r="B526" s="6" t="n">
        <x:v>1987</x:v>
      </x:c>
      <x:c r="C526" s="6" t="str">
        <x:v>Graduation</x:v>
      </x:c>
      <x:c r="D526" s="6" t="str">
        <x:v>Married</x:v>
      </x:c>
      <x:c r="E526" s="6" t="n">
        <x:v>25545</x:v>
      </x:c>
      <x:c r="F526" s="6" t="n">
        <x:v>1</x:v>
      </x:c>
      <x:c r="G526" s="6" t="n">
        <x:v>0</x:v>
      </x:c>
      <x:c r="H526" s="9" t="str">
        <x:v>08-09-2012</x:v>
      </x:c>
      <x:c r="I526" s="6" t="n">
        <x:v>35</x:v>
      </x:c>
      <x:c r="J526" s="6" t="n">
        <x:v>32</x:v>
      </x:c>
      <x:c r="K526" s="6" t="n">
        <x:v>1</x:v>
      </x:c>
      <x:c r="L526" s="6" t="n">
        <x:v>64</x:v>
      </x:c>
      <x:c r="M526" s="6" t="n">
        <x:v>16</x:v>
      </x:c>
      <x:c r="N526" s="6" t="n">
        <x:v>12</x:v>
      </x:c>
      <x:c r="O526" s="6" t="n">
        <x:v>85</x:v>
      </x:c>
      <x:c r="P526" s="6" t="n">
        <x:v>3</x:v>
      </x:c>
      <x:c r="Q526" s="6" t="n">
        <x:v>2</x:v>
      </x:c>
      <x:c r="R526" s="6" t="n">
        <x:v>2</x:v>
      </x:c>
      <x:c r="S526" s="6" t="n">
        <x:v>3</x:v>
      </x:c>
      <x:c r="T526" s="6" t="n">
        <x:v>6</x:v>
      </x:c>
      <x:c r="U526" s="6" t="n">
        <x:v>0</x:v>
      </x:c>
      <x:c r="V526" s="6" t="n">
        <x:v>0</x:v>
      </x:c>
      <x:c r="W526" s="6" t="n">
        <x:v>0</x:v>
      </x:c>
      <x:c r="X526" s="6" t="n">
        <x:v>0</x:v>
      </x:c>
      <x:c r="Y526" s="6" t="n">
        <x:v>0</x:v>
      </x:c>
      <x:c r="Z526" s="6" t="n">
        <x:v>0</x:v>
      </x:c>
      <x:c r="AA526" s="6" t="n">
        <x:v>3</x:v>
      </x:c>
      <x:c r="AB526" s="6" t="n">
        <x:v>11</x:v>
      </x:c>
      <x:c r="AC526" s="6" t="n">
        <x:v>1</x:v>
      </x:c>
    </x:row>
    <x:row r="527">
      <x:c r="A527" s="6" t="n">
        <x:v>2258</x:v>
      </x:c>
      <x:c r="B527" s="6" t="n">
        <x:v>1986</x:v>
      </x:c>
      <x:c r="C527" s="6" t="str">
        <x:v>Graduation</x:v>
      </x:c>
      <x:c r="D527" s="6" t="str">
        <x:v>Married</x:v>
      </x:c>
      <x:c r="E527" s="6" t="n">
        <x:v>32880</x:v>
      </x:c>
      <x:c r="F527" s="6" t="n">
        <x:v>1</x:v>
      </x:c>
      <x:c r="G527" s="6" t="n">
        <x:v>0</x:v>
      </x:c>
      <x:c r="H527" s="9" t="str">
        <x:v>04-12-2012</x:v>
      </x:c>
      <x:c r="I527" s="6" t="n">
        <x:v>76</x:v>
      </x:c>
      <x:c r="J527" s="6" t="n">
        <x:v>8</x:v>
      </x:c>
      <x:c r="K527" s="6" t="n">
        <x:v>4</x:v>
      </x:c>
      <x:c r="L527" s="6" t="n">
        <x:v>15</x:v>
      </x:c>
      <x:c r="M527" s="6" t="n">
        <x:v>7</x:v>
      </x:c>
      <x:c r="N527" s="6" t="n">
        <x:v>6</x:v>
      </x:c>
      <x:c r="O527" s="6" t="n">
        <x:v>2</x:v>
      </x:c>
      <x:c r="P527" s="6" t="n">
        <x:v>1</x:v>
      </x:c>
      <x:c r="Q527" s="6" t="n">
        <x:v>1</x:v>
      </x:c>
      <x:c r="R527" s="6" t="n">
        <x:v>0</x:v>
      </x:c>
      <x:c r="S527" s="6" t="n">
        <x:v>3</x:v>
      </x:c>
      <x:c r="T527" s="6" t="n">
        <x:v>8</x:v>
      </x:c>
      <x:c r="U527" s="6" t="n">
        <x:v>0</x:v>
      </x:c>
      <x:c r="V527" s="6" t="n">
        <x:v>0</x:v>
      </x:c>
      <x:c r="W527" s="6" t="n">
        <x:v>0</x:v>
      </x:c>
      <x:c r="X527" s="6" t="n">
        <x:v>0</x:v>
      </x:c>
      <x:c r="Y527" s="6" t="n">
        <x:v>0</x:v>
      </x:c>
      <x:c r="Z527" s="6" t="n">
        <x:v>0</x:v>
      </x:c>
      <x:c r="AA527" s="6" t="n">
        <x:v>3</x:v>
      </x:c>
      <x:c r="AB527" s="6" t="n">
        <x:v>11</x:v>
      </x:c>
      <x:c r="AC527" s="6" t="n">
        <x:v>0</x:v>
      </x:c>
    </x:row>
    <x:row r="528">
      <x:c r="A528" s="6" t="n">
        <x:v>4322</x:v>
      </x:c>
      <x:c r="B528" s="6" t="n">
        <x:v>1958</x:v>
      </x:c>
      <x:c r="C528" s="6" t="str">
        <x:v>PhD</x:v>
      </x:c>
      <x:c r="D528" s="6" t="str">
        <x:v>Together</x:v>
      </x:c>
      <x:c r="E528" s="6" t="n">
        <x:v>77863</x:v>
      </x:c>
      <x:c r="F528" s="6" t="n">
        <x:v>0</x:v>
      </x:c>
      <x:c r="G528" s="6" t="n">
        <x:v>0</x:v>
      </x:c>
      <x:c r="H528" s="9" t="str">
        <x:v>27-11-2013</x:v>
      </x:c>
      <x:c r="I528" s="6" t="n">
        <x:v>20</x:v>
      </x:c>
      <x:c r="J528" s="6" t="n">
        <x:v>881</x:v>
      </x:c>
      <x:c r="K528" s="6" t="n">
        <x:v>38</x:v>
      </x:c>
      <x:c r="L528" s="6" t="n">
        <x:v>319</x:v>
      </x:c>
      <x:c r="M528" s="6" t="n">
        <x:v>16</x:v>
      </x:c>
      <x:c r="N528" s="6" t="n">
        <x:v>25</x:v>
      </x:c>
      <x:c r="O528" s="6" t="n">
        <x:v>12</x:v>
      </x:c>
      <x:c r="P528" s="6" t="n">
        <x:v>1</x:v>
      </x:c>
      <x:c r="Q528" s="6" t="n">
        <x:v>4</x:v>
      </x:c>
      <x:c r="R528" s="6" t="n">
        <x:v>5</x:v>
      </x:c>
      <x:c r="S528" s="6" t="n">
        <x:v>10</x:v>
      </x:c>
      <x:c r="T528" s="6" t="n">
        <x:v>2</x:v>
      </x:c>
      <x:c r="U528" s="6" t="n">
        <x:v>0</x:v>
      </x:c>
      <x:c r="V528" s="6" t="n">
        <x:v>0</x:v>
      </x:c>
      <x:c r="W528" s="6" t="n">
        <x:v>0</x:v>
      </x:c>
      <x:c r="X528" s="6" t="n">
        <x:v>0</x:v>
      </x:c>
      <x:c r="Y528" s="6" t="n">
        <x:v>0</x:v>
      </x:c>
      <x:c r="Z528" s="6" t="n">
        <x:v>0</x:v>
      </x:c>
      <x:c r="AA528" s="6" t="n">
        <x:v>3</x:v>
      </x:c>
      <x:c r="AB528" s="6" t="n">
        <x:v>11</x:v>
      </x:c>
      <x:c r="AC528" s="6" t="n">
        <x:v>0</x:v>
      </x:c>
    </x:row>
    <x:row r="529">
      <x:c r="A529" s="6" t="n">
        <x:v>713</x:v>
      </x:c>
      <x:c r="B529" s="6" t="n">
        <x:v>1977</x:v>
      </x:c>
      <x:c r="C529" s="6" t="str">
        <x:v>Master</x:v>
      </x:c>
      <x:c r="D529" s="6" t="str">
        <x:v>Married</x:v>
      </x:c>
      <x:c r="E529" s="6" t="n">
        <x:v>50353</x:v>
      </x:c>
      <x:c r="F529" s="6" t="n">
        <x:v>0</x:v>
      </x:c>
      <x:c r="G529" s="6" t="n">
        <x:v>0</x:v>
      </x:c>
      <x:c r="H529" s="9" t="str">
        <x:v>08-06-2014</x:v>
      </x:c>
      <x:c r="I529" s="6" t="n">
        <x:v>72</x:v>
      </x:c>
      <x:c r="J529" s="6" t="n">
        <x:v>141</x:v>
      </x:c>
      <x:c r="K529" s="6" t="n">
        <x:v>15</x:v>
      </x:c>
      <x:c r="L529" s="6" t="n">
        <x:v>153</x:v>
      </x:c>
      <x:c r="M529" s="6" t="n">
        <x:v>67</x:v>
      </x:c>
      <x:c r="N529" s="6" t="n">
        <x:v>31</x:v>
      </x:c>
      <x:c r="O529" s="6" t="n">
        <x:v>35</x:v>
      </x:c>
      <x:c r="P529" s="6" t="n">
        <x:v>1</x:v>
      </x:c>
      <x:c r="Q529" s="6" t="n">
        <x:v>4</x:v>
      </x:c>
      <x:c r="R529" s="6" t="n">
        <x:v>4</x:v>
      </x:c>
      <x:c r="S529" s="6" t="n">
        <x:v>6</x:v>
      </x:c>
      <x:c r="T529" s="6" t="n">
        <x:v>3</x:v>
      </x:c>
      <x:c r="U529" s="6" t="n">
        <x:v>0</x:v>
      </x:c>
      <x:c r="V529" s="6" t="n">
        <x:v>0</x:v>
      </x:c>
      <x:c r="W529" s="6" t="n">
        <x:v>0</x:v>
      </x:c>
      <x:c r="X529" s="6" t="n">
        <x:v>0</x:v>
      </x:c>
      <x:c r="Y529" s="6" t="n">
        <x:v>0</x:v>
      </x:c>
      <x:c r="Z529" s="6" t="n">
        <x:v>0</x:v>
      </x:c>
      <x:c r="AA529" s="6" t="n">
        <x:v>3</x:v>
      </x:c>
      <x:c r="AB529" s="6" t="n">
        <x:v>11</x:v>
      </x:c>
      <x:c r="AC529" s="6" t="n">
        <x:v>0</x:v>
      </x:c>
    </x:row>
    <x:row r="530">
      <x:c r="A530" s="6" t="n">
        <x:v>4702</x:v>
      </x:c>
      <x:c r="B530" s="6" t="n">
        <x:v>1964</x:v>
      </x:c>
      <x:c r="C530" s="6" t="str">
        <x:v>Graduation</x:v>
      </x:c>
      <x:c r="D530" s="6" t="str">
        <x:v>Single</x:v>
      </x:c>
      <x:c r="E530" s="6" t="n">
        <x:v>61839</x:v>
      </x:c>
      <x:c r="F530" s="6" t="n">
        <x:v>0</x:v>
      </x:c>
      <x:c r="G530" s="6" t="n">
        <x:v>0</x:v>
      </x:c>
      <x:c r="H530" s="9" t="str">
        <x:v>12-08-2012</x:v>
      </x:c>
      <x:c r="I530" s="6" t="n">
        <x:v>20</x:v>
      </x:c>
      <x:c r="J530" s="6" t="n">
        <x:v>1000</x:v>
      </x:c>
      <x:c r="K530" s="6" t="n">
        <x:v>155</x:v>
      </x:c>
      <x:c r="L530" s="6" t="n">
        <x:v>379</x:v>
      </x:c>
      <x:c r="M530" s="6" t="n">
        <x:v>224</x:v>
      </x:c>
      <x:c r="N530" s="6" t="n">
        <x:v>17</x:v>
      </x:c>
      <x:c r="O530" s="6" t="n">
        <x:v>120</x:v>
      </x:c>
      <x:c r="P530" s="6" t="n">
        <x:v>1</x:v>
      </x:c>
      <x:c r="Q530" s="6" t="n">
        <x:v>4</x:v>
      </x:c>
      <x:c r="R530" s="6" t="n">
        <x:v>8</x:v>
      </x:c>
      <x:c r="S530" s="6" t="n">
        <x:v>4</x:v>
      </x:c>
      <x:c r="T530" s="6" t="n">
        <x:v>8</x:v>
      </x:c>
      <x:c r="U530" s="6" t="n">
        <x:v>0</x:v>
      </x:c>
      <x:c r="V530" s="6" t="n">
        <x:v>0</x:v>
      </x:c>
      <x:c r="W530" s="6" t="n">
        <x:v>0</x:v>
      </x:c>
      <x:c r="X530" s="6" t="n">
        <x:v>0</x:v>
      </x:c>
      <x:c r="Y530" s="6" t="n">
        <x:v>0</x:v>
      </x:c>
      <x:c r="Z530" s="6" t="n">
        <x:v>0</x:v>
      </x:c>
      <x:c r="AA530" s="6" t="n">
        <x:v>3</x:v>
      </x:c>
      <x:c r="AB530" s="6" t="n">
        <x:v>11</x:v>
      </x:c>
      <x:c r="AC530" s="6" t="n">
        <x:v>0</x:v>
      </x:c>
    </x:row>
    <x:row r="531">
      <x:c r="A531" s="6" t="n">
        <x:v>3281</x:v>
      </x:c>
      <x:c r="B531" s="6" t="n">
        <x:v>1960</x:v>
      </x:c>
      <x:c r="C531" s="6" t="str">
        <x:v>PhD</x:v>
      </x:c>
      <x:c r="D531" s="6" t="str">
        <x:v>Married</x:v>
      </x:c>
      <x:c r="E531" s="6" t="n">
        <x:v>49154</x:v>
      </x:c>
      <x:c r="F531" s="6" t="n">
        <x:v>1</x:v>
      </x:c>
      <x:c r="G531" s="6" t="n">
        <x:v>1</x:v>
      </x:c>
      <x:c r="H531" s="9" t="str">
        <x:v>03-11-2013</x:v>
      </x:c>
      <x:c r="I531" s="6" t="n">
        <x:v>69</x:v>
      </x:c>
      <x:c r="J531" s="6" t="n">
        <x:v>206</x:v>
      </x:c>
      <x:c r="K531" s="6" t="n">
        <x:v>10</x:v>
      </x:c>
      <x:c r="L531" s="6" t="n">
        <x:v>67</x:v>
      </x:c>
      <x:c r="M531" s="6" t="n">
        <x:v>30</x:v>
      </x:c>
      <x:c r="N531" s="6" t="n">
        <x:v>27</x:v>
      </x:c>
      <x:c r="O531" s="6" t="n">
        <x:v>71</x:v>
      </x:c>
      <x:c r="P531" s="6" t="n">
        <x:v>6</x:v>
      </x:c>
      <x:c r="Q531" s="6" t="n">
        <x:v>4</x:v>
      </x:c>
      <x:c r="R531" s="6" t="n">
        <x:v>1</x:v>
      </x:c>
      <x:c r="S531" s="6" t="n">
        <x:v>8</x:v>
      </x:c>
      <x:c r="T531" s="6" t="n">
        <x:v>6</x:v>
      </x:c>
      <x:c r="U531" s="6" t="n">
        <x:v>0</x:v>
      </x:c>
      <x:c r="V531" s="6" t="n">
        <x:v>0</x:v>
      </x:c>
      <x:c r="W531" s="6" t="n">
        <x:v>0</x:v>
      </x:c>
      <x:c r="X531" s="6" t="n">
        <x:v>0</x:v>
      </x:c>
      <x:c r="Y531" s="6" t="n">
        <x:v>0</x:v>
      </x:c>
      <x:c r="Z531" s="6" t="n">
        <x:v>0</x:v>
      </x:c>
      <x:c r="AA531" s="6" t="n">
        <x:v>3</x:v>
      </x:c>
      <x:c r="AB531" s="6" t="n">
        <x:v>11</x:v>
      </x:c>
      <x:c r="AC531" s="6" t="n">
        <x:v>0</x:v>
      </x:c>
    </x:row>
    <x:row r="532">
      <x:c r="A532" s="6" t="n">
        <x:v>702</x:v>
      </x:c>
      <x:c r="B532" s="6" t="n">
        <x:v>1975</x:v>
      </x:c>
      <x:c r="C532" s="6" t="str">
        <x:v>2n Cycle</x:v>
      </x:c>
      <x:c r="D532" s="6" t="str">
        <x:v>Widow</x:v>
      </x:c>
      <x:c r="E532" s="6" t="n">
        <x:v>47682</x:v>
      </x:c>
      <x:c r="F532" s="6" t="n">
        <x:v>0</x:v>
      </x:c>
      <x:c r="G532" s="6" t="n">
        <x:v>1</x:v>
      </x:c>
      <x:c r="H532" s="9" t="str">
        <x:v>15-02-2013</x:v>
      </x:c>
      <x:c r="I532" s="6" t="n">
        <x:v>80</x:v>
      </x:c>
      <x:c r="J532" s="6" t="n">
        <x:v>162</x:v>
      </x:c>
      <x:c r="K532" s="6" t="n">
        <x:v>61</x:v>
      </x:c>
      <x:c r="L532" s="6" t="n">
        <x:v>83</x:v>
      </x:c>
      <x:c r="M532" s="6" t="n">
        <x:v>97</x:v>
      </x:c>
      <x:c r="N532" s="6" t="n">
        <x:v>57</x:v>
      </x:c>
      <x:c r="O532" s="6" t="n">
        <x:v>61</x:v>
      </x:c>
      <x:c r="P532" s="6" t="n">
        <x:v>4</x:v>
      </x:c>
      <x:c r="Q532" s="6" t="n">
        <x:v>4</x:v>
      </x:c>
      <x:c r="R532" s="6" t="n">
        <x:v>3</x:v>
      </x:c>
      <x:c r="S532" s="6" t="n">
        <x:v>8</x:v>
      </x:c>
      <x:c r="T532" s="6" t="n">
        <x:v>5</x:v>
      </x:c>
      <x:c r="U532" s="6" t="n">
        <x:v>0</x:v>
      </x:c>
      <x:c r="V532" s="6" t="n">
        <x:v>0</x:v>
      </x:c>
      <x:c r="W532" s="6" t="n">
        <x:v>0</x:v>
      </x:c>
      <x:c r="X532" s="6" t="n">
        <x:v>0</x:v>
      </x:c>
      <x:c r="Y532" s="6" t="n">
        <x:v>0</x:v>
      </x:c>
      <x:c r="Z532" s="6" t="n">
        <x:v>0</x:v>
      </x:c>
      <x:c r="AA532" s="6" t="n">
        <x:v>3</x:v>
      </x:c>
      <x:c r="AB532" s="6" t="n">
        <x:v>11</x:v>
      </x:c>
      <x:c r="AC532" s="6" t="n">
        <x:v>0</x:v>
      </x:c>
    </x:row>
    <x:row r="533">
      <x:c r="A533" s="6" t="n">
        <x:v>2004</x:v>
      </x:c>
      <x:c r="B533" s="6" t="n">
        <x:v>1969</x:v>
      </x:c>
      <x:c r="C533" s="6" t="str">
        <x:v>Graduation</x:v>
      </x:c>
      <x:c r="D533" s="6" t="str">
        <x:v>Single</x:v>
      </x:c>
      <x:c r="E533" s="6" t="n">
        <x:v>72679</x:v>
      </x:c>
      <x:c r="F533" s="6" t="n">
        <x:v>0</x:v>
      </x:c>
      <x:c r="G533" s="6" t="n">
        <x:v>1</x:v>
      </x:c>
      <x:c r="H533" s="9" t="str">
        <x:v>18-09-2013</x:v>
      </x:c>
      <x:c r="I533" s="6" t="n">
        <x:v>65</x:v>
      </x:c>
      <x:c r="J533" s="6" t="n">
        <x:v>619</x:v>
      </x:c>
      <x:c r="K533" s="6" t="n">
        <x:v>54</x:v>
      </x:c>
      <x:c r="L533" s="6" t="n">
        <x:v>260</x:v>
      </x:c>
      <x:c r="M533" s="6" t="n">
        <x:v>127</x:v>
      </x:c>
      <x:c r="N533" s="6" t="n">
        <x:v>54</x:v>
      </x:c>
      <x:c r="O533" s="6" t="n">
        <x:v>54</x:v>
      </x:c>
      <x:c r="P533" s="6" t="n">
        <x:v>1</x:v>
      </x:c>
      <x:c r="Q533" s="6" t="n">
        <x:v>4</x:v>
      </x:c>
      <x:c r="R533" s="6" t="n">
        <x:v>7</x:v>
      </x:c>
      <x:c r="S533" s="6" t="n">
        <x:v>5</x:v>
      </x:c>
      <x:c r="T533" s="6" t="n">
        <x:v>1</x:v>
      </x:c>
      <x:c r="U533" s="6" t="n">
        <x:v>0</x:v>
      </x:c>
      <x:c r="V533" s="6" t="n">
        <x:v>0</x:v>
      </x:c>
      <x:c r="W533" s="6" t="n">
        <x:v>0</x:v>
      </x:c>
      <x:c r="X533" s="6" t="n">
        <x:v>0</x:v>
      </x:c>
      <x:c r="Y533" s="6" t="n">
        <x:v>0</x:v>
      </x:c>
      <x:c r="Z533" s="6" t="n">
        <x:v>0</x:v>
      </x:c>
      <x:c r="AA533" s="6" t="n">
        <x:v>3</x:v>
      </x:c>
      <x:c r="AB533" s="6" t="n">
        <x:v>11</x:v>
      </x:c>
      <x:c r="AC533" s="6" t="n">
        <x:v>0</x:v>
      </x:c>
    </x:row>
    <x:row r="534">
      <x:c r="A534" s="6" t="n">
        <x:v>4769</x:v>
      </x:c>
      <x:c r="B534" s="6" t="n">
        <x:v>1977</x:v>
      </x:c>
      <x:c r="C534" s="6" t="str">
        <x:v>Master</x:v>
      </x:c>
      <x:c r="D534" s="6" t="str">
        <x:v>Together</x:v>
      </x:c>
      <x:c r="E534" s="6" t="n">
        <x:v>57954</x:v>
      </x:c>
      <x:c r="F534" s="6" t="n">
        <x:v>1</x:v>
      </x:c>
      <x:c r="G534" s="6" t="n">
        <x:v>1</x:v>
      </x:c>
      <x:c r="H534" s="9" t="str">
        <x:v>18-06-2014</x:v>
      </x:c>
      <x:c r="I534" s="6" t="n">
        <x:v>52</x:v>
      </x:c>
      <x:c r="J534" s="6" t="n">
        <x:v>456</x:v>
      </x:c>
      <x:c r="K534" s="6" t="n">
        <x:v>4</x:v>
      </x:c>
      <x:c r="L534" s="6" t="n">
        <x:v>24</x:v>
      </x:c>
      <x:c r="M534" s="6" t="n">
        <x:v>0</x:v>
      </x:c>
      <x:c r="N534" s="6" t="n">
        <x:v>0</x:v>
      </x:c>
      <x:c r="O534" s="6" t="n">
        <x:v>9</x:v>
      </x:c>
      <x:c r="P534" s="6" t="n">
        <x:v>7</x:v>
      </x:c>
      <x:c r="Q534" s="6" t="n">
        <x:v>8</x:v>
      </x:c>
      <x:c r="R534" s="6" t="n">
        <x:v>2</x:v>
      </x:c>
      <x:c r="S534" s="6" t="n">
        <x:v>6</x:v>
      </x:c>
      <x:c r="T534" s="6" t="n">
        <x:v>7</x:v>
      </x:c>
      <x:c r="U534" s="6" t="n">
        <x:v>0</x:v>
      </x:c>
      <x:c r="V534" s="6" t="n">
        <x:v>1</x:v>
      </x:c>
      <x:c r="W534" s="6" t="n">
        <x:v>0</x:v>
      </x:c>
      <x:c r="X534" s="6" t="n">
        <x:v>0</x:v>
      </x:c>
      <x:c r="Y534" s="6" t="n">
        <x:v>0</x:v>
      </x:c>
      <x:c r="Z534" s="6" t="n">
        <x:v>0</x:v>
      </x:c>
      <x:c r="AA534" s="6" t="n">
        <x:v>3</x:v>
      </x:c>
      <x:c r="AB534" s="6" t="n">
        <x:v>11</x:v>
      </x:c>
      <x:c r="AC534" s="6" t="n">
        <x:v>0</x:v>
      </x:c>
    </x:row>
    <x:row r="535">
      <x:c r="A535" s="6" t="n">
        <x:v>4437</x:v>
      </x:c>
      <x:c r="B535" s="6" t="n">
        <x:v>1962</x:v>
      </x:c>
      <x:c r="C535" s="6" t="str">
        <x:v>Graduation</x:v>
      </x:c>
      <x:c r="D535" s="6" t="str">
        <x:v>Married</x:v>
      </x:c>
      <x:c r="E535" s="6" t="n">
        <x:v>65316</x:v>
      </x:c>
      <x:c r="F535" s="6" t="n">
        <x:v>1</x:v>
      </x:c>
      <x:c r="G535" s="6" t="n">
        <x:v>1</x:v>
      </x:c>
      <x:c r="H535" s="9" t="str">
        <x:v>24-04-2013</x:v>
      </x:c>
      <x:c r="I535" s="6" t="n">
        <x:v>65</x:v>
      </x:c>
      <x:c r="J535" s="6" t="n">
        <x:v>112</x:v>
      </x:c>
      <x:c r="K535" s="6" t="n">
        <x:v>6</x:v>
      </x:c>
      <x:c r="L535" s="6" t="n">
        <x:v>92</x:v>
      </x:c>
      <x:c r="M535" s="6" t="n">
        <x:v>3</x:v>
      </x:c>
      <x:c r="N535" s="6" t="n">
        <x:v>9</x:v>
      </x:c>
      <x:c r="O535" s="6" t="n">
        <x:v>38</x:v>
      </x:c>
      <x:c r="P535" s="6" t="n">
        <x:v>2</x:v>
      </x:c>
      <x:c r="Q535" s="6" t="n">
        <x:v>3</x:v>
      </x:c>
      <x:c r="R535" s="6" t="n">
        <x:v>2</x:v>
      </x:c>
      <x:c r="S535" s="6" t="n">
        <x:v>5</x:v>
      </x:c>
      <x:c r="T535" s="6" t="n">
        <x:v>4</x:v>
      </x:c>
      <x:c r="U535" s="6" t="n">
        <x:v>0</x:v>
      </x:c>
      <x:c r="V535" s="6" t="n">
        <x:v>0</x:v>
      </x:c>
      <x:c r="W535" s="6" t="n">
        <x:v>0</x:v>
      </x:c>
      <x:c r="X535" s="6" t="n">
        <x:v>0</x:v>
      </x:c>
      <x:c r="Y535" s="6" t="n">
        <x:v>0</x:v>
      </x:c>
      <x:c r="Z535" s="6" t="n">
        <x:v>0</x:v>
      </x:c>
      <x:c r="AA535" s="6" t="n">
        <x:v>3</x:v>
      </x:c>
      <x:c r="AB535" s="6" t="n">
        <x:v>11</x:v>
      </x:c>
      <x:c r="AC535" s="6" t="n">
        <x:v>0</x:v>
      </x:c>
    </x:row>
    <x:row r="536">
      <x:c r="A536" s="6" t="n">
        <x:v>8724</x:v>
      </x:c>
      <x:c r="B536" s="6" t="n">
        <x:v>1982</x:v>
      </x:c>
      <x:c r="C536" s="6" t="str">
        <x:v>Graduation</x:v>
      </x:c>
      <x:c r="D536" s="6" t="str">
        <x:v>Single</x:v>
      </x:c>
      <x:c r="E536" s="6" t="n">
        <x:v>28567</x:v>
      </x:c>
      <x:c r="F536" s="6" t="n">
        <x:v>1</x:v>
      </x:c>
      <x:c r="G536" s="6" t="n">
        <x:v>0</x:v>
      </x:c>
      <x:c r="H536" s="9" t="str">
        <x:v>17-06-2013</x:v>
      </x:c>
      <x:c r="I536" s="6" t="n">
        <x:v>57</x:v>
      </x:c>
      <x:c r="J536" s="6" t="n">
        <x:v>11</x:v>
      </x:c>
      <x:c r="K536" s="6" t="n">
        <x:v>3</x:v>
      </x:c>
      <x:c r="L536" s="6" t="n">
        <x:v>22</x:v>
      </x:c>
      <x:c r="M536" s="6" t="n">
        <x:v>2</x:v>
      </x:c>
      <x:c r="N536" s="6" t="n">
        <x:v>2</x:v>
      </x:c>
      <x:c r="O536" s="6" t="n">
        <x:v>6</x:v>
      </x:c>
      <x:c r="P536" s="6" t="n">
        <x:v>2</x:v>
      </x:c>
      <x:c r="Q536" s="6" t="n">
        <x:v>2</x:v>
      </x:c>
      <x:c r="R536" s="6" t="n">
        <x:v>0</x:v>
      </x:c>
      <x:c r="S536" s="6" t="n">
        <x:v>3</x:v>
      </x:c>
      <x:c r="T536" s="6" t="n">
        <x:v>6</x:v>
      </x:c>
      <x:c r="U536" s="6" t="n">
        <x:v>0</x:v>
      </x:c>
      <x:c r="V536" s="6" t="n">
        <x:v>0</x:v>
      </x:c>
      <x:c r="W536" s="6" t="n">
        <x:v>0</x:v>
      </x:c>
      <x:c r="X536" s="6" t="n">
        <x:v>0</x:v>
      </x:c>
      <x:c r="Y536" s="6" t="n">
        <x:v>0</x:v>
      </x:c>
      <x:c r="Z536" s="6" t="n">
        <x:v>0</x:v>
      </x:c>
      <x:c r="AA536" s="6" t="n">
        <x:v>3</x:v>
      </x:c>
      <x:c r="AB536" s="6" t="n">
        <x:v>11</x:v>
      </x:c>
      <x:c r="AC536" s="6" t="n">
        <x:v>0</x:v>
      </x:c>
    </x:row>
    <x:row r="537">
      <x:c r="A537" s="6" t="n">
        <x:v>10741</x:v>
      </x:c>
      <x:c r="B537" s="6" t="n">
        <x:v>1951</x:v>
      </x:c>
      <x:c r="C537" s="6" t="str">
        <x:v>Master</x:v>
      </x:c>
      <x:c r="D537" s="6" t="str">
        <x:v>Together</x:v>
      </x:c>
      <x:c r="E537" s="6" t="n">
        <x:v>47352</x:v>
      </x:c>
      <x:c r="F537" s="6" t="n">
        <x:v>0</x:v>
      </x:c>
      <x:c r="G537" s="6" t="n">
        <x:v>1</x:v>
      </x:c>
      <x:c r="H537" s="9" t="str">
        <x:v>11-04-2013</x:v>
      </x:c>
      <x:c r="I537" s="6" t="n">
        <x:v>70</x:v>
      </x:c>
      <x:c r="J537" s="6" t="n">
        <x:v>172</x:v>
      </x:c>
      <x:c r="K537" s="6" t="n">
        <x:v>12</x:v>
      </x:c>
      <x:c r="L537" s="6" t="n">
        <x:v>112</x:v>
      </x:c>
      <x:c r="M537" s="6" t="n">
        <x:v>8</x:v>
      </x:c>
      <x:c r="N537" s="6" t="n">
        <x:v>0</x:v>
      </x:c>
      <x:c r="O537" s="6" t="n">
        <x:v>15</x:v>
      </x:c>
      <x:c r="P537" s="6" t="n">
        <x:v>4</x:v>
      </x:c>
      <x:c r="Q537" s="6" t="n">
        <x:v>6</x:v>
      </x:c>
      <x:c r="R537" s="6" t="n">
        <x:v>1</x:v>
      </x:c>
      <x:c r="S537" s="6" t="n">
        <x:v>5</x:v>
      </x:c>
      <x:c r="T537" s="6" t="n">
        <x:v>7</x:v>
      </x:c>
      <x:c r="U537" s="6" t="n">
        <x:v>0</x:v>
      </x:c>
      <x:c r="V537" s="6" t="n">
        <x:v>0</x:v>
      </x:c>
      <x:c r="W537" s="6" t="n">
        <x:v>0</x:v>
      </x:c>
      <x:c r="X537" s="6" t="n">
        <x:v>0</x:v>
      </x:c>
      <x:c r="Y537" s="6" t="n">
        <x:v>0</x:v>
      </x:c>
      <x:c r="Z537" s="6" t="n">
        <x:v>0</x:v>
      </x:c>
      <x:c r="AA537" s="6" t="n">
        <x:v>3</x:v>
      </x:c>
      <x:c r="AB537" s="6" t="n">
        <x:v>11</x:v>
      </x:c>
      <x:c r="AC537" s="6" t="n">
        <x:v>0</x:v>
      </x:c>
    </x:row>
    <x:row r="538">
      <x:c r="A538" s="6" t="n">
        <x:v>1991</x:v>
      </x:c>
      <x:c r="B538" s="6" t="n">
        <x:v>1967</x:v>
      </x:c>
      <x:c r="C538" s="6" t="str">
        <x:v>Graduation</x:v>
      </x:c>
      <x:c r="D538" s="6" t="str">
        <x:v>Together</x:v>
      </x:c>
      <x:c r="E538" s="6" t="n">
        <x:v>44931</x:v>
      </x:c>
      <x:c r="F538" s="6" t="n">
        <x:v>0</x:v>
      </x:c>
      <x:c r="G538" s="6" t="n">
        <x:v>1</x:v>
      </x:c>
      <x:c r="H538" s="9" t="str">
        <x:v>18-01-2014</x:v>
      </x:c>
      <x:c r="I538" s="6" t="n">
        <x:v>0</x:v>
      </x:c>
      <x:c r="J538" s="6" t="n">
        <x:v>78</x:v>
      </x:c>
      <x:c r="K538" s="6" t="n">
        <x:v>0</x:v>
      </x:c>
      <x:c r="L538" s="6" t="n">
        <x:v>11</x:v>
      </x:c>
      <x:c r="M538" s="6" t="n">
        <x:v>0</x:v>
      </x:c>
      <x:c r="N538" s="6" t="n">
        <x:v>0</x:v>
      </x:c>
      <x:c r="O538" s="6" t="n">
        <x:v>7</x:v>
      </x:c>
      <x:c r="P538" s="6" t="n">
        <x:v>1</x:v>
      </x:c>
      <x:c r="Q538" s="6" t="n">
        <x:v>2</x:v>
      </x:c>
      <x:c r="R538" s="6" t="n">
        <x:v>1</x:v>
      </x:c>
      <x:c r="S538" s="6" t="n">
        <x:v>3</x:v>
      </x:c>
      <x:c r="T538" s="6" t="n">
        <x:v>5</x:v>
      </x:c>
      <x:c r="U538" s="6" t="n">
        <x:v>0</x:v>
      </x:c>
      <x:c r="V538" s="6" t="n">
        <x:v>0</x:v>
      </x:c>
      <x:c r="W538" s="6" t="n">
        <x:v>0</x:v>
      </x:c>
      <x:c r="X538" s="6" t="n">
        <x:v>0</x:v>
      </x:c>
      <x:c r="Y538" s="6" t="n">
        <x:v>0</x:v>
      </x:c>
      <x:c r="Z538" s="6" t="n">
        <x:v>0</x:v>
      </x:c>
      <x:c r="AA538" s="6" t="n">
        <x:v>3</x:v>
      </x:c>
      <x:c r="AB538" s="6" t="n">
        <x:v>11</x:v>
      </x:c>
      <x:c r="AC538" s="6" t="n">
        <x:v>0</x:v>
      </x:c>
    </x:row>
    <x:row r="539">
      <x:c r="A539" s="6" t="n">
        <x:v>6931</x:v>
      </x:c>
      <x:c r="B539" s="6" t="n">
        <x:v>1967</x:v>
      </x:c>
      <x:c r="C539" s="6" t="str">
        <x:v>Graduation</x:v>
      </x:c>
      <x:c r="D539" s="6" t="str">
        <x:v>Divorced</x:v>
      </x:c>
      <x:c r="E539" s="6" t="n">
        <x:v>76982</x:v>
      </x:c>
      <x:c r="F539" s="6" t="n">
        <x:v>0</x:v>
      </x:c>
      <x:c r="G539" s="6" t="n">
        <x:v>0</x:v>
      </x:c>
      <x:c r="H539" s="9" t="str">
        <x:v>15-02-2014</x:v>
      </x:c>
      <x:c r="I539" s="6" t="n">
        <x:v>19</x:v>
      </x:c>
      <x:c r="J539" s="6" t="n">
        <x:v>464</x:v>
      </x:c>
      <x:c r="K539" s="6" t="n">
        <x:v>151</x:v>
      </x:c>
      <x:c r="L539" s="6" t="n">
        <x:v>292</x:v>
      </x:c>
      <x:c r="M539" s="6" t="n">
        <x:v>65</x:v>
      </x:c>
      <x:c r="N539" s="6" t="n">
        <x:v>60</x:v>
      </x:c>
      <x:c r="O539" s="6" t="n">
        <x:v>30</x:v>
      </x:c>
      <x:c r="P539" s="6" t="n">
        <x:v>1</x:v>
      </x:c>
      <x:c r="Q539" s="6" t="n">
        <x:v>8</x:v>
      </x:c>
      <x:c r="R539" s="6" t="n">
        <x:v>3</x:v>
      </x:c>
      <x:c r="S539" s="6" t="n">
        <x:v>4</x:v>
      </x:c>
      <x:c r="T539" s="6" t="n">
        <x:v>4</x:v>
      </x:c>
      <x:c r="U539" s="6" t="n">
        <x:v>0</x:v>
      </x:c>
      <x:c r="V539" s="6" t="n">
        <x:v>0</x:v>
      </x:c>
      <x:c r="W539" s="6" t="n">
        <x:v>1</x:v>
      </x:c>
      <x:c r="X539" s="6" t="n">
        <x:v>0</x:v>
      </x:c>
      <x:c r="Y539" s="6" t="n">
        <x:v>0</x:v>
      </x:c>
      <x:c r="Z539" s="6" t="n">
        <x:v>0</x:v>
      </x:c>
      <x:c r="AA539" s="6" t="n">
        <x:v>3</x:v>
      </x:c>
      <x:c r="AB539" s="6" t="n">
        <x:v>11</x:v>
      </x:c>
      <x:c r="AC539" s="6" t="n">
        <x:v>1</x:v>
      </x:c>
    </x:row>
    <x:row r="540">
      <x:c r="A540" s="6" t="n">
        <x:v>11096</x:v>
      </x:c>
      <x:c r="B540" s="6" t="n">
        <x:v>1952</x:v>
      </x:c>
      <x:c r="C540" s="6" t="str">
        <x:v>2n Cycle</x:v>
      </x:c>
      <x:c r="D540" s="6" t="str">
        <x:v>Together</x:v>
      </x:c>
      <x:c r="E540" s="6" t="n">
        <x:v>57247</x:v>
      </x:c>
      <x:c r="F540" s="6" t="n">
        <x:v>0</x:v>
      </x:c>
      <x:c r="G540" s="6" t="n">
        <x:v>1</x:v>
      </x:c>
      <x:c r="H540" s="9" t="str">
        <x:v>08-08-2013</x:v>
      </x:c>
      <x:c r="I540" s="6" t="n">
        <x:v>50</x:v>
      </x:c>
      <x:c r="J540" s="6" t="n">
        <x:v>99</x:v>
      </x:c>
      <x:c r="K540" s="6" t="n">
        <x:v>4</x:v>
      </x:c>
      <x:c r="L540" s="6" t="n">
        <x:v>32</x:v>
      </x:c>
      <x:c r="M540" s="6" t="n">
        <x:v>37</x:v>
      </x:c>
      <x:c r="N540" s="6" t="n">
        <x:v>54</x:v>
      </x:c>
      <x:c r="O540" s="6" t="n">
        <x:v>6</x:v>
      </x:c>
      <x:c r="P540" s="6" t="n">
        <x:v>2</x:v>
      </x:c>
      <x:c r="Q540" s="6" t="n">
        <x:v>2</x:v>
      </x:c>
      <x:c r="R540" s="6" t="n">
        <x:v>1</x:v>
      </x:c>
      <x:c r="S540" s="6" t="n">
        <x:v>7</x:v>
      </x:c>
      <x:c r="T540" s="6" t="n">
        <x:v>2</x:v>
      </x:c>
      <x:c r="U540" s="6" t="n">
        <x:v>0</x:v>
      </x:c>
      <x:c r="V540" s="6" t="n">
        <x:v>0</x:v>
      </x:c>
      <x:c r="W540" s="6" t="n">
        <x:v>0</x:v>
      </x:c>
      <x:c r="X540" s="6" t="n">
        <x:v>0</x:v>
      </x:c>
      <x:c r="Y540" s="6" t="n">
        <x:v>0</x:v>
      </x:c>
      <x:c r="Z540" s="6" t="n">
        <x:v>0</x:v>
      </x:c>
      <x:c r="AA540" s="6" t="n">
        <x:v>3</x:v>
      </x:c>
      <x:c r="AB540" s="6" t="n">
        <x:v>11</x:v>
      </x:c>
      <x:c r="AC540" s="6" t="n">
        <x:v>0</x:v>
      </x:c>
    </x:row>
    <x:row r="541">
      <x:c r="A541" s="6" t="n">
        <x:v>304</x:v>
      </x:c>
      <x:c r="B541" s="6" t="n">
        <x:v>1981</x:v>
      </x:c>
      <x:c r="C541" s="6" t="str">
        <x:v>Master</x:v>
      </x:c>
      <x:c r="D541" s="6" t="str">
        <x:v>Single</x:v>
      </x:c>
      <x:c r="E541" s="6" t="n">
        <x:v>22944</x:v>
      </x:c>
      <x:c r="F541" s="6" t="n">
        <x:v>1</x:v>
      </x:c>
      <x:c r="G541" s="6" t="n">
        <x:v>0</x:v>
      </x:c>
      <x:c r="H541" s="9" t="str">
        <x:v>23-12-2013</x:v>
      </x:c>
      <x:c r="I541" s="6" t="n">
        <x:v>67</x:v>
      </x:c>
      <x:c r="J541" s="6" t="n">
        <x:v>19</x:v>
      </x:c>
      <x:c r="K541" s="6" t="n">
        <x:v>3</x:v>
      </x:c>
      <x:c r="L541" s="6" t="n">
        <x:v>19</x:v>
      </x:c>
      <x:c r="M541" s="6" t="n">
        <x:v>4</x:v>
      </x:c>
      <x:c r="N541" s="6" t="n">
        <x:v>5</x:v>
      </x:c>
      <x:c r="O541" s="6" t="n">
        <x:v>26</x:v>
      </x:c>
      <x:c r="P541" s="6" t="n">
        <x:v>3</x:v>
      </x:c>
      <x:c r="Q541" s="6" t="n">
        <x:v>3</x:v>
      </x:c>
      <x:c r="R541" s="6" t="n">
        <x:v>0</x:v>
      </x:c>
      <x:c r="S541" s="6" t="n">
        <x:v>3</x:v>
      </x:c>
      <x:c r="T541" s="6" t="n">
        <x:v>7</x:v>
      </x:c>
      <x:c r="U541" s="6" t="n">
        <x:v>0</x:v>
      </x:c>
      <x:c r="V541" s="6" t="n">
        <x:v>0</x:v>
      </x:c>
      <x:c r="W541" s="6" t="n">
        <x:v>0</x:v>
      </x:c>
      <x:c r="X541" s="6" t="n">
        <x:v>0</x:v>
      </x:c>
      <x:c r="Y541" s="6" t="n">
        <x:v>0</x:v>
      </x:c>
      <x:c r="Z541" s="6" t="n">
        <x:v>0</x:v>
      </x:c>
      <x:c r="AA541" s="6" t="n">
        <x:v>3</x:v>
      </x:c>
      <x:c r="AB541" s="6" t="n">
        <x:v>11</x:v>
      </x:c>
      <x:c r="AC541" s="6" t="n">
        <x:v>0</x:v>
      </x:c>
    </x:row>
    <x:row r="542">
      <x:c r="A542" s="6" t="n">
        <x:v>3665</x:v>
      </x:c>
      <x:c r="B542" s="6" t="n">
        <x:v>1977</x:v>
      </x:c>
      <x:c r="C542" s="6" t="str">
        <x:v>2n Cycle</x:v>
      </x:c>
      <x:c r="D542" s="6" t="str">
        <x:v>Together</x:v>
      </x:c>
      <x:c r="E542" s="6" t="n">
        <x:v>25315</x:v>
      </x:c>
      <x:c r="F542" s="6" t="n">
        <x:v>1</x:v>
      </x:c>
      <x:c r="G542" s="6" t="n">
        <x:v>0</x:v>
      </x:c>
      <x:c r="H542" s="9" t="str">
        <x:v>07-11-2013</x:v>
      </x:c>
      <x:c r="I542" s="6" t="n">
        <x:v>46</x:v>
      </x:c>
      <x:c r="J542" s="6" t="n">
        <x:v>1</x:v>
      </x:c>
      <x:c r="K542" s="6" t="n">
        <x:v>9</x:v>
      </x:c>
      <x:c r="L542" s="6" t="n">
        <x:v>8</x:v>
      </x:c>
      <x:c r="M542" s="6" t="n">
        <x:v>11</x:v>
      </x:c>
      <x:c r="N542" s="6" t="n">
        <x:v>3</x:v>
      </x:c>
      <x:c r="O542" s="6" t="n">
        <x:v>22</x:v>
      </x:c>
      <x:c r="P542" s="6" t="n">
        <x:v>3</x:v>
      </x:c>
      <x:c r="Q542" s="6" t="n">
        <x:v>3</x:v>
      </x:c>
      <x:c r="R542" s="6" t="n">
        <x:v>0</x:v>
      </x:c>
      <x:c r="S542" s="6" t="n">
        <x:v>3</x:v>
      </x:c>
      <x:c r="T542" s="6" t="n">
        <x:v>8</x:v>
      </x:c>
      <x:c r="U542" s="6" t="n">
        <x:v>0</x:v>
      </x:c>
      <x:c r="V542" s="6" t="n">
        <x:v>0</x:v>
      </x:c>
      <x:c r="W542" s="6" t="n">
        <x:v>0</x:v>
      </x:c>
      <x:c r="X542" s="6" t="n">
        <x:v>0</x:v>
      </x:c>
      <x:c r="Y542" s="6" t="n">
        <x:v>0</x:v>
      </x:c>
      <x:c r="Z542" s="6" t="n">
        <x:v>0</x:v>
      </x:c>
      <x:c r="AA542" s="6" t="n">
        <x:v>3</x:v>
      </x:c>
      <x:c r="AB542" s="6" t="n">
        <x:v>11</x:v>
      </x:c>
      <x:c r="AC542" s="6" t="n">
        <x:v>0</x:v>
      </x:c>
    </x:row>
    <x:row r="543">
      <x:c r="A543" s="6" t="n">
        <x:v>10591</x:v>
      </x:c>
      <x:c r="B543" s="6" t="n">
        <x:v>1969</x:v>
      </x:c>
      <x:c r="C543" s="6" t="str">
        <x:v>Graduation</x:v>
      </x:c>
      <x:c r="D543" s="6" t="str">
        <x:v>Widow</x:v>
      </x:c>
      <x:c r="E543" s="6" t="n">
        <x:v>43638</x:v>
      </x:c>
      <x:c r="F543" s="6" t="n">
        <x:v>0</x:v>
      </x:c>
      <x:c r="G543" s="6" t="n">
        <x:v>1</x:v>
      </x:c>
      <x:c r="H543" s="9" t="str">
        <x:v>06-08-2012</x:v>
      </x:c>
      <x:c r="I543" s="6" t="n">
        <x:v>37</x:v>
      </x:c>
      <x:c r="J543" s="6" t="n">
        <x:v>63</x:v>
      </x:c>
      <x:c r="K543" s="6" t="n">
        <x:v>10</x:v>
      </x:c>
      <x:c r="L543" s="6" t="n">
        <x:v>83</x:v>
      </x:c>
      <x:c r="M543" s="6" t="n">
        <x:v>7</x:v>
      </x:c>
      <x:c r="N543" s="6" t="n">
        <x:v>19</x:v>
      </x:c>
      <x:c r="O543" s="6" t="n">
        <x:v>19</x:v>
      </x:c>
      <x:c r="P543" s="6" t="n">
        <x:v>2</x:v>
      </x:c>
      <x:c r="Q543" s="6" t="n">
        <x:v>4</x:v>
      </x:c>
      <x:c r="R543" s="6" t="n">
        <x:v>1</x:v>
      </x:c>
      <x:c r="S543" s="6" t="n">
        <x:v>4</x:v>
      </x:c>
      <x:c r="T543" s="6" t="n">
        <x:v>7</x:v>
      </x:c>
      <x:c r="U543" s="6" t="n">
        <x:v>0</x:v>
      </x:c>
      <x:c r="V543" s="6" t="n">
        <x:v>0</x:v>
      </x:c>
      <x:c r="W543" s="6" t="n">
        <x:v>0</x:v>
      </x:c>
      <x:c r="X543" s="6" t="n">
        <x:v>0</x:v>
      </x:c>
      <x:c r="Y543" s="6" t="n">
        <x:v>0</x:v>
      </x:c>
      <x:c r="Z543" s="6" t="n">
        <x:v>0</x:v>
      </x:c>
      <x:c r="AA543" s="6" t="n">
        <x:v>3</x:v>
      </x:c>
      <x:c r="AB543" s="6" t="n">
        <x:v>11</x:v>
      </x:c>
      <x:c r="AC543" s="6" t="n">
        <x:v>0</x:v>
      </x:c>
    </x:row>
    <x:row r="544">
      <x:c r="A544" s="6" t="n">
        <x:v>5036</x:v>
      </x:c>
      <x:c r="B544" s="6" t="n">
        <x:v>1984</x:v>
      </x:c>
      <x:c r="C544" s="6" t="str">
        <x:v>PhD</x:v>
      </x:c>
      <x:c r="D544" s="6" t="str">
        <x:v>Single</x:v>
      </x:c>
      <x:c r="E544" s="6" t="n">
        <x:v>42710</x:v>
      </x:c>
      <x:c r="F544" s="6" t="n">
        <x:v>1</x:v>
      </x:c>
      <x:c r="G544" s="6" t="n">
        <x:v>0</x:v>
      </x:c>
      <x:c r="H544" s="9" t="str">
        <x:v>28-11-2012</x:v>
      </x:c>
      <x:c r="I544" s="6" t="n">
        <x:v>38</x:v>
      </x:c>
      <x:c r="J544" s="6" t="n">
        <x:v>252</x:v>
      </x:c>
      <x:c r="K544" s="6" t="n">
        <x:v>3</x:v>
      </x:c>
      <x:c r="L544" s="6" t="n">
        <x:v>42</x:v>
      </x:c>
      <x:c r="M544" s="6" t="n">
        <x:v>4</x:v>
      </x:c>
      <x:c r="N544" s="6" t="n">
        <x:v>3</x:v>
      </x:c>
      <x:c r="O544" s="6" t="n">
        <x:v>102</x:v>
      </x:c>
      <x:c r="P544" s="6" t="n">
        <x:v>2</x:v>
      </x:c>
      <x:c r="Q544" s="6" t="n">
        <x:v>4</x:v>
      </x:c>
      <x:c r="R544" s="6" t="n">
        <x:v>5</x:v>
      </x:c>
      <x:c r="S544" s="6" t="n">
        <x:v>3</x:v>
      </x:c>
      <x:c r="T544" s="6" t="n">
        <x:v>6</x:v>
      </x:c>
      <x:c r="U544" s="6" t="n">
        <x:v>0</x:v>
      </x:c>
      <x:c r="V544" s="6" t="n">
        <x:v>0</x:v>
      </x:c>
      <x:c r="W544" s="6" t="n">
        <x:v>0</x:v>
      </x:c>
      <x:c r="X544" s="6" t="n">
        <x:v>0</x:v>
      </x:c>
      <x:c r="Y544" s="6" t="n">
        <x:v>0</x:v>
      </x:c>
      <x:c r="Z544" s="6" t="n">
        <x:v>0</x:v>
      </x:c>
      <x:c r="AA544" s="6" t="n">
        <x:v>3</x:v>
      </x:c>
      <x:c r="AB544" s="6" t="n">
        <x:v>11</x:v>
      </x:c>
      <x:c r="AC544" s="6" t="n">
        <x:v>0</x:v>
      </x:c>
    </x:row>
    <x:row r="545">
      <x:c r="A545" s="6" t="n">
        <x:v>5547</x:v>
      </x:c>
      <x:c r="B545" s="6" t="n">
        <x:v>1982</x:v>
      </x:c>
      <x:c r="C545" s="6" t="str">
        <x:v>PhD</x:v>
      </x:c>
      <x:c r="D545" s="6" t="str">
        <x:v>Married</x:v>
      </x:c>
      <x:c r="E545" s="6" t="n">
        <x:v>84169</x:v>
      </x:c>
      <x:c r="F545" s="6" t="n">
        <x:v>0</x:v>
      </x:c>
      <x:c r="G545" s="6" t="n">
        <x:v>0</x:v>
      </x:c>
      <x:c r="H545" s="9" t="str">
        <x:v>07-08-2013</x:v>
      </x:c>
      <x:c r="I545" s="6" t="n">
        <x:v>9</x:v>
      </x:c>
      <x:c r="J545" s="6" t="n">
        <x:v>1478</x:v>
      </x:c>
      <x:c r="K545" s="6" t="n">
        <x:v>19</x:v>
      </x:c>
      <x:c r="L545" s="6" t="n">
        <x:v>403</x:v>
      </x:c>
      <x:c r="M545" s="6" t="n">
        <x:v>0</x:v>
      </x:c>
      <x:c r="N545" s="6" t="n">
        <x:v>19</x:v>
      </x:c>
      <x:c r="O545" s="6" t="n">
        <x:v>0</x:v>
      </x:c>
      <x:c r="P545" s="6" t="n">
        <x:v>1</x:v>
      </x:c>
      <x:c r="Q545" s="6" t="n">
        <x:v>7</x:v>
      </x:c>
      <x:c r="R545" s="6" t="n">
        <x:v>6</x:v>
      </x:c>
      <x:c r="S545" s="6" t="n">
        <x:v>6</x:v>
      </x:c>
      <x:c r="T545" s="6" t="n">
        <x:v>3</x:v>
      </x:c>
      <x:c r="U545" s="6" t="n">
        <x:v>0</x:v>
      </x:c>
      <x:c r="V545" s="6" t="n">
        <x:v>1</x:v>
      </x:c>
      <x:c r="W545" s="6" t="n">
        <x:v>1</x:v>
      </x:c>
      <x:c r="X545" s="6" t="n">
        <x:v>0</x:v>
      </x:c>
      <x:c r="Y545" s="6" t="n">
        <x:v>0</x:v>
      </x:c>
      <x:c r="Z545" s="6" t="n">
        <x:v>0</x:v>
      </x:c>
      <x:c r="AA545" s="6" t="n">
        <x:v>3</x:v>
      </x:c>
      <x:c r="AB545" s="6" t="n">
        <x:v>11</x:v>
      </x:c>
      <x:c r="AC545" s="6" t="n">
        <x:v>1</x:v>
      </x:c>
    </x:row>
    <x:row r="546">
      <x:c r="A546" s="6" t="n">
        <x:v>7822</x:v>
      </x:c>
      <x:c r="B546" s="6" t="n">
        <x:v>1976</x:v>
      </x:c>
      <x:c r="C546" s="6" t="str">
        <x:v>Graduation</x:v>
      </x:c>
      <x:c r="D546" s="6" t="str">
        <x:v>Together</x:v>
      </x:c>
      <x:c r="E546" s="6" t="n">
        <x:v>54058</x:v>
      </x:c>
      <x:c r="F546" s="6" t="n">
        <x:v>0</x:v>
      </x:c>
      <x:c r="G546" s="6" t="n">
        <x:v>1</x:v>
      </x:c>
      <x:c r="H546" s="9" t="str">
        <x:v>04-06-2013</x:v>
      </x:c>
      <x:c r="I546" s="6" t="n">
        <x:v>56</x:v>
      </x:c>
      <x:c r="J546" s="6" t="n">
        <x:v>198</x:v>
      </x:c>
      <x:c r="K546" s="6" t="n">
        <x:v>18</x:v>
      </x:c>
      <x:c r="L546" s="6" t="n">
        <x:v>252</x:v>
      </x:c>
      <x:c r="M546" s="6" t="n">
        <x:v>32</x:v>
      </x:c>
      <x:c r="N546" s="6" t="n">
        <x:v>108</x:v>
      </x:c>
      <x:c r="O546" s="6" t="n">
        <x:v>54</x:v>
      </x:c>
      <x:c r="P546" s="6" t="n">
        <x:v>2</x:v>
      </x:c>
      <x:c r="Q546" s="6" t="n">
        <x:v>4</x:v>
      </x:c>
      <x:c r="R546" s="6" t="n">
        <x:v>6</x:v>
      </x:c>
      <x:c r="S546" s="6" t="n">
        <x:v>8</x:v>
      </x:c>
      <x:c r="T546" s="6" t="n">
        <x:v>3</x:v>
      </x:c>
      <x:c r="U546" s="6" t="n">
        <x:v>0</x:v>
      </x:c>
      <x:c r="V546" s="6" t="n">
        <x:v>0</x:v>
      </x:c>
      <x:c r="W546" s="6" t="n">
        <x:v>0</x:v>
      </x:c>
      <x:c r="X546" s="6" t="n">
        <x:v>0</x:v>
      </x:c>
      <x:c r="Y546" s="6" t="n">
        <x:v>0</x:v>
      </x:c>
      <x:c r="Z546" s="6" t="n">
        <x:v>0</x:v>
      </x:c>
      <x:c r="AA546" s="6" t="n">
        <x:v>3</x:v>
      </x:c>
      <x:c r="AB546" s="6" t="n">
        <x:v>11</x:v>
      </x:c>
      <x:c r="AC546" s="6" t="n">
        <x:v>0</x:v>
      </x:c>
    </x:row>
    <x:row r="547">
      <x:c r="A547" s="6" t="n">
        <x:v>8541</x:v>
      </x:c>
      <x:c r="B547" s="6" t="n">
        <x:v>1990</x:v>
      </x:c>
      <x:c r="C547" s="6" t="str">
        <x:v>2n Cycle</x:v>
      </x:c>
      <x:c r="D547" s="6" t="str">
        <x:v>Married</x:v>
      </x:c>
      <x:c r="E547" s="6" t="n">
        <x:v>24683</x:v>
      </x:c>
      <x:c r="F547" s="6" t="n">
        <x:v>1</x:v>
      </x:c>
      <x:c r="G547" s="6" t="n">
        <x:v>0</x:v>
      </x:c>
      <x:c r="H547" s="9" t="str">
        <x:v>08-03-2014</x:v>
      </x:c>
      <x:c r="I547" s="6" t="n">
        <x:v>98</x:v>
      </x:c>
      <x:c r="J547" s="6" t="n">
        <x:v>8</x:v>
      </x:c>
      <x:c r="K547" s="6" t="n">
        <x:v>4</x:v>
      </x:c>
      <x:c r="L547" s="6" t="n">
        <x:v>10</x:v>
      </x:c>
      <x:c r="M547" s="6" t="n">
        <x:v>6</x:v>
      </x:c>
      <x:c r="N547" s="6" t="n">
        <x:v>7</x:v>
      </x:c>
      <x:c r="O547" s="6" t="n">
        <x:v>6</x:v>
      </x:c>
      <x:c r="P547" s="6" t="n">
        <x:v>2</x:v>
      </x:c>
      <x:c r="Q547" s="6" t="n">
        <x:v>2</x:v>
      </x:c>
      <x:c r="R547" s="6" t="n">
        <x:v>0</x:v>
      </x:c>
      <x:c r="S547" s="6" t="n">
        <x:v>4</x:v>
      </x:c>
      <x:c r="T547" s="6" t="n">
        <x:v>5</x:v>
      </x:c>
      <x:c r="U547" s="6" t="n">
        <x:v>0</x:v>
      </x:c>
      <x:c r="V547" s="6" t="n">
        <x:v>0</x:v>
      </x:c>
      <x:c r="W547" s="6" t="n">
        <x:v>0</x:v>
      </x:c>
      <x:c r="X547" s="6" t="n">
        <x:v>0</x:v>
      </x:c>
      <x:c r="Y547" s="6" t="n">
        <x:v>0</x:v>
      </x:c>
      <x:c r="Z547" s="6" t="n">
        <x:v>0</x:v>
      </x:c>
      <x:c r="AA547" s="6" t="n">
        <x:v>3</x:v>
      </x:c>
      <x:c r="AB547" s="6" t="n">
        <x:v>11</x:v>
      </x:c>
      <x:c r="AC547" s="6" t="n">
        <x:v>0</x:v>
      </x:c>
    </x:row>
    <x:row r="548">
      <x:c r="A548" s="6" t="n">
        <x:v>10955</x:v>
      </x:c>
      <x:c r="B548" s="6" t="n">
        <x:v>1964</x:v>
      </x:c>
      <x:c r="C548" s="6" t="str">
        <x:v>Graduation</x:v>
      </x:c>
      <x:c r="D548" s="6" t="str">
        <x:v>Widow</x:v>
      </x:c>
      <x:c r="E548" s="6" t="n">
        <x:v>85620</x:v>
      </x:c>
      <x:c r="F548" s="6" t="n">
        <x:v>0</x:v>
      </x:c>
      <x:c r="G548" s="6" t="n">
        <x:v>0</x:v>
      </x:c>
      <x:c r="H548" s="9" t="str">
        <x:v>07-01-2014</x:v>
      </x:c>
      <x:c r="I548" s="6" t="n">
        <x:v>68</x:v>
      </x:c>
      <x:c r="J548" s="6" t="n">
        <x:v>416</x:v>
      </x:c>
      <x:c r="K548" s="6" t="n">
        <x:v>46</x:v>
      </x:c>
      <x:c r="L548" s="6" t="n">
        <x:v>925</x:v>
      </x:c>
      <x:c r="M548" s="6" t="n">
        <x:v>60</x:v>
      </x:c>
      <x:c r="N548" s="6" t="n">
        <x:v>107</x:v>
      </x:c>
      <x:c r="O548" s="6" t="n">
        <x:v>46</x:v>
      </x:c>
      <x:c r="P548" s="6" t="n">
        <x:v>1</x:v>
      </x:c>
      <x:c r="Q548" s="6" t="n">
        <x:v>3</x:v>
      </x:c>
      <x:c r="R548" s="6" t="n">
        <x:v>6</x:v>
      </x:c>
      <x:c r="S548" s="6" t="n">
        <x:v>4</x:v>
      </x:c>
      <x:c r="T548" s="6" t="n">
        <x:v>1</x:v>
      </x:c>
      <x:c r="U548" s="6" t="n">
        <x:v>0</x:v>
      </x:c>
      <x:c r="V548" s="6" t="n">
        <x:v>0</x:v>
      </x:c>
      <x:c r="W548" s="6" t="n">
        <x:v>0</x:v>
      </x:c>
      <x:c r="X548" s="6" t="n">
        <x:v>0</x:v>
      </x:c>
      <x:c r="Y548" s="6" t="n">
        <x:v>0</x:v>
      </x:c>
      <x:c r="Z548" s="6" t="n">
        <x:v>0</x:v>
      </x:c>
      <x:c r="AA548" s="6" t="n">
        <x:v>3</x:v>
      </x:c>
      <x:c r="AB548" s="6" t="n">
        <x:v>11</x:v>
      </x:c>
      <x:c r="AC548" s="6" t="n">
        <x:v>1</x:v>
      </x:c>
    </x:row>
    <x:row r="549">
      <x:c r="A549" s="6" t="n">
        <x:v>4368</x:v>
      </x:c>
      <x:c r="B549" s="6" t="n">
        <x:v>1980</x:v>
      </x:c>
      <x:c r="C549" s="6" t="str">
        <x:v>Graduation</x:v>
      </x:c>
      <x:c r="D549" s="6" t="str">
        <x:v>Married</x:v>
      </x:c>
      <x:c r="E549" s="6" t="n">
        <x:v>47850</x:v>
      </x:c>
      <x:c r="F549" s="6" t="n">
        <x:v>1</x:v>
      </x:c>
      <x:c r="G549" s="6" t="n">
        <x:v>0</x:v>
      </x:c>
      <x:c r="H549" s="9" t="str">
        <x:v>03-12-2013</x:v>
      </x:c>
      <x:c r="I549" s="6" t="n">
        <x:v>72</x:v>
      </x:c>
      <x:c r="J549" s="6" t="n">
        <x:v>42</x:v>
      </x:c>
      <x:c r="K549" s="6" t="n">
        <x:v>7</x:v>
      </x:c>
      <x:c r="L549" s="6" t="n">
        <x:v>43</x:v>
      </x:c>
      <x:c r="M549" s="6" t="n">
        <x:v>20</x:v>
      </x:c>
      <x:c r="N549" s="6" t="n">
        <x:v>12</x:v>
      </x:c>
      <x:c r="O549" s="6" t="n">
        <x:v>10</x:v>
      </x:c>
      <x:c r="P549" s="6" t="n">
        <x:v>1</x:v>
      </x:c>
      <x:c r="Q549" s="6" t="n">
        <x:v>3</x:v>
      </x:c>
      <x:c r="R549" s="6" t="n">
        <x:v>0</x:v>
      </x:c>
      <x:c r="S549" s="6" t="n">
        <x:v>4</x:v>
      </x:c>
      <x:c r="T549" s="6" t="n">
        <x:v>6</x:v>
      </x:c>
      <x:c r="U549" s="6" t="n">
        <x:v>0</x:v>
      </x:c>
      <x:c r="V549" s="6" t="n">
        <x:v>0</x:v>
      </x:c>
      <x:c r="W549" s="6" t="n">
        <x:v>0</x:v>
      </x:c>
      <x:c r="X549" s="6" t="n">
        <x:v>0</x:v>
      </x:c>
      <x:c r="Y549" s="6" t="n">
        <x:v>0</x:v>
      </x:c>
      <x:c r="Z549" s="6" t="n">
        <x:v>0</x:v>
      </x:c>
      <x:c r="AA549" s="6" t="n">
        <x:v>3</x:v>
      </x:c>
      <x:c r="AB549" s="6" t="n">
        <x:v>11</x:v>
      </x:c>
      <x:c r="AC549" s="6" t="n">
        <x:v>0</x:v>
      </x:c>
    </x:row>
    <x:row r="550">
      <x:c r="A550" s="6" t="n">
        <x:v>9671</x:v>
      </x:c>
      <x:c r="B550" s="6" t="n">
        <x:v>1968</x:v>
      </x:c>
      <x:c r="C550" s="6" t="str">
        <x:v>Graduation</x:v>
      </x:c>
      <x:c r="D550" s="6" t="str">
        <x:v>Married</x:v>
      </x:c>
      <x:c r="E550" s="6" t="n">
        <x:v>19514</x:v>
      </x:c>
      <x:c r="F550" s="6" t="n">
        <x:v>1</x:v>
      </x:c>
      <x:c r="G550" s="6" t="n">
        <x:v>1</x:v>
      </x:c>
      <x:c r="H550" s="9" t="str">
        <x:v>26-01-2014</x:v>
      </x:c>
      <x:c r="I550" s="6" t="n">
        <x:v>47</x:v>
      </x:c>
      <x:c r="J550" s="6" t="n">
        <x:v>14</x:v>
      </x:c>
      <x:c r="K550" s="6" t="n">
        <x:v>3</x:v>
      </x:c>
      <x:c r="L550" s="6" t="n">
        <x:v>21</x:v>
      </x:c>
      <x:c r="M550" s="6" t="n">
        <x:v>2</x:v>
      </x:c>
      <x:c r="N550" s="6" t="n">
        <x:v>1</x:v>
      </x:c>
      <x:c r="O550" s="6" t="n">
        <x:v>28</x:v>
      </x:c>
      <x:c r="P550" s="6" t="n">
        <x:v>4</x:v>
      </x:c>
      <x:c r="Q550" s="6" t="n">
        <x:v>3</x:v>
      </x:c>
      <x:c r="R550" s="6" t="n">
        <x:v>1</x:v>
      </x:c>
      <x:c r="S550" s="6" t="n">
        <x:v>2</x:v>
      </x:c>
      <x:c r="T550" s="6" t="n">
        <x:v>8</x:v>
      </x:c>
      <x:c r="U550" s="6" t="n">
        <x:v>1</x:v>
      </x:c>
      <x:c r="V550" s="6" t="n">
        <x:v>0</x:v>
      </x:c>
      <x:c r="W550" s="6" t="n">
        <x:v>0</x:v>
      </x:c>
      <x:c r="X550" s="6" t="n">
        <x:v>0</x:v>
      </x:c>
      <x:c r="Y550" s="6" t="n">
        <x:v>0</x:v>
      </x:c>
      <x:c r="Z550" s="6" t="n">
        <x:v>0</x:v>
      </x:c>
      <x:c r="AA550" s="6" t="n">
        <x:v>3</x:v>
      </x:c>
      <x:c r="AB550" s="6" t="n">
        <x:v>11</x:v>
      </x:c>
      <x:c r="AC550" s="6" t="n">
        <x:v>1</x:v>
      </x:c>
    </x:row>
    <x:row r="551">
      <x:c r="A551" s="6" t="n">
        <x:v>2256</x:v>
      </x:c>
      <x:c r="B551" s="6" t="n">
        <x:v>1973</x:v>
      </x:c>
      <x:c r="C551" s="6" t="str">
        <x:v>Master</x:v>
      </x:c>
      <x:c r="D551" s="6" t="str">
        <x:v>Married</x:v>
      </x:c>
      <x:c r="E551" s="6" t="n">
        <x:v>27159</x:v>
      </x:c>
      <x:c r="F551" s="6" t="n">
        <x:v>1</x:v>
      </x:c>
      <x:c r="G551" s="6" t="n">
        <x:v>1</x:v>
      </x:c>
      <x:c r="H551" s="9" t="str">
        <x:v>29-03-2014</x:v>
      </x:c>
      <x:c r="I551" s="6" t="n">
        <x:v>33</x:v>
      </x:c>
      <x:c r="J551" s="6" t="n">
        <x:v>17</x:v>
      </x:c>
      <x:c r="K551" s="6" t="n">
        <x:v>0</x:v>
      </x:c>
      <x:c r="L551" s="6" t="n">
        <x:v>3</x:v>
      </x:c>
      <x:c r="M551" s="6" t="n">
        <x:v>0</x:v>
      </x:c>
      <x:c r="N551" s="6" t="n">
        <x:v>0</x:v>
      </x:c>
      <x:c r="O551" s="6" t="n">
        <x:v>1</x:v>
      </x:c>
      <x:c r="P551" s="6" t="n">
        <x:v>2</x:v>
      </x:c>
      <x:c r="Q551" s="6" t="n">
        <x:v>1</x:v>
      </x:c>
      <x:c r="R551" s="6" t="n">
        <x:v>0</x:v>
      </x:c>
      <x:c r="S551" s="6" t="n">
        <x:v>3</x:v>
      </x:c>
      <x:c r="T551" s="6" t="n">
        <x:v>6</x:v>
      </x:c>
      <x:c r="U551" s="6" t="n">
        <x:v>0</x:v>
      </x:c>
      <x:c r="V551" s="6" t="n">
        <x:v>0</x:v>
      </x:c>
      <x:c r="W551" s="6" t="n">
        <x:v>0</x:v>
      </x:c>
      <x:c r="X551" s="6" t="n">
        <x:v>0</x:v>
      </x:c>
      <x:c r="Y551" s="6" t="n">
        <x:v>0</x:v>
      </x:c>
      <x:c r="Z551" s="6" t="n">
        <x:v>0</x:v>
      </x:c>
      <x:c r="AA551" s="6" t="n">
        <x:v>3</x:v>
      </x:c>
      <x:c r="AB551" s="6" t="n">
        <x:v>11</x:v>
      </x:c>
      <x:c r="AC551" s="6" t="n">
        <x:v>0</x:v>
      </x:c>
    </x:row>
    <x:row r="552">
      <x:c r="A552" s="6" t="n">
        <x:v>4279</x:v>
      </x:c>
      <x:c r="B552" s="6" t="n">
        <x:v>1963</x:v>
      </x:c>
      <x:c r="C552" s="6" t="str">
        <x:v>2n Cycle</x:v>
      </x:c>
      <x:c r="D552" s="6" t="str">
        <x:v>Single</x:v>
      </x:c>
      <x:c r="E552" s="6" t="n">
        <x:v>39548</x:v>
      </x:c>
      <x:c r="F552" s="6" t="n">
        <x:v>1</x:v>
      </x:c>
      <x:c r="G552" s="6" t="n">
        <x:v>1</x:v>
      </x:c>
      <x:c r="H552" s="9" t="str">
        <x:v>31-03-2014</x:v>
      </x:c>
      <x:c r="I552" s="6" t="n">
        <x:v>87</x:v>
      </x:c>
      <x:c r="J552" s="6" t="n">
        <x:v>15</x:v>
      </x:c>
      <x:c r="K552" s="6" t="n">
        <x:v>4</x:v>
      </x:c>
      <x:c r="L552" s="6" t="n">
        <x:v>10</x:v>
      </x:c>
      <x:c r="M552" s="6" t="n">
        <x:v>3</x:v>
      </x:c>
      <x:c r="N552" s="6" t="n">
        <x:v>4</x:v>
      </x:c>
      <x:c r="O552" s="6" t="n">
        <x:v>18</x:v>
      </x:c>
      <x:c r="P552" s="6" t="n">
        <x:v>2</x:v>
      </x:c>
      <x:c r="Q552" s="6" t="n">
        <x:v>1</x:v>
      </x:c>
      <x:c r="R552" s="6" t="n">
        <x:v>1</x:v>
      </x:c>
      <x:c r="S552" s="6" t="n">
        <x:v>3</x:v>
      </x:c>
      <x:c r="T552" s="6" t="n">
        <x:v>3</x:v>
      </x:c>
      <x:c r="U552" s="6" t="n">
        <x:v>0</x:v>
      </x:c>
      <x:c r="V552" s="6" t="n">
        <x:v>0</x:v>
      </x:c>
      <x:c r="W552" s="6" t="n">
        <x:v>0</x:v>
      </x:c>
      <x:c r="X552" s="6" t="n">
        <x:v>0</x:v>
      </x:c>
      <x:c r="Y552" s="6" t="n">
        <x:v>0</x:v>
      </x:c>
      <x:c r="Z552" s="6" t="n">
        <x:v>0</x:v>
      </x:c>
      <x:c r="AA552" s="6" t="n">
        <x:v>3</x:v>
      </x:c>
      <x:c r="AB552" s="6" t="n">
        <x:v>11</x:v>
      </x:c>
      <x:c r="AC552" s="6" t="n">
        <x:v>0</x:v>
      </x:c>
    </x:row>
    <x:row r="553">
      <x:c r="A553" s="6" t="n">
        <x:v>5371</x:v>
      </x:c>
      <x:c r="B553" s="6" t="n">
        <x:v>1989</x:v>
      </x:c>
      <x:c r="C553" s="6" t="str">
        <x:v>Graduation</x:v>
      </x:c>
      <x:c r="D553" s="6" t="str">
        <x:v>Single</x:v>
      </x:c>
      <x:c r="E553" s="6" t="n">
        <x:v>21474</x:v>
      </x:c>
      <x:c r="F553" s="6" t="n">
        <x:v>1</x:v>
      </x:c>
      <x:c r="G553" s="6" t="n">
        <x:v>0</x:v>
      </x:c>
      <x:c r="H553" s="9" t="str">
        <x:v>08-04-2014</x:v>
      </x:c>
      <x:c r="I553" s="6" t="n">
        <x:v>0</x:v>
      </x:c>
      <x:c r="J553" s="6" t="n">
        <x:v>6</x:v>
      </x:c>
      <x:c r="K553" s="6" t="n">
        <x:v>16</x:v>
      </x:c>
      <x:c r="L553" s="6" t="n">
        <x:v>24</x:v>
      </x:c>
      <x:c r="M553" s="6" t="n">
        <x:v>11</x:v>
      </x:c>
      <x:c r="N553" s="6" t="n">
        <x:v>0</x:v>
      </x:c>
      <x:c r="O553" s="6" t="n">
        <x:v>34</x:v>
      </x:c>
      <x:c r="P553" s="6" t="n">
        <x:v>2</x:v>
      </x:c>
      <x:c r="Q553" s="6" t="n">
        <x:v>3</x:v>
      </x:c>
      <x:c r="R553" s="6" t="n">
        <x:v>1</x:v>
      </x:c>
      <x:c r="S553" s="6" t="n">
        <x:v>2</x:v>
      </x:c>
      <x:c r="T553" s="6" t="n">
        <x:v>7</x:v>
      </x:c>
      <x:c r="U553" s="6" t="n">
        <x:v>1</x:v>
      </x:c>
      <x:c r="V553" s="6" t="n">
        <x:v>0</x:v>
      </x:c>
      <x:c r="W553" s="6" t="n">
        <x:v>0</x:v>
      </x:c>
      <x:c r="X553" s="6" t="n">
        <x:v>0</x:v>
      </x:c>
      <x:c r="Y553" s="6" t="n">
        <x:v>0</x:v>
      </x:c>
      <x:c r="Z553" s="6" t="n">
        <x:v>0</x:v>
      </x:c>
      <x:c r="AA553" s="6" t="n">
        <x:v>3</x:v>
      </x:c>
      <x:c r="AB553" s="6" t="n">
        <x:v>11</x:v>
      </x:c>
      <x:c r="AC553" s="6" t="n">
        <x:v>1</x:v>
      </x:c>
    </x:row>
    <x:row r="554">
      <x:c r="A554" s="6" t="n">
        <x:v>9240</x:v>
      </x:c>
      <x:c r="B554" s="6" t="n">
        <x:v>1971</x:v>
      </x:c>
      <x:c r="C554" s="6" t="str">
        <x:v>PhD</x:v>
      </x:c>
      <x:c r="D554" s="6" t="str">
        <x:v>Single</x:v>
      </x:c>
      <x:c r="E554" s="6" t="n">
        <x:v>60504</x:v>
      </x:c>
      <x:c r="F554" s="6" t="n">
        <x:v>0</x:v>
      </x:c>
      <x:c r="G554" s="6" t="n">
        <x:v>1</x:v>
      </x:c>
      <x:c r="H554" s="9" t="str">
        <x:v>07-02-2014</x:v>
      </x:c>
      <x:c r="I554" s="6" t="n">
        <x:v>73</x:v>
      </x:c>
      <x:c r="J554" s="6" t="n">
        <x:v>458</x:v>
      </x:c>
      <x:c r="K554" s="6" t="n">
        <x:v>0</x:v>
      </x:c>
      <x:c r="L554" s="6" t="n">
        <x:v>24</x:v>
      </x:c>
      <x:c r="M554" s="6" t="n">
        <x:v>6</x:v>
      </x:c>
      <x:c r="N554" s="6" t="n">
        <x:v>4</x:v>
      </x:c>
      <x:c r="O554" s="6" t="n">
        <x:v>34</x:v>
      </x:c>
      <x:c r="P554" s="6" t="n">
        <x:v>2</x:v>
      </x:c>
      <x:c r="Q554" s="6" t="n">
        <x:v>6</x:v>
      </x:c>
      <x:c r="R554" s="6" t="n">
        <x:v>2</x:v>
      </x:c>
      <x:c r="S554" s="6" t="n">
        <x:v>8</x:v>
      </x:c>
      <x:c r="T554" s="6" t="n">
        <x:v>6</x:v>
      </x:c>
      <x:c r="U554" s="6" t="n">
        <x:v>0</x:v>
      </x:c>
      <x:c r="V554" s="6" t="n">
        <x:v>0</x:v>
      </x:c>
      <x:c r="W554" s="6" t="n">
        <x:v>0</x:v>
      </x:c>
      <x:c r="X554" s="6" t="n">
        <x:v>0</x:v>
      </x:c>
      <x:c r="Y554" s="6" t="n">
        <x:v>0</x:v>
      </x:c>
      <x:c r="Z554" s="6" t="n">
        <x:v>0</x:v>
      </x:c>
      <x:c r="AA554" s="6" t="n">
        <x:v>3</x:v>
      </x:c>
      <x:c r="AB554" s="6" t="n">
        <x:v>11</x:v>
      </x:c>
      <x:c r="AC554" s="6" t="n">
        <x:v>0</x:v>
      </x:c>
    </x:row>
    <x:row r="555">
      <x:c r="A555" s="6" t="n">
        <x:v>9460</x:v>
      </x:c>
      <x:c r="B555" s="6" t="n">
        <x:v>1963</x:v>
      </x:c>
      <x:c r="C555" s="6" t="str">
        <x:v>Graduation</x:v>
      </x:c>
      <x:c r="D555" s="6" t="str">
        <x:v>Married</x:v>
      </x:c>
      <x:c r="E555" s="6" t="n">
        <x:v>22419</x:v>
      </x:c>
      <x:c r="F555" s="6" t="n">
        <x:v>0</x:v>
      </x:c>
      <x:c r="G555" s="6" t="n">
        <x:v>0</x:v>
      </x:c>
      <x:c r="H555" s="9" t="str">
        <x:v>18-04-2013</x:v>
      </x:c>
      <x:c r="I555" s="6" t="n">
        <x:v>74</x:v>
      </x:c>
      <x:c r="J555" s="6" t="n">
        <x:v>30</x:v>
      </x:c>
      <x:c r="K555" s="6" t="n">
        <x:v>3</x:v>
      </x:c>
      <x:c r="L555" s="6" t="n">
        <x:v>47</x:v>
      </x:c>
      <x:c r="M555" s="6" t="n">
        <x:v>19</x:v>
      </x:c>
      <x:c r="N555" s="6" t="n">
        <x:v>21</x:v>
      </x:c>
      <x:c r="O555" s="6" t="n">
        <x:v>42</x:v>
      </x:c>
      <x:c r="P555" s="6" t="n">
        <x:v>1</x:v>
      </x:c>
      <x:c r="Q555" s="6" t="n">
        <x:v>3</x:v>
      </x:c>
      <x:c r="R555" s="6" t="n">
        <x:v>2</x:v>
      </x:c>
      <x:c r="S555" s="6" t="n">
        <x:v>2</x:v>
      </x:c>
      <x:c r="T555" s="6" t="n">
        <x:v>8</x:v>
      </x:c>
      <x:c r="U555" s="6" t="n">
        <x:v>0</x:v>
      </x:c>
      <x:c r="V555" s="6" t="n">
        <x:v>0</x:v>
      </x:c>
      <x:c r="W555" s="6" t="n">
        <x:v>0</x:v>
      </x:c>
      <x:c r="X555" s="6" t="n">
        <x:v>0</x:v>
      </x:c>
      <x:c r="Y555" s="6" t="n">
        <x:v>0</x:v>
      </x:c>
      <x:c r="Z555" s="6" t="n">
        <x:v>0</x:v>
      </x:c>
      <x:c r="AA555" s="6" t="n">
        <x:v>3</x:v>
      </x:c>
      <x:c r="AB555" s="6" t="n">
        <x:v>11</x:v>
      </x:c>
      <x:c r="AC555" s="6" t="n">
        <x:v>0</x:v>
      </x:c>
    </x:row>
    <x:row r="556">
      <x:c r="A556" s="6" t="n">
        <x:v>9504</x:v>
      </x:c>
      <x:c r="B556" s="6" t="n">
        <x:v>1949</x:v>
      </x:c>
      <x:c r="C556" s="6" t="str">
        <x:v>Master</x:v>
      </x:c>
      <x:c r="D556" s="6" t="str">
        <x:v>Married</x:v>
      </x:c>
      <x:c r="E556" s="6" t="n">
        <x:v>81698</x:v>
      </x:c>
      <x:c r="F556" s="6" t="n">
        <x:v>0</x:v>
      </x:c>
      <x:c r="G556" s="6" t="n">
        <x:v>0</x:v>
      </x:c>
      <x:c r="H556" s="9" t="str">
        <x:v>06-11-2013</x:v>
      </x:c>
      <x:c r="I556" s="6" t="n">
        <x:v>4</x:v>
      </x:c>
      <x:c r="J556" s="6" t="n">
        <x:v>179</x:v>
      </x:c>
      <x:c r="K556" s="6" t="n">
        <x:v>28</x:v>
      </x:c>
      <x:c r="L556" s="6" t="n">
        <x:v>520</x:v>
      </x:c>
      <x:c r="M556" s="6" t="n">
        <x:v>111</x:v>
      </x:c>
      <x:c r="N556" s="6" t="n">
        <x:v>123</x:v>
      </x:c>
      <x:c r="O556" s="6" t="n">
        <x:v>47</x:v>
      </x:c>
      <x:c r="P556" s="6" t="n">
        <x:v>1</x:v>
      </x:c>
      <x:c r="Q556" s="6" t="n">
        <x:v>3</x:v>
      </x:c>
      <x:c r="R556" s="6" t="n">
        <x:v>8</x:v>
      </x:c>
      <x:c r="S556" s="6" t="n">
        <x:v>13</x:v>
      </x:c>
      <x:c r="T556" s="6" t="n">
        <x:v>1</x:v>
      </x:c>
      <x:c r="U556" s="6" t="n">
        <x:v>0</x:v>
      </x:c>
      <x:c r="V556" s="6" t="n">
        <x:v>0</x:v>
      </x:c>
      <x:c r="W556" s="6" t="n">
        <x:v>0</x:v>
      </x:c>
      <x:c r="X556" s="6" t="n">
        <x:v>0</x:v>
      </x:c>
      <x:c r="Y556" s="6" t="n">
        <x:v>0</x:v>
      </x:c>
      <x:c r="Z556" s="6" t="n">
        <x:v>0</x:v>
      </x:c>
      <x:c r="AA556" s="6" t="n">
        <x:v>3</x:v>
      </x:c>
      <x:c r="AB556" s="6" t="n">
        <x:v>11</x:v>
      </x:c>
      <x:c r="AC556" s="6" t="n">
        <x:v>1</x:v>
      </x:c>
    </x:row>
    <x:row r="557">
      <x:c r="A557" s="6" t="n">
        <x:v>8692</x:v>
      </x:c>
      <x:c r="B557" s="6" t="n">
        <x:v>1952</x:v>
      </x:c>
      <x:c r="C557" s="6" t="str">
        <x:v>Graduation</x:v>
      </x:c>
      <x:c r="D557" s="6" t="str">
        <x:v>Together</x:v>
      </x:c>
      <x:c r="E557" s="6" t="n">
        <x:v>43462</x:v>
      </x:c>
      <x:c r="F557" s="6" t="n">
        <x:v>1</x:v>
      </x:c>
      <x:c r="G557" s="6" t="n">
        <x:v>1</x:v>
      </x:c>
      <x:c r="H557" s="9" t="str">
        <x:v>12-09-2012</x:v>
      </x:c>
      <x:c r="I557" s="6" t="n">
        <x:v>50</x:v>
      </x:c>
      <x:c r="J557" s="6" t="n">
        <x:v>90</x:v>
      </x:c>
      <x:c r="K557" s="6" t="n">
        <x:v>17</x:v>
      </x:c>
      <x:c r="L557" s="6" t="n">
        <x:v>97</x:v>
      </x:c>
      <x:c r="M557" s="6" t="n">
        <x:v>15</x:v>
      </x:c>
      <x:c r="N557" s="6" t="n">
        <x:v>6</x:v>
      </x:c>
      <x:c r="O557" s="6" t="n">
        <x:v>15</x:v>
      </x:c>
      <x:c r="P557" s="6" t="n">
        <x:v>6</x:v>
      </x:c>
      <x:c r="Q557" s="6" t="n">
        <x:v>4</x:v>
      </x:c>
      <x:c r="R557" s="6" t="n">
        <x:v>1</x:v>
      </x:c>
      <x:c r="S557" s="6" t="n">
        <x:v>5</x:v>
      </x:c>
      <x:c r="T557" s="6" t="n">
        <x:v>8</x:v>
      </x:c>
      <x:c r="U557" s="6" t="n">
        <x:v>0</x:v>
      </x:c>
      <x:c r="V557" s="6" t="n">
        <x:v>0</x:v>
      </x:c>
      <x:c r="W557" s="6" t="n">
        <x:v>0</x:v>
      </x:c>
      <x:c r="X557" s="6" t="n">
        <x:v>0</x:v>
      </x:c>
      <x:c r="Y557" s="6" t="n">
        <x:v>0</x:v>
      </x:c>
      <x:c r="Z557" s="6" t="n">
        <x:v>0</x:v>
      </x:c>
      <x:c r="AA557" s="6" t="n">
        <x:v>3</x:v>
      </x:c>
      <x:c r="AB557" s="6" t="n">
        <x:v>11</x:v>
      </x:c>
      <x:c r="AC557" s="6" t="n">
        <x:v>0</x:v>
      </x:c>
    </x:row>
    <x:row r="558">
      <x:c r="A558" s="6" t="n">
        <x:v>448</x:v>
      </x:c>
      <x:c r="B558" s="6" t="n">
        <x:v>1978</x:v>
      </x:c>
      <x:c r="C558" s="6" t="str">
        <x:v>PhD</x:v>
      </x:c>
      <x:c r="D558" s="6" t="str">
        <x:v>Single</x:v>
      </x:c>
      <x:c r="E558" s="6" t="n">
        <x:v>54880</x:v>
      </x:c>
      <x:c r="F558" s="6" t="n">
        <x:v>1</x:v>
      </x:c>
      <x:c r="G558" s="6" t="n">
        <x:v>0</x:v>
      </x:c>
      <x:c r="H558" s="9" t="str">
        <x:v>01-03-2013</x:v>
      </x:c>
      <x:c r="I558" s="6" t="n">
        <x:v>57</x:v>
      </x:c>
      <x:c r="J558" s="6" t="n">
        <x:v>308</x:v>
      </x:c>
      <x:c r="K558" s="6" t="n">
        <x:v>85</x:v>
      </x:c>
      <x:c r="L558" s="6" t="n">
        <x:v>137</x:v>
      </x:c>
      <x:c r="M558" s="6" t="n">
        <x:v>102</x:v>
      </x:c>
      <x:c r="N558" s="6" t="n">
        <x:v>45</x:v>
      </x:c>
      <x:c r="O558" s="6" t="n">
        <x:v>118</x:v>
      </x:c>
      <x:c r="P558" s="6" t="n">
        <x:v>2</x:v>
      </x:c>
      <x:c r="Q558" s="6" t="n">
        <x:v>6</x:v>
      </x:c>
      <x:c r="R558" s="6" t="n">
        <x:v>2</x:v>
      </x:c>
      <x:c r="S558" s="6" t="n">
        <x:v>11</x:v>
      </x:c>
      <x:c r="T558" s="6" t="n">
        <x:v>5</x:v>
      </x:c>
      <x:c r="U558" s="6" t="n">
        <x:v>0</x:v>
      </x:c>
      <x:c r="V558" s="6" t="n">
        <x:v>0</x:v>
      </x:c>
      <x:c r="W558" s="6" t="n">
        <x:v>0</x:v>
      </x:c>
      <x:c r="X558" s="6" t="n">
        <x:v>0</x:v>
      </x:c>
      <x:c r="Y558" s="6" t="n">
        <x:v>0</x:v>
      </x:c>
      <x:c r="Z558" s="6" t="n">
        <x:v>0</x:v>
      </x:c>
      <x:c r="AA558" s="6" t="n">
        <x:v>3</x:v>
      </x:c>
      <x:c r="AB558" s="6" t="n">
        <x:v>11</x:v>
      </x:c>
      <x:c r="AC558" s="6" t="n">
        <x:v>0</x:v>
      </x:c>
    </x:row>
    <x:row r="559">
      <x:c r="A559" s="6" t="n">
        <x:v>8314</x:v>
      </x:c>
      <x:c r="B559" s="6" t="n">
        <x:v>1982</x:v>
      </x:c>
      <x:c r="C559" s="6" t="str">
        <x:v>Graduation</x:v>
      </x:c>
      <x:c r="D559" s="6" t="str">
        <x:v>Married</x:v>
      </x:c>
      <x:c r="E559" s="6" t="n">
        <x:v>79908</x:v>
      </x:c>
      <x:c r="F559" s="6" t="n">
        <x:v>0</x:v>
      </x:c>
      <x:c r="G559" s="6" t="n">
        <x:v>0</x:v>
      </x:c>
      <x:c r="H559" s="9" t="str">
        <x:v>05-04-2013</x:v>
      </x:c>
      <x:c r="I559" s="6" t="n">
        <x:v>30</x:v>
      </x:c>
      <x:c r="J559" s="6" t="n">
        <x:v>557</x:v>
      </x:c>
      <x:c r="K559" s="6" t="n">
        <x:v>129</x:v>
      </x:c>
      <x:c r="L559" s="6" t="n">
        <x:v>761</x:v>
      </x:c>
      <x:c r="M559" s="6" t="n">
        <x:v>29</x:v>
      </x:c>
      <x:c r="N559" s="6" t="n">
        <x:v>185</x:v>
      </x:c>
      <x:c r="O559" s="6" t="n">
        <x:v>111</x:v>
      </x:c>
      <x:c r="P559" s="6" t="n">
        <x:v>1</x:v>
      </x:c>
      <x:c r="Q559" s="6" t="n">
        <x:v>5</x:v>
      </x:c>
      <x:c r="R559" s="6" t="n">
        <x:v>6</x:v>
      </x:c>
      <x:c r="S559" s="6" t="n">
        <x:v>7</x:v>
      </x:c>
      <x:c r="T559" s="6" t="n">
        <x:v>2</x:v>
      </x:c>
      <x:c r="U559" s="6" t="n">
        <x:v>0</x:v>
      </x:c>
      <x:c r="V559" s="6" t="n">
        <x:v>0</x:v>
      </x:c>
      <x:c r="W559" s="6" t="n">
        <x:v>1</x:v>
      </x:c>
      <x:c r="X559" s="6" t="n">
        <x:v>0</x:v>
      </x:c>
      <x:c r="Y559" s="6" t="n">
        <x:v>0</x:v>
      </x:c>
      <x:c r="Z559" s="6" t="n">
        <x:v>0</x:v>
      </x:c>
      <x:c r="AA559" s="6" t="n">
        <x:v>3</x:v>
      </x:c>
      <x:c r="AB559" s="6" t="n">
        <x:v>11</x:v>
      </x:c>
      <x:c r="AC559" s="6" t="n">
        <x:v>0</x:v>
      </x:c>
    </x:row>
    <x:row r="560">
      <x:c r="A560" s="6" t="n">
        <x:v>8420</x:v>
      </x:c>
      <x:c r="B560" s="6" t="n">
        <x:v>1970</x:v>
      </x:c>
      <x:c r="C560" s="6" t="str">
        <x:v>2n Cycle</x:v>
      </x:c>
      <x:c r="D560" s="6" t="str">
        <x:v>Married</x:v>
      </x:c>
      <x:c r="E560" s="6" t="n">
        <x:v>15315</x:v>
      </x:c>
      <x:c r="F560" s="6" t="n">
        <x:v>0</x:v>
      </x:c>
      <x:c r="G560" s="6" t="n">
        <x:v>0</x:v>
      </x:c>
      <x:c r="H560" s="9" t="str">
        <x:v>03-08-2013</x:v>
      </x:c>
      <x:c r="I560" s="6" t="n">
        <x:v>27</x:v>
      </x:c>
      <x:c r="J560" s="6" t="n">
        <x:v>7</x:v>
      </x:c>
      <x:c r="K560" s="6" t="n">
        <x:v>4</x:v>
      </x:c>
      <x:c r="L560" s="6" t="n">
        <x:v>13</x:v>
      </x:c>
      <x:c r="M560" s="6" t="n">
        <x:v>15</x:v>
      </x:c>
      <x:c r="N560" s="6" t="n">
        <x:v>8</x:v>
      </x:c>
      <x:c r="O560" s="6" t="n">
        <x:v>17</x:v>
      </x:c>
      <x:c r="P560" s="6" t="n">
        <x:v>2</x:v>
      </x:c>
      <x:c r="Q560" s="6" t="n">
        <x:v>2</x:v>
      </x:c>
      <x:c r="R560" s="6" t="n">
        <x:v>0</x:v>
      </x:c>
      <x:c r="S560" s="6" t="n">
        <x:v>4</x:v>
      </x:c>
      <x:c r="T560" s="6" t="n">
        <x:v>5</x:v>
      </x:c>
      <x:c r="U560" s="6" t="n">
        <x:v>0</x:v>
      </x:c>
      <x:c r="V560" s="6" t="n">
        <x:v>0</x:v>
      </x:c>
      <x:c r="W560" s="6" t="n">
        <x:v>0</x:v>
      </x:c>
      <x:c r="X560" s="6" t="n">
        <x:v>0</x:v>
      </x:c>
      <x:c r="Y560" s="6" t="n">
        <x:v>0</x:v>
      </x:c>
      <x:c r="Z560" s="6" t="n">
        <x:v>0</x:v>
      </x:c>
      <x:c r="AA560" s="6" t="n">
        <x:v>3</x:v>
      </x:c>
      <x:c r="AB560" s="6" t="n">
        <x:v>11</x:v>
      </x:c>
      <x:c r="AC560" s="6" t="n">
        <x:v>0</x:v>
      </x:c>
    </x:row>
    <x:row r="561">
      <x:c r="A561" s="6" t="n">
        <x:v>3174</x:v>
      </x:c>
      <x:c r="B561" s="6" t="n">
        <x:v>1959</x:v>
      </x:c>
      <x:c r="C561" s="6" t="str">
        <x:v>Graduation</x:v>
      </x:c>
      <x:c r="D561" s="6" t="str">
        <x:v>Together</x:v>
      </x:c>
      <x:c r="E561" s="6" t="n">
        <x:v>87771</x:v>
      </x:c>
      <x:c r="F561" s="6" t="n">
        <x:v>0</x:v>
      </x:c>
      <x:c r="G561" s="6" t="n">
        <x:v>1</x:v>
      </x:c>
      <x:c r="H561" s="9" t="str">
        <x:v>22-05-2013</x:v>
      </x:c>
      <x:c r="I561" s="6" t="n">
        <x:v>61</x:v>
      </x:c>
      <x:c r="J561" s="6" t="n">
        <x:v>1492</x:v>
      </x:c>
      <x:c r="K561" s="6" t="n">
        <x:v>38</x:v>
      </x:c>
      <x:c r="L561" s="6" t="n">
        <x:v>287</x:v>
      </x:c>
      <x:c r="M561" s="6" t="n">
        <x:v>50</x:v>
      </x:c>
      <x:c r="N561" s="6" t="n">
        <x:v>57</x:v>
      </x:c>
      <x:c r="O561" s="6" t="n">
        <x:v>33</x:v>
      </x:c>
      <x:c r="P561" s="6" t="n">
        <x:v>1</x:v>
      </x:c>
      <x:c r="Q561" s="6" t="n">
        <x:v>5</x:v>
      </x:c>
      <x:c r="R561" s="6" t="n">
        <x:v>10</x:v>
      </x:c>
      <x:c r="S561" s="6" t="n">
        <x:v>4</x:v>
      </x:c>
      <x:c r="T561" s="6" t="n">
        <x:v>6</x:v>
      </x:c>
      <x:c r="U561" s="6" t="n">
        <x:v>0</x:v>
      </x:c>
      <x:c r="V561" s="6" t="n">
        <x:v>1</x:v>
      </x:c>
      <x:c r="W561" s="6" t="n">
        <x:v>1</x:v>
      </x:c>
      <x:c r="X561" s="6" t="n">
        <x:v>1</x:v>
      </x:c>
      <x:c r="Y561" s="6" t="n">
        <x:v>1</x:v>
      </x:c>
      <x:c r="Z561" s="6" t="n">
        <x:v>0</x:v>
      </x:c>
      <x:c r="AA561" s="6" t="n">
        <x:v>3</x:v>
      </x:c>
      <x:c r="AB561" s="6" t="n">
        <x:v>11</x:v>
      </x:c>
      <x:c r="AC561" s="6" t="n">
        <x:v>1</x:v>
      </x:c>
    </x:row>
    <x:row r="562">
      <x:c r="A562" s="6" t="n">
        <x:v>7685</x:v>
      </x:c>
      <x:c r="B562" s="6" t="n">
        <x:v>1978</x:v>
      </x:c>
      <x:c r="C562" s="6" t="str">
        <x:v>Graduation</x:v>
      </x:c>
      <x:c r="D562" s="6" t="str">
        <x:v>Married</x:v>
      </x:c>
      <x:c r="E562" s="6" t="n">
        <x:v>33039</x:v>
      </x:c>
      <x:c r="F562" s="6" t="n">
        <x:v>1</x:v>
      </x:c>
      <x:c r="G562" s="6" t="n">
        <x:v>0</x:v>
      </x:c>
      <x:c r="H562" s="9" t="str">
        <x:v>09-09-2013</x:v>
      </x:c>
      <x:c r="I562" s="6" t="n">
        <x:v>4</x:v>
      </x:c>
      <x:c r="J562" s="6" t="n">
        <x:v>30</x:v>
      </x:c>
      <x:c r="K562" s="6" t="n">
        <x:v>8</x:v>
      </x:c>
      <x:c r="L562" s="6" t="n">
        <x:v>12</x:v>
      </x:c>
      <x:c r="M562" s="6" t="n">
        <x:v>8</x:v>
      </x:c>
      <x:c r="N562" s="6" t="n">
        <x:v>8</x:v>
      </x:c>
      <x:c r="O562" s="6" t="n">
        <x:v>12</x:v>
      </x:c>
      <x:c r="P562" s="6" t="n">
        <x:v>1</x:v>
      </x:c>
      <x:c r="Q562" s="6" t="n">
        <x:v>2</x:v>
      </x:c>
      <x:c r="R562" s="6" t="n">
        <x:v>0</x:v>
      </x:c>
      <x:c r="S562" s="6" t="n">
        <x:v>4</x:v>
      </x:c>
      <x:c r="T562" s="6" t="n">
        <x:v>5</x:v>
      </x:c>
      <x:c r="U562" s="6" t="n">
        <x:v>0</x:v>
      </x:c>
      <x:c r="V562" s="6" t="n">
        <x:v>0</x:v>
      </x:c>
      <x:c r="W562" s="6" t="n">
        <x:v>0</x:v>
      </x:c>
      <x:c r="X562" s="6" t="n">
        <x:v>0</x:v>
      </x:c>
      <x:c r="Y562" s="6" t="n">
        <x:v>0</x:v>
      </x:c>
      <x:c r="Z562" s="6" t="n">
        <x:v>0</x:v>
      </x:c>
      <x:c r="AA562" s="6" t="n">
        <x:v>3</x:v>
      </x:c>
      <x:c r="AB562" s="6" t="n">
        <x:v>11</x:v>
      </x:c>
      <x:c r="AC562" s="6" t="n">
        <x:v>0</x:v>
      </x:c>
    </x:row>
    <x:row r="563">
      <x:c r="A563" s="6" t="n">
        <x:v>3179</x:v>
      </x:c>
      <x:c r="B563" s="6" t="n">
        <x:v>1980</x:v>
      </x:c>
      <x:c r="C563" s="6" t="str">
        <x:v>Graduation</x:v>
      </x:c>
      <x:c r="D563" s="6" t="str">
        <x:v>Single</x:v>
      </x:c>
      <x:c r="E563" s="6" t="n">
        <x:v>81741</x:v>
      </x:c>
      <x:c r="F563" s="6" t="n">
        <x:v>0</x:v>
      </x:c>
      <x:c r="G563" s="6" t="n">
        <x:v>0</x:v>
      </x:c>
      <x:c r="H563" s="9" t="str">
        <x:v>16-06-2013</x:v>
      </x:c>
      <x:c r="I563" s="6" t="n">
        <x:v>75</x:v>
      </x:c>
      <x:c r="J563" s="6" t="n">
        <x:v>249</x:v>
      </x:c>
      <x:c r="K563" s="6" t="n">
        <x:v>153</x:v>
      </x:c>
      <x:c r="L563" s="6" t="n">
        <x:v>940</x:v>
      </x:c>
      <x:c r="M563" s="6" t="n">
        <x:v>58</x:v>
      </x:c>
      <x:c r="N563" s="6" t="n">
        <x:v>134</x:v>
      </x:c>
      <x:c r="O563" s="6" t="n">
        <x:v>38</x:v>
      </x:c>
      <x:c r="P563" s="6" t="n">
        <x:v>0</x:v>
      </x:c>
      <x:c r="Q563" s="6" t="n">
        <x:v>6</x:v>
      </x:c>
      <x:c r="R563" s="6" t="n">
        <x:v>6</x:v>
      </x:c>
      <x:c r="S563" s="6" t="n">
        <x:v>7</x:v>
      </x:c>
      <x:c r="T563" s="6" t="n">
        <x:v>2</x:v>
      </x:c>
      <x:c r="U563" s="6" t="n">
        <x:v>0</x:v>
      </x:c>
      <x:c r="V563" s="6" t="n">
        <x:v>0</x:v>
      </x:c>
      <x:c r="W563" s="6" t="n">
        <x:v>0</x:v>
      </x:c>
      <x:c r="X563" s="6" t="n">
        <x:v>0</x:v>
      </x:c>
      <x:c r="Y563" s="6" t="n">
        <x:v>0</x:v>
      </x:c>
      <x:c r="Z563" s="6" t="n">
        <x:v>0</x:v>
      </x:c>
      <x:c r="AA563" s="6" t="n">
        <x:v>3</x:v>
      </x:c>
      <x:c r="AB563" s="6" t="n">
        <x:v>11</x:v>
      </x:c>
      <x:c r="AC563" s="6" t="n">
        <x:v>0</x:v>
      </x:c>
    </x:row>
    <x:row r="564">
      <x:c r="A564" s="6" t="n">
        <x:v>9780</x:v>
      </x:c>
      <x:c r="B564" s="6" t="n">
        <x:v>1971</x:v>
      </x:c>
      <x:c r="C564" s="6" t="str">
        <x:v>Master</x:v>
      </x:c>
      <x:c r="D564" s="6" t="str">
        <x:v>Together</x:v>
      </x:c>
      <x:c r="E564" s="6" t="n">
        <x:v>71499</x:v>
      </x:c>
      <x:c r="F564" s="6" t="n">
        <x:v>0</x:v>
      </x:c>
      <x:c r="G564" s="6" t="n">
        <x:v>1</x:v>
      </x:c>
      <x:c r="H564" s="9" t="str">
        <x:v>25-06-2013</x:v>
      </x:c>
      <x:c r="I564" s="6" t="n">
        <x:v>12</x:v>
      </x:c>
      <x:c r="J564" s="6" t="n">
        <x:v>465</x:v>
      </x:c>
      <x:c r="K564" s="6" t="n">
        <x:v>25</x:v>
      </x:c>
      <x:c r="L564" s="6" t="n">
        <x:v>132</x:v>
      </x:c>
      <x:c r="M564" s="6" t="n">
        <x:v>136</x:v>
      </x:c>
      <x:c r="N564" s="6" t="n">
        <x:v>0</x:v>
      </x:c>
      <x:c r="O564" s="6" t="n">
        <x:v>37</x:v>
      </x:c>
      <x:c r="P564" s="6" t="n">
        <x:v>2</x:v>
      </x:c>
      <x:c r="Q564" s="6" t="n">
        <x:v>8</x:v>
      </x:c>
      <x:c r="R564" s="6" t="n">
        <x:v>3</x:v>
      </x:c>
      <x:c r="S564" s="6" t="n">
        <x:v>13</x:v>
      </x:c>
      <x:c r="T564" s="6" t="n">
        <x:v>4</x:v>
      </x:c>
      <x:c r="U564" s="6" t="n">
        <x:v>0</x:v>
      </x:c>
      <x:c r="V564" s="6" t="n">
        <x:v>0</x:v>
      </x:c>
      <x:c r="W564" s="6" t="n">
        <x:v>0</x:v>
      </x:c>
      <x:c r="X564" s="6" t="n">
        <x:v>0</x:v>
      </x:c>
      <x:c r="Y564" s="6" t="n">
        <x:v>0</x:v>
      </x:c>
      <x:c r="Z564" s="6" t="n">
        <x:v>0</x:v>
      </x:c>
      <x:c r="AA564" s="6" t="n">
        <x:v>3</x:v>
      </x:c>
      <x:c r="AB564" s="6" t="n">
        <x:v>11</x:v>
      </x:c>
      <x:c r="AC564" s="6" t="n">
        <x:v>0</x:v>
      </x:c>
    </x:row>
    <x:row r="565">
      <x:c r="A565" s="6" t="n">
        <x:v>10681</x:v>
      </x:c>
      <x:c r="B565" s="6" t="n">
        <x:v>1970</x:v>
      </x:c>
      <x:c r="C565" s="6" t="str">
        <x:v>2n Cycle</x:v>
      </x:c>
      <x:c r="D565" s="6" t="str">
        <x:v>Married</x:v>
      </x:c>
      <x:c r="E565" s="6" t="n">
        <x:v>62466</x:v>
      </x:c>
      <x:c r="F565" s="6" t="n">
        <x:v>0</x:v>
      </x:c>
      <x:c r="G565" s="6" t="n">
        <x:v>1</x:v>
      </x:c>
      <x:c r="H565" s="9" t="str">
        <x:v>15-01-2014</x:v>
      </x:c>
      <x:c r="I565" s="6" t="n">
        <x:v>13</x:v>
      </x:c>
      <x:c r="J565" s="6" t="n">
        <x:v>129</x:v>
      </x:c>
      <x:c r="K565" s="6" t="n">
        <x:v>129</x:v>
      </x:c>
      <x:c r="L565" s="6" t="n">
        <x:v>259</x:v>
      </x:c>
      <x:c r="M565" s="6" t="n">
        <x:v>168</x:v>
      </x:c>
      <x:c r="N565" s="6" t="n">
        <x:v>121</x:v>
      </x:c>
      <x:c r="O565" s="6" t="n">
        <x:v>83</x:v>
      </x:c>
      <x:c r="P565" s="6" t="n">
        <x:v>5</x:v>
      </x:c>
      <x:c r="Q565" s="6" t="n">
        <x:v>6</x:v>
      </x:c>
      <x:c r="R565" s="6" t="n">
        <x:v>3</x:v>
      </x:c>
      <x:c r="S565" s="6" t="n">
        <x:v>12</x:v>
      </x:c>
      <x:c r="T565" s="6" t="n">
        <x:v>4</x:v>
      </x:c>
      <x:c r="U565" s="6" t="n">
        <x:v>0</x:v>
      </x:c>
      <x:c r="V565" s="6" t="n">
        <x:v>0</x:v>
      </x:c>
      <x:c r="W565" s="6" t="n">
        <x:v>0</x:v>
      </x:c>
      <x:c r="X565" s="6" t="n">
        <x:v>0</x:v>
      </x:c>
      <x:c r="Y565" s="6" t="n">
        <x:v>0</x:v>
      </x:c>
      <x:c r="Z565" s="6" t="n">
        <x:v>0</x:v>
      </x:c>
      <x:c r="AA565" s="6" t="n">
        <x:v>3</x:v>
      </x:c>
      <x:c r="AB565" s="6" t="n">
        <x:v>11</x:v>
      </x:c>
      <x:c r="AC565" s="6" t="n">
        <x:v>0</x:v>
      </x:c>
    </x:row>
    <x:row r="566">
      <x:c r="A566" s="6" t="n">
        <x:v>10232</x:v>
      </x:c>
      <x:c r="B566" s="6" t="n">
        <x:v>1963</x:v>
      </x:c>
      <x:c r="C566" s="6" t="str">
        <x:v>PhD</x:v>
      </x:c>
      <x:c r="D566" s="6" t="str">
        <x:v>Divorced</x:v>
      </x:c>
      <x:c r="E566" s="6" t="n">
        <x:v>48799</x:v>
      </x:c>
      <x:c r="F566" s="6" t="n">
        <x:v>0</x:v>
      </x:c>
      <x:c r="G566" s="6" t="n">
        <x:v>1</x:v>
      </x:c>
      <x:c r="H566" s="9" t="str">
        <x:v>05-11-2013</x:v>
      </x:c>
      <x:c r="I566" s="6" t="n">
        <x:v>9</x:v>
      </x:c>
      <x:c r="J566" s="6" t="n">
        <x:v>174</x:v>
      </x:c>
      <x:c r="K566" s="6" t="n">
        <x:v>18</x:v>
      </x:c>
      <x:c r="L566" s="6" t="n">
        <x:v>81</x:v>
      </x:c>
      <x:c r="M566" s="6" t="n">
        <x:v>28</x:v>
      </x:c>
      <x:c r="N566" s="6" t="n">
        <x:v>6</x:v>
      </x:c>
      <x:c r="O566" s="6" t="n">
        <x:v>24</x:v>
      </x:c>
      <x:c r="P566" s="6" t="n">
        <x:v>3</x:v>
      </x:c>
      <x:c r="Q566" s="6" t="n">
        <x:v>3</x:v>
      </x:c>
      <x:c r="R566" s="6" t="n">
        <x:v>2</x:v>
      </x:c>
      <x:c r="S566" s="6" t="n">
        <x:v>7</x:v>
      </x:c>
      <x:c r="T566" s="6" t="n">
        <x:v>3</x:v>
      </x:c>
      <x:c r="U566" s="6" t="n">
        <x:v>0</x:v>
      </x:c>
      <x:c r="V566" s="6" t="n">
        <x:v>0</x:v>
      </x:c>
      <x:c r="W566" s="6" t="n">
        <x:v>0</x:v>
      </x:c>
      <x:c r="X566" s="6" t="n">
        <x:v>0</x:v>
      </x:c>
      <x:c r="Y566" s="6" t="n">
        <x:v>0</x:v>
      </x:c>
      <x:c r="Z566" s="6" t="n">
        <x:v>0</x:v>
      </x:c>
      <x:c r="AA566" s="6" t="n">
        <x:v>3</x:v>
      </x:c>
      <x:c r="AB566" s="6" t="n">
        <x:v>11</x:v>
      </x:c>
      <x:c r="AC566" s="6" t="n">
        <x:v>0</x:v>
      </x:c>
    </x:row>
    <x:row r="567">
      <x:c r="A567" s="6" t="n">
        <x:v>4184</x:v>
      </x:c>
      <x:c r="B567" s="6" t="n">
        <x:v>1950</x:v>
      </x:c>
      <x:c r="C567" s="6" t="str">
        <x:v>PhD</x:v>
      </x:c>
      <x:c r="D567" s="6" t="str">
        <x:v>Together</x:v>
      </x:c>
      <x:c r="E567" s="6" t="n">
        <x:v>52157</x:v>
      </x:c>
      <x:c r="F567" s="6" t="n">
        <x:v>0</x:v>
      </x:c>
      <x:c r="G567" s="6" t="n">
        <x:v>1</x:v>
      </x:c>
      <x:c r="H567" s="9" t="str">
        <x:v>07-06-2014</x:v>
      </x:c>
      <x:c r="I567" s="6" t="n">
        <x:v>48</x:v>
      </x:c>
      <x:c r="J567" s="6" t="n">
        <x:v>189</x:v>
      </x:c>
      <x:c r="K567" s="6" t="n">
        <x:v>2</x:v>
      </x:c>
      <x:c r="L567" s="6" t="n">
        <x:v>29</x:v>
      </x:c>
      <x:c r="M567" s="6" t="n">
        <x:v>3</x:v>
      </x:c>
      <x:c r="N567" s="6" t="n">
        <x:v>2</x:v>
      </x:c>
      <x:c r="O567" s="6" t="n">
        <x:v>40</x:v>
      </x:c>
      <x:c r="P567" s="6" t="n">
        <x:v>2</x:v>
      </x:c>
      <x:c r="Q567" s="6" t="n">
        <x:v>3</x:v>
      </x:c>
      <x:c r="R567" s="6" t="n">
        <x:v>2</x:v>
      </x:c>
      <x:c r="S567" s="6" t="n">
        <x:v>5</x:v>
      </x:c>
      <x:c r="T567" s="6" t="n">
        <x:v>4</x:v>
      </x:c>
      <x:c r="U567" s="6" t="n">
        <x:v>0</x:v>
      </x:c>
      <x:c r="V567" s="6" t="n">
        <x:v>0</x:v>
      </x:c>
      <x:c r="W567" s="6" t="n">
        <x:v>0</x:v>
      </x:c>
      <x:c r="X567" s="6" t="n">
        <x:v>0</x:v>
      </x:c>
      <x:c r="Y567" s="6" t="n">
        <x:v>0</x:v>
      </x:c>
      <x:c r="Z567" s="6" t="n">
        <x:v>0</x:v>
      </x:c>
      <x:c r="AA567" s="6" t="n">
        <x:v>3</x:v>
      </x:c>
      <x:c r="AB567" s="6" t="n">
        <x:v>11</x:v>
      </x:c>
      <x:c r="AC567" s="6" t="n">
        <x:v>0</x:v>
      </x:c>
    </x:row>
    <x:row r="568">
      <x:c r="A568" s="6" t="n">
        <x:v>9120</x:v>
      </x:c>
      <x:c r="B568" s="6" t="n">
        <x:v>1962</x:v>
      </x:c>
      <x:c r="C568" s="6" t="str">
        <x:v>Graduation</x:v>
      </x:c>
      <x:c r="D568" s="6" t="str">
        <x:v>Single</x:v>
      </x:c>
      <x:c r="E568" s="6" t="n">
        <x:v>66565</x:v>
      </x:c>
      <x:c r="F568" s="6" t="n">
        <x:v>0</x:v>
      </x:c>
      <x:c r="G568" s="6" t="n">
        <x:v>1</x:v>
      </x:c>
      <x:c r="H568" s="9" t="str">
        <x:v>05-12-2012</x:v>
      </x:c>
      <x:c r="I568" s="6" t="n">
        <x:v>80</x:v>
      </x:c>
      <x:c r="J568" s="6" t="n">
        <x:v>747</x:v>
      </x:c>
      <x:c r="K568" s="6" t="n">
        <x:v>10</x:v>
      </x:c>
      <x:c r="L568" s="6" t="n">
        <x:v>161</x:v>
      </x:c>
      <x:c r="M568" s="6" t="n">
        <x:v>65</x:v>
      </x:c>
      <x:c r="N568" s="6" t="n">
        <x:v>40</x:v>
      </x:c>
      <x:c r="O568" s="6" t="n">
        <x:v>42</x:v>
      </x:c>
      <x:c r="P568" s="6" t="n">
        <x:v>4</x:v>
      </x:c>
      <x:c r="Q568" s="6" t="n">
        <x:v>4</x:v>
      </x:c>
      <x:c r="R568" s="6" t="n">
        <x:v>2</x:v>
      </x:c>
      <x:c r="S568" s="6" t="n">
        <x:v>9</x:v>
      </x:c>
      <x:c r="T568" s="6" t="n">
        <x:v>8</x:v>
      </x:c>
      <x:c r="U568" s="6" t="n">
        <x:v>0</x:v>
      </x:c>
      <x:c r="V568" s="6" t="n">
        <x:v>0</x:v>
      </x:c>
      <x:c r="W568" s="6" t="n">
        <x:v>0</x:v>
      </x:c>
      <x:c r="X568" s="6" t="n">
        <x:v>0</x:v>
      </x:c>
      <x:c r="Y568" s="6" t="n">
        <x:v>0</x:v>
      </x:c>
      <x:c r="Z568" s="6" t="n">
        <x:v>0</x:v>
      </x:c>
      <x:c r="AA568" s="6" t="n">
        <x:v>3</x:v>
      </x:c>
      <x:c r="AB568" s="6" t="n">
        <x:v>11</x:v>
      </x:c>
      <x:c r="AC568" s="6" t="n">
        <x:v>0</x:v>
      </x:c>
    </x:row>
    <x:row r="569">
      <x:c r="A569" s="6" t="n">
        <x:v>891</x:v>
      </x:c>
      <x:c r="B569" s="6" t="n">
        <x:v>1951</x:v>
      </x:c>
      <x:c r="C569" s="6" t="str">
        <x:v>Master</x:v>
      </x:c>
      <x:c r="D569" s="6" t="str">
        <x:v>Together</x:v>
      </x:c>
      <x:c r="E569" s="6" t="n">
        <x:v>29298</x:v>
      </x:c>
      <x:c r="F569" s="6" t="n">
        <x:v>1</x:v>
      </x:c>
      <x:c r="G569" s="6" t="n">
        <x:v>1</x:v>
      </x:c>
      <x:c r="H569" s="9" t="str">
        <x:v>07-09-2013</x:v>
      </x:c>
      <x:c r="I569" s="6" t="n">
        <x:v>60</x:v>
      </x:c>
      <x:c r="J569" s="6" t="n">
        <x:v>6</x:v>
      </x:c>
      <x:c r="K569" s="6" t="n">
        <x:v>0</x:v>
      </x:c>
      <x:c r="L569" s="6" t="n">
        <x:v>2</x:v>
      </x:c>
      <x:c r="M569" s="6" t="n">
        <x:v>2</x:v>
      </x:c>
      <x:c r="N569" s="6" t="n">
        <x:v>0</x:v>
      </x:c>
      <x:c r="O569" s="6" t="n">
        <x:v>1</x:v>
      </x:c>
      <x:c r="P569" s="6" t="n">
        <x:v>1</x:v>
      </x:c>
      <x:c r="Q569" s="6" t="n">
        <x:v>1</x:v>
      </x:c>
      <x:c r="R569" s="6" t="n">
        <x:v>0</x:v>
      </x:c>
      <x:c r="S569" s="6" t="n">
        <x:v>2</x:v>
      </x:c>
      <x:c r="T569" s="6" t="n">
        <x:v>5</x:v>
      </x:c>
      <x:c r="U569" s="6" t="n">
        <x:v>0</x:v>
      </x:c>
      <x:c r="V569" s="6" t="n">
        <x:v>0</x:v>
      </x:c>
      <x:c r="W569" s="6" t="n">
        <x:v>0</x:v>
      </x:c>
      <x:c r="X569" s="6" t="n">
        <x:v>0</x:v>
      </x:c>
      <x:c r="Y569" s="6" t="n">
        <x:v>0</x:v>
      </x:c>
      <x:c r="Z569" s="6" t="n">
        <x:v>0</x:v>
      </x:c>
      <x:c r="AA569" s="6" t="n">
        <x:v>3</x:v>
      </x:c>
      <x:c r="AB569" s="6" t="n">
        <x:v>11</x:v>
      </x:c>
      <x:c r="AC569" s="6" t="n">
        <x:v>0</x:v>
      </x:c>
    </x:row>
    <x:row r="570">
      <x:c r="A570" s="6" t="n">
        <x:v>10381</x:v>
      </x:c>
      <x:c r="B570" s="6" t="n">
        <x:v>1979</x:v>
      </x:c>
      <x:c r="C570" s="6" t="str">
        <x:v>Graduation</x:v>
      </x:c>
      <x:c r="D570" s="6" t="str">
        <x:v>Single</x:v>
      </x:c>
      <x:c r="E570" s="6" t="n">
        <x:v>47691</x:v>
      </x:c>
      <x:c r="F570" s="6" t="n">
        <x:v>0</x:v>
      </x:c>
      <x:c r="G570" s="6" t="n">
        <x:v>1</x:v>
      </x:c>
      <x:c r="H570" s="9" t="str">
        <x:v>05-07-2013</x:v>
      </x:c>
      <x:c r="I570" s="6" t="n">
        <x:v>43</x:v>
      </x:c>
      <x:c r="J570" s="6" t="n">
        <x:v>14</x:v>
      </x:c>
      <x:c r="K570" s="6" t="n">
        <x:v>0</x:v>
      </x:c>
      <x:c r="L570" s="6" t="n">
        <x:v>3</x:v>
      </x:c>
      <x:c r="M570" s="6" t="n">
        <x:v>0</x:v>
      </x:c>
      <x:c r="N570" s="6" t="n">
        <x:v>0</x:v>
      </x:c>
      <x:c r="O570" s="6" t="n">
        <x:v>4</x:v>
      </x:c>
      <x:c r="P570" s="6" t="n">
        <x:v>1</x:v>
      </x:c>
      <x:c r="Q570" s="6" t="n">
        <x:v>1</x:v>
      </x:c>
      <x:c r="R570" s="6" t="n">
        <x:v>0</x:v>
      </x:c>
      <x:c r="S570" s="6" t="n">
        <x:v>2</x:v>
      </x:c>
      <x:c r="T570" s="6" t="n">
        <x:v>6</x:v>
      </x:c>
      <x:c r="U570" s="6" t="n">
        <x:v>0</x:v>
      </x:c>
      <x:c r="V570" s="6" t="n">
        <x:v>0</x:v>
      </x:c>
      <x:c r="W570" s="6" t="n">
        <x:v>0</x:v>
      </x:c>
      <x:c r="X570" s="6" t="n">
        <x:v>0</x:v>
      </x:c>
      <x:c r="Y570" s="6" t="n">
        <x:v>0</x:v>
      </x:c>
      <x:c r="Z570" s="6" t="n">
        <x:v>0</x:v>
      </x:c>
      <x:c r="AA570" s="6" t="n">
        <x:v>3</x:v>
      </x:c>
      <x:c r="AB570" s="6" t="n">
        <x:v>11</x:v>
      </x:c>
      <x:c r="AC570" s="6" t="n">
        <x:v>0</x:v>
      </x:c>
    </x:row>
    <x:row r="571">
      <x:c r="A571" s="6" t="n">
        <x:v>3525</x:v>
      </x:c>
      <x:c r="B571" s="6" t="n">
        <x:v>1970</x:v>
      </x:c>
      <x:c r="C571" s="6" t="str">
        <x:v>Graduation</x:v>
      </x:c>
      <x:c r="D571" s="6" t="str">
        <x:v>Together</x:v>
      </x:c>
      <x:c r="E571" s="6" t="n">
        <x:v>38200</x:v>
      </x:c>
      <x:c r="F571" s="6" t="n">
        <x:v>1</x:v>
      </x:c>
      <x:c r="G571" s="6" t="n">
        <x:v>1</x:v>
      </x:c>
      <x:c r="H571" s="9" t="str">
        <x:v>07-12-2012</x:v>
      </x:c>
      <x:c r="I571" s="6" t="n">
        <x:v>19</x:v>
      </x:c>
      <x:c r="J571" s="6" t="n">
        <x:v>12</x:v>
      </x:c>
      <x:c r="K571" s="6" t="n">
        <x:v>0</x:v>
      </x:c>
      <x:c r="L571" s="6" t="n">
        <x:v>4</x:v>
      </x:c>
      <x:c r="M571" s="6" t="n">
        <x:v>0</x:v>
      </x:c>
      <x:c r="N571" s="6" t="n">
        <x:v>0</x:v>
      </x:c>
      <x:c r="O571" s="6" t="n">
        <x:v>1</x:v>
      </x:c>
      <x:c r="P571" s="6" t="n">
        <x:v>1</x:v>
      </x:c>
      <x:c r="Q571" s="6" t="n">
        <x:v>1</x:v>
      </x:c>
      <x:c r="R571" s="6" t="n">
        <x:v>0</x:v>
      </x:c>
      <x:c r="S571" s="6" t="n">
        <x:v>2</x:v>
      </x:c>
      <x:c r="T571" s="6" t="n">
        <x:v>7</x:v>
      </x:c>
      <x:c r="U571" s="6" t="n">
        <x:v>0</x:v>
      </x:c>
      <x:c r="V571" s="6" t="n">
        <x:v>0</x:v>
      </x:c>
      <x:c r="W571" s="6" t="n">
        <x:v>0</x:v>
      </x:c>
      <x:c r="X571" s="6" t="n">
        <x:v>0</x:v>
      </x:c>
      <x:c r="Y571" s="6" t="n">
        <x:v>0</x:v>
      </x:c>
      <x:c r="Z571" s="6" t="n">
        <x:v>0</x:v>
      </x:c>
      <x:c r="AA571" s="6" t="n">
        <x:v>3</x:v>
      </x:c>
      <x:c r="AB571" s="6" t="n">
        <x:v>11</x:v>
      </x:c>
      <x:c r="AC571" s="6" t="n">
        <x:v>0</x:v>
      </x:c>
    </x:row>
    <x:row r="572">
      <x:c r="A572" s="6" t="n">
        <x:v>6818</x:v>
      </x:c>
      <x:c r="B572" s="6" t="n">
        <x:v>1974</x:v>
      </x:c>
      <x:c r="C572" s="6" t="str">
        <x:v>Graduation</x:v>
      </x:c>
      <x:c r="D572" s="6" t="str">
        <x:v>Married</x:v>
      </x:c>
      <x:c r="E572" s="6" t="n">
        <x:v>44989</x:v>
      </x:c>
      <x:c r="F572" s="6" t="n">
        <x:v>0</x:v>
      </x:c>
      <x:c r="G572" s="6" t="n">
        <x:v>1</x:v>
      </x:c>
      <x:c r="H572" s="9" t="str">
        <x:v>12-09-2012</x:v>
      </x:c>
      <x:c r="I572" s="6" t="n">
        <x:v>26</x:v>
      </x:c>
      <x:c r="J572" s="6" t="n">
        <x:v>98</x:v>
      </x:c>
      <x:c r="K572" s="6" t="n">
        <x:v>0</x:v>
      </x:c>
      <x:c r="L572" s="6" t="n">
        <x:v>106</x:v>
      </x:c>
      <x:c r="M572" s="6" t="n">
        <x:v>49</x:v>
      </x:c>
      <x:c r="N572" s="6" t="n">
        <x:v>10</x:v>
      </x:c>
      <x:c r="O572" s="6" t="n">
        <x:v>106</x:v>
      </x:c>
      <x:c r="P572" s="6" t="n">
        <x:v>5</x:v>
      </x:c>
      <x:c r="Q572" s="6" t="n">
        <x:v>5</x:v>
      </x:c>
      <x:c r="R572" s="6" t="n">
        <x:v>1</x:v>
      </x:c>
      <x:c r="S572" s="6" t="n">
        <x:v>5</x:v>
      </x:c>
      <x:c r="T572" s="6" t="n">
        <x:v>6</x:v>
      </x:c>
      <x:c r="U572" s="6" t="n">
        <x:v>0</x:v>
      </x:c>
      <x:c r="V572" s="6" t="n">
        <x:v>0</x:v>
      </x:c>
      <x:c r="W572" s="6" t="n">
        <x:v>0</x:v>
      </x:c>
      <x:c r="X572" s="6" t="n">
        <x:v>0</x:v>
      </x:c>
      <x:c r="Y572" s="6" t="n">
        <x:v>0</x:v>
      </x:c>
      <x:c r="Z572" s="6" t="n">
        <x:v>0</x:v>
      </x:c>
      <x:c r="AA572" s="6" t="n">
        <x:v>3</x:v>
      </x:c>
      <x:c r="AB572" s="6" t="n">
        <x:v>11</x:v>
      </x:c>
      <x:c r="AC572" s="6" t="n">
        <x:v>0</x:v>
      </x:c>
    </x:row>
    <x:row r="573">
      <x:c r="A573" s="6" t="n">
        <x:v>3526</x:v>
      </x:c>
      <x:c r="B573" s="6" t="n">
        <x:v>1968</x:v>
      </x:c>
      <x:c r="C573" s="6" t="str">
        <x:v>PhD</x:v>
      </x:c>
      <x:c r="D573" s="6" t="str">
        <x:v>Married</x:v>
      </x:c>
      <x:c r="E573" s="6" t="n">
        <x:v>38443</x:v>
      </x:c>
      <x:c r="F573" s="6" t="n">
        <x:v>1</x:v>
      </x:c>
      <x:c r="G573" s="6" t="n">
        <x:v>1</x:v>
      </x:c>
      <x:c r="H573" s="9" t="str">
        <x:v>27-01-2014</x:v>
      </x:c>
      <x:c r="I573" s="6" t="n">
        <x:v>58</x:v>
      </x:c>
      <x:c r="J573" s="6" t="n">
        <x:v>32</x:v>
      </x:c>
      <x:c r="K573" s="6" t="n">
        <x:v>0</x:v>
      </x:c>
      <x:c r="L573" s="6" t="n">
        <x:v>5</x:v>
      </x:c>
      <x:c r="M573" s="6" t="n">
        <x:v>0</x:v>
      </x:c>
      <x:c r="N573" s="6" t="n">
        <x:v>0</x:v>
      </x:c>
      <x:c r="O573" s="6" t="n">
        <x:v>1</x:v>
      </x:c>
      <x:c r="P573" s="6" t="n">
        <x:v>2</x:v>
      </x:c>
      <x:c r="Q573" s="6" t="n">
        <x:v>1</x:v>
      </x:c>
      <x:c r="R573" s="6" t="n">
        <x:v>0</x:v>
      </x:c>
      <x:c r="S573" s="6" t="n">
        <x:v>3</x:v>
      </x:c>
      <x:c r="T573" s="6" t="n">
        <x:v>7</x:v>
      </x:c>
      <x:c r="U573" s="6" t="n">
        <x:v>0</x:v>
      </x:c>
      <x:c r="V573" s="6" t="n">
        <x:v>0</x:v>
      </x:c>
      <x:c r="W573" s="6" t="n">
        <x:v>0</x:v>
      </x:c>
      <x:c r="X573" s="6" t="n">
        <x:v>0</x:v>
      </x:c>
      <x:c r="Y573" s="6" t="n">
        <x:v>0</x:v>
      </x:c>
      <x:c r="Z573" s="6" t="n">
        <x:v>0</x:v>
      </x:c>
      <x:c r="AA573" s="6" t="n">
        <x:v>3</x:v>
      </x:c>
      <x:c r="AB573" s="6" t="n">
        <x:v>11</x:v>
      </x:c>
      <x:c r="AC573" s="6" t="n">
        <x:v>0</x:v>
      </x:c>
    </x:row>
    <x:row r="574">
      <x:c r="A574" s="6" t="n">
        <x:v>8181</x:v>
      </x:c>
      <x:c r="B574" s="6" t="n">
        <x:v>1978</x:v>
      </x:c>
      <x:c r="C574" s="6" t="str">
        <x:v>2n Cycle</x:v>
      </x:c>
      <x:c r="D574" s="6" t="str">
        <x:v>Single</x:v>
      </x:c>
      <x:c r="E574" s="6" t="n">
        <x:v>38593</x:v>
      </x:c>
      <x:c r="F574" s="6" t="n">
        <x:v>1</x:v>
      </x:c>
      <x:c r="G574" s="6" t="n">
        <x:v>0</x:v>
      </x:c>
      <x:c r="H574" s="9" t="str">
        <x:v>13-09-2013</x:v>
      </x:c>
      <x:c r="I574" s="6" t="n">
        <x:v>42</x:v>
      </x:c>
      <x:c r="J574" s="6" t="n">
        <x:v>51</x:v>
      </x:c>
      <x:c r="K574" s="6" t="n">
        <x:v>12</x:v>
      </x:c>
      <x:c r="L574" s="6" t="n">
        <x:v>49</x:v>
      </x:c>
      <x:c r="M574" s="6" t="n">
        <x:v>17</x:v>
      </x:c>
      <x:c r="N574" s="6" t="n">
        <x:v>24</x:v>
      </x:c>
      <x:c r="O574" s="6" t="n">
        <x:v>24</x:v>
      </x:c>
      <x:c r="P574" s="6" t="n">
        <x:v>3</x:v>
      </x:c>
      <x:c r="Q574" s="6" t="n">
        <x:v>4</x:v>
      </x:c>
      <x:c r="R574" s="6" t="n">
        <x:v>1</x:v>
      </x:c>
      <x:c r="S574" s="6" t="n">
        <x:v>3</x:v>
      </x:c>
      <x:c r="T574" s="6" t="n">
        <x:v>8</x:v>
      </x:c>
      <x:c r="U574" s="6" t="n">
        <x:v>0</x:v>
      </x:c>
      <x:c r="V574" s="6" t="n">
        <x:v>0</x:v>
      </x:c>
      <x:c r="W574" s="6" t="n">
        <x:v>0</x:v>
      </x:c>
      <x:c r="X574" s="6" t="n">
        <x:v>0</x:v>
      </x:c>
      <x:c r="Y574" s="6" t="n">
        <x:v>0</x:v>
      </x:c>
      <x:c r="Z574" s="6" t="n">
        <x:v>0</x:v>
      </x:c>
      <x:c r="AA574" s="6" t="n">
        <x:v>3</x:v>
      </x:c>
      <x:c r="AB574" s="6" t="n">
        <x:v>11</x:v>
      </x:c>
      <x:c r="AC574" s="6" t="n">
        <x:v>0</x:v>
      </x:c>
    </x:row>
    <x:row r="575">
      <x:c r="A575" s="6" t="n">
        <x:v>1029</x:v>
      </x:c>
      <x:c r="B575" s="6" t="n">
        <x:v>1970</x:v>
      </x:c>
      <x:c r="C575" s="6" t="str">
        <x:v>PhD</x:v>
      </x:c>
      <x:c r="D575" s="6" t="str">
        <x:v>Together</x:v>
      </x:c>
      <x:c r="E575" s="6" t="n">
        <x:v>64413</x:v>
      </x:c>
      <x:c r="F575" s="6" t="n">
        <x:v>0</x:v>
      </x:c>
      <x:c r="G575" s="6" t="n">
        <x:v>1</x:v>
      </x:c>
      <x:c r="H575" s="9" t="str">
        <x:v>01-08-2013</x:v>
      </x:c>
      <x:c r="I575" s="6" t="n">
        <x:v>27</x:v>
      </x:c>
      <x:c r="J575" s="6" t="n">
        <x:v>200</x:v>
      </x:c>
      <x:c r="K575" s="6" t="n">
        <x:v>5</x:v>
      </x:c>
      <x:c r="L575" s="6" t="n">
        <x:v>44</x:v>
      </x:c>
      <x:c r="M575" s="6" t="n">
        <x:v>0</x:v>
      </x:c>
      <x:c r="N575" s="6" t="n">
        <x:v>10</x:v>
      </x:c>
      <x:c r="O575" s="6" t="n">
        <x:v>20</x:v>
      </x:c>
      <x:c r="P575" s="6" t="n">
        <x:v>1</x:v>
      </x:c>
      <x:c r="Q575" s="6" t="n">
        <x:v>5</x:v>
      </x:c>
      <x:c r="R575" s="6" t="n">
        <x:v>1</x:v>
      </x:c>
      <x:c r="S575" s="6" t="n">
        <x:v>5</x:v>
      </x:c>
      <x:c r="T575" s="6" t="n">
        <x:v>5</x:v>
      </x:c>
      <x:c r="U575" s="6" t="n">
        <x:v>0</x:v>
      </x:c>
      <x:c r="V575" s="6" t="n">
        <x:v>0</x:v>
      </x:c>
      <x:c r="W575" s="6" t="n">
        <x:v>0</x:v>
      </x:c>
      <x:c r="X575" s="6" t="n">
        <x:v>0</x:v>
      </x:c>
      <x:c r="Y575" s="6" t="n">
        <x:v>0</x:v>
      </x:c>
      <x:c r="Z575" s="6" t="n">
        <x:v>0</x:v>
      </x:c>
      <x:c r="AA575" s="6" t="n">
        <x:v>3</x:v>
      </x:c>
      <x:c r="AB575" s="6" t="n">
        <x:v>11</x:v>
      </x:c>
      <x:c r="AC575" s="6" t="n">
        <x:v>0</x:v>
      </x:c>
    </x:row>
    <x:row r="576">
      <x:c r="A576" s="6" t="n">
        <x:v>7369</x:v>
      </x:c>
      <x:c r="B576" s="6" t="n">
        <x:v>1981</x:v>
      </x:c>
      <x:c r="C576" s="6" t="str">
        <x:v>Master</x:v>
      </x:c>
      <x:c r="D576" s="6" t="str">
        <x:v>Married</x:v>
      </x:c>
      <x:c r="E576" s="6" t="n">
        <x:v>36959</x:v>
      </x:c>
      <x:c r="F576" s="6" t="n">
        <x:v>1</x:v>
      </x:c>
      <x:c r="G576" s="6" t="n">
        <x:v>0</x:v>
      </x:c>
      <x:c r="H576" s="9" t="str">
        <x:v>02-10-2013</x:v>
      </x:c>
      <x:c r="I576" s="6" t="n">
        <x:v>56</x:v>
      </x:c>
      <x:c r="J576" s="6" t="n">
        <x:v>25</x:v>
      </x:c>
      <x:c r="K576" s="6" t="n">
        <x:v>6</x:v>
      </x:c>
      <x:c r="L576" s="6" t="n">
        <x:v>25</x:v>
      </x:c>
      <x:c r="M576" s="6" t="n">
        <x:v>6</x:v>
      </x:c>
      <x:c r="N576" s="6" t="n">
        <x:v>0</x:v>
      </x:c>
      <x:c r="O576" s="6" t="n">
        <x:v>0</x:v>
      </x:c>
      <x:c r="P576" s="6" t="n">
        <x:v>2</x:v>
      </x:c>
      <x:c r="Q576" s="6" t="n">
        <x:v>2</x:v>
      </x:c>
      <x:c r="R576" s="6" t="n">
        <x:v>0</x:v>
      </x:c>
      <x:c r="S576" s="6" t="n">
        <x:v>3</x:v>
      </x:c>
      <x:c r="T576" s="6" t="n">
        <x:v>8</x:v>
      </x:c>
      <x:c r="U576" s="6" t="n">
        <x:v>0</x:v>
      </x:c>
      <x:c r="V576" s="6" t="n">
        <x:v>0</x:v>
      </x:c>
      <x:c r="W576" s="6" t="n">
        <x:v>0</x:v>
      </x:c>
      <x:c r="X576" s="6" t="n">
        <x:v>0</x:v>
      </x:c>
      <x:c r="Y576" s="6" t="n">
        <x:v>0</x:v>
      </x:c>
      <x:c r="Z576" s="6" t="n">
        <x:v>0</x:v>
      </x:c>
      <x:c r="AA576" s="6" t="n">
        <x:v>3</x:v>
      </x:c>
      <x:c r="AB576" s="6" t="n">
        <x:v>11</x:v>
      </x:c>
      <x:c r="AC576" s="6" t="n">
        <x:v>0</x:v>
      </x:c>
    </x:row>
    <x:row r="577">
      <x:c r="A577" s="6" t="n">
        <x:v>2574</x:v>
      </x:c>
      <x:c r="B577" s="6" t="n">
        <x:v>1977</x:v>
      </x:c>
      <x:c r="C577" s="6" t="str">
        <x:v>PhD</x:v>
      </x:c>
      <x:c r="D577" s="6" t="str">
        <x:v>Married</x:v>
      </x:c>
      <x:c r="E577" s="6" t="n">
        <x:v>61996</x:v>
      </x:c>
      <x:c r="F577" s="6" t="n">
        <x:v>0</x:v>
      </x:c>
      <x:c r="G577" s="6" t="n">
        <x:v>1</x:v>
      </x:c>
      <x:c r="H577" s="9" t="str">
        <x:v>31-01-2013</x:v>
      </x:c>
      <x:c r="I577" s="6" t="n">
        <x:v>27</x:v>
      </x:c>
      <x:c r="J577" s="6" t="n">
        <x:v>1050</x:v>
      </x:c>
      <x:c r="K577" s="6" t="n">
        <x:v>12</x:v>
      </x:c>
      <x:c r="L577" s="6" t="n">
        <x:v>144</x:v>
      </x:c>
      <x:c r="M577" s="6" t="n">
        <x:v>0</x:v>
      </x:c>
      <x:c r="N577" s="6" t="n">
        <x:v>0</x:v>
      </x:c>
      <x:c r="O577" s="6" t="n">
        <x:v>24</x:v>
      </x:c>
      <x:c r="P577" s="6" t="n">
        <x:v>3</x:v>
      </x:c>
      <x:c r="Q577" s="6" t="n">
        <x:v>6</x:v>
      </x:c>
      <x:c r="R577" s="6" t="n">
        <x:v>4</x:v>
      </x:c>
      <x:c r="S577" s="6" t="n">
        <x:v>8</x:v>
      </x:c>
      <x:c r="T577" s="6" t="n">
        <x:v>5</x:v>
      </x:c>
      <x:c r="U577" s="6" t="n">
        <x:v>0</x:v>
      </x:c>
      <x:c r="V577" s="6" t="n">
        <x:v>1</x:v>
      </x:c>
      <x:c r="W577" s="6" t="n">
        <x:v>0</x:v>
      </x:c>
      <x:c r="X577" s="6" t="n">
        <x:v>1</x:v>
      </x:c>
      <x:c r="Y577" s="6" t="n">
        <x:v>1</x:v>
      </x:c>
      <x:c r="Z577" s="6" t="n">
        <x:v>0</x:v>
      </x:c>
      <x:c r="AA577" s="6" t="n">
        <x:v>3</x:v>
      </x:c>
      <x:c r="AB577" s="6" t="n">
        <x:v>11</x:v>
      </x:c>
      <x:c r="AC577" s="6" t="n">
        <x:v>1</x:v>
      </x:c>
    </x:row>
    <x:row r="578">
      <x:c r="A578" s="6" t="n">
        <x:v>8159</x:v>
      </x:c>
      <x:c r="B578" s="6" t="n">
        <x:v>1968</x:v>
      </x:c>
      <x:c r="C578" s="6" t="str">
        <x:v>Graduation</x:v>
      </x:c>
      <x:c r="D578" s="6" t="str">
        <x:v>Married</x:v>
      </x:c>
      <x:c r="E578" s="6" t="n">
        <x:v>51287</x:v>
      </x:c>
      <x:c r="F578" s="6" t="n">
        <x:v>1</x:v>
      </x:c>
      <x:c r="G578" s="6" t="n">
        <x:v>1</x:v>
      </x:c>
      <x:c r="H578" s="9" t="str">
        <x:v>01-04-2014</x:v>
      </x:c>
      <x:c r="I578" s="6" t="n">
        <x:v>10</x:v>
      </x:c>
      <x:c r="J578" s="6" t="n">
        <x:v>117</x:v>
      </x:c>
      <x:c r="K578" s="6" t="n">
        <x:v>0</x:v>
      </x:c>
      <x:c r="L578" s="6" t="n">
        <x:v>22</x:v>
      </x:c>
      <x:c r="M578" s="6" t="n">
        <x:v>13</x:v>
      </x:c>
      <x:c r="N578" s="6" t="n">
        <x:v>0</x:v>
      </x:c>
      <x:c r="O578" s="6" t="n">
        <x:v>30</x:v>
      </x:c>
      <x:c r="P578" s="6" t="n">
        <x:v>3</x:v>
      </x:c>
      <x:c r="Q578" s="6" t="n">
        <x:v>4</x:v>
      </x:c>
      <x:c r="R578" s="6" t="n">
        <x:v>1</x:v>
      </x:c>
      <x:c r="S578" s="6" t="n">
        <x:v>3</x:v>
      </x:c>
      <x:c r="T578" s="6" t="n">
        <x:v>7</x:v>
      </x:c>
      <x:c r="U578" s="6" t="n">
        <x:v>0</x:v>
      </x:c>
      <x:c r="V578" s="6" t="n">
        <x:v>0</x:v>
      </x:c>
      <x:c r="W578" s="6" t="n">
        <x:v>0</x:v>
      </x:c>
      <x:c r="X578" s="6" t="n">
        <x:v>0</x:v>
      </x:c>
      <x:c r="Y578" s="6" t="n">
        <x:v>0</x:v>
      </x:c>
      <x:c r="Z578" s="6" t="n">
        <x:v>0</x:v>
      </x:c>
      <x:c r="AA578" s="6" t="n">
        <x:v>3</x:v>
      </x:c>
      <x:c r="AB578" s="6" t="n">
        <x:v>11</x:v>
      </x:c>
      <x:c r="AC578" s="6" t="n">
        <x:v>0</x:v>
      </x:c>
    </x:row>
    <x:row r="579">
      <x:c r="A579" s="6" t="n">
        <x:v>1160</x:v>
      </x:c>
      <x:c r="B579" s="6" t="n">
        <x:v>1970</x:v>
      </x:c>
      <x:c r="C579" s="6" t="str">
        <x:v>Graduation</x:v>
      </x:c>
      <x:c r="D579" s="6" t="str">
        <x:v>Married</x:v>
      </x:c>
      <x:c r="E579" s="6" t="n">
        <x:v>13260</x:v>
      </x:c>
      <x:c r="F579" s="6" t="n">
        <x:v>1</x:v>
      </x:c>
      <x:c r="G579" s="6" t="n">
        <x:v>1</x:v>
      </x:c>
      <x:c r="H579" s="9" t="str">
        <x:v>23-08-2013</x:v>
      </x:c>
      <x:c r="I579" s="6" t="n">
        <x:v>48</x:v>
      </x:c>
      <x:c r="J579" s="6" t="n">
        <x:v>9</x:v>
      </x:c>
      <x:c r="K579" s="6" t="n">
        <x:v>4</x:v>
      </x:c>
      <x:c r="L579" s="6" t="n">
        <x:v>17</x:v>
      </x:c>
      <x:c r="M579" s="6" t="n">
        <x:v>10</x:v>
      </x:c>
      <x:c r="N579" s="6" t="n">
        <x:v>2</x:v>
      </x:c>
      <x:c r="O579" s="6" t="n">
        <x:v>7</x:v>
      </x:c>
      <x:c r="P579" s="6" t="n">
        <x:v>4</x:v>
      </x:c>
      <x:c r="Q579" s="6" t="n">
        <x:v>3</x:v>
      </x:c>
      <x:c r="R579" s="6" t="n">
        <x:v>0</x:v>
      </x:c>
      <x:c r="S579" s="6" t="n">
        <x:v>3</x:v>
      </x:c>
      <x:c r="T579" s="6" t="n">
        <x:v>8</x:v>
      </x:c>
      <x:c r="U579" s="6" t="n">
        <x:v>0</x:v>
      </x:c>
      <x:c r="V579" s="6" t="n">
        <x:v>0</x:v>
      </x:c>
      <x:c r="W579" s="6" t="n">
        <x:v>0</x:v>
      </x:c>
      <x:c r="X579" s="6" t="n">
        <x:v>0</x:v>
      </x:c>
      <x:c r="Y579" s="6" t="n">
        <x:v>0</x:v>
      </x:c>
      <x:c r="Z579" s="6" t="n">
        <x:v>0</x:v>
      </x:c>
      <x:c r="AA579" s="6" t="n">
        <x:v>3</x:v>
      </x:c>
      <x:c r="AB579" s="6" t="n">
        <x:v>11</x:v>
      </x:c>
      <x:c r="AC579" s="6" t="n">
        <x:v>0</x:v>
      </x:c>
    </x:row>
    <x:row r="580">
      <x:c r="A580" s="6" t="n">
        <x:v>10242</x:v>
      </x:c>
      <x:c r="B580" s="6" t="n">
        <x:v>1966</x:v>
      </x:c>
      <x:c r="C580" s="6" t="str">
        <x:v>PhD</x:v>
      </x:c>
      <x:c r="D580" s="6" t="str">
        <x:v>Together</x:v>
      </x:c>
      <x:c r="E580" s="6" t="n">
        <x:v>47472</x:v>
      </x:c>
      <x:c r="F580" s="6" t="n">
        <x:v>1</x:v>
      </x:c>
      <x:c r="G580" s="6" t="n">
        <x:v>1</x:v>
      </x:c>
      <x:c r="H580" s="9" t="str">
        <x:v>16-09-2013</x:v>
      </x:c>
      <x:c r="I580" s="6" t="n">
        <x:v>39</x:v>
      </x:c>
      <x:c r="J580" s="6" t="n">
        <x:v>56</x:v>
      </x:c>
      <x:c r="K580" s="6" t="n">
        <x:v>0</x:v>
      </x:c>
      <x:c r="L580" s="6" t="n">
        <x:v>11</x:v>
      </x:c>
      <x:c r="M580" s="6" t="n">
        <x:v>0</x:v>
      </x:c>
      <x:c r="N580" s="6" t="n">
        <x:v>0</x:v>
      </x:c>
      <x:c r="O580" s="6" t="n">
        <x:v>8</x:v>
      </x:c>
      <x:c r="P580" s="6" t="n">
        <x:v>2</x:v>
      </x:c>
      <x:c r="Q580" s="6" t="n">
        <x:v>2</x:v>
      </x:c>
      <x:c r="R580" s="6" t="n">
        <x:v>0</x:v>
      </x:c>
      <x:c r="S580" s="6" t="n">
        <x:v>4</x:v>
      </x:c>
      <x:c r="T580" s="6" t="n">
        <x:v>5</x:v>
      </x:c>
      <x:c r="U580" s="6" t="n">
        <x:v>0</x:v>
      </x:c>
      <x:c r="V580" s="6" t="n">
        <x:v>0</x:v>
      </x:c>
      <x:c r="W580" s="6" t="n">
        <x:v>0</x:v>
      </x:c>
      <x:c r="X580" s="6" t="n">
        <x:v>0</x:v>
      </x:c>
      <x:c r="Y580" s="6" t="n">
        <x:v>0</x:v>
      </x:c>
      <x:c r="Z580" s="6" t="n">
        <x:v>0</x:v>
      </x:c>
      <x:c r="AA580" s="6" t="n">
        <x:v>3</x:v>
      </x:c>
      <x:c r="AB580" s="6" t="n">
        <x:v>11</x:v>
      </x:c>
      <x:c r="AC580" s="6" t="n">
        <x:v>0</x:v>
      </x:c>
    </x:row>
    <x:row r="581">
      <x:c r="A581" s="6" t="n">
        <x:v>5253</x:v>
      </x:c>
      <x:c r="B581" s="6" t="n">
        <x:v>1956</x:v>
      </x:c>
      <x:c r="C581" s="6" t="str">
        <x:v>Master</x:v>
      </x:c>
      <x:c r="D581" s="6" t="str">
        <x:v>Together</x:v>
      </x:c>
      <x:c r="E581" s="6" t="n">
        <x:v>54603</x:v>
      </x:c>
      <x:c r="F581" s="6" t="n">
        <x:v>1</x:v>
      </x:c>
      <x:c r="G581" s="6" t="n">
        <x:v>1</x:v>
      </x:c>
      <x:c r="H581" s="9" t="str">
        <x:v>09-07-2013</x:v>
      </x:c>
      <x:c r="I581" s="6" t="n">
        <x:v>85</x:v>
      </x:c>
      <x:c r="J581" s="6" t="n">
        <x:v>145</x:v>
      </x:c>
      <x:c r="K581" s="6" t="n">
        <x:v>13</x:v>
      </x:c>
      <x:c r="L581" s="6" t="n">
        <x:v>46</x:v>
      </x:c>
      <x:c r="M581" s="6" t="n">
        <x:v>17</x:v>
      </x:c>
      <x:c r="N581" s="6" t="n">
        <x:v>2</x:v>
      </x:c>
      <x:c r="O581" s="6" t="n">
        <x:v>4</x:v>
      </x:c>
      <x:c r="P581" s="6" t="n">
        <x:v>6</x:v>
      </x:c>
      <x:c r="Q581" s="6" t="n">
        <x:v>4</x:v>
      </x:c>
      <x:c r="R581" s="6" t="n">
        <x:v>2</x:v>
      </x:c>
      <x:c r="S581" s="6" t="n">
        <x:v>4</x:v>
      </x:c>
      <x:c r="T581" s="6" t="n">
        <x:v>7</x:v>
      </x:c>
      <x:c r="U581" s="6" t="n">
        <x:v>0</x:v>
      </x:c>
      <x:c r="V581" s="6" t="n">
        <x:v>0</x:v>
      </x:c>
      <x:c r="W581" s="6" t="n">
        <x:v>0</x:v>
      </x:c>
      <x:c r="X581" s="6" t="n">
        <x:v>0</x:v>
      </x:c>
      <x:c r="Y581" s="6" t="n">
        <x:v>0</x:v>
      </x:c>
      <x:c r="Z581" s="6" t="n">
        <x:v>0</x:v>
      </x:c>
      <x:c r="AA581" s="6" t="n">
        <x:v>3</x:v>
      </x:c>
      <x:c r="AB581" s="6" t="n">
        <x:v>11</x:v>
      </x:c>
      <x:c r="AC581" s="6" t="n">
        <x:v>0</x:v>
      </x:c>
    </x:row>
    <x:row r="582">
      <x:c r="A582" s="6" t="n">
        <x:v>5966</x:v>
      </x:c>
      <x:c r="B582" s="6" t="n">
        <x:v>1974</x:v>
      </x:c>
      <x:c r="C582" s="6" t="str">
        <x:v>PhD</x:v>
      </x:c>
      <x:c r="D582" s="6" t="str">
        <x:v>Married</x:v>
      </x:c>
      <x:c r="E582" s="6" t="n">
        <x:v>45207</x:v>
      </x:c>
      <x:c r="F582" s="6" t="n">
        <x:v>1</x:v>
      </x:c>
      <x:c r="G582" s="6" t="n">
        <x:v>1</x:v>
      </x:c>
      <x:c r="H582" s="9" t="str">
        <x:v>10-11-2012</x:v>
      </x:c>
      <x:c r="I582" s="6" t="n">
        <x:v>64</x:v>
      </x:c>
      <x:c r="J582" s="6" t="n">
        <x:v>203</x:v>
      </x:c>
      <x:c r="K582" s="6" t="n">
        <x:v>0</x:v>
      </x:c>
      <x:c r="L582" s="6" t="n">
        <x:v>10</x:v>
      </x:c>
      <x:c r="M582" s="6" t="n">
        <x:v>0</x:v>
      </x:c>
      <x:c r="N582" s="6" t="n">
        <x:v>0</x:v>
      </x:c>
      <x:c r="O582" s="6" t="n">
        <x:v>2</x:v>
      </x:c>
      <x:c r="P582" s="6" t="n">
        <x:v>5</x:v>
      </x:c>
      <x:c r="Q582" s="6" t="n">
        <x:v>3</x:v>
      </x:c>
      <x:c r="R582" s="6" t="n">
        <x:v>1</x:v>
      </x:c>
      <x:c r="S582" s="6" t="n">
        <x:v>6</x:v>
      </x:c>
      <x:c r="T582" s="6" t="n">
        <x:v>6</x:v>
      </x:c>
      <x:c r="U582" s="6" t="n">
        <x:v>0</x:v>
      </x:c>
      <x:c r="V582" s="6" t="n">
        <x:v>1</x:v>
      </x:c>
      <x:c r="W582" s="6" t="n">
        <x:v>0</x:v>
      </x:c>
      <x:c r="X582" s="6" t="n">
        <x:v>0</x:v>
      </x:c>
      <x:c r="Y582" s="6" t="n">
        <x:v>0</x:v>
      </x:c>
      <x:c r="Z582" s="6" t="n">
        <x:v>0</x:v>
      </x:c>
      <x:c r="AA582" s="6" t="n">
        <x:v>3</x:v>
      </x:c>
      <x:c r="AB582" s="6" t="n">
        <x:v>11</x:v>
      </x:c>
      <x:c r="AC582" s="6" t="n">
        <x:v>0</x:v>
      </x:c>
    </x:row>
    <x:row r="583">
      <x:c r="A583" s="6" t="n">
        <x:v>5314</x:v>
      </x:c>
      <x:c r="B583" s="6" t="n">
        <x:v>1951</x:v>
      </x:c>
      <x:c r="C583" s="6" t="str">
        <x:v>Graduation</x:v>
      </x:c>
      <x:c r="D583" s="6" t="str">
        <x:v>Together</x:v>
      </x:c>
      <x:c r="E583" s="6" t="n">
        <x:v>40689</x:v>
      </x:c>
      <x:c r="F583" s="6" t="n">
        <x:v>0</x:v>
      </x:c>
      <x:c r="G583" s="6" t="n">
        <x:v>1</x:v>
      </x:c>
      <x:c r="H583" s="9" t="str">
        <x:v>18-03-2013</x:v>
      </x:c>
      <x:c r="I583" s="6" t="n">
        <x:v>69</x:v>
      </x:c>
      <x:c r="J583" s="6" t="n">
        <x:v>270</x:v>
      </x:c>
      <x:c r="K583" s="6" t="n">
        <x:v>3</x:v>
      </x:c>
      <x:c r="L583" s="6" t="n">
        <x:v>27</x:v>
      </x:c>
      <x:c r="M583" s="6" t="n">
        <x:v>39</x:v>
      </x:c>
      <x:c r="N583" s="6" t="n">
        <x:v>6</x:v>
      </x:c>
      <x:c r="O583" s="6" t="n">
        <x:v>99</x:v>
      </x:c>
      <x:c r="P583" s="6" t="n">
        <x:v>7</x:v>
      </x:c>
      <x:c r="Q583" s="6" t="n">
        <x:v>7</x:v>
      </x:c>
      <x:c r="R583" s="6" t="n">
        <x:v>1</x:v>
      </x:c>
      <x:c r="S583" s="6" t="n">
        <x:v>5</x:v>
      </x:c>
      <x:c r="T583" s="6" t="n">
        <x:v>8</x:v>
      </x:c>
      <x:c r="U583" s="6" t="n">
        <x:v>0</x:v>
      </x:c>
      <x:c r="V583" s="6" t="n">
        <x:v>0</x:v>
      </x:c>
      <x:c r="W583" s="6" t="n">
        <x:v>0</x:v>
      </x:c>
      <x:c r="X583" s="6" t="n">
        <x:v>0</x:v>
      </x:c>
      <x:c r="Y583" s="6" t="n">
        <x:v>0</x:v>
      </x:c>
      <x:c r="Z583" s="6" t="n">
        <x:v>0</x:v>
      </x:c>
      <x:c r="AA583" s="6" t="n">
        <x:v>3</x:v>
      </x:c>
      <x:c r="AB583" s="6" t="n">
        <x:v>11</x:v>
      </x:c>
      <x:c r="AC583" s="6" t="n">
        <x:v>0</x:v>
      </x:c>
    </x:row>
    <x:row r="584">
      <x:c r="A584" s="6" t="n">
        <x:v>5081</x:v>
      </x:c>
      <x:c r="B584" s="6" t="n">
        <x:v>1967</x:v>
      </x:c>
      <x:c r="C584" s="6" t="str">
        <x:v>2n Cycle</x:v>
      </x:c>
      <x:c r="D584" s="6" t="str">
        <x:v>Together</x:v>
      </x:c>
      <x:c r="E584" s="6" t="n">
        <x:v>47821</x:v>
      </x:c>
      <x:c r="F584" s="6" t="n">
        <x:v>1</x:v>
      </x:c>
      <x:c r="G584" s="6" t="n">
        <x:v>1</x:v>
      </x:c>
      <x:c r="H584" s="9" t="str">
        <x:v>20-10-2013</x:v>
      </x:c>
      <x:c r="I584" s="6" t="n">
        <x:v>54</x:v>
      </x:c>
      <x:c r="J584" s="6" t="n">
        <x:v>9</x:v>
      </x:c>
      <x:c r="K584" s="6" t="n">
        <x:v>0</x:v>
      </x:c>
      <x:c r="L584" s="6" t="n">
        <x:v>16</x:v>
      </x:c>
      <x:c r="M584" s="6" t="n">
        <x:v>6</x:v>
      </x:c>
      <x:c r="N584" s="6" t="n">
        <x:v>6</x:v>
      </x:c>
      <x:c r="O584" s="6" t="n">
        <x:v>10</x:v>
      </x:c>
      <x:c r="P584" s="6" t="n">
        <x:v>1</x:v>
      </x:c>
      <x:c r="Q584" s="6" t="n">
        <x:v>1</x:v>
      </x:c>
      <x:c r="R584" s="6" t="n">
        <x:v>0</x:v>
      </x:c>
      <x:c r="S584" s="6" t="n">
        <x:v>3</x:v>
      </x:c>
      <x:c r="T584" s="6" t="n">
        <x:v>8</x:v>
      </x:c>
      <x:c r="U584" s="6" t="n">
        <x:v>0</x:v>
      </x:c>
      <x:c r="V584" s="6" t="n">
        <x:v>0</x:v>
      </x:c>
      <x:c r="W584" s="6" t="n">
        <x:v>0</x:v>
      </x:c>
      <x:c r="X584" s="6" t="n">
        <x:v>0</x:v>
      </x:c>
      <x:c r="Y584" s="6" t="n">
        <x:v>0</x:v>
      </x:c>
      <x:c r="Z584" s="6" t="n">
        <x:v>0</x:v>
      </x:c>
      <x:c r="AA584" s="6" t="n">
        <x:v>3</x:v>
      </x:c>
      <x:c r="AB584" s="6" t="n">
        <x:v>11</x:v>
      </x:c>
      <x:c r="AC584" s="6" t="n">
        <x:v>0</x:v>
      </x:c>
    </x:row>
    <x:row r="585">
      <x:c r="A585" s="6" t="n">
        <x:v>5123</x:v>
      </x:c>
      <x:c r="B585" s="6" t="n">
        <x:v>1951</x:v>
      </x:c>
      <x:c r="C585" s="6" t="str">
        <x:v>Master</x:v>
      </x:c>
      <x:c r="D585" s="6" t="str">
        <x:v>Married</x:v>
      </x:c>
      <x:c r="E585" s="6" t="n">
        <x:v>27450</x:v>
      </x:c>
      <x:c r="F585" s="6" t="n">
        <x:v>0</x:v>
      </x:c>
      <x:c r="G585" s="6" t="n">
        <x:v>0</x:v>
      </x:c>
      <x:c r="H585" s="9" t="str">
        <x:v>15-04-2013</x:v>
      </x:c>
      <x:c r="I585" s="6" t="n">
        <x:v>57</x:v>
      </x:c>
      <x:c r="J585" s="6" t="n">
        <x:v>37</x:v>
      </x:c>
      <x:c r="K585" s="6" t="n">
        <x:v>12</x:v>
      </x:c>
      <x:c r="L585" s="6" t="n">
        <x:v>23</x:v>
      </x:c>
      <x:c r="M585" s="6" t="n">
        <x:v>8</x:v>
      </x:c>
      <x:c r="N585" s="6" t="n">
        <x:v>11</x:v>
      </x:c>
      <x:c r="O585" s="6" t="n">
        <x:v>52</x:v>
      </x:c>
      <x:c r="P585" s="6" t="n">
        <x:v>1</x:v>
      </x:c>
      <x:c r="Q585" s="6" t="n">
        <x:v>2</x:v>
      </x:c>
      <x:c r="R585" s="6" t="n">
        <x:v>1</x:v>
      </x:c>
      <x:c r="S585" s="6" t="n">
        <x:v>3</x:v>
      </x:c>
      <x:c r="T585" s="6" t="n">
        <x:v>7</x:v>
      </x:c>
      <x:c r="U585" s="6" t="n">
        <x:v>0</x:v>
      </x:c>
      <x:c r="V585" s="6" t="n">
        <x:v>0</x:v>
      </x:c>
      <x:c r="W585" s="6" t="n">
        <x:v>0</x:v>
      </x:c>
      <x:c r="X585" s="6" t="n">
        <x:v>0</x:v>
      </x:c>
      <x:c r="Y585" s="6" t="n">
        <x:v>0</x:v>
      </x:c>
      <x:c r="Z585" s="6" t="n">
        <x:v>0</x:v>
      </x:c>
      <x:c r="AA585" s="6" t="n">
        <x:v>3</x:v>
      </x:c>
      <x:c r="AB585" s="6" t="n">
        <x:v>11</x:v>
      </x:c>
      <x:c r="AC585" s="6" t="n">
        <x:v>0</x:v>
      </x:c>
    </x:row>
    <x:row r="586">
      <x:c r="A586" s="6" t="n">
        <x:v>5756</x:v>
      </x:c>
      <x:c r="B586" s="6" t="n">
        <x:v>1983</x:v>
      </x:c>
      <x:c r="C586" s="6" t="str">
        <x:v>Graduation</x:v>
      </x:c>
      <x:c r="D586" s="6" t="str">
        <x:v>Together</x:v>
      </x:c>
      <x:c r="E586" s="6" t="n">
        <x:v>39453</x:v>
      </x:c>
      <x:c r="F586" s="6" t="n">
        <x:v>1</x:v>
      </x:c>
      <x:c r="G586" s="6" t="n">
        <x:v>0</x:v>
      </x:c>
      <x:c r="H586" s="9" t="str">
        <x:v>03-04-2014</x:v>
      </x:c>
      <x:c r="I586" s="6" t="n">
        <x:v>64</x:v>
      </x:c>
      <x:c r="J586" s="6" t="n">
        <x:v>46</x:v>
      </x:c>
      <x:c r="K586" s="6" t="n">
        <x:v>0</x:v>
      </x:c>
      <x:c r="L586" s="6" t="n">
        <x:v>7</x:v>
      </x:c>
      <x:c r="M586" s="6" t="n">
        <x:v>0</x:v>
      </x:c>
      <x:c r="N586" s="6" t="n">
        <x:v>0</x:v>
      </x:c>
      <x:c r="O586" s="6" t="n">
        <x:v>2</x:v>
      </x:c>
      <x:c r="P586" s="6" t="n">
        <x:v>2</x:v>
      </x:c>
      <x:c r="Q586" s="6" t="n">
        <x:v>2</x:v>
      </x:c>
      <x:c r="R586" s="6" t="n">
        <x:v>0</x:v>
      </x:c>
      <x:c r="S586" s="6" t="n">
        <x:v>3</x:v>
      </x:c>
      <x:c r="T586" s="6" t="n">
        <x:v>6</x:v>
      </x:c>
      <x:c r="U586" s="6" t="n">
        <x:v>0</x:v>
      </x:c>
      <x:c r="V586" s="6" t="n">
        <x:v>0</x:v>
      </x:c>
      <x:c r="W586" s="6" t="n">
        <x:v>0</x:v>
      </x:c>
      <x:c r="X586" s="6" t="n">
        <x:v>0</x:v>
      </x:c>
      <x:c r="Y586" s="6" t="n">
        <x:v>0</x:v>
      </x:c>
      <x:c r="Z586" s="6" t="n">
        <x:v>0</x:v>
      </x:c>
      <x:c r="AA586" s="6" t="n">
        <x:v>3</x:v>
      </x:c>
      <x:c r="AB586" s="6" t="n">
        <x:v>11</x:v>
      </x:c>
      <x:c r="AC586" s="6" t="n">
        <x:v>0</x:v>
      </x:c>
    </x:row>
    <x:row r="587">
      <x:c r="A587" s="6" t="n">
        <x:v>8036</x:v>
      </x:c>
      <x:c r="B587" s="6" t="n">
        <x:v>1971</x:v>
      </x:c>
      <x:c r="C587" s="6" t="str">
        <x:v>2n Cycle</x:v>
      </x:c>
      <x:c r="D587" s="6" t="str">
        <x:v>Together</x:v>
      </x:c>
      <x:c r="E587" s="6" t="n">
        <x:v>26850</x:v>
      </x:c>
      <x:c r="F587" s="6" t="n">
        <x:v>1</x:v>
      </x:c>
      <x:c r="G587" s="6" t="n">
        <x:v>1</x:v>
      </x:c>
      <x:c r="H587" s="9" t="str">
        <x:v>18-04-2014</x:v>
      </x:c>
      <x:c r="I587" s="6" t="n">
        <x:v>10</x:v>
      </x:c>
      <x:c r="J587" s="6" t="n">
        <x:v>31</x:v>
      </x:c>
      <x:c r="K587" s="6" t="n">
        <x:v>1</x:v>
      </x:c>
      <x:c r="L587" s="6" t="n">
        <x:v>13</x:v>
      </x:c>
      <x:c r="M587" s="6" t="n">
        <x:v>7</x:v>
      </x:c>
      <x:c r="N587" s="6" t="n">
        <x:v>2</x:v>
      </x:c>
      <x:c r="O587" s="6" t="n">
        <x:v>9</x:v>
      </x:c>
      <x:c r="P587" s="6" t="n">
        <x:v>4</x:v>
      </x:c>
      <x:c r="Q587" s="6" t="n">
        <x:v>2</x:v>
      </x:c>
      <x:c r="R587" s="6" t="n">
        <x:v>1</x:v>
      </x:c>
      <x:c r="S587" s="6" t="n">
        <x:v>4</x:v>
      </x:c>
      <x:c r="T587" s="6" t="n">
        <x:v>4</x:v>
      </x:c>
      <x:c r="U587" s="6" t="n">
        <x:v>0</x:v>
      </x:c>
      <x:c r="V587" s="6" t="n">
        <x:v>0</x:v>
      </x:c>
      <x:c r="W587" s="6" t="n">
        <x:v>0</x:v>
      </x:c>
      <x:c r="X587" s="6" t="n">
        <x:v>0</x:v>
      </x:c>
      <x:c r="Y587" s="6" t="n">
        <x:v>0</x:v>
      </x:c>
      <x:c r="Z587" s="6" t="n">
        <x:v>0</x:v>
      </x:c>
      <x:c r="AA587" s="6" t="n">
        <x:v>3</x:v>
      </x:c>
      <x:c r="AB587" s="6" t="n">
        <x:v>11</x:v>
      </x:c>
      <x:c r="AC587" s="6" t="n">
        <x:v>0</x:v>
      </x:c>
    </x:row>
    <x:row r="588">
      <x:c r="A588" s="6" t="n">
        <x:v>9058</x:v>
      </x:c>
      <x:c r="B588" s="6" t="n">
        <x:v>1955</x:v>
      </x:c>
      <x:c r="C588" s="6" t="str">
        <x:v>Graduation</x:v>
      </x:c>
      <x:c r="D588" s="6" t="str">
        <x:v>Widow</x:v>
      </x:c>
      <x:c r="E588" s="6" t="n">
        <x:v>79800</x:v>
      </x:c>
      <x:c r="F588" s="6" t="n">
        <x:v>0</x:v>
      </x:c>
      <x:c r="G588" s="6" t="n">
        <x:v>0</x:v>
      </x:c>
      <x:c r="H588" s="9" t="str">
        <x:v>23-09-2012</x:v>
      </x:c>
      <x:c r="I588" s="6" t="n">
        <x:v>65</x:v>
      </x:c>
      <x:c r="J588" s="6" t="n">
        <x:v>1060</x:v>
      </x:c>
      <x:c r="K588" s="6" t="n">
        <x:v>21</x:v>
      </x:c>
      <x:c r="L588" s="6" t="n">
        <x:v>530</x:v>
      </x:c>
      <x:c r="M588" s="6" t="n">
        <x:v>32</x:v>
      </x:c>
      <x:c r="N588" s="6" t="n">
        <x:v>0</x:v>
      </x:c>
      <x:c r="O588" s="6" t="n">
        <x:v>224</x:v>
      </x:c>
      <x:c r="P588" s="6" t="n">
        <x:v>1</x:v>
      </x:c>
      <x:c r="Q588" s="6" t="n">
        <x:v>5</x:v>
      </x:c>
      <x:c r="R588" s="6" t="n">
        <x:v>11</x:v>
      </x:c>
      <x:c r="S588" s="6" t="n">
        <x:v>5</x:v>
      </x:c>
      <x:c r="T588" s="6" t="n">
        <x:v>3</x:v>
      </x:c>
      <x:c r="U588" s="6" t="n">
        <x:v>1</x:v>
      </x:c>
      <x:c r="V588" s="6" t="n">
        <x:v>0</x:v>
      </x:c>
      <x:c r="W588" s="6" t="n">
        <x:v>1</x:v>
      </x:c>
      <x:c r="X588" s="6" t="n">
        <x:v>1</x:v>
      </x:c>
      <x:c r="Y588" s="6" t="n">
        <x:v>0</x:v>
      </x:c>
      <x:c r="Z588" s="6" t="n">
        <x:v>0</x:v>
      </x:c>
      <x:c r="AA588" s="6" t="n">
        <x:v>3</x:v>
      </x:c>
      <x:c r="AB588" s="6" t="n">
        <x:v>11</x:v>
      </x:c>
      <x:c r="AC588" s="6" t="n">
        <x:v>1</x:v>
      </x:c>
    </x:row>
    <x:row r="589">
      <x:c r="A589" s="6" t="n">
        <x:v>5057</x:v>
      </x:c>
      <x:c r="B589" s="6" t="n">
        <x:v>1961</x:v>
      </x:c>
      <x:c r="C589" s="6" t="str">
        <x:v>Master</x:v>
      </x:c>
      <x:c r="D589" s="6" t="str">
        <x:v>Married</x:v>
      </x:c>
      <x:c r="E589" s="6" t="n">
        <x:v>61794</x:v>
      </x:c>
      <x:c r="F589" s="6" t="n">
        <x:v>0</x:v>
      </x:c>
      <x:c r="G589" s="6" t="n">
        <x:v>1</x:v>
      </x:c>
      <x:c r="H589" s="9" t="str">
        <x:v>14-09-2013</x:v>
      </x:c>
      <x:c r="I589" s="6" t="n">
        <x:v>74</x:v>
      </x:c>
      <x:c r="J589" s="6" t="n">
        <x:v>264</x:v>
      </x:c>
      <x:c r="K589" s="6" t="n">
        <x:v>47</x:v>
      </x:c>
      <x:c r="L589" s="6" t="n">
        <x:v>188</x:v>
      </x:c>
      <x:c r="M589" s="6" t="n">
        <x:v>54</x:v>
      </x:c>
      <x:c r="N589" s="6" t="n">
        <x:v>47</x:v>
      </x:c>
      <x:c r="O589" s="6" t="n">
        <x:v>11</x:v>
      </x:c>
      <x:c r="P589" s="6" t="n">
        <x:v>2</x:v>
      </x:c>
      <x:c r="Q589" s="6" t="n">
        <x:v>4</x:v>
      </x:c>
      <x:c r="R589" s="6" t="n">
        <x:v>4</x:v>
      </x:c>
      <x:c r="S589" s="6" t="n">
        <x:v>10</x:v>
      </x:c>
      <x:c r="T589" s="6" t="n">
        <x:v>2</x:v>
      </x:c>
      <x:c r="U589" s="6" t="n">
        <x:v>0</x:v>
      </x:c>
      <x:c r="V589" s="6" t="n">
        <x:v>0</x:v>
      </x:c>
      <x:c r="W589" s="6" t="n">
        <x:v>0</x:v>
      </x:c>
      <x:c r="X589" s="6" t="n">
        <x:v>0</x:v>
      </x:c>
      <x:c r="Y589" s="6" t="n">
        <x:v>0</x:v>
      </x:c>
      <x:c r="Z589" s="6" t="n">
        <x:v>0</x:v>
      </x:c>
      <x:c r="AA589" s="6" t="n">
        <x:v>3</x:v>
      </x:c>
      <x:c r="AB589" s="6" t="n">
        <x:v>11</x:v>
      </x:c>
      <x:c r="AC589" s="6" t="n">
        <x:v>0</x:v>
      </x:c>
    </x:row>
    <x:row r="590">
      <x:c r="A590" s="6" t="n">
        <x:v>254</x:v>
      </x:c>
      <x:c r="B590" s="6" t="n">
        <x:v>1955</x:v>
      </x:c>
      <x:c r="C590" s="6" t="str">
        <x:v>Graduation</x:v>
      </x:c>
      <x:c r="D590" s="6" t="str">
        <x:v>Together</x:v>
      </x:c>
      <x:c r="E590" s="6" t="n">
        <x:v>53863</x:v>
      </x:c>
      <x:c r="F590" s="6" t="n">
        <x:v>0</x:v>
      </x:c>
      <x:c r="G590" s="6" t="n">
        <x:v>1</x:v>
      </x:c>
      <x:c r="H590" s="9" t="str">
        <x:v>17-05-2014</x:v>
      </x:c>
      <x:c r="I590" s="6" t="n">
        <x:v>4</x:v>
      </x:c>
      <x:c r="J590" s="6" t="n">
        <x:v>399</x:v>
      </x:c>
      <x:c r="K590" s="6" t="n">
        <x:v>4</x:v>
      </x:c>
      <x:c r="L590" s="6" t="n">
        <x:v>30</x:v>
      </x:c>
      <x:c r="M590" s="6" t="n">
        <x:v>6</x:v>
      </x:c>
      <x:c r="N590" s="6" t="n">
        <x:v>4</x:v>
      </x:c>
      <x:c r="O590" s="6" t="n">
        <x:v>30</x:v>
      </x:c>
      <x:c r="P590" s="6" t="n">
        <x:v>3</x:v>
      </x:c>
      <x:c r="Q590" s="6" t="n">
        <x:v>7</x:v>
      </x:c>
      <x:c r="R590" s="6" t="n">
        <x:v>1</x:v>
      </x:c>
      <x:c r="S590" s="6" t="n">
        <x:v>7</x:v>
      </x:c>
      <x:c r="T590" s="6" t="n">
        <x:v>7</x:v>
      </x:c>
      <x:c r="U590" s="6" t="n">
        <x:v>0</x:v>
      </x:c>
      <x:c r="V590" s="6" t="n">
        <x:v>1</x:v>
      </x:c>
      <x:c r="W590" s="6" t="n">
        <x:v>0</x:v>
      </x:c>
      <x:c r="X590" s="6" t="n">
        <x:v>0</x:v>
      </x:c>
      <x:c r="Y590" s="6" t="n">
        <x:v>0</x:v>
      </x:c>
      <x:c r="Z590" s="6" t="n">
        <x:v>0</x:v>
      </x:c>
      <x:c r="AA590" s="6" t="n">
        <x:v>3</x:v>
      </x:c>
      <x:c r="AB590" s="6" t="n">
        <x:v>11</x:v>
      </x:c>
      <x:c r="AC590" s="6" t="n">
        <x:v>0</x:v>
      </x:c>
    </x:row>
    <x:row r="591">
      <x:c r="A591" s="6" t="n">
        <x:v>4179</x:v>
      </x:c>
      <x:c r="B591" s="6" t="n">
        <x:v>1959</x:v>
      </x:c>
      <x:c r="C591" s="6" t="str">
        <x:v>Graduation</x:v>
      </x:c>
      <x:c r="D591" s="6" t="str">
        <x:v>Together</x:v>
      </x:c>
      <x:c r="E591" s="6" t="n">
        <x:v>24221</x:v>
      </x:c>
      <x:c r="F591" s="6" t="n">
        <x:v>0</x:v>
      </x:c>
      <x:c r="G591" s="6" t="n">
        <x:v>0</x:v>
      </x:c>
      <x:c r="H591" s="9" t="str">
        <x:v>20-08-2013</x:v>
      </x:c>
      <x:c r="I591" s="6" t="n">
        <x:v>94</x:v>
      </x:c>
      <x:c r="J591" s="6" t="n">
        <x:v>8</x:v>
      </x:c>
      <x:c r="K591" s="6" t="n">
        <x:v>9</x:v>
      </x:c>
      <x:c r="L591" s="6" t="n">
        <x:v>9</x:v>
      </x:c>
      <x:c r="M591" s="6" t="n">
        <x:v>2</x:v>
      </x:c>
      <x:c r="N591" s="6" t="n">
        <x:v>5</x:v>
      </x:c>
      <x:c r="O591" s="6" t="n">
        <x:v>22</x:v>
      </x:c>
      <x:c r="P591" s="6" t="n">
        <x:v>1</x:v>
      </x:c>
      <x:c r="Q591" s="6" t="n">
        <x:v>1</x:v>
      </x:c>
      <x:c r="R591" s="6" t="n">
        <x:v>1</x:v>
      </x:c>
      <x:c r="S591" s="6" t="n">
        <x:v>3</x:v>
      </x:c>
      <x:c r="T591" s="6" t="n">
        <x:v>4</x:v>
      </x:c>
      <x:c r="U591" s="6" t="n">
        <x:v>0</x:v>
      </x:c>
      <x:c r="V591" s="6" t="n">
        <x:v>0</x:v>
      </x:c>
      <x:c r="W591" s="6" t="n">
        <x:v>0</x:v>
      </x:c>
      <x:c r="X591" s="6" t="n">
        <x:v>0</x:v>
      </x:c>
      <x:c r="Y591" s="6" t="n">
        <x:v>0</x:v>
      </x:c>
      <x:c r="Z591" s="6" t="n">
        <x:v>0</x:v>
      </x:c>
      <x:c r="AA591" s="6" t="n">
        <x:v>3</x:v>
      </x:c>
      <x:c r="AB591" s="6" t="n">
        <x:v>11</x:v>
      </x:c>
      <x:c r="AC591" s="6" t="n">
        <x:v>0</x:v>
      </x:c>
    </x:row>
    <x:row r="592">
      <x:c r="A592" s="6" t="n">
        <x:v>3710</x:v>
      </x:c>
      <x:c r="B592" s="6" t="n">
        <x:v>1984</x:v>
      </x:c>
      <x:c r="C592" s="6" t="str">
        <x:v>PhD</x:v>
      </x:c>
      <x:c r="D592" s="6" t="str">
        <x:v>Single</x:v>
      </x:c>
      <x:c r="E592" s="6" t="n">
        <x:v>39684</x:v>
      </x:c>
      <x:c r="F592" s="6" t="n">
        <x:v>1</x:v>
      </x:c>
      <x:c r="G592" s="6" t="n">
        <x:v>0</x:v>
      </x:c>
      <x:c r="H592" s="9" t="str">
        <x:v>12-10-2012</x:v>
      </x:c>
      <x:c r="I592" s="6" t="n">
        <x:v>41</x:v>
      </x:c>
      <x:c r="J592" s="6" t="n">
        <x:v>19</x:v>
      </x:c>
      <x:c r="K592" s="6" t="n">
        <x:v>0</x:v>
      </x:c>
      <x:c r="L592" s="6" t="n">
        <x:v>35</x:v>
      </x:c>
      <x:c r="M592" s="6" t="n">
        <x:v>6</x:v>
      </x:c>
      <x:c r="N592" s="6" t="n">
        <x:v>4</x:v>
      </x:c>
      <x:c r="O592" s="6" t="n">
        <x:v>17</x:v>
      </x:c>
      <x:c r="P592" s="6" t="n">
        <x:v>2</x:v>
      </x:c>
      <x:c r="Q592" s="6" t="n">
        <x:v>2</x:v>
      </x:c>
      <x:c r="R592" s="6" t="n">
        <x:v>1</x:v>
      </x:c>
      <x:c r="S592" s="6" t="n">
        <x:v>2</x:v>
      </x:c>
      <x:c r="T592" s="6" t="n">
        <x:v>7</x:v>
      </x:c>
      <x:c r="U592" s="6" t="n">
        <x:v>0</x:v>
      </x:c>
      <x:c r="V592" s="6" t="n">
        <x:v>0</x:v>
      </x:c>
      <x:c r="W592" s="6" t="n">
        <x:v>0</x:v>
      </x:c>
      <x:c r="X592" s="6" t="n">
        <x:v>0</x:v>
      </x:c>
      <x:c r="Y592" s="6" t="n">
        <x:v>0</x:v>
      </x:c>
      <x:c r="Z592" s="6" t="n">
        <x:v>1</x:v>
      </x:c>
      <x:c r="AA592" s="6" t="n">
        <x:v>3</x:v>
      </x:c>
      <x:c r="AB592" s="6" t="n">
        <x:v>11</x:v>
      </x:c>
      <x:c r="AC592" s="6" t="n">
        <x:v>1</x:v>
      </x:c>
    </x:row>
    <x:row r="593">
      <x:c r="A593" s="6" t="n">
        <x:v>7627</x:v>
      </x:c>
      <x:c r="B593" s="6" t="n">
        <x:v>1975</x:v>
      </x:c>
      <x:c r="C593" s="6" t="str">
        <x:v>Master</x:v>
      </x:c>
      <x:c r="D593" s="6" t="str">
        <x:v>Married</x:v>
      </x:c>
      <x:c r="E593" s="6" t="n">
        <x:v>92163</x:v>
      </x:c>
      <x:c r="F593" s="6" t="n">
        <x:v>0</x:v>
      </x:c>
      <x:c r="G593" s="6" t="n">
        <x:v>0</x:v>
      </x:c>
      <x:c r="H593" s="9" t="str">
        <x:v>12-12-2012</x:v>
      </x:c>
      <x:c r="I593" s="6" t="n">
        <x:v>25</x:v>
      </x:c>
      <x:c r="J593" s="6" t="n">
        <x:v>817</x:v>
      </x:c>
      <x:c r="K593" s="6" t="n">
        <x:v>183</x:v>
      </x:c>
      <x:c r="L593" s="6" t="n">
        <x:v>797</x:v>
      </x:c>
      <x:c r="M593" s="6" t="n">
        <x:v>106</x:v>
      </x:c>
      <x:c r="N593" s="6" t="n">
        <x:v>163</x:v>
      </x:c>
      <x:c r="O593" s="6" t="n">
        <x:v>20</x:v>
      </x:c>
      <x:c r="P593" s="6" t="n">
        <x:v>0</x:v>
      </x:c>
      <x:c r="Q593" s="6" t="n">
        <x:v>5</x:v>
      </x:c>
      <x:c r="R593" s="6" t="n">
        <x:v>11</x:v>
      </x:c>
      <x:c r="S593" s="6" t="n">
        <x:v>5</x:v>
      </x:c>
      <x:c r="T593" s="6" t="n">
        <x:v>2</x:v>
      </x:c>
      <x:c r="U593" s="6" t="n">
        <x:v>0</x:v>
      </x:c>
      <x:c r="V593" s="6" t="n">
        <x:v>0</x:v>
      </x:c>
      <x:c r="W593" s="6" t="n">
        <x:v>1</x:v>
      </x:c>
      <x:c r="X593" s="6" t="n">
        <x:v>1</x:v>
      </x:c>
      <x:c r="Y593" s="6" t="n">
        <x:v>0</x:v>
      </x:c>
      <x:c r="Z593" s="6" t="n">
        <x:v>0</x:v>
      </x:c>
      <x:c r="AA593" s="6" t="n">
        <x:v>3</x:v>
      </x:c>
      <x:c r="AB593" s="6" t="n">
        <x:v>11</x:v>
      </x:c>
      <x:c r="AC593" s="6" t="n">
        <x:v>1</x:v>
      </x:c>
    </x:row>
    <x:row r="594">
      <x:c r="A594" s="6" t="n">
        <x:v>4501</x:v>
      </x:c>
      <x:c r="B594" s="6" t="n">
        <x:v>1965</x:v>
      </x:c>
      <x:c r="C594" s="6" t="str">
        <x:v>Master</x:v>
      </x:c>
      <x:c r="D594" s="6" t="str">
        <x:v>Single</x:v>
      </x:c>
      <x:c r="E594" s="6" t="n">
        <x:v>69882</x:v>
      </x:c>
      <x:c r="F594" s="6" t="n">
        <x:v>0</x:v>
      </x:c>
      <x:c r="G594" s="6" t="n">
        <x:v>0</x:v>
      </x:c>
      <x:c r="H594" s="9" t="str">
        <x:v>10-11-2013</x:v>
      </x:c>
      <x:c r="I594" s="6" t="n">
        <x:v>94</x:v>
      </x:c>
      <x:c r="J594" s="6" t="n">
        <x:v>292</x:v>
      </x:c>
      <x:c r="K594" s="6" t="n">
        <x:v>127</x:v>
      </x:c>
      <x:c r="L594" s="6" t="n">
        <x:v>635</x:v>
      </x:c>
      <x:c r="M594" s="6" t="n">
        <x:v>132</x:v>
      </x:c>
      <x:c r="N594" s="6" t="n">
        <x:v>127</x:v>
      </x:c>
      <x:c r="O594" s="6" t="n">
        <x:v>165</x:v>
      </x:c>
      <x:c r="P594" s="6" t="n">
        <x:v>1</x:v>
      </x:c>
      <x:c r="Q594" s="6" t="n">
        <x:v>3</x:v>
      </x:c>
      <x:c r="R594" s="6" t="n">
        <x:v>7</x:v>
      </x:c>
      <x:c r="S594" s="6" t="n">
        <x:v>9</x:v>
      </x:c>
      <x:c r="T594" s="6" t="n">
        <x:v>1</x:v>
      </x:c>
      <x:c r="U594" s="6" t="n">
        <x:v>0</x:v>
      </x:c>
      <x:c r="V594" s="6" t="n">
        <x:v>0</x:v>
      </x:c>
      <x:c r="W594" s="6" t="n">
        <x:v>0</x:v>
      </x:c>
      <x:c r="X594" s="6" t="n">
        <x:v>0</x:v>
      </x:c>
      <x:c r="Y594" s="6" t="n">
        <x:v>0</x:v>
      </x:c>
      <x:c r="Z594" s="6" t="n">
        <x:v>0</x:v>
      </x:c>
      <x:c r="AA594" s="6" t="n">
        <x:v>3</x:v>
      </x:c>
      <x:c r="AB594" s="6" t="n">
        <x:v>11</x:v>
      </x:c>
      <x:c r="AC594" s="6" t="n">
        <x:v>0</x:v>
      </x:c>
    </x:row>
    <x:row r="595">
      <x:c r="A595" s="6" t="n">
        <x:v>6424</x:v>
      </x:c>
      <x:c r="B595" s="6" t="n">
        <x:v>1977</x:v>
      </x:c>
      <x:c r="C595" s="6" t="str">
        <x:v>Graduation</x:v>
      </x:c>
      <x:c r="D595" s="6" t="str">
        <x:v>Together</x:v>
      </x:c>
      <x:c r="E595" s="6" t="n">
        <x:v>33178</x:v>
      </x:c>
      <x:c r="F595" s="6" t="n">
        <x:v>1</x:v>
      </x:c>
      <x:c r="G595" s="6" t="n">
        <x:v>0</x:v>
      </x:c>
      <x:c r="H595" s="9" t="str">
        <x:v>30-01-2014</x:v>
      </x:c>
      <x:c r="I595" s="6" t="n">
        <x:v>9</x:v>
      </x:c>
      <x:c r="J595" s="6" t="n">
        <x:v>12</x:v>
      </x:c>
      <x:c r="K595" s="6" t="n">
        <x:v>6</x:v>
      </x:c>
      <x:c r="L595" s="6" t="n">
        <x:v>2</x:v>
      </x:c>
      <x:c r="M595" s="6" t="n">
        <x:v>11</x:v>
      </x:c>
      <x:c r="N595" s="6" t="n">
        <x:v>2</x:v>
      </x:c>
      <x:c r="O595" s="6" t="n">
        <x:v>16</x:v>
      </x:c>
      <x:c r="P595" s="6" t="n">
        <x:v>1</x:v>
      </x:c>
      <x:c r="Q595" s="6" t="n">
        <x:v>1</x:v>
      </x:c>
      <x:c r="R595" s="6" t="n">
        <x:v>0</x:v>
      </x:c>
      <x:c r="S595" s="6" t="n">
        <x:v>3</x:v>
      </x:c>
      <x:c r="T595" s="6" t="n">
        <x:v>4</x:v>
      </x:c>
      <x:c r="U595" s="6" t="n">
        <x:v>0</x:v>
      </x:c>
      <x:c r="V595" s="6" t="n">
        <x:v>0</x:v>
      </x:c>
      <x:c r="W595" s="6" t="n">
        <x:v>0</x:v>
      </x:c>
      <x:c r="X595" s="6" t="n">
        <x:v>0</x:v>
      </x:c>
      <x:c r="Y595" s="6" t="n">
        <x:v>0</x:v>
      </x:c>
      <x:c r="Z595" s="6" t="n">
        <x:v>0</x:v>
      </x:c>
      <x:c r="AA595" s="6" t="n">
        <x:v>3</x:v>
      </x:c>
      <x:c r="AB595" s="6" t="n">
        <x:v>11</x:v>
      </x:c>
      <x:c r="AC595" s="6" t="n">
        <x:v>0</x:v>
      </x:c>
    </x:row>
    <x:row r="596">
      <x:c r="A596" s="6" t="n">
        <x:v>3075</x:v>
      </x:c>
      <x:c r="B596" s="6" t="n">
        <x:v>1972</x:v>
      </x:c>
      <x:c r="C596" s="6" t="str">
        <x:v>PhD</x:v>
      </x:c>
      <x:c r="D596" s="6" t="str">
        <x:v>Married</x:v>
      </x:c>
      <x:c r="E596" s="6" t="n">
        <x:v>59973</x:v>
      </x:c>
      <x:c r="F596" s="6" t="n">
        <x:v>0</x:v>
      </x:c>
      <x:c r="G596" s="6" t="n">
        <x:v>0</x:v>
      </x:c>
      <x:c r="H596" s="9" t="str">
        <x:v>11-09-2013</x:v>
      </x:c>
      <x:c r="I596" s="6" t="n">
        <x:v>47</x:v>
      </x:c>
      <x:c r="J596" s="6" t="n">
        <x:v>130</x:v>
      </x:c>
      <x:c r="K596" s="6" t="n">
        <x:v>30</x:v>
      </x:c>
      <x:c r="L596" s="6" t="n">
        <x:v>168</x:v>
      </x:c>
      <x:c r="M596" s="6" t="n">
        <x:v>20</x:v>
      </x:c>
      <x:c r="N596" s="6" t="n">
        <x:v>34</x:v>
      </x:c>
      <x:c r="O596" s="6" t="n">
        <x:v>0</x:v>
      </x:c>
      <x:c r="P596" s="6" t="n">
        <x:v>1</x:v>
      </x:c>
      <x:c r="Q596" s="6" t="n">
        <x:v>3</x:v>
      </x:c>
      <x:c r="R596" s="6" t="n">
        <x:v>4</x:v>
      </x:c>
      <x:c r="S596" s="6" t="n">
        <x:v>7</x:v>
      </x:c>
      <x:c r="T596" s="6" t="n">
        <x:v>1</x:v>
      </x:c>
      <x:c r="U596" s="6" t="n">
        <x:v>0</x:v>
      </x:c>
      <x:c r="V596" s="6" t="n">
        <x:v>0</x:v>
      </x:c>
      <x:c r="W596" s="6" t="n">
        <x:v>0</x:v>
      </x:c>
      <x:c r="X596" s="6" t="n">
        <x:v>0</x:v>
      </x:c>
      <x:c r="Y596" s="6" t="n">
        <x:v>0</x:v>
      </x:c>
      <x:c r="Z596" s="6" t="n">
        <x:v>0</x:v>
      </x:c>
      <x:c r="AA596" s="6" t="n">
        <x:v>3</x:v>
      </x:c>
      <x:c r="AB596" s="6" t="n">
        <x:v>11</x:v>
      </x:c>
      <x:c r="AC596" s="6" t="n">
        <x:v>0</x:v>
      </x:c>
    </x:row>
    <x:row r="597">
      <x:c r="A597" s="6" t="n">
        <x:v>4992</x:v>
      </x:c>
      <x:c r="B597" s="6" t="n">
        <x:v>1975</x:v>
      </x:c>
      <x:c r="C597" s="6" t="str">
        <x:v>Master</x:v>
      </x:c>
      <x:c r="D597" s="6" t="str">
        <x:v>Together</x:v>
      </x:c>
      <x:c r="E597" s="6" t="n">
        <x:v>17459</x:v>
      </x:c>
      <x:c r="F597" s="6" t="n">
        <x:v>1</x:v>
      </x:c>
      <x:c r="G597" s="6" t="n">
        <x:v>0</x:v>
      </x:c>
      <x:c r="H597" s="9" t="str">
        <x:v>19-09-2013</x:v>
      </x:c>
      <x:c r="I597" s="6" t="n">
        <x:v>12</x:v>
      </x:c>
      <x:c r="J597" s="6" t="n">
        <x:v>6</x:v>
      </x:c>
      <x:c r="K597" s="6" t="n">
        <x:v>4</x:v>
      </x:c>
      <x:c r="L597" s="6" t="n">
        <x:v>16</x:v>
      </x:c>
      <x:c r="M597" s="6" t="n">
        <x:v>3</x:v>
      </x:c>
      <x:c r="N597" s="6" t="n">
        <x:v>10</x:v>
      </x:c>
      <x:c r="O597" s="6" t="n">
        <x:v>30</x:v>
      </x:c>
      <x:c r="P597" s="6" t="n">
        <x:v>3</x:v>
      </x:c>
      <x:c r="Q597" s="6" t="n">
        <x:v>3</x:v>
      </x:c>
      <x:c r="R597" s="6" t="n">
        <x:v>1</x:v>
      </x:c>
      <x:c r="S597" s="6" t="n">
        <x:v>2</x:v>
      </x:c>
      <x:c r="T597" s="6" t="n">
        <x:v>7</x:v>
      </x:c>
      <x:c r="U597" s="6" t="n">
        <x:v>0</x:v>
      </x:c>
      <x:c r="V597" s="6" t="n">
        <x:v>0</x:v>
      </x:c>
      <x:c r="W597" s="6" t="n">
        <x:v>0</x:v>
      </x:c>
      <x:c r="X597" s="6" t="n">
        <x:v>0</x:v>
      </x:c>
      <x:c r="Y597" s="6" t="n">
        <x:v>0</x:v>
      </x:c>
      <x:c r="Z597" s="6" t="n">
        <x:v>0</x:v>
      </x:c>
      <x:c r="AA597" s="6" t="n">
        <x:v>3</x:v>
      </x:c>
      <x:c r="AB597" s="6" t="n">
        <x:v>11</x:v>
      </x:c>
      <x:c r="AC597" s="6" t="n">
        <x:v>1</x:v>
      </x:c>
    </x:row>
    <x:row r="598">
      <x:c r="A598" s="6" t="n">
        <x:v>5252</x:v>
      </x:c>
      <x:c r="B598" s="6" t="n">
        <x:v>1969</x:v>
      </x:c>
      <x:c r="C598" s="6" t="str">
        <x:v>Graduation</x:v>
      </x:c>
      <x:c r="D598" s="6" t="str">
        <x:v>Divorced</x:v>
      </x:c>
      <x:c r="E598" s="6" t="n">
        <x:v>23910</x:v>
      </x:c>
      <x:c r="F598" s="6" t="n">
        <x:v>1</x:v>
      </x:c>
      <x:c r="G598" s="6" t="n">
        <x:v>0</x:v>
      </x:c>
      <x:c r="H598" s="9" t="str">
        <x:v>26-10-2012</x:v>
      </x:c>
      <x:c r="I598" s="6" t="n">
        <x:v>80</x:v>
      </x:c>
      <x:c r="J598" s="6" t="n">
        <x:v>16</x:v>
      </x:c>
      <x:c r="K598" s="6" t="n">
        <x:v>12</x:v>
      </x:c>
      <x:c r="L598" s="6" t="n">
        <x:v>18</x:v>
      </x:c>
      <x:c r="M598" s="6" t="n">
        <x:v>7</x:v>
      </x:c>
      <x:c r="N598" s="6" t="n">
        <x:v>1</x:v>
      </x:c>
      <x:c r="O598" s="6" t="n">
        <x:v>13</x:v>
      </x:c>
      <x:c r="P598" s="6" t="n">
        <x:v>1</x:v>
      </x:c>
      <x:c r="Q598" s="6" t="n">
        <x:v>2</x:v>
      </x:c>
      <x:c r="R598" s="6" t="n">
        <x:v>0</x:v>
      </x:c>
      <x:c r="S598" s="6" t="n">
        <x:v>3</x:v>
      </x:c>
      <x:c r="T598" s="6" t="n">
        <x:v>7</x:v>
      </x:c>
      <x:c r="U598" s="6" t="n">
        <x:v>0</x:v>
      </x:c>
      <x:c r="V598" s="6" t="n">
        <x:v>0</x:v>
      </x:c>
      <x:c r="W598" s="6" t="n">
        <x:v>0</x:v>
      </x:c>
      <x:c r="X598" s="6" t="n">
        <x:v>0</x:v>
      </x:c>
      <x:c r="Y598" s="6" t="n">
        <x:v>0</x:v>
      </x:c>
      <x:c r="Z598" s="6" t="n">
        <x:v>0</x:v>
      </x:c>
      <x:c r="AA598" s="6" t="n">
        <x:v>3</x:v>
      </x:c>
      <x:c r="AB598" s="6" t="n">
        <x:v>11</x:v>
      </x:c>
      <x:c r="AC598" s="6" t="n">
        <x:v>0</x:v>
      </x:c>
    </x:row>
    <x:row r="599">
      <x:c r="A599" s="6" t="n">
        <x:v>7444</x:v>
      </x:c>
      <x:c r="B599" s="6" t="n">
        <x:v>1969</x:v>
      </x:c>
      <x:c r="C599" s="6" t="str">
        <x:v>Master</x:v>
      </x:c>
      <x:c r="D599" s="6" t="str">
        <x:v>Married</x:v>
      </x:c>
      <x:c r="E599" s="6" t="n">
        <x:v>42169</x:v>
      </x:c>
      <x:c r="F599" s="6" t="n">
        <x:v>1</x:v>
      </x:c>
      <x:c r="G599" s="6" t="n">
        <x:v>1</x:v>
      </x:c>
      <x:c r="H599" s="9" t="str">
        <x:v>19-10-2013</x:v>
      </x:c>
      <x:c r="I599" s="6" t="n">
        <x:v>20</x:v>
      </x:c>
      <x:c r="J599" s="6" t="n">
        <x:v>19</x:v>
      </x:c>
      <x:c r="K599" s="6" t="n">
        <x:v>0</x:v>
      </x:c>
      <x:c r="L599" s="6" t="n">
        <x:v>9</x:v>
      </x:c>
      <x:c r="M599" s="6" t="n">
        <x:v>0</x:v>
      </x:c>
      <x:c r="N599" s="6" t="n">
        <x:v>0</x:v>
      </x:c>
      <x:c r="O599" s="6" t="n">
        <x:v>2</x:v>
      </x:c>
      <x:c r="P599" s="6" t="n">
        <x:v>2</x:v>
      </x:c>
      <x:c r="Q599" s="6" t="n">
        <x:v>1</x:v>
      </x:c>
      <x:c r="R599" s="6" t="n">
        <x:v>0</x:v>
      </x:c>
      <x:c r="S599" s="6" t="n">
        <x:v>3</x:v>
      </x:c>
      <x:c r="T599" s="6" t="n">
        <x:v>8</x:v>
      </x:c>
      <x:c r="U599" s="6" t="n">
        <x:v>0</x:v>
      </x:c>
      <x:c r="V599" s="6" t="n">
        <x:v>0</x:v>
      </x:c>
      <x:c r="W599" s="6" t="n">
        <x:v>0</x:v>
      </x:c>
      <x:c r="X599" s="6" t="n">
        <x:v>0</x:v>
      </x:c>
      <x:c r="Y599" s="6" t="n">
        <x:v>0</x:v>
      </x:c>
      <x:c r="Z599" s="6" t="n">
        <x:v>0</x:v>
      </x:c>
      <x:c r="AA599" s="6" t="n">
        <x:v>3</x:v>
      </x:c>
      <x:c r="AB599" s="6" t="n">
        <x:v>11</x:v>
      </x:c>
      <x:c r="AC599" s="6" t="n">
        <x:v>0</x:v>
      </x:c>
    </x:row>
    <x:row r="600">
      <x:c r="A600" s="6" t="n">
        <x:v>6919</x:v>
      </x:c>
      <x:c r="B600" s="6" t="n">
        <x:v>1978</x:v>
      </x:c>
      <x:c r="C600" s="6" t="str">
        <x:v>2n Cycle</x:v>
      </x:c>
      <x:c r="D600" s="6" t="str">
        <x:v>Married</x:v>
      </x:c>
      <x:c r="E600" s="6" t="n">
        <x:v>26224</x:v>
      </x:c>
      <x:c r="F600" s="6" t="n">
        <x:v>1</x:v>
      </x:c>
      <x:c r="G600" s="6" t="n">
        <x:v>0</x:v>
      </x:c>
      <x:c r="H600" s="9" t="str">
        <x:v>04-06-2013</x:v>
      </x:c>
      <x:c r="I600" s="6" t="n">
        <x:v>39</x:v>
      </x:c>
      <x:c r="J600" s="6" t="n">
        <x:v>4</x:v>
      </x:c>
      <x:c r="K600" s="6" t="n">
        <x:v>7</x:v>
      </x:c>
      <x:c r="L600" s="6" t="n">
        <x:v>15</x:v>
      </x:c>
      <x:c r="M600" s="6" t="n">
        <x:v>13</x:v>
      </x:c>
      <x:c r="N600" s="6" t="n">
        <x:v>9</x:v>
      </x:c>
      <x:c r="O600" s="6" t="n">
        <x:v>15</x:v>
      </x:c>
      <x:c r="P600" s="6" t="n">
        <x:v>3</x:v>
      </x:c>
      <x:c r="Q600" s="6" t="n">
        <x:v>2</x:v>
      </x:c>
      <x:c r="R600" s="6" t="n">
        <x:v>1</x:v>
      </x:c>
      <x:c r="S600" s="6" t="n">
        <x:v>3</x:v>
      </x:c>
      <x:c r="T600" s="6" t="n">
        <x:v>6</x:v>
      </x:c>
      <x:c r="U600" s="6" t="n">
        <x:v>0</x:v>
      </x:c>
      <x:c r="V600" s="6" t="n">
        <x:v>0</x:v>
      </x:c>
      <x:c r="W600" s="6" t="n">
        <x:v>0</x:v>
      </x:c>
      <x:c r="X600" s="6" t="n">
        <x:v>0</x:v>
      </x:c>
      <x:c r="Y600" s="6" t="n">
        <x:v>0</x:v>
      </x:c>
      <x:c r="Z600" s="6" t="n">
        <x:v>0</x:v>
      </x:c>
      <x:c r="AA600" s="6" t="n">
        <x:v>3</x:v>
      </x:c>
      <x:c r="AB600" s="6" t="n">
        <x:v>11</x:v>
      </x:c>
      <x:c r="AC600" s="6" t="n">
        <x:v>0</x:v>
      </x:c>
    </x:row>
    <x:row r="601">
      <x:c r="A601" s="6" t="n">
        <x:v>3537</x:v>
      </x:c>
      <x:c r="B601" s="6" t="n">
        <x:v>1981</x:v>
      </x:c>
      <x:c r="C601" s="6" t="str">
        <x:v>Graduation</x:v>
      </x:c>
      <x:c r="D601" s="6" t="str">
        <x:v>Together</x:v>
      </x:c>
      <x:c r="E601" s="6" t="n">
        <x:v>31089</x:v>
      </x:c>
      <x:c r="F601" s="6" t="n">
        <x:v>1</x:v>
      </x:c>
      <x:c r="G601" s="6" t="n">
        <x:v>0</x:v>
      </x:c>
      <x:c r="H601" s="9" t="str">
        <x:v>17-08-2012</x:v>
      </x:c>
      <x:c r="I601" s="6" t="n">
        <x:v>57</x:v>
      </x:c>
      <x:c r="J601" s="6" t="n">
        <x:v>31</x:v>
      </x:c>
      <x:c r="K601" s="6" t="n">
        <x:v>3</x:v>
      </x:c>
      <x:c r="L601" s="6" t="n">
        <x:v>31</x:v>
      </x:c>
      <x:c r="M601" s="6" t="n">
        <x:v>2</x:v>
      </x:c>
      <x:c r="N601" s="6" t="n">
        <x:v>8</x:v>
      </x:c>
      <x:c r="O601" s="6" t="n">
        <x:v>4</x:v>
      </x:c>
      <x:c r="P601" s="6" t="n">
        <x:v>3</x:v>
      </x:c>
      <x:c r="Q601" s="6" t="n">
        <x:v>3</x:v>
      </x:c>
      <x:c r="R601" s="6" t="n">
        <x:v>0</x:v>
      </x:c>
      <x:c r="S601" s="6" t="n">
        <x:v>4</x:v>
      </x:c>
      <x:c r="T601" s="6" t="n">
        <x:v>8</x:v>
      </x:c>
      <x:c r="U601" s="6" t="n">
        <x:v>0</x:v>
      </x:c>
      <x:c r="V601" s="6" t="n">
        <x:v>0</x:v>
      </x:c>
      <x:c r="W601" s="6" t="n">
        <x:v>0</x:v>
      </x:c>
      <x:c r="X601" s="6" t="n">
        <x:v>0</x:v>
      </x:c>
      <x:c r="Y601" s="6" t="n">
        <x:v>0</x:v>
      </x:c>
      <x:c r="Z601" s="6" t="n">
        <x:v>0</x:v>
      </x:c>
      <x:c r="AA601" s="6" t="n">
        <x:v>3</x:v>
      </x:c>
      <x:c r="AB601" s="6" t="n">
        <x:v>11</x:v>
      </x:c>
      <x:c r="AC601" s="6" t="n">
        <x:v>0</x:v>
      </x:c>
    </x:row>
    <x:row r="602">
      <x:c r="A602" s="6" t="n">
        <x:v>10277</x:v>
      </x:c>
      <x:c r="B602" s="6" t="n">
        <x:v>1961</x:v>
      </x:c>
      <x:c r="C602" s="6" t="str">
        <x:v>Graduation</x:v>
      </x:c>
      <x:c r="D602" s="6" t="str">
        <x:v>Single</x:v>
      </x:c>
      <x:c r="E602" s="6" t="n">
        <x:v>30081</x:v>
      </x:c>
      <x:c r="F602" s="6" t="n">
        <x:v>0</x:v>
      </x:c>
      <x:c r="G602" s="6" t="n">
        <x:v>1</x:v>
      </x:c>
      <x:c r="H602" s="9" t="str">
        <x:v>21-02-2013</x:v>
      </x:c>
      <x:c r="I602" s="6" t="n">
        <x:v>27</x:v>
      </x:c>
      <x:c r="J602" s="6" t="n">
        <x:v>36</x:v>
      </x:c>
      <x:c r="K602" s="6" t="n">
        <x:v>0</x:v>
      </x:c>
      <x:c r="L602" s="6" t="n">
        <x:v>2</x:v>
      </x:c>
      <x:c r="M602" s="6" t="n">
        <x:v>0</x:v>
      </x:c>
      <x:c r="N602" s="6" t="n">
        <x:v>0</x:v>
      </x:c>
      <x:c r="O602" s="6" t="n">
        <x:v>4</x:v>
      </x:c>
      <x:c r="P602" s="6" t="n">
        <x:v>1</x:v>
      </x:c>
      <x:c r="Q602" s="6" t="n">
        <x:v>1</x:v>
      </x:c>
      <x:c r="R602" s="6" t="n">
        <x:v>0</x:v>
      </x:c>
      <x:c r="S602" s="6" t="n">
        <x:v>3</x:v>
      </x:c>
      <x:c r="T602" s="6" t="n">
        <x:v>7</x:v>
      </x:c>
      <x:c r="U602" s="6" t="n">
        <x:v>0</x:v>
      </x:c>
      <x:c r="V602" s="6" t="n">
        <x:v>0</x:v>
      </x:c>
      <x:c r="W602" s="6" t="n">
        <x:v>0</x:v>
      </x:c>
      <x:c r="X602" s="6" t="n">
        <x:v>0</x:v>
      </x:c>
      <x:c r="Y602" s="6" t="n">
        <x:v>0</x:v>
      </x:c>
      <x:c r="Z602" s="6" t="n">
        <x:v>0</x:v>
      </x:c>
      <x:c r="AA602" s="6" t="n">
        <x:v>3</x:v>
      </x:c>
      <x:c r="AB602" s="6" t="n">
        <x:v>11</x:v>
      </x:c>
      <x:c r="AC602" s="6" t="n">
        <x:v>0</x:v>
      </x:c>
    </x:row>
    <x:row r="603">
      <x:c r="A603" s="6" t="n">
        <x:v>2453</x:v>
      </x:c>
      <x:c r="B603" s="6" t="n">
        <x:v>1960</x:v>
      </x:c>
      <x:c r="C603" s="6" t="str">
        <x:v>Graduation</x:v>
      </x:c>
      <x:c r="D603" s="6" t="str">
        <x:v>Together</x:v>
      </x:c>
      <x:c r="E603" s="6" t="n">
        <x:v>62807</x:v>
      </x:c>
      <x:c r="F603" s="6" t="n">
        <x:v>0</x:v>
      </x:c>
      <x:c r="G603" s="6" t="n">
        <x:v>1</x:v>
      </x:c>
      <x:c r="H603" s="9" t="str">
        <x:v>31-08-2012</x:v>
      </x:c>
      <x:c r="I603" s="6" t="n">
        <x:v>83</x:v>
      </x:c>
      <x:c r="J603" s="6" t="n">
        <x:v>526</x:v>
      </x:c>
      <x:c r="K603" s="6" t="n">
        <x:v>28</x:v>
      </x:c>
      <x:c r="L603" s="6" t="n">
        <x:v>135</x:v>
      </x:c>
      <x:c r="M603" s="6" t="n">
        <x:v>10</x:v>
      </x:c>
      <x:c r="N603" s="6" t="n">
        <x:v>21</x:v>
      </x:c>
      <x:c r="O603" s="6" t="n">
        <x:v>99</x:v>
      </x:c>
      <x:c r="P603" s="6" t="n">
        <x:v>3</x:v>
      </x:c>
      <x:c r="Q603" s="6" t="n">
        <x:v>5</x:v>
      </x:c>
      <x:c r="R603" s="6" t="n">
        <x:v>3</x:v>
      </x:c>
      <x:c r="S603" s="6" t="n">
        <x:v>12</x:v>
      </x:c>
      <x:c r="T603" s="6" t="n">
        <x:v>5</x:v>
      </x:c>
      <x:c r="U603" s="6" t="n">
        <x:v>0</x:v>
      </x:c>
      <x:c r="V603" s="6" t="n">
        <x:v>0</x:v>
      </x:c>
      <x:c r="W603" s="6" t="n">
        <x:v>0</x:v>
      </x:c>
      <x:c r="X603" s="6" t="n">
        <x:v>0</x:v>
      </x:c>
      <x:c r="Y603" s="6" t="n">
        <x:v>0</x:v>
      </x:c>
      <x:c r="Z603" s="6" t="n">
        <x:v>0</x:v>
      </x:c>
      <x:c r="AA603" s="6" t="n">
        <x:v>3</x:v>
      </x:c>
      <x:c r="AB603" s="6" t="n">
        <x:v>11</x:v>
      </x:c>
      <x:c r="AC603" s="6" t="n">
        <x:v>0</x:v>
      </x:c>
    </x:row>
    <x:row r="604">
      <x:c r="A604" s="6" t="n">
        <x:v>7972</x:v>
      </x:c>
      <x:c r="B604" s="6" t="n">
        <x:v>1955</x:v>
      </x:c>
      <x:c r="C604" s="6" t="str">
        <x:v>Graduation</x:v>
      </x:c>
      <x:c r="D604" s="6" t="str">
        <x:v>Single</x:v>
      </x:c>
      <x:c r="E604" s="6" t="n">
        <x:v>72906</x:v>
      </x:c>
      <x:c r="F604" s="6" t="n">
        <x:v>0</x:v>
      </x:c>
      <x:c r="G604" s="6" t="n">
        <x:v>0</x:v>
      </x:c>
      <x:c r="H604" s="9" t="str">
        <x:v>17-09-2013</x:v>
      </x:c>
      <x:c r="I604" s="6" t="n">
        <x:v>79</x:v>
      </x:c>
      <x:c r="J604" s="6" t="n">
        <x:v>400</x:v>
      </x:c>
      <x:c r="K604" s="6" t="n">
        <x:v>32</x:v>
      </x:c>
      <x:c r="L604" s="6" t="n">
        <x:v>519</x:v>
      </x:c>
      <x:c r="M604" s="6" t="n">
        <x:v>71</x:v>
      </x:c>
      <x:c r="N604" s="6" t="n">
        <x:v>75</x:v>
      </x:c>
      <x:c r="O604" s="6" t="n">
        <x:v>54</x:v>
      </x:c>
      <x:c r="P604" s="6" t="n">
        <x:v>1</x:v>
      </x:c>
      <x:c r="Q604" s="6" t="n">
        <x:v>3</x:v>
      </x:c>
      <x:c r="R604" s="6" t="n">
        <x:v>4</x:v>
      </x:c>
      <x:c r="S604" s="6" t="n">
        <x:v>9</x:v>
      </x:c>
      <x:c r="T604" s="6" t="n">
        <x:v>1</x:v>
      </x:c>
      <x:c r="U604" s="6" t="n">
        <x:v>0</x:v>
      </x:c>
      <x:c r="V604" s="6" t="n">
        <x:v>0</x:v>
      </x:c>
      <x:c r="W604" s="6" t="n">
        <x:v>0</x:v>
      </x:c>
      <x:c r="X604" s="6" t="n">
        <x:v>0</x:v>
      </x:c>
      <x:c r="Y604" s="6" t="n">
        <x:v>0</x:v>
      </x:c>
      <x:c r="Z604" s="6" t="n">
        <x:v>0</x:v>
      </x:c>
      <x:c r="AA604" s="6" t="n">
        <x:v>3</x:v>
      </x:c>
      <x:c r="AB604" s="6" t="n">
        <x:v>11</x:v>
      </x:c>
      <x:c r="AC604" s="6" t="n">
        <x:v>0</x:v>
      </x:c>
    </x:row>
    <x:row r="605">
      <x:c r="A605" s="6" t="n">
        <x:v>895</x:v>
      </x:c>
      <x:c r="B605" s="6" t="n">
        <x:v>1948</x:v>
      </x:c>
      <x:c r="C605" s="6" t="str">
        <x:v>PhD</x:v>
      </x:c>
      <x:c r="D605" s="6" t="str">
        <x:v>Married</x:v>
      </x:c>
      <x:c r="E605" s="6" t="n">
        <x:v>61467</x:v>
      </x:c>
      <x:c r="F605" s="6" t="n">
        <x:v>0</x:v>
      </x:c>
      <x:c r="G605" s="6" t="n">
        <x:v>2</x:v>
      </x:c>
      <x:c r="H605" s="9" t="str">
        <x:v>09-12-2012</x:v>
      </x:c>
      <x:c r="I605" s="6" t="n">
        <x:v>69</x:v>
      </x:c>
      <x:c r="J605" s="6" t="n">
        <x:v>410</x:v>
      </x:c>
      <x:c r="K605" s="6" t="n">
        <x:v>16</x:v>
      </x:c>
      <x:c r="L605" s="6" t="n">
        <x:v>114</x:v>
      </x:c>
      <x:c r="M605" s="6" t="n">
        <x:v>0</x:v>
      </x:c>
      <x:c r="N605" s="6" t="n">
        <x:v>5</x:v>
      </x:c>
      <x:c r="O605" s="6" t="n">
        <x:v>49</x:v>
      </x:c>
      <x:c r="P605" s="6" t="n">
        <x:v>3</x:v>
      </x:c>
      <x:c r="Q605" s="6" t="n">
        <x:v>5</x:v>
      </x:c>
      <x:c r="R605" s="6" t="n">
        <x:v>2</x:v>
      </x:c>
      <x:c r="S605" s="6" t="n">
        <x:v>10</x:v>
      </x:c>
      <x:c r="T605" s="6" t="n">
        <x:v>5</x:v>
      </x:c>
      <x:c r="U605" s="6" t="n">
        <x:v>0</x:v>
      </x:c>
      <x:c r="V605" s="6" t="n">
        <x:v>0</x:v>
      </x:c>
      <x:c r="W605" s="6" t="n">
        <x:v>0</x:v>
      </x:c>
      <x:c r="X605" s="6" t="n">
        <x:v>0</x:v>
      </x:c>
      <x:c r="Y605" s="6" t="n">
        <x:v>0</x:v>
      </x:c>
      <x:c r="Z605" s="6" t="n">
        <x:v>0</x:v>
      </x:c>
      <x:c r="AA605" s="6" t="n">
        <x:v>3</x:v>
      </x:c>
      <x:c r="AB605" s="6" t="n">
        <x:v>11</x:v>
      </x:c>
      <x:c r="AC605" s="6" t="n">
        <x:v>0</x:v>
      </x:c>
    </x:row>
    <x:row r="606">
      <x:c r="A606" s="6" t="n">
        <x:v>1177</x:v>
      </x:c>
      <x:c r="B606" s="6" t="n">
        <x:v>1966</x:v>
      </x:c>
      <x:c r="C606" s="6" t="str">
        <x:v>Master</x:v>
      </x:c>
      <x:c r="D606" s="6" t="str">
        <x:v>Together</x:v>
      </x:c>
      <x:c r="E606" s="6" t="n">
        <x:v>49618</x:v>
      </x:c>
      <x:c r="F606" s="6" t="n">
        <x:v>1</x:v>
      </x:c>
      <x:c r="G606" s="6" t="n">
        <x:v>1</x:v>
      </x:c>
      <x:c r="H606" s="9" t="str">
        <x:v>26-01-2013</x:v>
      </x:c>
      <x:c r="I606" s="6" t="n">
        <x:v>77</x:v>
      </x:c>
      <x:c r="J606" s="6" t="n">
        <x:v>80</x:v>
      </x:c>
      <x:c r="K606" s="6" t="n">
        <x:v>3</x:v>
      </x:c>
      <x:c r="L606" s="6" t="n">
        <x:v>26</x:v>
      </x:c>
      <x:c r="M606" s="6" t="n">
        <x:v>4</x:v>
      </x:c>
      <x:c r="N606" s="6" t="n">
        <x:v>2</x:v>
      </x:c>
      <x:c r="O606" s="6" t="n">
        <x:v>14</x:v>
      </x:c>
      <x:c r="P606" s="6" t="n">
        <x:v>4</x:v>
      </x:c>
      <x:c r="Q606" s="6" t="n">
        <x:v>3</x:v>
      </x:c>
      <x:c r="R606" s="6" t="n">
        <x:v>1</x:v>
      </x:c>
      <x:c r="S606" s="6" t="n">
        <x:v>3</x:v>
      </x:c>
      <x:c r="T606" s="6" t="n">
        <x:v>7</x:v>
      </x:c>
      <x:c r="U606" s="6" t="n">
        <x:v>0</x:v>
      </x:c>
      <x:c r="V606" s="6" t="n">
        <x:v>0</x:v>
      </x:c>
      <x:c r="W606" s="6" t="n">
        <x:v>0</x:v>
      </x:c>
      <x:c r="X606" s="6" t="n">
        <x:v>0</x:v>
      </x:c>
      <x:c r="Y606" s="6" t="n">
        <x:v>0</x:v>
      </x:c>
      <x:c r="Z606" s="6" t="n">
        <x:v>0</x:v>
      </x:c>
      <x:c r="AA606" s="6" t="n">
        <x:v>3</x:v>
      </x:c>
      <x:c r="AB606" s="6" t="n">
        <x:v>11</x:v>
      </x:c>
      <x:c r="AC606" s="6" t="n">
        <x:v>0</x:v>
      </x:c>
    </x:row>
    <x:row r="607">
      <x:c r="A607" s="6" t="n">
        <x:v>7141</x:v>
      </x:c>
      <x:c r="B607" s="6" t="n">
        <x:v>1986</x:v>
      </x:c>
      <x:c r="C607" s="6" t="str">
        <x:v>Master</x:v>
      </x:c>
      <x:c r="D607" s="6" t="str">
        <x:v>Single</x:v>
      </x:c>
      <x:c r="E607" s="6" t="n">
        <x:v>21888</x:v>
      </x:c>
      <x:c r="F607" s="6" t="n">
        <x:v>1</x:v>
      </x:c>
      <x:c r="G607" s="6" t="n">
        <x:v>0</x:v>
      </x:c>
      <x:c r="H607" s="9" t="str">
        <x:v>29-12-2012</x:v>
      </x:c>
      <x:c r="I607" s="6" t="n">
        <x:v>15</x:v>
      </x:c>
      <x:c r="J607" s="6" t="n">
        <x:v>88</x:v>
      </x:c>
      <x:c r="K607" s="6" t="n">
        <x:v>10</x:v>
      </x:c>
      <x:c r="L607" s="6" t="n">
        <x:v>46</x:v>
      </x:c>
      <x:c r="M607" s="6" t="n">
        <x:v>2</x:v>
      </x:c>
      <x:c r="N607" s="6" t="n">
        <x:v>3</x:v>
      </x:c>
      <x:c r="O607" s="6" t="n">
        <x:v>64</x:v>
      </x:c>
      <x:c r="P607" s="6" t="n">
        <x:v>4</x:v>
      </x:c>
      <x:c r="Q607" s="6" t="n">
        <x:v>5</x:v>
      </x:c>
      <x:c r="R607" s="6" t="n">
        <x:v>1</x:v>
      </x:c>
      <x:c r="S607" s="6" t="n">
        <x:v>2</x:v>
      </x:c>
      <x:c r="T607" s="6" t="n">
        <x:v>10</x:v>
      </x:c>
      <x:c r="U607" s="6" t="n">
        <x:v>0</x:v>
      </x:c>
      <x:c r="V607" s="6" t="n">
        <x:v>0</x:v>
      </x:c>
      <x:c r="W607" s="6" t="n">
        <x:v>0</x:v>
      </x:c>
      <x:c r="X607" s="6" t="n">
        <x:v>0</x:v>
      </x:c>
      <x:c r="Y607" s="6" t="n">
        <x:v>0</x:v>
      </x:c>
      <x:c r="Z607" s="6" t="n">
        <x:v>0</x:v>
      </x:c>
      <x:c r="AA607" s="6" t="n">
        <x:v>3</x:v>
      </x:c>
      <x:c r="AB607" s="6" t="n">
        <x:v>11</x:v>
      </x:c>
      <x:c r="AC607" s="6" t="n">
        <x:v>1</x:v>
      </x:c>
    </x:row>
    <x:row r="608">
      <x:c r="A608" s="6" t="n">
        <x:v>7232</x:v>
      </x:c>
      <x:c r="B608" s="6" t="n">
        <x:v>1973</x:v>
      </x:c>
      <x:c r="C608" s="6" t="str">
        <x:v>Graduation</x:v>
      </x:c>
      <x:c r="D608" s="6" t="str">
        <x:v>Widow</x:v>
      </x:c>
      <x:c r="E608" s="6" t="n">
        <x:v>42429</x:v>
      </x:c>
      <x:c r="F608" s="6" t="n">
        <x:v>0</x:v>
      </x:c>
      <x:c r="G608" s="6" t="n">
        <x:v>1</x:v>
      </x:c>
      <x:c r="H608" s="9" t="str">
        <x:v>11-02-2014</x:v>
      </x:c>
      <x:c r="I608" s="6" t="n">
        <x:v>99</x:v>
      </x:c>
      <x:c r="J608" s="6" t="n">
        <x:v>55</x:v>
      </x:c>
      <x:c r="K608" s="6" t="n">
        <x:v>0</x:v>
      </x:c>
      <x:c r="L608" s="6" t="n">
        <x:v>6</x:v>
      </x:c>
      <x:c r="M608" s="6" t="n">
        <x:v>2</x:v>
      </x:c>
      <x:c r="N608" s="6" t="n">
        <x:v>0</x:v>
      </x:c>
      <x:c r="O608" s="6" t="n">
        <x:v>4</x:v>
      </x:c>
      <x:c r="P608" s="6" t="n">
        <x:v>2</x:v>
      </x:c>
      <x:c r="Q608" s="6" t="n">
        <x:v>1</x:v>
      </x:c>
      <x:c r="R608" s="6" t="n">
        <x:v>1</x:v>
      </x:c>
      <x:c r="S608" s="6" t="n">
        <x:v>3</x:v>
      </x:c>
      <x:c r="T608" s="6" t="n">
        <x:v>5</x:v>
      </x:c>
      <x:c r="U608" s="6" t="n">
        <x:v>0</x:v>
      </x:c>
      <x:c r="V608" s="6" t="n">
        <x:v>0</x:v>
      </x:c>
      <x:c r="W608" s="6" t="n">
        <x:v>0</x:v>
      </x:c>
      <x:c r="X608" s="6" t="n">
        <x:v>0</x:v>
      </x:c>
      <x:c r="Y608" s="6" t="n">
        <x:v>0</x:v>
      </x:c>
      <x:c r="Z608" s="6" t="n">
        <x:v>0</x:v>
      </x:c>
      <x:c r="AA608" s="6" t="n">
        <x:v>3</x:v>
      </x:c>
      <x:c r="AB608" s="6" t="n">
        <x:v>11</x:v>
      </x:c>
      <x:c r="AC608" s="6" t="n">
        <x:v>0</x:v>
      </x:c>
    </x:row>
    <x:row r="609">
      <x:c r="A609" s="6" t="n">
        <x:v>8477</x:v>
      </x:c>
      <x:c r="B609" s="6" t="n">
        <x:v>1956</x:v>
      </x:c>
      <x:c r="C609" s="6" t="str">
        <x:v>Graduation</x:v>
      </x:c>
      <x:c r="D609" s="6" t="str">
        <x:v>Divorced</x:v>
      </x:c>
      <x:c r="E609" s="6" t="n">
        <x:v>26150</x:v>
      </x:c>
      <x:c r="F609" s="6" t="n">
        <x:v>2</x:v>
      </x:c>
      <x:c r="G609" s="6" t="n">
        <x:v>1</x:v>
      </x:c>
      <x:c r="H609" s="9" t="str">
        <x:v>11-03-2013</x:v>
      </x:c>
      <x:c r="I609" s="6" t="n">
        <x:v>61</x:v>
      </x:c>
      <x:c r="J609" s="6" t="n">
        <x:v>5</x:v>
      </x:c>
      <x:c r="K609" s="6" t="n">
        <x:v>1</x:v>
      </x:c>
      <x:c r="L609" s="6" t="n">
        <x:v>13</x:v>
      </x:c>
      <x:c r="M609" s="6" t="n">
        <x:v>3</x:v>
      </x:c>
      <x:c r="N609" s="6" t="n">
        <x:v>5</x:v>
      </x:c>
      <x:c r="O609" s="6" t="n">
        <x:v>1</x:v>
      </x:c>
      <x:c r="P609" s="6" t="n">
        <x:v>1</x:v>
      </x:c>
      <x:c r="Q609" s="6" t="n">
        <x:v>1</x:v>
      </x:c>
      <x:c r="R609" s="6" t="n">
        <x:v>0</x:v>
      </x:c>
      <x:c r="S609" s="6" t="n">
        <x:v>3</x:v>
      </x:c>
      <x:c r="T609" s="6" t="n">
        <x:v>7</x:v>
      </x:c>
      <x:c r="U609" s="6" t="n">
        <x:v>0</x:v>
      </x:c>
      <x:c r="V609" s="6" t="n">
        <x:v>0</x:v>
      </x:c>
      <x:c r="W609" s="6" t="n">
        <x:v>0</x:v>
      </x:c>
      <x:c r="X609" s="6" t="n">
        <x:v>0</x:v>
      </x:c>
      <x:c r="Y609" s="6" t="n">
        <x:v>0</x:v>
      </x:c>
      <x:c r="Z609" s="6" t="n">
        <x:v>0</x:v>
      </x:c>
      <x:c r="AA609" s="6" t="n">
        <x:v>3</x:v>
      </x:c>
      <x:c r="AB609" s="6" t="n">
        <x:v>11</x:v>
      </x:c>
      <x:c r="AC609" s="6" t="n">
        <x:v>0</x:v>
      </x:c>
    </x:row>
    <x:row r="610">
      <x:c r="A610" s="6" t="n">
        <x:v>2457</x:v>
      </x:c>
      <x:c r="B610" s="6" t="n">
        <x:v>1975</x:v>
      </x:c>
      <x:c r="C610" s="6" t="str">
        <x:v>Basic</x:v>
      </x:c>
      <x:c r="D610" s="6" t="str">
        <x:v>Married</x:v>
      </x:c>
      <x:c r="E610" s="6" t="n">
        <x:v>30801</x:v>
      </x:c>
      <x:c r="F610" s="6" t="n">
        <x:v>0</x:v>
      </x:c>
      <x:c r="G610" s="6" t="n">
        <x:v>1</x:v>
      </x:c>
      <x:c r="H610" s="9" t="str">
        <x:v>26-10-2012</x:v>
      </x:c>
      <x:c r="I610" s="6" t="n">
        <x:v>23</x:v>
      </x:c>
      <x:c r="J610" s="6" t="n">
        <x:v>8</x:v>
      </x:c>
      <x:c r="K610" s="6" t="n">
        <x:v>4</x:v>
      </x:c>
      <x:c r="L610" s="6" t="n">
        <x:v>5</x:v>
      </x:c>
      <x:c r="M610" s="6" t="n">
        <x:v>15</x:v>
      </x:c>
      <x:c r="N610" s="6" t="n">
        <x:v>2</x:v>
      </x:c>
      <x:c r="O610" s="6" t="n">
        <x:v>11</x:v>
      </x:c>
      <x:c r="P610" s="6" t="n">
        <x:v>2</x:v>
      </x:c>
      <x:c r="Q610" s="6" t="n">
        <x:v>1</x:v>
      </x:c>
      <x:c r="R610" s="6" t="n">
        <x:v>0</x:v>
      </x:c>
      <x:c r="S610" s="6" t="n">
        <x:v>3</x:v>
      </x:c>
      <x:c r="T610" s="6" t="n">
        <x:v>7</x:v>
      </x:c>
      <x:c r="U610" s="6" t="n">
        <x:v>0</x:v>
      </x:c>
      <x:c r="V610" s="6" t="n">
        <x:v>0</x:v>
      </x:c>
      <x:c r="W610" s="6" t="n">
        <x:v>0</x:v>
      </x:c>
      <x:c r="X610" s="6" t="n">
        <x:v>0</x:v>
      </x:c>
      <x:c r="Y610" s="6" t="n">
        <x:v>0</x:v>
      </x:c>
      <x:c r="Z610" s="6" t="n">
        <x:v>0</x:v>
      </x:c>
      <x:c r="AA610" s="6" t="n">
        <x:v>3</x:v>
      </x:c>
      <x:c r="AB610" s="6" t="n">
        <x:v>11</x:v>
      </x:c>
      <x:c r="AC610" s="6" t="n">
        <x:v>0</x:v>
      </x:c>
    </x:row>
    <x:row r="611">
      <x:c r="A611" s="6" t="n">
        <x:v>988</x:v>
      </x:c>
      <x:c r="B611" s="6" t="n">
        <x:v>1965</x:v>
      </x:c>
      <x:c r="C611" s="6" t="str">
        <x:v>Graduation</x:v>
      </x:c>
      <x:c r="D611" s="6" t="str">
        <x:v>Married</x:v>
      </x:c>
      <x:c r="E611" s="6" t="n">
        <x:v>81168</x:v>
      </x:c>
      <x:c r="F611" s="6" t="n">
        <x:v>0</x:v>
      </x:c>
      <x:c r="G611" s="6" t="n">
        <x:v>0</x:v>
      </x:c>
      <x:c r="H611" s="9" t="str">
        <x:v>07-05-2014</x:v>
      </x:c>
      <x:c r="I611" s="6" t="n">
        <x:v>84</x:v>
      </x:c>
      <x:c r="J611" s="6" t="n">
        <x:v>410</x:v>
      </x:c>
      <x:c r="K611" s="6" t="n">
        <x:v>0</x:v>
      </x:c>
      <x:c r="L611" s="6" t="n">
        <x:v>592</x:v>
      </x:c>
      <x:c r="M611" s="6" t="n">
        <x:v>147</x:v>
      </x:c>
      <x:c r="N611" s="6" t="n">
        <x:v>22</x:v>
      </x:c>
      <x:c r="O611" s="6" t="n">
        <x:v>22</x:v>
      </x:c>
      <x:c r="P611" s="6" t="n">
        <x:v>1</x:v>
      </x:c>
      <x:c r="Q611" s="6" t="n">
        <x:v>6</x:v>
      </x:c>
      <x:c r="R611" s="6" t="n">
        <x:v>4</x:v>
      </x:c>
      <x:c r="S611" s="6" t="n">
        <x:v>7</x:v>
      </x:c>
      <x:c r="T611" s="6" t="n">
        <x:v>3</x:v>
      </x:c>
      <x:c r="U611" s="6" t="n">
        <x:v>0</x:v>
      </x:c>
      <x:c r="V611" s="6" t="n">
        <x:v>0</x:v>
      </x:c>
      <x:c r="W611" s="6" t="n">
        <x:v>0</x:v>
      </x:c>
      <x:c r="X611" s="6" t="n">
        <x:v>1</x:v>
      </x:c>
      <x:c r="Y611" s="6" t="n">
        <x:v>0</x:v>
      </x:c>
      <x:c r="Z611" s="6" t="n">
        <x:v>0</x:v>
      </x:c>
      <x:c r="AA611" s="6" t="n">
        <x:v>3</x:v>
      </x:c>
      <x:c r="AB611" s="6" t="n">
        <x:v>11</x:v>
      </x:c>
      <x:c r="AC611" s="6" t="n">
        <x:v>0</x:v>
      </x:c>
    </x:row>
    <x:row r="612">
      <x:c r="A612" s="6" t="n">
        <x:v>7930</x:v>
      </x:c>
      <x:c r="B612" s="6" t="n">
        <x:v>1969</x:v>
      </x:c>
      <x:c r="C612" s="6" t="str">
        <x:v>Master</x:v>
      </x:c>
      <x:c r="D612" s="6" t="str">
        <x:v>Single</x:v>
      </x:c>
      <x:c r="E612" s="6" t="n">
        <x:v>26877</x:v>
      </x:c>
      <x:c r="F612" s="6" t="n">
        <x:v>0</x:v>
      </x:c>
      <x:c r="G612" s="6" t="n">
        <x:v>0</x:v>
      </x:c>
      <x:c r="H612" s="9" t="str">
        <x:v>19-08-2013</x:v>
      </x:c>
      <x:c r="I612" s="6" t="n">
        <x:v>74</x:v>
      </x:c>
      <x:c r="J612" s="6" t="n">
        <x:v>101</x:v>
      </x:c>
      <x:c r="K612" s="6" t="n">
        <x:v>13</x:v>
      </x:c>
      <x:c r="L612" s="6" t="n">
        <x:v>76</x:v>
      </x:c>
      <x:c r="M612" s="6" t="n">
        <x:v>20</x:v>
      </x:c>
      <x:c r="N612" s="6" t="n">
        <x:v>18</x:v>
      </x:c>
      <x:c r="O612" s="6" t="n">
        <x:v>40</x:v>
      </x:c>
      <x:c r="P612" s="6" t="n">
        <x:v>2</x:v>
      </x:c>
      <x:c r="Q612" s="6" t="n">
        <x:v>3</x:v>
      </x:c>
      <x:c r="R612" s="6" t="n">
        <x:v>1</x:v>
      </x:c>
      <x:c r="S612" s="6" t="n">
        <x:v>6</x:v>
      </x:c>
      <x:c r="T612" s="6" t="n">
        <x:v>6</x:v>
      </x:c>
      <x:c r="U612" s="6" t="n">
        <x:v>0</x:v>
      </x:c>
      <x:c r="V612" s="6" t="n">
        <x:v>0</x:v>
      </x:c>
      <x:c r="W612" s="6" t="n">
        <x:v>0</x:v>
      </x:c>
      <x:c r="X612" s="6" t="n">
        <x:v>0</x:v>
      </x:c>
      <x:c r="Y612" s="6" t="n">
        <x:v>0</x:v>
      </x:c>
      <x:c r="Z612" s="6" t="n">
        <x:v>0</x:v>
      </x:c>
      <x:c r="AA612" s="6" t="n">
        <x:v>3</x:v>
      </x:c>
      <x:c r="AB612" s="6" t="n">
        <x:v>11</x:v>
      </x:c>
      <x:c r="AC612" s="6" t="n">
        <x:v>0</x:v>
      </x:c>
    </x:row>
    <x:row r="613">
      <x:c r="A613" s="6" t="n">
        <x:v>4587</x:v>
      </x:c>
      <x:c r="B613" s="6" t="n">
        <x:v>1944</x:v>
      </x:c>
      <x:c r="C613" s="6" t="str">
        <x:v>Master</x:v>
      </x:c>
      <x:c r="D613" s="6" t="str">
        <x:v>Widow</x:v>
      </x:c>
      <x:c r="E613" s="6" t="n">
        <x:v>45006</x:v>
      </x:c>
      <x:c r="F613" s="6" t="n">
        <x:v>0</x:v>
      </x:c>
      <x:c r="G613" s="6" t="n">
        <x:v>0</x:v>
      </x:c>
      <x:c r="H613" s="9" t="str">
        <x:v>18-07-2013</x:v>
      </x:c>
      <x:c r="I613" s="6" t="n">
        <x:v>90</x:v>
      </x:c>
      <x:c r="J613" s="6" t="n">
        <x:v>162</x:v>
      </x:c>
      <x:c r="K613" s="6" t="n">
        <x:v>25</x:v>
      </x:c>
      <x:c r="L613" s="6" t="n">
        <x:v>53</x:v>
      </x:c>
      <x:c r="M613" s="6" t="n">
        <x:v>16</x:v>
      </x:c>
      <x:c r="N613" s="6" t="n">
        <x:v>0</x:v>
      </x:c>
      <x:c r="O613" s="6" t="n">
        <x:v>10</x:v>
      </x:c>
      <x:c r="P613" s="6" t="n">
        <x:v>1</x:v>
      </x:c>
      <x:c r="Q613" s="6" t="n">
        <x:v>3</x:v>
      </x:c>
      <x:c r="R613" s="6" t="n">
        <x:v>1</x:v>
      </x:c>
      <x:c r="S613" s="6" t="n">
        <x:v>7</x:v>
      </x:c>
      <x:c r="T613" s="6" t="n">
        <x:v>3</x:v>
      </x:c>
      <x:c r="U613" s="6" t="n">
        <x:v>0</x:v>
      </x:c>
      <x:c r="V613" s="6" t="n">
        <x:v>0</x:v>
      </x:c>
      <x:c r="W613" s="6" t="n">
        <x:v>0</x:v>
      </x:c>
      <x:c r="X613" s="6" t="n">
        <x:v>0</x:v>
      </x:c>
      <x:c r="Y613" s="6" t="n">
        <x:v>0</x:v>
      </x:c>
      <x:c r="Z613" s="6" t="n">
        <x:v>0</x:v>
      </x:c>
      <x:c r="AA613" s="6" t="n">
        <x:v>3</x:v>
      </x:c>
      <x:c r="AB613" s="6" t="n">
        <x:v>11</x:v>
      </x:c>
      <x:c r="AC613" s="6" t="n">
        <x:v>0</x:v>
      </x:c>
    </x:row>
    <x:row r="614">
      <x:c r="A614" s="6" t="n">
        <x:v>6682</x:v>
      </x:c>
      <x:c r="B614" s="6" t="n">
        <x:v>1973</x:v>
      </x:c>
      <x:c r="C614" s="6" t="str">
        <x:v>Basic</x:v>
      </x:c>
      <x:c r="D614" s="6" t="str">
        <x:v>Married</x:v>
      </x:c>
      <x:c r="E614" s="6" t="n">
        <x:v>18978</x:v>
      </x:c>
      <x:c r="F614" s="6" t="n">
        <x:v>1</x:v>
      </x:c>
      <x:c r="G614" s="6" t="n">
        <x:v>0</x:v>
      </x:c>
      <x:c r="H614" s="9" t="str">
        <x:v>11-12-2012</x:v>
      </x:c>
      <x:c r="I614" s="6" t="n">
        <x:v>41</x:v>
      </x:c>
      <x:c r="J614" s="6" t="n">
        <x:v>2</x:v>
      </x:c>
      <x:c r="K614" s="6" t="n">
        <x:v>8</x:v>
      </x:c>
      <x:c r="L614" s="6" t="n">
        <x:v>1</x:v>
      </x:c>
      <x:c r="M614" s="6" t="n">
        <x:v>4</x:v>
      </x:c>
      <x:c r="N614" s="6" t="n">
        <x:v>7</x:v>
      </x:c>
      <x:c r="O614" s="6" t="n">
        <x:v>15</x:v>
      </x:c>
      <x:c r="P614" s="6" t="n">
        <x:v>1</x:v>
      </x:c>
      <x:c r="Q614" s="6" t="n">
        <x:v>1</x:v>
      </x:c>
      <x:c r="R614" s="6" t="n">
        <x:v>0</x:v>
      </x:c>
      <x:c r="S614" s="6" t="n">
        <x:v>3</x:v>
      </x:c>
      <x:c r="T614" s="6" t="n">
        <x:v>8</x:v>
      </x:c>
      <x:c r="U614" s="6" t="n">
        <x:v>0</x:v>
      </x:c>
      <x:c r="V614" s="6" t="n">
        <x:v>0</x:v>
      </x:c>
      <x:c r="W614" s="6" t="n">
        <x:v>0</x:v>
      </x:c>
      <x:c r="X614" s="6" t="n">
        <x:v>0</x:v>
      </x:c>
      <x:c r="Y614" s="6" t="n">
        <x:v>0</x:v>
      </x:c>
      <x:c r="Z614" s="6" t="n">
        <x:v>0</x:v>
      </x:c>
      <x:c r="AA614" s="6" t="n">
        <x:v>3</x:v>
      </x:c>
      <x:c r="AB614" s="6" t="n">
        <x:v>11</x:v>
      </x:c>
      <x:c r="AC614" s="6" t="n">
        <x:v>0</x:v>
      </x:c>
    </x:row>
    <x:row r="615">
      <x:c r="A615" s="6" t="n">
        <x:v>6222</x:v>
      </x:c>
      <x:c r="B615" s="6" t="n">
        <x:v>1967</x:v>
      </x:c>
      <x:c r="C615" s="6" t="str">
        <x:v>Graduation</x:v>
      </x:c>
      <x:c r="D615" s="6" t="str">
        <x:v>Married</x:v>
      </x:c>
      <x:c r="E615" s="6" t="n">
        <x:v>22574</x:v>
      </x:c>
      <x:c r="F615" s="6" t="n">
        <x:v>2</x:v>
      </x:c>
      <x:c r="G615" s="6" t="n">
        <x:v>1</x:v>
      </x:c>
      <x:c r="H615" s="9" t="str">
        <x:v>28-10-2013</x:v>
      </x:c>
      <x:c r="I615" s="6" t="n">
        <x:v>28</x:v>
      </x:c>
      <x:c r="J615" s="6" t="n">
        <x:v>25</x:v>
      </x:c>
      <x:c r="K615" s="6" t="n">
        <x:v>0</x:v>
      </x:c>
      <x:c r="L615" s="6" t="n">
        <x:v>8</x:v>
      </x:c>
      <x:c r="M615" s="6" t="n">
        <x:v>2</x:v>
      </x:c>
      <x:c r="N615" s="6" t="n">
        <x:v>0</x:v>
      </x:c>
      <x:c r="O615" s="6" t="n">
        <x:v>2</x:v>
      </x:c>
      <x:c r="P615" s="6" t="n">
        <x:v>2</x:v>
      </x:c>
      <x:c r="Q615" s="6" t="n">
        <x:v>2</x:v>
      </x:c>
      <x:c r="R615" s="6" t="n">
        <x:v>0</x:v>
      </x:c>
      <x:c r="S615" s="6" t="n">
        <x:v>3</x:v>
      </x:c>
      <x:c r="T615" s="6" t="n">
        <x:v>7</x:v>
      </x:c>
      <x:c r="U615" s="6" t="n">
        <x:v>0</x:v>
      </x:c>
      <x:c r="V615" s="6" t="n">
        <x:v>0</x:v>
      </x:c>
      <x:c r="W615" s="6" t="n">
        <x:v>0</x:v>
      </x:c>
      <x:c r="X615" s="6" t="n">
        <x:v>0</x:v>
      </x:c>
      <x:c r="Y615" s="6" t="n">
        <x:v>0</x:v>
      </x:c>
      <x:c r="Z615" s="6" t="n">
        <x:v>0</x:v>
      </x:c>
      <x:c r="AA615" s="6" t="n">
        <x:v>3</x:v>
      </x:c>
      <x:c r="AB615" s="6" t="n">
        <x:v>11</x:v>
      </x:c>
      <x:c r="AC615" s="6" t="n">
        <x:v>0</x:v>
      </x:c>
    </x:row>
    <x:row r="616">
      <x:c r="A616" s="6" t="n">
        <x:v>10299</x:v>
      </x:c>
      <x:c r="B616" s="6" t="n">
        <x:v>1969</x:v>
      </x:c>
      <x:c r="C616" s="6" t="str">
        <x:v>PhD</x:v>
      </x:c>
      <x:c r="D616" s="6" t="str">
        <x:v>Single</x:v>
      </x:c>
      <x:c r="E616" s="6" t="n">
        <x:v>48240</x:v>
      </x:c>
      <x:c r="F616" s="6" t="n">
        <x:v>0</x:v>
      </x:c>
      <x:c r="G616" s="6" t="n">
        <x:v>0</x:v>
      </x:c>
      <x:c r="H616" s="9" t="str">
        <x:v>09-11-2012</x:v>
      </x:c>
      <x:c r="I616" s="6" t="n">
        <x:v>73</x:v>
      </x:c>
      <x:c r="J616" s="6" t="n">
        <x:v>389</x:v>
      </x:c>
      <x:c r="K616" s="6" t="n">
        <x:v>91</x:v>
      </x:c>
      <x:c r="L616" s="6" t="n">
        <x:v>248</x:v>
      </x:c>
      <x:c r="M616" s="6" t="n">
        <x:v>64</x:v>
      </x:c>
      <x:c r="N616" s="6" t="n">
        <x:v>49</x:v>
      </x:c>
      <x:c r="O616" s="6" t="n">
        <x:v>41</x:v>
      </x:c>
      <x:c r="P616" s="6" t="n">
        <x:v>3</x:v>
      </x:c>
      <x:c r="Q616" s="6" t="n">
        <x:v>6</x:v>
      </x:c>
      <x:c r="R616" s="6" t="n">
        <x:v>3</x:v>
      </x:c>
      <x:c r="S616" s="6" t="n">
        <x:v>13</x:v>
      </x:c>
      <x:c r="T616" s="6" t="n">
        <x:v>5</x:v>
      </x:c>
      <x:c r="U616" s="6" t="n">
        <x:v>0</x:v>
      </x:c>
      <x:c r="V616" s="6" t="n">
        <x:v>0</x:v>
      </x:c>
      <x:c r="W616" s="6" t="n">
        <x:v>0</x:v>
      </x:c>
      <x:c r="X616" s="6" t="n">
        <x:v>0</x:v>
      </x:c>
      <x:c r="Y616" s="6" t="n">
        <x:v>0</x:v>
      </x:c>
      <x:c r="Z616" s="6" t="n">
        <x:v>0</x:v>
      </x:c>
      <x:c r="AA616" s="6" t="n">
        <x:v>3</x:v>
      </x:c>
      <x:c r="AB616" s="6" t="n">
        <x:v>11</x:v>
      </x:c>
      <x:c r="AC616" s="6" t="n">
        <x:v>1</x:v>
      </x:c>
    </x:row>
    <x:row r="617">
      <x:c r="A617" s="6" t="n">
        <x:v>3083</x:v>
      </x:c>
      <x:c r="B617" s="6" t="n">
        <x:v>1974</x:v>
      </x:c>
      <x:c r="C617" s="6" t="str">
        <x:v>Graduation</x:v>
      </x:c>
      <x:c r="D617" s="6" t="str">
        <x:v>Married</x:v>
      </x:c>
      <x:c r="E617" s="6" t="n">
        <x:v>45837</x:v>
      </x:c>
      <x:c r="F617" s="6" t="n">
        <x:v>1</x:v>
      </x:c>
      <x:c r="G617" s="6" t="n">
        <x:v>1</x:v>
      </x:c>
      <x:c r="H617" s="9" t="str">
        <x:v>26-07-2013</x:v>
      </x:c>
      <x:c r="I617" s="6" t="n">
        <x:v>88</x:v>
      </x:c>
      <x:c r="J617" s="6" t="n">
        <x:v>215</x:v>
      </x:c>
      <x:c r="K617" s="6" t="n">
        <x:v>13</x:v>
      </x:c>
      <x:c r="L617" s="6" t="n">
        <x:v>87</x:v>
      </x:c>
      <x:c r="M617" s="6" t="n">
        <x:v>17</x:v>
      </x:c>
      <x:c r="N617" s="6" t="n">
        <x:v>17</x:v>
      </x:c>
      <x:c r="O617" s="6" t="n">
        <x:v>24</x:v>
      </x:c>
      <x:c r="P617" s="6" t="n">
        <x:v>5</x:v>
      </x:c>
      <x:c r="Q617" s="6" t="n">
        <x:v>6</x:v>
      </x:c>
      <x:c r="R617" s="6" t="n">
        <x:v>2</x:v>
      </x:c>
      <x:c r="S617" s="6" t="n">
        <x:v>5</x:v>
      </x:c>
      <x:c r="T617" s="6" t="n">
        <x:v>7</x:v>
      </x:c>
      <x:c r="U617" s="6" t="n">
        <x:v>0</x:v>
      </x:c>
      <x:c r="V617" s="6" t="n">
        <x:v>0</x:v>
      </x:c>
      <x:c r="W617" s="6" t="n">
        <x:v>0</x:v>
      </x:c>
      <x:c r="X617" s="6" t="n">
        <x:v>0</x:v>
      </x:c>
      <x:c r="Y617" s="6" t="n">
        <x:v>0</x:v>
      </x:c>
      <x:c r="Z617" s="6" t="n">
        <x:v>0</x:v>
      </x:c>
      <x:c r="AA617" s="6" t="n">
        <x:v>3</x:v>
      </x:c>
      <x:c r="AB617" s="6" t="n">
        <x:v>11</x:v>
      </x:c>
      <x:c r="AC617" s="6" t="n">
        <x:v>0</x:v>
      </x:c>
    </x:row>
    <x:row r="618">
      <x:c r="A618" s="6" t="n">
        <x:v>8953</x:v>
      </x:c>
      <x:c r="B618" s="6" t="n">
        <x:v>1965</x:v>
      </x:c>
      <x:c r="C618" s="6" t="str">
        <x:v>Master</x:v>
      </x:c>
      <x:c r="D618" s="6" t="str">
        <x:v>Single</x:v>
      </x:c>
      <x:c r="E618" s="6" t="n">
        <x:v>35791</x:v>
      </x:c>
      <x:c r="F618" s="6" t="n">
        <x:v>2</x:v>
      </x:c>
      <x:c r="G618" s="6" t="n">
        <x:v>1</x:v>
      </x:c>
      <x:c r="H618" s="9" t="str">
        <x:v>06-05-2013</x:v>
      </x:c>
      <x:c r="I618" s="6" t="n">
        <x:v>94</x:v>
      </x:c>
      <x:c r="J618" s="6" t="n">
        <x:v>27</x:v>
      </x:c>
      <x:c r="K618" s="6" t="n">
        <x:v>0</x:v>
      </x:c>
      <x:c r="L618" s="6" t="n">
        <x:v>5</x:v>
      </x:c>
      <x:c r="M618" s="6" t="n">
        <x:v>0</x:v>
      </x:c>
      <x:c r="N618" s="6" t="n">
        <x:v>0</x:v>
      </x:c>
      <x:c r="O618" s="6" t="n">
        <x:v>3</x:v>
      </x:c>
      <x:c r="P618" s="6" t="n">
        <x:v>2</x:v>
      </x:c>
      <x:c r="Q618" s="6" t="n">
        <x:v>1</x:v>
      </x:c>
      <x:c r="R618" s="6" t="n">
        <x:v>0</x:v>
      </x:c>
      <x:c r="S618" s="6" t="n">
        <x:v>3</x:v>
      </x:c>
      <x:c r="T618" s="6" t="n">
        <x:v>8</x:v>
      </x:c>
      <x:c r="U618" s="6" t="n">
        <x:v>0</x:v>
      </x:c>
      <x:c r="V618" s="6" t="n">
        <x:v>0</x:v>
      </x:c>
      <x:c r="W618" s="6" t="n">
        <x:v>0</x:v>
      </x:c>
      <x:c r="X618" s="6" t="n">
        <x:v>0</x:v>
      </x:c>
      <x:c r="Y618" s="6" t="n">
        <x:v>0</x:v>
      </x:c>
      <x:c r="Z618" s="6" t="n">
        <x:v>0</x:v>
      </x:c>
      <x:c r="AA618" s="6" t="n">
        <x:v>3</x:v>
      </x:c>
      <x:c r="AB618" s="6" t="n">
        <x:v>11</x:v>
      </x:c>
      <x:c r="AC618" s="6" t="n">
        <x:v>0</x:v>
      </x:c>
    </x:row>
    <x:row r="619">
      <x:c r="A619" s="6" t="n">
        <x:v>1503</x:v>
      </x:c>
      <x:c r="B619" s="6" t="n">
        <x:v>1976</x:v>
      </x:c>
      <x:c r="C619" s="6" t="str">
        <x:v>PhD</x:v>
      </x:c>
      <x:c r="D619" s="6" t="str">
        <x:v>Together</x:v>
      </x:c>
      <x:c r="E619" s="6" t="n">
        <x:v>162397</x:v>
      </x:c>
      <x:c r="F619" s="6" t="n">
        <x:v>1</x:v>
      </x:c>
      <x:c r="G619" s="6" t="n">
        <x:v>1</x:v>
      </x:c>
      <x:c r="H619" s="9" t="str">
        <x:v>03-06-2013</x:v>
      </x:c>
      <x:c r="I619" s="6" t="n">
        <x:v>31</x:v>
      </x:c>
      <x:c r="J619" s="6" t="n">
        <x:v>85</x:v>
      </x:c>
      <x:c r="K619" s="6" t="n">
        <x:v>1</x:v>
      </x:c>
      <x:c r="L619" s="6" t="n">
        <x:v>16</x:v>
      </x:c>
      <x:c r="M619" s="6" t="n">
        <x:v>2</x:v>
      </x:c>
      <x:c r="N619" s="6" t="n">
        <x:v>1</x:v>
      </x:c>
      <x:c r="O619" s="6" t="n">
        <x:v>2</x:v>
      </x:c>
      <x:c r="P619" s="6" t="n">
        <x:v>0</x:v>
      </x:c>
      <x:c r="Q619" s="6" t="n">
        <x:v>0</x:v>
      </x:c>
      <x:c r="R619" s="6" t="n">
        <x:v>0</x:v>
      </x:c>
      <x:c r="S619" s="6" t="n">
        <x:v>1</x:v>
      </x:c>
      <x:c r="T619" s="6" t="n">
        <x:v>1</x:v>
      </x:c>
      <x:c r="U619" s="6" t="n">
        <x:v>0</x:v>
      </x:c>
      <x:c r="V619" s="6" t="n">
        <x:v>0</x:v>
      </x:c>
      <x:c r="W619" s="6" t="n">
        <x:v>0</x:v>
      </x:c>
      <x:c r="X619" s="6" t="n">
        <x:v>0</x:v>
      </x:c>
      <x:c r="Y619" s="6" t="n">
        <x:v>0</x:v>
      </x:c>
      <x:c r="Z619" s="6" t="n">
        <x:v>0</x:v>
      </x:c>
      <x:c r="AA619" s="6" t="n">
        <x:v>3</x:v>
      </x:c>
      <x:c r="AB619" s="6" t="n">
        <x:v>11</x:v>
      </x:c>
      <x:c r="AC619" s="6" t="n">
        <x:v>0</x:v>
      </x:c>
    </x:row>
    <x:row r="620">
      <x:c r="A620" s="6" t="n">
        <x:v>8650</x:v>
      </x:c>
      <x:c r="B620" s="6" t="n">
        <x:v>1978</x:v>
      </x:c>
      <x:c r="C620" s="6" t="str">
        <x:v>Graduation</x:v>
      </x:c>
      <x:c r="D620" s="6" t="str">
        <x:v>Widow</x:v>
      </x:c>
      <x:c r="E620" s="6" t="n">
        <x:v>54162</x:v>
      </x:c>
      <x:c r="F620" s="6" t="n">
        <x:v>1</x:v>
      </x:c>
      <x:c r="G620" s="6" t="n">
        <x:v>1</x:v>
      </x:c>
      <x:c r="H620" s="9" t="str">
        <x:v>18-03-2013</x:v>
      </x:c>
      <x:c r="I620" s="6" t="n">
        <x:v>31</x:v>
      </x:c>
      <x:c r="J620" s="6" t="n">
        <x:v>5</x:v>
      </x:c>
      <x:c r="K620" s="6" t="n">
        <x:v>6</x:v>
      </x:c>
      <x:c r="L620" s="6" t="n">
        <x:v>10</x:v>
      </x:c>
      <x:c r="M620" s="6" t="n">
        <x:v>6</x:v>
      </x:c>
      <x:c r="N620" s="6" t="n">
        <x:v>5</x:v>
      </x:c>
      <x:c r="O620" s="6" t="n">
        <x:v>10</x:v>
      </x:c>
      <x:c r="P620" s="6" t="n">
        <x:v>1</x:v>
      </x:c>
      <x:c r="Q620" s="6" t="n">
        <x:v>1</x:v>
      </x:c>
      <x:c r="R620" s="6" t="n">
        <x:v>0</x:v>
      </x:c>
      <x:c r="S620" s="6" t="n">
        <x:v>3</x:v>
      </x:c>
      <x:c r="T620" s="6" t="n">
        <x:v>4</x:v>
      </x:c>
      <x:c r="U620" s="6" t="n">
        <x:v>0</x:v>
      </x:c>
      <x:c r="V620" s="6" t="n">
        <x:v>0</x:v>
      </x:c>
      <x:c r="W620" s="6" t="n">
        <x:v>0</x:v>
      </x:c>
      <x:c r="X620" s="6" t="n">
        <x:v>0</x:v>
      </x:c>
      <x:c r="Y620" s="6" t="n">
        <x:v>0</x:v>
      </x:c>
      <x:c r="Z620" s="6" t="n">
        <x:v>0</x:v>
      </x:c>
      <x:c r="AA620" s="6" t="n">
        <x:v>3</x:v>
      </x:c>
      <x:c r="AB620" s="6" t="n">
        <x:v>11</x:v>
      </x:c>
      <x:c r="AC620" s="6" t="n">
        <x:v>0</x:v>
      </x:c>
    </x:row>
    <x:row r="621">
      <x:c r="A621" s="6" t="n">
        <x:v>10862</x:v>
      </x:c>
      <x:c r="B621" s="6" t="n">
        <x:v>1960</x:v>
      </x:c>
      <x:c r="C621" s="6" t="str">
        <x:v>Master</x:v>
      </x:c>
      <x:c r="D621" s="6" t="str">
        <x:v>Married</x:v>
      </x:c>
      <x:c r="E621" s="6" t="n">
        <x:v>30522</x:v>
      </x:c>
      <x:c r="F621" s="6" t="n">
        <x:v>0</x:v>
      </x:c>
      <x:c r="G621" s="6" t="n">
        <x:v>1</x:v>
      </x:c>
      <x:c r="H621" s="9" t="str">
        <x:v>17-08-2012</x:v>
      </x:c>
      <x:c r="I621" s="6" t="n">
        <x:v>6</x:v>
      </x:c>
      <x:c r="J621" s="6" t="n">
        <x:v>179</x:v>
      </x:c>
      <x:c r="K621" s="6" t="n">
        <x:v>8</x:v>
      </x:c>
      <x:c r="L621" s="6" t="n">
        <x:v>83</x:v>
      </x:c>
      <x:c r="M621" s="6" t="n">
        <x:v>19</x:v>
      </x:c>
      <x:c r="N621" s="6" t="n">
        <x:v>11</x:v>
      </x:c>
      <x:c r="O621" s="6" t="n">
        <x:v>26</x:v>
      </x:c>
      <x:c r="P621" s="6" t="n">
        <x:v>5</x:v>
      </x:c>
      <x:c r="Q621" s="6" t="n">
        <x:v>1</x:v>
      </x:c>
      <x:c r="R621" s="6" t="n">
        <x:v>2</x:v>
      </x:c>
      <x:c r="S621" s="6" t="n">
        <x:v>9</x:v>
      </x:c>
      <x:c r="T621" s="6" t="n">
        <x:v>2</x:v>
      </x:c>
      <x:c r="U621" s="6" t="n">
        <x:v>0</x:v>
      </x:c>
      <x:c r="V621" s="6" t="n">
        <x:v>0</x:v>
      </x:c>
      <x:c r="W621" s="6" t="n">
        <x:v>0</x:v>
      </x:c>
      <x:c r="X621" s="6" t="n">
        <x:v>0</x:v>
      </x:c>
      <x:c r="Y621" s="6" t="n">
        <x:v>0</x:v>
      </x:c>
      <x:c r="Z621" s="6" t="n">
        <x:v>0</x:v>
      </x:c>
      <x:c r="AA621" s="6" t="n">
        <x:v>3</x:v>
      </x:c>
      <x:c r="AB621" s="6" t="n">
        <x:v>11</x:v>
      </x:c>
      <x:c r="AC621" s="6" t="n">
        <x:v>0</x:v>
      </x:c>
    </x:row>
    <x:row r="622">
      <x:c r="A622" s="6" t="n">
        <x:v>2782</x:v>
      </x:c>
      <x:c r="B622" s="6" t="n">
        <x:v>1961</x:v>
      </x:c>
      <x:c r="C622" s="6" t="str">
        <x:v>PhD</x:v>
      </x:c>
      <x:c r="D622" s="6" t="str">
        <x:v>Married</x:v>
      </x:c>
      <x:c r="E622" s="6" t="n">
        <x:v>54456</x:v>
      </x:c>
      <x:c r="F622" s="6" t="n">
        <x:v>0</x:v>
      </x:c>
      <x:c r="G622" s="6" t="n">
        <x:v>1</x:v>
      </x:c>
      <x:c r="H622" s="9" t="str">
        <x:v>11-07-2013</x:v>
      </x:c>
      <x:c r="I622" s="6" t="n">
        <x:v>23</x:v>
      </x:c>
      <x:c r="J622" s="6" t="n">
        <x:v>352</x:v>
      </x:c>
      <x:c r="K622" s="6" t="n">
        <x:v>0</x:v>
      </x:c>
      <x:c r="L622" s="6" t="n">
        <x:v>27</x:v>
      </x:c>
      <x:c r="M622" s="6" t="n">
        <x:v>10</x:v>
      </x:c>
      <x:c r="N622" s="6" t="n">
        <x:v>0</x:v>
      </x:c>
      <x:c r="O622" s="6" t="n">
        <x:v>15</x:v>
      </x:c>
      <x:c r="P622" s="6" t="n">
        <x:v>3</x:v>
      </x:c>
      <x:c r="Q622" s="6" t="n">
        <x:v>6</x:v>
      </x:c>
      <x:c r="R622" s="6" t="n">
        <x:v>1</x:v>
      </x:c>
      <x:c r="S622" s="6" t="n">
        <x:v>7</x:v>
      </x:c>
      <x:c r="T622" s="6" t="n">
        <x:v>6</x:v>
      </x:c>
      <x:c r="U622" s="6" t="n">
        <x:v>0</x:v>
      </x:c>
      <x:c r="V622" s="6" t="n">
        <x:v>0</x:v>
      </x:c>
      <x:c r="W622" s="6" t="n">
        <x:v>0</x:v>
      </x:c>
      <x:c r="X622" s="6" t="n">
        <x:v>0</x:v>
      </x:c>
      <x:c r="Y622" s="6" t="n">
        <x:v>0</x:v>
      </x:c>
      <x:c r="Z622" s="6" t="n">
        <x:v>0</x:v>
      </x:c>
      <x:c r="AA622" s="6" t="n">
        <x:v>3</x:v>
      </x:c>
      <x:c r="AB622" s="6" t="n">
        <x:v>11</x:v>
      </x:c>
      <x:c r="AC622" s="6" t="n">
        <x:v>0</x:v>
      </x:c>
    </x:row>
    <x:row r="623">
      <x:c r="A623" s="6" t="n">
        <x:v>6941</x:v>
      </x:c>
      <x:c r="B623" s="6" t="n">
        <x:v>1971</x:v>
      </x:c>
      <x:c r="C623" s="6" t="str">
        <x:v>Graduation</x:v>
      </x:c>
      <x:c r="D623" s="6" t="str">
        <x:v>Single</x:v>
      </x:c>
      <x:c r="E623" s="6" t="n">
        <x:v>31632</x:v>
      </x:c>
      <x:c r="F623" s="6" t="n">
        <x:v>0</x:v>
      </x:c>
      <x:c r="G623" s="6" t="n">
        <x:v>0</x:v>
      </x:c>
      <x:c r="H623" s="9" t="str">
        <x:v>14-07-2013</x:v>
      </x:c>
      <x:c r="I623" s="6" t="n">
        <x:v>92</x:v>
      </x:c>
      <x:c r="J623" s="6" t="n">
        <x:v>17</x:v>
      </x:c>
      <x:c r="K623" s="6" t="n">
        <x:v>8</x:v>
      </x:c>
      <x:c r="L623" s="6" t="n">
        <x:v>12</x:v>
      </x:c>
      <x:c r="M623" s="6" t="n">
        <x:v>11</x:v>
      </x:c>
      <x:c r="N623" s="6" t="n">
        <x:v>15</x:v>
      </x:c>
      <x:c r="O623" s="6" t="n">
        <x:v>32</x:v>
      </x:c>
      <x:c r="P623" s="6" t="n">
        <x:v>1</x:v>
      </x:c>
      <x:c r="Q623" s="6" t="n">
        <x:v>2</x:v>
      </x:c>
      <x:c r="R623" s="6" t="n">
        <x:v>1</x:v>
      </x:c>
      <x:c r="S623" s="6" t="n">
        <x:v>2</x:v>
      </x:c>
      <x:c r="T623" s="6" t="n">
        <x:v>7</x:v>
      </x:c>
      <x:c r="U623" s="6" t="n">
        <x:v>0</x:v>
      </x:c>
      <x:c r="V623" s="6" t="n">
        <x:v>0</x:v>
      </x:c>
      <x:c r="W623" s="6" t="n">
        <x:v>0</x:v>
      </x:c>
      <x:c r="X623" s="6" t="n">
        <x:v>0</x:v>
      </x:c>
      <x:c r="Y623" s="6" t="n">
        <x:v>0</x:v>
      </x:c>
      <x:c r="Z623" s="6" t="n">
        <x:v>0</x:v>
      </x:c>
      <x:c r="AA623" s="6" t="n">
        <x:v>3</x:v>
      </x:c>
      <x:c r="AB623" s="6" t="n">
        <x:v>11</x:v>
      </x:c>
      <x:c r="AC623" s="6" t="n">
        <x:v>0</x:v>
      </x:c>
    </x:row>
    <x:row r="624">
      <x:c r="A624" s="6" t="n">
        <x:v>10972</x:v>
      </x:c>
      <x:c r="B624" s="6" t="n">
        <x:v>1949</x:v>
      </x:c>
      <x:c r="C624" s="6" t="str">
        <x:v>Graduation</x:v>
      </x:c>
      <x:c r="D624" s="6" t="str">
        <x:v>Widow</x:v>
      </x:c>
      <x:c r="E624" s="6" t="n">
        <x:v>72298</x:v>
      </x:c>
      <x:c r="F624" s="6" t="n">
        <x:v>0</x:v>
      </x:c>
      <x:c r="G624" s="6" t="n">
        <x:v>0</x:v>
      </x:c>
      <x:c r="H624" s="9" t="str">
        <x:v>10-03-2014</x:v>
      </x:c>
      <x:c r="I624" s="6" t="n">
        <x:v>52</x:v>
      </x:c>
      <x:c r="J624" s="6" t="n">
        <x:v>625</x:v>
      </x:c>
      <x:c r="K624" s="6" t="n">
        <x:v>35</x:v>
      </x:c>
      <x:c r="L624" s="6" t="n">
        <x:v>169</x:v>
      </x:c>
      <x:c r="M624" s="6" t="n">
        <x:v>58</x:v>
      </x:c>
      <x:c r="N624" s="6" t="n">
        <x:v>17</x:v>
      </x:c>
      <x:c r="O624" s="6" t="n">
        <x:v>35</x:v>
      </x:c>
      <x:c r="P624" s="6" t="n">
        <x:v>1</x:v>
      </x:c>
      <x:c r="Q624" s="6" t="n">
        <x:v>4</x:v>
      </x:c>
      <x:c r="R624" s="6" t="n">
        <x:v>3</x:v>
      </x:c>
      <x:c r="S624" s="6" t="n">
        <x:v>6</x:v>
      </x:c>
      <x:c r="T624" s="6" t="n">
        <x:v>1</x:v>
      </x:c>
      <x:c r="U624" s="6" t="n">
        <x:v>0</x:v>
      </x:c>
      <x:c r="V624" s="6" t="n">
        <x:v>1</x:v>
      </x:c>
      <x:c r="W624" s="6" t="n">
        <x:v>1</x:v>
      </x:c>
      <x:c r="X624" s="6" t="n">
        <x:v>0</x:v>
      </x:c>
      <x:c r="Y624" s="6" t="n">
        <x:v>0</x:v>
      </x:c>
      <x:c r="Z624" s="6" t="n">
        <x:v>0</x:v>
      </x:c>
      <x:c r="AA624" s="6" t="n">
        <x:v>3</x:v>
      </x:c>
      <x:c r="AB624" s="6" t="n">
        <x:v>11</x:v>
      </x:c>
      <x:c r="AC624" s="6" t="n">
        <x:v>0</x:v>
      </x:c>
    </x:row>
    <x:row r="625">
      <x:c r="A625" s="6" t="n">
        <x:v>10708</x:v>
      </x:c>
      <x:c r="B625" s="6" t="n">
        <x:v>1978</x:v>
      </x:c>
      <x:c r="C625" s="6" t="str">
        <x:v>2n Cycle</x:v>
      </x:c>
      <x:c r="D625" s="6" t="str">
        <x:v>Single</x:v>
      </x:c>
      <x:c r="E625" s="6" t="n">
        <x:v>36975</x:v>
      </x:c>
      <x:c r="F625" s="6" t="n">
        <x:v>1</x:v>
      </x:c>
      <x:c r="G625" s="6" t="n">
        <x:v>0</x:v>
      </x:c>
      <x:c r="H625" s="9" t="str">
        <x:v>28-12-2013</x:v>
      </x:c>
      <x:c r="I625" s="6" t="n">
        <x:v>50</x:v>
      </x:c>
      <x:c r="J625" s="6" t="n">
        <x:v>10</x:v>
      </x:c>
      <x:c r="K625" s="6" t="n">
        <x:v>6</x:v>
      </x:c>
      <x:c r="L625" s="6" t="n">
        <x:v>11</x:v>
      </x:c>
      <x:c r="M625" s="6" t="n">
        <x:v>0</x:v>
      </x:c>
      <x:c r="N625" s="6" t="n">
        <x:v>4</x:v>
      </x:c>
      <x:c r="O625" s="6" t="n">
        <x:v>2</x:v>
      </x:c>
      <x:c r="P625" s="6" t="n">
        <x:v>1</x:v>
      </x:c>
      <x:c r="Q625" s="6" t="n">
        <x:v>1</x:v>
      </x:c>
      <x:c r="R625" s="6" t="n">
        <x:v>0</x:v>
      </x:c>
      <x:c r="S625" s="6" t="n">
        <x:v>3</x:v>
      </x:c>
      <x:c r="T625" s="6" t="n">
        <x:v>7</x:v>
      </x:c>
      <x:c r="U625" s="6" t="n">
        <x:v>0</x:v>
      </x:c>
      <x:c r="V625" s="6" t="n">
        <x:v>0</x:v>
      </x:c>
      <x:c r="W625" s="6" t="n">
        <x:v>0</x:v>
      </x:c>
      <x:c r="X625" s="6" t="n">
        <x:v>0</x:v>
      </x:c>
      <x:c r="Y625" s="6" t="n">
        <x:v>0</x:v>
      </x:c>
      <x:c r="Z625" s="6" t="n">
        <x:v>0</x:v>
      </x:c>
      <x:c r="AA625" s="6" t="n">
        <x:v>3</x:v>
      </x:c>
      <x:c r="AB625" s="6" t="n">
        <x:v>11</x:v>
      </x:c>
      <x:c r="AC625" s="6" t="n">
        <x:v>0</x:v>
      </x:c>
    </x:row>
    <x:row r="626">
      <x:c r="A626" s="6" t="n">
        <x:v>6583</x:v>
      </x:c>
      <x:c r="B626" s="6" t="n">
        <x:v>1955</x:v>
      </x:c>
      <x:c r="C626" s="6" t="str">
        <x:v>2n Cycle</x:v>
      </x:c>
      <x:c r="D626" s="6" t="str">
        <x:v>Married</x:v>
      </x:c>
      <x:c r="E626" s="6" t="n">
        <x:v>72635</x:v>
      </x:c>
      <x:c r="F626" s="6" t="n">
        <x:v>0</x:v>
      </x:c>
      <x:c r="G626" s="6" t="n">
        <x:v>0</x:v>
      </x:c>
      <x:c r="H626" s="9" t="str">
        <x:v>03-06-2013</x:v>
      </x:c>
      <x:c r="I626" s="6" t="n">
        <x:v>54</x:v>
      </x:c>
      <x:c r="J626" s="6" t="n">
        <x:v>390</x:v>
      </x:c>
      <x:c r="K626" s="6" t="n">
        <x:v>22</x:v>
      </x:c>
      <x:c r="L626" s="6" t="n">
        <x:v>323</x:v>
      </x:c>
      <x:c r="M626" s="6" t="n">
        <x:v>104</x:v>
      </x:c>
      <x:c r="N626" s="6" t="n">
        <x:v>35</x:v>
      </x:c>
      <x:c r="O626" s="6" t="n">
        <x:v>107</x:v>
      </x:c>
      <x:c r="P626" s="6" t="n">
        <x:v>1</x:v>
      </x:c>
      <x:c r="Q626" s="6" t="n">
        <x:v>6</x:v>
      </x:c>
      <x:c r="R626" s="6" t="n">
        <x:v>8</x:v>
      </x:c>
      <x:c r="S626" s="6" t="n">
        <x:v>6</x:v>
      </x:c>
      <x:c r="T626" s="6" t="n">
        <x:v>3</x:v>
      </x:c>
      <x:c r="U626" s="6" t="n">
        <x:v>0</x:v>
      </x:c>
      <x:c r="V626" s="6" t="n">
        <x:v>0</x:v>
      </x:c>
      <x:c r="W626" s="6" t="n">
        <x:v>0</x:v>
      </x:c>
      <x:c r="X626" s="6" t="n">
        <x:v>1</x:v>
      </x:c>
      <x:c r="Y626" s="6" t="n">
        <x:v>0</x:v>
      </x:c>
      <x:c r="Z626" s="6" t="n">
        <x:v>0</x:v>
      </x:c>
      <x:c r="AA626" s="6" t="n">
        <x:v>3</x:v>
      </x:c>
      <x:c r="AB626" s="6" t="n">
        <x:v>11</x:v>
      </x:c>
      <x:c r="AC626" s="6" t="n">
        <x:v>0</x:v>
      </x:c>
    </x:row>
    <x:row r="627">
      <x:c r="A627" s="6" t="n">
        <x:v>3641</x:v>
      </x:c>
      <x:c r="B627" s="6" t="n">
        <x:v>1976</x:v>
      </x:c>
      <x:c r="C627" s="6" t="str">
        <x:v>Graduation</x:v>
      </x:c>
      <x:c r="D627" s="6" t="str">
        <x:v>Married</x:v>
      </x:c>
      <x:c r="E627" s="6" t="n">
        <x:v>13624</x:v>
      </x:c>
      <x:c r="F627" s="6" t="n">
        <x:v>1</x:v>
      </x:c>
      <x:c r="G627" s="6" t="n">
        <x:v>0</x:v>
      </x:c>
      <x:c r="H627" s="9" t="str">
        <x:v>20-01-2013</x:v>
      </x:c>
      <x:c r="I627" s="6" t="n">
        <x:v>93</x:v>
      </x:c>
      <x:c r="J627" s="6" t="n">
        <x:v>10</x:v>
      </x:c>
      <x:c r="K627" s="6" t="n">
        <x:v>2</x:v>
      </x:c>
      <x:c r="L627" s="6" t="n">
        <x:v>15</x:v>
      </x:c>
      <x:c r="M627" s="6" t="n">
        <x:v>2</x:v>
      </x:c>
      <x:c r="N627" s="6" t="n">
        <x:v>1</x:v>
      </x:c>
      <x:c r="O627" s="6" t="n">
        <x:v>6</x:v>
      </x:c>
      <x:c r="P627" s="6" t="n">
        <x:v>2</x:v>
      </x:c>
      <x:c r="Q627" s="6" t="n">
        <x:v>2</x:v>
      </x:c>
      <x:c r="R627" s="6" t="n">
        <x:v>0</x:v>
      </x:c>
      <x:c r="S627" s="6" t="n">
        <x:v>3</x:v>
      </x:c>
      <x:c r="T627" s="6" t="n">
        <x:v>6</x:v>
      </x:c>
      <x:c r="U627" s="6" t="n">
        <x:v>0</x:v>
      </x:c>
      <x:c r="V627" s="6" t="n">
        <x:v>0</x:v>
      </x:c>
      <x:c r="W627" s="6" t="n">
        <x:v>0</x:v>
      </x:c>
      <x:c r="X627" s="6" t="n">
        <x:v>0</x:v>
      </x:c>
      <x:c r="Y627" s="6" t="n">
        <x:v>0</x:v>
      </x:c>
      <x:c r="Z627" s="6" t="n">
        <x:v>0</x:v>
      </x:c>
      <x:c r="AA627" s="6" t="n">
        <x:v>3</x:v>
      </x:c>
      <x:c r="AB627" s="6" t="n">
        <x:v>11</x:v>
      </x:c>
      <x:c r="AC627" s="6" t="n">
        <x:v>0</x:v>
      </x:c>
    </x:row>
    <x:row r="628">
      <x:c r="A628" s="6" t="n">
        <x:v>10156</x:v>
      </x:c>
      <x:c r="B628" s="6" t="n">
        <x:v>1975</x:v>
      </x:c>
      <x:c r="C628" s="6" t="str">
        <x:v>Graduation</x:v>
      </x:c>
      <x:c r="D628" s="6" t="str">
        <x:v>Single</x:v>
      </x:c>
      <x:c r="E628" s="6" t="n">
        <x:v>84196</x:v>
      </x:c>
      <x:c r="F628" s="6" t="n">
        <x:v>0</x:v>
      </x:c>
      <x:c r="G628" s="6" t="n">
        <x:v>1</x:v>
      </x:c>
      <x:c r="H628" s="9" t="str">
        <x:v>03-06-2013</x:v>
      </x:c>
      <x:c r="I628" s="6" t="n">
        <x:v>56</x:v>
      </x:c>
      <x:c r="J628" s="6" t="n">
        <x:v>215</x:v>
      </x:c>
      <x:c r="K628" s="6" t="n">
        <x:v>63</x:v>
      </x:c>
      <x:c r="L628" s="6" t="n">
        <x:v>507</x:v>
      </x:c>
      <x:c r="M628" s="6" t="n">
        <x:v>231</x:v>
      </x:c>
      <x:c r="N628" s="6" t="n">
        <x:v>31</x:v>
      </x:c>
      <x:c r="O628" s="6" t="n">
        <x:v>190</x:v>
      </x:c>
      <x:c r="P628" s="6" t="n">
        <x:v>1</x:v>
      </x:c>
      <x:c r="Q628" s="6" t="n">
        <x:v>8</x:v>
      </x:c>
      <x:c r="R628" s="6" t="n">
        <x:v>4</x:v>
      </x:c>
      <x:c r="S628" s="6" t="n">
        <x:v>7</x:v>
      </x:c>
      <x:c r="T628" s="6" t="n">
        <x:v>3</x:v>
      </x:c>
      <x:c r="U628" s="6" t="n">
        <x:v>0</x:v>
      </x:c>
      <x:c r="V628" s="6" t="n">
        <x:v>0</x:v>
      </x:c>
      <x:c r="W628" s="6" t="n">
        <x:v>0</x:v>
      </x:c>
      <x:c r="X628" s="6" t="n">
        <x:v>0</x:v>
      </x:c>
      <x:c r="Y628" s="6" t="n">
        <x:v>0</x:v>
      </x:c>
      <x:c r="Z628" s="6" t="n">
        <x:v>0</x:v>
      </x:c>
      <x:c r="AA628" s="6" t="n">
        <x:v>3</x:v>
      </x:c>
      <x:c r="AB628" s="6" t="n">
        <x:v>11</x:v>
      </x:c>
      <x:c r="AC628" s="6" t="n">
        <x:v>0</x:v>
      </x:c>
    </x:row>
    <x:row r="629">
      <x:c r="A629" s="6" t="n">
        <x:v>4299</x:v>
      </x:c>
      <x:c r="B629" s="6" t="n">
        <x:v>1960</x:v>
      </x:c>
      <x:c r="C629" s="6" t="str">
        <x:v>Graduation</x:v>
      </x:c>
      <x:c r="D629" s="6" t="str">
        <x:v>Together</x:v>
      </x:c>
      <x:c r="E629" s="6" t="n">
        <x:v>70971</x:v>
      </x:c>
      <x:c r="F629" s="6" t="n">
        <x:v>0</x:v>
      </x:c>
      <x:c r="G629" s="6" t="n">
        <x:v>1</x:v>
      </x:c>
      <x:c r="H629" s="9" t="str">
        <x:v>21-09-2012</x:v>
      </x:c>
      <x:c r="I629" s="6" t="n">
        <x:v>28</x:v>
      </x:c>
      <x:c r="J629" s="6" t="n">
        <x:v>1001</x:v>
      </x:c>
      <x:c r="K629" s="6" t="n">
        <x:v>17</x:v>
      </x:c>
      <x:c r="L629" s="6" t="n">
        <x:v>572</x:v>
      </x:c>
      <x:c r="M629" s="6" t="n">
        <x:v>93</x:v>
      </x:c>
      <x:c r="N629" s="6" t="n">
        <x:v>125</x:v>
      </x:c>
      <x:c r="O629" s="6" t="n">
        <x:v>17</x:v>
      </x:c>
      <x:c r="P629" s="6" t="n">
        <x:v>7</x:v>
      </x:c>
      <x:c r="Q629" s="6" t="n">
        <x:v>11</x:v>
      </x:c>
      <x:c r="R629" s="6" t="n">
        <x:v>11</x:v>
      </x:c>
      <x:c r="S629" s="6" t="n">
        <x:v>5</x:v>
      </x:c>
      <x:c r="T629" s="6" t="n">
        <x:v>7</x:v>
      </x:c>
      <x:c r="U629" s="6" t="n">
        <x:v>0</x:v>
      </x:c>
      <x:c r="V629" s="6" t="n">
        <x:v>0</x:v>
      </x:c>
      <x:c r="W629" s="6" t="n">
        <x:v>0</x:v>
      </x:c>
      <x:c r="X629" s="6" t="n">
        <x:v>0</x:v>
      </x:c>
      <x:c r="Y629" s="6" t="n">
        <x:v>0</x:v>
      </x:c>
      <x:c r="Z629" s="6" t="n">
        <x:v>0</x:v>
      </x:c>
      <x:c r="AA629" s="6" t="n">
        <x:v>3</x:v>
      </x:c>
      <x:c r="AB629" s="6" t="n">
        <x:v>11</x:v>
      </x:c>
      <x:c r="AC629" s="6" t="n">
        <x:v>1</x:v>
      </x:c>
    </x:row>
    <x:row r="630">
      <x:c r="A630" s="6" t="n">
        <x:v>3469</x:v>
      </x:c>
      <x:c r="B630" s="6" t="n">
        <x:v>1977</x:v>
      </x:c>
      <x:c r="C630" s="6" t="str">
        <x:v>PhD</x:v>
      </x:c>
      <x:c r="D630" s="6" t="str">
        <x:v>Divorced</x:v>
      </x:c>
      <x:c r="E630" s="6" t="n">
        <x:v>34487</x:v>
      </x:c>
      <x:c r="F630" s="6" t="n">
        <x:v>1</x:v>
      </x:c>
      <x:c r="G630" s="6" t="n">
        <x:v>1</x:v>
      </x:c>
      <x:c r="H630" s="9" t="str">
        <x:v>06-09-2012</x:v>
      </x:c>
      <x:c r="I630" s="6" t="n">
        <x:v>94</x:v>
      </x:c>
      <x:c r="J630" s="6" t="n">
        <x:v>19</x:v>
      </x:c>
      <x:c r="K630" s="6" t="n">
        <x:v>18</x:v>
      </x:c>
      <x:c r="L630" s="6" t="n">
        <x:v>33</x:v>
      </x:c>
      <x:c r="M630" s="6" t="n">
        <x:v>24</x:v>
      </x:c>
      <x:c r="N630" s="6" t="n">
        <x:v>1</x:v>
      </x:c>
      <x:c r="O630" s="6" t="n">
        <x:v>8</x:v>
      </x:c>
      <x:c r="P630" s="6" t="n">
        <x:v>3</x:v>
      </x:c>
      <x:c r="Q630" s="6" t="n">
        <x:v>3</x:v>
      </x:c>
      <x:c r="R630" s="6" t="n">
        <x:v>0</x:v>
      </x:c>
      <x:c r="S630" s="6" t="n">
        <x:v>3</x:v>
      </x:c>
      <x:c r="T630" s="6" t="n">
        <x:v>9</x:v>
      </x:c>
      <x:c r="U630" s="6" t="n">
        <x:v>0</x:v>
      </x:c>
      <x:c r="V630" s="6" t="n">
        <x:v>0</x:v>
      </x:c>
      <x:c r="W630" s="6" t="n">
        <x:v>0</x:v>
      </x:c>
      <x:c r="X630" s="6" t="n">
        <x:v>0</x:v>
      </x:c>
      <x:c r="Y630" s="6" t="n">
        <x:v>0</x:v>
      </x:c>
      <x:c r="Z630" s="6" t="n">
        <x:v>0</x:v>
      </x:c>
      <x:c r="AA630" s="6" t="n">
        <x:v>3</x:v>
      </x:c>
      <x:c r="AB630" s="6" t="n">
        <x:v>11</x:v>
      </x:c>
      <x:c r="AC630" s="6" t="n">
        <x:v>0</x:v>
      </x:c>
    </x:row>
    <x:row r="631">
      <x:c r="A631" s="6" t="n">
        <x:v>5063</x:v>
      </x:c>
      <x:c r="B631" s="6" t="n">
        <x:v>1977</x:v>
      </x:c>
      <x:c r="C631" s="6" t="str">
        <x:v>Graduation</x:v>
      </x:c>
      <x:c r="D631" s="6" t="str">
        <x:v>Single</x:v>
      </x:c>
      <x:c r="E631" s="6" t="n">
        <x:v>28769</x:v>
      </x:c>
      <x:c r="F631" s="6" t="n">
        <x:v>1</x:v>
      </x:c>
      <x:c r="G631" s="6" t="n">
        <x:v>0</x:v>
      </x:c>
      <x:c r="H631" s="9" t="str">
        <x:v>18-12-2012</x:v>
      </x:c>
      <x:c r="I631" s="6" t="n">
        <x:v>76</x:v>
      </x:c>
      <x:c r="J631" s="6" t="n">
        <x:v>41</x:v>
      </x:c>
      <x:c r="K631" s="6" t="n">
        <x:v>5</x:v>
      </x:c>
      <x:c r="L631" s="6" t="n">
        <x:v>129</x:v>
      </x:c>
      <x:c r="M631" s="6" t="n">
        <x:v>10</x:v>
      </x:c>
      <x:c r="N631" s="6" t="n">
        <x:v>3</x:v>
      </x:c>
      <x:c r="O631" s="6" t="n">
        <x:v>3</x:v>
      </x:c>
      <x:c r="P631" s="6" t="n">
        <x:v>3</x:v>
      </x:c>
      <x:c r="Q631" s="6" t="n">
        <x:v>4</x:v>
      </x:c>
      <x:c r="R631" s="6" t="n">
        <x:v>1</x:v>
      </x:c>
      <x:c r="S631" s="6" t="n">
        <x:v>4</x:v>
      </x:c>
      <x:c r="T631" s="6" t="n">
        <x:v>9</x:v>
      </x:c>
      <x:c r="U631" s="6" t="n">
        <x:v>0</x:v>
      </x:c>
      <x:c r="V631" s="6" t="n">
        <x:v>0</x:v>
      </x:c>
      <x:c r="W631" s="6" t="n">
        <x:v>0</x:v>
      </x:c>
      <x:c r="X631" s="6" t="n">
        <x:v>0</x:v>
      </x:c>
      <x:c r="Y631" s="6" t="n">
        <x:v>0</x:v>
      </x:c>
      <x:c r="Z631" s="6" t="n">
        <x:v>0</x:v>
      </x:c>
      <x:c r="AA631" s="6" t="n">
        <x:v>3</x:v>
      </x:c>
      <x:c r="AB631" s="6" t="n">
        <x:v>11</x:v>
      </x:c>
      <x:c r="AC631" s="6" t="n">
        <x:v>0</x:v>
      </x:c>
    </x:row>
    <x:row r="632">
      <x:c r="A632" s="6" t="n">
        <x:v>10727</x:v>
      </x:c>
      <x:c r="B632" s="6" t="n">
        <x:v>1970</x:v>
      </x:c>
      <x:c r="C632" s="6" t="str">
        <x:v>PhD</x:v>
      </x:c>
      <x:c r="D632" s="6" t="str">
        <x:v>Married</x:v>
      </x:c>
      <x:c r="E632" s="6" t="n">
        <x:v>69084</x:v>
      </x:c>
      <x:c r="F632" s="6" t="n">
        <x:v>1</x:v>
      </x:c>
      <x:c r="G632" s="6" t="n">
        <x:v>0</x:v>
      </x:c>
      <x:c r="H632" s="9" t="str">
        <x:v>19-11-2013</x:v>
      </x:c>
      <x:c r="I632" s="6" t="n">
        <x:v>43</x:v>
      </x:c>
      <x:c r="J632" s="6" t="n">
        <x:v>1181</x:v>
      </x:c>
      <x:c r="K632" s="6" t="n">
        <x:v>107</x:v>
      </x:c>
      <x:c r="L632" s="6" t="n">
        <x:v>199</x:v>
      </x:c>
      <x:c r="M632" s="6" t="n">
        <x:v>39</x:v>
      </x:c>
      <x:c r="N632" s="6" t="n">
        <x:v>30</x:v>
      </x:c>
      <x:c r="O632" s="6" t="n">
        <x:v>30</x:v>
      </x:c>
      <x:c r="P632" s="6" t="n">
        <x:v>2</x:v>
      </x:c>
      <x:c r="Q632" s="6" t="n">
        <x:v>7</x:v>
      </x:c>
      <x:c r="R632" s="6" t="n">
        <x:v>3</x:v>
      </x:c>
      <x:c r="S632" s="6" t="n">
        <x:v>13</x:v>
      </x:c>
      <x:c r="T632" s="6" t="n">
        <x:v>8</x:v>
      </x:c>
      <x:c r="U632" s="6" t="n">
        <x:v>0</x:v>
      </x:c>
      <x:c r="V632" s="6" t="n">
        <x:v>0</x:v>
      </x:c>
      <x:c r="W632" s="6" t="n">
        <x:v>0</x:v>
      </x:c>
      <x:c r="X632" s="6" t="n">
        <x:v>0</x:v>
      </x:c>
      <x:c r="Y632" s="6" t="n">
        <x:v>0</x:v>
      </x:c>
      <x:c r="Z632" s="6" t="n">
        <x:v>0</x:v>
      </x:c>
      <x:c r="AA632" s="6" t="n">
        <x:v>3</x:v>
      </x:c>
      <x:c r="AB632" s="6" t="n">
        <x:v>11</x:v>
      </x:c>
      <x:c r="AC632" s="6" t="n">
        <x:v>0</x:v>
      </x:c>
    </x:row>
    <x:row r="633">
      <x:c r="A633" s="6" t="n">
        <x:v>9624</x:v>
      </x:c>
      <x:c r="B633" s="6" t="n">
        <x:v>1958</x:v>
      </x:c>
      <x:c r="C633" s="6" t="str">
        <x:v>PhD</x:v>
      </x:c>
      <x:c r="D633" s="6" t="str">
        <x:v>Together</x:v>
      </x:c>
      <x:c r="E633" s="6" t="n">
        <x:v>65488</x:v>
      </x:c>
      <x:c r="F633" s="6" t="n">
        <x:v>0</x:v>
      </x:c>
      <x:c r="G633" s="6" t="n">
        <x:v>0</x:v>
      </x:c>
      <x:c r="H633" s="9" t="str">
        <x:v>13-06-2014</x:v>
      </x:c>
      <x:c r="I633" s="6" t="n">
        <x:v>46</x:v>
      </x:c>
      <x:c r="J633" s="6" t="n">
        <x:v>603</x:v>
      </x:c>
      <x:c r="K633" s="6" t="n">
        <x:v>45</x:v>
      </x:c>
      <x:c r="L633" s="6" t="n">
        <x:v>207</x:v>
      </x:c>
      <x:c r="M633" s="6" t="n">
        <x:v>36</x:v>
      </x:c>
      <x:c r="N633" s="6" t="n">
        <x:v>18</x:v>
      </x:c>
      <x:c r="O633" s="6" t="n">
        <x:v>54</x:v>
      </x:c>
      <x:c r="P633" s="6" t="n">
        <x:v>1</x:v>
      </x:c>
      <x:c r="Q633" s="6" t="n">
        <x:v>3</x:v>
      </x:c>
      <x:c r="R633" s="6" t="n">
        <x:v>4</x:v>
      </x:c>
      <x:c r="S633" s="6" t="n">
        <x:v>6</x:v>
      </x:c>
      <x:c r="T633" s="6" t="n">
        <x:v>1</x:v>
      </x:c>
      <x:c r="U633" s="6" t="n">
        <x:v>0</x:v>
      </x:c>
      <x:c r="V633" s="6" t="n">
        <x:v>0</x:v>
      </x:c>
      <x:c r="W633" s="6" t="n">
        <x:v>0</x:v>
      </x:c>
      <x:c r="X633" s="6" t="n">
        <x:v>0</x:v>
      </x:c>
      <x:c r="Y633" s="6" t="n">
        <x:v>0</x:v>
      </x:c>
      <x:c r="Z633" s="6" t="n">
        <x:v>0</x:v>
      </x:c>
      <x:c r="AA633" s="6" t="n">
        <x:v>3</x:v>
      </x:c>
      <x:c r="AB633" s="6" t="n">
        <x:v>11</x:v>
      </x:c>
      <x:c r="AC633" s="6" t="n">
        <x:v>0</x:v>
      </x:c>
    </x:row>
    <x:row r="634">
      <x:c r="A634" s="6" t="n">
        <x:v>5156</x:v>
      </x:c>
      <x:c r="B634" s="6" t="n">
        <x:v>1970</x:v>
      </x:c>
      <x:c r="C634" s="6" t="str">
        <x:v>2n Cycle</x:v>
      </x:c>
      <x:c r="D634" s="6" t="str">
        <x:v>Married</x:v>
      </x:c>
      <x:c r="E634" s="6" t="n">
        <x:v>62466</x:v>
      </x:c>
      <x:c r="F634" s="6" t="n">
        <x:v>0</x:v>
      </x:c>
      <x:c r="G634" s="6" t="n">
        <x:v>1</x:v>
      </x:c>
      <x:c r="H634" s="9" t="str">
        <x:v>15-01-2014</x:v>
      </x:c>
      <x:c r="I634" s="6" t="n">
        <x:v>13</x:v>
      </x:c>
      <x:c r="J634" s="6" t="n">
        <x:v>129</x:v>
      </x:c>
      <x:c r="K634" s="6" t="n">
        <x:v>129</x:v>
      </x:c>
      <x:c r="L634" s="6" t="n">
        <x:v>259</x:v>
      </x:c>
      <x:c r="M634" s="6" t="n">
        <x:v>168</x:v>
      </x:c>
      <x:c r="N634" s="6" t="n">
        <x:v>121</x:v>
      </x:c>
      <x:c r="O634" s="6" t="n">
        <x:v>83</x:v>
      </x:c>
      <x:c r="P634" s="6" t="n">
        <x:v>5</x:v>
      </x:c>
      <x:c r="Q634" s="6" t="n">
        <x:v>6</x:v>
      </x:c>
      <x:c r="R634" s="6" t="n">
        <x:v>3</x:v>
      </x:c>
      <x:c r="S634" s="6" t="n">
        <x:v>12</x:v>
      </x:c>
      <x:c r="T634" s="6" t="n">
        <x:v>4</x:v>
      </x:c>
      <x:c r="U634" s="6" t="n">
        <x:v>0</x:v>
      </x:c>
      <x:c r="V634" s="6" t="n">
        <x:v>0</x:v>
      </x:c>
      <x:c r="W634" s="6" t="n">
        <x:v>0</x:v>
      </x:c>
      <x:c r="X634" s="6" t="n">
        <x:v>0</x:v>
      </x:c>
      <x:c r="Y634" s="6" t="n">
        <x:v>0</x:v>
      </x:c>
      <x:c r="Z634" s="6" t="n">
        <x:v>0</x:v>
      </x:c>
      <x:c r="AA634" s="6" t="n">
        <x:v>3</x:v>
      </x:c>
      <x:c r="AB634" s="6" t="n">
        <x:v>11</x:v>
      </x:c>
      <x:c r="AC634" s="6" t="n">
        <x:v>0</x:v>
      </x:c>
    </x:row>
    <x:row r="635">
      <x:c r="A635" s="6" t="n">
        <x:v>4376</x:v>
      </x:c>
      <x:c r="B635" s="6" t="n">
        <x:v>1960</x:v>
      </x:c>
      <x:c r="C635" s="6" t="str">
        <x:v>2n Cycle</x:v>
      </x:c>
      <x:c r="D635" s="6" t="str">
        <x:v>Single</x:v>
      </x:c>
      <x:c r="E635" s="6" t="n">
        <x:v>32218</x:v>
      </x:c>
      <x:c r="F635" s="6" t="n">
        <x:v>0</x:v>
      </x:c>
      <x:c r="G635" s="6" t="n">
        <x:v>0</x:v>
      </x:c>
      <x:c r="H635" s="9" t="str">
        <x:v>15-02-2014</x:v>
      </x:c>
      <x:c r="I635" s="6" t="n">
        <x:v>27</x:v>
      </x:c>
      <x:c r="J635" s="6" t="n">
        <x:v>10</x:v>
      </x:c>
      <x:c r="K635" s="6" t="n">
        <x:v>24</x:v>
      </x:c>
      <x:c r="L635" s="6" t="n">
        <x:v>15</x:v>
      </x:c>
      <x:c r="M635" s="6" t="n">
        <x:v>13</x:v>
      </x:c>
      <x:c r="N635" s="6" t="n">
        <x:v>1</x:v>
      </x:c>
      <x:c r="O635" s="6" t="n">
        <x:v>30</x:v>
      </x:c>
      <x:c r="P635" s="6" t="n">
        <x:v>1</x:v>
      </x:c>
      <x:c r="Q635" s="6" t="n">
        <x:v>2</x:v>
      </x:c>
      <x:c r="R635" s="6" t="n">
        <x:v>1</x:v>
      </x:c>
      <x:c r="S635" s="6" t="n">
        <x:v>3</x:v>
      </x:c>
      <x:c r="T635" s="6" t="n">
        <x:v>7</x:v>
      </x:c>
      <x:c r="U635" s="6" t="n">
        <x:v>1</x:v>
      </x:c>
      <x:c r="V635" s="6" t="n">
        <x:v>0</x:v>
      </x:c>
      <x:c r="W635" s="6" t="n">
        <x:v>0</x:v>
      </x:c>
      <x:c r="X635" s="6" t="n">
        <x:v>0</x:v>
      </x:c>
      <x:c r="Y635" s="6" t="n">
        <x:v>0</x:v>
      </x:c>
      <x:c r="Z635" s="6" t="n">
        <x:v>0</x:v>
      </x:c>
      <x:c r="AA635" s="6" t="n">
        <x:v>3</x:v>
      </x:c>
      <x:c r="AB635" s="6" t="n">
        <x:v>11</x:v>
      </x:c>
      <x:c r="AC635" s="6" t="n">
        <x:v>1</x:v>
      </x:c>
    </x:row>
    <x:row r="636">
      <x:c r="A636" s="6" t="n">
        <x:v>8923</x:v>
      </x:c>
      <x:c r="B636" s="6" t="n">
        <x:v>1973</x:v>
      </x:c>
      <x:c r="C636" s="6" t="str">
        <x:v>Graduation</x:v>
      </x:c>
      <x:c r="D636" s="6" t="str">
        <x:v>Single</x:v>
      </x:c>
      <x:c r="E636" s="6" t="n">
        <x:v>83917</x:v>
      </x:c>
      <x:c r="F636" s="6" t="n">
        <x:v>0</x:v>
      </x:c>
      <x:c r="G636" s="6" t="n">
        <x:v>0</x:v>
      </x:c>
      <x:c r="H636" s="9" t="str">
        <x:v>18-04-2013</x:v>
      </x:c>
      <x:c r="I636" s="6" t="n">
        <x:v>12</x:v>
      </x:c>
      <x:c r="J636" s="6" t="n">
        <x:v>514</x:v>
      </x:c>
      <x:c r="K636" s="6" t="n">
        <x:v>22</x:v>
      </x:c>
      <x:c r="L636" s="6" t="n">
        <x:v>732</x:v>
      </x:c>
      <x:c r="M636" s="6" t="n">
        <x:v>42</x:v>
      </x:c>
      <x:c r="N636" s="6" t="n">
        <x:v>198</x:v>
      </x:c>
      <x:c r="O636" s="6" t="n">
        <x:v>79</x:v>
      </x:c>
      <x:c r="P636" s="6" t="n">
        <x:v>1</x:v>
      </x:c>
      <x:c r="Q636" s="6" t="n">
        <x:v>6</x:v>
      </x:c>
      <x:c r="R636" s="6" t="n">
        <x:v>7</x:v>
      </x:c>
      <x:c r="S636" s="6" t="n">
        <x:v>7</x:v>
      </x:c>
      <x:c r="T636" s="6" t="n">
        <x:v>3</x:v>
      </x:c>
      <x:c r="U636" s="6" t="n">
        <x:v>0</x:v>
      </x:c>
      <x:c r="V636" s="6" t="n">
        <x:v>0</x:v>
      </x:c>
      <x:c r="W636" s="6" t="n">
        <x:v>0</x:v>
      </x:c>
      <x:c r="X636" s="6" t="n">
        <x:v>0</x:v>
      </x:c>
      <x:c r="Y636" s="6" t="n">
        <x:v>0</x:v>
      </x:c>
      <x:c r="Z636" s="6" t="n">
        <x:v>0</x:v>
      </x:c>
      <x:c r="AA636" s="6" t="n">
        <x:v>3</x:v>
      </x:c>
      <x:c r="AB636" s="6" t="n">
        <x:v>11</x:v>
      </x:c>
      <x:c r="AC636" s="6" t="n">
        <x:v>1</x:v>
      </x:c>
    </x:row>
    <x:row r="637">
      <x:c r="A637" s="6" t="n">
        <x:v>8461</x:v>
      </x:c>
      <x:c r="B637" s="6" t="n">
        <x:v>1962</x:v>
      </x:c>
      <x:c r="C637" s="6" t="str">
        <x:v>Graduation</x:v>
      </x:c>
      <x:c r="D637" s="6" t="str">
        <x:v>Divorced</x:v>
      </x:c>
      <x:c r="E637" s="6" t="n">
        <x:v>46102</x:v>
      </x:c>
      <x:c r="F637" s="6" t="n">
        <x:v>2</x:v>
      </x:c>
      <x:c r="G637" s="6" t="n">
        <x:v>1</x:v>
      </x:c>
      <x:c r="H637" s="9" t="str">
        <x:v>10-03-2014</x:v>
      </x:c>
      <x:c r="I637" s="6" t="n">
        <x:v>3</x:v>
      </x:c>
      <x:c r="J637" s="6" t="n">
        <x:v>14</x:v>
      </x:c>
      <x:c r="K637" s="6" t="n">
        <x:v>0</x:v>
      </x:c>
      <x:c r="L637" s="6" t="n">
        <x:v>1</x:v>
      </x:c>
      <x:c r="M637" s="6" t="n">
        <x:v>0</x:v>
      </x:c>
      <x:c r="N637" s="6" t="n">
        <x:v>0</x:v>
      </x:c>
      <x:c r="O637" s="6" t="n">
        <x:v>1</x:v>
      </x:c>
      <x:c r="P637" s="6" t="n">
        <x:v>1</x:v>
      </x:c>
      <x:c r="Q637" s="6" t="n">
        <x:v>1</x:v>
      </x:c>
      <x:c r="R637" s="6" t="n">
        <x:v>0</x:v>
      </x:c>
      <x:c r="S637" s="6" t="n">
        <x:v>2</x:v>
      </x:c>
      <x:c r="T637" s="6" t="n">
        <x:v>7</x:v>
      </x:c>
      <x:c r="U637" s="6" t="n">
        <x:v>0</x:v>
      </x:c>
      <x:c r="V637" s="6" t="n">
        <x:v>0</x:v>
      </x:c>
      <x:c r="W637" s="6" t="n">
        <x:v>0</x:v>
      </x:c>
      <x:c r="X637" s="6" t="n">
        <x:v>0</x:v>
      </x:c>
      <x:c r="Y637" s="6" t="n">
        <x:v>0</x:v>
      </x:c>
      <x:c r="Z637" s="6" t="n">
        <x:v>0</x:v>
      </x:c>
      <x:c r="AA637" s="6" t="n">
        <x:v>3</x:v>
      </x:c>
      <x:c r="AB637" s="6" t="n">
        <x:v>11</x:v>
      </x:c>
      <x:c r="AC637" s="6" t="n">
        <x:v>0</x:v>
      </x:c>
    </x:row>
    <x:row r="638">
      <x:c r="A638" s="6" t="n">
        <x:v>6945</x:v>
      </x:c>
      <x:c r="B638" s="6" t="n">
        <x:v>1952</x:v>
      </x:c>
      <x:c r="C638" s="6" t="str">
        <x:v>Graduation</x:v>
      </x:c>
      <x:c r="D638" s="6" t="str">
        <x:v>Single</x:v>
      </x:c>
      <x:c r="E638" s="6" t="n">
        <x:v>84574</x:v>
      </x:c>
      <x:c r="F638" s="6" t="n">
        <x:v>0</x:v>
      </x:c>
      <x:c r="G638" s="6" t="n">
        <x:v>0</x:v>
      </x:c>
      <x:c r="H638" s="9" t="str">
        <x:v>04-06-2013</x:v>
      </x:c>
      <x:c r="I638" s="6" t="n">
        <x:v>72</x:v>
      </x:c>
      <x:c r="J638" s="6" t="n">
        <x:v>387</x:v>
      </x:c>
      <x:c r="K638" s="6" t="n">
        <x:v>20</x:v>
      </x:c>
      <x:c r="L638" s="6" t="n">
        <x:v>713</x:v>
      </x:c>
      <x:c r="M638" s="6" t="n">
        <x:v>38</x:v>
      </x:c>
      <x:c r="N638" s="6" t="n">
        <x:v>54</x:v>
      </x:c>
      <x:c r="O638" s="6" t="n">
        <x:v>163</x:v>
      </x:c>
      <x:c r="P638" s="6" t="n">
        <x:v>1</x:v>
      </x:c>
      <x:c r="Q638" s="6" t="n">
        <x:v>9</x:v>
      </x:c>
      <x:c r="R638" s="6" t="n">
        <x:v>11</x:v>
      </x:c>
      <x:c r="S638" s="6" t="n">
        <x:v>11</x:v>
      </x:c>
      <x:c r="T638" s="6" t="n">
        <x:v>5</x:v>
      </x:c>
      <x:c r="U638" s="6" t="n">
        <x:v>0</x:v>
      </x:c>
      <x:c r="V638" s="6" t="n">
        <x:v>0</x:v>
      </x:c>
      <x:c r="W638" s="6" t="n">
        <x:v>0</x:v>
      </x:c>
      <x:c r="X638" s="6" t="n">
        <x:v>0</x:v>
      </x:c>
      <x:c r="Y638" s="6" t="n">
        <x:v>0</x:v>
      </x:c>
      <x:c r="Z638" s="6" t="n">
        <x:v>0</x:v>
      </x:c>
      <x:c r="AA638" s="6" t="n">
        <x:v>3</x:v>
      </x:c>
      <x:c r="AB638" s="6" t="n">
        <x:v>11</x:v>
      </x:c>
      <x:c r="AC638" s="6" t="n">
        <x:v>0</x:v>
      </x:c>
    </x:row>
    <x:row r="639">
      <x:c r="A639" s="6" t="n">
        <x:v>944</x:v>
      </x:c>
      <x:c r="B639" s="6" t="n">
        <x:v>1962</x:v>
      </x:c>
      <x:c r="C639" s="6" t="str">
        <x:v>Graduation</x:v>
      </x:c>
      <x:c r="D639" s="6" t="str">
        <x:v>Married</x:v>
      </x:c>
      <x:c r="E639" s="6" t="n">
        <x:v>56181</x:v>
      </x:c>
      <x:c r="F639" s="6" t="n">
        <x:v>0</x:v>
      </x:c>
      <x:c r="G639" s="6" t="n">
        <x:v>1</x:v>
      </x:c>
      <x:c r="H639" s="9" t="str">
        <x:v>08-01-2013</x:v>
      </x:c>
      <x:c r="I639" s="6" t="n">
        <x:v>6</x:v>
      </x:c>
      <x:c r="J639" s="6" t="n">
        <x:v>121</x:v>
      </x:c>
      <x:c r="K639" s="6" t="n">
        <x:v>103</x:v>
      </x:c>
      <x:c r="L639" s="6" t="n">
        <x:v>69</x:v>
      </x:c>
      <x:c r="M639" s="6" t="n">
        <x:v>8</x:v>
      </x:c>
      <x:c r="N639" s="6" t="n">
        <x:v>44</x:v>
      </x:c>
      <x:c r="O639" s="6" t="n">
        <x:v>48</x:v>
      </x:c>
      <x:c r="P639" s="6" t="n">
        <x:v>1</x:v>
      </x:c>
      <x:c r="Q639" s="6" t="n">
        <x:v>4</x:v>
      </x:c>
      <x:c r="R639" s="6" t="n">
        <x:v>2</x:v>
      </x:c>
      <x:c r="S639" s="6" t="n">
        <x:v>7</x:v>
      </x:c>
      <x:c r="T639" s="6" t="n">
        <x:v>4</x:v>
      </x:c>
      <x:c r="U639" s="6" t="n">
        <x:v>0</x:v>
      </x:c>
      <x:c r="V639" s="6" t="n">
        <x:v>0</x:v>
      </x:c>
      <x:c r="W639" s="6" t="n">
        <x:v>0</x:v>
      </x:c>
      <x:c r="X639" s="6" t="n">
        <x:v>0</x:v>
      </x:c>
      <x:c r="Y639" s="6" t="n">
        <x:v>0</x:v>
      </x:c>
      <x:c r="Z639" s="6" t="n">
        <x:v>0</x:v>
      </x:c>
      <x:c r="AA639" s="6" t="n">
        <x:v>3</x:v>
      </x:c>
      <x:c r="AB639" s="6" t="n">
        <x:v>11</x:v>
      </x:c>
      <x:c r="AC639" s="6" t="n">
        <x:v>0</x:v>
      </x:c>
    </x:row>
    <x:row r="640">
      <x:c r="A640" s="6" t="n">
        <x:v>1907</x:v>
      </x:c>
      <x:c r="B640" s="6" t="n">
        <x:v>1950</x:v>
      </x:c>
      <x:c r="C640" s="6" t="str">
        <x:v>Master</x:v>
      </x:c>
      <x:c r="D640" s="6" t="str">
        <x:v>Divorced</x:v>
      </x:c>
      <x:c r="E640" s="6" t="n">
        <x:v>63120</x:v>
      </x:c>
      <x:c r="F640" s="6" t="n">
        <x:v>0</x:v>
      </x:c>
      <x:c r="G640" s="6" t="n">
        <x:v>1</x:v>
      </x:c>
      <x:c r="H640" s="9" t="str">
        <x:v>28-09-2012</x:v>
      </x:c>
      <x:c r="I640" s="6" t="n">
        <x:v>53</x:v>
      </x:c>
      <x:c r="J640" s="6" t="n">
        <x:v>965</x:v>
      </x:c>
      <x:c r="K640" s="6" t="n">
        <x:v>69</x:v>
      </x:c>
      <x:c r="L640" s="6" t="n">
        <x:v>279</x:v>
      </x:c>
      <x:c r="M640" s="6" t="n">
        <x:v>54</x:v>
      </x:c>
      <x:c r="N640" s="6" t="n">
        <x:v>41</x:v>
      </x:c>
      <x:c r="O640" s="6" t="n">
        <x:v>69</x:v>
      </x:c>
      <x:c r="P640" s="6" t="n">
        <x:v>5</x:v>
      </x:c>
      <x:c r="Q640" s="6" t="n">
        <x:v>8</x:v>
      </x:c>
      <x:c r="R640" s="6" t="n">
        <x:v>4</x:v>
      </x:c>
      <x:c r="S640" s="6" t="n">
        <x:v>9</x:v>
      </x:c>
      <x:c r="T640" s="6" t="n">
        <x:v>7</x:v>
      </x:c>
      <x:c r="U640" s="6" t="n">
        <x:v>0</x:v>
      </x:c>
      <x:c r="V640" s="6" t="n">
        <x:v>0</x:v>
      </x:c>
      <x:c r="W640" s="6" t="n">
        <x:v>0</x:v>
      </x:c>
      <x:c r="X640" s="6" t="n">
        <x:v>0</x:v>
      </x:c>
      <x:c r="Y640" s="6" t="n">
        <x:v>0</x:v>
      </x:c>
      <x:c r="Z640" s="6" t="n">
        <x:v>0</x:v>
      </x:c>
      <x:c r="AA640" s="6" t="n">
        <x:v>3</x:v>
      </x:c>
      <x:c r="AB640" s="6" t="n">
        <x:v>11</x:v>
      </x:c>
      <x:c r="AC640" s="6" t="n">
        <x:v>1</x:v>
      </x:c>
    </x:row>
    <x:row r="641">
      <x:c r="A641" s="6" t="n">
        <x:v>701</x:v>
      </x:c>
      <x:c r="B641" s="6" t="n">
        <x:v>1971</x:v>
      </x:c>
      <x:c r="C641" s="6" t="str">
        <x:v>Graduation</x:v>
      </x:c>
      <x:c r="D641" s="6" t="str">
        <x:v>Married</x:v>
      </x:c>
      <x:c r="E641" s="6" t="n">
        <x:v>73691</x:v>
      </x:c>
      <x:c r="F641" s="6" t="n">
        <x:v>0</x:v>
      </x:c>
      <x:c r="G641" s="6" t="n">
        <x:v>1</x:v>
      </x:c>
      <x:c r="H641" s="9" t="str">
        <x:v>06-11-2013</x:v>
      </x:c>
      <x:c r="I641" s="6" t="n">
        <x:v>58</x:v>
      </x:c>
      <x:c r="J641" s="6" t="n">
        <x:v>707</x:v>
      </x:c>
      <x:c r="K641" s="6" t="n">
        <x:v>21</x:v>
      </x:c>
      <x:c r="L641" s="6" t="n">
        <x:v>250</x:v>
      </x:c>
      <x:c r="M641" s="6" t="n">
        <x:v>85</x:v>
      </x:c>
      <x:c r="N641" s="6" t="n">
        <x:v>43</x:v>
      </x:c>
      <x:c r="O641" s="6" t="n">
        <x:v>73</x:v>
      </x:c>
      <x:c r="P641" s="6" t="n">
        <x:v>2</x:v>
      </x:c>
      <x:c r="Q641" s="6" t="n">
        <x:v>6</x:v>
      </x:c>
      <x:c r="R641" s="6" t="n">
        <x:v>2</x:v>
      </x:c>
      <x:c r="S641" s="6" t="n">
        <x:v>8</x:v>
      </x:c>
      <x:c r="T641" s="6" t="n">
        <x:v>2</x:v>
      </x:c>
      <x:c r="U641" s="6" t="n">
        <x:v>1</x:v>
      </x:c>
      <x:c r="V641" s="6" t="n">
        <x:v>0</x:v>
      </x:c>
      <x:c r="W641" s="6" t="n">
        <x:v>0</x:v>
      </x:c>
      <x:c r="X641" s="6" t="n">
        <x:v>0</x:v>
      </x:c>
      <x:c r="Y641" s="6" t="n">
        <x:v>0</x:v>
      </x:c>
      <x:c r="Z641" s="6" t="n">
        <x:v>0</x:v>
      </x:c>
      <x:c r="AA641" s="6" t="n">
        <x:v>3</x:v>
      </x:c>
      <x:c r="AB641" s="6" t="n">
        <x:v>11</x:v>
      </x:c>
      <x:c r="AC641" s="6" t="n">
        <x:v>0</x:v>
      </x:c>
    </x:row>
    <x:row r="642">
      <x:c r="A642" s="6" t="n">
        <x:v>3856</x:v>
      </x:c>
      <x:c r="B642" s="6" t="n">
        <x:v>1960</x:v>
      </x:c>
      <x:c r="C642" s="6" t="str">
        <x:v>Graduation</x:v>
      </x:c>
      <x:c r="D642" s="6" t="str">
        <x:v>Together</x:v>
      </x:c>
      <x:c r="E642" s="6" t="n">
        <x:v>63381</x:v>
      </x:c>
      <x:c r="F642" s="6" t="n">
        <x:v>0</x:v>
      </x:c>
      <x:c r="G642" s="6" t="n">
        <x:v>1</x:v>
      </x:c>
      <x:c r="H642" s="9" t="str">
        <x:v>05-10-2012</x:v>
      </x:c>
      <x:c r="I642" s="6" t="n">
        <x:v>78</x:v>
      </x:c>
      <x:c r="J642" s="6" t="n">
        <x:v>571</x:v>
      </x:c>
      <x:c r="K642" s="6" t="n">
        <x:v>50</x:v>
      </x:c>
      <x:c r="L642" s="6" t="n">
        <x:v>142</x:v>
      </x:c>
      <x:c r="M642" s="6" t="n">
        <x:v>33</x:v>
      </x:c>
      <x:c r="N642" s="6" t="n">
        <x:v>50</x:v>
      </x:c>
      <x:c r="O642" s="6" t="n">
        <x:v>159</x:v>
      </x:c>
      <x:c r="P642" s="6" t="n">
        <x:v>4</x:v>
      </x:c>
      <x:c r="Q642" s="6" t="n">
        <x:v>4</x:v>
      </x:c>
      <x:c r="R642" s="6" t="n">
        <x:v>5</x:v>
      </x:c>
      <x:c r="S642" s="6" t="n">
        <x:v>13</x:v>
      </x:c>
      <x:c r="T642" s="6" t="n">
        <x:v>2</x:v>
      </x:c>
      <x:c r="U642" s="6" t="n">
        <x:v>0</x:v>
      </x:c>
      <x:c r="V642" s="6" t="n">
        <x:v>0</x:v>
      </x:c>
      <x:c r="W642" s="6" t="n">
        <x:v>0</x:v>
      </x:c>
      <x:c r="X642" s="6" t="n">
        <x:v>0</x:v>
      </x:c>
      <x:c r="Y642" s="6" t="n">
        <x:v>0</x:v>
      </x:c>
      <x:c r="Z642" s="6" t="n">
        <x:v>0</x:v>
      </x:c>
      <x:c r="AA642" s="6" t="n">
        <x:v>3</x:v>
      </x:c>
      <x:c r="AB642" s="6" t="n">
        <x:v>11</x:v>
      </x:c>
      <x:c r="AC642" s="6" t="n">
        <x:v>0</x:v>
      </x:c>
    </x:row>
    <x:row r="643">
      <x:c r="A643" s="6" t="n">
        <x:v>4149</x:v>
      </x:c>
      <x:c r="B643" s="6" t="n">
        <x:v>1948</x:v>
      </x:c>
      <x:c r="C643" s="6" t="str">
        <x:v>PhD</x:v>
      </x:c>
      <x:c r="D643" s="6" t="str">
        <x:v>Together</x:v>
      </x:c>
      <x:c r="E643" s="6" t="n">
        <x:v>76140</x:v>
      </x:c>
      <x:c r="F643" s="6" t="n">
        <x:v>0</x:v>
      </x:c>
      <x:c r="G643" s="6" t="n">
        <x:v>0</x:v>
      </x:c>
      <x:c r="H643" s="9" t="str">
        <x:v>13-05-2014</x:v>
      </x:c>
      <x:c r="I643" s="6" t="n">
        <x:v>57</x:v>
      </x:c>
      <x:c r="J643" s="6" t="n">
        <x:v>586</x:v>
      </x:c>
      <x:c r="K643" s="6" t="n">
        <x:v>66</x:v>
      </x:c>
      <x:c r="L643" s="6" t="n">
        <x:v>653</x:v>
      </x:c>
      <x:c r="M643" s="6" t="n">
        <x:v>17</x:v>
      </x:c>
      <x:c r="N643" s="6" t="n">
        <x:v>0</x:v>
      </x:c>
      <x:c r="O643" s="6" t="n">
        <x:v>26</x:v>
      </x:c>
      <x:c r="P643" s="6" t="n">
        <x:v>1</x:v>
      </x:c>
      <x:c r="Q643" s="6" t="n">
        <x:v>5</x:v>
      </x:c>
      <x:c r="R643" s="6" t="n">
        <x:v>9</x:v>
      </x:c>
      <x:c r="S643" s="6" t="n">
        <x:v>6</x:v>
      </x:c>
      <x:c r="T643" s="6" t="n">
        <x:v>2</x:v>
      </x:c>
      <x:c r="U643" s="6" t="n">
        <x:v>0</x:v>
      </x:c>
      <x:c r="V643" s="6" t="n">
        <x:v>0</x:v>
      </x:c>
      <x:c r="W643" s="6" t="n">
        <x:v>0</x:v>
      </x:c>
      <x:c r="X643" s="6" t="n">
        <x:v>0</x:v>
      </x:c>
      <x:c r="Y643" s="6" t="n">
        <x:v>0</x:v>
      </x:c>
      <x:c r="Z643" s="6" t="n">
        <x:v>0</x:v>
      </x:c>
      <x:c r="AA643" s="6" t="n">
        <x:v>3</x:v>
      </x:c>
      <x:c r="AB643" s="6" t="n">
        <x:v>11</x:v>
      </x:c>
      <x:c r="AC643" s="6" t="n">
        <x:v>0</x:v>
      </x:c>
    </x:row>
    <x:row r="644">
      <x:c r="A644" s="6" t="n">
        <x:v>2131</x:v>
      </x:c>
      <x:c r="B644" s="6" t="n">
        <x:v>1959</x:v>
      </x:c>
      <x:c r="C644" s="6" t="str">
        <x:v>PhD</x:v>
      </x:c>
      <x:c r="D644" s="6" t="str">
        <x:v>Divorced</x:v>
      </x:c>
      <x:c r="E644" s="6" t="n">
        <x:v>62859</x:v>
      </x:c>
      <x:c r="F644" s="6" t="n">
        <x:v>0</x:v>
      </x:c>
      <x:c r="G644" s="6" t="n">
        <x:v>1</x:v>
      </x:c>
      <x:c r="H644" s="9" t="str">
        <x:v>30-12-2012</x:v>
      </x:c>
      <x:c r="I644" s="6" t="n">
        <x:v>37</x:v>
      </x:c>
      <x:c r="J644" s="6" t="n">
        <x:v>1063</x:v>
      </x:c>
      <x:c r="K644" s="6" t="n">
        <x:v>89</x:v>
      </x:c>
      <x:c r="L644" s="6" t="n">
        <x:v>102</x:v>
      </x:c>
      <x:c r="M644" s="6" t="n">
        <x:v>16</x:v>
      </x:c>
      <x:c r="N644" s="6" t="n">
        <x:v>12</x:v>
      </x:c>
      <x:c r="O644" s="6" t="n">
        <x:v>25</x:v>
      </x:c>
      <x:c r="P644" s="6" t="n">
        <x:v>4</x:v>
      </x:c>
      <x:c r="Q644" s="6" t="n">
        <x:v>9</x:v>
      </x:c>
      <x:c r="R644" s="6" t="n">
        <x:v>4</x:v>
      </x:c>
      <x:c r="S644" s="6" t="n">
        <x:v>6</x:v>
      </x:c>
      <x:c r="T644" s="6" t="n">
        <x:v>6</x:v>
      </x:c>
      <x:c r="U644" s="6" t="n">
        <x:v>0</x:v>
      </x:c>
      <x:c r="V644" s="6" t="n">
        <x:v>0</x:v>
      </x:c>
      <x:c r="W644" s="6" t="n">
        <x:v>0</x:v>
      </x:c>
      <x:c r="X644" s="6" t="n">
        <x:v>0</x:v>
      </x:c>
      <x:c r="Y644" s="6" t="n">
        <x:v>0</x:v>
      </x:c>
      <x:c r="Z644" s="6" t="n">
        <x:v>0</x:v>
      </x:c>
      <x:c r="AA644" s="6" t="n">
        <x:v>3</x:v>
      </x:c>
      <x:c r="AB644" s="6" t="n">
        <x:v>11</x:v>
      </x:c>
      <x:c r="AC644" s="6" t="n">
        <x:v>0</x:v>
      </x:c>
    </x:row>
    <x:row r="645">
      <x:c r="A645" s="6" t="n">
        <x:v>2942</x:v>
      </x:c>
      <x:c r="B645" s="6" t="n">
        <x:v>1964</x:v>
      </x:c>
      <x:c r="C645" s="6" t="str">
        <x:v>Graduation</x:v>
      </x:c>
      <x:c r="D645" s="6" t="str">
        <x:v>Single</x:v>
      </x:c>
      <x:c r="E645" s="6" t="n">
        <x:v>45906</x:v>
      </x:c>
      <x:c r="F645" s="6" t="n">
        <x:v>0</x:v>
      </x:c>
      <x:c r="G645" s="6" t="n">
        <x:v>1</x:v>
      </x:c>
      <x:c r="H645" s="9" t="str">
        <x:v>07-05-2013</x:v>
      </x:c>
      <x:c r="I645" s="6" t="n">
        <x:v>20</x:v>
      </x:c>
      <x:c r="J645" s="6" t="n">
        <x:v>305</x:v>
      </x:c>
      <x:c r="K645" s="6" t="n">
        <x:v>3</x:v>
      </x:c>
      <x:c r="L645" s="6" t="n">
        <x:v>27</x:v>
      </x:c>
      <x:c r="M645" s="6" t="n">
        <x:v>4</x:v>
      </x:c>
      <x:c r="N645" s="6" t="n">
        <x:v>3</x:v>
      </x:c>
      <x:c r="O645" s="6" t="n">
        <x:v>144</x:v>
      </x:c>
      <x:c r="P645" s="6" t="n">
        <x:v>2</x:v>
      </x:c>
      <x:c r="Q645" s="6" t="n">
        <x:v>5</x:v>
      </x:c>
      <x:c r="R645" s="6" t="n">
        <x:v>4</x:v>
      </x:c>
      <x:c r="S645" s="6" t="n">
        <x:v>4</x:v>
      </x:c>
      <x:c r="T645" s="6" t="n">
        <x:v>5</x:v>
      </x:c>
      <x:c r="U645" s="6" t="n">
        <x:v>1</x:v>
      </x:c>
      <x:c r="V645" s="6" t="n">
        <x:v>0</x:v>
      </x:c>
      <x:c r="W645" s="6" t="n">
        <x:v>0</x:v>
      </x:c>
      <x:c r="X645" s="6" t="n">
        <x:v>0</x:v>
      </x:c>
      <x:c r="Y645" s="6" t="n">
        <x:v>0</x:v>
      </x:c>
      <x:c r="Z645" s="6" t="n">
        <x:v>0</x:v>
      </x:c>
      <x:c r="AA645" s="6" t="n">
        <x:v>3</x:v>
      </x:c>
      <x:c r="AB645" s="6" t="n">
        <x:v>11</x:v>
      </x:c>
      <x:c r="AC645" s="6" t="n">
        <x:v>0</x:v>
      </x:c>
    </x:row>
    <x:row r="646">
      <x:c r="A646" s="6" t="n">
        <x:v>1173</x:v>
      </x:c>
      <x:c r="B646" s="6" t="n">
        <x:v>1947</x:v>
      </x:c>
      <x:c r="C646" s="6" t="str">
        <x:v>Master</x:v>
      </x:c>
      <x:c r="D646" s="6" t="str">
        <x:v>Together</x:v>
      </x:c>
      <x:c r="E646" s="6" t="n">
        <x:v>77632</x:v>
      </x:c>
      <x:c r="F646" s="6" t="n">
        <x:v>0</x:v>
      </x:c>
      <x:c r="G646" s="6" t="n">
        <x:v>0</x:v>
      </x:c>
      <x:c r="H646" s="9" t="str">
        <x:v>10-03-2013</x:v>
      </x:c>
      <x:c r="I646" s="6" t="n">
        <x:v>73</x:v>
      </x:c>
      <x:c r="J646" s="6" t="n">
        <x:v>1200</x:v>
      </x:c>
      <x:c r="K646" s="6" t="n">
        <x:v>105</x:v>
      </x:c>
      <x:c r="L646" s="6" t="n">
        <x:v>758</x:v>
      </x:c>
      <x:c r="M646" s="6" t="n">
        <x:v>0</x:v>
      </x:c>
      <x:c r="N646" s="6" t="n">
        <x:v>42</x:v>
      </x:c>
      <x:c r="O646" s="6" t="n">
        <x:v>147</x:v>
      </x:c>
      <x:c r="P646" s="6" t="n">
        <x:v>1</x:v>
      </x:c>
      <x:c r="Q646" s="6" t="n">
        <x:v>4</x:v>
      </x:c>
      <x:c r="R646" s="6" t="n">
        <x:v>2</x:v>
      </x:c>
      <x:c r="S646" s="6" t="n">
        <x:v>6</x:v>
      </x:c>
      <x:c r="T646" s="6" t="n">
        <x:v>2</x:v>
      </x:c>
      <x:c r="U646" s="6" t="n">
        <x:v>0</x:v>
      </x:c>
      <x:c r="V646" s="6" t="n">
        <x:v>1</x:v>
      </x:c>
      <x:c r="W646" s="6" t="n">
        <x:v>1</x:v>
      </x:c>
      <x:c r="X646" s="6" t="n">
        <x:v>0</x:v>
      </x:c>
      <x:c r="Y646" s="6" t="n">
        <x:v>0</x:v>
      </x:c>
      <x:c r="Z646" s="6" t="n">
        <x:v>0</x:v>
      </x:c>
      <x:c r="AA646" s="6" t="n">
        <x:v>3</x:v>
      </x:c>
      <x:c r="AB646" s="6" t="n">
        <x:v>11</x:v>
      </x:c>
      <x:c r="AC646" s="6" t="n">
        <x:v>1</x:v>
      </x:c>
    </x:row>
    <x:row r="647">
      <x:c r="A647" s="6" t="n">
        <x:v>4381</x:v>
      </x:c>
      <x:c r="B647" s="6" t="n">
        <x:v>1971</x:v>
      </x:c>
      <x:c r="C647" s="6" t="str">
        <x:v>PhD</x:v>
      </x:c>
      <x:c r="D647" s="6" t="str">
        <x:v>Married</x:v>
      </x:c>
      <x:c r="E647" s="6" t="n">
        <x:v>46463</x:v>
      </x:c>
      <x:c r="F647" s="6" t="n">
        <x:v>1</x:v>
      </x:c>
      <x:c r="G647" s="6" t="n">
        <x:v>1</x:v>
      </x:c>
      <x:c r="H647" s="9" t="str">
        <x:v>18-08-2013</x:v>
      </x:c>
      <x:c r="I647" s="6" t="n">
        <x:v>56</x:v>
      </x:c>
      <x:c r="J647" s="6" t="n">
        <x:v>163</x:v>
      </x:c>
      <x:c r="K647" s="6" t="n">
        <x:v>2</x:v>
      </x:c>
      <x:c r="L647" s="6" t="n">
        <x:v>40</x:v>
      </x:c>
      <x:c r="M647" s="6" t="n">
        <x:v>8</x:v>
      </x:c>
      <x:c r="N647" s="6" t="n">
        <x:v>11</x:v>
      </x:c>
      <x:c r="O647" s="6" t="n">
        <x:v>11</x:v>
      </x:c>
      <x:c r="P647" s="6" t="n">
        <x:v>7</x:v>
      </x:c>
      <x:c r="Q647" s="6" t="n">
        <x:v>3</x:v>
      </x:c>
      <x:c r="R647" s="6" t="n">
        <x:v>1</x:v>
      </x:c>
      <x:c r="S647" s="6" t="n">
        <x:v>6</x:v>
      </x:c>
      <x:c r="T647" s="6" t="n">
        <x:v>6</x:v>
      </x:c>
      <x:c r="U647" s="6" t="n">
        <x:v>0</x:v>
      </x:c>
      <x:c r="V647" s="6" t="n">
        <x:v>0</x:v>
      </x:c>
      <x:c r="W647" s="6" t="n">
        <x:v>0</x:v>
      </x:c>
      <x:c r="X647" s="6" t="n">
        <x:v>0</x:v>
      </x:c>
      <x:c r="Y647" s="6" t="n">
        <x:v>0</x:v>
      </x:c>
      <x:c r="Z647" s="6" t="n">
        <x:v>0</x:v>
      </x:c>
      <x:c r="AA647" s="6" t="n">
        <x:v>3</x:v>
      </x:c>
      <x:c r="AB647" s="6" t="n">
        <x:v>11</x:v>
      </x:c>
      <x:c r="AC647" s="6" t="n">
        <x:v>0</x:v>
      </x:c>
    </x:row>
    <x:row r="648">
      <x:c r="A648" s="6" t="n">
        <x:v>4611</x:v>
      </x:c>
      <x:c r="B648" s="6" t="n">
        <x:v>1970</x:v>
      </x:c>
      <x:c r="C648" s="6" t="str">
        <x:v>Graduation</x:v>
      </x:c>
      <x:c r="D648" s="6" t="str">
        <x:v>Together</x:v>
      </x:c>
      <x:c r="E648" s="6" t="n">
        <x:v>105471</x:v>
      </x:c>
      <x:c r="F648" s="6" t="n">
        <x:v>0</x:v>
      </x:c>
      <x:c r="G648" s="6" t="n">
        <x:v>0</x:v>
      </x:c>
      <x:c r="H648" s="9" t="str">
        <x:v>21-01-2013</x:v>
      </x:c>
      <x:c r="I648" s="6" t="n">
        <x:v>36</x:v>
      </x:c>
      <x:c r="J648" s="6" t="n">
        <x:v>1009</x:v>
      </x:c>
      <x:c r="K648" s="6" t="n">
        <x:v>181</x:v>
      </x:c>
      <x:c r="L648" s="6" t="n">
        <x:v>104</x:v>
      </x:c>
      <x:c r="M648" s="6" t="n">
        <x:v>202</x:v>
      </x:c>
      <x:c r="N648" s="6" t="n">
        <x:v>21</x:v>
      </x:c>
      <x:c r="O648" s="6" t="n">
        <x:v>207</x:v>
      </x:c>
      <x:c r="P648" s="6" t="n">
        <x:v>0</x:v>
      </x:c>
      <x:c r="Q648" s="6" t="n">
        <x:v>9</x:v>
      </x:c>
      <x:c r="R648" s="6" t="n">
        <x:v>8</x:v>
      </x:c>
      <x:c r="S648" s="6" t="n">
        <x:v>13</x:v>
      </x:c>
      <x:c r="T648" s="6" t="n">
        <x:v>3</x:v>
      </x:c>
      <x:c r="U648" s="6" t="n">
        <x:v>0</x:v>
      </x:c>
      <x:c r="V648" s="6" t="n">
        <x:v>0</x:v>
      </x:c>
      <x:c r="W648" s="6" t="n">
        <x:v>1</x:v>
      </x:c>
      <x:c r="X648" s="6" t="n">
        <x:v>1</x:v>
      </x:c>
      <x:c r="Y648" s="6" t="n">
        <x:v>0</x:v>
      </x:c>
      <x:c r="Z648" s="6" t="n">
        <x:v>0</x:v>
      </x:c>
      <x:c r="AA648" s="6" t="n">
        <x:v>3</x:v>
      </x:c>
      <x:c r="AB648" s="6" t="n">
        <x:v>11</x:v>
      </x:c>
      <x:c r="AC648" s="6" t="n">
        <x:v>1</x:v>
      </x:c>
    </x:row>
    <x:row r="649">
      <x:c r="A649" s="6" t="n">
        <x:v>3376</x:v>
      </x:c>
      <x:c r="B649" s="6" t="n">
        <x:v>1970</x:v>
      </x:c>
      <x:c r="C649" s="6" t="str">
        <x:v>Master</x:v>
      </x:c>
      <x:c r="D649" s="6" t="str">
        <x:v>Divorced</x:v>
      </x:c>
      <x:c r="E649" s="6" t="n">
        <x:v>55282</x:v>
      </x:c>
      <x:c r="F649" s="6" t="n">
        <x:v>1</x:v>
      </x:c>
      <x:c r="G649" s="6" t="n">
        <x:v>0</x:v>
      </x:c>
      <x:c r="H649" s="9" t="str">
        <x:v>13-12-2013</x:v>
      </x:c>
      <x:c r="I649" s="6" t="n">
        <x:v>9</x:v>
      </x:c>
      <x:c r="J649" s="6" t="n">
        <x:v>125</x:v>
      </x:c>
      <x:c r="K649" s="6" t="n">
        <x:v>6</x:v>
      </x:c>
      <x:c r="L649" s="6" t="n">
        <x:v>73</x:v>
      </x:c>
      <x:c r="M649" s="6" t="n">
        <x:v>8</x:v>
      </x:c>
      <x:c r="N649" s="6" t="n">
        <x:v>4</x:v>
      </x:c>
      <x:c r="O649" s="6" t="n">
        <x:v>19</x:v>
      </x:c>
      <x:c r="P649" s="6" t="n">
        <x:v>1</x:v>
      </x:c>
      <x:c r="Q649" s="6" t="n">
        <x:v>3</x:v>
      </x:c>
      <x:c r="R649" s="6" t="n">
        <x:v>1</x:v>
      </x:c>
      <x:c r="S649" s="6" t="n">
        <x:v>6</x:v>
      </x:c>
      <x:c r="T649" s="6" t="n">
        <x:v>4</x:v>
      </x:c>
      <x:c r="U649" s="6" t="n">
        <x:v>0</x:v>
      </x:c>
      <x:c r="V649" s="6" t="n">
        <x:v>0</x:v>
      </x:c>
      <x:c r="W649" s="6" t="n">
        <x:v>0</x:v>
      </x:c>
      <x:c r="X649" s="6" t="n">
        <x:v>0</x:v>
      </x:c>
      <x:c r="Y649" s="6" t="n">
        <x:v>0</x:v>
      </x:c>
      <x:c r="Z649" s="6" t="n">
        <x:v>0</x:v>
      </x:c>
      <x:c r="AA649" s="6" t="n">
        <x:v>3</x:v>
      </x:c>
      <x:c r="AB649" s="6" t="n">
        <x:v>11</x:v>
      </x:c>
      <x:c r="AC649" s="6" t="n">
        <x:v>0</x:v>
      </x:c>
    </x:row>
    <x:row r="650">
      <x:c r="A650" s="6" t="n">
        <x:v>4679</x:v>
      </x:c>
      <x:c r="B650" s="6" t="n">
        <x:v>1977</x:v>
      </x:c>
      <x:c r="C650" s="6" t="str">
        <x:v>Master</x:v>
      </x:c>
      <x:c r="D650" s="6" t="str">
        <x:v>Married</x:v>
      </x:c>
      <x:c r="E650" s="6" t="n">
        <x:v>78710</x:v>
      </x:c>
      <x:c r="F650" s="6" t="n">
        <x:v>0</x:v>
      </x:c>
      <x:c r="G650" s="6" t="n">
        <x:v>1</x:v>
      </x:c>
      <x:c r="H650" s="9" t="str">
        <x:v>23-05-2014</x:v>
      </x:c>
      <x:c r="I650" s="6" t="n">
        <x:v>42</x:v>
      </x:c>
      <x:c r="J650" s="6" t="n">
        <x:v>721</x:v>
      </x:c>
      <x:c r="K650" s="6" t="n">
        <x:v>0</x:v>
      </x:c>
      <x:c r="L650" s="6" t="n">
        <x:v>152</x:v>
      </x:c>
      <x:c r="M650" s="6" t="n">
        <x:v>119</x:v>
      </x:c>
      <x:c r="N650" s="6" t="n">
        <x:v>50</x:v>
      </x:c>
      <x:c r="O650" s="6" t="n">
        <x:v>50</x:v>
      </x:c>
      <x:c r="P650" s="6" t="n">
        <x:v>3</x:v>
      </x:c>
      <x:c r="Q650" s="6" t="n">
        <x:v>7</x:v>
      </x:c>
      <x:c r="R650" s="6" t="n">
        <x:v>6</x:v>
      </x:c>
      <x:c r="S650" s="6" t="n">
        <x:v>12</x:v>
      </x:c>
      <x:c r="T650" s="6" t="n">
        <x:v>4</x:v>
      </x:c>
      <x:c r="U650" s="6" t="n">
        <x:v>0</x:v>
      </x:c>
      <x:c r="V650" s="6" t="n">
        <x:v>0</x:v>
      </x:c>
      <x:c r="W650" s="6" t="n">
        <x:v>0</x:v>
      </x:c>
      <x:c r="X650" s="6" t="n">
        <x:v>0</x:v>
      </x:c>
      <x:c r="Y650" s="6" t="n">
        <x:v>0</x:v>
      </x:c>
      <x:c r="Z650" s="6" t="n">
        <x:v>0</x:v>
      </x:c>
      <x:c r="AA650" s="6" t="n">
        <x:v>3</x:v>
      </x:c>
      <x:c r="AB650" s="6" t="n">
        <x:v>11</x:v>
      </x:c>
      <x:c r="AC650" s="6" t="n">
        <x:v>0</x:v>
      </x:c>
    </x:row>
    <x:row r="651">
      <x:c r="A651" s="6" t="n">
        <x:v>10928</x:v>
      </x:c>
      <x:c r="B651" s="6" t="n">
        <x:v>1958</x:v>
      </x:c>
      <x:c r="C651" s="6" t="str">
        <x:v>Graduation</x:v>
      </x:c>
      <x:c r="D651" s="6" t="str">
        <x:v>Together</x:v>
      </x:c>
      <x:c r="E651" s="6" t="n">
        <x:v>66886</x:v>
      </x:c>
      <x:c r="F651" s="6" t="n">
        <x:v>0</x:v>
      </x:c>
      <x:c r="G651" s="6" t="n">
        <x:v>1</x:v>
      </x:c>
      <x:c r="H651" s="9" t="str">
        <x:v>16-09-2013</x:v>
      </x:c>
      <x:c r="I651" s="6" t="n">
        <x:v>28</x:v>
      </x:c>
      <x:c r="J651" s="6" t="n">
        <x:v>315</x:v>
      </x:c>
      <x:c r="K651" s="6" t="n">
        <x:v>4</x:v>
      </x:c>
      <x:c r="L651" s="6" t="n">
        <x:v>62</x:v>
      </x:c>
      <x:c r="M651" s="6" t="n">
        <x:v>41</x:v>
      </x:c>
      <x:c r="N651" s="6" t="n">
        <x:v>31</x:v>
      </x:c>
      <x:c r="O651" s="6" t="n">
        <x:v>146</x:v>
      </x:c>
      <x:c r="P651" s="6" t="n">
        <x:v>2</x:v>
      </x:c>
      <x:c r="Q651" s="6" t="n">
        <x:v>7</x:v>
      </x:c>
      <x:c r="R651" s="6" t="n">
        <x:v>1</x:v>
      </x:c>
      <x:c r="S651" s="6" t="n">
        <x:v>7</x:v>
      </x:c>
      <x:c r="T651" s="6" t="n">
        <x:v>5</x:v>
      </x:c>
      <x:c r="U651" s="6" t="n">
        <x:v>0</x:v>
      </x:c>
      <x:c r="V651" s="6" t="n">
        <x:v>0</x:v>
      </x:c>
      <x:c r="W651" s="6" t="n">
        <x:v>0</x:v>
      </x:c>
      <x:c r="X651" s="6" t="n">
        <x:v>0</x:v>
      </x:c>
      <x:c r="Y651" s="6" t="n">
        <x:v>0</x:v>
      </x:c>
      <x:c r="Z651" s="6" t="n">
        <x:v>0</x:v>
      </x:c>
      <x:c r="AA651" s="6" t="n">
        <x:v>3</x:v>
      </x:c>
      <x:c r="AB651" s="6" t="n">
        <x:v>11</x:v>
      </x:c>
      <x:c r="AC651" s="6" t="n">
        <x:v>0</x:v>
      </x:c>
    </x:row>
    <x:row r="652">
      <x:c r="A652" s="6" t="n">
        <x:v>4248</x:v>
      </x:c>
      <x:c r="B652" s="6" t="n">
        <x:v>1960</x:v>
      </x:c>
      <x:c r="C652" s="6" t="str">
        <x:v>Master</x:v>
      </x:c>
      <x:c r="D652" s="6" t="str">
        <x:v>Single</x:v>
      </x:c>
      <x:c r="E652" s="6" t="n">
        <x:v>98777</x:v>
      </x:c>
      <x:c r="F652" s="6" t="n">
        <x:v>0</x:v>
      </x:c>
      <x:c r="G652" s="6" t="n">
        <x:v>0</x:v>
      </x:c>
      <x:c r="H652" s="9" t="str">
        <x:v>17-02-2014</x:v>
      </x:c>
      <x:c r="I652" s="6" t="n">
        <x:v>23</x:v>
      </x:c>
      <x:c r="J652" s="6" t="n">
        <x:v>1000</x:v>
      </x:c>
      <x:c r="K652" s="6" t="n">
        <x:v>19</x:v>
      </x:c>
      <x:c r="L652" s="6" t="n">
        <x:v>711</x:v>
      </x:c>
      <x:c r="M652" s="6" t="n">
        <x:v>125</x:v>
      </x:c>
      <x:c r="N652" s="6" t="n">
        <x:v>115</x:v>
      </x:c>
      <x:c r="O652" s="6" t="n">
        <x:v>38</x:v>
      </x:c>
      <x:c r="P652" s="6" t="n">
        <x:v>0</x:v>
      </x:c>
      <x:c r="Q652" s="6" t="n">
        <x:v>4</x:v>
      </x:c>
      <x:c r="R652" s="6" t="n">
        <x:v>6</x:v>
      </x:c>
      <x:c r="S652" s="6" t="n">
        <x:v>9</x:v>
      </x:c>
      <x:c r="T652" s="6" t="n">
        <x:v>1</x:v>
      </x:c>
      <x:c r="U652" s="6" t="n">
        <x:v>0</x:v>
      </x:c>
      <x:c r="V652" s="6" t="n">
        <x:v>1</x:v>
      </x:c>
      <x:c r="W652" s="6" t="n">
        <x:v>0</x:v>
      </x:c>
      <x:c r="X652" s="6" t="n">
        <x:v>0</x:v>
      </x:c>
      <x:c r="Y652" s="6" t="n">
        <x:v>0</x:v>
      </x:c>
      <x:c r="Z652" s="6" t="n">
        <x:v>0</x:v>
      </x:c>
      <x:c r="AA652" s="6" t="n">
        <x:v>3</x:v>
      </x:c>
      <x:c r="AB652" s="6" t="n">
        <x:v>11</x:v>
      </x:c>
      <x:c r="AC652" s="6" t="n">
        <x:v>0</x:v>
      </x:c>
    </x:row>
    <x:row r="653">
      <x:c r="A653" s="6" t="n">
        <x:v>6728</x:v>
      </x:c>
      <x:c r="B653" s="6" t="n">
        <x:v>1985</x:v>
      </x:c>
      <x:c r="C653" s="6" t="str">
        <x:v>Graduation</x:v>
      </x:c>
      <x:c r="D653" s="6" t="str">
        <x:v>Together</x:v>
      </x:c>
      <x:c r="E653" s="6" t="n">
        <x:v>29103</x:v>
      </x:c>
      <x:c r="F653" s="6" t="n">
        <x:v>1</x:v>
      </x:c>
      <x:c r="G653" s="6" t="n">
        <x:v>0</x:v>
      </x:c>
      <x:c r="H653" s="9" t="str">
        <x:v>27-08-2012</x:v>
      </x:c>
      <x:c r="I653" s="6" t="n">
        <x:v>38</x:v>
      </x:c>
      <x:c r="J653" s="6" t="n">
        <x:v>16</x:v>
      </x:c>
      <x:c r="K653" s="6" t="n">
        <x:v>0</x:v>
      </x:c>
      <x:c r="L653" s="6" t="n">
        <x:v>17</x:v>
      </x:c>
      <x:c r="M653" s="6" t="n">
        <x:v>6</x:v>
      </x:c>
      <x:c r="N653" s="6" t="n">
        <x:v>3</x:v>
      </x:c>
      <x:c r="O653" s="6" t="n">
        <x:v>6</x:v>
      </x:c>
      <x:c r="P653" s="6" t="n">
        <x:v>2</x:v>
      </x:c>
      <x:c r="Q653" s="6" t="n">
        <x:v>1</x:v>
      </x:c>
      <x:c r="R653" s="6" t="n">
        <x:v>0</x:v>
      </x:c>
      <x:c r="S653" s="6" t="n">
        <x:v>3</x:v>
      </x:c>
      <x:c r="T653" s="6" t="n">
        <x:v>9</x:v>
      </x:c>
      <x:c r="U653" s="6" t="n">
        <x:v>0</x:v>
      </x:c>
      <x:c r="V653" s="6" t="n">
        <x:v>0</x:v>
      </x:c>
      <x:c r="W653" s="6" t="n">
        <x:v>0</x:v>
      </x:c>
      <x:c r="X653" s="6" t="n">
        <x:v>0</x:v>
      </x:c>
      <x:c r="Y653" s="6" t="n">
        <x:v>0</x:v>
      </x:c>
      <x:c r="Z653" s="6" t="n">
        <x:v>0</x:v>
      </x:c>
      <x:c r="AA653" s="6" t="n">
        <x:v>3</x:v>
      </x:c>
      <x:c r="AB653" s="6" t="n">
        <x:v>11</x:v>
      </x:c>
      <x:c r="AC653" s="6" t="n">
        <x:v>0</x:v>
      </x:c>
    </x:row>
    <x:row r="654">
      <x:c r="A654" s="6" t="n">
        <x:v>6661</x:v>
      </x:c>
      <x:c r="B654" s="6" t="n">
        <x:v>1974</x:v>
      </x:c>
      <x:c r="C654" s="6" t="str">
        <x:v>Graduation</x:v>
      </x:c>
      <x:c r="D654" s="6" t="str">
        <x:v>Married</x:v>
      </x:c>
      <x:c r="E654" s="6" t="n">
        <x:v>67445</x:v>
      </x:c>
      <x:c r="F654" s="6" t="n">
        <x:v>0</x:v>
      </x:c>
      <x:c r="G654" s="6" t="n">
        <x:v>1</x:v>
      </x:c>
      <x:c r="H654" s="9" t="str">
        <x:v>12-08-2012</x:v>
      </x:c>
      <x:c r="I654" s="6" t="n">
        <x:v>63</x:v>
      </x:c>
      <x:c r="J654" s="6" t="n">
        <x:v>757</x:v>
      </x:c>
      <x:c r="K654" s="6" t="n">
        <x:v>80</x:v>
      </x:c>
      <x:c r="L654" s="6" t="n">
        <x:v>217</x:v>
      </x:c>
      <x:c r="M654" s="6" t="n">
        <x:v>29</x:v>
      </x:c>
      <x:c r="N654" s="6" t="n">
        <x:v>80</x:v>
      </x:c>
      <x:c r="O654" s="6" t="n">
        <x:v>11</x:v>
      </x:c>
      <x:c r="P654" s="6" t="n">
        <x:v>5</x:v>
      </x:c>
      <x:c r="Q654" s="6" t="n">
        <x:v>9</x:v>
      </x:c>
      <x:c r="R654" s="6" t="n">
        <x:v>6</x:v>
      </x:c>
      <x:c r="S654" s="6" t="n">
        <x:v>12</x:v>
      </x:c>
      <x:c r="T654" s="6" t="n">
        <x:v>6</x:v>
      </x:c>
      <x:c r="U654" s="6" t="n">
        <x:v>0</x:v>
      </x:c>
      <x:c r="V654" s="6" t="n">
        <x:v>0</x:v>
      </x:c>
      <x:c r="W654" s="6" t="n">
        <x:v>0</x:v>
      </x:c>
      <x:c r="X654" s="6" t="n">
        <x:v>0</x:v>
      </x:c>
      <x:c r="Y654" s="6" t="n">
        <x:v>0</x:v>
      </x:c>
      <x:c r="Z654" s="6" t="n">
        <x:v>0</x:v>
      </x:c>
      <x:c r="AA654" s="6" t="n">
        <x:v>3</x:v>
      </x:c>
      <x:c r="AB654" s="6" t="n">
        <x:v>11</x:v>
      </x:c>
      <x:c r="AC654" s="6" t="n">
        <x:v>0</x:v>
      </x:c>
    </x:row>
    <x:row r="655">
      <x:c r="A655" s="6" t="n">
        <x:v>4725</x:v>
      </x:c>
      <x:c r="B655" s="6" t="n">
        <x:v>1950</x:v>
      </x:c>
      <x:c r="C655" s="6" t="str">
        <x:v>PhD</x:v>
      </x:c>
      <x:c r="D655" s="6" t="str">
        <x:v>Together</x:v>
      </x:c>
      <x:c r="E655" s="6" t="n">
        <x:v>50616</x:v>
      </x:c>
      <x:c r="F655" s="6" t="n">
        <x:v>0</x:v>
      </x:c>
      <x:c r="G655" s="6" t="n">
        <x:v>1</x:v>
      </x:c>
      <x:c r="H655" s="9" t="str">
        <x:v>13-04-2014</x:v>
      </x:c>
      <x:c r="I655" s="6" t="n">
        <x:v>71</x:v>
      </x:c>
      <x:c r="J655" s="6" t="n">
        <x:v>30</x:v>
      </x:c>
      <x:c r="K655" s="6" t="n">
        <x:v>2</x:v>
      </x:c>
      <x:c r="L655" s="6" t="n">
        <x:v>25</x:v>
      </x:c>
      <x:c r="M655" s="6" t="n">
        <x:v>0</x:v>
      </x:c>
      <x:c r="N655" s="6" t="n">
        <x:v>1</x:v>
      </x:c>
      <x:c r="O655" s="6" t="n">
        <x:v>9</x:v>
      </x:c>
      <x:c r="P655" s="6" t="n">
        <x:v>1</x:v>
      </x:c>
      <x:c r="Q655" s="6" t="n">
        <x:v>1</x:v>
      </x:c>
      <x:c r="R655" s="6" t="n">
        <x:v>1</x:v>
      </x:c>
      <x:c r="S655" s="6" t="n">
        <x:v>4</x:v>
      </x:c>
      <x:c r="T655" s="6" t="n">
        <x:v>2</x:v>
      </x:c>
      <x:c r="U655" s="6" t="n">
        <x:v>0</x:v>
      </x:c>
      <x:c r="V655" s="6" t="n">
        <x:v>0</x:v>
      </x:c>
      <x:c r="W655" s="6" t="n">
        <x:v>0</x:v>
      </x:c>
      <x:c r="X655" s="6" t="n">
        <x:v>0</x:v>
      </x:c>
      <x:c r="Y655" s="6" t="n">
        <x:v>0</x:v>
      </x:c>
      <x:c r="Z655" s="6" t="n">
        <x:v>0</x:v>
      </x:c>
      <x:c r="AA655" s="6" t="n">
        <x:v>3</x:v>
      </x:c>
      <x:c r="AB655" s="6" t="n">
        <x:v>11</x:v>
      </x:c>
      <x:c r="AC655" s="6" t="n">
        <x:v>0</x:v>
      </x:c>
    </x:row>
    <x:row r="656">
      <x:c r="A656" s="6" t="n">
        <x:v>3277</x:v>
      </x:c>
      <x:c r="B656" s="6" t="n">
        <x:v>1955</x:v>
      </x:c>
      <x:c r="C656" s="6" t="str">
        <x:v>Graduation</x:v>
      </x:c>
      <x:c r="D656" s="6" t="str">
        <x:v>Divorced</x:v>
      </x:c>
      <x:c r="E656" s="6" t="n">
        <x:v>49431</x:v>
      </x:c>
      <x:c r="F656" s="6" t="n">
        <x:v>0</x:v>
      </x:c>
      <x:c r="G656" s="6" t="n">
        <x:v>1</x:v>
      </x:c>
      <x:c r="H656" s="9" t="str">
        <x:v>03-08-2012</x:v>
      </x:c>
      <x:c r="I656" s="6" t="n">
        <x:v>9</x:v>
      </x:c>
      <x:c r="J656" s="6" t="n">
        <x:v>219</x:v>
      </x:c>
      <x:c r="K656" s="6" t="n">
        <x:v>3</x:v>
      </x:c>
      <x:c r="L656" s="6" t="n">
        <x:v>100</x:v>
      </x:c>
      <x:c r="M656" s="6" t="n">
        <x:v>26</x:v>
      </x:c>
      <x:c r="N656" s="6" t="n">
        <x:v>0</x:v>
      </x:c>
      <x:c r="O656" s="6" t="n">
        <x:v>17</x:v>
      </x:c>
      <x:c r="P656" s="6" t="n">
        <x:v>2</x:v>
      </x:c>
      <x:c r="Q656" s="6" t="n">
        <x:v>7</x:v>
      </x:c>
      <x:c r="R656" s="6" t="n">
        <x:v>1</x:v>
      </x:c>
      <x:c r="S656" s="6" t="n">
        <x:v>5</x:v>
      </x:c>
      <x:c r="T656" s="6" t="n">
        <x:v>8</x:v>
      </x:c>
      <x:c r="U656" s="6" t="n">
        <x:v>0</x:v>
      </x:c>
      <x:c r="V656" s="6" t="n">
        <x:v>0</x:v>
      </x:c>
      <x:c r="W656" s="6" t="n">
        <x:v>0</x:v>
      </x:c>
      <x:c r="X656" s="6" t="n">
        <x:v>0</x:v>
      </x:c>
      <x:c r="Y656" s="6" t="n">
        <x:v>0</x:v>
      </x:c>
      <x:c r="Z656" s="6" t="n">
        <x:v>0</x:v>
      </x:c>
      <x:c r="AA656" s="6" t="n">
        <x:v>3</x:v>
      </x:c>
      <x:c r="AB656" s="6" t="n">
        <x:v>11</x:v>
      </x:c>
      <x:c r="AC656" s="6" t="n">
        <x:v>0</x:v>
      </x:c>
    </x:row>
    <x:row r="657">
      <x:c r="A657" s="6" t="n">
        <x:v>5555</x:v>
      </x:c>
      <x:c r="B657" s="6" t="n">
        <x:v>1975</x:v>
      </x:c>
      <x:c r="C657" s="6" t="str">
        <x:v>Graduation</x:v>
      </x:c>
      <x:c r="D657" s="6" t="str">
        <x:v>Divorced</x:v>
      </x:c>
      <x:c r="E657" s="6" t="n">
        <x:v>153924</x:v>
      </x:c>
      <x:c r="F657" s="6" t="n">
        <x:v>0</x:v>
      </x:c>
      <x:c r="G657" s="6" t="n">
        <x:v>0</x:v>
      </x:c>
      <x:c r="H657" s="9" t="str">
        <x:v>07-02-2014</x:v>
      </x:c>
      <x:c r="I657" s="6" t="n">
        <x:v>81</x:v>
      </x:c>
      <x:c r="J657" s="6" t="n">
        <x:v>1</x:v>
      </x:c>
      <x:c r="K657" s="6" t="n">
        <x:v>1</x:v>
      </x:c>
      <x:c r="L657" s="6" t="n">
        <x:v>1</x:v>
      </x:c>
      <x:c r="M657" s="6" t="n">
        <x:v>1</x:v>
      </x:c>
      <x:c r="N657" s="6" t="n">
        <x:v>1</x:v>
      </x:c>
      <x:c r="O657" s="6" t="n">
        <x:v>1</x:v>
      </x:c>
      <x:c r="P657" s="6" t="n">
        <x:v>0</x:v>
      </x:c>
      <x:c r="Q657" s="6" t="n">
        <x:v>0</x:v>
      </x:c>
      <x:c r="R657" s="6" t="n">
        <x:v>0</x:v>
      </x:c>
      <x:c r="S657" s="6" t="n">
        <x:v>0</x:v>
      </x:c>
      <x:c r="T657" s="6" t="n">
        <x:v>0</x:v>
      </x:c>
      <x:c r="U657" s="6" t="n">
        <x:v>0</x:v>
      </x:c>
      <x:c r="V657" s="6" t="n">
        <x:v>0</x:v>
      </x:c>
      <x:c r="W657" s="6" t="n">
        <x:v>0</x:v>
      </x:c>
      <x:c r="X657" s="6" t="n">
        <x:v>0</x:v>
      </x:c>
      <x:c r="Y657" s="6" t="n">
        <x:v>0</x:v>
      </x:c>
      <x:c r="Z657" s="6" t="n">
        <x:v>0</x:v>
      </x:c>
      <x:c r="AA657" s="6" t="n">
        <x:v>3</x:v>
      </x:c>
      <x:c r="AB657" s="6" t="n">
        <x:v>11</x:v>
      </x:c>
      <x:c r="AC657" s="6" t="n">
        <x:v>0</x:v>
      </x:c>
    </x:row>
    <x:row r="658">
      <x:c r="A658" s="6" t="n">
        <x:v>2564</x:v>
      </x:c>
      <x:c r="B658" s="6" t="n">
        <x:v>1953</x:v>
      </x:c>
      <x:c r="C658" s="6" t="str">
        <x:v>Graduation</x:v>
      </x:c>
      <x:c r="D658" s="6" t="str">
        <x:v>Together</x:v>
      </x:c>
      <x:c r="E658" s="6" t="n">
        <x:v>61278</x:v>
      </x:c>
      <x:c r="F658" s="6" t="n">
        <x:v>0</x:v>
      </x:c>
      <x:c r="G658" s="6" t="n">
        <x:v>1</x:v>
      </x:c>
      <x:c r="H658" s="9" t="str">
        <x:v>04-01-2014</x:v>
      </x:c>
      <x:c r="I658" s="6" t="n">
        <x:v>87</x:v>
      </x:c>
      <x:c r="J658" s="6" t="n">
        <x:v>111</x:v>
      </x:c>
      <x:c r="K658" s="6" t="n">
        <x:v>3</x:v>
      </x:c>
      <x:c r="L658" s="6" t="n">
        <x:v>28</x:v>
      </x:c>
      <x:c r="M658" s="6" t="n">
        <x:v>2</x:v>
      </x:c>
      <x:c r="N658" s="6" t="n">
        <x:v>6</x:v>
      </x:c>
      <x:c r="O658" s="6" t="n">
        <x:v>15</x:v>
      </x:c>
      <x:c r="P658" s="6" t="n">
        <x:v>2</x:v>
      </x:c>
      <x:c r="Q658" s="6" t="n">
        <x:v>3</x:v>
      </x:c>
      <x:c r="R658" s="6" t="n">
        <x:v>1</x:v>
      </x:c>
      <x:c r="S658" s="6" t="n">
        <x:v>4</x:v>
      </x:c>
      <x:c r="T658" s="6" t="n">
        <x:v>6</x:v>
      </x:c>
      <x:c r="U658" s="6" t="n">
        <x:v>0</x:v>
      </x:c>
      <x:c r="V658" s="6" t="n">
        <x:v>0</x:v>
      </x:c>
      <x:c r="W658" s="6" t="n">
        <x:v>0</x:v>
      </x:c>
      <x:c r="X658" s="6" t="n">
        <x:v>0</x:v>
      </x:c>
      <x:c r="Y658" s="6" t="n">
        <x:v>0</x:v>
      </x:c>
      <x:c r="Z658" s="6" t="n">
        <x:v>0</x:v>
      </x:c>
      <x:c r="AA658" s="6" t="n">
        <x:v>3</x:v>
      </x:c>
      <x:c r="AB658" s="6" t="n">
        <x:v>11</x:v>
      </x:c>
      <x:c r="AC658" s="6" t="n">
        <x:v>0</x:v>
      </x:c>
    </x:row>
    <x:row r="659">
      <x:c r="A659" s="6" t="n">
        <x:v>946</x:v>
      </x:c>
      <x:c r="B659" s="6" t="n">
        <x:v>1958</x:v>
      </x:c>
      <x:c r="C659" s="6" t="str">
        <x:v>2n Cycle</x:v>
      </x:c>
      <x:c r="D659" s="6" t="str">
        <x:v>Together</x:v>
      </x:c>
      <x:c r="E659" s="6" t="n">
        <x:v>26490</x:v>
      </x:c>
      <x:c r="F659" s="6" t="n">
        <x:v>0</x:v>
      </x:c>
      <x:c r="G659" s="6" t="n">
        <x:v>0</x:v>
      </x:c>
      <x:c r="H659" s="9" t="str">
        <x:v>22-09-2012</x:v>
      </x:c>
      <x:c r="I659" s="6" t="n">
        <x:v>92</x:v>
      </x:c>
      <x:c r="J659" s="6" t="n">
        <x:v>45</x:v>
      </x:c>
      <x:c r="K659" s="6" t="n">
        <x:v>47</x:v>
      </x:c>
      <x:c r="L659" s="6" t="n">
        <x:v>52</x:v>
      </x:c>
      <x:c r="M659" s="6" t="n">
        <x:v>21</x:v>
      </x:c>
      <x:c r="N659" s="6" t="n">
        <x:v>20</x:v>
      </x:c>
      <x:c r="O659" s="6" t="n">
        <x:v>25</x:v>
      </x:c>
      <x:c r="P659" s="6" t="n">
        <x:v>2</x:v>
      </x:c>
      <x:c r="Q659" s="6" t="n">
        <x:v>3</x:v>
      </x:c>
      <x:c r="R659" s="6" t="n">
        <x:v>1</x:v>
      </x:c>
      <x:c r="S659" s="6" t="n">
        <x:v>5</x:v>
      </x:c>
      <x:c r="T659" s="6" t="n">
        <x:v>6</x:v>
      </x:c>
      <x:c r="U659" s="6" t="n">
        <x:v>0</x:v>
      </x:c>
      <x:c r="V659" s="6" t="n">
        <x:v>0</x:v>
      </x:c>
      <x:c r="W659" s="6" t="n">
        <x:v>0</x:v>
      </x:c>
      <x:c r="X659" s="6" t="n">
        <x:v>0</x:v>
      </x:c>
      <x:c r="Y659" s="6" t="n">
        <x:v>0</x:v>
      </x:c>
      <x:c r="Z659" s="6" t="n">
        <x:v>0</x:v>
      </x:c>
      <x:c r="AA659" s="6" t="n">
        <x:v>3</x:v>
      </x:c>
      <x:c r="AB659" s="6" t="n">
        <x:v>11</x:v>
      </x:c>
      <x:c r="AC659" s="6" t="n">
        <x:v>0</x:v>
      </x:c>
    </x:row>
    <x:row r="660">
      <x:c r="A660" s="6" t="n">
        <x:v>3867</x:v>
      </x:c>
      <x:c r="B660" s="6" t="n">
        <x:v>1947</x:v>
      </x:c>
      <x:c r="C660" s="6" t="str">
        <x:v>PhD</x:v>
      </x:c>
      <x:c r="D660" s="6" t="str">
        <x:v>Together</x:v>
      </x:c>
      <x:c r="E660" s="6" t="n">
        <x:v>73059</x:v>
      </x:c>
      <x:c r="F660" s="6" t="n">
        <x:v>0</x:v>
      </x:c>
      <x:c r="G660" s="6" t="n">
        <x:v>1</x:v>
      </x:c>
      <x:c r="H660" s="9" t="str">
        <x:v>31-08-2013</x:v>
      </x:c>
      <x:c r="I660" s="6" t="n">
        <x:v>36</x:v>
      </x:c>
      <x:c r="J660" s="6" t="n">
        <x:v>410</x:v>
      </x:c>
      <x:c r="K660" s="6" t="n">
        <x:v>112</x:v>
      </x:c>
      <x:c r="L660" s="6" t="n">
        <x:v>420</x:v>
      </x:c>
      <x:c r="M660" s="6" t="n">
        <x:v>0</x:v>
      </x:c>
      <x:c r="N660" s="6" t="n">
        <x:v>82</x:v>
      </x:c>
      <x:c r="O660" s="6" t="n">
        <x:v>71</x:v>
      </x:c>
      <x:c r="P660" s="6" t="n">
        <x:v>1</x:v>
      </x:c>
      <x:c r="Q660" s="6" t="n">
        <x:v>9</x:v>
      </x:c>
      <x:c r="R660" s="6" t="n">
        <x:v>3</x:v>
      </x:c>
      <x:c r="S660" s="6" t="n">
        <x:v>13</x:v>
      </x:c>
      <x:c r="T660" s="6" t="n">
        <x:v>4</x:v>
      </x:c>
      <x:c r="U660" s="6" t="n">
        <x:v>0</x:v>
      </x:c>
      <x:c r="V660" s="6" t="n">
        <x:v>0</x:v>
      </x:c>
      <x:c r="W660" s="6" t="n">
        <x:v>0</x:v>
      </x:c>
      <x:c r="X660" s="6" t="n">
        <x:v>0</x:v>
      </x:c>
      <x:c r="Y660" s="6" t="n">
        <x:v>0</x:v>
      </x:c>
      <x:c r="Z660" s="6" t="n">
        <x:v>0</x:v>
      </x:c>
      <x:c r="AA660" s="6" t="n">
        <x:v>3</x:v>
      </x:c>
      <x:c r="AB660" s="6" t="n">
        <x:v>11</x:v>
      </x:c>
      <x:c r="AC660" s="6" t="n">
        <x:v>0</x:v>
      </x:c>
    </x:row>
    <x:row r="661">
      <x:c r="A661" s="6" t="n">
        <x:v>6940</x:v>
      </x:c>
      <x:c r="B661" s="6" t="n">
        <x:v>1966</x:v>
      </x:c>
      <x:c r="C661" s="6" t="str">
        <x:v>PhD</x:v>
      </x:c>
      <x:c r="D661" s="6" t="str">
        <x:v>Single</x:v>
      </x:c>
      <x:c r="E661" s="6" t="n">
        <x:v>46734</x:v>
      </x:c>
      <x:c r="F661" s="6" t="n">
        <x:v>1</x:v>
      </x:c>
      <x:c r="G661" s="6" t="n">
        <x:v>2</x:v>
      </x:c>
      <x:c r="H661" s="9" t="str">
        <x:v>21-10-2013</x:v>
      </x:c>
      <x:c r="I661" s="6" t="n">
        <x:v>86</x:v>
      </x:c>
      <x:c r="J661" s="6" t="n">
        <x:v>100</x:v>
      </x:c>
      <x:c r="K661" s="6" t="n">
        <x:v>1</x:v>
      </x:c>
      <x:c r="L661" s="6" t="n">
        <x:v>39</x:v>
      </x:c>
      <x:c r="M661" s="6" t="n">
        <x:v>6</x:v>
      </x:c>
      <x:c r="N661" s="6" t="n">
        <x:v>1</x:v>
      </x:c>
      <x:c r="O661" s="6" t="n">
        <x:v>76</x:v>
      </x:c>
      <x:c r="P661" s="6" t="n">
        <x:v>4</x:v>
      </x:c>
      <x:c r="Q661" s="6" t="n">
        <x:v>3</x:v>
      </x:c>
      <x:c r="R661" s="6" t="n">
        <x:v>2</x:v>
      </x:c>
      <x:c r="S661" s="6" t="n">
        <x:v>3</x:v>
      </x:c>
      <x:c r="T661" s="6" t="n">
        <x:v>6</x:v>
      </x:c>
      <x:c r="U661" s="6" t="n">
        <x:v>1</x:v>
      </x:c>
      <x:c r="V661" s="6" t="n">
        <x:v>0</x:v>
      </x:c>
      <x:c r="W661" s="6" t="n">
        <x:v>0</x:v>
      </x:c>
      <x:c r="X661" s="6" t="n">
        <x:v>0</x:v>
      </x:c>
      <x:c r="Y661" s="6" t="n">
        <x:v>0</x:v>
      </x:c>
      <x:c r="Z661" s="6" t="n">
        <x:v>0</x:v>
      </x:c>
      <x:c r="AA661" s="6" t="n">
        <x:v>3</x:v>
      </x:c>
      <x:c r="AB661" s="6" t="n">
        <x:v>11</x:v>
      </x:c>
      <x:c r="AC661" s="6" t="n">
        <x:v>0</x:v>
      </x:c>
    </x:row>
    <x:row r="662">
      <x:c r="A662" s="6" t="n">
        <x:v>55</x:v>
      </x:c>
      <x:c r="B662" s="6" t="n">
        <x:v>1963</x:v>
      </x:c>
      <x:c r="C662" s="6" t="str">
        <x:v>Graduation</x:v>
      </x:c>
      <x:c r="D662" s="6" t="str">
        <x:v>Together</x:v>
      </x:c>
      <x:c r="E662" s="6" t="n">
        <x:v>56253</x:v>
      </x:c>
      <x:c r="F662" s="6" t="n">
        <x:v>0</x:v>
      </x:c>
      <x:c r="G662" s="6" t="n">
        <x:v>1</x:v>
      </x:c>
      <x:c r="H662" s="9" t="str">
        <x:v>07-12-2012</x:v>
      </x:c>
      <x:c r="I662" s="6" t="n">
        <x:v>83</x:v>
      </x:c>
      <x:c r="J662" s="6" t="n">
        <x:v>509</x:v>
      </x:c>
      <x:c r="K662" s="6" t="n">
        <x:v>0</x:v>
      </x:c>
      <x:c r="L662" s="6" t="n">
        <x:v>65</x:v>
      </x:c>
      <x:c r="M662" s="6" t="n">
        <x:v>7</x:v>
      </x:c>
      <x:c r="N662" s="6" t="n">
        <x:v>11</x:v>
      </x:c>
      <x:c r="O662" s="6" t="n">
        <x:v>5</x:v>
      </x:c>
      <x:c r="P662" s="6" t="n">
        <x:v>4</x:v>
      </x:c>
      <x:c r="Q662" s="6" t="n">
        <x:v>7</x:v>
      </x:c>
      <x:c r="R662" s="6" t="n">
        <x:v>2</x:v>
      </x:c>
      <x:c r="S662" s="6" t="n">
        <x:v>9</x:v>
      </x:c>
      <x:c r="T662" s="6" t="n">
        <x:v>6</x:v>
      </x:c>
      <x:c r="U662" s="6" t="n">
        <x:v>0</x:v>
      </x:c>
      <x:c r="V662" s="6" t="n">
        <x:v>0</x:v>
      </x:c>
      <x:c r="W662" s="6" t="n">
        <x:v>0</x:v>
      </x:c>
      <x:c r="X662" s="6" t="n">
        <x:v>0</x:v>
      </x:c>
      <x:c r="Y662" s="6" t="n">
        <x:v>0</x:v>
      </x:c>
      <x:c r="Z662" s="6" t="n">
        <x:v>0</x:v>
      </x:c>
      <x:c r="AA662" s="6" t="n">
        <x:v>3</x:v>
      </x:c>
      <x:c r="AB662" s="6" t="n">
        <x:v>11</x:v>
      </x:c>
      <x:c r="AC662" s="6" t="n">
        <x:v>0</x:v>
      </x:c>
    </x:row>
    <x:row r="663">
      <x:c r="A663" s="6" t="n">
        <x:v>7093</x:v>
      </x:c>
      <x:c r="B663" s="6" t="n">
        <x:v>1985</x:v>
      </x:c>
      <x:c r="C663" s="6" t="str">
        <x:v>Graduation</x:v>
      </x:c>
      <x:c r="D663" s="6" t="str">
        <x:v>Married</x:v>
      </x:c>
      <x:c r="E663" s="6" t="n">
        <x:v>19986</x:v>
      </x:c>
      <x:c r="F663" s="6" t="n">
        <x:v>1</x:v>
      </x:c>
      <x:c r="G663" s="6" t="n">
        <x:v>0</x:v>
      </x:c>
      <x:c r="H663" s="9" t="str">
        <x:v>14-11-2013</x:v>
      </x:c>
      <x:c r="I663" s="6" t="n">
        <x:v>74</x:v>
      </x:c>
      <x:c r="J663" s="6" t="n">
        <x:v>3</x:v>
      </x:c>
      <x:c r="K663" s="6" t="n">
        <x:v>6</x:v>
      </x:c>
      <x:c r="L663" s="6" t="n">
        <x:v>5</x:v>
      </x:c>
      <x:c r="M663" s="6" t="n">
        <x:v>0</x:v>
      </x:c>
      <x:c r="N663" s="6" t="n">
        <x:v>2</x:v>
      </x:c>
      <x:c r="O663" s="6" t="n">
        <x:v>6</x:v>
      </x:c>
      <x:c r="P663" s="6" t="n">
        <x:v>1</x:v>
      </x:c>
      <x:c r="Q663" s="6" t="n">
        <x:v>0</x:v>
      </x:c>
      <x:c r="R663" s="6" t="n">
        <x:v>0</x:v>
      </x:c>
      <x:c r="S663" s="6" t="n">
        <x:v>3</x:v>
      </x:c>
      <x:c r="T663" s="6" t="n">
        <x:v>7</x:v>
      </x:c>
      <x:c r="U663" s="6" t="n">
        <x:v>0</x:v>
      </x:c>
      <x:c r="V663" s="6" t="n">
        <x:v>0</x:v>
      </x:c>
      <x:c r="W663" s="6" t="n">
        <x:v>0</x:v>
      </x:c>
      <x:c r="X663" s="6" t="n">
        <x:v>0</x:v>
      </x:c>
      <x:c r="Y663" s="6" t="n">
        <x:v>0</x:v>
      </x:c>
      <x:c r="Z663" s="6" t="n">
        <x:v>0</x:v>
      </x:c>
      <x:c r="AA663" s="6" t="n">
        <x:v>3</x:v>
      </x:c>
      <x:c r="AB663" s="6" t="n">
        <x:v>11</x:v>
      </x:c>
      <x:c r="AC663" s="6" t="n">
        <x:v>0</x:v>
      </x:c>
    </x:row>
    <x:row r="664">
      <x:c r="A664" s="6" t="n">
        <x:v>5084</x:v>
      </x:c>
      <x:c r="B664" s="6" t="n">
        <x:v>1975</x:v>
      </x:c>
      <x:c r="C664" s="6" t="str">
        <x:v>Graduation</x:v>
      </x:c>
      <x:c r="D664" s="6" t="str">
        <x:v>Widow</x:v>
      </x:c>
      <x:c r="E664" s="6" t="n">
        <x:v>58330</x:v>
      </x:c>
      <x:c r="F664" s="6" t="n">
        <x:v>0</x:v>
      </x:c>
      <x:c r="G664" s="6" t="n">
        <x:v>1</x:v>
      </x:c>
      <x:c r="H664" s="9" t="str">
        <x:v>25-12-2013</x:v>
      </x:c>
      <x:c r="I664" s="6" t="n">
        <x:v>87</x:v>
      </x:c>
      <x:c r="J664" s="6" t="n">
        <x:v>445</x:v>
      </x:c>
      <x:c r="K664" s="6" t="n">
        <x:v>53</x:v>
      </x:c>
      <x:c r="L664" s="6" t="n">
        <x:v>213</x:v>
      </x:c>
      <x:c r="M664" s="6" t="n">
        <x:v>104</x:v>
      </x:c>
      <x:c r="N664" s="6" t="n">
        <x:v>98</x:v>
      </x:c>
      <x:c r="O664" s="6" t="n">
        <x:v>151</x:v>
      </x:c>
      <x:c r="P664" s="6" t="n">
        <x:v>1</x:v>
      </x:c>
      <x:c r="Q664" s="6" t="n">
        <x:v>6</x:v>
      </x:c>
      <x:c r="R664" s="6" t="n">
        <x:v>4</x:v>
      </x:c>
      <x:c r="S664" s="6" t="n">
        <x:v>13</x:v>
      </x:c>
      <x:c r="T664" s="6" t="n">
        <x:v>4</x:v>
      </x:c>
      <x:c r="U664" s="6" t="n">
        <x:v>0</x:v>
      </x:c>
      <x:c r="V664" s="6" t="n">
        <x:v>0</x:v>
      </x:c>
      <x:c r="W664" s="6" t="n">
        <x:v>0</x:v>
      </x:c>
      <x:c r="X664" s="6" t="n">
        <x:v>0</x:v>
      </x:c>
      <x:c r="Y664" s="6" t="n">
        <x:v>0</x:v>
      </x:c>
      <x:c r="Z664" s="6" t="n">
        <x:v>0</x:v>
      </x:c>
      <x:c r="AA664" s="6" t="n">
        <x:v>3</x:v>
      </x:c>
      <x:c r="AB664" s="6" t="n">
        <x:v>11</x:v>
      </x:c>
      <x:c r="AC664" s="6" t="n">
        <x:v>0</x:v>
      </x:c>
    </x:row>
    <x:row r="665">
      <x:c r="A665" s="6" t="n">
        <x:v>1777</x:v>
      </x:c>
      <x:c r="B665" s="6" t="n">
        <x:v>1980</x:v>
      </x:c>
      <x:c r="C665" s="6" t="str">
        <x:v>Basic</x:v>
      </x:c>
      <x:c r="D665" s="6" t="str">
        <x:v>Married</x:v>
      </x:c>
      <x:c r="E665" s="6" t="n">
        <x:v>25965</x:v>
      </x:c>
      <x:c r="F665" s="6" t="n">
        <x:v>0</x:v>
      </x:c>
      <x:c r="G665" s="6" t="n">
        <x:v>0</x:v>
      </x:c>
      <x:c r="H665" s="9" t="str">
        <x:v>07-09-2012</x:v>
      </x:c>
      <x:c r="I665" s="6" t="n">
        <x:v>29</x:v>
      </x:c>
      <x:c r="J665" s="6" t="n">
        <x:v>2</x:v>
      </x:c>
      <x:c r="K665" s="6" t="n">
        <x:v>2</x:v>
      </x:c>
      <x:c r="L665" s="6" t="n">
        <x:v>11</x:v>
      </x:c>
      <x:c r="M665" s="6" t="n">
        <x:v>41</x:v>
      </x:c>
      <x:c r="N665" s="6" t="n">
        <x:v>7</x:v>
      </x:c>
      <x:c r="O665" s="6" t="n">
        <x:v>11</x:v>
      </x:c>
      <x:c r="P665" s="6" t="n">
        <x:v>1</x:v>
      </x:c>
      <x:c r="Q665" s="6" t="n">
        <x:v>2</x:v>
      </x:c>
      <x:c r="R665" s="6" t="n">
        <x:v>0</x:v>
      </x:c>
      <x:c r="S665" s="6" t="n">
        <x:v>3</x:v>
      </x:c>
      <x:c r="T665" s="6" t="n">
        <x:v>8</x:v>
      </x:c>
      <x:c r="U665" s="6" t="n">
        <x:v>0</x:v>
      </x:c>
      <x:c r="V665" s="6" t="n">
        <x:v>0</x:v>
      </x:c>
      <x:c r="W665" s="6" t="n">
        <x:v>0</x:v>
      </x:c>
      <x:c r="X665" s="6" t="n">
        <x:v>0</x:v>
      </x:c>
      <x:c r="Y665" s="6" t="n">
        <x:v>0</x:v>
      </x:c>
      <x:c r="Z665" s="6" t="n">
        <x:v>0</x:v>
      </x:c>
      <x:c r="AA665" s="6" t="n">
        <x:v>3</x:v>
      </x:c>
      <x:c r="AB665" s="6" t="n">
        <x:v>11</x:v>
      </x:c>
      <x:c r="AC665" s="6" t="n">
        <x:v>0</x:v>
      </x:c>
    </x:row>
    <x:row r="666">
      <x:c r="A666" s="6" t="n">
        <x:v>8162</x:v>
      </x:c>
      <x:c r="B666" s="6" t="n">
        <x:v>1956</x:v>
      </x:c>
      <x:c r="C666" s="6" t="str">
        <x:v>Master</x:v>
      </x:c>
      <x:c r="D666" s="6" t="str">
        <x:v>Together</x:v>
      </x:c>
      <x:c r="E666" s="6" t="n">
        <x:v>14661</x:v>
      </x:c>
      <x:c r="F666" s="6" t="n">
        <x:v>0</x:v>
      </x:c>
      <x:c r="G666" s="6" t="n">
        <x:v>0</x:v>
      </x:c>
      <x:c r="H666" s="9" t="str">
        <x:v>01-01-2013</x:v>
      </x:c>
      <x:c r="I666" s="6" t="n">
        <x:v>88</x:v>
      </x:c>
      <x:c r="J666" s="6" t="n">
        <x:v>4</x:v>
      </x:c>
      <x:c r="K666" s="6" t="n">
        <x:v>1</x:v>
      </x:c>
      <x:c r="L666" s="6" t="n">
        <x:v>11</x:v>
      </x:c>
      <x:c r="M666" s="6" t="n">
        <x:v>6</x:v>
      </x:c>
      <x:c r="N666" s="6" t="n">
        <x:v>2</x:v>
      </x:c>
      <x:c r="O666" s="6" t="n">
        <x:v>2</x:v>
      </x:c>
      <x:c r="P666" s="6" t="n">
        <x:v>1</x:v>
      </x:c>
      <x:c r="Q666" s="6" t="n">
        <x:v>1</x:v>
      </x:c>
      <x:c r="R666" s="6" t="n">
        <x:v>0</x:v>
      </x:c>
      <x:c r="S666" s="6" t="n">
        <x:v>3</x:v>
      </x:c>
      <x:c r="T666" s="6" t="n">
        <x:v>6</x:v>
      </x:c>
      <x:c r="U666" s="6" t="n">
        <x:v>0</x:v>
      </x:c>
      <x:c r="V666" s="6" t="n">
        <x:v>0</x:v>
      </x:c>
      <x:c r="W666" s="6" t="n">
        <x:v>0</x:v>
      </x:c>
      <x:c r="X666" s="6" t="n">
        <x:v>0</x:v>
      </x:c>
      <x:c r="Y666" s="6" t="n">
        <x:v>0</x:v>
      </x:c>
      <x:c r="Z666" s="6" t="n">
        <x:v>0</x:v>
      </x:c>
      <x:c r="AA666" s="6" t="n">
        <x:v>3</x:v>
      </x:c>
      <x:c r="AB666" s="6" t="n">
        <x:v>11</x:v>
      </x:c>
      <x:c r="AC666" s="6" t="n">
        <x:v>0</x:v>
      </x:c>
    </x:row>
    <x:row r="667">
      <x:c r="A667" s="6" t="n">
        <x:v>10826</x:v>
      </x:c>
      <x:c r="B667" s="6" t="n">
        <x:v>1959</x:v>
      </x:c>
      <x:c r="C667" s="6" t="str">
        <x:v>Graduation</x:v>
      </x:c>
      <x:c r="D667" s="6" t="str">
        <x:v>Married</x:v>
      </x:c>
      <x:c r="E667" s="6" t="n">
        <x:v>18690</x:v>
      </x:c>
      <x:c r="F667" s="6" t="n">
        <x:v>0</x:v>
      </x:c>
      <x:c r="G667" s="6" t="n">
        <x:v>0</x:v>
      </x:c>
      <x:c r="H667" s="9" t="str">
        <x:v>28-12-2012</x:v>
      </x:c>
      <x:c r="I667" s="6" t="n">
        <x:v>77</x:v>
      </x:c>
      <x:c r="J667" s="6" t="n">
        <x:v>6</x:v>
      </x:c>
      <x:c r="K667" s="6" t="n">
        <x:v>1</x:v>
      </x:c>
      <x:c r="L667" s="6" t="n">
        <x:v>7</x:v>
      </x:c>
      <x:c r="M667" s="6" t="n">
        <x:v>23</x:v>
      </x:c>
      <x:c r="N667" s="6" t="n">
        <x:v>4</x:v>
      </x:c>
      <x:c r="O667" s="6" t="n">
        <x:v>19</x:v>
      </x:c>
      <x:c r="P667" s="6" t="n">
        <x:v>1</x:v>
      </x:c>
      <x:c r="Q667" s="6" t="n">
        <x:v>1</x:v>
      </x:c>
      <x:c r="R667" s="6" t="n">
        <x:v>1</x:v>
      </x:c>
      <x:c r="S667" s="6" t="n">
        <x:v>2</x:v>
      </x:c>
      <x:c r="T667" s="6" t="n">
        <x:v>8</x:v>
      </x:c>
      <x:c r="U667" s="6" t="n">
        <x:v>0</x:v>
      </x:c>
      <x:c r="V667" s="6" t="n">
        <x:v>0</x:v>
      </x:c>
      <x:c r="W667" s="6" t="n">
        <x:v>0</x:v>
      </x:c>
      <x:c r="X667" s="6" t="n">
        <x:v>0</x:v>
      </x:c>
      <x:c r="Y667" s="6" t="n">
        <x:v>0</x:v>
      </x:c>
      <x:c r="Z667" s="6" t="n">
        <x:v>0</x:v>
      </x:c>
      <x:c r="AA667" s="6" t="n">
        <x:v>3</x:v>
      </x:c>
      <x:c r="AB667" s="6" t="n">
        <x:v>11</x:v>
      </x:c>
      <x:c r="AC667" s="6" t="n">
        <x:v>0</x:v>
      </x:c>
    </x:row>
    <x:row r="668">
      <x:c r="A668" s="6" t="n">
        <x:v>8754</x:v>
      </x:c>
      <x:c r="B668" s="6" t="n">
        <x:v>1974</x:v>
      </x:c>
      <x:c r="C668" s="6" t="str">
        <x:v>PhD</x:v>
      </x:c>
      <x:c r="D668" s="6" t="str">
        <x:v>Together</x:v>
      </x:c>
      <x:c r="E668" s="6" t="n">
        <x:v>45068</x:v>
      </x:c>
      <x:c r="F668" s="6" t="n">
        <x:v>0</x:v>
      </x:c>
      <x:c r="G668" s="6" t="n">
        <x:v>1</x:v>
      </x:c>
      <x:c r="H668" s="9" t="str">
        <x:v>16-05-2013</x:v>
      </x:c>
      <x:c r="I668" s="6" t="n">
        <x:v>25</x:v>
      </x:c>
      <x:c r="J668" s="6" t="n">
        <x:v>14</x:v>
      </x:c>
      <x:c r="K668" s="6" t="n">
        <x:v>0</x:v>
      </x:c>
      <x:c r="L668" s="6" t="n">
        <x:v>3</x:v>
      </x:c>
      <x:c r="M668" s="6" t="n">
        <x:v>0</x:v>
      </x:c>
      <x:c r="N668" s="6" t="n">
        <x:v>0</x:v>
      </x:c>
      <x:c r="O668" s="6" t="n">
        <x:v>3</x:v>
      </x:c>
      <x:c r="P668" s="6" t="n">
        <x:v>1</x:v>
      </x:c>
      <x:c r="Q668" s="6" t="n">
        <x:v>1</x:v>
      </x:c>
      <x:c r="R668" s="6" t="n">
        <x:v>0</x:v>
      </x:c>
      <x:c r="S668" s="6" t="n">
        <x:v>2</x:v>
      </x:c>
      <x:c r="T668" s="6" t="n">
        <x:v>7</x:v>
      </x:c>
      <x:c r="U668" s="6" t="n">
        <x:v>0</x:v>
      </x:c>
      <x:c r="V668" s="6" t="n">
        <x:v>0</x:v>
      </x:c>
      <x:c r="W668" s="6" t="n">
        <x:v>0</x:v>
      </x:c>
      <x:c r="X668" s="6" t="n">
        <x:v>0</x:v>
      </x:c>
      <x:c r="Y668" s="6" t="n">
        <x:v>0</x:v>
      </x:c>
      <x:c r="Z668" s="6" t="n">
        <x:v>0</x:v>
      </x:c>
      <x:c r="AA668" s="6" t="n">
        <x:v>3</x:v>
      </x:c>
      <x:c r="AB668" s="6" t="n">
        <x:v>11</x:v>
      </x:c>
      <x:c r="AC668" s="6" t="n">
        <x:v>0</x:v>
      </x:c>
    </x:row>
    <x:row r="669">
      <x:c r="A669" s="6" t="n">
        <x:v>1987</x:v>
      </x:c>
      <x:c r="B669" s="6" t="n">
        <x:v>1987</x:v>
      </x:c>
      <x:c r="C669" s="6" t="str">
        <x:v>Basic</x:v>
      </x:c>
      <x:c r="D669" s="6" t="str">
        <x:v>Single</x:v>
      </x:c>
      <x:c r="E669" s="6" t="n">
        <x:v>21063</x:v>
      </x:c>
      <x:c r="F669" s="6" t="n">
        <x:v>1</x:v>
      </x:c>
      <x:c r="G669" s="6" t="n">
        <x:v>0</x:v>
      </x:c>
      <x:c r="H669" s="9" t="str">
        <x:v>25-09-2013</x:v>
      </x:c>
      <x:c r="I669" s="6" t="n">
        <x:v>34</x:v>
      </x:c>
      <x:c r="J669" s="6" t="n">
        <x:v>1</x:v>
      </x:c>
      <x:c r="K669" s="6" t="n">
        <x:v>10</x:v>
      </x:c>
      <x:c r="L669" s="6" t="n">
        <x:v>11</x:v>
      </x:c>
      <x:c r="M669" s="6" t="n">
        <x:v>19</x:v>
      </x:c>
      <x:c r="N669" s="6" t="n">
        <x:v>3</x:v>
      </x:c>
      <x:c r="O669" s="6" t="n">
        <x:v>15</x:v>
      </x:c>
      <x:c r="P669" s="6" t="n">
        <x:v>2</x:v>
      </x:c>
      <x:c r="Q669" s="6" t="n">
        <x:v>2</x:v>
      </x:c>
      <x:c r="R669" s="6" t="n">
        <x:v>0</x:v>
      </x:c>
      <x:c r="S669" s="6" t="n">
        <x:v>3</x:v>
      </x:c>
      <x:c r="T669" s="6" t="n">
        <x:v>6</x:v>
      </x:c>
      <x:c r="U669" s="6" t="n">
        <x:v>0</x:v>
      </x:c>
      <x:c r="V669" s="6" t="n">
        <x:v>0</x:v>
      </x:c>
      <x:c r="W669" s="6" t="n">
        <x:v>0</x:v>
      </x:c>
      <x:c r="X669" s="6" t="n">
        <x:v>0</x:v>
      </x:c>
      <x:c r="Y669" s="6" t="n">
        <x:v>0</x:v>
      </x:c>
      <x:c r="Z669" s="6" t="n">
        <x:v>0</x:v>
      </x:c>
      <x:c r="AA669" s="6" t="n">
        <x:v>3</x:v>
      </x:c>
      <x:c r="AB669" s="6" t="n">
        <x:v>11</x:v>
      </x:c>
      <x:c r="AC669" s="6" t="n">
        <x:v>0</x:v>
      </x:c>
    </x:row>
    <x:row r="670">
      <x:c r="A670" s="6" t="n">
        <x:v>11007</x:v>
      </x:c>
      <x:c r="B670" s="6" t="n">
        <x:v>1968</x:v>
      </x:c>
      <x:c r="C670" s="6" t="str">
        <x:v>PhD</x:v>
      </x:c>
      <x:c r="D670" s="6" t="str">
        <x:v>Married</x:v>
      </x:c>
      <x:c r="E670" s="6" t="n">
        <x:v>29187</x:v>
      </x:c>
      <x:c r="F670" s="6" t="n">
        <x:v>1</x:v>
      </x:c>
      <x:c r="G670" s="6" t="n">
        <x:v>0</x:v>
      </x:c>
      <x:c r="H670" s="9" t="str">
        <x:v>09-05-2013</x:v>
      </x:c>
      <x:c r="I670" s="6" t="n">
        <x:v>43</x:v>
      </x:c>
      <x:c r="J670" s="6" t="n">
        <x:v>26</x:v>
      </x:c>
      <x:c r="K670" s="6" t="n">
        <x:v>0</x:v>
      </x:c>
      <x:c r="L670" s="6" t="n">
        <x:v>6</x:v>
      </x:c>
      <x:c r="M670" s="6" t="n">
        <x:v>0</x:v>
      </x:c>
      <x:c r="N670" s="6" t="n">
        <x:v>0</x:v>
      </x:c>
      <x:c r="O670" s="6" t="n">
        <x:v>2</x:v>
      </x:c>
      <x:c r="P670" s="6" t="n">
        <x:v>1</x:v>
      </x:c>
      <x:c r="Q670" s="6" t="n">
        <x:v>1</x:v>
      </x:c>
      <x:c r="R670" s="6" t="n">
        <x:v>0</x:v>
      </x:c>
      <x:c r="S670" s="6" t="n">
        <x:v>3</x:v>
      </x:c>
      <x:c r="T670" s="6" t="n">
        <x:v>8</x:v>
      </x:c>
      <x:c r="U670" s="6" t="n">
        <x:v>0</x:v>
      </x:c>
      <x:c r="V670" s="6" t="n">
        <x:v>0</x:v>
      </x:c>
      <x:c r="W670" s="6" t="n">
        <x:v>0</x:v>
      </x:c>
      <x:c r="X670" s="6" t="n">
        <x:v>0</x:v>
      </x:c>
      <x:c r="Y670" s="6" t="n">
        <x:v>0</x:v>
      </x:c>
      <x:c r="Z670" s="6" t="n">
        <x:v>0</x:v>
      </x:c>
      <x:c r="AA670" s="6" t="n">
        <x:v>3</x:v>
      </x:c>
      <x:c r="AB670" s="6" t="n">
        <x:v>11</x:v>
      </x:c>
      <x:c r="AC670" s="6" t="n">
        <x:v>0</x:v>
      </x:c>
    </x:row>
    <x:row r="671">
      <x:c r="A671" s="6" t="n">
        <x:v>7426</x:v>
      </x:c>
      <x:c r="B671" s="6" t="n">
        <x:v>1971</x:v>
      </x:c>
      <x:c r="C671" s="6" t="str">
        <x:v>2n Cycle</x:v>
      </x:c>
      <x:c r="D671" s="6" t="str">
        <x:v>Married</x:v>
      </x:c>
      <x:c r="E671" s="6" t="n">
        <x:v>54690</x:v>
      </x:c>
      <x:c r="F671" s="6" t="n">
        <x:v>1</x:v>
      </x:c>
      <x:c r="G671" s="6" t="n">
        <x:v>1</x:v>
      </x:c>
      <x:c r="H671" s="9" t="str">
        <x:v>07-11-2013</x:v>
      </x:c>
      <x:c r="I671" s="6" t="n">
        <x:v>76</x:v>
      </x:c>
      <x:c r="J671" s="6" t="n">
        <x:v>111</x:v>
      </x:c>
      <x:c r="K671" s="6" t="n">
        <x:v>16</x:v>
      </x:c>
      <x:c r="L671" s="6" t="n">
        <x:v>37</x:v>
      </x:c>
      <x:c r="M671" s="6" t="n">
        <x:v>7</x:v>
      </x:c>
      <x:c r="N671" s="6" t="n">
        <x:v>9</x:v>
      </x:c>
      <x:c r="O671" s="6" t="n">
        <x:v>18</x:v>
      </x:c>
      <x:c r="P671" s="6" t="n">
        <x:v>3</x:v>
      </x:c>
      <x:c r="Q671" s="6" t="n">
        <x:v>3</x:v>
      </x:c>
      <x:c r="R671" s="6" t="n">
        <x:v>1</x:v>
      </x:c>
      <x:c r="S671" s="6" t="n">
        <x:v>5</x:v>
      </x:c>
      <x:c r="T671" s="6" t="n">
        <x:v>3</x:v>
      </x:c>
      <x:c r="U671" s="6" t="n">
        <x:v>0</x:v>
      </x:c>
      <x:c r="V671" s="6" t="n">
        <x:v>0</x:v>
      </x:c>
      <x:c r="W671" s="6" t="n">
        <x:v>0</x:v>
      </x:c>
      <x:c r="X671" s="6" t="n">
        <x:v>0</x:v>
      </x:c>
      <x:c r="Y671" s="6" t="n">
        <x:v>0</x:v>
      </x:c>
      <x:c r="Z671" s="6" t="n">
        <x:v>0</x:v>
      </x:c>
      <x:c r="AA671" s="6" t="n">
        <x:v>3</x:v>
      </x:c>
      <x:c r="AB671" s="6" t="n">
        <x:v>11</x:v>
      </x:c>
      <x:c r="AC671" s="6" t="n">
        <x:v>0</x:v>
      </x:c>
    </x:row>
    <x:row r="672">
      <x:c r="A672" s="6" t="n">
        <x:v>9153</x:v>
      </x:c>
      <x:c r="B672" s="6" t="n">
        <x:v>1964</x:v>
      </x:c>
      <x:c r="C672" s="6" t="str">
        <x:v>PhD</x:v>
      </x:c>
      <x:c r="D672" s="6" t="str">
        <x:v>Married</x:v>
      </x:c>
      <x:c r="E672" s="6" t="n">
        <x:v>59304</x:v>
      </x:c>
      <x:c r="F672" s="6" t="n">
        <x:v>0</x:v>
      </x:c>
      <x:c r="G672" s="6" t="n">
        <x:v>1</x:v>
      </x:c>
      <x:c r="H672" s="9" t="str">
        <x:v>29-07-2013</x:v>
      </x:c>
      <x:c r="I672" s="6" t="n">
        <x:v>81</x:v>
      </x:c>
      <x:c r="J672" s="6" t="n">
        <x:v>418</x:v>
      </x:c>
      <x:c r="K672" s="6" t="n">
        <x:v>61</x:v>
      </x:c>
      <x:c r="L672" s="6" t="n">
        <x:v>428</x:v>
      </x:c>
      <x:c r="M672" s="6" t="n">
        <x:v>80</x:v>
      </x:c>
      <x:c r="N672" s="6" t="n">
        <x:v>51</x:v>
      </x:c>
      <x:c r="O672" s="6" t="n">
        <x:v>10</x:v>
      </x:c>
      <x:c r="P672" s="6" t="n">
        <x:v>3</x:v>
      </x:c>
      <x:c r="Q672" s="6" t="n">
        <x:v>7</x:v>
      </x:c>
      <x:c r="R672" s="6" t="n">
        <x:v>8</x:v>
      </x:c>
      <x:c r="S672" s="6" t="n">
        <x:v>10</x:v>
      </x:c>
      <x:c r="T672" s="6" t="n">
        <x:v>5</x:v>
      </x:c>
      <x:c r="U672" s="6" t="n">
        <x:v>0</x:v>
      </x:c>
      <x:c r="V672" s="6" t="n">
        <x:v>0</x:v>
      </x:c>
      <x:c r="W672" s="6" t="n">
        <x:v>0</x:v>
      </x:c>
      <x:c r="X672" s="6" t="n">
        <x:v>0</x:v>
      </x:c>
      <x:c r="Y672" s="6" t="n">
        <x:v>0</x:v>
      </x:c>
      <x:c r="Z672" s="6" t="n">
        <x:v>0</x:v>
      </x:c>
      <x:c r="AA672" s="6" t="n">
        <x:v>3</x:v>
      </x:c>
      <x:c r="AB672" s="6" t="n">
        <x:v>11</x:v>
      </x:c>
      <x:c r="AC672" s="6" t="n">
        <x:v>0</x:v>
      </x:c>
    </x:row>
    <x:row r="673">
      <x:c r="A673" s="6" t="n">
        <x:v>10379</x:v>
      </x:c>
      <x:c r="B673" s="6" t="n">
        <x:v>1962</x:v>
      </x:c>
      <x:c r="C673" s="6" t="str">
        <x:v>Master</x:v>
      </x:c>
      <x:c r="D673" s="6" t="str">
        <x:v>Single</x:v>
      </x:c>
      <x:c r="E673" s="6" t="n">
        <x:v>59247</x:v>
      </x:c>
      <x:c r="F673" s="6" t="n">
        <x:v>0</x:v>
      </x:c>
      <x:c r="G673" s="6" t="n">
        <x:v>2</x:v>
      </x:c>
      <x:c r="H673" s="9" t="str">
        <x:v>08-11-2013</x:v>
      </x:c>
      <x:c r="I673" s="6" t="n">
        <x:v>87</x:v>
      </x:c>
      <x:c r="J673" s="6" t="n">
        <x:v>327</x:v>
      </x:c>
      <x:c r="K673" s="6" t="n">
        <x:v>9</x:v>
      </x:c>
      <x:c r="L673" s="6" t="n">
        <x:v>122</x:v>
      </x:c>
      <x:c r="M673" s="6" t="n">
        <x:v>19</x:v>
      </x:c>
      <x:c r="N673" s="6" t="n">
        <x:v>14</x:v>
      </x:c>
      <x:c r="O673" s="6" t="n">
        <x:v>83</x:v>
      </x:c>
      <x:c r="P673" s="6" t="n">
        <x:v>5</x:v>
      </x:c>
      <x:c r="Q673" s="6" t="n">
        <x:v>5</x:v>
      </x:c>
      <x:c r="R673" s="6" t="n">
        <x:v>2</x:v>
      </x:c>
      <x:c r="S673" s="6" t="n">
        <x:v>9</x:v>
      </x:c>
      <x:c r="T673" s="6" t="n">
        <x:v>6</x:v>
      </x:c>
      <x:c r="U673" s="6" t="n">
        <x:v>0</x:v>
      </x:c>
      <x:c r="V673" s="6" t="n">
        <x:v>0</x:v>
      </x:c>
      <x:c r="W673" s="6" t="n">
        <x:v>0</x:v>
      </x:c>
      <x:c r="X673" s="6" t="n">
        <x:v>0</x:v>
      </x:c>
      <x:c r="Y673" s="6" t="n">
        <x:v>0</x:v>
      </x:c>
      <x:c r="Z673" s="6" t="n">
        <x:v>0</x:v>
      </x:c>
      <x:c r="AA673" s="6" t="n">
        <x:v>3</x:v>
      </x:c>
      <x:c r="AB673" s="6" t="n">
        <x:v>11</x:v>
      </x:c>
      <x:c r="AC673" s="6" t="n">
        <x:v>0</x:v>
      </x:c>
    </x:row>
    <x:row r="674">
      <x:c r="A674" s="6" t="n">
        <x:v>9204</x:v>
      </x:c>
      <x:c r="B674" s="6" t="n">
        <x:v>1970</x:v>
      </x:c>
      <x:c r="C674" s="6" t="str">
        <x:v>Graduation</x:v>
      </x:c>
      <x:c r="D674" s="6" t="str">
        <x:v>Widow</x:v>
      </x:c>
      <x:c r="E674" s="6" t="n">
        <x:v>66731</x:v>
      </x:c>
      <x:c r="F674" s="6" t="n">
        <x:v>0</x:v>
      </x:c>
      <x:c r="G674" s="6" t="n">
        <x:v>1</x:v>
      </x:c>
      <x:c r="H674" s="9" t="str">
        <x:v>12-09-2012</x:v>
      </x:c>
      <x:c r="I674" s="6" t="n">
        <x:v>33</x:v>
      </x:c>
      <x:c r="J674" s="6" t="n">
        <x:v>371</x:v>
      </x:c>
      <x:c r="K674" s="6" t="n">
        <x:v>159</x:v>
      </x:c>
      <x:c r="L674" s="6" t="n">
        <x:v>194</x:v>
      </x:c>
      <x:c r="M674" s="6" t="n">
        <x:v>58</x:v>
      </x:c>
      <x:c r="N674" s="6" t="n">
        <x:v>106</x:v>
      </x:c>
      <x:c r="O674" s="6" t="n">
        <x:v>141</x:v>
      </x:c>
      <x:c r="P674" s="6" t="n">
        <x:v>4</x:v>
      </x:c>
      <x:c r="Q674" s="6" t="n">
        <x:v>4</x:v>
      </x:c>
      <x:c r="R674" s="6" t="n">
        <x:v>3</x:v>
      </x:c>
      <x:c r="S674" s="6" t="n">
        <x:v>6</x:v>
      </x:c>
      <x:c r="T674" s="6" t="n">
        <x:v>3</x:v>
      </x:c>
      <x:c r="U674" s="6" t="n">
        <x:v>0</x:v>
      </x:c>
      <x:c r="V674" s="6" t="n">
        <x:v>0</x:v>
      </x:c>
      <x:c r="W674" s="6" t="n">
        <x:v>0</x:v>
      </x:c>
      <x:c r="X674" s="6" t="n">
        <x:v>0</x:v>
      </x:c>
      <x:c r="Y674" s="6" t="n">
        <x:v>0</x:v>
      </x:c>
      <x:c r="Z674" s="6" t="n">
        <x:v>0</x:v>
      </x:c>
      <x:c r="AA674" s="6" t="n">
        <x:v>3</x:v>
      </x:c>
      <x:c r="AB674" s="6" t="n">
        <x:v>11</x:v>
      </x:c>
      <x:c r="AC674" s="6" t="n">
        <x:v>0</x:v>
      </x:c>
    </x:row>
    <x:row r="675">
      <x:c r="A675" s="6" t="n">
        <x:v>3197</x:v>
      </x:c>
      <x:c r="B675" s="6" t="n">
        <x:v>1980</x:v>
      </x:c>
      <x:c r="C675" s="6" t="str">
        <x:v>Graduation</x:v>
      </x:c>
      <x:c r="D675" s="6" t="str">
        <x:v>Married</x:v>
      </x:c>
      <x:c r="E675" s="6" t="n">
        <x:v>77353</x:v>
      </x:c>
      <x:c r="F675" s="6" t="n">
        <x:v>0</x:v>
      </x:c>
      <x:c r="G675" s="6" t="n">
        <x:v>1</x:v>
      </x:c>
      <x:c r="H675" s="9" t="str">
        <x:v>16-12-2013</x:v>
      </x:c>
      <x:c r="I675" s="6" t="n">
        <x:v>38</x:v>
      </x:c>
      <x:c r="J675" s="6" t="n">
        <x:v>275</x:v>
      </x:c>
      <x:c r="K675" s="6" t="n">
        <x:v>59</x:v>
      </x:c>
      <x:c r="L675" s="6" t="n">
        <x:v>107</x:v>
      </x:c>
      <x:c r="M675" s="6" t="n">
        <x:v>69</x:v>
      </x:c>
      <x:c r="N675" s="6" t="n">
        <x:v>101</x:v>
      </x:c>
      <x:c r="O675" s="6" t="n">
        <x:v>59</x:v>
      </x:c>
      <x:c r="P675" s="6" t="n">
        <x:v>2</x:v>
      </x:c>
      <x:c r="Q675" s="6" t="n">
        <x:v>6</x:v>
      </x:c>
      <x:c r="R675" s="6" t="n">
        <x:v>4</x:v>
      </x:c>
      <x:c r="S675" s="6" t="n">
        <x:v>8</x:v>
      </x:c>
      <x:c r="T675" s="6" t="n">
        <x:v>4</x:v>
      </x:c>
      <x:c r="U675" s="6" t="n">
        <x:v>0</x:v>
      </x:c>
      <x:c r="V675" s="6" t="n">
        <x:v>0</x:v>
      </x:c>
      <x:c r="W675" s="6" t="n">
        <x:v>0</x:v>
      </x:c>
      <x:c r="X675" s="6" t="n">
        <x:v>0</x:v>
      </x:c>
      <x:c r="Y675" s="6" t="n">
        <x:v>0</x:v>
      </x:c>
      <x:c r="Z675" s="6" t="n">
        <x:v>0</x:v>
      </x:c>
      <x:c r="AA675" s="6" t="n">
        <x:v>3</x:v>
      </x:c>
      <x:c r="AB675" s="6" t="n">
        <x:v>11</x:v>
      </x:c>
      <x:c r="AC675" s="6" t="n">
        <x:v>0</x:v>
      </x:c>
    </x:row>
    <x:row r="676">
      <x:c r="A676" s="6" t="n">
        <x:v>2920</x:v>
      </x:c>
      <x:c r="B676" s="6" t="n">
        <x:v>1975</x:v>
      </x:c>
      <x:c r="C676" s="6" t="str">
        <x:v>PhD</x:v>
      </x:c>
      <x:c r="D676" s="6" t="str">
        <x:v>Single</x:v>
      </x:c>
      <x:c r="E676" s="6" t="n">
        <x:v>52614</x:v>
      </x:c>
      <x:c r="F676" s="6" t="n">
        <x:v>0</x:v>
      </x:c>
      <x:c r="G676" s="6" t="n">
        <x:v>1</x:v>
      </x:c>
      <x:c r="H676" s="9" t="str">
        <x:v>01-12-2012</x:v>
      </x:c>
      <x:c r="I676" s="6" t="n">
        <x:v>63</x:v>
      </x:c>
      <x:c r="J676" s="6" t="n">
        <x:v>789</x:v>
      </x:c>
      <x:c r="K676" s="6" t="n">
        <x:v>0</x:v>
      </x:c>
      <x:c r="L676" s="6" t="n">
        <x:v>142</x:v>
      </x:c>
      <x:c r="M676" s="6" t="n">
        <x:v>12</x:v>
      </x:c>
      <x:c r="N676" s="6" t="n">
        <x:v>9</x:v>
      </x:c>
      <x:c r="O676" s="6" t="n">
        <x:v>38</x:v>
      </x:c>
      <x:c r="P676" s="6" t="n">
        <x:v>2</x:v>
      </x:c>
      <x:c r="Q676" s="6" t="n">
        <x:v>2</x:v>
      </x:c>
      <x:c r="R676" s="6" t="n">
        <x:v>4</x:v>
      </x:c>
      <x:c r="S676" s="6" t="n">
        <x:v>8</x:v>
      </x:c>
      <x:c r="T676" s="6" t="n">
        <x:v>8</x:v>
      </x:c>
      <x:c r="U676" s="6" t="n">
        <x:v>0</x:v>
      </x:c>
      <x:c r="V676" s="6" t="n">
        <x:v>0</x:v>
      </x:c>
      <x:c r="W676" s="6" t="n">
        <x:v>0</x:v>
      </x:c>
      <x:c r="X676" s="6" t="n">
        <x:v>0</x:v>
      </x:c>
      <x:c r="Y676" s="6" t="n">
        <x:v>0</x:v>
      </x:c>
      <x:c r="Z676" s="6" t="n">
        <x:v>0</x:v>
      </x:c>
      <x:c r="AA676" s="6" t="n">
        <x:v>3</x:v>
      </x:c>
      <x:c r="AB676" s="6" t="n">
        <x:v>11</x:v>
      </x:c>
      <x:c r="AC676" s="6" t="n">
        <x:v>0</x:v>
      </x:c>
    </x:row>
    <x:row r="677">
      <x:c r="A677" s="6" t="n">
        <x:v>6961</x:v>
      </x:c>
      <x:c r="B677" s="6" t="n">
        <x:v>1974</x:v>
      </x:c>
      <x:c r="C677" s="6" t="str">
        <x:v>Graduation</x:v>
      </x:c>
      <x:c r="D677" s="6" t="str">
        <x:v>Married</x:v>
      </x:c>
      <x:c r="E677" s="6" t="n">
        <x:v>26751</x:v>
      </x:c>
      <x:c r="F677" s="6" t="n">
        <x:v>2</x:v>
      </x:c>
      <x:c r="G677" s="6" t="n">
        <x:v>0</x:v>
      </x:c>
      <x:c r="H677" s="9" t="str">
        <x:v>22-05-2014</x:v>
      </x:c>
      <x:c r="I677" s="6" t="n">
        <x:v>26</x:v>
      </x:c>
      <x:c r="J677" s="6" t="n">
        <x:v>1</x:v>
      </x:c>
      <x:c r="K677" s="6" t="n">
        <x:v>1</x:v>
      </x:c>
      <x:c r="L677" s="6" t="n">
        <x:v>5</x:v>
      </x:c>
      <x:c r="M677" s="6" t="n">
        <x:v>0</x:v>
      </x:c>
      <x:c r="N677" s="6" t="n">
        <x:v>3</x:v>
      </x:c>
      <x:c r="O677" s="6" t="n">
        <x:v>1</x:v>
      </x:c>
      <x:c r="P677" s="6" t="n">
        <x:v>1</x:v>
      </x:c>
      <x:c r="Q677" s="6" t="n">
        <x:v>1</x:v>
      </x:c>
      <x:c r="R677" s="6" t="n">
        <x:v>0</x:v>
      </x:c>
      <x:c r="S677" s="6" t="n">
        <x:v>2</x:v>
      </x:c>
      <x:c r="T677" s="6" t="n">
        <x:v>8</x:v>
      </x:c>
      <x:c r="U677" s="6" t="n">
        <x:v>0</x:v>
      </x:c>
      <x:c r="V677" s="6" t="n">
        <x:v>0</x:v>
      </x:c>
      <x:c r="W677" s="6" t="n">
        <x:v>0</x:v>
      </x:c>
      <x:c r="X677" s="6" t="n">
        <x:v>0</x:v>
      </x:c>
      <x:c r="Y677" s="6" t="n">
        <x:v>0</x:v>
      </x:c>
      <x:c r="Z677" s="6" t="n">
        <x:v>0</x:v>
      </x:c>
      <x:c r="AA677" s="6" t="n">
        <x:v>3</x:v>
      </x:c>
      <x:c r="AB677" s="6" t="n">
        <x:v>11</x:v>
      </x:c>
      <x:c r="AC677" s="6" t="n">
        <x:v>0</x:v>
      </x:c>
    </x:row>
    <x:row r="678">
      <x:c r="A678" s="6" t="n">
        <x:v>4673</x:v>
      </x:c>
      <x:c r="B678" s="6" t="n">
        <x:v>1963</x:v>
      </x:c>
      <x:c r="C678" s="6" t="str">
        <x:v>PhD</x:v>
      </x:c>
      <x:c r="D678" s="6" t="str">
        <x:v>Married</x:v>
      </x:c>
      <x:c r="E678" s="6" t="n">
        <x:v>81300</x:v>
      </x:c>
      <x:c r="F678" s="6" t="n">
        <x:v>0</x:v>
      </x:c>
      <x:c r="G678" s="6" t="n">
        <x:v>1</x:v>
      </x:c>
      <x:c r="H678" s="9" t="str">
        <x:v>30-10-2012</x:v>
      </x:c>
      <x:c r="I678" s="6" t="n">
        <x:v>17</x:v>
      </x:c>
      <x:c r="J678" s="6" t="n">
        <x:v>1004</x:v>
      </x:c>
      <x:c r="K678" s="6" t="n">
        <x:v>12</x:v>
      </x:c>
      <x:c r="L678" s="6" t="n">
        <x:v>145</x:v>
      </x:c>
      <x:c r="M678" s="6" t="n">
        <x:v>32</x:v>
      </x:c>
      <x:c r="N678" s="6" t="n">
        <x:v>12</x:v>
      </x:c>
      <x:c r="O678" s="6" t="n">
        <x:v>36</x:v>
      </x:c>
      <x:c r="P678" s="6" t="n">
        <x:v>3</x:v>
      </x:c>
      <x:c r="Q678" s="6" t="n">
        <x:v>10</x:v>
      </x:c>
      <x:c r="R678" s="6" t="n">
        <x:v>3</x:v>
      </x:c>
      <x:c r="S678" s="6" t="n">
        <x:v>5</x:v>
      </x:c>
      <x:c r="T678" s="6" t="n">
        <x:v>5</x:v>
      </x:c>
      <x:c r="U678" s="6" t="n">
        <x:v>0</x:v>
      </x:c>
      <x:c r="V678" s="6" t="n">
        <x:v>0</x:v>
      </x:c>
      <x:c r="W678" s="6" t="n">
        <x:v>0</x:v>
      </x:c>
      <x:c r="X678" s="6" t="n">
        <x:v>1</x:v>
      </x:c>
      <x:c r="Y678" s="6" t="n">
        <x:v>0</x:v>
      </x:c>
      <x:c r="Z678" s="6" t="n">
        <x:v>0</x:v>
      </x:c>
      <x:c r="AA678" s="6" t="n">
        <x:v>3</x:v>
      </x:c>
      <x:c r="AB678" s="6" t="n">
        <x:v>11</x:v>
      </x:c>
      <x:c r="AC678" s="6" t="n">
        <x:v>1</x:v>
      </x:c>
    </x:row>
    <x:row r="679">
      <x:c r="A679" s="6" t="n">
        <x:v>9937</x:v>
      </x:c>
      <x:c r="B679" s="6" t="n">
        <x:v>1979</x:v>
      </x:c>
      <x:c r="C679" s="6" t="str">
        <x:v>Graduation</x:v>
      </x:c>
      <x:c r="D679" s="6" t="str">
        <x:v>Single</x:v>
      </x:c>
      <x:c r="E679" s="6" t="n">
        <x:v>70337</x:v>
      </x:c>
      <x:c r="F679" s="6" t="n">
        <x:v>0</x:v>
      </x:c>
      <x:c r="G679" s="6" t="n">
        <x:v>0</x:v>
      </x:c>
      <x:c r="H679" s="9" t="str">
        <x:v>02-01-2014</x:v>
      </x:c>
      <x:c r="I679" s="6" t="n">
        <x:v>75</x:v>
      </x:c>
      <x:c r="J679" s="6" t="n">
        <x:v>187</x:v>
      </x:c>
      <x:c r="K679" s="6" t="n">
        <x:v>81</x:v>
      </x:c>
      <x:c r="L679" s="6" t="n">
        <x:v>149</x:v>
      </x:c>
      <x:c r="M679" s="6" t="n">
        <x:v>25</x:v>
      </x:c>
      <x:c r="N679" s="6" t="n">
        <x:v>43</x:v>
      </x:c>
      <x:c r="O679" s="6" t="n">
        <x:v>91</x:v>
      </x:c>
      <x:c r="P679" s="6" t="n">
        <x:v>1</x:v>
      </x:c>
      <x:c r="Q679" s="6" t="n">
        <x:v>2</x:v>
      </x:c>
      <x:c r="R679" s="6" t="n">
        <x:v>2</x:v>
      </x:c>
      <x:c r="S679" s="6" t="n">
        <x:v>12</x:v>
      </x:c>
      <x:c r="T679" s="6" t="n">
        <x:v>1</x:v>
      </x:c>
      <x:c r="U679" s="6" t="n">
        <x:v>0</x:v>
      </x:c>
      <x:c r="V679" s="6" t="n">
        <x:v>0</x:v>
      </x:c>
      <x:c r="W679" s="6" t="n">
        <x:v>0</x:v>
      </x:c>
      <x:c r="X679" s="6" t="n">
        <x:v>0</x:v>
      </x:c>
      <x:c r="Y679" s="6" t="n">
        <x:v>0</x:v>
      </x:c>
      <x:c r="Z679" s="6" t="n">
        <x:v>0</x:v>
      </x:c>
      <x:c r="AA679" s="6" t="n">
        <x:v>3</x:v>
      </x:c>
      <x:c r="AB679" s="6" t="n">
        <x:v>11</x:v>
      </x:c>
      <x:c r="AC679" s="6" t="n">
        <x:v>0</x:v>
      </x:c>
    </x:row>
    <x:row r="680">
      <x:c r="A680" s="6" t="n">
        <x:v>8779</x:v>
      </x:c>
      <x:c r="B680" s="6" t="n">
        <x:v>1985</x:v>
      </x:c>
      <x:c r="C680" s="6" t="str">
        <x:v>2n Cycle</x:v>
      </x:c>
      <x:c r="D680" s="6" t="str">
        <x:v>Married</x:v>
      </x:c>
      <x:c r="E680" s="6" t="n">
        <x:v>36145</x:v>
      </x:c>
      <x:c r="F680" s="6" t="n">
        <x:v>1</x:v>
      </x:c>
      <x:c r="G680" s="6" t="n">
        <x:v>0</x:v>
      </x:c>
      <x:c r="H680" s="9" t="str">
        <x:v>16-06-2013</x:v>
      </x:c>
      <x:c r="I680" s="6" t="n">
        <x:v>13</x:v>
      </x:c>
      <x:c r="J680" s="6" t="n">
        <x:v>56</x:v>
      </x:c>
      <x:c r="K680" s="6" t="n">
        <x:v>4</x:v>
      </x:c>
      <x:c r="L680" s="6" t="n">
        <x:v>76</x:v>
      </x:c>
      <x:c r="M680" s="6" t="n">
        <x:v>17</x:v>
      </x:c>
      <x:c r="N680" s="6" t="n">
        <x:v>1</x:v>
      </x:c>
      <x:c r="O680" s="6" t="n">
        <x:v>18</x:v>
      </x:c>
      <x:c r="P680" s="6" t="n">
        <x:v>4</x:v>
      </x:c>
      <x:c r="Q680" s="6" t="n">
        <x:v>4</x:v>
      </x:c>
      <x:c r="R680" s="6" t="n">
        <x:v>1</x:v>
      </x:c>
      <x:c r="S680" s="6" t="n">
        <x:v>3</x:v>
      </x:c>
      <x:c r="T680" s="6" t="n">
        <x:v>9</x:v>
      </x:c>
      <x:c r="U680" s="6" t="n">
        <x:v>1</x:v>
      </x:c>
      <x:c r="V680" s="6" t="n">
        <x:v>0</x:v>
      </x:c>
      <x:c r="W680" s="6" t="n">
        <x:v>0</x:v>
      </x:c>
      <x:c r="X680" s="6" t="n">
        <x:v>0</x:v>
      </x:c>
      <x:c r="Y680" s="6" t="n">
        <x:v>0</x:v>
      </x:c>
      <x:c r="Z680" s="6" t="n">
        <x:v>0</x:v>
      </x:c>
      <x:c r="AA680" s="6" t="n">
        <x:v>3</x:v>
      </x:c>
      <x:c r="AB680" s="6" t="n">
        <x:v>11</x:v>
      </x:c>
      <x:c r="AC680" s="6" t="n">
        <x:v>1</x:v>
      </x:c>
    </x:row>
    <x:row r="681">
      <x:c r="A681" s="6" t="n">
        <x:v>9596</x:v>
      </x:c>
      <x:c r="B681" s="6" t="n">
        <x:v>1980</x:v>
      </x:c>
      <x:c r="C681" s="6" t="str">
        <x:v>PhD</x:v>
      </x:c>
      <x:c r="D681" s="6" t="str">
        <x:v>Single</x:v>
      </x:c>
      <x:c r="E681" s="6" t="n">
        <x:v>65295</x:v>
      </x:c>
      <x:c r="F681" s="6" t="n">
        <x:v>0</x:v>
      </x:c>
      <x:c r="G681" s="6" t="n">
        <x:v>0</x:v>
      </x:c>
      <x:c r="H681" s="9" t="str">
        <x:v>23-12-2013</x:v>
      </x:c>
      <x:c r="I681" s="6" t="n">
        <x:v>19</x:v>
      </x:c>
      <x:c r="J681" s="6" t="n">
        <x:v>365</x:v>
      </x:c>
      <x:c r="K681" s="6" t="n">
        <x:v>32</x:v>
      </x:c>
      <x:c r="L681" s="6" t="n">
        <x:v>117</x:v>
      </x:c>
      <x:c r="M681" s="6" t="n">
        <x:v>34</x:v>
      </x:c>
      <x:c r="N681" s="6" t="n">
        <x:v>110</x:v>
      </x:c>
      <x:c r="O681" s="6" t="n">
        <x:v>6</x:v>
      </x:c>
      <x:c r="P681" s="6" t="n">
        <x:v>1</x:v>
      </x:c>
      <x:c r="Q681" s="6" t="n">
        <x:v>3</x:v>
      </x:c>
      <x:c r="R681" s="6" t="n">
        <x:v>3</x:v>
      </x:c>
      <x:c r="S681" s="6" t="n">
        <x:v>13</x:v>
      </x:c>
      <x:c r="T681" s="6" t="n">
        <x:v>2</x:v>
      </x:c>
      <x:c r="U681" s="6" t="n">
        <x:v>0</x:v>
      </x:c>
      <x:c r="V681" s="6" t="n">
        <x:v>0</x:v>
      </x:c>
      <x:c r="W681" s="6" t="n">
        <x:v>0</x:v>
      </x:c>
      <x:c r="X681" s="6" t="n">
        <x:v>0</x:v>
      </x:c>
      <x:c r="Y681" s="6" t="n">
        <x:v>0</x:v>
      </x:c>
      <x:c r="Z681" s="6" t="n">
        <x:v>0</x:v>
      </x:c>
      <x:c r="AA681" s="6" t="n">
        <x:v>3</x:v>
      </x:c>
      <x:c r="AB681" s="6" t="n">
        <x:v>11</x:v>
      </x:c>
      <x:c r="AC681" s="6" t="n">
        <x:v>0</x:v>
      </x:c>
    </x:row>
    <x:row r="682">
      <x:c r="A682" s="6" t="n">
        <x:v>2891</x:v>
      </x:c>
      <x:c r="B682" s="6" t="n">
        <x:v>1963</x:v>
      </x:c>
      <x:c r="C682" s="6" t="str">
        <x:v>Graduation</x:v>
      </x:c>
      <x:c r="D682" s="6" t="str">
        <x:v>Divorced</x:v>
      </x:c>
      <x:c r="E682" s="6" t="n">
        <x:v>68118</x:v>
      </x:c>
      <x:c r="F682" s="6" t="n">
        <x:v>0</x:v>
      </x:c>
      <x:c r="G682" s="6" t="n">
        <x:v>1</x:v>
      </x:c>
      <x:c r="H682" s="9" t="str">
        <x:v>18-10-2013</x:v>
      </x:c>
      <x:c r="I682" s="6" t="n">
        <x:v>51</x:v>
      </x:c>
      <x:c r="J682" s="6" t="n">
        <x:v>595</x:v>
      </x:c>
      <x:c r="K682" s="6" t="n">
        <x:v>23</x:v>
      </x:c>
      <x:c r="L682" s="6" t="n">
        <x:v>123</x:v>
      </x:c>
      <x:c r="M682" s="6" t="n">
        <x:v>10</x:v>
      </x:c>
      <x:c r="N682" s="6" t="n">
        <x:v>23</x:v>
      </x:c>
      <x:c r="O682" s="6" t="n">
        <x:v>154</x:v>
      </x:c>
      <x:c r="P682" s="6" t="n">
        <x:v>2</x:v>
      </x:c>
      <x:c r="Q682" s="6" t="n">
        <x:v>8</x:v>
      </x:c>
      <x:c r="R682" s="6" t="n">
        <x:v>9</x:v>
      </x:c>
      <x:c r="S682" s="6" t="n">
        <x:v>4</x:v>
      </x:c>
      <x:c r="T682" s="6" t="n">
        <x:v>6</x:v>
      </x:c>
      <x:c r="U682" s="6" t="n">
        <x:v>0</x:v>
      </x:c>
      <x:c r="V682" s="6" t="n">
        <x:v>0</x:v>
      </x:c>
      <x:c r="W682" s="6" t="n">
        <x:v>0</x:v>
      </x:c>
      <x:c r="X682" s="6" t="n">
        <x:v>0</x:v>
      </x:c>
      <x:c r="Y682" s="6" t="n">
        <x:v>0</x:v>
      </x:c>
      <x:c r="Z682" s="6" t="n">
        <x:v>0</x:v>
      </x:c>
      <x:c r="AA682" s="6" t="n">
        <x:v>3</x:v>
      </x:c>
      <x:c r="AB682" s="6" t="n">
        <x:v>11</x:v>
      </x:c>
      <x:c r="AC682" s="6" t="n">
        <x:v>0</x:v>
      </x:c>
    </x:row>
    <x:row r="683">
      <x:c r="A683" s="6" t="n">
        <x:v>4910</x:v>
      </x:c>
      <x:c r="B683" s="6" t="n">
        <x:v>1967</x:v>
      </x:c>
      <x:c r="C683" s="6" t="str">
        <x:v>Graduation</x:v>
      </x:c>
      <x:c r="D683" s="6" t="str">
        <x:v>Divorced</x:v>
      </x:c>
      <x:c r="E683" s="6" t="n">
        <x:v>68743</x:v>
      </x:c>
      <x:c r="F683" s="6" t="n">
        <x:v>0</x:v>
      </x:c>
      <x:c r="G683" s="6" t="n">
        <x:v>0</x:v>
      </x:c>
      <x:c r="H683" s="9" t="str">
        <x:v>30-08-2012</x:v>
      </x:c>
      <x:c r="I683" s="6" t="n">
        <x:v>81</x:v>
      </x:c>
      <x:c r="J683" s="6" t="n">
        <x:v>1132</x:v>
      </x:c>
      <x:c r="K683" s="6" t="n">
        <x:v>134</x:v>
      </x:c>
      <x:c r="L683" s="6" t="n">
        <x:v>384</x:v>
      </x:c>
      <x:c r="M683" s="6" t="n">
        <x:v>175</x:v>
      </x:c>
      <x:c r="N683" s="6" t="n">
        <x:v>134</x:v>
      </x:c>
      <x:c r="O683" s="6" t="n">
        <x:v>115</x:v>
      </x:c>
      <x:c r="P683" s="6" t="n">
        <x:v>1</x:v>
      </x:c>
      <x:c r="Q683" s="6" t="n">
        <x:v>11</x:v>
      </x:c>
      <x:c r="R683" s="6" t="n">
        <x:v>5</x:v>
      </x:c>
      <x:c r="S683" s="6" t="n">
        <x:v>13</x:v>
      </x:c>
      <x:c r="T683" s="6" t="n">
        <x:v>7</x:v>
      </x:c>
      <x:c r="U683" s="6" t="n">
        <x:v>0</x:v>
      </x:c>
      <x:c r="V683" s="6" t="n">
        <x:v>0</x:v>
      </x:c>
      <x:c r="W683" s="6" t="n">
        <x:v>0</x:v>
      </x:c>
      <x:c r="X683" s="6" t="n">
        <x:v>0</x:v>
      </x:c>
      <x:c r="Y683" s="6" t="n">
        <x:v>0</x:v>
      </x:c>
      <x:c r="Z683" s="6" t="n">
        <x:v>0</x:v>
      </x:c>
      <x:c r="AA683" s="6" t="n">
        <x:v>3</x:v>
      </x:c>
      <x:c r="AB683" s="6" t="n">
        <x:v>11</x:v>
      </x:c>
      <x:c r="AC683" s="6" t="n">
        <x:v>0</x:v>
      </x:c>
    </x:row>
    <x:row r="684">
      <x:c r="A684" s="6" t="n">
        <x:v>75</x:v>
      </x:c>
      <x:c r="B684" s="6" t="n">
        <x:v>1982</x:v>
      </x:c>
      <x:c r="C684" s="6" t="str">
        <x:v>2n Cycle</x:v>
      </x:c>
      <x:c r="D684" s="6" t="str">
        <x:v>Together</x:v>
      </x:c>
      <x:c r="E684" s="6" t="n">
        <x:v>41039</x:v>
      </x:c>
      <x:c r="F684" s="6" t="n">
        <x:v>0</x:v>
      </x:c>
      <x:c r="G684" s="6" t="n">
        <x:v>0</x:v>
      </x:c>
      <x:c r="H684" s="9" t="str">
        <x:v>25-07-2013</x:v>
      </x:c>
      <x:c r="I684" s="6" t="n">
        <x:v>32</x:v>
      </x:c>
      <x:c r="J684" s="6" t="n">
        <x:v>34</x:v>
      </x:c>
      <x:c r="K684" s="6" t="n">
        <x:v>11</x:v>
      </x:c>
      <x:c r="L684" s="6" t="n">
        <x:v>137</x:v>
      </x:c>
      <x:c r="M684" s="6" t="n">
        <x:v>179</x:v>
      </x:c>
      <x:c r="N684" s="6" t="n">
        <x:v>61</x:v>
      </x:c>
      <x:c r="O684" s="6" t="n">
        <x:v>45</x:v>
      </x:c>
      <x:c r="P684" s="6" t="n">
        <x:v>1</x:v>
      </x:c>
      <x:c r="Q684" s="6" t="n">
        <x:v>8</x:v>
      </x:c>
      <x:c r="R684" s="6" t="n">
        <x:v>1</x:v>
      </x:c>
      <x:c r="S684" s="6" t="n">
        <x:v>5</x:v>
      </x:c>
      <x:c r="T684" s="6" t="n">
        <x:v>8</x:v>
      </x:c>
      <x:c r="U684" s="6" t="n">
        <x:v>0</x:v>
      </x:c>
      <x:c r="V684" s="6" t="n">
        <x:v>0</x:v>
      </x:c>
      <x:c r="W684" s="6" t="n">
        <x:v>0</x:v>
      </x:c>
      <x:c r="X684" s="6" t="n">
        <x:v>0</x:v>
      </x:c>
      <x:c r="Y684" s="6" t="n">
        <x:v>0</x:v>
      </x:c>
      <x:c r="Z684" s="6" t="n">
        <x:v>0</x:v>
      </x:c>
      <x:c r="AA684" s="6" t="n">
        <x:v>3</x:v>
      </x:c>
      <x:c r="AB684" s="6" t="n">
        <x:v>11</x:v>
      </x:c>
      <x:c r="AC684" s="6" t="n">
        <x:v>0</x:v>
      </x:c>
    </x:row>
    <x:row r="685">
      <x:c r="A685" s="6" t="n">
        <x:v>10120</x:v>
      </x:c>
      <x:c r="B685" s="6" t="n">
        <x:v>1955</x:v>
      </x:c>
      <x:c r="C685" s="6" t="str">
        <x:v>Graduation</x:v>
      </x:c>
      <x:c r="D685" s="6" t="str">
        <x:v>Together</x:v>
      </x:c>
      <x:c r="E685" s="6" t="n">
        <x:v>38946</x:v>
      </x:c>
      <x:c r="F685" s="6" t="n">
        <x:v>0</x:v>
      </x:c>
      <x:c r="G685" s="6" t="n">
        <x:v>1</x:v>
      </x:c>
      <x:c r="H685" s="9" t="str">
        <x:v>24-10-2013</x:v>
      </x:c>
      <x:c r="I685" s="6" t="n">
        <x:v>84</x:v>
      </x:c>
      <x:c r="J685" s="6" t="n">
        <x:v>116</x:v>
      </x:c>
      <x:c r="K685" s="6" t="n">
        <x:v>6</x:v>
      </x:c>
      <x:c r="L685" s="6" t="n">
        <x:v>82</x:v>
      </x:c>
      <x:c r="M685" s="6" t="n">
        <x:v>6</x:v>
      </x:c>
      <x:c r="N685" s="6" t="n">
        <x:v>6</x:v>
      </x:c>
      <x:c r="O685" s="6" t="n">
        <x:v>41</x:v>
      </x:c>
      <x:c r="P685" s="6" t="n">
        <x:v>2</x:v>
      </x:c>
      <x:c r="Q685" s="6" t="n">
        <x:v>3</x:v>
      </x:c>
      <x:c r="R685" s="6" t="n">
        <x:v>1</x:v>
      </x:c>
      <x:c r="S685" s="6" t="n">
        <x:v>6</x:v>
      </x:c>
      <x:c r="T685" s="6" t="n">
        <x:v>5</x:v>
      </x:c>
      <x:c r="U685" s="6" t="n">
        <x:v>0</x:v>
      </x:c>
      <x:c r="V685" s="6" t="n">
        <x:v>0</x:v>
      </x:c>
      <x:c r="W685" s="6" t="n">
        <x:v>0</x:v>
      </x:c>
      <x:c r="X685" s="6" t="n">
        <x:v>0</x:v>
      </x:c>
      <x:c r="Y685" s="6" t="n">
        <x:v>0</x:v>
      </x:c>
      <x:c r="Z685" s="6" t="n">
        <x:v>0</x:v>
      </x:c>
      <x:c r="AA685" s="6" t="n">
        <x:v>3</x:v>
      </x:c>
      <x:c r="AB685" s="6" t="n">
        <x:v>11</x:v>
      </x:c>
      <x:c r="AC685" s="6" t="n">
        <x:v>0</x:v>
      </x:c>
    </x:row>
    <x:row r="686">
      <x:c r="A686" s="6" t="n">
        <x:v>6327</x:v>
      </x:c>
      <x:c r="B686" s="6" t="n">
        <x:v>1967</x:v>
      </x:c>
      <x:c r="C686" s="6" t="str">
        <x:v>Graduation</x:v>
      </x:c>
      <x:c r="D686" s="6" t="str">
        <x:v>Together</x:v>
      </x:c>
      <x:c r="E686" s="6" t="n">
        <x:v>65777</x:v>
      </x:c>
      <x:c r="F686" s="6" t="n">
        <x:v>0</x:v>
      </x:c>
      <x:c r="G686" s="6" t="n">
        <x:v>0</x:v>
      </x:c>
      <x:c r="H686" s="9" t="str">
        <x:v>19-12-2013</x:v>
      </x:c>
      <x:c r="I686" s="6" t="n">
        <x:v>87</x:v>
      </x:c>
      <x:c r="J686" s="6" t="n">
        <x:v>565</x:v>
      </x:c>
      <x:c r="K686" s="6" t="n">
        <x:v>32</x:v>
      </x:c>
      <x:c r="L686" s="6" t="n">
        <x:v>435</x:v>
      </x:c>
      <x:c r="M686" s="6" t="n">
        <x:v>28</x:v>
      </x:c>
      <x:c r="N686" s="6" t="n">
        <x:v>32</x:v>
      </x:c>
      <x:c r="O686" s="6" t="n">
        <x:v>54</x:v>
      </x:c>
      <x:c r="P686" s="6" t="n">
        <x:v>1</x:v>
      </x:c>
      <x:c r="Q686" s="6" t="n">
        <x:v>2</x:v>
      </x:c>
      <x:c r="R686" s="6" t="n">
        <x:v>8</x:v>
      </x:c>
      <x:c r="S686" s="6" t="n">
        <x:v>6</x:v>
      </x:c>
      <x:c r="T686" s="6" t="n">
        <x:v>1</x:v>
      </x:c>
      <x:c r="U686" s="6" t="n">
        <x:v>0</x:v>
      </x:c>
      <x:c r="V686" s="6" t="n">
        <x:v>0</x:v>
      </x:c>
      <x:c r="W686" s="6" t="n">
        <x:v>0</x:v>
      </x:c>
      <x:c r="X686" s="6" t="n">
        <x:v>0</x:v>
      </x:c>
      <x:c r="Y686" s="6" t="n">
        <x:v>0</x:v>
      </x:c>
      <x:c r="Z686" s="6" t="n">
        <x:v>0</x:v>
      </x:c>
      <x:c r="AA686" s="6" t="n">
        <x:v>3</x:v>
      </x:c>
      <x:c r="AB686" s="6" t="n">
        <x:v>11</x:v>
      </x:c>
      <x:c r="AC686" s="6" t="n">
        <x:v>0</x:v>
      </x:c>
    </x:row>
    <x:row r="687">
      <x:c r="A687" s="6" t="n">
        <x:v>10142</x:v>
      </x:c>
      <x:c r="B687" s="6" t="n">
        <x:v>1976</x:v>
      </x:c>
      <x:c r="C687" s="6" t="str">
        <x:v>PhD</x:v>
      </x:c>
      <x:c r="D687" s="6" t="str">
        <x:v>Divorced</x:v>
      </x:c>
      <x:c r="E687" s="6" t="n">
        <x:v>66476</x:v>
      </x:c>
      <x:c r="F687" s="6" t="n">
        <x:v>0</x:v>
      </x:c>
      <x:c r="G687" s="6" t="n">
        <x:v>1</x:v>
      </x:c>
      <x:c r="H687" s="9" t="str">
        <x:v>07-03-2013</x:v>
      </x:c>
      <x:c r="I687" s="6" t="n">
        <x:v>99</x:v>
      </x:c>
      <x:c r="J687" s="6" t="n">
        <x:v>372</x:v>
      </x:c>
      <x:c r="K687" s="6" t="n">
        <x:v>18</x:v>
      </x:c>
      <x:c r="L687" s="6" t="n">
        <x:v>126</x:v>
      </x:c>
      <x:c r="M687" s="6" t="n">
        <x:v>47</x:v>
      </x:c>
      <x:c r="N687" s="6" t="n">
        <x:v>48</x:v>
      </x:c>
      <x:c r="O687" s="6" t="n">
        <x:v>78</x:v>
      </x:c>
      <x:c r="P687" s="6" t="n">
        <x:v>2</x:v>
      </x:c>
      <x:c r="Q687" s="6" t="n">
        <x:v>5</x:v>
      </x:c>
      <x:c r="R687" s="6" t="n">
        <x:v>2</x:v>
      </x:c>
      <x:c r="S687" s="6" t="n">
        <x:v>11</x:v>
      </x:c>
      <x:c r="T687" s="6" t="n">
        <x:v>4</x:v>
      </x:c>
      <x:c r="U687" s="6" t="n">
        <x:v>0</x:v>
      </x:c>
      <x:c r="V687" s="6" t="n">
        <x:v>0</x:v>
      </x:c>
      <x:c r="W687" s="6" t="n">
        <x:v>0</x:v>
      </x:c>
      <x:c r="X687" s="6" t="n">
        <x:v>0</x:v>
      </x:c>
      <x:c r="Y687" s="6" t="n">
        <x:v>0</x:v>
      </x:c>
      <x:c r="Z687" s="6" t="n">
        <x:v>0</x:v>
      </x:c>
      <x:c r="AA687" s="6" t="n">
        <x:v>3</x:v>
      </x:c>
      <x:c r="AB687" s="6" t="n">
        <x:v>11</x:v>
      </x:c>
      <x:c r="AC687" s="6" t="n">
        <x:v>0</x:v>
      </x:c>
    </x:row>
    <x:row r="688">
      <x:c r="A688" s="6" t="n">
        <x:v>9826</x:v>
      </x:c>
      <x:c r="B688" s="6" t="n">
        <x:v>1972</x:v>
      </x:c>
      <x:c r="C688" s="6" t="str">
        <x:v>PhD</x:v>
      </x:c>
      <x:c r="D688" s="6" t="str">
        <x:v>Single</x:v>
      </x:c>
      <x:c r="E688" s="6" t="n">
        <x:v>86857</x:v>
      </x:c>
      <x:c r="F688" s="6" t="n">
        <x:v>0</x:v>
      </x:c>
      <x:c r="G688" s="6" t="n">
        <x:v>0</x:v>
      </x:c>
      <x:c r="H688" s="9" t="str">
        <x:v>12-09-2012</x:v>
      </x:c>
      <x:c r="I688" s="6" t="n">
        <x:v>96</x:v>
      </x:c>
      <x:c r="J688" s="6" t="n">
        <x:v>899</x:v>
      </x:c>
      <x:c r="K688" s="6" t="n">
        <x:v>102</x:v>
      </x:c>
      <x:c r="L688" s="6" t="n">
        <x:v>838</x:v>
      </x:c>
      <x:c r="M688" s="6" t="n">
        <x:v>133</x:v>
      </x:c>
      <x:c r="N688" s="6" t="n">
        <x:v>102</x:v>
      </x:c>
      <x:c r="O688" s="6" t="n">
        <x:v>40</x:v>
      </x:c>
      <x:c r="P688" s="6" t="n">
        <x:v>1</x:v>
      </x:c>
      <x:c r="Q688" s="6" t="n">
        <x:v>5</x:v>
      </x:c>
      <x:c r="R688" s="6" t="n">
        <x:v>6</x:v>
      </x:c>
      <x:c r="S688" s="6" t="n">
        <x:v>10</x:v>
      </x:c>
      <x:c r="T688" s="6" t="n">
        <x:v>2</x:v>
      </x:c>
      <x:c r="U688" s="6" t="n">
        <x:v>0</x:v>
      </x:c>
      <x:c r="V688" s="6" t="n">
        <x:v>0</x:v>
      </x:c>
      <x:c r="W688" s="6" t="n">
        <x:v>0</x:v>
      </x:c>
      <x:c r="X688" s="6" t="n">
        <x:v>0</x:v>
      </x:c>
      <x:c r="Y688" s="6" t="n">
        <x:v>0</x:v>
      </x:c>
      <x:c r="Z688" s="6" t="n">
        <x:v>0</x:v>
      </x:c>
      <x:c r="AA688" s="6" t="n">
        <x:v>3</x:v>
      </x:c>
      <x:c r="AB688" s="6" t="n">
        <x:v>11</x:v>
      </x:c>
      <x:c r="AC688" s="6" t="n">
        <x:v>1</x:v>
      </x:c>
    </x:row>
    <x:row r="689">
      <x:c r="A689" s="6" t="n">
        <x:v>1501</x:v>
      </x:c>
      <x:c r="B689" s="6" t="n">
        <x:v>1982</x:v>
      </x:c>
      <x:c r="C689" s="6" t="str">
        <x:v>PhD</x:v>
      </x:c>
      <x:c r="D689" s="6" t="str">
        <x:v>Married</x:v>
      </x:c>
      <x:c r="E689" s="6" t="n">
        <x:v>160803</x:v>
      </x:c>
      <x:c r="F689" s="6" t="n">
        <x:v>0</x:v>
      </x:c>
      <x:c r="G689" s="6" t="n">
        <x:v>0</x:v>
      </x:c>
      <x:c r="H689" s="9" t="str">
        <x:v>04-08-2012</x:v>
      </x:c>
      <x:c r="I689" s="6" t="n">
        <x:v>21</x:v>
      </x:c>
      <x:c r="J689" s="6" t="n">
        <x:v>55</x:v>
      </x:c>
      <x:c r="K689" s="6" t="n">
        <x:v>16</x:v>
      </x:c>
      <x:c r="L689" s="6" t="n">
        <x:v>1622</x:v>
      </x:c>
      <x:c r="M689" s="6" t="n">
        <x:v>17</x:v>
      </x:c>
      <x:c r="N689" s="6" t="n">
        <x:v>3</x:v>
      </x:c>
      <x:c r="O689" s="6" t="n">
        <x:v>4</x:v>
      </x:c>
      <x:c r="P689" s="6" t="n">
        <x:v>15</x:v>
      </x:c>
      <x:c r="Q689" s="6" t="n">
        <x:v>0</x:v>
      </x:c>
      <x:c r="R689" s="6" t="n">
        <x:v>28</x:v>
      </x:c>
      <x:c r="S689" s="6" t="n">
        <x:v>1</x:v>
      </x:c>
      <x:c r="T689" s="6" t="n">
        <x:v>0</x:v>
      </x:c>
      <x:c r="U689" s="6" t="n">
        <x:v>0</x:v>
      </x:c>
      <x:c r="V689" s="6" t="n">
        <x:v>0</x:v>
      </x:c>
      <x:c r="W689" s="6" t="n">
        <x:v>0</x:v>
      </x:c>
      <x:c r="X689" s="6" t="n">
        <x:v>0</x:v>
      </x:c>
      <x:c r="Y689" s="6" t="n">
        <x:v>0</x:v>
      </x:c>
      <x:c r="Z689" s="6" t="n">
        <x:v>0</x:v>
      </x:c>
      <x:c r="AA689" s="6" t="n">
        <x:v>3</x:v>
      </x:c>
      <x:c r="AB689" s="6" t="n">
        <x:v>11</x:v>
      </x:c>
      <x:c r="AC689" s="6" t="n">
        <x:v>0</x:v>
      </x:c>
    </x:row>
    <x:row r="690">
      <x:c r="A690" s="6" t="n">
        <x:v>10767</x:v>
      </x:c>
      <x:c r="B690" s="6" t="n">
        <x:v>1989</x:v>
      </x:c>
      <x:c r="C690" s="6" t="str">
        <x:v>PhD</x:v>
      </x:c>
      <x:c r="D690" s="6" t="str">
        <x:v>Together</x:v>
      </x:c>
      <x:c r="E690" s="6" t="n">
        <x:v>77845</x:v>
      </x:c>
      <x:c r="F690" s="6" t="n">
        <x:v>0</x:v>
      </x:c>
      <x:c r="G690" s="6" t="n">
        <x:v>0</x:v>
      </x:c>
      <x:c r="H690" s="9" t="str">
        <x:v>16-05-2014</x:v>
      </x:c>
      <x:c r="I690" s="6" t="n">
        <x:v>40</x:v>
      </x:c>
      <x:c r="J690" s="6" t="n">
        <x:v>760</x:v>
      </x:c>
      <x:c r="K690" s="6" t="n">
        <x:v>40</x:v>
      </x:c>
      <x:c r="L690" s="6" t="n">
        <x:v>480</x:v>
      </x:c>
      <x:c r="M690" s="6" t="n">
        <x:v>0</x:v>
      </x:c>
      <x:c r="N690" s="6" t="n">
        <x:v>40</x:v>
      </x:c>
      <x:c r="O690" s="6" t="n">
        <x:v>26</x:v>
      </x:c>
      <x:c r="P690" s="6" t="n">
        <x:v>1</x:v>
      </x:c>
      <x:c r="Q690" s="6" t="n">
        <x:v>3</x:v>
      </x:c>
      <x:c r="R690" s="6" t="n">
        <x:v>5</x:v>
      </x:c>
      <x:c r="S690" s="6" t="n">
        <x:v>12</x:v>
      </x:c>
      <x:c r="T690" s="6" t="n">
        <x:v>1</x:v>
      </x:c>
      <x:c r="U690" s="6" t="n">
        <x:v>0</x:v>
      </x:c>
      <x:c r="V690" s="6" t="n">
        <x:v>0</x:v>
      </x:c>
      <x:c r="W690" s="6" t="n">
        <x:v>1</x:v>
      </x:c>
      <x:c r="X690" s="6" t="n">
        <x:v>1</x:v>
      </x:c>
      <x:c r="Y690" s="6" t="n">
        <x:v>0</x:v>
      </x:c>
      <x:c r="Z690" s="6" t="n">
        <x:v>0</x:v>
      </x:c>
      <x:c r="AA690" s="6" t="n">
        <x:v>3</x:v>
      </x:c>
      <x:c r="AB690" s="6" t="n">
        <x:v>11</x:v>
      </x:c>
      <x:c r="AC690" s="6" t="n">
        <x:v>0</x:v>
      </x:c>
    </x:row>
    <x:row r="691">
      <x:c r="A691" s="6" t="n">
        <x:v>7279</x:v>
      </x:c>
      <x:c r="B691" s="6" t="n">
        <x:v>1969</x:v>
      </x:c>
      <x:c r="C691" s="6" t="str">
        <x:v>PhD</x:v>
      </x:c>
      <x:c r="D691" s="6" t="str">
        <x:v>Together</x:v>
      </x:c>
      <x:c r="E691" s="6" t="n">
        <x:v>69476</x:v>
      </x:c>
      <x:c r="F691" s="6" t="n">
        <x:v>0</x:v>
      </x:c>
      <x:c r="G691" s="6" t="n">
        <x:v>0</x:v>
      </x:c>
      <x:c r="H691" s="9" t="str">
        <x:v>30-09-2013</x:v>
      </x:c>
      <x:c r="I691" s="6" t="n">
        <x:v>3</x:v>
      </x:c>
      <x:c r="J691" s="6" t="n">
        <x:v>260</x:v>
      </x:c>
      <x:c r="K691" s="6" t="n">
        <x:v>86</x:v>
      </x:c>
      <x:c r="L691" s="6" t="n">
        <x:v>559</x:v>
      </x:c>
      <x:c r="M691" s="6" t="n">
        <x:v>63</x:v>
      </x:c>
      <x:c r="N691" s="6" t="n">
        <x:v>9</x:v>
      </x:c>
      <x:c r="O691" s="6" t="n">
        <x:v>67</x:v>
      </x:c>
      <x:c r="P691" s="6" t="n">
        <x:v>1</x:v>
      </x:c>
      <x:c r="Q691" s="6" t="n">
        <x:v>4</x:v>
      </x:c>
      <x:c r="R691" s="6" t="n">
        <x:v>6</x:v>
      </x:c>
      <x:c r="S691" s="6" t="n">
        <x:v>4</x:v>
      </x:c>
      <x:c r="T691" s="6" t="n">
        <x:v>2</x:v>
      </x:c>
      <x:c r="U691" s="6" t="n">
        <x:v>0</x:v>
      </x:c>
      <x:c r="V691" s="6" t="n">
        <x:v>0</x:v>
      </x:c>
      <x:c r="W691" s="6" t="n">
        <x:v>0</x:v>
      </x:c>
      <x:c r="X691" s="6" t="n">
        <x:v>0</x:v>
      </x:c>
      <x:c r="Y691" s="6" t="n">
        <x:v>0</x:v>
      </x:c>
      <x:c r="Z691" s="6" t="n">
        <x:v>0</x:v>
      </x:c>
      <x:c r="AA691" s="6" t="n">
        <x:v>3</x:v>
      </x:c>
      <x:c r="AB691" s="6" t="n">
        <x:v>11</x:v>
      </x:c>
      <x:c r="AC691" s="6" t="n">
        <x:v>0</x:v>
      </x:c>
    </x:row>
    <x:row r="692">
      <x:c r="A692" s="6" t="n">
        <x:v>7230</x:v>
      </x:c>
      <x:c r="B692" s="6" t="n">
        <x:v>1960</x:v>
      </x:c>
      <x:c r="C692" s="6" t="str">
        <x:v>PhD</x:v>
      </x:c>
      <x:c r="D692" s="6" t="str">
        <x:v>Divorced</x:v>
      </x:c>
      <x:c r="E692" s="6" t="n">
        <x:v>50611</x:v>
      </x:c>
      <x:c r="F692" s="6" t="n">
        <x:v>0</x:v>
      </x:c>
      <x:c r="G692" s="6" t="n">
        <x:v>1</x:v>
      </x:c>
      <x:c r="H692" s="9" t="str">
        <x:v>04-10-2012</x:v>
      </x:c>
      <x:c r="I692" s="6" t="n">
        <x:v>98</x:v>
      </x:c>
      <x:c r="J692" s="6" t="n">
        <x:v>459</x:v>
      </x:c>
      <x:c r="K692" s="6" t="n">
        <x:v>0</x:v>
      </x:c>
      <x:c r="L692" s="6" t="n">
        <x:v>24</x:v>
      </x:c>
      <x:c r="M692" s="6" t="n">
        <x:v>6</x:v>
      </x:c>
      <x:c r="N692" s="6" t="n">
        <x:v>0</x:v>
      </x:c>
      <x:c r="O692" s="6" t="n">
        <x:v>4</x:v>
      </x:c>
      <x:c r="P692" s="6" t="n">
        <x:v>6</x:v>
      </x:c>
      <x:c r="Q692" s="6" t="n">
        <x:v>4</x:v>
      </x:c>
      <x:c r="R692" s="6" t="n">
        <x:v>5</x:v>
      </x:c>
      <x:c r="S692" s="6" t="n">
        <x:v>7</x:v>
      </x:c>
      <x:c r="T692" s="6" t="n">
        <x:v>6</x:v>
      </x:c>
      <x:c r="U692" s="6" t="n">
        <x:v>0</x:v>
      </x:c>
      <x:c r="V692" s="6" t="n">
        <x:v>1</x:v>
      </x:c>
      <x:c r="W692" s="6" t="n">
        <x:v>0</x:v>
      </x:c>
      <x:c r="X692" s="6" t="n">
        <x:v>0</x:v>
      </x:c>
      <x:c r="Y692" s="6" t="n">
        <x:v>0</x:v>
      </x:c>
      <x:c r="Z692" s="6" t="n">
        <x:v>0</x:v>
      </x:c>
      <x:c r="AA692" s="6" t="n">
        <x:v>3</x:v>
      </x:c>
      <x:c r="AB692" s="6" t="n">
        <x:v>11</x:v>
      </x:c>
      <x:c r="AC692" s="6" t="n">
        <x:v>1</x:v>
      </x:c>
    </x:row>
    <x:row r="693">
      <x:c r="A693" s="6" t="n">
        <x:v>143</x:v>
      </x:c>
      <x:c r="B693" s="6" t="n">
        <x:v>1970</x:v>
      </x:c>
      <x:c r="C693" s="6" t="str">
        <x:v>Graduation</x:v>
      </x:c>
      <x:c r="D693" s="6" t="str">
        <x:v>Single</x:v>
      </x:c>
      <x:c r="E693" s="6" t="n">
        <x:v>61209</x:v>
      </x:c>
      <x:c r="F693" s="6" t="n">
        <x:v>0</x:v>
      </x:c>
      <x:c r="G693" s="6" t="n">
        <x:v>0</x:v>
      </x:c>
      <x:c r="H693" s="9" t="str">
        <x:v>25-08-2013</x:v>
      </x:c>
      <x:c r="I693" s="6" t="n">
        <x:v>73</x:v>
      </x:c>
      <x:c r="J693" s="6" t="n">
        <x:v>466</x:v>
      </x:c>
      <x:c r="K693" s="6" t="n">
        <x:v>0</x:v>
      </x:c>
      <x:c r="L693" s="6" t="n">
        <x:v>224</x:v>
      </x:c>
      <x:c r="M693" s="6" t="n">
        <x:v>119</x:v>
      </x:c>
      <x:c r="N693" s="6" t="n">
        <x:v>49</x:v>
      </x:c>
      <x:c r="O693" s="6" t="n">
        <x:v>99</x:v>
      </x:c>
      <x:c r="P693" s="6" t="n">
        <x:v>1</x:v>
      </x:c>
      <x:c r="Q693" s="6" t="n">
        <x:v>5</x:v>
      </x:c>
      <x:c r="R693" s="6" t="n">
        <x:v>3</x:v>
      </x:c>
      <x:c r="S693" s="6" t="n">
        <x:v>4</x:v>
      </x:c>
      <x:c r="T693" s="6" t="n">
        <x:v>2</x:v>
      </x:c>
      <x:c r="U693" s="6" t="n">
        <x:v>0</x:v>
      </x:c>
      <x:c r="V693" s="6" t="n">
        <x:v>0</x:v>
      </x:c>
      <x:c r="W693" s="6" t="n">
        <x:v>0</x:v>
      </x:c>
      <x:c r="X693" s="6" t="n">
        <x:v>0</x:v>
      </x:c>
      <x:c r="Y693" s="6" t="n">
        <x:v>0</x:v>
      </x:c>
      <x:c r="Z693" s="6" t="n">
        <x:v>0</x:v>
      </x:c>
      <x:c r="AA693" s="6" t="n">
        <x:v>3</x:v>
      </x:c>
      <x:c r="AB693" s="6" t="n">
        <x:v>11</x:v>
      </x:c>
      <x:c r="AC693" s="6" t="n">
        <x:v>0</x:v>
      </x:c>
    </x:row>
    <x:row r="694">
      <x:c r="A694" s="6" t="n">
        <x:v>450</x:v>
      </x:c>
      <x:c r="B694" s="6" t="n">
        <x:v>1958</x:v>
      </x:c>
      <x:c r="C694" s="6" t="str">
        <x:v>Master</x:v>
      </x:c>
      <x:c r="D694" s="6" t="str">
        <x:v>Together</x:v>
      </x:c>
      <x:c r="E694" s="6" t="n">
        <x:v>42315</x:v>
      </x:c>
      <x:c r="F694" s="6" t="n">
        <x:v>0</x:v>
      </x:c>
      <x:c r="G694" s="6" t="n">
        <x:v>1</x:v>
      </x:c>
      <x:c r="H694" s="9" t="str">
        <x:v>12-07-2013</x:v>
      </x:c>
      <x:c r="I694" s="6" t="n">
        <x:v>90</x:v>
      </x:c>
      <x:c r="J694" s="6" t="n">
        <x:v>67</x:v>
      </x:c>
      <x:c r="K694" s="6" t="n">
        <x:v>15</x:v>
      </x:c>
      <x:c r="L694" s="6" t="n">
        <x:v>80</x:v>
      </x:c>
      <x:c r="M694" s="6" t="n">
        <x:v>17</x:v>
      </x:c>
      <x:c r="N694" s="6" t="n">
        <x:v>11</x:v>
      </x:c>
      <x:c r="O694" s="6" t="n">
        <x:v>80</x:v>
      </x:c>
      <x:c r="P694" s="6" t="n">
        <x:v>3</x:v>
      </x:c>
      <x:c r="Q694" s="6" t="n">
        <x:v>1</x:v>
      </x:c>
      <x:c r="R694" s="6" t="n">
        <x:v>4</x:v>
      </x:c>
      <x:c r="S694" s="6" t="n">
        <x:v>4</x:v>
      </x:c>
      <x:c r="T694" s="6" t="n">
        <x:v>3</x:v>
      </x:c>
      <x:c r="U694" s="6" t="n">
        <x:v>0</x:v>
      </x:c>
      <x:c r="V694" s="6" t="n">
        <x:v>0</x:v>
      </x:c>
      <x:c r="W694" s="6" t="n">
        <x:v>0</x:v>
      </x:c>
      <x:c r="X694" s="6" t="n">
        <x:v>0</x:v>
      </x:c>
      <x:c r="Y694" s="6" t="n">
        <x:v>0</x:v>
      </x:c>
      <x:c r="Z694" s="6" t="n">
        <x:v>0</x:v>
      </x:c>
      <x:c r="AA694" s="6" t="n">
        <x:v>3</x:v>
      </x:c>
      <x:c r="AB694" s="6" t="n">
        <x:v>11</x:v>
      </x:c>
      <x:c r="AC694" s="6" t="n">
        <x:v>0</x:v>
      </x:c>
    </x:row>
    <x:row r="695">
      <x:c r="A695" s="6" t="n">
        <x:v>9316</x:v>
      </x:c>
      <x:c r="B695" s="6" t="n">
        <x:v>1952</x:v>
      </x:c>
      <x:c r="C695" s="6" t="str">
        <x:v>Basic</x:v>
      </x:c>
      <x:c r="D695" s="6" t="str">
        <x:v>Together</x:v>
      </x:c>
      <x:c r="E695" s="6" t="n">
        <x:v>13084</x:v>
      </x:c>
      <x:c r="F695" s="6" t="n">
        <x:v>0</x:v>
      </x:c>
      <x:c r="G695" s="6" t="n">
        <x:v>0</x:v>
      </x:c>
      <x:c r="H695" s="9" t="str">
        <x:v>02-11-2013</x:v>
      </x:c>
      <x:c r="I695" s="6" t="n">
        <x:v>29</x:v>
      </x:c>
      <x:c r="J695" s="6" t="n">
        <x:v>2</x:v>
      </x:c>
      <x:c r="K695" s="6" t="n">
        <x:v>0</x:v>
      </x:c>
      <x:c r="L695" s="6" t="n">
        <x:v>7</x:v>
      </x:c>
      <x:c r="M695" s="6" t="n">
        <x:v>3</x:v>
      </x:c>
      <x:c r="N695" s="6" t="n">
        <x:v>7</x:v>
      </x:c>
      <x:c r="O695" s="6" t="n">
        <x:v>10</x:v>
      </x:c>
      <x:c r="P695" s="6" t="n">
        <x:v>1</x:v>
      </x:c>
      <x:c r="Q695" s="6" t="n">
        <x:v>1</x:v>
      </x:c>
      <x:c r="R695" s="6" t="n">
        <x:v>0</x:v>
      </x:c>
      <x:c r="S695" s="6" t="n">
        <x:v>3</x:v>
      </x:c>
      <x:c r="T695" s="6" t="n">
        <x:v>6</x:v>
      </x:c>
      <x:c r="U695" s="6" t="n">
        <x:v>0</x:v>
      </x:c>
      <x:c r="V695" s="6" t="n">
        <x:v>0</x:v>
      </x:c>
      <x:c r="W695" s="6" t="n">
        <x:v>0</x:v>
      </x:c>
      <x:c r="X695" s="6" t="n">
        <x:v>0</x:v>
      </x:c>
      <x:c r="Y695" s="6" t="n">
        <x:v>0</x:v>
      </x:c>
      <x:c r="Z695" s="6" t="n">
        <x:v>0</x:v>
      </x:c>
      <x:c r="AA695" s="6" t="n">
        <x:v>3</x:v>
      </x:c>
      <x:c r="AB695" s="6" t="n">
        <x:v>11</x:v>
      </x:c>
      <x:c r="AC695" s="6" t="n">
        <x:v>0</x:v>
      </x:c>
    </x:row>
    <x:row r="696">
      <x:c r="A696" s="6" t="n">
        <x:v>6379</x:v>
      </x:c>
      <x:c r="B696" s="6" t="n">
        <x:v>1949</x:v>
      </x:c>
      <x:c r="C696" s="6" t="str">
        <x:v>Master</x:v>
      </x:c>
      <x:c r="D696" s="6" t="str">
        <x:v>Widow</x:v>
      </x:c>
      <x:c r="E696" s="6" t="n">
        <x:v>47570</x:v>
      </x:c>
      <x:c r="F696" s="6" t="n">
        <x:v>1</x:v>
      </x:c>
      <x:c r="G696" s="6" t="n">
        <x:v>1</x:v>
      </x:c>
      <x:c r="H696" s="9" t="str">
        <x:v>29-05-2013</x:v>
      </x:c>
      <x:c r="I696" s="6" t="n">
        <x:v>3</x:v>
      </x:c>
      <x:c r="J696" s="6" t="n">
        <x:v>67</x:v>
      </x:c>
      <x:c r="K696" s="6" t="n">
        <x:v>1</x:v>
      </x:c>
      <x:c r="L696" s="6" t="n">
        <x:v>20</x:v>
      </x:c>
      <x:c r="M696" s="6" t="n">
        <x:v>0</x:v>
      </x:c>
      <x:c r="N696" s="6" t="n">
        <x:v>2</x:v>
      </x:c>
      <x:c r="O696" s="6" t="n">
        <x:v>31</x:v>
      </x:c>
      <x:c r="P696" s="6" t="n">
        <x:v>3</x:v>
      </x:c>
      <x:c r="Q696" s="6" t="n">
        <x:v>2</x:v>
      </x:c>
      <x:c r="R696" s="6" t="n">
        <x:v>2</x:v>
      </x:c>
      <x:c r="S696" s="6" t="n">
        <x:v>2</x:v>
      </x:c>
      <x:c r="T696" s="6" t="n">
        <x:v>7</x:v>
      </x:c>
      <x:c r="U696" s="6" t="n">
        <x:v>0</x:v>
      </x:c>
      <x:c r="V696" s="6" t="n">
        <x:v>0</x:v>
      </x:c>
      <x:c r="W696" s="6" t="n">
        <x:v>0</x:v>
      </x:c>
      <x:c r="X696" s="6" t="n">
        <x:v>0</x:v>
      </x:c>
      <x:c r="Y696" s="6" t="n">
        <x:v>0</x:v>
      </x:c>
      <x:c r="Z696" s="6" t="n">
        <x:v>0</x:v>
      </x:c>
      <x:c r="AA696" s="6" t="n">
        <x:v>3</x:v>
      </x:c>
      <x:c r="AB696" s="6" t="n">
        <x:v>11</x:v>
      </x:c>
      <x:c r="AC696" s="6" t="n">
        <x:v>1</x:v>
      </x:c>
    </x:row>
    <x:row r="697">
      <x:c r="A697" s="6" t="n">
        <x:v>9239</x:v>
      </x:c>
      <x:c r="B697" s="6" t="n">
        <x:v>1961</x:v>
      </x:c>
      <x:c r="C697" s="6" t="str">
        <x:v>Master</x:v>
      </x:c>
      <x:c r="D697" s="6" t="str">
        <x:v>Married</x:v>
      </x:c>
      <x:c r="E697" s="6" t="n">
        <x:v>61923</x:v>
      </x:c>
      <x:c r="F697" s="6" t="n">
        <x:v>0</x:v>
      </x:c>
      <x:c r="G697" s="6" t="n">
        <x:v>2</x:v>
      </x:c>
      <x:c r="H697" s="9" t="str">
        <x:v>26-07-2013</x:v>
      </x:c>
      <x:c r="I697" s="6" t="n">
        <x:v>94</x:v>
      </x:c>
      <x:c r="J697" s="6" t="n">
        <x:v>92</x:v>
      </x:c>
      <x:c r="K697" s="6" t="n">
        <x:v>4</x:v>
      </x:c>
      <x:c r="L697" s="6" t="n">
        <x:v>18</x:v>
      </x:c>
      <x:c r="M697" s="6" t="n">
        <x:v>3</x:v>
      </x:c>
      <x:c r="N697" s="6" t="n">
        <x:v>3</x:v>
      </x:c>
      <x:c r="O697" s="6" t="n">
        <x:v>6</x:v>
      </x:c>
      <x:c r="P697" s="6" t="n">
        <x:v>1</x:v>
      </x:c>
      <x:c r="Q697" s="6" t="n">
        <x:v>2</x:v>
      </x:c>
      <x:c r="R697" s="6" t="n">
        <x:v>1</x:v>
      </x:c>
      <x:c r="S697" s="6" t="n">
        <x:v>4</x:v>
      </x:c>
      <x:c r="T697" s="6" t="n">
        <x:v>3</x:v>
      </x:c>
      <x:c r="U697" s="6" t="n">
        <x:v>0</x:v>
      </x:c>
      <x:c r="V697" s="6" t="n">
        <x:v>0</x:v>
      </x:c>
      <x:c r="W697" s="6" t="n">
        <x:v>0</x:v>
      </x:c>
      <x:c r="X697" s="6" t="n">
        <x:v>0</x:v>
      </x:c>
      <x:c r="Y697" s="6" t="n">
        <x:v>0</x:v>
      </x:c>
      <x:c r="Z697" s="6" t="n">
        <x:v>0</x:v>
      </x:c>
      <x:c r="AA697" s="6" t="n">
        <x:v>3</x:v>
      </x:c>
      <x:c r="AB697" s="6" t="n">
        <x:v>11</x:v>
      </x:c>
      <x:c r="AC697" s="6" t="n">
        <x:v>0</x:v>
      </x:c>
    </x:row>
    <x:row r="698">
      <x:c r="A698" s="6" t="n">
        <x:v>8315</x:v>
      </x:c>
      <x:c r="B698" s="6" t="n">
        <x:v>1995</x:v>
      </x:c>
      <x:c r="C698" s="6" t="str">
        <x:v>Graduation</x:v>
      </x:c>
      <x:c r="D698" s="6" t="str">
        <x:v>Single</x:v>
      </x:c>
      <x:c r="E698" s="6" t="n">
        <x:v>34824</x:v>
      </x:c>
      <x:c r="F698" s="6" t="n">
        <x:v>0</x:v>
      </x:c>
      <x:c r="G698" s="6" t="n">
        <x:v>0</x:v>
      </x:c>
      <x:c r="H698" s="9" t="str">
        <x:v>26-03-2014</x:v>
      </x:c>
      <x:c r="I698" s="6" t="n">
        <x:v>65</x:v>
      </x:c>
      <x:c r="J698" s="6" t="n">
        <x:v>4</x:v>
      </x:c>
      <x:c r="K698" s="6" t="n">
        <x:v>2</x:v>
      </x:c>
      <x:c r="L698" s="6" t="n">
        <x:v>11</x:v>
      </x:c>
      <x:c r="M698" s="6" t="n">
        <x:v>2</x:v>
      </x:c>
      <x:c r="N698" s="6" t="n">
        <x:v>0</x:v>
      </x:c>
      <x:c r="O698" s="6" t="n">
        <x:v>4</x:v>
      </x:c>
      <x:c r="P698" s="6" t="n">
        <x:v>1</x:v>
      </x:c>
      <x:c r="Q698" s="6" t="n">
        <x:v>1</x:v>
      </x:c>
      <x:c r="R698" s="6" t="n">
        <x:v>0</x:v>
      </x:c>
      <x:c r="S698" s="6" t="n">
        <x:v>2</x:v>
      </x:c>
      <x:c r="T698" s="6" t="n">
        <x:v>6</x:v>
      </x:c>
      <x:c r="U698" s="6" t="n">
        <x:v>0</x:v>
      </x:c>
      <x:c r="V698" s="6" t="n">
        <x:v>0</x:v>
      </x:c>
      <x:c r="W698" s="6" t="n">
        <x:v>0</x:v>
      </x:c>
      <x:c r="X698" s="6" t="n">
        <x:v>0</x:v>
      </x:c>
      <x:c r="Y698" s="6" t="n">
        <x:v>0</x:v>
      </x:c>
      <x:c r="Z698" s="6" t="n">
        <x:v>0</x:v>
      </x:c>
      <x:c r="AA698" s="6" t="n">
        <x:v>3</x:v>
      </x:c>
      <x:c r="AB698" s="6" t="n">
        <x:v>11</x:v>
      </x:c>
      <x:c r="AC698" s="6" t="n">
        <x:v>0</x:v>
      </x:c>
    </x:row>
    <x:row r="699">
      <x:c r="A699" s="6" t="n">
        <x:v>2868</x:v>
      </x:c>
      <x:c r="B699" s="6" t="n">
        <x:v>1949</x:v>
      </x:c>
      <x:c r="C699" s="6" t="str">
        <x:v>PhD</x:v>
      </x:c>
      <x:c r="D699" s="6" t="str">
        <x:v>Single</x:v>
      </x:c>
      <x:c r="E699" s="6" t="n">
        <x:v>26518</x:v>
      </x:c>
      <x:c r="F699" s="6" t="n">
        <x:v>1</x:v>
      </x:c>
      <x:c r="G699" s="6" t="n">
        <x:v>1</x:v>
      </x:c>
      <x:c r="H699" s="9" t="str">
        <x:v>08-04-2013</x:v>
      </x:c>
      <x:c r="I699" s="6" t="n">
        <x:v>33</x:v>
      </x:c>
      <x:c r="J699" s="6" t="n">
        <x:v>20</x:v>
      </x:c>
      <x:c r="K699" s="6" t="n">
        <x:v>1</x:v>
      </x:c>
      <x:c r="L699" s="6" t="n">
        <x:v>28</x:v>
      </x:c>
      <x:c r="M699" s="6" t="n">
        <x:v>3</x:v>
      </x:c>
      <x:c r="N699" s="6" t="n">
        <x:v>3</x:v>
      </x:c>
      <x:c r="O699" s="6" t="n">
        <x:v>2</x:v>
      </x:c>
      <x:c r="P699" s="6" t="n">
        <x:v>3</x:v>
      </x:c>
      <x:c r="Q699" s="6" t="n">
        <x:v>2</x:v>
      </x:c>
      <x:c r="R699" s="6" t="n">
        <x:v>0</x:v>
      </x:c>
      <x:c r="S699" s="6" t="n">
        <x:v>3</x:v>
      </x:c>
      <x:c r="T699" s="6" t="n">
        <x:v>8</x:v>
      </x:c>
      <x:c r="U699" s="6" t="n">
        <x:v>0</x:v>
      </x:c>
      <x:c r="V699" s="6" t="n">
        <x:v>0</x:v>
      </x:c>
      <x:c r="W699" s="6" t="n">
        <x:v>0</x:v>
      </x:c>
      <x:c r="X699" s="6" t="n">
        <x:v>0</x:v>
      </x:c>
      <x:c r="Y699" s="6" t="n">
        <x:v>0</x:v>
      </x:c>
      <x:c r="Z699" s="6" t="n">
        <x:v>0</x:v>
      </x:c>
      <x:c r="AA699" s="6" t="n">
        <x:v>3</x:v>
      </x:c>
      <x:c r="AB699" s="6" t="n">
        <x:v>11</x:v>
      </x:c>
      <x:c r="AC699" s="6" t="n">
        <x:v>1</x:v>
      </x:c>
    </x:row>
    <x:row r="700">
      <x:c r="A700" s="6" t="n">
        <x:v>10888</x:v>
      </x:c>
      <x:c r="B700" s="6" t="n">
        <x:v>1961</x:v>
      </x:c>
      <x:c r="C700" s="6" t="str">
        <x:v>Graduation</x:v>
      </x:c>
      <x:c r="D700" s="6" t="str">
        <x:v>Single</x:v>
      </x:c>
      <x:c r="E700" s="6" t="n">
        <x:v>45938</x:v>
      </x:c>
      <x:c r="F700" s="6" t="n">
        <x:v>0</x:v>
      </x:c>
      <x:c r="G700" s="6" t="n">
        <x:v>0</x:v>
      </x:c>
      <x:c r="H700" s="9" t="str">
        <x:v>03-11-2013</x:v>
      </x:c>
      <x:c r="I700" s="6" t="n">
        <x:v>46</x:v>
      </x:c>
      <x:c r="J700" s="6" t="n">
        <x:v>273</x:v>
      </x:c>
      <x:c r="K700" s="6" t="n">
        <x:v>11</x:v>
      </x:c>
      <x:c r="L700" s="6" t="n">
        <x:v>178</x:v>
      </x:c>
      <x:c r="M700" s="6" t="n">
        <x:v>62</x:v>
      </x:c>
      <x:c r="N700" s="6" t="n">
        <x:v>83</x:v>
      </x:c>
      <x:c r="O700" s="6" t="n">
        <x:v>29</x:v>
      </x:c>
      <x:c r="P700" s="6" t="n">
        <x:v>2</x:v>
      </x:c>
      <x:c r="Q700" s="6" t="n">
        <x:v>8</x:v>
      </x:c>
      <x:c r="R700" s="6" t="n">
        <x:v>4</x:v>
      </x:c>
      <x:c r="S700" s="6" t="n">
        <x:v>6</x:v>
      </x:c>
      <x:c r="T700" s="6" t="n">
        <x:v>6</x:v>
      </x:c>
      <x:c r="U700" s="6" t="n">
        <x:v>0</x:v>
      </x:c>
      <x:c r="V700" s="6" t="n">
        <x:v>0</x:v>
      </x:c>
      <x:c r="W700" s="6" t="n">
        <x:v>0</x:v>
      </x:c>
      <x:c r="X700" s="6" t="n">
        <x:v>0</x:v>
      </x:c>
      <x:c r="Y700" s="6" t="n">
        <x:v>0</x:v>
      </x:c>
      <x:c r="Z700" s="6" t="n">
        <x:v>0</x:v>
      </x:c>
      <x:c r="AA700" s="6" t="n">
        <x:v>3</x:v>
      </x:c>
      <x:c r="AB700" s="6" t="n">
        <x:v>11</x:v>
      </x:c>
      <x:c r="AC700" s="6" t="n">
        <x:v>0</x:v>
      </x:c>
    </x:row>
    <x:row r="701">
      <x:c r="A701" s="6" t="n">
        <x:v>1277</x:v>
      </x:c>
      <x:c r="B701" s="6" t="n">
        <x:v>1960</x:v>
      </x:c>
      <x:c r="C701" s="6" t="str">
        <x:v>Graduation</x:v>
      </x:c>
      <x:c r="D701" s="6" t="str">
        <x:v>Together</x:v>
      </x:c>
      <x:c r="E701" s="6" t="n">
        <x:v>78468</x:v>
      </x:c>
      <x:c r="F701" s="6" t="n">
        <x:v>0</x:v>
      </x:c>
      <x:c r="G701" s="6" t="n">
        <x:v>0</x:v>
      </x:c>
      <x:c r="H701" s="9" t="str">
        <x:v>09-04-2014</x:v>
      </x:c>
      <x:c r="I701" s="6" t="n">
        <x:v>29</x:v>
      </x:c>
      <x:c r="J701" s="6" t="n">
        <x:v>434</x:v>
      </x:c>
      <x:c r="K701" s="6" t="n">
        <x:v>22</x:v>
      </x:c>
      <x:c r="L701" s="6" t="n">
        <x:v>388</x:v>
      </x:c>
      <x:c r="M701" s="6" t="n">
        <x:v>104</x:v>
      </x:c>
      <x:c r="N701" s="6" t="n">
        <x:v>22</x:v>
      </x:c>
      <x:c r="O701" s="6" t="n">
        <x:v>34</x:v>
      </x:c>
      <x:c r="P701" s="6" t="n">
        <x:v>1</x:v>
      </x:c>
      <x:c r="Q701" s="6" t="n">
        <x:v>10</x:v>
      </x:c>
      <x:c r="R701" s="6" t="n">
        <x:v>7</x:v>
      </x:c>
      <x:c r="S701" s="6" t="n">
        <x:v>10</x:v>
      </x:c>
      <x:c r="T701" s="6" t="n">
        <x:v>4</x:v>
      </x:c>
      <x:c r="U701" s="6" t="n">
        <x:v>0</x:v>
      </x:c>
      <x:c r="V701" s="6" t="n">
        <x:v>0</x:v>
      </x:c>
      <x:c r="W701" s="6" t="n">
        <x:v>0</x:v>
      </x:c>
      <x:c r="X701" s="6" t="n">
        <x:v>1</x:v>
      </x:c>
      <x:c r="Y701" s="6" t="n">
        <x:v>0</x:v>
      </x:c>
      <x:c r="Z701" s="6" t="n">
        <x:v>0</x:v>
      </x:c>
      <x:c r="AA701" s="6" t="n">
        <x:v>3</x:v>
      </x:c>
      <x:c r="AB701" s="6" t="n">
        <x:v>11</x:v>
      </x:c>
      <x:c r="AC701" s="6" t="n">
        <x:v>0</x:v>
      </x:c>
    </x:row>
    <x:row r="702">
      <x:c r="A702" s="6" t="n">
        <x:v>9977</x:v>
      </x:c>
      <x:c r="B702" s="6" t="n">
        <x:v>1973</x:v>
      </x:c>
      <x:c r="C702" s="6" t="str">
        <x:v>Graduation</x:v>
      </x:c>
      <x:c r="D702" s="6" t="str">
        <x:v>Divorced</x:v>
      </x:c>
      <x:c r="E702" s="6" t="n">
        <x:v>78901</x:v>
      </x:c>
      <x:c r="F702" s="6" t="n">
        <x:v>0</x:v>
      </x:c>
      <x:c r="G702" s="6" t="n">
        <x:v>1</x:v>
      </x:c>
      <x:c r="H702" s="9" t="str">
        <x:v>17-09-2013</x:v>
      </x:c>
      <x:c r="I702" s="6" t="n">
        <x:v>99</x:v>
      </x:c>
      <x:c r="J702" s="6" t="n">
        <x:v>321</x:v>
      </x:c>
      <x:c r="K702" s="6" t="n">
        <x:v>11</x:v>
      </x:c>
      <x:c r="L702" s="6" t="n">
        <x:v>309</x:v>
      </x:c>
      <x:c r="M702" s="6" t="n">
        <x:v>33</x:v>
      </x:c>
      <x:c r="N702" s="6" t="n">
        <x:v>26</x:v>
      </x:c>
      <x:c r="O702" s="6" t="n">
        <x:v>34</x:v>
      </x:c>
      <x:c r="P702" s="6" t="n">
        <x:v>3</x:v>
      </x:c>
      <x:c r="Q702" s="6" t="n">
        <x:v>9</x:v>
      </x:c>
      <x:c r="R702" s="6" t="n">
        <x:v>3</x:v>
      </x:c>
      <x:c r="S702" s="6" t="n">
        <x:v>5</x:v>
      </x:c>
      <x:c r="T702" s="6" t="n">
        <x:v>4</x:v>
      </x:c>
      <x:c r="U702" s="6" t="n">
        <x:v>0</x:v>
      </x:c>
      <x:c r="V702" s="6" t="n">
        <x:v>0</x:v>
      </x:c>
      <x:c r="W702" s="6" t="n">
        <x:v>0</x:v>
      </x:c>
      <x:c r="X702" s="6" t="n">
        <x:v>0</x:v>
      </x:c>
      <x:c r="Y702" s="6" t="n">
        <x:v>0</x:v>
      </x:c>
      <x:c r="Z702" s="6" t="n">
        <x:v>0</x:v>
      </x:c>
      <x:c r="AA702" s="6" t="n">
        <x:v>3</x:v>
      </x:c>
      <x:c r="AB702" s="6" t="n">
        <x:v>11</x:v>
      </x:c>
      <x:c r="AC702" s="6" t="n">
        <x:v>0</x:v>
      </x:c>
    </x:row>
    <x:row r="703">
      <x:c r="A703" s="6" t="n">
        <x:v>10196</x:v>
      </x:c>
      <x:c r="B703" s="6" t="n">
        <x:v>1978</x:v>
      </x:c>
      <x:c r="C703" s="6" t="str">
        <x:v>Graduation</x:v>
      </x:c>
      <x:c r="D703" s="6" t="str">
        <x:v>Married</x:v>
      </x:c>
      <x:c r="E703" s="6" t="n">
        <x:v>71427</x:v>
      </x:c>
      <x:c r="F703" s="6" t="n">
        <x:v>2</x:v>
      </x:c>
      <x:c r="G703" s="6" t="n">
        <x:v>0</x:v>
      </x:c>
      <x:c r="H703" s="9" t="str">
        <x:v>12-03-2014</x:v>
      </x:c>
      <x:c r="I703" s="6" t="n">
        <x:v>26</x:v>
      </x:c>
      <x:c r="J703" s="6" t="n">
        <x:v>212</x:v>
      </x:c>
      <x:c r="K703" s="6" t="n">
        <x:v>123</x:v>
      </x:c>
      <x:c r="L703" s="6" t="n">
        <x:v>177</x:v>
      </x:c>
      <x:c r="M703" s="6" t="n">
        <x:v>15</x:v>
      </x:c>
      <x:c r="N703" s="6" t="n">
        <x:v>64</x:v>
      </x:c>
      <x:c r="O703" s="6" t="n">
        <x:v>23</x:v>
      </x:c>
      <x:c r="P703" s="6" t="n">
        <x:v>2</x:v>
      </x:c>
      <x:c r="Q703" s="6" t="n">
        <x:v>8</x:v>
      </x:c>
      <x:c r="R703" s="6" t="n">
        <x:v>2</x:v>
      </x:c>
      <x:c r="S703" s="6" t="n">
        <x:v>8</x:v>
      </x:c>
      <x:c r="T703" s="6" t="n">
        <x:v>4</x:v>
      </x:c>
      <x:c r="U703" s="6" t="n">
        <x:v>0</x:v>
      </x:c>
      <x:c r="V703" s="6" t="n">
        <x:v>0</x:v>
      </x:c>
      <x:c r="W703" s="6" t="n">
        <x:v>0</x:v>
      </x:c>
      <x:c r="X703" s="6" t="n">
        <x:v>0</x:v>
      </x:c>
      <x:c r="Y703" s="6" t="n">
        <x:v>0</x:v>
      </x:c>
      <x:c r="Z703" s="6" t="n">
        <x:v>0</x:v>
      </x:c>
      <x:c r="AA703" s="6" t="n">
        <x:v>3</x:v>
      </x:c>
      <x:c r="AB703" s="6" t="n">
        <x:v>11</x:v>
      </x:c>
      <x:c r="AC703" s="6" t="n">
        <x:v>0</x:v>
      </x:c>
    </x:row>
    <x:row r="704">
      <x:c r="A704" s="6" t="n">
        <x:v>6384</x:v>
      </x:c>
      <x:c r="B704" s="6" t="n">
        <x:v>1978</x:v>
      </x:c>
      <x:c r="C704" s="6" t="str">
        <x:v>Graduation</x:v>
      </x:c>
      <x:c r="D704" s="6" t="str">
        <x:v>Divorced</x:v>
      </x:c>
      <x:c r="E704" s="6" t="n">
        <x:v>71022</x:v>
      </x:c>
      <x:c r="F704" s="6" t="n">
        <x:v>0</x:v>
      </x:c>
      <x:c r="G704" s="6" t="n">
        <x:v>1</x:v>
      </x:c>
      <x:c r="H704" s="9" t="str">
        <x:v>11-02-2014</x:v>
      </x:c>
      <x:c r="I704" s="6" t="n">
        <x:v>30</x:v>
      </x:c>
      <x:c r="J704" s="6" t="n">
        <x:v>909</x:v>
      </x:c>
      <x:c r="K704" s="6" t="n">
        <x:v>12</x:v>
      </x:c>
      <x:c r="L704" s="6" t="n">
        <x:v>278</x:v>
      </x:c>
      <x:c r="M704" s="6" t="n">
        <x:v>0</x:v>
      </x:c>
      <x:c r="N704" s="6" t="n">
        <x:v>12</x:v>
      </x:c>
      <x:c r="O704" s="6" t="n">
        <x:v>242</x:v>
      </x:c>
      <x:c r="P704" s="6" t="n">
        <x:v>3</x:v>
      </x:c>
      <x:c r="Q704" s="6" t="n">
        <x:v>5</x:v>
      </x:c>
      <x:c r="R704" s="6" t="n">
        <x:v>2</x:v>
      </x:c>
      <x:c r="S704" s="6" t="n">
        <x:v>11</x:v>
      </x:c>
      <x:c r="T704" s="6" t="n">
        <x:v>8</x:v>
      </x:c>
      <x:c r="U704" s="6" t="n">
        <x:v>1</x:v>
      </x:c>
      <x:c r="V704" s="6" t="n">
        <x:v>0</x:v>
      </x:c>
      <x:c r="W704" s="6" t="n">
        <x:v>0</x:v>
      </x:c>
      <x:c r="X704" s="6" t="n">
        <x:v>0</x:v>
      </x:c>
      <x:c r="Y704" s="6" t="n">
        <x:v>0</x:v>
      </x:c>
      <x:c r="Z704" s="6" t="n">
        <x:v>0</x:v>
      </x:c>
      <x:c r="AA704" s="6" t="n">
        <x:v>3</x:v>
      </x:c>
      <x:c r="AB704" s="6" t="n">
        <x:v>11</x:v>
      </x:c>
      <x:c r="AC704" s="6" t="n">
        <x:v>0</x:v>
      </x:c>
    </x:row>
    <x:row r="705">
      <x:c r="A705" s="6" t="n">
        <x:v>8029</x:v>
      </x:c>
      <x:c r="B705" s="6" t="n">
        <x:v>1988</x:v>
      </x:c>
      <x:c r="C705" s="6" t="str">
        <x:v>Master</x:v>
      </x:c>
      <x:c r="D705" s="6" t="str">
        <x:v>Single</x:v>
      </x:c>
      <x:c r="E705" s="6" t="n">
        <x:v>90247</x:v>
      </x:c>
      <x:c r="F705" s="6" t="n">
        <x:v>0</x:v>
      </x:c>
      <x:c r="G705" s="6" t="n">
        <x:v>0</x:v>
      </x:c>
      <x:c r="H705" s="9" t="str">
        <x:v>29-04-2014</x:v>
      </x:c>
      <x:c r="I705" s="6" t="n">
        <x:v>27</x:v>
      </x:c>
      <x:c r="J705" s="6" t="n">
        <x:v>1184</x:v>
      </x:c>
      <x:c r="K705" s="6" t="n">
        <x:v>32</x:v>
      </x:c>
      <x:c r="L705" s="6" t="n">
        <x:v>352</x:v>
      </x:c>
      <x:c r="M705" s="6" t="n">
        <x:v>21</x:v>
      </x:c>
      <x:c r="N705" s="6" t="n">
        <x:v>16</x:v>
      </x:c>
      <x:c r="O705" s="6" t="n">
        <x:v>16</x:v>
      </x:c>
      <x:c r="P705" s="6" t="n">
        <x:v>1</x:v>
      </x:c>
      <x:c r="Q705" s="6" t="n">
        <x:v>3</x:v>
      </x:c>
      <x:c r="R705" s="6" t="n">
        <x:v>4</x:v>
      </x:c>
      <x:c r="S705" s="6" t="n">
        <x:v>7</x:v>
      </x:c>
      <x:c r="T705" s="6" t="n">
        <x:v>1</x:v>
      </x:c>
      <x:c r="U705" s="6" t="n">
        <x:v>0</x:v>
      </x:c>
      <x:c r="V705" s="6" t="n">
        <x:v>1</x:v>
      </x:c>
      <x:c r="W705" s="6" t="n">
        <x:v>1</x:v>
      </x:c>
      <x:c r="X705" s="6" t="n">
        <x:v>1</x:v>
      </x:c>
      <x:c r="Y705" s="6" t="n">
        <x:v>0</x:v>
      </x:c>
      <x:c r="Z705" s="6" t="n">
        <x:v>0</x:v>
      </x:c>
      <x:c r="AA705" s="6" t="n">
        <x:v>3</x:v>
      </x:c>
      <x:c r="AB705" s="6" t="n">
        <x:v>11</x:v>
      </x:c>
      <x:c r="AC705" s="6" t="n">
        <x:v>1</x:v>
      </x:c>
    </x:row>
    <x:row r="706">
      <x:c r="A706" s="6" t="n">
        <x:v>968</x:v>
      </x:c>
      <x:c r="B706" s="6" t="n">
        <x:v>1968</x:v>
      </x:c>
      <x:c r="C706" s="6" t="str">
        <x:v>Master</x:v>
      </x:c>
      <x:c r="D706" s="6" t="str">
        <x:v>Divorced</x:v>
      </x:c>
      <x:c r="E706" s="6" t="n">
        <x:v>41335</x:v>
      </x:c>
      <x:c r="F706" s="6" t="n">
        <x:v>1</x:v>
      </x:c>
      <x:c r="G706" s="6" t="n">
        <x:v>0</x:v>
      </x:c>
      <x:c r="H706" s="9" t="str">
        <x:v>26-12-2013</x:v>
      </x:c>
      <x:c r="I706" s="6" t="n">
        <x:v>24</x:v>
      </x:c>
      <x:c r="J706" s="6" t="n">
        <x:v>112</x:v>
      </x:c>
      <x:c r="K706" s="6" t="n">
        <x:v>19</x:v>
      </x:c>
      <x:c r="L706" s="6" t="n">
        <x:v>21</x:v>
      </x:c>
      <x:c r="M706" s="6" t="n">
        <x:v>16</x:v>
      </x:c>
      <x:c r="N706" s="6" t="n">
        <x:v>14</x:v>
      </x:c>
      <x:c r="O706" s="6" t="n">
        <x:v>5</x:v>
      </x:c>
      <x:c r="P706" s="6" t="n">
        <x:v>3</x:v>
      </x:c>
      <x:c r="Q706" s="6" t="n">
        <x:v>4</x:v>
      </x:c>
      <x:c r="R706" s="6" t="n">
        <x:v>1</x:v>
      </x:c>
      <x:c r="S706" s="6" t="n">
        <x:v>4</x:v>
      </x:c>
      <x:c r="T706" s="6" t="n">
        <x:v>7</x:v>
      </x:c>
      <x:c r="U706" s="6" t="n">
        <x:v>0</x:v>
      </x:c>
      <x:c r="V706" s="6" t="n">
        <x:v>0</x:v>
      </x:c>
      <x:c r="W706" s="6" t="n">
        <x:v>0</x:v>
      </x:c>
      <x:c r="X706" s="6" t="n">
        <x:v>0</x:v>
      </x:c>
      <x:c r="Y706" s="6" t="n">
        <x:v>0</x:v>
      </x:c>
      <x:c r="Z706" s="6" t="n">
        <x:v>0</x:v>
      </x:c>
      <x:c r="AA706" s="6" t="n">
        <x:v>3</x:v>
      </x:c>
      <x:c r="AB706" s="6" t="n">
        <x:v>11</x:v>
      </x:c>
      <x:c r="AC706" s="6" t="n">
        <x:v>0</x:v>
      </x:c>
    </x:row>
    <x:row r="707">
      <x:c r="A707" s="6" t="n">
        <x:v>6988</x:v>
      </x:c>
      <x:c r="B707" s="6" t="n">
        <x:v>1986</x:v>
      </x:c>
      <x:c r="C707" s="6" t="str">
        <x:v>Graduation</x:v>
      </x:c>
      <x:c r="D707" s="6" t="str">
        <x:v>Married</x:v>
      </x:c>
      <x:c r="E707" s="6" t="n">
        <x:v>71952</x:v>
      </x:c>
      <x:c r="F707" s="6" t="n">
        <x:v>1</x:v>
      </x:c>
      <x:c r="G707" s="6" t="n">
        <x:v>0</x:v>
      </x:c>
      <x:c r="H707" s="9" t="str">
        <x:v>10-01-2013</x:v>
      </x:c>
      <x:c r="I707" s="6" t="n">
        <x:v>93</x:v>
      </x:c>
      <x:c r="J707" s="6" t="n">
        <x:v>656</x:v>
      </x:c>
      <x:c r="K707" s="6" t="n">
        <x:v>80</x:v>
      </x:c>
      <x:c r="L707" s="6" t="n">
        <x:v>455</x:v>
      </x:c>
      <x:c r="M707" s="6" t="n">
        <x:v>52</x:v>
      </x:c>
      <x:c r="N707" s="6" t="n">
        <x:v>107</x:v>
      </x:c>
      <x:c r="O707" s="6" t="n">
        <x:v>93</x:v>
      </x:c>
      <x:c r="P707" s="6" t="n">
        <x:v>2</x:v>
      </x:c>
      <x:c r="Q707" s="6" t="n">
        <x:v>8</x:v>
      </x:c>
      <x:c r="R707" s="6" t="n">
        <x:v>4</x:v>
      </x:c>
      <x:c r="S707" s="6" t="n">
        <x:v>8</x:v>
      </x:c>
      <x:c r="T707" s="6" t="n">
        <x:v>4</x:v>
      </x:c>
      <x:c r="U707" s="6" t="n">
        <x:v>1</x:v>
      </x:c>
      <x:c r="V707" s="6" t="n">
        <x:v>0</x:v>
      </x:c>
      <x:c r="W707" s="6" t="n">
        <x:v>1</x:v>
      </x:c>
      <x:c r="X707" s="6" t="n">
        <x:v>0</x:v>
      </x:c>
      <x:c r="Y707" s="6" t="n">
        <x:v>0</x:v>
      </x:c>
      <x:c r="Z707" s="6" t="n">
        <x:v>0</x:v>
      </x:c>
      <x:c r="AA707" s="6" t="n">
        <x:v>3</x:v>
      </x:c>
      <x:c r="AB707" s="6" t="n">
        <x:v>11</x:v>
      </x:c>
      <x:c r="AC707" s="6" t="n">
        <x:v>0</x:v>
      </x:c>
    </x:row>
    <x:row r="708">
      <x:c r="A708" s="6" t="n">
        <x:v>4472</x:v>
      </x:c>
      <x:c r="B708" s="6" t="n">
        <x:v>1970</x:v>
      </x:c>
      <x:c r="C708" s="6" t="str">
        <x:v>PhD</x:v>
      </x:c>
      <x:c r="D708" s="6" t="str">
        <x:v>Divorced</x:v>
      </x:c>
      <x:c r="E708" s="6" t="n">
        <x:v>35682</x:v>
      </x:c>
      <x:c r="F708" s="6" t="n">
        <x:v>1</x:v>
      </x:c>
      <x:c r="G708" s="6" t="n">
        <x:v>0</x:v>
      </x:c>
      <x:c r="H708" s="9" t="str">
        <x:v>27-06-2014</x:v>
      </x:c>
      <x:c r="I708" s="6" t="n">
        <x:v>34</x:v>
      </x:c>
      <x:c r="J708" s="6" t="n">
        <x:v>23</x:v>
      </x:c>
      <x:c r="K708" s="6" t="n">
        <x:v>0</x:v>
      </x:c>
      <x:c r="L708" s="6" t="n">
        <x:v>8</x:v>
      </x:c>
      <x:c r="M708" s="6" t="n">
        <x:v>6</x:v>
      </x:c>
      <x:c r="N708" s="6" t="n">
        <x:v>2</x:v>
      </x:c>
      <x:c r="O708" s="6" t="n">
        <x:v>18</x:v>
      </x:c>
      <x:c r="P708" s="6" t="n">
        <x:v>1</x:v>
      </x:c>
      <x:c r="Q708" s="6" t="n">
        <x:v>1</x:v>
      </x:c>
      <x:c r="R708" s="6" t="n">
        <x:v>1</x:v>
      </x:c>
      <x:c r="S708" s="6" t="n">
        <x:v>3</x:v>
      </x:c>
      <x:c r="T708" s="6" t="n">
        <x:v>2</x:v>
      </x:c>
      <x:c r="U708" s="6" t="n">
        <x:v>0</x:v>
      </x:c>
      <x:c r="V708" s="6" t="n">
        <x:v>0</x:v>
      </x:c>
      <x:c r="W708" s="6" t="n">
        <x:v>0</x:v>
      </x:c>
      <x:c r="X708" s="6" t="n">
        <x:v>0</x:v>
      </x:c>
      <x:c r="Y708" s="6" t="n">
        <x:v>0</x:v>
      </x:c>
      <x:c r="Z708" s="6" t="n">
        <x:v>0</x:v>
      </x:c>
      <x:c r="AA708" s="6" t="n">
        <x:v>3</x:v>
      </x:c>
      <x:c r="AB708" s="6" t="n">
        <x:v>11</x:v>
      </x:c>
      <x:c r="AC708" s="6" t="n">
        <x:v>0</x:v>
      </x:c>
    </x:row>
    <x:row r="709">
      <x:c r="A709" s="6" t="n">
        <x:v>6991</x:v>
      </x:c>
      <x:c r="B709" s="6" t="n">
        <x:v>1951</x:v>
      </x:c>
      <x:c r="C709" s="6" t="str">
        <x:v>Graduation</x:v>
      </x:c>
      <x:c r="D709" s="6" t="str">
        <x:v>Divorced</x:v>
      </x:c>
      <x:c r="E709" s="6" t="n">
        <x:v>43185</x:v>
      </x:c>
      <x:c r="F709" s="6" t="n">
        <x:v>0</x:v>
      </x:c>
      <x:c r="G709" s="6" t="n">
        <x:v>1</x:v>
      </x:c>
      <x:c r="H709" s="9" t="str">
        <x:v>10-04-2013</x:v>
      </x:c>
      <x:c r="I709" s="6" t="n">
        <x:v>88</x:v>
      </x:c>
      <x:c r="J709" s="6" t="n">
        <x:v>537</x:v>
      </x:c>
      <x:c r="K709" s="6" t="n">
        <x:v>6</x:v>
      </x:c>
      <x:c r="L709" s="6" t="n">
        <x:v>42</x:v>
      </x:c>
      <x:c r="M709" s="6" t="n">
        <x:v>16</x:v>
      </x:c>
      <x:c r="N709" s="6" t="n">
        <x:v>6</x:v>
      </x:c>
      <x:c r="O709" s="6" t="n">
        <x:v>30</x:v>
      </x:c>
      <x:c r="P709" s="6" t="n">
        <x:v>2</x:v>
      </x:c>
      <x:c r="Q709" s="6" t="n">
        <x:v>9</x:v>
      </x:c>
      <x:c r="R709" s="6" t="n">
        <x:v>3</x:v>
      </x:c>
      <x:c r="S709" s="6" t="n">
        <x:v>6</x:v>
      </x:c>
      <x:c r="T709" s="6" t="n">
        <x:v>8</x:v>
      </x:c>
      <x:c r="U709" s="6" t="n">
        <x:v>0</x:v>
      </x:c>
      <x:c r="V709" s="6" t="n">
        <x:v>0</x:v>
      </x:c>
      <x:c r="W709" s="6" t="n">
        <x:v>0</x:v>
      </x:c>
      <x:c r="X709" s="6" t="n">
        <x:v>0</x:v>
      </x:c>
      <x:c r="Y709" s="6" t="n">
        <x:v>0</x:v>
      </x:c>
      <x:c r="Z709" s="6" t="n">
        <x:v>0</x:v>
      </x:c>
      <x:c r="AA709" s="6" t="n">
        <x:v>3</x:v>
      </x:c>
      <x:c r="AB709" s="6" t="n">
        <x:v>11</x:v>
      </x:c>
      <x:c r="AC709" s="6" t="n">
        <x:v>0</x:v>
      </x:c>
    </x:row>
    <x:row r="710">
      <x:c r="A710" s="6" t="n">
        <x:v>3336</x:v>
      </x:c>
      <x:c r="B710" s="6" t="n">
        <x:v>1948</x:v>
      </x:c>
      <x:c r="C710" s="6" t="str">
        <x:v>PhD</x:v>
      </x:c>
      <x:c r="D710" s="6" t="str">
        <x:v>Together</x:v>
      </x:c>
      <x:c r="E710" s="6" t="n">
        <x:v>66375</x:v>
      </x:c>
      <x:c r="F710" s="6" t="n">
        <x:v>0</x:v>
      </x:c>
      <x:c r="G710" s="6" t="n">
        <x:v>1</x:v>
      </x:c>
      <x:c r="H710" s="9" t="str">
        <x:v>21-11-2013</x:v>
      </x:c>
      <x:c r="I710" s="6" t="n">
        <x:v>96</x:v>
      </x:c>
      <x:c r="J710" s="6" t="n">
        <x:v>712</x:v>
      </x:c>
      <x:c r="K710" s="6" t="n">
        <x:v>0</x:v>
      </x:c>
      <x:c r="L710" s="6" t="n">
        <x:v>45</x:v>
      </x:c>
      <x:c r="M710" s="6" t="n">
        <x:v>0</x:v>
      </x:c>
      <x:c r="N710" s="6" t="n">
        <x:v>0</x:v>
      </x:c>
      <x:c r="O710" s="6" t="n">
        <x:v>191</x:v>
      </x:c>
      <x:c r="P710" s="6" t="n">
        <x:v>3</x:v>
      </x:c>
      <x:c r="Q710" s="6" t="n">
        <x:v>2</x:v>
      </x:c>
      <x:c r="R710" s="6" t="n">
        <x:v>4</x:v>
      </x:c>
      <x:c r="S710" s="6" t="n">
        <x:v>5</x:v>
      </x:c>
      <x:c r="T710" s="6" t="n">
        <x:v>7</x:v>
      </x:c>
      <x:c r="U710" s="6" t="n">
        <x:v>1</x:v>
      </x:c>
      <x:c r="V710" s="6" t="n">
        <x:v>0</x:v>
      </x:c>
      <x:c r="W710" s="6" t="n">
        <x:v>0</x:v>
      </x:c>
      <x:c r="X710" s="6" t="n">
        <x:v>0</x:v>
      </x:c>
      <x:c r="Y710" s="6" t="n">
        <x:v>0</x:v>
      </x:c>
      <x:c r="Z710" s="6" t="n">
        <x:v>0</x:v>
      </x:c>
      <x:c r="AA710" s="6" t="n">
        <x:v>3</x:v>
      </x:c>
      <x:c r="AB710" s="6" t="n">
        <x:v>11</x:v>
      </x:c>
      <x:c r="AC710" s="6" t="n">
        <x:v>0</x:v>
      </x:c>
    </x:row>
    <x:row r="711">
      <x:c r="A711" s="6" t="n">
        <x:v>4301</x:v>
      </x:c>
      <x:c r="B711" s="6" t="n">
        <x:v>1971</x:v>
      </x:c>
      <x:c r="C711" s="6" t="str">
        <x:v>Master</x:v>
      </x:c>
      <x:c r="D711" s="6" t="str">
        <x:v>Married</x:v>
      </x:c>
      <x:c r="E711" s="6" t="n">
        <x:v>35178</x:v>
      </x:c>
      <x:c r="F711" s="6" t="n">
        <x:v>1</x:v>
      </x:c>
      <x:c r="G711" s="6" t="n">
        <x:v>0</x:v>
      </x:c>
      <x:c r="H711" s="9" t="str">
        <x:v>10-01-2013</x:v>
      </x:c>
      <x:c r="I711" s="6" t="n">
        <x:v>10</x:v>
      </x:c>
      <x:c r="J711" s="6" t="n">
        <x:v>23</x:v>
      </x:c>
      <x:c r="K711" s="6" t="n">
        <x:v>1</x:v>
      </x:c>
      <x:c r="L711" s="6" t="n">
        <x:v>13</x:v>
      </x:c>
      <x:c r="M711" s="6" t="n">
        <x:v>2</x:v>
      </x:c>
      <x:c r="N711" s="6" t="n">
        <x:v>2</x:v>
      </x:c>
      <x:c r="O711" s="6" t="n">
        <x:v>18</x:v>
      </x:c>
      <x:c r="P711" s="6" t="n">
        <x:v>1</x:v>
      </x:c>
      <x:c r="Q711" s="6" t="n">
        <x:v>1</x:v>
      </x:c>
      <x:c r="R711" s="6" t="n">
        <x:v>1</x:v>
      </x:c>
      <x:c r="S711" s="6" t="n">
        <x:v>2</x:v>
      </x:c>
      <x:c r="T711" s="6" t="n">
        <x:v>7</x:v>
      </x:c>
      <x:c r="U711" s="6" t="n">
        <x:v>1</x:v>
      </x:c>
      <x:c r="V711" s="6" t="n">
        <x:v>0</x:v>
      </x:c>
      <x:c r="W711" s="6" t="n">
        <x:v>0</x:v>
      </x:c>
      <x:c r="X711" s="6" t="n">
        <x:v>0</x:v>
      </x:c>
      <x:c r="Y711" s="6" t="n">
        <x:v>0</x:v>
      </x:c>
      <x:c r="Z711" s="6" t="n">
        <x:v>0</x:v>
      </x:c>
      <x:c r="AA711" s="6" t="n">
        <x:v>3</x:v>
      </x:c>
      <x:c r="AB711" s="6" t="n">
        <x:v>11</x:v>
      </x:c>
      <x:c r="AC711" s="6" t="n">
        <x:v>1</x:v>
      </x:c>
    </x:row>
    <x:row r="712">
      <x:c r="A712" s="6" t="n">
        <x:v>1940</x:v>
      </x:c>
      <x:c r="B712" s="6" t="n">
        <x:v>1986</x:v>
      </x:c>
      <x:c r="C712" s="6" t="str">
        <x:v>Graduation</x:v>
      </x:c>
      <x:c r="D712" s="6" t="str">
        <x:v>Married</x:v>
      </x:c>
      <x:c r="E712" s="6" t="n">
        <x:v>25252</x:v>
      </x:c>
      <x:c r="F712" s="6" t="n">
        <x:v>1</x:v>
      </x:c>
      <x:c r="G712" s="6" t="n">
        <x:v>0</x:v>
      </x:c>
      <x:c r="H712" s="9" t="str">
        <x:v>12-07-2013</x:v>
      </x:c>
      <x:c r="I712" s="6" t="n">
        <x:v>26</x:v>
      </x:c>
      <x:c r="J712" s="6" t="n">
        <x:v>1</x:v>
      </x:c>
      <x:c r="K712" s="6" t="n">
        <x:v>3</x:v>
      </x:c>
      <x:c r="L712" s="6" t="n">
        <x:v>4</x:v>
      </x:c>
      <x:c r="M712" s="6" t="n">
        <x:v>2</x:v>
      </x:c>
      <x:c r="N712" s="6" t="n">
        <x:v>2</x:v>
      </x:c>
      <x:c r="O712" s="6" t="n">
        <x:v>6</x:v>
      </x:c>
      <x:c r="P712" s="6" t="n">
        <x:v>1</x:v>
      </x:c>
      <x:c r="Q712" s="6" t="n">
        <x:v>1</x:v>
      </x:c>
      <x:c r="R712" s="6" t="n">
        <x:v>0</x:v>
      </x:c>
      <x:c r="S712" s="6" t="n">
        <x:v>2</x:v>
      </x:c>
      <x:c r="T712" s="6" t="n">
        <x:v>8</x:v>
      </x:c>
      <x:c r="U712" s="6" t="n">
        <x:v>0</x:v>
      </x:c>
      <x:c r="V712" s="6" t="n">
        <x:v>0</x:v>
      </x:c>
      <x:c r="W712" s="6" t="n">
        <x:v>0</x:v>
      </x:c>
      <x:c r="X712" s="6" t="n">
        <x:v>0</x:v>
      </x:c>
      <x:c r="Y712" s="6" t="n">
        <x:v>0</x:v>
      </x:c>
      <x:c r="Z712" s="6" t="n">
        <x:v>0</x:v>
      </x:c>
      <x:c r="AA712" s="6" t="n">
        <x:v>3</x:v>
      </x:c>
      <x:c r="AB712" s="6" t="n">
        <x:v>11</x:v>
      </x:c>
      <x:c r="AC712" s="6" t="n">
        <x:v>0</x:v>
      </x:c>
    </x:row>
    <x:row r="713">
      <x:c r="A713" s="6" t="n">
        <x:v>1272</x:v>
      </x:c>
      <x:c r="B713" s="6" t="n">
        <x:v>1965</x:v>
      </x:c>
      <x:c r="C713" s="6" t="str">
        <x:v>Master</x:v>
      </x:c>
      <x:c r="D713" s="6" t="str">
        <x:v>Single</x:v>
      </x:c>
      <x:c r="E713" s="6" t="n">
        <x:v>55250</x:v>
      </x:c>
      <x:c r="F713" s="6" t="n">
        <x:v>0</x:v>
      </x:c>
      <x:c r="G713" s="6" t="n">
        <x:v>1</x:v>
      </x:c>
      <x:c r="H713" s="9" t="str">
        <x:v>21-10-2012</x:v>
      </x:c>
      <x:c r="I713" s="6" t="n">
        <x:v>49</x:v>
      </x:c>
      <x:c r="J713" s="6" t="n">
        <x:v>664</x:v>
      </x:c>
      <x:c r="K713" s="6" t="n">
        <x:v>58</x:v>
      </x:c>
      <x:c r="L713" s="6" t="n">
        <x:v>83</x:v>
      </x:c>
      <x:c r="M713" s="6" t="n">
        <x:v>32</x:v>
      </x:c>
      <x:c r="N713" s="6" t="n">
        <x:v>0</x:v>
      </x:c>
      <x:c r="O713" s="6" t="n">
        <x:v>66</x:v>
      </x:c>
      <x:c r="P713" s="6" t="n">
        <x:v>4</x:v>
      </x:c>
      <x:c r="Q713" s="6" t="n">
        <x:v>7</x:v>
      </x:c>
      <x:c r="R713" s="6" t="n">
        <x:v>5</x:v>
      </x:c>
      <x:c r="S713" s="6" t="n">
        <x:v>10</x:v>
      </x:c>
      <x:c r="T713" s="6" t="n">
        <x:v>5</x:v>
      </x:c>
      <x:c r="U713" s="6" t="n">
        <x:v>0</x:v>
      </x:c>
      <x:c r="V713" s="6" t="n">
        <x:v>0</x:v>
      </x:c>
      <x:c r="W713" s="6" t="n">
        <x:v>0</x:v>
      </x:c>
      <x:c r="X713" s="6" t="n">
        <x:v>0</x:v>
      </x:c>
      <x:c r="Y713" s="6" t="n">
        <x:v>0</x:v>
      </x:c>
      <x:c r="Z713" s="6" t="n">
        <x:v>0</x:v>
      </x:c>
      <x:c r="AA713" s="6" t="n">
        <x:v>3</x:v>
      </x:c>
      <x:c r="AB713" s="6" t="n">
        <x:v>11</x:v>
      </x:c>
      <x:c r="AC713" s="6" t="n">
        <x:v>0</x:v>
      </x:c>
    </x:row>
    <x:row r="714">
      <x:c r="A714" s="6" t="n">
        <x:v>1388</x:v>
      </x:c>
      <x:c r="B714" s="6" t="n">
        <x:v>1975</x:v>
      </x:c>
      <x:c r="C714" s="6" t="str">
        <x:v>Graduation</x:v>
      </x:c>
      <x:c r="D714" s="6" t="str">
        <x:v>Single</x:v>
      </x:c>
      <x:c r="E714" s="6" t="n">
        <x:v>33249</x:v>
      </x:c>
      <x:c r="F714" s="6" t="n">
        <x:v>1</x:v>
      </x:c>
      <x:c r="G714" s="6" t="n">
        <x:v>0</x:v>
      </x:c>
      <x:c r="H714" s="9" t="str">
        <x:v>20-02-2013</x:v>
      </x:c>
      <x:c r="I714" s="6" t="n">
        <x:v>11</x:v>
      </x:c>
      <x:c r="J714" s="6" t="n">
        <x:v>6</x:v>
      </x:c>
      <x:c r="K714" s="6" t="n">
        <x:v>10</x:v>
      </x:c>
      <x:c r="L714" s="6" t="n">
        <x:v>21</x:v>
      </x:c>
      <x:c r="M714" s="6" t="n">
        <x:v>19</x:v>
      </x:c>
      <x:c r="N714" s="6" t="n">
        <x:v>14</x:v>
      </x:c>
      <x:c r="O714" s="6" t="n">
        <x:v>42</x:v>
      </x:c>
      <x:c r="P714" s="6" t="n">
        <x:v>2</x:v>
      </x:c>
      <x:c r="Q714" s="6" t="n">
        <x:v>2</x:v>
      </x:c>
      <x:c r="R714" s="6" t="n">
        <x:v>1</x:v>
      </x:c>
      <x:c r="S714" s="6" t="n">
        <x:v>3</x:v>
      </x:c>
      <x:c r="T714" s="6" t="n">
        <x:v>6</x:v>
      </x:c>
      <x:c r="U714" s="6" t="n">
        <x:v>0</x:v>
      </x:c>
      <x:c r="V714" s="6" t="n">
        <x:v>0</x:v>
      </x:c>
      <x:c r="W714" s="6" t="n">
        <x:v>0</x:v>
      </x:c>
      <x:c r="X714" s="6" t="n">
        <x:v>0</x:v>
      </x:c>
      <x:c r="Y714" s="6" t="n">
        <x:v>0</x:v>
      </x:c>
      <x:c r="Z714" s="6" t="n">
        <x:v>0</x:v>
      </x:c>
      <x:c r="AA714" s="6" t="n">
        <x:v>3</x:v>
      </x:c>
      <x:c r="AB714" s="6" t="n">
        <x:v>11</x:v>
      </x:c>
      <x:c r="AC714" s="6" t="n">
        <x:v>0</x:v>
      </x:c>
    </x:row>
    <x:row r="715">
      <x:c r="A715" s="6" t="n">
        <x:v>1044</x:v>
      </x:c>
      <x:c r="B715" s="6" t="n">
        <x:v>1953</x:v>
      </x:c>
      <x:c r="C715" s="6" t="str">
        <x:v>Graduation</x:v>
      </x:c>
      <x:c r="D715" s="6" t="str">
        <x:v>Together</x:v>
      </x:c>
      <x:c r="E715" s="6" t="n">
        <x:v>58398</x:v>
      </x:c>
      <x:c r="F715" s="6" t="n">
        <x:v>0</x:v>
      </x:c>
      <x:c r="G715" s="6" t="n">
        <x:v>0</x:v>
      </x:c>
      <x:c r="H715" s="9" t="str">
        <x:v>14-05-2013</x:v>
      </x:c>
      <x:c r="I715" s="6" t="n">
        <x:v>44</x:v>
      </x:c>
      <x:c r="J715" s="6" t="n">
        <x:v>299</x:v>
      </x:c>
      <x:c r="K715" s="6" t="n">
        <x:v>5</x:v>
      </x:c>
      <x:c r="L715" s="6" t="n">
        <x:v>201</x:v>
      </x:c>
      <x:c r="M715" s="6" t="n">
        <x:v>21</x:v>
      </x:c>
      <x:c r="N715" s="6" t="n">
        <x:v>21</x:v>
      </x:c>
      <x:c r="O715" s="6" t="n">
        <x:v>49</x:v>
      </x:c>
      <x:c r="P715" s="6" t="n">
        <x:v>3</x:v>
      </x:c>
      <x:c r="Q715" s="6" t="n">
        <x:v>5</x:v>
      </x:c>
      <x:c r="R715" s="6" t="n">
        <x:v>4</x:v>
      </x:c>
      <x:c r="S715" s="6" t="n">
        <x:v>8</x:v>
      </x:c>
      <x:c r="T715" s="6" t="n">
        <x:v>4</x:v>
      </x:c>
      <x:c r="U715" s="6" t="n">
        <x:v>0</x:v>
      </x:c>
      <x:c r="V715" s="6" t="n">
        <x:v>0</x:v>
      </x:c>
      <x:c r="W715" s="6" t="n">
        <x:v>0</x:v>
      </x:c>
      <x:c r="X715" s="6" t="n">
        <x:v>0</x:v>
      </x:c>
      <x:c r="Y715" s="6" t="n">
        <x:v>0</x:v>
      </x:c>
      <x:c r="Z715" s="6" t="n">
        <x:v>0</x:v>
      </x:c>
      <x:c r="AA715" s="6" t="n">
        <x:v>3</x:v>
      </x:c>
      <x:c r="AB715" s="6" t="n">
        <x:v>11</x:v>
      </x:c>
      <x:c r="AC715" s="6" t="n">
        <x:v>0</x:v>
      </x:c>
    </x:row>
    <x:row r="716">
      <x:c r="A716" s="6" t="n">
        <x:v>6969</x:v>
      </x:c>
      <x:c r="B716" s="6" t="n">
        <x:v>1982</x:v>
      </x:c>
      <x:c r="C716" s="6" t="str">
        <x:v>Graduation</x:v>
      </x:c>
      <x:c r="D716" s="6" t="str">
        <x:v>Together</x:v>
      </x:c>
      <x:c r="E716" s="6" t="n">
        <x:v>50272</x:v>
      </x:c>
      <x:c r="F716" s="6" t="n">
        <x:v>1</x:v>
      </x:c>
      <x:c r="G716" s="6" t="n">
        <x:v>0</x:v>
      </x:c>
      <x:c r="H716" s="9" t="str">
        <x:v>07-08-2013</x:v>
      </x:c>
      <x:c r="I716" s="6" t="n">
        <x:v>75</x:v>
      </x:c>
      <x:c r="J716" s="6" t="n">
        <x:v>99</x:v>
      </x:c>
      <x:c r="K716" s="6" t="n">
        <x:v>13</x:v>
      </x:c>
      <x:c r="L716" s="6" t="n">
        <x:v>66</x:v>
      </x:c>
      <x:c r="M716" s="6" t="n">
        <x:v>43</x:v>
      </x:c>
      <x:c r="N716" s="6" t="n">
        <x:v>8</x:v>
      </x:c>
      <x:c r="O716" s="6" t="n">
        <x:v>4</x:v>
      </x:c>
      <x:c r="P716" s="6" t="n">
        <x:v>3</x:v>
      </x:c>
      <x:c r="Q716" s="6" t="n">
        <x:v>4</x:v>
      </x:c>
      <x:c r="R716" s="6" t="n">
        <x:v>1</x:v>
      </x:c>
      <x:c r="S716" s="6" t="n">
        <x:v>5</x:v>
      </x:c>
      <x:c r="T716" s="6" t="n">
        <x:v>7</x:v>
      </x:c>
      <x:c r="U716" s="6" t="n">
        <x:v>0</x:v>
      </x:c>
      <x:c r="V716" s="6" t="n">
        <x:v>0</x:v>
      </x:c>
      <x:c r="W716" s="6" t="n">
        <x:v>0</x:v>
      </x:c>
      <x:c r="X716" s="6" t="n">
        <x:v>0</x:v>
      </x:c>
      <x:c r="Y716" s="6" t="n">
        <x:v>0</x:v>
      </x:c>
      <x:c r="Z716" s="6" t="n">
        <x:v>0</x:v>
      </x:c>
      <x:c r="AA716" s="6" t="n">
        <x:v>3</x:v>
      </x:c>
      <x:c r="AB716" s="6" t="n">
        <x:v>11</x:v>
      </x:c>
      <x:c r="AC716" s="6" t="n">
        <x:v>0</x:v>
      </x:c>
    </x:row>
    <x:row r="717">
      <x:c r="A717" s="6" t="n">
        <x:v>10479</x:v>
      </x:c>
      <x:c r="B717" s="6" t="n">
        <x:v>1975</x:v>
      </x:c>
      <x:c r="C717" s="6" t="str">
        <x:v>PhD</x:v>
      </x:c>
      <x:c r="D717" s="6" t="str">
        <x:v>Married</x:v>
      </x:c>
      <x:c r="E717" s="6" t="n">
        <x:v>76618</x:v>
      </x:c>
      <x:c r="F717" s="6" t="n">
        <x:v>0</x:v>
      </x:c>
      <x:c r="G717" s="6" t="n">
        <x:v>0</x:v>
      </x:c>
      <x:c r="H717" s="9" t="str">
        <x:v>07-12-2012</x:v>
      </x:c>
      <x:c r="I717" s="6" t="n">
        <x:v>64</x:v>
      </x:c>
      <x:c r="J717" s="6" t="n">
        <x:v>749</x:v>
      </x:c>
      <x:c r="K717" s="6" t="n">
        <x:v>40</x:v>
      </x:c>
      <x:c r="L717" s="6" t="n">
        <x:v>294</x:v>
      </x:c>
      <x:c r="M717" s="6" t="n">
        <x:v>121</x:v>
      </x:c>
      <x:c r="N717" s="6" t="n">
        <x:v>160</x:v>
      </x:c>
      <x:c r="O717" s="6" t="n">
        <x:v>147</x:v>
      </x:c>
      <x:c r="P717" s="6" t="n">
        <x:v>1</x:v>
      </x:c>
      <x:c r="Q717" s="6" t="n">
        <x:v>3</x:v>
      </x:c>
      <x:c r="R717" s="6" t="n">
        <x:v>2</x:v>
      </x:c>
      <x:c r="S717" s="6" t="n">
        <x:v>5</x:v>
      </x:c>
      <x:c r="T717" s="6" t="n">
        <x:v>1</x:v>
      </x:c>
      <x:c r="U717" s="6" t="n">
        <x:v>0</x:v>
      </x:c>
      <x:c r="V717" s="6" t="n">
        <x:v>0</x:v>
      </x:c>
      <x:c r="W717" s="6" t="n">
        <x:v>0</x:v>
      </x:c>
      <x:c r="X717" s="6" t="n">
        <x:v>0</x:v>
      </x:c>
      <x:c r="Y717" s="6" t="n">
        <x:v>0</x:v>
      </x:c>
      <x:c r="Z717" s="6" t="n">
        <x:v>0</x:v>
      </x:c>
      <x:c r="AA717" s="6" t="n">
        <x:v>3</x:v>
      </x:c>
      <x:c r="AB717" s="6" t="n">
        <x:v>11</x:v>
      </x:c>
      <x:c r="AC717" s="6" t="n">
        <x:v>0</x:v>
      </x:c>
    </x:row>
    <x:row r="718">
      <x:c r="A718" s="6" t="n">
        <x:v>3619</x:v>
      </x:c>
      <x:c r="B718" s="6" t="n">
        <x:v>1960</x:v>
      </x:c>
      <x:c r="C718" s="6" t="str">
        <x:v>2n Cycle</x:v>
      </x:c>
      <x:c r="D718" s="6" t="str">
        <x:v>Divorced</x:v>
      </x:c>
      <x:c r="E718" s="6" t="n">
        <x:v>87305</x:v>
      </x:c>
      <x:c r="F718" s="6" t="n">
        <x:v>0</x:v>
      </x:c>
      <x:c r="G718" s="6" t="n">
        <x:v>0</x:v>
      </x:c>
      <x:c r="H718" s="9" t="str">
        <x:v>23-09-2012</x:v>
      </x:c>
      <x:c r="I718" s="6" t="n">
        <x:v>19</x:v>
      </x:c>
      <x:c r="J718" s="6" t="n">
        <x:v>345</x:v>
      </x:c>
      <x:c r="K718" s="6" t="n">
        <x:v>25</x:v>
      </x:c>
      <x:c r="L718" s="6" t="n">
        <x:v>501</x:v>
      </x:c>
      <x:c r="M718" s="6" t="n">
        <x:v>63</x:v>
      </x:c>
      <x:c r="N718" s="6" t="n">
        <x:v>138</x:v>
      </x:c>
      <x:c r="O718" s="6" t="n">
        <x:v>80</x:v>
      </x:c>
      <x:c r="P718" s="6" t="n">
        <x:v>1</x:v>
      </x:c>
      <x:c r="Q718" s="6" t="n">
        <x:v>5</x:v>
      </x:c>
      <x:c r="R718" s="6" t="n">
        <x:v>3</x:v>
      </x:c>
      <x:c r="S718" s="6" t="n">
        <x:v>8</x:v>
      </x:c>
      <x:c r="T718" s="6" t="n">
        <x:v>2</x:v>
      </x:c>
      <x:c r="U718" s="6" t="n">
        <x:v>0</x:v>
      </x:c>
      <x:c r="V718" s="6" t="n">
        <x:v>0</x:v>
      </x:c>
      <x:c r="W718" s="6" t="n">
        <x:v>1</x:v>
      </x:c>
      <x:c r="X718" s="6" t="n">
        <x:v>0</x:v>
      </x:c>
      <x:c r="Y718" s="6" t="n">
        <x:v>0</x:v>
      </x:c>
      <x:c r="Z718" s="6" t="n">
        <x:v>0</x:v>
      </x:c>
      <x:c r="AA718" s="6" t="n">
        <x:v>3</x:v>
      </x:c>
      <x:c r="AB718" s="6" t="n">
        <x:v>11</x:v>
      </x:c>
      <x:c r="AC718" s="6" t="n">
        <x:v>1</x:v>
      </x:c>
    </x:row>
    <x:row r="719">
      <x:c r="A719" s="6" t="n">
        <x:v>1715</x:v>
      </x:c>
      <x:c r="B719" s="6" t="n">
        <x:v>1978</x:v>
      </x:c>
      <x:c r="C719" s="6" t="str">
        <x:v>Graduation</x:v>
      </x:c>
      <x:c r="D719" s="6" t="str">
        <x:v>Together</x:v>
      </x:c>
      <x:c r="E719" s="6" t="n">
        <x:v>25851</x:v>
      </x:c>
      <x:c r="F719" s="6" t="n">
        <x:v>1</x:v>
      </x:c>
      <x:c r="G719" s="6" t="n">
        <x:v>0</x:v>
      </x:c>
      <x:c r="H719" s="9" t="str">
        <x:v>11-02-2013</x:v>
      </x:c>
      <x:c r="I719" s="6" t="n">
        <x:v>45</x:v>
      </x:c>
      <x:c r="J719" s="6" t="n">
        <x:v>9</x:v>
      </x:c>
      <x:c r="K719" s="6" t="n">
        <x:v>4</x:v>
      </x:c>
      <x:c r="L719" s="6" t="n">
        <x:v>18</x:v>
      </x:c>
      <x:c r="M719" s="6" t="n">
        <x:v>7</x:v>
      </x:c>
      <x:c r="N719" s="6" t="n">
        <x:v>5</x:v>
      </x:c>
      <x:c r="O719" s="6" t="n">
        <x:v>5</x:v>
      </x:c>
      <x:c r="P719" s="6" t="n">
        <x:v>2</x:v>
      </x:c>
      <x:c r="Q719" s="6" t="n">
        <x:v>2</x:v>
      </x:c>
      <x:c r="R719" s="6" t="n">
        <x:v>0</x:v>
      </x:c>
      <x:c r="S719" s="6" t="n">
        <x:v>3</x:v>
      </x:c>
      <x:c r="T719" s="6" t="n">
        <x:v>7</x:v>
      </x:c>
      <x:c r="U719" s="6" t="n">
        <x:v>0</x:v>
      </x:c>
      <x:c r="V719" s="6" t="n">
        <x:v>0</x:v>
      </x:c>
      <x:c r="W719" s="6" t="n">
        <x:v>0</x:v>
      </x:c>
      <x:c r="X719" s="6" t="n">
        <x:v>0</x:v>
      </x:c>
      <x:c r="Y719" s="6" t="n">
        <x:v>0</x:v>
      </x:c>
      <x:c r="Z719" s="6" t="n">
        <x:v>0</x:v>
      </x:c>
      <x:c r="AA719" s="6" t="n">
        <x:v>3</x:v>
      </x:c>
      <x:c r="AB719" s="6" t="n">
        <x:v>11</x:v>
      </x:c>
      <x:c r="AC719" s="6" t="n">
        <x:v>0</x:v>
      </x:c>
    </x:row>
    <x:row r="720">
      <x:c r="A720" s="6" t="n">
        <x:v>10159</x:v>
      </x:c>
      <x:c r="B720" s="6" t="n">
        <x:v>1970</x:v>
      </x:c>
      <x:c r="C720" s="6" t="str">
        <x:v>Graduation</x:v>
      </x:c>
      <x:c r="D720" s="6" t="str">
        <x:v>Divorced</x:v>
      </x:c>
      <x:c r="E720" s="6" t="n">
        <x:v>58710</x:v>
      </x:c>
      <x:c r="F720" s="6" t="n">
        <x:v>0</x:v>
      </x:c>
      <x:c r="G720" s="6" t="n">
        <x:v>1</x:v>
      </x:c>
      <x:c r="H720" s="9" t="str">
        <x:v>31-03-2013</x:v>
      </x:c>
      <x:c r="I720" s="6" t="n">
        <x:v>77</x:v>
      </x:c>
      <x:c r="J720" s="6" t="n">
        <x:v>440</x:v>
      </x:c>
      <x:c r="K720" s="6" t="n">
        <x:v>81</x:v>
      </x:c>
      <x:c r="L720" s="6" t="n">
        <x:v>368</x:v>
      </x:c>
      <x:c r="M720" s="6" t="n">
        <x:v>0</x:v>
      </x:c>
      <x:c r="N720" s="6" t="n">
        <x:v>122</x:v>
      </x:c>
      <x:c r="O720" s="6" t="n">
        <x:v>174</x:v>
      </x:c>
      <x:c r="P720" s="6" t="n">
        <x:v>6</x:v>
      </x:c>
      <x:c r="Q720" s="6" t="n">
        <x:v>11</x:v>
      </x:c>
      <x:c r="R720" s="6" t="n">
        <x:v>5</x:v>
      </x:c>
      <x:c r="S720" s="6" t="n">
        <x:v>9</x:v>
      </x:c>
      <x:c r="T720" s="6" t="n">
        <x:v>6</x:v>
      </x:c>
      <x:c r="U720" s="6" t="n">
        <x:v>0</x:v>
      </x:c>
      <x:c r="V720" s="6" t="n">
        <x:v>0</x:v>
      </x:c>
      <x:c r="W720" s="6" t="n">
        <x:v>0</x:v>
      </x:c>
      <x:c r="X720" s="6" t="n">
        <x:v>0</x:v>
      </x:c>
      <x:c r="Y720" s="6" t="n">
        <x:v>0</x:v>
      </x:c>
      <x:c r="Z720" s="6" t="n">
        <x:v>0</x:v>
      </x:c>
      <x:c r="AA720" s="6" t="n">
        <x:v>3</x:v>
      </x:c>
      <x:c r="AB720" s="6" t="n">
        <x:v>11</x:v>
      </x:c>
      <x:c r="AC720" s="6" t="n">
        <x:v>0</x:v>
      </x:c>
    </x:row>
    <x:row r="721">
      <x:c r="A721" s="6" t="n">
        <x:v>1463</x:v>
      </x:c>
      <x:c r="B721" s="6" t="n">
        <x:v>1958</x:v>
      </x:c>
      <x:c r="C721" s="6" t="str">
        <x:v>Graduation</x:v>
      </x:c>
      <x:c r="D721" s="6" t="str">
        <x:v>Single</x:v>
      </x:c>
      <x:c r="E721" s="6" t="n">
        <x:v>45160</x:v>
      </x:c>
      <x:c r="F721" s="6" t="n">
        <x:v>1</x:v>
      </x:c>
      <x:c r="G721" s="6" t="n">
        <x:v>1</x:v>
      </x:c>
      <x:c r="H721" s="9" t="str">
        <x:v>29-03-2014</x:v>
      </x:c>
      <x:c r="I721" s="6" t="n">
        <x:v>9</x:v>
      </x:c>
      <x:c r="J721" s="6" t="n">
        <x:v>8</x:v>
      </x:c>
      <x:c r="K721" s="6" t="n">
        <x:v>2</x:v>
      </x:c>
      <x:c r="L721" s="6" t="n">
        <x:v>5</x:v>
      </x:c>
      <x:c r="M721" s="6" t="n">
        <x:v>3</x:v>
      </x:c>
      <x:c r="N721" s="6" t="n">
        <x:v>0</x:v>
      </x:c>
      <x:c r="O721" s="6" t="n">
        <x:v>3</x:v>
      </x:c>
      <x:c r="P721" s="6" t="n">
        <x:v>1</x:v>
      </x:c>
      <x:c r="Q721" s="6" t="n">
        <x:v>1</x:v>
      </x:c>
      <x:c r="R721" s="6" t="n">
        <x:v>0</x:v>
      </x:c>
      <x:c r="S721" s="6" t="n">
        <x:v>2</x:v>
      </x:c>
      <x:c r="T721" s="6" t="n">
        <x:v>7</x:v>
      </x:c>
      <x:c r="U721" s="6" t="n">
        <x:v>0</x:v>
      </x:c>
      <x:c r="V721" s="6" t="n">
        <x:v>0</x:v>
      </x:c>
      <x:c r="W721" s="6" t="n">
        <x:v>0</x:v>
      </x:c>
      <x:c r="X721" s="6" t="n">
        <x:v>0</x:v>
      </x:c>
      <x:c r="Y721" s="6" t="n">
        <x:v>0</x:v>
      </x:c>
      <x:c r="Z721" s="6" t="n">
        <x:v>0</x:v>
      </x:c>
      <x:c r="AA721" s="6" t="n">
        <x:v>3</x:v>
      </x:c>
      <x:c r="AB721" s="6" t="n">
        <x:v>11</x:v>
      </x:c>
      <x:c r="AC721" s="6" t="n">
        <x:v>0</x:v>
      </x:c>
    </x:row>
    <x:row r="722">
      <x:c r="A722" s="6" t="n">
        <x:v>5114</x:v>
      </x:c>
      <x:c r="B722" s="6" t="n">
        <x:v>1965</x:v>
      </x:c>
      <x:c r="C722" s="6" t="str">
        <x:v>Master</x:v>
      </x:c>
      <x:c r="D722" s="6" t="str">
        <x:v>Married</x:v>
      </x:c>
      <x:c r="E722" s="6" t="n">
        <x:v>74806</x:v>
      </x:c>
      <x:c r="F722" s="6" t="n">
        <x:v>0</x:v>
      </x:c>
      <x:c r="G722" s="6" t="n">
        <x:v>1</x:v>
      </x:c>
      <x:c r="H722" s="9" t="str">
        <x:v>19-12-2012</x:v>
      </x:c>
      <x:c r="I722" s="6" t="n">
        <x:v>1</x:v>
      </x:c>
      <x:c r="J722" s="6" t="n">
        <x:v>670</x:v>
      </x:c>
      <x:c r="K722" s="6" t="n">
        <x:v>9</x:v>
      </x:c>
      <x:c r="L722" s="6" t="n">
        <x:v>249</x:v>
      </x:c>
      <x:c r="M722" s="6" t="n">
        <x:v>0</x:v>
      </x:c>
      <x:c r="N722" s="6" t="n">
        <x:v>28</x:v>
      </x:c>
      <x:c r="O722" s="6" t="n">
        <x:v>9</x:v>
      </x:c>
      <x:c r="P722" s="6" t="n">
        <x:v>2</x:v>
      </x:c>
      <x:c r="Q722" s="6" t="n">
        <x:v>5</x:v>
      </x:c>
      <x:c r="R722" s="6" t="n">
        <x:v>4</x:v>
      </x:c>
      <x:c r="S722" s="6" t="n">
        <x:v>5</x:v>
      </x:c>
      <x:c r="T722" s="6" t="n">
        <x:v>4</x:v>
      </x:c>
      <x:c r="U722" s="6" t="n">
        <x:v>0</x:v>
      </x:c>
      <x:c r="V722" s="6" t="n">
        <x:v>0</x:v>
      </x:c>
      <x:c r="W722" s="6" t="n">
        <x:v>0</x:v>
      </x:c>
      <x:c r="X722" s="6" t="n">
        <x:v>0</x:v>
      </x:c>
      <x:c r="Y722" s="6" t="n">
        <x:v>0</x:v>
      </x:c>
      <x:c r="Z722" s="6" t="n">
        <x:v>0</x:v>
      </x:c>
      <x:c r="AA722" s="6" t="n">
        <x:v>3</x:v>
      </x:c>
      <x:c r="AB722" s="6" t="n">
        <x:v>11</x:v>
      </x:c>
      <x:c r="AC722" s="6" t="n">
        <x:v>0</x:v>
      </x:c>
    </x:row>
    <x:row r="723">
      <x:c r="A723" s="6" t="n">
        <x:v>4990</x:v>
      </x:c>
      <x:c r="B723" s="6" t="n">
        <x:v>1954</x:v>
      </x:c>
      <x:c r="C723" s="6" t="str">
        <x:v>Graduation</x:v>
      </x:c>
      <x:c r="D723" s="6" t="str">
        <x:v>Married</x:v>
      </x:c>
      <x:c r="E723" s="6" t="n">
        <x:v>59111</x:v>
      </x:c>
      <x:c r="F723" s="6" t="n">
        <x:v>0</x:v>
      </x:c>
      <x:c r="G723" s="6" t="n">
        <x:v>0</x:v>
      </x:c>
      <x:c r="H723" s="9" t="str">
        <x:v>02-05-2013</x:v>
      </x:c>
      <x:c r="I723" s="6" t="n">
        <x:v>90</x:v>
      </x:c>
      <x:c r="J723" s="6" t="n">
        <x:v>524</x:v>
      </x:c>
      <x:c r="K723" s="6" t="n">
        <x:v>0</x:v>
      </x:c>
      <x:c r="L723" s="6" t="n">
        <x:v>134</x:v>
      </x:c>
      <x:c r="M723" s="6" t="n">
        <x:v>28</x:v>
      </x:c>
      <x:c r="N723" s="6" t="n">
        <x:v>28</x:v>
      </x:c>
      <x:c r="O723" s="6" t="n">
        <x:v>155</x:v>
      </x:c>
      <x:c r="P723" s="6" t="n">
        <x:v>1</x:v>
      </x:c>
      <x:c r="Q723" s="6" t="n">
        <x:v>11</x:v>
      </x:c>
      <x:c r="R723" s="6" t="n">
        <x:v>1</x:v>
      </x:c>
      <x:c r="S723" s="6" t="n">
        <x:v>8</x:v>
      </x:c>
      <x:c r="T723" s="6" t="n">
        <x:v>7</x:v>
      </x:c>
      <x:c r="U723" s="6" t="n">
        <x:v>0</x:v>
      </x:c>
      <x:c r="V723" s="6" t="n">
        <x:v>0</x:v>
      </x:c>
      <x:c r="W723" s="6" t="n">
        <x:v>0</x:v>
      </x:c>
      <x:c r="X723" s="6" t="n">
        <x:v>0</x:v>
      </x:c>
      <x:c r="Y723" s="6" t="n">
        <x:v>0</x:v>
      </x:c>
      <x:c r="Z723" s="6" t="n">
        <x:v>0</x:v>
      </x:c>
      <x:c r="AA723" s="6" t="n">
        <x:v>3</x:v>
      </x:c>
      <x:c r="AB723" s="6" t="n">
        <x:v>11</x:v>
      </x:c>
      <x:c r="AC723" s="6" t="n">
        <x:v>0</x:v>
      </x:c>
    </x:row>
    <x:row r="724">
      <x:c r="A724" s="6" t="n">
        <x:v>4329</x:v>
      </x:c>
      <x:c r="B724" s="6" t="n">
        <x:v>1984</x:v>
      </x:c>
      <x:c r="C724" s="6" t="str">
        <x:v>PhD</x:v>
      </x:c>
      <x:c r="D724" s="6" t="str">
        <x:v>Married</x:v>
      </x:c>
      <x:c r="E724" s="6" t="n">
        <x:v>18988</x:v>
      </x:c>
      <x:c r="F724" s="6" t="n">
        <x:v>1</x:v>
      </x:c>
      <x:c r="G724" s="6" t="n">
        <x:v>0</x:v>
      </x:c>
      <x:c r="H724" s="9" t="str">
        <x:v>23-05-2014</x:v>
      </x:c>
      <x:c r="I724" s="6" t="n">
        <x:v>43</x:v>
      </x:c>
      <x:c r="J724" s="6" t="n">
        <x:v>6</x:v>
      </x:c>
      <x:c r="K724" s="6" t="n">
        <x:v>0</x:v>
      </x:c>
      <x:c r="L724" s="6" t="n">
        <x:v>6</x:v>
      </x:c>
      <x:c r="M724" s="6" t="n">
        <x:v>2</x:v>
      </x:c>
      <x:c r="N724" s="6" t="n">
        <x:v>1</x:v>
      </x:c>
      <x:c r="O724" s="6" t="n">
        <x:v>1</x:v>
      </x:c>
      <x:c r="P724" s="6" t="n">
        <x:v>2</x:v>
      </x:c>
      <x:c r="Q724" s="6" t="n">
        <x:v>1</x:v>
      </x:c>
      <x:c r="R724" s="6" t="n">
        <x:v>0</x:v>
      </x:c>
      <x:c r="S724" s="6" t="n">
        <x:v>3</x:v>
      </x:c>
      <x:c r="T724" s="6" t="n">
        <x:v>7</x:v>
      </x:c>
      <x:c r="U724" s="6" t="n">
        <x:v>0</x:v>
      </x:c>
      <x:c r="V724" s="6" t="n">
        <x:v>0</x:v>
      </x:c>
      <x:c r="W724" s="6" t="n">
        <x:v>0</x:v>
      </x:c>
      <x:c r="X724" s="6" t="n">
        <x:v>0</x:v>
      </x:c>
      <x:c r="Y724" s="6" t="n">
        <x:v>0</x:v>
      </x:c>
      <x:c r="Z724" s="6" t="n">
        <x:v>0</x:v>
      </x:c>
      <x:c r="AA724" s="6" t="n">
        <x:v>3</x:v>
      </x:c>
      <x:c r="AB724" s="6" t="n">
        <x:v>11</x:v>
      </x:c>
      <x:c r="AC724" s="6" t="n">
        <x:v>0</x:v>
      </x:c>
    </x:row>
    <x:row r="725">
      <x:c r="A725" s="6" t="n">
        <x:v>10936</x:v>
      </x:c>
      <x:c r="B725" s="6" t="n">
        <x:v>1965</x:v>
      </x:c>
      <x:c r="C725" s="6" t="str">
        <x:v>Graduation</x:v>
      </x:c>
      <x:c r="D725" s="6" t="str">
        <x:v>Married</x:v>
      </x:c>
      <x:c r="E725" s="6" t="n">
        <x:v>72190</x:v>
      </x:c>
      <x:c r="F725" s="6" t="n">
        <x:v>0</x:v>
      </x:c>
      <x:c r="G725" s="6" t="n">
        <x:v>0</x:v>
      </x:c>
      <x:c r="H725" s="9" t="str">
        <x:v>13-02-2013</x:v>
      </x:c>
      <x:c r="I725" s="6" t="n">
        <x:v>79</x:v>
      </x:c>
      <x:c r="J725" s="6" t="n">
        <x:v>597</x:v>
      </x:c>
      <x:c r="K725" s="6" t="n">
        <x:v>166</x:v>
      </x:c>
      <x:c r="L725" s="6" t="n">
        <x:v>597</x:v>
      </x:c>
      <x:c r="M725" s="6" t="n">
        <x:v>172</x:v>
      </x:c>
      <x:c r="N725" s="6" t="n">
        <x:v>166</x:v>
      </x:c>
      <x:c r="O725" s="6" t="n">
        <x:v>249</x:v>
      </x:c>
      <x:c r="P725" s="6" t="n">
        <x:v>1</x:v>
      </x:c>
      <x:c r="Q725" s="6" t="n">
        <x:v>5</x:v>
      </x:c>
      <x:c r="R725" s="6" t="n">
        <x:v>6</x:v>
      </x:c>
      <x:c r="S725" s="6" t="n">
        <x:v>4</x:v>
      </x:c>
      <x:c r="T725" s="6" t="n">
        <x:v>3</x:v>
      </x:c>
      <x:c r="U725" s="6" t="n">
        <x:v>0</x:v>
      </x:c>
      <x:c r="V725" s="6" t="n">
        <x:v>0</x:v>
      </x:c>
      <x:c r="W725" s="6" t="n">
        <x:v>0</x:v>
      </x:c>
      <x:c r="X725" s="6" t="n">
        <x:v>0</x:v>
      </x:c>
      <x:c r="Y725" s="6" t="n">
        <x:v>0</x:v>
      </x:c>
      <x:c r="Z725" s="6" t="n">
        <x:v>0</x:v>
      </x:c>
      <x:c r="AA725" s="6" t="n">
        <x:v>3</x:v>
      </x:c>
      <x:c r="AB725" s="6" t="n">
        <x:v>11</x:v>
      </x:c>
      <x:c r="AC725" s="6" t="n">
        <x:v>0</x:v>
      </x:c>
    </x:row>
    <x:row r="726">
      <x:c r="A726" s="6" t="n">
        <x:v>4692</x:v>
      </x:c>
      <x:c r="B726" s="6" t="n">
        <x:v>1976</x:v>
      </x:c>
      <x:c r="C726" s="6" t="str">
        <x:v>Graduation</x:v>
      </x:c>
      <x:c r="D726" s="6" t="str">
        <x:v>Married</x:v>
      </x:c>
      <x:c r="E726" s="6" t="n">
        <x:v>7500</x:v>
      </x:c>
      <x:c r="F726" s="6" t="n">
        <x:v>1</x:v>
      </x:c>
      <x:c r="G726" s="6" t="n">
        <x:v>0</x:v>
      </x:c>
      <x:c r="H726" s="9" t="str">
        <x:v>01-08-2012</x:v>
      </x:c>
      <x:c r="I726" s="6" t="n">
        <x:v>19</x:v>
      </x:c>
      <x:c r="J726" s="6" t="n">
        <x:v>7</x:v>
      </x:c>
      <x:c r="K726" s="6" t="n">
        <x:v>0</x:v>
      </x:c>
      <x:c r="L726" s="6" t="n">
        <x:v>12</x:v>
      </x:c>
      <x:c r="M726" s="6" t="n">
        <x:v>13</x:v>
      </x:c>
      <x:c r="N726" s="6" t="n">
        <x:v>7</x:v>
      </x:c>
      <x:c r="O726" s="6" t="n">
        <x:v>32</x:v>
      </x:c>
      <x:c r="P726" s="6" t="n">
        <x:v>5</x:v>
      </x:c>
      <x:c r="Q726" s="6" t="n">
        <x:v>4</x:v>
      </x:c>
      <x:c r="R726" s="6" t="n">
        <x:v>1</x:v>
      </x:c>
      <x:c r="S726" s="6" t="n">
        <x:v>2</x:v>
      </x:c>
      <x:c r="T726" s="6" t="n">
        <x:v>9</x:v>
      </x:c>
      <x:c r="U726" s="6" t="n">
        <x:v>1</x:v>
      </x:c>
      <x:c r="V726" s="6" t="n">
        <x:v>0</x:v>
      </x:c>
      <x:c r="W726" s="6" t="n">
        <x:v>0</x:v>
      </x:c>
      <x:c r="X726" s="6" t="n">
        <x:v>0</x:v>
      </x:c>
      <x:c r="Y726" s="6" t="n">
        <x:v>0</x:v>
      </x:c>
      <x:c r="Z726" s="6" t="n">
        <x:v>0</x:v>
      </x:c>
      <x:c r="AA726" s="6" t="n">
        <x:v>3</x:v>
      </x:c>
      <x:c r="AB726" s="6" t="n">
        <x:v>11</x:v>
      </x:c>
      <x:c r="AC726" s="6" t="n">
        <x:v>1</x:v>
      </x:c>
    </x:row>
    <x:row r="727">
      <x:c r="A727" s="6" t="n">
        <x:v>7212</x:v>
      </x:c>
      <x:c r="B727" s="6" t="n">
        <x:v>1966</x:v>
      </x:c>
      <x:c r="C727" s="6" t="str">
        <x:v>Graduation</x:v>
      </x:c>
      <x:c r="D727" s="6" t="str">
        <x:v>Married</x:v>
      </x:c>
      <x:c r="E727" s="6" t="n">
        <x:v>44794</x:v>
      </x:c>
      <x:c r="F727" s="6" t="n">
        <x:v>0</x:v>
      </x:c>
      <x:c r="G727" s="6" t="n">
        <x:v>1</x:v>
      </x:c>
      <x:c r="H727" s="9" t="str">
        <x:v>08-06-2014</x:v>
      </x:c>
      <x:c r="I727" s="6" t="n">
        <x:v>99</x:v>
      </x:c>
      <x:c r="J727" s="6" t="n">
        <x:v>54</x:v>
      </x:c>
      <x:c r="K727" s="6" t="n">
        <x:v>0</x:v>
      </x:c>
      <x:c r="L727" s="6" t="n">
        <x:v>7</x:v>
      </x:c>
      <x:c r="M727" s="6" t="n">
        <x:v>0</x:v>
      </x:c>
      <x:c r="N727" s="6" t="n">
        <x:v>0</x:v>
      </x:c>
      <x:c r="O727" s="6" t="n">
        <x:v>4</x:v>
      </x:c>
      <x:c r="P727" s="6" t="n">
        <x:v>1</x:v>
      </x:c>
      <x:c r="Q727" s="6" t="n">
        <x:v>2</x:v>
      </x:c>
      <x:c r="R727" s="6" t="n">
        <x:v>0</x:v>
      </x:c>
      <x:c r="S727" s="6" t="n">
        <x:v>3</x:v>
      </x:c>
      <x:c r="T727" s="6" t="n">
        <x:v>6</x:v>
      </x:c>
      <x:c r="U727" s="6" t="n">
        <x:v>0</x:v>
      </x:c>
      <x:c r="V727" s="6" t="n">
        <x:v>0</x:v>
      </x:c>
      <x:c r="W727" s="6" t="n">
        <x:v>0</x:v>
      </x:c>
      <x:c r="X727" s="6" t="n">
        <x:v>0</x:v>
      </x:c>
      <x:c r="Y727" s="6" t="n">
        <x:v>0</x:v>
      </x:c>
      <x:c r="Z727" s="6" t="n">
        <x:v>0</x:v>
      </x:c>
      <x:c r="AA727" s="6" t="n">
        <x:v>3</x:v>
      </x:c>
      <x:c r="AB727" s="6" t="n">
        <x:v>11</x:v>
      </x:c>
      <x:c r="AC727" s="6" t="n">
        <x:v>0</x:v>
      </x:c>
    </x:row>
    <x:row r="728">
      <x:c r="A728" s="6" t="n">
        <x:v>6086</x:v>
      </x:c>
      <x:c r="B728" s="6" t="n">
        <x:v>1955</x:v>
      </x:c>
      <x:c r="C728" s="6" t="str">
        <x:v>Graduation</x:v>
      </x:c>
      <x:c r="D728" s="6" t="str">
        <x:v>Married</x:v>
      </x:c>
      <x:c r="E728" s="6" t="n">
        <x:v>80395</x:v>
      </x:c>
      <x:c r="F728" s="6" t="n">
        <x:v>0</x:v>
      </x:c>
      <x:c r="G728" s="6" t="n">
        <x:v>0</x:v>
      </x:c>
      <x:c r="H728" s="9" t="str">
        <x:v>23-11-2013</x:v>
      </x:c>
      <x:c r="I728" s="6" t="n">
        <x:v>62</x:v>
      </x:c>
      <x:c r="J728" s="6" t="n">
        <x:v>445</x:v>
      </x:c>
      <x:c r="K728" s="6" t="n">
        <x:v>25</x:v>
      </x:c>
      <x:c r="L728" s="6" t="n">
        <x:v>706</x:v>
      </x:c>
      <x:c r="M728" s="6" t="n">
        <x:v>80</x:v>
      </x:c>
      <x:c r="N728" s="6" t="n">
        <x:v>76</x:v>
      </x:c>
      <x:c r="O728" s="6" t="n">
        <x:v>48</x:v>
      </x:c>
      <x:c r="P728" s="6" t="n">
        <x:v>1</x:v>
      </x:c>
      <x:c r="Q728" s="6" t="n">
        <x:v>6</x:v>
      </x:c>
      <x:c r="R728" s="6" t="n">
        <x:v>5</x:v>
      </x:c>
      <x:c r="S728" s="6" t="n">
        <x:v>12</x:v>
      </x:c>
      <x:c r="T728" s="6" t="n">
        <x:v>2</x:v>
      </x:c>
      <x:c r="U728" s="6" t="n">
        <x:v>0</x:v>
      </x:c>
      <x:c r="V728" s="6" t="n">
        <x:v>0</x:v>
      </x:c>
      <x:c r="W728" s="6" t="n">
        <x:v>0</x:v>
      </x:c>
      <x:c r="X728" s="6" t="n">
        <x:v>1</x:v>
      </x:c>
      <x:c r="Y728" s="6" t="n">
        <x:v>0</x:v>
      </x:c>
      <x:c r="Z728" s="6" t="n">
        <x:v>0</x:v>
      </x:c>
      <x:c r="AA728" s="6" t="n">
        <x:v>3</x:v>
      </x:c>
      <x:c r="AB728" s="6" t="n">
        <x:v>11</x:v>
      </x:c>
      <x:c r="AC728" s="6" t="n">
        <x:v>0</x:v>
      </x:c>
    </x:row>
    <x:row r="729">
      <x:c r="A729" s="6" t="n">
        <x:v>437</x:v>
      </x:c>
      <x:c r="B729" s="6" t="n">
        <x:v>1976</x:v>
      </x:c>
      <x:c r="C729" s="6" t="str">
        <x:v>Master</x:v>
      </x:c>
      <x:c r="D729" s="6" t="str">
        <x:v>Divorced</x:v>
      </x:c>
      <x:c r="E729" s="6" t="n">
        <x:v>75012</x:v>
      </x:c>
      <x:c r="F729" s="6" t="n">
        <x:v>0</x:v>
      </x:c>
      <x:c r="G729" s="6" t="n">
        <x:v>0</x:v>
      </x:c>
      <x:c r="H729" s="9" t="str">
        <x:v>25-01-2014</x:v>
      </x:c>
      <x:c r="I729" s="6" t="n">
        <x:v>41</x:v>
      </x:c>
      <x:c r="J729" s="6" t="n">
        <x:v>294</x:v>
      </x:c>
      <x:c r="K729" s="6" t="n">
        <x:v>142</x:v>
      </x:c>
      <x:c r="L729" s="6" t="n">
        <x:v>218</x:v>
      </x:c>
      <x:c r="M729" s="6" t="n">
        <x:v>164</x:v>
      </x:c>
      <x:c r="N729" s="6" t="n">
        <x:v>58</x:v>
      </x:c>
      <x:c r="O729" s="6" t="n">
        <x:v>151</x:v>
      </x:c>
      <x:c r="P729" s="6" t="n">
        <x:v>1</x:v>
      </x:c>
      <x:c r="Q729" s="6" t="n">
        <x:v>3</x:v>
      </x:c>
      <x:c r="R729" s="6" t="n">
        <x:v>8</x:v>
      </x:c>
      <x:c r="S729" s="6" t="n">
        <x:v>11</x:v>
      </x:c>
      <x:c r="T729" s="6" t="n">
        <x:v>1</x:v>
      </x:c>
      <x:c r="U729" s="6" t="n">
        <x:v>0</x:v>
      </x:c>
      <x:c r="V729" s="6" t="n">
        <x:v>0</x:v>
      </x:c>
      <x:c r="W729" s="6" t="n">
        <x:v>0</x:v>
      </x:c>
      <x:c r="X729" s="6" t="n">
        <x:v>0</x:v>
      </x:c>
      <x:c r="Y729" s="6" t="n">
        <x:v>0</x:v>
      </x:c>
      <x:c r="Z729" s="6" t="n">
        <x:v>0</x:v>
      </x:c>
      <x:c r="AA729" s="6" t="n">
        <x:v>3</x:v>
      </x:c>
      <x:c r="AB729" s="6" t="n">
        <x:v>11</x:v>
      </x:c>
      <x:c r="AC729" s="6" t="n">
        <x:v>0</x:v>
      </x:c>
    </x:row>
    <x:row r="730">
      <x:c r="A730" s="6" t="n">
        <x:v>11171</x:v>
      </x:c>
      <x:c r="B730" s="6" t="n">
        <x:v>1965</x:v>
      </x:c>
      <x:c r="C730" s="6" t="str">
        <x:v>Master</x:v>
      </x:c>
      <x:c r="D730" s="6" t="str">
        <x:v>Married</x:v>
      </x:c>
      <x:c r="E730" s="6" t="n">
        <x:v>56962</x:v>
      </x:c>
      <x:c r="F730" s="6" t="n">
        <x:v>2</x:v>
      </x:c>
      <x:c r="G730" s="6" t="n">
        <x:v>1</x:v>
      </x:c>
      <x:c r="H730" s="9" t="str">
        <x:v>11-10-2013</x:v>
      </x:c>
      <x:c r="I730" s="6" t="n">
        <x:v>60</x:v>
      </x:c>
      <x:c r="J730" s="6" t="n">
        <x:v>292</x:v>
      </x:c>
      <x:c r="K730" s="6" t="n">
        <x:v>3</x:v>
      </x:c>
      <x:c r="L730" s="6" t="n">
        <x:v>77</x:v>
      </x:c>
      <x:c r="M730" s="6" t="n">
        <x:v>10</x:v>
      </x:c>
      <x:c r="N730" s="6" t="n">
        <x:v>3</x:v>
      </x:c>
      <x:c r="O730" s="6" t="n">
        <x:v>26</x:v>
      </x:c>
      <x:c r="P730" s="6" t="n">
        <x:v>7</x:v>
      </x:c>
      <x:c r="Q730" s="6" t="n">
        <x:v>6</x:v>
      </x:c>
      <x:c r="R730" s="6" t="n">
        <x:v>3</x:v>
      </x:c>
      <x:c r="S730" s="6" t="n">
        <x:v>5</x:v>
      </x:c>
      <x:c r="T730" s="6" t="n">
        <x:v>7</x:v>
      </x:c>
      <x:c r="U730" s="6" t="n">
        <x:v>0</x:v>
      </x:c>
      <x:c r="V730" s="6" t="n">
        <x:v>0</x:v>
      </x:c>
      <x:c r="W730" s="6" t="n">
        <x:v>0</x:v>
      </x:c>
      <x:c r="X730" s="6" t="n">
        <x:v>0</x:v>
      </x:c>
      <x:c r="Y730" s="6" t="n">
        <x:v>0</x:v>
      </x:c>
      <x:c r="Z730" s="6" t="n">
        <x:v>0</x:v>
      </x:c>
      <x:c r="AA730" s="6" t="n">
        <x:v>3</x:v>
      </x:c>
      <x:c r="AB730" s="6" t="n">
        <x:v>11</x:v>
      </x:c>
      <x:c r="AC730" s="6" t="n">
        <x:v>0</x:v>
      </x:c>
    </x:row>
    <x:row r="731">
      <x:c r="A731" s="6" t="n">
        <x:v>11101</x:v>
      </x:c>
      <x:c r="B731" s="6" t="n">
        <x:v>1991</x:v>
      </x:c>
      <x:c r="C731" s="6" t="str">
        <x:v>Graduation</x:v>
      </x:c>
      <x:c r="D731" s="6" t="str">
        <x:v>Together</x:v>
      </x:c>
      <x:c r="E731" s="6" t="n">
        <x:v>89891</x:v>
      </x:c>
      <x:c r="F731" s="6" t="n">
        <x:v>0</x:v>
      </x:c>
      <x:c r="G731" s="6" t="n">
        <x:v>0</x:v>
      </x:c>
      <x:c r="H731" s="9" t="str">
        <x:v>15-04-2013</x:v>
      </x:c>
      <x:c r="I731" s="6" t="n">
        <x:v>17</x:v>
      </x:c>
      <x:c r="J731" s="6" t="n">
        <x:v>412</x:v>
      </x:c>
      <x:c r="K731" s="6" t="n">
        <x:v>22</x:v>
      </x:c>
      <x:c r="L731" s="6" t="n">
        <x:v>132</x:v>
      </x:c>
      <x:c r="M731" s="6" t="n">
        <x:v>59</x:v>
      </x:c>
      <x:c r="N731" s="6" t="n">
        <x:v>28</x:v>
      </x:c>
      <x:c r="O731" s="6" t="n">
        <x:v>183</x:v>
      </x:c>
      <x:c r="P731" s="6" t="n">
        <x:v>1</x:v>
      </x:c>
      <x:c r="Q731" s="6" t="n">
        <x:v>11</x:v>
      </x:c>
      <x:c r="R731" s="6" t="n">
        <x:v>6</x:v>
      </x:c>
      <x:c r="S731" s="6" t="n">
        <x:v>8</x:v>
      </x:c>
      <x:c r="T731" s="6" t="n">
        <x:v>4</x:v>
      </x:c>
      <x:c r="U731" s="6" t="n">
        <x:v>0</x:v>
      </x:c>
      <x:c r="V731" s="6" t="n">
        <x:v>0</x:v>
      </x:c>
      <x:c r="W731" s="6" t="n">
        <x:v>1</x:v>
      </x:c>
      <x:c r="X731" s="6" t="n">
        <x:v>0</x:v>
      </x:c>
      <x:c r="Y731" s="6" t="n">
        <x:v>0</x:v>
      </x:c>
      <x:c r="Z731" s="6" t="n">
        <x:v>0</x:v>
      </x:c>
      <x:c r="AA731" s="6" t="n">
        <x:v>3</x:v>
      </x:c>
      <x:c r="AB731" s="6" t="n">
        <x:v>11</x:v>
      </x:c>
      <x:c r="AC731" s="6" t="n">
        <x:v>0</x:v>
      </x:c>
    </x:row>
    <x:row r="732">
      <x:c r="A732" s="6" t="n">
        <x:v>5329</x:v>
      </x:c>
      <x:c r="B732" s="6" t="n">
        <x:v>1949</x:v>
      </x:c>
      <x:c r="C732" s="6" t="str">
        <x:v>PhD</x:v>
      </x:c>
      <x:c r="D732" s="6" t="str">
        <x:v>Divorced</x:v>
      </x:c>
      <x:c r="E732" s="6" t="n">
        <x:v>35946</x:v>
      </x:c>
      <x:c r="F732" s="6" t="n">
        <x:v>1</x:v>
      </x:c>
      <x:c r="G732" s="6" t="n">
        <x:v>1</x:v>
      </x:c>
      <x:c r="H732" s="9" t="str">
        <x:v>27-09-2013</x:v>
      </x:c>
      <x:c r="I732" s="6" t="n">
        <x:v>24</x:v>
      </x:c>
      <x:c r="J732" s="6" t="n">
        <x:v>8</x:v>
      </x:c>
      <x:c r="K732" s="6" t="n">
        <x:v>0</x:v>
      </x:c>
      <x:c r="L732" s="6" t="n">
        <x:v>3</x:v>
      </x:c>
      <x:c r="M732" s="6" t="n">
        <x:v>0</x:v>
      </x:c>
      <x:c r="N732" s="6" t="n">
        <x:v>0</x:v>
      </x:c>
      <x:c r="O732" s="6" t="n">
        <x:v>0</x:v>
      </x:c>
      <x:c r="P732" s="6" t="n">
        <x:v>1</x:v>
      </x:c>
      <x:c r="Q732" s="6" t="n">
        <x:v>0</x:v>
      </x:c>
      <x:c r="R732" s="6" t="n">
        <x:v>0</x:v>
      </x:c>
      <x:c r="S732" s="6" t="n">
        <x:v>3</x:v>
      </x:c>
      <x:c r="T732" s="6" t="n">
        <x:v>5</x:v>
      </x:c>
      <x:c r="U732" s="6" t="n">
        <x:v>0</x:v>
      </x:c>
      <x:c r="V732" s="6" t="n">
        <x:v>0</x:v>
      </x:c>
      <x:c r="W732" s="6" t="n">
        <x:v>0</x:v>
      </x:c>
      <x:c r="X732" s="6" t="n">
        <x:v>0</x:v>
      </x:c>
      <x:c r="Y732" s="6" t="n">
        <x:v>0</x:v>
      </x:c>
      <x:c r="Z732" s="6" t="n">
        <x:v>0</x:v>
      </x:c>
      <x:c r="AA732" s="6" t="n">
        <x:v>3</x:v>
      </x:c>
      <x:c r="AB732" s="6" t="n">
        <x:v>11</x:v>
      </x:c>
      <x:c r="AC732" s="6" t="n">
        <x:v>0</x:v>
      </x:c>
    </x:row>
    <x:row r="733">
      <x:c r="A733" s="6" t="n">
        <x:v>610</x:v>
      </x:c>
      <x:c r="B733" s="6" t="n">
        <x:v>1953</x:v>
      </x:c>
      <x:c r="C733" s="6" t="str">
        <x:v>PhD</x:v>
      </x:c>
      <x:c r="D733" s="6" t="str">
        <x:v>Together</x:v>
      </x:c>
      <x:c r="E733" s="6" t="n">
        <x:v>53593</x:v>
      </x:c>
      <x:c r="F733" s="6" t="n">
        <x:v>1</x:v>
      </x:c>
      <x:c r="G733" s="6" t="n">
        <x:v>1</x:v>
      </x:c>
      <x:c r="H733" s="9" t="str">
        <x:v>07-08-2012</x:v>
      </x:c>
      <x:c r="I733" s="6" t="n">
        <x:v>60</x:v>
      </x:c>
      <x:c r="J733" s="6" t="n">
        <x:v>349</x:v>
      </x:c>
      <x:c r="K733" s="6" t="n">
        <x:v>4</x:v>
      </x:c>
      <x:c r="L733" s="6" t="n">
        <x:v>78</x:v>
      </x:c>
      <x:c r="M733" s="6" t="n">
        <x:v>6</x:v>
      </x:c>
      <x:c r="N733" s="6" t="n">
        <x:v>0</x:v>
      </x:c>
      <x:c r="O733" s="6" t="n">
        <x:v>43</x:v>
      </x:c>
      <x:c r="P733" s="6" t="n">
        <x:v>8</x:v>
      </x:c>
      <x:c r="Q733" s="6" t="n">
        <x:v>7</x:v>
      </x:c>
      <x:c r="R733" s="6" t="n">
        <x:v>2</x:v>
      </x:c>
      <x:c r="S733" s="6" t="n">
        <x:v>6</x:v>
      </x:c>
      <x:c r="T733" s="6" t="n">
        <x:v>8</x:v>
      </x:c>
      <x:c r="U733" s="6" t="n">
        <x:v>0</x:v>
      </x:c>
      <x:c r="V733" s="6" t="n">
        <x:v>0</x:v>
      </x:c>
      <x:c r="W733" s="6" t="n">
        <x:v>0</x:v>
      </x:c>
      <x:c r="X733" s="6" t="n">
        <x:v>0</x:v>
      </x:c>
      <x:c r="Y733" s="6" t="n">
        <x:v>0</x:v>
      </x:c>
      <x:c r="Z733" s="6" t="n">
        <x:v>0</x:v>
      </x:c>
      <x:c r="AA733" s="6" t="n">
        <x:v>3</x:v>
      </x:c>
      <x:c r="AB733" s="6" t="n">
        <x:v>11</x:v>
      </x:c>
      <x:c r="AC733" s="6" t="n">
        <x:v>0</x:v>
      </x:c>
    </x:row>
    <x:row r="734">
      <x:c r="A734" s="6" t="n">
        <x:v>9384</x:v>
      </x:c>
      <x:c r="B734" s="6" t="n">
        <x:v>1978</x:v>
      </x:c>
      <x:c r="C734" s="6" t="str">
        <x:v>Graduation</x:v>
      </x:c>
      <x:c r="D734" s="6" t="str">
        <x:v>Married</x:v>
      </x:c>
      <x:c r="E734" s="6" t="n">
        <x:v>66373</x:v>
      </x:c>
      <x:c r="F734" s="6" t="n">
        <x:v>1</x:v>
      </x:c>
      <x:c r="G734" s="6" t="n">
        <x:v>1</x:v>
      </x:c>
      <x:c r="H734" s="9" t="str">
        <x:v>12-06-2013</x:v>
      </x:c>
      <x:c r="I734" s="6" t="n">
        <x:v>57</x:v>
      </x:c>
      <x:c r="J734" s="6" t="n">
        <x:v>328</x:v>
      </x:c>
      <x:c r="K734" s="6" t="n">
        <x:v>9</x:v>
      </x:c>
      <x:c r="L734" s="6" t="n">
        <x:v>124</x:v>
      </x:c>
      <x:c r="M734" s="6" t="n">
        <x:v>12</x:v>
      </x:c>
      <x:c r="N734" s="6" t="n">
        <x:v>24</x:v>
      </x:c>
      <x:c r="O734" s="6" t="n">
        <x:v>109</x:v>
      </x:c>
      <x:c r="P734" s="6" t="n">
        <x:v>7</x:v>
      </x:c>
      <x:c r="Q734" s="6" t="n">
        <x:v>4</x:v>
      </x:c>
      <x:c r="R734" s="6" t="n">
        <x:v>2</x:v>
      </x:c>
      <x:c r="S734" s="6" t="n">
        <x:v>10</x:v>
      </x:c>
      <x:c r="T734" s="6" t="n">
        <x:v>3</x:v>
      </x:c>
      <x:c r="U734" s="6" t="n">
        <x:v>0</x:v>
      </x:c>
      <x:c r="V734" s="6" t="n">
        <x:v>0</x:v>
      </x:c>
      <x:c r="W734" s="6" t="n">
        <x:v>0</x:v>
      </x:c>
      <x:c r="X734" s="6" t="n">
        <x:v>0</x:v>
      </x:c>
      <x:c r="Y734" s="6" t="n">
        <x:v>0</x:v>
      </x:c>
      <x:c r="Z734" s="6" t="n">
        <x:v>0</x:v>
      </x:c>
      <x:c r="AA734" s="6" t="n">
        <x:v>3</x:v>
      </x:c>
      <x:c r="AB734" s="6" t="n">
        <x:v>11</x:v>
      </x:c>
      <x:c r="AC734" s="6" t="n">
        <x:v>0</x:v>
      </x:c>
    </x:row>
    <x:row r="735">
      <x:c r="A735" s="6" t="n">
        <x:v>5956</x:v>
      </x:c>
      <x:c r="B735" s="6" t="n">
        <x:v>1948</x:v>
      </x:c>
      <x:c r="C735" s="6" t="str">
        <x:v>PhD</x:v>
      </x:c>
      <x:c r="D735" s="6" t="str">
        <x:v>Divorced</x:v>
      </x:c>
      <x:c r="E735" s="6" t="n">
        <x:v>45072</x:v>
      </x:c>
      <x:c r="F735" s="6" t="n">
        <x:v>1</x:v>
      </x:c>
      <x:c r="G735" s="6" t="n">
        <x:v>2</x:v>
      </x:c>
      <x:c r="H735" s="9" t="str">
        <x:v>16-10-2013</x:v>
      </x:c>
      <x:c r="I735" s="6" t="n">
        <x:v>74</x:v>
      </x:c>
      <x:c r="J735" s="6" t="n">
        <x:v>144</x:v>
      </x:c>
      <x:c r="K735" s="6" t="n">
        <x:v>2</x:v>
      </x:c>
      <x:c r="L735" s="6" t="n">
        <x:v>99</x:v>
      </x:c>
      <x:c r="M735" s="6" t="n">
        <x:v>7</x:v>
      </x:c>
      <x:c r="N735" s="6" t="n">
        <x:v>2</x:v>
      </x:c>
      <x:c r="O735" s="6" t="n">
        <x:v>30</x:v>
      </x:c>
      <x:c r="P735" s="6" t="n">
        <x:v>5</x:v>
      </x:c>
      <x:c r="Q735" s="6" t="n">
        <x:v>6</x:v>
      </x:c>
      <x:c r="R735" s="6" t="n">
        <x:v>1</x:v>
      </x:c>
      <x:c r="S735" s="6" t="n">
        <x:v>4</x:v>
      </x:c>
      <x:c r="T735" s="6" t="n">
        <x:v>8</x:v>
      </x:c>
      <x:c r="U735" s="6" t="n">
        <x:v>0</x:v>
      </x:c>
      <x:c r="V735" s="6" t="n">
        <x:v>0</x:v>
      </x:c>
      <x:c r="W735" s="6" t="n">
        <x:v>0</x:v>
      </x:c>
      <x:c r="X735" s="6" t="n">
        <x:v>0</x:v>
      </x:c>
      <x:c r="Y735" s="6" t="n">
        <x:v>0</x:v>
      </x:c>
      <x:c r="Z735" s="6" t="n">
        <x:v>0</x:v>
      </x:c>
      <x:c r="AA735" s="6" t="n">
        <x:v>3</x:v>
      </x:c>
      <x:c r="AB735" s="6" t="n">
        <x:v>11</x:v>
      </x:c>
      <x:c r="AC735" s="6" t="n">
        <x:v>0</x:v>
      </x:c>
    </x:row>
    <x:row r="736">
      <x:c r="A736" s="6" t="n">
        <x:v>10430</x:v>
      </x:c>
      <x:c r="B736" s="6" t="n">
        <x:v>1973</x:v>
      </x:c>
      <x:c r="C736" s="6" t="str">
        <x:v>Graduation</x:v>
      </x:c>
      <x:c r="D736" s="6" t="str">
        <x:v>Divorced</x:v>
      </x:c>
      <x:c r="E736" s="6" t="n">
        <x:v>89694</x:v>
      </x:c>
      <x:c r="F736" s="6" t="n">
        <x:v>1</x:v>
      </x:c>
      <x:c r="G736" s="6" t="n">
        <x:v>1</x:v>
      </x:c>
      <x:c r="H736" s="9" t="str">
        <x:v>09-10-2013</x:v>
      </x:c>
      <x:c r="I736" s="6" t="n">
        <x:v>22</x:v>
      </x:c>
      <x:c r="J736" s="6" t="n">
        <x:v>1126</x:v>
      </x:c>
      <x:c r="K736" s="6" t="n">
        <x:v>28</x:v>
      </x:c>
      <x:c r="L736" s="6" t="n">
        <x:v>211</x:v>
      </x:c>
      <x:c r="M736" s="6" t="n">
        <x:v>37</x:v>
      </x:c>
      <x:c r="N736" s="6" t="n">
        <x:v>28</x:v>
      </x:c>
      <x:c r="O736" s="6" t="n">
        <x:v>42</x:v>
      </x:c>
      <x:c r="P736" s="6" t="n">
        <x:v>3</x:v>
      </x:c>
      <x:c r="Q736" s="6" t="n">
        <x:v>4</x:v>
      </x:c>
      <x:c r="R736" s="6" t="n">
        <x:v>3</x:v>
      </x:c>
      <x:c r="S736" s="6" t="n">
        <x:v>4</x:v>
      </x:c>
      <x:c r="T736" s="6" t="n">
        <x:v>5</x:v>
      </x:c>
      <x:c r="U736" s="6" t="n">
        <x:v>0</x:v>
      </x:c>
      <x:c r="V736" s="6" t="n">
        <x:v>1</x:v>
      </x:c>
      <x:c r="W736" s="6" t="n">
        <x:v>1</x:v>
      </x:c>
      <x:c r="X736" s="6" t="n">
        <x:v>1</x:v>
      </x:c>
      <x:c r="Y736" s="6" t="n">
        <x:v>0</x:v>
      </x:c>
      <x:c r="Z736" s="6" t="n">
        <x:v>0</x:v>
      </x:c>
      <x:c r="AA736" s="6" t="n">
        <x:v>3</x:v>
      </x:c>
      <x:c r="AB736" s="6" t="n">
        <x:v>11</x:v>
      </x:c>
      <x:c r="AC736" s="6" t="n">
        <x:v>0</x:v>
      </x:c>
    </x:row>
    <x:row r="737">
      <x:c r="A737" s="6" t="n">
        <x:v>7875</x:v>
      </x:c>
      <x:c r="B737" s="6" t="n">
        <x:v>1949</x:v>
      </x:c>
      <x:c r="C737" s="6" t="str">
        <x:v>Graduation</x:v>
      </x:c>
      <x:c r="D737" s="6" t="str">
        <x:v>Married</x:v>
      </x:c>
      <x:c r="E737" s="6" t="n">
        <x:v>72025</x:v>
      </x:c>
      <x:c r="F737" s="6" t="n">
        <x:v>0</x:v>
      </x:c>
      <x:c r="G737" s="6" t="n">
        <x:v>0</x:v>
      </x:c>
      <x:c r="H737" s="9" t="str">
        <x:v>29-04-2014</x:v>
      </x:c>
      <x:c r="I737" s="6" t="n">
        <x:v>46</x:v>
      </x:c>
      <x:c r="J737" s="6" t="n">
        <x:v>967</x:v>
      </x:c>
      <x:c r="K737" s="6" t="n">
        <x:v>0</x:v>
      </x:c>
      <x:c r="L737" s="6" t="n">
        <x:v>617</x:v>
      </x:c>
      <x:c r="M737" s="6" t="n">
        <x:v>43</x:v>
      </x:c>
      <x:c r="N737" s="6" t="n">
        <x:v>50</x:v>
      </x:c>
      <x:c r="O737" s="6" t="n">
        <x:v>0</x:v>
      </x:c>
      <x:c r="P737" s="6" t="n">
        <x:v>1</x:v>
      </x:c>
      <x:c r="Q737" s="6" t="n">
        <x:v>4</x:v>
      </x:c>
      <x:c r="R737" s="6" t="n">
        <x:v>8</x:v>
      </x:c>
      <x:c r="S737" s="6" t="n">
        <x:v>13</x:v>
      </x:c>
      <x:c r="T737" s="6" t="n">
        <x:v>2</x:v>
      </x:c>
      <x:c r="U737" s="6" t="n">
        <x:v>0</x:v>
      </x:c>
      <x:c r="V737" s="6" t="n">
        <x:v>1</x:v>
      </x:c>
      <x:c r="W737" s="6" t="n">
        <x:v>1</x:v>
      </x:c>
      <x:c r="X737" s="6" t="n">
        <x:v>1</x:v>
      </x:c>
      <x:c r="Y737" s="6" t="n">
        <x:v>0</x:v>
      </x:c>
      <x:c r="Z737" s="6" t="n">
        <x:v>0</x:v>
      </x:c>
      <x:c r="AA737" s="6" t="n">
        <x:v>3</x:v>
      </x:c>
      <x:c r="AB737" s="6" t="n">
        <x:v>11</x:v>
      </x:c>
      <x:c r="AC737" s="6" t="n">
        <x:v>1</x:v>
      </x:c>
    </x:row>
    <x:row r="738">
      <x:c r="A738" s="6" t="n">
        <x:v>7072</x:v>
      </x:c>
      <x:c r="B738" s="6" t="n">
        <x:v>1973</x:v>
      </x:c>
      <x:c r="C738" s="6" t="str">
        <x:v>Graduation</x:v>
      </x:c>
      <x:c r="D738" s="6" t="str">
        <x:v>Married</x:v>
      </x:c>
      <x:c r="E738" s="6" t="n">
        <x:v>67432</x:v>
      </x:c>
      <x:c r="F738" s="6" t="n">
        <x:v>0</x:v>
      </x:c>
      <x:c r="G738" s="6" t="n">
        <x:v>1</x:v>
      </x:c>
      <x:c r="H738" s="9" t="str">
        <x:v>29-03-2013</x:v>
      </x:c>
      <x:c r="I738" s="6" t="n">
        <x:v>69</x:v>
      </x:c>
      <x:c r="J738" s="6" t="n">
        <x:v>432</x:v>
      </x:c>
      <x:c r="K738" s="6" t="n">
        <x:v>79</x:v>
      </x:c>
      <x:c r="L738" s="6" t="n">
        <x:v>341</x:v>
      </x:c>
      <x:c r="M738" s="6" t="n">
        <x:v>177</x:v>
      </x:c>
      <x:c r="N738" s="6" t="n">
        <x:v>136</x:v>
      </x:c>
      <x:c r="O738" s="6" t="n">
        <x:v>170</x:v>
      </x:c>
      <x:c r="P738" s="6" t="n">
        <x:v>2</x:v>
      </x:c>
      <x:c r="Q738" s="6" t="n">
        <x:v>8</x:v>
      </x:c>
      <x:c r="R738" s="6" t="n">
        <x:v>5</x:v>
      </x:c>
      <x:c r="S738" s="6" t="n">
        <x:v>4</x:v>
      </x:c>
      <x:c r="T738" s="6" t="n">
        <x:v>4</x:v>
      </x:c>
      <x:c r="U738" s="6" t="n">
        <x:v>0</x:v>
      </x:c>
      <x:c r="V738" s="6" t="n">
        <x:v>0</x:v>
      </x:c>
      <x:c r="W738" s="6" t="n">
        <x:v>0</x:v>
      </x:c>
      <x:c r="X738" s="6" t="n">
        <x:v>0</x:v>
      </x:c>
      <x:c r="Y738" s="6" t="n">
        <x:v>0</x:v>
      </x:c>
      <x:c r="Z738" s="6" t="n">
        <x:v>0</x:v>
      </x:c>
      <x:c r="AA738" s="6" t="n">
        <x:v>3</x:v>
      </x:c>
      <x:c r="AB738" s="6" t="n">
        <x:v>11</x:v>
      </x:c>
      <x:c r="AC738" s="6" t="n">
        <x:v>0</x:v>
      </x:c>
    </x:row>
    <x:row r="739">
      <x:c r="A739" s="6" t="n">
        <x:v>6255</x:v>
      </x:c>
      <x:c r="B739" s="6" t="n">
        <x:v>1952</x:v>
      </x:c>
      <x:c r="C739" s="6" t="str">
        <x:v>Master</x:v>
      </x:c>
      <x:c r="D739" s="6" t="str">
        <x:v>Together</x:v>
      </x:c>
      <x:c r="E739" s="6" t="n">
        <x:v>70545</x:v>
      </x:c>
      <x:c r="F739" s="6" t="n">
        <x:v>0</x:v>
      </x:c>
      <x:c r="G739" s="6" t="n">
        <x:v>1</x:v>
      </x:c>
      <x:c r="H739" s="9" t="str">
        <x:v>03-06-2014</x:v>
      </x:c>
      <x:c r="I739" s="6" t="n">
        <x:v>29</x:v>
      </x:c>
      <x:c r="J739" s="6" t="n">
        <x:v>138</x:v>
      </x:c>
      <x:c r="K739" s="6" t="n">
        <x:v>39</x:v>
      </x:c>
      <x:c r="L739" s="6" t="n">
        <x:v>63</x:v>
      </x:c>
      <x:c r="M739" s="6" t="n">
        <x:v>55</x:v>
      </x:c>
      <x:c r="N739" s="6" t="n">
        <x:v>18</x:v>
      </x:c>
      <x:c r="O739" s="6" t="n">
        <x:v>21</x:v>
      </x:c>
      <x:c r="P739" s="6" t="n">
        <x:v>1</x:v>
      </x:c>
      <x:c r="Q739" s="6" t="n">
        <x:v>4</x:v>
      </x:c>
      <x:c r="R739" s="6" t="n">
        <x:v>1</x:v>
      </x:c>
      <x:c r="S739" s="6" t="n">
        <x:v>7</x:v>
      </x:c>
      <x:c r="T739" s="6" t="n">
        <x:v>2</x:v>
      </x:c>
      <x:c r="U739" s="6" t="n">
        <x:v>0</x:v>
      </x:c>
      <x:c r="V739" s="6" t="n">
        <x:v>0</x:v>
      </x:c>
      <x:c r="W739" s="6" t="n">
        <x:v>0</x:v>
      </x:c>
      <x:c r="X739" s="6" t="n">
        <x:v>0</x:v>
      </x:c>
      <x:c r="Y739" s="6" t="n">
        <x:v>0</x:v>
      </x:c>
      <x:c r="Z739" s="6" t="n">
        <x:v>0</x:v>
      </x:c>
      <x:c r="AA739" s="6" t="n">
        <x:v>3</x:v>
      </x:c>
      <x:c r="AB739" s="6" t="n">
        <x:v>11</x:v>
      </x:c>
      <x:c r="AC739" s="6" t="n">
        <x:v>0</x:v>
      </x:c>
    </x:row>
    <x:row r="740">
      <x:c r="A740" s="6" t="n">
        <x:v>6516</x:v>
      </x:c>
      <x:c r="B740" s="6" t="n">
        <x:v>1989</x:v>
      </x:c>
      <x:c r="C740" s="6" t="str">
        <x:v>Basic</x:v>
      </x:c>
      <x:c r="D740" s="6" t="str">
        <x:v>Married</x:v>
      </x:c>
      <x:c r="E740" s="6" t="n">
        <x:v>17487</x:v>
      </x:c>
      <x:c r="F740" s="6" t="n">
        <x:v>1</x:v>
      </x:c>
      <x:c r="G740" s="6" t="n">
        <x:v>0</x:v>
      </x:c>
      <x:c r="H740" s="9" t="str">
        <x:v>18-03-2013</x:v>
      </x:c>
      <x:c r="I740" s="6" t="n">
        <x:v>37</x:v>
      </x:c>
      <x:c r="J740" s="6" t="n">
        <x:v>0</x:v>
      </x:c>
      <x:c r="K740" s="6" t="n">
        <x:v>0</x:v>
      </x:c>
      <x:c r="L740" s="6" t="n">
        <x:v>1</x:v>
      </x:c>
      <x:c r="M740" s="6" t="n">
        <x:v>7</x:v>
      </x:c>
      <x:c r="N740" s="6" t="n">
        <x:v>4</x:v>
      </x:c>
      <x:c r="O740" s="6" t="n">
        <x:v>6</x:v>
      </x:c>
      <x:c r="P740" s="6" t="n">
        <x:v>1</x:v>
      </x:c>
      <x:c r="Q740" s="6" t="n">
        <x:v>1</x:v>
      </x:c>
      <x:c r="R740" s="6" t="n">
        <x:v>0</x:v>
      </x:c>
      <x:c r="S740" s="6" t="n">
        <x:v>2</x:v>
      </x:c>
      <x:c r="T740" s="6" t="n">
        <x:v>7</x:v>
      </x:c>
      <x:c r="U740" s="6" t="n">
        <x:v>0</x:v>
      </x:c>
      <x:c r="V740" s="6" t="n">
        <x:v>0</x:v>
      </x:c>
      <x:c r="W740" s="6" t="n">
        <x:v>0</x:v>
      </x:c>
      <x:c r="X740" s="6" t="n">
        <x:v>0</x:v>
      </x:c>
      <x:c r="Y740" s="6" t="n">
        <x:v>0</x:v>
      </x:c>
      <x:c r="Z740" s="6" t="n">
        <x:v>0</x:v>
      </x:c>
      <x:c r="AA740" s="6" t="n">
        <x:v>3</x:v>
      </x:c>
      <x:c r="AB740" s="6" t="n">
        <x:v>11</x:v>
      </x:c>
      <x:c r="AC740" s="6" t="n">
        <x:v>0</x:v>
      </x:c>
    </x:row>
    <x:row r="741">
      <x:c r="A741" s="6" t="n">
        <x:v>5564</x:v>
      </x:c>
      <x:c r="B741" s="6" t="n">
        <x:v>1969</x:v>
      </x:c>
      <x:c r="C741" s="6" t="str">
        <x:v>Graduation</x:v>
      </x:c>
      <x:c r="D741" s="6" t="str">
        <x:v>Together</x:v>
      </x:c>
      <x:c r="E741" s="6" t="n">
        <x:v>62882</x:v>
      </x:c>
      <x:c r="F741" s="6" t="n">
        <x:v>0</x:v>
      </x:c>
      <x:c r="G741" s="6" t="n">
        <x:v>1</x:v>
      </x:c>
      <x:c r="H741" s="9" t="str">
        <x:v>09-08-2012</x:v>
      </x:c>
      <x:c r="I741" s="6" t="n">
        <x:v>26</x:v>
      </x:c>
      <x:c r="J741" s="6" t="n">
        <x:v>509</x:v>
      </x:c>
      <x:c r="K741" s="6" t="n">
        <x:v>133</x:v>
      </x:c>
      <x:c r="L741" s="6" t="n">
        <x:v>497</x:v>
      </x:c>
      <x:c r="M741" s="6" t="n">
        <x:v>78</x:v>
      </x:c>
      <x:c r="N741" s="6" t="n">
        <x:v>24</x:v>
      </x:c>
      <x:c r="O741" s="6" t="n">
        <x:v>97</x:v>
      </x:c>
      <x:c r="P741" s="6" t="n">
        <x:v>2</x:v>
      </x:c>
      <x:c r="Q741" s="6" t="n">
        <x:v>7</x:v>
      </x:c>
      <x:c r="R741" s="6" t="n">
        <x:v>5</x:v>
      </x:c>
      <x:c r="S741" s="6" t="n">
        <x:v>6</x:v>
      </x:c>
      <x:c r="T741" s="6" t="n">
        <x:v>4</x:v>
      </x:c>
      <x:c r="U741" s="6" t="n">
        <x:v>0</x:v>
      </x:c>
      <x:c r="V741" s="6" t="n">
        <x:v>0</x:v>
      </x:c>
      <x:c r="W741" s="6" t="n">
        <x:v>0</x:v>
      </x:c>
      <x:c r="X741" s="6" t="n">
        <x:v>0</x:v>
      </x:c>
      <x:c r="Y741" s="6" t="n">
        <x:v>0</x:v>
      </x:c>
      <x:c r="Z741" s="6" t="n">
        <x:v>0</x:v>
      </x:c>
      <x:c r="AA741" s="6" t="n">
        <x:v>3</x:v>
      </x:c>
      <x:c r="AB741" s="6" t="n">
        <x:v>11</x:v>
      </x:c>
      <x:c r="AC741" s="6" t="n">
        <x:v>0</x:v>
      </x:c>
    </x:row>
    <x:row r="742">
      <x:c r="A742" s="6" t="n">
        <x:v>5682</x:v>
      </x:c>
      <x:c r="B742" s="6" t="n">
        <x:v>1953</x:v>
      </x:c>
      <x:c r="C742" s="6" t="str">
        <x:v>PhD</x:v>
      </x:c>
      <x:c r="D742" s="6" t="str">
        <x:v>Single</x:v>
      </x:c>
      <x:c r="E742" s="6" t="n">
        <x:v>64108</x:v>
      </x:c>
      <x:c r="F742" s="6" t="n">
        <x:v>0</x:v>
      </x:c>
      <x:c r="G742" s="6" t="n">
        <x:v>1</x:v>
      </x:c>
      <x:c r="H742" s="9" t="str">
        <x:v>23-03-2013</x:v>
      </x:c>
      <x:c r="I742" s="6" t="n">
        <x:v>8</x:v>
      </x:c>
      <x:c r="J742" s="6" t="n">
        <x:v>948</x:v>
      </x:c>
      <x:c r="K742" s="6" t="n">
        <x:v>10</x:v>
      </x:c>
      <x:c r="L742" s="6" t="n">
        <x:v>86</x:v>
      </x:c>
      <x:c r="M742" s="6" t="n">
        <x:v>13</x:v>
      </x:c>
      <x:c r="N742" s="6" t="n">
        <x:v>21</x:v>
      </x:c>
      <x:c r="O742" s="6" t="n">
        <x:v>21</x:v>
      </x:c>
      <x:c r="P742" s="6" t="n">
        <x:v>4</x:v>
      </x:c>
      <x:c r="Q742" s="6" t="n">
        <x:v>6</x:v>
      </x:c>
      <x:c r="R742" s="6" t="n">
        <x:v>9</x:v>
      </x:c>
      <x:c r="S742" s="6" t="n">
        <x:v>11</x:v>
      </x:c>
      <x:c r="T742" s="6" t="n">
        <x:v>5</x:v>
      </x:c>
      <x:c r="U742" s="6" t="n">
        <x:v>0</x:v>
      </x:c>
      <x:c r="V742" s="6" t="n">
        <x:v>0</x:v>
      </x:c>
      <x:c r="W742" s="6" t="n">
        <x:v>0</x:v>
      </x:c>
      <x:c r="X742" s="6" t="n">
        <x:v>0</x:v>
      </x:c>
      <x:c r="Y742" s="6" t="n">
        <x:v>0</x:v>
      </x:c>
      <x:c r="Z742" s="6" t="n">
        <x:v>0</x:v>
      </x:c>
      <x:c r="AA742" s="6" t="n">
        <x:v>3</x:v>
      </x:c>
      <x:c r="AB742" s="6" t="n">
        <x:v>11</x:v>
      </x:c>
      <x:c r="AC742" s="6" t="n">
        <x:v>0</x:v>
      </x:c>
    </x:row>
    <x:row r="743">
      <x:c r="A743" s="6" t="n">
        <x:v>7458</x:v>
      </x:c>
      <x:c r="B743" s="6" t="n">
        <x:v>1956</x:v>
      </x:c>
      <x:c r="C743" s="6" t="str">
        <x:v>Master</x:v>
      </x:c>
      <x:c r="D743" s="6" t="str">
        <x:v>Together</x:v>
      </x:c>
      <x:c r="E743" s="6" t="n">
        <x:v>34941</x:v>
      </x:c>
      <x:c r="F743" s="6" t="n">
        <x:v>1</x:v>
      </x:c>
      <x:c r="G743" s="6" t="n">
        <x:v>1</x:v>
      </x:c>
      <x:c r="H743" s="9" t="str">
        <x:v>06-03-2013</x:v>
      </x:c>
      <x:c r="I743" s="6" t="n">
        <x:v>26</x:v>
      </x:c>
      <x:c r="J743" s="6" t="n">
        <x:v>39</x:v>
      </x:c>
      <x:c r="K743" s="6" t="n">
        <x:v>2</x:v>
      </x:c>
      <x:c r="L743" s="6" t="n">
        <x:v>25</x:v>
      </x:c>
      <x:c r="M743" s="6" t="n">
        <x:v>4</x:v>
      </x:c>
      <x:c r="N743" s="6" t="n">
        <x:v>3</x:v>
      </x:c>
      <x:c r="O743" s="6" t="n">
        <x:v>24</x:v>
      </x:c>
      <x:c r="P743" s="6" t="n">
        <x:v>2</x:v>
      </x:c>
      <x:c r="Q743" s="6" t="n">
        <x:v>3</x:v>
      </x:c>
      <x:c r="R743" s="6" t="n">
        <x:v>0</x:v>
      </x:c>
      <x:c r="S743" s="6" t="n">
        <x:v>3</x:v>
      </x:c>
      <x:c r="T743" s="6" t="n">
        <x:v>8</x:v>
      </x:c>
      <x:c r="U743" s="6" t="n">
        <x:v>0</x:v>
      </x:c>
      <x:c r="V743" s="6" t="n">
        <x:v>0</x:v>
      </x:c>
      <x:c r="W743" s="6" t="n">
        <x:v>0</x:v>
      </x:c>
      <x:c r="X743" s="6" t="n">
        <x:v>0</x:v>
      </x:c>
      <x:c r="Y743" s="6" t="n">
        <x:v>0</x:v>
      </x:c>
      <x:c r="Z743" s="6" t="n">
        <x:v>0</x:v>
      </x:c>
      <x:c r="AA743" s="6" t="n">
        <x:v>3</x:v>
      </x:c>
      <x:c r="AB743" s="6" t="n">
        <x:v>11</x:v>
      </x:c>
      <x:c r="AC743" s="6" t="n">
        <x:v>0</x:v>
      </x:c>
    </x:row>
    <x:row r="744">
      <x:c r="A744" s="6" t="n">
        <x:v>5237</x:v>
      </x:c>
      <x:c r="B744" s="6" t="n">
        <x:v>1950</x:v>
      </x:c>
      <x:c r="C744" s="6" t="str">
        <x:v>PhD</x:v>
      </x:c>
      <x:c r="D744" s="6" t="str">
        <x:v>Single</x:v>
      </x:c>
      <x:c r="E744" s="6" t="n">
        <x:v>48767</x:v>
      </x:c>
      <x:c r="F744" s="6" t="n">
        <x:v>1</x:v>
      </x:c>
      <x:c r="G744" s="6" t="n">
        <x:v>2</x:v>
      </x:c>
      <x:c r="H744" s="9" t="str">
        <x:v>01-01-2014</x:v>
      </x:c>
      <x:c r="I744" s="6" t="n">
        <x:v>79</x:v>
      </x:c>
      <x:c r="J744" s="6" t="n">
        <x:v>28</x:v>
      </x:c>
      <x:c r="K744" s="6" t="n">
        <x:v>1</x:v>
      </x:c>
      <x:c r="L744" s="6" t="n">
        <x:v>21</x:v>
      </x:c>
      <x:c r="M744" s="6" t="n">
        <x:v>3</x:v>
      </x:c>
      <x:c r="N744" s="6" t="n">
        <x:v>0</x:v>
      </x:c>
      <x:c r="O744" s="6" t="n">
        <x:v>10</x:v>
      </x:c>
      <x:c r="P744" s="6" t="n">
        <x:v>3</x:v>
      </x:c>
      <x:c r="Q744" s="6" t="n">
        <x:v>2</x:v>
      </x:c>
      <x:c r="R744" s="6" t="n">
        <x:v>1</x:v>
      </x:c>
      <x:c r="S744" s="6" t="n">
        <x:v>3</x:v>
      </x:c>
      <x:c r="T744" s="6" t="n">
        <x:v>5</x:v>
      </x:c>
      <x:c r="U744" s="6" t="n">
        <x:v>0</x:v>
      </x:c>
      <x:c r="V744" s="6" t="n">
        <x:v>0</x:v>
      </x:c>
      <x:c r="W744" s="6" t="n">
        <x:v>0</x:v>
      </x:c>
      <x:c r="X744" s="6" t="n">
        <x:v>0</x:v>
      </x:c>
      <x:c r="Y744" s="6" t="n">
        <x:v>0</x:v>
      </x:c>
      <x:c r="Z744" s="6" t="n">
        <x:v>0</x:v>
      </x:c>
      <x:c r="AA744" s="6" t="n">
        <x:v>3</x:v>
      </x:c>
      <x:c r="AB744" s="6" t="n">
        <x:v>11</x:v>
      </x:c>
      <x:c r="AC744" s="6" t="n">
        <x:v>0</x:v>
      </x:c>
    </x:row>
    <x:row r="745">
      <x:c r="A745" s="6" t="n">
        <x:v>7761</x:v>
      </x:c>
      <x:c r="B745" s="6" t="n">
        <x:v>1978</x:v>
      </x:c>
      <x:c r="C745" s="6" t="str">
        <x:v>2n Cycle</x:v>
      </x:c>
      <x:c r="D745" s="6" t="str">
        <x:v>Together</x:v>
      </x:c>
      <x:c r="E745" s="6" t="n">
        <x:v>38702</x:v>
      </x:c>
      <x:c r="F745" s="6" t="n">
        <x:v>1</x:v>
      </x:c>
      <x:c r="G745" s="6" t="n">
        <x:v>0</x:v>
      </x:c>
      <x:c r="H745" s="9" t="str">
        <x:v>01-08-2013</x:v>
      </x:c>
      <x:c r="I745" s="6" t="n">
        <x:v>71</x:v>
      </x:c>
      <x:c r="J745" s="6" t="n">
        <x:v>13</x:v>
      </x:c>
      <x:c r="K745" s="6" t="n">
        <x:v>11</x:v>
      </x:c>
      <x:c r="L745" s="6" t="n">
        <x:v>24</x:v>
      </x:c>
      <x:c r="M745" s="6" t="n">
        <x:v>13</x:v>
      </x:c>
      <x:c r="N745" s="6" t="n">
        <x:v>8</x:v>
      </x:c>
      <x:c r="O745" s="6" t="n">
        <x:v>40</x:v>
      </x:c>
      <x:c r="P745" s="6" t="n">
        <x:v>2</x:v>
      </x:c>
      <x:c r="Q745" s="6" t="n">
        <x:v>3</x:v>
      </x:c>
      <x:c r="R745" s="6" t="n">
        <x:v>0</x:v>
      </x:c>
      <x:c r="S745" s="6" t="n">
        <x:v>4</x:v>
      </x:c>
      <x:c r="T745" s="6" t="n">
        <x:v>6</x:v>
      </x:c>
      <x:c r="U745" s="6" t="n">
        <x:v>0</x:v>
      </x:c>
      <x:c r="V745" s="6" t="n">
        <x:v>0</x:v>
      </x:c>
      <x:c r="W745" s="6" t="n">
        <x:v>0</x:v>
      </x:c>
      <x:c r="X745" s="6" t="n">
        <x:v>0</x:v>
      </x:c>
      <x:c r="Y745" s="6" t="n">
        <x:v>0</x:v>
      </x:c>
      <x:c r="Z745" s="6" t="n">
        <x:v>0</x:v>
      </x:c>
      <x:c r="AA745" s="6" t="n">
        <x:v>3</x:v>
      </x:c>
      <x:c r="AB745" s="6" t="n">
        <x:v>11</x:v>
      </x:c>
      <x:c r="AC745" s="6" t="n">
        <x:v>0</x:v>
      </x:c>
    </x:row>
    <x:row r="746">
      <x:c r="A746" s="6" t="n">
        <x:v>5278</x:v>
      </x:c>
      <x:c r="B746" s="6" t="n">
        <x:v>1964</x:v>
      </x:c>
      <x:c r="C746" s="6" t="str">
        <x:v>Graduation</x:v>
      </x:c>
      <x:c r="D746" s="6" t="str">
        <x:v>Married</x:v>
      </x:c>
      <x:c r="E746" s="6" t="n">
        <x:v>82224</x:v>
      </x:c>
      <x:c r="F746" s="6" t="n">
        <x:v>0</x:v>
      </x:c>
      <x:c r="G746" s="6" t="n">
        <x:v>0</x:v>
      </x:c>
      <x:c r="H746" s="9" t="str">
        <x:v>25-01-2014</x:v>
      </x:c>
      <x:c r="I746" s="6" t="n">
        <x:v>83</x:v>
      </x:c>
      <x:c r="J746" s="6" t="n">
        <x:v>307</x:v>
      </x:c>
      <x:c r="K746" s="6" t="n">
        <x:v>26</x:v>
      </x:c>
      <x:c r="L746" s="6" t="n">
        <x:v>360</x:v>
      </x:c>
      <x:c r="M746" s="6" t="n">
        <x:v>138</x:v>
      </x:c>
      <x:c r="N746" s="6" t="n">
        <x:v>31</x:v>
      </x:c>
      <x:c r="O746" s="6" t="n">
        <x:v>40</x:v>
      </x:c>
      <x:c r="P746" s="6" t="n">
        <x:v>1</x:v>
      </x:c>
      <x:c r="Q746" s="6" t="n">
        <x:v>6</x:v>
      </x:c>
      <x:c r="R746" s="6" t="n">
        <x:v>9</x:v>
      </x:c>
      <x:c r="S746" s="6" t="n">
        <x:v>5</x:v>
      </x:c>
      <x:c r="T746" s="6" t="n">
        <x:v>3</x:v>
      </x:c>
      <x:c r="U746" s="6" t="n">
        <x:v>0</x:v>
      </x:c>
      <x:c r="V746" s="6" t="n">
        <x:v>0</x:v>
      </x:c>
      <x:c r="W746" s="6" t="n">
        <x:v>0</x:v>
      </x:c>
      <x:c r="X746" s="6" t="n">
        <x:v>1</x:v>
      </x:c>
      <x:c r="Y746" s="6" t="n">
        <x:v>0</x:v>
      </x:c>
      <x:c r="Z746" s="6" t="n">
        <x:v>0</x:v>
      </x:c>
      <x:c r="AA746" s="6" t="n">
        <x:v>3</x:v>
      </x:c>
      <x:c r="AB746" s="6" t="n">
        <x:v>11</x:v>
      </x:c>
      <x:c r="AC746" s="6" t="n">
        <x:v>0</x:v>
      </x:c>
    </x:row>
    <x:row r="747">
      <x:c r="A747" s="6" t="n">
        <x:v>3560</x:v>
      </x:c>
      <x:c r="B747" s="6" t="n">
        <x:v>1952</x:v>
      </x:c>
      <x:c r="C747" s="6" t="str">
        <x:v>Graduation</x:v>
      </x:c>
      <x:c r="D747" s="6" t="str">
        <x:v>Together</x:v>
      </x:c>
      <x:c r="E747" s="6" t="n">
        <x:v>83844</x:v>
      </x:c>
      <x:c r="F747" s="6" t="n">
        <x:v>0</x:v>
      </x:c>
      <x:c r="G747" s="6" t="n">
        <x:v>0</x:v>
      </x:c>
      <x:c r="H747" s="9" t="str">
        <x:v>12-05-2013</x:v>
      </x:c>
      <x:c r="I747" s="6" t="n">
        <x:v>57</x:v>
      </x:c>
      <x:c r="J747" s="6" t="n">
        <x:v>901</x:v>
      </x:c>
      <x:c r="K747" s="6" t="n">
        <x:v>31</x:v>
      </x:c>
      <x:c r="L747" s="6" t="n">
        <x:v>345</x:v>
      </x:c>
      <x:c r="M747" s="6" t="n">
        <x:v>75</x:v>
      </x:c>
      <x:c r="N747" s="6" t="n">
        <x:v>31</x:v>
      </x:c>
      <x:c r="O747" s="6" t="n">
        <x:v>191</x:v>
      </x:c>
      <x:c r="P747" s="6" t="n">
        <x:v>1</x:v>
      </x:c>
      <x:c r="Q747" s="6" t="n">
        <x:v>4</x:v>
      </x:c>
      <x:c r="R747" s="6" t="n">
        <x:v>4</x:v>
      </x:c>
      <x:c r="S747" s="6" t="n">
        <x:v>11</x:v>
      </x:c>
      <x:c r="T747" s="6" t="n">
        <x:v>1</x:v>
      </x:c>
      <x:c r="U747" s="6" t="n">
        <x:v>0</x:v>
      </x:c>
      <x:c r="V747" s="6" t="n">
        <x:v>0</x:v>
      </x:c>
      <x:c r="W747" s="6" t="n">
        <x:v>1</x:v>
      </x:c>
      <x:c r="X747" s="6" t="n">
        <x:v>0</x:v>
      </x:c>
      <x:c r="Y747" s="6" t="n">
        <x:v>0</x:v>
      </x:c>
      <x:c r="Z747" s="6" t="n">
        <x:v>0</x:v>
      </x:c>
      <x:c r="AA747" s="6" t="n">
        <x:v>3</x:v>
      </x:c>
      <x:c r="AB747" s="6" t="n">
        <x:v>11</x:v>
      </x:c>
      <x:c r="AC747" s="6" t="n">
        <x:v>0</x:v>
      </x:c>
    </x:row>
    <x:row r="748">
      <x:c r="A748" s="6" t="n">
        <x:v>7235</x:v>
      </x:c>
      <x:c r="B748" s="6" t="n">
        <x:v>1975</x:v>
      </x:c>
      <x:c r="C748" s="6" t="str">
        <x:v>2n Cycle</x:v>
      </x:c>
      <x:c r="D748" s="6" t="str">
        <x:v>Married</x:v>
      </x:c>
      <x:c r="E748" s="6" t="n">
        <x:v>17003</x:v>
      </x:c>
      <x:c r="F748" s="6" t="n">
        <x:v>1</x:v>
      </x:c>
      <x:c r="G748" s="6" t="n">
        <x:v>0</x:v>
      </x:c>
      <x:c r="H748" s="9" t="str">
        <x:v>09-12-2013</x:v>
      </x:c>
      <x:c r="I748" s="6" t="n">
        <x:v>37</x:v>
      </x:c>
      <x:c r="J748" s="6" t="n">
        <x:v>2</x:v>
      </x:c>
      <x:c r="K748" s="6" t="n">
        <x:v>5</x:v>
      </x:c>
      <x:c r="L748" s="6" t="n">
        <x:v>12</x:v>
      </x:c>
      <x:c r="M748" s="6" t="n">
        <x:v>4</x:v>
      </x:c>
      <x:c r="N748" s="6" t="n">
        <x:v>8</x:v>
      </x:c>
      <x:c r="O748" s="6" t="n">
        <x:v>7</x:v>
      </x:c>
      <x:c r="P748" s="6" t="n">
        <x:v>3</x:v>
      </x:c>
      <x:c r="Q748" s="6" t="n">
        <x:v>2</x:v>
      </x:c>
      <x:c r="R748" s="6" t="n">
        <x:v>0</x:v>
      </x:c>
      <x:c r="S748" s="6" t="n">
        <x:v>4</x:v>
      </x:c>
      <x:c r="T748" s="6" t="n">
        <x:v>5</x:v>
      </x:c>
      <x:c r="U748" s="6" t="n">
        <x:v>0</x:v>
      </x:c>
      <x:c r="V748" s="6" t="n">
        <x:v>0</x:v>
      </x:c>
      <x:c r="W748" s="6" t="n">
        <x:v>0</x:v>
      </x:c>
      <x:c r="X748" s="6" t="n">
        <x:v>0</x:v>
      </x:c>
      <x:c r="Y748" s="6" t="n">
        <x:v>0</x:v>
      </x:c>
      <x:c r="Z748" s="6" t="n">
        <x:v>0</x:v>
      </x:c>
      <x:c r="AA748" s="6" t="n">
        <x:v>3</x:v>
      </x:c>
      <x:c r="AB748" s="6" t="n">
        <x:v>11</x:v>
      </x:c>
      <x:c r="AC748" s="6" t="n">
        <x:v>0</x:v>
      </x:c>
    </x:row>
    <x:row r="749">
      <x:c r="A749" s="6" t="n">
        <x:v>10548</x:v>
      </x:c>
      <x:c r="B749" s="6" t="n">
        <x:v>1995</x:v>
      </x:c>
      <x:c r="C749" s="6" t="str">
        <x:v>Graduation</x:v>
      </x:c>
      <x:c r="D749" s="6" t="str">
        <x:v>Single</x:v>
      </x:c>
      <x:c r="E749" s="6" t="n">
        <x:v>71163</x:v>
      </x:c>
      <x:c r="F749" s="6" t="n">
        <x:v>0</x:v>
      </x:c>
      <x:c r="G749" s="6" t="n">
        <x:v>0</x:v>
      </x:c>
      <x:c r="H749" s="9" t="str">
        <x:v>09-03-2014</x:v>
      </x:c>
      <x:c r="I749" s="6" t="n">
        <x:v>30</x:v>
      </x:c>
      <x:c r="J749" s="6" t="n">
        <x:v>283</x:v>
      </x:c>
      <x:c r="K749" s="6" t="n">
        <x:v>17</x:v>
      </x:c>
      <x:c r="L749" s="6" t="n">
        <x:v>372</x:v>
      </x:c>
      <x:c r="M749" s="6" t="n">
        <x:v>138</x:v>
      </x:c>
      <x:c r="N749" s="6" t="n">
        <x:v>106</x:v>
      </x:c>
      <x:c r="O749" s="6" t="n">
        <x:v>44</x:v>
      </x:c>
      <x:c r="P749" s="6" t="n">
        <x:v>1</x:v>
      </x:c>
      <x:c r="Q749" s="6" t="n">
        <x:v>3</x:v>
      </x:c>
      <x:c r="R749" s="6" t="n">
        <x:v>8</x:v>
      </x:c>
      <x:c r="S749" s="6" t="n">
        <x:v>12</x:v>
      </x:c>
      <x:c r="T749" s="6" t="n">
        <x:v>1</x:v>
      </x:c>
      <x:c r="U749" s="6" t="n">
        <x:v>0</x:v>
      </x:c>
      <x:c r="V749" s="6" t="n">
        <x:v>0</x:v>
      </x:c>
      <x:c r="W749" s="6" t="n">
        <x:v>0</x:v>
      </x:c>
      <x:c r="X749" s="6" t="n">
        <x:v>0</x:v>
      </x:c>
      <x:c r="Y749" s="6" t="n">
        <x:v>0</x:v>
      </x:c>
      <x:c r="Z749" s="6" t="n">
        <x:v>0</x:v>
      </x:c>
      <x:c r="AA749" s="6" t="n">
        <x:v>3</x:v>
      </x:c>
      <x:c r="AB749" s="6" t="n">
        <x:v>11</x:v>
      </x:c>
      <x:c r="AC749" s="6" t="n">
        <x:v>0</x:v>
      </x:c>
    </x:row>
    <x:row r="750">
      <x:c r="A750" s="6" t="n">
        <x:v>2281</x:v>
      </x:c>
      <x:c r="B750" s="6" t="n">
        <x:v>1970</x:v>
      </x:c>
      <x:c r="C750" s="6" t="str">
        <x:v>Graduation</x:v>
      </x:c>
      <x:c r="D750" s="6" t="str">
        <x:v>Single</x:v>
      </x:c>
      <x:c r="E750" s="6" t="n">
        <x:v>33697</x:v>
      </x:c>
      <x:c r="F750" s="6" t="n">
        <x:v>1</x:v>
      </x:c>
      <x:c r="G750" s="6" t="n">
        <x:v>0</x:v>
      </x:c>
      <x:c r="H750" s="9" t="str">
        <x:v>15-09-2013</x:v>
      </x:c>
      <x:c r="I750" s="6" t="n">
        <x:v>34</x:v>
      </x:c>
      <x:c r="J750" s="6" t="n">
        <x:v>4</x:v>
      </x:c>
      <x:c r="K750" s="6" t="n">
        <x:v>3</x:v>
      </x:c>
      <x:c r="L750" s="6" t="n">
        <x:v>7</x:v>
      </x:c>
      <x:c r="M750" s="6" t="n">
        <x:v>0</x:v>
      </x:c>
      <x:c r="N750" s="6" t="n">
        <x:v>3</x:v>
      </x:c>
      <x:c r="O750" s="6" t="n">
        <x:v>11</x:v>
      </x:c>
      <x:c r="P750" s="6" t="n">
        <x:v>1</x:v>
      </x:c>
      <x:c r="Q750" s="6" t="n">
        <x:v>1</x:v>
      </x:c>
      <x:c r="R750" s="6" t="n">
        <x:v>0</x:v>
      </x:c>
      <x:c r="S750" s="6" t="n">
        <x:v>2</x:v>
      </x:c>
      <x:c r="T750" s="6" t="n">
        <x:v>7</x:v>
      </x:c>
      <x:c r="U750" s="6" t="n">
        <x:v>1</x:v>
      </x:c>
      <x:c r="V750" s="6" t="n">
        <x:v>0</x:v>
      </x:c>
      <x:c r="W750" s="6" t="n">
        <x:v>0</x:v>
      </x:c>
      <x:c r="X750" s="6" t="n">
        <x:v>0</x:v>
      </x:c>
      <x:c r="Y750" s="6" t="n">
        <x:v>0</x:v>
      </x:c>
      <x:c r="Z750" s="6" t="n">
        <x:v>0</x:v>
      </x:c>
      <x:c r="AA750" s="6" t="n">
        <x:v>3</x:v>
      </x:c>
      <x:c r="AB750" s="6" t="n">
        <x:v>11</x:v>
      </x:c>
      <x:c r="AC750" s="6" t="n">
        <x:v>0</x:v>
      </x:c>
    </x:row>
    <x:row r="751">
      <x:c r="A751" s="6" t="n">
        <x:v>4073</x:v>
      </x:c>
      <x:c r="B751" s="6" t="n">
        <x:v>1954</x:v>
      </x:c>
      <x:c r="C751" s="6" t="str">
        <x:v>2n Cycle</x:v>
      </x:c>
      <x:c r="D751" s="6" t="str">
        <x:v>Married</x:v>
      </x:c>
      <x:c r="E751" s="6" t="n">
        <x:v>63564</x:v>
      </x:c>
      <x:c r="F751" s="6" t="n">
        <x:v>0</x:v>
      </x:c>
      <x:c r="G751" s="6" t="n">
        <x:v>0</x:v>
      </x:c>
      <x:c r="H751" s="9" t="str">
        <x:v>29-01-2014</x:v>
      </x:c>
      <x:c r="I751" s="6" t="n">
        <x:v>0</x:v>
      </x:c>
      <x:c r="J751" s="6" t="n">
        <x:v>769</x:v>
      </x:c>
      <x:c r="K751" s="6" t="n">
        <x:v>80</x:v>
      </x:c>
      <x:c r="L751" s="6" t="n">
        <x:v>252</x:v>
      </x:c>
      <x:c r="M751" s="6" t="n">
        <x:v>15</x:v>
      </x:c>
      <x:c r="N751" s="6" t="n">
        <x:v>34</x:v>
      </x:c>
      <x:c r="O751" s="6" t="n">
        <x:v>65</x:v>
      </x:c>
      <x:c r="P751" s="6" t="n">
        <x:v>1</x:v>
      </x:c>
      <x:c r="Q751" s="6" t="n">
        <x:v>10</x:v>
      </x:c>
      <x:c r="R751" s="6" t="n">
        <x:v>10</x:v>
      </x:c>
      <x:c r="S751" s="6" t="n">
        <x:v>7</x:v>
      </x:c>
      <x:c r="T751" s="6" t="n">
        <x:v>6</x:v>
      </x:c>
      <x:c r="U751" s="6" t="n">
        <x:v>1</x:v>
      </x:c>
      <x:c r="V751" s="6" t="n">
        <x:v>0</x:v>
      </x:c>
      <x:c r="W751" s="6" t="n">
        <x:v>0</x:v>
      </x:c>
      <x:c r="X751" s="6" t="n">
        <x:v>0</x:v>
      </x:c>
      <x:c r="Y751" s="6" t="n">
        <x:v>0</x:v>
      </x:c>
      <x:c r="Z751" s="6" t="n">
        <x:v>0</x:v>
      </x:c>
      <x:c r="AA751" s="6" t="n">
        <x:v>3</x:v>
      </x:c>
      <x:c r="AB751" s="6" t="n">
        <x:v>11</x:v>
      </x:c>
      <x:c r="AC751" s="6" t="n">
        <x:v>1</x:v>
      </x:c>
    </x:row>
    <x:row r="752">
      <x:c r="A752" s="6" t="n">
        <x:v>6974</x:v>
      </x:c>
      <x:c r="B752" s="6" t="n">
        <x:v>1972</x:v>
      </x:c>
      <x:c r="C752" s="6" t="str">
        <x:v>PhD</x:v>
      </x:c>
      <x:c r="D752" s="6" t="str">
        <x:v>Together</x:v>
      </x:c>
      <x:c r="E752" s="6" t="n">
        <x:v>83443</x:v>
      </x:c>
      <x:c r="F752" s="6" t="n">
        <x:v>0</x:v>
      </x:c>
      <x:c r="G752" s="6" t="n">
        <x:v>0</x:v>
      </x:c>
      <x:c r="H752" s="9" t="str">
        <x:v>31-12-2013</x:v>
      </x:c>
      <x:c r="I752" s="6" t="n">
        <x:v>89</x:v>
      </x:c>
      <x:c r="J752" s="6" t="n">
        <x:v>518</x:v>
      </x:c>
      <x:c r="K752" s="6" t="n">
        <x:v>42</x:v>
      </x:c>
      <x:c r="L752" s="6" t="n">
        <x:v>742</x:v>
      </x:c>
      <x:c r="M752" s="6" t="n">
        <x:v>55</x:v>
      </x:c>
      <x:c r="N752" s="6" t="n">
        <x:v>56</x:v>
      </x:c>
      <x:c r="O752" s="6" t="n">
        <x:v>84</x:v>
      </x:c>
      <x:c r="P752" s="6" t="n">
        <x:v>1</x:v>
      </x:c>
      <x:c r="Q752" s="6" t="n">
        <x:v>6</x:v>
      </x:c>
      <x:c r="R752" s="6" t="n">
        <x:v>10</x:v>
      </x:c>
      <x:c r="S752" s="6" t="n">
        <x:v>5</x:v>
      </x:c>
      <x:c r="T752" s="6" t="n">
        <x:v>2</x:v>
      </x:c>
      <x:c r="U752" s="6" t="n">
        <x:v>0</x:v>
      </x:c>
      <x:c r="V752" s="6" t="n">
        <x:v>0</x:v>
      </x:c>
      <x:c r="W752" s="6" t="n">
        <x:v>0</x:v>
      </x:c>
      <x:c r="X752" s="6" t="n">
        <x:v>0</x:v>
      </x:c>
      <x:c r="Y752" s="6" t="n">
        <x:v>0</x:v>
      </x:c>
      <x:c r="Z752" s="6" t="n">
        <x:v>0</x:v>
      </x:c>
      <x:c r="AA752" s="6" t="n">
        <x:v>3</x:v>
      </x:c>
      <x:c r="AB752" s="6" t="n">
        <x:v>11</x:v>
      </x:c>
      <x:c r="AC752" s="6" t="n">
        <x:v>0</x:v>
      </x:c>
    </x:row>
    <x:row r="753">
      <x:c r="A753" s="6" t="n">
        <x:v>7938</x:v>
      </x:c>
      <x:c r="B753" s="6" t="n">
        <x:v>1958</x:v>
      </x:c>
      <x:c r="C753" s="6" t="str">
        <x:v>PhD</x:v>
      </x:c>
      <x:c r="D753" s="6" t="str">
        <x:v>Together</x:v>
      </x:c>
      <x:c r="E753" s="6" t="n">
        <x:v>51518</x:v>
      </x:c>
      <x:c r="F753" s="6" t="n">
        <x:v>0</x:v>
      </x:c>
      <x:c r="G753" s="6" t="n">
        <x:v>1</x:v>
      </x:c>
      <x:c r="H753" s="9" t="str">
        <x:v>03-10-2013</x:v>
      </x:c>
      <x:c r="I753" s="6" t="n">
        <x:v>92</x:v>
      </x:c>
      <x:c r="J753" s="6" t="n">
        <x:v>350</x:v>
      </x:c>
      <x:c r="K753" s="6" t="n">
        <x:v>8</x:v>
      </x:c>
      <x:c r="L753" s="6" t="n">
        <x:v>66</x:v>
      </x:c>
      <x:c r="M753" s="6" t="n">
        <x:v>17</x:v>
      </x:c>
      <x:c r="N753" s="6" t="n">
        <x:v>4</x:v>
      </x:c>
      <x:c r="O753" s="6" t="n">
        <x:v>4</x:v>
      </x:c>
      <x:c r="P753" s="6" t="n">
        <x:v>2</x:v>
      </x:c>
      <x:c r="Q753" s="6" t="n">
        <x:v>3</x:v>
      </x:c>
      <x:c r="R753" s="6" t="n">
        <x:v>2</x:v>
      </x:c>
      <x:c r="S753" s="6" t="n">
        <x:v>10</x:v>
      </x:c>
      <x:c r="T753" s="6" t="n">
        <x:v>3</x:v>
      </x:c>
      <x:c r="U753" s="6" t="n">
        <x:v>0</x:v>
      </x:c>
      <x:c r="V753" s="6" t="n">
        <x:v>0</x:v>
      </x:c>
      <x:c r="W753" s="6" t="n">
        <x:v>0</x:v>
      </x:c>
      <x:c r="X753" s="6" t="n">
        <x:v>0</x:v>
      </x:c>
      <x:c r="Y753" s="6" t="n">
        <x:v>0</x:v>
      </x:c>
      <x:c r="Z753" s="6" t="n">
        <x:v>0</x:v>
      </x:c>
      <x:c r="AA753" s="6" t="n">
        <x:v>3</x:v>
      </x:c>
      <x:c r="AB753" s="6" t="n">
        <x:v>11</x:v>
      </x:c>
      <x:c r="AC753" s="6" t="n">
        <x:v>0</x:v>
      </x:c>
    </x:row>
    <x:row r="754">
      <x:c r="A754" s="6" t="n">
        <x:v>7094</x:v>
      </x:c>
      <x:c r="B754" s="6" t="n">
        <x:v>1975</x:v>
      </x:c>
      <x:c r="C754" s="6" t="str">
        <x:v>Graduation</x:v>
      </x:c>
      <x:c r="D754" s="6" t="str">
        <x:v>Widow</x:v>
      </x:c>
      <x:c r="E754" s="6" t="n">
        <x:v>58330</x:v>
      </x:c>
      <x:c r="F754" s="6" t="n">
        <x:v>0</x:v>
      </x:c>
      <x:c r="G754" s="6" t="n">
        <x:v>1</x:v>
      </x:c>
      <x:c r="H754" s="9" t="str">
        <x:v>25-12-2013</x:v>
      </x:c>
      <x:c r="I754" s="6" t="n">
        <x:v>87</x:v>
      </x:c>
      <x:c r="J754" s="6" t="n">
        <x:v>445</x:v>
      </x:c>
      <x:c r="K754" s="6" t="n">
        <x:v>53</x:v>
      </x:c>
      <x:c r="L754" s="6" t="n">
        <x:v>213</x:v>
      </x:c>
      <x:c r="M754" s="6" t="n">
        <x:v>104</x:v>
      </x:c>
      <x:c r="N754" s="6" t="n">
        <x:v>98</x:v>
      </x:c>
      <x:c r="O754" s="6" t="n">
        <x:v>151</x:v>
      </x:c>
      <x:c r="P754" s="6" t="n">
        <x:v>1</x:v>
      </x:c>
      <x:c r="Q754" s="6" t="n">
        <x:v>6</x:v>
      </x:c>
      <x:c r="R754" s="6" t="n">
        <x:v>4</x:v>
      </x:c>
      <x:c r="S754" s="6" t="n">
        <x:v>13</x:v>
      </x:c>
      <x:c r="T754" s="6" t="n">
        <x:v>4</x:v>
      </x:c>
      <x:c r="U754" s="6" t="n">
        <x:v>0</x:v>
      </x:c>
      <x:c r="V754" s="6" t="n">
        <x:v>0</x:v>
      </x:c>
      <x:c r="W754" s="6" t="n">
        <x:v>0</x:v>
      </x:c>
      <x:c r="X754" s="6" t="n">
        <x:v>0</x:v>
      </x:c>
      <x:c r="Y754" s="6" t="n">
        <x:v>0</x:v>
      </x:c>
      <x:c r="Z754" s="6" t="n">
        <x:v>0</x:v>
      </x:c>
      <x:c r="AA754" s="6" t="n">
        <x:v>3</x:v>
      </x:c>
      <x:c r="AB754" s="6" t="n">
        <x:v>11</x:v>
      </x:c>
      <x:c r="AC754" s="6" t="n">
        <x:v>0</x:v>
      </x:c>
    </x:row>
    <x:row r="755">
      <x:c r="A755" s="6" t="n">
        <x:v>3667</x:v>
      </x:c>
      <x:c r="B755" s="6" t="n">
        <x:v>1969</x:v>
      </x:c>
      <x:c r="C755" s="6" t="str">
        <x:v>Graduation</x:v>
      </x:c>
      <x:c r="D755" s="6" t="str">
        <x:v>Married</x:v>
      </x:c>
      <x:c r="E755" s="6" t="n">
        <x:v>80952</x:v>
      </x:c>
      <x:c r="F755" s="6" t="n">
        <x:v>0</x:v>
      </x:c>
      <x:c r="G755" s="6" t="n">
        <x:v>0</x:v>
      </x:c>
      <x:c r="H755" s="9" t="str">
        <x:v>28-02-2013</x:v>
      </x:c>
      <x:c r="I755" s="6" t="n">
        <x:v>20</x:v>
      </x:c>
      <x:c r="J755" s="6" t="n">
        <x:v>778</x:v>
      </x:c>
      <x:c r="K755" s="6" t="n">
        <x:v>178</x:v>
      </x:c>
      <x:c r="L755" s="6" t="n">
        <x:v>689</x:v>
      </x:c>
      <x:c r="M755" s="6" t="n">
        <x:v>41</x:v>
      </x:c>
      <x:c r="N755" s="6" t="n">
        <x:v>27</x:v>
      </x:c>
      <x:c r="O755" s="6" t="n">
        <x:v>44</x:v>
      </x:c>
      <x:c r="P755" s="6" t="n">
        <x:v>1</x:v>
      </x:c>
      <x:c r="Q755" s="6" t="n">
        <x:v>8</x:v>
      </x:c>
      <x:c r="R755" s="6" t="n">
        <x:v>5</x:v>
      </x:c>
      <x:c r="S755" s="6" t="n">
        <x:v>11</x:v>
      </x:c>
      <x:c r="T755" s="6" t="n">
        <x:v>8</x:v>
      </x:c>
      <x:c r="U755" s="6" t="n">
        <x:v>0</x:v>
      </x:c>
      <x:c r="V755" s="6" t="n">
        <x:v>1</x:v>
      </x:c>
      <x:c r="W755" s="6" t="n">
        <x:v>1</x:v>
      </x:c>
      <x:c r="X755" s="6" t="n">
        <x:v>1</x:v>
      </x:c>
      <x:c r="Y755" s="6" t="n">
        <x:v>0</x:v>
      </x:c>
      <x:c r="Z755" s="6" t="n">
        <x:v>0</x:v>
      </x:c>
      <x:c r="AA755" s="6" t="n">
        <x:v>3</x:v>
      </x:c>
      <x:c r="AB755" s="6" t="n">
        <x:v>11</x:v>
      </x:c>
      <x:c r="AC755" s="6" t="n">
        <x:v>1</x:v>
      </x:c>
    </x:row>
    <x:row r="756">
      <x:c r="A756" s="6" t="n">
        <x:v>7723</x:v>
      </x:c>
      <x:c r="B756" s="6" t="n">
        <x:v>1979</x:v>
      </x:c>
      <x:c r="C756" s="6" t="str">
        <x:v>Graduation</x:v>
      </x:c>
      <x:c r="D756" s="6" t="str">
        <x:v>Together</x:v>
      </x:c>
      <x:c r="E756" s="6" t="n">
        <x:v>75507</x:v>
      </x:c>
      <x:c r="F756" s="6" t="n">
        <x:v>0</x:v>
      </x:c>
      <x:c r="G756" s="6" t="n">
        <x:v>0</x:v>
      </x:c>
      <x:c r="H756" s="9" t="str">
        <x:v>02-05-2014</x:v>
      </x:c>
      <x:c r="I756" s="6" t="n">
        <x:v>56</x:v>
      </x:c>
      <x:c r="J756" s="6" t="n">
        <x:v>709</x:v>
      </x:c>
      <x:c r="K756" s="6" t="n">
        <x:v>93</x:v>
      </x:c>
      <x:c r="L756" s="6" t="n">
        <x:v>374</x:v>
      </x:c>
      <x:c r="M756" s="6" t="n">
        <x:v>104</x:v>
      </x:c>
      <x:c r="N756" s="6" t="n">
        <x:v>80</x:v>
      </x:c>
      <x:c r="O756" s="6" t="n">
        <x:v>80</x:v>
      </x:c>
      <x:c r="P756" s="6" t="n">
        <x:v>1</x:v>
      </x:c>
      <x:c r="Q756" s="6" t="n">
        <x:v>8</x:v>
      </x:c>
      <x:c r="R756" s="6" t="n">
        <x:v>6</x:v>
      </x:c>
      <x:c r="S756" s="6" t="n">
        <x:v>6</x:v>
      </x:c>
      <x:c r="T756" s="6" t="n">
        <x:v>3</x:v>
      </x:c>
      <x:c r="U756" s="6" t="n">
        <x:v>0</x:v>
      </x:c>
      <x:c r="V756" s="6" t="n">
        <x:v>0</x:v>
      </x:c>
      <x:c r="W756" s="6" t="n">
        <x:v>0</x:v>
      </x:c>
      <x:c r="X756" s="6" t="n">
        <x:v>0</x:v>
      </x:c>
      <x:c r="Y756" s="6" t="n">
        <x:v>0</x:v>
      </x:c>
      <x:c r="Z756" s="6" t="n">
        <x:v>0</x:v>
      </x:c>
      <x:c r="AA756" s="6" t="n">
        <x:v>3</x:v>
      </x:c>
      <x:c r="AB756" s="6" t="n">
        <x:v>11</x:v>
      </x:c>
      <x:c r="AC756" s="6" t="n">
        <x:v>0</x:v>
      </x:c>
    </x:row>
    <x:row r="757">
      <x:c r="A757" s="6" t="n">
        <x:v>3870</x:v>
      </x:c>
      <x:c r="B757" s="6" t="n">
        <x:v>1978</x:v>
      </x:c>
      <x:c r="C757" s="6" t="str">
        <x:v>2n Cycle</x:v>
      </x:c>
      <x:c r="D757" s="6" t="str">
        <x:v>Together</x:v>
      </x:c>
      <x:c r="E757" s="6" t="n">
        <x:v>63855</x:v>
      </x:c>
      <x:c r="F757" s="6" t="n">
        <x:v>0</x:v>
      </x:c>
      <x:c r="G757" s="6" t="n">
        <x:v>0</x:v>
      </x:c>
      <x:c r="H757" s="9" t="str">
        <x:v>09-02-2013</x:v>
      </x:c>
      <x:c r="I757" s="6" t="n">
        <x:v>28</x:v>
      </x:c>
      <x:c r="J757" s="6" t="n">
        <x:v>359</x:v>
      </x:c>
      <x:c r="K757" s="6" t="n">
        <x:v>35</x:v>
      </x:c>
      <x:c r="L757" s="6" t="n">
        <x:v>314</x:v>
      </x:c>
      <x:c r="M757" s="6" t="n">
        <x:v>93</x:v>
      </x:c>
      <x:c r="N757" s="6" t="n">
        <x:v>116</x:v>
      </x:c>
      <x:c r="O757" s="6" t="n">
        <x:v>89</x:v>
      </x:c>
      <x:c r="P757" s="6" t="n">
        <x:v>1</x:v>
      </x:c>
      <x:c r="Q757" s="6" t="n">
        <x:v>7</x:v>
      </x:c>
      <x:c r="R757" s="6" t="n">
        <x:v>3</x:v>
      </x:c>
      <x:c r="S757" s="6" t="n">
        <x:v>13</x:v>
      </x:c>
      <x:c r="T757" s="6" t="n">
        <x:v>4</x:v>
      </x:c>
      <x:c r="U757" s="6" t="n">
        <x:v>0</x:v>
      </x:c>
      <x:c r="V757" s="6" t="n">
        <x:v>0</x:v>
      </x:c>
      <x:c r="W757" s="6" t="n">
        <x:v>0</x:v>
      </x:c>
      <x:c r="X757" s="6" t="n">
        <x:v>0</x:v>
      </x:c>
      <x:c r="Y757" s="6" t="n">
        <x:v>0</x:v>
      </x:c>
      <x:c r="Z757" s="6" t="n">
        <x:v>0</x:v>
      </x:c>
      <x:c r="AA757" s="6" t="n">
        <x:v>3</x:v>
      </x:c>
      <x:c r="AB757" s="6" t="n">
        <x:v>11</x:v>
      </x:c>
      <x:c r="AC757" s="6" t="n">
        <x:v>0</x:v>
      </x:c>
    </x:row>
    <x:row r="758">
      <x:c r="A758" s="6" t="n">
        <x:v>4012</x:v>
      </x:c>
      <x:c r="B758" s="6" t="n">
        <x:v>1972</x:v>
      </x:c>
      <x:c r="C758" s="6" t="str">
        <x:v>PhD</x:v>
      </x:c>
      <x:c r="D758" s="6" t="str">
        <x:v>Together</x:v>
      </x:c>
      <x:c r="E758" s="6" t="n">
        <x:v>62220</x:v>
      </x:c>
      <x:c r="F758" s="6" t="n">
        <x:v>0</x:v>
      </x:c>
      <x:c r="G758" s="6" t="n">
        <x:v>1</x:v>
      </x:c>
      <x:c r="H758" s="9" t="str">
        <x:v>11-08-2012</x:v>
      </x:c>
      <x:c r="I758" s="6" t="n">
        <x:v>55</x:v>
      </x:c>
      <x:c r="J758" s="6" t="n">
        <x:v>799</x:v>
      </x:c>
      <x:c r="K758" s="6" t="n">
        <x:v>12</x:v>
      </x:c>
      <x:c r="L758" s="6" t="n">
        <x:v>375</x:v>
      </x:c>
      <x:c r="M758" s="6" t="n">
        <x:v>16</x:v>
      </x:c>
      <x:c r="N758" s="6" t="n">
        <x:v>12</x:v>
      </x:c>
      <x:c r="O758" s="6" t="n">
        <x:v>12</x:v>
      </x:c>
      <x:c r="P758" s="6" t="n">
        <x:v>5</x:v>
      </x:c>
      <x:c r="Q758" s="6" t="n">
        <x:v>7</x:v>
      </x:c>
      <x:c r="R758" s="6" t="n">
        <x:v>6</x:v>
      </x:c>
      <x:c r="S758" s="6" t="n">
        <x:v>5</x:v>
      </x:c>
      <x:c r="T758" s="6" t="n">
        <x:v>6</x:v>
      </x:c>
      <x:c r="U758" s="6" t="n">
        <x:v>0</x:v>
      </x:c>
      <x:c r="V758" s="6" t="n">
        <x:v>0</x:v>
      </x:c>
      <x:c r="W758" s="6" t="n">
        <x:v>0</x:v>
      </x:c>
      <x:c r="X758" s="6" t="n">
        <x:v>0</x:v>
      </x:c>
      <x:c r="Y758" s="6" t="n">
        <x:v>0</x:v>
      </x:c>
      <x:c r="Z758" s="6" t="n">
        <x:v>0</x:v>
      </x:c>
      <x:c r="AA758" s="6" t="n">
        <x:v>3</x:v>
      </x:c>
      <x:c r="AB758" s="6" t="n">
        <x:v>11</x:v>
      </x:c>
      <x:c r="AC758" s="6" t="n">
        <x:v>1</x:v>
      </x:c>
    </x:row>
    <x:row r="759">
      <x:c r="A759" s="6" t="n">
        <x:v>5909</x:v>
      </x:c>
      <x:c r="B759" s="6" t="n">
        <x:v>1964</x:v>
      </x:c>
      <x:c r="C759" s="6" t="str">
        <x:v>Graduation</x:v>
      </x:c>
      <x:c r="D759" s="6" t="str">
        <x:v>Married</x:v>
      </x:c>
      <x:c r="E759" s="6" t="n">
        <x:v>58512</x:v>
      </x:c>
      <x:c r="F759" s="6" t="n">
        <x:v>0</x:v>
      </x:c>
      <x:c r="G759" s="6" t="n">
        <x:v>1</x:v>
      </x:c>
      <x:c r="H759" s="9" t="str">
        <x:v>19-09-2013</x:v>
      </x:c>
      <x:c r="I759" s="6" t="n">
        <x:v>25</x:v>
      </x:c>
      <x:c r="J759" s="6" t="n">
        <x:v>895</x:v>
      </x:c>
      <x:c r="K759" s="6" t="n">
        <x:v>10</x:v>
      </x:c>
      <x:c r="L759" s="6" t="n">
        <x:v>101</x:v>
      </x:c>
      <x:c r="M759" s="6" t="n">
        <x:v>13</x:v>
      </x:c>
      <x:c r="N759" s="6" t="n">
        <x:v>0</x:v>
      </x:c>
      <x:c r="O759" s="6" t="n">
        <x:v>152</x:v>
      </x:c>
      <x:c r="P759" s="6" t="n">
        <x:v>5</x:v>
      </x:c>
      <x:c r="Q759" s="6" t="n">
        <x:v>3</x:v>
      </x:c>
      <x:c r="R759" s="6" t="n">
        <x:v>4</x:v>
      </x:c>
      <x:c r="S759" s="6" t="n">
        <x:v>8</x:v>
      </x:c>
      <x:c r="T759" s="6" t="n">
        <x:v>8</x:v>
      </x:c>
      <x:c r="U759" s="6" t="n">
        <x:v>0</x:v>
      </x:c>
      <x:c r="V759" s="6" t="n">
        <x:v>0</x:v>
      </x:c>
      <x:c r="W759" s="6" t="n">
        <x:v>0</x:v>
      </x:c>
      <x:c r="X759" s="6" t="n">
        <x:v>0</x:v>
      </x:c>
      <x:c r="Y759" s="6" t="n">
        <x:v>0</x:v>
      </x:c>
      <x:c r="Z759" s="6" t="n">
        <x:v>0</x:v>
      </x:c>
      <x:c r="AA759" s="6" t="n">
        <x:v>3</x:v>
      </x:c>
      <x:c r="AB759" s="6" t="n">
        <x:v>11</x:v>
      </x:c>
      <x:c r="AC759" s="6" t="n">
        <x:v>0</x:v>
      </x:c>
    </x:row>
    <x:row r="760">
      <x:c r="A760" s="6" t="n">
        <x:v>10470</x:v>
      </x:c>
      <x:c r="B760" s="6" t="n">
        <x:v>1979</x:v>
      </x:c>
      <x:c r="C760" s="6" t="str">
        <x:v>Master</x:v>
      </x:c>
      <x:c r="D760" s="6" t="str">
        <x:v>Married</x:v>
      </x:c>
      <x:c r="E760" s="6" t="n">
        <x:v>40662</x:v>
      </x:c>
      <x:c r="F760" s="6" t="n">
        <x:v>1</x:v>
      </x:c>
      <x:c r="G760" s="6" t="n">
        <x:v>0</x:v>
      </x:c>
      <x:c r="H760" s="9" t="str">
        <x:v>15-03-2013</x:v>
      </x:c>
      <x:c r="I760" s="6" t="n">
        <x:v>0</x:v>
      </x:c>
      <x:c r="J760" s="6" t="n">
        <x:v>40</x:v>
      </x:c>
      <x:c r="K760" s="6" t="n">
        <x:v>2</x:v>
      </x:c>
      <x:c r="L760" s="6" t="n">
        <x:v>23</x:v>
      </x:c>
      <x:c r="M760" s="6" t="n">
        <x:v>0</x:v>
      </x:c>
      <x:c r="N760" s="6" t="n">
        <x:v>4</x:v>
      </x:c>
      <x:c r="O760" s="6" t="n">
        <x:v>23</x:v>
      </x:c>
      <x:c r="P760" s="6" t="n">
        <x:v>2</x:v>
      </x:c>
      <x:c r="Q760" s="6" t="n">
        <x:v>2</x:v>
      </x:c>
      <x:c r="R760" s="6" t="n">
        <x:v>1</x:v>
      </x:c>
      <x:c r="S760" s="6" t="n">
        <x:v>3</x:v>
      </x:c>
      <x:c r="T760" s="6" t="n">
        <x:v>4</x:v>
      </x:c>
      <x:c r="U760" s="6" t="n">
        <x:v>0</x:v>
      </x:c>
      <x:c r="V760" s="6" t="n">
        <x:v>0</x:v>
      </x:c>
      <x:c r="W760" s="6" t="n">
        <x:v>0</x:v>
      </x:c>
      <x:c r="X760" s="6" t="n">
        <x:v>0</x:v>
      </x:c>
      <x:c r="Y760" s="6" t="n">
        <x:v>0</x:v>
      </x:c>
      <x:c r="Z760" s="6" t="n">
        <x:v>0</x:v>
      </x:c>
      <x:c r="AA760" s="6" t="n">
        <x:v>3</x:v>
      </x:c>
      <x:c r="AB760" s="6" t="n">
        <x:v>11</x:v>
      </x:c>
      <x:c r="AC760" s="6" t="n">
        <x:v>0</x:v>
      </x:c>
    </x:row>
    <x:row r="761">
      <x:c r="A761" s="6" t="n">
        <x:v>6488</x:v>
      </x:c>
      <x:c r="B761" s="6" t="n">
        <x:v>1959</x:v>
      </x:c>
      <x:c r="C761" s="6" t="str">
        <x:v>PhD</x:v>
      </x:c>
      <x:c r="D761" s="6" t="str">
        <x:v>Married</x:v>
      </x:c>
      <x:c r="E761" s="6" t="n">
        <x:v>38829</x:v>
      </x:c>
      <x:c r="F761" s="6" t="n">
        <x:v>0</x:v>
      </x:c>
      <x:c r="G761" s="6" t="n">
        <x:v>1</x:v>
      </x:c>
      <x:c r="H761" s="9" t="str">
        <x:v>06-04-2014</x:v>
      </x:c>
      <x:c r="I761" s="6" t="n">
        <x:v>86</x:v>
      </x:c>
      <x:c r="J761" s="6" t="n">
        <x:v>76</x:v>
      </x:c>
      <x:c r="K761" s="6" t="n">
        <x:v>0</x:v>
      </x:c>
      <x:c r="L761" s="6" t="n">
        <x:v>7</x:v>
      </x:c>
      <x:c r="M761" s="6" t="n">
        <x:v>0</x:v>
      </x:c>
      <x:c r="N761" s="6" t="n">
        <x:v>0</x:v>
      </x:c>
      <x:c r="O761" s="6" t="n">
        <x:v>16</x:v>
      </x:c>
      <x:c r="P761" s="6" t="n">
        <x:v>1</x:v>
      </x:c>
      <x:c r="Q761" s="6" t="n">
        <x:v>3</x:v>
      </x:c>
      <x:c r="R761" s="6" t="n">
        <x:v>2</x:v>
      </x:c>
      <x:c r="S761" s="6" t="n">
        <x:v>2</x:v>
      </x:c>
      <x:c r="T761" s="6" t="n">
        <x:v>5</x:v>
      </x:c>
      <x:c r="U761" s="6" t="n">
        <x:v>0</x:v>
      </x:c>
      <x:c r="V761" s="6" t="n">
        <x:v>0</x:v>
      </x:c>
      <x:c r="W761" s="6" t="n">
        <x:v>0</x:v>
      </x:c>
      <x:c r="X761" s="6" t="n">
        <x:v>0</x:v>
      </x:c>
      <x:c r="Y761" s="6" t="n">
        <x:v>0</x:v>
      </x:c>
      <x:c r="Z761" s="6" t="n">
        <x:v>0</x:v>
      </x:c>
      <x:c r="AA761" s="6" t="n">
        <x:v>3</x:v>
      </x:c>
      <x:c r="AB761" s="6" t="n">
        <x:v>11</x:v>
      </x:c>
      <x:c r="AC761" s="6" t="n">
        <x:v>0</x:v>
      </x:c>
    </x:row>
    <x:row r="762">
      <x:c r="A762" s="6" t="n">
        <x:v>10270</x:v>
      </x:c>
      <x:c r="B762" s="6" t="n">
        <x:v>1981</x:v>
      </x:c>
      <x:c r="C762" s="6" t="str">
        <x:v>2n Cycle</x:v>
      </x:c>
      <x:c r="D762" s="6" t="str">
        <x:v>Married</x:v>
      </x:c>
      <x:c r="E762" s="6" t="n">
        <x:v>35523</x:v>
      </x:c>
      <x:c r="F762" s="6" t="n">
        <x:v>1</x:v>
      </x:c>
      <x:c r="G762" s="6" t="n">
        <x:v>0</x:v>
      </x:c>
      <x:c r="H762" s="9" t="str">
        <x:v>03-10-2013</x:v>
      </x:c>
      <x:c r="I762" s="6" t="n">
        <x:v>8</x:v>
      </x:c>
      <x:c r="J762" s="6" t="n">
        <x:v>11</x:v>
      </x:c>
      <x:c r="K762" s="6" t="n">
        <x:v>5</x:v>
      </x:c>
      <x:c r="L762" s="6" t="n">
        <x:v>22</x:v>
      </x:c>
      <x:c r="M762" s="6" t="n">
        <x:v>12</x:v>
      </x:c>
      <x:c r="N762" s="6" t="n">
        <x:v>5</x:v>
      </x:c>
      <x:c r="O762" s="6" t="n">
        <x:v>11</x:v>
      </x:c>
      <x:c r="P762" s="6" t="n">
        <x:v>2</x:v>
      </x:c>
      <x:c r="Q762" s="6" t="n">
        <x:v>3</x:v>
      </x:c>
      <x:c r="R762" s="6" t="n">
        <x:v>0</x:v>
      </x:c>
      <x:c r="S762" s="6" t="n">
        <x:v>3</x:v>
      </x:c>
      <x:c r="T762" s="6" t="n">
        <x:v>7</x:v>
      </x:c>
      <x:c r="U762" s="6" t="n">
        <x:v>0</x:v>
      </x:c>
      <x:c r="V762" s="6" t="n">
        <x:v>0</x:v>
      </x:c>
      <x:c r="W762" s="6" t="n">
        <x:v>0</x:v>
      </x:c>
      <x:c r="X762" s="6" t="n">
        <x:v>0</x:v>
      </x:c>
      <x:c r="Y762" s="6" t="n">
        <x:v>0</x:v>
      </x:c>
      <x:c r="Z762" s="6" t="n">
        <x:v>0</x:v>
      </x:c>
      <x:c r="AA762" s="6" t="n">
        <x:v>3</x:v>
      </x:c>
      <x:c r="AB762" s="6" t="n">
        <x:v>11</x:v>
      </x:c>
      <x:c r="AC762" s="6" t="n">
        <x:v>0</x:v>
      </x:c>
    </x:row>
    <x:row r="763">
      <x:c r="A763" s="6" t="n">
        <x:v>6887</x:v>
      </x:c>
      <x:c r="B763" s="6" t="n">
        <x:v>1967</x:v>
      </x:c>
      <x:c r="C763" s="6" t="str">
        <x:v>Graduation</x:v>
      </x:c>
      <x:c r="D763" s="6" t="str">
        <x:v>Single</x:v>
      </x:c>
      <x:c r="E763" s="6" t="n">
        <x:v>79146</x:v>
      </x:c>
      <x:c r="F763" s="6" t="n">
        <x:v>1</x:v>
      </x:c>
      <x:c r="G763" s="6" t="n">
        <x:v>1</x:v>
      </x:c>
      <x:c r="H763" s="9" t="str">
        <x:v>24-04-2014</x:v>
      </x:c>
      <x:c r="I763" s="6" t="n">
        <x:v>33</x:v>
      </x:c>
      <x:c r="J763" s="6" t="n">
        <x:v>245</x:v>
      </x:c>
      <x:c r="K763" s="6" t="n">
        <x:v>16</x:v>
      </x:c>
      <x:c r="L763" s="6" t="n">
        <x:v>223</x:v>
      </x:c>
      <x:c r="M763" s="6" t="n">
        <x:v>21</x:v>
      </x:c>
      <x:c r="N763" s="6" t="n">
        <x:v>43</x:v>
      </x:c>
      <x:c r="O763" s="6" t="n">
        <x:v>16</x:v>
      </x:c>
      <x:c r="P763" s="6" t="n">
        <x:v>2</x:v>
      </x:c>
      <x:c r="Q763" s="6" t="n">
        <x:v>8</x:v>
      </x:c>
      <x:c r="R763" s="6" t="n">
        <x:v>1</x:v>
      </x:c>
      <x:c r="S763" s="6" t="n">
        <x:v>8</x:v>
      </x:c>
      <x:c r="T763" s="6" t="n">
        <x:v>6</x:v>
      </x:c>
      <x:c r="U763" s="6" t="n">
        <x:v>0</x:v>
      </x:c>
      <x:c r="V763" s="6" t="n">
        <x:v>0</x:v>
      </x:c>
      <x:c r="W763" s="6" t="n">
        <x:v>0</x:v>
      </x:c>
      <x:c r="X763" s="6" t="n">
        <x:v>0</x:v>
      </x:c>
      <x:c r="Y763" s="6" t="n">
        <x:v>0</x:v>
      </x:c>
      <x:c r="Z763" s="6" t="n">
        <x:v>0</x:v>
      </x:c>
      <x:c r="AA763" s="6" t="n">
        <x:v>3</x:v>
      </x:c>
      <x:c r="AB763" s="6" t="n">
        <x:v>11</x:v>
      </x:c>
      <x:c r="AC763" s="6" t="n">
        <x:v>0</x:v>
      </x:c>
    </x:row>
    <x:row r="764">
      <x:c r="A764" s="6" t="n">
        <x:v>6406</x:v>
      </x:c>
      <x:c r="B764" s="6" t="n">
        <x:v>1988</x:v>
      </x:c>
      <x:c r="C764" s="6" t="str">
        <x:v>Master</x:v>
      </x:c>
      <x:c r="D764" s="6" t="str">
        <x:v>Married</x:v>
      </x:c>
      <x:c r="E764" s="6" t="n">
        <x:v>78285</x:v>
      </x:c>
      <x:c r="F764" s="6" t="n">
        <x:v>0</x:v>
      </x:c>
      <x:c r="G764" s="6" t="n">
        <x:v>0</x:v>
      </x:c>
      <x:c r="H764" s="9" t="str">
        <x:v>28-10-2013</x:v>
      </x:c>
      <x:c r="I764" s="6" t="n">
        <x:v>13</x:v>
      </x:c>
      <x:c r="J764" s="6" t="n">
        <x:v>647</x:v>
      </x:c>
      <x:c r="K764" s="6" t="n">
        <x:v>107</x:v>
      </x:c>
      <x:c r="L764" s="6" t="n">
        <x:v>391</x:v>
      </x:c>
      <x:c r="M764" s="6" t="n">
        <x:v>175</x:v>
      </x:c>
      <x:c r="N764" s="6" t="n">
        <x:v>67</x:v>
      </x:c>
      <x:c r="O764" s="6" t="n">
        <x:v>40</x:v>
      </x:c>
      <x:c r="P764" s="6" t="n">
        <x:v>1</x:v>
      </x:c>
      <x:c r="Q764" s="6" t="n">
        <x:v>6</x:v>
      </x:c>
      <x:c r="R764" s="6" t="n">
        <x:v>4</x:v>
      </x:c>
      <x:c r="S764" s="6" t="n">
        <x:v>10</x:v>
      </x:c>
      <x:c r="T764" s="6" t="n">
        <x:v>3</x:v>
      </x:c>
      <x:c r="U764" s="6" t="n">
        <x:v>0</x:v>
      </x:c>
      <x:c r="V764" s="6" t="n">
        <x:v>0</x:v>
      </x:c>
      <x:c r="W764" s="6" t="n">
        <x:v>0</x:v>
      </x:c>
      <x:c r="X764" s="6" t="n">
        <x:v>0</x:v>
      </x:c>
      <x:c r="Y764" s="6" t="n">
        <x:v>0</x:v>
      </x:c>
      <x:c r="Z764" s="6" t="n">
        <x:v>0</x:v>
      </x:c>
      <x:c r="AA764" s="6" t="n">
        <x:v>3</x:v>
      </x:c>
      <x:c r="AB764" s="6" t="n">
        <x:v>11</x:v>
      </x:c>
      <x:c r="AC764" s="6" t="n">
        <x:v>0</x:v>
      </x:c>
    </x:row>
    <x:row r="765">
      <x:c r="A765" s="6" t="n">
        <x:v>7573</x:v>
      </x:c>
      <x:c r="B765" s="6" t="n">
        <x:v>1978</x:v>
      </x:c>
      <x:c r="C765" s="6" t="str">
        <x:v>PhD</x:v>
      </x:c>
      <x:c r="D765" s="6" t="str">
        <x:v>Single</x:v>
      </x:c>
      <x:c r="E765" s="6" t="n">
        <x:v>31626</x:v>
      </x:c>
      <x:c r="F765" s="6" t="n">
        <x:v>1</x:v>
      </x:c>
      <x:c r="G765" s="6" t="n">
        <x:v>0</x:v>
      </x:c>
      <x:c r="H765" s="9" t="str">
        <x:v>10-05-2013</x:v>
      </x:c>
      <x:c r="I765" s="6" t="n">
        <x:v>12</x:v>
      </x:c>
      <x:c r="J765" s="6" t="n">
        <x:v>39</x:v>
      </x:c>
      <x:c r="K765" s="6" t="n">
        <x:v>1</x:v>
      </x:c>
      <x:c r="L765" s="6" t="n">
        <x:v>9</x:v>
      </x:c>
      <x:c r="M765" s="6" t="n">
        <x:v>2</x:v>
      </x:c>
      <x:c r="N765" s="6" t="n">
        <x:v>1</x:v>
      </x:c>
      <x:c r="O765" s="6" t="n">
        <x:v>34</x:v>
      </x:c>
      <x:c r="P765" s="6" t="n">
        <x:v>1</x:v>
      </x:c>
      <x:c r="Q765" s="6" t="n">
        <x:v>2</x:v>
      </x:c>
      <x:c r="R765" s="6" t="n">
        <x:v>1</x:v>
      </x:c>
      <x:c r="S765" s="6" t="n">
        <x:v>2</x:v>
      </x:c>
      <x:c r="T765" s="6" t="n">
        <x:v>7</x:v>
      </x:c>
      <x:c r="U765" s="6" t="n">
        <x:v>1</x:v>
      </x:c>
      <x:c r="V765" s="6" t="n">
        <x:v>0</x:v>
      </x:c>
      <x:c r="W765" s="6" t="n">
        <x:v>0</x:v>
      </x:c>
      <x:c r="X765" s="6" t="n">
        <x:v>0</x:v>
      </x:c>
      <x:c r="Y765" s="6" t="n">
        <x:v>0</x:v>
      </x:c>
      <x:c r="Z765" s="6" t="n">
        <x:v>0</x:v>
      </x:c>
      <x:c r="AA765" s="6" t="n">
        <x:v>3</x:v>
      </x:c>
      <x:c r="AB765" s="6" t="n">
        <x:v>11</x:v>
      </x:c>
      <x:c r="AC765" s="6" t="n">
        <x:v>1</x:v>
      </x:c>
    </x:row>
    <x:row r="766">
      <x:c r="A766" s="6" t="n">
        <x:v>4508</x:v>
      </x:c>
      <x:c r="B766" s="6" t="n">
        <x:v>1952</x:v>
      </x:c>
      <x:c r="C766" s="6" t="str">
        <x:v>Graduation</x:v>
      </x:c>
      <x:c r="D766" s="6" t="str">
        <x:v>Single</x:v>
      </x:c>
      <x:c r="E766" s="6" t="n">
        <x:v>75127</x:v>
      </x:c>
      <x:c r="F766" s="6" t="n">
        <x:v>0</x:v>
      </x:c>
      <x:c r="G766" s="6" t="n">
        <x:v>0</x:v>
      </x:c>
      <x:c r="H766" s="9" t="str">
        <x:v>22-05-2014</x:v>
      </x:c>
      <x:c r="I766" s="6" t="n">
        <x:v>92</x:v>
      </x:c>
      <x:c r="J766" s="6" t="n">
        <x:v>203</x:v>
      </x:c>
      <x:c r="K766" s="6" t="n">
        <x:v>35</x:v>
      </x:c>
      <x:c r="L766" s="6" t="n">
        <x:v>305</x:v>
      </x:c>
      <x:c r="M766" s="6" t="n">
        <x:v>46</x:v>
      </x:c>
      <x:c r="N766" s="6" t="n">
        <x:v>17</x:v>
      </x:c>
      <x:c r="O766" s="6" t="n">
        <x:v>227</x:v>
      </x:c>
      <x:c r="P766" s="6" t="n">
        <x:v>1</x:v>
      </x:c>
      <x:c r="Q766" s="6" t="n">
        <x:v>2</x:v>
      </x:c>
      <x:c r="R766" s="6" t="n">
        <x:v>11</x:v>
      </x:c>
      <x:c r="S766" s="6" t="n">
        <x:v>5</x:v>
      </x:c>
      <x:c r="T766" s="6" t="n">
        <x:v>1</x:v>
      </x:c>
      <x:c r="U766" s="6" t="n">
        <x:v>0</x:v>
      </x:c>
      <x:c r="V766" s="6" t="n">
        <x:v>0</x:v>
      </x:c>
      <x:c r="W766" s="6" t="n">
        <x:v>0</x:v>
      </x:c>
      <x:c r="X766" s="6" t="n">
        <x:v>0</x:v>
      </x:c>
      <x:c r="Y766" s="6" t="n">
        <x:v>0</x:v>
      </x:c>
      <x:c r="Z766" s="6" t="n">
        <x:v>0</x:v>
      </x:c>
      <x:c r="AA766" s="6" t="n">
        <x:v>3</x:v>
      </x:c>
      <x:c r="AB766" s="6" t="n">
        <x:v>11</x:v>
      </x:c>
      <x:c r="AC766" s="6" t="n">
        <x:v>0</x:v>
      </x:c>
    </x:row>
    <x:row r="767">
      <x:c r="A767" s="6" t="n">
        <x:v>221</x:v>
      </x:c>
      <x:c r="B767" s="6" t="n">
        <x:v>1955</x:v>
      </x:c>
      <x:c r="C767" s="6" t="str">
        <x:v>Graduation</x:v>
      </x:c>
      <x:c r="D767" s="6" t="str">
        <x:v>Married</x:v>
      </x:c>
      <x:c r="E767" s="6" t="n">
        <x:v>48726</x:v>
      </x:c>
      <x:c r="F767" s="6" t="n">
        <x:v>0</x:v>
      </x:c>
      <x:c r="G767" s="6" t="n">
        <x:v>1</x:v>
      </x:c>
      <x:c r="H767" s="9" t="str">
        <x:v>27-04-2013</x:v>
      </x:c>
      <x:c r="I767" s="6" t="n">
        <x:v>90</x:v>
      </x:c>
      <x:c r="J767" s="6" t="n">
        <x:v>138</x:v>
      </x:c>
      <x:c r="K767" s="6" t="n">
        <x:v>3</x:v>
      </x:c>
      <x:c r="L767" s="6" t="n">
        <x:v>38</x:v>
      </x:c>
      <x:c r="M767" s="6" t="n">
        <x:v>4</x:v>
      </x:c>
      <x:c r="N767" s="6" t="n">
        <x:v>0</x:v>
      </x:c>
      <x:c r="O767" s="6" t="n">
        <x:v>59</x:v>
      </x:c>
      <x:c r="P767" s="6" t="n">
        <x:v>3</x:v>
      </x:c>
      <x:c r="Q767" s="6" t="n">
        <x:v>3</x:v>
      </x:c>
      <x:c r="R767" s="6" t="n">
        <x:v>2</x:v>
      </x:c>
      <x:c r="S767" s="6" t="n">
        <x:v>4</x:v>
      </x:c>
      <x:c r="T767" s="6" t="n">
        <x:v>6</x:v>
      </x:c>
      <x:c r="U767" s="6" t="n">
        <x:v>0</x:v>
      </x:c>
      <x:c r="V767" s="6" t="n">
        <x:v>0</x:v>
      </x:c>
      <x:c r="W767" s="6" t="n">
        <x:v>0</x:v>
      </x:c>
      <x:c r="X767" s="6" t="n">
        <x:v>0</x:v>
      </x:c>
      <x:c r="Y767" s="6" t="n">
        <x:v>0</x:v>
      </x:c>
      <x:c r="Z767" s="6" t="n">
        <x:v>0</x:v>
      </x:c>
      <x:c r="AA767" s="6" t="n">
        <x:v>3</x:v>
      </x:c>
      <x:c r="AB767" s="6" t="n">
        <x:v>11</x:v>
      </x:c>
      <x:c r="AC767" s="6" t="n">
        <x:v>0</x:v>
      </x:c>
    </x:row>
    <x:row r="768">
      <x:c r="A768" s="6" t="n">
        <x:v>5331</x:v>
      </x:c>
      <x:c r="B768" s="6" t="n">
        <x:v>1977</x:v>
      </x:c>
      <x:c r="C768" s="6" t="str">
        <x:v>Graduation</x:v>
      </x:c>
      <x:c r="D768" s="6" t="str">
        <x:v>Married</x:v>
      </x:c>
      <x:c r="E768" s="6" t="n">
        <x:v>74985</x:v>
      </x:c>
      <x:c r="F768" s="6" t="n">
        <x:v>0</x:v>
      </x:c>
      <x:c r="G768" s="6" t="n">
        <x:v>0</x:v>
      </x:c>
      <x:c r="H768" s="9" t="str">
        <x:v>11-09-2012</x:v>
      </x:c>
      <x:c r="I768" s="6" t="n">
        <x:v>8</x:v>
      </x:c>
      <x:c r="J768" s="6" t="n">
        <x:v>587</x:v>
      </x:c>
      <x:c r="K768" s="6" t="n">
        <x:v>51</x:v>
      </x:c>
      <x:c r="L768" s="6" t="n">
        <x:v>898</x:v>
      </x:c>
      <x:c r="M768" s="6" t="n">
        <x:v>247</x:v>
      </x:c>
      <x:c r="N768" s="6" t="n">
        <x:v>0</x:v>
      </x:c>
      <x:c r="O768" s="6" t="n">
        <x:v>86</x:v>
      </x:c>
      <x:c r="P768" s="6" t="n">
        <x:v>1</x:v>
      </x:c>
      <x:c r="Q768" s="6" t="n">
        <x:v>3</x:v>
      </x:c>
      <x:c r="R768" s="6" t="n">
        <x:v>6</x:v>
      </x:c>
      <x:c r="S768" s="6" t="n">
        <x:v>7</x:v>
      </x:c>
      <x:c r="T768" s="6" t="n">
        <x:v>2</x:v>
      </x:c>
      <x:c r="U768" s="6" t="n">
        <x:v>0</x:v>
      </x:c>
      <x:c r="V768" s="6" t="n">
        <x:v>0</x:v>
      </x:c>
      <x:c r="W768" s="6" t="n">
        <x:v>0</x:v>
      </x:c>
      <x:c r="X768" s="6" t="n">
        <x:v>0</x:v>
      </x:c>
      <x:c r="Y768" s="6" t="n">
        <x:v>0</x:v>
      </x:c>
      <x:c r="Z768" s="6" t="n">
        <x:v>0</x:v>
      </x:c>
      <x:c r="AA768" s="6" t="n">
        <x:v>3</x:v>
      </x:c>
      <x:c r="AB768" s="6" t="n">
        <x:v>11</x:v>
      </x:c>
      <x:c r="AC768" s="6" t="n">
        <x:v>0</x:v>
      </x:c>
    </x:row>
    <x:row r="769">
      <x:c r="A769" s="6" t="n">
        <x:v>1911</x:v>
      </x:c>
      <x:c r="B769" s="6" t="n">
        <x:v>1987</x:v>
      </x:c>
      <x:c r="C769" s="6" t="str">
        <x:v>Graduation</x:v>
      </x:c>
      <x:c r="D769" s="6" t="str">
        <x:v>Together</x:v>
      </x:c>
      <x:c r="E769" s="6" t="n">
        <x:v>67430</x:v>
      </x:c>
      <x:c r="F769" s="6" t="n">
        <x:v>0</x:v>
      </x:c>
      <x:c r="G769" s="6" t="n">
        <x:v>0</x:v>
      </x:c>
      <x:c r="H769" s="9" t="str">
        <x:v>05-09-2012</x:v>
      </x:c>
      <x:c r="I769" s="6" t="n">
        <x:v>6</x:v>
      </x:c>
      <x:c r="J769" s="6" t="n">
        <x:v>595</x:v>
      </x:c>
      <x:c r="K769" s="6" t="n">
        <x:v>97</x:v>
      </x:c>
      <x:c r="L769" s="6" t="n">
        <x:v>291</x:v>
      </x:c>
      <x:c r="M769" s="6" t="n">
        <x:v>127</x:v>
      </x:c>
      <x:c r="N769" s="6" t="n">
        <x:v>133</x:v>
      </x:c>
      <x:c r="O769" s="6" t="n">
        <x:v>121</x:v>
      </x:c>
      <x:c r="P769" s="6" t="n">
        <x:v>1</x:v>
      </x:c>
      <x:c r="Q769" s="6" t="n">
        <x:v>11</x:v>
      </x:c>
      <x:c r="R769" s="6" t="n">
        <x:v>5</x:v>
      </x:c>
      <x:c r="S769" s="6" t="n">
        <x:v>12</x:v>
      </x:c>
      <x:c r="T769" s="6" t="n">
        <x:v>6</x:v>
      </x:c>
      <x:c r="U769" s="6" t="n">
        <x:v>0</x:v>
      </x:c>
      <x:c r="V769" s="6" t="n">
        <x:v>0</x:v>
      </x:c>
      <x:c r="W769" s="6" t="n">
        <x:v>0</x:v>
      </x:c>
      <x:c r="X769" s="6" t="n">
        <x:v>0</x:v>
      </x:c>
      <x:c r="Y769" s="6" t="n">
        <x:v>0</x:v>
      </x:c>
      <x:c r="Z769" s="6" t="n">
        <x:v>0</x:v>
      </x:c>
      <x:c r="AA769" s="6" t="n">
        <x:v>3</x:v>
      </x:c>
      <x:c r="AB769" s="6" t="n">
        <x:v>11</x:v>
      </x:c>
      <x:c r="AC769" s="6" t="n">
        <x:v>0</x:v>
      </x:c>
    </x:row>
    <x:row r="770">
      <x:c r="A770" s="6" t="n">
        <x:v>20</x:v>
      </x:c>
      <x:c r="B770" s="6" t="n">
        <x:v>1965</x:v>
      </x:c>
      <x:c r="C770" s="6" t="str">
        <x:v>2n Cycle</x:v>
      </x:c>
      <x:c r="D770" s="6" t="str">
        <x:v>Married</x:v>
      </x:c>
      <x:c r="E770" s="6" t="n">
        <x:v>46891</x:v>
      </x:c>
      <x:c r="F770" s="6" t="n">
        <x:v>0</x:v>
      </x:c>
      <x:c r="G770" s="6" t="n">
        <x:v>1</x:v>
      </x:c>
      <x:c r="H770" s="9" t="str">
        <x:v>01-09-2013</x:v>
      </x:c>
      <x:c r="I770" s="6" t="n">
        <x:v>91</x:v>
      </x:c>
      <x:c r="J770" s="6" t="n">
        <x:v>43</x:v>
      </x:c>
      <x:c r="K770" s="6" t="n">
        <x:v>12</x:v>
      </x:c>
      <x:c r="L770" s="6" t="n">
        <x:v>23</x:v>
      </x:c>
      <x:c r="M770" s="6" t="n">
        <x:v>29</x:v>
      </x:c>
      <x:c r="N770" s="6" t="n">
        <x:v>15</x:v>
      </x:c>
      <x:c r="O770" s="6" t="n">
        <x:v>61</x:v>
      </x:c>
      <x:c r="P770" s="6" t="n">
        <x:v>1</x:v>
      </x:c>
      <x:c r="Q770" s="6" t="n">
        <x:v>2</x:v>
      </x:c>
      <x:c r="R770" s="6" t="n">
        <x:v>1</x:v>
      </x:c>
      <x:c r="S770" s="6" t="n">
        <x:v>4</x:v>
      </x:c>
      <x:c r="T770" s="6" t="n">
        <x:v>4</x:v>
      </x:c>
      <x:c r="U770" s="6" t="n">
        <x:v>0</x:v>
      </x:c>
      <x:c r="V770" s="6" t="n">
        <x:v>0</x:v>
      </x:c>
      <x:c r="W770" s="6" t="n">
        <x:v>0</x:v>
      </x:c>
      <x:c r="X770" s="6" t="n">
        <x:v>0</x:v>
      </x:c>
      <x:c r="Y770" s="6" t="n">
        <x:v>0</x:v>
      </x:c>
      <x:c r="Z770" s="6" t="n">
        <x:v>0</x:v>
      </x:c>
      <x:c r="AA770" s="6" t="n">
        <x:v>3</x:v>
      </x:c>
      <x:c r="AB770" s="6" t="n">
        <x:v>11</x:v>
      </x:c>
      <x:c r="AC770" s="6" t="n">
        <x:v>0</x:v>
      </x:c>
    </x:row>
    <x:row r="771">
      <x:c r="A771" s="6" t="n">
        <x:v>8786</x:v>
      </x:c>
      <x:c r="B771" s="6" t="n">
        <x:v>1956</x:v>
      </x:c>
      <x:c r="C771" s="6" t="str">
        <x:v>Master</x:v>
      </x:c>
      <x:c r="D771" s="6" t="str">
        <x:v>Married</x:v>
      </x:c>
      <x:c r="E771" s="6" t="n">
        <x:v>62058</x:v>
      </x:c>
      <x:c r="F771" s="6" t="n">
        <x:v>0</x:v>
      </x:c>
      <x:c r="G771" s="6" t="n">
        <x:v>1</x:v>
      </x:c>
      <x:c r="H771" s="9" t="str">
        <x:v>26-05-2013</x:v>
      </x:c>
      <x:c r="I771" s="6" t="n">
        <x:v>52</x:v>
      </x:c>
      <x:c r="J771" s="6" t="n">
        <x:v>301</x:v>
      </x:c>
      <x:c r="K771" s="6" t="n">
        <x:v>7</x:v>
      </x:c>
      <x:c r="L771" s="6" t="n">
        <x:v>74</x:v>
      </x:c>
      <x:c r="M771" s="6" t="n">
        <x:v>10</x:v>
      </x:c>
      <x:c r="N771" s="6" t="n">
        <x:v>0</x:v>
      </x:c>
      <x:c r="O771" s="6" t="n">
        <x:v>58</x:v>
      </x:c>
      <x:c r="P771" s="6" t="n">
        <x:v>4</x:v>
      </x:c>
      <x:c r="Q771" s="6" t="n">
        <x:v>6</x:v>
      </x:c>
      <x:c r="R771" s="6" t="n">
        <x:v>1</x:v>
      </x:c>
      <x:c r="S771" s="6" t="n">
        <x:v>7</x:v>
      </x:c>
      <x:c r="T771" s="6" t="n">
        <x:v>6</x:v>
      </x:c>
      <x:c r="U771" s="6" t="n">
        <x:v>0</x:v>
      </x:c>
      <x:c r="V771" s="6" t="n">
        <x:v>0</x:v>
      </x:c>
      <x:c r="W771" s="6" t="n">
        <x:v>0</x:v>
      </x:c>
      <x:c r="X771" s="6" t="n">
        <x:v>0</x:v>
      </x:c>
      <x:c r="Y771" s="6" t="n">
        <x:v>0</x:v>
      </x:c>
      <x:c r="Z771" s="6" t="n">
        <x:v>0</x:v>
      </x:c>
      <x:c r="AA771" s="6" t="n">
        <x:v>3</x:v>
      </x:c>
      <x:c r="AB771" s="6" t="n">
        <x:v>11</x:v>
      </x:c>
      <x:c r="AC771" s="6" t="n">
        <x:v>0</x:v>
      </x:c>
    </x:row>
    <x:row r="772">
      <x:c r="A772" s="6" t="n">
        <x:v>10582</x:v>
      </x:c>
      <x:c r="B772" s="6" t="n">
        <x:v>1979</x:v>
      </x:c>
      <x:c r="C772" s="6" t="str">
        <x:v>Graduation</x:v>
      </x:c>
      <x:c r="D772" s="6" t="str">
        <x:v>Married</x:v>
      </x:c>
      <x:c r="E772" s="6" t="n">
        <x:v>72063</x:v>
      </x:c>
      <x:c r="F772" s="6" t="n">
        <x:v>0</x:v>
      </x:c>
      <x:c r="G772" s="6" t="n">
        <x:v>1</x:v>
      </x:c>
      <x:c r="H772" s="9" t="str">
        <x:v>03-07-2013</x:v>
      </x:c>
      <x:c r="I772" s="6" t="n">
        <x:v>3</x:v>
      </x:c>
      <x:c r="J772" s="6" t="n">
        <x:v>180</x:v>
      </x:c>
      <x:c r="K772" s="6" t="n">
        <x:v>32</x:v>
      </x:c>
      <x:c r="L772" s="6" t="n">
        <x:v>348</x:v>
      </x:c>
      <x:c r="M772" s="6" t="n">
        <x:v>76</x:v>
      </x:c>
      <x:c r="N772" s="6" t="n">
        <x:v>32</x:v>
      </x:c>
      <x:c r="O772" s="6" t="n">
        <x:v>90</x:v>
      </x:c>
      <x:c r="P772" s="6" t="n">
        <x:v>2</x:v>
      </x:c>
      <x:c r="Q772" s="6" t="n">
        <x:v>5</x:v>
      </x:c>
      <x:c r="R772" s="6" t="n">
        <x:v>2</x:v>
      </x:c>
      <x:c r="S772" s="6" t="n">
        <x:v>12</x:v>
      </x:c>
      <x:c r="T772" s="6" t="n">
        <x:v>2</x:v>
      </x:c>
      <x:c r="U772" s="6" t="n">
        <x:v>0</x:v>
      </x:c>
      <x:c r="V772" s="6" t="n">
        <x:v>0</x:v>
      </x:c>
      <x:c r="W772" s="6" t="n">
        <x:v>0</x:v>
      </x:c>
      <x:c r="X772" s="6" t="n">
        <x:v>0</x:v>
      </x:c>
      <x:c r="Y772" s="6" t="n">
        <x:v>0</x:v>
      </x:c>
      <x:c r="Z772" s="6" t="n">
        <x:v>0</x:v>
      </x:c>
      <x:c r="AA772" s="6" t="n">
        <x:v>3</x:v>
      </x:c>
      <x:c r="AB772" s="6" t="n">
        <x:v>11</x:v>
      </x:c>
      <x:c r="AC772" s="6" t="n">
        <x:v>0</x:v>
      </x:c>
    </x:row>
    <x:row r="773">
      <x:c r="A773" s="6" t="n">
        <x:v>1915</x:v>
      </x:c>
      <x:c r="B773" s="6" t="n">
        <x:v>1951</x:v>
      </x:c>
      <x:c r="C773" s="6" t="str">
        <x:v>PhD</x:v>
      </x:c>
      <x:c r="D773" s="6" t="str">
        <x:v>Married</x:v>
      </x:c>
      <x:c r="E773" s="6" t="n">
        <x:v>78939</x:v>
      </x:c>
      <x:c r="F773" s="6" t="n">
        <x:v>0</x:v>
      </x:c>
      <x:c r="G773" s="6" t="n">
        <x:v>0</x:v>
      </x:c>
      <x:c r="H773" s="9" t="str">
        <x:v>12-12-2013</x:v>
      </x:c>
      <x:c r="I773" s="6" t="n">
        <x:v>57</x:v>
      </x:c>
      <x:c r="J773" s="6" t="n">
        <x:v>794</x:v>
      </x:c>
      <x:c r="K773" s="6" t="n">
        <x:v>115</x:v>
      </x:c>
      <x:c r="L773" s="6" t="n">
        <x:v>243</x:v>
      </x:c>
      <x:c r="M773" s="6" t="n">
        <x:v>150</x:v>
      </x:c>
      <x:c r="N773" s="6" t="n">
        <x:v>0</x:v>
      </x:c>
      <x:c r="O773" s="6" t="n">
        <x:v>205</x:v>
      </x:c>
      <x:c r="P773" s="6" t="n">
        <x:v>1</x:v>
      </x:c>
      <x:c r="Q773" s="6" t="n">
        <x:v>8</x:v>
      </x:c>
      <x:c r="R773" s="6" t="n">
        <x:v>5</x:v>
      </x:c>
      <x:c r="S773" s="6" t="n">
        <x:v>6</x:v>
      </x:c>
      <x:c r="T773" s="6" t="n">
        <x:v>3</x:v>
      </x:c>
      <x:c r="U773" s="6" t="n">
        <x:v>0</x:v>
      </x:c>
      <x:c r="V773" s="6" t="n">
        <x:v>0</x:v>
      </x:c>
      <x:c r="W773" s="6" t="n">
        <x:v>0</x:v>
      </x:c>
      <x:c r="X773" s="6" t="n">
        <x:v>0</x:v>
      </x:c>
      <x:c r="Y773" s="6" t="n">
        <x:v>0</x:v>
      </x:c>
      <x:c r="Z773" s="6" t="n">
        <x:v>0</x:v>
      </x:c>
      <x:c r="AA773" s="6" t="n">
        <x:v>3</x:v>
      </x:c>
      <x:c r="AB773" s="6" t="n">
        <x:v>11</x:v>
      </x:c>
      <x:c r="AC773" s="6" t="n">
        <x:v>0</x:v>
      </x:c>
    </x:row>
    <x:row r="774">
      <x:c r="A774" s="6" t="n">
        <x:v>8897</x:v>
      </x:c>
      <x:c r="B774" s="6" t="n">
        <x:v>1965</x:v>
      </x:c>
      <x:c r="C774" s="6" t="str">
        <x:v>Graduation</x:v>
      </x:c>
      <x:c r="D774" s="6" t="str">
        <x:v>Single</x:v>
      </x:c>
      <x:c r="E774" s="6" t="n">
        <x:v>42720</x:v>
      </x:c>
      <x:c r="F774" s="6" t="n">
        <x:v>1</x:v>
      </x:c>
      <x:c r="G774" s="6" t="n">
        <x:v>1</x:v>
      </x:c>
      <x:c r="H774" s="9" t="str">
        <x:v>24-04-2013</x:v>
      </x:c>
      <x:c r="I774" s="6" t="n">
        <x:v>9</x:v>
      </x:c>
      <x:c r="J774" s="6" t="n">
        <x:v>392</x:v>
      </x:c>
      <x:c r="K774" s="6" t="n">
        <x:v>5</x:v>
      </x:c>
      <x:c r="L774" s="6" t="n">
        <x:v>91</x:v>
      </x:c>
      <x:c r="M774" s="6" t="n">
        <x:v>28</x:v>
      </x:c>
      <x:c r="N774" s="6" t="n">
        <x:v>26</x:v>
      </x:c>
      <x:c r="O774" s="6" t="n">
        <x:v>112</x:v>
      </x:c>
      <x:c r="P774" s="6" t="n">
        <x:v>8</x:v>
      </x:c>
      <x:c r="Q774" s="6" t="n">
        <x:v>7</x:v>
      </x:c>
      <x:c r="R774" s="6" t="n">
        <x:v>3</x:v>
      </x:c>
      <x:c r="S774" s="6" t="n">
        <x:v>7</x:v>
      </x:c>
      <x:c r="T774" s="6" t="n">
        <x:v>8</x:v>
      </x:c>
      <x:c r="U774" s="6" t="n">
        <x:v>0</x:v>
      </x:c>
      <x:c r="V774" s="6" t="n">
        <x:v>0</x:v>
      </x:c>
      <x:c r="W774" s="6" t="n">
        <x:v>0</x:v>
      </x:c>
      <x:c r="X774" s="6" t="n">
        <x:v>0</x:v>
      </x:c>
      <x:c r="Y774" s="6" t="n">
        <x:v>0</x:v>
      </x:c>
      <x:c r="Z774" s="6" t="n">
        <x:v>0</x:v>
      </x:c>
      <x:c r="AA774" s="6" t="n">
        <x:v>3</x:v>
      </x:c>
      <x:c r="AB774" s="6" t="n">
        <x:v>11</x:v>
      </x:c>
      <x:c r="AC774" s="6" t="n">
        <x:v>1</x:v>
      </x:c>
    </x:row>
    <x:row r="775">
      <x:c r="A775" s="6" t="n">
        <x:v>2371</x:v>
      </x:c>
      <x:c r="B775" s="6" t="n">
        <x:v>1972</x:v>
      </x:c>
      <x:c r="C775" s="6" t="str">
        <x:v>Graduation</x:v>
      </x:c>
      <x:c r="D775" s="6" t="str">
        <x:v>Married</x:v>
      </x:c>
      <x:c r="E775" s="6" t="n">
        <x:v>33622</x:v>
      </x:c>
      <x:c r="F775" s="6" t="n">
        <x:v>1</x:v>
      </x:c>
      <x:c r="G775" s="6" t="n">
        <x:v>1</x:v>
      </x:c>
      <x:c r="H775" s="9" t="str">
        <x:v>13-04-2013</x:v>
      </x:c>
      <x:c r="I775" s="6" t="n">
        <x:v>22</x:v>
      </x:c>
      <x:c r="J775" s="6" t="n">
        <x:v>39</x:v>
      </x:c>
      <x:c r="K775" s="6" t="n">
        <x:v>1</x:v>
      </x:c>
      <x:c r="L775" s="6" t="n">
        <x:v>22</x:v>
      </x:c>
      <x:c r="M775" s="6" t="n">
        <x:v>3</x:v>
      </x:c>
      <x:c r="N775" s="6" t="n">
        <x:v>4</x:v>
      </x:c>
      <x:c r="O775" s="6" t="n">
        <x:v>12</x:v>
      </x:c>
      <x:c r="P775" s="6" t="n">
        <x:v>3</x:v>
      </x:c>
      <x:c r="Q775" s="6" t="n">
        <x:v>2</x:v>
      </x:c>
      <x:c r="R775" s="6" t="n">
        <x:v>0</x:v>
      </x:c>
      <x:c r="S775" s="6" t="n">
        <x:v>4</x:v>
      </x:c>
      <x:c r="T775" s="6" t="n">
        <x:v>7</x:v>
      </x:c>
      <x:c r="U775" s="6" t="n">
        <x:v>0</x:v>
      </x:c>
      <x:c r="V775" s="6" t="n">
        <x:v>0</x:v>
      </x:c>
      <x:c r="W775" s="6" t="n">
        <x:v>0</x:v>
      </x:c>
      <x:c r="X775" s="6" t="n">
        <x:v>0</x:v>
      </x:c>
      <x:c r="Y775" s="6" t="n">
        <x:v>0</x:v>
      </x:c>
      <x:c r="Z775" s="6" t="n">
        <x:v>0</x:v>
      </x:c>
      <x:c r="AA775" s="6" t="n">
        <x:v>3</x:v>
      </x:c>
      <x:c r="AB775" s="6" t="n">
        <x:v>11</x:v>
      </x:c>
      <x:c r="AC775" s="6" t="n">
        <x:v>0</x:v>
      </x:c>
    </x:row>
    <x:row r="776">
      <x:c r="A776" s="6" t="n">
        <x:v>4303</x:v>
      </x:c>
      <x:c r="B776" s="6" t="n">
        <x:v>1957</x:v>
      </x:c>
      <x:c r="C776" s="6" t="str">
        <x:v>PhD</x:v>
      </x:c>
      <x:c r="D776" s="6" t="str">
        <x:v>Together</x:v>
      </x:c>
      <x:c r="E776" s="6" t="n">
        <x:v>6835</x:v>
      </x:c>
      <x:c r="F776" s="6" t="n">
        <x:v>0</x:v>
      </x:c>
      <x:c r="G776" s="6" t="n">
        <x:v>1</x:v>
      </x:c>
      <x:c r="H776" s="9" t="str">
        <x:v>08-12-2012</x:v>
      </x:c>
      <x:c r="I776" s="6" t="n">
        <x:v>76</x:v>
      </x:c>
      <x:c r="J776" s="6" t="n">
        <x:v>107</x:v>
      </x:c>
      <x:c r="K776" s="6" t="n">
        <x:v>2</x:v>
      </x:c>
      <x:c r="L776" s="6" t="n">
        <x:v>12</x:v>
      </x:c>
      <x:c r="M776" s="6" t="n">
        <x:v>2</x:v>
      </x:c>
      <x:c r="N776" s="6" t="n">
        <x:v>2</x:v>
      </x:c>
      <x:c r="O776" s="6" t="n">
        <x:v>12</x:v>
      </x:c>
      <x:c r="P776" s="6" t="n">
        <x:v>0</x:v>
      </x:c>
      <x:c r="Q776" s="6" t="n">
        <x:v>0</x:v>
      </x:c>
      <x:c r="R776" s="6" t="n">
        <x:v>0</x:v>
      </x:c>
      <x:c r="S776" s="6" t="n">
        <x:v>1</x:v>
      </x:c>
      <x:c r="T776" s="6" t="n">
        <x:v>20</x:v>
      </x:c>
      <x:c r="U776" s="6" t="n">
        <x:v>0</x:v>
      </x:c>
      <x:c r="V776" s="6" t="n">
        <x:v>0</x:v>
      </x:c>
      <x:c r="W776" s="6" t="n">
        <x:v>0</x:v>
      </x:c>
      <x:c r="X776" s="6" t="n">
        <x:v>0</x:v>
      </x:c>
      <x:c r="Y776" s="6" t="n">
        <x:v>0</x:v>
      </x:c>
      <x:c r="Z776" s="6" t="n">
        <x:v>0</x:v>
      </x:c>
      <x:c r="AA776" s="6" t="n">
        <x:v>3</x:v>
      </x:c>
      <x:c r="AB776" s="6" t="n">
        <x:v>11</x:v>
      </x:c>
      <x:c r="AC776" s="6" t="n">
        <x:v>0</x:v>
      </x:c>
    </x:row>
    <x:row r="777">
      <x:c r="A777" s="6" t="n">
        <x:v>6825</x:v>
      </x:c>
      <x:c r="B777" s="6" t="n">
        <x:v>1953</x:v>
      </x:c>
      <x:c r="C777" s="6" t="str">
        <x:v>Graduation</x:v>
      </x:c>
      <x:c r="D777" s="6" t="str">
        <x:v>Together</x:v>
      </x:c>
      <x:c r="E777" s="6" t="n">
        <x:v>41452</x:v>
      </x:c>
      <x:c r="F777" s="6" t="n">
        <x:v>1</x:v>
      </x:c>
      <x:c r="G777" s="6" t="n">
        <x:v>1</x:v>
      </x:c>
      <x:c r="H777" s="9" t="str">
        <x:v>06-03-2013</x:v>
      </x:c>
      <x:c r="I777" s="6" t="n">
        <x:v>86</x:v>
      </x:c>
      <x:c r="J777" s="6" t="n">
        <x:v>13</x:v>
      </x:c>
      <x:c r="K777" s="6" t="n">
        <x:v>0</x:v>
      </x:c>
      <x:c r="L777" s="6" t="n">
        <x:v>3</x:v>
      </x:c>
      <x:c r="M777" s="6" t="n">
        <x:v>0</x:v>
      </x:c>
      <x:c r="N777" s="6" t="n">
        <x:v>0</x:v>
      </x:c>
      <x:c r="O777" s="6" t="n">
        <x:v>0</x:v>
      </x:c>
      <x:c r="P777" s="6" t="n">
        <x:v>1</x:v>
      </x:c>
      <x:c r="Q777" s="6" t="n">
        <x:v>1</x:v>
      </x:c>
      <x:c r="R777" s="6" t="n">
        <x:v>0</x:v>
      </x:c>
      <x:c r="S777" s="6" t="n">
        <x:v>2</x:v>
      </x:c>
      <x:c r="T777" s="6" t="n">
        <x:v>7</x:v>
      </x:c>
      <x:c r="U777" s="6" t="n">
        <x:v>0</x:v>
      </x:c>
      <x:c r="V777" s="6" t="n">
        <x:v>0</x:v>
      </x:c>
      <x:c r="W777" s="6" t="n">
        <x:v>0</x:v>
      </x:c>
      <x:c r="X777" s="6" t="n">
        <x:v>0</x:v>
      </x:c>
      <x:c r="Y777" s="6" t="n">
        <x:v>0</x:v>
      </x:c>
      <x:c r="Z777" s="6" t="n">
        <x:v>0</x:v>
      </x:c>
      <x:c r="AA777" s="6" t="n">
        <x:v>3</x:v>
      </x:c>
      <x:c r="AB777" s="6" t="n">
        <x:v>11</x:v>
      </x:c>
      <x:c r="AC777" s="6" t="n">
        <x:v>0</x:v>
      </x:c>
    </x:row>
    <x:row r="778">
      <x:c r="A778" s="6" t="n">
        <x:v>1072</x:v>
      </x:c>
      <x:c r="B778" s="6" t="n">
        <x:v>1965</x:v>
      </x:c>
      <x:c r="C778" s="6" t="str">
        <x:v>PhD</x:v>
      </x:c>
      <x:c r="D778" s="6" t="str">
        <x:v>Single</x:v>
      </x:c>
      <x:c r="E778" s="6" t="n">
        <x:v>40760</x:v>
      </x:c>
      <x:c r="F778" s="6" t="n">
        <x:v>0</x:v>
      </x:c>
      <x:c r="G778" s="6" t="n">
        <x:v>1</x:v>
      </x:c>
      <x:c r="H778" s="9" t="str">
        <x:v>30-08-2013</x:v>
      </x:c>
      <x:c r="I778" s="6" t="n">
        <x:v>64</x:v>
      </x:c>
      <x:c r="J778" s="6" t="n">
        <x:v>70</x:v>
      </x:c>
      <x:c r="K778" s="6" t="n">
        <x:v>0</x:v>
      </x:c>
      <x:c r="L778" s="6" t="n">
        <x:v>17</x:v>
      </x:c>
      <x:c r="M778" s="6" t="n">
        <x:v>0</x:v>
      </x:c>
      <x:c r="N778" s="6" t="n">
        <x:v>0</x:v>
      </x:c>
      <x:c r="O778" s="6" t="n">
        <x:v>6</x:v>
      </x:c>
      <x:c r="P778" s="6" t="n">
        <x:v>2</x:v>
      </x:c>
      <x:c r="Q778" s="6" t="n">
        <x:v>2</x:v>
      </x:c>
      <x:c r="R778" s="6" t="n">
        <x:v>1</x:v>
      </x:c>
      <x:c r="S778" s="6" t="n">
        <x:v>3</x:v>
      </x:c>
      <x:c r="T778" s="6" t="n">
        <x:v>6</x:v>
      </x:c>
      <x:c r="U778" s="6" t="n">
        <x:v>0</x:v>
      </x:c>
      <x:c r="V778" s="6" t="n">
        <x:v>0</x:v>
      </x:c>
      <x:c r="W778" s="6" t="n">
        <x:v>0</x:v>
      </x:c>
      <x:c r="X778" s="6" t="n">
        <x:v>0</x:v>
      </x:c>
      <x:c r="Y778" s="6" t="n">
        <x:v>0</x:v>
      </x:c>
      <x:c r="Z778" s="6" t="n">
        <x:v>0</x:v>
      </x:c>
      <x:c r="AA778" s="6" t="n">
        <x:v>3</x:v>
      </x:c>
      <x:c r="AB778" s="6" t="n">
        <x:v>11</x:v>
      </x:c>
      <x:c r="AC778" s="6" t="n">
        <x:v>0</x:v>
      </x:c>
    </x:row>
    <x:row r="779">
      <x:c r="A779" s="6" t="n">
        <x:v>4964</x:v>
      </x:c>
      <x:c r="B779" s="6" t="n">
        <x:v>1958</x:v>
      </x:c>
      <x:c r="C779" s="6" t="str">
        <x:v>PhD</x:v>
      </x:c>
      <x:c r="D779" s="6" t="str">
        <x:v>Together</x:v>
      </x:c>
      <x:c r="E779" s="6" t="n">
        <x:v>74250</x:v>
      </x:c>
      <x:c r="F779" s="6" t="n">
        <x:v>0</x:v>
      </x:c>
      <x:c r="G779" s="6" t="n">
        <x:v>0</x:v>
      </x:c>
      <x:c r="H779" s="9" t="str">
        <x:v>26-01-2014</x:v>
      </x:c>
      <x:c r="I779" s="6" t="n">
        <x:v>90</x:v>
      </x:c>
      <x:c r="J779" s="6" t="n">
        <x:v>680</x:v>
      </x:c>
      <x:c r="K779" s="6" t="n">
        <x:v>11</x:v>
      </x:c>
      <x:c r="L779" s="6" t="n">
        <x:v>392</x:v>
      </x:c>
      <x:c r="M779" s="6" t="n">
        <x:v>75</x:v>
      </x:c>
      <x:c r="N779" s="6" t="n">
        <x:v>0</x:v>
      </x:c>
      <x:c r="O779" s="6" t="n">
        <x:v>0</x:v>
      </x:c>
      <x:c r="P779" s="6" t="n">
        <x:v>1</x:v>
      </x:c>
      <x:c r="Q779" s="6" t="n">
        <x:v>2</x:v>
      </x:c>
      <x:c r="R779" s="6" t="n">
        <x:v>11</x:v>
      </x:c>
      <x:c r="S779" s="6" t="n">
        <x:v>4</x:v>
      </x:c>
      <x:c r="T779" s="6" t="n">
        <x:v>1</x:v>
      </x:c>
      <x:c r="U779" s="6" t="n">
        <x:v>0</x:v>
      </x:c>
      <x:c r="V779" s="6" t="n">
        <x:v>0</x:v>
      </x:c>
      <x:c r="W779" s="6" t="n">
        <x:v>0</x:v>
      </x:c>
      <x:c r="X779" s="6" t="n">
        <x:v>0</x:v>
      </x:c>
      <x:c r="Y779" s="6" t="n">
        <x:v>0</x:v>
      </x:c>
      <x:c r="Z779" s="6" t="n">
        <x:v>0</x:v>
      </x:c>
      <x:c r="AA779" s="6" t="n">
        <x:v>3</x:v>
      </x:c>
      <x:c r="AB779" s="6" t="n">
        <x:v>11</x:v>
      </x:c>
      <x:c r="AC779" s="6" t="n">
        <x:v>0</x:v>
      </x:c>
    </x:row>
    <x:row r="780">
      <x:c r="A780" s="6" t="n">
        <x:v>2461</x:v>
      </x:c>
      <x:c r="B780" s="6" t="n">
        <x:v>1955</x:v>
      </x:c>
      <x:c r="C780" s="6" t="str">
        <x:v>Master</x:v>
      </x:c>
      <x:c r="D780" s="6" t="str">
        <x:v>Single</x:v>
      </x:c>
      <x:c r="E780" s="6" t="n">
        <x:v>51124</x:v>
      </x:c>
      <x:c r="F780" s="6" t="n">
        <x:v>1</x:v>
      </x:c>
      <x:c r="G780" s="6" t="n">
        <x:v>1</x:v>
      </x:c>
      <x:c r="H780" s="9" t="str">
        <x:v>18-12-2013</x:v>
      </x:c>
      <x:c r="I780" s="6" t="n">
        <x:v>79</x:v>
      </x:c>
      <x:c r="J780" s="6" t="n">
        <x:v>26</x:v>
      </x:c>
      <x:c r="K780" s="6" t="n">
        <x:v>1</x:v>
      </x:c>
      <x:c r="L780" s="6" t="n">
        <x:v>11</x:v>
      </x:c>
      <x:c r="M780" s="6" t="n">
        <x:v>0</x:v>
      </x:c>
      <x:c r="N780" s="6" t="n">
        <x:v>1</x:v>
      </x:c>
      <x:c r="O780" s="6" t="n">
        <x:v>4</x:v>
      </x:c>
      <x:c r="P780" s="6" t="n">
        <x:v>2</x:v>
      </x:c>
      <x:c r="Q780" s="6" t="n">
        <x:v>1</x:v>
      </x:c>
      <x:c r="R780" s="6" t="n">
        <x:v>0</x:v>
      </x:c>
      <x:c r="S780" s="6" t="n">
        <x:v>3</x:v>
      </x:c>
      <x:c r="T780" s="6" t="n">
        <x:v>3</x:v>
      </x:c>
      <x:c r="U780" s="6" t="n">
        <x:v>0</x:v>
      </x:c>
      <x:c r="V780" s="6" t="n">
        <x:v>0</x:v>
      </x:c>
      <x:c r="W780" s="6" t="n">
        <x:v>0</x:v>
      </x:c>
      <x:c r="X780" s="6" t="n">
        <x:v>0</x:v>
      </x:c>
      <x:c r="Y780" s="6" t="n">
        <x:v>0</x:v>
      </x:c>
      <x:c r="Z780" s="6" t="n">
        <x:v>0</x:v>
      </x:c>
      <x:c r="AA780" s="6" t="n">
        <x:v>3</x:v>
      </x:c>
      <x:c r="AB780" s="6" t="n">
        <x:v>11</x:v>
      </x:c>
      <x:c r="AC780" s="6" t="n">
        <x:v>0</x:v>
      </x:c>
    </x:row>
    <x:row r="781">
      <x:c r="A781" s="6" t="n">
        <x:v>10736</x:v>
      </x:c>
      <x:c r="B781" s="6" t="n">
        <x:v>1971</x:v>
      </x:c>
      <x:c r="C781" s="6" t="str">
        <x:v>Graduation</x:v>
      </x:c>
      <x:c r="D781" s="6" t="str">
        <x:v>Single</x:v>
      </x:c>
      <x:c r="E781" s="6" t="n">
        <x:v>72258</x:v>
      </x:c>
      <x:c r="F781" s="6" t="n">
        <x:v>0</x:v>
      </x:c>
      <x:c r="G781" s="6" t="n">
        <x:v>1</x:v>
      </x:c>
      <x:c r="H781" s="9" t="str">
        <x:v>12-09-2013</x:v>
      </x:c>
      <x:c r="I781" s="6" t="n">
        <x:v>28</x:v>
      </x:c>
      <x:c r="J781" s="6" t="n">
        <x:v>522</x:v>
      </x:c>
      <x:c r="K781" s="6" t="n">
        <x:v>0</x:v>
      </x:c>
      <x:c r="L781" s="6" t="n">
        <x:v>522</x:v>
      </x:c>
      <x:c r="M781" s="6" t="n">
        <x:v>227</x:v>
      </x:c>
      <x:c r="N781" s="6" t="n">
        <x:v>120</x:v>
      </x:c>
      <x:c r="O781" s="6" t="n">
        <x:v>134</x:v>
      </x:c>
      <x:c r="P781" s="6" t="n">
        <x:v>2</x:v>
      </x:c>
      <x:c r="Q781" s="6" t="n">
        <x:v>6</x:v>
      </x:c>
      <x:c r="R781" s="6" t="n">
        <x:v>9</x:v>
      </x:c>
      <x:c r="S781" s="6" t="n">
        <x:v>5</x:v>
      </x:c>
      <x:c r="T781" s="6" t="n">
        <x:v>2</x:v>
      </x:c>
      <x:c r="U781" s="6" t="n">
        <x:v>0</x:v>
      </x:c>
      <x:c r="V781" s="6" t="n">
        <x:v>0</x:v>
      </x:c>
      <x:c r="W781" s="6" t="n">
        <x:v>0</x:v>
      </x:c>
      <x:c r="X781" s="6" t="n">
        <x:v>0</x:v>
      </x:c>
      <x:c r="Y781" s="6" t="n">
        <x:v>0</x:v>
      </x:c>
      <x:c r="Z781" s="6" t="n">
        <x:v>0</x:v>
      </x:c>
      <x:c r="AA781" s="6" t="n">
        <x:v>3</x:v>
      </x:c>
      <x:c r="AB781" s="6" t="n">
        <x:v>11</x:v>
      </x:c>
      <x:c r="AC781" s="6" t="n">
        <x:v>0</x:v>
      </x:c>
    </x:row>
    <x:row r="782">
      <x:c r="A782" s="6" t="n">
        <x:v>3194</x:v>
      </x:c>
      <x:c r="B782" s="6" t="n">
        <x:v>1974</x:v>
      </x:c>
      <x:c r="C782" s="6" t="str">
        <x:v>PhD</x:v>
      </x:c>
      <x:c r="D782" s="6" t="str">
        <x:v>Single</x:v>
      </x:c>
      <x:c r="E782" s="6" t="n">
        <x:v>71466</x:v>
      </x:c>
      <x:c r="F782" s="6" t="n">
        <x:v>0</x:v>
      </x:c>
      <x:c r="G782" s="6" t="n">
        <x:v>0</x:v>
      </x:c>
      <x:c r="H782" s="9" t="str">
        <x:v>05-04-2014</x:v>
      </x:c>
      <x:c r="I782" s="6" t="n">
        <x:v>86</x:v>
      </x:c>
      <x:c r="J782" s="6" t="n">
        <x:v>412</x:v>
      </x:c>
      <x:c r="K782" s="6" t="n">
        <x:v>12</x:v>
      </x:c>
      <x:c r="L782" s="6" t="n">
        <x:v>546</x:v>
      </x:c>
      <x:c r="M782" s="6" t="n">
        <x:v>78</x:v>
      </x:c>
      <x:c r="N782" s="6" t="n">
        <x:v>182</x:v>
      </x:c>
      <x:c r="O782" s="6" t="n">
        <x:v>0</x:v>
      </x:c>
      <x:c r="P782" s="6" t="n">
        <x:v>1</x:v>
      </x:c>
      <x:c r="Q782" s="6" t="n">
        <x:v>4</x:v>
      </x:c>
      <x:c r="R782" s="6" t="n">
        <x:v>4</x:v>
      </x:c>
      <x:c r="S782" s="6" t="n">
        <x:v>10</x:v>
      </x:c>
      <x:c r="T782" s="6" t="n">
        <x:v>1</x:v>
      </x:c>
      <x:c r="U782" s="6" t="n">
        <x:v>0</x:v>
      </x:c>
      <x:c r="V782" s="6" t="n">
        <x:v>0</x:v>
      </x:c>
      <x:c r="W782" s="6" t="n">
        <x:v>0</x:v>
      </x:c>
      <x:c r="X782" s="6" t="n">
        <x:v>0</x:v>
      </x:c>
      <x:c r="Y782" s="6" t="n">
        <x:v>0</x:v>
      </x:c>
      <x:c r="Z782" s="6" t="n">
        <x:v>0</x:v>
      </x:c>
      <x:c r="AA782" s="6" t="n">
        <x:v>3</x:v>
      </x:c>
      <x:c r="AB782" s="6" t="n">
        <x:v>11</x:v>
      </x:c>
      <x:c r="AC782" s="6" t="n">
        <x:v>0</x:v>
      </x:c>
    </x:row>
    <x:row r="783">
      <x:c r="A783" s="6" t="n">
        <x:v>10839</x:v>
      </x:c>
      <x:c r="B783" s="6" t="n">
        <x:v>1976</x:v>
      </x:c>
      <x:c r="C783" s="6" t="str">
        <x:v>Graduation</x:v>
      </x:c>
      <x:c r="D783" s="6" t="str">
        <x:v>Together</x:v>
      </x:c>
      <x:c r="E783" s="6" t="n">
        <x:v>36283</x:v>
      </x:c>
      <x:c r="F783" s="6" t="n">
        <x:v>1</x:v>
      </x:c>
      <x:c r="G783" s="6" t="n">
        <x:v>1</x:v>
      </x:c>
      <x:c r="H783" s="9" t="str">
        <x:v>14-04-2014</x:v>
      </x:c>
      <x:c r="I783" s="6" t="n">
        <x:v>42</x:v>
      </x:c>
      <x:c r="J783" s="6" t="n">
        <x:v>6</x:v>
      </x:c>
      <x:c r="K783" s="6" t="n">
        <x:v>5</x:v>
      </x:c>
      <x:c r="L783" s="6" t="n">
        <x:v>5</x:v>
      </x:c>
      <x:c r="M783" s="6" t="n">
        <x:v>8</x:v>
      </x:c>
      <x:c r="N783" s="6" t="n">
        <x:v>0</x:v>
      </x:c>
      <x:c r="O783" s="6" t="n">
        <x:v>5</x:v>
      </x:c>
      <x:c r="P783" s="6" t="n">
        <x:v>2</x:v>
      </x:c>
      <x:c r="Q783" s="6" t="n">
        <x:v>1</x:v>
      </x:c>
      <x:c r="R783" s="6" t="n">
        <x:v>0</x:v>
      </x:c>
      <x:c r="S783" s="6" t="n">
        <x:v>3</x:v>
      </x:c>
      <x:c r="T783" s="6" t="n">
        <x:v>4</x:v>
      </x:c>
      <x:c r="U783" s="6" t="n">
        <x:v>0</x:v>
      </x:c>
      <x:c r="V783" s="6" t="n">
        <x:v>0</x:v>
      </x:c>
      <x:c r="W783" s="6" t="n">
        <x:v>0</x:v>
      </x:c>
      <x:c r="X783" s="6" t="n">
        <x:v>0</x:v>
      </x:c>
      <x:c r="Y783" s="6" t="n">
        <x:v>0</x:v>
      </x:c>
      <x:c r="Z783" s="6" t="n">
        <x:v>0</x:v>
      </x:c>
      <x:c r="AA783" s="6" t="n">
        <x:v>3</x:v>
      </x:c>
      <x:c r="AB783" s="6" t="n">
        <x:v>11</x:v>
      </x:c>
      <x:c r="AC783" s="6" t="n">
        <x:v>0</x:v>
      </x:c>
    </x:row>
    <x:row r="784">
      <x:c r="A784" s="6" t="n">
        <x:v>49</x:v>
      </x:c>
      <x:c r="B784" s="6" t="n">
        <x:v>1970</x:v>
      </x:c>
      <x:c r="C784" s="6" t="str">
        <x:v>Graduation</x:v>
      </x:c>
      <x:c r="D784" s="6" t="str">
        <x:v>Single</x:v>
      </x:c>
      <x:c r="E784" s="6" t="n">
        <x:v>20587</x:v>
      </x:c>
      <x:c r="F784" s="6" t="n">
        <x:v>1</x:v>
      </x:c>
      <x:c r="G784" s="6" t="n">
        <x:v>0</x:v>
      </x:c>
      <x:c r="H784" s="9" t="str">
        <x:v>11-05-2014</x:v>
      </x:c>
      <x:c r="I784" s="6" t="n">
        <x:v>39</x:v>
      </x:c>
      <x:c r="J784" s="6" t="n">
        <x:v>2</x:v>
      </x:c>
      <x:c r="K784" s="6" t="n">
        <x:v>3</x:v>
      </x:c>
      <x:c r="L784" s="6" t="n">
        <x:v>6</x:v>
      </x:c>
      <x:c r="M784" s="6" t="n">
        <x:v>4</x:v>
      </x:c>
      <x:c r="N784" s="6" t="n">
        <x:v>1</x:v>
      </x:c>
      <x:c r="O784" s="6" t="n">
        <x:v>9</x:v>
      </x:c>
      <x:c r="P784" s="6" t="n">
        <x:v>1</x:v>
      </x:c>
      <x:c r="Q784" s="6" t="n">
        <x:v>1</x:v>
      </x:c>
      <x:c r="R784" s="6" t="n">
        <x:v>1</x:v>
      </x:c>
      <x:c r="S784" s="6" t="n">
        <x:v>2</x:v>
      </x:c>
      <x:c r="T784" s="6" t="n">
        <x:v>7</x:v>
      </x:c>
      <x:c r="U784" s="6" t="n">
        <x:v>0</x:v>
      </x:c>
      <x:c r="V784" s="6" t="n">
        <x:v>0</x:v>
      </x:c>
      <x:c r="W784" s="6" t="n">
        <x:v>0</x:v>
      </x:c>
      <x:c r="X784" s="6" t="n">
        <x:v>0</x:v>
      </x:c>
      <x:c r="Y784" s="6" t="n">
        <x:v>0</x:v>
      </x:c>
      <x:c r="Z784" s="6" t="n">
        <x:v>0</x:v>
      </x:c>
      <x:c r="AA784" s="6" t="n">
        <x:v>3</x:v>
      </x:c>
      <x:c r="AB784" s="6" t="n">
        <x:v>11</x:v>
      </x:c>
      <x:c r="AC784" s="6" t="n">
        <x:v>0</x:v>
      </x:c>
    </x:row>
    <x:row r="785">
      <x:c r="A785" s="6" t="n">
        <x:v>4290</x:v>
      </x:c>
      <x:c r="B785" s="6" t="n">
        <x:v>1972</x:v>
      </x:c>
      <x:c r="C785" s="6" t="str">
        <x:v>Graduation</x:v>
      </x:c>
      <x:c r="D785" s="6" t="str">
        <x:v>Married</x:v>
      </x:c>
      <x:c r="E785" s="6" t="n">
        <x:v>30467</x:v>
      </x:c>
      <x:c r="F785" s="6" t="n">
        <x:v>1</x:v>
      </x:c>
      <x:c r="G785" s="6" t="n">
        <x:v>0</x:v>
      </x:c>
      <x:c r="H785" s="9" t="str">
        <x:v>19-03-2014</x:v>
      </x:c>
      <x:c r="I785" s="6" t="n">
        <x:v>8</x:v>
      </x:c>
      <x:c r="J785" s="6" t="n">
        <x:v>1</x:v>
      </x:c>
      <x:c r="K785" s="6" t="n">
        <x:v>3</x:v>
      </x:c>
      <x:c r="L785" s="6" t="n">
        <x:v>8</x:v>
      </x:c>
      <x:c r="M785" s="6" t="n">
        <x:v>2</x:v>
      </x:c>
      <x:c r="N785" s="6" t="n">
        <x:v>5</x:v>
      </x:c>
      <x:c r="O785" s="6" t="n">
        <x:v>5</x:v>
      </x:c>
      <x:c r="P785" s="6" t="n">
        <x:v>1</x:v>
      </x:c>
      <x:c r="Q785" s="6" t="n">
        <x:v>1</x:v>
      </x:c>
      <x:c r="R785" s="6" t="n">
        <x:v>0</x:v>
      </x:c>
      <x:c r="S785" s="6" t="n">
        <x:v>2</x:v>
      </x:c>
      <x:c r="T785" s="6" t="n">
        <x:v>7</x:v>
      </x:c>
      <x:c r="U785" s="6" t="n">
        <x:v>0</x:v>
      </x:c>
      <x:c r="V785" s="6" t="n">
        <x:v>0</x:v>
      </x:c>
      <x:c r="W785" s="6" t="n">
        <x:v>0</x:v>
      </x:c>
      <x:c r="X785" s="6" t="n">
        <x:v>0</x:v>
      </x:c>
      <x:c r="Y785" s="6" t="n">
        <x:v>0</x:v>
      </x:c>
      <x:c r="Z785" s="6" t="n">
        <x:v>0</x:v>
      </x:c>
      <x:c r="AA785" s="6" t="n">
        <x:v>3</x:v>
      </x:c>
      <x:c r="AB785" s="6" t="n">
        <x:v>11</x:v>
      </x:c>
      <x:c r="AC785" s="6" t="n">
        <x:v>0</x:v>
      </x:c>
    </x:row>
    <x:row r="786">
      <x:c r="A786" s="6" t="n">
        <x:v>10219</x:v>
      </x:c>
      <x:c r="B786" s="6" t="n">
        <x:v>1972</x:v>
      </x:c>
      <x:c r="C786" s="6" t="str">
        <x:v>Graduation</x:v>
      </x:c>
      <x:c r="D786" s="6" t="str">
        <x:v>Together</x:v>
      </x:c>
      <x:c r="E786" s="6" t="n">
        <x:v>31590</x:v>
      </x:c>
      <x:c r="F786" s="6" t="n">
        <x:v>1</x:v>
      </x:c>
      <x:c r="G786" s="6" t="n">
        <x:v>0</x:v>
      </x:c>
      <x:c r="H786" s="9" t="str">
        <x:v>18-06-2013</x:v>
      </x:c>
      <x:c r="I786" s="6" t="n">
        <x:v>40</x:v>
      </x:c>
      <x:c r="J786" s="6" t="n">
        <x:v>6</x:v>
      </x:c>
      <x:c r="K786" s="6" t="n">
        <x:v>2</x:v>
      </x:c>
      <x:c r="L786" s="6" t="n">
        <x:v>15</x:v>
      </x:c>
      <x:c r="M786" s="6" t="n">
        <x:v>6</x:v>
      </x:c>
      <x:c r="N786" s="6" t="n">
        <x:v>6</x:v>
      </x:c>
      <x:c r="O786" s="6" t="n">
        <x:v>3</x:v>
      </x:c>
      <x:c r="P786" s="6" t="n">
        <x:v>1</x:v>
      </x:c>
      <x:c r="Q786" s="6" t="n">
        <x:v>1</x:v>
      </x:c>
      <x:c r="R786" s="6" t="n">
        <x:v>0</x:v>
      </x:c>
      <x:c r="S786" s="6" t="n">
        <x:v>3</x:v>
      </x:c>
      <x:c r="T786" s="6" t="n">
        <x:v>8</x:v>
      </x:c>
      <x:c r="U786" s="6" t="n">
        <x:v>0</x:v>
      </x:c>
      <x:c r="V786" s="6" t="n">
        <x:v>0</x:v>
      </x:c>
      <x:c r="W786" s="6" t="n">
        <x:v>0</x:v>
      </x:c>
      <x:c r="X786" s="6" t="n">
        <x:v>0</x:v>
      </x:c>
      <x:c r="Y786" s="6" t="n">
        <x:v>0</x:v>
      </x:c>
      <x:c r="Z786" s="6" t="n">
        <x:v>0</x:v>
      </x:c>
      <x:c r="AA786" s="6" t="n">
        <x:v>3</x:v>
      </x:c>
      <x:c r="AB786" s="6" t="n">
        <x:v>11</x:v>
      </x:c>
      <x:c r="AC786" s="6" t="n">
        <x:v>0</x:v>
      </x:c>
    </x:row>
    <x:row r="787">
      <x:c r="A787" s="6" t="n">
        <x:v>4211</x:v>
      </x:c>
      <x:c r="B787" s="6" t="n">
        <x:v>1986</x:v>
      </x:c>
      <x:c r="C787" s="6" t="str">
        <x:v>Basic</x:v>
      </x:c>
      <x:c r="D787" s="6" t="str">
        <x:v>Married</x:v>
      </x:c>
      <x:c r="E787" s="6" t="n">
        <x:v>20425</x:v>
      </x:c>
      <x:c r="F787" s="6" t="n">
        <x:v>1</x:v>
      </x:c>
      <x:c r="G787" s="6" t="n">
        <x:v>0</x:v>
      </x:c>
      <x:c r="H787" s="9" t="str">
        <x:v>29-10-2012</x:v>
      </x:c>
      <x:c r="I787" s="6" t="n">
        <x:v>5</x:v>
      </x:c>
      <x:c r="J787" s="6" t="n">
        <x:v>4</x:v>
      </x:c>
      <x:c r="K787" s="6" t="n">
        <x:v>12</x:v>
      </x:c>
      <x:c r="L787" s="6" t="n">
        <x:v>5</x:v>
      </x:c>
      <x:c r="M787" s="6" t="n">
        <x:v>3</x:v>
      </x:c>
      <x:c r="N787" s="6" t="n">
        <x:v>16</x:v>
      </x:c>
      <x:c r="O787" s="6" t="n">
        <x:v>17</x:v>
      </x:c>
      <x:c r="P787" s="6" t="n">
        <x:v>2</x:v>
      </x:c>
      <x:c r="Q787" s="6" t="n">
        <x:v>2</x:v>
      </x:c>
      <x:c r="R787" s="6" t="n">
        <x:v>0</x:v>
      </x:c>
      <x:c r="S787" s="6" t="n">
        <x:v>3</x:v>
      </x:c>
      <x:c r="T787" s="6" t="n">
        <x:v>7</x:v>
      </x:c>
      <x:c r="U787" s="6" t="n">
        <x:v>0</x:v>
      </x:c>
      <x:c r="V787" s="6" t="n">
        <x:v>0</x:v>
      </x:c>
      <x:c r="W787" s="6" t="n">
        <x:v>0</x:v>
      </x:c>
      <x:c r="X787" s="6" t="n">
        <x:v>0</x:v>
      </x:c>
      <x:c r="Y787" s="6" t="n">
        <x:v>0</x:v>
      </x:c>
      <x:c r="Z787" s="6" t="n">
        <x:v>0</x:v>
      </x:c>
      <x:c r="AA787" s="6" t="n">
        <x:v>3</x:v>
      </x:c>
      <x:c r="AB787" s="6" t="n">
        <x:v>11</x:v>
      </x:c>
      <x:c r="AC787" s="6" t="n">
        <x:v>0</x:v>
      </x:c>
    </x:row>
    <x:row r="788">
      <x:c r="A788" s="6" t="n">
        <x:v>1135</x:v>
      </x:c>
      <x:c r="B788" s="6" t="n">
        <x:v>1960</x:v>
      </x:c>
      <x:c r="C788" s="6" t="str">
        <x:v>Master</x:v>
      </x:c>
      <x:c r="D788" s="6" t="str">
        <x:v>Together</x:v>
      </x:c>
      <x:c r="E788" s="6" t="n">
        <x:v>17144</x:v>
      </x:c>
      <x:c r="F788" s="6" t="n">
        <x:v>1</x:v>
      </x:c>
      <x:c r="G788" s="6" t="n">
        <x:v>1</x:v>
      </x:c>
      <x:c r="H788" s="9" t="str">
        <x:v>15-02-2014</x:v>
      </x:c>
      <x:c r="I788" s="6" t="n">
        <x:v>96</x:v>
      </x:c>
      <x:c r="J788" s="6" t="n">
        <x:v>18</x:v>
      </x:c>
      <x:c r="K788" s="6" t="n">
        <x:v>2</x:v>
      </x:c>
      <x:c r="L788" s="6" t="n">
        <x:v>19</x:v>
      </x:c>
      <x:c r="M788" s="6" t="n">
        <x:v>0</x:v>
      </x:c>
      <x:c r="N788" s="6" t="n">
        <x:v>2</x:v>
      </x:c>
      <x:c r="O788" s="6" t="n">
        <x:v>6</x:v>
      </x:c>
      <x:c r="P788" s="6" t="n">
        <x:v>5</x:v>
      </x:c>
      <x:c r="Q788" s="6" t="n">
        <x:v>3</x:v>
      </x:c>
      <x:c r="R788" s="6" t="n">
        <x:v>0</x:v>
      </x:c>
      <x:c r="S788" s="6" t="n">
        <x:v>4</x:v>
      </x:c>
      <x:c r="T788" s="6" t="n">
        <x:v>7</x:v>
      </x:c>
      <x:c r="U788" s="6" t="n">
        <x:v>0</x:v>
      </x:c>
      <x:c r="V788" s="6" t="n">
        <x:v>0</x:v>
      </x:c>
      <x:c r="W788" s="6" t="n">
        <x:v>0</x:v>
      </x:c>
      <x:c r="X788" s="6" t="n">
        <x:v>0</x:v>
      </x:c>
      <x:c r="Y788" s="6" t="n">
        <x:v>0</x:v>
      </x:c>
      <x:c r="Z788" s="6" t="n">
        <x:v>0</x:v>
      </x:c>
      <x:c r="AA788" s="6" t="n">
        <x:v>3</x:v>
      </x:c>
      <x:c r="AB788" s="6" t="n">
        <x:v>11</x:v>
      </x:c>
      <x:c r="AC788" s="6" t="n">
        <x:v>0</x:v>
      </x:c>
    </x:row>
    <x:row r="789">
      <x:c r="A789" s="6" t="n">
        <x:v>6299</x:v>
      </x:c>
      <x:c r="B789" s="6" t="n">
        <x:v>1968</x:v>
      </x:c>
      <x:c r="C789" s="6" t="str">
        <x:v>PhD</x:v>
      </x:c>
      <x:c r="D789" s="6" t="str">
        <x:v>Divorced</x:v>
      </x:c>
      <x:c r="E789" s="6" t="n">
        <x:v>42564</x:v>
      </x:c>
      <x:c r="F789" s="6" t="n">
        <x:v>0</x:v>
      </x:c>
      <x:c r="G789" s="6" t="n">
        <x:v>1</x:v>
      </x:c>
      <x:c r="H789" s="9" t="str">
        <x:v>02-01-2013</x:v>
      </x:c>
      <x:c r="I789" s="6" t="n">
        <x:v>28</x:v>
      </x:c>
      <x:c r="J789" s="6" t="n">
        <x:v>324</x:v>
      </x:c>
      <x:c r="K789" s="6" t="n">
        <x:v>48</x:v>
      </x:c>
      <x:c r="L789" s="6" t="n">
        <x:v>186</x:v>
      </x:c>
      <x:c r="M789" s="6" t="n">
        <x:v>39</x:v>
      </x:c>
      <x:c r="N789" s="6" t="n">
        <x:v>18</x:v>
      </x:c>
      <x:c r="O789" s="6" t="n">
        <x:v>198</x:v>
      </x:c>
      <x:c r="P789" s="6" t="n">
        <x:v>6</x:v>
      </x:c>
      <x:c r="Q789" s="6" t="n">
        <x:v>6</x:v>
      </x:c>
      <x:c r="R789" s="6" t="n">
        <x:v>8</x:v>
      </x:c>
      <x:c r="S789" s="6" t="n">
        <x:v>4</x:v>
      </x:c>
      <x:c r="T789" s="6" t="n">
        <x:v>7</x:v>
      </x:c>
      <x:c r="U789" s="6" t="n">
        <x:v>1</x:v>
      </x:c>
      <x:c r="V789" s="6" t="n">
        <x:v>0</x:v>
      </x:c>
      <x:c r="W789" s="6" t="n">
        <x:v>0</x:v>
      </x:c>
      <x:c r="X789" s="6" t="n">
        <x:v>0</x:v>
      </x:c>
      <x:c r="Y789" s="6" t="n">
        <x:v>0</x:v>
      </x:c>
      <x:c r="Z789" s="6" t="n">
        <x:v>0</x:v>
      </x:c>
      <x:c r="AA789" s="6" t="n">
        <x:v>3</x:v>
      </x:c>
      <x:c r="AB789" s="6" t="n">
        <x:v>11</x:v>
      </x:c>
      <x:c r="AC789" s="6" t="n">
        <x:v>1</x:v>
      </x:c>
    </x:row>
    <x:row r="790">
      <x:c r="A790" s="6" t="n">
        <x:v>10846</x:v>
      </x:c>
      <x:c r="B790" s="6" t="n">
        <x:v>1978</x:v>
      </x:c>
      <x:c r="C790" s="6" t="str">
        <x:v>Master</x:v>
      </x:c>
      <x:c r="D790" s="6" t="str">
        <x:v>Married</x:v>
      </x:c>
      <x:c r="E790" s="6" t="n">
        <x:v>43783</x:v>
      </x:c>
      <x:c r="F790" s="6" t="n">
        <x:v>1</x:v>
      </x:c>
      <x:c r="G790" s="6" t="n">
        <x:v>0</x:v>
      </x:c>
      <x:c r="H790" s="9" t="str">
        <x:v>29-05-2014</x:v>
      </x:c>
      <x:c r="I790" s="6" t="n">
        <x:v>22</x:v>
      </x:c>
      <x:c r="J790" s="6" t="n">
        <x:v>327</x:v>
      </x:c>
      <x:c r="K790" s="6" t="n">
        <x:v>9</x:v>
      </x:c>
      <x:c r="L790" s="6" t="n">
        <x:v>125</x:v>
      </x:c>
      <x:c r="M790" s="6" t="n">
        <x:v>25</x:v>
      </x:c>
      <x:c r="N790" s="6" t="n">
        <x:v>4</x:v>
      </x:c>
      <x:c r="O790" s="6" t="n">
        <x:v>139</x:v>
      </x:c>
      <x:c r="P790" s="6" t="n">
        <x:v>6</x:v>
      </x:c>
      <x:c r="Q790" s="6" t="n">
        <x:v>7</x:v>
      </x:c>
      <x:c r="R790" s="6" t="n">
        <x:v>1</x:v>
      </x:c>
      <x:c r="S790" s="6" t="n">
        <x:v>8</x:v>
      </x:c>
      <x:c r="T790" s="6" t="n">
        <x:v>7</x:v>
      </x:c>
      <x:c r="U790" s="6" t="n">
        <x:v>1</x:v>
      </x:c>
      <x:c r="V790" s="6" t="n">
        <x:v>0</x:v>
      </x:c>
      <x:c r="W790" s="6" t="n">
        <x:v>0</x:v>
      </x:c>
      <x:c r="X790" s="6" t="n">
        <x:v>0</x:v>
      </x:c>
      <x:c r="Y790" s="6" t="n">
        <x:v>0</x:v>
      </x:c>
      <x:c r="Z790" s="6" t="n">
        <x:v>0</x:v>
      </x:c>
      <x:c r="AA790" s="6" t="n">
        <x:v>3</x:v>
      </x:c>
      <x:c r="AB790" s="6" t="n">
        <x:v>11</x:v>
      </x:c>
      <x:c r="AC790" s="6" t="n">
        <x:v>0</x:v>
      </x:c>
    </x:row>
    <x:row r="791">
      <x:c r="A791" s="6" t="n">
        <x:v>347</x:v>
      </x:c>
      <x:c r="B791" s="6" t="n">
        <x:v>1976</x:v>
      </x:c>
      <x:c r="C791" s="6" t="str">
        <x:v>Graduation</x:v>
      </x:c>
      <x:c r="D791" s="6" t="str">
        <x:v>Divorced</x:v>
      </x:c>
      <x:c r="E791" s="6" t="n">
        <x:v>40780</x:v>
      </x:c>
      <x:c r="F791" s="6" t="n">
        <x:v>0</x:v>
      </x:c>
      <x:c r="G791" s="6" t="n">
        <x:v>1</x:v>
      </x:c>
      <x:c r="H791" s="9" t="str">
        <x:v>08-09-2012</x:v>
      </x:c>
      <x:c r="I791" s="6" t="n">
        <x:v>30</x:v>
      </x:c>
      <x:c r="J791" s="6" t="n">
        <x:v>229</x:v>
      </x:c>
      <x:c r="K791" s="6" t="n">
        <x:v>27</x:v>
      </x:c>
      <x:c r="L791" s="6" t="n">
        <x:v>71</x:v>
      </x:c>
      <x:c r="M791" s="6" t="n">
        <x:v>13</x:v>
      </x:c>
      <x:c r="N791" s="6" t="n">
        <x:v>3</x:v>
      </x:c>
      <x:c r="O791" s="6" t="n">
        <x:v>34</x:v>
      </x:c>
      <x:c r="P791" s="6" t="n">
        <x:v>4</x:v>
      </x:c>
      <x:c r="Q791" s="6" t="n">
        <x:v>7</x:v>
      </x:c>
      <x:c r="R791" s="6" t="n">
        <x:v>1</x:v>
      </x:c>
      <x:c r="S791" s="6" t="n">
        <x:v>5</x:v>
      </x:c>
      <x:c r="T791" s="6" t="n">
        <x:v>9</x:v>
      </x:c>
      <x:c r="U791" s="6" t="n">
        <x:v>0</x:v>
      </x:c>
      <x:c r="V791" s="6" t="n">
        <x:v>0</x:v>
      </x:c>
      <x:c r="W791" s="6" t="n">
        <x:v>0</x:v>
      </x:c>
      <x:c r="X791" s="6" t="n">
        <x:v>0</x:v>
      </x:c>
      <x:c r="Y791" s="6" t="n">
        <x:v>0</x:v>
      </x:c>
      <x:c r="Z791" s="6" t="n">
        <x:v>0</x:v>
      </x:c>
      <x:c r="AA791" s="6" t="n">
        <x:v>3</x:v>
      </x:c>
      <x:c r="AB791" s="6" t="n">
        <x:v>11</x:v>
      </x:c>
      <x:c r="AC791" s="6" t="n">
        <x:v>0</x:v>
      </x:c>
    </x:row>
    <x:row r="792">
      <x:c r="A792" s="6" t="n">
        <x:v>6543</x:v>
      </x:c>
      <x:c r="B792" s="6" t="n">
        <x:v>1945</x:v>
      </x:c>
      <x:c r="C792" s="6" t="str">
        <x:v>Master</x:v>
      </x:c>
      <x:c r="D792" s="6" t="str">
        <x:v>Together</x:v>
      </x:c>
      <x:c r="E792" s="6" t="n">
        <x:v>62847</x:v>
      </x:c>
      <x:c r="F792" s="6" t="n">
        <x:v>0</x:v>
      </x:c>
      <x:c r="G792" s="6" t="n">
        <x:v>0</x:v>
      </x:c>
      <x:c r="H792" s="9" t="str">
        <x:v>15-01-2013</x:v>
      </x:c>
      <x:c r="I792" s="6" t="n">
        <x:v>45</x:v>
      </x:c>
      <x:c r="J792" s="6" t="n">
        <x:v>521</x:v>
      </x:c>
      <x:c r="K792" s="6" t="n">
        <x:v>168</x:v>
      </x:c>
      <x:c r="L792" s="6" t="n">
        <x:v>706</x:v>
      </x:c>
      <x:c r="M792" s="6" t="n">
        <x:v>80</x:v>
      </x:c>
      <x:c r="N792" s="6" t="n">
        <x:v>76</x:v>
      </x:c>
      <x:c r="O792" s="6" t="n">
        <x:v>61</x:v>
      </x:c>
      <x:c r="P792" s="6" t="n">
        <x:v>1</x:v>
      </x:c>
      <x:c r="Q792" s="6" t="n">
        <x:v>3</x:v>
      </x:c>
      <x:c r="R792" s="6" t="n">
        <x:v>6</x:v>
      </x:c>
      <x:c r="S792" s="6" t="n">
        <x:v>4</x:v>
      </x:c>
      <x:c r="T792" s="6" t="n">
        <x:v>2</x:v>
      </x:c>
      <x:c r="U792" s="6" t="n">
        <x:v>0</x:v>
      </x:c>
      <x:c r="V792" s="6" t="n">
        <x:v>0</x:v>
      </x:c>
      <x:c r="W792" s="6" t="n">
        <x:v>0</x:v>
      </x:c>
      <x:c r="X792" s="6" t="n">
        <x:v>0</x:v>
      </x:c>
      <x:c r="Y792" s="6" t="n">
        <x:v>0</x:v>
      </x:c>
      <x:c r="Z792" s="6" t="n">
        <x:v>0</x:v>
      </x:c>
      <x:c r="AA792" s="6" t="n">
        <x:v>3</x:v>
      </x:c>
      <x:c r="AB792" s="6" t="n">
        <x:v>11</x:v>
      </x:c>
      <x:c r="AC792" s="6" t="n">
        <x:v>0</x:v>
      </x:c>
    </x:row>
    <x:row r="793">
      <x:c r="A793" s="6" t="n">
        <x:v>10446</x:v>
      </x:c>
      <x:c r="B793" s="6" t="n">
        <x:v>1957</x:v>
      </x:c>
      <x:c r="C793" s="6" t="str">
        <x:v>PhD</x:v>
      </x:c>
      <x:c r="D793" s="6" t="str">
        <x:v>Married</x:v>
      </x:c>
      <x:c r="E793" s="6" t="n">
        <x:v>82017</x:v>
      </x:c>
      <x:c r="F793" s="6" t="n">
        <x:v>0</x:v>
      </x:c>
      <x:c r="G793" s="6" t="n">
        <x:v>0</x:v>
      </x:c>
      <x:c r="H793" s="9" t="str">
        <x:v>07-11-2012</x:v>
      </x:c>
      <x:c r="I793" s="6" t="n">
        <x:v>58</x:v>
      </x:c>
      <x:c r="J793" s="6" t="n">
        <x:v>184</x:v>
      </x:c>
      <x:c r="K793" s="6" t="n">
        <x:v>23</x:v>
      </x:c>
      <x:c r="L793" s="6" t="n">
        <x:v>446</x:v>
      </x:c>
      <x:c r="M793" s="6" t="n">
        <x:v>30</x:v>
      </x:c>
      <x:c r="N793" s="6" t="n">
        <x:v>23</x:v>
      </x:c>
      <x:c r="O793" s="6" t="n">
        <x:v>23</x:v>
      </x:c>
      <x:c r="P793" s="6" t="n">
        <x:v>1</x:v>
      </x:c>
      <x:c r="Q793" s="6" t="n">
        <x:v>5</x:v>
      </x:c>
      <x:c r="R793" s="6" t="n">
        <x:v>4</x:v>
      </x:c>
      <x:c r="S793" s="6" t="n">
        <x:v>7</x:v>
      </x:c>
      <x:c r="T793" s="6" t="n">
        <x:v>2</x:v>
      </x:c>
      <x:c r="U793" s="6" t="n">
        <x:v>0</x:v>
      </x:c>
      <x:c r="V793" s="6" t="n">
        <x:v>1</x:v>
      </x:c>
      <x:c r="W793" s="6" t="n">
        <x:v>1</x:v>
      </x:c>
      <x:c r="X793" s="6" t="n">
        <x:v>1</x:v>
      </x:c>
      <x:c r="Y793" s="6" t="n">
        <x:v>0</x:v>
      </x:c>
      <x:c r="Z793" s="6" t="n">
        <x:v>0</x:v>
      </x:c>
      <x:c r="AA793" s="6" t="n">
        <x:v>3</x:v>
      </x:c>
      <x:c r="AB793" s="6" t="n">
        <x:v>11</x:v>
      </x:c>
      <x:c r="AC793" s="6" t="n">
        <x:v>1</x:v>
      </x:c>
    </x:row>
    <x:row r="794">
      <x:c r="A794" s="6" t="n">
        <x:v>3479</x:v>
      </x:c>
      <x:c r="B794" s="6" t="n">
        <x:v>1950</x:v>
      </x:c>
      <x:c r="C794" s="6" t="str">
        <x:v>Graduation</x:v>
      </x:c>
      <x:c r="D794" s="6" t="str">
        <x:v>Single</x:v>
      </x:c>
      <x:c r="E794" s="6" t="n">
        <x:v>16813</x:v>
      </x:c>
      <x:c r="F794" s="6" t="n">
        <x:v>0</x:v>
      </x:c>
      <x:c r="G794" s="6" t="n">
        <x:v>0</x:v>
      </x:c>
      <x:c r="H794" s="9" t="str">
        <x:v>19-07-2013</x:v>
      </x:c>
      <x:c r="I794" s="6" t="n">
        <x:v>49</x:v>
      </x:c>
      <x:c r="J794" s="6" t="n">
        <x:v>4</x:v>
      </x:c>
      <x:c r="K794" s="6" t="n">
        <x:v>8</x:v>
      </x:c>
      <x:c r="L794" s="6" t="n">
        <x:v>11</x:v>
      </x:c>
      <x:c r="M794" s="6" t="n">
        <x:v>12</x:v>
      </x:c>
      <x:c r="N794" s="6" t="n">
        <x:v>2</x:v>
      </x:c>
      <x:c r="O794" s="6" t="n">
        <x:v>13</x:v>
      </x:c>
      <x:c r="P794" s="6" t="n">
        <x:v>1</x:v>
      </x:c>
      <x:c r="Q794" s="6" t="n">
        <x:v>2</x:v>
      </x:c>
      <x:c r="R794" s="6" t="n">
        <x:v>0</x:v>
      </x:c>
      <x:c r="S794" s="6" t="n">
        <x:v>3</x:v>
      </x:c>
      <x:c r="T794" s="6" t="n">
        <x:v>7</x:v>
      </x:c>
      <x:c r="U794" s="6" t="n">
        <x:v>1</x:v>
      </x:c>
      <x:c r="V794" s="6" t="n">
        <x:v>0</x:v>
      </x:c>
      <x:c r="W794" s="6" t="n">
        <x:v>0</x:v>
      </x:c>
      <x:c r="X794" s="6" t="n">
        <x:v>0</x:v>
      </x:c>
      <x:c r="Y794" s="6" t="n">
        <x:v>0</x:v>
      </x:c>
      <x:c r="Z794" s="6" t="n">
        <x:v>0</x:v>
      </x:c>
      <x:c r="AA794" s="6" t="n">
        <x:v>3</x:v>
      </x:c>
      <x:c r="AB794" s="6" t="n">
        <x:v>11</x:v>
      </x:c>
      <x:c r="AC794" s="6" t="n">
        <x:v>0</x:v>
      </x:c>
    </x:row>
    <x:row r="795">
      <x:c r="A795" s="6" t="n">
        <x:v>11075</x:v>
      </x:c>
      <x:c r="B795" s="6" t="n">
        <x:v>1978</x:v>
      </x:c>
      <x:c r="C795" s="6" t="str">
        <x:v>Graduation</x:v>
      </x:c>
      <x:c r="D795" s="6" t="str">
        <x:v>Married</x:v>
      </x:c>
      <x:c r="E795" s="6" t="n">
        <x:v>51267</x:v>
      </x:c>
      <x:c r="F795" s="6" t="n">
        <x:v>1</x:v>
      </x:c>
      <x:c r="G795" s="6" t="n">
        <x:v>1</x:v>
      </x:c>
      <x:c r="H795" s="9" t="str">
        <x:v>29-10-2013</x:v>
      </x:c>
      <x:c r="I795" s="6" t="n">
        <x:v>37</x:v>
      </x:c>
      <x:c r="J795" s="6" t="n">
        <x:v>183</x:v>
      </x:c>
      <x:c r="K795" s="6" t="n">
        <x:v>2</x:v>
      </x:c>
      <x:c r="L795" s="6" t="n">
        <x:v>64</x:v>
      </x:c>
      <x:c r="M795" s="6" t="n">
        <x:v>7</x:v>
      </x:c>
      <x:c r="N795" s="6" t="n">
        <x:v>2</x:v>
      </x:c>
      <x:c r="O795" s="6" t="n">
        <x:v>12</x:v>
      </x:c>
      <x:c r="P795" s="6" t="n">
        <x:v>4</x:v>
      </x:c>
      <x:c r="Q795" s="6" t="n">
        <x:v>3</x:v>
      </x:c>
      <x:c r="R795" s="6" t="n">
        <x:v>3</x:v>
      </x:c>
      <x:c r="S795" s="6" t="n">
        <x:v>5</x:v>
      </x:c>
      <x:c r="T795" s="6" t="n">
        <x:v>4</x:v>
      </x:c>
      <x:c r="U795" s="6" t="n">
        <x:v>0</x:v>
      </x:c>
      <x:c r="V795" s="6" t="n">
        <x:v>0</x:v>
      </x:c>
      <x:c r="W795" s="6" t="n">
        <x:v>0</x:v>
      </x:c>
      <x:c r="X795" s="6" t="n">
        <x:v>0</x:v>
      </x:c>
      <x:c r="Y795" s="6" t="n">
        <x:v>0</x:v>
      </x:c>
      <x:c r="Z795" s="6" t="n">
        <x:v>0</x:v>
      </x:c>
      <x:c r="AA795" s="6" t="n">
        <x:v>3</x:v>
      </x:c>
      <x:c r="AB795" s="6" t="n">
        <x:v>11</x:v>
      </x:c>
      <x:c r="AC795" s="6" t="n">
        <x:v>0</x:v>
      </x:c>
    </x:row>
    <x:row r="796">
      <x:c r="A796" s="6" t="n">
        <x:v>4442</x:v>
      </x:c>
      <x:c r="B796" s="6" t="n">
        <x:v>1961</x:v>
      </x:c>
      <x:c r="C796" s="6" t="str">
        <x:v>Graduation</x:v>
      </x:c>
      <x:c r="D796" s="6" t="str">
        <x:v>Single</x:v>
      </x:c>
      <x:c r="E796" s="6" t="n">
        <x:v>46524</x:v>
      </x:c>
      <x:c r="F796" s="6" t="n">
        <x:v>0</x:v>
      </x:c>
      <x:c r="G796" s="6" t="n">
        <x:v>1</x:v>
      </x:c>
      <x:c r="H796" s="9" t="str">
        <x:v>05-04-2013</x:v>
      </x:c>
      <x:c r="I796" s="6" t="n">
        <x:v>70</x:v>
      </x:c>
      <x:c r="J796" s="6" t="n">
        <x:v>31</x:v>
      </x:c>
      <x:c r="K796" s="6" t="n">
        <x:v>19</x:v>
      </x:c>
      <x:c r="L796" s="6" t="n">
        <x:v>35</x:v>
      </x:c>
      <x:c r="M796" s="6" t="n">
        <x:v>26</x:v>
      </x:c>
      <x:c r="N796" s="6" t="n">
        <x:v>14</x:v>
      </x:c>
      <x:c r="O796" s="6" t="n">
        <x:v>52</x:v>
      </x:c>
      <x:c r="P796" s="6" t="n">
        <x:v>2</x:v>
      </x:c>
      <x:c r="Q796" s="6" t="n">
        <x:v>1</x:v>
      </x:c>
      <x:c r="R796" s="6" t="n">
        <x:v>1</x:v>
      </x:c>
      <x:c r="S796" s="6" t="n">
        <x:v>5</x:v>
      </x:c>
      <x:c r="T796" s="6" t="n">
        <x:v>3</x:v>
      </x:c>
      <x:c r="U796" s="6" t="n">
        <x:v>0</x:v>
      </x:c>
      <x:c r="V796" s="6" t="n">
        <x:v>0</x:v>
      </x:c>
      <x:c r="W796" s="6" t="n">
        <x:v>0</x:v>
      </x:c>
      <x:c r="X796" s="6" t="n">
        <x:v>0</x:v>
      </x:c>
      <x:c r="Y796" s="6" t="n">
        <x:v>0</x:v>
      </x:c>
      <x:c r="Z796" s="6" t="n">
        <x:v>0</x:v>
      </x:c>
      <x:c r="AA796" s="6" t="n">
        <x:v>3</x:v>
      </x:c>
      <x:c r="AB796" s="6" t="n">
        <x:v>11</x:v>
      </x:c>
      <x:c r="AC796" s="6" t="n">
        <x:v>0</x:v>
      </x:c>
    </x:row>
    <x:row r="797">
      <x:c r="A797" s="6" t="n">
        <x:v>199</x:v>
      </x:c>
      <x:c r="B797" s="6" t="n">
        <x:v>1962</x:v>
      </x:c>
      <x:c r="C797" s="6" t="str">
        <x:v>Master</x:v>
      </x:c>
      <x:c r="D797" s="6" t="str">
        <x:v>Single</x:v>
      </x:c>
      <x:c r="E797" s="6" t="n">
        <x:v>45183</x:v>
      </x:c>
      <x:c r="F797" s="6" t="n">
        <x:v>0</x:v>
      </x:c>
      <x:c r="G797" s="6" t="n">
        <x:v>0</x:v>
      </x:c>
      <x:c r="H797" s="9" t="str">
        <x:v>20-01-2013</x:v>
      </x:c>
      <x:c r="I797" s="6" t="n">
        <x:v>33</x:v>
      </x:c>
      <x:c r="J797" s="6" t="n">
        <x:v>219</x:v>
      </x:c>
      <x:c r="K797" s="6" t="n">
        <x:v>3</x:v>
      </x:c>
      <x:c r="L797" s="6" t="n">
        <x:v>60</x:v>
      </x:c>
      <x:c r="M797" s="6" t="n">
        <x:v>12</x:v>
      </x:c>
      <x:c r="N797" s="6" t="n">
        <x:v>9</x:v>
      </x:c>
      <x:c r="O797" s="6" t="n">
        <x:v>12</x:v>
      </x:c>
      <x:c r="P797" s="6" t="n">
        <x:v>1</x:v>
      </x:c>
      <x:c r="Q797" s="6" t="n">
        <x:v>4</x:v>
      </x:c>
      <x:c r="R797" s="6" t="n">
        <x:v>1</x:v>
      </x:c>
      <x:c r="S797" s="6" t="n">
        <x:v>7</x:v>
      </x:c>
      <x:c r="T797" s="6" t="n">
        <x:v>7</x:v>
      </x:c>
      <x:c r="U797" s="6" t="n">
        <x:v>0</x:v>
      </x:c>
      <x:c r="V797" s="6" t="n">
        <x:v>1</x:v>
      </x:c>
      <x:c r="W797" s="6" t="n">
        <x:v>0</x:v>
      </x:c>
      <x:c r="X797" s="6" t="n">
        <x:v>0</x:v>
      </x:c>
      <x:c r="Y797" s="6" t="n">
        <x:v>0</x:v>
      </x:c>
      <x:c r="Z797" s="6" t="n">
        <x:v>0</x:v>
      </x:c>
      <x:c r="AA797" s="6" t="n">
        <x:v>3</x:v>
      </x:c>
      <x:c r="AB797" s="6" t="n">
        <x:v>11</x:v>
      </x:c>
      <x:c r="AC797" s="6" t="n">
        <x:v>0</x:v>
      </x:c>
    </x:row>
    <x:row r="798">
      <x:c r="A798" s="6" t="n">
        <x:v>6722</x:v>
      </x:c>
      <x:c r="B798" s="6" t="n">
        <x:v>1954</x:v>
      </x:c>
      <x:c r="C798" s="6" t="str">
        <x:v>PhD</x:v>
      </x:c>
      <x:c r="D798" s="6" t="str">
        <x:v>Married</x:v>
      </x:c>
      <x:c r="E798" s="6" t="n">
        <x:v>70421</x:v>
      </x:c>
      <x:c r="F798" s="6" t="n">
        <x:v>0</x:v>
      </x:c>
      <x:c r="G798" s="6" t="n">
        <x:v>1</x:v>
      </x:c>
      <x:c r="H798" s="9" t="str">
        <x:v>28-06-2014</x:v>
      </x:c>
      <x:c r="I798" s="6" t="n">
        <x:v>98</x:v>
      </x:c>
      <x:c r="J798" s="6" t="n">
        <x:v>479</x:v>
      </x:c>
      <x:c r="K798" s="6" t="n">
        <x:v>28</x:v>
      </x:c>
      <x:c r="L798" s="6" t="n">
        <x:v>136</x:v>
      </x:c>
      <x:c r="M798" s="6" t="n">
        <x:v>75</x:v>
      </x:c>
      <x:c r="N798" s="6" t="n">
        <x:v>14</x:v>
      </x:c>
      <x:c r="O798" s="6" t="n">
        <x:v>35</x:v>
      </x:c>
      <x:c r="P798" s="6" t="n">
        <x:v>3</x:v>
      </x:c>
      <x:c r="Q798" s="6" t="n">
        <x:v>10</x:v>
      </x:c>
      <x:c r="R798" s="6" t="n">
        <x:v>3</x:v>
      </x:c>
      <x:c r="S798" s="6" t="n">
        <x:v>7</x:v>
      </x:c>
      <x:c r="T798" s="6" t="n">
        <x:v>6</x:v>
      </x:c>
      <x:c r="U798" s="6" t="n">
        <x:v>0</x:v>
      </x:c>
      <x:c r="V798" s="6" t="n">
        <x:v>0</x:v>
      </x:c>
      <x:c r="W798" s="6" t="n">
        <x:v>0</x:v>
      </x:c>
      <x:c r="X798" s="6" t="n">
        <x:v>0</x:v>
      </x:c>
      <x:c r="Y798" s="6" t="n">
        <x:v>0</x:v>
      </x:c>
      <x:c r="Z798" s="6" t="n">
        <x:v>0</x:v>
      </x:c>
      <x:c r="AA798" s="6" t="n">
        <x:v>3</x:v>
      </x:c>
      <x:c r="AB798" s="6" t="n">
        <x:v>11</x:v>
      </x:c>
      <x:c r="AC798" s="6" t="n">
        <x:v>0</x:v>
      </x:c>
    </x:row>
    <x:row r="799">
      <x:c r="A799" s="6" t="n">
        <x:v>796</x:v>
      </x:c>
      <x:c r="B799" s="6" t="n">
        <x:v>1965</x:v>
      </x:c>
      <x:c r="C799" s="6" t="str">
        <x:v>2n Cycle</x:v>
      </x:c>
      <x:c r="D799" s="6" t="str">
        <x:v>Divorced</x:v>
      </x:c>
      <x:c r="E799" s="6" t="n">
        <x:v>60161</x:v>
      </x:c>
      <x:c r="F799" s="6" t="n">
        <x:v>0</x:v>
      </x:c>
      <x:c r="G799" s="6" t="n">
        <x:v>1</x:v>
      </x:c>
      <x:c r="H799" s="9" t="str">
        <x:v>23-10-2012</x:v>
      </x:c>
      <x:c r="I799" s="6" t="n">
        <x:v>17</x:v>
      </x:c>
      <x:c r="J799" s="6" t="n">
        <x:v>584</x:v>
      </x:c>
      <x:c r="K799" s="6" t="n">
        <x:v>44</x:v>
      </x:c>
      <x:c r="L799" s="6" t="n">
        <x:v>212</x:v>
      </x:c>
      <x:c r="M799" s="6" t="n">
        <x:v>46</x:v>
      </x:c>
      <x:c r="N799" s="6" t="n">
        <x:v>8</x:v>
      </x:c>
      <x:c r="O799" s="6" t="n">
        <x:v>177</x:v>
      </x:c>
      <x:c r="P799" s="6" t="n">
        <x:v>3</x:v>
      </x:c>
      <x:c r="Q799" s="6" t="n">
        <x:v>11</x:v>
      </x:c>
      <x:c r="R799" s="6" t="n">
        <x:v>4</x:v>
      </x:c>
      <x:c r="S799" s="6" t="n">
        <x:v>8</x:v>
      </x:c>
      <x:c r="T799" s="6" t="n">
        <x:v>8</x:v>
      </x:c>
      <x:c r="U799" s="6" t="n">
        <x:v>0</x:v>
      </x:c>
      <x:c r="V799" s="6" t="n">
        <x:v>0</x:v>
      </x:c>
      <x:c r="W799" s="6" t="n">
        <x:v>0</x:v>
      </x:c>
      <x:c r="X799" s="6" t="n">
        <x:v>0</x:v>
      </x:c>
      <x:c r="Y799" s="6" t="n">
        <x:v>0</x:v>
      </x:c>
      <x:c r="Z799" s="6" t="n">
        <x:v>0</x:v>
      </x:c>
      <x:c r="AA799" s="6" t="n">
        <x:v>3</x:v>
      </x:c>
      <x:c r="AB799" s="6" t="n">
        <x:v>11</x:v>
      </x:c>
      <x:c r="AC799" s="6" t="n">
        <x:v>0</x:v>
      </x:c>
    </x:row>
    <x:row r="800">
      <x:c r="A800" s="6" t="n">
        <x:v>3749</x:v>
      </x:c>
      <x:c r="B800" s="6" t="n">
        <x:v>1973</x:v>
      </x:c>
      <x:c r="C800" s="6" t="str">
        <x:v>Graduation</x:v>
      </x:c>
      <x:c r="D800" s="6" t="str">
        <x:v>Together</x:v>
      </x:c>
      <x:c r="E800" s="6" t="n">
        <x:v>73926</x:v>
      </x:c>
      <x:c r="F800" s="6" t="n">
        <x:v>0</x:v>
      </x:c>
      <x:c r="G800" s="6" t="n">
        <x:v>0</x:v>
      </x:c>
      <x:c r="H800" s="9" t="str">
        <x:v>02-03-2013</x:v>
      </x:c>
      <x:c r="I800" s="6" t="n">
        <x:v>54</x:v>
      </x:c>
      <x:c r="J800" s="6" t="n">
        <x:v>627</x:v>
      </x:c>
      <x:c r="K800" s="6" t="n">
        <x:v>91</x:v>
      </x:c>
      <x:c r="L800" s="6" t="n">
        <x:v>597</x:v>
      </x:c>
      <x:c r="M800" s="6" t="n">
        <x:v>159</x:v>
      </x:c>
      <x:c r="N800" s="6" t="n">
        <x:v>91</x:v>
      </x:c>
      <x:c r="O800" s="6" t="n">
        <x:v>15</x:v>
      </x:c>
      <x:c r="P800" s="6" t="n">
        <x:v>1</x:v>
      </x:c>
      <x:c r="Q800" s="6" t="n">
        <x:v>6</x:v>
      </x:c>
      <x:c r="R800" s="6" t="n">
        <x:v>5</x:v>
      </x:c>
      <x:c r="S800" s="6" t="n">
        <x:v>12</x:v>
      </x:c>
      <x:c r="T800" s="6" t="n">
        <x:v>3</x:v>
      </x:c>
      <x:c r="U800" s="6" t="n">
        <x:v>0</x:v>
      </x:c>
      <x:c r="V800" s="6" t="n">
        <x:v>0</x:v>
      </x:c>
      <x:c r="W800" s="6" t="n">
        <x:v>0</x:v>
      </x:c>
      <x:c r="X800" s="6" t="n">
        <x:v>0</x:v>
      </x:c>
      <x:c r="Y800" s="6" t="n">
        <x:v>0</x:v>
      </x:c>
      <x:c r="Z800" s="6" t="n">
        <x:v>0</x:v>
      </x:c>
      <x:c r="AA800" s="6" t="n">
        <x:v>3</x:v>
      </x:c>
      <x:c r="AB800" s="6" t="n">
        <x:v>11</x:v>
      </x:c>
      <x:c r="AC800" s="6" t="n">
        <x:v>0</x:v>
      </x:c>
    </x:row>
    <x:row r="801">
      <x:c r="A801" s="6" t="n">
        <x:v>8523</x:v>
      </x:c>
      <x:c r="B801" s="6" t="n">
        <x:v>1968</x:v>
      </x:c>
      <x:c r="C801" s="6" t="str">
        <x:v>Graduation</x:v>
      </x:c>
      <x:c r="D801" s="6" t="str">
        <x:v>Married</x:v>
      </x:c>
      <x:c r="E801" s="6" t="n">
        <x:v>19329</x:v>
      </x:c>
      <x:c r="F801" s="6" t="n">
        <x:v>1</x:v>
      </x:c>
      <x:c r="G801" s="6" t="n">
        <x:v>0</x:v>
      </x:c>
      <x:c r="H801" s="9" t="str">
        <x:v>14-12-2013</x:v>
      </x:c>
      <x:c r="I801" s="6" t="n">
        <x:v>39</x:v>
      </x:c>
      <x:c r="J801" s="6" t="n">
        <x:v>24</x:v>
      </x:c>
      <x:c r="K801" s="6" t="n">
        <x:v>1</x:v>
      </x:c>
      <x:c r="L801" s="6" t="n">
        <x:v>16</x:v>
      </x:c>
      <x:c r="M801" s="6" t="n">
        <x:v>12</x:v>
      </x:c>
      <x:c r="N801" s="6" t="n">
        <x:v>2</x:v>
      </x:c>
      <x:c r="O801" s="6" t="n">
        <x:v>5</x:v>
      </x:c>
      <x:c r="P801" s="6" t="n">
        <x:v>3</x:v>
      </x:c>
      <x:c r="Q801" s="6" t="n">
        <x:v>4</x:v>
      </x:c>
      <x:c r="R801" s="6" t="n">
        <x:v>0</x:v>
      </x:c>
      <x:c r="S801" s="6" t="n">
        <x:v>3</x:v>
      </x:c>
      <x:c r="T801" s="6" t="n">
        <x:v>8</x:v>
      </x:c>
      <x:c r="U801" s="6" t="n">
        <x:v>0</x:v>
      </x:c>
      <x:c r="V801" s="6" t="n">
        <x:v>0</x:v>
      </x:c>
      <x:c r="W801" s="6" t="n">
        <x:v>0</x:v>
      </x:c>
      <x:c r="X801" s="6" t="n">
        <x:v>0</x:v>
      </x:c>
      <x:c r="Y801" s="6" t="n">
        <x:v>0</x:v>
      </x:c>
      <x:c r="Z801" s="6" t="n">
        <x:v>0</x:v>
      </x:c>
      <x:c r="AA801" s="6" t="n">
        <x:v>3</x:v>
      </x:c>
      <x:c r="AB801" s="6" t="n">
        <x:v>11</x:v>
      </x:c>
      <x:c r="AC801" s="6" t="n">
        <x:v>0</x:v>
      </x:c>
    </x:row>
    <x:row r="802">
      <x:c r="A802" s="6" t="n">
        <x:v>310</x:v>
      </x:c>
      <x:c r="B802" s="6" t="n">
        <x:v>1970</x:v>
      </x:c>
      <x:c r="C802" s="6" t="str">
        <x:v>Master</x:v>
      </x:c>
      <x:c r="D802" s="6" t="str">
        <x:v>Married</x:v>
      </x:c>
      <x:c r="E802" s="6" t="n">
        <x:v>61872</x:v>
      </x:c>
      <x:c r="F802" s="6" t="n">
        <x:v>0</x:v>
      </x:c>
      <x:c r="G802" s="6" t="n">
        <x:v>1</x:v>
      </x:c>
      <x:c r="H802" s="9" t="str">
        <x:v>13-12-2013</x:v>
      </x:c>
      <x:c r="I802" s="6" t="n">
        <x:v>81</x:v>
      </x:c>
      <x:c r="J802" s="6" t="n">
        <x:v>330</x:v>
      </x:c>
      <x:c r="K802" s="6" t="n">
        <x:v>5</x:v>
      </x:c>
      <x:c r="L802" s="6" t="n">
        <x:v>159</x:v>
      </x:c>
      <x:c r="M802" s="6" t="n">
        <x:v>36</x:v>
      </x:c>
      <x:c r="N802" s="6" t="n">
        <x:v>27</x:v>
      </x:c>
      <x:c r="O802" s="6" t="n">
        <x:v>16</x:v>
      </x:c>
      <x:c r="P802" s="6" t="n">
        <x:v>4</x:v>
      </x:c>
      <x:c r="Q802" s="6" t="n">
        <x:v>4</x:v>
      </x:c>
      <x:c r="R802" s="6" t="n">
        <x:v>4</x:v>
      </x:c>
      <x:c r="S802" s="6" t="n">
        <x:v>9</x:v>
      </x:c>
      <x:c r="T802" s="6" t="n">
        <x:v>4</x:v>
      </x:c>
      <x:c r="U802" s="6" t="n">
        <x:v>0</x:v>
      </x:c>
      <x:c r="V802" s="6" t="n">
        <x:v>0</x:v>
      </x:c>
      <x:c r="W802" s="6" t="n">
        <x:v>0</x:v>
      </x:c>
      <x:c r="X802" s="6" t="n">
        <x:v>0</x:v>
      </x:c>
      <x:c r="Y802" s="6" t="n">
        <x:v>0</x:v>
      </x:c>
      <x:c r="Z802" s="6" t="n">
        <x:v>0</x:v>
      </x:c>
      <x:c r="AA802" s="6" t="n">
        <x:v>3</x:v>
      </x:c>
      <x:c r="AB802" s="6" t="n">
        <x:v>11</x:v>
      </x:c>
      <x:c r="AC802" s="6" t="n">
        <x:v>0</x:v>
      </x:c>
    </x:row>
    <x:row r="803">
      <x:c r="A803" s="6" t="n">
        <x:v>8629</x:v>
      </x:c>
      <x:c r="B803" s="6" t="n">
        <x:v>1956</x:v>
      </x:c>
      <x:c r="C803" s="6" t="str">
        <x:v>Graduation</x:v>
      </x:c>
      <x:c r="D803" s="6" t="str">
        <x:v>Widow</x:v>
      </x:c>
      <x:c r="E803" s="6" t="n">
        <x:v>46984</x:v>
      </x:c>
      <x:c r="F803" s="6" t="n">
        <x:v>1</x:v>
      </x:c>
      <x:c r="G803" s="6" t="n">
        <x:v>1</x:v>
      </x:c>
      <x:c r="H803" s="9" t="str">
        <x:v>26-03-2013</x:v>
      </x:c>
      <x:c r="I803" s="6" t="n">
        <x:v>71</x:v>
      </x:c>
      <x:c r="J803" s="6" t="n">
        <x:v>19</x:v>
      </x:c>
      <x:c r="K803" s="6" t="n">
        <x:v>1</x:v>
      </x:c>
      <x:c r="L803" s="6" t="n">
        <x:v>10</x:v>
      </x:c>
      <x:c r="M803" s="6" t="n">
        <x:v>2</x:v>
      </x:c>
      <x:c r="N803" s="6" t="n">
        <x:v>1</x:v>
      </x:c>
      <x:c r="O803" s="6" t="n">
        <x:v>8</x:v>
      </x:c>
      <x:c r="P803" s="6" t="n">
        <x:v>1</x:v>
      </x:c>
      <x:c r="Q803" s="6" t="n">
        <x:v>1</x:v>
      </x:c>
      <x:c r="R803" s="6" t="n">
        <x:v>0</x:v>
      </x:c>
      <x:c r="S803" s="6" t="n">
        <x:v>3</x:v>
      </x:c>
      <x:c r="T803" s="6" t="n">
        <x:v>5</x:v>
      </x:c>
      <x:c r="U803" s="6" t="n">
        <x:v>0</x:v>
      </x:c>
      <x:c r="V803" s="6" t="n">
        <x:v>0</x:v>
      </x:c>
      <x:c r="W803" s="6" t="n">
        <x:v>0</x:v>
      </x:c>
      <x:c r="X803" s="6" t="n">
        <x:v>0</x:v>
      </x:c>
      <x:c r="Y803" s="6" t="n">
        <x:v>0</x:v>
      </x:c>
      <x:c r="Z803" s="6" t="n">
        <x:v>0</x:v>
      </x:c>
      <x:c r="AA803" s="6" t="n">
        <x:v>3</x:v>
      </x:c>
      <x:c r="AB803" s="6" t="n">
        <x:v>11</x:v>
      </x:c>
      <x:c r="AC803" s="6" t="n">
        <x:v>0</x:v>
      </x:c>
    </x:row>
    <x:row r="804">
      <x:c r="A804" s="6" t="n">
        <x:v>236</x:v>
      </x:c>
      <x:c r="B804" s="6" t="n">
        <x:v>1951</x:v>
      </x:c>
      <x:c r="C804" s="6" t="str">
        <x:v>Graduation</x:v>
      </x:c>
      <x:c r="D804" s="6" t="str">
        <x:v>Married</x:v>
      </x:c>
      <x:c r="E804" s="6" t="n">
        <x:v>34838</x:v>
      </x:c>
      <x:c r="F804" s="6" t="n">
        <x:v>1</x:v>
      </x:c>
      <x:c r="G804" s="6" t="n">
        <x:v>1</x:v>
      </x:c>
      <x:c r="H804" s="9" t="str">
        <x:v>19-01-2013</x:v>
      </x:c>
      <x:c r="I804" s="6" t="n">
        <x:v>62</x:v>
      </x:c>
      <x:c r="J804" s="6" t="n">
        <x:v>28</x:v>
      </x:c>
      <x:c r="K804" s="6" t="n">
        <x:v>23</x:v>
      </x:c>
      <x:c r="L804" s="6" t="n">
        <x:v>29</x:v>
      </x:c>
      <x:c r="M804" s="6" t="n">
        <x:v>29</x:v>
      </x:c>
      <x:c r="N804" s="6" t="n">
        <x:v>14</x:v>
      </x:c>
      <x:c r="O804" s="6" t="n">
        <x:v>47</x:v>
      </x:c>
      <x:c r="P804" s="6" t="n">
        <x:v>3</x:v>
      </x:c>
      <x:c r="Q804" s="6" t="n">
        <x:v>2</x:v>
      </x:c>
      <x:c r="R804" s="6" t="n">
        <x:v>1</x:v>
      </x:c>
      <x:c r="S804" s="6" t="n">
        <x:v>4</x:v>
      </x:c>
      <x:c r="T804" s="6" t="n">
        <x:v>6</x:v>
      </x:c>
      <x:c r="U804" s="6" t="n">
        <x:v>0</x:v>
      </x:c>
      <x:c r="V804" s="6" t="n">
        <x:v>0</x:v>
      </x:c>
      <x:c r="W804" s="6" t="n">
        <x:v>0</x:v>
      </x:c>
      <x:c r="X804" s="6" t="n">
        <x:v>0</x:v>
      </x:c>
      <x:c r="Y804" s="6" t="n">
        <x:v>0</x:v>
      </x:c>
      <x:c r="Z804" s="6" t="n">
        <x:v>0</x:v>
      </x:c>
      <x:c r="AA804" s="6" t="n">
        <x:v>3</x:v>
      </x:c>
      <x:c r="AB804" s="6" t="n">
        <x:v>11</x:v>
      </x:c>
      <x:c r="AC804" s="6" t="n">
        <x:v>0</x:v>
      </x:c>
    </x:row>
    <x:row r="805">
      <x:c r="A805" s="6" t="n">
        <x:v>9930</x:v>
      </x:c>
      <x:c r="B805" s="6" t="n">
        <x:v>1944</x:v>
      </x:c>
      <x:c r="C805" s="6" t="str">
        <x:v>PhD</x:v>
      </x:c>
      <x:c r="D805" s="6" t="str">
        <x:v>Single</x:v>
      </x:c>
      <x:c r="E805" s="6" t="n">
        <x:v>82716</x:v>
      </x:c>
      <x:c r="F805" s="6" t="n">
        <x:v>0</x:v>
      </x:c>
      <x:c r="G805" s="6" t="n">
        <x:v>0</x:v>
      </x:c>
      <x:c r="H805" s="9" t="str">
        <x:v>05-11-2013</x:v>
      </x:c>
      <x:c r="I805" s="6" t="n">
        <x:v>8</x:v>
      </x:c>
      <x:c r="J805" s="6" t="n">
        <x:v>606</x:v>
      </x:c>
      <x:c r="K805" s="6" t="n">
        <x:v>148</x:v>
      </x:c>
      <x:c r="L805" s="6" t="n">
        <x:v>228</x:v>
      </x:c>
      <x:c r="M805" s="6" t="n">
        <x:v>15</x:v>
      </x:c>
      <x:c r="N805" s="6" t="n">
        <x:v>148</x:v>
      </x:c>
      <x:c r="O805" s="6" t="n">
        <x:v>22</x:v>
      </x:c>
      <x:c r="P805" s="6" t="n">
        <x:v>1</x:v>
      </x:c>
      <x:c r="Q805" s="6" t="n">
        <x:v>6</x:v>
      </x:c>
      <x:c r="R805" s="6" t="n">
        <x:v>8</x:v>
      </x:c>
      <x:c r="S805" s="6" t="n">
        <x:v>13</x:v>
      </x:c>
      <x:c r="T805" s="6" t="n">
        <x:v>2</x:v>
      </x:c>
      <x:c r="U805" s="6" t="n">
        <x:v>0</x:v>
      </x:c>
      <x:c r="V805" s="6" t="n">
        <x:v>0</x:v>
      </x:c>
      <x:c r="W805" s="6" t="n">
        <x:v>0</x:v>
      </x:c>
      <x:c r="X805" s="6" t="n">
        <x:v>0</x:v>
      </x:c>
      <x:c r="Y805" s="6" t="n">
        <x:v>0</x:v>
      </x:c>
      <x:c r="Z805" s="6" t="n">
        <x:v>0</x:v>
      </x:c>
      <x:c r="AA805" s="6" t="n">
        <x:v>3</x:v>
      </x:c>
      <x:c r="AB805" s="6" t="n">
        <x:v>11</x:v>
      </x:c>
      <x:c r="AC805" s="6" t="n">
        <x:v>0</x:v>
      </x:c>
    </x:row>
    <x:row r="806">
      <x:c r="A806" s="6" t="n">
        <x:v>3483</x:v>
      </x:c>
      <x:c r="B806" s="6" t="n">
        <x:v>1958</x:v>
      </x:c>
      <x:c r="C806" s="6" t="str">
        <x:v>Graduation</x:v>
      </x:c>
      <x:c r="D806" s="6" t="str">
        <x:v>Married</x:v>
      </x:c>
      <x:c r="E806" s="6" t="n">
        <x:v>48192</x:v>
      </x:c>
      <x:c r="F806" s="6" t="n">
        <x:v>0</x:v>
      </x:c>
      <x:c r="G806" s="6" t="n">
        <x:v>0</x:v>
      </x:c>
      <x:c r="H806" s="9" t="str">
        <x:v>06-04-2013</x:v>
      </x:c>
      <x:c r="I806" s="6" t="n">
        <x:v>76</x:v>
      </x:c>
      <x:c r="J806" s="6" t="n">
        <x:v>1039</x:v>
      </x:c>
      <x:c r="K806" s="6" t="n">
        <x:v>43</x:v>
      </x:c>
      <x:c r="L806" s="6" t="n">
        <x:v>204</x:v>
      </x:c>
      <x:c r="M806" s="6" t="n">
        <x:v>153</x:v>
      </x:c>
      <x:c r="N806" s="6" t="n">
        <x:v>58</x:v>
      </x:c>
      <x:c r="O806" s="6" t="n">
        <x:v>29</x:v>
      </x:c>
      <x:c r="P806" s="6" t="n">
        <x:v>3</x:v>
      </x:c>
      <x:c r="Q806" s="6" t="n">
        <x:v>2</x:v>
      </x:c>
      <x:c r="R806" s="6" t="n">
        <x:v>8</x:v>
      </x:c>
      <x:c r="S806" s="6" t="n">
        <x:v>12</x:v>
      </x:c>
      <x:c r="T806" s="6" t="n">
        <x:v>8</x:v>
      </x:c>
      <x:c r="U806" s="6" t="n">
        <x:v>0</x:v>
      </x:c>
      <x:c r="V806" s="6" t="n">
        <x:v>1</x:v>
      </x:c>
      <x:c r="W806" s="6" t="n">
        <x:v>0</x:v>
      </x:c>
      <x:c r="X806" s="6" t="n">
        <x:v>1</x:v>
      </x:c>
      <x:c r="Y806" s="6" t="n">
        <x:v>1</x:v>
      </x:c>
      <x:c r="Z806" s="6" t="n">
        <x:v>0</x:v>
      </x:c>
      <x:c r="AA806" s="6" t="n">
        <x:v>3</x:v>
      </x:c>
      <x:c r="AB806" s="6" t="n">
        <x:v>11</x:v>
      </x:c>
      <x:c r="AC806" s="6" t="n">
        <x:v>1</x:v>
      </x:c>
    </x:row>
    <x:row r="807">
      <x:c r="A807" s="6" t="n">
        <x:v>4599</x:v>
      </x:c>
      <x:c r="B807" s="6" t="n">
        <x:v>1976</x:v>
      </x:c>
      <x:c r="C807" s="6" t="str">
        <x:v>Master</x:v>
      </x:c>
      <x:c r="D807" s="6" t="str">
        <x:v>Married</x:v>
      </x:c>
      <x:c r="E807" s="6" t="n">
        <x:v>49681</x:v>
      </x:c>
      <x:c r="F807" s="6" t="n">
        <x:v>0</x:v>
      </x:c>
      <x:c r="G807" s="6" t="n">
        <x:v>2</x:v>
      </x:c>
      <x:c r="H807" s="9" t="str">
        <x:v>04-11-2013</x:v>
      </x:c>
      <x:c r="I807" s="6" t="n">
        <x:v>66</x:v>
      </x:c>
      <x:c r="J807" s="6" t="n">
        <x:v>411</x:v>
      </x:c>
      <x:c r="K807" s="6" t="n">
        <x:v>0</x:v>
      </x:c>
      <x:c r="L807" s="6" t="n">
        <x:v>26</x:v>
      </x:c>
      <x:c r="M807" s="6" t="n">
        <x:v>0</x:v>
      </x:c>
      <x:c r="N807" s="6" t="n">
        <x:v>0</x:v>
      </x:c>
      <x:c r="O807" s="6" t="n">
        <x:v>21</x:v>
      </x:c>
      <x:c r="P807" s="6" t="n">
        <x:v>6</x:v>
      </x:c>
      <x:c r="Q807" s="6" t="n">
        <x:v>7</x:v>
      </x:c>
      <x:c r="R807" s="6" t="n">
        <x:v>1</x:v>
      </x:c>
      <x:c r="S807" s="6" t="n">
        <x:v>7</x:v>
      </x:c>
      <x:c r="T807" s="6" t="n">
        <x:v>7</x:v>
      </x:c>
      <x:c r="U807" s="6" t="n">
        <x:v>0</x:v>
      </x:c>
      <x:c r="V807" s="6" t="n">
        <x:v>0</x:v>
      </x:c>
      <x:c r="W807" s="6" t="n">
        <x:v>0</x:v>
      </x:c>
      <x:c r="X807" s="6" t="n">
        <x:v>0</x:v>
      </x:c>
      <x:c r="Y807" s="6" t="n">
        <x:v>0</x:v>
      </x:c>
      <x:c r="Z807" s="6" t="n">
        <x:v>0</x:v>
      </x:c>
      <x:c r="AA807" s="6" t="n">
        <x:v>3</x:v>
      </x:c>
      <x:c r="AB807" s="6" t="n">
        <x:v>11</x:v>
      </x:c>
      <x:c r="AC807" s="6" t="n">
        <x:v>0</x:v>
      </x:c>
    </x:row>
    <x:row r="808">
      <x:c r="A808" s="6" t="n">
        <x:v>7326</x:v>
      </x:c>
      <x:c r="B808" s="6" t="n">
        <x:v>1971</x:v>
      </x:c>
      <x:c r="C808" s="6" t="str">
        <x:v>Master</x:v>
      </x:c>
      <x:c r="D808" s="6" t="str">
        <x:v>Married</x:v>
      </x:c>
      <x:c r="E808" s="6" t="n">
        <x:v>56850</x:v>
      </x:c>
      <x:c r="F808" s="6" t="n">
        <x:v>0</x:v>
      </x:c>
      <x:c r="G808" s="6" t="n">
        <x:v>1</x:v>
      </x:c>
      <x:c r="H808" s="9" t="str">
        <x:v>23-03-2014</x:v>
      </x:c>
      <x:c r="I808" s="6" t="n">
        <x:v>83</x:v>
      </x:c>
      <x:c r="J808" s="6" t="n">
        <x:v>34</x:v>
      </x:c>
      <x:c r="K808" s="6" t="n">
        <x:v>1</x:v>
      </x:c>
      <x:c r="L808" s="6" t="n">
        <x:v>19</x:v>
      </x:c>
      <x:c r="M808" s="6" t="n">
        <x:v>2</x:v>
      </x:c>
      <x:c r="N808" s="6" t="n">
        <x:v>7</x:v>
      </x:c>
      <x:c r="O808" s="6" t="n">
        <x:v>0</x:v>
      </x:c>
      <x:c r="P808" s="6" t="n">
        <x:v>1</x:v>
      </x:c>
      <x:c r="Q808" s="6" t="n">
        <x:v>1</x:v>
      </x:c>
      <x:c r="R808" s="6" t="n">
        <x:v>1</x:v>
      </x:c>
      <x:c r="S808" s="6" t="n">
        <x:v>3</x:v>
      </x:c>
      <x:c r="T808" s="6" t="n">
        <x:v>2</x:v>
      </x:c>
      <x:c r="U808" s="6" t="n">
        <x:v>0</x:v>
      </x:c>
      <x:c r="V808" s="6" t="n">
        <x:v>0</x:v>
      </x:c>
      <x:c r="W808" s="6" t="n">
        <x:v>0</x:v>
      </x:c>
      <x:c r="X808" s="6" t="n">
        <x:v>0</x:v>
      </x:c>
      <x:c r="Y808" s="6" t="n">
        <x:v>0</x:v>
      </x:c>
      <x:c r="Z808" s="6" t="n">
        <x:v>0</x:v>
      </x:c>
      <x:c r="AA808" s="6" t="n">
        <x:v>3</x:v>
      </x:c>
      <x:c r="AB808" s="6" t="n">
        <x:v>11</x:v>
      </x:c>
      <x:c r="AC808" s="6" t="n">
        <x:v>0</x:v>
      </x:c>
    </x:row>
    <x:row r="809">
      <x:c r="A809" s="6" t="n">
        <x:v>7352</x:v>
      </x:c>
      <x:c r="B809" s="6" t="n">
        <x:v>1957</x:v>
      </x:c>
      <x:c r="C809" s="6" t="str">
        <x:v>Graduation</x:v>
      </x:c>
      <x:c r="D809" s="6" t="str">
        <x:v>Married</x:v>
      </x:c>
      <x:c r="E809" s="6" t="n">
        <x:v>55267</x:v>
      </x:c>
      <x:c r="F809" s="6" t="n">
        <x:v>0</x:v>
      </x:c>
      <x:c r="G809" s="6" t="n">
        <x:v>1</x:v>
      </x:c>
      <x:c r="H809" s="9" t="str">
        <x:v>21-10-2013</x:v>
      </x:c>
      <x:c r="I809" s="6" t="n">
        <x:v>28</x:v>
      </x:c>
      <x:c r="J809" s="6" t="n">
        <x:v>161</x:v>
      </x:c>
      <x:c r="K809" s="6" t="n">
        <x:v>28</x:v>
      </x:c>
      <x:c r="L809" s="6" t="n">
        <x:v>136</x:v>
      </x:c>
      <x:c r="M809" s="6" t="n">
        <x:v>32</x:v>
      </x:c>
      <x:c r="N809" s="6" t="n">
        <x:v>3</x:v>
      </x:c>
      <x:c r="O809" s="6" t="n">
        <x:v>45</x:v>
      </x:c>
      <x:c r="P809" s="6" t="n">
        <x:v>4</x:v>
      </x:c>
      <x:c r="Q809" s="6" t="n">
        <x:v>3</x:v>
      </x:c>
      <x:c r="R809" s="6" t="n">
        <x:v>4</x:v>
      </x:c>
      <x:c r="S809" s="6" t="n">
        <x:v>6</x:v>
      </x:c>
      <x:c r="T809" s="6" t="n">
        <x:v>3</x:v>
      </x:c>
      <x:c r="U809" s="6" t="n">
        <x:v>0</x:v>
      </x:c>
      <x:c r="V809" s="6" t="n">
        <x:v>0</x:v>
      </x:c>
      <x:c r="W809" s="6" t="n">
        <x:v>0</x:v>
      </x:c>
      <x:c r="X809" s="6" t="n">
        <x:v>0</x:v>
      </x:c>
      <x:c r="Y809" s="6" t="n">
        <x:v>0</x:v>
      </x:c>
      <x:c r="Z809" s="6" t="n">
        <x:v>0</x:v>
      </x:c>
      <x:c r="AA809" s="6" t="n">
        <x:v>3</x:v>
      </x:c>
      <x:c r="AB809" s="6" t="n">
        <x:v>11</x:v>
      </x:c>
      <x:c r="AC809" s="6" t="n">
        <x:v>0</x:v>
      </x:c>
    </x:row>
    <x:row r="810">
      <x:c r="A810" s="6" t="n">
        <x:v>2350</x:v>
      </x:c>
      <x:c r="B810" s="6" t="n">
        <x:v>1972</x:v>
      </x:c>
      <x:c r="C810" s="6" t="str">
        <x:v>Graduation</x:v>
      </x:c>
      <x:c r="D810" s="6" t="str">
        <x:v>Married</x:v>
      </x:c>
      <x:c r="E810" s="6" t="n">
        <x:v>59666</x:v>
      </x:c>
      <x:c r="F810" s="6" t="n">
        <x:v>1</x:v>
      </x:c>
      <x:c r="G810" s="6" t="n">
        <x:v>1</x:v>
      </x:c>
      <x:c r="H810" s="9" t="str">
        <x:v>22-03-2013</x:v>
      </x:c>
      <x:c r="I810" s="6" t="n">
        <x:v>87</x:v>
      </x:c>
      <x:c r="J810" s="6" t="n">
        <x:v>623</x:v>
      </x:c>
      <x:c r="K810" s="6" t="n">
        <x:v>53</x:v>
      </x:c>
      <x:c r="L810" s="6" t="n">
        <x:v>178</x:v>
      </x:c>
      <x:c r="M810" s="6" t="n">
        <x:v>23</x:v>
      </x:c>
      <x:c r="N810" s="6" t="n">
        <x:v>17</x:v>
      </x:c>
      <x:c r="O810" s="6" t="n">
        <x:v>133</x:v>
      </x:c>
      <x:c r="P810" s="6" t="n">
        <x:v>7</x:v>
      </x:c>
      <x:c r="Q810" s="6" t="n">
        <x:v>3</x:v>
      </x:c>
      <x:c r="R810" s="6" t="n">
        <x:v>2</x:v>
      </x:c>
      <x:c r="S810" s="6" t="n">
        <x:v>8</x:v>
      </x:c>
      <x:c r="T810" s="6" t="n">
        <x:v>8</x:v>
      </x:c>
      <x:c r="U810" s="6" t="n">
        <x:v>0</x:v>
      </x:c>
      <x:c r="V810" s="6" t="n">
        <x:v>1</x:v>
      </x:c>
      <x:c r="W810" s="6" t="n">
        <x:v>0</x:v>
      </x:c>
      <x:c r="X810" s="6" t="n">
        <x:v>0</x:v>
      </x:c>
      <x:c r="Y810" s="6" t="n">
        <x:v>0</x:v>
      </x:c>
      <x:c r="Z810" s="6" t="n">
        <x:v>0</x:v>
      </x:c>
      <x:c r="AA810" s="6" t="n">
        <x:v>3</x:v>
      </x:c>
      <x:c r="AB810" s="6" t="n">
        <x:v>11</x:v>
      </x:c>
      <x:c r="AC810" s="6" t="n">
        <x:v>0</x:v>
      </x:c>
    </x:row>
    <x:row r="811">
      <x:c r="A811" s="6" t="n">
        <x:v>9145</x:v>
      </x:c>
      <x:c r="B811" s="6" t="n">
        <x:v>1972</x:v>
      </x:c>
      <x:c r="C811" s="6" t="str">
        <x:v>Graduation</x:v>
      </x:c>
      <x:c r="D811" s="6" t="str">
        <x:v>Single</x:v>
      </x:c>
      <x:c r="E811" s="6" t="n">
        <x:v>72504</x:v>
      </x:c>
      <x:c r="F811" s="6" t="n">
        <x:v>0</x:v>
      </x:c>
      <x:c r="G811" s="6" t="n">
        <x:v>1</x:v>
      </x:c>
      <x:c r="H811" s="9" t="str">
        <x:v>06-04-2013</x:v>
      </x:c>
      <x:c r="I811" s="6" t="n">
        <x:v>43</x:v>
      </x:c>
      <x:c r="J811" s="6" t="n">
        <x:v>604</x:v>
      </x:c>
      <x:c r="K811" s="6" t="n">
        <x:v>26</x:v>
      </x:c>
      <x:c r="L811" s="6" t="n">
        <x:v>470</x:v>
      </x:c>
      <x:c r="M811" s="6" t="n">
        <x:v>123</x:v>
      </x:c>
      <x:c r="N811" s="6" t="n">
        <x:v>161</x:v>
      </x:c>
      <x:c r="O811" s="6" t="n">
        <x:v>94</x:v>
      </x:c>
      <x:c r="P811" s="6" t="n">
        <x:v>2</x:v>
      </x:c>
      <x:c r="Q811" s="6" t="n">
        <x:v>5</x:v>
      </x:c>
      <x:c r="R811" s="6" t="n">
        <x:v>9</x:v>
      </x:c>
      <x:c r="S811" s="6" t="n">
        <x:v>6</x:v>
      </x:c>
      <x:c r="T811" s="6" t="n">
        <x:v>2</x:v>
      </x:c>
      <x:c r="U811" s="6" t="n">
        <x:v>0</x:v>
      </x:c>
      <x:c r="V811" s="6" t="n">
        <x:v>0</x:v>
      </x:c>
      <x:c r="W811" s="6" t="n">
        <x:v>0</x:v>
      </x:c>
      <x:c r="X811" s="6" t="n">
        <x:v>0</x:v>
      </x:c>
      <x:c r="Y811" s="6" t="n">
        <x:v>0</x:v>
      </x:c>
      <x:c r="Z811" s="6" t="n">
        <x:v>0</x:v>
      </x:c>
      <x:c r="AA811" s="6" t="n">
        <x:v>3</x:v>
      </x:c>
      <x:c r="AB811" s="6" t="n">
        <x:v>11</x:v>
      </x:c>
      <x:c r="AC811" s="6" t="n">
        <x:v>0</x:v>
      </x:c>
    </x:row>
    <x:row r="812">
      <x:c r="A812" s="6" t="n">
        <x:v>2964</x:v>
      </x:c>
      <x:c r="B812" s="6" t="n">
        <x:v>1981</x:v>
      </x:c>
      <x:c r="C812" s="6" t="str">
        <x:v>Graduation</x:v>
      </x:c>
      <x:c r="D812" s="6" t="str">
        <x:v>Married</x:v>
      </x:c>
      <x:c r="E812" s="6" t="n">
        <x:v>26872</x:v>
      </x:c>
      <x:c r="F812" s="6" t="n">
        <x:v>0</x:v>
      </x:c>
      <x:c r="G812" s="6" t="n">
        <x:v>0</x:v>
      </x:c>
      <x:c r="H812" s="9" t="str">
        <x:v>16-10-2013</x:v>
      </x:c>
      <x:c r="I812" s="6" t="n">
        <x:v>0</x:v>
      </x:c>
      <x:c r="J812" s="6" t="n">
        <x:v>3</x:v>
      </x:c>
      <x:c r="K812" s="6" t="n">
        <x:v>10</x:v>
      </x:c>
      <x:c r="L812" s="6" t="n">
        <x:v>8</x:v>
      </x:c>
      <x:c r="M812" s="6" t="n">
        <x:v>3</x:v>
      </x:c>
      <x:c r="N812" s="6" t="n">
        <x:v>16</x:v>
      </x:c>
      <x:c r="O812" s="6" t="n">
        <x:v>32</x:v>
      </x:c>
      <x:c r="P812" s="6" t="n">
        <x:v>1</x:v>
      </x:c>
      <x:c r="Q812" s="6" t="n">
        <x:v>1</x:v>
      </x:c>
      <x:c r="R812" s="6" t="n">
        <x:v>1</x:v>
      </x:c>
      <x:c r="S812" s="6" t="n">
        <x:v>2</x:v>
      </x:c>
      <x:c r="T812" s="6" t="n">
        <x:v>6</x:v>
      </x:c>
      <x:c r="U812" s="6" t="n">
        <x:v>0</x:v>
      </x:c>
      <x:c r="V812" s="6" t="n">
        <x:v>0</x:v>
      </x:c>
      <x:c r="W812" s="6" t="n">
        <x:v>0</x:v>
      </x:c>
      <x:c r="X812" s="6" t="n">
        <x:v>0</x:v>
      </x:c>
      <x:c r="Y812" s="6" t="n">
        <x:v>0</x:v>
      </x:c>
      <x:c r="Z812" s="6" t="n">
        <x:v>0</x:v>
      </x:c>
      <x:c r="AA812" s="6" t="n">
        <x:v>3</x:v>
      </x:c>
      <x:c r="AB812" s="6" t="n">
        <x:v>11</x:v>
      </x:c>
      <x:c r="AC812" s="6" t="n">
        <x:v>0</x:v>
      </x:c>
    </x:row>
    <x:row r="813">
      <x:c r="A813" s="6" t="n">
        <x:v>5585</x:v>
      </x:c>
      <x:c r="B813" s="6" t="n">
        <x:v>1972</x:v>
      </x:c>
      <x:c r="C813" s="6" t="str">
        <x:v>Graduation</x:v>
      </x:c>
      <x:c r="D813" s="6" t="str">
        <x:v>Single</x:v>
      </x:c>
      <x:c r="E813" s="6" t="n">
        <x:v>21359</x:v>
      </x:c>
      <x:c r="F813" s="6" t="n">
        <x:v>1</x:v>
      </x:c>
      <x:c r="G813" s="6" t="n">
        <x:v>0</x:v>
      </x:c>
      <x:c r="H813" s="9" t="str">
        <x:v>20-04-2013</x:v>
      </x:c>
      <x:c r="I813" s="6" t="n">
        <x:v>1</x:v>
      </x:c>
      <x:c r="J813" s="6" t="n">
        <x:v>12</x:v>
      </x:c>
      <x:c r="K813" s="6" t="n">
        <x:v>2</x:v>
      </x:c>
      <x:c r="L813" s="6" t="n">
        <x:v>17</x:v>
      </x:c>
      <x:c r="M813" s="6" t="n">
        <x:v>6</x:v>
      </x:c>
      <x:c r="N813" s="6" t="n">
        <x:v>1</x:v>
      </x:c>
      <x:c r="O813" s="6" t="n">
        <x:v>10</x:v>
      </x:c>
      <x:c r="P813" s="6" t="n">
        <x:v>2</x:v>
      </x:c>
      <x:c r="Q813" s="6" t="n">
        <x:v>2</x:v>
      </x:c>
      <x:c r="R813" s="6" t="n">
        <x:v>0</x:v>
      </x:c>
      <x:c r="S813" s="6" t="n">
        <x:v>3</x:v>
      </x:c>
      <x:c r="T813" s="6" t="n">
        <x:v>8</x:v>
      </x:c>
      <x:c r="U813" s="6" t="n">
        <x:v>0</x:v>
      </x:c>
      <x:c r="V813" s="6" t="n">
        <x:v>0</x:v>
      </x:c>
      <x:c r="W813" s="6" t="n">
        <x:v>0</x:v>
      </x:c>
      <x:c r="X813" s="6" t="n">
        <x:v>0</x:v>
      </x:c>
      <x:c r="Y813" s="6" t="n">
        <x:v>0</x:v>
      </x:c>
      <x:c r="Z813" s="6" t="n">
        <x:v>0</x:v>
      </x:c>
      <x:c r="AA813" s="6" t="n">
        <x:v>3</x:v>
      </x:c>
      <x:c r="AB813" s="6" t="n">
        <x:v>11</x:v>
      </x:c>
      <x:c r="AC813" s="6" t="n">
        <x:v>1</x:v>
      </x:c>
    </x:row>
    <x:row r="814">
      <x:c r="A814" s="6" t="n">
        <x:v>9687</x:v>
      </x:c>
      <x:c r="B814" s="6" t="n">
        <x:v>1975</x:v>
      </x:c>
      <x:c r="C814" s="6" t="str">
        <x:v>Graduation</x:v>
      </x:c>
      <x:c r="D814" s="6" t="str">
        <x:v>Single</x:v>
      </x:c>
      <x:c r="E814" s="6" t="n">
        <x:v>73170</x:v>
      </x:c>
      <x:c r="F814" s="6" t="n">
        <x:v>0</x:v>
      </x:c>
      <x:c r="G814" s="6" t="n">
        <x:v>0</x:v>
      </x:c>
      <x:c r="H814" s="9" t="str">
        <x:v>31-05-2014</x:v>
      </x:c>
      <x:c r="I814" s="6" t="n">
        <x:v>1</x:v>
      </x:c>
      <x:c r="J814" s="6" t="n">
        <x:v>184</x:v>
      </x:c>
      <x:c r="K814" s="6" t="n">
        <x:v>174</x:v>
      </x:c>
      <x:c r="L814" s="6" t="n">
        <x:v>256</x:v>
      </x:c>
      <x:c r="M814" s="6" t="n">
        <x:v>50</x:v>
      </x:c>
      <x:c r="N814" s="6" t="n">
        <x:v>30</x:v>
      </x:c>
      <x:c r="O814" s="6" t="n">
        <x:v>32</x:v>
      </x:c>
      <x:c r="P814" s="6" t="n">
        <x:v>1</x:v>
      </x:c>
      <x:c r="Q814" s="6" t="n">
        <x:v>5</x:v>
      </x:c>
      <x:c r="R814" s="6" t="n">
        <x:v>4</x:v>
      </x:c>
      <x:c r="S814" s="6" t="n">
        <x:v>6</x:v>
      </x:c>
      <x:c r="T814" s="6" t="n">
        <x:v>2</x:v>
      </x:c>
      <x:c r="U814" s="6" t="n">
        <x:v>0</x:v>
      </x:c>
      <x:c r="V814" s="6" t="n">
        <x:v>0</x:v>
      </x:c>
      <x:c r="W814" s="6" t="n">
        <x:v>0</x:v>
      </x:c>
      <x:c r="X814" s="6" t="n">
        <x:v>0</x:v>
      </x:c>
      <x:c r="Y814" s="6" t="n">
        <x:v>0</x:v>
      </x:c>
      <x:c r="Z814" s="6" t="n">
        <x:v>0</x:v>
      </x:c>
      <x:c r="AA814" s="6" t="n">
        <x:v>3</x:v>
      </x:c>
      <x:c r="AB814" s="6" t="n">
        <x:v>11</x:v>
      </x:c>
      <x:c r="AC814" s="6" t="n">
        <x:v>0</x:v>
      </x:c>
    </x:row>
    <x:row r="815">
      <x:c r="A815" s="6" t="n">
        <x:v>3732</x:v>
      </x:c>
      <x:c r="B815" s="6" t="n">
        <x:v>1955</x:v>
      </x:c>
      <x:c r="C815" s="6" t="str">
        <x:v>Master</x:v>
      </x:c>
      <x:c r="D815" s="6" t="str">
        <x:v>Married</x:v>
      </x:c>
      <x:c r="E815" s="6" t="n">
        <x:v>52750</x:v>
      </x:c>
      <x:c r="F815" s="6" t="n">
        <x:v>0</x:v>
      </x:c>
      <x:c r="G815" s="6" t="n">
        <x:v>1</x:v>
      </x:c>
      <x:c r="H815" s="9" t="str">
        <x:v>04-02-2013</x:v>
      </x:c>
      <x:c r="I815" s="6" t="n">
        <x:v>72</x:v>
      </x:c>
      <x:c r="J815" s="6" t="n">
        <x:v>393</x:v>
      </x:c>
      <x:c r="K815" s="6" t="n">
        <x:v>0</x:v>
      </x:c>
      <x:c r="L815" s="6" t="n">
        <x:v>239</x:v>
      </x:c>
      <x:c r="M815" s="6" t="n">
        <x:v>90</x:v>
      </x:c>
      <x:c r="N815" s="6" t="n">
        <x:v>69</x:v>
      </x:c>
      <x:c r="O815" s="6" t="n">
        <x:v>69</x:v>
      </x:c>
      <x:c r="P815" s="6" t="n">
        <x:v>6</x:v>
      </x:c>
      <x:c r="Q815" s="6" t="n">
        <x:v>5</x:v>
      </x:c>
      <x:c r="R815" s="6" t="n">
        <x:v>7</x:v>
      </x:c>
      <x:c r="S815" s="6" t="n">
        <x:v>9</x:v>
      </x:c>
      <x:c r="T815" s="6" t="n">
        <x:v>4</x:v>
      </x:c>
      <x:c r="U815" s="6" t="n">
        <x:v>0</x:v>
      </x:c>
      <x:c r="V815" s="6" t="n">
        <x:v>0</x:v>
      </x:c>
      <x:c r="W815" s="6" t="n">
        <x:v>0</x:v>
      </x:c>
      <x:c r="X815" s="6" t="n">
        <x:v>0</x:v>
      </x:c>
      <x:c r="Y815" s="6" t="n">
        <x:v>0</x:v>
      </x:c>
      <x:c r="Z815" s="6" t="n">
        <x:v>0</x:v>
      </x:c>
      <x:c r="AA815" s="6" t="n">
        <x:v>3</x:v>
      </x:c>
      <x:c r="AB815" s="6" t="n">
        <x:v>11</x:v>
      </x:c>
      <x:c r="AC815" s="6" t="n">
        <x:v>0</x:v>
      </x:c>
    </x:row>
    <x:row r="816">
      <x:c r="A816" s="6" t="n">
        <x:v>6303</x:v>
      </x:c>
      <x:c r="B816" s="6" t="n">
        <x:v>1986</x:v>
      </x:c>
      <x:c r="C816" s="6" t="str">
        <x:v>PhD</x:v>
      </x:c>
      <x:c r="D816" s="6" t="str">
        <x:v>Together</x:v>
      </x:c>
      <x:c r="E816" s="6" t="n">
        <x:v>91820</x:v>
      </x:c>
      <x:c r="F816" s="6" t="n">
        <x:v>0</x:v>
      </x:c>
      <x:c r="G816" s="6" t="n">
        <x:v>0</x:v>
      </x:c>
      <x:c r="H816" s="9" t="str">
        <x:v>23-11-2013</x:v>
      </x:c>
      <x:c r="I816" s="6" t="n">
        <x:v>72</x:v>
      </x:c>
      <x:c r="J816" s="6" t="n">
        <x:v>410</x:v>
      </x:c>
      <x:c r="K816" s="6" t="n">
        <x:v>73</x:v>
      </x:c>
      <x:c r="L816" s="6" t="n">
        <x:v>747</x:v>
      </x:c>
      <x:c r="M816" s="6" t="n">
        <x:v>76</x:v>
      </x:c>
      <x:c r="N816" s="6" t="n">
        <x:v>161</x:v>
      </x:c>
      <x:c r="O816" s="6" t="n">
        <x:v>30</x:v>
      </x:c>
      <x:c r="P816" s="6" t="n">
        <x:v>0</x:v>
      </x:c>
      <x:c r="Q816" s="6" t="n">
        <x:v>5</x:v>
      </x:c>
      <x:c r="R816" s="6" t="n">
        <x:v>5</x:v>
      </x:c>
      <x:c r="S816" s="6" t="n">
        <x:v>12</x:v>
      </x:c>
      <x:c r="T816" s="6" t="n">
        <x:v>1</x:v>
      </x:c>
      <x:c r="U816" s="6" t="n">
        <x:v>0</x:v>
      </x:c>
      <x:c r="V816" s="6" t="n">
        <x:v>0</x:v>
      </x:c>
      <x:c r="W816" s="6" t="n">
        <x:v>0</x:v>
      </x:c>
      <x:c r="X816" s="6" t="n">
        <x:v>0</x:v>
      </x:c>
      <x:c r="Y816" s="6" t="n">
        <x:v>0</x:v>
      </x:c>
      <x:c r="Z816" s="6" t="n">
        <x:v>0</x:v>
      </x:c>
      <x:c r="AA816" s="6" t="n">
        <x:v>3</x:v>
      </x:c>
      <x:c r="AB816" s="6" t="n">
        <x:v>11</x:v>
      </x:c>
      <x:c r="AC816" s="6" t="n">
        <x:v>0</x:v>
      </x:c>
    </x:row>
    <x:row r="817">
      <x:c r="A817" s="6" t="n">
        <x:v>11176</x:v>
      </x:c>
      <x:c r="B817" s="6" t="n">
        <x:v>1970</x:v>
      </x:c>
      <x:c r="C817" s="6" t="str">
        <x:v>PhD</x:v>
      </x:c>
      <x:c r="D817" s="6" t="str">
        <x:v>Together</x:v>
      </x:c>
      <x:c r="E817" s="6" t="n">
        <x:v>65968</x:v>
      </x:c>
      <x:c r="F817" s="6" t="n">
        <x:v>0</x:v>
      </x:c>
      <x:c r="G817" s="6" t="n">
        <x:v>1</x:v>
      </x:c>
      <x:c r="H817" s="9" t="str">
        <x:v>12-05-2014</x:v>
      </x:c>
      <x:c r="I817" s="6" t="n">
        <x:v>12</x:v>
      </x:c>
      <x:c r="J817" s="6" t="n">
        <x:v>376</x:v>
      </x:c>
      <x:c r="K817" s="6" t="n">
        <x:v>9</x:v>
      </x:c>
      <x:c r="L817" s="6" t="n">
        <x:v>83</x:v>
      </x:c>
      <x:c r="M817" s="6" t="n">
        <x:v>19</x:v>
      </x:c>
      <x:c r="N817" s="6" t="n">
        <x:v>4</x:v>
      </x:c>
      <x:c r="O817" s="6" t="n">
        <x:v>4</x:v>
      </x:c>
      <x:c r="P817" s="6" t="n">
        <x:v>2</x:v>
      </x:c>
      <x:c r="Q817" s="6" t="n">
        <x:v>5</x:v>
      </x:c>
      <x:c r="R817" s="6" t="n">
        <x:v>4</x:v>
      </x:c>
      <x:c r="S817" s="6" t="n">
        <x:v>7</x:v>
      </x:c>
      <x:c r="T817" s="6" t="n">
        <x:v>3</x:v>
      </x:c>
      <x:c r="U817" s="6" t="n">
        <x:v>0</x:v>
      </x:c>
      <x:c r="V817" s="6" t="n">
        <x:v>0</x:v>
      </x:c>
      <x:c r="W817" s="6" t="n">
        <x:v>0</x:v>
      </x:c>
      <x:c r="X817" s="6" t="n">
        <x:v>0</x:v>
      </x:c>
      <x:c r="Y817" s="6" t="n">
        <x:v>0</x:v>
      </x:c>
      <x:c r="Z817" s="6" t="n">
        <x:v>0</x:v>
      </x:c>
      <x:c r="AA817" s="6" t="n">
        <x:v>3</x:v>
      </x:c>
      <x:c r="AB817" s="6" t="n">
        <x:v>11</x:v>
      </x:c>
      <x:c r="AC817" s="6" t="n">
        <x:v>0</x:v>
      </x:c>
    </x:row>
    <x:row r="818">
      <x:c r="A818" s="6" t="n">
        <x:v>2986</x:v>
      </x:c>
      <x:c r="B818" s="6" t="n">
        <x:v>1976</x:v>
      </x:c>
      <x:c r="C818" s="6" t="str">
        <x:v>Graduation</x:v>
      </x:c>
      <x:c r="D818" s="6" t="str">
        <x:v>Married</x:v>
      </x:c>
      <x:c r="E818" s="6" t="n">
        <x:v>30772</x:v>
      </x:c>
      <x:c r="F818" s="6" t="n">
        <x:v>1</x:v>
      </x:c>
      <x:c r="G818" s="6" t="n">
        <x:v>1</x:v>
      </x:c>
      <x:c r="H818" s="9" t="str">
        <x:v>12-03-2014</x:v>
      </x:c>
      <x:c r="I818" s="6" t="n">
        <x:v>89</x:v>
      </x:c>
      <x:c r="J818" s="6" t="n">
        <x:v>7</x:v>
      </x:c>
      <x:c r="K818" s="6" t="n">
        <x:v>2</x:v>
      </x:c>
      <x:c r="L818" s="6" t="n">
        <x:v>4</x:v>
      </x:c>
      <x:c r="M818" s="6" t="n">
        <x:v>2</x:v>
      </x:c>
      <x:c r="N818" s="6" t="n">
        <x:v>1</x:v>
      </x:c>
      <x:c r="O818" s="6" t="n">
        <x:v>4</x:v>
      </x:c>
      <x:c r="P818" s="6" t="n">
        <x:v>1</x:v>
      </x:c>
      <x:c r="Q818" s="6" t="n">
        <x:v>1</x:v>
      </x:c>
      <x:c r="R818" s="6" t="n">
        <x:v>0</x:v>
      </x:c>
      <x:c r="S818" s="6" t="n">
        <x:v>2</x:v>
      </x:c>
      <x:c r="T818" s="6" t="n">
        <x:v>6</x:v>
      </x:c>
      <x:c r="U818" s="6" t="n">
        <x:v>0</x:v>
      </x:c>
      <x:c r="V818" s="6" t="n">
        <x:v>0</x:v>
      </x:c>
      <x:c r="W818" s="6" t="n">
        <x:v>0</x:v>
      </x:c>
      <x:c r="X818" s="6" t="n">
        <x:v>0</x:v>
      </x:c>
      <x:c r="Y818" s="6" t="n">
        <x:v>0</x:v>
      </x:c>
      <x:c r="Z818" s="6" t="n">
        <x:v>0</x:v>
      </x:c>
      <x:c r="AA818" s="6" t="n">
        <x:v>3</x:v>
      </x:c>
      <x:c r="AB818" s="6" t="n">
        <x:v>11</x:v>
      </x:c>
      <x:c r="AC818" s="6" t="n">
        <x:v>0</x:v>
      </x:c>
    </x:row>
    <x:row r="819">
      <x:c r="A819" s="6" t="n">
        <x:v>7462</x:v>
      </x:c>
      <x:c r="B819" s="6" t="n">
        <x:v>1954</x:v>
      </x:c>
      <x:c r="C819" s="6" t="str">
        <x:v>Graduation</x:v>
      </x:c>
      <x:c r="D819" s="6" t="str">
        <x:v>Single</x:v>
      </x:c>
      <x:c r="E819" s="6" t="n">
        <x:v>22507</x:v>
      </x:c>
      <x:c r="F819" s="6" t="n">
        <x:v>0</x:v>
      </x:c>
      <x:c r="G819" s="6" t="n">
        <x:v>0</x:v>
      </x:c>
      <x:c r="H819" s="9" t="str">
        <x:v>24-11-2012</x:v>
      </x:c>
      <x:c r="I819" s="6" t="n">
        <x:v>67</x:v>
      </x:c>
      <x:c r="J819" s="6" t="n">
        <x:v>68</x:v>
      </x:c>
      <x:c r="K819" s="6" t="n">
        <x:v>0</x:v>
      </x:c>
      <x:c r="L819" s="6" t="n">
        <x:v>226</x:v>
      </x:c>
      <x:c r="M819" s="6" t="n">
        <x:v>51</x:v>
      </x:c>
      <x:c r="N819" s="6" t="n">
        <x:v>157</x:v>
      </x:c>
      <x:c r="O819" s="6" t="n">
        <x:v>68</x:v>
      </x:c>
      <x:c r="P819" s="6" t="n">
        <x:v>3</x:v>
      </x:c>
      <x:c r="Q819" s="6" t="n">
        <x:v>10</x:v>
      </x:c>
      <x:c r="R819" s="6" t="n">
        <x:v>2</x:v>
      </x:c>
      <x:c r="S819" s="6" t="n">
        <x:v>4</x:v>
      </x:c>
      <x:c r="T819" s="6" t="n">
        <x:v>9</x:v>
      </x:c>
      <x:c r="U819" s="6" t="n">
        <x:v>0</x:v>
      </x:c>
      <x:c r="V819" s="6" t="n">
        <x:v>0</x:v>
      </x:c>
      <x:c r="W819" s="6" t="n">
        <x:v>0</x:v>
      </x:c>
      <x:c r="X819" s="6" t="n">
        <x:v>0</x:v>
      </x:c>
      <x:c r="Y819" s="6" t="n">
        <x:v>0</x:v>
      </x:c>
      <x:c r="Z819" s="6" t="n">
        <x:v>0</x:v>
      </x:c>
      <x:c r="AA819" s="6" t="n">
        <x:v>3</x:v>
      </x:c>
      <x:c r="AB819" s="6" t="n">
        <x:v>11</x:v>
      </x:c>
      <x:c r="AC819" s="6" t="n">
        <x:v>0</x:v>
      </x:c>
    </x:row>
    <x:row r="820">
      <x:c r="A820" s="6" t="n">
        <x:v>3900</x:v>
      </x:c>
      <x:c r="B820" s="6" t="n">
        <x:v>1972</x:v>
      </x:c>
      <x:c r="C820" s="6" t="str">
        <x:v>Graduation</x:v>
      </x:c>
      <x:c r="D820" s="6" t="str">
        <x:v>Married</x:v>
      </x:c>
      <x:c r="E820" s="6" t="n">
        <x:v>65685</x:v>
      </x:c>
      <x:c r="F820" s="6" t="n">
        <x:v>0</x:v>
      </x:c>
      <x:c r="G820" s="6" t="n">
        <x:v>1</x:v>
      </x:c>
      <x:c r="H820" s="9" t="str">
        <x:v>29-03-2014</x:v>
      </x:c>
      <x:c r="I820" s="6" t="n">
        <x:v>54</x:v>
      </x:c>
      <x:c r="J820" s="6" t="n">
        <x:v>642</x:v>
      </x:c>
      <x:c r="K820" s="6" t="n">
        <x:v>14</x:v>
      </x:c>
      <x:c r="L820" s="6" t="n">
        <x:v>49</x:v>
      </x:c>
      <x:c r="M820" s="6" t="n">
        <x:v>0</x:v>
      </x:c>
      <x:c r="N820" s="6" t="n">
        <x:v>7</x:v>
      </x:c>
      <x:c r="O820" s="6" t="n">
        <x:v>57</x:v>
      </x:c>
      <x:c r="P820" s="6" t="n">
        <x:v>1</x:v>
      </x:c>
      <x:c r="Q820" s="6" t="n">
        <x:v>9</x:v>
      </x:c>
      <x:c r="R820" s="6" t="n">
        <x:v>2</x:v>
      </x:c>
      <x:c r="S820" s="6" t="n">
        <x:v>9</x:v>
      </x:c>
      <x:c r="T820" s="6" t="n">
        <x:v>5</x:v>
      </x:c>
      <x:c r="U820" s="6" t="n">
        <x:v>0</x:v>
      </x:c>
      <x:c r="V820" s="6" t="n">
        <x:v>0</x:v>
      </x:c>
      <x:c r="W820" s="6" t="n">
        <x:v>0</x:v>
      </x:c>
      <x:c r="X820" s="6" t="n">
        <x:v>0</x:v>
      </x:c>
      <x:c r="Y820" s="6" t="n">
        <x:v>0</x:v>
      </x:c>
      <x:c r="Z820" s="6" t="n">
        <x:v>0</x:v>
      </x:c>
      <x:c r="AA820" s="6" t="n">
        <x:v>3</x:v>
      </x:c>
      <x:c r="AB820" s="6" t="n">
        <x:v>11</x:v>
      </x:c>
      <x:c r="AC820" s="6" t="n">
        <x:v>0</x:v>
      </x:c>
    </x:row>
    <x:row r="821">
      <x:c r="A821" s="6" t="n">
        <x:v>7034</x:v>
      </x:c>
      <x:c r="B821" s="6" t="n">
        <x:v>1978</x:v>
      </x:c>
      <x:c r="C821" s="6" t="str">
        <x:v>2n Cycle</x:v>
      </x:c>
      <x:c r="D821" s="6" t="str">
        <x:v>Married</x:v>
      </x:c>
      <x:c r="E821" s="6" t="n">
        <x:v>25804</x:v>
      </x:c>
      <x:c r="F821" s="6" t="n">
        <x:v>1</x:v>
      </x:c>
      <x:c r="G821" s="6" t="n">
        <x:v>0</x:v>
      </x:c>
      <x:c r="H821" s="9" t="str">
        <x:v>01-09-2013</x:v>
      </x:c>
      <x:c r="I821" s="6" t="n">
        <x:v>34</x:v>
      </x:c>
      <x:c r="J821" s="6" t="n">
        <x:v>8</x:v>
      </x:c>
      <x:c r="K821" s="6" t="n">
        <x:v>7</x:v>
      </x:c>
      <x:c r="L821" s="6" t="n">
        <x:v>9</x:v>
      </x:c>
      <x:c r="M821" s="6" t="n">
        <x:v>13</x:v>
      </x:c>
      <x:c r="N821" s="6" t="n">
        <x:v>6</x:v>
      </x:c>
      <x:c r="O821" s="6" t="n">
        <x:v>12</x:v>
      </x:c>
      <x:c r="P821" s="6" t="n">
        <x:v>2</x:v>
      </x:c>
      <x:c r="Q821" s="6" t="n">
        <x:v>2</x:v>
      </x:c>
      <x:c r="R821" s="6" t="n">
        <x:v>0</x:v>
      </x:c>
      <x:c r="S821" s="6" t="n">
        <x:v>3</x:v>
      </x:c>
      <x:c r="T821" s="6" t="n">
        <x:v>8</x:v>
      </x:c>
      <x:c r="U821" s="6" t="n">
        <x:v>0</x:v>
      </x:c>
      <x:c r="V821" s="6" t="n">
        <x:v>0</x:v>
      </x:c>
      <x:c r="W821" s="6" t="n">
        <x:v>0</x:v>
      </x:c>
      <x:c r="X821" s="6" t="n">
        <x:v>0</x:v>
      </x:c>
      <x:c r="Y821" s="6" t="n">
        <x:v>0</x:v>
      </x:c>
      <x:c r="Z821" s="6" t="n">
        <x:v>0</x:v>
      </x:c>
      <x:c r="AA821" s="6" t="n">
        <x:v>3</x:v>
      </x:c>
      <x:c r="AB821" s="6" t="n">
        <x:v>11</x:v>
      </x:c>
      <x:c r="AC821" s="6" t="n">
        <x:v>0</x:v>
      </x:c>
    </x:row>
    <x:row r="822">
      <x:c r="A822" s="6" t="n">
        <x:v>9493</x:v>
      </x:c>
      <x:c r="B822" s="6" t="n">
        <x:v>1980</x:v>
      </x:c>
      <x:c r="C822" s="6" t="str">
        <x:v>PhD</x:v>
      </x:c>
      <x:c r="D822" s="6" t="str">
        <x:v>Single</x:v>
      </x:c>
      <x:c r="E822" s="6" t="n">
        <x:v>76412</x:v>
      </x:c>
      <x:c r="F822" s="6" t="n">
        <x:v>0</x:v>
      </x:c>
      <x:c r="G822" s="6" t="n">
        <x:v>0</x:v>
      </x:c>
      <x:c r="H822" s="9" t="str">
        <x:v>05-05-2013</x:v>
      </x:c>
      <x:c r="I822" s="6" t="n">
        <x:v>15</x:v>
      </x:c>
      <x:c r="J822" s="6" t="n">
        <x:v>840</x:v>
      </x:c>
      <x:c r="K822" s="6" t="n">
        <x:v>53</x:v>
      </x:c>
      <x:c r="L822" s="6" t="n">
        <x:v>804</x:v>
      </x:c>
      <x:c r="M822" s="6" t="n">
        <x:v>23</x:v>
      </x:c>
      <x:c r="N822" s="6" t="n">
        <x:v>71</x:v>
      </x:c>
      <x:c r="O822" s="6" t="n">
        <x:v>17</x:v>
      </x:c>
      <x:c r="P822" s="6" t="n">
        <x:v>1</x:v>
      </x:c>
      <x:c r="Q822" s="6" t="n">
        <x:v>5</x:v>
      </x:c>
      <x:c r="R822" s="6" t="n">
        <x:v>4</x:v>
      </x:c>
      <x:c r="S822" s="6" t="n">
        <x:v>8</x:v>
      </x:c>
      <x:c r="T822" s="6" t="n">
        <x:v>3</x:v>
      </x:c>
      <x:c r="U822" s="6" t="n">
        <x:v>0</x:v>
      </x:c>
      <x:c r="V822" s="6" t="n">
        <x:v>0</x:v>
      </x:c>
      <x:c r="W822" s="6" t="n">
        <x:v>1</x:v>
      </x:c>
      <x:c r="X822" s="6" t="n">
        <x:v>1</x:v>
      </x:c>
      <x:c r="Y822" s="6" t="n">
        <x:v>0</x:v>
      </x:c>
      <x:c r="Z822" s="6" t="n">
        <x:v>0</x:v>
      </x:c>
      <x:c r="AA822" s="6" t="n">
        <x:v>3</x:v>
      </x:c>
      <x:c r="AB822" s="6" t="n">
        <x:v>11</x:v>
      </x:c>
      <x:c r="AC822" s="6" t="n">
        <x:v>1</x:v>
      </x:c>
    </x:row>
    <x:row r="823">
      <x:c r="A823" s="6" t="n">
        <x:v>1143</x:v>
      </x:c>
      <x:c r="B823" s="6" t="n">
        <x:v>1972</x:v>
      </x:c>
      <x:c r="C823" s="6" t="str">
        <x:v>Graduation</x:v>
      </x:c>
      <x:c r="D823" s="6" t="str">
        <x:v>Married</x:v>
      </x:c>
      <x:c r="E823" s="6" t="n">
        <x:v>22063</x:v>
      </x:c>
      <x:c r="F823" s="6" t="n">
        <x:v>1</x:v>
      </x:c>
      <x:c r="G823" s="6" t="n">
        <x:v>0</x:v>
      </x:c>
      <x:c r="H823" s="9" t="str">
        <x:v>08-08-2013</x:v>
      </x:c>
      <x:c r="I823" s="6" t="n">
        <x:v>43</x:v>
      </x:c>
      <x:c r="J823" s="6" t="n">
        <x:v>7</x:v>
      </x:c>
      <x:c r="K823" s="6" t="n">
        <x:v>10</x:v>
      </x:c>
      <x:c r="L823" s="6" t="n">
        <x:v>13</x:v>
      </x:c>
      <x:c r="M823" s="6" t="n">
        <x:v>3</x:v>
      </x:c>
      <x:c r="N823" s="6" t="n">
        <x:v>11</x:v>
      </x:c>
      <x:c r="O823" s="6" t="n">
        <x:v>11</x:v>
      </x:c>
      <x:c r="P823" s="6" t="n">
        <x:v>2</x:v>
      </x:c>
      <x:c r="Q823" s="6" t="n">
        <x:v>2</x:v>
      </x:c>
      <x:c r="R823" s="6" t="n">
        <x:v>0</x:v>
      </x:c>
      <x:c r="S823" s="6" t="n">
        <x:v>3</x:v>
      </x:c>
      <x:c r="T823" s="6" t="n">
        <x:v>7</x:v>
      </x:c>
      <x:c r="U823" s="6" t="n">
        <x:v>0</x:v>
      </x:c>
      <x:c r="V823" s="6" t="n">
        <x:v>0</x:v>
      </x:c>
      <x:c r="W823" s="6" t="n">
        <x:v>0</x:v>
      </x:c>
      <x:c r="X823" s="6" t="n">
        <x:v>0</x:v>
      </x:c>
      <x:c r="Y823" s="6" t="n">
        <x:v>0</x:v>
      </x:c>
      <x:c r="Z823" s="6" t="n">
        <x:v>0</x:v>
      </x:c>
      <x:c r="AA823" s="6" t="n">
        <x:v>3</x:v>
      </x:c>
      <x:c r="AB823" s="6" t="n">
        <x:v>11</x:v>
      </x:c>
      <x:c r="AC823" s="6" t="n">
        <x:v>0</x:v>
      </x:c>
    </x:row>
    <x:row r="824">
      <x:c r="A824" s="6" t="n">
        <x:v>1</x:v>
      </x:c>
      <x:c r="B824" s="6" t="n">
        <x:v>1961</x:v>
      </x:c>
      <x:c r="C824" s="6" t="str">
        <x:v>Graduation</x:v>
      </x:c>
      <x:c r="D824" s="6" t="str">
        <x:v>Single</x:v>
      </x:c>
      <x:c r="E824" s="6" t="n">
        <x:v>57091</x:v>
      </x:c>
      <x:c r="F824" s="6" t="n">
        <x:v>0</x:v>
      </x:c>
      <x:c r="G824" s="6" t="n">
        <x:v>0</x:v>
      </x:c>
      <x:c r="H824" s="9" t="str">
        <x:v>15-06-2014</x:v>
      </x:c>
      <x:c r="I824" s="6" t="n">
        <x:v>0</x:v>
      </x:c>
      <x:c r="J824" s="6" t="n">
        <x:v>464</x:v>
      </x:c>
      <x:c r="K824" s="6" t="n">
        <x:v>5</x:v>
      </x:c>
      <x:c r="L824" s="6" t="n">
        <x:v>64</x:v>
      </x:c>
      <x:c r="M824" s="6" t="n">
        <x:v>7</x:v>
      </x:c>
      <x:c r="N824" s="6" t="n">
        <x:v>0</x:v>
      </x:c>
      <x:c r="O824" s="6" t="n">
        <x:v>37</x:v>
      </x:c>
      <x:c r="P824" s="6" t="n">
        <x:v>1</x:v>
      </x:c>
      <x:c r="Q824" s="6" t="n">
        <x:v>7</x:v>
      </x:c>
      <x:c r="R824" s="6" t="n">
        <x:v>3</x:v>
      </x:c>
      <x:c r="S824" s="6" t="n">
        <x:v>7</x:v>
      </x:c>
      <x:c r="T824" s="6" t="n">
        <x:v>5</x:v>
      </x:c>
      <x:c r="U824" s="6" t="n">
        <x:v>0</x:v>
      </x:c>
      <x:c r="V824" s="6" t="n">
        <x:v>0</x:v>
      </x:c>
      <x:c r="W824" s="6" t="n">
        <x:v>0</x:v>
      </x:c>
      <x:c r="X824" s="6" t="n">
        <x:v>0</x:v>
      </x:c>
      <x:c r="Y824" s="6" t="n">
        <x:v>1</x:v>
      </x:c>
      <x:c r="Z824" s="6" t="n">
        <x:v>0</x:v>
      </x:c>
      <x:c r="AA824" s="6" t="n">
        <x:v>3</x:v>
      </x:c>
      <x:c r="AB824" s="6" t="n">
        <x:v>11</x:v>
      </x:c>
      <x:c r="AC824" s="6" t="n">
        <x:v>1</x:v>
      </x:c>
    </x:row>
    <x:row r="825">
      <x:c r="A825" s="6" t="n">
        <x:v>3855</x:v>
      </x:c>
      <x:c r="B825" s="6" t="n">
        <x:v>1963</x:v>
      </x:c>
      <x:c r="C825" s="6" t="str">
        <x:v>Graduation</x:v>
      </x:c>
      <x:c r="D825" s="6" t="str">
        <x:v>Married</x:v>
      </x:c>
      <x:c r="E825" s="6" t="n">
        <x:v>22419</x:v>
      </x:c>
      <x:c r="F825" s="6" t="n">
        <x:v>0</x:v>
      </x:c>
      <x:c r="G825" s="6" t="n">
        <x:v>0</x:v>
      </x:c>
      <x:c r="H825" s="9" t="str">
        <x:v>18-04-2013</x:v>
      </x:c>
      <x:c r="I825" s="6" t="n">
        <x:v>74</x:v>
      </x:c>
      <x:c r="J825" s="6" t="n">
        <x:v>30</x:v>
      </x:c>
      <x:c r="K825" s="6" t="n">
        <x:v>3</x:v>
      </x:c>
      <x:c r="L825" s="6" t="n">
        <x:v>47</x:v>
      </x:c>
      <x:c r="M825" s="6" t="n">
        <x:v>19</x:v>
      </x:c>
      <x:c r="N825" s="6" t="n">
        <x:v>21</x:v>
      </x:c>
      <x:c r="O825" s="6" t="n">
        <x:v>42</x:v>
      </x:c>
      <x:c r="P825" s="6" t="n">
        <x:v>1</x:v>
      </x:c>
      <x:c r="Q825" s="6" t="n">
        <x:v>3</x:v>
      </x:c>
      <x:c r="R825" s="6" t="n">
        <x:v>2</x:v>
      </x:c>
      <x:c r="S825" s="6" t="n">
        <x:v>2</x:v>
      </x:c>
      <x:c r="T825" s="6" t="n">
        <x:v>8</x:v>
      </x:c>
      <x:c r="U825" s="6" t="n">
        <x:v>0</x:v>
      </x:c>
      <x:c r="V825" s="6" t="n">
        <x:v>0</x:v>
      </x:c>
      <x:c r="W825" s="6" t="n">
        <x:v>0</x:v>
      </x:c>
      <x:c r="X825" s="6" t="n">
        <x:v>0</x:v>
      </x:c>
      <x:c r="Y825" s="6" t="n">
        <x:v>0</x:v>
      </x:c>
      <x:c r="Z825" s="6" t="n">
        <x:v>0</x:v>
      </x:c>
      <x:c r="AA825" s="6" t="n">
        <x:v>3</x:v>
      </x:c>
      <x:c r="AB825" s="6" t="n">
        <x:v>11</x:v>
      </x:c>
      <x:c r="AC825" s="6" t="n">
        <x:v>0</x:v>
      </x:c>
    </x:row>
    <x:row r="826">
      <x:c r="A826" s="6" t="n">
        <x:v>5536</x:v>
      </x:c>
      <x:c r="B826" s="6" t="n">
        <x:v>1959</x:v>
      </x:c>
      <x:c r="C826" s="6" t="str">
        <x:v>Graduation</x:v>
      </x:c>
      <x:c r="D826" s="6" t="str">
        <x:v>Together</x:v>
      </x:c>
      <x:c r="E826" s="6" t="n">
        <x:v>87771</x:v>
      </x:c>
      <x:c r="F826" s="6" t="n">
        <x:v>0</x:v>
      </x:c>
      <x:c r="G826" s="6" t="n">
        <x:v>1</x:v>
      </x:c>
      <x:c r="H826" s="9" t="str">
        <x:v>22-05-2013</x:v>
      </x:c>
      <x:c r="I826" s="6" t="n">
        <x:v>61</x:v>
      </x:c>
      <x:c r="J826" s="6" t="n">
        <x:v>1492</x:v>
      </x:c>
      <x:c r="K826" s="6" t="n">
        <x:v>38</x:v>
      </x:c>
      <x:c r="L826" s="6" t="n">
        <x:v>287</x:v>
      </x:c>
      <x:c r="M826" s="6" t="n">
        <x:v>50</x:v>
      </x:c>
      <x:c r="N826" s="6" t="n">
        <x:v>57</x:v>
      </x:c>
      <x:c r="O826" s="6" t="n">
        <x:v>33</x:v>
      </x:c>
      <x:c r="P826" s="6" t="n">
        <x:v>1</x:v>
      </x:c>
      <x:c r="Q826" s="6" t="n">
        <x:v>5</x:v>
      </x:c>
      <x:c r="R826" s="6" t="n">
        <x:v>10</x:v>
      </x:c>
      <x:c r="S826" s="6" t="n">
        <x:v>4</x:v>
      </x:c>
      <x:c r="T826" s="6" t="n">
        <x:v>6</x:v>
      </x:c>
      <x:c r="U826" s="6" t="n">
        <x:v>0</x:v>
      </x:c>
      <x:c r="V826" s="6" t="n">
        <x:v>1</x:v>
      </x:c>
      <x:c r="W826" s="6" t="n">
        <x:v>1</x:v>
      </x:c>
      <x:c r="X826" s="6" t="n">
        <x:v>1</x:v>
      </x:c>
      <x:c r="Y826" s="6" t="n">
        <x:v>1</x:v>
      </x:c>
      <x:c r="Z826" s="6" t="n">
        <x:v>0</x:v>
      </x:c>
      <x:c r="AA826" s="6" t="n">
        <x:v>3</x:v>
      </x:c>
      <x:c r="AB826" s="6" t="n">
        <x:v>11</x:v>
      </x:c>
      <x:c r="AC826" s="6" t="n">
        <x:v>1</x:v>
      </x:c>
    </x:row>
    <x:row r="827">
      <x:c r="A827" s="6" t="n">
        <x:v>5989</x:v>
      </x:c>
      <x:c r="B827" s="6" t="n">
        <x:v>1959</x:v>
      </x:c>
      <x:c r="C827" s="6" t="str">
        <x:v>2n Cycle</x:v>
      </x:c>
      <x:c r="D827" s="6" t="str">
        <x:v>Divorced</x:v>
      </x:c>
      <x:c r="E827" s="6" t="n">
        <x:v>78353</x:v>
      </x:c>
      <x:c r="F827" s="6" t="n">
        <x:v>0</x:v>
      </x:c>
      <x:c r="G827" s="6" t="n">
        <x:v>1</x:v>
      </x:c>
      <x:c r="H827" s="9" t="str">
        <x:v>16-04-2013</x:v>
      </x:c>
      <x:c r="I827" s="6" t="n">
        <x:v>51</x:v>
      </x:c>
      <x:c r="J827" s="6" t="n">
        <x:v>752</x:v>
      </x:c>
      <x:c r="K827" s="6" t="n">
        <x:v>122</x:v>
      </x:c>
      <x:c r="L827" s="6" t="n">
        <x:v>476</x:v>
      </x:c>
      <x:c r="M827" s="6" t="n">
        <x:v>39</x:v>
      </x:c>
      <x:c r="N827" s="6" t="n">
        <x:v>153</x:v>
      </x:c>
      <x:c r="O827" s="6" t="n">
        <x:v>34</x:v>
      </x:c>
      <x:c r="P827" s="6" t="n">
        <x:v>1</x:v>
      </x:c>
      <x:c r="Q827" s="6" t="n">
        <x:v>10</x:v>
      </x:c>
      <x:c r="R827" s="6" t="n">
        <x:v>2</x:v>
      </x:c>
      <x:c r="S827" s="6" t="n">
        <x:v>11</x:v>
      </x:c>
      <x:c r="T827" s="6" t="n">
        <x:v>8</x:v>
      </x:c>
      <x:c r="U827" s="6" t="n">
        <x:v>0</x:v>
      </x:c>
      <x:c r="V827" s="6" t="n">
        <x:v>0</x:v>
      </x:c>
      <x:c r="W827" s="6" t="n">
        <x:v>0</x:v>
      </x:c>
      <x:c r="X827" s="6" t="n">
        <x:v>0</x:v>
      </x:c>
      <x:c r="Y827" s="6" t="n">
        <x:v>0</x:v>
      </x:c>
      <x:c r="Z827" s="6" t="n">
        <x:v>0</x:v>
      </x:c>
      <x:c r="AA827" s="6" t="n">
        <x:v>3</x:v>
      </x:c>
      <x:c r="AB827" s="6" t="n">
        <x:v>11</x:v>
      </x:c>
      <x:c r="AC827" s="6" t="n">
        <x:v>0</x:v>
      </x:c>
    </x:row>
    <x:row r="828">
      <x:c r="A828" s="6" t="n">
        <x:v>9499</x:v>
      </x:c>
      <x:c r="B828" s="6" t="n">
        <x:v>1954</x:v>
      </x:c>
      <x:c r="C828" s="6" t="str">
        <x:v>Graduation</x:v>
      </x:c>
      <x:c r="D828" s="6" t="str">
        <x:v>Married</x:v>
      </x:c>
      <x:c r="E828" s="6" t="n">
        <x:v>93404</x:v>
      </x:c>
      <x:c r="F828" s="6" t="n">
        <x:v>1</x:v>
      </x:c>
      <x:c r="G828" s="6" t="n">
        <x:v>2</x:v>
      </x:c>
      <x:c r="H828" s="9" t="str">
        <x:v>07-05-2013</x:v>
      </x:c>
      <x:c r="I828" s="6" t="n">
        <x:v>97</x:v>
      </x:c>
      <x:c r="J828" s="6" t="n">
        <x:v>1279</x:v>
      </x:c>
      <x:c r="K828" s="6" t="n">
        <x:v>15</x:v>
      </x:c>
      <x:c r="L828" s="6" t="n">
        <x:v>287</x:v>
      </x:c>
      <x:c r="M828" s="6" t="n">
        <x:v>20</x:v>
      </x:c>
      <x:c r="N828" s="6" t="n">
        <x:v>0</x:v>
      </x:c>
      <x:c r="O828" s="6" t="n">
        <x:v>15</x:v>
      </x:c>
      <x:c r="P828" s="6" t="n">
        <x:v>3</x:v>
      </x:c>
      <x:c r="Q828" s="6" t="n">
        <x:v>3</x:v>
      </x:c>
      <x:c r="R828" s="6" t="n">
        <x:v>4</x:v>
      </x:c>
      <x:c r="S828" s="6" t="n">
        <x:v>7</x:v>
      </x:c>
      <x:c r="T828" s="6" t="n">
        <x:v>5</x:v>
      </x:c>
      <x:c r="U828" s="6" t="n">
        <x:v>0</x:v>
      </x:c>
      <x:c r="V828" s="6" t="n">
        <x:v>1</x:v>
      </x:c>
      <x:c r="W828" s="6" t="n">
        <x:v>1</x:v>
      </x:c>
      <x:c r="X828" s="6" t="n">
        <x:v>0</x:v>
      </x:c>
      <x:c r="Y828" s="6" t="n">
        <x:v>0</x:v>
      </x:c>
      <x:c r="Z828" s="6" t="n">
        <x:v>0</x:v>
      </x:c>
      <x:c r="AA828" s="6" t="n">
        <x:v>3</x:v>
      </x:c>
      <x:c r="AB828" s="6" t="n">
        <x:v>11</x:v>
      </x:c>
      <x:c r="AC828" s="6" t="n">
        <x:v>0</x:v>
      </x:c>
    </x:row>
    <x:row r="829">
      <x:c r="A829" s="6" t="n">
        <x:v>6768</x:v>
      </x:c>
      <x:c r="B829" s="6" t="n">
        <x:v>1962</x:v>
      </x:c>
      <x:c r="C829" s="6" t="str">
        <x:v>Graduation</x:v>
      </x:c>
      <x:c r="D829" s="6" t="str">
        <x:v>Divorced</x:v>
      </x:c>
      <x:c r="E829" s="6" t="n">
        <x:v>37859</x:v>
      </x:c>
      <x:c r="F829" s="6" t="n">
        <x:v>1</x:v>
      </x:c>
      <x:c r="G829" s="6" t="n">
        <x:v>2</x:v>
      </x:c>
      <x:c r="H829" s="9" t="str">
        <x:v>12-01-2013</x:v>
      </x:c>
      <x:c r="I829" s="6" t="n">
        <x:v>75</x:v>
      </x:c>
      <x:c r="J829" s="6" t="n">
        <x:v>22</x:v>
      </x:c>
      <x:c r="K829" s="6" t="n">
        <x:v>1</x:v>
      </x:c>
      <x:c r="L829" s="6" t="n">
        <x:v>8</x:v>
      </x:c>
      <x:c r="M829" s="6" t="n">
        <x:v>2</x:v>
      </x:c>
      <x:c r="N829" s="6" t="n">
        <x:v>1</x:v>
      </x:c>
      <x:c r="O829" s="6" t="n">
        <x:v>2</x:v>
      </x:c>
      <x:c r="P829" s="6" t="n">
        <x:v>2</x:v>
      </x:c>
      <x:c r="Q829" s="6" t="n">
        <x:v>1</x:v>
      </x:c>
      <x:c r="R829" s="6" t="n">
        <x:v>0</x:v>
      </x:c>
      <x:c r="S829" s="6" t="n">
        <x:v>3</x:v>
      </x:c>
      <x:c r="T829" s="6" t="n">
        <x:v>8</x:v>
      </x:c>
      <x:c r="U829" s="6" t="n">
        <x:v>0</x:v>
      </x:c>
      <x:c r="V829" s="6" t="n">
        <x:v>0</x:v>
      </x:c>
      <x:c r="W829" s="6" t="n">
        <x:v>0</x:v>
      </x:c>
      <x:c r="X829" s="6" t="n">
        <x:v>0</x:v>
      </x:c>
      <x:c r="Y829" s="6" t="n">
        <x:v>0</x:v>
      </x:c>
      <x:c r="Z829" s="6" t="n">
        <x:v>0</x:v>
      </x:c>
      <x:c r="AA829" s="6" t="n">
        <x:v>3</x:v>
      </x:c>
      <x:c r="AB829" s="6" t="n">
        <x:v>11</x:v>
      </x:c>
      <x:c r="AC829" s="6" t="n">
        <x:v>0</x:v>
      </x:c>
    </x:row>
    <x:row r="830">
      <x:c r="A830" s="6" t="n">
        <x:v>2150</x:v>
      </x:c>
      <x:c r="B830" s="6" t="n">
        <x:v>1958</x:v>
      </x:c>
      <x:c r="C830" s="6" t="str">
        <x:v>PhD</x:v>
      </x:c>
      <x:c r="D830" s="6" t="str">
        <x:v>Widow</x:v>
      </x:c>
      <x:c r="E830" s="6" t="n">
        <x:v>80995</x:v>
      </x:c>
      <x:c r="F830" s="6" t="n">
        <x:v>0</x:v>
      </x:c>
      <x:c r="G830" s="6" t="n">
        <x:v>1</x:v>
      </x:c>
      <x:c r="H830" s="9" t="str">
        <x:v>11-05-2013</x:v>
      </x:c>
      <x:c r="I830" s="6" t="n">
        <x:v>83</x:v>
      </x:c>
      <x:c r="J830" s="6" t="n">
        <x:v>860</x:v>
      </x:c>
      <x:c r="K830" s="6" t="n">
        <x:v>28</x:v>
      </x:c>
      <x:c r="L830" s="6" t="n">
        <x:v>409</x:v>
      </x:c>
      <x:c r="M830" s="6" t="n">
        <x:v>73</x:v>
      </x:c>
      <x:c r="N830" s="6" t="n">
        <x:v>56</x:v>
      </x:c>
      <x:c r="O830" s="6" t="n">
        <x:v>56</x:v>
      </x:c>
      <x:c r="P830" s="6" t="n">
        <x:v>1</x:v>
      </x:c>
      <x:c r="Q830" s="6" t="n">
        <x:v>8</x:v>
      </x:c>
      <x:c r="R830" s="6" t="n">
        <x:v>9</x:v>
      </x:c>
      <x:c r="S830" s="6" t="n">
        <x:v>4</x:v>
      </x:c>
      <x:c r="T830" s="6" t="n">
        <x:v>4</x:v>
      </x:c>
      <x:c r="U830" s="6" t="n">
        <x:v>0</x:v>
      </x:c>
      <x:c r="V830" s="6" t="n">
        <x:v>0</x:v>
      </x:c>
      <x:c r="W830" s="6" t="n">
        <x:v>0</x:v>
      </x:c>
      <x:c r="X830" s="6" t="n">
        <x:v>0</x:v>
      </x:c>
      <x:c r="Y830" s="6" t="n">
        <x:v>0</x:v>
      </x:c>
      <x:c r="Z830" s="6" t="n">
        <x:v>0</x:v>
      </x:c>
      <x:c r="AA830" s="6" t="n">
        <x:v>3</x:v>
      </x:c>
      <x:c r="AB830" s="6" t="n">
        <x:v>11</x:v>
      </x:c>
      <x:c r="AC830" s="6" t="n">
        <x:v>0</x:v>
      </x:c>
    </x:row>
    <x:row r="831">
      <x:c r="A831" s="6" t="n">
        <x:v>6646</x:v>
      </x:c>
      <x:c r="B831" s="6" t="n">
        <x:v>1984</x:v>
      </x:c>
      <x:c r="C831" s="6" t="str">
        <x:v>Graduation</x:v>
      </x:c>
      <x:c r="D831" s="6" t="str">
        <x:v>Together</x:v>
      </x:c>
      <x:c r="E831" s="6" t="n">
        <x:v>16529</x:v>
      </x:c>
      <x:c r="F831" s="6" t="n">
        <x:v>1</x:v>
      </x:c>
      <x:c r="G831" s="6" t="n">
        <x:v>0</x:v>
      </x:c>
      <x:c r="H831" s="9" t="str">
        <x:v>01-03-2014</x:v>
      </x:c>
      <x:c r="I831" s="6" t="n">
        <x:v>23</x:v>
      </x:c>
      <x:c r="J831" s="6" t="n">
        <x:v>3</x:v>
      </x:c>
      <x:c r="K831" s="6" t="n">
        <x:v>0</x:v>
      </x:c>
      <x:c r="L831" s="6" t="n">
        <x:v>5</x:v>
      </x:c>
      <x:c r="M831" s="6" t="n">
        <x:v>13</x:v>
      </x:c>
      <x:c r="N831" s="6" t="n">
        <x:v>0</x:v>
      </x:c>
      <x:c r="O831" s="6" t="n">
        <x:v>1</x:v>
      </x:c>
      <x:c r="P831" s="6" t="n">
        <x:v>1</x:v>
      </x:c>
      <x:c r="Q831" s="6" t="n">
        <x:v>1</x:v>
      </x:c>
      <x:c r="R831" s="6" t="n">
        <x:v>0</x:v>
      </x:c>
      <x:c r="S831" s="6" t="n">
        <x:v>3</x:v>
      </x:c>
      <x:c r="T831" s="6" t="n">
        <x:v>6</x:v>
      </x:c>
      <x:c r="U831" s="6" t="n">
        <x:v>0</x:v>
      </x:c>
      <x:c r="V831" s="6" t="n">
        <x:v>0</x:v>
      </x:c>
      <x:c r="W831" s="6" t="n">
        <x:v>0</x:v>
      </x:c>
      <x:c r="X831" s="6" t="n">
        <x:v>0</x:v>
      </x:c>
      <x:c r="Y831" s="6" t="n">
        <x:v>0</x:v>
      </x:c>
      <x:c r="Z831" s="6" t="n">
        <x:v>0</x:v>
      </x:c>
      <x:c r="AA831" s="6" t="n">
        <x:v>3</x:v>
      </x:c>
      <x:c r="AB831" s="6" t="n">
        <x:v>11</x:v>
      </x:c>
      <x:c r="AC831" s="6" t="n">
        <x:v>0</x:v>
      </x:c>
    </x:row>
    <x:row r="832">
      <x:c r="A832" s="6" t="n">
        <x:v>4887</x:v>
      </x:c>
      <x:c r="B832" s="6" t="n">
        <x:v>1976</x:v>
      </x:c>
      <x:c r="C832" s="6" t="str">
        <x:v>PhD</x:v>
      </x:c>
      <x:c r="D832" s="6" t="str">
        <x:v>Divorced</x:v>
      </x:c>
      <x:c r="E832" s="6" t="n">
        <x:v>55412</x:v>
      </x:c>
      <x:c r="F832" s="6" t="n">
        <x:v>1</x:v>
      </x:c>
      <x:c r="G832" s="6" t="n">
        <x:v>1</x:v>
      </x:c>
      <x:c r="H832" s="9" t="str">
        <x:v>22-11-2013</x:v>
      </x:c>
      <x:c r="I832" s="6" t="n">
        <x:v>65</x:v>
      </x:c>
      <x:c r="J832" s="6" t="n">
        <x:v>10</x:v>
      </x:c>
      <x:c r="K832" s="6" t="n">
        <x:v>5</x:v>
      </x:c>
      <x:c r="L832" s="6" t="n">
        <x:v>28</x:v>
      </x:c>
      <x:c r="M832" s="6" t="n">
        <x:v>11</x:v>
      </x:c>
      <x:c r="N832" s="6" t="n">
        <x:v>1</x:v>
      </x:c>
      <x:c r="O832" s="6" t="n">
        <x:v>8</x:v>
      </x:c>
      <x:c r="P832" s="6" t="n">
        <x:v>1</x:v>
      </x:c>
      <x:c r="Q832" s="6" t="n">
        <x:v>2</x:v>
      </x:c>
      <x:c r="R832" s="6" t="n">
        <x:v>0</x:v>
      </x:c>
      <x:c r="S832" s="6" t="n">
        <x:v>3</x:v>
      </x:c>
      <x:c r="T832" s="6" t="n">
        <x:v>5</x:v>
      </x:c>
      <x:c r="U832" s="6" t="n">
        <x:v>0</x:v>
      </x:c>
      <x:c r="V832" s="6" t="n">
        <x:v>0</x:v>
      </x:c>
      <x:c r="W832" s="6" t="n">
        <x:v>0</x:v>
      </x:c>
      <x:c r="X832" s="6" t="n">
        <x:v>0</x:v>
      </x:c>
      <x:c r="Y832" s="6" t="n">
        <x:v>0</x:v>
      </x:c>
      <x:c r="Z832" s="6" t="n">
        <x:v>0</x:v>
      </x:c>
      <x:c r="AA832" s="6" t="n">
        <x:v>3</x:v>
      </x:c>
      <x:c r="AB832" s="6" t="n">
        <x:v>11</x:v>
      </x:c>
      <x:c r="AC832" s="6" t="n">
        <x:v>0</x:v>
      </x:c>
    </x:row>
    <x:row r="833">
      <x:c r="A833" s="6" t="n">
        <x:v>8560</x:v>
      </x:c>
      <x:c r="B833" s="6" t="n">
        <x:v>1992</x:v>
      </x:c>
      <x:c r="C833" s="6" t="str">
        <x:v>Graduation</x:v>
      </x:c>
      <x:c r="D833" s="6" t="str">
        <x:v>Single</x:v>
      </x:c>
      <x:c r="E833" s="6" t="n">
        <x:v>48789</x:v>
      </x:c>
      <x:c r="F833" s="6" t="n">
        <x:v>0</x:v>
      </x:c>
      <x:c r="G833" s="6" t="n">
        <x:v>0</x:v>
      </x:c>
      <x:c r="H833" s="9" t="str">
        <x:v>10-09-2012</x:v>
      </x:c>
      <x:c r="I833" s="6" t="n">
        <x:v>94</x:v>
      </x:c>
      <x:c r="J833" s="6" t="n">
        <x:v>351</x:v>
      </x:c>
      <x:c r="K833" s="6" t="n">
        <x:v>16</x:v>
      </x:c>
      <x:c r="L833" s="6" t="n">
        <x:v>156</x:v>
      </x:c>
      <x:c r="M833" s="6" t="n">
        <x:v>7</x:v>
      </x:c>
      <x:c r="N833" s="6" t="n">
        <x:v>5</x:v>
      </x:c>
      <x:c r="O833" s="6" t="n">
        <x:v>145</x:v>
      </x:c>
      <x:c r="P833" s="6" t="n">
        <x:v>1</x:v>
      </x:c>
      <x:c r="Q833" s="6" t="n">
        <x:v>6</x:v>
      </x:c>
      <x:c r="R833" s="6" t="n">
        <x:v>4</x:v>
      </x:c>
      <x:c r="S833" s="6" t="n">
        <x:v>7</x:v>
      </x:c>
      <x:c r="T833" s="6" t="n">
        <x:v>6</x:v>
      </x:c>
      <x:c r="U833" s="6" t="n">
        <x:v>0</x:v>
      </x:c>
      <x:c r="V833" s="6" t="n">
        <x:v>0</x:v>
      </x:c>
      <x:c r="W833" s="6" t="n">
        <x:v>0</x:v>
      </x:c>
      <x:c r="X833" s="6" t="n">
        <x:v>0</x:v>
      </x:c>
      <x:c r="Y833" s="6" t="n">
        <x:v>0</x:v>
      </x:c>
      <x:c r="Z833" s="6" t="n">
        <x:v>0</x:v>
      </x:c>
      <x:c r="AA833" s="6" t="n">
        <x:v>3</x:v>
      </x:c>
      <x:c r="AB833" s="6" t="n">
        <x:v>11</x:v>
      </x:c>
      <x:c r="AC833" s="6" t="n">
        <x:v>0</x:v>
      </x:c>
    </x:row>
    <x:row r="834">
      <x:c r="A834" s="6" t="n">
        <x:v>3321</x:v>
      </x:c>
      <x:c r="B834" s="6" t="n">
        <x:v>1967</x:v>
      </x:c>
      <x:c r="C834" s="6" t="str">
        <x:v>PhD</x:v>
      </x:c>
      <x:c r="D834" s="6" t="str">
        <x:v>Together</x:v>
      </x:c>
      <x:c r="E834" s="6" t="n">
        <x:v>56575</x:v>
      </x:c>
      <x:c r="F834" s="6" t="n">
        <x:v>0</x:v>
      </x:c>
      <x:c r="G834" s="6" t="n">
        <x:v>2</x:v>
      </x:c>
      <x:c r="H834" s="9" t="str">
        <x:v>05-05-2013</x:v>
      </x:c>
      <x:c r="I834" s="6" t="n">
        <x:v>42</x:v>
      </x:c>
      <x:c r="J834" s="6" t="n">
        <x:v>421</x:v>
      </x:c>
      <x:c r="K834" s="6" t="n">
        <x:v>5</x:v>
      </x:c>
      <x:c r="L834" s="6" t="n">
        <x:v>90</x:v>
      </x:c>
      <x:c r="M834" s="6" t="n">
        <x:v>0</x:v>
      </x:c>
      <x:c r="N834" s="6" t="n">
        <x:v>16</x:v>
      </x:c>
      <x:c r="O834" s="6" t="n">
        <x:v>10</x:v>
      </x:c>
      <x:c r="P834" s="6" t="n">
        <x:v>3</x:v>
      </x:c>
      <x:c r="Q834" s="6" t="n">
        <x:v>7</x:v>
      </x:c>
      <x:c r="R834" s="6" t="n">
        <x:v>3</x:v>
      </x:c>
      <x:c r="S834" s="6" t="n">
        <x:v>7</x:v>
      </x:c>
      <x:c r="T834" s="6" t="n">
        <x:v>5</x:v>
      </x:c>
      <x:c r="U834" s="6" t="n">
        <x:v>0</x:v>
      </x:c>
      <x:c r="V834" s="6" t="n">
        <x:v>0</x:v>
      </x:c>
      <x:c r="W834" s="6" t="n">
        <x:v>0</x:v>
      </x:c>
      <x:c r="X834" s="6" t="n">
        <x:v>0</x:v>
      </x:c>
      <x:c r="Y834" s="6" t="n">
        <x:v>0</x:v>
      </x:c>
      <x:c r="Z834" s="6" t="n">
        <x:v>0</x:v>
      </x:c>
      <x:c r="AA834" s="6" t="n">
        <x:v>3</x:v>
      </x:c>
      <x:c r="AB834" s="6" t="n">
        <x:v>11</x:v>
      </x:c>
      <x:c r="AC834" s="6" t="n">
        <x:v>0</x:v>
      </x:c>
    </x:row>
    <x:row r="835">
      <x:c r="A835" s="6" t="n">
        <x:v>11003</x:v>
      </x:c>
      <x:c r="B835" s="6" t="n">
        <x:v>1980</x:v>
      </x:c>
      <x:c r="C835" s="6" t="str">
        <x:v>2n Cycle</x:v>
      </x:c>
      <x:c r="D835" s="6" t="str">
        <x:v>Together</x:v>
      </x:c>
      <x:c r="E835" s="6" t="n">
        <x:v>25130</x:v>
      </x:c>
      <x:c r="F835" s="6" t="n">
        <x:v>1</x:v>
      </x:c>
      <x:c r="G835" s="6" t="n">
        <x:v>0</x:v>
      </x:c>
      <x:c r="H835" s="9" t="str">
        <x:v>02-10-2013</x:v>
      </x:c>
      <x:c r="I835" s="6" t="n">
        <x:v>10</x:v>
      </x:c>
      <x:c r="J835" s="6" t="n">
        <x:v>2</x:v>
      </x:c>
      <x:c r="K835" s="6" t="n">
        <x:v>5</x:v>
      </x:c>
      <x:c r="L835" s="6" t="n">
        <x:v>7</x:v>
      </x:c>
      <x:c r="M835" s="6" t="n">
        <x:v>0</x:v>
      </x:c>
      <x:c r="N835" s="6" t="n">
        <x:v>18</x:v>
      </x:c>
      <x:c r="O835" s="6" t="n">
        <x:v>18</x:v>
      </x:c>
      <x:c r="P835" s="6" t="n">
        <x:v>2</x:v>
      </x:c>
      <x:c r="Q835" s="6" t="n">
        <x:v>2</x:v>
      </x:c>
      <x:c r="R835" s="6" t="n">
        <x:v>0</x:v>
      </x:c>
      <x:c r="S835" s="6" t="n">
        <x:v>3</x:v>
      </x:c>
      <x:c r="T835" s="6" t="n">
        <x:v>7</x:v>
      </x:c>
      <x:c r="U835" s="6" t="n">
        <x:v>0</x:v>
      </x:c>
      <x:c r="V835" s="6" t="n">
        <x:v>0</x:v>
      </x:c>
      <x:c r="W835" s="6" t="n">
        <x:v>0</x:v>
      </x:c>
      <x:c r="X835" s="6" t="n">
        <x:v>0</x:v>
      </x:c>
      <x:c r="Y835" s="6" t="n">
        <x:v>0</x:v>
      </x:c>
      <x:c r="Z835" s="6" t="n">
        <x:v>0</x:v>
      </x:c>
      <x:c r="AA835" s="6" t="n">
        <x:v>3</x:v>
      </x:c>
      <x:c r="AB835" s="6" t="n">
        <x:v>11</x:v>
      </x:c>
      <x:c r="AC835" s="6" t="n">
        <x:v>0</x:v>
      </x:c>
    </x:row>
    <x:row r="836">
      <x:c r="A836" s="6" t="n">
        <x:v>10402</x:v>
      </x:c>
      <x:c r="B836" s="6" t="n">
        <x:v>1967</x:v>
      </x:c>
      <x:c r="C836" s="6" t="str">
        <x:v>Graduation</x:v>
      </x:c>
      <x:c r="D836" s="6" t="str">
        <x:v>Married</x:v>
      </x:c>
      <x:c r="E836" s="6" t="n">
        <x:v>35441</x:v>
      </x:c>
      <x:c r="F836" s="6" t="n">
        <x:v>1</x:v>
      </x:c>
      <x:c r="G836" s="6" t="n">
        <x:v>1</x:v>
      </x:c>
      <x:c r="H836" s="9" t="str">
        <x:v>14-02-2013</x:v>
      </x:c>
      <x:c r="I836" s="6" t="n">
        <x:v>94</x:v>
      </x:c>
      <x:c r="J836" s="6" t="n">
        <x:v>25</x:v>
      </x:c>
      <x:c r="K836" s="6" t="n">
        <x:v>1</x:v>
      </x:c>
      <x:c r="L836" s="6" t="n">
        <x:v>9</x:v>
      </x:c>
      <x:c r="M836" s="6" t="n">
        <x:v>2</x:v>
      </x:c>
      <x:c r="N836" s="6" t="n">
        <x:v>1</x:v>
      </x:c>
      <x:c r="O836" s="6" t="n">
        <x:v>1</x:v>
      </x:c>
      <x:c r="P836" s="6" t="n">
        <x:v>2</x:v>
      </x:c>
      <x:c r="Q836" s="6" t="n">
        <x:v>1</x:v>
      </x:c>
      <x:c r="R836" s="6" t="n">
        <x:v>0</x:v>
      </x:c>
      <x:c r="S836" s="6" t="n">
        <x:v>3</x:v>
      </x:c>
      <x:c r="T836" s="6" t="n">
        <x:v>8</x:v>
      </x:c>
      <x:c r="U836" s="6" t="n">
        <x:v>0</x:v>
      </x:c>
      <x:c r="V836" s="6" t="n">
        <x:v>0</x:v>
      </x:c>
      <x:c r="W836" s="6" t="n">
        <x:v>0</x:v>
      </x:c>
      <x:c r="X836" s="6" t="n">
        <x:v>0</x:v>
      </x:c>
      <x:c r="Y836" s="6" t="n">
        <x:v>0</x:v>
      </x:c>
      <x:c r="Z836" s="6" t="n">
        <x:v>0</x:v>
      </x:c>
      <x:c r="AA836" s="6" t="n">
        <x:v>3</x:v>
      </x:c>
      <x:c r="AB836" s="6" t="n">
        <x:v>11</x:v>
      </x:c>
      <x:c r="AC836" s="6" t="n">
        <x:v>0</x:v>
      </x:c>
    </x:row>
    <x:row r="837">
      <x:c r="A837" s="6" t="n">
        <x:v>9904</x:v>
      </x:c>
      <x:c r="B837" s="6" t="n">
        <x:v>1956</x:v>
      </x:c>
      <x:c r="C837" s="6" t="str">
        <x:v>Graduation</x:v>
      </x:c>
      <x:c r="D837" s="6" t="str">
        <x:v>Married</x:v>
      </x:c>
      <x:c r="E837" s="6" t="n">
        <x:v>71391</x:v>
      </x:c>
      <x:c r="F837" s="6" t="n">
        <x:v>0</x:v>
      </x:c>
      <x:c r="G837" s="6" t="n">
        <x:v>1</x:v>
      </x:c>
      <x:c r="H837" s="9" t="str">
        <x:v>29-03-2013</x:v>
      </x:c>
      <x:c r="I837" s="6" t="n">
        <x:v>50</x:v>
      </x:c>
      <x:c r="J837" s="6" t="n">
        <x:v>336</x:v>
      </x:c>
      <x:c r="K837" s="6" t="n">
        <x:v>123</x:v>
      </x:c>
      <x:c r="L837" s="6" t="n">
        <x:v>274</x:v>
      </x:c>
      <x:c r="M837" s="6" t="n">
        <x:v>46</x:v>
      </x:c>
      <x:c r="N837" s="6" t="n">
        <x:v>123</x:v>
      </x:c>
      <x:c r="O837" s="6" t="n">
        <x:v>141</x:v>
      </x:c>
      <x:c r="P837" s="6" t="n">
        <x:v>5</x:v>
      </x:c>
      <x:c r="Q837" s="6" t="n">
        <x:v>6</x:v>
      </x:c>
      <x:c r="R837" s="6" t="n">
        <x:v>5</x:v>
      </x:c>
      <x:c r="S837" s="6" t="n">
        <x:v>12</x:v>
      </x:c>
      <x:c r="T837" s="6" t="n">
        <x:v>3</x:v>
      </x:c>
      <x:c r="U837" s="6" t="n">
        <x:v>0</x:v>
      </x:c>
      <x:c r="V837" s="6" t="n">
        <x:v>0</x:v>
      </x:c>
      <x:c r="W837" s="6" t="n">
        <x:v>0</x:v>
      </x:c>
      <x:c r="X837" s="6" t="n">
        <x:v>0</x:v>
      </x:c>
      <x:c r="Y837" s="6" t="n">
        <x:v>0</x:v>
      </x:c>
      <x:c r="Z837" s="6" t="n">
        <x:v>0</x:v>
      </x:c>
      <x:c r="AA837" s="6" t="n">
        <x:v>3</x:v>
      </x:c>
      <x:c r="AB837" s="6" t="n">
        <x:v>11</x:v>
      </x:c>
      <x:c r="AC837" s="6" t="n">
        <x:v>0</x:v>
      </x:c>
    </x:row>
    <x:row r="838">
      <x:c r="A838" s="6" t="n">
        <x:v>6141</x:v>
      </x:c>
      <x:c r="B838" s="6" t="n">
        <x:v>1972</x:v>
      </x:c>
      <x:c r="C838" s="6" t="str">
        <x:v>Master</x:v>
      </x:c>
      <x:c r="D838" s="6" t="str">
        <x:v>Single</x:v>
      </x:c>
      <x:c r="E838" s="6" t="n">
        <x:v>49494</x:v>
      </x:c>
      <x:c r="F838" s="6" t="n">
        <x:v>1</x:v>
      </x:c>
      <x:c r="G838" s="6" t="n">
        <x:v>0</x:v>
      </x:c>
      <x:c r="H838" s="9" t="str">
        <x:v>25-04-2013</x:v>
      </x:c>
      <x:c r="I838" s="6" t="n">
        <x:v>46</x:v>
      </x:c>
      <x:c r="J838" s="6" t="n">
        <x:v>191</x:v>
      </x:c>
      <x:c r="K838" s="6" t="n">
        <x:v>9</x:v>
      </x:c>
      <x:c r="L838" s="6" t="n">
        <x:v>97</x:v>
      </x:c>
      <x:c r="M838" s="6" t="n">
        <x:v>0</x:v>
      </x:c>
      <x:c r="N838" s="6" t="n">
        <x:v>6</x:v>
      </x:c>
      <x:c r="O838" s="6" t="n">
        <x:v>82</x:v>
      </x:c>
      <x:c r="P838" s="6" t="n">
        <x:v>2</x:v>
      </x:c>
      <x:c r="Q838" s="6" t="n">
        <x:v>6</x:v>
      </x:c>
      <x:c r="R838" s="6" t="n">
        <x:v>1</x:v>
      </x:c>
      <x:c r="S838" s="6" t="n">
        <x:v>5</x:v>
      </x:c>
      <x:c r="T838" s="6" t="n">
        <x:v>7</x:v>
      </x:c>
      <x:c r="U838" s="6" t="n">
        <x:v>0</x:v>
      </x:c>
      <x:c r="V838" s="6" t="n">
        <x:v>0</x:v>
      </x:c>
      <x:c r="W838" s="6" t="n">
        <x:v>0</x:v>
      </x:c>
      <x:c r="X838" s="6" t="n">
        <x:v>0</x:v>
      </x:c>
      <x:c r="Y838" s="6" t="n">
        <x:v>0</x:v>
      </x:c>
      <x:c r="Z838" s="6" t="n">
        <x:v>0</x:v>
      </x:c>
      <x:c r="AA838" s="6" t="n">
        <x:v>3</x:v>
      </x:c>
      <x:c r="AB838" s="6" t="n">
        <x:v>11</x:v>
      </x:c>
      <x:c r="AC838" s="6" t="n">
        <x:v>0</x:v>
      </x:c>
    </x:row>
    <x:row r="839">
      <x:c r="A839" s="6" t="n">
        <x:v>5687</x:v>
      </x:c>
      <x:c r="B839" s="6" t="n">
        <x:v>1980</x:v>
      </x:c>
      <x:c r="C839" s="6" t="str">
        <x:v>Graduation</x:v>
      </x:c>
      <x:c r="D839" s="6" t="str">
        <x:v>Divorced</x:v>
      </x:c>
      <x:c r="E839" s="6" t="n">
        <x:v>81702</x:v>
      </x:c>
      <x:c r="F839" s="6" t="n">
        <x:v>0</x:v>
      </x:c>
      <x:c r="G839" s="6" t="n">
        <x:v>0</x:v>
      </x:c>
      <x:c r="H839" s="9" t="str">
        <x:v>23-09-2012</x:v>
      </x:c>
      <x:c r="I839" s="6" t="n">
        <x:v>98</x:v>
      </x:c>
      <x:c r="J839" s="6" t="n">
        <x:v>563</x:v>
      </x:c>
      <x:c r="K839" s="6" t="n">
        <x:v>50</x:v>
      </x:c>
      <x:c r="L839" s="6" t="n">
        <x:v>774</x:v>
      </x:c>
      <x:c r="M839" s="6" t="n">
        <x:v>28</x:v>
      </x:c>
      <x:c r="N839" s="6" t="n">
        <x:v>31</x:v>
      </x:c>
      <x:c r="O839" s="6" t="n">
        <x:v>187</x:v>
      </x:c>
      <x:c r="P839" s="6" t="n">
        <x:v>1</x:v>
      </x:c>
      <x:c r="Q839" s="6" t="n">
        <x:v>7</x:v>
      </x:c>
      <x:c r="R839" s="6" t="n">
        <x:v>7</x:v>
      </x:c>
      <x:c r="S839" s="6" t="n">
        <x:v>12</x:v>
      </x:c>
      <x:c r="T839" s="6" t="n">
        <x:v>3</x:v>
      </x:c>
      <x:c r="U839" s="6" t="n">
        <x:v>0</x:v>
      </x:c>
      <x:c r="V839" s="6" t="n">
        <x:v>0</x:v>
      </x:c>
      <x:c r="W839" s="6" t="n">
        <x:v>0</x:v>
      </x:c>
      <x:c r="X839" s="6" t="n">
        <x:v>0</x:v>
      </x:c>
      <x:c r="Y839" s="6" t="n">
        <x:v>0</x:v>
      </x:c>
      <x:c r="Z839" s="6" t="n">
        <x:v>0</x:v>
      </x:c>
      <x:c r="AA839" s="6" t="n">
        <x:v>3</x:v>
      </x:c>
      <x:c r="AB839" s="6" t="n">
        <x:v>11</x:v>
      </x:c>
      <x:c r="AC839" s="6" t="n">
        <x:v>0</x:v>
      </x:c>
    </x:row>
    <x:row r="840">
      <x:c r="A840" s="6" t="n">
        <x:v>10856</x:v>
      </x:c>
      <x:c r="B840" s="6" t="n">
        <x:v>1980</x:v>
      </x:c>
      <x:c r="C840" s="6" t="str">
        <x:v>2n Cycle</x:v>
      </x:c>
      <x:c r="D840" s="6" t="str">
        <x:v>Single</x:v>
      </x:c>
      <x:c r="E840" s="6" t="n">
        <x:v>45889</x:v>
      </x:c>
      <x:c r="F840" s="6" t="n">
        <x:v>0</x:v>
      </x:c>
      <x:c r="G840" s="6" t="n">
        <x:v>1</x:v>
      </x:c>
      <x:c r="H840" s="9" t="str">
        <x:v>02-07-2013</x:v>
      </x:c>
      <x:c r="I840" s="6" t="n">
        <x:v>42</x:v>
      </x:c>
      <x:c r="J840" s="6" t="n">
        <x:v>31</x:v>
      </x:c>
      <x:c r="K840" s="6" t="n">
        <x:v>0</x:v>
      </x:c>
      <x:c r="L840" s="6" t="n">
        <x:v>6</x:v>
      </x:c>
      <x:c r="M840" s="6" t="n">
        <x:v>0</x:v>
      </x:c>
      <x:c r="N840" s="6" t="n">
        <x:v>1</x:v>
      </x:c>
      <x:c r="O840" s="6" t="n">
        <x:v>8</x:v>
      </x:c>
      <x:c r="P840" s="6" t="n">
        <x:v>1</x:v>
      </x:c>
      <x:c r="Q840" s="6" t="n">
        <x:v>1</x:v>
      </x:c>
      <x:c r="R840" s="6" t="n">
        <x:v>0</x:v>
      </x:c>
      <x:c r="S840" s="6" t="n">
        <x:v>3</x:v>
      </x:c>
      <x:c r="T840" s="6" t="n">
        <x:v>6</x:v>
      </x:c>
      <x:c r="U840" s="6" t="n">
        <x:v>0</x:v>
      </x:c>
      <x:c r="V840" s="6" t="n">
        <x:v>0</x:v>
      </x:c>
      <x:c r="W840" s="6" t="n">
        <x:v>0</x:v>
      </x:c>
      <x:c r="X840" s="6" t="n">
        <x:v>0</x:v>
      </x:c>
      <x:c r="Y840" s="6" t="n">
        <x:v>0</x:v>
      </x:c>
      <x:c r="Z840" s="6" t="n">
        <x:v>0</x:v>
      </x:c>
      <x:c r="AA840" s="6" t="n">
        <x:v>3</x:v>
      </x:c>
      <x:c r="AB840" s="6" t="n">
        <x:v>11</x:v>
      </x:c>
      <x:c r="AC840" s="6" t="n">
        <x:v>0</x:v>
      </x:c>
    </x:row>
    <x:row r="841">
      <x:c r="A841" s="6" t="n">
        <x:v>5121</x:v>
      </x:c>
      <x:c r="B841" s="6" t="n">
        <x:v>1977</x:v>
      </x:c>
      <x:c r="C841" s="6" t="str">
        <x:v>Graduation</x:v>
      </x:c>
      <x:c r="D841" s="6" t="str">
        <x:v>Single</x:v>
      </x:c>
      <x:c r="E841" s="6" t="n">
        <x:v>56628</x:v>
      </x:c>
      <x:c r="F841" s="6" t="n">
        <x:v>0</x:v>
      </x:c>
      <x:c r="G841" s="6" t="n">
        <x:v>1</x:v>
      </x:c>
      <x:c r="H841" s="9" t="str">
        <x:v>21-03-2014</x:v>
      </x:c>
      <x:c r="I841" s="6" t="n">
        <x:v>30</x:v>
      </x:c>
      <x:c r="J841" s="6" t="n">
        <x:v>479</x:v>
      </x:c>
      <x:c r="K841" s="6" t="n">
        <x:v>5</x:v>
      </x:c>
      <x:c r="L841" s="6" t="n">
        <x:v>82</x:v>
      </x:c>
      <x:c r="M841" s="6" t="n">
        <x:v>7</x:v>
      </x:c>
      <x:c r="N841" s="6" t="n">
        <x:v>17</x:v>
      </x:c>
      <x:c r="O841" s="6" t="n">
        <x:v>171</x:v>
      </x:c>
      <x:c r="P841" s="6" t="n">
        <x:v>2</x:v>
      </x:c>
      <x:c r="Q841" s="6" t="n">
        <x:v>7</x:v>
      </x:c>
      <x:c r="R841" s="6" t="n">
        <x:v>6</x:v>
      </x:c>
      <x:c r="S841" s="6" t="n">
        <x:v>5</x:v>
      </x:c>
      <x:c r="T841" s="6" t="n">
        <x:v>5</x:v>
      </x:c>
      <x:c r="U841" s="6" t="n">
        <x:v>1</x:v>
      </x:c>
      <x:c r="V841" s="6" t="n">
        <x:v>0</x:v>
      </x:c>
      <x:c r="W841" s="6" t="n">
        <x:v>0</x:v>
      </x:c>
      <x:c r="X841" s="6" t="n">
        <x:v>0</x:v>
      </x:c>
      <x:c r="Y841" s="6" t="n">
        <x:v>0</x:v>
      </x:c>
      <x:c r="Z841" s="6" t="n">
        <x:v>0</x:v>
      </x:c>
      <x:c r="AA841" s="6" t="n">
        <x:v>3</x:v>
      </x:c>
      <x:c r="AB841" s="6" t="n">
        <x:v>11</x:v>
      </x:c>
      <x:c r="AC841" s="6" t="n">
        <x:v>0</x:v>
      </x:c>
    </x:row>
    <x:row r="842">
      <x:c r="A842" s="6" t="n">
        <x:v>4186</x:v>
      </x:c>
      <x:c r="B842" s="6" t="n">
        <x:v>1950</x:v>
      </x:c>
      <x:c r="C842" s="6" t="str">
        <x:v>Graduation</x:v>
      </x:c>
      <x:c r="D842" s="6" t="str">
        <x:v>Together</x:v>
      </x:c>
      <x:c r="E842" s="6" t="n">
        <x:v>34026</x:v>
      </x:c>
      <x:c r="F842" s="6" t="n">
        <x:v>1</x:v>
      </x:c>
      <x:c r="G842" s="6" t="n">
        <x:v>1</x:v>
      </x:c>
      <x:c r="H842" s="9" t="str">
        <x:v>05-08-2013</x:v>
      </x:c>
      <x:c r="I842" s="6" t="n">
        <x:v>11</x:v>
      </x:c>
      <x:c r="J842" s="6" t="n">
        <x:v>18</x:v>
      </x:c>
      <x:c r="K842" s="6" t="n">
        <x:v>6</x:v>
      </x:c>
      <x:c r="L842" s="6" t="n">
        <x:v>15</x:v>
      </x:c>
      <x:c r="M842" s="6" t="n">
        <x:v>12</x:v>
      </x:c>
      <x:c r="N842" s="6" t="n">
        <x:v>8</x:v>
      </x:c>
      <x:c r="O842" s="6" t="n">
        <x:v>17</x:v>
      </x:c>
      <x:c r="P842" s="6" t="n">
        <x:v>3</x:v>
      </x:c>
      <x:c r="Q842" s="6" t="n">
        <x:v>2</x:v>
      </x:c>
      <x:c r="R842" s="6" t="n">
        <x:v>1</x:v>
      </x:c>
      <x:c r="S842" s="6" t="n">
        <x:v>3</x:v>
      </x:c>
      <x:c r="T842" s="6" t="n">
        <x:v>5</x:v>
      </x:c>
      <x:c r="U842" s="6" t="n">
        <x:v>0</x:v>
      </x:c>
      <x:c r="V842" s="6" t="n">
        <x:v>0</x:v>
      </x:c>
      <x:c r="W842" s="6" t="n">
        <x:v>0</x:v>
      </x:c>
      <x:c r="X842" s="6" t="n">
        <x:v>0</x:v>
      </x:c>
      <x:c r="Y842" s="6" t="n">
        <x:v>0</x:v>
      </x:c>
      <x:c r="Z842" s="6" t="n">
        <x:v>0</x:v>
      </x:c>
      <x:c r="AA842" s="6" t="n">
        <x:v>3</x:v>
      </x:c>
      <x:c r="AB842" s="6" t="n">
        <x:v>11</x:v>
      </x:c>
      <x:c r="AC842" s="6" t="n">
        <x:v>0</x:v>
      </x:c>
    </x:row>
    <x:row r="843">
      <x:c r="A843" s="6" t="n">
        <x:v>368</x:v>
      </x:c>
      <x:c r="B843" s="6" t="n">
        <x:v>1974</x:v>
      </x:c>
      <x:c r="C843" s="6" t="str">
        <x:v>Graduation</x:v>
      </x:c>
      <x:c r="D843" s="6" t="str">
        <x:v>Married</x:v>
      </x:c>
      <x:c r="E843" s="6" t="n">
        <x:v>40049</x:v>
      </x:c>
      <x:c r="F843" s="6" t="n">
        <x:v>0</x:v>
      </x:c>
      <x:c r="G843" s="6" t="n">
        <x:v>1</x:v>
      </x:c>
      <x:c r="H843" s="9" t="str">
        <x:v>29-11-2012</x:v>
      </x:c>
      <x:c r="I843" s="6" t="n">
        <x:v>61</x:v>
      </x:c>
      <x:c r="J843" s="6" t="n">
        <x:v>91</x:v>
      </x:c>
      <x:c r="K843" s="6" t="n">
        <x:v>65</x:v>
      </x:c>
      <x:c r="L843" s="6" t="n">
        <x:v>52</x:v>
      </x:c>
      <x:c r="M843" s="6" t="n">
        <x:v>10</x:v>
      </x:c>
      <x:c r="N843" s="6" t="n">
        <x:v>44</x:v>
      </x:c>
      <x:c r="O843" s="6" t="n">
        <x:v>28</x:v>
      </x:c>
      <x:c r="P843" s="6" t="n">
        <x:v>3</x:v>
      </x:c>
      <x:c r="Q843" s="6" t="n">
        <x:v>3</x:v>
      </x:c>
      <x:c r="R843" s="6" t="n">
        <x:v>2</x:v>
      </x:c>
      <x:c r="S843" s="6" t="n">
        <x:v>6</x:v>
      </x:c>
      <x:c r="T843" s="6" t="n">
        <x:v>5</x:v>
      </x:c>
      <x:c r="U843" s="6" t="n">
        <x:v>0</x:v>
      </x:c>
      <x:c r="V843" s="6" t="n">
        <x:v>0</x:v>
      </x:c>
      <x:c r="W843" s="6" t="n">
        <x:v>0</x:v>
      </x:c>
      <x:c r="X843" s="6" t="n">
        <x:v>0</x:v>
      </x:c>
      <x:c r="Y843" s="6" t="n">
        <x:v>0</x:v>
      </x:c>
      <x:c r="Z843" s="6" t="n">
        <x:v>0</x:v>
      </x:c>
      <x:c r="AA843" s="6" t="n">
        <x:v>3</x:v>
      </x:c>
      <x:c r="AB843" s="6" t="n">
        <x:v>11</x:v>
      </x:c>
      <x:c r="AC843" s="6" t="n">
        <x:v>0</x:v>
      </x:c>
    </x:row>
    <x:row r="844">
      <x:c r="A844" s="6" t="n">
        <x:v>3312</x:v>
      </x:c>
      <x:c r="B844" s="6" t="n">
        <x:v>1988</x:v>
      </x:c>
      <x:c r="C844" s="6" t="str">
        <x:v>Graduation</x:v>
      </x:c>
      <x:c r="D844" s="6" t="str">
        <x:v>Single</x:v>
      </x:c>
      <x:c r="E844" s="6" t="n">
        <x:v>34176</x:v>
      </x:c>
      <x:c r="F844" s="6" t="n">
        <x:v>1</x:v>
      </x:c>
      <x:c r="G844" s="6" t="n">
        <x:v>0</x:v>
      </x:c>
      <x:c r="H844" s="9" t="str">
        <x:v>12-05-2014</x:v>
      </x:c>
      <x:c r="I844" s="6" t="n">
        <x:v>12</x:v>
      </x:c>
      <x:c r="J844" s="6" t="n">
        <x:v>5</x:v>
      </x:c>
      <x:c r="K844" s="6" t="n">
        <x:v>7</x:v>
      </x:c>
      <x:c r="L844" s="6" t="n">
        <x:v>24</x:v>
      </x:c>
      <x:c r="M844" s="6" t="n">
        <x:v>19</x:v>
      </x:c>
      <x:c r="N844" s="6" t="n">
        <x:v>14</x:v>
      </x:c>
      <x:c r="O844" s="6" t="n">
        <x:v>20</x:v>
      </x:c>
      <x:c r="P844" s="6" t="n">
        <x:v>4</x:v>
      </x:c>
      <x:c r="Q844" s="6" t="n">
        <x:v>3</x:v>
      </x:c>
      <x:c r="R844" s="6" t="n">
        <x:v>0</x:v>
      </x:c>
      <x:c r="S844" s="6" t="n">
        <x:v>4</x:v>
      </x:c>
      <x:c r="T844" s="6" t="n">
        <x:v>6</x:v>
      </x:c>
      <x:c r="U844" s="6" t="n">
        <x:v>0</x:v>
      </x:c>
      <x:c r="V844" s="6" t="n">
        <x:v>0</x:v>
      </x:c>
      <x:c r="W844" s="6" t="n">
        <x:v>0</x:v>
      </x:c>
      <x:c r="X844" s="6" t="n">
        <x:v>0</x:v>
      </x:c>
      <x:c r="Y844" s="6" t="n">
        <x:v>0</x:v>
      </x:c>
      <x:c r="Z844" s="6" t="n">
        <x:v>0</x:v>
      </x:c>
      <x:c r="AA844" s="6" t="n">
        <x:v>3</x:v>
      </x:c>
      <x:c r="AB844" s="6" t="n">
        <x:v>11</x:v>
      </x:c>
      <x:c r="AC844" s="6" t="n">
        <x:v>0</x:v>
      </x:c>
    </x:row>
    <x:row r="845">
      <x:c r="A845" s="6" t="n">
        <x:v>11121</x:v>
      </x:c>
      <x:c r="B845" s="6" t="n">
        <x:v>1981</x:v>
      </x:c>
      <x:c r="C845" s="6" t="str">
        <x:v>Graduation</x:v>
      </x:c>
      <x:c r="D845" s="6" t="str">
        <x:v>Married</x:v>
      </x:c>
      <x:c r="E845" s="6" t="n">
        <x:v>19419</x:v>
      </x:c>
      <x:c r="F845" s="6" t="n">
        <x:v>1</x:v>
      </x:c>
      <x:c r="G845" s="6" t="n">
        <x:v>0</x:v>
      </x:c>
      <x:c r="H845" s="9" t="str">
        <x:v>10-11-2012</x:v>
      </x:c>
      <x:c r="I845" s="6" t="n">
        <x:v>76</x:v>
      </x:c>
      <x:c r="J845" s="6" t="n">
        <x:v>2</x:v>
      </x:c>
      <x:c r="K845" s="6" t="n">
        <x:v>14</x:v>
      </x:c>
      <x:c r="L845" s="6" t="n">
        <x:v>28</x:v>
      </x:c>
      <x:c r="M845" s="6" t="n">
        <x:v>16</x:v>
      </x:c>
      <x:c r="N845" s="6" t="n">
        <x:v>3</x:v>
      </x:c>
      <x:c r="O845" s="6" t="n">
        <x:v>7</x:v>
      </x:c>
      <x:c r="P845" s="6" t="n">
        <x:v>4</x:v>
      </x:c>
      <x:c r="Q845" s="6" t="n">
        <x:v>4</x:v>
      </x:c>
      <x:c r="R845" s="6" t="n">
        <x:v>0</x:v>
      </x:c>
      <x:c r="S845" s="6" t="n">
        <x:v>3</x:v>
      </x:c>
      <x:c r="T845" s="6" t="n">
        <x:v>9</x:v>
      </x:c>
      <x:c r="U845" s="6" t="n">
        <x:v>0</x:v>
      </x:c>
      <x:c r="V845" s="6" t="n">
        <x:v>0</x:v>
      </x:c>
      <x:c r="W845" s="6" t="n">
        <x:v>0</x:v>
      </x:c>
      <x:c r="X845" s="6" t="n">
        <x:v>0</x:v>
      </x:c>
      <x:c r="Y845" s="6" t="n">
        <x:v>0</x:v>
      </x:c>
      <x:c r="Z845" s="6" t="n">
        <x:v>0</x:v>
      </x:c>
      <x:c r="AA845" s="6" t="n">
        <x:v>3</x:v>
      </x:c>
      <x:c r="AB845" s="6" t="n">
        <x:v>11</x:v>
      </x:c>
      <x:c r="AC845" s="6" t="n">
        <x:v>0</x:v>
      </x:c>
    </x:row>
    <x:row r="846">
      <x:c r="A846" s="6" t="n">
        <x:v>5332</x:v>
      </x:c>
      <x:c r="B846" s="6" t="n">
        <x:v>1960</x:v>
      </x:c>
      <x:c r="C846" s="6" t="str">
        <x:v>2n Cycle</x:v>
      </x:c>
      <x:c r="D846" s="6" t="str">
        <x:v>Married</x:v>
      </x:c>
      <x:c r="E846" s="6" t="n">
        <x:v>82504</x:v>
      </x:c>
      <x:c r="F846" s="6" t="n">
        <x:v>0</x:v>
      </x:c>
      <x:c r="G846" s="6" t="n">
        <x:v>0</x:v>
      </x:c>
      <x:c r="H846" s="9" t="str">
        <x:v>27-07-2013</x:v>
      </x:c>
      <x:c r="I846" s="6" t="n">
        <x:v>2</x:v>
      </x:c>
      <x:c r="J846" s="6" t="n">
        <x:v>362</x:v>
      </x:c>
      <x:c r="K846" s="6" t="n">
        <x:v>50</x:v>
      </x:c>
      <x:c r="L846" s="6" t="n">
        <x:v>431</x:v>
      </x:c>
      <x:c r="M846" s="6" t="n">
        <x:v>134</x:v>
      </x:c>
      <x:c r="N846" s="6" t="n">
        <x:v>35</x:v>
      </x:c>
      <x:c r="O846" s="6" t="n">
        <x:v>54</x:v>
      </x:c>
      <x:c r="P846" s="6" t="n">
        <x:v>1</x:v>
      </x:c>
      <x:c r="Q846" s="6" t="n">
        <x:v>3</x:v>
      </x:c>
      <x:c r="R846" s="6" t="n">
        <x:v>6</x:v>
      </x:c>
      <x:c r="S846" s="6" t="n">
        <x:v>7</x:v>
      </x:c>
      <x:c r="T846" s="6" t="n">
        <x:v>1</x:v>
      </x:c>
      <x:c r="U846" s="6" t="n">
        <x:v>0</x:v>
      </x:c>
      <x:c r="V846" s="6" t="n">
        <x:v>0</x:v>
      </x:c>
      <x:c r="W846" s="6" t="n">
        <x:v>0</x:v>
      </x:c>
      <x:c r="X846" s="6" t="n">
        <x:v>0</x:v>
      </x:c>
      <x:c r="Y846" s="6" t="n">
        <x:v>0</x:v>
      </x:c>
      <x:c r="Z846" s="6" t="n">
        <x:v>0</x:v>
      </x:c>
      <x:c r="AA846" s="6" t="n">
        <x:v>3</x:v>
      </x:c>
      <x:c r="AB846" s="6" t="n">
        <x:v>11</x:v>
      </x:c>
      <x:c r="AC846" s="6" t="n">
        <x:v>0</x:v>
      </x:c>
    </x:row>
    <x:row r="847">
      <x:c r="A847" s="6" t="n">
        <x:v>5848</x:v>
      </x:c>
      <x:c r="B847" s="6" t="n">
        <x:v>1970</x:v>
      </x:c>
      <x:c r="C847" s="6" t="str">
        <x:v>Graduation</x:v>
      </x:c>
      <x:c r="D847" s="6" t="str">
        <x:v>Together</x:v>
      </x:c>
      <x:c r="E847" s="6" t="n">
        <x:v>81205</x:v>
      </x:c>
      <x:c r="F847" s="6" t="n">
        <x:v>0</x:v>
      </x:c>
      <x:c r="G847" s="6" t="n">
        <x:v>0</x:v>
      </x:c>
      <x:c r="H847" s="9" t="str">
        <x:v>13-01-2014</x:v>
      </x:c>
      <x:c r="I847" s="6" t="n">
        <x:v>43</x:v>
      </x:c>
      <x:c r="J847" s="6" t="n">
        <x:v>724</x:v>
      </x:c>
      <x:c r="K847" s="6" t="n">
        <x:v>74</x:v>
      </x:c>
      <x:c r="L847" s="6" t="n">
        <x:v>929</x:v>
      </x:c>
      <x:c r="M847" s="6" t="n">
        <x:v>97</x:v>
      </x:c>
      <x:c r="N847" s="6" t="n">
        <x:v>55</x:v>
      </x:c>
      <x:c r="O847" s="6" t="n">
        <x:v>130</x:v>
      </x:c>
      <x:c r="P847" s="6" t="n">
        <x:v>1</x:v>
      </x:c>
      <x:c r="Q847" s="6" t="n">
        <x:v>5</x:v>
      </x:c>
      <x:c r="R847" s="6" t="n">
        <x:v>6</x:v>
      </x:c>
      <x:c r="S847" s="6" t="n">
        <x:v>7</x:v>
      </x:c>
      <x:c r="T847" s="6" t="n">
        <x:v>2</x:v>
      </x:c>
      <x:c r="U847" s="6" t="n">
        <x:v>1</x:v>
      </x:c>
      <x:c r="V847" s="6" t="n">
        <x:v>0</x:v>
      </x:c>
      <x:c r="W847" s="6" t="n">
        <x:v>1</x:v>
      </x:c>
      <x:c r="X847" s="6" t="n">
        <x:v>0</x:v>
      </x:c>
      <x:c r="Y847" s="6" t="n">
        <x:v>1</x:v>
      </x:c>
      <x:c r="Z847" s="6" t="n">
        <x:v>0</x:v>
      </x:c>
      <x:c r="AA847" s="6" t="n">
        <x:v>3</x:v>
      </x:c>
      <x:c r="AB847" s="6" t="n">
        <x:v>11</x:v>
      </x:c>
      <x:c r="AC847" s="6" t="n">
        <x:v>1</x:v>
      </x:c>
    </x:row>
    <x:row r="848">
      <x:c r="A848" s="6" t="n">
        <x:v>10343</x:v>
      </x:c>
      <x:c r="B848" s="6" t="n">
        <x:v>1991</x:v>
      </x:c>
      <x:c r="C848" s="6" t="str">
        <x:v>2n Cycle</x:v>
      </x:c>
      <x:c r="D848" s="6" t="str">
        <x:v>Single</x:v>
      </x:c>
      <x:c r="E848" s="6" t="n">
        <x:v>61618</x:v>
      </x:c>
      <x:c r="F848" s="6" t="n">
        <x:v>0</x:v>
      </x:c>
      <x:c r="G848" s="6" t="n">
        <x:v>0</x:v>
      </x:c>
      <x:c r="H848" s="9" t="str">
        <x:v>29-09-2012</x:v>
      </x:c>
      <x:c r="I848" s="6" t="n">
        <x:v>27</x:v>
      </x:c>
      <x:c r="J848" s="6" t="n">
        <x:v>605</x:v>
      </x:c>
      <x:c r="K848" s="6" t="n">
        <x:v>91</x:v>
      </x:c>
      <x:c r="L848" s="6" t="n">
        <x:v>399</x:v>
      </x:c>
      <x:c r="M848" s="6" t="n">
        <x:v>0</x:v>
      </x:c>
      <x:c r="N848" s="6" t="n">
        <x:v>45</x:v>
      </x:c>
      <x:c r="O848" s="6" t="n">
        <x:v>205</x:v>
      </x:c>
      <x:c r="P848" s="6" t="n">
        <x:v>2</x:v>
      </x:c>
      <x:c r="Q848" s="6" t="n">
        <x:v>3</x:v>
      </x:c>
      <x:c r="R848" s="6" t="n">
        <x:v>6</x:v>
      </x:c>
      <x:c r="S848" s="6" t="n">
        <x:v>8</x:v>
      </x:c>
      <x:c r="T848" s="6" t="n">
        <x:v>3</x:v>
      </x:c>
      <x:c r="U848" s="6" t="n">
        <x:v>0</x:v>
      </x:c>
      <x:c r="V848" s="6" t="n">
        <x:v>0</x:v>
      </x:c>
      <x:c r="W848" s="6" t="n">
        <x:v>0</x:v>
      </x:c>
      <x:c r="X848" s="6" t="n">
        <x:v>0</x:v>
      </x:c>
      <x:c r="Y848" s="6" t="n">
        <x:v>0</x:v>
      </x:c>
      <x:c r="Z848" s="6" t="n">
        <x:v>0</x:v>
      </x:c>
      <x:c r="AA848" s="6" t="n">
        <x:v>3</x:v>
      </x:c>
      <x:c r="AB848" s="6" t="n">
        <x:v>11</x:v>
      </x:c>
      <x:c r="AC848" s="6" t="n">
        <x:v>0</x:v>
      </x:c>
    </x:row>
    <x:row r="849">
      <x:c r="A849" s="6" t="n">
        <x:v>5935</x:v>
      </x:c>
      <x:c r="B849" s="6" t="n">
        <x:v>1956</x:v>
      </x:c>
      <x:c r="C849" s="6" t="str">
        <x:v>Master</x:v>
      </x:c>
      <x:c r="D849" s="6" t="str">
        <x:v>Single</x:v>
      </x:c>
      <x:c r="E849" s="6" t="n">
        <x:v>55284</x:v>
      </x:c>
      <x:c r="F849" s="6" t="n">
        <x:v>0</x:v>
      </x:c>
      <x:c r="G849" s="6" t="n">
        <x:v>1</x:v>
      </x:c>
      <x:c r="H849" s="9" t="str">
        <x:v>24-12-2012</x:v>
      </x:c>
      <x:c r="I849" s="6" t="n">
        <x:v>60</x:v>
      </x:c>
      <x:c r="J849" s="6" t="n">
        <x:v>547</x:v>
      </x:c>
      <x:c r="K849" s="6" t="n">
        <x:v>7</x:v>
      </x:c>
      <x:c r="L849" s="6" t="n">
        <x:v>140</x:v>
      </x:c>
      <x:c r="M849" s="6" t="n">
        <x:v>0</x:v>
      </x:c>
      <x:c r="N849" s="6" t="n">
        <x:v>7</x:v>
      </x:c>
      <x:c r="O849" s="6" t="n">
        <x:v>63</x:v>
      </x:c>
      <x:c r="P849" s="6" t="n">
        <x:v>3</x:v>
      </x:c>
      <x:c r="Q849" s="6" t="n">
        <x:v>7</x:v>
      </x:c>
      <x:c r="R849" s="6" t="n">
        <x:v>5</x:v>
      </x:c>
      <x:c r="S849" s="6" t="n">
        <x:v>8</x:v>
      </x:c>
      <x:c r="T849" s="6" t="n">
        <x:v>5</x:v>
      </x:c>
      <x:c r="U849" s="6" t="n">
        <x:v>0</x:v>
      </x:c>
      <x:c r="V849" s="6" t="n">
        <x:v>0</x:v>
      </x:c>
      <x:c r="W849" s="6" t="n">
        <x:v>0</x:v>
      </x:c>
      <x:c r="X849" s="6" t="n">
        <x:v>0</x:v>
      </x:c>
      <x:c r="Y849" s="6" t="n">
        <x:v>0</x:v>
      </x:c>
      <x:c r="Z849" s="6" t="n">
        <x:v>0</x:v>
      </x:c>
      <x:c r="AA849" s="6" t="n">
        <x:v>3</x:v>
      </x:c>
      <x:c r="AB849" s="6" t="n">
        <x:v>11</x:v>
      </x:c>
      <x:c r="AC849" s="6" t="n">
        <x:v>0</x:v>
      </x:c>
    </x:row>
    <x:row r="850">
      <x:c r="A850" s="6" t="n">
        <x:v>2895</x:v>
      </x:c>
      <x:c r="B850" s="6" t="n">
        <x:v>1963</x:v>
      </x:c>
      <x:c r="C850" s="6" t="str">
        <x:v>Graduation</x:v>
      </x:c>
      <x:c r="D850" s="6" t="str">
        <x:v>Single</x:v>
      </x:c>
      <x:c r="E850" s="6" t="n">
        <x:v>49980</x:v>
      </x:c>
      <x:c r="F850" s="6" t="n">
        <x:v>0</x:v>
      </x:c>
      <x:c r="G850" s="6" t="n">
        <x:v>1</x:v>
      </x:c>
      <x:c r="H850" s="9" t="str">
        <x:v>23-10-2013</x:v>
      </x:c>
      <x:c r="I850" s="6" t="n">
        <x:v>79</x:v>
      </x:c>
      <x:c r="J850" s="6" t="n">
        <x:v>104</x:v>
      </x:c>
      <x:c r="K850" s="6" t="n">
        <x:v>1</x:v>
      </x:c>
      <x:c r="L850" s="6" t="n">
        <x:v>54</x:v>
      </x:c>
      <x:c r="M850" s="6" t="n">
        <x:v>13</x:v>
      </x:c>
      <x:c r="N850" s="6" t="n">
        <x:v>9</x:v>
      </x:c>
      <x:c r="O850" s="6" t="n">
        <x:v>14</x:v>
      </x:c>
      <x:c r="P850" s="6" t="n">
        <x:v>2</x:v>
      </x:c>
      <x:c r="Q850" s="6" t="n">
        <x:v>3</x:v>
      </x:c>
      <x:c r="R850" s="6" t="n">
        <x:v>1</x:v>
      </x:c>
      <x:c r="S850" s="6" t="n">
        <x:v>5</x:v>
      </x:c>
      <x:c r="T850" s="6" t="n">
        <x:v>5</x:v>
      </x:c>
      <x:c r="U850" s="6" t="n">
        <x:v>0</x:v>
      </x:c>
      <x:c r="V850" s="6" t="n">
        <x:v>0</x:v>
      </x:c>
      <x:c r="W850" s="6" t="n">
        <x:v>0</x:v>
      </x:c>
      <x:c r="X850" s="6" t="n">
        <x:v>0</x:v>
      </x:c>
      <x:c r="Y850" s="6" t="n">
        <x:v>0</x:v>
      </x:c>
      <x:c r="Z850" s="6" t="n">
        <x:v>0</x:v>
      </x:c>
      <x:c r="AA850" s="6" t="n">
        <x:v>3</x:v>
      </x:c>
      <x:c r="AB850" s="6" t="n">
        <x:v>11</x:v>
      </x:c>
      <x:c r="AC850" s="6" t="n">
        <x:v>0</x:v>
      </x:c>
    </x:row>
    <x:row r="851">
      <x:c r="A851" s="6" t="n">
        <x:v>10262</x:v>
      </x:c>
      <x:c r="B851" s="6" t="n">
        <x:v>1980</x:v>
      </x:c>
      <x:c r="C851" s="6" t="str">
        <x:v>Graduation</x:v>
      </x:c>
      <x:c r="D851" s="6" t="str">
        <x:v>Married</x:v>
      </x:c>
      <x:c r="E851" s="6" t="n">
        <x:v>15072</x:v>
      </x:c>
      <x:c r="F851" s="6" t="n">
        <x:v>2</x:v>
      </x:c>
      <x:c r="G851" s="6" t="n">
        <x:v>0</x:v>
      </x:c>
      <x:c r="H851" s="9" t="str">
        <x:v>10-05-2013</x:v>
      </x:c>
      <x:c r="I851" s="6" t="n">
        <x:v>96</x:v>
      </x:c>
      <x:c r="J851" s="6" t="n">
        <x:v>8</x:v>
      </x:c>
      <x:c r="K851" s="6" t="n">
        <x:v>2</x:v>
      </x:c>
      <x:c r="L851" s="6" t="n">
        <x:v>15</x:v>
      </x:c>
      <x:c r="M851" s="6" t="n">
        <x:v>0</x:v>
      </x:c>
      <x:c r="N851" s="6" t="n">
        <x:v>10</x:v>
      </x:c>
      <x:c r="O851" s="6" t="n">
        <x:v>18</x:v>
      </x:c>
      <x:c r="P851" s="6" t="n">
        <x:v>4</x:v>
      </x:c>
      <x:c r="Q851" s="6" t="n">
        <x:v>3</x:v>
      </x:c>
      <x:c r="R851" s="6" t="n">
        <x:v>1</x:v>
      </x:c>
      <x:c r="S851" s="6" t="n">
        <x:v>3</x:v>
      </x:c>
      <x:c r="T851" s="6" t="n">
        <x:v>5</x:v>
      </x:c>
      <x:c r="U851" s="6" t="n">
        <x:v>0</x:v>
      </x:c>
      <x:c r="V851" s="6" t="n">
        <x:v>0</x:v>
      </x:c>
      <x:c r="W851" s="6" t="n">
        <x:v>0</x:v>
      </x:c>
      <x:c r="X851" s="6" t="n">
        <x:v>0</x:v>
      </x:c>
      <x:c r="Y851" s="6" t="n">
        <x:v>0</x:v>
      </x:c>
      <x:c r="Z851" s="6" t="n">
        <x:v>0</x:v>
      </x:c>
      <x:c r="AA851" s="6" t="n">
        <x:v>3</x:v>
      </x:c>
      <x:c r="AB851" s="6" t="n">
        <x:v>11</x:v>
      </x:c>
      <x:c r="AC851" s="6" t="n">
        <x:v>0</x:v>
      </x:c>
    </x:row>
    <x:row r="852">
      <x:c r="A852" s="6" t="n">
        <x:v>7848</x:v>
      </x:c>
      <x:c r="B852" s="6" t="n">
        <x:v>1974</x:v>
      </x:c>
      <x:c r="C852" s="6" t="str">
        <x:v>Graduation</x:v>
      </x:c>
      <x:c r="D852" s="6" t="str">
        <x:v>Single</x:v>
      </x:c>
      <x:c r="E852" s="6" t="n">
        <x:v>49166</x:v>
      </x:c>
      <x:c r="F852" s="6" t="n">
        <x:v>0</x:v>
      </x:c>
      <x:c r="G852" s="6" t="n">
        <x:v>1</x:v>
      </x:c>
      <x:c r="H852" s="9" t="str">
        <x:v>13-06-2013</x:v>
      </x:c>
      <x:c r="I852" s="6" t="n">
        <x:v>17</x:v>
      </x:c>
      <x:c r="J852" s="6" t="n">
        <x:v>224</x:v>
      </x:c>
      <x:c r="K852" s="6" t="n">
        <x:v>2</x:v>
      </x:c>
      <x:c r="L852" s="6" t="n">
        <x:v>25</x:v>
      </x:c>
      <x:c r="M852" s="6" t="n">
        <x:v>7</x:v>
      </x:c>
      <x:c r="N852" s="6" t="n">
        <x:v>0</x:v>
      </x:c>
      <x:c r="O852" s="6" t="n">
        <x:v>110</x:v>
      </x:c>
      <x:c r="P852" s="6" t="n">
        <x:v>2</x:v>
      </x:c>
      <x:c r="Q852" s="6" t="n">
        <x:v>5</x:v>
      </x:c>
      <x:c r="R852" s="6" t="n">
        <x:v>3</x:v>
      </x:c>
      <x:c r="S852" s="6" t="n">
        <x:v>3</x:v>
      </x:c>
      <x:c r="T852" s="6" t="n">
        <x:v>6</x:v>
      </x:c>
      <x:c r="U852" s="6" t="n">
        <x:v>0</x:v>
      </x:c>
      <x:c r="V852" s="6" t="n">
        <x:v>0</x:v>
      </x:c>
      <x:c r="W852" s="6" t="n">
        <x:v>0</x:v>
      </x:c>
      <x:c r="X852" s="6" t="n">
        <x:v>0</x:v>
      </x:c>
      <x:c r="Y852" s="6" t="n">
        <x:v>0</x:v>
      </x:c>
      <x:c r="Z852" s="6" t="n">
        <x:v>0</x:v>
      </x:c>
      <x:c r="AA852" s="6" t="n">
        <x:v>3</x:v>
      </x:c>
      <x:c r="AB852" s="6" t="n">
        <x:v>11</x:v>
      </x:c>
      <x:c r="AC852" s="6" t="n">
        <x:v>0</x:v>
      </x:c>
    </x:row>
    <x:row r="853">
      <x:c r="A853" s="6" t="n">
        <x:v>9477</x:v>
      </x:c>
      <x:c r="B853" s="6" t="n">
        <x:v>1954</x:v>
      </x:c>
      <x:c r="C853" s="6" t="str">
        <x:v>PhD</x:v>
      </x:c>
      <x:c r="D853" s="6" t="str">
        <x:v>Married</x:v>
      </x:c>
      <x:c r="E853" s="6" t="n">
        <x:v>65324</x:v>
      </x:c>
      <x:c r="F853" s="6" t="n">
        <x:v>0</x:v>
      </x:c>
      <x:c r="G853" s="6" t="n">
        <x:v>1</x:v>
      </x:c>
      <x:c r="H853" s="9" t="str">
        <x:v>11-01-2014</x:v>
      </x:c>
      <x:c r="I853" s="6" t="n">
        <x:v>0</x:v>
      </x:c>
      <x:c r="J853" s="6" t="n">
        <x:v>384</x:v>
      </x:c>
      <x:c r="K853" s="6" t="n">
        <x:v>0</x:v>
      </x:c>
      <x:c r="L853" s="6" t="n">
        <x:v>102</x:v>
      </x:c>
      <x:c r="M853" s="6" t="n">
        <x:v>21</x:v>
      </x:c>
      <x:c r="N853" s="6" t="n">
        <x:v>32</x:v>
      </x:c>
      <x:c r="O853" s="6" t="n">
        <x:v>5</x:v>
      </x:c>
      <x:c r="P853" s="6" t="n">
        <x:v>3</x:v>
      </x:c>
      <x:c r="Q853" s="6" t="n">
        <x:v>6</x:v>
      </x:c>
      <x:c r="R853" s="6" t="n">
        <x:v>2</x:v>
      </x:c>
      <x:c r="S853" s="6" t="n">
        <x:v>9</x:v>
      </x:c>
      <x:c r="T853" s="6" t="n">
        <x:v>4</x:v>
      </x:c>
      <x:c r="U853" s="6" t="n">
        <x:v>0</x:v>
      </x:c>
      <x:c r="V853" s="6" t="n">
        <x:v>0</x:v>
      </x:c>
      <x:c r="W853" s="6" t="n">
        <x:v>0</x:v>
      </x:c>
      <x:c r="X853" s="6" t="n">
        <x:v>0</x:v>
      </x:c>
      <x:c r="Y853" s="6" t="n">
        <x:v>0</x:v>
      </x:c>
      <x:c r="Z853" s="6" t="n">
        <x:v>0</x:v>
      </x:c>
      <x:c r="AA853" s="6" t="n">
        <x:v>3</x:v>
      </x:c>
      <x:c r="AB853" s="6" t="n">
        <x:v>11</x:v>
      </x:c>
      <x:c r="AC853" s="6" t="n">
        <x:v>0</x:v>
      </x:c>
    </x:row>
    <x:row r="854">
      <x:c r="A854" s="6" t="n">
        <x:v>4856</x:v>
      </x:c>
      <x:c r="B854" s="6" t="n">
        <x:v>1957</x:v>
      </x:c>
      <x:c r="C854" s="6" t="str">
        <x:v>2n Cycle</x:v>
      </x:c>
      <x:c r="D854" s="6" t="str">
        <x:v>Married</x:v>
      </x:c>
      <x:c r="E854" s="6" t="n">
        <x:v>82347</x:v>
      </x:c>
      <x:c r="F854" s="6" t="n">
        <x:v>0</x:v>
      </x:c>
      <x:c r="G854" s="6" t="n">
        <x:v>0</x:v>
      </x:c>
      <x:c r="H854" s="9" t="str">
        <x:v>06-11-2012</x:v>
      </x:c>
      <x:c r="I854" s="6" t="n">
        <x:v>38</x:v>
      </x:c>
      <x:c r="J854" s="6" t="n">
        <x:v>556</x:v>
      </x:c>
      <x:c r="K854" s="6" t="n">
        <x:v>54</x:v>
      </x:c>
      <x:c r="L854" s="6" t="n">
        <x:v>845</x:v>
      </x:c>
      <x:c r="M854" s="6" t="n">
        <x:v>202</x:v>
      </x:c>
      <x:c r="N854" s="6" t="n">
        <x:v>133</x:v>
      </x:c>
      <x:c r="O854" s="6" t="n">
        <x:v>63</x:v>
      </x:c>
      <x:c r="P854" s="6" t="n">
        <x:v>1</x:v>
      </x:c>
      <x:c r="Q854" s="6" t="n">
        <x:v>7</x:v>
      </x:c>
      <x:c r="R854" s="6" t="n">
        <x:v>7</x:v>
      </x:c>
      <x:c r="S854" s="6" t="n">
        <x:v>10</x:v>
      </x:c>
      <x:c r="T854" s="6" t="n">
        <x:v>3</x:v>
      </x:c>
      <x:c r="U854" s="6" t="n">
        <x:v>1</x:v>
      </x:c>
      <x:c r="V854" s="6" t="n">
        <x:v>0</x:v>
      </x:c>
      <x:c r="W854" s="6" t="n">
        <x:v>0</x:v>
      </x:c>
      <x:c r="X854" s="6" t="n">
        <x:v>1</x:v>
      </x:c>
      <x:c r="Y854" s="6" t="n">
        <x:v>0</x:v>
      </x:c>
      <x:c r="Z854" s="6" t="n">
        <x:v>0</x:v>
      </x:c>
      <x:c r="AA854" s="6" t="n">
        <x:v>3</x:v>
      </x:c>
      <x:c r="AB854" s="6" t="n">
        <x:v>11</x:v>
      </x:c>
      <x:c r="AC854" s="6" t="n">
        <x:v>0</x:v>
      </x:c>
    </x:row>
    <x:row r="855">
      <x:c r="A855" s="6" t="n">
        <x:v>7186</x:v>
      </x:c>
      <x:c r="B855" s="6" t="n">
        <x:v>1966</x:v>
      </x:c>
      <x:c r="C855" s="6" t="str">
        <x:v>PhD</x:v>
      </x:c>
      <x:c r="D855" s="6" t="str">
        <x:v>Together</x:v>
      </x:c>
      <x:c r="E855" s="6" t="n">
        <x:v>30843</x:v>
      </x:c>
      <x:c r="F855" s="6" t="n">
        <x:v>1</x:v>
      </x:c>
      <x:c r="G855" s="6" t="n">
        <x:v>1</x:v>
      </x:c>
      <x:c r="H855" s="9" t="str">
        <x:v>26-05-2014</x:v>
      </x:c>
      <x:c r="I855" s="6" t="n">
        <x:v>43</x:v>
      </x:c>
      <x:c r="J855" s="6" t="n">
        <x:v>24</x:v>
      </x:c>
      <x:c r="K855" s="6" t="n">
        <x:v>0</x:v>
      </x:c>
      <x:c r="L855" s="6" t="n">
        <x:v>2</x:v>
      </x:c>
      <x:c r="M855" s="6" t="n">
        <x:v>0</x:v>
      </x:c>
      <x:c r="N855" s="6" t="n">
        <x:v>0</x:v>
      </x:c>
      <x:c r="O855" s="6" t="n">
        <x:v>9</x:v>
      </x:c>
      <x:c r="P855" s="6" t="n">
        <x:v>2</x:v>
      </x:c>
      <x:c r="Q855" s="6" t="n">
        <x:v>1</x:v>
      </x:c>
      <x:c r="R855" s="6" t="n">
        <x:v>1</x:v>
      </x:c>
      <x:c r="S855" s="6" t="n">
        <x:v>2</x:v>
      </x:c>
      <x:c r="T855" s="6" t="n">
        <x:v>5</x:v>
      </x:c>
      <x:c r="U855" s="6" t="n">
        <x:v>1</x:v>
      </x:c>
      <x:c r="V855" s="6" t="n">
        <x:v>0</x:v>
      </x:c>
      <x:c r="W855" s="6" t="n">
        <x:v>0</x:v>
      </x:c>
      <x:c r="X855" s="6" t="n">
        <x:v>0</x:v>
      </x:c>
      <x:c r="Y855" s="6" t="n">
        <x:v>0</x:v>
      </x:c>
      <x:c r="Z855" s="6" t="n">
        <x:v>0</x:v>
      </x:c>
      <x:c r="AA855" s="6" t="n">
        <x:v>3</x:v>
      </x:c>
      <x:c r="AB855" s="6" t="n">
        <x:v>11</x:v>
      </x:c>
      <x:c r="AC855" s="6" t="n">
        <x:v>0</x:v>
      </x:c>
    </x:row>
    <x:row r="856">
      <x:c r="A856" s="6" t="n">
        <x:v>5794</x:v>
      </x:c>
      <x:c r="B856" s="6" t="n">
        <x:v>1974</x:v>
      </x:c>
      <x:c r="C856" s="6" t="str">
        <x:v>PhD</x:v>
      </x:c>
      <x:c r="D856" s="6" t="str">
        <x:v>Married</x:v>
      </x:c>
      <x:c r="E856" s="6" t="n">
        <x:v>46374</x:v>
      </x:c>
      <x:c r="F856" s="6" t="n">
        <x:v>0</x:v>
      </x:c>
      <x:c r="G856" s="6" t="n">
        <x:v>1</x:v>
      </x:c>
      <x:c r="H856" s="9" t="str">
        <x:v>17-03-2014</x:v>
      </x:c>
      <x:c r="I856" s="6" t="n">
        <x:v>1</x:v>
      </x:c>
      <x:c r="J856" s="6" t="n">
        <x:v>408</x:v>
      </x:c>
      <x:c r="K856" s="6" t="n">
        <x:v>0</x:v>
      </x:c>
      <x:c r="L856" s="6" t="n">
        <x:v>21</x:v>
      </x:c>
      <x:c r="M856" s="6" t="n">
        <x:v>0</x:v>
      </x:c>
      <x:c r="N856" s="6" t="n">
        <x:v>0</x:v>
      </x:c>
      <x:c r="O856" s="6" t="n">
        <x:v>17</x:v>
      </x:c>
      <x:c r="P856" s="6" t="n">
        <x:v>3</x:v>
      </x:c>
      <x:c r="Q856" s="6" t="n">
        <x:v>7</x:v>
      </x:c>
      <x:c r="R856" s="6" t="n">
        <x:v>1</x:v>
      </x:c>
      <x:c r="S856" s="6" t="n">
        <x:v>7</x:v>
      </x:c>
      <x:c r="T856" s="6" t="n">
        <x:v>8</x:v>
      </x:c>
      <x:c r="U856" s="6" t="n">
        <x:v>0</x:v>
      </x:c>
      <x:c r="V856" s="6" t="n">
        <x:v>1</x:v>
      </x:c>
      <x:c r="W856" s="6" t="n">
        <x:v>0</x:v>
      </x:c>
      <x:c r="X856" s="6" t="n">
        <x:v>1</x:v>
      </x:c>
      <x:c r="Y856" s="6" t="n">
        <x:v>0</x:v>
      </x:c>
      <x:c r="Z856" s="6" t="n">
        <x:v>0</x:v>
      </x:c>
      <x:c r="AA856" s="6" t="n">
        <x:v>3</x:v>
      </x:c>
      <x:c r="AB856" s="6" t="n">
        <x:v>11</x:v>
      </x:c>
      <x:c r="AC856" s="6" t="n">
        <x:v>1</x:v>
      </x:c>
    </x:row>
    <x:row r="857">
      <x:c r="A857" s="6" t="n">
        <x:v>1456</x:v>
      </x:c>
      <x:c r="B857" s="6" t="n">
        <x:v>1979</x:v>
      </x:c>
      <x:c r="C857" s="6" t="str">
        <x:v>Graduation</x:v>
      </x:c>
      <x:c r="D857" s="6" t="str">
        <x:v>Single</x:v>
      </x:c>
      <x:c r="E857" s="6" t="n">
        <x:v>60474</x:v>
      </x:c>
      <x:c r="F857" s="6" t="n">
        <x:v>0</x:v>
      </x:c>
      <x:c r="G857" s="6" t="n">
        <x:v>1</x:v>
      </x:c>
      <x:c r="H857" s="9" t="str">
        <x:v>01-04-2013</x:v>
      </x:c>
      <x:c r="I857" s="6" t="n">
        <x:v>25</x:v>
      </x:c>
      <x:c r="J857" s="6" t="n">
        <x:v>265</x:v>
      </x:c>
      <x:c r="K857" s="6" t="n">
        <x:v>199</x:v>
      </x:c>
      <x:c r="L857" s="6" t="n">
        <x:v>303</x:v>
      </x:c>
      <x:c r="M857" s="6" t="n">
        <x:v>234</x:v>
      </x:c>
      <x:c r="N857" s="6" t="n">
        <x:v>9</x:v>
      </x:c>
      <x:c r="O857" s="6" t="n">
        <x:v>170</x:v>
      </x:c>
      <x:c r="P857" s="6" t="n">
        <x:v>7</x:v>
      </x:c>
      <x:c r="Q857" s="6" t="n">
        <x:v>10</x:v>
      </x:c>
      <x:c r="R857" s="6" t="n">
        <x:v>2</x:v>
      </x:c>
      <x:c r="S857" s="6" t="n">
        <x:v>12</x:v>
      </x:c>
      <x:c r="T857" s="6" t="n">
        <x:v>7</x:v>
      </x:c>
      <x:c r="U857" s="6" t="n">
        <x:v>0</x:v>
      </x:c>
      <x:c r="V857" s="6" t="n">
        <x:v>0</x:v>
      </x:c>
      <x:c r="W857" s="6" t="n">
        <x:v>0</x:v>
      </x:c>
      <x:c r="X857" s="6" t="n">
        <x:v>0</x:v>
      </x:c>
      <x:c r="Y857" s="6" t="n">
        <x:v>0</x:v>
      </x:c>
      <x:c r="Z857" s="6" t="n">
        <x:v>0</x:v>
      </x:c>
      <x:c r="AA857" s="6" t="n">
        <x:v>3</x:v>
      </x:c>
      <x:c r="AB857" s="6" t="n">
        <x:v>11</x:v>
      </x:c>
      <x:c r="AC857" s="6" t="n">
        <x:v>0</x:v>
      </x:c>
    </x:row>
    <x:row r="858">
      <x:c r="A858" s="6" t="n">
        <x:v>4877</x:v>
      </x:c>
      <x:c r="B858" s="6" t="n">
        <x:v>1973</x:v>
      </x:c>
      <x:c r="C858" s="6" t="str">
        <x:v>Master</x:v>
      </x:c>
      <x:c r="D858" s="6" t="str">
        <x:v>Married</x:v>
      </x:c>
      <x:c r="E858" s="6" t="n">
        <x:v>38576</x:v>
      </x:c>
      <x:c r="F858" s="6" t="n">
        <x:v>0</x:v>
      </x:c>
      <x:c r="G858" s="6" t="n">
        <x:v>1</x:v>
      </x:c>
      <x:c r="H858" s="9" t="str">
        <x:v>04-03-2014</x:v>
      </x:c>
      <x:c r="I858" s="6" t="n">
        <x:v>2</x:v>
      </x:c>
      <x:c r="J858" s="6" t="n">
        <x:v>34</x:v>
      </x:c>
      <x:c r="K858" s="6" t="n">
        <x:v>0</x:v>
      </x:c>
      <x:c r="L858" s="6" t="n">
        <x:v>7</x:v>
      </x:c>
      <x:c r="M858" s="6" t="n">
        <x:v>0</x:v>
      </x:c>
      <x:c r="N858" s="6" t="n">
        <x:v>0</x:v>
      </x:c>
      <x:c r="O858" s="6" t="n">
        <x:v>0</x:v>
      </x:c>
      <x:c r="P858" s="6" t="n">
        <x:v>1</x:v>
      </x:c>
      <x:c r="Q858" s="6" t="n">
        <x:v>1</x:v>
      </x:c>
      <x:c r="R858" s="6" t="n">
        <x:v>0</x:v>
      </x:c>
      <x:c r="S858" s="6" t="n">
        <x:v>3</x:v>
      </x:c>
      <x:c r="T858" s="6" t="n">
        <x:v>7</x:v>
      </x:c>
      <x:c r="U858" s="6" t="n">
        <x:v>0</x:v>
      </x:c>
      <x:c r="V858" s="6" t="n">
        <x:v>0</x:v>
      </x:c>
      <x:c r="W858" s="6" t="n">
        <x:v>0</x:v>
      </x:c>
      <x:c r="X858" s="6" t="n">
        <x:v>0</x:v>
      </x:c>
      <x:c r="Y858" s="6" t="n">
        <x:v>0</x:v>
      </x:c>
      <x:c r="Z858" s="6" t="n">
        <x:v>0</x:v>
      </x:c>
      <x:c r="AA858" s="6" t="n">
        <x:v>3</x:v>
      </x:c>
      <x:c r="AB858" s="6" t="n">
        <x:v>11</x:v>
      </x:c>
      <x:c r="AC858" s="6" t="n">
        <x:v>0</x:v>
      </x:c>
    </x:row>
    <x:row r="859">
      <x:c r="A859" s="6" t="n">
        <x:v>425</x:v>
      </x:c>
      <x:c r="B859" s="6" t="n">
        <x:v>1985</x:v>
      </x:c>
      <x:c r="C859" s="6" t="str">
        <x:v>Graduation</x:v>
      </x:c>
      <x:c r="D859" s="6" t="str">
        <x:v>Married</x:v>
      </x:c>
      <x:c r="E859" s="6" t="n">
        <x:v>55357</x:v>
      </x:c>
      <x:c r="F859" s="6" t="n">
        <x:v>2</x:v>
      </x:c>
      <x:c r="G859" s="6" t="n">
        <x:v>0</x:v>
      </x:c>
      <x:c r="H859" s="9" t="str">
        <x:v>19-02-2013</x:v>
      </x:c>
      <x:c r="I859" s="6" t="n">
        <x:v>66</x:v>
      </x:c>
      <x:c r="J859" s="6" t="n">
        <x:v>374</x:v>
      </x:c>
      <x:c r="K859" s="6" t="n">
        <x:v>64</x:v>
      </x:c>
      <x:c r="L859" s="6" t="n">
        <x:v>116</x:v>
      </x:c>
      <x:c r="M859" s="6" t="n">
        <x:v>84</x:v>
      </x:c>
      <x:c r="N859" s="6" t="n">
        <x:v>25</x:v>
      </x:c>
      <x:c r="O859" s="6" t="n">
        <x:v>64</x:v>
      </x:c>
      <x:c r="P859" s="6" t="n">
        <x:v>3</x:v>
      </x:c>
      <x:c r="Q859" s="6" t="n">
        <x:v>6</x:v>
      </x:c>
      <x:c r="R859" s="6" t="n">
        <x:v>2</x:v>
      </x:c>
      <x:c r="S859" s="6" t="n">
        <x:v>11</x:v>
      </x:c>
      <x:c r="T859" s="6" t="n">
        <x:v>5</x:v>
      </x:c>
      <x:c r="U859" s="6" t="n">
        <x:v>0</x:v>
      </x:c>
      <x:c r="V859" s="6" t="n">
        <x:v>0</x:v>
      </x:c>
      <x:c r="W859" s="6" t="n">
        <x:v>0</x:v>
      </x:c>
      <x:c r="X859" s="6" t="n">
        <x:v>0</x:v>
      </x:c>
      <x:c r="Y859" s="6" t="n">
        <x:v>0</x:v>
      </x:c>
      <x:c r="Z859" s="6" t="n">
        <x:v>0</x:v>
      </x:c>
      <x:c r="AA859" s="6" t="n">
        <x:v>3</x:v>
      </x:c>
      <x:c r="AB859" s="6" t="n">
        <x:v>11</x:v>
      </x:c>
      <x:c r="AC859" s="6" t="n">
        <x:v>0</x:v>
      </x:c>
    </x:row>
    <x:row r="860">
      <x:c r="A860" s="6" t="n">
        <x:v>3007</x:v>
      </x:c>
      <x:c r="B860" s="6" t="n">
        <x:v>1966</x:v>
      </x:c>
      <x:c r="C860" s="6" t="str">
        <x:v>Graduation</x:v>
      </x:c>
      <x:c r="D860" s="6" t="str">
        <x:v>Together</x:v>
      </x:c>
      <x:c r="E860" s="6" t="n">
        <x:v>37758</x:v>
      </x:c>
      <x:c r="F860" s="6" t="n">
        <x:v>1</x:v>
      </x:c>
      <x:c r="G860" s="6" t="n">
        <x:v>1</x:v>
      </x:c>
      <x:c r="H860" s="9" t="str">
        <x:v>04-10-2012</x:v>
      </x:c>
      <x:c r="I860" s="6" t="n">
        <x:v>49</x:v>
      </x:c>
      <x:c r="J860" s="6" t="n">
        <x:v>27</x:v>
      </x:c>
      <x:c r="K860" s="6" t="n">
        <x:v>2</x:v>
      </x:c>
      <x:c r="L860" s="6" t="n">
        <x:v>10</x:v>
      </x:c>
      <x:c r="M860" s="6" t="n">
        <x:v>0</x:v>
      </x:c>
      <x:c r="N860" s="6" t="n">
        <x:v>0</x:v>
      </x:c>
      <x:c r="O860" s="6" t="n">
        <x:v>1</x:v>
      </x:c>
      <x:c r="P860" s="6" t="n">
        <x:v>2</x:v>
      </x:c>
      <x:c r="Q860" s="6" t="n">
        <x:v>1</x:v>
      </x:c>
      <x:c r="R860" s="6" t="n">
        <x:v>0</x:v>
      </x:c>
      <x:c r="S860" s="6" t="n">
        <x:v>3</x:v>
      </x:c>
      <x:c r="T860" s="6" t="n">
        <x:v>8</x:v>
      </x:c>
      <x:c r="U860" s="6" t="n">
        <x:v>0</x:v>
      </x:c>
      <x:c r="V860" s="6" t="n">
        <x:v>0</x:v>
      </x:c>
      <x:c r="W860" s="6" t="n">
        <x:v>0</x:v>
      </x:c>
      <x:c r="X860" s="6" t="n">
        <x:v>0</x:v>
      </x:c>
      <x:c r="Y860" s="6" t="n">
        <x:v>0</x:v>
      </x:c>
      <x:c r="Z860" s="6" t="n">
        <x:v>0</x:v>
      </x:c>
      <x:c r="AA860" s="6" t="n">
        <x:v>3</x:v>
      </x:c>
      <x:c r="AB860" s="6" t="n">
        <x:v>11</x:v>
      </x:c>
      <x:c r="AC860" s="6" t="n">
        <x:v>0</x:v>
      </x:c>
    </x:row>
    <x:row r="861">
      <x:c r="A861" s="6" t="n">
        <x:v>1031</x:v>
      </x:c>
      <x:c r="B861" s="6" t="n">
        <x:v>1989</x:v>
      </x:c>
      <x:c r="C861" s="6" t="str">
        <x:v>2n Cycle</x:v>
      </x:c>
      <x:c r="D861" s="6" t="str">
        <x:v>Married</x:v>
      </x:c>
      <x:c r="E861" s="6" t="n">
        <x:v>85710</x:v>
      </x:c>
      <x:c r="F861" s="6" t="n">
        <x:v>0</x:v>
      </x:c>
      <x:c r="G861" s="6" t="n">
        <x:v>0</x:v>
      </x:c>
      <x:c r="H861" s="9" t="str">
        <x:v>05-05-2013</x:v>
      </x:c>
      <x:c r="I861" s="6" t="n">
        <x:v>5</x:v>
      </x:c>
      <x:c r="J861" s="6" t="n">
        <x:v>600</x:v>
      </x:c>
      <x:c r="K861" s="6" t="n">
        <x:v>20</x:v>
      </x:c>
      <x:c r="L861" s="6" t="n">
        <x:v>350</x:v>
      </x:c>
      <x:c r="M861" s="6" t="n">
        <x:v>29</x:v>
      </x:c>
      <x:c r="N861" s="6" t="n">
        <x:v>30</x:v>
      </x:c>
      <x:c r="O861" s="6" t="n">
        <x:v>33</x:v>
      </x:c>
      <x:c r="P861" s="6" t="n">
        <x:v>1</x:v>
      </x:c>
      <x:c r="Q861" s="6" t="n">
        <x:v>6</x:v>
      </x:c>
      <x:c r="R861" s="6" t="n">
        <x:v>9</x:v>
      </x:c>
      <x:c r="S861" s="6" t="n">
        <x:v>10</x:v>
      </x:c>
      <x:c r="T861" s="6" t="n">
        <x:v>2</x:v>
      </x:c>
      <x:c r="U861" s="6" t="n">
        <x:v>0</x:v>
      </x:c>
      <x:c r="V861" s="6" t="n">
        <x:v>0</x:v>
      </x:c>
      <x:c r="W861" s="6" t="n">
        <x:v>1</x:v>
      </x:c>
      <x:c r="X861" s="6" t="n">
        <x:v>0</x:v>
      </x:c>
      <x:c r="Y861" s="6" t="n">
        <x:v>0</x:v>
      </x:c>
      <x:c r="Z861" s="6" t="n">
        <x:v>0</x:v>
      </x:c>
      <x:c r="AA861" s="6" t="n">
        <x:v>3</x:v>
      </x:c>
      <x:c r="AB861" s="6" t="n">
        <x:v>11</x:v>
      </x:c>
      <x:c r="AC861" s="6" t="n">
        <x:v>0</x:v>
      </x:c>
    </x:row>
    <x:row r="862">
      <x:c r="A862" s="6" t="n">
        <x:v>4297</x:v>
      </x:c>
      <x:c r="B862" s="6" t="n">
        <x:v>1969</x:v>
      </x:c>
      <x:c r="C862" s="6" t="str">
        <x:v>Graduation</x:v>
      </x:c>
      <x:c r="D862" s="6" t="str">
        <x:v>Together</x:v>
      </x:c>
      <x:c r="E862" s="6" t="n">
        <x:v>23228</x:v>
      </x:c>
      <x:c r="F862" s="6" t="n">
        <x:v>1</x:v>
      </x:c>
      <x:c r="G862" s="6" t="n">
        <x:v>0</x:v>
      </x:c>
      <x:c r="H862" s="9" t="str">
        <x:v>26-01-2014</x:v>
      </x:c>
      <x:c r="I862" s="6" t="n">
        <x:v>71</x:v>
      </x:c>
      <x:c r="J862" s="6" t="n">
        <x:v>13</x:v>
      </x:c>
      <x:c r="K862" s="6" t="n">
        <x:v>2</x:v>
      </x:c>
      <x:c r="L862" s="6" t="n">
        <x:v>18</x:v>
      </x:c>
      <x:c r="M862" s="6" t="n">
        <x:v>6</x:v>
      </x:c>
      <x:c r="N862" s="6" t="n">
        <x:v>1</x:v>
      </x:c>
      <x:c r="O862" s="6" t="n">
        <x:v>0</x:v>
      </x:c>
      <x:c r="P862" s="6" t="n">
        <x:v>2</x:v>
      </x:c>
      <x:c r="Q862" s="6" t="n">
        <x:v>2</x:v>
      </x:c>
      <x:c r="R862" s="6" t="n">
        <x:v>0</x:v>
      </x:c>
      <x:c r="S862" s="6" t="n">
        <x:v>3</x:v>
      </x:c>
      <x:c r="T862" s="6" t="n">
        <x:v>8</x:v>
      </x:c>
      <x:c r="U862" s="6" t="n">
        <x:v>0</x:v>
      </x:c>
      <x:c r="V862" s="6" t="n">
        <x:v>0</x:v>
      </x:c>
      <x:c r="W862" s="6" t="n">
        <x:v>0</x:v>
      </x:c>
      <x:c r="X862" s="6" t="n">
        <x:v>0</x:v>
      </x:c>
      <x:c r="Y862" s="6" t="n">
        <x:v>0</x:v>
      </x:c>
      <x:c r="Z862" s="6" t="n">
        <x:v>0</x:v>
      </x:c>
      <x:c r="AA862" s="6" t="n">
        <x:v>3</x:v>
      </x:c>
      <x:c r="AB862" s="6" t="n">
        <x:v>11</x:v>
      </x:c>
      <x:c r="AC862" s="6" t="n">
        <x:v>0</x:v>
      </x:c>
    </x:row>
    <x:row r="863">
      <x:c r="A863" s="6" t="n">
        <x:v>807</x:v>
      </x:c>
      <x:c r="B863" s="6" t="n">
        <x:v>1969</x:v>
      </x:c>
      <x:c r="C863" s="6" t="str">
        <x:v>Master</x:v>
      </x:c>
      <x:c r="D863" s="6" t="str">
        <x:v>Together</x:v>
      </x:c>
      <x:c r="E863" s="6" t="n">
        <x:v>44602</x:v>
      </x:c>
      <x:c r="F863" s="6" t="n">
        <x:v>1</x:v>
      </x:c>
      <x:c r="G863" s="6" t="n">
        <x:v>1</x:v>
      </x:c>
      <x:c r="H863" s="9" t="str">
        <x:v>15-02-2014</x:v>
      </x:c>
      <x:c r="I863" s="6" t="n">
        <x:v>35</x:v>
      </x:c>
      <x:c r="J863" s="6" t="n">
        <x:v>167</x:v>
      </x:c>
      <x:c r="K863" s="6" t="n">
        <x:v>2</x:v>
      </x:c>
      <x:c r="L863" s="6" t="n">
        <x:v>89</x:v>
      </x:c>
      <x:c r="M863" s="6" t="n">
        <x:v>0</x:v>
      </x:c>
      <x:c r="N863" s="6" t="n">
        <x:v>0</x:v>
      </x:c>
      <x:c r="O863" s="6" t="n">
        <x:v>34</x:v>
      </x:c>
      <x:c r="P863" s="6" t="n">
        <x:v>6</x:v>
      </x:c>
      <x:c r="Q863" s="6" t="n">
        <x:v>6</x:v>
      </x:c>
      <x:c r="R863" s="6" t="n">
        <x:v>1</x:v>
      </x:c>
      <x:c r="S863" s="6" t="n">
        <x:v>4</x:v>
      </x:c>
      <x:c r="T863" s="6" t="n">
        <x:v>8</x:v>
      </x:c>
      <x:c r="U863" s="6" t="n">
        <x:v>0</x:v>
      </x:c>
      <x:c r="V863" s="6" t="n">
        <x:v>0</x:v>
      </x:c>
      <x:c r="W863" s="6" t="n">
        <x:v>0</x:v>
      </x:c>
      <x:c r="X863" s="6" t="n">
        <x:v>0</x:v>
      </x:c>
      <x:c r="Y863" s="6" t="n">
        <x:v>0</x:v>
      </x:c>
      <x:c r="Z863" s="6" t="n">
        <x:v>0</x:v>
      </x:c>
      <x:c r="AA863" s="6" t="n">
        <x:v>3</x:v>
      </x:c>
      <x:c r="AB863" s="6" t="n">
        <x:v>11</x:v>
      </x:c>
      <x:c r="AC863" s="6" t="n">
        <x:v>0</x:v>
      </x:c>
    </x:row>
    <x:row r="864">
      <x:c r="A864" s="6" t="n">
        <x:v>9553</x:v>
      </x:c>
      <x:c r="B864" s="6" t="n">
        <x:v>1987</x:v>
      </x:c>
      <x:c r="C864" s="6" t="str">
        <x:v>Graduation</x:v>
      </x:c>
      <x:c r="D864" s="6" t="str">
        <x:v>Married</x:v>
      </x:c>
      <x:c r="E864" s="6" t="n">
        <x:v>7500</x:v>
      </x:c>
      <x:c r="F864" s="6" t="n">
        <x:v>0</x:v>
      </x:c>
      <x:c r="G864" s="6" t="n">
        <x:v>0</x:v>
      </x:c>
      <x:c r="H864" s="9" t="str">
        <x:v>09-01-2013</x:v>
      </x:c>
      <x:c r="I864" s="6" t="n">
        <x:v>94</x:v>
      </x:c>
      <x:c r="J864" s="6" t="n">
        <x:v>0</x:v>
      </x:c>
      <x:c r="K864" s="6" t="n">
        <x:v>2</x:v>
      </x:c>
      <x:c r="L864" s="6" t="n">
        <x:v>3</x:v>
      </x:c>
      <x:c r="M864" s="6" t="n">
        <x:v>4</x:v>
      </x:c>
      <x:c r="N864" s="6" t="n">
        <x:v>1</x:v>
      </x:c>
      <x:c r="O864" s="6" t="n">
        <x:v>5</x:v>
      </x:c>
      <x:c r="P864" s="6" t="n">
        <x:v>1</x:v>
      </x:c>
      <x:c r="Q864" s="6" t="n">
        <x:v>0</x:v>
      </x:c>
      <x:c r="R864" s="6" t="n">
        <x:v>0</x:v>
      </x:c>
      <x:c r="S864" s="6" t="n">
        <x:v>3</x:v>
      </x:c>
      <x:c r="T864" s="6" t="n">
        <x:v>6</x:v>
      </x:c>
      <x:c r="U864" s="6" t="n">
        <x:v>0</x:v>
      </x:c>
      <x:c r="V864" s="6" t="n">
        <x:v>0</x:v>
      </x:c>
      <x:c r="W864" s="6" t="n">
        <x:v>0</x:v>
      </x:c>
      <x:c r="X864" s="6" t="n">
        <x:v>0</x:v>
      </x:c>
      <x:c r="Y864" s="6" t="n">
        <x:v>0</x:v>
      </x:c>
      <x:c r="Z864" s="6" t="n">
        <x:v>0</x:v>
      </x:c>
      <x:c r="AA864" s="6" t="n">
        <x:v>3</x:v>
      </x:c>
      <x:c r="AB864" s="6" t="n">
        <x:v>11</x:v>
      </x:c>
      <x:c r="AC864" s="6" t="n">
        <x:v>0</x:v>
      </x:c>
    </x:row>
    <x:row r="865">
      <x:c r="A865" s="6" t="n">
        <x:v>4271</x:v>
      </x:c>
      <x:c r="B865" s="6" t="n">
        <x:v>1989</x:v>
      </x:c>
      <x:c r="C865" s="6" t="str">
        <x:v>2n Cycle</x:v>
      </x:c>
      <x:c r="D865" s="6" t="str">
        <x:v>Together</x:v>
      </x:c>
      <x:c r="E865" s="6" t="n">
        <x:v>38683</x:v>
      </x:c>
      <x:c r="F865" s="6" t="n">
        <x:v>1</x:v>
      </x:c>
      <x:c r="G865" s="6" t="n">
        <x:v>0</x:v>
      </x:c>
      <x:c r="H865" s="9" t="str">
        <x:v>04-10-2012</x:v>
      </x:c>
      <x:c r="I865" s="6" t="n">
        <x:v>80</x:v>
      </x:c>
      <x:c r="J865" s="6" t="n">
        <x:v>46</x:v>
      </x:c>
      <x:c r="K865" s="6" t="n">
        <x:v>35</x:v>
      </x:c>
      <x:c r="L865" s="6" t="n">
        <x:v>69</x:v>
      </x:c>
      <x:c r="M865" s="6" t="n">
        <x:v>84</x:v>
      </x:c>
      <x:c r="N865" s="6" t="n">
        <x:v>41</x:v>
      </x:c>
      <x:c r="O865" s="6" t="n">
        <x:v>66</x:v>
      </x:c>
      <x:c r="P865" s="6" t="n">
        <x:v>6</x:v>
      </x:c>
      <x:c r="Q865" s="6" t="n">
        <x:v>4</x:v>
      </x:c>
      <x:c r="R865" s="6" t="n">
        <x:v>1</x:v>
      </x:c>
      <x:c r="S865" s="6" t="n">
        <x:v>6</x:v>
      </x:c>
      <x:c r="T865" s="6" t="n">
        <x:v>7</x:v>
      </x:c>
      <x:c r="U865" s="6" t="n">
        <x:v>0</x:v>
      </x:c>
      <x:c r="V865" s="6" t="n">
        <x:v>0</x:v>
      </x:c>
      <x:c r="W865" s="6" t="n">
        <x:v>0</x:v>
      </x:c>
      <x:c r="X865" s="6" t="n">
        <x:v>0</x:v>
      </x:c>
      <x:c r="Y865" s="6" t="n">
        <x:v>0</x:v>
      </x:c>
      <x:c r="Z865" s="6" t="n">
        <x:v>0</x:v>
      </x:c>
      <x:c r="AA865" s="6" t="n">
        <x:v>3</x:v>
      </x:c>
      <x:c r="AB865" s="6" t="n">
        <x:v>11</x:v>
      </x:c>
      <x:c r="AC865" s="6" t="n">
        <x:v>0</x:v>
      </x:c>
    </x:row>
    <x:row r="866">
      <x:c r="A866" s="6" t="n">
        <x:v>4120</x:v>
      </x:c>
      <x:c r="B866" s="6" t="n">
        <x:v>1975</x:v>
      </x:c>
      <x:c r="C866" s="6" t="str">
        <x:v>2n Cycle</x:v>
      </x:c>
      <x:c r="D866" s="6" t="str">
        <x:v>Single</x:v>
      </x:c>
      <x:c r="E866" s="6" t="n">
        <x:v>49514</x:v>
      </x:c>
      <x:c r="F866" s="6" t="n">
        <x:v>1</x:v>
      </x:c>
      <x:c r="G866" s="6" t="n">
        <x:v>0</x:v>
      </x:c>
      <x:c r="H866" s="9" t="str">
        <x:v>17-12-2013</x:v>
      </x:c>
      <x:c r="I866" s="6" t="n">
        <x:v>61</x:v>
      </x:c>
      <x:c r="J866" s="6" t="n">
        <x:v>88</x:v>
      </x:c>
      <x:c r="K866" s="6" t="n">
        <x:v>39</x:v>
      </x:c>
      <x:c r="L866" s="6" t="n">
        <x:v>78</x:v>
      </x:c>
      <x:c r="M866" s="6" t="n">
        <x:v>58</x:v>
      </x:c>
      <x:c r="N866" s="6" t="n">
        <x:v>13</x:v>
      </x:c>
      <x:c r="O866" s="6" t="n">
        <x:v>93</x:v>
      </x:c>
      <x:c r="P866" s="6" t="n">
        <x:v>2</x:v>
      </x:c>
      <x:c r="Q866" s="6" t="n">
        <x:v>6</x:v>
      </x:c>
      <x:c r="R866" s="6" t="n">
        <x:v>1</x:v>
      </x:c>
      <x:c r="S866" s="6" t="n">
        <x:v>4</x:v>
      </x:c>
      <x:c r="T866" s="6" t="n">
        <x:v>7</x:v>
      </x:c>
      <x:c r="U866" s="6" t="n">
        <x:v>0</x:v>
      </x:c>
      <x:c r="V866" s="6" t="n">
        <x:v>0</x:v>
      </x:c>
      <x:c r="W866" s="6" t="n">
        <x:v>0</x:v>
      </x:c>
      <x:c r="X866" s="6" t="n">
        <x:v>0</x:v>
      </x:c>
      <x:c r="Y866" s="6" t="n">
        <x:v>0</x:v>
      </x:c>
      <x:c r="Z866" s="6" t="n">
        <x:v>0</x:v>
      </x:c>
      <x:c r="AA866" s="6" t="n">
        <x:v>3</x:v>
      </x:c>
      <x:c r="AB866" s="6" t="n">
        <x:v>11</x:v>
      </x:c>
      <x:c r="AC866" s="6" t="n">
        <x:v>0</x:v>
      </x:c>
    </x:row>
    <x:row r="867">
      <x:c r="A867" s="6" t="n">
        <x:v>2036</x:v>
      </x:c>
      <x:c r="B867" s="6" t="n">
        <x:v>1973</x:v>
      </x:c>
      <x:c r="C867" s="6" t="str">
        <x:v>PhD</x:v>
      </x:c>
      <x:c r="D867" s="6" t="str">
        <x:v>Together</x:v>
      </x:c>
      <x:c r="E867" s="6" t="n">
        <x:v>57906</x:v>
      </x:c>
      <x:c r="F867" s="6" t="n">
        <x:v>0</x:v>
      </x:c>
      <x:c r="G867" s="6" t="n">
        <x:v>1</x:v>
      </x:c>
      <x:c r="H867" s="9" t="str">
        <x:v>11-06-2013</x:v>
      </x:c>
      <x:c r="I867" s="6" t="n">
        <x:v>29</x:v>
      </x:c>
      <x:c r="J867" s="6" t="n">
        <x:v>243</x:v>
      </x:c>
      <x:c r="K867" s="6" t="n">
        <x:v>11</x:v>
      </x:c>
      <x:c r="L867" s="6" t="n">
        <x:v>119</x:v>
      </x:c>
      <x:c r="M867" s="6" t="n">
        <x:v>10</x:v>
      </x:c>
      <x:c r="N867" s="6" t="n">
        <x:v>3</x:v>
      </x:c>
      <x:c r="O867" s="6" t="n">
        <x:v>15</x:v>
      </x:c>
      <x:c r="P867" s="6" t="n">
        <x:v>3</x:v>
      </x:c>
      <x:c r="Q867" s="6" t="n">
        <x:v>4</x:v>
      </x:c>
      <x:c r="R867" s="6" t="n">
        <x:v>2</x:v>
      </x:c>
      <x:c r="S867" s="6" t="n">
        <x:v>8</x:v>
      </x:c>
      <x:c r="T867" s="6" t="n">
        <x:v>4</x:v>
      </x:c>
      <x:c r="U867" s="6" t="n">
        <x:v>0</x:v>
      </x:c>
      <x:c r="V867" s="6" t="n">
        <x:v>0</x:v>
      </x:c>
      <x:c r="W867" s="6" t="n">
        <x:v>0</x:v>
      </x:c>
      <x:c r="X867" s="6" t="n">
        <x:v>0</x:v>
      </x:c>
      <x:c r="Y867" s="6" t="n">
        <x:v>0</x:v>
      </x:c>
      <x:c r="Z867" s="6" t="n">
        <x:v>0</x:v>
      </x:c>
      <x:c r="AA867" s="6" t="n">
        <x:v>3</x:v>
      </x:c>
      <x:c r="AB867" s="6" t="n">
        <x:v>11</x:v>
      </x:c>
      <x:c r="AC867" s="6" t="n">
        <x:v>0</x:v>
      </x:c>
    </x:row>
    <x:row r="868">
      <x:c r="A868" s="6" t="n">
        <x:v>115</x:v>
      </x:c>
      <x:c r="B868" s="6" t="n">
        <x:v>1966</x:v>
      </x:c>
      <x:c r="C868" s="6" t="str">
        <x:v>Master</x:v>
      </x:c>
      <x:c r="D868" s="6" t="str">
        <x:v>Single</x:v>
      </x:c>
      <x:c r="E868" s="6" t="n">
        <x:v>43456</x:v>
      </x:c>
      <x:c r="F868" s="6" t="n">
        <x:v>0</x:v>
      </x:c>
      <x:c r="G868" s="6" t="n">
        <x:v>1</x:v>
      </x:c>
      <x:c r="H868" s="9" t="str">
        <x:v>26-03-2013</x:v>
      </x:c>
      <x:c r="I868" s="6" t="n">
        <x:v>0</x:v>
      </x:c>
      <x:c r="J868" s="6" t="n">
        <x:v>275</x:v>
      </x:c>
      <x:c r="K868" s="6" t="n">
        <x:v>11</x:v>
      </x:c>
      <x:c r="L868" s="6" t="n">
        <x:v>68</x:v>
      </x:c>
      <x:c r="M868" s="6" t="n">
        <x:v>25</x:v>
      </x:c>
      <x:c r="N868" s="6" t="n">
        <x:v>7</x:v>
      </x:c>
      <x:c r="O868" s="6" t="n">
        <x:v>7</x:v>
      </x:c>
      <x:c r="P868" s="6" t="n">
        <x:v>3</x:v>
      </x:c>
      <x:c r="Q868" s="6" t="n">
        <x:v>5</x:v>
      </x:c>
      <x:c r="R868" s="6" t="n">
        <x:v>1</x:v>
      </x:c>
      <x:c r="S868" s="6" t="n">
        <x:v>8</x:v>
      </x:c>
      <x:c r="T868" s="6" t="n">
        <x:v>5</x:v>
      </x:c>
      <x:c r="U868" s="6" t="n">
        <x:v>0</x:v>
      </x:c>
      <x:c r="V868" s="6" t="n">
        <x:v>0</x:v>
      </x:c>
      <x:c r="W868" s="6" t="n">
        <x:v>0</x:v>
      </x:c>
      <x:c r="X868" s="6" t="n">
        <x:v>0</x:v>
      </x:c>
      <x:c r="Y868" s="6" t="n">
        <x:v>0</x:v>
      </x:c>
      <x:c r="Z868" s="6" t="n">
        <x:v>0</x:v>
      </x:c>
      <x:c r="AA868" s="6" t="n">
        <x:v>3</x:v>
      </x:c>
      <x:c r="AB868" s="6" t="n">
        <x:v>11</x:v>
      </x:c>
      <x:c r="AC868" s="6" t="n">
        <x:v>0</x:v>
      </x:c>
    </x:row>
    <x:row r="869">
      <x:c r="A869" s="6" t="n">
        <x:v>4259</x:v>
      </x:c>
      <x:c r="B869" s="6" t="n">
        <x:v>1986</x:v>
      </x:c>
      <x:c r="C869" s="6" t="str">
        <x:v>Master</x:v>
      </x:c>
      <x:c r="D869" s="6" t="str">
        <x:v>Single</x:v>
      </x:c>
      <x:c r="E869" s="6" t="n">
        <x:v>19485</x:v>
      </x:c>
      <x:c r="F869" s="6" t="n">
        <x:v>2</x:v>
      </x:c>
      <x:c r="G869" s="6" t="n">
        <x:v>0</x:v>
      </x:c>
      <x:c r="H869" s="9" t="str">
        <x:v>24-09-2013</x:v>
      </x:c>
      <x:c r="I869" s="6" t="n">
        <x:v>80</x:v>
      </x:c>
      <x:c r="J869" s="6" t="n">
        <x:v>6</x:v>
      </x:c>
      <x:c r="K869" s="6" t="n">
        <x:v>0</x:v>
      </x:c>
      <x:c r="L869" s="6" t="n">
        <x:v>4</x:v>
      </x:c>
      <x:c r="M869" s="6" t="n">
        <x:v>0</x:v>
      </x:c>
      <x:c r="N869" s="6" t="n">
        <x:v>0</x:v>
      </x:c>
      <x:c r="O869" s="6" t="n">
        <x:v>0</x:v>
      </x:c>
      <x:c r="P869" s="6" t="n">
        <x:v>1</x:v>
      </x:c>
      <x:c r="Q869" s="6" t="n">
        <x:v>1</x:v>
      </x:c>
      <x:c r="R869" s="6" t="n">
        <x:v>0</x:v>
      </x:c>
      <x:c r="S869" s="6" t="n">
        <x:v>2</x:v>
      </x:c>
      <x:c r="T869" s="6" t="n">
        <x:v>7</x:v>
      </x:c>
      <x:c r="U869" s="6" t="n">
        <x:v>0</x:v>
      </x:c>
      <x:c r="V869" s="6" t="n">
        <x:v>0</x:v>
      </x:c>
      <x:c r="W869" s="6" t="n">
        <x:v>0</x:v>
      </x:c>
      <x:c r="X869" s="6" t="n">
        <x:v>0</x:v>
      </x:c>
      <x:c r="Y869" s="6" t="n">
        <x:v>0</x:v>
      </x:c>
      <x:c r="Z869" s="6" t="n">
        <x:v>0</x:v>
      </x:c>
      <x:c r="AA869" s="6" t="n">
        <x:v>3</x:v>
      </x:c>
      <x:c r="AB869" s="6" t="n">
        <x:v>11</x:v>
      </x:c>
      <x:c r="AC869" s="6" t="n">
        <x:v>0</x:v>
      </x:c>
    </x:row>
    <x:row r="870">
      <x:c r="A870" s="6" t="n">
        <x:v>8687</x:v>
      </x:c>
      <x:c r="B870" s="6" t="n">
        <x:v>1978</x:v>
      </x:c>
      <x:c r="C870" s="6" t="str">
        <x:v>Graduation</x:v>
      </x:c>
      <x:c r="D870" s="6" t="str">
        <x:v>Together</x:v>
      </x:c>
      <x:c r="E870" s="6" t="n">
        <x:v>53172</x:v>
      </x:c>
      <x:c r="F870" s="6" t="n">
        <x:v>0</x:v>
      </x:c>
      <x:c r="G870" s="6" t="n">
        <x:v>1</x:v>
      </x:c>
      <x:c r="H870" s="9" t="str">
        <x:v>06-05-2013</x:v>
      </x:c>
      <x:c r="I870" s="6" t="n">
        <x:v>54</x:v>
      </x:c>
      <x:c r="J870" s="6" t="n">
        <x:v>121</x:v>
      </x:c>
      <x:c r="K870" s="6" t="n">
        <x:v>62</x:v>
      </x:c>
      <x:c r="L870" s="6" t="n">
        <x:v>90</x:v>
      </x:c>
      <x:c r="M870" s="6" t="n">
        <x:v>68</x:v>
      </x:c>
      <x:c r="N870" s="6" t="n">
        <x:v>20</x:v>
      </x:c>
      <x:c r="O870" s="6" t="n">
        <x:v>125</x:v>
      </x:c>
      <x:c r="P870" s="6" t="n">
        <x:v>3</x:v>
      </x:c>
      <x:c r="Q870" s="6" t="n">
        <x:v>2</x:v>
      </x:c>
      <x:c r="R870" s="6" t="n">
        <x:v>3</x:v>
      </x:c>
      <x:c r="S870" s="6" t="n">
        <x:v>8</x:v>
      </x:c>
      <x:c r="T870" s="6" t="n">
        <x:v>3</x:v>
      </x:c>
      <x:c r="U870" s="6" t="n">
        <x:v>0</x:v>
      </x:c>
      <x:c r="V870" s="6" t="n">
        <x:v>0</x:v>
      </x:c>
      <x:c r="W870" s="6" t="n">
        <x:v>0</x:v>
      </x:c>
      <x:c r="X870" s="6" t="n">
        <x:v>0</x:v>
      </x:c>
      <x:c r="Y870" s="6" t="n">
        <x:v>0</x:v>
      </x:c>
      <x:c r="Z870" s="6" t="n">
        <x:v>0</x:v>
      </x:c>
      <x:c r="AA870" s="6" t="n">
        <x:v>3</x:v>
      </x:c>
      <x:c r="AB870" s="6" t="n">
        <x:v>11</x:v>
      </x:c>
      <x:c r="AC870" s="6" t="n">
        <x:v>0</x:v>
      </x:c>
    </x:row>
    <x:row r="871">
      <x:c r="A871" s="6" t="n">
        <x:v>2447</x:v>
      </x:c>
      <x:c r="B871" s="6" t="n">
        <x:v>1979</x:v>
      </x:c>
      <x:c r="C871" s="6" t="str">
        <x:v>Graduation</x:v>
      </x:c>
      <x:c r="D871" s="6" t="str">
        <x:v>Together</x:v>
      </x:c>
      <x:c r="E871" s="6" t="n">
        <x:v>30545</x:v>
      </x:c>
      <x:c r="F871" s="6" t="n">
        <x:v>1</x:v>
      </x:c>
      <x:c r="G871" s="6" t="n">
        <x:v>0</x:v>
      </x:c>
      <x:c r="H871" s="9" t="str">
        <x:v>17-10-2012</x:v>
      </x:c>
      <x:c r="I871" s="6" t="n">
        <x:v>71</x:v>
      </x:c>
      <x:c r="J871" s="6" t="n">
        <x:v>4</x:v>
      </x:c>
      <x:c r="K871" s="6" t="n">
        <x:v>12</x:v>
      </x:c>
      <x:c r="L871" s="6" t="n">
        <x:v>15</x:v>
      </x:c>
      <x:c r="M871" s="6" t="n">
        <x:v>19</x:v>
      </x:c>
      <x:c r="N871" s="6" t="n">
        <x:v>7</x:v>
      </x:c>
      <x:c r="O871" s="6" t="n">
        <x:v>12</x:v>
      </x:c>
      <x:c r="P871" s="6" t="n">
        <x:v>2</x:v>
      </x:c>
      <x:c r="Q871" s="6" t="n">
        <x:v>2</x:v>
      </x:c>
      <x:c r="R871" s="6" t="n">
        <x:v>0</x:v>
      </x:c>
      <x:c r="S871" s="6" t="n">
        <x:v>3</x:v>
      </x:c>
      <x:c r="T871" s="6" t="n">
        <x:v>7</x:v>
      </x:c>
      <x:c r="U871" s="6" t="n">
        <x:v>0</x:v>
      </x:c>
      <x:c r="V871" s="6" t="n">
        <x:v>0</x:v>
      </x:c>
      <x:c r="W871" s="6" t="n">
        <x:v>0</x:v>
      </x:c>
      <x:c r="X871" s="6" t="n">
        <x:v>0</x:v>
      </x:c>
      <x:c r="Y871" s="6" t="n">
        <x:v>0</x:v>
      </x:c>
      <x:c r="Z871" s="6" t="n">
        <x:v>0</x:v>
      </x:c>
      <x:c r="AA871" s="6" t="n">
        <x:v>3</x:v>
      </x:c>
      <x:c r="AB871" s="6" t="n">
        <x:v>11</x:v>
      </x:c>
      <x:c r="AC871" s="6" t="n">
        <x:v>0</x:v>
      </x:c>
    </x:row>
    <x:row r="872">
      <x:c r="A872" s="6" t="n">
        <x:v>10140</x:v>
      </x:c>
      <x:c r="B872" s="6" t="n">
        <x:v>1983</x:v>
      </x:c>
      <x:c r="C872" s="6" t="str">
        <x:v>PhD</x:v>
      </x:c>
      <x:c r="D872" s="6" t="str">
        <x:v>Together</x:v>
      </x:c>
      <x:c r="E872" s="6" t="n">
        <x:v>70123</x:v>
      </x:c>
      <x:c r="F872" s="6" t="n">
        <x:v>0</x:v>
      </x:c>
      <x:c r="G872" s="6" t="n">
        <x:v>0</x:v>
      </x:c>
      <x:c r="H872" s="9" t="str">
        <x:v>28-09-2013</x:v>
      </x:c>
      <x:c r="I872" s="6" t="n">
        <x:v>27</x:v>
      </x:c>
      <x:c r="J872" s="6" t="n">
        <x:v>1308</x:v>
      </x:c>
      <x:c r="K872" s="6" t="n">
        <x:v>0</x:v>
      </x:c>
      <x:c r="L872" s="6" t="n">
        <x:v>396</x:v>
      </x:c>
      <x:c r="M872" s="6" t="n">
        <x:v>23</x:v>
      </x:c>
      <x:c r="N872" s="6" t="n">
        <x:v>0</x:v>
      </x:c>
      <x:c r="O872" s="6" t="n">
        <x:v>0</x:v>
      </x:c>
      <x:c r="P872" s="6" t="n">
        <x:v>1</x:v>
      </x:c>
      <x:c r="Q872" s="6" t="n">
        <x:v>5</x:v>
      </x:c>
      <x:c r="R872" s="6" t="n">
        <x:v>7</x:v>
      </x:c>
      <x:c r="S872" s="6" t="n">
        <x:v>4</x:v>
      </x:c>
      <x:c r="T872" s="6" t="n">
        <x:v>3</x:v>
      </x:c>
      <x:c r="U872" s="6" t="n">
        <x:v>0</x:v>
      </x:c>
      <x:c r="V872" s="6" t="n">
        <x:v>1</x:v>
      </x:c>
      <x:c r="W872" s="6" t="n">
        <x:v>0</x:v>
      </x:c>
      <x:c r="X872" s="6" t="n">
        <x:v>0</x:v>
      </x:c>
      <x:c r="Y872" s="6" t="n">
        <x:v>1</x:v>
      </x:c>
      <x:c r="Z872" s="6" t="n">
        <x:v>0</x:v>
      </x:c>
      <x:c r="AA872" s="6" t="n">
        <x:v>3</x:v>
      </x:c>
      <x:c r="AB872" s="6" t="n">
        <x:v>11</x:v>
      </x:c>
      <x:c r="AC872" s="6" t="n">
        <x:v>0</x:v>
      </x:c>
    </x:row>
    <x:row r="873">
      <x:c r="A873" s="6" t="n">
        <x:v>9353</x:v>
      </x:c>
      <x:c r="B873" s="6" t="n">
        <x:v>1959</x:v>
      </x:c>
      <x:c r="C873" s="6" t="str">
        <x:v>Graduation</x:v>
      </x:c>
      <x:c r="D873" s="6" t="str">
        <x:v>Single</x:v>
      </x:c>
      <x:c r="E873" s="6" t="n">
        <x:v>62450</x:v>
      </x:c>
      <x:c r="F873" s="6" t="n">
        <x:v>0</x:v>
      </x:c>
      <x:c r="G873" s="6" t="n">
        <x:v>1</x:v>
      </x:c>
      <x:c r="H873" s="9" t="str">
        <x:v>06-01-2014</x:v>
      </x:c>
      <x:c r="I873" s="6" t="n">
        <x:v>61</x:v>
      </x:c>
      <x:c r="J873" s="6" t="n">
        <x:v>515</x:v>
      </x:c>
      <x:c r="K873" s="6" t="n">
        <x:v>47</x:v>
      </x:c>
      <x:c r="L873" s="6" t="n">
        <x:v>267</x:v>
      </x:c>
      <x:c r="M873" s="6" t="n">
        <x:v>62</x:v>
      </x:c>
      <x:c r="N873" s="6" t="n">
        <x:v>66</x:v>
      </x:c>
      <x:c r="O873" s="6" t="n">
        <x:v>38</x:v>
      </x:c>
      <x:c r="P873" s="6" t="n">
        <x:v>2</x:v>
      </x:c>
      <x:c r="Q873" s="6" t="n">
        <x:v>5</x:v>
      </x:c>
      <x:c r="R873" s="6" t="n">
        <x:v>5</x:v>
      </x:c>
      <x:c r="S873" s="6" t="n">
        <x:v>4</x:v>
      </x:c>
      <x:c r="T873" s="6" t="n">
        <x:v>3</x:v>
      </x:c>
      <x:c r="U873" s="6" t="n">
        <x:v>0</x:v>
      </x:c>
      <x:c r="V873" s="6" t="n">
        <x:v>1</x:v>
      </x:c>
      <x:c r="W873" s="6" t="n">
        <x:v>0</x:v>
      </x:c>
      <x:c r="X873" s="6" t="n">
        <x:v>0</x:v>
      </x:c>
      <x:c r="Y873" s="6" t="n">
        <x:v>0</x:v>
      </x:c>
      <x:c r="Z873" s="6" t="n">
        <x:v>0</x:v>
      </x:c>
      <x:c r="AA873" s="6" t="n">
        <x:v>3</x:v>
      </x:c>
      <x:c r="AB873" s="6" t="n">
        <x:v>11</x:v>
      </x:c>
      <x:c r="AC873" s="6" t="n">
        <x:v>0</x:v>
      </x:c>
    </x:row>
    <x:row r="874">
      <x:c r="A874" s="6" t="n">
        <x:v>3623</x:v>
      </x:c>
      <x:c r="B874" s="6" t="n">
        <x:v>1976</x:v>
      </x:c>
      <x:c r="C874" s="6" t="str">
        <x:v>Graduation</x:v>
      </x:c>
      <x:c r="D874" s="6" t="str">
        <x:v>Together</x:v>
      </x:c>
      <x:c r="E874" s="6" t="n">
        <x:v>21675</x:v>
      </x:c>
      <x:c r="F874" s="6" t="n">
        <x:v>1</x:v>
      </x:c>
      <x:c r="G874" s="6" t="n">
        <x:v>0</x:v>
      </x:c>
      <x:c r="H874" s="9" t="str">
        <x:v>11-06-2014</x:v>
      </x:c>
      <x:c r="I874" s="6" t="n">
        <x:v>55</x:v>
      </x:c>
      <x:c r="J874" s="6" t="n">
        <x:v>4</x:v>
      </x:c>
      <x:c r="K874" s="6" t="n">
        <x:v>0</x:v>
      </x:c>
      <x:c r="L874" s="6" t="n">
        <x:v>16</x:v>
      </x:c>
      <x:c r="M874" s="6" t="n">
        <x:v>17</x:v>
      </x:c>
      <x:c r="N874" s="6" t="n">
        <x:v>4</x:v>
      </x:c>
      <x:c r="O874" s="6" t="n">
        <x:v>4</x:v>
      </x:c>
      <x:c r="P874" s="6" t="n">
        <x:v>3</x:v>
      </x:c>
      <x:c r="Q874" s="6" t="n">
        <x:v>4</x:v>
      </x:c>
      <x:c r="R874" s="6" t="n">
        <x:v>0</x:v>
      </x:c>
      <x:c r="S874" s="6" t="n">
        <x:v>3</x:v>
      </x:c>
      <x:c r="T874" s="6" t="n">
        <x:v>7</x:v>
      </x:c>
      <x:c r="U874" s="6" t="n">
        <x:v>0</x:v>
      </x:c>
      <x:c r="V874" s="6" t="n">
        <x:v>0</x:v>
      </x:c>
      <x:c r="W874" s="6" t="n">
        <x:v>0</x:v>
      </x:c>
      <x:c r="X874" s="6" t="n">
        <x:v>0</x:v>
      </x:c>
      <x:c r="Y874" s="6" t="n">
        <x:v>0</x:v>
      </x:c>
      <x:c r="Z874" s="6" t="n">
        <x:v>0</x:v>
      </x:c>
      <x:c r="AA874" s="6" t="n">
        <x:v>3</x:v>
      </x:c>
      <x:c r="AB874" s="6" t="n">
        <x:v>11</x:v>
      </x:c>
      <x:c r="AC874" s="6" t="n">
        <x:v>0</x:v>
      </x:c>
    </x:row>
    <x:row r="875">
      <x:c r="A875" s="6" t="n">
        <x:v>738</x:v>
      </x:c>
      <x:c r="B875" s="6" t="n">
        <x:v>1981</x:v>
      </x:c>
      <x:c r="C875" s="6" t="str">
        <x:v>2n Cycle</x:v>
      </x:c>
      <x:c r="D875" s="6" t="str">
        <x:v>Single</x:v>
      </x:c>
      <x:c r="E875" s="6" t="n">
        <x:v>42395</x:v>
      </x:c>
      <x:c r="F875" s="6" t="n">
        <x:v>1</x:v>
      </x:c>
      <x:c r="G875" s="6" t="n">
        <x:v>1</x:v>
      </x:c>
      <x:c r="H875" s="9" t="str">
        <x:v>04-04-2014</x:v>
      </x:c>
      <x:c r="I875" s="6" t="n">
        <x:v>35</x:v>
      </x:c>
      <x:c r="J875" s="6" t="n">
        <x:v>48</x:v>
      </x:c>
      <x:c r="K875" s="6" t="n">
        <x:v>13</x:v>
      </x:c>
      <x:c r="L875" s="6" t="n">
        <x:v>57</x:v>
      </x:c>
      <x:c r="M875" s="6" t="n">
        <x:v>24</x:v>
      </x:c>
      <x:c r="N875" s="6" t="n">
        <x:v>15</x:v>
      </x:c>
      <x:c r="O875" s="6" t="n">
        <x:v>25</x:v>
      </x:c>
      <x:c r="P875" s="6" t="n">
        <x:v>4</x:v>
      </x:c>
      <x:c r="Q875" s="6" t="n">
        <x:v>3</x:v>
      </x:c>
      <x:c r="R875" s="6" t="n">
        <x:v>1</x:v>
      </x:c>
      <x:c r="S875" s="6" t="n">
        <x:v>4</x:v>
      </x:c>
      <x:c r="T875" s="6" t="n">
        <x:v>7</x:v>
      </x:c>
      <x:c r="U875" s="6" t="n">
        <x:v>0</x:v>
      </x:c>
      <x:c r="V875" s="6" t="n">
        <x:v>0</x:v>
      </x:c>
      <x:c r="W875" s="6" t="n">
        <x:v>0</x:v>
      </x:c>
      <x:c r="X875" s="6" t="n">
        <x:v>0</x:v>
      </x:c>
      <x:c r="Y875" s="6" t="n">
        <x:v>0</x:v>
      </x:c>
      <x:c r="Z875" s="6" t="n">
        <x:v>0</x:v>
      </x:c>
      <x:c r="AA875" s="6" t="n">
        <x:v>3</x:v>
      </x:c>
      <x:c r="AB875" s="6" t="n">
        <x:v>11</x:v>
      </x:c>
      <x:c r="AC875" s="6" t="n">
        <x:v>0</x:v>
      </x:c>
    </x:row>
    <x:row r="876">
      <x:c r="A876" s="6" t="n">
        <x:v>7631</x:v>
      </x:c>
      <x:c r="B876" s="6" t="n">
        <x:v>1978</x:v>
      </x:c>
      <x:c r="C876" s="6" t="str">
        <x:v>Master</x:v>
      </x:c>
      <x:c r="D876" s="6" t="str">
        <x:v>Together</x:v>
      </x:c>
      <x:c r="E876" s="6" t="n">
        <x:v>61346</x:v>
      </x:c>
      <x:c r="F876" s="6" t="n">
        <x:v>1</x:v>
      </x:c>
      <x:c r="G876" s="6" t="n">
        <x:v>0</x:v>
      </x:c>
      <x:c r="H876" s="9" t="str">
        <x:v>06-10-2013</x:v>
      </x:c>
      <x:c r="I876" s="6" t="n">
        <x:v>34</x:v>
      </x:c>
      <x:c r="J876" s="6" t="n">
        <x:v>562</x:v>
      </x:c>
      <x:c r="K876" s="6" t="n">
        <x:v>58</x:v>
      </x:c>
      <x:c r="L876" s="6" t="n">
        <x:v>168</x:v>
      </x:c>
      <x:c r="M876" s="6" t="n">
        <x:v>43</x:v>
      </x:c>
      <x:c r="N876" s="6" t="n">
        <x:v>16</x:v>
      </x:c>
      <x:c r="O876" s="6" t="n">
        <x:v>142</x:v>
      </x:c>
      <x:c r="P876" s="6" t="n">
        <x:v>1</x:v>
      </x:c>
      <x:c r="Q876" s="6" t="n">
        <x:v>5</x:v>
      </x:c>
      <x:c r="R876" s="6" t="n">
        <x:v>7</x:v>
      </x:c>
      <x:c r="S876" s="6" t="n">
        <x:v>10</x:v>
      </x:c>
      <x:c r="T876" s="6" t="n">
        <x:v>3</x:v>
      </x:c>
      <x:c r="U876" s="6" t="n">
        <x:v>0</x:v>
      </x:c>
      <x:c r="V876" s="6" t="n">
        <x:v>0</x:v>
      </x:c>
      <x:c r="W876" s="6" t="n">
        <x:v>0</x:v>
      </x:c>
      <x:c r="X876" s="6" t="n">
        <x:v>0</x:v>
      </x:c>
      <x:c r="Y876" s="6" t="n">
        <x:v>0</x:v>
      </x:c>
      <x:c r="Z876" s="6" t="n">
        <x:v>0</x:v>
      </x:c>
      <x:c r="AA876" s="6" t="n">
        <x:v>3</x:v>
      </x:c>
      <x:c r="AB876" s="6" t="n">
        <x:v>11</x:v>
      </x:c>
      <x:c r="AC876" s="6" t="n">
        <x:v>0</x:v>
      </x:c>
    </x:row>
    <x:row r="877">
      <x:c r="A877" s="6" t="n">
        <x:v>4789</x:v>
      </x:c>
      <x:c r="B877" s="6" t="n">
        <x:v>1953</x:v>
      </x:c>
      <x:c r="C877" s="6" t="str">
        <x:v>Graduation</x:v>
      </x:c>
      <x:c r="D877" s="6" t="str">
        <x:v>Together</x:v>
      </x:c>
      <x:c r="E877" s="6" t="n">
        <x:v>80812</x:v>
      </x:c>
      <x:c r="F877" s="6" t="n">
        <x:v>0</x:v>
      </x:c>
      <x:c r="G877" s="6" t="n">
        <x:v>0</x:v>
      </x:c>
      <x:c r="H877" s="9" t="str">
        <x:v>17-09-2013</x:v>
      </x:c>
      <x:c r="I877" s="6" t="n">
        <x:v>95</x:v>
      </x:c>
      <x:c r="J877" s="6" t="n">
        <x:v>769</x:v>
      </x:c>
      <x:c r="K877" s="6" t="n">
        <x:v>22</x:v>
      </x:c>
      <x:c r="L877" s="6" t="n">
        <x:v>500</x:v>
      </x:c>
      <x:c r="M877" s="6" t="n">
        <x:v>210</x:v>
      </x:c>
      <x:c r="N877" s="6" t="n">
        <x:v>143</x:v>
      </x:c>
      <x:c r="O877" s="6" t="n">
        <x:v>33</x:v>
      </x:c>
      <x:c r="P877" s="6" t="n">
        <x:v>1</x:v>
      </x:c>
      <x:c r="Q877" s="6" t="n">
        <x:v>4</x:v>
      </x:c>
      <x:c r="R877" s="6" t="n">
        <x:v>8</x:v>
      </x:c>
      <x:c r="S877" s="6" t="n">
        <x:v>5</x:v>
      </x:c>
      <x:c r="T877" s="6" t="n">
        <x:v>2</x:v>
      </x:c>
      <x:c r="U877" s="6" t="n">
        <x:v>1</x:v>
      </x:c>
      <x:c r="V877" s="6" t="n">
        <x:v>0</x:v>
      </x:c>
      <x:c r="W877" s="6" t="n">
        <x:v>1</x:v>
      </x:c>
      <x:c r="X877" s="6" t="n">
        <x:v>1</x:v>
      </x:c>
      <x:c r="Y877" s="6" t="n">
        <x:v>0</x:v>
      </x:c>
      <x:c r="Z877" s="6" t="n">
        <x:v>0</x:v>
      </x:c>
      <x:c r="AA877" s="6" t="n">
        <x:v>3</x:v>
      </x:c>
      <x:c r="AB877" s="6" t="n">
        <x:v>11</x:v>
      </x:c>
      <x:c r="AC877" s="6" t="n">
        <x:v>0</x:v>
      </x:c>
    </x:row>
    <x:row r="878">
      <x:c r="A878" s="6" t="n">
        <x:v>773</x:v>
      </x:c>
      <x:c r="B878" s="6" t="n">
        <x:v>1971</x:v>
      </x:c>
      <x:c r="C878" s="6" t="str">
        <x:v>Master</x:v>
      </x:c>
      <x:c r="D878" s="6" t="str">
        <x:v>Divorced</x:v>
      </x:c>
      <x:c r="E878" s="6" t="n">
        <x:v>42835</x:v>
      </x:c>
      <x:c r="F878" s="6" t="n">
        <x:v>1</x:v>
      </x:c>
      <x:c r="G878" s="6" t="n">
        <x:v>1</x:v>
      </x:c>
      <x:c r="H878" s="9" t="str">
        <x:v>30-06-2013</x:v>
      </x:c>
      <x:c r="I878" s="6" t="n">
        <x:v>64</x:v>
      </x:c>
      <x:c r="J878" s="6" t="n">
        <x:v>379</x:v>
      </x:c>
      <x:c r="K878" s="6" t="n">
        <x:v>4</x:v>
      </x:c>
      <x:c r="L878" s="6" t="n">
        <x:v>93</x:v>
      </x:c>
      <x:c r="M878" s="6" t="n">
        <x:v>12</x:v>
      </x:c>
      <x:c r="N878" s="6" t="n">
        <x:v>9</x:v>
      </x:c>
      <x:c r="O878" s="6" t="n">
        <x:v>98</x:v>
      </x:c>
      <x:c r="P878" s="6" t="n">
        <x:v>7</x:v>
      </x:c>
      <x:c r="Q878" s="6" t="n">
        <x:v>6</x:v>
      </x:c>
      <x:c r="R878" s="6" t="n">
        <x:v>6</x:v>
      </x:c>
      <x:c r="S878" s="6" t="n">
        <x:v>4</x:v>
      </x:c>
      <x:c r="T878" s="6" t="n">
        <x:v>6</x:v>
      </x:c>
      <x:c r="U878" s="6" t="n">
        <x:v>0</x:v>
      </x:c>
      <x:c r="V878" s="6" t="n">
        <x:v>0</x:v>
      </x:c>
      <x:c r="W878" s="6" t="n">
        <x:v>0</x:v>
      </x:c>
      <x:c r="X878" s="6" t="n">
        <x:v>0</x:v>
      </x:c>
      <x:c r="Y878" s="6" t="n">
        <x:v>0</x:v>
      </x:c>
      <x:c r="Z878" s="6" t="n">
        <x:v>0</x:v>
      </x:c>
      <x:c r="AA878" s="6" t="n">
        <x:v>3</x:v>
      </x:c>
      <x:c r="AB878" s="6" t="n">
        <x:v>11</x:v>
      </x:c>
      <x:c r="AC878" s="6" t="n">
        <x:v>0</x:v>
      </x:c>
    </x:row>
    <x:row r="879">
      <x:c r="A879" s="6" t="n">
        <x:v>10602</x:v>
      </x:c>
      <x:c r="B879" s="6" t="n">
        <x:v>1983</x:v>
      </x:c>
      <x:c r="C879" s="6" t="str">
        <x:v>Graduation</x:v>
      </x:c>
      <x:c r="D879" s="6" t="str">
        <x:v>Married</x:v>
      </x:c>
      <x:c r="E879" s="6" t="n">
        <x:v>39922</x:v>
      </x:c>
      <x:c r="F879" s="6" t="n">
        <x:v>1</x:v>
      </x:c>
      <x:c r="G879" s="6" t="n">
        <x:v>0</x:v>
      </x:c>
      <x:c r="H879" s="9" t="str">
        <x:v>14-02-2013</x:v>
      </x:c>
      <x:c r="I879" s="6" t="n">
        <x:v>30</x:v>
      </x:c>
      <x:c r="J879" s="6" t="n">
        <x:v>29</x:v>
      </x:c>
      <x:c r="K879" s="6" t="n">
        <x:v>12</x:v>
      </x:c>
      <x:c r="L879" s="6" t="n">
        <x:v>59</x:v>
      </x:c>
      <x:c r="M879" s="6" t="n">
        <x:v>19</x:v>
      </x:c>
      <x:c r="N879" s="6" t="n">
        <x:v>1</x:v>
      </x:c>
      <x:c r="O879" s="6" t="n">
        <x:v>36</x:v>
      </x:c>
      <x:c r="P879" s="6" t="n">
        <x:v>2</x:v>
      </x:c>
      <x:c r="Q879" s="6" t="n">
        <x:v>3</x:v>
      </x:c>
      <x:c r="R879" s="6" t="n">
        <x:v>0</x:v>
      </x:c>
      <x:c r="S879" s="6" t="n">
        <x:v>4</x:v>
      </x:c>
      <x:c r="T879" s="6" t="n">
        <x:v>8</x:v>
      </x:c>
      <x:c r="U879" s="6" t="n">
        <x:v>0</x:v>
      </x:c>
      <x:c r="V879" s="6" t="n">
        <x:v>0</x:v>
      </x:c>
      <x:c r="W879" s="6" t="n">
        <x:v>0</x:v>
      </x:c>
      <x:c r="X879" s="6" t="n">
        <x:v>0</x:v>
      </x:c>
      <x:c r="Y879" s="6" t="n">
        <x:v>0</x:v>
      </x:c>
      <x:c r="Z879" s="6" t="n">
        <x:v>0</x:v>
      </x:c>
      <x:c r="AA879" s="6" t="n">
        <x:v>3</x:v>
      </x:c>
      <x:c r="AB879" s="6" t="n">
        <x:v>11</x:v>
      </x:c>
      <x:c r="AC879" s="6" t="n">
        <x:v>0</x:v>
      </x:c>
    </x:row>
    <x:row r="880">
      <x:c r="A880" s="6" t="n">
        <x:v>1446</x:v>
      </x:c>
      <x:c r="B880" s="6" t="n">
        <x:v>1956</x:v>
      </x:c>
      <x:c r="C880" s="6" t="str">
        <x:v>Master</x:v>
      </x:c>
      <x:c r="D880" s="6" t="str">
        <x:v>Single</x:v>
      </x:c>
      <x:c r="E880" s="6" t="n">
        <x:v>86424</x:v>
      </x:c>
      <x:c r="F880" s="6" t="n">
        <x:v>0</x:v>
      </x:c>
      <x:c r="G880" s="6" t="n">
        <x:v>0</x:v>
      </x:c>
      <x:c r="H880" s="9" t="str">
        <x:v>05-04-2014</x:v>
      </x:c>
      <x:c r="I880" s="6" t="n">
        <x:v>12</x:v>
      </x:c>
      <x:c r="J880" s="6" t="n">
        <x:v>387</x:v>
      </x:c>
      <x:c r="K880" s="6" t="n">
        <x:v>68</x:v>
      </x:c>
      <x:c r="L880" s="6" t="n">
        <x:v>569</x:v>
      </x:c>
      <x:c r="M880" s="6" t="n">
        <x:v>89</x:v>
      </x:c>
      <x:c r="N880" s="6" t="n">
        <x:v>45</x:v>
      </x:c>
      <x:c r="O880" s="6" t="n">
        <x:v>68</x:v>
      </x:c>
      <x:c r="P880" s="6" t="n">
        <x:v>1</x:v>
      </x:c>
      <x:c r="Q880" s="6" t="n">
        <x:v>6</x:v>
      </x:c>
      <x:c r="R880" s="6" t="n">
        <x:v>9</x:v>
      </x:c>
      <x:c r="S880" s="6" t="n">
        <x:v>12</x:v>
      </x:c>
      <x:c r="T880" s="6" t="n">
        <x:v>1</x:v>
      </x:c>
      <x:c r="U880" s="6" t="n">
        <x:v>0</x:v>
      </x:c>
      <x:c r="V880" s="6" t="n">
        <x:v>0</x:v>
      </x:c>
      <x:c r="W880" s="6" t="n">
        <x:v>0</x:v>
      </x:c>
      <x:c r="X880" s="6" t="n">
        <x:v>0</x:v>
      </x:c>
      <x:c r="Y880" s="6" t="n">
        <x:v>0</x:v>
      </x:c>
      <x:c r="Z880" s="6" t="n">
        <x:v>0</x:v>
      </x:c>
      <x:c r="AA880" s="6" t="n">
        <x:v>3</x:v>
      </x:c>
      <x:c r="AB880" s="6" t="n">
        <x:v>11</x:v>
      </x:c>
      <x:c r="AC880" s="6" t="n">
        <x:v>0</x:v>
      </x:c>
    </x:row>
    <x:row r="881">
      <x:c r="A881" s="6" t="n">
        <x:v>3270</x:v>
      </x:c>
      <x:c r="B881" s="6" t="n">
        <x:v>1978</x:v>
      </x:c>
      <x:c r="C881" s="6" t="str">
        <x:v>2n Cycle</x:v>
      </x:c>
      <x:c r="D881" s="6" t="str">
        <x:v>Together</x:v>
      </x:c>
      <x:c r="E881" s="6" t="n">
        <x:v>17117</x:v>
      </x:c>
      <x:c r="F881" s="6" t="n">
        <x:v>1</x:v>
      </x:c>
      <x:c r="G881" s="6" t="n">
        <x:v>0</x:v>
      </x:c>
      <x:c r="H881" s="9" t="str">
        <x:v>17-01-2013</x:v>
      </x:c>
      <x:c r="I881" s="6" t="n">
        <x:v>96</x:v>
      </x:c>
      <x:c r="J881" s="6" t="n">
        <x:v>12</x:v>
      </x:c>
      <x:c r="K881" s="6" t="n">
        <x:v>23</x:v>
      </x:c>
      <x:c r="L881" s="6" t="n">
        <x:v>38</x:v>
      </x:c>
      <x:c r="M881" s="6" t="n">
        <x:v>30</x:v>
      </x:c>
      <x:c r="N881" s="6" t="n">
        <x:v>18</x:v>
      </x:c>
      <x:c r="O881" s="6" t="n">
        <x:v>7</x:v>
      </x:c>
      <x:c r="P881" s="6" t="n">
        <x:v>4</x:v>
      </x:c>
      <x:c r="Q881" s="6" t="n">
        <x:v>3</x:v>
      </x:c>
      <x:c r="R881" s="6" t="n">
        <x:v>1</x:v>
      </x:c>
      <x:c r="S881" s="6" t="n">
        <x:v>3</x:v>
      </x:c>
      <x:c r="T881" s="6" t="n">
        <x:v>9</x:v>
      </x:c>
      <x:c r="U881" s="6" t="n">
        <x:v>0</x:v>
      </x:c>
      <x:c r="V881" s="6" t="n">
        <x:v>0</x:v>
      </x:c>
      <x:c r="W881" s="6" t="n">
        <x:v>0</x:v>
      </x:c>
      <x:c r="X881" s="6" t="n">
        <x:v>0</x:v>
      </x:c>
      <x:c r="Y881" s="6" t="n">
        <x:v>0</x:v>
      </x:c>
      <x:c r="Z881" s="6" t="n">
        <x:v>0</x:v>
      </x:c>
      <x:c r="AA881" s="6" t="n">
        <x:v>3</x:v>
      </x:c>
      <x:c r="AB881" s="6" t="n">
        <x:v>11</x:v>
      </x:c>
      <x:c r="AC881" s="6" t="n">
        <x:v>0</x:v>
      </x:c>
    </x:row>
    <x:row r="882">
      <x:c r="A882" s="6" t="n">
        <x:v>8443</x:v>
      </x:c>
      <x:c r="B882" s="6" t="n">
        <x:v>1972</x:v>
      </x:c>
      <x:c r="C882" s="6" t="str">
        <x:v>Graduation</x:v>
      </x:c>
      <x:c r="D882" s="6" t="str">
        <x:v>Single</x:v>
      </x:c>
      <x:c r="E882" s="6" t="n">
        <x:v>24762</x:v>
      </x:c>
      <x:c r="F882" s="6" t="n">
        <x:v>1</x:v>
      </x:c>
      <x:c r="G882" s="6" t="n">
        <x:v>0</x:v>
      </x:c>
      <x:c r="H882" s="9" t="str">
        <x:v>10-02-2014</x:v>
      </x:c>
      <x:c r="I882" s="6" t="n">
        <x:v>16</x:v>
      </x:c>
      <x:c r="J882" s="6" t="n">
        <x:v>6</x:v>
      </x:c>
      <x:c r="K882" s="6" t="n">
        <x:v>10</x:v>
      </x:c>
      <x:c r="L882" s="6" t="n">
        <x:v>12</x:v>
      </x:c>
      <x:c r="M882" s="6" t="n">
        <x:v>3</x:v>
      </x:c>
      <x:c r="N882" s="6" t="n">
        <x:v>15</x:v>
      </x:c>
      <x:c r="O882" s="6" t="n">
        <x:v>40</x:v>
      </x:c>
      <x:c r="P882" s="6" t="n">
        <x:v>3</x:v>
      </x:c>
      <x:c r="Q882" s="6" t="n">
        <x:v>3</x:v>
      </x:c>
      <x:c r="R882" s="6" t="n">
        <x:v>1</x:v>
      </x:c>
      <x:c r="S882" s="6" t="n">
        <x:v>2</x:v>
      </x:c>
      <x:c r="T882" s="6" t="n">
        <x:v>8</x:v>
      </x:c>
      <x:c r="U882" s="6" t="n">
        <x:v>1</x:v>
      </x:c>
      <x:c r="V882" s="6" t="n">
        <x:v>0</x:v>
      </x:c>
      <x:c r="W882" s="6" t="n">
        <x:v>0</x:v>
      </x:c>
      <x:c r="X882" s="6" t="n">
        <x:v>0</x:v>
      </x:c>
      <x:c r="Y882" s="6" t="n">
        <x:v>0</x:v>
      </x:c>
      <x:c r="Z882" s="6" t="n">
        <x:v>0</x:v>
      </x:c>
      <x:c r="AA882" s="6" t="n">
        <x:v>3</x:v>
      </x:c>
      <x:c r="AB882" s="6" t="n">
        <x:v>11</x:v>
      </x:c>
      <x:c r="AC882" s="6" t="n">
        <x:v>1</x:v>
      </x:c>
    </x:row>
    <x:row r="883">
      <x:c r="A883" s="6" t="n">
        <x:v>9653</x:v>
      </x:c>
      <x:c r="B883" s="6" t="n">
        <x:v>1975</x:v>
      </x:c>
      <x:c r="C883" s="6" t="str">
        <x:v>Graduation</x:v>
      </x:c>
      <x:c r="D883" s="6" t="str">
        <x:v>Married</x:v>
      </x:c>
      <x:c r="E883" s="6" t="n">
        <x:v>35797</x:v>
      </x:c>
      <x:c r="F883" s="6" t="n">
        <x:v>0</x:v>
      </x:c>
      <x:c r="G883" s="6" t="n">
        <x:v>1</x:v>
      </x:c>
      <x:c r="H883" s="9" t="str">
        <x:v>16-10-2012</x:v>
      </x:c>
      <x:c r="I883" s="6" t="n">
        <x:v>16</x:v>
      </x:c>
      <x:c r="J883" s="6" t="n">
        <x:v>27</x:v>
      </x:c>
      <x:c r="K883" s="6" t="n">
        <x:v>1</x:v>
      </x:c>
      <x:c r="L883" s="6" t="n">
        <x:v>14</x:v>
      </x:c>
      <x:c r="M883" s="6" t="n">
        <x:v>4</x:v>
      </x:c>
      <x:c r="N883" s="6" t="n">
        <x:v>1</x:v>
      </x:c>
      <x:c r="O883" s="6" t="n">
        <x:v>21</x:v>
      </x:c>
      <x:c r="P883" s="6" t="n">
        <x:v>2</x:v>
      </x:c>
      <x:c r="Q883" s="6" t="n">
        <x:v>2</x:v>
      </x:c>
      <x:c r="R883" s="6" t="n">
        <x:v>0</x:v>
      </x:c>
      <x:c r="S883" s="6" t="n">
        <x:v>3</x:v>
      </x:c>
      <x:c r="T883" s="6" t="n">
        <x:v>8</x:v>
      </x:c>
      <x:c r="U883" s="6" t="n">
        <x:v>0</x:v>
      </x:c>
      <x:c r="V883" s="6" t="n">
        <x:v>0</x:v>
      </x:c>
      <x:c r="W883" s="6" t="n">
        <x:v>0</x:v>
      </x:c>
      <x:c r="X883" s="6" t="n">
        <x:v>0</x:v>
      </x:c>
      <x:c r="Y883" s="6" t="n">
        <x:v>0</x:v>
      </x:c>
      <x:c r="Z883" s="6" t="n">
        <x:v>0</x:v>
      </x:c>
      <x:c r="AA883" s="6" t="n">
        <x:v>3</x:v>
      </x:c>
      <x:c r="AB883" s="6" t="n">
        <x:v>11</x:v>
      </x:c>
      <x:c r="AC883" s="6" t="n">
        <x:v>0</x:v>
      </x:c>
    </x:row>
    <x:row r="884">
      <x:c r="A884" s="6" t="n">
        <x:v>8916</x:v>
      </x:c>
      <x:c r="B884" s="6" t="n">
        <x:v>1975</x:v>
      </x:c>
      <x:c r="C884" s="6" t="str">
        <x:v>Graduation</x:v>
      </x:c>
      <x:c r="D884" s="6" t="str">
        <x:v>Divorced</x:v>
      </x:c>
      <x:c r="E884" s="6" t="n">
        <x:v>36627</x:v>
      </x:c>
      <x:c r="F884" s="6" t="n">
        <x:v>2</x:v>
      </x:c>
      <x:c r="G884" s="6" t="n">
        <x:v>0</x:v>
      </x:c>
      <x:c r="H884" s="9" t="str">
        <x:v>23-07-2013</x:v>
      </x:c>
      <x:c r="I884" s="6" t="n">
        <x:v>78</x:v>
      </x:c>
      <x:c r="J884" s="6" t="n">
        <x:v>9</x:v>
      </x:c>
      <x:c r="K884" s="6" t="n">
        <x:v>1</x:v>
      </x:c>
      <x:c r="L884" s="6" t="n">
        <x:v>5</x:v>
      </x:c>
      <x:c r="M884" s="6" t="n">
        <x:v>0</x:v>
      </x:c>
      <x:c r="N884" s="6" t="n">
        <x:v>0</x:v>
      </x:c>
      <x:c r="O884" s="6" t="n">
        <x:v>1</x:v>
      </x:c>
      <x:c r="P884" s="6" t="n">
        <x:v>1</x:v>
      </x:c>
      <x:c r="Q884" s="6" t="n">
        <x:v>0</x:v>
      </x:c>
      <x:c r="R884" s="6" t="n">
        <x:v>0</x:v>
      </x:c>
      <x:c r="S884" s="6" t="n">
        <x:v>3</x:v>
      </x:c>
      <x:c r="T884" s="6" t="n">
        <x:v>5</x:v>
      </x:c>
      <x:c r="U884" s="6" t="n">
        <x:v>0</x:v>
      </x:c>
      <x:c r="V884" s="6" t="n">
        <x:v>0</x:v>
      </x:c>
      <x:c r="W884" s="6" t="n">
        <x:v>0</x:v>
      </x:c>
      <x:c r="X884" s="6" t="n">
        <x:v>0</x:v>
      </x:c>
      <x:c r="Y884" s="6" t="n">
        <x:v>0</x:v>
      </x:c>
      <x:c r="Z884" s="6" t="n">
        <x:v>0</x:v>
      </x:c>
      <x:c r="AA884" s="6" t="n">
        <x:v>3</x:v>
      </x:c>
      <x:c r="AB884" s="6" t="n">
        <x:v>11</x:v>
      </x:c>
      <x:c r="AC884" s="6" t="n">
        <x:v>0</x:v>
      </x:c>
    </x:row>
    <x:row r="885">
      <x:c r="A885" s="6" t="n">
        <x:v>8017</x:v>
      </x:c>
      <x:c r="B885" s="6" t="n">
        <x:v>1981</x:v>
      </x:c>
      <x:c r="C885" s="6" t="str">
        <x:v>2n Cycle</x:v>
      </x:c>
      <x:c r="D885" s="6" t="str">
        <x:v>Married</x:v>
      </x:c>
      <x:c r="E885" s="6" t="n">
        <x:v>51111</x:v>
      </x:c>
      <x:c r="F885" s="6" t="n">
        <x:v>1</x:v>
      </x:c>
      <x:c r="G885" s="6" t="n">
        <x:v>1</x:v>
      </x:c>
      <x:c r="H885" s="9" t="str">
        <x:v>19-06-2014</x:v>
      </x:c>
      <x:c r="I885" s="6" t="n">
        <x:v>83</x:v>
      </x:c>
      <x:c r="J885" s="6" t="n">
        <x:v>22</x:v>
      </x:c>
      <x:c r="K885" s="6" t="n">
        <x:v>0</x:v>
      </x:c>
      <x:c r="L885" s="6" t="n">
        <x:v>19</x:v>
      </x:c>
      <x:c r="M885" s="6" t="n">
        <x:v>6</x:v>
      </x:c>
      <x:c r="N885" s="6" t="n">
        <x:v>5</x:v>
      </x:c>
      <x:c r="O885" s="6" t="n">
        <x:v>3</x:v>
      </x:c>
      <x:c r="P885" s="6" t="n">
        <x:v>2</x:v>
      </x:c>
      <x:c r="Q885" s="6" t="n">
        <x:v>2</x:v>
      </x:c>
      <x:c r="R885" s="6" t="n">
        <x:v>0</x:v>
      </x:c>
      <x:c r="S885" s="6" t="n">
        <x:v>3</x:v>
      </x:c>
      <x:c r="T885" s="6" t="n">
        <x:v>6</x:v>
      </x:c>
      <x:c r="U885" s="6" t="n">
        <x:v>0</x:v>
      </x:c>
      <x:c r="V885" s="6" t="n">
        <x:v>0</x:v>
      </x:c>
      <x:c r="W885" s="6" t="n">
        <x:v>0</x:v>
      </x:c>
      <x:c r="X885" s="6" t="n">
        <x:v>0</x:v>
      </x:c>
      <x:c r="Y885" s="6" t="n">
        <x:v>0</x:v>
      </x:c>
      <x:c r="Z885" s="6" t="n">
        <x:v>0</x:v>
      </x:c>
      <x:c r="AA885" s="6" t="n">
        <x:v>3</x:v>
      </x:c>
      <x:c r="AB885" s="6" t="n">
        <x:v>11</x:v>
      </x:c>
      <x:c r="AC885" s="6" t="n">
        <x:v>0</x:v>
      </x:c>
    </x:row>
    <x:row r="886">
      <x:c r="A886" s="6" t="n">
        <x:v>5830</x:v>
      </x:c>
      <x:c r="B886" s="6" t="n">
        <x:v>1972</x:v>
      </x:c>
      <x:c r="C886" s="6" t="str">
        <x:v>PhD</x:v>
      </x:c>
      <x:c r="D886" s="6" t="str">
        <x:v>Single</x:v>
      </x:c>
      <x:c r="E886" s="6" t="n">
        <x:v>86857</x:v>
      </x:c>
      <x:c r="F886" s="6" t="n">
        <x:v>0</x:v>
      </x:c>
      <x:c r="G886" s="6" t="n">
        <x:v>0</x:v>
      </x:c>
      <x:c r="H886" s="9" t="str">
        <x:v>12-09-2012</x:v>
      </x:c>
      <x:c r="I886" s="6" t="n">
        <x:v>96</x:v>
      </x:c>
      <x:c r="J886" s="6" t="n">
        <x:v>899</x:v>
      </x:c>
      <x:c r="K886" s="6" t="n">
        <x:v>102</x:v>
      </x:c>
      <x:c r="L886" s="6" t="n">
        <x:v>838</x:v>
      </x:c>
      <x:c r="M886" s="6" t="n">
        <x:v>133</x:v>
      </x:c>
      <x:c r="N886" s="6" t="n">
        <x:v>102</x:v>
      </x:c>
      <x:c r="O886" s="6" t="n">
        <x:v>40</x:v>
      </x:c>
      <x:c r="P886" s="6" t="n">
        <x:v>1</x:v>
      </x:c>
      <x:c r="Q886" s="6" t="n">
        <x:v>5</x:v>
      </x:c>
      <x:c r="R886" s="6" t="n">
        <x:v>6</x:v>
      </x:c>
      <x:c r="S886" s="6" t="n">
        <x:v>10</x:v>
      </x:c>
      <x:c r="T886" s="6" t="n">
        <x:v>2</x:v>
      </x:c>
      <x:c r="U886" s="6" t="n">
        <x:v>0</x:v>
      </x:c>
      <x:c r="V886" s="6" t="n">
        <x:v>0</x:v>
      </x:c>
      <x:c r="W886" s="6" t="n">
        <x:v>0</x:v>
      </x:c>
      <x:c r="X886" s="6" t="n">
        <x:v>0</x:v>
      </x:c>
      <x:c r="Y886" s="6" t="n">
        <x:v>0</x:v>
      </x:c>
      <x:c r="Z886" s="6" t="n">
        <x:v>0</x:v>
      </x:c>
      <x:c r="AA886" s="6" t="n">
        <x:v>3</x:v>
      </x:c>
      <x:c r="AB886" s="6" t="n">
        <x:v>11</x:v>
      </x:c>
      <x:c r="AC886" s="6" t="n">
        <x:v>1</x:v>
      </x:c>
    </x:row>
    <x:row r="887">
      <x:c r="A887" s="6" t="n">
        <x:v>4597</x:v>
      </x:c>
      <x:c r="B887" s="6" t="n">
        <x:v>1970</x:v>
      </x:c>
      <x:c r="C887" s="6" t="str">
        <x:v>PhD</x:v>
      </x:c>
      <x:c r="D887" s="6" t="str">
        <x:v>Together</x:v>
      </x:c>
      <x:c r="E887" s="6" t="n">
        <x:v>82072</x:v>
      </x:c>
      <x:c r="F887" s="6" t="n">
        <x:v>0</x:v>
      </x:c>
      <x:c r="G887" s="6" t="n">
        <x:v>0</x:v>
      </x:c>
      <x:c r="H887" s="9" t="str">
        <x:v>02-07-2013</x:v>
      </x:c>
      <x:c r="I887" s="6" t="n">
        <x:v>67</x:v>
      </x:c>
      <x:c r="J887" s="6" t="n">
        <x:v>889</x:v>
      </x:c>
      <x:c r="K887" s="6" t="n">
        <x:v>55</x:v>
      </x:c>
      <x:c r="L887" s="6" t="n">
        <x:v>685</x:v>
      </x:c>
      <x:c r="M887" s="6" t="n">
        <x:v>168</x:v>
      </x:c>
      <x:c r="N887" s="6" t="n">
        <x:v>92</x:v>
      </x:c>
      <x:c r="O887" s="6" t="n">
        <x:v>129</x:v>
      </x:c>
      <x:c r="P887" s="6" t="n">
        <x:v>1</x:v>
      </x:c>
      <x:c r="Q887" s="6" t="n">
        <x:v>3</x:v>
      </x:c>
      <x:c r="R887" s="6" t="n">
        <x:v>2</x:v>
      </x:c>
      <x:c r="S887" s="6" t="n">
        <x:v>13</x:v>
      </x:c>
      <x:c r="T887" s="6" t="n">
        <x:v>1</x:v>
      </x:c>
      <x:c r="U887" s="6" t="n">
        <x:v>0</x:v>
      </x:c>
      <x:c r="V887" s="6" t="n">
        <x:v>0</x:v>
      </x:c>
      <x:c r="W887" s="6" t="n">
        <x:v>0</x:v>
      </x:c>
      <x:c r="X887" s="6" t="n">
        <x:v>0</x:v>
      </x:c>
      <x:c r="Y887" s="6" t="n">
        <x:v>0</x:v>
      </x:c>
      <x:c r="Z887" s="6" t="n">
        <x:v>0</x:v>
      </x:c>
      <x:c r="AA887" s="6" t="n">
        <x:v>3</x:v>
      </x:c>
      <x:c r="AB887" s="6" t="n">
        <x:v>11</x:v>
      </x:c>
      <x:c r="AC887" s="6" t="n">
        <x:v>0</x:v>
      </x:c>
    </x:row>
    <x:row r="888">
      <x:c r="A888" s="6" t="n">
        <x:v>7023</x:v>
      </x:c>
      <x:c r="B888" s="6" t="n">
        <x:v>1953</x:v>
      </x:c>
      <x:c r="C888" s="6" t="str">
        <x:v>PhD</x:v>
      </x:c>
      <x:c r="D888" s="6" t="str">
        <x:v>Single</x:v>
      </x:c>
      <x:c r="E888" s="6" t="n">
        <x:v>46231</x:v>
      </x:c>
      <x:c r="F888" s="6" t="n">
        <x:v>2</x:v>
      </x:c>
      <x:c r="G888" s="6" t="n">
        <x:v>1</x:v>
      </x:c>
      <x:c r="H888" s="9" t="str">
        <x:v>26-11-2012</x:v>
      </x:c>
      <x:c r="I888" s="6" t="n">
        <x:v>87</x:v>
      </x:c>
      <x:c r="J888" s="6" t="n">
        <x:v>189</x:v>
      </x:c>
      <x:c r="K888" s="6" t="n">
        <x:v>2</x:v>
      </x:c>
      <x:c r="L888" s="6" t="n">
        <x:v>55</x:v>
      </x:c>
      <x:c r="M888" s="6" t="n">
        <x:v>0</x:v>
      </x:c>
      <x:c r="N888" s="6" t="n">
        <x:v>5</x:v>
      </x:c>
      <x:c r="O888" s="6" t="n">
        <x:v>12</x:v>
      </x:c>
      <x:c r="P888" s="6" t="n">
        <x:v>4</x:v>
      </x:c>
      <x:c r="Q888" s="6" t="n">
        <x:v>6</x:v>
      </x:c>
      <x:c r="R888" s="6" t="n">
        <x:v>1</x:v>
      </x:c>
      <x:c r="S888" s="6" t="n">
        <x:v>4</x:v>
      </x:c>
      <x:c r="T888" s="6" t="n">
        <x:v>9</x:v>
      </x:c>
      <x:c r="U888" s="6" t="n">
        <x:v>0</x:v>
      </x:c>
      <x:c r="V888" s="6" t="n">
        <x:v>0</x:v>
      </x:c>
      <x:c r="W888" s="6" t="n">
        <x:v>0</x:v>
      </x:c>
      <x:c r="X888" s="6" t="n">
        <x:v>0</x:v>
      </x:c>
      <x:c r="Y888" s="6" t="n">
        <x:v>0</x:v>
      </x:c>
      <x:c r="Z888" s="6" t="n">
        <x:v>0</x:v>
      </x:c>
      <x:c r="AA888" s="6" t="n">
        <x:v>3</x:v>
      </x:c>
      <x:c r="AB888" s="6" t="n">
        <x:v>11</x:v>
      </x:c>
      <x:c r="AC888" s="6" t="n">
        <x:v>0</x:v>
      </x:c>
    </x:row>
    <x:row r="889">
      <x:c r="A889" s="6" t="n">
        <x:v>8086</x:v>
      </x:c>
      <x:c r="B889" s="6" t="n">
        <x:v>1959</x:v>
      </x:c>
      <x:c r="C889" s="6" t="str">
        <x:v>Graduation</x:v>
      </x:c>
      <x:c r="D889" s="6" t="str">
        <x:v>Married</x:v>
      </x:c>
      <x:c r="E889" s="6" t="n">
        <x:v>42243</x:v>
      </x:c>
      <x:c r="F889" s="6" t="n">
        <x:v>1</x:v>
      </x:c>
      <x:c r="G889" s="6" t="n">
        <x:v>1</x:v>
      </x:c>
      <x:c r="H889" s="9" t="str">
        <x:v>11-12-2013</x:v>
      </x:c>
      <x:c r="I889" s="6" t="n">
        <x:v>34</x:v>
      </x:c>
      <x:c r="J889" s="6" t="n">
        <x:v>48</x:v>
      </x:c>
      <x:c r="K889" s="6" t="n">
        <x:v>0</x:v>
      </x:c>
      <x:c r="L889" s="6" t="n">
        <x:v>2</x:v>
      </x:c>
      <x:c r="M889" s="6" t="n">
        <x:v>0</x:v>
      </x:c>
      <x:c r="N889" s="6" t="n">
        <x:v>0</x:v>
      </x:c>
      <x:c r="O889" s="6" t="n">
        <x:v>5</x:v>
      </x:c>
      <x:c r="P889" s="6" t="n">
        <x:v>2</x:v>
      </x:c>
      <x:c r="Q889" s="6" t="n">
        <x:v>2</x:v>
      </x:c>
      <x:c r="R889" s="6" t="n">
        <x:v>0</x:v>
      </x:c>
      <x:c r="S889" s="6" t="n">
        <x:v>3</x:v>
      </x:c>
      <x:c r="T889" s="6" t="n">
        <x:v>7</x:v>
      </x:c>
      <x:c r="U889" s="6" t="n">
        <x:v>0</x:v>
      </x:c>
      <x:c r="V889" s="6" t="n">
        <x:v>0</x:v>
      </x:c>
      <x:c r="W889" s="6" t="n">
        <x:v>0</x:v>
      </x:c>
      <x:c r="X889" s="6" t="n">
        <x:v>0</x:v>
      </x:c>
      <x:c r="Y889" s="6" t="n">
        <x:v>0</x:v>
      </x:c>
      <x:c r="Z889" s="6" t="n">
        <x:v>0</x:v>
      </x:c>
      <x:c r="AA889" s="6" t="n">
        <x:v>3</x:v>
      </x:c>
      <x:c r="AB889" s="6" t="n">
        <x:v>11</x:v>
      </x:c>
      <x:c r="AC889" s="6" t="n">
        <x:v>0</x:v>
      </x:c>
    </x:row>
    <x:row r="890">
      <x:c r="A890" s="6" t="n">
        <x:v>8825</x:v>
      </x:c>
      <x:c r="B890" s="6" t="n">
        <x:v>1962</x:v>
      </x:c>
      <x:c r="C890" s="6" t="str">
        <x:v>Graduation</x:v>
      </x:c>
      <x:c r="D890" s="6" t="str">
        <x:v>Together</x:v>
      </x:c>
      <x:c r="E890" s="6" t="n">
        <x:v>51195</x:v>
      </x:c>
      <x:c r="F890" s="6" t="n">
        <x:v>1</x:v>
      </x:c>
      <x:c r="G890" s="6" t="n">
        <x:v>1</x:v>
      </x:c>
      <x:c r="H890" s="9" t="str">
        <x:v>01-04-2013</x:v>
      </x:c>
      <x:c r="I890" s="6" t="n">
        <x:v>46</x:v>
      </x:c>
      <x:c r="J890" s="6" t="n">
        <x:v>230</x:v>
      </x:c>
      <x:c r="K890" s="6" t="n">
        <x:v>14</x:v>
      </x:c>
      <x:c r="L890" s="6" t="n">
        <x:v>156</x:v>
      </x:c>
      <x:c r="M890" s="6" t="n">
        <x:v>82</x:v>
      </x:c>
      <x:c r="N890" s="6" t="n">
        <x:v>24</x:v>
      </x:c>
      <x:c r="O890" s="6" t="n">
        <x:v>58</x:v>
      </x:c>
      <x:c r="P890" s="6" t="n">
        <x:v>8</x:v>
      </x:c>
      <x:c r="Q890" s="6" t="n">
        <x:v>9</x:v>
      </x:c>
      <x:c r="R890" s="6" t="n">
        <x:v>2</x:v>
      </x:c>
      <x:c r="S890" s="6" t="n">
        <x:v>5</x:v>
      </x:c>
      <x:c r="T890" s="6" t="n">
        <x:v>8</x:v>
      </x:c>
      <x:c r="U890" s="6" t="n">
        <x:v>0</x:v>
      </x:c>
      <x:c r="V890" s="6" t="n">
        <x:v>0</x:v>
      </x:c>
      <x:c r="W890" s="6" t="n">
        <x:v>0</x:v>
      </x:c>
      <x:c r="X890" s="6" t="n">
        <x:v>0</x:v>
      </x:c>
      <x:c r="Y890" s="6" t="n">
        <x:v>0</x:v>
      </x:c>
      <x:c r="Z890" s="6" t="n">
        <x:v>0</x:v>
      </x:c>
      <x:c r="AA890" s="6" t="n">
        <x:v>3</x:v>
      </x:c>
      <x:c r="AB890" s="6" t="n">
        <x:v>11</x:v>
      </x:c>
      <x:c r="AC890" s="6" t="n">
        <x:v>0</x:v>
      </x:c>
    </x:row>
    <x:row r="891">
      <x:c r="A891" s="6" t="n">
        <x:v>2930</x:v>
      </x:c>
      <x:c r="B891" s="6" t="n">
        <x:v>1978</x:v>
      </x:c>
      <x:c r="C891" s="6" t="str">
        <x:v>Master</x:v>
      </x:c>
      <x:c r="D891" s="6" t="str">
        <x:v>Single</x:v>
      </x:c>
      <x:c r="E891" s="6" t="n">
        <x:v>68092</x:v>
      </x:c>
      <x:c r="F891" s="6" t="n">
        <x:v>0</x:v>
      </x:c>
      <x:c r="G891" s="6" t="n">
        <x:v>0</x:v>
      </x:c>
      <x:c r="H891" s="9" t="str">
        <x:v>16-12-2013</x:v>
      </x:c>
      <x:c r="I891" s="6" t="n">
        <x:v>7</x:v>
      </x:c>
      <x:c r="J891" s="6" t="n">
        <x:v>852</x:v>
      </x:c>
      <x:c r="K891" s="6" t="n">
        <x:v>60</x:v>
      </x:c>
      <x:c r="L891" s="6" t="n">
        <x:v>207</x:v>
      </x:c>
      <x:c r="M891" s="6" t="n">
        <x:v>78</x:v>
      </x:c>
      <x:c r="N891" s="6" t="n">
        <x:v>36</x:v>
      </x:c>
      <x:c r="O891" s="6" t="n">
        <x:v>48</x:v>
      </x:c>
      <x:c r="P891" s="6" t="n">
        <x:v>2</x:v>
      </x:c>
      <x:c r="Q891" s="6" t="n">
        <x:v>2</x:v>
      </x:c>
      <x:c r="R891" s="6" t="n">
        <x:v>6</x:v>
      </x:c>
      <x:c r="S891" s="6" t="n">
        <x:v>10</x:v>
      </x:c>
      <x:c r="T891" s="6" t="n">
        <x:v>5</x:v>
      </x:c>
      <x:c r="U891" s="6" t="n">
        <x:v>0</x:v>
      </x:c>
      <x:c r="V891" s="6" t="n">
        <x:v>0</x:v>
      </x:c>
      <x:c r="W891" s="6" t="n">
        <x:v>0</x:v>
      </x:c>
      <x:c r="X891" s="6" t="n">
        <x:v>0</x:v>
      </x:c>
      <x:c r="Y891" s="6" t="n">
        <x:v>0</x:v>
      </x:c>
      <x:c r="Z891" s="6" t="n">
        <x:v>0</x:v>
      </x:c>
      <x:c r="AA891" s="6" t="n">
        <x:v>3</x:v>
      </x:c>
      <x:c r="AB891" s="6" t="n">
        <x:v>11</x:v>
      </x:c>
      <x:c r="AC891" s="6" t="n">
        <x:v>0</x:v>
      </x:c>
    </x:row>
    <x:row r="892">
      <x:c r="A892" s="6" t="n">
        <x:v>1928</x:v>
      </x:c>
      <x:c r="B892" s="6" t="n">
        <x:v>1973</x:v>
      </x:c>
      <x:c r="C892" s="6" t="str">
        <x:v>Graduation</x:v>
      </x:c>
      <x:c r="D892" s="6" t="str">
        <x:v>Married</x:v>
      </x:c>
      <x:c r="E892" s="6" t="n">
        <x:v>31814</x:v>
      </x:c>
      <x:c r="F892" s="6" t="n">
        <x:v>1</x:v>
      </x:c>
      <x:c r="G892" s="6" t="n">
        <x:v>0</x:v>
      </x:c>
      <x:c r="H892" s="9" t="str">
        <x:v>09-02-2013</x:v>
      </x:c>
      <x:c r="I892" s="6" t="n">
        <x:v>73</x:v>
      </x:c>
      <x:c r="J892" s="6" t="n">
        <x:v>35</x:v>
      </x:c>
      <x:c r="K892" s="6" t="n">
        <x:v>3</x:v>
      </x:c>
      <x:c r="L892" s="6" t="n">
        <x:v>20</x:v>
      </x:c>
      <x:c r="M892" s="6" t="n">
        <x:v>4</x:v>
      </x:c>
      <x:c r="N892" s="6" t="n">
        <x:v>1</x:v>
      </x:c>
      <x:c r="O892" s="6" t="n">
        <x:v>20</x:v>
      </x:c>
      <x:c r="P892" s="6" t="n">
        <x:v>2</x:v>
      </x:c>
      <x:c r="Q892" s="6" t="n">
        <x:v>2</x:v>
      </x:c>
      <x:c r="R892" s="6" t="n">
        <x:v>0</x:v>
      </x:c>
      <x:c r="S892" s="6" t="n">
        <x:v>3</x:v>
      </x:c>
      <x:c r="T892" s="6" t="n">
        <x:v>9</x:v>
      </x:c>
      <x:c r="U892" s="6" t="n">
        <x:v>1</x:v>
      </x:c>
      <x:c r="V892" s="6" t="n">
        <x:v>0</x:v>
      </x:c>
      <x:c r="W892" s="6" t="n">
        <x:v>0</x:v>
      </x:c>
      <x:c r="X892" s="6" t="n">
        <x:v>0</x:v>
      </x:c>
      <x:c r="Y892" s="6" t="n">
        <x:v>0</x:v>
      </x:c>
      <x:c r="Z892" s="6" t="n">
        <x:v>0</x:v>
      </x:c>
      <x:c r="AA892" s="6" t="n">
        <x:v>3</x:v>
      </x:c>
      <x:c r="AB892" s="6" t="n">
        <x:v>11</x:v>
      </x:c>
      <x:c r="AC892" s="6" t="n">
        <x:v>0</x:v>
      </x:c>
    </x:row>
    <x:row r="893">
      <x:c r="A893" s="6" t="n">
        <x:v>7108</x:v>
      </x:c>
      <x:c r="B893" s="6" t="n">
        <x:v>1965</x:v>
      </x:c>
      <x:c r="C893" s="6" t="str">
        <x:v>Master</x:v>
      </x:c>
      <x:c r="D893" s="6" t="str">
        <x:v>Widow</x:v>
      </x:c>
      <x:c r="E893" s="6" t="n">
        <x:v>51390</x:v>
      </x:c>
      <x:c r="F893" s="6" t="n">
        <x:v>1</x:v>
      </x:c>
      <x:c r="G893" s="6" t="n">
        <x:v>1</x:v>
      </x:c>
      <x:c r="H893" s="9" t="str">
        <x:v>08-09-2012</x:v>
      </x:c>
      <x:c r="I893" s="6" t="n">
        <x:v>54</x:v>
      </x:c>
      <x:c r="J893" s="6" t="n">
        <x:v>205</x:v>
      </x:c>
      <x:c r="K893" s="6" t="n">
        <x:v>20</x:v>
      </x:c>
      <x:c r="L893" s="6" t="n">
        <x:v>47</x:v>
      </x:c>
      <x:c r="M893" s="6" t="n">
        <x:v>23</x:v>
      </x:c>
      <x:c r="N893" s="6" t="n">
        <x:v>2</x:v>
      </x:c>
      <x:c r="O893" s="6" t="n">
        <x:v>56</x:v>
      </x:c>
      <x:c r="P893" s="6" t="n">
        <x:v>6</x:v>
      </x:c>
      <x:c r="Q893" s="6" t="n">
        <x:v>5</x:v>
      </x:c>
      <x:c r="R893" s="6" t="n">
        <x:v>2</x:v>
      </x:c>
      <x:c r="S893" s="6" t="n">
        <x:v>5</x:v>
      </x:c>
      <x:c r="T893" s="6" t="n">
        <x:v>5</x:v>
      </x:c>
      <x:c r="U893" s="6" t="n">
        <x:v>0</x:v>
      </x:c>
      <x:c r="V893" s="6" t="n">
        <x:v>0</x:v>
      </x:c>
      <x:c r="W893" s="6" t="n">
        <x:v>0</x:v>
      </x:c>
      <x:c r="X893" s="6" t="n">
        <x:v>0</x:v>
      </x:c>
      <x:c r="Y893" s="6" t="n">
        <x:v>0</x:v>
      </x:c>
      <x:c r="Z893" s="6" t="n">
        <x:v>0</x:v>
      </x:c>
      <x:c r="AA893" s="6" t="n">
        <x:v>3</x:v>
      </x:c>
      <x:c r="AB893" s="6" t="n">
        <x:v>11</x:v>
      </x:c>
      <x:c r="AC893" s="6" t="n">
        <x:v>0</x:v>
      </x:c>
    </x:row>
    <x:row r="894">
      <x:c r="A894" s="6" t="n">
        <x:v>10925</x:v>
      </x:c>
      <x:c r="B894" s="6" t="n">
        <x:v>1983</x:v>
      </x:c>
      <x:c r="C894" s="6" t="str">
        <x:v>Graduation</x:v>
      </x:c>
      <x:c r="D894" s="6" t="str">
        <x:v>Married</x:v>
      </x:c>
      <x:c r="E894" s="6" t="n">
        <x:v>76630</x:v>
      </x:c>
      <x:c r="F894" s="6" t="n">
        <x:v>0</x:v>
      </x:c>
      <x:c r="G894" s="6" t="n">
        <x:v>0</x:v>
      </x:c>
      <x:c r="H894" s="9" t="str">
        <x:v>14-01-2014</x:v>
      </x:c>
      <x:c r="I894" s="6" t="n">
        <x:v>93</x:v>
      </x:c>
      <x:c r="J894" s="6" t="n">
        <x:v>255</x:v>
      </x:c>
      <x:c r="K894" s="6" t="n">
        <x:v>31</x:v>
      </x:c>
      <x:c r="L894" s="6" t="n">
        <x:v>446</x:v>
      </x:c>
      <x:c r="M894" s="6" t="n">
        <x:v>40</x:v>
      </x:c>
      <x:c r="N894" s="6" t="n">
        <x:v>56</x:v>
      </x:c>
      <x:c r="O894" s="6" t="n">
        <x:v>175</x:v>
      </x:c>
      <x:c r="P894" s="6" t="n">
        <x:v>1</x:v>
      </x:c>
      <x:c r="Q894" s="6" t="n">
        <x:v>3</x:v>
      </x:c>
      <x:c r="R894" s="6" t="n">
        <x:v>10</x:v>
      </x:c>
      <x:c r="S894" s="6" t="n">
        <x:v>11</x:v>
      </x:c>
      <x:c r="T894" s="6" t="n">
        <x:v>1</x:v>
      </x:c>
      <x:c r="U894" s="6" t="n">
        <x:v>0</x:v>
      </x:c>
      <x:c r="V894" s="6" t="n">
        <x:v>0</x:v>
      </x:c>
      <x:c r="W894" s="6" t="n">
        <x:v>0</x:v>
      </x:c>
      <x:c r="X894" s="6" t="n">
        <x:v>0</x:v>
      </x:c>
      <x:c r="Y894" s="6" t="n">
        <x:v>0</x:v>
      </x:c>
      <x:c r="Z894" s="6" t="n">
        <x:v>0</x:v>
      </x:c>
      <x:c r="AA894" s="6" t="n">
        <x:v>3</x:v>
      </x:c>
      <x:c r="AB894" s="6" t="n">
        <x:v>11</x:v>
      </x:c>
      <x:c r="AC894" s="6" t="n">
        <x:v>0</x:v>
      </x:c>
    </x:row>
    <x:row r="895">
      <x:c r="A895" s="6" t="n">
        <x:v>9960</x:v>
      </x:c>
      <x:c r="B895" s="6" t="n">
        <x:v>1991</x:v>
      </x:c>
      <x:c r="C895" s="6" t="str">
        <x:v>Basic</x:v>
      </x:c>
      <x:c r="D895" s="6" t="str">
        <x:v>Single</x:v>
      </x:c>
      <x:c r="E895" s="6" t="n">
        <x:v>26868</x:v>
      </x:c>
      <x:c r="F895" s="6" t="n">
        <x:v>1</x:v>
      </x:c>
      <x:c r="G895" s="6" t="n">
        <x:v>0</x:v>
      </x:c>
      <x:c r="H895" s="9" t="str">
        <x:v>30-04-2014</x:v>
      </x:c>
      <x:c r="I895" s="6" t="n">
        <x:v>52</x:v>
      </x:c>
      <x:c r="J895" s="6" t="n">
        <x:v>0</x:v>
      </x:c>
      <x:c r="K895" s="6" t="n">
        <x:v>0</x:v>
      </x:c>
      <x:c r="L895" s="6" t="n">
        <x:v>1</x:v>
      </x:c>
      <x:c r="M895" s="6" t="n">
        <x:v>8</x:v>
      </x:c>
      <x:c r="N895" s="6" t="n">
        <x:v>3</x:v>
      </x:c>
      <x:c r="O895" s="6" t="n">
        <x:v>2</x:v>
      </x:c>
      <x:c r="P895" s="6" t="n">
        <x:v>1</x:v>
      </x:c>
      <x:c r="Q895" s="6" t="n">
        <x:v>1</x:v>
      </x:c>
      <x:c r="R895" s="6" t="n">
        <x:v>0</x:v>
      </x:c>
      <x:c r="S895" s="6" t="n">
        <x:v>2</x:v>
      </x:c>
      <x:c r="T895" s="6" t="n">
        <x:v>7</x:v>
      </x:c>
      <x:c r="U895" s="6" t="n">
        <x:v>0</x:v>
      </x:c>
      <x:c r="V895" s="6" t="n">
        <x:v>0</x:v>
      </x:c>
      <x:c r="W895" s="6" t="n">
        <x:v>0</x:v>
      </x:c>
      <x:c r="X895" s="6" t="n">
        <x:v>0</x:v>
      </x:c>
      <x:c r="Y895" s="6" t="n">
        <x:v>0</x:v>
      </x:c>
      <x:c r="Z895" s="6" t="n">
        <x:v>0</x:v>
      </x:c>
      <x:c r="AA895" s="6" t="n">
        <x:v>3</x:v>
      </x:c>
      <x:c r="AB895" s="6" t="n">
        <x:v>11</x:v>
      </x:c>
      <x:c r="AC895" s="6" t="n">
        <x:v>0</x:v>
      </x:c>
    </x:row>
    <x:row r="896">
      <x:c r="A896" s="6" t="n">
        <x:v>8800</x:v>
      </x:c>
      <x:c r="B896" s="6" t="n">
        <x:v>1943</x:v>
      </x:c>
      <x:c r="C896" s="6" t="str">
        <x:v>PhD</x:v>
      </x:c>
      <x:c r="D896" s="6" t="str">
        <x:v>Divorced</x:v>
      </x:c>
      <x:c r="E896" s="6" t="n">
        <x:v>48948</x:v>
      </x:c>
      <x:c r="F896" s="6" t="n">
        <x:v>0</x:v>
      </x:c>
      <x:c r="G896" s="6" t="n">
        <x:v>0</x:v>
      </x:c>
      <x:c r="H896" s="9" t="str">
        <x:v>01-02-2013</x:v>
      </x:c>
      <x:c r="I896" s="6" t="n">
        <x:v>53</x:v>
      </x:c>
      <x:c r="J896" s="6" t="n">
        <x:v>437</x:v>
      </x:c>
      <x:c r="K896" s="6" t="n">
        <x:v>8</x:v>
      </x:c>
      <x:c r="L896" s="6" t="n">
        <x:v>206</x:v>
      </x:c>
      <x:c r="M896" s="6" t="n">
        <x:v>160</x:v>
      </x:c>
      <x:c r="N896" s="6" t="n">
        <x:v>49</x:v>
      </x:c>
      <x:c r="O896" s="6" t="n">
        <x:v>42</x:v>
      </x:c>
      <x:c r="P896" s="6" t="n">
        <x:v>2</x:v>
      </x:c>
      <x:c r="Q896" s="6" t="n">
        <x:v>7</x:v>
      </x:c>
      <x:c r="R896" s="6" t="n">
        <x:v>10</x:v>
      </x:c>
      <x:c r="S896" s="6" t="n">
        <x:v>5</x:v>
      </x:c>
      <x:c r="T896" s="6" t="n">
        <x:v>6</x:v>
      </x:c>
      <x:c r="U896" s="6" t="n">
        <x:v>1</x:v>
      </x:c>
      <x:c r="V896" s="6" t="n">
        <x:v>0</x:v>
      </x:c>
      <x:c r="W896" s="6" t="n">
        <x:v>0</x:v>
      </x:c>
      <x:c r="X896" s="6" t="n">
        <x:v>0</x:v>
      </x:c>
      <x:c r="Y896" s="6" t="n">
        <x:v>0</x:v>
      </x:c>
      <x:c r="Z896" s="6" t="n">
        <x:v>0</x:v>
      </x:c>
      <x:c r="AA896" s="6" t="n">
        <x:v>3</x:v>
      </x:c>
      <x:c r="AB896" s="6" t="n">
        <x:v>11</x:v>
      </x:c>
      <x:c r="AC896" s="6" t="n">
        <x:v>1</x:v>
      </x:c>
    </x:row>
    <x:row r="897">
      <x:c r="A897" s="6" t="n">
        <x:v>9224</x:v>
      </x:c>
      <x:c r="B897" s="6" t="n">
        <x:v>1972</x:v>
      </x:c>
      <x:c r="C897" s="6" t="str">
        <x:v>PhD</x:v>
      </x:c>
      <x:c r="D897" s="6" t="str">
        <x:v>Single</x:v>
      </x:c>
      <x:c r="E897" s="6" t="n">
        <x:v>55260</x:v>
      </x:c>
      <x:c r="F897" s="6" t="n">
        <x:v>0</x:v>
      </x:c>
      <x:c r="G897" s="6" t="n">
        <x:v>1</x:v>
      </x:c>
      <x:c r="H897" s="9" t="str">
        <x:v>12-12-2012</x:v>
      </x:c>
      <x:c r="I897" s="6" t="n">
        <x:v>81</x:v>
      </x:c>
      <x:c r="J897" s="6" t="n">
        <x:v>825</x:v>
      </x:c>
      <x:c r="K897" s="6" t="n">
        <x:v>8</x:v>
      </x:c>
      <x:c r="L897" s="6" t="n">
        <x:v>53</x:v>
      </x:c>
      <x:c r="M897" s="6" t="n">
        <x:v>11</x:v>
      </x:c>
      <x:c r="N897" s="6" t="n">
        <x:v>0</x:v>
      </x:c>
      <x:c r="O897" s="6" t="n">
        <x:v>242</x:v>
      </x:c>
      <x:c r="P897" s="6" t="n">
        <x:v>2</x:v>
      </x:c>
      <x:c r="Q897" s="6" t="n">
        <x:v>8</x:v>
      </x:c>
      <x:c r="R897" s="6" t="n">
        <x:v>10</x:v>
      </x:c>
      <x:c r="S897" s="6" t="n">
        <x:v>5</x:v>
      </x:c>
      <x:c r="T897" s="6" t="n">
        <x:v>6</x:v>
      </x:c>
      <x:c r="U897" s="6" t="n">
        <x:v>0</x:v>
      </x:c>
      <x:c r="V897" s="6" t="n">
        <x:v>0</x:v>
      </x:c>
      <x:c r="W897" s="6" t="n">
        <x:v>0</x:v>
      </x:c>
      <x:c r="X897" s="6" t="n">
        <x:v>0</x:v>
      </x:c>
      <x:c r="Y897" s="6" t="n">
        <x:v>0</x:v>
      </x:c>
      <x:c r="Z897" s="6" t="n">
        <x:v>0</x:v>
      </x:c>
      <x:c r="AA897" s="6" t="n">
        <x:v>3</x:v>
      </x:c>
      <x:c r="AB897" s="6" t="n">
        <x:v>11</x:v>
      </x:c>
      <x:c r="AC897" s="6" t="n">
        <x:v>0</x:v>
      </x:c>
    </x:row>
    <x:row r="898">
      <x:c r="A898" s="6" t="n">
        <x:v>5519</x:v>
      </x:c>
      <x:c r="B898" s="6" t="n">
        <x:v>1956</x:v>
      </x:c>
      <x:c r="C898" s="6" t="str">
        <x:v>Graduation</x:v>
      </x:c>
      <x:c r="D898" s="6" t="str">
        <x:v>Together</x:v>
      </x:c>
      <x:c r="E898" s="6" t="n">
        <x:v>64090</x:v>
      </x:c>
      <x:c r="F898" s="6" t="n">
        <x:v>0</x:v>
      </x:c>
      <x:c r="G898" s="6" t="n">
        <x:v>1</x:v>
      </x:c>
      <x:c r="H898" s="9" t="str">
        <x:v>07-08-2013</x:v>
      </x:c>
      <x:c r="I898" s="6" t="n">
        <x:v>8</x:v>
      </x:c>
      <x:c r="J898" s="6" t="n">
        <x:v>316</x:v>
      </x:c>
      <x:c r="K898" s="6" t="n">
        <x:v>58</x:v>
      </x:c>
      <x:c r="L898" s="6" t="n">
        <x:v>161</x:v>
      </x:c>
      <x:c r="M898" s="6" t="n">
        <x:v>76</x:v>
      </x:c>
      <x:c r="N898" s="6" t="n">
        <x:v>51</x:v>
      </x:c>
      <x:c r="O898" s="6" t="n">
        <x:v>135</x:v>
      </x:c>
      <x:c r="P898" s="6" t="n">
        <x:v>1</x:v>
      </x:c>
      <x:c r="Q898" s="6" t="n">
        <x:v>6</x:v>
      </x:c>
      <x:c r="R898" s="6" t="n">
        <x:v>9</x:v>
      </x:c>
      <x:c r="S898" s="6" t="n">
        <x:v>4</x:v>
      </x:c>
      <x:c r="T898" s="6" t="n">
        <x:v>5</x:v>
      </x:c>
      <x:c r="U898" s="6" t="n">
        <x:v>0</x:v>
      </x:c>
      <x:c r="V898" s="6" t="n">
        <x:v>0</x:v>
      </x:c>
      <x:c r="W898" s="6" t="n">
        <x:v>0</x:v>
      </x:c>
      <x:c r="X898" s="6" t="n">
        <x:v>0</x:v>
      </x:c>
      <x:c r="Y898" s="6" t="n">
        <x:v>0</x:v>
      </x:c>
      <x:c r="Z898" s="6" t="n">
        <x:v>0</x:v>
      </x:c>
      <x:c r="AA898" s="6" t="n">
        <x:v>3</x:v>
      </x:c>
      <x:c r="AB898" s="6" t="n">
        <x:v>11</x:v>
      </x:c>
      <x:c r="AC898" s="6" t="n">
        <x:v>1</x:v>
      </x:c>
    </x:row>
    <x:row r="899">
      <x:c r="A899" s="6" t="n">
        <x:v>5046</x:v>
      </x:c>
      <x:c r="B899" s="6" t="n">
        <x:v>1958</x:v>
      </x:c>
      <x:c r="C899" s="6" t="str">
        <x:v>Graduation</x:v>
      </x:c>
      <x:c r="D899" s="6" t="str">
        <x:v>Divorced</x:v>
      </x:c>
      <x:c r="E899" s="6" t="n">
        <x:v>78331</x:v>
      </x:c>
      <x:c r="F899" s="6" t="n">
        <x:v>0</x:v>
      </x:c>
      <x:c r="G899" s="6" t="n">
        <x:v>1</x:v>
      </x:c>
      <x:c r="H899" s="9" t="str">
        <x:v>23-01-2014</x:v>
      </x:c>
      <x:c r="I899" s="6" t="n">
        <x:v>97</x:v>
      </x:c>
      <x:c r="J899" s="6" t="n">
        <x:v>756</x:v>
      </x:c>
      <x:c r="K899" s="6" t="n">
        <x:v>138</x:v>
      </x:c>
      <x:c r="L899" s="6" t="n">
        <x:v>354</x:v>
      </x:c>
      <x:c r="M899" s="6" t="n">
        <x:v>160</x:v>
      </x:c>
      <x:c r="N899" s="6" t="n">
        <x:v>169</x:v>
      </x:c>
      <x:c r="O899" s="6" t="n">
        <x:v>61</x:v>
      </x:c>
      <x:c r="P899" s="6" t="n">
        <x:v>2</x:v>
      </x:c>
      <x:c r="Q899" s="6" t="n">
        <x:v>10</x:v>
      </x:c>
      <x:c r="R899" s="6" t="n">
        <x:v>6</x:v>
      </x:c>
      <x:c r="S899" s="6" t="n">
        <x:v>7</x:v>
      </x:c>
      <x:c r="T899" s="6" t="n">
        <x:v>4</x:v>
      </x:c>
      <x:c r="U899" s="6" t="n">
        <x:v>0</x:v>
      </x:c>
      <x:c r="V899" s="6" t="n">
        <x:v>0</x:v>
      </x:c>
      <x:c r="W899" s="6" t="n">
        <x:v>0</x:v>
      </x:c>
      <x:c r="X899" s="6" t="n">
        <x:v>0</x:v>
      </x:c>
      <x:c r="Y899" s="6" t="n">
        <x:v>0</x:v>
      </x:c>
      <x:c r="Z899" s="6" t="n">
        <x:v>0</x:v>
      </x:c>
      <x:c r="AA899" s="6" t="n">
        <x:v>3</x:v>
      </x:c>
      <x:c r="AB899" s="6" t="n">
        <x:v>11</x:v>
      </x:c>
      <x:c r="AC899" s="6" t="n">
        <x:v>0</x:v>
      </x:c>
    </x:row>
    <x:row r="900">
      <x:c r="A900" s="6" t="n">
        <x:v>7037</x:v>
      </x:c>
      <x:c r="B900" s="6" t="n">
        <x:v>1974</x:v>
      </x:c>
      <x:c r="C900" s="6" t="str">
        <x:v>PhD</x:v>
      </x:c>
      <x:c r="D900" s="6" t="str">
        <x:v>Married</x:v>
      </x:c>
      <x:c r="E900" s="6" t="n">
        <x:v>37087</x:v>
      </x:c>
      <x:c r="F900" s="6" t="n">
        <x:v>1</x:v>
      </x:c>
      <x:c r="G900" s="6" t="n">
        <x:v>0</x:v>
      </x:c>
      <x:c r="H900" s="9" t="str">
        <x:v>11-08-2013</x:v>
      </x:c>
      <x:c r="I900" s="6" t="n">
        <x:v>50</x:v>
      </x:c>
      <x:c r="J900" s="6" t="n">
        <x:v>194</x:v>
      </x:c>
      <x:c r="K900" s="6" t="n">
        <x:v>55</x:v>
      </x:c>
      <x:c r="L900" s="6" t="n">
        <x:v>134</x:v>
      </x:c>
      <x:c r="M900" s="6" t="n">
        <x:v>15</x:v>
      </x:c>
      <x:c r="N900" s="6" t="n">
        <x:v>0</x:v>
      </x:c>
      <x:c r="O900" s="6" t="n">
        <x:v>3</x:v>
      </x:c>
      <x:c r="P900" s="6" t="n">
        <x:v>3</x:v>
      </x:c>
      <x:c r="Q900" s="6" t="n">
        <x:v>4</x:v>
      </x:c>
      <x:c r="R900" s="6" t="n">
        <x:v>2</x:v>
      </x:c>
      <x:c r="S900" s="6" t="n">
        <x:v>8</x:v>
      </x:c>
      <x:c r="T900" s="6" t="n">
        <x:v>6</x:v>
      </x:c>
      <x:c r="U900" s="6" t="n">
        <x:v>0</x:v>
      </x:c>
      <x:c r="V900" s="6" t="n">
        <x:v>0</x:v>
      </x:c>
      <x:c r="W900" s="6" t="n">
        <x:v>0</x:v>
      </x:c>
      <x:c r="X900" s="6" t="n">
        <x:v>0</x:v>
      </x:c>
      <x:c r="Y900" s="6" t="n">
        <x:v>0</x:v>
      </x:c>
      <x:c r="Z900" s="6" t="n">
        <x:v>0</x:v>
      </x:c>
      <x:c r="AA900" s="6" t="n">
        <x:v>3</x:v>
      </x:c>
      <x:c r="AB900" s="6" t="n">
        <x:v>11</x:v>
      </x:c>
      <x:c r="AC900" s="6" t="n">
        <x:v>0</x:v>
      </x:c>
    </x:row>
    <x:row r="901">
      <x:c r="A901" s="6" t="n">
        <x:v>905</x:v>
      </x:c>
      <x:c r="B901" s="6" t="n">
        <x:v>1986</x:v>
      </x:c>
      <x:c r="C901" s="6" t="str">
        <x:v>Graduation</x:v>
      </x:c>
      <x:c r="D901" s="6" t="str">
        <x:v>Divorced</x:v>
      </x:c>
      <x:c r="E901" s="6" t="n">
        <x:v>21846</x:v>
      </x:c>
      <x:c r="F901" s="6" t="n">
        <x:v>1</x:v>
      </x:c>
      <x:c r="G901" s="6" t="n">
        <x:v>0</x:v>
      </x:c>
      <x:c r="H901" s="9" t="str">
        <x:v>22-10-2013</x:v>
      </x:c>
      <x:c r="I901" s="6" t="n">
        <x:v>38</x:v>
      </x:c>
      <x:c r="J901" s="6" t="n">
        <x:v>7</x:v>
      </x:c>
      <x:c r="K901" s="6" t="n">
        <x:v>17</x:v>
      </x:c>
      <x:c r="L901" s="6" t="n">
        <x:v>18</x:v>
      </x:c>
      <x:c r="M901" s="6" t="n">
        <x:v>6</x:v>
      </x:c>
      <x:c r="N901" s="6" t="n">
        <x:v>10</x:v>
      </x:c>
      <x:c r="O901" s="6" t="n">
        <x:v>26</x:v>
      </x:c>
      <x:c r="P901" s="6" t="n">
        <x:v>4</x:v>
      </x:c>
      <x:c r="Q901" s="6" t="n">
        <x:v>4</x:v>
      </x:c>
      <x:c r="R901" s="6" t="n">
        <x:v>0</x:v>
      </x:c>
      <x:c r="S901" s="6" t="n">
        <x:v>3</x:v>
      </x:c>
      <x:c r="T901" s="6" t="n">
        <x:v>8</x:v>
      </x:c>
      <x:c r="U901" s="6" t="n">
        <x:v>0</x:v>
      </x:c>
      <x:c r="V901" s="6" t="n">
        <x:v>0</x:v>
      </x:c>
      <x:c r="W901" s="6" t="n">
        <x:v>0</x:v>
      </x:c>
      <x:c r="X901" s="6" t="n">
        <x:v>0</x:v>
      </x:c>
      <x:c r="Y901" s="6" t="n">
        <x:v>0</x:v>
      </x:c>
      <x:c r="Z901" s="6" t="n">
        <x:v>0</x:v>
      </x:c>
      <x:c r="AA901" s="6" t="n">
        <x:v>3</x:v>
      </x:c>
      <x:c r="AB901" s="6" t="n">
        <x:v>11</x:v>
      </x:c>
      <x:c r="AC901" s="6" t="n">
        <x:v>0</x:v>
      </x:c>
    </x:row>
    <x:row r="902">
      <x:c r="A902" s="6" t="n">
        <x:v>8624</x:v>
      </x:c>
      <x:c r="B902" s="6" t="n">
        <x:v>1958</x:v>
      </x:c>
      <x:c r="C902" s="6" t="str">
        <x:v>Graduation</x:v>
      </x:c>
      <x:c r="D902" s="6" t="str">
        <x:v>Married</x:v>
      </x:c>
      <x:c r="E902" s="6" t="n">
        <x:v>81320</x:v>
      </x:c>
      <x:c r="F902" s="6" t="n">
        <x:v>0</x:v>
      </x:c>
      <x:c r="G902" s="6" t="n">
        <x:v>0</x:v>
      </x:c>
      <x:c r="H902" s="9" t="str">
        <x:v>06-02-2013</x:v>
      </x:c>
      <x:c r="I902" s="6" t="n">
        <x:v>61</x:v>
      </x:c>
      <x:c r="J902" s="6" t="n">
        <x:v>183</x:v>
      </x:c>
      <x:c r="K902" s="6" t="n">
        <x:v>33</x:v>
      </x:c>
      <x:c r="L902" s="6" t="n">
        <x:v>493</x:v>
      </x:c>
      <x:c r="M902" s="6" t="n">
        <x:v>59</x:v>
      </x:c>
      <x:c r="N902" s="6" t="n">
        <x:v>103</x:v>
      </x:c>
      <x:c r="O902" s="6" t="n">
        <x:v>57</x:v>
      </x:c>
      <x:c r="P902" s="6" t="n">
        <x:v>1</x:v>
      </x:c>
      <x:c r="Q902" s="6" t="n">
        <x:v>4</x:v>
      </x:c>
      <x:c r="R902" s="6" t="n">
        <x:v>3</x:v>
      </x:c>
      <x:c r="S902" s="6" t="n">
        <x:v>10</x:v>
      </x:c>
      <x:c r="T902" s="6" t="n">
        <x:v>2</x:v>
      </x:c>
      <x:c r="U902" s="6" t="n">
        <x:v>0</x:v>
      </x:c>
      <x:c r="V902" s="6" t="n">
        <x:v>0</x:v>
      </x:c>
      <x:c r="W902" s="6" t="n">
        <x:v>0</x:v>
      </x:c>
      <x:c r="X902" s="6" t="n">
        <x:v>0</x:v>
      </x:c>
      <x:c r="Y902" s="6" t="n">
        <x:v>0</x:v>
      </x:c>
      <x:c r="Z902" s="6" t="n">
        <x:v>0</x:v>
      </x:c>
      <x:c r="AA902" s="6" t="n">
        <x:v>3</x:v>
      </x:c>
      <x:c r="AB902" s="6" t="n">
        <x:v>11</x:v>
      </x:c>
      <x:c r="AC902" s="6" t="n">
        <x:v>0</x:v>
      </x:c>
    </x:row>
    <x:row r="903">
      <x:c r="A903" s="6" t="n">
        <x:v>8945</x:v>
      </x:c>
      <x:c r="B903" s="6" t="n">
        <x:v>1970</x:v>
      </x:c>
      <x:c r="C903" s="6" t="str">
        <x:v>Graduation</x:v>
      </x:c>
      <x:c r="D903" s="6" t="str">
        <x:v>Divorced</x:v>
      </x:c>
      <x:c r="E903" s="6" t="n">
        <x:v>54137</x:v>
      </x:c>
      <x:c r="F903" s="6" t="n">
        <x:v>0</x:v>
      </x:c>
      <x:c r="G903" s="6" t="n">
        <x:v>1</x:v>
      </x:c>
      <x:c r="H903" s="9" t="str">
        <x:v>16-08-2013</x:v>
      </x:c>
      <x:c r="I903" s="6" t="n">
        <x:v>46</x:v>
      </x:c>
      <x:c r="J903" s="6" t="n">
        <x:v>171</x:v>
      </x:c>
      <x:c r="K903" s="6" t="n">
        <x:v>0</x:v>
      </x:c>
      <x:c r="L903" s="6" t="n">
        <x:v>11</x:v>
      </x:c>
      <x:c r="M903" s="6" t="n">
        <x:v>0</x:v>
      </x:c>
      <x:c r="N903" s="6" t="n">
        <x:v>1</x:v>
      </x:c>
      <x:c r="O903" s="6" t="n">
        <x:v>20</x:v>
      </x:c>
      <x:c r="P903" s="6" t="n">
        <x:v>2</x:v>
      </x:c>
      <x:c r="Q903" s="6" t="n">
        <x:v>4</x:v>
      </x:c>
      <x:c r="R903" s="6" t="n">
        <x:v>1</x:v>
      </x:c>
      <x:c r="S903" s="6" t="n">
        <x:v>4</x:v>
      </x:c>
      <x:c r="T903" s="6" t="n">
        <x:v>6</x:v>
      </x:c>
      <x:c r="U903" s="6" t="n">
        <x:v>0</x:v>
      </x:c>
      <x:c r="V903" s="6" t="n">
        <x:v>0</x:v>
      </x:c>
      <x:c r="W903" s="6" t="n">
        <x:v>0</x:v>
      </x:c>
      <x:c r="X903" s="6" t="n">
        <x:v>0</x:v>
      </x:c>
      <x:c r="Y903" s="6" t="n">
        <x:v>0</x:v>
      </x:c>
      <x:c r="Z903" s="6" t="n">
        <x:v>0</x:v>
      </x:c>
      <x:c r="AA903" s="6" t="n">
        <x:v>3</x:v>
      </x:c>
      <x:c r="AB903" s="6" t="n">
        <x:v>11</x:v>
      </x:c>
      <x:c r="AC903" s="6" t="n">
        <x:v>0</x:v>
      </x:c>
    </x:row>
    <x:row r="904">
      <x:c r="A904" s="6" t="n">
        <x:v>6445</x:v>
      </x:c>
      <x:c r="B904" s="6" t="n">
        <x:v>1967</x:v>
      </x:c>
      <x:c r="C904" s="6" t="str">
        <x:v>Graduation</x:v>
      </x:c>
      <x:c r="D904" s="6" t="str">
        <x:v>Together</x:v>
      </x:c>
      <x:c r="E904" s="6" t="n">
        <x:v>66825</x:v>
      </x:c>
      <x:c r="F904" s="6" t="n">
        <x:v>0</x:v>
      </x:c>
      <x:c r="G904" s="6" t="n">
        <x:v>0</x:v>
      </x:c>
      <x:c r="H904" s="9" t="str">
        <x:v>14-07-2013</x:v>
      </x:c>
      <x:c r="I904" s="6" t="n">
        <x:v>73</x:v>
      </x:c>
      <x:c r="J904" s="6" t="n">
        <x:v>243</x:v>
      </x:c>
      <x:c r="K904" s="6" t="n">
        <x:v>101</x:v>
      </x:c>
      <x:c r="L904" s="6" t="n">
        <x:v>405</x:v>
      </x:c>
      <x:c r="M904" s="6" t="n">
        <x:v>29</x:v>
      </x:c>
      <x:c r="N904" s="6" t="n">
        <x:v>40</x:v>
      </x:c>
      <x:c r="O904" s="6" t="n">
        <x:v>40</x:v>
      </x:c>
      <x:c r="P904" s="6" t="n">
        <x:v>1</x:v>
      </x:c>
      <x:c r="Q904" s="6" t="n">
        <x:v>4</x:v>
      </x:c>
      <x:c r="R904" s="6" t="n">
        <x:v>5</x:v>
      </x:c>
      <x:c r="S904" s="6" t="n">
        <x:v>6</x:v>
      </x:c>
      <x:c r="T904" s="6" t="n">
        <x:v>2</x:v>
      </x:c>
      <x:c r="U904" s="6" t="n">
        <x:v>0</x:v>
      </x:c>
      <x:c r="V904" s="6" t="n">
        <x:v>0</x:v>
      </x:c>
      <x:c r="W904" s="6" t="n">
        <x:v>0</x:v>
      </x:c>
      <x:c r="X904" s="6" t="n">
        <x:v>0</x:v>
      </x:c>
      <x:c r="Y904" s="6" t="n">
        <x:v>0</x:v>
      </x:c>
      <x:c r="Z904" s="6" t="n">
        <x:v>0</x:v>
      </x:c>
      <x:c r="AA904" s="6" t="n">
        <x:v>3</x:v>
      </x:c>
      <x:c r="AB904" s="6" t="n">
        <x:v>11</x:v>
      </x:c>
      <x:c r="AC904" s="6" t="n">
        <x:v>0</x:v>
      </x:c>
    </x:row>
    <x:row r="905">
      <x:c r="A905" s="6" t="n">
        <x:v>2727</x:v>
      </x:c>
      <x:c r="B905" s="6" t="n">
        <x:v>1973</x:v>
      </x:c>
      <x:c r="C905" s="6" t="str">
        <x:v>Graduation</x:v>
      </x:c>
      <x:c r="D905" s="6" t="str">
        <x:v>Together</x:v>
      </x:c>
      <x:c r="E905" s="6" t="n">
        <x:v>57100</x:v>
      </x:c>
      <x:c r="F905" s="6" t="n">
        <x:v>0</x:v>
      </x:c>
      <x:c r="G905" s="6" t="n">
        <x:v>0</x:v>
      </x:c>
      <x:c r="H905" s="9" t="str">
        <x:v>04-12-2013</x:v>
      </x:c>
      <x:c r="I905" s="6" t="n">
        <x:v>19</x:v>
      </x:c>
      <x:c r="J905" s="6" t="n">
        <x:v>181</x:v>
      </x:c>
      <x:c r="K905" s="6" t="n">
        <x:v>21</x:v>
      </x:c>
      <x:c r="L905" s="6" t="n">
        <x:v>69</x:v>
      </x:c>
      <x:c r="M905" s="6" t="n">
        <x:v>39</x:v>
      </x:c>
      <x:c r="N905" s="6" t="n">
        <x:v>3</x:v>
      </x:c>
      <x:c r="O905" s="6" t="n">
        <x:v>96</x:v>
      </x:c>
      <x:c r="P905" s="6" t="n">
        <x:v>1</x:v>
      </x:c>
      <x:c r="Q905" s="6" t="n">
        <x:v>3</x:v>
      </x:c>
      <x:c r="R905" s="6" t="n">
        <x:v>3</x:v>
      </x:c>
      <x:c r="S905" s="6" t="n">
        <x:v>6</x:v>
      </x:c>
      <x:c r="T905" s="6" t="n">
        <x:v>3</x:v>
      </x:c>
      <x:c r="U905" s="6" t="n">
        <x:v>0</x:v>
      </x:c>
      <x:c r="V905" s="6" t="n">
        <x:v>0</x:v>
      </x:c>
      <x:c r="W905" s="6" t="n">
        <x:v>0</x:v>
      </x:c>
      <x:c r="X905" s="6" t="n">
        <x:v>0</x:v>
      </x:c>
      <x:c r="Y905" s="6" t="n">
        <x:v>0</x:v>
      </x:c>
      <x:c r="Z905" s="6" t="n">
        <x:v>0</x:v>
      </x:c>
      <x:c r="AA905" s="6" t="n">
        <x:v>3</x:v>
      </x:c>
      <x:c r="AB905" s="6" t="n">
        <x:v>11</x:v>
      </x:c>
      <x:c r="AC905" s="6" t="n">
        <x:v>0</x:v>
      </x:c>
    </x:row>
    <x:row r="906">
      <x:c r="A906" s="6" t="n">
        <x:v>6404</x:v>
      </x:c>
      <x:c r="B906" s="6" t="n">
        <x:v>1969</x:v>
      </x:c>
      <x:c r="C906" s="6" t="str">
        <x:v>Graduation</x:v>
      </x:c>
      <x:c r="D906" s="6" t="str">
        <x:v>Together</x:v>
      </x:c>
      <x:c r="E906" s="6" t="n">
        <x:v>58917</x:v>
      </x:c>
      <x:c r="F906" s="6" t="n">
        <x:v>1</x:v>
      </x:c>
      <x:c r="G906" s="6" t="n">
        <x:v>2</x:v>
      </x:c>
      <x:c r="H906" s="9" t="str">
        <x:v>24-03-2013</x:v>
      </x:c>
      <x:c r="I906" s="6" t="n">
        <x:v>10</x:v>
      </x:c>
      <x:c r="J906" s="6" t="n">
        <x:v>151</x:v>
      </x:c>
      <x:c r="K906" s="6" t="n">
        <x:v>7</x:v>
      </x:c>
      <x:c r="L906" s="6" t="n">
        <x:v>89</x:v>
      </x:c>
      <x:c r="M906" s="6" t="n">
        <x:v>0</x:v>
      </x:c>
      <x:c r="N906" s="6" t="n">
        <x:v>7</x:v>
      </x:c>
      <x:c r="O906" s="6" t="n">
        <x:v>28</x:v>
      </x:c>
      <x:c r="P906" s="6" t="n">
        <x:v>5</x:v>
      </x:c>
      <x:c r="Q906" s="6" t="n">
        <x:v>4</x:v>
      </x:c>
      <x:c r="R906" s="6" t="n">
        <x:v>1</x:v>
      </x:c>
      <x:c r="S906" s="6" t="n">
        <x:v>6</x:v>
      </x:c>
      <x:c r="T906" s="6" t="n">
        <x:v>5</x:v>
      </x:c>
      <x:c r="U906" s="6" t="n">
        <x:v>0</x:v>
      </x:c>
      <x:c r="V906" s="6" t="n">
        <x:v>0</x:v>
      </x:c>
      <x:c r="W906" s="6" t="n">
        <x:v>0</x:v>
      </x:c>
      <x:c r="X906" s="6" t="n">
        <x:v>0</x:v>
      </x:c>
      <x:c r="Y906" s="6" t="n">
        <x:v>0</x:v>
      </x:c>
      <x:c r="Z906" s="6" t="n">
        <x:v>0</x:v>
      </x:c>
      <x:c r="AA906" s="6" t="n">
        <x:v>3</x:v>
      </x:c>
      <x:c r="AB906" s="6" t="n">
        <x:v>11</x:v>
      </x:c>
      <x:c r="AC906" s="6" t="n">
        <x:v>0</x:v>
      </x:c>
    </x:row>
    <x:row r="907">
      <x:c r="A907" s="6" t="n">
        <x:v>11074</x:v>
      </x:c>
      <x:c r="B907" s="6" t="n">
        <x:v>1977</x:v>
      </x:c>
      <x:c r="C907" s="6" t="str">
        <x:v>Graduation</x:v>
      </x:c>
      <x:c r="D907" s="6" t="str">
        <x:v>Single</x:v>
      </x:c>
      <x:c r="E907" s="6" t="n">
        <x:v>85072</x:v>
      </x:c>
      <x:c r="F907" s="6" t="n">
        <x:v>0</x:v>
      </x:c>
      <x:c r="G907" s="6" t="n">
        <x:v>0</x:v>
      </x:c>
      <x:c r="H907" s="9" t="str">
        <x:v>09-04-2014</x:v>
      </x:c>
      <x:c r="I907" s="6" t="n">
        <x:v>94</x:v>
      </x:c>
      <x:c r="J907" s="6" t="n">
        <x:v>494</x:v>
      </x:c>
      <x:c r="K907" s="6" t="n">
        <x:v>92</x:v>
      </x:c>
      <x:c r="L907" s="6" t="n">
        <x:v>391</x:v>
      </x:c>
      <x:c r="M907" s="6" t="n">
        <x:v>194</x:v>
      </x:c>
      <x:c r="N907" s="6" t="n">
        <x:v>11</x:v>
      </x:c>
      <x:c r="O907" s="6" t="n">
        <x:v>241</x:v>
      </x:c>
      <x:c r="P907" s="6" t="n">
        <x:v>1</x:v>
      </x:c>
      <x:c r="Q907" s="6" t="n">
        <x:v>3</x:v>
      </x:c>
      <x:c r="R907" s="6" t="n">
        <x:v>4</x:v>
      </x:c>
      <x:c r="S907" s="6" t="n">
        <x:v>10</x:v>
      </x:c>
      <x:c r="T907" s="6" t="n">
        <x:v>0</x:v>
      </x:c>
      <x:c r="U907" s="6" t="n">
        <x:v>0</x:v>
      </x:c>
      <x:c r="V907" s="6" t="n">
        <x:v>0</x:v>
      </x:c>
      <x:c r="W907" s="6" t="n">
        <x:v>0</x:v>
      </x:c>
      <x:c r="X907" s="6" t="n">
        <x:v>0</x:v>
      </x:c>
      <x:c r="Y907" s="6" t="n">
        <x:v>0</x:v>
      </x:c>
      <x:c r="Z907" s="6" t="n">
        <x:v>0</x:v>
      </x:c>
      <x:c r="AA907" s="6" t="n">
        <x:v>3</x:v>
      </x:c>
      <x:c r="AB907" s="6" t="n">
        <x:v>11</x:v>
      </x:c>
      <x:c r="AC907" s="6" t="n">
        <x:v>0</x:v>
      </x:c>
    </x:row>
    <x:row r="908">
      <x:c r="A908" s="6" t="n">
        <x:v>10150</x:v>
      </x:c>
      <x:c r="B908" s="6" t="n">
        <x:v>1961</x:v>
      </x:c>
      <x:c r="C908" s="6" t="str">
        <x:v>Graduation</x:v>
      </x:c>
      <x:c r="D908" s="6" t="str">
        <x:v>Single</x:v>
      </x:c>
      <x:c r="E908" s="6" t="n">
        <x:v>86429</x:v>
      </x:c>
      <x:c r="F908" s="6" t="n">
        <x:v>0</x:v>
      </x:c>
      <x:c r="G908" s="6" t="n">
        <x:v>0</x:v>
      </x:c>
      <x:c r="H908" s="9" t="str">
        <x:v>21-11-2013</x:v>
      </x:c>
      <x:c r="I908" s="6" t="n">
        <x:v>10</x:v>
      </x:c>
      <x:c r="J908" s="6" t="n">
        <x:v>464</x:v>
      </x:c>
      <x:c r="K908" s="6" t="n">
        <x:v>28</x:v>
      </x:c>
      <x:c r="L908" s="6" t="n">
        <x:v>873</x:v>
      </x:c>
      <x:c r="M908" s="6" t="n">
        <x:v>29</x:v>
      </x:c>
      <x:c r="N908" s="6" t="n">
        <x:v>18</x:v>
      </x:c>
      <x:c r="O908" s="6" t="n">
        <x:v>37</x:v>
      </x:c>
      <x:c r="P908" s="6" t="n">
        <x:v>0</x:v>
      </x:c>
      <x:c r="Q908" s="6" t="n">
        <x:v>7</x:v>
      </x:c>
      <x:c r="R908" s="6" t="n">
        <x:v>4</x:v>
      </x:c>
      <x:c r="S908" s="6" t="n">
        <x:v>7</x:v>
      </x:c>
      <x:c r="T908" s="6" t="n">
        <x:v>2</x:v>
      </x:c>
      <x:c r="U908" s="6" t="n">
        <x:v>0</x:v>
      </x:c>
      <x:c r="V908" s="6" t="n">
        <x:v>0</x:v>
      </x:c>
      <x:c r="W908" s="6" t="n">
        <x:v>0</x:v>
      </x:c>
      <x:c r="X908" s="6" t="n">
        <x:v>1</x:v>
      </x:c>
      <x:c r="Y908" s="6" t="n">
        <x:v>0</x:v>
      </x:c>
      <x:c r="Z908" s="6" t="n">
        <x:v>0</x:v>
      </x:c>
      <x:c r="AA908" s="6" t="n">
        <x:v>3</x:v>
      </x:c>
      <x:c r="AB908" s="6" t="n">
        <x:v>11</x:v>
      </x:c>
      <x:c r="AC908" s="6" t="n">
        <x:v>1</x:v>
      </x:c>
    </x:row>
    <x:row r="909">
      <x:c r="A909" s="6" t="n">
        <x:v>1968</x:v>
      </x:c>
      <x:c r="B909" s="6" t="n">
        <x:v>1971</x:v>
      </x:c>
      <x:c r="C909" s="6" t="str">
        <x:v>Graduation</x:v>
      </x:c>
      <x:c r="D909" s="6" t="str">
        <x:v>Widow</x:v>
      </x:c>
      <x:c r="E909" s="6" t="n">
        <x:v>45684</x:v>
      </x:c>
      <x:c r="F909" s="6" t="n">
        <x:v>1</x:v>
      </x:c>
      <x:c r="G909" s="6" t="n">
        <x:v>0</x:v>
      </x:c>
      <x:c r="H909" s="9" t="str">
        <x:v>02-12-2013</x:v>
      </x:c>
      <x:c r="I909" s="6" t="n">
        <x:v>37</x:v>
      </x:c>
      <x:c r="J909" s="6" t="n">
        <x:v>5</x:v>
      </x:c>
      <x:c r="K909" s="6" t="n">
        <x:v>1</x:v>
      </x:c>
      <x:c r="L909" s="6" t="n">
        <x:v>5</x:v>
      </x:c>
      <x:c r="M909" s="6" t="n">
        <x:v>10</x:v>
      </x:c>
      <x:c r="N909" s="6" t="n">
        <x:v>0</x:v>
      </x:c>
      <x:c r="O909" s="6" t="n">
        <x:v>7</x:v>
      </x:c>
      <x:c r="P909" s="6" t="n">
        <x:v>1</x:v>
      </x:c>
      <x:c r="Q909" s="6" t="n">
        <x:v>1</x:v>
      </x:c>
      <x:c r="R909" s="6" t="n">
        <x:v>0</x:v>
      </x:c>
      <x:c r="S909" s="6" t="n">
        <x:v>2</x:v>
      </x:c>
      <x:c r="T909" s="6" t="n">
        <x:v>7</x:v>
      </x:c>
      <x:c r="U909" s="6" t="n">
        <x:v>0</x:v>
      </x:c>
      <x:c r="V909" s="6" t="n">
        <x:v>0</x:v>
      </x:c>
      <x:c r="W909" s="6" t="n">
        <x:v>0</x:v>
      </x:c>
      <x:c r="X909" s="6" t="n">
        <x:v>0</x:v>
      </x:c>
      <x:c r="Y909" s="6" t="n">
        <x:v>0</x:v>
      </x:c>
      <x:c r="Z909" s="6" t="n">
        <x:v>0</x:v>
      </x:c>
      <x:c r="AA909" s="6" t="n">
        <x:v>3</x:v>
      </x:c>
      <x:c r="AB909" s="6" t="n">
        <x:v>11</x:v>
      </x:c>
      <x:c r="AC909" s="6" t="n">
        <x:v>0</x:v>
      </x:c>
    </x:row>
    <x:row r="910">
      <x:c r="A910" s="6" t="n">
        <x:v>6534</x:v>
      </x:c>
      <x:c r="B910" s="6" t="n">
        <x:v>1974</x:v>
      </x:c>
      <x:c r="C910" s="6" t="str">
        <x:v>Graduation</x:v>
      </x:c>
      <x:c r="D910" s="6" t="str">
        <x:v>Together</x:v>
      </x:c>
      <x:c r="E910" s="6" t="n">
        <x:v>47889</x:v>
      </x:c>
      <x:c r="F910" s="6" t="n">
        <x:v>1</x:v>
      </x:c>
      <x:c r="G910" s="6" t="n">
        <x:v>0</x:v>
      </x:c>
      <x:c r="H910" s="9" t="str">
        <x:v>04-01-2014</x:v>
      </x:c>
      <x:c r="I910" s="6" t="n">
        <x:v>94</x:v>
      </x:c>
      <x:c r="J910" s="6" t="n">
        <x:v>29</x:v>
      </x:c>
      <x:c r="K910" s="6" t="n">
        <x:v>0</x:v>
      </x:c>
      <x:c r="L910" s="6" t="n">
        <x:v>29</x:v>
      </x:c>
      <x:c r="M910" s="6" t="n">
        <x:v>0</x:v>
      </x:c>
      <x:c r="N910" s="6" t="n">
        <x:v>5</x:v>
      </x:c>
      <x:c r="O910" s="6" t="n">
        <x:v>4</x:v>
      </x:c>
      <x:c r="P910" s="6" t="n">
        <x:v>1</x:v>
      </x:c>
      <x:c r="Q910" s="6" t="n">
        <x:v>2</x:v>
      </x:c>
      <x:c r="R910" s="6" t="n">
        <x:v>0</x:v>
      </x:c>
      <x:c r="S910" s="6" t="n">
        <x:v>3</x:v>
      </x:c>
      <x:c r="T910" s="6" t="n">
        <x:v>5</x:v>
      </x:c>
      <x:c r="U910" s="6" t="n">
        <x:v>0</x:v>
      </x:c>
      <x:c r="V910" s="6" t="n">
        <x:v>0</x:v>
      </x:c>
      <x:c r="W910" s="6" t="n">
        <x:v>0</x:v>
      </x:c>
      <x:c r="X910" s="6" t="n">
        <x:v>0</x:v>
      </x:c>
      <x:c r="Y910" s="6" t="n">
        <x:v>0</x:v>
      </x:c>
      <x:c r="Z910" s="6" t="n">
        <x:v>0</x:v>
      </x:c>
      <x:c r="AA910" s="6" t="n">
        <x:v>3</x:v>
      </x:c>
      <x:c r="AB910" s="6" t="n">
        <x:v>11</x:v>
      </x:c>
      <x:c r="AC910" s="6" t="n">
        <x:v>0</x:v>
      </x:c>
    </x:row>
    <x:row r="911">
      <x:c r="A911" s="6" t="n">
        <x:v>9485</x:v>
      </x:c>
      <x:c r="B911" s="6" t="n">
        <x:v>1986</x:v>
      </x:c>
      <x:c r="C911" s="6" t="str">
        <x:v>PhD</x:v>
      </x:c>
      <x:c r="D911" s="6" t="str">
        <x:v>Married</x:v>
      </x:c>
      <x:c r="E911" s="6" t="n">
        <x:v>45921</x:v>
      </x:c>
      <x:c r="F911" s="6" t="n">
        <x:v>0</x:v>
      </x:c>
      <x:c r="G911" s="6" t="n">
        <x:v>0</x:v>
      </x:c>
      <x:c r="H911" s="9" t="str">
        <x:v>10-03-2014</x:v>
      </x:c>
      <x:c r="I911" s="6" t="n">
        <x:v>23</x:v>
      </x:c>
      <x:c r="J911" s="6" t="n">
        <x:v>102</x:v>
      </x:c>
      <x:c r="K911" s="6" t="n">
        <x:v>9</x:v>
      </x:c>
      <x:c r="L911" s="6" t="n">
        <x:v>49</x:v>
      </x:c>
      <x:c r="M911" s="6" t="n">
        <x:v>24</x:v>
      </x:c>
      <x:c r="N911" s="6" t="n">
        <x:v>3</x:v>
      </x:c>
      <x:c r="O911" s="6" t="n">
        <x:v>12</x:v>
      </x:c>
      <x:c r="P911" s="6" t="n">
        <x:v>1</x:v>
      </x:c>
      <x:c r="Q911" s="6" t="n">
        <x:v>2</x:v>
      </x:c>
      <x:c r="R911" s="6" t="n">
        <x:v>1</x:v>
      </x:c>
      <x:c r="S911" s="6" t="n">
        <x:v>6</x:v>
      </x:c>
      <x:c r="T911" s="6" t="n">
        <x:v>4</x:v>
      </x:c>
      <x:c r="U911" s="6" t="n">
        <x:v>0</x:v>
      </x:c>
      <x:c r="V911" s="6" t="n">
        <x:v>0</x:v>
      </x:c>
      <x:c r="W911" s="6" t="n">
        <x:v>0</x:v>
      </x:c>
      <x:c r="X911" s="6" t="n">
        <x:v>0</x:v>
      </x:c>
      <x:c r="Y911" s="6" t="n">
        <x:v>0</x:v>
      </x:c>
      <x:c r="Z911" s="6" t="n">
        <x:v>0</x:v>
      </x:c>
      <x:c r="AA911" s="6" t="n">
        <x:v>3</x:v>
      </x:c>
      <x:c r="AB911" s="6" t="n">
        <x:v>11</x:v>
      </x:c>
      <x:c r="AC911" s="6" t="n">
        <x:v>0</x:v>
      </x:c>
    </x:row>
    <x:row r="912">
      <x:c r="A912" s="6" t="n">
        <x:v>7053</x:v>
      </x:c>
      <x:c r="B912" s="6" t="n">
        <x:v>1966</x:v>
      </x:c>
      <x:c r="C912" s="6" t="str">
        <x:v>PhD</x:v>
      </x:c>
      <x:c r="D912" s="6" t="str">
        <x:v>Single</x:v>
      </x:c>
      <x:c r="E912" s="6" t="n">
        <x:v>78420</x:v>
      </x:c>
      <x:c r="F912" s="6" t="n">
        <x:v>0</x:v>
      </x:c>
      <x:c r="G912" s="6" t="n">
        <x:v>0</x:v>
      </x:c>
      <x:c r="H912" s="9" t="str">
        <x:v>29-06-2013</x:v>
      </x:c>
      <x:c r="I912" s="6" t="n">
        <x:v>75</x:v>
      </x:c>
      <x:c r="J912" s="6" t="n">
        <x:v>604</x:v>
      </x:c>
      <x:c r="K912" s="6" t="n">
        <x:v>28</x:v>
      </x:c>
      <x:c r="L912" s="6" t="n">
        <x:v>674</x:v>
      </x:c>
      <x:c r="M912" s="6" t="n">
        <x:v>91</x:v>
      </x:c>
      <x:c r="N912" s="6" t="n">
        <x:v>28</x:v>
      </x:c>
      <x:c r="O912" s="6" t="n">
        <x:v>28</x:v>
      </x:c>
      <x:c r="P912" s="6" t="n">
        <x:v>1</x:v>
      </x:c>
      <x:c r="Q912" s="6" t="n">
        <x:v>3</x:v>
      </x:c>
      <x:c r="R912" s="6" t="n">
        <x:v>10</x:v>
      </x:c>
      <x:c r="S912" s="6" t="n">
        <x:v>8</x:v>
      </x:c>
      <x:c r="T912" s="6" t="n">
        <x:v>1</x:v>
      </x:c>
      <x:c r="U912" s="6" t="n">
        <x:v>0</x:v>
      </x:c>
      <x:c r="V912" s="6" t="n">
        <x:v>0</x:v>
      </x:c>
      <x:c r="W912" s="6" t="n">
        <x:v>0</x:v>
      </x:c>
      <x:c r="X912" s="6" t="n">
        <x:v>0</x:v>
      </x:c>
      <x:c r="Y912" s="6" t="n">
        <x:v>0</x:v>
      </x:c>
      <x:c r="Z912" s="6" t="n">
        <x:v>0</x:v>
      </x:c>
      <x:c r="AA912" s="6" t="n">
        <x:v>3</x:v>
      </x:c>
      <x:c r="AB912" s="6" t="n">
        <x:v>11</x:v>
      </x:c>
      <x:c r="AC912" s="6" t="n">
        <x:v>0</x:v>
      </x:c>
    </x:row>
    <x:row r="913">
      <x:c r="A913" s="6" t="n">
        <x:v>4654</x:v>
      </x:c>
      <x:c r="B913" s="6" t="n">
        <x:v>1992</x:v>
      </x:c>
      <x:c r="C913" s="6" t="str">
        <x:v>Graduation</x:v>
      </x:c>
      <x:c r="D913" s="6" t="str">
        <x:v>Together</x:v>
      </x:c>
      <x:c r="E913" s="6" t="n">
        <x:v>75114</x:v>
      </x:c>
      <x:c r="F913" s="6" t="n">
        <x:v>0</x:v>
      </x:c>
      <x:c r="G913" s="6" t="n">
        <x:v>0</x:v>
      </x:c>
      <x:c r="H913" s="9" t="str">
        <x:v>07-11-2013</x:v>
      </x:c>
      <x:c r="I913" s="6" t="n">
        <x:v>40</x:v>
      </x:c>
      <x:c r="J913" s="6" t="n">
        <x:v>571</x:v>
      </x:c>
      <x:c r="K913" s="6" t="n">
        <x:v>12</x:v>
      </x:c>
      <x:c r="L913" s="6" t="n">
        <x:v>523</x:v>
      </x:c>
      <x:c r="M913" s="6" t="n">
        <x:v>63</x:v>
      </x:c>
      <x:c r="N913" s="6" t="n">
        <x:v>60</x:v>
      </x:c>
      <x:c r="O913" s="6" t="n">
        <x:v>24</x:v>
      </x:c>
      <x:c r="P913" s="6" t="n">
        <x:v>1</x:v>
      </x:c>
      <x:c r="Q913" s="6" t="n">
        <x:v>3</x:v>
      </x:c>
      <x:c r="R913" s="6" t="n">
        <x:v>10</x:v>
      </x:c>
      <x:c r="S913" s="6" t="n">
        <x:v>5</x:v>
      </x:c>
      <x:c r="T913" s="6" t="n">
        <x:v>2</x:v>
      </x:c>
      <x:c r="U913" s="6" t="n">
        <x:v>0</x:v>
      </x:c>
      <x:c r="V913" s="6" t="n">
        <x:v>0</x:v>
      </x:c>
      <x:c r="W913" s="6" t="n">
        <x:v>0</x:v>
      </x:c>
      <x:c r="X913" s="6" t="n">
        <x:v>0</x:v>
      </x:c>
      <x:c r="Y913" s="6" t="n">
        <x:v>0</x:v>
      </x:c>
      <x:c r="Z913" s="6" t="n">
        <x:v>0</x:v>
      </x:c>
      <x:c r="AA913" s="6" t="n">
        <x:v>3</x:v>
      </x:c>
      <x:c r="AB913" s="6" t="n">
        <x:v>11</x:v>
      </x:c>
      <x:c r="AC913" s="6" t="n">
        <x:v>0</x:v>
      </x:c>
    </x:row>
    <x:row r="914">
      <x:c r="A914" s="6" t="n">
        <x:v>9760</x:v>
      </x:c>
      <x:c r="B914" s="6" t="n">
        <x:v>1963</x:v>
      </x:c>
      <x:c r="C914" s="6" t="str">
        <x:v>PhD</x:v>
      </x:c>
      <x:c r="D914" s="6" t="str">
        <x:v>Widow</x:v>
      </x:c>
      <x:c r="E914" s="6" t="n">
        <x:v>52278</x:v>
      </x:c>
      <x:c r="F914" s="6" t="n">
        <x:v>0</x:v>
      </x:c>
      <x:c r="G914" s="6" t="n">
        <x:v>1</x:v>
      </x:c>
      <x:c r="H914" s="9" t="str">
        <x:v>25-01-2013</x:v>
      </x:c>
      <x:c r="I914" s="6" t="n">
        <x:v>24</x:v>
      </x:c>
      <x:c r="J914" s="6" t="n">
        <x:v>953</x:v>
      </x:c>
      <x:c r="K914" s="6" t="n">
        <x:v>0</x:v>
      </x:c>
      <x:c r="L914" s="6" t="n">
        <x:v>71</x:v>
      </x:c>
      <x:c r="M914" s="6" t="n">
        <x:v>0</x:v>
      </x:c>
      <x:c r="N914" s="6" t="n">
        <x:v>0</x:v>
      </x:c>
      <x:c r="O914" s="6" t="n">
        <x:v>174</x:v>
      </x:c>
      <x:c r="P914" s="6" t="n">
        <x:v>6</x:v>
      </x:c>
      <x:c r="Q914" s="6" t="n">
        <x:v>10</x:v>
      </x:c>
      <x:c r="R914" s="6" t="n">
        <x:v>5</x:v>
      </x:c>
      <x:c r="S914" s="6" t="n">
        <x:v>10</x:v>
      </x:c>
      <x:c r="T914" s="6" t="n">
        <x:v>8</x:v>
      </x:c>
      <x:c r="U914" s="6" t="n">
        <x:v>0</x:v>
      </x:c>
      <x:c r="V914" s="6" t="n">
        <x:v>0</x:v>
      </x:c>
      <x:c r="W914" s="6" t="n">
        <x:v>0</x:v>
      </x:c>
      <x:c r="X914" s="6" t="n">
        <x:v>0</x:v>
      </x:c>
      <x:c r="Y914" s="6" t="n">
        <x:v>0</x:v>
      </x:c>
      <x:c r="Z914" s="6" t="n">
        <x:v>0</x:v>
      </x:c>
      <x:c r="AA914" s="6" t="n">
        <x:v>3</x:v>
      </x:c>
      <x:c r="AB914" s="6" t="n">
        <x:v>11</x:v>
      </x:c>
      <x:c r="AC914" s="6" t="n">
        <x:v>1</x:v>
      </x:c>
    </x:row>
    <x:row r="915">
      <x:c r="A915" s="6" t="n">
        <x:v>1048</x:v>
      </x:c>
      <x:c r="B915" s="6" t="n">
        <x:v>1972</x:v>
      </x:c>
      <x:c r="C915" s="6" t="str">
        <x:v>Master</x:v>
      </x:c>
      <x:c r="D915" s="6" t="str">
        <x:v>Married</x:v>
      </x:c>
      <x:c r="E915" s="6" t="n">
        <x:v>35641</x:v>
      </x:c>
      <x:c r="F915" s="6" t="n">
        <x:v>1</x:v>
      </x:c>
      <x:c r="G915" s="6" t="n">
        <x:v>0</x:v>
      </x:c>
      <x:c r="H915" s="9" t="str">
        <x:v>14-07-2013</x:v>
      </x:c>
      <x:c r="I915" s="6" t="n">
        <x:v>11</x:v>
      </x:c>
      <x:c r="J915" s="6" t="n">
        <x:v>63</x:v>
      </x:c>
      <x:c r="K915" s="6" t="n">
        <x:v>3</x:v>
      </x:c>
      <x:c r="L915" s="6" t="n">
        <x:v>67</x:v>
      </x:c>
      <x:c r="M915" s="6" t="n">
        <x:v>8</x:v>
      </x:c>
      <x:c r="N915" s="6" t="n">
        <x:v>9</x:v>
      </x:c>
      <x:c r="O915" s="6" t="n">
        <x:v>28</x:v>
      </x:c>
      <x:c r="P915" s="6" t="n">
        <x:v>2</x:v>
      </x:c>
      <x:c r="Q915" s="6" t="n">
        <x:v>3</x:v>
      </x:c>
      <x:c r="R915" s="6" t="n">
        <x:v>1</x:v>
      </x:c>
      <x:c r="S915" s="6" t="n">
        <x:v>4</x:v>
      </x:c>
      <x:c r="T915" s="6" t="n">
        <x:v>7</x:v>
      </x:c>
      <x:c r="U915" s="6" t="n">
        <x:v>0</x:v>
      </x:c>
      <x:c r="V915" s="6" t="n">
        <x:v>0</x:v>
      </x:c>
      <x:c r="W915" s="6" t="n">
        <x:v>0</x:v>
      </x:c>
      <x:c r="X915" s="6" t="n">
        <x:v>0</x:v>
      </x:c>
      <x:c r="Y915" s="6" t="n">
        <x:v>0</x:v>
      </x:c>
      <x:c r="Z915" s="6" t="n">
        <x:v>0</x:v>
      </x:c>
      <x:c r="AA915" s="6" t="n">
        <x:v>3</x:v>
      </x:c>
      <x:c r="AB915" s="6" t="n">
        <x:v>11</x:v>
      </x:c>
      <x:c r="AC915" s="6" t="n">
        <x:v>1</x:v>
      </x:c>
    </x:row>
    <x:row r="916">
      <x:c r="A916" s="6" t="n">
        <x:v>10619</x:v>
      </x:c>
      <x:c r="B916" s="6" t="n">
        <x:v>1994</x:v>
      </x:c>
      <x:c r="C916" s="6" t="str">
        <x:v>Graduation</x:v>
      </x:c>
      <x:c r="D916" s="6" t="str">
        <x:v>Single</x:v>
      </x:c>
      <x:c r="E916" s="6" t="n">
        <x:v>95529</x:v>
      </x:c>
      <x:c r="F916" s="6" t="n">
        <x:v>0</x:v>
      </x:c>
      <x:c r="G916" s="6" t="n">
        <x:v>0</x:v>
      </x:c>
      <x:c r="H916" s="9" t="str">
        <x:v>03-12-2012</x:v>
      </x:c>
      <x:c r="I916" s="6" t="n">
        <x:v>29</x:v>
      </x:c>
      <x:c r="J916" s="6" t="n">
        <x:v>770</x:v>
      </x:c>
      <x:c r="K916" s="6" t="n">
        <x:v>29</x:v>
      </x:c>
      <x:c r="L916" s="6" t="n">
        <x:v>890</x:v>
      </x:c>
      <x:c r="M916" s="6" t="n">
        <x:v>250</x:v>
      </x:c>
      <x:c r="N916" s="6" t="n">
        <x:v>27</x:v>
      </x:c>
      <x:c r="O916" s="6" t="n">
        <x:v>24</x:v>
      </x:c>
      <x:c r="P916" s="6" t="n">
        <x:v>1</x:v>
      </x:c>
      <x:c r="Q916" s="6" t="n">
        <x:v>7</x:v>
      </x:c>
      <x:c r="R916" s="6" t="n">
        <x:v>3</x:v>
      </x:c>
      <x:c r="S916" s="6" t="n">
        <x:v>7</x:v>
      </x:c>
      <x:c r="T916" s="6" t="n">
        <x:v>3</x:v>
      </x:c>
      <x:c r="U916" s="6" t="n">
        <x:v>0</x:v>
      </x:c>
      <x:c r="V916" s="6" t="n">
        <x:v>0</x:v>
      </x:c>
      <x:c r="W916" s="6" t="n">
        <x:v>1</x:v>
      </x:c>
      <x:c r="X916" s="6" t="n">
        <x:v>0</x:v>
      </x:c>
      <x:c r="Y916" s="6" t="n">
        <x:v>0</x:v>
      </x:c>
      <x:c r="Z916" s="6" t="n">
        <x:v>0</x:v>
      </x:c>
      <x:c r="AA916" s="6" t="n">
        <x:v>3</x:v>
      </x:c>
      <x:c r="AB916" s="6" t="n">
        <x:v>11</x:v>
      </x:c>
      <x:c r="AC916" s="6" t="n">
        <x:v>1</x:v>
      </x:c>
    </x:row>
    <x:row r="917">
      <x:c r="A917" s="6" t="n">
        <x:v>9308</x:v>
      </x:c>
      <x:c r="B917" s="6" t="n">
        <x:v>1954</x:v>
      </x:c>
      <x:c r="C917" s="6" t="str">
        <x:v>Graduation</x:v>
      </x:c>
      <x:c r="D917" s="6" t="str">
        <x:v>Married</x:v>
      </x:c>
      <x:c r="E917" s="6" t="n">
        <x:v>62820</x:v>
      </x:c>
      <x:c r="F917" s="6" t="n">
        <x:v>0</x:v>
      </x:c>
      <x:c r="G917" s="6" t="n">
        <x:v>0</x:v>
      </x:c>
      <x:c r="H917" s="9" t="str">
        <x:v>11-05-2013</x:v>
      </x:c>
      <x:c r="I917" s="6" t="n">
        <x:v>51</x:v>
      </x:c>
      <x:c r="J917" s="6" t="n">
        <x:v>398</x:v>
      </x:c>
      <x:c r="K917" s="6" t="n">
        <x:v>61</x:v>
      </x:c>
      <x:c r="L917" s="6" t="n">
        <x:v>265</x:v>
      </x:c>
      <x:c r="M917" s="6" t="n">
        <x:v>138</x:v>
      </x:c>
      <x:c r="N917" s="6" t="n">
        <x:v>61</x:v>
      </x:c>
      <x:c r="O917" s="6" t="n">
        <x:v>53</x:v>
      </x:c>
      <x:c r="P917" s="6" t="n">
        <x:v>1</x:v>
      </x:c>
      <x:c r="Q917" s="6" t="n">
        <x:v>3</x:v>
      </x:c>
      <x:c r="R917" s="6" t="n">
        <x:v>4</x:v>
      </x:c>
      <x:c r="S917" s="6" t="n">
        <x:v>6</x:v>
      </x:c>
      <x:c r="T917" s="6" t="n">
        <x:v>1</x:v>
      </x:c>
      <x:c r="U917" s="6" t="n">
        <x:v>0</x:v>
      </x:c>
      <x:c r="V917" s="6" t="n">
        <x:v>0</x:v>
      </x:c>
      <x:c r="W917" s="6" t="n">
        <x:v>0</x:v>
      </x:c>
      <x:c r="X917" s="6" t="n">
        <x:v>0</x:v>
      </x:c>
      <x:c r="Y917" s="6" t="n">
        <x:v>0</x:v>
      </x:c>
      <x:c r="Z917" s="6" t="n">
        <x:v>0</x:v>
      </x:c>
      <x:c r="AA917" s="6" t="n">
        <x:v>3</x:v>
      </x:c>
      <x:c r="AB917" s="6" t="n">
        <x:v>11</x:v>
      </x:c>
      <x:c r="AC917" s="6" t="n">
        <x:v>0</x:v>
      </x:c>
    </x:row>
    <x:row r="918">
      <x:c r="A918" s="6" t="n">
        <x:v>10505</x:v>
      </x:c>
      <x:c r="B918" s="6" t="n">
        <x:v>1960</x:v>
      </x:c>
      <x:c r="C918" s="6" t="str">
        <x:v>Master</x:v>
      </x:c>
      <x:c r="D918" s="6" t="str">
        <x:v>Together</x:v>
      </x:c>
      <x:c r="E918" s="6" t="n">
        <x:v>73113</x:v>
      </x:c>
      <x:c r="F918" s="6" t="n">
        <x:v>0</x:v>
      </x:c>
      <x:c r="G918" s="6" t="n">
        <x:v>0</x:v>
      </x:c>
      <x:c r="H918" s="9" t="str">
        <x:v>26-12-2013</x:v>
      </x:c>
      <x:c r="I918" s="6" t="n">
        <x:v>86</x:v>
      </x:c>
      <x:c r="J918" s="6" t="n">
        <x:v>741</x:v>
      </x:c>
      <x:c r="K918" s="6" t="n">
        <x:v>19</x:v>
      </x:c>
      <x:c r="L918" s="6" t="n">
        <x:v>154</x:v>
      </x:c>
      <x:c r="M918" s="6" t="n">
        <x:v>50</x:v>
      </x:c>
      <x:c r="N918" s="6" t="n">
        <x:v>9</x:v>
      </x:c>
      <x:c r="O918" s="6" t="n">
        <x:v>28</x:v>
      </x:c>
      <x:c r="P918" s="6" t="n">
        <x:v>1</x:v>
      </x:c>
      <x:c r="Q918" s="6" t="n">
        <x:v>3</x:v>
      </x:c>
      <x:c r="R918" s="6" t="n">
        <x:v>4</x:v>
      </x:c>
      <x:c r="S918" s="6" t="n">
        <x:v>7</x:v>
      </x:c>
      <x:c r="T918" s="6" t="n">
        <x:v>2</x:v>
      </x:c>
      <x:c r="U918" s="6" t="n">
        <x:v>0</x:v>
      </x:c>
      <x:c r="V918" s="6" t="n">
        <x:v>0</x:v>
      </x:c>
      <x:c r="W918" s="6" t="n">
        <x:v>0</x:v>
      </x:c>
      <x:c r="X918" s="6" t="n">
        <x:v>0</x:v>
      </x:c>
      <x:c r="Y918" s="6" t="n">
        <x:v>0</x:v>
      </x:c>
      <x:c r="Z918" s="6" t="n">
        <x:v>0</x:v>
      </x:c>
      <x:c r="AA918" s="6" t="n">
        <x:v>3</x:v>
      </x:c>
      <x:c r="AB918" s="6" t="n">
        <x:v>11</x:v>
      </x:c>
      <x:c r="AC918" s="6" t="n">
        <x:v>0</x:v>
      </x:c>
    </x:row>
    <x:row r="919">
      <x:c r="A919" s="6" t="n">
        <x:v>8362</x:v>
      </x:c>
      <x:c r="B919" s="6" t="n">
        <x:v>1982</x:v>
      </x:c>
      <x:c r="C919" s="6" t="str">
        <x:v>PhD</x:v>
      </x:c>
      <x:c r="D919" s="6" t="str">
        <x:v>Married</x:v>
      </x:c>
      <x:c r="E919" s="6" t="n">
        <x:v>84169</x:v>
      </x:c>
      <x:c r="F919" s="6" t="n">
        <x:v>0</x:v>
      </x:c>
      <x:c r="G919" s="6" t="n">
        <x:v>0</x:v>
      </x:c>
      <x:c r="H919" s="9" t="str">
        <x:v>07-08-2013</x:v>
      </x:c>
      <x:c r="I919" s="6" t="n">
        <x:v>9</x:v>
      </x:c>
      <x:c r="J919" s="6" t="n">
        <x:v>1478</x:v>
      </x:c>
      <x:c r="K919" s="6" t="n">
        <x:v>19</x:v>
      </x:c>
      <x:c r="L919" s="6" t="n">
        <x:v>403</x:v>
      </x:c>
      <x:c r="M919" s="6" t="n">
        <x:v>0</x:v>
      </x:c>
      <x:c r="N919" s="6" t="n">
        <x:v>19</x:v>
      </x:c>
      <x:c r="O919" s="6" t="n">
        <x:v>0</x:v>
      </x:c>
      <x:c r="P919" s="6" t="n">
        <x:v>1</x:v>
      </x:c>
      <x:c r="Q919" s="6" t="n">
        <x:v>7</x:v>
      </x:c>
      <x:c r="R919" s="6" t="n">
        <x:v>6</x:v>
      </x:c>
      <x:c r="S919" s="6" t="n">
        <x:v>6</x:v>
      </x:c>
      <x:c r="T919" s="6" t="n">
        <x:v>3</x:v>
      </x:c>
      <x:c r="U919" s="6" t="n">
        <x:v>0</x:v>
      </x:c>
      <x:c r="V919" s="6" t="n">
        <x:v>1</x:v>
      </x:c>
      <x:c r="W919" s="6" t="n">
        <x:v>1</x:v>
      </x:c>
      <x:c r="X919" s="6" t="n">
        <x:v>0</x:v>
      </x:c>
      <x:c r="Y919" s="6" t="n">
        <x:v>0</x:v>
      </x:c>
      <x:c r="Z919" s="6" t="n">
        <x:v>0</x:v>
      </x:c>
      <x:c r="AA919" s="6" t="n">
        <x:v>3</x:v>
      </x:c>
      <x:c r="AB919" s="6" t="n">
        <x:v>11</x:v>
      </x:c>
      <x:c r="AC919" s="6" t="n">
        <x:v>1</x:v>
      </x:c>
    </x:row>
    <x:row r="920">
      <x:c r="A920" s="6" t="n">
        <x:v>2625</x:v>
      </x:c>
      <x:c r="B920" s="6" t="n">
        <x:v>1954</x:v>
      </x:c>
      <x:c r="C920" s="6" t="str">
        <x:v>2n Cycle</x:v>
      </x:c>
      <x:c r="D920" s="6" t="str">
        <x:v>Single</x:v>
      </x:c>
      <x:c r="E920" s="6" t="n">
        <x:v>42607</x:v>
      </x:c>
      <x:c r="F920" s="6" t="n">
        <x:v>0</x:v>
      </x:c>
      <x:c r="G920" s="6" t="n">
        <x:v>1</x:v>
      </x:c>
      <x:c r="H920" s="9" t="str">
        <x:v>17-11-2013</x:v>
      </x:c>
      <x:c r="I920" s="6" t="n">
        <x:v>30</x:v>
      </x:c>
      <x:c r="J920" s="6" t="n">
        <x:v>156</x:v>
      </x:c>
      <x:c r="K920" s="6" t="n">
        <x:v>29</x:v>
      </x:c>
      <x:c r="L920" s="6" t="n">
        <x:v>56</x:v>
      </x:c>
      <x:c r="M920" s="6" t="n">
        <x:v>30</x:v>
      </x:c>
      <x:c r="N920" s="6" t="n">
        <x:v>32</x:v>
      </x:c>
      <x:c r="O920" s="6" t="n">
        <x:v>47</x:v>
      </x:c>
      <x:c r="P920" s="6" t="n">
        <x:v>2</x:v>
      </x:c>
      <x:c r="Q920" s="6" t="n">
        <x:v>3</x:v>
      </x:c>
      <x:c r="R920" s="6" t="n">
        <x:v>2</x:v>
      </x:c>
      <x:c r="S920" s="6" t="n">
        <x:v>7</x:v>
      </x:c>
      <x:c r="T920" s="6" t="n">
        <x:v>3</x:v>
      </x:c>
      <x:c r="U920" s="6" t="n">
        <x:v>0</x:v>
      </x:c>
      <x:c r="V920" s="6" t="n">
        <x:v>0</x:v>
      </x:c>
      <x:c r="W920" s="6" t="n">
        <x:v>0</x:v>
      </x:c>
      <x:c r="X920" s="6" t="n">
        <x:v>0</x:v>
      </x:c>
      <x:c r="Y920" s="6" t="n">
        <x:v>0</x:v>
      </x:c>
      <x:c r="Z920" s="6" t="n">
        <x:v>0</x:v>
      </x:c>
      <x:c r="AA920" s="6" t="n">
        <x:v>3</x:v>
      </x:c>
      <x:c r="AB920" s="6" t="n">
        <x:v>11</x:v>
      </x:c>
      <x:c r="AC920" s="6" t="n">
        <x:v>0</x:v>
      </x:c>
    </x:row>
    <x:row r="921">
      <x:c r="A921" s="6" t="n">
        <x:v>4637</x:v>
      </x:c>
      <x:c r="B921" s="6" t="n">
        <x:v>1954</x:v>
      </x:c>
      <x:c r="C921" s="6" t="str">
        <x:v>PhD</x:v>
      </x:c>
      <x:c r="D921" s="6" t="str">
        <x:v>Single</x:v>
      </x:c>
      <x:c r="E921" s="6" t="n">
        <x:v>74637</x:v>
      </x:c>
      <x:c r="F921" s="6" t="n">
        <x:v>0</x:v>
      </x:c>
      <x:c r="G921" s="6" t="n">
        <x:v>0</x:v>
      </x:c>
      <x:c r="H921" s="9" t="str">
        <x:v>18-05-2013</x:v>
      </x:c>
      <x:c r="I921" s="6" t="n">
        <x:v>73</x:v>
      </x:c>
      <x:c r="J921" s="6" t="n">
        <x:v>960</x:v>
      </x:c>
      <x:c r="K921" s="6" t="n">
        <x:v>64</x:v>
      </x:c>
      <x:c r="L921" s="6" t="n">
        <x:v>464</x:v>
      </x:c>
      <x:c r="M921" s="6" t="n">
        <x:v>146</x:v>
      </x:c>
      <x:c r="N921" s="6" t="n">
        <x:v>0</x:v>
      </x:c>
      <x:c r="O921" s="6" t="n">
        <x:v>16</x:v>
      </x:c>
      <x:c r="P921" s="6" t="n">
        <x:v>1</x:v>
      </x:c>
      <x:c r="Q921" s="6" t="n">
        <x:v>6</x:v>
      </x:c>
      <x:c r="R921" s="6" t="n">
        <x:v>9</x:v>
      </x:c>
      <x:c r="S921" s="6" t="n">
        <x:v>9</x:v>
      </x:c>
      <x:c r="T921" s="6" t="n">
        <x:v>3</x:v>
      </x:c>
      <x:c r="U921" s="6" t="n">
        <x:v>0</x:v>
      </x:c>
      <x:c r="V921" s="6" t="n">
        <x:v>0</x:v>
      </x:c>
      <x:c r="W921" s="6" t="n">
        <x:v>0</x:v>
      </x:c>
      <x:c r="X921" s="6" t="n">
        <x:v>1</x:v>
      </x:c>
      <x:c r="Y921" s="6" t="n">
        <x:v>0</x:v>
      </x:c>
      <x:c r="Z921" s="6" t="n">
        <x:v>0</x:v>
      </x:c>
      <x:c r="AA921" s="6" t="n">
        <x:v>3</x:v>
      </x:c>
      <x:c r="AB921" s="6" t="n">
        <x:v>11</x:v>
      </x:c>
      <x:c r="AC921" s="6" t="n">
        <x:v>0</x:v>
      </x:c>
    </x:row>
    <x:row r="922">
      <x:c r="A922" s="6" t="n">
        <x:v>9972</x:v>
      </x:c>
      <x:c r="B922" s="6" t="n">
        <x:v>1955</x:v>
      </x:c>
      <x:c r="C922" s="6" t="str">
        <x:v>PhD</x:v>
      </x:c>
      <x:c r="D922" s="6" t="str">
        <x:v>Together</x:v>
      </x:c>
      <x:c r="E922" s="6" t="n">
        <x:v>46015</x:v>
      </x:c>
      <x:c r="F922" s="6" t="n">
        <x:v>1</x:v>
      </x:c>
      <x:c r="G922" s="6" t="n">
        <x:v>1</x:v>
      </x:c>
      <x:c r="H922" s="9" t="str">
        <x:v>13-04-2014</x:v>
      </x:c>
      <x:c r="I922" s="6" t="n">
        <x:v>25</x:v>
      </x:c>
      <x:c r="J922" s="6" t="n">
        <x:v>38</x:v>
      </x:c>
      <x:c r="K922" s="6" t="n">
        <x:v>0</x:v>
      </x:c>
      <x:c r="L922" s="6" t="n">
        <x:v>2</x:v>
      </x:c>
      <x:c r="M922" s="6" t="n">
        <x:v>0</x:v>
      </x:c>
      <x:c r="N922" s="6" t="n">
        <x:v>0</x:v>
      </x:c>
      <x:c r="O922" s="6" t="n">
        <x:v>6</x:v>
      </x:c>
      <x:c r="P922" s="6" t="n">
        <x:v>1</x:v>
      </x:c>
      <x:c r="Q922" s="6" t="n">
        <x:v>1</x:v>
      </x:c>
      <x:c r="R922" s="6" t="n">
        <x:v>0</x:v>
      </x:c>
      <x:c r="S922" s="6" t="n">
        <x:v>3</x:v>
      </x:c>
      <x:c r="T922" s="6" t="n">
        <x:v>7</x:v>
      </x:c>
      <x:c r="U922" s="6" t="n">
        <x:v>1</x:v>
      </x:c>
      <x:c r="V922" s="6" t="n">
        <x:v>0</x:v>
      </x:c>
      <x:c r="W922" s="6" t="n">
        <x:v>0</x:v>
      </x:c>
      <x:c r="X922" s="6" t="n">
        <x:v>0</x:v>
      </x:c>
      <x:c r="Y922" s="6" t="n">
        <x:v>1</x:v>
      </x:c>
      <x:c r="Z922" s="6" t="n">
        <x:v>0</x:v>
      </x:c>
      <x:c r="AA922" s="6" t="n">
        <x:v>3</x:v>
      </x:c>
      <x:c r="AB922" s="6" t="n">
        <x:v>11</x:v>
      </x:c>
      <x:c r="AC922" s="6" t="n">
        <x:v>0</x:v>
      </x:c>
    </x:row>
    <x:row r="923">
      <x:c r="A923" s="6" t="n">
        <x:v>4483</x:v>
      </x:c>
      <x:c r="B923" s="6" t="n">
        <x:v>1993</x:v>
      </x:c>
      <x:c r="C923" s="6" t="str">
        <x:v>Graduation</x:v>
      </x:c>
      <x:c r="D923" s="6" t="str">
        <x:v>Single</x:v>
      </x:c>
      <x:c r="E923" s="6" t="n">
        <x:v>72354</x:v>
      </x:c>
      <x:c r="F923" s="6" t="n">
        <x:v>0</x:v>
      </x:c>
      <x:c r="G923" s="6" t="n">
        <x:v>0</x:v>
      </x:c>
      <x:c r="H923" s="9" t="str">
        <x:v>17-04-2013</x:v>
      </x:c>
      <x:c r="I923" s="6" t="n">
        <x:v>67</x:v>
      </x:c>
      <x:c r="J923" s="6" t="n">
        <x:v>315</x:v>
      </x:c>
      <x:c r="K923" s="6" t="n">
        <x:v>26</x:v>
      </x:c>
      <x:c r="L923" s="6" t="n">
        <x:v>473</x:v>
      </x:c>
      <x:c r="M923" s="6" t="n">
        <x:v>220</x:v>
      </x:c>
      <x:c r="N923" s="6" t="n">
        <x:v>12</x:v>
      </x:c>
      <x:c r="O923" s="6" t="n">
        <x:v>182</x:v>
      </x:c>
      <x:c r="P923" s="6" t="n">
        <x:v>1</x:v>
      </x:c>
      <x:c r="Q923" s="6" t="n">
        <x:v>2</x:v>
      </x:c>
      <x:c r="R923" s="6" t="n">
        <x:v>10</x:v>
      </x:c>
      <x:c r="S923" s="6" t="n">
        <x:v>6</x:v>
      </x:c>
      <x:c r="T923" s="6" t="n">
        <x:v>1</x:v>
      </x:c>
      <x:c r="U923" s="6" t="n">
        <x:v>0</x:v>
      </x:c>
      <x:c r="V923" s="6" t="n">
        <x:v>0</x:v>
      </x:c>
      <x:c r="W923" s="6" t="n">
        <x:v>0</x:v>
      </x:c>
      <x:c r="X923" s="6" t="n">
        <x:v>0</x:v>
      </x:c>
      <x:c r="Y923" s="6" t="n">
        <x:v>0</x:v>
      </x:c>
      <x:c r="Z923" s="6" t="n">
        <x:v>0</x:v>
      </x:c>
      <x:c r="AA923" s="6" t="n">
        <x:v>3</x:v>
      </x:c>
      <x:c r="AB923" s="6" t="n">
        <x:v>11</x:v>
      </x:c>
      <x:c r="AC923" s="6" t="n">
        <x:v>0</x:v>
      </x:c>
    </x:row>
    <x:row r="924">
      <x:c r="A924" s="6" t="n">
        <x:v>4487</x:v>
      </x:c>
      <x:c r="B924" s="6" t="n">
        <x:v>1969</x:v>
      </x:c>
      <x:c r="C924" s="6" t="str">
        <x:v>Master</x:v>
      </x:c>
      <x:c r="D924" s="6" t="str">
        <x:v>Single</x:v>
      </x:c>
      <x:c r="E924" s="6" t="n">
        <x:v>39858</x:v>
      </x:c>
      <x:c r="F924" s="6" t="n">
        <x:v>1</x:v>
      </x:c>
      <x:c r="G924" s="6" t="n">
        <x:v>0</x:v>
      </x:c>
      <x:c r="H924" s="9" t="str">
        <x:v>24-01-2013</x:v>
      </x:c>
      <x:c r="I924" s="6" t="n">
        <x:v>67</x:v>
      </x:c>
      <x:c r="J924" s="6" t="n">
        <x:v>15</x:v>
      </x:c>
      <x:c r="K924" s="6" t="n">
        <x:v>20</x:v>
      </x:c>
      <x:c r="L924" s="6" t="n">
        <x:v>25</x:v>
      </x:c>
      <x:c r="M924" s="6" t="n">
        <x:v>2</x:v>
      </x:c>
      <x:c r="N924" s="6" t="n">
        <x:v>7</x:v>
      </x:c>
      <x:c r="O924" s="6" t="n">
        <x:v>26</x:v>
      </x:c>
      <x:c r="P924" s="6" t="n">
        <x:v>1</x:v>
      </x:c>
      <x:c r="Q924" s="6" t="n">
        <x:v>2</x:v>
      </x:c>
      <x:c r="R924" s="6" t="n">
        <x:v>0</x:v>
      </x:c>
      <x:c r="S924" s="6" t="n">
        <x:v>4</x:v>
      </x:c>
      <x:c r="T924" s="6" t="n">
        <x:v>6</x:v>
      </x:c>
      <x:c r="U924" s="6" t="n">
        <x:v>0</x:v>
      </x:c>
      <x:c r="V924" s="6" t="n">
        <x:v>0</x:v>
      </x:c>
      <x:c r="W924" s="6" t="n">
        <x:v>0</x:v>
      </x:c>
      <x:c r="X924" s="6" t="n">
        <x:v>0</x:v>
      </x:c>
      <x:c r="Y924" s="6" t="n">
        <x:v>0</x:v>
      </x:c>
      <x:c r="Z924" s="6" t="n">
        <x:v>0</x:v>
      </x:c>
      <x:c r="AA924" s="6" t="n">
        <x:v>3</x:v>
      </x:c>
      <x:c r="AB924" s="6" t="n">
        <x:v>11</x:v>
      </x:c>
      <x:c r="AC924" s="6" t="n">
        <x:v>1</x:v>
      </x:c>
    </x:row>
    <x:row r="925">
      <x:c r="A925" s="6" t="n">
        <x:v>4988</x:v>
      </x:c>
      <x:c r="B925" s="6" t="n">
        <x:v>1948</x:v>
      </x:c>
      <x:c r="C925" s="6" t="str">
        <x:v>PhD</x:v>
      </x:c>
      <x:c r="D925" s="6" t="str">
        <x:v>Married</x:v>
      </x:c>
      <x:c r="E925" s="6" t="n">
        <x:v>34469</x:v>
      </x:c>
      <x:c r="F925" s="6" t="n">
        <x:v>1</x:v>
      </x:c>
      <x:c r="G925" s="6" t="n">
        <x:v>1</x:v>
      </x:c>
      <x:c r="H925" s="9" t="str">
        <x:v>04-05-2014</x:v>
      </x:c>
      <x:c r="I925" s="6" t="n">
        <x:v>58</x:v>
      </x:c>
      <x:c r="J925" s="6" t="n">
        <x:v>19</x:v>
      </x:c>
      <x:c r="K925" s="6" t="n">
        <x:v>6</x:v>
      </x:c>
      <x:c r="L925" s="6" t="n">
        <x:v>20</x:v>
      </x:c>
      <x:c r="M925" s="6" t="n">
        <x:v>0</x:v>
      </x:c>
      <x:c r="N925" s="6" t="n">
        <x:v>5</x:v>
      </x:c>
      <x:c r="O925" s="6" t="n">
        <x:v>12</x:v>
      </x:c>
      <x:c r="P925" s="6" t="n">
        <x:v>3</x:v>
      </x:c>
      <x:c r="Q925" s="6" t="n">
        <x:v>1</x:v>
      </x:c>
      <x:c r="R925" s="6" t="n">
        <x:v>1</x:v>
      </x:c>
      <x:c r="S925" s="6" t="n">
        <x:v>4</x:v>
      </x:c>
      <x:c r="T925" s="6" t="n">
        <x:v>4</x:v>
      </x:c>
      <x:c r="U925" s="6" t="n">
        <x:v>0</x:v>
      </x:c>
      <x:c r="V925" s="6" t="n">
        <x:v>0</x:v>
      </x:c>
      <x:c r="W925" s="6" t="n">
        <x:v>0</x:v>
      </x:c>
      <x:c r="X925" s="6" t="n">
        <x:v>0</x:v>
      </x:c>
      <x:c r="Y925" s="6" t="n">
        <x:v>0</x:v>
      </x:c>
      <x:c r="Z925" s="6" t="n">
        <x:v>0</x:v>
      </x:c>
      <x:c r="AA925" s="6" t="n">
        <x:v>3</x:v>
      </x:c>
      <x:c r="AB925" s="6" t="n">
        <x:v>11</x:v>
      </x:c>
      <x:c r="AC925" s="6" t="n">
        <x:v>0</x:v>
      </x:c>
    </x:row>
    <x:row r="926">
      <x:c r="A926" s="6" t="n">
        <x:v>8931</x:v>
      </x:c>
      <x:c r="B926" s="6" t="n">
        <x:v>1986</x:v>
      </x:c>
      <x:c r="C926" s="6" t="str">
        <x:v>Graduation</x:v>
      </x:c>
      <x:c r="D926" s="6" t="str">
        <x:v>Together</x:v>
      </x:c>
      <x:c r="E926" s="6" t="n">
        <x:v>83033</x:v>
      </x:c>
      <x:c r="F926" s="6" t="n">
        <x:v>1</x:v>
      </x:c>
      <x:c r="G926" s="6" t="n">
        <x:v>0</x:v>
      </x:c>
      <x:c r="H926" s="9" t="str">
        <x:v>18-05-2014</x:v>
      </x:c>
      <x:c r="I926" s="6" t="n">
        <x:v>82</x:v>
      </x:c>
      <x:c r="J926" s="6" t="n">
        <x:v>812</x:v>
      </x:c>
      <x:c r="K926" s="6" t="n">
        <x:v>99</x:v>
      </x:c>
      <x:c r="L926" s="6" t="n">
        <x:v>431</x:v>
      </x:c>
      <x:c r="M926" s="6" t="n">
        <x:v>237</x:v>
      </x:c>
      <x:c r="N926" s="6" t="n">
        <x:v>149</x:v>
      </x:c>
      <x:c r="O926" s="6" t="n">
        <x:v>33</x:v>
      </x:c>
      <x:c r="P926" s="6" t="n">
        <x:v>1</x:v>
      </x:c>
      <x:c r="Q926" s="6" t="n">
        <x:v>11</x:v>
      </x:c>
      <x:c r="R926" s="6" t="n">
        <x:v>4</x:v>
      </x:c>
      <x:c r="S926" s="6" t="n">
        <x:v>10</x:v>
      </x:c>
      <x:c r="T926" s="6" t="n">
        <x:v>5</x:v>
      </x:c>
      <x:c r="U926" s="6" t="n">
        <x:v>0</x:v>
      </x:c>
      <x:c r="V926" s="6" t="n">
        <x:v>0</x:v>
      </x:c>
      <x:c r="W926" s="6" t="n">
        <x:v>0</x:v>
      </x:c>
      <x:c r="X926" s="6" t="n">
        <x:v>1</x:v>
      </x:c>
      <x:c r="Y926" s="6" t="n">
        <x:v>0</x:v>
      </x:c>
      <x:c r="Z926" s="6" t="n">
        <x:v>0</x:v>
      </x:c>
      <x:c r="AA926" s="6" t="n">
        <x:v>3</x:v>
      </x:c>
      <x:c r="AB926" s="6" t="n">
        <x:v>11</x:v>
      </x:c>
      <x:c r="AC926" s="6" t="n">
        <x:v>0</x:v>
      </x:c>
    </x:row>
    <x:row r="927">
      <x:c r="A927" s="6" t="n">
        <x:v>5871</x:v>
      </x:c>
      <x:c r="B927" s="6" t="n">
        <x:v>1979</x:v>
      </x:c>
      <x:c r="C927" s="6" t="str">
        <x:v>Master</x:v>
      </x:c>
      <x:c r="D927" s="6" t="str">
        <x:v>Together</x:v>
      </x:c>
      <x:c r="E927" s="6" t="n">
        <x:v>24401</x:v>
      </x:c>
      <x:c r="F927" s="6" t="n">
        <x:v>0</x:v>
      </x:c>
      <x:c r="G927" s="6" t="n">
        <x:v>0</x:v>
      </x:c>
      <x:c r="H927" s="9" t="str">
        <x:v>31-08-2012</x:v>
      </x:c>
      <x:c r="I927" s="6" t="n">
        <x:v>98</x:v>
      </x:c>
      <x:c r="J927" s="6" t="n">
        <x:v>73</x:v>
      </x:c>
      <x:c r="K927" s="6" t="n">
        <x:v>28</x:v>
      </x:c>
      <x:c r="L927" s="6" t="n">
        <x:v>217</x:v>
      </x:c>
      <x:c r="M927" s="6" t="n">
        <x:v>10</x:v>
      </x:c>
      <x:c r="N927" s="6" t="n">
        <x:v>24</x:v>
      </x:c>
      <x:c r="O927" s="6" t="n">
        <x:v>115</x:v>
      </x:c>
      <x:c r="P927" s="6" t="n">
        <x:v>3</x:v>
      </x:c>
      <x:c r="Q927" s="6" t="n">
        <x:v>6</x:v>
      </x:c>
      <x:c r="R927" s="6" t="n">
        <x:v>1</x:v>
      </x:c>
      <x:c r="S927" s="6" t="n">
        <x:v>6</x:v>
      </x:c>
      <x:c r="T927" s="6" t="n">
        <x:v>8</x:v>
      </x:c>
      <x:c r="U927" s="6" t="n">
        <x:v>0</x:v>
      </x:c>
      <x:c r="V927" s="6" t="n">
        <x:v>0</x:v>
      </x:c>
      <x:c r="W927" s="6" t="n">
        <x:v>0</x:v>
      </x:c>
      <x:c r="X927" s="6" t="n">
        <x:v>0</x:v>
      </x:c>
      <x:c r="Y927" s="6" t="n">
        <x:v>0</x:v>
      </x:c>
      <x:c r="Z927" s="6" t="n">
        <x:v>0</x:v>
      </x:c>
      <x:c r="AA927" s="6" t="n">
        <x:v>3</x:v>
      </x:c>
      <x:c r="AB927" s="6" t="n">
        <x:v>11</x:v>
      </x:c>
      <x:c r="AC927" s="6" t="n">
        <x:v>0</x:v>
      </x:c>
    </x:row>
    <x:row r="928">
      <x:c r="A928" s="6" t="n">
        <x:v>2008</x:v>
      </x:c>
      <x:c r="B928" s="6" t="n">
        <x:v>1978</x:v>
      </x:c>
      <x:c r="C928" s="6" t="str">
        <x:v>Graduation</x:v>
      </x:c>
      <x:c r="D928" s="6" t="str">
        <x:v>Married</x:v>
      </x:c>
      <x:c r="E928" s="6" t="n">
        <x:v>77583</x:v>
      </x:c>
      <x:c r="F928" s="6" t="n">
        <x:v>0</x:v>
      </x:c>
      <x:c r="G928" s="6" t="n">
        <x:v>0</x:v>
      </x:c>
      <x:c r="H928" s="9" t="str">
        <x:v>10-02-2014</x:v>
      </x:c>
      <x:c r="I928" s="6" t="n">
        <x:v>93</x:v>
      </x:c>
      <x:c r="J928" s="6" t="n">
        <x:v>372</x:v>
      </x:c>
      <x:c r="K928" s="6" t="n">
        <x:v>23</x:v>
      </x:c>
      <x:c r="L928" s="6" t="n">
        <x:v>384</x:v>
      </x:c>
      <x:c r="M928" s="6" t="n">
        <x:v>250</x:v>
      </x:c>
      <x:c r="N928" s="6" t="n">
        <x:v>12</x:v>
      </x:c>
      <x:c r="O928" s="6" t="n">
        <x:v>108</x:v>
      </x:c>
      <x:c r="P928" s="6" t="n">
        <x:v>1</x:v>
      </x:c>
      <x:c r="Q928" s="6" t="n">
        <x:v>4</x:v>
      </x:c>
      <x:c r="R928" s="6" t="n">
        <x:v>5</x:v>
      </x:c>
      <x:c r="S928" s="6" t="n">
        <x:v>9</x:v>
      </x:c>
      <x:c r="T928" s="6" t="n">
        <x:v>2</x:v>
      </x:c>
      <x:c r="U928" s="6" t="n">
        <x:v>0</x:v>
      </x:c>
      <x:c r="V928" s="6" t="n">
        <x:v>0</x:v>
      </x:c>
      <x:c r="W928" s="6" t="n">
        <x:v>0</x:v>
      </x:c>
      <x:c r="X928" s="6" t="n">
        <x:v>1</x:v>
      </x:c>
      <x:c r="Y928" s="6" t="n">
        <x:v>0</x:v>
      </x:c>
      <x:c r="Z928" s="6" t="n">
        <x:v>0</x:v>
      </x:c>
      <x:c r="AA928" s="6" t="n">
        <x:v>3</x:v>
      </x:c>
      <x:c r="AB928" s="6" t="n">
        <x:v>11</x:v>
      </x:c>
      <x:c r="AC928" s="6" t="n">
        <x:v>0</x:v>
      </x:c>
    </x:row>
    <x:row r="929">
      <x:c r="A929" s="6" t="n">
        <x:v>3139</x:v>
      </x:c>
      <x:c r="B929" s="6" t="n">
        <x:v>1982</x:v>
      </x:c>
      <x:c r="C929" s="6" t="str">
        <x:v>2n Cycle</x:v>
      </x:c>
      <x:c r="D929" s="6" t="str">
        <x:v>Single</x:v>
      </x:c>
      <x:c r="E929" s="6" t="n">
        <x:v>74116</x:v>
      </x:c>
      <x:c r="F929" s="6" t="n">
        <x:v>0</x:v>
      </x:c>
      <x:c r="G929" s="6" t="n">
        <x:v>0</x:v>
      </x:c>
      <x:c r="H929" s="9" t="str">
        <x:v>30-12-2013</x:v>
      </x:c>
      <x:c r="I929" s="6" t="n">
        <x:v>53</x:v>
      </x:c>
      <x:c r="J929" s="6" t="n">
        <x:v>871</x:v>
      </x:c>
      <x:c r="K929" s="6" t="n">
        <x:v>111</x:v>
      </x:c>
      <x:c r="L929" s="6" t="n">
        <x:v>704</x:v>
      </x:c>
      <x:c r="M929" s="6" t="n">
        <x:v>145</x:v>
      </x:c>
      <x:c r="N929" s="6" t="n">
        <x:v>55</x:v>
      </x:c>
      <x:c r="O929" s="6" t="n">
        <x:v>166</x:v>
      </x:c>
      <x:c r="P929" s="6" t="n">
        <x:v>1</x:v>
      </x:c>
      <x:c r="Q929" s="6" t="n">
        <x:v>4</x:v>
      </x:c>
      <x:c r="R929" s="6" t="n">
        <x:v>4</x:v>
      </x:c>
      <x:c r="S929" s="6" t="n">
        <x:v>10</x:v>
      </x:c>
      <x:c r="T929" s="6" t="n">
        <x:v>2</x:v>
      </x:c>
      <x:c r="U929" s="6" t="n">
        <x:v>0</x:v>
      </x:c>
      <x:c r="V929" s="6" t="n">
        <x:v>1</x:v>
      </x:c>
      <x:c r="W929" s="6" t="n">
        <x:v>0</x:v>
      </x:c>
      <x:c r="X929" s="6" t="n">
        <x:v>0</x:v>
      </x:c>
      <x:c r="Y929" s="6" t="n">
        <x:v>0</x:v>
      </x:c>
      <x:c r="Z929" s="6" t="n">
        <x:v>0</x:v>
      </x:c>
      <x:c r="AA929" s="6" t="n">
        <x:v>3</x:v>
      </x:c>
      <x:c r="AB929" s="6" t="n">
        <x:v>11</x:v>
      </x:c>
      <x:c r="AC929" s="6" t="n">
        <x:v>0</x:v>
      </x:c>
    </x:row>
    <x:row r="930">
      <x:c r="A930" s="6" t="n">
        <x:v>10037</x:v>
      </x:c>
      <x:c r="B930" s="6" t="n">
        <x:v>1993</x:v>
      </x:c>
      <x:c r="C930" s="6" t="str">
        <x:v>Graduation</x:v>
      </x:c>
      <x:c r="D930" s="6" t="str">
        <x:v>Single</x:v>
      </x:c>
      <x:c r="E930" s="6" t="n">
        <x:v>74293</x:v>
      </x:c>
      <x:c r="F930" s="6" t="n">
        <x:v>0</x:v>
      </x:c>
      <x:c r="G930" s="6" t="n">
        <x:v>0</x:v>
      </x:c>
      <x:c r="H930" s="9" t="str">
        <x:v>04-05-2014</x:v>
      </x:c>
      <x:c r="I930" s="6" t="n">
        <x:v>66</x:v>
      </x:c>
      <x:c r="J930" s="6" t="n">
        <x:v>375</x:v>
      </x:c>
      <x:c r="K930" s="6" t="n">
        <x:v>152</x:v>
      </x:c>
      <x:c r="L930" s="6" t="n">
        <x:v>335</x:v>
      </x:c>
      <x:c r="M930" s="6" t="n">
        <x:v>93</x:v>
      </x:c>
      <x:c r="N930" s="6" t="n">
        <x:v>91</x:v>
      </x:c>
      <x:c r="O930" s="6" t="n">
        <x:v>81</x:v>
      </x:c>
      <x:c r="P930" s="6" t="n">
        <x:v>1</x:v>
      </x:c>
      <x:c r="Q930" s="6" t="n">
        <x:v>5</x:v>
      </x:c>
      <x:c r="R930" s="6" t="n">
        <x:v>4</x:v>
      </x:c>
      <x:c r="S930" s="6" t="n">
        <x:v>6</x:v>
      </x:c>
      <x:c r="T930" s="6" t="n">
        <x:v>2</x:v>
      </x:c>
      <x:c r="U930" s="6" t="n">
        <x:v>0</x:v>
      </x:c>
      <x:c r="V930" s="6" t="n">
        <x:v>0</x:v>
      </x:c>
      <x:c r="W930" s="6" t="n">
        <x:v>0</x:v>
      </x:c>
      <x:c r="X930" s="6" t="n">
        <x:v>0</x:v>
      </x:c>
      <x:c r="Y930" s="6" t="n">
        <x:v>0</x:v>
      </x:c>
      <x:c r="Z930" s="6" t="n">
        <x:v>0</x:v>
      </x:c>
      <x:c r="AA930" s="6" t="n">
        <x:v>3</x:v>
      </x:c>
      <x:c r="AB930" s="6" t="n">
        <x:v>11</x:v>
      </x:c>
      <x:c r="AC930" s="6" t="n">
        <x:v>0</x:v>
      </x:c>
    </x:row>
    <x:row r="931">
      <x:c r="A931" s="6" t="n">
        <x:v>10673</x:v>
      </x:c>
      <x:c r="B931" s="6" t="n">
        <x:v>1976</x:v>
      </x:c>
      <x:c r="C931" s="6" t="str">
        <x:v>PhD</x:v>
      </x:c>
      <x:c r="D931" s="6" t="str">
        <x:v>Married</x:v>
      </x:c>
      <x:c r="E931" s="6" t="n">
        <x:v>68397</x:v>
      </x:c>
      <x:c r="F931" s="6" t="n">
        <x:v>0</x:v>
      </x:c>
      <x:c r="G931" s="6" t="n">
        <x:v>1</x:v>
      </x:c>
      <x:c r="H931" s="9" t="str">
        <x:v>17-11-2013</x:v>
      </x:c>
      <x:c r="I931" s="6" t="n">
        <x:v>6</x:v>
      </x:c>
      <x:c r="J931" s="6" t="n">
        <x:v>760</x:v>
      </x:c>
      <x:c r="K931" s="6" t="n">
        <x:v>80</x:v>
      </x:c>
      <x:c r="L931" s="6" t="n">
        <x:v>466</x:v>
      </x:c>
      <x:c r="M931" s="6" t="n">
        <x:v>17</x:v>
      </x:c>
      <x:c r="N931" s="6" t="n">
        <x:v>13</x:v>
      </x:c>
      <x:c r="O931" s="6" t="n">
        <x:v>80</x:v>
      </x:c>
      <x:c r="P931" s="6" t="n">
        <x:v>1</x:v>
      </x:c>
      <x:c r="Q931" s="6" t="n">
        <x:v>6</x:v>
      </x:c>
      <x:c r="R931" s="6" t="n">
        <x:v>9</x:v>
      </x:c>
      <x:c r="S931" s="6" t="n">
        <x:v>5</x:v>
      </x:c>
      <x:c r="T931" s="6" t="n">
        <x:v>3</x:v>
      </x:c>
      <x:c r="U931" s="6" t="n">
        <x:v>0</x:v>
      </x:c>
      <x:c r="V931" s="6" t="n">
        <x:v>0</x:v>
      </x:c>
      <x:c r="W931" s="6" t="n">
        <x:v>0</x:v>
      </x:c>
      <x:c r="X931" s="6" t="n">
        <x:v>0</x:v>
      </x:c>
      <x:c r="Y931" s="6" t="n">
        <x:v>0</x:v>
      </x:c>
      <x:c r="Z931" s="6" t="n">
        <x:v>0</x:v>
      </x:c>
      <x:c r="AA931" s="6" t="n">
        <x:v>3</x:v>
      </x:c>
      <x:c r="AB931" s="6" t="n">
        <x:v>11</x:v>
      </x:c>
      <x:c r="AC931" s="6" t="n">
        <x:v>0</x:v>
      </x:c>
    </x:row>
    <x:row r="932">
      <x:c r="A932" s="6" t="n">
        <x:v>5303</x:v>
      </x:c>
      <x:c r="B932" s="6" t="n">
        <x:v>1974</x:v>
      </x:c>
      <x:c r="C932" s="6" t="str">
        <x:v>PhD</x:v>
      </x:c>
      <x:c r="D932" s="6" t="str">
        <x:v>Together</x:v>
      </x:c>
      <x:c r="E932" s="6" t="n">
        <x:v>79632</x:v>
      </x:c>
      <x:c r="F932" s="6" t="n">
        <x:v>0</x:v>
      </x:c>
      <x:c r="G932" s="6" t="n">
        <x:v>0</x:v>
      </x:c>
      <x:c r="H932" s="9" t="str">
        <x:v>08-04-2014</x:v>
      </x:c>
      <x:c r="I932" s="6" t="n">
        <x:v>42</x:v>
      </x:c>
      <x:c r="J932" s="6" t="n">
        <x:v>471</x:v>
      </x:c>
      <x:c r="K932" s="6" t="n">
        <x:v>0</x:v>
      </x:c>
      <x:c r="L932" s="6" t="n">
        <x:v>510</x:v>
      </x:c>
      <x:c r="M932" s="6" t="n">
        <x:v>99</x:v>
      </x:c>
      <x:c r="N932" s="6" t="n">
        <x:v>21</x:v>
      </x:c>
      <x:c r="O932" s="6" t="n">
        <x:v>12</x:v>
      </x:c>
      <x:c r="P932" s="6" t="n">
        <x:v>1</x:v>
      </x:c>
      <x:c r="Q932" s="6" t="n">
        <x:v>6</x:v>
      </x:c>
      <x:c r="R932" s="6" t="n">
        <x:v>4</x:v>
      </x:c>
      <x:c r="S932" s="6" t="n">
        <x:v>9</x:v>
      </x:c>
      <x:c r="T932" s="6" t="n">
        <x:v>2</x:v>
      </x:c>
      <x:c r="U932" s="6" t="n">
        <x:v>0</x:v>
      </x:c>
      <x:c r="V932" s="6" t="n">
        <x:v>0</x:v>
      </x:c>
      <x:c r="W932" s="6" t="n">
        <x:v>0</x:v>
      </x:c>
      <x:c r="X932" s="6" t="n">
        <x:v>0</x:v>
      </x:c>
      <x:c r="Y932" s="6" t="n">
        <x:v>0</x:v>
      </x:c>
      <x:c r="Z932" s="6" t="n">
        <x:v>0</x:v>
      </x:c>
      <x:c r="AA932" s="6" t="n">
        <x:v>3</x:v>
      </x:c>
      <x:c r="AB932" s="6" t="n">
        <x:v>11</x:v>
      </x:c>
      <x:c r="AC932" s="6" t="n">
        <x:v>0</x:v>
      </x:c>
    </x:row>
    <x:row r="933">
      <x:c r="A933" s="6" t="n">
        <x:v>538</x:v>
      </x:c>
      <x:c r="B933" s="6" t="n">
        <x:v>1989</x:v>
      </x:c>
      <x:c r="C933" s="6" t="str">
        <x:v>Graduation</x:v>
      </x:c>
      <x:c r="D933" s="6" t="str">
        <x:v>Single</x:v>
      </x:c>
      <x:c r="E933" s="6" t="n">
        <x:v>46107</x:v>
      </x:c>
      <x:c r="F933" s="6" t="n">
        <x:v>1</x:v>
      </x:c>
      <x:c r="G933" s="6" t="n">
        <x:v>0</x:v>
      </x:c>
      <x:c r="H933" s="9" t="str">
        <x:v>10-02-2014</x:v>
      </x:c>
      <x:c r="I933" s="6" t="n">
        <x:v>78</x:v>
      </x:c>
      <x:c r="J933" s="6" t="n">
        <x:v>31</x:v>
      </x:c>
      <x:c r="K933" s="6" t="n">
        <x:v>9</x:v>
      </x:c>
      <x:c r="L933" s="6" t="n">
        <x:v>27</x:v>
      </x:c>
      <x:c r="M933" s="6" t="n">
        <x:v>16</x:v>
      </x:c>
      <x:c r="N933" s="6" t="n">
        <x:v>9</x:v>
      </x:c>
      <x:c r="O933" s="6" t="n">
        <x:v>33</x:v>
      </x:c>
      <x:c r="P933" s="6" t="n">
        <x:v>1</x:v>
      </x:c>
      <x:c r="Q933" s="6" t="n">
        <x:v>1</x:v>
      </x:c>
      <x:c r="R933" s="6" t="n">
        <x:v>1</x:v>
      </x:c>
      <x:c r="S933" s="6" t="n">
        <x:v>4</x:v>
      </x:c>
      <x:c r="T933" s="6" t="n">
        <x:v>3</x:v>
      </x:c>
      <x:c r="U933" s="6" t="n">
        <x:v>0</x:v>
      </x:c>
      <x:c r="V933" s="6" t="n">
        <x:v>0</x:v>
      </x:c>
      <x:c r="W933" s="6" t="n">
        <x:v>0</x:v>
      </x:c>
      <x:c r="X933" s="6" t="n">
        <x:v>0</x:v>
      </x:c>
      <x:c r="Y933" s="6" t="n">
        <x:v>0</x:v>
      </x:c>
      <x:c r="Z933" s="6" t="n">
        <x:v>0</x:v>
      </x:c>
      <x:c r="AA933" s="6" t="n">
        <x:v>3</x:v>
      </x:c>
      <x:c r="AB933" s="6" t="n">
        <x:v>11</x:v>
      </x:c>
      <x:c r="AC933" s="6" t="n">
        <x:v>0</x:v>
      </x:c>
    </x:row>
    <x:row r="934">
      <x:c r="A934" s="6" t="n">
        <x:v>7922</x:v>
      </x:c>
      <x:c r="B934" s="6" t="n">
        <x:v>1951</x:v>
      </x:c>
      <x:c r="C934" s="6" t="str">
        <x:v>PhD</x:v>
      </x:c>
      <x:c r="D934" s="6" t="str">
        <x:v>Single</x:v>
      </x:c>
      <x:c r="E934" s="6" t="n">
        <x:v>64950</x:v>
      </x:c>
      <x:c r="F934" s="6" t="n">
        <x:v>0</x:v>
      </x:c>
      <x:c r="G934" s="6" t="n">
        <x:v>1</x:v>
      </x:c>
      <x:c r="H934" s="9" t="str">
        <x:v>12-08-2012</x:v>
      </x:c>
      <x:c r="I934" s="6" t="n">
        <x:v>29</x:v>
      </x:c>
      <x:c r="J934" s="6" t="n">
        <x:v>819</x:v>
      </x:c>
      <x:c r="K934" s="6" t="n">
        <x:v>0</x:v>
      </x:c>
      <x:c r="L934" s="6" t="n">
        <x:v>72</x:v>
      </x:c>
      <x:c r="M934" s="6" t="n">
        <x:v>12</x:v>
      </x:c>
      <x:c r="N934" s="6" t="n">
        <x:v>0</x:v>
      </x:c>
      <x:c r="O934" s="6" t="n">
        <x:v>63</x:v>
      </x:c>
      <x:c r="P934" s="6" t="n">
        <x:v>2</x:v>
      </x:c>
      <x:c r="Q934" s="6" t="n">
        <x:v>11</x:v>
      </x:c>
      <x:c r="R934" s="6" t="n">
        <x:v>2</x:v>
      </x:c>
      <x:c r="S934" s="6" t="n">
        <x:v>10</x:v>
      </x:c>
      <x:c r="T934" s="6" t="n">
        <x:v>7</x:v>
      </x:c>
      <x:c r="U934" s="6" t="n">
        <x:v>0</x:v>
      </x:c>
      <x:c r="V934" s="6" t="n">
        <x:v>1</x:v>
      </x:c>
      <x:c r="W934" s="6" t="n">
        <x:v>0</x:v>
      </x:c>
      <x:c r="X934" s="6" t="n">
        <x:v>0</x:v>
      </x:c>
      <x:c r="Y934" s="6" t="n">
        <x:v>0</x:v>
      </x:c>
      <x:c r="Z934" s="6" t="n">
        <x:v>0</x:v>
      </x:c>
      <x:c r="AA934" s="6" t="n">
        <x:v>3</x:v>
      </x:c>
      <x:c r="AB934" s="6" t="n">
        <x:v>11</x:v>
      </x:c>
      <x:c r="AC934" s="6" t="n">
        <x:v>0</x:v>
      </x:c>
    </x:row>
    <x:row r="935">
      <x:c r="A935" s="6" t="n">
        <x:v>5692</x:v>
      </x:c>
      <x:c r="B935" s="6" t="n">
        <x:v>1989</x:v>
      </x:c>
      <x:c r="C935" s="6" t="str">
        <x:v>Basic</x:v>
      </x:c>
      <x:c r="D935" s="6" t="str">
        <x:v>Married</x:v>
      </x:c>
      <x:c r="E935" s="6" t="n">
        <x:v>25443</x:v>
      </x:c>
      <x:c r="F935" s="6" t="n">
        <x:v>1</x:v>
      </x:c>
      <x:c r="G935" s="6" t="n">
        <x:v>0</x:v>
      </x:c>
      <x:c r="H935" s="9" t="str">
        <x:v>22-12-2012</x:v>
      </x:c>
      <x:c r="I935" s="6" t="n">
        <x:v>82</x:v>
      </x:c>
      <x:c r="J935" s="6" t="n">
        <x:v>1</x:v>
      </x:c>
      <x:c r="K935" s="6" t="n">
        <x:v>4</x:v>
      </x:c>
      <x:c r="L935" s="6" t="n">
        <x:v>3</x:v>
      </x:c>
      <x:c r="M935" s="6" t="n">
        <x:v>8</x:v>
      </x:c>
      <x:c r="N935" s="6" t="n">
        <x:v>9</x:v>
      </x:c>
      <x:c r="O935" s="6" t="n">
        <x:v>7</x:v>
      </x:c>
      <x:c r="P935" s="6" t="n">
        <x:v>1</x:v>
      </x:c>
      <x:c r="Q935" s="6" t="n">
        <x:v>1</x:v>
      </x:c>
      <x:c r="R935" s="6" t="n">
        <x:v>0</x:v>
      </x:c>
      <x:c r="S935" s="6" t="n">
        <x:v>3</x:v>
      </x:c>
      <x:c r="T935" s="6" t="n">
        <x:v>8</x:v>
      </x:c>
      <x:c r="U935" s="6" t="n">
        <x:v>0</x:v>
      </x:c>
      <x:c r="V935" s="6" t="n">
        <x:v>0</x:v>
      </x:c>
      <x:c r="W935" s="6" t="n">
        <x:v>0</x:v>
      </x:c>
      <x:c r="X935" s="6" t="n">
        <x:v>0</x:v>
      </x:c>
      <x:c r="Y935" s="6" t="n">
        <x:v>0</x:v>
      </x:c>
      <x:c r="Z935" s="6" t="n">
        <x:v>0</x:v>
      </x:c>
      <x:c r="AA935" s="6" t="n">
        <x:v>3</x:v>
      </x:c>
      <x:c r="AB935" s="6" t="n">
        <x:v>11</x:v>
      </x:c>
      <x:c r="AC935" s="6" t="n">
        <x:v>0</x:v>
      </x:c>
    </x:row>
    <x:row r="936">
      <x:c r="A936" s="6" t="n">
        <x:v>4843</x:v>
      </x:c>
      <x:c r="B936" s="6" t="n">
        <x:v>1952</x:v>
      </x:c>
      <x:c r="C936" s="6" t="str">
        <x:v>Graduation</x:v>
      </x:c>
      <x:c r="D936" s="6" t="str">
        <x:v>Single</x:v>
      </x:c>
      <x:c r="E936" s="6" t="n">
        <x:v>75127</x:v>
      </x:c>
      <x:c r="F936" s="6" t="n">
        <x:v>0</x:v>
      </x:c>
      <x:c r="G936" s="6" t="n">
        <x:v>0</x:v>
      </x:c>
      <x:c r="H936" s="9" t="str">
        <x:v>22-05-2014</x:v>
      </x:c>
      <x:c r="I936" s="6" t="n">
        <x:v>92</x:v>
      </x:c>
      <x:c r="J936" s="6" t="n">
        <x:v>203</x:v>
      </x:c>
      <x:c r="K936" s="6" t="n">
        <x:v>35</x:v>
      </x:c>
      <x:c r="L936" s="6" t="n">
        <x:v>305</x:v>
      </x:c>
      <x:c r="M936" s="6" t="n">
        <x:v>46</x:v>
      </x:c>
      <x:c r="N936" s="6" t="n">
        <x:v>17</x:v>
      </x:c>
      <x:c r="O936" s="6" t="n">
        <x:v>227</x:v>
      </x:c>
      <x:c r="P936" s="6" t="n">
        <x:v>1</x:v>
      </x:c>
      <x:c r="Q936" s="6" t="n">
        <x:v>2</x:v>
      </x:c>
      <x:c r="R936" s="6" t="n">
        <x:v>11</x:v>
      </x:c>
      <x:c r="S936" s="6" t="n">
        <x:v>5</x:v>
      </x:c>
      <x:c r="T936" s="6" t="n">
        <x:v>1</x:v>
      </x:c>
      <x:c r="U936" s="6" t="n">
        <x:v>0</x:v>
      </x:c>
      <x:c r="V936" s="6" t="n">
        <x:v>0</x:v>
      </x:c>
      <x:c r="W936" s="6" t="n">
        <x:v>0</x:v>
      </x:c>
      <x:c r="X936" s="6" t="n">
        <x:v>0</x:v>
      </x:c>
      <x:c r="Y936" s="6" t="n">
        <x:v>0</x:v>
      </x:c>
      <x:c r="Z936" s="6" t="n">
        <x:v>0</x:v>
      </x:c>
      <x:c r="AA936" s="6" t="n">
        <x:v>3</x:v>
      </x:c>
      <x:c r="AB936" s="6" t="n">
        <x:v>11</x:v>
      </x:c>
      <x:c r="AC936" s="6" t="n">
        <x:v>0</x:v>
      </x:c>
    </x:row>
    <x:row r="937">
      <x:c r="A937" s="6" t="n">
        <x:v>6383</x:v>
      </x:c>
      <x:c r="B937" s="6" t="n">
        <x:v>1971</x:v>
      </x:c>
      <x:c r="C937" s="6" t="str">
        <x:v>PhD</x:v>
      </x:c>
      <x:c r="D937" s="6" t="str">
        <x:v>Together</x:v>
      </x:c>
      <x:c r="E937" s="6" t="n">
        <x:v>32892</x:v>
      </x:c>
      <x:c r="F937" s="6" t="n">
        <x:v>1</x:v>
      </x:c>
      <x:c r="G937" s="6" t="n">
        <x:v>0</x:v>
      </x:c>
      <x:c r="H937" s="9" t="str">
        <x:v>25-05-2014</x:v>
      </x:c>
      <x:c r="I937" s="6" t="n">
        <x:v>78</x:v>
      </x:c>
      <x:c r="J937" s="6" t="n">
        <x:v>26</x:v>
      </x:c>
      <x:c r="K937" s="6" t="n">
        <x:v>0</x:v>
      </x:c>
      <x:c r="L937" s="6" t="n">
        <x:v>15</x:v>
      </x:c>
      <x:c r="M937" s="6" t="n">
        <x:v>2</x:v>
      </x:c>
      <x:c r="N937" s="6" t="n">
        <x:v>1</x:v>
      </x:c>
      <x:c r="O937" s="6" t="n">
        <x:v>2</x:v>
      </x:c>
      <x:c r="P937" s="6" t="n">
        <x:v>2</x:v>
      </x:c>
      <x:c r="Q937" s="6" t="n">
        <x:v>3</x:v>
      </x:c>
      <x:c r="R937" s="6" t="n">
        <x:v>0</x:v>
      </x:c>
      <x:c r="S937" s="6" t="n">
        <x:v>3</x:v>
      </x:c>
      <x:c r="T937" s="6" t="n">
        <x:v>8</x:v>
      </x:c>
      <x:c r="U937" s="6" t="n">
        <x:v>0</x:v>
      </x:c>
      <x:c r="V937" s="6" t="n">
        <x:v>0</x:v>
      </x:c>
      <x:c r="W937" s="6" t="n">
        <x:v>0</x:v>
      </x:c>
      <x:c r="X937" s="6" t="n">
        <x:v>0</x:v>
      </x:c>
      <x:c r="Y937" s="6" t="n">
        <x:v>0</x:v>
      </x:c>
      <x:c r="Z937" s="6" t="n">
        <x:v>0</x:v>
      </x:c>
      <x:c r="AA937" s="6" t="n">
        <x:v>3</x:v>
      </x:c>
      <x:c r="AB937" s="6" t="n">
        <x:v>11</x:v>
      </x:c>
      <x:c r="AC937" s="6" t="n">
        <x:v>0</x:v>
      </x:c>
    </x:row>
    <x:row r="938">
      <x:c r="A938" s="6" t="n">
        <x:v>1628</x:v>
      </x:c>
      <x:c r="B938" s="6" t="n">
        <x:v>1971</x:v>
      </x:c>
      <x:c r="C938" s="6" t="str">
        <x:v>Graduation</x:v>
      </x:c>
      <x:c r="D938" s="6" t="str">
        <x:v>Together</x:v>
      </x:c>
      <x:c r="E938" s="6" t="n">
        <x:v>71796</x:v>
      </x:c>
      <x:c r="F938" s="6" t="n">
        <x:v>0</x:v>
      </x:c>
      <x:c r="G938" s="6" t="n">
        <x:v>0</x:v>
      </x:c>
      <x:c r="H938" s="9" t="str">
        <x:v>24-10-2013</x:v>
      </x:c>
      <x:c r="I938" s="6" t="n">
        <x:v>54</x:v>
      </x:c>
      <x:c r="J938" s="6" t="n">
        <x:v>354</x:v>
      </x:c>
      <x:c r="K938" s="6" t="n">
        <x:v>21</x:v>
      </x:c>
      <x:c r="L938" s="6" t="n">
        <x:v>311</x:v>
      </x:c>
      <x:c r="M938" s="6" t="n">
        <x:v>167</x:v>
      </x:c>
      <x:c r="N938" s="6" t="n">
        <x:v>75</x:v>
      </x:c>
      <x:c r="O938" s="6" t="n">
        <x:v>32</x:v>
      </x:c>
      <x:c r="P938" s="6" t="n">
        <x:v>1</x:v>
      </x:c>
      <x:c r="Q938" s="6" t="n">
        <x:v>9</x:v>
      </x:c>
      <x:c r="R938" s="6" t="n">
        <x:v>3</x:v>
      </x:c>
      <x:c r="S938" s="6" t="n">
        <x:v>4</x:v>
      </x:c>
      <x:c r="T938" s="6" t="n">
        <x:v>4</x:v>
      </x:c>
      <x:c r="U938" s="6" t="n">
        <x:v>0</x:v>
      </x:c>
      <x:c r="V938" s="6" t="n">
        <x:v>0</x:v>
      </x:c>
      <x:c r="W938" s="6" t="n">
        <x:v>0</x:v>
      </x:c>
      <x:c r="X938" s="6" t="n">
        <x:v>0</x:v>
      </x:c>
      <x:c r="Y938" s="6" t="n">
        <x:v>0</x:v>
      </x:c>
      <x:c r="Z938" s="6" t="n">
        <x:v>0</x:v>
      </x:c>
      <x:c r="AA938" s="6" t="n">
        <x:v>3</x:v>
      </x:c>
      <x:c r="AB938" s="6" t="n">
        <x:v>11</x:v>
      </x:c>
      <x:c r="AC938" s="6" t="n">
        <x:v>0</x:v>
      </x:c>
    </x:row>
    <x:row r="939">
      <x:c r="A939" s="6" t="n">
        <x:v>1204</x:v>
      </x:c>
      <x:c r="B939" s="6" t="n">
        <x:v>1970</x:v>
      </x:c>
      <x:c r="C939" s="6" t="str">
        <x:v>PhD</x:v>
      </x:c>
      <x:c r="D939" s="6" t="str">
        <x:v>Married</x:v>
      </x:c>
      <x:c r="E939" s="6" t="n">
        <x:v>67536</x:v>
      </x:c>
      <x:c r="F939" s="6" t="n">
        <x:v>0</x:v>
      </x:c>
      <x:c r="G939" s="6" t="n">
        <x:v>1</x:v>
      </x:c>
      <x:c r="H939" s="9" t="str">
        <x:v>22-05-2013</x:v>
      </x:c>
      <x:c r="I939" s="6" t="n">
        <x:v>45</x:v>
      </x:c>
      <x:c r="J939" s="6" t="n">
        <x:v>1253</x:v>
      </x:c>
      <x:c r="K939" s="6" t="n">
        <x:v>0</x:v>
      </x:c>
      <x:c r="L939" s="6" t="n">
        <x:v>447</x:v>
      </x:c>
      <x:c r="M939" s="6" t="n">
        <x:v>23</x:v>
      </x:c>
      <x:c r="N939" s="6" t="n">
        <x:v>71</x:v>
      </x:c>
      <x:c r="O939" s="6" t="n">
        <x:v>35</x:v>
      </x:c>
      <x:c r="P939" s="6" t="n">
        <x:v>3</x:v>
      </x:c>
      <x:c r="Q939" s="6" t="n">
        <x:v>11</x:v>
      </x:c>
      <x:c r="R939" s="6" t="n">
        <x:v>5</x:v>
      </x:c>
      <x:c r="S939" s="6" t="n">
        <x:v>11</x:v>
      </x:c>
      <x:c r="T939" s="6" t="n">
        <x:v>8</x:v>
      </x:c>
      <x:c r="U939" s="6" t="n">
        <x:v>0</x:v>
      </x:c>
      <x:c r="V939" s="6" t="n">
        <x:v>0</x:v>
      </x:c>
      <x:c r="W939" s="6" t="n">
        <x:v>0</x:v>
      </x:c>
      <x:c r="X939" s="6" t="n">
        <x:v>1</x:v>
      </x:c>
      <x:c r="Y939" s="6" t="n">
        <x:v>0</x:v>
      </x:c>
      <x:c r="Z939" s="6" t="n">
        <x:v>0</x:v>
      </x:c>
      <x:c r="AA939" s="6" t="n">
        <x:v>3</x:v>
      </x:c>
      <x:c r="AB939" s="6" t="n">
        <x:v>11</x:v>
      </x:c>
      <x:c r="AC939" s="6" t="n">
        <x:v>0</x:v>
      </x:c>
    </x:row>
    <x:row r="940">
      <x:c r="A940" s="6" t="n">
        <x:v>3673</x:v>
      </x:c>
      <x:c r="B940" s="6" t="n">
        <x:v>1971</x:v>
      </x:c>
      <x:c r="C940" s="6" t="str">
        <x:v>Graduation</x:v>
      </x:c>
      <x:c r="D940" s="6" t="str">
        <x:v>Single</x:v>
      </x:c>
      <x:c r="E940" s="6" t="n">
        <x:v>55239</x:v>
      </x:c>
      <x:c r="F940" s="6" t="n">
        <x:v>0</x:v>
      </x:c>
      <x:c r="G940" s="6" t="n">
        <x:v>1</x:v>
      </x:c>
      <x:c r="H940" s="9" t="str">
        <x:v>14-07-2013</x:v>
      </x:c>
      <x:c r="I940" s="6" t="n">
        <x:v>59</x:v>
      </x:c>
      <x:c r="J940" s="6" t="n">
        <x:v>371</x:v>
      </x:c>
      <x:c r="K940" s="6" t="n">
        <x:v>17</x:v>
      </x:c>
      <x:c r="L940" s="6" t="n">
        <x:v>238</x:v>
      </x:c>
      <x:c r="M940" s="6" t="n">
        <x:v>23</x:v>
      </x:c>
      <x:c r="N940" s="6" t="n">
        <x:v>24</x:v>
      </x:c>
      <x:c r="O940" s="6" t="n">
        <x:v>106</x:v>
      </x:c>
      <x:c r="P940" s="6" t="n">
        <x:v>3</x:v>
      </x:c>
      <x:c r="Q940" s="6" t="n">
        <x:v>7</x:v>
      </x:c>
      <x:c r="R940" s="6" t="n">
        <x:v>5</x:v>
      </x:c>
      <x:c r="S940" s="6" t="n">
        <x:v>11</x:v>
      </x:c>
      <x:c r="T940" s="6" t="n">
        <x:v>5</x:v>
      </x:c>
      <x:c r="U940" s="6" t="n">
        <x:v>0</x:v>
      </x:c>
      <x:c r="V940" s="6" t="n">
        <x:v>0</x:v>
      </x:c>
      <x:c r="W940" s="6" t="n">
        <x:v>0</x:v>
      </x:c>
      <x:c r="X940" s="6" t="n">
        <x:v>0</x:v>
      </x:c>
      <x:c r="Y940" s="6" t="n">
        <x:v>0</x:v>
      </x:c>
      <x:c r="Z940" s="6" t="n">
        <x:v>0</x:v>
      </x:c>
      <x:c r="AA940" s="6" t="n">
        <x:v>3</x:v>
      </x:c>
      <x:c r="AB940" s="6" t="n">
        <x:v>11</x:v>
      </x:c>
      <x:c r="AC940" s="6" t="n">
        <x:v>0</x:v>
      </x:c>
    </x:row>
    <x:row r="941">
      <x:c r="A941" s="6" t="n">
        <x:v>760</x:v>
      </x:c>
      <x:c r="B941" s="6" t="n">
        <x:v>1975</x:v>
      </x:c>
      <x:c r="C941" s="6" t="str">
        <x:v>PhD</x:v>
      </x:c>
      <x:c r="D941" s="6" t="str">
        <x:v>Divorced</x:v>
      </x:c>
      <x:c r="E941" s="6" t="n">
        <x:v>60554</x:v>
      </x:c>
      <x:c r="F941" s="6" t="n">
        <x:v>1</x:v>
      </x:c>
      <x:c r="G941" s="6" t="n">
        <x:v>0</x:v>
      </x:c>
      <x:c r="H941" s="9" t="str">
        <x:v>09-08-2013</x:v>
      </x:c>
      <x:c r="I941" s="6" t="n">
        <x:v>8</x:v>
      </x:c>
      <x:c r="J941" s="6" t="n">
        <x:v>588</x:v>
      </x:c>
      <x:c r="K941" s="6" t="n">
        <x:v>7</x:v>
      </x:c>
      <x:c r="L941" s="6" t="n">
        <x:v>76</x:v>
      </x:c>
      <x:c r="M941" s="6" t="n">
        <x:v>110</x:v>
      </x:c>
      <x:c r="N941" s="6" t="n">
        <x:v>15</x:v>
      </x:c>
      <x:c r="O941" s="6" t="n">
        <x:v>15</x:v>
      </x:c>
      <x:c r="P941" s="6" t="n">
        <x:v>2</x:v>
      </x:c>
      <x:c r="Q941" s="6" t="n">
        <x:v>8</x:v>
      </x:c>
      <x:c r="R941" s="6" t="n">
        <x:v>4</x:v>
      </x:c>
      <x:c r="S941" s="6" t="n">
        <x:v>9</x:v>
      </x:c>
      <x:c r="T941" s="6" t="n">
        <x:v>6</x:v>
      </x:c>
      <x:c r="U941" s="6" t="n">
        <x:v>0</x:v>
      </x:c>
      <x:c r="V941" s="6" t="n">
        <x:v>0</x:v>
      </x:c>
      <x:c r="W941" s="6" t="n">
        <x:v>0</x:v>
      </x:c>
      <x:c r="X941" s="6" t="n">
        <x:v>0</x:v>
      </x:c>
      <x:c r="Y941" s="6" t="n">
        <x:v>0</x:v>
      </x:c>
      <x:c r="Z941" s="6" t="n">
        <x:v>0</x:v>
      </x:c>
      <x:c r="AA941" s="6" t="n">
        <x:v>3</x:v>
      </x:c>
      <x:c r="AB941" s="6" t="n">
        <x:v>11</x:v>
      </x:c>
      <x:c r="AC941" s="6" t="n">
        <x:v>0</x:v>
      </x:c>
    </x:row>
    <x:row r="942">
      <x:c r="A942" s="6" t="n">
        <x:v>8957</x:v>
      </x:c>
      <x:c r="B942" s="6" t="n">
        <x:v>1952</x:v>
      </x:c>
      <x:c r="C942" s="6" t="str">
        <x:v>2n Cycle</x:v>
      </x:c>
      <x:c r="D942" s="6" t="str">
        <x:v>Single</x:v>
      </x:c>
      <x:c r="E942" s="6" t="n">
        <x:v>64831</x:v>
      </x:c>
      <x:c r="F942" s="6" t="n">
        <x:v>1</x:v>
      </x:c>
      <x:c r="G942" s="6" t="n">
        <x:v>1</x:v>
      </x:c>
      <x:c r="H942" s="9" t="str">
        <x:v>10-06-2013</x:v>
      </x:c>
      <x:c r="I942" s="6" t="n">
        <x:v>51</x:v>
      </x:c>
      <x:c r="J942" s="6" t="n">
        <x:v>480</x:v>
      </x:c>
      <x:c r="K942" s="6" t="n">
        <x:v>86</x:v>
      </x:c>
      <x:c r="L942" s="6" t="n">
        <x:v>249</x:v>
      </x:c>
      <x:c r="M942" s="6" t="n">
        <x:v>75</x:v>
      </x:c>
      <x:c r="N942" s="6" t="n">
        <x:v>86</x:v>
      </x:c>
      <x:c r="O942" s="6" t="n">
        <x:v>144</x:v>
      </x:c>
      <x:c r="P942" s="6" t="n">
        <x:v>8</x:v>
      </x:c>
      <x:c r="Q942" s="6" t="n">
        <x:v>6</x:v>
      </x:c>
      <x:c r="R942" s="6" t="n">
        <x:v>3</x:v>
      </x:c>
      <x:c r="S942" s="6" t="n">
        <x:v>5</x:v>
      </x:c>
      <x:c r="T942" s="6" t="n">
        <x:v>6</x:v>
      </x:c>
      <x:c r="U942" s="6" t="n">
        <x:v>0</x:v>
      </x:c>
      <x:c r="V942" s="6" t="n">
        <x:v>0</x:v>
      </x:c>
      <x:c r="W942" s="6" t="n">
        <x:v>0</x:v>
      </x:c>
      <x:c r="X942" s="6" t="n">
        <x:v>0</x:v>
      </x:c>
      <x:c r="Y942" s="6" t="n">
        <x:v>0</x:v>
      </x:c>
      <x:c r="Z942" s="6" t="n">
        <x:v>0</x:v>
      </x:c>
      <x:c r="AA942" s="6" t="n">
        <x:v>3</x:v>
      </x:c>
      <x:c r="AB942" s="6" t="n">
        <x:v>11</x:v>
      </x:c>
      <x:c r="AC942" s="6" t="n">
        <x:v>0</x:v>
      </x:c>
    </x:row>
    <x:row r="943">
      <x:c r="A943" s="6" t="n">
        <x:v>4128</x:v>
      </x:c>
      <x:c r="B943" s="6" t="n">
        <x:v>1962</x:v>
      </x:c>
      <x:c r="C943" s="6" t="str">
        <x:v>PhD</x:v>
      </x:c>
      <x:c r="D943" s="6" t="str">
        <x:v>Together</x:v>
      </x:c>
      <x:c r="E943" s="6" t="n">
        <x:v>56067</x:v>
      </x:c>
      <x:c r="F943" s="6" t="n">
        <x:v>0</x:v>
      </x:c>
      <x:c r="G943" s="6" t="n">
        <x:v>1</x:v>
      </x:c>
      <x:c r="H943" s="9" t="str">
        <x:v>20-07-2013</x:v>
      </x:c>
      <x:c r="I943" s="6" t="n">
        <x:v>51</x:v>
      </x:c>
      <x:c r="J943" s="6" t="n">
        <x:v>517</x:v>
      </x:c>
      <x:c r="K943" s="6" t="n">
        <x:v>12</x:v>
      </x:c>
      <x:c r="L943" s="6" t="n">
        <x:v>54</x:v>
      </x:c>
      <x:c r="M943" s="6" t="n">
        <x:v>16</x:v>
      </x:c>
      <x:c r="N943" s="6" t="n">
        <x:v>6</x:v>
      </x:c>
      <x:c r="O943" s="6" t="n">
        <x:v>120</x:v>
      </x:c>
      <x:c r="P943" s="6" t="n">
        <x:v>2</x:v>
      </x:c>
      <x:c r="Q943" s="6" t="n">
        <x:v>7</x:v>
      </x:c>
      <x:c r="R943" s="6" t="n">
        <x:v>4</x:v>
      </x:c>
      <x:c r="S943" s="6" t="n">
        <x:v>7</x:v>
      </x:c>
      <x:c r="T943" s="6" t="n">
        <x:v>5</x:v>
      </x:c>
      <x:c r="U943" s="6" t="n">
        <x:v>0</x:v>
      </x:c>
      <x:c r="V943" s="6" t="n">
        <x:v>0</x:v>
      </x:c>
      <x:c r="W943" s="6" t="n">
        <x:v>0</x:v>
      </x:c>
      <x:c r="X943" s="6" t="n">
        <x:v>0</x:v>
      </x:c>
      <x:c r="Y943" s="6" t="n">
        <x:v>0</x:v>
      </x:c>
      <x:c r="Z943" s="6" t="n">
        <x:v>0</x:v>
      </x:c>
      <x:c r="AA943" s="6" t="n">
        <x:v>3</x:v>
      </x:c>
      <x:c r="AB943" s="6" t="n">
        <x:v>11</x:v>
      </x:c>
      <x:c r="AC943" s="6" t="n">
        <x:v>0</x:v>
      </x:c>
    </x:row>
    <x:row r="944">
      <x:c r="A944" s="6" t="n">
        <x:v>6810</x:v>
      </x:c>
      <x:c r="B944" s="6" t="n">
        <x:v>1983</x:v>
      </x:c>
      <x:c r="C944" s="6" t="str">
        <x:v>Graduation</x:v>
      </x:c>
      <x:c r="D944" s="6" t="str">
        <x:v>Divorced</x:v>
      </x:c>
      <x:c r="E944" s="6" t="n">
        <x:v>82025</x:v>
      </x:c>
      <x:c r="F944" s="6" t="n">
        <x:v>0</x:v>
      </x:c>
      <x:c r="G944" s="6" t="n">
        <x:v>0</x:v>
      </x:c>
      <x:c r="H944" s="9" t="str">
        <x:v>28-05-2013</x:v>
      </x:c>
      <x:c r="I944" s="6" t="n">
        <x:v>76</x:v>
      </x:c>
      <x:c r="J944" s="6" t="n">
        <x:v>267</x:v>
      </x:c>
      <x:c r="K944" s="6" t="n">
        <x:v>98</x:v>
      </x:c>
      <x:c r="L944" s="6" t="n">
        <x:v>606</x:v>
      </x:c>
      <x:c r="M944" s="6" t="n">
        <x:v>48</x:v>
      </x:c>
      <x:c r="N944" s="6" t="n">
        <x:v>70</x:v>
      </x:c>
      <x:c r="O944" s="6" t="n">
        <x:v>98</x:v>
      </x:c>
      <x:c r="P944" s="6" t="n">
        <x:v>1</x:v>
      </x:c>
      <x:c r="Q944" s="6" t="n">
        <x:v>3</x:v>
      </x:c>
      <x:c r="R944" s="6" t="n">
        <x:v>2</x:v>
      </x:c>
      <x:c r="S944" s="6" t="n">
        <x:v>6</x:v>
      </x:c>
      <x:c r="T944" s="6" t="n">
        <x:v>1</x:v>
      </x:c>
      <x:c r="U944" s="6" t="n">
        <x:v>0</x:v>
      </x:c>
      <x:c r="V944" s="6" t="n">
        <x:v>0</x:v>
      </x:c>
      <x:c r="W944" s="6" t="n">
        <x:v>1</x:v>
      </x:c>
      <x:c r="X944" s="6" t="n">
        <x:v>0</x:v>
      </x:c>
      <x:c r="Y944" s="6" t="n">
        <x:v>0</x:v>
      </x:c>
      <x:c r="Z944" s="6" t="n">
        <x:v>0</x:v>
      </x:c>
      <x:c r="AA944" s="6" t="n">
        <x:v>3</x:v>
      </x:c>
      <x:c r="AB944" s="6" t="n">
        <x:v>11</x:v>
      </x:c>
      <x:c r="AC944" s="6" t="n">
        <x:v>1</x:v>
      </x:c>
    </x:row>
    <x:row r="945">
      <x:c r="A945" s="6" t="n">
        <x:v>5386</x:v>
      </x:c>
      <x:c r="B945" s="6" t="n">
        <x:v>1953</x:v>
      </x:c>
      <x:c r="C945" s="6" t="str">
        <x:v>Graduation</x:v>
      </x:c>
      <x:c r="D945" s="6" t="str">
        <x:v>Together</x:v>
      </x:c>
      <x:c r="E945" s="6" t="n">
        <x:v>94384</x:v>
      </x:c>
      <x:c r="F945" s="6" t="n">
        <x:v>0</x:v>
      </x:c>
      <x:c r="G945" s="6" t="n">
        <x:v>0</x:v>
      </x:c>
      <x:c r="H945" s="9" t="str">
        <x:v>04-03-2013</x:v>
      </x:c>
      <x:c r="I945" s="6" t="n">
        <x:v>62</x:v>
      </x:c>
      <x:c r="J945" s="6" t="n">
        <x:v>1111</x:v>
      </x:c>
      <x:c r="K945" s="6" t="n">
        <x:v>24</x:v>
      </x:c>
      <x:c r="L945" s="6" t="n">
        <x:v>790</x:v>
      </x:c>
      <x:c r="M945" s="6" t="n">
        <x:v>160</x:v>
      </x:c>
      <x:c r="N945" s="6" t="n">
        <x:v>45</x:v>
      </x:c>
      <x:c r="O945" s="6" t="n">
        <x:v>172</x:v>
      </x:c>
      <x:c r="P945" s="6" t="n">
        <x:v>0</x:v>
      </x:c>
      <x:c r="Q945" s="6" t="n">
        <x:v>5</x:v>
      </x:c>
      <x:c r="R945" s="6" t="n">
        <x:v>8</x:v>
      </x:c>
      <x:c r="S945" s="6" t="n">
        <x:v>5</x:v>
      </x:c>
      <x:c r="T945" s="6" t="n">
        <x:v>2</x:v>
      </x:c>
      <x:c r="U945" s="6" t="n">
        <x:v>0</x:v>
      </x:c>
      <x:c r="V945" s="6" t="n">
        <x:v>1</x:v>
      </x:c>
      <x:c r="W945" s="6" t="n">
        <x:v>1</x:v>
      </x:c>
      <x:c r="X945" s="6" t="n">
        <x:v>1</x:v>
      </x:c>
      <x:c r="Y945" s="6" t="n">
        <x:v>0</x:v>
      </x:c>
      <x:c r="Z945" s="6" t="n">
        <x:v>0</x:v>
      </x:c>
      <x:c r="AA945" s="6" t="n">
        <x:v>3</x:v>
      </x:c>
      <x:c r="AB945" s="6" t="n">
        <x:v>11</x:v>
      </x:c>
      <x:c r="AC945" s="6" t="n">
        <x:v>1</x:v>
      </x:c>
    </x:row>
    <x:row r="946">
      <x:c r="A946" s="6" t="n">
        <x:v>8700</x:v>
      </x:c>
      <x:c r="B946" s="6" t="n">
        <x:v>1986</x:v>
      </x:c>
      <x:c r="C946" s="6" t="str">
        <x:v>Basic</x:v>
      </x:c>
      <x:c r="D946" s="6" t="str">
        <x:v>Single</x:v>
      </x:c>
      <x:c r="E946" s="6" t="n">
        <x:v>14906</x:v>
      </x:c>
      <x:c r="F946" s="6" t="n">
        <x:v>0</x:v>
      </x:c>
      <x:c r="G946" s="6" t="n">
        <x:v>0</x:v>
      </x:c>
      <x:c r="H946" s="9" t="str">
        <x:v>22-12-2012</x:v>
      </x:c>
      <x:c r="I946" s="6" t="n">
        <x:v>86</x:v>
      </x:c>
      <x:c r="J946" s="6" t="n">
        <x:v>7</x:v>
      </x:c>
      <x:c r="K946" s="6" t="n">
        <x:v>7</x:v>
      </x:c>
      <x:c r="L946" s="6" t="n">
        <x:v>14</x:v>
      </x:c>
      <x:c r="M946" s="6" t="n">
        <x:v>7</x:v>
      </x:c>
      <x:c r="N946" s="6" t="n">
        <x:v>16</x:v>
      </x:c>
      <x:c r="O946" s="6" t="n">
        <x:v>15</x:v>
      </x:c>
      <x:c r="P946" s="6" t="n">
        <x:v>3</x:v>
      </x:c>
      <x:c r="Q946" s="6" t="n">
        <x:v>2</x:v>
      </x:c>
      <x:c r="R946" s="6" t="n">
        <x:v>1</x:v>
      </x:c>
      <x:c r="S946" s="6" t="n">
        <x:v>3</x:v>
      </x:c>
      <x:c r="T946" s="6" t="n">
        <x:v>7</x:v>
      </x:c>
      <x:c r="U946" s="6" t="n">
        <x:v>0</x:v>
      </x:c>
      <x:c r="V946" s="6" t="n">
        <x:v>0</x:v>
      </x:c>
      <x:c r="W946" s="6" t="n">
        <x:v>0</x:v>
      </x:c>
      <x:c r="X946" s="6" t="n">
        <x:v>0</x:v>
      </x:c>
      <x:c r="Y946" s="6" t="n">
        <x:v>0</x:v>
      </x:c>
      <x:c r="Z946" s="6" t="n">
        <x:v>0</x:v>
      </x:c>
      <x:c r="AA946" s="6" t="n">
        <x:v>3</x:v>
      </x:c>
      <x:c r="AB946" s="6" t="n">
        <x:v>11</x:v>
      </x:c>
      <x:c r="AC946" s="6" t="n">
        <x:v>0</x:v>
      </x:c>
    </x:row>
    <x:row r="947">
      <x:c r="A947" s="6" t="n">
        <x:v>3202</x:v>
      </x:c>
      <x:c r="B947" s="6" t="n">
        <x:v>1987</x:v>
      </x:c>
      <x:c r="C947" s="6" t="str">
        <x:v>PhD</x:v>
      </x:c>
      <x:c r="D947" s="6" t="str">
        <x:v>Married</x:v>
      </x:c>
      <x:c r="E947" s="6" t="n">
        <x:v>51563</x:v>
      </x:c>
      <x:c r="F947" s="6" t="n">
        <x:v>0</x:v>
      </x:c>
      <x:c r="G947" s="6" t="n">
        <x:v>0</x:v>
      </x:c>
      <x:c r="H947" s="9" t="str">
        <x:v>01-10-2012</x:v>
      </x:c>
      <x:c r="I947" s="6" t="n">
        <x:v>60</x:v>
      </x:c>
      <x:c r="J947" s="6" t="n">
        <x:v>1166</x:v>
      </x:c>
      <x:c r="K947" s="6" t="n">
        <x:v>0</x:v>
      </x:c>
      <x:c r="L947" s="6" t="n">
        <x:v>48</x:v>
      </x:c>
      <x:c r="M947" s="6" t="n">
        <x:v>0</x:v>
      </x:c>
      <x:c r="N947" s="6" t="n">
        <x:v>0</x:v>
      </x:c>
      <x:c r="O947" s="6" t="n">
        <x:v>36</x:v>
      </x:c>
      <x:c r="P947" s="6" t="n">
        <x:v>1</x:v>
      </x:c>
      <x:c r="Q947" s="6" t="n">
        <x:v>4</x:v>
      </x:c>
      <x:c r="R947" s="6" t="n">
        <x:v>4</x:v>
      </x:c>
      <x:c r="S947" s="6" t="n">
        <x:v>10</x:v>
      </x:c>
      <x:c r="T947" s="6" t="n">
        <x:v>8</x:v>
      </x:c>
      <x:c r="U947" s="6" t="n">
        <x:v>0</x:v>
      </x:c>
      <x:c r="V947" s="6" t="n">
        <x:v>1</x:v>
      </x:c>
      <x:c r="W947" s="6" t="n">
        <x:v>1</x:v>
      </x:c>
      <x:c r="X947" s="6" t="n">
        <x:v>0</x:v>
      </x:c>
      <x:c r="Y947" s="6" t="n">
        <x:v>0</x:v>
      </x:c>
      <x:c r="Z947" s="6" t="n">
        <x:v>0</x:v>
      </x:c>
      <x:c r="AA947" s="6" t="n">
        <x:v>3</x:v>
      </x:c>
      <x:c r="AB947" s="6" t="n">
        <x:v>11</x:v>
      </x:c>
      <x:c r="AC947" s="6" t="n">
        <x:v>0</x:v>
      </x:c>
    </x:row>
    <x:row r="948">
      <x:c r="A948" s="6" t="n">
        <x:v>1328</x:v>
      </x:c>
      <x:c r="B948" s="6" t="n">
        <x:v>1982</x:v>
      </x:c>
      <x:c r="C948" s="6" t="str">
        <x:v>2n Cycle</x:v>
      </x:c>
      <x:c r="D948" s="6" t="str">
        <x:v>Married</x:v>
      </x:c>
      <x:c r="E948" s="6" t="n">
        <x:v>57937</x:v>
      </x:c>
      <x:c r="F948" s="6" t="n">
        <x:v>0</x:v>
      </x:c>
      <x:c r="G948" s="6" t="n">
        <x:v>1</x:v>
      </x:c>
      <x:c r="H948" s="9" t="str">
        <x:v>16-02-2014</x:v>
      </x:c>
      <x:c r="I948" s="6" t="n">
        <x:v>56</x:v>
      </x:c>
      <x:c r="J948" s="6" t="n">
        <x:v>261</x:v>
      </x:c>
      <x:c r="K948" s="6" t="n">
        <x:v>42</x:v>
      </x:c>
      <x:c r="L948" s="6" t="n">
        <x:v>144</x:v>
      </x:c>
      <x:c r="M948" s="6" t="n">
        <x:v>55</x:v>
      </x:c>
      <x:c r="N948" s="6" t="n">
        <x:v>48</x:v>
      </x:c>
      <x:c r="O948" s="6" t="n">
        <x:v>133</x:v>
      </x:c>
      <x:c r="P948" s="6" t="n">
        <x:v>3</x:v>
      </x:c>
      <x:c r="Q948" s="6" t="n">
        <x:v>4</x:v>
      </x:c>
      <x:c r="R948" s="6" t="n">
        <x:v>4</x:v>
      </x:c>
      <x:c r="S948" s="6" t="n">
        <x:v>9</x:v>
      </x:c>
      <x:c r="T948" s="6" t="n">
        <x:v>3</x:v>
      </x:c>
      <x:c r="U948" s="6" t="n">
        <x:v>0</x:v>
      </x:c>
      <x:c r="V948" s="6" t="n">
        <x:v>0</x:v>
      </x:c>
      <x:c r="W948" s="6" t="n">
        <x:v>0</x:v>
      </x:c>
      <x:c r="X948" s="6" t="n">
        <x:v>0</x:v>
      </x:c>
      <x:c r="Y948" s="6" t="n">
        <x:v>0</x:v>
      </x:c>
      <x:c r="Z948" s="6" t="n">
        <x:v>0</x:v>
      </x:c>
      <x:c r="AA948" s="6" t="n">
        <x:v>3</x:v>
      </x:c>
      <x:c r="AB948" s="6" t="n">
        <x:v>11</x:v>
      </x:c>
      <x:c r="AC948" s="6" t="n">
        <x:v>0</x:v>
      </x:c>
    </x:row>
    <x:row r="949">
      <x:c r="A949" s="6" t="n">
        <x:v>8405</x:v>
      </x:c>
      <x:c r="B949" s="6" t="n">
        <x:v>1979</x:v>
      </x:c>
      <x:c r="C949" s="6" t="str">
        <x:v>Graduation</x:v>
      </x:c>
      <x:c r="D949" s="6" t="str">
        <x:v>Divorced</x:v>
      </x:c>
      <x:c r="E949" s="6" t="n">
        <x:v>68274</x:v>
      </x:c>
      <x:c r="F949" s="6" t="n">
        <x:v>1</x:v>
      </x:c>
      <x:c r="G949" s="6" t="n">
        <x:v>1</x:v>
      </x:c>
      <x:c r="H949" s="9" t="str">
        <x:v>30-09-2013</x:v>
      </x:c>
      <x:c r="I949" s="6" t="n">
        <x:v>83</x:v>
      </x:c>
      <x:c r="J949" s="6" t="n">
        <x:v>135</x:v>
      </x:c>
      <x:c r="K949" s="6" t="n">
        <x:v>25</x:v>
      </x:c>
      <x:c r="L949" s="6" t="n">
        <x:v>51</x:v>
      </x:c>
      <x:c r="M949" s="6" t="n">
        <x:v>23</x:v>
      </x:c>
      <x:c r="N949" s="6" t="n">
        <x:v>25</x:v>
      </x:c>
      <x:c r="O949" s="6" t="n">
        <x:v>46</x:v>
      </x:c>
      <x:c r="P949" s="6" t="n">
        <x:v>2</x:v>
      </x:c>
      <x:c r="Q949" s="6" t="n">
        <x:v>4</x:v>
      </x:c>
      <x:c r="R949" s="6" t="n">
        <x:v>2</x:v>
      </x:c>
      <x:c r="S949" s="6" t="n">
        <x:v>5</x:v>
      </x:c>
      <x:c r="T949" s="6" t="n">
        <x:v>3</x:v>
      </x:c>
      <x:c r="U949" s="6" t="n">
        <x:v>0</x:v>
      </x:c>
      <x:c r="V949" s="6" t="n">
        <x:v>0</x:v>
      </x:c>
      <x:c r="W949" s="6" t="n">
        <x:v>0</x:v>
      </x:c>
      <x:c r="X949" s="6" t="n">
        <x:v>0</x:v>
      </x:c>
      <x:c r="Y949" s="6" t="n">
        <x:v>0</x:v>
      </x:c>
      <x:c r="Z949" s="6" t="n">
        <x:v>0</x:v>
      </x:c>
      <x:c r="AA949" s="6" t="n">
        <x:v>3</x:v>
      </x:c>
      <x:c r="AB949" s="6" t="n">
        <x:v>11</x:v>
      </x:c>
      <x:c r="AC949" s="6" t="n">
        <x:v>0</x:v>
      </x:c>
    </x:row>
    <x:row r="950">
      <x:c r="A950" s="6" t="n">
        <x:v>6515</x:v>
      </x:c>
      <x:c r="B950" s="6" t="n">
        <x:v>1977</x:v>
      </x:c>
      <x:c r="C950" s="6" t="str">
        <x:v>Graduation</x:v>
      </x:c>
      <x:c r="D950" s="6" t="str">
        <x:v>Together</x:v>
      </x:c>
      <x:c r="E950" s="6" t="n">
        <x:v>39771</x:v>
      </x:c>
      <x:c r="F950" s="6" t="n">
        <x:v>1</x:v>
      </x:c>
      <x:c r="G950" s="6" t="n">
        <x:v>0</x:v>
      </x:c>
      <x:c r="H950" s="9" t="str">
        <x:v>06-12-2013</x:v>
      </x:c>
      <x:c r="I950" s="6" t="n">
        <x:v>92</x:v>
      </x:c>
      <x:c r="J950" s="6" t="n">
        <x:v>6</x:v>
      </x:c>
      <x:c r="K950" s="6" t="n">
        <x:v>2</x:v>
      </x:c>
      <x:c r="L950" s="6" t="n">
        <x:v>18</x:v>
      </x:c>
      <x:c r="M950" s="6" t="n">
        <x:v>2</x:v>
      </x:c>
      <x:c r="N950" s="6" t="n">
        <x:v>8</x:v>
      </x:c>
      <x:c r="O950" s="6" t="n">
        <x:v>14</x:v>
      </x:c>
      <x:c r="P950" s="6" t="n">
        <x:v>1</x:v>
      </x:c>
      <x:c r="Q950" s="6" t="n">
        <x:v>2</x:v>
      </x:c>
      <x:c r="R950" s="6" t="n">
        <x:v>0</x:v>
      </x:c>
      <x:c r="S950" s="6" t="n">
        <x:v>3</x:v>
      </x:c>
      <x:c r="T950" s="6" t="n">
        <x:v>4</x:v>
      </x:c>
      <x:c r="U950" s="6" t="n">
        <x:v>0</x:v>
      </x:c>
      <x:c r="V950" s="6" t="n">
        <x:v>0</x:v>
      </x:c>
      <x:c r="W950" s="6" t="n">
        <x:v>0</x:v>
      </x:c>
      <x:c r="X950" s="6" t="n">
        <x:v>0</x:v>
      </x:c>
      <x:c r="Y950" s="6" t="n">
        <x:v>0</x:v>
      </x:c>
      <x:c r="Z950" s="6" t="n">
        <x:v>0</x:v>
      </x:c>
      <x:c r="AA950" s="6" t="n">
        <x:v>3</x:v>
      </x:c>
      <x:c r="AB950" s="6" t="n">
        <x:v>11</x:v>
      </x:c>
      <x:c r="AC950" s="6" t="n">
        <x:v>0</x:v>
      </x:c>
    </x:row>
    <x:row r="951">
      <x:c r="A951" s="6" t="n">
        <x:v>2882</x:v>
      </x:c>
      <x:c r="B951" s="6" t="n">
        <x:v>1975</x:v>
      </x:c>
      <x:c r="C951" s="6" t="str">
        <x:v>2n Cycle</x:v>
      </x:c>
      <x:c r="D951" s="6" t="str">
        <x:v>Divorced</x:v>
      </x:c>
      <x:c r="E951" s="6" t="n">
        <x:v>67893</x:v>
      </x:c>
      <x:c r="F951" s="6" t="n">
        <x:v>0</x:v>
      </x:c>
      <x:c r="G951" s="6" t="n">
        <x:v>1</x:v>
      </x:c>
      <x:c r="H951" s="9" t="str">
        <x:v>01-10-2012</x:v>
      </x:c>
      <x:c r="I951" s="6" t="n">
        <x:v>31</x:v>
      </x:c>
      <x:c r="J951" s="6" t="n">
        <x:v>711</x:v>
      </x:c>
      <x:c r="K951" s="6" t="n">
        <x:v>28</x:v>
      </x:c>
      <x:c r="L951" s="6" t="n">
        <x:v>142</x:v>
      </x:c>
      <x:c r="M951" s="6" t="n">
        <x:v>49</x:v>
      </x:c>
      <x:c r="N951" s="6" t="n">
        <x:v>18</x:v>
      </x:c>
      <x:c r="O951" s="6" t="n">
        <x:v>47</x:v>
      </x:c>
      <x:c r="P951" s="6" t="n">
        <x:v>2</x:v>
      </x:c>
      <x:c r="Q951" s="6" t="n">
        <x:v>3</x:v>
      </x:c>
      <x:c r="R951" s="6" t="n">
        <x:v>2</x:v>
      </x:c>
      <x:c r="S951" s="6" t="n">
        <x:v>9</x:v>
      </x:c>
      <x:c r="T951" s="6" t="n">
        <x:v>8</x:v>
      </x:c>
      <x:c r="U951" s="6" t="n">
        <x:v>0</x:v>
      </x:c>
      <x:c r="V951" s="6" t="n">
        <x:v>0</x:v>
      </x:c>
      <x:c r="W951" s="6" t="n">
        <x:v>0</x:v>
      </x:c>
      <x:c r="X951" s="6" t="n">
        <x:v>0</x:v>
      </x:c>
      <x:c r="Y951" s="6" t="n">
        <x:v>0</x:v>
      </x:c>
      <x:c r="Z951" s="6" t="n">
        <x:v>0</x:v>
      </x:c>
      <x:c r="AA951" s="6" t="n">
        <x:v>3</x:v>
      </x:c>
      <x:c r="AB951" s="6" t="n">
        <x:v>11</x:v>
      </x:c>
      <x:c r="AC951" s="6" t="n">
        <x:v>0</x:v>
      </x:c>
    </x:row>
    <x:row r="952">
      <x:c r="A952" s="6" t="n">
        <x:v>7574</x:v>
      </x:c>
      <x:c r="B952" s="6" t="n">
        <x:v>1979</x:v>
      </x:c>
      <x:c r="C952" s="6" t="str">
        <x:v>PhD</x:v>
      </x:c>
      <x:c r="D952" s="6" t="str">
        <x:v>Together</x:v>
      </x:c>
      <x:c r="E952" s="6" t="n">
        <x:v>27922</x:v>
      </x:c>
      <x:c r="F952" s="6" t="n">
        <x:v>1</x:v>
      </x:c>
      <x:c r="G952" s="6" t="n">
        <x:v>0</x:v>
      </x:c>
      <x:c r="H952" s="9" t="str">
        <x:v>10-05-2014</x:v>
      </x:c>
      <x:c r="I952" s="6" t="n">
        <x:v>80</x:v>
      </x:c>
      <x:c r="J952" s="6" t="n">
        <x:v>11</x:v>
      </x:c>
      <x:c r="K952" s="6" t="n">
        <x:v>0</x:v>
      </x:c>
      <x:c r="L952" s="6" t="n">
        <x:v>13</x:v>
      </x:c>
      <x:c r="M952" s="6" t="n">
        <x:v>2</x:v>
      </x:c>
      <x:c r="N952" s="6" t="n">
        <x:v>4</x:v>
      </x:c>
      <x:c r="O952" s="6" t="n">
        <x:v>11</x:v>
      </x:c>
      <x:c r="P952" s="6" t="n">
        <x:v>1</x:v>
      </x:c>
      <x:c r="Q952" s="6" t="n">
        <x:v>2</x:v>
      </x:c>
      <x:c r="R952" s="6" t="n">
        <x:v>0</x:v>
      </x:c>
      <x:c r="S952" s="6" t="n">
        <x:v>3</x:v>
      </x:c>
      <x:c r="T952" s="6" t="n">
        <x:v>4</x:v>
      </x:c>
      <x:c r="U952" s="6" t="n">
        <x:v>0</x:v>
      </x:c>
      <x:c r="V952" s="6" t="n">
        <x:v>0</x:v>
      </x:c>
      <x:c r="W952" s="6" t="n">
        <x:v>0</x:v>
      </x:c>
      <x:c r="X952" s="6" t="n">
        <x:v>0</x:v>
      </x:c>
      <x:c r="Y952" s="6" t="n">
        <x:v>0</x:v>
      </x:c>
      <x:c r="Z952" s="6" t="n">
        <x:v>0</x:v>
      </x:c>
      <x:c r="AA952" s="6" t="n">
        <x:v>3</x:v>
      </x:c>
      <x:c r="AB952" s="6" t="n">
        <x:v>11</x:v>
      </x:c>
      <x:c r="AC952" s="6" t="n">
        <x:v>0</x:v>
      </x:c>
    </x:row>
    <x:row r="953">
      <x:c r="A953" s="6" t="n">
        <x:v>6387</x:v>
      </x:c>
      <x:c r="B953" s="6" t="n">
        <x:v>1976</x:v>
      </x:c>
      <x:c r="C953" s="6" t="str">
        <x:v>PhD</x:v>
      </x:c>
      <x:c r="D953" s="6" t="str">
        <x:v>Together</x:v>
      </x:c>
      <x:c r="E953" s="6" t="n">
        <x:v>52190</x:v>
      </x:c>
      <x:c r="F953" s="6" t="n">
        <x:v>1</x:v>
      </x:c>
      <x:c r="G953" s="6" t="n">
        <x:v>1</x:v>
      </x:c>
      <x:c r="H953" s="9" t="str">
        <x:v>08-05-2014</x:v>
      </x:c>
      <x:c r="I953" s="6" t="n">
        <x:v>39</x:v>
      </x:c>
      <x:c r="J953" s="6" t="n">
        <x:v>42</x:v>
      </x:c>
      <x:c r="K953" s="6" t="n">
        <x:v>0</x:v>
      </x:c>
      <x:c r="L953" s="6" t="n">
        <x:v>17</x:v>
      </x:c>
      <x:c r="M953" s="6" t="n">
        <x:v>0</x:v>
      </x:c>
      <x:c r="N953" s="6" t="n">
        <x:v>0</x:v>
      </x:c>
      <x:c r="O953" s="6" t="n">
        <x:v>18</x:v>
      </x:c>
      <x:c r="P953" s="6" t="n">
        <x:v>3</x:v>
      </x:c>
      <x:c r="Q953" s="6" t="n">
        <x:v>2</x:v>
      </x:c>
      <x:c r="R953" s="6" t="n">
        <x:v>1</x:v>
      </x:c>
      <x:c r="S953" s="6" t="n">
        <x:v>3</x:v>
      </x:c>
      <x:c r="T953" s="6" t="n">
        <x:v>5</x:v>
      </x:c>
      <x:c r="U953" s="6" t="n">
        <x:v>1</x:v>
      </x:c>
      <x:c r="V953" s="6" t="n">
        <x:v>0</x:v>
      </x:c>
      <x:c r="W953" s="6" t="n">
        <x:v>0</x:v>
      </x:c>
      <x:c r="X953" s="6" t="n">
        <x:v>0</x:v>
      </x:c>
      <x:c r="Y953" s="6" t="n">
        <x:v>0</x:v>
      </x:c>
      <x:c r="Z953" s="6" t="n">
        <x:v>0</x:v>
      </x:c>
      <x:c r="AA953" s="6" t="n">
        <x:v>3</x:v>
      </x:c>
      <x:c r="AB953" s="6" t="n">
        <x:v>11</x:v>
      </x:c>
      <x:c r="AC953" s="6" t="n">
        <x:v>0</x:v>
      </x:c>
    </x:row>
    <x:row r="954">
      <x:c r="A954" s="6" t="n">
        <x:v>5320</x:v>
      </x:c>
      <x:c r="B954" s="6" t="n">
        <x:v>1973</x:v>
      </x:c>
      <x:c r="C954" s="6" t="str">
        <x:v>Master</x:v>
      </x:c>
      <x:c r="D954" s="6" t="str">
        <x:v>Divorced</x:v>
      </x:c>
      <x:c r="E954" s="6" t="n">
        <x:v>44051</x:v>
      </x:c>
      <x:c r="F954" s="6" t="n">
        <x:v>1</x:v>
      </x:c>
      <x:c r="G954" s="6" t="n">
        <x:v>1</x:v>
      </x:c>
      <x:c r="H954" s="9" t="str">
        <x:v>29-01-2013</x:v>
      </x:c>
      <x:c r="I954" s="6" t="n">
        <x:v>20</x:v>
      </x:c>
      <x:c r="J954" s="6" t="n">
        <x:v>79</x:v>
      </x:c>
      <x:c r="K954" s="6" t="n">
        <x:v>7</x:v>
      </x:c>
      <x:c r="L954" s="6" t="n">
        <x:v>58</x:v>
      </x:c>
      <x:c r="M954" s="6" t="n">
        <x:v>6</x:v>
      </x:c>
      <x:c r="N954" s="6" t="n">
        <x:v>3</x:v>
      </x:c>
      <x:c r="O954" s="6" t="n">
        <x:v>18</x:v>
      </x:c>
      <x:c r="P954" s="6" t="n">
        <x:v>4</x:v>
      </x:c>
      <x:c r="Q954" s="6" t="n">
        <x:v>3</x:v>
      </x:c>
      <x:c r="R954" s="6" t="n">
        <x:v>1</x:v>
      </x:c>
      <x:c r="S954" s="6" t="n">
        <x:v>4</x:v>
      </x:c>
      <x:c r="T954" s="6" t="n">
        <x:v>6</x:v>
      </x:c>
      <x:c r="U954" s="6" t="n">
        <x:v>0</x:v>
      </x:c>
      <x:c r="V954" s="6" t="n">
        <x:v>0</x:v>
      </x:c>
      <x:c r="W954" s="6" t="n">
        <x:v>0</x:v>
      </x:c>
      <x:c r="X954" s="6" t="n">
        <x:v>0</x:v>
      </x:c>
      <x:c r="Y954" s="6" t="n">
        <x:v>0</x:v>
      </x:c>
      <x:c r="Z954" s="6" t="n">
        <x:v>0</x:v>
      </x:c>
      <x:c r="AA954" s="6" t="n">
        <x:v>3</x:v>
      </x:c>
      <x:c r="AB954" s="6" t="n">
        <x:v>11</x:v>
      </x:c>
      <x:c r="AC954" s="6" t="n">
        <x:v>1</x:v>
      </x:c>
    </x:row>
    <x:row r="955">
      <x:c r="A955" s="6" t="n">
        <x:v>5048</x:v>
      </x:c>
      <x:c r="B955" s="6" t="n">
        <x:v>1971</x:v>
      </x:c>
      <x:c r="C955" s="6" t="str">
        <x:v>PhD</x:v>
      </x:c>
      <x:c r="D955" s="6" t="str">
        <x:v>Single</x:v>
      </x:c>
      <x:c r="E955" s="6" t="n">
        <x:v>42767</x:v>
      </x:c>
      <x:c r="F955" s="6" t="n">
        <x:v>2</x:v>
      </x:c>
      <x:c r="G955" s="6" t="n">
        <x:v>0</x:v>
      </x:c>
      <x:c r="H955" s="9" t="str">
        <x:v>11-05-2013</x:v>
      </x:c>
      <x:c r="I955" s="6" t="n">
        <x:v>53</x:v>
      </x:c>
      <x:c r="J955" s="6" t="n">
        <x:v>20</x:v>
      </x:c>
      <x:c r="K955" s="6" t="n">
        <x:v>6</x:v>
      </x:c>
      <x:c r="L955" s="6" t="n">
        <x:v>43</x:v>
      </x:c>
      <x:c r="M955" s="6" t="n">
        <x:v>19</x:v>
      </x:c>
      <x:c r="N955" s="6" t="n">
        <x:v>5</x:v>
      </x:c>
      <x:c r="O955" s="6" t="n">
        <x:v>38</x:v>
      </x:c>
      <x:c r="P955" s="6" t="n">
        <x:v>1</x:v>
      </x:c>
      <x:c r="Q955" s="6" t="n">
        <x:v>3</x:v>
      </x:c>
      <x:c r="R955" s="6" t="n">
        <x:v>1</x:v>
      </x:c>
      <x:c r="S955" s="6" t="n">
        <x:v>2</x:v>
      </x:c>
      <x:c r="T955" s="6" t="n">
        <x:v>8</x:v>
      </x:c>
      <x:c r="U955" s="6" t="n">
        <x:v>0</x:v>
      </x:c>
      <x:c r="V955" s="6" t="n">
        <x:v>0</x:v>
      </x:c>
      <x:c r="W955" s="6" t="n">
        <x:v>0</x:v>
      </x:c>
      <x:c r="X955" s="6" t="n">
        <x:v>0</x:v>
      </x:c>
      <x:c r="Y955" s="6" t="n">
        <x:v>0</x:v>
      </x:c>
      <x:c r="Z955" s="6" t="n">
        <x:v>0</x:v>
      </x:c>
      <x:c r="AA955" s="6" t="n">
        <x:v>3</x:v>
      </x:c>
      <x:c r="AB955" s="6" t="n">
        <x:v>11</x:v>
      </x:c>
      <x:c r="AC955" s="6" t="n">
        <x:v>0</x:v>
      </x:c>
    </x:row>
    <x:row r="956">
      <x:c r="A956" s="6" t="n">
        <x:v>8146</x:v>
      </x:c>
      <x:c r="B956" s="6" t="n">
        <x:v>1976</x:v>
      </x:c>
      <x:c r="C956" s="6" t="str">
        <x:v>Master</x:v>
      </x:c>
      <x:c r="D956" s="6" t="str">
        <x:v>Together</x:v>
      </x:c>
      <x:c r="E956" s="6" t="n">
        <x:v>46106</x:v>
      </x:c>
      <x:c r="F956" s="6" t="n">
        <x:v>1</x:v>
      </x:c>
      <x:c r="G956" s="6" t="n">
        <x:v>1</x:v>
      </x:c>
      <x:c r="H956" s="9" t="str">
        <x:v>11-05-2014</x:v>
      </x:c>
      <x:c r="I956" s="6" t="n">
        <x:v>84</x:v>
      </x:c>
      <x:c r="J956" s="6" t="n">
        <x:v>30</x:v>
      </x:c>
      <x:c r="K956" s="6" t="n">
        <x:v>0</x:v>
      </x:c>
      <x:c r="L956" s="6" t="n">
        <x:v>8</x:v>
      </x:c>
      <x:c r="M956" s="6" t="n">
        <x:v>2</x:v>
      </x:c>
      <x:c r="N956" s="6" t="n">
        <x:v>0</x:v>
      </x:c>
      <x:c r="O956" s="6" t="n">
        <x:v>14</x:v>
      </x:c>
      <x:c r="P956" s="6" t="n">
        <x:v>1</x:v>
      </x:c>
      <x:c r="Q956" s="6" t="n">
        <x:v>1</x:v>
      </x:c>
      <x:c r="R956" s="6" t="n">
        <x:v>1</x:v>
      </x:c>
      <x:c r="S956" s="6" t="n">
        <x:v>2</x:v>
      </x:c>
      <x:c r="T956" s="6" t="n">
        <x:v>6</x:v>
      </x:c>
      <x:c r="U956" s="6" t="n">
        <x:v>0</x:v>
      </x:c>
      <x:c r="V956" s="6" t="n">
        <x:v>0</x:v>
      </x:c>
      <x:c r="W956" s="6" t="n">
        <x:v>0</x:v>
      </x:c>
      <x:c r="X956" s="6" t="n">
        <x:v>0</x:v>
      </x:c>
      <x:c r="Y956" s="6" t="n">
        <x:v>0</x:v>
      </x:c>
      <x:c r="Z956" s="6" t="n">
        <x:v>0</x:v>
      </x:c>
      <x:c r="AA956" s="6" t="n">
        <x:v>3</x:v>
      </x:c>
      <x:c r="AB956" s="6" t="n">
        <x:v>11</x:v>
      </x:c>
      <x:c r="AC956" s="6" t="n">
        <x:v>0</x:v>
      </x:c>
    </x:row>
    <x:row r="957">
      <x:c r="A957" s="6" t="n">
        <x:v>10031</x:v>
      </x:c>
      <x:c r="B957" s="6" t="n">
        <x:v>1976</x:v>
      </x:c>
      <x:c r="C957" s="6" t="str">
        <x:v>PhD</x:v>
      </x:c>
      <x:c r="D957" s="6" t="str">
        <x:v>Married</x:v>
      </x:c>
      <x:c r="E957" s="6" t="n">
        <x:v>16927</x:v>
      </x:c>
      <x:c r="F957" s="6" t="n">
        <x:v>1</x:v>
      </x:c>
      <x:c r="G957" s="6" t="n">
        <x:v>1</x:v>
      </x:c>
      <x:c r="H957" s="9" t="str">
        <x:v>10-02-2013</x:v>
      </x:c>
      <x:c r="I957" s="6" t="n">
        <x:v>50</x:v>
      </x:c>
      <x:c r="J957" s="6" t="n">
        <x:v>20</x:v>
      </x:c>
      <x:c r="K957" s="6" t="n">
        <x:v>2</x:v>
      </x:c>
      <x:c r="L957" s="6" t="n">
        <x:v>23</x:v>
      </x:c>
      <x:c r="M957" s="6" t="n">
        <x:v>3</x:v>
      </x:c>
      <x:c r="N957" s="6" t="n">
        <x:v>1</x:v>
      </x:c>
      <x:c r="O957" s="6" t="n">
        <x:v>4</x:v>
      </x:c>
      <x:c r="P957" s="6" t="n">
        <x:v>5</x:v>
      </x:c>
      <x:c r="Q957" s="6" t="n">
        <x:v>3</x:v>
      </x:c>
      <x:c r="R957" s="6" t="n">
        <x:v>0</x:v>
      </x:c>
      <x:c r="S957" s="6" t="n">
        <x:v>4</x:v>
      </x:c>
      <x:c r="T957" s="6" t="n">
        <x:v>8</x:v>
      </x:c>
      <x:c r="U957" s="6" t="n">
        <x:v>0</x:v>
      </x:c>
      <x:c r="V957" s="6" t="n">
        <x:v>0</x:v>
      </x:c>
      <x:c r="W957" s="6" t="n">
        <x:v>0</x:v>
      </x:c>
      <x:c r="X957" s="6" t="n">
        <x:v>0</x:v>
      </x:c>
      <x:c r="Y957" s="6" t="n">
        <x:v>0</x:v>
      </x:c>
      <x:c r="Z957" s="6" t="n">
        <x:v>0</x:v>
      </x:c>
      <x:c r="AA957" s="6" t="n">
        <x:v>3</x:v>
      </x:c>
      <x:c r="AB957" s="6" t="n">
        <x:v>11</x:v>
      </x:c>
      <x:c r="AC957" s="6" t="n">
        <x:v>0</x:v>
      </x:c>
    </x:row>
    <x:row r="958">
      <x:c r="A958" s="6" t="n">
        <x:v>5748</x:v>
      </x:c>
      <x:c r="B958" s="6" t="n">
        <x:v>1965</x:v>
      </x:c>
      <x:c r="C958" s="6" t="str">
        <x:v>Graduation</x:v>
      </x:c>
      <x:c r="D958" s="6" t="str">
        <x:v>Married</x:v>
      </x:c>
      <x:c r="E958" s="6" t="n">
        <x:v>59754</x:v>
      </x:c>
      <x:c r="F958" s="6" t="n">
        <x:v>0</x:v>
      </x:c>
      <x:c r="G958" s="6" t="n">
        <x:v>1</x:v>
      </x:c>
      <x:c r="H958" s="9" t="str">
        <x:v>01-12-2012</x:v>
      </x:c>
      <x:c r="I958" s="6" t="n">
        <x:v>96</x:v>
      </x:c>
      <x:c r="J958" s="6" t="n">
        <x:v>115</x:v>
      </x:c>
      <x:c r="K958" s="6" t="n">
        <x:v>27</x:v>
      </x:c>
      <x:c r="L958" s="6" t="n">
        <x:v>44</x:v>
      </x:c>
      <x:c r="M958" s="6" t="n">
        <x:v>4</x:v>
      </x:c>
      <x:c r="N958" s="6" t="n">
        <x:v>146</x:v>
      </x:c>
      <x:c r="O958" s="6" t="n">
        <x:v>139</x:v>
      </x:c>
      <x:c r="P958" s="6" t="n">
        <x:v>3</x:v>
      </x:c>
      <x:c r="Q958" s="6" t="n">
        <x:v>5</x:v>
      </x:c>
      <x:c r="R958" s="6" t="n">
        <x:v>2</x:v>
      </x:c>
      <x:c r="S958" s="6" t="n">
        <x:v>6</x:v>
      </x:c>
      <x:c r="T958" s="6" t="n">
        <x:v>5</x:v>
      </x:c>
      <x:c r="U958" s="6" t="n">
        <x:v>0</x:v>
      </x:c>
      <x:c r="V958" s="6" t="n">
        <x:v>0</x:v>
      </x:c>
      <x:c r="W958" s="6" t="n">
        <x:v>0</x:v>
      </x:c>
      <x:c r="X958" s="6" t="n">
        <x:v>0</x:v>
      </x:c>
      <x:c r="Y958" s="6" t="n">
        <x:v>0</x:v>
      </x:c>
      <x:c r="Z958" s="6" t="n">
        <x:v>0</x:v>
      </x:c>
      <x:c r="AA958" s="6" t="n">
        <x:v>3</x:v>
      </x:c>
      <x:c r="AB958" s="6" t="n">
        <x:v>11</x:v>
      </x:c>
      <x:c r="AC958" s="6" t="n">
        <x:v>1</x:v>
      </x:c>
    </x:row>
    <x:row r="959">
      <x:c r="A959" s="6" t="n">
        <x:v>2134</x:v>
      </x:c>
      <x:c r="B959" s="6" t="n">
        <x:v>1952</x:v>
      </x:c>
      <x:c r="C959" s="6" t="str">
        <x:v>Graduation</x:v>
      </x:c>
      <x:c r="D959" s="6" t="str">
        <x:v>Single</x:v>
      </x:c>
      <x:c r="E959" s="6" t="n">
        <x:v>53700</x:v>
      </x:c>
      <x:c r="F959" s="6" t="n">
        <x:v>0</x:v>
      </x:c>
      <x:c r="G959" s="6" t="n">
        <x:v>1</x:v>
      </x:c>
      <x:c r="H959" s="9" t="str">
        <x:v>17-08-2012</x:v>
      </x:c>
      <x:c r="I959" s="6" t="n">
        <x:v>94</x:v>
      </x:c>
      <x:c r="J959" s="6" t="n">
        <x:v>263</x:v>
      </x:c>
      <x:c r="K959" s="6" t="n">
        <x:v>5</x:v>
      </x:c>
      <x:c r="L959" s="6" t="n">
        <x:v>233</x:v>
      </x:c>
      <x:c r="M959" s="6" t="n">
        <x:v>69</x:v>
      </x:c>
      <x:c r="N959" s="6" t="n">
        <x:v>41</x:v>
      </x:c>
      <x:c r="O959" s="6" t="n">
        <x:v>83</x:v>
      </x:c>
      <x:c r="P959" s="6" t="n">
        <x:v>4</x:v>
      </x:c>
      <x:c r="Q959" s="6" t="n">
        <x:v>5</x:v>
      </x:c>
      <x:c r="R959" s="6" t="n">
        <x:v>5</x:v>
      </x:c>
      <x:c r="S959" s="6" t="n">
        <x:v>8</x:v>
      </x:c>
      <x:c r="T959" s="6" t="n">
        <x:v>5</x:v>
      </x:c>
      <x:c r="U959" s="6" t="n">
        <x:v>0</x:v>
      </x:c>
      <x:c r="V959" s="6" t="n">
        <x:v>0</x:v>
      </x:c>
      <x:c r="W959" s="6" t="n">
        <x:v>0</x:v>
      </x:c>
      <x:c r="X959" s="6" t="n">
        <x:v>0</x:v>
      </x:c>
      <x:c r="Y959" s="6" t="n">
        <x:v>0</x:v>
      </x:c>
      <x:c r="Z959" s="6" t="n">
        <x:v>0</x:v>
      </x:c>
      <x:c r="AA959" s="6" t="n">
        <x:v>3</x:v>
      </x:c>
      <x:c r="AB959" s="6" t="n">
        <x:v>11</x:v>
      </x:c>
      <x:c r="AC959" s="6" t="n">
        <x:v>0</x:v>
      </x:c>
    </x:row>
    <x:row r="960">
      <x:c r="A960" s="6" t="n">
        <x:v>1523</x:v>
      </x:c>
      <x:c r="B960" s="6" t="n">
        <x:v>1973</x:v>
      </x:c>
      <x:c r="C960" s="6" t="str">
        <x:v>Graduation</x:v>
      </x:c>
      <x:c r="D960" s="6" t="str">
        <x:v>Married</x:v>
      </x:c>
      <x:c r="E960" s="6" t="n">
        <x:v>59041</x:v>
      </x:c>
      <x:c r="F960" s="6" t="n">
        <x:v>1</x:v>
      </x:c>
      <x:c r="G960" s="6" t="n">
        <x:v>1</x:v>
      </x:c>
      <x:c r="H960" s="9" t="str">
        <x:v>07-05-2014</x:v>
      </x:c>
      <x:c r="I960" s="6" t="n">
        <x:v>25</x:v>
      </x:c>
      <x:c r="J960" s="6" t="n">
        <x:v>69</x:v>
      </x:c>
      <x:c r="K960" s="6" t="n">
        <x:v>2</x:v>
      </x:c>
      <x:c r="L960" s="6" t="n">
        <x:v>15</x:v>
      </x:c>
      <x:c r="M960" s="6" t="n">
        <x:v>2</x:v>
      </x:c>
      <x:c r="N960" s="6" t="n">
        <x:v>2</x:v>
      </x:c>
      <x:c r="O960" s="6" t="n">
        <x:v>6</x:v>
      </x:c>
      <x:c r="P960" s="6" t="n">
        <x:v>2</x:v>
      </x:c>
      <x:c r="Q960" s="6" t="n">
        <x:v>2</x:v>
      </x:c>
      <x:c r="R960" s="6" t="n">
        <x:v>0</x:v>
      </x:c>
      <x:c r="S960" s="6" t="n">
        <x:v>4</x:v>
      </x:c>
      <x:c r="T960" s="6" t="n">
        <x:v>5</x:v>
      </x:c>
      <x:c r="U960" s="6" t="n">
        <x:v>0</x:v>
      </x:c>
      <x:c r="V960" s="6" t="n">
        <x:v>0</x:v>
      </x:c>
      <x:c r="W960" s="6" t="n">
        <x:v>0</x:v>
      </x:c>
      <x:c r="X960" s="6" t="n">
        <x:v>0</x:v>
      </x:c>
      <x:c r="Y960" s="6" t="n">
        <x:v>0</x:v>
      </x:c>
      <x:c r="Z960" s="6" t="n">
        <x:v>0</x:v>
      </x:c>
      <x:c r="AA960" s="6" t="n">
        <x:v>3</x:v>
      </x:c>
      <x:c r="AB960" s="6" t="n">
        <x:v>11</x:v>
      </x:c>
      <x:c r="AC960" s="6" t="n">
        <x:v>0</x:v>
      </x:c>
    </x:row>
    <x:row r="961">
      <x:c r="A961" s="6" t="n">
        <x:v>9665</x:v>
      </x:c>
      <x:c r="B961" s="6" t="n">
        <x:v>1957</x:v>
      </x:c>
      <x:c r="C961" s="6" t="str">
        <x:v>PhD</x:v>
      </x:c>
      <x:c r="D961" s="6" t="str">
        <x:v>Divorced</x:v>
      </x:c>
      <x:c r="E961" s="6" t="n">
        <x:v>54237</x:v>
      </x:c>
      <x:c r="F961" s="6" t="n">
        <x:v>0</x:v>
      </x:c>
      <x:c r="G961" s="6" t="n">
        <x:v>1</x:v>
      </x:c>
      <x:c r="H961" s="9" t="str">
        <x:v>27-04-2013</x:v>
      </x:c>
      <x:c r="I961" s="6" t="n">
        <x:v>48</x:v>
      </x:c>
      <x:c r="J961" s="6" t="n">
        <x:v>267</x:v>
      </x:c>
      <x:c r="K961" s="6" t="n">
        <x:v>3</x:v>
      </x:c>
      <x:c r="L961" s="6" t="n">
        <x:v>30</x:v>
      </x:c>
      <x:c r="M961" s="6" t="n">
        <x:v>4</x:v>
      </x:c>
      <x:c r="N961" s="6" t="n">
        <x:v>0</x:v>
      </x:c>
      <x:c r="O961" s="6" t="n">
        <x:v>57</x:v>
      </x:c>
      <x:c r="P961" s="6" t="n">
        <x:v>4</x:v>
      </x:c>
      <x:c r="Q961" s="6" t="n">
        <x:v>5</x:v>
      </x:c>
      <x:c r="R961" s="6" t="n">
        <x:v>2</x:v>
      </x:c>
      <x:c r="S961" s="6" t="n">
        <x:v>5</x:v>
      </x:c>
      <x:c r="T961" s="6" t="n">
        <x:v>6</x:v>
      </x:c>
      <x:c r="U961" s="6" t="n">
        <x:v>0</x:v>
      </x:c>
      <x:c r="V961" s="6" t="n">
        <x:v>0</x:v>
      </x:c>
      <x:c r="W961" s="6" t="n">
        <x:v>0</x:v>
      </x:c>
      <x:c r="X961" s="6" t="n">
        <x:v>0</x:v>
      </x:c>
      <x:c r="Y961" s="6" t="n">
        <x:v>0</x:v>
      </x:c>
      <x:c r="Z961" s="6" t="n">
        <x:v>0</x:v>
      </x:c>
      <x:c r="AA961" s="6" t="n">
        <x:v>3</x:v>
      </x:c>
      <x:c r="AB961" s="6" t="n">
        <x:v>11</x:v>
      </x:c>
      <x:c r="AC961" s="6" t="n">
        <x:v>0</x:v>
      </x:c>
    </x:row>
    <x:row r="962">
      <x:c r="A962" s="6" t="n">
        <x:v>4640</x:v>
      </x:c>
      <x:c r="B962" s="6" t="n">
        <x:v>1967</x:v>
      </x:c>
      <x:c r="C962" s="6" t="str">
        <x:v>Graduation</x:v>
      </x:c>
      <x:c r="D962" s="6" t="str">
        <x:v>Divorced</x:v>
      </x:c>
      <x:c r="E962" s="6" t="n">
        <x:v>70647</x:v>
      </x:c>
      <x:c r="F962" s="6" t="n">
        <x:v>0</x:v>
      </x:c>
      <x:c r="G962" s="6" t="n">
        <x:v>1</x:v>
      </x:c>
      <x:c r="H962" s="9" t="str">
        <x:v>21-09-2012</x:v>
      </x:c>
      <x:c r="I962" s="6" t="n">
        <x:v>65</x:v>
      </x:c>
      <x:c r="J962" s="6" t="n">
        <x:v>561</x:v>
      </x:c>
      <x:c r="K962" s="6" t="n">
        <x:v>85</x:v>
      </x:c>
      <x:c r="L962" s="6" t="n">
        <x:v>171</x:v>
      </x:c>
      <x:c r="M962" s="6" t="n">
        <x:v>25</x:v>
      </x:c>
      <x:c r="N962" s="6" t="n">
        <x:v>123</x:v>
      </x:c>
      <x:c r="O962" s="6" t="n">
        <x:v>114</x:v>
      </x:c>
      <x:c r="P962" s="6" t="n">
        <x:v>2</x:v>
      </x:c>
      <x:c r="Q962" s="6" t="n">
        <x:v>4</x:v>
      </x:c>
      <x:c r="R962" s="6" t="n">
        <x:v>7</x:v>
      </x:c>
      <x:c r="S962" s="6" t="n">
        <x:v>13</x:v>
      </x:c>
      <x:c r="T962" s="6" t="n">
        <x:v>2</x:v>
      </x:c>
      <x:c r="U962" s="6" t="n">
        <x:v>0</x:v>
      </x:c>
      <x:c r="V962" s="6" t="n">
        <x:v>0</x:v>
      </x:c>
      <x:c r="W962" s="6" t="n">
        <x:v>0</x:v>
      </x:c>
      <x:c r="X962" s="6" t="n">
        <x:v>0</x:v>
      </x:c>
      <x:c r="Y962" s="6" t="n">
        <x:v>0</x:v>
      </x:c>
      <x:c r="Z962" s="6" t="n">
        <x:v>0</x:v>
      </x:c>
      <x:c r="AA962" s="6" t="n">
        <x:v>3</x:v>
      </x:c>
      <x:c r="AB962" s="6" t="n">
        <x:v>11</x:v>
      </x:c>
      <x:c r="AC962" s="6" t="n">
        <x:v>0</x:v>
      </x:c>
    </x:row>
    <x:row r="963">
      <x:c r="A963" s="6" t="n">
        <x:v>3635</x:v>
      </x:c>
      <x:c r="B963" s="6" t="n">
        <x:v>1962</x:v>
      </x:c>
      <x:c r="C963" s="6" t="str">
        <x:v>PhD</x:v>
      </x:c>
      <x:c r="D963" s="6" t="str">
        <x:v>Single</x:v>
      </x:c>
      <x:c r="E963" s="6" t="n">
        <x:v>52597</x:v>
      </x:c>
      <x:c r="F963" s="6" t="n">
        <x:v>0</x:v>
      </x:c>
      <x:c r="G963" s="6" t="n">
        <x:v>1</x:v>
      </x:c>
      <x:c r="H963" s="9" t="str">
        <x:v>07-05-2014</x:v>
      </x:c>
      <x:c r="I963" s="6" t="n">
        <x:v>69</x:v>
      </x:c>
      <x:c r="J963" s="6" t="n">
        <x:v>492</x:v>
      </x:c>
      <x:c r="K963" s="6" t="n">
        <x:v>0</x:v>
      </x:c>
      <x:c r="L963" s="6" t="n">
        <x:v>37</x:v>
      </x:c>
      <x:c r="M963" s="6" t="n">
        <x:v>7</x:v>
      </x:c>
      <x:c r="N963" s="6" t="n">
        <x:v>0</x:v>
      </x:c>
      <x:c r="O963" s="6" t="n">
        <x:v>42</x:v>
      </x:c>
      <x:c r="P963" s="6" t="n">
        <x:v>3</x:v>
      </x:c>
      <x:c r="Q963" s="6" t="n">
        <x:v>6</x:v>
      </x:c>
      <x:c r="R963" s="6" t="n">
        <x:v>3</x:v>
      </x:c>
      <x:c r="S963" s="6" t="n">
        <x:v>8</x:v>
      </x:c>
      <x:c r="T963" s="6" t="n">
        <x:v>5</x:v>
      </x:c>
      <x:c r="U963" s="6" t="n">
        <x:v>0</x:v>
      </x:c>
      <x:c r="V963" s="6" t="n">
        <x:v>0</x:v>
      </x:c>
      <x:c r="W963" s="6" t="n">
        <x:v>0</x:v>
      </x:c>
      <x:c r="X963" s="6" t="n">
        <x:v>0</x:v>
      </x:c>
      <x:c r="Y963" s="6" t="n">
        <x:v>0</x:v>
      </x:c>
      <x:c r="Z963" s="6" t="n">
        <x:v>0</x:v>
      </x:c>
      <x:c r="AA963" s="6" t="n">
        <x:v>3</x:v>
      </x:c>
      <x:c r="AB963" s="6" t="n">
        <x:v>11</x:v>
      </x:c>
      <x:c r="AC963" s="6" t="n">
        <x:v>0</x:v>
      </x:c>
    </x:row>
    <x:row r="964">
      <x:c r="A964" s="6" t="n">
        <x:v>3547</x:v>
      </x:c>
      <x:c r="B964" s="6" t="n">
        <x:v>1969</x:v>
      </x:c>
      <x:c r="C964" s="6" t="str">
        <x:v>Master</x:v>
      </x:c>
      <x:c r="D964" s="6" t="str">
        <x:v>Together</x:v>
      </x:c>
      <x:c r="E964" s="6" t="n">
        <x:v>41021</x:v>
      </x:c>
      <x:c r="F964" s="6" t="n">
        <x:v>1</x:v>
      </x:c>
      <x:c r="G964" s="6" t="n">
        <x:v>0</x:v>
      </x:c>
      <x:c r="H964" s="9" t="str">
        <x:v>30-12-2012</x:v>
      </x:c>
      <x:c r="I964" s="6" t="n">
        <x:v>12</x:v>
      </x:c>
      <x:c r="J964" s="6" t="n">
        <x:v>14</x:v>
      </x:c>
      <x:c r="K964" s="6" t="n">
        <x:v>7</x:v>
      </x:c>
      <x:c r="L964" s="6" t="n">
        <x:v>9</x:v>
      </x:c>
      <x:c r="M964" s="6" t="n">
        <x:v>6</x:v>
      </x:c>
      <x:c r="N964" s="6" t="n">
        <x:v>16</x:v>
      </x:c>
      <x:c r="O964" s="6" t="n">
        <x:v>12</x:v>
      </x:c>
      <x:c r="P964" s="6" t="n">
        <x:v>2</x:v>
      </x:c>
      <x:c r="Q964" s="6" t="n">
        <x:v>2</x:v>
      </x:c>
      <x:c r="R964" s="6" t="n">
        <x:v>0</x:v>
      </x:c>
      <x:c r="S964" s="6" t="n">
        <x:v>3</x:v>
      </x:c>
      <x:c r="T964" s="6" t="n">
        <x:v>6</x:v>
      </x:c>
      <x:c r="U964" s="6" t="n">
        <x:v>0</x:v>
      </x:c>
      <x:c r="V964" s="6" t="n">
        <x:v>0</x:v>
      </x:c>
      <x:c r="W964" s="6" t="n">
        <x:v>0</x:v>
      </x:c>
      <x:c r="X964" s="6" t="n">
        <x:v>0</x:v>
      </x:c>
      <x:c r="Y964" s="6" t="n">
        <x:v>0</x:v>
      </x:c>
      <x:c r="Z964" s="6" t="n">
        <x:v>0</x:v>
      </x:c>
      <x:c r="AA964" s="6" t="n">
        <x:v>3</x:v>
      </x:c>
      <x:c r="AB964" s="6" t="n">
        <x:v>11</x:v>
      </x:c>
      <x:c r="AC964" s="6" t="n">
        <x:v>1</x:v>
      </x:c>
    </x:row>
    <x:row r="965">
      <x:c r="A965" s="6" t="n">
        <x:v>2456</x:v>
      </x:c>
      <x:c r="B965" s="6" t="n">
        <x:v>1975</x:v>
      </x:c>
      <x:c r="C965" s="6" t="str">
        <x:v>PhD</x:v>
      </x:c>
      <x:c r="D965" s="6" t="str">
        <x:v>Married</x:v>
      </x:c>
      <x:c r="E965" s="6" t="n">
        <x:v>40233</x:v>
      </x:c>
      <x:c r="F965" s="6" t="n">
        <x:v>0</x:v>
      </x:c>
      <x:c r="G965" s="6" t="n">
        <x:v>1</x:v>
      </x:c>
      <x:c r="H965" s="9" t="str">
        <x:v>14-10-2013</x:v>
      </x:c>
      <x:c r="I965" s="6" t="n">
        <x:v>84</x:v>
      </x:c>
      <x:c r="J965" s="6" t="n">
        <x:v>80</x:v>
      </x:c>
      <x:c r="K965" s="6" t="n">
        <x:v>4</x:v>
      </x:c>
      <x:c r="L965" s="6" t="n">
        <x:v>46</x:v>
      </x:c>
      <x:c r="M965" s="6" t="n">
        <x:v>0</x:v>
      </x:c>
      <x:c r="N965" s="6" t="n">
        <x:v>17</x:v>
      </x:c>
      <x:c r="O965" s="6" t="n">
        <x:v>2</x:v>
      </x:c>
      <x:c r="P965" s="6" t="n">
        <x:v>5</x:v>
      </x:c>
      <x:c r="Q965" s="6" t="n">
        <x:v>2</x:v>
      </x:c>
      <x:c r="R965" s="6" t="n">
        <x:v>1</x:v>
      </x:c>
      <x:c r="S965" s="6" t="n">
        <x:v>5</x:v>
      </x:c>
      <x:c r="T965" s="6" t="n">
        <x:v>6</x:v>
      </x:c>
      <x:c r="U965" s="6" t="n">
        <x:v>0</x:v>
      </x:c>
      <x:c r="V965" s="6" t="n">
        <x:v>0</x:v>
      </x:c>
      <x:c r="W965" s="6" t="n">
        <x:v>0</x:v>
      </x:c>
      <x:c r="X965" s="6" t="n">
        <x:v>0</x:v>
      </x:c>
      <x:c r="Y965" s="6" t="n">
        <x:v>0</x:v>
      </x:c>
      <x:c r="Z965" s="6" t="n">
        <x:v>0</x:v>
      </x:c>
      <x:c r="AA965" s="6" t="n">
        <x:v>3</x:v>
      </x:c>
      <x:c r="AB965" s="6" t="n">
        <x:v>11</x:v>
      </x:c>
      <x:c r="AC965" s="6" t="n">
        <x:v>0</x:v>
      </x:c>
    </x:row>
    <x:row r="966">
      <x:c r="A966" s="6" t="n">
        <x:v>5633</x:v>
      </x:c>
      <x:c r="B966" s="6" t="n">
        <x:v>1980</x:v>
      </x:c>
      <x:c r="C966" s="6" t="str">
        <x:v>Graduation</x:v>
      </x:c>
      <x:c r="D966" s="6" t="str">
        <x:v>Married</x:v>
      </x:c>
      <x:c r="E966" s="6" t="n">
        <x:v>50183</x:v>
      </x:c>
      <x:c r="F966" s="6" t="n">
        <x:v>1</x:v>
      </x:c>
      <x:c r="G966" s="6" t="n">
        <x:v>1</x:v>
      </x:c>
      <x:c r="H966" s="9" t="str">
        <x:v>25-06-2014</x:v>
      </x:c>
      <x:c r="I966" s="6" t="n">
        <x:v>47</x:v>
      </x:c>
      <x:c r="J966" s="6" t="n">
        <x:v>97</x:v>
      </x:c>
      <x:c r="K966" s="6" t="n">
        <x:v>12</x:v>
      </x:c>
      <x:c r="L966" s="6" t="n">
        <x:v>84</x:v>
      </x:c>
      <x:c r="M966" s="6" t="n">
        <x:v>13</x:v>
      </x:c>
      <x:c r="N966" s="6" t="n">
        <x:v>10</x:v>
      </x:c>
      <x:c r="O966" s="6" t="n">
        <x:v>15</x:v>
      </x:c>
      <x:c r="P966" s="6" t="n">
        <x:v>7</x:v>
      </x:c>
      <x:c r="Q966" s="6" t="n">
        <x:v>3</x:v>
      </x:c>
      <x:c r="R966" s="6" t="n">
        <x:v>1</x:v>
      </x:c>
      <x:c r="S966" s="6" t="n">
        <x:v>6</x:v>
      </x:c>
      <x:c r="T966" s="6" t="n">
        <x:v>5</x:v>
      </x:c>
      <x:c r="U966" s="6" t="n">
        <x:v>0</x:v>
      </x:c>
      <x:c r="V966" s="6" t="n">
        <x:v>0</x:v>
      </x:c>
      <x:c r="W966" s="6" t="n">
        <x:v>0</x:v>
      </x:c>
      <x:c r="X966" s="6" t="n">
        <x:v>0</x:v>
      </x:c>
      <x:c r="Y966" s="6" t="n">
        <x:v>0</x:v>
      </x:c>
      <x:c r="Z966" s="6" t="n">
        <x:v>0</x:v>
      </x:c>
      <x:c r="AA966" s="6" t="n">
        <x:v>3</x:v>
      </x:c>
      <x:c r="AB966" s="6" t="n">
        <x:v>11</x:v>
      </x:c>
      <x:c r="AC966" s="6" t="n">
        <x:v>0</x:v>
      </x:c>
    </x:row>
    <x:row r="967">
      <x:c r="A967" s="6" t="n">
        <x:v>7801</x:v>
      </x:c>
      <x:c r="B967" s="6" t="n">
        <x:v>1959</x:v>
      </x:c>
      <x:c r="C967" s="6" t="str">
        <x:v>Graduation</x:v>
      </x:c>
      <x:c r="D967" s="6" t="str">
        <x:v>Together</x:v>
      </x:c>
      <x:c r="E967" s="6" t="n">
        <x:v>54753</x:v>
      </x:c>
      <x:c r="F967" s="6" t="n">
        <x:v>0</x:v>
      </x:c>
      <x:c r="G967" s="6" t="n">
        <x:v>1</x:v>
      </x:c>
      <x:c r="H967" s="9" t="str">
        <x:v>12-09-2013</x:v>
      </x:c>
      <x:c r="I967" s="6" t="n">
        <x:v>87</x:v>
      </x:c>
      <x:c r="J967" s="6" t="n">
        <x:v>197</x:v>
      </x:c>
      <x:c r="K967" s="6" t="n">
        <x:v>107</x:v>
      </x:c>
      <x:c r="L967" s="6" t="n">
        <x:v>227</x:v>
      </x:c>
      <x:c r="M967" s="6" t="n">
        <x:v>7</x:v>
      </x:c>
      <x:c r="N967" s="6" t="n">
        <x:v>59</x:v>
      </x:c>
      <x:c r="O967" s="6" t="n">
        <x:v>131</x:v>
      </x:c>
      <x:c r="P967" s="6" t="n">
        <x:v>3</x:v>
      </x:c>
      <x:c r="Q967" s="6" t="n">
        <x:v>5</x:v>
      </x:c>
      <x:c r="R967" s="6" t="n">
        <x:v>2</x:v>
      </x:c>
      <x:c r="S967" s="6" t="n">
        <x:v>11</x:v>
      </x:c>
      <x:c r="T967" s="6" t="n">
        <x:v>4</x:v>
      </x:c>
      <x:c r="U967" s="6" t="n">
        <x:v>0</x:v>
      </x:c>
      <x:c r="V967" s="6" t="n">
        <x:v>0</x:v>
      </x:c>
      <x:c r="W967" s="6" t="n">
        <x:v>0</x:v>
      </x:c>
      <x:c r="X967" s="6" t="n">
        <x:v>0</x:v>
      </x:c>
      <x:c r="Y967" s="6" t="n">
        <x:v>0</x:v>
      </x:c>
      <x:c r="Z967" s="6" t="n">
        <x:v>0</x:v>
      </x:c>
      <x:c r="AA967" s="6" t="n">
        <x:v>3</x:v>
      </x:c>
      <x:c r="AB967" s="6" t="n">
        <x:v>11</x:v>
      </x:c>
      <x:c r="AC967" s="6" t="n">
        <x:v>0</x:v>
      </x:c>
    </x:row>
    <x:row r="968">
      <x:c r="A968" s="6" t="n">
        <x:v>10489</x:v>
      </x:c>
      <x:c r="B968" s="6" t="n">
        <x:v>1973</x:v>
      </x:c>
      <x:c r="C968" s="6" t="str">
        <x:v>Graduation</x:v>
      </x:c>
      <x:c r="D968" s="6" t="str">
        <x:v>Married</x:v>
      </x:c>
      <x:c r="E968" s="6" t="n">
        <x:v>92955</x:v>
      </x:c>
      <x:c r="F968" s="6" t="n">
        <x:v>0</x:v>
      </x:c>
      <x:c r="G968" s="6" t="n">
        <x:v>0</x:v>
      </x:c>
      <x:c r="H968" s="9" t="str">
        <x:v>19-08-2013</x:v>
      </x:c>
      <x:c r="I968" s="6" t="n">
        <x:v>35</x:v>
      </x:c>
      <x:c r="J968" s="6" t="n">
        <x:v>693</x:v>
      </x:c>
      <x:c r="K968" s="6" t="n">
        <x:v>21</x:v>
      </x:c>
      <x:c r="L968" s="6" t="n">
        <x:v>925</x:v>
      </x:c>
      <x:c r="M968" s="6" t="n">
        <x:v>31</x:v>
      </x:c>
      <x:c r="N968" s="6" t="n">
        <x:v>24</x:v>
      </x:c>
      <x:c r="O968" s="6" t="n">
        <x:v>84</x:v>
      </x:c>
      <x:c r="P968" s="6" t="n">
        <x:v>1</x:v>
      </x:c>
      <x:c r="Q968" s="6" t="n">
        <x:v>6</x:v>
      </x:c>
      <x:c r="R968" s="6" t="n">
        <x:v>7</x:v>
      </x:c>
      <x:c r="S968" s="6" t="n">
        <x:v>9</x:v>
      </x:c>
      <x:c r="T968" s="6" t="n">
        <x:v>2</x:v>
      </x:c>
      <x:c r="U968" s="6" t="n">
        <x:v>0</x:v>
      </x:c>
      <x:c r="V968" s="6" t="n">
        <x:v>0</x:v>
      </x:c>
      <x:c r="W968" s="6" t="n">
        <x:v>1</x:v>
      </x:c>
      <x:c r="X968" s="6" t="n">
        <x:v>1</x:v>
      </x:c>
      <x:c r="Y968" s="6" t="n">
        <x:v>0</x:v>
      </x:c>
      <x:c r="Z968" s="6" t="n">
        <x:v>0</x:v>
      </x:c>
      <x:c r="AA968" s="6" t="n">
        <x:v>3</x:v>
      </x:c>
      <x:c r="AB968" s="6" t="n">
        <x:v>11</x:v>
      </x:c>
      <x:c r="AC968" s="6" t="n">
        <x:v>1</x:v>
      </x:c>
    </x:row>
    <x:row r="969">
      <x:c r="A969" s="6" t="n">
        <x:v>7011</x:v>
      </x:c>
      <x:c r="B969" s="6" t="n">
        <x:v>1973</x:v>
      </x:c>
      <x:c r="C969" s="6" t="str">
        <x:v>Graduation</x:v>
      </x:c>
      <x:c r="D969" s="6" t="str">
        <x:v>Married</x:v>
      </x:c>
      <x:c r="E969" s="6" t="n">
        <x:v>33471</x:v>
      </x:c>
      <x:c r="F969" s="6" t="n">
        <x:v>1</x:v>
      </x:c>
      <x:c r="G969" s="6" t="n">
        <x:v>0</x:v>
      </x:c>
      <x:c r="H969" s="9" t="str">
        <x:v>12-10-2012</x:v>
      </x:c>
      <x:c r="I969" s="6" t="n">
        <x:v>47</x:v>
      </x:c>
      <x:c r="J969" s="6" t="n">
        <x:v>43</x:v>
      </x:c>
      <x:c r="K969" s="6" t="n">
        <x:v>2</x:v>
      </x:c>
      <x:c r="L969" s="6" t="n">
        <x:v>27</x:v>
      </x:c>
      <x:c r="M969" s="6" t="n">
        <x:v>0</x:v>
      </x:c>
      <x:c r="N969" s="6" t="n">
        <x:v>9</x:v>
      </x:c>
      <x:c r="O969" s="6" t="n">
        <x:v>12</x:v>
      </x:c>
      <x:c r="P969" s="6" t="n">
        <x:v>3</x:v>
      </x:c>
      <x:c r="Q969" s="6" t="n">
        <x:v>3</x:v>
      </x:c>
      <x:c r="R969" s="6" t="n">
        <x:v>0</x:v>
      </x:c>
      <x:c r="S969" s="6" t="n">
        <x:v>4</x:v>
      </x:c>
      <x:c r="T969" s="6" t="n">
        <x:v>7</x:v>
      </x:c>
      <x:c r="U969" s="6" t="n">
        <x:v>0</x:v>
      </x:c>
      <x:c r="V969" s="6" t="n">
        <x:v>0</x:v>
      </x:c>
      <x:c r="W969" s="6" t="n">
        <x:v>0</x:v>
      </x:c>
      <x:c r="X969" s="6" t="n">
        <x:v>0</x:v>
      </x:c>
      <x:c r="Y969" s="6" t="n">
        <x:v>0</x:v>
      </x:c>
      <x:c r="Z969" s="6" t="n">
        <x:v>0</x:v>
      </x:c>
      <x:c r="AA969" s="6" t="n">
        <x:v>3</x:v>
      </x:c>
      <x:c r="AB969" s="6" t="n">
        <x:v>11</x:v>
      </x:c>
      <x:c r="AC969" s="6" t="n">
        <x:v>0</x:v>
      </x:c>
    </x:row>
    <x:row r="970">
      <x:c r="A970" s="6" t="n">
        <x:v>2620</x:v>
      </x:c>
      <x:c r="B970" s="6" t="n">
        <x:v>1974</x:v>
      </x:c>
      <x:c r="C970" s="6" t="str">
        <x:v>PhD</x:v>
      </x:c>
      <x:c r="D970" s="6" t="str">
        <x:v>Married</x:v>
      </x:c>
      <x:c r="E970" s="6" t="n">
        <x:v>34596</x:v>
      </x:c>
      <x:c r="F970" s="6" t="n">
        <x:v>1</x:v>
      </x:c>
      <x:c r="G970" s="6" t="n">
        <x:v>0</x:v>
      </x:c>
      <x:c r="H970" s="9" t="str">
        <x:v>13-04-2013</x:v>
      </x:c>
      <x:c r="I970" s="6" t="n">
        <x:v>48</x:v>
      </x:c>
      <x:c r="J970" s="6" t="n">
        <x:v>14</x:v>
      </x:c>
      <x:c r="K970" s="6" t="n">
        <x:v>0</x:v>
      </x:c>
      <x:c r="L970" s="6" t="n">
        <x:v>2</x:v>
      </x:c>
      <x:c r="M970" s="6" t="n">
        <x:v>0</x:v>
      </x:c>
      <x:c r="N970" s="6" t="n">
        <x:v>0</x:v>
      </x:c>
      <x:c r="O970" s="6" t="n">
        <x:v>7</x:v>
      </x:c>
      <x:c r="P970" s="6" t="n">
        <x:v>1</x:v>
      </x:c>
      <x:c r="Q970" s="6" t="n">
        <x:v>1</x:v>
      </x:c>
      <x:c r="R970" s="6" t="n">
        <x:v>0</x:v>
      </x:c>
      <x:c r="S970" s="6" t="n">
        <x:v>2</x:v>
      </x:c>
      <x:c r="T970" s="6" t="n">
        <x:v>8</x:v>
      </x:c>
      <x:c r="U970" s="6" t="n">
        <x:v>0</x:v>
      </x:c>
      <x:c r="V970" s="6" t="n">
        <x:v>0</x:v>
      </x:c>
      <x:c r="W970" s="6" t="n">
        <x:v>0</x:v>
      </x:c>
      <x:c r="X970" s="6" t="n">
        <x:v>0</x:v>
      </x:c>
      <x:c r="Y970" s="6" t="n">
        <x:v>0</x:v>
      </x:c>
      <x:c r="Z970" s="6" t="n">
        <x:v>0</x:v>
      </x:c>
      <x:c r="AA970" s="6" t="n">
        <x:v>3</x:v>
      </x:c>
      <x:c r="AB970" s="6" t="n">
        <x:v>11</x:v>
      </x:c>
      <x:c r="AC970" s="6" t="n">
        <x:v>1</x:v>
      </x:c>
    </x:row>
    <x:row r="971">
      <x:c r="A971" s="6" t="n">
        <x:v>3933</x:v>
      </x:c>
      <x:c r="B971" s="6" t="n">
        <x:v>1980</x:v>
      </x:c>
      <x:c r="C971" s="6" t="str">
        <x:v>Graduation</x:v>
      </x:c>
      <x:c r="D971" s="6" t="str">
        <x:v>Together</x:v>
      </x:c>
      <x:c r="E971" s="6" t="n">
        <x:v>44010</x:v>
      </x:c>
      <x:c r="F971" s="6" t="n">
        <x:v>1</x:v>
      </x:c>
      <x:c r="G971" s="6" t="n">
        <x:v>0</x:v>
      </x:c>
      <x:c r="H971" s="9" t="str">
        <x:v>13-10-2012</x:v>
      </x:c>
      <x:c r="I971" s="6" t="n">
        <x:v>46</x:v>
      </x:c>
      <x:c r="J971" s="6" t="n">
        <x:v>186</x:v>
      </x:c>
      <x:c r="K971" s="6" t="n">
        <x:v>36</x:v>
      </x:c>
      <x:c r="L971" s="6" t="n">
        <x:v>234</x:v>
      </x:c>
      <x:c r="M971" s="6" t="n">
        <x:v>86</x:v>
      </x:c>
      <x:c r="N971" s="6" t="n">
        <x:v>72</x:v>
      </x:c>
      <x:c r="O971" s="6" t="n">
        <x:v>48</x:v>
      </x:c>
      <x:c r="P971" s="6" t="n">
        <x:v>6</x:v>
      </x:c>
      <x:c r="Q971" s="6" t="n">
        <x:v>10</x:v>
      </x:c>
      <x:c r="R971" s="6" t="n">
        <x:v>2</x:v>
      </x:c>
      <x:c r="S971" s="6" t="n">
        <x:v>6</x:v>
      </x:c>
      <x:c r="T971" s="6" t="n">
        <x:v>9</x:v>
      </x:c>
      <x:c r="U971" s="6" t="n">
        <x:v>0</x:v>
      </x:c>
      <x:c r="V971" s="6" t="n">
        <x:v>0</x:v>
      </x:c>
      <x:c r="W971" s="6" t="n">
        <x:v>0</x:v>
      </x:c>
      <x:c r="X971" s="6" t="n">
        <x:v>0</x:v>
      </x:c>
      <x:c r="Y971" s="6" t="n">
        <x:v>0</x:v>
      </x:c>
      <x:c r="Z971" s="6" t="n">
        <x:v>0</x:v>
      </x:c>
      <x:c r="AA971" s="6" t="n">
        <x:v>3</x:v>
      </x:c>
      <x:c r="AB971" s="6" t="n">
        <x:v>11</x:v>
      </x:c>
      <x:c r="AC971" s="6" t="n">
        <x:v>0</x:v>
      </x:c>
    </x:row>
    <x:row r="972">
      <x:c r="A972" s="6" t="n">
        <x:v>10981</x:v>
      </x:c>
      <x:c r="B972" s="6" t="n">
        <x:v>1988</x:v>
      </x:c>
      <x:c r="C972" s="6" t="str">
        <x:v>Graduation</x:v>
      </x:c>
      <x:c r="D972" s="6" t="str">
        <x:v>Married</x:v>
      </x:c>
      <x:c r="E972" s="6" t="n">
        <x:v>84219</x:v>
      </x:c>
      <x:c r="F972" s="6" t="n">
        <x:v>0</x:v>
      </x:c>
      <x:c r="G972" s="6" t="n">
        <x:v>0</x:v>
      </x:c>
      <x:c r="H972" s="9" t="str">
        <x:v>02-02-2014</x:v>
      </x:c>
      <x:c r="I972" s="6" t="n">
        <x:v>27</x:v>
      </x:c>
      <x:c r="J972" s="6" t="n">
        <x:v>434</x:v>
      </x:c>
      <x:c r="K972" s="6" t="n">
        <x:v>137</x:v>
      </x:c>
      <x:c r="L972" s="6" t="n">
        <x:v>400</x:v>
      </x:c>
      <x:c r="M972" s="6" t="n">
        <x:v>45</x:v>
      </x:c>
      <x:c r="N972" s="6" t="n">
        <x:v>137</x:v>
      </x:c>
      <x:c r="O972" s="6" t="n">
        <x:v>45</x:v>
      </x:c>
      <x:c r="P972" s="6" t="n">
        <x:v>1</x:v>
      </x:c>
      <x:c r="Q972" s="6" t="n">
        <x:v>3</x:v>
      </x:c>
      <x:c r="R972" s="6" t="n">
        <x:v>4</x:v>
      </x:c>
      <x:c r="S972" s="6" t="n">
        <x:v>10</x:v>
      </x:c>
      <x:c r="T972" s="6" t="n">
        <x:v>1</x:v>
      </x:c>
      <x:c r="U972" s="6" t="n">
        <x:v>0</x:v>
      </x:c>
      <x:c r="V972" s="6" t="n">
        <x:v>0</x:v>
      </x:c>
      <x:c r="W972" s="6" t="n">
        <x:v>0</x:v>
      </x:c>
      <x:c r="X972" s="6" t="n">
        <x:v>0</x:v>
      </x:c>
      <x:c r="Y972" s="6" t="n">
        <x:v>0</x:v>
      </x:c>
      <x:c r="Z972" s="6" t="n">
        <x:v>0</x:v>
      </x:c>
      <x:c r="AA972" s="6" t="n">
        <x:v>3</x:v>
      </x:c>
      <x:c r="AB972" s="6" t="n">
        <x:v>11</x:v>
      </x:c>
      <x:c r="AC972" s="6" t="n">
        <x:v>0</x:v>
      </x:c>
    </x:row>
    <x:row r="973">
      <x:c r="A973" s="6" t="n">
        <x:v>1734</x:v>
      </x:c>
      <x:c r="B973" s="6" t="n">
        <x:v>1968</x:v>
      </x:c>
      <x:c r="C973" s="6" t="str">
        <x:v>PhD</x:v>
      </x:c>
      <x:c r="D973" s="6" t="str">
        <x:v>Together</x:v>
      </x:c>
      <x:c r="E973" s="6" t="n">
        <x:v>40706</x:v>
      </x:c>
      <x:c r="F973" s="6" t="n">
        <x:v>2</x:v>
      </x:c>
      <x:c r="G973" s="6" t="n">
        <x:v>1</x:v>
      </x:c>
      <x:c r="H973" s="9" t="str">
        <x:v>17-01-2013</x:v>
      </x:c>
      <x:c r="I973" s="6" t="n">
        <x:v>37</x:v>
      </x:c>
      <x:c r="J973" s="6" t="n">
        <x:v>59</x:v>
      </x:c>
      <x:c r="K973" s="6" t="n">
        <x:v>0</x:v>
      </x:c>
      <x:c r="L973" s="6" t="n">
        <x:v>11</x:v>
      </x:c>
      <x:c r="M973" s="6" t="n">
        <x:v>4</x:v>
      </x:c>
      <x:c r="N973" s="6" t="n">
        <x:v>2</x:v>
      </x:c>
      <x:c r="O973" s="6" t="n">
        <x:v>5</x:v>
      </x:c>
      <x:c r="P973" s="6" t="n">
        <x:v>4</x:v>
      </x:c>
      <x:c r="Q973" s="6" t="n">
        <x:v>3</x:v>
      </x:c>
      <x:c r="R973" s="6" t="n">
        <x:v>0</x:v>
      </x:c>
      <x:c r="S973" s="6" t="n">
        <x:v>4</x:v>
      </x:c>
      <x:c r="T973" s="6" t="n">
        <x:v>7</x:v>
      </x:c>
      <x:c r="U973" s="6" t="n">
        <x:v>0</x:v>
      </x:c>
      <x:c r="V973" s="6" t="n">
        <x:v>0</x:v>
      </x:c>
      <x:c r="W973" s="6" t="n">
        <x:v>0</x:v>
      </x:c>
      <x:c r="X973" s="6" t="n">
        <x:v>0</x:v>
      </x:c>
      <x:c r="Y973" s="6" t="n">
        <x:v>0</x:v>
      </x:c>
      <x:c r="Z973" s="6" t="n">
        <x:v>0</x:v>
      </x:c>
      <x:c r="AA973" s="6" t="n">
        <x:v>3</x:v>
      </x:c>
      <x:c r="AB973" s="6" t="n">
        <x:v>11</x:v>
      </x:c>
      <x:c r="AC973" s="6" t="n">
        <x:v>0</x:v>
      </x:c>
    </x:row>
    <x:row r="974">
      <x:c r="A974" s="6" t="n">
        <x:v>10995</x:v>
      </x:c>
      <x:c r="B974" s="6" t="n">
        <x:v>1988</x:v>
      </x:c>
      <x:c r="C974" s="6" t="str">
        <x:v>2n Cycle</x:v>
      </x:c>
      <x:c r="D974" s="6" t="str">
        <x:v>Married</x:v>
      </x:c>
      <x:c r="E974" s="6" t="n">
        <x:v>15716</x:v>
      </x:c>
      <x:c r="F974" s="6" t="n">
        <x:v>1</x:v>
      </x:c>
      <x:c r="G974" s="6" t="n">
        <x:v>0</x:v>
      </x:c>
      <x:c r="H974" s="9" t="str">
        <x:v>12-11-2012</x:v>
      </x:c>
      <x:c r="I974" s="6" t="n">
        <x:v>8</x:v>
      </x:c>
      <x:c r="J974" s="6" t="n">
        <x:v>16</x:v>
      </x:c>
      <x:c r="K974" s="6" t="n">
        <x:v>5</x:v>
      </x:c>
      <x:c r="L974" s="6" t="n">
        <x:v>30</x:v>
      </x:c>
      <x:c r="M974" s="6" t="n">
        <x:v>8</x:v>
      </x:c>
      <x:c r="N974" s="6" t="n">
        <x:v>7</x:v>
      </x:c>
      <x:c r="O974" s="6" t="n">
        <x:v>26</x:v>
      </x:c>
      <x:c r="P974" s="6" t="n">
        <x:v>3</x:v>
      </x:c>
      <x:c r="Q974" s="6" t="n">
        <x:v>3</x:v>
      </x:c>
      <x:c r="R974" s="6" t="n">
        <x:v>0</x:v>
      </x:c>
      <x:c r="S974" s="6" t="n">
        <x:v>4</x:v>
      </x:c>
      <x:c r="T974" s="6" t="n">
        <x:v>8</x:v>
      </x:c>
      <x:c r="U974" s="6" t="n">
        <x:v>0</x:v>
      </x:c>
      <x:c r="V974" s="6" t="n">
        <x:v>0</x:v>
      </x:c>
      <x:c r="W974" s="6" t="n">
        <x:v>0</x:v>
      </x:c>
      <x:c r="X974" s="6" t="n">
        <x:v>0</x:v>
      </x:c>
      <x:c r="Y974" s="6" t="n">
        <x:v>0</x:v>
      </x:c>
      <x:c r="Z974" s="6" t="n">
        <x:v>1</x:v>
      </x:c>
      <x:c r="AA974" s="6" t="n">
        <x:v>3</x:v>
      </x:c>
      <x:c r="AB974" s="6" t="n">
        <x:v>11</x:v>
      </x:c>
      <x:c r="AC974" s="6" t="n">
        <x:v>0</x:v>
      </x:c>
    </x:row>
    <x:row r="975">
      <x:c r="A975" s="6" t="n">
        <x:v>6357</x:v>
      </x:c>
      <x:c r="B975" s="6" t="n">
        <x:v>1959</x:v>
      </x:c>
      <x:c r="C975" s="6" t="str">
        <x:v>2n Cycle</x:v>
      </x:c>
      <x:c r="D975" s="6" t="str">
        <x:v>Divorced</x:v>
      </x:c>
      <x:c r="E975" s="6" t="n">
        <x:v>59052</x:v>
      </x:c>
      <x:c r="F975" s="6" t="n">
        <x:v>0</x:v>
      </x:c>
      <x:c r="G975" s="6" t="n">
        <x:v>1</x:v>
      </x:c>
      <x:c r="H975" s="9" t="str">
        <x:v>17-11-2013</x:v>
      </x:c>
      <x:c r="I975" s="6" t="n">
        <x:v>29</x:v>
      </x:c>
      <x:c r="J975" s="6" t="n">
        <x:v>230</x:v>
      </x:c>
      <x:c r="K975" s="6" t="n">
        <x:v>35</x:v>
      </x:c>
      <x:c r="L975" s="6" t="n">
        <x:v>75</x:v>
      </x:c>
      <x:c r="M975" s="6" t="n">
        <x:v>63</x:v>
      </x:c>
      <x:c r="N975" s="6" t="n">
        <x:v>57</x:v>
      </x:c>
      <x:c r="O975" s="6" t="n">
        <x:v>31</x:v>
      </x:c>
      <x:c r="P975" s="6" t="n">
        <x:v>3</x:v>
      </x:c>
      <x:c r="Q975" s="6" t="n">
        <x:v>7</x:v>
      </x:c>
      <x:c r="R975" s="6" t="n">
        <x:v>1</x:v>
      </x:c>
      <x:c r="S975" s="6" t="n">
        <x:v>7</x:v>
      </x:c>
      <x:c r="T975" s="6" t="n">
        <x:v>5</x:v>
      </x:c>
      <x:c r="U975" s="6" t="n">
        <x:v>0</x:v>
      </x:c>
      <x:c r="V975" s="6" t="n">
        <x:v>0</x:v>
      </x:c>
      <x:c r="W975" s="6" t="n">
        <x:v>0</x:v>
      </x:c>
      <x:c r="X975" s="6" t="n">
        <x:v>0</x:v>
      </x:c>
      <x:c r="Y975" s="6" t="n">
        <x:v>0</x:v>
      </x:c>
      <x:c r="Z975" s="6" t="n">
        <x:v>0</x:v>
      </x:c>
      <x:c r="AA975" s="6" t="n">
        <x:v>3</x:v>
      </x:c>
      <x:c r="AB975" s="6" t="n">
        <x:v>11</x:v>
      </x:c>
      <x:c r="AC975" s="6" t="n">
        <x:v>0</x:v>
      </x:c>
    </x:row>
    <x:row r="976">
      <x:c r="A976" s="6" t="n">
        <x:v>9209</x:v>
      </x:c>
      <x:c r="B976" s="6" t="n">
        <x:v>1971</x:v>
      </x:c>
      <x:c r="C976" s="6" t="str">
        <x:v>Master</x:v>
      </x:c>
      <x:c r="D976" s="6" t="str">
        <x:v>Together</x:v>
      </x:c>
      <x:c r="E976" s="6" t="n">
        <x:v>80573</x:v>
      </x:c>
      <x:c r="F976" s="6" t="n">
        <x:v>0</x:v>
      </x:c>
      <x:c r="G976" s="6" t="n">
        <x:v>0</x:v>
      </x:c>
      <x:c r="H976" s="9" t="str">
        <x:v>14-10-2012</x:v>
      </x:c>
      <x:c r="I976" s="6" t="n">
        <x:v>85</x:v>
      </x:c>
      <x:c r="J976" s="6" t="n">
        <x:v>829</x:v>
      </x:c>
      <x:c r="K976" s="6" t="n">
        <x:v>138</x:v>
      </x:c>
      <x:c r="L976" s="6" t="n">
        <x:v>430</x:v>
      </x:c>
      <x:c r="M976" s="6" t="n">
        <x:v>60</x:v>
      </x:c>
      <x:c r="N976" s="6" t="n">
        <x:v>92</x:v>
      </x:c>
      <x:c r="O976" s="6" t="n">
        <x:v>15</x:v>
      </x:c>
      <x:c r="P976" s="6" t="n">
        <x:v>1</x:v>
      </x:c>
      <x:c r="Q976" s="6" t="n">
        <x:v>4</x:v>
      </x:c>
      <x:c r="R976" s="6" t="n">
        <x:v>6</x:v>
      </x:c>
      <x:c r="S976" s="6" t="n">
        <x:v>13</x:v>
      </x:c>
      <x:c r="T976" s="6" t="n">
        <x:v>2</x:v>
      </x:c>
      <x:c r="U976" s="6" t="n">
        <x:v>0</x:v>
      </x:c>
      <x:c r="V976" s="6" t="n">
        <x:v>0</x:v>
      </x:c>
      <x:c r="W976" s="6" t="n">
        <x:v>0</x:v>
      </x:c>
      <x:c r="X976" s="6" t="n">
        <x:v>0</x:v>
      </x:c>
      <x:c r="Y976" s="6" t="n">
        <x:v>0</x:v>
      </x:c>
      <x:c r="Z976" s="6" t="n">
        <x:v>0</x:v>
      </x:c>
      <x:c r="AA976" s="6" t="n">
        <x:v>3</x:v>
      </x:c>
      <x:c r="AB976" s="6" t="n">
        <x:v>11</x:v>
      </x:c>
      <x:c r="AC976" s="6" t="n">
        <x:v>0</x:v>
      </x:c>
    </x:row>
    <x:row r="977">
      <x:c r="A977" s="6" t="n">
        <x:v>10286</x:v>
      </x:c>
      <x:c r="B977" s="6" t="n">
        <x:v>1962</x:v>
      </x:c>
      <x:c r="C977" s="6" t="str">
        <x:v>Graduation</x:v>
      </x:c>
      <x:c r="D977" s="6" t="str">
        <x:v>Married</x:v>
      </x:c>
      <x:c r="E977" s="6" t="n">
        <x:v>83715</x:v>
      </x:c>
      <x:c r="F977" s="6" t="n">
        <x:v>0</x:v>
      </x:c>
      <x:c r="G977" s="6" t="n">
        <x:v>0</x:v>
      </x:c>
      <x:c r="H977" s="9" t="str">
        <x:v>03-02-2014</x:v>
      </x:c>
      <x:c r="I977" s="6" t="n">
        <x:v>2</x:v>
      </x:c>
      <x:c r="J977" s="6" t="n">
        <x:v>318</x:v>
      </x:c>
      <x:c r="K977" s="6" t="n">
        <x:v>8</x:v>
      </x:c>
      <x:c r="L977" s="6" t="n">
        <x:v>407</x:v>
      </x:c>
      <x:c r="M977" s="6" t="n">
        <x:v>150</x:v>
      </x:c>
      <x:c r="N977" s="6" t="n">
        <x:v>35</x:v>
      </x:c>
      <x:c r="O977" s="6" t="n">
        <x:v>8</x:v>
      </x:c>
      <x:c r="P977" s="6" t="n">
        <x:v>1</x:v>
      </x:c>
      <x:c r="Q977" s="6" t="n">
        <x:v>2</x:v>
      </x:c>
      <x:c r="R977" s="6" t="n">
        <x:v>8</x:v>
      </x:c>
      <x:c r="S977" s="6" t="n">
        <x:v>13</x:v>
      </x:c>
      <x:c r="T977" s="6" t="n">
        <x:v>0</x:v>
      </x:c>
      <x:c r="U977" s="6" t="n">
        <x:v>0</x:v>
      </x:c>
      <x:c r="V977" s="6" t="n">
        <x:v>0</x:v>
      </x:c>
      <x:c r="W977" s="6" t="n">
        <x:v>0</x:v>
      </x:c>
      <x:c r="X977" s="6" t="n">
        <x:v>0</x:v>
      </x:c>
      <x:c r="Y977" s="6" t="n">
        <x:v>0</x:v>
      </x:c>
      <x:c r="Z977" s="6" t="n">
        <x:v>0</x:v>
      </x:c>
      <x:c r="AA977" s="6" t="n">
        <x:v>3</x:v>
      </x:c>
      <x:c r="AB977" s="6" t="n">
        <x:v>11</x:v>
      </x:c>
      <x:c r="AC977" s="6" t="n">
        <x:v>0</x:v>
      </x:c>
    </x:row>
    <x:row r="978">
      <x:c r="A978" s="6" t="n">
        <x:v>2611</x:v>
      </x:c>
      <x:c r="B978" s="6" t="n">
        <x:v>1959</x:v>
      </x:c>
      <x:c r="C978" s="6" t="str">
        <x:v>Master</x:v>
      </x:c>
      <x:c r="D978" s="6" t="str">
        <x:v>Together</x:v>
      </x:c>
      <x:c r="E978" s="6" t="n">
        <x:v>82576</x:v>
      </x:c>
      <x:c r="F978" s="6" t="n">
        <x:v>0</x:v>
      </x:c>
      <x:c r="G978" s="6" t="n">
        <x:v>0</x:v>
      </x:c>
      <x:c r="H978" s="9" t="str">
        <x:v>01-08-2012</x:v>
      </x:c>
      <x:c r="I978" s="6" t="n">
        <x:v>66</x:v>
      </x:c>
      <x:c r="J978" s="6" t="n">
        <x:v>1206</x:v>
      </x:c>
      <x:c r="K978" s="6" t="n">
        <x:v>55</x:v>
      </x:c>
      <x:c r="L978" s="6" t="n">
        <x:v>445</x:v>
      </x:c>
      <x:c r="M978" s="6" t="n">
        <x:v>168</x:v>
      </x:c>
      <x:c r="N978" s="6" t="n">
        <x:v>18</x:v>
      </x:c>
      <x:c r="O978" s="6" t="n">
        <x:v>18</x:v>
      </x:c>
      <x:c r="P978" s="6" t="n">
        <x:v>1</x:v>
      </x:c>
      <x:c r="Q978" s="6" t="n">
        <x:v>2</x:v>
      </x:c>
      <x:c r="R978" s="6" t="n">
        <x:v>4</x:v>
      </x:c>
      <x:c r="S978" s="6" t="n">
        <x:v>12</x:v>
      </x:c>
      <x:c r="T978" s="6" t="n">
        <x:v>1</x:v>
      </x:c>
      <x:c r="U978" s="6" t="n">
        <x:v>0</x:v>
      </x:c>
      <x:c r="V978" s="6" t="n">
        <x:v>0</x:v>
      </x:c>
      <x:c r="W978" s="6" t="n">
        <x:v>1</x:v>
      </x:c>
      <x:c r="X978" s="6" t="n">
        <x:v>0</x:v>
      </x:c>
      <x:c r="Y978" s="6" t="n">
        <x:v>0</x:v>
      </x:c>
      <x:c r="Z978" s="6" t="n">
        <x:v>0</x:v>
      </x:c>
      <x:c r="AA978" s="6" t="n">
        <x:v>3</x:v>
      </x:c>
      <x:c r="AB978" s="6" t="n">
        <x:v>11</x:v>
      </x:c>
      <x:c r="AC978" s="6" t="n">
        <x:v>0</x:v>
      </x:c>
    </x:row>
    <x:row r="979">
      <x:c r="A979" s="6" t="n">
        <x:v>1600</x:v>
      </x:c>
      <x:c r="B979" s="6" t="n">
        <x:v>1965</x:v>
      </x:c>
      <x:c r="C979" s="6" t="str">
        <x:v>Master</x:v>
      </x:c>
      <x:c r="D979" s="6" t="str">
        <x:v>Married</x:v>
      </x:c>
      <x:c r="E979" s="6" t="n">
        <x:v>56962</x:v>
      </x:c>
      <x:c r="F979" s="6" t="n">
        <x:v>2</x:v>
      </x:c>
      <x:c r="G979" s="6" t="n">
        <x:v>1</x:v>
      </x:c>
      <x:c r="H979" s="9" t="str">
        <x:v>11-10-2013</x:v>
      </x:c>
      <x:c r="I979" s="6" t="n">
        <x:v>60</x:v>
      </x:c>
      <x:c r="J979" s="6" t="n">
        <x:v>292</x:v>
      </x:c>
      <x:c r="K979" s="6" t="n">
        <x:v>3</x:v>
      </x:c>
      <x:c r="L979" s="6" t="n">
        <x:v>77</x:v>
      </x:c>
      <x:c r="M979" s="6" t="n">
        <x:v>10</x:v>
      </x:c>
      <x:c r="N979" s="6" t="n">
        <x:v>3</x:v>
      </x:c>
      <x:c r="O979" s="6" t="n">
        <x:v>26</x:v>
      </x:c>
      <x:c r="P979" s="6" t="n">
        <x:v>7</x:v>
      </x:c>
      <x:c r="Q979" s="6" t="n">
        <x:v>6</x:v>
      </x:c>
      <x:c r="R979" s="6" t="n">
        <x:v>3</x:v>
      </x:c>
      <x:c r="S979" s="6" t="n">
        <x:v>5</x:v>
      </x:c>
      <x:c r="T979" s="6" t="n">
        <x:v>7</x:v>
      </x:c>
      <x:c r="U979" s="6" t="n">
        <x:v>0</x:v>
      </x:c>
      <x:c r="V979" s="6" t="n">
        <x:v>0</x:v>
      </x:c>
      <x:c r="W979" s="6" t="n">
        <x:v>0</x:v>
      </x:c>
      <x:c r="X979" s="6" t="n">
        <x:v>0</x:v>
      </x:c>
      <x:c r="Y979" s="6" t="n">
        <x:v>0</x:v>
      </x:c>
      <x:c r="Z979" s="6" t="n">
        <x:v>0</x:v>
      </x:c>
      <x:c r="AA979" s="6" t="n">
        <x:v>3</x:v>
      </x:c>
      <x:c r="AB979" s="6" t="n">
        <x:v>11</x:v>
      </x:c>
      <x:c r="AC979" s="6" t="n">
        <x:v>0</x:v>
      </x:c>
    </x:row>
    <x:row r="980">
      <x:c r="A980" s="6" t="n">
        <x:v>3308</x:v>
      </x:c>
      <x:c r="B980" s="6" t="n">
        <x:v>1952</x:v>
      </x:c>
      <x:c r="C980" s="6" t="str">
        <x:v>Graduation</x:v>
      </x:c>
      <x:c r="D980" s="6" t="str">
        <x:v>Married</x:v>
      </x:c>
      <x:c r="E980" s="6" t="n">
        <x:v>35704</x:v>
      </x:c>
      <x:c r="F980" s="6" t="n">
        <x:v>1</x:v>
      </x:c>
      <x:c r="G980" s="6" t="n">
        <x:v>1</x:v>
      </x:c>
      <x:c r="H980" s="9" t="str">
        <x:v>03-01-2014</x:v>
      </x:c>
      <x:c r="I980" s="6" t="n">
        <x:v>54</x:v>
      </x:c>
      <x:c r="J980" s="6" t="n">
        <x:v>30</x:v>
      </x:c>
      <x:c r="K980" s="6" t="n">
        <x:v>9</x:v>
      </x:c>
      <x:c r="L980" s="6" t="n">
        <x:v>12</x:v>
      </x:c>
      <x:c r="M980" s="6" t="n">
        <x:v>2</x:v>
      </x:c>
      <x:c r="N980" s="6" t="n">
        <x:v>11</x:v>
      </x:c>
      <x:c r="O980" s="6" t="n">
        <x:v>30</x:v>
      </x:c>
      <x:c r="P980" s="6" t="n">
        <x:v>3</x:v>
      </x:c>
      <x:c r="Q980" s="6" t="n">
        <x:v>2</x:v>
      </x:c>
      <x:c r="R980" s="6" t="n">
        <x:v>0</x:v>
      </x:c>
      <x:c r="S980" s="6" t="n">
        <x:v>4</x:v>
      </x:c>
      <x:c r="T980" s="6" t="n">
        <x:v>4</x:v>
      </x:c>
      <x:c r="U980" s="6" t="n">
        <x:v>0</x:v>
      </x:c>
      <x:c r="V980" s="6" t="n">
        <x:v>0</x:v>
      </x:c>
      <x:c r="W980" s="6" t="n">
        <x:v>0</x:v>
      </x:c>
      <x:c r="X980" s="6" t="n">
        <x:v>0</x:v>
      </x:c>
      <x:c r="Y980" s="6" t="n">
        <x:v>0</x:v>
      </x:c>
      <x:c r="Z980" s="6" t="n">
        <x:v>0</x:v>
      </x:c>
      <x:c r="AA980" s="6" t="n">
        <x:v>3</x:v>
      </x:c>
      <x:c r="AB980" s="6" t="n">
        <x:v>11</x:v>
      </x:c>
      <x:c r="AC980" s="6" t="n">
        <x:v>0</x:v>
      </x:c>
    </x:row>
    <x:row r="981">
      <x:c r="A981" s="6" t="n">
        <x:v>5407</x:v>
      </x:c>
      <x:c r="B981" s="6" t="n">
        <x:v>1954</x:v>
      </x:c>
      <x:c r="C981" s="6" t="str">
        <x:v>Graduation</x:v>
      </x:c>
      <x:c r="D981" s="6" t="str">
        <x:v>Together</x:v>
      </x:c>
      <x:c r="E981" s="6" t="n">
        <x:v>53103</x:v>
      </x:c>
      <x:c r="F981" s="6" t="n">
        <x:v>0</x:v>
      </x:c>
      <x:c r="G981" s="6" t="n">
        <x:v>1</x:v>
      </x:c>
      <x:c r="H981" s="9" t="str">
        <x:v>12-09-2013</x:v>
      </x:c>
      <x:c r="I981" s="6" t="n">
        <x:v>70</x:v>
      </x:c>
      <x:c r="J981" s="6" t="n">
        <x:v>729</x:v>
      </x:c>
      <x:c r="K981" s="6" t="n">
        <x:v>17</x:v>
      </x:c>
      <x:c r="L981" s="6" t="n">
        <x:v>133</x:v>
      </x:c>
      <x:c r="M981" s="6" t="n">
        <x:v>11</x:v>
      </x:c>
      <x:c r="N981" s="6" t="n">
        <x:v>0</x:v>
      </x:c>
      <x:c r="O981" s="6" t="n">
        <x:v>195</x:v>
      </x:c>
      <x:c r="P981" s="6" t="n">
        <x:v>5</x:v>
      </x:c>
      <x:c r="Q981" s="6" t="n">
        <x:v>10</x:v>
      </x:c>
      <x:c r="R981" s="6" t="n">
        <x:v>6</x:v>
      </x:c>
      <x:c r="S981" s="6" t="n">
        <x:v>7</x:v>
      </x:c>
      <x:c r="T981" s="6" t="n">
        <x:v>7</x:v>
      </x:c>
      <x:c r="U981" s="6" t="n">
        <x:v>1</x:v>
      </x:c>
      <x:c r="V981" s="6" t="n">
        <x:v>0</x:v>
      </x:c>
      <x:c r="W981" s="6" t="n">
        <x:v>0</x:v>
      </x:c>
      <x:c r="X981" s="6" t="n">
        <x:v>0</x:v>
      </x:c>
      <x:c r="Y981" s="6" t="n">
        <x:v>0</x:v>
      </x:c>
      <x:c r="Z981" s="6" t="n">
        <x:v>0</x:v>
      </x:c>
      <x:c r="AA981" s="6" t="n">
        <x:v>3</x:v>
      </x:c>
      <x:c r="AB981" s="6" t="n">
        <x:v>11</x:v>
      </x:c>
      <x:c r="AC981" s="6" t="n">
        <x:v>0</x:v>
      </x:c>
    </x:row>
    <x:row r="982">
      <x:c r="A982" s="6" t="n">
        <x:v>2166</x:v>
      </x:c>
      <x:c r="B982" s="6" t="n">
        <x:v>1960</x:v>
      </x:c>
      <x:c r="C982" s="6" t="str">
        <x:v>2n Cycle</x:v>
      </x:c>
      <x:c r="D982" s="6" t="str">
        <x:v>Widow</x:v>
      </x:c>
      <x:c r="E982" s="6" t="n">
        <x:v>46779</x:v>
      </x:c>
      <x:c r="F982" s="6" t="n">
        <x:v>1</x:v>
      </x:c>
      <x:c r="G982" s="6" t="n">
        <x:v>1</x:v>
      </x:c>
      <x:c r="H982" s="9" t="str">
        <x:v>12-07-2013</x:v>
      </x:c>
      <x:c r="I982" s="6" t="n">
        <x:v>55</x:v>
      </x:c>
      <x:c r="J982" s="6" t="n">
        <x:v>12</x:v>
      </x:c>
      <x:c r="K982" s="6" t="n">
        <x:v>1</x:v>
      </x:c>
      <x:c r="L982" s="6" t="n">
        <x:v>3</x:v>
      </x:c>
      <x:c r="M982" s="6" t="n">
        <x:v>0</x:v>
      </x:c>
      <x:c r="N982" s="6" t="n">
        <x:v>0</x:v>
      </x:c>
      <x:c r="O982" s="6" t="n">
        <x:v>7</x:v>
      </x:c>
      <x:c r="P982" s="6" t="n">
        <x:v>1</x:v>
      </x:c>
      <x:c r="Q982" s="6" t="n">
        <x:v>0</x:v>
      </x:c>
      <x:c r="R982" s="6" t="n">
        <x:v>1</x:v>
      </x:c>
      <x:c r="S982" s="6" t="n">
        <x:v>2</x:v>
      </x:c>
      <x:c r="T982" s="6" t="n">
        <x:v>4</x:v>
      </x:c>
      <x:c r="U982" s="6" t="n">
        <x:v>0</x:v>
      </x:c>
      <x:c r="V982" s="6" t="n">
        <x:v>0</x:v>
      </x:c>
      <x:c r="W982" s="6" t="n">
        <x:v>0</x:v>
      </x:c>
      <x:c r="X982" s="6" t="n">
        <x:v>0</x:v>
      </x:c>
      <x:c r="Y982" s="6" t="n">
        <x:v>0</x:v>
      </x:c>
      <x:c r="Z982" s="6" t="n">
        <x:v>0</x:v>
      </x:c>
      <x:c r="AA982" s="6" t="n">
        <x:v>3</x:v>
      </x:c>
      <x:c r="AB982" s="6" t="n">
        <x:v>11</x:v>
      </x:c>
      <x:c r="AC982" s="6" t="n">
        <x:v>0</x:v>
      </x:c>
    </x:row>
    <x:row r="983">
      <x:c r="A983" s="6" t="n">
        <x:v>3955</x:v>
      </x:c>
      <x:c r="B983" s="6" t="n">
        <x:v>1965</x:v>
      </x:c>
      <x:c r="C983" s="6" t="str">
        <x:v>Graduation</x:v>
      </x:c>
      <x:c r="D983" s="6" t="str">
        <x:v>Divorced</x:v>
      </x:c>
      <x:c r="E983" s="6" t="n">
        <x:v>4861</x:v>
      </x:c>
      <x:c r="F983" s="6" t="n">
        <x:v>0</x:v>
      </x:c>
      <x:c r="G983" s="6" t="n">
        <x:v>0</x:v>
      </x:c>
      <x:c r="H983" s="9" t="str">
        <x:v>22-06-2014</x:v>
      </x:c>
      <x:c r="I983" s="6" t="n">
        <x:v>20</x:v>
      </x:c>
      <x:c r="J983" s="6" t="n">
        <x:v>2</x:v>
      </x:c>
      <x:c r="K983" s="6" t="n">
        <x:v>1</x:v>
      </x:c>
      <x:c r="L983" s="6" t="n">
        <x:v>1</x:v>
      </x:c>
      <x:c r="M983" s="6" t="n">
        <x:v>1</x:v>
      </x:c>
      <x:c r="N983" s="6" t="n">
        <x:v>0</x:v>
      </x:c>
      <x:c r="O983" s="6" t="n">
        <x:v>1</x:v>
      </x:c>
      <x:c r="P983" s="6" t="n">
        <x:v>0</x:v>
      </x:c>
      <x:c r="Q983" s="6" t="n">
        <x:v>0</x:v>
      </x:c>
      <x:c r="R983" s="6" t="n">
        <x:v>0</x:v>
      </x:c>
      <x:c r="S983" s="6" t="n">
        <x:v>0</x:v>
      </x:c>
      <x:c r="T983" s="6" t="n">
        <x:v>14</x:v>
      </x:c>
      <x:c r="U983" s="6" t="n">
        <x:v>0</x:v>
      </x:c>
      <x:c r="V983" s="6" t="n">
        <x:v>0</x:v>
      </x:c>
      <x:c r="W983" s="6" t="n">
        <x:v>0</x:v>
      </x:c>
      <x:c r="X983" s="6" t="n">
        <x:v>0</x:v>
      </x:c>
      <x:c r="Y983" s="6" t="n">
        <x:v>0</x:v>
      </x:c>
      <x:c r="Z983" s="6" t="n">
        <x:v>0</x:v>
      </x:c>
      <x:c r="AA983" s="6" t="n">
        <x:v>3</x:v>
      </x:c>
      <x:c r="AB983" s="6" t="n">
        <x:v>11</x:v>
      </x:c>
      <x:c r="AC983" s="6" t="n">
        <x:v>0</x:v>
      </x:c>
    </x:row>
    <x:row r="984">
      <x:c r="A984" s="6" t="n">
        <x:v>6634</x:v>
      </x:c>
      <x:c r="B984" s="6" t="n">
        <x:v>1979</x:v>
      </x:c>
      <x:c r="C984" s="6" t="str">
        <x:v>Master</x:v>
      </x:c>
      <x:c r="D984" s="6" t="str">
        <x:v>Divorced</x:v>
      </x:c>
      <x:c r="E984" s="6" t="n">
        <x:v>33462</x:v>
      </x:c>
      <x:c r="F984" s="6" t="n">
        <x:v>1</x:v>
      </x:c>
      <x:c r="G984" s="6" t="n">
        <x:v>0</x:v>
      </x:c>
      <x:c r="H984" s="9" t="str">
        <x:v>07-08-2013</x:v>
      </x:c>
      <x:c r="I984" s="6" t="n">
        <x:v>78</x:v>
      </x:c>
      <x:c r="J984" s="6" t="n">
        <x:v>22</x:v>
      </x:c>
      <x:c r="K984" s="6" t="n">
        <x:v>3</x:v>
      </x:c>
      <x:c r="L984" s="6" t="n">
        <x:v>18</x:v>
      </x:c>
      <x:c r="M984" s="6" t="n">
        <x:v>0</x:v>
      </x:c>
      <x:c r="N984" s="6" t="n">
        <x:v>0</x:v>
      </x:c>
      <x:c r="O984" s="6" t="n">
        <x:v>11</x:v>
      </x:c>
      <x:c r="P984" s="6" t="n">
        <x:v>1</x:v>
      </x:c>
      <x:c r="Q984" s="6" t="n">
        <x:v>2</x:v>
      </x:c>
      <x:c r="R984" s="6" t="n">
        <x:v>0</x:v>
      </x:c>
      <x:c r="S984" s="6" t="n">
        <x:v>3</x:v>
      </x:c>
      <x:c r="T984" s="6" t="n">
        <x:v>7</x:v>
      </x:c>
      <x:c r="U984" s="6" t="n">
        <x:v>0</x:v>
      </x:c>
      <x:c r="V984" s="6" t="n">
        <x:v>0</x:v>
      </x:c>
      <x:c r="W984" s="6" t="n">
        <x:v>0</x:v>
      </x:c>
      <x:c r="X984" s="6" t="n">
        <x:v>0</x:v>
      </x:c>
      <x:c r="Y984" s="6" t="n">
        <x:v>0</x:v>
      </x:c>
      <x:c r="Z984" s="6" t="n">
        <x:v>0</x:v>
      </x:c>
      <x:c r="AA984" s="6" t="n">
        <x:v>3</x:v>
      </x:c>
      <x:c r="AB984" s="6" t="n">
        <x:v>11</x:v>
      </x:c>
      <x:c r="AC984" s="6" t="n">
        <x:v>0</x:v>
      </x:c>
    </x:row>
    <x:row r="985">
      <x:c r="A985" s="6" t="n">
        <x:v>3056</x:v>
      </x:c>
      <x:c r="B985" s="6" t="n">
        <x:v>1978</x:v>
      </x:c>
      <x:c r="C985" s="6" t="str">
        <x:v>Graduation</x:v>
      </x:c>
      <x:c r="D985" s="6" t="str">
        <x:v>Divorced</x:v>
      </x:c>
      <x:c r="E985" s="6" t="n">
        <x:v>63693</x:v>
      </x:c>
      <x:c r="F985" s="6" t="n">
        <x:v>0</x:v>
      </x:c>
      <x:c r="G985" s="6" t="n">
        <x:v>1</x:v>
      </x:c>
      <x:c r="H985" s="9" t="str">
        <x:v>14-10-2013</x:v>
      </x:c>
      <x:c r="I985" s="6" t="n">
        <x:v>63</x:v>
      </x:c>
      <x:c r="J985" s="6" t="n">
        <x:v>587</x:v>
      </x:c>
      <x:c r="K985" s="6" t="n">
        <x:v>43</x:v>
      </x:c>
      <x:c r="L985" s="6" t="n">
        <x:v>337</x:v>
      </x:c>
      <x:c r="M985" s="6" t="n">
        <x:v>42</x:v>
      </x:c>
      <x:c r="N985" s="6" t="n">
        <x:v>87</x:v>
      </x:c>
      <x:c r="O985" s="6" t="n">
        <x:v>54</x:v>
      </x:c>
      <x:c r="P985" s="6" t="n">
        <x:v>3</x:v>
      </x:c>
      <x:c r="Q985" s="6" t="n">
        <x:v>11</x:v>
      </x:c>
      <x:c r="R985" s="6" t="n">
        <x:v>6</x:v>
      </x:c>
      <x:c r="S985" s="6" t="n">
        <x:v>9</x:v>
      </x:c>
      <x:c r="T985" s="6" t="n">
        <x:v>6</x:v>
      </x:c>
      <x:c r="U985" s="6" t="n">
        <x:v>0</x:v>
      </x:c>
      <x:c r="V985" s="6" t="n">
        <x:v>0</x:v>
      </x:c>
      <x:c r="W985" s="6" t="n">
        <x:v>0</x:v>
      </x:c>
      <x:c r="X985" s="6" t="n">
        <x:v>0</x:v>
      </x:c>
      <x:c r="Y985" s="6" t="n">
        <x:v>0</x:v>
      </x:c>
      <x:c r="Z985" s="6" t="n">
        <x:v>0</x:v>
      </x:c>
      <x:c r="AA985" s="6" t="n">
        <x:v>3</x:v>
      </x:c>
      <x:c r="AB985" s="6" t="n">
        <x:v>11</x:v>
      </x:c>
      <x:c r="AC985" s="6" t="n">
        <x:v>0</x:v>
      </x:c>
    </x:row>
    <x:row r="986">
      <x:c r="A986" s="6" t="n">
        <x:v>5718</x:v>
      </x:c>
      <x:c r="B986" s="6" t="n">
        <x:v>1950</x:v>
      </x:c>
      <x:c r="C986" s="6" t="str">
        <x:v>Graduation</x:v>
      </x:c>
      <x:c r="D986" s="6" t="str">
        <x:v>Married</x:v>
      </x:c>
      <x:c r="E986" s="6" t="n">
        <x:v>80763</x:v>
      </x:c>
      <x:c r="F986" s="6" t="n">
        <x:v>0</x:v>
      </x:c>
      <x:c r="G986" s="6" t="n">
        <x:v>0</x:v>
      </x:c>
      <x:c r="H986" s="9" t="str">
        <x:v>15-08-2013</x:v>
      </x:c>
      <x:c r="I986" s="6" t="n">
        <x:v>17</x:v>
      </x:c>
      <x:c r="J986" s="6" t="n">
        <x:v>674</x:v>
      </x:c>
      <x:c r="K986" s="6" t="n">
        <x:v>168</x:v>
      </x:c>
      <x:c r="L986" s="6" t="n">
        <x:v>108</x:v>
      </x:c>
      <x:c r="M986" s="6" t="n">
        <x:v>192</x:v>
      </x:c>
      <x:c r="N986" s="6" t="n">
        <x:v>42</x:v>
      </x:c>
      <x:c r="O986" s="6" t="n">
        <x:v>231</x:v>
      </x:c>
      <x:c r="P986" s="6" t="n">
        <x:v>1</x:v>
      </x:c>
      <x:c r="Q986" s="6" t="n">
        <x:v>5</x:v>
      </x:c>
      <x:c r="R986" s="6" t="n">
        <x:v>11</x:v>
      </x:c>
      <x:c r="S986" s="6" t="n">
        <x:v>6</x:v>
      </x:c>
      <x:c r="T986" s="6" t="n">
        <x:v>3</x:v>
      </x:c>
      <x:c r="U986" s="6" t="n">
        <x:v>0</x:v>
      </x:c>
      <x:c r="V986" s="6" t="n">
        <x:v>0</x:v>
      </x:c>
      <x:c r="W986" s="6" t="n">
        <x:v>1</x:v>
      </x:c>
      <x:c r="X986" s="6" t="n">
        <x:v>1</x:v>
      </x:c>
      <x:c r="Y986" s="6" t="n">
        <x:v>0</x:v>
      </x:c>
      <x:c r="Z986" s="6" t="n">
        <x:v>0</x:v>
      </x:c>
      <x:c r="AA986" s="6" t="n">
        <x:v>3</x:v>
      </x:c>
      <x:c r="AB986" s="6" t="n">
        <x:v>11</x:v>
      </x:c>
      <x:c r="AC986" s="6" t="n">
        <x:v>1</x:v>
      </x:c>
    </x:row>
    <x:row r="987">
      <x:c r="A987" s="6" t="n">
        <x:v>6872</x:v>
      </x:c>
      <x:c r="B987" s="6" t="n">
        <x:v>1974</x:v>
      </x:c>
      <x:c r="C987" s="6" t="str">
        <x:v>PhD</x:v>
      </x:c>
      <x:c r="D987" s="6" t="str">
        <x:v>Married</x:v>
      </x:c>
      <x:c r="E987" s="6" t="n">
        <x:v>65352</x:v>
      </x:c>
      <x:c r="F987" s="6" t="n">
        <x:v>0</x:v>
      </x:c>
      <x:c r="G987" s="6" t="n">
        <x:v>1</x:v>
      </x:c>
      <x:c r="H987" s="9" t="str">
        <x:v>21-08-2013</x:v>
      </x:c>
      <x:c r="I987" s="6" t="n">
        <x:v>43</x:v>
      </x:c>
      <x:c r="J987" s="6" t="n">
        <x:v>284</x:v>
      </x:c>
      <x:c r="K987" s="6" t="n">
        <x:v>3</x:v>
      </x:c>
      <x:c r="L987" s="6" t="n">
        <x:v>84</x:v>
      </x:c>
      <x:c r="M987" s="6" t="n">
        <x:v>4</x:v>
      </x:c>
      <x:c r="N987" s="6" t="n">
        <x:v>7</x:v>
      </x:c>
      <x:c r="O987" s="6" t="n">
        <x:v>23</x:v>
      </x:c>
      <x:c r="P987" s="6" t="n">
        <x:v>2</x:v>
      </x:c>
      <x:c r="Q987" s="6" t="n">
        <x:v>4</x:v>
      </x:c>
      <x:c r="R987" s="6" t="n">
        <x:v>2</x:v>
      </x:c>
      <x:c r="S987" s="6" t="n">
        <x:v>8</x:v>
      </x:c>
      <x:c r="T987" s="6" t="n">
        <x:v>4</x:v>
      </x:c>
      <x:c r="U987" s="6" t="n">
        <x:v>0</x:v>
      </x:c>
      <x:c r="V987" s="6" t="n">
        <x:v>0</x:v>
      </x:c>
      <x:c r="W987" s="6" t="n">
        <x:v>0</x:v>
      </x:c>
      <x:c r="X987" s="6" t="n">
        <x:v>0</x:v>
      </x:c>
      <x:c r="Y987" s="6" t="n">
        <x:v>0</x:v>
      </x:c>
      <x:c r="Z987" s="6" t="n">
        <x:v>0</x:v>
      </x:c>
      <x:c r="AA987" s="6" t="n">
        <x:v>3</x:v>
      </x:c>
      <x:c r="AB987" s="6" t="n">
        <x:v>11</x:v>
      </x:c>
      <x:c r="AC987" s="6" t="n">
        <x:v>0</x:v>
      </x:c>
    </x:row>
    <x:row r="988">
      <x:c r="A988" s="6" t="n">
        <x:v>8164</x:v>
      </x:c>
      <x:c r="B988" s="6" t="n">
        <x:v>1978</x:v>
      </x:c>
      <x:c r="C988" s="6" t="str">
        <x:v>PhD</x:v>
      </x:c>
      <x:c r="D988" s="6" t="str">
        <x:v>Married</x:v>
      </x:c>
      <x:c r="E988" s="6" t="n">
        <x:v>82170</x:v>
      </x:c>
      <x:c r="F988" s="6" t="n">
        <x:v>0</x:v>
      </x:c>
      <x:c r="G988" s="6" t="n">
        <x:v>0</x:v>
      </x:c>
      <x:c r="H988" s="9" t="str">
        <x:v>25-11-2013</x:v>
      </x:c>
      <x:c r="I988" s="6" t="n">
        <x:v>13</x:v>
      </x:c>
      <x:c r="J988" s="6" t="n">
        <x:v>1023</x:v>
      </x:c>
      <x:c r="K988" s="6" t="n">
        <x:v>93</x:v>
      </x:c>
      <x:c r="L988" s="6" t="n">
        <x:v>651</x:v>
      </x:c>
      <x:c r="M988" s="6" t="n">
        <x:v>49</x:v>
      </x:c>
      <x:c r="N988" s="6" t="n">
        <x:v>55</x:v>
      </x:c>
      <x:c r="O988" s="6" t="n">
        <x:v>37</x:v>
      </x:c>
      <x:c r="P988" s="6" t="n">
        <x:v>1</x:v>
      </x:c>
      <x:c r="Q988" s="6" t="n">
        <x:v>5</x:v>
      </x:c>
      <x:c r="R988" s="6" t="n">
        <x:v>6</x:v>
      </x:c>
      <x:c r="S988" s="6" t="n">
        <x:v>7</x:v>
      </x:c>
      <x:c r="T988" s="6" t="n">
        <x:v>2</x:v>
      </x:c>
      <x:c r="U988" s="6" t="n">
        <x:v>0</x:v>
      </x:c>
      <x:c r="V988" s="6" t="n">
        <x:v>0</x:v>
      </x:c>
      <x:c r="W988" s="6" t="n">
        <x:v>0</x:v>
      </x:c>
      <x:c r="X988" s="6" t="n">
        <x:v>0</x:v>
      </x:c>
      <x:c r="Y988" s="6" t="n">
        <x:v>0</x:v>
      </x:c>
      <x:c r="Z988" s="6" t="n">
        <x:v>0</x:v>
      </x:c>
      <x:c r="AA988" s="6" t="n">
        <x:v>3</x:v>
      </x:c>
      <x:c r="AB988" s="6" t="n">
        <x:v>11</x:v>
      </x:c>
      <x:c r="AC988" s="6" t="n">
        <x:v>0</x:v>
      </x:c>
    </x:row>
    <x:row r="989">
      <x:c r="A989" s="6" t="n">
        <x:v>4580</x:v>
      </x:c>
      <x:c r="B989" s="6" t="n">
        <x:v>1969</x:v>
      </x:c>
      <x:c r="C989" s="6" t="str">
        <x:v>Graduation</x:v>
      </x:c>
      <x:c r="D989" s="6" t="str">
        <x:v>Married</x:v>
      </x:c>
      <x:c r="E989" s="6" t="n">
        <x:v>75759</x:v>
      </x:c>
      <x:c r="F989" s="6" t="n">
        <x:v>0</x:v>
      </x:c>
      <x:c r="G989" s="6" t="n">
        <x:v>0</x:v>
      </x:c>
      <x:c r="H989" s="9" t="str">
        <x:v>25-10-2013</x:v>
      </x:c>
      <x:c r="I989" s="6" t="n">
        <x:v>46</x:v>
      </x:c>
      <x:c r="J989" s="6" t="n">
        <x:v>1394</x:v>
      </x:c>
      <x:c r="K989" s="6" t="n">
        <x:v>22</x:v>
      </x:c>
      <x:c r="L989" s="6" t="n">
        <x:v>708</x:v>
      </x:c>
      <x:c r="M989" s="6" t="n">
        <x:v>89</x:v>
      </x:c>
      <x:c r="N989" s="6" t="n">
        <x:v>91</x:v>
      </x:c>
      <x:c r="O989" s="6" t="n">
        <x:v>182</x:v>
      </x:c>
      <x:c r="P989" s="6" t="n">
        <x:v>1</x:v>
      </x:c>
      <x:c r="Q989" s="6" t="n">
        <x:v>9</x:v>
      </x:c>
      <x:c r="R989" s="6" t="n">
        <x:v>7</x:v>
      </x:c>
      <x:c r="S989" s="6" t="n">
        <x:v>9</x:v>
      </x:c>
      <x:c r="T989" s="6" t="n">
        <x:v>5</x:v>
      </x:c>
      <x:c r="U989" s="6" t="n">
        <x:v>1</x:v>
      </x:c>
      <x:c r="V989" s="6" t="n">
        <x:v>0</x:v>
      </x:c>
      <x:c r="W989" s="6" t="n">
        <x:v>1</x:v>
      </x:c>
      <x:c r="X989" s="6" t="n">
        <x:v>1</x:v>
      </x:c>
      <x:c r="Y989" s="6" t="n">
        <x:v>0</x:v>
      </x:c>
      <x:c r="Z989" s="6" t="n">
        <x:v>0</x:v>
      </x:c>
      <x:c r="AA989" s="6" t="n">
        <x:v>3</x:v>
      </x:c>
      <x:c r="AB989" s="6" t="n">
        <x:v>11</x:v>
      </x:c>
      <x:c r="AC989" s="6" t="n">
        <x:v>1</x:v>
      </x:c>
    </x:row>
    <x:row r="990">
      <x:c r="A990" s="6" t="n">
        <x:v>9305</x:v>
      </x:c>
      <x:c r="B990" s="6" t="n">
        <x:v>1976</x:v>
      </x:c>
      <x:c r="C990" s="6" t="str">
        <x:v>2n Cycle</x:v>
      </x:c>
      <x:c r="D990" s="6" t="str">
        <x:v>Single</x:v>
      </x:c>
      <x:c r="E990" s="6" t="n">
        <x:v>79689</x:v>
      </x:c>
      <x:c r="F990" s="6" t="n">
        <x:v>0</x:v>
      </x:c>
      <x:c r="G990" s="6" t="n">
        <x:v>0</x:v>
      </x:c>
      <x:c r="H990" s="9" t="str">
        <x:v>12-05-2013</x:v>
      </x:c>
      <x:c r="I990" s="6" t="n">
        <x:v>65</x:v>
      </x:c>
      <x:c r="J990" s="6" t="n">
        <x:v>311</x:v>
      </x:c>
      <x:c r="K990" s="6" t="n">
        <x:v>26</x:v>
      </x:c>
      <x:c r="L990" s="6" t="n">
        <x:v>640</x:v>
      </x:c>
      <x:c r="M990" s="6" t="n">
        <x:v>180</x:v>
      </x:c>
      <x:c r="N990" s="6" t="n">
        <x:v>37</x:v>
      </x:c>
      <x:c r="O990" s="6" t="n">
        <x:v>121</x:v>
      </x:c>
      <x:c r="P990" s="6" t="n">
        <x:v>1</x:v>
      </x:c>
      <x:c r="Q990" s="6" t="n">
        <x:v>4</x:v>
      </x:c>
      <x:c r="R990" s="6" t="n">
        <x:v>9</x:v>
      </x:c>
      <x:c r="S990" s="6" t="n">
        <x:v>13</x:v>
      </x:c>
      <x:c r="T990" s="6" t="n">
        <x:v>2</x:v>
      </x:c>
      <x:c r="U990" s="6" t="n">
        <x:v>0</x:v>
      </x:c>
      <x:c r="V990" s="6" t="n">
        <x:v>0</x:v>
      </x:c>
      <x:c r="W990" s="6" t="n">
        <x:v>0</x:v>
      </x:c>
      <x:c r="X990" s="6" t="n">
        <x:v>0</x:v>
      </x:c>
      <x:c r="Y990" s="6" t="n">
        <x:v>0</x:v>
      </x:c>
      <x:c r="Z990" s="6" t="n">
        <x:v>0</x:v>
      </x:c>
      <x:c r="AA990" s="6" t="n">
        <x:v>3</x:v>
      </x:c>
      <x:c r="AB990" s="6" t="n">
        <x:v>11</x:v>
      </x:c>
      <x:c r="AC990" s="6" t="n">
        <x:v>0</x:v>
      </x:c>
    </x:row>
    <x:row r="991">
      <x:c r="A991" s="6" t="n">
        <x:v>453</x:v>
      </x:c>
      <x:c r="B991" s="6" t="n">
        <x:v>1956</x:v>
      </x:c>
      <x:c r="C991" s="6" t="str">
        <x:v>PhD</x:v>
      </x:c>
      <x:c r="D991" s="6" t="str">
        <x:v>Widow</x:v>
      </x:c>
      <x:c r="E991" s="6" t="n">
        <x:v>35340</x:v>
      </x:c>
      <x:c r="F991" s="6" t="n">
        <x:v>1</x:v>
      </x:c>
      <x:c r="G991" s="6" t="n">
        <x:v>1</x:v>
      </x:c>
      <x:c r="H991" s="9" t="str">
        <x:v>29-06-2014</x:v>
      </x:c>
      <x:c r="I991" s="6" t="n">
        <x:v>1</x:v>
      </x:c>
      <x:c r="J991" s="6" t="n">
        <x:v>27</x:v>
      </x:c>
      <x:c r="K991" s="6" t="n">
        <x:v>0</x:v>
      </x:c>
      <x:c r="L991" s="6" t="n">
        <x:v>12</x:v>
      </x:c>
      <x:c r="M991" s="6" t="n">
        <x:v>0</x:v>
      </x:c>
      <x:c r="N991" s="6" t="n">
        <x:v>1</x:v>
      </x:c>
      <x:c r="O991" s="6" t="n">
        <x:v>5</x:v>
      </x:c>
      <x:c r="P991" s="6" t="n">
        <x:v>2</x:v>
      </x:c>
      <x:c r="Q991" s="6" t="n">
        <x:v>2</x:v>
      </x:c>
      <x:c r="R991" s="6" t="n">
        <x:v>0</x:v>
      </x:c>
      <x:c r="S991" s="6" t="n">
        <x:v>3</x:v>
      </x:c>
      <x:c r="T991" s="6" t="n">
        <x:v>5</x:v>
      </x:c>
      <x:c r="U991" s="6" t="n">
        <x:v>0</x:v>
      </x:c>
      <x:c r="V991" s="6" t="n">
        <x:v>0</x:v>
      </x:c>
      <x:c r="W991" s="6" t="n">
        <x:v>0</x:v>
      </x:c>
      <x:c r="X991" s="6" t="n">
        <x:v>0</x:v>
      </x:c>
      <x:c r="Y991" s="6" t="n">
        <x:v>0</x:v>
      </x:c>
      <x:c r="Z991" s="6" t="n">
        <x:v>0</x:v>
      </x:c>
      <x:c r="AA991" s="6" t="n">
        <x:v>3</x:v>
      </x:c>
      <x:c r="AB991" s="6" t="n">
        <x:v>11</x:v>
      </x:c>
      <x:c r="AC991" s="6" t="n">
        <x:v>0</x:v>
      </x:c>
    </x:row>
    <x:row r="992">
      <x:c r="A992" s="6" t="n">
        <x:v>8545</x:v>
      </x:c>
      <x:c r="B992" s="6" t="n">
        <x:v>1954</x:v>
      </x:c>
      <x:c r="C992" s="6" t="str">
        <x:v>Graduation</x:v>
      </x:c>
      <x:c r="D992" s="6" t="str">
        <x:v>Divorced</x:v>
      </x:c>
      <x:c r="E992" s="6" t="n">
        <x:v>85683</x:v>
      </x:c>
      <x:c r="F992" s="6" t="n">
        <x:v>0</x:v>
      </x:c>
      <x:c r="G992" s="6" t="n">
        <x:v>0</x:v>
      </x:c>
      <x:c r="H992" s="9" t="str">
        <x:v>21-03-2014</x:v>
      </x:c>
      <x:c r="I992" s="6" t="n">
        <x:v>6</x:v>
      </x:c>
      <x:c r="J992" s="6" t="n">
        <x:v>1296</x:v>
      </x:c>
      <x:c r="K992" s="6" t="n">
        <x:v>17</x:v>
      </x:c>
      <x:c r="L992" s="6" t="n">
        <x:v>311</x:v>
      </x:c>
      <x:c r="M992" s="6" t="n">
        <x:v>45</x:v>
      </x:c>
      <x:c r="N992" s="6" t="n">
        <x:v>69</x:v>
      </x:c>
      <x:c r="O992" s="6" t="n">
        <x:v>51</x:v>
      </x:c>
      <x:c r="P992" s="6" t="n">
        <x:v>1</x:v>
      </x:c>
      <x:c r="Q992" s="6" t="n">
        <x:v>2</x:v>
      </x:c>
      <x:c r="R992" s="6" t="n">
        <x:v>4</x:v>
      </x:c>
      <x:c r="S992" s="6" t="n">
        <x:v>10</x:v>
      </x:c>
      <x:c r="T992" s="6" t="n">
        <x:v>1</x:v>
      </x:c>
      <x:c r="U992" s="6" t="n">
        <x:v>0</x:v>
      </x:c>
      <x:c r="V992" s="6" t="n">
        <x:v>1</x:v>
      </x:c>
      <x:c r="W992" s="6" t="n">
        <x:v>1</x:v>
      </x:c>
      <x:c r="X992" s="6" t="n">
        <x:v>1</x:v>
      </x:c>
      <x:c r="Y992" s="6" t="n">
        <x:v>1</x:v>
      </x:c>
      <x:c r="Z992" s="6" t="n">
        <x:v>0</x:v>
      </x:c>
      <x:c r="AA992" s="6" t="n">
        <x:v>3</x:v>
      </x:c>
      <x:c r="AB992" s="6" t="n">
        <x:v>11</x:v>
      </x:c>
      <x:c r="AC992" s="6" t="n">
        <x:v>1</x:v>
      </x:c>
    </x:row>
    <x:row r="993">
      <x:c r="A993" s="6" t="n">
        <x:v>9850</x:v>
      </x:c>
      <x:c r="B993" s="6" t="n">
        <x:v>1972</x:v>
      </x:c>
      <x:c r="C993" s="6" t="str">
        <x:v>2n Cycle</x:v>
      </x:c>
      <x:c r="D993" s="6" t="str">
        <x:v>Married</x:v>
      </x:c>
      <x:c r="E993" s="6" t="n">
        <x:v>24884</x:v>
      </x:c>
      <x:c r="F993" s="6" t="n">
        <x:v>1</x:v>
      </x:c>
      <x:c r="G993" s="6" t="n">
        <x:v>0</x:v>
      </x:c>
      <x:c r="H993" s="9" t="str">
        <x:v>29-11-2012</x:v>
      </x:c>
      <x:c r="I993" s="6" t="n">
        <x:v>32</x:v>
      </x:c>
      <x:c r="J993" s="6" t="n">
        <x:v>3</x:v>
      </x:c>
      <x:c r="K993" s="6" t="n">
        <x:v>6</x:v>
      </x:c>
      <x:c r="L993" s="6" t="n">
        <x:v>7</x:v>
      </x:c>
      <x:c r="M993" s="6" t="n">
        <x:v>0</x:v>
      </x:c>
      <x:c r="N993" s="6" t="n">
        <x:v>0</x:v>
      </x:c>
      <x:c r="O993" s="6" t="n">
        <x:v>3</x:v>
      </x:c>
      <x:c r="P993" s="6" t="n">
        <x:v>1</x:v>
      </x:c>
      <x:c r="Q993" s="6" t="n">
        <x:v>0</x:v>
      </x:c>
      <x:c r="R993" s="6" t="n">
        <x:v>0</x:v>
      </x:c>
      <x:c r="S993" s="6" t="n">
        <x:v>3</x:v>
      </x:c>
      <x:c r="T993" s="6" t="n">
        <x:v>7</x:v>
      </x:c>
      <x:c r="U993" s="6" t="n">
        <x:v>0</x:v>
      </x:c>
      <x:c r="V993" s="6" t="n">
        <x:v>0</x:v>
      </x:c>
      <x:c r="W993" s="6" t="n">
        <x:v>0</x:v>
      </x:c>
      <x:c r="X993" s="6" t="n">
        <x:v>0</x:v>
      </x:c>
      <x:c r="Y993" s="6" t="n">
        <x:v>0</x:v>
      </x:c>
      <x:c r="Z993" s="6" t="n">
        <x:v>0</x:v>
      </x:c>
      <x:c r="AA993" s="6" t="n">
        <x:v>3</x:v>
      </x:c>
      <x:c r="AB993" s="6" t="n">
        <x:v>11</x:v>
      </x:c>
      <x:c r="AC993" s="6" t="n">
        <x:v>0</x:v>
      </x:c>
    </x:row>
    <x:row r="994">
      <x:c r="A994" s="6" t="n">
        <x:v>7378</x:v>
      </x:c>
      <x:c r="B994" s="6" t="n">
        <x:v>1981</x:v>
      </x:c>
      <x:c r="C994" s="6" t="str">
        <x:v>Master</x:v>
      </x:c>
      <x:c r="D994" s="6" t="str">
        <x:v>Together</x:v>
      </x:c>
      <x:c r="E994" s="6" t="n">
        <x:v>42021</x:v>
      </x:c>
      <x:c r="F994" s="6" t="n">
        <x:v>1</x:v>
      </x:c>
      <x:c r="G994" s="6" t="n">
        <x:v>0</x:v>
      </x:c>
      <x:c r="H994" s="9" t="str">
        <x:v>31-08-2012</x:v>
      </x:c>
      <x:c r="I994" s="6" t="n">
        <x:v>34</x:v>
      </x:c>
      <x:c r="J994" s="6" t="n">
        <x:v>393</x:v>
      </x:c>
      <x:c r="K994" s="6" t="n">
        <x:v>5</x:v>
      </x:c>
      <x:c r="L994" s="6" t="n">
        <x:v>136</x:v>
      </x:c>
      <x:c r="M994" s="6" t="n">
        <x:v>7</x:v>
      </x:c>
      <x:c r="N994" s="6" t="n">
        <x:v>5</x:v>
      </x:c>
      <x:c r="O994" s="6" t="n">
        <x:v>27</x:v>
      </x:c>
      <x:c r="P994" s="6" t="n">
        <x:v>5</x:v>
      </x:c>
      <x:c r="Q994" s="6" t="n">
        <x:v>10</x:v>
      </x:c>
      <x:c r="R994" s="6" t="n">
        <x:v>1</x:v>
      </x:c>
      <x:c r="S994" s="6" t="n">
        <x:v>6</x:v>
      </x:c>
      <x:c r="T994" s="6" t="n">
        <x:v>9</x:v>
      </x:c>
      <x:c r="U994" s="6" t="n">
        <x:v>1</x:v>
      </x:c>
      <x:c r="V994" s="6" t="n">
        <x:v>0</x:v>
      </x:c>
      <x:c r="W994" s="6" t="n">
        <x:v>0</x:v>
      </x:c>
      <x:c r="X994" s="6" t="n">
        <x:v>0</x:v>
      </x:c>
      <x:c r="Y994" s="6" t="n">
        <x:v>0</x:v>
      </x:c>
      <x:c r="Z994" s="6" t="n">
        <x:v>0</x:v>
      </x:c>
      <x:c r="AA994" s="6" t="n">
        <x:v>3</x:v>
      </x:c>
      <x:c r="AB994" s="6" t="n">
        <x:v>11</x:v>
      </x:c>
      <x:c r="AC994" s="6" t="n">
        <x:v>0</x:v>
      </x:c>
    </x:row>
    <x:row r="995">
      <x:c r="A995" s="6" t="n">
        <x:v>7646</x:v>
      </x:c>
      <x:c r="B995" s="6" t="n">
        <x:v>1989</x:v>
      </x:c>
      <x:c r="C995" s="6" t="str">
        <x:v>Graduation</x:v>
      </x:c>
      <x:c r="D995" s="6" t="str">
        <x:v>Single</x:v>
      </x:c>
      <x:c r="E995" s="6" t="n">
        <x:v>64449</x:v>
      </x:c>
      <x:c r="F995" s="6" t="n">
        <x:v>1</x:v>
      </x:c>
      <x:c r="G995" s="6" t="n">
        <x:v>0</x:v>
      </x:c>
      <x:c r="H995" s="9" t="str">
        <x:v>18-02-2014</x:v>
      </x:c>
      <x:c r="I995" s="6" t="n">
        <x:v>70</x:v>
      </x:c>
      <x:c r="J995" s="6" t="n">
        <x:v>218</x:v>
      </x:c>
      <x:c r="K995" s="6" t="n">
        <x:v>63</x:v>
      </x:c>
      <x:c r="L995" s="6" t="n">
        <x:v>282</x:v>
      </x:c>
      <x:c r="M995" s="6" t="n">
        <x:v>137</x:v>
      </x:c>
      <x:c r="N995" s="6" t="n">
        <x:v>35</x:v>
      </x:c>
      <x:c r="O995" s="6" t="n">
        <x:v>70</x:v>
      </x:c>
      <x:c r="P995" s="6" t="n">
        <x:v>4</x:v>
      </x:c>
      <x:c r="Q995" s="6" t="n">
        <x:v>5</x:v>
      </x:c>
      <x:c r="R995" s="6" t="n">
        <x:v>3</x:v>
      </x:c>
      <x:c r="S995" s="6" t="n">
        <x:v>12</x:v>
      </x:c>
      <x:c r="T995" s="6" t="n">
        <x:v>4</x:v>
      </x:c>
      <x:c r="U995" s="6" t="n">
        <x:v>0</x:v>
      </x:c>
      <x:c r="V995" s="6" t="n">
        <x:v>0</x:v>
      </x:c>
      <x:c r="W995" s="6" t="n">
        <x:v>0</x:v>
      </x:c>
      <x:c r="X995" s="6" t="n">
        <x:v>0</x:v>
      </x:c>
      <x:c r="Y995" s="6" t="n">
        <x:v>0</x:v>
      </x:c>
      <x:c r="Z995" s="6" t="n">
        <x:v>0</x:v>
      </x:c>
      <x:c r="AA995" s="6" t="n">
        <x:v>3</x:v>
      </x:c>
      <x:c r="AB995" s="6" t="n">
        <x:v>11</x:v>
      </x:c>
      <x:c r="AC995" s="6" t="n">
        <x:v>0</x:v>
      </x:c>
    </x:row>
    <x:row r="996">
      <x:c r="A996" s="6" t="n">
        <x:v>1640</x:v>
      </x:c>
      <x:c r="B996" s="6" t="n">
        <x:v>1954</x:v>
      </x:c>
      <x:c r="C996" s="6" t="str">
        <x:v>Graduation</x:v>
      </x:c>
      <x:c r="D996" s="6" t="str">
        <x:v>Divorced</x:v>
      </x:c>
      <x:c r="E996" s="6" t="n">
        <x:v>64587</x:v>
      </x:c>
      <x:c r="F996" s="6" t="n">
        <x:v>1</x:v>
      </x:c>
      <x:c r="G996" s="6" t="n">
        <x:v>1</x:v>
      </x:c>
      <x:c r="H996" s="9" t="str">
        <x:v>22-06-2014</x:v>
      </x:c>
      <x:c r="I996" s="6" t="n">
        <x:v>49</x:v>
      </x:c>
      <x:c r="J996" s="6" t="n">
        <x:v>66</x:v>
      </x:c>
      <x:c r="K996" s="6" t="n">
        <x:v>0</x:v>
      </x:c>
      <x:c r="L996" s="6" t="n">
        <x:v>16</x:v>
      </x:c>
      <x:c r="M996" s="6" t="n">
        <x:v>0</x:v>
      </x:c>
      <x:c r="N996" s="6" t="n">
        <x:v>6</x:v>
      </x:c>
      <x:c r="O996" s="6" t="n">
        <x:v>20</x:v>
      </x:c>
      <x:c r="P996" s="6" t="n">
        <x:v>2</x:v>
      </x:c>
      <x:c r="Q996" s="6" t="n">
        <x:v>1</x:v>
      </x:c>
      <x:c r="R996" s="6" t="n">
        <x:v>1</x:v>
      </x:c>
      <x:c r="S996" s="6" t="n">
        <x:v>4</x:v>
      </x:c>
      <x:c r="T996" s="6" t="n">
        <x:v>3</x:v>
      </x:c>
      <x:c r="U996" s="6" t="n">
        <x:v>0</x:v>
      </x:c>
      <x:c r="V996" s="6" t="n">
        <x:v>0</x:v>
      </x:c>
      <x:c r="W996" s="6" t="n">
        <x:v>0</x:v>
      </x:c>
      <x:c r="X996" s="6" t="n">
        <x:v>0</x:v>
      </x:c>
      <x:c r="Y996" s="6" t="n">
        <x:v>0</x:v>
      </x:c>
      <x:c r="Z996" s="6" t="n">
        <x:v>0</x:v>
      </x:c>
      <x:c r="AA996" s="6" t="n">
        <x:v>3</x:v>
      </x:c>
      <x:c r="AB996" s="6" t="n">
        <x:v>11</x:v>
      </x:c>
      <x:c r="AC996" s="6" t="n">
        <x:v>0</x:v>
      </x:c>
    </x:row>
    <x:row r="997">
      <x:c r="A997" s="6" t="n">
        <x:v>5184</x:v>
      </x:c>
      <x:c r="B997" s="6" t="n">
        <x:v>1995</x:v>
      </x:c>
      <x:c r="C997" s="6" t="str">
        <x:v>Graduation</x:v>
      </x:c>
      <x:c r="D997" s="6" t="str">
        <x:v>Single</x:v>
      </x:c>
      <x:c r="E997" s="6" t="n">
        <x:v>34824</x:v>
      </x:c>
      <x:c r="F997" s="6" t="n">
        <x:v>0</x:v>
      </x:c>
      <x:c r="G997" s="6" t="n">
        <x:v>0</x:v>
      </x:c>
      <x:c r="H997" s="9" t="str">
        <x:v>26-03-2014</x:v>
      </x:c>
      <x:c r="I997" s="6" t="n">
        <x:v>65</x:v>
      </x:c>
      <x:c r="J997" s="6" t="n">
        <x:v>4</x:v>
      </x:c>
      <x:c r="K997" s="6" t="n">
        <x:v>2</x:v>
      </x:c>
      <x:c r="L997" s="6" t="n">
        <x:v>11</x:v>
      </x:c>
      <x:c r="M997" s="6" t="n">
        <x:v>2</x:v>
      </x:c>
      <x:c r="N997" s="6" t="n">
        <x:v>0</x:v>
      </x:c>
      <x:c r="O997" s="6" t="n">
        <x:v>4</x:v>
      </x:c>
      <x:c r="P997" s="6" t="n">
        <x:v>1</x:v>
      </x:c>
      <x:c r="Q997" s="6" t="n">
        <x:v>1</x:v>
      </x:c>
      <x:c r="R997" s="6" t="n">
        <x:v>0</x:v>
      </x:c>
      <x:c r="S997" s="6" t="n">
        <x:v>2</x:v>
      </x:c>
      <x:c r="T997" s="6" t="n">
        <x:v>6</x:v>
      </x:c>
      <x:c r="U997" s="6" t="n">
        <x:v>0</x:v>
      </x:c>
      <x:c r="V997" s="6" t="n">
        <x:v>0</x:v>
      </x:c>
      <x:c r="W997" s="6" t="n">
        <x:v>0</x:v>
      </x:c>
      <x:c r="X997" s="6" t="n">
        <x:v>0</x:v>
      </x:c>
      <x:c r="Y997" s="6" t="n">
        <x:v>0</x:v>
      </x:c>
      <x:c r="Z997" s="6" t="n">
        <x:v>0</x:v>
      </x:c>
      <x:c r="AA997" s="6" t="n">
        <x:v>3</x:v>
      </x:c>
      <x:c r="AB997" s="6" t="n">
        <x:v>11</x:v>
      </x:c>
      <x:c r="AC997" s="6" t="n">
        <x:v>0</x:v>
      </x:c>
    </x:row>
    <x:row r="998">
      <x:c r="A998" s="6" t="n">
        <x:v>8492</x:v>
      </x:c>
      <x:c r="B998" s="6" t="n">
        <x:v>1978</x:v>
      </x:c>
      <x:c r="C998" s="6" t="str">
        <x:v>Graduation</x:v>
      </x:c>
      <x:c r="D998" s="6" t="str">
        <x:v>Together</x:v>
      </x:c>
      <x:c r="E998" s="6" t="n">
        <x:v>75437</x:v>
      </x:c>
      <x:c r="F998" s="6" t="n">
        <x:v>0</x:v>
      </x:c>
      <x:c r="G998" s="6" t="n">
        <x:v>0</x:v>
      </x:c>
      <x:c r="H998" s="9" t="str">
        <x:v>09-11-2013</x:v>
      </x:c>
      <x:c r="I998" s="6" t="n">
        <x:v>25</x:v>
      </x:c>
      <x:c r="J998" s="6" t="n">
        <x:v>795</x:v>
      </x:c>
      <x:c r="K998" s="6" t="n">
        <x:v>0</x:v>
      </x:c>
      <x:c r="L998" s="6" t="n">
        <x:v>545</x:v>
      </x:c>
      <x:c r="M998" s="6" t="n">
        <x:v>95</x:v>
      </x:c>
      <x:c r="N998" s="6" t="n">
        <x:v>58</x:v>
      </x:c>
      <x:c r="O998" s="6" t="n">
        <x:v>0</x:v>
      </x:c>
      <x:c r="P998" s="6" t="n">
        <x:v>1</x:v>
      </x:c>
      <x:c r="Q998" s="6" t="n">
        <x:v>8</x:v>
      </x:c>
      <x:c r="R998" s="6" t="n">
        <x:v>4</x:v>
      </x:c>
      <x:c r="S998" s="6" t="n">
        <x:v>10</x:v>
      </x:c>
      <x:c r="T998" s="6" t="n">
        <x:v>6</x:v>
      </x:c>
      <x:c r="U998" s="6" t="n">
        <x:v>0</x:v>
      </x:c>
      <x:c r="V998" s="6" t="n">
        <x:v>0</x:v>
      </x:c>
      <x:c r="W998" s="6" t="n">
        <x:v>0</x:v>
      </x:c>
      <x:c r="X998" s="6" t="n">
        <x:v>1</x:v>
      </x:c>
      <x:c r="Y998" s="6" t="n">
        <x:v>0</x:v>
      </x:c>
      <x:c r="Z998" s="6" t="n">
        <x:v>0</x:v>
      </x:c>
      <x:c r="AA998" s="6" t="n">
        <x:v>3</x:v>
      </x:c>
      <x:c r="AB998" s="6" t="n">
        <x:v>11</x:v>
      </x:c>
      <x:c r="AC998" s="6" t="n">
        <x:v>0</x:v>
      </x:c>
    </x:row>
    <x:row r="999">
      <x:c r="A999" s="6" t="n">
        <x:v>11188</x:v>
      </x:c>
      <x:c r="B999" s="6" t="n">
        <x:v>1957</x:v>
      </x:c>
      <x:c r="C999" s="6" t="str">
        <x:v>Graduation</x:v>
      </x:c>
      <x:c r="D999" s="6" t="str">
        <x:v>Together</x:v>
      </x:c>
      <x:c r="E999" s="6" t="n">
        <x:v>26091</x:v>
      </x:c>
      <x:c r="F999" s="6" t="n">
        <x:v>1</x:v>
      </x:c>
      <x:c r="G999" s="6" t="n">
        <x:v>1</x:v>
      </x:c>
      <x:c r="H999" s="9" t="str">
        <x:v>25-02-2014</x:v>
      </x:c>
      <x:c r="I999" s="6" t="n">
        <x:v>84</x:v>
      </x:c>
      <x:c r="J999" s="6" t="n">
        <x:v>15</x:v>
      </x:c>
      <x:c r="K999" s="6" t="n">
        <x:v>10</x:v>
      </x:c>
      <x:c r="L999" s="6" t="n">
        <x:v>19</x:v>
      </x:c>
      <x:c r="M999" s="6" t="n">
        <x:v>8</x:v>
      </x:c>
      <x:c r="N999" s="6" t="n">
        <x:v>17</x:v>
      </x:c>
      <x:c r="O999" s="6" t="n">
        <x:v>20</x:v>
      </x:c>
      <x:c r="P999" s="6" t="n">
        <x:v>3</x:v>
      </x:c>
      <x:c r="Q999" s="6" t="n">
        <x:v>2</x:v>
      </x:c>
      <x:c r="R999" s="6" t="n">
        <x:v>1</x:v>
      </x:c>
      <x:c r="S999" s="6" t="n">
        <x:v>3</x:v>
      </x:c>
      <x:c r="T999" s="6" t="n">
        <x:v>5</x:v>
      </x:c>
      <x:c r="U999" s="6" t="n">
        <x:v>0</x:v>
      </x:c>
      <x:c r="V999" s="6" t="n">
        <x:v>0</x:v>
      </x:c>
      <x:c r="W999" s="6" t="n">
        <x:v>0</x:v>
      </x:c>
      <x:c r="X999" s="6" t="n">
        <x:v>0</x:v>
      </x:c>
      <x:c r="Y999" s="6" t="n">
        <x:v>0</x:v>
      </x:c>
      <x:c r="Z999" s="6" t="n">
        <x:v>0</x:v>
      </x:c>
      <x:c r="AA999" s="6" t="n">
        <x:v>3</x:v>
      </x:c>
      <x:c r="AB999" s="6" t="n">
        <x:v>11</x:v>
      </x:c>
      <x:c r="AC999" s="6" t="n">
        <x:v>0</x:v>
      </x:c>
    </x:row>
    <x:row r="1000">
      <x:c r="A1000" s="6" t="n">
        <x:v>1212</x:v>
      </x:c>
      <x:c r="B1000" s="6" t="n">
        <x:v>1973</x:v>
      </x:c>
      <x:c r="C1000" s="6" t="str">
        <x:v>Graduation</x:v>
      </x:c>
      <x:c r="D1000" s="6" t="str">
        <x:v>Married</x:v>
      </x:c>
      <x:c r="E1000" s="6" t="n">
        <x:v>52845</x:v>
      </x:c>
      <x:c r="F1000" s="6" t="n">
        <x:v>1</x:v>
      </x:c>
      <x:c r="G1000" s="6" t="n">
        <x:v>0</x:v>
      </x:c>
      <x:c r="H1000" s="9" t="str">
        <x:v>13-08-2013</x:v>
      </x:c>
      <x:c r="I1000" s="6" t="n">
        <x:v>7</x:v>
      </x:c>
      <x:c r="J1000" s="6" t="n">
        <x:v>384</x:v>
      </x:c>
      <x:c r="K1000" s="6" t="n">
        <x:v>25</x:v>
      </x:c>
      <x:c r="L1000" s="6" t="n">
        <x:v>292</x:v>
      </x:c>
      <x:c r="M1000" s="6" t="n">
        <x:v>130</x:v>
      </x:c>
      <x:c r="N1000" s="6" t="n">
        <x:v>41</x:v>
      </x:c>
      <x:c r="O1000" s="6" t="n">
        <x:v>64</x:v>
      </x:c>
      <x:c r="P1000" s="6" t="n">
        <x:v>3</x:v>
      </x:c>
      <x:c r="Q1000" s="6" t="n">
        <x:v>8</x:v>
      </x:c>
      <x:c r="R1000" s="6" t="n">
        <x:v>8</x:v>
      </x:c>
      <x:c r="S1000" s="6" t="n">
        <x:v>6</x:v>
      </x:c>
      <x:c r="T1000" s="6" t="n">
        <x:v>6</x:v>
      </x:c>
      <x:c r="U1000" s="6" t="n">
        <x:v>1</x:v>
      </x:c>
      <x:c r="V1000" s="6" t="n">
        <x:v>0</x:v>
      </x:c>
      <x:c r="W1000" s="6" t="n">
        <x:v>0</x:v>
      </x:c>
      <x:c r="X1000" s="6" t="n">
        <x:v>0</x:v>
      </x:c>
      <x:c r="Y1000" s="6" t="n">
        <x:v>0</x:v>
      </x:c>
      <x:c r="Z1000" s="6" t="n">
        <x:v>0</x:v>
      </x:c>
      <x:c r="AA1000" s="6" t="n">
        <x:v>3</x:v>
      </x:c>
      <x:c r="AB1000" s="6" t="n">
        <x:v>11</x:v>
      </x:c>
      <x:c r="AC1000" s="6" t="n">
        <x:v>0</x:v>
      </x:c>
    </x:row>
    <x:row r="1001">
      <x:c r="A1001" s="6" t="n">
        <x:v>9097</x:v>
      </x:c>
      <x:c r="B1001" s="6" t="n">
        <x:v>1956</x:v>
      </x:c>
      <x:c r="C1001" s="6" t="str">
        <x:v>Graduation</x:v>
      </x:c>
      <x:c r="D1001" s="6" t="str">
        <x:v>Divorced</x:v>
      </x:c>
      <x:c r="E1001" s="6" t="n">
        <x:v>46086</x:v>
      </x:c>
      <x:c r="F1001" s="6" t="n">
        <x:v>0</x:v>
      </x:c>
      <x:c r="G1001" s="6" t="n">
        <x:v>1</x:v>
      </x:c>
      <x:c r="H1001" s="9" t="str">
        <x:v>03-11-2013</x:v>
      </x:c>
      <x:c r="I1001" s="6" t="n">
        <x:v>34</x:v>
      </x:c>
      <x:c r="J1001" s="6" t="n">
        <x:v>244</x:v>
      </x:c>
      <x:c r="K1001" s="6" t="n">
        <x:v>8</x:v>
      </x:c>
      <x:c r="L1001" s="6" t="n">
        <x:v>32</x:v>
      </x:c>
      <x:c r="M1001" s="6" t="n">
        <x:v>7</x:v>
      </x:c>
      <x:c r="N1001" s="6" t="n">
        <x:v>2</x:v>
      </x:c>
      <x:c r="O1001" s="6" t="n">
        <x:v>50</x:v>
      </x:c>
      <x:c r="P1001" s="6" t="n">
        <x:v>4</x:v>
      </x:c>
      <x:c r="Q1001" s="6" t="n">
        <x:v>3</x:v>
      </x:c>
      <x:c r="R1001" s="6" t="n">
        <x:v>1</x:v>
      </x:c>
      <x:c r="S1001" s="6" t="n">
        <x:v>8</x:v>
      </x:c>
      <x:c r="T1001" s="6" t="n">
        <x:v>4</x:v>
      </x:c>
      <x:c r="U1001" s="6" t="n">
        <x:v>0</x:v>
      </x:c>
      <x:c r="V1001" s="6" t="n">
        <x:v>0</x:v>
      </x:c>
      <x:c r="W1001" s="6" t="n">
        <x:v>0</x:v>
      </x:c>
      <x:c r="X1001" s="6" t="n">
        <x:v>0</x:v>
      </x:c>
      <x:c r="Y1001" s="6" t="n">
        <x:v>0</x:v>
      </x:c>
      <x:c r="Z1001" s="6" t="n">
        <x:v>0</x:v>
      </x:c>
      <x:c r="AA1001" s="6" t="n">
        <x:v>3</x:v>
      </x:c>
      <x:c r="AB1001" s="6" t="n">
        <x:v>11</x:v>
      </x:c>
      <x:c r="AC1001" s="6" t="n">
        <x:v>0</x:v>
      </x:c>
    </x:row>
    <x:row r="1002">
      <x:c r="A1002" s="6" t="n">
        <x:v>10473</x:v>
      </x:c>
      <x:c r="B1002" s="6" t="n">
        <x:v>1956</x:v>
      </x:c>
      <x:c r="C1002" s="6" t="str">
        <x:v>PhD</x:v>
      </x:c>
      <x:c r="D1002" s="6" t="str">
        <x:v>Widow</x:v>
      </x:c>
      <x:c r="E1002" s="6" t="n">
        <x:v>78028</x:v>
      </x:c>
      <x:c r="F1002" s="6" t="n">
        <x:v>0</x:v>
      </x:c>
      <x:c r="G1002" s="6" t="n">
        <x:v>1</x:v>
      </x:c>
      <x:c r="H1002" s="9" t="str">
        <x:v>10-09-2012</x:v>
      </x:c>
      <x:c r="I1002" s="6" t="n">
        <x:v>38</x:v>
      </x:c>
      <x:c r="J1002" s="6" t="n">
        <x:v>158</x:v>
      </x:c>
      <x:c r="K1002" s="6" t="n">
        <x:v>19</x:v>
      </x:c>
      <x:c r="L1002" s="6" t="n">
        <x:v>288</x:v>
      </x:c>
      <x:c r="M1002" s="6" t="n">
        <x:v>25</x:v>
      </x:c>
      <x:c r="N1002" s="6" t="n">
        <x:v>0</x:v>
      </x:c>
      <x:c r="O1002" s="6" t="n">
        <x:v>38</x:v>
      </x:c>
      <x:c r="P1002" s="6" t="n">
        <x:v>1</x:v>
      </x:c>
      <x:c r="Q1002" s="6" t="n">
        <x:v>6</x:v>
      </x:c>
      <x:c r="R1002" s="6" t="n">
        <x:v>4</x:v>
      </x:c>
      <x:c r="S1002" s="6" t="n">
        <x:v>9</x:v>
      </x:c>
      <x:c r="T1002" s="6" t="n">
        <x:v>7</x:v>
      </x:c>
      <x:c r="U1002" s="6" t="n">
        <x:v>0</x:v>
      </x:c>
      <x:c r="V1002" s="6" t="n">
        <x:v>1</x:v>
      </x:c>
      <x:c r="W1002" s="6" t="n">
        <x:v>1</x:v>
      </x:c>
      <x:c r="X1002" s="6" t="n">
        <x:v>0</x:v>
      </x:c>
      <x:c r="Y1002" s="6" t="n">
        <x:v>0</x:v>
      </x:c>
      <x:c r="Z1002" s="6" t="n">
        <x:v>0</x:v>
      </x:c>
      <x:c r="AA1002" s="6" t="n">
        <x:v>3</x:v>
      </x:c>
      <x:c r="AB1002" s="6" t="n">
        <x:v>11</x:v>
      </x:c>
      <x:c r="AC1002" s="6" t="n">
        <x:v>1</x:v>
      </x:c>
    </x:row>
    <x:row r="1003">
      <x:c r="A1003" s="6" t="n">
        <x:v>7962</x:v>
      </x:c>
      <x:c r="B1003" s="6" t="n">
        <x:v>1987</x:v>
      </x:c>
      <x:c r="C1003" s="6" t="str">
        <x:v>PhD</x:v>
      </x:c>
      <x:c r="D1003" s="6" t="str">
        <x:v>Single</x:v>
      </x:c>
      <x:c r="E1003" s="6" t="n">
        <x:v>95169</x:v>
      </x:c>
      <x:c r="F1003" s="6" t="n">
        <x:v>0</x:v>
      </x:c>
      <x:c r="G1003" s="6" t="n">
        <x:v>0</x:v>
      </x:c>
      <x:c r="H1003" s="9" t="str">
        <x:v>09-10-2013</x:v>
      </x:c>
      <x:c r="I1003" s="6" t="n">
        <x:v>1</x:v>
      </x:c>
      <x:c r="J1003" s="6" t="n">
        <x:v>1285</x:v>
      </x:c>
      <x:c r="K1003" s="6" t="n">
        <x:v>21</x:v>
      </x:c>
      <x:c r="L1003" s="6" t="n">
        <x:v>449</x:v>
      </x:c>
      <x:c r="M1003" s="6" t="n">
        <x:v>106</x:v>
      </x:c>
      <x:c r="N1003" s="6" t="n">
        <x:v>20</x:v>
      </x:c>
      <x:c r="O1003" s="6" t="n">
        <x:v>20</x:v>
      </x:c>
      <x:c r="P1003" s="6" t="n">
        <x:v>1</x:v>
      </x:c>
      <x:c r="Q1003" s="6" t="n">
        <x:v>4</x:v>
      </x:c>
      <x:c r="R1003" s="6" t="n">
        <x:v>3</x:v>
      </x:c>
      <x:c r="S1003" s="6" t="n">
        <x:v>4</x:v>
      </x:c>
      <x:c r="T1003" s="6" t="n">
        <x:v>1</x:v>
      </x:c>
      <x:c r="U1003" s="6" t="n">
        <x:v>0</x:v>
      </x:c>
      <x:c r="V1003" s="6" t="n">
        <x:v>0</x:v>
      </x:c>
      <x:c r="W1003" s="6" t="n">
        <x:v>1</x:v>
      </x:c>
      <x:c r="X1003" s="6" t="n">
        <x:v>1</x:v>
      </x:c>
      <x:c r="Y1003" s="6" t="n">
        <x:v>0</x:v>
      </x:c>
      <x:c r="Z1003" s="6" t="n">
        <x:v>0</x:v>
      </x:c>
      <x:c r="AA1003" s="6" t="n">
        <x:v>3</x:v>
      </x:c>
      <x:c r="AB1003" s="6" t="n">
        <x:v>11</x:v>
      </x:c>
      <x:c r="AC1003" s="6" t="n">
        <x:v>1</x:v>
      </x:c>
    </x:row>
    <x:row r="1004">
      <x:c r="A1004" s="6" t="n">
        <x:v>9984</x:v>
      </x:c>
      <x:c r="B1004" s="6" t="n">
        <x:v>1981</x:v>
      </x:c>
      <x:c r="C1004" s="6" t="str">
        <x:v>2n Cycle</x:v>
      </x:c>
      <x:c r="D1004" s="6" t="str">
        <x:v>Married</x:v>
      </x:c>
      <x:c r="E1004" s="6" t="n">
        <x:v>56337</x:v>
      </x:c>
      <x:c r="F1004" s="6" t="n">
        <x:v>1</x:v>
      </x:c>
      <x:c r="G1004" s="6" t="n">
        <x:v>1</x:v>
      </x:c>
      <x:c r="H1004" s="9" t="str">
        <x:v>27-03-2013</x:v>
      </x:c>
      <x:c r="I1004" s="6" t="n">
        <x:v>25</x:v>
      </x:c>
      <x:c r="J1004" s="6" t="n">
        <x:v>349</x:v>
      </x:c>
      <x:c r="K1004" s="6" t="n">
        <x:v>16</x:v>
      </x:c>
      <x:c r="L1004" s="6" t="n">
        <x:v>144</x:v>
      </x:c>
      <x:c r="M1004" s="6" t="n">
        <x:v>28</x:v>
      </x:c>
      <x:c r="N1004" s="6" t="n">
        <x:v>5</x:v>
      </x:c>
      <x:c r="O1004" s="6" t="n">
        <x:v>182</x:v>
      </x:c>
      <x:c r="P1004" s="6" t="n">
        <x:v>5</x:v>
      </x:c>
      <x:c r="Q1004" s="6" t="n">
        <x:v>8</x:v>
      </x:c>
      <x:c r="R1004" s="6" t="n">
        <x:v>5</x:v>
      </x:c>
      <x:c r="S1004" s="6" t="n">
        <x:v>4</x:v>
      </x:c>
      <x:c r="T1004" s="6" t="n">
        <x:v>8</x:v>
      </x:c>
      <x:c r="U1004" s="6" t="n">
        <x:v>1</x:v>
      </x:c>
      <x:c r="V1004" s="6" t="n">
        <x:v>0</x:v>
      </x:c>
      <x:c r="W1004" s="6" t="n">
        <x:v>0</x:v>
      </x:c>
      <x:c r="X1004" s="6" t="n">
        <x:v>1</x:v>
      </x:c>
      <x:c r="Y1004" s="6" t="n">
        <x:v>0</x:v>
      </x:c>
      <x:c r="Z1004" s="6" t="n">
        <x:v>0</x:v>
      </x:c>
      <x:c r="AA1004" s="6" t="n">
        <x:v>3</x:v>
      </x:c>
      <x:c r="AB1004" s="6" t="n">
        <x:v>11</x:v>
      </x:c>
      <x:c r="AC1004" s="6" t="n">
        <x:v>1</x:v>
      </x:c>
    </x:row>
    <x:row r="1005">
      <x:c r="A1005" s="6" t="n">
        <x:v>5527</x:v>
      </x:c>
      <x:c r="B1005" s="6" t="n">
        <x:v>1987</x:v>
      </x:c>
      <x:c r="C1005" s="6" t="str">
        <x:v>Graduation</x:v>
      </x:c>
      <x:c r="D1005" s="6" t="str">
        <x:v>Together</x:v>
      </x:c>
      <x:c r="E1005" s="6" t="n">
        <x:v>22434</x:v>
      </x:c>
      <x:c r="F1005" s="6" t="n">
        <x:v>1</x:v>
      </x:c>
      <x:c r="G1005" s="6" t="n">
        <x:v>0</x:v>
      </x:c>
      <x:c r="H1005" s="9" t="str">
        <x:v>13-02-2013</x:v>
      </x:c>
      <x:c r="I1005" s="6" t="n">
        <x:v>25</x:v>
      </x:c>
      <x:c r="J1005" s="6" t="n">
        <x:v>4</x:v>
      </x:c>
      <x:c r="K1005" s="6" t="n">
        <x:v>12</x:v>
      </x:c>
      <x:c r="L1005" s="6" t="n">
        <x:v>11</x:v>
      </x:c>
      <x:c r="M1005" s="6" t="n">
        <x:v>3</x:v>
      </x:c>
      <x:c r="N1005" s="6" t="n">
        <x:v>13</x:v>
      </x:c>
      <x:c r="O1005" s="6" t="n">
        <x:v>15</x:v>
      </x:c>
      <x:c r="P1005" s="6" t="n">
        <x:v>2</x:v>
      </x:c>
      <x:c r="Q1005" s="6" t="n">
        <x:v>2</x:v>
      </x:c>
      <x:c r="R1005" s="6" t="n">
        <x:v>0</x:v>
      </x:c>
      <x:c r="S1005" s="6" t="n">
        <x:v>3</x:v>
      </x:c>
      <x:c r="T1005" s="6" t="n">
        <x:v>8</x:v>
      </x:c>
      <x:c r="U1005" s="6" t="n">
        <x:v>0</x:v>
      </x:c>
      <x:c r="V1005" s="6" t="n">
        <x:v>0</x:v>
      </x:c>
      <x:c r="W1005" s="6" t="n">
        <x:v>0</x:v>
      </x:c>
      <x:c r="X1005" s="6" t="n">
        <x:v>0</x:v>
      </x:c>
      <x:c r="Y1005" s="6" t="n">
        <x:v>0</x:v>
      </x:c>
      <x:c r="Z1005" s="6" t="n">
        <x:v>0</x:v>
      </x:c>
      <x:c r="AA1005" s="6" t="n">
        <x:v>3</x:v>
      </x:c>
      <x:c r="AB1005" s="6" t="n">
        <x:v>11</x:v>
      </x:c>
      <x:c r="AC1005" s="6" t="n">
        <x:v>0</x:v>
      </x:c>
    </x:row>
    <x:row r="1006">
      <x:c r="A1006" s="6" t="n">
        <x:v>6374</x:v>
      </x:c>
      <x:c r="B1006" s="6" t="n">
        <x:v>1954</x:v>
      </x:c>
      <x:c r="C1006" s="6" t="str">
        <x:v>PhD</x:v>
      </x:c>
      <x:c r="D1006" s="6" t="str">
        <x:v>Married</x:v>
      </x:c>
      <x:c r="E1006" s="6" t="n">
        <x:v>36930</x:v>
      </x:c>
      <x:c r="F1006" s="6" t="n">
        <x:v>0</x:v>
      </x:c>
      <x:c r="G1006" s="6" t="n">
        <x:v>1</x:v>
      </x:c>
      <x:c r="H1006" s="9" t="str">
        <x:v>17-05-2013</x:v>
      </x:c>
      <x:c r="I1006" s="6" t="n">
        <x:v>50</x:v>
      </x:c>
      <x:c r="J1006" s="6" t="n">
        <x:v>223</x:v>
      </x:c>
      <x:c r="K1006" s="6" t="n">
        <x:v>2</x:v>
      </x:c>
      <x:c r="L1006" s="6" t="n">
        <x:v>31</x:v>
      </x:c>
      <x:c r="M1006" s="6" t="n">
        <x:v>0</x:v>
      </x:c>
      <x:c r="N1006" s="6" t="n">
        <x:v>2</x:v>
      </x:c>
      <x:c r="O1006" s="6" t="n">
        <x:v>39</x:v>
      </x:c>
      <x:c r="P1006" s="6" t="n">
        <x:v>5</x:v>
      </x:c>
      <x:c r="Q1006" s="6" t="n">
        <x:v>5</x:v>
      </x:c>
      <x:c r="R1006" s="6" t="n">
        <x:v>2</x:v>
      </x:c>
      <x:c r="S1006" s="6" t="n">
        <x:v>4</x:v>
      </x:c>
      <x:c r="T1006" s="6" t="n">
        <x:v>8</x:v>
      </x:c>
      <x:c r="U1006" s="6" t="n">
        <x:v>0</x:v>
      </x:c>
      <x:c r="V1006" s="6" t="n">
        <x:v>0</x:v>
      </x:c>
      <x:c r="W1006" s="6" t="n">
        <x:v>0</x:v>
      </x:c>
      <x:c r="X1006" s="6" t="n">
        <x:v>0</x:v>
      </x:c>
      <x:c r="Y1006" s="6" t="n">
        <x:v>0</x:v>
      </x:c>
      <x:c r="Z1006" s="6" t="n">
        <x:v>0</x:v>
      </x:c>
      <x:c r="AA1006" s="6" t="n">
        <x:v>3</x:v>
      </x:c>
      <x:c r="AB1006" s="6" t="n">
        <x:v>11</x:v>
      </x:c>
      <x:c r="AC1006" s="6" t="n">
        <x:v>0</x:v>
      </x:c>
    </x:row>
    <x:row r="1007">
      <x:c r="A1007" s="6" t="n">
        <x:v>7453</x:v>
      </x:c>
      <x:c r="B1007" s="6" t="n">
        <x:v>1954</x:v>
      </x:c>
      <x:c r="C1007" s="6" t="str">
        <x:v>Graduation</x:v>
      </x:c>
      <x:c r="D1007" s="6" t="str">
        <x:v>Single</x:v>
      </x:c>
      <x:c r="E1007" s="6" t="n">
        <x:v>36130</x:v>
      </x:c>
      <x:c r="F1007" s="6" t="n">
        <x:v>0</x:v>
      </x:c>
      <x:c r="G1007" s="6" t="n">
        <x:v>1</x:v>
      </x:c>
      <x:c r="H1007" s="9" t="str">
        <x:v>02-02-2013</x:v>
      </x:c>
      <x:c r="I1007" s="6" t="n">
        <x:v>46</x:v>
      </x:c>
      <x:c r="J1007" s="6" t="n">
        <x:v>157</x:v>
      </x:c>
      <x:c r="K1007" s="6" t="n">
        <x:v>43</x:v>
      </x:c>
      <x:c r="L1007" s="6" t="n">
        <x:v>127</x:v>
      </x:c>
      <x:c r="M1007" s="6" t="n">
        <x:v>68</x:v>
      </x:c>
      <x:c r="N1007" s="6" t="n">
        <x:v>56</x:v>
      </x:c>
      <x:c r="O1007" s="6" t="n">
        <x:v>37</x:v>
      </x:c>
      <x:c r="P1007" s="6" t="n">
        <x:v>6</x:v>
      </x:c>
      <x:c r="Q1007" s="6" t="n">
        <x:v>3</x:v>
      </x:c>
      <x:c r="R1007" s="6" t="n">
        <x:v>8</x:v>
      </x:c>
      <x:c r="S1007" s="6" t="n">
        <x:v>4</x:v>
      </x:c>
      <x:c r="T1007" s="6" t="n">
        <x:v>4</x:v>
      </x:c>
      <x:c r="U1007" s="6" t="n">
        <x:v>1</x:v>
      </x:c>
      <x:c r="V1007" s="6" t="n">
        <x:v>0</x:v>
      </x:c>
      <x:c r="W1007" s="6" t="n">
        <x:v>0</x:v>
      </x:c>
      <x:c r="X1007" s="6" t="n">
        <x:v>0</x:v>
      </x:c>
      <x:c r="Y1007" s="6" t="n">
        <x:v>0</x:v>
      </x:c>
      <x:c r="Z1007" s="6" t="n">
        <x:v>0</x:v>
      </x:c>
      <x:c r="AA1007" s="6" t="n">
        <x:v>3</x:v>
      </x:c>
      <x:c r="AB1007" s="6" t="n">
        <x:v>11</x:v>
      </x:c>
      <x:c r="AC1007" s="6" t="n">
        <x:v>1</x:v>
      </x:c>
    </x:row>
    <x:row r="1008">
      <x:c r="A1008" s="6" t="n">
        <x:v>8952</x:v>
      </x:c>
      <x:c r="B1008" s="6" t="n">
        <x:v>1953</x:v>
      </x:c>
      <x:c r="C1008" s="6" t="str">
        <x:v>Master</x:v>
      </x:c>
      <x:c r="D1008" s="6" t="str">
        <x:v>Married</x:v>
      </x:c>
      <x:c r="E1008" s="6" t="n">
        <x:v>65569</x:v>
      </x:c>
      <x:c r="F1008" s="6" t="n">
        <x:v>0</x:v>
      </x:c>
      <x:c r="G1008" s="6" t="n">
        <x:v>1</x:v>
      </x:c>
      <x:c r="H1008" s="9" t="str">
        <x:v>05-11-2012</x:v>
      </x:c>
      <x:c r="I1008" s="6" t="n">
        <x:v>96</x:v>
      </x:c>
      <x:c r="J1008" s="6" t="n">
        <x:v>397</x:v>
      </x:c>
      <x:c r="K1008" s="6" t="n">
        <x:v>46</x:v>
      </x:c>
      <x:c r="L1008" s="6" t="n">
        <x:v>288</x:v>
      </x:c>
      <x:c r="M1008" s="6" t="n">
        <x:v>20</x:v>
      </x:c>
      <x:c r="N1008" s="6" t="n">
        <x:v>38</x:v>
      </x:c>
      <x:c r="O1008" s="6" t="n">
        <x:v>70</x:v>
      </x:c>
      <x:c r="P1008" s="6" t="n">
        <x:v>2</x:v>
      </x:c>
      <x:c r="Q1008" s="6" t="n">
        <x:v>6</x:v>
      </x:c>
      <x:c r="R1008" s="6" t="n">
        <x:v>5</x:v>
      </x:c>
      <x:c r="S1008" s="6" t="n">
        <x:v>10</x:v>
      </x:c>
      <x:c r="T1008" s="6" t="n">
        <x:v>3</x:v>
      </x:c>
      <x:c r="U1008" s="6" t="n">
        <x:v>0</x:v>
      </x:c>
      <x:c r="V1008" s="6" t="n">
        <x:v>0</x:v>
      </x:c>
      <x:c r="W1008" s="6" t="n">
        <x:v>0</x:v>
      </x:c>
      <x:c r="X1008" s="6" t="n">
        <x:v>0</x:v>
      </x:c>
      <x:c r="Y1008" s="6" t="n">
        <x:v>0</x:v>
      </x:c>
      <x:c r="Z1008" s="6" t="n">
        <x:v>0</x:v>
      </x:c>
      <x:c r="AA1008" s="6" t="n">
        <x:v>3</x:v>
      </x:c>
      <x:c r="AB1008" s="6" t="n">
        <x:v>11</x:v>
      </x:c>
      <x:c r="AC1008" s="6" t="n">
        <x:v>0</x:v>
      </x:c>
    </x:row>
    <x:row r="1009">
      <x:c r="A1009" s="6" t="n">
        <x:v>241</x:v>
      </x:c>
      <x:c r="B1009" s="6" t="n">
        <x:v>1952</x:v>
      </x:c>
      <x:c r="C1009" s="6" t="str">
        <x:v>Graduation</x:v>
      </x:c>
      <x:c r="D1009" s="6" t="str">
        <x:v>Together</x:v>
      </x:c>
      <x:c r="E1009" s="6" t="n">
        <x:v>83844</x:v>
      </x:c>
      <x:c r="F1009" s="6" t="n">
        <x:v>0</x:v>
      </x:c>
      <x:c r="G1009" s="6" t="n">
        <x:v>0</x:v>
      </x:c>
      <x:c r="H1009" s="9" t="str">
        <x:v>12-05-2013</x:v>
      </x:c>
      <x:c r="I1009" s="6" t="n">
        <x:v>57</x:v>
      </x:c>
      <x:c r="J1009" s="6" t="n">
        <x:v>901</x:v>
      </x:c>
      <x:c r="K1009" s="6" t="n">
        <x:v>31</x:v>
      </x:c>
      <x:c r="L1009" s="6" t="n">
        <x:v>345</x:v>
      </x:c>
      <x:c r="M1009" s="6" t="n">
        <x:v>75</x:v>
      </x:c>
      <x:c r="N1009" s="6" t="n">
        <x:v>31</x:v>
      </x:c>
      <x:c r="O1009" s="6" t="n">
        <x:v>191</x:v>
      </x:c>
      <x:c r="P1009" s="6" t="n">
        <x:v>1</x:v>
      </x:c>
      <x:c r="Q1009" s="6" t="n">
        <x:v>4</x:v>
      </x:c>
      <x:c r="R1009" s="6" t="n">
        <x:v>4</x:v>
      </x:c>
      <x:c r="S1009" s="6" t="n">
        <x:v>11</x:v>
      </x:c>
      <x:c r="T1009" s="6" t="n">
        <x:v>1</x:v>
      </x:c>
      <x:c r="U1009" s="6" t="n">
        <x:v>0</x:v>
      </x:c>
      <x:c r="V1009" s="6" t="n">
        <x:v>0</x:v>
      </x:c>
      <x:c r="W1009" s="6" t="n">
        <x:v>1</x:v>
      </x:c>
      <x:c r="X1009" s="6" t="n">
        <x:v>0</x:v>
      </x:c>
      <x:c r="Y1009" s="6" t="n">
        <x:v>0</x:v>
      </x:c>
      <x:c r="Z1009" s="6" t="n">
        <x:v>0</x:v>
      </x:c>
      <x:c r="AA1009" s="6" t="n">
        <x:v>3</x:v>
      </x:c>
      <x:c r="AB1009" s="6" t="n">
        <x:v>11</x:v>
      </x:c>
      <x:c r="AC1009" s="6" t="n">
        <x:v>0</x:v>
      </x:c>
    </x:row>
    <x:row r="1010">
      <x:c r="A1010" s="6" t="n">
        <x:v>8975</x:v>
      </x:c>
      <x:c r="B1010" s="6" t="n">
        <x:v>1968</x:v>
      </x:c>
      <x:c r="C1010" s="6" t="str">
        <x:v>Graduation</x:v>
      </x:c>
      <x:c r="D1010" s="6" t="str">
        <x:v>Married</x:v>
      </x:c>
      <x:c r="E1010" s="6" t="n">
        <x:v>19514</x:v>
      </x:c>
      <x:c r="F1010" s="6" t="n">
        <x:v>1</x:v>
      </x:c>
      <x:c r="G1010" s="6" t="n">
        <x:v>1</x:v>
      </x:c>
      <x:c r="H1010" s="9" t="str">
        <x:v>26-01-2014</x:v>
      </x:c>
      <x:c r="I1010" s="6" t="n">
        <x:v>47</x:v>
      </x:c>
      <x:c r="J1010" s="6" t="n">
        <x:v>14</x:v>
      </x:c>
      <x:c r="K1010" s="6" t="n">
        <x:v>3</x:v>
      </x:c>
      <x:c r="L1010" s="6" t="n">
        <x:v>21</x:v>
      </x:c>
      <x:c r="M1010" s="6" t="n">
        <x:v>2</x:v>
      </x:c>
      <x:c r="N1010" s="6" t="n">
        <x:v>1</x:v>
      </x:c>
      <x:c r="O1010" s="6" t="n">
        <x:v>28</x:v>
      </x:c>
      <x:c r="P1010" s="6" t="n">
        <x:v>4</x:v>
      </x:c>
      <x:c r="Q1010" s="6" t="n">
        <x:v>3</x:v>
      </x:c>
      <x:c r="R1010" s="6" t="n">
        <x:v>1</x:v>
      </x:c>
      <x:c r="S1010" s="6" t="n">
        <x:v>2</x:v>
      </x:c>
      <x:c r="T1010" s="6" t="n">
        <x:v>8</x:v>
      </x:c>
      <x:c r="U1010" s="6" t="n">
        <x:v>1</x:v>
      </x:c>
      <x:c r="V1010" s="6" t="n">
        <x:v>0</x:v>
      </x:c>
      <x:c r="W1010" s="6" t="n">
        <x:v>0</x:v>
      </x:c>
      <x:c r="X1010" s="6" t="n">
        <x:v>0</x:v>
      </x:c>
      <x:c r="Y1010" s="6" t="n">
        <x:v>0</x:v>
      </x:c>
      <x:c r="Z1010" s="6" t="n">
        <x:v>0</x:v>
      </x:c>
      <x:c r="AA1010" s="6" t="n">
        <x:v>3</x:v>
      </x:c>
      <x:c r="AB1010" s="6" t="n">
        <x:v>11</x:v>
      </x:c>
      <x:c r="AC1010" s="6" t="n">
        <x:v>0</x:v>
      </x:c>
    </x:row>
    <x:row r="1011">
      <x:c r="A1011" s="6" t="n">
        <x:v>6119</x:v>
      </x:c>
      <x:c r="B1011" s="6" t="n">
        <x:v>1963</x:v>
      </x:c>
      <x:c r="C1011" s="6" t="str">
        <x:v>PhD</x:v>
      </x:c>
      <x:c r="D1011" s="6" t="str">
        <x:v>Single</x:v>
      </x:c>
      <x:c r="E1011" s="6" t="n">
        <x:v>36736</x:v>
      </x:c>
      <x:c r="F1011" s="6" t="n">
        <x:v>1</x:v>
      </x:c>
      <x:c r="G1011" s="6" t="n">
        <x:v>1</x:v>
      </x:c>
      <x:c r="H1011" s="9" t="str">
        <x:v>10-05-2013</x:v>
      </x:c>
      <x:c r="I1011" s="6" t="n">
        <x:v>52</x:v>
      </x:c>
      <x:c r="J1011" s="6" t="n">
        <x:v>10</x:v>
      </x:c>
      <x:c r="K1011" s="6" t="n">
        <x:v>0</x:v>
      </x:c>
      <x:c r="L1011" s="6" t="n">
        <x:v>3</x:v>
      </x:c>
      <x:c r="M1011" s="6" t="n">
        <x:v>0</x:v>
      </x:c>
      <x:c r="N1011" s="6" t="n">
        <x:v>0</x:v>
      </x:c>
      <x:c r="O1011" s="6" t="n">
        <x:v>4</x:v>
      </x:c>
      <x:c r="P1011" s="6" t="n">
        <x:v>1</x:v>
      </x:c>
      <x:c r="Q1011" s="6" t="n">
        <x:v>1</x:v>
      </x:c>
      <x:c r="R1011" s="6" t="n">
        <x:v>0</x:v>
      </x:c>
      <x:c r="S1011" s="6" t="n">
        <x:v>2</x:v>
      </x:c>
      <x:c r="T1011" s="6" t="n">
        <x:v>6</x:v>
      </x:c>
      <x:c r="U1011" s="6" t="n">
        <x:v>0</x:v>
      </x:c>
      <x:c r="V1011" s="6" t="n">
        <x:v>0</x:v>
      </x:c>
      <x:c r="W1011" s="6" t="n">
        <x:v>0</x:v>
      </x:c>
      <x:c r="X1011" s="6" t="n">
        <x:v>0</x:v>
      </x:c>
      <x:c r="Y1011" s="6" t="n">
        <x:v>0</x:v>
      </x:c>
      <x:c r="Z1011" s="6" t="n">
        <x:v>0</x:v>
      </x:c>
      <x:c r="AA1011" s="6" t="n">
        <x:v>3</x:v>
      </x:c>
      <x:c r="AB1011" s="6" t="n">
        <x:v>11</x:v>
      </x:c>
      <x:c r="AC1011" s="6" t="n">
        <x:v>0</x:v>
      </x:c>
    </x:row>
    <x:row r="1012">
      <x:c r="A1012" s="6" t="n">
        <x:v>5236</x:v>
      </x:c>
      <x:c r="B1012" s="6" t="n">
        <x:v>1979</x:v>
      </x:c>
      <x:c r="C1012" s="6" t="str">
        <x:v>Graduation</x:v>
      </x:c>
      <x:c r="D1012" s="6" t="str">
        <x:v>Together</x:v>
      </x:c>
      <x:c r="E1012" s="6" t="n">
        <x:v>77568</x:v>
      </x:c>
      <x:c r="F1012" s="6" t="n">
        <x:v>0</x:v>
      </x:c>
      <x:c r="G1012" s="6" t="n">
        <x:v>1</x:v>
      </x:c>
      <x:c r="H1012" s="9" t="str">
        <x:v>25-08-2012</x:v>
      </x:c>
      <x:c r="I1012" s="6" t="n">
        <x:v>30</x:v>
      </x:c>
      <x:c r="J1012" s="6" t="n">
        <x:v>1230</x:v>
      </x:c>
      <x:c r="K1012" s="6" t="n">
        <x:v>0</x:v>
      </x:c>
      <x:c r="L1012" s="6" t="n">
        <x:v>396</x:v>
      </x:c>
      <x:c r="M1012" s="6" t="n">
        <x:v>232</x:v>
      </x:c>
      <x:c r="N1012" s="6" t="n">
        <x:v>178</x:v>
      </x:c>
      <x:c r="O1012" s="6" t="n">
        <x:v>158</x:v>
      </x:c>
      <x:c r="P1012" s="6" t="n">
        <x:v>1</x:v>
      </x:c>
      <x:c r="Q1012" s="6" t="n">
        <x:v>10</x:v>
      </x:c>
      <x:c r="R1012" s="6" t="n">
        <x:v>2</x:v>
      </x:c>
      <x:c r="S1012" s="6" t="n">
        <x:v>8</x:v>
      </x:c>
      <x:c r="T1012" s="6" t="n">
        <x:v>5</x:v>
      </x:c>
      <x:c r="U1012" s="6" t="n">
        <x:v>0</x:v>
      </x:c>
      <x:c r="V1012" s="6" t="n">
        <x:v>1</x:v>
      </x:c>
      <x:c r="W1012" s="6" t="n">
        <x:v>1</x:v>
      </x:c>
      <x:c r="X1012" s="6" t="n">
        <x:v>1</x:v>
      </x:c>
      <x:c r="Y1012" s="6" t="n">
        <x:v>0</x:v>
      </x:c>
      <x:c r="Z1012" s="6" t="n">
        <x:v>0</x:v>
      </x:c>
      <x:c r="AA1012" s="6" t="n">
        <x:v>3</x:v>
      </x:c>
      <x:c r="AB1012" s="6" t="n">
        <x:v>11</x:v>
      </x:c>
      <x:c r="AC1012" s="6" t="n">
        <x:v>0</x:v>
      </x:c>
    </x:row>
    <x:row r="1013">
      <x:c r="A1013" s="6" t="n">
        <x:v>5723</x:v>
      </x:c>
      <x:c r="B1013" s="6" t="n">
        <x:v>1976</x:v>
      </x:c>
      <x:c r="C1013" s="6" t="str">
        <x:v>PhD</x:v>
      </x:c>
      <x:c r="D1013" s="6" t="str">
        <x:v>Together</x:v>
      </x:c>
      <x:c r="E1013" s="6" t="n">
        <x:v>49187</x:v>
      </x:c>
      <x:c r="F1013" s="6" t="n">
        <x:v>0</x:v>
      </x:c>
      <x:c r="G1013" s="6" t="n">
        <x:v>1</x:v>
      </x:c>
      <x:c r="H1013" s="9" t="str">
        <x:v>11-01-2014</x:v>
      </x:c>
      <x:c r="I1013" s="6" t="n">
        <x:v>63</x:v>
      </x:c>
      <x:c r="J1013" s="6" t="n">
        <x:v>81</x:v>
      </x:c>
      <x:c r="K1013" s="6" t="n">
        <x:v>1</x:v>
      </x:c>
      <x:c r="L1013" s="6" t="n">
        <x:v>31</x:v>
      </x:c>
      <x:c r="M1013" s="6" t="n">
        <x:v>2</x:v>
      </x:c>
      <x:c r="N1013" s="6" t="n">
        <x:v>1</x:v>
      </x:c>
      <x:c r="O1013" s="6" t="n">
        <x:v>0</x:v>
      </x:c>
      <x:c r="P1013" s="6" t="n">
        <x:v>1</x:v>
      </x:c>
      <x:c r="Q1013" s="6" t="n">
        <x:v>1</x:v>
      </x:c>
      <x:c r="R1013" s="6" t="n">
        <x:v>1</x:v>
      </x:c>
      <x:c r="S1013" s="6" t="n">
        <x:v>5</x:v>
      </x:c>
      <x:c r="T1013" s="6" t="n">
        <x:v>2</x:v>
      </x:c>
      <x:c r="U1013" s="6" t="n">
        <x:v>0</x:v>
      </x:c>
      <x:c r="V1013" s="6" t="n">
        <x:v>0</x:v>
      </x:c>
      <x:c r="W1013" s="6" t="n">
        <x:v>0</x:v>
      </x:c>
      <x:c r="X1013" s="6" t="n">
        <x:v>0</x:v>
      </x:c>
      <x:c r="Y1013" s="6" t="n">
        <x:v>0</x:v>
      </x:c>
      <x:c r="Z1013" s="6" t="n">
        <x:v>0</x:v>
      </x:c>
      <x:c r="AA1013" s="6" t="n">
        <x:v>3</x:v>
      </x:c>
      <x:c r="AB1013" s="6" t="n">
        <x:v>11</x:v>
      </x:c>
      <x:c r="AC1013" s="6" t="n">
        <x:v>0</x:v>
      </x:c>
    </x:row>
    <x:row r="1014">
      <x:c r="A1014" s="6" t="n">
        <x:v>1710</x:v>
      </x:c>
      <x:c r="B1014" s="6" t="n">
        <x:v>1978</x:v>
      </x:c>
      <x:c r="C1014" s="6" t="str">
        <x:v>Graduation</x:v>
      </x:c>
      <x:c r="D1014" s="6" t="str">
        <x:v>Single</x:v>
      </x:c>
      <x:c r="E1014" s="6" t="n">
        <x:v>30168</x:v>
      </x:c>
      <x:c r="F1014" s="6" t="n">
        <x:v>1</x:v>
      </x:c>
      <x:c r="G1014" s="6" t="n">
        <x:v>0</x:v>
      </x:c>
      <x:c r="H1014" s="9" t="str">
        <x:v>07-03-2013</x:v>
      </x:c>
      <x:c r="I1014" s="6" t="n">
        <x:v>51</x:v>
      </x:c>
      <x:c r="J1014" s="6" t="n">
        <x:v>154</x:v>
      </x:c>
      <x:c r="K1014" s="6" t="n">
        <x:v>20</x:v>
      </x:c>
      <x:c r="L1014" s="6" t="n">
        <x:v>66</x:v>
      </x:c>
      <x:c r="M1014" s="6" t="n">
        <x:v>0</x:v>
      </x:c>
      <x:c r="N1014" s="6" t="n">
        <x:v>12</x:v>
      </x:c>
      <x:c r="O1014" s="6" t="n">
        <x:v>27</x:v>
      </x:c>
      <x:c r="P1014" s="6" t="n">
        <x:v>7</x:v>
      </x:c>
      <x:c r="Q1014" s="6" t="n">
        <x:v>6</x:v>
      </x:c>
      <x:c r="R1014" s="6" t="n">
        <x:v>1</x:v>
      </x:c>
      <x:c r="S1014" s="6" t="n">
        <x:v>4</x:v>
      </x:c>
      <x:c r="T1014" s="6" t="n">
        <x:v>9</x:v>
      </x:c>
      <x:c r="U1014" s="6" t="n">
        <x:v>0</x:v>
      </x:c>
      <x:c r="V1014" s="6" t="n">
        <x:v>0</x:v>
      </x:c>
      <x:c r="W1014" s="6" t="n">
        <x:v>0</x:v>
      </x:c>
      <x:c r="X1014" s="6" t="n">
        <x:v>0</x:v>
      </x:c>
      <x:c r="Y1014" s="6" t="n">
        <x:v>0</x:v>
      </x:c>
      <x:c r="Z1014" s="6" t="n">
        <x:v>0</x:v>
      </x:c>
      <x:c r="AA1014" s="6" t="n">
        <x:v>3</x:v>
      </x:c>
      <x:c r="AB1014" s="6" t="n">
        <x:v>11</x:v>
      </x:c>
      <x:c r="AC1014" s="6" t="n">
        <x:v>0</x:v>
      </x:c>
    </x:row>
    <x:row r="1015">
      <x:c r="A1015" s="6" t="n">
        <x:v>1970</x:v>
      </x:c>
      <x:c r="B1015" s="6" t="n">
        <x:v>1968</x:v>
      </x:c>
      <x:c r="C1015" s="6" t="str">
        <x:v>Master</x:v>
      </x:c>
      <x:c r="D1015" s="6" t="str">
        <x:v>Together</x:v>
      </x:c>
      <x:c r="E1015" s="6" t="n">
        <x:v>34053</x:v>
      </x:c>
      <x:c r="F1015" s="6" t="n">
        <x:v>0</x:v>
      </x:c>
      <x:c r="G1015" s="6" t="n">
        <x:v>1</x:v>
      </x:c>
      <x:c r="H1015" s="9" t="str">
        <x:v>10-09-2012</x:v>
      </x:c>
      <x:c r="I1015" s="6" t="n">
        <x:v>14</x:v>
      </x:c>
      <x:c r="J1015" s="6" t="n">
        <x:v>63</x:v>
      </x:c>
      <x:c r="K1015" s="6" t="n">
        <x:v>0</x:v>
      </x:c>
      <x:c r="L1015" s="6" t="n">
        <x:v>21</x:v>
      </x:c>
      <x:c r="M1015" s="6" t="n">
        <x:v>7</x:v>
      </x:c>
      <x:c r="N1015" s="6" t="n">
        <x:v>0</x:v>
      </x:c>
      <x:c r="O1015" s="6" t="n">
        <x:v>12</x:v>
      </x:c>
      <x:c r="P1015" s="6" t="n">
        <x:v>1</x:v>
      </x:c>
      <x:c r="Q1015" s="6" t="n">
        <x:v>3</x:v>
      </x:c>
      <x:c r="R1015" s="6" t="n">
        <x:v>0</x:v>
      </x:c>
      <x:c r="S1015" s="6" t="n">
        <x:v>3</x:v>
      </x:c>
      <x:c r="T1015" s="6" t="n">
        <x:v>8</x:v>
      </x:c>
      <x:c r="U1015" s="6" t="n">
        <x:v>0</x:v>
      </x:c>
      <x:c r="V1015" s="6" t="n">
        <x:v>0</x:v>
      </x:c>
      <x:c r="W1015" s="6" t="n">
        <x:v>0</x:v>
      </x:c>
      <x:c r="X1015" s="6" t="n">
        <x:v>0</x:v>
      </x:c>
      <x:c r="Y1015" s="6" t="n">
        <x:v>0</x:v>
      </x:c>
      <x:c r="Z1015" s="6" t="n">
        <x:v>0</x:v>
      </x:c>
      <x:c r="AA1015" s="6" t="n">
        <x:v>3</x:v>
      </x:c>
      <x:c r="AB1015" s="6" t="n">
        <x:v>11</x:v>
      </x:c>
      <x:c r="AC1015" s="6" t="n">
        <x:v>0</x:v>
      </x:c>
    </x:row>
    <x:row r="1016">
      <x:c r="A1016" s="6" t="n">
        <x:v>5313</x:v>
      </x:c>
      <x:c r="B1016" s="6" t="n">
        <x:v>1971</x:v>
      </x:c>
      <x:c r="C1016" s="6" t="str">
        <x:v>Master</x:v>
      </x:c>
      <x:c r="D1016" s="6" t="str">
        <x:v>Married</x:v>
      </x:c>
      <x:c r="E1016" s="6" t="n">
        <x:v>38196</x:v>
      </x:c>
      <x:c r="F1016" s="6" t="n">
        <x:v>1</x:v>
      </x:c>
      <x:c r="G1016" s="6" t="n">
        <x:v>1</x:v>
      </x:c>
      <x:c r="H1016" s="9" t="str">
        <x:v>18-04-2014</x:v>
      </x:c>
      <x:c r="I1016" s="6" t="n">
        <x:v>20</x:v>
      </x:c>
      <x:c r="J1016" s="6" t="n">
        <x:v>30</x:v>
      </x:c>
      <x:c r="K1016" s="6" t="n">
        <x:v>0</x:v>
      </x:c>
      <x:c r="L1016" s="6" t="n">
        <x:v>11</x:v>
      </x:c>
      <x:c r="M1016" s="6" t="n">
        <x:v>0</x:v>
      </x:c>
      <x:c r="N1016" s="6" t="n">
        <x:v>0</x:v>
      </x:c>
      <x:c r="O1016" s="6" t="n">
        <x:v>3</x:v>
      </x:c>
      <x:c r="P1016" s="6" t="n">
        <x:v>3</x:v>
      </x:c>
      <x:c r="Q1016" s="6" t="n">
        <x:v>2</x:v>
      </x:c>
      <x:c r="R1016" s="6" t="n">
        <x:v>0</x:v>
      </x:c>
      <x:c r="S1016" s="6" t="n">
        <x:v>4</x:v>
      </x:c>
      <x:c r="T1016" s="6" t="n">
        <x:v>5</x:v>
      </x:c>
      <x:c r="U1016" s="6" t="n">
        <x:v>0</x:v>
      </x:c>
      <x:c r="V1016" s="6" t="n">
        <x:v>0</x:v>
      </x:c>
      <x:c r="W1016" s="6" t="n">
        <x:v>0</x:v>
      </x:c>
      <x:c r="X1016" s="6" t="n">
        <x:v>0</x:v>
      </x:c>
      <x:c r="Y1016" s="6" t="n">
        <x:v>0</x:v>
      </x:c>
      <x:c r="Z1016" s="6" t="n">
        <x:v>0</x:v>
      </x:c>
      <x:c r="AA1016" s="6" t="n">
        <x:v>3</x:v>
      </x:c>
      <x:c r="AB1016" s="6" t="n">
        <x:v>11</x:v>
      </x:c>
      <x:c r="AC1016" s="6" t="n">
        <x:v>0</x:v>
      </x:c>
    </x:row>
    <x:row r="1017">
      <x:c r="A1017" s="6" t="n">
        <x:v>10634</x:v>
      </x:c>
      <x:c r="B1017" s="6" t="n">
        <x:v>1951</x:v>
      </x:c>
      <x:c r="C1017" s="6" t="str">
        <x:v>Master</x:v>
      </x:c>
      <x:c r="D1017" s="6" t="str">
        <x:v>Married</x:v>
      </x:c>
      <x:c r="E1017" s="6" t="n">
        <x:v>59412</x:v>
      </x:c>
      <x:c r="F1017" s="6" t="n">
        <x:v>0</x:v>
      </x:c>
      <x:c r="G1017" s="6" t="n">
        <x:v>0</x:v>
      </x:c>
      <x:c r="H1017" s="9" t="str">
        <x:v>19-04-2014</x:v>
      </x:c>
      <x:c r="I1017" s="6" t="n">
        <x:v>56</x:v>
      </x:c>
      <x:c r="J1017" s="6" t="n">
        <x:v>90</x:v>
      </x:c>
      <x:c r="K1017" s="6" t="n">
        <x:v>67</x:v>
      </x:c>
      <x:c r="L1017" s="6" t="n">
        <x:v>165</x:v>
      </x:c>
      <x:c r="M1017" s="6" t="n">
        <x:v>30</x:v>
      </x:c>
      <x:c r="N1017" s="6" t="n">
        <x:v>43</x:v>
      </x:c>
      <x:c r="O1017" s="6" t="n">
        <x:v>11</x:v>
      </x:c>
      <x:c r="P1017" s="6" t="n">
        <x:v>1</x:v>
      </x:c>
      <x:c r="Q1017" s="6" t="n">
        <x:v>4</x:v>
      </x:c>
      <x:c r="R1017" s="6" t="n">
        <x:v>2</x:v>
      </x:c>
      <x:c r="S1017" s="6" t="n">
        <x:v>8</x:v>
      </x:c>
      <x:c r="T1017" s="6" t="n">
        <x:v>3</x:v>
      </x:c>
      <x:c r="U1017" s="6" t="n">
        <x:v>0</x:v>
      </x:c>
      <x:c r="V1017" s="6" t="n">
        <x:v>0</x:v>
      </x:c>
      <x:c r="W1017" s="6" t="n">
        <x:v>0</x:v>
      </x:c>
      <x:c r="X1017" s="6" t="n">
        <x:v>0</x:v>
      </x:c>
      <x:c r="Y1017" s="6" t="n">
        <x:v>0</x:v>
      </x:c>
      <x:c r="Z1017" s="6" t="n">
        <x:v>0</x:v>
      </x:c>
      <x:c r="AA1017" s="6" t="n">
        <x:v>3</x:v>
      </x:c>
      <x:c r="AB1017" s="6" t="n">
        <x:v>11</x:v>
      </x:c>
      <x:c r="AC1017" s="6" t="n">
        <x:v>0</x:v>
      </x:c>
    </x:row>
    <x:row r="1018">
      <x:c r="A1018" s="6" t="n">
        <x:v>7010</x:v>
      </x:c>
      <x:c r="B1018" s="6" t="n">
        <x:v>1965</x:v>
      </x:c>
      <x:c r="C1018" s="6" t="str">
        <x:v>2n Cycle</x:v>
      </x:c>
      <x:c r="D1018" s="6" t="str">
        <x:v>Married</x:v>
      </x:c>
      <x:c r="E1018" s="6" t="n">
        <x:v>70924</x:v>
      </x:c>
      <x:c r="F1018" s="6" t="n">
        <x:v>0</x:v>
      </x:c>
      <x:c r="G1018" s="6" t="n">
        <x:v>0</x:v>
      </x:c>
      <x:c r="H1018" s="9" t="str">
        <x:v>07-04-2014</x:v>
      </x:c>
      <x:c r="I1018" s="6" t="n">
        <x:v>41</x:v>
      </x:c>
      <x:c r="J1018" s="6" t="n">
        <x:v>635</x:v>
      </x:c>
      <x:c r="K1018" s="6" t="n">
        <x:v>114</x:v>
      </x:c>
      <x:c r="L1018" s="6" t="n">
        <x:v>254</x:v>
      </x:c>
      <x:c r="M1018" s="6" t="n">
        <x:v>132</x:v>
      </x:c>
      <x:c r="N1018" s="6" t="n">
        <x:v>152</x:v>
      </x:c>
      <x:c r="O1018" s="6" t="n">
        <x:v>76</x:v>
      </x:c>
      <x:c r="P1018" s="6" t="n">
        <x:v>1</x:v>
      </x:c>
      <x:c r="Q1018" s="6" t="n">
        <x:v>6</x:v>
      </x:c>
      <x:c r="R1018" s="6" t="n">
        <x:v>6</x:v>
      </x:c>
      <x:c r="S1018" s="6" t="n">
        <x:v>7</x:v>
      </x:c>
      <x:c r="T1018" s="6" t="n">
        <x:v>3</x:v>
      </x:c>
      <x:c r="U1018" s="6" t="n">
        <x:v>0</x:v>
      </x:c>
      <x:c r="V1018" s="6" t="n">
        <x:v>0</x:v>
      </x:c>
      <x:c r="W1018" s="6" t="n">
        <x:v>1</x:v>
      </x:c>
      <x:c r="X1018" s="6" t="n">
        <x:v>0</x:v>
      </x:c>
      <x:c r="Y1018" s="6" t="n">
        <x:v>0</x:v>
      </x:c>
      <x:c r="Z1018" s="6" t="n">
        <x:v>0</x:v>
      </x:c>
      <x:c r="AA1018" s="6" t="n">
        <x:v>3</x:v>
      </x:c>
      <x:c r="AB1018" s="6" t="n">
        <x:v>11</x:v>
      </x:c>
      <x:c r="AC1018" s="6" t="n">
        <x:v>0</x:v>
      </x:c>
    </x:row>
    <x:row r="1019">
      <x:c r="A1019" s="6" t="n">
        <x:v>8562</x:v>
      </x:c>
      <x:c r="B1019" s="6" t="n">
        <x:v>1969</x:v>
      </x:c>
      <x:c r="C1019" s="6" t="str">
        <x:v>Graduation</x:v>
      </x:c>
      <x:c r="D1019" s="6" t="str">
        <x:v>Together</x:v>
      </x:c>
      <x:c r="E1019" s="6" t="n">
        <x:v>54165</x:v>
      </x:c>
      <x:c r="F1019" s="6" t="n">
        <x:v>0</x:v>
      </x:c>
      <x:c r="G1019" s="6" t="n">
        <x:v>0</x:v>
      </x:c>
      <x:c r="H1019" s="9" t="str">
        <x:v>28-05-2013</x:v>
      </x:c>
      <x:c r="I1019" s="6" t="n">
        <x:v>72</x:v>
      </x:c>
      <x:c r="J1019" s="6" t="n">
        <x:v>127</x:v>
      </x:c>
      <x:c r="K1019" s="6" t="n">
        <x:v>4</x:v>
      </x:c>
      <x:c r="L1019" s="6" t="n">
        <x:v>73</x:v>
      </x:c>
      <x:c r="M1019" s="6" t="n">
        <x:v>15</x:v>
      </x:c>
      <x:c r="N1019" s="6" t="n">
        <x:v>6</x:v>
      </x:c>
      <x:c r="O1019" s="6" t="n">
        <x:v>11</x:v>
      </x:c>
      <x:c r="P1019" s="6" t="n">
        <x:v>1</x:v>
      </x:c>
      <x:c r="Q1019" s="6" t="n">
        <x:v>2</x:v>
      </x:c>
      <x:c r="R1019" s="6" t="n">
        <x:v>1</x:v>
      </x:c>
      <x:c r="S1019" s="6" t="n">
        <x:v>7</x:v>
      </x:c>
      <x:c r="T1019" s="6" t="n">
        <x:v>2</x:v>
      </x:c>
      <x:c r="U1019" s="6" t="n">
        <x:v>0</x:v>
      </x:c>
      <x:c r="V1019" s="6" t="n">
        <x:v>0</x:v>
      </x:c>
      <x:c r="W1019" s="6" t="n">
        <x:v>0</x:v>
      </x:c>
      <x:c r="X1019" s="6" t="n">
        <x:v>0</x:v>
      </x:c>
      <x:c r="Y1019" s="6" t="n">
        <x:v>0</x:v>
      </x:c>
      <x:c r="Z1019" s="6" t="n">
        <x:v>0</x:v>
      </x:c>
      <x:c r="AA1019" s="6" t="n">
        <x:v>3</x:v>
      </x:c>
      <x:c r="AB1019" s="6" t="n">
        <x:v>11</x:v>
      </x:c>
      <x:c r="AC1019" s="6" t="n">
        <x:v>0</x:v>
      </x:c>
    </x:row>
    <x:row r="1020">
      <x:c r="A1020" s="6" t="n">
        <x:v>3158</x:v>
      </x:c>
      <x:c r="B1020" s="6" t="n">
        <x:v>1973</x:v>
      </x:c>
      <x:c r="C1020" s="6" t="str">
        <x:v>Graduation</x:v>
      </x:c>
      <x:c r="D1020" s="6" t="str">
        <x:v>Married</x:v>
      </x:c>
      <x:c r="E1020" s="6" t="n">
        <x:v>32300</x:v>
      </x:c>
      <x:c r="F1020" s="6" t="n">
        <x:v>1</x:v>
      </x:c>
      <x:c r="G1020" s="6" t="n">
        <x:v>0</x:v>
      </x:c>
      <x:c r="H1020" s="9" t="str">
        <x:v>03-01-2013</x:v>
      </x:c>
      <x:c r="I1020" s="6" t="n">
        <x:v>1</x:v>
      </x:c>
      <x:c r="J1020" s="6" t="n">
        <x:v>13</x:v>
      </x:c>
      <x:c r="K1020" s="6" t="n">
        <x:v>3</x:v>
      </x:c>
      <x:c r="L1020" s="6" t="n">
        <x:v>6</x:v>
      </x:c>
      <x:c r="M1020" s="6" t="n">
        <x:v>6</x:v>
      </x:c>
      <x:c r="N1020" s="6" t="n">
        <x:v>5</x:v>
      </x:c>
      <x:c r="O1020" s="6" t="n">
        <x:v>6</x:v>
      </x:c>
      <x:c r="P1020" s="6" t="n">
        <x:v>1</x:v>
      </x:c>
      <x:c r="Q1020" s="6" t="n">
        <x:v>1</x:v>
      </x:c>
      <x:c r="R1020" s="6" t="n">
        <x:v>0</x:v>
      </x:c>
      <x:c r="S1020" s="6" t="n">
        <x:v>3</x:v>
      </x:c>
      <x:c r="T1020" s="6" t="n">
        <x:v>8</x:v>
      </x:c>
      <x:c r="U1020" s="6" t="n">
        <x:v>0</x:v>
      </x:c>
      <x:c r="V1020" s="6" t="n">
        <x:v>0</x:v>
      </x:c>
      <x:c r="W1020" s="6" t="n">
        <x:v>0</x:v>
      </x:c>
      <x:c r="X1020" s="6" t="n">
        <x:v>0</x:v>
      </x:c>
      <x:c r="Y1020" s="6" t="n">
        <x:v>0</x:v>
      </x:c>
      <x:c r="Z1020" s="6" t="n">
        <x:v>0</x:v>
      </x:c>
      <x:c r="AA1020" s="6" t="n">
        <x:v>3</x:v>
      </x:c>
      <x:c r="AB1020" s="6" t="n">
        <x:v>11</x:v>
      </x:c>
      <x:c r="AC1020" s="6" t="n">
        <x:v>0</x:v>
      </x:c>
    </x:row>
    <x:row r="1021">
      <x:c r="A1021" s="6" t="n">
        <x:v>4436</x:v>
      </x:c>
      <x:c r="B1021" s="6" t="n">
        <x:v>1976</x:v>
      </x:c>
      <x:c r="C1021" s="6" t="str">
        <x:v>Graduation</x:v>
      </x:c>
      <x:c r="D1021" s="6" t="str">
        <x:v>Single</x:v>
      </x:c>
      <x:c r="E1021" s="6" t="n">
        <x:v>20180</x:v>
      </x:c>
      <x:c r="F1021" s="6" t="n">
        <x:v>0</x:v>
      </x:c>
      <x:c r="G1021" s="6" t="n">
        <x:v>0</x:v>
      </x:c>
      <x:c r="H1021" s="9" t="str">
        <x:v>20-02-2013</x:v>
      </x:c>
      <x:c r="I1021" s="6" t="n">
        <x:v>27</x:v>
      </x:c>
      <x:c r="J1021" s="6" t="n">
        <x:v>18</x:v>
      </x:c>
      <x:c r="K1021" s="6" t="n">
        <x:v>42</x:v>
      </x:c>
      <x:c r="L1021" s="6" t="n">
        <x:v>24</x:v>
      </x:c>
      <x:c r="M1021" s="6" t="n">
        <x:v>15</x:v>
      </x:c>
      <x:c r="N1021" s="6" t="n">
        <x:v>20</x:v>
      </x:c>
      <x:c r="O1021" s="6" t="n">
        <x:v>18</x:v>
      </x:c>
      <x:c r="P1021" s="6" t="n">
        <x:v>1</x:v>
      </x:c>
      <x:c r="Q1021" s="6" t="n">
        <x:v>2</x:v>
      </x:c>
      <x:c r="R1021" s="6" t="n">
        <x:v>1</x:v>
      </x:c>
      <x:c r="S1021" s="6" t="n">
        <x:v>4</x:v>
      </x:c>
      <x:c r="T1021" s="6" t="n">
        <x:v>7</x:v>
      </x:c>
      <x:c r="U1021" s="6" t="n">
        <x:v>0</x:v>
      </x:c>
      <x:c r="V1021" s="6" t="n">
        <x:v>0</x:v>
      </x:c>
      <x:c r="W1021" s="6" t="n">
        <x:v>0</x:v>
      </x:c>
      <x:c r="X1021" s="6" t="n">
        <x:v>0</x:v>
      </x:c>
      <x:c r="Y1021" s="6" t="n">
        <x:v>0</x:v>
      </x:c>
      <x:c r="Z1021" s="6" t="n">
        <x:v>0</x:v>
      </x:c>
      <x:c r="AA1021" s="6" t="n">
        <x:v>3</x:v>
      </x:c>
      <x:c r="AB1021" s="6" t="n">
        <x:v>11</x:v>
      </x:c>
      <x:c r="AC1021" s="6" t="n">
        <x:v>0</x:v>
      </x:c>
    </x:row>
    <x:row r="1022">
      <x:c r="A1022" s="6" t="n">
        <x:v>5287</x:v>
      </x:c>
      <x:c r="B1022" s="6" t="n">
        <x:v>1973</x:v>
      </x:c>
      <x:c r="C1022" s="6" t="str">
        <x:v>Graduation</x:v>
      </x:c>
      <x:c r="D1022" s="6" t="str">
        <x:v>Married</x:v>
      </x:c>
      <x:c r="E1022" s="6" t="n">
        <x:v>34961</x:v>
      </x:c>
      <x:c r="F1022" s="6" t="n">
        <x:v>1</x:v>
      </x:c>
      <x:c r="G1022" s="6" t="n">
        <x:v>0</x:v>
      </x:c>
      <x:c r="H1022" s="9" t="str">
        <x:v>19-06-2014</x:v>
      </x:c>
      <x:c r="I1022" s="6" t="n">
        <x:v>77</x:v>
      </x:c>
      <x:c r="J1022" s="6" t="n">
        <x:v>45</x:v>
      </x:c>
      <x:c r="K1022" s="6" t="n">
        <x:v>2</x:v>
      </x:c>
      <x:c r="L1022" s="6" t="n">
        <x:v>26</x:v>
      </x:c>
      <x:c r="M1022" s="6" t="n">
        <x:v>4</x:v>
      </x:c>
      <x:c r="N1022" s="6" t="n">
        <x:v>1</x:v>
      </x:c>
      <x:c r="O1022" s="6" t="n">
        <x:v>1</x:v>
      </x:c>
      <x:c r="P1022" s="6" t="n">
        <x:v>3</x:v>
      </x:c>
      <x:c r="Q1022" s="6" t="n">
        <x:v>3</x:v>
      </x:c>
      <x:c r="R1022" s="6" t="n">
        <x:v>1</x:v>
      </x:c>
      <x:c r="S1022" s="6" t="n">
        <x:v>3</x:v>
      </x:c>
      <x:c r="T1022" s="6" t="n">
        <x:v>7</x:v>
      </x:c>
      <x:c r="U1022" s="6" t="n">
        <x:v>0</x:v>
      </x:c>
      <x:c r="V1022" s="6" t="n">
        <x:v>0</x:v>
      </x:c>
      <x:c r="W1022" s="6" t="n">
        <x:v>0</x:v>
      </x:c>
      <x:c r="X1022" s="6" t="n">
        <x:v>0</x:v>
      </x:c>
      <x:c r="Y1022" s="6" t="n">
        <x:v>0</x:v>
      </x:c>
      <x:c r="Z1022" s="6" t="n">
        <x:v>0</x:v>
      </x:c>
      <x:c r="AA1022" s="6" t="n">
        <x:v>3</x:v>
      </x:c>
      <x:c r="AB1022" s="6" t="n">
        <x:v>11</x:v>
      </x:c>
      <x:c r="AC1022" s="6" t="n">
        <x:v>0</x:v>
      </x:c>
    </x:row>
    <x:row r="1023">
      <x:c r="A1023" s="6" t="n">
        <x:v>2445</x:v>
      </x:c>
      <x:c r="B1023" s="6" t="n">
        <x:v>1974</x:v>
      </x:c>
      <x:c r="C1023" s="6" t="str">
        <x:v>PhD</x:v>
      </x:c>
      <x:c r="D1023" s="6" t="str">
        <x:v>Together</x:v>
      </x:c>
      <x:c r="E1023" s="6" t="n">
        <x:v>28440</x:v>
      </x:c>
      <x:c r="F1023" s="6" t="n">
        <x:v>1</x:v>
      </x:c>
      <x:c r="G1023" s="6" t="n">
        <x:v>0</x:v>
      </x:c>
      <x:c r="H1023" s="9" t="str">
        <x:v>07-07-2013</x:v>
      </x:c>
      <x:c r="I1023" s="6" t="n">
        <x:v>87</x:v>
      </x:c>
      <x:c r="J1023" s="6" t="n">
        <x:v>38</x:v>
      </x:c>
      <x:c r="K1023" s="6" t="n">
        <x:v>1</x:v>
      </x:c>
      <x:c r="L1023" s="6" t="n">
        <x:v>24</x:v>
      </x:c>
      <x:c r="M1023" s="6" t="n">
        <x:v>0</x:v>
      </x:c>
      <x:c r="N1023" s="6" t="n">
        <x:v>0</x:v>
      </x:c>
      <x:c r="O1023" s="6" t="n">
        <x:v>0</x:v>
      </x:c>
      <x:c r="P1023" s="6" t="n">
        <x:v>1</x:v>
      </x:c>
      <x:c r="Q1023" s="6" t="n">
        <x:v>2</x:v>
      </x:c>
      <x:c r="R1023" s="6" t="n">
        <x:v>0</x:v>
      </x:c>
      <x:c r="S1023" s="6" t="n">
        <x:v>3</x:v>
      </x:c>
      <x:c r="T1023" s="6" t="n">
        <x:v>8</x:v>
      </x:c>
      <x:c r="U1023" s="6" t="n">
        <x:v>0</x:v>
      </x:c>
      <x:c r="V1023" s="6" t="n">
        <x:v>0</x:v>
      </x:c>
      <x:c r="W1023" s="6" t="n">
        <x:v>0</x:v>
      </x:c>
      <x:c r="X1023" s="6" t="n">
        <x:v>0</x:v>
      </x:c>
      <x:c r="Y1023" s="6" t="n">
        <x:v>0</x:v>
      </x:c>
      <x:c r="Z1023" s="6" t="n">
        <x:v>0</x:v>
      </x:c>
      <x:c r="AA1023" s="6" t="n">
        <x:v>3</x:v>
      </x:c>
      <x:c r="AB1023" s="6" t="n">
        <x:v>11</x:v>
      </x:c>
      <x:c r="AC1023" s="6" t="n">
        <x:v>0</x:v>
      </x:c>
    </x:row>
    <x:row r="1024">
      <x:c r="A1024" s="6" t="n">
        <x:v>6059</x:v>
      </x:c>
      <x:c r="B1024" s="6" t="n">
        <x:v>1953</x:v>
      </x:c>
      <x:c r="C1024" s="6" t="str">
        <x:v>PhD</x:v>
      </x:c>
      <x:c r="D1024" s="6" t="str">
        <x:v>Together</x:v>
      </x:c>
      <x:c r="E1024" s="6" t="n">
        <x:v>64504</x:v>
      </x:c>
      <x:c r="F1024" s="6" t="n">
        <x:v>1</x:v>
      </x:c>
      <x:c r="G1024" s="6" t="n">
        <x:v>2</x:v>
      </x:c>
      <x:c r="H1024" s="9" t="str">
        <x:v>04-03-2013</x:v>
      </x:c>
      <x:c r="I1024" s="6" t="n">
        <x:v>81</x:v>
      </x:c>
      <x:c r="J1024" s="6" t="n">
        <x:v>986</x:v>
      </x:c>
      <x:c r="K1024" s="6" t="n">
        <x:v>36</x:v>
      </x:c>
      <x:c r="L1024" s="6" t="n">
        <x:v>168</x:v>
      </x:c>
      <x:c r="M1024" s="6" t="n">
        <x:v>16</x:v>
      </x:c>
      <x:c r="N1024" s="6" t="n">
        <x:v>0</x:v>
      </x:c>
      <x:c r="O1024" s="6" t="n">
        <x:v>108</x:v>
      </x:c>
      <x:c r="P1024" s="6" t="n">
        <x:v>7</x:v>
      </x:c>
      <x:c r="Q1024" s="6" t="n">
        <x:v>11</x:v>
      </x:c>
      <x:c r="R1024" s="6" t="n">
        <x:v>3</x:v>
      </x:c>
      <x:c r="S1024" s="6" t="n">
        <x:v>4</x:v>
      </x:c>
      <x:c r="T1024" s="6" t="n">
        <x:v>7</x:v>
      </x:c>
      <x:c r="U1024" s="6" t="n">
        <x:v>0</x:v>
      </x:c>
      <x:c r="V1024" s="6" t="n">
        <x:v>0</x:v>
      </x:c>
      <x:c r="W1024" s="6" t="n">
        <x:v>0</x:v>
      </x:c>
      <x:c r="X1024" s="6" t="n">
        <x:v>0</x:v>
      </x:c>
      <x:c r="Y1024" s="6" t="n">
        <x:v>0</x:v>
      </x:c>
      <x:c r="Z1024" s="6" t="n">
        <x:v>0</x:v>
      </x:c>
      <x:c r="AA1024" s="6" t="n">
        <x:v>3</x:v>
      </x:c>
      <x:c r="AB1024" s="6" t="n">
        <x:v>11</x:v>
      </x:c>
      <x:c r="AC1024" s="6" t="n">
        <x:v>1</x:v>
      </x:c>
    </x:row>
    <x:row r="1025">
      <x:c r="A1025" s="6" t="n">
        <x:v>4550</x:v>
      </x:c>
      <x:c r="B1025" s="6" t="n">
        <x:v>1966</x:v>
      </x:c>
      <x:c r="C1025" s="6" t="str">
        <x:v>Master</x:v>
      </x:c>
      <x:c r="D1025" s="6" t="str">
        <x:v>Together</x:v>
      </x:c>
      <x:c r="E1025" s="6" t="n">
        <x:v>33564</x:v>
      </x:c>
      <x:c r="F1025" s="6" t="n">
        <x:v>0</x:v>
      </x:c>
      <x:c r="G1025" s="6" t="n">
        <x:v>1</x:v>
      </x:c>
      <x:c r="H1025" s="9" t="str">
        <x:v>24-06-2014</x:v>
      </x:c>
      <x:c r="I1025" s="6" t="n">
        <x:v>51</x:v>
      </x:c>
      <x:c r="J1025" s="6" t="n">
        <x:v>61</x:v>
      </x:c>
      <x:c r="K1025" s="6" t="n">
        <x:v>0</x:v>
      </x:c>
      <x:c r="L1025" s="6" t="n">
        <x:v>3</x:v>
      </x:c>
      <x:c r="M1025" s="6" t="n">
        <x:v>0</x:v>
      </x:c>
      <x:c r="N1025" s="6" t="n">
        <x:v>0</x:v>
      </x:c>
      <x:c r="O1025" s="6" t="n">
        <x:v>7</x:v>
      </x:c>
      <x:c r="P1025" s="6" t="n">
        <x:v>1</x:v>
      </x:c>
      <x:c r="Q1025" s="6" t="n">
        <x:v>1</x:v>
      </x:c>
      <x:c r="R1025" s="6" t="n">
        <x:v>1</x:v>
      </x:c>
      <x:c r="S1025" s="6" t="n">
        <x:v>3</x:v>
      </x:c>
      <x:c r="T1025" s="6" t="n">
        <x:v>5</x:v>
      </x:c>
      <x:c r="U1025" s="6" t="n">
        <x:v>0</x:v>
      </x:c>
      <x:c r="V1025" s="6" t="n">
        <x:v>0</x:v>
      </x:c>
      <x:c r="W1025" s="6" t="n">
        <x:v>0</x:v>
      </x:c>
      <x:c r="X1025" s="6" t="n">
        <x:v>0</x:v>
      </x:c>
      <x:c r="Y1025" s="6" t="n">
        <x:v>0</x:v>
      </x:c>
      <x:c r="Z1025" s="6" t="n">
        <x:v>0</x:v>
      </x:c>
      <x:c r="AA1025" s="6" t="n">
        <x:v>3</x:v>
      </x:c>
      <x:c r="AB1025" s="6" t="n">
        <x:v>11</x:v>
      </x:c>
      <x:c r="AC1025" s="6" t="n">
        <x:v>0</x:v>
      </x:c>
    </x:row>
    <x:row r="1026">
      <x:c r="A1026" s="6" t="n">
        <x:v>4240</x:v>
      </x:c>
      <x:c r="B1026" s="6" t="n">
        <x:v>1978</x:v>
      </x:c>
      <x:c r="C1026" s="6" t="str">
        <x:v>Graduation</x:v>
      </x:c>
      <x:c r="D1026" s="6" t="str">
        <x:v>Married</x:v>
      </x:c>
      <x:c r="E1026" s="6" t="n">
        <x:v>17345</x:v>
      </x:c>
      <x:c r="F1026" s="6" t="n">
        <x:v>1</x:v>
      </x:c>
      <x:c r="G1026" s="6" t="n">
        <x:v>0</x:v>
      </x:c>
      <x:c r="H1026" s="9" t="str">
        <x:v>03-11-2012</x:v>
      </x:c>
      <x:c r="I1026" s="6" t="n">
        <x:v>79</x:v>
      </x:c>
      <x:c r="J1026" s="6" t="n">
        <x:v>4</x:v>
      </x:c>
      <x:c r="K1026" s="6" t="n">
        <x:v>9</x:v>
      </x:c>
      <x:c r="L1026" s="6" t="n">
        <x:v>16</x:v>
      </x:c>
      <x:c r="M1026" s="6" t="n">
        <x:v>17</x:v>
      </x:c>
      <x:c r="N1026" s="6" t="n">
        <x:v>0</x:v>
      </x:c>
      <x:c r="O1026" s="6" t="n">
        <x:v>12</x:v>
      </x:c>
      <x:c r="P1026" s="6" t="n">
        <x:v>2</x:v>
      </x:c>
      <x:c r="Q1026" s="6" t="n">
        <x:v>2</x:v>
      </x:c>
      <x:c r="R1026" s="6" t="n">
        <x:v>1</x:v>
      </x:c>
      <x:c r="S1026" s="6" t="n">
        <x:v>2</x:v>
      </x:c>
      <x:c r="T1026" s="6" t="n">
        <x:v>8</x:v>
      </x:c>
      <x:c r="U1026" s="6" t="n">
        <x:v>0</x:v>
      </x:c>
      <x:c r="V1026" s="6" t="n">
        <x:v>0</x:v>
      </x:c>
      <x:c r="W1026" s="6" t="n">
        <x:v>0</x:v>
      </x:c>
      <x:c r="X1026" s="6" t="n">
        <x:v>0</x:v>
      </x:c>
      <x:c r="Y1026" s="6" t="n">
        <x:v>0</x:v>
      </x:c>
      <x:c r="Z1026" s="6" t="n">
        <x:v>0</x:v>
      </x:c>
      <x:c r="AA1026" s="6" t="n">
        <x:v>3</x:v>
      </x:c>
      <x:c r="AB1026" s="6" t="n">
        <x:v>11</x:v>
      </x:c>
      <x:c r="AC1026" s="6" t="n">
        <x:v>0</x:v>
      </x:c>
    </x:row>
    <x:row r="1027">
      <x:c r="A1027" s="6" t="n">
        <x:v>8911</x:v>
      </x:c>
      <x:c r="B1027" s="6" t="n">
        <x:v>1967</x:v>
      </x:c>
      <x:c r="C1027" s="6" t="str">
        <x:v>PhD</x:v>
      </x:c>
      <x:c r="D1027" s="6" t="str">
        <x:v>Married</x:v>
      </x:c>
      <x:c r="E1027" s="6" t="n">
        <x:v>56320</x:v>
      </x:c>
      <x:c r="F1027" s="6" t="n">
        <x:v>0</x:v>
      </x:c>
      <x:c r="G1027" s="6" t="n">
        <x:v>1</x:v>
      </x:c>
      <x:c r="H1027" s="9" t="str">
        <x:v>08-04-2013</x:v>
      </x:c>
      <x:c r="I1027" s="6" t="n">
        <x:v>11</x:v>
      </x:c>
      <x:c r="J1027" s="6" t="n">
        <x:v>201</x:v>
      </x:c>
      <x:c r="K1027" s="6" t="n">
        <x:v>53</x:v>
      </x:c>
      <x:c r="L1027" s="6" t="n">
        <x:v>172</x:v>
      </x:c>
      <x:c r="M1027" s="6" t="n">
        <x:v>116</x:v>
      </x:c>
      <x:c r="N1027" s="6" t="n">
        <x:v>77</x:v>
      </x:c>
      <x:c r="O1027" s="6" t="n">
        <x:v>83</x:v>
      </x:c>
      <x:c r="P1027" s="6" t="n">
        <x:v>3</x:v>
      </x:c>
      <x:c r="Q1027" s="6" t="n">
        <x:v>5</x:v>
      </x:c>
      <x:c r="R1027" s="6" t="n">
        <x:v>4</x:v>
      </x:c>
      <x:c r="S1027" s="6" t="n">
        <x:v>9</x:v>
      </x:c>
      <x:c r="T1027" s="6" t="n">
        <x:v>4</x:v>
      </x:c>
      <x:c r="U1027" s="6" t="n">
        <x:v>0</x:v>
      </x:c>
      <x:c r="V1027" s="6" t="n">
        <x:v>0</x:v>
      </x:c>
      <x:c r="W1027" s="6" t="n">
        <x:v>0</x:v>
      </x:c>
      <x:c r="X1027" s="6" t="n">
        <x:v>0</x:v>
      </x:c>
      <x:c r="Y1027" s="6" t="n">
        <x:v>0</x:v>
      </x:c>
      <x:c r="Z1027" s="6" t="n">
        <x:v>0</x:v>
      </x:c>
      <x:c r="AA1027" s="6" t="n">
        <x:v>3</x:v>
      </x:c>
      <x:c r="AB1027" s="6" t="n">
        <x:v>11</x:v>
      </x:c>
      <x:c r="AC1027" s="6" t="n">
        <x:v>0</x:v>
      </x:c>
    </x:row>
    <x:row r="1028">
      <x:c r="A1028" s="6" t="n">
        <x:v>3706</x:v>
      </x:c>
      <x:c r="B1028" s="6" t="n">
        <x:v>1978</x:v>
      </x:c>
      <x:c r="C1028" s="6" t="str">
        <x:v>Graduation</x:v>
      </x:c>
      <x:c r="D1028" s="6" t="str">
        <x:v>Single</x:v>
      </x:c>
      <x:c r="E1028" s="6" t="n">
        <x:v>28647</x:v>
      </x:c>
      <x:c r="F1028" s="6" t="n">
        <x:v>1</x:v>
      </x:c>
      <x:c r="G1028" s="6" t="n">
        <x:v>0</x:v>
      </x:c>
      <x:c r="H1028" s="9" t="str">
        <x:v>21-08-2013</x:v>
      </x:c>
      <x:c r="I1028" s="6" t="n">
        <x:v>54</x:v>
      </x:c>
      <x:c r="J1028" s="6" t="n">
        <x:v>19</x:v>
      </x:c>
      <x:c r="K1028" s="6" t="n">
        <x:v>8</x:v>
      </x:c>
      <x:c r="L1028" s="6" t="n">
        <x:v>29</x:v>
      </x:c>
      <x:c r="M1028" s="6" t="n">
        <x:v>0</x:v>
      </x:c>
      <x:c r="N1028" s="6" t="n">
        <x:v>12</x:v>
      </x:c>
      <x:c r="O1028" s="6" t="n">
        <x:v>26</x:v>
      </x:c>
      <x:c r="P1028" s="6" t="n">
        <x:v>1</x:v>
      </x:c>
      <x:c r="Q1028" s="6" t="n">
        <x:v>2</x:v>
      </x:c>
      <x:c r="R1028" s="6" t="n">
        <x:v>2</x:v>
      </x:c>
      <x:c r="S1028" s="6" t="n">
        <x:v>2</x:v>
      </x:c>
      <x:c r="T1028" s="6" t="n">
        <x:v>7</x:v>
      </x:c>
      <x:c r="U1028" s="6" t="n">
        <x:v>1</x:v>
      </x:c>
      <x:c r="V1028" s="6" t="n">
        <x:v>0</x:v>
      </x:c>
      <x:c r="W1028" s="6" t="n">
        <x:v>0</x:v>
      </x:c>
      <x:c r="X1028" s="6" t="n">
        <x:v>0</x:v>
      </x:c>
      <x:c r="Y1028" s="6" t="n">
        <x:v>0</x:v>
      </x:c>
      <x:c r="Z1028" s="6" t="n">
        <x:v>0</x:v>
      </x:c>
      <x:c r="AA1028" s="6" t="n">
        <x:v>3</x:v>
      </x:c>
      <x:c r="AB1028" s="6" t="n">
        <x:v>11</x:v>
      </x:c>
      <x:c r="AC1028" s="6" t="n">
        <x:v>1</x:v>
      </x:c>
    </x:row>
    <x:row r="1029">
      <x:c r="A1029" s="6" t="n">
        <x:v>3628</x:v>
      </x:c>
      <x:c r="B1029" s="6" t="n">
        <x:v>1987</x:v>
      </x:c>
      <x:c r="C1029" s="6" t="str">
        <x:v>Basic</x:v>
      </x:c>
      <x:c r="D1029" s="6" t="str">
        <x:v>Single</x:v>
      </x:c>
      <x:c r="E1029" s="6" t="n">
        <x:v>15038</x:v>
      </x:c>
      <x:c r="F1029" s="6" t="n">
        <x:v>1</x:v>
      </x:c>
      <x:c r="G1029" s="6" t="n">
        <x:v>0</x:v>
      </x:c>
      <x:c r="H1029" s="9" t="str">
        <x:v>29-01-2013</x:v>
      </x:c>
      <x:c r="I1029" s="6" t="n">
        <x:v>93</x:v>
      </x:c>
      <x:c r="J1029" s="6" t="n">
        <x:v>4</x:v>
      </x:c>
      <x:c r="K1029" s="6" t="n">
        <x:v>8</x:v>
      </x:c>
      <x:c r="L1029" s="6" t="n">
        <x:v>11</x:v>
      </x:c>
      <x:c r="M1029" s="6" t="n">
        <x:v>19</x:v>
      </x:c>
      <x:c r="N1029" s="6" t="n">
        <x:v>12</x:v>
      </x:c>
      <x:c r="O1029" s="6" t="n">
        <x:v>26</x:v>
      </x:c>
      <x:c r="P1029" s="6" t="n">
        <x:v>2</x:v>
      </x:c>
      <x:c r="Q1029" s="6" t="n">
        <x:v>2</x:v>
      </x:c>
      <x:c r="R1029" s="6" t="n">
        <x:v>1</x:v>
      </x:c>
      <x:c r="S1029" s="6" t="n">
        <x:v>2</x:v>
      </x:c>
      <x:c r="T1029" s="6" t="n">
        <x:v>9</x:v>
      </x:c>
      <x:c r="U1029" s="6" t="n">
        <x:v>0</x:v>
      </x:c>
      <x:c r="V1029" s="6" t="n">
        <x:v>0</x:v>
      </x:c>
      <x:c r="W1029" s="6" t="n">
        <x:v>0</x:v>
      </x:c>
      <x:c r="X1029" s="6" t="n">
        <x:v>0</x:v>
      </x:c>
      <x:c r="Y1029" s="6" t="n">
        <x:v>0</x:v>
      </x:c>
      <x:c r="Z1029" s="6" t="n">
        <x:v>0</x:v>
      </x:c>
      <x:c r="AA1029" s="6" t="n">
        <x:v>3</x:v>
      </x:c>
      <x:c r="AB1029" s="6" t="n">
        <x:v>11</x:v>
      </x:c>
      <x:c r="AC1029" s="6" t="n">
        <x:v>0</x:v>
      </x:c>
    </x:row>
    <x:row r="1030">
      <x:c r="A1030" s="6" t="n">
        <x:v>10175</x:v>
      </x:c>
      <x:c r="B1030" s="6" t="n">
        <x:v>1958</x:v>
      </x:c>
      <x:c r="C1030" s="6" t="str">
        <x:v>PhD</x:v>
      </x:c>
      <x:c r="D1030" s="6" t="str">
        <x:v>Divorced</x:v>
      </x:c>
      <x:c r="E1030" s="6" t="n">
        <x:v>32173</x:v>
      </x:c>
      <x:c r="F1030" s="6" t="n">
        <x:v>0</x:v>
      </x:c>
      <x:c r="G1030" s="6" t="n">
        <x:v>1</x:v>
      </x:c>
      <x:c r="H1030" s="9" t="str">
        <x:v>01-08-2013</x:v>
      </x:c>
      <x:c r="I1030" s="6" t="n">
        <x:v>0</x:v>
      </x:c>
      <x:c r="J1030" s="6" t="n">
        <x:v>18</x:v>
      </x:c>
      <x:c r="K1030" s="6" t="n">
        <x:v>0</x:v>
      </x:c>
      <x:c r="L1030" s="6" t="n">
        <x:v>2</x:v>
      </x:c>
      <x:c r="M1030" s="6" t="n">
        <x:v>0</x:v>
      </x:c>
      <x:c r="N1030" s="6" t="n">
        <x:v>0</x:v>
      </x:c>
      <x:c r="O1030" s="6" t="n">
        <x:v>2</x:v>
      </x:c>
      <x:c r="P1030" s="6" t="n">
        <x:v>1</x:v>
      </x:c>
      <x:c r="Q1030" s="6" t="n">
        <x:v>1</x:v>
      </x:c>
      <x:c r="R1030" s="6" t="n">
        <x:v>0</x:v>
      </x:c>
      <x:c r="S1030" s="6" t="n">
        <x:v>3</x:v>
      </x:c>
      <x:c r="T1030" s="6" t="n">
        <x:v>4</x:v>
      </x:c>
      <x:c r="U1030" s="6" t="n">
        <x:v>0</x:v>
      </x:c>
      <x:c r="V1030" s="6" t="n">
        <x:v>0</x:v>
      </x:c>
      <x:c r="W1030" s="6" t="n">
        <x:v>0</x:v>
      </x:c>
      <x:c r="X1030" s="6" t="n">
        <x:v>0</x:v>
      </x:c>
      <x:c r="Y1030" s="6" t="n">
        <x:v>0</x:v>
      </x:c>
      <x:c r="Z1030" s="6" t="n">
        <x:v>0</x:v>
      </x:c>
      <x:c r="AA1030" s="6" t="n">
        <x:v>3</x:v>
      </x:c>
      <x:c r="AB1030" s="6" t="n">
        <x:v>11</x:v>
      </x:c>
      <x:c r="AC1030" s="6" t="n">
        <x:v>0</x:v>
      </x:c>
    </x:row>
    <x:row r="1031">
      <x:c r="A1031" s="6" t="n">
        <x:v>8985</x:v>
      </x:c>
      <x:c r="B1031" s="6" t="n">
        <x:v>1964</x:v>
      </x:c>
      <x:c r="C1031" s="6" t="str">
        <x:v>2n Cycle</x:v>
      </x:c>
      <x:c r="D1031" s="6" t="str">
        <x:v>Together</x:v>
      </x:c>
      <x:c r="E1031" s="6" t="n">
        <x:v>68316</x:v>
      </x:c>
      <x:c r="F1031" s="6" t="n">
        <x:v>0</x:v>
      </x:c>
      <x:c r="G1031" s="6" t="n">
        <x:v>1</x:v>
      </x:c>
      <x:c r="H1031" s="9" t="str">
        <x:v>04-11-2012</x:v>
      </x:c>
      <x:c r="I1031" s="6" t="n">
        <x:v>54</x:v>
      </x:c>
      <x:c r="J1031" s="6" t="n">
        <x:v>806</x:v>
      </x:c>
      <x:c r="K1031" s="6" t="n">
        <x:v>80</x:v>
      </x:c>
      <x:c r="L1031" s="6" t="n">
        <x:v>161</x:v>
      </x:c>
      <x:c r="M1031" s="6" t="n">
        <x:v>120</x:v>
      </x:c>
      <x:c r="N1031" s="6" t="n">
        <x:v>11</x:v>
      </x:c>
      <x:c r="O1031" s="6" t="n">
        <x:v>33</x:v>
      </x:c>
      <x:c r="P1031" s="6" t="n">
        <x:v>5</x:v>
      </x:c>
      <x:c r="Q1031" s="6" t="n">
        <x:v>10</x:v>
      </x:c>
      <x:c r="R1031" s="6" t="n">
        <x:v>7</x:v>
      </x:c>
      <x:c r="S1031" s="6" t="n">
        <x:v>10</x:v>
      </x:c>
      <x:c r="T1031" s="6" t="n">
        <x:v>6</x:v>
      </x:c>
      <x:c r="U1031" s="6" t="n">
        <x:v>0</x:v>
      </x:c>
      <x:c r="V1031" s="6" t="n">
        <x:v>0</x:v>
      </x:c>
      <x:c r="W1031" s="6" t="n">
        <x:v>0</x:v>
      </x:c>
      <x:c r="X1031" s="6" t="n">
        <x:v>0</x:v>
      </x:c>
      <x:c r="Y1031" s="6" t="n">
        <x:v>0</x:v>
      </x:c>
      <x:c r="Z1031" s="6" t="n">
        <x:v>0</x:v>
      </x:c>
      <x:c r="AA1031" s="6" t="n">
        <x:v>3</x:v>
      </x:c>
      <x:c r="AB1031" s="6" t="n">
        <x:v>11</x:v>
      </x:c>
      <x:c r="AC1031" s="6" t="n">
        <x:v>0</x:v>
      </x:c>
    </x:row>
    <x:row r="1032">
      <x:c r="A1032" s="6" t="n">
        <x:v>5204</x:v>
      </x:c>
      <x:c r="B1032" s="6" t="n">
        <x:v>1971</x:v>
      </x:c>
      <x:c r="C1032" s="6" t="str">
        <x:v>Graduation</x:v>
      </x:c>
      <x:c r="D1032" s="6" t="str">
        <x:v>Together</x:v>
      </x:c>
      <x:c r="E1032" s="6" t="n">
        <x:v>74538</x:v>
      </x:c>
      <x:c r="F1032" s="6" t="n">
        <x:v>0</x:v>
      </x:c>
      <x:c r="G1032" s="6" t="n">
        <x:v>0</x:v>
      </x:c>
      <x:c r="H1032" s="9" t="str">
        <x:v>29-06-2013</x:v>
      </x:c>
      <x:c r="I1032" s="6" t="n">
        <x:v>21</x:v>
      </x:c>
      <x:c r="J1032" s="6" t="n">
        <x:v>380</x:v>
      </x:c>
      <x:c r="K1032" s="6" t="n">
        <x:v>98</x:v>
      </x:c>
      <x:c r="L1032" s="6" t="n">
        <x:v>733</x:v>
      </x:c>
      <x:c r="M1032" s="6" t="n">
        <x:v>110</x:v>
      </x:c>
      <x:c r="N1032" s="6" t="n">
        <x:v>112</x:v>
      </x:c>
      <x:c r="O1032" s="6" t="n">
        <x:v>28</x:v>
      </x:c>
      <x:c r="P1032" s="6" t="n">
        <x:v>1</x:v>
      </x:c>
      <x:c r="Q1032" s="6" t="n">
        <x:v>8</x:v>
      </x:c>
      <x:c r="R1032" s="6" t="n">
        <x:v>8</x:v>
      </x:c>
      <x:c r="S1032" s="6" t="n">
        <x:v>5</x:v>
      </x:c>
      <x:c r="T1032" s="6" t="n">
        <x:v>3</x:v>
      </x:c>
      <x:c r="U1032" s="6" t="n">
        <x:v>0</x:v>
      </x:c>
      <x:c r="V1032" s="6" t="n">
        <x:v>0</x:v>
      </x:c>
      <x:c r="W1032" s="6" t="n">
        <x:v>1</x:v>
      </x:c>
      <x:c r="X1032" s="6" t="n">
        <x:v>0</x:v>
      </x:c>
      <x:c r="Y1032" s="6" t="n">
        <x:v>0</x:v>
      </x:c>
      <x:c r="Z1032" s="6" t="n">
        <x:v>0</x:v>
      </x:c>
      <x:c r="AA1032" s="6" t="n">
        <x:v>3</x:v>
      </x:c>
      <x:c r="AB1032" s="6" t="n">
        <x:v>11</x:v>
      </x:c>
      <x:c r="AC1032" s="6" t="n">
        <x:v>1</x:v>
      </x:c>
    </x:row>
    <x:row r="1033">
      <x:c r="A1033" s="6" t="n">
        <x:v>9220</x:v>
      </x:c>
      <x:c r="B1033" s="6" t="n">
        <x:v>1971</x:v>
      </x:c>
      <x:c r="C1033" s="6" t="str">
        <x:v>Graduation</x:v>
      </x:c>
      <x:c r="D1033" s="6" t="str">
        <x:v>Single</x:v>
      </x:c>
      <x:c r="E1033" s="6" t="n">
        <x:v>91700</x:v>
      </x:c>
      <x:c r="F1033" s="6" t="n">
        <x:v>0</x:v>
      </x:c>
      <x:c r="G1033" s="6" t="n">
        <x:v>0</x:v>
      </x:c>
      <x:c r="H1033" s="9" t="str">
        <x:v>17-01-2013</x:v>
      </x:c>
      <x:c r="I1033" s="6" t="n">
        <x:v>58</x:v>
      </x:c>
      <x:c r="J1033" s="6" t="n">
        <x:v>576</x:v>
      </x:c>
      <x:c r="K1033" s="6" t="n">
        <x:v>172</x:v>
      </x:c>
      <x:c r="L1033" s="6" t="n">
        <x:v>961</x:v>
      </x:c>
      <x:c r="M1033" s="6" t="n">
        <x:v>125</x:v>
      </x:c>
      <x:c r="N1033" s="6" t="n">
        <x:v>115</x:v>
      </x:c>
      <x:c r="O1033" s="6" t="n">
        <x:v>19</x:v>
      </x:c>
      <x:c r="P1033" s="6" t="n">
        <x:v>1</x:v>
      </x:c>
      <x:c r="Q1033" s="6" t="n">
        <x:v>8</x:v>
      </x:c>
      <x:c r="R1033" s="6" t="n">
        <x:v>6</x:v>
      </x:c>
      <x:c r="S1033" s="6" t="n">
        <x:v>5</x:v>
      </x:c>
      <x:c r="T1033" s="6" t="n">
        <x:v>3</x:v>
      </x:c>
      <x:c r="U1033" s="6" t="n">
        <x:v>0</x:v>
      </x:c>
      <x:c r="V1033" s="6" t="n">
        <x:v>0</x:v>
      </x:c>
      <x:c r="W1033" s="6" t="n">
        <x:v>0</x:v>
      </x:c>
      <x:c r="X1033" s="6" t="n">
        <x:v>0</x:v>
      </x:c>
      <x:c r="Y1033" s="6" t="n">
        <x:v>0</x:v>
      </x:c>
      <x:c r="Z1033" s="6" t="n">
        <x:v>0</x:v>
      </x:c>
      <x:c r="AA1033" s="6" t="n">
        <x:v>3</x:v>
      </x:c>
      <x:c r="AB1033" s="6" t="n">
        <x:v>11</x:v>
      </x:c>
      <x:c r="AC1033" s="6" t="n">
        <x:v>1</x:v>
      </x:c>
    </x:row>
    <x:row r="1034">
      <x:c r="A1034" s="6" t="n">
        <x:v>9888</x:v>
      </x:c>
      <x:c r="B1034" s="6" t="n">
        <x:v>1969</x:v>
      </x:c>
      <x:c r="C1034" s="6" t="str">
        <x:v>Graduation</x:v>
      </x:c>
      <x:c r="D1034" s="6" t="str">
        <x:v>Together</x:v>
      </x:c>
      <x:c r="E1034" s="6" t="n">
        <x:v>68695</x:v>
      </x:c>
      <x:c r="F1034" s="6" t="n">
        <x:v>0</x:v>
      </x:c>
      <x:c r="G1034" s="6" t="n">
        <x:v>0</x:v>
      </x:c>
      <x:c r="H1034" s="9" t="str">
        <x:v>25-06-2014</x:v>
      </x:c>
      <x:c r="I1034" s="6" t="n">
        <x:v>3</x:v>
      </x:c>
      <x:c r="J1034" s="6" t="n">
        <x:v>458</x:v>
      </x:c>
      <x:c r="K1034" s="6" t="n">
        <x:v>81</x:v>
      </x:c>
      <x:c r="L1034" s="6" t="n">
        <x:v>356</x:v>
      </x:c>
      <x:c r="M1034" s="6" t="n">
        <x:v>106</x:v>
      </x:c>
      <x:c r="N1034" s="6" t="n">
        <x:v>50</x:v>
      </x:c>
      <x:c r="O1034" s="6" t="n">
        <x:v>40</x:v>
      </x:c>
      <x:c r="P1034" s="6" t="n">
        <x:v>1</x:v>
      </x:c>
      <x:c r="Q1034" s="6" t="n">
        <x:v>4</x:v>
      </x:c>
      <x:c r="R1034" s="6" t="n">
        <x:v>4</x:v>
      </x:c>
      <x:c r="S1034" s="6" t="n">
        <x:v>7</x:v>
      </x:c>
      <x:c r="T1034" s="6" t="n">
        <x:v>2</x:v>
      </x:c>
      <x:c r="U1034" s="6" t="n">
        <x:v>0</x:v>
      </x:c>
      <x:c r="V1034" s="6" t="n">
        <x:v>0</x:v>
      </x:c>
      <x:c r="W1034" s="6" t="n">
        <x:v>0</x:v>
      </x:c>
      <x:c r="X1034" s="6" t="n">
        <x:v>0</x:v>
      </x:c>
      <x:c r="Y1034" s="6" t="n">
        <x:v>0</x:v>
      </x:c>
      <x:c r="Z1034" s="6" t="n">
        <x:v>0</x:v>
      </x:c>
      <x:c r="AA1034" s="6" t="n">
        <x:v>3</x:v>
      </x:c>
      <x:c r="AB1034" s="6" t="n">
        <x:v>11</x:v>
      </x:c>
      <x:c r="AC1034" s="6" t="n">
        <x:v>0</x:v>
      </x:c>
    </x:row>
    <x:row r="1035">
      <x:c r="A1035" s="6" t="n">
        <x:v>5263</x:v>
      </x:c>
      <x:c r="B1035" s="6" t="n">
        <x:v>1977</x:v>
      </x:c>
      <x:c r="C1035" s="6" t="str">
        <x:v>2n Cycle</x:v>
      </x:c>
      <x:c r="D1035" s="6" t="str">
        <x:v>Married</x:v>
      </x:c>
      <x:c r="E1035" s="6" t="n">
        <x:v>31056</x:v>
      </x:c>
      <x:c r="F1035" s="6" t="n">
        <x:v>1</x:v>
      </x:c>
      <x:c r="G1035" s="6" t="n">
        <x:v>0</x:v>
      </x:c>
      <x:c r="H1035" s="9" t="str">
        <x:v>22-01-2013</x:v>
      </x:c>
      <x:c r="I1035" s="6" t="n">
        <x:v>99</x:v>
      </x:c>
      <x:c r="J1035" s="6" t="n">
        <x:v>5</x:v>
      </x:c>
      <x:c r="K1035" s="6" t="n">
        <x:v>10</x:v>
      </x:c>
      <x:c r="L1035" s="6" t="n">
        <x:v>13</x:v>
      </x:c>
      <x:c r="M1035" s="6" t="n">
        <x:v>3</x:v>
      </x:c>
      <x:c r="N1035" s="6" t="n">
        <x:v>8</x:v>
      </x:c>
      <x:c r="O1035" s="6" t="n">
        <x:v>16</x:v>
      </x:c>
      <x:c r="P1035" s="6" t="n">
        <x:v>1</x:v>
      </x:c>
      <x:c r="Q1035" s="6" t="n">
        <x:v>1</x:v>
      </x:c>
      <x:c r="R1035" s="6" t="n">
        <x:v>0</x:v>
      </x:c>
      <x:c r="S1035" s="6" t="n">
        <x:v>3</x:v>
      </x:c>
      <x:c r="T1035" s="6" t="n">
        <x:v>8</x:v>
      </x:c>
      <x:c r="U1035" s="6" t="n">
        <x:v>0</x:v>
      </x:c>
      <x:c r="V1035" s="6" t="n">
        <x:v>0</x:v>
      </x:c>
      <x:c r="W1035" s="6" t="n">
        <x:v>0</x:v>
      </x:c>
      <x:c r="X1035" s="6" t="n">
        <x:v>0</x:v>
      </x:c>
      <x:c r="Y1035" s="6" t="n">
        <x:v>0</x:v>
      </x:c>
      <x:c r="Z1035" s="6" t="n">
        <x:v>0</x:v>
      </x:c>
      <x:c r="AA1035" s="6" t="n">
        <x:v>3</x:v>
      </x:c>
      <x:c r="AB1035" s="6" t="n">
        <x:v>11</x:v>
      </x:c>
      <x:c r="AC1035" s="6" t="n">
        <x:v>0</x:v>
      </x:c>
    </x:row>
    <x:row r="1036">
      <x:c r="A1036" s="6" t="n">
        <x:v>1020</x:v>
      </x:c>
      <x:c r="B1036" s="6" t="n">
        <x:v>1973</x:v>
      </x:c>
      <x:c r="C1036" s="6" t="str">
        <x:v>Graduation</x:v>
      </x:c>
      <x:c r="D1036" s="6" t="str">
        <x:v>Married</x:v>
      </x:c>
      <x:c r="E1036" s="6" t="n">
        <x:v>79593</x:v>
      </x:c>
      <x:c r="F1036" s="6" t="n">
        <x:v>0</x:v>
      </x:c>
      <x:c r="G1036" s="6" t="n">
        <x:v>0</x:v>
      </x:c>
      <x:c r="H1036" s="9" t="str">
        <x:v>12-05-2014</x:v>
      </x:c>
      <x:c r="I1036" s="6" t="n">
        <x:v>70</x:v>
      </x:c>
      <x:c r="J1036" s="6" t="n">
        <x:v>350</x:v>
      </x:c>
      <x:c r="K1036" s="6" t="n">
        <x:v>60</x:v>
      </x:c>
      <x:c r="L1036" s="6" t="n">
        <x:v>568</x:v>
      </x:c>
      <x:c r="M1036" s="6" t="n">
        <x:v>110</x:v>
      </x:c>
      <x:c r="N1036" s="6" t="n">
        <x:v>133</x:v>
      </x:c>
      <x:c r="O1036" s="6" t="n">
        <x:v>145</x:v>
      </x:c>
      <x:c r="P1036" s="6" t="n">
        <x:v>1</x:v>
      </x:c>
      <x:c r="Q1036" s="6" t="n">
        <x:v>5</x:v>
      </x:c>
      <x:c r="R1036" s="6" t="n">
        <x:v>6</x:v>
      </x:c>
      <x:c r="S1036" s="6" t="n">
        <x:v>7</x:v>
      </x:c>
      <x:c r="T1036" s="6" t="n">
        <x:v>2</x:v>
      </x:c>
      <x:c r="U1036" s="6" t="n">
        <x:v>0</x:v>
      </x:c>
      <x:c r="V1036" s="6" t="n">
        <x:v>0</x:v>
      </x:c>
      <x:c r="W1036" s="6" t="n">
        <x:v>1</x:v>
      </x:c>
      <x:c r="X1036" s="6" t="n">
        <x:v>0</x:v>
      </x:c>
      <x:c r="Y1036" s="6" t="n">
        <x:v>0</x:v>
      </x:c>
      <x:c r="Z1036" s="6" t="n">
        <x:v>0</x:v>
      </x:c>
      <x:c r="AA1036" s="6" t="n">
        <x:v>3</x:v>
      </x:c>
      <x:c r="AB1036" s="6" t="n">
        <x:v>11</x:v>
      </x:c>
      <x:c r="AC1036" s="6" t="n">
        <x:v>0</x:v>
      </x:c>
    </x:row>
    <x:row r="1037">
      <x:c r="A1037" s="6" t="n">
        <x:v>9503</x:v>
      </x:c>
      <x:c r="B1037" s="6" t="n">
        <x:v>1980</x:v>
      </x:c>
      <x:c r="C1037" s="6" t="str">
        <x:v>Graduation</x:v>
      </x:c>
      <x:c r="D1037" s="6" t="str">
        <x:v>Single</x:v>
      </x:c>
      <x:c r="E1037" s="6" t="n">
        <x:v>28071</x:v>
      </x:c>
      <x:c r="F1037" s="6" t="n">
        <x:v>0</x:v>
      </x:c>
      <x:c r="G1037" s="6" t="n">
        <x:v>0</x:v>
      </x:c>
      <x:c r="H1037" s="9" t="str">
        <x:v>29-08-2012</x:v>
      </x:c>
      <x:c r="I1037" s="6" t="n">
        <x:v>65</x:v>
      </x:c>
      <x:c r="J1037" s="6" t="n">
        <x:v>39</x:v>
      </x:c>
      <x:c r="K1037" s="6" t="n">
        <x:v>33</x:v>
      </x:c>
      <x:c r="L1037" s="6" t="n">
        <x:v>130</x:v>
      </x:c>
      <x:c r="M1037" s="6" t="n">
        <x:v>41</x:v>
      </x:c>
      <x:c r="N1037" s="6" t="n">
        <x:v>26</x:v>
      </x:c>
      <x:c r="O1037" s="6" t="n">
        <x:v>44</x:v>
      </x:c>
      <x:c r="P1037" s="6" t="n">
        <x:v>2</x:v>
      </x:c>
      <x:c r="Q1037" s="6" t="n">
        <x:v>5</x:v>
      </x:c>
      <x:c r="R1037" s="6" t="n">
        <x:v>1</x:v>
      </x:c>
      <x:c r="S1037" s="6" t="n">
        <x:v>5</x:v>
      </x:c>
      <x:c r="T1037" s="6" t="n">
        <x:v>8</x:v>
      </x:c>
      <x:c r="U1037" s="6" t="n">
        <x:v>0</x:v>
      </x:c>
      <x:c r="V1037" s="6" t="n">
        <x:v>0</x:v>
      </x:c>
      <x:c r="W1037" s="6" t="n">
        <x:v>0</x:v>
      </x:c>
      <x:c r="X1037" s="6" t="n">
        <x:v>0</x:v>
      </x:c>
      <x:c r="Y1037" s="6" t="n">
        <x:v>0</x:v>
      </x:c>
      <x:c r="Z1037" s="6" t="n">
        <x:v>0</x:v>
      </x:c>
      <x:c r="AA1037" s="6" t="n">
        <x:v>3</x:v>
      </x:c>
      <x:c r="AB1037" s="6" t="n">
        <x:v>11</x:v>
      </x:c>
      <x:c r="AC1037" s="6" t="n">
        <x:v>0</x:v>
      </x:c>
    </x:row>
    <x:row r="1038">
      <x:c r="A1038" s="6" t="n">
        <x:v>10613</x:v>
      </x:c>
      <x:c r="B1038" s="6" t="n">
        <x:v>1958</x:v>
      </x:c>
      <x:c r="C1038" s="6" t="str">
        <x:v>PhD</x:v>
      </x:c>
      <x:c r="D1038" s="6" t="str">
        <x:v>Together</x:v>
      </x:c>
      <x:c r="E1038" s="6" t="n">
        <x:v>37334</x:v>
      </x:c>
      <x:c r="F1038" s="6" t="n">
        <x:v>1</x:v>
      </x:c>
      <x:c r="G1038" s="6" t="n">
        <x:v>1</x:v>
      </x:c>
      <x:c r="H1038" s="9" t="str">
        <x:v>26-02-2014</x:v>
      </x:c>
      <x:c r="I1038" s="6" t="n">
        <x:v>44</x:v>
      </x:c>
      <x:c r="J1038" s="6" t="n">
        <x:v>26</x:v>
      </x:c>
      <x:c r="K1038" s="6" t="n">
        <x:v>1</x:v>
      </x:c>
      <x:c r="L1038" s="6" t="n">
        <x:v>16</x:v>
      </x:c>
      <x:c r="M1038" s="6" t="n">
        <x:v>2</x:v>
      </x:c>
      <x:c r="N1038" s="6" t="n">
        <x:v>2</x:v>
      </x:c>
      <x:c r="O1038" s="6" t="n">
        <x:v>15</x:v>
      </x:c>
      <x:c r="P1038" s="6" t="n">
        <x:v>4</x:v>
      </x:c>
      <x:c r="Q1038" s="6" t="n">
        <x:v>3</x:v>
      </x:c>
      <x:c r="R1038" s="6" t="n">
        <x:v>0</x:v>
      </x:c>
      <x:c r="S1038" s="6" t="n">
        <x:v>4</x:v>
      </x:c>
      <x:c r="T1038" s="6" t="n">
        <x:v>4</x:v>
      </x:c>
      <x:c r="U1038" s="6" t="n">
        <x:v>0</x:v>
      </x:c>
      <x:c r="V1038" s="6" t="n">
        <x:v>0</x:v>
      </x:c>
      <x:c r="W1038" s="6" t="n">
        <x:v>0</x:v>
      </x:c>
      <x:c r="X1038" s="6" t="n">
        <x:v>0</x:v>
      </x:c>
      <x:c r="Y1038" s="6" t="n">
        <x:v>0</x:v>
      </x:c>
      <x:c r="Z1038" s="6" t="n">
        <x:v>0</x:v>
      </x:c>
      <x:c r="AA1038" s="6" t="n">
        <x:v>3</x:v>
      </x:c>
      <x:c r="AB1038" s="6" t="n">
        <x:v>11</x:v>
      </x:c>
      <x:c r="AC1038" s="6" t="n">
        <x:v>0</x:v>
      </x:c>
    </x:row>
    <x:row r="1039">
      <x:c r="A1039" s="6" t="n">
        <x:v>67</x:v>
      </x:c>
      <x:c r="B1039" s="6" t="n">
        <x:v>1972</x:v>
      </x:c>
      <x:c r="C1039" s="6" t="str">
        <x:v>Master</x:v>
      </x:c>
      <x:c r="D1039" s="6" t="str">
        <x:v>Single</x:v>
      </x:c>
      <x:c r="E1039" s="6" t="n">
        <x:v>46423</x:v>
      </x:c>
      <x:c r="F1039" s="6" t="n">
        <x:v>1</x:v>
      </x:c>
      <x:c r="G1039" s="6" t="n">
        <x:v>1</x:v>
      </x:c>
      <x:c r="H1039" s="9" t="str">
        <x:v>18-09-2013</x:v>
      </x:c>
      <x:c r="I1039" s="6" t="n">
        <x:v>6</x:v>
      </x:c>
      <x:c r="J1039" s="6" t="n">
        <x:v>68</x:v>
      </x:c>
      <x:c r="K1039" s="6" t="n">
        <x:v>0</x:v>
      </x:c>
      <x:c r="L1039" s="6" t="n">
        <x:v>16</x:v>
      </x:c>
      <x:c r="M1039" s="6" t="n">
        <x:v>0</x:v>
      </x:c>
      <x:c r="N1039" s="6" t="n">
        <x:v>0</x:v>
      </x:c>
      <x:c r="O1039" s="6" t="n">
        <x:v>8</x:v>
      </x:c>
      <x:c r="P1039" s="6" t="n">
        <x:v>3</x:v>
      </x:c>
      <x:c r="Q1039" s="6" t="n">
        <x:v>2</x:v>
      </x:c>
      <x:c r="R1039" s="6" t="n">
        <x:v>0</x:v>
      </x:c>
      <x:c r="S1039" s="6" t="n">
        <x:v>4</x:v>
      </x:c>
      <x:c r="T1039" s="6" t="n">
        <x:v>7</x:v>
      </x:c>
      <x:c r="U1039" s="6" t="n">
        <x:v>0</x:v>
      </x:c>
      <x:c r="V1039" s="6" t="n">
        <x:v>0</x:v>
      </x:c>
      <x:c r="W1039" s="6" t="n">
        <x:v>0</x:v>
      </x:c>
      <x:c r="X1039" s="6" t="n">
        <x:v>0</x:v>
      </x:c>
      <x:c r="Y1039" s="6" t="n">
        <x:v>0</x:v>
      </x:c>
      <x:c r="Z1039" s="6" t="n">
        <x:v>0</x:v>
      </x:c>
      <x:c r="AA1039" s="6" t="n">
        <x:v>3</x:v>
      </x:c>
      <x:c r="AB1039" s="6" t="n">
        <x:v>11</x:v>
      </x:c>
      <x:c r="AC1039" s="6" t="n">
        <x:v>0</x:v>
      </x:c>
    </x:row>
    <x:row r="1040">
      <x:c r="A1040" s="6" t="n">
        <x:v>6019</x:v>
      </x:c>
      <x:c r="B1040" s="6" t="n">
        <x:v>1971</x:v>
      </x:c>
      <x:c r="C1040" s="6" t="str">
        <x:v>PhD</x:v>
      </x:c>
      <x:c r="D1040" s="6" t="str">
        <x:v>Married</x:v>
      </x:c>
      <x:c r="E1040" s="6" t="n">
        <x:v>37126</x:v>
      </x:c>
      <x:c r="F1040" s="6" t="n">
        <x:v>1</x:v>
      </x:c>
      <x:c r="G1040" s="6" t="n">
        <x:v>0</x:v>
      </x:c>
      <x:c r="H1040" s="9" t="str">
        <x:v>30-03-2014</x:v>
      </x:c>
      <x:c r="I1040" s="6" t="n">
        <x:v>9</x:v>
      </x:c>
      <x:c r="J1040" s="6" t="n">
        <x:v>45</x:v>
      </x:c>
      <x:c r="K1040" s="6" t="n">
        <x:v>3</x:v>
      </x:c>
      <x:c r="L1040" s="6" t="n">
        <x:v>9</x:v>
      </x:c>
      <x:c r="M1040" s="6" t="n">
        <x:v>4</x:v>
      </x:c>
      <x:c r="N1040" s="6" t="n">
        <x:v>4</x:v>
      </x:c>
      <x:c r="O1040" s="6" t="n">
        <x:v>7</x:v>
      </x:c>
      <x:c r="P1040" s="6" t="n">
        <x:v>1</x:v>
      </x:c>
      <x:c r="Q1040" s="6" t="n">
        <x:v>1</x:v>
      </x:c>
      <x:c r="R1040" s="6" t="n">
        <x:v>2</x:v>
      </x:c>
      <x:c r="S1040" s="6" t="n">
        <x:v>2</x:v>
      </x:c>
      <x:c r="T1040" s="6" t="n">
        <x:v>6</x:v>
      </x:c>
      <x:c r="U1040" s="6" t="n">
        <x:v>1</x:v>
      </x:c>
      <x:c r="V1040" s="6" t="n">
        <x:v>0</x:v>
      </x:c>
      <x:c r="W1040" s="6" t="n">
        <x:v>0</x:v>
      </x:c>
      <x:c r="X1040" s="6" t="n">
        <x:v>0</x:v>
      </x:c>
      <x:c r="Y1040" s="6" t="n">
        <x:v>0</x:v>
      </x:c>
      <x:c r="Z1040" s="6" t="n">
        <x:v>0</x:v>
      </x:c>
      <x:c r="AA1040" s="6" t="n">
        <x:v>3</x:v>
      </x:c>
      <x:c r="AB1040" s="6" t="n">
        <x:v>11</x:v>
      </x:c>
      <x:c r="AC1040" s="6" t="n">
        <x:v>1</x:v>
      </x:c>
    </x:row>
    <x:row r="1041">
      <x:c r="A1041" s="6" t="n">
        <x:v>5863</x:v>
      </x:c>
      <x:c r="B1041" s="6" t="n">
        <x:v>1953</x:v>
      </x:c>
      <x:c r="C1041" s="6" t="str">
        <x:v>Graduation</x:v>
      </x:c>
      <x:c r="D1041" s="6" t="str">
        <x:v>Married</x:v>
      </x:c>
      <x:c r="E1041" s="6" t="n">
        <x:v>47703</x:v>
      </x:c>
      <x:c r="F1041" s="6" t="n">
        <x:v>0</x:v>
      </x:c>
      <x:c r="G1041" s="6" t="n">
        <x:v>1</x:v>
      </x:c>
      <x:c r="H1041" s="9" t="str">
        <x:v>29-05-2013</x:v>
      </x:c>
      <x:c r="I1041" s="6" t="n">
        <x:v>95</x:v>
      </x:c>
      <x:c r="J1041" s="6" t="n">
        <x:v>359</x:v>
      </x:c>
      <x:c r="K1041" s="6" t="n">
        <x:v>0</x:v>
      </x:c>
      <x:c r="L1041" s="6" t="n">
        <x:v>134</x:v>
      </x:c>
      <x:c r="M1041" s="6" t="n">
        <x:v>13</x:v>
      </x:c>
      <x:c r="N1041" s="6" t="n">
        <x:v>26</x:v>
      </x:c>
      <x:c r="O1041" s="6" t="n">
        <x:v>123</x:v>
      </x:c>
      <x:c r="P1041" s="6" t="n">
        <x:v>4</x:v>
      </x:c>
      <x:c r="Q1041" s="6" t="n">
        <x:v>6</x:v>
      </x:c>
      <x:c r="R1041" s="6" t="n">
        <x:v>3</x:v>
      </x:c>
      <x:c r="S1041" s="6" t="n">
        <x:v>8</x:v>
      </x:c>
      <x:c r="T1041" s="6" t="n">
        <x:v>5</x:v>
      </x:c>
      <x:c r="U1041" s="6" t="n">
        <x:v>0</x:v>
      </x:c>
      <x:c r="V1041" s="6" t="n">
        <x:v>0</x:v>
      </x:c>
      <x:c r="W1041" s="6" t="n">
        <x:v>0</x:v>
      </x:c>
      <x:c r="X1041" s="6" t="n">
        <x:v>0</x:v>
      </x:c>
      <x:c r="Y1041" s="6" t="n">
        <x:v>0</x:v>
      </x:c>
      <x:c r="Z1041" s="6" t="n">
        <x:v>0</x:v>
      </x:c>
      <x:c r="AA1041" s="6" t="n">
        <x:v>3</x:v>
      </x:c>
      <x:c r="AB1041" s="6" t="n">
        <x:v>11</x:v>
      </x:c>
      <x:c r="AC1041" s="6" t="n">
        <x:v>0</x:v>
      </x:c>
    </x:row>
    <x:row r="1042">
      <x:c r="A1042" s="6" t="n">
        <x:v>3717</x:v>
      </x:c>
      <x:c r="B1042" s="6" t="n">
        <x:v>1959</x:v>
      </x:c>
      <x:c r="C1042" s="6" t="str">
        <x:v>Graduation</x:v>
      </x:c>
      <x:c r="D1042" s="6" t="str">
        <x:v>Married</x:v>
      </x:c>
      <x:c r="E1042" s="6" t="n">
        <x:v>61180</x:v>
      </x:c>
      <x:c r="F1042" s="6" t="n">
        <x:v>0</x:v>
      </x:c>
      <x:c r="G1042" s="6" t="n">
        <x:v>1</x:v>
      </x:c>
      <x:c r="H1042" s="9" t="str">
        <x:v>23-04-2014</x:v>
      </x:c>
      <x:c r="I1042" s="6" t="n">
        <x:v>70</x:v>
      </x:c>
      <x:c r="J1042" s="6" t="n">
        <x:v>403</x:v>
      </x:c>
      <x:c r="K1042" s="6" t="n">
        <x:v>24</x:v>
      </x:c>
      <x:c r="L1042" s="6" t="n">
        <x:v>29</x:v>
      </x:c>
      <x:c r="M1042" s="6" t="n">
        <x:v>6</x:v>
      </x:c>
      <x:c r="N1042" s="6" t="n">
        <x:v>24</x:v>
      </x:c>
      <x:c r="O1042" s="6" t="n">
        <x:v>218</x:v>
      </x:c>
      <x:c r="P1042" s="6" t="n">
        <x:v>2</x:v>
      </x:c>
      <x:c r="Q1042" s="6" t="n">
        <x:v>5</x:v>
      </x:c>
      <x:c r="R1042" s="6" t="n">
        <x:v>5</x:v>
      </x:c>
      <x:c r="S1042" s="6" t="n">
        <x:v>6</x:v>
      </x:c>
      <x:c r="T1042" s="6" t="n">
        <x:v>3</x:v>
      </x:c>
      <x:c r="U1042" s="6" t="n">
        <x:v>1</x:v>
      </x:c>
      <x:c r="V1042" s="6" t="n">
        <x:v>0</x:v>
      </x:c>
      <x:c r="W1042" s="6" t="n">
        <x:v>0</x:v>
      </x:c>
      <x:c r="X1042" s="6" t="n">
        <x:v>0</x:v>
      </x:c>
      <x:c r="Y1042" s="6" t="n">
        <x:v>0</x:v>
      </x:c>
      <x:c r="Z1042" s="6" t="n">
        <x:v>0</x:v>
      </x:c>
      <x:c r="AA1042" s="6" t="n">
        <x:v>3</x:v>
      </x:c>
      <x:c r="AB1042" s="6" t="n">
        <x:v>11</x:v>
      </x:c>
      <x:c r="AC1042" s="6" t="n">
        <x:v>0</x:v>
      </x:c>
    </x:row>
    <x:row r="1043">
      <x:c r="A1043" s="6" t="n">
        <x:v>6730</x:v>
      </x:c>
      <x:c r="B1043" s="6" t="n">
        <x:v>1954</x:v>
      </x:c>
      <x:c r="C1043" s="6" t="str">
        <x:v>Graduation</x:v>
      </x:c>
      <x:c r="D1043" s="6" t="str">
        <x:v>Married</x:v>
      </x:c>
      <x:c r="E1043" s="6" t="n">
        <x:v>38998</x:v>
      </x:c>
      <x:c r="F1043" s="6" t="n">
        <x:v>1</x:v>
      </x:c>
      <x:c r="G1043" s="6" t="n">
        <x:v>1</x:v>
      </x:c>
      <x:c r="H1043" s="9" t="str">
        <x:v>03-11-2012</x:v>
      </x:c>
      <x:c r="I1043" s="6" t="n">
        <x:v>92</x:v>
      </x:c>
      <x:c r="J1043" s="6" t="n">
        <x:v>34</x:v>
      </x:c>
      <x:c r="K1043" s="6" t="n">
        <x:v>1</x:v>
      </x:c>
      <x:c r="L1043" s="6" t="n">
        <x:v>14</x:v>
      </x:c>
      <x:c r="M1043" s="6" t="n">
        <x:v>0</x:v>
      </x:c>
      <x:c r="N1043" s="6" t="n">
        <x:v>0</x:v>
      </x:c>
      <x:c r="O1043" s="6" t="n">
        <x:v>5</x:v>
      </x:c>
      <x:c r="P1043" s="6" t="n">
        <x:v>3</x:v>
      </x:c>
      <x:c r="Q1043" s="6" t="n">
        <x:v>2</x:v>
      </x:c>
      <x:c r="R1043" s="6" t="n">
        <x:v>0</x:v>
      </x:c>
      <x:c r="S1043" s="6" t="n">
        <x:v>3</x:v>
      </x:c>
      <x:c r="T1043" s="6" t="n">
        <x:v>8</x:v>
      </x:c>
      <x:c r="U1043" s="6" t="n">
        <x:v>0</x:v>
      </x:c>
      <x:c r="V1043" s="6" t="n">
        <x:v>0</x:v>
      </x:c>
      <x:c r="W1043" s="6" t="n">
        <x:v>0</x:v>
      </x:c>
      <x:c r="X1043" s="6" t="n">
        <x:v>0</x:v>
      </x:c>
      <x:c r="Y1043" s="6" t="n">
        <x:v>0</x:v>
      </x:c>
      <x:c r="Z1043" s="6" t="n">
        <x:v>1</x:v>
      </x:c>
      <x:c r="AA1043" s="6" t="n">
        <x:v>3</x:v>
      </x:c>
      <x:c r="AB1043" s="6" t="n">
        <x:v>11</x:v>
      </x:c>
      <x:c r="AC1043" s="6" t="n">
        <x:v>0</x:v>
      </x:c>
    </x:row>
    <x:row r="1044">
      <x:c r="A1044" s="6" t="n">
        <x:v>10749</x:v>
      </x:c>
      <x:c r="B1044" s="6" t="n">
        <x:v>1991</x:v>
      </x:c>
      <x:c r="C1044" s="6" t="str">
        <x:v>Graduation</x:v>
      </x:c>
      <x:c r="D1044" s="6" t="str">
        <x:v>Single</x:v>
      </x:c>
      <x:c r="E1044" s="6" t="n">
        <x:v>8028</x:v>
      </x:c>
      <x:c r="F1044" s="6" t="n">
        <x:v>0</x:v>
      </x:c>
      <x:c r="G1044" s="6" t="n">
        <x:v>0</x:v>
      </x:c>
      <x:c r="H1044" s="9" t="str">
        <x:v>18-09-2012</x:v>
      </x:c>
      <x:c r="I1044" s="6" t="n">
        <x:v>62</x:v>
      </x:c>
      <x:c r="J1044" s="6" t="n">
        <x:v>73</x:v>
      </x:c>
      <x:c r="K1044" s="6" t="n">
        <x:v>18</x:v>
      </x:c>
      <x:c r="L1044" s="6" t="n">
        <x:v>66</x:v>
      </x:c>
      <x:c r="M1044" s="6" t="n">
        <x:v>7</x:v>
      </x:c>
      <x:c r="N1044" s="6" t="n">
        <x:v>12</x:v>
      </x:c>
      <x:c r="O1044" s="6" t="n">
        <x:v>2</x:v>
      </x:c>
      <x:c r="P1044" s="6" t="n">
        <x:v>15</x:v>
      </x:c>
      <x:c r="Q1044" s="6" t="n">
        <x:v>0</x:v>
      </x:c>
      <x:c r="R1044" s="6" t="n">
        <x:v>1</x:v>
      </x:c>
      <x:c r="S1044" s="6" t="n">
        <x:v>0</x:v>
      </x:c>
      <x:c r="T1044" s="6" t="n">
        <x:v>19</x:v>
      </x:c>
      <x:c r="U1044" s="6" t="n">
        <x:v>0</x:v>
      </x:c>
      <x:c r="V1044" s="6" t="n">
        <x:v>0</x:v>
      </x:c>
      <x:c r="W1044" s="6" t="n">
        <x:v>0</x:v>
      </x:c>
      <x:c r="X1044" s="6" t="n">
        <x:v>0</x:v>
      </x:c>
      <x:c r="Y1044" s="6" t="n">
        <x:v>0</x:v>
      </x:c>
      <x:c r="Z1044" s="6" t="n">
        <x:v>0</x:v>
      </x:c>
      <x:c r="AA1044" s="6" t="n">
        <x:v>3</x:v>
      </x:c>
      <x:c r="AB1044" s="6" t="n">
        <x:v>11</x:v>
      </x:c>
      <x:c r="AC1044" s="6" t="n">
        <x:v>0</x:v>
      </x:c>
    </x:row>
    <x:row r="1045">
      <x:c r="A1045" s="6" t="n">
        <x:v>4998</x:v>
      </x:c>
      <x:c r="B1045" s="6" t="n">
        <x:v>1962</x:v>
      </x:c>
      <x:c r="C1045" s="6" t="str">
        <x:v>Graduation</x:v>
      </x:c>
      <x:c r="D1045" s="6" t="str">
        <x:v>Together</x:v>
      </x:c>
      <x:c r="E1045" s="6" t="n">
        <x:v>76081</x:v>
      </x:c>
      <x:c r="F1045" s="6" t="n">
        <x:v>0</x:v>
      </x:c>
      <x:c r="G1045" s="6" t="n">
        <x:v>0</x:v>
      </x:c>
      <x:c r="H1045" s="9" t="str">
        <x:v>23-05-2014</x:v>
      </x:c>
      <x:c r="I1045" s="6" t="n">
        <x:v>85</x:v>
      </x:c>
      <x:c r="J1045" s="6" t="n">
        <x:v>292</x:v>
      </x:c>
      <x:c r="K1045" s="6" t="n">
        <x:v>30</x:v>
      </x:c>
      <x:c r="L1045" s="6" t="n">
        <x:v>415</x:v>
      </x:c>
      <x:c r="M1045" s="6" t="n">
        <x:v>63</x:v>
      </x:c>
      <x:c r="N1045" s="6" t="n">
        <x:v>33</x:v>
      </x:c>
      <x:c r="O1045" s="6" t="n">
        <x:v>200</x:v>
      </x:c>
      <x:c r="P1045" s="6" t="n">
        <x:v>1</x:v>
      </x:c>
      <x:c r="Q1045" s="6" t="n">
        <x:v>4</x:v>
      </x:c>
      <x:c r="R1045" s="6" t="n">
        <x:v>5</x:v>
      </x:c>
      <x:c r="S1045" s="6" t="n">
        <x:v>4</x:v>
      </x:c>
      <x:c r="T1045" s="6" t="n">
        <x:v>2</x:v>
      </x:c>
      <x:c r="U1045" s="6" t="n">
        <x:v>0</x:v>
      </x:c>
      <x:c r="V1045" s="6" t="n">
        <x:v>0</x:v>
      </x:c>
      <x:c r="W1045" s="6" t="n">
        <x:v>0</x:v>
      </x:c>
      <x:c r="X1045" s="6" t="n">
        <x:v>1</x:v>
      </x:c>
      <x:c r="Y1045" s="6" t="n">
        <x:v>0</x:v>
      </x:c>
      <x:c r="Z1045" s="6" t="n">
        <x:v>0</x:v>
      </x:c>
      <x:c r="AA1045" s="6" t="n">
        <x:v>3</x:v>
      </x:c>
      <x:c r="AB1045" s="6" t="n">
        <x:v>11</x:v>
      </x:c>
      <x:c r="AC1045" s="6" t="n">
        <x:v>0</x:v>
      </x:c>
    </x:row>
    <x:row r="1046">
      <x:c r="A1046" s="6" t="n">
        <x:v>6287</x:v>
      </x:c>
      <x:c r="B1046" s="6" t="n">
        <x:v>1986</x:v>
      </x:c>
      <x:c r="C1046" s="6" t="str">
        <x:v>Graduation</x:v>
      </x:c>
      <x:c r="D1046" s="6" t="str">
        <x:v>Together</x:v>
      </x:c>
      <x:c r="E1046" s="6" t="n">
        <x:v>34728</x:v>
      </x:c>
      <x:c r="F1046" s="6" t="n">
        <x:v>1</x:v>
      </x:c>
      <x:c r="G1046" s="6" t="n">
        <x:v>0</x:v>
      </x:c>
      <x:c r="H1046" s="9" t="str">
        <x:v>30-07-2013</x:v>
      </x:c>
      <x:c r="I1046" s="6" t="n">
        <x:v>2</x:v>
      </x:c>
      <x:c r="J1046" s="6" t="n">
        <x:v>14</x:v>
      </x:c>
      <x:c r="K1046" s="6" t="n">
        <x:v>0</x:v>
      </x:c>
      <x:c r="L1046" s="6" t="n">
        <x:v>16</x:v>
      </x:c>
      <x:c r="M1046" s="6" t="n">
        <x:v>0</x:v>
      </x:c>
      <x:c r="N1046" s="6" t="n">
        <x:v>0</x:v>
      </x:c>
      <x:c r="O1046" s="6" t="n">
        <x:v>6</x:v>
      </x:c>
      <x:c r="P1046" s="6" t="n">
        <x:v>1</x:v>
      </x:c>
      <x:c r="Q1046" s="6" t="n">
        <x:v>1</x:v>
      </x:c>
      <x:c r="R1046" s="6" t="n">
        <x:v>1</x:v>
      </x:c>
      <x:c r="S1046" s="6" t="n">
        <x:v>2</x:v>
      </x:c>
      <x:c r="T1046" s="6" t="n">
        <x:v>6</x:v>
      </x:c>
      <x:c r="U1046" s="6" t="n">
        <x:v>0</x:v>
      </x:c>
      <x:c r="V1046" s="6" t="n">
        <x:v>0</x:v>
      </x:c>
      <x:c r="W1046" s="6" t="n">
        <x:v>0</x:v>
      </x:c>
      <x:c r="X1046" s="6" t="n">
        <x:v>0</x:v>
      </x:c>
      <x:c r="Y1046" s="6" t="n">
        <x:v>0</x:v>
      </x:c>
      <x:c r="Z1046" s="6" t="n">
        <x:v>0</x:v>
      </x:c>
      <x:c r="AA1046" s="6" t="n">
        <x:v>3</x:v>
      </x:c>
      <x:c r="AB1046" s="6" t="n">
        <x:v>11</x:v>
      </x:c>
      <x:c r="AC1046" s="6" t="n">
        <x:v>1</x:v>
      </x:c>
    </x:row>
    <x:row r="1047">
      <x:c r="A1047" s="6" t="n">
        <x:v>5985</x:v>
      </x:c>
      <x:c r="B1047" s="6" t="n">
        <x:v>1965</x:v>
      </x:c>
      <x:c r="C1047" s="6" t="str">
        <x:v>Master</x:v>
      </x:c>
      <x:c r="D1047" s="6" t="str">
        <x:v>Single</x:v>
      </x:c>
      <x:c r="E1047" s="6" t="n">
        <x:v>33168</x:v>
      </x:c>
      <x:c r="F1047" s="6" t="n">
        <x:v>0</x:v>
      </x:c>
      <x:c r="G1047" s="6" t="n">
        <x:v>1</x:v>
      </x:c>
      <x:c r="H1047" s="9" t="str">
        <x:v>13-10-2012</x:v>
      </x:c>
      <x:c r="I1047" s="6" t="n">
        <x:v>0</x:v>
      </x:c>
      <x:c r="J1047" s="6" t="n">
        <x:v>80</x:v>
      </x:c>
      <x:c r="K1047" s="6" t="n">
        <x:v>1</x:v>
      </x:c>
      <x:c r="L1047" s="6" t="n">
        <x:v>37</x:v>
      </x:c>
      <x:c r="M1047" s="6" t="n">
        <x:v>0</x:v>
      </x:c>
      <x:c r="N1047" s="6" t="n">
        <x:v>1</x:v>
      </x:c>
      <x:c r="O1047" s="6" t="n">
        <x:v>3</x:v>
      </x:c>
      <x:c r="P1047" s="6" t="n">
        <x:v>3</x:v>
      </x:c>
      <x:c r="Q1047" s="6" t="n">
        <x:v>2</x:v>
      </x:c>
      <x:c r="R1047" s="6" t="n">
        <x:v>1</x:v>
      </x:c>
      <x:c r="S1047" s="6" t="n">
        <x:v>4</x:v>
      </x:c>
      <x:c r="T1047" s="6" t="n">
        <x:v>7</x:v>
      </x:c>
      <x:c r="U1047" s="6" t="n">
        <x:v>0</x:v>
      </x:c>
      <x:c r="V1047" s="6" t="n">
        <x:v>0</x:v>
      </x:c>
      <x:c r="W1047" s="6" t="n">
        <x:v>0</x:v>
      </x:c>
      <x:c r="X1047" s="6" t="n">
        <x:v>0</x:v>
      </x:c>
      <x:c r="Y1047" s="6" t="n">
        <x:v>0</x:v>
      </x:c>
      <x:c r="Z1047" s="6" t="n">
        <x:v>0</x:v>
      </x:c>
      <x:c r="AA1047" s="6" t="n">
        <x:v>3</x:v>
      </x:c>
      <x:c r="AB1047" s="6" t="n">
        <x:v>11</x:v>
      </x:c>
      <x:c r="AC1047" s="6" t="n">
        <x:v>0</x:v>
      </x:c>
    </x:row>
    <x:row r="1048">
      <x:c r="A1048" s="6" t="n">
        <x:v>4754</x:v>
      </x:c>
      <x:c r="B1048" s="6" t="n">
        <x:v>1966</x:v>
      </x:c>
      <x:c r="C1048" s="6" t="str">
        <x:v>Master</x:v>
      </x:c>
      <x:c r="D1048" s="6" t="str">
        <x:v>Married</x:v>
      </x:c>
      <x:c r="E1048" s="6" t="n">
        <x:v>33585</x:v>
      </x:c>
      <x:c r="F1048" s="6" t="n">
        <x:v>0</x:v>
      </x:c>
      <x:c r="G1048" s="6" t="n">
        <x:v>1</x:v>
      </x:c>
      <x:c r="H1048" s="9" t="str">
        <x:v>25-09-2013</x:v>
      </x:c>
      <x:c r="I1048" s="6" t="n">
        <x:v>91</x:v>
      </x:c>
      <x:c r="J1048" s="6" t="n">
        <x:v>30</x:v>
      </x:c>
      <x:c r="K1048" s="6" t="n">
        <x:v>11</x:v>
      </x:c>
      <x:c r="L1048" s="6" t="n">
        <x:v>33</x:v>
      </x:c>
      <x:c r="M1048" s="6" t="n">
        <x:v>13</x:v>
      </x:c>
      <x:c r="N1048" s="6" t="n">
        <x:v>6</x:v>
      </x:c>
      <x:c r="O1048" s="6" t="n">
        <x:v>29</x:v>
      </x:c>
      <x:c r="P1048" s="6" t="n">
        <x:v>1</x:v>
      </x:c>
      <x:c r="Q1048" s="6" t="n">
        <x:v>2</x:v>
      </x:c>
      <x:c r="R1048" s="6" t="n">
        <x:v>0</x:v>
      </x:c>
      <x:c r="S1048" s="6" t="n">
        <x:v>4</x:v>
      </x:c>
      <x:c r="T1048" s="6" t="n">
        <x:v>4</x:v>
      </x:c>
      <x:c r="U1048" s="6" t="n">
        <x:v>0</x:v>
      </x:c>
      <x:c r="V1048" s="6" t="n">
        <x:v>0</x:v>
      </x:c>
      <x:c r="W1048" s="6" t="n">
        <x:v>0</x:v>
      </x:c>
      <x:c r="X1048" s="6" t="n">
        <x:v>0</x:v>
      </x:c>
      <x:c r="Y1048" s="6" t="n">
        <x:v>0</x:v>
      </x:c>
      <x:c r="Z1048" s="6" t="n">
        <x:v>0</x:v>
      </x:c>
      <x:c r="AA1048" s="6" t="n">
        <x:v>3</x:v>
      </x:c>
      <x:c r="AB1048" s="6" t="n">
        <x:v>11</x:v>
      </x:c>
      <x:c r="AC1048" s="6" t="n">
        <x:v>0</x:v>
      </x:c>
    </x:row>
    <x:row r="1049">
      <x:c r="A1049" s="6" t="n">
        <x:v>4002</x:v>
      </x:c>
      <x:c r="B1049" s="6" t="n">
        <x:v>1960</x:v>
      </x:c>
      <x:c r="C1049" s="6" t="str">
        <x:v>PhD</x:v>
      </x:c>
      <x:c r="D1049" s="6" t="str">
        <x:v>Married</x:v>
      </x:c>
      <x:c r="E1049" s="6" t="n">
        <x:v>77037</x:v>
      </x:c>
      <x:c r="F1049" s="6" t="n">
        <x:v>0</x:v>
      </x:c>
      <x:c r="G1049" s="6" t="n">
        <x:v>1</x:v>
      </x:c>
      <x:c r="H1049" s="9" t="str">
        <x:v>13-10-2013</x:v>
      </x:c>
      <x:c r="I1049" s="6" t="n">
        <x:v>3</x:v>
      </x:c>
      <x:c r="J1049" s="6" t="n">
        <x:v>463</x:v>
      </x:c>
      <x:c r="K1049" s="6" t="n">
        <x:v>96</x:v>
      </x:c>
      <x:c r="L1049" s="6" t="n">
        <x:v>333</x:v>
      </x:c>
      <x:c r="M1049" s="6" t="n">
        <x:v>168</x:v>
      </x:c>
      <x:c r="N1049" s="6" t="n">
        <x:v>53</x:v>
      </x:c>
      <x:c r="O1049" s="6" t="n">
        <x:v>10</x:v>
      </x:c>
      <x:c r="P1049" s="6" t="n">
        <x:v>1</x:v>
      </x:c>
      <x:c r="Q1049" s="6" t="n">
        <x:v>7</x:v>
      </x:c>
      <x:c r="R1049" s="6" t="n">
        <x:v>7</x:v>
      </x:c>
      <x:c r="S1049" s="6" t="n">
        <x:v>12</x:v>
      </x:c>
      <x:c r="T1049" s="6" t="n">
        <x:v>3</x:v>
      </x:c>
      <x:c r="U1049" s="6" t="n">
        <x:v>0</x:v>
      </x:c>
      <x:c r="V1049" s="6" t="n">
        <x:v>0</x:v>
      </x:c>
      <x:c r="W1049" s="6" t="n">
        <x:v>0</x:v>
      </x:c>
      <x:c r="X1049" s="6" t="n">
        <x:v>0</x:v>
      </x:c>
      <x:c r="Y1049" s="6" t="n">
        <x:v>0</x:v>
      </x:c>
      <x:c r="Z1049" s="6" t="n">
        <x:v>0</x:v>
      </x:c>
      <x:c r="AA1049" s="6" t="n">
        <x:v>3</x:v>
      </x:c>
      <x:c r="AB1049" s="6" t="n">
        <x:v>11</x:v>
      </x:c>
      <x:c r="AC1049" s="6" t="n">
        <x:v>0</x:v>
      </x:c>
    </x:row>
    <x:row r="1050">
      <x:c r="A1050" s="6" t="n">
        <x:v>8870</x:v>
      </x:c>
      <x:c r="B1050" s="6" t="n">
        <x:v>1984</x:v>
      </x:c>
      <x:c r="C1050" s="6" t="str">
        <x:v>Graduation</x:v>
      </x:c>
      <x:c r="D1050" s="6" t="str">
        <x:v>Together</x:v>
      </x:c>
      <x:c r="E1050" s="6" t="n">
        <x:v>35196</x:v>
      </x:c>
      <x:c r="F1050" s="6" t="n">
        <x:v>1</x:v>
      </x:c>
      <x:c r="G1050" s="6" t="n">
        <x:v>0</x:v>
      </x:c>
      <x:c r="H1050" s="9" t="str">
        <x:v>13-11-2012</x:v>
      </x:c>
      <x:c r="I1050" s="6" t="n">
        <x:v>68</x:v>
      </x:c>
      <x:c r="J1050" s="6" t="n">
        <x:v>75</x:v>
      </x:c>
      <x:c r="K1050" s="6" t="n">
        <x:v>12</x:v>
      </x:c>
      <x:c r="L1050" s="6" t="n">
        <x:v>141</x:v>
      </x:c>
      <x:c r="M1050" s="6" t="n">
        <x:v>43</x:v>
      </x:c>
      <x:c r="N1050" s="6" t="n">
        <x:v>39</x:v>
      </x:c>
      <x:c r="O1050" s="6" t="n">
        <x:v>187</x:v>
      </x:c>
      <x:c r="P1050" s="6" t="n">
        <x:v>6</x:v>
      </x:c>
      <x:c r="Q1050" s="6" t="n">
        <x:v>6</x:v>
      </x:c>
      <x:c r="R1050" s="6" t="n">
        <x:v>1</x:v>
      </x:c>
      <x:c r="S1050" s="6" t="n">
        <x:v>5</x:v>
      </x:c>
      <x:c r="T1050" s="6" t="n">
        <x:v>8</x:v>
      </x:c>
      <x:c r="U1050" s="6" t="n">
        <x:v>0</x:v>
      </x:c>
      <x:c r="V1050" s="6" t="n">
        <x:v>0</x:v>
      </x:c>
      <x:c r="W1050" s="6" t="n">
        <x:v>0</x:v>
      </x:c>
      <x:c r="X1050" s="6" t="n">
        <x:v>0</x:v>
      </x:c>
      <x:c r="Y1050" s="6" t="n">
        <x:v>0</x:v>
      </x:c>
      <x:c r="Z1050" s="6" t="n">
        <x:v>0</x:v>
      </x:c>
      <x:c r="AA1050" s="6" t="n">
        <x:v>3</x:v>
      </x:c>
      <x:c r="AB1050" s="6" t="n">
        <x:v>11</x:v>
      </x:c>
      <x:c r="AC1050" s="6" t="n">
        <x:v>1</x:v>
      </x:c>
    </x:row>
    <x:row r="1051">
      <x:c r="A1051" s="6" t="n">
        <x:v>966</x:v>
      </x:c>
      <x:c r="B1051" s="6" t="n">
        <x:v>1966</x:v>
      </x:c>
      <x:c r="C1051" s="6" t="str">
        <x:v>Graduation</x:v>
      </x:c>
      <x:c r="D1051" s="6" t="str">
        <x:v>Married</x:v>
      </x:c>
      <x:c r="E1051" s="6" t="n">
        <x:v>44529</x:v>
      </x:c>
      <x:c r="F1051" s="6" t="n">
        <x:v>0</x:v>
      </x:c>
      <x:c r="G1051" s="6" t="n">
        <x:v>1</x:v>
      </x:c>
      <x:c r="H1051" s="9" t="str">
        <x:v>05-07-2013</x:v>
      </x:c>
      <x:c r="I1051" s="6" t="n">
        <x:v>98</x:v>
      </x:c>
      <x:c r="J1051" s="6" t="n">
        <x:v>538</x:v>
      </x:c>
      <x:c r="K1051" s="6" t="n">
        <x:v>13</x:v>
      </x:c>
      <x:c r="L1051" s="6" t="n">
        <x:v>91</x:v>
      </x:c>
      <x:c r="M1051" s="6" t="n">
        <x:v>17</x:v>
      </x:c>
      <x:c r="N1051" s="6" t="n">
        <x:v>6</x:v>
      </x:c>
      <x:c r="O1051" s="6" t="n">
        <x:v>26</x:v>
      </x:c>
      <x:c r="P1051" s="6" t="n">
        <x:v>6</x:v>
      </x:c>
      <x:c r="Q1051" s="6" t="n">
        <x:v>6</x:v>
      </x:c>
      <x:c r="R1051" s="6" t="n">
        <x:v>2</x:v>
      </x:c>
      <x:c r="S1051" s="6" t="n">
        <x:v>11</x:v>
      </x:c>
      <x:c r="T1051" s="6" t="n">
        <x:v>5</x:v>
      </x:c>
      <x:c r="U1051" s="6" t="n">
        <x:v>0</x:v>
      </x:c>
      <x:c r="V1051" s="6" t="n">
        <x:v>1</x:v>
      </x:c>
      <x:c r="W1051" s="6" t="n">
        <x:v>0</x:v>
      </x:c>
      <x:c r="X1051" s="6" t="n">
        <x:v>0</x:v>
      </x:c>
      <x:c r="Y1051" s="6" t="n">
        <x:v>0</x:v>
      </x:c>
      <x:c r="Z1051" s="6" t="n">
        <x:v>0</x:v>
      </x:c>
      <x:c r="AA1051" s="6" t="n">
        <x:v>3</x:v>
      </x:c>
      <x:c r="AB1051" s="6" t="n">
        <x:v>11</x:v>
      </x:c>
      <x:c r="AC1051" s="6" t="n">
        <x:v>0</x:v>
      </x:c>
    </x:row>
    <x:row r="1052">
      <x:c r="A1052" s="6" t="n">
        <x:v>4767</x:v>
      </x:c>
      <x:c r="B1052" s="6" t="n">
        <x:v>1965</x:v>
      </x:c>
      <x:c r="C1052" s="6" t="str">
        <x:v>2n Cycle</x:v>
      </x:c>
      <x:c r="D1052" s="6" t="str">
        <x:v>Married</x:v>
      </x:c>
      <x:c r="E1052" s="6" t="n">
        <x:v>70924</x:v>
      </x:c>
      <x:c r="F1052" s="6" t="n">
        <x:v>0</x:v>
      </x:c>
      <x:c r="G1052" s="6" t="n">
        <x:v>0</x:v>
      </x:c>
      <x:c r="H1052" s="9" t="str">
        <x:v>07-04-2014</x:v>
      </x:c>
      <x:c r="I1052" s="6" t="n">
        <x:v>41</x:v>
      </x:c>
      <x:c r="J1052" s="6" t="n">
        <x:v>635</x:v>
      </x:c>
      <x:c r="K1052" s="6" t="n">
        <x:v>114</x:v>
      </x:c>
      <x:c r="L1052" s="6" t="n">
        <x:v>254</x:v>
      </x:c>
      <x:c r="M1052" s="6" t="n">
        <x:v>132</x:v>
      </x:c>
      <x:c r="N1052" s="6" t="n">
        <x:v>152</x:v>
      </x:c>
      <x:c r="O1052" s="6" t="n">
        <x:v>76</x:v>
      </x:c>
      <x:c r="P1052" s="6" t="n">
        <x:v>1</x:v>
      </x:c>
      <x:c r="Q1052" s="6" t="n">
        <x:v>6</x:v>
      </x:c>
      <x:c r="R1052" s="6" t="n">
        <x:v>6</x:v>
      </x:c>
      <x:c r="S1052" s="6" t="n">
        <x:v>7</x:v>
      </x:c>
      <x:c r="T1052" s="6" t="n">
        <x:v>3</x:v>
      </x:c>
      <x:c r="U1052" s="6" t="n">
        <x:v>0</x:v>
      </x:c>
      <x:c r="V1052" s="6" t="n">
        <x:v>0</x:v>
      </x:c>
      <x:c r="W1052" s="6" t="n">
        <x:v>1</x:v>
      </x:c>
      <x:c r="X1052" s="6" t="n">
        <x:v>0</x:v>
      </x:c>
      <x:c r="Y1052" s="6" t="n">
        <x:v>0</x:v>
      </x:c>
      <x:c r="Z1052" s="6" t="n">
        <x:v>0</x:v>
      </x:c>
      <x:c r="AA1052" s="6" t="n">
        <x:v>3</x:v>
      </x:c>
      <x:c r="AB1052" s="6" t="n">
        <x:v>11</x:v>
      </x:c>
      <x:c r="AC1052" s="6" t="n">
        <x:v>0</x:v>
      </x:c>
    </x:row>
    <x:row r="1053">
      <x:c r="A1053" s="6" t="n">
        <x:v>9725</x:v>
      </x:c>
      <x:c r="B1053" s="6" t="n">
        <x:v>1966</x:v>
      </x:c>
      <x:c r="C1053" s="6" t="str">
        <x:v>PhD</x:v>
      </x:c>
      <x:c r="D1053" s="6" t="str">
        <x:v>Together</x:v>
      </x:c>
      <x:c r="E1053" s="6" t="n">
        <x:v>28764</x:v>
      </x:c>
      <x:c r="F1053" s="6" t="n">
        <x:v>1</x:v>
      </x:c>
      <x:c r="G1053" s="6" t="n">
        <x:v>1</x:v>
      </x:c>
      <x:c r="H1053" s="9" t="str">
        <x:v>05-06-2014</x:v>
      </x:c>
      <x:c r="I1053" s="6" t="n">
        <x:v>16</x:v>
      </x:c>
      <x:c r="J1053" s="6" t="n">
        <x:v>8</x:v>
      </x:c>
      <x:c r="K1053" s="6" t="n">
        <x:v>0</x:v>
      </x:c>
      <x:c r="L1053" s="6" t="n">
        <x:v>3</x:v>
      </x:c>
      <x:c r="M1053" s="6" t="n">
        <x:v>0</x:v>
      </x:c>
      <x:c r="N1053" s="6" t="n">
        <x:v>0</x:v>
      </x:c>
      <x:c r="O1053" s="6" t="n">
        <x:v>1</x:v>
      </x:c>
      <x:c r="P1053" s="6" t="n">
        <x:v>1</x:v>
      </x:c>
      <x:c r="Q1053" s="6" t="n">
        <x:v>1</x:v>
      </x:c>
      <x:c r="R1053" s="6" t="n">
        <x:v>0</x:v>
      </x:c>
      <x:c r="S1053" s="6" t="n">
        <x:v>2</x:v>
      </x:c>
      <x:c r="T1053" s="6" t="n">
        <x:v>8</x:v>
      </x:c>
      <x:c r="U1053" s="6" t="n">
        <x:v>1</x:v>
      </x:c>
      <x:c r="V1053" s="6" t="n">
        <x:v>0</x:v>
      </x:c>
      <x:c r="W1053" s="6" t="n">
        <x:v>0</x:v>
      </x:c>
      <x:c r="X1053" s="6" t="n">
        <x:v>0</x:v>
      </x:c>
      <x:c r="Y1053" s="6" t="n">
        <x:v>0</x:v>
      </x:c>
      <x:c r="Z1053" s="6" t="n">
        <x:v>0</x:v>
      </x:c>
      <x:c r="AA1053" s="6" t="n">
        <x:v>3</x:v>
      </x:c>
      <x:c r="AB1053" s="6" t="n">
        <x:v>11</x:v>
      </x:c>
      <x:c r="AC1053" s="6" t="n">
        <x:v>0</x:v>
      </x:c>
    </x:row>
    <x:row r="1054">
      <x:c r="A1054" s="6" t="n">
        <x:v>4475</x:v>
      </x:c>
      <x:c r="B1054" s="6" t="n">
        <x:v>1949</x:v>
      </x:c>
      <x:c r="C1054" s="6" t="str">
        <x:v>PhD</x:v>
      </x:c>
      <x:c r="D1054" s="6" t="str">
        <x:v>Married</x:v>
      </x:c>
      <x:c r="E1054" s="6" t="n">
        <x:v>69098</x:v>
      </x:c>
      <x:c r="F1054" s="6" t="n">
        <x:v>0</x:v>
      </x:c>
      <x:c r="G1054" s="6" t="n">
        <x:v>0</x:v>
      </x:c>
      <x:c r="H1054" s="9" t="str">
        <x:v>16-02-2013</x:v>
      </x:c>
      <x:c r="I1054" s="6" t="n">
        <x:v>82</x:v>
      </x:c>
      <x:c r="J1054" s="6" t="n">
        <x:v>1315</x:v>
      </x:c>
      <x:c r="K1054" s="6" t="n">
        <x:v>22</x:v>
      </x:c>
      <x:c r="L1054" s="6" t="n">
        <x:v>780</x:v>
      </x:c>
      <x:c r="M1054" s="6" t="n">
        <x:v>145</x:v>
      </x:c>
      <x:c r="N1054" s="6" t="n">
        <x:v>0</x:v>
      </x:c>
      <x:c r="O1054" s="6" t="n">
        <x:v>178</x:v>
      </x:c>
      <x:c r="P1054" s="6" t="n">
        <x:v>1</x:v>
      </x:c>
      <x:c r="Q1054" s="6" t="n">
        <x:v>7</x:v>
      </x:c>
      <x:c r="R1054" s="6" t="n">
        <x:v>8</x:v>
      </x:c>
      <x:c r="S1054" s="6" t="n">
        <x:v>9</x:v>
      </x:c>
      <x:c r="T1054" s="6" t="n">
        <x:v>5</x:v>
      </x:c>
      <x:c r="U1054" s="6" t="n">
        <x:v>0</x:v>
      </x:c>
      <x:c r="V1054" s="6" t="n">
        <x:v>0</x:v>
      </x:c>
      <x:c r="W1054" s="6" t="n">
        <x:v>0</x:v>
      </x:c>
      <x:c r="X1054" s="6" t="n">
        <x:v>0</x:v>
      </x:c>
      <x:c r="Y1054" s="6" t="n">
        <x:v>0</x:v>
      </x:c>
      <x:c r="Z1054" s="6" t="n">
        <x:v>0</x:v>
      </x:c>
      <x:c r="AA1054" s="6" t="n">
        <x:v>3</x:v>
      </x:c>
      <x:c r="AB1054" s="6" t="n">
        <x:v>11</x:v>
      </x:c>
      <x:c r="AC1054" s="6" t="n">
        <x:v>0</x:v>
      </x:c>
    </x:row>
    <x:row r="1055">
      <x:c r="A1055" s="6" t="n">
        <x:v>5740</x:v>
      </x:c>
      <x:c r="B1055" s="6" t="n">
        <x:v>1970</x:v>
      </x:c>
      <x:c r="C1055" s="6" t="str">
        <x:v>2n Cycle</x:v>
      </x:c>
      <x:c r="D1055" s="6" t="str">
        <x:v>Divorced</x:v>
      </x:c>
      <x:c r="E1055" s="6" t="n">
        <x:v>25959</x:v>
      </x:c>
      <x:c r="F1055" s="6" t="n">
        <x:v>1</x:v>
      </x:c>
      <x:c r="G1055" s="6" t="n">
        <x:v>1</x:v>
      </x:c>
      <x:c r="H1055" s="9" t="str">
        <x:v>14-02-2013</x:v>
      </x:c>
      <x:c r="I1055" s="6" t="n">
        <x:v>1</x:v>
      </x:c>
      <x:c r="J1055" s="6" t="n">
        <x:v>4</x:v>
      </x:c>
      <x:c r="K1055" s="6" t="n">
        <x:v>2</x:v>
      </x:c>
      <x:c r="L1055" s="6" t="n">
        <x:v>12</x:v>
      </x:c>
      <x:c r="M1055" s="6" t="n">
        <x:v>7</x:v>
      </x:c>
      <x:c r="N1055" s="6" t="n">
        <x:v>5</x:v>
      </x:c>
      <x:c r="O1055" s="6" t="n">
        <x:v>26</x:v>
      </x:c>
      <x:c r="P1055" s="6" t="n">
        <x:v>2</x:v>
      </x:c>
      <x:c r="Q1055" s="6" t="n">
        <x:v>1</x:v>
      </x:c>
      <x:c r="R1055" s="6" t="n">
        <x:v>2</x:v>
      </x:c>
      <x:c r="S1055" s="6" t="n">
        <x:v>2</x:v>
      </x:c>
      <x:c r="T1055" s="6" t="n">
        <x:v>6</x:v>
      </x:c>
      <x:c r="U1055" s="6" t="n">
        <x:v>0</x:v>
      </x:c>
      <x:c r="V1055" s="6" t="n">
        <x:v>0</x:v>
      </x:c>
      <x:c r="W1055" s="6" t="n">
        <x:v>0</x:v>
      </x:c>
      <x:c r="X1055" s="6" t="n">
        <x:v>0</x:v>
      </x:c>
      <x:c r="Y1055" s="6" t="n">
        <x:v>0</x:v>
      </x:c>
      <x:c r="Z1055" s="6" t="n">
        <x:v>0</x:v>
      </x:c>
      <x:c r="AA1055" s="6" t="n">
        <x:v>3</x:v>
      </x:c>
      <x:c r="AB1055" s="6" t="n">
        <x:v>11</x:v>
      </x:c>
      <x:c r="AC1055" s="6" t="n">
        <x:v>1</x:v>
      </x:c>
    </x:row>
    <x:row r="1056">
      <x:c r="A1056" s="6" t="n">
        <x:v>5731</x:v>
      </x:c>
      <x:c r="B1056" s="6" t="n">
        <x:v>1983</x:v>
      </x:c>
      <x:c r="C1056" s="6" t="str">
        <x:v>Master</x:v>
      </x:c>
      <x:c r="D1056" s="6" t="str">
        <x:v>Married</x:v>
      </x:c>
      <x:c r="E1056" s="6" t="n">
        <x:v>27100</x:v>
      </x:c>
      <x:c r="F1056" s="6" t="n">
        <x:v>1</x:v>
      </x:c>
      <x:c r="G1056" s="6" t="n">
        <x:v>0</x:v>
      </x:c>
      <x:c r="H1056" s="9" t="str">
        <x:v>05-04-2013</x:v>
      </x:c>
      <x:c r="I1056" s="6" t="n">
        <x:v>64</x:v>
      </x:c>
      <x:c r="J1056" s="6" t="n">
        <x:v>12</x:v>
      </x:c>
      <x:c r="K1056" s="6" t="n">
        <x:v>0</x:v>
      </x:c>
      <x:c r="L1056" s="6" t="n">
        <x:v>13</x:v>
      </x:c>
      <x:c r="M1056" s="6" t="n">
        <x:v>2</x:v>
      </x:c>
      <x:c r="N1056" s="6" t="n">
        <x:v>0</x:v>
      </x:c>
      <x:c r="O1056" s="6" t="n">
        <x:v>10</x:v>
      </x:c>
      <x:c r="P1056" s="6" t="n">
        <x:v>1</x:v>
      </x:c>
      <x:c r="Q1056" s="6" t="n">
        <x:v>1</x:v>
      </x:c>
      <x:c r="R1056" s="6" t="n">
        <x:v>0</x:v>
      </x:c>
      <x:c r="S1056" s="6" t="n">
        <x:v>3</x:v>
      </x:c>
      <x:c r="T1056" s="6" t="n">
        <x:v>7</x:v>
      </x:c>
      <x:c r="U1056" s="6" t="n">
        <x:v>0</x:v>
      </x:c>
      <x:c r="V1056" s="6" t="n">
        <x:v>0</x:v>
      </x:c>
      <x:c r="W1056" s="6" t="n">
        <x:v>0</x:v>
      </x:c>
      <x:c r="X1056" s="6" t="n">
        <x:v>0</x:v>
      </x:c>
      <x:c r="Y1056" s="6" t="n">
        <x:v>0</x:v>
      </x:c>
      <x:c r="Z1056" s="6" t="n">
        <x:v>0</x:v>
      </x:c>
      <x:c r="AA1056" s="6" t="n">
        <x:v>3</x:v>
      </x:c>
      <x:c r="AB1056" s="6" t="n">
        <x:v>11</x:v>
      </x:c>
      <x:c r="AC1056" s="6" t="n">
        <x:v>0</x:v>
      </x:c>
    </x:row>
    <x:row r="1057">
      <x:c r="A1057" s="6" t="n">
        <x:v>7290</x:v>
      </x:c>
      <x:c r="B1057" s="6" t="n">
        <x:v>1985</x:v>
      </x:c>
      <x:c r="C1057" s="6" t="str">
        <x:v>Graduation</x:v>
      </x:c>
      <x:c r="D1057" s="6" t="str">
        <x:v>Single</x:v>
      </x:c>
      <x:c r="E1057" s="6" t="n">
        <x:v>70596</x:v>
      </x:c>
      <x:c r="F1057" s="6" t="n">
        <x:v>0</x:v>
      </x:c>
      <x:c r="G1057" s="6" t="n">
        <x:v>0</x:v>
      </x:c>
      <x:c r="H1057" s="9" t="str">
        <x:v>05-10-2012</x:v>
      </x:c>
      <x:c r="I1057" s="6" t="n">
        <x:v>68</x:v>
      </x:c>
      <x:c r="J1057" s="6" t="n">
        <x:v>347</x:v>
      </x:c>
      <x:c r="K1057" s="6" t="n">
        <x:v>44</x:v>
      </x:c>
      <x:c r="L1057" s="6" t="n">
        <x:v>534</x:v>
      </x:c>
      <x:c r="M1057" s="6" t="n">
        <x:v>17</x:v>
      </x:c>
      <x:c r="N1057" s="6" t="n">
        <x:v>0</x:v>
      </x:c>
      <x:c r="O1057" s="6" t="n">
        <x:v>26</x:v>
      </x:c>
      <x:c r="P1057" s="6" t="n">
        <x:v>1</x:v>
      </x:c>
      <x:c r="Q1057" s="6" t="n">
        <x:v>3</x:v>
      </x:c>
      <x:c r="R1057" s="6" t="n">
        <x:v>5</x:v>
      </x:c>
      <x:c r="S1057" s="6" t="n">
        <x:v>12</x:v>
      </x:c>
      <x:c r="T1057" s="6" t="n">
        <x:v>2</x:v>
      </x:c>
      <x:c r="U1057" s="6" t="n">
        <x:v>0</x:v>
      </x:c>
      <x:c r="V1057" s="6" t="n">
        <x:v>0</x:v>
      </x:c>
      <x:c r="W1057" s="6" t="n">
        <x:v>0</x:v>
      </x:c>
      <x:c r="X1057" s="6" t="n">
        <x:v>0</x:v>
      </x:c>
      <x:c r="Y1057" s="6" t="n">
        <x:v>0</x:v>
      </x:c>
      <x:c r="Z1057" s="6" t="n">
        <x:v>0</x:v>
      </x:c>
      <x:c r="AA1057" s="6" t="n">
        <x:v>3</x:v>
      </x:c>
      <x:c r="AB1057" s="6" t="n">
        <x:v>11</x:v>
      </x:c>
      <x:c r="AC1057" s="6" t="n">
        <x:v>0</x:v>
      </x:c>
    </x:row>
    <x:row r="1058">
      <x:c r="A1058" s="6" t="n">
        <x:v>3846</x:v>
      </x:c>
      <x:c r="B1058" s="6" t="n">
        <x:v>1974</x:v>
      </x:c>
      <x:c r="C1058" s="6" t="str">
        <x:v>Graduation</x:v>
      </x:c>
      <x:c r="D1058" s="6" t="str">
        <x:v>Married</x:v>
      </x:c>
      <x:c r="E1058" s="6" t="n">
        <x:v>42557</x:v>
      </x:c>
      <x:c r="F1058" s="6" t="n">
        <x:v>0</x:v>
      </x:c>
      <x:c r="G1058" s="6" t="n">
        <x:v>1</x:v>
      </x:c>
      <x:c r="H1058" s="9" t="str">
        <x:v>29-08-2012</x:v>
      </x:c>
      <x:c r="I1058" s="6" t="n">
        <x:v>98</x:v>
      </x:c>
      <x:c r="J1058" s="6" t="n">
        <x:v>192</x:v>
      </x:c>
      <x:c r="K1058" s="6" t="n">
        <x:v>5</x:v>
      </x:c>
      <x:c r="L1058" s="6" t="n">
        <x:v>53</x:v>
      </x:c>
      <x:c r="M1058" s="6" t="n">
        <x:v>0</x:v>
      </x:c>
      <x:c r="N1058" s="6" t="n">
        <x:v>5</x:v>
      </x:c>
      <x:c r="O1058" s="6" t="n">
        <x:v>15</x:v>
      </x:c>
      <x:c r="P1058" s="6" t="n">
        <x:v>4</x:v>
      </x:c>
      <x:c r="Q1058" s="6" t="n">
        <x:v>6</x:v>
      </x:c>
      <x:c r="R1058" s="6" t="n">
        <x:v>1</x:v>
      </x:c>
      <x:c r="S1058" s="6" t="n">
        <x:v>4</x:v>
      </x:c>
      <x:c r="T1058" s="6" t="n">
        <x:v>8</x:v>
      </x:c>
      <x:c r="U1058" s="6" t="n">
        <x:v>0</x:v>
      </x:c>
      <x:c r="V1058" s="6" t="n">
        <x:v>0</x:v>
      </x:c>
      <x:c r="W1058" s="6" t="n">
        <x:v>0</x:v>
      </x:c>
      <x:c r="X1058" s="6" t="n">
        <x:v>0</x:v>
      </x:c>
      <x:c r="Y1058" s="6" t="n">
        <x:v>0</x:v>
      </x:c>
      <x:c r="Z1058" s="6" t="n">
        <x:v>0</x:v>
      </x:c>
      <x:c r="AA1058" s="6" t="n">
        <x:v>3</x:v>
      </x:c>
      <x:c r="AB1058" s="6" t="n">
        <x:v>11</x:v>
      </x:c>
      <x:c r="AC1058" s="6" t="n">
        <x:v>0</x:v>
      </x:c>
    </x:row>
    <x:row r="1059">
      <x:c r="A1059" s="6" t="n">
        <x:v>8104</x:v>
      </x:c>
      <x:c r="B1059" s="6" t="n">
        <x:v>1951</x:v>
      </x:c>
      <x:c r="C1059" s="6" t="str">
        <x:v>PhD</x:v>
      </x:c>
      <x:c r="D1059" s="6" t="str">
        <x:v>Married</x:v>
      </x:c>
      <x:c r="E1059" s="6" t="n">
        <x:v>53312</x:v>
      </x:c>
      <x:c r="F1059" s="6" t="n">
        <x:v>0</x:v>
      </x:c>
      <x:c r="G1059" s="6" t="n">
        <x:v>0</x:v>
      </x:c>
      <x:c r="H1059" s="9" t="str">
        <x:v>09-08-2013</x:v>
      </x:c>
      <x:c r="I1059" s="6" t="n">
        <x:v>32</x:v>
      </x:c>
      <x:c r="J1059" s="6" t="n">
        <x:v>241</x:v>
      </x:c>
      <x:c r="K1059" s="6" t="n">
        <x:v>0</x:v>
      </x:c>
      <x:c r="L1059" s="6" t="n">
        <x:v>12</x:v>
      </x:c>
      <x:c r="M1059" s="6" t="n">
        <x:v>0</x:v>
      </x:c>
      <x:c r="N1059" s="6" t="n">
        <x:v>0</x:v>
      </x:c>
      <x:c r="O1059" s="6" t="n">
        <x:v>25</x:v>
      </x:c>
      <x:c r="P1059" s="6" t="n">
        <x:v>1</x:v>
      </x:c>
      <x:c r="Q1059" s="6" t="n">
        <x:v>5</x:v>
      </x:c>
      <x:c r="R1059" s="6" t="n">
        <x:v>1</x:v>
      </x:c>
      <x:c r="S1059" s="6" t="n">
        <x:v>5</x:v>
      </x:c>
      <x:c r="T1059" s="6" t="n">
        <x:v>7</x:v>
      </x:c>
      <x:c r="U1059" s="6" t="n">
        <x:v>0</x:v>
      </x:c>
      <x:c r="V1059" s="6" t="n">
        <x:v>0</x:v>
      </x:c>
      <x:c r="W1059" s="6" t="n">
        <x:v>0</x:v>
      </x:c>
      <x:c r="X1059" s="6" t="n">
        <x:v>0</x:v>
      </x:c>
      <x:c r="Y1059" s="6" t="n">
        <x:v>0</x:v>
      </x:c>
      <x:c r="Z1059" s="6" t="n">
        <x:v>0</x:v>
      </x:c>
      <x:c r="AA1059" s="6" t="n">
        <x:v>3</x:v>
      </x:c>
      <x:c r="AB1059" s="6" t="n">
        <x:v>11</x:v>
      </x:c>
      <x:c r="AC1059" s="6" t="n">
        <x:v>0</x:v>
      </x:c>
    </x:row>
    <x:row r="1060">
      <x:c r="A1060" s="6" t="n">
        <x:v>4507</x:v>
      </x:c>
      <x:c r="B1060" s="6" t="n">
        <x:v>1952</x:v>
      </x:c>
      <x:c r="C1060" s="6" t="str">
        <x:v>Graduation</x:v>
      </x:c>
      <x:c r="D1060" s="6" t="str">
        <x:v>Single</x:v>
      </x:c>
      <x:c r="E1060" s="6" t="n">
        <x:v>72228</x:v>
      </x:c>
      <x:c r="F1060" s="6" t="n">
        <x:v>0</x:v>
      </x:c>
      <x:c r="G1060" s="6" t="n">
        <x:v>0</x:v>
      </x:c>
      <x:c r="H1060" s="9" t="str">
        <x:v>27-11-2012</x:v>
      </x:c>
      <x:c r="I1060" s="6" t="n">
        <x:v>87</x:v>
      </x:c>
      <x:c r="J1060" s="6" t="n">
        <x:v>631</x:v>
      </x:c>
      <x:c r="K1060" s="6" t="n">
        <x:v>28</x:v>
      </x:c>
      <x:c r="L1060" s="6" t="n">
        <x:v>491</x:v>
      </x:c>
      <x:c r="M1060" s="6" t="n">
        <x:v>30</x:v>
      </x:c>
      <x:c r="N1060" s="6" t="n">
        <x:v>14</x:v>
      </x:c>
      <x:c r="O1060" s="6" t="n">
        <x:v>56</x:v>
      </x:c>
      <x:c r="P1060" s="6" t="n">
        <x:v>1</x:v>
      </x:c>
      <x:c r="Q1060" s="6" t="n">
        <x:v>6</x:v>
      </x:c>
      <x:c r="R1060" s="6" t="n">
        <x:v>7</x:v>
      </x:c>
      <x:c r="S1060" s="6" t="n">
        <x:v>8</x:v>
      </x:c>
      <x:c r="T1060" s="6" t="n">
        <x:v>3</x:v>
      </x:c>
      <x:c r="U1060" s="6" t="n">
        <x:v>0</x:v>
      </x:c>
      <x:c r="V1060" s="6" t="n">
        <x:v>0</x:v>
      </x:c>
      <x:c r="W1060" s="6" t="n">
        <x:v>0</x:v>
      </x:c>
      <x:c r="X1060" s="6" t="n">
        <x:v>0</x:v>
      </x:c>
      <x:c r="Y1060" s="6" t="n">
        <x:v>0</x:v>
      </x:c>
      <x:c r="Z1060" s="6" t="n">
        <x:v>0</x:v>
      </x:c>
      <x:c r="AA1060" s="6" t="n">
        <x:v>3</x:v>
      </x:c>
      <x:c r="AB1060" s="6" t="n">
        <x:v>11</x:v>
      </x:c>
      <x:c r="AC1060" s="6" t="n">
        <x:v>0</x:v>
      </x:c>
    </x:row>
    <x:row r="1061">
      <x:c r="A1061" s="6" t="n">
        <x:v>11013</x:v>
      </x:c>
      <x:c r="B1061" s="6" t="n">
        <x:v>1987</x:v>
      </x:c>
      <x:c r="C1061" s="6" t="str">
        <x:v>Graduation</x:v>
      </x:c>
      <x:c r="D1061" s="6" t="str">
        <x:v>Together</x:v>
      </x:c>
      <x:c r="E1061" s="6" t="n">
        <x:v>67605</x:v>
      </x:c>
      <x:c r="F1061" s="6" t="n">
        <x:v>0</x:v>
      </x:c>
      <x:c r="G1061" s="6" t="n">
        <x:v>0</x:v>
      </x:c>
      <x:c r="H1061" s="9" t="str">
        <x:v>31-03-2013</x:v>
      </x:c>
      <x:c r="I1061" s="6" t="n">
        <x:v>84</x:v>
      </x:c>
      <x:c r="J1061" s="6" t="n">
        <x:v>336</x:v>
      </x:c>
      <x:c r="K1061" s="6" t="n">
        <x:v>28</x:v>
      </x:c>
      <x:c r="L1061" s="6" t="n">
        <x:v>282</x:v>
      </x:c>
      <x:c r="M1061" s="6" t="n">
        <x:v>184</x:v>
      </x:c>
      <x:c r="N1061" s="6" t="n">
        <x:v>54</x:v>
      </x:c>
      <x:c r="O1061" s="6" t="n">
        <x:v>54</x:v>
      </x:c>
      <x:c r="P1061" s="6" t="n">
        <x:v>1</x:v>
      </x:c>
      <x:c r="Q1061" s="6" t="n">
        <x:v>2</x:v>
      </x:c>
      <x:c r="R1061" s="6" t="n">
        <x:v>8</x:v>
      </x:c>
      <x:c r="S1061" s="6" t="n">
        <x:v>6</x:v>
      </x:c>
      <x:c r="T1061" s="6" t="n">
        <x:v>1</x:v>
      </x:c>
      <x:c r="U1061" s="6" t="n">
        <x:v>0</x:v>
      </x:c>
      <x:c r="V1061" s="6" t="n">
        <x:v>0</x:v>
      </x:c>
      <x:c r="W1061" s="6" t="n">
        <x:v>0</x:v>
      </x:c>
      <x:c r="X1061" s="6" t="n">
        <x:v>0</x:v>
      </x:c>
      <x:c r="Y1061" s="6" t="n">
        <x:v>0</x:v>
      </x:c>
      <x:c r="Z1061" s="6" t="n">
        <x:v>0</x:v>
      </x:c>
      <x:c r="AA1061" s="6" t="n">
        <x:v>3</x:v>
      </x:c>
      <x:c r="AB1061" s="6" t="n">
        <x:v>11</x:v>
      </x:c>
      <x:c r="AC1061" s="6" t="n">
        <x:v>0</x:v>
      </x:c>
    </x:row>
    <x:row r="1062">
      <x:c r="A1062" s="6" t="n">
        <x:v>4491</x:v>
      </x:c>
      <x:c r="B1062" s="6" t="n">
        <x:v>1949</x:v>
      </x:c>
      <x:c r="C1062" s="6" t="str">
        <x:v>Master</x:v>
      </x:c>
      <x:c r="D1062" s="6" t="str">
        <x:v>Married</x:v>
      </x:c>
      <x:c r="E1062" s="6" t="n">
        <x:v>62845</x:v>
      </x:c>
      <x:c r="F1062" s="6" t="n">
        <x:v>1</x:v>
      </x:c>
      <x:c r="G1062" s="6" t="n">
        <x:v>1</x:v>
      </x:c>
      <x:c r="H1062" s="9" t="str">
        <x:v>01-10-2012</x:v>
      </x:c>
      <x:c r="I1062" s="6" t="n">
        <x:v>3</x:v>
      </x:c>
      <x:c r="J1062" s="6" t="n">
        <x:v>1099</x:v>
      </x:c>
      <x:c r="K1062" s="6" t="n">
        <x:v>0</x:v>
      </x:c>
      <x:c r="L1062" s="6" t="n">
        <x:v>45</x:v>
      </x:c>
      <x:c r="M1062" s="6" t="n">
        <x:v>0</x:v>
      </x:c>
      <x:c r="N1062" s="6" t="n">
        <x:v>0</x:v>
      </x:c>
      <x:c r="O1062" s="6" t="n">
        <x:v>34</x:v>
      </x:c>
      <x:c r="P1062" s="6" t="n">
        <x:v>11</x:v>
      </x:c>
      <x:c r="Q1062" s="6" t="n">
        <x:v>3</x:v>
      </x:c>
      <x:c r="R1062" s="6" t="n">
        <x:v>4</x:v>
      </x:c>
      <x:c r="S1062" s="6" t="n">
        <x:v>10</x:v>
      </x:c>
      <x:c r="T1062" s="6" t="n">
        <x:v>8</x:v>
      </x:c>
      <x:c r="U1062" s="6" t="n">
        <x:v>0</x:v>
      </x:c>
      <x:c r="V1062" s="6" t="n">
        <x:v>1</x:v>
      </x:c>
      <x:c r="W1062" s="6" t="n">
        <x:v>0</x:v>
      </x:c>
      <x:c r="X1062" s="6" t="n">
        <x:v>0</x:v>
      </x:c>
      <x:c r="Y1062" s="6" t="n">
        <x:v>0</x:v>
      </x:c>
      <x:c r="Z1062" s="6" t="n">
        <x:v>0</x:v>
      </x:c>
      <x:c r="AA1062" s="6" t="n">
        <x:v>3</x:v>
      </x:c>
      <x:c r="AB1062" s="6" t="n">
        <x:v>11</x:v>
      </x:c>
      <x:c r="AC1062" s="6" t="n">
        <x:v>0</x:v>
      </x:c>
    </x:row>
    <x:row r="1063">
      <x:c r="A1063" s="6" t="n">
        <x:v>3759</x:v>
      </x:c>
      <x:c r="B1063" s="6" t="n">
        <x:v>1958</x:v>
      </x:c>
      <x:c r="C1063" s="6" t="str">
        <x:v>Graduation</x:v>
      </x:c>
      <x:c r="D1063" s="6" t="str">
        <x:v>Together</x:v>
      </x:c>
      <x:c r="E1063" s="6" t="n">
        <x:v>65196</x:v>
      </x:c>
      <x:c r="F1063" s="6" t="n">
        <x:v>0</x:v>
      </x:c>
      <x:c r="G1063" s="6" t="n">
        <x:v>2</x:v>
      </x:c>
      <x:c r="H1063" s="9" t="str">
        <x:v>25-07-2013</x:v>
      </x:c>
      <x:c r="I1063" s="6" t="n">
        <x:v>34</x:v>
      </x:c>
      <x:c r="J1063" s="6" t="n">
        <x:v>743</x:v>
      </x:c>
      <x:c r="K1063" s="6" t="n">
        <x:v>19</x:v>
      </x:c>
      <x:c r="L1063" s="6" t="n">
        <x:v>181</x:v>
      </x:c>
      <x:c r="M1063" s="6" t="n">
        <x:v>12</x:v>
      </x:c>
      <x:c r="N1063" s="6" t="n">
        <x:v>0</x:v>
      </x:c>
      <x:c r="O1063" s="6" t="n">
        <x:v>200</x:v>
      </x:c>
      <x:c r="P1063" s="6" t="n">
        <x:v>2</x:v>
      </x:c>
      <x:c r="Q1063" s="6" t="n">
        <x:v>7</x:v>
      </x:c>
      <x:c r="R1063" s="6" t="n">
        <x:v>6</x:v>
      </x:c>
      <x:c r="S1063" s="6" t="n">
        <x:v>11</x:v>
      </x:c>
      <x:c r="T1063" s="6" t="n">
        <x:v>5</x:v>
      </x:c>
      <x:c r="U1063" s="6" t="n">
        <x:v>1</x:v>
      </x:c>
      <x:c r="V1063" s="6" t="n">
        <x:v>0</x:v>
      </x:c>
      <x:c r="W1063" s="6" t="n">
        <x:v>0</x:v>
      </x:c>
      <x:c r="X1063" s="6" t="n">
        <x:v>0</x:v>
      </x:c>
      <x:c r="Y1063" s="6" t="n">
        <x:v>0</x:v>
      </x:c>
      <x:c r="Z1063" s="6" t="n">
        <x:v>0</x:v>
      </x:c>
      <x:c r="AA1063" s="6" t="n">
        <x:v>3</x:v>
      </x:c>
      <x:c r="AB1063" s="6" t="n">
        <x:v>11</x:v>
      </x:c>
      <x:c r="AC1063" s="6" t="n">
        <x:v>0</x:v>
      </x:c>
    </x:row>
    <x:row r="1064">
      <x:c r="A1064" s="6" t="n">
        <x:v>1162</x:v>
      </x:c>
      <x:c r="B1064" s="6" t="n">
        <x:v>1987</x:v>
      </x:c>
      <x:c r="C1064" s="6" t="str">
        <x:v>PhD</x:v>
      </x:c>
      <x:c r="D1064" s="6" t="str">
        <x:v>Single</x:v>
      </x:c>
      <x:c r="E1064" s="6" t="n">
        <x:v>42000</x:v>
      </x:c>
      <x:c r="F1064" s="6" t="n">
        <x:v>0</x:v>
      </x:c>
      <x:c r="G1064" s="6" t="n">
        <x:v>0</x:v>
      </x:c>
      <x:c r="H1064" s="9" t="str">
        <x:v>10-01-2013</x:v>
      </x:c>
      <x:c r="I1064" s="6" t="n">
        <x:v>23</x:v>
      </x:c>
      <x:c r="J1064" s="6" t="n">
        <x:v>124</x:v>
      </x:c>
      <x:c r="K1064" s="6" t="n">
        <x:v>83</x:v>
      </x:c>
      <x:c r="L1064" s="6" t="n">
        <x:v>267</x:v>
      </x:c>
      <x:c r="M1064" s="6" t="n">
        <x:v>85</x:v>
      </x:c>
      <x:c r="N1064" s="6" t="n">
        <x:v>59</x:v>
      </x:c>
      <x:c r="O1064" s="6" t="n">
        <x:v>35</x:v>
      </x:c>
      <x:c r="P1064" s="6" t="n">
        <x:v>2</x:v>
      </x:c>
      <x:c r="Q1064" s="6" t="n">
        <x:v>5</x:v>
      </x:c>
      <x:c r="R1064" s="6" t="n">
        <x:v>2</x:v>
      </x:c>
      <x:c r="S1064" s="6" t="n">
        <x:v>11</x:v>
      </x:c>
      <x:c r="T1064" s="6" t="n">
        <x:v>5</x:v>
      </x:c>
      <x:c r="U1064" s="6" t="n">
        <x:v>0</x:v>
      </x:c>
      <x:c r="V1064" s="6" t="n">
        <x:v>0</x:v>
      </x:c>
      <x:c r="W1064" s="6" t="n">
        <x:v>0</x:v>
      </x:c>
      <x:c r="X1064" s="6" t="n">
        <x:v>0</x:v>
      </x:c>
      <x:c r="Y1064" s="6" t="n">
        <x:v>0</x:v>
      </x:c>
      <x:c r="Z1064" s="6" t="n">
        <x:v>0</x:v>
      </x:c>
      <x:c r="AA1064" s="6" t="n">
        <x:v>3</x:v>
      </x:c>
      <x:c r="AB1064" s="6" t="n">
        <x:v>11</x:v>
      </x:c>
      <x:c r="AC1064" s="6" t="n">
        <x:v>1</x:v>
      </x:c>
    </x:row>
    <x:row r="1065">
      <x:c r="A1065" s="6" t="n">
        <x:v>2055</x:v>
      </x:c>
      <x:c r="B1065" s="6" t="n">
        <x:v>1973</x:v>
      </x:c>
      <x:c r="C1065" s="6" t="str">
        <x:v>PhD</x:v>
      </x:c>
      <x:c r="D1065" s="6" t="str">
        <x:v>Divorced</x:v>
      </x:c>
      <x:c r="E1065" s="6" t="n">
        <x:v>35860</x:v>
      </x:c>
      <x:c r="F1065" s="6" t="n">
        <x:v>1</x:v>
      </x:c>
      <x:c r="G1065" s="6" t="n">
        <x:v>1</x:v>
      </x:c>
      <x:c r="H1065" s="9" t="str">
        <x:v>19-05-2014</x:v>
      </x:c>
      <x:c r="I1065" s="6" t="n">
        <x:v>37</x:v>
      </x:c>
      <x:c r="J1065" s="6" t="n">
        <x:v>15</x:v>
      </x:c>
      <x:c r="K1065" s="6" t="n">
        <x:v>0</x:v>
      </x:c>
      <x:c r="L1065" s="6" t="n">
        <x:v>8</x:v>
      </x:c>
      <x:c r="M1065" s="6" t="n">
        <x:v>4</x:v>
      </x:c>
      <x:c r="N1065" s="6" t="n">
        <x:v>2</x:v>
      </x:c>
      <x:c r="O1065" s="6" t="n">
        <x:v>20</x:v>
      </x:c>
      <x:c r="P1065" s="6" t="n">
        <x:v>2</x:v>
      </x:c>
      <x:c r="Q1065" s="6" t="n">
        <x:v>1</x:v>
      </x:c>
      <x:c r="R1065" s="6" t="n">
        <x:v>1</x:v>
      </x:c>
      <x:c r="S1065" s="6" t="n">
        <x:v>2</x:v>
      </x:c>
      <x:c r="T1065" s="6" t="n">
        <x:v>5</x:v>
      </x:c>
      <x:c r="U1065" s="6" t="n">
        <x:v>1</x:v>
      </x:c>
      <x:c r="V1065" s="6" t="n">
        <x:v>0</x:v>
      </x:c>
      <x:c r="W1065" s="6" t="n">
        <x:v>0</x:v>
      </x:c>
      <x:c r="X1065" s="6" t="n">
        <x:v>0</x:v>
      </x:c>
      <x:c r="Y1065" s="6" t="n">
        <x:v>0</x:v>
      </x:c>
      <x:c r="Z1065" s="6" t="n">
        <x:v>0</x:v>
      </x:c>
      <x:c r="AA1065" s="6" t="n">
        <x:v>3</x:v>
      </x:c>
      <x:c r="AB1065" s="6" t="n">
        <x:v>11</x:v>
      </x:c>
      <x:c r="AC1065" s="6" t="n">
        <x:v>0</x:v>
      </x:c>
    </x:row>
    <x:row r="1066">
      <x:c r="A1066" s="6" t="n">
        <x:v>10766</x:v>
      </x:c>
      <x:c r="B1066" s="6" t="n">
        <x:v>1964</x:v>
      </x:c>
      <x:c r="C1066" s="6" t="str">
        <x:v>PhD</x:v>
      </x:c>
      <x:c r="D1066" s="6" t="str">
        <x:v>Married</x:v>
      </x:c>
      <x:c r="E1066" s="6" t="n">
        <x:v>65526</x:v>
      </x:c>
      <x:c r="F1066" s="6" t="n">
        <x:v>0</x:v>
      </x:c>
      <x:c r="G1066" s="6" t="n">
        <x:v>1</x:v>
      </x:c>
      <x:c r="H1066" s="9" t="str">
        <x:v>11-04-2014</x:v>
      </x:c>
      <x:c r="I1066" s="6" t="n">
        <x:v>22</x:v>
      </x:c>
      <x:c r="J1066" s="6" t="n">
        <x:v>397</x:v>
      </x:c>
      <x:c r="K1066" s="6" t="n">
        <x:v>19</x:v>
      </x:c>
      <x:c r="L1066" s="6" t="n">
        <x:v>69</x:v>
      </x:c>
      <x:c r="M1066" s="6" t="n">
        <x:v>12</x:v>
      </x:c>
      <x:c r="N1066" s="6" t="n">
        <x:v>0</x:v>
      </x:c>
      <x:c r="O1066" s="6" t="n">
        <x:v>9</x:v>
      </x:c>
      <x:c r="P1066" s="6" t="n">
        <x:v>1</x:v>
      </x:c>
      <x:c r="Q1066" s="6" t="n">
        <x:v>4</x:v>
      </x:c>
      <x:c r="R1066" s="6" t="n">
        <x:v>4</x:v>
      </x:c>
      <x:c r="S1066" s="6" t="n">
        <x:v>8</x:v>
      </x:c>
      <x:c r="T1066" s="6" t="n">
        <x:v>2</x:v>
      </x:c>
      <x:c r="U1066" s="6" t="n">
        <x:v>0</x:v>
      </x:c>
      <x:c r="V1066" s="6" t="n">
        <x:v>0</x:v>
      </x:c>
      <x:c r="W1066" s="6" t="n">
        <x:v>0</x:v>
      </x:c>
      <x:c r="X1066" s="6" t="n">
        <x:v>0</x:v>
      </x:c>
      <x:c r="Y1066" s="6" t="n">
        <x:v>0</x:v>
      </x:c>
      <x:c r="Z1066" s="6" t="n">
        <x:v>0</x:v>
      </x:c>
      <x:c r="AA1066" s="6" t="n">
        <x:v>3</x:v>
      </x:c>
      <x:c r="AB1066" s="6" t="n">
        <x:v>11</x:v>
      </x:c>
      <x:c r="AC1066" s="6" t="n">
        <x:v>0</x:v>
      </x:c>
    </x:row>
    <x:row r="1067">
      <x:c r="A1067" s="6" t="n">
        <x:v>4415</x:v>
      </x:c>
      <x:c r="B1067" s="6" t="n">
        <x:v>1961</x:v>
      </x:c>
      <x:c r="C1067" s="6" t="str">
        <x:v>Graduation</x:v>
      </x:c>
      <x:c r="D1067" s="6" t="str">
        <x:v>Married</x:v>
      </x:c>
      <x:c r="E1067" s="6" t="n">
        <x:v>16860</x:v>
      </x:c>
      <x:c r="F1067" s="6" t="n">
        <x:v>1</x:v>
      </x:c>
      <x:c r="G1067" s="6" t="n">
        <x:v>1</x:v>
      </x:c>
      <x:c r="H1067" s="9" t="str">
        <x:v>12-09-2012</x:v>
      </x:c>
      <x:c r="I1067" s="6" t="n">
        <x:v>19</x:v>
      </x:c>
      <x:c r="J1067" s="6" t="n">
        <x:v>10</x:v>
      </x:c>
      <x:c r="K1067" s="6" t="n">
        <x:v>4</x:v>
      </x:c>
      <x:c r="L1067" s="6" t="n">
        <x:v>4</x:v>
      </x:c>
      <x:c r="M1067" s="6" t="n">
        <x:v>3</x:v>
      </x:c>
      <x:c r="N1067" s="6" t="n">
        <x:v>3</x:v>
      </x:c>
      <x:c r="O1067" s="6" t="n">
        <x:v>14</x:v>
      </x:c>
      <x:c r="P1067" s="6" t="n">
        <x:v>3</x:v>
      </x:c>
      <x:c r="Q1067" s="6" t="n">
        <x:v>1</x:v>
      </x:c>
      <x:c r="R1067" s="6" t="n">
        <x:v>1</x:v>
      </x:c>
      <x:c r="S1067" s="6" t="n">
        <x:v>3</x:v>
      </x:c>
      <x:c r="T1067" s="6" t="n">
        <x:v>7</x:v>
      </x:c>
      <x:c r="U1067" s="6" t="n">
        <x:v>0</x:v>
      </x:c>
      <x:c r="V1067" s="6" t="n">
        <x:v>0</x:v>
      </x:c>
      <x:c r="W1067" s="6" t="n">
        <x:v>0</x:v>
      </x:c>
      <x:c r="X1067" s="6" t="n">
        <x:v>0</x:v>
      </x:c>
      <x:c r="Y1067" s="6" t="n">
        <x:v>0</x:v>
      </x:c>
      <x:c r="Z1067" s="6" t="n">
        <x:v>0</x:v>
      </x:c>
      <x:c r="AA1067" s="6" t="n">
        <x:v>3</x:v>
      </x:c>
      <x:c r="AB1067" s="6" t="n">
        <x:v>11</x:v>
      </x:c>
      <x:c r="AC1067" s="6" t="n">
        <x:v>0</x:v>
      </x:c>
    </x:row>
    <x:row r="1068">
      <x:c r="A1068" s="6" t="n">
        <x:v>3005</x:v>
      </x:c>
      <x:c r="B1068" s="6" t="n">
        <x:v>1992</x:v>
      </x:c>
      <x:c r="C1068" s="6" t="str">
        <x:v>Graduation</x:v>
      </x:c>
      <x:c r="D1068" s="6" t="str">
        <x:v>Single</x:v>
      </x:c>
      <x:c r="E1068" s="6" t="n">
        <x:v>83528</x:v>
      </x:c>
      <x:c r="F1068" s="6" t="n">
        <x:v>0</x:v>
      </x:c>
      <x:c r="G1068" s="6" t="n">
        <x:v>0</x:v>
      </x:c>
      <x:c r="H1068" s="9" t="str">
        <x:v>01-05-2014</x:v>
      </x:c>
      <x:c r="I1068" s="6" t="n">
        <x:v>7</x:v>
      </x:c>
      <x:c r="J1068" s="6" t="n">
        <x:v>530</x:v>
      </x:c>
      <x:c r="K1068" s="6" t="n">
        <x:v>117</x:v>
      </x:c>
      <x:c r="L1068" s="6" t="n">
        <x:v>678</x:v>
      </x:c>
      <x:c r="M1068" s="6" t="n">
        <x:v>134</x:v>
      </x:c>
      <x:c r="N1068" s="6" t="n">
        <x:v>44</x:v>
      </x:c>
      <x:c r="O1068" s="6" t="n">
        <x:v>147</x:v>
      </x:c>
      <x:c r="P1068" s="6" t="n">
        <x:v>1</x:v>
      </x:c>
      <x:c r="Q1068" s="6" t="n">
        <x:v>4</x:v>
      </x:c>
      <x:c r="R1068" s="6" t="n">
        <x:v>10</x:v>
      </x:c>
      <x:c r="S1068" s="6" t="n">
        <x:v>8</x:v>
      </x:c>
      <x:c r="T1068" s="6" t="n">
        <x:v>1</x:v>
      </x:c>
      <x:c r="U1068" s="6" t="n">
        <x:v>1</x:v>
      </x:c>
      <x:c r="V1068" s="6" t="n">
        <x:v>0</x:v>
      </x:c>
      <x:c r="W1068" s="6" t="n">
        <x:v>0</x:v>
      </x:c>
      <x:c r="X1068" s="6" t="n">
        <x:v>1</x:v>
      </x:c>
      <x:c r="Y1068" s="6" t="n">
        <x:v>0</x:v>
      </x:c>
      <x:c r="Z1068" s="6" t="n">
        <x:v>0</x:v>
      </x:c>
      <x:c r="AA1068" s="6" t="n">
        <x:v>3</x:v>
      </x:c>
      <x:c r="AB1068" s="6" t="n">
        <x:v>11</x:v>
      </x:c>
      <x:c r="AC1068" s="6" t="n">
        <x:v>1</x:v>
      </x:c>
    </x:row>
    <x:row r="1069">
      <x:c r="A1069" s="6" t="n">
        <x:v>2223</x:v>
      </x:c>
      <x:c r="B1069" s="6" t="n">
        <x:v>1965</x:v>
      </x:c>
      <x:c r="C1069" s="6" t="str">
        <x:v>2n Cycle</x:v>
      </x:c>
      <x:c r="D1069" s="6" t="str">
        <x:v>Divorced</x:v>
      </x:c>
      <x:c r="E1069" s="6" t="n">
        <x:v>64176</x:v>
      </x:c>
      <x:c r="F1069" s="6" t="n">
        <x:v>0</x:v>
      </x:c>
      <x:c r="G1069" s="6" t="n">
        <x:v>1</x:v>
      </x:c>
      <x:c r="H1069" s="9" t="str">
        <x:v>03-08-2012</x:v>
      </x:c>
      <x:c r="I1069" s="6" t="n">
        <x:v>52</x:v>
      </x:c>
      <x:c r="J1069" s="6" t="n">
        <x:v>1215</x:v>
      </x:c>
      <x:c r="K1069" s="6" t="n">
        <x:v>33</x:v>
      </x:c>
      <x:c r="L1069" s="6" t="n">
        <x:v>249</x:v>
      </x:c>
      <x:c r="M1069" s="6" t="n">
        <x:v>64</x:v>
      </x:c>
      <x:c r="N1069" s="6" t="n">
        <x:v>116</x:v>
      </x:c>
      <x:c r="O1069" s="6" t="n">
        <x:v>149</x:v>
      </x:c>
      <x:c r="P1069" s="6" t="n">
        <x:v>8</x:v>
      </x:c>
      <x:c r="Q1069" s="6" t="n">
        <x:v>8</x:v>
      </x:c>
      <x:c r="R1069" s="6" t="n">
        <x:v>9</x:v>
      </x:c>
      <x:c r="S1069" s="6" t="n">
        <x:v>8</x:v>
      </x:c>
      <x:c r="T1069" s="6" t="n">
        <x:v>6</x:v>
      </x:c>
      <x:c r="U1069" s="6" t="n">
        <x:v>0</x:v>
      </x:c>
      <x:c r="V1069" s="6" t="n">
        <x:v>0</x:v>
      </x:c>
      <x:c r="W1069" s="6" t="n">
        <x:v>0</x:v>
      </x:c>
      <x:c r="X1069" s="6" t="n">
        <x:v>0</x:v>
      </x:c>
      <x:c r="Y1069" s="6" t="n">
        <x:v>0</x:v>
      </x:c>
      <x:c r="Z1069" s="6" t="n">
        <x:v>0</x:v>
      </x:c>
      <x:c r="AA1069" s="6" t="n">
        <x:v>3</x:v>
      </x:c>
      <x:c r="AB1069" s="6" t="n">
        <x:v>11</x:v>
      </x:c>
      <x:c r="AC1069" s="6" t="n">
        <x:v>0</x:v>
      </x:c>
    </x:row>
    <x:row r="1070">
      <x:c r="A1070" s="6" t="n">
        <x:v>4817</x:v>
      </x:c>
      <x:c r="B1070" s="6" t="n">
        <x:v>1956</x:v>
      </x:c>
      <x:c r="C1070" s="6" t="str">
        <x:v>Graduation</x:v>
      </x:c>
      <x:c r="D1070" s="6" t="str">
        <x:v>Divorced</x:v>
      </x:c>
      <x:c r="E1070" s="6" t="n">
        <x:v>22304</x:v>
      </x:c>
      <x:c r="F1070" s="6" t="n">
        <x:v>0</x:v>
      </x:c>
      <x:c r="G1070" s="6" t="n">
        <x:v>0</x:v>
      </x:c>
      <x:c r="H1070" s="9" t="str">
        <x:v>04-08-2012</x:v>
      </x:c>
      <x:c r="I1070" s="6" t="n">
        <x:v>91</x:v>
      </x:c>
      <x:c r="J1070" s="6" t="n">
        <x:v>3</x:v>
      </x:c>
      <x:c r="K1070" s="6" t="n">
        <x:v>2</x:v>
      </x:c>
      <x:c r="L1070" s="6" t="n">
        <x:v>7</x:v>
      </x:c>
      <x:c r="M1070" s="6" t="n">
        <x:v>0</x:v>
      </x:c>
      <x:c r="N1070" s="6" t="n">
        <x:v>4</x:v>
      </x:c>
      <x:c r="O1070" s="6" t="n">
        <x:v>2</x:v>
      </x:c>
      <x:c r="P1070" s="6" t="n">
        <x:v>1</x:v>
      </x:c>
      <x:c r="Q1070" s="6" t="n">
        <x:v>1</x:v>
      </x:c>
      <x:c r="R1070" s="6" t="n">
        <x:v>0</x:v>
      </x:c>
      <x:c r="S1070" s="6" t="n">
        <x:v>2</x:v>
      </x:c>
      <x:c r="T1070" s="6" t="n">
        <x:v>8</x:v>
      </x:c>
      <x:c r="U1070" s="6" t="n">
        <x:v>0</x:v>
      </x:c>
      <x:c r="V1070" s="6" t="n">
        <x:v>0</x:v>
      </x:c>
      <x:c r="W1070" s="6" t="n">
        <x:v>0</x:v>
      </x:c>
      <x:c r="X1070" s="6" t="n">
        <x:v>0</x:v>
      </x:c>
      <x:c r="Y1070" s="6" t="n">
        <x:v>0</x:v>
      </x:c>
      <x:c r="Z1070" s="6" t="n">
        <x:v>0</x:v>
      </x:c>
      <x:c r="AA1070" s="6" t="n">
        <x:v>3</x:v>
      </x:c>
      <x:c r="AB1070" s="6" t="n">
        <x:v>11</x:v>
      </x:c>
      <x:c r="AC1070" s="6" t="n">
        <x:v>0</x:v>
      </x:c>
    </x:row>
    <x:row r="1071">
      <x:c r="A1071" s="6" t="n">
        <x:v>2875</x:v>
      </x:c>
      <x:c r="B1071" s="6" t="n">
        <x:v>1978</x:v>
      </x:c>
      <x:c r="C1071" s="6" t="str">
        <x:v>Graduation</x:v>
      </x:c>
      <x:c r="D1071" s="6" t="str">
        <x:v>Married</x:v>
      </x:c>
      <x:c r="E1071" s="6" t="n">
        <x:v>67023</x:v>
      </x:c>
      <x:c r="F1071" s="6" t="n">
        <x:v>0</x:v>
      </x:c>
      <x:c r="G1071" s="6" t="n">
        <x:v>0</x:v>
      </x:c>
      <x:c r="H1071" s="9" t="str">
        <x:v>04-03-2014</x:v>
      </x:c>
      <x:c r="I1071" s="6" t="n">
        <x:v>93</x:v>
      </x:c>
      <x:c r="J1071" s="6" t="n">
        <x:v>444</x:v>
      </x:c>
      <x:c r="K1071" s="6" t="n">
        <x:v>44</x:v>
      </x:c>
      <x:c r="L1071" s="6" t="n">
        <x:v>382</x:v>
      </x:c>
      <x:c r="M1071" s="6" t="n">
        <x:v>11</x:v>
      </x:c>
      <x:c r="N1071" s="6" t="n">
        <x:v>8</x:v>
      </x:c>
      <x:c r="O1071" s="6" t="n">
        <x:v>17</x:v>
      </x:c>
      <x:c r="P1071" s="6" t="n">
        <x:v>1</x:v>
      </x:c>
      <x:c r="Q1071" s="6" t="n">
        <x:v>3</x:v>
      </x:c>
      <x:c r="R1071" s="6" t="n">
        <x:v>7</x:v>
      </x:c>
      <x:c r="S1071" s="6" t="n">
        <x:v>13</x:v>
      </x:c>
      <x:c r="T1071" s="6" t="n">
        <x:v>2</x:v>
      </x:c>
      <x:c r="U1071" s="6" t="n">
        <x:v>0</x:v>
      </x:c>
      <x:c r="V1071" s="6" t="n">
        <x:v>0</x:v>
      </x:c>
      <x:c r="W1071" s="6" t="n">
        <x:v>0</x:v>
      </x:c>
      <x:c r="X1071" s="6" t="n">
        <x:v>0</x:v>
      </x:c>
      <x:c r="Y1071" s="6" t="n">
        <x:v>0</x:v>
      </x:c>
      <x:c r="Z1071" s="6" t="n">
        <x:v>1</x:v>
      </x:c>
      <x:c r="AA1071" s="6" t="n">
        <x:v>3</x:v>
      </x:c>
      <x:c r="AB1071" s="6" t="n">
        <x:v>11</x:v>
      </x:c>
      <x:c r="AC1071" s="6" t="n">
        <x:v>0</x:v>
      </x:c>
    </x:row>
    <x:row r="1072">
      <x:c r="A1072" s="6" t="n">
        <x:v>10536</x:v>
      </x:c>
      <x:c r="B1072" s="6" t="n">
        <x:v>1971</x:v>
      </x:c>
      <x:c r="C1072" s="6" t="str">
        <x:v>PhD</x:v>
      </x:c>
      <x:c r="D1072" s="6" t="str">
        <x:v>Together</x:v>
      </x:c>
      <x:c r="E1072" s="6" t="n">
        <x:v>32892</x:v>
      </x:c>
      <x:c r="F1072" s="6" t="n">
        <x:v>1</x:v>
      </x:c>
      <x:c r="G1072" s="6" t="n">
        <x:v>0</x:v>
      </x:c>
      <x:c r="H1072" s="9" t="str">
        <x:v>25-05-2014</x:v>
      </x:c>
      <x:c r="I1072" s="6" t="n">
        <x:v>78</x:v>
      </x:c>
      <x:c r="J1072" s="6" t="n">
        <x:v>26</x:v>
      </x:c>
      <x:c r="K1072" s="6" t="n">
        <x:v>0</x:v>
      </x:c>
      <x:c r="L1072" s="6" t="n">
        <x:v>15</x:v>
      </x:c>
      <x:c r="M1072" s="6" t="n">
        <x:v>2</x:v>
      </x:c>
      <x:c r="N1072" s="6" t="n">
        <x:v>1</x:v>
      </x:c>
      <x:c r="O1072" s="6" t="n">
        <x:v>2</x:v>
      </x:c>
      <x:c r="P1072" s="6" t="n">
        <x:v>2</x:v>
      </x:c>
      <x:c r="Q1072" s="6" t="n">
        <x:v>3</x:v>
      </x:c>
      <x:c r="R1072" s="6" t="n">
        <x:v>0</x:v>
      </x:c>
      <x:c r="S1072" s="6" t="n">
        <x:v>3</x:v>
      </x:c>
      <x:c r="T1072" s="6" t="n">
        <x:v>8</x:v>
      </x:c>
      <x:c r="U1072" s="6" t="n">
        <x:v>0</x:v>
      </x:c>
      <x:c r="V1072" s="6" t="n">
        <x:v>0</x:v>
      </x:c>
      <x:c r="W1072" s="6" t="n">
        <x:v>0</x:v>
      </x:c>
      <x:c r="X1072" s="6" t="n">
        <x:v>0</x:v>
      </x:c>
      <x:c r="Y1072" s="6" t="n">
        <x:v>0</x:v>
      </x:c>
      <x:c r="Z1072" s="6" t="n">
        <x:v>0</x:v>
      </x:c>
      <x:c r="AA1072" s="6" t="n">
        <x:v>3</x:v>
      </x:c>
      <x:c r="AB1072" s="6" t="n">
        <x:v>11</x:v>
      </x:c>
      <x:c r="AC1072" s="6" t="n">
        <x:v>0</x:v>
      </x:c>
    </x:row>
    <x:row r="1073">
      <x:c r="A1073" s="6" t="n">
        <x:v>11112</x:v>
      </x:c>
      <x:c r="B1073" s="6" t="n">
        <x:v>1966</x:v>
      </x:c>
      <x:c r="C1073" s="6" t="str">
        <x:v>Graduation</x:v>
      </x:c>
      <x:c r="D1073" s="6" t="str">
        <x:v>Together</x:v>
      </x:c>
      <x:c r="E1073" s="6" t="n">
        <x:v>70713</x:v>
      </x:c>
      <x:c r="F1073" s="6" t="n">
        <x:v>0</x:v>
      </x:c>
      <x:c r="G1073" s="6" t="n">
        <x:v>1</x:v>
      </x:c>
      <x:c r="H1073" s="9" t="str">
        <x:v>03-12-2012</x:v>
      </x:c>
      <x:c r="I1073" s="6" t="n">
        <x:v>23</x:v>
      </x:c>
      <x:c r="J1073" s="6" t="n">
        <x:v>736</x:v>
      </x:c>
      <x:c r="K1073" s="6" t="n">
        <x:v>114</x:v>
      </x:c>
      <x:c r="L1073" s="6" t="n">
        <x:v>279</x:v>
      </x:c>
      <x:c r="M1073" s="6" t="n">
        <x:v>82</x:v>
      </x:c>
      <x:c r="N1073" s="6" t="n">
        <x:v>76</x:v>
      </x:c>
      <x:c r="O1073" s="6" t="n">
        <x:v>190</x:v>
      </x:c>
      <x:c r="P1073" s="6" t="n">
        <x:v>6</x:v>
      </x:c>
      <x:c r="Q1073" s="6" t="n">
        <x:v>5</x:v>
      </x:c>
      <x:c r="R1073" s="6" t="n">
        <x:v>6</x:v>
      </x:c>
      <x:c r="S1073" s="6" t="n">
        <x:v>8</x:v>
      </x:c>
      <x:c r="T1073" s="6" t="n">
        <x:v>3</x:v>
      </x:c>
      <x:c r="U1073" s="6" t="n">
        <x:v>0</x:v>
      </x:c>
      <x:c r="V1073" s="6" t="n">
        <x:v>0</x:v>
      </x:c>
      <x:c r="W1073" s="6" t="n">
        <x:v>0</x:v>
      </x:c>
      <x:c r="X1073" s="6" t="n">
        <x:v>0</x:v>
      </x:c>
      <x:c r="Y1073" s="6" t="n">
        <x:v>0</x:v>
      </x:c>
      <x:c r="Z1073" s="6" t="n">
        <x:v>0</x:v>
      </x:c>
      <x:c r="AA1073" s="6" t="n">
        <x:v>3</x:v>
      </x:c>
      <x:c r="AB1073" s="6" t="n">
        <x:v>11</x:v>
      </x:c>
      <x:c r="AC1073" s="6" t="n">
        <x:v>0</x:v>
      </x:c>
    </x:row>
    <x:row r="1074">
      <x:c r="A1074" s="6" t="n">
        <x:v>3807</x:v>
      </x:c>
      <x:c r="B1074" s="6" t="n">
        <x:v>1955</x:v>
      </x:c>
      <x:c r="C1074" s="6" t="str">
        <x:v>Graduation</x:v>
      </x:c>
      <x:c r="D1074" s="6" t="str">
        <x:v>Together</x:v>
      </x:c>
      <x:c r="E1074" s="6" t="n">
        <x:v>59925</x:v>
      </x:c>
      <x:c r="F1074" s="6" t="n">
        <x:v>0</x:v>
      </x:c>
      <x:c r="G1074" s="6" t="n">
        <x:v>1</x:v>
      </x:c>
      <x:c r="H1074" s="9" t="str">
        <x:v>30-11-2012</x:v>
      </x:c>
      <x:c r="I1074" s="6" t="n">
        <x:v>83</x:v>
      </x:c>
      <x:c r="J1074" s="6" t="n">
        <x:v>473</x:v>
      </x:c>
      <x:c r="K1074" s="6" t="n">
        <x:v>21</x:v>
      </x:c>
      <x:c r="L1074" s="6" t="n">
        <x:v>176</x:v>
      </x:c>
      <x:c r="M1074" s="6" t="n">
        <x:v>19</x:v>
      </x:c>
      <x:c r="N1074" s="6" t="n">
        <x:v>21</x:v>
      </x:c>
      <x:c r="O1074" s="6" t="n">
        <x:v>56</x:v>
      </x:c>
      <x:c r="P1074" s="6" t="n">
        <x:v>3</x:v>
      </x:c>
      <x:c r="Q1074" s="6" t="n">
        <x:v>9</x:v>
      </x:c>
      <x:c r="R1074" s="6" t="n">
        <x:v>2</x:v>
      </x:c>
      <x:c r="S1074" s="6" t="n">
        <x:v>9</x:v>
      </x:c>
      <x:c r="T1074" s="6" t="n">
        <x:v>6</x:v>
      </x:c>
      <x:c r="U1074" s="6" t="n">
        <x:v>0</x:v>
      </x:c>
      <x:c r="V1074" s="6" t="n">
        <x:v>0</x:v>
      </x:c>
      <x:c r="W1074" s="6" t="n">
        <x:v>0</x:v>
      </x:c>
      <x:c r="X1074" s="6" t="n">
        <x:v>0</x:v>
      </x:c>
      <x:c r="Y1074" s="6" t="n">
        <x:v>0</x:v>
      </x:c>
      <x:c r="Z1074" s="6" t="n">
        <x:v>0</x:v>
      </x:c>
      <x:c r="AA1074" s="6" t="n">
        <x:v>3</x:v>
      </x:c>
      <x:c r="AB1074" s="6" t="n">
        <x:v>11</x:v>
      </x:c>
      <x:c r="AC1074" s="6" t="n">
        <x:v>0</x:v>
      </x:c>
    </x:row>
    <x:row r="1075">
      <x:c r="A1075" s="6" t="n">
        <x:v>9197</x:v>
      </x:c>
      <x:c r="B1075" s="6" t="n">
        <x:v>1953</x:v>
      </x:c>
      <x:c r="C1075" s="6" t="str">
        <x:v>Graduation</x:v>
      </x:c>
      <x:c r="D1075" s="6" t="str">
        <x:v>Married</x:v>
      </x:c>
      <x:c r="E1075" s="6" t="n">
        <x:v>39722</x:v>
      </x:c>
      <x:c r="F1075" s="6" t="n">
        <x:v>0</x:v>
      </x:c>
      <x:c r="G1075" s="6" t="n">
        <x:v>1</x:v>
      </x:c>
      <x:c r="H1075" s="9" t="str">
        <x:v>24-02-2014</x:v>
      </x:c>
      <x:c r="I1075" s="6" t="n">
        <x:v>92</x:v>
      </x:c>
      <x:c r="J1075" s="6" t="n">
        <x:v>32</x:v>
      </x:c>
      <x:c r="K1075" s="6" t="n">
        <x:v>0</x:v>
      </x:c>
      <x:c r="L1075" s="6" t="n">
        <x:v>5</x:v>
      </x:c>
      <x:c r="M1075" s="6" t="n">
        <x:v>2</x:v>
      </x:c>
      <x:c r="N1075" s="6" t="n">
        <x:v>0</x:v>
      </x:c>
      <x:c r="O1075" s="6" t="n">
        <x:v>8</x:v>
      </x:c>
      <x:c r="P1075" s="6" t="n">
        <x:v>2</x:v>
      </x:c>
      <x:c r="Q1075" s="6" t="n">
        <x:v>2</x:v>
      </x:c>
      <x:c r="R1075" s="6" t="n">
        <x:v>0</x:v>
      </x:c>
      <x:c r="S1075" s="6" t="n">
        <x:v>3</x:v>
      </x:c>
      <x:c r="T1075" s="6" t="n">
        <x:v>5</x:v>
      </x:c>
      <x:c r="U1075" s="6" t="n">
        <x:v>0</x:v>
      </x:c>
      <x:c r="V1075" s="6" t="n">
        <x:v>0</x:v>
      </x:c>
      <x:c r="W1075" s="6" t="n">
        <x:v>0</x:v>
      </x:c>
      <x:c r="X1075" s="6" t="n">
        <x:v>0</x:v>
      </x:c>
      <x:c r="Y1075" s="6" t="n">
        <x:v>0</x:v>
      </x:c>
      <x:c r="Z1075" s="6" t="n">
        <x:v>0</x:v>
      </x:c>
      <x:c r="AA1075" s="6" t="n">
        <x:v>3</x:v>
      </x:c>
      <x:c r="AB1075" s="6" t="n">
        <x:v>11</x:v>
      </x:c>
      <x:c r="AC1075" s="6" t="n">
        <x:v>0</x:v>
      </x:c>
    </x:row>
    <x:row r="1076">
      <x:c r="A1076" s="6" t="n">
        <x:v>10832</x:v>
      </x:c>
      <x:c r="B1076" s="6" t="n">
        <x:v>1958</x:v>
      </x:c>
      <x:c r="C1076" s="6" t="str">
        <x:v>Graduation</x:v>
      </x:c>
      <x:c r="D1076" s="6" t="str">
        <x:v>Together</x:v>
      </x:c>
      <x:c r="E1076" s="6" t="n">
        <x:v>46610</x:v>
      </x:c>
      <x:c r="F1076" s="6" t="n">
        <x:v>0</x:v>
      </x:c>
      <x:c r="G1076" s="6" t="n">
        <x:v>0</x:v>
      </x:c>
      <x:c r="H1076" s="9" t="str">
        <x:v>18-07-2013</x:v>
      </x:c>
      <x:c r="I1076" s="6" t="n">
        <x:v>4</x:v>
      </x:c>
      <x:c r="J1076" s="6" t="n">
        <x:v>288</x:v>
      </x:c>
      <x:c r="K1076" s="6" t="n">
        <x:v>10</x:v>
      </x:c>
      <x:c r="L1076" s="6" t="n">
        <x:v>30</x:v>
      </x:c>
      <x:c r="M1076" s="6" t="n">
        <x:v>4</x:v>
      </x:c>
      <x:c r="N1076" s="6" t="n">
        <x:v>10</x:v>
      </x:c>
      <x:c r="O1076" s="6" t="n">
        <x:v>125</x:v>
      </x:c>
      <x:c r="P1076" s="6" t="n">
        <x:v>1</x:v>
      </x:c>
      <x:c r="Q1076" s="6" t="n">
        <x:v>6</x:v>
      </x:c>
      <x:c r="R1076" s="6" t="n">
        <x:v>1</x:v>
      </x:c>
      <x:c r="S1076" s="6" t="n">
        <x:v>6</x:v>
      </x:c>
      <x:c r="T1076" s="6" t="n">
        <x:v>6</x:v>
      </x:c>
      <x:c r="U1076" s="6" t="n">
        <x:v>0</x:v>
      </x:c>
      <x:c r="V1076" s="6" t="n">
        <x:v>0</x:v>
      </x:c>
      <x:c r="W1076" s="6" t="n">
        <x:v>0</x:v>
      </x:c>
      <x:c r="X1076" s="6" t="n">
        <x:v>0</x:v>
      </x:c>
      <x:c r="Y1076" s="6" t="n">
        <x:v>0</x:v>
      </x:c>
      <x:c r="Z1076" s="6" t="n">
        <x:v>0</x:v>
      </x:c>
      <x:c r="AA1076" s="6" t="n">
        <x:v>3</x:v>
      </x:c>
      <x:c r="AB1076" s="6" t="n">
        <x:v>11</x:v>
      </x:c>
      <x:c r="AC1076" s="6" t="n">
        <x:v>0</x:v>
      </x:c>
    </x:row>
    <x:row r="1077">
      <x:c r="A1077" s="6" t="n">
        <x:v>6421</x:v>
      </x:c>
      <x:c r="B1077" s="6" t="n">
        <x:v>1961</x:v>
      </x:c>
      <x:c r="C1077" s="6" t="str">
        <x:v>Graduation</x:v>
      </x:c>
      <x:c r="D1077" s="6" t="str">
        <x:v>Together</x:v>
      </x:c>
      <x:c r="E1077" s="6" t="n">
        <x:v>88347</x:v>
      </x:c>
      <x:c r="F1077" s="6" t="n">
        <x:v>0</x:v>
      </x:c>
      <x:c r="G1077" s="6" t="n">
        <x:v>0</x:v>
      </x:c>
      <x:c r="H1077" s="9" t="str">
        <x:v>03-07-2013</x:v>
      </x:c>
      <x:c r="I1077" s="6" t="n">
        <x:v>32</x:v>
      </x:c>
      <x:c r="J1077" s="6" t="n">
        <x:v>1050</x:v>
      </x:c>
      <x:c r="K1077" s="6" t="n">
        <x:v>178</x:v>
      </x:c>
      <x:c r="L1077" s="6" t="n">
        <x:v>555</x:v>
      </x:c>
      <x:c r="M1077" s="6" t="n">
        <x:v>77</x:v>
      </x:c>
      <x:c r="N1077" s="6" t="n">
        <x:v>138</x:v>
      </x:c>
      <x:c r="O1077" s="6" t="n">
        <x:v>118</x:v>
      </x:c>
      <x:c r="P1077" s="6" t="n">
        <x:v>1</x:v>
      </x:c>
      <x:c r="Q1077" s="6" t="n">
        <x:v>4</x:v>
      </x:c>
      <x:c r="R1077" s="6" t="n">
        <x:v>7</x:v>
      </x:c>
      <x:c r="S1077" s="6" t="n">
        <x:v>9</x:v>
      </x:c>
      <x:c r="T1077" s="6" t="n">
        <x:v>1</x:v>
      </x:c>
      <x:c r="U1077" s="6" t="n">
        <x:v>0</x:v>
      </x:c>
      <x:c r="V1077" s="6" t="n">
        <x:v>0</x:v>
      </x:c>
      <x:c r="W1077" s="6" t="n">
        <x:v>0</x:v>
      </x:c>
      <x:c r="X1077" s="6" t="n">
        <x:v>1</x:v>
      </x:c>
      <x:c r="Y1077" s="6" t="n">
        <x:v>0</x:v>
      </x:c>
      <x:c r="Z1077" s="6" t="n">
        <x:v>0</x:v>
      </x:c>
      <x:c r="AA1077" s="6" t="n">
        <x:v>3</x:v>
      </x:c>
      <x:c r="AB1077" s="6" t="n">
        <x:v>11</x:v>
      </x:c>
      <x:c r="AC1077" s="6" t="n">
        <x:v>0</x:v>
      </x:c>
    </x:row>
    <x:row r="1078">
      <x:c r="A1078" s="6" t="n">
        <x:v>4207</x:v>
      </x:c>
      <x:c r="B1078" s="6" t="n">
        <x:v>1981</x:v>
      </x:c>
      <x:c r="C1078" s="6" t="str">
        <x:v>PhD</x:v>
      </x:c>
      <x:c r="D1078" s="6" t="str">
        <x:v>Married</x:v>
      </x:c>
      <x:c r="E1078" s="6" t="n">
        <x:v>87171</x:v>
      </x:c>
      <x:c r="F1078" s="6" t="n">
        <x:v>0</x:v>
      </x:c>
      <x:c r="G1078" s="6" t="n">
        <x:v>0</x:v>
      </x:c>
      <x:c r="H1078" s="9" t="str">
        <x:v>01-05-2013</x:v>
      </x:c>
      <x:c r="I1078" s="6" t="n">
        <x:v>27</x:v>
      </x:c>
      <x:c r="J1078" s="6" t="n">
        <x:v>1001</x:v>
      </x:c>
      <x:c r="K1078" s="6" t="n">
        <x:v>44</x:v>
      </x:c>
      <x:c r="L1078" s="6" t="n">
        <x:v>107</x:v>
      </x:c>
      <x:c r="M1078" s="6" t="n">
        <x:v>58</x:v>
      </x:c>
      <x:c r="N1078" s="6" t="n">
        <x:v>44</x:v>
      </x:c>
      <x:c r="O1078" s="6" t="n">
        <x:v>44</x:v>
      </x:c>
      <x:c r="P1078" s="6" t="n">
        <x:v>1</x:v>
      </x:c>
      <x:c r="Q1078" s="6" t="n">
        <x:v>6</x:v>
      </x:c>
      <x:c r="R1078" s="6" t="n">
        <x:v>7</x:v>
      </x:c>
      <x:c r="S1078" s="6" t="n">
        <x:v>11</x:v>
      </x:c>
      <x:c r="T1078" s="6" t="n">
        <x:v>2</x:v>
      </x:c>
      <x:c r="U1078" s="6" t="n">
        <x:v>1</x:v>
      </x:c>
      <x:c r="V1078" s="6" t="n">
        <x:v>0</x:v>
      </x:c>
      <x:c r="W1078" s="6" t="n">
        <x:v>1</x:v>
      </x:c>
      <x:c r="X1078" s="6" t="n">
        <x:v>0</x:v>
      </x:c>
      <x:c r="Y1078" s="6" t="n">
        <x:v>0</x:v>
      </x:c>
      <x:c r="Z1078" s="6" t="n">
        <x:v>0</x:v>
      </x:c>
      <x:c r="AA1078" s="6" t="n">
        <x:v>3</x:v>
      </x:c>
      <x:c r="AB1078" s="6" t="n">
        <x:v>11</x:v>
      </x:c>
      <x:c r="AC1078" s="6" t="n">
        <x:v>0</x:v>
      </x:c>
    </x:row>
    <x:row r="1079">
      <x:c r="A1079" s="6" t="n">
        <x:v>577</x:v>
      </x:c>
      <x:c r="B1079" s="6" t="n">
        <x:v>1976</x:v>
      </x:c>
      <x:c r="C1079" s="6" t="str">
        <x:v>2n Cycle</x:v>
      </x:c>
      <x:c r="D1079" s="6" t="str">
        <x:v>Together</x:v>
      </x:c>
      <x:c r="E1079" s="6" t="n">
        <x:v>26907</x:v>
      </x:c>
      <x:c r="F1079" s="6" t="n">
        <x:v>1</x:v>
      </x:c>
      <x:c r="G1079" s="6" t="n">
        <x:v>1</x:v>
      </x:c>
      <x:c r="H1079" s="9" t="str">
        <x:v>20-08-2013</x:v>
      </x:c>
      <x:c r="I1079" s="6" t="n">
        <x:v>10</x:v>
      </x:c>
      <x:c r="J1079" s="6" t="n">
        <x:v>9</x:v>
      </x:c>
      <x:c r="K1079" s="6" t="n">
        <x:v>1</x:v>
      </x:c>
      <x:c r="L1079" s="6" t="n">
        <x:v>7</x:v>
      </x:c>
      <x:c r="M1079" s="6" t="n">
        <x:v>0</x:v>
      </x:c>
      <x:c r="N1079" s="6" t="n">
        <x:v>3</x:v>
      </x:c>
      <x:c r="O1079" s="6" t="n">
        <x:v>2</x:v>
      </x:c>
      <x:c r="P1079" s="6" t="n">
        <x:v>2</x:v>
      </x:c>
      <x:c r="Q1079" s="6" t="n">
        <x:v>1</x:v>
      </x:c>
      <x:c r="R1079" s="6" t="n">
        <x:v>0</x:v>
      </x:c>
      <x:c r="S1079" s="6" t="n">
        <x:v>3</x:v>
      </x:c>
      <x:c r="T1079" s="6" t="n">
        <x:v>7</x:v>
      </x:c>
      <x:c r="U1079" s="6" t="n">
        <x:v>0</x:v>
      </x:c>
      <x:c r="V1079" s="6" t="n">
        <x:v>0</x:v>
      </x:c>
      <x:c r="W1079" s="6" t="n">
        <x:v>0</x:v>
      </x:c>
      <x:c r="X1079" s="6" t="n">
        <x:v>0</x:v>
      </x:c>
      <x:c r="Y1079" s="6" t="n">
        <x:v>0</x:v>
      </x:c>
      <x:c r="Z1079" s="6" t="n">
        <x:v>0</x:v>
      </x:c>
      <x:c r="AA1079" s="6" t="n">
        <x:v>3</x:v>
      </x:c>
      <x:c r="AB1079" s="6" t="n">
        <x:v>11</x:v>
      </x:c>
      <x:c r="AC1079" s="6" t="n">
        <x:v>0</x:v>
      </x:c>
    </x:row>
    <x:row r="1080">
      <x:c r="A1080" s="6" t="n">
        <x:v>10855</x:v>
      </x:c>
      <x:c r="B1080" s="6" t="n">
        <x:v>1968</x:v>
      </x:c>
      <x:c r="C1080" s="6" t="str">
        <x:v>Master</x:v>
      </x:c>
      <x:c r="D1080" s="6" t="str">
        <x:v>Single</x:v>
      </x:c>
      <x:c r="E1080" s="6" t="n">
        <x:v>50014</x:v>
      </x:c>
      <x:c r="F1080" s="6" t="n">
        <x:v>1</x:v>
      </x:c>
      <x:c r="G1080" s="6" t="n">
        <x:v>0</x:v>
      </x:c>
      <x:c r="H1080" s="9" t="str">
        <x:v>22-01-2014</x:v>
      </x:c>
      <x:c r="I1080" s="6" t="n">
        <x:v>9</x:v>
      </x:c>
      <x:c r="J1080" s="6" t="n">
        <x:v>234</x:v>
      </x:c>
      <x:c r="K1080" s="6" t="n">
        <x:v>14</x:v>
      </x:c>
      <x:c r="L1080" s="6" t="n">
        <x:v>77</x:v>
      </x:c>
      <x:c r="M1080" s="6" t="n">
        <x:v>19</x:v>
      </x:c>
      <x:c r="N1080" s="6" t="n">
        <x:v>10</x:v>
      </x:c>
      <x:c r="O1080" s="6" t="n">
        <x:v>42</x:v>
      </x:c>
      <x:c r="P1080" s="6" t="n">
        <x:v>2</x:v>
      </x:c>
      <x:c r="Q1080" s="6" t="n">
        <x:v>4</x:v>
      </x:c>
      <x:c r="R1080" s="6" t="n">
        <x:v>1</x:v>
      </x:c>
      <x:c r="S1080" s="6" t="n">
        <x:v>8</x:v>
      </x:c>
      <x:c r="T1080" s="6" t="n">
        <x:v>5</x:v>
      </x:c>
      <x:c r="U1080" s="6" t="n">
        <x:v>0</x:v>
      </x:c>
      <x:c r="V1080" s="6" t="n">
        <x:v>0</x:v>
      </x:c>
      <x:c r="W1080" s="6" t="n">
        <x:v>0</x:v>
      </x:c>
      <x:c r="X1080" s="6" t="n">
        <x:v>0</x:v>
      </x:c>
      <x:c r="Y1080" s="6" t="n">
        <x:v>0</x:v>
      </x:c>
      <x:c r="Z1080" s="6" t="n">
        <x:v>0</x:v>
      </x:c>
      <x:c r="AA1080" s="6" t="n">
        <x:v>3</x:v>
      </x:c>
      <x:c r="AB1080" s="6" t="n">
        <x:v>11</x:v>
      </x:c>
      <x:c r="AC1080" s="6" t="n">
        <x:v>0</x:v>
      </x:c>
    </x:row>
    <x:row r="1081">
      <x:c r="A1081" s="6" t="n">
        <x:v>3081</x:v>
      </x:c>
      <x:c r="B1081" s="6" t="n">
        <x:v>1978</x:v>
      </x:c>
      <x:c r="C1081" s="6" t="str">
        <x:v>PhD</x:v>
      </x:c>
      <x:c r="D1081" s="6" t="str">
        <x:v>Married</x:v>
      </x:c>
      <x:c r="E1081" s="6" t="n">
        <x:v>41014</x:v>
      </x:c>
      <x:c r="F1081" s="6" t="n">
        <x:v>1</x:v>
      </x:c>
      <x:c r="G1081" s="6" t="n">
        <x:v>0</x:v>
      </x:c>
      <x:c r="H1081" s="9" t="str">
        <x:v>22-04-2013</x:v>
      </x:c>
      <x:c r="I1081" s="6" t="n">
        <x:v>65</x:v>
      </x:c>
      <x:c r="J1081" s="6" t="n">
        <x:v>7</x:v>
      </x:c>
      <x:c r="K1081" s="6" t="n">
        <x:v>2</x:v>
      </x:c>
      <x:c r="L1081" s="6" t="n">
        <x:v>6</x:v>
      </x:c>
      <x:c r="M1081" s="6" t="n">
        <x:v>2</x:v>
      </x:c>
      <x:c r="N1081" s="6" t="n">
        <x:v>0</x:v>
      </x:c>
      <x:c r="O1081" s="6" t="n">
        <x:v>3</x:v>
      </x:c>
      <x:c r="P1081" s="6" t="n">
        <x:v>1</x:v>
      </x:c>
      <x:c r="Q1081" s="6" t="n">
        <x:v>1</x:v>
      </x:c>
      <x:c r="R1081" s="6" t="n">
        <x:v>0</x:v>
      </x:c>
      <x:c r="S1081" s="6" t="n">
        <x:v>2</x:v>
      </x:c>
      <x:c r="T1081" s="6" t="n">
        <x:v>7</x:v>
      </x:c>
      <x:c r="U1081" s="6" t="n">
        <x:v>0</x:v>
      </x:c>
      <x:c r="V1081" s="6" t="n">
        <x:v>0</x:v>
      </x:c>
      <x:c r="W1081" s="6" t="n">
        <x:v>0</x:v>
      </x:c>
      <x:c r="X1081" s="6" t="n">
        <x:v>0</x:v>
      </x:c>
      <x:c r="Y1081" s="6" t="n">
        <x:v>0</x:v>
      </x:c>
      <x:c r="Z1081" s="6" t="n">
        <x:v>0</x:v>
      </x:c>
      <x:c r="AA1081" s="6" t="n">
        <x:v>3</x:v>
      </x:c>
      <x:c r="AB1081" s="6" t="n">
        <x:v>11</x:v>
      </x:c>
      <x:c r="AC1081" s="6" t="n">
        <x:v>0</x:v>
      </x:c>
    </x:row>
    <x:row r="1082">
      <x:c r="A1082" s="6" t="n">
        <x:v>3535</x:v>
      </x:c>
      <x:c r="B1082" s="6" t="n">
        <x:v>1965</x:v>
      </x:c>
      <x:c r="C1082" s="6" t="str">
        <x:v>Graduation</x:v>
      </x:c>
      <x:c r="D1082" s="6" t="str">
        <x:v>Single</x:v>
      </x:c>
      <x:c r="E1082" s="6" t="n">
        <x:v>66294</x:v>
      </x:c>
      <x:c r="F1082" s="6" t="n">
        <x:v>0</x:v>
      </x:c>
      <x:c r="G1082" s="6" t="n">
        <x:v>0</x:v>
      </x:c>
      <x:c r="H1082" s="9" t="str">
        <x:v>17-03-2014</x:v>
      </x:c>
      <x:c r="I1082" s="6" t="n">
        <x:v>68</x:v>
      </x:c>
      <x:c r="J1082" s="6" t="n">
        <x:v>251</x:v>
      </x:c>
      <x:c r="K1082" s="6" t="n">
        <x:v>108</x:v>
      </x:c>
      <x:c r="L1082" s="6" t="n">
        <x:v>334</x:v>
      </x:c>
      <x:c r="M1082" s="6" t="n">
        <x:v>65</x:v>
      </x:c>
      <x:c r="N1082" s="6" t="n">
        <x:v>92</x:v>
      </x:c>
      <x:c r="O1082" s="6" t="n">
        <x:v>117</x:v>
      </x:c>
      <x:c r="P1082" s="6" t="n">
        <x:v>1</x:v>
      </x:c>
      <x:c r="Q1082" s="6" t="n">
        <x:v>4</x:v>
      </x:c>
      <x:c r="R1082" s="6" t="n">
        <x:v>3</x:v>
      </x:c>
      <x:c r="S1082" s="6" t="n">
        <x:v>5</x:v>
      </x:c>
      <x:c r="T1082" s="6" t="n">
        <x:v>2</x:v>
      </x:c>
      <x:c r="U1082" s="6" t="n">
        <x:v>0</x:v>
      </x:c>
      <x:c r="V1082" s="6" t="n">
        <x:v>0</x:v>
      </x:c>
      <x:c r="W1082" s="6" t="n">
        <x:v>0</x:v>
      </x:c>
      <x:c r="X1082" s="6" t="n">
        <x:v>0</x:v>
      </x:c>
      <x:c r="Y1082" s="6" t="n">
        <x:v>0</x:v>
      </x:c>
      <x:c r="Z1082" s="6" t="n">
        <x:v>0</x:v>
      </x:c>
      <x:c r="AA1082" s="6" t="n">
        <x:v>3</x:v>
      </x:c>
      <x:c r="AB1082" s="6" t="n">
        <x:v>11</x:v>
      </x:c>
      <x:c r="AC1082" s="6" t="n">
        <x:v>0</x:v>
      </x:c>
    </x:row>
    <x:row r="1083">
      <x:c r="A1083" s="6" t="n">
        <x:v>247</x:v>
      </x:c>
      <x:c r="B1083" s="6" t="n">
        <x:v>1971</x:v>
      </x:c>
      <x:c r="C1083" s="6" t="str">
        <x:v>Graduation</x:v>
      </x:c>
      <x:c r="D1083" s="6" t="str">
        <x:v>Married</x:v>
      </x:c>
      <x:c r="E1083" s="6" t="n">
        <x:v>36715</x:v>
      </x:c>
      <x:c r="F1083" s="6" t="n">
        <x:v>1</x:v>
      </x:c>
      <x:c r="G1083" s="6" t="n">
        <x:v>0</x:v>
      </x:c>
      <x:c r="H1083" s="9" t="str">
        <x:v>17-11-2012</x:v>
      </x:c>
      <x:c r="I1083" s="6" t="n">
        <x:v>16</x:v>
      </x:c>
      <x:c r="J1083" s="6" t="n">
        <x:v>172</x:v>
      </x:c>
      <x:c r="K1083" s="6" t="n">
        <x:v>10</x:v>
      </x:c>
      <x:c r="L1083" s="6" t="n">
        <x:v>125</x:v>
      </x:c>
      <x:c r="M1083" s="6" t="n">
        <x:v>21</x:v>
      </x:c>
      <x:c r="N1083" s="6" t="n">
        <x:v>13</x:v>
      </x:c>
      <x:c r="O1083" s="6" t="n">
        <x:v>16</x:v>
      </x:c>
      <x:c r="P1083" s="6" t="n">
        <x:v>6</x:v>
      </x:c>
      <x:c r="Q1083" s="6" t="n">
        <x:v>7</x:v>
      </x:c>
      <x:c r="R1083" s="6" t="n">
        <x:v>2</x:v>
      </x:c>
      <x:c r="S1083" s="6" t="n">
        <x:v>4</x:v>
      </x:c>
      <x:c r="T1083" s="6" t="n">
        <x:v>9</x:v>
      </x:c>
      <x:c r="U1083" s="6" t="n">
        <x:v>0</x:v>
      </x:c>
      <x:c r="V1083" s="6" t="n">
        <x:v>0</x:v>
      </x:c>
      <x:c r="W1083" s="6" t="n">
        <x:v>0</x:v>
      </x:c>
      <x:c r="X1083" s="6" t="n">
        <x:v>0</x:v>
      </x:c>
      <x:c r="Y1083" s="6" t="n">
        <x:v>0</x:v>
      </x:c>
      <x:c r="Z1083" s="6" t="n">
        <x:v>0</x:v>
      </x:c>
      <x:c r="AA1083" s="6" t="n">
        <x:v>3</x:v>
      </x:c>
      <x:c r="AB1083" s="6" t="n">
        <x:v>11</x:v>
      </x:c>
      <x:c r="AC1083" s="6" t="n">
        <x:v>1</x:v>
      </x:c>
    </x:row>
    <x:row r="1084">
      <x:c r="A1084" s="6" t="n">
        <x:v>8707</x:v>
      </x:c>
      <x:c r="B1084" s="6" t="n">
        <x:v>1956</x:v>
      </x:c>
      <x:c r="C1084" s="6" t="str">
        <x:v>Graduation</x:v>
      </x:c>
      <x:c r="D1084" s="6" t="str">
        <x:v>Married</x:v>
      </x:c>
      <x:c r="E1084" s="6" t="n">
        <x:v>79456</x:v>
      </x:c>
      <x:c r="F1084" s="6" t="n">
        <x:v>0</x:v>
      </x:c>
      <x:c r="G1084" s="6" t="n">
        <x:v>0</x:v>
      </x:c>
      <x:c r="H1084" s="9" t="str">
        <x:v>22-08-2012</x:v>
      </x:c>
      <x:c r="I1084" s="6" t="n">
        <x:v>12</x:v>
      </x:c>
      <x:c r="J1084" s="6" t="n">
        <x:v>565</x:v>
      </x:c>
      <x:c r="K1084" s="6" t="n">
        <x:v>42</x:v>
      </x:c>
      <x:c r="L1084" s="6" t="n">
        <x:v>548</x:v>
      </x:c>
      <x:c r="M1084" s="6" t="n">
        <x:v>64</x:v>
      </x:c>
      <x:c r="N1084" s="6" t="n">
        <x:v>83</x:v>
      </x:c>
      <x:c r="O1084" s="6" t="n">
        <x:v>99</x:v>
      </x:c>
      <x:c r="P1084" s="6" t="n">
        <x:v>1</x:v>
      </x:c>
      <x:c r="Q1084" s="6" t="n">
        <x:v>5</x:v>
      </x:c>
      <x:c r="R1084" s="6" t="n">
        <x:v>6</x:v>
      </x:c>
      <x:c r="S1084" s="6" t="n">
        <x:v>4</x:v>
      </x:c>
      <x:c r="T1084" s="6" t="n">
        <x:v>3</x:v>
      </x:c>
      <x:c r="U1084" s="6" t="n">
        <x:v>0</x:v>
      </x:c>
      <x:c r="V1084" s="6" t="n">
        <x:v>0</x:v>
      </x:c>
      <x:c r="W1084" s="6" t="n">
        <x:v>0</x:v>
      </x:c>
      <x:c r="X1084" s="6" t="n">
        <x:v>0</x:v>
      </x:c>
      <x:c r="Y1084" s="6" t="n">
        <x:v>0</x:v>
      </x:c>
      <x:c r="Z1084" s="6" t="n">
        <x:v>0</x:v>
      </x:c>
      <x:c r="AA1084" s="6" t="n">
        <x:v>3</x:v>
      </x:c>
      <x:c r="AB1084" s="6" t="n">
        <x:v>11</x:v>
      </x:c>
      <x:c r="AC1084" s="6" t="n">
        <x:v>1</x:v>
      </x:c>
    </x:row>
    <x:row r="1085">
      <x:c r="A1085" s="6" t="n">
        <x:v>9523</x:v>
      </x:c>
      <x:c r="B1085" s="6" t="n">
        <x:v>1982</x:v>
      </x:c>
      <x:c r="C1085" s="6" t="str">
        <x:v>Graduation</x:v>
      </x:c>
      <x:c r="D1085" s="6" t="str">
        <x:v>Together</x:v>
      </x:c>
      <x:c r="E1085" s="6" t="n">
        <x:v>40479</x:v>
      </x:c>
      <x:c r="F1085" s="6" t="n">
        <x:v>1</x:v>
      </x:c>
      <x:c r="G1085" s="6" t="n">
        <x:v>0</x:v>
      </x:c>
      <x:c r="H1085" s="9" t="str">
        <x:v>17-08-2013</x:v>
      </x:c>
      <x:c r="I1085" s="6" t="n">
        <x:v>95</x:v>
      </x:c>
      <x:c r="J1085" s="6" t="n">
        <x:v>5</x:v>
      </x:c>
      <x:c r="K1085" s="6" t="n">
        <x:v>0</x:v>
      </x:c>
      <x:c r="L1085" s="6" t="n">
        <x:v>8</x:v>
      </x:c>
      <x:c r="M1085" s="6" t="n">
        <x:v>2</x:v>
      </x:c>
      <x:c r="N1085" s="6" t="n">
        <x:v>0</x:v>
      </x:c>
      <x:c r="O1085" s="6" t="n">
        <x:v>0</x:v>
      </x:c>
      <x:c r="P1085" s="6" t="n">
        <x:v>1</x:v>
      </x:c>
      <x:c r="Q1085" s="6" t="n">
        <x:v>0</x:v>
      </x:c>
      <x:c r="R1085" s="6" t="n">
        <x:v>0</x:v>
      </x:c>
      <x:c r="S1085" s="6" t="n">
        <x:v>3</x:v>
      </x:c>
      <x:c r="T1085" s="6" t="n">
        <x:v>4</x:v>
      </x:c>
      <x:c r="U1085" s="6" t="n">
        <x:v>0</x:v>
      </x:c>
      <x:c r="V1085" s="6" t="n">
        <x:v>0</x:v>
      </x:c>
      <x:c r="W1085" s="6" t="n">
        <x:v>0</x:v>
      </x:c>
      <x:c r="X1085" s="6" t="n">
        <x:v>0</x:v>
      </x:c>
      <x:c r="Y1085" s="6" t="n">
        <x:v>0</x:v>
      </x:c>
      <x:c r="Z1085" s="6" t="n">
        <x:v>0</x:v>
      </x:c>
      <x:c r="AA1085" s="6" t="n">
        <x:v>3</x:v>
      </x:c>
      <x:c r="AB1085" s="6" t="n">
        <x:v>11</x:v>
      </x:c>
      <x:c r="AC1085" s="6" t="n">
        <x:v>0</x:v>
      </x:c>
    </x:row>
    <x:row r="1086">
      <x:c r="A1086" s="6" t="n">
        <x:v>6072</x:v>
      </x:c>
      <x:c r="B1086" s="6" t="n">
        <x:v>1970</x:v>
      </x:c>
      <x:c r="C1086" s="6" t="str">
        <x:v>Master</x:v>
      </x:c>
      <x:c r="D1086" s="6" t="str">
        <x:v>Single</x:v>
      </x:c>
      <x:c r="E1086" s="6" t="n">
        <x:v>75345</x:v>
      </x:c>
      <x:c r="F1086" s="6" t="n">
        <x:v>0</x:v>
      </x:c>
      <x:c r="G1086" s="6" t="n">
        <x:v>0</x:v>
      </x:c>
      <x:c r="H1086" s="9" t="str">
        <x:v>02-02-2013</x:v>
      </x:c>
      <x:c r="I1086" s="6" t="n">
        <x:v>16</x:v>
      </x:c>
      <x:c r="J1086" s="6" t="n">
        <x:v>918</x:v>
      </x:c>
      <x:c r="K1086" s="6" t="n">
        <x:v>57</x:v>
      </x:c>
      <x:c r="L1086" s="6" t="n">
        <x:v>842</x:v>
      </x:c>
      <x:c r="M1086" s="6" t="n">
        <x:v>99</x:v>
      </x:c>
      <x:c r="N1086" s="6" t="n">
        <x:v>38</x:v>
      </x:c>
      <x:c r="O1086" s="6" t="n">
        <x:v>133</x:v>
      </x:c>
      <x:c r="P1086" s="6" t="n">
        <x:v>1</x:v>
      </x:c>
      <x:c r="Q1086" s="6" t="n">
        <x:v>5</x:v>
      </x:c>
      <x:c r="R1086" s="6" t="n">
        <x:v>8</x:v>
      </x:c>
      <x:c r="S1086" s="6" t="n">
        <x:v>6</x:v>
      </x:c>
      <x:c r="T1086" s="6" t="n">
        <x:v>3</x:v>
      </x:c>
      <x:c r="U1086" s="6" t="n">
        <x:v>0</x:v>
      </x:c>
      <x:c r="V1086" s="6" t="n">
        <x:v>0</x:v>
      </x:c>
      <x:c r="W1086" s="6" t="n">
        <x:v>0</x:v>
      </x:c>
      <x:c r="X1086" s="6" t="n">
        <x:v>1</x:v>
      </x:c>
      <x:c r="Y1086" s="6" t="n">
        <x:v>0</x:v>
      </x:c>
      <x:c r="Z1086" s="6" t="n">
        <x:v>0</x:v>
      </x:c>
      <x:c r="AA1086" s="6" t="n">
        <x:v>3</x:v>
      </x:c>
      <x:c r="AB1086" s="6" t="n">
        <x:v>11</x:v>
      </x:c>
      <x:c r="AC1086" s="6" t="n">
        <x:v>1</x:v>
      </x:c>
    </x:row>
    <x:row r="1087">
      <x:c r="A1087" s="6" t="n">
        <x:v>6295</x:v>
      </x:c>
      <x:c r="B1087" s="6" t="n">
        <x:v>1977</x:v>
      </x:c>
      <x:c r="C1087" s="6" t="str">
        <x:v>Graduation</x:v>
      </x:c>
      <x:c r="D1087" s="6" t="str">
        <x:v>Married</x:v>
      </x:c>
      <x:c r="E1087" s="6" t="n">
        <x:v>54233</x:v>
      </x:c>
      <x:c r="F1087" s="6" t="n">
        <x:v>0</x:v>
      </x:c>
      <x:c r="G1087" s="6" t="n">
        <x:v>1</x:v>
      </x:c>
      <x:c r="H1087" s="9" t="str">
        <x:v>04-02-2013</x:v>
      </x:c>
      <x:c r="I1087" s="6" t="n">
        <x:v>46</x:v>
      </x:c>
      <x:c r="J1087" s="6" t="n">
        <x:v>652</x:v>
      </x:c>
      <x:c r="K1087" s="6" t="n">
        <x:v>8</x:v>
      </x:c>
      <x:c r="L1087" s="6" t="n">
        <x:v>158</x:v>
      </x:c>
      <x:c r="M1087" s="6" t="n">
        <x:v>21</x:v>
      </x:c>
      <x:c r="N1087" s="6" t="n">
        <x:v>0</x:v>
      </x:c>
      <x:c r="O1087" s="6" t="n">
        <x:v>142</x:v>
      </x:c>
      <x:c r="P1087" s="6" t="n">
        <x:v>4</x:v>
      </x:c>
      <x:c r="Q1087" s="6" t="n">
        <x:v>11</x:v>
      </x:c>
      <x:c r="R1087" s="6" t="n">
        <x:v>6</x:v>
      </x:c>
      <x:c r="S1087" s="6" t="n">
        <x:v>5</x:v>
      </x:c>
      <x:c r="T1087" s="6" t="n">
        <x:v>8</x:v>
      </x:c>
      <x:c r="U1087" s="6" t="n">
        <x:v>0</x:v>
      </x:c>
      <x:c r="V1087" s="6" t="n">
        <x:v>0</x:v>
      </x:c>
      <x:c r="W1087" s="6" t="n">
        <x:v>0</x:v>
      </x:c>
      <x:c r="X1087" s="6" t="n">
        <x:v>0</x:v>
      </x:c>
      <x:c r="Y1087" s="6" t="n">
        <x:v>0</x:v>
      </x:c>
      <x:c r="Z1087" s="6" t="n">
        <x:v>0</x:v>
      </x:c>
      <x:c r="AA1087" s="6" t="n">
        <x:v>3</x:v>
      </x:c>
      <x:c r="AB1087" s="6" t="n">
        <x:v>11</x:v>
      </x:c>
      <x:c r="AC1087" s="6" t="n">
        <x:v>0</x:v>
      </x:c>
    </x:row>
    <x:row r="1088">
      <x:c r="A1088" s="6" t="n">
        <x:v>10914</x:v>
      </x:c>
      <x:c r="B1088" s="6" t="n">
        <x:v>1970</x:v>
      </x:c>
      <x:c r="C1088" s="6" t="str">
        <x:v>Graduation</x:v>
      </x:c>
      <x:c r="D1088" s="6" t="str">
        <x:v>Single</x:v>
      </x:c>
      <x:c r="E1088" s="6" t="n">
        <x:v>24163</x:v>
      </x:c>
      <x:c r="F1088" s="6" t="n">
        <x:v>1</x:v>
      </x:c>
      <x:c r="G1088" s="6" t="n">
        <x:v>1</x:v>
      </x:c>
      <x:c r="H1088" s="9" t="str">
        <x:v>12-10-2013</x:v>
      </x:c>
      <x:c r="I1088" s="6" t="n">
        <x:v>3</x:v>
      </x:c>
      <x:c r="J1088" s="6" t="n">
        <x:v>4</x:v>
      </x:c>
      <x:c r="K1088" s="6" t="n">
        <x:v>1</x:v>
      </x:c>
      <x:c r="L1088" s="6" t="n">
        <x:v>7</x:v>
      </x:c>
      <x:c r="M1088" s="6" t="n">
        <x:v>2</x:v>
      </x:c>
      <x:c r="N1088" s="6" t="n">
        <x:v>1</x:v>
      </x:c>
      <x:c r="O1088" s="6" t="n">
        <x:v>2</x:v>
      </x:c>
      <x:c r="P1088" s="6" t="n">
        <x:v>2</x:v>
      </x:c>
      <x:c r="Q1088" s="6" t="n">
        <x:v>1</x:v>
      </x:c>
      <x:c r="R1088" s="6" t="n">
        <x:v>0</x:v>
      </x:c>
      <x:c r="S1088" s="6" t="n">
        <x:v>3</x:v>
      </x:c>
      <x:c r="T1088" s="6" t="n">
        <x:v>4</x:v>
      </x:c>
      <x:c r="U1088" s="6" t="n">
        <x:v>0</x:v>
      </x:c>
      <x:c r="V1088" s="6" t="n">
        <x:v>0</x:v>
      </x:c>
      <x:c r="W1088" s="6" t="n">
        <x:v>0</x:v>
      </x:c>
      <x:c r="X1088" s="6" t="n">
        <x:v>0</x:v>
      </x:c>
      <x:c r="Y1088" s="6" t="n">
        <x:v>0</x:v>
      </x:c>
      <x:c r="Z1088" s="6" t="n">
        <x:v>0</x:v>
      </x:c>
      <x:c r="AA1088" s="6" t="n">
        <x:v>3</x:v>
      </x:c>
      <x:c r="AB1088" s="6" t="n">
        <x:v>11</x:v>
      </x:c>
      <x:c r="AC1088" s="6" t="n">
        <x:v>0</x:v>
      </x:c>
    </x:row>
    <x:row r="1089">
      <x:c r="A1089" s="6" t="n">
        <x:v>1509</x:v>
      </x:c>
      <x:c r="B1089" s="6" t="n">
        <x:v>1958</x:v>
      </x:c>
      <x:c r="C1089" s="6" t="str">
        <x:v>PhD</x:v>
      </x:c>
      <x:c r="D1089" s="6" t="str">
        <x:v>Together</x:v>
      </x:c>
      <x:c r="E1089" s="6" t="n">
        <x:v>84460</x:v>
      </x:c>
      <x:c r="F1089" s="6" t="n">
        <x:v>0</x:v>
      </x:c>
      <x:c r="G1089" s="6" t="n">
        <x:v>0</x:v>
      </x:c>
      <x:c r="H1089" s="9" t="str">
        <x:v>04-01-2013</x:v>
      </x:c>
      <x:c r="I1089" s="6" t="n">
        <x:v>80</x:v>
      </x:c>
      <x:c r="J1089" s="6" t="n">
        <x:v>152</x:v>
      </x:c>
      <x:c r="K1089" s="6" t="n">
        <x:v>27</x:v>
      </x:c>
      <x:c r="L1089" s="6" t="n">
        <x:v>103</x:v>
      </x:c>
      <x:c r="M1089" s="6" t="n">
        <x:v>106</x:v>
      </x:c>
      <x:c r="N1089" s="6" t="n">
        <x:v>54</x:v>
      </x:c>
      <x:c r="O1089" s="6" t="n">
        <x:v>81</x:v>
      </x:c>
      <x:c r="P1089" s="6" t="n">
        <x:v>0</x:v>
      </x:c>
      <x:c r="Q1089" s="6" t="n">
        <x:v>9</x:v>
      </x:c>
      <x:c r="R1089" s="6" t="n">
        <x:v>9</x:v>
      </x:c>
      <x:c r="S1089" s="6" t="n">
        <x:v>4</x:v>
      </x:c>
      <x:c r="T1089" s="6" t="n">
        <x:v>5</x:v>
      </x:c>
      <x:c r="U1089" s="6" t="n">
        <x:v>0</x:v>
      </x:c>
      <x:c r="V1089" s="6" t="n">
        <x:v>1</x:v>
      </x:c>
      <x:c r="W1089" s="6" t="n">
        <x:v>1</x:v>
      </x:c>
      <x:c r="X1089" s="6" t="n">
        <x:v>1</x:v>
      </x:c>
      <x:c r="Y1089" s="6" t="n">
        <x:v>1</x:v>
      </x:c>
      <x:c r="Z1089" s="6" t="n">
        <x:v>0</x:v>
      </x:c>
      <x:c r="AA1089" s="6" t="n">
        <x:v>3</x:v>
      </x:c>
      <x:c r="AB1089" s="6" t="n">
        <x:v>11</x:v>
      </x:c>
      <x:c r="AC1089" s="6" t="n">
        <x:v>1</x:v>
      </x:c>
    </x:row>
    <x:row r="1090">
      <x:c r="A1090" s="6" t="n">
        <x:v>5577</x:v>
      </x:c>
      <x:c r="B1090" s="6" t="n">
        <x:v>1983</x:v>
      </x:c>
      <x:c r="C1090" s="6" t="str">
        <x:v>Graduation</x:v>
      </x:c>
      <x:c r="D1090" s="6" t="str">
        <x:v>Together</x:v>
      </x:c>
      <x:c r="E1090" s="6" t="n">
        <x:v>43776</x:v>
      </x:c>
      <x:c r="F1090" s="6" t="n">
        <x:v>1</x:v>
      </x:c>
      <x:c r="G1090" s="6" t="n">
        <x:v>0</x:v>
      </x:c>
      <x:c r="H1090" s="9" t="str">
        <x:v>03-05-2014</x:v>
      </x:c>
      <x:c r="I1090" s="6" t="n">
        <x:v>77</x:v>
      </x:c>
      <x:c r="J1090" s="6" t="n">
        <x:v>8</x:v>
      </x:c>
      <x:c r="K1090" s="6" t="n">
        <x:v>0</x:v>
      </x:c>
      <x:c r="L1090" s="6" t="n">
        <x:v>9</x:v>
      </x:c>
      <x:c r="M1090" s="6" t="n">
        <x:v>2</x:v>
      </x:c>
      <x:c r="N1090" s="6" t="n">
        <x:v>1</x:v>
      </x:c>
      <x:c r="O1090" s="6" t="n">
        <x:v>3</x:v>
      </x:c>
      <x:c r="P1090" s="6" t="n">
        <x:v>1</x:v>
      </x:c>
      <x:c r="Q1090" s="6" t="n">
        <x:v>1</x:v>
      </x:c>
      <x:c r="R1090" s="6" t="n">
        <x:v>0</x:v>
      </x:c>
      <x:c r="S1090" s="6" t="n">
        <x:v>2</x:v>
      </x:c>
      <x:c r="T1090" s="6" t="n">
        <x:v>6</x:v>
      </x:c>
      <x:c r="U1090" s="6" t="n">
        <x:v>0</x:v>
      </x:c>
      <x:c r="V1090" s="6" t="n">
        <x:v>0</x:v>
      </x:c>
      <x:c r="W1090" s="6" t="n">
        <x:v>0</x:v>
      </x:c>
      <x:c r="X1090" s="6" t="n">
        <x:v>0</x:v>
      </x:c>
      <x:c r="Y1090" s="6" t="n">
        <x:v>0</x:v>
      </x:c>
      <x:c r="Z1090" s="6" t="n">
        <x:v>0</x:v>
      </x:c>
      <x:c r="AA1090" s="6" t="n">
        <x:v>3</x:v>
      </x:c>
      <x:c r="AB1090" s="6" t="n">
        <x:v>11</x:v>
      </x:c>
      <x:c r="AC1090" s="6" t="n">
        <x:v>0</x:v>
      </x:c>
    </x:row>
    <x:row r="1091">
      <x:c r="A1091" s="6" t="n">
        <x:v>7348</x:v>
      </x:c>
      <x:c r="B1091" s="6" t="n">
        <x:v>1958</x:v>
      </x:c>
      <x:c r="C1091" s="6" t="str">
        <x:v>PhD</x:v>
      </x:c>
      <x:c r="D1091" s="6" t="str">
        <x:v>Single</x:v>
      </x:c>
      <x:c r="E1091" s="6" t="n">
        <x:v>71691</x:v>
      </x:c>
      <x:c r="F1091" s="6" t="n">
        <x:v>0</x:v>
      </x:c>
      <x:c r="G1091" s="6" t="n">
        <x:v>0</x:v>
      </x:c>
      <x:c r="H1091" s="9" t="str">
        <x:v>17-03-2014</x:v>
      </x:c>
      <x:c r="I1091" s="6" t="n">
        <x:v>0</x:v>
      </x:c>
      <x:c r="J1091" s="6" t="n">
        <x:v>336</x:v>
      </x:c>
      <x:c r="K1091" s="6" t="n">
        <x:v>130</x:v>
      </x:c>
      <x:c r="L1091" s="6" t="n">
        <x:v>411</x:v>
      </x:c>
      <x:c r="M1091" s="6" t="n">
        <x:v>240</x:v>
      </x:c>
      <x:c r="N1091" s="6" t="n">
        <x:v>32</x:v>
      </x:c>
      <x:c r="O1091" s="6" t="n">
        <x:v>43</x:v>
      </x:c>
      <x:c r="P1091" s="6" t="n">
        <x:v>1</x:v>
      </x:c>
      <x:c r="Q1091" s="6" t="n">
        <x:v>4</x:v>
      </x:c>
      <x:c r="R1091" s="6" t="n">
        <x:v>7</x:v>
      </x:c>
      <x:c r="S1091" s="6" t="n">
        <x:v>5</x:v>
      </x:c>
      <x:c r="T1091" s="6" t="n">
        <x:v>2</x:v>
      </x:c>
      <x:c r="U1091" s="6" t="n">
        <x:v>0</x:v>
      </x:c>
      <x:c r="V1091" s="6" t="n">
        <x:v>0</x:v>
      </x:c>
      <x:c r="W1091" s="6" t="n">
        <x:v>0</x:v>
      </x:c>
      <x:c r="X1091" s="6" t="n">
        <x:v>0</x:v>
      </x:c>
      <x:c r="Y1091" s="6" t="n">
        <x:v>0</x:v>
      </x:c>
      <x:c r="Z1091" s="6" t="n">
        <x:v>0</x:v>
      </x:c>
      <x:c r="AA1091" s="6" t="n">
        <x:v>3</x:v>
      </x:c>
      <x:c r="AB1091" s="6" t="n">
        <x:v>11</x:v>
      </x:c>
      <x:c r="AC1091" s="6" t="n">
        <x:v>1</x:v>
      </x:c>
    </x:row>
    <x:row r="1092">
      <x:c r="A1092" s="6" t="n">
        <x:v>1127</x:v>
      </x:c>
      <x:c r="B1092" s="6" t="n">
        <x:v>1973</x:v>
      </x:c>
      <x:c r="C1092" s="6" t="str">
        <x:v>PhD</x:v>
      </x:c>
      <x:c r="D1092" s="6" t="str">
        <x:v>Married</x:v>
      </x:c>
      <x:c r="E1092" s="6" t="n">
        <x:v>85844</x:v>
      </x:c>
      <x:c r="F1092" s="6" t="n">
        <x:v>0</x:v>
      </x:c>
      <x:c r="G1092" s="6" t="n">
        <x:v>0</x:v>
      </x:c>
      <x:c r="H1092" s="9" t="str">
        <x:v>29-05-2014</x:v>
      </x:c>
      <x:c r="I1092" s="6" t="n">
        <x:v>62</x:v>
      </x:c>
      <x:c r="J1092" s="6" t="n">
        <x:v>938</x:v>
      </x:c>
      <x:c r="K1092" s="6" t="n">
        <x:v>19</x:v>
      </x:c>
      <x:c r="L1092" s="6" t="n">
        <x:v>843</x:v>
      </x:c>
      <x:c r="M1092" s="6" t="n">
        <x:v>25</x:v>
      </x:c>
      <x:c r="N1092" s="6" t="n">
        <x:v>95</x:v>
      </x:c>
      <x:c r="O1092" s="6" t="n">
        <x:v>38</x:v>
      </x:c>
      <x:c r="P1092" s="6" t="n">
        <x:v>1</x:v>
      </x:c>
      <x:c r="Q1092" s="6" t="n">
        <x:v>6</x:v>
      </x:c>
      <x:c r="R1092" s="6" t="n">
        <x:v>6</x:v>
      </x:c>
      <x:c r="S1092" s="6" t="n">
        <x:v>7</x:v>
      </x:c>
      <x:c r="T1092" s="6" t="n">
        <x:v>2</x:v>
      </x:c>
      <x:c r="U1092" s="6" t="n">
        <x:v>0</x:v>
      </x:c>
      <x:c r="V1092" s="6" t="n">
        <x:v>0</x:v>
      </x:c>
      <x:c r="W1092" s="6" t="n">
        <x:v>1</x:v>
      </x:c>
      <x:c r="X1092" s="6" t="n">
        <x:v>0</x:v>
      </x:c>
      <x:c r="Y1092" s="6" t="n">
        <x:v>0</x:v>
      </x:c>
      <x:c r="Z1092" s="6" t="n">
        <x:v>0</x:v>
      </x:c>
      <x:c r="AA1092" s="6" t="n">
        <x:v>3</x:v>
      </x:c>
      <x:c r="AB1092" s="6" t="n">
        <x:v>11</x:v>
      </x:c>
      <x:c r="AC1092" s="6" t="n">
        <x:v>0</x:v>
      </x:c>
    </x:row>
    <x:row r="1093">
      <x:c r="A1093" s="6" t="n">
        <x:v>1833</x:v>
      </x:c>
      <x:c r="B1093" s="6" t="n">
        <x:v>1974</x:v>
      </x:c>
      <x:c r="C1093" s="6" t="str">
        <x:v>PhD</x:v>
      </x:c>
      <x:c r="D1093" s="6" t="str">
        <x:v>Single</x:v>
      </x:c>
      <x:c r="E1093" s="6" t="n">
        <x:v>39190</x:v>
      </x:c>
      <x:c r="F1093" s="6" t="n">
        <x:v>1</x:v>
      </x:c>
      <x:c r="G1093" s="6" t="n">
        <x:v>0</x:v>
      </x:c>
      <x:c r="H1093" s="9" t="str">
        <x:v>26-04-2014</x:v>
      </x:c>
      <x:c r="I1093" s="6" t="n">
        <x:v>91</x:v>
      </x:c>
      <x:c r="J1093" s="6" t="n">
        <x:v>68</x:v>
      </x:c>
      <x:c r="K1093" s="6" t="n">
        <x:v>8</x:v>
      </x:c>
      <x:c r="L1093" s="6" t="n">
        <x:v>18</x:v>
      </x:c>
      <x:c r="M1093" s="6" t="n">
        <x:v>19</x:v>
      </x:c>
      <x:c r="N1093" s="6" t="n">
        <x:v>8</x:v>
      </x:c>
      <x:c r="O1093" s="6" t="n">
        <x:v>12</x:v>
      </x:c>
      <x:c r="P1093" s="6" t="n">
        <x:v>2</x:v>
      </x:c>
      <x:c r="Q1093" s="6" t="n">
        <x:v>2</x:v>
      </x:c>
      <x:c r="R1093" s="6" t="n">
        <x:v>1</x:v>
      </x:c>
      <x:c r="S1093" s="6" t="n">
        <x:v>4</x:v>
      </x:c>
      <x:c r="T1093" s="6" t="n">
        <x:v>5</x:v>
      </x:c>
      <x:c r="U1093" s="6" t="n">
        <x:v>0</x:v>
      </x:c>
      <x:c r="V1093" s="6" t="n">
        <x:v>0</x:v>
      </x:c>
      <x:c r="W1093" s="6" t="n">
        <x:v>0</x:v>
      </x:c>
      <x:c r="X1093" s="6" t="n">
        <x:v>0</x:v>
      </x:c>
      <x:c r="Y1093" s="6" t="n">
        <x:v>0</x:v>
      </x:c>
      <x:c r="Z1093" s="6" t="n">
        <x:v>0</x:v>
      </x:c>
      <x:c r="AA1093" s="6" t="n">
        <x:v>3</x:v>
      </x:c>
      <x:c r="AB1093" s="6" t="n">
        <x:v>11</x:v>
      </x:c>
      <x:c r="AC1093" s="6" t="n">
        <x:v>0</x:v>
      </x:c>
    </x:row>
    <x:row r="1094">
      <x:c r="A1094" s="6" t="n">
        <x:v>4944</x:v>
      </x:c>
      <x:c r="B1094" s="6" t="n">
        <x:v>1959</x:v>
      </x:c>
      <x:c r="C1094" s="6" t="str">
        <x:v>Graduation</x:v>
      </x:c>
      <x:c r="D1094" s="6" t="str">
        <x:v>Together</x:v>
      </x:c>
      <x:c r="E1094" s="6" t="n">
        <x:v>71367</x:v>
      </x:c>
      <x:c r="F1094" s="6" t="n">
        <x:v>0</x:v>
      </x:c>
      <x:c r="G1094" s="6" t="n">
        <x:v>0</x:v>
      </x:c>
      <x:c r="H1094" s="9" t="str">
        <x:v>23-08-2013</x:v>
      </x:c>
      <x:c r="I1094" s="6" t="n">
        <x:v>24</x:v>
      </x:c>
      <x:c r="J1094" s="6" t="n">
        <x:v>227</x:v>
      </x:c>
      <x:c r="K1094" s="6" t="n">
        <x:v>23</x:v>
      </x:c>
      <x:c r="L1094" s="6" t="n">
        <x:v>389</x:v>
      </x:c>
      <x:c r="M1094" s="6" t="n">
        <x:v>42</x:v>
      </x:c>
      <x:c r="N1094" s="6" t="n">
        <x:v>21</x:v>
      </x:c>
      <x:c r="O1094" s="6" t="n">
        <x:v>75</x:v>
      </x:c>
      <x:c r="P1094" s="6" t="n">
        <x:v>1</x:v>
      </x:c>
      <x:c r="Q1094" s="6" t="n">
        <x:v>4</x:v>
      </x:c>
      <x:c r="R1094" s="6" t="n">
        <x:v>5</x:v>
      </x:c>
      <x:c r="S1094" s="6" t="n">
        <x:v>7</x:v>
      </x:c>
      <x:c r="T1094" s="6" t="n">
        <x:v>2</x:v>
      </x:c>
      <x:c r="U1094" s="6" t="n">
        <x:v>0</x:v>
      </x:c>
      <x:c r="V1094" s="6" t="n">
        <x:v>0</x:v>
      </x:c>
      <x:c r="W1094" s="6" t="n">
        <x:v>0</x:v>
      </x:c>
      <x:c r="X1094" s="6" t="n">
        <x:v>0</x:v>
      </x:c>
      <x:c r="Y1094" s="6" t="n">
        <x:v>0</x:v>
      </x:c>
      <x:c r="Z1094" s="6" t="n">
        <x:v>0</x:v>
      </x:c>
      <x:c r="AA1094" s="6" t="n">
        <x:v>3</x:v>
      </x:c>
      <x:c r="AB1094" s="6" t="n">
        <x:v>11</x:v>
      </x:c>
      <x:c r="AC1094" s="6" t="n">
        <x:v>0</x:v>
      </x:c>
    </x:row>
    <x:row r="1095">
      <x:c r="A1095" s="6" t="n">
        <x:v>9080</x:v>
      </x:c>
      <x:c r="B1095" s="6" t="n">
        <x:v>1972</x:v>
      </x:c>
      <x:c r="C1095" s="6" t="str">
        <x:v>PhD</x:v>
      </x:c>
      <x:c r="D1095" s="6" t="str">
        <x:v>Single</x:v>
      </x:c>
      <x:c r="E1095" s="6" t="n">
        <x:v>38578</x:v>
      </x:c>
      <x:c r="F1095" s="6" t="n">
        <x:v>1</x:v>
      </x:c>
      <x:c r="G1095" s="6" t="n">
        <x:v>1</x:v>
      </x:c>
      <x:c r="H1095" s="9" t="str">
        <x:v>22-06-2013</x:v>
      </x:c>
      <x:c r="I1095" s="6" t="n">
        <x:v>2</x:v>
      </x:c>
      <x:c r="J1095" s="6" t="n">
        <x:v>38</x:v>
      </x:c>
      <x:c r="K1095" s="6" t="n">
        <x:v>4</x:v>
      </x:c>
      <x:c r="L1095" s="6" t="n">
        <x:v>22</x:v>
      </x:c>
      <x:c r="M1095" s="6" t="n">
        <x:v>3</x:v>
      </x:c>
      <x:c r="N1095" s="6" t="n">
        <x:v>3</x:v>
      </x:c>
      <x:c r="O1095" s="6" t="n">
        <x:v>3</x:v>
      </x:c>
      <x:c r="P1095" s="6" t="n">
        <x:v>3</x:v>
      </x:c>
      <x:c r="Q1095" s="6" t="n">
        <x:v>3</x:v>
      </x:c>
      <x:c r="R1095" s="6" t="n">
        <x:v>0</x:v>
      </x:c>
      <x:c r="S1095" s="6" t="n">
        <x:v>3</x:v>
      </x:c>
      <x:c r="T1095" s="6" t="n">
        <x:v>8</x:v>
      </x:c>
      <x:c r="U1095" s="6" t="n">
        <x:v>0</x:v>
      </x:c>
      <x:c r="V1095" s="6" t="n">
        <x:v>0</x:v>
      </x:c>
      <x:c r="W1095" s="6" t="n">
        <x:v>0</x:v>
      </x:c>
      <x:c r="X1095" s="6" t="n">
        <x:v>0</x:v>
      </x:c>
      <x:c r="Y1095" s="6" t="n">
        <x:v>0</x:v>
      </x:c>
      <x:c r="Z1095" s="6" t="n">
        <x:v>0</x:v>
      </x:c>
      <x:c r="AA1095" s="6" t="n">
        <x:v>3</x:v>
      </x:c>
      <x:c r="AB1095" s="6" t="n">
        <x:v>11</x:v>
      </x:c>
      <x:c r="AC1095" s="6" t="n">
        <x:v>0</x:v>
      </x:c>
    </x:row>
    <x:row r="1096">
      <x:c r="A1096" s="6" t="n">
        <x:v>6466</x:v>
      </x:c>
      <x:c r="B1096" s="6" t="n">
        <x:v>1965</x:v>
      </x:c>
      <x:c r="C1096" s="6" t="str">
        <x:v>PhD</x:v>
      </x:c>
      <x:c r="D1096" s="6" t="str">
        <x:v>Married</x:v>
      </x:c>
      <x:c r="E1096" s="6" t="n">
        <x:v>57236</x:v>
      </x:c>
      <x:c r="F1096" s="6" t="n">
        <x:v>1</x:v>
      </x:c>
      <x:c r="G1096" s="6" t="n">
        <x:v>1</x:v>
      </x:c>
      <x:c r="H1096" s="9" t="str">
        <x:v>12-03-2014</x:v>
      </x:c>
      <x:c r="I1096" s="6" t="n">
        <x:v>22</x:v>
      </x:c>
      <x:c r="J1096" s="6" t="n">
        <x:v>105</x:v>
      </x:c>
      <x:c r="K1096" s="6" t="n">
        <x:v>0</x:v>
      </x:c>
      <x:c r="L1096" s="6" t="n">
        <x:v>9</x:v>
      </x:c>
      <x:c r="M1096" s="6" t="n">
        <x:v>2</x:v>
      </x:c>
      <x:c r="N1096" s="6" t="n">
        <x:v>1</x:v>
      </x:c>
      <x:c r="O1096" s="6" t="n">
        <x:v>4</x:v>
      </x:c>
      <x:c r="P1096" s="6" t="n">
        <x:v>3</x:v>
      </x:c>
      <x:c r="Q1096" s="6" t="n">
        <x:v>2</x:v>
      </x:c>
      <x:c r="R1096" s="6" t="n">
        <x:v>1</x:v>
      </x:c>
      <x:c r="S1096" s="6" t="n">
        <x:v>4</x:v>
      </x:c>
      <x:c r="T1096" s="6" t="n">
        <x:v>3</x:v>
      </x:c>
      <x:c r="U1096" s="6" t="n">
        <x:v>0</x:v>
      </x:c>
      <x:c r="V1096" s="6" t="n">
        <x:v>0</x:v>
      </x:c>
      <x:c r="W1096" s="6" t="n">
        <x:v>0</x:v>
      </x:c>
      <x:c r="X1096" s="6" t="n">
        <x:v>0</x:v>
      </x:c>
      <x:c r="Y1096" s="6" t="n">
        <x:v>0</x:v>
      </x:c>
      <x:c r="Z1096" s="6" t="n">
        <x:v>0</x:v>
      </x:c>
      <x:c r="AA1096" s="6" t="n">
        <x:v>3</x:v>
      </x:c>
      <x:c r="AB1096" s="6" t="n">
        <x:v>11</x:v>
      </x:c>
      <x:c r="AC1096" s="6" t="n">
        <x:v>0</x:v>
      </x:c>
    </x:row>
    <x:row r="1097">
      <x:c r="A1097" s="6" t="n">
        <x:v>9964</x:v>
      </x:c>
      <x:c r="B1097" s="6" t="n">
        <x:v>1979</x:v>
      </x:c>
      <x:c r="C1097" s="6" t="str">
        <x:v>Graduation</x:v>
      </x:c>
      <x:c r="D1097" s="6" t="str">
        <x:v>Single</x:v>
      </x:c>
      <x:c r="E1097" s="6" t="n">
        <x:v>61825</x:v>
      </x:c>
      <x:c r="F1097" s="6" t="n">
        <x:v>0</x:v>
      </x:c>
      <x:c r="G1097" s="6" t="n">
        <x:v>1</x:v>
      </x:c>
      <x:c r="H1097" s="9" t="str">
        <x:v>07-08-2013</x:v>
      </x:c>
      <x:c r="I1097" s="6" t="n">
        <x:v>56</x:v>
      </x:c>
      <x:c r="J1097" s="6" t="n">
        <x:v>162</x:v>
      </x:c>
      <x:c r="K1097" s="6" t="n">
        <x:v>50</x:v>
      </x:c>
      <x:c r="L1097" s="6" t="n">
        <x:v>100</x:v>
      </x:c>
      <x:c r="M1097" s="6" t="n">
        <x:v>55</x:v>
      </x:c>
      <x:c r="N1097" s="6" t="n">
        <x:v>30</x:v>
      </x:c>
      <x:c r="O1097" s="6" t="n">
        <x:v>27</x:v>
      </x:c>
      <x:c r="P1097" s="6" t="n">
        <x:v>1</x:v>
      </x:c>
      <x:c r="Q1097" s="6" t="n">
        <x:v>4</x:v>
      </x:c>
      <x:c r="R1097" s="6" t="n">
        <x:v>2</x:v>
      </x:c>
      <x:c r="S1097" s="6" t="n">
        <x:v>8</x:v>
      </x:c>
      <x:c r="T1097" s="6" t="n">
        <x:v>4</x:v>
      </x:c>
      <x:c r="U1097" s="6" t="n">
        <x:v>0</x:v>
      </x:c>
      <x:c r="V1097" s="6" t="n">
        <x:v>0</x:v>
      </x:c>
      <x:c r="W1097" s="6" t="n">
        <x:v>0</x:v>
      </x:c>
      <x:c r="X1097" s="6" t="n">
        <x:v>0</x:v>
      </x:c>
      <x:c r="Y1097" s="6" t="n">
        <x:v>0</x:v>
      </x:c>
      <x:c r="Z1097" s="6" t="n">
        <x:v>0</x:v>
      </x:c>
      <x:c r="AA1097" s="6" t="n">
        <x:v>3</x:v>
      </x:c>
      <x:c r="AB1097" s="6" t="n">
        <x:v>11</x:v>
      </x:c>
      <x:c r="AC1097" s="6" t="n">
        <x:v>0</x:v>
      </x:c>
    </x:row>
    <x:row r="1098">
      <x:c r="A1098" s="6" t="n">
        <x:v>4790</x:v>
      </x:c>
      <x:c r="B1098" s="6" t="n">
        <x:v>1958</x:v>
      </x:c>
      <x:c r="C1098" s="6" t="str">
        <x:v>Graduation</x:v>
      </x:c>
      <x:c r="D1098" s="6" t="str">
        <x:v>Divorced</x:v>
      </x:c>
      <x:c r="E1098" s="6" t="n">
        <x:v>79803</x:v>
      </x:c>
      <x:c r="F1098" s="6" t="n">
        <x:v>0</x:v>
      </x:c>
      <x:c r="G1098" s="6" t="n">
        <x:v>1</x:v>
      </x:c>
      <x:c r="H1098" s="9" t="str">
        <x:v>02-06-2014</x:v>
      </x:c>
      <x:c r="I1098" s="6" t="n">
        <x:v>54</x:v>
      </x:c>
      <x:c r="J1098" s="6" t="n">
        <x:v>574</x:v>
      </x:c>
      <x:c r="K1098" s="6" t="n">
        <x:v>8</x:v>
      </x:c>
      <x:c r="L1098" s="6" t="n">
        <x:v>216</x:v>
      </x:c>
      <x:c r="M1098" s="6" t="n">
        <x:v>21</x:v>
      </x:c>
      <x:c r="N1098" s="6" t="n">
        <x:v>16</x:v>
      </x:c>
      <x:c r="O1098" s="6" t="n">
        <x:v>33</x:v>
      </x:c>
      <x:c r="P1098" s="6" t="n">
        <x:v>1</x:v>
      </x:c>
      <x:c r="Q1098" s="6" t="n">
        <x:v>4</x:v>
      </x:c>
      <x:c r="R1098" s="6" t="n">
        <x:v>3</x:v>
      </x:c>
      <x:c r="S1098" s="6" t="n">
        <x:v>5</x:v>
      </x:c>
      <x:c r="T1098" s="6" t="n">
        <x:v>1</x:v>
      </x:c>
      <x:c r="U1098" s="6" t="n">
        <x:v>0</x:v>
      </x:c>
      <x:c r="V1098" s="6" t="n">
        <x:v>0</x:v>
      </x:c>
      <x:c r="W1098" s="6" t="n">
        <x:v>0</x:v>
      </x:c>
      <x:c r="X1098" s="6" t="n">
        <x:v>0</x:v>
      </x:c>
      <x:c r="Y1098" s="6" t="n">
        <x:v>0</x:v>
      </x:c>
      <x:c r="Z1098" s="6" t="n">
        <x:v>0</x:v>
      </x:c>
      <x:c r="AA1098" s="6" t="n">
        <x:v>3</x:v>
      </x:c>
      <x:c r="AB1098" s="6" t="n">
        <x:v>11</x:v>
      </x:c>
      <x:c r="AC1098" s="6" t="n">
        <x:v>0</x:v>
      </x:c>
    </x:row>
    <x:row r="1099">
      <x:c r="A1099" s="6" t="n">
        <x:v>10245</x:v>
      </x:c>
      <x:c r="B1099" s="6" t="n">
        <x:v>1986</x:v>
      </x:c>
      <x:c r="C1099" s="6" t="str">
        <x:v>2n Cycle</x:v>
      </x:c>
      <x:c r="D1099" s="6" t="str">
        <x:v>Single</x:v>
      </x:c>
      <x:c r="E1099" s="6" t="n">
        <x:v>80910</x:v>
      </x:c>
      <x:c r="F1099" s="6" t="n">
        <x:v>0</x:v>
      </x:c>
      <x:c r="G1099" s="6" t="n">
        <x:v>0</x:v>
      </x:c>
      <x:c r="H1099" s="9" t="str">
        <x:v>31-10-2012</x:v>
      </x:c>
      <x:c r="I1099" s="6" t="n">
        <x:v>71</x:v>
      </x:c>
      <x:c r="J1099" s="6" t="n">
        <x:v>160</x:v>
      </x:c>
      <x:c r="K1099" s="6" t="n">
        <x:v>80</x:v>
      </x:c>
      <x:c r="L1099" s="6" t="n">
        <x:v>369</x:v>
      </x:c>
      <x:c r="M1099" s="6" t="n">
        <x:v>67</x:v>
      </x:c>
      <x:c r="N1099" s="6" t="n">
        <x:v>39</x:v>
      </x:c>
      <x:c r="O1099" s="6" t="n">
        <x:v>41</x:v>
      </x:c>
      <x:c r="P1099" s="6" t="n">
        <x:v>1</x:v>
      </x:c>
      <x:c r="Q1099" s="6" t="n">
        <x:v>3</x:v>
      </x:c>
      <x:c r="R1099" s="6" t="n">
        <x:v>3</x:v>
      </x:c>
      <x:c r="S1099" s="6" t="n">
        <x:v>8</x:v>
      </x:c>
      <x:c r="T1099" s="6" t="n">
        <x:v>1</x:v>
      </x:c>
      <x:c r="U1099" s="6" t="n">
        <x:v>0</x:v>
      </x:c>
      <x:c r="V1099" s="6" t="n">
        <x:v>0</x:v>
      </x:c>
      <x:c r="W1099" s="6" t="n">
        <x:v>0</x:v>
      </x:c>
      <x:c r="X1099" s="6" t="n">
        <x:v>0</x:v>
      </x:c>
      <x:c r="Y1099" s="6" t="n">
        <x:v>0</x:v>
      </x:c>
      <x:c r="Z1099" s="6" t="n">
        <x:v>0</x:v>
      </x:c>
      <x:c r="AA1099" s="6" t="n">
        <x:v>3</x:v>
      </x:c>
      <x:c r="AB1099" s="6" t="n">
        <x:v>11</x:v>
      </x:c>
      <x:c r="AC1099" s="6" t="n">
        <x:v>0</x:v>
      </x:c>
    </x:row>
    <x:row r="1100">
      <x:c r="A1100" s="6" t="n">
        <x:v>1109</x:v>
      </x:c>
      <x:c r="B1100" s="6" t="n">
        <x:v>1982</x:v>
      </x:c>
      <x:c r="C1100" s="6" t="str">
        <x:v>Master</x:v>
      </x:c>
      <x:c r="D1100" s="6" t="str">
        <x:v>Together</x:v>
      </x:c>
      <x:c r="E1100" s="6" t="n">
        <x:v>27590</x:v>
      </x:c>
      <x:c r="F1100" s="6" t="n">
        <x:v>1</x:v>
      </x:c>
      <x:c r="G1100" s="6" t="n">
        <x:v>0</x:v>
      </x:c>
      <x:c r="H1100" s="9" t="str">
        <x:v>23-04-2013</x:v>
      </x:c>
      <x:c r="I1100" s="6" t="n">
        <x:v>38</x:v>
      </x:c>
      <x:c r="J1100" s="6" t="n">
        <x:v>6</x:v>
      </x:c>
      <x:c r="K1100" s="6" t="n">
        <x:v>0</x:v>
      </x:c>
      <x:c r="L1100" s="6" t="n">
        <x:v>5</x:v>
      </x:c>
      <x:c r="M1100" s="6" t="n">
        <x:v>0</x:v>
      </x:c>
      <x:c r="N1100" s="6" t="n">
        <x:v>0</x:v>
      </x:c>
      <x:c r="O1100" s="6" t="n">
        <x:v>1</x:v>
      </x:c>
      <x:c r="P1100" s="6" t="n">
        <x:v>1</x:v>
      </x:c>
      <x:c r="Q1100" s="6" t="n">
        <x:v>1</x:v>
      </x:c>
      <x:c r="R1100" s="6" t="n">
        <x:v>0</x:v>
      </x:c>
      <x:c r="S1100" s="6" t="n">
        <x:v>2</x:v>
      </x:c>
      <x:c r="T1100" s="6" t="n">
        <x:v>7</x:v>
      </x:c>
      <x:c r="U1100" s="6" t="n">
        <x:v>0</x:v>
      </x:c>
      <x:c r="V1100" s="6" t="n">
        <x:v>0</x:v>
      </x:c>
      <x:c r="W1100" s="6" t="n">
        <x:v>0</x:v>
      </x:c>
      <x:c r="X1100" s="6" t="n">
        <x:v>0</x:v>
      </x:c>
      <x:c r="Y1100" s="6" t="n">
        <x:v>0</x:v>
      </x:c>
      <x:c r="Z1100" s="6" t="n">
        <x:v>0</x:v>
      </x:c>
      <x:c r="AA1100" s="6" t="n">
        <x:v>3</x:v>
      </x:c>
      <x:c r="AB1100" s="6" t="n">
        <x:v>11</x:v>
      </x:c>
      <x:c r="AC1100" s="6" t="n">
        <x:v>0</x:v>
      </x:c>
    </x:row>
    <x:row r="1101">
      <x:c r="A1101" s="6" t="n">
        <x:v>6001</x:v>
      </x:c>
      <x:c r="B1101" s="6" t="n">
        <x:v>1979</x:v>
      </x:c>
      <x:c r="C1101" s="6" t="str">
        <x:v>Graduation</x:v>
      </x:c>
      <x:c r="D1101" s="6" t="str">
        <x:v>Married</x:v>
      </x:c>
      <x:c r="E1101" s="6" t="n">
        <x:v>56775</x:v>
      </x:c>
      <x:c r="F1101" s="6" t="n">
        <x:v>0</x:v>
      </x:c>
      <x:c r="G1101" s="6" t="n">
        <x:v>1</x:v>
      </x:c>
      <x:c r="H1101" s="9" t="str">
        <x:v>02-01-2013</x:v>
      </x:c>
      <x:c r="I1101" s="6" t="n">
        <x:v>62</x:v>
      </x:c>
      <x:c r="J1101" s="6" t="n">
        <x:v>614</x:v>
      </x:c>
      <x:c r="K1101" s="6" t="n">
        <x:v>35</x:v>
      </x:c>
      <x:c r="L1101" s="6" t="n">
        <x:v>160</x:v>
      </x:c>
      <x:c r="M1101" s="6" t="n">
        <x:v>58</x:v>
      </x:c>
      <x:c r="N1101" s="6" t="n">
        <x:v>35</x:v>
      </x:c>
      <x:c r="O1101" s="6" t="n">
        <x:v>35</x:v>
      </x:c>
      <x:c r="P1101" s="6" t="n">
        <x:v>2</x:v>
      </x:c>
      <x:c r="Q1101" s="6" t="n">
        <x:v>5</x:v>
      </x:c>
      <x:c r="R1101" s="6" t="n">
        <x:v>8</x:v>
      </x:c>
      <x:c r="S1101" s="6" t="n">
        <x:v>10</x:v>
      </x:c>
      <x:c r="T1101" s="6" t="n">
        <x:v>5</x:v>
      </x:c>
      <x:c r="U1101" s="6" t="n">
        <x:v>0</x:v>
      </x:c>
      <x:c r="V1101" s="6" t="n">
        <x:v>0</x:v>
      </x:c>
      <x:c r="W1101" s="6" t="n">
        <x:v>0</x:v>
      </x:c>
      <x:c r="X1101" s="6" t="n">
        <x:v>0</x:v>
      </x:c>
      <x:c r="Y1101" s="6" t="n">
        <x:v>0</x:v>
      </x:c>
      <x:c r="Z1101" s="6" t="n">
        <x:v>0</x:v>
      </x:c>
      <x:c r="AA1101" s="6" t="n">
        <x:v>3</x:v>
      </x:c>
      <x:c r="AB1101" s="6" t="n">
        <x:v>11</x:v>
      </x:c>
      <x:c r="AC1101" s="6" t="n">
        <x:v>0</x:v>
      </x:c>
    </x:row>
    <x:row r="1102">
      <x:c r="A1102" s="6" t="n">
        <x:v>5538</x:v>
      </x:c>
      <x:c r="B1102" s="6" t="n">
        <x:v>1975</x:v>
      </x:c>
      <x:c r="C1102" s="6" t="str">
        <x:v>Graduation</x:v>
      </x:c>
      <x:c r="D1102" s="6" t="str">
        <x:v>Divorced</x:v>
      </x:c>
      <x:c r="E1102" s="6" t="n">
        <x:v>83829</x:v>
      </x:c>
      <x:c r="F1102" s="6" t="n">
        <x:v>0</x:v>
      </x:c>
      <x:c r="G1102" s="6" t="n">
        <x:v>0</x:v>
      </x:c>
      <x:c r="H1102" s="9" t="str">
        <x:v>08-10-2013</x:v>
      </x:c>
      <x:c r="I1102" s="6" t="n">
        <x:v>78</x:v>
      </x:c>
      <x:c r="J1102" s="6" t="n">
        <x:v>897</x:v>
      </x:c>
      <x:c r="K1102" s="6" t="n">
        <x:v>161</x:v>
      </x:c>
      <x:c r="L1102" s="6" t="n">
        <x:v>430</x:v>
      </x:c>
      <x:c r="M1102" s="6" t="n">
        <x:v>186</x:v>
      </x:c>
      <x:c r="N1102" s="6" t="n">
        <x:v>161</x:v>
      </x:c>
      <x:c r="O1102" s="6" t="n">
        <x:v>27</x:v>
      </x:c>
      <x:c r="P1102" s="6" t="n">
        <x:v>0</x:v>
      </x:c>
      <x:c r="Q1102" s="6" t="n">
        <x:v>4</x:v>
      </x:c>
      <x:c r="R1102" s="6" t="n">
        <x:v>7</x:v>
      </x:c>
      <x:c r="S1102" s="6" t="n">
        <x:v>6</x:v>
      </x:c>
      <x:c r="T1102" s="6" t="n">
        <x:v>1</x:v>
      </x:c>
      <x:c r="U1102" s="6" t="n">
        <x:v>1</x:v>
      </x:c>
      <x:c r="V1102" s="6" t="n">
        <x:v>0</x:v>
      </x:c>
      <x:c r="W1102" s="6" t="n">
        <x:v>1</x:v>
      </x:c>
      <x:c r="X1102" s="6" t="n">
        <x:v>1</x:v>
      </x:c>
      <x:c r="Y1102" s="6" t="n">
        <x:v>0</x:v>
      </x:c>
      <x:c r="Z1102" s="6" t="n">
        <x:v>0</x:v>
      </x:c>
      <x:c r="AA1102" s="6" t="n">
        <x:v>3</x:v>
      </x:c>
      <x:c r="AB1102" s="6" t="n">
        <x:v>11</x:v>
      </x:c>
      <x:c r="AC1102" s="6" t="n">
        <x:v>1</x:v>
      </x:c>
    </x:row>
    <x:row r="1103">
      <x:c r="A1103" s="6" t="n">
        <x:v>10552</x:v>
      </x:c>
      <x:c r="B1103" s="6" t="n">
        <x:v>1979</x:v>
      </x:c>
      <x:c r="C1103" s="6" t="str">
        <x:v>2n Cycle</x:v>
      </x:c>
      <x:c r="D1103" s="6" t="str">
        <x:v>Married</x:v>
      </x:c>
      <x:c r="E1103" s="6" t="n">
        <x:v>54210</x:v>
      </x:c>
      <x:c r="F1103" s="6" t="n">
        <x:v>0</x:v>
      </x:c>
      <x:c r="G1103" s="6" t="n">
        <x:v>1</x:v>
      </x:c>
      <x:c r="H1103" s="9" t="str">
        <x:v>20-05-2013</x:v>
      </x:c>
      <x:c r="I1103" s="6" t="n">
        <x:v>18</x:v>
      </x:c>
      <x:c r="J1103" s="6" t="n">
        <x:v>70</x:v>
      </x:c>
      <x:c r="K1103" s="6" t="n">
        <x:v>54</x:v>
      </x:c>
      <x:c r="L1103" s="6" t="n">
        <x:v>109</x:v>
      </x:c>
      <x:c r="M1103" s="6" t="n">
        <x:v>80</x:v>
      </x:c>
      <x:c r="N1103" s="6" t="n">
        <x:v>9</x:v>
      </x:c>
      <x:c r="O1103" s="6" t="n">
        <x:v>45</x:v>
      </x:c>
      <x:c r="P1103" s="6" t="n">
        <x:v>2</x:v>
      </x:c>
      <x:c r="Q1103" s="6" t="n">
        <x:v>4</x:v>
      </x:c>
      <x:c r="R1103" s="6" t="n">
        <x:v>1</x:v>
      </x:c>
      <x:c r="S1103" s="6" t="n">
        <x:v>7</x:v>
      </x:c>
      <x:c r="T1103" s="6" t="n">
        <x:v>5</x:v>
      </x:c>
      <x:c r="U1103" s="6" t="n">
        <x:v>0</x:v>
      </x:c>
      <x:c r="V1103" s="6" t="n">
        <x:v>0</x:v>
      </x:c>
      <x:c r="W1103" s="6" t="n">
        <x:v>0</x:v>
      </x:c>
      <x:c r="X1103" s="6" t="n">
        <x:v>0</x:v>
      </x:c>
      <x:c r="Y1103" s="6" t="n">
        <x:v>0</x:v>
      </x:c>
      <x:c r="Z1103" s="6" t="n">
        <x:v>0</x:v>
      </x:c>
      <x:c r="AA1103" s="6" t="n">
        <x:v>3</x:v>
      </x:c>
      <x:c r="AB1103" s="6" t="n">
        <x:v>11</x:v>
      </x:c>
      <x:c r="AC1103" s="6" t="n">
        <x:v>0</x:v>
      </x:c>
    </x:row>
    <x:row r="1104">
      <x:c r="A1104" s="6" t="n">
        <x:v>1545</x:v>
      </x:c>
      <x:c r="B1104" s="6" t="n">
        <x:v>1986</x:v>
      </x:c>
      <x:c r="C1104" s="6" t="str">
        <x:v>Graduation</x:v>
      </x:c>
      <x:c r="D1104" s="6" t="str">
        <x:v>Married</x:v>
      </x:c>
      <x:c r="E1104" s="6" t="n">
        <x:v>38508</x:v>
      </x:c>
      <x:c r="F1104" s="6" t="n">
        <x:v>1</x:v>
      </x:c>
      <x:c r="G1104" s="6" t="n">
        <x:v>0</x:v>
      </x:c>
      <x:c r="H1104" s="9" t="str">
        <x:v>02-08-2013</x:v>
      </x:c>
      <x:c r="I1104" s="6" t="n">
        <x:v>95</x:v>
      </x:c>
      <x:c r="J1104" s="6" t="n">
        <x:v>120</x:v>
      </x:c>
      <x:c r="K1104" s="6" t="n">
        <x:v>19</x:v>
      </x:c>
      <x:c r="L1104" s="6" t="n">
        <x:v>206</x:v>
      </x:c>
      <x:c r="M1104" s="6" t="n">
        <x:v>25</x:v>
      </x:c>
      <x:c r="N1104" s="6" t="n">
        <x:v>19</x:v>
      </x:c>
      <x:c r="O1104" s="6" t="n">
        <x:v>54</x:v>
      </x:c>
      <x:c r="P1104" s="6" t="n">
        <x:v>6</x:v>
      </x:c>
      <x:c r="Q1104" s="6" t="n">
        <x:v>7</x:v>
      </x:c>
      <x:c r="R1104" s="6" t="n">
        <x:v>2</x:v>
      </x:c>
      <x:c r="S1104" s="6" t="n">
        <x:v>5</x:v>
      </x:c>
      <x:c r="T1104" s="6" t="n">
        <x:v>8</x:v>
      </x:c>
      <x:c r="U1104" s="6" t="n">
        <x:v>0</x:v>
      </x:c>
      <x:c r="V1104" s="6" t="n">
        <x:v>0</x:v>
      </x:c>
      <x:c r="W1104" s="6" t="n">
        <x:v>0</x:v>
      </x:c>
      <x:c r="X1104" s="6" t="n">
        <x:v>0</x:v>
      </x:c>
      <x:c r="Y1104" s="6" t="n">
        <x:v>0</x:v>
      </x:c>
      <x:c r="Z1104" s="6" t="n">
        <x:v>0</x:v>
      </x:c>
      <x:c r="AA1104" s="6" t="n">
        <x:v>3</x:v>
      </x:c>
      <x:c r="AB1104" s="6" t="n">
        <x:v>11</x:v>
      </x:c>
      <x:c r="AC1104" s="6" t="n">
        <x:v>0</x:v>
      </x:c>
    </x:row>
    <x:row r="1105">
      <x:c r="A1105" s="6" t="n">
        <x:v>7409</x:v>
      </x:c>
      <x:c r="B1105" s="6" t="n">
        <x:v>1970</x:v>
      </x:c>
      <x:c r="C1105" s="6" t="str">
        <x:v>Graduation</x:v>
      </x:c>
      <x:c r="D1105" s="6" t="str">
        <x:v>Together</x:v>
      </x:c>
      <x:c r="E1105" s="6" t="n">
        <x:v>53187</x:v>
      </x:c>
      <x:c r="F1105" s="6" t="n">
        <x:v>1</x:v>
      </x:c>
      <x:c r="G1105" s="6" t="n">
        <x:v>0</x:v>
      </x:c>
      <x:c r="H1105" s="9" t="str">
        <x:v>26-10-2013</x:v>
      </x:c>
      <x:c r="I1105" s="6" t="n">
        <x:v>66</x:v>
      </x:c>
      <x:c r="J1105" s="6" t="n">
        <x:v>211</x:v>
      </x:c>
      <x:c r="K1105" s="6" t="n">
        <x:v>2</x:v>
      </x:c>
      <x:c r="L1105" s="6" t="n">
        <x:v>30</x:v>
      </x:c>
      <x:c r="M1105" s="6" t="n">
        <x:v>7</x:v>
      </x:c>
      <x:c r="N1105" s="6" t="n">
        <x:v>7</x:v>
      </x:c>
      <x:c r="O1105" s="6" t="n">
        <x:v>10</x:v>
      </x:c>
      <x:c r="P1105" s="6" t="n">
        <x:v>2</x:v>
      </x:c>
      <x:c r="Q1105" s="6" t="n">
        <x:v>4</x:v>
      </x:c>
      <x:c r="R1105" s="6" t="n">
        <x:v>1</x:v>
      </x:c>
      <x:c r="S1105" s="6" t="n">
        <x:v>6</x:v>
      </x:c>
      <x:c r="T1105" s="6" t="n">
        <x:v>5</x:v>
      </x:c>
      <x:c r="U1105" s="6" t="n">
        <x:v>0</x:v>
      </x:c>
      <x:c r="V1105" s="6" t="n">
        <x:v>0</x:v>
      </x:c>
      <x:c r="W1105" s="6" t="n">
        <x:v>0</x:v>
      </x:c>
      <x:c r="X1105" s="6" t="n">
        <x:v>0</x:v>
      </x:c>
      <x:c r="Y1105" s="6" t="n">
        <x:v>0</x:v>
      </x:c>
      <x:c r="Z1105" s="6" t="n">
        <x:v>0</x:v>
      </x:c>
      <x:c r="AA1105" s="6" t="n">
        <x:v>3</x:v>
      </x:c>
      <x:c r="AB1105" s="6" t="n">
        <x:v>11</x:v>
      </x:c>
      <x:c r="AC1105" s="6" t="n">
        <x:v>0</x:v>
      </x:c>
    </x:row>
    <x:row r="1106">
      <x:c r="A1106" s="6" t="n">
        <x:v>4444</x:v>
      </x:c>
      <x:c r="B1106" s="6" t="n">
        <x:v>1972</x:v>
      </x:c>
      <x:c r="C1106" s="6" t="str">
        <x:v>Graduation</x:v>
      </x:c>
      <x:c r="D1106" s="6" t="str">
        <x:v>Married</x:v>
      </x:c>
      <x:c r="E1106" s="6" t="n">
        <x:v>30023</x:v>
      </x:c>
      <x:c r="F1106" s="6" t="n">
        <x:v>1</x:v>
      </x:c>
      <x:c r="G1106" s="6" t="n">
        <x:v>0</x:v>
      </x:c>
      <x:c r="H1106" s="9" t="str">
        <x:v>24-03-2014</x:v>
      </x:c>
      <x:c r="I1106" s="6" t="n">
        <x:v>28</x:v>
      </x:c>
      <x:c r="J1106" s="6" t="n">
        <x:v>11</x:v>
      </x:c>
      <x:c r="K1106" s="6" t="n">
        <x:v>0</x:v>
      </x:c>
      <x:c r="L1106" s="6" t="n">
        <x:v>16</x:v>
      </x:c>
      <x:c r="M1106" s="6" t="n">
        <x:v>7</x:v>
      </x:c>
      <x:c r="N1106" s="6" t="n">
        <x:v>6</x:v>
      </x:c>
      <x:c r="O1106" s="6" t="n">
        <x:v>21</x:v>
      </x:c>
      <x:c r="P1106" s="6" t="n">
        <x:v>1</x:v>
      </x:c>
      <x:c r="Q1106" s="6" t="n">
        <x:v>2</x:v>
      </x:c>
      <x:c r="R1106" s="6" t="n">
        <x:v>0</x:v>
      </x:c>
      <x:c r="S1106" s="6" t="n">
        <x:v>3</x:v>
      </x:c>
      <x:c r="T1106" s="6" t="n">
        <x:v>8</x:v>
      </x:c>
      <x:c r="U1106" s="6" t="n">
        <x:v>0</x:v>
      </x:c>
      <x:c r="V1106" s="6" t="n">
        <x:v>0</x:v>
      </x:c>
      <x:c r="W1106" s="6" t="n">
        <x:v>0</x:v>
      </x:c>
      <x:c r="X1106" s="6" t="n">
        <x:v>0</x:v>
      </x:c>
      <x:c r="Y1106" s="6" t="n">
        <x:v>0</x:v>
      </x:c>
      <x:c r="Z1106" s="6" t="n">
        <x:v>0</x:v>
      </x:c>
      <x:c r="AA1106" s="6" t="n">
        <x:v>3</x:v>
      </x:c>
      <x:c r="AB1106" s="6" t="n">
        <x:v>11</x:v>
      </x:c>
      <x:c r="AC1106" s="6" t="n">
        <x:v>0</x:v>
      </x:c>
    </x:row>
    <x:row r="1107">
      <x:c r="A1107" s="6" t="n">
        <x:v>146</x:v>
      </x:c>
      <x:c r="B1107" s="6" t="n">
        <x:v>1960</x:v>
      </x:c>
      <x:c r="C1107" s="6" t="str">
        <x:v>PhD</x:v>
      </x:c>
      <x:c r="D1107" s="6" t="str">
        <x:v>Single</x:v>
      </x:c>
      <x:c r="E1107" s="6" t="n">
        <x:v>76045</x:v>
      </x:c>
      <x:c r="F1107" s="6" t="n">
        <x:v>0</x:v>
      </x:c>
      <x:c r="G1107" s="6" t="n">
        <x:v>0</x:v>
      </x:c>
      <x:c r="H1107" s="9" t="str">
        <x:v>15-11-2013</x:v>
      </x:c>
      <x:c r="I1107" s="6" t="n">
        <x:v>78</x:v>
      </x:c>
      <x:c r="J1107" s="6" t="n">
        <x:v>760</x:v>
      </x:c>
      <x:c r="K1107" s="6" t="n">
        <x:v>53</x:v>
      </x:c>
      <x:c r="L1107" s="6" t="n">
        <x:v>400</x:v>
      </x:c>
      <x:c r="M1107" s="6" t="n">
        <x:v>17</x:v>
      </x:c>
      <x:c r="N1107" s="6" t="n">
        <x:v>93</x:v>
      </x:c>
      <x:c r="O1107" s="6" t="n">
        <x:v>0</x:v>
      </x:c>
      <x:c r="P1107" s="6" t="n">
        <x:v>1</x:v>
      </x:c>
      <x:c r="Q1107" s="6" t="n">
        <x:v>4</x:v>
      </x:c>
      <x:c r="R1107" s="6" t="n">
        <x:v>5</x:v>
      </x:c>
      <x:c r="S1107" s="6" t="n">
        <x:v>11</x:v>
      </x:c>
      <x:c r="T1107" s="6" t="n">
        <x:v>2</x:v>
      </x:c>
      <x:c r="U1107" s="6" t="n">
        <x:v>0</x:v>
      </x:c>
      <x:c r="V1107" s="6" t="n">
        <x:v>0</x:v>
      </x:c>
      <x:c r="W1107" s="6" t="n">
        <x:v>0</x:v>
      </x:c>
      <x:c r="X1107" s="6" t="n">
        <x:v>1</x:v>
      </x:c>
      <x:c r="Y1107" s="6" t="n">
        <x:v>0</x:v>
      </x:c>
      <x:c r="Z1107" s="6" t="n">
        <x:v>0</x:v>
      </x:c>
      <x:c r="AA1107" s="6" t="n">
        <x:v>3</x:v>
      </x:c>
      <x:c r="AB1107" s="6" t="n">
        <x:v>11</x:v>
      </x:c>
      <x:c r="AC1107" s="6" t="n">
        <x:v>0</x:v>
      </x:c>
    </x:row>
    <x:row r="1108">
      <x:c r="A1108" s="6" t="n">
        <x:v>6271</x:v>
      </x:c>
      <x:c r="B1108" s="6" t="n">
        <x:v>1952</x:v>
      </x:c>
      <x:c r="C1108" s="6" t="str">
        <x:v>PhD</x:v>
      </x:c>
      <x:c r="D1108" s="6" t="str">
        <x:v>Married</x:v>
      </x:c>
      <x:c r="E1108" s="6" t="n">
        <x:v>50870</x:v>
      </x:c>
      <x:c r="F1108" s="6" t="n">
        <x:v>0</x:v>
      </x:c>
      <x:c r="G1108" s="6" t="n">
        <x:v>1</x:v>
      </x:c>
      <x:c r="H1108" s="9" t="str">
        <x:v>19-06-2014</x:v>
      </x:c>
      <x:c r="I1108" s="6" t="n">
        <x:v>13</x:v>
      </x:c>
      <x:c r="J1108" s="6" t="n">
        <x:v>53</x:v>
      </x:c>
      <x:c r="K1108" s="6" t="n">
        <x:v>0</x:v>
      </x:c>
      <x:c r="L1108" s="6" t="n">
        <x:v>8</x:v>
      </x:c>
      <x:c r="M1108" s="6" t="n">
        <x:v>0</x:v>
      </x:c>
      <x:c r="N1108" s="6" t="n">
        <x:v>0</x:v>
      </x:c>
      <x:c r="O1108" s="6" t="n">
        <x:v>2</x:v>
      </x:c>
      <x:c r="P1108" s="6" t="n">
        <x:v>1</x:v>
      </x:c>
      <x:c r="Q1108" s="6" t="n">
        <x:v>2</x:v>
      </x:c>
      <x:c r="R1108" s="6" t="n">
        <x:v>0</x:v>
      </x:c>
      <x:c r="S1108" s="6" t="n">
        <x:v>3</x:v>
      </x:c>
      <x:c r="T1108" s="6" t="n">
        <x:v>5</x:v>
      </x:c>
      <x:c r="U1108" s="6" t="n">
        <x:v>0</x:v>
      </x:c>
      <x:c r="V1108" s="6" t="n">
        <x:v>0</x:v>
      </x:c>
      <x:c r="W1108" s="6" t="n">
        <x:v>0</x:v>
      </x:c>
      <x:c r="X1108" s="6" t="n">
        <x:v>0</x:v>
      </x:c>
      <x:c r="Y1108" s="6" t="n">
        <x:v>0</x:v>
      </x:c>
      <x:c r="Z1108" s="6" t="n">
        <x:v>0</x:v>
      </x:c>
      <x:c r="AA1108" s="6" t="n">
        <x:v>3</x:v>
      </x:c>
      <x:c r="AB1108" s="6" t="n">
        <x:v>11</x:v>
      </x:c>
      <x:c r="AC1108" s="6" t="n">
        <x:v>0</x:v>
      </x:c>
    </x:row>
    <x:row r="1109">
      <x:c r="A1109" s="6" t="n">
        <x:v>10065</x:v>
      </x:c>
      <x:c r="B1109" s="6" t="n">
        <x:v>1970</x:v>
      </x:c>
      <x:c r="C1109" s="6" t="str">
        <x:v>2n Cycle</x:v>
      </x:c>
      <x:c r="D1109" s="6" t="str">
        <x:v>Married</x:v>
      </x:c>
      <x:c r="E1109" s="6" t="n">
        <x:v>15315</x:v>
      </x:c>
      <x:c r="F1109" s="6" t="n">
        <x:v>0</x:v>
      </x:c>
      <x:c r="G1109" s="6" t="n">
        <x:v>0</x:v>
      </x:c>
      <x:c r="H1109" s="9" t="str">
        <x:v>03-08-2013</x:v>
      </x:c>
      <x:c r="I1109" s="6" t="n">
        <x:v>27</x:v>
      </x:c>
      <x:c r="J1109" s="6" t="n">
        <x:v>7</x:v>
      </x:c>
      <x:c r="K1109" s="6" t="n">
        <x:v>4</x:v>
      </x:c>
      <x:c r="L1109" s="6" t="n">
        <x:v>13</x:v>
      </x:c>
      <x:c r="M1109" s="6" t="n">
        <x:v>15</x:v>
      </x:c>
      <x:c r="N1109" s="6" t="n">
        <x:v>8</x:v>
      </x:c>
      <x:c r="O1109" s="6" t="n">
        <x:v>17</x:v>
      </x:c>
      <x:c r="P1109" s="6" t="n">
        <x:v>2</x:v>
      </x:c>
      <x:c r="Q1109" s="6" t="n">
        <x:v>2</x:v>
      </x:c>
      <x:c r="R1109" s="6" t="n">
        <x:v>0</x:v>
      </x:c>
      <x:c r="S1109" s="6" t="n">
        <x:v>4</x:v>
      </x:c>
      <x:c r="T1109" s="6" t="n">
        <x:v>5</x:v>
      </x:c>
      <x:c r="U1109" s="6" t="n">
        <x:v>0</x:v>
      </x:c>
      <x:c r="V1109" s="6" t="n">
        <x:v>0</x:v>
      </x:c>
      <x:c r="W1109" s="6" t="n">
        <x:v>0</x:v>
      </x:c>
      <x:c r="X1109" s="6" t="n">
        <x:v>0</x:v>
      </x:c>
      <x:c r="Y1109" s="6" t="n">
        <x:v>0</x:v>
      </x:c>
      <x:c r="Z1109" s="6" t="n">
        <x:v>0</x:v>
      </x:c>
      <x:c r="AA1109" s="6" t="n">
        <x:v>3</x:v>
      </x:c>
      <x:c r="AB1109" s="6" t="n">
        <x:v>11</x:v>
      </x:c>
      <x:c r="AC1109" s="6" t="n">
        <x:v>0</x:v>
      </x:c>
    </x:row>
    <x:row r="1110">
      <x:c r="A1110" s="6" t="n">
        <x:v>4741</x:v>
      </x:c>
      <x:c r="B1110" s="6" t="n">
        <x:v>1974</x:v>
      </x:c>
      <x:c r="C1110" s="6" t="str">
        <x:v>2n Cycle</x:v>
      </x:c>
      <x:c r="D1110" s="6" t="str">
        <x:v>Married</x:v>
      </x:c>
      <x:c r="E1110" s="6" t="n">
        <x:v>65463</x:v>
      </x:c>
      <x:c r="F1110" s="6" t="n">
        <x:v>1</x:v>
      </x:c>
      <x:c r="G1110" s="6" t="n">
        <x:v>0</x:v>
      </x:c>
      <x:c r="H1110" s="9" t="str">
        <x:v>30-01-2014</x:v>
      </x:c>
      <x:c r="I1110" s="6" t="n">
        <x:v>17</x:v>
      </x:c>
      <x:c r="J1110" s="6" t="n">
        <x:v>391</x:v>
      </x:c>
      <x:c r="K1110" s="6" t="n">
        <x:v>32</x:v>
      </x:c>
      <x:c r="L1110" s="6" t="n">
        <x:v>70</x:v>
      </x:c>
      <x:c r="M1110" s="6" t="n">
        <x:v>21</x:v>
      </x:c>
      <x:c r="N1110" s="6" t="n">
        <x:v>32</x:v>
      </x:c>
      <x:c r="O1110" s="6" t="n">
        <x:v>16</x:v>
      </x:c>
      <x:c r="P1110" s="6" t="n">
        <x:v>2</x:v>
      </x:c>
      <x:c r="Q1110" s="6" t="n">
        <x:v>6</x:v>
      </x:c>
      <x:c r="R1110" s="6" t="n">
        <x:v>2</x:v>
      </x:c>
      <x:c r="S1110" s="6" t="n">
        <x:v>9</x:v>
      </x:c>
      <x:c r="T1110" s="6" t="n">
        <x:v>5</x:v>
      </x:c>
      <x:c r="U1110" s="6" t="n">
        <x:v>0</x:v>
      </x:c>
      <x:c r="V1110" s="6" t="n">
        <x:v>1</x:v>
      </x:c>
      <x:c r="W1110" s="6" t="n">
        <x:v>0</x:v>
      </x:c>
      <x:c r="X1110" s="6" t="n">
        <x:v>0</x:v>
      </x:c>
      <x:c r="Y1110" s="6" t="n">
        <x:v>0</x:v>
      </x:c>
      <x:c r="Z1110" s="6" t="n">
        <x:v>0</x:v>
      </x:c>
      <x:c r="AA1110" s="6" t="n">
        <x:v>3</x:v>
      </x:c>
      <x:c r="AB1110" s="6" t="n">
        <x:v>11</x:v>
      </x:c>
      <x:c r="AC1110" s="6" t="n">
        <x:v>0</x:v>
      </x:c>
    </x:row>
    <x:row r="1111">
      <x:c r="A1111" s="6" t="n">
        <x:v>246</x:v>
      </x:c>
      <x:c r="B1111" s="6" t="n">
        <x:v>1965</x:v>
      </x:c>
      <x:c r="C1111" s="6" t="str">
        <x:v>Graduation</x:v>
      </x:c>
      <x:c r="D1111" s="6" t="str">
        <x:v>Married</x:v>
      </x:c>
      <x:c r="E1111" s="6" t="n">
        <x:v>66480</x:v>
      </x:c>
      <x:c r="F1111" s="6" t="n">
        <x:v>1</x:v>
      </x:c>
      <x:c r="G1111" s="6" t="n">
        <x:v>1</x:v>
      </x:c>
      <x:c r="H1111" s="9" t="str">
        <x:v>31-05-2014</x:v>
      </x:c>
      <x:c r="I1111" s="6" t="n">
        <x:v>71</x:v>
      </x:c>
      <x:c r="J1111" s="6" t="n">
        <x:v>199</x:v>
      </x:c>
      <x:c r="K1111" s="6" t="n">
        <x:v>9</x:v>
      </x:c>
      <x:c r="L1111" s="6" t="n">
        <x:v>57</x:v>
      </x:c>
      <x:c r="M1111" s="6" t="n">
        <x:v>20</x:v>
      </x:c>
      <x:c r="N1111" s="6" t="n">
        <x:v>21</x:v>
      </x:c>
      <x:c r="O1111" s="6" t="n">
        <x:v>6</x:v>
      </x:c>
      <x:c r="P1111" s="6" t="n">
        <x:v>7</x:v>
      </x:c>
      <x:c r="Q1111" s="6" t="n">
        <x:v>4</x:v>
      </x:c>
      <x:c r="R1111" s="6" t="n">
        <x:v>1</x:v>
      </x:c>
      <x:c r="S1111" s="6" t="n">
        <x:v>7</x:v>
      </x:c>
      <x:c r="T1111" s="6" t="n">
        <x:v>4</x:v>
      </x:c>
      <x:c r="U1111" s="6" t="n">
        <x:v>0</x:v>
      </x:c>
      <x:c r="V1111" s="6" t="n">
        <x:v>0</x:v>
      </x:c>
      <x:c r="W1111" s="6" t="n">
        <x:v>0</x:v>
      </x:c>
      <x:c r="X1111" s="6" t="n">
        <x:v>0</x:v>
      </x:c>
      <x:c r="Y1111" s="6" t="n">
        <x:v>0</x:v>
      </x:c>
      <x:c r="Z1111" s="6" t="n">
        <x:v>0</x:v>
      </x:c>
      <x:c r="AA1111" s="6" t="n">
        <x:v>3</x:v>
      </x:c>
      <x:c r="AB1111" s="6" t="n">
        <x:v>11</x:v>
      </x:c>
      <x:c r="AC1111" s="6" t="n">
        <x:v>0</x:v>
      </x:c>
    </x:row>
    <x:row r="1112">
      <x:c r="A1112" s="6" t="n">
        <x:v>375</x:v>
      </x:c>
      <x:c r="B1112" s="6" t="n">
        <x:v>1954</x:v>
      </x:c>
      <x:c r="C1112" s="6" t="str">
        <x:v>Graduation</x:v>
      </x:c>
      <x:c r="D1112" s="6" t="str">
        <x:v>Divorced</x:v>
      </x:c>
      <x:c r="E1112" s="6" t="n">
        <x:v>76773</x:v>
      </x:c>
      <x:c r="F1112" s="6" t="n">
        <x:v>0</x:v>
      </x:c>
      <x:c r="G1112" s="6" t="n">
        <x:v>0</x:v>
      </x:c>
      <x:c r="H1112" s="9" t="str">
        <x:v>25-02-2013</x:v>
      </x:c>
      <x:c r="I1112" s="6" t="n">
        <x:v>79</x:v>
      </x:c>
      <x:c r="J1112" s="6" t="n">
        <x:v>516</x:v>
      </x:c>
      <x:c r="K1112" s="6" t="n">
        <x:v>56</x:v>
      </x:c>
      <x:c r="L1112" s="6" t="n">
        <x:v>449</x:v>
      </x:c>
      <x:c r="M1112" s="6" t="n">
        <x:v>86</x:v>
      </x:c>
      <x:c r="N1112" s="6" t="n">
        <x:v>33</x:v>
      </x:c>
      <x:c r="O1112" s="6" t="n">
        <x:v>16</x:v>
      </x:c>
      <x:c r="P1112" s="6" t="n">
        <x:v>1</x:v>
      </x:c>
      <x:c r="Q1112" s="6" t="n">
        <x:v>2</x:v>
      </x:c>
      <x:c r="R1112" s="6" t="n">
        <x:v>2</x:v>
      </x:c>
      <x:c r="S1112" s="6" t="n">
        <x:v>11</x:v>
      </x:c>
      <x:c r="T1112" s="6" t="n">
        <x:v>1</x:v>
      </x:c>
      <x:c r="U1112" s="6" t="n">
        <x:v>0</x:v>
      </x:c>
      <x:c r="V1112" s="6" t="n">
        <x:v>0</x:v>
      </x:c>
      <x:c r="W1112" s="6" t="n">
        <x:v>0</x:v>
      </x:c>
      <x:c r="X1112" s="6" t="n">
        <x:v>0</x:v>
      </x:c>
      <x:c r="Y1112" s="6" t="n">
        <x:v>0</x:v>
      </x:c>
      <x:c r="Z1112" s="6" t="n">
        <x:v>0</x:v>
      </x:c>
      <x:c r="AA1112" s="6" t="n">
        <x:v>3</x:v>
      </x:c>
      <x:c r="AB1112" s="6" t="n">
        <x:v>11</x:v>
      </x:c>
      <x:c r="AC1112" s="6" t="n">
        <x:v>0</x:v>
      </x:c>
    </x:row>
    <x:row r="1113">
      <x:c r="A1113" s="6" t="n">
        <x:v>1524</x:v>
      </x:c>
      <x:c r="B1113" s="6" t="n">
        <x:v>1983</x:v>
      </x:c>
      <x:c r="C1113" s="6" t="str">
        <x:v>2n Cycle</x:v>
      </x:c>
      <x:c r="D1113" s="6" t="str">
        <x:v>Single</x:v>
      </x:c>
      <x:c r="E1113" s="6" t="n">
        <x:v>81698</x:v>
      </x:c>
      <x:c r="F1113" s="6" t="n">
        <x:v>0</x:v>
      </x:c>
      <x:c r="G1113" s="6" t="n">
        <x:v>0</x:v>
      </x:c>
      <x:c r="H1113" s="9" t="str">
        <x:v>01-03-2013</x:v>
      </x:c>
      <x:c r="I1113" s="6" t="n">
        <x:v>1</x:v>
      </x:c>
      <x:c r="J1113" s="6" t="n">
        <x:v>709</x:v>
      </x:c>
      <x:c r="K1113" s="6" t="n">
        <x:v>45</x:v>
      </x:c>
      <x:c r="L1113" s="6" t="n">
        <x:v>115</x:v>
      </x:c>
      <x:c r="M1113" s="6" t="n">
        <x:v>30</x:v>
      </x:c>
      <x:c r="N1113" s="6" t="n">
        <x:v>160</x:v>
      </x:c>
      <x:c r="O1113" s="6" t="n">
        <x:v>45</x:v>
      </x:c>
      <x:c r="P1113" s="6" t="n">
        <x:v>1</x:v>
      </x:c>
      <x:c r="Q1113" s="6" t="n">
        <x:v>8</x:v>
      </x:c>
      <x:c r="R1113" s="6" t="n">
        <x:v>2</x:v>
      </x:c>
      <x:c r="S1113" s="6" t="n">
        <x:v>5</x:v>
      </x:c>
      <x:c r="T1113" s="6" t="n">
        <x:v>5</x:v>
      </x:c>
      <x:c r="U1113" s="6" t="n">
        <x:v>0</x:v>
      </x:c>
      <x:c r="V1113" s="6" t="n">
        <x:v>0</x:v>
      </x:c>
      <x:c r="W1113" s="6" t="n">
        <x:v>0</x:v>
      </x:c>
      <x:c r="X1113" s="6" t="n">
        <x:v>1</x:v>
      </x:c>
      <x:c r="Y1113" s="6" t="n">
        <x:v>0</x:v>
      </x:c>
      <x:c r="Z1113" s="6" t="n">
        <x:v>0</x:v>
      </x:c>
      <x:c r="AA1113" s="6" t="n">
        <x:v>3</x:v>
      </x:c>
      <x:c r="AB1113" s="6" t="n">
        <x:v>11</x:v>
      </x:c>
      <x:c r="AC1113" s="6" t="n">
        <x:v>1</x:v>
      </x:c>
    </x:row>
    <x:row r="1114">
      <x:c r="A1114" s="6" t="n">
        <x:v>10022</x:v>
      </x:c>
      <x:c r="B1114" s="6" t="n">
        <x:v>1973</x:v>
      </x:c>
      <x:c r="C1114" s="6" t="str">
        <x:v>PhD</x:v>
      </x:c>
      <x:c r="D1114" s="6" t="str">
        <x:v>Single</x:v>
      </x:c>
      <x:c r="E1114" s="6" t="n">
        <x:v>54466</x:v>
      </x:c>
      <x:c r="F1114" s="6" t="n">
        <x:v>1</x:v>
      </x:c>
      <x:c r="G1114" s="6" t="n">
        <x:v>1</x:v>
      </x:c>
      <x:c r="H1114" s="9" t="str">
        <x:v>09-02-2014</x:v>
      </x:c>
      <x:c r="I1114" s="6" t="n">
        <x:v>78</x:v>
      </x:c>
      <x:c r="J1114" s="6" t="n">
        <x:v>12</x:v>
      </x:c>
      <x:c r="K1114" s="6" t="n">
        <x:v>0</x:v>
      </x:c>
      <x:c r="L1114" s="6" t="n">
        <x:v>4</x:v>
      </x:c>
      <x:c r="M1114" s="6" t="n">
        <x:v>0</x:v>
      </x:c>
      <x:c r="N1114" s="6" t="n">
        <x:v>0</x:v>
      </x:c>
      <x:c r="O1114" s="6" t="n">
        <x:v>0</x:v>
      </x:c>
      <x:c r="P1114" s="6" t="n">
        <x:v>1</x:v>
      </x:c>
      <x:c r="Q1114" s="6" t="n">
        <x:v>1</x:v>
      </x:c>
      <x:c r="R1114" s="6" t="n">
        <x:v>0</x:v>
      </x:c>
      <x:c r="S1114" s="6" t="n">
        <x:v>2</x:v>
      </x:c>
      <x:c r="T1114" s="6" t="n">
        <x:v>5</x:v>
      </x:c>
      <x:c r="U1114" s="6" t="n">
        <x:v>0</x:v>
      </x:c>
      <x:c r="V1114" s="6" t="n">
        <x:v>0</x:v>
      </x:c>
      <x:c r="W1114" s="6" t="n">
        <x:v>0</x:v>
      </x:c>
      <x:c r="X1114" s="6" t="n">
        <x:v>0</x:v>
      </x:c>
      <x:c r="Y1114" s="6" t="n">
        <x:v>0</x:v>
      </x:c>
      <x:c r="Z1114" s="6" t="n">
        <x:v>0</x:v>
      </x:c>
      <x:c r="AA1114" s="6" t="n">
        <x:v>3</x:v>
      </x:c>
      <x:c r="AB1114" s="6" t="n">
        <x:v>11</x:v>
      </x:c>
      <x:c r="AC1114" s="6" t="n">
        <x:v>0</x:v>
      </x:c>
    </x:row>
    <x:row r="1115">
      <x:c r="A1115" s="6" t="n">
        <x:v>7451</x:v>
      </x:c>
      <x:c r="B1115" s="6" t="n">
        <x:v>1960</x:v>
      </x:c>
      <x:c r="C1115" s="6" t="str">
        <x:v>Master</x:v>
      </x:c>
      <x:c r="D1115" s="6" t="str">
        <x:v>Single</x:v>
      </x:c>
      <x:c r="E1115" s="6" t="n">
        <x:v>98777</x:v>
      </x:c>
      <x:c r="F1115" s="6" t="n">
        <x:v>0</x:v>
      </x:c>
      <x:c r="G1115" s="6" t="n">
        <x:v>0</x:v>
      </x:c>
      <x:c r="H1115" s="9" t="str">
        <x:v>17-02-2014</x:v>
      </x:c>
      <x:c r="I1115" s="6" t="n">
        <x:v>23</x:v>
      </x:c>
      <x:c r="J1115" s="6" t="n">
        <x:v>1000</x:v>
      </x:c>
      <x:c r="K1115" s="6" t="n">
        <x:v>19</x:v>
      </x:c>
      <x:c r="L1115" s="6" t="n">
        <x:v>711</x:v>
      </x:c>
      <x:c r="M1115" s="6" t="n">
        <x:v>125</x:v>
      </x:c>
      <x:c r="N1115" s="6" t="n">
        <x:v>115</x:v>
      </x:c>
      <x:c r="O1115" s="6" t="n">
        <x:v>38</x:v>
      </x:c>
      <x:c r="P1115" s="6" t="n">
        <x:v>0</x:v>
      </x:c>
      <x:c r="Q1115" s="6" t="n">
        <x:v>4</x:v>
      </x:c>
      <x:c r="R1115" s="6" t="n">
        <x:v>6</x:v>
      </x:c>
      <x:c r="S1115" s="6" t="n">
        <x:v>9</x:v>
      </x:c>
      <x:c r="T1115" s="6" t="n">
        <x:v>1</x:v>
      </x:c>
      <x:c r="U1115" s="6" t="n">
        <x:v>0</x:v>
      </x:c>
      <x:c r="V1115" s="6" t="n">
        <x:v>1</x:v>
      </x:c>
      <x:c r="W1115" s="6" t="n">
        <x:v>0</x:v>
      </x:c>
      <x:c r="X1115" s="6" t="n">
        <x:v>0</x:v>
      </x:c>
      <x:c r="Y1115" s="6" t="n">
        <x:v>0</x:v>
      </x:c>
      <x:c r="Z1115" s="6" t="n">
        <x:v>0</x:v>
      </x:c>
      <x:c r="AA1115" s="6" t="n">
        <x:v>3</x:v>
      </x:c>
      <x:c r="AB1115" s="6" t="n">
        <x:v>11</x:v>
      </x:c>
      <x:c r="AC1115" s="6" t="n">
        <x:v>0</x:v>
      </x:c>
    </x:row>
    <x:row r="1116">
      <x:c r="A1116" s="6" t="n">
        <x:v>11010</x:v>
      </x:c>
      <x:c r="B1116" s="6" t="n">
        <x:v>1984</x:v>
      </x:c>
      <x:c r="C1116" s="6" t="str">
        <x:v>PhD</x:v>
      </x:c>
      <x:c r="D1116" s="6" t="str">
        <x:v>Single</x:v>
      </x:c>
      <x:c r="E1116" s="6" t="n">
        <x:v>16269</x:v>
      </x:c>
      <x:c r="F1116" s="6" t="n">
        <x:v>1</x:v>
      </x:c>
      <x:c r="G1116" s="6" t="n">
        <x:v>0</x:v>
      </x:c>
      <x:c r="H1116" s="9" t="str">
        <x:v>30-08-2013</x:v>
      </x:c>
      <x:c r="I1116" s="6" t="n">
        <x:v>75</x:v>
      </x:c>
      <x:c r="J1116" s="6" t="n">
        <x:v>19</x:v>
      </x:c>
      <x:c r="K1116" s="6" t="n">
        <x:v>3</x:v>
      </x:c>
      <x:c r="L1116" s="6" t="n">
        <x:v>18</x:v>
      </x:c>
      <x:c r="M1116" s="6" t="n">
        <x:v>3</x:v>
      </x:c>
      <x:c r="N1116" s="6" t="n">
        <x:v>1</x:v>
      </x:c>
      <x:c r="O1116" s="6" t="n">
        <x:v>0</x:v>
      </x:c>
      <x:c r="P1116" s="6" t="n">
        <x:v>3</x:v>
      </x:c>
      <x:c r="Q1116" s="6" t="n">
        <x:v>3</x:v>
      </x:c>
      <x:c r="R1116" s="6" t="n">
        <x:v>0</x:v>
      </x:c>
      <x:c r="S1116" s="6" t="n">
        <x:v>3</x:v>
      </x:c>
      <x:c r="T1116" s="6" t="n">
        <x:v>8</x:v>
      </x:c>
      <x:c r="U1116" s="6" t="n">
        <x:v>0</x:v>
      </x:c>
      <x:c r="V1116" s="6" t="n">
        <x:v>0</x:v>
      </x:c>
      <x:c r="W1116" s="6" t="n">
        <x:v>0</x:v>
      </x:c>
      <x:c r="X1116" s="6" t="n">
        <x:v>0</x:v>
      </x:c>
      <x:c r="Y1116" s="6" t="n">
        <x:v>0</x:v>
      </x:c>
      <x:c r="Z1116" s="6" t="n">
        <x:v>0</x:v>
      </x:c>
      <x:c r="AA1116" s="6" t="n">
        <x:v>3</x:v>
      </x:c>
      <x:c r="AB1116" s="6" t="n">
        <x:v>11</x:v>
      </x:c>
      <x:c r="AC1116" s="6" t="n">
        <x:v>0</x:v>
      </x:c>
    </x:row>
    <x:row r="1117">
      <x:c r="A1117" s="6" t="n">
        <x:v>4356</x:v>
      </x:c>
      <x:c r="B1117" s="6" t="n">
        <x:v>1971</x:v>
      </x:c>
      <x:c r="C1117" s="6" t="str">
        <x:v>Graduation</x:v>
      </x:c>
      <x:c r="D1117" s="6" t="str">
        <x:v>Together</x:v>
      </x:c>
      <x:c r="E1117" s="6" t="n">
        <x:v>71819</x:v>
      </x:c>
      <x:c r="F1117" s="6" t="n">
        <x:v>0</x:v>
      </x:c>
      <x:c r="G1117" s="6" t="n">
        <x:v>1</x:v>
      </x:c>
      <x:c r="H1117" s="9" t="str">
        <x:v>28-08-2013</x:v>
      </x:c>
      <x:c r="I1117" s="6" t="n">
        <x:v>70</x:v>
      </x:c>
      <x:c r="J1117" s="6" t="n">
        <x:v>1224</x:v>
      </x:c>
      <x:c r="K1117" s="6" t="n">
        <x:v>28</x:v>
      </x:c>
      <x:c r="L1117" s="6" t="n">
        <x:v>140</x:v>
      </x:c>
      <x:c r="M1117" s="6" t="n">
        <x:v>0</x:v>
      </x:c>
      <x:c r="N1117" s="6" t="n">
        <x:v>14</x:v>
      </x:c>
      <x:c r="O1117" s="6" t="n">
        <x:v>168</x:v>
      </x:c>
      <x:c r="P1117" s="6" t="n">
        <x:v>3</x:v>
      </x:c>
      <x:c r="Q1117" s="6" t="n">
        <x:v>3</x:v>
      </x:c>
      <x:c r="R1117" s="6" t="n">
        <x:v>3</x:v>
      </x:c>
      <x:c r="S1117" s="6" t="n">
        <x:v>5</x:v>
      </x:c>
      <x:c r="T1117" s="6" t="n">
        <x:v>6</x:v>
      </x:c>
      <x:c r="U1117" s="6" t="n">
        <x:v>0</x:v>
      </x:c>
      <x:c r="V1117" s="6" t="n">
        <x:v>1</x:v>
      </x:c>
      <x:c r="W1117" s="6" t="n">
        <x:v>1</x:v>
      </x:c>
      <x:c r="X1117" s="6" t="n">
        <x:v>0</x:v>
      </x:c>
      <x:c r="Y1117" s="6" t="n">
        <x:v>0</x:v>
      </x:c>
      <x:c r="Z1117" s="6" t="n">
        <x:v>0</x:v>
      </x:c>
      <x:c r="AA1117" s="6" t="n">
        <x:v>3</x:v>
      </x:c>
      <x:c r="AB1117" s="6" t="n">
        <x:v>11</x:v>
      </x:c>
      <x:c r="AC1117" s="6" t="n">
        <x:v>0</x:v>
      </x:c>
    </x:row>
    <x:row r="1118">
      <x:c r="A1118" s="6" t="n">
        <x:v>3885</x:v>
      </x:c>
      <x:c r="B1118" s="6" t="n">
        <x:v>1983</x:v>
      </x:c>
      <x:c r="C1118" s="6" t="str">
        <x:v>PhD</x:v>
      </x:c>
      <x:c r="D1118" s="6" t="str">
        <x:v>Married</x:v>
      </x:c>
      <x:c r="E1118" s="6" t="n">
        <x:v>33569</x:v>
      </x:c>
      <x:c r="F1118" s="6" t="n">
        <x:v>1</x:v>
      </x:c>
      <x:c r="G1118" s="6" t="n">
        <x:v>0</x:v>
      </x:c>
      <x:c r="H1118" s="9" t="str">
        <x:v>16-10-2013</x:v>
      </x:c>
      <x:c r="I1118" s="6" t="n">
        <x:v>10</x:v>
      </x:c>
      <x:c r="J1118" s="6" t="n">
        <x:v>16</x:v>
      </x:c>
      <x:c r="K1118" s="6" t="n">
        <x:v>2</x:v>
      </x:c>
      <x:c r="L1118" s="6" t="n">
        <x:v>18</x:v>
      </x:c>
      <x:c r="M1118" s="6" t="n">
        <x:v>3</x:v>
      </x:c>
      <x:c r="N1118" s="6" t="n">
        <x:v>0</x:v>
      </x:c>
      <x:c r="O1118" s="6" t="n">
        <x:v>24</x:v>
      </x:c>
      <x:c r="P1118" s="6" t="n">
        <x:v>1</x:v>
      </x:c>
      <x:c r="Q1118" s="6" t="n">
        <x:v>1</x:v>
      </x:c>
      <x:c r="R1118" s="6" t="n">
        <x:v>1</x:v>
      </x:c>
      <x:c r="S1118" s="6" t="n">
        <x:v>2</x:v>
      </x:c>
      <x:c r="T1118" s="6" t="n">
        <x:v>8</x:v>
      </x:c>
      <x:c r="U1118" s="6" t="n">
        <x:v>1</x:v>
      </x:c>
      <x:c r="V1118" s="6" t="n">
        <x:v>0</x:v>
      </x:c>
      <x:c r="W1118" s="6" t="n">
        <x:v>0</x:v>
      </x:c>
      <x:c r="X1118" s="6" t="n">
        <x:v>0</x:v>
      </x:c>
      <x:c r="Y1118" s="6" t="n">
        <x:v>0</x:v>
      </x:c>
      <x:c r="Z1118" s="6" t="n">
        <x:v>0</x:v>
      </x:c>
      <x:c r="AA1118" s="6" t="n">
        <x:v>3</x:v>
      </x:c>
      <x:c r="AB1118" s="6" t="n">
        <x:v>11</x:v>
      </x:c>
      <x:c r="AC1118" s="6" t="n">
        <x:v>1</x:v>
      </x:c>
    </x:row>
    <x:row r="1119">
      <x:c r="A1119" s="6" t="n">
        <x:v>1175</x:v>
      </x:c>
      <x:c r="B1119" s="6" t="n">
        <x:v>1983</x:v>
      </x:c>
      <x:c r="C1119" s="6" t="str">
        <x:v>Master</x:v>
      </x:c>
      <x:c r="D1119" s="6" t="str">
        <x:v>Married</x:v>
      </x:c>
      <x:c r="E1119" s="6" t="n">
        <x:v>36262</x:v>
      </x:c>
      <x:c r="F1119" s="6" t="n">
        <x:v>0</x:v>
      </x:c>
      <x:c r="G1119" s="6" t="n">
        <x:v>0</x:v>
      </x:c>
      <x:c r="H1119" s="9" t="str">
        <x:v>20-09-2013</x:v>
      </x:c>
      <x:c r="I1119" s="6" t="n">
        <x:v>24</x:v>
      </x:c>
      <x:c r="J1119" s="6" t="n">
        <x:v>88</x:v>
      </x:c>
      <x:c r="K1119" s="6" t="n">
        <x:v>39</x:v>
      </x:c>
      <x:c r="L1119" s="6" t="n">
        <x:v>54</x:v>
      </x:c>
      <x:c r="M1119" s="6" t="n">
        <x:v>64</x:v>
      </x:c>
      <x:c r="N1119" s="6" t="n">
        <x:v>28</x:v>
      </x:c>
      <x:c r="O1119" s="6" t="n">
        <x:v>153</x:v>
      </x:c>
      <x:c r="P1119" s="6" t="n">
        <x:v>1</x:v>
      </x:c>
      <x:c r="Q1119" s="6" t="n">
        <x:v>3</x:v>
      </x:c>
      <x:c r="R1119" s="6" t="n">
        <x:v>5</x:v>
      </x:c>
      <x:c r="S1119" s="6" t="n">
        <x:v>3</x:v>
      </x:c>
      <x:c r="T1119" s="6" t="n">
        <x:v>6</x:v>
      </x:c>
      <x:c r="U1119" s="6" t="n">
        <x:v>1</x:v>
      </x:c>
      <x:c r="V1119" s="6" t="n">
        <x:v>0</x:v>
      </x:c>
      <x:c r="W1119" s="6" t="n">
        <x:v>0</x:v>
      </x:c>
      <x:c r="X1119" s="6" t="n">
        <x:v>0</x:v>
      </x:c>
      <x:c r="Y1119" s="6" t="n">
        <x:v>0</x:v>
      </x:c>
      <x:c r="Z1119" s="6" t="n">
        <x:v>0</x:v>
      </x:c>
      <x:c r="AA1119" s="6" t="n">
        <x:v>3</x:v>
      </x:c>
      <x:c r="AB1119" s="6" t="n">
        <x:v>11</x:v>
      </x:c>
      <x:c r="AC1119" s="6" t="n">
        <x:v>1</x:v>
      </x:c>
    </x:row>
    <x:row r="1120">
      <x:c r="A1120" s="6" t="n">
        <x:v>880</x:v>
      </x:c>
      <x:c r="B1120" s="6" t="n">
        <x:v>1966</x:v>
      </x:c>
      <x:c r="C1120" s="6" t="str">
        <x:v>Basic</x:v>
      </x:c>
      <x:c r="D1120" s="6" t="str">
        <x:v>Together</x:v>
      </x:c>
      <x:c r="E1120" s="6" t="n">
        <x:v>22634</x:v>
      </x:c>
      <x:c r="F1120" s="6" t="n">
        <x:v>0</x:v>
      </x:c>
      <x:c r="G1120" s="6" t="n">
        <x:v>0</x:v>
      </x:c>
      <x:c r="H1120" s="9" t="str">
        <x:v>16-01-2013</x:v>
      </x:c>
      <x:c r="I1120" s="6" t="n">
        <x:v>47</x:v>
      </x:c>
      <x:c r="J1120" s="6" t="n">
        <x:v>2</x:v>
      </x:c>
      <x:c r="K1120" s="6" t="n">
        <x:v>23</x:v>
      </x:c>
      <x:c r="L1120" s="6" t="n">
        <x:v>11</x:v>
      </x:c>
      <x:c r="M1120" s="6" t="n">
        <x:v>8</x:v>
      </x:c>
      <x:c r="N1120" s="6" t="n">
        <x:v>6</x:v>
      </x:c>
      <x:c r="O1120" s="6" t="n">
        <x:v>46</x:v>
      </x:c>
      <x:c r="P1120" s="6" t="n">
        <x:v>1</x:v>
      </x:c>
      <x:c r="Q1120" s="6" t="n">
        <x:v>2</x:v>
      </x:c>
      <x:c r="R1120" s="6" t="n">
        <x:v>1</x:v>
      </x:c>
      <x:c r="S1120" s="6" t="n">
        <x:v>2</x:v>
      </x:c>
      <x:c r="T1120" s="6" t="n">
        <x:v>8</x:v>
      </x:c>
      <x:c r="U1120" s="6" t="n">
        <x:v>0</x:v>
      </x:c>
      <x:c r="V1120" s="6" t="n">
        <x:v>0</x:v>
      </x:c>
      <x:c r="W1120" s="6" t="n">
        <x:v>0</x:v>
      </x:c>
      <x:c r="X1120" s="6" t="n">
        <x:v>0</x:v>
      </x:c>
      <x:c r="Y1120" s="6" t="n">
        <x:v>0</x:v>
      </x:c>
      <x:c r="Z1120" s="6" t="n">
        <x:v>0</x:v>
      </x:c>
      <x:c r="AA1120" s="6" t="n">
        <x:v>3</x:v>
      </x:c>
      <x:c r="AB1120" s="6" t="n">
        <x:v>11</x:v>
      </x:c>
      <x:c r="AC1120" s="6" t="n">
        <x:v>0</x:v>
      </x:c>
    </x:row>
    <x:row r="1121">
      <x:c r="A1121" s="6" t="n">
        <x:v>2320</x:v>
      </x:c>
      <x:c r="B1121" s="6" t="n">
        <x:v>1978</x:v>
      </x:c>
      <x:c r="C1121" s="6" t="str">
        <x:v>2n Cycle</x:v>
      </x:c>
      <x:c r="D1121" s="6" t="str">
        <x:v>Married</x:v>
      </x:c>
      <x:c r="E1121" s="6" t="n">
        <x:v>47025</x:v>
      </x:c>
      <x:c r="F1121" s="6" t="n">
        <x:v>0</x:v>
      </x:c>
      <x:c r="G1121" s="6" t="n">
        <x:v>1</x:v>
      </x:c>
      <x:c r="H1121" s="9" t="str">
        <x:v>12-09-2013</x:v>
      </x:c>
      <x:c r="I1121" s="6" t="n">
        <x:v>98</x:v>
      </x:c>
      <x:c r="J1121" s="6" t="n">
        <x:v>508</x:v>
      </x:c>
      <x:c r="K1121" s="6" t="n">
        <x:v>11</x:v>
      </x:c>
      <x:c r="L1121" s="6" t="n">
        <x:v>59</x:v>
      </x:c>
      <x:c r="M1121" s="6" t="n">
        <x:v>23</x:v>
      </x:c>
      <x:c r="N1121" s="6" t="n">
        <x:v>5</x:v>
      </x:c>
      <x:c r="O1121" s="6" t="n">
        <x:v>29</x:v>
      </x:c>
      <x:c r="P1121" s="6" t="n">
        <x:v>5</x:v>
      </x:c>
      <x:c r="Q1121" s="6" t="n">
        <x:v>11</x:v>
      </x:c>
      <x:c r="R1121" s="6" t="n">
        <x:v>1</x:v>
      </x:c>
      <x:c r="S1121" s="6" t="n">
        <x:v>6</x:v>
      </x:c>
      <x:c r="T1121" s="6" t="n">
        <x:v>9</x:v>
      </x:c>
      <x:c r="U1121" s="6" t="n">
        <x:v>0</x:v>
      </x:c>
      <x:c r="V1121" s="6" t="n">
        <x:v>0</x:v>
      </x:c>
      <x:c r="W1121" s="6" t="n">
        <x:v>0</x:v>
      </x:c>
      <x:c r="X1121" s="6" t="n">
        <x:v>0</x:v>
      </x:c>
      <x:c r="Y1121" s="6" t="n">
        <x:v>0</x:v>
      </x:c>
      <x:c r="Z1121" s="6" t="n">
        <x:v>0</x:v>
      </x:c>
      <x:c r="AA1121" s="6" t="n">
        <x:v>3</x:v>
      </x:c>
      <x:c r="AB1121" s="6" t="n">
        <x:v>11</x:v>
      </x:c>
      <x:c r="AC1121" s="6" t="n">
        <x:v>0</x:v>
      </x:c>
    </x:row>
    <x:row r="1122">
      <x:c r="A1122" s="6" t="n">
        <x:v>850</x:v>
      </x:c>
      <x:c r="B1122" s="6" t="n">
        <x:v>1968</x:v>
      </x:c>
      <x:c r="C1122" s="6" t="str">
        <x:v>Graduation</x:v>
      </x:c>
      <x:c r="D1122" s="6" t="str">
        <x:v>Single</x:v>
      </x:c>
      <x:c r="E1122" s="6" t="n">
        <x:v>70566</x:v>
      </x:c>
      <x:c r="F1122" s="6" t="n">
        <x:v>0</x:v>
      </x:c>
      <x:c r="G1122" s="6" t="n">
        <x:v>1</x:v>
      </x:c>
      <x:c r="H1122" s="9" t="str">
        <x:v>06-10-2013</x:v>
      </x:c>
      <x:c r="I1122" s="6" t="n">
        <x:v>4</x:v>
      </x:c>
      <x:c r="J1122" s="6" t="n">
        <x:v>381</x:v>
      </x:c>
      <x:c r="K1122" s="6" t="n">
        <x:v>28</x:v>
      </x:c>
      <x:c r="L1122" s="6" t="n">
        <x:v>215</x:v>
      </x:c>
      <x:c r="M1122" s="6" t="n">
        <x:v>84</x:v>
      </x:c>
      <x:c r="N1122" s="6" t="n">
        <x:v>28</x:v>
      </x:c>
      <x:c r="O1122" s="6" t="n">
        <x:v>21</x:v>
      </x:c>
      <x:c r="P1122" s="6" t="n">
        <x:v>2</x:v>
      </x:c>
      <x:c r="Q1122" s="6" t="n">
        <x:v>6</x:v>
      </x:c>
      <x:c r="R1122" s="6" t="n">
        <x:v>5</x:v>
      </x:c>
      <x:c r="S1122" s="6" t="n">
        <x:v>9</x:v>
      </x:c>
      <x:c r="T1122" s="6" t="n">
        <x:v>3</x:v>
      </x:c>
      <x:c r="U1122" s="6" t="n">
        <x:v>0</x:v>
      </x:c>
      <x:c r="V1122" s="6" t="n">
        <x:v>0</x:v>
      </x:c>
      <x:c r="W1122" s="6" t="n">
        <x:v>0</x:v>
      </x:c>
      <x:c r="X1122" s="6" t="n">
        <x:v>0</x:v>
      </x:c>
      <x:c r="Y1122" s="6" t="n">
        <x:v>0</x:v>
      </x:c>
      <x:c r="Z1122" s="6" t="n">
        <x:v>0</x:v>
      </x:c>
      <x:c r="AA1122" s="6" t="n">
        <x:v>3</x:v>
      </x:c>
      <x:c r="AB1122" s="6" t="n">
        <x:v>11</x:v>
      </x:c>
      <x:c r="AC1122" s="6" t="n">
        <x:v>0</x:v>
      </x:c>
    </x:row>
    <x:row r="1123">
      <x:c r="A1123" s="6" t="n">
        <x:v>4713</x:v>
      </x:c>
      <x:c r="B1123" s="6" t="n">
        <x:v>1979</x:v>
      </x:c>
      <x:c r="C1123" s="6" t="str">
        <x:v>PhD</x:v>
      </x:c>
      <x:c r="D1123" s="6" t="str">
        <x:v>Married</x:v>
      </x:c>
      <x:c r="E1123" s="6" t="n">
        <x:v>31605</x:v>
      </x:c>
      <x:c r="F1123" s="6" t="n">
        <x:v>1</x:v>
      </x:c>
      <x:c r="G1123" s="6" t="n">
        <x:v>0</x:v>
      </x:c>
      <x:c r="H1123" s="9" t="str">
        <x:v>22-11-2012</x:v>
      </x:c>
      <x:c r="I1123" s="6" t="n">
        <x:v>15</x:v>
      </x:c>
      <x:c r="J1123" s="6" t="n">
        <x:v>74</x:v>
      </x:c>
      <x:c r="K1123" s="6" t="n">
        <x:v>0</x:v>
      </x:c>
      <x:c r="L1123" s="6" t="n">
        <x:v>42</x:v>
      </x:c>
      <x:c r="M1123" s="6" t="n">
        <x:v>2</x:v>
      </x:c>
      <x:c r="N1123" s="6" t="n">
        <x:v>1</x:v>
      </x:c>
      <x:c r="O1123" s="6" t="n">
        <x:v>6</x:v>
      </x:c>
      <x:c r="P1123" s="6" t="n">
        <x:v>2</x:v>
      </x:c>
      <x:c r="Q1123" s="6" t="n">
        <x:v>2</x:v>
      </x:c>
      <x:c r="R1123" s="6" t="n">
        <x:v>1</x:v>
      </x:c>
      <x:c r="S1123" s="6" t="n">
        <x:v>4</x:v>
      </x:c>
      <x:c r="T1123" s="6" t="n">
        <x:v>7</x:v>
      </x:c>
      <x:c r="U1123" s="6" t="n">
        <x:v>0</x:v>
      </x:c>
      <x:c r="V1123" s="6" t="n">
        <x:v>0</x:v>
      </x:c>
      <x:c r="W1123" s="6" t="n">
        <x:v>0</x:v>
      </x:c>
      <x:c r="X1123" s="6" t="n">
        <x:v>0</x:v>
      </x:c>
      <x:c r="Y1123" s="6" t="n">
        <x:v>0</x:v>
      </x:c>
      <x:c r="Z1123" s="6" t="n">
        <x:v>0</x:v>
      </x:c>
      <x:c r="AA1123" s="6" t="n">
        <x:v>3</x:v>
      </x:c>
      <x:c r="AB1123" s="6" t="n">
        <x:v>11</x:v>
      </x:c>
      <x:c r="AC1123" s="6" t="n">
        <x:v>0</x:v>
      </x:c>
    </x:row>
    <x:row r="1124">
      <x:c r="A1124" s="6" t="n">
        <x:v>675</x:v>
      </x:c>
      <x:c r="B1124" s="6" t="n">
        <x:v>1973</x:v>
      </x:c>
      <x:c r="C1124" s="6" t="str">
        <x:v>Master</x:v>
      </x:c>
      <x:c r="D1124" s="6" t="str">
        <x:v>Divorced</x:v>
      </x:c>
      <x:c r="E1124" s="6" t="n">
        <x:v>52034</x:v>
      </x:c>
      <x:c r="F1124" s="6" t="n">
        <x:v>1</x:v>
      </x:c>
      <x:c r="G1124" s="6" t="n">
        <x:v>1</x:v>
      </x:c>
      <x:c r="H1124" s="9" t="str">
        <x:v>17-05-2013</x:v>
      </x:c>
      <x:c r="I1124" s="6" t="n">
        <x:v>67</x:v>
      </x:c>
      <x:c r="J1124" s="6" t="n">
        <x:v>146</x:v>
      </x:c>
      <x:c r="K1124" s="6" t="n">
        <x:v>0</x:v>
      </x:c>
      <x:c r="L1124" s="6" t="n">
        <x:v>93</x:v>
      </x:c>
      <x:c r="M1124" s="6" t="n">
        <x:v>7</x:v>
      </x:c>
      <x:c r="N1124" s="6" t="n">
        <x:v>13</x:v>
      </x:c>
      <x:c r="O1124" s="6" t="n">
        <x:v>73</x:v>
      </x:c>
      <x:c r="P1124" s="6" t="n">
        <x:v>5</x:v>
      </x:c>
      <x:c r="Q1124" s="6" t="n">
        <x:v>4</x:v>
      </x:c>
      <x:c r="R1124" s="6" t="n">
        <x:v>2</x:v>
      </x:c>
      <x:c r="S1124" s="6" t="n">
        <x:v>5</x:v>
      </x:c>
      <x:c r="T1124" s="6" t="n">
        <x:v>7</x:v>
      </x:c>
      <x:c r="U1124" s="6" t="n">
        <x:v>0</x:v>
      </x:c>
      <x:c r="V1124" s="6" t="n">
        <x:v>0</x:v>
      </x:c>
      <x:c r="W1124" s="6" t="n">
        <x:v>0</x:v>
      </x:c>
      <x:c r="X1124" s="6" t="n">
        <x:v>0</x:v>
      </x:c>
      <x:c r="Y1124" s="6" t="n">
        <x:v>0</x:v>
      </x:c>
      <x:c r="Z1124" s="6" t="n">
        <x:v>0</x:v>
      </x:c>
      <x:c r="AA1124" s="6" t="n">
        <x:v>3</x:v>
      </x:c>
      <x:c r="AB1124" s="6" t="n">
        <x:v>11</x:v>
      </x:c>
      <x:c r="AC1124" s="6" t="n">
        <x:v>0</x:v>
      </x:c>
    </x:row>
    <x:row r="1125">
      <x:c r="A1125" s="6" t="n">
        <x:v>5025</x:v>
      </x:c>
      <x:c r="B1125" s="6" t="n">
        <x:v>1979</x:v>
      </x:c>
      <x:c r="C1125" s="6" t="str">
        <x:v>Graduation</x:v>
      </x:c>
      <x:c r="D1125" s="6" t="str">
        <x:v>Single</x:v>
      </x:c>
      <x:c r="E1125" s="6" t="n">
        <x:v>48526</x:v>
      </x:c>
      <x:c r="F1125" s="6" t="n">
        <x:v>1</x:v>
      </x:c>
      <x:c r="G1125" s="6" t="n">
        <x:v>0</x:v>
      </x:c>
      <x:c r="H1125" s="9" t="str">
        <x:v>24-12-2013</x:v>
      </x:c>
      <x:c r="I1125" s="6" t="n">
        <x:v>32</x:v>
      </x:c>
      <x:c r="J1125" s="6" t="n">
        <x:v>23</x:v>
      </x:c>
      <x:c r="K1125" s="6" t="n">
        <x:v>17</x:v>
      </x:c>
      <x:c r="L1125" s="6" t="n">
        <x:v>23</x:v>
      </x:c>
      <x:c r="M1125" s="6" t="n">
        <x:v>43</x:v>
      </x:c>
      <x:c r="N1125" s="6" t="n">
        <x:v>20</x:v>
      </x:c>
      <x:c r="O1125" s="6" t="n">
        <x:v>9</x:v>
      </x:c>
      <x:c r="P1125" s="6" t="n">
        <x:v>1</x:v>
      </x:c>
      <x:c r="Q1125" s="6" t="n">
        <x:v>2</x:v>
      </x:c>
      <x:c r="R1125" s="6" t="n">
        <x:v>1</x:v>
      </x:c>
      <x:c r="S1125" s="6" t="n">
        <x:v>4</x:v>
      </x:c>
      <x:c r="T1125" s="6" t="n">
        <x:v>3</x:v>
      </x:c>
      <x:c r="U1125" s="6" t="n">
        <x:v>0</x:v>
      </x:c>
      <x:c r="V1125" s="6" t="n">
        <x:v>0</x:v>
      </x:c>
      <x:c r="W1125" s="6" t="n">
        <x:v>0</x:v>
      </x:c>
      <x:c r="X1125" s="6" t="n">
        <x:v>0</x:v>
      </x:c>
      <x:c r="Y1125" s="6" t="n">
        <x:v>0</x:v>
      </x:c>
      <x:c r="Z1125" s="6" t="n">
        <x:v>0</x:v>
      </x:c>
      <x:c r="AA1125" s="6" t="n">
        <x:v>3</x:v>
      </x:c>
      <x:c r="AB1125" s="6" t="n">
        <x:v>11</x:v>
      </x:c>
      <x:c r="AC1125" s="6" t="n">
        <x:v>0</x:v>
      </x:c>
    </x:row>
    <x:row r="1126">
      <x:c r="A1126" s="6" t="n">
        <x:v>2308</x:v>
      </x:c>
      <x:c r="B1126" s="6" t="n">
        <x:v>1954</x:v>
      </x:c>
      <x:c r="C1126" s="6" t="str">
        <x:v>Graduation</x:v>
      </x:c>
      <x:c r="D1126" s="6" t="str">
        <x:v>Married</x:v>
      </x:c>
      <x:c r="E1126" s="6" t="n">
        <x:v>46734</x:v>
      </x:c>
      <x:c r="F1126" s="6" t="n">
        <x:v>0</x:v>
      </x:c>
      <x:c r="G1126" s="6" t="n">
        <x:v>1</x:v>
      </x:c>
      <x:c r="H1126" s="9" t="str">
        <x:v>18-11-2012</x:v>
      </x:c>
      <x:c r="I1126" s="6" t="n">
        <x:v>40</x:v>
      </x:c>
      <x:c r="J1126" s="6" t="n">
        <x:v>110</x:v>
      </x:c>
      <x:c r="K1126" s="6" t="n">
        <x:v>5</x:v>
      </x:c>
      <x:c r="L1126" s="6" t="n">
        <x:v>137</x:v>
      </x:c>
      <x:c r="M1126" s="6" t="n">
        <x:v>26</x:v>
      </x:c>
      <x:c r="N1126" s="6" t="n">
        <x:v>23</x:v>
      </x:c>
      <x:c r="O1126" s="6" t="n">
        <x:v>29</x:v>
      </x:c>
      <x:c r="P1126" s="6" t="n">
        <x:v>2</x:v>
      </x:c>
      <x:c r="Q1126" s="6" t="n">
        <x:v>6</x:v>
      </x:c>
      <x:c r="R1126" s="6" t="n">
        <x:v>1</x:v>
      </x:c>
      <x:c r="S1126" s="6" t="n">
        <x:v>5</x:v>
      </x:c>
      <x:c r="T1126" s="6" t="n">
        <x:v>7</x:v>
      </x:c>
      <x:c r="U1126" s="6" t="n">
        <x:v>0</x:v>
      </x:c>
      <x:c r="V1126" s="6" t="n">
        <x:v>0</x:v>
      </x:c>
      <x:c r="W1126" s="6" t="n">
        <x:v>0</x:v>
      </x:c>
      <x:c r="X1126" s="6" t="n">
        <x:v>0</x:v>
      </x:c>
      <x:c r="Y1126" s="6" t="n">
        <x:v>0</x:v>
      </x:c>
      <x:c r="Z1126" s="6" t="n">
        <x:v>0</x:v>
      </x:c>
      <x:c r="AA1126" s="6" t="n">
        <x:v>3</x:v>
      </x:c>
      <x:c r="AB1126" s="6" t="n">
        <x:v>11</x:v>
      </x:c>
      <x:c r="AC1126" s="6" t="n">
        <x:v>0</x:v>
      </x:c>
    </x:row>
    <x:row r="1127">
      <x:c r="A1127" s="6" t="n">
        <x:v>5995</x:v>
      </x:c>
      <x:c r="B1127" s="6" t="n">
        <x:v>1962</x:v>
      </x:c>
      <x:c r="C1127" s="6" t="str">
        <x:v>Graduation</x:v>
      </x:c>
      <x:c r="D1127" s="6" t="str">
        <x:v>Divorced</x:v>
      </x:c>
      <x:c r="E1127" s="6" t="n">
        <x:v>39552</x:v>
      </x:c>
      <x:c r="F1127" s="6" t="n">
        <x:v>1</x:v>
      </x:c>
      <x:c r="G1127" s="6" t="n">
        <x:v>1</x:v>
      </x:c>
      <x:c r="H1127" s="9" t="str">
        <x:v>18-12-2012</x:v>
      </x:c>
      <x:c r="I1127" s="6" t="n">
        <x:v>54</x:v>
      </x:c>
      <x:c r="J1127" s="6" t="n">
        <x:v>165</x:v>
      </x:c>
      <x:c r="K1127" s="6" t="n">
        <x:v>3</x:v>
      </x:c>
      <x:c r="L1127" s="6" t="n">
        <x:v>147</x:v>
      </x:c>
      <x:c r="M1127" s="6" t="n">
        <x:v>4</x:v>
      </x:c>
      <x:c r="N1127" s="6" t="n">
        <x:v>24</x:v>
      </x:c>
      <x:c r="O1127" s="6" t="n">
        <x:v>41</x:v>
      </x:c>
      <x:c r="P1127" s="6" t="n">
        <x:v>7</x:v>
      </x:c>
      <x:c r="Q1127" s="6" t="n">
        <x:v>6</x:v>
      </x:c>
      <x:c r="R1127" s="6" t="n">
        <x:v>2</x:v>
      </x:c>
      <x:c r="S1127" s="6" t="n">
        <x:v>5</x:v>
      </x:c>
      <x:c r="T1127" s="6" t="n">
        <x:v>8</x:v>
      </x:c>
      <x:c r="U1127" s="6" t="n">
        <x:v>0</x:v>
      </x:c>
      <x:c r="V1127" s="6" t="n">
        <x:v>0</x:v>
      </x:c>
      <x:c r="W1127" s="6" t="n">
        <x:v>0</x:v>
      </x:c>
      <x:c r="X1127" s="6" t="n">
        <x:v>0</x:v>
      </x:c>
      <x:c r="Y1127" s="6" t="n">
        <x:v>0</x:v>
      </x:c>
      <x:c r="Z1127" s="6" t="n">
        <x:v>0</x:v>
      </x:c>
      <x:c r="AA1127" s="6" t="n">
        <x:v>3</x:v>
      </x:c>
      <x:c r="AB1127" s="6" t="n">
        <x:v>11</x:v>
      </x:c>
      <x:c r="AC1127" s="6" t="n">
        <x:v>1</x:v>
      </x:c>
    </x:row>
    <x:row r="1128">
      <x:c r="A1128" s="6" t="n">
        <x:v>6749</x:v>
      </x:c>
      <x:c r="B1128" s="6" t="n">
        <x:v>1966</x:v>
      </x:c>
      <x:c r="C1128" s="6" t="str">
        <x:v>Graduation</x:v>
      </x:c>
      <x:c r="D1128" s="6" t="str">
        <x:v>Single</x:v>
      </x:c>
      <x:c r="E1128" s="6" t="n">
        <x:v>86358</x:v>
      </x:c>
      <x:c r="F1128" s="6" t="n">
        <x:v>1</x:v>
      </x:c>
      <x:c r="G1128" s="6" t="n">
        <x:v>1</x:v>
      </x:c>
      <x:c r="H1128" s="9" t="str">
        <x:v>08-08-2012</x:v>
      </x:c>
      <x:c r="I1128" s="6" t="n">
        <x:v>78</x:v>
      </x:c>
      <x:c r="J1128" s="6" t="n">
        <x:v>957</x:v>
      </x:c>
      <x:c r="K1128" s="6" t="n">
        <x:v>47</x:v>
      </x:c>
      <x:c r="L1128" s="6" t="n">
        <x:v>494</x:v>
      </x:c>
      <x:c r="M1128" s="6" t="n">
        <x:v>82</x:v>
      </x:c>
      <x:c r="N1128" s="6" t="n">
        <x:v>47</x:v>
      </x:c>
      <x:c r="O1128" s="6" t="n">
        <x:v>95</x:v>
      </x:c>
      <x:c r="P1128" s="6" t="n">
        <x:v>4</x:v>
      </x:c>
      <x:c r="Q1128" s="6" t="n">
        <x:v>5</x:v>
      </x:c>
      <x:c r="R1128" s="6" t="n">
        <x:v>3</x:v>
      </x:c>
      <x:c r="S1128" s="6" t="n">
        <x:v>6</x:v>
      </x:c>
      <x:c r="T1128" s="6" t="n">
        <x:v>8</x:v>
      </x:c>
      <x:c r="U1128" s="6" t="n">
        <x:v>0</x:v>
      </x:c>
      <x:c r="V1128" s="6" t="n">
        <x:v>0</x:v>
      </x:c>
      <x:c r="W1128" s="6" t="n">
        <x:v>0</x:v>
      </x:c>
      <x:c r="X1128" s="6" t="n">
        <x:v>0</x:v>
      </x:c>
      <x:c r="Y1128" s="6" t="n">
        <x:v>0</x:v>
      </x:c>
      <x:c r="Z1128" s="6" t="n">
        <x:v>0</x:v>
      </x:c>
      <x:c r="AA1128" s="6" t="n">
        <x:v>3</x:v>
      </x:c>
      <x:c r="AB1128" s="6" t="n">
        <x:v>11</x:v>
      </x:c>
      <x:c r="AC1128" s="6" t="n">
        <x:v>0</x:v>
      </x:c>
    </x:row>
    <x:row r="1129">
      <x:c r="A1129" s="6" t="n">
        <x:v>1010</x:v>
      </x:c>
      <x:c r="B1129" s="6" t="n">
        <x:v>1977</x:v>
      </x:c>
      <x:c r="C1129" s="6" t="str">
        <x:v>Graduation</x:v>
      </x:c>
      <x:c r="D1129" s="6" t="str">
        <x:v>Together</x:v>
      </x:c>
      <x:c r="E1129" s="6" t="n">
        <x:v>46931</x:v>
      </x:c>
      <x:c r="F1129" s="6" t="n">
        <x:v>2</x:v>
      </x:c>
      <x:c r="G1129" s="6" t="n">
        <x:v>1</x:v>
      </x:c>
      <x:c r="H1129" s="9" t="str">
        <x:v>24-04-2014</x:v>
      </x:c>
      <x:c r="I1129" s="6" t="n">
        <x:v>94</x:v>
      </x:c>
      <x:c r="J1129" s="6" t="n">
        <x:v>41</x:v>
      </x:c>
      <x:c r="K1129" s="6" t="n">
        <x:v>0</x:v>
      </x:c>
      <x:c r="L1129" s="6" t="n">
        <x:v>17</x:v>
      </x:c>
      <x:c r="M1129" s="6" t="n">
        <x:v>3</x:v>
      </x:c>
      <x:c r="N1129" s="6" t="n">
        <x:v>1</x:v>
      </x:c>
      <x:c r="O1129" s="6" t="n">
        <x:v>16</x:v>
      </x:c>
      <x:c r="P1129" s="6" t="n">
        <x:v>2</x:v>
      </x:c>
      <x:c r="Q1129" s="6" t="n">
        <x:v>1</x:v>
      </x:c>
      <x:c r="R1129" s="6" t="n">
        <x:v>1</x:v>
      </x:c>
      <x:c r="S1129" s="6" t="n">
        <x:v>3</x:v>
      </x:c>
      <x:c r="T1129" s="6" t="n">
        <x:v>3</x:v>
      </x:c>
      <x:c r="U1129" s="6" t="n">
        <x:v>0</x:v>
      </x:c>
      <x:c r="V1129" s="6" t="n">
        <x:v>0</x:v>
      </x:c>
      <x:c r="W1129" s="6" t="n">
        <x:v>0</x:v>
      </x:c>
      <x:c r="X1129" s="6" t="n">
        <x:v>0</x:v>
      </x:c>
      <x:c r="Y1129" s="6" t="n">
        <x:v>0</x:v>
      </x:c>
      <x:c r="Z1129" s="6" t="n">
        <x:v>0</x:v>
      </x:c>
      <x:c r="AA1129" s="6" t="n">
        <x:v>3</x:v>
      </x:c>
      <x:c r="AB1129" s="6" t="n">
        <x:v>11</x:v>
      </x:c>
      <x:c r="AC1129" s="6" t="n">
        <x:v>0</x:v>
      </x:c>
    </x:row>
    <x:row r="1130">
      <x:c r="A1130" s="6" t="n">
        <x:v>8977</x:v>
      </x:c>
      <x:c r="B1130" s="6" t="n">
        <x:v>1985</x:v>
      </x:c>
      <x:c r="C1130" s="6" t="str">
        <x:v>Basic</x:v>
      </x:c>
      <x:c r="D1130" s="6" t="str">
        <x:v>Single</x:v>
      </x:c>
      <x:c r="E1130" s="6" t="n">
        <x:v>16581</x:v>
      </x:c>
      <x:c r="F1130" s="6" t="n">
        <x:v>0</x:v>
      </x:c>
      <x:c r="G1130" s="6" t="n">
        <x:v>0</x:v>
      </x:c>
      <x:c r="H1130" s="9" t="str">
        <x:v>12-01-2013</x:v>
      </x:c>
      <x:c r="I1130" s="6" t="n">
        <x:v>51</x:v>
      </x:c>
      <x:c r="J1130" s="6" t="n">
        <x:v>1</x:v>
      </x:c>
      <x:c r="K1130" s="6" t="n">
        <x:v>3</x:v>
      </x:c>
      <x:c r="L1130" s="6" t="n">
        <x:v>4</x:v>
      </x:c>
      <x:c r="M1130" s="6" t="n">
        <x:v>2</x:v>
      </x:c>
      <x:c r="N1130" s="6" t="n">
        <x:v>3</x:v>
      </x:c>
      <x:c r="O1130" s="6" t="n">
        <x:v>11</x:v>
      </x:c>
      <x:c r="P1130" s="6" t="n">
        <x:v>1</x:v>
      </x:c>
      <x:c r="Q1130" s="6" t="n">
        <x:v>0</x:v>
      </x:c>
      <x:c r="R1130" s="6" t="n">
        <x:v>0</x:v>
      </x:c>
      <x:c r="S1130" s="6" t="n">
        <x:v>3</x:v>
      </x:c>
      <x:c r="T1130" s="6" t="n">
        <x:v>4</x:v>
      </x:c>
      <x:c r="U1130" s="6" t="n">
        <x:v>0</x:v>
      </x:c>
      <x:c r="V1130" s="6" t="n">
        <x:v>0</x:v>
      </x:c>
      <x:c r="W1130" s="6" t="n">
        <x:v>0</x:v>
      </x:c>
      <x:c r="X1130" s="6" t="n">
        <x:v>0</x:v>
      </x:c>
      <x:c r="Y1130" s="6" t="n">
        <x:v>0</x:v>
      </x:c>
      <x:c r="Z1130" s="6" t="n">
        <x:v>0</x:v>
      </x:c>
      <x:c r="AA1130" s="6" t="n">
        <x:v>3</x:v>
      </x:c>
      <x:c r="AB1130" s="6" t="n">
        <x:v>11</x:v>
      </x:c>
      <x:c r="AC1130" s="6" t="n">
        <x:v>0</x:v>
      </x:c>
    </x:row>
    <x:row r="1131">
      <x:c r="A1131" s="6" t="n">
        <x:v>4756</x:v>
      </x:c>
      <x:c r="B1131" s="6" t="n">
        <x:v>1952</x:v>
      </x:c>
      <x:c r="C1131" s="6" t="str">
        <x:v>2n Cycle</x:v>
      </x:c>
      <x:c r="D1131" s="6" t="str">
        <x:v>Divorced</x:v>
      </x:c>
      <x:c r="E1131" s="6" t="n">
        <x:v>63998</x:v>
      </x:c>
      <x:c r="F1131" s="6" t="n">
        <x:v>0</x:v>
      </x:c>
      <x:c r="G1131" s="6" t="n">
        <x:v>0</x:v>
      </x:c>
      <x:c r="H1131" s="9" t="str">
        <x:v>20-12-2013</x:v>
      </x:c>
      <x:c r="I1131" s="6" t="n">
        <x:v>42</x:v>
      </x:c>
      <x:c r="J1131" s="6" t="n">
        <x:v>176</x:v>
      </x:c>
      <x:c r="K1131" s="6" t="n">
        <x:v>29</x:v>
      </x:c>
      <x:c r="L1131" s="6" t="n">
        <x:v>818</x:v>
      </x:c>
      <x:c r="M1131" s="6" t="n">
        <x:v>0</x:v>
      </x:c>
      <x:c r="N1131" s="6" t="n">
        <x:v>33</x:v>
      </x:c>
      <x:c r="O1131" s="6" t="n">
        <x:v>112</x:v>
      </x:c>
      <x:c r="P1131" s="6" t="n">
        <x:v>1</x:v>
      </x:c>
      <x:c r="Q1131" s="6" t="n">
        <x:v>7</x:v>
      </x:c>
      <x:c r="R1131" s="6" t="n">
        <x:v>6</x:v>
      </x:c>
      <x:c r="S1131" s="6" t="n">
        <x:v>11</x:v>
      </x:c>
      <x:c r="T1131" s="6" t="n">
        <x:v>4</x:v>
      </x:c>
      <x:c r="U1131" s="6" t="n">
        <x:v>0</x:v>
      </x:c>
      <x:c r="V1131" s="6" t="n">
        <x:v>0</x:v>
      </x:c>
      <x:c r="W1131" s="6" t="n">
        <x:v>0</x:v>
      </x:c>
      <x:c r="X1131" s="6" t="n">
        <x:v>0</x:v>
      </x:c>
      <x:c r="Y1131" s="6" t="n">
        <x:v>0</x:v>
      </x:c>
      <x:c r="Z1131" s="6" t="n">
        <x:v>0</x:v>
      </x:c>
      <x:c r="AA1131" s="6" t="n">
        <x:v>3</x:v>
      </x:c>
      <x:c r="AB1131" s="6" t="n">
        <x:v>11</x:v>
      </x:c>
      <x:c r="AC1131" s="6" t="n">
        <x:v>1</x:v>
      </x:c>
    </x:row>
    <x:row r="1132">
      <x:c r="A1132" s="6" t="n">
        <x:v>3412</x:v>
      </x:c>
      <x:c r="B1132" s="6" t="n">
        <x:v>1951</x:v>
      </x:c>
      <x:c r="C1132" s="6" t="str">
        <x:v>Master</x:v>
      </x:c>
      <x:c r="D1132" s="6" t="str">
        <x:v>Married</x:v>
      </x:c>
      <x:c r="E1132" s="6" t="n">
        <x:v>67381</x:v>
      </x:c>
      <x:c r="F1132" s="6" t="n">
        <x:v>0</x:v>
      </x:c>
      <x:c r="G1132" s="6" t="n">
        <x:v>1</x:v>
      </x:c>
      <x:c r="H1132" s="9" t="str">
        <x:v>15-01-2013</x:v>
      </x:c>
      <x:c r="I1132" s="6" t="n">
        <x:v>67</x:v>
      </x:c>
      <x:c r="J1132" s="6" t="n">
        <x:v>815</x:v>
      </x:c>
      <x:c r="K1132" s="6" t="n">
        <x:v>8</x:v>
      </x:c>
      <x:c r="L1132" s="6" t="n">
        <x:v>53</x:v>
      </x:c>
      <x:c r="M1132" s="6" t="n">
        <x:v>11</x:v>
      </x:c>
      <x:c r="N1132" s="6" t="n">
        <x:v>0</x:v>
      </x:c>
      <x:c r="O1132" s="6" t="n">
        <x:v>70</x:v>
      </x:c>
      <x:c r="P1132" s="6" t="n">
        <x:v>4</x:v>
      </x:c>
      <x:c r="Q1132" s="6" t="n">
        <x:v>2</x:v>
      </x:c>
      <x:c r="R1132" s="6" t="n">
        <x:v>2</x:v>
      </x:c>
      <x:c r="S1132" s="6" t="n">
        <x:v>9</x:v>
      </x:c>
      <x:c r="T1132" s="6" t="n">
        <x:v>7</x:v>
      </x:c>
      <x:c r="U1132" s="6" t="n">
        <x:v>0</x:v>
      </x:c>
      <x:c r="V1132" s="6" t="n">
        <x:v>1</x:v>
      </x:c>
      <x:c r="W1132" s="6" t="n">
        <x:v>0</x:v>
      </x:c>
      <x:c r="X1132" s="6" t="n">
        <x:v>0</x:v>
      </x:c>
      <x:c r="Y1132" s="6" t="n">
        <x:v>0</x:v>
      </x:c>
      <x:c r="Z1132" s="6" t="n">
        <x:v>0</x:v>
      </x:c>
      <x:c r="AA1132" s="6" t="n">
        <x:v>3</x:v>
      </x:c>
      <x:c r="AB1132" s="6" t="n">
        <x:v>11</x:v>
      </x:c>
      <x:c r="AC1132" s="6" t="n">
        <x:v>0</x:v>
      </x:c>
    </x:row>
    <x:row r="1133">
      <x:c r="A1133" s="6" t="n">
        <x:v>606</x:v>
      </x:c>
      <x:c r="B1133" s="6" t="n">
        <x:v>1967</x:v>
      </x:c>
      <x:c r="C1133" s="6" t="str">
        <x:v>Graduation</x:v>
      </x:c>
      <x:c r="D1133" s="6" t="str">
        <x:v>Single</x:v>
      </x:c>
      <x:c r="E1133" s="6" t="n">
        <x:v>25930</x:v>
      </x:c>
      <x:c r="F1133" s="6" t="n">
        <x:v>1</x:v>
      </x:c>
      <x:c r="G1133" s="6" t="n">
        <x:v>1</x:v>
      </x:c>
      <x:c r="H1133" s="9" t="str">
        <x:v>10-10-2013</x:v>
      </x:c>
      <x:c r="I1133" s="6" t="n">
        <x:v>87</x:v>
      </x:c>
      <x:c r="J1133" s="6" t="n">
        <x:v>6</x:v>
      </x:c>
      <x:c r="K1133" s="6" t="n">
        <x:v>1</x:v>
      </x:c>
      <x:c r="L1133" s="6" t="n">
        <x:v>2</x:v>
      </x:c>
      <x:c r="M1133" s="6" t="n">
        <x:v>2</x:v>
      </x:c>
      <x:c r="N1133" s="6" t="n">
        <x:v>0</x:v>
      </x:c>
      <x:c r="O1133" s="6" t="n">
        <x:v>4</x:v>
      </x:c>
      <x:c r="P1133" s="6" t="n">
        <x:v>1</x:v>
      </x:c>
      <x:c r="Q1133" s="6" t="n">
        <x:v>1</x:v>
      </x:c>
      <x:c r="R1133" s="6" t="n">
        <x:v>0</x:v>
      </x:c>
      <x:c r="S1133" s="6" t="n">
        <x:v>2</x:v>
      </x:c>
      <x:c r="T1133" s="6" t="n">
        <x:v>7</x:v>
      </x:c>
      <x:c r="U1133" s="6" t="n">
        <x:v>0</x:v>
      </x:c>
      <x:c r="V1133" s="6" t="n">
        <x:v>0</x:v>
      </x:c>
      <x:c r="W1133" s="6" t="n">
        <x:v>0</x:v>
      </x:c>
      <x:c r="X1133" s="6" t="n">
        <x:v>0</x:v>
      </x:c>
      <x:c r="Y1133" s="6" t="n">
        <x:v>0</x:v>
      </x:c>
      <x:c r="Z1133" s="6" t="n">
        <x:v>0</x:v>
      </x:c>
      <x:c r="AA1133" s="6" t="n">
        <x:v>3</x:v>
      </x:c>
      <x:c r="AB1133" s="6" t="n">
        <x:v>11</x:v>
      </x:c>
      <x:c r="AC1133" s="6" t="n">
        <x:v>0</x:v>
      </x:c>
    </x:row>
    <x:row r="1134">
      <x:c r="A1134" s="6" t="n">
        <x:v>5961</x:v>
      </x:c>
      <x:c r="B1134" s="6" t="n">
        <x:v>1978</x:v>
      </x:c>
      <x:c r="C1134" s="6" t="str">
        <x:v>Graduation</x:v>
      </x:c>
      <x:c r="D1134" s="6" t="str">
        <x:v>Married</x:v>
      </x:c>
      <x:c r="E1134" s="6" t="n">
        <x:v>42693</x:v>
      </x:c>
      <x:c r="F1134" s="6" t="n">
        <x:v>1</x:v>
      </x:c>
      <x:c r="G1134" s="6" t="n">
        <x:v>0</x:v>
      </x:c>
      <x:c r="H1134" s="9" t="str">
        <x:v>07-06-2014</x:v>
      </x:c>
      <x:c r="I1134" s="6" t="n">
        <x:v>29</x:v>
      </x:c>
      <x:c r="J1134" s="6" t="n">
        <x:v>8</x:v>
      </x:c>
      <x:c r="K1134" s="6" t="n">
        <x:v>4</x:v>
      </x:c>
      <x:c r="L1134" s="6" t="n">
        <x:v>20</x:v>
      </x:c>
      <x:c r="M1134" s="6" t="n">
        <x:v>6</x:v>
      </x:c>
      <x:c r="N1134" s="6" t="n">
        <x:v>3</x:v>
      </x:c>
      <x:c r="O1134" s="6" t="n">
        <x:v>16</x:v>
      </x:c>
      <x:c r="P1134" s="6" t="n">
        <x:v>1</x:v>
      </x:c>
      <x:c r="Q1134" s="6" t="n">
        <x:v>1</x:v>
      </x:c>
      <x:c r="R1134" s="6" t="n">
        <x:v>0</x:v>
      </x:c>
      <x:c r="S1134" s="6" t="n">
        <x:v>3</x:v>
      </x:c>
      <x:c r="T1134" s="6" t="n">
        <x:v>5</x:v>
      </x:c>
      <x:c r="U1134" s="6" t="n">
        <x:v>0</x:v>
      </x:c>
      <x:c r="V1134" s="6" t="n">
        <x:v>0</x:v>
      </x:c>
      <x:c r="W1134" s="6" t="n">
        <x:v>0</x:v>
      </x:c>
      <x:c r="X1134" s="6" t="n">
        <x:v>0</x:v>
      </x:c>
      <x:c r="Y1134" s="6" t="n">
        <x:v>0</x:v>
      </x:c>
      <x:c r="Z1134" s="6" t="n">
        <x:v>0</x:v>
      </x:c>
      <x:c r="AA1134" s="6" t="n">
        <x:v>3</x:v>
      </x:c>
      <x:c r="AB1134" s="6" t="n">
        <x:v>11</x:v>
      </x:c>
      <x:c r="AC1134" s="6" t="n">
        <x:v>0</x:v>
      </x:c>
    </x:row>
    <x:row r="1135">
      <x:c r="A1135" s="6" t="n">
        <x:v>2975</x:v>
      </x:c>
      <x:c r="B1135" s="6" t="n">
        <x:v>1976</x:v>
      </x:c>
      <x:c r="C1135" s="6" t="str">
        <x:v>Graduation</x:v>
      </x:c>
      <x:c r="D1135" s="6" t="str">
        <x:v>Together</x:v>
      </x:c>
      <x:c r="E1135" s="6" t="n">
        <x:v>85606</x:v>
      </x:c>
      <x:c r="F1135" s="6" t="n">
        <x:v>0</x:v>
      </x:c>
      <x:c r="G1135" s="6" t="n">
        <x:v>1</x:v>
      </x:c>
      <x:c r="H1135" s="9" t="str">
        <x:v>12-11-2012</x:v>
      </x:c>
      <x:c r="I1135" s="6" t="n">
        <x:v>89</x:v>
      </x:c>
      <x:c r="J1135" s="6" t="n">
        <x:v>717</x:v>
      </x:c>
      <x:c r="K1135" s="6" t="n">
        <x:v>42</x:v>
      </x:c>
      <x:c r="L1135" s="6" t="n">
        <x:v>864</x:v>
      </x:c>
      <x:c r="M1135" s="6" t="n">
        <x:v>219</x:v>
      </x:c>
      <x:c r="N1135" s="6" t="n">
        <x:v>30</x:v>
      </x:c>
      <x:c r="O1135" s="6" t="n">
        <x:v>84</x:v>
      </x:c>
      <x:c r="P1135" s="6" t="n">
        <x:v>2</x:v>
      </x:c>
      <x:c r="Q1135" s="6" t="n">
        <x:v>6</x:v>
      </x:c>
      <x:c r="R1135" s="6" t="n">
        <x:v>7</x:v>
      </x:c>
      <x:c r="S1135" s="6" t="n">
        <x:v>9</x:v>
      </x:c>
      <x:c r="T1135" s="6" t="n">
        <x:v>3</x:v>
      </x:c>
      <x:c r="U1135" s="6" t="n">
        <x:v>0</x:v>
      </x:c>
      <x:c r="V1135" s="6" t="n">
        <x:v>0</x:v>
      </x:c>
      <x:c r="W1135" s="6" t="n">
        <x:v>0</x:v>
      </x:c>
      <x:c r="X1135" s="6" t="n">
        <x:v>1</x:v>
      </x:c>
      <x:c r="Y1135" s="6" t="n">
        <x:v>0</x:v>
      </x:c>
      <x:c r="Z1135" s="6" t="n">
        <x:v>0</x:v>
      </x:c>
      <x:c r="AA1135" s="6" t="n">
        <x:v>3</x:v>
      </x:c>
      <x:c r="AB1135" s="6" t="n">
        <x:v>11</x:v>
      </x:c>
      <x:c r="AC1135" s="6" t="n">
        <x:v>0</x:v>
      </x:c>
    </x:row>
    <x:row r="1136">
      <x:c r="A1136" s="6" t="n">
        <x:v>2894</x:v>
      </x:c>
      <x:c r="B1136" s="6" t="n">
        <x:v>1985</x:v>
      </x:c>
      <x:c r="C1136" s="6" t="str">
        <x:v>Graduation</x:v>
      </x:c>
      <x:c r="D1136" s="6" t="str">
        <x:v>Single</x:v>
      </x:c>
      <x:c r="E1136" s="6" t="n">
        <x:v>72903</x:v>
      </x:c>
      <x:c r="F1136" s="6" t="n">
        <x:v>0</x:v>
      </x:c>
      <x:c r="G1136" s="6" t="n">
        <x:v>0</x:v>
      </x:c>
      <x:c r="H1136" s="9" t="str">
        <x:v>29-10-2013</x:v>
      </x:c>
      <x:c r="I1136" s="6" t="n">
        <x:v>74</x:v>
      </x:c>
      <x:c r="J1136" s="6" t="n">
        <x:v>1067</x:v>
      </x:c>
      <x:c r="K1136" s="6" t="n">
        <x:v>138</x:v>
      </x:c>
      <x:c r="L1136" s="6" t="n">
        <x:v>750</x:v>
      </x:c>
      <x:c r="M1136" s="6" t="n">
        <x:v>0</x:v>
      </x:c>
      <x:c r="N1136" s="6" t="n">
        <x:v>19</x:v>
      </x:c>
      <x:c r="O1136" s="6" t="n">
        <x:v>39</x:v>
      </x:c>
      <x:c r="P1136" s="6" t="n">
        <x:v>1</x:v>
      </x:c>
      <x:c r="Q1136" s="6" t="n">
        <x:v>7</x:v>
      </x:c>
      <x:c r="R1136" s="6" t="n">
        <x:v>5</x:v>
      </x:c>
      <x:c r="S1136" s="6" t="n">
        <x:v>8</x:v>
      </x:c>
      <x:c r="T1136" s="6" t="n">
        <x:v>4</x:v>
      </x:c>
      <x:c r="U1136" s="6" t="n">
        <x:v>0</x:v>
      </x:c>
      <x:c r="V1136" s="6" t="n">
        <x:v>1</x:v>
      </x:c>
      <x:c r="W1136" s="6" t="n">
        <x:v>1</x:v>
      </x:c>
      <x:c r="X1136" s="6" t="n">
        <x:v>1</x:v>
      </x:c>
      <x:c r="Y1136" s="6" t="n">
        <x:v>0</x:v>
      </x:c>
      <x:c r="Z1136" s="6" t="n">
        <x:v>0</x:v>
      </x:c>
      <x:c r="AA1136" s="6" t="n">
        <x:v>3</x:v>
      </x:c>
      <x:c r="AB1136" s="6" t="n">
        <x:v>11</x:v>
      </x:c>
      <x:c r="AC1136" s="6" t="n">
        <x:v>1</x:v>
      </x:c>
    </x:row>
    <x:row r="1137">
      <x:c r="A1137" s="6" t="n">
        <x:v>7613</x:v>
      </x:c>
      <x:c r="B1137" s="6" t="n">
        <x:v>1974</x:v>
      </x:c>
      <x:c r="C1137" s="6" t="str">
        <x:v>2n Cycle</x:v>
      </x:c>
      <x:c r="D1137" s="6" t="str">
        <x:v>Together</x:v>
      </x:c>
      <x:c r="E1137" s="6" t="n">
        <x:v>49669</x:v>
      </x:c>
      <x:c r="F1137" s="6" t="n">
        <x:v>1</x:v>
      </x:c>
      <x:c r="G1137" s="6" t="n">
        <x:v>0</x:v>
      </x:c>
      <x:c r="H1137" s="9" t="str">
        <x:v>24-05-2014</x:v>
      </x:c>
      <x:c r="I1137" s="6" t="n">
        <x:v>97</x:v>
      </x:c>
      <x:c r="J1137" s="6" t="n">
        <x:v>166</x:v>
      </x:c>
      <x:c r="K1137" s="6" t="n">
        <x:v>5</x:v>
      </x:c>
      <x:c r="L1137" s="6" t="n">
        <x:v>107</x:v>
      </x:c>
      <x:c r="M1137" s="6" t="n">
        <x:v>11</x:v>
      </x:c>
      <x:c r="N1137" s="6" t="n">
        <x:v>8</x:v>
      </x:c>
      <x:c r="O1137" s="6" t="n">
        <x:v>29</x:v>
      </x:c>
      <x:c r="P1137" s="6" t="n">
        <x:v>2</x:v>
      </x:c>
      <x:c r="Q1137" s="6" t="n">
        <x:v>5</x:v>
      </x:c>
      <x:c r="R1137" s="6" t="n">
        <x:v>1</x:v>
      </x:c>
      <x:c r="S1137" s="6" t="n">
        <x:v>6</x:v>
      </x:c>
      <x:c r="T1137" s="6" t="n">
        <x:v>6</x:v>
      </x:c>
      <x:c r="U1137" s="6" t="n">
        <x:v>0</x:v>
      </x:c>
      <x:c r="V1137" s="6" t="n">
        <x:v>0</x:v>
      </x:c>
      <x:c r="W1137" s="6" t="n">
        <x:v>0</x:v>
      </x:c>
      <x:c r="X1137" s="6" t="n">
        <x:v>0</x:v>
      </x:c>
      <x:c r="Y1137" s="6" t="n">
        <x:v>0</x:v>
      </x:c>
      <x:c r="Z1137" s="6" t="n">
        <x:v>0</x:v>
      </x:c>
      <x:c r="AA1137" s="6" t="n">
        <x:v>3</x:v>
      </x:c>
      <x:c r="AB1137" s="6" t="n">
        <x:v>11</x:v>
      </x:c>
      <x:c r="AC1137" s="6" t="n">
        <x:v>0</x:v>
      </x:c>
    </x:row>
    <x:row r="1138">
      <x:c r="A1138" s="6" t="n">
        <x:v>10542</x:v>
      </x:c>
      <x:c r="B1138" s="6" t="n">
        <x:v>1968</x:v>
      </x:c>
      <x:c r="C1138" s="6" t="str">
        <x:v>PhD</x:v>
      </x:c>
      <x:c r="D1138" s="6" t="str">
        <x:v>Married</x:v>
      </x:c>
      <x:c r="E1138" s="6" t="n">
        <x:v>36778</x:v>
      </x:c>
      <x:c r="F1138" s="6" t="n">
        <x:v>1</x:v>
      </x:c>
      <x:c r="G1138" s="6" t="n">
        <x:v>1</x:v>
      </x:c>
      <x:c r="H1138" s="9" t="str">
        <x:v>05-08-2012</x:v>
      </x:c>
      <x:c r="I1138" s="6" t="n">
        <x:v>63</x:v>
      </x:c>
      <x:c r="J1138" s="6" t="n">
        <x:v>29</x:v>
      </x:c>
      <x:c r="K1138" s="6" t="n">
        <x:v>4</x:v>
      </x:c>
      <x:c r="L1138" s="6" t="n">
        <x:v>34</x:v>
      </x:c>
      <x:c r="M1138" s="6" t="n">
        <x:v>2</x:v>
      </x:c>
      <x:c r="N1138" s="6" t="n">
        <x:v>4</x:v>
      </x:c>
      <x:c r="O1138" s="6" t="n">
        <x:v>4</x:v>
      </x:c>
      <x:c r="P1138" s="6" t="n">
        <x:v>3</x:v>
      </x:c>
      <x:c r="Q1138" s="6" t="n">
        <x:v>3</x:v>
      </x:c>
      <x:c r="R1138" s="6" t="n">
        <x:v>0</x:v>
      </x:c>
      <x:c r="S1138" s="6" t="n">
        <x:v>3</x:v>
      </x:c>
      <x:c r="T1138" s="6" t="n">
        <x:v>9</x:v>
      </x:c>
      <x:c r="U1138" s="6" t="n">
        <x:v>0</x:v>
      </x:c>
      <x:c r="V1138" s="6" t="n">
        <x:v>0</x:v>
      </x:c>
      <x:c r="W1138" s="6" t="n">
        <x:v>0</x:v>
      </x:c>
      <x:c r="X1138" s="6" t="n">
        <x:v>0</x:v>
      </x:c>
      <x:c r="Y1138" s="6" t="n">
        <x:v>0</x:v>
      </x:c>
      <x:c r="Z1138" s="6" t="n">
        <x:v>0</x:v>
      </x:c>
      <x:c r="AA1138" s="6" t="n">
        <x:v>3</x:v>
      </x:c>
      <x:c r="AB1138" s="6" t="n">
        <x:v>11</x:v>
      </x:c>
      <x:c r="AC1138" s="6" t="n">
        <x:v>0</x:v>
      </x:c>
    </x:row>
    <x:row r="1139">
      <x:c r="A1139" s="6" t="n">
        <x:v>8015</x:v>
      </x:c>
      <x:c r="B1139" s="6" t="n">
        <x:v>1962</x:v>
      </x:c>
      <x:c r="C1139" s="6" t="str">
        <x:v>PhD</x:v>
      </x:c>
      <x:c r="D1139" s="6" t="str">
        <x:v>Divorced</x:v>
      </x:c>
      <x:c r="E1139" s="6" t="n">
        <x:v>85696</x:v>
      </x:c>
      <x:c r="F1139" s="6" t="n">
        <x:v>0</x:v>
      </x:c>
      <x:c r="G1139" s="6" t="n">
        <x:v>0</x:v>
      </x:c>
      <x:c r="H1139" s="9" t="str">
        <x:v>03-05-2013</x:v>
      </x:c>
      <x:c r="I1139" s="6" t="n">
        <x:v>88</x:v>
      </x:c>
      <x:c r="J1139" s="6" t="n">
        <x:v>714</x:v>
      </x:c>
      <x:c r="K1139" s="6" t="n">
        <x:v>76</x:v>
      </x:c>
      <x:c r="L1139" s="6" t="n">
        <x:v>395</x:v>
      </x:c>
      <x:c r="M1139" s="6" t="n">
        <x:v>116</x:v>
      </x:c>
      <x:c r="N1139" s="6" t="n">
        <x:v>0</x:v>
      </x:c>
      <x:c r="O1139" s="6" t="n">
        <x:v>12</x:v>
      </x:c>
      <x:c r="P1139" s="6" t="n">
        <x:v>1</x:v>
      </x:c>
      <x:c r="Q1139" s="6" t="n">
        <x:v>4</x:v>
      </x:c>
      <x:c r="R1139" s="6" t="n">
        <x:v>6</x:v>
      </x:c>
      <x:c r="S1139" s="6" t="n">
        <x:v>9</x:v>
      </x:c>
      <x:c r="T1139" s="6" t="n">
        <x:v>1</x:v>
      </x:c>
      <x:c r="U1139" s="6" t="n">
        <x:v>0</x:v>
      </x:c>
      <x:c r="V1139" s="6" t="n">
        <x:v>0</x:v>
      </x:c>
      <x:c r="W1139" s="6" t="n">
        <x:v>0</x:v>
      </x:c>
      <x:c r="X1139" s="6" t="n">
        <x:v>0</x:v>
      </x:c>
      <x:c r="Y1139" s="6" t="n">
        <x:v>0</x:v>
      </x:c>
      <x:c r="Z1139" s="6" t="n">
        <x:v>0</x:v>
      </x:c>
      <x:c r="AA1139" s="6" t="n">
        <x:v>3</x:v>
      </x:c>
      <x:c r="AB1139" s="6" t="n">
        <x:v>11</x:v>
      </x:c>
      <x:c r="AC1139" s="6" t="n">
        <x:v>1</x:v>
      </x:c>
    </x:row>
    <x:row r="1140">
      <x:c r="A1140" s="6" t="n">
        <x:v>10617</x:v>
      </x:c>
      <x:c r="B1140" s="6" t="n">
        <x:v>1989</x:v>
      </x:c>
      <x:c r="C1140" s="6" t="str">
        <x:v>Master</x:v>
      </x:c>
      <x:c r="D1140" s="6" t="str">
        <x:v>Divorced</x:v>
      </x:c>
      <x:c r="E1140" s="6" t="n">
        <x:v>10979</x:v>
      </x:c>
      <x:c r="F1140" s="6" t="n">
        <x:v>0</x:v>
      </x:c>
      <x:c r="G1140" s="6" t="n">
        <x:v>0</x:v>
      </x:c>
      <x:c r="H1140" s="9" t="str">
        <x:v>22-05-2014</x:v>
      </x:c>
      <x:c r="I1140" s="6" t="n">
        <x:v>34</x:v>
      </x:c>
      <x:c r="J1140" s="6" t="n">
        <x:v>8</x:v>
      </x:c>
      <x:c r="K1140" s="6" t="n">
        <x:v>4</x:v>
      </x:c>
      <x:c r="L1140" s="6" t="n">
        <x:v>10</x:v>
      </x:c>
      <x:c r="M1140" s="6" t="n">
        <x:v>2</x:v>
      </x:c>
      <x:c r="N1140" s="6" t="n">
        <x:v>2</x:v>
      </x:c>
      <x:c r="O1140" s="6" t="n">
        <x:v>4</x:v>
      </x:c>
      <x:c r="P1140" s="6" t="n">
        <x:v>2</x:v>
      </x:c>
      <x:c r="Q1140" s="6" t="n">
        <x:v>3</x:v>
      </x:c>
      <x:c r="R1140" s="6" t="n">
        <x:v>0</x:v>
      </x:c>
      <x:c r="S1140" s="6" t="n">
        <x:v>3</x:v>
      </x:c>
      <x:c r="T1140" s="6" t="n">
        <x:v>5</x:v>
      </x:c>
      <x:c r="U1140" s="6" t="n">
        <x:v>0</x:v>
      </x:c>
      <x:c r="V1140" s="6" t="n">
        <x:v>0</x:v>
      </x:c>
      <x:c r="W1140" s="6" t="n">
        <x:v>0</x:v>
      </x:c>
      <x:c r="X1140" s="6" t="n">
        <x:v>0</x:v>
      </x:c>
      <x:c r="Y1140" s="6" t="n">
        <x:v>0</x:v>
      </x:c>
      <x:c r="Z1140" s="6" t="n">
        <x:v>0</x:v>
      </x:c>
      <x:c r="AA1140" s="6" t="n">
        <x:v>3</x:v>
      </x:c>
      <x:c r="AB1140" s="6" t="n">
        <x:v>11</x:v>
      </x:c>
      <x:c r="AC1140" s="6" t="n">
        <x:v>0</x:v>
      </x:c>
    </x:row>
    <x:row r="1141">
      <x:c r="A1141" s="6" t="n">
        <x:v>11166</x:v>
      </x:c>
      <x:c r="B1141" s="6" t="n">
        <x:v>1961</x:v>
      </x:c>
      <x:c r="C1141" s="6" t="str">
        <x:v>Graduation</x:v>
      </x:c>
      <x:c r="D1141" s="6" t="str">
        <x:v>Married</x:v>
      </x:c>
      <x:c r="E1141" s="6" t="n">
        <x:v>49678</x:v>
      </x:c>
      <x:c r="F1141" s="6" t="n">
        <x:v>0</x:v>
      </x:c>
      <x:c r="G1141" s="6" t="n">
        <x:v>1</x:v>
      </x:c>
      <x:c r="H1141" s="9" t="str">
        <x:v>02-02-2013</x:v>
      </x:c>
      <x:c r="I1141" s="6" t="n">
        <x:v>81</x:v>
      </x:c>
      <x:c r="J1141" s="6" t="n">
        <x:v>229</x:v>
      </x:c>
      <x:c r="K1141" s="6" t="n">
        <x:v>5</x:v>
      </x:c>
      <x:c r="L1141" s="6" t="n">
        <x:v>56</x:v>
      </x:c>
      <x:c r="M1141" s="6" t="n">
        <x:v>3</x:v>
      </x:c>
      <x:c r="N1141" s="6" t="n">
        <x:v>2</x:v>
      </x:c>
      <x:c r="O1141" s="6" t="n">
        <x:v>20</x:v>
      </x:c>
      <x:c r="P1141" s="6" t="n">
        <x:v>2</x:v>
      </x:c>
      <x:c r="Q1141" s="6" t="n">
        <x:v>6</x:v>
      </x:c>
      <x:c r="R1141" s="6" t="n">
        <x:v>2</x:v>
      </x:c>
      <x:c r="S1141" s="6" t="n">
        <x:v>4</x:v>
      </x:c>
      <x:c r="T1141" s="6" t="n">
        <x:v>7</x:v>
      </x:c>
      <x:c r="U1141" s="6" t="n">
        <x:v>0</x:v>
      </x:c>
      <x:c r="V1141" s="6" t="n">
        <x:v>0</x:v>
      </x:c>
      <x:c r="W1141" s="6" t="n">
        <x:v>0</x:v>
      </x:c>
      <x:c r="X1141" s="6" t="n">
        <x:v>0</x:v>
      </x:c>
      <x:c r="Y1141" s="6" t="n">
        <x:v>0</x:v>
      </x:c>
      <x:c r="Z1141" s="6" t="n">
        <x:v>0</x:v>
      </x:c>
      <x:c r="AA1141" s="6" t="n">
        <x:v>3</x:v>
      </x:c>
      <x:c r="AB1141" s="6" t="n">
        <x:v>11</x:v>
      </x:c>
      <x:c r="AC1141" s="6" t="n">
        <x:v>0</x:v>
      </x:c>
    </x:row>
    <x:row r="1142">
      <x:c r="A1142" s="6" t="n">
        <x:v>849</x:v>
      </x:c>
      <x:c r="B1142" s="6" t="n">
        <x:v>1953</x:v>
      </x:c>
      <x:c r="C1142" s="6" t="str">
        <x:v>Master</x:v>
      </x:c>
      <x:c r="D1142" s="6" t="str">
        <x:v>Together</x:v>
      </x:c>
      <x:c r="E1142" s="6" t="n">
        <x:v>56129</x:v>
      </x:c>
      <x:c r="F1142" s="6" t="n">
        <x:v>0</x:v>
      </x:c>
      <x:c r="G1142" s="6" t="n">
        <x:v>1</x:v>
      </x:c>
      <x:c r="H1142" s="9" t="str">
        <x:v>20-06-2013</x:v>
      </x:c>
      <x:c r="I1142" s="6" t="n">
        <x:v>65</x:v>
      </x:c>
      <x:c r="J1142" s="6" t="n">
        <x:v>320</x:v>
      </x:c>
      <x:c r="K1142" s="6" t="n">
        <x:v>48</x:v>
      </x:c>
      <x:c r="L1142" s="6" t="n">
        <x:v>133</x:v>
      </x:c>
      <x:c r="M1142" s="6" t="n">
        <x:v>39</x:v>
      </x:c>
      <x:c r="N1142" s="6" t="n">
        <x:v>72</x:v>
      </x:c>
      <x:c r="O1142" s="6" t="n">
        <x:v>48</x:v>
      </x:c>
      <x:c r="P1142" s="6" t="n">
        <x:v>4</x:v>
      </x:c>
      <x:c r="Q1142" s="6" t="n">
        <x:v>6</x:v>
      </x:c>
      <x:c r="R1142" s="6" t="n">
        <x:v>2</x:v>
      </x:c>
      <x:c r="S1142" s="6" t="n">
        <x:v>10</x:v>
      </x:c>
      <x:c r="T1142" s="6" t="n">
        <x:v>4</x:v>
      </x:c>
      <x:c r="U1142" s="6" t="n">
        <x:v>0</x:v>
      </x:c>
      <x:c r="V1142" s="6" t="n">
        <x:v>0</x:v>
      </x:c>
      <x:c r="W1142" s="6" t="n">
        <x:v>0</x:v>
      </x:c>
      <x:c r="X1142" s="6" t="n">
        <x:v>0</x:v>
      </x:c>
      <x:c r="Y1142" s="6" t="n">
        <x:v>0</x:v>
      </x:c>
      <x:c r="Z1142" s="6" t="n">
        <x:v>0</x:v>
      </x:c>
      <x:c r="AA1142" s="6" t="n">
        <x:v>3</x:v>
      </x:c>
      <x:c r="AB1142" s="6" t="n">
        <x:v>11</x:v>
      </x:c>
      <x:c r="AC1142" s="6" t="n">
        <x:v>0</x:v>
      </x:c>
    </x:row>
    <x:row r="1143">
      <x:c r="A1143" s="6" t="n">
        <x:v>523</x:v>
      </x:c>
      <x:c r="B1143" s="6" t="n">
        <x:v>1989</x:v>
      </x:c>
      <x:c r="C1143" s="6" t="str">
        <x:v>Graduation</x:v>
      </x:c>
      <x:c r="D1143" s="6" t="str">
        <x:v>Married</x:v>
      </x:c>
      <x:c r="E1143" s="6" t="n">
        <x:v>37155</x:v>
      </x:c>
      <x:c r="F1143" s="6" t="n">
        <x:v>1</x:v>
      </x:c>
      <x:c r="G1143" s="6" t="n">
        <x:v>0</x:v>
      </x:c>
      <x:c r="H1143" s="9" t="str">
        <x:v>31-01-2013</x:v>
      </x:c>
      <x:c r="I1143" s="6" t="n">
        <x:v>51</x:v>
      </x:c>
      <x:c r="J1143" s="6" t="n">
        <x:v>23</x:v>
      </x:c>
      <x:c r="K1143" s="6" t="n">
        <x:v>0</x:v>
      </x:c>
      <x:c r="L1143" s="6" t="n">
        <x:v>26</x:v>
      </x:c>
      <x:c r="M1143" s="6" t="n">
        <x:v>7</x:v>
      </x:c>
      <x:c r="N1143" s="6" t="n">
        <x:v>15</x:v>
      </x:c>
      <x:c r="O1143" s="6" t="n">
        <x:v>3</x:v>
      </x:c>
      <x:c r="P1143" s="6" t="n">
        <x:v>1</x:v>
      </x:c>
      <x:c r="Q1143" s="6" t="n">
        <x:v>2</x:v>
      </x:c>
      <x:c r="R1143" s="6" t="n">
        <x:v>0</x:v>
      </x:c>
      <x:c r="S1143" s="6" t="n">
        <x:v>4</x:v>
      </x:c>
      <x:c r="T1143" s="6" t="n">
        <x:v>5</x:v>
      </x:c>
      <x:c r="U1143" s="6" t="n">
        <x:v>0</x:v>
      </x:c>
      <x:c r="V1143" s="6" t="n">
        <x:v>0</x:v>
      </x:c>
      <x:c r="W1143" s="6" t="n">
        <x:v>0</x:v>
      </x:c>
      <x:c r="X1143" s="6" t="n">
        <x:v>0</x:v>
      </x:c>
      <x:c r="Y1143" s="6" t="n">
        <x:v>0</x:v>
      </x:c>
      <x:c r="Z1143" s="6" t="n">
        <x:v>0</x:v>
      </x:c>
      <x:c r="AA1143" s="6" t="n">
        <x:v>3</x:v>
      </x:c>
      <x:c r="AB1143" s="6" t="n">
        <x:v>11</x:v>
      </x:c>
      <x:c r="AC1143" s="6" t="n">
        <x:v>0</x:v>
      </x:c>
    </x:row>
    <x:row r="1144">
      <x:c r="A1144" s="6" t="n">
        <x:v>4066</x:v>
      </x:c>
      <x:c r="B1144" s="6" t="n">
        <x:v>1978</x:v>
      </x:c>
      <x:c r="C1144" s="6" t="str">
        <x:v>2n Cycle</x:v>
      </x:c>
      <x:c r="D1144" s="6" t="str">
        <x:v>Divorced</x:v>
      </x:c>
      <x:c r="E1144" s="6" t="n">
        <x:v>21282</x:v>
      </x:c>
      <x:c r="F1144" s="6" t="n">
        <x:v>1</x:v>
      </x:c>
      <x:c r="G1144" s="6" t="n">
        <x:v>0</x:v>
      </x:c>
      <x:c r="H1144" s="9" t="str">
        <x:v>11-05-2014</x:v>
      </x:c>
      <x:c r="I1144" s="6" t="n">
        <x:v>76</x:v>
      </x:c>
      <x:c r="J1144" s="6" t="n">
        <x:v>1</x:v>
      </x:c>
      <x:c r="K1144" s="6" t="n">
        <x:v>5</x:v>
      </x:c>
      <x:c r="L1144" s="6" t="n">
        <x:v>8</x:v>
      </x:c>
      <x:c r="M1144" s="6" t="n">
        <x:v>4</x:v>
      </x:c>
      <x:c r="N1144" s="6" t="n">
        <x:v>8</x:v>
      </x:c>
      <x:c r="O1144" s="6" t="n">
        <x:v>20</x:v>
      </x:c>
      <x:c r="P1144" s="6" t="n">
        <x:v>2</x:v>
      </x:c>
      <x:c r="Q1144" s="6" t="n">
        <x:v>2</x:v>
      </x:c>
      <x:c r="R1144" s="6" t="n">
        <x:v>1</x:v>
      </x:c>
      <x:c r="S1144" s="6" t="n">
        <x:v>2</x:v>
      </x:c>
      <x:c r="T1144" s="6" t="n">
        <x:v>6</x:v>
      </x:c>
      <x:c r="U1144" s="6" t="n">
        <x:v>0</x:v>
      </x:c>
      <x:c r="V1144" s="6" t="n">
        <x:v>0</x:v>
      </x:c>
      <x:c r="W1144" s="6" t="n">
        <x:v>0</x:v>
      </x:c>
      <x:c r="X1144" s="6" t="n">
        <x:v>0</x:v>
      </x:c>
      <x:c r="Y1144" s="6" t="n">
        <x:v>0</x:v>
      </x:c>
      <x:c r="Z1144" s="6" t="n">
        <x:v>0</x:v>
      </x:c>
      <x:c r="AA1144" s="6" t="n">
        <x:v>3</x:v>
      </x:c>
      <x:c r="AB1144" s="6" t="n">
        <x:v>11</x:v>
      </x:c>
      <x:c r="AC1144" s="6" t="n">
        <x:v>0</x:v>
      </x:c>
    </x:row>
    <x:row r="1145">
      <x:c r="A1145" s="6" t="n">
        <x:v>8414</x:v>
      </x:c>
      <x:c r="B1145" s="6" t="n">
        <x:v>1962</x:v>
      </x:c>
      <x:c r="C1145" s="6" t="str">
        <x:v>PhD</x:v>
      </x:c>
      <x:c r="D1145" s="6" t="str">
        <x:v>Single</x:v>
      </x:c>
      <x:c r="E1145" s="6" t="n">
        <x:v>33419</x:v>
      </x:c>
      <x:c r="F1145" s="6" t="n">
        <x:v>0</x:v>
      </x:c>
      <x:c r="G1145" s="6" t="n">
        <x:v>1</x:v>
      </x:c>
      <x:c r="H1145" s="9" t="str">
        <x:v>17-08-2013</x:v>
      </x:c>
      <x:c r="I1145" s="6" t="n">
        <x:v>76</x:v>
      </x:c>
      <x:c r="J1145" s="6" t="n">
        <x:v>56</x:v>
      </x:c>
      <x:c r="K1145" s="6" t="n">
        <x:v>0</x:v>
      </x:c>
      <x:c r="L1145" s="6" t="n">
        <x:v>12</x:v>
      </x:c>
      <x:c r="M1145" s="6" t="n">
        <x:v>0</x:v>
      </x:c>
      <x:c r="N1145" s="6" t="n">
        <x:v>0</x:v>
      </x:c>
      <x:c r="O1145" s="6" t="n">
        <x:v>18</x:v>
      </x:c>
      <x:c r="P1145" s="6" t="n">
        <x:v>2</x:v>
      </x:c>
      <x:c r="Q1145" s="6" t="n">
        <x:v>2</x:v>
      </x:c>
      <x:c r="R1145" s="6" t="n">
        <x:v>0</x:v>
      </x:c>
      <x:c r="S1145" s="6" t="n">
        <x:v>4</x:v>
      </x:c>
      <x:c r="T1145" s="6" t="n">
        <x:v>7</x:v>
      </x:c>
      <x:c r="U1145" s="6" t="n">
        <x:v>0</x:v>
      </x:c>
      <x:c r="V1145" s="6" t="n">
        <x:v>0</x:v>
      </x:c>
      <x:c r="W1145" s="6" t="n">
        <x:v>0</x:v>
      </x:c>
      <x:c r="X1145" s="6" t="n">
        <x:v>0</x:v>
      </x:c>
      <x:c r="Y1145" s="6" t="n">
        <x:v>0</x:v>
      </x:c>
      <x:c r="Z1145" s="6" t="n">
        <x:v>0</x:v>
      </x:c>
      <x:c r="AA1145" s="6" t="n">
        <x:v>3</x:v>
      </x:c>
      <x:c r="AB1145" s="6" t="n">
        <x:v>11</x:v>
      </x:c>
      <x:c r="AC1145" s="6" t="n">
        <x:v>0</x:v>
      </x:c>
    </x:row>
    <x:row r="1146">
      <x:c r="A1146" s="6" t="n">
        <x:v>819</x:v>
      </x:c>
      <x:c r="B1146" s="6" t="n">
        <x:v>1945</x:v>
      </x:c>
      <x:c r="C1146" s="6" t="str">
        <x:v>Graduation</x:v>
      </x:c>
      <x:c r="D1146" s="6" t="str">
        <x:v>Widow</x:v>
      </x:c>
      <x:c r="E1146" s="6" t="n">
        <x:v>63285</x:v>
      </x:c>
      <x:c r="F1146" s="6" t="n">
        <x:v>0</x:v>
      </x:c>
      <x:c r="G1146" s="6" t="n">
        <x:v>0</x:v>
      </x:c>
      <x:c r="H1146" s="9" t="str">
        <x:v>05-11-2013</x:v>
      </x:c>
      <x:c r="I1146" s="6" t="n">
        <x:v>84</x:v>
      </x:c>
      <x:c r="J1146" s="6" t="n">
        <x:v>508</x:v>
      </x:c>
      <x:c r="K1146" s="6" t="n">
        <x:v>124</x:v>
      </x:c>
      <x:c r="L1146" s="6" t="n">
        <x:v>249</x:v>
      </x:c>
      <x:c r="M1146" s="6" t="n">
        <x:v>50</x:v>
      </x:c>
      <x:c r="N1146" s="6" t="n">
        <x:v>38</x:v>
      </x:c>
      <x:c r="O1146" s="6" t="n">
        <x:v>134</x:v>
      </x:c>
      <x:c r="P1146" s="6" t="n">
        <x:v>1</x:v>
      </x:c>
      <x:c r="Q1146" s="6" t="n">
        <x:v>6</x:v>
      </x:c>
      <x:c r="R1146" s="6" t="n">
        <x:v>5</x:v>
      </x:c>
      <x:c r="S1146" s="6" t="n">
        <x:v>13</x:v>
      </x:c>
      <x:c r="T1146" s="6" t="n">
        <x:v>3</x:v>
      </x:c>
      <x:c r="U1146" s="6" t="n">
        <x:v>0</x:v>
      </x:c>
      <x:c r="V1146" s="6" t="n">
        <x:v>0</x:v>
      </x:c>
      <x:c r="W1146" s="6" t="n">
        <x:v>0</x:v>
      </x:c>
      <x:c r="X1146" s="6" t="n">
        <x:v>0</x:v>
      </x:c>
      <x:c r="Y1146" s="6" t="n">
        <x:v>0</x:v>
      </x:c>
      <x:c r="Z1146" s="6" t="n">
        <x:v>0</x:v>
      </x:c>
      <x:c r="AA1146" s="6" t="n">
        <x:v>3</x:v>
      </x:c>
      <x:c r="AB1146" s="6" t="n">
        <x:v>11</x:v>
      </x:c>
      <x:c r="AC1146" s="6" t="n">
        <x:v>0</x:v>
      </x:c>
    </x:row>
    <x:row r="1147">
      <x:c r="A1147" s="6" t="n">
        <x:v>4961</x:v>
      </x:c>
      <x:c r="B1147" s="6" t="n">
        <x:v>1974</x:v>
      </x:c>
      <x:c r="C1147" s="6" t="str">
        <x:v>Master</x:v>
      </x:c>
      <x:c r="D1147" s="6" t="str">
        <x:v>Together</x:v>
      </x:c>
      <x:c r="E1147" s="6" t="n">
        <x:v>21255</x:v>
      </x:c>
      <x:c r="F1147" s="6" t="n">
        <x:v>1</x:v>
      </x:c>
      <x:c r="G1147" s="6" t="n">
        <x:v>0</x:v>
      </x:c>
      <x:c r="H1147" s="9" t="str">
        <x:v>21-01-2014</x:v>
      </x:c>
      <x:c r="I1147" s="6" t="n">
        <x:v>56</x:v>
      </x:c>
      <x:c r="J1147" s="6" t="n">
        <x:v>29</x:v>
      </x:c>
      <x:c r="K1147" s="6" t="n">
        <x:v>0</x:v>
      </x:c>
      <x:c r="L1147" s="6" t="n">
        <x:v>25</x:v>
      </x:c>
      <x:c r="M1147" s="6" t="n">
        <x:v>2</x:v>
      </x:c>
      <x:c r="N1147" s="6" t="n">
        <x:v>2</x:v>
      </x:c>
      <x:c r="O1147" s="6" t="n">
        <x:v>3</x:v>
      </x:c>
      <x:c r="P1147" s="6" t="n">
        <x:v>4</x:v>
      </x:c>
      <x:c r="Q1147" s="6" t="n">
        <x:v>2</x:v>
      </x:c>
      <x:c r="R1147" s="6" t="n">
        <x:v>1</x:v>
      </x:c>
      <x:c r="S1147" s="6" t="n">
        <x:v>4</x:v>
      </x:c>
      <x:c r="T1147" s="6" t="n">
        <x:v>4</x:v>
      </x:c>
      <x:c r="U1147" s="6" t="n">
        <x:v>0</x:v>
      </x:c>
      <x:c r="V1147" s="6" t="n">
        <x:v>0</x:v>
      </x:c>
      <x:c r="W1147" s="6" t="n">
        <x:v>0</x:v>
      </x:c>
      <x:c r="X1147" s="6" t="n">
        <x:v>0</x:v>
      </x:c>
      <x:c r="Y1147" s="6" t="n">
        <x:v>0</x:v>
      </x:c>
      <x:c r="Z1147" s="6" t="n">
        <x:v>0</x:v>
      </x:c>
      <x:c r="AA1147" s="6" t="n">
        <x:v>3</x:v>
      </x:c>
      <x:c r="AB1147" s="6" t="n">
        <x:v>11</x:v>
      </x:c>
      <x:c r="AC1147" s="6" t="n">
        <x:v>0</x:v>
      </x:c>
    </x:row>
    <x:row r="1148">
      <x:c r="A1148" s="6" t="n">
        <x:v>749</x:v>
      </x:c>
      <x:c r="B1148" s="6" t="n">
        <x:v>1981</x:v>
      </x:c>
      <x:c r="C1148" s="6" t="str">
        <x:v>Graduation</x:v>
      </x:c>
      <x:c r="D1148" s="6" t="str">
        <x:v>Together</x:v>
      </x:c>
      <x:c r="E1148" s="6" t="n">
        <x:v>42162</x:v>
      </x:c>
      <x:c r="F1148" s="6" t="n">
        <x:v>1</x:v>
      </x:c>
      <x:c r="G1148" s="6" t="n">
        <x:v>0</x:v>
      </x:c>
      <x:c r="H1148" s="9" t="str">
        <x:v>19-11-2013</x:v>
      </x:c>
      <x:c r="I1148" s="6" t="n">
        <x:v>31</x:v>
      </x:c>
      <x:c r="J1148" s="6" t="n">
        <x:v>46</x:v>
      </x:c>
      <x:c r="K1148" s="6" t="n">
        <x:v>7</x:v>
      </x:c>
      <x:c r="L1148" s="6" t="n">
        <x:v>59</x:v>
      </x:c>
      <x:c r="M1148" s="6" t="n">
        <x:v>2</x:v>
      </x:c>
      <x:c r="N1148" s="6" t="n">
        <x:v>4</x:v>
      </x:c>
      <x:c r="O1148" s="6" t="n">
        <x:v>27</x:v>
      </x:c>
      <x:c r="P1148" s="6" t="n">
        <x:v>2</x:v>
      </x:c>
      <x:c r="Q1148" s="6" t="n">
        <x:v>3</x:v>
      </x:c>
      <x:c r="R1148" s="6" t="n">
        <x:v>1</x:v>
      </x:c>
      <x:c r="S1148" s="6" t="n">
        <x:v>3</x:v>
      </x:c>
      <x:c r="T1148" s="6" t="n">
        <x:v>6</x:v>
      </x:c>
      <x:c r="U1148" s="6" t="n">
        <x:v>1</x:v>
      </x:c>
      <x:c r="V1148" s="6" t="n">
        <x:v>0</x:v>
      </x:c>
      <x:c r="W1148" s="6" t="n">
        <x:v>0</x:v>
      </x:c>
      <x:c r="X1148" s="6" t="n">
        <x:v>0</x:v>
      </x:c>
      <x:c r="Y1148" s="6" t="n">
        <x:v>0</x:v>
      </x:c>
      <x:c r="Z1148" s="6" t="n">
        <x:v>0</x:v>
      </x:c>
      <x:c r="AA1148" s="6" t="n">
        <x:v>3</x:v>
      </x:c>
      <x:c r="AB1148" s="6" t="n">
        <x:v>11</x:v>
      </x:c>
      <x:c r="AC1148" s="6" t="n">
        <x:v>1</x:v>
      </x:c>
    </x:row>
    <x:row r="1149">
      <x:c r="A1149" s="6" t="n">
        <x:v>5430</x:v>
      </x:c>
      <x:c r="B1149" s="6" t="n">
        <x:v>1956</x:v>
      </x:c>
      <x:c r="C1149" s="6" t="str">
        <x:v>Graduation</x:v>
      </x:c>
      <x:c r="D1149" s="6" t="str">
        <x:v>Together</x:v>
      </x:c>
      <x:c r="E1149" s="6" t="n">
        <x:v>54450</x:v>
      </x:c>
      <x:c r="F1149" s="6" t="n">
        <x:v>1</x:v>
      </x:c>
      <x:c r="G1149" s="6" t="n">
        <x:v>1</x:v>
      </x:c>
      <x:c r="H1149" s="9" t="str">
        <x:v>14-09-2012</x:v>
      </x:c>
      <x:c r="I1149" s="6" t="n">
        <x:v>0</x:v>
      </x:c>
      <x:c r="J1149" s="6" t="n">
        <x:v>454</x:v>
      </x:c>
      <x:c r="K1149" s="6" t="n">
        <x:v>0</x:v>
      </x:c>
      <x:c r="L1149" s="6" t="n">
        <x:v>171</x:v>
      </x:c>
      <x:c r="M1149" s="6" t="n">
        <x:v>8</x:v>
      </x:c>
      <x:c r="N1149" s="6" t="n">
        <x:v>19</x:v>
      </x:c>
      <x:c r="O1149" s="6" t="n">
        <x:v>32</x:v>
      </x:c>
      <x:c r="P1149" s="6" t="n">
        <x:v>12</x:v>
      </x:c>
      <x:c r="Q1149" s="6" t="n">
        <x:v>9</x:v>
      </x:c>
      <x:c r="R1149" s="6" t="n">
        <x:v>2</x:v>
      </x:c>
      <x:c r="S1149" s="6" t="n">
        <x:v>8</x:v>
      </x:c>
      <x:c r="T1149" s="6" t="n">
        <x:v>8</x:v>
      </x:c>
      <x:c r="U1149" s="6" t="n">
        <x:v>0</x:v>
      </x:c>
      <x:c r="V1149" s="6" t="n">
        <x:v>0</x:v>
      </x:c>
      <x:c r="W1149" s="6" t="n">
        <x:v>0</x:v>
      </x:c>
      <x:c r="X1149" s="6" t="n">
        <x:v>0</x:v>
      </x:c>
      <x:c r="Y1149" s="6" t="n">
        <x:v>0</x:v>
      </x:c>
      <x:c r="Z1149" s="6" t="n">
        <x:v>0</x:v>
      </x:c>
      <x:c r="AA1149" s="6" t="n">
        <x:v>3</x:v>
      </x:c>
      <x:c r="AB1149" s="6" t="n">
        <x:v>11</x:v>
      </x:c>
      <x:c r="AC1149" s="6" t="n">
        <x:v>0</x:v>
      </x:c>
    </x:row>
    <x:row r="1150">
      <x:c r="A1150" s="6" t="n">
        <x:v>7755</x:v>
      </x:c>
      <x:c r="B1150" s="6" t="n">
        <x:v>1954</x:v>
      </x:c>
      <x:c r="C1150" s="6" t="str">
        <x:v>PhD</x:v>
      </x:c>
      <x:c r="D1150" s="6" t="str">
        <x:v>Married</x:v>
      </x:c>
      <x:c r="E1150" s="6" t="n">
        <x:v>57744</x:v>
      </x:c>
      <x:c r="F1150" s="6" t="n">
        <x:v>0</x:v>
      </x:c>
      <x:c r="G1150" s="6" t="n">
        <x:v>1</x:v>
      </x:c>
      <x:c r="H1150" s="9" t="str">
        <x:v>12-11-2013</x:v>
      </x:c>
      <x:c r="I1150" s="6" t="n">
        <x:v>91</x:v>
      </x:c>
      <x:c r="J1150" s="6" t="n">
        <x:v>350</x:v>
      </x:c>
      <x:c r="K1150" s="6" t="n">
        <x:v>3</x:v>
      </x:c>
      <x:c r="L1150" s="6" t="n">
        <x:v>39</x:v>
      </x:c>
      <x:c r="M1150" s="6" t="n">
        <x:v>0</x:v>
      </x:c>
      <x:c r="N1150" s="6" t="n">
        <x:v>0</x:v>
      </x:c>
      <x:c r="O1150" s="6" t="n">
        <x:v>19</x:v>
      </x:c>
      <x:c r="P1150" s="6" t="n">
        <x:v>2</x:v>
      </x:c>
      <x:c r="Q1150" s="6" t="n">
        <x:v>9</x:v>
      </x:c>
      <x:c r="R1150" s="6" t="n">
        <x:v>1</x:v>
      </x:c>
      <x:c r="S1150" s="6" t="n">
        <x:v>4</x:v>
      </x:c>
      <x:c r="T1150" s="6" t="n">
        <x:v>8</x:v>
      </x:c>
      <x:c r="U1150" s="6" t="n">
        <x:v>0</x:v>
      </x:c>
      <x:c r="V1150" s="6" t="n">
        <x:v>0</x:v>
      </x:c>
      <x:c r="W1150" s="6" t="n">
        <x:v>0</x:v>
      </x:c>
      <x:c r="X1150" s="6" t="n">
        <x:v>0</x:v>
      </x:c>
      <x:c r="Y1150" s="6" t="n">
        <x:v>0</x:v>
      </x:c>
      <x:c r="Z1150" s="6" t="n">
        <x:v>0</x:v>
      </x:c>
      <x:c r="AA1150" s="6" t="n">
        <x:v>3</x:v>
      </x:c>
      <x:c r="AB1150" s="6" t="n">
        <x:v>11</x:v>
      </x:c>
      <x:c r="AC1150" s="6" t="n">
        <x:v>0</x:v>
      </x:c>
    </x:row>
    <x:row r="1151">
      <x:c r="A1151" s="6" t="n">
        <x:v>10525</x:v>
      </x:c>
      <x:c r="B1151" s="6" t="n">
        <x:v>1986</x:v>
      </x:c>
      <x:c r="C1151" s="6" t="str">
        <x:v>Graduation</x:v>
      </x:c>
      <x:c r="D1151" s="6" t="str">
        <x:v>Single</x:v>
      </x:c>
      <x:c r="E1151" s="6" t="n">
        <x:v>26576</x:v>
      </x:c>
      <x:c r="F1151" s="6" t="n">
        <x:v>1</x:v>
      </x:c>
      <x:c r="G1151" s="6" t="n">
        <x:v>0</x:v>
      </x:c>
      <x:c r="H1151" s="9" t="str">
        <x:v>13-10-2012</x:v>
      </x:c>
      <x:c r="I1151" s="6" t="n">
        <x:v>40</x:v>
      </x:c>
      <x:c r="J1151" s="6" t="n">
        <x:v>10</x:v>
      </x:c>
      <x:c r="K1151" s="6" t="n">
        <x:v>0</x:v>
      </x:c>
      <x:c r="L1151" s="6" t="n">
        <x:v>8</x:v>
      </x:c>
      <x:c r="M1151" s="6" t="n">
        <x:v>0</x:v>
      </x:c>
      <x:c r="N1151" s="6" t="n">
        <x:v>0</x:v>
      </x:c>
      <x:c r="O1151" s="6" t="n">
        <x:v>9</x:v>
      </x:c>
      <x:c r="P1151" s="6" t="n">
        <x:v>1</x:v>
      </x:c>
      <x:c r="Q1151" s="6" t="n">
        <x:v>1</x:v>
      </x:c>
      <x:c r="R1151" s="6" t="n">
        <x:v>0</x:v>
      </x:c>
      <x:c r="S1151" s="6" t="n">
        <x:v>2</x:v>
      </x:c>
      <x:c r="T1151" s="6" t="n">
        <x:v>9</x:v>
      </x:c>
      <x:c r="U1151" s="6" t="n">
        <x:v>1</x:v>
      </x:c>
      <x:c r="V1151" s="6" t="n">
        <x:v>0</x:v>
      </x:c>
      <x:c r="W1151" s="6" t="n">
        <x:v>0</x:v>
      </x:c>
      <x:c r="X1151" s="6" t="n">
        <x:v>0</x:v>
      </x:c>
      <x:c r="Y1151" s="6" t="n">
        <x:v>0</x:v>
      </x:c>
      <x:c r="Z1151" s="6" t="n">
        <x:v>0</x:v>
      </x:c>
      <x:c r="AA1151" s="6" t="n">
        <x:v>3</x:v>
      </x:c>
      <x:c r="AB1151" s="6" t="n">
        <x:v>11</x:v>
      </x:c>
      <x:c r="AC1151" s="6" t="n">
        <x:v>1</x:v>
      </x:c>
    </x:row>
    <x:row r="1152">
      <x:c r="A1152" s="6" t="n">
        <x:v>1453</x:v>
      </x:c>
      <x:c r="B1152" s="6" t="n">
        <x:v>1943</x:v>
      </x:c>
      <x:c r="C1152" s="6" t="str">
        <x:v>PhD</x:v>
      </x:c>
      <x:c r="D1152" s="6" t="str">
        <x:v>Widow</x:v>
      </x:c>
      <x:c r="E1152" s="6" t="n">
        <x:v>57513</x:v>
      </x:c>
      <x:c r="F1152" s="6" t="n">
        <x:v>0</x:v>
      </x:c>
      <x:c r="G1152" s="6" t="n">
        <x:v>0</x:v>
      </x:c>
      <x:c r="H1152" s="9" t="str">
        <x:v>06-07-2013</x:v>
      </x:c>
      <x:c r="I1152" s="6" t="n">
        <x:v>59</x:v>
      </x:c>
      <x:c r="J1152" s="6" t="n">
        <x:v>735</x:v>
      </x:c>
      <x:c r="K1152" s="6" t="n">
        <x:v>40</x:v>
      </x:c>
      <x:c r="L1152" s="6" t="n">
        <x:v>183</x:v>
      </x:c>
      <x:c r="M1152" s="6" t="n">
        <x:v>52</x:v>
      </x:c>
      <x:c r="N1152" s="6" t="n">
        <x:v>20</x:v>
      </x:c>
      <x:c r="O1152" s="6" t="n">
        <x:v>30</x:v>
      </x:c>
      <x:c r="P1152" s="6" t="n">
        <x:v>2</x:v>
      </x:c>
      <x:c r="Q1152" s="6" t="n">
        <x:v>9</x:v>
      </x:c>
      <x:c r="R1152" s="6" t="n">
        <x:v>3</x:v>
      </x:c>
      <x:c r="S1152" s="6" t="n">
        <x:v>13</x:v>
      </x:c>
      <x:c r="T1152" s="6" t="n">
        <x:v>6</x:v>
      </x:c>
      <x:c r="U1152" s="6" t="n">
        <x:v>0</x:v>
      </x:c>
      <x:c r="V1152" s="6" t="n">
        <x:v>0</x:v>
      </x:c>
      <x:c r="W1152" s="6" t="n">
        <x:v>0</x:v>
      </x:c>
      <x:c r="X1152" s="6" t="n">
        <x:v>0</x:v>
      </x:c>
      <x:c r="Y1152" s="6" t="n">
        <x:v>0</x:v>
      </x:c>
      <x:c r="Z1152" s="6" t="n">
        <x:v>0</x:v>
      </x:c>
      <x:c r="AA1152" s="6" t="n">
        <x:v>3</x:v>
      </x:c>
      <x:c r="AB1152" s="6" t="n">
        <x:v>11</x:v>
      </x:c>
      <x:c r="AC1152" s="6" t="n">
        <x:v>0</x:v>
      </x:c>
    </x:row>
    <x:row r="1153">
      <x:c r="A1153" s="6" t="n">
        <x:v>8310</x:v>
      </x:c>
      <x:c r="B1153" s="6" t="n">
        <x:v>1964</x:v>
      </x:c>
      <x:c r="C1153" s="6" t="str">
        <x:v>Graduation</x:v>
      </x:c>
      <x:c r="D1153" s="6" t="str">
        <x:v>Together</x:v>
      </x:c>
      <x:c r="E1153" s="6" t="n">
        <x:v>68142</x:v>
      </x:c>
      <x:c r="F1153" s="6" t="n">
        <x:v>0</x:v>
      </x:c>
      <x:c r="G1153" s="6" t="n">
        <x:v>1</x:v>
      </x:c>
      <x:c r="H1153" s="9" t="str">
        <x:v>29-08-2012</x:v>
      </x:c>
      <x:c r="I1153" s="6" t="n">
        <x:v>96</x:v>
      </x:c>
      <x:c r="J1153" s="6" t="n">
        <x:v>897</x:v>
      </x:c>
      <x:c r="K1153" s="6" t="n">
        <x:v>126</x:v>
      </x:c>
      <x:c r="L1153" s="6" t="n">
        <x:v>196</x:v>
      </x:c>
      <x:c r="M1153" s="6" t="n">
        <x:v>91</x:v>
      </x:c>
      <x:c r="N1153" s="6" t="n">
        <x:v>112</x:v>
      </x:c>
      <x:c r="O1153" s="6" t="n">
        <x:v>37</x:v>
      </x:c>
      <x:c r="P1153" s="6" t="n">
        <x:v>3</x:v>
      </x:c>
      <x:c r="Q1153" s="6" t="n">
        <x:v>10</x:v>
      </x:c>
      <x:c r="R1153" s="6" t="n">
        <x:v>4</x:v>
      </x:c>
      <x:c r="S1153" s="6" t="n">
        <x:v>7</x:v>
      </x:c>
      <x:c r="T1153" s="6" t="n">
        <x:v>6</x:v>
      </x:c>
      <x:c r="U1153" s="6" t="n">
        <x:v>0</x:v>
      </x:c>
      <x:c r="V1153" s="6" t="n">
        <x:v>0</x:v>
      </x:c>
      <x:c r="W1153" s="6" t="n">
        <x:v>0</x:v>
      </x:c>
      <x:c r="X1153" s="6" t="n">
        <x:v>0</x:v>
      </x:c>
      <x:c r="Y1153" s="6" t="n">
        <x:v>0</x:v>
      </x:c>
      <x:c r="Z1153" s="6" t="n">
        <x:v>0</x:v>
      </x:c>
      <x:c r="AA1153" s="6" t="n">
        <x:v>3</x:v>
      </x:c>
      <x:c r="AB1153" s="6" t="n">
        <x:v>11</x:v>
      </x:c>
      <x:c r="AC1153" s="6" t="n">
        <x:v>0</x:v>
      </x:c>
    </x:row>
    <x:row r="1154">
      <x:c r="A1154" s="6" t="n">
        <x:v>10710</x:v>
      </x:c>
      <x:c r="B1154" s="6" t="n">
        <x:v>1979</x:v>
      </x:c>
      <x:c r="C1154" s="6" t="str">
        <x:v>Graduation</x:v>
      </x:c>
      <x:c r="D1154" s="6" t="str">
        <x:v>Married</x:v>
      </x:c>
      <x:c r="E1154" s="6" t="n">
        <x:v>7500</x:v>
      </x:c>
      <x:c r="F1154" s="6" t="n">
        <x:v>0</x:v>
      </x:c>
      <x:c r="G1154" s="6" t="n">
        <x:v>1</x:v>
      </x:c>
      <x:c r="H1154" s="9" t="str">
        <x:v>29-08-2012</x:v>
      </x:c>
      <x:c r="I1154" s="6" t="n">
        <x:v>61</x:v>
      </x:c>
      <x:c r="J1154" s="6" t="n">
        <x:v>5</x:v>
      </x:c>
      <x:c r="K1154" s="6" t="n">
        <x:v>2</x:v>
      </x:c>
      <x:c r="L1154" s="6" t="n">
        <x:v>3</x:v>
      </x:c>
      <x:c r="M1154" s="6" t="n">
        <x:v>3</x:v>
      </x:c>
      <x:c r="N1154" s="6" t="n">
        <x:v>0</x:v>
      </x:c>
      <x:c r="O1154" s="6" t="n">
        <x:v>5</x:v>
      </x:c>
      <x:c r="P1154" s="6" t="n">
        <x:v>1</x:v>
      </x:c>
      <x:c r="Q1154" s="6" t="n">
        <x:v>1</x:v>
      </x:c>
      <x:c r="R1154" s="6" t="n">
        <x:v>0</x:v>
      </x:c>
      <x:c r="S1154" s="6" t="n">
        <x:v>2</x:v>
      </x:c>
      <x:c r="T1154" s="6" t="n">
        <x:v>8</x:v>
      </x:c>
      <x:c r="U1154" s="6" t="n">
        <x:v>0</x:v>
      </x:c>
      <x:c r="V1154" s="6" t="n">
        <x:v>0</x:v>
      </x:c>
      <x:c r="W1154" s="6" t="n">
        <x:v>0</x:v>
      </x:c>
      <x:c r="X1154" s="6" t="n">
        <x:v>0</x:v>
      </x:c>
      <x:c r="Y1154" s="6" t="n">
        <x:v>0</x:v>
      </x:c>
      <x:c r="Z1154" s="6" t="n">
        <x:v>0</x:v>
      </x:c>
      <x:c r="AA1154" s="6" t="n">
        <x:v>3</x:v>
      </x:c>
      <x:c r="AB1154" s="6" t="n">
        <x:v>11</x:v>
      </x:c>
      <x:c r="AC1154" s="6" t="n">
        <x:v>0</x:v>
      </x:c>
    </x:row>
    <x:row r="1155">
      <x:c r="A1155" s="6" t="n">
        <x:v>5031</x:v>
      </x:c>
      <x:c r="B1155" s="6" t="n">
        <x:v>1974</x:v>
      </x:c>
      <x:c r="C1155" s="6" t="str">
        <x:v>Graduation</x:v>
      </x:c>
      <x:c r="D1155" s="6" t="str">
        <x:v>Together</x:v>
      </x:c>
      <x:c r="E1155" s="6" t="n">
        <x:v>83145</x:v>
      </x:c>
      <x:c r="F1155" s="6" t="n">
        <x:v>0</x:v>
      </x:c>
      <x:c r="G1155" s="6" t="n">
        <x:v>0</x:v>
      </x:c>
      <x:c r="H1155" s="9" t="str">
        <x:v>22-09-2012</x:v>
      </x:c>
      <x:c r="I1155" s="6" t="n">
        <x:v>14</x:v>
      </x:c>
      <x:c r="J1155" s="6" t="n">
        <x:v>777</x:v>
      </x:c>
      <x:c r="K1155" s="6" t="n">
        <x:v>35</x:v>
      </x:c>
      <x:c r="L1155" s="6" t="n">
        <x:v>731</x:v>
      </x:c>
      <x:c r="M1155" s="6" t="n">
        <x:v>39</x:v>
      </x:c>
      <x:c r="N1155" s="6" t="n">
        <x:v>137</x:v>
      </x:c>
      <x:c r="O1155" s="6" t="n">
        <x:v>114</x:v>
      </x:c>
      <x:c r="P1155" s="6" t="n">
        <x:v>1</x:v>
      </x:c>
      <x:c r="Q1155" s="6" t="n">
        <x:v>5</x:v>
      </x:c>
      <x:c r="R1155" s="6" t="n">
        <x:v>9</x:v>
      </x:c>
      <x:c r="S1155" s="6" t="n">
        <x:v>11</x:v>
      </x:c>
      <x:c r="T1155" s="6" t="n">
        <x:v>2</x:v>
      </x:c>
      <x:c r="U1155" s="6" t="n">
        <x:v>0</x:v>
      </x:c>
      <x:c r="V1155" s="6" t="n">
        <x:v>0</x:v>
      </x:c>
      <x:c r="W1155" s="6" t="n">
        <x:v>1</x:v>
      </x:c>
      <x:c r="X1155" s="6" t="n">
        <x:v>0</x:v>
      </x:c>
      <x:c r="Y1155" s="6" t="n">
        <x:v>0</x:v>
      </x:c>
      <x:c r="Z1155" s="6" t="n">
        <x:v>0</x:v>
      </x:c>
      <x:c r="AA1155" s="6" t="n">
        <x:v>3</x:v>
      </x:c>
      <x:c r="AB1155" s="6" t="n">
        <x:v>11</x:v>
      </x:c>
      <x:c r="AC1155" s="6" t="n">
        <x:v>1</x:v>
      </x:c>
    </x:row>
    <x:row r="1156">
      <x:c r="A1156" s="6" t="n">
        <x:v>2613</x:v>
      </x:c>
      <x:c r="B1156" s="6" t="n">
        <x:v>1960</x:v>
      </x:c>
      <x:c r="C1156" s="6" t="str">
        <x:v>Master</x:v>
      </x:c>
      <x:c r="D1156" s="6" t="str">
        <x:v>Married</x:v>
      </x:c>
      <x:c r="E1156" s="6" t="n">
        <x:v>54197</x:v>
      </x:c>
      <x:c r="F1156" s="6" t="n">
        <x:v>0</x:v>
      </x:c>
      <x:c r="G1156" s="6" t="n">
        <x:v>1</x:v>
      </x:c>
      <x:c r="H1156" s="9" t="str">
        <x:v>03-04-2014</x:v>
      </x:c>
      <x:c r="I1156" s="6" t="n">
        <x:v>16</x:v>
      </x:c>
      <x:c r="J1156" s="6" t="n">
        <x:v>162</x:v>
      </x:c>
      <x:c r="K1156" s="6" t="n">
        <x:v>6</x:v>
      </x:c>
      <x:c r="L1156" s="6" t="n">
        <x:v>37</x:v>
      </x:c>
      <x:c r="M1156" s="6" t="n">
        <x:v>6</x:v>
      </x:c>
      <x:c r="N1156" s="6" t="n">
        <x:v>13</x:v>
      </x:c>
      <x:c r="O1156" s="6" t="n">
        <x:v>13</x:v>
      </x:c>
      <x:c r="P1156" s="6" t="n">
        <x:v>2</x:v>
      </x:c>
      <x:c r="Q1156" s="6" t="n">
        <x:v>1</x:v>
      </x:c>
      <x:c r="R1156" s="6" t="n">
        <x:v>3</x:v>
      </x:c>
      <x:c r="S1156" s="6" t="n">
        <x:v>6</x:v>
      </x:c>
      <x:c r="T1156" s="6" t="n">
        <x:v>1</x:v>
      </x:c>
      <x:c r="U1156" s="6" t="n">
        <x:v>0</x:v>
      </x:c>
      <x:c r="V1156" s="6" t="n">
        <x:v>0</x:v>
      </x:c>
      <x:c r="W1156" s="6" t="n">
        <x:v>0</x:v>
      </x:c>
      <x:c r="X1156" s="6" t="n">
        <x:v>0</x:v>
      </x:c>
      <x:c r="Y1156" s="6" t="n">
        <x:v>0</x:v>
      </x:c>
      <x:c r="Z1156" s="6" t="n">
        <x:v>0</x:v>
      </x:c>
      <x:c r="AA1156" s="6" t="n">
        <x:v>3</x:v>
      </x:c>
      <x:c r="AB1156" s="6" t="n">
        <x:v>11</x:v>
      </x:c>
      <x:c r="AC1156" s="6" t="n">
        <x:v>0</x:v>
      </x:c>
    </x:row>
    <x:row r="1157">
      <x:c r="A1157" s="6" t="n">
        <x:v>213</x:v>
      </x:c>
      <x:c r="B1157" s="6" t="n">
        <x:v>1963</x:v>
      </x:c>
      <x:c r="C1157" s="6" t="str">
        <x:v>PhD</x:v>
      </x:c>
      <x:c r="D1157" s="6" t="str">
        <x:v>Single</x:v>
      </x:c>
      <x:c r="E1157" s="6" t="n">
        <x:v>23091</x:v>
      </x:c>
      <x:c r="F1157" s="6" t="n">
        <x:v>1</x:v>
      </x:c>
      <x:c r="G1157" s="6" t="n">
        <x:v>1</x:v>
      </x:c>
      <x:c r="H1157" s="9" t="str">
        <x:v>28-05-2014</x:v>
      </x:c>
      <x:c r="I1157" s="6" t="n">
        <x:v>98</x:v>
      </x:c>
      <x:c r="J1157" s="6" t="n">
        <x:v>35</x:v>
      </x:c>
      <x:c r="K1157" s="6" t="n">
        <x:v>0</x:v>
      </x:c>
      <x:c r="L1157" s="6" t="n">
        <x:v>11</x:v>
      </x:c>
      <x:c r="M1157" s="6" t="n">
        <x:v>0</x:v>
      </x:c>
      <x:c r="N1157" s="6" t="n">
        <x:v>0</x:v>
      </x:c>
      <x:c r="O1157" s="6" t="n">
        <x:v>2</x:v>
      </x:c>
      <x:c r="P1157" s="6" t="n">
        <x:v>4</x:v>
      </x:c>
      <x:c r="Q1157" s="6" t="n">
        <x:v>2</x:v>
      </x:c>
      <x:c r="R1157" s="6" t="n">
        <x:v>1</x:v>
      </x:c>
      <x:c r="S1157" s="6" t="n">
        <x:v>3</x:v>
      </x:c>
      <x:c r="T1157" s="6" t="n">
        <x:v>7</x:v>
      </x:c>
      <x:c r="U1157" s="6" t="n">
        <x:v>0</x:v>
      </x:c>
      <x:c r="V1157" s="6" t="n">
        <x:v>0</x:v>
      </x:c>
      <x:c r="W1157" s="6" t="n">
        <x:v>0</x:v>
      </x:c>
      <x:c r="X1157" s="6" t="n">
        <x:v>0</x:v>
      </x:c>
      <x:c r="Y1157" s="6" t="n">
        <x:v>0</x:v>
      </x:c>
      <x:c r="Z1157" s="6" t="n">
        <x:v>0</x:v>
      </x:c>
      <x:c r="AA1157" s="6" t="n">
        <x:v>3</x:v>
      </x:c>
      <x:c r="AB1157" s="6" t="n">
        <x:v>11</x:v>
      </x:c>
      <x:c r="AC1157" s="6" t="n">
        <x:v>0</x:v>
      </x:c>
    </x:row>
    <x:row r="1158">
      <x:c r="A1158" s="6" t="n">
        <x:v>967</x:v>
      </x:c>
      <x:c r="B1158" s="6" t="n">
        <x:v>1976</x:v>
      </x:c>
      <x:c r="C1158" s="6" t="str">
        <x:v>Graduation</x:v>
      </x:c>
      <x:c r="D1158" s="6" t="str">
        <x:v>Married</x:v>
      </x:c>
      <x:c r="E1158" s="6" t="n">
        <x:v>46049</x:v>
      </x:c>
      <x:c r="F1158" s="6" t="n">
        <x:v>1</x:v>
      </x:c>
      <x:c r="G1158" s="6" t="n">
        <x:v>1</x:v>
      </x:c>
      <x:c r="H1158" s="9" t="str">
        <x:v>21-07-2013</x:v>
      </x:c>
      <x:c r="I1158" s="6" t="n">
        <x:v>11</x:v>
      </x:c>
      <x:c r="J1158" s="6" t="n">
        <x:v>342</x:v>
      </x:c>
      <x:c r="K1158" s="6" t="n">
        <x:v>9</x:v>
      </x:c>
      <x:c r="L1158" s="6" t="n">
        <x:v>112</x:v>
      </x:c>
      <x:c r="M1158" s="6" t="n">
        <x:v>19</x:v>
      </x:c>
      <x:c r="N1158" s="6" t="n">
        <x:v>14</x:v>
      </x:c>
      <x:c r="O1158" s="6" t="n">
        <x:v>19</x:v>
      </x:c>
      <x:c r="P1158" s="6" t="n">
        <x:v>10</x:v>
      </x:c>
      <x:c r="Q1158" s="6" t="n">
        <x:v>5</x:v>
      </x:c>
      <x:c r="R1158" s="6" t="n">
        <x:v>2</x:v>
      </x:c>
      <x:c r="S1158" s="6" t="n">
        <x:v>9</x:v>
      </x:c>
      <x:c r="T1158" s="6" t="n">
        <x:v>7</x:v>
      </x:c>
      <x:c r="U1158" s="6" t="n">
        <x:v>0</x:v>
      </x:c>
      <x:c r="V1158" s="6" t="n">
        <x:v>0</x:v>
      </x:c>
      <x:c r="W1158" s="6" t="n">
        <x:v>0</x:v>
      </x:c>
      <x:c r="X1158" s="6" t="n">
        <x:v>0</x:v>
      </x:c>
      <x:c r="Y1158" s="6" t="n">
        <x:v>0</x:v>
      </x:c>
      <x:c r="Z1158" s="6" t="n">
        <x:v>0</x:v>
      </x:c>
      <x:c r="AA1158" s="6" t="n">
        <x:v>3</x:v>
      </x:c>
      <x:c r="AB1158" s="6" t="n">
        <x:v>11</x:v>
      </x:c>
      <x:c r="AC1158" s="6" t="n">
        <x:v>1</x:v>
      </x:c>
    </x:row>
    <x:row r="1159">
      <x:c r="A1159" s="6" t="n">
        <x:v>1077</x:v>
      </x:c>
      <x:c r="B1159" s="6" t="n">
        <x:v>1974</x:v>
      </x:c>
      <x:c r="C1159" s="6" t="str">
        <x:v>Graduation</x:v>
      </x:c>
      <x:c r="D1159" s="6" t="str">
        <x:v>Together</x:v>
      </x:c>
      <x:c r="E1159" s="6" t="n">
        <x:v>56715</x:v>
      </x:c>
      <x:c r="F1159" s="6" t="n">
        <x:v>0</x:v>
      </x:c>
      <x:c r="G1159" s="6" t="n">
        <x:v>0</x:v>
      </x:c>
      <x:c r="H1159" s="9" t="str">
        <x:v>05-12-2012</x:v>
      </x:c>
      <x:c r="I1159" s="6" t="n">
        <x:v>52</x:v>
      </x:c>
      <x:c r="J1159" s="6" t="n">
        <x:v>258</x:v>
      </x:c>
      <x:c r="K1159" s="6" t="n">
        <x:v>105</x:v>
      </x:c>
      <x:c r="L1159" s="6" t="n">
        <x:v>239</x:v>
      </x:c>
      <x:c r="M1159" s="6" t="n">
        <x:v>237</x:v>
      </x:c>
      <x:c r="N1159" s="6" t="n">
        <x:v>172</x:v>
      </x:c>
      <x:c r="O1159" s="6" t="n">
        <x:v>9</x:v>
      </x:c>
      <x:c r="P1159" s="6" t="n">
        <x:v>1</x:v>
      </x:c>
      <x:c r="Q1159" s="6" t="n">
        <x:v>7</x:v>
      </x:c>
      <x:c r="R1159" s="6" t="n">
        <x:v>3</x:v>
      </x:c>
      <x:c r="S1159" s="6" t="n">
        <x:v>4</x:v>
      </x:c>
      <x:c r="T1159" s="6" t="n">
        <x:v>4</x:v>
      </x:c>
      <x:c r="U1159" s="6" t="n">
        <x:v>0</x:v>
      </x:c>
      <x:c r="V1159" s="6" t="n">
        <x:v>0</x:v>
      </x:c>
      <x:c r="W1159" s="6" t="n">
        <x:v>0</x:v>
      </x:c>
      <x:c r="X1159" s="6" t="n">
        <x:v>0</x:v>
      </x:c>
      <x:c r="Y1159" s="6" t="n">
        <x:v>0</x:v>
      </x:c>
      <x:c r="Z1159" s="6" t="n">
        <x:v>0</x:v>
      </x:c>
      <x:c r="AA1159" s="6" t="n">
        <x:v>3</x:v>
      </x:c>
      <x:c r="AB1159" s="6" t="n">
        <x:v>11</x:v>
      </x:c>
      <x:c r="AC1159" s="6" t="n">
        <x:v>0</x:v>
      </x:c>
    </x:row>
    <x:row r="1160">
      <x:c r="A1160" s="6" t="n">
        <x:v>7959</x:v>
      </x:c>
      <x:c r="B1160" s="6" t="n">
        <x:v>1961</x:v>
      </x:c>
      <x:c r="C1160" s="6" t="str">
        <x:v>Graduation</x:v>
      </x:c>
      <x:c r="D1160" s="6" t="str">
        <x:v>Married</x:v>
      </x:c>
      <x:c r="E1160" s="6" t="n">
        <x:v>79410</x:v>
      </x:c>
      <x:c r="F1160" s="6" t="n">
        <x:v>0</x:v>
      </x:c>
      <x:c r="G1160" s="6" t="n">
        <x:v>0</x:v>
      </x:c>
      <x:c r="H1160" s="9" t="str">
        <x:v>29-05-2014</x:v>
      </x:c>
      <x:c r="I1160" s="6" t="n">
        <x:v>19</x:v>
      </x:c>
      <x:c r="J1160" s="6" t="n">
        <x:v>658</x:v>
      </x:c>
      <x:c r="K1160" s="6" t="n">
        <x:v>80</x:v>
      </x:c>
      <x:c r="L1160" s="6" t="n">
        <x:v>483</x:v>
      </x:c>
      <x:c r="M1160" s="6" t="n">
        <x:v>123</x:v>
      </x:c>
      <x:c r="N1160" s="6" t="n">
        <x:v>13</x:v>
      </x:c>
      <x:c r="O1160" s="6" t="n">
        <x:v>13</x:v>
      </x:c>
      <x:c r="P1160" s="6" t="n">
        <x:v>1</x:v>
      </x:c>
      <x:c r="Q1160" s="6" t="n">
        <x:v>3</x:v>
      </x:c>
      <x:c r="R1160" s="6" t="n">
        <x:v>2</x:v>
      </x:c>
      <x:c r="S1160" s="6" t="n">
        <x:v>5</x:v>
      </x:c>
      <x:c r="T1160" s="6" t="n">
        <x:v>1</x:v>
      </x:c>
      <x:c r="U1160" s="6" t="n">
        <x:v>0</x:v>
      </x:c>
      <x:c r="V1160" s="6" t="n">
        <x:v>0</x:v>
      </x:c>
      <x:c r="W1160" s="6" t="n">
        <x:v>0</x:v>
      </x:c>
      <x:c r="X1160" s="6" t="n">
        <x:v>0</x:v>
      </x:c>
      <x:c r="Y1160" s="6" t="n">
        <x:v>0</x:v>
      </x:c>
      <x:c r="Z1160" s="6" t="n">
        <x:v>0</x:v>
      </x:c>
      <x:c r="AA1160" s="6" t="n">
        <x:v>3</x:v>
      </x:c>
      <x:c r="AB1160" s="6" t="n">
        <x:v>11</x:v>
      </x:c>
      <x:c r="AC1160" s="6" t="n">
        <x:v>0</x:v>
      </x:c>
    </x:row>
    <x:row r="1161">
      <x:c r="A1161" s="6" t="n">
        <x:v>640</x:v>
      </x:c>
      <x:c r="B1161" s="6" t="n">
        <x:v>1951</x:v>
      </x:c>
      <x:c r="C1161" s="6" t="str">
        <x:v>Graduation</x:v>
      </x:c>
      <x:c r="D1161" s="6" t="str">
        <x:v>Married</x:v>
      </x:c>
      <x:c r="E1161" s="6" t="n">
        <x:v>57304</x:v>
      </x:c>
      <x:c r="F1161" s="6" t="n">
        <x:v>0</x:v>
      </x:c>
      <x:c r="G1161" s="6" t="n">
        <x:v>1</x:v>
      </x:c>
      <x:c r="H1161" s="9" t="str">
        <x:v>11-03-2013</x:v>
      </x:c>
      <x:c r="I1161" s="6" t="n">
        <x:v>61</x:v>
      </x:c>
      <x:c r="J1161" s="6" t="n">
        <x:v>356</x:v>
      </x:c>
      <x:c r="K1161" s="6" t="n">
        <x:v>80</x:v>
      </x:c>
      <x:c r="L1161" s="6" t="n">
        <x:v>329</x:v>
      </x:c>
      <x:c r="M1161" s="6" t="n">
        <x:v>138</x:v>
      </x:c>
      <x:c r="N1161" s="6" t="n">
        <x:v>17</x:v>
      </x:c>
      <x:c r="O1161" s="6" t="n">
        <x:v>106</x:v>
      </x:c>
      <x:c r="P1161" s="6" t="n">
        <x:v>2</x:v>
      </x:c>
      <x:c r="Q1161" s="6" t="n">
        <x:v>7</x:v>
      </x:c>
      <x:c r="R1161" s="6" t="n">
        <x:v>6</x:v>
      </x:c>
      <x:c r="S1161" s="6" t="n">
        <x:v>10</x:v>
      </x:c>
      <x:c r="T1161" s="6" t="n">
        <x:v>5</x:v>
      </x:c>
      <x:c r="U1161" s="6" t="n">
        <x:v>0</x:v>
      </x:c>
      <x:c r="V1161" s="6" t="n">
        <x:v>0</x:v>
      </x:c>
      <x:c r="W1161" s="6" t="n">
        <x:v>0</x:v>
      </x:c>
      <x:c r="X1161" s="6" t="n">
        <x:v>0</x:v>
      </x:c>
      <x:c r="Y1161" s="6" t="n">
        <x:v>0</x:v>
      </x:c>
      <x:c r="Z1161" s="6" t="n">
        <x:v>0</x:v>
      </x:c>
      <x:c r="AA1161" s="6" t="n">
        <x:v>3</x:v>
      </x:c>
      <x:c r="AB1161" s="6" t="n">
        <x:v>11</x:v>
      </x:c>
      <x:c r="AC1161" s="6" t="n">
        <x:v>0</x:v>
      </x:c>
    </x:row>
    <x:row r="1162">
      <x:c r="A1162" s="6" t="n">
        <x:v>4252</x:v>
      </x:c>
      <x:c r="B1162" s="6" t="n">
        <x:v>1965</x:v>
      </x:c>
      <x:c r="C1162" s="6" t="str">
        <x:v>Graduation</x:v>
      </x:c>
      <x:c r="D1162" s="6" t="str">
        <x:v>Married</x:v>
      </x:c>
      <x:c r="E1162" s="6" t="n">
        <x:v>44375</x:v>
      </x:c>
      <x:c r="F1162" s="6" t="n">
        <x:v>0</x:v>
      </x:c>
      <x:c r="G1162" s="6" t="n">
        <x:v>1</x:v>
      </x:c>
      <x:c r="H1162" s="9" t="str">
        <x:v>23-03-2014</x:v>
      </x:c>
      <x:c r="I1162" s="6" t="n">
        <x:v>73</x:v>
      </x:c>
      <x:c r="J1162" s="6" t="n">
        <x:v>213</x:v>
      </x:c>
      <x:c r="K1162" s="6" t="n">
        <x:v>5</x:v>
      </x:c>
      <x:c r="L1162" s="6" t="n">
        <x:v>28</x:v>
      </x:c>
      <x:c r="M1162" s="6" t="n">
        <x:v>7</x:v>
      </x:c>
      <x:c r="N1162" s="6" t="n">
        <x:v>7</x:v>
      </x:c>
      <x:c r="O1162" s="6" t="n">
        <x:v>41</x:v>
      </x:c>
      <x:c r="P1162" s="6" t="n">
        <x:v>1</x:v>
      </x:c>
      <x:c r="Q1162" s="6" t="n">
        <x:v>4</x:v>
      </x:c>
      <x:c r="R1162" s="6" t="n">
        <x:v>1</x:v>
      </x:c>
      <x:c r="S1162" s="6" t="n">
        <x:v>6</x:v>
      </x:c>
      <x:c r="T1162" s="6" t="n">
        <x:v>5</x:v>
      </x:c>
      <x:c r="U1162" s="6" t="n">
        <x:v>0</x:v>
      </x:c>
      <x:c r="V1162" s="6" t="n">
        <x:v>0</x:v>
      </x:c>
      <x:c r="W1162" s="6" t="n">
        <x:v>0</x:v>
      </x:c>
      <x:c r="X1162" s="6" t="n">
        <x:v>0</x:v>
      </x:c>
      <x:c r="Y1162" s="6" t="n">
        <x:v>0</x:v>
      </x:c>
      <x:c r="Z1162" s="6" t="n">
        <x:v>0</x:v>
      </x:c>
      <x:c r="AA1162" s="6" t="n">
        <x:v>3</x:v>
      </x:c>
      <x:c r="AB1162" s="6" t="n">
        <x:v>11</x:v>
      </x:c>
      <x:c r="AC1162" s="6" t="n">
        <x:v>0</x:v>
      </x:c>
    </x:row>
    <x:row r="1163">
      <x:c r="A1163" s="6" t="n">
        <x:v>8432</x:v>
      </x:c>
      <x:c r="B1163" s="6" t="n">
        <x:v>1956</x:v>
      </x:c>
      <x:c r="C1163" s="6" t="str">
        <x:v>Graduation</x:v>
      </x:c>
      <x:c r="D1163" s="6" t="str">
        <x:v>Together</x:v>
      </x:c>
      <x:c r="E1163" s="6" t="n">
        <x:v>54450</x:v>
      </x:c>
      <x:c r="F1163" s="6" t="n">
        <x:v>1</x:v>
      </x:c>
      <x:c r="G1163" s="6" t="n">
        <x:v>1</x:v>
      </x:c>
      <x:c r="H1163" s="9" t="str">
        <x:v>14-09-2012</x:v>
      </x:c>
      <x:c r="I1163" s="6" t="n">
        <x:v>0</x:v>
      </x:c>
      <x:c r="J1163" s="6" t="n">
        <x:v>454</x:v>
      </x:c>
      <x:c r="K1163" s="6" t="n">
        <x:v>0</x:v>
      </x:c>
      <x:c r="L1163" s="6" t="n">
        <x:v>171</x:v>
      </x:c>
      <x:c r="M1163" s="6" t="n">
        <x:v>8</x:v>
      </x:c>
      <x:c r="N1163" s="6" t="n">
        <x:v>19</x:v>
      </x:c>
      <x:c r="O1163" s="6" t="n">
        <x:v>32</x:v>
      </x:c>
      <x:c r="P1163" s="6" t="n">
        <x:v>12</x:v>
      </x:c>
      <x:c r="Q1163" s="6" t="n">
        <x:v>9</x:v>
      </x:c>
      <x:c r="R1163" s="6" t="n">
        <x:v>2</x:v>
      </x:c>
      <x:c r="S1163" s="6" t="n">
        <x:v>8</x:v>
      </x:c>
      <x:c r="T1163" s="6" t="n">
        <x:v>8</x:v>
      </x:c>
      <x:c r="U1163" s="6" t="n">
        <x:v>0</x:v>
      </x:c>
      <x:c r="V1163" s="6" t="n">
        <x:v>0</x:v>
      </x:c>
      <x:c r="W1163" s="6" t="n">
        <x:v>0</x:v>
      </x:c>
      <x:c r="X1163" s="6" t="n">
        <x:v>0</x:v>
      </x:c>
      <x:c r="Y1163" s="6" t="n">
        <x:v>0</x:v>
      </x:c>
      <x:c r="Z1163" s="6" t="n">
        <x:v>0</x:v>
      </x:c>
      <x:c r="AA1163" s="6" t="n">
        <x:v>3</x:v>
      </x:c>
      <x:c r="AB1163" s="6" t="n">
        <x:v>11</x:v>
      </x:c>
      <x:c r="AC1163" s="6" t="n">
        <x:v>0</x:v>
      </x:c>
    </x:row>
    <x:row r="1164">
      <x:c r="A1164" s="6" t="n">
        <x:v>6218</x:v>
      </x:c>
      <x:c r="B1164" s="6" t="n">
        <x:v>1965</x:v>
      </x:c>
      <x:c r="C1164" s="6" t="str">
        <x:v>Graduation</x:v>
      </x:c>
      <x:c r="D1164" s="6" t="str">
        <x:v>Married</x:v>
      </x:c>
      <x:c r="E1164" s="6" t="n">
        <x:v>59594</x:v>
      </x:c>
      <x:c r="F1164" s="6" t="n">
        <x:v>0</x:v>
      </x:c>
      <x:c r="G1164" s="6" t="n">
        <x:v>1</x:v>
      </x:c>
      <x:c r="H1164" s="9" t="str">
        <x:v>20-10-2012</x:v>
      </x:c>
      <x:c r="I1164" s="6" t="n">
        <x:v>74</x:v>
      </x:c>
      <x:c r="J1164" s="6" t="n">
        <x:v>457</x:v>
      </x:c>
      <x:c r="K1164" s="6" t="n">
        <x:v>4</x:v>
      </x:c>
      <x:c r="L1164" s="6" t="n">
        <x:v>29</x:v>
      </x:c>
      <x:c r="M1164" s="6" t="n">
        <x:v>0</x:v>
      </x:c>
      <x:c r="N1164" s="6" t="n">
        <x:v>0</x:v>
      </x:c>
      <x:c r="O1164" s="6" t="n">
        <x:v>9</x:v>
      </x:c>
      <x:c r="P1164" s="6" t="n">
        <x:v>1</x:v>
      </x:c>
      <x:c r="Q1164" s="6" t="n">
        <x:v>8</x:v>
      </x:c>
      <x:c r="R1164" s="6" t="n">
        <x:v>1</x:v>
      </x:c>
      <x:c r="S1164" s="6" t="n">
        <x:v>7</x:v>
      </x:c>
      <x:c r="T1164" s="6" t="n">
        <x:v>7</x:v>
      </x:c>
      <x:c r="U1164" s="6" t="n">
        <x:v>0</x:v>
      </x:c>
      <x:c r="V1164" s="6" t="n">
        <x:v>1</x:v>
      </x:c>
      <x:c r="W1164" s="6" t="n">
        <x:v>0</x:v>
      </x:c>
      <x:c r="X1164" s="6" t="n">
        <x:v>0</x:v>
      </x:c>
      <x:c r="Y1164" s="6" t="n">
        <x:v>0</x:v>
      </x:c>
      <x:c r="Z1164" s="6" t="n">
        <x:v>0</x:v>
      </x:c>
      <x:c r="AA1164" s="6" t="n">
        <x:v>3</x:v>
      </x:c>
      <x:c r="AB1164" s="6" t="n">
        <x:v>11</x:v>
      </x:c>
      <x:c r="AC1164" s="6" t="n">
        <x:v>0</x:v>
      </x:c>
    </x:row>
    <x:row r="1165">
      <x:c r="A1165" s="6" t="n">
        <x:v>6905</x:v>
      </x:c>
      <x:c r="B1165" s="6" t="n">
        <x:v>1994</x:v>
      </x:c>
      <x:c r="C1165" s="6" t="str">
        <x:v>Graduation</x:v>
      </x:c>
      <x:c r="D1165" s="6" t="str">
        <x:v>Together</x:v>
      </x:c>
      <x:c r="E1165" s="6" t="n">
        <x:v>80685</x:v>
      </x:c>
      <x:c r="F1165" s="6" t="n">
        <x:v>0</x:v>
      </x:c>
      <x:c r="G1165" s="6" t="n">
        <x:v>0</x:v>
      </x:c>
      <x:c r="H1165" s="9" t="str">
        <x:v>22-08-2012</x:v>
      </x:c>
      <x:c r="I1165" s="6" t="n">
        <x:v>55</x:v>
      </x:c>
      <x:c r="J1165" s="6" t="n">
        <x:v>241</x:v>
      </x:c>
      <x:c r="K1165" s="6" t="n">
        <x:v>45</x:v>
      </x:c>
      <x:c r="L1165" s="6" t="n">
        <x:v>604</x:v>
      </x:c>
      <x:c r="M1165" s="6" t="n">
        <x:v>34</x:v>
      </x:c>
      <x:c r="N1165" s="6" t="n">
        <x:v>26</x:v>
      </x:c>
      <x:c r="O1165" s="6" t="n">
        <x:v>54</x:v>
      </x:c>
      <x:c r="P1165" s="6" t="n">
        <x:v>1</x:v>
      </x:c>
      <x:c r="Q1165" s="6" t="n">
        <x:v>6</x:v>
      </x:c>
      <x:c r="R1165" s="6" t="n">
        <x:v>4</x:v>
      </x:c>
      <x:c r="S1165" s="6" t="n">
        <x:v>10</x:v>
      </x:c>
      <x:c r="T1165" s="6" t="n">
        <x:v>2</x:v>
      </x:c>
      <x:c r="U1165" s="6" t="n">
        <x:v>0</x:v>
      </x:c>
      <x:c r="V1165" s="6" t="n">
        <x:v>0</x:v>
      </x:c>
      <x:c r="W1165" s="6" t="n">
        <x:v>0</x:v>
      </x:c>
      <x:c r="X1165" s="6" t="n">
        <x:v>0</x:v>
      </x:c>
      <x:c r="Y1165" s="6" t="n">
        <x:v>0</x:v>
      </x:c>
      <x:c r="Z1165" s="6" t="n">
        <x:v>0</x:v>
      </x:c>
      <x:c r="AA1165" s="6" t="n">
        <x:v>3</x:v>
      </x:c>
      <x:c r="AB1165" s="6" t="n">
        <x:v>11</x:v>
      </x:c>
      <x:c r="AC1165" s="6" t="n">
        <x:v>0</x:v>
      </x:c>
    </x:row>
    <x:row r="1166">
      <x:c r="A1166" s="6" t="n">
        <x:v>5922</x:v>
      </x:c>
      <x:c r="B1166" s="6" t="n">
        <x:v>1974</x:v>
      </x:c>
      <x:c r="C1166" s="6" t="str">
        <x:v>PhD</x:v>
      </x:c>
      <x:c r="D1166" s="6" t="str">
        <x:v>Married</x:v>
      </x:c>
      <x:c r="E1166" s="6" t="n">
        <x:v>40344</x:v>
      </x:c>
      <x:c r="F1166" s="6" t="n">
        <x:v>0</x:v>
      </x:c>
      <x:c r="G1166" s="6" t="n">
        <x:v>1</x:v>
      </x:c>
      <x:c r="H1166" s="9" t="str">
        <x:v>13-10-2013</x:v>
      </x:c>
      <x:c r="I1166" s="6" t="n">
        <x:v>48</x:v>
      </x:c>
      <x:c r="J1166" s="6" t="n">
        <x:v>210</x:v>
      </x:c>
      <x:c r="K1166" s="6" t="n">
        <x:v>0</x:v>
      </x:c>
      <x:c r="L1166" s="6" t="n">
        <x:v>6</x:v>
      </x:c>
      <x:c r="M1166" s="6" t="n">
        <x:v>0</x:v>
      </x:c>
      <x:c r="N1166" s="6" t="n">
        <x:v>0</x:v>
      </x:c>
      <x:c r="O1166" s="6" t="n">
        <x:v>2</x:v>
      </x:c>
      <x:c r="P1166" s="6" t="n">
        <x:v>2</x:v>
      </x:c>
      <x:c r="Q1166" s="6" t="n">
        <x:v>4</x:v>
      </x:c>
      <x:c r="R1166" s="6" t="n">
        <x:v>1</x:v>
      </x:c>
      <x:c r="S1166" s="6" t="n">
        <x:v>5</x:v>
      </x:c>
      <x:c r="T1166" s="6" t="n">
        <x:v>7</x:v>
      </x:c>
      <x:c r="U1166" s="6" t="n">
        <x:v>0</x:v>
      </x:c>
      <x:c r="V1166" s="6" t="n">
        <x:v>0</x:v>
      </x:c>
      <x:c r="W1166" s="6" t="n">
        <x:v>0</x:v>
      </x:c>
      <x:c r="X1166" s="6" t="n">
        <x:v>0</x:v>
      </x:c>
      <x:c r="Y1166" s="6" t="n">
        <x:v>0</x:v>
      </x:c>
      <x:c r="Z1166" s="6" t="n">
        <x:v>0</x:v>
      </x:c>
      <x:c r="AA1166" s="6" t="n">
        <x:v>3</x:v>
      </x:c>
      <x:c r="AB1166" s="6" t="n">
        <x:v>11</x:v>
      </x:c>
      <x:c r="AC1166" s="6" t="n">
        <x:v>0</x:v>
      </x:c>
    </x:row>
    <x:row r="1167">
      <x:c r="A1167" s="6" t="n">
        <x:v>3598</x:v>
      </x:c>
      <x:c r="B1167" s="6" t="n">
        <x:v>1972</x:v>
      </x:c>
      <x:c r="C1167" s="6" t="str">
        <x:v>Graduation</x:v>
      </x:c>
      <x:c r="D1167" s="6" t="str">
        <x:v>Married</x:v>
      </x:c>
      <x:c r="E1167" s="6" t="n">
        <x:v>62710</x:v>
      </x:c>
      <x:c r="F1167" s="6" t="n">
        <x:v>0</x:v>
      </x:c>
      <x:c r="G1167" s="6" t="n">
        <x:v>1</x:v>
      </x:c>
      <x:c r="H1167" s="9" t="str">
        <x:v>23-05-2013</x:v>
      </x:c>
      <x:c r="I1167" s="6" t="n">
        <x:v>53</x:v>
      </x:c>
      <x:c r="J1167" s="6" t="n">
        <x:v>441</x:v>
      </x:c>
      <x:c r="K1167" s="6" t="n">
        <x:v>35</x:v>
      </x:c>
      <x:c r="L1167" s="6" t="n">
        <x:v>83</x:v>
      </x:c>
      <x:c r="M1167" s="6" t="n">
        <x:v>7</x:v>
      </x:c>
      <x:c r="N1167" s="6" t="n">
        <x:v>29</x:v>
      </x:c>
      <x:c r="O1167" s="6" t="n">
        <x:v>11</x:v>
      </x:c>
      <x:c r="P1167" s="6" t="n">
        <x:v>4</x:v>
      </x:c>
      <x:c r="Q1167" s="6" t="n">
        <x:v>4</x:v>
      </x:c>
      <x:c r="R1167" s="6" t="n">
        <x:v>2</x:v>
      </x:c>
      <x:c r="S1167" s="6" t="n">
        <x:v>12</x:v>
      </x:c>
      <x:c r="T1167" s="6" t="n">
        <x:v>4</x:v>
      </x:c>
      <x:c r="U1167" s="6" t="n">
        <x:v>0</x:v>
      </x:c>
      <x:c r="V1167" s="6" t="n">
        <x:v>0</x:v>
      </x:c>
      <x:c r="W1167" s="6" t="n">
        <x:v>0</x:v>
      </x:c>
      <x:c r="X1167" s="6" t="n">
        <x:v>0</x:v>
      </x:c>
      <x:c r="Y1167" s="6" t="n">
        <x:v>0</x:v>
      </x:c>
      <x:c r="Z1167" s="6" t="n">
        <x:v>0</x:v>
      </x:c>
      <x:c r="AA1167" s="6" t="n">
        <x:v>3</x:v>
      </x:c>
      <x:c r="AB1167" s="6" t="n">
        <x:v>11</x:v>
      </x:c>
      <x:c r="AC1167" s="6" t="n">
        <x:v>0</x:v>
      </x:c>
    </x:row>
    <x:row r="1168">
      <x:c r="A1168" s="6" t="n">
        <x:v>6116</x:v>
      </x:c>
      <x:c r="B1168" s="6" t="n">
        <x:v>1968</x:v>
      </x:c>
      <x:c r="C1168" s="6" t="str">
        <x:v>2n Cycle</x:v>
      </x:c>
      <x:c r="D1168" s="6" t="str">
        <x:v>Married</x:v>
      </x:c>
      <x:c r="E1168" s="6" t="n">
        <x:v>48985</x:v>
      </x:c>
      <x:c r="F1168" s="6" t="n">
        <x:v>0</x:v>
      </x:c>
      <x:c r="G1168" s="6" t="n">
        <x:v>1</x:v>
      </x:c>
      <x:c r="H1168" s="9" t="str">
        <x:v>05-07-2013</x:v>
      </x:c>
      <x:c r="I1168" s="6" t="n">
        <x:v>13</x:v>
      </x:c>
      <x:c r="J1168" s="6" t="n">
        <x:v>19</x:v>
      </x:c>
      <x:c r="K1168" s="6" t="n">
        <x:v>13</x:v>
      </x:c>
      <x:c r="L1168" s="6" t="n">
        <x:v>18</x:v>
      </x:c>
      <x:c r="M1168" s="6" t="n">
        <x:v>10</x:v>
      </x:c>
      <x:c r="N1168" s="6" t="n">
        <x:v>7</x:v>
      </x:c>
      <x:c r="O1168" s="6" t="n">
        <x:v>8</x:v>
      </x:c>
      <x:c r="P1168" s="6" t="n">
        <x:v>1</x:v>
      </x:c>
      <x:c r="Q1168" s="6" t="n">
        <x:v>1</x:v>
      </x:c>
      <x:c r="R1168" s="6" t="n">
        <x:v>1</x:v>
      </x:c>
      <x:c r="S1168" s="6" t="n">
        <x:v>3</x:v>
      </x:c>
      <x:c r="T1168" s="6" t="n">
        <x:v>3</x:v>
      </x:c>
      <x:c r="U1168" s="6" t="n">
        <x:v>0</x:v>
      </x:c>
      <x:c r="V1168" s="6" t="n">
        <x:v>0</x:v>
      </x:c>
      <x:c r="W1168" s="6" t="n">
        <x:v>0</x:v>
      </x:c>
      <x:c r="X1168" s="6" t="n">
        <x:v>0</x:v>
      </x:c>
      <x:c r="Y1168" s="6" t="n">
        <x:v>0</x:v>
      </x:c>
      <x:c r="Z1168" s="6" t="n">
        <x:v>0</x:v>
      </x:c>
      <x:c r="AA1168" s="6" t="n">
        <x:v>3</x:v>
      </x:c>
      <x:c r="AB1168" s="6" t="n">
        <x:v>11</x:v>
      </x:c>
      <x:c r="AC1168" s="6" t="n">
        <x:v>0</x:v>
      </x:c>
    </x:row>
    <x:row r="1169">
      <x:c r="A1169" s="6" t="n">
        <x:v>6263</x:v>
      </x:c>
      <x:c r="B1169" s="6" t="n">
        <x:v>1968</x:v>
      </x:c>
      <x:c r="C1169" s="6" t="str">
        <x:v>Graduation</x:v>
      </x:c>
      <x:c r="D1169" s="6" t="str">
        <x:v>Together</x:v>
      </x:c>
      <x:c r="E1169" s="6" t="n">
        <x:v>35322</x:v>
      </x:c>
      <x:c r="F1169" s="6" t="n">
        <x:v>1</x:v>
      </x:c>
      <x:c r="G1169" s="6" t="n">
        <x:v>2</x:v>
      </x:c>
      <x:c r="H1169" s="9" t="str">
        <x:v>22-08-2012</x:v>
      </x:c>
      <x:c r="I1169" s="6" t="n">
        <x:v>34</x:v>
      </x:c>
      <x:c r="J1169" s="6" t="n">
        <x:v>28</x:v>
      </x:c>
      <x:c r="K1169" s="6" t="n">
        <x:v>9</x:v>
      </x:c>
      <x:c r="L1169" s="6" t="n">
        <x:v>37</x:v>
      </x:c>
      <x:c r="M1169" s="6" t="n">
        <x:v>12</x:v>
      </x:c>
      <x:c r="N1169" s="6" t="n">
        <x:v>7</x:v>
      </x:c>
      <x:c r="O1169" s="6" t="n">
        <x:v>13</x:v>
      </x:c>
      <x:c r="P1169" s="6" t="n">
        <x:v>3</x:v>
      </x:c>
      <x:c r="Q1169" s="6" t="n">
        <x:v>2</x:v>
      </x:c>
      <x:c r="R1169" s="6" t="n">
        <x:v>0</x:v>
      </x:c>
      <x:c r="S1169" s="6" t="n">
        <x:v>4</x:v>
      </x:c>
      <x:c r="T1169" s="6" t="n">
        <x:v>8</x:v>
      </x:c>
      <x:c r="U1169" s="6" t="n">
        <x:v>0</x:v>
      </x:c>
      <x:c r="V1169" s="6" t="n">
        <x:v>0</x:v>
      </x:c>
      <x:c r="W1169" s="6" t="n">
        <x:v>0</x:v>
      </x:c>
      <x:c r="X1169" s="6" t="n">
        <x:v>0</x:v>
      </x:c>
      <x:c r="Y1169" s="6" t="n">
        <x:v>0</x:v>
      </x:c>
      <x:c r="Z1169" s="6" t="n">
        <x:v>0</x:v>
      </x:c>
      <x:c r="AA1169" s="6" t="n">
        <x:v>3</x:v>
      </x:c>
      <x:c r="AB1169" s="6" t="n">
        <x:v>11</x:v>
      </x:c>
      <x:c r="AC1169" s="6" t="n">
        <x:v>0</x:v>
      </x:c>
    </x:row>
    <x:row r="1170">
      <x:c r="A1170" s="6" t="n">
        <x:v>10486</x:v>
      </x:c>
      <x:c r="B1170" s="6" t="n">
        <x:v>1948</x:v>
      </x:c>
      <x:c r="C1170" s="6" t="str">
        <x:v>Graduation</x:v>
      </x:c>
      <x:c r="D1170" s="6" t="str">
        <x:v>Married</x:v>
      </x:c>
      <x:c r="E1170" s="6" t="n">
        <x:v>77142</x:v>
      </x:c>
      <x:c r="F1170" s="6" t="n">
        <x:v>0</x:v>
      </x:c>
      <x:c r="G1170" s="6" t="n">
        <x:v>0</x:v>
      </x:c>
      <x:c r="H1170" s="9" t="str">
        <x:v>29-05-2013</x:v>
      </x:c>
      <x:c r="I1170" s="6" t="n">
        <x:v>54</x:v>
      </x:c>
      <x:c r="J1170" s="6" t="n">
        <x:v>476</x:v>
      </x:c>
      <x:c r="K1170" s="6" t="n">
        <x:v>75</x:v>
      </x:c>
      <x:c r="L1170" s="6" t="n">
        <x:v>162</x:v>
      </x:c>
      <x:c r="M1170" s="6" t="n">
        <x:v>29</x:v>
      </x:c>
      <x:c r="N1170" s="6" t="n">
        <x:v>151</x:v>
      </x:c>
      <x:c r="O1170" s="6" t="n">
        <x:v>97</x:v>
      </x:c>
      <x:c r="P1170" s="6" t="n">
        <x:v>1</x:v>
      </x:c>
      <x:c r="Q1170" s="6" t="n">
        <x:v>4</x:v>
      </x:c>
      <x:c r="R1170" s="6" t="n">
        <x:v>4</x:v>
      </x:c>
      <x:c r="S1170" s="6" t="n">
        <x:v>8</x:v>
      </x:c>
      <x:c r="T1170" s="6" t="n">
        <x:v>2</x:v>
      </x:c>
      <x:c r="U1170" s="6" t="n">
        <x:v>0</x:v>
      </x:c>
      <x:c r="V1170" s="6" t="n">
        <x:v>0</x:v>
      </x:c>
      <x:c r="W1170" s="6" t="n">
        <x:v>0</x:v>
      </x:c>
      <x:c r="X1170" s="6" t="n">
        <x:v>0</x:v>
      </x:c>
      <x:c r="Y1170" s="6" t="n">
        <x:v>0</x:v>
      </x:c>
      <x:c r="Z1170" s="6" t="n">
        <x:v>0</x:v>
      </x:c>
      <x:c r="AA1170" s="6" t="n">
        <x:v>3</x:v>
      </x:c>
      <x:c r="AB1170" s="6" t="n">
        <x:v>11</x:v>
      </x:c>
      <x:c r="AC1170" s="6" t="n">
        <x:v>0</x:v>
      </x:c>
    </x:row>
    <x:row r="1171">
      <x:c r="A1171" s="6" t="n">
        <x:v>2410</x:v>
      </x:c>
      <x:c r="B1171" s="6" t="n">
        <x:v>1969</x:v>
      </x:c>
      <x:c r="C1171" s="6" t="str">
        <x:v>Graduation</x:v>
      </x:c>
      <x:c r="D1171" s="6" t="str">
        <x:v>Single</x:v>
      </x:c>
      <x:c r="E1171" s="6" t="n">
        <x:v>81657</x:v>
      </x:c>
      <x:c r="F1171" s="6" t="n">
        <x:v>0</x:v>
      </x:c>
      <x:c r="G1171" s="6" t="n">
        <x:v>0</x:v>
      </x:c>
      <x:c r="H1171" s="9" t="str">
        <x:v>22-01-2014</x:v>
      </x:c>
      <x:c r="I1171" s="6" t="n">
        <x:v>69</x:v>
      </x:c>
      <x:c r="J1171" s="6" t="n">
        <x:v>364</x:v>
      </x:c>
      <x:c r="K1171" s="6" t="n">
        <x:v>40</x:v>
      </x:c>
      <x:c r="L1171" s="6" t="n">
        <x:v>425</x:v>
      </x:c>
      <x:c r="M1171" s="6" t="n">
        <x:v>158</x:v>
      </x:c>
      <x:c r="N1171" s="6" t="n">
        <x:v>60</x:v>
      </x:c>
      <x:c r="O1171" s="6" t="n">
        <x:v>50</x:v>
      </x:c>
      <x:c r="P1171" s="6" t="n">
        <x:v>1</x:v>
      </x:c>
      <x:c r="Q1171" s="6" t="n">
        <x:v>3</x:v>
      </x:c>
      <x:c r="R1171" s="6" t="n">
        <x:v>4</x:v>
      </x:c>
      <x:c r="S1171" s="6" t="n">
        <x:v>8</x:v>
      </x:c>
      <x:c r="T1171" s="6" t="n">
        <x:v>1</x:v>
      </x:c>
      <x:c r="U1171" s="6" t="n">
        <x:v>0</x:v>
      </x:c>
      <x:c r="V1171" s="6" t="n">
        <x:v>0</x:v>
      </x:c>
      <x:c r="W1171" s="6" t="n">
        <x:v>0</x:v>
      </x:c>
      <x:c r="X1171" s="6" t="n">
        <x:v>0</x:v>
      </x:c>
      <x:c r="Y1171" s="6" t="n">
        <x:v>0</x:v>
      </x:c>
      <x:c r="Z1171" s="6" t="n">
        <x:v>0</x:v>
      </x:c>
      <x:c r="AA1171" s="6" t="n">
        <x:v>3</x:v>
      </x:c>
      <x:c r="AB1171" s="6" t="n">
        <x:v>11</x:v>
      </x:c>
      <x:c r="AC1171" s="6" t="n">
        <x:v>0</x:v>
      </x:c>
    </x:row>
    <x:row r="1172">
      <x:c r="A1172" s="6" t="n">
        <x:v>193</x:v>
      </x:c>
      <x:c r="B1172" s="6" t="n">
        <x:v>1996</x:v>
      </x:c>
      <x:c r="C1172" s="6" t="str">
        <x:v>Basic</x:v>
      </x:c>
      <x:c r="D1172" s="6" t="str">
        <x:v>Married</x:v>
      </x:c>
      <x:c r="E1172" s="6" t="n">
        <x:v>14421</x:v>
      </x:c>
      <x:c r="F1172" s="6" t="n">
        <x:v>0</x:v>
      </x:c>
      <x:c r="G1172" s="6" t="n">
        <x:v>0</x:v>
      </x:c>
      <x:c r="H1172" s="9" t="str">
        <x:v>17-02-2014</x:v>
      </x:c>
      <x:c r="I1172" s="6" t="n">
        <x:v>81</x:v>
      </x:c>
      <x:c r="J1172" s="6" t="n">
        <x:v>0</x:v>
      </x:c>
      <x:c r="K1172" s="6" t="n">
        <x:v>0</x:v>
      </x:c>
      <x:c r="L1172" s="6" t="n">
        <x:v>2</x:v>
      </x:c>
      <x:c r="M1172" s="6" t="n">
        <x:v>3</x:v>
      </x:c>
      <x:c r="N1172" s="6" t="n">
        <x:v>3</x:v>
      </x:c>
      <x:c r="O1172" s="6" t="n">
        <x:v>8</x:v>
      </x:c>
      <x:c r="P1172" s="6" t="n">
        <x:v>1</x:v>
      </x:c>
      <x:c r="Q1172" s="6" t="n">
        <x:v>1</x:v>
      </x:c>
      <x:c r="R1172" s="6" t="n">
        <x:v>0</x:v>
      </x:c>
      <x:c r="S1172" s="6" t="n">
        <x:v>2</x:v>
      </x:c>
      <x:c r="T1172" s="6" t="n">
        <x:v>5</x:v>
      </x:c>
      <x:c r="U1172" s="6" t="n">
        <x:v>1</x:v>
      </x:c>
      <x:c r="V1172" s="6" t="n">
        <x:v>0</x:v>
      </x:c>
      <x:c r="W1172" s="6" t="n">
        <x:v>0</x:v>
      </x:c>
      <x:c r="X1172" s="6" t="n">
        <x:v>0</x:v>
      </x:c>
      <x:c r="Y1172" s="6" t="n">
        <x:v>0</x:v>
      </x:c>
      <x:c r="Z1172" s="6" t="n">
        <x:v>0</x:v>
      </x:c>
      <x:c r="AA1172" s="6" t="n">
        <x:v>3</x:v>
      </x:c>
      <x:c r="AB1172" s="6" t="n">
        <x:v>11</x:v>
      </x:c>
      <x:c r="AC1172" s="6" t="n">
        <x:v>0</x:v>
      </x:c>
    </x:row>
    <x:row r="1173">
      <x:c r="A1173" s="6" t="n">
        <x:v>3363</x:v>
      </x:c>
      <x:c r="B1173" s="6" t="n">
        <x:v>1974</x:v>
      </x:c>
      <x:c r="C1173" s="6" t="str">
        <x:v>2n Cycle</x:v>
      </x:c>
      <x:c r="D1173" s="6" t="str">
        <x:v>Married</x:v>
      </x:c>
      <x:c r="E1173" s="6" t="n">
        <x:v>20130</x:v>
      </x:c>
      <x:c r="F1173" s="6" t="n">
        <x:v>0</x:v>
      </x:c>
      <x:c r="G1173" s="6" t="n">
        <x:v>0</x:v>
      </x:c>
      <x:c r="H1173" s="9" t="str">
        <x:v>17-03-2014</x:v>
      </x:c>
      <x:c r="I1173" s="6" t="n">
        <x:v>99</x:v>
      </x:c>
      <x:c r="J1173" s="6" t="n">
        <x:v>0</x:v>
      </x:c>
      <x:c r="K1173" s="6" t="n">
        <x:v>6</x:v>
      </x:c>
      <x:c r="L1173" s="6" t="n">
        <x:v>3</x:v>
      </x:c>
      <x:c r="M1173" s="6" t="n">
        <x:v>7</x:v>
      </x:c>
      <x:c r="N1173" s="6" t="n">
        <x:v>6</x:v>
      </x:c>
      <x:c r="O1173" s="6" t="n">
        <x:v>12</x:v>
      </x:c>
      <x:c r="P1173" s="6" t="n">
        <x:v>1</x:v>
      </x:c>
      <x:c r="Q1173" s="6" t="n">
        <x:v>1</x:v>
      </x:c>
      <x:c r="R1173" s="6" t="n">
        <x:v>0</x:v>
      </x:c>
      <x:c r="S1173" s="6" t="n">
        <x:v>3</x:v>
      </x:c>
      <x:c r="T1173" s="6" t="n">
        <x:v>8</x:v>
      </x:c>
      <x:c r="U1173" s="6" t="n">
        <x:v>0</x:v>
      </x:c>
      <x:c r="V1173" s="6" t="n">
        <x:v>0</x:v>
      </x:c>
      <x:c r="W1173" s="6" t="n">
        <x:v>0</x:v>
      </x:c>
      <x:c r="X1173" s="6" t="n">
        <x:v>0</x:v>
      </x:c>
      <x:c r="Y1173" s="6" t="n">
        <x:v>0</x:v>
      </x:c>
      <x:c r="Z1173" s="6" t="n">
        <x:v>0</x:v>
      </x:c>
      <x:c r="AA1173" s="6" t="n">
        <x:v>3</x:v>
      </x:c>
      <x:c r="AB1173" s="6" t="n">
        <x:v>11</x:v>
      </x:c>
      <x:c r="AC1173" s="6" t="n">
        <x:v>0</x:v>
      </x:c>
    </x:row>
    <x:row r="1174">
      <x:c r="A1174" s="6" t="n">
        <x:v>8278</x:v>
      </x:c>
      <x:c r="B1174" s="6" t="n">
        <x:v>1990</x:v>
      </x:c>
      <x:c r="C1174" s="6" t="str">
        <x:v>PhD</x:v>
      </x:c>
      <x:c r="D1174" s="6" t="str">
        <x:v>Married</x:v>
      </x:c>
      <x:c r="E1174" s="6" t="n">
        <x:v>74214</x:v>
      </x:c>
      <x:c r="F1174" s="6" t="n">
        <x:v>0</x:v>
      </x:c>
      <x:c r="G1174" s="6" t="n">
        <x:v>0</x:v>
      </x:c>
      <x:c r="H1174" s="9" t="str">
        <x:v>26-08-2012</x:v>
      </x:c>
      <x:c r="I1174" s="6" t="n">
        <x:v>3</x:v>
      </x:c>
      <x:c r="J1174" s="6" t="n">
        <x:v>863</x:v>
      </x:c>
      <x:c r="K1174" s="6" t="n">
        <x:v>83</x:v>
      </x:c>
      <x:c r="L1174" s="6" t="n">
        <x:v>547</x:v>
      </x:c>
      <x:c r="M1174" s="6" t="n">
        <x:v>86</x:v>
      </x:c>
      <x:c r="N1174" s="6" t="n">
        <x:v>99</x:v>
      </x:c>
      <x:c r="O1174" s="6" t="n">
        <x:v>33</x:v>
      </x:c>
      <x:c r="P1174" s="6" t="n">
        <x:v>1</x:v>
      </x:c>
      <x:c r="Q1174" s="6" t="n">
        <x:v>8</x:v>
      </x:c>
      <x:c r="R1174" s="6" t="n">
        <x:v>2</x:v>
      </x:c>
      <x:c r="S1174" s="6" t="n">
        <x:v>5</x:v>
      </x:c>
      <x:c r="T1174" s="6" t="n">
        <x:v>5</x:v>
      </x:c>
      <x:c r="U1174" s="6" t="n">
        <x:v>0</x:v>
      </x:c>
      <x:c r="V1174" s="6" t="n">
        <x:v>0</x:v>
      </x:c>
      <x:c r="W1174" s="6" t="n">
        <x:v>0</x:v>
      </x:c>
      <x:c r="X1174" s="6" t="n">
        <x:v>0</x:v>
      </x:c>
      <x:c r="Y1174" s="6" t="n">
        <x:v>0</x:v>
      </x:c>
      <x:c r="Z1174" s="6" t="n">
        <x:v>0</x:v>
      </x:c>
      <x:c r="AA1174" s="6" t="n">
        <x:v>3</x:v>
      </x:c>
      <x:c r="AB1174" s="6" t="n">
        <x:v>11</x:v>
      </x:c>
      <x:c r="AC1174" s="6" t="n">
        <x:v>0</x:v>
      </x:c>
    </x:row>
    <x:row r="1175">
      <x:c r="A1175" s="6" t="n">
        <x:v>10660</x:v>
      </x:c>
      <x:c r="B1175" s="6" t="n">
        <x:v>1957</x:v>
      </x:c>
      <x:c r="C1175" s="6" t="str">
        <x:v>Master</x:v>
      </x:c>
      <x:c r="D1175" s="6" t="str">
        <x:v>Married</x:v>
      </x:c>
      <x:c r="E1175" s="6" t="n">
        <x:v>66726</x:v>
      </x:c>
      <x:c r="F1175" s="6" t="n">
        <x:v>1</x:v>
      </x:c>
      <x:c r="G1175" s="6" t="n">
        <x:v>1</x:v>
      </x:c>
      <x:c r="H1175" s="9" t="str">
        <x:v>12-01-2014</x:v>
      </x:c>
      <x:c r="I1175" s="6" t="n">
        <x:v>61</x:v>
      </x:c>
      <x:c r="J1175" s="6" t="n">
        <x:v>349</x:v>
      </x:c>
      <x:c r="K1175" s="6" t="n">
        <x:v>7</x:v>
      </x:c>
      <x:c r="L1175" s="6" t="n">
        <x:v>35</x:v>
      </x:c>
      <x:c r="M1175" s="6" t="n">
        <x:v>0</x:v>
      </x:c>
      <x:c r="N1175" s="6" t="n">
        <x:v>0</x:v>
      </x:c>
      <x:c r="O1175" s="6" t="n">
        <x:v>47</x:v>
      </x:c>
      <x:c r="P1175" s="6" t="n">
        <x:v>3</x:v>
      </x:c>
      <x:c r="Q1175" s="6" t="n">
        <x:v>8</x:v>
      </x:c>
      <x:c r="R1175" s="6" t="n">
        <x:v>2</x:v>
      </x:c>
      <x:c r="S1175" s="6" t="n">
        <x:v>4</x:v>
      </x:c>
      <x:c r="T1175" s="6" t="n">
        <x:v>7</x:v>
      </x:c>
      <x:c r="U1175" s="6" t="n">
        <x:v>0</x:v>
      </x:c>
      <x:c r="V1175" s="6" t="n">
        <x:v>1</x:v>
      </x:c>
      <x:c r="W1175" s="6" t="n">
        <x:v>0</x:v>
      </x:c>
      <x:c r="X1175" s="6" t="n">
        <x:v>0</x:v>
      </x:c>
      <x:c r="Y1175" s="6" t="n">
        <x:v>0</x:v>
      </x:c>
      <x:c r="Z1175" s="6" t="n">
        <x:v>0</x:v>
      </x:c>
      <x:c r="AA1175" s="6" t="n">
        <x:v>3</x:v>
      </x:c>
      <x:c r="AB1175" s="6" t="n">
        <x:v>11</x:v>
      </x:c>
      <x:c r="AC1175" s="6" t="n">
        <x:v>0</x:v>
      </x:c>
    </x:row>
    <x:row r="1176">
      <x:c r="A1176" s="6" t="n">
        <x:v>8686</x:v>
      </x:c>
      <x:c r="B1176" s="6" t="n">
        <x:v>1979</x:v>
      </x:c>
      <x:c r="C1176" s="6" t="str">
        <x:v>Basic</x:v>
      </x:c>
      <x:c r="D1176" s="6" t="str">
        <x:v>Together</x:v>
      </x:c>
      <x:c r="E1176" s="6" t="n">
        <x:v>23724</x:v>
      </x:c>
      <x:c r="F1176" s="6" t="n">
        <x:v>1</x:v>
      </x:c>
      <x:c r="G1176" s="6" t="n">
        <x:v>0</x:v>
      </x:c>
      <x:c r="H1176" s="9" t="str">
        <x:v>08-01-2013</x:v>
      </x:c>
      <x:c r="I1176" s="6" t="n">
        <x:v>65</x:v>
      </x:c>
      <x:c r="J1176" s="6" t="n">
        <x:v>5</x:v>
      </x:c>
      <x:c r="K1176" s="6" t="n">
        <x:v>23</x:v>
      </x:c>
      <x:c r="L1176" s="6" t="n">
        <x:v>15</x:v>
      </x:c>
      <x:c r="M1176" s="6" t="n">
        <x:v>0</x:v>
      </x:c>
      <x:c r="N1176" s="6" t="n">
        <x:v>18</x:v>
      </x:c>
      <x:c r="O1176" s="6" t="n">
        <x:v>14</x:v>
      </x:c>
      <x:c r="P1176" s="6" t="n">
        <x:v>2</x:v>
      </x:c>
      <x:c r="Q1176" s="6" t="n">
        <x:v>2</x:v>
      </x:c>
      <x:c r="R1176" s="6" t="n">
        <x:v>0</x:v>
      </x:c>
      <x:c r="S1176" s="6" t="n">
        <x:v>3</x:v>
      </x:c>
      <x:c r="T1176" s="6" t="n">
        <x:v>8</x:v>
      </x:c>
      <x:c r="U1176" s="6" t="n">
        <x:v>0</x:v>
      </x:c>
      <x:c r="V1176" s="6" t="n">
        <x:v>0</x:v>
      </x:c>
      <x:c r="W1176" s="6" t="n">
        <x:v>0</x:v>
      </x:c>
      <x:c r="X1176" s="6" t="n">
        <x:v>0</x:v>
      </x:c>
      <x:c r="Y1176" s="6" t="n">
        <x:v>0</x:v>
      </x:c>
      <x:c r="Z1176" s="6" t="n">
        <x:v>0</x:v>
      </x:c>
      <x:c r="AA1176" s="6" t="n">
        <x:v>3</x:v>
      </x:c>
      <x:c r="AB1176" s="6" t="n">
        <x:v>11</x:v>
      </x:c>
      <x:c r="AC1176" s="6" t="n">
        <x:v>0</x:v>
      </x:c>
    </x:row>
    <x:row r="1177">
      <x:c r="A1177" s="6" t="n">
        <x:v>1604</x:v>
      </x:c>
      <x:c r="B1177" s="6" t="n">
        <x:v>1960</x:v>
      </x:c>
      <x:c r="C1177" s="6" t="str">
        <x:v>Master</x:v>
      </x:c>
      <x:c r="D1177" s="6" t="str">
        <x:v>Married</x:v>
      </x:c>
      <x:c r="E1177" s="6" t="n">
        <x:v>47353</x:v>
      </x:c>
      <x:c r="F1177" s="6" t="n">
        <x:v>0</x:v>
      </x:c>
      <x:c r="G1177" s="6" t="n">
        <x:v>1</x:v>
      </x:c>
      <x:c r="H1177" s="9" t="str">
        <x:v>13-11-2013</x:v>
      </x:c>
      <x:c r="I1177" s="6" t="n">
        <x:v>93</x:v>
      </x:c>
      <x:c r="J1177" s="6" t="n">
        <x:v>184</x:v>
      </x:c>
      <x:c r="K1177" s="6" t="n">
        <x:v>2</x:v>
      </x:c>
      <x:c r="L1177" s="6" t="n">
        <x:v>19</x:v>
      </x:c>
      <x:c r="M1177" s="6" t="n">
        <x:v>8</x:v>
      </x:c>
      <x:c r="N1177" s="6" t="n">
        <x:v>8</x:v>
      </x:c>
      <x:c r="O1177" s="6" t="n">
        <x:v>4</x:v>
      </x:c>
      <x:c r="P1177" s="6" t="n">
        <x:v>3</x:v>
      </x:c>
      <x:c r="Q1177" s="6" t="n">
        <x:v>2</x:v>
      </x:c>
      <x:c r="R1177" s="6" t="n">
        <x:v>2</x:v>
      </x:c>
      <x:c r="S1177" s="6" t="n">
        <x:v>6</x:v>
      </x:c>
      <x:c r="T1177" s="6" t="n">
        <x:v>5</x:v>
      </x:c>
      <x:c r="U1177" s="6" t="n">
        <x:v>0</x:v>
      </x:c>
      <x:c r="V1177" s="6" t="n">
        <x:v>0</x:v>
      </x:c>
      <x:c r="W1177" s="6" t="n">
        <x:v>0</x:v>
      </x:c>
      <x:c r="X1177" s="6" t="n">
        <x:v>0</x:v>
      </x:c>
      <x:c r="Y1177" s="6" t="n">
        <x:v>0</x:v>
      </x:c>
      <x:c r="Z1177" s="6" t="n">
        <x:v>0</x:v>
      </x:c>
      <x:c r="AA1177" s="6" t="n">
        <x:v>3</x:v>
      </x:c>
      <x:c r="AB1177" s="6" t="n">
        <x:v>11</x:v>
      </x:c>
      <x:c r="AC1177" s="6" t="n">
        <x:v>0</x:v>
      </x:c>
    </x:row>
    <x:row r="1178">
      <x:c r="A1178" s="6" t="n">
        <x:v>5907</x:v>
      </x:c>
      <x:c r="B1178" s="6" t="n">
        <x:v>1952</x:v>
      </x:c>
      <x:c r="C1178" s="6" t="str">
        <x:v>Master</x:v>
      </x:c>
      <x:c r="D1178" s="6" t="str">
        <x:v>Married</x:v>
      </x:c>
      <x:c r="E1178" s="6" t="n">
        <x:v>33444</x:v>
      </x:c>
      <x:c r="F1178" s="6" t="n">
        <x:v>1</x:v>
      </x:c>
      <x:c r="G1178" s="6" t="n">
        <x:v>1</x:v>
      </x:c>
      <x:c r="H1178" s="9" t="str">
        <x:v>03-11-2012</x:v>
      </x:c>
      <x:c r="I1178" s="6" t="n">
        <x:v>24</x:v>
      </x:c>
      <x:c r="J1178" s="6" t="n">
        <x:v>8</x:v>
      </x:c>
      <x:c r="K1178" s="6" t="n">
        <x:v>0</x:v>
      </x:c>
      <x:c r="L1178" s="6" t="n">
        <x:v>8</x:v>
      </x:c>
      <x:c r="M1178" s="6" t="n">
        <x:v>0</x:v>
      </x:c>
      <x:c r="N1178" s="6" t="n">
        <x:v>0</x:v>
      </x:c>
      <x:c r="O1178" s="6" t="n">
        <x:v>2</x:v>
      </x:c>
      <x:c r="P1178" s="6" t="n">
        <x:v>1</x:v>
      </x:c>
      <x:c r="Q1178" s="6" t="n">
        <x:v>1</x:v>
      </x:c>
      <x:c r="R1178" s="6" t="n">
        <x:v>0</x:v>
      </x:c>
      <x:c r="S1178" s="6" t="n">
        <x:v>2</x:v>
      </x:c>
      <x:c r="T1178" s="6" t="n">
        <x:v>8</x:v>
      </x:c>
      <x:c r="U1178" s="6" t="n">
        <x:v>0</x:v>
      </x:c>
      <x:c r="V1178" s="6" t="n">
        <x:v>0</x:v>
      </x:c>
      <x:c r="W1178" s="6" t="n">
        <x:v>0</x:v>
      </x:c>
      <x:c r="X1178" s="6" t="n">
        <x:v>0</x:v>
      </x:c>
      <x:c r="Y1178" s="6" t="n">
        <x:v>0</x:v>
      </x:c>
      <x:c r="Z1178" s="6" t="n">
        <x:v>0</x:v>
      </x:c>
      <x:c r="AA1178" s="6" t="n">
        <x:v>3</x:v>
      </x:c>
      <x:c r="AB1178" s="6" t="n">
        <x:v>11</x:v>
      </x:c>
      <x:c r="AC1178" s="6" t="n">
        <x:v>0</x:v>
      </x:c>
    </x:row>
    <x:row r="1179">
      <x:c r="A1179" s="6" t="n">
        <x:v>10669</x:v>
      </x:c>
      <x:c r="B1179" s="6" t="n">
        <x:v>1981</x:v>
      </x:c>
      <x:c r="C1179" s="6" t="str">
        <x:v>Graduation</x:v>
      </x:c>
      <x:c r="D1179" s="6" t="str">
        <x:v>Married</x:v>
      </x:c>
      <x:c r="E1179" s="6" t="n">
        <x:v>54386</x:v>
      </x:c>
      <x:c r="F1179" s="6" t="n">
        <x:v>0</x:v>
      </x:c>
      <x:c r="G1179" s="6" t="n">
        <x:v>1</x:v>
      </x:c>
      <x:c r="H1179" s="9" t="str">
        <x:v>17-05-2013</x:v>
      </x:c>
      <x:c r="I1179" s="6" t="n">
        <x:v>8</x:v>
      </x:c>
      <x:c r="J1179" s="6" t="n">
        <x:v>277</x:v>
      </x:c>
      <x:c r="K1179" s="6" t="n">
        <x:v>21</x:v>
      </x:c>
      <x:c r="L1179" s="6" t="n">
        <x:v>64</x:v>
      </x:c>
      <x:c r="M1179" s="6" t="n">
        <x:v>62</x:v>
      </x:c>
      <x:c r="N1179" s="6" t="n">
        <x:v>21</x:v>
      </x:c>
      <x:c r="O1179" s="6" t="n">
        <x:v>25</x:v>
      </x:c>
      <x:c r="P1179" s="6" t="n">
        <x:v>2</x:v>
      </x:c>
      <x:c r="Q1179" s="6" t="n">
        <x:v>3</x:v>
      </x:c>
      <x:c r="R1179" s="6" t="n">
        <x:v>2</x:v>
      </x:c>
      <x:c r="S1179" s="6" t="n">
        <x:v>10</x:v>
      </x:c>
      <x:c r="T1179" s="6" t="n">
        <x:v>3</x:v>
      </x:c>
      <x:c r="U1179" s="6" t="n">
        <x:v>0</x:v>
      </x:c>
      <x:c r="V1179" s="6" t="n">
        <x:v>0</x:v>
      </x:c>
      <x:c r="W1179" s="6" t="n">
        <x:v>0</x:v>
      </x:c>
      <x:c r="X1179" s="6" t="n">
        <x:v>0</x:v>
      </x:c>
      <x:c r="Y1179" s="6" t="n">
        <x:v>0</x:v>
      </x:c>
      <x:c r="Z1179" s="6" t="n">
        <x:v>0</x:v>
      </x:c>
      <x:c r="AA1179" s="6" t="n">
        <x:v>3</x:v>
      </x:c>
      <x:c r="AB1179" s="6" t="n">
        <x:v>11</x:v>
      </x:c>
      <x:c r="AC1179" s="6" t="n">
        <x:v>0</x:v>
      </x:c>
    </x:row>
    <x:row r="1180">
      <x:c r="A1180" s="6" t="n">
        <x:v>2918</x:v>
      </x:c>
      <x:c r="B1180" s="6" t="n">
        <x:v>1981</x:v>
      </x:c>
      <x:c r="C1180" s="6" t="str">
        <x:v>Graduation</x:v>
      </x:c>
      <x:c r="D1180" s="6" t="str">
        <x:v>Divorced</x:v>
      </x:c>
      <x:c r="E1180" s="6" t="n">
        <x:v>28510</x:v>
      </x:c>
      <x:c r="F1180" s="6" t="n">
        <x:v>1</x:v>
      </x:c>
      <x:c r="G1180" s="6" t="n">
        <x:v>1</x:v>
      </x:c>
      <x:c r="H1180" s="9" t="str">
        <x:v>13-04-2013</x:v>
      </x:c>
      <x:c r="I1180" s="6" t="n">
        <x:v>72</x:v>
      </x:c>
      <x:c r="J1180" s="6" t="n">
        <x:v>44</x:v>
      </x:c>
      <x:c r="K1180" s="6" t="n">
        <x:v>5</x:v>
      </x:c>
      <x:c r="L1180" s="6" t="n">
        <x:v>19</x:v>
      </x:c>
      <x:c r="M1180" s="6" t="n">
        <x:v>0</x:v>
      </x:c>
      <x:c r="N1180" s="6" t="n">
        <x:v>4</x:v>
      </x:c>
      <x:c r="O1180" s="6" t="n">
        <x:v>19</x:v>
      </x:c>
      <x:c r="P1180" s="6" t="n">
        <x:v>3</x:v>
      </x:c>
      <x:c r="Q1180" s="6" t="n">
        <x:v>2</x:v>
      </x:c>
      <x:c r="R1180" s="6" t="n">
        <x:v>0</x:v>
      </x:c>
      <x:c r="S1180" s="6" t="n">
        <x:v>4</x:v>
      </x:c>
      <x:c r="T1180" s="6" t="n">
        <x:v>5</x:v>
      </x:c>
      <x:c r="U1180" s="6" t="n">
        <x:v>0</x:v>
      </x:c>
      <x:c r="V1180" s="6" t="n">
        <x:v>0</x:v>
      </x:c>
      <x:c r="W1180" s="6" t="n">
        <x:v>0</x:v>
      </x:c>
      <x:c r="X1180" s="6" t="n">
        <x:v>0</x:v>
      </x:c>
      <x:c r="Y1180" s="6" t="n">
        <x:v>0</x:v>
      </x:c>
      <x:c r="Z1180" s="6" t="n">
        <x:v>0</x:v>
      </x:c>
      <x:c r="AA1180" s="6" t="n">
        <x:v>3</x:v>
      </x:c>
      <x:c r="AB1180" s="6" t="n">
        <x:v>11</x:v>
      </x:c>
      <x:c r="AC1180" s="6" t="n">
        <x:v>0</x:v>
      </x:c>
    </x:row>
    <x:row r="1181">
      <x:c r="A1181" s="6" t="n">
        <x:v>5735</x:v>
      </x:c>
      <x:c r="B1181" s="6" t="n">
        <x:v>1991</x:v>
      </x:c>
      <x:c r="C1181" s="6" t="str">
        <x:v>Master</x:v>
      </x:c>
      <x:c r="D1181" s="6" t="str">
        <x:v>Single</x:v>
      </x:c>
      <x:c r="E1181" s="6" t="n">
        <x:v>90638</x:v>
      </x:c>
      <x:c r="F1181" s="6" t="n">
        <x:v>0</x:v>
      </x:c>
      <x:c r="G1181" s="6" t="n">
        <x:v>0</x:v>
      </x:c>
      <x:c r="H1181" s="9" t="str">
        <x:v>13-02-2014</x:v>
      </x:c>
      <x:c r="I1181" s="6" t="n">
        <x:v>29</x:v>
      </x:c>
      <x:c r="J1181" s="6" t="n">
        <x:v>1156</x:v>
      </x:c>
      <x:c r="K1181" s="6" t="n">
        <x:v>120</x:v>
      </x:c>
      <x:c r="L1181" s="6" t="n">
        <x:v>915</x:v>
      </x:c>
      <x:c r="M1181" s="6" t="n">
        <x:v>94</x:v>
      </x:c>
      <x:c r="N1181" s="6" t="n">
        <x:v>144</x:v>
      </x:c>
      <x:c r="O1181" s="6" t="n">
        <x:v>96</x:v>
      </x:c>
      <x:c r="P1181" s="6" t="n">
        <x:v>1</x:v>
      </x:c>
      <x:c r="Q1181" s="6" t="n">
        <x:v>3</x:v>
      </x:c>
      <x:c r="R1181" s="6" t="n">
        <x:v>4</x:v>
      </x:c>
      <x:c r="S1181" s="6" t="n">
        <x:v>10</x:v>
      </x:c>
      <x:c r="T1181" s="6" t="n">
        <x:v>1</x:v>
      </x:c>
      <x:c r="U1181" s="6" t="n">
        <x:v>0</x:v>
      </x:c>
      <x:c r="V1181" s="6" t="n">
        <x:v>0</x:v>
      </x:c>
      <x:c r="W1181" s="6" t="n">
        <x:v>1</x:v>
      </x:c>
      <x:c r="X1181" s="6" t="n">
        <x:v>0</x:v>
      </x:c>
      <x:c r="Y1181" s="6" t="n">
        <x:v>0</x:v>
      </x:c>
      <x:c r="Z1181" s="6" t="n">
        <x:v>0</x:v>
      </x:c>
      <x:c r="AA1181" s="6" t="n">
        <x:v>3</x:v>
      </x:c>
      <x:c r="AB1181" s="6" t="n">
        <x:v>11</x:v>
      </x:c>
      <x:c r="AC1181" s="6" t="n">
        <x:v>0</x:v>
      </x:c>
    </x:row>
    <x:row r="1182">
      <x:c r="A1182" s="6" t="n">
        <x:v>359</x:v>
      </x:c>
      <x:c r="B1182" s="6" t="n">
        <x:v>1950</x:v>
      </x:c>
      <x:c r="C1182" s="6" t="str">
        <x:v>Graduation</x:v>
      </x:c>
      <x:c r="D1182" s="6" t="str">
        <x:v>Together</x:v>
      </x:c>
      <x:c r="E1182" s="6" t="n">
        <x:v>48070</x:v>
      </x:c>
      <x:c r="F1182" s="6" t="n">
        <x:v>0</x:v>
      </x:c>
      <x:c r="G1182" s="6" t="n">
        <x:v>1</x:v>
      </x:c>
      <x:c r="H1182" s="9" t="str">
        <x:v>13-01-2013</x:v>
      </x:c>
      <x:c r="I1182" s="6" t="n">
        <x:v>33</x:v>
      </x:c>
      <x:c r="J1182" s="6" t="n">
        <x:v>373</x:v>
      </x:c>
      <x:c r="K1182" s="6" t="n">
        <x:v>14</x:v>
      </x:c>
      <x:c r="L1182" s="6" t="n">
        <x:v>83</x:v>
      </x:c>
      <x:c r="M1182" s="6" t="n">
        <x:v>6</x:v>
      </x:c>
      <x:c r="N1182" s="6" t="n">
        <x:v>9</x:v>
      </x:c>
      <x:c r="O1182" s="6" t="n">
        <x:v>19</x:v>
      </x:c>
      <x:c r="P1182" s="6" t="n">
        <x:v>3</x:v>
      </x:c>
      <x:c r="Q1182" s="6" t="n">
        <x:v>8</x:v>
      </x:c>
      <x:c r="R1182" s="6" t="n">
        <x:v>2</x:v>
      </x:c>
      <x:c r="S1182" s="6" t="n">
        <x:v>6</x:v>
      </x:c>
      <x:c r="T1182" s="6" t="n">
        <x:v>7</x:v>
      </x:c>
      <x:c r="U1182" s="6" t="n">
        <x:v>0</x:v>
      </x:c>
      <x:c r="V1182" s="6" t="n">
        <x:v>0</x:v>
      </x:c>
      <x:c r="W1182" s="6" t="n">
        <x:v>0</x:v>
      </x:c>
      <x:c r="X1182" s="6" t="n">
        <x:v>0</x:v>
      </x:c>
      <x:c r="Y1182" s="6" t="n">
        <x:v>0</x:v>
      </x:c>
      <x:c r="Z1182" s="6" t="n">
        <x:v>1</x:v>
      </x:c>
      <x:c r="AA1182" s="6" t="n">
        <x:v>3</x:v>
      </x:c>
      <x:c r="AB1182" s="6" t="n">
        <x:v>11</x:v>
      </x:c>
      <x:c r="AC1182" s="6" t="n">
        <x:v>0</x:v>
      </x:c>
    </x:row>
    <x:row r="1183">
      <x:c r="A1183" s="6" t="n">
        <x:v>8387</x:v>
      </x:c>
      <x:c r="B1183" s="6" t="n">
        <x:v>1957</x:v>
      </x:c>
      <x:c r="C1183" s="6" t="str">
        <x:v>Graduation</x:v>
      </x:c>
      <x:c r="D1183" s="6" t="str">
        <x:v>Married</x:v>
      </x:c>
      <x:c r="E1183" s="6" t="n">
        <x:v>43140</x:v>
      </x:c>
      <x:c r="F1183" s="6" t="n">
        <x:v>0</x:v>
      </x:c>
      <x:c r="G1183" s="6" t="n">
        <x:v>1</x:v>
      </x:c>
      <x:c r="H1183" s="9" t="str">
        <x:v>05-01-2013</x:v>
      </x:c>
      <x:c r="I1183" s="6" t="n">
        <x:v>68</x:v>
      </x:c>
      <x:c r="J1183" s="6" t="n">
        <x:v>134</x:v>
      </x:c>
      <x:c r="K1183" s="6" t="n">
        <x:v>8</x:v>
      </x:c>
      <x:c r="L1183" s="6" t="n">
        <x:v>76</x:v>
      </x:c>
      <x:c r="M1183" s="6" t="n">
        <x:v>6</x:v>
      </x:c>
      <x:c r="N1183" s="6" t="n">
        <x:v>0</x:v>
      </x:c>
      <x:c r="O1183" s="6" t="n">
        <x:v>11</x:v>
      </x:c>
      <x:c r="P1183" s="6" t="n">
        <x:v>1</x:v>
      </x:c>
      <x:c r="Q1183" s="6" t="n">
        <x:v>4</x:v>
      </x:c>
      <x:c r="R1183" s="6" t="n">
        <x:v>1</x:v>
      </x:c>
      <x:c r="S1183" s="6" t="n">
        <x:v>5</x:v>
      </x:c>
      <x:c r="T1183" s="6" t="n">
        <x:v>6</x:v>
      </x:c>
      <x:c r="U1183" s="6" t="n">
        <x:v>0</x:v>
      </x:c>
      <x:c r="V1183" s="6" t="n">
        <x:v>0</x:v>
      </x:c>
      <x:c r="W1183" s="6" t="n">
        <x:v>0</x:v>
      </x:c>
      <x:c r="X1183" s="6" t="n">
        <x:v>0</x:v>
      </x:c>
      <x:c r="Y1183" s="6" t="n">
        <x:v>0</x:v>
      </x:c>
      <x:c r="Z1183" s="6" t="n">
        <x:v>0</x:v>
      </x:c>
      <x:c r="AA1183" s="6" t="n">
        <x:v>3</x:v>
      </x:c>
      <x:c r="AB1183" s="6" t="n">
        <x:v>11</x:v>
      </x:c>
      <x:c r="AC1183" s="6" t="n">
        <x:v>0</x:v>
      </x:c>
    </x:row>
    <x:row r="1184">
      <x:c r="A1184" s="6" t="n">
        <x:v>1829</x:v>
      </x:c>
      <x:c r="B1184" s="6" t="n">
        <x:v>1961</x:v>
      </x:c>
      <x:c r="C1184" s="6" t="str">
        <x:v>PhD</x:v>
      </x:c>
      <x:c r="D1184" s="6" t="str">
        <x:v>Divorced</x:v>
      </x:c>
      <x:c r="E1184" s="6" t="n">
        <x:v>54959</x:v>
      </x:c>
      <x:c r="F1184" s="6" t="n">
        <x:v>0</x:v>
      </x:c>
      <x:c r="G1184" s="6" t="n">
        <x:v>1</x:v>
      </x:c>
      <x:c r="H1184" s="9" t="str">
        <x:v>19-01-2013</x:v>
      </x:c>
      <x:c r="I1184" s="6" t="n">
        <x:v>55</x:v>
      </x:c>
      <x:c r="J1184" s="6" t="n">
        <x:v>1148</x:v>
      </x:c>
      <x:c r="K1184" s="6" t="n">
        <x:v>0</x:v>
      </x:c>
      <x:c r="L1184" s="6" t="n">
        <x:v>60</x:v>
      </x:c>
      <x:c r="M1184" s="6" t="n">
        <x:v>0</x:v>
      </x:c>
      <x:c r="N1184" s="6" t="n">
        <x:v>0</x:v>
      </x:c>
      <x:c r="O1184" s="6" t="n">
        <x:v>24</x:v>
      </x:c>
      <x:c r="P1184" s="6" t="n">
        <x:v>3</x:v>
      </x:c>
      <x:c r="Q1184" s="6" t="n">
        <x:v>9</x:v>
      </x:c>
      <x:c r="R1184" s="6" t="n">
        <x:v>5</x:v>
      </x:c>
      <x:c r="S1184" s="6" t="n">
        <x:v>4</x:v>
      </x:c>
      <x:c r="T1184" s="6" t="n">
        <x:v>7</x:v>
      </x:c>
      <x:c r="U1184" s="6" t="n">
        <x:v>0</x:v>
      </x:c>
      <x:c r="V1184" s="6" t="n">
        <x:v>1</x:v>
      </x:c>
      <x:c r="W1184" s="6" t="n">
        <x:v>0</x:v>
      </x:c>
      <x:c r="X1184" s="6" t="n">
        <x:v>0</x:v>
      </x:c>
      <x:c r="Y1184" s="6" t="n">
        <x:v>0</x:v>
      </x:c>
      <x:c r="Z1184" s="6" t="n">
        <x:v>0</x:v>
      </x:c>
      <x:c r="AA1184" s="6" t="n">
        <x:v>3</x:v>
      </x:c>
      <x:c r="AB1184" s="6" t="n">
        <x:v>11</x:v>
      </x:c>
      <x:c r="AC1184" s="6" t="n">
        <x:v>1</x:v>
      </x:c>
    </x:row>
    <x:row r="1185">
      <x:c r="A1185" s="6" t="n">
        <x:v>3839</x:v>
      </x:c>
      <x:c r="B1185" s="6" t="n">
        <x:v>1958</x:v>
      </x:c>
      <x:c r="C1185" s="6" t="str">
        <x:v>Basic</x:v>
      </x:c>
      <x:c r="D1185" s="6" t="str">
        <x:v>Single</x:v>
      </x:c>
      <x:c r="E1185" s="6" t="n">
        <x:v>15056</x:v>
      </x:c>
      <x:c r="F1185" s="6" t="n">
        <x:v>1</x:v>
      </x:c>
      <x:c r="G1185" s="6" t="n">
        <x:v>1</x:v>
      </x:c>
      <x:c r="H1185" s="9" t="str">
        <x:v>03-05-2013</x:v>
      </x:c>
      <x:c r="I1185" s="6" t="n">
        <x:v>76</x:v>
      </x:c>
      <x:c r="J1185" s="6" t="n">
        <x:v>6</x:v>
      </x:c>
      <x:c r="K1185" s="6" t="n">
        <x:v>12</x:v>
      </x:c>
      <x:c r="L1185" s="6" t="n">
        <x:v>3</x:v>
      </x:c>
      <x:c r="M1185" s="6" t="n">
        <x:v>21</x:v>
      </x:c>
      <x:c r="N1185" s="6" t="n">
        <x:v>6</x:v>
      </x:c>
      <x:c r="O1185" s="6" t="n">
        <x:v>40</x:v>
      </x:c>
      <x:c r="P1185" s="6" t="n">
        <x:v>5</x:v>
      </x:c>
      <x:c r="Q1185" s="6" t="n">
        <x:v>2</x:v>
      </x:c>
      <x:c r="R1185" s="6" t="n">
        <x:v>2</x:v>
      </x:c>
      <x:c r="S1185" s="6" t="n">
        <x:v>3</x:v>
      </x:c>
      <x:c r="T1185" s="6" t="n">
        <x:v>5</x:v>
      </x:c>
      <x:c r="U1185" s="6" t="n">
        <x:v>0</x:v>
      </x:c>
      <x:c r="V1185" s="6" t="n">
        <x:v>0</x:v>
      </x:c>
      <x:c r="W1185" s="6" t="n">
        <x:v>0</x:v>
      </x:c>
      <x:c r="X1185" s="6" t="n">
        <x:v>0</x:v>
      </x:c>
      <x:c r="Y1185" s="6" t="n">
        <x:v>0</x:v>
      </x:c>
      <x:c r="Z1185" s="6" t="n">
        <x:v>0</x:v>
      </x:c>
      <x:c r="AA1185" s="6" t="n">
        <x:v>3</x:v>
      </x:c>
      <x:c r="AB1185" s="6" t="n">
        <x:v>11</x:v>
      </x:c>
      <x:c r="AC1185" s="6" t="n">
        <x:v>0</x:v>
      </x:c>
    </x:row>
    <x:row r="1186">
      <x:c r="A1186" s="6" t="n">
        <x:v>9392</x:v>
      </x:c>
      <x:c r="B1186" s="6" t="n">
        <x:v>1971</x:v>
      </x:c>
      <x:c r="C1186" s="6" t="str">
        <x:v>Graduation</x:v>
      </x:c>
      <x:c r="D1186" s="6" t="str">
        <x:v>Single</x:v>
      </x:c>
      <x:c r="E1186" s="6" t="n">
        <x:v>26954</x:v>
      </x:c>
      <x:c r="F1186" s="6" t="n">
        <x:v>1</x:v>
      </x:c>
      <x:c r="G1186" s="6" t="n">
        <x:v>0</x:v>
      </x:c>
      <x:c r="H1186" s="9" t="str">
        <x:v>08-05-2014</x:v>
      </x:c>
      <x:c r="I1186" s="6" t="n">
        <x:v>17</x:v>
      </x:c>
      <x:c r="J1186" s="6" t="n">
        <x:v>4</x:v>
      </x:c>
      <x:c r="K1186" s="6" t="n">
        <x:v>1</x:v>
      </x:c>
      <x:c r="L1186" s="6" t="n">
        <x:v>11</x:v>
      </x:c>
      <x:c r="M1186" s="6" t="n">
        <x:v>0</x:v>
      </x:c>
      <x:c r="N1186" s="6" t="n">
        <x:v>0</x:v>
      </x:c>
      <x:c r="O1186" s="6" t="n">
        <x:v>1</x:v>
      </x:c>
      <x:c r="P1186" s="6" t="n">
        <x:v>1</x:v>
      </x:c>
      <x:c r="Q1186" s="6" t="n">
        <x:v>1</x:v>
      </x:c>
      <x:c r="R1186" s="6" t="n">
        <x:v>0</x:v>
      </x:c>
      <x:c r="S1186" s="6" t="n">
        <x:v>2</x:v>
      </x:c>
      <x:c r="T1186" s="6" t="n">
        <x:v>7</x:v>
      </x:c>
      <x:c r="U1186" s="6" t="n">
        <x:v>0</x:v>
      </x:c>
      <x:c r="V1186" s="6" t="n">
        <x:v>0</x:v>
      </x:c>
      <x:c r="W1186" s="6" t="n">
        <x:v>0</x:v>
      </x:c>
      <x:c r="X1186" s="6" t="n">
        <x:v>0</x:v>
      </x:c>
      <x:c r="Y1186" s="6" t="n">
        <x:v>0</x:v>
      </x:c>
      <x:c r="Z1186" s="6" t="n">
        <x:v>0</x:v>
      </x:c>
      <x:c r="AA1186" s="6" t="n">
        <x:v>3</x:v>
      </x:c>
      <x:c r="AB1186" s="6" t="n">
        <x:v>11</x:v>
      </x:c>
      <x:c r="AC1186" s="6" t="n">
        <x:v>0</x:v>
      </x:c>
    </x:row>
    <x:row r="1187">
      <x:c r="A1187" s="6" t="n">
        <x:v>2292</x:v>
      </x:c>
      <x:c r="B1187" s="6" t="n">
        <x:v>1985</x:v>
      </x:c>
      <x:c r="C1187" s="6" t="str">
        <x:v>Graduation</x:v>
      </x:c>
      <x:c r="D1187" s="6" t="str">
        <x:v>Single</x:v>
      </x:c>
      <x:c r="E1187" s="6" t="n">
        <x:v>22327</x:v>
      </x:c>
      <x:c r="F1187" s="6" t="n">
        <x:v>1</x:v>
      </x:c>
      <x:c r="G1187" s="6" t="n">
        <x:v>0</x:v>
      </x:c>
      <x:c r="H1187" s="9" t="str">
        <x:v>02-08-2013</x:v>
      </x:c>
      <x:c r="I1187" s="6" t="n">
        <x:v>94</x:v>
      </x:c>
      <x:c r="J1187" s="6" t="n">
        <x:v>5</x:v>
      </x:c>
      <x:c r="K1187" s="6" t="n">
        <x:v>4</x:v>
      </x:c>
      <x:c r="L1187" s="6" t="n">
        <x:v>8</x:v>
      </x:c>
      <x:c r="M1187" s="6" t="n">
        <x:v>2</x:v>
      </x:c>
      <x:c r="N1187" s="6" t="n">
        <x:v>0</x:v>
      </x:c>
      <x:c r="O1187" s="6" t="n">
        <x:v>5</x:v>
      </x:c>
      <x:c r="P1187" s="6" t="n">
        <x:v>1</x:v>
      </x:c>
      <x:c r="Q1187" s="6" t="n">
        <x:v>1</x:v>
      </x:c>
      <x:c r="R1187" s="6" t="n">
        <x:v>0</x:v>
      </x:c>
      <x:c r="S1187" s="6" t="n">
        <x:v>3</x:v>
      </x:c>
      <x:c r="T1187" s="6" t="n">
        <x:v>5</x:v>
      </x:c>
      <x:c r="U1187" s="6" t="n">
        <x:v>0</x:v>
      </x:c>
      <x:c r="V1187" s="6" t="n">
        <x:v>0</x:v>
      </x:c>
      <x:c r="W1187" s="6" t="n">
        <x:v>0</x:v>
      </x:c>
      <x:c r="X1187" s="6" t="n">
        <x:v>0</x:v>
      </x:c>
      <x:c r="Y1187" s="6" t="n">
        <x:v>0</x:v>
      </x:c>
      <x:c r="Z1187" s="6" t="n">
        <x:v>0</x:v>
      </x:c>
      <x:c r="AA1187" s="6" t="n">
        <x:v>3</x:v>
      </x:c>
      <x:c r="AB1187" s="6" t="n">
        <x:v>11</x:v>
      </x:c>
      <x:c r="AC1187" s="6" t="n">
        <x:v>0</x:v>
      </x:c>
    </x:row>
    <x:row r="1188">
      <x:c r="A1188" s="6" t="n">
        <x:v>10466</x:v>
      </x:c>
      <x:c r="B1188" s="6" t="n">
        <x:v>1965</x:v>
      </x:c>
      <x:c r="C1188" s="6" t="str">
        <x:v>Graduation</x:v>
      </x:c>
      <x:c r="D1188" s="6" t="str">
        <x:v>Married</x:v>
      </x:c>
      <x:c r="E1188" s="6" t="n">
        <x:v>44393</x:v>
      </x:c>
      <x:c r="F1188" s="6" t="n">
        <x:v>1</x:v>
      </x:c>
      <x:c r="G1188" s="6" t="n">
        <x:v>1</x:v>
      </x:c>
      <x:c r="H1188" s="9" t="str">
        <x:v>22-08-2013</x:v>
      </x:c>
      <x:c r="I1188" s="6" t="n">
        <x:v>86</x:v>
      </x:c>
      <x:c r="J1188" s="6" t="n">
        <x:v>24</x:v>
      </x:c>
      <x:c r="K1188" s="6" t="n">
        <x:v>2</x:v>
      </x:c>
      <x:c r="L1188" s="6" t="n">
        <x:v>20</x:v>
      </x:c>
      <x:c r="M1188" s="6" t="n">
        <x:v>2</x:v>
      </x:c>
      <x:c r="N1188" s="6" t="n">
        <x:v>2</x:v>
      </x:c>
      <x:c r="O1188" s="6" t="n">
        <x:v>10</x:v>
      </x:c>
      <x:c r="P1188" s="6" t="n">
        <x:v>2</x:v>
      </x:c>
      <x:c r="Q1188" s="6" t="n">
        <x:v>1</x:v>
      </x:c>
      <x:c r="R1188" s="6" t="n">
        <x:v>0</x:v>
      </x:c>
      <x:c r="S1188" s="6" t="n">
        <x:v>4</x:v>
      </x:c>
      <x:c r="T1188" s="6" t="n">
        <x:v>4</x:v>
      </x:c>
      <x:c r="U1188" s="6" t="n">
        <x:v>0</x:v>
      </x:c>
      <x:c r="V1188" s="6" t="n">
        <x:v>0</x:v>
      </x:c>
      <x:c r="W1188" s="6" t="n">
        <x:v>0</x:v>
      </x:c>
      <x:c r="X1188" s="6" t="n">
        <x:v>0</x:v>
      </x:c>
      <x:c r="Y1188" s="6" t="n">
        <x:v>0</x:v>
      </x:c>
      <x:c r="Z1188" s="6" t="n">
        <x:v>0</x:v>
      </x:c>
      <x:c r="AA1188" s="6" t="n">
        <x:v>3</x:v>
      </x:c>
      <x:c r="AB1188" s="6" t="n">
        <x:v>11</x:v>
      </x:c>
      <x:c r="AC1188" s="6" t="n">
        <x:v>0</x:v>
      </x:c>
    </x:row>
    <x:row r="1189">
      <x:c r="A1189" s="6" t="n">
        <x:v>9855</x:v>
      </x:c>
      <x:c r="B1189" s="6" t="n">
        <x:v>1952</x:v>
      </x:c>
      <x:c r="C1189" s="6" t="str">
        <x:v>PhD</x:v>
      </x:c>
      <x:c r="D1189" s="6" t="str">
        <x:v>Single</x:v>
      </x:c>
      <x:c r="E1189" s="6" t="n">
        <x:v>62000</x:v>
      </x:c>
      <x:c r="F1189" s="6" t="n">
        <x:v>0</x:v>
      </x:c>
      <x:c r="G1189" s="6" t="n">
        <x:v>1</x:v>
      </x:c>
      <x:c r="H1189" s="9" t="str">
        <x:v>25-08-2013</x:v>
      </x:c>
      <x:c r="I1189" s="6" t="n">
        <x:v>25</x:v>
      </x:c>
      <x:c r="J1189" s="6" t="n">
        <x:v>899</x:v>
      </x:c>
      <x:c r="K1189" s="6" t="n">
        <x:v>0</x:v>
      </x:c>
      <x:c r="L1189" s="6" t="n">
        <x:v>101</x:v>
      </x:c>
      <x:c r="M1189" s="6" t="n">
        <x:v>0</x:v>
      </x:c>
      <x:c r="N1189" s="6" t="n">
        <x:v>0</x:v>
      </x:c>
      <x:c r="O1189" s="6" t="n">
        <x:v>20</x:v>
      </x:c>
      <x:c r="P1189" s="6" t="n">
        <x:v>1</x:v>
      </x:c>
      <x:c r="Q1189" s="6" t="n">
        <x:v>6</x:v>
      </x:c>
      <x:c r="R1189" s="6" t="n">
        <x:v>6</x:v>
      </x:c>
      <x:c r="S1189" s="6" t="n">
        <x:v>13</x:v>
      </x:c>
      <x:c r="T1189" s="6" t="n">
        <x:v>4</x:v>
      </x:c>
      <x:c r="U1189" s="6" t="n">
        <x:v>0</x:v>
      </x:c>
      <x:c r="V1189" s="6" t="n">
        <x:v>0</x:v>
      </x:c>
      <x:c r="W1189" s="6" t="n">
        <x:v>0</x:v>
      </x:c>
      <x:c r="X1189" s="6" t="n">
        <x:v>1</x:v>
      </x:c>
      <x:c r="Y1189" s="6" t="n">
        <x:v>0</x:v>
      </x:c>
      <x:c r="Z1189" s="6" t="n">
        <x:v>0</x:v>
      </x:c>
      <x:c r="AA1189" s="6" t="n">
        <x:v>3</x:v>
      </x:c>
      <x:c r="AB1189" s="6" t="n">
        <x:v>11</x:v>
      </x:c>
      <x:c r="AC1189" s="6" t="n">
        <x:v>0</x:v>
      </x:c>
    </x:row>
    <x:row r="1190">
      <x:c r="A1190" s="6" t="n">
        <x:v>4088</x:v>
      </x:c>
      <x:c r="B1190" s="6" t="n">
        <x:v>1962</x:v>
      </x:c>
      <x:c r="C1190" s="6" t="str">
        <x:v>PhD</x:v>
      </x:c>
      <x:c r="D1190" s="6" t="str">
        <x:v>Together</x:v>
      </x:c>
      <x:c r="E1190" s="6" t="n">
        <x:v>31497</x:v>
      </x:c>
      <x:c r="F1190" s="6" t="n">
        <x:v>0</x:v>
      </x:c>
      <x:c r="G1190" s="6" t="n">
        <x:v>1</x:v>
      </x:c>
      <x:c r="H1190" s="9" t="str">
        <x:v>06-12-2012</x:v>
      </x:c>
      <x:c r="I1190" s="6" t="n">
        <x:v>22</x:v>
      </x:c>
      <x:c r="J1190" s="6" t="n">
        <x:v>108</x:v>
      </x:c>
      <x:c r="K1190" s="6" t="n">
        <x:v>1</x:v>
      </x:c>
      <x:c r="L1190" s="6" t="n">
        <x:v>28</x:v>
      </x:c>
      <x:c r="M1190" s="6" t="n">
        <x:v>13</x:v>
      </x:c>
      <x:c r="N1190" s="6" t="n">
        <x:v>1</x:v>
      </x:c>
      <x:c r="O1190" s="6" t="n">
        <x:v>4</x:v>
      </x:c>
      <x:c r="P1190" s="6" t="n">
        <x:v>2</x:v>
      </x:c>
      <x:c r="Q1190" s="6" t="n">
        <x:v>3</x:v>
      </x:c>
      <x:c r="R1190" s="6" t="n">
        <x:v>1</x:v>
      </x:c>
      <x:c r="S1190" s="6" t="n">
        <x:v>4</x:v>
      </x:c>
      <x:c r="T1190" s="6" t="n">
        <x:v>8</x:v>
      </x:c>
      <x:c r="U1190" s="6" t="n">
        <x:v>0</x:v>
      </x:c>
      <x:c r="V1190" s="6" t="n">
        <x:v>0</x:v>
      </x:c>
      <x:c r="W1190" s="6" t="n">
        <x:v>0</x:v>
      </x:c>
      <x:c r="X1190" s="6" t="n">
        <x:v>0</x:v>
      </x:c>
      <x:c r="Y1190" s="6" t="n">
        <x:v>0</x:v>
      </x:c>
      <x:c r="Z1190" s="6" t="n">
        <x:v>0</x:v>
      </x:c>
      <x:c r="AA1190" s="6" t="n">
        <x:v>3</x:v>
      </x:c>
      <x:c r="AB1190" s="6" t="n">
        <x:v>11</x:v>
      </x:c>
      <x:c r="AC1190" s="6" t="n">
        <x:v>0</x:v>
      </x:c>
    </x:row>
    <x:row r="1191">
      <x:c r="A1191" s="6" t="n">
        <x:v>5231</x:v>
      </x:c>
      <x:c r="B1191" s="6" t="n">
        <x:v>1974</x:v>
      </x:c>
      <x:c r="C1191" s="6" t="str">
        <x:v>2n Cycle</x:v>
      </x:c>
      <x:c r="D1191" s="6" t="str">
        <x:v>Married</x:v>
      </x:c>
      <x:c r="E1191" s="6" t="n">
        <x:v>45894</x:v>
      </x:c>
      <x:c r="F1191" s="6" t="n">
        <x:v>0</x:v>
      </x:c>
      <x:c r="G1191" s="6" t="n">
        <x:v>2</x:v>
      </x:c>
      <x:c r="H1191" s="9" t="str">
        <x:v>27-02-2014</x:v>
      </x:c>
      <x:c r="I1191" s="6" t="n">
        <x:v>15</x:v>
      </x:c>
      <x:c r="J1191" s="6" t="n">
        <x:v>27</x:v>
      </x:c>
      <x:c r="K1191" s="6" t="n">
        <x:v>2</x:v>
      </x:c>
      <x:c r="L1191" s="6" t="n">
        <x:v>7</x:v>
      </x:c>
      <x:c r="M1191" s="6" t="n">
        <x:v>0</x:v>
      </x:c>
      <x:c r="N1191" s="6" t="n">
        <x:v>2</x:v>
      </x:c>
      <x:c r="O1191" s="6" t="n">
        <x:v>13</x:v>
      </x:c>
      <x:c r="P1191" s="6" t="n">
        <x:v>1</x:v>
      </x:c>
      <x:c r="Q1191" s="6" t="n">
        <x:v>1</x:v>
      </x:c>
      <x:c r="R1191" s="6" t="n">
        <x:v>0</x:v>
      </x:c>
      <x:c r="S1191" s="6" t="n">
        <x:v>3</x:v>
      </x:c>
      <x:c r="T1191" s="6" t="n">
        <x:v>5</x:v>
      </x:c>
      <x:c r="U1191" s="6" t="n">
        <x:v>0</x:v>
      </x:c>
      <x:c r="V1191" s="6" t="n">
        <x:v>0</x:v>
      </x:c>
      <x:c r="W1191" s="6" t="n">
        <x:v>0</x:v>
      </x:c>
      <x:c r="X1191" s="6" t="n">
        <x:v>0</x:v>
      </x:c>
      <x:c r="Y1191" s="6" t="n">
        <x:v>0</x:v>
      </x:c>
      <x:c r="Z1191" s="6" t="n">
        <x:v>0</x:v>
      </x:c>
      <x:c r="AA1191" s="6" t="n">
        <x:v>3</x:v>
      </x:c>
      <x:c r="AB1191" s="6" t="n">
        <x:v>11</x:v>
      </x:c>
      <x:c r="AC1191" s="6" t="n">
        <x:v>0</x:v>
      </x:c>
    </x:row>
    <x:row r="1192">
      <x:c r="A1192" s="6" t="n">
        <x:v>590</x:v>
      </x:c>
      <x:c r="B1192" s="6" t="n">
        <x:v>1970</x:v>
      </x:c>
      <x:c r="C1192" s="6" t="str">
        <x:v>Master</x:v>
      </x:c>
      <x:c r="D1192" s="6" t="str">
        <x:v>Divorced</x:v>
      </x:c>
      <x:c r="E1192" s="6" t="n">
        <x:v>78579</x:v>
      </x:c>
      <x:c r="F1192" s="6" t="n">
        <x:v>0</x:v>
      </x:c>
      <x:c r="G1192" s="6" t="n">
        <x:v>0</x:v>
      </x:c>
      <x:c r="H1192" s="9" t="str">
        <x:v>22-12-2012</x:v>
      </x:c>
      <x:c r="I1192" s="6" t="n">
        <x:v>35</x:v>
      </x:c>
      <x:c r="J1192" s="6" t="n">
        <x:v>816</x:v>
      </x:c>
      <x:c r="K1192" s="6" t="n">
        <x:v>66</x:v>
      </x:c>
      <x:c r="L1192" s="6" t="n">
        <x:v>549</x:v>
      </x:c>
      <x:c r="M1192" s="6" t="n">
        <x:v>216</x:v>
      </x:c>
      <x:c r="N1192" s="6" t="n">
        <x:v>66</x:v>
      </x:c>
      <x:c r="O1192" s="6" t="n">
        <x:v>99</x:v>
      </x:c>
      <x:c r="P1192" s="6" t="n">
        <x:v>1</x:v>
      </x:c>
      <x:c r="Q1192" s="6" t="n">
        <x:v>5</x:v>
      </x:c>
      <x:c r="R1192" s="6" t="n">
        <x:v>6</x:v>
      </x:c>
      <x:c r="S1192" s="6" t="n">
        <x:v>4</x:v>
      </x:c>
      <x:c r="T1192" s="6" t="n">
        <x:v>3</x:v>
      </x:c>
      <x:c r="U1192" s="6" t="n">
        <x:v>0</x:v>
      </x:c>
      <x:c r="V1192" s="6" t="n">
        <x:v>0</x:v>
      </x:c>
      <x:c r="W1192" s="6" t="n">
        <x:v>0</x:v>
      </x:c>
      <x:c r="X1192" s="6" t="n">
        <x:v>0</x:v>
      </x:c>
      <x:c r="Y1192" s="6" t="n">
        <x:v>0</x:v>
      </x:c>
      <x:c r="Z1192" s="6" t="n">
        <x:v>0</x:v>
      </x:c>
      <x:c r="AA1192" s="6" t="n">
        <x:v>3</x:v>
      </x:c>
      <x:c r="AB1192" s="6" t="n">
        <x:v>11</x:v>
      </x:c>
      <x:c r="AC1192" s="6" t="n">
        <x:v>1</x:v>
      </x:c>
    </x:row>
    <x:row r="1193">
      <x:c r="A1193" s="6" t="n">
        <x:v>8732</x:v>
      </x:c>
      <x:c r="B1193" s="6" t="n">
        <x:v>1969</x:v>
      </x:c>
      <x:c r="C1193" s="6" t="str">
        <x:v>Master</x:v>
      </x:c>
      <x:c r="D1193" s="6" t="str">
        <x:v>Widow</x:v>
      </x:c>
      <x:c r="E1193" s="6" t="n">
        <x:v>67369</x:v>
      </x:c>
      <x:c r="F1193" s="6" t="n">
        <x:v>0</x:v>
      </x:c>
      <x:c r="G1193" s="6" t="n">
        <x:v>1</x:v>
      </x:c>
      <x:c r="H1193" s="9" t="str">
        <x:v>17-11-2012</x:v>
      </x:c>
      <x:c r="I1193" s="6" t="n">
        <x:v>81</x:v>
      </x:c>
      <x:c r="J1193" s="6" t="n">
        <x:v>1298</x:v>
      </x:c>
      <x:c r="K1193" s="6" t="n">
        <x:v>0</x:v>
      </x:c>
      <x:c r="L1193" s="6" t="n">
        <x:v>70</x:v>
      </x:c>
      <x:c r="M1193" s="6" t="n">
        <x:v>37</x:v>
      </x:c>
      <x:c r="N1193" s="6" t="n">
        <x:v>14</x:v>
      </x:c>
      <x:c r="O1193" s="6" t="n">
        <x:v>42</x:v>
      </x:c>
      <x:c r="P1193" s="6" t="n">
        <x:v>4</x:v>
      </x:c>
      <x:c r="Q1193" s="6" t="n">
        <x:v>7</x:v>
      </x:c>
      <x:c r="R1193" s="6" t="n">
        <x:v>4</x:v>
      </x:c>
      <x:c r="S1193" s="6" t="n">
        <x:v>10</x:v>
      </x:c>
      <x:c r="T1193" s="6" t="n">
        <x:v>4</x:v>
      </x:c>
      <x:c r="U1193" s="6" t="n">
        <x:v>0</x:v>
      </x:c>
      <x:c r="V1193" s="6" t="n">
        <x:v>1</x:v>
      </x:c>
      <x:c r="W1193" s="6" t="n">
        <x:v>1</x:v>
      </x:c>
      <x:c r="X1193" s="6" t="n">
        <x:v>0</x:v>
      </x:c>
      <x:c r="Y1193" s="6" t="n">
        <x:v>0</x:v>
      </x:c>
      <x:c r="Z1193" s="6" t="n">
        <x:v>0</x:v>
      </x:c>
      <x:c r="AA1193" s="6" t="n">
        <x:v>3</x:v>
      </x:c>
      <x:c r="AB1193" s="6" t="n">
        <x:v>11</x:v>
      </x:c>
      <x:c r="AC1193" s="6" t="n">
        <x:v>1</x:v>
      </x:c>
    </x:row>
    <x:row r="1194">
      <x:c r="A1194" s="6" t="n">
        <x:v>2315</x:v>
      </x:c>
      <x:c r="B1194" s="6" t="n">
        <x:v>1960</x:v>
      </x:c>
      <x:c r="C1194" s="6" t="str">
        <x:v>Graduation</x:v>
      </x:c>
      <x:c r="D1194" s="6" t="str">
        <x:v>Divorced</x:v>
      </x:c>
      <x:c r="E1194" s="6" t="n">
        <x:v>58401</x:v>
      </x:c>
      <x:c r="F1194" s="6" t="n">
        <x:v>0</x:v>
      </x:c>
      <x:c r="G1194" s="6" t="n">
        <x:v>1</x:v>
      </x:c>
      <x:c r="H1194" s="9" t="str">
        <x:v>20-04-2014</x:v>
      </x:c>
      <x:c r="I1194" s="6" t="n">
        <x:v>55</x:v>
      </x:c>
      <x:c r="J1194" s="6" t="n">
        <x:v>10</x:v>
      </x:c>
      <x:c r="K1194" s="6" t="n">
        <x:v>0</x:v>
      </x:c>
      <x:c r="L1194" s="6" t="n">
        <x:v>11</x:v>
      </x:c>
      <x:c r="M1194" s="6" t="n">
        <x:v>17</x:v>
      </x:c>
      <x:c r="N1194" s="6" t="n">
        <x:v>29</x:v>
      </x:c>
      <x:c r="O1194" s="6" t="n">
        <x:v>29</x:v>
      </x:c>
      <x:c r="P1194" s="6" t="n">
        <x:v>1</x:v>
      </x:c>
      <x:c r="Q1194" s="6" t="n">
        <x:v>1</x:v>
      </x:c>
      <x:c r="R1194" s="6" t="n">
        <x:v>2</x:v>
      </x:c>
      <x:c r="S1194" s="6" t="n">
        <x:v>2</x:v>
      </x:c>
      <x:c r="T1194" s="6" t="n">
        <x:v>4</x:v>
      </x:c>
      <x:c r="U1194" s="6" t="n">
        <x:v>0</x:v>
      </x:c>
      <x:c r="V1194" s="6" t="n">
        <x:v>0</x:v>
      </x:c>
      <x:c r="W1194" s="6" t="n">
        <x:v>0</x:v>
      </x:c>
      <x:c r="X1194" s="6" t="n">
        <x:v>0</x:v>
      </x:c>
      <x:c r="Y1194" s="6" t="n">
        <x:v>0</x:v>
      </x:c>
      <x:c r="Z1194" s="6" t="n">
        <x:v>0</x:v>
      </x:c>
      <x:c r="AA1194" s="6" t="n">
        <x:v>3</x:v>
      </x:c>
      <x:c r="AB1194" s="6" t="n">
        <x:v>11</x:v>
      </x:c>
      <x:c r="AC1194" s="6" t="n">
        <x:v>0</x:v>
      </x:c>
    </x:row>
    <x:row r="1195">
      <x:c r="A1195" s="6" t="n">
        <x:v>3515</x:v>
      </x:c>
      <x:c r="B1195" s="6" t="n">
        <x:v>1952</x:v>
      </x:c>
      <x:c r="C1195" s="6" t="str">
        <x:v>Graduation</x:v>
      </x:c>
      <x:c r="D1195" s="6" t="str">
        <x:v>Single</x:v>
      </x:c>
      <x:c r="E1195" s="6" t="n">
        <x:v>62307</x:v>
      </x:c>
      <x:c r="F1195" s="6" t="n">
        <x:v>0</x:v>
      </x:c>
      <x:c r="G1195" s="6" t="n">
        <x:v>1</x:v>
      </x:c>
      <x:c r="H1195" s="9" t="str">
        <x:v>17-02-2014</x:v>
      </x:c>
      <x:c r="I1195" s="6" t="n">
        <x:v>94</x:v>
      </x:c>
      <x:c r="J1195" s="6" t="n">
        <x:v>87</x:v>
      </x:c>
      <x:c r="K1195" s="6" t="n">
        <x:v>13</x:v>
      </x:c>
      <x:c r="L1195" s="6" t="n">
        <x:v>34</x:v>
      </x:c>
      <x:c r="M1195" s="6" t="n">
        <x:v>10</x:v>
      </x:c>
      <x:c r="N1195" s="6" t="n">
        <x:v>6</x:v>
      </x:c>
      <x:c r="O1195" s="6" t="n">
        <x:v>10</x:v>
      </x:c>
      <x:c r="P1195" s="6" t="n">
        <x:v>1</x:v>
      </x:c>
      <x:c r="Q1195" s="6" t="n">
        <x:v>4</x:v>
      </x:c>
      <x:c r="R1195" s="6" t="n">
        <x:v>0</x:v>
      </x:c>
      <x:c r="S1195" s="6" t="n">
        <x:v>4</x:v>
      </x:c>
      <x:c r="T1195" s="6" t="n">
        <x:v>5</x:v>
      </x:c>
      <x:c r="U1195" s="6" t="n">
        <x:v>0</x:v>
      </x:c>
      <x:c r="V1195" s="6" t="n">
        <x:v>0</x:v>
      </x:c>
      <x:c r="W1195" s="6" t="n">
        <x:v>0</x:v>
      </x:c>
      <x:c r="X1195" s="6" t="n">
        <x:v>0</x:v>
      </x:c>
      <x:c r="Y1195" s="6" t="n">
        <x:v>0</x:v>
      </x:c>
      <x:c r="Z1195" s="6" t="n">
        <x:v>0</x:v>
      </x:c>
      <x:c r="AA1195" s="6" t="n">
        <x:v>3</x:v>
      </x:c>
      <x:c r="AB1195" s="6" t="n">
        <x:v>11</x:v>
      </x:c>
      <x:c r="AC1195" s="6" t="n">
        <x:v>0</x:v>
      </x:c>
    </x:row>
    <x:row r="1196">
      <x:c r="A1196" s="6" t="n">
        <x:v>2245</x:v>
      </x:c>
      <x:c r="B1196" s="6" t="n">
        <x:v>1969</x:v>
      </x:c>
      <x:c r="C1196" s="6" t="str">
        <x:v>Master</x:v>
      </x:c>
      <x:c r="D1196" s="6" t="str">
        <x:v>Married</x:v>
      </x:c>
      <x:c r="E1196" s="6" t="n">
        <x:v>43641</x:v>
      </x:c>
      <x:c r="F1196" s="6" t="n">
        <x:v>1</x:v>
      </x:c>
      <x:c r="G1196" s="6" t="n">
        <x:v>1</x:v>
      </x:c>
      <x:c r="H1196" s="9" t="str">
        <x:v>22-04-2013</x:v>
      </x:c>
      <x:c r="I1196" s="6" t="n">
        <x:v>50</x:v>
      </x:c>
      <x:c r="J1196" s="6" t="n">
        <x:v>57</x:v>
      </x:c>
      <x:c r="K1196" s="6" t="n">
        <x:v>2</x:v>
      </x:c>
      <x:c r="L1196" s="6" t="n">
        <x:v>51</x:v>
      </x:c>
      <x:c r="M1196" s="6" t="n">
        <x:v>4</x:v>
      </x:c>
      <x:c r="N1196" s="6" t="n">
        <x:v>2</x:v>
      </x:c>
      <x:c r="O1196" s="6" t="n">
        <x:v>23</x:v>
      </x:c>
      <x:c r="P1196" s="6" t="n">
        <x:v>3</x:v>
      </x:c>
      <x:c r="Q1196" s="6" t="n">
        <x:v>2</x:v>
      </x:c>
      <x:c r="R1196" s="6" t="n">
        <x:v>1</x:v>
      </x:c>
      <x:c r="S1196" s="6" t="n">
        <x:v>4</x:v>
      </x:c>
      <x:c r="T1196" s="6" t="n">
        <x:v>6</x:v>
      </x:c>
      <x:c r="U1196" s="6" t="n">
        <x:v>0</x:v>
      </x:c>
      <x:c r="V1196" s="6" t="n">
        <x:v>0</x:v>
      </x:c>
      <x:c r="W1196" s="6" t="n">
        <x:v>0</x:v>
      </x:c>
      <x:c r="X1196" s="6" t="n">
        <x:v>0</x:v>
      </x:c>
      <x:c r="Y1196" s="6" t="n">
        <x:v>0</x:v>
      </x:c>
      <x:c r="Z1196" s="6" t="n">
        <x:v>0</x:v>
      </x:c>
      <x:c r="AA1196" s="6" t="n">
        <x:v>3</x:v>
      </x:c>
      <x:c r="AB1196" s="6" t="n">
        <x:v>11</x:v>
      </x:c>
      <x:c r="AC1196" s="6" t="n">
        <x:v>0</x:v>
      </x:c>
    </x:row>
    <x:row r="1197">
      <x:c r="A1197" s="6" t="n">
        <x:v>6283</x:v>
      </x:c>
      <x:c r="B1197" s="6" t="n">
        <x:v>1968</x:v>
      </x:c>
      <x:c r="C1197" s="6" t="str">
        <x:v>Master</x:v>
      </x:c>
      <x:c r="D1197" s="6" t="str">
        <x:v>Divorced</x:v>
      </x:c>
      <x:c r="E1197" s="6" t="n">
        <x:v>63841</x:v>
      </x:c>
      <x:c r="F1197" s="6" t="n">
        <x:v>0</x:v>
      </x:c>
      <x:c r="G1197" s="6" t="n">
        <x:v>1</x:v>
      </x:c>
      <x:c r="H1197" s="9" t="str">
        <x:v>21-04-2013</x:v>
      </x:c>
      <x:c r="I1197" s="6" t="n">
        <x:v>64</x:v>
      </x:c>
      <x:c r="J1197" s="6" t="n">
        <x:v>635</x:v>
      </x:c>
      <x:c r="K1197" s="6" t="n">
        <x:v>15</x:v>
      </x:c>
      <x:c r="L1197" s="6" t="n">
        <x:v>100</x:v>
      </x:c>
      <x:c r="M1197" s="6" t="n">
        <x:v>20</x:v>
      </x:c>
      <x:c r="N1197" s="6" t="n">
        <x:v>7</x:v>
      </x:c>
      <x:c r="O1197" s="6" t="n">
        <x:v>131</x:v>
      </x:c>
      <x:c r="P1197" s="6" t="n">
        <x:v>1</x:v>
      </x:c>
      <x:c r="Q1197" s="6" t="n">
        <x:v>9</x:v>
      </x:c>
      <x:c r="R1197" s="6" t="n">
        <x:v>3</x:v>
      </x:c>
      <x:c r="S1197" s="6" t="n">
        <x:v>9</x:v>
      </x:c>
      <x:c r="T1197" s="6" t="n">
        <x:v>6</x:v>
      </x:c>
      <x:c r="U1197" s="6" t="n">
        <x:v>0</x:v>
      </x:c>
      <x:c r="V1197" s="6" t="n">
        <x:v>0</x:v>
      </x:c>
      <x:c r="W1197" s="6" t="n">
        <x:v>0</x:v>
      </x:c>
      <x:c r="X1197" s="6" t="n">
        <x:v>0</x:v>
      </x:c>
      <x:c r="Y1197" s="6" t="n">
        <x:v>0</x:v>
      </x:c>
      <x:c r="Z1197" s="6" t="n">
        <x:v>0</x:v>
      </x:c>
      <x:c r="AA1197" s="6" t="n">
        <x:v>3</x:v>
      </x:c>
      <x:c r="AB1197" s="6" t="n">
        <x:v>11</x:v>
      </x:c>
      <x:c r="AC1197" s="6" t="n">
        <x:v>0</x:v>
      </x:c>
    </x:row>
    <x:row r="1198">
      <x:c r="A1198" s="6" t="n">
        <x:v>2246</x:v>
      </x:c>
      <x:c r="B1198" s="6" t="n">
        <x:v>1965</x:v>
      </x:c>
      <x:c r="C1198" s="6" t="str">
        <x:v>2n Cycle</x:v>
      </x:c>
      <x:c r="D1198" s="6" t="str">
        <x:v>Married</x:v>
      </x:c>
      <x:c r="E1198" s="6" t="n">
        <x:v>46891</x:v>
      </x:c>
      <x:c r="F1198" s="6" t="n">
        <x:v>0</x:v>
      </x:c>
      <x:c r="G1198" s="6" t="n">
        <x:v>1</x:v>
      </x:c>
      <x:c r="H1198" s="9" t="str">
        <x:v>01-09-2013</x:v>
      </x:c>
      <x:c r="I1198" s="6" t="n">
        <x:v>91</x:v>
      </x:c>
      <x:c r="J1198" s="6" t="n">
        <x:v>43</x:v>
      </x:c>
      <x:c r="K1198" s="6" t="n">
        <x:v>12</x:v>
      </x:c>
      <x:c r="L1198" s="6" t="n">
        <x:v>23</x:v>
      </x:c>
      <x:c r="M1198" s="6" t="n">
        <x:v>29</x:v>
      </x:c>
      <x:c r="N1198" s="6" t="n">
        <x:v>15</x:v>
      </x:c>
      <x:c r="O1198" s="6" t="n">
        <x:v>61</x:v>
      </x:c>
      <x:c r="P1198" s="6" t="n">
        <x:v>1</x:v>
      </x:c>
      <x:c r="Q1198" s="6" t="n">
        <x:v>2</x:v>
      </x:c>
      <x:c r="R1198" s="6" t="n">
        <x:v>1</x:v>
      </x:c>
      <x:c r="S1198" s="6" t="n">
        <x:v>4</x:v>
      </x:c>
      <x:c r="T1198" s="6" t="n">
        <x:v>4</x:v>
      </x:c>
      <x:c r="U1198" s="6" t="n">
        <x:v>0</x:v>
      </x:c>
      <x:c r="V1198" s="6" t="n">
        <x:v>0</x:v>
      </x:c>
      <x:c r="W1198" s="6" t="n">
        <x:v>0</x:v>
      </x:c>
      <x:c r="X1198" s="6" t="n">
        <x:v>0</x:v>
      </x:c>
      <x:c r="Y1198" s="6" t="n">
        <x:v>0</x:v>
      </x:c>
      <x:c r="Z1198" s="6" t="n">
        <x:v>0</x:v>
      </x:c>
      <x:c r="AA1198" s="6" t="n">
        <x:v>3</x:v>
      </x:c>
      <x:c r="AB1198" s="6" t="n">
        <x:v>11</x:v>
      </x:c>
      <x:c r="AC1198" s="6" t="n">
        <x:v>0</x:v>
      </x:c>
    </x:row>
    <x:row r="1199">
      <x:c r="A1199" s="6" t="n">
        <x:v>6606</x:v>
      </x:c>
      <x:c r="B1199" s="6" t="n">
        <x:v>1969</x:v>
      </x:c>
      <x:c r="C1199" s="6" t="str">
        <x:v>Master</x:v>
      </x:c>
      <x:c r="D1199" s="6" t="str">
        <x:v>Married</x:v>
      </x:c>
      <x:c r="E1199" s="6" t="n">
        <x:v>70091</x:v>
      </x:c>
      <x:c r="F1199" s="6" t="n">
        <x:v>1</x:v>
      </x:c>
      <x:c r="G1199" s="6" t="n">
        <x:v>0</x:v>
      </x:c>
      <x:c r="H1199" s="9" t="str">
        <x:v>31-03-2013</x:v>
      </x:c>
      <x:c r="I1199" s="6" t="n">
        <x:v>11</x:v>
      </x:c>
      <x:c r="J1199" s="6" t="n">
        <x:v>964</x:v>
      </x:c>
      <x:c r="K1199" s="6" t="n">
        <x:v>34</x:v>
      </x:c>
      <x:c r="L1199" s="6" t="n">
        <x:v>137</x:v>
      </x:c>
      <x:c r="M1199" s="6" t="n">
        <x:v>15</x:v>
      </x:c>
      <x:c r="N1199" s="6" t="n">
        <x:v>0</x:v>
      </x:c>
      <x:c r="O1199" s="6" t="n">
        <x:v>11</x:v>
      </x:c>
      <x:c r="P1199" s="6" t="n">
        <x:v>2</x:v>
      </x:c>
      <x:c r="Q1199" s="6" t="n">
        <x:v>5</x:v>
      </x:c>
      <x:c r="R1199" s="6" t="n">
        <x:v>2</x:v>
      </x:c>
      <x:c r="S1199" s="6" t="n">
        <x:v>10</x:v>
      </x:c>
      <x:c r="T1199" s="6" t="n">
        <x:v>8</x:v>
      </x:c>
      <x:c r="U1199" s="6" t="n">
        <x:v>0</x:v>
      </x:c>
      <x:c r="V1199" s="6" t="n">
        <x:v>1</x:v>
      </x:c>
      <x:c r="W1199" s="6" t="n">
        <x:v>0</x:v>
      </x:c>
      <x:c r="X1199" s="6" t="n">
        <x:v>0</x:v>
      </x:c>
      <x:c r="Y1199" s="6" t="n">
        <x:v>0</x:v>
      </x:c>
      <x:c r="Z1199" s="6" t="n">
        <x:v>0</x:v>
      </x:c>
      <x:c r="AA1199" s="6" t="n">
        <x:v>3</x:v>
      </x:c>
      <x:c r="AB1199" s="6" t="n">
        <x:v>11</x:v>
      </x:c>
      <x:c r="AC1199" s="6" t="n">
        <x:v>0</x:v>
      </x:c>
    </x:row>
    <x:row r="1200">
      <x:c r="A1200" s="6" t="n">
        <x:v>5545</x:v>
      </x:c>
      <x:c r="B1200" s="6" t="n">
        <x:v>1972</x:v>
      </x:c>
      <x:c r="C1200" s="6" t="str">
        <x:v>PhD</x:v>
      </x:c>
      <x:c r="D1200" s="6" t="str">
        <x:v>Married</x:v>
      </x:c>
      <x:c r="E1200" s="6" t="n">
        <x:v>78075</x:v>
      </x:c>
      <x:c r="F1200" s="6" t="n">
        <x:v>0</x:v>
      </x:c>
      <x:c r="G1200" s="6" t="n">
        <x:v>0</x:v>
      </x:c>
      <x:c r="H1200" s="9" t="str">
        <x:v>05-04-2014</x:v>
      </x:c>
      <x:c r="I1200" s="6" t="n">
        <x:v>72</x:v>
      </x:c>
      <x:c r="J1200" s="6" t="n">
        <x:v>572</x:v>
      </x:c>
      <x:c r="K1200" s="6" t="n">
        <x:v>8</x:v>
      </x:c>
      <x:c r="L1200" s="6" t="n">
        <x:v>259</x:v>
      </x:c>
      <x:c r="M1200" s="6" t="n">
        <x:v>34</x:v>
      </x:c>
      <x:c r="N1200" s="6" t="n">
        <x:v>35</x:v>
      </x:c>
      <x:c r="O1200" s="6" t="n">
        <x:v>80</x:v>
      </x:c>
      <x:c r="P1200" s="6" t="n">
        <x:v>1</x:v>
      </x:c>
      <x:c r="Q1200" s="6" t="n">
        <x:v>3</x:v>
      </x:c>
      <x:c r="R1200" s="6" t="n">
        <x:v>5</x:v>
      </x:c>
      <x:c r="S1200" s="6" t="n">
        <x:v>5</x:v>
      </x:c>
      <x:c r="T1200" s="6" t="n">
        <x:v>1</x:v>
      </x:c>
      <x:c r="U1200" s="6" t="n">
        <x:v>0</x:v>
      </x:c>
      <x:c r="V1200" s="6" t="n">
        <x:v>0</x:v>
      </x:c>
      <x:c r="W1200" s="6" t="n">
        <x:v>0</x:v>
      </x:c>
      <x:c r="X1200" s="6" t="n">
        <x:v>0</x:v>
      </x:c>
      <x:c r="Y1200" s="6" t="n">
        <x:v>0</x:v>
      </x:c>
      <x:c r="Z1200" s="6" t="n">
        <x:v>0</x:v>
      </x:c>
      <x:c r="AA1200" s="6" t="n">
        <x:v>3</x:v>
      </x:c>
      <x:c r="AB1200" s="6" t="n">
        <x:v>11</x:v>
      </x:c>
      <x:c r="AC1200" s="6" t="n">
        <x:v>0</x:v>
      </x:c>
    </x:row>
    <x:row r="1201">
      <x:c r="A1201" s="6" t="n">
        <x:v>7342</x:v>
      </x:c>
      <x:c r="B1201" s="6" t="n">
        <x:v>1961</x:v>
      </x:c>
      <x:c r="C1201" s="6" t="str">
        <x:v>2n Cycle</x:v>
      </x:c>
      <x:c r="D1201" s="6" t="str">
        <x:v>Widow</x:v>
      </x:c>
      <x:c r="E1201" s="6" t="n">
        <x:v>59184</x:v>
      </x:c>
      <x:c r="F1201" s="6" t="n">
        <x:v>0</x:v>
      </x:c>
      <x:c r="G1201" s="6" t="n">
        <x:v>1</x:v>
      </x:c>
      <x:c r="H1201" s="9" t="str">
        <x:v>09-09-2012</x:v>
      </x:c>
      <x:c r="I1201" s="6" t="n">
        <x:v>6</x:v>
      </x:c>
      <x:c r="J1201" s="6" t="n">
        <x:v>341</x:v>
      </x:c>
      <x:c r="K1201" s="6" t="n">
        <x:v>142</x:v>
      </x:c>
      <x:c r="L1201" s="6" t="n">
        <x:v>113</x:v>
      </x:c>
      <x:c r="M1201" s="6" t="n">
        <x:v>259</x:v>
      </x:c>
      <x:c r="N1201" s="6" t="n">
        <x:v>151</x:v>
      </x:c>
      <x:c r="O1201" s="6" t="n">
        <x:v>66</x:v>
      </x:c>
      <x:c r="P1201" s="6" t="n">
        <x:v>3</x:v>
      </x:c>
      <x:c r="Q1201" s="6" t="n">
        <x:v>6</x:v>
      </x:c>
      <x:c r="R1201" s="6" t="n">
        <x:v>6</x:v>
      </x:c>
      <x:c r="S1201" s="6" t="n">
        <x:v>12</x:v>
      </x:c>
      <x:c r="T1201" s="6" t="n">
        <x:v>5</x:v>
      </x:c>
      <x:c r="U1201" s="6" t="n">
        <x:v>0</x:v>
      </x:c>
      <x:c r="V1201" s="6" t="n">
        <x:v>0</x:v>
      </x:c>
      <x:c r="W1201" s="6" t="n">
        <x:v>0</x:v>
      </x:c>
      <x:c r="X1201" s="6" t="n">
        <x:v>0</x:v>
      </x:c>
      <x:c r="Y1201" s="6" t="n">
        <x:v>0</x:v>
      </x:c>
      <x:c r="Z1201" s="6" t="n">
        <x:v>0</x:v>
      </x:c>
      <x:c r="AA1201" s="6" t="n">
        <x:v>3</x:v>
      </x:c>
      <x:c r="AB1201" s="6" t="n">
        <x:v>11</x:v>
      </x:c>
      <x:c r="AC1201" s="6" t="n">
        <x:v>0</x:v>
      </x:c>
    </x:row>
    <x:row r="1202">
      <x:c r="A1202" s="6" t="n">
        <x:v>837</x:v>
      </x:c>
      <x:c r="B1202" s="6" t="n">
        <x:v>1977</x:v>
      </x:c>
      <x:c r="C1202" s="6" t="str">
        <x:v>Graduation</x:v>
      </x:c>
      <x:c r="D1202" s="6" t="str">
        <x:v>Married</x:v>
      </x:c>
      <x:c r="E1202" s="6" t="n">
        <x:v>54809</x:v>
      </x:c>
      <x:c r="F1202" s="6" t="n">
        <x:v>1</x:v>
      </x:c>
      <x:c r="G1202" s="6" t="n">
        <x:v>1</x:v>
      </x:c>
      <x:c r="H1202" s="9" t="str">
        <x:v>11-09-2013</x:v>
      </x:c>
      <x:c r="I1202" s="6" t="n">
        <x:v>0</x:v>
      </x:c>
      <x:c r="J1202" s="6" t="n">
        <x:v>63</x:v>
      </x:c>
      <x:c r="K1202" s="6" t="n">
        <x:v>6</x:v>
      </x:c>
      <x:c r="L1202" s="6" t="n">
        <x:v>57</x:v>
      </x:c>
      <x:c r="M1202" s="6" t="n">
        <x:v>13</x:v>
      </x:c>
      <x:c r="N1202" s="6" t="n">
        <x:v>13</x:v>
      </x:c>
      <x:c r="O1202" s="6" t="n">
        <x:v>22</x:v>
      </x:c>
      <x:c r="P1202" s="6" t="n">
        <x:v>4</x:v>
      </x:c>
      <x:c r="Q1202" s="6" t="n">
        <x:v>2</x:v>
      </x:c>
      <x:c r="R1202" s="6" t="n">
        <x:v>1</x:v>
      </x:c>
      <x:c r="S1202" s="6" t="n">
        <x:v>5</x:v>
      </x:c>
      <x:c r="T1202" s="6" t="n">
        <x:v>4</x:v>
      </x:c>
      <x:c r="U1202" s="6" t="n">
        <x:v>0</x:v>
      </x:c>
      <x:c r="V1202" s="6" t="n">
        <x:v>0</x:v>
      </x:c>
      <x:c r="W1202" s="6" t="n">
        <x:v>0</x:v>
      </x:c>
      <x:c r="X1202" s="6" t="n">
        <x:v>0</x:v>
      </x:c>
      <x:c r="Y1202" s="6" t="n">
        <x:v>0</x:v>
      </x:c>
      <x:c r="Z1202" s="6" t="n">
        <x:v>0</x:v>
      </x:c>
      <x:c r="AA1202" s="6" t="n">
        <x:v>3</x:v>
      </x:c>
      <x:c r="AB1202" s="6" t="n">
        <x:v>11</x:v>
      </x:c>
      <x:c r="AC1202" s="6" t="n">
        <x:v>0</x:v>
      </x:c>
    </x:row>
    <x:row r="1203">
      <x:c r="A1203" s="6" t="n">
        <x:v>9500</x:v>
      </x:c>
      <x:c r="B1203" s="6" t="n">
        <x:v>1959</x:v>
      </x:c>
      <x:c r="C1203" s="6" t="str">
        <x:v>Graduation</x:v>
      </x:c>
      <x:c r="D1203" s="6" t="str">
        <x:v>Married</x:v>
      </x:c>
      <x:c r="E1203" s="6" t="n">
        <x:v>58113</x:v>
      </x:c>
      <x:c r="F1203" s="6" t="n">
        <x:v>0</x:v>
      </x:c>
      <x:c r="G1203" s="6" t="n">
        <x:v>1</x:v>
      </x:c>
      <x:c r="H1203" s="9" t="str">
        <x:v>25-01-2013</x:v>
      </x:c>
      <x:c r="I1203" s="6" t="n">
        <x:v>66</x:v>
      </x:c>
      <x:c r="J1203" s="6" t="n">
        <x:v>221</x:v>
      </x:c>
      <x:c r="K1203" s="6" t="n">
        <x:v>104</x:v>
      </x:c>
      <x:c r="L1203" s="6" t="n">
        <x:v>169</x:v>
      </x:c>
      <x:c r="M1203" s="6" t="n">
        <x:v>102</x:v>
      </x:c>
      <x:c r="N1203" s="6" t="n">
        <x:v>78</x:v>
      </x:c>
      <x:c r="O1203" s="6" t="n">
        <x:v>84</x:v>
      </x:c>
      <x:c r="P1203" s="6" t="n">
        <x:v>3</x:v>
      </x:c>
      <x:c r="Q1203" s="6" t="n">
        <x:v>9</x:v>
      </x:c>
      <x:c r="R1203" s="6" t="n">
        <x:v>2</x:v>
      </x:c>
      <x:c r="S1203" s="6" t="n">
        <x:v>8</x:v>
      </x:c>
      <x:c r="T1203" s="6" t="n">
        <x:v>7</x:v>
      </x:c>
      <x:c r="U1203" s="6" t="n">
        <x:v>0</x:v>
      </x:c>
      <x:c r="V1203" s="6" t="n">
        <x:v>0</x:v>
      </x:c>
      <x:c r="W1203" s="6" t="n">
        <x:v>0</x:v>
      </x:c>
      <x:c r="X1203" s="6" t="n">
        <x:v>0</x:v>
      </x:c>
      <x:c r="Y1203" s="6" t="n">
        <x:v>0</x:v>
      </x:c>
      <x:c r="Z1203" s="6" t="n">
        <x:v>1</x:v>
      </x:c>
      <x:c r="AA1203" s="6" t="n">
        <x:v>3</x:v>
      </x:c>
      <x:c r="AB1203" s="6" t="n">
        <x:v>11</x:v>
      </x:c>
      <x:c r="AC1203" s="6" t="n">
        <x:v>0</x:v>
      </x:c>
    </x:row>
    <x:row r="1204">
      <x:c r="A1204" s="6" t="n">
        <x:v>3602</x:v>
      </x:c>
      <x:c r="B1204" s="6" t="n">
        <x:v>1958</x:v>
      </x:c>
      <x:c r="C1204" s="6" t="str">
        <x:v>Master</x:v>
      </x:c>
      <x:c r="D1204" s="6" t="str">
        <x:v>Married</x:v>
      </x:c>
      <x:c r="E1204" s="6" t="n">
        <x:v>51412</x:v>
      </x:c>
      <x:c r="F1204" s="6" t="n">
        <x:v>0</x:v>
      </x:c>
      <x:c r="G1204" s="6" t="n">
        <x:v>1</x:v>
      </x:c>
      <x:c r="H1204" s="9" t="str">
        <x:v>31-12-2013</x:v>
      </x:c>
      <x:c r="I1204" s="6" t="n">
        <x:v>42</x:v>
      </x:c>
      <x:c r="J1204" s="6" t="n">
        <x:v>140</x:v>
      </x:c>
      <x:c r="K1204" s="6" t="n">
        <x:v>3</x:v>
      </x:c>
      <x:c r="L1204" s="6" t="n">
        <x:v>29</x:v>
      </x:c>
      <x:c r="M1204" s="6" t="n">
        <x:v>4</x:v>
      </x:c>
      <x:c r="N1204" s="6" t="n">
        <x:v>5</x:v>
      </x:c>
      <x:c r="O1204" s="6" t="n">
        <x:v>14</x:v>
      </x:c>
      <x:c r="P1204" s="6" t="n">
        <x:v>2</x:v>
      </x:c>
      <x:c r="Q1204" s="6" t="n">
        <x:v>3</x:v>
      </x:c>
      <x:c r="R1204" s="6" t="n">
        <x:v>2</x:v>
      </x:c>
      <x:c r="S1204" s="6" t="n">
        <x:v>4</x:v>
      </x:c>
      <x:c r="T1204" s="6" t="n">
        <x:v>4</x:v>
      </x:c>
      <x:c r="U1204" s="6" t="n">
        <x:v>0</x:v>
      </x:c>
      <x:c r="V1204" s="6" t="n">
        <x:v>0</x:v>
      </x:c>
      <x:c r="W1204" s="6" t="n">
        <x:v>0</x:v>
      </x:c>
      <x:c r="X1204" s="6" t="n">
        <x:v>0</x:v>
      </x:c>
      <x:c r="Y1204" s="6" t="n">
        <x:v>0</x:v>
      </x:c>
      <x:c r="Z1204" s="6" t="n">
        <x:v>0</x:v>
      </x:c>
      <x:c r="AA1204" s="6" t="n">
        <x:v>3</x:v>
      </x:c>
      <x:c r="AB1204" s="6" t="n">
        <x:v>11</x:v>
      </x:c>
      <x:c r="AC1204" s="6" t="n">
        <x:v>0</x:v>
      </x:c>
    </x:row>
    <x:row r="1205">
      <x:c r="A1205" s="6" t="n">
        <x:v>234</x:v>
      </x:c>
      <x:c r="B1205" s="6" t="n">
        <x:v>1979</x:v>
      </x:c>
      <x:c r="C1205" s="6" t="str">
        <x:v>Graduation</x:v>
      </x:c>
      <x:c r="D1205" s="6" t="str">
        <x:v>Divorced</x:v>
      </x:c>
      <x:c r="E1205" s="6" t="n">
        <x:v>15287</x:v>
      </x:c>
      <x:c r="F1205" s="6" t="n">
        <x:v>1</x:v>
      </x:c>
      <x:c r="G1205" s="6" t="n">
        <x:v>0</x:v>
      </x:c>
      <x:c r="H1205" s="9" t="str">
        <x:v>10-10-2012</x:v>
      </x:c>
      <x:c r="I1205" s="6" t="n">
        <x:v>60</x:v>
      </x:c>
      <x:c r="J1205" s="6" t="n">
        <x:v>1</x:v>
      </x:c>
      <x:c r="K1205" s="6" t="n">
        <x:v>2</x:v>
      </x:c>
      <x:c r="L1205" s="6" t="n">
        <x:v>8</x:v>
      </x:c>
      <x:c r="M1205" s="6" t="n">
        <x:v>4</x:v>
      </x:c>
      <x:c r="N1205" s="6" t="n">
        <x:v>3</x:v>
      </x:c>
      <x:c r="O1205" s="6" t="n">
        <x:v>13</x:v>
      </x:c>
      <x:c r="P1205" s="6" t="n">
        <x:v>2</x:v>
      </x:c>
      <x:c r="Q1205" s="6" t="n">
        <x:v>1</x:v>
      </x:c>
      <x:c r="R1205" s="6" t="n">
        <x:v>1</x:v>
      </x:c>
      <x:c r="S1205" s="6" t="n">
        <x:v>2</x:v>
      </x:c>
      <x:c r="T1205" s="6" t="n">
        <x:v>7</x:v>
      </x:c>
      <x:c r="U1205" s="6" t="n">
        <x:v>1</x:v>
      </x:c>
      <x:c r="V1205" s="6" t="n">
        <x:v>0</x:v>
      </x:c>
      <x:c r="W1205" s="6" t="n">
        <x:v>0</x:v>
      </x:c>
      <x:c r="X1205" s="6" t="n">
        <x:v>0</x:v>
      </x:c>
      <x:c r="Y1205" s="6" t="n">
        <x:v>0</x:v>
      </x:c>
      <x:c r="Z1205" s="6" t="n">
        <x:v>0</x:v>
      </x:c>
      <x:c r="AA1205" s="6" t="n">
        <x:v>3</x:v>
      </x:c>
      <x:c r="AB1205" s="6" t="n">
        <x:v>11</x:v>
      </x:c>
      <x:c r="AC1205" s="6" t="n">
        <x:v>1</x:v>
      </x:c>
    </x:row>
    <x:row r="1206">
      <x:c r="A1206" s="6" t="n">
        <x:v>2995</x:v>
      </x:c>
      <x:c r="B1206" s="6" t="n">
        <x:v>1957</x:v>
      </x:c>
      <x:c r="C1206" s="6" t="str">
        <x:v>Master</x:v>
      </x:c>
      <x:c r="D1206" s="6" t="str">
        <x:v>Together</x:v>
      </x:c>
      <x:c r="E1206" s="6" t="n">
        <x:v>66636</x:v>
      </x:c>
      <x:c r="F1206" s="6" t="n">
        <x:v>0</x:v>
      </x:c>
      <x:c r="G1206" s="6" t="n">
        <x:v>0</x:v>
      </x:c>
      <x:c r="H1206" s="9" t="str">
        <x:v>17-08-2013</x:v>
      </x:c>
      <x:c r="I1206" s="6" t="n">
        <x:v>64</x:v>
      </x:c>
      <x:c r="J1206" s="6" t="n">
        <x:v>291</x:v>
      </x:c>
      <x:c r="K1206" s="6" t="n">
        <x:v>10</x:v>
      </x:c>
      <x:c r="L1206" s="6" t="n">
        <x:v>689</x:v>
      </x:c>
      <x:c r="M1206" s="6" t="n">
        <x:v>84</x:v>
      </x:c>
      <x:c r="N1206" s="6" t="n">
        <x:v>10</x:v>
      </x:c>
      <x:c r="O1206" s="6" t="n">
        <x:v>0</x:v>
      </x:c>
      <x:c r="P1206" s="6" t="n">
        <x:v>1</x:v>
      </x:c>
      <x:c r="Q1206" s="6" t="n">
        <x:v>3</x:v>
      </x:c>
      <x:c r="R1206" s="6" t="n">
        <x:v>4</x:v>
      </x:c>
      <x:c r="S1206" s="6" t="n">
        <x:v>9</x:v>
      </x:c>
      <x:c r="T1206" s="6" t="n">
        <x:v>1</x:v>
      </x:c>
      <x:c r="U1206" s="6" t="n">
        <x:v>0</x:v>
      </x:c>
      <x:c r="V1206" s="6" t="n">
        <x:v>0</x:v>
      </x:c>
      <x:c r="W1206" s="6" t="n">
        <x:v>0</x:v>
      </x:c>
      <x:c r="X1206" s="6" t="n">
        <x:v>0</x:v>
      </x:c>
      <x:c r="Y1206" s="6" t="n">
        <x:v>0</x:v>
      </x:c>
      <x:c r="Z1206" s="6" t="n">
        <x:v>0</x:v>
      </x:c>
      <x:c r="AA1206" s="6" t="n">
        <x:v>3</x:v>
      </x:c>
      <x:c r="AB1206" s="6" t="n">
        <x:v>11</x:v>
      </x:c>
      <x:c r="AC1206" s="6" t="n">
        <x:v>0</x:v>
      </x:c>
    </x:row>
    <x:row r="1207">
      <x:c r="A1207" s="6" t="n">
        <x:v>1118</x:v>
      </x:c>
      <x:c r="B1207" s="6" t="n">
        <x:v>1956</x:v>
      </x:c>
      <x:c r="C1207" s="6" t="str">
        <x:v>Master</x:v>
      </x:c>
      <x:c r="D1207" s="6" t="str">
        <x:v>Married</x:v>
      </x:c>
      <x:c r="E1207" s="6" t="n">
        <x:v>50965</x:v>
      </x:c>
      <x:c r="F1207" s="6" t="n">
        <x:v>0</x:v>
      </x:c>
      <x:c r="G1207" s="6" t="n">
        <x:v>1</x:v>
      </x:c>
      <x:c r="H1207" s="9" t="str">
        <x:v>20-02-2013</x:v>
      </x:c>
      <x:c r="I1207" s="6" t="n">
        <x:v>87</x:v>
      </x:c>
      <x:c r="J1207" s="6" t="n">
        <x:v>544</x:v>
      </x:c>
      <x:c r="K1207" s="6" t="n">
        <x:v>13</x:v>
      </x:c>
      <x:c r="L1207" s="6" t="n">
        <x:v>85</x:v>
      </x:c>
      <x:c r="M1207" s="6" t="n">
        <x:v>8</x:v>
      </x:c>
      <x:c r="N1207" s="6" t="n">
        <x:v>6</x:v>
      </x:c>
      <x:c r="O1207" s="6" t="n">
        <x:v>29</x:v>
      </x:c>
      <x:c r="P1207" s="6" t="n">
        <x:v>3</x:v>
      </x:c>
      <x:c r="Q1207" s="6" t="n">
        <x:v>10</x:v>
      </x:c>
      <x:c r="R1207" s="6" t="n">
        <x:v>4</x:v>
      </x:c>
      <x:c r="S1207" s="6" t="n">
        <x:v>5</x:v>
      </x:c>
      <x:c r="T1207" s="6" t="n">
        <x:v>8</x:v>
      </x:c>
      <x:c r="U1207" s="6" t="n">
        <x:v>1</x:v>
      </x:c>
      <x:c r="V1207" s="6" t="n">
        <x:v>0</x:v>
      </x:c>
      <x:c r="W1207" s="6" t="n">
        <x:v>0</x:v>
      </x:c>
      <x:c r="X1207" s="6" t="n">
        <x:v>0</x:v>
      </x:c>
      <x:c r="Y1207" s="6" t="n">
        <x:v>0</x:v>
      </x:c>
      <x:c r="Z1207" s="6" t="n">
        <x:v>0</x:v>
      </x:c>
      <x:c r="AA1207" s="6" t="n">
        <x:v>3</x:v>
      </x:c>
      <x:c r="AB1207" s="6" t="n">
        <x:v>11</x:v>
      </x:c>
      <x:c r="AC1207" s="6" t="n">
        <x:v>0</x:v>
      </x:c>
    </x:row>
    <x:row r="1208">
      <x:c r="A1208" s="6" t="n">
        <x:v>7789</x:v>
      </x:c>
      <x:c r="B1208" s="6" t="n">
        <x:v>1965</x:v>
      </x:c>
      <x:c r="C1208" s="6" t="str">
        <x:v>PhD</x:v>
      </x:c>
      <x:c r="D1208" s="6" t="str">
        <x:v>Married</x:v>
      </x:c>
      <x:c r="E1208" s="6" t="n">
        <x:v>84618</x:v>
      </x:c>
      <x:c r="F1208" s="6" t="n">
        <x:v>0</x:v>
      </x:c>
      <x:c r="G1208" s="6" t="n">
        <x:v>0</x:v>
      </x:c>
      <x:c r="H1208" s="9" t="str">
        <x:v>22-11-2013</x:v>
      </x:c>
      <x:c r="I1208" s="6" t="n">
        <x:v>96</x:v>
      </x:c>
      <x:c r="J1208" s="6" t="n">
        <x:v>684</x:v>
      </x:c>
      <x:c r="K1208" s="6" t="n">
        <x:v>100</x:v>
      </x:c>
      <x:c r="L1208" s="6" t="n">
        <x:v>801</x:v>
      </x:c>
      <x:c r="M1208" s="6" t="n">
        <x:v>21</x:v>
      </x:c>
      <x:c r="N1208" s="6" t="n">
        <x:v>66</x:v>
      </x:c>
      <x:c r="O1208" s="6" t="n">
        <x:v>0</x:v>
      </x:c>
      <x:c r="P1208" s="6" t="n">
        <x:v>1</x:v>
      </x:c>
      <x:c r="Q1208" s="6" t="n">
        <x:v>6</x:v>
      </x:c>
      <x:c r="R1208" s="6" t="n">
        <x:v>9</x:v>
      </x:c>
      <x:c r="S1208" s="6" t="n">
        <x:v>10</x:v>
      </x:c>
      <x:c r="T1208" s="6" t="n">
        <x:v>2</x:v>
      </x:c>
      <x:c r="U1208" s="6" t="n">
        <x:v>0</x:v>
      </x:c>
      <x:c r="V1208" s="6" t="n">
        <x:v>0</x:v>
      </x:c>
      <x:c r="W1208" s="6" t="n">
        <x:v>1</x:v>
      </x:c>
      <x:c r="X1208" s="6" t="n">
        <x:v>0</x:v>
      </x:c>
      <x:c r="Y1208" s="6" t="n">
        <x:v>0</x:v>
      </x:c>
      <x:c r="Z1208" s="6" t="n">
        <x:v>0</x:v>
      </x:c>
      <x:c r="AA1208" s="6" t="n">
        <x:v>3</x:v>
      </x:c>
      <x:c r="AB1208" s="6" t="n">
        <x:v>11</x:v>
      </x:c>
      <x:c r="AC1208" s="6" t="n">
        <x:v>0</x:v>
      </x:c>
    </x:row>
    <x:row r="1209">
      <x:c r="A1209" s="6" t="n">
        <x:v>3068</x:v>
      </x:c>
      <x:c r="B1209" s="6" t="n">
        <x:v>1990</x:v>
      </x:c>
      <x:c r="C1209" s="6" t="str">
        <x:v>Graduation</x:v>
      </x:c>
      <x:c r="D1209" s="6" t="str">
        <x:v>Married</x:v>
      </x:c>
      <x:c r="E1209" s="6" t="n">
        <x:v>18351</x:v>
      </x:c>
      <x:c r="F1209" s="6" t="n">
        <x:v>0</x:v>
      </x:c>
      <x:c r="G1209" s="6" t="n">
        <x:v>0</x:v>
      </x:c>
      <x:c r="H1209" s="9" t="str">
        <x:v>29-10-2013</x:v>
      </x:c>
      <x:c r="I1209" s="6" t="n">
        <x:v>1</x:v>
      </x:c>
      <x:c r="J1209" s="6" t="n">
        <x:v>1</x:v>
      </x:c>
      <x:c r="K1209" s="6" t="n">
        <x:v>12</x:v>
      </x:c>
      <x:c r="L1209" s="6" t="n">
        <x:v>9</x:v>
      </x:c>
      <x:c r="M1209" s="6" t="n">
        <x:v>0</x:v>
      </x:c>
      <x:c r="N1209" s="6" t="n">
        <x:v>14</x:v>
      </x:c>
      <x:c r="O1209" s="6" t="n">
        <x:v>7</x:v>
      </x:c>
      <x:c r="P1209" s="6" t="n">
        <x:v>1</x:v>
      </x:c>
      <x:c r="Q1209" s="6" t="n">
        <x:v>2</x:v>
      </x:c>
      <x:c r="R1209" s="6" t="n">
        <x:v>0</x:v>
      </x:c>
      <x:c r="S1209" s="6" t="n">
        <x:v>3</x:v>
      </x:c>
      <x:c r="T1209" s="6" t="n">
        <x:v>7</x:v>
      </x:c>
      <x:c r="U1209" s="6" t="n">
        <x:v>0</x:v>
      </x:c>
      <x:c r="V1209" s="6" t="n">
        <x:v>0</x:v>
      </x:c>
      <x:c r="W1209" s="6" t="n">
        <x:v>0</x:v>
      </x:c>
      <x:c r="X1209" s="6" t="n">
        <x:v>0</x:v>
      </x:c>
      <x:c r="Y1209" s="6" t="n">
        <x:v>0</x:v>
      </x:c>
      <x:c r="Z1209" s="6" t="n">
        <x:v>0</x:v>
      </x:c>
      <x:c r="AA1209" s="6" t="n">
        <x:v>3</x:v>
      </x:c>
      <x:c r="AB1209" s="6" t="n">
        <x:v>11</x:v>
      </x:c>
      <x:c r="AC1209" s="6" t="n">
        <x:v>0</x:v>
      </x:c>
    </x:row>
    <x:row r="1210">
      <x:c r="A1210" s="6" t="n">
        <x:v>8955</x:v>
      </x:c>
      <x:c r="B1210" s="6" t="n">
        <x:v>1957</x:v>
      </x:c>
      <x:c r="C1210" s="6" t="str">
        <x:v>PhD</x:v>
      </x:c>
      <x:c r="D1210" s="6" t="str">
        <x:v>Together</x:v>
      </x:c>
      <x:c r="E1210" s="6" t="n">
        <x:v>40451</x:v>
      </x:c>
      <x:c r="F1210" s="6" t="n">
        <x:v>0</x:v>
      </x:c>
      <x:c r="G1210" s="6" t="n">
        <x:v>2</x:v>
      </x:c>
      <x:c r="H1210" s="9" t="str">
        <x:v>16-02-2014</x:v>
      </x:c>
      <x:c r="I1210" s="6" t="n">
        <x:v>54</x:v>
      </x:c>
      <x:c r="J1210" s="6" t="n">
        <x:v>35</x:v>
      </x:c>
      <x:c r="K1210" s="6" t="n">
        <x:v>0</x:v>
      </x:c>
      <x:c r="L1210" s="6" t="n">
        <x:v>4</x:v>
      </x:c>
      <x:c r="M1210" s="6" t="n">
        <x:v>0</x:v>
      </x:c>
      <x:c r="N1210" s="6" t="n">
        <x:v>0</x:v>
      </x:c>
      <x:c r="O1210" s="6" t="n">
        <x:v>10</x:v>
      </x:c>
      <x:c r="P1210" s="6" t="n">
        <x:v>1</x:v>
      </x:c>
      <x:c r="Q1210" s="6" t="n">
        <x:v>1</x:v>
      </x:c>
      <x:c r="R1210" s="6" t="n">
        <x:v>1</x:v>
      </x:c>
      <x:c r="S1210" s="6" t="n">
        <x:v>2</x:v>
      </x:c>
      <x:c r="T1210" s="6" t="n">
        <x:v>5</x:v>
      </x:c>
      <x:c r="U1210" s="6" t="n">
        <x:v>1</x:v>
      </x:c>
      <x:c r="V1210" s="6" t="n">
        <x:v>0</x:v>
      </x:c>
      <x:c r="W1210" s="6" t="n">
        <x:v>0</x:v>
      </x:c>
      <x:c r="X1210" s="6" t="n">
        <x:v>0</x:v>
      </x:c>
      <x:c r="Y1210" s="6" t="n">
        <x:v>0</x:v>
      </x:c>
      <x:c r="Z1210" s="6" t="n">
        <x:v>0</x:v>
      </x:c>
      <x:c r="AA1210" s="6" t="n">
        <x:v>3</x:v>
      </x:c>
      <x:c r="AB1210" s="6" t="n">
        <x:v>11</x:v>
      </x:c>
      <x:c r="AC1210" s="6" t="n">
        <x:v>0</x:v>
      </x:c>
    </x:row>
    <x:row r="1211">
      <x:c r="A1211" s="6" t="n">
        <x:v>945</x:v>
      </x:c>
      <x:c r="B1211" s="6" t="n">
        <x:v>1965</x:v>
      </x:c>
      <x:c r="C1211" s="6" t="str">
        <x:v>Graduation</x:v>
      </x:c>
      <x:c r="D1211" s="6" t="str">
        <x:v>Together</x:v>
      </x:c>
      <x:c r="E1211" s="6" t="n">
        <x:v>36317</x:v>
      </x:c>
      <x:c r="F1211" s="6" t="n">
        <x:v>0</x:v>
      </x:c>
      <x:c r="G1211" s="6" t="n">
        <x:v>1</x:v>
      </x:c>
      <x:c r="H1211" s="9" t="str">
        <x:v>22-05-2013</x:v>
      </x:c>
      <x:c r="I1211" s="6" t="n">
        <x:v>53</x:v>
      </x:c>
      <x:c r="J1211" s="6" t="n">
        <x:v>87</x:v>
      </x:c>
      <x:c r="K1211" s="6" t="n">
        <x:v>3</x:v>
      </x:c>
      <x:c r="L1211" s="6" t="n">
        <x:v>25</x:v>
      </x:c>
      <x:c r="M1211" s="6" t="n">
        <x:v>3</x:v>
      </x:c>
      <x:c r="N1211" s="6" t="n">
        <x:v>2</x:v>
      </x:c>
      <x:c r="O1211" s="6" t="n">
        <x:v>13</x:v>
      </x:c>
      <x:c r="P1211" s="6" t="n">
        <x:v>2</x:v>
      </x:c>
      <x:c r="Q1211" s="6" t="n">
        <x:v>3</x:v>
      </x:c>
      <x:c r="R1211" s="6" t="n">
        <x:v>0</x:v>
      </x:c>
      <x:c r="S1211" s="6" t="n">
        <x:v>4</x:v>
      </x:c>
      <x:c r="T1211" s="6" t="n">
        <x:v>7</x:v>
      </x:c>
      <x:c r="U1211" s="6" t="n">
        <x:v>0</x:v>
      </x:c>
      <x:c r="V1211" s="6" t="n">
        <x:v>0</x:v>
      </x:c>
      <x:c r="W1211" s="6" t="n">
        <x:v>0</x:v>
      </x:c>
      <x:c r="X1211" s="6" t="n">
        <x:v>0</x:v>
      </x:c>
      <x:c r="Y1211" s="6" t="n">
        <x:v>0</x:v>
      </x:c>
      <x:c r="Z1211" s="6" t="n">
        <x:v>0</x:v>
      </x:c>
      <x:c r="AA1211" s="6" t="n">
        <x:v>3</x:v>
      </x:c>
      <x:c r="AB1211" s="6" t="n">
        <x:v>11</x:v>
      </x:c>
      <x:c r="AC1211" s="6" t="n">
        <x:v>0</x:v>
      </x:c>
    </x:row>
    <x:row r="1212">
      <x:c r="A1212" s="6" t="n">
        <x:v>5644</x:v>
      </x:c>
      <x:c r="B1212" s="6" t="n">
        <x:v>1957</x:v>
      </x:c>
      <x:c r="C1212" s="6" t="str">
        <x:v>Graduation</x:v>
      </x:c>
      <x:c r="D1212" s="6" t="str">
        <x:v>Together</x:v>
      </x:c>
      <x:c r="E1212" s="6" t="n">
        <x:v>42213</x:v>
      </x:c>
      <x:c r="F1212" s="6" t="n">
        <x:v>0</x:v>
      </x:c>
      <x:c r="G1212" s="6" t="n">
        <x:v>1</x:v>
      </x:c>
      <x:c r="H1212" s="9" t="str">
        <x:v>12-10-2013</x:v>
      </x:c>
      <x:c r="I1212" s="6" t="n">
        <x:v>96</x:v>
      </x:c>
      <x:c r="J1212" s="6" t="n">
        <x:v>309</x:v>
      </x:c>
      <x:c r="K1212" s="6" t="n">
        <x:v>3</x:v>
      </x:c>
      <x:c r="L1212" s="6" t="n">
        <x:v>24</x:v>
      </x:c>
      <x:c r="M1212" s="6" t="n">
        <x:v>4</x:v>
      </x:c>
      <x:c r="N1212" s="6" t="n">
        <x:v>3</x:v>
      </x:c>
      <x:c r="O1212" s="6" t="n">
        <x:v>20</x:v>
      </x:c>
      <x:c r="P1212" s="6" t="n">
        <x:v>2</x:v>
      </x:c>
      <x:c r="Q1212" s="6" t="n">
        <x:v>5</x:v>
      </x:c>
      <x:c r="R1212" s="6" t="n">
        <x:v>1</x:v>
      </x:c>
      <x:c r="S1212" s="6" t="n">
        <x:v>7</x:v>
      </x:c>
      <x:c r="T1212" s="6" t="n">
        <x:v>7</x:v>
      </x:c>
      <x:c r="U1212" s="6" t="n">
        <x:v>0</x:v>
      </x:c>
      <x:c r="V1212" s="6" t="n">
        <x:v>1</x:v>
      </x:c>
      <x:c r="W1212" s="6" t="n">
        <x:v>0</x:v>
      </x:c>
      <x:c r="X1212" s="6" t="n">
        <x:v>0</x:v>
      </x:c>
      <x:c r="Y1212" s="6" t="n">
        <x:v>0</x:v>
      </x:c>
      <x:c r="Z1212" s="6" t="n">
        <x:v>0</x:v>
      </x:c>
      <x:c r="AA1212" s="6" t="n">
        <x:v>3</x:v>
      </x:c>
      <x:c r="AB1212" s="6" t="n">
        <x:v>11</x:v>
      </x:c>
      <x:c r="AC1212" s="6" t="n">
        <x:v>0</x:v>
      </x:c>
    </x:row>
    <x:row r="1213">
      <x:c r="A1213" s="6" t="n">
        <x:v>7192</x:v>
      </x:c>
      <x:c r="B1213" s="6" t="n">
        <x:v>1955</x:v>
      </x:c>
      <x:c r="C1213" s="6" t="str">
        <x:v>Graduation</x:v>
      </x:c>
      <x:c r="D1213" s="6" t="str">
        <x:v>Together</x:v>
      </x:c>
      <x:c r="E1213" s="6" t="n">
        <x:v>65748</x:v>
      </x:c>
      <x:c r="F1213" s="6" t="n">
        <x:v>0</x:v>
      </x:c>
      <x:c r="G1213" s="6" t="n">
        <x:v>1</x:v>
      </x:c>
      <x:c r="H1213" s="9" t="str">
        <x:v>15-04-2013</x:v>
      </x:c>
      <x:c r="I1213" s="6" t="n">
        <x:v>58</x:v>
      </x:c>
      <x:c r="J1213" s="6" t="n">
        <x:v>172</x:v>
      </x:c>
      <x:c r="K1213" s="6" t="n">
        <x:v>73</x:v>
      </x:c>
      <x:c r="L1213" s="6" t="n">
        <x:v>93</x:v>
      </x:c>
      <x:c r="M1213" s="6" t="n">
        <x:v>95</x:v>
      </x:c>
      <x:c r="N1213" s="6" t="n">
        <x:v>78</x:v>
      </x:c>
      <x:c r="O1213" s="6" t="n">
        <x:v>34</x:v>
      </x:c>
      <x:c r="P1213" s="6" t="n">
        <x:v>2</x:v>
      </x:c>
      <x:c r="Q1213" s="6" t="n">
        <x:v>2</x:v>
      </x:c>
      <x:c r="R1213" s="6" t="n">
        <x:v>4</x:v>
      </x:c>
      <x:c r="S1213" s="6" t="n">
        <x:v>10</x:v>
      </x:c>
      <x:c r="T1213" s="6" t="n">
        <x:v>1</x:v>
      </x:c>
      <x:c r="U1213" s="6" t="n">
        <x:v>0</x:v>
      </x:c>
      <x:c r="V1213" s="6" t="n">
        <x:v>0</x:v>
      </x:c>
      <x:c r="W1213" s="6" t="n">
        <x:v>0</x:v>
      </x:c>
      <x:c r="X1213" s="6" t="n">
        <x:v>0</x:v>
      </x:c>
      <x:c r="Y1213" s="6" t="n">
        <x:v>0</x:v>
      </x:c>
      <x:c r="Z1213" s="6" t="n">
        <x:v>1</x:v>
      </x:c>
      <x:c r="AA1213" s="6" t="n">
        <x:v>3</x:v>
      </x:c>
      <x:c r="AB1213" s="6" t="n">
        <x:v>11</x:v>
      </x:c>
      <x:c r="AC1213" s="6" t="n">
        <x:v>0</x:v>
      </x:c>
    </x:row>
    <x:row r="1214">
      <x:c r="A1214" s="6" t="n">
        <x:v>2324</x:v>
      </x:c>
      <x:c r="B1214" s="6" t="n">
        <x:v>1972</x:v>
      </x:c>
      <x:c r="C1214" s="6" t="str">
        <x:v>Graduation</x:v>
      </x:c>
      <x:c r="D1214" s="6" t="str">
        <x:v>Together</x:v>
      </x:c>
      <x:c r="E1214" s="6" t="n">
        <x:v>77044</x:v>
      </x:c>
      <x:c r="F1214" s="6" t="n">
        <x:v>0</x:v>
      </x:c>
      <x:c r="G1214" s="6" t="n">
        <x:v>1</x:v>
      </x:c>
      <x:c r="H1214" s="9" t="str">
        <x:v>27-10-2013</x:v>
      </x:c>
      <x:c r="I1214" s="6" t="n">
        <x:v>12</x:v>
      </x:c>
      <x:c r="J1214" s="6" t="n">
        <x:v>625</x:v>
      </x:c>
      <x:c r="K1214" s="6" t="n">
        <x:v>38</x:v>
      </x:c>
      <x:c r="L1214" s="6" t="n">
        <x:v>242</x:v>
      </x:c>
      <x:c r="M1214" s="6" t="n">
        <x:v>50</x:v>
      </x:c>
      <x:c r="N1214" s="6" t="n">
        <x:v>34</x:v>
      </x:c>
      <x:c r="O1214" s="6" t="n">
        <x:v>76</x:v>
      </x:c>
      <x:c r="P1214" s="6" t="n">
        <x:v>2</x:v>
      </x:c>
      <x:c r="Q1214" s="6" t="n">
        <x:v>7</x:v>
      </x:c>
      <x:c r="R1214" s="6" t="n">
        <x:v>11</x:v>
      </x:c>
      <x:c r="S1214" s="6" t="n">
        <x:v>11</x:v>
      </x:c>
      <x:c r="T1214" s="6" t="n">
        <x:v>4</x:v>
      </x:c>
      <x:c r="U1214" s="6" t="n">
        <x:v>1</x:v>
      </x:c>
      <x:c r="V1214" s="6" t="n">
        <x:v>0</x:v>
      </x:c>
      <x:c r="W1214" s="6" t="n">
        <x:v>0</x:v>
      </x:c>
      <x:c r="X1214" s="6" t="n">
        <x:v>0</x:v>
      </x:c>
      <x:c r="Y1214" s="6" t="n">
        <x:v>0</x:v>
      </x:c>
      <x:c r="Z1214" s="6" t="n">
        <x:v>0</x:v>
      </x:c>
      <x:c r="AA1214" s="6" t="n">
        <x:v>3</x:v>
      </x:c>
      <x:c r="AB1214" s="6" t="n">
        <x:v>11</x:v>
      </x:c>
      <x:c r="AC1214" s="6" t="n">
        <x:v>0</x:v>
      </x:c>
    </x:row>
    <x:row r="1215">
      <x:c r="A1215" s="6" t="n">
        <x:v>697</x:v>
      </x:c>
      <x:c r="B1215" s="6" t="n">
        <x:v>1969</x:v>
      </x:c>
      <x:c r="C1215" s="6" t="str">
        <x:v>Graduation</x:v>
      </x:c>
      <x:c r="D1215" s="6" t="str">
        <x:v>Together</x:v>
      </x:c>
      <x:c r="E1215" s="6" t="n">
        <x:v>74918</x:v>
      </x:c>
      <x:c r="F1215" s="6" t="n">
        <x:v>0</x:v>
      </x:c>
      <x:c r="G1215" s="6" t="n">
        <x:v>0</x:v>
      </x:c>
      <x:c r="H1215" s="9" t="str">
        <x:v>12-03-2013</x:v>
      </x:c>
      <x:c r="I1215" s="6" t="n">
        <x:v>78</x:v>
      </x:c>
      <x:c r="J1215" s="6" t="n">
        <x:v>972</x:v>
      </x:c>
      <x:c r="K1215" s="6" t="n">
        <x:v>59</x:v>
      </x:c>
      <x:c r="L1215" s="6" t="n">
        <x:v>913</x:v>
      </x:c>
      <x:c r="M1215" s="6" t="n">
        <x:v>25</x:v>
      </x:c>
      <x:c r="N1215" s="6" t="n">
        <x:v>19</x:v>
      </x:c>
      <x:c r="O1215" s="6" t="n">
        <x:v>59</x:v>
      </x:c>
      <x:c r="P1215" s="6" t="n">
        <x:v>1</x:v>
      </x:c>
      <x:c r="Q1215" s="6" t="n">
        <x:v>5</x:v>
      </x:c>
      <x:c r="R1215" s="6" t="n">
        <x:v>9</x:v>
      </x:c>
      <x:c r="S1215" s="6" t="n">
        <x:v>6</x:v>
      </x:c>
      <x:c r="T1215" s="6" t="n">
        <x:v>3</x:v>
      </x:c>
      <x:c r="U1215" s="6" t="n">
        <x:v>0</x:v>
      </x:c>
      <x:c r="V1215" s="6" t="n">
        <x:v>0</x:v>
      </x:c>
      <x:c r="W1215" s="6" t="n">
        <x:v>1</x:v>
      </x:c>
      <x:c r="X1215" s="6" t="n">
        <x:v>0</x:v>
      </x:c>
      <x:c r="Y1215" s="6" t="n">
        <x:v>0</x:v>
      </x:c>
      <x:c r="Z1215" s="6" t="n">
        <x:v>0</x:v>
      </x:c>
      <x:c r="AA1215" s="6" t="n">
        <x:v>3</x:v>
      </x:c>
      <x:c r="AB1215" s="6" t="n">
        <x:v>11</x:v>
      </x:c>
      <x:c r="AC1215" s="6" t="n">
        <x:v>0</x:v>
      </x:c>
    </x:row>
    <x:row r="1216">
      <x:c r="A1216" s="6" t="n">
        <x:v>3439</x:v>
      </x:c>
      <x:c r="B1216" s="6" t="n">
        <x:v>1972</x:v>
      </x:c>
      <x:c r="C1216" s="6" t="str">
        <x:v>Graduation</x:v>
      </x:c>
      <x:c r="D1216" s="6" t="str">
        <x:v>Married</x:v>
      </x:c>
      <x:c r="E1216" s="6" t="n">
        <x:v>56721</x:v>
      </x:c>
      <x:c r="F1216" s="6" t="n">
        <x:v>1</x:v>
      </x:c>
      <x:c r="G1216" s="6" t="n">
        <x:v>1</x:v>
      </x:c>
      <x:c r="H1216" s="9" t="str">
        <x:v>31-10-2012</x:v>
      </x:c>
      <x:c r="I1216" s="6" t="n">
        <x:v>64</x:v>
      </x:c>
      <x:c r="J1216" s="6" t="n">
        <x:v>157</x:v>
      </x:c>
      <x:c r="K1216" s="6" t="n">
        <x:v>6</x:v>
      </x:c>
      <x:c r="L1216" s="6" t="n">
        <x:v>39</x:v>
      </x:c>
      <x:c r="M1216" s="6" t="n">
        <x:v>6</x:v>
      </x:c>
      <x:c r="N1216" s="6" t="n">
        <x:v>13</x:v>
      </x:c>
      <x:c r="O1216" s="6" t="n">
        <x:v>75</x:v>
      </x:c>
      <x:c r="P1216" s="6" t="n">
        <x:v>5</x:v>
      </x:c>
      <x:c r="Q1216" s="6" t="n">
        <x:v>4</x:v>
      </x:c>
      <x:c r="R1216" s="6" t="n">
        <x:v>1</x:v>
      </x:c>
      <x:c r="S1216" s="6" t="n">
        <x:v>5</x:v>
      </x:c>
      <x:c r="T1216" s="6" t="n">
        <x:v>6</x:v>
      </x:c>
      <x:c r="U1216" s="6" t="n">
        <x:v>0</x:v>
      </x:c>
      <x:c r="V1216" s="6" t="n">
        <x:v>0</x:v>
      </x:c>
      <x:c r="W1216" s="6" t="n">
        <x:v>0</x:v>
      </x:c>
      <x:c r="X1216" s="6" t="n">
        <x:v>0</x:v>
      </x:c>
      <x:c r="Y1216" s="6" t="n">
        <x:v>0</x:v>
      </x:c>
      <x:c r="Z1216" s="6" t="n">
        <x:v>0</x:v>
      </x:c>
      <x:c r="AA1216" s="6" t="n">
        <x:v>3</x:v>
      </x:c>
      <x:c r="AB1216" s="6" t="n">
        <x:v>11</x:v>
      </x:c>
      <x:c r="AC1216" s="6" t="n">
        <x:v>0</x:v>
      </x:c>
    </x:row>
    <x:row r="1217">
      <x:c r="A1217" s="6" t="n">
        <x:v>1506</x:v>
      </x:c>
      <x:c r="B1217" s="6" t="n">
        <x:v>1975</x:v>
      </x:c>
      <x:c r="C1217" s="6" t="str">
        <x:v>Graduation</x:v>
      </x:c>
      <x:c r="D1217" s="6" t="str">
        <x:v>Single</x:v>
      </x:c>
      <x:c r="E1217" s="6" t="n">
        <x:v>42160</x:v>
      </x:c>
      <x:c r="F1217" s="6" t="n">
        <x:v>1</x:v>
      </x:c>
      <x:c r="G1217" s="6" t="n">
        <x:v>1</x:v>
      </x:c>
      <x:c r="H1217" s="9" t="str">
        <x:v>28-06-2013</x:v>
      </x:c>
      <x:c r="I1217" s="6" t="n">
        <x:v>26</x:v>
      </x:c>
      <x:c r="J1217" s="6" t="n">
        <x:v>48</x:v>
      </x:c>
      <x:c r="K1217" s="6" t="n">
        <x:v>9</x:v>
      </x:c>
      <x:c r="L1217" s="6" t="n">
        <x:v>45</x:v>
      </x:c>
      <x:c r="M1217" s="6" t="n">
        <x:v>3</x:v>
      </x:c>
      <x:c r="N1217" s="6" t="n">
        <x:v>15</x:v>
      </x:c>
      <x:c r="O1217" s="6" t="n">
        <x:v>20</x:v>
      </x:c>
      <x:c r="P1217" s="6" t="n">
        <x:v>4</x:v>
      </x:c>
      <x:c r="Q1217" s="6" t="n">
        <x:v>2</x:v>
      </x:c>
      <x:c r="R1217" s="6" t="n">
        <x:v>1</x:v>
      </x:c>
      <x:c r="S1217" s="6" t="n">
        <x:v>4</x:v>
      </x:c>
      <x:c r="T1217" s="6" t="n">
        <x:v>6</x:v>
      </x:c>
      <x:c r="U1217" s="6" t="n">
        <x:v>0</x:v>
      </x:c>
      <x:c r="V1217" s="6" t="n">
        <x:v>0</x:v>
      </x:c>
      <x:c r="W1217" s="6" t="n">
        <x:v>0</x:v>
      </x:c>
      <x:c r="X1217" s="6" t="n">
        <x:v>0</x:v>
      </x:c>
      <x:c r="Y1217" s="6" t="n">
        <x:v>0</x:v>
      </x:c>
      <x:c r="Z1217" s="6" t="n">
        <x:v>0</x:v>
      </x:c>
      <x:c r="AA1217" s="6" t="n">
        <x:v>3</x:v>
      </x:c>
      <x:c r="AB1217" s="6" t="n">
        <x:v>11</x:v>
      </x:c>
      <x:c r="AC1217" s="6" t="n">
        <x:v>1</x:v>
      </x:c>
    </x:row>
    <x:row r="1218">
      <x:c r="A1218" s="6" t="n">
        <x:v>232</x:v>
      </x:c>
      <x:c r="B1218" s="6" t="n">
        <x:v>1965</x:v>
      </x:c>
      <x:c r="C1218" s="6" t="str">
        <x:v>Graduation</x:v>
      </x:c>
      <x:c r="D1218" s="6" t="str">
        <x:v>Single</x:v>
      </x:c>
      <x:c r="E1218" s="6" t="n">
        <x:v>61559</x:v>
      </x:c>
      <x:c r="F1218" s="6" t="n">
        <x:v>0</x:v>
      </x:c>
      <x:c r="G1218" s="6" t="n">
        <x:v>1</x:v>
      </x:c>
      <x:c r="H1218" s="9" t="str">
        <x:v>17-07-2013</x:v>
      </x:c>
      <x:c r="I1218" s="6" t="n">
        <x:v>8</x:v>
      </x:c>
      <x:c r="J1218" s="6" t="n">
        <x:v>279</x:v>
      </x:c>
      <x:c r="K1218" s="6" t="n">
        <x:v>83</x:v>
      </x:c>
      <x:c r="L1218" s="6" t="n">
        <x:v>88</x:v>
      </x:c>
      <x:c r="M1218" s="6" t="n">
        <x:v>32</x:v>
      </x:c>
      <x:c r="N1218" s="6" t="n">
        <x:v>14</x:v>
      </x:c>
      <x:c r="O1218" s="6" t="n">
        <x:v>34</x:v>
      </x:c>
      <x:c r="P1218" s="6" t="n">
        <x:v>1</x:v>
      </x:c>
      <x:c r="Q1218" s="6" t="n">
        <x:v>4</x:v>
      </x:c>
      <x:c r="R1218" s="6" t="n">
        <x:v>2</x:v>
      </x:c>
      <x:c r="S1218" s="6" t="n">
        <x:v>10</x:v>
      </x:c>
      <x:c r="T1218" s="6" t="n">
        <x:v>3</x:v>
      </x:c>
      <x:c r="U1218" s="6" t="n">
        <x:v>0</x:v>
      </x:c>
      <x:c r="V1218" s="6" t="n">
        <x:v>0</x:v>
      </x:c>
      <x:c r="W1218" s="6" t="n">
        <x:v>0</x:v>
      </x:c>
      <x:c r="X1218" s="6" t="n">
        <x:v>0</x:v>
      </x:c>
      <x:c r="Y1218" s="6" t="n">
        <x:v>0</x:v>
      </x:c>
      <x:c r="Z1218" s="6" t="n">
        <x:v>0</x:v>
      </x:c>
      <x:c r="AA1218" s="6" t="n">
        <x:v>3</x:v>
      </x:c>
      <x:c r="AB1218" s="6" t="n">
        <x:v>11</x:v>
      </x:c>
      <x:c r="AC1218" s="6" t="n">
        <x:v>0</x:v>
      </x:c>
    </x:row>
    <x:row r="1219">
      <x:c r="A1219" s="6" t="n">
        <x:v>8876</x:v>
      </x:c>
      <x:c r="B1219" s="6" t="n">
        <x:v>1963</x:v>
      </x:c>
      <x:c r="C1219" s="6" t="str">
        <x:v>PhD</x:v>
      </x:c>
      <x:c r="D1219" s="6" t="str">
        <x:v>Together</x:v>
      </x:c>
      <x:c r="E1219" s="6" t="n">
        <x:v>33629</x:v>
      </x:c>
      <x:c r="F1219" s="6" t="n">
        <x:v>1</x:v>
      </x:c>
      <x:c r="G1219" s="6" t="n">
        <x:v>1</x:v>
      </x:c>
      <x:c r="H1219" s="9" t="str">
        <x:v>08-08-2012</x:v>
      </x:c>
      <x:c r="I1219" s="6" t="n">
        <x:v>49</x:v>
      </x:c>
      <x:c r="J1219" s="6" t="n">
        <x:v>132</x:v>
      </x:c>
      <x:c r="K1219" s="6" t="n">
        <x:v>0</x:v>
      </x:c>
      <x:c r="L1219" s="6" t="n">
        <x:v>16</x:v>
      </x:c>
      <x:c r="M1219" s="6" t="n">
        <x:v>0</x:v>
      </x:c>
      <x:c r="N1219" s="6" t="n">
        <x:v>0</x:v>
      </x:c>
      <x:c r="O1219" s="6" t="n">
        <x:v>4</x:v>
      </x:c>
      <x:c r="P1219" s="6" t="n">
        <x:v>5</x:v>
      </x:c>
      <x:c r="Q1219" s="6" t="n">
        <x:v>3</x:v>
      </x:c>
      <x:c r="R1219" s="6" t="n">
        <x:v>1</x:v>
      </x:c>
      <x:c r="S1219" s="6" t="n">
        <x:v>4</x:v>
      </x:c>
      <x:c r="T1219" s="6" t="n">
        <x:v>9</x:v>
      </x:c>
      <x:c r="U1219" s="6" t="n">
        <x:v>0</x:v>
      </x:c>
      <x:c r="V1219" s="6" t="n">
        <x:v>0</x:v>
      </x:c>
      <x:c r="W1219" s="6" t="n">
        <x:v>0</x:v>
      </x:c>
      <x:c r="X1219" s="6" t="n">
        <x:v>0</x:v>
      </x:c>
      <x:c r="Y1219" s="6" t="n">
        <x:v>0</x:v>
      </x:c>
      <x:c r="Z1219" s="6" t="n">
        <x:v>0</x:v>
      </x:c>
      <x:c r="AA1219" s="6" t="n">
        <x:v>3</x:v>
      </x:c>
      <x:c r="AB1219" s="6" t="n">
        <x:v>11</x:v>
      </x:c>
      <x:c r="AC1219" s="6" t="n">
        <x:v>0</x:v>
      </x:c>
    </x:row>
    <x:row r="1220">
      <x:c r="A1220" s="6" t="n">
        <x:v>4500</x:v>
      </x:c>
      <x:c r="B1220" s="6" t="n">
        <x:v>1991</x:v>
      </x:c>
      <x:c r="C1220" s="6" t="str">
        <x:v>PhD</x:v>
      </x:c>
      <x:c r="D1220" s="6" t="str">
        <x:v>Together</x:v>
      </x:c>
      <x:c r="E1220" s="6" t="n">
        <x:v>68682</x:v>
      </x:c>
      <x:c r="F1220" s="6" t="n">
        <x:v>0</x:v>
      </x:c>
      <x:c r="G1220" s="6" t="n">
        <x:v>0</x:v>
      </x:c>
      <x:c r="H1220" s="9" t="str">
        <x:v>06-10-2013</x:v>
      </x:c>
      <x:c r="I1220" s="6" t="n">
        <x:v>56</x:v>
      </x:c>
      <x:c r="J1220" s="6" t="n">
        <x:v>919</x:v>
      </x:c>
      <x:c r="K1220" s="6" t="n">
        <x:v>0</x:v>
      </x:c>
      <x:c r="L1220" s="6" t="n">
        <x:v>505</x:v>
      </x:c>
      <x:c r="M1220" s="6" t="n">
        <x:v>99</x:v>
      </x:c>
      <x:c r="N1220" s="6" t="n">
        <x:v>30</x:v>
      </x:c>
      <x:c r="O1220" s="6" t="n">
        <x:v>45</x:v>
      </x:c>
      <x:c r="P1220" s="6" t="n">
        <x:v>1</x:v>
      </x:c>
      <x:c r="Q1220" s="6" t="n">
        <x:v>4</x:v>
      </x:c>
      <x:c r="R1220" s="6" t="n">
        <x:v>9</x:v>
      </x:c>
      <x:c r="S1220" s="6" t="n">
        <x:v>10</x:v>
      </x:c>
      <x:c r="T1220" s="6" t="n">
        <x:v>2</x:v>
      </x:c>
      <x:c r="U1220" s="6" t="n">
        <x:v>0</x:v>
      </x:c>
      <x:c r="V1220" s="6" t="n">
        <x:v>0</x:v>
      </x:c>
      <x:c r="W1220" s="6" t="n">
        <x:v>0</x:v>
      </x:c>
      <x:c r="X1220" s="6" t="n">
        <x:v>0</x:v>
      </x:c>
      <x:c r="Y1220" s="6" t="n">
        <x:v>0</x:v>
      </x:c>
      <x:c r="Z1220" s="6" t="n">
        <x:v>0</x:v>
      </x:c>
      <x:c r="AA1220" s="6" t="n">
        <x:v>3</x:v>
      </x:c>
      <x:c r="AB1220" s="6" t="n">
        <x:v>11</x:v>
      </x:c>
      <x:c r="AC1220" s="6" t="n">
        <x:v>0</x:v>
      </x:c>
    </x:row>
    <x:row r="1221">
      <x:c r="A1221" s="6" t="n">
        <x:v>9739</x:v>
      </x:c>
      <x:c r="B1221" s="6" t="n">
        <x:v>1963</x:v>
      </x:c>
      <x:c r="C1221" s="6" t="str">
        <x:v>Graduation</x:v>
      </x:c>
      <x:c r="D1221" s="6" t="str">
        <x:v>Single</x:v>
      </x:c>
      <x:c r="E1221" s="6" t="n">
        <x:v>34377</x:v>
      </x:c>
      <x:c r="F1221" s="6" t="n">
        <x:v>0</x:v>
      </x:c>
      <x:c r="G1221" s="6" t="n">
        <x:v>1</x:v>
      </x:c>
      <x:c r="H1221" s="9" t="str">
        <x:v>19-01-2013</x:v>
      </x:c>
      <x:c r="I1221" s="6" t="n">
        <x:v>55</x:v>
      </x:c>
      <x:c r="J1221" s="6" t="n">
        <x:v>62</x:v>
      </x:c>
      <x:c r="K1221" s="6" t="n">
        <x:v>0</x:v>
      </x:c>
      <x:c r="L1221" s="6" t="n">
        <x:v>22</x:v>
      </x:c>
      <x:c r="M1221" s="6" t="n">
        <x:v>3</x:v>
      </x:c>
      <x:c r="N1221" s="6" t="n">
        <x:v>1</x:v>
      </x:c>
      <x:c r="O1221" s="6" t="n">
        <x:v>26</x:v>
      </x:c>
      <x:c r="P1221" s="6" t="n">
        <x:v>2</x:v>
      </x:c>
      <x:c r="Q1221" s="6" t="n">
        <x:v>2</x:v>
      </x:c>
      <x:c r="R1221" s="6" t="n">
        <x:v>2</x:v>
      </x:c>
      <x:c r="S1221" s="6" t="n">
        <x:v>2</x:v>
      </x:c>
      <x:c r="T1221" s="6" t="n">
        <x:v>7</x:v>
      </x:c>
      <x:c r="U1221" s="6" t="n">
        <x:v>0</x:v>
      </x:c>
      <x:c r="V1221" s="6" t="n">
        <x:v>0</x:v>
      </x:c>
      <x:c r="W1221" s="6" t="n">
        <x:v>0</x:v>
      </x:c>
      <x:c r="X1221" s="6" t="n">
        <x:v>0</x:v>
      </x:c>
      <x:c r="Y1221" s="6" t="n">
        <x:v>0</x:v>
      </x:c>
      <x:c r="Z1221" s="6" t="n">
        <x:v>0</x:v>
      </x:c>
      <x:c r="AA1221" s="6" t="n">
        <x:v>3</x:v>
      </x:c>
      <x:c r="AB1221" s="6" t="n">
        <x:v>11</x:v>
      </x:c>
      <x:c r="AC1221" s="6" t="n">
        <x:v>0</x:v>
      </x:c>
    </x:row>
    <x:row r="1222">
      <x:c r="A1222" s="6" t="n">
        <x:v>10395</x:v>
      </x:c>
      <x:c r="B1222" s="6" t="n">
        <x:v>1986</x:v>
      </x:c>
      <x:c r="C1222" s="6" t="str">
        <x:v>Basic</x:v>
      </x:c>
      <x:c r="D1222" s="6" t="str">
        <x:v>Single</x:v>
      </x:c>
      <x:c r="E1222" s="6" t="n">
        <x:v>8940</x:v>
      </x:c>
      <x:c r="F1222" s="6" t="n">
        <x:v>1</x:v>
      </x:c>
      <x:c r="G1222" s="6" t="n">
        <x:v>0</x:v>
      </x:c>
      <x:c r="H1222" s="9" t="str">
        <x:v>22-08-2012</x:v>
      </x:c>
      <x:c r="I1222" s="6" t="n">
        <x:v>25</x:v>
      </x:c>
      <x:c r="J1222" s="6" t="n">
        <x:v>1</x:v>
      </x:c>
      <x:c r="K1222" s="6" t="n">
        <x:v>45</x:v>
      </x:c>
      <x:c r="L1222" s="6" t="n">
        <x:v>3</x:v>
      </x:c>
      <x:c r="M1222" s="6" t="n">
        <x:v>4</x:v>
      </x:c>
      <x:c r="N1222" s="6" t="n">
        <x:v>6</x:v>
      </x:c>
      <x:c r="O1222" s="6" t="n">
        <x:v>42</x:v>
      </x:c>
      <x:c r="P1222" s="6" t="n">
        <x:v>3</x:v>
      </x:c>
      <x:c r="Q1222" s="6" t="n">
        <x:v>3</x:v>
      </x:c>
      <x:c r="R1222" s="6" t="n">
        <x:v>1</x:v>
      </x:c>
      <x:c r="S1222" s="6" t="n">
        <x:v>3</x:v>
      </x:c>
      <x:c r="T1222" s="6" t="n">
        <x:v>8</x:v>
      </x:c>
      <x:c r="U1222" s="6" t="n">
        <x:v>0</x:v>
      </x:c>
      <x:c r="V1222" s="6" t="n">
        <x:v>0</x:v>
      </x:c>
      <x:c r="W1222" s="6" t="n">
        <x:v>0</x:v>
      </x:c>
      <x:c r="X1222" s="6" t="n">
        <x:v>0</x:v>
      </x:c>
      <x:c r="Y1222" s="6" t="n">
        <x:v>0</x:v>
      </x:c>
      <x:c r="Z1222" s="6" t="n">
        <x:v>0</x:v>
      </x:c>
      <x:c r="AA1222" s="6" t="n">
        <x:v>3</x:v>
      </x:c>
      <x:c r="AB1222" s="6" t="n">
        <x:v>11</x:v>
      </x:c>
      <x:c r="AC1222" s="6" t="n">
        <x:v>0</x:v>
      </x:c>
    </x:row>
    <x:row r="1223">
      <x:c r="A1223" s="6" t="n">
        <x:v>1176</x:v>
      </x:c>
      <x:c r="B1223" s="6" t="n">
        <x:v>1973</x:v>
      </x:c>
      <x:c r="C1223" s="6" t="str">
        <x:v>Graduation</x:v>
      </x:c>
      <x:c r="D1223" s="6" t="str">
        <x:v>Married</x:v>
      </x:c>
      <x:c r="E1223" s="6" t="n">
        <x:v>26228</x:v>
      </x:c>
      <x:c r="F1223" s="6" t="n">
        <x:v>1</x:v>
      </x:c>
      <x:c r="G1223" s="6" t="n">
        <x:v>0</x:v>
      </x:c>
      <x:c r="H1223" s="9" t="str">
        <x:v>22-09-2013</x:v>
      </x:c>
      <x:c r="I1223" s="6" t="n">
        <x:v>50</x:v>
      </x:c>
      <x:c r="J1223" s="6" t="n">
        <x:v>2</x:v>
      </x:c>
      <x:c r="K1223" s="6" t="n">
        <x:v>6</x:v>
      </x:c>
      <x:c r="L1223" s="6" t="n">
        <x:v>4</x:v>
      </x:c>
      <x:c r="M1223" s="6" t="n">
        <x:v>3</x:v>
      </x:c>
      <x:c r="N1223" s="6" t="n">
        <x:v>1</x:v>
      </x:c>
      <x:c r="O1223" s="6" t="n">
        <x:v>9</x:v>
      </x:c>
      <x:c r="P1223" s="6" t="n">
        <x:v>1</x:v>
      </x:c>
      <x:c r="Q1223" s="6" t="n">
        <x:v>1</x:v>
      </x:c>
      <x:c r="R1223" s="6" t="n">
        <x:v>0</x:v>
      </x:c>
      <x:c r="S1223" s="6" t="n">
        <x:v>2</x:v>
      </x:c>
      <x:c r="T1223" s="6" t="n">
        <x:v>8</x:v>
      </x:c>
      <x:c r="U1223" s="6" t="n">
        <x:v>0</x:v>
      </x:c>
      <x:c r="V1223" s="6" t="n">
        <x:v>0</x:v>
      </x:c>
      <x:c r="W1223" s="6" t="n">
        <x:v>0</x:v>
      </x:c>
      <x:c r="X1223" s="6" t="n">
        <x:v>0</x:v>
      </x:c>
      <x:c r="Y1223" s="6" t="n">
        <x:v>0</x:v>
      </x:c>
      <x:c r="Z1223" s="6" t="n">
        <x:v>0</x:v>
      </x:c>
      <x:c r="AA1223" s="6" t="n">
        <x:v>3</x:v>
      </x:c>
      <x:c r="AB1223" s="6" t="n">
        <x:v>11</x:v>
      </x:c>
      <x:c r="AC1223" s="6" t="n">
        <x:v>0</x:v>
      </x:c>
    </x:row>
    <x:row r="1224">
      <x:c r="A1224" s="6" t="n">
        <x:v>1627</x:v>
      </x:c>
      <x:c r="B1224" s="6" t="n">
        <x:v>1957</x:v>
      </x:c>
      <x:c r="C1224" s="6" t="str">
        <x:v>2n Cycle</x:v>
      </x:c>
      <x:c r="D1224" s="6" t="str">
        <x:v>Divorced</x:v>
      </x:c>
      <x:c r="E1224" s="6" t="n">
        <x:v>77297</x:v>
      </x:c>
      <x:c r="F1224" s="6" t="n">
        <x:v>0</x:v>
      </x:c>
      <x:c r="G1224" s="6" t="n">
        <x:v>0</x:v>
      </x:c>
      <x:c r="H1224" s="9" t="str">
        <x:v>26-01-2013</x:v>
      </x:c>
      <x:c r="I1224" s="6" t="n">
        <x:v>84</x:v>
      </x:c>
      <x:c r="J1224" s="6" t="n">
        <x:v>408</x:v>
      </x:c>
      <x:c r="K1224" s="6" t="n">
        <x:v>61</x:v>
      </x:c>
      <x:c r="L1224" s="6" t="n">
        <x:v>109</x:v>
      </x:c>
      <x:c r="M1224" s="6" t="n">
        <x:v>48</x:v>
      </x:c>
      <x:c r="N1224" s="6" t="n">
        <x:v>122</x:v>
      </x:c>
      <x:c r="O1224" s="6" t="n">
        <x:v>41</x:v>
      </x:c>
      <x:c r="P1224" s="6" t="n">
        <x:v>1</x:v>
      </x:c>
      <x:c r="Q1224" s="6" t="n">
        <x:v>5</x:v>
      </x:c>
      <x:c r="R1224" s="6" t="n">
        <x:v>7</x:v>
      </x:c>
      <x:c r="S1224" s="6" t="n">
        <x:v>9</x:v>
      </x:c>
      <x:c r="T1224" s="6" t="n">
        <x:v>4</x:v>
      </x:c>
      <x:c r="U1224" s="6" t="n">
        <x:v>0</x:v>
      </x:c>
      <x:c r="V1224" s="6" t="n">
        <x:v>0</x:v>
      </x:c>
      <x:c r="W1224" s="6" t="n">
        <x:v>0</x:v>
      </x:c>
      <x:c r="X1224" s="6" t="n">
        <x:v>1</x:v>
      </x:c>
      <x:c r="Y1224" s="6" t="n">
        <x:v>0</x:v>
      </x:c>
      <x:c r="Z1224" s="6" t="n">
        <x:v>0</x:v>
      </x:c>
      <x:c r="AA1224" s="6" t="n">
        <x:v>3</x:v>
      </x:c>
      <x:c r="AB1224" s="6" t="n">
        <x:v>11</x:v>
      </x:c>
      <x:c r="AC1224" s="6" t="n">
        <x:v>0</x:v>
      </x:c>
    </x:row>
    <x:row r="1225">
      <x:c r="A1225" s="6" t="n">
        <x:v>938</x:v>
      </x:c>
      <x:c r="B1225" s="6" t="n">
        <x:v>1981</x:v>
      </x:c>
      <x:c r="C1225" s="6" t="str">
        <x:v>Graduation</x:v>
      </x:c>
      <x:c r="D1225" s="6" t="str">
        <x:v>Married</x:v>
      </x:c>
      <x:c r="E1225" s="6" t="n">
        <x:v>40211</x:v>
      </x:c>
      <x:c r="F1225" s="6" t="n">
        <x:v>1</x:v>
      </x:c>
      <x:c r="G1225" s="6" t="n">
        <x:v>1</x:v>
      </x:c>
      <x:c r="H1225" s="9" t="str">
        <x:v>30-07-2013</x:v>
      </x:c>
      <x:c r="I1225" s="6" t="n">
        <x:v>30</x:v>
      </x:c>
      <x:c r="J1225" s="6" t="n">
        <x:v>51</x:v>
      </x:c>
      <x:c r="K1225" s="6" t="n">
        <x:v>1</x:v>
      </x:c>
      <x:c r="L1225" s="6" t="n">
        <x:v>7</x:v>
      </x:c>
      <x:c r="M1225" s="6" t="n">
        <x:v>2</x:v>
      </x:c>
      <x:c r="N1225" s="6" t="n">
        <x:v>1</x:v>
      </x:c>
      <x:c r="O1225" s="6" t="n">
        <x:v>25</x:v>
      </x:c>
      <x:c r="P1225" s="6" t="n">
        <x:v>2</x:v>
      </x:c>
      <x:c r="Q1225" s="6" t="n">
        <x:v>2</x:v>
      </x:c>
      <x:c r="R1225" s="6" t="n">
        <x:v>1</x:v>
      </x:c>
      <x:c r="S1225" s="6" t="n">
        <x:v>2</x:v>
      </x:c>
      <x:c r="T1225" s="6" t="n">
        <x:v>8</x:v>
      </x:c>
      <x:c r="U1225" s="6" t="n">
        <x:v>1</x:v>
      </x:c>
      <x:c r="V1225" s="6" t="n">
        <x:v>0</x:v>
      </x:c>
      <x:c r="W1225" s="6" t="n">
        <x:v>0</x:v>
      </x:c>
      <x:c r="X1225" s="6" t="n">
        <x:v>0</x:v>
      </x:c>
      <x:c r="Y1225" s="6" t="n">
        <x:v>0</x:v>
      </x:c>
      <x:c r="Z1225" s="6" t="n">
        <x:v>0</x:v>
      </x:c>
      <x:c r="AA1225" s="6" t="n">
        <x:v>3</x:v>
      </x:c>
      <x:c r="AB1225" s="6" t="n">
        <x:v>11</x:v>
      </x:c>
      <x:c r="AC1225" s="6" t="n">
        <x:v>0</x:v>
      </x:c>
    </x:row>
    <x:row r="1226">
      <x:c r="A1226" s="6" t="n">
        <x:v>2740</x:v>
      </x:c>
      <x:c r="B1226" s="6" t="n">
        <x:v>1958</x:v>
      </x:c>
      <x:c r="C1226" s="6" t="str">
        <x:v>PhD</x:v>
      </x:c>
      <x:c r="D1226" s="6" t="str">
        <x:v>Widow</x:v>
      </x:c>
      <x:c r="E1226" s="6" t="n">
        <x:v>33438</x:v>
      </x:c>
      <x:c r="F1226" s="6" t="n">
        <x:v>1</x:v>
      </x:c>
      <x:c r="G1226" s="6" t="n">
        <x:v>1</x:v>
      </x:c>
      <x:c r="H1226" s="9" t="str">
        <x:v>22-09-2013</x:v>
      </x:c>
      <x:c r="I1226" s="6" t="n">
        <x:v>81</x:v>
      </x:c>
      <x:c r="J1226" s="6" t="n">
        <x:v>62</x:v>
      </x:c>
      <x:c r="K1226" s="6" t="n">
        <x:v>1</x:v>
      </x:c>
      <x:c r="L1226" s="6" t="n">
        <x:v>16</x:v>
      </x:c>
      <x:c r="M1226" s="6" t="n">
        <x:v>3</x:v>
      </x:c>
      <x:c r="N1226" s="6" t="n">
        <x:v>2</x:v>
      </x:c>
      <x:c r="O1226" s="6" t="n">
        <x:v>6</x:v>
      </x:c>
      <x:c r="P1226" s="6" t="n">
        <x:v>4</x:v>
      </x:c>
      <x:c r="Q1226" s="6" t="n">
        <x:v>2</x:v>
      </x:c>
      <x:c r="R1226" s="6" t="n">
        <x:v>1</x:v>
      </x:c>
      <x:c r="S1226" s="6" t="n">
        <x:v>4</x:v>
      </x:c>
      <x:c r="T1226" s="6" t="n">
        <x:v>5</x:v>
      </x:c>
      <x:c r="U1226" s="6" t="n">
        <x:v>0</x:v>
      </x:c>
      <x:c r="V1226" s="6" t="n">
        <x:v>0</x:v>
      </x:c>
      <x:c r="W1226" s="6" t="n">
        <x:v>0</x:v>
      </x:c>
      <x:c r="X1226" s="6" t="n">
        <x:v>0</x:v>
      </x:c>
      <x:c r="Y1226" s="6" t="n">
        <x:v>0</x:v>
      </x:c>
      <x:c r="Z1226" s="6" t="n">
        <x:v>0</x:v>
      </x:c>
      <x:c r="AA1226" s="6" t="n">
        <x:v>3</x:v>
      </x:c>
      <x:c r="AB1226" s="6" t="n">
        <x:v>11</x:v>
      </x:c>
      <x:c r="AC1226" s="6" t="n">
        <x:v>0</x:v>
      </x:c>
    </x:row>
    <x:row r="1227">
      <x:c r="A1227" s="6" t="n">
        <x:v>257</x:v>
      </x:c>
      <x:c r="B1227" s="6" t="n">
        <x:v>1959</x:v>
      </x:c>
      <x:c r="C1227" s="6" t="str">
        <x:v>PhD</x:v>
      </x:c>
      <x:c r="D1227" s="6" t="str">
        <x:v>Married</x:v>
      </x:c>
      <x:c r="E1227" s="6" t="n">
        <x:v>75032</x:v>
      </x:c>
      <x:c r="F1227" s="6" t="n">
        <x:v>0</x:v>
      </x:c>
      <x:c r="G1227" s="6" t="n">
        <x:v>1</x:v>
      </x:c>
      <x:c r="H1227" s="9" t="str">
        <x:v>28-04-2013</x:v>
      </x:c>
      <x:c r="I1227" s="6" t="n">
        <x:v>74</x:v>
      </x:c>
      <x:c r="J1227" s="6" t="n">
        <x:v>952</x:v>
      </x:c>
      <x:c r="K1227" s="6" t="n">
        <x:v>12</x:v>
      </x:c>
      <x:c r="L1227" s="6" t="n">
        <x:v>180</x:v>
      </x:c>
      <x:c r="M1227" s="6" t="n">
        <x:v>47</x:v>
      </x:c>
      <x:c r="N1227" s="6" t="n">
        <x:v>12</x:v>
      </x:c>
      <x:c r="O1227" s="6" t="n">
        <x:v>12</x:v>
      </x:c>
      <x:c r="P1227" s="6" t="n">
        <x:v>2</x:v>
      </x:c>
      <x:c r="Q1227" s="6" t="n">
        <x:v>5</x:v>
      </x:c>
      <x:c r="R1227" s="6" t="n">
        <x:v>4</x:v>
      </x:c>
      <x:c r="S1227" s="6" t="n">
        <x:v>9</x:v>
      </x:c>
      <x:c r="T1227" s="6" t="n">
        <x:v>3</x:v>
      </x:c>
      <x:c r="U1227" s="6" t="n">
        <x:v>0</x:v>
      </x:c>
      <x:c r="V1227" s="6" t="n">
        <x:v>0</x:v>
      </x:c>
      <x:c r="W1227" s="6" t="n">
        <x:v>0</x:v>
      </x:c>
      <x:c r="X1227" s="6" t="n">
        <x:v>0</x:v>
      </x:c>
      <x:c r="Y1227" s="6" t="n">
        <x:v>0</x:v>
      </x:c>
      <x:c r="Z1227" s="6" t="n">
        <x:v>0</x:v>
      </x:c>
      <x:c r="AA1227" s="6" t="n">
        <x:v>3</x:v>
      </x:c>
      <x:c r="AB1227" s="6" t="n">
        <x:v>11</x:v>
      </x:c>
      <x:c r="AC1227" s="6" t="n">
        <x:v>0</x:v>
      </x:c>
    </x:row>
    <x:row r="1228">
      <x:c r="A1228" s="6" t="n">
        <x:v>4058</x:v>
      </x:c>
      <x:c r="B1228" s="6" t="n">
        <x:v>1955</x:v>
      </x:c>
      <x:c r="C1228" s="6" t="str">
        <x:v>PhD</x:v>
      </x:c>
      <x:c r="D1228" s="6" t="str">
        <x:v>Single</x:v>
      </x:c>
      <x:c r="E1228" s="6" t="n">
        <x:v>61284</x:v>
      </x:c>
      <x:c r="F1228" s="6" t="n">
        <x:v>0</x:v>
      </x:c>
      <x:c r="G1228" s="6" t="n">
        <x:v>0</x:v>
      </x:c>
      <x:c r="H1228" s="9" t="str">
        <x:v>12-10-2013</x:v>
      </x:c>
      <x:c r="I1228" s="6" t="n">
        <x:v>76</x:v>
      </x:c>
      <x:c r="J1228" s="6" t="n">
        <x:v>618</x:v>
      </x:c>
      <x:c r="K1228" s="6" t="n">
        <x:v>15</x:v>
      </x:c>
      <x:c r="L1228" s="6" t="n">
        <x:v>106</x:v>
      </x:c>
      <x:c r="M1228" s="6" t="n">
        <x:v>20</x:v>
      </x:c>
      <x:c r="N1228" s="6" t="n">
        <x:v>7</x:v>
      </x:c>
      <x:c r="O1228" s="6" t="n">
        <x:v>45</x:v>
      </x:c>
      <x:c r="P1228" s="6" t="n">
        <x:v>1</x:v>
      </x:c>
      <x:c r="Q1228" s="6" t="n">
        <x:v>11</x:v>
      </x:c>
      <x:c r="R1228" s="6" t="n">
        <x:v>2</x:v>
      </x:c>
      <x:c r="S1228" s="6" t="n">
        <x:v>8</x:v>
      </x:c>
      <x:c r="T1228" s="6" t="n">
        <x:v>6</x:v>
      </x:c>
      <x:c r="U1228" s="6" t="n">
        <x:v>0</x:v>
      </x:c>
      <x:c r="V1228" s="6" t="n">
        <x:v>1</x:v>
      </x:c>
      <x:c r="W1228" s="6" t="n">
        <x:v>0</x:v>
      </x:c>
      <x:c r="X1228" s="6" t="n">
        <x:v>0</x:v>
      </x:c>
      <x:c r="Y1228" s="6" t="n">
        <x:v>0</x:v>
      </x:c>
      <x:c r="Z1228" s="6" t="n">
        <x:v>0</x:v>
      </x:c>
      <x:c r="AA1228" s="6" t="n">
        <x:v>3</x:v>
      </x:c>
      <x:c r="AB1228" s="6" t="n">
        <x:v>11</x:v>
      </x:c>
      <x:c r="AC1228" s="6" t="n">
        <x:v>0</x:v>
      </x:c>
    </x:row>
    <x:row r="1229">
      <x:c r="A1229" s="6" t="n">
        <x:v>7736</x:v>
      </x:c>
      <x:c r="B1229" s="6" t="n">
        <x:v>1986</x:v>
      </x:c>
      <x:c r="C1229" s="6" t="str">
        <x:v>Graduation</x:v>
      </x:c>
      <x:c r="D1229" s="6" t="str">
        <x:v>Married</x:v>
      </x:c>
      <x:c r="E1229" s="6" t="n">
        <x:v>22518</x:v>
      </x:c>
      <x:c r="F1229" s="6" t="n">
        <x:v>1</x:v>
      </x:c>
      <x:c r="G1229" s="6" t="n">
        <x:v>0</x:v>
      </x:c>
      <x:c r="H1229" s="9" t="str">
        <x:v>22-10-2012</x:v>
      </x:c>
      <x:c r="I1229" s="6" t="n">
        <x:v>36</x:v>
      </x:c>
      <x:c r="J1229" s="6" t="n">
        <x:v>11</x:v>
      </x:c>
      <x:c r="K1229" s="6" t="n">
        <x:v>7</x:v>
      </x:c>
      <x:c r="L1229" s="6" t="n">
        <x:v>12</x:v>
      </x:c>
      <x:c r="M1229" s="6" t="n">
        <x:v>2</x:v>
      </x:c>
      <x:c r="N1229" s="6" t="n">
        <x:v>2</x:v>
      </x:c>
      <x:c r="O1229" s="6" t="n">
        <x:v>27</x:v>
      </x:c>
      <x:c r="P1229" s="6" t="n">
        <x:v>2</x:v>
      </x:c>
      <x:c r="Q1229" s="6" t="n">
        <x:v>2</x:v>
      </x:c>
      <x:c r="R1229" s="6" t="n">
        <x:v>1</x:v>
      </x:c>
      <x:c r="S1229" s="6" t="n">
        <x:v>2</x:v>
      </x:c>
      <x:c r="T1229" s="6" t="n">
        <x:v>5</x:v>
      </x:c>
      <x:c r="U1229" s="6" t="n">
        <x:v>1</x:v>
      </x:c>
      <x:c r="V1229" s="6" t="n">
        <x:v>0</x:v>
      </x:c>
      <x:c r="W1229" s="6" t="n">
        <x:v>0</x:v>
      </x:c>
      <x:c r="X1229" s="6" t="n">
        <x:v>0</x:v>
      </x:c>
      <x:c r="Y1229" s="6" t="n">
        <x:v>0</x:v>
      </x:c>
      <x:c r="Z1229" s="6" t="n">
        <x:v>0</x:v>
      </x:c>
      <x:c r="AA1229" s="6" t="n">
        <x:v>3</x:v>
      </x:c>
      <x:c r="AB1229" s="6" t="n">
        <x:v>11</x:v>
      </x:c>
      <x:c r="AC1229" s="6" t="n">
        <x:v>1</x:v>
      </x:c>
    </x:row>
    <x:row r="1230">
      <x:c r="A1230" s="6" t="n">
        <x:v>8210</x:v>
      </x:c>
      <x:c r="B1230" s="6" t="n">
        <x:v>1975</x:v>
      </x:c>
      <x:c r="C1230" s="6" t="str">
        <x:v>Master</x:v>
      </x:c>
      <x:c r="D1230" s="6" t="str">
        <x:v>Married</x:v>
      </x:c>
      <x:c r="E1230" s="6" t="n">
        <x:v>54730</x:v>
      </x:c>
      <x:c r="F1230" s="6" t="n">
        <x:v>0</x:v>
      </x:c>
      <x:c r="G1230" s="6" t="n">
        <x:v>1</x:v>
      </x:c>
      <x:c r="H1230" s="9" t="str">
        <x:v>15-08-2013</x:v>
      </x:c>
      <x:c r="I1230" s="6" t="n">
        <x:v>64</x:v>
      </x:c>
      <x:c r="J1230" s="6" t="n">
        <x:v>318</x:v>
      </x:c>
      <x:c r="K1230" s="6" t="n">
        <x:v>3</x:v>
      </x:c>
      <x:c r="L1230" s="6" t="n">
        <x:v>17</x:v>
      </x:c>
      <x:c r="M1230" s="6" t="n">
        <x:v>4</x:v>
      </x:c>
      <x:c r="N1230" s="6" t="n">
        <x:v>7</x:v>
      </x:c>
      <x:c r="O1230" s="6" t="n">
        <x:v>56</x:v>
      </x:c>
      <x:c r="P1230" s="6" t="n">
        <x:v>5</x:v>
      </x:c>
      <x:c r="Q1230" s="6" t="n">
        <x:v>4</x:v>
      </x:c>
      <x:c r="R1230" s="6" t="n">
        <x:v>1</x:v>
      </x:c>
      <x:c r="S1230" s="6" t="n">
        <x:v>8</x:v>
      </x:c>
      <x:c r="T1230" s="6" t="n">
        <x:v>4</x:v>
      </x:c>
      <x:c r="U1230" s="6" t="n">
        <x:v>0</x:v>
      </x:c>
      <x:c r="V1230" s="6" t="n">
        <x:v>0</x:v>
      </x:c>
      <x:c r="W1230" s="6" t="n">
        <x:v>0</x:v>
      </x:c>
      <x:c r="X1230" s="6" t="n">
        <x:v>0</x:v>
      </x:c>
      <x:c r="Y1230" s="6" t="n">
        <x:v>0</x:v>
      </x:c>
      <x:c r="Z1230" s="6" t="n">
        <x:v>0</x:v>
      </x:c>
      <x:c r="AA1230" s="6" t="n">
        <x:v>3</x:v>
      </x:c>
      <x:c r="AB1230" s="6" t="n">
        <x:v>11</x:v>
      </x:c>
      <x:c r="AC1230" s="6" t="n">
        <x:v>0</x:v>
      </x:c>
    </x:row>
    <x:row r="1231">
      <x:c r="A1231" s="6" t="n">
        <x:v>833</x:v>
      </x:c>
      <x:c r="B1231" s="6" t="n">
        <x:v>1955</x:v>
      </x:c>
      <x:c r="C1231" s="6" t="str">
        <x:v>Master</x:v>
      </x:c>
      <x:c r="D1231" s="6" t="str">
        <x:v>Married</x:v>
      </x:c>
      <x:c r="E1231" s="6" t="n">
        <x:v>38452</x:v>
      </x:c>
      <x:c r="F1231" s="6" t="n">
        <x:v>1</x:v>
      </x:c>
      <x:c r="G1231" s="6" t="n">
        <x:v>1</x:v>
      </x:c>
      <x:c r="H1231" s="9" t="str">
        <x:v>30-03-2014</x:v>
      </x:c>
      <x:c r="I1231" s="6" t="n">
        <x:v>62</x:v>
      </x:c>
      <x:c r="J1231" s="6" t="n">
        <x:v>56</x:v>
      </x:c>
      <x:c r="K1231" s="6" t="n">
        <x:v>0</x:v>
      </x:c>
      <x:c r="L1231" s="6" t="n">
        <x:v>14</x:v>
      </x:c>
      <x:c r="M1231" s="6" t="n">
        <x:v>0</x:v>
      </x:c>
      <x:c r="N1231" s="6" t="n">
        <x:v>0</x:v>
      </x:c>
      <x:c r="O1231" s="6" t="n">
        <x:v>2</x:v>
      </x:c>
      <x:c r="P1231" s="6" t="n">
        <x:v>3</x:v>
      </x:c>
      <x:c r="Q1231" s="6" t="n">
        <x:v>3</x:v>
      </x:c>
      <x:c r="R1231" s="6" t="n">
        <x:v>0</x:v>
      </x:c>
      <x:c r="S1231" s="6" t="n">
        <x:v>3</x:v>
      </x:c>
      <x:c r="T1231" s="6" t="n">
        <x:v>7</x:v>
      </x:c>
      <x:c r="U1231" s="6" t="n">
        <x:v>0</x:v>
      </x:c>
      <x:c r="V1231" s="6" t="n">
        <x:v>0</x:v>
      </x:c>
      <x:c r="W1231" s="6" t="n">
        <x:v>0</x:v>
      </x:c>
      <x:c r="X1231" s="6" t="n">
        <x:v>0</x:v>
      </x:c>
      <x:c r="Y1231" s="6" t="n">
        <x:v>0</x:v>
      </x:c>
      <x:c r="Z1231" s="6" t="n">
        <x:v>0</x:v>
      </x:c>
      <x:c r="AA1231" s="6" t="n">
        <x:v>3</x:v>
      </x:c>
      <x:c r="AB1231" s="6" t="n">
        <x:v>11</x:v>
      </x:c>
      <x:c r="AC1231" s="6" t="n">
        <x:v>0</x:v>
      </x:c>
    </x:row>
    <x:row r="1232">
      <x:c r="A1232" s="6" t="n">
        <x:v>6230</x:v>
      </x:c>
      <x:c r="B1232" s="6" t="n">
        <x:v>1971</x:v>
      </x:c>
      <x:c r="C1232" s="6" t="str">
        <x:v>Graduation</x:v>
      </x:c>
      <x:c r="D1232" s="6" t="str">
        <x:v>Divorced</x:v>
      </x:c>
      <x:c r="E1232" s="6" t="n">
        <x:v>44421</x:v>
      </x:c>
      <x:c r="F1232" s="6" t="n">
        <x:v>1</x:v>
      </x:c>
      <x:c r="G1232" s="6" t="n">
        <x:v>1</x:v>
      </x:c>
      <x:c r="H1232" s="9" t="str">
        <x:v>15-02-2013</x:v>
      </x:c>
      <x:c r="I1232" s="6" t="n">
        <x:v>53</x:v>
      </x:c>
      <x:c r="J1232" s="6" t="n">
        <x:v>110</x:v>
      </x:c>
      <x:c r="K1232" s="6" t="n">
        <x:v>5</x:v>
      </x:c>
      <x:c r="L1232" s="6" t="n">
        <x:v>59</x:v>
      </x:c>
      <x:c r="M1232" s="6" t="n">
        <x:v>7</x:v>
      </x:c>
      <x:c r="N1232" s="6" t="n">
        <x:v>1</x:v>
      </x:c>
      <x:c r="O1232" s="6" t="n">
        <x:v>7</x:v>
      </x:c>
      <x:c r="P1232" s="6" t="n">
        <x:v>5</x:v>
      </x:c>
      <x:c r="Q1232" s="6" t="n">
        <x:v>5</x:v>
      </x:c>
      <x:c r="R1232" s="6" t="n">
        <x:v>0</x:v>
      </x:c>
      <x:c r="S1232" s="6" t="n">
        <x:v>4</x:v>
      </x:c>
      <x:c r="T1232" s="6" t="n">
        <x:v>8</x:v>
      </x:c>
      <x:c r="U1232" s="6" t="n">
        <x:v>0</x:v>
      </x:c>
      <x:c r="V1232" s="6" t="n">
        <x:v>0</x:v>
      </x:c>
      <x:c r="W1232" s="6" t="n">
        <x:v>0</x:v>
      </x:c>
      <x:c r="X1232" s="6" t="n">
        <x:v>0</x:v>
      </x:c>
      <x:c r="Y1232" s="6" t="n">
        <x:v>0</x:v>
      </x:c>
      <x:c r="Z1232" s="6" t="n">
        <x:v>0</x:v>
      </x:c>
      <x:c r="AA1232" s="6" t="n">
        <x:v>3</x:v>
      </x:c>
      <x:c r="AB1232" s="6" t="n">
        <x:v>11</x:v>
      </x:c>
      <x:c r="AC1232" s="6" t="n">
        <x:v>0</x:v>
      </x:c>
    </x:row>
    <x:row r="1233">
      <x:c r="A1233" s="6" t="n">
        <x:v>7325</x:v>
      </x:c>
      <x:c r="B1233" s="6" t="n">
        <x:v>1986</x:v>
      </x:c>
      <x:c r="C1233" s="6" t="str">
        <x:v>PhD</x:v>
      </x:c>
      <x:c r="D1233" s="6" t="str">
        <x:v>Together</x:v>
      </x:c>
      <x:c r="E1233" s="6" t="n">
        <x:v>38197</x:v>
      </x:c>
      <x:c r="F1233" s="6" t="n">
        <x:v>1</x:v>
      </x:c>
      <x:c r="G1233" s="6" t="n">
        <x:v>0</x:v>
      </x:c>
      <x:c r="H1233" s="9" t="str">
        <x:v>29-06-2013</x:v>
      </x:c>
      <x:c r="I1233" s="6" t="n">
        <x:v>86</x:v>
      </x:c>
      <x:c r="J1233" s="6" t="n">
        <x:v>23</x:v>
      </x:c>
      <x:c r="K1233" s="6" t="n">
        <x:v>0</x:v>
      </x:c>
      <x:c r="L1233" s="6" t="n">
        <x:v>11</x:v>
      </x:c>
      <x:c r="M1233" s="6" t="n">
        <x:v>2</x:v>
      </x:c>
      <x:c r="N1233" s="6" t="n">
        <x:v>1</x:v>
      </x:c>
      <x:c r="O1233" s="6" t="n">
        <x:v>3</x:v>
      </x:c>
      <x:c r="P1233" s="6" t="n">
        <x:v>1</x:v>
      </x:c>
      <x:c r="Q1233" s="6" t="n">
        <x:v>1</x:v>
      </x:c>
      <x:c r="R1233" s="6" t="n">
        <x:v>0</x:v>
      </x:c>
      <x:c r="S1233" s="6" t="n">
        <x:v>3</x:v>
      </x:c>
      <x:c r="T1233" s="6" t="n">
        <x:v>5</x:v>
      </x:c>
      <x:c r="U1233" s="6" t="n">
        <x:v>0</x:v>
      </x:c>
      <x:c r="V1233" s="6" t="n">
        <x:v>0</x:v>
      </x:c>
      <x:c r="W1233" s="6" t="n">
        <x:v>0</x:v>
      </x:c>
      <x:c r="X1233" s="6" t="n">
        <x:v>0</x:v>
      </x:c>
      <x:c r="Y1233" s="6" t="n">
        <x:v>0</x:v>
      </x:c>
      <x:c r="Z1233" s="6" t="n">
        <x:v>0</x:v>
      </x:c>
      <x:c r="AA1233" s="6" t="n">
        <x:v>3</x:v>
      </x:c>
      <x:c r="AB1233" s="6" t="n">
        <x:v>11</x:v>
      </x:c>
      <x:c r="AC1233" s="6" t="n">
        <x:v>0</x:v>
      </x:c>
    </x:row>
    <x:row r="1234">
      <x:c r="A1234" s="6" t="n">
        <x:v>1307</x:v>
      </x:c>
      <x:c r="B1234" s="6" t="n">
        <x:v>1978</x:v>
      </x:c>
      <x:c r="C1234" s="6" t="str">
        <x:v>Graduation</x:v>
      </x:c>
      <x:c r="D1234" s="6" t="str">
        <x:v>Divorced</x:v>
      </x:c>
      <x:c r="E1234" s="6" t="n">
        <x:v>41986</x:v>
      </x:c>
      <x:c r="F1234" s="6" t="n">
        <x:v>0</x:v>
      </x:c>
      <x:c r="G1234" s="6" t="n">
        <x:v>1</x:v>
      </x:c>
      <x:c r="H1234" s="9" t="str">
        <x:v>09-02-2014</x:v>
      </x:c>
      <x:c r="I1234" s="6" t="n">
        <x:v>15</x:v>
      </x:c>
      <x:c r="J1234" s="6" t="n">
        <x:v>27</x:v>
      </x:c>
      <x:c r="K1234" s="6" t="n">
        <x:v>5</x:v>
      </x:c>
      <x:c r="L1234" s="6" t="n">
        <x:v>8</x:v>
      </x:c>
      <x:c r="M1234" s="6" t="n">
        <x:v>8</x:v>
      </x:c>
      <x:c r="N1234" s="6" t="n">
        <x:v>3</x:v>
      </x:c>
      <x:c r="O1234" s="6" t="n">
        <x:v>12</x:v>
      </x:c>
      <x:c r="P1234" s="6" t="n">
        <x:v>3</x:v>
      </x:c>
      <x:c r="Q1234" s="6" t="n">
        <x:v>3</x:v>
      </x:c>
      <x:c r="R1234" s="6" t="n">
        <x:v>0</x:v>
      </x:c>
      <x:c r="S1234" s="6" t="n">
        <x:v>4</x:v>
      </x:c>
      <x:c r="T1234" s="6" t="n">
        <x:v>4</x:v>
      </x:c>
      <x:c r="U1234" s="6" t="n">
        <x:v>0</x:v>
      </x:c>
      <x:c r="V1234" s="6" t="n">
        <x:v>0</x:v>
      </x:c>
      <x:c r="W1234" s="6" t="n">
        <x:v>0</x:v>
      </x:c>
      <x:c r="X1234" s="6" t="n">
        <x:v>0</x:v>
      </x:c>
      <x:c r="Y1234" s="6" t="n">
        <x:v>0</x:v>
      </x:c>
      <x:c r="Z1234" s="6" t="n">
        <x:v>0</x:v>
      </x:c>
      <x:c r="AA1234" s="6" t="n">
        <x:v>3</x:v>
      </x:c>
      <x:c r="AB1234" s="6" t="n">
        <x:v>11</x:v>
      </x:c>
      <x:c r="AC1234" s="6" t="n">
        <x:v>0</x:v>
      </x:c>
    </x:row>
    <x:row r="1235">
      <x:c r="A1235" s="6" t="n">
        <x:v>1502</x:v>
      </x:c>
      <x:c r="B1235" s="6" t="n">
        <x:v>1983</x:v>
      </x:c>
      <x:c r="C1235" s="6" t="str">
        <x:v>Graduation</x:v>
      </x:c>
      <x:c r="D1235" s="6" t="str">
        <x:v>Together</x:v>
      </x:c>
      <x:c r="E1235" s="6" t="n">
        <x:v>28427</x:v>
      </x:c>
      <x:c r="F1235" s="6" t="n">
        <x:v>1</x:v>
      </x:c>
      <x:c r="G1235" s="6" t="n">
        <x:v>0</x:v>
      </x:c>
      <x:c r="H1235" s="9" t="str">
        <x:v>21-03-2013</x:v>
      </x:c>
      <x:c r="I1235" s="6" t="n">
        <x:v>67</x:v>
      </x:c>
      <x:c r="J1235" s="6" t="n">
        <x:v>18</x:v>
      </x:c>
      <x:c r="K1235" s="6" t="n">
        <x:v>3</x:v>
      </x:c>
      <x:c r="L1235" s="6" t="n">
        <x:v>19</x:v>
      </x:c>
      <x:c r="M1235" s="6" t="n">
        <x:v>3</x:v>
      </x:c>
      <x:c r="N1235" s="6" t="n">
        <x:v>3</x:v>
      </x:c>
      <x:c r="O1235" s="6" t="n">
        <x:v>6</x:v>
      </x:c>
      <x:c r="P1235" s="6" t="n">
        <x:v>2</x:v>
      </x:c>
      <x:c r="Q1235" s="6" t="n">
        <x:v>2</x:v>
      </x:c>
      <x:c r="R1235" s="6" t="n">
        <x:v>0</x:v>
      </x:c>
      <x:c r="S1235" s="6" t="n">
        <x:v>3</x:v>
      </x:c>
      <x:c r="T1235" s="6" t="n">
        <x:v>8</x:v>
      </x:c>
      <x:c r="U1235" s="6" t="n">
        <x:v>0</x:v>
      </x:c>
      <x:c r="V1235" s="6" t="n">
        <x:v>0</x:v>
      </x:c>
      <x:c r="W1235" s="6" t="n">
        <x:v>0</x:v>
      </x:c>
      <x:c r="X1235" s="6" t="n">
        <x:v>0</x:v>
      </x:c>
      <x:c r="Y1235" s="6" t="n">
        <x:v>0</x:v>
      </x:c>
      <x:c r="Z1235" s="6" t="n">
        <x:v>0</x:v>
      </x:c>
      <x:c r="AA1235" s="6" t="n">
        <x:v>3</x:v>
      </x:c>
      <x:c r="AB1235" s="6" t="n">
        <x:v>11</x:v>
      </x:c>
      <x:c r="AC1235" s="6" t="n">
        <x:v>0</x:v>
      </x:c>
    </x:row>
    <x:row r="1236">
      <x:c r="A1236" s="6" t="n">
        <x:v>6211</x:v>
      </x:c>
      <x:c r="B1236" s="6" t="n">
        <x:v>1976</x:v>
      </x:c>
      <x:c r="C1236" s="6" t="str">
        <x:v>PhD</x:v>
      </x:c>
      <x:c r="D1236" s="6" t="str">
        <x:v>Together</x:v>
      </x:c>
      <x:c r="E1236" s="6" t="n">
        <x:v>37395</x:v>
      </x:c>
      <x:c r="F1236" s="6" t="n">
        <x:v>1</x:v>
      </x:c>
      <x:c r="G1236" s="6" t="n">
        <x:v>0</x:v>
      </x:c>
      <x:c r="H1236" s="9" t="str">
        <x:v>02-05-2014</x:v>
      </x:c>
      <x:c r="I1236" s="6" t="n">
        <x:v>47</x:v>
      </x:c>
      <x:c r="J1236" s="6" t="n">
        <x:v>18</x:v>
      </x:c>
      <x:c r="K1236" s="6" t="n">
        <x:v>0</x:v>
      </x:c>
      <x:c r="L1236" s="6" t="n">
        <x:v>9</x:v>
      </x:c>
      <x:c r="M1236" s="6" t="n">
        <x:v>0</x:v>
      </x:c>
      <x:c r="N1236" s="6" t="n">
        <x:v>1</x:v>
      </x:c>
      <x:c r="O1236" s="6" t="n">
        <x:v>11</x:v>
      </x:c>
      <x:c r="P1236" s="6" t="n">
        <x:v>1</x:v>
      </x:c>
      <x:c r="Q1236" s="6" t="n">
        <x:v>1</x:v>
      </x:c>
      <x:c r="R1236" s="6" t="n">
        <x:v>0</x:v>
      </x:c>
      <x:c r="S1236" s="6" t="n">
        <x:v>3</x:v>
      </x:c>
      <x:c r="T1236" s="6" t="n">
        <x:v>6</x:v>
      </x:c>
      <x:c r="U1236" s="6" t="n">
        <x:v>0</x:v>
      </x:c>
      <x:c r="V1236" s="6" t="n">
        <x:v>0</x:v>
      </x:c>
      <x:c r="W1236" s="6" t="n">
        <x:v>0</x:v>
      </x:c>
      <x:c r="X1236" s="6" t="n">
        <x:v>0</x:v>
      </x:c>
      <x:c r="Y1236" s="6" t="n">
        <x:v>0</x:v>
      </x:c>
      <x:c r="Z1236" s="6" t="n">
        <x:v>0</x:v>
      </x:c>
      <x:c r="AA1236" s="6" t="n">
        <x:v>3</x:v>
      </x:c>
      <x:c r="AB1236" s="6" t="n">
        <x:v>11</x:v>
      </x:c>
      <x:c r="AC1236" s="6" t="n">
        <x:v>0</x:v>
      </x:c>
    </x:row>
    <x:row r="1237">
      <x:c r="A1237" s="6" t="n">
        <x:v>843</x:v>
      </x:c>
      <x:c r="B1237" s="6" t="n">
        <x:v>1971</x:v>
      </x:c>
      <x:c r="C1237" s="6" t="str">
        <x:v>Graduation</x:v>
      </x:c>
      <x:c r="D1237" s="6" t="str">
        <x:v>Married</x:v>
      </x:c>
      <x:c r="E1237" s="6" t="n">
        <x:v>64722</x:v>
      </x:c>
      <x:c r="F1237" s="6" t="n">
        <x:v>1</x:v>
      </x:c>
      <x:c r="G1237" s="6" t="n">
        <x:v>0</x:v>
      </x:c>
      <x:c r="H1237" s="9" t="str">
        <x:v>26-05-2014</x:v>
      </x:c>
      <x:c r="I1237" s="6" t="n">
        <x:v>47</x:v>
      </x:c>
      <x:c r="J1237" s="6" t="n">
        <x:v>303</x:v>
      </x:c>
      <x:c r="K1237" s="6" t="n">
        <x:v>0</x:v>
      </x:c>
      <x:c r="L1237" s="6" t="n">
        <x:v>280</x:v>
      </x:c>
      <x:c r="M1237" s="6" t="n">
        <x:v>60</x:v>
      </x:c>
      <x:c r="N1237" s="6" t="n">
        <x:v>147</x:v>
      </x:c>
      <x:c r="O1237" s="6" t="n">
        <x:v>15</x:v>
      </x:c>
      <x:c r="P1237" s="6" t="n">
        <x:v>4</x:v>
      </x:c>
      <x:c r="Q1237" s="6" t="n">
        <x:v>8</x:v>
      </x:c>
      <x:c r="R1237" s="6" t="n">
        <x:v>2</x:v>
      </x:c>
      <x:c r="S1237" s="6" t="n">
        <x:v>11</x:v>
      </x:c>
      <x:c r="T1237" s="6" t="n">
        <x:v>6</x:v>
      </x:c>
      <x:c r="U1237" s="6" t="n">
        <x:v>0</x:v>
      </x:c>
      <x:c r="V1237" s="6" t="n">
        <x:v>0</x:v>
      </x:c>
      <x:c r="W1237" s="6" t="n">
        <x:v>0</x:v>
      </x:c>
      <x:c r="X1237" s="6" t="n">
        <x:v>0</x:v>
      </x:c>
      <x:c r="Y1237" s="6" t="n">
        <x:v>0</x:v>
      </x:c>
      <x:c r="Z1237" s="6" t="n">
        <x:v>0</x:v>
      </x:c>
      <x:c r="AA1237" s="6" t="n">
        <x:v>3</x:v>
      </x:c>
      <x:c r="AB1237" s="6" t="n">
        <x:v>11</x:v>
      </x:c>
      <x:c r="AC1237" s="6" t="n">
        <x:v>0</x:v>
      </x:c>
    </x:row>
    <x:row r="1238">
      <x:c r="A1238" s="6" t="n">
        <x:v>4174</x:v>
      </x:c>
      <x:c r="B1238" s="6" t="n">
        <x:v>1956</x:v>
      </x:c>
      <x:c r="C1238" s="6" t="str">
        <x:v>Master</x:v>
      </x:c>
      <x:c r="D1238" s="6" t="str">
        <x:v>Together</x:v>
      </x:c>
      <x:c r="E1238" s="6" t="n">
        <x:v>55249</x:v>
      </x:c>
      <x:c r="F1238" s="6" t="n">
        <x:v>0</x:v>
      </x:c>
      <x:c r="G1238" s="6" t="n">
        <x:v>1</x:v>
      </x:c>
      <x:c r="H1238" s="9" t="str">
        <x:v>17-04-2014</x:v>
      </x:c>
      <x:c r="I1238" s="6" t="n">
        <x:v>81</x:v>
      </x:c>
      <x:c r="J1238" s="6" t="n">
        <x:v>97</x:v>
      </x:c>
      <x:c r="K1238" s="6" t="n">
        <x:v>1</x:v>
      </x:c>
      <x:c r="L1238" s="6" t="n">
        <x:v>19</x:v>
      </x:c>
      <x:c r="M1238" s="6" t="n">
        <x:v>2</x:v>
      </x:c>
      <x:c r="N1238" s="6" t="n">
        <x:v>0</x:v>
      </x:c>
      <x:c r="O1238" s="6" t="n">
        <x:v>11</x:v>
      </x:c>
      <x:c r="P1238" s="6" t="n">
        <x:v>1</x:v>
      </x:c>
      <x:c r="Q1238" s="6" t="n">
        <x:v>2</x:v>
      </x:c>
      <x:c r="R1238" s="6" t="n">
        <x:v>1</x:v>
      </x:c>
      <x:c r="S1238" s="6" t="n">
        <x:v>4</x:v>
      </x:c>
      <x:c r="T1238" s="6" t="n">
        <x:v>3</x:v>
      </x:c>
      <x:c r="U1238" s="6" t="n">
        <x:v>0</x:v>
      </x:c>
      <x:c r="V1238" s="6" t="n">
        <x:v>0</x:v>
      </x:c>
      <x:c r="W1238" s="6" t="n">
        <x:v>0</x:v>
      </x:c>
      <x:c r="X1238" s="6" t="n">
        <x:v>0</x:v>
      </x:c>
      <x:c r="Y1238" s="6" t="n">
        <x:v>0</x:v>
      </x:c>
      <x:c r="Z1238" s="6" t="n">
        <x:v>0</x:v>
      </x:c>
      <x:c r="AA1238" s="6" t="n">
        <x:v>3</x:v>
      </x:c>
      <x:c r="AB1238" s="6" t="n">
        <x:v>11</x:v>
      </x:c>
      <x:c r="AC1238" s="6" t="n">
        <x:v>0</x:v>
      </x:c>
    </x:row>
    <x:row r="1239">
      <x:c r="A1239" s="6" t="n">
        <x:v>9757</x:v>
      </x:c>
      <x:c r="B1239" s="6" t="n">
        <x:v>1972</x:v>
      </x:c>
      <x:c r="C1239" s="6" t="str">
        <x:v>Graduation</x:v>
      </x:c>
      <x:c r="D1239" s="6" t="str">
        <x:v>Together</x:v>
      </x:c>
      <x:c r="E1239" s="6" t="n">
        <x:v>84906</x:v>
      </x:c>
      <x:c r="F1239" s="6" t="n">
        <x:v>0</x:v>
      </x:c>
      <x:c r="G1239" s="6" t="n">
        <x:v>0</x:v>
      </x:c>
      <x:c r="H1239" s="9" t="str">
        <x:v>04-10-2013</x:v>
      </x:c>
      <x:c r="I1239" s="6" t="n">
        <x:v>98</x:v>
      </x:c>
      <x:c r="J1239" s="6" t="n">
        <x:v>997</x:v>
      </x:c>
      <x:c r="K1239" s="6" t="n">
        <x:v>15</x:v>
      </x:c>
      <x:c r="L1239" s="6" t="n">
        <x:v>414</x:v>
      </x:c>
      <x:c r="M1239" s="6" t="n">
        <x:v>99</x:v>
      </x:c>
      <x:c r="N1239" s="6" t="n">
        <x:v>30</x:v>
      </x:c>
      <x:c r="O1239" s="6" t="n">
        <x:v>76</x:v>
      </x:c>
      <x:c r="P1239" s="6" t="n">
        <x:v>1</x:v>
      </x:c>
      <x:c r="Q1239" s="6" t="n">
        <x:v>5</x:v>
      </x:c>
      <x:c r="R1239" s="6" t="n">
        <x:v>6</x:v>
      </x:c>
      <x:c r="S1239" s="6" t="n">
        <x:v>12</x:v>
      </x:c>
      <x:c r="T1239" s="6" t="n">
        <x:v>2</x:v>
      </x:c>
      <x:c r="U1239" s="6" t="n">
        <x:v>0</x:v>
      </x:c>
      <x:c r="V1239" s="6" t="n">
        <x:v>1</x:v>
      </x:c>
      <x:c r="W1239" s="6" t="n">
        <x:v>1</x:v>
      </x:c>
      <x:c r="X1239" s="6" t="n">
        <x:v>0</x:v>
      </x:c>
      <x:c r="Y1239" s="6" t="n">
        <x:v>1</x:v>
      </x:c>
      <x:c r="Z1239" s="6" t="n">
        <x:v>0</x:v>
      </x:c>
      <x:c r="AA1239" s="6" t="n">
        <x:v>3</x:v>
      </x:c>
      <x:c r="AB1239" s="6" t="n">
        <x:v>11</x:v>
      </x:c>
      <x:c r="AC1239" s="6" t="n">
        <x:v>0</x:v>
      </x:c>
    </x:row>
    <x:row r="1240">
      <x:c r="A1240" s="6" t="n">
        <x:v>6918</x:v>
      </x:c>
      <x:c r="B1240" s="6" t="n">
        <x:v>1989</x:v>
      </x:c>
      <x:c r="C1240" s="6" t="str">
        <x:v>Graduation</x:v>
      </x:c>
      <x:c r="D1240" s="6" t="str">
        <x:v>Married</x:v>
      </x:c>
      <x:c r="E1240" s="6" t="n">
        <x:v>28691</x:v>
      </x:c>
      <x:c r="F1240" s="6" t="n">
        <x:v>1</x:v>
      </x:c>
      <x:c r="G1240" s="6" t="n">
        <x:v>0</x:v>
      </x:c>
      <x:c r="H1240" s="9" t="str">
        <x:v>04-07-2013</x:v>
      </x:c>
      <x:c r="I1240" s="6" t="n">
        <x:v>56</x:v>
      </x:c>
      <x:c r="J1240" s="6" t="n">
        <x:v>5</x:v>
      </x:c>
      <x:c r="K1240" s="6" t="n">
        <x:v>4</x:v>
      </x:c>
      <x:c r="L1240" s="6" t="n">
        <x:v>13</x:v>
      </x:c>
      <x:c r="M1240" s="6" t="n">
        <x:v>8</x:v>
      </x:c>
      <x:c r="N1240" s="6" t="n">
        <x:v>0</x:v>
      </x:c>
      <x:c r="O1240" s="6" t="n">
        <x:v>4</x:v>
      </x:c>
      <x:c r="P1240" s="6" t="n">
        <x:v>1</x:v>
      </x:c>
      <x:c r="Q1240" s="6" t="n">
        <x:v>1</x:v>
      </x:c>
      <x:c r="R1240" s="6" t="n">
        <x:v>0</x:v>
      </x:c>
      <x:c r="S1240" s="6" t="n">
        <x:v>3</x:v>
      </x:c>
      <x:c r="T1240" s="6" t="n">
        <x:v>8</x:v>
      </x:c>
      <x:c r="U1240" s="6" t="n">
        <x:v>0</x:v>
      </x:c>
      <x:c r="V1240" s="6" t="n">
        <x:v>0</x:v>
      </x:c>
      <x:c r="W1240" s="6" t="n">
        <x:v>0</x:v>
      </x:c>
      <x:c r="X1240" s="6" t="n">
        <x:v>0</x:v>
      </x:c>
      <x:c r="Y1240" s="6" t="n">
        <x:v>0</x:v>
      </x:c>
      <x:c r="Z1240" s="6" t="n">
        <x:v>0</x:v>
      </x:c>
      <x:c r="AA1240" s="6" t="n">
        <x:v>3</x:v>
      </x:c>
      <x:c r="AB1240" s="6" t="n">
        <x:v>11</x:v>
      </x:c>
      <x:c r="AC1240" s="6" t="n">
        <x:v>0</x:v>
      </x:c>
    </x:row>
    <x:row r="1241">
      <x:c r="A1241" s="6" t="n">
        <x:v>286</x:v>
      </x:c>
      <x:c r="B1241" s="6" t="n">
        <x:v>1952</x:v>
      </x:c>
      <x:c r="C1241" s="6" t="str">
        <x:v>Graduation</x:v>
      </x:c>
      <x:c r="D1241" s="6" t="str">
        <x:v>Single</x:v>
      </x:c>
      <x:c r="E1241" s="6" t="n">
        <x:v>44213</x:v>
      </x:c>
      <x:c r="F1241" s="6" t="n">
        <x:v>1</x:v>
      </x:c>
      <x:c r="G1241" s="6" t="n">
        <x:v>1</x:v>
      </x:c>
      <x:c r="H1241" s="9" t="str">
        <x:v>29-11-2013</x:v>
      </x:c>
      <x:c r="I1241" s="6" t="n">
        <x:v>48</x:v>
      </x:c>
      <x:c r="J1241" s="6" t="n">
        <x:v>95</x:v>
      </x:c>
      <x:c r="K1241" s="6" t="n">
        <x:v>11</x:v>
      </x:c>
      <x:c r="L1241" s="6" t="n">
        <x:v>35</x:v>
      </x:c>
      <x:c r="M1241" s="6" t="n">
        <x:v>0</x:v>
      </x:c>
      <x:c r="N1241" s="6" t="n">
        <x:v>4</x:v>
      </x:c>
      <x:c r="O1241" s="6" t="n">
        <x:v>7</x:v>
      </x:c>
      <x:c r="P1241" s="6" t="n">
        <x:v>4</x:v>
      </x:c>
      <x:c r="Q1241" s="6" t="n">
        <x:v>2</x:v>
      </x:c>
      <x:c r="R1241" s="6" t="n">
        <x:v>1</x:v>
      </x:c>
      <x:c r="S1241" s="6" t="n">
        <x:v>5</x:v>
      </x:c>
      <x:c r="T1241" s="6" t="n">
        <x:v>6</x:v>
      </x:c>
      <x:c r="U1241" s="6" t="n">
        <x:v>0</x:v>
      </x:c>
      <x:c r="V1241" s="6" t="n">
        <x:v>0</x:v>
      </x:c>
      <x:c r="W1241" s="6" t="n">
        <x:v>0</x:v>
      </x:c>
      <x:c r="X1241" s="6" t="n">
        <x:v>0</x:v>
      </x:c>
      <x:c r="Y1241" s="6" t="n">
        <x:v>0</x:v>
      </x:c>
      <x:c r="Z1241" s="6" t="n">
        <x:v>0</x:v>
      </x:c>
      <x:c r="AA1241" s="6" t="n">
        <x:v>3</x:v>
      </x:c>
      <x:c r="AB1241" s="6" t="n">
        <x:v>11</x:v>
      </x:c>
      <x:c r="AC1241" s="6" t="n">
        <x:v>0</x:v>
      </x:c>
    </x:row>
    <x:row r="1242">
      <x:c r="A1242" s="6" t="n">
        <x:v>11086</x:v>
      </x:c>
      <x:c r="B1242" s="6" t="n">
        <x:v>1984</x:v>
      </x:c>
      <x:c r="C1242" s="6" t="str">
        <x:v>Basic</x:v>
      </x:c>
      <x:c r="D1242" s="6" t="str">
        <x:v>Single</x:v>
      </x:c>
      <x:c r="E1242" s="6" t="n">
        <x:v>25707</x:v>
      </x:c>
      <x:c r="F1242" s="6" t="n">
        <x:v>1</x:v>
      </x:c>
      <x:c r="G1242" s="6" t="n">
        <x:v>0</x:v>
      </x:c>
      <x:c r="H1242" s="9" t="str">
        <x:v>18-01-2014</x:v>
      </x:c>
      <x:c r="I1242" s="6" t="n">
        <x:v>18</x:v>
      </x:c>
      <x:c r="J1242" s="6" t="n">
        <x:v>1</x:v>
      </x:c>
      <x:c r="K1242" s="6" t="n">
        <x:v>6</x:v>
      </x:c>
      <x:c r="L1242" s="6" t="n">
        <x:v>2</x:v>
      </x:c>
      <x:c r="M1242" s="6" t="n">
        <x:v>3</x:v>
      </x:c>
      <x:c r="N1242" s="6" t="n">
        <x:v>6</x:v>
      </x:c>
      <x:c r="O1242" s="6" t="n">
        <x:v>3</x:v>
      </x:c>
      <x:c r="P1242" s="6" t="n">
        <x:v>1</x:v>
      </x:c>
      <x:c r="Q1242" s="6" t="n">
        <x:v>1</x:v>
      </x:c>
      <x:c r="R1242" s="6" t="n">
        <x:v>0</x:v>
      </x:c>
      <x:c r="S1242" s="6" t="n">
        <x:v>3</x:v>
      </x:c>
      <x:c r="T1242" s="6" t="n">
        <x:v>7</x:v>
      </x:c>
      <x:c r="U1242" s="6" t="n">
        <x:v>0</x:v>
      </x:c>
      <x:c r="V1242" s="6" t="n">
        <x:v>0</x:v>
      </x:c>
      <x:c r="W1242" s="6" t="n">
        <x:v>0</x:v>
      </x:c>
      <x:c r="X1242" s="6" t="n">
        <x:v>0</x:v>
      </x:c>
      <x:c r="Y1242" s="6" t="n">
        <x:v>0</x:v>
      </x:c>
      <x:c r="Z1242" s="6" t="n">
        <x:v>0</x:v>
      </x:c>
      <x:c r="AA1242" s="6" t="n">
        <x:v>3</x:v>
      </x:c>
      <x:c r="AB1242" s="6" t="n">
        <x:v>11</x:v>
      </x:c>
      <x:c r="AC1242" s="6" t="n">
        <x:v>0</x:v>
      </x:c>
    </x:row>
    <x:row r="1243">
      <x:c r="A1243" s="6" t="n">
        <x:v>1921</x:v>
      </x:c>
      <x:c r="B1243" s="6" t="n">
        <x:v>1967</x:v>
      </x:c>
      <x:c r="C1243" s="6" t="str">
        <x:v>PhD</x:v>
      </x:c>
      <x:c r="D1243" s="6" t="str">
        <x:v>Married</x:v>
      </x:c>
      <x:c r="E1243" s="6" t="n">
        <x:v>59062</x:v>
      </x:c>
      <x:c r="F1243" s="6" t="n">
        <x:v>2</x:v>
      </x:c>
      <x:c r="G1243" s="6" t="n">
        <x:v>1</x:v>
      </x:c>
      <x:c r="H1243" s="9" t="str">
        <x:v>03-10-2013</x:v>
      </x:c>
      <x:c r="I1243" s="6" t="n">
        <x:v>74</x:v>
      </x:c>
      <x:c r="J1243" s="6" t="n">
        <x:v>46</x:v>
      </x:c>
      <x:c r="K1243" s="6" t="n">
        <x:v>1</x:v>
      </x:c>
      <x:c r="L1243" s="6" t="n">
        <x:v>12</x:v>
      </x:c>
      <x:c r="M1243" s="6" t="n">
        <x:v>3</x:v>
      </x:c>
      <x:c r="N1243" s="6" t="n">
        <x:v>0</x:v>
      </x:c>
      <x:c r="O1243" s="6" t="n">
        <x:v>9</x:v>
      </x:c>
      <x:c r="P1243" s="6" t="n">
        <x:v>2</x:v>
      </x:c>
      <x:c r="Q1243" s="6" t="n">
        <x:v>2</x:v>
      </x:c>
      <x:c r="R1243" s="6" t="n">
        <x:v>0</x:v>
      </x:c>
      <x:c r="S1243" s="6" t="n">
        <x:v>3</x:v>
      </x:c>
      <x:c r="T1243" s="6" t="n">
        <x:v>4</x:v>
      </x:c>
      <x:c r="U1243" s="6" t="n">
        <x:v>0</x:v>
      </x:c>
      <x:c r="V1243" s="6" t="n">
        <x:v>0</x:v>
      </x:c>
      <x:c r="W1243" s="6" t="n">
        <x:v>0</x:v>
      </x:c>
      <x:c r="X1243" s="6" t="n">
        <x:v>0</x:v>
      </x:c>
      <x:c r="Y1243" s="6" t="n">
        <x:v>0</x:v>
      </x:c>
      <x:c r="Z1243" s="6" t="n">
        <x:v>0</x:v>
      </x:c>
      <x:c r="AA1243" s="6" t="n">
        <x:v>3</x:v>
      </x:c>
      <x:c r="AB1243" s="6" t="n">
        <x:v>11</x:v>
      </x:c>
      <x:c r="AC1243" s="6" t="n">
        <x:v>0</x:v>
      </x:c>
    </x:row>
    <x:row r="1244">
      <x:c r="A1244" s="6" t="n">
        <x:v>4138</x:v>
      </x:c>
      <x:c r="B1244" s="6" t="n">
        <x:v>1962</x:v>
      </x:c>
      <x:c r="C1244" s="6" t="str">
        <x:v>Graduation</x:v>
      </x:c>
      <x:c r="D1244" s="6" t="str">
        <x:v>Single</x:v>
      </x:c>
      <x:c r="E1244" s="6" t="n">
        <x:v>76624</x:v>
      </x:c>
      <x:c r="F1244" s="6" t="n">
        <x:v>0</x:v>
      </x:c>
      <x:c r="G1244" s="6" t="n">
        <x:v>1</x:v>
      </x:c>
      <x:c r="H1244" s="9" t="str">
        <x:v>24-05-2014</x:v>
      </x:c>
      <x:c r="I1244" s="6" t="n">
        <x:v>68</x:v>
      </x:c>
      <x:c r="J1244" s="6" t="n">
        <x:v>411</x:v>
      </x:c>
      <x:c r="K1244" s="6" t="n">
        <x:v>106</x:v>
      </x:c>
      <x:c r="L1244" s="6" t="n">
        <x:v>147</x:v>
      </x:c>
      <x:c r="M1244" s="6" t="n">
        <x:v>54</x:v>
      </x:c>
      <x:c r="N1244" s="6" t="n">
        <x:v>115</x:v>
      </x:c>
      <x:c r="O1244" s="6" t="n">
        <x:v>66</x:v>
      </x:c>
      <x:c r="P1244" s="6" t="n">
        <x:v>1</x:v>
      </x:c>
      <x:c r="Q1244" s="6" t="n">
        <x:v>5</x:v>
      </x:c>
      <x:c r="R1244" s="6" t="n">
        <x:v>10</x:v>
      </x:c>
      <x:c r="S1244" s="6" t="n">
        <x:v>7</x:v>
      </x:c>
      <x:c r="T1244" s="6" t="n">
        <x:v>1</x:v>
      </x:c>
      <x:c r="U1244" s="6" t="n">
        <x:v>1</x:v>
      </x:c>
      <x:c r="V1244" s="6" t="n">
        <x:v>0</x:v>
      </x:c>
      <x:c r="W1244" s="6" t="n">
        <x:v>0</x:v>
      </x:c>
      <x:c r="X1244" s="6" t="n">
        <x:v>0</x:v>
      </x:c>
      <x:c r="Y1244" s="6" t="n">
        <x:v>0</x:v>
      </x:c>
      <x:c r="Z1244" s="6" t="n">
        <x:v>0</x:v>
      </x:c>
      <x:c r="AA1244" s="6" t="n">
        <x:v>3</x:v>
      </x:c>
      <x:c r="AB1244" s="6" t="n">
        <x:v>11</x:v>
      </x:c>
      <x:c r="AC1244" s="6" t="n">
        <x:v>0</x:v>
      </x:c>
    </x:row>
    <x:row r="1245">
      <x:c r="A1245" s="6" t="n">
        <x:v>7718</x:v>
      </x:c>
      <x:c r="B1245" s="6" t="n">
        <x:v>1947</x:v>
      </x:c>
      <x:c r="C1245" s="6" t="str">
        <x:v>Master</x:v>
      </x:c>
      <x:c r="D1245" s="6" t="str">
        <x:v>Together</x:v>
      </x:c>
      <x:c r="E1245" s="6" t="n">
        <x:v>66000</x:v>
      </x:c>
      <x:c r="F1245" s="6" t="n">
        <x:v>0</x:v>
      </x:c>
      <x:c r="G1245" s="6" t="n">
        <x:v>0</x:v>
      </x:c>
      <x:c r="H1245" s="9" t="str">
        <x:v>20-04-2014</x:v>
      </x:c>
      <x:c r="I1245" s="6" t="n">
        <x:v>36</x:v>
      </x:c>
      <x:c r="J1245" s="6" t="n">
        <x:v>244</x:v>
      </x:c>
      <x:c r="K1245" s="6" t="n">
        <x:v>51</x:v>
      </x:c>
      <x:c r="L1245" s="6" t="n">
        <x:v>270</x:v>
      </x:c>
      <x:c r="M1245" s="6" t="n">
        <x:v>101</x:v>
      </x:c>
      <x:c r="N1245" s="6" t="n">
        <x:v>0</x:v>
      </x:c>
      <x:c r="O1245" s="6" t="n">
        <x:v>45</x:v>
      </x:c>
      <x:c r="P1245" s="6" t="n">
        <x:v>1</x:v>
      </x:c>
      <x:c r="Q1245" s="6" t="n">
        <x:v>1</x:v>
      </x:c>
      <x:c r="R1245" s="6" t="n">
        <x:v>3</x:v>
      </x:c>
      <x:c r="S1245" s="6" t="n">
        <x:v>5</x:v>
      </x:c>
      <x:c r="T1245" s="6" t="n">
        <x:v>1</x:v>
      </x:c>
      <x:c r="U1245" s="6" t="n">
        <x:v>0</x:v>
      </x:c>
      <x:c r="V1245" s="6" t="n">
        <x:v>0</x:v>
      </x:c>
      <x:c r="W1245" s="6" t="n">
        <x:v>0</x:v>
      </x:c>
      <x:c r="X1245" s="6" t="n">
        <x:v>0</x:v>
      </x:c>
      <x:c r="Y1245" s="6" t="n">
        <x:v>0</x:v>
      </x:c>
      <x:c r="Z1245" s="6" t="n">
        <x:v>0</x:v>
      </x:c>
      <x:c r="AA1245" s="6" t="n">
        <x:v>3</x:v>
      </x:c>
      <x:c r="AB1245" s="6" t="n">
        <x:v>11</x:v>
      </x:c>
      <x:c r="AC1245" s="6" t="n">
        <x:v>0</x:v>
      </x:c>
    </x:row>
    <x:row r="1246">
      <x:c r="A1246" s="6" t="n">
        <x:v>1291</x:v>
      </x:c>
      <x:c r="B1246" s="6" t="n">
        <x:v>1978</x:v>
      </x:c>
      <x:c r="C1246" s="6" t="str">
        <x:v>PhD</x:v>
      </x:c>
      <x:c r="D1246" s="6" t="str">
        <x:v>Together</x:v>
      </x:c>
      <x:c r="E1246" s="6" t="n">
        <x:v>27683</x:v>
      </x:c>
      <x:c r="F1246" s="6" t="n">
        <x:v>1</x:v>
      </x:c>
      <x:c r="G1246" s="6" t="n">
        <x:v>0</x:v>
      </x:c>
      <x:c r="H1246" s="9" t="str">
        <x:v>04-08-2012</x:v>
      </x:c>
      <x:c r="I1246" s="6" t="n">
        <x:v>90</x:v>
      </x:c>
      <x:c r="J1246" s="6" t="n">
        <x:v>152</x:v>
      </x:c>
      <x:c r="K1246" s="6" t="n">
        <x:v>9</x:v>
      </x:c>
      <x:c r="L1246" s="6" t="n">
        <x:v>121</x:v>
      </x:c>
      <x:c r="M1246" s="6" t="n">
        <x:v>12</x:v>
      </x:c>
      <x:c r="N1246" s="6" t="n">
        <x:v>12</x:v>
      </x:c>
      <x:c r="O1246" s="6" t="n">
        <x:v>45</x:v>
      </x:c>
      <x:c r="P1246" s="6" t="n">
        <x:v>4</x:v>
      </x:c>
      <x:c r="Q1246" s="6" t="n">
        <x:v>6</x:v>
      </x:c>
      <x:c r="R1246" s="6" t="n">
        <x:v>2</x:v>
      </x:c>
      <x:c r="S1246" s="6" t="n">
        <x:v>4</x:v>
      </x:c>
      <x:c r="T1246" s="6" t="n">
        <x:v>8</x:v>
      </x:c>
      <x:c r="U1246" s="6" t="n">
        <x:v>0</x:v>
      </x:c>
      <x:c r="V1246" s="6" t="n">
        <x:v>0</x:v>
      </x:c>
      <x:c r="W1246" s="6" t="n">
        <x:v>0</x:v>
      </x:c>
      <x:c r="X1246" s="6" t="n">
        <x:v>0</x:v>
      </x:c>
      <x:c r="Y1246" s="6" t="n">
        <x:v>0</x:v>
      </x:c>
      <x:c r="Z1246" s="6" t="n">
        <x:v>0</x:v>
      </x:c>
      <x:c r="AA1246" s="6" t="n">
        <x:v>3</x:v>
      </x:c>
      <x:c r="AB1246" s="6" t="n">
        <x:v>11</x:v>
      </x:c>
      <x:c r="AC1246" s="6" t="n">
        <x:v>0</x:v>
      </x:c>
    </x:row>
    <x:row r="1247">
      <x:c r="A1247" s="6" t="n">
        <x:v>6862</x:v>
      </x:c>
      <x:c r="B1247" s="6" t="n">
        <x:v>1971</x:v>
      </x:c>
      <x:c r="C1247" s="6" t="str">
        <x:v>Graduation</x:v>
      </x:c>
      <x:c r="D1247" s="6" t="str">
        <x:v>Divorced</x:v>
      </x:c>
      <x:c r="E1247" s="6" t="n">
        <x:v>1730</x:v>
      </x:c>
      <x:c r="F1247" s="6" t="n">
        <x:v>0</x:v>
      </x:c>
      <x:c r="G1247" s="6" t="n">
        <x:v>0</x:v>
      </x:c>
      <x:c r="H1247" s="9" t="str">
        <x:v>18-05-2014</x:v>
      </x:c>
      <x:c r="I1247" s="6" t="n">
        <x:v>65</x:v>
      </x:c>
      <x:c r="J1247" s="6" t="n">
        <x:v>1</x:v>
      </x:c>
      <x:c r="K1247" s="6" t="n">
        <x:v>1</x:v>
      </x:c>
      <x:c r="L1247" s="6" t="n">
        <x:v>3</x:v>
      </x:c>
      <x:c r="M1247" s="6" t="n">
        <x:v>1</x:v>
      </x:c>
      <x:c r="N1247" s="6" t="n">
        <x:v>1</x:v>
      </x:c>
      <x:c r="O1247" s="6" t="n">
        <x:v>1</x:v>
      </x:c>
      <x:c r="P1247" s="6" t="n">
        <x:v>15</x:v>
      </x:c>
      <x:c r="Q1247" s="6" t="n">
        <x:v>0</x:v>
      </x:c>
      <x:c r="R1247" s="6" t="n">
        <x:v>0</x:v>
      </x:c>
      <x:c r="S1247" s="6" t="n">
        <x:v>0</x:v>
      </x:c>
      <x:c r="T1247" s="6" t="n">
        <x:v>20</x:v>
      </x:c>
      <x:c r="U1247" s="6" t="n">
        <x:v>0</x:v>
      </x:c>
      <x:c r="V1247" s="6" t="n">
        <x:v>0</x:v>
      </x:c>
      <x:c r="W1247" s="6" t="n">
        <x:v>0</x:v>
      </x:c>
      <x:c r="X1247" s="6" t="n">
        <x:v>0</x:v>
      </x:c>
      <x:c r="Y1247" s="6" t="n">
        <x:v>0</x:v>
      </x:c>
      <x:c r="Z1247" s="6" t="n">
        <x:v>0</x:v>
      </x:c>
      <x:c r="AA1247" s="6" t="n">
        <x:v>3</x:v>
      </x:c>
      <x:c r="AB1247" s="6" t="n">
        <x:v>11</x:v>
      </x:c>
      <x:c r="AC1247" s="6" t="n">
        <x:v>0</x:v>
      </x:c>
    </x:row>
    <x:row r="1248">
      <x:c r="A1248" s="6" t="n">
        <x:v>4136</x:v>
      </x:c>
      <x:c r="B1248" s="6" t="n">
        <x:v>1992</x:v>
      </x:c>
      <x:c r="C1248" s="6" t="str">
        <x:v>Basic</x:v>
      </x:c>
      <x:c r="D1248" s="6" t="str">
        <x:v>Single</x:v>
      </x:c>
      <x:c r="E1248" s="6" t="n">
        <x:v>7500</x:v>
      </x:c>
      <x:c r="F1248" s="6" t="n">
        <x:v>1</x:v>
      </x:c>
      <x:c r="G1248" s="6" t="n">
        <x:v>0</x:v>
      </x:c>
      <x:c r="H1248" s="9" t="str">
        <x:v>03-12-2012</x:v>
      </x:c>
      <x:c r="I1248" s="6" t="n">
        <x:v>63</x:v>
      </x:c>
      <x:c r="J1248" s="6" t="n">
        <x:v>10</x:v>
      </x:c>
      <x:c r="K1248" s="6" t="n">
        <x:v>17</x:v>
      </x:c>
      <x:c r="L1248" s="6" t="n">
        <x:v>18</x:v>
      </x:c>
      <x:c r="M1248" s="6" t="n">
        <x:v>8</x:v>
      </x:c>
      <x:c r="N1248" s="6" t="n">
        <x:v>26</x:v>
      </x:c>
      <x:c r="O1248" s="6" t="n">
        <x:v>40</x:v>
      </x:c>
      <x:c r="P1248" s="6" t="n">
        <x:v>4</x:v>
      </x:c>
      <x:c r="Q1248" s="6" t="n">
        <x:v>3</x:v>
      </x:c>
      <x:c r="R1248" s="6" t="n">
        <x:v>2</x:v>
      </x:c>
      <x:c r="S1248" s="6" t="n">
        <x:v>2</x:v>
      </x:c>
      <x:c r="T1248" s="6" t="n">
        <x:v>9</x:v>
      </x:c>
      <x:c r="U1248" s="6" t="n">
        <x:v>0</x:v>
      </x:c>
      <x:c r="V1248" s="6" t="n">
        <x:v>0</x:v>
      </x:c>
      <x:c r="W1248" s="6" t="n">
        <x:v>0</x:v>
      </x:c>
      <x:c r="X1248" s="6" t="n">
        <x:v>0</x:v>
      </x:c>
      <x:c r="Y1248" s="6" t="n">
        <x:v>0</x:v>
      </x:c>
      <x:c r="Z1248" s="6" t="n">
        <x:v>0</x:v>
      </x:c>
      <x:c r="AA1248" s="6" t="n">
        <x:v>3</x:v>
      </x:c>
      <x:c r="AB1248" s="6" t="n">
        <x:v>11</x:v>
      </x:c>
      <x:c r="AC1248" s="6" t="n">
        <x:v>0</x:v>
      </x:c>
    </x:row>
    <x:row r="1249">
      <x:c r="A1249" s="6" t="n">
        <x:v>803</x:v>
      </x:c>
      <x:c r="B1249" s="6" t="n">
        <x:v>1968</x:v>
      </x:c>
      <x:c r="C1249" s="6" t="str">
        <x:v>Graduation</x:v>
      </x:c>
      <x:c r="D1249" s="6" t="str">
        <x:v>Together</x:v>
      </x:c>
      <x:c r="E1249" s="6" t="n">
        <x:v>40521</x:v>
      </x:c>
      <x:c r="F1249" s="6" t="n">
        <x:v>1</x:v>
      </x:c>
      <x:c r="G1249" s="6" t="n">
        <x:v>1</x:v>
      </x:c>
      <x:c r="H1249" s="9" t="str">
        <x:v>05-04-2013</x:v>
      </x:c>
      <x:c r="I1249" s="6" t="n">
        <x:v>82</x:v>
      </x:c>
      <x:c r="J1249" s="6" t="n">
        <x:v>12</x:v>
      </x:c>
      <x:c r="K1249" s="6" t="n">
        <x:v>0</x:v>
      </x:c>
      <x:c r="L1249" s="6" t="n">
        <x:v>5</x:v>
      </x:c>
      <x:c r="M1249" s="6" t="n">
        <x:v>0</x:v>
      </x:c>
      <x:c r="N1249" s="6" t="n">
        <x:v>0</x:v>
      </x:c>
      <x:c r="O1249" s="6" t="n">
        <x:v>4</x:v>
      </x:c>
      <x:c r="P1249" s="6" t="n">
        <x:v>1</x:v>
      </x:c>
      <x:c r="Q1249" s="6" t="n">
        <x:v>0</x:v>
      </x:c>
      <x:c r="R1249" s="6" t="n">
        <x:v>1</x:v>
      </x:c>
      <x:c r="S1249" s="6" t="n">
        <x:v>2</x:v>
      </x:c>
      <x:c r="T1249" s="6" t="n">
        <x:v>5</x:v>
      </x:c>
      <x:c r="U1249" s="6" t="n">
        <x:v>0</x:v>
      </x:c>
      <x:c r="V1249" s="6" t="n">
        <x:v>0</x:v>
      </x:c>
      <x:c r="W1249" s="6" t="n">
        <x:v>0</x:v>
      </x:c>
      <x:c r="X1249" s="6" t="n">
        <x:v>0</x:v>
      </x:c>
      <x:c r="Y1249" s="6" t="n">
        <x:v>0</x:v>
      </x:c>
      <x:c r="Z1249" s="6" t="n">
        <x:v>0</x:v>
      </x:c>
      <x:c r="AA1249" s="6" t="n">
        <x:v>3</x:v>
      </x:c>
      <x:c r="AB1249" s="6" t="n">
        <x:v>11</x:v>
      </x:c>
      <x:c r="AC1249" s="6" t="n">
        <x:v>0</x:v>
      </x:c>
    </x:row>
    <x:row r="1250">
      <x:c r="A1250" s="6" t="n">
        <x:v>4298</x:v>
      </x:c>
      <x:c r="B1250" s="6" t="n">
        <x:v>1973</x:v>
      </x:c>
      <x:c r="C1250" s="6" t="str">
        <x:v>PhD</x:v>
      </x:c>
      <x:c r="D1250" s="6" t="str">
        <x:v>Together</x:v>
      </x:c>
      <x:c r="E1250" s="6" t="n">
        <x:v>20427</x:v>
      </x:c>
      <x:c r="F1250" s="6" t="n">
        <x:v>1</x:v>
      </x:c>
      <x:c r="G1250" s="6" t="n">
        <x:v>0</x:v>
      </x:c>
      <x:c r="H1250" s="9" t="str">
        <x:v>24-03-2014</x:v>
      </x:c>
      <x:c r="I1250" s="6" t="n">
        <x:v>63</x:v>
      </x:c>
      <x:c r="J1250" s="6" t="n">
        <x:v>5</x:v>
      </x:c>
      <x:c r="K1250" s="6" t="n">
        <x:v>0</x:v>
      </x:c>
      <x:c r="L1250" s="6" t="n">
        <x:v>4</x:v>
      </x:c>
      <x:c r="M1250" s="6" t="n">
        <x:v>0</x:v>
      </x:c>
      <x:c r="N1250" s="6" t="n">
        <x:v>0</x:v>
      </x:c>
      <x:c r="O1250" s="6" t="n">
        <x:v>1</x:v>
      </x:c>
      <x:c r="P1250" s="6" t="n">
        <x:v>1</x:v>
      </x:c>
      <x:c r="Q1250" s="6" t="n">
        <x:v>1</x:v>
      </x:c>
      <x:c r="R1250" s="6" t="n">
        <x:v>0</x:v>
      </x:c>
      <x:c r="S1250" s="6" t="n">
        <x:v>2</x:v>
      </x:c>
      <x:c r="T1250" s="6" t="n">
        <x:v>8</x:v>
      </x:c>
      <x:c r="U1250" s="6" t="n">
        <x:v>0</x:v>
      </x:c>
      <x:c r="V1250" s="6" t="n">
        <x:v>0</x:v>
      </x:c>
      <x:c r="W1250" s="6" t="n">
        <x:v>0</x:v>
      </x:c>
      <x:c r="X1250" s="6" t="n">
        <x:v>0</x:v>
      </x:c>
      <x:c r="Y1250" s="6" t="n">
        <x:v>0</x:v>
      </x:c>
      <x:c r="Z1250" s="6" t="n">
        <x:v>0</x:v>
      </x:c>
      <x:c r="AA1250" s="6" t="n">
        <x:v>3</x:v>
      </x:c>
      <x:c r="AB1250" s="6" t="n">
        <x:v>11</x:v>
      </x:c>
      <x:c r="AC1250" s="6" t="n">
        <x:v>0</x:v>
      </x:c>
    </x:row>
    <x:row r="1251">
      <x:c r="A1251" s="6" t="n">
        <x:v>10833</x:v>
      </x:c>
      <x:c r="B1251" s="6" t="n">
        <x:v>1975</x:v>
      </x:c>
      <x:c r="C1251" s="6" t="str">
        <x:v>Graduation</x:v>
      </x:c>
      <x:c r="D1251" s="6" t="str">
        <x:v>Married</x:v>
      </x:c>
      <x:c r="E1251" s="6" t="n">
        <x:v>65106</x:v>
      </x:c>
      <x:c r="F1251" s="6" t="n">
        <x:v>0</x:v>
      </x:c>
      <x:c r="G1251" s="6" t="n">
        <x:v>1</x:v>
      </x:c>
      <x:c r="H1251" s="9" t="str">
        <x:v>24-05-2014</x:v>
      </x:c>
      <x:c r="I1251" s="6" t="n">
        <x:v>55</x:v>
      </x:c>
      <x:c r="J1251" s="6" t="n">
        <x:v>790</x:v>
      </x:c>
      <x:c r="K1251" s="6" t="n">
        <x:v>19</x:v>
      </x:c>
      <x:c r="L1251" s="6" t="n">
        <x:v>133</x:v>
      </x:c>
      <x:c r="M1251" s="6" t="n">
        <x:v>12</x:v>
      </x:c>
      <x:c r="N1251" s="6" t="n">
        <x:v>0</x:v>
      </x:c>
      <x:c r="O1251" s="6" t="n">
        <x:v>19</x:v>
      </x:c>
      <x:c r="P1251" s="6" t="n">
        <x:v>3</x:v>
      </x:c>
      <x:c r="Q1251" s="6" t="n">
        <x:v>8</x:v>
      </x:c>
      <x:c r="R1251" s="6" t="n">
        <x:v>3</x:v>
      </x:c>
      <x:c r="S1251" s="6" t="n">
        <x:v>13</x:v>
      </x:c>
      <x:c r="T1251" s="6" t="n">
        <x:v>6</x:v>
      </x:c>
      <x:c r="U1251" s="6" t="n">
        <x:v>0</x:v>
      </x:c>
      <x:c r="V1251" s="6" t="n">
        <x:v>1</x:v>
      </x:c>
      <x:c r="W1251" s="6" t="n">
        <x:v>0</x:v>
      </x:c>
      <x:c r="X1251" s="6" t="n">
        <x:v>0</x:v>
      </x:c>
      <x:c r="Y1251" s="6" t="n">
        <x:v>0</x:v>
      </x:c>
      <x:c r="Z1251" s="6" t="n">
        <x:v>0</x:v>
      </x:c>
      <x:c r="AA1251" s="6" t="n">
        <x:v>3</x:v>
      </x:c>
      <x:c r="AB1251" s="6" t="n">
        <x:v>11</x:v>
      </x:c>
      <x:c r="AC1251" s="6" t="n">
        <x:v>0</x:v>
      </x:c>
    </x:row>
    <x:row r="1252">
      <x:c r="A1252" s="6" t="n">
        <x:v>9606</x:v>
      </x:c>
      <x:c r="B1252" s="6" t="n">
        <x:v>1965</x:v>
      </x:c>
      <x:c r="C1252" s="6" t="str">
        <x:v>PhD</x:v>
      </x:c>
      <x:c r="D1252" s="6" t="str">
        <x:v>Married</x:v>
      </x:c>
      <x:c r="E1252" s="6" t="n">
        <x:v>69969</x:v>
      </x:c>
      <x:c r="F1252" s="6" t="n">
        <x:v>0</x:v>
      </x:c>
      <x:c r="G1252" s="6" t="n">
        <x:v>0</x:v>
      </x:c>
      <x:c r="H1252" s="9" t="str">
        <x:v>27-08-2013</x:v>
      </x:c>
      <x:c r="I1252" s="6" t="n">
        <x:v>64</x:v>
      </x:c>
      <x:c r="J1252" s="6" t="n">
        <x:v>882</x:v>
      </x:c>
      <x:c r="K1252" s="6" t="n">
        <x:v>29</x:v>
      </x:c>
      <x:c r="L1252" s="6" t="n">
        <x:v>514</x:v>
      </x:c>
      <x:c r="M1252" s="6" t="n">
        <x:v>38</x:v>
      </x:c>
      <x:c r="N1252" s="6" t="n">
        <x:v>29</x:v>
      </x:c>
      <x:c r="O1252" s="6" t="n">
        <x:v>44</x:v>
      </x:c>
      <x:c r="P1252" s="6" t="n">
        <x:v>1</x:v>
      </x:c>
      <x:c r="Q1252" s="6" t="n">
        <x:v>4</x:v>
      </x:c>
      <x:c r="R1252" s="6" t="n">
        <x:v>2</x:v>
      </x:c>
      <x:c r="S1252" s="6" t="n">
        <x:v>6</x:v>
      </x:c>
      <x:c r="T1252" s="6" t="n">
        <x:v>3</x:v>
      </x:c>
      <x:c r="U1252" s="6" t="n">
        <x:v>0</x:v>
      </x:c>
      <x:c r="V1252" s="6" t="n">
        <x:v>0</x:v>
      </x:c>
      <x:c r="W1252" s="6" t="n">
        <x:v>1</x:v>
      </x:c>
      <x:c r="X1252" s="6" t="n">
        <x:v>1</x:v>
      </x:c>
      <x:c r="Y1252" s="6" t="n">
        <x:v>0</x:v>
      </x:c>
      <x:c r="Z1252" s="6" t="n">
        <x:v>0</x:v>
      </x:c>
      <x:c r="AA1252" s="6" t="n">
        <x:v>3</x:v>
      </x:c>
      <x:c r="AB1252" s="6" t="n">
        <x:v>11</x:v>
      </x:c>
      <x:c r="AC1252" s="6" t="n">
        <x:v>1</x:v>
      </x:c>
    </x:row>
    <x:row r="1253">
      <x:c r="A1253" s="6" t="n">
        <x:v>8534</x:v>
      </x:c>
      <x:c r="B1253" s="6" t="n">
        <x:v>1952</x:v>
      </x:c>
      <x:c r="C1253" s="6" t="str">
        <x:v>Graduation</x:v>
      </x:c>
      <x:c r="D1253" s="6" t="str">
        <x:v>Married</x:v>
      </x:c>
      <x:c r="E1253" s="6" t="n">
        <x:v>67433</x:v>
      </x:c>
      <x:c r="F1253" s="6" t="n">
        <x:v>0</x:v>
      </x:c>
      <x:c r="G1253" s="6" t="n">
        <x:v>2</x:v>
      </x:c>
      <x:c r="H1253" s="9" t="str">
        <x:v>16-07-2013</x:v>
      </x:c>
      <x:c r="I1253" s="6" t="n">
        <x:v>51</x:v>
      </x:c>
      <x:c r="J1253" s="6" t="n">
        <x:v>615</x:v>
      </x:c>
      <x:c r="K1253" s="6" t="n">
        <x:v>28</x:v>
      </x:c>
      <x:c r="L1253" s="6" t="n">
        <x:v>259</x:v>
      </x:c>
      <x:c r="M1253" s="6" t="n">
        <x:v>12</x:v>
      </x:c>
      <x:c r="N1253" s="6" t="n">
        <x:v>48</x:v>
      </x:c>
      <x:c r="O1253" s="6" t="n">
        <x:v>30</x:v>
      </x:c>
      <x:c r="P1253" s="6" t="n">
        <x:v>4</x:v>
      </x:c>
      <x:c r="Q1253" s="6" t="n">
        <x:v>6</x:v>
      </x:c>
      <x:c r="R1253" s="6" t="n">
        <x:v>5</x:v>
      </x:c>
      <x:c r="S1253" s="6" t="n">
        <x:v>13</x:v>
      </x:c>
      <x:c r="T1253" s="6" t="n">
        <x:v>4</x:v>
      </x:c>
      <x:c r="U1253" s="6" t="n">
        <x:v>0</x:v>
      </x:c>
      <x:c r="V1253" s="6" t="n">
        <x:v>1</x:v>
      </x:c>
      <x:c r="W1253" s="6" t="n">
        <x:v>0</x:v>
      </x:c>
      <x:c r="X1253" s="6" t="n">
        <x:v>0</x:v>
      </x:c>
      <x:c r="Y1253" s="6" t="n">
        <x:v>0</x:v>
      </x:c>
      <x:c r="Z1253" s="6" t="n">
        <x:v>0</x:v>
      </x:c>
      <x:c r="AA1253" s="6" t="n">
        <x:v>3</x:v>
      </x:c>
      <x:c r="AB1253" s="6" t="n">
        <x:v>11</x:v>
      </x:c>
      <x:c r="AC1253" s="6" t="n">
        <x:v>0</x:v>
      </x:c>
    </x:row>
    <x:row r="1254">
      <x:c r="A1254" s="6" t="n">
        <x:v>5153</x:v>
      </x:c>
      <x:c r="B1254" s="6" t="n">
        <x:v>1967</x:v>
      </x:c>
      <x:c r="C1254" s="6" t="str">
        <x:v>PhD</x:v>
      </x:c>
      <x:c r="D1254" s="6" t="str">
        <x:v>Married</x:v>
      </x:c>
      <x:c r="E1254" s="6" t="n">
        <x:v>77766</x:v>
      </x:c>
      <x:c r="F1254" s="6" t="n">
        <x:v>0</x:v>
      </x:c>
      <x:c r="G1254" s="6" t="n">
        <x:v>1</x:v>
      </x:c>
      <x:c r="H1254" s="9" t="str">
        <x:v>22-02-2013</x:v>
      </x:c>
      <x:c r="I1254" s="6" t="n">
        <x:v>97</x:v>
      </x:c>
      <x:c r="J1254" s="6" t="n">
        <x:v>1004</x:v>
      </x:c>
      <x:c r="K1254" s="6" t="n">
        <x:v>59</x:v>
      </x:c>
      <x:c r="L1254" s="6" t="n">
        <x:v>265</x:v>
      </x:c>
      <x:c r="M1254" s="6" t="n">
        <x:v>115</x:v>
      </x:c>
      <x:c r="N1254" s="6" t="n">
        <x:v>59</x:v>
      </x:c>
      <x:c r="O1254" s="6" t="n">
        <x:v>27</x:v>
      </x:c>
      <x:c r="P1254" s="6" t="n">
        <x:v>2</x:v>
      </x:c>
      <x:c r="Q1254" s="6" t="n">
        <x:v>11</x:v>
      </x:c>
      <x:c r="R1254" s="6" t="n">
        <x:v>10</x:v>
      </x:c>
      <x:c r="S1254" s="6" t="n">
        <x:v>11</x:v>
      </x:c>
      <x:c r="T1254" s="6" t="n">
        <x:v>6</x:v>
      </x:c>
      <x:c r="U1254" s="6" t="n">
        <x:v>1</x:v>
      </x:c>
      <x:c r="V1254" s="6" t="n">
        <x:v>0</x:v>
      </x:c>
      <x:c r="W1254" s="6" t="n">
        <x:v>0</x:v>
      </x:c>
      <x:c r="X1254" s="6" t="n">
        <x:v>0</x:v>
      </x:c>
      <x:c r="Y1254" s="6" t="n">
        <x:v>0</x:v>
      </x:c>
      <x:c r="Z1254" s="6" t="n">
        <x:v>0</x:v>
      </x:c>
      <x:c r="AA1254" s="6" t="n">
        <x:v>3</x:v>
      </x:c>
      <x:c r="AB1254" s="6" t="n">
        <x:v>11</x:v>
      </x:c>
      <x:c r="AC1254" s="6" t="n">
        <x:v>1</x:v>
      </x:c>
    </x:row>
    <x:row r="1255">
      <x:c r="A1255" s="6" t="n">
        <x:v>961</x:v>
      </x:c>
      <x:c r="B1255" s="6" t="n">
        <x:v>1972</x:v>
      </x:c>
      <x:c r="C1255" s="6" t="str">
        <x:v>Graduation</x:v>
      </x:c>
      <x:c r="D1255" s="6" t="str">
        <x:v>Married</x:v>
      </x:c>
      <x:c r="E1255" s="6" t="n">
        <x:v>74716</x:v>
      </x:c>
      <x:c r="F1255" s="6" t="n">
        <x:v>0</x:v>
      </x:c>
      <x:c r="G1255" s="6" t="n">
        <x:v>1</x:v>
      </x:c>
      <x:c r="H1255" s="9" t="str">
        <x:v>12-09-2013</x:v>
      </x:c>
      <x:c r="I1255" s="6" t="n">
        <x:v>92</x:v>
      </x:c>
      <x:c r="J1255" s="6" t="n">
        <x:v>133</x:v>
      </x:c>
      <x:c r="K1255" s="6" t="n">
        <x:v>27</x:v>
      </x:c>
      <x:c r="L1255" s="6" t="n">
        <x:v>421</x:v>
      </x:c>
      <x:c r="M1255" s="6" t="n">
        <x:v>13</x:v>
      </x:c>
      <x:c r="N1255" s="6" t="n">
        <x:v>195</x:v>
      </x:c>
      <x:c r="O1255" s="6" t="n">
        <x:v>71</x:v>
      </x:c>
      <x:c r="P1255" s="6" t="n">
        <x:v>2</x:v>
      </x:c>
      <x:c r="Q1255" s="6" t="n">
        <x:v>7</x:v>
      </x:c>
      <x:c r="R1255" s="6" t="n">
        <x:v>3</x:v>
      </x:c>
      <x:c r="S1255" s="6" t="n">
        <x:v>5</x:v>
      </x:c>
      <x:c r="T1255" s="6" t="n">
        <x:v>4</x:v>
      </x:c>
      <x:c r="U1255" s="6" t="n">
        <x:v>0</x:v>
      </x:c>
      <x:c r="V1255" s="6" t="n">
        <x:v>0</x:v>
      </x:c>
      <x:c r="W1255" s="6" t="n">
        <x:v>0</x:v>
      </x:c>
      <x:c r="X1255" s="6" t="n">
        <x:v>0</x:v>
      </x:c>
      <x:c r="Y1255" s="6" t="n">
        <x:v>0</x:v>
      </x:c>
      <x:c r="Z1255" s="6" t="n">
        <x:v>0</x:v>
      </x:c>
      <x:c r="AA1255" s="6" t="n">
        <x:v>3</x:v>
      </x:c>
      <x:c r="AB1255" s="6" t="n">
        <x:v>11</x:v>
      </x:c>
      <x:c r="AC1255" s="6" t="n">
        <x:v>0</x:v>
      </x:c>
    </x:row>
    <x:row r="1256">
      <x:c r="A1256" s="6" t="n">
        <x:v>5011</x:v>
      </x:c>
      <x:c r="B1256" s="6" t="n">
        <x:v>1963</x:v>
      </x:c>
      <x:c r="C1256" s="6" t="str">
        <x:v>Graduation</x:v>
      </x:c>
      <x:c r="D1256" s="6" t="str">
        <x:v>Divorced</x:v>
      </x:c>
      <x:c r="E1256" s="6" t="n">
        <x:v>68118</x:v>
      </x:c>
      <x:c r="F1256" s="6" t="n">
        <x:v>0</x:v>
      </x:c>
      <x:c r="G1256" s="6" t="n">
        <x:v>1</x:v>
      </x:c>
      <x:c r="H1256" s="9" t="str">
        <x:v>18-10-2013</x:v>
      </x:c>
      <x:c r="I1256" s="6" t="n">
        <x:v>51</x:v>
      </x:c>
      <x:c r="J1256" s="6" t="n">
        <x:v>595</x:v>
      </x:c>
      <x:c r="K1256" s="6" t="n">
        <x:v>23</x:v>
      </x:c>
      <x:c r="L1256" s="6" t="n">
        <x:v>123</x:v>
      </x:c>
      <x:c r="M1256" s="6" t="n">
        <x:v>10</x:v>
      </x:c>
      <x:c r="N1256" s="6" t="n">
        <x:v>23</x:v>
      </x:c>
      <x:c r="O1256" s="6" t="n">
        <x:v>154</x:v>
      </x:c>
      <x:c r="P1256" s="6" t="n">
        <x:v>2</x:v>
      </x:c>
      <x:c r="Q1256" s="6" t="n">
        <x:v>8</x:v>
      </x:c>
      <x:c r="R1256" s="6" t="n">
        <x:v>9</x:v>
      </x:c>
      <x:c r="S1256" s="6" t="n">
        <x:v>4</x:v>
      </x:c>
      <x:c r="T1256" s="6" t="n">
        <x:v>6</x:v>
      </x:c>
      <x:c r="U1256" s="6" t="n">
        <x:v>0</x:v>
      </x:c>
      <x:c r="V1256" s="6" t="n">
        <x:v>0</x:v>
      </x:c>
      <x:c r="W1256" s="6" t="n">
        <x:v>0</x:v>
      </x:c>
      <x:c r="X1256" s="6" t="n">
        <x:v>0</x:v>
      </x:c>
      <x:c r="Y1256" s="6" t="n">
        <x:v>0</x:v>
      </x:c>
      <x:c r="Z1256" s="6" t="n">
        <x:v>0</x:v>
      </x:c>
      <x:c r="AA1256" s="6" t="n">
        <x:v>3</x:v>
      </x:c>
      <x:c r="AB1256" s="6" t="n">
        <x:v>11</x:v>
      </x:c>
      <x:c r="AC1256" s="6" t="n">
        <x:v>0</x:v>
      </x:c>
    </x:row>
    <x:row r="1257">
      <x:c r="A1257" s="6" t="n">
        <x:v>6653</x:v>
      </x:c>
      <x:c r="B1257" s="6" t="n">
        <x:v>1970</x:v>
      </x:c>
      <x:c r="C1257" s="6" t="str">
        <x:v>PhD</x:v>
      </x:c>
      <x:c r="D1257" s="6" t="str">
        <x:v>Married</x:v>
      </x:c>
      <x:c r="E1257" s="6" t="n">
        <x:v>55158</x:v>
      </x:c>
      <x:c r="F1257" s="6" t="n">
        <x:v>1</x:v>
      </x:c>
      <x:c r="G1257" s="6" t="n">
        <x:v>1</x:v>
      </x:c>
      <x:c r="H1257" s="9" t="str">
        <x:v>30-07-2012</x:v>
      </x:c>
      <x:c r="I1257" s="6" t="n">
        <x:v>72</x:v>
      </x:c>
      <x:c r="J1257" s="6" t="n">
        <x:v>293</x:v>
      </x:c>
      <x:c r="K1257" s="6" t="n">
        <x:v>0</x:v>
      </x:c>
      <x:c r="L1257" s="6" t="n">
        <x:v>87</x:v>
      </x:c>
      <x:c r="M1257" s="6" t="n">
        <x:v>4</x:v>
      </x:c>
      <x:c r="N1257" s="6" t="n">
        <x:v>11</x:v>
      </x:c>
      <x:c r="O1257" s="6" t="n">
        <x:v>23</x:v>
      </x:c>
      <x:c r="P1257" s="6" t="n">
        <x:v>4</x:v>
      </x:c>
      <x:c r="Q1257" s="6" t="n">
        <x:v>7</x:v>
      </x:c>
      <x:c r="R1257" s="6" t="n">
        <x:v>2</x:v>
      </x:c>
      <x:c r="S1257" s="6" t="n">
        <x:v>5</x:v>
      </x:c>
      <x:c r="T1257" s="6" t="n">
        <x:v>7</x:v>
      </x:c>
      <x:c r="U1257" s="6" t="n">
        <x:v>0</x:v>
      </x:c>
      <x:c r="V1257" s="6" t="n">
        <x:v>0</x:v>
      </x:c>
      <x:c r="W1257" s="6" t="n">
        <x:v>0</x:v>
      </x:c>
      <x:c r="X1257" s="6" t="n">
        <x:v>0</x:v>
      </x:c>
      <x:c r="Y1257" s="6" t="n">
        <x:v>0</x:v>
      </x:c>
      <x:c r="Z1257" s="6" t="n">
        <x:v>0</x:v>
      </x:c>
      <x:c r="AA1257" s="6" t="n">
        <x:v>3</x:v>
      </x:c>
      <x:c r="AB1257" s="6" t="n">
        <x:v>11</x:v>
      </x:c>
      <x:c r="AC1257" s="6" t="n">
        <x:v>1</x:v>
      </x:c>
    </x:row>
    <x:row r="1258">
      <x:c r="A1258" s="6" t="n">
        <x:v>9094</x:v>
      </x:c>
      <x:c r="B1258" s="6" t="n">
        <x:v>1955</x:v>
      </x:c>
      <x:c r="C1258" s="6" t="str">
        <x:v>2n Cycle</x:v>
      </x:c>
      <x:c r="D1258" s="6" t="str">
        <x:v>Married</x:v>
      </x:c>
      <x:c r="E1258" s="6" t="n">
        <x:v>62972</x:v>
      </x:c>
      <x:c r="F1258" s="6" t="n">
        <x:v>0</x:v>
      </x:c>
      <x:c r="G1258" s="6" t="n">
        <x:v>1</x:v>
      </x:c>
      <x:c r="H1258" s="9" t="str">
        <x:v>03-08-2012</x:v>
      </x:c>
      <x:c r="I1258" s="6" t="n">
        <x:v>39</x:v>
      </x:c>
      <x:c r="J1258" s="6" t="n">
        <x:v>313</x:v>
      </x:c>
      <x:c r="K1258" s="6" t="n">
        <x:v>15</x:v>
      </x:c>
      <x:c r="L1258" s="6" t="n">
        <x:v>47</x:v>
      </x:c>
      <x:c r="M1258" s="6" t="n">
        <x:v>20</x:v>
      </x:c>
      <x:c r="N1258" s="6" t="n">
        <x:v>0</x:v>
      </x:c>
      <x:c r="O1258" s="6" t="n">
        <x:v>192</x:v>
      </x:c>
      <x:c r="P1258" s="6" t="n">
        <x:v>2</x:v>
      </x:c>
      <x:c r="Q1258" s="6" t="n">
        <x:v>7</x:v>
      </x:c>
      <x:c r="R1258" s="6" t="n">
        <x:v>4</x:v>
      </x:c>
      <x:c r="S1258" s="6" t="n">
        <x:v>3</x:v>
      </x:c>
      <x:c r="T1258" s="6" t="n">
        <x:v>6</x:v>
      </x:c>
      <x:c r="U1258" s="6" t="n">
        <x:v>0</x:v>
      </x:c>
      <x:c r="V1258" s="6" t="n">
        <x:v>0</x:v>
      </x:c>
      <x:c r="W1258" s="6" t="n">
        <x:v>0</x:v>
      </x:c>
      <x:c r="X1258" s="6" t="n">
        <x:v>0</x:v>
      </x:c>
      <x:c r="Y1258" s="6" t="n">
        <x:v>0</x:v>
      </x:c>
      <x:c r="Z1258" s="6" t="n">
        <x:v>0</x:v>
      </x:c>
      <x:c r="AA1258" s="6" t="n">
        <x:v>3</x:v>
      </x:c>
      <x:c r="AB1258" s="6" t="n">
        <x:v>11</x:v>
      </x:c>
      <x:c r="AC1258" s="6" t="n">
        <x:v>1</x:v>
      </x:c>
    </x:row>
    <x:row r="1259">
      <x:c r="A1259" s="6" t="n">
        <x:v>810</x:v>
      </x:c>
      <x:c r="B1259" s="6" t="n">
        <x:v>1975</x:v>
      </x:c>
      <x:c r="C1259" s="6" t="str">
        <x:v>Graduation</x:v>
      </x:c>
      <x:c r="D1259" s="6" t="str">
        <x:v>Married</x:v>
      </x:c>
      <x:c r="E1259" s="6" t="n">
        <x:v>74190</x:v>
      </x:c>
      <x:c r="F1259" s="6" t="n">
        <x:v>0</x:v>
      </x:c>
      <x:c r="G1259" s="6" t="n">
        <x:v>1</x:v>
      </x:c>
      <x:c r="H1259" s="9" t="str">
        <x:v>12-05-2014</x:v>
      </x:c>
      <x:c r="I1259" s="6" t="n">
        <x:v>49</x:v>
      </x:c>
      <x:c r="J1259" s="6" t="n">
        <x:v>151</x:v>
      </x:c>
      <x:c r="K1259" s="6" t="n">
        <x:v>81</x:v>
      </x:c>
      <x:c r="L1259" s="6" t="n">
        <x:v>86</x:v>
      </x:c>
      <x:c r="M1259" s="6" t="n">
        <x:v>168</x:v>
      </x:c>
      <x:c r="N1259" s="6" t="n">
        <x:v>91</x:v>
      </x:c>
      <x:c r="O1259" s="6" t="n">
        <x:v>64</x:v>
      </x:c>
      <x:c r="P1259" s="6" t="n">
        <x:v>2</x:v>
      </x:c>
      <x:c r="Q1259" s="6" t="n">
        <x:v>4</x:v>
      </x:c>
      <x:c r="R1259" s="6" t="n">
        <x:v>2</x:v>
      </x:c>
      <x:c r="S1259" s="6" t="n">
        <x:v>11</x:v>
      </x:c>
      <x:c r="T1259" s="6" t="n">
        <x:v>2</x:v>
      </x:c>
      <x:c r="U1259" s="6" t="n">
        <x:v>0</x:v>
      </x:c>
      <x:c r="V1259" s="6" t="n">
        <x:v>0</x:v>
      </x:c>
      <x:c r="W1259" s="6" t="n">
        <x:v>0</x:v>
      </x:c>
      <x:c r="X1259" s="6" t="n">
        <x:v>0</x:v>
      </x:c>
      <x:c r="Y1259" s="6" t="n">
        <x:v>0</x:v>
      </x:c>
      <x:c r="Z1259" s="6" t="n">
        <x:v>0</x:v>
      </x:c>
      <x:c r="AA1259" s="6" t="n">
        <x:v>3</x:v>
      </x:c>
      <x:c r="AB1259" s="6" t="n">
        <x:v>11</x:v>
      </x:c>
      <x:c r="AC1259" s="6" t="n">
        <x:v>0</x:v>
      </x:c>
    </x:row>
    <x:row r="1260">
      <x:c r="A1260" s="6" t="n">
        <x:v>5493</x:v>
      </x:c>
      <x:c r="B1260" s="6" t="n">
        <x:v>1976</x:v>
      </x:c>
      <x:c r="C1260" s="6" t="str">
        <x:v>Graduation</x:v>
      </x:c>
      <x:c r="D1260" s="6" t="str">
        <x:v>Married</x:v>
      </x:c>
      <x:c r="E1260" s="6" t="n">
        <x:v>39356</x:v>
      </x:c>
      <x:c r="F1260" s="6" t="n">
        <x:v>1</x:v>
      </x:c>
      <x:c r="G1260" s="6" t="n">
        <x:v>1</x:v>
      </x:c>
      <x:c r="H1260" s="9" t="str">
        <x:v>19-03-2014</x:v>
      </x:c>
      <x:c r="I1260" s="6" t="n">
        <x:v>21</x:v>
      </x:c>
      <x:c r="J1260" s="6" t="n">
        <x:v>15</x:v>
      </x:c>
      <x:c r="K1260" s="6" t="n">
        <x:v>0</x:v>
      </x:c>
      <x:c r="L1260" s="6" t="n">
        <x:v>2</x:v>
      </x:c>
      <x:c r="M1260" s="6" t="n">
        <x:v>0</x:v>
      </x:c>
      <x:c r="N1260" s="6" t="n">
        <x:v>0</x:v>
      </x:c>
      <x:c r="O1260" s="6" t="n">
        <x:v>6</x:v>
      </x:c>
      <x:c r="P1260" s="6" t="n">
        <x:v>1</x:v>
      </x:c>
      <x:c r="Q1260" s="6" t="n">
        <x:v>1</x:v>
      </x:c>
      <x:c r="R1260" s="6" t="n">
        <x:v>0</x:v>
      </x:c>
      <x:c r="S1260" s="6" t="n">
        <x:v>2</x:v>
      </x:c>
      <x:c r="T1260" s="6" t="n">
        <x:v>6</x:v>
      </x:c>
      <x:c r="U1260" s="6" t="n">
        <x:v>1</x:v>
      </x:c>
      <x:c r="V1260" s="6" t="n">
        <x:v>0</x:v>
      </x:c>
      <x:c r="W1260" s="6" t="n">
        <x:v>0</x:v>
      </x:c>
      <x:c r="X1260" s="6" t="n">
        <x:v>0</x:v>
      </x:c>
      <x:c r="Y1260" s="6" t="n">
        <x:v>0</x:v>
      </x:c>
      <x:c r="Z1260" s="6" t="n">
        <x:v>0</x:v>
      </x:c>
      <x:c r="AA1260" s="6" t="n">
        <x:v>3</x:v>
      </x:c>
      <x:c r="AB1260" s="6" t="n">
        <x:v>11</x:v>
      </x:c>
      <x:c r="AC1260" s="6" t="n">
        <x:v>0</x:v>
      </x:c>
    </x:row>
    <x:row r="1261">
      <x:c r="A1261" s="6" t="n">
        <x:v>2147</x:v>
      </x:c>
      <x:c r="B1261" s="6" t="n">
        <x:v>1969</x:v>
      </x:c>
      <x:c r="C1261" s="6" t="str">
        <x:v>Graduation</x:v>
      </x:c>
      <x:c r="D1261" s="6" t="str">
        <x:v>Together</x:v>
      </x:c>
      <x:c r="E1261" s="6" t="n">
        <x:v>76653</x:v>
      </x:c>
      <x:c r="F1261" s="6" t="n">
        <x:v>0</x:v>
      </x:c>
      <x:c r="G1261" s="6" t="n">
        <x:v>0</x:v>
      </x:c>
      <x:c r="H1261" s="9" t="str">
        <x:v>16-08-2013</x:v>
      </x:c>
      <x:c r="I1261" s="6" t="n">
        <x:v>91</x:v>
      </x:c>
      <x:c r="J1261" s="6" t="n">
        <x:v>736</x:v>
      </x:c>
      <x:c r="K1261" s="6" t="n">
        <x:v>63</x:v>
      </x:c>
      <x:c r="L1261" s="6" t="n">
        <x:v>946</x:v>
      </x:c>
      <x:c r="M1261" s="6" t="n">
        <x:v>219</x:v>
      </x:c>
      <x:c r="N1261" s="6" t="n">
        <x:v>189</x:v>
      </x:c>
      <x:c r="O1261" s="6" t="n">
        <x:v>126</x:v>
      </x:c>
      <x:c r="P1261" s="6" t="n">
        <x:v>1</x:v>
      </x:c>
      <x:c r="Q1261" s="6" t="n">
        <x:v>4</x:v>
      </x:c>
      <x:c r="R1261" s="6" t="n">
        <x:v>7</x:v>
      </x:c>
      <x:c r="S1261" s="6" t="n">
        <x:v>11</x:v>
      </x:c>
      <x:c r="T1261" s="6" t="n">
        <x:v>2</x:v>
      </x:c>
      <x:c r="U1261" s="6" t="n">
        <x:v>0</x:v>
      </x:c>
      <x:c r="V1261" s="6" t="n">
        <x:v>0</x:v>
      </x:c>
      <x:c r="W1261" s="6" t="n">
        <x:v>1</x:v>
      </x:c>
      <x:c r="X1261" s="6" t="n">
        <x:v>1</x:v>
      </x:c>
      <x:c r="Y1261" s="6" t="n">
        <x:v>0</x:v>
      </x:c>
      <x:c r="Z1261" s="6" t="n">
        <x:v>0</x:v>
      </x:c>
      <x:c r="AA1261" s="6" t="n">
        <x:v>3</x:v>
      </x:c>
      <x:c r="AB1261" s="6" t="n">
        <x:v>11</x:v>
      </x:c>
      <x:c r="AC1261" s="6" t="n">
        <x:v>0</x:v>
      </x:c>
    </x:row>
    <x:row r="1262">
      <x:c r="A1262" s="6" t="n">
        <x:v>5107</x:v>
      </x:c>
      <x:c r="B1262" s="6" t="n">
        <x:v>1973</x:v>
      </x:c>
      <x:c r="C1262" s="6" t="str">
        <x:v>PhD</x:v>
      </x:c>
      <x:c r="D1262" s="6" t="str">
        <x:v>Divorced</x:v>
      </x:c>
      <x:c r="E1262" s="6" t="n">
        <x:v>35860</x:v>
      </x:c>
      <x:c r="F1262" s="6" t="n">
        <x:v>1</x:v>
      </x:c>
      <x:c r="G1262" s="6" t="n">
        <x:v>1</x:v>
      </x:c>
      <x:c r="H1262" s="9" t="str">
        <x:v>19-05-2014</x:v>
      </x:c>
      <x:c r="I1262" s="6" t="n">
        <x:v>37</x:v>
      </x:c>
      <x:c r="J1262" s="6" t="n">
        <x:v>15</x:v>
      </x:c>
      <x:c r="K1262" s="6" t="n">
        <x:v>0</x:v>
      </x:c>
      <x:c r="L1262" s="6" t="n">
        <x:v>8</x:v>
      </x:c>
      <x:c r="M1262" s="6" t="n">
        <x:v>4</x:v>
      </x:c>
      <x:c r="N1262" s="6" t="n">
        <x:v>2</x:v>
      </x:c>
      <x:c r="O1262" s="6" t="n">
        <x:v>20</x:v>
      </x:c>
      <x:c r="P1262" s="6" t="n">
        <x:v>2</x:v>
      </x:c>
      <x:c r="Q1262" s="6" t="n">
        <x:v>1</x:v>
      </x:c>
      <x:c r="R1262" s="6" t="n">
        <x:v>1</x:v>
      </x:c>
      <x:c r="S1262" s="6" t="n">
        <x:v>2</x:v>
      </x:c>
      <x:c r="T1262" s="6" t="n">
        <x:v>5</x:v>
      </x:c>
      <x:c r="U1262" s="6" t="n">
        <x:v>1</x:v>
      </x:c>
      <x:c r="V1262" s="6" t="n">
        <x:v>0</x:v>
      </x:c>
      <x:c r="W1262" s="6" t="n">
        <x:v>0</x:v>
      </x:c>
      <x:c r="X1262" s="6" t="n">
        <x:v>0</x:v>
      </x:c>
      <x:c r="Y1262" s="6" t="n">
        <x:v>0</x:v>
      </x:c>
      <x:c r="Z1262" s="6" t="n">
        <x:v>0</x:v>
      </x:c>
      <x:c r="AA1262" s="6" t="n">
        <x:v>3</x:v>
      </x:c>
      <x:c r="AB1262" s="6" t="n">
        <x:v>11</x:v>
      </x:c>
      <x:c r="AC1262" s="6" t="n">
        <x:v>0</x:v>
      </x:c>
    </x:row>
    <x:row r="1263">
      <x:c r="A1263" s="6" t="n">
        <x:v>3979</x:v>
      </x:c>
      <x:c r="B1263" s="6" t="n">
        <x:v>1983</x:v>
      </x:c>
      <x:c r="C1263" s="6" t="str">
        <x:v>PhD</x:v>
      </x:c>
      <x:c r="D1263" s="6" t="str">
        <x:v>Divorced</x:v>
      </x:c>
      <x:c r="E1263" s="6" t="n">
        <x:v>90687</x:v>
      </x:c>
      <x:c r="F1263" s="6" t="n">
        <x:v>0</x:v>
      </x:c>
      <x:c r="G1263" s="6" t="n">
        <x:v>0</x:v>
      </x:c>
      <x:c r="H1263" s="9" t="str">
        <x:v>22-05-2013</x:v>
      </x:c>
      <x:c r="I1263" s="6" t="n">
        <x:v>98</x:v>
      </x:c>
      <x:c r="J1263" s="6" t="n">
        <x:v>982</x:v>
      </x:c>
      <x:c r="K1263" s="6" t="n">
        <x:v>17</x:v>
      </x:c>
      <x:c r="L1263" s="6" t="n">
        <x:v>672</x:v>
      </x:c>
      <x:c r="M1263" s="6" t="n">
        <x:v>23</x:v>
      </x:c>
      <x:c r="N1263" s="6" t="n">
        <x:v>34</x:v>
      </x:c>
      <x:c r="O1263" s="6" t="n">
        <x:v>51</x:v>
      </x:c>
      <x:c r="P1263" s="6" t="n">
        <x:v>1</x:v>
      </x:c>
      <x:c r="Q1263" s="6" t="n">
        <x:v>6</x:v>
      </x:c>
      <x:c r="R1263" s="6" t="n">
        <x:v>2</x:v>
      </x:c>
      <x:c r="S1263" s="6" t="n">
        <x:v>8</x:v>
      </x:c>
      <x:c r="T1263" s="6" t="n">
        <x:v>2</x:v>
      </x:c>
      <x:c r="U1263" s="6" t="n">
        <x:v>0</x:v>
      </x:c>
      <x:c r="V1263" s="6" t="n">
        <x:v>0</x:v>
      </x:c>
      <x:c r="W1263" s="6" t="n">
        <x:v>1</x:v>
      </x:c>
      <x:c r="X1263" s="6" t="n">
        <x:v>0</x:v>
      </x:c>
      <x:c r="Y1263" s="6" t="n">
        <x:v>0</x:v>
      </x:c>
      <x:c r="Z1263" s="6" t="n">
        <x:v>0</x:v>
      </x:c>
      <x:c r="AA1263" s="6" t="n">
        <x:v>3</x:v>
      </x:c>
      <x:c r="AB1263" s="6" t="n">
        <x:v>11</x:v>
      </x:c>
      <x:c r="AC1263" s="6" t="n">
        <x:v>1</x:v>
      </x:c>
    </x:row>
    <x:row r="1264">
      <x:c r="A1264" s="6" t="n">
        <x:v>6049</x:v>
      </x:c>
      <x:c r="B1264" s="6" t="n">
        <x:v>1982</x:v>
      </x:c>
      <x:c r="C1264" s="6" t="str">
        <x:v>Master</x:v>
      </x:c>
      <x:c r="D1264" s="6" t="str">
        <x:v>Together</x:v>
      </x:c>
      <x:c r="E1264" s="6" t="n">
        <x:v>73450</x:v>
      </x:c>
      <x:c r="F1264" s="6" t="n">
        <x:v>0</x:v>
      </x:c>
      <x:c r="G1264" s="6" t="n">
        <x:v>0</x:v>
      </x:c>
      <x:c r="H1264" s="9" t="str">
        <x:v>05-12-2013</x:v>
      </x:c>
      <x:c r="I1264" s="6" t="n">
        <x:v>85</x:v>
      </x:c>
      <x:c r="J1264" s="6" t="n">
        <x:v>1142</x:v>
      </x:c>
      <x:c r="K1264" s="6" t="n">
        <x:v>51</x:v>
      </x:c>
      <x:c r="L1264" s="6" t="n">
        <x:v>415</x:v>
      </x:c>
      <x:c r="M1264" s="6" t="n">
        <x:v>90</x:v>
      </x:c>
      <x:c r="N1264" s="6" t="n">
        <x:v>69</x:v>
      </x:c>
      <x:c r="O1264" s="6" t="n">
        <x:v>37</x:v>
      </x:c>
      <x:c r="P1264" s="6" t="n">
        <x:v>1</x:v>
      </x:c>
      <x:c r="Q1264" s="6" t="n">
        <x:v>7</x:v>
      </x:c>
      <x:c r="R1264" s="6" t="n">
        <x:v>8</x:v>
      </x:c>
      <x:c r="S1264" s="6" t="n">
        <x:v>11</x:v>
      </x:c>
      <x:c r="T1264" s="6" t="n">
        <x:v>3</x:v>
      </x:c>
      <x:c r="U1264" s="6" t="n">
        <x:v>1</x:v>
      </x:c>
      <x:c r="V1264" s="6" t="n">
        <x:v>0</x:v>
      </x:c>
      <x:c r="W1264" s="6" t="n">
        <x:v>0</x:v>
      </x:c>
      <x:c r="X1264" s="6" t="n">
        <x:v>1</x:v>
      </x:c>
      <x:c r="Y1264" s="6" t="n">
        <x:v>0</x:v>
      </x:c>
      <x:c r="Z1264" s="6" t="n">
        <x:v>0</x:v>
      </x:c>
      <x:c r="AA1264" s="6" t="n">
        <x:v>3</x:v>
      </x:c>
      <x:c r="AB1264" s="6" t="n">
        <x:v>11</x:v>
      </x:c>
      <x:c r="AC1264" s="6" t="n">
        <x:v>0</x:v>
      </x:c>
    </x:row>
    <x:row r="1265">
      <x:c r="A1265" s="6" t="n">
        <x:v>8147</x:v>
      </x:c>
      <x:c r="B1265" s="6" t="n">
        <x:v>1960</x:v>
      </x:c>
      <x:c r="C1265" s="6" t="str">
        <x:v>Graduation</x:v>
      </x:c>
      <x:c r="D1265" s="6" t="str">
        <x:v>Married</x:v>
      </x:c>
      <x:c r="E1265" s="6" t="n">
        <x:v>31454</x:v>
      </x:c>
      <x:c r="F1265" s="6" t="n">
        <x:v>1</x:v>
      </x:c>
      <x:c r="G1265" s="6" t="n">
        <x:v>1</x:v>
      </x:c>
      <x:c r="H1265" s="9" t="str">
        <x:v>06-07-2013</x:v>
      </x:c>
      <x:c r="I1265" s="6" t="n">
        <x:v>40</x:v>
      </x:c>
      <x:c r="J1265" s="6" t="n">
        <x:v>28</x:v>
      </x:c>
      <x:c r="K1265" s="6" t="n">
        <x:v>0</x:v>
      </x:c>
      <x:c r="L1265" s="6" t="n">
        <x:v>11</x:v>
      </x:c>
      <x:c r="M1265" s="6" t="n">
        <x:v>0</x:v>
      </x:c>
      <x:c r="N1265" s="6" t="n">
        <x:v>0</x:v>
      </x:c>
      <x:c r="O1265" s="6" t="n">
        <x:v>9</x:v>
      </x:c>
      <x:c r="P1265" s="6" t="n">
        <x:v>3</x:v>
      </x:c>
      <x:c r="Q1265" s="6" t="n">
        <x:v>2</x:v>
      </x:c>
      <x:c r="R1265" s="6" t="n">
        <x:v>0</x:v>
      </x:c>
      <x:c r="S1265" s="6" t="n">
        <x:v>3</x:v>
      </x:c>
      <x:c r="T1265" s="6" t="n">
        <x:v>8</x:v>
      </x:c>
      <x:c r="U1265" s="6" t="n">
        <x:v>0</x:v>
      </x:c>
      <x:c r="V1265" s="6" t="n">
        <x:v>0</x:v>
      </x:c>
      <x:c r="W1265" s="6" t="n">
        <x:v>0</x:v>
      </x:c>
      <x:c r="X1265" s="6" t="n">
        <x:v>0</x:v>
      </x:c>
      <x:c r="Y1265" s="6" t="n">
        <x:v>0</x:v>
      </x:c>
      <x:c r="Z1265" s="6" t="n">
        <x:v>0</x:v>
      </x:c>
      <x:c r="AA1265" s="6" t="n">
        <x:v>3</x:v>
      </x:c>
      <x:c r="AB1265" s="6" t="n">
        <x:v>11</x:v>
      </x:c>
      <x:c r="AC1265" s="6" t="n">
        <x:v>0</x:v>
      </x:c>
    </x:row>
    <x:row r="1266">
      <x:c r="A1266" s="6" t="n">
        <x:v>1857</x:v>
      </x:c>
      <x:c r="B1266" s="6" t="n">
        <x:v>1952</x:v>
      </x:c>
      <x:c r="C1266" s="6" t="str">
        <x:v>Graduation</x:v>
      </x:c>
      <x:c r="D1266" s="6" t="str">
        <x:v>Single</x:v>
      </x:c>
      <x:c r="E1266" s="6" t="n">
        <x:v>47139</x:v>
      </x:c>
      <x:c r="F1266" s="6" t="n">
        <x:v>1</x:v>
      </x:c>
      <x:c r="G1266" s="6" t="n">
        <x:v>1</x:v>
      </x:c>
      <x:c r="H1266" s="9" t="str">
        <x:v>06-03-2014</x:v>
      </x:c>
      <x:c r="I1266" s="6" t="n">
        <x:v>2</x:v>
      </x:c>
      <x:c r="J1266" s="6" t="n">
        <x:v>46</x:v>
      </x:c>
      <x:c r="K1266" s="6" t="n">
        <x:v>0</x:v>
      </x:c>
      <x:c r="L1266" s="6" t="n">
        <x:v>12</x:v>
      </x:c>
      <x:c r="M1266" s="6" t="n">
        <x:v>0</x:v>
      </x:c>
      <x:c r="N1266" s="6" t="n">
        <x:v>2</x:v>
      </x:c>
      <x:c r="O1266" s="6" t="n">
        <x:v>23</x:v>
      </x:c>
      <x:c r="P1266" s="6" t="n">
        <x:v>2</x:v>
      </x:c>
      <x:c r="Q1266" s="6" t="n">
        <x:v>2</x:v>
      </x:c>
      <x:c r="R1266" s="6" t="n">
        <x:v>1</x:v>
      </x:c>
      <x:c r="S1266" s="6" t="n">
        <x:v>2</x:v>
      </x:c>
      <x:c r="T1266" s="6" t="n">
        <x:v>7</x:v>
      </x:c>
      <x:c r="U1266" s="6" t="n">
        <x:v>0</x:v>
      </x:c>
      <x:c r="V1266" s="6" t="n">
        <x:v>0</x:v>
      </x:c>
      <x:c r="W1266" s="6" t="n">
        <x:v>0</x:v>
      </x:c>
      <x:c r="X1266" s="6" t="n">
        <x:v>0</x:v>
      </x:c>
      <x:c r="Y1266" s="6" t="n">
        <x:v>0</x:v>
      </x:c>
      <x:c r="Z1266" s="6" t="n">
        <x:v>0</x:v>
      </x:c>
      <x:c r="AA1266" s="6" t="n">
        <x:v>3</x:v>
      </x:c>
      <x:c r="AB1266" s="6" t="n">
        <x:v>11</x:v>
      </x:c>
      <x:c r="AC1266" s="6" t="n">
        <x:v>1</x:v>
      </x:c>
    </x:row>
    <x:row r="1267">
      <x:c r="A1267" s="6" t="n">
        <x:v>3910</x:v>
      </x:c>
      <x:c r="B1267" s="6" t="n">
        <x:v>1975</x:v>
      </x:c>
      <x:c r="C1267" s="6" t="str">
        <x:v>Graduation</x:v>
      </x:c>
      <x:c r="D1267" s="6" t="str">
        <x:v>Divorced</x:v>
      </x:c>
      <x:c r="E1267" s="6" t="n">
        <x:v>83829</x:v>
      </x:c>
      <x:c r="F1267" s="6" t="n">
        <x:v>0</x:v>
      </x:c>
      <x:c r="G1267" s="6" t="n">
        <x:v>0</x:v>
      </x:c>
      <x:c r="H1267" s="9" t="str">
        <x:v>08-10-2013</x:v>
      </x:c>
      <x:c r="I1267" s="6" t="n">
        <x:v>78</x:v>
      </x:c>
      <x:c r="J1267" s="6" t="n">
        <x:v>897</x:v>
      </x:c>
      <x:c r="K1267" s="6" t="n">
        <x:v>161</x:v>
      </x:c>
      <x:c r="L1267" s="6" t="n">
        <x:v>430</x:v>
      </x:c>
      <x:c r="M1267" s="6" t="n">
        <x:v>186</x:v>
      </x:c>
      <x:c r="N1267" s="6" t="n">
        <x:v>161</x:v>
      </x:c>
      <x:c r="O1267" s="6" t="n">
        <x:v>27</x:v>
      </x:c>
      <x:c r="P1267" s="6" t="n">
        <x:v>0</x:v>
      </x:c>
      <x:c r="Q1267" s="6" t="n">
        <x:v>4</x:v>
      </x:c>
      <x:c r="R1267" s="6" t="n">
        <x:v>7</x:v>
      </x:c>
      <x:c r="S1267" s="6" t="n">
        <x:v>6</x:v>
      </x:c>
      <x:c r="T1267" s="6" t="n">
        <x:v>1</x:v>
      </x:c>
      <x:c r="U1267" s="6" t="n">
        <x:v>1</x:v>
      </x:c>
      <x:c r="V1267" s="6" t="n">
        <x:v>0</x:v>
      </x:c>
      <x:c r="W1267" s="6" t="n">
        <x:v>1</x:v>
      </x:c>
      <x:c r="X1267" s="6" t="n">
        <x:v>1</x:v>
      </x:c>
      <x:c r="Y1267" s="6" t="n">
        <x:v>0</x:v>
      </x:c>
      <x:c r="Z1267" s="6" t="n">
        <x:v>0</x:v>
      </x:c>
      <x:c r="AA1267" s="6" t="n">
        <x:v>3</x:v>
      </x:c>
      <x:c r="AB1267" s="6" t="n">
        <x:v>11</x:v>
      </x:c>
      <x:c r="AC1267" s="6" t="n">
        <x:v>1</x:v>
      </x:c>
    </x:row>
    <x:row r="1268">
      <x:c r="A1268" s="6" t="n">
        <x:v>5207</x:v>
      </x:c>
      <x:c r="B1268" s="6" t="n">
        <x:v>1963</x:v>
      </x:c>
      <x:c r="C1268" s="6" t="str">
        <x:v>PhD</x:v>
      </x:c>
      <x:c r="D1268" s="6" t="str">
        <x:v>Married</x:v>
      </x:c>
      <x:c r="E1268" s="6" t="n">
        <x:v>53378</x:v>
      </x:c>
      <x:c r="F1268" s="6" t="n">
        <x:v>1</x:v>
      </x:c>
      <x:c r="G1268" s="6" t="n">
        <x:v>1</x:v>
      </x:c>
      <x:c r="H1268" s="9" t="str">
        <x:v>24-09-2012</x:v>
      </x:c>
      <x:c r="I1268" s="6" t="n">
        <x:v>41</x:v>
      </x:c>
      <x:c r="J1268" s="6" t="n">
        <x:v>489</x:v>
      </x:c>
      <x:c r="K1268" s="6" t="n">
        <x:v>6</x:v>
      </x:c>
      <x:c r="L1268" s="6" t="n">
        <x:v>152</x:v>
      </x:c>
      <x:c r="M1268" s="6" t="n">
        <x:v>8</x:v>
      </x:c>
      <x:c r="N1268" s="6" t="n">
        <x:v>6</x:v>
      </x:c>
      <x:c r="O1268" s="6" t="n">
        <x:v>132</x:v>
      </x:c>
      <x:c r="P1268" s="6" t="n">
        <x:v>10</x:v>
      </x:c>
      <x:c r="Q1268" s="6" t="n">
        <x:v>9</x:v>
      </x:c>
      <x:c r="R1268" s="6" t="n">
        <x:v>4</x:v>
      </x:c>
      <x:c r="S1268" s="6" t="n">
        <x:v>6</x:v>
      </x:c>
      <x:c r="T1268" s="6" t="n">
        <x:v>8</x:v>
      </x:c>
      <x:c r="U1268" s="6" t="n">
        <x:v>0</x:v>
      </x:c>
      <x:c r="V1268" s="6" t="n">
        <x:v>0</x:v>
      </x:c>
      <x:c r="W1268" s="6" t="n">
        <x:v>0</x:v>
      </x:c>
      <x:c r="X1268" s="6" t="n">
        <x:v>0</x:v>
      </x:c>
      <x:c r="Y1268" s="6" t="n">
        <x:v>0</x:v>
      </x:c>
      <x:c r="Z1268" s="6" t="n">
        <x:v>0</x:v>
      </x:c>
      <x:c r="AA1268" s="6" t="n">
        <x:v>3</x:v>
      </x:c>
      <x:c r="AB1268" s="6" t="n">
        <x:v>11</x:v>
      </x:c>
      <x:c r="AC1268" s="6" t="n">
        <x:v>1</x:v>
      </x:c>
    </x:row>
    <x:row r="1269">
      <x:c r="A1269" s="6" t="n">
        <x:v>11114</x:v>
      </x:c>
      <x:c r="B1269" s="6" t="n">
        <x:v>1970</x:v>
      </x:c>
      <x:c r="C1269" s="6" t="str">
        <x:v>Graduation</x:v>
      </x:c>
      <x:c r="D1269" s="6" t="str">
        <x:v>Together</x:v>
      </x:c>
      <x:c r="E1269" s="6" t="n">
        <x:v>19656</x:v>
      </x:c>
      <x:c r="F1269" s="6" t="n">
        <x:v>1</x:v>
      </x:c>
      <x:c r="G1269" s="6" t="n">
        <x:v>0</x:v>
      </x:c>
      <x:c r="H1269" s="9" t="str">
        <x:v>08-02-2013</x:v>
      </x:c>
      <x:c r="I1269" s="6" t="n">
        <x:v>94</x:v>
      </x:c>
      <x:c r="J1269" s="6" t="n">
        <x:v>25</x:v>
      </x:c>
      <x:c r="K1269" s="6" t="n">
        <x:v>4</x:v>
      </x:c>
      <x:c r="L1269" s="6" t="n">
        <x:v>9</x:v>
      </x:c>
      <x:c r="M1269" s="6" t="n">
        <x:v>6</x:v>
      </x:c>
      <x:c r="N1269" s="6" t="n">
        <x:v>8</x:v>
      </x:c>
      <x:c r="O1269" s="6" t="n">
        <x:v>32</x:v>
      </x:c>
      <x:c r="P1269" s="6" t="n">
        <x:v>3</x:v>
      </x:c>
      <x:c r="Q1269" s="6" t="n">
        <x:v>2</x:v>
      </x:c>
      <x:c r="R1269" s="6" t="n">
        <x:v>1</x:v>
      </x:c>
      <x:c r="S1269" s="6" t="n">
        <x:v>3</x:v>
      </x:c>
      <x:c r="T1269" s="6" t="n">
        <x:v>7</x:v>
      </x:c>
      <x:c r="U1269" s="6" t="n">
        <x:v>0</x:v>
      </x:c>
      <x:c r="V1269" s="6" t="n">
        <x:v>0</x:v>
      </x:c>
      <x:c r="W1269" s="6" t="n">
        <x:v>0</x:v>
      </x:c>
      <x:c r="X1269" s="6" t="n">
        <x:v>0</x:v>
      </x:c>
      <x:c r="Y1269" s="6" t="n">
        <x:v>0</x:v>
      </x:c>
      <x:c r="Z1269" s="6" t="n">
        <x:v>0</x:v>
      </x:c>
      <x:c r="AA1269" s="6" t="n">
        <x:v>3</x:v>
      </x:c>
      <x:c r="AB1269" s="6" t="n">
        <x:v>11</x:v>
      </x:c>
      <x:c r="AC1269" s="6" t="n">
        <x:v>0</x:v>
      </x:c>
    </x:row>
    <x:row r="1270">
      <x:c r="A1270" s="6" t="n">
        <x:v>5429</x:v>
      </x:c>
      <x:c r="B1270" s="6" t="n">
        <x:v>1948</x:v>
      </x:c>
      <x:c r="C1270" s="6" t="str">
        <x:v>PhD</x:v>
      </x:c>
      <x:c r="D1270" s="6" t="str">
        <x:v>Married</x:v>
      </x:c>
      <x:c r="E1270" s="6" t="n">
        <x:v>45579</x:v>
      </x:c>
      <x:c r="F1270" s="6" t="n">
        <x:v>0</x:v>
      </x:c>
      <x:c r="G1270" s="6" t="n">
        <x:v>1</x:v>
      </x:c>
      <x:c r="H1270" s="9" t="str">
        <x:v>20-08-2013</x:v>
      </x:c>
      <x:c r="I1270" s="6" t="n">
        <x:v>10</x:v>
      </x:c>
      <x:c r="J1270" s="6" t="n">
        <x:v>145</x:v>
      </x:c>
      <x:c r="K1270" s="6" t="n">
        <x:v>1</x:v>
      </x:c>
      <x:c r="L1270" s="6" t="n">
        <x:v>33</x:v>
      </x:c>
      <x:c r="M1270" s="6" t="n">
        <x:v>2</x:v>
      </x:c>
      <x:c r="N1270" s="6" t="n">
        <x:v>1</x:v>
      </x:c>
      <x:c r="O1270" s="6" t="n">
        <x:v>1</x:v>
      </x:c>
      <x:c r="P1270" s="6" t="n">
        <x:v>1</x:v>
      </x:c>
      <x:c r="Q1270" s="6" t="n">
        <x:v>4</x:v>
      </x:c>
      <x:c r="R1270" s="6" t="n">
        <x:v>1</x:v>
      </x:c>
      <x:c r="S1270" s="6" t="n">
        <x:v>4</x:v>
      </x:c>
      <x:c r="T1270" s="6" t="n">
        <x:v>6</x:v>
      </x:c>
      <x:c r="U1270" s="6" t="n">
        <x:v>0</x:v>
      </x:c>
      <x:c r="V1270" s="6" t="n">
        <x:v>0</x:v>
      </x:c>
      <x:c r="W1270" s="6" t="n">
        <x:v>0</x:v>
      </x:c>
      <x:c r="X1270" s="6" t="n">
        <x:v>0</x:v>
      </x:c>
      <x:c r="Y1270" s="6" t="n">
        <x:v>0</x:v>
      </x:c>
      <x:c r="Z1270" s="6" t="n">
        <x:v>0</x:v>
      </x:c>
      <x:c r="AA1270" s="6" t="n">
        <x:v>3</x:v>
      </x:c>
      <x:c r="AB1270" s="6" t="n">
        <x:v>11</x:v>
      </x:c>
      <x:c r="AC1270" s="6" t="n">
        <x:v>0</x:v>
      </x:c>
    </x:row>
    <x:row r="1271">
      <x:c r="A1271" s="6" t="n">
        <x:v>9400</x:v>
      </x:c>
      <x:c r="B1271" s="6" t="n">
        <x:v>1958</x:v>
      </x:c>
      <x:c r="C1271" s="6" t="str">
        <x:v>2n Cycle</x:v>
      </x:c>
      <x:c r="D1271" s="6" t="str">
        <x:v>Single</x:v>
      </x:c>
      <x:c r="E1271" s="6" t="n">
        <x:v>85485</x:v>
      </x:c>
      <x:c r="F1271" s="6" t="n">
        <x:v>0</x:v>
      </x:c>
      <x:c r="G1271" s="6" t="n">
        <x:v>0</x:v>
      </x:c>
      <x:c r="H1271" s="9" t="str">
        <x:v>21-06-2014</x:v>
      </x:c>
      <x:c r="I1271" s="6" t="n">
        <x:v>73</x:v>
      </x:c>
      <x:c r="J1271" s="6" t="n">
        <x:v>630</x:v>
      </x:c>
      <x:c r="K1271" s="6" t="n">
        <x:v>26</x:v>
      </x:c>
      <x:c r="L1271" s="6" t="n">
        <x:v>611</x:v>
      </x:c>
      <x:c r="M1271" s="6" t="n">
        <x:v>44</x:v>
      </x:c>
      <x:c r="N1271" s="6" t="n">
        <x:v>18</x:v>
      </x:c>
      <x:c r="O1271" s="6" t="n">
        <x:v>54</x:v>
      </x:c>
      <x:c r="P1271" s="6" t="n">
        <x:v>1</x:v>
      </x:c>
      <x:c r="Q1271" s="6" t="n">
        <x:v>6</x:v>
      </x:c>
      <x:c r="R1271" s="6" t="n">
        <x:v>6</x:v>
      </x:c>
      <x:c r="S1271" s="6" t="n">
        <x:v>6</x:v>
      </x:c>
      <x:c r="T1271" s="6" t="n">
        <x:v>2</x:v>
      </x:c>
      <x:c r="U1271" s="6" t="n">
        <x:v>0</x:v>
      </x:c>
      <x:c r="V1271" s="6" t="n">
        <x:v>0</x:v>
      </x:c>
      <x:c r="W1271" s="6" t="n">
        <x:v>0</x:v>
      </x:c>
      <x:c r="X1271" s="6" t="n">
        <x:v>0</x:v>
      </x:c>
      <x:c r="Y1271" s="6" t="n">
        <x:v>0</x:v>
      </x:c>
      <x:c r="Z1271" s="6" t="n">
        <x:v>0</x:v>
      </x:c>
      <x:c r="AA1271" s="6" t="n">
        <x:v>3</x:v>
      </x:c>
      <x:c r="AB1271" s="6" t="n">
        <x:v>11</x:v>
      </x:c>
      <x:c r="AC1271" s="6" t="n">
        <x:v>0</x:v>
      </x:c>
    </x:row>
    <x:row r="1272">
      <x:c r="A1272" s="6" t="n">
        <x:v>1740</x:v>
      </x:c>
      <x:c r="B1272" s="6" t="n">
        <x:v>1944</x:v>
      </x:c>
      <x:c r="C1272" s="6" t="str">
        <x:v>Graduation</x:v>
      </x:c>
      <x:c r="D1272" s="6" t="str">
        <x:v>Married</x:v>
      </x:c>
      <x:c r="E1272" s="6" t="n">
        <x:v>55956</x:v>
      </x:c>
      <x:c r="F1272" s="6" t="n">
        <x:v>0</x:v>
      </x:c>
      <x:c r="G1272" s="6" t="n">
        <x:v>0</x:v>
      </x:c>
      <x:c r="H1272" s="9" t="str">
        <x:v>07-04-2014</x:v>
      </x:c>
      <x:c r="I1272" s="6" t="n">
        <x:v>22</x:v>
      </x:c>
      <x:c r="J1272" s="6" t="n">
        <x:v>760</x:v>
      </x:c>
      <x:c r="K1272" s="6" t="n">
        <x:v>38</x:v>
      </x:c>
      <x:c r="L1272" s="6" t="n">
        <x:v>104</x:v>
      </x:c>
      <x:c r="M1272" s="6" t="n">
        <x:v>50</x:v>
      </x:c>
      <x:c r="N1272" s="6" t="n">
        <x:v>9</x:v>
      </x:c>
      <x:c r="O1272" s="6" t="n">
        <x:v>38</x:v>
      </x:c>
      <x:c r="P1272" s="6" t="n">
        <x:v>2</x:v>
      </x:c>
      <x:c r="Q1272" s="6" t="n">
        <x:v>7</x:v>
      </x:c>
      <x:c r="R1272" s="6" t="n">
        <x:v>3</x:v>
      </x:c>
      <x:c r="S1272" s="6" t="n">
        <x:v>4</x:v>
      </x:c>
      <x:c r="T1272" s="6" t="n">
        <x:v>4</x:v>
      </x:c>
      <x:c r="U1272" s="6" t="n">
        <x:v>0</x:v>
      </x:c>
      <x:c r="V1272" s="6" t="n">
        <x:v>1</x:v>
      </x:c>
      <x:c r="W1272" s="6" t="n">
        <x:v>0</x:v>
      </x:c>
      <x:c r="X1272" s="6" t="n">
        <x:v>0</x:v>
      </x:c>
      <x:c r="Y1272" s="6" t="n">
        <x:v>0</x:v>
      </x:c>
      <x:c r="Z1272" s="6" t="n">
        <x:v>0</x:v>
      </x:c>
      <x:c r="AA1272" s="6" t="n">
        <x:v>3</x:v>
      </x:c>
      <x:c r="AB1272" s="6" t="n">
        <x:v>11</x:v>
      </x:c>
      <x:c r="AC1272" s="6" t="n">
        <x:v>0</x:v>
      </x:c>
    </x:row>
    <x:row r="1273">
      <x:c r="A1273" s="6" t="n">
        <x:v>7488</x:v>
      </x:c>
      <x:c r="B1273" s="6" t="n">
        <x:v>1963</x:v>
      </x:c>
      <x:c r="C1273" s="6" t="str">
        <x:v>Master</x:v>
      </x:c>
      <x:c r="D1273" s="6" t="str">
        <x:v>Single</x:v>
      </x:c>
      <x:c r="E1273" s="6" t="n">
        <x:v>64191</x:v>
      </x:c>
      <x:c r="F1273" s="6" t="n">
        <x:v>0</x:v>
      </x:c>
      <x:c r="G1273" s="6" t="n">
        <x:v>1</x:v>
      </x:c>
      <x:c r="H1273" s="9" t="str">
        <x:v>22-01-2013</x:v>
      </x:c>
      <x:c r="I1273" s="6" t="n">
        <x:v>30</x:v>
      </x:c>
      <x:c r="J1273" s="6" t="n">
        <x:v>420</x:v>
      </x:c>
      <x:c r="K1273" s="6" t="n">
        <x:v>15</x:v>
      </x:c>
      <x:c r="L1273" s="6" t="n">
        <x:v>186</x:v>
      </x:c>
      <x:c r="M1273" s="6" t="n">
        <x:v>151</x:v>
      </x:c>
      <x:c r="N1273" s="6" t="n">
        <x:v>38</x:v>
      </x:c>
      <x:c r="O1273" s="6" t="n">
        <x:v>15</x:v>
      </x:c>
      <x:c r="P1273" s="6" t="n">
        <x:v>3</x:v>
      </x:c>
      <x:c r="Q1273" s="6" t="n">
        <x:v>5</x:v>
      </x:c>
      <x:c r="R1273" s="6" t="n">
        <x:v>3</x:v>
      </x:c>
      <x:c r="S1273" s="6" t="n">
        <x:v>13</x:v>
      </x:c>
      <x:c r="T1273" s="6" t="n">
        <x:v>3</x:v>
      </x:c>
      <x:c r="U1273" s="6" t="n">
        <x:v>0</x:v>
      </x:c>
      <x:c r="V1273" s="6" t="n">
        <x:v>0</x:v>
      </x:c>
      <x:c r="W1273" s="6" t="n">
        <x:v>0</x:v>
      </x:c>
      <x:c r="X1273" s="6" t="n">
        <x:v>0</x:v>
      </x:c>
      <x:c r="Y1273" s="6" t="n">
        <x:v>0</x:v>
      </x:c>
      <x:c r="Z1273" s="6" t="n">
        <x:v>0</x:v>
      </x:c>
      <x:c r="AA1273" s="6" t="n">
        <x:v>3</x:v>
      </x:c>
      <x:c r="AB1273" s="6" t="n">
        <x:v>11</x:v>
      </x:c>
      <x:c r="AC1273" s="6" t="n">
        <x:v>0</x:v>
      </x:c>
    </x:row>
    <x:row r="1274">
      <x:c r="A1274" s="6" t="n">
        <x:v>195</x:v>
      </x:c>
      <x:c r="B1274" s="6" t="n">
        <x:v>1972</x:v>
      </x:c>
      <x:c r="C1274" s="6" t="str">
        <x:v>Graduation</x:v>
      </x:c>
      <x:c r="D1274" s="6" t="str">
        <x:v>Single</x:v>
      </x:c>
      <x:c r="E1274" s="6" t="n">
        <x:v>38808</x:v>
      </x:c>
      <x:c r="F1274" s="6" t="n">
        <x:v>1</x:v>
      </x:c>
      <x:c r="G1274" s="6" t="n">
        <x:v>0</x:v>
      </x:c>
      <x:c r="H1274" s="9" t="str">
        <x:v>26-08-2012</x:v>
      </x:c>
      <x:c r="I1274" s="6" t="n">
        <x:v>21</x:v>
      </x:c>
      <x:c r="J1274" s="6" t="n">
        <x:v>125</x:v>
      </x:c>
      <x:c r="K1274" s="6" t="n">
        <x:v>17</x:v>
      </x:c>
      <x:c r="L1274" s="6" t="n">
        <x:v>52</x:v>
      </x:c>
      <x:c r="M1274" s="6" t="n">
        <x:v>3</x:v>
      </x:c>
      <x:c r="N1274" s="6" t="n">
        <x:v>19</x:v>
      </x:c>
      <x:c r="O1274" s="6" t="n">
        <x:v>30</x:v>
      </x:c>
      <x:c r="P1274" s="6" t="n">
        <x:v>4</x:v>
      </x:c>
      <x:c r="Q1274" s="6" t="n">
        <x:v>5</x:v>
      </x:c>
      <x:c r="R1274" s="6" t="n">
        <x:v>1</x:v>
      </x:c>
      <x:c r="S1274" s="6" t="n">
        <x:v>4</x:v>
      </x:c>
      <x:c r="T1274" s="6" t="n">
        <x:v>8</x:v>
      </x:c>
      <x:c r="U1274" s="6" t="n">
        <x:v>1</x:v>
      </x:c>
      <x:c r="V1274" s="6" t="n">
        <x:v>0</x:v>
      </x:c>
      <x:c r="W1274" s="6" t="n">
        <x:v>0</x:v>
      </x:c>
      <x:c r="X1274" s="6" t="n">
        <x:v>0</x:v>
      </x:c>
      <x:c r="Y1274" s="6" t="n">
        <x:v>0</x:v>
      </x:c>
      <x:c r="Z1274" s="6" t="n">
        <x:v>0</x:v>
      </x:c>
      <x:c r="AA1274" s="6" t="n">
        <x:v>3</x:v>
      </x:c>
      <x:c r="AB1274" s="6" t="n">
        <x:v>11</x:v>
      </x:c>
      <x:c r="AC1274" s="6" t="n">
        <x:v>1</x:v>
      </x:c>
    </x:row>
    <x:row r="1275">
      <x:c r="A1275" s="6" t="n">
        <x:v>635</x:v>
      </x:c>
      <x:c r="B1275" s="6" t="n">
        <x:v>1966</x:v>
      </x:c>
      <x:c r="C1275" s="6" t="str">
        <x:v>Master</x:v>
      </x:c>
      <x:c r="D1275" s="6" t="str">
        <x:v>Married</x:v>
      </x:c>
      <x:c r="E1275" s="6" t="n">
        <x:v>57183</x:v>
      </x:c>
      <x:c r="F1275" s="6" t="n">
        <x:v>1</x:v>
      </x:c>
      <x:c r="G1275" s="6" t="n">
        <x:v>1</x:v>
      </x:c>
      <x:c r="H1275" s="9" t="str">
        <x:v>19-03-2013</x:v>
      </x:c>
      <x:c r="I1275" s="6" t="n">
        <x:v>51</x:v>
      </x:c>
      <x:c r="J1275" s="6" t="n">
        <x:v>464</x:v>
      </x:c>
      <x:c r="K1275" s="6" t="n">
        <x:v>5</x:v>
      </x:c>
      <x:c r="L1275" s="6" t="n">
        <x:v>64</x:v>
      </x:c>
      <x:c r="M1275" s="6" t="n">
        <x:v>7</x:v>
      </x:c>
      <x:c r="N1275" s="6" t="n">
        <x:v>0</x:v>
      </x:c>
      <x:c r="O1275" s="6" t="n">
        <x:v>70</x:v>
      </x:c>
      <x:c r="P1275" s="6" t="n">
        <x:v>8</x:v>
      </x:c>
      <x:c r="Q1275" s="6" t="n">
        <x:v>9</x:v>
      </x:c>
      <x:c r="R1275" s="6" t="n">
        <x:v>1</x:v>
      </x:c>
      <x:c r="S1275" s="6" t="n">
        <x:v>7</x:v>
      </x:c>
      <x:c r="T1275" s="6" t="n">
        <x:v>8</x:v>
      </x:c>
      <x:c r="U1275" s="6" t="n">
        <x:v>0</x:v>
      </x:c>
      <x:c r="V1275" s="6" t="n">
        <x:v>0</x:v>
      </x:c>
      <x:c r="W1275" s="6" t="n">
        <x:v>0</x:v>
      </x:c>
      <x:c r="X1275" s="6" t="n">
        <x:v>0</x:v>
      </x:c>
      <x:c r="Y1275" s="6" t="n">
        <x:v>0</x:v>
      </x:c>
      <x:c r="Z1275" s="6" t="n">
        <x:v>0</x:v>
      </x:c>
      <x:c r="AA1275" s="6" t="n">
        <x:v>3</x:v>
      </x:c>
      <x:c r="AB1275" s="6" t="n">
        <x:v>11</x:v>
      </x:c>
      <x:c r="AC1275" s="6" t="n">
        <x:v>0</x:v>
      </x:c>
    </x:row>
    <x:row r="1276">
      <x:c r="A1276" s="6" t="n">
        <x:v>7527</x:v>
      </x:c>
      <x:c r="B1276" s="6" t="n">
        <x:v>1968</x:v>
      </x:c>
      <x:c r="C1276" s="6" t="str">
        <x:v>Master</x:v>
      </x:c>
      <x:c r="D1276" s="6" t="str">
        <x:v>Divorced</x:v>
      </x:c>
      <x:c r="E1276" s="6" t="n">
        <x:v>23748</x:v>
      </x:c>
      <x:c r="F1276" s="6" t="n">
        <x:v>1</x:v>
      </x:c>
      <x:c r="G1276" s="6" t="n">
        <x:v>0</x:v>
      </x:c>
      <x:c r="H1276" s="9" t="str">
        <x:v>21-11-2012</x:v>
      </x:c>
      <x:c r="I1276" s="6" t="n">
        <x:v>97</x:v>
      </x:c>
      <x:c r="J1276" s="6" t="n">
        <x:v>6</x:v>
      </x:c>
      <x:c r="K1276" s="6" t="n">
        <x:v>6</x:v>
      </x:c>
      <x:c r="L1276" s="6" t="n">
        <x:v>29</x:v>
      </x:c>
      <x:c r="M1276" s="6" t="n">
        <x:v>12</x:v>
      </x:c>
      <x:c r="N1276" s="6" t="n">
        <x:v>15</x:v>
      </x:c>
      <x:c r="O1276" s="6" t="n">
        <x:v>8</x:v>
      </x:c>
      <x:c r="P1276" s="6" t="n">
        <x:v>3</x:v>
      </x:c>
      <x:c r="Q1276" s="6" t="n">
        <x:v>2</x:v>
      </x:c>
      <x:c r="R1276" s="6" t="n">
        <x:v>1</x:v>
      </x:c>
      <x:c r="S1276" s="6" t="n">
        <x:v>3</x:v>
      </x:c>
      <x:c r="T1276" s="6" t="n">
        <x:v>8</x:v>
      </x:c>
      <x:c r="U1276" s="6" t="n">
        <x:v>0</x:v>
      </x:c>
      <x:c r="V1276" s="6" t="n">
        <x:v>0</x:v>
      </x:c>
      <x:c r="W1276" s="6" t="n">
        <x:v>0</x:v>
      </x:c>
      <x:c r="X1276" s="6" t="n">
        <x:v>0</x:v>
      </x:c>
      <x:c r="Y1276" s="6" t="n">
        <x:v>0</x:v>
      </x:c>
      <x:c r="Z1276" s="6" t="n">
        <x:v>0</x:v>
      </x:c>
      <x:c r="AA1276" s="6" t="n">
        <x:v>3</x:v>
      </x:c>
      <x:c r="AB1276" s="6" t="n">
        <x:v>11</x:v>
      </x:c>
      <x:c r="AC1276" s="6" t="n">
        <x:v>0</x:v>
      </x:c>
    </x:row>
    <x:row r="1277">
      <x:c r="A1277" s="6" t="n">
        <x:v>10319</x:v>
      </x:c>
      <x:c r="B1277" s="6" t="n">
        <x:v>1971</x:v>
      </x:c>
      <x:c r="C1277" s="6" t="str">
        <x:v>Graduation</x:v>
      </x:c>
      <x:c r="D1277" s="6" t="str">
        <x:v>Married</x:v>
      </x:c>
      <x:c r="E1277" s="6" t="n">
        <x:v>66303</x:v>
      </x:c>
      <x:c r="F1277" s="6" t="n">
        <x:v>0</x:v>
      </x:c>
      <x:c r="G1277" s="6" t="n">
        <x:v>1</x:v>
      </x:c>
      <x:c r="H1277" s="9" t="str">
        <x:v>26-02-2013</x:v>
      </x:c>
      <x:c r="I1277" s="6" t="n">
        <x:v>56</x:v>
      </x:c>
      <x:c r="J1277" s="6" t="n">
        <x:v>1090</x:v>
      </x:c>
      <x:c r="K1277" s="6" t="n">
        <x:v>12</x:v>
      </x:c>
      <x:c r="L1277" s="6" t="n">
        <x:v>96</x:v>
      </x:c>
      <x:c r="M1277" s="6" t="n">
        <x:v>16</x:v>
      </x:c>
      <x:c r="N1277" s="6" t="n">
        <x:v>12</x:v>
      </x:c>
      <x:c r="O1277" s="6" t="n">
        <x:v>60</x:v>
      </x:c>
      <x:c r="P1277" s="6" t="n">
        <x:v>4</x:v>
      </x:c>
      <x:c r="Q1277" s="6" t="n">
        <x:v>3</x:v>
      </x:c>
      <x:c r="R1277" s="6" t="n">
        <x:v>4</x:v>
      </x:c>
      <x:c r="S1277" s="6" t="n">
        <x:v>11</x:v>
      </x:c>
      <x:c r="T1277" s="6" t="n">
        <x:v>8</x:v>
      </x:c>
      <x:c r="U1277" s="6" t="n">
        <x:v>0</x:v>
      </x:c>
      <x:c r="V1277" s="6" t="n">
        <x:v>1</x:v>
      </x:c>
      <x:c r="W1277" s="6" t="n">
        <x:v>0</x:v>
      </x:c>
      <x:c r="X1277" s="6" t="n">
        <x:v>0</x:v>
      </x:c>
      <x:c r="Y1277" s="6" t="n">
        <x:v>0</x:v>
      </x:c>
      <x:c r="Z1277" s="6" t="n">
        <x:v>0</x:v>
      </x:c>
      <x:c r="AA1277" s="6" t="n">
        <x:v>3</x:v>
      </x:c>
      <x:c r="AB1277" s="6" t="n">
        <x:v>11</x:v>
      </x:c>
      <x:c r="AC1277" s="6" t="n">
        <x:v>0</x:v>
      </x:c>
    </x:row>
    <x:row r="1278">
      <x:c r="A1278" s="6" t="n">
        <x:v>2296</x:v>
      </x:c>
      <x:c r="B1278" s="6" t="n">
        <x:v>1975</x:v>
      </x:c>
      <x:c r="C1278" s="6" t="str">
        <x:v>Master</x:v>
      </x:c>
      <x:c r="D1278" s="6" t="str">
        <x:v>Married</x:v>
      </x:c>
      <x:c r="E1278" s="6" t="n">
        <x:v>37368</x:v>
      </x:c>
      <x:c r="F1278" s="6" t="n">
        <x:v>1</x:v>
      </x:c>
      <x:c r="G1278" s="6" t="n">
        <x:v>0</x:v>
      </x:c>
      <x:c r="H1278" s="9" t="str">
        <x:v>16-12-2013</x:v>
      </x:c>
      <x:c r="I1278" s="6" t="n">
        <x:v>4</x:v>
      </x:c>
      <x:c r="J1278" s="6" t="n">
        <x:v>3</x:v>
      </x:c>
      <x:c r="K1278" s="6" t="n">
        <x:v>2</x:v>
      </x:c>
      <x:c r="L1278" s="6" t="n">
        <x:v>11</x:v>
      </x:c>
      <x:c r="M1278" s="6" t="n">
        <x:v>2</x:v>
      </x:c>
      <x:c r="N1278" s="6" t="n">
        <x:v>2</x:v>
      </x:c>
      <x:c r="O1278" s="6" t="n">
        <x:v>10</x:v>
      </x:c>
      <x:c r="P1278" s="6" t="n">
        <x:v>1</x:v>
      </x:c>
      <x:c r="Q1278" s="6" t="n">
        <x:v>1</x:v>
      </x:c>
      <x:c r="R1278" s="6" t="n">
        <x:v>0</x:v>
      </x:c>
      <x:c r="S1278" s="6" t="n">
        <x:v>2</x:v>
      </x:c>
      <x:c r="T1278" s="6" t="n">
        <x:v>6</x:v>
      </x:c>
      <x:c r="U1278" s="6" t="n">
        <x:v>1</x:v>
      </x:c>
      <x:c r="V1278" s="6" t="n">
        <x:v>0</x:v>
      </x:c>
      <x:c r="W1278" s="6" t="n">
        <x:v>0</x:v>
      </x:c>
      <x:c r="X1278" s="6" t="n">
        <x:v>0</x:v>
      </x:c>
      <x:c r="Y1278" s="6" t="n">
        <x:v>0</x:v>
      </x:c>
      <x:c r="Z1278" s="6" t="n">
        <x:v>0</x:v>
      </x:c>
      <x:c r="AA1278" s="6" t="n">
        <x:v>3</x:v>
      </x:c>
      <x:c r="AB1278" s="6" t="n">
        <x:v>11</x:v>
      </x:c>
      <x:c r="AC1278" s="6" t="n">
        <x:v>0</x:v>
      </x:c>
    </x:row>
    <x:row r="1279">
      <x:c r="A1279" s="6" t="n">
        <x:v>10637</x:v>
      </x:c>
      <x:c r="B1279" s="6" t="n">
        <x:v>1964</x:v>
      </x:c>
      <x:c r="C1279" s="6" t="str">
        <x:v>Graduation</x:v>
      </x:c>
      <x:c r="D1279" s="6" t="str">
        <x:v>Married</x:v>
      </x:c>
      <x:c r="E1279" s="6" t="n">
        <x:v>40800</x:v>
      </x:c>
      <x:c r="F1279" s="6" t="n">
        <x:v>1</x:v>
      </x:c>
      <x:c r="G1279" s="6" t="n">
        <x:v>2</x:v>
      </x:c>
      <x:c r="H1279" s="9" t="str">
        <x:v>01-01-2013</x:v>
      </x:c>
      <x:c r="I1279" s="6" t="n">
        <x:v>77</x:v>
      </x:c>
      <x:c r="J1279" s="6" t="n">
        <x:v>24</x:v>
      </x:c>
      <x:c r="K1279" s="6" t="n">
        <x:v>0</x:v>
      </x:c>
      <x:c r="L1279" s="6" t="n">
        <x:v>27</x:v>
      </x:c>
      <x:c r="M1279" s="6" t="n">
        <x:v>8</x:v>
      </x:c>
      <x:c r="N1279" s="6" t="n">
        <x:v>30</x:v>
      </x:c>
      <x:c r="O1279" s="6" t="n">
        <x:v>10</x:v>
      </x:c>
      <x:c r="P1279" s="6" t="n">
        <x:v>2</x:v>
      </x:c>
      <x:c r="Q1279" s="6" t="n">
        <x:v>3</x:v>
      </x:c>
      <x:c r="R1279" s="6" t="n">
        <x:v>0</x:v>
      </x:c>
      <x:c r="S1279" s="6" t="n">
        <x:v>3</x:v>
      </x:c>
      <x:c r="T1279" s="6" t="n">
        <x:v>7</x:v>
      </x:c>
      <x:c r="U1279" s="6" t="n">
        <x:v>0</x:v>
      </x:c>
      <x:c r="V1279" s="6" t="n">
        <x:v>0</x:v>
      </x:c>
      <x:c r="W1279" s="6" t="n">
        <x:v>0</x:v>
      </x:c>
      <x:c r="X1279" s="6" t="n">
        <x:v>0</x:v>
      </x:c>
      <x:c r="Y1279" s="6" t="n">
        <x:v>0</x:v>
      </x:c>
      <x:c r="Z1279" s="6" t="n">
        <x:v>1</x:v>
      </x:c>
      <x:c r="AA1279" s="6" t="n">
        <x:v>3</x:v>
      </x:c>
      <x:c r="AB1279" s="6" t="n">
        <x:v>11</x:v>
      </x:c>
      <x:c r="AC1279" s="6" t="n">
        <x:v>0</x:v>
      </x:c>
    </x:row>
    <x:row r="1280">
      <x:c r="A1280" s="6" t="n">
        <x:v>2931</x:v>
      </x:c>
      <x:c r="B1280" s="6" t="n">
        <x:v>1978</x:v>
      </x:c>
      <x:c r="C1280" s="6" t="str">
        <x:v>Graduation</x:v>
      </x:c>
      <x:c r="D1280" s="6" t="str">
        <x:v>Divorced</x:v>
      </x:c>
      <x:c r="E1280" s="6" t="n">
        <x:v>71847</x:v>
      </x:c>
      <x:c r="F1280" s="6" t="n">
        <x:v>0</x:v>
      </x:c>
      <x:c r="G1280" s="6" t="n">
        <x:v>0</x:v>
      </x:c>
      <x:c r="H1280" s="9" t="str">
        <x:v>21-09-2012</x:v>
      </x:c>
      <x:c r="I1280" s="6" t="n">
        <x:v>95</x:v>
      </x:c>
      <x:c r="J1280" s="6" t="n">
        <x:v>737</x:v>
      </x:c>
      <x:c r="K1280" s="6" t="n">
        <x:v>21</x:v>
      </x:c>
      <x:c r="L1280" s="6" t="n">
        <x:v>106</x:v>
      </x:c>
      <x:c r="M1280" s="6" t="n">
        <x:v>55</x:v>
      </x:c>
      <x:c r="N1280" s="6" t="n">
        <x:v>63</x:v>
      </x:c>
      <x:c r="O1280" s="6" t="n">
        <x:v>210</x:v>
      </x:c>
      <x:c r="P1280" s="6" t="n">
        <x:v>0</x:v>
      </x:c>
      <x:c r="Q1280" s="6" t="n">
        <x:v>6</x:v>
      </x:c>
      <x:c r="R1280" s="6" t="n">
        <x:v>7</x:v>
      </x:c>
      <x:c r="S1280" s="6" t="n">
        <x:v>9</x:v>
      </x:c>
      <x:c r="T1280" s="6" t="n">
        <x:v>3</x:v>
      </x:c>
      <x:c r="U1280" s="6" t="n">
        <x:v>0</x:v>
      </x:c>
      <x:c r="V1280" s="6" t="n">
        <x:v>0</x:v>
      </x:c>
      <x:c r="W1280" s="6" t="n">
        <x:v>0</x:v>
      </x:c>
      <x:c r="X1280" s="6" t="n">
        <x:v>1</x:v>
      </x:c>
      <x:c r="Y1280" s="6" t="n">
        <x:v>0</x:v>
      </x:c>
      <x:c r="Z1280" s="6" t="n">
        <x:v>0</x:v>
      </x:c>
      <x:c r="AA1280" s="6" t="n">
        <x:v>3</x:v>
      </x:c>
      <x:c r="AB1280" s="6" t="n">
        <x:v>11</x:v>
      </x:c>
      <x:c r="AC1280" s="6" t="n">
        <x:v>0</x:v>
      </x:c>
    </x:row>
    <x:row r="1281">
      <x:c r="A1281" s="6" t="n">
        <x:v>907</x:v>
      </x:c>
      <x:c r="B1281" s="6" t="n">
        <x:v>1975</x:v>
      </x:c>
      <x:c r="C1281" s="6" t="str">
        <x:v>Graduation</x:v>
      </x:c>
      <x:c r="D1281" s="6" t="str">
        <x:v>Married</x:v>
      </x:c>
      <x:c r="E1281" s="6" t="n">
        <x:v>46149</x:v>
      </x:c>
      <x:c r="F1281" s="6" t="n">
        <x:v>0</x:v>
      </x:c>
      <x:c r="G1281" s="6" t="n">
        <x:v>1</x:v>
      </x:c>
      <x:c r="H1281" s="9" t="str">
        <x:v>29-11-2013</x:v>
      </x:c>
      <x:c r="I1281" s="6" t="n">
        <x:v>36</x:v>
      </x:c>
      <x:c r="J1281" s="6" t="n">
        <x:v>254</x:v>
      </x:c>
      <x:c r="K1281" s="6" t="n">
        <x:v>6</x:v>
      </x:c>
      <x:c r="L1281" s="6" t="n">
        <x:v>71</x:v>
      </x:c>
      <x:c r="M1281" s="6" t="n">
        <x:v>4</x:v>
      </x:c>
      <x:c r="N1281" s="6" t="n">
        <x:v>0</x:v>
      </x:c>
      <x:c r="O1281" s="6" t="n">
        <x:v>27</x:v>
      </x:c>
      <x:c r="P1281" s="6" t="n">
        <x:v>5</x:v>
      </x:c>
      <x:c r="Q1281" s="6" t="n">
        <x:v>5</x:v>
      </x:c>
      <x:c r="R1281" s="6" t="n">
        <x:v>1</x:v>
      </x:c>
      <x:c r="S1281" s="6" t="n">
        <x:v>7</x:v>
      </x:c>
      <x:c r="T1281" s="6" t="n">
        <x:v>5</x:v>
      </x:c>
      <x:c r="U1281" s="6" t="n">
        <x:v>0</x:v>
      </x:c>
      <x:c r="V1281" s="6" t="n">
        <x:v>0</x:v>
      </x:c>
      <x:c r="W1281" s="6" t="n">
        <x:v>0</x:v>
      </x:c>
      <x:c r="X1281" s="6" t="n">
        <x:v>0</x:v>
      </x:c>
      <x:c r="Y1281" s="6" t="n">
        <x:v>0</x:v>
      </x:c>
      <x:c r="Z1281" s="6" t="n">
        <x:v>0</x:v>
      </x:c>
      <x:c r="AA1281" s="6" t="n">
        <x:v>3</x:v>
      </x:c>
      <x:c r="AB1281" s="6" t="n">
        <x:v>11</x:v>
      </x:c>
      <x:c r="AC1281" s="6" t="n">
        <x:v>0</x:v>
      </x:c>
    </x:row>
    <x:row r="1282">
      <x:c r="A1282" s="6" t="n">
        <x:v>3698</x:v>
      </x:c>
      <x:c r="B1282" s="6" t="n">
        <x:v>1983</x:v>
      </x:c>
      <x:c r="C1282" s="6" t="str">
        <x:v>Graduation</x:v>
      </x:c>
      <x:c r="D1282" s="6" t="str">
        <x:v>Together</x:v>
      </x:c>
      <x:c r="E1282" s="6" t="n">
        <x:v>78687</x:v>
      </x:c>
      <x:c r="F1282" s="6" t="n">
        <x:v>0</x:v>
      </x:c>
      <x:c r="G1282" s="6" t="n">
        <x:v>0</x:v>
      </x:c>
      <x:c r="H1282" s="9" t="str">
        <x:v>09-08-2012</x:v>
      </x:c>
      <x:c r="I1282" s="6" t="n">
        <x:v>13</x:v>
      </x:c>
      <x:c r="J1282" s="6" t="n">
        <x:v>817</x:v>
      </x:c>
      <x:c r="K1282" s="6" t="n">
        <x:v>185</x:v>
      </x:c>
      <x:c r="L1282" s="6" t="n">
        <x:v>687</x:v>
      </x:c>
      <x:c r="M1282" s="6" t="n">
        <x:v>145</x:v>
      </x:c>
      <x:c r="N1282" s="6" t="n">
        <x:v>55</x:v>
      </x:c>
      <x:c r="O1282" s="6" t="n">
        <x:v>241</x:v>
      </x:c>
      <x:c r="P1282" s="6" t="n">
        <x:v>1</x:v>
      </x:c>
      <x:c r="Q1282" s="6" t="n">
        <x:v>4</x:v>
      </x:c>
      <x:c r="R1282" s="6" t="n">
        <x:v>6</x:v>
      </x:c>
      <x:c r="S1282" s="6" t="n">
        <x:v>8</x:v>
      </x:c>
      <x:c r="T1282" s="6" t="n">
        <x:v>2</x:v>
      </x:c>
      <x:c r="U1282" s="6" t="n">
        <x:v>0</x:v>
      </x:c>
      <x:c r="V1282" s="6" t="n">
        <x:v>0</x:v>
      </x:c>
      <x:c r="W1282" s="6" t="n">
        <x:v>1</x:v>
      </x:c>
      <x:c r="X1282" s="6" t="n">
        <x:v>0</x:v>
      </x:c>
      <x:c r="Y1282" s="6" t="n">
        <x:v>0</x:v>
      </x:c>
      <x:c r="Z1282" s="6" t="n">
        <x:v>0</x:v>
      </x:c>
      <x:c r="AA1282" s="6" t="n">
        <x:v>3</x:v>
      </x:c>
      <x:c r="AB1282" s="6" t="n">
        <x:v>11</x:v>
      </x:c>
      <x:c r="AC1282" s="6" t="n">
        <x:v>1</x:v>
      </x:c>
    </x:row>
    <x:row r="1283">
      <x:c r="A1283" s="6" t="n">
        <x:v>9516</x:v>
      </x:c>
      <x:c r="B1283" s="6" t="n">
        <x:v>1971</x:v>
      </x:c>
      <x:c r="C1283" s="6" t="str">
        <x:v>2n Cycle</x:v>
      </x:c>
      <x:c r="D1283" s="6" t="str">
        <x:v>Divorced</x:v>
      </x:c>
      <x:c r="E1283" s="6" t="n">
        <x:v>49118</x:v>
      </x:c>
      <x:c r="F1283" s="6" t="n">
        <x:v>0</x:v>
      </x:c>
      <x:c r="G1283" s="6" t="n">
        <x:v>0</x:v>
      </x:c>
      <x:c r="H1283" s="9" t="str">
        <x:v>18-08-2012</x:v>
      </x:c>
      <x:c r="I1283" s="6" t="n">
        <x:v>90</x:v>
      </x:c>
      <x:c r="J1283" s="6" t="n">
        <x:v>620</x:v>
      </x:c>
      <x:c r="K1283" s="6" t="n">
        <x:v>54</x:v>
      </x:c>
      <x:c r="L1283" s="6" t="n">
        <x:v>239</x:v>
      </x:c>
      <x:c r="M1283" s="6" t="n">
        <x:v>99</x:v>
      </x:c>
      <x:c r="N1283" s="6" t="n">
        <x:v>98</x:v>
      </x:c>
      <x:c r="O1283" s="6" t="n">
        <x:v>119</x:v>
      </x:c>
      <x:c r="P1283" s="6" t="n">
        <x:v>2</x:v>
      </x:c>
      <x:c r="Q1283" s="6" t="n">
        <x:v>9</x:v>
      </x:c>
      <x:c r="R1283" s="6" t="n">
        <x:v>7</x:v>
      </x:c>
      <x:c r="S1283" s="6" t="n">
        <x:v>10</x:v>
      </x:c>
      <x:c r="T1283" s="6" t="n">
        <x:v>7</x:v>
      </x:c>
      <x:c r="U1283" s="6" t="n">
        <x:v>0</x:v>
      </x:c>
      <x:c r="V1283" s="6" t="n">
        <x:v>1</x:v>
      </x:c>
      <x:c r="W1283" s="6" t="n">
        <x:v>0</x:v>
      </x:c>
      <x:c r="X1283" s="6" t="n">
        <x:v>0</x:v>
      </x:c>
      <x:c r="Y1283" s="6" t="n">
        <x:v>1</x:v>
      </x:c>
      <x:c r="Z1283" s="6" t="n">
        <x:v>0</x:v>
      </x:c>
      <x:c r="AA1283" s="6" t="n">
        <x:v>3</x:v>
      </x:c>
      <x:c r="AB1283" s="6" t="n">
        <x:v>11</x:v>
      </x:c>
      <x:c r="AC1283" s="6" t="n">
        <x:v>1</x:v>
      </x:c>
    </x:row>
    <x:row r="1284">
      <x:c r="A1284" s="6" t="n">
        <x:v>679</x:v>
      </x:c>
      <x:c r="B1284" s="6" t="n">
        <x:v>1957</x:v>
      </x:c>
      <x:c r="C1284" s="6" t="str">
        <x:v>PhD</x:v>
      </x:c>
      <x:c r="D1284" s="6" t="str">
        <x:v>Married</x:v>
      </x:c>
      <x:c r="E1284" s="6" t="n">
        <x:v>37633</x:v>
      </x:c>
      <x:c r="F1284" s="6" t="n">
        <x:v>1</x:v>
      </x:c>
      <x:c r="G1284" s="6" t="n">
        <x:v>1</x:v>
      </x:c>
      <x:c r="H1284" s="9" t="str">
        <x:v>20-09-2012</x:v>
      </x:c>
      <x:c r="I1284" s="6" t="n">
        <x:v>49</x:v>
      </x:c>
      <x:c r="J1284" s="6" t="n">
        <x:v>13</x:v>
      </x:c>
      <x:c r="K1284" s="6" t="n">
        <x:v>4</x:v>
      </x:c>
      <x:c r="L1284" s="6" t="n">
        <x:v>20</x:v>
      </x:c>
      <x:c r="M1284" s="6" t="n">
        <x:v>0</x:v>
      </x:c>
      <x:c r="N1284" s="6" t="n">
        <x:v>0</x:v>
      </x:c>
      <x:c r="O1284" s="6" t="n">
        <x:v>1</x:v>
      </x:c>
      <x:c r="P1284" s="6" t="n">
        <x:v>2</x:v>
      </x:c>
      <x:c r="Q1284" s="6" t="n">
        <x:v>1</x:v>
      </x:c>
      <x:c r="R1284" s="6" t="n">
        <x:v>0</x:v>
      </x:c>
      <x:c r="S1284" s="6" t="n">
        <x:v>3</x:v>
      </x:c>
      <x:c r="T1284" s="6" t="n">
        <x:v>9</x:v>
      </x:c>
      <x:c r="U1284" s="6" t="n">
        <x:v>0</x:v>
      </x:c>
      <x:c r="V1284" s="6" t="n">
        <x:v>0</x:v>
      </x:c>
      <x:c r="W1284" s="6" t="n">
        <x:v>0</x:v>
      </x:c>
      <x:c r="X1284" s="6" t="n">
        <x:v>0</x:v>
      </x:c>
      <x:c r="Y1284" s="6" t="n">
        <x:v>0</x:v>
      </x:c>
      <x:c r="Z1284" s="6" t="n">
        <x:v>0</x:v>
      </x:c>
      <x:c r="AA1284" s="6" t="n">
        <x:v>3</x:v>
      </x:c>
      <x:c r="AB1284" s="6" t="n">
        <x:v>11</x:v>
      </x:c>
      <x:c r="AC1284" s="6" t="n">
        <x:v>0</x:v>
      </x:c>
    </x:row>
    <x:row r="1285">
      <x:c r="A1285" s="6" t="n">
        <x:v>7384</x:v>
      </x:c>
      <x:c r="B1285" s="6" t="n">
        <x:v>1951</x:v>
      </x:c>
      <x:c r="C1285" s="6" t="str">
        <x:v>Master</x:v>
      </x:c>
      <x:c r="D1285" s="6" t="str">
        <x:v>Together</x:v>
      </x:c>
      <x:c r="E1285" s="6" t="n">
        <x:v>39767</x:v>
      </x:c>
      <x:c r="F1285" s="6" t="n">
        <x:v>0</x:v>
      </x:c>
      <x:c r="G1285" s="6" t="n">
        <x:v>0</x:v>
      </x:c>
      <x:c r="H1285" s="9" t="str">
        <x:v>21-07-2013</x:v>
      </x:c>
      <x:c r="I1285" s="6" t="n">
        <x:v>18</x:v>
      </x:c>
      <x:c r="J1285" s="6" t="n">
        <x:v>113</x:v>
      </x:c>
      <x:c r="K1285" s="6" t="n">
        <x:v>61</x:v>
      </x:c>
      <x:c r="L1285" s="6" t="n">
        <x:v>204</x:v>
      </x:c>
      <x:c r="M1285" s="6" t="n">
        <x:v>34</x:v>
      </x:c>
      <x:c r="N1285" s="6" t="n">
        <x:v>26</x:v>
      </x:c>
      <x:c r="O1285" s="6" t="n">
        <x:v>47</x:v>
      </x:c>
      <x:c r="P1285" s="6" t="n">
        <x:v>2</x:v>
      </x:c>
      <x:c r="Q1285" s="6" t="n">
        <x:v>7</x:v>
      </x:c>
      <x:c r="R1285" s="6" t="n">
        <x:v>1</x:v>
      </x:c>
      <x:c r="S1285" s="6" t="n">
        <x:v>7</x:v>
      </x:c>
      <x:c r="T1285" s="6" t="n">
        <x:v>8</x:v>
      </x:c>
      <x:c r="U1285" s="6" t="n">
        <x:v>0</x:v>
      </x:c>
      <x:c r="V1285" s="6" t="n">
        <x:v>0</x:v>
      </x:c>
      <x:c r="W1285" s="6" t="n">
        <x:v>0</x:v>
      </x:c>
      <x:c r="X1285" s="6" t="n">
        <x:v>0</x:v>
      </x:c>
      <x:c r="Y1285" s="6" t="n">
        <x:v>0</x:v>
      </x:c>
      <x:c r="Z1285" s="6" t="n">
        <x:v>0</x:v>
      </x:c>
      <x:c r="AA1285" s="6" t="n">
        <x:v>3</x:v>
      </x:c>
      <x:c r="AB1285" s="6" t="n">
        <x:v>11</x:v>
      </x:c>
      <x:c r="AC1285" s="6" t="n">
        <x:v>0</x:v>
      </x:c>
    </x:row>
    <x:row r="1286">
      <x:c r="A1286" s="6" t="n">
        <x:v>5043</x:v>
      </x:c>
      <x:c r="B1286" s="6" t="n">
        <x:v>1951</x:v>
      </x:c>
      <x:c r="C1286" s="6" t="str">
        <x:v>Basic</x:v>
      </x:c>
      <x:c r="D1286" s="6" t="str">
        <x:v>Married</x:v>
      </x:c>
      <x:c r="E1286" s="6" t="n">
        <x:v>26997</x:v>
      </x:c>
      <x:c r="F1286" s="6" t="n">
        <x:v>0</x:v>
      </x:c>
      <x:c r="G1286" s="6" t="n">
        <x:v>0</x:v>
      </x:c>
      <x:c r="H1286" s="9" t="str">
        <x:v>05-11-2012</x:v>
      </x:c>
      <x:c r="I1286" s="6" t="n">
        <x:v>89</x:v>
      </x:c>
      <x:c r="J1286" s="6" t="n">
        <x:v>7</x:v>
      </x:c>
      <x:c r="K1286" s="6" t="n">
        <x:v>23</x:v>
      </x:c>
      <x:c r="L1286" s="6" t="n">
        <x:v>78</x:v>
      </x:c>
      <x:c r="M1286" s="6" t="n">
        <x:v>133</x:v>
      </x:c>
      <x:c r="N1286" s="6" t="n">
        <x:v>49</x:v>
      </x:c>
      <x:c r="O1286" s="6" t="n">
        <x:v>144</x:v>
      </x:c>
      <x:c r="P1286" s="6" t="n">
        <x:v>2</x:v>
      </x:c>
      <x:c r="Q1286" s="6" t="n">
        <x:v>4</x:v>
      </x:c>
      <x:c r="R1286" s="6" t="n">
        <x:v>2</x:v>
      </x:c>
      <x:c r="S1286" s="6" t="n">
        <x:v>5</x:v>
      </x:c>
      <x:c r="T1286" s="6" t="n">
        <x:v>7</x:v>
      </x:c>
      <x:c r="U1286" s="6" t="n">
        <x:v>0</x:v>
      </x:c>
      <x:c r="V1286" s="6" t="n">
        <x:v>0</x:v>
      </x:c>
      <x:c r="W1286" s="6" t="n">
        <x:v>0</x:v>
      </x:c>
      <x:c r="X1286" s="6" t="n">
        <x:v>0</x:v>
      </x:c>
      <x:c r="Y1286" s="6" t="n">
        <x:v>0</x:v>
      </x:c>
      <x:c r="Z1286" s="6" t="n">
        <x:v>0</x:v>
      </x:c>
      <x:c r="AA1286" s="6" t="n">
        <x:v>3</x:v>
      </x:c>
      <x:c r="AB1286" s="6" t="n">
        <x:v>11</x:v>
      </x:c>
      <x:c r="AC1286" s="6" t="n">
        <x:v>0</x:v>
      </x:c>
    </x:row>
    <x:row r="1287">
      <x:c r="A1287" s="6" t="n">
        <x:v>5267</x:v>
      </x:c>
      <x:c r="B1287" s="6" t="n">
        <x:v>1970</x:v>
      </x:c>
      <x:c r="C1287" s="6" t="str">
        <x:v>Graduation</x:v>
      </x:c>
      <x:c r="D1287" s="6" t="str">
        <x:v>Divorced</x:v>
      </x:c>
      <x:c r="E1287" s="6" t="n">
        <x:v>33986</x:v>
      </x:c>
      <x:c r="F1287" s="6" t="n">
        <x:v>1</x:v>
      </x:c>
      <x:c r="G1287" s="6" t="n">
        <x:v>0</x:v>
      </x:c>
      <x:c r="H1287" s="9" t="str">
        <x:v>14-03-2013</x:v>
      </x:c>
      <x:c r="I1287" s="6" t="n">
        <x:v>43</x:v>
      </x:c>
      <x:c r="J1287" s="6" t="n">
        <x:v>16</x:v>
      </x:c>
      <x:c r="K1287" s="6" t="n">
        <x:v>2</x:v>
      </x:c>
      <x:c r="L1287" s="6" t="n">
        <x:v>18</x:v>
      </x:c>
      <x:c r="M1287" s="6" t="n">
        <x:v>2</x:v>
      </x:c>
      <x:c r="N1287" s="6" t="n">
        <x:v>1</x:v>
      </x:c>
      <x:c r="O1287" s="6" t="n">
        <x:v>5</x:v>
      </x:c>
      <x:c r="P1287" s="6" t="n">
        <x:v>1</x:v>
      </x:c>
      <x:c r="Q1287" s="6" t="n">
        <x:v>1</x:v>
      </x:c>
      <x:c r="R1287" s="6" t="n">
        <x:v>0</x:v>
      </x:c>
      <x:c r="S1287" s="6" t="n">
        <x:v>3</x:v>
      </x:c>
      <x:c r="T1287" s="6" t="n">
        <x:v>7</x:v>
      </x:c>
      <x:c r="U1287" s="6" t="n">
        <x:v>0</x:v>
      </x:c>
      <x:c r="V1287" s="6" t="n">
        <x:v>0</x:v>
      </x:c>
      <x:c r="W1287" s="6" t="n">
        <x:v>0</x:v>
      </x:c>
      <x:c r="X1287" s="6" t="n">
        <x:v>0</x:v>
      </x:c>
      <x:c r="Y1287" s="6" t="n">
        <x:v>0</x:v>
      </x:c>
      <x:c r="Z1287" s="6" t="n">
        <x:v>0</x:v>
      </x:c>
      <x:c r="AA1287" s="6" t="n">
        <x:v>3</x:v>
      </x:c>
      <x:c r="AB1287" s="6" t="n">
        <x:v>11</x:v>
      </x:c>
      <x:c r="AC1287" s="6" t="n">
        <x:v>0</x:v>
      </x:c>
    </x:row>
    <x:row r="1288">
      <x:c r="A1288" s="6" t="n">
        <x:v>339</x:v>
      </x:c>
      <x:c r="B1288" s="6" t="n">
        <x:v>1972</x:v>
      </x:c>
      <x:c r="C1288" s="6" t="str">
        <x:v>PhD</x:v>
      </x:c>
      <x:c r="D1288" s="6" t="str">
        <x:v>Married</x:v>
      </x:c>
      <x:c r="E1288" s="6" t="n">
        <x:v>57091</x:v>
      </x:c>
      <x:c r="F1288" s="6" t="n">
        <x:v>0</x:v>
      </x:c>
      <x:c r="G1288" s="6" t="n">
        <x:v>1</x:v>
      </x:c>
      <x:c r="H1288" s="9" t="str">
        <x:v>23-11-2012</x:v>
      </x:c>
      <x:c r="I1288" s="6" t="n">
        <x:v>82</x:v>
      </x:c>
      <x:c r="J1288" s="6" t="n">
        <x:v>462</x:v>
      </x:c>
      <x:c r="K1288" s="6" t="n">
        <x:v>0</x:v>
      </x:c>
      <x:c r="L1288" s="6" t="n">
        <x:v>24</x:v>
      </x:c>
      <x:c r="M1288" s="6" t="n">
        <x:v>6</x:v>
      </x:c>
      <x:c r="N1288" s="6" t="n">
        <x:v>0</x:v>
      </x:c>
      <x:c r="O1288" s="6" t="n">
        <x:v>4</x:v>
      </x:c>
      <x:c r="P1288" s="6" t="n">
        <x:v>2</x:v>
      </x:c>
      <x:c r="Q1288" s="6" t="n">
        <x:v>9</x:v>
      </x:c>
      <x:c r="R1288" s="6" t="n">
        <x:v>2</x:v>
      </x:c>
      <x:c r="S1288" s="6" t="n">
        <x:v>5</x:v>
      </x:c>
      <x:c r="T1288" s="6" t="n">
        <x:v>7</x:v>
      </x:c>
      <x:c r="U1288" s="6" t="n">
        <x:v>0</x:v>
      </x:c>
      <x:c r="V1288" s="6" t="n">
        <x:v>1</x:v>
      </x:c>
      <x:c r="W1288" s="6" t="n">
        <x:v>0</x:v>
      </x:c>
      <x:c r="X1288" s="6" t="n">
        <x:v>0</x:v>
      </x:c>
      <x:c r="Y1288" s="6" t="n">
        <x:v>0</x:v>
      </x:c>
      <x:c r="Z1288" s="6" t="n">
        <x:v>0</x:v>
      </x:c>
      <x:c r="AA1288" s="6" t="n">
        <x:v>3</x:v>
      </x:c>
      <x:c r="AB1288" s="6" t="n">
        <x:v>11</x:v>
      </x:c>
      <x:c r="AC1288" s="6" t="n">
        <x:v>1</x:v>
      </x:c>
    </x:row>
    <x:row r="1289">
      <x:c r="A1289" s="6" t="n">
        <x:v>2516</x:v>
      </x:c>
      <x:c r="B1289" s="6" t="n">
        <x:v>1969</x:v>
      </x:c>
      <x:c r="C1289" s="6" t="str">
        <x:v>2n Cycle</x:v>
      </x:c>
      <x:c r="D1289" s="6" t="str">
        <x:v>Married</x:v>
      </x:c>
      <x:c r="E1289" s="6" t="n">
        <x:v>46831</x:v>
      </x:c>
      <x:c r="F1289" s="6" t="n">
        <x:v>1</x:v>
      </x:c>
      <x:c r="G1289" s="6" t="n">
        <x:v>1</x:v>
      </x:c>
      <x:c r="H1289" s="9" t="str">
        <x:v>08-06-2013</x:v>
      </x:c>
      <x:c r="I1289" s="6" t="n">
        <x:v>84</x:v>
      </x:c>
      <x:c r="J1289" s="6" t="n">
        <x:v>22</x:v>
      </x:c>
      <x:c r="K1289" s="6" t="n">
        <x:v>2</x:v>
      </x:c>
      <x:c r="L1289" s="6" t="n">
        <x:v>10</x:v>
      </x:c>
      <x:c r="M1289" s="6" t="n">
        <x:v>6</x:v>
      </x:c>
      <x:c r="N1289" s="6" t="n">
        <x:v>4</x:v>
      </x:c>
      <x:c r="O1289" s="6" t="n">
        <x:v>34</x:v>
      </x:c>
      <x:c r="P1289" s="6" t="n">
        <x:v>2</x:v>
      </x:c>
      <x:c r="Q1289" s="6" t="n">
        <x:v>1</x:v>
      </x:c>
      <x:c r="R1289" s="6" t="n">
        <x:v>2</x:v>
      </x:c>
      <x:c r="S1289" s="6" t="n">
        <x:v>2</x:v>
      </x:c>
      <x:c r="T1289" s="6" t="n">
        <x:v>4</x:v>
      </x:c>
      <x:c r="U1289" s="6" t="n">
        <x:v>0</x:v>
      </x:c>
      <x:c r="V1289" s="6" t="n">
        <x:v>0</x:v>
      </x:c>
      <x:c r="W1289" s="6" t="n">
        <x:v>0</x:v>
      </x:c>
      <x:c r="X1289" s="6" t="n">
        <x:v>0</x:v>
      </x:c>
      <x:c r="Y1289" s="6" t="n">
        <x:v>0</x:v>
      </x:c>
      <x:c r="Z1289" s="6" t="n">
        <x:v>0</x:v>
      </x:c>
      <x:c r="AA1289" s="6" t="n">
        <x:v>3</x:v>
      </x:c>
      <x:c r="AB1289" s="6" t="n">
        <x:v>11</x:v>
      </x:c>
      <x:c r="AC1289" s="6" t="n">
        <x:v>0</x:v>
      </x:c>
    </x:row>
    <x:row r="1290">
      <x:c r="A1290" s="6" t="n">
        <x:v>9010</x:v>
      </x:c>
      <x:c r="B1290" s="6" t="n">
        <x:v>1972</x:v>
      </x:c>
      <x:c r="C1290" s="6" t="str">
        <x:v>Master</x:v>
      </x:c>
      <x:c r="D1290" s="6" t="str">
        <x:v>Married</x:v>
      </x:c>
      <x:c r="E1290" s="6" t="n">
        <x:v>83151</x:v>
      </x:c>
      <x:c r="F1290" s="6" t="n">
        <x:v>0</x:v>
      </x:c>
      <x:c r="G1290" s="6" t="n">
        <x:v>0</x:v>
      </x:c>
      <x:c r="H1290" s="9" t="str">
        <x:v>10-02-2013</x:v>
      </x:c>
      <x:c r="I1290" s="6" t="n">
        <x:v>80</x:v>
      </x:c>
      <x:c r="J1290" s="6" t="n">
        <x:v>968</x:v>
      </x:c>
      <x:c r="K1290" s="6" t="n">
        <x:v>147</x:v>
      </x:c>
      <x:c r="L1290" s="6" t="n">
        <x:v>842</x:v>
      </x:c>
      <x:c r="M1290" s="6" t="n">
        <x:v>137</x:v>
      </x:c>
      <x:c r="N1290" s="6" t="n">
        <x:v>42</x:v>
      </x:c>
      <x:c r="O1290" s="6" t="n">
        <x:v>210</x:v>
      </x:c>
      <x:c r="P1290" s="6" t="n">
        <x:v>1</x:v>
      </x:c>
      <x:c r="Q1290" s="6" t="n">
        <x:v>5</x:v>
      </x:c>
      <x:c r="R1290" s="6" t="n">
        <x:v>7</x:v>
      </x:c>
      <x:c r="S1290" s="6" t="n">
        <x:v>10</x:v>
      </x:c>
      <x:c r="T1290" s="6" t="n">
        <x:v>2</x:v>
      </x:c>
      <x:c r="U1290" s="6" t="n">
        <x:v>1</x:v>
      </x:c>
      <x:c r="V1290" s="6" t="n">
        <x:v>0</x:v>
      </x:c>
      <x:c r="W1290" s="6" t="n">
        <x:v>1</x:v>
      </x:c>
      <x:c r="X1290" s="6" t="n">
        <x:v>1</x:v>
      </x:c>
      <x:c r="Y1290" s="6" t="n">
        <x:v>0</x:v>
      </x:c>
      <x:c r="Z1290" s="6" t="n">
        <x:v>0</x:v>
      </x:c>
      <x:c r="AA1290" s="6" t="n">
        <x:v>3</x:v>
      </x:c>
      <x:c r="AB1290" s="6" t="n">
        <x:v>11</x:v>
      </x:c>
      <x:c r="AC1290" s="6" t="n">
        <x:v>1</x:v>
      </x:c>
    </x:row>
    <x:row r="1291">
      <x:c r="A1291" s="6" t="n">
        <x:v>378</x:v>
      </x:c>
      <x:c r="B1291" s="6" t="n">
        <x:v>1971</x:v>
      </x:c>
      <x:c r="C1291" s="6" t="str">
        <x:v>Graduation</x:v>
      </x:c>
      <x:c r="D1291" s="6" t="str">
        <x:v>Married</x:v>
      </x:c>
      <x:c r="E1291" s="6" t="n">
        <x:v>52531</x:v>
      </x:c>
      <x:c r="F1291" s="6" t="n">
        <x:v>0</x:v>
      </x:c>
      <x:c r="G1291" s="6" t="n">
        <x:v>0</x:v>
      </x:c>
      <x:c r="H1291" s="9" t="str">
        <x:v>30-12-2012</x:v>
      </x:c>
      <x:c r="I1291" s="6" t="n">
        <x:v>68</x:v>
      </x:c>
      <x:c r="J1291" s="6" t="n">
        <x:v>283</x:v>
      </x:c>
      <x:c r="K1291" s="6" t="n">
        <x:v>112</x:v>
      </x:c>
      <x:c r="L1291" s="6" t="n">
        <x:v>151</x:v>
      </x:c>
      <x:c r="M1291" s="6" t="n">
        <x:v>51</x:v>
      </x:c>
      <x:c r="N1291" s="6" t="n">
        <x:v>72</x:v>
      </x:c>
      <x:c r="O1291" s="6" t="n">
        <x:v>125</x:v>
      </x:c>
      <x:c r="P1291" s="6" t="n">
        <x:v>2</x:v>
      </x:c>
      <x:c r="Q1291" s="6" t="n">
        <x:v>7</x:v>
      </x:c>
      <x:c r="R1291" s="6" t="n">
        <x:v>2</x:v>
      </x:c>
      <x:c r="S1291" s="6" t="n">
        <x:v>10</x:v>
      </x:c>
      <x:c r="T1291" s="6" t="n">
        <x:v>6</x:v>
      </x:c>
      <x:c r="U1291" s="6" t="n">
        <x:v>0</x:v>
      </x:c>
      <x:c r="V1291" s="6" t="n">
        <x:v>0</x:v>
      </x:c>
      <x:c r="W1291" s="6" t="n">
        <x:v>0</x:v>
      </x:c>
      <x:c r="X1291" s="6" t="n">
        <x:v>0</x:v>
      </x:c>
      <x:c r="Y1291" s="6" t="n">
        <x:v>0</x:v>
      </x:c>
      <x:c r="Z1291" s="6" t="n">
        <x:v>0</x:v>
      </x:c>
      <x:c r="AA1291" s="6" t="n">
        <x:v>3</x:v>
      </x:c>
      <x:c r="AB1291" s="6" t="n">
        <x:v>11</x:v>
      </x:c>
      <x:c r="AC1291" s="6" t="n">
        <x:v>0</x:v>
      </x:c>
    </x:row>
    <x:row r="1292">
      <x:c r="A1292" s="6" t="n">
        <x:v>4808</x:v>
      </x:c>
      <x:c r="B1292" s="6" t="n">
        <x:v>1956</x:v>
      </x:c>
      <x:c r="C1292" s="6" t="str">
        <x:v>Graduation</x:v>
      </x:c>
      <x:c r="D1292" s="6" t="str">
        <x:v>Married</x:v>
      </x:c>
      <x:c r="E1292" s="6" t="n">
        <x:v>15759</x:v>
      </x:c>
      <x:c r="F1292" s="6" t="n">
        <x:v>0</x:v>
      </x:c>
      <x:c r="G1292" s="6" t="n">
        <x:v>0</x:v>
      </x:c>
      <x:c r="H1292" s="9" t="str">
        <x:v>05-09-2013</x:v>
      </x:c>
      <x:c r="I1292" s="6" t="n">
        <x:v>12</x:v>
      </x:c>
      <x:c r="J1292" s="6" t="n">
        <x:v>1</x:v>
      </x:c>
      <x:c r="K1292" s="6" t="n">
        <x:v>2</x:v>
      </x:c>
      <x:c r="L1292" s="6" t="n">
        <x:v>5</x:v>
      </x:c>
      <x:c r="M1292" s="6" t="n">
        <x:v>6</x:v>
      </x:c>
      <x:c r="N1292" s="6" t="n">
        <x:v>0</x:v>
      </x:c>
      <x:c r="O1292" s="6" t="n">
        <x:v>3</x:v>
      </x:c>
      <x:c r="P1292" s="6" t="n">
        <x:v>1</x:v>
      </x:c>
      <x:c r="Q1292" s="6" t="n">
        <x:v>1</x:v>
      </x:c>
      <x:c r="R1292" s="6" t="n">
        <x:v>0</x:v>
      </x:c>
      <x:c r="S1292" s="6" t="n">
        <x:v>2</x:v>
      </x:c>
      <x:c r="T1292" s="6" t="n">
        <x:v>7</x:v>
      </x:c>
      <x:c r="U1292" s="6" t="n">
        <x:v>0</x:v>
      </x:c>
      <x:c r="V1292" s="6" t="n">
        <x:v>0</x:v>
      </x:c>
      <x:c r="W1292" s="6" t="n">
        <x:v>0</x:v>
      </x:c>
      <x:c r="X1292" s="6" t="n">
        <x:v>0</x:v>
      </x:c>
      <x:c r="Y1292" s="6" t="n">
        <x:v>0</x:v>
      </x:c>
      <x:c r="Z1292" s="6" t="n">
        <x:v>0</x:v>
      </x:c>
      <x:c r="AA1292" s="6" t="n">
        <x:v>3</x:v>
      </x:c>
      <x:c r="AB1292" s="6" t="n">
        <x:v>11</x:v>
      </x:c>
      <x:c r="AC1292" s="6" t="n">
        <x:v>0</x:v>
      </x:c>
    </x:row>
    <x:row r="1293">
      <x:c r="A1293" s="6" t="n">
        <x:v>5068</x:v>
      </x:c>
      <x:c r="B1293" s="6" t="n">
        <x:v>1971</x:v>
      </x:c>
      <x:c r="C1293" s="6" t="str">
        <x:v>Graduation</x:v>
      </x:c>
      <x:c r="D1293" s="6" t="str">
        <x:v>Single</x:v>
      </x:c>
      <x:c r="E1293" s="6" t="n">
        <x:v>22804</x:v>
      </x:c>
      <x:c r="F1293" s="6" t="n">
        <x:v>1</x:v>
      </x:c>
      <x:c r="G1293" s="6" t="n">
        <x:v>0</x:v>
      </x:c>
      <x:c r="H1293" s="9" t="str">
        <x:v>31-07-2013</x:v>
      </x:c>
      <x:c r="I1293" s="6" t="n">
        <x:v>75</x:v>
      </x:c>
      <x:c r="J1293" s="6" t="n">
        <x:v>14</x:v>
      </x:c>
      <x:c r="K1293" s="6" t="n">
        <x:v>1</x:v>
      </x:c>
      <x:c r="L1293" s="6" t="n">
        <x:v>7</x:v>
      </x:c>
      <x:c r="M1293" s="6" t="n">
        <x:v>2</x:v>
      </x:c>
      <x:c r="N1293" s="6" t="n">
        <x:v>1</x:v>
      </x:c>
      <x:c r="O1293" s="6" t="n">
        <x:v>1</x:v>
      </x:c>
      <x:c r="P1293" s="6" t="n">
        <x:v>1</x:v>
      </x:c>
      <x:c r="Q1293" s="6" t="n">
        <x:v>2</x:v>
      </x:c>
      <x:c r="R1293" s="6" t="n">
        <x:v>0</x:v>
      </x:c>
      <x:c r="S1293" s="6" t="n">
        <x:v>2</x:v>
      </x:c>
      <x:c r="T1293" s="6" t="n">
        <x:v>9</x:v>
      </x:c>
      <x:c r="U1293" s="6" t="n">
        <x:v>0</x:v>
      </x:c>
      <x:c r="V1293" s="6" t="n">
        <x:v>0</x:v>
      </x:c>
      <x:c r="W1293" s="6" t="n">
        <x:v>0</x:v>
      </x:c>
      <x:c r="X1293" s="6" t="n">
        <x:v>0</x:v>
      </x:c>
      <x:c r="Y1293" s="6" t="n">
        <x:v>0</x:v>
      </x:c>
      <x:c r="Z1293" s="6" t="n">
        <x:v>0</x:v>
      </x:c>
      <x:c r="AA1293" s="6" t="n">
        <x:v>3</x:v>
      </x:c>
      <x:c r="AB1293" s="6" t="n">
        <x:v>11</x:v>
      </x:c>
      <x:c r="AC1293" s="6" t="n">
        <x:v>0</x:v>
      </x:c>
    </x:row>
    <x:row r="1294">
      <x:c r="A1294" s="6" t="n">
        <x:v>7628</x:v>
      </x:c>
      <x:c r="B1294" s="6" t="n">
        <x:v>1973</x:v>
      </x:c>
      <x:c r="C1294" s="6" t="str">
        <x:v>2n Cycle</x:v>
      </x:c>
      <x:c r="D1294" s="6" t="str">
        <x:v>Married</x:v>
      </x:c>
      <x:c r="E1294" s="6" t="n">
        <x:v>43050</x:v>
      </x:c>
      <x:c r="F1294" s="6" t="n">
        <x:v>1</x:v>
      </x:c>
      <x:c r="G1294" s="6" t="n">
        <x:v>0</x:v>
      </x:c>
      <x:c r="H1294" s="9" t="str">
        <x:v>18-03-2014</x:v>
      </x:c>
      <x:c r="I1294" s="6" t="n">
        <x:v>10</x:v>
      </x:c>
      <x:c r="J1294" s="6" t="n">
        <x:v>30</x:v>
      </x:c>
      <x:c r="K1294" s="6" t="n">
        <x:v>5</x:v>
      </x:c>
      <x:c r="L1294" s="6" t="n">
        <x:v>24</x:v>
      </x:c>
      <x:c r="M1294" s="6" t="n">
        <x:v>6</x:v>
      </x:c>
      <x:c r="N1294" s="6" t="n">
        <x:v>3</x:v>
      </x:c>
      <x:c r="O1294" s="6" t="n">
        <x:v>8</x:v>
      </x:c>
      <x:c r="P1294" s="6" t="n">
        <x:v>2</x:v>
      </x:c>
      <x:c r="Q1294" s="6" t="n">
        <x:v>2</x:v>
      </x:c>
      <x:c r="R1294" s="6" t="n">
        <x:v>0</x:v>
      </x:c>
      <x:c r="S1294" s="6" t="n">
        <x:v>4</x:v>
      </x:c>
      <x:c r="T1294" s="6" t="n">
        <x:v>5</x:v>
      </x:c>
      <x:c r="U1294" s="6" t="n">
        <x:v>0</x:v>
      </x:c>
      <x:c r="V1294" s="6" t="n">
        <x:v>0</x:v>
      </x:c>
      <x:c r="W1294" s="6" t="n">
        <x:v>0</x:v>
      </x:c>
      <x:c r="X1294" s="6" t="n">
        <x:v>0</x:v>
      </x:c>
      <x:c r="Y1294" s="6" t="n">
        <x:v>0</x:v>
      </x:c>
      <x:c r="Z1294" s="6" t="n">
        <x:v>0</x:v>
      </x:c>
      <x:c r="AA1294" s="6" t="n">
        <x:v>3</x:v>
      </x:c>
      <x:c r="AB1294" s="6" t="n">
        <x:v>11</x:v>
      </x:c>
      <x:c r="AC1294" s="6" t="n">
        <x:v>0</x:v>
      </x:c>
    </x:row>
    <x:row r="1295">
      <x:c r="A1295" s="6" t="n">
        <x:v>7128</x:v>
      </x:c>
      <x:c r="B1295" s="6" t="n">
        <x:v>1977</x:v>
      </x:c>
      <x:c r="C1295" s="6" t="str">
        <x:v>PhD</x:v>
      </x:c>
      <x:c r="D1295" s="6" t="str">
        <x:v>Single</x:v>
      </x:c>
      <x:c r="E1295" s="6" t="n">
        <x:v>42997</x:v>
      </x:c>
      <x:c r="F1295" s="6" t="n">
        <x:v>1</x:v>
      </x:c>
      <x:c r="G1295" s="6" t="n">
        <x:v>1</x:v>
      </x:c>
      <x:c r="H1295" s="9" t="str">
        <x:v>07-12-2013</x:v>
      </x:c>
      <x:c r="I1295" s="6" t="n">
        <x:v>91</x:v>
      </x:c>
      <x:c r="J1295" s="6" t="n">
        <x:v>4</x:v>
      </x:c>
      <x:c r="K1295" s="6" t="n">
        <x:v>0</x:v>
      </x:c>
      <x:c r="L1295" s="6" t="n">
        <x:v>5</x:v>
      </x:c>
      <x:c r="M1295" s="6" t="n">
        <x:v>0</x:v>
      </x:c>
      <x:c r="N1295" s="6" t="n">
        <x:v>1</x:v>
      </x:c>
      <x:c r="O1295" s="6" t="n">
        <x:v>5</x:v>
      </x:c>
      <x:c r="P1295" s="6" t="n">
        <x:v>1</x:v>
      </x:c>
      <x:c r="Q1295" s="6" t="n">
        <x:v>1</x:v>
      </x:c>
      <x:c r="R1295" s="6" t="n">
        <x:v>0</x:v>
      </x:c>
      <x:c r="S1295" s="6" t="n">
        <x:v>2</x:v>
      </x:c>
      <x:c r="T1295" s="6" t="n">
        <x:v>7</x:v>
      </x:c>
      <x:c r="U1295" s="6" t="n">
        <x:v>0</x:v>
      </x:c>
      <x:c r="V1295" s="6" t="n">
        <x:v>0</x:v>
      </x:c>
      <x:c r="W1295" s="6" t="n">
        <x:v>0</x:v>
      </x:c>
      <x:c r="X1295" s="6" t="n">
        <x:v>0</x:v>
      </x:c>
      <x:c r="Y1295" s="6" t="n">
        <x:v>0</x:v>
      </x:c>
      <x:c r="Z1295" s="6" t="n">
        <x:v>0</x:v>
      </x:c>
      <x:c r="AA1295" s="6" t="n">
        <x:v>3</x:v>
      </x:c>
      <x:c r="AB1295" s="6" t="n">
        <x:v>11</x:v>
      </x:c>
      <x:c r="AC1295" s="6" t="n">
        <x:v>0</x:v>
      </x:c>
    </x:row>
    <x:row r="1296">
      <x:c r="A1296" s="6" t="n">
        <x:v>2811</x:v>
      </x:c>
      <x:c r="B1296" s="6" t="n">
        <x:v>1963</x:v>
      </x:c>
      <x:c r="C1296" s="6" t="str">
        <x:v>PhD</x:v>
      </x:c>
      <x:c r="D1296" s="6" t="str">
        <x:v>Single</x:v>
      </x:c>
      <x:c r="E1296" s="6" t="n">
        <x:v>48918</x:v>
      </x:c>
      <x:c r="F1296" s="6" t="n">
        <x:v>1</x:v>
      </x:c>
      <x:c r="G1296" s="6" t="n">
        <x:v>1</x:v>
      </x:c>
      <x:c r="H1296" s="9" t="str">
        <x:v>12-04-2014</x:v>
      </x:c>
      <x:c r="I1296" s="6" t="n">
        <x:v>21</x:v>
      </x:c>
      <x:c r="J1296" s="6" t="n">
        <x:v>52</x:v>
      </x:c>
      <x:c r="K1296" s="6" t="n">
        <x:v>0</x:v>
      </x:c>
      <x:c r="L1296" s="6" t="n">
        <x:v>9</x:v>
      </x:c>
      <x:c r="M1296" s="6" t="n">
        <x:v>0</x:v>
      </x:c>
      <x:c r="N1296" s="6" t="n">
        <x:v>0</x:v>
      </x:c>
      <x:c r="O1296" s="6" t="n">
        <x:v>1</x:v>
      </x:c>
      <x:c r="P1296" s="6" t="n">
        <x:v>2</x:v>
      </x:c>
      <x:c r="Q1296" s="6" t="n">
        <x:v>1</x:v>
      </x:c>
      <x:c r="R1296" s="6" t="n">
        <x:v>0</x:v>
      </x:c>
      <x:c r="S1296" s="6" t="n">
        <x:v>4</x:v>
      </x:c>
      <x:c r="T1296" s="6" t="n">
        <x:v>4</x:v>
      </x:c>
      <x:c r="U1296" s="6" t="n">
        <x:v>0</x:v>
      </x:c>
      <x:c r="V1296" s="6" t="n">
        <x:v>0</x:v>
      </x:c>
      <x:c r="W1296" s="6" t="n">
        <x:v>0</x:v>
      </x:c>
      <x:c r="X1296" s="6" t="n">
        <x:v>0</x:v>
      </x:c>
      <x:c r="Y1296" s="6" t="n">
        <x:v>0</x:v>
      </x:c>
      <x:c r="Z1296" s="6" t="n">
        <x:v>0</x:v>
      </x:c>
      <x:c r="AA1296" s="6" t="n">
        <x:v>3</x:v>
      </x:c>
      <x:c r="AB1296" s="6" t="n">
        <x:v>11</x:v>
      </x:c>
      <x:c r="AC1296" s="6" t="n">
        <x:v>0</x:v>
      </x:c>
    </x:row>
    <x:row r="1297">
      <x:c r="A1297" s="6" t="n">
        <x:v>3551</x:v>
      </x:c>
      <x:c r="B1297" s="6" t="n">
        <x:v>1954</x:v>
      </x:c>
      <x:c r="C1297" s="6" t="str">
        <x:v>Master</x:v>
      </x:c>
      <x:c r="D1297" s="6" t="str">
        <x:v>Together</x:v>
      </x:c>
      <x:c r="E1297" s="6" t="n">
        <x:v>60033</x:v>
      </x:c>
      <x:c r="F1297" s="6" t="n">
        <x:v>0</x:v>
      </x:c>
      <x:c r="G1297" s="6" t="n">
        <x:v>1</x:v>
      </x:c>
      <x:c r="H1297" s="9" t="str">
        <x:v>29-03-2014</x:v>
      </x:c>
      <x:c r="I1297" s="6" t="n">
        <x:v>28</x:v>
      </x:c>
      <x:c r="J1297" s="6" t="n">
        <x:v>62</x:v>
      </x:c>
      <x:c r="K1297" s="6" t="n">
        <x:v>1</x:v>
      </x:c>
      <x:c r="L1297" s="6" t="n">
        <x:v>57</x:v>
      </x:c>
      <x:c r="M1297" s="6" t="n">
        <x:v>19</x:v>
      </x:c>
      <x:c r="N1297" s="6" t="n">
        <x:v>11</x:v>
      </x:c>
      <x:c r="O1297" s="6" t="n">
        <x:v>48</x:v>
      </x:c>
      <x:c r="P1297" s="6" t="n">
        <x:v>2</x:v>
      </x:c>
      <x:c r="Q1297" s="6" t="n">
        <x:v>2</x:v>
      </x:c>
      <x:c r="R1297" s="6" t="n">
        <x:v>1</x:v>
      </x:c>
      <x:c r="S1297" s="6" t="n">
        <x:v>5</x:v>
      </x:c>
      <x:c r="T1297" s="6" t="n">
        <x:v>2</x:v>
      </x:c>
      <x:c r="U1297" s="6" t="n">
        <x:v>0</x:v>
      </x:c>
      <x:c r="V1297" s="6" t="n">
        <x:v>0</x:v>
      </x:c>
      <x:c r="W1297" s="6" t="n">
        <x:v>0</x:v>
      </x:c>
      <x:c r="X1297" s="6" t="n">
        <x:v>0</x:v>
      </x:c>
      <x:c r="Y1297" s="6" t="n">
        <x:v>0</x:v>
      </x:c>
      <x:c r="Z1297" s="6" t="n">
        <x:v>0</x:v>
      </x:c>
      <x:c r="AA1297" s="6" t="n">
        <x:v>3</x:v>
      </x:c>
      <x:c r="AB1297" s="6" t="n">
        <x:v>11</x:v>
      </x:c>
      <x:c r="AC1297" s="6" t="n">
        <x:v>0</x:v>
      </x:c>
    </x:row>
    <x:row r="1298">
      <x:c r="A1298" s="6" t="n">
        <x:v>1663</x:v>
      </x:c>
      <x:c r="B1298" s="6" t="n">
        <x:v>1978</x:v>
      </x:c>
      <x:c r="C1298" s="6" t="str">
        <x:v>PhD</x:v>
      </x:c>
      <x:c r="D1298" s="6" t="str">
        <x:v>Together</x:v>
      </x:c>
      <x:c r="E1298" s="6" t="n">
        <x:v>34043</x:v>
      </x:c>
      <x:c r="F1298" s="6" t="n">
        <x:v>1</x:v>
      </x:c>
      <x:c r="G1298" s="6" t="n">
        <x:v>0</x:v>
      </x:c>
      <x:c r="H1298" s="9" t="str">
        <x:v>25-10-2013</x:v>
      </x:c>
      <x:c r="I1298" s="6" t="n">
        <x:v>97</x:v>
      </x:c>
      <x:c r="J1298" s="6" t="n">
        <x:v>20</x:v>
      </x:c>
      <x:c r="K1298" s="6" t="n">
        <x:v>2</x:v>
      </x:c>
      <x:c r="L1298" s="6" t="n">
        <x:v>14</x:v>
      </x:c>
      <x:c r="M1298" s="6" t="n">
        <x:v>3</x:v>
      </x:c>
      <x:c r="N1298" s="6" t="n">
        <x:v>0</x:v>
      </x:c>
      <x:c r="O1298" s="6" t="n">
        <x:v>10</x:v>
      </x:c>
      <x:c r="P1298" s="6" t="n">
        <x:v>1</x:v>
      </x:c>
      <x:c r="Q1298" s="6" t="n">
        <x:v>2</x:v>
      </x:c>
      <x:c r="R1298" s="6" t="n">
        <x:v>0</x:v>
      </x:c>
      <x:c r="S1298" s="6" t="n">
        <x:v>2</x:v>
      </x:c>
      <x:c r="T1298" s="6" t="n">
        <x:v>9</x:v>
      </x:c>
      <x:c r="U1298" s="6" t="n">
        <x:v>0</x:v>
      </x:c>
      <x:c r="V1298" s="6" t="n">
        <x:v>0</x:v>
      </x:c>
      <x:c r="W1298" s="6" t="n">
        <x:v>0</x:v>
      </x:c>
      <x:c r="X1298" s="6" t="n">
        <x:v>0</x:v>
      </x:c>
      <x:c r="Y1298" s="6" t="n">
        <x:v>0</x:v>
      </x:c>
      <x:c r="Z1298" s="6" t="n">
        <x:v>0</x:v>
      </x:c>
      <x:c r="AA1298" s="6" t="n">
        <x:v>3</x:v>
      </x:c>
      <x:c r="AB1298" s="6" t="n">
        <x:v>11</x:v>
      </x:c>
      <x:c r="AC1298" s="6" t="n">
        <x:v>0</x:v>
      </x:c>
    </x:row>
    <x:row r="1299">
      <x:c r="A1299" s="6" t="n">
        <x:v>5543</x:v>
      </x:c>
      <x:c r="B1299" s="6" t="n">
        <x:v>1966</x:v>
      </x:c>
      <x:c r="C1299" s="6" t="str">
        <x:v>Graduation</x:v>
      </x:c>
      <x:c r="D1299" s="6" t="str">
        <x:v>Together</x:v>
      </x:c>
      <x:c r="E1299" s="6" t="n">
        <x:v>57811</x:v>
      </x:c>
      <x:c r="F1299" s="6" t="n">
        <x:v>0</x:v>
      </x:c>
      <x:c r="G1299" s="6" t="n">
        <x:v>1</x:v>
      </x:c>
      <x:c r="H1299" s="9" t="str">
        <x:v>24-06-2013</x:v>
      </x:c>
      <x:c r="I1299" s="6" t="n">
        <x:v>49</x:v>
      </x:c>
      <x:c r="J1299" s="6" t="n">
        <x:v>545</x:v>
      </x:c>
      <x:c r="K1299" s="6" t="n">
        <x:v>7</x:v>
      </x:c>
      <x:c r="L1299" s="6" t="n">
        <x:v>114</x:v>
      </x:c>
      <x:c r="M1299" s="6" t="n">
        <x:v>37</x:v>
      </x:c>
      <x:c r="N1299" s="6" t="n">
        <x:v>21</x:v>
      </x:c>
      <x:c r="O1299" s="6" t="n">
        <x:v>78</x:v>
      </x:c>
      <x:c r="P1299" s="6" t="n">
        <x:v>5</x:v>
      </x:c>
      <x:c r="Q1299" s="6" t="n">
        <x:v>7</x:v>
      </x:c>
      <x:c r="R1299" s="6" t="n">
        <x:v>2</x:v>
      </x:c>
      <x:c r="S1299" s="6" t="n">
        <x:v>11</x:v>
      </x:c>
      <x:c r="T1299" s="6" t="n">
        <x:v>5</x:v>
      </x:c>
      <x:c r="U1299" s="6" t="n">
        <x:v>0</x:v>
      </x:c>
      <x:c r="V1299" s="6" t="n">
        <x:v>1</x:v>
      </x:c>
      <x:c r="W1299" s="6" t="n">
        <x:v>0</x:v>
      </x:c>
      <x:c r="X1299" s="6" t="n">
        <x:v>0</x:v>
      </x:c>
      <x:c r="Y1299" s="6" t="n">
        <x:v>0</x:v>
      </x:c>
      <x:c r="Z1299" s="6" t="n">
        <x:v>0</x:v>
      </x:c>
      <x:c r="AA1299" s="6" t="n">
        <x:v>3</x:v>
      </x:c>
      <x:c r="AB1299" s="6" t="n">
        <x:v>11</x:v>
      </x:c>
      <x:c r="AC1299" s="6" t="n">
        <x:v>0</x:v>
      </x:c>
    </x:row>
    <x:row r="1300">
      <x:c r="A1300" s="6" t="n">
        <x:v>1577</x:v>
      </x:c>
      <x:c r="B1300" s="6" t="n">
        <x:v>1946</x:v>
      </x:c>
      <x:c r="C1300" s="6" t="str">
        <x:v>Graduation</x:v>
      </x:c>
      <x:c r="D1300" s="6" t="str">
        <x:v>Married</x:v>
      </x:c>
      <x:c r="E1300" s="6" t="n">
        <x:v>78569</x:v>
      </x:c>
      <x:c r="F1300" s="6" t="n">
        <x:v>0</x:v>
      </x:c>
      <x:c r="G1300" s="6" t="n">
        <x:v>0</x:v>
      </x:c>
      <x:c r="H1300" s="9" t="str">
        <x:v>19-02-2014</x:v>
      </x:c>
      <x:c r="I1300" s="6" t="n">
        <x:v>14</x:v>
      </x:c>
      <x:c r="J1300" s="6" t="n">
        <x:v>558</x:v>
      </x:c>
      <x:c r="K1300" s="6" t="n">
        <x:v>79</x:v>
      </x:c>
      <x:c r="L1300" s="6" t="n">
        <x:v>622</x:v>
      </x:c>
      <x:c r="M1300" s="6" t="n">
        <x:v>207</x:v>
      </x:c>
      <x:c r="N1300" s="6" t="n">
        <x:v>175</x:v>
      </x:c>
      <x:c r="O1300" s="6" t="n">
        <x:v>95</x:v>
      </x:c>
      <x:c r="P1300" s="6" t="n">
        <x:v>1</x:v>
      </x:c>
      <x:c r="Q1300" s="6" t="n">
        <x:v>4</x:v>
      </x:c>
      <x:c r="R1300" s="6" t="n">
        <x:v>6</x:v>
      </x:c>
      <x:c r="S1300" s="6" t="n">
        <x:v>4</x:v>
      </x:c>
      <x:c r="T1300" s="6" t="n">
        <x:v>1</x:v>
      </x:c>
      <x:c r="U1300" s="6" t="n">
        <x:v>0</x:v>
      </x:c>
      <x:c r="V1300" s="6" t="n">
        <x:v>0</x:v>
      </x:c>
      <x:c r="W1300" s="6" t="n">
        <x:v>1</x:v>
      </x:c>
      <x:c r="X1300" s="6" t="n">
        <x:v>0</x:v>
      </x:c>
      <x:c r="Y1300" s="6" t="n">
        <x:v>0</x:v>
      </x:c>
      <x:c r="Z1300" s="6" t="n">
        <x:v>0</x:v>
      </x:c>
      <x:c r="AA1300" s="6" t="n">
        <x:v>3</x:v>
      </x:c>
      <x:c r="AB1300" s="6" t="n">
        <x:v>11</x:v>
      </x:c>
      <x:c r="AC1300" s="6" t="n">
        <x:v>1</x:v>
      </x:c>
    </x:row>
    <x:row r="1301">
      <x:c r="A1301" s="6" t="n">
        <x:v>10641</x:v>
      </x:c>
      <x:c r="B1301" s="6" t="n">
        <x:v>1978</x:v>
      </x:c>
      <x:c r="C1301" s="6" t="str">
        <x:v>Graduation</x:v>
      </x:c>
      <x:c r="D1301" s="6" t="str">
        <x:v>Single</x:v>
      </x:c>
      <x:c r="E1301" s="6" t="n">
        <x:v>7500</x:v>
      </x:c>
      <x:c r="F1301" s="6" t="n">
        <x:v>1</x:v>
      </x:c>
      <x:c r="G1301" s="6" t="n">
        <x:v>1</x:v>
      </x:c>
      <x:c r="H1301" s="9" t="str">
        <x:v>27-12-2012</x:v>
      </x:c>
      <x:c r="I1301" s="6" t="n">
        <x:v>5</x:v>
      </x:c>
      <x:c r="J1301" s="6" t="n">
        <x:v>6</x:v>
      </x:c>
      <x:c r="K1301" s="6" t="n">
        <x:v>5</x:v>
      </x:c>
      <x:c r="L1301" s="6" t="n">
        <x:v>4</x:v>
      </x:c>
      <x:c r="M1301" s="6" t="n">
        <x:v>13</x:v>
      </x:c>
      <x:c r="N1301" s="6" t="n">
        <x:v>4</x:v>
      </x:c>
      <x:c r="O1301" s="6" t="n">
        <x:v>25</x:v>
      </x:c>
      <x:c r="P1301" s="6" t="n">
        <x:v>4</x:v>
      </x:c>
      <x:c r="Q1301" s="6" t="n">
        <x:v>2</x:v>
      </x:c>
      <x:c r="R1301" s="6" t="n">
        <x:v>1</x:v>
      </x:c>
      <x:c r="S1301" s="6" t="n">
        <x:v>3</x:v>
      </x:c>
      <x:c r="T1301" s="6" t="n">
        <x:v>6</x:v>
      </x:c>
      <x:c r="U1301" s="6" t="n">
        <x:v>0</x:v>
      </x:c>
      <x:c r="V1301" s="6" t="n">
        <x:v>0</x:v>
      </x:c>
      <x:c r="W1301" s="6" t="n">
        <x:v>0</x:v>
      </x:c>
      <x:c r="X1301" s="6" t="n">
        <x:v>0</x:v>
      </x:c>
      <x:c r="Y1301" s="6" t="n">
        <x:v>0</x:v>
      </x:c>
      <x:c r="Z1301" s="6" t="n">
        <x:v>0</x:v>
      </x:c>
      <x:c r="AA1301" s="6" t="n">
        <x:v>3</x:v>
      </x:c>
      <x:c r="AB1301" s="6" t="n">
        <x:v>11</x:v>
      </x:c>
      <x:c r="AC1301" s="6" t="n">
        <x:v>0</x:v>
      </x:c>
    </x:row>
    <x:row r="1302">
      <x:c r="A1302" s="6" t="n">
        <x:v>5336</x:v>
      </x:c>
      <x:c r="B1302" s="6" t="n">
        <x:v>1971</x:v>
      </x:c>
      <x:c r="C1302" s="6" t="str">
        <x:v>Master</x:v>
      </x:c>
      <x:c r="D1302" s="6" t="str">
        <x:v>Together</x:v>
      </x:c>
      <x:c r="E1302" s="6" t="n">
        <x:v>157733</x:v>
      </x:c>
      <x:c r="F1302" s="6" t="n">
        <x:v>1</x:v>
      </x:c>
      <x:c r="G1302" s="6" t="n">
        <x:v>0</x:v>
      </x:c>
      <x:c r="H1302" s="9" t="str">
        <x:v>04-06-2013</x:v>
      </x:c>
      <x:c r="I1302" s="6" t="n">
        <x:v>37</x:v>
      </x:c>
      <x:c r="J1302" s="6" t="n">
        <x:v>39</x:v>
      </x:c>
      <x:c r="K1302" s="6" t="n">
        <x:v>1</x:v>
      </x:c>
      <x:c r="L1302" s="6" t="n">
        <x:v>9</x:v>
      </x:c>
      <x:c r="M1302" s="6" t="n">
        <x:v>2</x:v>
      </x:c>
      <x:c r="N1302" s="6" t="n">
        <x:v>0</x:v>
      </x:c>
      <x:c r="O1302" s="6" t="n">
        <x:v>8</x:v>
      </x:c>
      <x:c r="P1302" s="6" t="n">
        <x:v>0</x:v>
      </x:c>
      <x:c r="Q1302" s="6" t="n">
        <x:v>1</x:v>
      </x:c>
      <x:c r="R1302" s="6" t="n">
        <x:v>0</x:v>
      </x:c>
      <x:c r="S1302" s="6" t="n">
        <x:v>1</x:v>
      </x:c>
      <x:c r="T1302" s="6" t="n">
        <x:v>1</x:v>
      </x:c>
      <x:c r="U1302" s="6" t="n">
        <x:v>0</x:v>
      </x:c>
      <x:c r="V1302" s="6" t="n">
        <x:v>0</x:v>
      </x:c>
      <x:c r="W1302" s="6" t="n">
        <x:v>0</x:v>
      </x:c>
      <x:c r="X1302" s="6" t="n">
        <x:v>0</x:v>
      </x:c>
      <x:c r="Y1302" s="6" t="n">
        <x:v>0</x:v>
      </x:c>
      <x:c r="Z1302" s="6" t="n">
        <x:v>0</x:v>
      </x:c>
      <x:c r="AA1302" s="6" t="n">
        <x:v>3</x:v>
      </x:c>
      <x:c r="AB1302" s="6" t="n">
        <x:v>11</x:v>
      </x:c>
      <x:c r="AC1302" s="6" t="n">
        <x:v>0</x:v>
      </x:c>
    </x:row>
    <x:row r="1303">
      <x:c r="A1303" s="6" t="n">
        <x:v>6024</x:v>
      </x:c>
      <x:c r="B1303" s="6" t="n">
        <x:v>1953</x:v>
      </x:c>
      <x:c r="C1303" s="6" t="str">
        <x:v>Graduation</x:v>
      </x:c>
      <x:c r="D1303" s="6" t="str">
        <x:v>Together</x:v>
      </x:c>
      <x:c r="E1303" s="6" t="n">
        <x:v>94384</x:v>
      </x:c>
      <x:c r="F1303" s="6" t="n">
        <x:v>0</x:v>
      </x:c>
      <x:c r="G1303" s="6" t="n">
        <x:v>0</x:v>
      </x:c>
      <x:c r="H1303" s="9" t="str">
        <x:v>04-03-2013</x:v>
      </x:c>
      <x:c r="I1303" s="6" t="n">
        <x:v>62</x:v>
      </x:c>
      <x:c r="J1303" s="6" t="n">
        <x:v>1111</x:v>
      </x:c>
      <x:c r="K1303" s="6" t="n">
        <x:v>24</x:v>
      </x:c>
      <x:c r="L1303" s="6" t="n">
        <x:v>790</x:v>
      </x:c>
      <x:c r="M1303" s="6" t="n">
        <x:v>160</x:v>
      </x:c>
      <x:c r="N1303" s="6" t="n">
        <x:v>45</x:v>
      </x:c>
      <x:c r="O1303" s="6" t="n">
        <x:v>172</x:v>
      </x:c>
      <x:c r="P1303" s="6" t="n">
        <x:v>0</x:v>
      </x:c>
      <x:c r="Q1303" s="6" t="n">
        <x:v>5</x:v>
      </x:c>
      <x:c r="R1303" s="6" t="n">
        <x:v>8</x:v>
      </x:c>
      <x:c r="S1303" s="6" t="n">
        <x:v>5</x:v>
      </x:c>
      <x:c r="T1303" s="6" t="n">
        <x:v>2</x:v>
      </x:c>
      <x:c r="U1303" s="6" t="n">
        <x:v>0</x:v>
      </x:c>
      <x:c r="V1303" s="6" t="n">
        <x:v>1</x:v>
      </x:c>
      <x:c r="W1303" s="6" t="n">
        <x:v>1</x:v>
      </x:c>
      <x:c r="X1303" s="6" t="n">
        <x:v>1</x:v>
      </x:c>
      <x:c r="Y1303" s="6" t="n">
        <x:v>0</x:v>
      </x:c>
      <x:c r="Z1303" s="6" t="n">
        <x:v>0</x:v>
      </x:c>
      <x:c r="AA1303" s="6" t="n">
        <x:v>3</x:v>
      </x:c>
      <x:c r="AB1303" s="6" t="n">
        <x:v>11</x:v>
      </x:c>
      <x:c r="AC1303" s="6" t="n">
        <x:v>1</x:v>
      </x:c>
    </x:row>
    <x:row r="1304">
      <x:c r="A1304" s="6" t="n">
        <x:v>1878</x:v>
      </x:c>
      <x:c r="B1304" s="6" t="n">
        <x:v>1985</x:v>
      </x:c>
      <x:c r="C1304" s="6" t="str">
        <x:v>2n Cycle</x:v>
      </x:c>
      <x:c r="D1304" s="6" t="str">
        <x:v>Married</x:v>
      </x:c>
      <x:c r="E1304" s="6" t="n">
        <x:v>23148</x:v>
      </x:c>
      <x:c r="F1304" s="6" t="n">
        <x:v>0</x:v>
      </x:c>
      <x:c r="G1304" s="6" t="n">
        <x:v>0</x:v>
      </x:c>
      <x:c r="H1304" s="9" t="str">
        <x:v>18-02-2014</x:v>
      </x:c>
      <x:c r="I1304" s="6" t="n">
        <x:v>83</x:v>
      </x:c>
      <x:c r="J1304" s="6" t="n">
        <x:v>4</x:v>
      </x:c>
      <x:c r="K1304" s="6" t="n">
        <x:v>6</x:v>
      </x:c>
      <x:c r="L1304" s="6" t="n">
        <x:v>8</x:v>
      </x:c>
      <x:c r="M1304" s="6" t="n">
        <x:v>6</x:v>
      </x:c>
      <x:c r="N1304" s="6" t="n">
        <x:v>3</x:v>
      </x:c>
      <x:c r="O1304" s="6" t="n">
        <x:v>10</x:v>
      </x:c>
      <x:c r="P1304" s="6" t="n">
        <x:v>1</x:v>
      </x:c>
      <x:c r="Q1304" s="6" t="n">
        <x:v>2</x:v>
      </x:c>
      <x:c r="R1304" s="6" t="n">
        <x:v>0</x:v>
      </x:c>
      <x:c r="S1304" s="6" t="n">
        <x:v>3</x:v>
      </x:c>
      <x:c r="T1304" s="6" t="n">
        <x:v>7</x:v>
      </x:c>
      <x:c r="U1304" s="6" t="n">
        <x:v>0</x:v>
      </x:c>
      <x:c r="V1304" s="6" t="n">
        <x:v>0</x:v>
      </x:c>
      <x:c r="W1304" s="6" t="n">
        <x:v>0</x:v>
      </x:c>
      <x:c r="X1304" s="6" t="n">
        <x:v>0</x:v>
      </x:c>
      <x:c r="Y1304" s="6" t="n">
        <x:v>0</x:v>
      </x:c>
      <x:c r="Z1304" s="6" t="n">
        <x:v>0</x:v>
      </x:c>
      <x:c r="AA1304" s="6" t="n">
        <x:v>3</x:v>
      </x:c>
      <x:c r="AB1304" s="6" t="n">
        <x:v>11</x:v>
      </x:c>
      <x:c r="AC1304" s="6" t="n">
        <x:v>0</x:v>
      </x:c>
    </x:row>
    <x:row r="1305">
      <x:c r="A1305" s="6" t="n">
        <x:v>3099</x:v>
      </x:c>
      <x:c r="B1305" s="6" t="n">
        <x:v>1970</x:v>
      </x:c>
      <x:c r="C1305" s="6" t="str">
        <x:v>Graduation</x:v>
      </x:c>
      <x:c r="D1305" s="6" t="str">
        <x:v>Divorced</x:v>
      </x:c>
      <x:c r="E1305" s="6" t="n">
        <x:v>44267</x:v>
      </x:c>
      <x:c r="F1305" s="6" t="n">
        <x:v>1</x:v>
      </x:c>
      <x:c r="G1305" s="6" t="n">
        <x:v>1</x:v>
      </x:c>
      <x:c r="H1305" s="9" t="str">
        <x:v>25-02-2013</x:v>
      </x:c>
      <x:c r="I1305" s="6" t="n">
        <x:v>48</x:v>
      </x:c>
      <x:c r="J1305" s="6" t="n">
        <x:v>183</x:v>
      </x:c>
      <x:c r="K1305" s="6" t="n">
        <x:v>5</x:v>
      </x:c>
      <x:c r="L1305" s="6" t="n">
        <x:v>65</x:v>
      </x:c>
      <x:c r="M1305" s="6" t="n">
        <x:v>3</x:v>
      </x:c>
      <x:c r="N1305" s="6" t="n">
        <x:v>5</x:v>
      </x:c>
      <x:c r="O1305" s="6" t="n">
        <x:v>49</x:v>
      </x:c>
      <x:c r="P1305" s="6" t="n">
        <x:v>5</x:v>
      </x:c>
      <x:c r="Q1305" s="6" t="n">
        <x:v>5</x:v>
      </x:c>
      <x:c r="R1305" s="6" t="n">
        <x:v>2</x:v>
      </x:c>
      <x:c r="S1305" s="6" t="n">
        <x:v>4</x:v>
      </x:c>
      <x:c r="T1305" s="6" t="n">
        <x:v>9</x:v>
      </x:c>
      <x:c r="U1305" s="6" t="n">
        <x:v>0</x:v>
      </x:c>
      <x:c r="V1305" s="6" t="n">
        <x:v>0</x:v>
      </x:c>
      <x:c r="W1305" s="6" t="n">
        <x:v>0</x:v>
      </x:c>
      <x:c r="X1305" s="6" t="n">
        <x:v>0</x:v>
      </x:c>
      <x:c r="Y1305" s="6" t="n">
        <x:v>0</x:v>
      </x:c>
      <x:c r="Z1305" s="6" t="n">
        <x:v>0</x:v>
      </x:c>
      <x:c r="AA1305" s="6" t="n">
        <x:v>3</x:v>
      </x:c>
      <x:c r="AB1305" s="6" t="n">
        <x:v>11</x:v>
      </x:c>
      <x:c r="AC1305" s="6" t="n">
        <x:v>0</x:v>
      </x:c>
    </x:row>
    <x:row r="1306">
      <x:c r="A1306" s="6" t="n">
        <x:v>6055</x:v>
      </x:c>
      <x:c r="B1306" s="6" t="n">
        <x:v>1979</x:v>
      </x:c>
      <x:c r="C1306" s="6" t="str">
        <x:v>Graduation</x:v>
      </x:c>
      <x:c r="D1306" s="6" t="str">
        <x:v>Married</x:v>
      </x:c>
      <x:c r="E1306" s="6" t="n">
        <x:v>71626</x:v>
      </x:c>
      <x:c r="F1306" s="6" t="n">
        <x:v>0</x:v>
      </x:c>
      <x:c r="G1306" s="6" t="n">
        <x:v>0</x:v>
      </x:c>
      <x:c r="H1306" s="9" t="str">
        <x:v>01-11-2012</x:v>
      </x:c>
      <x:c r="I1306" s="6" t="n">
        <x:v>94</x:v>
      </x:c>
      <x:c r="J1306" s="6" t="n">
        <x:v>546</x:v>
      </x:c>
      <x:c r="K1306" s="6" t="n">
        <x:v>72</x:v>
      </x:c>
      <x:c r="L1306" s="6" t="n">
        <x:v>376</x:v>
      </x:c>
      <x:c r="M1306" s="6" t="n">
        <x:v>94</x:v>
      </x:c>
      <x:c r="N1306" s="6" t="n">
        <x:v>145</x:v>
      </x:c>
      <x:c r="O1306" s="6" t="n">
        <x:v>72</x:v>
      </x:c>
      <x:c r="P1306" s="6" t="n">
        <x:v>1</x:v>
      </x:c>
      <x:c r="Q1306" s="6" t="n">
        <x:v>5</x:v>
      </x:c>
      <x:c r="R1306" s="6" t="n">
        <x:v>5</x:v>
      </x:c>
      <x:c r="S1306" s="6" t="n">
        <x:v>8</x:v>
      </x:c>
      <x:c r="T1306" s="6" t="n">
        <x:v>3</x:v>
      </x:c>
      <x:c r="U1306" s="6" t="n">
        <x:v>0</x:v>
      </x:c>
      <x:c r="V1306" s="6" t="n">
        <x:v>1</x:v>
      </x:c>
      <x:c r="W1306" s="6" t="n">
        <x:v>0</x:v>
      </x:c>
      <x:c r="X1306" s="6" t="n">
        <x:v>0</x:v>
      </x:c>
      <x:c r="Y1306" s="6" t="n">
        <x:v>0</x:v>
      </x:c>
      <x:c r="Z1306" s="6" t="n">
        <x:v>0</x:v>
      </x:c>
      <x:c r="AA1306" s="6" t="n">
        <x:v>3</x:v>
      </x:c>
      <x:c r="AB1306" s="6" t="n">
        <x:v>11</x:v>
      </x:c>
      <x:c r="AC1306" s="6" t="n">
        <x:v>0</x:v>
      </x:c>
    </x:row>
    <x:row r="1307">
      <x:c r="A1307" s="6" t="n">
        <x:v>5841</x:v>
      </x:c>
      <x:c r="B1307" s="6" t="n">
        <x:v>1966</x:v>
      </x:c>
      <x:c r="C1307" s="6" t="str">
        <x:v>Graduation</x:v>
      </x:c>
      <x:c r="D1307" s="6" t="str">
        <x:v>Together</x:v>
      </x:c>
      <x:c r="E1307" s="6" t="n">
        <x:v>60894</x:v>
      </x:c>
      <x:c r="F1307" s="6" t="n">
        <x:v>0</x:v>
      </x:c>
      <x:c r="G1307" s="6" t="n">
        <x:v>1</x:v>
      </x:c>
      <x:c r="H1307" s="9" t="str">
        <x:v>28-06-2013</x:v>
      </x:c>
      <x:c r="I1307" s="6" t="n">
        <x:v>61</x:v>
      </x:c>
      <x:c r="J1307" s="6" t="n">
        <x:v>606</x:v>
      </x:c>
      <x:c r="K1307" s="6" t="n">
        <x:v>7</x:v>
      </x:c>
      <x:c r="L1307" s="6" t="n">
        <x:v>155</x:v>
      </x:c>
      <x:c r="M1307" s="6" t="n">
        <x:v>10</x:v>
      </x:c>
      <x:c r="N1307" s="6" t="n">
        <x:v>0</x:v>
      </x:c>
      <x:c r="O1307" s="6" t="n">
        <x:v>54</x:v>
      </x:c>
      <x:c r="P1307" s="6" t="n">
        <x:v>5</x:v>
      </x:c>
      <x:c r="Q1307" s="6" t="n">
        <x:v>10</x:v>
      </x:c>
      <x:c r="R1307" s="6" t="n">
        <x:v>3</x:v>
      </x:c>
      <x:c r="S1307" s="6" t="n">
        <x:v>8</x:v>
      </x:c>
      <x:c r="T1307" s="6" t="n">
        <x:v>7</x:v>
      </x:c>
      <x:c r="U1307" s="6" t="n">
        <x:v>0</x:v>
      </x:c>
      <x:c r="V1307" s="6" t="n">
        <x:v>0</x:v>
      </x:c>
      <x:c r="W1307" s="6" t="n">
        <x:v>0</x:v>
      </x:c>
      <x:c r="X1307" s="6" t="n">
        <x:v>0</x:v>
      </x:c>
      <x:c r="Y1307" s="6" t="n">
        <x:v>0</x:v>
      </x:c>
      <x:c r="Z1307" s="6" t="n">
        <x:v>0</x:v>
      </x:c>
      <x:c r="AA1307" s="6" t="n">
        <x:v>3</x:v>
      </x:c>
      <x:c r="AB1307" s="6" t="n">
        <x:v>11</x:v>
      </x:c>
      <x:c r="AC1307" s="6" t="n">
        <x:v>0</x:v>
      </x:c>
    </x:row>
    <x:row r="1308">
      <x:c r="A1308" s="6" t="n">
        <x:v>3972</x:v>
      </x:c>
      <x:c r="B1308" s="6" t="n">
        <x:v>1976</x:v>
      </x:c>
      <x:c r="C1308" s="6" t="str">
        <x:v>Graduation</x:v>
      </x:c>
      <x:c r="D1308" s="6" t="str">
        <x:v>Together</x:v>
      </x:c>
      <x:c r="E1308" s="6" t="n">
        <x:v>50200</x:v>
      </x:c>
      <x:c r="F1308" s="6" t="n">
        <x:v>1</x:v>
      </x:c>
      <x:c r="G1308" s="6" t="n">
        <x:v>1</x:v>
      </x:c>
      <x:c r="H1308" s="9" t="str">
        <x:v>03-04-2013</x:v>
      </x:c>
      <x:c r="I1308" s="6" t="n">
        <x:v>70</x:v>
      </x:c>
      <x:c r="J1308" s="6" t="n">
        <x:v>266</x:v>
      </x:c>
      <x:c r="K1308" s="6" t="n">
        <x:v>6</x:v>
      </x:c>
      <x:c r="L1308" s="6" t="n">
        <x:v>51</x:v>
      </x:c>
      <x:c r="M1308" s="6" t="n">
        <x:v>8</x:v>
      </x:c>
      <x:c r="N1308" s="6" t="n">
        <x:v>6</x:v>
      </x:c>
      <x:c r="O1308" s="6" t="n">
        <x:v>64</x:v>
      </x:c>
      <x:c r="P1308" s="6" t="n">
        <x:v>6</x:v>
      </x:c>
      <x:c r="Q1308" s="6" t="n">
        <x:v>7</x:v>
      </x:c>
      <x:c r="R1308" s="6" t="n">
        <x:v>1</x:v>
      </x:c>
      <x:c r="S1308" s="6" t="n">
        <x:v>5</x:v>
      </x:c>
      <x:c r="T1308" s="6" t="n">
        <x:v>8</x:v>
      </x:c>
      <x:c r="U1308" s="6" t="n">
        <x:v>0</x:v>
      </x:c>
      <x:c r="V1308" s="6" t="n">
        <x:v>0</x:v>
      </x:c>
      <x:c r="W1308" s="6" t="n">
        <x:v>0</x:v>
      </x:c>
      <x:c r="X1308" s="6" t="n">
        <x:v>0</x:v>
      </x:c>
      <x:c r="Y1308" s="6" t="n">
        <x:v>0</x:v>
      </x:c>
      <x:c r="Z1308" s="6" t="n">
        <x:v>0</x:v>
      </x:c>
      <x:c r="AA1308" s="6" t="n">
        <x:v>3</x:v>
      </x:c>
      <x:c r="AB1308" s="6" t="n">
        <x:v>11</x:v>
      </x:c>
      <x:c r="AC1308" s="6" t="n">
        <x:v>0</x:v>
      </x:c>
    </x:row>
    <x:row r="1309">
      <x:c r="A1309" s="6" t="n">
        <x:v>4394</x:v>
      </x:c>
      <x:c r="B1309" s="6" t="n">
        <x:v>1965</x:v>
      </x:c>
      <x:c r="C1309" s="6" t="str">
        <x:v>PhD</x:v>
      </x:c>
      <x:c r="D1309" s="6" t="str">
        <x:v>Married</x:v>
      </x:c>
      <x:c r="E1309" s="6" t="n">
        <x:v>81051</x:v>
      </x:c>
      <x:c r="F1309" s="6" t="n">
        <x:v>0</x:v>
      </x:c>
      <x:c r="G1309" s="6" t="n">
        <x:v>0</x:v>
      </x:c>
      <x:c r="H1309" s="9" t="str">
        <x:v>23-05-2014</x:v>
      </x:c>
      <x:c r="I1309" s="6" t="n">
        <x:v>43</x:v>
      </x:c>
      <x:c r="J1309" s="6" t="n">
        <x:v>1142</x:v>
      </x:c>
      <x:c r="K1309" s="6" t="n">
        <x:v>29</x:v>
      </x:c>
      <x:c r="L1309" s="6" t="n">
        <x:v>249</x:v>
      </x:c>
      <x:c r="M1309" s="6" t="n">
        <x:v>38</x:v>
      </x:c>
      <x:c r="N1309" s="6" t="n">
        <x:v>29</x:v>
      </x:c>
      <x:c r="O1309" s="6" t="n">
        <x:v>14</x:v>
      </x:c>
      <x:c r="P1309" s="6" t="n">
        <x:v>1</x:v>
      </x:c>
      <x:c r="Q1309" s="6" t="n">
        <x:v>5</x:v>
      </x:c>
      <x:c r="R1309" s="6" t="n">
        <x:v>5</x:v>
      </x:c>
      <x:c r="S1309" s="6" t="n">
        <x:v>12</x:v>
      </x:c>
      <x:c r="T1309" s="6" t="n">
        <x:v>2</x:v>
      </x:c>
      <x:c r="U1309" s="6" t="n">
        <x:v>0</x:v>
      </x:c>
      <x:c r="V1309" s="6" t="n">
        <x:v>1</x:v>
      </x:c>
      <x:c r="W1309" s="6" t="n">
        <x:v>1</x:v>
      </x:c>
      <x:c r="X1309" s="6" t="n">
        <x:v>0</x:v>
      </x:c>
      <x:c r="Y1309" s="6" t="n">
        <x:v>0</x:v>
      </x:c>
      <x:c r="Z1309" s="6" t="n">
        <x:v>0</x:v>
      </x:c>
      <x:c r="AA1309" s="6" t="n">
        <x:v>3</x:v>
      </x:c>
      <x:c r="AB1309" s="6" t="n">
        <x:v>11</x:v>
      </x:c>
      <x:c r="AC1309" s="6" t="n">
        <x:v>0</x:v>
      </x:c>
    </x:row>
    <x:row r="1310">
      <x:c r="A1310" s="6" t="n">
        <x:v>5758</x:v>
      </x:c>
      <x:c r="B1310" s="6" t="n">
        <x:v>1982</x:v>
      </x:c>
      <x:c r="C1310" s="6" t="str">
        <x:v>Graduation</x:v>
      </x:c>
      <x:c r="D1310" s="6" t="str">
        <x:v>Married</x:v>
      </x:c>
      <x:c r="E1310" s="6" t="n">
        <x:v>65169</x:v>
      </x:c>
      <x:c r="F1310" s="6" t="n">
        <x:v>0</x:v>
      </x:c>
      <x:c r="G1310" s="6" t="n">
        <x:v>0</x:v>
      </x:c>
      <x:c r="H1310" s="9" t="str">
        <x:v>14-01-2014</x:v>
      </x:c>
      <x:c r="I1310" s="6" t="n">
        <x:v>23</x:v>
      </x:c>
      <x:c r="J1310" s="6" t="n">
        <x:v>1074</x:v>
      </x:c>
      <x:c r="K1310" s="6" t="n">
        <x:v>0</x:v>
      </x:c>
      <x:c r="L1310" s="6" t="n">
        <x:v>69</x:v>
      </x:c>
      <x:c r="M1310" s="6" t="n">
        <x:v>0</x:v>
      </x:c>
      <x:c r="N1310" s="6" t="n">
        <x:v>0</x:v>
      </x:c>
      <x:c r="O1310" s="6" t="n">
        <x:v>46</x:v>
      </x:c>
      <x:c r="P1310" s="6" t="n">
        <x:v>1</x:v>
      </x:c>
      <x:c r="Q1310" s="6" t="n">
        <x:v>10</x:v>
      </x:c>
      <x:c r="R1310" s="6" t="n">
        <x:v>4</x:v>
      </x:c>
      <x:c r="S1310" s="6" t="n">
        <x:v>13</x:v>
      </x:c>
      <x:c r="T1310" s="6" t="n">
        <x:v>6</x:v>
      </x:c>
      <x:c r="U1310" s="6" t="n">
        <x:v>1</x:v>
      </x:c>
      <x:c r="V1310" s="6" t="n">
        <x:v>0</x:v>
      </x:c>
      <x:c r="W1310" s="6" t="n">
        <x:v>1</x:v>
      </x:c>
      <x:c r="X1310" s="6" t="n">
        <x:v>1</x:v>
      </x:c>
      <x:c r="Y1310" s="6" t="n">
        <x:v>1</x:v>
      </x:c>
      <x:c r="Z1310" s="6" t="n">
        <x:v>0</x:v>
      </x:c>
      <x:c r="AA1310" s="6" t="n">
        <x:v>3</x:v>
      </x:c>
      <x:c r="AB1310" s="6" t="n">
        <x:v>11</x:v>
      </x:c>
      <x:c r="AC1310" s="6" t="n">
        <x:v>1</x:v>
      </x:c>
    </x:row>
    <x:row r="1311">
      <x:c r="A1311" s="6" t="n">
        <x:v>6658</x:v>
      </x:c>
      <x:c r="B1311" s="6" t="n">
        <x:v>1972</x:v>
      </x:c>
      <x:c r="C1311" s="6" t="str">
        <x:v>Graduation</x:v>
      </x:c>
      <x:c r="D1311" s="6" t="str">
        <x:v>Together</x:v>
      </x:c>
      <x:c r="E1311" s="6" t="n">
        <x:v>59868</x:v>
      </x:c>
      <x:c r="F1311" s="6" t="n">
        <x:v>0</x:v>
      </x:c>
      <x:c r="G1311" s="6" t="n">
        <x:v>1</x:v>
      </x:c>
      <x:c r="H1311" s="9" t="str">
        <x:v>22-07-2013</x:v>
      </x:c>
      <x:c r="I1311" s="6" t="n">
        <x:v>37</x:v>
      </x:c>
      <x:c r="J1311" s="6" t="n">
        <x:v>771</x:v>
      </x:c>
      <x:c r="K1311" s="6" t="n">
        <x:v>51</x:v>
      </x:c>
      <x:c r="L1311" s="6" t="n">
        <x:v>154</x:v>
      </x:c>
      <x:c r="M1311" s="6" t="n">
        <x:v>54</x:v>
      </x:c>
      <x:c r="N1311" s="6" t="n">
        <x:v>10</x:v>
      </x:c>
      <x:c r="O1311" s="6" t="n">
        <x:v>154</x:v>
      </x:c>
      <x:c r="P1311" s="6" t="n">
        <x:v>7</x:v>
      </x:c>
      <x:c r="Q1311" s="6" t="n">
        <x:v>11</x:v>
      </x:c>
      <x:c r="R1311" s="6" t="n">
        <x:v>2</x:v>
      </x:c>
      <x:c r="S1311" s="6" t="n">
        <x:v>12</x:v>
      </x:c>
      <x:c r="T1311" s="6" t="n">
        <x:v>6</x:v>
      </x:c>
      <x:c r="U1311" s="6" t="n">
        <x:v>0</x:v>
      </x:c>
      <x:c r="V1311" s="6" t="n">
        <x:v>0</x:v>
      </x:c>
      <x:c r="W1311" s="6" t="n">
        <x:v>0</x:v>
      </x:c>
      <x:c r="X1311" s="6" t="n">
        <x:v>0</x:v>
      </x:c>
      <x:c r="Y1311" s="6" t="n">
        <x:v>0</x:v>
      </x:c>
      <x:c r="Z1311" s="6" t="n">
        <x:v>0</x:v>
      </x:c>
      <x:c r="AA1311" s="6" t="n">
        <x:v>3</x:v>
      </x:c>
      <x:c r="AB1311" s="6" t="n">
        <x:v>11</x:v>
      </x:c>
      <x:c r="AC1311" s="6" t="n">
        <x:v>0</x:v>
      </x:c>
    </x:row>
    <x:row r="1312">
      <x:c r="A1312" s="6" t="n">
        <x:v>4603</x:v>
      </x:c>
      <x:c r="B1312" s="6" t="n">
        <x:v>1960</x:v>
      </x:c>
      <x:c r="C1312" s="6" t="str">
        <x:v>PhD</x:v>
      </x:c>
      <x:c r="D1312" s="6" t="str">
        <x:v>Married</x:v>
      </x:c>
      <x:c r="E1312" s="6" t="n">
        <x:v>65695</x:v>
      </x:c>
      <x:c r="F1312" s="6" t="n">
        <x:v>0</x:v>
      </x:c>
      <x:c r="G1312" s="6" t="n">
        <x:v>1</x:v>
      </x:c>
      <x:c r="H1312" s="9" t="str">
        <x:v>31-01-2014</x:v>
      </x:c>
      <x:c r="I1312" s="6" t="n">
        <x:v>50</x:v>
      </x:c>
      <x:c r="J1312" s="6" t="n">
        <x:v>371</x:v>
      </x:c>
      <x:c r="K1312" s="6" t="n">
        <x:v>32</x:v>
      </x:c>
      <x:c r="L1312" s="6" t="n">
        <x:v>189</x:v>
      </x:c>
      <x:c r="M1312" s="6" t="n">
        <x:v>0</x:v>
      </x:c>
      <x:c r="N1312" s="6" t="n">
        <x:v>58</x:v>
      </x:c>
      <x:c r="O1312" s="6" t="n">
        <x:v>6</x:v>
      </x:c>
      <x:c r="P1312" s="6" t="n">
        <x:v>2</x:v>
      </x:c>
      <x:c r="Q1312" s="6" t="n">
        <x:v>5</x:v>
      </x:c>
      <x:c r="R1312" s="6" t="n">
        <x:v>4</x:v>
      </x:c>
      <x:c r="S1312" s="6" t="n">
        <x:v>10</x:v>
      </x:c>
      <x:c r="T1312" s="6" t="n">
        <x:v>4</x:v>
      </x:c>
      <x:c r="U1312" s="6" t="n">
        <x:v>0</x:v>
      </x:c>
      <x:c r="V1312" s="6" t="n">
        <x:v>0</x:v>
      </x:c>
      <x:c r="W1312" s="6" t="n">
        <x:v>0</x:v>
      </x:c>
      <x:c r="X1312" s="6" t="n">
        <x:v>0</x:v>
      </x:c>
      <x:c r="Y1312" s="6" t="n">
        <x:v>0</x:v>
      </x:c>
      <x:c r="Z1312" s="6" t="n">
        <x:v>0</x:v>
      </x:c>
      <x:c r="AA1312" s="6" t="n">
        <x:v>3</x:v>
      </x:c>
      <x:c r="AB1312" s="6" t="n">
        <x:v>11</x:v>
      </x:c>
      <x:c r="AC1312" s="6" t="n">
        <x:v>0</x:v>
      </x:c>
    </x:row>
    <x:row r="1313">
      <x:c r="A1313" s="6" t="n">
        <x:v>8427</x:v>
      </x:c>
      <x:c r="B1313" s="6" t="n">
        <x:v>1956</x:v>
      </x:c>
      <x:c r="C1313" s="6" t="str">
        <x:v>Master</x:v>
      </x:c>
      <x:c r="D1313" s="6" t="str">
        <x:v>Single</x:v>
      </x:c>
      <x:c r="E1313" s="6" t="n">
        <x:v>64857</x:v>
      </x:c>
      <x:c r="F1313" s="6" t="n">
        <x:v>0</x:v>
      </x:c>
      <x:c r="G1313" s="6" t="n">
        <x:v>0</x:v>
      </x:c>
      <x:c r="H1313" s="9" t="str">
        <x:v>23-11-2012</x:v>
      </x:c>
      <x:c r="I1313" s="6" t="n">
        <x:v>78</x:v>
      </x:c>
      <x:c r="J1313" s="6" t="n">
        <x:v>556</x:v>
      </x:c>
      <x:c r="K1313" s="6" t="n">
        <x:v>14</x:v>
      </x:c>
      <x:c r="L1313" s="6" t="n">
        <x:v>717</x:v>
      </x:c>
      <x:c r="M1313" s="6" t="n">
        <x:v>210</x:v>
      </x:c>
      <x:c r="N1313" s="6" t="n">
        <x:v>0</x:v>
      </x:c>
      <x:c r="O1313" s="6" t="n">
        <x:v>43</x:v>
      </x:c>
      <x:c r="P1313" s="6" t="n">
        <x:v>1</x:v>
      </x:c>
      <x:c r="Q1313" s="6" t="n">
        <x:v>7</x:v>
      </x:c>
      <x:c r="R1313" s="6" t="n">
        <x:v>5</x:v>
      </x:c>
      <x:c r="S1313" s="6" t="n">
        <x:v>10</x:v>
      </x:c>
      <x:c r="T1313" s="6" t="n">
        <x:v>4</x:v>
      </x:c>
      <x:c r="U1313" s="6" t="n">
        <x:v>0</x:v>
      </x:c>
      <x:c r="V1313" s="6" t="n">
        <x:v>0</x:v>
      </x:c>
      <x:c r="W1313" s="6" t="n">
        <x:v>0</x:v>
      </x:c>
      <x:c r="X1313" s="6" t="n">
        <x:v>0</x:v>
      </x:c>
      <x:c r="Y1313" s="6" t="n">
        <x:v>0</x:v>
      </x:c>
      <x:c r="Z1313" s="6" t="n">
        <x:v>0</x:v>
      </x:c>
      <x:c r="AA1313" s="6" t="n">
        <x:v>3</x:v>
      </x:c>
      <x:c r="AB1313" s="6" t="n">
        <x:v>11</x:v>
      </x:c>
      <x:c r="AC1313" s="6" t="n">
        <x:v>0</x:v>
      </x:c>
    </x:row>
    <x:row r="1314">
      <x:c r="A1314" s="6" t="n">
        <x:v>10260</x:v>
      </x:c>
      <x:c r="B1314" s="6" t="n">
        <x:v>1965</x:v>
      </x:c>
      <x:c r="C1314" s="6" t="str">
        <x:v>Master</x:v>
      </x:c>
      <x:c r="D1314" s="6" t="str">
        <x:v>Together</x:v>
      </x:c>
      <x:c r="E1314" s="6" t="n">
        <x:v>45143</x:v>
      </x:c>
      <x:c r="F1314" s="6" t="n">
        <x:v>0</x:v>
      </x:c>
      <x:c r="G1314" s="6" t="n">
        <x:v>1</x:v>
      </x:c>
      <x:c r="H1314" s="9" t="str">
        <x:v>26-08-2013</x:v>
      </x:c>
      <x:c r="I1314" s="6" t="n">
        <x:v>74</x:v>
      </x:c>
      <x:c r="J1314" s="6" t="n">
        <x:v>202</x:v>
      </x:c>
      <x:c r="K1314" s="6" t="n">
        <x:v>5</x:v>
      </x:c>
      <x:c r="L1314" s="6" t="n">
        <x:v>74</x:v>
      </x:c>
      <x:c r="M1314" s="6" t="n">
        <x:v>11</x:v>
      </x:c>
      <x:c r="N1314" s="6" t="n">
        <x:v>5</x:v>
      </x:c>
      <x:c r="O1314" s="6" t="n">
        <x:v>14</x:v>
      </x:c>
      <x:c r="P1314" s="6" t="n">
        <x:v>3</x:v>
      </x:c>
      <x:c r="Q1314" s="6" t="n">
        <x:v>6</x:v>
      </x:c>
      <x:c r="R1314" s="6" t="n">
        <x:v>1</x:v>
      </x:c>
      <x:c r="S1314" s="6" t="n">
        <x:v>5</x:v>
      </x:c>
      <x:c r="T1314" s="6" t="n">
        <x:v>7</x:v>
      </x:c>
      <x:c r="U1314" s="6" t="n">
        <x:v>0</x:v>
      </x:c>
      <x:c r="V1314" s="6" t="n">
        <x:v>0</x:v>
      </x:c>
      <x:c r="W1314" s="6" t="n">
        <x:v>0</x:v>
      </x:c>
      <x:c r="X1314" s="6" t="n">
        <x:v>0</x:v>
      </x:c>
      <x:c r="Y1314" s="6" t="n">
        <x:v>0</x:v>
      </x:c>
      <x:c r="Z1314" s="6" t="n">
        <x:v>0</x:v>
      </x:c>
      <x:c r="AA1314" s="6" t="n">
        <x:v>3</x:v>
      </x:c>
      <x:c r="AB1314" s="6" t="n">
        <x:v>11</x:v>
      </x:c>
      <x:c r="AC1314" s="6" t="n">
        <x:v>0</x:v>
      </x:c>
    </x:row>
    <x:row r="1315">
      <x:c r="A1315" s="6" t="n">
        <x:v>7143</x:v>
      </x:c>
      <x:c r="B1315" s="6" t="n">
        <x:v>1955</x:v>
      </x:c>
      <x:c r="C1315" s="6" t="str">
        <x:v>2n Cycle</x:v>
      </x:c>
      <x:c r="D1315" s="6" t="str">
        <x:v>Together</x:v>
      </x:c>
      <x:c r="E1315" s="6" t="n">
        <x:v>74805</x:v>
      </x:c>
      <x:c r="F1315" s="6" t="n">
        <x:v>0</x:v>
      </x:c>
      <x:c r="G1315" s="6" t="n">
        <x:v>1</x:v>
      </x:c>
      <x:c r="H1315" s="9" t="str">
        <x:v>06-11-2013</x:v>
      </x:c>
      <x:c r="I1315" s="6" t="n">
        <x:v>14</x:v>
      </x:c>
      <x:c r="J1315" s="6" t="n">
        <x:v>209</x:v>
      </x:c>
      <x:c r="K1315" s="6" t="n">
        <x:v>162</x:v>
      </x:c>
      <x:c r="L1315" s="6" t="n">
        <x:v>209</x:v>
      </x:c>
      <x:c r="M1315" s="6" t="n">
        <x:v>41</x:v>
      </x:c>
      <x:c r="N1315" s="6" t="n">
        <x:v>162</x:v>
      </x:c>
      <x:c r="O1315" s="6" t="n">
        <x:v>37</x:v>
      </x:c>
      <x:c r="P1315" s="6" t="n">
        <x:v>5</x:v>
      </x:c>
      <x:c r="Q1315" s="6" t="n">
        <x:v>4</x:v>
      </x:c>
      <x:c r="R1315" s="6" t="n">
        <x:v>7</x:v>
      </x:c>
      <x:c r="S1315" s="6" t="n">
        <x:v>10</x:v>
      </x:c>
      <x:c r="T1315" s="6" t="n">
        <x:v>2</x:v>
      </x:c>
      <x:c r="U1315" s="6" t="n">
        <x:v>0</x:v>
      </x:c>
      <x:c r="V1315" s="6" t="n">
        <x:v>0</x:v>
      </x:c>
      <x:c r="W1315" s="6" t="n">
        <x:v>0</x:v>
      </x:c>
      <x:c r="X1315" s="6" t="n">
        <x:v>0</x:v>
      </x:c>
      <x:c r="Y1315" s="6" t="n">
        <x:v>0</x:v>
      </x:c>
      <x:c r="Z1315" s="6" t="n">
        <x:v>0</x:v>
      </x:c>
      <x:c r="AA1315" s="6" t="n">
        <x:v>3</x:v>
      </x:c>
      <x:c r="AB1315" s="6" t="n">
        <x:v>11</x:v>
      </x:c>
      <x:c r="AC1315" s="6" t="n">
        <x:v>0</x:v>
      </x:c>
    </x:row>
    <x:row r="1316">
      <x:c r="A1316" s="6" t="n">
        <x:v>8789</x:v>
      </x:c>
      <x:c r="B1316" s="6" t="n">
        <x:v>1989</x:v>
      </x:c>
      <x:c r="C1316" s="6" t="str">
        <x:v>2n Cycle</x:v>
      </x:c>
      <x:c r="D1316" s="6" t="str">
        <x:v>Married</x:v>
      </x:c>
      <x:c r="E1316" s="6" t="n">
        <x:v>59060</x:v>
      </x:c>
      <x:c r="F1316" s="6" t="n">
        <x:v>1</x:v>
      </x:c>
      <x:c r="G1316" s="6" t="n">
        <x:v>0</x:v>
      </x:c>
      <x:c r="H1316" s="9" t="str">
        <x:v>11-01-2014</x:v>
      </x:c>
      <x:c r="I1316" s="6" t="n">
        <x:v>77</x:v>
      </x:c>
      <x:c r="J1316" s="6" t="n">
        <x:v>35</x:v>
      </x:c>
      <x:c r="K1316" s="6" t="n">
        <x:v>40</x:v>
      </x:c>
      <x:c r="L1316" s="6" t="n">
        <x:v>111</x:v>
      </x:c>
      <x:c r="M1316" s="6" t="n">
        <x:v>36</x:v>
      </x:c>
      <x:c r="N1316" s="6" t="n">
        <x:v>40</x:v>
      </x:c>
      <x:c r="O1316" s="6" t="n">
        <x:v>12</x:v>
      </x:c>
      <x:c r="P1316" s="6" t="n">
        <x:v>3</x:v>
      </x:c>
      <x:c r="Q1316" s="6" t="n">
        <x:v>3</x:v>
      </x:c>
      <x:c r="R1316" s="6" t="n">
        <x:v>1</x:v>
      </x:c>
      <x:c r="S1316" s="6" t="n">
        <x:v>7</x:v>
      </x:c>
      <x:c r="T1316" s="6" t="n">
        <x:v>4</x:v>
      </x:c>
      <x:c r="U1316" s="6" t="n">
        <x:v>0</x:v>
      </x:c>
      <x:c r="V1316" s="6" t="n">
        <x:v>0</x:v>
      </x:c>
      <x:c r="W1316" s="6" t="n">
        <x:v>0</x:v>
      </x:c>
      <x:c r="X1316" s="6" t="n">
        <x:v>0</x:v>
      </x:c>
      <x:c r="Y1316" s="6" t="n">
        <x:v>0</x:v>
      </x:c>
      <x:c r="Z1316" s="6" t="n">
        <x:v>0</x:v>
      </x:c>
      <x:c r="AA1316" s="6" t="n">
        <x:v>3</x:v>
      </x:c>
      <x:c r="AB1316" s="6" t="n">
        <x:v>11</x:v>
      </x:c>
      <x:c r="AC1316" s="6" t="n">
        <x:v>0</x:v>
      </x:c>
    </x:row>
    <x:row r="1317">
      <x:c r="A1317" s="6" t="n">
        <x:v>6197</x:v>
      </x:c>
      <x:c r="B1317" s="6" t="n">
        <x:v>1962</x:v>
      </x:c>
      <x:c r="C1317" s="6" t="str">
        <x:v>PhD</x:v>
      </x:c>
      <x:c r="D1317" s="6" t="str">
        <x:v>Single</x:v>
      </x:c>
      <x:c r="E1317" s="6" t="n">
        <x:v>27238</x:v>
      </x:c>
      <x:c r="F1317" s="6" t="n">
        <x:v>1</x:v>
      </x:c>
      <x:c r="G1317" s="6" t="n">
        <x:v>1</x:v>
      </x:c>
      <x:c r="H1317" s="9" t="str">
        <x:v>20-04-2013</x:v>
      </x:c>
      <x:c r="I1317" s="6" t="n">
        <x:v>39</x:v>
      </x:c>
      <x:c r="J1317" s="6" t="n">
        <x:v>37</x:v>
      </x:c>
      <x:c r="K1317" s="6" t="n">
        <x:v>0</x:v>
      </x:c>
      <x:c r="L1317" s="6" t="n">
        <x:v>17</x:v>
      </x:c>
      <x:c r="M1317" s="6" t="n">
        <x:v>0</x:v>
      </x:c>
      <x:c r="N1317" s="6" t="n">
        <x:v>0</x:v>
      </x:c>
      <x:c r="O1317" s="6" t="n">
        <x:v>3</x:v>
      </x:c>
      <x:c r="P1317" s="6" t="n">
        <x:v>3</x:v>
      </x:c>
      <x:c r="Q1317" s="6" t="n">
        <x:v>3</x:v>
      </x:c>
      <x:c r="R1317" s="6" t="n">
        <x:v>0</x:v>
      </x:c>
      <x:c r="S1317" s="6" t="n">
        <x:v>3</x:v>
      </x:c>
      <x:c r="T1317" s="6" t="n">
        <x:v>9</x:v>
      </x:c>
      <x:c r="U1317" s="6" t="n">
        <x:v>0</x:v>
      </x:c>
      <x:c r="V1317" s="6" t="n">
        <x:v>0</x:v>
      </x:c>
      <x:c r="W1317" s="6" t="n">
        <x:v>0</x:v>
      </x:c>
      <x:c r="X1317" s="6" t="n">
        <x:v>0</x:v>
      </x:c>
      <x:c r="Y1317" s="6" t="n">
        <x:v>0</x:v>
      </x:c>
      <x:c r="Z1317" s="6" t="n">
        <x:v>0</x:v>
      </x:c>
      <x:c r="AA1317" s="6" t="n">
        <x:v>3</x:v>
      </x:c>
      <x:c r="AB1317" s="6" t="n">
        <x:v>11</x:v>
      </x:c>
      <x:c r="AC1317" s="6" t="n">
        <x:v>0</x:v>
      </x:c>
    </x:row>
    <x:row r="1318">
      <x:c r="A1318" s="6" t="n">
        <x:v>4554</x:v>
      </x:c>
      <x:c r="B1318" s="6" t="n">
        <x:v>1965</x:v>
      </x:c>
      <x:c r="C1318" s="6" t="str">
        <x:v>Graduation</x:v>
      </x:c>
      <x:c r="D1318" s="6" t="str">
        <x:v>Together</x:v>
      </x:c>
      <x:c r="E1318" s="6" t="n">
        <x:v>47009</x:v>
      </x:c>
      <x:c r="F1318" s="6" t="n">
        <x:v>0</x:v>
      </x:c>
      <x:c r="G1318" s="6" t="n">
        <x:v>1</x:v>
      </x:c>
      <x:c r="H1318" s="9" t="str">
        <x:v>01-10-2013</x:v>
      </x:c>
      <x:c r="I1318" s="6" t="n">
        <x:v>89</x:v>
      </x:c>
      <x:c r="J1318" s="6" t="n">
        <x:v>171</x:v>
      </x:c>
      <x:c r="K1318" s="6" t="n">
        <x:v>45</x:v>
      </x:c>
      <x:c r="L1318" s="6" t="n">
        <x:v>73</x:v>
      </x:c>
      <x:c r="M1318" s="6" t="n">
        <x:v>59</x:v>
      </x:c>
      <x:c r="N1318" s="6" t="n">
        <x:v>10</x:v>
      </x:c>
      <x:c r="O1318" s="6" t="n">
        <x:v>90</x:v>
      </x:c>
      <x:c r="P1318" s="6" t="n">
        <x:v>4</x:v>
      </x:c>
      <x:c r="Q1318" s="6" t="n">
        <x:v>3</x:v>
      </x:c>
      <x:c r="R1318" s="6" t="n">
        <x:v>2</x:v>
      </x:c>
      <x:c r="S1318" s="6" t="n">
        <x:v>8</x:v>
      </x:c>
      <x:c r="T1318" s="6" t="n">
        <x:v>4</x:v>
      </x:c>
      <x:c r="U1318" s="6" t="n">
        <x:v>0</x:v>
      </x:c>
      <x:c r="V1318" s="6" t="n">
        <x:v>0</x:v>
      </x:c>
      <x:c r="W1318" s="6" t="n">
        <x:v>0</x:v>
      </x:c>
      <x:c r="X1318" s="6" t="n">
        <x:v>0</x:v>
      </x:c>
      <x:c r="Y1318" s="6" t="n">
        <x:v>0</x:v>
      </x:c>
      <x:c r="Z1318" s="6" t="n">
        <x:v>0</x:v>
      </x:c>
      <x:c r="AA1318" s="6" t="n">
        <x:v>3</x:v>
      </x:c>
      <x:c r="AB1318" s="6" t="n">
        <x:v>11</x:v>
      </x:c>
      <x:c r="AC1318" s="6" t="n">
        <x:v>0</x:v>
      </x:c>
    </x:row>
    <x:row r="1319">
      <x:c r="A1319" s="6" t="n">
        <x:v>4937</x:v>
      </x:c>
      <x:c r="B1319" s="6" t="n">
        <x:v>1973</x:v>
      </x:c>
      <x:c r="C1319" s="6" t="str">
        <x:v>2n Cycle</x:v>
      </x:c>
      <x:c r="D1319" s="6" t="str">
        <x:v>Married</x:v>
      </x:c>
      <x:c r="E1319" s="6" t="n">
        <x:v>46094</x:v>
      </x:c>
      <x:c r="F1319" s="6" t="n">
        <x:v>1</x:v>
      </x:c>
      <x:c r="G1319" s="6" t="n">
        <x:v>1</x:v>
      </x:c>
      <x:c r="H1319" s="9" t="str">
        <x:v>10-06-2014</x:v>
      </x:c>
      <x:c r="I1319" s="6" t="n">
        <x:v>62</x:v>
      </x:c>
      <x:c r="J1319" s="6" t="n">
        <x:v>12</x:v>
      </x:c>
      <x:c r="K1319" s="6" t="n">
        <x:v>2</x:v>
      </x:c>
      <x:c r="L1319" s="6" t="n">
        <x:v>20</x:v>
      </x:c>
      <x:c r="M1319" s="6" t="n">
        <x:v>3</x:v>
      </x:c>
      <x:c r="N1319" s="6" t="n">
        <x:v>2</x:v>
      </x:c>
      <x:c r="O1319" s="6" t="n">
        <x:v>5</x:v>
      </x:c>
      <x:c r="P1319" s="6" t="n">
        <x:v>1</x:v>
      </x:c>
      <x:c r="Q1319" s="6" t="n">
        <x:v>1</x:v>
      </x:c>
      <x:c r="R1319" s="6" t="n">
        <x:v>0</x:v>
      </x:c>
      <x:c r="S1319" s="6" t="n">
        <x:v>3</x:v>
      </x:c>
      <x:c r="T1319" s="6" t="n">
        <x:v>7</x:v>
      </x:c>
      <x:c r="U1319" s="6" t="n">
        <x:v>0</x:v>
      </x:c>
      <x:c r="V1319" s="6" t="n">
        <x:v>0</x:v>
      </x:c>
      <x:c r="W1319" s="6" t="n">
        <x:v>0</x:v>
      </x:c>
      <x:c r="X1319" s="6" t="n">
        <x:v>0</x:v>
      </x:c>
      <x:c r="Y1319" s="6" t="n">
        <x:v>0</x:v>
      </x:c>
      <x:c r="Z1319" s="6" t="n">
        <x:v>0</x:v>
      </x:c>
      <x:c r="AA1319" s="6" t="n">
        <x:v>3</x:v>
      </x:c>
      <x:c r="AB1319" s="6" t="n">
        <x:v>11</x:v>
      </x:c>
      <x:c r="AC1319" s="6" t="n">
        <x:v>0</x:v>
      </x:c>
    </x:row>
    <x:row r="1320">
      <x:c r="A1320" s="6" t="n">
        <x:v>1920</x:v>
      </x:c>
      <x:c r="B1320" s="6" t="n">
        <x:v>1972</x:v>
      </x:c>
      <x:c r="C1320" s="6" t="str">
        <x:v>Graduation</x:v>
      </x:c>
      <x:c r="D1320" s="6" t="str">
        <x:v>Married</x:v>
      </x:c>
      <x:c r="E1320" s="6" t="n">
        <x:v>40321</x:v>
      </x:c>
      <x:c r="F1320" s="6" t="n">
        <x:v>1</x:v>
      </x:c>
      <x:c r="G1320" s="6" t="n">
        <x:v>1</x:v>
      </x:c>
      <x:c r="H1320" s="9" t="str">
        <x:v>29-07-2013</x:v>
      </x:c>
      <x:c r="I1320" s="6" t="n">
        <x:v>59</x:v>
      </x:c>
      <x:c r="J1320" s="6" t="n">
        <x:v>44</x:v>
      </x:c>
      <x:c r="K1320" s="6" t="n">
        <x:v>4</x:v>
      </x:c>
      <x:c r="L1320" s="6" t="n">
        <x:v>21</x:v>
      </x:c>
      <x:c r="M1320" s="6" t="n">
        <x:v>6</x:v>
      </x:c>
      <x:c r="N1320" s="6" t="n">
        <x:v>0</x:v>
      </x:c>
      <x:c r="O1320" s="6" t="n">
        <x:v>27</x:v>
      </x:c>
      <x:c r="P1320" s="6" t="n">
        <x:v>2</x:v>
      </x:c>
      <x:c r="Q1320" s="6" t="n">
        <x:v>3</x:v>
      </x:c>
      <x:c r="R1320" s="6" t="n">
        <x:v>0</x:v>
      </x:c>
      <x:c r="S1320" s="6" t="n">
        <x:v>3</x:v>
      </x:c>
      <x:c r="T1320" s="6" t="n">
        <x:v>7</x:v>
      </x:c>
      <x:c r="U1320" s="6" t="n">
        <x:v>0</x:v>
      </x:c>
      <x:c r="V1320" s="6" t="n">
        <x:v>0</x:v>
      </x:c>
      <x:c r="W1320" s="6" t="n">
        <x:v>0</x:v>
      </x:c>
      <x:c r="X1320" s="6" t="n">
        <x:v>0</x:v>
      </x:c>
      <x:c r="Y1320" s="6" t="n">
        <x:v>0</x:v>
      </x:c>
      <x:c r="Z1320" s="6" t="n">
        <x:v>0</x:v>
      </x:c>
      <x:c r="AA1320" s="6" t="n">
        <x:v>3</x:v>
      </x:c>
      <x:c r="AB1320" s="6" t="n">
        <x:v>11</x:v>
      </x:c>
      <x:c r="AC1320" s="6" t="n">
        <x:v>0</x:v>
      </x:c>
    </x:row>
    <x:row r="1321">
      <x:c r="A1321" s="6" t="n">
        <x:v>8749</x:v>
      </x:c>
      <x:c r="B1321" s="6" t="n">
        <x:v>1984</x:v>
      </x:c>
      <x:c r="C1321" s="6" t="str">
        <x:v>Graduation</x:v>
      </x:c>
      <x:c r="D1321" s="6" t="str">
        <x:v>Together</x:v>
      </x:c>
      <x:c r="E1321" s="6" t="n">
        <x:v>37235</x:v>
      </x:c>
      <x:c r="F1321" s="6" t="n">
        <x:v>1</x:v>
      </x:c>
      <x:c r="G1321" s="6" t="n">
        <x:v>0</x:v>
      </x:c>
      <x:c r="H1321" s="9" t="str">
        <x:v>01-02-2014</x:v>
      </x:c>
      <x:c r="I1321" s="6" t="n">
        <x:v>68</x:v>
      </x:c>
      <x:c r="J1321" s="6" t="n">
        <x:v>20</x:v>
      </x:c>
      <x:c r="K1321" s="6" t="n">
        <x:v>2</x:v>
      </x:c>
      <x:c r="L1321" s="6" t="n">
        <x:v>9</x:v>
      </x:c>
      <x:c r="M1321" s="6" t="n">
        <x:v>4</x:v>
      </x:c>
      <x:c r="N1321" s="6" t="n">
        <x:v>6</x:v>
      </x:c>
      <x:c r="O1321" s="6" t="n">
        <x:v>20</x:v>
      </x:c>
      <x:c r="P1321" s="6" t="n">
        <x:v>1</x:v>
      </x:c>
      <x:c r="Q1321" s="6" t="n">
        <x:v>1</x:v>
      </x:c>
      <x:c r="R1321" s="6" t="n">
        <x:v>1</x:v>
      </x:c>
      <x:c r="S1321" s="6" t="n">
        <x:v>2</x:v>
      </x:c>
      <x:c r="T1321" s="6" t="n">
        <x:v>4</x:v>
      </x:c>
      <x:c r="U1321" s="6" t="n">
        <x:v>0</x:v>
      </x:c>
      <x:c r="V1321" s="6" t="n">
        <x:v>0</x:v>
      </x:c>
      <x:c r="W1321" s="6" t="n">
        <x:v>0</x:v>
      </x:c>
      <x:c r="X1321" s="6" t="n">
        <x:v>0</x:v>
      </x:c>
      <x:c r="Y1321" s="6" t="n">
        <x:v>0</x:v>
      </x:c>
      <x:c r="Z1321" s="6" t="n">
        <x:v>0</x:v>
      </x:c>
      <x:c r="AA1321" s="6" t="n">
        <x:v>3</x:v>
      </x:c>
      <x:c r="AB1321" s="6" t="n">
        <x:v>11</x:v>
      </x:c>
      <x:c r="AC1321" s="6" t="n">
        <x:v>0</x:v>
      </x:c>
    </x:row>
    <x:row r="1322">
      <x:c r="A1322" s="6" t="n">
        <x:v>1650</x:v>
      </x:c>
      <x:c r="B1322" s="6" t="n">
        <x:v>1960</x:v>
      </x:c>
      <x:c r="C1322" s="6" t="str">
        <x:v>Master</x:v>
      </x:c>
      <x:c r="D1322" s="6" t="str">
        <x:v>Married</x:v>
      </x:c>
      <x:c r="E1322" s="6" t="n">
        <x:v>81843</x:v>
      </x:c>
      <x:c r="F1322" s="6" t="n">
        <x:v>0</x:v>
      </x:c>
      <x:c r="G1322" s="6" t="n">
        <x:v>0</x:v>
      </x:c>
      <x:c r="H1322" s="9" t="str">
        <x:v>22-04-2013</x:v>
      </x:c>
      <x:c r="I1322" s="6" t="n">
        <x:v>13</x:v>
      </x:c>
      <x:c r="J1322" s="6" t="n">
        <x:v>779</x:v>
      </x:c>
      <x:c r="K1322" s="6" t="n">
        <x:v>86</x:v>
      </x:c>
      <x:c r="L1322" s="6" t="n">
        <x:v>537</x:v>
      </x:c>
      <x:c r="M1322" s="6" t="n">
        <x:v>34</x:v>
      </x:c>
      <x:c r="N1322" s="6" t="n">
        <x:v>69</x:v>
      </x:c>
      <x:c r="O1322" s="6" t="n">
        <x:v>138</x:v>
      </x:c>
      <x:c r="P1322" s="6" t="n">
        <x:v>1</x:v>
      </x:c>
      <x:c r="Q1322" s="6" t="n">
        <x:v>5</x:v>
      </x:c>
      <x:c r="R1322" s="6" t="n">
        <x:v>9</x:v>
      </x:c>
      <x:c r="S1322" s="6" t="n">
        <x:v>12</x:v>
      </x:c>
      <x:c r="T1322" s="6" t="n">
        <x:v>3</x:v>
      </x:c>
      <x:c r="U1322" s="6" t="n">
        <x:v>0</x:v>
      </x:c>
      <x:c r="V1322" s="6" t="n">
        <x:v>0</x:v>
      </x:c>
      <x:c r="W1322" s="6" t="n">
        <x:v>0</x:v>
      </x:c>
      <x:c r="X1322" s="6" t="n">
        <x:v>0</x:v>
      </x:c>
      <x:c r="Y1322" s="6" t="n">
        <x:v>0</x:v>
      </x:c>
      <x:c r="Z1322" s="6" t="n">
        <x:v>0</x:v>
      </x:c>
      <x:c r="AA1322" s="6" t="n">
        <x:v>3</x:v>
      </x:c>
      <x:c r="AB1322" s="6" t="n">
        <x:v>11</x:v>
      </x:c>
      <x:c r="AC1322" s="6" t="n">
        <x:v>0</x:v>
      </x:c>
    </x:row>
    <x:row r="1323">
      <x:c r="A1323" s="6" t="n">
        <x:v>10377</x:v>
      </x:c>
      <x:c r="B1323" s="6" t="n">
        <x:v>1958</x:v>
      </x:c>
      <x:c r="C1323" s="6" t="str">
        <x:v>Master</x:v>
      </x:c>
      <x:c r="D1323" s="6" t="str">
        <x:v>Together</x:v>
      </x:c>
      <x:c r="E1323" s="6" t="n">
        <x:v>46692</x:v>
      </x:c>
      <x:c r="F1323" s="6" t="n">
        <x:v>0</x:v>
      </x:c>
      <x:c r="G1323" s="6" t="n">
        <x:v>1</x:v>
      </x:c>
      <x:c r="H1323" s="9" t="str">
        <x:v>06-06-2013</x:v>
      </x:c>
      <x:c r="I1323" s="6" t="n">
        <x:v>37</x:v>
      </x:c>
      <x:c r="J1323" s="6" t="n">
        <x:v>170</x:v>
      </x:c>
      <x:c r="K1323" s="6" t="n">
        <x:v>6</x:v>
      </x:c>
      <x:c r="L1323" s="6" t="n">
        <x:v>97</x:v>
      </x:c>
      <x:c r="M1323" s="6" t="n">
        <x:v>24</x:v>
      </x:c>
      <x:c r="N1323" s="6" t="n">
        <x:v>12</x:v>
      </x:c>
      <x:c r="O1323" s="6" t="n">
        <x:v>88</x:v>
      </x:c>
      <x:c r="P1323" s="6" t="n">
        <x:v>3</x:v>
      </x:c>
      <x:c r="Q1323" s="6" t="n">
        <x:v>6</x:v>
      </x:c>
      <x:c r="R1323" s="6" t="n">
        <x:v>1</x:v>
      </x:c>
      <x:c r="S1323" s="6" t="n">
        <x:v>5</x:v>
      </x:c>
      <x:c r="T1323" s="6" t="n">
        <x:v>6</x:v>
      </x:c>
      <x:c r="U1323" s="6" t="n">
        <x:v>0</x:v>
      </x:c>
      <x:c r="V1323" s="6" t="n">
        <x:v>0</x:v>
      </x:c>
      <x:c r="W1323" s="6" t="n">
        <x:v>0</x:v>
      </x:c>
      <x:c r="X1323" s="6" t="n">
        <x:v>0</x:v>
      </x:c>
      <x:c r="Y1323" s="6" t="n">
        <x:v>0</x:v>
      </x:c>
      <x:c r="Z1323" s="6" t="n">
        <x:v>0</x:v>
      </x:c>
      <x:c r="AA1323" s="6" t="n">
        <x:v>3</x:v>
      </x:c>
      <x:c r="AB1323" s="6" t="n">
        <x:v>11</x:v>
      </x:c>
      <x:c r="AC1323" s="6" t="n">
        <x:v>0</x:v>
      </x:c>
    </x:row>
    <x:row r="1324">
      <x:c r="A1324" s="6" t="n">
        <x:v>9206</x:v>
      </x:c>
      <x:c r="B1324" s="6" t="n">
        <x:v>1968</x:v>
      </x:c>
      <x:c r="C1324" s="6" t="str">
        <x:v>Graduation</x:v>
      </x:c>
      <x:c r="D1324" s="6" t="str">
        <x:v>Together</x:v>
      </x:c>
      <x:c r="E1324" s="6" t="n">
        <x:v>77382</x:v>
      </x:c>
      <x:c r="F1324" s="6" t="n">
        <x:v>0</x:v>
      </x:c>
      <x:c r="G1324" s="6" t="n">
        <x:v>1</x:v>
      </x:c>
      <x:c r="H1324" s="9" t="str">
        <x:v>07-01-2014</x:v>
      </x:c>
      <x:c r="I1324" s="6" t="n">
        <x:v>36</x:v>
      </x:c>
      <x:c r="J1324" s="6" t="n">
        <x:v>491</x:v>
      </x:c>
      <x:c r="K1324" s="6" t="n">
        <x:v>48</x:v>
      </x:c>
      <x:c r="L1324" s="6" t="n">
        <x:v>231</x:v>
      </x:c>
      <x:c r="M1324" s="6" t="n">
        <x:v>112</x:v>
      </x:c>
      <x:c r="N1324" s="6" t="n">
        <x:v>105</x:v>
      </x:c>
      <x:c r="O1324" s="6" t="n">
        <x:v>134</x:v>
      </x:c>
      <x:c r="P1324" s="6" t="n">
        <x:v>2</x:v>
      </x:c>
      <x:c r="Q1324" s="6" t="n">
        <x:v>5</x:v>
      </x:c>
      <x:c r="R1324" s="6" t="n">
        <x:v>7</x:v>
      </x:c>
      <x:c r="S1324" s="6" t="n">
        <x:v>12</x:v>
      </x:c>
      <x:c r="T1324" s="6" t="n">
        <x:v>1</x:v>
      </x:c>
      <x:c r="U1324" s="6" t="n">
        <x:v>0</x:v>
      </x:c>
      <x:c r="V1324" s="6" t="n">
        <x:v>0</x:v>
      </x:c>
      <x:c r="W1324" s="6" t="n">
        <x:v>1</x:v>
      </x:c>
      <x:c r="X1324" s="6" t="n">
        <x:v>0</x:v>
      </x:c>
      <x:c r="Y1324" s="6" t="n">
        <x:v>0</x:v>
      </x:c>
      <x:c r="Z1324" s="6" t="n">
        <x:v>0</x:v>
      </x:c>
      <x:c r="AA1324" s="6" t="n">
        <x:v>3</x:v>
      </x:c>
      <x:c r="AB1324" s="6" t="n">
        <x:v>11</x:v>
      </x:c>
      <x:c r="AC1324" s="6" t="n">
        <x:v>0</x:v>
      </x:c>
    </x:row>
    <x:row r="1325">
      <x:c r="A1325" s="6" t="n">
        <x:v>10971</x:v>
      </x:c>
      <x:c r="B1325" s="6" t="n">
        <x:v>1977</x:v>
      </x:c>
      <x:c r="C1325" s="6" t="str">
        <x:v>Graduation</x:v>
      </x:c>
      <x:c r="D1325" s="6" t="str">
        <x:v>Single</x:v>
      </x:c>
      <x:c r="E1325" s="6" t="n">
        <x:v>37774</x:v>
      </x:c>
      <x:c r="F1325" s="6" t="n">
        <x:v>2</x:v>
      </x:c>
      <x:c r="G1325" s="6" t="n">
        <x:v>0</x:v>
      </x:c>
      <x:c r="H1325" s="9" t="str">
        <x:v>03-09-2012</x:v>
      </x:c>
      <x:c r="I1325" s="6" t="n">
        <x:v>28</x:v>
      </x:c>
      <x:c r="J1325" s="6" t="n">
        <x:v>173</x:v>
      </x:c>
      <x:c r="K1325" s="6" t="n">
        <x:v>8</x:v>
      </x:c>
      <x:c r="L1325" s="6" t="n">
        <x:v>107</x:v>
      </x:c>
      <x:c r="M1325" s="6" t="n">
        <x:v>7</x:v>
      </x:c>
      <x:c r="N1325" s="6" t="n">
        <x:v>2</x:v>
      </x:c>
      <x:c r="O1325" s="6" t="n">
        <x:v>176</x:v>
      </x:c>
      <x:c r="P1325" s="6" t="n">
        <x:v>4</x:v>
      </x:c>
      <x:c r="Q1325" s="6" t="n">
        <x:v>7</x:v>
      </x:c>
      <x:c r="R1325" s="6" t="n">
        <x:v>2</x:v>
      </x:c>
      <x:c r="S1325" s="6" t="n">
        <x:v>3</x:v>
      </x:c>
      <x:c r="T1325" s="6" t="n">
        <x:v>9</x:v>
      </x:c>
      <x:c r="U1325" s="6" t="n">
        <x:v>1</x:v>
      </x:c>
      <x:c r="V1325" s="6" t="n">
        <x:v>0</x:v>
      </x:c>
      <x:c r="W1325" s="6" t="n">
        <x:v>0</x:v>
      </x:c>
      <x:c r="X1325" s="6" t="n">
        <x:v>0</x:v>
      </x:c>
      <x:c r="Y1325" s="6" t="n">
        <x:v>0</x:v>
      </x:c>
      <x:c r="Z1325" s="6" t="n">
        <x:v>1</x:v>
      </x:c>
      <x:c r="AA1325" s="6" t="n">
        <x:v>3</x:v>
      </x:c>
      <x:c r="AB1325" s="6" t="n">
        <x:v>11</x:v>
      </x:c>
      <x:c r="AC1325" s="6" t="n">
        <x:v>1</x:v>
      </x:c>
    </x:row>
    <x:row r="1326">
      <x:c r="A1326" s="6" t="n">
        <x:v>6398</x:v>
      </x:c>
      <x:c r="B1326" s="6" t="n">
        <x:v>1974</x:v>
      </x:c>
      <x:c r="C1326" s="6" t="str">
        <x:v>Basic</x:v>
      </x:c>
      <x:c r="D1326" s="6" t="str">
        <x:v>Married</x:v>
      </x:c>
      <x:c r="E1326" s="6" t="n">
        <x:v>18393</x:v>
      </x:c>
      <x:c r="F1326" s="6" t="n">
        <x:v>1</x:v>
      </x:c>
      <x:c r="G1326" s="6" t="n">
        <x:v>0</x:v>
      </x:c>
      <x:c r="H1326" s="9" t="str">
        <x:v>29-03-2014</x:v>
      </x:c>
      <x:c r="I1326" s="6" t="n">
        <x:v>2</x:v>
      </x:c>
      <x:c r="J1326" s="6" t="n">
        <x:v>7</x:v>
      </x:c>
      <x:c r="K1326" s="6" t="n">
        <x:v>10</x:v>
      </x:c>
      <x:c r="L1326" s="6" t="n">
        <x:v>13</x:v>
      </x:c>
      <x:c r="M1326" s="6" t="n">
        <x:v>16</x:v>
      </x:c>
      <x:c r="N1326" s="6" t="n">
        <x:v>0</x:v>
      </x:c>
      <x:c r="O1326" s="6" t="n">
        <x:v>4</x:v>
      </x:c>
      <x:c r="P1326" s="6" t="n">
        <x:v>2</x:v>
      </x:c>
      <x:c r="Q1326" s="6" t="n">
        <x:v>3</x:v>
      </x:c>
      <x:c r="R1326" s="6" t="n">
        <x:v>0</x:v>
      </x:c>
      <x:c r="S1326" s="6" t="n">
        <x:v>3</x:v>
      </x:c>
      <x:c r="T1326" s="6" t="n">
        <x:v>8</x:v>
      </x:c>
      <x:c r="U1326" s="6" t="n">
        <x:v>0</x:v>
      </x:c>
      <x:c r="V1326" s="6" t="n">
        <x:v>0</x:v>
      </x:c>
      <x:c r="W1326" s="6" t="n">
        <x:v>0</x:v>
      </x:c>
      <x:c r="X1326" s="6" t="n">
        <x:v>0</x:v>
      </x:c>
      <x:c r="Y1326" s="6" t="n">
        <x:v>0</x:v>
      </x:c>
      <x:c r="Z1326" s="6" t="n">
        <x:v>0</x:v>
      </x:c>
      <x:c r="AA1326" s="6" t="n">
        <x:v>3</x:v>
      </x:c>
      <x:c r="AB1326" s="6" t="n">
        <x:v>11</x:v>
      </x:c>
      <x:c r="AC1326" s="6" t="n">
        <x:v>0</x:v>
      </x:c>
    </x:row>
    <x:row r="1327">
      <x:c r="A1327" s="6" t="n">
        <x:v>9212</x:v>
      </x:c>
      <x:c r="B1327" s="6" t="n">
        <x:v>1962</x:v>
      </x:c>
      <x:c r="C1327" s="6" t="str">
        <x:v>Master</x:v>
      </x:c>
      <x:c r="D1327" s="6" t="str">
        <x:v>Married</x:v>
      </x:c>
      <x:c r="E1327" s="6" t="n">
        <x:v>72828</x:v>
      </x:c>
      <x:c r="F1327" s="6" t="n">
        <x:v>0</x:v>
      </x:c>
      <x:c r="G1327" s="6" t="n">
        <x:v>1</x:v>
      </x:c>
      <x:c r="H1327" s="9" t="str">
        <x:v>14-02-2013</x:v>
      </x:c>
      <x:c r="I1327" s="6" t="n">
        <x:v>17</x:v>
      </x:c>
      <x:c r="J1327" s="6" t="n">
        <x:v>1205</x:v>
      </x:c>
      <x:c r="K1327" s="6" t="n">
        <x:v>0</x:v>
      </x:c>
      <x:c r="L1327" s="6" t="n">
        <x:v>235</x:v>
      </x:c>
      <x:c r="M1327" s="6" t="n">
        <x:v>19</x:v>
      </x:c>
      <x:c r="N1327" s="6" t="n">
        <x:v>14</x:v>
      </x:c>
      <x:c r="O1327" s="6" t="n">
        <x:v>205</x:v>
      </x:c>
      <x:c r="P1327" s="6" t="n">
        <x:v>6</x:v>
      </x:c>
      <x:c r="Q1327" s="6" t="n">
        <x:v>6</x:v>
      </x:c>
      <x:c r="R1327" s="6" t="n">
        <x:v>3</x:v>
      </x:c>
      <x:c r="S1327" s="6" t="n">
        <x:v>13</x:v>
      </x:c>
      <x:c r="T1327" s="6" t="n">
        <x:v>7</x:v>
      </x:c>
      <x:c r="U1327" s="6" t="n">
        <x:v>0</x:v>
      </x:c>
      <x:c r="V1327" s="6" t="n">
        <x:v>0</x:v>
      </x:c>
      <x:c r="W1327" s="6" t="n">
        <x:v>0</x:v>
      </x:c>
      <x:c r="X1327" s="6" t="n">
        <x:v>0</x:v>
      </x:c>
      <x:c r="Y1327" s="6" t="n">
        <x:v>0</x:v>
      </x:c>
      <x:c r="Z1327" s="6" t="n">
        <x:v>0</x:v>
      </x:c>
      <x:c r="AA1327" s="6" t="n">
        <x:v>3</x:v>
      </x:c>
      <x:c r="AB1327" s="6" t="n">
        <x:v>11</x:v>
      </x:c>
      <x:c r="AC1327" s="6" t="n">
        <x:v>0</x:v>
      </x:c>
    </x:row>
    <x:row r="1328">
      <x:c r="A1328" s="6" t="n">
        <x:v>7937</x:v>
      </x:c>
      <x:c r="B1328" s="6" t="n">
        <x:v>1982</x:v>
      </x:c>
      <x:c r="C1328" s="6" t="str">
        <x:v>Graduation</x:v>
      </x:c>
      <x:c r="D1328" s="6" t="str">
        <x:v>Married</x:v>
      </x:c>
      <x:c r="E1328" s="6" t="n">
        <x:v>24711</x:v>
      </x:c>
      <x:c r="F1328" s="6" t="n">
        <x:v>0</x:v>
      </x:c>
      <x:c r="G1328" s="6" t="n">
        <x:v>0</x:v>
      </x:c>
      <x:c r="H1328" s="9" t="str">
        <x:v>18-04-2014</x:v>
      </x:c>
      <x:c r="I1328" s="6" t="n">
        <x:v>86</x:v>
      </x:c>
      <x:c r="J1328" s="6" t="n">
        <x:v>10</x:v>
      </x:c>
      <x:c r="K1328" s="6" t="n">
        <x:v>7</x:v>
      </x:c>
      <x:c r="L1328" s="6" t="n">
        <x:v>25</x:v>
      </x:c>
      <x:c r="M1328" s="6" t="n">
        <x:v>6</x:v>
      </x:c>
      <x:c r="N1328" s="6" t="n">
        <x:v>3</x:v>
      </x:c>
      <x:c r="O1328" s="6" t="n">
        <x:v>7</x:v>
      </x:c>
      <x:c r="P1328" s="6" t="n">
        <x:v>1</x:v>
      </x:c>
      <x:c r="Q1328" s="6" t="n">
        <x:v>3</x:v>
      </x:c>
      <x:c r="R1328" s="6" t="n">
        <x:v>0</x:v>
      </x:c>
      <x:c r="S1328" s="6" t="n">
        <x:v>3</x:v>
      </x:c>
      <x:c r="T1328" s="6" t="n">
        <x:v>7</x:v>
      </x:c>
      <x:c r="U1328" s="6" t="n">
        <x:v>0</x:v>
      </x:c>
      <x:c r="V1328" s="6" t="n">
        <x:v>0</x:v>
      </x:c>
      <x:c r="W1328" s="6" t="n">
        <x:v>0</x:v>
      </x:c>
      <x:c r="X1328" s="6" t="n">
        <x:v>0</x:v>
      </x:c>
      <x:c r="Y1328" s="6" t="n">
        <x:v>0</x:v>
      </x:c>
      <x:c r="Z1328" s="6" t="n">
        <x:v>0</x:v>
      </x:c>
      <x:c r="AA1328" s="6" t="n">
        <x:v>3</x:v>
      </x:c>
      <x:c r="AB1328" s="6" t="n">
        <x:v>11</x:v>
      </x:c>
      <x:c r="AC1328" s="6" t="n">
        <x:v>0</x:v>
      </x:c>
    </x:row>
    <x:row r="1329">
      <x:c r="A1329" s="6" t="n">
        <x:v>839</x:v>
      </x:c>
      <x:c r="B1329" s="6" t="n">
        <x:v>1975</x:v>
      </x:c>
      <x:c r="C1329" s="6" t="str">
        <x:v>PhD</x:v>
      </x:c>
      <x:c r="D1329" s="6" t="str">
        <x:v>Married</x:v>
      </x:c>
      <x:c r="E1329" s="6" t="n">
        <x:v>45503</x:v>
      </x:c>
      <x:c r="F1329" s="6" t="n">
        <x:v>1</x:v>
      </x:c>
      <x:c r="G1329" s="6" t="n">
        <x:v>0</x:v>
      </x:c>
      <x:c r="H1329" s="9" t="str">
        <x:v>25-09-2013</x:v>
      </x:c>
      <x:c r="I1329" s="6" t="n">
        <x:v>54</x:v>
      </x:c>
      <x:c r="J1329" s="6" t="n">
        <x:v>97</x:v>
      </x:c>
      <x:c r="K1329" s="6" t="n">
        <x:v>4</x:v>
      </x:c>
      <x:c r="L1329" s="6" t="n">
        <x:v>44</x:v>
      </x:c>
      <x:c r="M1329" s="6" t="n">
        <x:v>6</x:v>
      </x:c>
      <x:c r="N1329" s="6" t="n">
        <x:v>1</x:v>
      </x:c>
      <x:c r="O1329" s="6" t="n">
        <x:v>18</x:v>
      </x:c>
      <x:c r="P1329" s="6" t="n">
        <x:v>1</x:v>
      </x:c>
      <x:c r="Q1329" s="6" t="n">
        <x:v>3</x:v>
      </x:c>
      <x:c r="R1329" s="6" t="n">
        <x:v>1</x:v>
      </x:c>
      <x:c r="S1329" s="6" t="n">
        <x:v>4</x:v>
      </x:c>
      <x:c r="T1329" s="6" t="n">
        <x:v>5</x:v>
      </x:c>
      <x:c r="U1329" s="6" t="n">
        <x:v>0</x:v>
      </x:c>
      <x:c r="V1329" s="6" t="n">
        <x:v>0</x:v>
      </x:c>
      <x:c r="W1329" s="6" t="n">
        <x:v>0</x:v>
      </x:c>
      <x:c r="X1329" s="6" t="n">
        <x:v>0</x:v>
      </x:c>
      <x:c r="Y1329" s="6" t="n">
        <x:v>0</x:v>
      </x:c>
      <x:c r="Z1329" s="6" t="n">
        <x:v>0</x:v>
      </x:c>
      <x:c r="AA1329" s="6" t="n">
        <x:v>3</x:v>
      </x:c>
      <x:c r="AB1329" s="6" t="n">
        <x:v>11</x:v>
      </x:c>
      <x:c r="AC1329" s="6" t="n">
        <x:v>0</x:v>
      </x:c>
    </x:row>
    <x:row r="1330">
      <x:c r="A1330" s="6" t="n">
        <x:v>4246</x:v>
      </x:c>
      <x:c r="B1330" s="6" t="n">
        <x:v>1982</x:v>
      </x:c>
      <x:c r="C1330" s="6" t="str">
        <x:v>Master</x:v>
      </x:c>
      <x:c r="D1330" s="6" t="str">
        <x:v>Single</x:v>
      </x:c>
      <x:c r="E1330" s="6" t="n">
        <x:v>6560</x:v>
      </x:c>
      <x:c r="F1330" s="6" t="n">
        <x:v>0</x:v>
      </x:c>
      <x:c r="G1330" s="6" t="n">
        <x:v>0</x:v>
      </x:c>
      <x:c r="H1330" s="9" t="str">
        <x:v>12-12-2013</x:v>
      </x:c>
      <x:c r="I1330" s="6" t="n">
        <x:v>2</x:v>
      </x:c>
      <x:c r="J1330" s="6" t="n">
        <x:v>67</x:v>
      </x:c>
      <x:c r="K1330" s="6" t="n">
        <x:v>11</x:v>
      </x:c>
      <x:c r="L1330" s="6" t="n">
        <x:v>26</x:v>
      </x:c>
      <x:c r="M1330" s="6" t="n">
        <x:v>4</x:v>
      </x:c>
      <x:c r="N1330" s="6" t="n">
        <x:v>3</x:v>
      </x:c>
      <x:c r="O1330" s="6" t="n">
        <x:v>262</x:v>
      </x:c>
      <x:c r="P1330" s="6" t="n">
        <x:v>0</x:v>
      </x:c>
      <x:c r="Q1330" s="6" t="n">
        <x:v>1</x:v>
      </x:c>
      <x:c r="R1330" s="6" t="n">
        <x:v>0</x:v>
      </x:c>
      <x:c r="S1330" s="6" t="n">
        <x:v>1</x:v>
      </x:c>
      <x:c r="T1330" s="6" t="n">
        <x:v>17</x:v>
      </x:c>
      <x:c r="U1330" s="6" t="n">
        <x:v>0</x:v>
      </x:c>
      <x:c r="V1330" s="6" t="n">
        <x:v>0</x:v>
      </x:c>
      <x:c r="W1330" s="6" t="n">
        <x:v>0</x:v>
      </x:c>
      <x:c r="X1330" s="6" t="n">
        <x:v>0</x:v>
      </x:c>
      <x:c r="Y1330" s="6" t="n">
        <x:v>0</x:v>
      </x:c>
      <x:c r="Z1330" s="6" t="n">
        <x:v>0</x:v>
      </x:c>
      <x:c r="AA1330" s="6" t="n">
        <x:v>3</x:v>
      </x:c>
      <x:c r="AB1330" s="6" t="n">
        <x:v>11</x:v>
      </x:c>
      <x:c r="AC1330" s="6" t="n">
        <x:v>0</x:v>
      </x:c>
    </x:row>
    <x:row r="1331">
      <x:c r="A1331" s="6" t="n">
        <x:v>158</x:v>
      </x:c>
      <x:c r="B1331" s="6" t="n">
        <x:v>1945</x:v>
      </x:c>
      <x:c r="C1331" s="6" t="str">
        <x:v>PhD</x:v>
      </x:c>
      <x:c r="D1331" s="6" t="str">
        <x:v>Together</x:v>
      </x:c>
      <x:c r="E1331" s="6" t="n">
        <x:v>71604</x:v>
      </x:c>
      <x:c r="F1331" s="6" t="n">
        <x:v>0</x:v>
      </x:c>
      <x:c r="G1331" s="6" t="n">
        <x:v>0</x:v>
      </x:c>
      <x:c r="H1331" s="9" t="str">
        <x:v>17-11-2013</x:v>
      </x:c>
      <x:c r="I1331" s="6" t="n">
        <x:v>3</x:v>
      </x:c>
      <x:c r="J1331" s="6" t="n">
        <x:v>345</x:v>
      </x:c>
      <x:c r="K1331" s="6" t="n">
        <x:v>53</x:v>
      </x:c>
      <x:c r="L1331" s="6" t="n">
        <x:v>528</x:v>
      </x:c>
      <x:c r="M1331" s="6" t="n">
        <x:v>98</x:v>
      </x:c>
      <x:c r="N1331" s="6" t="n">
        <x:v>75</x:v>
      </x:c>
      <x:c r="O1331" s="6" t="n">
        <x:v>97</x:v>
      </x:c>
      <x:c r="P1331" s="6" t="n">
        <x:v>1</x:v>
      </x:c>
      <x:c r="Q1331" s="6" t="n">
        <x:v>8</x:v>
      </x:c>
      <x:c r="R1331" s="6" t="n">
        <x:v>3</x:v>
      </x:c>
      <x:c r="S1331" s="6" t="n">
        <x:v>5</x:v>
      </x:c>
      <x:c r="T1331" s="6" t="n">
        <x:v>4</x:v>
      </x:c>
      <x:c r="U1331" s="6" t="n">
        <x:v>1</x:v>
      </x:c>
      <x:c r="V1331" s="6" t="n">
        <x:v>0</x:v>
      </x:c>
      <x:c r="W1331" s="6" t="n">
        <x:v>0</x:v>
      </x:c>
      <x:c r="X1331" s="6" t="n">
        <x:v>0</x:v>
      </x:c>
      <x:c r="Y1331" s="6" t="n">
        <x:v>0</x:v>
      </x:c>
      <x:c r="Z1331" s="6" t="n">
        <x:v>0</x:v>
      </x:c>
      <x:c r="AA1331" s="6" t="n">
        <x:v>3</x:v>
      </x:c>
      <x:c r="AB1331" s="6" t="n">
        <x:v>11</x:v>
      </x:c>
      <x:c r="AC1331" s="6" t="n">
        <x:v>1</x:v>
      </x:c>
    </x:row>
    <x:row r="1332">
      <x:c r="A1332" s="6" t="n">
        <x:v>4832</x:v>
      </x:c>
      <x:c r="B1332" s="6" t="n">
        <x:v>1979</x:v>
      </x:c>
      <x:c r="C1332" s="6" t="str">
        <x:v>Graduation</x:v>
      </x:c>
      <x:c r="D1332" s="6" t="str">
        <x:v>Married</x:v>
      </x:c>
      <x:c r="E1332" s="6" t="n">
        <x:v>27244</x:v>
      </x:c>
      <x:c r="F1332" s="6" t="n">
        <x:v>1</x:v>
      </x:c>
      <x:c r="G1332" s="6" t="n">
        <x:v>0</x:v>
      </x:c>
      <x:c r="H1332" s="9" t="str">
        <x:v>07-03-2014</x:v>
      </x:c>
      <x:c r="I1332" s="6" t="n">
        <x:v>84</x:v>
      </x:c>
      <x:c r="J1332" s="6" t="n">
        <x:v>6</x:v>
      </x:c>
      <x:c r="K1332" s="6" t="n">
        <x:v>5</x:v>
      </x:c>
      <x:c r="L1332" s="6" t="n">
        <x:v>17</x:v>
      </x:c>
      <x:c r="M1332" s="6" t="n">
        <x:v>3</x:v>
      </x:c>
      <x:c r="N1332" s="6" t="n">
        <x:v>24</x:v>
      </x:c>
      <x:c r="O1332" s="6" t="n">
        <x:v>46</x:v>
      </x:c>
      <x:c r="P1332" s="6" t="n">
        <x:v>2</x:v>
      </x:c>
      <x:c r="Q1332" s="6" t="n">
        <x:v>2</x:v>
      </x:c>
      <x:c r="R1332" s="6" t="n">
        <x:v>2</x:v>
      </x:c>
      <x:c r="S1332" s="6" t="n">
        <x:v>2</x:v>
      </x:c>
      <x:c r="T1332" s="6" t="n">
        <x:v>7</x:v>
      </x:c>
      <x:c r="U1332" s="6" t="n">
        <x:v>0</x:v>
      </x:c>
      <x:c r="V1332" s="6" t="n">
        <x:v>0</x:v>
      </x:c>
      <x:c r="W1332" s="6" t="n">
        <x:v>0</x:v>
      </x:c>
      <x:c r="X1332" s="6" t="n">
        <x:v>0</x:v>
      </x:c>
      <x:c r="Y1332" s="6" t="n">
        <x:v>0</x:v>
      </x:c>
      <x:c r="Z1332" s="6" t="n">
        <x:v>0</x:v>
      </x:c>
      <x:c r="AA1332" s="6" t="n">
        <x:v>3</x:v>
      </x:c>
      <x:c r="AB1332" s="6" t="n">
        <x:v>11</x:v>
      </x:c>
      <x:c r="AC1332" s="6" t="n">
        <x:v>0</x:v>
      </x:c>
    </x:row>
    <x:row r="1333">
      <x:c r="A1333" s="6" t="n">
        <x:v>5621</x:v>
      </x:c>
      <x:c r="B1333" s="6" t="n">
        <x:v>1969</x:v>
      </x:c>
      <x:c r="C1333" s="6" t="str">
        <x:v>Graduation</x:v>
      </x:c>
      <x:c r="D1333" s="6" t="str">
        <x:v>Married</x:v>
      </x:c>
      <x:c r="E1333" s="6" t="n">
        <x:v>48752</x:v>
      </x:c>
      <x:c r="F1333" s="6" t="n">
        <x:v>1</x:v>
      </x:c>
      <x:c r="G1333" s="6" t="n">
        <x:v>1</x:v>
      </x:c>
      <x:c r="H1333" s="9" t="str">
        <x:v>12-12-2012</x:v>
      </x:c>
      <x:c r="I1333" s="6" t="n">
        <x:v>8</x:v>
      </x:c>
      <x:c r="J1333" s="6" t="n">
        <x:v>73</x:v>
      </x:c>
      <x:c r="K1333" s="6" t="n">
        <x:v>57</x:v>
      </x:c>
      <x:c r="L1333" s="6" t="n">
        <x:v>100</x:v>
      </x:c>
      <x:c r="M1333" s="6" t="n">
        <x:v>71</x:v>
      </x:c>
      <x:c r="N1333" s="6" t="n">
        <x:v>15</x:v>
      </x:c>
      <x:c r="O1333" s="6" t="n">
        <x:v>0</x:v>
      </x:c>
      <x:c r="P1333" s="6" t="n">
        <x:v>5</x:v>
      </x:c>
      <x:c r="Q1333" s="6" t="n">
        <x:v>6</x:v>
      </x:c>
      <x:c r="R1333" s="6" t="n">
        <x:v>1</x:v>
      </x:c>
      <x:c r="S1333" s="6" t="n">
        <x:v>5</x:v>
      </x:c>
      <x:c r="T1333" s="6" t="n">
        <x:v>9</x:v>
      </x:c>
      <x:c r="U1333" s="6" t="n">
        <x:v>0</x:v>
      </x:c>
      <x:c r="V1333" s="6" t="n">
        <x:v>0</x:v>
      </x:c>
      <x:c r="W1333" s="6" t="n">
        <x:v>0</x:v>
      </x:c>
      <x:c r="X1333" s="6" t="n">
        <x:v>0</x:v>
      </x:c>
      <x:c r="Y1333" s="6" t="n">
        <x:v>0</x:v>
      </x:c>
      <x:c r="Z1333" s="6" t="n">
        <x:v>0</x:v>
      </x:c>
      <x:c r="AA1333" s="6" t="n">
        <x:v>3</x:v>
      </x:c>
      <x:c r="AB1333" s="6" t="n">
        <x:v>11</x:v>
      </x:c>
      <x:c r="AC1333" s="6" t="n">
        <x:v>1</x:v>
      </x:c>
    </x:row>
    <x:row r="1334">
      <x:c r="A1334" s="6" t="n">
        <x:v>1945</x:v>
      </x:c>
      <x:c r="B1334" s="6" t="n">
        <x:v>1962</x:v>
      </x:c>
      <x:c r="C1334" s="6" t="str">
        <x:v>Graduation</x:v>
      </x:c>
      <x:c r="D1334" s="6" t="str">
        <x:v>Married</x:v>
      </x:c>
      <x:c r="E1334" s="6" t="n">
        <x:v>71434</x:v>
      </x:c>
      <x:c r="F1334" s="6" t="n">
        <x:v>0</x:v>
      </x:c>
      <x:c r="G1334" s="6" t="n">
        <x:v>1</x:v>
      </x:c>
      <x:c r="H1334" s="9" t="str">
        <x:v>18-09-2013</x:v>
      </x:c>
      <x:c r="I1334" s="6" t="n">
        <x:v>4</x:v>
      </x:c>
      <x:c r="J1334" s="6" t="n">
        <x:v>711</x:v>
      </x:c>
      <x:c r="K1334" s="6" t="n">
        <x:v>36</x:v>
      </x:c>
      <x:c r="L1334" s="6" t="n">
        <x:v>217</x:v>
      </x:c>
      <x:c r="M1334" s="6" t="n">
        <x:v>172</x:v>
      </x:c>
      <x:c r="N1334" s="6" t="n">
        <x:v>96</x:v>
      </x:c>
      <x:c r="O1334" s="6" t="n">
        <x:v>168</x:v>
      </x:c>
      <x:c r="P1334" s="6" t="n">
        <x:v>3</x:v>
      </x:c>
      <x:c r="Q1334" s="6" t="n">
        <x:v>7</x:v>
      </x:c>
      <x:c r="R1334" s="6" t="n">
        <x:v>4</x:v>
      </x:c>
      <x:c r="S1334" s="6" t="n">
        <x:v>7</x:v>
      </x:c>
      <x:c r="T1334" s="6" t="n">
        <x:v>4</x:v>
      </x:c>
      <x:c r="U1334" s="6" t="n">
        <x:v>0</x:v>
      </x:c>
      <x:c r="V1334" s="6" t="n">
        <x:v>1</x:v>
      </x:c>
      <x:c r="W1334" s="6" t="n">
        <x:v>0</x:v>
      </x:c>
      <x:c r="X1334" s="6" t="n">
        <x:v>1</x:v>
      </x:c>
      <x:c r="Y1334" s="6" t="n">
        <x:v>0</x:v>
      </x:c>
      <x:c r="Z1334" s="6" t="n">
        <x:v>0</x:v>
      </x:c>
      <x:c r="AA1334" s="6" t="n">
        <x:v>3</x:v>
      </x:c>
      <x:c r="AB1334" s="6" t="n">
        <x:v>11</x:v>
      </x:c>
      <x:c r="AC1334" s="6" t="n">
        <x:v>0</x:v>
      </x:c>
    </x:row>
    <x:row r="1335">
      <x:c r="A1335" s="6" t="n">
        <x:v>5147</x:v>
      </x:c>
      <x:c r="B1335" s="6" t="n">
        <x:v>1948</x:v>
      </x:c>
      <x:c r="C1335" s="6" t="str">
        <x:v>Graduation</x:v>
      </x:c>
      <x:c r="D1335" s="6" t="str">
        <x:v>Single</x:v>
      </x:c>
      <x:c r="E1335" s="6" t="n">
        <x:v>90842</x:v>
      </x:c>
      <x:c r="F1335" s="6" t="n">
        <x:v>0</x:v>
      </x:c>
      <x:c r="G1335" s="6" t="n">
        <x:v>0</x:v>
      </x:c>
      <x:c r="H1335" s="9" t="str">
        <x:v>29-07-2013</x:v>
      </x:c>
      <x:c r="I1335" s="6" t="n">
        <x:v>57</x:v>
      </x:c>
      <x:c r="J1335" s="6" t="n">
        <x:v>774</x:v>
      </x:c>
      <x:c r="K1335" s="6" t="n">
        <x:v>70</x:v>
      </x:c>
      <x:c r="L1335" s="6" t="n">
        <x:v>118</x:v>
      </x:c>
      <x:c r="M1335" s="6" t="n">
        <x:v>182</x:v>
      </x:c>
      <x:c r="N1335" s="6" t="n">
        <x:v>187</x:v>
      </x:c>
      <x:c r="O1335" s="6" t="n">
        <x:v>93</x:v>
      </x:c>
      <x:c r="P1335" s="6" t="n">
        <x:v>1</x:v>
      </x:c>
      <x:c r="Q1335" s="6" t="n">
        <x:v>4</x:v>
      </x:c>
      <x:c r="R1335" s="6" t="n">
        <x:v>9</x:v>
      </x:c>
      <x:c r="S1335" s="6" t="n">
        <x:v>13</x:v>
      </x:c>
      <x:c r="T1335" s="6" t="n">
        <x:v>1</x:v>
      </x:c>
      <x:c r="U1335" s="6" t="n">
        <x:v>0</x:v>
      </x:c>
      <x:c r="V1335" s="6" t="n">
        <x:v>0</x:v>
      </x:c>
      <x:c r="W1335" s="6" t="n">
        <x:v>0</x:v>
      </x:c>
      <x:c r="X1335" s="6" t="n">
        <x:v>0</x:v>
      </x:c>
      <x:c r="Y1335" s="6" t="n">
        <x:v>0</x:v>
      </x:c>
      <x:c r="Z1335" s="6" t="n">
        <x:v>0</x:v>
      </x:c>
      <x:c r="AA1335" s="6" t="n">
        <x:v>3</x:v>
      </x:c>
      <x:c r="AB1335" s="6" t="n">
        <x:v>11</x:v>
      </x:c>
      <x:c r="AC1335" s="6" t="n">
        <x:v>0</x:v>
      </x:c>
    </x:row>
    <x:row r="1336">
      <x:c r="A1336" s="6" t="n">
        <x:v>2535</x:v>
      </x:c>
      <x:c r="B1336" s="6" t="n">
        <x:v>1978</x:v>
      </x:c>
      <x:c r="C1336" s="6" t="str">
        <x:v>Master</x:v>
      </x:c>
      <x:c r="D1336" s="6" t="str">
        <x:v>Married</x:v>
      </x:c>
      <x:c r="E1336" s="6" t="n">
        <x:v>88097</x:v>
      </x:c>
      <x:c r="F1336" s="6" t="n">
        <x:v>1</x:v>
      </x:c>
      <x:c r="G1336" s="6" t="n">
        <x:v>0</x:v>
      </x:c>
      <x:c r="H1336" s="9" t="str">
        <x:v>18-08-2012</x:v>
      </x:c>
      <x:c r="I1336" s="6" t="n">
        <x:v>24</x:v>
      </x:c>
      <x:c r="J1336" s="6" t="n">
        <x:v>163</x:v>
      </x:c>
      <x:c r="K1336" s="6" t="n">
        <x:v>0</x:v>
      </x:c>
      <x:c r="L1336" s="6" t="n">
        <x:v>480</x:v>
      </x:c>
      <x:c r="M1336" s="6" t="n">
        <x:v>0</x:v>
      </x:c>
      <x:c r="N1336" s="6" t="n">
        <x:v>126</x:v>
      </x:c>
      <x:c r="O1336" s="6" t="n">
        <x:v>75</x:v>
      </x:c>
      <x:c r="P1336" s="6" t="n">
        <x:v>1</x:v>
      </x:c>
      <x:c r="Q1336" s="6" t="n">
        <x:v>6</x:v>
      </x:c>
      <x:c r="R1336" s="6" t="n">
        <x:v>5</x:v>
      </x:c>
      <x:c r="S1336" s="6" t="n">
        <x:v>8</x:v>
      </x:c>
      <x:c r="T1336" s="6" t="n">
        <x:v>9</x:v>
      </x:c>
      <x:c r="U1336" s="6" t="n">
        <x:v>0</x:v>
      </x:c>
      <x:c r="V1336" s="6" t="n">
        <x:v>1</x:v>
      </x:c>
      <x:c r="W1336" s="6" t="n">
        <x:v>1</x:v>
      </x:c>
      <x:c r="X1336" s="6" t="n">
        <x:v>1</x:v>
      </x:c>
      <x:c r="Y1336" s="6" t="n">
        <x:v>0</x:v>
      </x:c>
      <x:c r="Z1336" s="6" t="n">
        <x:v>0</x:v>
      </x:c>
      <x:c r="AA1336" s="6" t="n">
        <x:v>3</x:v>
      </x:c>
      <x:c r="AB1336" s="6" t="n">
        <x:v>11</x:v>
      </x:c>
      <x:c r="AC1336" s="6" t="n">
        <x:v>1</x:v>
      </x:c>
    </x:row>
    <x:row r="1337">
      <x:c r="A1337" s="6" t="n">
        <x:v>11039</x:v>
      </x:c>
      <x:c r="B1337" s="6" t="n">
        <x:v>1975</x:v>
      </x:c>
      <x:c r="C1337" s="6" t="str">
        <x:v>Graduation</x:v>
      </x:c>
      <x:c r="D1337" s="6" t="str">
        <x:v>Married</x:v>
      </x:c>
      <x:c r="E1337" s="6" t="n">
        <x:v>51948</x:v>
      </x:c>
      <x:c r="F1337" s="6" t="n">
        <x:v>0</x:v>
      </x:c>
      <x:c r="G1337" s="6" t="n">
        <x:v>1</x:v>
      </x:c>
      <x:c r="H1337" s="9" t="str">
        <x:v>17-09-2013</x:v>
      </x:c>
      <x:c r="I1337" s="6" t="n">
        <x:v>51</x:v>
      </x:c>
      <x:c r="J1337" s="6" t="n">
        <x:v>82</x:v>
      </x:c>
      <x:c r="K1337" s="6" t="n">
        <x:v>33</x:v>
      </x:c>
      <x:c r="L1337" s="6" t="n">
        <x:v>54</x:v>
      </x:c>
      <x:c r="M1337" s="6" t="n">
        <x:v>71</x:v>
      </x:c>
      <x:c r="N1337" s="6" t="n">
        <x:v>30</x:v>
      </x:c>
      <x:c r="O1337" s="6" t="n">
        <x:v>41</x:v>
      </x:c>
      <x:c r="P1337" s="6" t="n">
        <x:v>2</x:v>
      </x:c>
      <x:c r="Q1337" s="6" t="n">
        <x:v>5</x:v>
      </x:c>
      <x:c r="R1337" s="6" t="n">
        <x:v>2</x:v>
      </x:c>
      <x:c r="S1337" s="6" t="n">
        <x:v>4</x:v>
      </x:c>
      <x:c r="T1337" s="6" t="n">
        <x:v>5</x:v>
      </x:c>
      <x:c r="U1337" s="6" t="n">
        <x:v>0</x:v>
      </x:c>
      <x:c r="V1337" s="6" t="n">
        <x:v>0</x:v>
      </x:c>
      <x:c r="W1337" s="6" t="n">
        <x:v>0</x:v>
      </x:c>
      <x:c r="X1337" s="6" t="n">
        <x:v>0</x:v>
      </x:c>
      <x:c r="Y1337" s="6" t="n">
        <x:v>0</x:v>
      </x:c>
      <x:c r="Z1337" s="6" t="n">
        <x:v>0</x:v>
      </x:c>
      <x:c r="AA1337" s="6" t="n">
        <x:v>3</x:v>
      </x:c>
      <x:c r="AB1337" s="6" t="n">
        <x:v>11</x:v>
      </x:c>
      <x:c r="AC1337" s="6" t="n">
        <x:v>0</x:v>
      </x:c>
    </x:row>
    <x:row r="1338">
      <x:c r="A1338" s="6" t="n">
        <x:v>9495</x:v>
      </x:c>
      <x:c r="B1338" s="6" t="n">
        <x:v>1982</x:v>
      </x:c>
      <x:c r="C1338" s="6" t="str">
        <x:v>Graduation</x:v>
      </x:c>
      <x:c r="D1338" s="6" t="str">
        <x:v>Together</x:v>
      </x:c>
      <x:c r="E1338" s="6" t="n">
        <x:v>71853</x:v>
      </x:c>
      <x:c r="F1338" s="6" t="n">
        <x:v>0</x:v>
      </x:c>
      <x:c r="G1338" s="6" t="n">
        <x:v>0</x:v>
      </x:c>
      <x:c r="H1338" s="9" t="str">
        <x:v>08-05-2013</x:v>
      </x:c>
      <x:c r="I1338" s="6" t="n">
        <x:v>29</x:v>
      </x:c>
      <x:c r="J1338" s="6" t="n">
        <x:v>358</x:v>
      </x:c>
      <x:c r="K1338" s="6" t="n">
        <x:v>108</x:v>
      </x:c>
      <x:c r="L1338" s="6" t="n">
        <x:v>413</x:v>
      </x:c>
      <x:c r="M1338" s="6" t="n">
        <x:v>141</x:v>
      </x:c>
      <x:c r="N1338" s="6" t="n">
        <x:v>97</x:v>
      </x:c>
      <x:c r="O1338" s="6" t="n">
        <x:v>32</x:v>
      </x:c>
      <x:c r="P1338" s="6" t="n">
        <x:v>1</x:v>
      </x:c>
      <x:c r="Q1338" s="6" t="n">
        <x:v>2</x:v>
      </x:c>
      <x:c r="R1338" s="6" t="n">
        <x:v>8</x:v>
      </x:c>
      <x:c r="S1338" s="6" t="n">
        <x:v>6</x:v>
      </x:c>
      <x:c r="T1338" s="6" t="n">
        <x:v>1</x:v>
      </x:c>
      <x:c r="U1338" s="6" t="n">
        <x:v>0</x:v>
      </x:c>
      <x:c r="V1338" s="6" t="n">
        <x:v>0</x:v>
      </x:c>
      <x:c r="W1338" s="6" t="n">
        <x:v>0</x:v>
      </x:c>
      <x:c r="X1338" s="6" t="n">
        <x:v>0</x:v>
      </x:c>
      <x:c r="Y1338" s="6" t="n">
        <x:v>0</x:v>
      </x:c>
      <x:c r="Z1338" s="6" t="n">
        <x:v>0</x:v>
      </x:c>
      <x:c r="AA1338" s="6" t="n">
        <x:v>3</x:v>
      </x:c>
      <x:c r="AB1338" s="6" t="n">
        <x:v>11</x:v>
      </x:c>
      <x:c r="AC1338" s="6" t="n">
        <x:v>0</x:v>
      </x:c>
    </x:row>
    <x:row r="1339">
      <x:c r="A1339" s="6" t="n">
        <x:v>9635</x:v>
      </x:c>
      <x:c r="B1339" s="6" t="n">
        <x:v>1983</x:v>
      </x:c>
      <x:c r="C1339" s="6" t="str">
        <x:v>Master</x:v>
      </x:c>
      <x:c r="D1339" s="6" t="str">
        <x:v>Married</x:v>
      </x:c>
      <x:c r="E1339" s="6" t="n">
        <x:v>35876</x:v>
      </x:c>
      <x:c r="F1339" s="6" t="n">
        <x:v>0</x:v>
      </x:c>
      <x:c r="G1339" s="6" t="n">
        <x:v>0</x:v>
      </x:c>
      <x:c r="H1339" s="9" t="str">
        <x:v>20-04-2014</x:v>
      </x:c>
      <x:c r="I1339" s="6" t="n">
        <x:v>13</x:v>
      </x:c>
      <x:c r="J1339" s="6" t="n">
        <x:v>66</x:v>
      </x:c>
      <x:c r="K1339" s="6" t="n">
        <x:v>2</x:v>
      </x:c>
      <x:c r="L1339" s="6" t="n">
        <x:v>40</x:v>
      </x:c>
      <x:c r="M1339" s="6" t="n">
        <x:v>4</x:v>
      </x:c>
      <x:c r="N1339" s="6" t="n">
        <x:v>3</x:v>
      </x:c>
      <x:c r="O1339" s="6" t="n">
        <x:v>14</x:v>
      </x:c>
      <x:c r="P1339" s="6" t="n">
        <x:v>1</x:v>
      </x:c>
      <x:c r="Q1339" s="6" t="n">
        <x:v>3</x:v>
      </x:c>
      <x:c r="R1339" s="6" t="n">
        <x:v>1</x:v>
      </x:c>
      <x:c r="S1339" s="6" t="n">
        <x:v>3</x:v>
      </x:c>
      <x:c r="T1339" s="6" t="n">
        <x:v>6</x:v>
      </x:c>
      <x:c r="U1339" s="6" t="n">
        <x:v>0</x:v>
      </x:c>
      <x:c r="V1339" s="6" t="n">
        <x:v>0</x:v>
      </x:c>
      <x:c r="W1339" s="6" t="n">
        <x:v>0</x:v>
      </x:c>
      <x:c r="X1339" s="6" t="n">
        <x:v>0</x:v>
      </x:c>
      <x:c r="Y1339" s="6" t="n">
        <x:v>0</x:v>
      </x:c>
      <x:c r="Z1339" s="6" t="n">
        <x:v>0</x:v>
      </x:c>
      <x:c r="AA1339" s="6" t="n">
        <x:v>3</x:v>
      </x:c>
      <x:c r="AB1339" s="6" t="n">
        <x:v>11</x:v>
      </x:c>
      <x:c r="AC1339" s="6" t="n">
        <x:v>0</x:v>
      </x:c>
    </x:row>
    <x:row r="1340">
      <x:c r="A1340" s="6" t="n">
        <x:v>2173</x:v>
      </x:c>
      <x:c r="B1340" s="6" t="n">
        <x:v>1952</x:v>
      </x:c>
      <x:c r="C1340" s="6" t="str">
        <x:v>Graduation</x:v>
      </x:c>
      <x:c r="D1340" s="6" t="str">
        <x:v>Widow</x:v>
      </x:c>
      <x:c r="E1340" s="6" t="n">
        <x:v>40049</x:v>
      </x:c>
      <x:c r="F1340" s="6" t="n">
        <x:v>0</x:v>
      </x:c>
      <x:c r="G1340" s="6" t="n">
        <x:v>1</x:v>
      </x:c>
      <x:c r="H1340" s="9" t="str">
        <x:v>16-10-2013</x:v>
      </x:c>
      <x:c r="I1340" s="6" t="n">
        <x:v>23</x:v>
      </x:c>
      <x:c r="J1340" s="6" t="n">
        <x:v>13</x:v>
      </x:c>
      <x:c r="K1340" s="6" t="n">
        <x:v>6</x:v>
      </x:c>
      <x:c r="L1340" s="6" t="n">
        <x:v>7</x:v>
      </x:c>
      <x:c r="M1340" s="6" t="n">
        <x:v>0</x:v>
      </x:c>
      <x:c r="N1340" s="6" t="n">
        <x:v>3</x:v>
      </x:c>
      <x:c r="O1340" s="6" t="n">
        <x:v>3</x:v>
      </x:c>
      <x:c r="P1340" s="6" t="n">
        <x:v>1</x:v>
      </x:c>
      <x:c r="Q1340" s="6" t="n">
        <x:v>1</x:v>
      </x:c>
      <x:c r="R1340" s="6" t="n">
        <x:v>0</x:v>
      </x:c>
      <x:c r="S1340" s="6" t="n">
        <x:v>3</x:v>
      </x:c>
      <x:c r="T1340" s="6" t="n">
        <x:v>6</x:v>
      </x:c>
      <x:c r="U1340" s="6" t="n">
        <x:v>0</x:v>
      </x:c>
      <x:c r="V1340" s="6" t="n">
        <x:v>0</x:v>
      </x:c>
      <x:c r="W1340" s="6" t="n">
        <x:v>0</x:v>
      </x:c>
      <x:c r="X1340" s="6" t="n">
        <x:v>0</x:v>
      </x:c>
      <x:c r="Y1340" s="6" t="n">
        <x:v>0</x:v>
      </x:c>
      <x:c r="Z1340" s="6" t="n">
        <x:v>0</x:v>
      </x:c>
      <x:c r="AA1340" s="6" t="n">
        <x:v>3</x:v>
      </x:c>
      <x:c r="AB1340" s="6" t="n">
        <x:v>11</x:v>
      </x:c>
      <x:c r="AC1340" s="6" t="n">
        <x:v>0</x:v>
      </x:c>
    </x:row>
    <x:row r="1341">
      <x:c r="A1341" s="6" t="n">
        <x:v>942</x:v>
      </x:c>
      <x:c r="B1341" s="6" t="n">
        <x:v>1982</x:v>
      </x:c>
      <x:c r="C1341" s="6" t="str">
        <x:v>Graduation</x:v>
      </x:c>
      <x:c r="D1341" s="6" t="str">
        <x:v>Single</x:v>
      </x:c>
      <x:c r="E1341" s="6" t="n">
        <x:v>39660</x:v>
      </x:c>
      <x:c r="F1341" s="6" t="n">
        <x:v>1</x:v>
      </x:c>
      <x:c r="G1341" s="6" t="n">
        <x:v>0</x:v>
      </x:c>
      <x:c r="H1341" s="9" t="str">
        <x:v>08-08-2012</x:v>
      </x:c>
      <x:c r="I1341" s="6" t="n">
        <x:v>36</x:v>
      </x:c>
      <x:c r="J1341" s="6" t="n">
        <x:v>139</x:v>
      </x:c>
      <x:c r="K1341" s="6" t="n">
        <x:v>13</x:v>
      </x:c>
      <x:c r="L1341" s="6" t="n">
        <x:v>78</x:v>
      </x:c>
      <x:c r="M1341" s="6" t="n">
        <x:v>20</x:v>
      </x:c>
      <x:c r="N1341" s="6" t="n">
        <x:v>13</x:v>
      </x:c>
      <x:c r="O1341" s="6" t="n">
        <x:v>36</x:v>
      </x:c>
      <x:c r="P1341" s="6" t="n">
        <x:v>3</x:v>
      </x:c>
      <x:c r="Q1341" s="6" t="n">
        <x:v>7</x:v>
      </x:c>
      <x:c r="R1341" s="6" t="n">
        <x:v>1</x:v>
      </x:c>
      <x:c r="S1341" s="6" t="n">
        <x:v>3</x:v>
      </x:c>
      <x:c r="T1341" s="6" t="n">
        <x:v>9</x:v>
      </x:c>
      <x:c r="U1341" s="6" t="n">
        <x:v>0</x:v>
      </x:c>
      <x:c r="V1341" s="6" t="n">
        <x:v>0</x:v>
      </x:c>
      <x:c r="W1341" s="6" t="n">
        <x:v>0</x:v>
      </x:c>
      <x:c r="X1341" s="6" t="n">
        <x:v>0</x:v>
      </x:c>
      <x:c r="Y1341" s="6" t="n">
        <x:v>0</x:v>
      </x:c>
      <x:c r="Z1341" s="6" t="n">
        <x:v>0</x:v>
      </x:c>
      <x:c r="AA1341" s="6" t="n">
        <x:v>3</x:v>
      </x:c>
      <x:c r="AB1341" s="6" t="n">
        <x:v>11</x:v>
      </x:c>
      <x:c r="AC1341" s="6" t="n">
        <x:v>1</x:v>
      </x:c>
    </x:row>
    <x:row r="1342">
      <x:c r="A1342" s="6" t="n">
        <x:v>9386</x:v>
      </x:c>
      <x:c r="B1342" s="6" t="n">
        <x:v>1962</x:v>
      </x:c>
      <x:c r="C1342" s="6" t="str">
        <x:v>Graduation</x:v>
      </x:c>
      <x:c r="D1342" s="6" t="str">
        <x:v>Together</x:v>
      </x:c>
      <x:c r="E1342" s="6" t="n">
        <x:v>50127</x:v>
      </x:c>
      <x:c r="F1342" s="6" t="n">
        <x:v>0</x:v>
      </x:c>
      <x:c r="G1342" s="6" t="n">
        <x:v>1</x:v>
      </x:c>
      <x:c r="H1342" s="9" t="str">
        <x:v>29-05-2014</x:v>
      </x:c>
      <x:c r="I1342" s="6" t="n">
        <x:v>88</x:v>
      </x:c>
      <x:c r="J1342" s="6" t="n">
        <x:v>274</x:v>
      </x:c>
      <x:c r="K1342" s="6" t="n">
        <x:v>0</x:v>
      </x:c>
      <x:c r="L1342" s="6" t="n">
        <x:v>21</x:v>
      </x:c>
      <x:c r="M1342" s="6" t="n">
        <x:v>4</x:v>
      </x:c>
      <x:c r="N1342" s="6" t="n">
        <x:v>6</x:v>
      </x:c>
      <x:c r="O1342" s="6" t="n">
        <x:v>15</x:v>
      </x:c>
      <x:c r="P1342" s="6" t="n">
        <x:v>1</x:v>
      </x:c>
      <x:c r="Q1342" s="6" t="n">
        <x:v>5</x:v>
      </x:c>
      <x:c r="R1342" s="6" t="n">
        <x:v>1</x:v>
      </x:c>
      <x:c r="S1342" s="6" t="n">
        <x:v>6</x:v>
      </x:c>
      <x:c r="T1342" s="6" t="n">
        <x:v>6</x:v>
      </x:c>
      <x:c r="U1342" s="6" t="n">
        <x:v>0</x:v>
      </x:c>
      <x:c r="V1342" s="6" t="n">
        <x:v>1</x:v>
      </x:c>
      <x:c r="W1342" s="6" t="n">
        <x:v>0</x:v>
      </x:c>
      <x:c r="X1342" s="6" t="n">
        <x:v>0</x:v>
      </x:c>
      <x:c r="Y1342" s="6" t="n">
        <x:v>0</x:v>
      </x:c>
      <x:c r="Z1342" s="6" t="n">
        <x:v>0</x:v>
      </x:c>
      <x:c r="AA1342" s="6" t="n">
        <x:v>3</x:v>
      </x:c>
      <x:c r="AB1342" s="6" t="n">
        <x:v>11</x:v>
      </x:c>
      <x:c r="AC1342" s="6" t="n">
        <x:v>0</x:v>
      </x:c>
    </x:row>
    <x:row r="1343">
      <x:c r="A1343" s="6" t="n">
        <x:v>5510</x:v>
      </x:c>
      <x:c r="B1343" s="6" t="n">
        <x:v>1977</x:v>
      </x:c>
      <x:c r="C1343" s="6" t="str">
        <x:v>Master</x:v>
      </x:c>
      <x:c r="D1343" s="6" t="str">
        <x:v>Married</x:v>
      </x:c>
      <x:c r="E1343" s="6" t="n">
        <x:v>43263</x:v>
      </x:c>
      <x:c r="F1343" s="6" t="n">
        <x:v>0</x:v>
      </x:c>
      <x:c r="G1343" s="6" t="n">
        <x:v>1</x:v>
      </x:c>
      <x:c r="H1343" s="9" t="str">
        <x:v>21-11-2012</x:v>
      </x:c>
      <x:c r="I1343" s="6" t="n">
        <x:v>2</x:v>
      </x:c>
      <x:c r="J1343" s="6" t="n">
        <x:v>262</x:v>
      </x:c>
      <x:c r="K1343" s="6" t="n">
        <x:v>6</x:v>
      </x:c>
      <x:c r="L1343" s="6" t="n">
        <x:v>61</x:v>
      </x:c>
      <x:c r="M1343" s="6" t="n">
        <x:v>0</x:v>
      </x:c>
      <x:c r="N1343" s="6" t="n">
        <x:v>10</x:v>
      </x:c>
      <x:c r="O1343" s="6" t="n">
        <x:v>102</x:v>
      </x:c>
      <x:c r="P1343" s="6" t="n">
        <x:v>3</x:v>
      </x:c>
      <x:c r="Q1343" s="6" t="n">
        <x:v>5</x:v>
      </x:c>
      <x:c r="R1343" s="6" t="n">
        <x:v>2</x:v>
      </x:c>
      <x:c r="S1343" s="6" t="n">
        <x:v>6</x:v>
      </x:c>
      <x:c r="T1343" s="6" t="n">
        <x:v>5</x:v>
      </x:c>
      <x:c r="U1343" s="6" t="n">
        <x:v>0</x:v>
      </x:c>
      <x:c r="V1343" s="6" t="n">
        <x:v>0</x:v>
      </x:c>
      <x:c r="W1343" s="6" t="n">
        <x:v>0</x:v>
      </x:c>
      <x:c r="X1343" s="6" t="n">
        <x:v>0</x:v>
      </x:c>
      <x:c r="Y1343" s="6" t="n">
        <x:v>0</x:v>
      </x:c>
      <x:c r="Z1343" s="6" t="n">
        <x:v>0</x:v>
      </x:c>
      <x:c r="AA1343" s="6" t="n">
        <x:v>3</x:v>
      </x:c>
      <x:c r="AB1343" s="6" t="n">
        <x:v>11</x:v>
      </x:c>
      <x:c r="AC1343" s="6" t="n">
        <x:v>0</x:v>
      </x:c>
    </x:row>
    <x:row r="1344">
      <x:c r="A1344" s="6" t="n">
        <x:v>873</x:v>
      </x:c>
      <x:c r="B1344" s="6" t="n">
        <x:v>1949</x:v>
      </x:c>
      <x:c r="C1344" s="6" t="str">
        <x:v>Master</x:v>
      </x:c>
      <x:c r="D1344" s="6" t="str">
        <x:v>Married</x:v>
      </x:c>
      <x:c r="E1344" s="6" t="n">
        <x:v>62845</x:v>
      </x:c>
      <x:c r="F1344" s="6" t="n">
        <x:v>1</x:v>
      </x:c>
      <x:c r="G1344" s="6" t="n">
        <x:v>1</x:v>
      </x:c>
      <x:c r="H1344" s="9" t="str">
        <x:v>01-10-2012</x:v>
      </x:c>
      <x:c r="I1344" s="6" t="n">
        <x:v>3</x:v>
      </x:c>
      <x:c r="J1344" s="6" t="n">
        <x:v>1099</x:v>
      </x:c>
      <x:c r="K1344" s="6" t="n">
        <x:v>0</x:v>
      </x:c>
      <x:c r="L1344" s="6" t="n">
        <x:v>45</x:v>
      </x:c>
      <x:c r="M1344" s="6" t="n">
        <x:v>0</x:v>
      </x:c>
      <x:c r="N1344" s="6" t="n">
        <x:v>0</x:v>
      </x:c>
      <x:c r="O1344" s="6" t="n">
        <x:v>34</x:v>
      </x:c>
      <x:c r="P1344" s="6" t="n">
        <x:v>11</x:v>
      </x:c>
      <x:c r="Q1344" s="6" t="n">
        <x:v>3</x:v>
      </x:c>
      <x:c r="R1344" s="6" t="n">
        <x:v>4</x:v>
      </x:c>
      <x:c r="S1344" s="6" t="n">
        <x:v>10</x:v>
      </x:c>
      <x:c r="T1344" s="6" t="n">
        <x:v>8</x:v>
      </x:c>
      <x:c r="U1344" s="6" t="n">
        <x:v>0</x:v>
      </x:c>
      <x:c r="V1344" s="6" t="n">
        <x:v>1</x:v>
      </x:c>
      <x:c r="W1344" s="6" t="n">
        <x:v>0</x:v>
      </x:c>
      <x:c r="X1344" s="6" t="n">
        <x:v>0</x:v>
      </x:c>
      <x:c r="Y1344" s="6" t="n">
        <x:v>0</x:v>
      </x:c>
      <x:c r="Z1344" s="6" t="n">
        <x:v>0</x:v>
      </x:c>
      <x:c r="AA1344" s="6" t="n">
        <x:v>3</x:v>
      </x:c>
      <x:c r="AB1344" s="6" t="n">
        <x:v>11</x:v>
      </x:c>
      <x:c r="AC1344" s="6" t="n">
        <x:v>1</x:v>
      </x:c>
    </x:row>
    <x:row r="1345">
      <x:c r="A1345" s="6" t="n">
        <x:v>2253</x:v>
      </x:c>
      <x:c r="B1345" s="6" t="n">
        <x:v>1990</x:v>
      </x:c>
      <x:c r="C1345" s="6" t="str">
        <x:v>Graduation</x:v>
      </x:c>
      <x:c r="D1345" s="6" t="str">
        <x:v>Married</x:v>
      </x:c>
      <x:c r="E1345" s="6" t="n">
        <x:v>18929</x:v>
      </x:c>
      <x:c r="F1345" s="6" t="n">
        <x:v>0</x:v>
      </x:c>
      <x:c r="G1345" s="6" t="n">
        <x:v>0</x:v>
      </x:c>
      <x:c r="H1345" s="9" t="str">
        <x:v>16-02-2013</x:v>
      </x:c>
      <x:c r="I1345" s="6" t="n">
        <x:v>15</x:v>
      </x:c>
      <x:c r="J1345" s="6" t="n">
        <x:v>32</x:v>
      </x:c>
      <x:c r="K1345" s="6" t="n">
        <x:v>0</x:v>
      </x:c>
      <x:c r="L1345" s="6" t="n">
        <x:v>8</x:v>
      </x:c>
      <x:c r="M1345" s="6" t="n">
        <x:v>23</x:v>
      </x:c>
      <x:c r="N1345" s="6" t="n">
        <x:v>4</x:v>
      </x:c>
      <x:c r="O1345" s="6" t="n">
        <x:v>18</x:v>
      </x:c>
      <x:c r="P1345" s="6" t="n">
        <x:v>1</x:v>
      </x:c>
      <x:c r="Q1345" s="6" t="n">
        <x:v>1</x:v>
      </x:c>
      <x:c r="R1345" s="6" t="n">
        <x:v>0</x:v>
      </x:c>
      <x:c r="S1345" s="6" t="n">
        <x:v>4</x:v>
      </x:c>
      <x:c r="T1345" s="6" t="n">
        <x:v>6</x:v>
      </x:c>
      <x:c r="U1345" s="6" t="n">
        <x:v>0</x:v>
      </x:c>
      <x:c r="V1345" s="6" t="n">
        <x:v>0</x:v>
      </x:c>
      <x:c r="W1345" s="6" t="n">
        <x:v>0</x:v>
      </x:c>
      <x:c r="X1345" s="6" t="n">
        <x:v>0</x:v>
      </x:c>
      <x:c r="Y1345" s="6" t="n">
        <x:v>0</x:v>
      </x:c>
      <x:c r="Z1345" s="6" t="n">
        <x:v>0</x:v>
      </x:c>
      <x:c r="AA1345" s="6" t="n">
        <x:v>3</x:v>
      </x:c>
      <x:c r="AB1345" s="6" t="n">
        <x:v>11</x:v>
      </x:c>
      <x:c r="AC1345" s="6" t="n">
        <x:v>0</x:v>
      </x:c>
    </x:row>
    <x:row r="1346">
      <x:c r="A1346" s="6" t="n">
        <x:v>5181</x:v>
      </x:c>
      <x:c r="B1346" s="6" t="n">
        <x:v>1982</x:v>
      </x:c>
      <x:c r="C1346" s="6" t="str">
        <x:v>Basic</x:v>
      </x:c>
      <x:c r="D1346" s="6" t="str">
        <x:v>Single</x:v>
      </x:c>
      <x:c r="E1346" s="6" t="n">
        <x:v>24367</x:v>
      </x:c>
      <x:c r="F1346" s="6" t="n">
        <x:v>1</x:v>
      </x:c>
      <x:c r="G1346" s="6" t="n">
        <x:v>0</x:v>
      </x:c>
      <x:c r="H1346" s="9" t="str">
        <x:v>20-03-2013</x:v>
      </x:c>
      <x:c r="I1346" s="6" t="n">
        <x:v>58</x:v>
      </x:c>
      <x:c r="J1346" s="6" t="n">
        <x:v>2</x:v>
      </x:c>
      <x:c r="K1346" s="6" t="n">
        <x:v>4</x:v>
      </x:c>
      <x:c r="L1346" s="6" t="n">
        <x:v>2</x:v>
      </x:c>
      <x:c r="M1346" s="6" t="n">
        <x:v>0</x:v>
      </x:c>
      <x:c r="N1346" s="6" t="n">
        <x:v>11</x:v>
      </x:c>
      <x:c r="O1346" s="6" t="n">
        <x:v>5</x:v>
      </x:c>
      <x:c r="P1346" s="6" t="n">
        <x:v>1</x:v>
      </x:c>
      <x:c r="Q1346" s="6" t="n">
        <x:v>1</x:v>
      </x:c>
      <x:c r="R1346" s="6" t="n">
        <x:v>0</x:v>
      </x:c>
      <x:c r="S1346" s="6" t="n">
        <x:v>2</x:v>
      </x:c>
      <x:c r="T1346" s="6" t="n">
        <x:v>9</x:v>
      </x:c>
      <x:c r="U1346" s="6" t="n">
        <x:v>0</x:v>
      </x:c>
      <x:c r="V1346" s="6" t="n">
        <x:v>0</x:v>
      </x:c>
      <x:c r="W1346" s="6" t="n">
        <x:v>0</x:v>
      </x:c>
      <x:c r="X1346" s="6" t="n">
        <x:v>0</x:v>
      </x:c>
      <x:c r="Y1346" s="6" t="n">
        <x:v>0</x:v>
      </x:c>
      <x:c r="Z1346" s="6" t="n">
        <x:v>0</x:v>
      </x:c>
      <x:c r="AA1346" s="6" t="n">
        <x:v>3</x:v>
      </x:c>
      <x:c r="AB1346" s="6" t="n">
        <x:v>11</x:v>
      </x:c>
      <x:c r="AC1346" s="6" t="n">
        <x:v>0</x:v>
      </x:c>
    </x:row>
    <x:row r="1347">
      <x:c r="A1347" s="6" t="n">
        <x:v>979</x:v>
      </x:c>
      <x:c r="B1347" s="6" t="n">
        <x:v>1975</x:v>
      </x:c>
      <x:c r="C1347" s="6" t="str">
        <x:v>Graduation</x:v>
      </x:c>
      <x:c r="D1347" s="6" t="str">
        <x:v>Single</x:v>
      </x:c>
      <x:c r="E1347" s="6" t="n">
        <x:v>33249</x:v>
      </x:c>
      <x:c r="F1347" s="6" t="n">
        <x:v>1</x:v>
      </x:c>
      <x:c r="G1347" s="6" t="n">
        <x:v>0</x:v>
      </x:c>
      <x:c r="H1347" s="9" t="str">
        <x:v>20-02-2013</x:v>
      </x:c>
      <x:c r="I1347" s="6" t="n">
        <x:v>11</x:v>
      </x:c>
      <x:c r="J1347" s="6" t="n">
        <x:v>6</x:v>
      </x:c>
      <x:c r="K1347" s="6" t="n">
        <x:v>10</x:v>
      </x:c>
      <x:c r="L1347" s="6" t="n">
        <x:v>21</x:v>
      </x:c>
      <x:c r="M1347" s="6" t="n">
        <x:v>19</x:v>
      </x:c>
      <x:c r="N1347" s="6" t="n">
        <x:v>14</x:v>
      </x:c>
      <x:c r="O1347" s="6" t="n">
        <x:v>42</x:v>
      </x:c>
      <x:c r="P1347" s="6" t="n">
        <x:v>2</x:v>
      </x:c>
      <x:c r="Q1347" s="6" t="n">
        <x:v>2</x:v>
      </x:c>
      <x:c r="R1347" s="6" t="n">
        <x:v>1</x:v>
      </x:c>
      <x:c r="S1347" s="6" t="n">
        <x:v>3</x:v>
      </x:c>
      <x:c r="T1347" s="6" t="n">
        <x:v>6</x:v>
      </x:c>
      <x:c r="U1347" s="6" t="n">
        <x:v>0</x:v>
      </x:c>
      <x:c r="V1347" s="6" t="n">
        <x:v>0</x:v>
      </x:c>
      <x:c r="W1347" s="6" t="n">
        <x:v>0</x:v>
      </x:c>
      <x:c r="X1347" s="6" t="n">
        <x:v>0</x:v>
      </x:c>
      <x:c r="Y1347" s="6" t="n">
        <x:v>0</x:v>
      </x:c>
      <x:c r="Z1347" s="6" t="n">
        <x:v>0</x:v>
      </x:c>
      <x:c r="AA1347" s="6" t="n">
        <x:v>3</x:v>
      </x:c>
      <x:c r="AB1347" s="6" t="n">
        <x:v>11</x:v>
      </x:c>
      <x:c r="AC1347" s="6" t="n">
        <x:v>0</x:v>
      </x:c>
    </x:row>
    <x:row r="1348">
      <x:c r="A1348" s="6" t="n">
        <x:v>10390</x:v>
      </x:c>
      <x:c r="B1348" s="6" t="n">
        <x:v>1959</x:v>
      </x:c>
      <x:c r="C1348" s="6" t="str">
        <x:v>2n Cycle</x:v>
      </x:c>
      <x:c r="D1348" s="6" t="str">
        <x:v>Married</x:v>
      </x:c>
      <x:c r="E1348" s="6" t="n">
        <x:v>26887</x:v>
      </x:c>
      <x:c r="F1348" s="6" t="n">
        <x:v>0</x:v>
      </x:c>
      <x:c r="G1348" s="6" t="n">
        <x:v>1</x:v>
      </x:c>
      <x:c r="H1348" s="9" t="str">
        <x:v>10-02-2013</x:v>
      </x:c>
      <x:c r="I1348" s="6" t="n">
        <x:v>27</x:v>
      </x:c>
      <x:c r="J1348" s="6" t="n">
        <x:v>6</x:v>
      </x:c>
      <x:c r="K1348" s="6" t="n">
        <x:v>7</x:v>
      </x:c>
      <x:c r="L1348" s="6" t="n">
        <x:v>4</x:v>
      </x:c>
      <x:c r="M1348" s="6" t="n">
        <x:v>3</x:v>
      </x:c>
      <x:c r="N1348" s="6" t="n">
        <x:v>4</x:v>
      </x:c>
      <x:c r="O1348" s="6" t="n">
        <x:v>6</x:v>
      </x:c>
      <x:c r="P1348" s="6" t="n">
        <x:v>1</x:v>
      </x:c>
      <x:c r="Q1348" s="6" t="n">
        <x:v>1</x:v>
      </x:c>
      <x:c r="R1348" s="6" t="n">
        <x:v>0</x:v>
      </x:c>
      <x:c r="S1348" s="6" t="n">
        <x:v>3</x:v>
      </x:c>
      <x:c r="T1348" s="6" t="n">
        <x:v>6</x:v>
      </x:c>
      <x:c r="U1348" s="6" t="n">
        <x:v>0</x:v>
      </x:c>
      <x:c r="V1348" s="6" t="n">
        <x:v>0</x:v>
      </x:c>
      <x:c r="W1348" s="6" t="n">
        <x:v>0</x:v>
      </x:c>
      <x:c r="X1348" s="6" t="n">
        <x:v>0</x:v>
      </x:c>
      <x:c r="Y1348" s="6" t="n">
        <x:v>0</x:v>
      </x:c>
      <x:c r="Z1348" s="6" t="n">
        <x:v>0</x:v>
      </x:c>
      <x:c r="AA1348" s="6" t="n">
        <x:v>3</x:v>
      </x:c>
      <x:c r="AB1348" s="6" t="n">
        <x:v>11</x:v>
      </x:c>
      <x:c r="AC1348" s="6" t="n">
        <x:v>0</x:v>
      </x:c>
    </x:row>
    <x:row r="1349">
      <x:c r="A1349" s="6" t="n">
        <x:v>4698</x:v>
      </x:c>
      <x:c r="B1349" s="6" t="n">
        <x:v>1983</x:v>
      </x:c>
      <x:c r="C1349" s="6" t="str">
        <x:v>PhD</x:v>
      </x:c>
      <x:c r="D1349" s="6" t="str">
        <x:v>Married</x:v>
      </x:c>
      <x:c r="E1349" s="6" t="n">
        <x:v>50150</x:v>
      </x:c>
      <x:c r="F1349" s="6" t="n">
        <x:v>0</x:v>
      </x:c>
      <x:c r="G1349" s="6" t="n">
        <x:v>0</x:v>
      </x:c>
      <x:c r="H1349" s="9" t="str">
        <x:v>20-06-2013</x:v>
      </x:c>
      <x:c r="I1349" s="6" t="n">
        <x:v>32</x:v>
      </x:c>
      <x:c r="J1349" s="6" t="n">
        <x:v>135</x:v>
      </x:c>
      <x:c r="K1349" s="6" t="n">
        <x:v>46</x:v>
      </x:c>
      <x:c r="L1349" s="6" t="n">
        <x:v>92</x:v>
      </x:c>
      <x:c r="M1349" s="6" t="n">
        <x:v>65</x:v>
      </x:c>
      <x:c r="N1349" s="6" t="n">
        <x:v>61</x:v>
      </x:c>
      <x:c r="O1349" s="6" t="n">
        <x:v>11</x:v>
      </x:c>
      <x:c r="P1349" s="6" t="n">
        <x:v>2</x:v>
      </x:c>
      <x:c r="Q1349" s="6" t="n">
        <x:v>5</x:v>
      </x:c>
      <x:c r="R1349" s="6" t="n">
        <x:v>2</x:v>
      </x:c>
      <x:c r="S1349" s="6" t="n">
        <x:v>7</x:v>
      </x:c>
      <x:c r="T1349" s="6" t="n">
        <x:v>5</x:v>
      </x:c>
      <x:c r="U1349" s="6" t="n">
        <x:v>0</x:v>
      </x:c>
      <x:c r="V1349" s="6" t="n">
        <x:v>0</x:v>
      </x:c>
      <x:c r="W1349" s="6" t="n">
        <x:v>0</x:v>
      </x:c>
      <x:c r="X1349" s="6" t="n">
        <x:v>0</x:v>
      </x:c>
      <x:c r="Y1349" s="6" t="n">
        <x:v>0</x:v>
      </x:c>
      <x:c r="Z1349" s="6" t="n">
        <x:v>0</x:v>
      </x:c>
      <x:c r="AA1349" s="6" t="n">
        <x:v>3</x:v>
      </x:c>
      <x:c r="AB1349" s="6" t="n">
        <x:v>11</x:v>
      </x:c>
      <x:c r="AC1349" s="6" t="n">
        <x:v>0</x:v>
      </x:c>
    </x:row>
    <x:row r="1350">
      <x:c r="A1350" s="6" t="n">
        <x:v>7793</x:v>
      </x:c>
      <x:c r="B1350" s="6" t="n">
        <x:v>1976</x:v>
      </x:c>
      <x:c r="C1350" s="6" t="str">
        <x:v>Graduation</x:v>
      </x:c>
      <x:c r="D1350" s="6" t="str">
        <x:v>Together</x:v>
      </x:c>
      <x:c r="E1350" s="6" t="n">
        <x:v>62061</x:v>
      </x:c>
      <x:c r="F1350" s="6" t="n">
        <x:v>0</x:v>
      </x:c>
      <x:c r="G1350" s="6" t="n">
        <x:v>1</x:v>
      </x:c>
      <x:c r="H1350" s="9" t="str">
        <x:v>31-08-2013</x:v>
      </x:c>
      <x:c r="I1350" s="6" t="n">
        <x:v>12</x:v>
      </x:c>
      <x:c r="J1350" s="6" t="n">
        <x:v>641</x:v>
      </x:c>
      <x:c r="K1350" s="6" t="n">
        <x:v>7</x:v>
      </x:c>
      <x:c r="L1350" s="6" t="n">
        <x:v>84</x:v>
      </x:c>
      <x:c r="M1350" s="6" t="n">
        <x:v>0</x:v>
      </x:c>
      <x:c r="N1350" s="6" t="n">
        <x:v>30</x:v>
      </x:c>
      <x:c r="O1350" s="6" t="n">
        <x:v>38</x:v>
      </x:c>
      <x:c r="P1350" s="6" t="n">
        <x:v>3</x:v>
      </x:c>
      <x:c r="Q1350" s="6" t="n">
        <x:v>10</x:v>
      </x:c>
      <x:c r="R1350" s="6" t="n">
        <x:v>4</x:v>
      </x:c>
      <x:c r="S1350" s="6" t="n">
        <x:v>7</x:v>
      </x:c>
      <x:c r="T1350" s="6" t="n">
        <x:v>6</x:v>
      </x:c>
      <x:c r="U1350" s="6" t="n">
        <x:v>0</x:v>
      </x:c>
      <x:c r="V1350" s="6" t="n">
        <x:v>1</x:v>
      </x:c>
      <x:c r="W1350" s="6" t="n">
        <x:v>0</x:v>
      </x:c>
      <x:c r="X1350" s="6" t="n">
        <x:v>0</x:v>
      </x:c>
      <x:c r="Y1350" s="6" t="n">
        <x:v>0</x:v>
      </x:c>
      <x:c r="Z1350" s="6" t="n">
        <x:v>0</x:v>
      </x:c>
      <x:c r="AA1350" s="6" t="n">
        <x:v>3</x:v>
      </x:c>
      <x:c r="AB1350" s="6" t="n">
        <x:v>11</x:v>
      </x:c>
      <x:c r="AC1350" s="6" t="n">
        <x:v>0</x:v>
      </x:c>
    </x:row>
    <x:row r="1351">
      <x:c r="A1351" s="6" t="n">
        <x:v>1745</x:v>
      </x:c>
      <x:c r="B1351" s="6" t="n">
        <x:v>1962</x:v>
      </x:c>
      <x:c r="C1351" s="6" t="str">
        <x:v>PhD</x:v>
      </x:c>
      <x:c r="D1351" s="6" t="str">
        <x:v>Divorced</x:v>
      </x:c>
      <x:c r="E1351" s="6" t="n">
        <x:v>85696</x:v>
      </x:c>
      <x:c r="F1351" s="6" t="n">
        <x:v>0</x:v>
      </x:c>
      <x:c r="G1351" s="6" t="n">
        <x:v>0</x:v>
      </x:c>
      <x:c r="H1351" s="9" t="str">
        <x:v>03-05-2013</x:v>
      </x:c>
      <x:c r="I1351" s="6" t="n">
        <x:v>88</x:v>
      </x:c>
      <x:c r="J1351" s="6" t="n">
        <x:v>714</x:v>
      </x:c>
      <x:c r="K1351" s="6" t="n">
        <x:v>76</x:v>
      </x:c>
      <x:c r="L1351" s="6" t="n">
        <x:v>395</x:v>
      </x:c>
      <x:c r="M1351" s="6" t="n">
        <x:v>116</x:v>
      </x:c>
      <x:c r="N1351" s="6" t="n">
        <x:v>0</x:v>
      </x:c>
      <x:c r="O1351" s="6" t="n">
        <x:v>12</x:v>
      </x:c>
      <x:c r="P1351" s="6" t="n">
        <x:v>1</x:v>
      </x:c>
      <x:c r="Q1351" s="6" t="n">
        <x:v>4</x:v>
      </x:c>
      <x:c r="R1351" s="6" t="n">
        <x:v>6</x:v>
      </x:c>
      <x:c r="S1351" s="6" t="n">
        <x:v>9</x:v>
      </x:c>
      <x:c r="T1351" s="6" t="n">
        <x:v>1</x:v>
      </x:c>
      <x:c r="U1351" s="6" t="n">
        <x:v>0</x:v>
      </x:c>
      <x:c r="V1351" s="6" t="n">
        <x:v>0</x:v>
      </x:c>
      <x:c r="W1351" s="6" t="n">
        <x:v>0</x:v>
      </x:c>
      <x:c r="X1351" s="6" t="n">
        <x:v>0</x:v>
      </x:c>
      <x:c r="Y1351" s="6" t="n">
        <x:v>0</x:v>
      </x:c>
      <x:c r="Z1351" s="6" t="n">
        <x:v>0</x:v>
      </x:c>
      <x:c r="AA1351" s="6" t="n">
        <x:v>3</x:v>
      </x:c>
      <x:c r="AB1351" s="6" t="n">
        <x:v>11</x:v>
      </x:c>
      <x:c r="AC1351" s="6" t="n">
        <x:v>1</x:v>
      </x:c>
    </x:row>
    <x:row r="1352">
      <x:c r="A1352" s="6" t="n">
        <x:v>10590</x:v>
      </x:c>
      <x:c r="B1352" s="6" t="n">
        <x:v>1956</x:v>
      </x:c>
      <x:c r="C1352" s="6" t="str">
        <x:v>PhD</x:v>
      </x:c>
      <x:c r="D1352" s="6" t="str">
        <x:v>Together</x:v>
      </x:c>
      <x:c r="E1352" s="6" t="n">
        <x:v>76542</x:v>
      </x:c>
      <x:c r="F1352" s="6" t="n">
        <x:v>0</x:v>
      </x:c>
      <x:c r="G1352" s="6" t="n">
        <x:v>0</x:v>
      </x:c>
      <x:c r="H1352" s="9" t="str">
        <x:v>30-03-2013</x:v>
      </x:c>
      <x:c r="I1352" s="6" t="n">
        <x:v>91</x:v>
      </x:c>
      <x:c r="J1352" s="6" t="n">
        <x:v>794</x:v>
      </x:c>
      <x:c r="K1352" s="6" t="n">
        <x:v>73</x:v>
      </x:c>
      <x:c r="L1352" s="6" t="n">
        <x:v>573</x:v>
      </x:c>
      <x:c r="M1352" s="6" t="n">
        <x:v>0</x:v>
      </x:c>
      <x:c r="N1352" s="6" t="n">
        <x:v>29</x:v>
      </x:c>
      <x:c r="O1352" s="6" t="n">
        <x:v>14</x:v>
      </x:c>
      <x:c r="P1352" s="6" t="n">
        <x:v>1</x:v>
      </x:c>
      <x:c r="Q1352" s="6" t="n">
        <x:v>4</x:v>
      </x:c>
      <x:c r="R1352" s="6" t="n">
        <x:v>8</x:v>
      </x:c>
      <x:c r="S1352" s="6" t="n">
        <x:v>10</x:v>
      </x:c>
      <x:c r="T1352" s="6" t="n">
        <x:v>2</x:v>
      </x:c>
      <x:c r="U1352" s="6" t="n">
        <x:v>0</x:v>
      </x:c>
      <x:c r="V1352" s="6" t="n">
        <x:v>0</x:v>
      </x:c>
      <x:c r="W1352" s="6" t="n">
        <x:v>0</x:v>
      </x:c>
      <x:c r="X1352" s="6" t="n">
        <x:v>0</x:v>
      </x:c>
      <x:c r="Y1352" s="6" t="n">
        <x:v>0</x:v>
      </x:c>
      <x:c r="Z1352" s="6" t="n">
        <x:v>0</x:v>
      </x:c>
      <x:c r="AA1352" s="6" t="n">
        <x:v>3</x:v>
      </x:c>
      <x:c r="AB1352" s="6" t="n">
        <x:v>11</x:v>
      </x:c>
      <x:c r="AC1352" s="6" t="n">
        <x:v>0</x:v>
      </x:c>
    </x:row>
    <x:row r="1353">
      <x:c r="A1353" s="6" t="n">
        <x:v>5080</x:v>
      </x:c>
      <x:c r="B1353" s="6" t="n">
        <x:v>1993</x:v>
      </x:c>
      <x:c r="C1353" s="6" t="str">
        <x:v>Graduation</x:v>
      </x:c>
      <x:c r="D1353" s="6" t="str">
        <x:v>Single</x:v>
      </x:c>
      <x:c r="E1353" s="6" t="n">
        <x:v>70515</x:v>
      </x:c>
      <x:c r="F1353" s="6" t="n">
        <x:v>0</x:v>
      </x:c>
      <x:c r="G1353" s="6" t="n">
        <x:v>0</x:v>
      </x:c>
      <x:c r="H1353" s="9" t="str">
        <x:v>21-10-2013</x:v>
      </x:c>
      <x:c r="I1353" s="6" t="n">
        <x:v>12</x:v>
      </x:c>
      <x:c r="J1353" s="6" t="n">
        <x:v>420</x:v>
      </x:c>
      <x:c r="K1353" s="6" t="n">
        <x:v>0</x:v>
      </x:c>
      <x:c r="L1353" s="6" t="n">
        <x:v>452</x:v>
      </x:c>
      <x:c r="M1353" s="6" t="n">
        <x:v>182</x:v>
      </x:c>
      <x:c r="N1353" s="6" t="n">
        <x:v>64</x:v>
      </x:c>
      <x:c r="O1353" s="6" t="n">
        <x:v>140</x:v>
      </x:c>
      <x:c r="P1353" s="6" t="n">
        <x:v>1</x:v>
      </x:c>
      <x:c r="Q1353" s="6" t="n">
        <x:v>6</x:v>
      </x:c>
      <x:c r="R1353" s="6" t="n">
        <x:v>6</x:v>
      </x:c>
      <x:c r="S1353" s="6" t="n">
        <x:v>4</x:v>
      </x:c>
      <x:c r="T1353" s="6" t="n">
        <x:v>2</x:v>
      </x:c>
      <x:c r="U1353" s="6" t="n">
        <x:v>0</x:v>
      </x:c>
      <x:c r="V1353" s="6" t="n">
        <x:v>0</x:v>
      </x:c>
      <x:c r="W1353" s="6" t="n">
        <x:v>0</x:v>
      </x:c>
      <x:c r="X1353" s="6" t="n">
        <x:v>0</x:v>
      </x:c>
      <x:c r="Y1353" s="6" t="n">
        <x:v>0</x:v>
      </x:c>
      <x:c r="Z1353" s="6" t="n">
        <x:v>0</x:v>
      </x:c>
      <x:c r="AA1353" s="6" t="n">
        <x:v>3</x:v>
      </x:c>
      <x:c r="AB1353" s="6" t="n">
        <x:v>11</x:v>
      </x:c>
      <x:c r="AC1353" s="6" t="n">
        <x:v>1</x:v>
      </x:c>
    </x:row>
    <x:row r="1354">
      <x:c r="A1354" s="6" t="n">
        <x:v>8369</x:v>
      </x:c>
      <x:c r="B1354" s="6" t="n">
        <x:v>1987</x:v>
      </x:c>
      <x:c r="C1354" s="6" t="str">
        <x:v>Graduation</x:v>
      </x:c>
      <x:c r="D1354" s="6" t="str">
        <x:v>Together</x:v>
      </x:c>
      <x:c r="E1354" s="6" t="n">
        <x:v>18227</x:v>
      </x:c>
      <x:c r="F1354" s="6" t="n">
        <x:v>1</x:v>
      </x:c>
      <x:c r="G1354" s="6" t="n">
        <x:v>0</x:v>
      </x:c>
      <x:c r="H1354" s="9" t="str">
        <x:v>08-11-2012</x:v>
      </x:c>
      <x:c r="I1354" s="6" t="n">
        <x:v>21</x:v>
      </x:c>
      <x:c r="J1354" s="6" t="n">
        <x:v>1</x:v>
      </x:c>
      <x:c r="K1354" s="6" t="n">
        <x:v>2</x:v>
      </x:c>
      <x:c r="L1354" s="6" t="n">
        <x:v>7</x:v>
      </x:c>
      <x:c r="M1354" s="6" t="n">
        <x:v>4</x:v>
      </x:c>
      <x:c r="N1354" s="6" t="n">
        <x:v>3</x:v>
      </x:c>
      <x:c r="O1354" s="6" t="n">
        <x:v>11</x:v>
      </x:c>
      <x:c r="P1354" s="6" t="n">
        <x:v>1</x:v>
      </x:c>
      <x:c r="Q1354" s="6" t="n">
        <x:v>0</x:v>
      </x:c>
      <x:c r="R1354" s="6" t="n">
        <x:v>1</x:v>
      </x:c>
      <x:c r="S1354" s="6" t="n">
        <x:v>2</x:v>
      </x:c>
      <x:c r="T1354" s="6" t="n">
        <x:v>8</x:v>
      </x:c>
      <x:c r="U1354" s="6" t="n">
        <x:v>0</x:v>
      </x:c>
      <x:c r="V1354" s="6" t="n">
        <x:v>0</x:v>
      </x:c>
      <x:c r="W1354" s="6" t="n">
        <x:v>0</x:v>
      </x:c>
      <x:c r="X1354" s="6" t="n">
        <x:v>0</x:v>
      </x:c>
      <x:c r="Y1354" s="6" t="n">
        <x:v>0</x:v>
      </x:c>
      <x:c r="Z1354" s="6" t="n">
        <x:v>0</x:v>
      </x:c>
      <x:c r="AA1354" s="6" t="n">
        <x:v>3</x:v>
      </x:c>
      <x:c r="AB1354" s="6" t="n">
        <x:v>11</x:v>
      </x:c>
      <x:c r="AC1354" s="6" t="n">
        <x:v>0</x:v>
      </x:c>
    </x:row>
    <x:row r="1355">
      <x:c r="A1355" s="6" t="n">
        <x:v>5232</x:v>
      </x:c>
      <x:c r="B1355" s="6" t="n">
        <x:v>1965</x:v>
      </x:c>
      <x:c r="C1355" s="6" t="str">
        <x:v>Graduation</x:v>
      </x:c>
      <x:c r="D1355" s="6" t="str">
        <x:v>Married</x:v>
      </x:c>
      <x:c r="E1355" s="6" t="n">
        <x:v>69139</x:v>
      </x:c>
      <x:c r="F1355" s="6" t="n">
        <x:v>0</x:v>
      </x:c>
      <x:c r="G1355" s="6" t="n">
        <x:v>1</x:v>
      </x:c>
      <x:c r="H1355" s="9" t="str">
        <x:v>27-01-2014</x:v>
      </x:c>
      <x:c r="I1355" s="6" t="n">
        <x:v>23</x:v>
      </x:c>
      <x:c r="J1355" s="6" t="n">
        <x:v>86</x:v>
      </x:c>
      <x:c r="K1355" s="6" t="n">
        <x:v>12</x:v>
      </x:c>
      <x:c r="L1355" s="6" t="n">
        <x:v>75</x:v>
      </x:c>
      <x:c r="M1355" s="6" t="n">
        <x:v>33</x:v>
      </x:c>
      <x:c r="N1355" s="6" t="n">
        <x:v>15</x:v>
      </x:c>
      <x:c r="O1355" s="6" t="n">
        <x:v>6</x:v>
      </x:c>
      <x:c r="P1355" s="6" t="n">
        <x:v>1</x:v>
      </x:c>
      <x:c r="Q1355" s="6" t="n">
        <x:v>4</x:v>
      </x:c>
      <x:c r="R1355" s="6" t="n">
        <x:v>1</x:v>
      </x:c>
      <x:c r="S1355" s="6" t="n">
        <x:v>5</x:v>
      </x:c>
      <x:c r="T1355" s="6" t="n">
        <x:v>4</x:v>
      </x:c>
      <x:c r="U1355" s="6" t="n">
        <x:v>0</x:v>
      </x:c>
      <x:c r="V1355" s="6" t="n">
        <x:v>0</x:v>
      </x:c>
      <x:c r="W1355" s="6" t="n">
        <x:v>0</x:v>
      </x:c>
      <x:c r="X1355" s="6" t="n">
        <x:v>0</x:v>
      </x:c>
      <x:c r="Y1355" s="6" t="n">
        <x:v>0</x:v>
      </x:c>
      <x:c r="Z1355" s="6" t="n">
        <x:v>0</x:v>
      </x:c>
      <x:c r="AA1355" s="6" t="n">
        <x:v>3</x:v>
      </x:c>
      <x:c r="AB1355" s="6" t="n">
        <x:v>11</x:v>
      </x:c>
      <x:c r="AC1355" s="6" t="n">
        <x:v>0</x:v>
      </x:c>
    </x:row>
    <x:row r="1356">
      <x:c r="A1356" s="6" t="n">
        <x:v>2407</x:v>
      </x:c>
      <x:c r="B1356" s="6" t="n">
        <x:v>1982</x:v>
      </x:c>
      <x:c r="C1356" s="6" t="str">
        <x:v>Graduation</x:v>
      </x:c>
      <x:c r="D1356" s="6" t="str">
        <x:v>Married</x:v>
      </x:c>
      <x:c r="E1356" s="6" t="n">
        <x:v>69109</x:v>
      </x:c>
      <x:c r="F1356" s="6" t="n">
        <x:v>0</x:v>
      </x:c>
      <x:c r="G1356" s="6" t="n">
        <x:v>0</x:v>
      </x:c>
      <x:c r="H1356" s="9" t="str">
        <x:v>09-11-2012</x:v>
      </x:c>
      <x:c r="I1356" s="6" t="n">
        <x:v>10</x:v>
      </x:c>
      <x:c r="J1356" s="6" t="n">
        <x:v>823</x:v>
      </x:c>
      <x:c r="K1356" s="6" t="n">
        <x:v>25</x:v>
      </x:c>
      <x:c r="L1356" s="6" t="n">
        <x:v>459</x:v>
      </x:c>
      <x:c r="M1356" s="6" t="n">
        <x:v>124</x:v>
      </x:c>
      <x:c r="N1356" s="6" t="n">
        <x:v>29</x:v>
      </x:c>
      <x:c r="O1356" s="6" t="n">
        <x:v>95</x:v>
      </x:c>
      <x:c r="P1356" s="6" t="n">
        <x:v>1</x:v>
      </x:c>
      <x:c r="Q1356" s="6" t="n">
        <x:v>6</x:v>
      </x:c>
      <x:c r="R1356" s="6" t="n">
        <x:v>6</x:v>
      </x:c>
      <x:c r="S1356" s="6" t="n">
        <x:v>7</x:v>
      </x:c>
      <x:c r="T1356" s="6" t="n">
        <x:v>4</x:v>
      </x:c>
      <x:c r="U1356" s="6" t="n">
        <x:v>0</x:v>
      </x:c>
      <x:c r="V1356" s="6" t="n">
        <x:v>0</x:v>
      </x:c>
      <x:c r="W1356" s="6" t="n">
        <x:v>1</x:v>
      </x:c>
      <x:c r="X1356" s="6" t="n">
        <x:v>0</x:v>
      </x:c>
      <x:c r="Y1356" s="6" t="n">
        <x:v>0</x:v>
      </x:c>
      <x:c r="Z1356" s="6" t="n">
        <x:v>0</x:v>
      </x:c>
      <x:c r="AA1356" s="6" t="n">
        <x:v>3</x:v>
      </x:c>
      <x:c r="AB1356" s="6" t="n">
        <x:v>11</x:v>
      </x:c>
      <x:c r="AC1356" s="6" t="n">
        <x:v>1</x:v>
      </x:c>
    </x:row>
    <x:row r="1357">
      <x:c r="A1357" s="6" t="n">
        <x:v>3834</x:v>
      </x:c>
      <x:c r="B1357" s="6" t="n">
        <x:v>1962</x:v>
      </x:c>
      <x:c r="C1357" s="6" t="str">
        <x:v>Graduation</x:v>
      </x:c>
      <x:c r="D1357" s="6" t="str">
        <x:v>Single</x:v>
      </x:c>
      <x:c r="E1357" s="6" t="n">
        <x:v>69627</x:v>
      </x:c>
      <x:c r="F1357" s="6" t="n">
        <x:v>0</x:v>
      </x:c>
      <x:c r="G1357" s="6" t="n">
        <x:v>1</x:v>
      </x:c>
      <x:c r="H1357" s="9" t="str">
        <x:v>17-03-2013</x:v>
      </x:c>
      <x:c r="I1357" s="6" t="n">
        <x:v>35</x:v>
      </x:c>
      <x:c r="J1357" s="6" t="n">
        <x:v>231</x:v>
      </x:c>
      <x:c r="K1357" s="6" t="n">
        <x:v>161</x:v>
      </x:c>
      <x:c r="L1357" s="6" t="n">
        <x:v>215</x:v>
      </x:c>
      <x:c r="M1357" s="6" t="n">
        <x:v>171</x:v>
      </x:c>
      <x:c r="N1357" s="6" t="n">
        <x:v>30</x:v>
      </x:c>
      <x:c r="O1357" s="6" t="n">
        <x:v>53</x:v>
      </x:c>
      <x:c r="P1357" s="6" t="n">
        <x:v>2</x:v>
      </x:c>
      <x:c r="Q1357" s="6" t="n">
        <x:v>8</x:v>
      </x:c>
      <x:c r="R1357" s="6" t="n">
        <x:v>2</x:v>
      </x:c>
      <x:c r="S1357" s="6" t="n">
        <x:v>11</x:v>
      </x:c>
      <x:c r="T1357" s="6" t="n">
        <x:v>5</x:v>
      </x:c>
      <x:c r="U1357" s="6" t="n">
        <x:v>0</x:v>
      </x:c>
      <x:c r="V1357" s="6" t="n">
        <x:v>0</x:v>
      </x:c>
      <x:c r="W1357" s="6" t="n">
        <x:v>0</x:v>
      </x:c>
      <x:c r="X1357" s="6" t="n">
        <x:v>0</x:v>
      </x:c>
      <x:c r="Y1357" s="6" t="n">
        <x:v>0</x:v>
      </x:c>
      <x:c r="Z1357" s="6" t="n">
        <x:v>0</x:v>
      </x:c>
      <x:c r="AA1357" s="6" t="n">
        <x:v>3</x:v>
      </x:c>
      <x:c r="AB1357" s="6" t="n">
        <x:v>11</x:v>
      </x:c>
      <x:c r="AC1357" s="6" t="n">
        <x:v>0</x:v>
      </x:c>
    </x:row>
    <x:row r="1358">
      <x:c r="A1358" s="6" t="n">
        <x:v>7912</x:v>
      </x:c>
      <x:c r="B1358" s="6" t="n">
        <x:v>1978</x:v>
      </x:c>
      <x:c r="C1358" s="6" t="str">
        <x:v>Graduation</x:v>
      </x:c>
      <x:c r="D1358" s="6" t="str">
        <x:v>Married</x:v>
      </x:c>
      <x:c r="E1358" s="6" t="n">
        <x:v>38136</x:v>
      </x:c>
      <x:c r="F1358" s="6" t="n">
        <x:v>1</x:v>
      </x:c>
      <x:c r="G1358" s="6" t="n">
        <x:v>0</x:v>
      </x:c>
      <x:c r="H1358" s="9" t="str">
        <x:v>22-04-2013</x:v>
      </x:c>
      <x:c r="I1358" s="6" t="n">
        <x:v>69</x:v>
      </x:c>
      <x:c r="J1358" s="6" t="n">
        <x:v>8</x:v>
      </x:c>
      <x:c r="K1358" s="6" t="n">
        <x:v>15</x:v>
      </x:c>
      <x:c r="L1358" s="6" t="n">
        <x:v>27</x:v>
      </x:c>
      <x:c r="M1358" s="6" t="n">
        <x:v>0</x:v>
      </x:c>
      <x:c r="N1358" s="6" t="n">
        <x:v>20</x:v>
      </x:c>
      <x:c r="O1358" s="6" t="n">
        <x:v>33</x:v>
      </x:c>
      <x:c r="P1358" s="6" t="n">
        <x:v>2</x:v>
      </x:c>
      <x:c r="Q1358" s="6" t="n">
        <x:v>3</x:v>
      </x:c>
      <x:c r="R1358" s="6" t="n">
        <x:v>1</x:v>
      </x:c>
      <x:c r="S1358" s="6" t="n">
        <x:v>2</x:v>
      </x:c>
      <x:c r="T1358" s="6" t="n">
        <x:v>8</x:v>
      </x:c>
      <x:c r="U1358" s="6" t="n">
        <x:v>1</x:v>
      </x:c>
      <x:c r="V1358" s="6" t="n">
        <x:v>0</x:v>
      </x:c>
      <x:c r="W1358" s="6" t="n">
        <x:v>0</x:v>
      </x:c>
      <x:c r="X1358" s="6" t="n">
        <x:v>0</x:v>
      </x:c>
      <x:c r="Y1358" s="6" t="n">
        <x:v>0</x:v>
      </x:c>
      <x:c r="Z1358" s="6" t="n">
        <x:v>0</x:v>
      </x:c>
      <x:c r="AA1358" s="6" t="n">
        <x:v>3</x:v>
      </x:c>
      <x:c r="AB1358" s="6" t="n">
        <x:v>11</x:v>
      </x:c>
      <x:c r="AC1358" s="6" t="n">
        <x:v>0</x:v>
      </x:c>
    </x:row>
    <x:row r="1359">
      <x:c r="A1359" s="6" t="n">
        <x:v>7712</x:v>
      </x:c>
      <x:c r="B1359" s="6" t="n">
        <x:v>1946</x:v>
      </x:c>
      <x:c r="C1359" s="6" t="str">
        <x:v>PhD</x:v>
      </x:c>
      <x:c r="D1359" s="6" t="str">
        <x:v>Single</x:v>
      </x:c>
      <x:c r="E1359" s="6" t="n">
        <x:v>62159</x:v>
      </x:c>
      <x:c r="F1359" s="6" t="n">
        <x:v>0</x:v>
      </x:c>
      <x:c r="G1359" s="6" t="n">
        <x:v>0</x:v>
      </x:c>
      <x:c r="H1359" s="9" t="str">
        <x:v>28-04-2014</x:v>
      </x:c>
      <x:c r="I1359" s="6" t="n">
        <x:v>68</x:v>
      </x:c>
      <x:c r="J1359" s="6" t="n">
        <x:v>182</x:v>
      </x:c>
      <x:c r="K1359" s="6" t="n">
        <x:v>17</x:v>
      </x:c>
      <x:c r="L1359" s="6" t="n">
        <x:v>259</x:v>
      </x:c>
      <x:c r="M1359" s="6" t="n">
        <x:v>77</x:v>
      </x:c>
      <x:c r="N1359" s="6" t="n">
        <x:v>70</x:v>
      </x:c>
      <x:c r="O1359" s="6" t="n">
        <x:v>29</x:v>
      </x:c>
      <x:c r="P1359" s="6" t="n">
        <x:v>1</x:v>
      </x:c>
      <x:c r="Q1359" s="6" t="n">
        <x:v>6</x:v>
      </x:c>
      <x:c r="R1359" s="6" t="n">
        <x:v>2</x:v>
      </x:c>
      <x:c r="S1359" s="6" t="n">
        <x:v>10</x:v>
      </x:c>
      <x:c r="T1359" s="6" t="n">
        <x:v>4</x:v>
      </x:c>
      <x:c r="U1359" s="6" t="n">
        <x:v>0</x:v>
      </x:c>
      <x:c r="V1359" s="6" t="n">
        <x:v>0</x:v>
      </x:c>
      <x:c r="W1359" s="6" t="n">
        <x:v>0</x:v>
      </x:c>
      <x:c r="X1359" s="6" t="n">
        <x:v>0</x:v>
      </x:c>
      <x:c r="Y1359" s="6" t="n">
        <x:v>0</x:v>
      </x:c>
      <x:c r="Z1359" s="6" t="n">
        <x:v>0</x:v>
      </x:c>
      <x:c r="AA1359" s="6" t="n">
        <x:v>3</x:v>
      </x:c>
      <x:c r="AB1359" s="6" t="n">
        <x:v>11</x:v>
      </x:c>
      <x:c r="AC1359" s="6" t="n">
        <x:v>0</x:v>
      </x:c>
    </x:row>
    <x:row r="1360">
      <x:c r="A1360" s="6" t="n">
        <x:v>1065</x:v>
      </x:c>
      <x:c r="B1360" s="6" t="n">
        <x:v>1963</x:v>
      </x:c>
      <x:c r="C1360" s="6" t="str">
        <x:v>Graduation</x:v>
      </x:c>
      <x:c r="D1360" s="6" t="str">
        <x:v>Single</x:v>
      </x:c>
      <x:c r="E1360" s="6" t="n">
        <x:v>80695</x:v>
      </x:c>
      <x:c r="F1360" s="6" t="n">
        <x:v>0</x:v>
      </x:c>
      <x:c r="G1360" s="6" t="n">
        <x:v>0</x:v>
      </x:c>
      <x:c r="H1360" s="9" t="str">
        <x:v>29-12-2013</x:v>
      </x:c>
      <x:c r="I1360" s="6" t="n">
        <x:v>85</x:v>
      </x:c>
      <x:c r="J1360" s="6" t="n">
        <x:v>557</x:v>
      </x:c>
      <x:c r="K1360" s="6" t="n">
        <x:v>129</x:v>
      </x:c>
      <x:c r="L1360" s="6" t="n">
        <x:v>984</x:v>
      </x:c>
      <x:c r="M1360" s="6" t="n">
        <x:v>193</x:v>
      </x:c>
      <x:c r="N1360" s="6" t="n">
        <x:v>37</x:v>
      </x:c>
      <x:c r="O1360" s="6" t="n">
        <x:v>18</x:v>
      </x:c>
      <x:c r="P1360" s="6" t="n">
        <x:v>1</x:v>
      </x:c>
      <x:c r="Q1360" s="6" t="n">
        <x:v>5</x:v>
      </x:c>
      <x:c r="R1360" s="6" t="n">
        <x:v>8</x:v>
      </x:c>
      <x:c r="S1360" s="6" t="n">
        <x:v>5</x:v>
      </x:c>
      <x:c r="T1360" s="6" t="n">
        <x:v>2</x:v>
      </x:c>
      <x:c r="U1360" s="6" t="n">
        <x:v>0</x:v>
      </x:c>
      <x:c r="V1360" s="6" t="n">
        <x:v>0</x:v>
      </x:c>
      <x:c r="W1360" s="6" t="n">
        <x:v>0</x:v>
      </x:c>
      <x:c r="X1360" s="6" t="n">
        <x:v>0</x:v>
      </x:c>
      <x:c r="Y1360" s="6" t="n">
        <x:v>0</x:v>
      </x:c>
      <x:c r="Z1360" s="6" t="n">
        <x:v>0</x:v>
      </x:c>
      <x:c r="AA1360" s="6" t="n">
        <x:v>3</x:v>
      </x:c>
      <x:c r="AB1360" s="6" t="n">
        <x:v>11</x:v>
      </x:c>
      <x:c r="AC1360" s="6" t="n">
        <x:v>0</x:v>
      </x:c>
    </x:row>
    <x:row r="1361">
      <x:c r="A1361" s="6" t="n">
        <x:v>7275</x:v>
      </x:c>
      <x:c r="B1361" s="6" t="n">
        <x:v>1971</x:v>
      </x:c>
      <x:c r="C1361" s="6" t="str">
        <x:v>Master</x:v>
      </x:c>
      <x:c r="D1361" s="6" t="str">
        <x:v>Single</x:v>
      </x:c>
      <x:c r="E1361" s="6" t="n">
        <x:v>33316</x:v>
      </x:c>
      <x:c r="F1361" s="6" t="n">
        <x:v>1</x:v>
      </x:c>
      <x:c r="G1361" s="6" t="n">
        <x:v>1</x:v>
      </x:c>
      <x:c r="H1361" s="9" t="str">
        <x:v>04-10-2013</x:v>
      </x:c>
      <x:c r="I1361" s="6" t="n">
        <x:v>34</x:v>
      </x:c>
      <x:c r="J1361" s="6" t="n">
        <x:v>79</x:v>
      </x:c>
      <x:c r="K1361" s="6" t="n">
        <x:v>1</x:v>
      </x:c>
      <x:c r="L1361" s="6" t="n">
        <x:v>31</x:v>
      </x:c>
      <x:c r="M1361" s="6" t="n">
        <x:v>4</x:v>
      </x:c>
      <x:c r="N1361" s="6" t="n">
        <x:v>4</x:v>
      </x:c>
      <x:c r="O1361" s="6" t="n">
        <x:v>12</x:v>
      </x:c>
      <x:c r="P1361" s="6" t="n">
        <x:v>3</x:v>
      </x:c>
      <x:c r="Q1361" s="6" t="n">
        <x:v>2</x:v>
      </x:c>
      <x:c r="R1361" s="6" t="n">
        <x:v>1</x:v>
      </x:c>
      <x:c r="S1361" s="6" t="n">
        <x:v>4</x:v>
      </x:c>
      <x:c r="T1361" s="6" t="n">
        <x:v>6</x:v>
      </x:c>
      <x:c r="U1361" s="6" t="n">
        <x:v>0</x:v>
      </x:c>
      <x:c r="V1361" s="6" t="n">
        <x:v>0</x:v>
      </x:c>
      <x:c r="W1361" s="6" t="n">
        <x:v>0</x:v>
      </x:c>
      <x:c r="X1361" s="6" t="n">
        <x:v>0</x:v>
      </x:c>
      <x:c r="Y1361" s="6" t="n">
        <x:v>0</x:v>
      </x:c>
      <x:c r="Z1361" s="6" t="n">
        <x:v>0</x:v>
      </x:c>
      <x:c r="AA1361" s="6" t="n">
        <x:v>3</x:v>
      </x:c>
      <x:c r="AB1361" s="6" t="n">
        <x:v>11</x:v>
      </x:c>
      <x:c r="AC1361" s="6" t="n">
        <x:v>0</x:v>
      </x:c>
    </x:row>
    <x:row r="1362">
      <x:c r="A1362" s="6" t="n">
        <x:v>1343</x:v>
      </x:c>
      <x:c r="B1362" s="6" t="n">
        <x:v>1968</x:v>
      </x:c>
      <x:c r="C1362" s="6" t="str">
        <x:v>Graduation</x:v>
      </x:c>
      <x:c r="D1362" s="6" t="str">
        <x:v>Together</x:v>
      </x:c>
      <x:c r="E1362" s="6" t="n">
        <x:v>58554</x:v>
      </x:c>
      <x:c r="F1362" s="6" t="n">
        <x:v>1</x:v>
      </x:c>
      <x:c r="G1362" s="6" t="n">
        <x:v>1</x:v>
      </x:c>
      <x:c r="H1362" s="9" t="str">
        <x:v>26-09-2012</x:v>
      </x:c>
      <x:c r="I1362" s="6" t="n">
        <x:v>55</x:v>
      </x:c>
      <x:c r="J1362" s="6" t="n">
        <x:v>368</x:v>
      </x:c>
      <x:c r="K1362" s="6" t="n">
        <x:v>24</x:v>
      </x:c>
      <x:c r="L1362" s="6" t="n">
        <x:v>68</x:v>
      </x:c>
      <x:c r="M1362" s="6" t="n">
        <x:v>38</x:v>
      </x:c>
      <x:c r="N1362" s="6" t="n">
        <x:v>0</x:v>
      </x:c>
      <x:c r="O1362" s="6" t="n">
        <x:v>88</x:v>
      </x:c>
      <x:c r="P1362" s="6" t="n">
        <x:v>6</x:v>
      </x:c>
      <x:c r="Q1362" s="6" t="n">
        <x:v>8</x:v>
      </x:c>
      <x:c r="R1362" s="6" t="n">
        <x:v>2</x:v>
      </x:c>
      <x:c r="S1362" s="6" t="n">
        <x:v>6</x:v>
      </x:c>
      <x:c r="T1362" s="6" t="n">
        <x:v>7</x:v>
      </x:c>
      <x:c r="U1362" s="6" t="n">
        <x:v>0</x:v>
      </x:c>
      <x:c r="V1362" s="6" t="n">
        <x:v>0</x:v>
      </x:c>
      <x:c r="W1362" s="6" t="n">
        <x:v>0</x:v>
      </x:c>
      <x:c r="X1362" s="6" t="n">
        <x:v>0</x:v>
      </x:c>
      <x:c r="Y1362" s="6" t="n">
        <x:v>0</x:v>
      </x:c>
      <x:c r="Z1362" s="6" t="n">
        <x:v>0</x:v>
      </x:c>
      <x:c r="AA1362" s="6" t="n">
        <x:v>3</x:v>
      </x:c>
      <x:c r="AB1362" s="6" t="n">
        <x:v>11</x:v>
      </x:c>
      <x:c r="AC1362" s="6" t="n">
        <x:v>0</x:v>
      </x:c>
    </x:row>
    <x:row r="1363">
      <x:c r="A1363" s="6" t="n">
        <x:v>1384</x:v>
      </x:c>
      <x:c r="B1363" s="6" t="n">
        <x:v>1992</x:v>
      </x:c>
      <x:c r="C1363" s="6" t="str">
        <x:v>Basic</x:v>
      </x:c>
      <x:c r="D1363" s="6" t="str">
        <x:v>Married</x:v>
      </x:c>
      <x:c r="E1363" s="6" t="n">
        <x:v>17256</x:v>
      </x:c>
      <x:c r="F1363" s="6" t="n">
        <x:v>1</x:v>
      </x:c>
      <x:c r="G1363" s="6" t="n">
        <x:v>0</x:v>
      </x:c>
      <x:c r="H1363" s="9" t="str">
        <x:v>23-11-2013</x:v>
      </x:c>
      <x:c r="I1363" s="6" t="n">
        <x:v>10</x:v>
      </x:c>
      <x:c r="J1363" s="6" t="n">
        <x:v>6</x:v>
      </x:c>
      <x:c r="K1363" s="6" t="n">
        <x:v>4</x:v>
      </x:c>
      <x:c r="L1363" s="6" t="n">
        <x:v>14</x:v>
      </x:c>
      <x:c r="M1363" s="6" t="n">
        <x:v>8</x:v>
      </x:c>
      <x:c r="N1363" s="6" t="n">
        <x:v>8</x:v>
      </x:c>
      <x:c r="O1363" s="6" t="n">
        <x:v>22</x:v>
      </x:c>
      <x:c r="P1363" s="6" t="n">
        <x:v>2</x:v>
      </x:c>
      <x:c r="Q1363" s="6" t="n">
        <x:v>2</x:v>
      </x:c>
      <x:c r="R1363" s="6" t="n">
        <x:v>1</x:v>
      </x:c>
      <x:c r="S1363" s="6" t="n">
        <x:v>2</x:v>
      </x:c>
      <x:c r="T1363" s="6" t="n">
        <x:v>8</x:v>
      </x:c>
      <x:c r="U1363" s="6" t="n">
        <x:v>1</x:v>
      </x:c>
      <x:c r="V1363" s="6" t="n">
        <x:v>0</x:v>
      </x:c>
      <x:c r="W1363" s="6" t="n">
        <x:v>0</x:v>
      </x:c>
      <x:c r="X1363" s="6" t="n">
        <x:v>0</x:v>
      </x:c>
      <x:c r="Y1363" s="6" t="n">
        <x:v>0</x:v>
      </x:c>
      <x:c r="Z1363" s="6" t="n">
        <x:v>0</x:v>
      </x:c>
      <x:c r="AA1363" s="6" t="n">
        <x:v>3</x:v>
      </x:c>
      <x:c r="AB1363" s="6" t="n">
        <x:v>11</x:v>
      </x:c>
      <x:c r="AC1363" s="6" t="n">
        <x:v>0</x:v>
      </x:c>
    </x:row>
    <x:row r="1364">
      <x:c r="A1364" s="6" t="n">
        <x:v>9967</x:v>
      </x:c>
      <x:c r="B1364" s="6" t="n">
        <x:v>1974</x:v>
      </x:c>
      <x:c r="C1364" s="6" t="str">
        <x:v>Graduation</x:v>
      </x:c>
      <x:c r="D1364" s="6" t="str">
        <x:v>Divorced</x:v>
      </x:c>
      <x:c r="E1364" s="6" t="n">
        <x:v>53034</x:v>
      </x:c>
      <x:c r="F1364" s="6" t="n">
        <x:v>1</x:v>
      </x:c>
      <x:c r="G1364" s="6" t="n">
        <x:v>1</x:v>
      </x:c>
      <x:c r="H1364" s="9" t="str">
        <x:v>30-05-2013</x:v>
      </x:c>
      <x:c r="I1364" s="6" t="n">
        <x:v>30</x:v>
      </x:c>
      <x:c r="J1364" s="6" t="n">
        <x:v>160</x:v>
      </x:c>
      <x:c r="K1364" s="6" t="n">
        <x:v>15</x:v>
      </x:c>
      <x:c r="L1364" s="6" t="n">
        <x:v>196</x:v>
      </x:c>
      <x:c r="M1364" s="6" t="n">
        <x:v>15</x:v>
      </x:c>
      <x:c r="N1364" s="6" t="n">
        <x:v>11</x:v>
      </x:c>
      <x:c r="O1364" s="6" t="n">
        <x:v>50</x:v>
      </x:c>
      <x:c r="P1364" s="6" t="n">
        <x:v>8</x:v>
      </x:c>
      <x:c r="Q1364" s="6" t="n">
        <x:v>6</x:v>
      </x:c>
      <x:c r="R1364" s="6" t="n">
        <x:v>1</x:v>
      </x:c>
      <x:c r="S1364" s="6" t="n">
        <x:v>7</x:v>
      </x:c>
      <x:c r="T1364" s="6" t="n">
        <x:v>8</x:v>
      </x:c>
      <x:c r="U1364" s="6" t="n">
        <x:v>0</x:v>
      </x:c>
      <x:c r="V1364" s="6" t="n">
        <x:v>0</x:v>
      </x:c>
      <x:c r="W1364" s="6" t="n">
        <x:v>0</x:v>
      </x:c>
      <x:c r="X1364" s="6" t="n">
        <x:v>0</x:v>
      </x:c>
      <x:c r="Y1364" s="6" t="n">
        <x:v>0</x:v>
      </x:c>
      <x:c r="Z1364" s="6" t="n">
        <x:v>0</x:v>
      </x:c>
      <x:c r="AA1364" s="6" t="n">
        <x:v>3</x:v>
      </x:c>
      <x:c r="AB1364" s="6" t="n">
        <x:v>11</x:v>
      </x:c>
      <x:c r="AC1364" s="6" t="n">
        <x:v>0</x:v>
      </x:c>
    </x:row>
    <x:row r="1365">
      <x:c r="A1365" s="6" t="n">
        <x:v>6181</x:v>
      </x:c>
      <x:c r="B1365" s="6" t="n">
        <x:v>1950</x:v>
      </x:c>
      <x:c r="C1365" s="6" t="str">
        <x:v>2n Cycle</x:v>
      </x:c>
      <x:c r="D1365" s="6" t="str">
        <x:v>Together</x:v>
      </x:c>
      <x:c r="E1365" s="6" t="n">
        <x:v>52203</x:v>
      </x:c>
      <x:c r="F1365" s="6" t="n">
        <x:v>0</x:v>
      </x:c>
      <x:c r="G1365" s="6" t="n">
        <x:v>0</x:v>
      </x:c>
      <x:c r="H1365" s="9" t="str">
        <x:v>31-07-2012</x:v>
      </x:c>
      <x:c r="I1365" s="6" t="n">
        <x:v>36</x:v>
      </x:c>
      <x:c r="J1365" s="6" t="n">
        <x:v>488</x:v>
      </x:c>
      <x:c r="K1365" s="6" t="n">
        <x:v>21</x:v>
      </x:c>
      <x:c r="L1365" s="6" t="n">
        <x:v>238</x:v>
      </x:c>
      <x:c r="M1365" s="6" t="n">
        <x:v>56</x:v>
      </x:c>
      <x:c r="N1365" s="6" t="n">
        <x:v>108</x:v>
      </x:c>
      <x:c r="O1365" s="6" t="n">
        <x:v>28</x:v>
      </x:c>
      <x:c r="P1365" s="6" t="n">
        <x:v>1</x:v>
      </x:c>
      <x:c r="Q1365" s="6" t="n">
        <x:v>8</x:v>
      </x:c>
      <x:c r="R1365" s="6" t="n">
        <x:v>7</x:v>
      </x:c>
      <x:c r="S1365" s="6" t="n">
        <x:v>11</x:v>
      </x:c>
      <x:c r="T1365" s="6" t="n">
        <x:v>6</x:v>
      </x:c>
      <x:c r="U1365" s="6" t="n">
        <x:v>0</x:v>
      </x:c>
      <x:c r="V1365" s="6" t="n">
        <x:v>0</x:v>
      </x:c>
      <x:c r="W1365" s="6" t="n">
        <x:v>0</x:v>
      </x:c>
      <x:c r="X1365" s="6" t="n">
        <x:v>0</x:v>
      </x:c>
      <x:c r="Y1365" s="6" t="n">
        <x:v>0</x:v>
      </x:c>
      <x:c r="Z1365" s="6" t="n">
        <x:v>0</x:v>
      </x:c>
      <x:c r="AA1365" s="6" t="n">
        <x:v>3</x:v>
      </x:c>
      <x:c r="AB1365" s="6" t="n">
        <x:v>11</x:v>
      </x:c>
      <x:c r="AC1365" s="6" t="n">
        <x:v>0</x:v>
      </x:c>
    </x:row>
    <x:row r="1366">
      <x:c r="A1366" s="6" t="n">
        <x:v>10507</x:v>
      </x:c>
      <x:c r="B1366" s="6" t="n">
        <x:v>1977</x:v>
      </x:c>
      <x:c r="C1366" s="6" t="str">
        <x:v>2n Cycle</x:v>
      </x:c>
      <x:c r="D1366" s="6" t="str">
        <x:v>Divorced</x:v>
      </x:c>
      <x:c r="E1366" s="6" t="n">
        <x:v>59601</x:v>
      </x:c>
      <x:c r="F1366" s="6" t="n">
        <x:v>0</x:v>
      </x:c>
      <x:c r="G1366" s="6" t="n">
        <x:v>1</x:v>
      </x:c>
      <x:c r="H1366" s="9" t="str">
        <x:v>25-07-2013</x:v>
      </x:c>
      <x:c r="I1366" s="6" t="n">
        <x:v>14</x:v>
      </x:c>
      <x:c r="J1366" s="6" t="n">
        <x:v>691</x:v>
      </x:c>
      <x:c r="K1366" s="6" t="n">
        <x:v>7</x:v>
      </x:c>
      <x:c r="L1366" s="6" t="n">
        <x:v>69</x:v>
      </x:c>
      <x:c r="M1366" s="6" t="n">
        <x:v>0</x:v>
      </x:c>
      <x:c r="N1366" s="6" t="n">
        <x:v>7</x:v>
      </x:c>
      <x:c r="O1366" s="6" t="n">
        <x:v>23</x:v>
      </x:c>
      <x:c r="P1366" s="6" t="n">
        <x:v>4</x:v>
      </x:c>
      <x:c r="Q1366" s="6" t="n">
        <x:v>2</x:v>
      </x:c>
      <x:c r="R1366" s="6" t="n">
        <x:v>2</x:v>
      </x:c>
      <x:c r="S1366" s="6" t="n">
        <x:v>7</x:v>
      </x:c>
      <x:c r="T1366" s="6" t="n">
        <x:v>8</x:v>
      </x:c>
      <x:c r="U1366" s="6" t="n">
        <x:v>0</x:v>
      </x:c>
      <x:c r="V1366" s="6" t="n">
        <x:v>1</x:v>
      </x:c>
      <x:c r="W1366" s="6" t="n">
        <x:v>0</x:v>
      </x:c>
      <x:c r="X1366" s="6" t="n">
        <x:v>0</x:v>
      </x:c>
      <x:c r="Y1366" s="6" t="n">
        <x:v>0</x:v>
      </x:c>
      <x:c r="Z1366" s="6" t="n">
        <x:v>0</x:v>
      </x:c>
      <x:c r="AA1366" s="6" t="n">
        <x:v>3</x:v>
      </x:c>
      <x:c r="AB1366" s="6" t="n">
        <x:v>11</x:v>
      </x:c>
      <x:c r="AC1366" s="6" t="n">
        <x:v>0</x:v>
      </x:c>
    </x:row>
    <x:row r="1367">
      <x:c r="A1367" s="6" t="n">
        <x:v>2674</x:v>
      </x:c>
      <x:c r="B1367" s="6" t="n">
        <x:v>1958</x:v>
      </x:c>
      <x:c r="C1367" s="6" t="str">
        <x:v>Master</x:v>
      </x:c>
      <x:c r="D1367" s="6" t="str">
        <x:v>Single</x:v>
      </x:c>
      <x:c r="E1367" s="6" t="n">
        <x:v>75154</x:v>
      </x:c>
      <x:c r="F1367" s="6" t="n">
        <x:v>0</x:v>
      </x:c>
      <x:c r="G1367" s="6" t="n">
        <x:v>1</x:v>
      </x:c>
      <x:c r="H1367" s="9" t="str">
        <x:v>04-09-2012</x:v>
      </x:c>
      <x:c r="I1367" s="6" t="n">
        <x:v>79</x:v>
      </x:c>
      <x:c r="J1367" s="6" t="n">
        <x:v>543</x:v>
      </x:c>
      <x:c r="K1367" s="6" t="n">
        <x:v>10</x:v>
      </x:c>
      <x:c r="L1367" s="6" t="n">
        <x:v>205</x:v>
      </x:c>
      <x:c r="M1367" s="6" t="n">
        <x:v>160</x:v>
      </x:c>
      <x:c r="N1367" s="6" t="n">
        <x:v>143</x:v>
      </x:c>
      <x:c r="O1367" s="6" t="n">
        <x:v>82</x:v>
      </x:c>
      <x:c r="P1367" s="6" t="n">
        <x:v>1</x:v>
      </x:c>
      <x:c r="Q1367" s="6" t="n">
        <x:v>6</x:v>
      </x:c>
      <x:c r="R1367" s="6" t="n">
        <x:v>3</x:v>
      </x:c>
      <x:c r="S1367" s="6" t="n">
        <x:v>6</x:v>
      </x:c>
      <x:c r="T1367" s="6" t="n">
        <x:v>3</x:v>
      </x:c>
      <x:c r="U1367" s="6" t="n">
        <x:v>0</x:v>
      </x:c>
      <x:c r="V1367" s="6" t="n">
        <x:v>0</x:v>
      </x:c>
      <x:c r="W1367" s="6" t="n">
        <x:v>0</x:v>
      </x:c>
      <x:c r="X1367" s="6" t="n">
        <x:v>0</x:v>
      </x:c>
      <x:c r="Y1367" s="6" t="n">
        <x:v>0</x:v>
      </x:c>
      <x:c r="Z1367" s="6" t="n">
        <x:v>0</x:v>
      </x:c>
      <x:c r="AA1367" s="6" t="n">
        <x:v>3</x:v>
      </x:c>
      <x:c r="AB1367" s="6" t="n">
        <x:v>11</x:v>
      </x:c>
      <x:c r="AC1367" s="6" t="n">
        <x:v>1</x:v>
      </x:c>
    </x:row>
    <x:row r="1368">
      <x:c r="A1368" s="6" t="n">
        <x:v>2698</x:v>
      </x:c>
      <x:c r="B1368" s="6" t="n">
        <x:v>1976</x:v>
      </x:c>
      <x:c r="C1368" s="6" t="str">
        <x:v>Graduation</x:v>
      </x:c>
      <x:c r="D1368" s="6" t="str">
        <x:v>Single</x:v>
      </x:c>
      <x:c r="E1368" s="6" t="n">
        <x:v>47025</x:v>
      </x:c>
      <x:c r="F1368" s="6" t="n">
        <x:v>0</x:v>
      </x:c>
      <x:c r="G1368" s="6" t="n">
        <x:v>1</x:v>
      </x:c>
      <x:c r="H1368" s="9" t="str">
        <x:v>07-11-2013</x:v>
      </x:c>
      <x:c r="I1368" s="6" t="n">
        <x:v>52</x:v>
      </x:c>
      <x:c r="J1368" s="6" t="n">
        <x:v>254</x:v>
      </x:c>
      <x:c r="K1368" s="6" t="n">
        <x:v>7</x:v>
      </x:c>
      <x:c r="L1368" s="6" t="n">
        <x:v>108</x:v>
      </x:c>
      <x:c r="M1368" s="6" t="n">
        <x:v>20</x:v>
      </x:c>
      <x:c r="N1368" s="6" t="n">
        <x:v>0</x:v>
      </x:c>
      <x:c r="O1368" s="6" t="n">
        <x:v>26</x:v>
      </x:c>
      <x:c r="P1368" s="6" t="n">
        <x:v>3</x:v>
      </x:c>
      <x:c r="Q1368" s="6" t="n">
        <x:v>6</x:v>
      </x:c>
      <x:c r="R1368" s="6" t="n">
        <x:v>3</x:v>
      </x:c>
      <x:c r="S1368" s="6" t="n">
        <x:v>5</x:v>
      </x:c>
      <x:c r="T1368" s="6" t="n">
        <x:v>6</x:v>
      </x:c>
      <x:c r="U1368" s="6" t="n">
        <x:v>0</x:v>
      </x:c>
      <x:c r="V1368" s="6" t="n">
        <x:v>0</x:v>
      </x:c>
      <x:c r="W1368" s="6" t="n">
        <x:v>0</x:v>
      </x:c>
      <x:c r="X1368" s="6" t="n">
        <x:v>0</x:v>
      </x:c>
      <x:c r="Y1368" s="6" t="n">
        <x:v>0</x:v>
      </x:c>
      <x:c r="Z1368" s="6" t="n">
        <x:v>0</x:v>
      </x:c>
      <x:c r="AA1368" s="6" t="n">
        <x:v>3</x:v>
      </x:c>
      <x:c r="AB1368" s="6" t="n">
        <x:v>11</x:v>
      </x:c>
      <x:c r="AC1368" s="6" t="n">
        <x:v>0</x:v>
      </x:c>
    </x:row>
    <x:row r="1369">
      <x:c r="A1369" s="6" t="n">
        <x:v>3231</x:v>
      </x:c>
      <x:c r="B1369" s="6" t="n">
        <x:v>1973</x:v>
      </x:c>
      <x:c r="C1369" s="6" t="str">
        <x:v>Graduation</x:v>
      </x:c>
      <x:c r="D1369" s="6" t="str">
        <x:v>Married</x:v>
      </x:c>
      <x:c r="E1369" s="6" t="n">
        <x:v>37971</x:v>
      </x:c>
      <x:c r="F1369" s="6" t="n">
        <x:v>1</x:v>
      </x:c>
      <x:c r="G1369" s="6" t="n">
        <x:v>0</x:v>
      </x:c>
      <x:c r="H1369" s="9" t="str">
        <x:v>25-11-2013</x:v>
      </x:c>
      <x:c r="I1369" s="6" t="n">
        <x:v>97</x:v>
      </x:c>
      <x:c r="J1369" s="6" t="n">
        <x:v>5</x:v>
      </x:c>
      <x:c r="K1369" s="6" t="n">
        <x:v>4</x:v>
      </x:c>
      <x:c r="L1369" s="6" t="n">
        <x:v>10</x:v>
      </x:c>
      <x:c r="M1369" s="6" t="n">
        <x:v>2</x:v>
      </x:c>
      <x:c r="N1369" s="6" t="n">
        <x:v>2</x:v>
      </x:c>
      <x:c r="O1369" s="6" t="n">
        <x:v>7</x:v>
      </x:c>
      <x:c r="P1369" s="6" t="n">
        <x:v>1</x:v>
      </x:c>
      <x:c r="Q1369" s="6" t="n">
        <x:v>1</x:v>
      </x:c>
      <x:c r="R1369" s="6" t="n">
        <x:v>0</x:v>
      </x:c>
      <x:c r="S1369" s="6" t="n">
        <x:v>3</x:v>
      </x:c>
      <x:c r="T1369" s="6" t="n">
        <x:v>8</x:v>
      </x:c>
      <x:c r="U1369" s="6" t="n">
        <x:v>0</x:v>
      </x:c>
      <x:c r="V1369" s="6" t="n">
        <x:v>0</x:v>
      </x:c>
      <x:c r="W1369" s="6" t="n">
        <x:v>0</x:v>
      </x:c>
      <x:c r="X1369" s="6" t="n">
        <x:v>0</x:v>
      </x:c>
      <x:c r="Y1369" s="6" t="n">
        <x:v>0</x:v>
      </x:c>
      <x:c r="Z1369" s="6" t="n">
        <x:v>0</x:v>
      </x:c>
      <x:c r="AA1369" s="6" t="n">
        <x:v>3</x:v>
      </x:c>
      <x:c r="AB1369" s="6" t="n">
        <x:v>11</x:v>
      </x:c>
      <x:c r="AC1369" s="6" t="n">
        <x:v>0</x:v>
      </x:c>
    </x:row>
    <x:row r="1370">
      <x:c r="A1370" s="6" t="n">
        <x:v>4096</x:v>
      </x:c>
      <x:c r="B1370" s="6" t="n">
        <x:v>1968</x:v>
      </x:c>
      <x:c r="C1370" s="6" t="str">
        <x:v>Master</x:v>
      </x:c>
      <x:c r="D1370" s="6" t="str">
        <x:v>Divorced</x:v>
      </x:c>
      <x:c r="E1370" s="6" t="n">
        <x:v>41335</x:v>
      </x:c>
      <x:c r="F1370" s="6" t="n">
        <x:v>1</x:v>
      </x:c>
      <x:c r="G1370" s="6" t="n">
        <x:v>0</x:v>
      </x:c>
      <x:c r="H1370" s="9" t="str">
        <x:v>26-12-2013</x:v>
      </x:c>
      <x:c r="I1370" s="6" t="n">
        <x:v>24</x:v>
      </x:c>
      <x:c r="J1370" s="6" t="n">
        <x:v>112</x:v>
      </x:c>
      <x:c r="K1370" s="6" t="n">
        <x:v>19</x:v>
      </x:c>
      <x:c r="L1370" s="6" t="n">
        <x:v>21</x:v>
      </x:c>
      <x:c r="M1370" s="6" t="n">
        <x:v>16</x:v>
      </x:c>
      <x:c r="N1370" s="6" t="n">
        <x:v>14</x:v>
      </x:c>
      <x:c r="O1370" s="6" t="n">
        <x:v>5</x:v>
      </x:c>
      <x:c r="P1370" s="6" t="n">
        <x:v>3</x:v>
      </x:c>
      <x:c r="Q1370" s="6" t="n">
        <x:v>4</x:v>
      </x:c>
      <x:c r="R1370" s="6" t="n">
        <x:v>1</x:v>
      </x:c>
      <x:c r="S1370" s="6" t="n">
        <x:v>4</x:v>
      </x:c>
      <x:c r="T1370" s="6" t="n">
        <x:v>7</x:v>
      </x:c>
      <x:c r="U1370" s="6" t="n">
        <x:v>0</x:v>
      </x:c>
      <x:c r="V1370" s="6" t="n">
        <x:v>0</x:v>
      </x:c>
      <x:c r="W1370" s="6" t="n">
        <x:v>0</x:v>
      </x:c>
      <x:c r="X1370" s="6" t="n">
        <x:v>0</x:v>
      </x:c>
      <x:c r="Y1370" s="6" t="n">
        <x:v>0</x:v>
      </x:c>
      <x:c r="Z1370" s="6" t="n">
        <x:v>0</x:v>
      </x:c>
      <x:c r="AA1370" s="6" t="n">
        <x:v>3</x:v>
      </x:c>
      <x:c r="AB1370" s="6" t="n">
        <x:v>11</x:v>
      </x:c>
      <x:c r="AC1370" s="6" t="n">
        <x:v>0</x:v>
      </x:c>
    </x:row>
    <x:row r="1371">
      <x:c r="A1371" s="6" t="n">
        <x:v>10476</x:v>
      </x:c>
      <x:c r="B1371" s="6" t="n">
        <x:v>1958</x:v>
      </x:c>
      <x:c r="C1371" s="6" t="str">
        <x:v>Graduation</x:v>
      </x:c>
      <x:c r="D1371" s="6" t="str">
        <x:v>Married</x:v>
      </x:c>
      <x:c r="E1371" s="6" t="n">
        <x:v>67267</x:v>
      </x:c>
      <x:c r="F1371" s="6" t="n">
        <x:v>0</x:v>
      </x:c>
      <x:c r="G1371" s="6" t="n">
        <x:v>1</x:v>
      </x:c>
      <x:c r="H1371" s="9" t="str">
        <x:v>13-05-2014</x:v>
      </x:c>
      <x:c r="I1371" s="6" t="n">
        <x:v>0</x:v>
      </x:c>
      <x:c r="J1371" s="6" t="n">
        <x:v>134</x:v>
      </x:c>
      <x:c r="K1371" s="6" t="n">
        <x:v>11</x:v>
      </x:c>
      <x:c r="L1371" s="6" t="n">
        <x:v>59</x:v>
      </x:c>
      <x:c r="M1371" s="6" t="n">
        <x:v>15</x:v>
      </x:c>
      <x:c r="N1371" s="6" t="n">
        <x:v>2</x:v>
      </x:c>
      <x:c r="O1371" s="6" t="n">
        <x:v>30</x:v>
      </x:c>
      <x:c r="P1371" s="6" t="n">
        <x:v>1</x:v>
      </x:c>
      <x:c r="Q1371" s="6" t="n">
        <x:v>3</x:v>
      </x:c>
      <x:c r="R1371" s="6" t="n">
        <x:v>2</x:v>
      </x:c>
      <x:c r="S1371" s="6" t="n">
        <x:v>5</x:v>
      </x:c>
      <x:c r="T1371" s="6" t="n">
        <x:v>2</x:v>
      </x:c>
      <x:c r="U1371" s="6" t="n">
        <x:v>0</x:v>
      </x:c>
      <x:c r="V1371" s="6" t="n">
        <x:v>0</x:v>
      </x:c>
      <x:c r="W1371" s="6" t="n">
        <x:v>0</x:v>
      </x:c>
      <x:c r="X1371" s="6" t="n">
        <x:v>0</x:v>
      </x:c>
      <x:c r="Y1371" s="6" t="n">
        <x:v>0</x:v>
      </x:c>
      <x:c r="Z1371" s="6" t="n">
        <x:v>0</x:v>
      </x:c>
      <x:c r="AA1371" s="6" t="n">
        <x:v>3</x:v>
      </x:c>
      <x:c r="AB1371" s="6" t="n">
        <x:v>11</x:v>
      </x:c>
      <x:c r="AC1371" s="6" t="n">
        <x:v>0</x:v>
      </x:c>
    </x:row>
    <x:row r="1372">
      <x:c r="A1372" s="6" t="n">
        <x:v>5948</x:v>
      </x:c>
      <x:c r="B1372" s="6" t="n">
        <x:v>1975</x:v>
      </x:c>
      <x:c r="C1372" s="6" t="str">
        <x:v>Graduation</x:v>
      </x:c>
      <x:c r="D1372" s="6" t="str">
        <x:v>Single</x:v>
      </x:c>
      <x:c r="E1372" s="6" t="n">
        <x:v>57338</x:v>
      </x:c>
      <x:c r="F1372" s="6" t="n">
        <x:v>0</x:v>
      </x:c>
      <x:c r="G1372" s="6" t="n">
        <x:v>1</x:v>
      </x:c>
      <x:c r="H1372" s="9" t="str">
        <x:v>29-04-2014</x:v>
      </x:c>
      <x:c r="I1372" s="6" t="n">
        <x:v>96</x:v>
      </x:c>
      <x:c r="J1372" s="6" t="n">
        <x:v>143</x:v>
      </x:c>
      <x:c r="K1372" s="6" t="n">
        <x:v>6</x:v>
      </x:c>
      <x:c r="L1372" s="6" t="n">
        <x:v>52</x:v>
      </x:c>
      <x:c r="M1372" s="6" t="n">
        <x:v>11</x:v>
      </x:c>
      <x:c r="N1372" s="6" t="n">
        <x:v>8</x:v>
      </x:c>
      <x:c r="O1372" s="6" t="n">
        <x:v>17</x:v>
      </x:c>
      <x:c r="P1372" s="6" t="n">
        <x:v>2</x:v>
      </x:c>
      <x:c r="Q1372" s="6" t="n">
        <x:v>4</x:v>
      </x:c>
      <x:c r="R1372" s="6" t="n">
        <x:v>1</x:v>
      </x:c>
      <x:c r="S1372" s="6" t="n">
        <x:v>5</x:v>
      </x:c>
      <x:c r="T1372" s="6" t="n">
        <x:v>5</x:v>
      </x:c>
      <x:c r="U1372" s="6" t="n">
        <x:v>0</x:v>
      </x:c>
      <x:c r="V1372" s="6" t="n">
        <x:v>0</x:v>
      </x:c>
      <x:c r="W1372" s="6" t="n">
        <x:v>0</x:v>
      </x:c>
      <x:c r="X1372" s="6" t="n">
        <x:v>0</x:v>
      </x:c>
      <x:c r="Y1372" s="6" t="n">
        <x:v>0</x:v>
      </x:c>
      <x:c r="Z1372" s="6" t="n">
        <x:v>0</x:v>
      </x:c>
      <x:c r="AA1372" s="6" t="n">
        <x:v>3</x:v>
      </x:c>
      <x:c r="AB1372" s="6" t="n">
        <x:v>11</x:v>
      </x:c>
      <x:c r="AC1372" s="6" t="n">
        <x:v>0</x:v>
      </x:c>
    </x:row>
    <x:row r="1373">
      <x:c r="A1373" s="6" t="n">
        <x:v>9140</x:v>
      </x:c>
      <x:c r="B1373" s="6" t="n">
        <x:v>1960</x:v>
      </x:c>
      <x:c r="C1373" s="6" t="str">
        <x:v>2n Cycle</x:v>
      </x:c>
      <x:c r="D1373" s="6" t="str">
        <x:v>Together</x:v>
      </x:c>
      <x:c r="E1373" s="6" t="n">
        <x:v>50523</x:v>
      </x:c>
      <x:c r="F1373" s="6" t="n">
        <x:v>1</x:v>
      </x:c>
      <x:c r="G1373" s="6" t="n">
        <x:v>1</x:v>
      </x:c>
      <x:c r="H1373" s="9" t="str">
        <x:v>25-12-2013</x:v>
      </x:c>
      <x:c r="I1373" s="6" t="n">
        <x:v>89</x:v>
      </x:c>
      <x:c r="J1373" s="6" t="n">
        <x:v>51</x:v>
      </x:c>
      <x:c r="K1373" s="6" t="n">
        <x:v>4</x:v>
      </x:c>
      <x:c r="L1373" s="6" t="n">
        <x:v>24</x:v>
      </x:c>
      <x:c r="M1373" s="6" t="n">
        <x:v>4</x:v>
      </x:c>
      <x:c r="N1373" s="6" t="n">
        <x:v>7</x:v>
      </x:c>
      <x:c r="O1373" s="6" t="n">
        <x:v>1</x:v>
      </x:c>
      <x:c r="P1373" s="6" t="n">
        <x:v>2</x:v>
      </x:c>
      <x:c r="Q1373" s="6" t="n">
        <x:v>2</x:v>
      </x:c>
      <x:c r="R1373" s="6" t="n">
        <x:v>0</x:v>
      </x:c>
      <x:c r="S1373" s="6" t="n">
        <x:v>4</x:v>
      </x:c>
      <x:c r="T1373" s="6" t="n">
        <x:v>6</x:v>
      </x:c>
      <x:c r="U1373" s="6" t="n">
        <x:v>0</x:v>
      </x:c>
      <x:c r="V1373" s="6" t="n">
        <x:v>0</x:v>
      </x:c>
      <x:c r="W1373" s="6" t="n">
        <x:v>0</x:v>
      </x:c>
      <x:c r="X1373" s="6" t="n">
        <x:v>0</x:v>
      </x:c>
      <x:c r="Y1373" s="6" t="n">
        <x:v>0</x:v>
      </x:c>
      <x:c r="Z1373" s="6" t="n">
        <x:v>0</x:v>
      </x:c>
      <x:c r="AA1373" s="6" t="n">
        <x:v>3</x:v>
      </x:c>
      <x:c r="AB1373" s="6" t="n">
        <x:v>11</x:v>
      </x:c>
      <x:c r="AC1373" s="6" t="n">
        <x:v>0</x:v>
      </x:c>
    </x:row>
    <x:row r="1374">
      <x:c r="A1374" s="6" t="n">
        <x:v>10258</x:v>
      </x:c>
      <x:c r="B1374" s="6" t="n">
        <x:v>1965</x:v>
      </x:c>
      <x:c r="C1374" s="6" t="str">
        <x:v>Master</x:v>
      </x:c>
      <x:c r="D1374" s="6" t="str">
        <x:v>Single</x:v>
      </x:c>
      <x:c r="E1374" s="6" t="n">
        <x:v>35791</x:v>
      </x:c>
      <x:c r="F1374" s="6" t="n">
        <x:v>2</x:v>
      </x:c>
      <x:c r="G1374" s="6" t="n">
        <x:v>1</x:v>
      </x:c>
      <x:c r="H1374" s="9" t="str">
        <x:v>06-05-2013</x:v>
      </x:c>
      <x:c r="I1374" s="6" t="n">
        <x:v>94</x:v>
      </x:c>
      <x:c r="J1374" s="6" t="n">
        <x:v>27</x:v>
      </x:c>
      <x:c r="K1374" s="6" t="n">
        <x:v>0</x:v>
      </x:c>
      <x:c r="L1374" s="6" t="n">
        <x:v>5</x:v>
      </x:c>
      <x:c r="M1374" s="6" t="n">
        <x:v>0</x:v>
      </x:c>
      <x:c r="N1374" s="6" t="n">
        <x:v>0</x:v>
      </x:c>
      <x:c r="O1374" s="6" t="n">
        <x:v>3</x:v>
      </x:c>
      <x:c r="P1374" s="6" t="n">
        <x:v>2</x:v>
      </x:c>
      <x:c r="Q1374" s="6" t="n">
        <x:v>1</x:v>
      </x:c>
      <x:c r="R1374" s="6" t="n">
        <x:v>0</x:v>
      </x:c>
      <x:c r="S1374" s="6" t="n">
        <x:v>3</x:v>
      </x:c>
      <x:c r="T1374" s="6" t="n">
        <x:v>8</x:v>
      </x:c>
      <x:c r="U1374" s="6" t="n">
        <x:v>0</x:v>
      </x:c>
      <x:c r="V1374" s="6" t="n">
        <x:v>0</x:v>
      </x:c>
      <x:c r="W1374" s="6" t="n">
        <x:v>0</x:v>
      </x:c>
      <x:c r="X1374" s="6" t="n">
        <x:v>0</x:v>
      </x:c>
      <x:c r="Y1374" s="6" t="n">
        <x:v>0</x:v>
      </x:c>
      <x:c r="Z1374" s="6" t="n">
        <x:v>0</x:v>
      </x:c>
      <x:c r="AA1374" s="6" t="n">
        <x:v>3</x:v>
      </x:c>
      <x:c r="AB1374" s="6" t="n">
        <x:v>11</x:v>
      </x:c>
      <x:c r="AC1374" s="6" t="n">
        <x:v>0</x:v>
      </x:c>
    </x:row>
    <x:row r="1375">
      <x:c r="A1375" s="6" t="n">
        <x:v>5675</x:v>
      </x:c>
      <x:c r="B1375" s="6" t="n">
        <x:v>1960</x:v>
      </x:c>
      <x:c r="C1375" s="6" t="str">
        <x:v>PhD</x:v>
      </x:c>
      <x:c r="D1375" s="6" t="str">
        <x:v>Divorced</x:v>
      </x:c>
      <x:c r="E1375" s="6" t="n">
        <x:v>50611</x:v>
      </x:c>
      <x:c r="F1375" s="6" t="n">
        <x:v>0</x:v>
      </x:c>
      <x:c r="G1375" s="6" t="n">
        <x:v>1</x:v>
      </x:c>
      <x:c r="H1375" s="9" t="str">
        <x:v>04-10-2012</x:v>
      </x:c>
      <x:c r="I1375" s="6" t="n">
        <x:v>98</x:v>
      </x:c>
      <x:c r="J1375" s="6" t="n">
        <x:v>459</x:v>
      </x:c>
      <x:c r="K1375" s="6" t="n">
        <x:v>0</x:v>
      </x:c>
      <x:c r="L1375" s="6" t="n">
        <x:v>24</x:v>
      </x:c>
      <x:c r="M1375" s="6" t="n">
        <x:v>6</x:v>
      </x:c>
      <x:c r="N1375" s="6" t="n">
        <x:v>0</x:v>
      </x:c>
      <x:c r="O1375" s="6" t="n">
        <x:v>4</x:v>
      </x:c>
      <x:c r="P1375" s="6" t="n">
        <x:v>6</x:v>
      </x:c>
      <x:c r="Q1375" s="6" t="n">
        <x:v>4</x:v>
      </x:c>
      <x:c r="R1375" s="6" t="n">
        <x:v>5</x:v>
      </x:c>
      <x:c r="S1375" s="6" t="n">
        <x:v>7</x:v>
      </x:c>
      <x:c r="T1375" s="6" t="n">
        <x:v>6</x:v>
      </x:c>
      <x:c r="U1375" s="6" t="n">
        <x:v>0</x:v>
      </x:c>
      <x:c r="V1375" s="6" t="n">
        <x:v>1</x:v>
      </x:c>
      <x:c r="W1375" s="6" t="n">
        <x:v>0</x:v>
      </x:c>
      <x:c r="X1375" s="6" t="n">
        <x:v>0</x:v>
      </x:c>
      <x:c r="Y1375" s="6" t="n">
        <x:v>0</x:v>
      </x:c>
      <x:c r="Z1375" s="6" t="n">
        <x:v>0</x:v>
      </x:c>
      <x:c r="AA1375" s="6" t="n">
        <x:v>3</x:v>
      </x:c>
      <x:c r="AB1375" s="6" t="n">
        <x:v>11</x:v>
      </x:c>
      <x:c r="AC1375" s="6" t="n">
        <x:v>0</x:v>
      </x:c>
    </x:row>
    <x:row r="1376">
      <x:c r="A1376" s="6" t="n">
        <x:v>4743</x:v>
      </x:c>
      <x:c r="B1376" s="6" t="n">
        <x:v>1969</x:v>
      </x:c>
      <x:c r="C1376" s="6" t="str">
        <x:v>PhD</x:v>
      </x:c>
      <x:c r="D1376" s="6" t="str">
        <x:v>Married</x:v>
      </x:c>
      <x:c r="E1376" s="6" t="n">
        <x:v>56242</x:v>
      </x:c>
      <x:c r="F1376" s="6" t="n">
        <x:v>0</x:v>
      </x:c>
      <x:c r="G1376" s="6" t="n">
        <x:v>1</x:v>
      </x:c>
      <x:c r="H1376" s="9" t="str">
        <x:v>03-03-2013</x:v>
      </x:c>
      <x:c r="I1376" s="6" t="n">
        <x:v>72</x:v>
      </x:c>
      <x:c r="J1376" s="6" t="n">
        <x:v>689</x:v>
      </x:c>
      <x:c r="K1376" s="6" t="n">
        <x:v>8</x:v>
      </x:c>
      <x:c r="L1376" s="6" t="n">
        <x:v>167</x:v>
      </x:c>
      <x:c r="M1376" s="6" t="n">
        <x:v>11</x:v>
      </x:c>
      <x:c r="N1376" s="6" t="n">
        <x:v>8</x:v>
      </x:c>
      <x:c r="O1376" s="6" t="n">
        <x:v>88</x:v>
      </x:c>
      <x:c r="P1376" s="6" t="n">
        <x:v>5</x:v>
      </x:c>
      <x:c r="Q1376" s="6" t="n">
        <x:v>8</x:v>
      </x:c>
      <x:c r="R1376" s="6" t="n">
        <x:v>4</x:v>
      </x:c>
      <x:c r="S1376" s="6" t="n">
        <x:v>11</x:v>
      </x:c>
      <x:c r="T1376" s="6" t="n">
        <x:v>6</x:v>
      </x:c>
      <x:c r="U1376" s="6" t="n">
        <x:v>0</x:v>
      </x:c>
      <x:c r="V1376" s="6" t="n">
        <x:v>0</x:v>
      </x:c>
      <x:c r="W1376" s="6" t="n">
        <x:v>0</x:v>
      </x:c>
      <x:c r="X1376" s="6" t="n">
        <x:v>0</x:v>
      </x:c>
      <x:c r="Y1376" s="6" t="n">
        <x:v>0</x:v>
      </x:c>
      <x:c r="Z1376" s="6" t="n">
        <x:v>0</x:v>
      </x:c>
      <x:c r="AA1376" s="6" t="n">
        <x:v>3</x:v>
      </x:c>
      <x:c r="AB1376" s="6" t="n">
        <x:v>11</x:v>
      </x:c>
      <x:c r="AC1376" s="6" t="n">
        <x:v>0</x:v>
      </x:c>
    </x:row>
    <x:row r="1377">
      <x:c r="A1377" s="6" t="n">
        <x:v>8805</x:v>
      </x:c>
      <x:c r="B1377" s="6" t="n">
        <x:v>1960</x:v>
      </x:c>
      <x:c r="C1377" s="6" t="str">
        <x:v>Graduation</x:v>
      </x:c>
      <x:c r="D1377" s="6" t="str">
        <x:v>Single</x:v>
      </x:c>
      <x:c r="E1377" s="6" t="n">
        <x:v>48904</x:v>
      </x:c>
      <x:c r="F1377" s="6" t="n">
        <x:v>0</x:v>
      </x:c>
      <x:c r="G1377" s="6" t="n">
        <x:v>1</x:v>
      </x:c>
      <x:c r="H1377" s="9" t="str">
        <x:v>02-12-2012</x:v>
      </x:c>
      <x:c r="I1377" s="6" t="n">
        <x:v>1</x:v>
      </x:c>
      <x:c r="J1377" s="6" t="n">
        <x:v>283</x:v>
      </x:c>
      <x:c r="K1377" s="6" t="n">
        <x:v>10</x:v>
      </x:c>
      <x:c r="L1377" s="6" t="n">
        <x:v>38</x:v>
      </x:c>
      <x:c r="M1377" s="6" t="n">
        <x:v>0</x:v>
      </x:c>
      <x:c r="N1377" s="6" t="n">
        <x:v>13</x:v>
      </x:c>
      <x:c r="O1377" s="6" t="n">
        <x:v>27</x:v>
      </x:c>
      <x:c r="P1377" s="6" t="n">
        <x:v>4</x:v>
      </x:c>
      <x:c r="Q1377" s="6" t="n">
        <x:v>7</x:v>
      </x:c>
      <x:c r="R1377" s="6" t="n">
        <x:v>2</x:v>
      </x:c>
      <x:c r="S1377" s="6" t="n">
        <x:v>4</x:v>
      </x:c>
      <x:c r="T1377" s="6" t="n">
        <x:v>8</x:v>
      </x:c>
      <x:c r="U1377" s="6" t="n">
        <x:v>0</x:v>
      </x:c>
      <x:c r="V1377" s="6" t="n">
        <x:v>0</x:v>
      </x:c>
      <x:c r="W1377" s="6" t="n">
        <x:v>0</x:v>
      </x:c>
      <x:c r="X1377" s="6" t="n">
        <x:v>0</x:v>
      </x:c>
      <x:c r="Y1377" s="6" t="n">
        <x:v>0</x:v>
      </x:c>
      <x:c r="Z1377" s="6" t="n">
        <x:v>0</x:v>
      </x:c>
      <x:c r="AA1377" s="6" t="n">
        <x:v>3</x:v>
      </x:c>
      <x:c r="AB1377" s="6" t="n">
        <x:v>11</x:v>
      </x:c>
      <x:c r="AC1377" s="6" t="n">
        <x:v>0</x:v>
      </x:c>
    </x:row>
    <x:row r="1378">
      <x:c r="A1378" s="6" t="n">
        <x:v>1542</x:v>
      </x:c>
      <x:c r="B1378" s="6" t="n">
        <x:v>1975</x:v>
      </x:c>
      <x:c r="C1378" s="6" t="str">
        <x:v>Graduation</x:v>
      </x:c>
      <x:c r="D1378" s="6" t="str">
        <x:v>Single</x:v>
      </x:c>
      <x:c r="E1378" s="6" t="n">
        <x:v>56243</x:v>
      </x:c>
      <x:c r="F1378" s="6" t="n">
        <x:v>1</x:v>
      </x:c>
      <x:c r="G1378" s="6" t="n">
        <x:v>2</x:v>
      </x:c>
      <x:c r="H1378" s="9" t="str">
        <x:v>30-12-2013</x:v>
      </x:c>
      <x:c r="I1378" s="6" t="n">
        <x:v>26</x:v>
      </x:c>
      <x:c r="J1378" s="6" t="n">
        <x:v>347</x:v>
      </x:c>
      <x:c r="K1378" s="6" t="n">
        <x:v>0</x:v>
      </x:c>
      <x:c r="L1378" s="6" t="n">
        <x:v>35</x:v>
      </x:c>
      <x:c r="M1378" s="6" t="n">
        <x:v>4</x:v>
      </x:c>
      <x:c r="N1378" s="6" t="n">
        <x:v>3</x:v>
      </x:c>
      <x:c r="O1378" s="6" t="n">
        <x:v>7</x:v>
      </x:c>
      <x:c r="P1378" s="6" t="n">
        <x:v>6</x:v>
      </x:c>
      <x:c r="Q1378" s="6" t="n">
        <x:v>4</x:v>
      </x:c>
      <x:c r="R1378" s="6" t="n">
        <x:v>2</x:v>
      </x:c>
      <x:c r="S1378" s="6" t="n">
        <x:v>8</x:v>
      </x:c>
      <x:c r="T1378" s="6" t="n">
        <x:v>5</x:v>
      </x:c>
      <x:c r="U1378" s="6" t="n">
        <x:v>0</x:v>
      </x:c>
      <x:c r="V1378" s="6" t="n">
        <x:v>0</x:v>
      </x:c>
      <x:c r="W1378" s="6" t="n">
        <x:v>0</x:v>
      </x:c>
      <x:c r="X1378" s="6" t="n">
        <x:v>0</x:v>
      </x:c>
      <x:c r="Y1378" s="6" t="n">
        <x:v>0</x:v>
      </x:c>
      <x:c r="Z1378" s="6" t="n">
        <x:v>0</x:v>
      </x:c>
      <x:c r="AA1378" s="6" t="n">
        <x:v>3</x:v>
      </x:c>
      <x:c r="AB1378" s="6" t="n">
        <x:v>11</x:v>
      </x:c>
      <x:c r="AC1378" s="6" t="n">
        <x:v>0</x:v>
      </x:c>
    </x:row>
    <x:row r="1379">
      <x:c r="A1379" s="6" t="n">
        <x:v>6770</x:v>
      </x:c>
      <x:c r="B1379" s="6" t="n">
        <x:v>1985</x:v>
      </x:c>
      <x:c r="C1379" s="6" t="str">
        <x:v>Graduation</x:v>
      </x:c>
      <x:c r="D1379" s="6" t="str">
        <x:v>Married</x:v>
      </x:c>
      <x:c r="E1379" s="6" t="n">
        <x:v>21355</x:v>
      </x:c>
      <x:c r="F1379" s="6" t="n">
        <x:v>1</x:v>
      </x:c>
      <x:c r="G1379" s="6" t="n">
        <x:v>0</x:v>
      </x:c>
      <x:c r="H1379" s="9" t="str">
        <x:v>20-08-2013</x:v>
      </x:c>
      <x:c r="I1379" s="6" t="n">
        <x:v>5</x:v>
      </x:c>
      <x:c r="J1379" s="6" t="n">
        <x:v>5</x:v>
      </x:c>
      <x:c r="K1379" s="6" t="n">
        <x:v>13</x:v>
      </x:c>
      <x:c r="L1379" s="6" t="n">
        <x:v>14</x:v>
      </x:c>
      <x:c r="M1379" s="6" t="n">
        <x:v>0</x:v>
      </x:c>
      <x:c r="N1379" s="6" t="n">
        <x:v>5</x:v>
      </x:c>
      <x:c r="O1379" s="6" t="n">
        <x:v>31</x:v>
      </x:c>
      <x:c r="P1379" s="6" t="n">
        <x:v>2</x:v>
      </x:c>
      <x:c r="Q1379" s="6" t="n">
        <x:v>2</x:v>
      </x:c>
      <x:c r="R1379" s="6" t="n">
        <x:v>1</x:v>
      </x:c>
      <x:c r="S1379" s="6" t="n">
        <x:v>2</x:v>
      </x:c>
      <x:c r="T1379" s="6" t="n">
        <x:v>6</x:v>
      </x:c>
      <x:c r="U1379" s="6" t="n">
        <x:v>1</x:v>
      </x:c>
      <x:c r="V1379" s="6" t="n">
        <x:v>0</x:v>
      </x:c>
      <x:c r="W1379" s="6" t="n">
        <x:v>0</x:v>
      </x:c>
      <x:c r="X1379" s="6" t="n">
        <x:v>0</x:v>
      </x:c>
      <x:c r="Y1379" s="6" t="n">
        <x:v>0</x:v>
      </x:c>
      <x:c r="Z1379" s="6" t="n">
        <x:v>0</x:v>
      </x:c>
      <x:c r="AA1379" s="6" t="n">
        <x:v>3</x:v>
      </x:c>
      <x:c r="AB1379" s="6" t="n">
        <x:v>11</x:v>
      </x:c>
      <x:c r="AC1379" s="6" t="n">
        <x:v>1</x:v>
      </x:c>
    </x:row>
    <x:row r="1380">
      <x:c r="A1380" s="6" t="n">
        <x:v>8773</x:v>
      </x:c>
      <x:c r="B1380" s="6" t="n">
        <x:v>1971</x:v>
      </x:c>
      <x:c r="C1380" s="6" t="str">
        <x:v>Master</x:v>
      </x:c>
      <x:c r="D1380" s="6" t="str">
        <x:v>Together</x:v>
      </x:c>
      <x:c r="E1380" s="6" t="n">
        <x:v>57420</x:v>
      </x:c>
      <x:c r="F1380" s="6" t="n">
        <x:v>0</x:v>
      </x:c>
      <x:c r="G1380" s="6" t="n">
        <x:v>1</x:v>
      </x:c>
      <x:c r="H1380" s="9" t="str">
        <x:v>25-06-2013</x:v>
      </x:c>
      <x:c r="I1380" s="6" t="n">
        <x:v>22</x:v>
      </x:c>
      <x:c r="J1380" s="6" t="n">
        <x:v>280</x:v>
      </x:c>
      <x:c r="K1380" s="6" t="n">
        <x:v>0</x:v>
      </x:c>
      <x:c r="L1380" s="6" t="n">
        <x:v>18</x:v>
      </x:c>
      <x:c r="M1380" s="6" t="n">
        <x:v>0</x:v>
      </x:c>
      <x:c r="N1380" s="6" t="n">
        <x:v>0</x:v>
      </x:c>
      <x:c r="O1380" s="6" t="n">
        <x:v>24</x:v>
      </x:c>
      <x:c r="P1380" s="6" t="n">
        <x:v>3</x:v>
      </x:c>
      <x:c r="Q1380" s="6" t="n">
        <x:v>5</x:v>
      </x:c>
      <x:c r="R1380" s="6" t="n">
        <x:v>1</x:v>
      </x:c>
      <x:c r="S1380" s="6" t="n">
        <x:v>6</x:v>
      </x:c>
      <x:c r="T1380" s="6" t="n">
        <x:v>7</x:v>
      </x:c>
      <x:c r="U1380" s="6" t="n">
        <x:v>0</x:v>
      </x:c>
      <x:c r="V1380" s="6" t="n">
        <x:v>1</x:v>
      </x:c>
      <x:c r="W1380" s="6" t="n">
        <x:v>0</x:v>
      </x:c>
      <x:c r="X1380" s="6" t="n">
        <x:v>0</x:v>
      </x:c>
      <x:c r="Y1380" s="6" t="n">
        <x:v>0</x:v>
      </x:c>
      <x:c r="Z1380" s="6" t="n">
        <x:v>0</x:v>
      </x:c>
      <x:c r="AA1380" s="6" t="n">
        <x:v>3</x:v>
      </x:c>
      <x:c r="AB1380" s="6" t="n">
        <x:v>11</x:v>
      </x:c>
      <x:c r="AC1380" s="6" t="n">
        <x:v>0</x:v>
      </x:c>
    </x:row>
    <x:row r="1381">
      <x:c r="A1381" s="6" t="n">
        <x:v>10475</x:v>
      </x:c>
      <x:c r="B1381" s="6" t="n">
        <x:v>1970</x:v>
      </x:c>
      <x:c r="C1381" s="6" t="str">
        <x:v>Master</x:v>
      </x:c>
      <x:c r="D1381" s="6" t="str">
        <x:v>Together</x:v>
      </x:c>
      <x:c r="E1381" s="6"/>
      <x:c r="F1381" s="6" t="n">
        <x:v>0</x:v>
      </x:c>
      <x:c r="G1381" s="6" t="n">
        <x:v>1</x:v>
      </x:c>
      <x:c r="H1381" s="9" t="str">
        <x:v>01-04-2013</x:v>
      </x:c>
      <x:c r="I1381" s="6" t="n">
        <x:v>39</x:v>
      </x:c>
      <x:c r="J1381" s="6" t="n">
        <x:v>187</x:v>
      </x:c>
      <x:c r="K1381" s="6" t="n">
        <x:v>5</x:v>
      </x:c>
      <x:c r="L1381" s="6" t="n">
        <x:v>65</x:v>
      </x:c>
      <x:c r="M1381" s="6" t="n">
        <x:v>26</x:v>
      </x:c>
      <x:c r="N1381" s="6" t="n">
        <x:v>20</x:v>
      </x:c>
      <x:c r="O1381" s="6" t="n">
        <x:v>14</x:v>
      </x:c>
      <x:c r="P1381" s="6" t="n">
        <x:v>2</x:v>
      </x:c>
      <x:c r="Q1381" s="6" t="n">
        <x:v>4</x:v>
      </x:c>
      <x:c r="R1381" s="6" t="n">
        <x:v>2</x:v>
      </x:c>
      <x:c r="S1381" s="6" t="n">
        <x:v>6</x:v>
      </x:c>
      <x:c r="T1381" s="6" t="n">
        <x:v>5</x:v>
      </x:c>
      <x:c r="U1381" s="6" t="n">
        <x:v>0</x:v>
      </x:c>
      <x:c r="V1381" s="6" t="n">
        <x:v>0</x:v>
      </x:c>
      <x:c r="W1381" s="6" t="n">
        <x:v>0</x:v>
      </x:c>
      <x:c r="X1381" s="6" t="n">
        <x:v>0</x:v>
      </x:c>
      <x:c r="Y1381" s="6" t="n">
        <x:v>0</x:v>
      </x:c>
      <x:c r="Z1381" s="6" t="n">
        <x:v>0</x:v>
      </x:c>
      <x:c r="AA1381" s="6" t="n">
        <x:v>3</x:v>
      </x:c>
      <x:c r="AB1381" s="6" t="n">
        <x:v>11</x:v>
      </x:c>
      <x:c r="AC1381" s="6" t="n">
        <x:v>0</x:v>
      </x:c>
    </x:row>
    <x:row r="1382">
      <x:c r="A1382" s="6" t="n">
        <x:v>10420</x:v>
      </x:c>
      <x:c r="B1382" s="6" t="n">
        <x:v>1955</x:v>
      </x:c>
      <x:c r="C1382" s="6" t="str">
        <x:v>Master</x:v>
      </x:c>
      <x:c r="D1382" s="6" t="str">
        <x:v>Divorced</x:v>
      </x:c>
      <x:c r="E1382" s="6" t="n">
        <x:v>46390</x:v>
      </x:c>
      <x:c r="F1382" s="6" t="n">
        <x:v>0</x:v>
      </x:c>
      <x:c r="G1382" s="6" t="n">
        <x:v>1</x:v>
      </x:c>
      <x:c r="H1382" s="9" t="str">
        <x:v>05-05-2014</x:v>
      </x:c>
      <x:c r="I1382" s="6" t="n">
        <x:v>56</x:v>
      </x:c>
      <x:c r="J1382" s="6" t="n">
        <x:v>95</x:v>
      </x:c>
      <x:c r="K1382" s="6" t="n">
        <x:v>14</x:v>
      </x:c>
      <x:c r="L1382" s="6" t="n">
        <x:v>64</x:v>
      </x:c>
      <x:c r="M1382" s="6" t="n">
        <x:v>2</x:v>
      </x:c>
      <x:c r="N1382" s="6" t="n">
        <x:v>9</x:v>
      </x:c>
      <x:c r="O1382" s="6" t="n">
        <x:v>38</x:v>
      </x:c>
      <x:c r="P1382" s="6" t="n">
        <x:v>1</x:v>
      </x:c>
      <x:c r="Q1382" s="6" t="n">
        <x:v>4</x:v>
      </x:c>
      <x:c r="R1382" s="6" t="n">
        <x:v>2</x:v>
      </x:c>
      <x:c r="S1382" s="6" t="n">
        <x:v>3</x:v>
      </x:c>
      <x:c r="T1382" s="6" t="n">
        <x:v>7</x:v>
      </x:c>
      <x:c r="U1382" s="6" t="n">
        <x:v>0</x:v>
      </x:c>
      <x:c r="V1382" s="6" t="n">
        <x:v>0</x:v>
      </x:c>
      <x:c r="W1382" s="6" t="n">
        <x:v>0</x:v>
      </x:c>
      <x:c r="X1382" s="6" t="n">
        <x:v>0</x:v>
      </x:c>
      <x:c r="Y1382" s="6" t="n">
        <x:v>0</x:v>
      </x:c>
      <x:c r="Z1382" s="6" t="n">
        <x:v>0</x:v>
      </x:c>
      <x:c r="AA1382" s="6" t="n">
        <x:v>3</x:v>
      </x:c>
      <x:c r="AB1382" s="6" t="n">
        <x:v>11</x:v>
      </x:c>
      <x:c r="AC1382" s="6" t="n">
        <x:v>0</x:v>
      </x:c>
    </x:row>
    <x:row r="1383">
      <x:c r="A1383" s="6" t="n">
        <x:v>7514</x:v>
      </x:c>
      <x:c r="B1383" s="6" t="n">
        <x:v>1956</x:v>
      </x:c>
      <x:c r="C1383" s="6" t="str">
        <x:v>2n Cycle</x:v>
      </x:c>
      <x:c r="D1383" s="6" t="str">
        <x:v>Together</x:v>
      </x:c>
      <x:c r="E1383" s="6" t="n">
        <x:v>54342</x:v>
      </x:c>
      <x:c r="F1383" s="6" t="n">
        <x:v>1</x:v>
      </x:c>
      <x:c r="G1383" s="6" t="n">
        <x:v>1</x:v>
      </x:c>
      <x:c r="H1383" s="9" t="str">
        <x:v>03-07-2013</x:v>
      </x:c>
      <x:c r="I1383" s="6" t="n">
        <x:v>74</x:v>
      </x:c>
      <x:c r="J1383" s="6" t="n">
        <x:v>84</x:v>
      </x:c>
      <x:c r="K1383" s="6" t="n">
        <x:v>10</x:v>
      </x:c>
      <x:c r="L1383" s="6" t="n">
        <x:v>34</x:v>
      </x:c>
      <x:c r="M1383" s="6" t="n">
        <x:v>11</x:v>
      </x:c>
      <x:c r="N1383" s="6" t="n">
        <x:v>10</x:v>
      </x:c>
      <x:c r="O1383" s="6" t="n">
        <x:v>28</x:v>
      </x:c>
      <x:c r="P1383" s="6" t="n">
        <x:v>4</x:v>
      </x:c>
      <x:c r="Q1383" s="6" t="n">
        <x:v>3</x:v>
      </x:c>
      <x:c r="R1383" s="6" t="n">
        <x:v>1</x:v>
      </x:c>
      <x:c r="S1383" s="6" t="n">
        <x:v>4</x:v>
      </x:c>
      <x:c r="T1383" s="6" t="n">
        <x:v>6</x:v>
      </x:c>
      <x:c r="U1383" s="6" t="n">
        <x:v>0</x:v>
      </x:c>
      <x:c r="V1383" s="6" t="n">
        <x:v>0</x:v>
      </x:c>
      <x:c r="W1383" s="6" t="n">
        <x:v>0</x:v>
      </x:c>
      <x:c r="X1383" s="6" t="n">
        <x:v>0</x:v>
      </x:c>
      <x:c r="Y1383" s="6" t="n">
        <x:v>0</x:v>
      </x:c>
      <x:c r="Z1383" s="6" t="n">
        <x:v>0</x:v>
      </x:c>
      <x:c r="AA1383" s="6" t="n">
        <x:v>3</x:v>
      </x:c>
      <x:c r="AB1383" s="6" t="n">
        <x:v>11</x:v>
      </x:c>
      <x:c r="AC1383" s="6" t="n">
        <x:v>0</x:v>
      </x:c>
    </x:row>
    <x:row r="1384">
      <x:c r="A1384" s="6" t="n">
        <x:v>2902</x:v>
      </x:c>
      <x:c r="B1384" s="6" t="n">
        <x:v>1958</x:v>
      </x:c>
      <x:c r="C1384" s="6" t="str">
        <x:v>Graduation</x:v>
      </x:c>
      <x:c r="D1384" s="6" t="str">
        <x:v>Together</x:v>
      </x:c>
      <x:c r="E1384" s="6"/>
      <x:c r="F1384" s="6" t="n">
        <x:v>1</x:v>
      </x:c>
      <x:c r="G1384" s="6" t="n">
        <x:v>1</x:v>
      </x:c>
      <x:c r="H1384" s="9" t="str">
        <x:v>03-09-2012</x:v>
      </x:c>
      <x:c r="I1384" s="6" t="n">
        <x:v>87</x:v>
      </x:c>
      <x:c r="J1384" s="6" t="n">
        <x:v>19</x:v>
      </x:c>
      <x:c r="K1384" s="6" t="n">
        <x:v>4</x:v>
      </x:c>
      <x:c r="L1384" s="6" t="n">
        <x:v>12</x:v>
      </x:c>
      <x:c r="M1384" s="6" t="n">
        <x:v>2</x:v>
      </x:c>
      <x:c r="N1384" s="6" t="n">
        <x:v>2</x:v>
      </x:c>
      <x:c r="O1384" s="6" t="n">
        <x:v>6</x:v>
      </x:c>
      <x:c r="P1384" s="6" t="n">
        <x:v>1</x:v>
      </x:c>
      <x:c r="Q1384" s="6" t="n">
        <x:v>1</x:v>
      </x:c>
      <x:c r="R1384" s="6" t="n">
        <x:v>0</x:v>
      </x:c>
      <x:c r="S1384" s="6" t="n">
        <x:v>3</x:v>
      </x:c>
      <x:c r="T1384" s="6" t="n">
        <x:v>5</x:v>
      </x:c>
      <x:c r="U1384" s="6" t="n">
        <x:v>0</x:v>
      </x:c>
      <x:c r="V1384" s="6" t="n">
        <x:v>0</x:v>
      </x:c>
      <x:c r="W1384" s="6" t="n">
        <x:v>0</x:v>
      </x:c>
      <x:c r="X1384" s="6" t="n">
        <x:v>0</x:v>
      </x:c>
      <x:c r="Y1384" s="6" t="n">
        <x:v>0</x:v>
      </x:c>
      <x:c r="Z1384" s="6" t="n">
        <x:v>0</x:v>
      </x:c>
      <x:c r="AA1384" s="6" t="n">
        <x:v>3</x:v>
      </x:c>
      <x:c r="AB1384" s="6" t="n">
        <x:v>11</x:v>
      </x:c>
      <x:c r="AC1384" s="6" t="n">
        <x:v>0</x:v>
      </x:c>
    </x:row>
    <x:row r="1385">
      <x:c r="A1385" s="6" t="n">
        <x:v>4345</x:v>
      </x:c>
      <x:c r="B1385" s="6" t="n">
        <x:v>1964</x:v>
      </x:c>
      <x:c r="C1385" s="6" t="str">
        <x:v>2n Cycle</x:v>
      </x:c>
      <x:c r="D1385" s="6" t="str">
        <x:v>Single</x:v>
      </x:c>
      <x:c r="E1385" s="6"/>
      <x:c r="F1385" s="6" t="n">
        <x:v>1</x:v>
      </x:c>
      <x:c r="G1385" s="6" t="n">
        <x:v>1</x:v>
      </x:c>
      <x:c r="H1385" s="9" t="str">
        <x:v>12-01-2014</x:v>
      </x:c>
      <x:c r="I1385" s="6" t="n">
        <x:v>49</x:v>
      </x:c>
      <x:c r="J1385" s="6" t="n">
        <x:v>5</x:v>
      </x:c>
      <x:c r="K1385" s="6" t="n">
        <x:v>1</x:v>
      </x:c>
      <x:c r="L1385" s="6" t="n">
        <x:v>9</x:v>
      </x:c>
      <x:c r="M1385" s="6" t="n">
        <x:v>2</x:v>
      </x:c>
      <x:c r="N1385" s="6" t="n">
        <x:v>0</x:v>
      </x:c>
      <x:c r="O1385" s="6" t="n">
        <x:v>4</x:v>
      </x:c>
      <x:c r="P1385" s="6" t="n">
        <x:v>1</x:v>
      </x:c>
      <x:c r="Q1385" s="6" t="n">
        <x:v>1</x:v>
      </x:c>
      <x:c r="R1385" s="6" t="n">
        <x:v>0</x:v>
      </x:c>
      <x:c r="S1385" s="6" t="n">
        <x:v>2</x:v>
      </x:c>
      <x:c r="T1385" s="6" t="n">
        <x:v>7</x:v>
      </x:c>
      <x:c r="U1385" s="6" t="n">
        <x:v>0</x:v>
      </x:c>
      <x:c r="V1385" s="6" t="n">
        <x:v>0</x:v>
      </x:c>
      <x:c r="W1385" s="6" t="n">
        <x:v>0</x:v>
      </x:c>
      <x:c r="X1385" s="6" t="n">
        <x:v>0</x:v>
      </x:c>
      <x:c r="Y1385" s="6" t="n">
        <x:v>0</x:v>
      </x:c>
      <x:c r="Z1385" s="6" t="n">
        <x:v>0</x:v>
      </x:c>
      <x:c r="AA1385" s="6" t="n">
        <x:v>3</x:v>
      </x:c>
      <x:c r="AB1385" s="6" t="n">
        <x:v>11</x:v>
      </x:c>
      <x:c r="AC1385" s="6" t="n">
        <x:v>0</x:v>
      </x:c>
    </x:row>
    <x:row r="1386">
      <x:c r="A1386" s="6" t="n">
        <x:v>793</x:v>
      </x:c>
      <x:c r="B1386" s="6" t="n">
        <x:v>1973</x:v>
      </x:c>
      <x:c r="C1386" s="6" t="str">
        <x:v>Graduation</x:v>
      </x:c>
      <x:c r="D1386" s="6" t="str">
        <x:v>Married</x:v>
      </x:c>
      <x:c r="E1386" s="6" t="n">
        <x:v>20895</x:v>
      </x:c>
      <x:c r="F1386" s="6" t="n">
        <x:v>1</x:v>
      </x:c>
      <x:c r="G1386" s="6" t="n">
        <x:v>0</x:v>
      </x:c>
      <x:c r="H1386" s="9" t="str">
        <x:v>06-10-2012</x:v>
      </x:c>
      <x:c r="I1386" s="6" t="n">
        <x:v>24</x:v>
      </x:c>
      <x:c r="J1386" s="6" t="n">
        <x:v>18</x:v>
      </x:c>
      <x:c r="K1386" s="6" t="n">
        <x:v>3</x:v>
      </x:c>
      <x:c r="L1386" s="6" t="n">
        <x:v>17</x:v>
      </x:c>
      <x:c r="M1386" s="6" t="n">
        <x:v>3</x:v>
      </x:c>
      <x:c r="N1386" s="6" t="n">
        <x:v>0</x:v>
      </x:c>
      <x:c r="O1386" s="6" t="n">
        <x:v>4</x:v>
      </x:c>
      <x:c r="P1386" s="6" t="n">
        <x:v>1</x:v>
      </x:c>
      <x:c r="Q1386" s="6" t="n">
        <x:v>2</x:v>
      </x:c>
      <x:c r="R1386" s="6" t="n">
        <x:v>0</x:v>
      </x:c>
      <x:c r="S1386" s="6" t="n">
        <x:v>3</x:v>
      </x:c>
      <x:c r="T1386" s="6" t="n">
        <x:v>9</x:v>
      </x:c>
      <x:c r="U1386" s="6" t="n">
        <x:v>0</x:v>
      </x:c>
      <x:c r="V1386" s="6" t="n">
        <x:v>0</x:v>
      </x:c>
      <x:c r="W1386" s="6" t="n">
        <x:v>0</x:v>
      </x:c>
      <x:c r="X1386" s="6" t="n">
        <x:v>0</x:v>
      </x:c>
      <x:c r="Y1386" s="6" t="n">
        <x:v>0</x:v>
      </x:c>
      <x:c r="Z1386" s="6" t="n">
        <x:v>0</x:v>
      </x:c>
      <x:c r="AA1386" s="6" t="n">
        <x:v>3</x:v>
      </x:c>
      <x:c r="AB1386" s="6" t="n">
        <x:v>11</x:v>
      </x:c>
      <x:c r="AC1386" s="6" t="n">
        <x:v>0</x:v>
      </x:c>
    </x:row>
    <x:row r="1387">
      <x:c r="A1387" s="6" t="n">
        <x:v>10909</x:v>
      </x:c>
      <x:c r="B1387" s="6" t="n">
        <x:v>1948</x:v>
      </x:c>
      <x:c r="C1387" s="6" t="str">
        <x:v>Graduation</x:v>
      </x:c>
      <x:c r="D1387" s="6" t="str">
        <x:v>Married</x:v>
      </x:c>
      <x:c r="E1387" s="6" t="n">
        <x:v>92344</x:v>
      </x:c>
      <x:c r="F1387" s="6" t="n">
        <x:v>0</x:v>
      </x:c>
      <x:c r="G1387" s="6" t="n">
        <x:v>0</x:v>
      </x:c>
      <x:c r="H1387" s="9" t="str">
        <x:v>15-01-2014</x:v>
      </x:c>
      <x:c r="I1387" s="6" t="n">
        <x:v>9</x:v>
      </x:c>
      <x:c r="J1387" s="6" t="n">
        <x:v>992</x:v>
      </x:c>
      <x:c r="K1387" s="6" t="n">
        <x:v>24</x:v>
      </x:c>
      <x:c r="L1387" s="6" t="n">
        <x:v>694</x:v>
      </x:c>
      <x:c r="M1387" s="6" t="n">
        <x:v>51</x:v>
      </x:c>
      <x:c r="N1387" s="6" t="n">
        <x:v>19</x:v>
      </x:c>
      <x:c r="O1387" s="6" t="n">
        <x:v>119</x:v>
      </x:c>
      <x:c r="P1387" s="6" t="n">
        <x:v>0</x:v>
      </x:c>
      <x:c r="Q1387" s="6" t="n">
        <x:v>5</x:v>
      </x:c>
      <x:c r="R1387" s="6" t="n">
        <x:v>10</x:v>
      </x:c>
      <x:c r="S1387" s="6" t="n">
        <x:v>5</x:v>
      </x:c>
      <x:c r="T1387" s="6" t="n">
        <x:v>1</x:v>
      </x:c>
      <x:c r="U1387" s="6" t="n">
        <x:v>1</x:v>
      </x:c>
      <x:c r="V1387" s="6" t="n">
        <x:v>0</x:v>
      </x:c>
      <x:c r="W1387" s="6" t="n">
        <x:v>1</x:v>
      </x:c>
      <x:c r="X1387" s="6" t="n">
        <x:v>0</x:v>
      </x:c>
      <x:c r="Y1387" s="6" t="n">
        <x:v>0</x:v>
      </x:c>
      <x:c r="Z1387" s="6" t="n">
        <x:v>0</x:v>
      </x:c>
      <x:c r="AA1387" s="6" t="n">
        <x:v>3</x:v>
      </x:c>
      <x:c r="AB1387" s="6" t="n">
        <x:v>11</x:v>
      </x:c>
      <x:c r="AC1387" s="6" t="n">
        <x:v>0</x:v>
      </x:c>
    </x:row>
    <x:row r="1388">
      <x:c r="A1388" s="6" t="n">
        <x:v>3769</x:v>
      </x:c>
      <x:c r="B1388" s="6" t="n">
        <x:v>1972</x:v>
      </x:c>
      <x:c r="C1388" s="6" t="str">
        <x:v>PhD</x:v>
      </x:c>
      <x:c r="D1388" s="6" t="str">
        <x:v>Together</x:v>
      </x:c>
      <x:c r="E1388" s="6"/>
      <x:c r="F1388" s="6" t="n">
        <x:v>1</x:v>
      </x:c>
      <x:c r="G1388" s="6" t="n">
        <x:v>0</x:v>
      </x:c>
      <x:c r="H1388" s="9" t="str">
        <x:v>02-03-2014</x:v>
      </x:c>
      <x:c r="I1388" s="6" t="n">
        <x:v>17</x:v>
      </x:c>
      <x:c r="J1388" s="6" t="n">
        <x:v>25</x:v>
      </x:c>
      <x:c r="K1388" s="6" t="n">
        <x:v>1</x:v>
      </x:c>
      <x:c r="L1388" s="6" t="n">
        <x:v>13</x:v>
      </x:c>
      <x:c r="M1388" s="6" t="n">
        <x:v>0</x:v>
      </x:c>
      <x:c r="N1388" s="6" t="n">
        <x:v>0</x:v>
      </x:c>
      <x:c r="O1388" s="6" t="n">
        <x:v>3</x:v>
      </x:c>
      <x:c r="P1388" s="6" t="n">
        <x:v>1</x:v>
      </x:c>
      <x:c r="Q1388" s="6" t="n">
        <x:v>1</x:v>
      </x:c>
      <x:c r="R1388" s="6" t="n">
        <x:v>0</x:v>
      </x:c>
      <x:c r="S1388" s="6" t="n">
        <x:v>3</x:v>
      </x:c>
      <x:c r="T1388" s="6" t="n">
        <x:v>7</x:v>
      </x:c>
      <x:c r="U1388" s="6" t="n">
        <x:v>0</x:v>
      </x:c>
      <x:c r="V1388" s="6" t="n">
        <x:v>0</x:v>
      </x:c>
      <x:c r="W1388" s="6" t="n">
        <x:v>0</x:v>
      </x:c>
      <x:c r="X1388" s="6" t="n">
        <x:v>0</x:v>
      </x:c>
      <x:c r="Y1388" s="6" t="n">
        <x:v>0</x:v>
      </x:c>
      <x:c r="Z1388" s="6" t="n">
        <x:v>0</x:v>
      </x:c>
      <x:c r="AA1388" s="6" t="n">
        <x:v>3</x:v>
      </x:c>
      <x:c r="AB1388" s="6" t="n">
        <x:v>11</x:v>
      </x:c>
      <x:c r="AC1388" s="6" t="n">
        <x:v>0</x:v>
      </x:c>
    </x:row>
    <x:row r="1389">
      <x:c r="A1389" s="6" t="n">
        <x:v>8702</x:v>
      </x:c>
      <x:c r="B1389" s="6" t="n">
        <x:v>1976</x:v>
      </x:c>
      <x:c r="C1389" s="6" t="str">
        <x:v>2n Cycle</x:v>
      </x:c>
      <x:c r="D1389" s="6" t="str">
        <x:v>Together</x:v>
      </x:c>
      <x:c r="E1389" s="6" t="n">
        <x:v>26907</x:v>
      </x:c>
      <x:c r="F1389" s="6" t="n">
        <x:v>1</x:v>
      </x:c>
      <x:c r="G1389" s="6" t="n">
        <x:v>1</x:v>
      </x:c>
      <x:c r="H1389" s="9" t="str">
        <x:v>20-08-2013</x:v>
      </x:c>
      <x:c r="I1389" s="6" t="n">
        <x:v>10</x:v>
      </x:c>
      <x:c r="J1389" s="6" t="n">
        <x:v>9</x:v>
      </x:c>
      <x:c r="K1389" s="6" t="n">
        <x:v>1</x:v>
      </x:c>
      <x:c r="L1389" s="6" t="n">
        <x:v>7</x:v>
      </x:c>
      <x:c r="M1389" s="6" t="n">
        <x:v>0</x:v>
      </x:c>
      <x:c r="N1389" s="6" t="n">
        <x:v>3</x:v>
      </x:c>
      <x:c r="O1389" s="6" t="n">
        <x:v>2</x:v>
      </x:c>
      <x:c r="P1389" s="6" t="n">
        <x:v>2</x:v>
      </x:c>
      <x:c r="Q1389" s="6" t="n">
        <x:v>1</x:v>
      </x:c>
      <x:c r="R1389" s="6" t="n">
        <x:v>0</x:v>
      </x:c>
      <x:c r="S1389" s="6" t="n">
        <x:v>3</x:v>
      </x:c>
      <x:c r="T1389" s="6" t="n">
        <x:v>7</x:v>
      </x:c>
      <x:c r="U1389" s="6" t="n">
        <x:v>0</x:v>
      </x:c>
      <x:c r="V1389" s="6" t="n">
        <x:v>0</x:v>
      </x:c>
      <x:c r="W1389" s="6" t="n">
        <x:v>0</x:v>
      </x:c>
      <x:c r="X1389" s="6" t="n">
        <x:v>0</x:v>
      </x:c>
      <x:c r="Y1389" s="6" t="n">
        <x:v>0</x:v>
      </x:c>
      <x:c r="Z1389" s="6" t="n">
        <x:v>0</x:v>
      </x:c>
      <x:c r="AA1389" s="6" t="n">
        <x:v>3</x:v>
      </x:c>
      <x:c r="AB1389" s="6" t="n">
        <x:v>11</x:v>
      </x:c>
      <x:c r="AC1389" s="6" t="n">
        <x:v>0</x:v>
      </x:c>
    </x:row>
    <x:row r="1390">
      <x:c r="A1390" s="6" t="n">
        <x:v>4791</x:v>
      </x:c>
      <x:c r="B1390" s="6" t="n">
        <x:v>1980</x:v>
      </x:c>
      <x:c r="C1390" s="6" t="str">
        <x:v>Graduation</x:v>
      </x:c>
      <x:c r="D1390" s="6" t="str">
        <x:v>Together</x:v>
      </x:c>
      <x:c r="E1390" s="6" t="n">
        <x:v>44964</x:v>
      </x:c>
      <x:c r="F1390" s="6" t="n">
        <x:v>1</x:v>
      </x:c>
      <x:c r="G1390" s="6" t="n">
        <x:v>1</x:v>
      </x:c>
      <x:c r="H1390" s="9" t="str">
        <x:v>16-12-2012</x:v>
      </x:c>
      <x:c r="I1390" s="6" t="n">
        <x:v>35</x:v>
      </x:c>
      <x:c r="J1390" s="6" t="n">
        <x:v>19</x:v>
      </x:c>
      <x:c r="K1390" s="6" t="n">
        <x:v>1</x:v>
      </x:c>
      <x:c r="L1390" s="6" t="n">
        <x:v>17</x:v>
      </x:c>
      <x:c r="M1390" s="6" t="n">
        <x:v>2</x:v>
      </x:c>
      <x:c r="N1390" s="6" t="n">
        <x:v>0</x:v>
      </x:c>
      <x:c r="O1390" s="6" t="n">
        <x:v>2</x:v>
      </x:c>
      <x:c r="P1390" s="6" t="n">
        <x:v>1</x:v>
      </x:c>
      <x:c r="Q1390" s="6" t="n">
        <x:v>1</x:v>
      </x:c>
      <x:c r="R1390" s="6" t="n">
        <x:v>0</x:v>
      </x:c>
      <x:c r="S1390" s="6" t="n">
        <x:v>3</x:v>
      </x:c>
      <x:c r="T1390" s="6" t="n">
        <x:v>8</x:v>
      </x:c>
      <x:c r="U1390" s="6" t="n">
        <x:v>0</x:v>
      </x:c>
      <x:c r="V1390" s="6" t="n">
        <x:v>0</x:v>
      </x:c>
      <x:c r="W1390" s="6" t="n">
        <x:v>0</x:v>
      </x:c>
      <x:c r="X1390" s="6" t="n">
        <x:v>0</x:v>
      </x:c>
      <x:c r="Y1390" s="6" t="n">
        <x:v>0</x:v>
      </x:c>
      <x:c r="Z1390" s="6" t="n">
        <x:v>0</x:v>
      </x:c>
      <x:c r="AA1390" s="6" t="n">
        <x:v>3</x:v>
      </x:c>
      <x:c r="AB1390" s="6" t="n">
        <x:v>11</x:v>
      </x:c>
      <x:c r="AC1390" s="6" t="n">
        <x:v>0</x:v>
      </x:c>
    </x:row>
    <x:row r="1391">
      <x:c r="A1391" s="6" t="n">
        <x:v>2963</x:v>
      </x:c>
      <x:c r="B1391" s="6" t="n">
        <x:v>1979</x:v>
      </x:c>
      <x:c r="C1391" s="6" t="str">
        <x:v>Graduation</x:v>
      </x:c>
      <x:c r="D1391" s="6" t="str">
        <x:v>Together</x:v>
      </x:c>
      <x:c r="E1391" s="6" t="n">
        <x:v>75507</x:v>
      </x:c>
      <x:c r="F1391" s="6" t="n">
        <x:v>0</x:v>
      </x:c>
      <x:c r="G1391" s="6" t="n">
        <x:v>0</x:v>
      </x:c>
      <x:c r="H1391" s="9" t="str">
        <x:v>02-05-2014</x:v>
      </x:c>
      <x:c r="I1391" s="6" t="n">
        <x:v>56</x:v>
      </x:c>
      <x:c r="J1391" s="6" t="n">
        <x:v>709</x:v>
      </x:c>
      <x:c r="K1391" s="6" t="n">
        <x:v>93</x:v>
      </x:c>
      <x:c r="L1391" s="6" t="n">
        <x:v>374</x:v>
      </x:c>
      <x:c r="M1391" s="6" t="n">
        <x:v>104</x:v>
      </x:c>
      <x:c r="N1391" s="6" t="n">
        <x:v>80</x:v>
      </x:c>
      <x:c r="O1391" s="6" t="n">
        <x:v>80</x:v>
      </x:c>
      <x:c r="P1391" s="6" t="n">
        <x:v>1</x:v>
      </x:c>
      <x:c r="Q1391" s="6" t="n">
        <x:v>8</x:v>
      </x:c>
      <x:c r="R1391" s="6" t="n">
        <x:v>6</x:v>
      </x:c>
      <x:c r="S1391" s="6" t="n">
        <x:v>6</x:v>
      </x:c>
      <x:c r="T1391" s="6" t="n">
        <x:v>3</x:v>
      </x:c>
      <x:c r="U1391" s="6" t="n">
        <x:v>0</x:v>
      </x:c>
      <x:c r="V1391" s="6" t="n">
        <x:v>0</x:v>
      </x:c>
      <x:c r="W1391" s="6" t="n">
        <x:v>0</x:v>
      </x:c>
      <x:c r="X1391" s="6" t="n">
        <x:v>0</x:v>
      </x:c>
      <x:c r="Y1391" s="6" t="n">
        <x:v>0</x:v>
      </x:c>
      <x:c r="Z1391" s="6" t="n">
        <x:v>0</x:v>
      </x:c>
      <x:c r="AA1391" s="6" t="n">
        <x:v>3</x:v>
      </x:c>
      <x:c r="AB1391" s="6" t="n">
        <x:v>11</x:v>
      </x:c>
      <x:c r="AC1391" s="6" t="n">
        <x:v>0</x:v>
      </x:c>
    </x:row>
    <x:row r="1392">
      <x:c r="A1392" s="6" t="n">
        <x:v>8216</x:v>
      </x:c>
      <x:c r="B1392" s="6" t="n">
        <x:v>1972</x:v>
      </x:c>
      <x:c r="C1392" s="6" t="str">
        <x:v>Master</x:v>
      </x:c>
      <x:c r="D1392" s="6" t="str">
        <x:v>Married</x:v>
      </x:c>
      <x:c r="E1392" s="6" t="n">
        <x:v>53761</x:v>
      </x:c>
      <x:c r="F1392" s="6" t="n">
        <x:v>1</x:v>
      </x:c>
      <x:c r="G1392" s="6" t="n">
        <x:v>1</x:v>
      </x:c>
      <x:c r="H1392" s="9" t="str">
        <x:v>11-10-2013</x:v>
      </x:c>
      <x:c r="I1392" s="6" t="n">
        <x:v>7</x:v>
      </x:c>
      <x:c r="J1392" s="6" t="n">
        <x:v>158</x:v>
      </x:c>
      <x:c r="K1392" s="6" t="n">
        <x:v>0</x:v>
      </x:c>
      <x:c r="L1392" s="6" t="n">
        <x:v>76</x:v>
      </x:c>
      <x:c r="M1392" s="6" t="n">
        <x:v>13</x:v>
      </x:c>
      <x:c r="N1392" s="6" t="n">
        <x:v>7</x:v>
      </x:c>
      <x:c r="O1392" s="6" t="n">
        <x:v>71</x:v>
      </x:c>
      <x:c r="P1392" s="6" t="n">
        <x:v>6</x:v>
      </x:c>
      <x:c r="Q1392" s="6" t="n">
        <x:v>4</x:v>
      </x:c>
      <x:c r="R1392" s="6" t="n">
        <x:v>4</x:v>
      </x:c>
      <x:c r="S1392" s="6" t="n">
        <x:v>3</x:v>
      </x:c>
      <x:c r="T1392" s="6" t="n">
        <x:v>5</x:v>
      </x:c>
      <x:c r="U1392" s="6" t="n">
        <x:v>0</x:v>
      </x:c>
      <x:c r="V1392" s="6" t="n">
        <x:v>0</x:v>
      </x:c>
      <x:c r="W1392" s="6" t="n">
        <x:v>0</x:v>
      </x:c>
      <x:c r="X1392" s="6" t="n">
        <x:v>0</x:v>
      </x:c>
      <x:c r="Y1392" s="6" t="n">
        <x:v>0</x:v>
      </x:c>
      <x:c r="Z1392" s="6" t="n">
        <x:v>0</x:v>
      </x:c>
      <x:c r="AA1392" s="6" t="n">
        <x:v>3</x:v>
      </x:c>
      <x:c r="AB1392" s="6" t="n">
        <x:v>11</x:v>
      </x:c>
      <x:c r="AC1392" s="6" t="n">
        <x:v>0</x:v>
      </x:c>
    </x:row>
    <x:row r="1393">
      <x:c r="A1393" s="6" t="n">
        <x:v>8140</x:v>
      </x:c>
      <x:c r="B1393" s="6" t="n">
        <x:v>1973</x:v>
      </x:c>
      <x:c r="C1393" s="6" t="str">
        <x:v>Graduation</x:v>
      </x:c>
      <x:c r="D1393" s="6" t="str">
        <x:v>Together</x:v>
      </x:c>
      <x:c r="E1393" s="6" t="n">
        <x:v>22682</x:v>
      </x:c>
      <x:c r="F1393" s="6" t="n">
        <x:v>1</x:v>
      </x:c>
      <x:c r="G1393" s="6" t="n">
        <x:v>0</x:v>
      </x:c>
      <x:c r="H1393" s="9" t="str">
        <x:v>03-10-2013</x:v>
      </x:c>
      <x:c r="I1393" s="6" t="n">
        <x:v>51</x:v>
      </x:c>
      <x:c r="J1393" s="6" t="n">
        <x:v>10</x:v>
      </x:c>
      <x:c r="K1393" s="6" t="n">
        <x:v>14</x:v>
      </x:c>
      <x:c r="L1393" s="6" t="n">
        <x:v>29</x:v>
      </x:c>
      <x:c r="M1393" s="6" t="n">
        <x:v>4</x:v>
      </x:c>
      <x:c r="N1393" s="6" t="n">
        <x:v>2</x:v>
      </x:c>
      <x:c r="O1393" s="6" t="n">
        <x:v>36</x:v>
      </x:c>
      <x:c r="P1393" s="6" t="n">
        <x:v>3</x:v>
      </x:c>
      <x:c r="Q1393" s="6" t="n">
        <x:v>2</x:v>
      </x:c>
      <x:c r="R1393" s="6" t="n">
        <x:v>1</x:v>
      </x:c>
      <x:c r="S1393" s="6" t="n">
        <x:v>4</x:v>
      </x:c>
      <x:c r="T1393" s="6" t="n">
        <x:v>4</x:v>
      </x:c>
      <x:c r="U1393" s="6" t="n">
        <x:v>0</x:v>
      </x:c>
      <x:c r="V1393" s="6" t="n">
        <x:v>0</x:v>
      </x:c>
      <x:c r="W1393" s="6" t="n">
        <x:v>0</x:v>
      </x:c>
      <x:c r="X1393" s="6" t="n">
        <x:v>0</x:v>
      </x:c>
      <x:c r="Y1393" s="6" t="n">
        <x:v>0</x:v>
      </x:c>
      <x:c r="Z1393" s="6" t="n">
        <x:v>0</x:v>
      </x:c>
      <x:c r="AA1393" s="6" t="n">
        <x:v>3</x:v>
      </x:c>
      <x:c r="AB1393" s="6" t="n">
        <x:v>11</x:v>
      </x:c>
      <x:c r="AC1393" s="6" t="n">
        <x:v>0</x:v>
      </x:c>
    </x:row>
    <x:row r="1394">
      <x:c r="A1394" s="6" t="n">
        <x:v>10146</x:v>
      </x:c>
      <x:c r="B1394" s="6" t="n">
        <x:v>1972</x:v>
      </x:c>
      <x:c r="C1394" s="6" t="str">
        <x:v>PhD</x:v>
      </x:c>
      <x:c r="D1394" s="6" t="str">
        <x:v>Together</x:v>
      </x:c>
      <x:c r="E1394" s="6" t="n">
        <x:v>38887</x:v>
      </x:c>
      <x:c r="F1394" s="6" t="n">
        <x:v>1</x:v>
      </x:c>
      <x:c r="G1394" s="6" t="n">
        <x:v>0</x:v>
      </x:c>
      <x:c r="H1394" s="9" t="str">
        <x:v>02-03-2014</x:v>
      </x:c>
      <x:c r="I1394" s="6" t="n">
        <x:v>17</x:v>
      </x:c>
      <x:c r="J1394" s="6" t="n">
        <x:v>25</x:v>
      </x:c>
      <x:c r="K1394" s="6" t="n">
        <x:v>1</x:v>
      </x:c>
      <x:c r="L1394" s="6" t="n">
        <x:v>13</x:v>
      </x:c>
      <x:c r="M1394" s="6" t="n">
        <x:v>0</x:v>
      </x:c>
      <x:c r="N1394" s="6" t="n">
        <x:v>0</x:v>
      </x:c>
      <x:c r="O1394" s="6" t="n">
        <x:v>3</x:v>
      </x:c>
      <x:c r="P1394" s="6" t="n">
        <x:v>1</x:v>
      </x:c>
      <x:c r="Q1394" s="6" t="n">
        <x:v>1</x:v>
      </x:c>
      <x:c r="R1394" s="6" t="n">
        <x:v>0</x:v>
      </x:c>
      <x:c r="S1394" s="6" t="n">
        <x:v>3</x:v>
      </x:c>
      <x:c r="T1394" s="6" t="n">
        <x:v>7</x:v>
      </x:c>
      <x:c r="U1394" s="6" t="n">
        <x:v>0</x:v>
      </x:c>
      <x:c r="V1394" s="6" t="n">
        <x:v>0</x:v>
      </x:c>
      <x:c r="W1394" s="6" t="n">
        <x:v>0</x:v>
      </x:c>
      <x:c r="X1394" s="6" t="n">
        <x:v>0</x:v>
      </x:c>
      <x:c r="Y1394" s="6" t="n">
        <x:v>0</x:v>
      </x:c>
      <x:c r="Z1394" s="6" t="n">
        <x:v>0</x:v>
      </x:c>
      <x:c r="AA1394" s="6" t="n">
        <x:v>3</x:v>
      </x:c>
      <x:c r="AB1394" s="6" t="n">
        <x:v>11</x:v>
      </x:c>
      <x:c r="AC1394" s="6" t="n">
        <x:v>0</x:v>
      </x:c>
    </x:row>
    <x:row r="1395">
      <x:c r="A1395" s="6" t="n">
        <x:v>5289</x:v>
      </x:c>
      <x:c r="B1395" s="6" t="n">
        <x:v>1975</x:v>
      </x:c>
      <x:c r="C1395" s="6" t="str">
        <x:v>2n Cycle</x:v>
      </x:c>
      <x:c r="D1395" s="6" t="str">
        <x:v>Single</x:v>
      </x:c>
      <x:c r="E1395" s="6" t="n">
        <x:v>41658</x:v>
      </x:c>
      <x:c r="F1395" s="6" t="n">
        <x:v>1</x:v>
      </x:c>
      <x:c r="G1395" s="6" t="n">
        <x:v>1</x:v>
      </x:c>
      <x:c r="H1395" s="9" t="str">
        <x:v>09-11-2012</x:v>
      </x:c>
      <x:c r="I1395" s="6" t="n">
        <x:v>30</x:v>
      </x:c>
      <x:c r="J1395" s="6" t="n">
        <x:v>8</x:v>
      </x:c>
      <x:c r="K1395" s="6" t="n">
        <x:v>4</x:v>
      </x:c>
      <x:c r="L1395" s="6" t="n">
        <x:v>12</x:v>
      </x:c>
      <x:c r="M1395" s="6" t="n">
        <x:v>15</x:v>
      </x:c>
      <x:c r="N1395" s="6" t="n">
        <x:v>4</x:v>
      </x:c>
      <x:c r="O1395" s="6" t="n">
        <x:v>29</x:v>
      </x:c>
      <x:c r="P1395" s="6" t="n">
        <x:v>2</x:v>
      </x:c>
      <x:c r="Q1395" s="6" t="n">
        <x:v>1</x:v>
      </x:c>
      <x:c r="R1395" s="6" t="n">
        <x:v>1</x:v>
      </x:c>
      <x:c r="S1395" s="6" t="n">
        <x:v>2</x:v>
      </x:c>
      <x:c r="T1395" s="6" t="n">
        <x:v>4</x:v>
      </x:c>
      <x:c r="U1395" s="6" t="n">
        <x:v>0</x:v>
      </x:c>
      <x:c r="V1395" s="6" t="n">
        <x:v>0</x:v>
      </x:c>
      <x:c r="W1395" s="6" t="n">
        <x:v>0</x:v>
      </x:c>
      <x:c r="X1395" s="6" t="n">
        <x:v>0</x:v>
      </x:c>
      <x:c r="Y1395" s="6" t="n">
        <x:v>0</x:v>
      </x:c>
      <x:c r="Z1395" s="6" t="n">
        <x:v>0</x:v>
      </x:c>
      <x:c r="AA1395" s="6" t="n">
        <x:v>3</x:v>
      </x:c>
      <x:c r="AB1395" s="6" t="n">
        <x:v>11</x:v>
      </x:c>
      <x:c r="AC1395" s="6" t="n">
        <x:v>0</x:v>
      </x:c>
    </x:row>
    <x:row r="1396">
      <x:c r="A1396" s="6" t="n">
        <x:v>2587</x:v>
      </x:c>
      <x:c r="B1396" s="6" t="n">
        <x:v>1972</x:v>
      </x:c>
      <x:c r="C1396" s="6" t="str">
        <x:v>PhD</x:v>
      </x:c>
      <x:c r="D1396" s="6" t="str">
        <x:v>Married</x:v>
      </x:c>
      <x:c r="E1396" s="6" t="n">
        <x:v>29791</x:v>
      </x:c>
      <x:c r="F1396" s="6" t="n">
        <x:v>1</x:v>
      </x:c>
      <x:c r="G1396" s="6" t="n">
        <x:v>0</x:v>
      </x:c>
      <x:c r="H1396" s="9" t="str">
        <x:v>15-05-2014</x:v>
      </x:c>
      <x:c r="I1396" s="6" t="n">
        <x:v>21</x:v>
      </x:c>
      <x:c r="J1396" s="6" t="n">
        <x:v>14</x:v>
      </x:c>
      <x:c r="K1396" s="6" t="n">
        <x:v>0</x:v>
      </x:c>
      <x:c r="L1396" s="6" t="n">
        <x:v>6</x:v>
      </x:c>
      <x:c r="M1396" s="6" t="n">
        <x:v>0</x:v>
      </x:c>
      <x:c r="N1396" s="6" t="n">
        <x:v>0</x:v>
      </x:c>
      <x:c r="O1396" s="6" t="n">
        <x:v>0</x:v>
      </x:c>
      <x:c r="P1396" s="6" t="n">
        <x:v>2</x:v>
      </x:c>
      <x:c r="Q1396" s="6" t="n">
        <x:v>2</x:v>
      </x:c>
      <x:c r="R1396" s="6" t="n">
        <x:v>0</x:v>
      </x:c>
      <x:c r="S1396" s="6" t="n">
        <x:v>3</x:v>
      </x:c>
      <x:c r="T1396" s="6" t="n">
        <x:v>5</x:v>
      </x:c>
      <x:c r="U1396" s="6" t="n">
        <x:v>0</x:v>
      </x:c>
      <x:c r="V1396" s="6" t="n">
        <x:v>0</x:v>
      </x:c>
      <x:c r="W1396" s="6" t="n">
        <x:v>0</x:v>
      </x:c>
      <x:c r="X1396" s="6" t="n">
        <x:v>0</x:v>
      </x:c>
      <x:c r="Y1396" s="6" t="n">
        <x:v>0</x:v>
      </x:c>
      <x:c r="Z1396" s="6" t="n">
        <x:v>0</x:v>
      </x:c>
      <x:c r="AA1396" s="6" t="n">
        <x:v>3</x:v>
      </x:c>
      <x:c r="AB1396" s="6" t="n">
        <x:v>11</x:v>
      </x:c>
      <x:c r="AC1396" s="6" t="n">
        <x:v>0</x:v>
      </x:c>
    </x:row>
    <x:row r="1397">
      <x:c r="A1397" s="6" t="n">
        <x:v>4405</x:v>
      </x:c>
      <x:c r="B1397" s="6" t="n">
        <x:v>1956</x:v>
      </x:c>
      <x:c r="C1397" s="6" t="str">
        <x:v>Master</x:v>
      </x:c>
      <x:c r="D1397" s="6" t="str">
        <x:v>Married</x:v>
      </x:c>
      <x:c r="E1397" s="6" t="n">
        <x:v>63915</x:v>
      </x:c>
      <x:c r="F1397" s="6" t="n">
        <x:v>0</x:v>
      </x:c>
      <x:c r="G1397" s="6" t="n">
        <x:v>2</x:v>
      </x:c>
      <x:c r="H1397" s="9" t="str">
        <x:v>30-07-2013</x:v>
      </x:c>
      <x:c r="I1397" s="6" t="n">
        <x:v>2</x:v>
      </x:c>
      <x:c r="J1397" s="6" t="n">
        <x:v>622</x:v>
      </x:c>
      <x:c r="K1397" s="6" t="n">
        <x:v>7</x:v>
      </x:c>
      <x:c r="L1397" s="6" t="n">
        <x:v>115</x:v>
      </x:c>
      <x:c r="M1397" s="6" t="n">
        <x:v>30</x:v>
      </x:c>
      <x:c r="N1397" s="6" t="n">
        <x:v>0</x:v>
      </x:c>
      <x:c r="O1397" s="6" t="n">
        <x:v>15</x:v>
      </x:c>
      <x:c r="P1397" s="6" t="n">
        <x:v>2</x:v>
      </x:c>
      <x:c r="Q1397" s="6" t="n">
        <x:v>6</x:v>
      </x:c>
      <x:c r="R1397" s="6" t="n">
        <x:v>3</x:v>
      </x:c>
      <x:c r="S1397" s="6" t="n">
        <x:v>12</x:v>
      </x:c>
      <x:c r="T1397" s="6" t="n">
        <x:v>5</x:v>
      </x:c>
      <x:c r="U1397" s="6" t="n">
        <x:v>0</x:v>
      </x:c>
      <x:c r="V1397" s="6" t="n">
        <x:v>0</x:v>
      </x:c>
      <x:c r="W1397" s="6" t="n">
        <x:v>0</x:v>
      </x:c>
      <x:c r="X1397" s="6" t="n">
        <x:v>0</x:v>
      </x:c>
      <x:c r="Y1397" s="6" t="n">
        <x:v>0</x:v>
      </x:c>
      <x:c r="Z1397" s="6" t="n">
        <x:v>0</x:v>
      </x:c>
      <x:c r="AA1397" s="6" t="n">
        <x:v>3</x:v>
      </x:c>
      <x:c r="AB1397" s="6" t="n">
        <x:v>11</x:v>
      </x:c>
      <x:c r="AC1397" s="6" t="n">
        <x:v>0</x:v>
      </x:c>
    </x:row>
    <x:row r="1398">
      <x:c r="A1398" s="6" t="n">
        <x:v>8663</x:v>
      </x:c>
      <x:c r="B1398" s="6" t="n">
        <x:v>1974</x:v>
      </x:c>
      <x:c r="C1398" s="6" t="str">
        <x:v>Graduation</x:v>
      </x:c>
      <x:c r="D1398" s="6" t="str">
        <x:v>Divorced</x:v>
      </x:c>
      <x:c r="E1398" s="6" t="n">
        <x:v>39996</x:v>
      </x:c>
      <x:c r="F1398" s="6" t="n">
        <x:v>1</x:v>
      </x:c>
      <x:c r="G1398" s="6" t="n">
        <x:v>1</x:v>
      </x:c>
      <x:c r="H1398" s="9" t="str">
        <x:v>22-05-2014</x:v>
      </x:c>
      <x:c r="I1398" s="6" t="n">
        <x:v>85</x:v>
      </x:c>
      <x:c r="J1398" s="6" t="n">
        <x:v>11</x:v>
      </x:c>
      <x:c r="K1398" s="6" t="n">
        <x:v>0</x:v>
      </x:c>
      <x:c r="L1398" s="6" t="n">
        <x:v>3</x:v>
      </x:c>
      <x:c r="M1398" s="6" t="n">
        <x:v>0</x:v>
      </x:c>
      <x:c r="N1398" s="6" t="n">
        <x:v>0</x:v>
      </x:c>
      <x:c r="O1398" s="6" t="n">
        <x:v>1</x:v>
      </x:c>
      <x:c r="P1398" s="6" t="n">
        <x:v>1</x:v>
      </x:c>
      <x:c r="Q1398" s="6" t="n">
        <x:v>1</x:v>
      </x:c>
      <x:c r="R1398" s="6" t="n">
        <x:v>0</x:v>
      </x:c>
      <x:c r="S1398" s="6" t="n">
        <x:v>2</x:v>
      </x:c>
      <x:c r="T1398" s="6" t="n">
        <x:v>6</x:v>
      </x:c>
      <x:c r="U1398" s="6" t="n">
        <x:v>0</x:v>
      </x:c>
      <x:c r="V1398" s="6" t="n">
        <x:v>0</x:v>
      </x:c>
      <x:c r="W1398" s="6" t="n">
        <x:v>0</x:v>
      </x:c>
      <x:c r="X1398" s="6" t="n">
        <x:v>0</x:v>
      </x:c>
      <x:c r="Y1398" s="6" t="n">
        <x:v>0</x:v>
      </x:c>
      <x:c r="Z1398" s="6" t="n">
        <x:v>0</x:v>
      </x:c>
      <x:c r="AA1398" s="6" t="n">
        <x:v>3</x:v>
      </x:c>
      <x:c r="AB1398" s="6" t="n">
        <x:v>11</x:v>
      </x:c>
      <x:c r="AC1398" s="6" t="n">
        <x:v>0</x:v>
      </x:c>
    </x:row>
    <x:row r="1399">
      <x:c r="A1399" s="6" t="n">
        <x:v>2589</x:v>
      </x:c>
      <x:c r="B1399" s="6" t="n">
        <x:v>1972</x:v>
      </x:c>
      <x:c r="C1399" s="6" t="str">
        <x:v>Graduation</x:v>
      </x:c>
      <x:c r="D1399" s="6" t="str">
        <x:v>Divorced</x:v>
      </x:c>
      <x:c r="E1399" s="6" t="n">
        <x:v>26759</x:v>
      </x:c>
      <x:c r="F1399" s="6" t="n">
        <x:v>1</x:v>
      </x:c>
      <x:c r="G1399" s="6" t="n">
        <x:v>0</x:v>
      </x:c>
      <x:c r="H1399" s="9" t="str">
        <x:v>07-02-2014</x:v>
      </x:c>
      <x:c r="I1399" s="6" t="n">
        <x:v>65</x:v>
      </x:c>
      <x:c r="J1399" s="6" t="n">
        <x:v>25</x:v>
      </x:c>
      <x:c r="K1399" s="6" t="n">
        <x:v>3</x:v>
      </x:c>
      <x:c r="L1399" s="6" t="n">
        <x:v>16</x:v>
      </x:c>
      <x:c r="M1399" s="6" t="n">
        <x:v>8</x:v>
      </x:c>
      <x:c r="N1399" s="6" t="n">
        <x:v>5</x:v>
      </x:c>
      <x:c r="O1399" s="6" t="n">
        <x:v>2</x:v>
      </x:c>
      <x:c r="P1399" s="6" t="n">
        <x:v>2</x:v>
      </x:c>
      <x:c r="Q1399" s="6" t="n">
        <x:v>2</x:v>
      </x:c>
      <x:c r="R1399" s="6" t="n">
        <x:v>1</x:v>
      </x:c>
      <x:c r="S1399" s="6" t="n">
        <x:v>3</x:v>
      </x:c>
      <x:c r="T1399" s="6" t="n">
        <x:v>6</x:v>
      </x:c>
      <x:c r="U1399" s="6" t="n">
        <x:v>0</x:v>
      </x:c>
      <x:c r="V1399" s="6" t="n">
        <x:v>0</x:v>
      </x:c>
      <x:c r="W1399" s="6" t="n">
        <x:v>0</x:v>
      </x:c>
      <x:c r="X1399" s="6" t="n">
        <x:v>0</x:v>
      </x:c>
      <x:c r="Y1399" s="6" t="n">
        <x:v>0</x:v>
      </x:c>
      <x:c r="Z1399" s="6" t="n">
        <x:v>0</x:v>
      </x:c>
      <x:c r="AA1399" s="6" t="n">
        <x:v>3</x:v>
      </x:c>
      <x:c r="AB1399" s="6" t="n">
        <x:v>11</x:v>
      </x:c>
      <x:c r="AC1399" s="6" t="n">
        <x:v>0</x:v>
      </x:c>
    </x:row>
    <x:row r="1400">
      <x:c r="A1400" s="6" t="n">
        <x:v>3421</x:v>
      </x:c>
      <x:c r="B1400" s="6" t="n">
        <x:v>1968</x:v>
      </x:c>
      <x:c r="C1400" s="6" t="str">
        <x:v>Master</x:v>
      </x:c>
      <x:c r="D1400" s="6" t="str">
        <x:v>Divorced</x:v>
      </x:c>
      <x:c r="E1400" s="6" t="n">
        <x:v>63841</x:v>
      </x:c>
      <x:c r="F1400" s="6" t="n">
        <x:v>0</x:v>
      </x:c>
      <x:c r="G1400" s="6" t="n">
        <x:v>1</x:v>
      </x:c>
      <x:c r="H1400" s="9" t="str">
        <x:v>21-04-2013</x:v>
      </x:c>
      <x:c r="I1400" s="6" t="n">
        <x:v>64</x:v>
      </x:c>
      <x:c r="J1400" s="6" t="n">
        <x:v>635</x:v>
      </x:c>
      <x:c r="K1400" s="6" t="n">
        <x:v>15</x:v>
      </x:c>
      <x:c r="L1400" s="6" t="n">
        <x:v>100</x:v>
      </x:c>
      <x:c r="M1400" s="6" t="n">
        <x:v>20</x:v>
      </x:c>
      <x:c r="N1400" s="6" t="n">
        <x:v>7</x:v>
      </x:c>
      <x:c r="O1400" s="6" t="n">
        <x:v>131</x:v>
      </x:c>
      <x:c r="P1400" s="6" t="n">
        <x:v>1</x:v>
      </x:c>
      <x:c r="Q1400" s="6" t="n">
        <x:v>9</x:v>
      </x:c>
      <x:c r="R1400" s="6" t="n">
        <x:v>3</x:v>
      </x:c>
      <x:c r="S1400" s="6" t="n">
        <x:v>9</x:v>
      </x:c>
      <x:c r="T1400" s="6" t="n">
        <x:v>6</x:v>
      </x:c>
      <x:c r="U1400" s="6" t="n">
        <x:v>0</x:v>
      </x:c>
      <x:c r="V1400" s="6" t="n">
        <x:v>0</x:v>
      </x:c>
      <x:c r="W1400" s="6" t="n">
        <x:v>0</x:v>
      </x:c>
      <x:c r="X1400" s="6" t="n">
        <x:v>0</x:v>
      </x:c>
      <x:c r="Y1400" s="6" t="n">
        <x:v>0</x:v>
      </x:c>
      <x:c r="Z1400" s="6" t="n">
        <x:v>0</x:v>
      </x:c>
      <x:c r="AA1400" s="6" t="n">
        <x:v>3</x:v>
      </x:c>
      <x:c r="AB1400" s="6" t="n">
        <x:v>11</x:v>
      </x:c>
      <x:c r="AC1400" s="6" t="n">
        <x:v>0</x:v>
      </x:c>
    </x:row>
    <x:row r="1401">
      <x:c r="A1401" s="6" t="n">
        <x:v>10490</x:v>
      </x:c>
      <x:c r="B1401" s="6" t="n">
        <x:v>1969</x:v>
      </x:c>
      <x:c r="C1401" s="6" t="str">
        <x:v>PhD</x:v>
      </x:c>
      <x:c r="D1401" s="6" t="str">
        <x:v>Married</x:v>
      </x:c>
      <x:c r="E1401" s="6" t="n">
        <x:v>51039</x:v>
      </x:c>
      <x:c r="F1401" s="6" t="n">
        <x:v>1</x:v>
      </x:c>
      <x:c r="G1401" s="6" t="n">
        <x:v>1</x:v>
      </x:c>
      <x:c r="H1401" s="9" t="str">
        <x:v>10-12-2012</x:v>
      </x:c>
      <x:c r="I1401" s="6" t="n">
        <x:v>11</x:v>
      </x:c>
      <x:c r="J1401" s="6" t="n">
        <x:v>100</x:v>
      </x:c>
      <x:c r="K1401" s="6" t="n">
        <x:v>64</x:v>
      </x:c>
      <x:c r="L1401" s="6" t="n">
        <x:v>79</x:v>
      </x:c>
      <x:c r="M1401" s="6" t="n">
        <x:v>65</x:v>
      </x:c>
      <x:c r="N1401" s="6" t="n">
        <x:v>0</x:v>
      </x:c>
      <x:c r="O1401" s="6" t="n">
        <x:v>109</x:v>
      </x:c>
      <x:c r="P1401" s="6" t="n">
        <x:v>2</x:v>
      </x:c>
      <x:c r="Q1401" s="6" t="n">
        <x:v>6</x:v>
      </x:c>
      <x:c r="R1401" s="6" t="n">
        <x:v>2</x:v>
      </x:c>
      <x:c r="S1401" s="6" t="n">
        <x:v>4</x:v>
      </x:c>
      <x:c r="T1401" s="6" t="n">
        <x:v>7</x:v>
      </x:c>
      <x:c r="U1401" s="6" t="n">
        <x:v>0</x:v>
      </x:c>
      <x:c r="V1401" s="6" t="n">
        <x:v>0</x:v>
      </x:c>
      <x:c r="W1401" s="6" t="n">
        <x:v>0</x:v>
      </x:c>
      <x:c r="X1401" s="6" t="n">
        <x:v>0</x:v>
      </x:c>
      <x:c r="Y1401" s="6" t="n">
        <x:v>0</x:v>
      </x:c>
      <x:c r="Z1401" s="6" t="n">
        <x:v>0</x:v>
      </x:c>
      <x:c r="AA1401" s="6" t="n">
        <x:v>3</x:v>
      </x:c>
      <x:c r="AB1401" s="6" t="n">
        <x:v>11</x:v>
      </x:c>
      <x:c r="AC1401" s="6" t="n">
        <x:v>0</x:v>
      </x:c>
    </x:row>
    <x:row r="1402">
      <x:c r="A1402" s="6" t="n">
        <x:v>4094</x:v>
      </x:c>
      <x:c r="B1402" s="6" t="n">
        <x:v>1961</x:v>
      </x:c>
      <x:c r="C1402" s="6" t="str">
        <x:v>Graduation</x:v>
      </x:c>
      <x:c r="D1402" s="6" t="str">
        <x:v>Married</x:v>
      </x:c>
      <x:c r="E1402" s="6" t="n">
        <x:v>60544</x:v>
      </x:c>
      <x:c r="F1402" s="6" t="n">
        <x:v>1</x:v>
      </x:c>
      <x:c r="G1402" s="6" t="n">
        <x:v>1</x:v>
      </x:c>
      <x:c r="H1402" s="9" t="str">
        <x:v>25-08-2012</x:v>
      </x:c>
      <x:c r="I1402" s="6" t="n">
        <x:v>92</x:v>
      </x:c>
      <x:c r="J1402" s="6" t="n">
        <x:v>201</x:v>
      </x:c>
      <x:c r="K1402" s="6" t="n">
        <x:v>2</x:v>
      </x:c>
      <x:c r="L1402" s="6" t="n">
        <x:v>43</x:v>
      </x:c>
      <x:c r="M1402" s="6" t="n">
        <x:v>3</x:v>
      </x:c>
      <x:c r="N1402" s="6" t="n">
        <x:v>5</x:v>
      </x:c>
      <x:c r="O1402" s="6" t="n">
        <x:v>35</x:v>
      </x:c>
      <x:c r="P1402" s="6" t="n">
        <x:v>4</x:v>
      </x:c>
      <x:c r="Q1402" s="6" t="n">
        <x:v>5</x:v>
      </x:c>
      <x:c r="R1402" s="6" t="n">
        <x:v>1</x:v>
      </x:c>
      <x:c r="S1402" s="6" t="n">
        <x:v>5</x:v>
      </x:c>
      <x:c r="T1402" s="6" t="n">
        <x:v>6</x:v>
      </x:c>
      <x:c r="U1402" s="6" t="n">
        <x:v>0</x:v>
      </x:c>
      <x:c r="V1402" s="6" t="n">
        <x:v>0</x:v>
      </x:c>
      <x:c r="W1402" s="6" t="n">
        <x:v>0</x:v>
      </x:c>
      <x:c r="X1402" s="6" t="n">
        <x:v>0</x:v>
      </x:c>
      <x:c r="Y1402" s="6" t="n">
        <x:v>0</x:v>
      </x:c>
      <x:c r="Z1402" s="6" t="n">
        <x:v>0</x:v>
      </x:c>
      <x:c r="AA1402" s="6" t="n">
        <x:v>3</x:v>
      </x:c>
      <x:c r="AB1402" s="6" t="n">
        <x:v>11</x:v>
      </x:c>
      <x:c r="AC1402" s="6" t="n">
        <x:v>0</x:v>
      </x:c>
    </x:row>
    <x:row r="1403">
      <x:c r="A1403" s="6" t="n">
        <x:v>9958</x:v>
      </x:c>
      <x:c r="B1403" s="6" t="n">
        <x:v>1972</x:v>
      </x:c>
      <x:c r="C1403" s="6" t="str">
        <x:v>Graduation</x:v>
      </x:c>
      <x:c r="D1403" s="6" t="str">
        <x:v>Married</x:v>
      </x:c>
      <x:c r="E1403" s="6" t="n">
        <x:v>65685</x:v>
      </x:c>
      <x:c r="F1403" s="6" t="n">
        <x:v>0</x:v>
      </x:c>
      <x:c r="G1403" s="6" t="n">
        <x:v>1</x:v>
      </x:c>
      <x:c r="H1403" s="9" t="str">
        <x:v>29-03-2014</x:v>
      </x:c>
      <x:c r="I1403" s="6" t="n">
        <x:v>54</x:v>
      </x:c>
      <x:c r="J1403" s="6" t="n">
        <x:v>642</x:v>
      </x:c>
      <x:c r="K1403" s="6" t="n">
        <x:v>14</x:v>
      </x:c>
      <x:c r="L1403" s="6" t="n">
        <x:v>49</x:v>
      </x:c>
      <x:c r="M1403" s="6" t="n">
        <x:v>0</x:v>
      </x:c>
      <x:c r="N1403" s="6" t="n">
        <x:v>7</x:v>
      </x:c>
      <x:c r="O1403" s="6" t="n">
        <x:v>57</x:v>
      </x:c>
      <x:c r="P1403" s="6" t="n">
        <x:v>1</x:v>
      </x:c>
      <x:c r="Q1403" s="6" t="n">
        <x:v>9</x:v>
      </x:c>
      <x:c r="R1403" s="6" t="n">
        <x:v>2</x:v>
      </x:c>
      <x:c r="S1403" s="6" t="n">
        <x:v>9</x:v>
      </x:c>
      <x:c r="T1403" s="6" t="n">
        <x:v>5</x:v>
      </x:c>
      <x:c r="U1403" s="6" t="n">
        <x:v>0</x:v>
      </x:c>
      <x:c r="V1403" s="6" t="n">
        <x:v>0</x:v>
      </x:c>
      <x:c r="W1403" s="6" t="n">
        <x:v>0</x:v>
      </x:c>
      <x:c r="X1403" s="6" t="n">
        <x:v>0</x:v>
      </x:c>
      <x:c r="Y1403" s="6" t="n">
        <x:v>0</x:v>
      </x:c>
      <x:c r="Z1403" s="6" t="n">
        <x:v>0</x:v>
      </x:c>
      <x:c r="AA1403" s="6" t="n">
        <x:v>3</x:v>
      </x:c>
      <x:c r="AB1403" s="6" t="n">
        <x:v>11</x:v>
      </x:c>
      <x:c r="AC1403" s="6" t="n">
        <x:v>0</x:v>
      </x:c>
    </x:row>
    <x:row r="1404">
      <x:c r="A1404" s="6" t="n">
        <x:v>2534</x:v>
      </x:c>
      <x:c r="B1404" s="6" t="n">
        <x:v>1953</x:v>
      </x:c>
      <x:c r="C1404" s="6" t="str">
        <x:v>Graduation</x:v>
      </x:c>
      <x:c r="D1404" s="6" t="str">
        <x:v>Married</x:v>
      </x:c>
      <x:c r="E1404" s="6" t="n">
        <x:v>37716</x:v>
      </x:c>
      <x:c r="F1404" s="6" t="n">
        <x:v>0</x:v>
      </x:c>
      <x:c r="G1404" s="6" t="n">
        <x:v>1</x:v>
      </x:c>
      <x:c r="H1404" s="9" t="str">
        <x:v>21-04-2014</x:v>
      </x:c>
      <x:c r="I1404" s="6" t="n">
        <x:v>4</x:v>
      </x:c>
      <x:c r="J1404" s="6" t="n">
        <x:v>97</x:v>
      </x:c>
      <x:c r="K1404" s="6" t="n">
        <x:v>1</x:v>
      </x:c>
      <x:c r="L1404" s="6" t="n">
        <x:v>41</x:v>
      </x:c>
      <x:c r="M1404" s="6" t="n">
        <x:v>6</x:v>
      </x:c>
      <x:c r="N1404" s="6" t="n">
        <x:v>2</x:v>
      </x:c>
      <x:c r="O1404" s="6" t="n">
        <x:v>41</x:v>
      </x:c>
      <x:c r="P1404" s="6" t="n">
        <x:v>2</x:v>
      </x:c>
      <x:c r="Q1404" s="6" t="n">
        <x:v>4</x:v>
      </x:c>
      <x:c r="R1404" s="6" t="n">
        <x:v>1</x:v>
      </x:c>
      <x:c r="S1404" s="6" t="n">
        <x:v>3</x:v>
      </x:c>
      <x:c r="T1404" s="6" t="n">
        <x:v>7</x:v>
      </x:c>
      <x:c r="U1404" s="6" t="n">
        <x:v>0</x:v>
      </x:c>
      <x:c r="V1404" s="6" t="n">
        <x:v>0</x:v>
      </x:c>
      <x:c r="W1404" s="6" t="n">
        <x:v>0</x:v>
      </x:c>
      <x:c r="X1404" s="6" t="n">
        <x:v>0</x:v>
      </x:c>
      <x:c r="Y1404" s="6" t="n">
        <x:v>0</x:v>
      </x:c>
      <x:c r="Z1404" s="6" t="n">
        <x:v>0</x:v>
      </x:c>
      <x:c r="AA1404" s="6" t="n">
        <x:v>3</x:v>
      </x:c>
      <x:c r="AB1404" s="6" t="n">
        <x:v>11</x:v>
      </x:c>
      <x:c r="AC1404" s="6" t="n">
        <x:v>0</x:v>
      </x:c>
    </x:row>
    <x:row r="1405">
      <x:c r="A1405" s="6" t="n">
        <x:v>4188</x:v>
      </x:c>
      <x:c r="B1405" s="6" t="n">
        <x:v>1957</x:v>
      </x:c>
      <x:c r="C1405" s="6" t="str">
        <x:v>Graduation</x:v>
      </x:c>
      <x:c r="D1405" s="6" t="str">
        <x:v>Single</x:v>
      </x:c>
      <x:c r="E1405" s="6" t="n">
        <x:v>36864</x:v>
      </x:c>
      <x:c r="F1405" s="6" t="n">
        <x:v>0</x:v>
      </x:c>
      <x:c r="G1405" s="6" t="n">
        <x:v>1</x:v>
      </x:c>
      <x:c r="H1405" s="9" t="str">
        <x:v>13-08-2012</x:v>
      </x:c>
      <x:c r="I1405" s="6" t="n">
        <x:v>53</x:v>
      </x:c>
      <x:c r="J1405" s="6" t="n">
        <x:v>204</x:v>
      </x:c>
      <x:c r="K1405" s="6" t="n">
        <x:v>5</x:v>
      </x:c>
      <x:c r="L1405" s="6" t="n">
        <x:v>39</x:v>
      </x:c>
      <x:c r="M1405" s="6" t="n">
        <x:v>17</x:v>
      </x:c>
      <x:c r="N1405" s="6" t="n">
        <x:v>0</x:v>
      </x:c>
      <x:c r="O1405" s="6" t="n">
        <x:v>89</x:v>
      </x:c>
      <x:c r="P1405" s="6" t="n">
        <x:v>3</x:v>
      </x:c>
      <x:c r="Q1405" s="6" t="n">
        <x:v>5</x:v>
      </x:c>
      <x:c r="R1405" s="6" t="n">
        <x:v>2</x:v>
      </x:c>
      <x:c r="S1405" s="6" t="n">
        <x:v>4</x:v>
      </x:c>
      <x:c r="T1405" s="6" t="n">
        <x:v>8</x:v>
      </x:c>
      <x:c r="U1405" s="6" t="n">
        <x:v>0</x:v>
      </x:c>
      <x:c r="V1405" s="6" t="n">
        <x:v>0</x:v>
      </x:c>
      <x:c r="W1405" s="6" t="n">
        <x:v>0</x:v>
      </x:c>
      <x:c r="X1405" s="6" t="n">
        <x:v>0</x:v>
      </x:c>
      <x:c r="Y1405" s="6" t="n">
        <x:v>0</x:v>
      </x:c>
      <x:c r="Z1405" s="6" t="n">
        <x:v>0</x:v>
      </x:c>
      <x:c r="AA1405" s="6" t="n">
        <x:v>3</x:v>
      </x:c>
      <x:c r="AB1405" s="6" t="n">
        <x:v>11</x:v>
      </x:c>
      <x:c r="AC1405" s="6" t="n">
        <x:v>1</x:v>
      </x:c>
    </x:row>
    <x:row r="1406">
      <x:c r="A1406" s="6" t="n">
        <x:v>6613</x:v>
      </x:c>
      <x:c r="B1406" s="6" t="n">
        <x:v>1970</x:v>
      </x:c>
      <x:c r="C1406" s="6" t="str">
        <x:v>Master</x:v>
      </x:c>
      <x:c r="D1406" s="6" t="str">
        <x:v>Married</x:v>
      </x:c>
      <x:c r="E1406" s="6" t="n">
        <x:v>44511</x:v>
      </x:c>
      <x:c r="F1406" s="6" t="n">
        <x:v>1</x:v>
      </x:c>
      <x:c r="G1406" s="6" t="n">
        <x:v>0</x:v>
      </x:c>
      <x:c r="H1406" s="9" t="str">
        <x:v>12-10-2012</x:v>
      </x:c>
      <x:c r="I1406" s="6" t="n">
        <x:v>39</x:v>
      </x:c>
      <x:c r="J1406" s="6" t="n">
        <x:v>513</x:v>
      </x:c>
      <x:c r="K1406" s="6" t="n">
        <x:v>7</x:v>
      </x:c>
      <x:c r="L1406" s="6" t="n">
        <x:v>133</x:v>
      </x:c>
      <x:c r="M1406" s="6" t="n">
        <x:v>46</x:v>
      </x:c>
      <x:c r="N1406" s="6" t="n">
        <x:v>14</x:v>
      </x:c>
      <x:c r="O1406" s="6" t="n">
        <x:v>14</x:v>
      </x:c>
      <x:c r="P1406" s="6" t="n">
        <x:v>6</x:v>
      </x:c>
      <x:c r="Q1406" s="6" t="n">
        <x:v>8</x:v>
      </x:c>
      <x:c r="R1406" s="6" t="n">
        <x:v>4</x:v>
      </x:c>
      <x:c r="S1406" s="6" t="n">
        <x:v>8</x:v>
      </x:c>
      <x:c r="T1406" s="6" t="n">
        <x:v>8</x:v>
      </x:c>
      <x:c r="U1406" s="6" t="n">
        <x:v>0</x:v>
      </x:c>
      <x:c r="V1406" s="6" t="n">
        <x:v>0</x:v>
      </x:c>
      <x:c r="W1406" s="6" t="n">
        <x:v>0</x:v>
      </x:c>
      <x:c r="X1406" s="6" t="n">
        <x:v>0</x:v>
      </x:c>
      <x:c r="Y1406" s="6" t="n">
        <x:v>0</x:v>
      </x:c>
      <x:c r="Z1406" s="6" t="n">
        <x:v>0</x:v>
      </x:c>
      <x:c r="AA1406" s="6" t="n">
        <x:v>3</x:v>
      </x:c>
      <x:c r="AB1406" s="6" t="n">
        <x:v>11</x:v>
      </x:c>
      <x:c r="AC1406" s="6" t="n">
        <x:v>0</x:v>
      </x:c>
    </x:row>
    <x:row r="1407">
      <x:c r="A1407" s="6" t="n">
        <x:v>10827</x:v>
      </x:c>
      <x:c r="B1407" s="6" t="n">
        <x:v>1967</x:v>
      </x:c>
      <x:c r="C1407" s="6" t="str">
        <x:v>PhD</x:v>
      </x:c>
      <x:c r="D1407" s="6" t="str">
        <x:v>Married</x:v>
      </x:c>
      <x:c r="E1407" s="6" t="n">
        <x:v>36947</x:v>
      </x:c>
      <x:c r="F1407" s="6" t="n">
        <x:v>1</x:v>
      </x:c>
      <x:c r="G1407" s="6" t="n">
        <x:v>1</x:v>
      </x:c>
      <x:c r="H1407" s="9" t="str">
        <x:v>07-08-2012</x:v>
      </x:c>
      <x:c r="I1407" s="6" t="n">
        <x:v>49</x:v>
      </x:c>
      <x:c r="J1407" s="6" t="n">
        <x:v>88</x:v>
      </x:c>
      <x:c r="K1407" s="6" t="n">
        <x:v>3</x:v>
      </x:c>
      <x:c r="L1407" s="6" t="n">
        <x:v>21</x:v>
      </x:c>
      <x:c r="M1407" s="6" t="n">
        <x:v>4</x:v>
      </x:c>
      <x:c r="N1407" s="6" t="n">
        <x:v>1</x:v>
      </x:c>
      <x:c r="O1407" s="6" t="n">
        <x:v>29</x:v>
      </x:c>
      <x:c r="P1407" s="6" t="n">
        <x:v>4</x:v>
      </x:c>
      <x:c r="Q1407" s="6" t="n">
        <x:v>3</x:v>
      </x:c>
      <x:c r="R1407" s="6" t="n">
        <x:v>0</x:v>
      </x:c>
      <x:c r="S1407" s="6" t="n">
        <x:v>4</x:v>
      </x:c>
      <x:c r="T1407" s="6" t="n">
        <x:v>9</x:v>
      </x:c>
      <x:c r="U1407" s="6" t="n">
        <x:v>0</x:v>
      </x:c>
      <x:c r="V1407" s="6" t="n">
        <x:v>0</x:v>
      </x:c>
      <x:c r="W1407" s="6" t="n">
        <x:v>0</x:v>
      </x:c>
      <x:c r="X1407" s="6" t="n">
        <x:v>0</x:v>
      </x:c>
      <x:c r="Y1407" s="6" t="n">
        <x:v>0</x:v>
      </x:c>
      <x:c r="Z1407" s="6" t="n">
        <x:v>0</x:v>
      </x:c>
      <x:c r="AA1407" s="6" t="n">
        <x:v>3</x:v>
      </x:c>
      <x:c r="AB1407" s="6" t="n">
        <x:v>11</x:v>
      </x:c>
      <x:c r="AC1407" s="6" t="n">
        <x:v>0</x:v>
      </x:c>
    </x:row>
    <x:row r="1408">
      <x:c r="A1408" s="6" t="n">
        <x:v>5491</x:v>
      </x:c>
      <x:c r="B1408" s="6" t="n">
        <x:v>1951</x:v>
      </x:c>
      <x:c r="C1408" s="6" t="str">
        <x:v>Master</x:v>
      </x:c>
      <x:c r="D1408" s="6" t="str">
        <x:v>Together</x:v>
      </x:c>
      <x:c r="E1408" s="6" t="n">
        <x:v>47352</x:v>
      </x:c>
      <x:c r="F1408" s="6" t="n">
        <x:v>0</x:v>
      </x:c>
      <x:c r="G1408" s="6" t="n">
        <x:v>1</x:v>
      </x:c>
      <x:c r="H1408" s="9" t="str">
        <x:v>11-04-2013</x:v>
      </x:c>
      <x:c r="I1408" s="6" t="n">
        <x:v>70</x:v>
      </x:c>
      <x:c r="J1408" s="6" t="n">
        <x:v>172</x:v>
      </x:c>
      <x:c r="K1408" s="6" t="n">
        <x:v>12</x:v>
      </x:c>
      <x:c r="L1408" s="6" t="n">
        <x:v>112</x:v>
      </x:c>
      <x:c r="M1408" s="6" t="n">
        <x:v>8</x:v>
      </x:c>
      <x:c r="N1408" s="6" t="n">
        <x:v>0</x:v>
      </x:c>
      <x:c r="O1408" s="6" t="n">
        <x:v>15</x:v>
      </x:c>
      <x:c r="P1408" s="6" t="n">
        <x:v>4</x:v>
      </x:c>
      <x:c r="Q1408" s="6" t="n">
        <x:v>6</x:v>
      </x:c>
      <x:c r="R1408" s="6" t="n">
        <x:v>1</x:v>
      </x:c>
      <x:c r="S1408" s="6" t="n">
        <x:v>5</x:v>
      </x:c>
      <x:c r="T1408" s="6" t="n">
        <x:v>7</x:v>
      </x:c>
      <x:c r="U1408" s="6" t="n">
        <x:v>0</x:v>
      </x:c>
      <x:c r="V1408" s="6" t="n">
        <x:v>0</x:v>
      </x:c>
      <x:c r="W1408" s="6" t="n">
        <x:v>0</x:v>
      </x:c>
      <x:c r="X1408" s="6" t="n">
        <x:v>0</x:v>
      </x:c>
      <x:c r="Y1408" s="6" t="n">
        <x:v>0</x:v>
      </x:c>
      <x:c r="Z1408" s="6" t="n">
        <x:v>0</x:v>
      </x:c>
      <x:c r="AA1408" s="6" t="n">
        <x:v>3</x:v>
      </x:c>
      <x:c r="AB1408" s="6" t="n">
        <x:v>11</x:v>
      </x:c>
      <x:c r="AC1408" s="6" t="n">
        <x:v>0</x:v>
      </x:c>
    </x:row>
    <x:row r="1409">
      <x:c r="A1409" s="6" t="n">
        <x:v>8402</x:v>
      </x:c>
      <x:c r="B1409" s="6" t="n">
        <x:v>1953</x:v>
      </x:c>
      <x:c r="C1409" s="6" t="str">
        <x:v>Master</x:v>
      </x:c>
      <x:c r="D1409" s="6" t="str">
        <x:v>Married</x:v>
      </x:c>
      <x:c r="E1409" s="6" t="n">
        <x:v>67087</x:v>
      </x:c>
      <x:c r="F1409" s="6" t="n">
        <x:v>0</x:v>
      </x:c>
      <x:c r="G1409" s="6" t="n">
        <x:v>1</x:v>
      </x:c>
      <x:c r="H1409" s="9" t="str">
        <x:v>17-12-2013</x:v>
      </x:c>
      <x:c r="I1409" s="6" t="n">
        <x:v>40</x:v>
      </x:c>
      <x:c r="J1409" s="6" t="n">
        <x:v>329</x:v>
      </x:c>
      <x:c r="K1409" s="6" t="n">
        <x:v>35</x:v>
      </x:c>
      <x:c r="L1409" s="6" t="n">
        <x:v>222</x:v>
      </x:c>
      <x:c r="M1409" s="6" t="n">
        <x:v>130</x:v>
      </x:c>
      <x:c r="N1409" s="6" t="n">
        <x:v>35</x:v>
      </x:c>
      <x:c r="O1409" s="6" t="n">
        <x:v>43</x:v>
      </x:c>
      <x:c r="P1409" s="6" t="n">
        <x:v>2</x:v>
      </x:c>
      <x:c r="Q1409" s="6" t="n">
        <x:v>7</x:v>
      </x:c>
      <x:c r="R1409" s="6" t="n">
        <x:v>5</x:v>
      </x:c>
      <x:c r="S1409" s="6" t="n">
        <x:v>8</x:v>
      </x:c>
      <x:c r="T1409" s="6" t="n">
        <x:v>4</x:v>
      </x:c>
      <x:c r="U1409" s="6" t="n">
        <x:v>0</x:v>
      </x:c>
      <x:c r="V1409" s="6" t="n">
        <x:v>0</x:v>
      </x:c>
      <x:c r="W1409" s="6" t="n">
        <x:v>0</x:v>
      </x:c>
      <x:c r="X1409" s="6" t="n">
        <x:v>0</x:v>
      </x:c>
      <x:c r="Y1409" s="6" t="n">
        <x:v>0</x:v>
      </x:c>
      <x:c r="Z1409" s="6" t="n">
        <x:v>0</x:v>
      </x:c>
      <x:c r="AA1409" s="6" t="n">
        <x:v>3</x:v>
      </x:c>
      <x:c r="AB1409" s="6" t="n">
        <x:v>11</x:v>
      </x:c>
      <x:c r="AC1409" s="6" t="n">
        <x:v>0</x:v>
      </x:c>
    </x:row>
    <x:row r="1410">
      <x:c r="A1410" s="6" t="n">
        <x:v>8783</x:v>
      </x:c>
      <x:c r="B1410" s="6" t="n">
        <x:v>1950</x:v>
      </x:c>
      <x:c r="C1410" s="6" t="str">
        <x:v>Graduation</x:v>
      </x:c>
      <x:c r="D1410" s="6" t="str">
        <x:v>Married</x:v>
      </x:c>
      <x:c r="E1410" s="6" t="n">
        <x:v>57045</x:v>
      </x:c>
      <x:c r="F1410" s="6" t="n">
        <x:v>0</x:v>
      </x:c>
      <x:c r="G1410" s="6" t="n">
        <x:v>1</x:v>
      </x:c>
      <x:c r="H1410" s="9" t="str">
        <x:v>08-09-2012</x:v>
      </x:c>
      <x:c r="I1410" s="6" t="n">
        <x:v>40</x:v>
      </x:c>
      <x:c r="J1410" s="6" t="n">
        <x:v>296</x:v>
      </x:c>
      <x:c r="K1410" s="6" t="n">
        <x:v>13</x:v>
      </x:c>
      <x:c r="L1410" s="6" t="n">
        <x:v>104</x:v>
      </x:c>
      <x:c r="M1410" s="6" t="n">
        <x:v>11</x:v>
      </x:c>
      <x:c r="N1410" s="6" t="n">
        <x:v>13</x:v>
      </x:c>
      <x:c r="O1410" s="6" t="n">
        <x:v>17</x:v>
      </x:c>
      <x:c r="P1410" s="6" t="n">
        <x:v>3</x:v>
      </x:c>
      <x:c r="Q1410" s="6" t="n">
        <x:v>4</x:v>
      </x:c>
      <x:c r="R1410" s="6" t="n">
        <x:v>2</x:v>
      </x:c>
      <x:c r="S1410" s="6" t="n">
        <x:v>9</x:v>
      </x:c>
      <x:c r="T1410" s="6" t="n">
        <x:v>3</x:v>
      </x:c>
      <x:c r="U1410" s="6" t="n">
        <x:v>0</x:v>
      </x:c>
      <x:c r="V1410" s="6" t="n">
        <x:v>0</x:v>
      </x:c>
      <x:c r="W1410" s="6" t="n">
        <x:v>0</x:v>
      </x:c>
      <x:c r="X1410" s="6" t="n">
        <x:v>0</x:v>
      </x:c>
      <x:c r="Y1410" s="6" t="n">
        <x:v>0</x:v>
      </x:c>
      <x:c r="Z1410" s="6" t="n">
        <x:v>0</x:v>
      </x:c>
      <x:c r="AA1410" s="6" t="n">
        <x:v>3</x:v>
      </x:c>
      <x:c r="AB1410" s="6" t="n">
        <x:v>11</x:v>
      </x:c>
      <x:c r="AC1410" s="6" t="n">
        <x:v>0</x:v>
      </x:c>
    </x:row>
    <x:row r="1411">
      <x:c r="A1411" s="6" t="n">
        <x:v>10010</x:v>
      </x:c>
      <x:c r="B1411" s="6" t="n">
        <x:v>1953</x:v>
      </x:c>
      <x:c r="C1411" s="6" t="str">
        <x:v>PhD</x:v>
      </x:c>
      <x:c r="D1411" s="6" t="str">
        <x:v>Divorced</x:v>
      </x:c>
      <x:c r="E1411" s="6" t="n">
        <x:v>36957</x:v>
      </x:c>
      <x:c r="F1411" s="6" t="n">
        <x:v>1</x:v>
      </x:c>
      <x:c r="G1411" s="6" t="n">
        <x:v>1</x:v>
      </x:c>
      <x:c r="H1411" s="9" t="str">
        <x:v>06-09-2012</x:v>
      </x:c>
      <x:c r="I1411" s="6" t="n">
        <x:v>43</x:v>
      </x:c>
      <x:c r="J1411" s="6" t="n">
        <x:v>100</x:v>
      </x:c>
      <x:c r="K1411" s="6" t="n">
        <x:v>2</x:v>
      </x:c>
      <x:c r="L1411" s="6" t="n">
        <x:v>16</x:v>
      </x:c>
      <x:c r="M1411" s="6" t="n">
        <x:v>2</x:v>
      </x:c>
      <x:c r="N1411" s="6" t="n">
        <x:v>1</x:v>
      </x:c>
      <x:c r="O1411" s="6" t="n">
        <x:v>31</x:v>
      </x:c>
      <x:c r="P1411" s="6" t="n">
        <x:v>4</x:v>
      </x:c>
      <x:c r="Q1411" s="6" t="n">
        <x:v>3</x:v>
      </x:c>
      <x:c r="R1411" s="6" t="n">
        <x:v>2</x:v>
      </x:c>
      <x:c r="S1411" s="6" t="n">
        <x:v>2</x:v>
      </x:c>
      <x:c r="T1411" s="6" t="n">
        <x:v>9</x:v>
      </x:c>
      <x:c r="U1411" s="6" t="n">
        <x:v>0</x:v>
      </x:c>
      <x:c r="V1411" s="6" t="n">
        <x:v>0</x:v>
      </x:c>
      <x:c r="W1411" s="6" t="n">
        <x:v>0</x:v>
      </x:c>
      <x:c r="X1411" s="6" t="n">
        <x:v>0</x:v>
      </x:c>
      <x:c r="Y1411" s="6" t="n">
        <x:v>0</x:v>
      </x:c>
      <x:c r="Z1411" s="6" t="n">
        <x:v>0</x:v>
      </x:c>
      <x:c r="AA1411" s="6" t="n">
        <x:v>3</x:v>
      </x:c>
      <x:c r="AB1411" s="6" t="n">
        <x:v>11</x:v>
      </x:c>
      <x:c r="AC1411" s="6" t="n">
        <x:v>1</x:v>
      </x:c>
    </x:row>
    <x:row r="1412">
      <x:c r="A1412" s="6" t="n">
        <x:v>618</x:v>
      </x:c>
      <x:c r="B1412" s="6" t="n">
        <x:v>1977</x:v>
      </x:c>
      <x:c r="C1412" s="6" t="str">
        <x:v>PhD</x:v>
      </x:c>
      <x:c r="D1412" s="6" t="str">
        <x:v>Married</x:v>
      </x:c>
      <x:c r="E1412" s="6" t="n">
        <x:v>69389</x:v>
      </x:c>
      <x:c r="F1412" s="6" t="n">
        <x:v>0</x:v>
      </x:c>
      <x:c r="G1412" s="6" t="n">
        <x:v>1</x:v>
      </x:c>
      <x:c r="H1412" s="9" t="str">
        <x:v>28-09-2012</x:v>
      </x:c>
      <x:c r="I1412" s="6" t="n">
        <x:v>17</x:v>
      </x:c>
      <x:c r="J1412" s="6" t="n">
        <x:v>422</x:v>
      </x:c>
      <x:c r="K1412" s="6" t="n">
        <x:v>7</x:v>
      </x:c>
      <x:c r="L1412" s="6" t="n">
        <x:v>238</x:v>
      </x:c>
      <x:c r="M1412" s="6" t="n">
        <x:v>69</x:v>
      </x:c>
      <x:c r="N1412" s="6" t="n">
        <x:v>46</x:v>
      </x:c>
      <x:c r="O1412" s="6" t="n">
        <x:v>15</x:v>
      </x:c>
      <x:c r="P1412" s="6" t="n">
        <x:v>1</x:v>
      </x:c>
      <x:c r="Q1412" s="6" t="n">
        <x:v>7</x:v>
      </x:c>
      <x:c r="R1412" s="6" t="n">
        <x:v>2</x:v>
      </x:c>
      <x:c r="S1412" s="6" t="n">
        <x:v>12</x:v>
      </x:c>
      <x:c r="T1412" s="6" t="n">
        <x:v>4</x:v>
      </x:c>
      <x:c r="U1412" s="6" t="n">
        <x:v>0</x:v>
      </x:c>
      <x:c r="V1412" s="6" t="n">
        <x:v>0</x:v>
      </x:c>
      <x:c r="W1412" s="6" t="n">
        <x:v>0</x:v>
      </x:c>
      <x:c r="X1412" s="6" t="n">
        <x:v>0</x:v>
      </x:c>
      <x:c r="Y1412" s="6" t="n">
        <x:v>0</x:v>
      </x:c>
      <x:c r="Z1412" s="6" t="n">
        <x:v>0</x:v>
      </x:c>
      <x:c r="AA1412" s="6" t="n">
        <x:v>3</x:v>
      </x:c>
      <x:c r="AB1412" s="6" t="n">
        <x:v>11</x:v>
      </x:c>
      <x:c r="AC1412" s="6" t="n">
        <x:v>0</x:v>
      </x:c>
    </x:row>
    <x:row r="1413">
      <x:c r="A1413" s="6" t="n">
        <x:v>9121</x:v>
      </x:c>
      <x:c r="B1413" s="6" t="n">
        <x:v>1972</x:v>
      </x:c>
      <x:c r="C1413" s="6" t="str">
        <x:v>Graduation</x:v>
      </x:c>
      <x:c r="D1413" s="6" t="str">
        <x:v>Married</x:v>
      </x:c>
      <x:c r="E1413" s="6" t="n">
        <x:v>80134</x:v>
      </x:c>
      <x:c r="F1413" s="6" t="n">
        <x:v>1</x:v>
      </x:c>
      <x:c r="G1413" s="6" t="n">
        <x:v>0</x:v>
      </x:c>
      <x:c r="H1413" s="9" t="str">
        <x:v>20-05-2013</x:v>
      </x:c>
      <x:c r="I1413" s="6" t="n">
        <x:v>40</x:v>
      </x:c>
      <x:c r="J1413" s="6" t="n">
        <x:v>1218</x:v>
      </x:c>
      <x:c r="K1413" s="6" t="n">
        <x:v>16</x:v>
      </x:c>
      <x:c r="L1413" s="6" t="n">
        <x:v>272</x:v>
      </x:c>
      <x:c r="M1413" s="6" t="n">
        <x:v>104</x:v>
      </x:c>
      <x:c r="N1413" s="6" t="n">
        <x:v>0</x:v>
      </x:c>
      <x:c r="O1413" s="6" t="n">
        <x:v>80</x:v>
      </x:c>
      <x:c r="P1413" s="6" t="n">
        <x:v>2</x:v>
      </x:c>
      <x:c r="Q1413" s="6" t="n">
        <x:v>5</x:v>
      </x:c>
      <x:c r="R1413" s="6" t="n">
        <x:v>3</x:v>
      </x:c>
      <x:c r="S1413" s="6" t="n">
        <x:v>6</x:v>
      </x:c>
      <x:c r="T1413" s="6" t="n">
        <x:v>6</x:v>
      </x:c>
      <x:c r="U1413" s="6" t="n">
        <x:v>0</x:v>
      </x:c>
      <x:c r="V1413" s="6" t="n">
        <x:v>1</x:v>
      </x:c>
      <x:c r="W1413" s="6" t="n">
        <x:v>1</x:v>
      </x:c>
      <x:c r="X1413" s="6" t="n">
        <x:v>1</x:v>
      </x:c>
      <x:c r="Y1413" s="6" t="n">
        <x:v>0</x:v>
      </x:c>
      <x:c r="Z1413" s="6" t="n">
        <x:v>0</x:v>
      </x:c>
      <x:c r="AA1413" s="6" t="n">
        <x:v>3</x:v>
      </x:c>
      <x:c r="AB1413" s="6" t="n">
        <x:v>11</x:v>
      </x:c>
      <x:c r="AC1413" s="6" t="n">
        <x:v>1</x:v>
      </x:c>
    </x:row>
    <x:row r="1414">
      <x:c r="A1414" s="6" t="n">
        <x:v>361</x:v>
      </x:c>
      <x:c r="B1414" s="6" t="n">
        <x:v>1969</x:v>
      </x:c>
      <x:c r="C1414" s="6" t="str">
        <x:v>Master</x:v>
      </x:c>
      <x:c r="D1414" s="6" t="str">
        <x:v>Married</x:v>
      </x:c>
      <x:c r="E1414" s="6" t="n">
        <x:v>43142</x:v>
      </x:c>
      <x:c r="F1414" s="6" t="n">
        <x:v>1</x:v>
      </x:c>
      <x:c r="G1414" s="6" t="n">
        <x:v>1</x:v>
      </x:c>
      <x:c r="H1414" s="9" t="str">
        <x:v>18-02-2014</x:v>
      </x:c>
      <x:c r="I1414" s="6" t="n">
        <x:v>84</x:v>
      </x:c>
      <x:c r="J1414" s="6" t="n">
        <x:v>5</x:v>
      </x:c>
      <x:c r="K1414" s="6" t="n">
        <x:v>1</x:v>
      </x:c>
      <x:c r="L1414" s="6" t="n">
        <x:v>7</x:v>
      </x:c>
      <x:c r="M1414" s="6" t="n">
        <x:v>2</x:v>
      </x:c>
      <x:c r="N1414" s="6" t="n">
        <x:v>1</x:v>
      </x:c>
      <x:c r="O1414" s="6" t="n">
        <x:v>4</x:v>
      </x:c>
      <x:c r="P1414" s="6" t="n">
        <x:v>1</x:v>
      </x:c>
      <x:c r="Q1414" s="6" t="n">
        <x:v>1</x:v>
      </x:c>
      <x:c r="R1414" s="6" t="n">
        <x:v>0</x:v>
      </x:c>
      <x:c r="S1414" s="6" t="n">
        <x:v>2</x:v>
      </x:c>
      <x:c r="T1414" s="6" t="n">
        <x:v>7</x:v>
      </x:c>
      <x:c r="U1414" s="6" t="n">
        <x:v>0</x:v>
      </x:c>
      <x:c r="V1414" s="6" t="n">
        <x:v>0</x:v>
      </x:c>
      <x:c r="W1414" s="6" t="n">
        <x:v>0</x:v>
      </x:c>
      <x:c r="X1414" s="6" t="n">
        <x:v>0</x:v>
      </x:c>
      <x:c r="Y1414" s="6" t="n">
        <x:v>0</x:v>
      </x:c>
      <x:c r="Z1414" s="6" t="n">
        <x:v>0</x:v>
      </x:c>
      <x:c r="AA1414" s="6" t="n">
        <x:v>3</x:v>
      </x:c>
      <x:c r="AB1414" s="6" t="n">
        <x:v>11</x:v>
      </x:c>
      <x:c r="AC1414" s="6" t="n">
        <x:v>0</x:v>
      </x:c>
    </x:row>
    <x:row r="1415">
      <x:c r="A1415" s="6" t="n">
        <x:v>4310</x:v>
      </x:c>
      <x:c r="B1415" s="6" t="n">
        <x:v>1944</x:v>
      </x:c>
      <x:c r="C1415" s="6" t="str">
        <x:v>Graduation</x:v>
      </x:c>
      <x:c r="D1415" s="6" t="str">
        <x:v>Married</x:v>
      </x:c>
      <x:c r="E1415" s="6" t="n">
        <x:v>80589</x:v>
      </x:c>
      <x:c r="F1415" s="6" t="n">
        <x:v>0</x:v>
      </x:c>
      <x:c r="G1415" s="6" t="n">
        <x:v>0</x:v>
      </x:c>
      <x:c r="H1415" s="9" t="str">
        <x:v>22-01-2014</x:v>
      </x:c>
      <x:c r="I1415" s="6" t="n">
        <x:v>25</x:v>
      </x:c>
      <x:c r="J1415" s="6" t="n">
        <x:v>507</x:v>
      </x:c>
      <x:c r="K1415" s="6" t="n">
        <x:v>93</x:v>
      </x:c>
      <x:c r="L1415" s="6" t="n">
        <x:v>520</x:v>
      </x:c>
      <x:c r="M1415" s="6" t="n">
        <x:v>242</x:v>
      </x:c>
      <x:c r="N1415" s="6" t="n">
        <x:v>40</x:v>
      </x:c>
      <x:c r="O1415" s="6" t="n">
        <x:v>26</x:v>
      </x:c>
      <x:c r="P1415" s="6" t="n">
        <x:v>1</x:v>
      </x:c>
      <x:c r="Q1415" s="6" t="n">
        <x:v>5</x:v>
      </x:c>
      <x:c r="R1415" s="6" t="n">
        <x:v>10</x:v>
      </x:c>
      <x:c r="S1415" s="6" t="n">
        <x:v>5</x:v>
      </x:c>
      <x:c r="T1415" s="6" t="n">
        <x:v>1</x:v>
      </x:c>
      <x:c r="U1415" s="6" t="n">
        <x:v>0</x:v>
      </x:c>
      <x:c r="V1415" s="6" t="n">
        <x:v>0</x:v>
      </x:c>
      <x:c r="W1415" s="6" t="n">
        <x:v>0</x:v>
      </x:c>
      <x:c r="X1415" s="6" t="n">
        <x:v>1</x:v>
      </x:c>
      <x:c r="Y1415" s="6" t="n">
        <x:v>0</x:v>
      </x:c>
      <x:c r="Z1415" s="6" t="n">
        <x:v>0</x:v>
      </x:c>
      <x:c r="AA1415" s="6" t="n">
        <x:v>3</x:v>
      </x:c>
      <x:c r="AB1415" s="6" t="n">
        <x:v>11</x:v>
      </x:c>
      <x:c r="AC1415" s="6" t="n">
        <x:v>1</x:v>
      </x:c>
    </x:row>
    <x:row r="1416">
      <x:c r="A1416" s="6" t="n">
        <x:v>2678</x:v>
      </x:c>
      <x:c r="B1416" s="6" t="n">
        <x:v>1990</x:v>
      </x:c>
      <x:c r="C1416" s="6" t="str">
        <x:v>Graduation</x:v>
      </x:c>
      <x:c r="D1416" s="6" t="str">
        <x:v>Single</x:v>
      </x:c>
      <x:c r="E1416" s="6" t="n">
        <x:v>34412</x:v>
      </x:c>
      <x:c r="F1416" s="6" t="n">
        <x:v>1</x:v>
      </x:c>
      <x:c r="G1416" s="6" t="n">
        <x:v>0</x:v>
      </x:c>
      <x:c r="H1416" s="9" t="str">
        <x:v>13-02-2013</x:v>
      </x:c>
      <x:c r="I1416" s="6" t="n">
        <x:v>62</x:v>
      </x:c>
      <x:c r="J1416" s="6" t="n">
        <x:v>52</x:v>
      </x:c>
      <x:c r="K1416" s="6" t="n">
        <x:v>12</x:v>
      </x:c>
      <x:c r="L1416" s="6" t="n">
        <x:v>50</x:v>
      </x:c>
      <x:c r="M1416" s="6" t="n">
        <x:v>4</x:v>
      </x:c>
      <x:c r="N1416" s="6" t="n">
        <x:v>36</x:v>
      </x:c>
      <x:c r="O1416" s="6" t="n">
        <x:v>55</x:v>
      </x:c>
      <x:c r="P1416" s="6" t="n">
        <x:v>3</x:v>
      </x:c>
      <x:c r="Q1416" s="6" t="n">
        <x:v>5</x:v>
      </x:c>
      <x:c r="R1416" s="6" t="n">
        <x:v>0</x:v>
      </x:c>
      <x:c r="S1416" s="6" t="n">
        <x:v>3</x:v>
      </x:c>
      <x:c r="T1416" s="6" t="n">
        <x:v>9</x:v>
      </x:c>
      <x:c r="U1416" s="6" t="n">
        <x:v>0</x:v>
      </x:c>
      <x:c r="V1416" s="6" t="n">
        <x:v>0</x:v>
      </x:c>
      <x:c r="W1416" s="6" t="n">
        <x:v>0</x:v>
      </x:c>
      <x:c r="X1416" s="6" t="n">
        <x:v>0</x:v>
      </x:c>
      <x:c r="Y1416" s="6" t="n">
        <x:v>0</x:v>
      </x:c>
      <x:c r="Z1416" s="6" t="n">
        <x:v>0</x:v>
      </x:c>
      <x:c r="AA1416" s="6" t="n">
        <x:v>3</x:v>
      </x:c>
      <x:c r="AB1416" s="6" t="n">
        <x:v>11</x:v>
      </x:c>
      <x:c r="AC1416" s="6" t="n">
        <x:v>0</x:v>
      </x:c>
    </x:row>
    <x:row r="1417">
      <x:c r="A1417" s="6" t="n">
        <x:v>6376</x:v>
      </x:c>
      <x:c r="B1417" s="6" t="n">
        <x:v>1979</x:v>
      </x:c>
      <x:c r="C1417" s="6" t="str">
        <x:v>Graduation</x:v>
      </x:c>
      <x:c r="D1417" s="6" t="str">
        <x:v>Single</x:v>
      </x:c>
      <x:c r="E1417" s="6" t="n">
        <x:v>57537</x:v>
      </x:c>
      <x:c r="F1417" s="6" t="n">
        <x:v>1</x:v>
      </x:c>
      <x:c r="G1417" s="6" t="n">
        <x:v>0</x:v>
      </x:c>
      <x:c r="H1417" s="9" t="str">
        <x:v>10-06-2013</x:v>
      </x:c>
      <x:c r="I1417" s="6" t="n">
        <x:v>83</x:v>
      </x:c>
      <x:c r="J1417" s="6" t="n">
        <x:v>191</x:v>
      </x:c>
      <x:c r="K1417" s="6" t="n">
        <x:v>56</x:v>
      </x:c>
      <x:c r="L1417" s="6" t="n">
        <x:v>139</x:v>
      </x:c>
      <x:c r="M1417" s="6" t="n">
        <x:v>51</x:v>
      </x:c>
      <x:c r="N1417" s="6" t="n">
        <x:v>8</x:v>
      </x:c>
      <x:c r="O1417" s="6" t="n">
        <x:v>100</x:v>
      </x:c>
      <x:c r="P1417" s="6" t="n">
        <x:v>4</x:v>
      </x:c>
      <x:c r="Q1417" s="6" t="n">
        <x:v>4</x:v>
      </x:c>
      <x:c r="R1417" s="6" t="n">
        <x:v>3</x:v>
      </x:c>
      <x:c r="S1417" s="6" t="n">
        <x:v>8</x:v>
      </x:c>
      <x:c r="T1417" s="6" t="n">
        <x:v>4</x:v>
      </x:c>
      <x:c r="U1417" s="6" t="n">
        <x:v>0</x:v>
      </x:c>
      <x:c r="V1417" s="6" t="n">
        <x:v>0</x:v>
      </x:c>
      <x:c r="W1417" s="6" t="n">
        <x:v>0</x:v>
      </x:c>
      <x:c r="X1417" s="6" t="n">
        <x:v>0</x:v>
      </x:c>
      <x:c r="Y1417" s="6" t="n">
        <x:v>0</x:v>
      </x:c>
      <x:c r="Z1417" s="6" t="n">
        <x:v>0</x:v>
      </x:c>
      <x:c r="AA1417" s="6" t="n">
        <x:v>3</x:v>
      </x:c>
      <x:c r="AB1417" s="6" t="n">
        <x:v>11</x:v>
      </x:c>
      <x:c r="AC1417" s="6" t="n">
        <x:v>0</x:v>
      </x:c>
    </x:row>
    <x:row r="1418">
      <x:c r="A1418" s="6" t="n">
        <x:v>524</x:v>
      </x:c>
      <x:c r="B1418" s="6" t="n">
        <x:v>1966</x:v>
      </x:c>
      <x:c r="C1418" s="6" t="str">
        <x:v>Basic</x:v>
      </x:c>
      <x:c r="D1418" s="6" t="str">
        <x:v>Together</x:v>
      </x:c>
      <x:c r="E1418" s="6" t="n">
        <x:v>22634</x:v>
      </x:c>
      <x:c r="F1418" s="6" t="n">
        <x:v>0</x:v>
      </x:c>
      <x:c r="G1418" s="6" t="n">
        <x:v>0</x:v>
      </x:c>
      <x:c r="H1418" s="9" t="str">
        <x:v>16-01-2013</x:v>
      </x:c>
      <x:c r="I1418" s="6" t="n">
        <x:v>47</x:v>
      </x:c>
      <x:c r="J1418" s="6" t="n">
        <x:v>2</x:v>
      </x:c>
      <x:c r="K1418" s="6" t="n">
        <x:v>23</x:v>
      </x:c>
      <x:c r="L1418" s="6" t="n">
        <x:v>11</x:v>
      </x:c>
      <x:c r="M1418" s="6" t="n">
        <x:v>8</x:v>
      </x:c>
      <x:c r="N1418" s="6" t="n">
        <x:v>6</x:v>
      </x:c>
      <x:c r="O1418" s="6" t="n">
        <x:v>46</x:v>
      </x:c>
      <x:c r="P1418" s="6" t="n">
        <x:v>1</x:v>
      </x:c>
      <x:c r="Q1418" s="6" t="n">
        <x:v>2</x:v>
      </x:c>
      <x:c r="R1418" s="6" t="n">
        <x:v>1</x:v>
      </x:c>
      <x:c r="S1418" s="6" t="n">
        <x:v>2</x:v>
      </x:c>
      <x:c r="T1418" s="6" t="n">
        <x:v>8</x:v>
      </x:c>
      <x:c r="U1418" s="6" t="n">
        <x:v>0</x:v>
      </x:c>
      <x:c r="V1418" s="6" t="n">
        <x:v>0</x:v>
      </x:c>
      <x:c r="W1418" s="6" t="n">
        <x:v>0</x:v>
      </x:c>
      <x:c r="X1418" s="6" t="n">
        <x:v>0</x:v>
      </x:c>
      <x:c r="Y1418" s="6" t="n">
        <x:v>0</x:v>
      </x:c>
      <x:c r="Z1418" s="6" t="n">
        <x:v>0</x:v>
      </x:c>
      <x:c r="AA1418" s="6" t="n">
        <x:v>3</x:v>
      </x:c>
      <x:c r="AB1418" s="6" t="n">
        <x:v>11</x:v>
      </x:c>
      <x:c r="AC1418" s="6" t="n">
        <x:v>0</x:v>
      </x:c>
    </x:row>
    <x:row r="1419">
      <x:c r="A1419" s="6" t="n">
        <x:v>10341</x:v>
      </x:c>
      <x:c r="B1419" s="6" t="n">
        <x:v>1948</x:v>
      </x:c>
      <x:c r="C1419" s="6" t="str">
        <x:v>Graduation</x:v>
      </x:c>
      <x:c r="D1419" s="6" t="str">
        <x:v>Together</x:v>
      </x:c>
      <x:c r="E1419" s="6" t="n">
        <x:v>51315</x:v>
      </x:c>
      <x:c r="F1419" s="6" t="n">
        <x:v>0</x:v>
      </x:c>
      <x:c r="G1419" s="6" t="n">
        <x:v>0</x:v>
      </x:c>
      <x:c r="H1419" s="9" t="str">
        <x:v>23-02-2014</x:v>
      </x:c>
      <x:c r="I1419" s="6" t="n">
        <x:v>45</x:v>
      </x:c>
      <x:c r="J1419" s="6" t="n">
        <x:v>68</x:v>
      </x:c>
      <x:c r="K1419" s="6" t="n">
        <x:v>28</x:v>
      </x:c>
      <x:c r="L1419" s="6" t="n">
        <x:v>39</x:v>
      </x:c>
      <x:c r="M1419" s="6" t="n">
        <x:v>16</x:v>
      </x:c>
      <x:c r="N1419" s="6" t="n">
        <x:v>30</x:v>
      </x:c>
      <x:c r="O1419" s="6" t="n">
        <x:v>41</x:v>
      </x:c>
      <x:c r="P1419" s="6" t="n">
        <x:v>1</x:v>
      </x:c>
      <x:c r="Q1419" s="6" t="n">
        <x:v>2</x:v>
      </x:c>
      <x:c r="R1419" s="6" t="n">
        <x:v>2</x:v>
      </x:c>
      <x:c r="S1419" s="6" t="n">
        <x:v>5</x:v>
      </x:c>
      <x:c r="T1419" s="6" t="n">
        <x:v>2</x:v>
      </x:c>
      <x:c r="U1419" s="6" t="n">
        <x:v>0</x:v>
      </x:c>
      <x:c r="V1419" s="6" t="n">
        <x:v>0</x:v>
      </x:c>
      <x:c r="W1419" s="6" t="n">
        <x:v>0</x:v>
      </x:c>
      <x:c r="X1419" s="6" t="n">
        <x:v>0</x:v>
      </x:c>
      <x:c r="Y1419" s="6" t="n">
        <x:v>0</x:v>
      </x:c>
      <x:c r="Z1419" s="6" t="n">
        <x:v>0</x:v>
      </x:c>
      <x:c r="AA1419" s="6" t="n">
        <x:v>3</x:v>
      </x:c>
      <x:c r="AB1419" s="6" t="n">
        <x:v>11</x:v>
      </x:c>
      <x:c r="AC1419" s="6" t="n">
        <x:v>0</x:v>
      </x:c>
    </x:row>
    <x:row r="1420">
      <x:c r="A1420" s="6" t="n">
        <x:v>5654</x:v>
      </x:c>
      <x:c r="B1420" s="6" t="n">
        <x:v>1972</x:v>
      </x:c>
      <x:c r="C1420" s="6" t="str">
        <x:v>Graduation</x:v>
      </x:c>
      <x:c r="D1420" s="6" t="str">
        <x:v>Married</x:v>
      </x:c>
      <x:c r="E1420" s="6" t="n">
        <x:v>36026</x:v>
      </x:c>
      <x:c r="F1420" s="6" t="n">
        <x:v>2</x:v>
      </x:c>
      <x:c r="G1420" s="6" t="n">
        <x:v>1</x:v>
      </x:c>
      <x:c r="H1420" s="9" t="str">
        <x:v>16-03-2014</x:v>
      </x:c>
      <x:c r="I1420" s="6" t="n">
        <x:v>34</x:v>
      </x:c>
      <x:c r="J1420" s="6" t="n">
        <x:v>20</x:v>
      </x:c>
      <x:c r="K1420" s="6" t="n">
        <x:v>4</x:v>
      </x:c>
      <x:c r="L1420" s="6" t="n">
        <x:v>10</x:v>
      </x:c>
      <x:c r="M1420" s="6" t="n">
        <x:v>6</x:v>
      </x:c>
      <x:c r="N1420" s="6" t="n">
        <x:v>4</x:v>
      </x:c>
      <x:c r="O1420" s="6" t="n">
        <x:v>17</x:v>
      </x:c>
      <x:c r="P1420" s="6" t="n">
        <x:v>2</x:v>
      </x:c>
      <x:c r="Q1420" s="6" t="n">
        <x:v>2</x:v>
      </x:c>
      <x:c r="R1420" s="6" t="n">
        <x:v>0</x:v>
      </x:c>
      <x:c r="S1420" s="6" t="n">
        <x:v>3</x:v>
      </x:c>
      <x:c r="T1420" s="6" t="n">
        <x:v>6</x:v>
      </x:c>
      <x:c r="U1420" s="6" t="n">
        <x:v>0</x:v>
      </x:c>
      <x:c r="V1420" s="6" t="n">
        <x:v>0</x:v>
      </x:c>
      <x:c r="W1420" s="6" t="n">
        <x:v>0</x:v>
      </x:c>
      <x:c r="X1420" s="6" t="n">
        <x:v>0</x:v>
      </x:c>
      <x:c r="Y1420" s="6" t="n">
        <x:v>0</x:v>
      </x:c>
      <x:c r="Z1420" s="6" t="n">
        <x:v>0</x:v>
      </x:c>
      <x:c r="AA1420" s="6" t="n">
        <x:v>3</x:v>
      </x:c>
      <x:c r="AB1420" s="6" t="n">
        <x:v>11</x:v>
      </x:c>
      <x:c r="AC1420" s="6" t="n">
        <x:v>0</x:v>
      </x:c>
    </x:row>
    <x:row r="1421">
      <x:c r="A1421" s="6" t="n">
        <x:v>4098</x:v>
      </x:c>
      <x:c r="B1421" s="6" t="n">
        <x:v>1973</x:v>
      </x:c>
      <x:c r="C1421" s="6" t="str">
        <x:v>Graduation</x:v>
      </x:c>
      <x:c r="D1421" s="6" t="str">
        <x:v>Married</x:v>
      </x:c>
      <x:c r="E1421" s="6" t="n">
        <x:v>24639</x:v>
      </x:c>
      <x:c r="F1421" s="6" t="n">
        <x:v>1</x:v>
      </x:c>
      <x:c r="G1421" s="6" t="n">
        <x:v>1</x:v>
      </x:c>
      <x:c r="H1421" s="9" t="str">
        <x:v>28-01-2014</x:v>
      </x:c>
      <x:c r="I1421" s="6" t="n">
        <x:v>3</x:v>
      </x:c>
      <x:c r="J1421" s="6" t="n">
        <x:v>20</x:v>
      </x:c>
      <x:c r="K1421" s="6" t="n">
        <x:v>3</x:v>
      </x:c>
      <x:c r="L1421" s="6" t="n">
        <x:v>16</x:v>
      </x:c>
      <x:c r="M1421" s="6" t="n">
        <x:v>0</x:v>
      </x:c>
      <x:c r="N1421" s="6" t="n">
        <x:v>4</x:v>
      </x:c>
      <x:c r="O1421" s="6" t="n">
        <x:v>1</x:v>
      </x:c>
      <x:c r="P1421" s="6" t="n">
        <x:v>3</x:v>
      </x:c>
      <x:c r="Q1421" s="6" t="n">
        <x:v>2</x:v>
      </x:c>
      <x:c r="R1421" s="6" t="n">
        <x:v>0</x:v>
      </x:c>
      <x:c r="S1421" s="6" t="n">
        <x:v>4</x:v>
      </x:c>
      <x:c r="T1421" s="6" t="n">
        <x:v>6</x:v>
      </x:c>
      <x:c r="U1421" s="6" t="n">
        <x:v>0</x:v>
      </x:c>
      <x:c r="V1421" s="6" t="n">
        <x:v>0</x:v>
      </x:c>
      <x:c r="W1421" s="6" t="n">
        <x:v>0</x:v>
      </x:c>
      <x:c r="X1421" s="6" t="n">
        <x:v>0</x:v>
      </x:c>
      <x:c r="Y1421" s="6" t="n">
        <x:v>0</x:v>
      </x:c>
      <x:c r="Z1421" s="6" t="n">
        <x:v>0</x:v>
      </x:c>
      <x:c r="AA1421" s="6" t="n">
        <x:v>3</x:v>
      </x:c>
      <x:c r="AB1421" s="6" t="n">
        <x:v>11</x:v>
      </x:c>
      <x:c r="AC1421" s="6" t="n">
        <x:v>0</x:v>
      </x:c>
    </x:row>
    <x:row r="1422">
      <x:c r="A1422" s="6" t="n">
        <x:v>5824</x:v>
      </x:c>
      <x:c r="B1422" s="6" t="n">
        <x:v>1972</x:v>
      </x:c>
      <x:c r="C1422" s="6" t="str">
        <x:v>PhD</x:v>
      </x:c>
      <x:c r="D1422" s="6" t="str">
        <x:v>Together</x:v>
      </x:c>
      <x:c r="E1422" s="6" t="n">
        <x:v>34578</x:v>
      </x:c>
      <x:c r="F1422" s="6" t="n">
        <x:v>2</x:v>
      </x:c>
      <x:c r="G1422" s="6" t="n">
        <x:v>1</x:v>
      </x:c>
      <x:c r="H1422" s="9" t="str">
        <x:v>11-04-2014</x:v>
      </x:c>
      <x:c r="I1422" s="6" t="n">
        <x:v>1</x:v>
      </x:c>
      <x:c r="J1422" s="6" t="n">
        <x:v>7</x:v>
      </x:c>
      <x:c r="K1422" s="6" t="n">
        <x:v>0</x:v>
      </x:c>
      <x:c r="L1422" s="6" t="n">
        <x:v>1</x:v>
      </x:c>
      <x:c r="M1422" s="6" t="n">
        <x:v>0</x:v>
      </x:c>
      <x:c r="N1422" s="6" t="n">
        <x:v>0</x:v>
      </x:c>
      <x:c r="O1422" s="6" t="n">
        <x:v>0</x:v>
      </x:c>
      <x:c r="P1422" s="6" t="n">
        <x:v>1</x:v>
      </x:c>
      <x:c r="Q1422" s="6" t="n">
        <x:v>1</x:v>
      </x:c>
      <x:c r="R1422" s="6" t="n">
        <x:v>0</x:v>
      </x:c>
      <x:c r="S1422" s="6" t="n">
        <x:v>2</x:v>
      </x:c>
      <x:c r="T1422" s="6" t="n">
        <x:v>6</x:v>
      </x:c>
      <x:c r="U1422" s="6" t="n">
        <x:v>0</x:v>
      </x:c>
      <x:c r="V1422" s="6" t="n">
        <x:v>0</x:v>
      </x:c>
      <x:c r="W1422" s="6" t="n">
        <x:v>0</x:v>
      </x:c>
      <x:c r="X1422" s="6" t="n">
        <x:v>0</x:v>
      </x:c>
      <x:c r="Y1422" s="6" t="n">
        <x:v>0</x:v>
      </x:c>
      <x:c r="Z1422" s="6" t="n">
        <x:v>0</x:v>
      </x:c>
      <x:c r="AA1422" s="6" t="n">
        <x:v>3</x:v>
      </x:c>
      <x:c r="AB1422" s="6" t="n">
        <x:v>11</x:v>
      </x:c>
      <x:c r="AC1422" s="6" t="n">
        <x:v>0</x:v>
      </x:c>
    </x:row>
    <x:row r="1423">
      <x:c r="A1423" s="6" t="n">
        <x:v>7000</x:v>
      </x:c>
      <x:c r="B1423" s="6" t="n">
        <x:v>1972</x:v>
      </x:c>
      <x:c r="C1423" s="6" t="str">
        <x:v>2n Cycle</x:v>
      </x:c>
      <x:c r="D1423" s="6" t="str">
        <x:v>Single</x:v>
      </x:c>
      <x:c r="E1423" s="6" t="n">
        <x:v>65704</x:v>
      </x:c>
      <x:c r="F1423" s="6" t="n">
        <x:v>0</x:v>
      </x:c>
      <x:c r="G1423" s="6" t="n">
        <x:v>0</x:v>
      </x:c>
      <x:c r="H1423" s="9" t="str">
        <x:v>13-10-2013</x:v>
      </x:c>
      <x:c r="I1423" s="6" t="n">
        <x:v>18</x:v>
      </x:c>
      <x:c r="J1423" s="6" t="n">
        <x:v>279</x:v>
      </x:c>
      <x:c r="K1423" s="6" t="n">
        <x:v>172</x:v>
      </x:c>
      <x:c r="L1423" s="6" t="n">
        <x:v>74</x:v>
      </x:c>
      <x:c r="M1423" s="6" t="n">
        <x:v>38</x:v>
      </x:c>
      <x:c r="N1423" s="6" t="n">
        <x:v>8</x:v>
      </x:c>
      <x:c r="O1423" s="6" t="n">
        <x:v>246</x:v>
      </x:c>
      <x:c r="P1423" s="6" t="n">
        <x:v>1</x:v>
      </x:c>
      <x:c r="Q1423" s="6" t="n">
        <x:v>2</x:v>
      </x:c>
      <x:c r="R1423" s="6" t="n">
        <x:v>10</x:v>
      </x:c>
      <x:c r="S1423" s="6" t="n">
        <x:v>10</x:v>
      </x:c>
      <x:c r="T1423" s="6" t="n">
        <x:v>1</x:v>
      </x:c>
      <x:c r="U1423" s="6" t="n">
        <x:v>0</x:v>
      </x:c>
      <x:c r="V1423" s="6" t="n">
        <x:v>0</x:v>
      </x:c>
      <x:c r="W1423" s="6" t="n">
        <x:v>0</x:v>
      </x:c>
      <x:c r="X1423" s="6" t="n">
        <x:v>0</x:v>
      </x:c>
      <x:c r="Y1423" s="6" t="n">
        <x:v>0</x:v>
      </x:c>
      <x:c r="Z1423" s="6" t="n">
        <x:v>0</x:v>
      </x:c>
      <x:c r="AA1423" s="6" t="n">
        <x:v>3</x:v>
      </x:c>
      <x:c r="AB1423" s="6" t="n">
        <x:v>11</x:v>
      </x:c>
      <x:c r="AC1423" s="6" t="n">
        <x:v>0</x:v>
      </x:c>
    </x:row>
    <x:row r="1424">
      <x:c r="A1424" s="6" t="n">
        <x:v>2561</x:v>
      </x:c>
      <x:c r="B1424" s="6" t="n">
        <x:v>1966</x:v>
      </x:c>
      <x:c r="C1424" s="6" t="str">
        <x:v>Graduation</x:v>
      </x:c>
      <x:c r="D1424" s="6" t="str">
        <x:v>Single</x:v>
      </x:c>
      <x:c r="E1424" s="6" t="n">
        <x:v>63810</x:v>
      </x:c>
      <x:c r="F1424" s="6" t="n">
        <x:v>0</x:v>
      </x:c>
      <x:c r="G1424" s="6" t="n">
        <x:v>1</x:v>
      </x:c>
      <x:c r="H1424" s="9" t="str">
        <x:v>11-11-2012</x:v>
      </x:c>
      <x:c r="I1424" s="6" t="n">
        <x:v>45</x:v>
      </x:c>
      <x:c r="J1424" s="6" t="n">
        <x:v>977</x:v>
      </x:c>
      <x:c r="K1424" s="6" t="n">
        <x:v>12</x:v>
      </x:c>
      <x:c r="L1424" s="6" t="n">
        <x:v>253</x:v>
      </x:c>
      <x:c r="M1424" s="6" t="n">
        <x:v>16</x:v>
      </x:c>
      <x:c r="N1424" s="6" t="n">
        <x:v>12</x:v>
      </x:c>
      <x:c r="O1424" s="6" t="n">
        <x:v>101</x:v>
      </x:c>
      <x:c r="P1424" s="6" t="n">
        <x:v>4</x:v>
      </x:c>
      <x:c r="Q1424" s="6" t="n">
        <x:v>4</x:v>
      </x:c>
      <x:c r="R1424" s="6" t="n">
        <x:v>3</x:v>
      </x:c>
      <x:c r="S1424" s="6" t="n">
        <x:v>12</x:v>
      </x:c>
      <x:c r="T1424" s="6" t="n">
        <x:v>8</x:v>
      </x:c>
      <x:c r="U1424" s="6" t="n">
        <x:v>0</x:v>
      </x:c>
      <x:c r="V1424" s="6" t="n">
        <x:v>1</x:v>
      </x:c>
      <x:c r="W1424" s="6" t="n">
        <x:v>0</x:v>
      </x:c>
      <x:c r="X1424" s="6" t="n">
        <x:v>0</x:v>
      </x:c>
      <x:c r="Y1424" s="6" t="n">
        <x:v>0</x:v>
      </x:c>
      <x:c r="Z1424" s="6" t="n">
        <x:v>0</x:v>
      </x:c>
      <x:c r="AA1424" s="6" t="n">
        <x:v>3</x:v>
      </x:c>
      <x:c r="AB1424" s="6" t="n">
        <x:v>11</x:v>
      </x:c>
      <x:c r="AC1424" s="6" t="n">
        <x:v>0</x:v>
      </x:c>
    </x:row>
    <x:row r="1425">
      <x:c r="A1425" s="6" t="n">
        <x:v>5229</x:v>
      </x:c>
      <x:c r="B1425" s="6" t="n">
        <x:v>1969</x:v>
      </x:c>
      <x:c r="C1425" s="6" t="str">
        <x:v>PhD</x:v>
      </x:c>
      <x:c r="D1425" s="6" t="str">
        <x:v>Together</x:v>
      </x:c>
      <x:c r="E1425" s="6" t="n">
        <x:v>54132</x:v>
      </x:c>
      <x:c r="F1425" s="6" t="n">
        <x:v>0</x:v>
      </x:c>
      <x:c r="G1425" s="6" t="n">
        <x:v>1</x:v>
      </x:c>
      <x:c r="H1425" s="9" t="str">
        <x:v>16-02-2014</x:v>
      </x:c>
      <x:c r="I1425" s="6" t="n">
        <x:v>81</x:v>
      </x:c>
      <x:c r="J1425" s="6" t="n">
        <x:v>30</x:v>
      </x:c>
      <x:c r="K1425" s="6" t="n">
        <x:v>1</x:v>
      </x:c>
      <x:c r="L1425" s="6" t="n">
        <x:v>8</x:v>
      </x:c>
      <x:c r="M1425" s="6" t="n">
        <x:v>0</x:v>
      </x:c>
      <x:c r="N1425" s="6" t="n">
        <x:v>0</x:v>
      </x:c>
      <x:c r="O1425" s="6" t="n">
        <x:v>3</x:v>
      </x:c>
      <x:c r="P1425" s="6" t="n">
        <x:v>1</x:v>
      </x:c>
      <x:c r="Q1425" s="6" t="n">
        <x:v>1</x:v>
      </x:c>
      <x:c r="R1425" s="6" t="n">
        <x:v>0</x:v>
      </x:c>
      <x:c r="S1425" s="6" t="n">
        <x:v>3</x:v>
      </x:c>
      <x:c r="T1425" s="6" t="n">
        <x:v>7</x:v>
      </x:c>
      <x:c r="U1425" s="6" t="n">
        <x:v>0</x:v>
      </x:c>
      <x:c r="V1425" s="6" t="n">
        <x:v>0</x:v>
      </x:c>
      <x:c r="W1425" s="6" t="n">
        <x:v>0</x:v>
      </x:c>
      <x:c r="X1425" s="6" t="n">
        <x:v>0</x:v>
      </x:c>
      <x:c r="Y1425" s="6" t="n">
        <x:v>0</x:v>
      </x:c>
      <x:c r="Z1425" s="6" t="n">
        <x:v>0</x:v>
      </x:c>
      <x:c r="AA1425" s="6" t="n">
        <x:v>3</x:v>
      </x:c>
      <x:c r="AB1425" s="6" t="n">
        <x:v>11</x:v>
      </x:c>
      <x:c r="AC1425" s="6" t="n">
        <x:v>0</x:v>
      </x:c>
    </x:row>
    <x:row r="1426">
      <x:c r="A1426" s="6" t="n">
        <x:v>4086</x:v>
      </x:c>
      <x:c r="B1426" s="6" t="n">
        <x:v>1959</x:v>
      </x:c>
      <x:c r="C1426" s="6" t="str">
        <x:v>Graduation</x:v>
      </x:c>
      <x:c r="D1426" s="6" t="str">
        <x:v>Married</x:v>
      </x:c>
      <x:c r="E1426" s="6" t="n">
        <x:v>18690</x:v>
      </x:c>
      <x:c r="F1426" s="6" t="n">
        <x:v>0</x:v>
      </x:c>
      <x:c r="G1426" s="6" t="n">
        <x:v>0</x:v>
      </x:c>
      <x:c r="H1426" s="9" t="str">
        <x:v>28-12-2012</x:v>
      </x:c>
      <x:c r="I1426" s="6" t="n">
        <x:v>77</x:v>
      </x:c>
      <x:c r="J1426" s="6" t="n">
        <x:v>6</x:v>
      </x:c>
      <x:c r="K1426" s="6" t="n">
        <x:v>1</x:v>
      </x:c>
      <x:c r="L1426" s="6" t="n">
        <x:v>7</x:v>
      </x:c>
      <x:c r="M1426" s="6" t="n">
        <x:v>23</x:v>
      </x:c>
      <x:c r="N1426" s="6" t="n">
        <x:v>4</x:v>
      </x:c>
      <x:c r="O1426" s="6" t="n">
        <x:v>19</x:v>
      </x:c>
      <x:c r="P1426" s="6" t="n">
        <x:v>1</x:v>
      </x:c>
      <x:c r="Q1426" s="6" t="n">
        <x:v>1</x:v>
      </x:c>
      <x:c r="R1426" s="6" t="n">
        <x:v>1</x:v>
      </x:c>
      <x:c r="S1426" s="6" t="n">
        <x:v>2</x:v>
      </x:c>
      <x:c r="T1426" s="6" t="n">
        <x:v>8</x:v>
      </x:c>
      <x:c r="U1426" s="6" t="n">
        <x:v>0</x:v>
      </x:c>
      <x:c r="V1426" s="6" t="n">
        <x:v>0</x:v>
      </x:c>
      <x:c r="W1426" s="6" t="n">
        <x:v>0</x:v>
      </x:c>
      <x:c r="X1426" s="6" t="n">
        <x:v>0</x:v>
      </x:c>
      <x:c r="Y1426" s="6" t="n">
        <x:v>0</x:v>
      </x:c>
      <x:c r="Z1426" s="6" t="n">
        <x:v>0</x:v>
      </x:c>
      <x:c r="AA1426" s="6" t="n">
        <x:v>3</x:v>
      </x:c>
      <x:c r="AB1426" s="6" t="n">
        <x:v>11</x:v>
      </x:c>
      <x:c r="AC1426" s="6" t="n">
        <x:v>0</x:v>
      </x:c>
    </x:row>
    <x:row r="1427">
      <x:c r="A1427" s="6" t="n">
        <x:v>2428</x:v>
      </x:c>
      <x:c r="B1427" s="6" t="n">
        <x:v>1970</x:v>
      </x:c>
      <x:c r="C1427" s="6" t="str">
        <x:v>Graduation</x:v>
      </x:c>
      <x:c r="D1427" s="6" t="str">
        <x:v>Married</x:v>
      </x:c>
      <x:c r="E1427" s="6" t="n">
        <x:v>28164</x:v>
      </x:c>
      <x:c r="F1427" s="6" t="n">
        <x:v>1</x:v>
      </x:c>
      <x:c r="G1427" s="6" t="n">
        <x:v>0</x:v>
      </x:c>
      <x:c r="H1427" s="9" t="str">
        <x:v>04-05-2013</x:v>
      </x:c>
      <x:c r="I1427" s="6" t="n">
        <x:v>23</x:v>
      </x:c>
      <x:c r="J1427" s="6" t="n">
        <x:v>3</x:v>
      </x:c>
      <x:c r="K1427" s="6" t="n">
        <x:v>18</x:v>
      </x:c>
      <x:c r="L1427" s="6" t="n">
        <x:v>26</x:v>
      </x:c>
      <x:c r="M1427" s="6" t="n">
        <x:v>11</x:v>
      </x:c>
      <x:c r="N1427" s="6" t="n">
        <x:v>8</x:v>
      </x:c>
      <x:c r="O1427" s="6" t="n">
        <x:v>12</x:v>
      </x:c>
      <x:c r="P1427" s="6" t="n">
        <x:v>3</x:v>
      </x:c>
      <x:c r="Q1427" s="6" t="n">
        <x:v>2</x:v>
      </x:c>
      <x:c r="R1427" s="6" t="n">
        <x:v>0</x:v>
      </x:c>
      <x:c r="S1427" s="6" t="n">
        <x:v>4</x:v>
      </x:c>
      <x:c r="T1427" s="6" t="n">
        <x:v>7</x:v>
      </x:c>
      <x:c r="U1427" s="6" t="n">
        <x:v>0</x:v>
      </x:c>
      <x:c r="V1427" s="6" t="n">
        <x:v>0</x:v>
      </x:c>
      <x:c r="W1427" s="6" t="n">
        <x:v>0</x:v>
      </x:c>
      <x:c r="X1427" s="6" t="n">
        <x:v>0</x:v>
      </x:c>
      <x:c r="Y1427" s="6" t="n">
        <x:v>0</x:v>
      </x:c>
      <x:c r="Z1427" s="6" t="n">
        <x:v>0</x:v>
      </x:c>
      <x:c r="AA1427" s="6" t="n">
        <x:v>3</x:v>
      </x:c>
      <x:c r="AB1427" s="6" t="n">
        <x:v>11</x:v>
      </x:c>
      <x:c r="AC1427" s="6" t="n">
        <x:v>0</x:v>
      </x:c>
    </x:row>
    <x:row r="1428">
      <x:c r="A1428" s="6" t="n">
        <x:v>8254</x:v>
      </x:c>
      <x:c r="B1428" s="6" t="n">
        <x:v>1974</x:v>
      </x:c>
      <x:c r="C1428" s="6" t="str">
        <x:v>PhD</x:v>
      </x:c>
      <x:c r="D1428" s="6" t="str">
        <x:v>Married</x:v>
      </x:c>
      <x:c r="E1428" s="6" t="n">
        <x:v>34596</x:v>
      </x:c>
      <x:c r="F1428" s="6" t="n">
        <x:v>1</x:v>
      </x:c>
      <x:c r="G1428" s="6" t="n">
        <x:v>0</x:v>
      </x:c>
      <x:c r="H1428" s="9" t="str">
        <x:v>13-04-2013</x:v>
      </x:c>
      <x:c r="I1428" s="6" t="n">
        <x:v>48</x:v>
      </x:c>
      <x:c r="J1428" s="6" t="n">
        <x:v>14</x:v>
      </x:c>
      <x:c r="K1428" s="6" t="n">
        <x:v>0</x:v>
      </x:c>
      <x:c r="L1428" s="6" t="n">
        <x:v>2</x:v>
      </x:c>
      <x:c r="M1428" s="6" t="n">
        <x:v>0</x:v>
      </x:c>
      <x:c r="N1428" s="6" t="n">
        <x:v>0</x:v>
      </x:c>
      <x:c r="O1428" s="6" t="n">
        <x:v>7</x:v>
      </x:c>
      <x:c r="P1428" s="6" t="n">
        <x:v>1</x:v>
      </x:c>
      <x:c r="Q1428" s="6" t="n">
        <x:v>1</x:v>
      </x:c>
      <x:c r="R1428" s="6" t="n">
        <x:v>0</x:v>
      </x:c>
      <x:c r="S1428" s="6" t="n">
        <x:v>2</x:v>
      </x:c>
      <x:c r="T1428" s="6" t="n">
        <x:v>8</x:v>
      </x:c>
      <x:c r="U1428" s="6" t="n">
        <x:v>0</x:v>
      </x:c>
      <x:c r="V1428" s="6" t="n">
        <x:v>0</x:v>
      </x:c>
      <x:c r="W1428" s="6" t="n">
        <x:v>0</x:v>
      </x:c>
      <x:c r="X1428" s="6" t="n">
        <x:v>0</x:v>
      </x:c>
      <x:c r="Y1428" s="6" t="n">
        <x:v>0</x:v>
      </x:c>
      <x:c r="Z1428" s="6" t="n">
        <x:v>0</x:v>
      </x:c>
      <x:c r="AA1428" s="6" t="n">
        <x:v>3</x:v>
      </x:c>
      <x:c r="AB1428" s="6" t="n">
        <x:v>11</x:v>
      </x:c>
      <x:c r="AC1428" s="6" t="n">
        <x:v>0</x:v>
      </x:c>
    </x:row>
    <x:row r="1429">
      <x:c r="A1429" s="6" t="n">
        <x:v>2836</x:v>
      </x:c>
      <x:c r="B1429" s="6" t="n">
        <x:v>1972</x:v>
      </x:c>
      <x:c r="C1429" s="6" t="str">
        <x:v>PhD</x:v>
      </x:c>
      <x:c r="D1429" s="6" t="str">
        <x:v>Married</x:v>
      </x:c>
      <x:c r="E1429" s="6" t="n">
        <x:v>43269</x:v>
      </x:c>
      <x:c r="F1429" s="6" t="n">
        <x:v>1</x:v>
      </x:c>
      <x:c r="G1429" s="6" t="n">
        <x:v>0</x:v>
      </x:c>
      <x:c r="H1429" s="9" t="str">
        <x:v>16-09-2013</x:v>
      </x:c>
      <x:c r="I1429" s="6" t="n">
        <x:v>61</x:v>
      </x:c>
      <x:c r="J1429" s="6" t="n">
        <x:v>10</x:v>
      </x:c>
      <x:c r="K1429" s="6" t="n">
        <x:v>1</x:v>
      </x:c>
      <x:c r="L1429" s="6" t="n">
        <x:v>7</x:v>
      </x:c>
      <x:c r="M1429" s="6" t="n">
        <x:v>0</x:v>
      </x:c>
      <x:c r="N1429" s="6" t="n">
        <x:v>0</x:v>
      </x:c>
      <x:c r="O1429" s="6" t="n">
        <x:v>1</x:v>
      </x:c>
      <x:c r="P1429" s="6" t="n">
        <x:v>1</x:v>
      </x:c>
      <x:c r="Q1429" s="6" t="n">
        <x:v>1</x:v>
      </x:c>
      <x:c r="R1429" s="6" t="n">
        <x:v>0</x:v>
      </x:c>
      <x:c r="S1429" s="6" t="n">
        <x:v>2</x:v>
      </x:c>
      <x:c r="T1429" s="6" t="n">
        <x:v>8</x:v>
      </x:c>
      <x:c r="U1429" s="6" t="n">
        <x:v>0</x:v>
      </x:c>
      <x:c r="V1429" s="6" t="n">
        <x:v>0</x:v>
      </x:c>
      <x:c r="W1429" s="6" t="n">
        <x:v>0</x:v>
      </x:c>
      <x:c r="X1429" s="6" t="n">
        <x:v>0</x:v>
      </x:c>
      <x:c r="Y1429" s="6" t="n">
        <x:v>0</x:v>
      </x:c>
      <x:c r="Z1429" s="6" t="n">
        <x:v>0</x:v>
      </x:c>
      <x:c r="AA1429" s="6" t="n">
        <x:v>3</x:v>
      </x:c>
      <x:c r="AB1429" s="6" t="n">
        <x:v>11</x:v>
      </x:c>
      <x:c r="AC1429" s="6" t="n">
        <x:v>0</x:v>
      </x:c>
    </x:row>
    <x:row r="1430">
      <x:c r="A1430" s="6" t="n">
        <x:v>8418</x:v>
      </x:c>
      <x:c r="B1430" s="6" t="n">
        <x:v>1958</x:v>
      </x:c>
      <x:c r="C1430" s="6" t="str">
        <x:v>2n Cycle</x:v>
      </x:c>
      <x:c r="D1430" s="6" t="str">
        <x:v>Single</x:v>
      </x:c>
      <x:c r="E1430" s="6" t="n">
        <x:v>38741</x:v>
      </x:c>
      <x:c r="F1430" s="6" t="n">
        <x:v>1</x:v>
      </x:c>
      <x:c r="G1430" s="6" t="n">
        <x:v>1</x:v>
      </x:c>
      <x:c r="H1430" s="9" t="str">
        <x:v>30-03-2014</x:v>
      </x:c>
      <x:c r="I1430" s="6" t="n">
        <x:v>60</x:v>
      </x:c>
      <x:c r="J1430" s="6" t="n">
        <x:v>7</x:v>
      </x:c>
      <x:c r="K1430" s="6" t="n">
        <x:v>10</x:v>
      </x:c>
      <x:c r="L1430" s="6" t="n">
        <x:v>17</x:v>
      </x:c>
      <x:c r="M1430" s="6" t="n">
        <x:v>8</x:v>
      </x:c>
      <x:c r="N1430" s="6" t="n">
        <x:v>6</x:v>
      </x:c>
      <x:c r="O1430" s="6" t="n">
        <x:v>13</x:v>
      </x:c>
      <x:c r="P1430" s="6" t="n">
        <x:v>2</x:v>
      </x:c>
      <x:c r="Q1430" s="6" t="n">
        <x:v>2</x:v>
      </x:c>
      <x:c r="R1430" s="6" t="n">
        <x:v>0</x:v>
      </x:c>
      <x:c r="S1430" s="6" t="n">
        <x:v>3</x:v>
      </x:c>
      <x:c r="T1430" s="6" t="n">
        <x:v>7</x:v>
      </x:c>
      <x:c r="U1430" s="6" t="n">
        <x:v>0</x:v>
      </x:c>
      <x:c r="V1430" s="6" t="n">
        <x:v>0</x:v>
      </x:c>
      <x:c r="W1430" s="6" t="n">
        <x:v>0</x:v>
      </x:c>
      <x:c r="X1430" s="6" t="n">
        <x:v>0</x:v>
      </x:c>
      <x:c r="Y1430" s="6" t="n">
        <x:v>0</x:v>
      </x:c>
      <x:c r="Z1430" s="6" t="n">
        <x:v>0</x:v>
      </x:c>
      <x:c r="AA1430" s="6" t="n">
        <x:v>3</x:v>
      </x:c>
      <x:c r="AB1430" s="6" t="n">
        <x:v>11</x:v>
      </x:c>
      <x:c r="AC1430" s="6" t="n">
        <x:v>0</x:v>
      </x:c>
    </x:row>
    <x:row r="1431">
      <x:c r="A1431" s="6" t="n">
        <x:v>1362</x:v>
      </x:c>
      <x:c r="B1431" s="6" t="n">
        <x:v>1972</x:v>
      </x:c>
      <x:c r="C1431" s="6" t="str">
        <x:v>Graduation</x:v>
      </x:c>
      <x:c r="D1431" s="6" t="str">
        <x:v>Single</x:v>
      </x:c>
      <x:c r="E1431" s="6" t="n">
        <x:v>31907</x:v>
      </x:c>
      <x:c r="F1431" s="6" t="n">
        <x:v>0</x:v>
      </x:c>
      <x:c r="G1431" s="6" t="n">
        <x:v>0</x:v>
      </x:c>
      <x:c r="H1431" s="9" t="str">
        <x:v>04-03-2013</x:v>
      </x:c>
      <x:c r="I1431" s="6" t="n">
        <x:v>75</x:v>
      </x:c>
      <x:c r="J1431" s="6" t="n">
        <x:v>33</x:v>
      </x:c>
      <x:c r="K1431" s="6" t="n">
        <x:v>87</x:v>
      </x:c>
      <x:c r="L1431" s="6" t="n">
        <x:v>64</x:v>
      </x:c>
      <x:c r="M1431" s="6" t="n">
        <x:v>175</x:v>
      </x:c>
      <x:c r="N1431" s="6" t="n">
        <x:v>16</x:v>
      </x:c>
      <x:c r="O1431" s="6" t="n">
        <x:v>74</x:v>
      </x:c>
      <x:c r="P1431" s="6" t="n">
        <x:v>1</x:v>
      </x:c>
      <x:c r="Q1431" s="6" t="n">
        <x:v>6</x:v>
      </x:c>
      <x:c r="R1431" s="6" t="n">
        <x:v>1</x:v>
      </x:c>
      <x:c r="S1431" s="6" t="n">
        <x:v>6</x:v>
      </x:c>
      <x:c r="T1431" s="6" t="n">
        <x:v>7</x:v>
      </x:c>
      <x:c r="U1431" s="6" t="n">
        <x:v>0</x:v>
      </x:c>
      <x:c r="V1431" s="6" t="n">
        <x:v>0</x:v>
      </x:c>
      <x:c r="W1431" s="6" t="n">
        <x:v>0</x:v>
      </x:c>
      <x:c r="X1431" s="6" t="n">
        <x:v>0</x:v>
      </x:c>
      <x:c r="Y1431" s="6" t="n">
        <x:v>0</x:v>
      </x:c>
      <x:c r="Z1431" s="6" t="n">
        <x:v>0</x:v>
      </x:c>
      <x:c r="AA1431" s="6" t="n">
        <x:v>3</x:v>
      </x:c>
      <x:c r="AB1431" s="6" t="n">
        <x:v>11</x:v>
      </x:c>
      <x:c r="AC1431" s="6" t="n">
        <x:v>0</x:v>
      </x:c>
    </x:row>
    <x:row r="1432">
      <x:c r="A1432" s="6" t="n">
        <x:v>7152</x:v>
      </x:c>
      <x:c r="B1432" s="6" t="n">
        <x:v>1983</x:v>
      </x:c>
      <x:c r="C1432" s="6" t="str">
        <x:v>Master</x:v>
      </x:c>
      <x:c r="D1432" s="6" t="str">
        <x:v>Married</x:v>
      </x:c>
      <x:c r="E1432" s="6" t="n">
        <x:v>27100</x:v>
      </x:c>
      <x:c r="F1432" s="6" t="n">
        <x:v>1</x:v>
      </x:c>
      <x:c r="G1432" s="6" t="n">
        <x:v>0</x:v>
      </x:c>
      <x:c r="H1432" s="9" t="str">
        <x:v>05-04-2013</x:v>
      </x:c>
      <x:c r="I1432" s="6" t="n">
        <x:v>64</x:v>
      </x:c>
      <x:c r="J1432" s="6" t="n">
        <x:v>12</x:v>
      </x:c>
      <x:c r="K1432" s="6" t="n">
        <x:v>0</x:v>
      </x:c>
      <x:c r="L1432" s="6" t="n">
        <x:v>13</x:v>
      </x:c>
      <x:c r="M1432" s="6" t="n">
        <x:v>2</x:v>
      </x:c>
      <x:c r="N1432" s="6" t="n">
        <x:v>0</x:v>
      </x:c>
      <x:c r="O1432" s="6" t="n">
        <x:v>10</x:v>
      </x:c>
      <x:c r="P1432" s="6" t="n">
        <x:v>1</x:v>
      </x:c>
      <x:c r="Q1432" s="6" t="n">
        <x:v>1</x:v>
      </x:c>
      <x:c r="R1432" s="6" t="n">
        <x:v>0</x:v>
      </x:c>
      <x:c r="S1432" s="6" t="n">
        <x:v>3</x:v>
      </x:c>
      <x:c r="T1432" s="6" t="n">
        <x:v>7</x:v>
      </x:c>
      <x:c r="U1432" s="6" t="n">
        <x:v>0</x:v>
      </x:c>
      <x:c r="V1432" s="6" t="n">
        <x:v>0</x:v>
      </x:c>
      <x:c r="W1432" s="6" t="n">
        <x:v>0</x:v>
      </x:c>
      <x:c r="X1432" s="6" t="n">
        <x:v>0</x:v>
      </x:c>
      <x:c r="Y1432" s="6" t="n">
        <x:v>0</x:v>
      </x:c>
      <x:c r="Z1432" s="6" t="n">
        <x:v>0</x:v>
      </x:c>
      <x:c r="AA1432" s="6" t="n">
        <x:v>3</x:v>
      </x:c>
      <x:c r="AB1432" s="6" t="n">
        <x:v>11</x:v>
      </x:c>
      <x:c r="AC1432" s="6" t="n">
        <x:v>0</x:v>
      </x:c>
    </x:row>
    <x:row r="1433">
      <x:c r="A1433" s="6" t="n">
        <x:v>10033</x:v>
      </x:c>
      <x:c r="B1433" s="6" t="n">
        <x:v>1973</x:v>
      </x:c>
      <x:c r="C1433" s="6" t="str">
        <x:v>2n Cycle</x:v>
      </x:c>
      <x:c r="D1433" s="6" t="str">
        <x:v>Divorced</x:v>
      </x:c>
      <x:c r="E1433" s="6" t="n">
        <x:v>31163</x:v>
      </x:c>
      <x:c r="F1433" s="6" t="n">
        <x:v>1</x:v>
      </x:c>
      <x:c r="G1433" s="6" t="n">
        <x:v>0</x:v>
      </x:c>
      <x:c r="H1433" s="9" t="str">
        <x:v>13-02-2014</x:v>
      </x:c>
      <x:c r="I1433" s="6" t="n">
        <x:v>54</x:v>
      </x:c>
      <x:c r="J1433" s="6" t="n">
        <x:v>2</x:v>
      </x:c>
      <x:c r="K1433" s="6" t="n">
        <x:v>3</x:v>
      </x:c>
      <x:c r="L1433" s="6" t="n">
        <x:v>10</x:v>
      </x:c>
      <x:c r="M1433" s="6" t="n">
        <x:v>11</x:v>
      </x:c>
      <x:c r="N1433" s="6" t="n">
        <x:v>2</x:v>
      </x:c>
      <x:c r="O1433" s="6" t="n">
        <x:v>10</x:v>
      </x:c>
      <x:c r="P1433" s="6" t="n">
        <x:v>1</x:v>
      </x:c>
      <x:c r="Q1433" s="6" t="n">
        <x:v>1</x:v>
      </x:c>
      <x:c r="R1433" s="6" t="n">
        <x:v>0</x:v>
      </x:c>
      <x:c r="S1433" s="6" t="n">
        <x:v>3</x:v>
      </x:c>
      <x:c r="T1433" s="6" t="n">
        <x:v>6</x:v>
      </x:c>
      <x:c r="U1433" s="6" t="n">
        <x:v>0</x:v>
      </x:c>
      <x:c r="V1433" s="6" t="n">
        <x:v>0</x:v>
      </x:c>
      <x:c r="W1433" s="6" t="n">
        <x:v>0</x:v>
      </x:c>
      <x:c r="X1433" s="6" t="n">
        <x:v>0</x:v>
      </x:c>
      <x:c r="Y1433" s="6" t="n">
        <x:v>0</x:v>
      </x:c>
      <x:c r="Z1433" s="6" t="n">
        <x:v>0</x:v>
      </x:c>
      <x:c r="AA1433" s="6" t="n">
        <x:v>3</x:v>
      </x:c>
      <x:c r="AB1433" s="6" t="n">
        <x:v>11</x:v>
      </x:c>
      <x:c r="AC1433" s="6" t="n">
        <x:v>0</x:v>
      </x:c>
    </x:row>
    <x:row r="1434">
      <x:c r="A1434" s="6" t="n">
        <x:v>9349</x:v>
      </x:c>
      <x:c r="B1434" s="6" t="n">
        <x:v>1985</x:v>
      </x:c>
      <x:c r="C1434" s="6" t="str">
        <x:v>Graduation</x:v>
      </x:c>
      <x:c r="D1434" s="6" t="str">
        <x:v>Married</x:v>
      </x:c>
      <x:c r="E1434" s="6" t="n">
        <x:v>92533</x:v>
      </x:c>
      <x:c r="F1434" s="6" t="n">
        <x:v>0</x:v>
      </x:c>
      <x:c r="G1434" s="6" t="n">
        <x:v>0</x:v>
      </x:c>
      <x:c r="H1434" s="9" t="str">
        <x:v>19-12-2013</x:v>
      </x:c>
      <x:c r="I1434" s="6" t="n">
        <x:v>84</x:v>
      </x:c>
      <x:c r="J1434" s="6" t="n">
        <x:v>693</x:v>
      </x:c>
      <x:c r="K1434" s="6" t="n">
        <x:v>21</x:v>
      </x:c>
      <x:c r="L1434" s="6" t="n">
        <x:v>118</x:v>
      </x:c>
      <x:c r="M1434" s="6" t="n">
        <x:v>110</x:v>
      </x:c>
      <x:c r="N1434" s="6" t="n">
        <x:v>147</x:v>
      </x:c>
      <x:c r="O1434" s="6" t="n">
        <x:v>42</x:v>
      </x:c>
      <x:c r="P1434" s="6" t="n">
        <x:v>1</x:v>
      </x:c>
      <x:c r="Q1434" s="6" t="n">
        <x:v>6</x:v>
      </x:c>
      <x:c r="R1434" s="6" t="n">
        <x:v>5</x:v>
      </x:c>
      <x:c r="S1434" s="6" t="n">
        <x:v>11</x:v>
      </x:c>
      <x:c r="T1434" s="6" t="n">
        <x:v>2</x:v>
      </x:c>
      <x:c r="U1434" s="6" t="n">
        <x:v>0</x:v>
      </x:c>
      <x:c r="V1434" s="6" t="n">
        <x:v>0</x:v>
      </x:c>
      <x:c r="W1434" s="6" t="n">
        <x:v>1</x:v>
      </x:c>
      <x:c r="X1434" s="6" t="n">
        <x:v>1</x:v>
      </x:c>
      <x:c r="Y1434" s="6" t="n">
        <x:v>0</x:v>
      </x:c>
      <x:c r="Z1434" s="6" t="n">
        <x:v>0</x:v>
      </x:c>
      <x:c r="AA1434" s="6" t="n">
        <x:v>3</x:v>
      </x:c>
      <x:c r="AB1434" s="6" t="n">
        <x:v>11</x:v>
      </x:c>
      <x:c r="AC1434" s="6" t="n">
        <x:v>0</x:v>
      </x:c>
    </x:row>
    <x:row r="1435">
      <x:c r="A1435" s="6" t="n">
        <x:v>274</x:v>
      </x:c>
      <x:c r="B1435" s="6" t="n">
        <x:v>1973</x:v>
      </x:c>
      <x:c r="C1435" s="6" t="str">
        <x:v>Graduation</x:v>
      </x:c>
      <x:c r="D1435" s="6" t="str">
        <x:v>Single</x:v>
      </x:c>
      <x:c r="E1435" s="6" t="n">
        <x:v>34853</x:v>
      </x:c>
      <x:c r="F1435" s="6" t="n">
        <x:v>1</x:v>
      </x:c>
      <x:c r="G1435" s="6" t="n">
        <x:v>1</x:v>
      </x:c>
      <x:c r="H1435" s="9" t="str">
        <x:v>23-12-2013</x:v>
      </x:c>
      <x:c r="I1435" s="6" t="n">
        <x:v>75</x:v>
      </x:c>
      <x:c r="J1435" s="6" t="n">
        <x:v>9</x:v>
      </x:c>
      <x:c r="K1435" s="6" t="n">
        <x:v>3</x:v>
      </x:c>
      <x:c r="L1435" s="6" t="n">
        <x:v>15</x:v>
      </x:c>
      <x:c r="M1435" s="6" t="n">
        <x:v>2</x:v>
      </x:c>
      <x:c r="N1435" s="6" t="n">
        <x:v>3</x:v>
      </x:c>
      <x:c r="O1435" s="6" t="n">
        <x:v>2</x:v>
      </x:c>
      <x:c r="P1435" s="6" t="n">
        <x:v>2</x:v>
      </x:c>
      <x:c r="Q1435" s="6" t="n">
        <x:v>2</x:v>
      </x:c>
      <x:c r="R1435" s="6" t="n">
        <x:v>0</x:v>
      </x:c>
      <x:c r="S1435" s="6" t="n">
        <x:v>3</x:v>
      </x:c>
      <x:c r="T1435" s="6" t="n">
        <x:v>6</x:v>
      </x:c>
      <x:c r="U1435" s="6" t="n">
        <x:v>0</x:v>
      </x:c>
      <x:c r="V1435" s="6" t="n">
        <x:v>0</x:v>
      </x:c>
      <x:c r="W1435" s="6" t="n">
        <x:v>0</x:v>
      </x:c>
      <x:c r="X1435" s="6" t="n">
        <x:v>0</x:v>
      </x:c>
      <x:c r="Y1435" s="6" t="n">
        <x:v>0</x:v>
      </x:c>
      <x:c r="Z1435" s="6" t="n">
        <x:v>0</x:v>
      </x:c>
      <x:c r="AA1435" s="6" t="n">
        <x:v>3</x:v>
      </x:c>
      <x:c r="AB1435" s="6" t="n">
        <x:v>11</x:v>
      </x:c>
      <x:c r="AC1435" s="6" t="n">
        <x:v>0</x:v>
      </x:c>
    </x:row>
    <x:row r="1436">
      <x:c r="A1436" s="6" t="n">
        <x:v>3388</x:v>
      </x:c>
      <x:c r="B1436" s="6" t="n">
        <x:v>1967</x:v>
      </x:c>
      <x:c r="C1436" s="6" t="str">
        <x:v>Graduation</x:v>
      </x:c>
      <x:c r="D1436" s="6" t="str">
        <x:v>Divorced</x:v>
      </x:c>
      <x:c r="E1436" s="6" t="n">
        <x:v>70844</x:v>
      </x:c>
      <x:c r="F1436" s="6" t="n">
        <x:v>1</x:v>
      </x:c>
      <x:c r="G1436" s="6" t="n">
        <x:v>1</x:v>
      </x:c>
      <x:c r="H1436" s="9" t="str">
        <x:v>30-10-2013</x:v>
      </x:c>
      <x:c r="I1436" s="6" t="n">
        <x:v>16</x:v>
      </x:c>
      <x:c r="J1436" s="6" t="n">
        <x:v>129</x:v>
      </x:c>
      <x:c r="K1436" s="6" t="n">
        <x:v>26</x:v>
      </x:c>
      <x:c r="L1436" s="6" t="n">
        <x:v>67</x:v>
      </x:c>
      <x:c r="M1436" s="6" t="n">
        <x:v>3</x:v>
      </x:c>
      <x:c r="N1436" s="6" t="n">
        <x:v>67</x:v>
      </x:c>
      <x:c r="O1436" s="6" t="n">
        <x:v>2</x:v>
      </x:c>
      <x:c r="P1436" s="6" t="n">
        <x:v>5</x:v>
      </x:c>
      <x:c r="Q1436" s="6" t="n">
        <x:v>6</x:v>
      </x:c>
      <x:c r="R1436" s="6" t="n">
        <x:v>1</x:v>
      </x:c>
      <x:c r="S1436" s="6" t="n">
        <x:v>5</x:v>
      </x:c>
      <x:c r="T1436" s="6" t="n">
        <x:v>7</x:v>
      </x:c>
      <x:c r="U1436" s="6" t="n">
        <x:v>0</x:v>
      </x:c>
      <x:c r="V1436" s="6" t="n">
        <x:v>0</x:v>
      </x:c>
      <x:c r="W1436" s="6" t="n">
        <x:v>0</x:v>
      </x:c>
      <x:c r="X1436" s="6" t="n">
        <x:v>0</x:v>
      </x:c>
      <x:c r="Y1436" s="6" t="n">
        <x:v>0</x:v>
      </x:c>
      <x:c r="Z1436" s="6" t="n">
        <x:v>0</x:v>
      </x:c>
      <x:c r="AA1436" s="6" t="n">
        <x:v>3</x:v>
      </x:c>
      <x:c r="AB1436" s="6" t="n">
        <x:v>11</x:v>
      </x:c>
      <x:c r="AC1436" s="6" t="n">
        <x:v>0</x:v>
      </x:c>
    </x:row>
    <x:row r="1437">
      <x:c r="A1437" s="6" t="n">
        <x:v>922</x:v>
      </x:c>
      <x:c r="B1437" s="6" t="n">
        <x:v>1979</x:v>
      </x:c>
      <x:c r="C1437" s="6" t="str">
        <x:v>2n Cycle</x:v>
      </x:c>
      <x:c r="D1437" s="6" t="str">
        <x:v>Married</x:v>
      </x:c>
      <x:c r="E1437" s="6" t="n">
        <x:v>31086</x:v>
      </x:c>
      <x:c r="F1437" s="6" t="n">
        <x:v>1</x:v>
      </x:c>
      <x:c r="G1437" s="6" t="n">
        <x:v>1</x:v>
      </x:c>
      <x:c r="H1437" s="9" t="str">
        <x:v>04-05-2013</x:v>
      </x:c>
      <x:c r="I1437" s="6" t="n">
        <x:v>79</x:v>
      </x:c>
      <x:c r="J1437" s="6" t="n">
        <x:v>16</x:v>
      </x:c>
      <x:c r="K1437" s="6" t="n">
        <x:v>2</x:v>
      </x:c>
      <x:c r="L1437" s="6" t="n">
        <x:v>11</x:v>
      </x:c>
      <x:c r="M1437" s="6" t="n">
        <x:v>3</x:v>
      </x:c>
      <x:c r="N1437" s="6" t="n">
        <x:v>0</x:v>
      </x:c>
      <x:c r="O1437" s="6" t="n">
        <x:v>16</x:v>
      </x:c>
      <x:c r="P1437" s="6" t="n">
        <x:v>2</x:v>
      </x:c>
      <x:c r="Q1437" s="6" t="n">
        <x:v>1</x:v>
      </x:c>
      <x:c r="R1437" s="6" t="n">
        <x:v>1</x:v>
      </x:c>
      <x:c r="S1437" s="6" t="n">
        <x:v>2</x:v>
      </x:c>
      <x:c r="T1437" s="6" t="n">
        <x:v>8</x:v>
      </x:c>
      <x:c r="U1437" s="6" t="n">
        <x:v>1</x:v>
      </x:c>
      <x:c r="V1437" s="6" t="n">
        <x:v>0</x:v>
      </x:c>
      <x:c r="W1437" s="6" t="n">
        <x:v>0</x:v>
      </x:c>
      <x:c r="X1437" s="6" t="n">
        <x:v>0</x:v>
      </x:c>
      <x:c r="Y1437" s="6" t="n">
        <x:v>0</x:v>
      </x:c>
      <x:c r="Z1437" s="6" t="n">
        <x:v>0</x:v>
      </x:c>
      <x:c r="AA1437" s="6" t="n">
        <x:v>3</x:v>
      </x:c>
      <x:c r="AB1437" s="6" t="n">
        <x:v>11</x:v>
      </x:c>
      <x:c r="AC1437" s="6" t="n">
        <x:v>0</x:v>
      </x:c>
    </x:row>
    <x:row r="1438">
      <x:c r="A1438" s="6" t="n">
        <x:v>8588</x:v>
      </x:c>
      <x:c r="B1438" s="6" t="n">
        <x:v>1961</x:v>
      </x:c>
      <x:c r="C1438" s="6" t="str">
        <x:v>Graduation</x:v>
      </x:c>
      <x:c r="D1438" s="6" t="str">
        <x:v>Married</x:v>
      </x:c>
      <x:c r="E1438" s="6" t="n">
        <x:v>60544</x:v>
      </x:c>
      <x:c r="F1438" s="6" t="n">
        <x:v>1</x:v>
      </x:c>
      <x:c r="G1438" s="6" t="n">
        <x:v>1</x:v>
      </x:c>
      <x:c r="H1438" s="9" t="str">
        <x:v>25-08-2012</x:v>
      </x:c>
      <x:c r="I1438" s="6" t="n">
        <x:v>92</x:v>
      </x:c>
      <x:c r="J1438" s="6" t="n">
        <x:v>201</x:v>
      </x:c>
      <x:c r="K1438" s="6" t="n">
        <x:v>2</x:v>
      </x:c>
      <x:c r="L1438" s="6" t="n">
        <x:v>43</x:v>
      </x:c>
      <x:c r="M1438" s="6" t="n">
        <x:v>3</x:v>
      </x:c>
      <x:c r="N1438" s="6" t="n">
        <x:v>5</x:v>
      </x:c>
      <x:c r="O1438" s="6" t="n">
        <x:v>35</x:v>
      </x:c>
      <x:c r="P1438" s="6" t="n">
        <x:v>4</x:v>
      </x:c>
      <x:c r="Q1438" s="6" t="n">
        <x:v>5</x:v>
      </x:c>
      <x:c r="R1438" s="6" t="n">
        <x:v>1</x:v>
      </x:c>
      <x:c r="S1438" s="6" t="n">
        <x:v>5</x:v>
      </x:c>
      <x:c r="T1438" s="6" t="n">
        <x:v>6</x:v>
      </x:c>
      <x:c r="U1438" s="6" t="n">
        <x:v>0</x:v>
      </x:c>
      <x:c r="V1438" s="6" t="n">
        <x:v>0</x:v>
      </x:c>
      <x:c r="W1438" s="6" t="n">
        <x:v>0</x:v>
      </x:c>
      <x:c r="X1438" s="6" t="n">
        <x:v>0</x:v>
      </x:c>
      <x:c r="Y1438" s="6" t="n">
        <x:v>0</x:v>
      </x:c>
      <x:c r="Z1438" s="6" t="n">
        <x:v>0</x:v>
      </x:c>
      <x:c r="AA1438" s="6" t="n">
        <x:v>3</x:v>
      </x:c>
      <x:c r="AB1438" s="6" t="n">
        <x:v>11</x:v>
      </x:c>
      <x:c r="AC1438" s="6" t="n">
        <x:v>0</x:v>
      </x:c>
    </x:row>
    <x:row r="1439">
      <x:c r="A1439" s="6" t="n">
        <x:v>2518</x:v>
      </x:c>
      <x:c r="B1439" s="6" t="n">
        <x:v>1986</x:v>
      </x:c>
      <x:c r="C1439" s="6" t="str">
        <x:v>2n Cycle</x:v>
      </x:c>
      <x:c r="D1439" s="6" t="str">
        <x:v>Together</x:v>
      </x:c>
      <x:c r="E1439" s="6" t="n">
        <x:v>20491</x:v>
      </x:c>
      <x:c r="F1439" s="6" t="n">
        <x:v>0</x:v>
      </x:c>
      <x:c r="G1439" s="6" t="n">
        <x:v>0</x:v>
      </x:c>
      <x:c r="H1439" s="9" t="str">
        <x:v>25-01-2013</x:v>
      </x:c>
      <x:c r="I1439" s="6" t="n">
        <x:v>16</x:v>
      </x:c>
      <x:c r="J1439" s="6" t="n">
        <x:v>5</x:v>
      </x:c>
      <x:c r="K1439" s="6" t="n">
        <x:v>4</x:v>
      </x:c>
      <x:c r="L1439" s="6" t="n">
        <x:v>5</x:v>
      </x:c>
      <x:c r="M1439" s="6" t="n">
        <x:v>4</x:v>
      </x:c>
      <x:c r="N1439" s="6" t="n">
        <x:v>2</x:v>
      </x:c>
      <x:c r="O1439" s="6" t="n">
        <x:v>10</x:v>
      </x:c>
      <x:c r="P1439" s="6" t="n">
        <x:v>1</x:v>
      </x:c>
      <x:c r="Q1439" s="6" t="n">
        <x:v>0</x:v>
      </x:c>
      <x:c r="R1439" s="6" t="n">
        <x:v>1</x:v>
      </x:c>
      <x:c r="S1439" s="6" t="n">
        <x:v>2</x:v>
      </x:c>
      <x:c r="T1439" s="6" t="n">
        <x:v>7</x:v>
      </x:c>
      <x:c r="U1439" s="6" t="n">
        <x:v>0</x:v>
      </x:c>
      <x:c r="V1439" s="6" t="n">
        <x:v>0</x:v>
      </x:c>
      <x:c r="W1439" s="6" t="n">
        <x:v>0</x:v>
      </x:c>
      <x:c r="X1439" s="6" t="n">
        <x:v>0</x:v>
      </x:c>
      <x:c r="Y1439" s="6" t="n">
        <x:v>0</x:v>
      </x:c>
      <x:c r="Z1439" s="6" t="n">
        <x:v>0</x:v>
      </x:c>
      <x:c r="AA1439" s="6" t="n">
        <x:v>3</x:v>
      </x:c>
      <x:c r="AB1439" s="6" t="n">
        <x:v>11</x:v>
      </x:c>
      <x:c r="AC1439" s="6" t="n">
        <x:v>0</x:v>
      </x:c>
    </x:row>
    <x:row r="1440">
      <x:c r="A1440" s="6" t="n">
        <x:v>574</x:v>
      </x:c>
      <x:c r="B1440" s="6" t="n">
        <x:v>1964</x:v>
      </x:c>
      <x:c r="C1440" s="6" t="str">
        <x:v>Graduation</x:v>
      </x:c>
      <x:c r="D1440" s="6" t="str">
        <x:v>Married</x:v>
      </x:c>
      <x:c r="E1440" s="6" t="n">
        <x:v>42523</x:v>
      </x:c>
      <x:c r="F1440" s="6" t="n">
        <x:v>0</x:v>
      </x:c>
      <x:c r="G1440" s="6" t="n">
        <x:v>0</x:v>
      </x:c>
      <x:c r="H1440" s="9" t="str">
        <x:v>23-04-2014</x:v>
      </x:c>
      <x:c r="I1440" s="6" t="n">
        <x:v>96</x:v>
      </x:c>
      <x:c r="J1440" s="6" t="n">
        <x:v>14</x:v>
      </x:c>
      <x:c r="K1440" s="6" t="n">
        <x:v>36</x:v>
      </x:c>
      <x:c r="L1440" s="6" t="n">
        <x:v>11</x:v>
      </x:c>
      <x:c r="M1440" s="6" t="n">
        <x:v>3</x:v>
      </x:c>
      <x:c r="N1440" s="6" t="n">
        <x:v>26</x:v>
      </x:c>
      <x:c r="O1440" s="6" t="n">
        <x:v>35</x:v>
      </x:c>
      <x:c r="P1440" s="6" t="n">
        <x:v>1</x:v>
      </x:c>
      <x:c r="Q1440" s="6" t="n">
        <x:v>1</x:v>
      </x:c>
      <x:c r="R1440" s="6" t="n">
        <x:v>1</x:v>
      </x:c>
      <x:c r="S1440" s="6" t="n">
        <x:v>4</x:v>
      </x:c>
      <x:c r="T1440" s="6" t="n">
        <x:v>2</x:v>
      </x:c>
      <x:c r="U1440" s="6" t="n">
        <x:v>0</x:v>
      </x:c>
      <x:c r="V1440" s="6" t="n">
        <x:v>0</x:v>
      </x:c>
      <x:c r="W1440" s="6" t="n">
        <x:v>0</x:v>
      </x:c>
      <x:c r="X1440" s="6" t="n">
        <x:v>0</x:v>
      </x:c>
      <x:c r="Y1440" s="6" t="n">
        <x:v>0</x:v>
      </x:c>
      <x:c r="Z1440" s="6" t="n">
        <x:v>0</x:v>
      </x:c>
      <x:c r="AA1440" s="6" t="n">
        <x:v>3</x:v>
      </x:c>
      <x:c r="AB1440" s="6" t="n">
        <x:v>11</x:v>
      </x:c>
      <x:c r="AC1440" s="6" t="n">
        <x:v>0</x:v>
      </x:c>
    </x:row>
    <x:row r="1441">
      <x:c r="A1441" s="6" t="n">
        <x:v>3220</x:v>
      </x:c>
      <x:c r="B1441" s="6" t="n">
        <x:v>1983</x:v>
      </x:c>
      <x:c r="C1441" s="6" t="str">
        <x:v>Graduation</x:v>
      </x:c>
      <x:c r="D1441" s="6" t="str">
        <x:v>Married</x:v>
      </x:c>
      <x:c r="E1441" s="6" t="n">
        <x:v>39922</x:v>
      </x:c>
      <x:c r="F1441" s="6" t="n">
        <x:v>1</x:v>
      </x:c>
      <x:c r="G1441" s="6" t="n">
        <x:v>0</x:v>
      </x:c>
      <x:c r="H1441" s="9" t="str">
        <x:v>14-02-2013</x:v>
      </x:c>
      <x:c r="I1441" s="6" t="n">
        <x:v>30</x:v>
      </x:c>
      <x:c r="J1441" s="6" t="n">
        <x:v>29</x:v>
      </x:c>
      <x:c r="K1441" s="6" t="n">
        <x:v>12</x:v>
      </x:c>
      <x:c r="L1441" s="6" t="n">
        <x:v>59</x:v>
      </x:c>
      <x:c r="M1441" s="6" t="n">
        <x:v>19</x:v>
      </x:c>
      <x:c r="N1441" s="6" t="n">
        <x:v>1</x:v>
      </x:c>
      <x:c r="O1441" s="6" t="n">
        <x:v>36</x:v>
      </x:c>
      <x:c r="P1441" s="6" t="n">
        <x:v>2</x:v>
      </x:c>
      <x:c r="Q1441" s="6" t="n">
        <x:v>3</x:v>
      </x:c>
      <x:c r="R1441" s="6" t="n">
        <x:v>0</x:v>
      </x:c>
      <x:c r="S1441" s="6" t="n">
        <x:v>4</x:v>
      </x:c>
      <x:c r="T1441" s="6" t="n">
        <x:v>8</x:v>
      </x:c>
      <x:c r="U1441" s="6" t="n">
        <x:v>0</x:v>
      </x:c>
      <x:c r="V1441" s="6" t="n">
        <x:v>0</x:v>
      </x:c>
      <x:c r="W1441" s="6" t="n">
        <x:v>0</x:v>
      </x:c>
      <x:c r="X1441" s="6" t="n">
        <x:v>0</x:v>
      </x:c>
      <x:c r="Y1441" s="6" t="n">
        <x:v>0</x:v>
      </x:c>
      <x:c r="Z1441" s="6" t="n">
        <x:v>0</x:v>
      </x:c>
      <x:c r="AA1441" s="6" t="n">
        <x:v>3</x:v>
      </x:c>
      <x:c r="AB1441" s="6" t="n">
        <x:v>11</x:v>
      </x:c>
      <x:c r="AC1441" s="6" t="n">
        <x:v>0</x:v>
      </x:c>
    </x:row>
    <x:row r="1442">
      <x:c r="A1442" s="6" t="n">
        <x:v>5967</x:v>
      </x:c>
      <x:c r="B1442" s="6" t="n">
        <x:v>1952</x:v>
      </x:c>
      <x:c r="C1442" s="6" t="str">
        <x:v>Graduation</x:v>
      </x:c>
      <x:c r="D1442" s="6" t="str">
        <x:v>Together</x:v>
      </x:c>
      <x:c r="E1442" s="6" t="n">
        <x:v>33402</x:v>
      </x:c>
      <x:c r="F1442" s="6" t="n">
        <x:v>1</x:v>
      </x:c>
      <x:c r="G1442" s="6" t="n">
        <x:v>1</x:v>
      </x:c>
      <x:c r="H1442" s="9" t="str">
        <x:v>18-07-2013</x:v>
      </x:c>
      <x:c r="I1442" s="6" t="n">
        <x:v>60</x:v>
      </x:c>
      <x:c r="J1442" s="6" t="n">
        <x:v>26</x:v>
      </x:c>
      <x:c r="K1442" s="6" t="n">
        <x:v>2</x:v>
      </x:c>
      <x:c r="L1442" s="6" t="n">
        <x:v>19</x:v>
      </x:c>
      <x:c r="M1442" s="6" t="n">
        <x:v>10</x:v>
      </x:c>
      <x:c r="N1442" s="6" t="n">
        <x:v>5</x:v>
      </x:c>
      <x:c r="O1442" s="6" t="n">
        <x:v>8</x:v>
      </x:c>
      <x:c r="P1442" s="6" t="n">
        <x:v>3</x:v>
      </x:c>
      <x:c r="Q1442" s="6" t="n">
        <x:v>2</x:v>
      </x:c>
      <x:c r="R1442" s="6" t="n">
        <x:v>1</x:v>
      </x:c>
      <x:c r="S1442" s="6" t="n">
        <x:v>3</x:v>
      </x:c>
      <x:c r="T1442" s="6" t="n">
        <x:v>8</x:v>
      </x:c>
      <x:c r="U1442" s="6" t="n">
        <x:v>0</x:v>
      </x:c>
      <x:c r="V1442" s="6" t="n">
        <x:v>0</x:v>
      </x:c>
      <x:c r="W1442" s="6" t="n">
        <x:v>0</x:v>
      </x:c>
      <x:c r="X1442" s="6" t="n">
        <x:v>0</x:v>
      </x:c>
      <x:c r="Y1442" s="6" t="n">
        <x:v>0</x:v>
      </x:c>
      <x:c r="Z1442" s="6" t="n">
        <x:v>0</x:v>
      </x:c>
      <x:c r="AA1442" s="6" t="n">
        <x:v>3</x:v>
      </x:c>
      <x:c r="AB1442" s="6" t="n">
        <x:v>11</x:v>
      </x:c>
      <x:c r="AC1442" s="6" t="n">
        <x:v>0</x:v>
      </x:c>
    </x:row>
    <x:row r="1443">
      <x:c r="A1443" s="6" t="n">
        <x:v>1183</x:v>
      </x:c>
      <x:c r="B1443" s="6" t="n">
        <x:v>1949</x:v>
      </x:c>
      <x:c r="C1443" s="6" t="str">
        <x:v>Master</x:v>
      </x:c>
      <x:c r="D1443" s="6" t="str">
        <x:v>Married</x:v>
      </x:c>
      <x:c r="E1443" s="6" t="n">
        <x:v>36408</x:v>
      </x:c>
      <x:c r="F1443" s="6" t="n">
        <x:v>1</x:v>
      </x:c>
      <x:c r="G1443" s="6" t="n">
        <x:v>1</x:v>
      </x:c>
      <x:c r="H1443" s="9" t="str">
        <x:v>21-09-2013</x:v>
      </x:c>
      <x:c r="I1443" s="6" t="n">
        <x:v>11</x:v>
      </x:c>
      <x:c r="J1443" s="6" t="n">
        <x:v>9</x:v>
      </x:c>
      <x:c r="K1443" s="6" t="n">
        <x:v>1</x:v>
      </x:c>
      <x:c r="L1443" s="6" t="n">
        <x:v>4</x:v>
      </x:c>
      <x:c r="M1443" s="6" t="n">
        <x:v>3</x:v>
      </x:c>
      <x:c r="N1443" s="6" t="n">
        <x:v>2</x:v>
      </x:c>
      <x:c r="O1443" s="6" t="n">
        <x:v>3</x:v>
      </x:c>
      <x:c r="P1443" s="6" t="n">
        <x:v>1</x:v>
      </x:c>
      <x:c r="Q1443" s="6" t="n">
        <x:v>1</x:v>
      </x:c>
      <x:c r="R1443" s="6" t="n">
        <x:v>0</x:v>
      </x:c>
      <x:c r="S1443" s="6" t="n">
        <x:v>2</x:v>
      </x:c>
      <x:c r="T1443" s="6" t="n">
        <x:v>6</x:v>
      </x:c>
      <x:c r="U1443" s="6" t="n">
        <x:v>0</x:v>
      </x:c>
      <x:c r="V1443" s="6" t="n">
        <x:v>0</x:v>
      </x:c>
      <x:c r="W1443" s="6" t="n">
        <x:v>0</x:v>
      </x:c>
      <x:c r="X1443" s="6" t="n">
        <x:v>0</x:v>
      </x:c>
      <x:c r="Y1443" s="6" t="n">
        <x:v>0</x:v>
      </x:c>
      <x:c r="Z1443" s="6" t="n">
        <x:v>0</x:v>
      </x:c>
      <x:c r="AA1443" s="6" t="n">
        <x:v>3</x:v>
      </x:c>
      <x:c r="AB1443" s="6" t="n">
        <x:v>11</x:v>
      </x:c>
      <x:c r="AC1443" s="6" t="n">
        <x:v>0</x:v>
      </x:c>
    </x:row>
    <x:row r="1444">
      <x:c r="A1444" s="6" t="n">
        <x:v>6856</x:v>
      </x:c>
      <x:c r="B1444" s="6" t="n">
        <x:v>1979</x:v>
      </x:c>
      <x:c r="C1444" s="6" t="str">
        <x:v>Graduation</x:v>
      </x:c>
      <x:c r="D1444" s="6" t="str">
        <x:v>Together</x:v>
      </x:c>
      <x:c r="E1444" s="6" t="n">
        <x:v>21645</x:v>
      </x:c>
      <x:c r="F1444" s="6" t="n">
        <x:v>1</x:v>
      </x:c>
      <x:c r="G1444" s="6" t="n">
        <x:v>0</x:v>
      </x:c>
      <x:c r="H1444" s="9" t="str">
        <x:v>03-09-2012</x:v>
      </x:c>
      <x:c r="I1444" s="6" t="n">
        <x:v>75</x:v>
      </x:c>
      <x:c r="J1444" s="6" t="n">
        <x:v>14</x:v>
      </x:c>
      <x:c r="K1444" s="6" t="n">
        <x:v>0</x:v>
      </x:c>
      <x:c r="L1444" s="6" t="n">
        <x:v>23</x:v>
      </x:c>
      <x:c r="M1444" s="6" t="n">
        <x:v>4</x:v>
      </x:c>
      <x:c r="N1444" s="6" t="n">
        <x:v>5</x:v>
      </x:c>
      <x:c r="O1444" s="6" t="n">
        <x:v>19</x:v>
      </x:c>
      <x:c r="P1444" s="6" t="n">
        <x:v>3</x:v>
      </x:c>
      <x:c r="Q1444" s="6" t="n">
        <x:v>3</x:v>
      </x:c>
      <x:c r="R1444" s="6" t="n">
        <x:v>0</x:v>
      </x:c>
      <x:c r="S1444" s="6" t="n">
        <x:v>3</x:v>
      </x:c>
      <x:c r="T1444" s="6" t="n">
        <x:v>9</x:v>
      </x:c>
      <x:c r="U1444" s="6" t="n">
        <x:v>0</x:v>
      </x:c>
      <x:c r="V1444" s="6" t="n">
        <x:v>0</x:v>
      </x:c>
      <x:c r="W1444" s="6" t="n">
        <x:v>0</x:v>
      </x:c>
      <x:c r="X1444" s="6" t="n">
        <x:v>0</x:v>
      </x:c>
      <x:c r="Y1444" s="6" t="n">
        <x:v>0</x:v>
      </x:c>
      <x:c r="Z1444" s="6" t="n">
        <x:v>0</x:v>
      </x:c>
      <x:c r="AA1444" s="6" t="n">
        <x:v>3</x:v>
      </x:c>
      <x:c r="AB1444" s="6" t="n">
        <x:v>11</x:v>
      </x:c>
      <x:c r="AC1444" s="6" t="n">
        <x:v>1</x:v>
      </x:c>
    </x:row>
    <x:row r="1445">
      <x:c r="A1445" s="6" t="n">
        <x:v>4530</x:v>
      </x:c>
      <x:c r="B1445" s="6" t="n">
        <x:v>1948</x:v>
      </x:c>
      <x:c r="C1445" s="6" t="str">
        <x:v>Master</x:v>
      </x:c>
      <x:c r="D1445" s="6" t="str">
        <x:v>Widow</x:v>
      </x:c>
      <x:c r="E1445" s="6" t="n">
        <x:v>78427</x:v>
      </x:c>
      <x:c r="F1445" s="6" t="n">
        <x:v>0</x:v>
      </x:c>
      <x:c r="G1445" s="6" t="n">
        <x:v>0</x:v>
      </x:c>
      <x:c r="H1445" s="9" t="str">
        <x:v>24-10-2012</x:v>
      </x:c>
      <x:c r="I1445" s="6" t="n">
        <x:v>36</x:v>
      </x:c>
      <x:c r="J1445" s="6" t="n">
        <x:v>972</x:v>
      </x:c>
      <x:c r="K1445" s="6" t="n">
        <x:v>19</x:v>
      </x:c>
      <x:c r="L1445" s="6" t="n">
        <x:v>595</x:v>
      </x:c>
      <x:c r="M1445" s="6" t="n">
        <x:v>180</x:v>
      </x:c>
      <x:c r="N1445" s="6" t="n">
        <x:v>26</x:v>
      </x:c>
      <x:c r="O1445" s="6" t="n">
        <x:v>138</x:v>
      </x:c>
      <x:c r="P1445" s="6" t="n">
        <x:v>3</x:v>
      </x:c>
      <x:c r="Q1445" s="6" t="n">
        <x:v>3</x:v>
      </x:c>
      <x:c r="R1445" s="6" t="n">
        <x:v>7</x:v>
      </x:c>
      <x:c r="S1445" s="6" t="n">
        <x:v>10</x:v>
      </x:c>
      <x:c r="T1445" s="6" t="n">
        <x:v>3</x:v>
      </x:c>
      <x:c r="U1445" s="6" t="n">
        <x:v>0</x:v>
      </x:c>
      <x:c r="V1445" s="6" t="n">
        <x:v>0</x:v>
      </x:c>
      <x:c r="W1445" s="6" t="n">
        <x:v>0</x:v>
      </x:c>
      <x:c r="X1445" s="6" t="n">
        <x:v>1</x:v>
      </x:c>
      <x:c r="Y1445" s="6" t="n">
        <x:v>0</x:v>
      </x:c>
      <x:c r="Z1445" s="6" t="n">
        <x:v>0</x:v>
      </x:c>
      <x:c r="AA1445" s="6" t="n">
        <x:v>3</x:v>
      </x:c>
      <x:c r="AB1445" s="6" t="n">
        <x:v>11</x:v>
      </x:c>
      <x:c r="AC1445" s="6" t="n">
        <x:v>1</x:v>
      </x:c>
    </x:row>
    <x:row r="1446">
      <x:c r="A1446" s="6" t="n">
        <x:v>1553</x:v>
      </x:c>
      <x:c r="B1446" s="6" t="n">
        <x:v>1946</x:v>
      </x:c>
      <x:c r="C1446" s="6" t="str">
        <x:v>Graduation</x:v>
      </x:c>
      <x:c r="D1446" s="6" t="str">
        <x:v>Together</x:v>
      </x:c>
      <x:c r="E1446" s="6" t="n">
        <x:v>82657</x:v>
      </x:c>
      <x:c r="F1446" s="6" t="n">
        <x:v>0</x:v>
      </x:c>
      <x:c r="G1446" s="6" t="n">
        <x:v>0</x:v>
      </x:c>
      <x:c r="H1446" s="9" t="str">
        <x:v>27-09-2013</x:v>
      </x:c>
      <x:c r="I1446" s="6" t="n">
        <x:v>71</x:v>
      </x:c>
      <x:c r="J1446" s="6" t="n">
        <x:v>966</x:v>
      </x:c>
      <x:c r="K1446" s="6" t="n">
        <x:v>168</x:v>
      </x:c>
      <x:c r="L1446" s="6" t="n">
        <x:v>672</x:v>
      </x:c>
      <x:c r="M1446" s="6" t="n">
        <x:v>246</x:v>
      </x:c>
      <x:c r="N1446" s="6" t="n">
        <x:v>105</x:v>
      </x:c>
      <x:c r="O1446" s="6" t="n">
        <x:v>126</x:v>
      </x:c>
      <x:c r="P1446" s="6" t="n">
        <x:v>1</x:v>
      </x:c>
      <x:c r="Q1446" s="6" t="n">
        <x:v>7</x:v>
      </x:c>
      <x:c r="R1446" s="6" t="n">
        <x:v>5</x:v>
      </x:c>
      <x:c r="S1446" s="6" t="n">
        <x:v>10</x:v>
      </x:c>
      <x:c r="T1446" s="6" t="n">
        <x:v>4</x:v>
      </x:c>
      <x:c r="U1446" s="6" t="n">
        <x:v>0</x:v>
      </x:c>
      <x:c r="V1446" s="6" t="n">
        <x:v>1</x:v>
      </x:c>
      <x:c r="W1446" s="6" t="n">
        <x:v>0</x:v>
      </x:c>
      <x:c r="X1446" s="6" t="n">
        <x:v>1</x:v>
      </x:c>
      <x:c r="Y1446" s="6" t="n">
        <x:v>0</x:v>
      </x:c>
      <x:c r="Z1446" s="6" t="n">
        <x:v>0</x:v>
      </x:c>
      <x:c r="AA1446" s="6" t="n">
        <x:v>3</x:v>
      </x:c>
      <x:c r="AB1446" s="6" t="n">
        <x:v>11</x:v>
      </x:c>
      <x:c r="AC1446" s="6" t="n">
        <x:v>0</x:v>
      </x:c>
    </x:row>
    <x:row r="1447">
      <x:c r="A1447" s="6" t="n">
        <x:v>4682</x:v>
      </x:c>
      <x:c r="B1447" s="6" t="n">
        <x:v>1958</x:v>
      </x:c>
      <x:c r="C1447" s="6" t="str">
        <x:v>Graduation</x:v>
      </x:c>
      <x:c r="D1447" s="6" t="str">
        <x:v>Married</x:v>
      </x:c>
      <x:c r="E1447" s="6" t="n">
        <x:v>51876</x:v>
      </x:c>
      <x:c r="F1447" s="6" t="n">
        <x:v>0</x:v>
      </x:c>
      <x:c r="G1447" s="6" t="n">
        <x:v>0</x:v>
      </x:c>
      <x:c r="H1447" s="9" t="str">
        <x:v>15-10-2013</x:v>
      </x:c>
      <x:c r="I1447" s="6" t="n">
        <x:v>88</x:v>
      </x:c>
      <x:c r="J1447" s="6" t="n">
        <x:v>99</x:v>
      </x:c>
      <x:c r="K1447" s="6" t="n">
        <x:v>27</x:v>
      </x:c>
      <x:c r="L1447" s="6" t="n">
        <x:v>102</x:v>
      </x:c>
      <x:c r="M1447" s="6" t="n">
        <x:v>28</x:v>
      </x:c>
      <x:c r="N1447" s="6" t="n">
        <x:v>48</x:v>
      </x:c>
      <x:c r="O1447" s="6" t="n">
        <x:v>6</x:v>
      </x:c>
      <x:c r="P1447" s="6" t="n">
        <x:v>1</x:v>
      </x:c>
      <x:c r="Q1447" s="6" t="n">
        <x:v>2</x:v>
      </x:c>
      <x:c r="R1447" s="6" t="n">
        <x:v>2</x:v>
      </x:c>
      <x:c r="S1447" s="6" t="n">
        <x:v>8</x:v>
      </x:c>
      <x:c r="T1447" s="6" t="n">
        <x:v>1</x:v>
      </x:c>
      <x:c r="U1447" s="6" t="n">
        <x:v>0</x:v>
      </x:c>
      <x:c r="V1447" s="6" t="n">
        <x:v>0</x:v>
      </x:c>
      <x:c r="W1447" s="6" t="n">
        <x:v>0</x:v>
      </x:c>
      <x:c r="X1447" s="6" t="n">
        <x:v>0</x:v>
      </x:c>
      <x:c r="Y1447" s="6" t="n">
        <x:v>0</x:v>
      </x:c>
      <x:c r="Z1447" s="6" t="n">
        <x:v>0</x:v>
      </x:c>
      <x:c r="AA1447" s="6" t="n">
        <x:v>3</x:v>
      </x:c>
      <x:c r="AB1447" s="6" t="n">
        <x:v>11</x:v>
      </x:c>
      <x:c r="AC1447" s="6" t="n">
        <x:v>0</x:v>
      </x:c>
    </x:row>
    <x:row r="1448">
      <x:c r="A1448" s="6" t="n">
        <x:v>8204</x:v>
      </x:c>
      <x:c r="B1448" s="6" t="n">
        <x:v>1971</x:v>
      </x:c>
      <x:c r="C1448" s="6" t="str">
        <x:v>2n Cycle</x:v>
      </x:c>
      <x:c r="D1448" s="6" t="str">
        <x:v>Married</x:v>
      </x:c>
      <x:c r="E1448" s="6" t="n">
        <x:v>78041</x:v>
      </x:c>
      <x:c r="F1448" s="6" t="n">
        <x:v>0</x:v>
      </x:c>
      <x:c r="G1448" s="6" t="n">
        <x:v>0</x:v>
      </x:c>
      <x:c r="H1448" s="9" t="str">
        <x:v>16-12-2012</x:v>
      </x:c>
      <x:c r="I1448" s="6" t="n">
        <x:v>93</x:v>
      </x:c>
      <x:c r="J1448" s="6" t="n">
        <x:v>482</x:v>
      </x:c>
      <x:c r="K1448" s="6" t="n">
        <x:v>35</x:v>
      </x:c>
      <x:c r="L1448" s="6" t="n">
        <x:v>553</x:v>
      </x:c>
      <x:c r="M1448" s="6" t="n">
        <x:v>72</x:v>
      </x:c>
      <x:c r="N1448" s="6" t="n">
        <x:v>160</x:v>
      </x:c>
      <x:c r="O1448" s="6" t="n">
        <x:v>17</x:v>
      </x:c>
      <x:c r="P1448" s="6" t="n">
        <x:v>1</x:v>
      </x:c>
      <x:c r="Q1448" s="6" t="n">
        <x:v>4</x:v>
      </x:c>
      <x:c r="R1448" s="6" t="n">
        <x:v>4</x:v>
      </x:c>
      <x:c r="S1448" s="6" t="n">
        <x:v>9</x:v>
      </x:c>
      <x:c r="T1448" s="6" t="n">
        <x:v>2</x:v>
      </x:c>
      <x:c r="U1448" s="6" t="n">
        <x:v>0</x:v>
      </x:c>
      <x:c r="V1448" s="6" t="n">
        <x:v>0</x:v>
      </x:c>
      <x:c r="W1448" s="6" t="n">
        <x:v>0</x:v>
      </x:c>
      <x:c r="X1448" s="6" t="n">
        <x:v>0</x:v>
      </x:c>
      <x:c r="Y1448" s="6" t="n">
        <x:v>0</x:v>
      </x:c>
      <x:c r="Z1448" s="6" t="n">
        <x:v>0</x:v>
      </x:c>
      <x:c r="AA1448" s="6" t="n">
        <x:v>3</x:v>
      </x:c>
      <x:c r="AB1448" s="6" t="n">
        <x:v>11</x:v>
      </x:c>
      <x:c r="AC1448" s="6" t="n">
        <x:v>0</x:v>
      </x:c>
    </x:row>
    <x:row r="1449">
      <x:c r="A1449" s="6" t="n">
        <x:v>5221</x:v>
      </x:c>
      <x:c r="B1449" s="6" t="n">
        <x:v>1957</x:v>
      </x:c>
      <x:c r="C1449" s="6" t="str">
        <x:v>Graduation</x:v>
      </x:c>
      <x:c r="D1449" s="6" t="str">
        <x:v>Married</x:v>
      </x:c>
      <x:c r="E1449" s="6" t="n">
        <x:v>52852</x:v>
      </x:c>
      <x:c r="F1449" s="6" t="n">
        <x:v>0</x:v>
      </x:c>
      <x:c r="G1449" s="6" t="n">
        <x:v>1</x:v>
      </x:c>
      <x:c r="H1449" s="9" t="str">
        <x:v>01-12-2012</x:v>
      </x:c>
      <x:c r="I1449" s="6" t="n">
        <x:v>93</x:v>
      </x:c>
      <x:c r="J1449" s="6" t="n">
        <x:v>714</x:v>
      </x:c>
      <x:c r="K1449" s="6" t="n">
        <x:v>8</x:v>
      </x:c>
      <x:c r="L1449" s="6" t="n">
        <x:v>99</x:v>
      </x:c>
      <x:c r="M1449" s="6" t="n">
        <x:v>11</x:v>
      </x:c>
      <x:c r="N1449" s="6" t="n">
        <x:v>0</x:v>
      </x:c>
      <x:c r="O1449" s="6" t="n">
        <x:v>47</x:v>
      </x:c>
      <x:c r="P1449" s="6" t="n">
        <x:v>4</x:v>
      </x:c>
      <x:c r="Q1449" s="6" t="n">
        <x:v>10</x:v>
      </x:c>
      <x:c r="R1449" s="6" t="n">
        <x:v>7</x:v>
      </x:c>
      <x:c r="S1449" s="6" t="n">
        <x:v>5</x:v>
      </x:c>
      <x:c r="T1449" s="6" t="n">
        <x:v>8</x:v>
      </x:c>
      <x:c r="U1449" s="6" t="n">
        <x:v>1</x:v>
      </x:c>
      <x:c r="V1449" s="6" t="n">
        <x:v>0</x:v>
      </x:c>
      <x:c r="W1449" s="6" t="n">
        <x:v>0</x:v>
      </x:c>
      <x:c r="X1449" s="6" t="n">
        <x:v>0</x:v>
      </x:c>
      <x:c r="Y1449" s="6" t="n">
        <x:v>0</x:v>
      </x:c>
      <x:c r="Z1449" s="6" t="n">
        <x:v>0</x:v>
      </x:c>
      <x:c r="AA1449" s="6" t="n">
        <x:v>3</x:v>
      </x:c>
      <x:c r="AB1449" s="6" t="n">
        <x:v>11</x:v>
      </x:c>
      <x:c r="AC1449" s="6" t="n">
        <x:v>0</x:v>
      </x:c>
    </x:row>
    <x:row r="1450">
      <x:c r="A1450" s="6" t="n">
        <x:v>1232</x:v>
      </x:c>
      <x:c r="B1450" s="6" t="n">
        <x:v>1982</x:v>
      </x:c>
      <x:c r="C1450" s="6" t="str">
        <x:v>PhD</x:v>
      </x:c>
      <x:c r="D1450" s="6" t="str">
        <x:v>Together</x:v>
      </x:c>
      <x:c r="E1450" s="6" t="n">
        <x:v>70038</x:v>
      </x:c>
      <x:c r="F1450" s="6" t="n">
        <x:v>0</x:v>
      </x:c>
      <x:c r="G1450" s="6" t="n">
        <x:v>0</x:v>
      </x:c>
      <x:c r="H1450" s="9" t="str">
        <x:v>25-10-2013</x:v>
      </x:c>
      <x:c r="I1450" s="6" t="n">
        <x:v>54</x:v>
      </x:c>
      <x:c r="J1450" s="6" t="n">
        <x:v>587</x:v>
      </x:c>
      <x:c r="K1450" s="6" t="n">
        <x:v>54</x:v>
      </x:c>
      <x:c r="L1450" s="6" t="n">
        <x:v>348</x:v>
      </x:c>
      <x:c r="M1450" s="6" t="n">
        <x:v>71</x:v>
      </x:c>
      <x:c r="N1450" s="6" t="n">
        <x:v>54</x:v>
      </x:c>
      <x:c r="O1450" s="6" t="n">
        <x:v>130</x:v>
      </x:c>
      <x:c r="P1450" s="6" t="n">
        <x:v>1</x:v>
      </x:c>
      <x:c r="Q1450" s="6" t="n">
        <x:v>4</x:v>
      </x:c>
      <x:c r="R1450" s="6" t="n">
        <x:v>4</x:v>
      </x:c>
      <x:c r="S1450" s="6" t="n">
        <x:v>8</x:v>
      </x:c>
      <x:c r="T1450" s="6" t="n">
        <x:v>2</x:v>
      </x:c>
      <x:c r="U1450" s="6" t="n">
        <x:v>0</x:v>
      </x:c>
      <x:c r="V1450" s="6" t="n">
        <x:v>0</x:v>
      </x:c>
      <x:c r="W1450" s="6" t="n">
        <x:v>0</x:v>
      </x:c>
      <x:c r="X1450" s="6" t="n">
        <x:v>0</x:v>
      </x:c>
      <x:c r="Y1450" s="6" t="n">
        <x:v>0</x:v>
      </x:c>
      <x:c r="Z1450" s="6" t="n">
        <x:v>0</x:v>
      </x:c>
      <x:c r="AA1450" s="6" t="n">
        <x:v>3</x:v>
      </x:c>
      <x:c r="AB1450" s="6" t="n">
        <x:v>11</x:v>
      </x:c>
      <x:c r="AC1450" s="6" t="n">
        <x:v>0</x:v>
      </x:c>
    </x:row>
    <x:row r="1451">
      <x:c r="A1451" s="6" t="n">
        <x:v>1927</x:v>
      </x:c>
      <x:c r="B1451" s="6" t="n">
        <x:v>1973</x:v>
      </x:c>
      <x:c r="C1451" s="6" t="str">
        <x:v>2n Cycle</x:v>
      </x:c>
      <x:c r="D1451" s="6" t="str">
        <x:v>Together</x:v>
      </x:c>
      <x:c r="E1451" s="6" t="n">
        <x:v>69401</x:v>
      </x:c>
      <x:c r="F1451" s="6" t="n">
        <x:v>0</x:v>
      </x:c>
      <x:c r="G1451" s="6" t="n">
        <x:v>1</x:v>
      </x:c>
      <x:c r="H1451" s="9" t="str">
        <x:v>23-03-2014</x:v>
      </x:c>
      <x:c r="I1451" s="6" t="n">
        <x:v>41</x:v>
      </x:c>
      <x:c r="J1451" s="6" t="n">
        <x:v>399</x:v>
      </x:c>
      <x:c r="K1451" s="6" t="n">
        <x:v>27</x:v>
      </x:c>
      <x:c r="L1451" s="6" t="n">
        <x:v>159</x:v>
      </x:c>
      <x:c r="M1451" s="6" t="n">
        <x:v>58</x:v>
      </x:c>
      <x:c r="N1451" s="6" t="n">
        <x:v>8</x:v>
      </x:c>
      <x:c r="O1451" s="6" t="n">
        <x:v>39</x:v>
      </x:c>
      <x:c r="P1451" s="6" t="n">
        <x:v>4</x:v>
      </x:c>
      <x:c r="Q1451" s="6" t="n">
        <x:v>4</x:v>
      </x:c>
      <x:c r="R1451" s="6" t="n">
        <x:v>4</x:v>
      </x:c>
      <x:c r="S1451" s="6" t="n">
        <x:v>5</x:v>
      </x:c>
      <x:c r="T1451" s="6" t="n">
        <x:v>2</x:v>
      </x:c>
      <x:c r="U1451" s="6" t="n">
        <x:v>0</x:v>
      </x:c>
      <x:c r="V1451" s="6" t="n">
        <x:v>0</x:v>
      </x:c>
      <x:c r="W1451" s="6" t="n">
        <x:v>0</x:v>
      </x:c>
      <x:c r="X1451" s="6" t="n">
        <x:v>0</x:v>
      </x:c>
      <x:c r="Y1451" s="6" t="n">
        <x:v>0</x:v>
      </x:c>
      <x:c r="Z1451" s="6" t="n">
        <x:v>0</x:v>
      </x:c>
      <x:c r="AA1451" s="6" t="n">
        <x:v>3</x:v>
      </x:c>
      <x:c r="AB1451" s="6" t="n">
        <x:v>11</x:v>
      </x:c>
      <x:c r="AC1451" s="6" t="n">
        <x:v>0</x:v>
      </x:c>
    </x:row>
    <x:row r="1452">
      <x:c r="A1452" s="6" t="n">
        <x:v>5788</x:v>
      </x:c>
      <x:c r="B1452" s="6" t="n">
        <x:v>1972</x:v>
      </x:c>
      <x:c r="C1452" s="6" t="str">
        <x:v>Graduation</x:v>
      </x:c>
      <x:c r="D1452" s="6" t="str">
        <x:v>Together</x:v>
      </x:c>
      <x:c r="E1452" s="6" t="n">
        <x:v>46053</x:v>
      </x:c>
      <x:c r="F1452" s="6" t="n">
        <x:v>1</x:v>
      </x:c>
      <x:c r="G1452" s="6" t="n">
        <x:v>0</x:v>
      </x:c>
      <x:c r="H1452" s="9" t="str">
        <x:v>17-02-2013</x:v>
      </x:c>
      <x:c r="I1452" s="6" t="n">
        <x:v>46</x:v>
      </x:c>
      <x:c r="J1452" s="6" t="n">
        <x:v>56</x:v>
      </x:c>
      <x:c r="K1452" s="6" t="n">
        <x:v>10</x:v>
      </x:c>
      <x:c r="L1452" s="6" t="n">
        <x:v>92</x:v>
      </x:c>
      <x:c r="M1452" s="6" t="n">
        <x:v>19</x:v>
      </x:c>
      <x:c r="N1452" s="6" t="n">
        <x:v>7</x:v>
      </x:c>
      <x:c r="O1452" s="6" t="n">
        <x:v>25</x:v>
      </x:c>
      <x:c r="P1452" s="6" t="n">
        <x:v>3</x:v>
      </x:c>
      <x:c r="Q1452" s="6" t="n">
        <x:v>3</x:v>
      </x:c>
      <x:c r="R1452" s="6" t="n">
        <x:v>2</x:v>
      </x:c>
      <x:c r="S1452" s="6" t="n">
        <x:v>4</x:v>
      </x:c>
      <x:c r="T1452" s="6" t="n">
        <x:v>5</x:v>
      </x:c>
      <x:c r="U1452" s="6" t="n">
        <x:v>0</x:v>
      </x:c>
      <x:c r="V1452" s="6" t="n">
        <x:v>0</x:v>
      </x:c>
      <x:c r="W1452" s="6" t="n">
        <x:v>0</x:v>
      </x:c>
      <x:c r="X1452" s="6" t="n">
        <x:v>0</x:v>
      </x:c>
      <x:c r="Y1452" s="6" t="n">
        <x:v>0</x:v>
      </x:c>
      <x:c r="Z1452" s="6" t="n">
        <x:v>0</x:v>
      </x:c>
      <x:c r="AA1452" s="6" t="n">
        <x:v>3</x:v>
      </x:c>
      <x:c r="AB1452" s="6" t="n">
        <x:v>11</x:v>
      </x:c>
      <x:c r="AC1452" s="6" t="n">
        <x:v>0</x:v>
      </x:c>
    </x:row>
    <x:row r="1453">
      <x:c r="A1453" s="6" t="n">
        <x:v>6652</x:v>
      </x:c>
      <x:c r="B1453" s="6" t="n">
        <x:v>1965</x:v>
      </x:c>
      <x:c r="C1453" s="6" t="str">
        <x:v>Graduation</x:v>
      </x:c>
      <x:c r="D1453" s="6" t="str">
        <x:v>Married</x:v>
      </x:c>
      <x:c r="E1453" s="6" t="n">
        <x:v>77343</x:v>
      </x:c>
      <x:c r="F1453" s="6" t="n">
        <x:v>0</x:v>
      </x:c>
      <x:c r="G1453" s="6" t="n">
        <x:v>0</x:v>
      </x:c>
      <x:c r="H1453" s="9" t="str">
        <x:v>09-06-2014</x:v>
      </x:c>
      <x:c r="I1453" s="6" t="n">
        <x:v>28</x:v>
      </x:c>
      <x:c r="J1453" s="6" t="n">
        <x:v>227</x:v>
      </x:c>
      <x:c r="K1453" s="6" t="n">
        <x:v>151</x:v>
      </x:c>
      <x:c r="L1453" s="6" t="n">
        <x:v>573</x:v>
      </x:c>
      <x:c r="M1453" s="6" t="n">
        <x:v>98</x:v>
      </x:c>
      <x:c r="N1453" s="6" t="n">
        <x:v>54</x:v>
      </x:c>
      <x:c r="O1453" s="6" t="n">
        <x:v>31</x:v>
      </x:c>
      <x:c r="P1453" s="6" t="n">
        <x:v>1</x:v>
      </x:c>
      <x:c r="Q1453" s="6" t="n">
        <x:v>3</x:v>
      </x:c>
      <x:c r="R1453" s="6" t="n">
        <x:v>4</x:v>
      </x:c>
      <x:c r="S1453" s="6" t="n">
        <x:v>9</x:v>
      </x:c>
      <x:c r="T1453" s="6" t="n">
        <x:v>1</x:v>
      </x:c>
      <x:c r="U1453" s="6" t="n">
        <x:v>0</x:v>
      </x:c>
      <x:c r="V1453" s="6" t="n">
        <x:v>0</x:v>
      </x:c>
      <x:c r="W1453" s="6" t="n">
        <x:v>0</x:v>
      </x:c>
      <x:c r="X1453" s="6" t="n">
        <x:v>0</x:v>
      </x:c>
      <x:c r="Y1453" s="6" t="n">
        <x:v>0</x:v>
      </x:c>
      <x:c r="Z1453" s="6" t="n">
        <x:v>0</x:v>
      </x:c>
      <x:c r="AA1453" s="6" t="n">
        <x:v>3</x:v>
      </x:c>
      <x:c r="AB1453" s="6" t="n">
        <x:v>11</x:v>
      </x:c>
      <x:c r="AC1453" s="6" t="n">
        <x:v>0</x:v>
      </x:c>
    </x:row>
    <x:row r="1454">
      <x:c r="A1454" s="6" t="n">
        <x:v>6246</x:v>
      </x:c>
      <x:c r="B1454" s="6" t="n">
        <x:v>1953</x:v>
      </x:c>
      <x:c r="C1454" s="6" t="str">
        <x:v>Graduation</x:v>
      </x:c>
      <x:c r="D1454" s="6" t="str">
        <x:v>Single</x:v>
      </x:c>
      <x:c r="E1454" s="6" t="n">
        <x:v>73892</x:v>
      </x:c>
      <x:c r="F1454" s="6" t="n">
        <x:v>0</x:v>
      </x:c>
      <x:c r="G1454" s="6" t="n">
        <x:v>0</x:v>
      </x:c>
      <x:c r="H1454" s="9" t="str">
        <x:v>13-11-2013</x:v>
      </x:c>
      <x:c r="I1454" s="6" t="n">
        <x:v>40</x:v>
      </x:c>
      <x:c r="J1454" s="6" t="n">
        <x:v>703</x:v>
      </x:c>
      <x:c r="K1454" s="6" t="n">
        <x:v>102</x:v>
      </x:c>
      <x:c r="L1454" s="6" t="n">
        <x:v>601</x:v>
      </x:c>
      <x:c r="M1454" s="6" t="n">
        <x:v>0</x:v>
      </x:c>
      <x:c r="N1454" s="6" t="n">
        <x:v>58</x:v>
      </x:c>
      <x:c r="O1454" s="6" t="n">
        <x:v>43</x:v>
      </x:c>
      <x:c r="P1454" s="6" t="n">
        <x:v>1</x:v>
      </x:c>
      <x:c r="Q1454" s="6" t="n">
        <x:v>3</x:v>
      </x:c>
      <x:c r="R1454" s="6" t="n">
        <x:v>11</x:v>
      </x:c>
      <x:c r="S1454" s="6" t="n">
        <x:v>8</x:v>
      </x:c>
      <x:c r="T1454" s="6" t="n">
        <x:v>1</x:v>
      </x:c>
      <x:c r="U1454" s="6" t="n">
        <x:v>0</x:v>
      </x:c>
      <x:c r="V1454" s="6" t="n">
        <x:v>0</x:v>
      </x:c>
      <x:c r="W1454" s="6" t="n">
        <x:v>0</x:v>
      </x:c>
      <x:c r="X1454" s="6" t="n">
        <x:v>0</x:v>
      </x:c>
      <x:c r="Y1454" s="6" t="n">
        <x:v>0</x:v>
      </x:c>
      <x:c r="Z1454" s="6" t="n">
        <x:v>0</x:v>
      </x:c>
      <x:c r="AA1454" s="6" t="n">
        <x:v>3</x:v>
      </x:c>
      <x:c r="AB1454" s="6" t="n">
        <x:v>11</x:v>
      </x:c>
      <x:c r="AC1454" s="6" t="n">
        <x:v>1</x:v>
      </x:c>
    </x:row>
    <x:row r="1455">
      <x:c r="A1455" s="6" t="n">
        <x:v>5975</x:v>
      </x:c>
      <x:c r="B1455" s="6" t="n">
        <x:v>1967</x:v>
      </x:c>
      <x:c r="C1455" s="6" t="str">
        <x:v>PhD</x:v>
      </x:c>
      <x:c r="D1455" s="6" t="str">
        <x:v>Single</x:v>
      </x:c>
      <x:c r="E1455" s="6" t="n">
        <x:v>40304</x:v>
      </x:c>
      <x:c r="F1455" s="6" t="n">
        <x:v>1</x:v>
      </x:c>
      <x:c r="G1455" s="6" t="n">
        <x:v>0</x:v>
      </x:c>
      <x:c r="H1455" s="9" t="str">
        <x:v>30-09-2013</x:v>
      </x:c>
      <x:c r="I1455" s="6" t="n">
        <x:v>82</x:v>
      </x:c>
      <x:c r="J1455" s="6" t="n">
        <x:v>37</x:v>
      </x:c>
      <x:c r="K1455" s="6" t="n">
        <x:v>0</x:v>
      </x:c>
      <x:c r="L1455" s="6" t="n">
        <x:v>17</x:v>
      </x:c>
      <x:c r="M1455" s="6" t="n">
        <x:v>0</x:v>
      </x:c>
      <x:c r="N1455" s="6" t="n">
        <x:v>0</x:v>
      </x:c>
      <x:c r="O1455" s="6" t="n">
        <x:v>3</x:v>
      </x:c>
      <x:c r="P1455" s="6" t="n">
        <x:v>1</x:v>
      </x:c>
      <x:c r="Q1455" s="6" t="n">
        <x:v>2</x:v>
      </x:c>
      <x:c r="R1455" s="6" t="n">
        <x:v>0</x:v>
      </x:c>
      <x:c r="S1455" s="6" t="n">
        <x:v>3</x:v>
      </x:c>
      <x:c r="T1455" s="6" t="n">
        <x:v>7</x:v>
      </x:c>
      <x:c r="U1455" s="6" t="n">
        <x:v>0</x:v>
      </x:c>
      <x:c r="V1455" s="6" t="n">
        <x:v>0</x:v>
      </x:c>
      <x:c r="W1455" s="6" t="n">
        <x:v>0</x:v>
      </x:c>
      <x:c r="X1455" s="6" t="n">
        <x:v>0</x:v>
      </x:c>
      <x:c r="Y1455" s="6" t="n">
        <x:v>0</x:v>
      </x:c>
      <x:c r="Z1455" s="6" t="n">
        <x:v>0</x:v>
      </x:c>
      <x:c r="AA1455" s="6" t="n">
        <x:v>3</x:v>
      </x:c>
      <x:c r="AB1455" s="6" t="n">
        <x:v>11</x:v>
      </x:c>
      <x:c r="AC1455" s="6" t="n">
        <x:v>0</x:v>
      </x:c>
    </x:row>
    <x:row r="1456">
      <x:c r="A1456" s="6" t="n">
        <x:v>6875</x:v>
      </x:c>
      <x:c r="B1456" s="6" t="n">
        <x:v>1965</x:v>
      </x:c>
      <x:c r="C1456" s="6" t="str">
        <x:v>PhD</x:v>
      </x:c>
      <x:c r="D1456" s="6" t="str">
        <x:v>Together</x:v>
      </x:c>
      <x:c r="E1456" s="6" t="n">
        <x:v>32727</x:v>
      </x:c>
      <x:c r="F1456" s="6" t="n">
        <x:v>0</x:v>
      </x:c>
      <x:c r="G1456" s="6" t="n">
        <x:v>0</x:v>
      </x:c>
      <x:c r="H1456" s="9" t="str">
        <x:v>28-08-2012</x:v>
      </x:c>
      <x:c r="I1456" s="6" t="n">
        <x:v>38</x:v>
      </x:c>
      <x:c r="J1456" s="6" t="n">
        <x:v>167</x:v>
      </x:c>
      <x:c r="K1456" s="6" t="n">
        <x:v>13</x:v>
      </x:c>
      <x:c r="L1456" s="6" t="n">
        <x:v>180</x:v>
      </x:c>
      <x:c r="M1456" s="6" t="n">
        <x:v>86</x:v>
      </x:c>
      <x:c r="N1456" s="6" t="n">
        <x:v>13</x:v>
      </x:c>
      <x:c r="O1456" s="6" t="n">
        <x:v>70</x:v>
      </x:c>
      <x:c r="P1456" s="6" t="n">
        <x:v>2</x:v>
      </x:c>
      <x:c r="Q1456" s="6" t="n">
        <x:v>7</x:v>
      </x:c>
      <x:c r="R1456" s="6" t="n">
        <x:v>3</x:v>
      </x:c>
      <x:c r="S1456" s="6" t="n">
        <x:v>5</x:v>
      </x:c>
      <x:c r="T1456" s="6" t="n">
        <x:v>8</x:v>
      </x:c>
      <x:c r="U1456" s="6" t="n">
        <x:v>0</x:v>
      </x:c>
      <x:c r="V1456" s="6" t="n">
        <x:v>0</x:v>
      </x:c>
      <x:c r="W1456" s="6" t="n">
        <x:v>0</x:v>
      </x:c>
      <x:c r="X1456" s="6" t="n">
        <x:v>0</x:v>
      </x:c>
      <x:c r="Y1456" s="6" t="n">
        <x:v>0</x:v>
      </x:c>
      <x:c r="Z1456" s="6" t="n">
        <x:v>0</x:v>
      </x:c>
      <x:c r="AA1456" s="6" t="n">
        <x:v>3</x:v>
      </x:c>
      <x:c r="AB1456" s="6" t="n">
        <x:v>11</x:v>
      </x:c>
      <x:c r="AC1456" s="6" t="n">
        <x:v>0</x:v>
      </x:c>
    </x:row>
    <x:row r="1457">
      <x:c r="A1457" s="6" t="n">
        <x:v>4399</x:v>
      </x:c>
      <x:c r="B1457" s="6" t="n">
        <x:v>1969</x:v>
      </x:c>
      <x:c r="C1457" s="6" t="str">
        <x:v>Graduation</x:v>
      </x:c>
      <x:c r="D1457" s="6" t="str">
        <x:v>Together</x:v>
      </x:c>
      <x:c r="E1457" s="6" t="n">
        <x:v>68695</x:v>
      </x:c>
      <x:c r="F1457" s="6" t="n">
        <x:v>0</x:v>
      </x:c>
      <x:c r="G1457" s="6" t="n">
        <x:v>0</x:v>
      </x:c>
      <x:c r="H1457" s="9" t="str">
        <x:v>25-06-2014</x:v>
      </x:c>
      <x:c r="I1457" s="6" t="n">
        <x:v>3</x:v>
      </x:c>
      <x:c r="J1457" s="6" t="n">
        <x:v>458</x:v>
      </x:c>
      <x:c r="K1457" s="6" t="n">
        <x:v>81</x:v>
      </x:c>
      <x:c r="L1457" s="6" t="n">
        <x:v>356</x:v>
      </x:c>
      <x:c r="M1457" s="6" t="n">
        <x:v>106</x:v>
      </x:c>
      <x:c r="N1457" s="6" t="n">
        <x:v>50</x:v>
      </x:c>
      <x:c r="O1457" s="6" t="n">
        <x:v>40</x:v>
      </x:c>
      <x:c r="P1457" s="6" t="n">
        <x:v>1</x:v>
      </x:c>
      <x:c r="Q1457" s="6" t="n">
        <x:v>4</x:v>
      </x:c>
      <x:c r="R1457" s="6" t="n">
        <x:v>4</x:v>
      </x:c>
      <x:c r="S1457" s="6" t="n">
        <x:v>7</x:v>
      </x:c>
      <x:c r="T1457" s="6" t="n">
        <x:v>2</x:v>
      </x:c>
      <x:c r="U1457" s="6" t="n">
        <x:v>0</x:v>
      </x:c>
      <x:c r="V1457" s="6" t="n">
        <x:v>0</x:v>
      </x:c>
      <x:c r="W1457" s="6" t="n">
        <x:v>0</x:v>
      </x:c>
      <x:c r="X1457" s="6" t="n">
        <x:v>0</x:v>
      </x:c>
      <x:c r="Y1457" s="6" t="n">
        <x:v>0</x:v>
      </x:c>
      <x:c r="Z1457" s="6" t="n">
        <x:v>0</x:v>
      </x:c>
      <x:c r="AA1457" s="6" t="n">
        <x:v>3</x:v>
      </x:c>
      <x:c r="AB1457" s="6" t="n">
        <x:v>11</x:v>
      </x:c>
      <x:c r="AC1457" s="6" t="n">
        <x:v>0</x:v>
      </x:c>
    </x:row>
    <x:row r="1458">
      <x:c r="A1458" s="6" t="n">
        <x:v>4042</x:v>
      </x:c>
      <x:c r="B1458" s="6" t="n">
        <x:v>1971</x:v>
      </x:c>
      <x:c r="C1458" s="6" t="str">
        <x:v>Graduation</x:v>
      </x:c>
      <x:c r="D1458" s="6" t="str">
        <x:v>Divorced</x:v>
      </x:c>
      <x:c r="E1458" s="6" t="n">
        <x:v>43300</x:v>
      </x:c>
      <x:c r="F1458" s="6" t="n">
        <x:v>0</x:v>
      </x:c>
      <x:c r="G1458" s="6" t="n">
        <x:v>1</x:v>
      </x:c>
      <x:c r="H1458" s="9" t="str">
        <x:v>13-10-2012</x:v>
      </x:c>
      <x:c r="I1458" s="6" t="n">
        <x:v>87</x:v>
      </x:c>
      <x:c r="J1458" s="6" t="n">
        <x:v>91</x:v>
      </x:c>
      <x:c r="K1458" s="6" t="n">
        <x:v>3</x:v>
      </x:c>
      <x:c r="L1458" s="6" t="n">
        <x:v>52</x:v>
      </x:c>
      <x:c r="M1458" s="6" t="n">
        <x:v>2</x:v>
      </x:c>
      <x:c r="N1458" s="6" t="n">
        <x:v>1</x:v>
      </x:c>
      <x:c r="O1458" s="6" t="n">
        <x:v>31</x:v>
      </x:c>
      <x:c r="P1458" s="6" t="n">
        <x:v>3</x:v>
      </x:c>
      <x:c r="Q1458" s="6" t="n">
        <x:v>4</x:v>
      </x:c>
      <x:c r="R1458" s="6" t="n">
        <x:v>0</x:v>
      </x:c>
      <x:c r="S1458" s="6" t="n">
        <x:v>4</x:v>
      </x:c>
      <x:c r="T1458" s="6" t="n">
        <x:v>8</x:v>
      </x:c>
      <x:c r="U1458" s="6" t="n">
        <x:v>0</x:v>
      </x:c>
      <x:c r="V1458" s="6" t="n">
        <x:v>0</x:v>
      </x:c>
      <x:c r="W1458" s="6" t="n">
        <x:v>0</x:v>
      </x:c>
      <x:c r="X1458" s="6" t="n">
        <x:v>0</x:v>
      </x:c>
      <x:c r="Y1458" s="6" t="n">
        <x:v>0</x:v>
      </x:c>
      <x:c r="Z1458" s="6" t="n">
        <x:v>0</x:v>
      </x:c>
      <x:c r="AA1458" s="6" t="n">
        <x:v>3</x:v>
      </x:c>
      <x:c r="AB1458" s="6" t="n">
        <x:v>11</x:v>
      </x:c>
      <x:c r="AC1458" s="6" t="n">
        <x:v>1</x:v>
      </x:c>
    </x:row>
    <x:row r="1459">
      <x:c r="A1459" s="6" t="n">
        <x:v>2157</x:v>
      </x:c>
      <x:c r="B1459" s="6" t="n">
        <x:v>1972</x:v>
      </x:c>
      <x:c r="C1459" s="6" t="str">
        <x:v>Graduation</x:v>
      </x:c>
      <x:c r="D1459" s="6" t="str">
        <x:v>Together</x:v>
      </x:c>
      <x:c r="E1459" s="6" t="n">
        <x:v>26290</x:v>
      </x:c>
      <x:c r="F1459" s="6" t="n">
        <x:v>1</x:v>
      </x:c>
      <x:c r="G1459" s="6" t="n">
        <x:v>1</x:v>
      </x:c>
      <x:c r="H1459" s="9" t="str">
        <x:v>12-01-2013</x:v>
      </x:c>
      <x:c r="I1459" s="6" t="n">
        <x:v>49</x:v>
      </x:c>
      <x:c r="J1459" s="6" t="n">
        <x:v>15</x:v>
      </x:c>
      <x:c r="K1459" s="6" t="n">
        <x:v>8</x:v>
      </x:c>
      <x:c r="L1459" s="6" t="n">
        <x:v>16</x:v>
      </x:c>
      <x:c r="M1459" s="6" t="n">
        <x:v>11</x:v>
      </x:c>
      <x:c r="N1459" s="6" t="n">
        <x:v>5</x:v>
      </x:c>
      <x:c r="O1459" s="6" t="n">
        <x:v>22</x:v>
      </x:c>
      <x:c r="P1459" s="6" t="n">
        <x:v>4</x:v>
      </x:c>
      <x:c r="Q1459" s="6" t="n">
        <x:v>2</x:v>
      </x:c>
      <x:c r="R1459" s="6" t="n">
        <x:v>0</x:v>
      </x:c>
      <x:c r="S1459" s="6" t="n">
        <x:v>4</x:v>
      </x:c>
      <x:c r="T1459" s="6" t="n">
        <x:v>6</x:v>
      </x:c>
      <x:c r="U1459" s="6" t="n">
        <x:v>0</x:v>
      </x:c>
      <x:c r="V1459" s="6" t="n">
        <x:v>0</x:v>
      </x:c>
      <x:c r="W1459" s="6" t="n">
        <x:v>0</x:v>
      </x:c>
      <x:c r="X1459" s="6" t="n">
        <x:v>0</x:v>
      </x:c>
      <x:c r="Y1459" s="6" t="n">
        <x:v>0</x:v>
      </x:c>
      <x:c r="Z1459" s="6" t="n">
        <x:v>0</x:v>
      </x:c>
      <x:c r="AA1459" s="6" t="n">
        <x:v>3</x:v>
      </x:c>
      <x:c r="AB1459" s="6" t="n">
        <x:v>11</x:v>
      </x:c>
      <x:c r="AC1459" s="6" t="n">
        <x:v>0</x:v>
      </x:c>
    </x:row>
    <x:row r="1460">
      <x:c r="A1460" s="6" t="n">
        <x:v>10133</x:v>
      </x:c>
      <x:c r="B1460" s="6" t="n">
        <x:v>1970</x:v>
      </x:c>
      <x:c r="C1460" s="6" t="str">
        <x:v>Graduation</x:v>
      </x:c>
      <x:c r="D1460" s="6" t="str">
        <x:v>Single</x:v>
      </x:c>
      <x:c r="E1460" s="6" t="n">
        <x:v>93790</x:v>
      </x:c>
      <x:c r="F1460" s="6" t="n">
        <x:v>0</x:v>
      </x:c>
      <x:c r="G1460" s="6" t="n">
        <x:v>0</x:v>
      </x:c>
      <x:c r="H1460" s="9" t="str">
        <x:v>12-02-2014</x:v>
      </x:c>
      <x:c r="I1460" s="6" t="n">
        <x:v>16</x:v>
      </x:c>
      <x:c r="J1460" s="6" t="n">
        <x:v>1302</x:v>
      </x:c>
      <x:c r="K1460" s="6" t="n">
        <x:v>68</x:v>
      </x:c>
      <x:c r="L1460" s="6" t="n">
        <x:v>731</x:v>
      </x:c>
      <x:c r="M1460" s="6" t="n">
        <x:v>89</x:v>
      </x:c>
      <x:c r="N1460" s="6" t="n">
        <x:v>114</x:v>
      </x:c>
      <x:c r="O1460" s="6" t="n">
        <x:v>45</x:v>
      </x:c>
      <x:c r="P1460" s="6" t="n">
        <x:v>0</x:v>
      </x:c>
      <x:c r="Q1460" s="6" t="n">
        <x:v>6</x:v>
      </x:c>
      <x:c r="R1460" s="6" t="n">
        <x:v>7</x:v>
      </x:c>
      <x:c r="S1460" s="6" t="n">
        <x:v>12</x:v>
      </x:c>
      <x:c r="T1460" s="6" t="n">
        <x:v>2</x:v>
      </x:c>
      <x:c r="U1460" s="6" t="n">
        <x:v>0</x:v>
      </x:c>
      <x:c r="V1460" s="6" t="n">
        <x:v>1</x:v>
      </x:c>
      <x:c r="W1460" s="6" t="n">
        <x:v>1</x:v>
      </x:c>
      <x:c r="X1460" s="6" t="n">
        <x:v>1</x:v>
      </x:c>
      <x:c r="Y1460" s="6" t="n">
        <x:v>0</x:v>
      </x:c>
      <x:c r="Z1460" s="6" t="n">
        <x:v>0</x:v>
      </x:c>
      <x:c r="AA1460" s="6" t="n">
        <x:v>3</x:v>
      </x:c>
      <x:c r="AB1460" s="6" t="n">
        <x:v>11</x:v>
      </x:c>
      <x:c r="AC1460" s="6" t="n">
        <x:v>1</x:v>
      </x:c>
    </x:row>
    <x:row r="1461">
      <x:c r="A1461" s="6" t="n">
        <x:v>2525</x:v>
      </x:c>
      <x:c r="B1461" s="6" t="n">
        <x:v>1974</x:v>
      </x:c>
      <x:c r="C1461" s="6" t="str">
        <x:v>PhD</x:v>
      </x:c>
      <x:c r="D1461" s="6" t="str">
        <x:v>Married</x:v>
      </x:c>
      <x:c r="E1461" s="6" t="n">
        <x:v>38410</x:v>
      </x:c>
      <x:c r="F1461" s="6" t="n">
        <x:v>0</x:v>
      </x:c>
      <x:c r="G1461" s="6" t="n">
        <x:v>0</x:v>
      </x:c>
      <x:c r="H1461" s="9" t="str">
        <x:v>14-09-2012</x:v>
      </x:c>
      <x:c r="I1461" s="6" t="n">
        <x:v>65</x:v>
      </x:c>
      <x:c r="J1461" s="6" t="n">
        <x:v>153</x:v>
      </x:c>
      <x:c r="K1461" s="6" t="n">
        <x:v>64</x:v>
      </x:c>
      <x:c r="L1461" s="6" t="n">
        <x:v>123</x:v>
      </x:c>
      <x:c r="M1461" s="6" t="n">
        <x:v>116</x:v>
      </x:c>
      <x:c r="N1461" s="6" t="n">
        <x:v>64</x:v>
      </x:c>
      <x:c r="O1461" s="6" t="n">
        <x:v>14</x:v>
      </x:c>
      <x:c r="P1461" s="6" t="n">
        <x:v>2</x:v>
      </x:c>
      <x:c r="Q1461" s="6" t="n">
        <x:v>5</x:v>
      </x:c>
      <x:c r="R1461" s="6" t="n">
        <x:v>2</x:v>
      </x:c>
      <x:c r="S1461" s="6" t="n">
        <x:v>9</x:v>
      </x:c>
      <x:c r="T1461" s="6" t="n">
        <x:v>6</x:v>
      </x:c>
      <x:c r="U1461" s="6" t="n">
        <x:v>0</x:v>
      </x:c>
      <x:c r="V1461" s="6" t="n">
        <x:v>0</x:v>
      </x:c>
      <x:c r="W1461" s="6" t="n">
        <x:v>0</x:v>
      </x:c>
      <x:c r="X1461" s="6" t="n">
        <x:v>0</x:v>
      </x:c>
      <x:c r="Y1461" s="6" t="n">
        <x:v>0</x:v>
      </x:c>
      <x:c r="Z1461" s="6" t="n">
        <x:v>0</x:v>
      </x:c>
      <x:c r="AA1461" s="6" t="n">
        <x:v>3</x:v>
      </x:c>
      <x:c r="AB1461" s="6" t="n">
        <x:v>11</x:v>
      </x:c>
      <x:c r="AC1461" s="6" t="n">
        <x:v>1</x:v>
      </x:c>
    </x:row>
    <x:row r="1462">
      <x:c r="A1462" s="6" t="n">
        <x:v>8233</x:v>
      </x:c>
      <x:c r="B1462" s="6" t="n">
        <x:v>1950</x:v>
      </x:c>
      <x:c r="C1462" s="6" t="str">
        <x:v>Master</x:v>
      </x:c>
      <x:c r="D1462" s="6" t="str">
        <x:v>Widow</x:v>
      </x:c>
      <x:c r="E1462" s="6" t="n">
        <x:v>64866</x:v>
      </x:c>
      <x:c r="F1462" s="6" t="n">
        <x:v>0</x:v>
      </x:c>
      <x:c r="G1462" s="6" t="n">
        <x:v>1</x:v>
      </x:c>
      <x:c r="H1462" s="9" t="str">
        <x:v>26-01-2014</x:v>
      </x:c>
      <x:c r="I1462" s="6" t="n">
        <x:v>9</x:v>
      </x:c>
      <x:c r="J1462" s="6" t="n">
        <x:v>508</x:v>
      </x:c>
      <x:c r="K1462" s="6" t="n">
        <x:v>5</x:v>
      </x:c>
      <x:c r="L1462" s="6" t="n">
        <x:v>21</x:v>
      </x:c>
      <x:c r="M1462" s="6" t="n">
        <x:v>7</x:v>
      </x:c>
      <x:c r="N1462" s="6" t="n">
        <x:v>5</x:v>
      </x:c>
      <x:c r="O1462" s="6" t="n">
        <x:v>10</x:v>
      </x:c>
      <x:c r="P1462" s="6" t="n">
        <x:v>4</x:v>
      </x:c>
      <x:c r="Q1462" s="6" t="n">
        <x:v>7</x:v>
      </x:c>
      <x:c r="R1462" s="6" t="n">
        <x:v>3</x:v>
      </x:c>
      <x:c r="S1462" s="6" t="n">
        <x:v>7</x:v>
      </x:c>
      <x:c r="T1462" s="6" t="n">
        <x:v>5</x:v>
      </x:c>
      <x:c r="U1462" s="6" t="n">
        <x:v>0</x:v>
      </x:c>
      <x:c r="V1462" s="6" t="n">
        <x:v>1</x:v>
      </x:c>
      <x:c r="W1462" s="6" t="n">
        <x:v>0</x:v>
      </x:c>
      <x:c r="X1462" s="6" t="n">
        <x:v>0</x:v>
      </x:c>
      <x:c r="Y1462" s="6" t="n">
        <x:v>0</x:v>
      </x:c>
      <x:c r="Z1462" s="6" t="n">
        <x:v>0</x:v>
      </x:c>
      <x:c r="AA1462" s="6" t="n">
        <x:v>3</x:v>
      </x:c>
      <x:c r="AB1462" s="6" t="n">
        <x:v>11</x:v>
      </x:c>
      <x:c r="AC1462" s="6" t="n">
        <x:v>0</x:v>
      </x:c>
    </x:row>
    <x:row r="1463">
      <x:c r="A1463" s="6" t="n">
        <x:v>9483</x:v>
      </x:c>
      <x:c r="B1463" s="6" t="n">
        <x:v>1959</x:v>
      </x:c>
      <x:c r="C1463" s="6" t="str">
        <x:v>Graduation</x:v>
      </x:c>
      <x:c r="D1463" s="6" t="str">
        <x:v>Together</x:v>
      </x:c>
      <x:c r="E1463" s="6" t="n">
        <x:v>57957</x:v>
      </x:c>
      <x:c r="F1463" s="6" t="n">
        <x:v>0</x:v>
      </x:c>
      <x:c r="G1463" s="6" t="n">
        <x:v>1</x:v>
      </x:c>
      <x:c r="H1463" s="9" t="str">
        <x:v>19-08-2013</x:v>
      </x:c>
      <x:c r="I1463" s="6" t="n">
        <x:v>24</x:v>
      </x:c>
      <x:c r="J1463" s="6" t="n">
        <x:v>290</x:v>
      </x:c>
      <x:c r="K1463" s="6" t="n">
        <x:v>59</x:v>
      </x:c>
      <x:c r="L1463" s="6" t="n">
        <x:v>177</x:v>
      </x:c>
      <x:c r="M1463" s="6" t="n">
        <x:v>77</x:v>
      </x:c>
      <x:c r="N1463" s="6" t="n">
        <x:v>5</x:v>
      </x:c>
      <x:c r="O1463" s="6" t="n">
        <x:v>29</x:v>
      </x:c>
      <x:c r="P1463" s="6" t="n">
        <x:v>7</x:v>
      </x:c>
      <x:c r="Q1463" s="6" t="n">
        <x:v>4</x:v>
      </x:c>
      <x:c r="R1463" s="6" t="n">
        <x:v>6</x:v>
      </x:c>
      <x:c r="S1463" s="6" t="n">
        <x:v>8</x:v>
      </x:c>
      <x:c r="T1463" s="6" t="n">
        <x:v>3</x:v>
      </x:c>
      <x:c r="U1463" s="6" t="n">
        <x:v>0</x:v>
      </x:c>
      <x:c r="V1463" s="6" t="n">
        <x:v>0</x:v>
      </x:c>
      <x:c r="W1463" s="6" t="n">
        <x:v>0</x:v>
      </x:c>
      <x:c r="X1463" s="6" t="n">
        <x:v>0</x:v>
      </x:c>
      <x:c r="Y1463" s="6" t="n">
        <x:v>0</x:v>
      </x:c>
      <x:c r="Z1463" s="6" t="n">
        <x:v>1</x:v>
      </x:c>
      <x:c r="AA1463" s="6" t="n">
        <x:v>3</x:v>
      </x:c>
      <x:c r="AB1463" s="6" t="n">
        <x:v>11</x:v>
      </x:c>
      <x:c r="AC1463" s="6" t="n">
        <x:v>0</x:v>
      </x:c>
    </x:row>
    <x:row r="1464">
      <x:c r="A1464" s="6" t="n">
        <x:v>2945</x:v>
      </x:c>
      <x:c r="B1464" s="6" t="n">
        <x:v>1955</x:v>
      </x:c>
      <x:c r="C1464" s="6" t="str">
        <x:v>PhD</x:v>
      </x:c>
      <x:c r="D1464" s="6" t="str">
        <x:v>Together</x:v>
      </x:c>
      <x:c r="E1464" s="6" t="n">
        <x:v>46015</x:v>
      </x:c>
      <x:c r="F1464" s="6" t="n">
        <x:v>1</x:v>
      </x:c>
      <x:c r="G1464" s="6" t="n">
        <x:v>1</x:v>
      </x:c>
      <x:c r="H1464" s="9" t="str">
        <x:v>13-04-2014</x:v>
      </x:c>
      <x:c r="I1464" s="6" t="n">
        <x:v>25</x:v>
      </x:c>
      <x:c r="J1464" s="6" t="n">
        <x:v>38</x:v>
      </x:c>
      <x:c r="K1464" s="6" t="n">
        <x:v>0</x:v>
      </x:c>
      <x:c r="L1464" s="6" t="n">
        <x:v>2</x:v>
      </x:c>
      <x:c r="M1464" s="6" t="n">
        <x:v>0</x:v>
      </x:c>
      <x:c r="N1464" s="6" t="n">
        <x:v>0</x:v>
      </x:c>
      <x:c r="O1464" s="6" t="n">
        <x:v>6</x:v>
      </x:c>
      <x:c r="P1464" s="6" t="n">
        <x:v>1</x:v>
      </x:c>
      <x:c r="Q1464" s="6" t="n">
        <x:v>1</x:v>
      </x:c>
      <x:c r="R1464" s="6" t="n">
        <x:v>0</x:v>
      </x:c>
      <x:c r="S1464" s="6" t="n">
        <x:v>3</x:v>
      </x:c>
      <x:c r="T1464" s="6" t="n">
        <x:v>7</x:v>
      </x:c>
      <x:c r="U1464" s="6" t="n">
        <x:v>1</x:v>
      </x:c>
      <x:c r="V1464" s="6" t="n">
        <x:v>0</x:v>
      </x:c>
      <x:c r="W1464" s="6" t="n">
        <x:v>0</x:v>
      </x:c>
      <x:c r="X1464" s="6" t="n">
        <x:v>0</x:v>
      </x:c>
      <x:c r="Y1464" s="6" t="n">
        <x:v>1</x:v>
      </x:c>
      <x:c r="Z1464" s="6" t="n">
        <x:v>0</x:v>
      </x:c>
      <x:c r="AA1464" s="6" t="n">
        <x:v>3</x:v>
      </x:c>
      <x:c r="AB1464" s="6" t="n">
        <x:v>11</x:v>
      </x:c>
      <x:c r="AC1464" s="6" t="n">
        <x:v>0</x:v>
      </x:c>
    </x:row>
    <x:row r="1465">
      <x:c r="A1465" s="6" t="n">
        <x:v>10403</x:v>
      </x:c>
      <x:c r="B1465" s="6" t="n">
        <x:v>1978</x:v>
      </x:c>
      <x:c r="C1465" s="6" t="str">
        <x:v>Graduation</x:v>
      </x:c>
      <x:c r="D1465" s="6" t="str">
        <x:v>Together</x:v>
      </x:c>
      <x:c r="E1465" s="6" t="n">
        <x:v>16531</x:v>
      </x:c>
      <x:c r="F1465" s="6" t="n">
        <x:v>1</x:v>
      </x:c>
      <x:c r="G1465" s="6" t="n">
        <x:v>0</x:v>
      </x:c>
      <x:c r="H1465" s="9" t="str">
        <x:v>18-06-2014</x:v>
      </x:c>
      <x:c r="I1465" s="6" t="n">
        <x:v>43</x:v>
      </x:c>
      <x:c r="J1465" s="6" t="n">
        <x:v>2</x:v>
      </x:c>
      <x:c r="K1465" s="6" t="n">
        <x:v>13</x:v>
      </x:c>
      <x:c r="L1465" s="6" t="n">
        <x:v>6</x:v>
      </x:c>
      <x:c r="M1465" s="6" t="n">
        <x:v>7</x:v>
      </x:c>
      <x:c r="N1465" s="6" t="n">
        <x:v>5</x:v>
      </x:c>
      <x:c r="O1465" s="6" t="n">
        <x:v>11</x:v>
      </x:c>
      <x:c r="P1465" s="6" t="n">
        <x:v>3</x:v>
      </x:c>
      <x:c r="Q1465" s="6" t="n">
        <x:v>3</x:v>
      </x:c>
      <x:c r="R1465" s="6" t="n">
        <x:v>0</x:v>
      </x:c>
      <x:c r="S1465" s="6" t="n">
        <x:v>3</x:v>
      </x:c>
      <x:c r="T1465" s="6" t="n">
        <x:v>7</x:v>
      </x:c>
      <x:c r="U1465" s="6" t="n">
        <x:v>0</x:v>
      </x:c>
      <x:c r="V1465" s="6" t="n">
        <x:v>0</x:v>
      </x:c>
      <x:c r="W1465" s="6" t="n">
        <x:v>0</x:v>
      </x:c>
      <x:c r="X1465" s="6" t="n">
        <x:v>0</x:v>
      </x:c>
      <x:c r="Y1465" s="6" t="n">
        <x:v>0</x:v>
      </x:c>
      <x:c r="Z1465" s="6" t="n">
        <x:v>0</x:v>
      </x:c>
      <x:c r="AA1465" s="6" t="n">
        <x:v>3</x:v>
      </x:c>
      <x:c r="AB1465" s="6" t="n">
        <x:v>11</x:v>
      </x:c>
      <x:c r="AC1465" s="6" t="n">
        <x:v>0</x:v>
      </x:c>
    </x:row>
    <x:row r="1466">
      <x:c r="A1466" s="6" t="n">
        <x:v>5074</x:v>
      </x:c>
      <x:c r="B1466" s="6" t="n">
        <x:v>1986</x:v>
      </x:c>
      <x:c r="C1466" s="6" t="str">
        <x:v>Master</x:v>
      </x:c>
      <x:c r="D1466" s="6" t="str">
        <x:v>Married</x:v>
      </x:c>
      <x:c r="E1466" s="6" t="n">
        <x:v>28072</x:v>
      </x:c>
      <x:c r="F1466" s="6" t="n">
        <x:v>1</x:v>
      </x:c>
      <x:c r="G1466" s="6" t="n">
        <x:v>0</x:v>
      </x:c>
      <x:c r="H1466" s="9" t="str">
        <x:v>08-07-2013</x:v>
      </x:c>
      <x:c r="I1466" s="6" t="n">
        <x:v>10</x:v>
      </x:c>
      <x:c r="J1466" s="6" t="n">
        <x:v>30</x:v>
      </x:c>
      <x:c r="K1466" s="6" t="n">
        <x:v>0</x:v>
      </x:c>
      <x:c r="L1466" s="6" t="n">
        <x:v>10</x:v>
      </x:c>
      <x:c r="M1466" s="6" t="n">
        <x:v>2</x:v>
      </x:c>
      <x:c r="N1466" s="6" t="n">
        <x:v>0</x:v>
      </x:c>
      <x:c r="O1466" s="6" t="n">
        <x:v>5</x:v>
      </x:c>
      <x:c r="P1466" s="6" t="n">
        <x:v>1</x:v>
      </x:c>
      <x:c r="Q1466" s="6" t="n">
        <x:v>1</x:v>
      </x:c>
      <x:c r="R1466" s="6" t="n">
        <x:v>0</x:v>
      </x:c>
      <x:c r="S1466" s="6" t="n">
        <x:v>3</x:v>
      </x:c>
      <x:c r="T1466" s="6" t="n">
        <x:v>7</x:v>
      </x:c>
      <x:c r="U1466" s="6" t="n">
        <x:v>0</x:v>
      </x:c>
      <x:c r="V1466" s="6" t="n">
        <x:v>0</x:v>
      </x:c>
      <x:c r="W1466" s="6" t="n">
        <x:v>0</x:v>
      </x:c>
      <x:c r="X1466" s="6" t="n">
        <x:v>0</x:v>
      </x:c>
      <x:c r="Y1466" s="6" t="n">
        <x:v>0</x:v>
      </x:c>
      <x:c r="Z1466" s="6" t="n">
        <x:v>0</x:v>
      </x:c>
      <x:c r="AA1466" s="6" t="n">
        <x:v>3</x:v>
      </x:c>
      <x:c r="AB1466" s="6" t="n">
        <x:v>11</x:v>
      </x:c>
      <x:c r="AC1466" s="6" t="n">
        <x:v>0</x:v>
      </x:c>
    </x:row>
    <x:row r="1467">
      <x:c r="A1467" s="6" t="n">
        <x:v>10524</x:v>
      </x:c>
      <x:c r="B1467" s="6" t="n">
        <x:v>1963</x:v>
      </x:c>
      <x:c r="C1467" s="6" t="str">
        <x:v>Master</x:v>
      </x:c>
      <x:c r="D1467" s="6" t="str">
        <x:v>Divorced</x:v>
      </x:c>
      <x:c r="E1467" s="6" t="n">
        <x:v>49476</x:v>
      </x:c>
      <x:c r="F1467" s="6" t="n">
        <x:v>0</x:v>
      </x:c>
      <x:c r="G1467" s="6" t="n">
        <x:v>1</x:v>
      </x:c>
      <x:c r="H1467" s="9" t="str">
        <x:v>20-06-2013</x:v>
      </x:c>
      <x:c r="I1467" s="6" t="n">
        <x:v>29</x:v>
      </x:c>
      <x:c r="J1467" s="6" t="n">
        <x:v>386</x:v>
      </x:c>
      <x:c r="K1467" s="6" t="n">
        <x:v>23</x:v>
      </x:c>
      <x:c r="L1467" s="6" t="n">
        <x:v>95</x:v>
      </x:c>
      <x:c r="M1467" s="6" t="n">
        <x:v>54</x:v>
      </x:c>
      <x:c r="N1467" s="6" t="n">
        <x:v>41</x:v>
      </x:c>
      <x:c r="O1467" s="6" t="n">
        <x:v>196</x:v>
      </x:c>
      <x:c r="P1467" s="6" t="n">
        <x:v>4</x:v>
      </x:c>
      <x:c r="Q1467" s="6" t="n">
        <x:v>2</x:v>
      </x:c>
      <x:c r="R1467" s="6" t="n">
        <x:v>11</x:v>
      </x:c>
      <x:c r="S1467" s="6" t="n">
        <x:v>5</x:v>
      </x:c>
      <x:c r="T1467" s="6" t="n">
        <x:v>2</x:v>
      </x:c>
      <x:c r="U1467" s="6" t="n">
        <x:v>0</x:v>
      </x:c>
      <x:c r="V1467" s="6" t="n">
        <x:v>0</x:v>
      </x:c>
      <x:c r="W1467" s="6" t="n">
        <x:v>0</x:v>
      </x:c>
      <x:c r="X1467" s="6" t="n">
        <x:v>0</x:v>
      </x:c>
      <x:c r="Y1467" s="6" t="n">
        <x:v>0</x:v>
      </x:c>
      <x:c r="Z1467" s="6" t="n">
        <x:v>0</x:v>
      </x:c>
      <x:c r="AA1467" s="6" t="n">
        <x:v>3</x:v>
      </x:c>
      <x:c r="AB1467" s="6" t="n">
        <x:v>11</x:v>
      </x:c>
      <x:c r="AC1467" s="6" t="n">
        <x:v>0</x:v>
      </x:c>
    </x:row>
    <x:row r="1468">
      <x:c r="A1468" s="6" t="n">
        <x:v>4690</x:v>
      </x:c>
      <x:c r="B1468" s="6" t="n">
        <x:v>1953</x:v>
      </x:c>
      <x:c r="C1468" s="6" t="str">
        <x:v>Graduation</x:v>
      </x:c>
      <x:c r="D1468" s="6" t="str">
        <x:v>Married</x:v>
      </x:c>
      <x:c r="E1468" s="6" t="n">
        <x:v>50725</x:v>
      </x:c>
      <x:c r="F1468" s="6" t="n">
        <x:v>0</x:v>
      </x:c>
      <x:c r="G1468" s="6" t="n">
        <x:v>1</x:v>
      </x:c>
      <x:c r="H1468" s="9" t="str">
        <x:v>13-02-2013</x:v>
      </x:c>
      <x:c r="I1468" s="6" t="n">
        <x:v>45</x:v>
      </x:c>
      <x:c r="J1468" s="6" t="n">
        <x:v>443</x:v>
      </x:c>
      <x:c r="K1468" s="6" t="n">
        <x:v>10</x:v>
      </x:c>
      <x:c r="L1468" s="6" t="n">
        <x:v>75</x:v>
      </x:c>
      <x:c r="M1468" s="6" t="n">
        <x:v>0</x:v>
      </x:c>
      <x:c r="N1468" s="6" t="n">
        <x:v>10</x:v>
      </x:c>
      <x:c r="O1468" s="6" t="n">
        <x:v>48</x:v>
      </x:c>
      <x:c r="P1468" s="6" t="n">
        <x:v>4</x:v>
      </x:c>
      <x:c r="Q1468" s="6" t="n">
        <x:v>8</x:v>
      </x:c>
      <x:c r="R1468" s="6" t="n">
        <x:v>1</x:v>
      </x:c>
      <x:c r="S1468" s="6" t="n">
        <x:v>8</x:v>
      </x:c>
      <x:c r="T1468" s="6" t="n">
        <x:v>8</x:v>
      </x:c>
      <x:c r="U1468" s="6" t="n">
        <x:v>0</x:v>
      </x:c>
      <x:c r="V1468" s="6" t="n">
        <x:v>0</x:v>
      </x:c>
      <x:c r="W1468" s="6" t="n">
        <x:v>0</x:v>
      </x:c>
      <x:c r="X1468" s="6" t="n">
        <x:v>0</x:v>
      </x:c>
      <x:c r="Y1468" s="6" t="n">
        <x:v>0</x:v>
      </x:c>
      <x:c r="Z1468" s="6" t="n">
        <x:v>0</x:v>
      </x:c>
      <x:c r="AA1468" s="6" t="n">
        <x:v>3</x:v>
      </x:c>
      <x:c r="AB1468" s="6" t="n">
        <x:v>11</x:v>
      </x:c>
      <x:c r="AC1468" s="6" t="n">
        <x:v>0</x:v>
      </x:c>
    </x:row>
    <x:row r="1469">
      <x:c r="A1469" s="6" t="n">
        <x:v>7521</x:v>
      </x:c>
      <x:c r="B1469" s="6" t="n">
        <x:v>1952</x:v>
      </x:c>
      <x:c r="C1469" s="6" t="str">
        <x:v>Graduation</x:v>
      </x:c>
      <x:c r="D1469" s="6" t="str">
        <x:v>Together</x:v>
      </x:c>
      <x:c r="E1469" s="6" t="n">
        <x:v>83844</x:v>
      </x:c>
      <x:c r="F1469" s="6" t="n">
        <x:v>0</x:v>
      </x:c>
      <x:c r="G1469" s="6" t="n">
        <x:v>0</x:v>
      </x:c>
      <x:c r="H1469" s="9" t="str">
        <x:v>12-05-2013</x:v>
      </x:c>
      <x:c r="I1469" s="6" t="n">
        <x:v>57</x:v>
      </x:c>
      <x:c r="J1469" s="6" t="n">
        <x:v>901</x:v>
      </x:c>
      <x:c r="K1469" s="6" t="n">
        <x:v>31</x:v>
      </x:c>
      <x:c r="L1469" s="6" t="n">
        <x:v>345</x:v>
      </x:c>
      <x:c r="M1469" s="6" t="n">
        <x:v>75</x:v>
      </x:c>
      <x:c r="N1469" s="6" t="n">
        <x:v>31</x:v>
      </x:c>
      <x:c r="O1469" s="6" t="n">
        <x:v>191</x:v>
      </x:c>
      <x:c r="P1469" s="6" t="n">
        <x:v>1</x:v>
      </x:c>
      <x:c r="Q1469" s="6" t="n">
        <x:v>4</x:v>
      </x:c>
      <x:c r="R1469" s="6" t="n">
        <x:v>4</x:v>
      </x:c>
      <x:c r="S1469" s="6" t="n">
        <x:v>11</x:v>
      </x:c>
      <x:c r="T1469" s="6" t="n">
        <x:v>1</x:v>
      </x:c>
      <x:c r="U1469" s="6" t="n">
        <x:v>0</x:v>
      </x:c>
      <x:c r="V1469" s="6" t="n">
        <x:v>0</x:v>
      </x:c>
      <x:c r="W1469" s="6" t="n">
        <x:v>1</x:v>
      </x:c>
      <x:c r="X1469" s="6" t="n">
        <x:v>0</x:v>
      </x:c>
      <x:c r="Y1469" s="6" t="n">
        <x:v>0</x:v>
      </x:c>
      <x:c r="Z1469" s="6" t="n">
        <x:v>0</x:v>
      </x:c>
      <x:c r="AA1469" s="6" t="n">
        <x:v>3</x:v>
      </x:c>
      <x:c r="AB1469" s="6" t="n">
        <x:v>11</x:v>
      </x:c>
      <x:c r="AC1469" s="6" t="n">
        <x:v>0</x:v>
      </x:c>
    </x:row>
    <x:row r="1470">
      <x:c r="A1470" s="6" t="n">
        <x:v>7196</x:v>
      </x:c>
      <x:c r="B1470" s="6" t="n">
        <x:v>1950</x:v>
      </x:c>
      <x:c r="C1470" s="6" t="str">
        <x:v>PhD</x:v>
      </x:c>
      <x:c r="D1470" s="6" t="str">
        <x:v>Married</x:v>
      </x:c>
      <x:c r="E1470" s="6" t="n">
        <x:v>41145</x:v>
      </x:c>
      <x:c r="F1470" s="6" t="n">
        <x:v>1</x:v>
      </x:c>
      <x:c r="G1470" s="6" t="n">
        <x:v>1</x:v>
      </x:c>
      <x:c r="H1470" s="9" t="str">
        <x:v>08-02-2014</x:v>
      </x:c>
      <x:c r="I1470" s="6" t="n">
        <x:v>20</x:v>
      </x:c>
      <x:c r="J1470" s="6" t="n">
        <x:v>9</x:v>
      </x:c>
      <x:c r="K1470" s="6" t="n">
        <x:v>0</x:v>
      </x:c>
      <x:c r="L1470" s="6" t="n">
        <x:v>3</x:v>
      </x:c>
      <x:c r="M1470" s="6" t="n">
        <x:v>0</x:v>
      </x:c>
      <x:c r="N1470" s="6" t="n">
        <x:v>0</x:v>
      </x:c>
      <x:c r="O1470" s="6" t="n">
        <x:v>1</x:v>
      </x:c>
      <x:c r="P1470" s="6" t="n">
        <x:v>1</x:v>
      </x:c>
      <x:c r="Q1470" s="6" t="n">
        <x:v>0</x:v>
      </x:c>
      <x:c r="R1470" s="6" t="n">
        <x:v>0</x:v>
      </x:c>
      <x:c r="S1470" s="6" t="n">
        <x:v>3</x:v>
      </x:c>
      <x:c r="T1470" s="6" t="n">
        <x:v>3</x:v>
      </x:c>
      <x:c r="U1470" s="6" t="n">
        <x:v>0</x:v>
      </x:c>
      <x:c r="V1470" s="6" t="n">
        <x:v>0</x:v>
      </x:c>
      <x:c r="W1470" s="6" t="n">
        <x:v>0</x:v>
      </x:c>
      <x:c r="X1470" s="6" t="n">
        <x:v>0</x:v>
      </x:c>
      <x:c r="Y1470" s="6" t="n">
        <x:v>0</x:v>
      </x:c>
      <x:c r="Z1470" s="6" t="n">
        <x:v>0</x:v>
      </x:c>
      <x:c r="AA1470" s="6" t="n">
        <x:v>3</x:v>
      </x:c>
      <x:c r="AB1470" s="6" t="n">
        <x:v>11</x:v>
      </x:c>
      <x:c r="AC1470" s="6" t="n">
        <x:v>0</x:v>
      </x:c>
    </x:row>
    <x:row r="1471">
      <x:c r="A1471" s="6" t="n">
        <x:v>4406</x:v>
      </x:c>
      <x:c r="B1471" s="6" t="n">
        <x:v>1970</x:v>
      </x:c>
      <x:c r="C1471" s="6" t="str">
        <x:v>Graduation</x:v>
      </x:c>
      <x:c r="D1471" s="6" t="str">
        <x:v>Together</x:v>
      </x:c>
      <x:c r="E1471" s="6" t="n">
        <x:v>67419</x:v>
      </x:c>
      <x:c r="F1471" s="6" t="n">
        <x:v>0</x:v>
      </x:c>
      <x:c r="G1471" s="6" t="n">
        <x:v>1</x:v>
      </x:c>
      <x:c r="H1471" s="9" t="str">
        <x:v>16-01-2013</x:v>
      </x:c>
      <x:c r="I1471" s="6" t="n">
        <x:v>29</x:v>
      </x:c>
      <x:c r="J1471" s="6" t="n">
        <x:v>846</x:v>
      </x:c>
      <x:c r="K1471" s="6" t="n">
        <x:v>84</x:v>
      </x:c>
      <x:c r="L1471" s="6" t="n">
        <x:v>352</x:v>
      </x:c>
      <x:c r="M1471" s="6" t="n">
        <x:v>91</x:v>
      </x:c>
      <x:c r="N1471" s="6" t="n">
        <x:v>56</x:v>
      </x:c>
      <x:c r="O1471" s="6" t="n">
        <x:v>42</x:v>
      </x:c>
      <x:c r="P1471" s="6" t="n">
        <x:v>4</x:v>
      </x:c>
      <x:c r="Q1471" s="6" t="n">
        <x:v>9</x:v>
      </x:c>
      <x:c r="R1471" s="6" t="n">
        <x:v>4</x:v>
      </x:c>
      <x:c r="S1471" s="6" t="n">
        <x:v>8</x:v>
      </x:c>
      <x:c r="T1471" s="6" t="n">
        <x:v>5</x:v>
      </x:c>
      <x:c r="U1471" s="6" t="n">
        <x:v>0</x:v>
      </x:c>
      <x:c r="V1471" s="6" t="n">
        <x:v>0</x:v>
      </x:c>
      <x:c r="W1471" s="6" t="n">
        <x:v>0</x:v>
      </x:c>
      <x:c r="X1471" s="6" t="n">
        <x:v>0</x:v>
      </x:c>
      <x:c r="Y1471" s="6" t="n">
        <x:v>0</x:v>
      </x:c>
      <x:c r="Z1471" s="6" t="n">
        <x:v>0</x:v>
      </x:c>
      <x:c r="AA1471" s="6" t="n">
        <x:v>3</x:v>
      </x:c>
      <x:c r="AB1471" s="6" t="n">
        <x:v>11</x:v>
      </x:c>
      <x:c r="AC1471" s="6" t="n">
        <x:v>0</x:v>
      </x:c>
    </x:row>
    <x:row r="1472">
      <x:c r="A1472" s="6" t="n">
        <x:v>9672</x:v>
      </x:c>
      <x:c r="B1472" s="6" t="n">
        <x:v>1970</x:v>
      </x:c>
      <x:c r="C1472" s="6" t="str">
        <x:v>2n Cycle</x:v>
      </x:c>
      <x:c r="D1472" s="6" t="str">
        <x:v>Married</x:v>
      </x:c>
      <x:c r="E1472" s="6" t="n">
        <x:v>23162</x:v>
      </x:c>
      <x:c r="F1472" s="6" t="n">
        <x:v>1</x:v>
      </x:c>
      <x:c r="G1472" s="6" t="n">
        <x:v>1</x:v>
      </x:c>
      <x:c r="H1472" s="9" t="str">
        <x:v>21-12-2013</x:v>
      </x:c>
      <x:c r="I1472" s="6" t="n">
        <x:v>82</x:v>
      </x:c>
      <x:c r="J1472" s="6" t="n">
        <x:v>8</x:v>
      </x:c>
      <x:c r="K1472" s="6" t="n">
        <x:v>3</x:v>
      </x:c>
      <x:c r="L1472" s="6" t="n">
        <x:v>9</x:v>
      </x:c>
      <x:c r="M1472" s="6" t="n">
        <x:v>19</x:v>
      </x:c>
      <x:c r="N1472" s="6" t="n">
        <x:v>4</x:v>
      </x:c>
      <x:c r="O1472" s="6" t="n">
        <x:v>22</x:v>
      </x:c>
      <x:c r="P1472" s="6" t="n">
        <x:v>3</x:v>
      </x:c>
      <x:c r="Q1472" s="6" t="n">
        <x:v>1</x:v>
      </x:c>
      <x:c r="R1472" s="6" t="n">
        <x:v>1</x:v>
      </x:c>
      <x:c r="S1472" s="6" t="n">
        <x:v>3</x:v>
      </x:c>
      <x:c r="T1472" s="6" t="n">
        <x:v>6</x:v>
      </x:c>
      <x:c r="U1472" s="6" t="n">
        <x:v>0</x:v>
      </x:c>
      <x:c r="V1472" s="6" t="n">
        <x:v>0</x:v>
      </x:c>
      <x:c r="W1472" s="6" t="n">
        <x:v>0</x:v>
      </x:c>
      <x:c r="X1472" s="6" t="n">
        <x:v>0</x:v>
      </x:c>
      <x:c r="Y1472" s="6" t="n">
        <x:v>0</x:v>
      </x:c>
      <x:c r="Z1472" s="6" t="n">
        <x:v>0</x:v>
      </x:c>
      <x:c r="AA1472" s="6" t="n">
        <x:v>3</x:v>
      </x:c>
      <x:c r="AB1472" s="6" t="n">
        <x:v>11</x:v>
      </x:c>
      <x:c r="AC1472" s="6" t="n">
        <x:v>0</x:v>
      </x:c>
    </x:row>
    <x:row r="1473">
      <x:c r="A1473" s="6" t="n">
        <x:v>4864</x:v>
      </x:c>
      <x:c r="B1473" s="6" t="n">
        <x:v>1977</x:v>
      </x:c>
      <x:c r="C1473" s="6" t="str">
        <x:v>Graduation</x:v>
      </x:c>
      <x:c r="D1473" s="6" t="str">
        <x:v>Married</x:v>
      </x:c>
      <x:c r="E1473" s="6" t="n">
        <x:v>34380</x:v>
      </x:c>
      <x:c r="F1473" s="6" t="n">
        <x:v>1</x:v>
      </x:c>
      <x:c r="G1473" s="6" t="n">
        <x:v>0</x:v>
      </x:c>
      <x:c r="H1473" s="9" t="str">
        <x:v>02-05-2013</x:v>
      </x:c>
      <x:c r="I1473" s="6" t="n">
        <x:v>68</x:v>
      </x:c>
      <x:c r="J1473" s="6" t="n">
        <x:v>72</x:v>
      </x:c>
      <x:c r="K1473" s="6" t="n">
        <x:v>7</x:v>
      </x:c>
      <x:c r="L1473" s="6" t="n">
        <x:v>58</x:v>
      </x:c>
      <x:c r="M1473" s="6" t="n">
        <x:v>13</x:v>
      </x:c>
      <x:c r="N1473" s="6" t="n">
        <x:v>1</x:v>
      </x:c>
      <x:c r="O1473" s="6" t="n">
        <x:v>24</x:v>
      </x:c>
      <x:c r="P1473" s="6" t="n">
        <x:v>4</x:v>
      </x:c>
      <x:c r="Q1473" s="6" t="n">
        <x:v>4</x:v>
      </x:c>
      <x:c r="R1473" s="6" t="n">
        <x:v>1</x:v>
      </x:c>
      <x:c r="S1473" s="6" t="n">
        <x:v>3</x:v>
      </x:c>
      <x:c r="T1473" s="6" t="n">
        <x:v>8</x:v>
      </x:c>
      <x:c r="U1473" s="6" t="n">
        <x:v>0</x:v>
      </x:c>
      <x:c r="V1473" s="6" t="n">
        <x:v>0</x:v>
      </x:c>
      <x:c r="W1473" s="6" t="n">
        <x:v>0</x:v>
      </x:c>
      <x:c r="X1473" s="6" t="n">
        <x:v>0</x:v>
      </x:c>
      <x:c r="Y1473" s="6" t="n">
        <x:v>0</x:v>
      </x:c>
      <x:c r="Z1473" s="6" t="n">
        <x:v>0</x:v>
      </x:c>
      <x:c r="AA1473" s="6" t="n">
        <x:v>3</x:v>
      </x:c>
      <x:c r="AB1473" s="6" t="n">
        <x:v>11</x:v>
      </x:c>
      <x:c r="AC1473" s="6" t="n">
        <x:v>0</x:v>
      </x:c>
    </x:row>
    <x:row r="1474">
      <x:c r="A1474" s="6" t="n">
        <x:v>4706</x:v>
      </x:c>
      <x:c r="B1474" s="6" t="n">
        <x:v>1966</x:v>
      </x:c>
      <x:c r="C1474" s="6" t="str">
        <x:v>Graduation</x:v>
      </x:c>
      <x:c r="D1474" s="6" t="str">
        <x:v>Single</x:v>
      </x:c>
      <x:c r="E1474" s="6" t="n">
        <x:v>34704</x:v>
      </x:c>
      <x:c r="F1474" s="6" t="n">
        <x:v>0</x:v>
      </x:c>
      <x:c r="G1474" s="6" t="n">
        <x:v>1</x:v>
      </x:c>
      <x:c r="H1474" s="9" t="str">
        <x:v>27-04-2013</x:v>
      </x:c>
      <x:c r="I1474" s="6" t="n">
        <x:v>65</x:v>
      </x:c>
      <x:c r="J1474" s="6" t="n">
        <x:v>29</x:v>
      </x:c>
      <x:c r="K1474" s="6" t="n">
        <x:v>0</x:v>
      </x:c>
      <x:c r="L1474" s="6" t="n">
        <x:v>5</x:v>
      </x:c>
      <x:c r="M1474" s="6" t="n">
        <x:v>0</x:v>
      </x:c>
      <x:c r="N1474" s="6" t="n">
        <x:v>1</x:v>
      </x:c>
      <x:c r="O1474" s="6" t="n">
        <x:v>5</x:v>
      </x:c>
      <x:c r="P1474" s="6" t="n">
        <x:v>1</x:v>
      </x:c>
      <x:c r="Q1474" s="6" t="n">
        <x:v>1</x:v>
      </x:c>
      <x:c r="R1474" s="6" t="n">
        <x:v>0</x:v>
      </x:c>
      <x:c r="S1474" s="6" t="n">
        <x:v>3</x:v>
      </x:c>
      <x:c r="T1474" s="6" t="n">
        <x:v>5</x:v>
      </x:c>
      <x:c r="U1474" s="6" t="n">
        <x:v>0</x:v>
      </x:c>
      <x:c r="V1474" s="6" t="n">
        <x:v>0</x:v>
      </x:c>
      <x:c r="W1474" s="6" t="n">
        <x:v>0</x:v>
      </x:c>
      <x:c r="X1474" s="6" t="n">
        <x:v>0</x:v>
      </x:c>
      <x:c r="Y1474" s="6" t="n">
        <x:v>0</x:v>
      </x:c>
      <x:c r="Z1474" s="6" t="n">
        <x:v>0</x:v>
      </x:c>
      <x:c r="AA1474" s="6" t="n">
        <x:v>3</x:v>
      </x:c>
      <x:c r="AB1474" s="6" t="n">
        <x:v>11</x:v>
      </x:c>
      <x:c r="AC1474" s="6" t="n">
        <x:v>0</x:v>
      </x:c>
    </x:row>
    <x:row r="1475">
      <x:c r="A1475" s="6" t="n">
        <x:v>4070</x:v>
      </x:c>
      <x:c r="B1475" s="6" t="n">
        <x:v>1969</x:v>
      </x:c>
      <x:c r="C1475" s="6" t="str">
        <x:v>PhD</x:v>
      </x:c>
      <x:c r="D1475" s="6" t="str">
        <x:v>Married</x:v>
      </x:c>
      <x:c r="E1475" s="6" t="n">
        <x:v>94871</x:v>
      </x:c>
      <x:c r="F1475" s="6" t="n">
        <x:v>0</x:v>
      </x:c>
      <x:c r="G1475" s="6" t="n">
        <x:v>2</x:v>
      </x:c>
      <x:c r="H1475" s="9" t="str">
        <x:v>01-09-2012</x:v>
      </x:c>
      <x:c r="I1475" s="6" t="n">
        <x:v>99</x:v>
      </x:c>
      <x:c r="J1475" s="6" t="n">
        <x:v>169</x:v>
      </x:c>
      <x:c r="K1475" s="6" t="n">
        <x:v>24</x:v>
      </x:c>
      <x:c r="L1475" s="6" t="n">
        <x:v>553</x:v>
      </x:c>
      <x:c r="M1475" s="6" t="n">
        <x:v>188</x:v>
      </x:c>
      <x:c r="N1475" s="6" t="n">
        <x:v>0</x:v>
      </x:c>
      <x:c r="O1475" s="6" t="n">
        <x:v>144</x:v>
      </x:c>
      <x:c r="P1475" s="6" t="n">
        <x:v>1</x:v>
      </x:c>
      <x:c r="Q1475" s="6" t="n">
        <x:v>8</x:v>
      </x:c>
      <x:c r="R1475" s="6" t="n">
        <x:v>5</x:v>
      </x:c>
      <x:c r="S1475" s="6" t="n">
        <x:v>4</x:v>
      </x:c>
      <x:c r="T1475" s="6" t="n">
        <x:v>7</x:v>
      </x:c>
      <x:c r="U1475" s="6" t="n">
        <x:v>0</x:v>
      </x:c>
      <x:c r="V1475" s="6" t="n">
        <x:v>1</x:v>
      </x:c>
      <x:c r="W1475" s="6" t="n">
        <x:v>1</x:v>
      </x:c>
      <x:c r="X1475" s="6" t="n">
        <x:v>0</x:v>
      </x:c>
      <x:c r="Y1475" s="6" t="n">
        <x:v>0</x:v>
      </x:c>
      <x:c r="Z1475" s="6" t="n">
        <x:v>0</x:v>
      </x:c>
      <x:c r="AA1475" s="6" t="n">
        <x:v>3</x:v>
      </x:c>
      <x:c r="AB1475" s="6" t="n">
        <x:v>11</x:v>
      </x:c>
      <x:c r="AC1475" s="6" t="n">
        <x:v>1</x:v>
      </x:c>
    </x:row>
    <x:row r="1476">
      <x:c r="A1476" s="6" t="n">
        <x:v>25</x:v>
      </x:c>
      <x:c r="B1476" s="6" t="n">
        <x:v>1958</x:v>
      </x:c>
      <x:c r="C1476" s="6" t="str">
        <x:v>Graduation</x:v>
      </x:c>
      <x:c r="D1476" s="6" t="str">
        <x:v>Married</x:v>
      </x:c>
      <x:c r="E1476" s="6" t="n">
        <x:v>65148</x:v>
      </x:c>
      <x:c r="F1476" s="6" t="n">
        <x:v>0</x:v>
      </x:c>
      <x:c r="G1476" s="6" t="n">
        <x:v>1</x:v>
      </x:c>
      <x:c r="H1476" s="9" t="str">
        <x:v>16-11-2012</x:v>
      </x:c>
      <x:c r="I1476" s="6" t="n">
        <x:v>9</x:v>
      </x:c>
      <x:c r="J1476" s="6" t="n">
        <x:v>460</x:v>
      </x:c>
      <x:c r="K1476" s="6" t="n">
        <x:v>35</x:v>
      </x:c>
      <x:c r="L1476" s="6" t="n">
        <x:v>422</x:v>
      </x:c>
      <x:c r="M1476" s="6" t="n">
        <x:v>33</x:v>
      </x:c>
      <x:c r="N1476" s="6" t="n">
        <x:v>12</x:v>
      </x:c>
      <x:c r="O1476" s="6" t="n">
        <x:v>153</x:v>
      </x:c>
      <x:c r="P1476" s="6" t="n">
        <x:v>2</x:v>
      </x:c>
      <x:c r="Q1476" s="6" t="n">
        <x:v>6</x:v>
      </x:c>
      <x:c r="R1476" s="6" t="n">
        <x:v>6</x:v>
      </x:c>
      <x:c r="S1476" s="6" t="n">
        <x:v>7</x:v>
      </x:c>
      <x:c r="T1476" s="6" t="n">
        <x:v>4</x:v>
      </x:c>
      <x:c r="U1476" s="6" t="n">
        <x:v>0</x:v>
      </x:c>
      <x:c r="V1476" s="6" t="n">
        <x:v>0</x:v>
      </x:c>
      <x:c r="W1476" s="6" t="n">
        <x:v>0</x:v>
      </x:c>
      <x:c r="X1476" s="6" t="n">
        <x:v>0</x:v>
      </x:c>
      <x:c r="Y1476" s="6" t="n">
        <x:v>0</x:v>
      </x:c>
      <x:c r="Z1476" s="6" t="n">
        <x:v>0</x:v>
      </x:c>
      <x:c r="AA1476" s="6" t="n">
        <x:v>3</x:v>
      </x:c>
      <x:c r="AB1476" s="6" t="n">
        <x:v>11</x:v>
      </x:c>
      <x:c r="AC1476" s="6" t="n">
        <x:v>0</x:v>
      </x:c>
    </x:row>
    <x:row r="1477">
      <x:c r="A1477" s="6" t="n">
        <x:v>3697</x:v>
      </x:c>
      <x:c r="B1477" s="6" t="n">
        <x:v>1954</x:v>
      </x:c>
      <x:c r="C1477" s="6" t="str">
        <x:v>Graduation</x:v>
      </x:c>
      <x:c r="D1477" s="6" t="str">
        <x:v>Together</x:v>
      </x:c>
      <x:c r="E1477" s="6" t="n">
        <x:v>39898</x:v>
      </x:c>
      <x:c r="F1477" s="6" t="n">
        <x:v>0</x:v>
      </x:c>
      <x:c r="G1477" s="6" t="n">
        <x:v>1</x:v>
      </x:c>
      <x:c r="H1477" s="9" t="str">
        <x:v>12-02-2013</x:v>
      </x:c>
      <x:c r="I1477" s="6" t="n">
        <x:v>20</x:v>
      </x:c>
      <x:c r="J1477" s="6" t="n">
        <x:v>69</x:v>
      </x:c>
      <x:c r="K1477" s="6" t="n">
        <x:v>8</x:v>
      </x:c>
      <x:c r="L1477" s="6" t="n">
        <x:v>26</x:v>
      </x:c>
      <x:c r="M1477" s="6" t="n">
        <x:v>12</x:v>
      </x:c>
      <x:c r="N1477" s="6" t="n">
        <x:v>7</x:v>
      </x:c>
      <x:c r="O1477" s="6" t="n">
        <x:v>12</x:v>
      </x:c>
      <x:c r="P1477" s="6" t="n">
        <x:v>2</x:v>
      </x:c>
      <x:c r="Q1477" s="6" t="n">
        <x:v>3</x:v>
      </x:c>
      <x:c r="R1477" s="6" t="n">
        <x:v>0</x:v>
      </x:c>
      <x:c r="S1477" s="6" t="n">
        <x:v>4</x:v>
      </x:c>
      <x:c r="T1477" s="6" t="n">
        <x:v>7</x:v>
      </x:c>
      <x:c r="U1477" s="6" t="n">
        <x:v>0</x:v>
      </x:c>
      <x:c r="V1477" s="6" t="n">
        <x:v>0</x:v>
      </x:c>
      <x:c r="W1477" s="6" t="n">
        <x:v>0</x:v>
      </x:c>
      <x:c r="X1477" s="6" t="n">
        <x:v>0</x:v>
      </x:c>
      <x:c r="Y1477" s="6" t="n">
        <x:v>0</x:v>
      </x:c>
      <x:c r="Z1477" s="6" t="n">
        <x:v>0</x:v>
      </x:c>
      <x:c r="AA1477" s="6" t="n">
        <x:v>3</x:v>
      </x:c>
      <x:c r="AB1477" s="6" t="n">
        <x:v>11</x:v>
      </x:c>
      <x:c r="AC1477" s="6" t="n">
        <x:v>0</x:v>
      </x:c>
    </x:row>
    <x:row r="1478">
      <x:c r="A1478" s="6" t="n">
        <x:v>217</x:v>
      </x:c>
      <x:c r="B1478" s="6" t="n">
        <x:v>1956</x:v>
      </x:c>
      <x:c r="C1478" s="6" t="str">
        <x:v>Master</x:v>
      </x:c>
      <x:c r="D1478" s="6" t="str">
        <x:v>Single</x:v>
      </x:c>
      <x:c r="E1478" s="6" t="n">
        <x:v>64857</x:v>
      </x:c>
      <x:c r="F1478" s="6" t="n">
        <x:v>0</x:v>
      </x:c>
      <x:c r="G1478" s="6" t="n">
        <x:v>0</x:v>
      </x:c>
      <x:c r="H1478" s="9" t="str">
        <x:v>23-11-2012</x:v>
      </x:c>
      <x:c r="I1478" s="6" t="n">
        <x:v>78</x:v>
      </x:c>
      <x:c r="J1478" s="6" t="n">
        <x:v>556</x:v>
      </x:c>
      <x:c r="K1478" s="6" t="n">
        <x:v>14</x:v>
      </x:c>
      <x:c r="L1478" s="6" t="n">
        <x:v>717</x:v>
      </x:c>
      <x:c r="M1478" s="6" t="n">
        <x:v>210</x:v>
      </x:c>
      <x:c r="N1478" s="6" t="n">
        <x:v>0</x:v>
      </x:c>
      <x:c r="O1478" s="6" t="n">
        <x:v>43</x:v>
      </x:c>
      <x:c r="P1478" s="6" t="n">
        <x:v>1</x:v>
      </x:c>
      <x:c r="Q1478" s="6" t="n">
        <x:v>7</x:v>
      </x:c>
      <x:c r="R1478" s="6" t="n">
        <x:v>5</x:v>
      </x:c>
      <x:c r="S1478" s="6" t="n">
        <x:v>10</x:v>
      </x:c>
      <x:c r="T1478" s="6" t="n">
        <x:v>4</x:v>
      </x:c>
      <x:c r="U1478" s="6" t="n">
        <x:v>0</x:v>
      </x:c>
      <x:c r="V1478" s="6" t="n">
        <x:v>0</x:v>
      </x:c>
      <x:c r="W1478" s="6" t="n">
        <x:v>0</x:v>
      </x:c>
      <x:c r="X1478" s="6" t="n">
        <x:v>0</x:v>
      </x:c>
      <x:c r="Y1478" s="6" t="n">
        <x:v>0</x:v>
      </x:c>
      <x:c r="Z1478" s="6" t="n">
        <x:v>0</x:v>
      </x:c>
      <x:c r="AA1478" s="6" t="n">
        <x:v>3</x:v>
      </x:c>
      <x:c r="AB1478" s="6" t="n">
        <x:v>11</x:v>
      </x:c>
      <x:c r="AC1478" s="6" t="n">
        <x:v>0</x:v>
      </x:c>
    </x:row>
    <x:row r="1479">
      <x:c r="A1479" s="6" t="n">
        <x:v>4220</x:v>
      </x:c>
      <x:c r="B1479" s="6" t="n">
        <x:v>1970</x:v>
      </x:c>
      <x:c r="C1479" s="6" t="str">
        <x:v>PhD</x:v>
      </x:c>
      <x:c r="D1479" s="6" t="str">
        <x:v>Married</x:v>
      </x:c>
      <x:c r="E1479" s="6" t="n">
        <x:v>59892</x:v>
      </x:c>
      <x:c r="F1479" s="6" t="n">
        <x:v>0</x:v>
      </x:c>
      <x:c r="G1479" s="6" t="n">
        <x:v>1</x:v>
      </x:c>
      <x:c r="H1479" s="9" t="str">
        <x:v>02-11-2013</x:v>
      </x:c>
      <x:c r="I1479" s="6" t="n">
        <x:v>26</x:v>
      </x:c>
      <x:c r="J1479" s="6" t="n">
        <x:v>73</x:v>
      </x:c>
      <x:c r="K1479" s="6" t="n">
        <x:v>0</x:v>
      </x:c>
      <x:c r="L1479" s="6" t="n">
        <x:v>13</x:v>
      </x:c>
      <x:c r="M1479" s="6" t="n">
        <x:v>0</x:v>
      </x:c>
      <x:c r="N1479" s="6" t="n">
        <x:v>1</x:v>
      </x:c>
      <x:c r="O1479" s="6" t="n">
        <x:v>0</x:v>
      </x:c>
      <x:c r="P1479" s="6" t="n">
        <x:v>1</x:v>
      </x:c>
      <x:c r="Q1479" s="6" t="n">
        <x:v>2</x:v>
      </x:c>
      <x:c r="R1479" s="6" t="n">
        <x:v>1</x:v>
      </x:c>
      <x:c r="S1479" s="6" t="n">
        <x:v>3</x:v>
      </x:c>
      <x:c r="T1479" s="6" t="n">
        <x:v>3</x:v>
      </x:c>
      <x:c r="U1479" s="6" t="n">
        <x:v>0</x:v>
      </x:c>
      <x:c r="V1479" s="6" t="n">
        <x:v>0</x:v>
      </x:c>
      <x:c r="W1479" s="6" t="n">
        <x:v>0</x:v>
      </x:c>
      <x:c r="X1479" s="6" t="n">
        <x:v>0</x:v>
      </x:c>
      <x:c r="Y1479" s="6" t="n">
        <x:v>0</x:v>
      </x:c>
      <x:c r="Z1479" s="6" t="n">
        <x:v>0</x:v>
      </x:c>
      <x:c r="AA1479" s="6" t="n">
        <x:v>3</x:v>
      </x:c>
      <x:c r="AB1479" s="6" t="n">
        <x:v>11</x:v>
      </x:c>
      <x:c r="AC1479" s="6" t="n">
        <x:v>0</x:v>
      </x:c>
    </x:row>
    <x:row r="1480">
      <x:c r="A1480" s="6" t="n">
        <x:v>5286</x:v>
      </x:c>
      <x:c r="B1480" s="6" t="n">
        <x:v>1987</x:v>
      </x:c>
      <x:c r="C1480" s="6" t="str">
        <x:v>Master</x:v>
      </x:c>
      <x:c r="D1480" s="6" t="str">
        <x:v>Single</x:v>
      </x:c>
      <x:c r="E1480" s="6" t="n">
        <x:v>41020</x:v>
      </x:c>
      <x:c r="F1480" s="6" t="n">
        <x:v>0</x:v>
      </x:c>
      <x:c r="G1480" s="6" t="n">
        <x:v>0</x:v>
      </x:c>
      <x:c r="H1480" s="9" t="str">
        <x:v>28-10-2013</x:v>
      </x:c>
      <x:c r="I1480" s="6" t="n">
        <x:v>68</x:v>
      </x:c>
      <x:c r="J1480" s="6" t="n">
        <x:v>112</x:v>
      </x:c>
      <x:c r="K1480" s="6" t="n">
        <x:v>1</x:v>
      </x:c>
      <x:c r="L1480" s="6" t="n">
        <x:v>54</x:v>
      </x:c>
      <x:c r="M1480" s="6" t="n">
        <x:v>7</x:v>
      </x:c>
      <x:c r="N1480" s="6" t="n">
        <x:v>7</x:v>
      </x:c>
      <x:c r="O1480" s="6" t="n">
        <x:v>36</x:v>
      </x:c>
      <x:c r="P1480" s="6" t="n">
        <x:v>1</x:v>
      </x:c>
      <x:c r="Q1480" s="6" t="n">
        <x:v>3</x:v>
      </x:c>
      <x:c r="R1480" s="6" t="n">
        <x:v>2</x:v>
      </x:c>
      <x:c r="S1480" s="6" t="n">
        <x:v>4</x:v>
      </x:c>
      <x:c r="T1480" s="6" t="n">
        <x:v>3</x:v>
      </x:c>
      <x:c r="U1480" s="6" t="n">
        <x:v>0</x:v>
      </x:c>
      <x:c r="V1480" s="6" t="n">
        <x:v>0</x:v>
      </x:c>
      <x:c r="W1480" s="6" t="n">
        <x:v>0</x:v>
      </x:c>
      <x:c r="X1480" s="6" t="n">
        <x:v>0</x:v>
      </x:c>
      <x:c r="Y1480" s="6" t="n">
        <x:v>0</x:v>
      </x:c>
      <x:c r="Z1480" s="6" t="n">
        <x:v>0</x:v>
      </x:c>
      <x:c r="AA1480" s="6" t="n">
        <x:v>3</x:v>
      </x:c>
      <x:c r="AB1480" s="6" t="n">
        <x:v>11</x:v>
      </x:c>
      <x:c r="AC1480" s="6" t="n">
        <x:v>0</x:v>
      </x:c>
    </x:row>
    <x:row r="1481">
      <x:c r="A1481" s="6" t="n">
        <x:v>9559</x:v>
      </x:c>
      <x:c r="B1481" s="6" t="n">
        <x:v>1961</x:v>
      </x:c>
      <x:c r="C1481" s="6" t="str">
        <x:v>PhD</x:v>
      </x:c>
      <x:c r="D1481" s="6" t="str">
        <x:v>Married</x:v>
      </x:c>
      <x:c r="E1481" s="6" t="n">
        <x:v>57072</x:v>
      </x:c>
      <x:c r="F1481" s="6" t="n">
        <x:v>0</x:v>
      </x:c>
      <x:c r="G1481" s="6" t="n">
        <x:v>1</x:v>
      </x:c>
      <x:c r="H1481" s="9" t="str">
        <x:v>24-01-2014</x:v>
      </x:c>
      <x:c r="I1481" s="6" t="n">
        <x:v>79</x:v>
      </x:c>
      <x:c r="J1481" s="6" t="n">
        <x:v>944</x:v>
      </x:c>
      <x:c r="K1481" s="6" t="n">
        <x:v>0</x:v>
      </x:c>
      <x:c r="L1481" s="6" t="n">
        <x:v>60</x:v>
      </x:c>
      <x:c r="M1481" s="6" t="n">
        <x:v>0</x:v>
      </x:c>
      <x:c r="N1481" s="6" t="n">
        <x:v>0</x:v>
      </x:c>
      <x:c r="O1481" s="6" t="n">
        <x:v>30</x:v>
      </x:c>
      <x:c r="P1481" s="6" t="n">
        <x:v>2</x:v>
      </x:c>
      <x:c r="Q1481" s="6" t="n">
        <x:v>7</x:v>
      </x:c>
      <x:c r="R1481" s="6" t="n">
        <x:v>5</x:v>
      </x:c>
      <x:c r="S1481" s="6" t="n">
        <x:v>13</x:v>
      </x:c>
      <x:c r="T1481" s="6" t="n">
        <x:v>5</x:v>
      </x:c>
      <x:c r="U1481" s="6" t="n">
        <x:v>1</x:v>
      </x:c>
      <x:c r="V1481" s="6" t="n">
        <x:v>0</x:v>
      </x:c>
      <x:c r="W1481" s="6" t="n">
        <x:v>0</x:v>
      </x:c>
      <x:c r="X1481" s="6" t="n">
        <x:v>0</x:v>
      </x:c>
      <x:c r="Y1481" s="6" t="n">
        <x:v>0</x:v>
      </x:c>
      <x:c r="Z1481" s="6" t="n">
        <x:v>0</x:v>
      </x:c>
      <x:c r="AA1481" s="6" t="n">
        <x:v>3</x:v>
      </x:c>
      <x:c r="AB1481" s="6" t="n">
        <x:v>11</x:v>
      </x:c>
      <x:c r="AC1481" s="6" t="n">
        <x:v>0</x:v>
      </x:c>
    </x:row>
    <x:row r="1482">
      <x:c r="A1482" s="6" t="n">
        <x:v>2849</x:v>
      </x:c>
      <x:c r="B1482" s="6" t="n">
        <x:v>1979</x:v>
      </x:c>
      <x:c r="C1482" s="6" t="str">
        <x:v>Graduation</x:v>
      </x:c>
      <x:c r="D1482" s="6" t="str">
        <x:v>Single</x:v>
      </x:c>
      <x:c r="E1482" s="6" t="n">
        <x:v>60474</x:v>
      </x:c>
      <x:c r="F1482" s="6" t="n">
        <x:v>0</x:v>
      </x:c>
      <x:c r="G1482" s="6" t="n">
        <x:v>1</x:v>
      </x:c>
      <x:c r="H1482" s="9" t="str">
        <x:v>01-04-2013</x:v>
      </x:c>
      <x:c r="I1482" s="6" t="n">
        <x:v>25</x:v>
      </x:c>
      <x:c r="J1482" s="6" t="n">
        <x:v>265</x:v>
      </x:c>
      <x:c r="K1482" s="6" t="n">
        <x:v>199</x:v>
      </x:c>
      <x:c r="L1482" s="6" t="n">
        <x:v>303</x:v>
      </x:c>
      <x:c r="M1482" s="6" t="n">
        <x:v>234</x:v>
      </x:c>
      <x:c r="N1482" s="6" t="n">
        <x:v>9</x:v>
      </x:c>
      <x:c r="O1482" s="6" t="n">
        <x:v>170</x:v>
      </x:c>
      <x:c r="P1482" s="6" t="n">
        <x:v>7</x:v>
      </x:c>
      <x:c r="Q1482" s="6" t="n">
        <x:v>10</x:v>
      </x:c>
      <x:c r="R1482" s="6" t="n">
        <x:v>2</x:v>
      </x:c>
      <x:c r="S1482" s="6" t="n">
        <x:v>12</x:v>
      </x:c>
      <x:c r="T1482" s="6" t="n">
        <x:v>7</x:v>
      </x:c>
      <x:c r="U1482" s="6" t="n">
        <x:v>0</x:v>
      </x:c>
      <x:c r="V1482" s="6" t="n">
        <x:v>0</x:v>
      </x:c>
      <x:c r="W1482" s="6" t="n">
        <x:v>0</x:v>
      </x:c>
      <x:c r="X1482" s="6" t="n">
        <x:v>0</x:v>
      </x:c>
      <x:c r="Y1482" s="6" t="n">
        <x:v>0</x:v>
      </x:c>
      <x:c r="Z1482" s="6" t="n">
        <x:v>0</x:v>
      </x:c>
      <x:c r="AA1482" s="6" t="n">
        <x:v>3</x:v>
      </x:c>
      <x:c r="AB1482" s="6" t="n">
        <x:v>11</x:v>
      </x:c>
      <x:c r="AC1482" s="6" t="n">
        <x:v>0</x:v>
      </x:c>
    </x:row>
    <x:row r="1483">
      <x:c r="A1483" s="6" t="n">
        <x:v>7787</x:v>
      </x:c>
      <x:c r="B1483" s="6" t="n">
        <x:v>1960</x:v>
      </x:c>
      <x:c r="C1483" s="6" t="str">
        <x:v>Graduation</x:v>
      </x:c>
      <x:c r="D1483" s="6" t="str">
        <x:v>Together</x:v>
      </x:c>
      <x:c r="E1483" s="6" t="n">
        <x:v>62807</x:v>
      </x:c>
      <x:c r="F1483" s="6" t="n">
        <x:v>0</x:v>
      </x:c>
      <x:c r="G1483" s="6" t="n">
        <x:v>1</x:v>
      </x:c>
      <x:c r="H1483" s="9" t="str">
        <x:v>31-08-2012</x:v>
      </x:c>
      <x:c r="I1483" s="6" t="n">
        <x:v>83</x:v>
      </x:c>
      <x:c r="J1483" s="6" t="n">
        <x:v>526</x:v>
      </x:c>
      <x:c r="K1483" s="6" t="n">
        <x:v>28</x:v>
      </x:c>
      <x:c r="L1483" s="6" t="n">
        <x:v>135</x:v>
      </x:c>
      <x:c r="M1483" s="6" t="n">
        <x:v>10</x:v>
      </x:c>
      <x:c r="N1483" s="6" t="n">
        <x:v>21</x:v>
      </x:c>
      <x:c r="O1483" s="6" t="n">
        <x:v>99</x:v>
      </x:c>
      <x:c r="P1483" s="6" t="n">
        <x:v>3</x:v>
      </x:c>
      <x:c r="Q1483" s="6" t="n">
        <x:v>5</x:v>
      </x:c>
      <x:c r="R1483" s="6" t="n">
        <x:v>3</x:v>
      </x:c>
      <x:c r="S1483" s="6" t="n">
        <x:v>12</x:v>
      </x:c>
      <x:c r="T1483" s="6" t="n">
        <x:v>5</x:v>
      </x:c>
      <x:c r="U1483" s="6" t="n">
        <x:v>0</x:v>
      </x:c>
      <x:c r="V1483" s="6" t="n">
        <x:v>0</x:v>
      </x:c>
      <x:c r="W1483" s="6" t="n">
        <x:v>0</x:v>
      </x:c>
      <x:c r="X1483" s="6" t="n">
        <x:v>0</x:v>
      </x:c>
      <x:c r="Y1483" s="6" t="n">
        <x:v>0</x:v>
      </x:c>
      <x:c r="Z1483" s="6" t="n">
        <x:v>0</x:v>
      </x:c>
      <x:c r="AA1483" s="6" t="n">
        <x:v>3</x:v>
      </x:c>
      <x:c r="AB1483" s="6" t="n">
        <x:v>11</x:v>
      </x:c>
      <x:c r="AC1483" s="6" t="n">
        <x:v>0</x:v>
      </x:c>
    </x:row>
    <x:row r="1484">
      <x:c r="A1484" s="6" t="n">
        <x:v>3102</x:v>
      </x:c>
      <x:c r="B1484" s="6" t="n">
        <x:v>1981</x:v>
      </x:c>
      <x:c r="C1484" s="6" t="str">
        <x:v>2n Cycle</x:v>
      </x:c>
      <x:c r="D1484" s="6" t="str">
        <x:v>Together</x:v>
      </x:c>
      <x:c r="E1484" s="6" t="n">
        <x:v>19414</x:v>
      </x:c>
      <x:c r="F1484" s="6" t="n">
        <x:v>1</x:v>
      </x:c>
      <x:c r="G1484" s="6" t="n">
        <x:v>0</x:v>
      </x:c>
      <x:c r="H1484" s="9" t="str">
        <x:v>16-10-2013</x:v>
      </x:c>
      <x:c r="I1484" s="6" t="n">
        <x:v>32</x:v>
      </x:c>
      <x:c r="J1484" s="6" t="n">
        <x:v>2</x:v>
      </x:c>
      <x:c r="K1484" s="6" t="n">
        <x:v>3</x:v>
      </x:c>
      <x:c r="L1484" s="6" t="n">
        <x:v>12</x:v>
      </x:c>
      <x:c r="M1484" s="6" t="n">
        <x:v>3</x:v>
      </x:c>
      <x:c r="N1484" s="6" t="n">
        <x:v>5</x:v>
      </x:c>
      <x:c r="O1484" s="6" t="n">
        <x:v>7</x:v>
      </x:c>
      <x:c r="P1484" s="6" t="n">
        <x:v>1</x:v>
      </x:c>
      <x:c r="Q1484" s="6" t="n">
        <x:v>1</x:v>
      </x:c>
      <x:c r="R1484" s="6" t="n">
        <x:v>0</x:v>
      </x:c>
      <x:c r="S1484" s="6" t="n">
        <x:v>3</x:v>
      </x:c>
      <x:c r="T1484" s="6" t="n">
        <x:v>8</x:v>
      </x:c>
      <x:c r="U1484" s="6" t="n">
        <x:v>0</x:v>
      </x:c>
      <x:c r="V1484" s="6" t="n">
        <x:v>0</x:v>
      </x:c>
      <x:c r="W1484" s="6" t="n">
        <x:v>0</x:v>
      </x:c>
      <x:c r="X1484" s="6" t="n">
        <x:v>0</x:v>
      </x:c>
      <x:c r="Y1484" s="6" t="n">
        <x:v>0</x:v>
      </x:c>
      <x:c r="Z1484" s="6" t="n">
        <x:v>0</x:v>
      </x:c>
      <x:c r="AA1484" s="6" t="n">
        <x:v>3</x:v>
      </x:c>
      <x:c r="AB1484" s="6" t="n">
        <x:v>11</x:v>
      </x:c>
      <x:c r="AC1484" s="6" t="n">
        <x:v>0</x:v>
      </x:c>
    </x:row>
    <x:row r="1485">
      <x:c r="A1485" s="6" t="n">
        <x:v>5868</x:v>
      </x:c>
      <x:c r="B1485" s="6" t="n">
        <x:v>1980</x:v>
      </x:c>
      <x:c r="C1485" s="6" t="str">
        <x:v>Graduation</x:v>
      </x:c>
      <x:c r="D1485" s="6" t="str">
        <x:v>Married</x:v>
      </x:c>
      <x:c r="E1485" s="6" t="n">
        <x:v>19107</x:v>
      </x:c>
      <x:c r="F1485" s="6" t="n">
        <x:v>1</x:v>
      </x:c>
      <x:c r="G1485" s="6" t="n">
        <x:v>0</x:v>
      </x:c>
      <x:c r="H1485" s="9" t="str">
        <x:v>22-08-2013</x:v>
      </x:c>
      <x:c r="I1485" s="6" t="n">
        <x:v>49</x:v>
      </x:c>
      <x:c r="J1485" s="6" t="n">
        <x:v>2</x:v>
      </x:c>
      <x:c r="K1485" s="6" t="n">
        <x:v>4</x:v>
      </x:c>
      <x:c r="L1485" s="6" t="n">
        <x:v>9</x:v>
      </x:c>
      <x:c r="M1485" s="6" t="n">
        <x:v>10</x:v>
      </x:c>
      <x:c r="N1485" s="6" t="n">
        <x:v>5</x:v>
      </x:c>
      <x:c r="O1485" s="6" t="n">
        <x:v>16</x:v>
      </x:c>
      <x:c r="P1485" s="6" t="n">
        <x:v>2</x:v>
      </x:c>
      <x:c r="Q1485" s="6" t="n">
        <x:v>1</x:v>
      </x:c>
      <x:c r="R1485" s="6" t="n">
        <x:v>0</x:v>
      </x:c>
      <x:c r="S1485" s="6" t="n">
        <x:v>3</x:v>
      </x:c>
      <x:c r="T1485" s="6" t="n">
        <x:v>7</x:v>
      </x:c>
      <x:c r="U1485" s="6" t="n">
        <x:v>0</x:v>
      </x:c>
      <x:c r="V1485" s="6" t="n">
        <x:v>0</x:v>
      </x:c>
      <x:c r="W1485" s="6" t="n">
        <x:v>0</x:v>
      </x:c>
      <x:c r="X1485" s="6" t="n">
        <x:v>0</x:v>
      </x:c>
      <x:c r="Y1485" s="6" t="n">
        <x:v>0</x:v>
      </x:c>
      <x:c r="Z1485" s="6" t="n">
        <x:v>0</x:v>
      </x:c>
      <x:c r="AA1485" s="6" t="n">
        <x:v>3</x:v>
      </x:c>
      <x:c r="AB1485" s="6" t="n">
        <x:v>11</x:v>
      </x:c>
      <x:c r="AC1485" s="6" t="n">
        <x:v>0</x:v>
      </x:c>
    </x:row>
    <x:row r="1486">
      <x:c r="A1486" s="6" t="n">
        <x:v>8370</x:v>
      </x:c>
      <x:c r="B1486" s="6" t="n">
        <x:v>1976</x:v>
      </x:c>
      <x:c r="C1486" s="6" t="str">
        <x:v>2n Cycle</x:v>
      </x:c>
      <x:c r="D1486" s="6" t="str">
        <x:v>Together</x:v>
      </x:c>
      <x:c r="E1486" s="6" t="n">
        <x:v>75484</x:v>
      </x:c>
      <x:c r="F1486" s="6" t="n">
        <x:v>0</x:v>
      </x:c>
      <x:c r="G1486" s="6" t="n">
        <x:v>1</x:v>
      </x:c>
      <x:c r="H1486" s="9" t="str">
        <x:v>02-08-2012</x:v>
      </x:c>
      <x:c r="I1486" s="6" t="n">
        <x:v>50</x:v>
      </x:c>
      <x:c r="J1486" s="6" t="n">
        <x:v>378</x:v>
      </x:c>
      <x:c r="K1486" s="6" t="n">
        <x:v>97</x:v>
      </x:c>
      <x:c r="L1486" s="6" t="n">
        <x:v>259</x:v>
      </x:c>
      <x:c r="M1486" s="6" t="n">
        <x:v>197</x:v>
      </x:c>
      <x:c r="N1486" s="6" t="n">
        <x:v>194</x:v>
      </x:c>
      <x:c r="O1486" s="6" t="n">
        <x:v>34</x:v>
      </x:c>
      <x:c r="P1486" s="6" t="n">
        <x:v>2</x:v>
      </x:c>
      <x:c r="Q1486" s="6" t="n">
        <x:v>7</x:v>
      </x:c>
      <x:c r="R1486" s="6" t="n">
        <x:v>3</x:v>
      </x:c>
      <x:c r="S1486" s="6" t="n">
        <x:v>6</x:v>
      </x:c>
      <x:c r="T1486" s="6" t="n">
        <x:v>4</x:v>
      </x:c>
      <x:c r="U1486" s="6" t="n">
        <x:v>0</x:v>
      </x:c>
      <x:c r="V1486" s="6" t="n">
        <x:v>0</x:v>
      </x:c>
      <x:c r="W1486" s="6" t="n">
        <x:v>0</x:v>
      </x:c>
      <x:c r="X1486" s="6" t="n">
        <x:v>0</x:v>
      </x:c>
      <x:c r="Y1486" s="6" t="n">
        <x:v>0</x:v>
      </x:c>
      <x:c r="Z1486" s="6" t="n">
        <x:v>0</x:v>
      </x:c>
      <x:c r="AA1486" s="6" t="n">
        <x:v>3</x:v>
      </x:c>
      <x:c r="AB1486" s="6" t="n">
        <x:v>11</x:v>
      </x:c>
      <x:c r="AC1486" s="6" t="n">
        <x:v>0</x:v>
      </x:c>
    </x:row>
    <x:row r="1487">
      <x:c r="A1487" s="6" t="n">
        <x:v>9988</x:v>
      </x:c>
      <x:c r="B1487" s="6" t="n">
        <x:v>1976</x:v>
      </x:c>
      <x:c r="C1487" s="6" t="str">
        <x:v>Master</x:v>
      </x:c>
      <x:c r="D1487" s="6" t="str">
        <x:v>Single</x:v>
      </x:c>
      <x:c r="E1487" s="6" t="n">
        <x:v>70379</x:v>
      </x:c>
      <x:c r="F1487" s="6" t="n">
        <x:v>0</x:v>
      </x:c>
      <x:c r="G1487" s="6" t="n">
        <x:v>1</x:v>
      </x:c>
      <x:c r="H1487" s="9" t="str">
        <x:v>03-03-2013</x:v>
      </x:c>
      <x:c r="I1487" s="6" t="n">
        <x:v>84</x:v>
      </x:c>
      <x:c r="J1487" s="6" t="n">
        <x:v>553</x:v>
      </x:c>
      <x:c r="K1487" s="6" t="n">
        <x:v>25</x:v>
      </x:c>
      <x:c r="L1487" s="6" t="n">
        <x:v>142</x:v>
      </x:c>
      <x:c r="M1487" s="6" t="n">
        <x:v>65</x:v>
      </x:c>
      <x:c r="N1487" s="6" t="n">
        <x:v>67</x:v>
      </x:c>
      <x:c r="O1487" s="6" t="n">
        <x:v>8</x:v>
      </x:c>
      <x:c r="P1487" s="6" t="n">
        <x:v>3</x:v>
      </x:c>
      <x:c r="Q1487" s="6" t="n">
        <x:v>6</x:v>
      </x:c>
      <x:c r="R1487" s="6" t="n">
        <x:v>3</x:v>
      </x:c>
      <x:c r="S1487" s="6" t="n">
        <x:v>13</x:v>
      </x:c>
      <x:c r="T1487" s="6" t="n">
        <x:v>4</x:v>
      </x:c>
      <x:c r="U1487" s="6" t="n">
        <x:v>0</x:v>
      </x:c>
      <x:c r="V1487" s="6" t="n">
        <x:v>0</x:v>
      </x:c>
      <x:c r="W1487" s="6" t="n">
        <x:v>0</x:v>
      </x:c>
      <x:c r="X1487" s="6" t="n">
        <x:v>0</x:v>
      </x:c>
      <x:c r="Y1487" s="6" t="n">
        <x:v>0</x:v>
      </x:c>
      <x:c r="Z1487" s="6" t="n">
        <x:v>0</x:v>
      </x:c>
      <x:c r="AA1487" s="6" t="n">
        <x:v>3</x:v>
      </x:c>
      <x:c r="AB1487" s="6" t="n">
        <x:v>11</x:v>
      </x:c>
      <x:c r="AC1487" s="6" t="n">
        <x:v>0</x:v>
      </x:c>
    </x:row>
    <x:row r="1488">
      <x:c r="A1488" s="6" t="n">
        <x:v>2939</x:v>
      </x:c>
      <x:c r="B1488" s="6" t="n">
        <x:v>1970</x:v>
      </x:c>
      <x:c r="C1488" s="6" t="str">
        <x:v>Master</x:v>
      </x:c>
      <x:c r="D1488" s="6" t="str">
        <x:v>Together</x:v>
      </x:c>
      <x:c r="E1488" s="6" t="n">
        <x:v>79419</x:v>
      </x:c>
      <x:c r="F1488" s="6" t="n">
        <x:v>0</x:v>
      </x:c>
      <x:c r="G1488" s="6" t="n">
        <x:v>0</x:v>
      </x:c>
      <x:c r="H1488" s="9" t="str">
        <x:v>22-06-2014</x:v>
      </x:c>
      <x:c r="I1488" s="6" t="n">
        <x:v>96</x:v>
      </x:c>
      <x:c r="J1488" s="6" t="n">
        <x:v>751</x:v>
      </x:c>
      <x:c r="K1488" s="6" t="n">
        <x:v>127</x:v>
      </x:c>
      <x:c r="L1488" s="6" t="n">
        <x:v>687</x:v>
      </x:c>
      <x:c r="M1488" s="6" t="n">
        <x:v>20</x:v>
      </x:c>
      <x:c r="N1488" s="6" t="n">
        <x:v>15</x:v>
      </x:c>
      <x:c r="O1488" s="6" t="n">
        <x:v>31</x:v>
      </x:c>
      <x:c r="P1488" s="6" t="n">
        <x:v>1</x:v>
      </x:c>
      <x:c r="Q1488" s="6" t="n">
        <x:v>4</x:v>
      </x:c>
      <x:c r="R1488" s="6" t="n">
        <x:v>6</x:v>
      </x:c>
      <x:c r="S1488" s="6" t="n">
        <x:v>4</x:v>
      </x:c>
      <x:c r="T1488" s="6" t="n">
        <x:v>2</x:v>
      </x:c>
      <x:c r="U1488" s="6" t="n">
        <x:v>0</x:v>
      </x:c>
      <x:c r="V1488" s="6" t="n">
        <x:v>0</x:v>
      </x:c>
      <x:c r="W1488" s="6" t="n">
        <x:v>0</x:v>
      </x:c>
      <x:c r="X1488" s="6" t="n">
        <x:v>0</x:v>
      </x:c>
      <x:c r="Y1488" s="6" t="n">
        <x:v>0</x:v>
      </x:c>
      <x:c r="Z1488" s="6" t="n">
        <x:v>0</x:v>
      </x:c>
      <x:c r="AA1488" s="6" t="n">
        <x:v>3</x:v>
      </x:c>
      <x:c r="AB1488" s="6" t="n">
        <x:v>11</x:v>
      </x:c>
      <x:c r="AC1488" s="6" t="n">
        <x:v>0</x:v>
      </x:c>
    </x:row>
    <x:row r="1489">
      <x:c r="A1489" s="6" t="n">
        <x:v>5529</x:v>
      </x:c>
      <x:c r="B1489" s="6" t="n">
        <x:v>1946</x:v>
      </x:c>
      <x:c r="C1489" s="6" t="str">
        <x:v>PhD</x:v>
      </x:c>
      <x:c r="D1489" s="6" t="str">
        <x:v>Together</x:v>
      </x:c>
      <x:c r="E1489" s="6" t="n">
        <x:v>64014</x:v>
      </x:c>
      <x:c r="F1489" s="6" t="n">
        <x:v>2</x:v>
      </x:c>
      <x:c r="G1489" s="6" t="n">
        <x:v>1</x:v>
      </x:c>
      <x:c r="H1489" s="9" t="str">
        <x:v>10-06-2014</x:v>
      </x:c>
      <x:c r="I1489" s="6" t="n">
        <x:v>56</x:v>
      </x:c>
      <x:c r="J1489" s="6" t="n">
        <x:v>406</x:v>
      </x:c>
      <x:c r="K1489" s="6" t="n">
        <x:v>0</x:v>
      </x:c>
      <x:c r="L1489" s="6" t="n">
        <x:v>30</x:v>
      </x:c>
      <x:c r="M1489" s="6" t="n">
        <x:v>0</x:v>
      </x:c>
      <x:c r="N1489" s="6" t="n">
        <x:v>0</x:v>
      </x:c>
      <x:c r="O1489" s="6" t="n">
        <x:v>8</x:v>
      </x:c>
      <x:c r="P1489" s="6" t="n">
        <x:v>7</x:v>
      </x:c>
      <x:c r="Q1489" s="6" t="n">
        <x:v>8</x:v>
      </x:c>
      <x:c r="R1489" s="6" t="n">
        <x:v>2</x:v>
      </x:c>
      <x:c r="S1489" s="6" t="n">
        <x:v>5</x:v>
      </x:c>
      <x:c r="T1489" s="6" t="n">
        <x:v>7</x:v>
      </x:c>
      <x:c r="U1489" s="6" t="n">
        <x:v>0</x:v>
      </x:c>
      <x:c r="V1489" s="6" t="n">
        <x:v>0</x:v>
      </x:c>
      <x:c r="W1489" s="6" t="n">
        <x:v>0</x:v>
      </x:c>
      <x:c r="X1489" s="6" t="n">
        <x:v>1</x:v>
      </x:c>
      <x:c r="Y1489" s="6" t="n">
        <x:v>0</x:v>
      </x:c>
      <x:c r="Z1489" s="6" t="n">
        <x:v>0</x:v>
      </x:c>
      <x:c r="AA1489" s="6" t="n">
        <x:v>3</x:v>
      </x:c>
      <x:c r="AB1489" s="6" t="n">
        <x:v>11</x:v>
      </x:c>
      <x:c r="AC1489" s="6" t="n">
        <x:v>0</x:v>
      </x:c>
    </x:row>
    <x:row r="1490">
      <x:c r="A1490" s="6" t="n">
        <x:v>9743</x:v>
      </x:c>
      <x:c r="B1490" s="6" t="n">
        <x:v>1955</x:v>
      </x:c>
      <x:c r="C1490" s="6" t="str">
        <x:v>Graduation</x:v>
      </x:c>
      <x:c r="D1490" s="6" t="str">
        <x:v>Married</x:v>
      </x:c>
      <x:c r="E1490" s="6" t="n">
        <x:v>76998</x:v>
      </x:c>
      <x:c r="F1490" s="6" t="n">
        <x:v>0</x:v>
      </x:c>
      <x:c r="G1490" s="6" t="n">
        <x:v>1</x:v>
      </x:c>
      <x:c r="H1490" s="9" t="str">
        <x:v>11-01-2013</x:v>
      </x:c>
      <x:c r="I1490" s="6" t="n">
        <x:v>85</x:v>
      </x:c>
      <x:c r="J1490" s="6" t="n">
        <x:v>1449</x:v>
      </x:c>
      <x:c r="K1490" s="6" t="n">
        <x:v>89</x:v>
      </x:c>
      <x:c r="L1490" s="6" t="n">
        <x:v>161</x:v>
      </x:c>
      <x:c r="M1490" s="6" t="n">
        <x:v>69</x:v>
      </x:c>
      <x:c r="N1490" s="6" t="n">
        <x:v>35</x:v>
      </x:c>
      <x:c r="O1490" s="6" t="n">
        <x:v>107</x:v>
      </x:c>
      <x:c r="P1490" s="6" t="n">
        <x:v>2</x:v>
      </x:c>
      <x:c r="Q1490" s="6" t="n">
        <x:v>11</x:v>
      </x:c>
      <x:c r="R1490" s="6" t="n">
        <x:v>8</x:v>
      </x:c>
      <x:c r="S1490" s="6" t="n">
        <x:v>8</x:v>
      </x:c>
      <x:c r="T1490" s="6" t="n">
        <x:v>6</x:v>
      </x:c>
      <x:c r="U1490" s="6" t="n">
        <x:v>0</x:v>
      </x:c>
      <x:c r="V1490" s="6" t="n">
        <x:v>0</x:v>
      </x:c>
      <x:c r="W1490" s="6" t="n">
        <x:v>1</x:v>
      </x:c>
      <x:c r="X1490" s="6" t="n">
        <x:v>0</x:v>
      </x:c>
      <x:c r="Y1490" s="6" t="n">
        <x:v>0</x:v>
      </x:c>
      <x:c r="Z1490" s="6" t="n">
        <x:v>0</x:v>
      </x:c>
      <x:c r="AA1490" s="6" t="n">
        <x:v>3</x:v>
      </x:c>
      <x:c r="AB1490" s="6" t="n">
        <x:v>11</x:v>
      </x:c>
      <x:c r="AC1490" s="6" t="n">
        <x:v>0</x:v>
      </x:c>
    </x:row>
    <x:row r="1491">
      <x:c r="A1491" s="6" t="n">
        <x:v>5763</x:v>
      </x:c>
      <x:c r="B1491" s="6" t="n">
        <x:v>1972</x:v>
      </x:c>
      <x:c r="C1491" s="6" t="str">
        <x:v>Master</x:v>
      </x:c>
      <x:c r="D1491" s="6" t="str">
        <x:v>Together</x:v>
      </x:c>
      <x:c r="E1491" s="6" t="n">
        <x:v>49854</x:v>
      </x:c>
      <x:c r="F1491" s="6" t="n">
        <x:v>1</x:v>
      </x:c>
      <x:c r="G1491" s="6" t="n">
        <x:v>0</x:v>
      </x:c>
      <x:c r="H1491" s="9" t="str">
        <x:v>10-11-2013</x:v>
      </x:c>
      <x:c r="I1491" s="6" t="n">
        <x:v>63</x:v>
      </x:c>
      <x:c r="J1491" s="6" t="n">
        <x:v>123</x:v>
      </x:c>
      <x:c r="K1491" s="6" t="n">
        <x:v>17</x:v>
      </x:c>
      <x:c r="L1491" s="6" t="n">
        <x:v>171</x:v>
      </x:c>
      <x:c r="M1491" s="6" t="n">
        <x:v>39</x:v>
      </x:c>
      <x:c r="N1491" s="6" t="n">
        <x:v>0</x:v>
      </x:c>
      <x:c r="O1491" s="6" t="n">
        <x:v>30</x:v>
      </x:c>
      <x:c r="P1491" s="6" t="n">
        <x:v>5</x:v>
      </x:c>
      <x:c r="Q1491" s="6" t="n">
        <x:v>6</x:v>
      </x:c>
      <x:c r="R1491" s="6" t="n">
        <x:v>2</x:v>
      </x:c>
      <x:c r="S1491" s="6" t="n">
        <x:v>5</x:v>
      </x:c>
      <x:c r="T1491" s="6" t="n">
        <x:v>6</x:v>
      </x:c>
      <x:c r="U1491" s="6" t="n">
        <x:v>0</x:v>
      </x:c>
      <x:c r="V1491" s="6" t="n">
        <x:v>0</x:v>
      </x:c>
      <x:c r="W1491" s="6" t="n">
        <x:v>0</x:v>
      </x:c>
      <x:c r="X1491" s="6" t="n">
        <x:v>0</x:v>
      </x:c>
      <x:c r="Y1491" s="6" t="n">
        <x:v>0</x:v>
      </x:c>
      <x:c r="Z1491" s="6" t="n">
        <x:v>0</x:v>
      </x:c>
      <x:c r="AA1491" s="6" t="n">
        <x:v>3</x:v>
      </x:c>
      <x:c r="AB1491" s="6" t="n">
        <x:v>11</x:v>
      </x:c>
      <x:c r="AC1491" s="6" t="n">
        <x:v>0</x:v>
      </x:c>
    </x:row>
    <x:row r="1492">
      <x:c r="A1492" s="6" t="n">
        <x:v>3478</x:v>
      </x:c>
      <x:c r="B1492" s="6" t="n">
        <x:v>1971</x:v>
      </x:c>
      <x:c r="C1492" s="6" t="str">
        <x:v>PhD</x:v>
      </x:c>
      <x:c r="D1492" s="6" t="str">
        <x:v>Married</x:v>
      </x:c>
      <x:c r="E1492" s="6" t="n">
        <x:v>60585</x:v>
      </x:c>
      <x:c r="F1492" s="6" t="n">
        <x:v>1</x:v>
      </x:c>
      <x:c r="G1492" s="6" t="n">
        <x:v>1</x:v>
      </x:c>
      <x:c r="H1492" s="9" t="str">
        <x:v>24-06-2013</x:v>
      </x:c>
      <x:c r="I1492" s="6" t="n">
        <x:v>17</x:v>
      </x:c>
      <x:c r="J1492" s="6" t="n">
        <x:v>267</x:v>
      </x:c>
      <x:c r="K1492" s="6" t="n">
        <x:v>42</x:v>
      </x:c>
      <x:c r="L1492" s="6" t="n">
        <x:v>309</x:v>
      </x:c>
      <x:c r="M1492" s="6" t="n">
        <x:v>55</x:v>
      </x:c>
      <x:c r="N1492" s="6" t="n">
        <x:v>42</x:v>
      </x:c>
      <x:c r="O1492" s="6" t="n">
        <x:v>21</x:v>
      </x:c>
      <x:c r="P1492" s="6" t="n">
        <x:v>10</x:v>
      </x:c>
      <x:c r="Q1492" s="6" t="n">
        <x:v>7</x:v>
      </x:c>
      <x:c r="R1492" s="6" t="n">
        <x:v>4</x:v>
      </x:c>
      <x:c r="S1492" s="6" t="n">
        <x:v>9</x:v>
      </x:c>
      <x:c r="T1492" s="6" t="n">
        <x:v>5</x:v>
      </x:c>
      <x:c r="U1492" s="6" t="n">
        <x:v>0</x:v>
      </x:c>
      <x:c r="V1492" s="6" t="n">
        <x:v>0</x:v>
      </x:c>
      <x:c r="W1492" s="6" t="n">
        <x:v>0</x:v>
      </x:c>
      <x:c r="X1492" s="6" t="n">
        <x:v>0</x:v>
      </x:c>
      <x:c r="Y1492" s="6" t="n">
        <x:v>0</x:v>
      </x:c>
      <x:c r="Z1492" s="6" t="n">
        <x:v>0</x:v>
      </x:c>
      <x:c r="AA1492" s="6" t="n">
        <x:v>3</x:v>
      </x:c>
      <x:c r="AB1492" s="6" t="n">
        <x:v>11</x:v>
      </x:c>
      <x:c r="AC1492" s="6" t="n">
        <x:v>1</x:v>
      </x:c>
    </x:row>
    <x:row r="1493">
      <x:c r="A1493" s="6" t="n">
        <x:v>7494</x:v>
      </x:c>
      <x:c r="B1493" s="6" t="n">
        <x:v>1950</x:v>
      </x:c>
      <x:c r="C1493" s="6" t="str">
        <x:v>PhD</x:v>
      </x:c>
      <x:c r="D1493" s="6" t="str">
        <x:v>Divorced</x:v>
      </x:c>
      <x:c r="E1493" s="6" t="n">
        <x:v>42873</x:v>
      </x:c>
      <x:c r="F1493" s="6" t="n">
        <x:v>1</x:v>
      </x:c>
      <x:c r="G1493" s="6" t="n">
        <x:v>1</x:v>
      </x:c>
      <x:c r="H1493" s="9" t="str">
        <x:v>21-01-2013</x:v>
      </x:c>
      <x:c r="I1493" s="6" t="n">
        <x:v>11</x:v>
      </x:c>
      <x:c r="J1493" s="6" t="n">
        <x:v>209</x:v>
      </x:c>
      <x:c r="K1493" s="6" t="n">
        <x:v>0</x:v>
      </x:c>
      <x:c r="L1493" s="6" t="n">
        <x:v>40</x:v>
      </x:c>
      <x:c r="M1493" s="6" t="n">
        <x:v>3</x:v>
      </x:c>
      <x:c r="N1493" s="6" t="n">
        <x:v>2</x:v>
      </x:c>
      <x:c r="O1493" s="6" t="n">
        <x:v>15</x:v>
      </x:c>
      <x:c r="P1493" s="6" t="n">
        <x:v>4</x:v>
      </x:c>
      <x:c r="Q1493" s="6" t="n">
        <x:v>6</x:v>
      </x:c>
      <x:c r="R1493" s="6" t="n">
        <x:v>1</x:v>
      </x:c>
      <x:c r="S1493" s="6" t="n">
        <x:v>4</x:v>
      </x:c>
      <x:c r="T1493" s="6" t="n">
        <x:v>8</x:v>
      </x:c>
      <x:c r="U1493" s="6" t="n">
        <x:v>0</x:v>
      </x:c>
      <x:c r="V1493" s="6" t="n">
        <x:v>0</x:v>
      </x:c>
      <x:c r="W1493" s="6" t="n">
        <x:v>0</x:v>
      </x:c>
      <x:c r="X1493" s="6" t="n">
        <x:v>0</x:v>
      </x:c>
      <x:c r="Y1493" s="6" t="n">
        <x:v>0</x:v>
      </x:c>
      <x:c r="Z1493" s="6" t="n">
        <x:v>0</x:v>
      </x:c>
      <x:c r="AA1493" s="6" t="n">
        <x:v>3</x:v>
      </x:c>
      <x:c r="AB1493" s="6" t="n">
        <x:v>11</x:v>
      </x:c>
      <x:c r="AC1493" s="6" t="n">
        <x:v>0</x:v>
      </x:c>
    </x:row>
    <x:row r="1494">
      <x:c r="A1494" s="6" t="n">
        <x:v>1763</x:v>
      </x:c>
      <x:c r="B1494" s="6" t="n">
        <x:v>1988</x:v>
      </x:c>
      <x:c r="C1494" s="6" t="str">
        <x:v>Graduation</x:v>
      </x:c>
      <x:c r="D1494" s="6" t="str">
        <x:v>Together</x:v>
      </x:c>
      <x:c r="E1494" s="6" t="n">
        <x:v>87679</x:v>
      </x:c>
      <x:c r="F1494" s="6" t="n">
        <x:v>0</x:v>
      </x:c>
      <x:c r="G1494" s="6" t="n">
        <x:v>0</x:v>
      </x:c>
      <x:c r="H1494" s="9" t="str">
        <x:v>27-07-2013</x:v>
      </x:c>
      <x:c r="I1494" s="6" t="n">
        <x:v>62</x:v>
      </x:c>
      <x:c r="J1494" s="6" t="n">
        <x:v>1259</x:v>
      </x:c>
      <x:c r="K1494" s="6" t="n">
        <x:v>172</x:v>
      </x:c>
      <x:c r="L1494" s="6" t="n">
        <x:v>815</x:v>
      </x:c>
      <x:c r="M1494" s="6" t="n">
        <x:v>97</x:v>
      </x:c>
      <x:c r="N1494" s="6" t="n">
        <x:v>148</x:v>
      </x:c>
      <x:c r="O1494" s="6" t="n">
        <x:v>33</x:v>
      </x:c>
      <x:c r="P1494" s="6" t="n">
        <x:v>1</x:v>
      </x:c>
      <x:c r="Q1494" s="6" t="n">
        <x:v>7</x:v>
      </x:c>
      <x:c r="R1494" s="6" t="n">
        <x:v>11</x:v>
      </x:c>
      <x:c r="S1494" s="6" t="n">
        <x:v>10</x:v>
      </x:c>
      <x:c r="T1494" s="6" t="n">
        <x:v>4</x:v>
      </x:c>
      <x:c r="U1494" s="6" t="n">
        <x:v>1</x:v>
      </x:c>
      <x:c r="V1494" s="6" t="n">
        <x:v>0</x:v>
      </x:c>
      <x:c r="W1494" s="6" t="n">
        <x:v>1</x:v>
      </x:c>
      <x:c r="X1494" s="6" t="n">
        <x:v>1</x:v>
      </x:c>
      <x:c r="Y1494" s="6" t="n">
        <x:v>0</x:v>
      </x:c>
      <x:c r="Z1494" s="6" t="n">
        <x:v>0</x:v>
      </x:c>
      <x:c r="AA1494" s="6" t="n">
        <x:v>3</x:v>
      </x:c>
      <x:c r="AB1494" s="6" t="n">
        <x:v>11</x:v>
      </x:c>
      <x:c r="AC1494" s="6" t="n">
        <x:v>1</x:v>
      </x:c>
    </x:row>
    <x:row r="1495">
      <x:c r="A1495" s="6" t="n">
        <x:v>7250</x:v>
      </x:c>
      <x:c r="B1495" s="6" t="n">
        <x:v>1978</x:v>
      </x:c>
      <x:c r="C1495" s="6" t="str">
        <x:v>Graduation</x:v>
      </x:c>
      <x:c r="D1495" s="6" t="str">
        <x:v>Together</x:v>
      </x:c>
      <x:c r="E1495" s="6" t="n">
        <x:v>57867</x:v>
      </x:c>
      <x:c r="F1495" s="6" t="n">
        <x:v>1</x:v>
      </x:c>
      <x:c r="G1495" s="6" t="n">
        <x:v>0</x:v>
      </x:c>
      <x:c r="H1495" s="9" t="str">
        <x:v>01-10-2013</x:v>
      </x:c>
      <x:c r="I1495" s="6" t="n">
        <x:v>48</x:v>
      </x:c>
      <x:c r="J1495" s="6" t="n">
        <x:v>344</x:v>
      </x:c>
      <x:c r="K1495" s="6" t="n">
        <x:v>35</x:v>
      </x:c>
      <x:c r="L1495" s="6" t="n">
        <x:v>178</x:v>
      </x:c>
      <x:c r="M1495" s="6" t="n">
        <x:v>15</x:v>
      </x:c>
      <x:c r="N1495" s="6" t="n">
        <x:v>23</x:v>
      </x:c>
      <x:c r="O1495" s="6" t="n">
        <x:v>17</x:v>
      </x:c>
      <x:c r="P1495" s="6" t="n">
        <x:v>7</x:v>
      </x:c>
      <x:c r="Q1495" s="6" t="n">
        <x:v>7</x:v>
      </x:c>
      <x:c r="R1495" s="6" t="n">
        <x:v>2</x:v>
      </x:c>
      <x:c r="S1495" s="6" t="n">
        <x:v>9</x:v>
      </x:c>
      <x:c r="T1495" s="6" t="n">
        <x:v>6</x:v>
      </x:c>
      <x:c r="U1495" s="6" t="n">
        <x:v>0</x:v>
      </x:c>
      <x:c r="V1495" s="6" t="n">
        <x:v>0</x:v>
      </x:c>
      <x:c r="W1495" s="6" t="n">
        <x:v>0</x:v>
      </x:c>
      <x:c r="X1495" s="6" t="n">
        <x:v>0</x:v>
      </x:c>
      <x:c r="Y1495" s="6" t="n">
        <x:v>0</x:v>
      </x:c>
      <x:c r="Z1495" s="6" t="n">
        <x:v>0</x:v>
      </x:c>
      <x:c r="AA1495" s="6" t="n">
        <x:v>3</x:v>
      </x:c>
      <x:c r="AB1495" s="6" t="n">
        <x:v>11</x:v>
      </x:c>
      <x:c r="AC1495" s="6" t="n">
        <x:v>0</x:v>
      </x:c>
    </x:row>
    <x:row r="1496">
      <x:c r="A1496" s="6" t="n">
        <x:v>2005</x:v>
      </x:c>
      <x:c r="B1496" s="6" t="n">
        <x:v>1990</x:v>
      </x:c>
      <x:c r="C1496" s="6" t="str">
        <x:v>Graduation</x:v>
      </x:c>
      <x:c r="D1496" s="6" t="str">
        <x:v>Married</x:v>
      </x:c>
      <x:c r="E1496" s="6" t="n">
        <x:v>35765</x:v>
      </x:c>
      <x:c r="F1496" s="6" t="n">
        <x:v>1</x:v>
      </x:c>
      <x:c r="G1496" s="6" t="n">
        <x:v>0</x:v>
      </x:c>
      <x:c r="H1496" s="9" t="str">
        <x:v>11-12-2013</x:v>
      </x:c>
      <x:c r="I1496" s="6" t="n">
        <x:v>86</x:v>
      </x:c>
      <x:c r="J1496" s="6" t="n">
        <x:v>22</x:v>
      </x:c>
      <x:c r="K1496" s="6" t="n">
        <x:v>3</x:v>
      </x:c>
      <x:c r="L1496" s="6" t="n">
        <x:v>30</x:v>
      </x:c>
      <x:c r="M1496" s="6" t="n">
        <x:v>0</x:v>
      </x:c>
      <x:c r="N1496" s="6" t="n">
        <x:v>5</x:v>
      </x:c>
      <x:c r="O1496" s="6" t="n">
        <x:v>15</x:v>
      </x:c>
      <x:c r="P1496" s="6" t="n">
        <x:v>2</x:v>
      </x:c>
      <x:c r="Q1496" s="6" t="n">
        <x:v>2</x:v>
      </x:c>
      <x:c r="R1496" s="6" t="n">
        <x:v>0</x:v>
      </x:c>
      <x:c r="S1496" s="6" t="n">
        <x:v>4</x:v>
      </x:c>
      <x:c r="T1496" s="6" t="n">
        <x:v>6</x:v>
      </x:c>
      <x:c r="U1496" s="6" t="n">
        <x:v>0</x:v>
      </x:c>
      <x:c r="V1496" s="6" t="n">
        <x:v>0</x:v>
      </x:c>
      <x:c r="W1496" s="6" t="n">
        <x:v>0</x:v>
      </x:c>
      <x:c r="X1496" s="6" t="n">
        <x:v>0</x:v>
      </x:c>
      <x:c r="Y1496" s="6" t="n">
        <x:v>0</x:v>
      </x:c>
      <x:c r="Z1496" s="6" t="n">
        <x:v>0</x:v>
      </x:c>
      <x:c r="AA1496" s="6" t="n">
        <x:v>3</x:v>
      </x:c>
      <x:c r="AB1496" s="6" t="n">
        <x:v>11</x:v>
      </x:c>
      <x:c r="AC1496" s="6" t="n">
        <x:v>0</x:v>
      </x:c>
    </x:row>
    <x:row r="1497">
      <x:c r="A1497" s="6" t="n">
        <x:v>10770</x:v>
      </x:c>
      <x:c r="B1497" s="6" t="n">
        <x:v>1959</x:v>
      </x:c>
      <x:c r="C1497" s="6" t="str">
        <x:v>Graduation</x:v>
      </x:c>
      <x:c r="D1497" s="6" t="str">
        <x:v>Married</x:v>
      </x:c>
      <x:c r="E1497" s="6" t="n">
        <x:v>65492</x:v>
      </x:c>
      <x:c r="F1497" s="6" t="n">
        <x:v>0</x:v>
      </x:c>
      <x:c r="G1497" s="6" t="n">
        <x:v>0</x:v>
      </x:c>
      <x:c r="H1497" s="9" t="str">
        <x:v>26-01-2014</x:v>
      </x:c>
      <x:c r="I1497" s="6" t="n">
        <x:v>73</x:v>
      </x:c>
      <x:c r="J1497" s="6" t="n">
        <x:v>247</x:v>
      </x:c>
      <x:c r="K1497" s="6" t="n">
        <x:v>161</x:v>
      </x:c>
      <x:c r="L1497" s="6" t="n">
        <x:v>295</x:v>
      </x:c>
      <x:c r="M1497" s="6" t="n">
        <x:v>210</x:v>
      </x:c>
      <x:c r="N1497" s="6" t="n">
        <x:v>85</x:v>
      </x:c>
      <x:c r="O1497" s="6" t="n">
        <x:v>47</x:v>
      </x:c>
      <x:c r="P1497" s="6" t="n">
        <x:v>2</x:v>
      </x:c>
      <x:c r="Q1497" s="6" t="n">
        <x:v>4</x:v>
      </x:c>
      <x:c r="R1497" s="6" t="n">
        <x:v>7</x:v>
      </x:c>
      <x:c r="S1497" s="6" t="n">
        <x:v>13</x:v>
      </x:c>
      <x:c r="T1497" s="6" t="n">
        <x:v>2</x:v>
      </x:c>
      <x:c r="U1497" s="6" t="n">
        <x:v>0</x:v>
      </x:c>
      <x:c r="V1497" s="6" t="n">
        <x:v>0</x:v>
      </x:c>
      <x:c r="W1497" s="6" t="n">
        <x:v>0</x:v>
      </x:c>
      <x:c r="X1497" s="6" t="n">
        <x:v>0</x:v>
      </x:c>
      <x:c r="Y1497" s="6" t="n">
        <x:v>0</x:v>
      </x:c>
      <x:c r="Z1497" s="6" t="n">
        <x:v>0</x:v>
      </x:c>
      <x:c r="AA1497" s="6" t="n">
        <x:v>3</x:v>
      </x:c>
      <x:c r="AB1497" s="6" t="n">
        <x:v>11</x:v>
      </x:c>
      <x:c r="AC1497" s="6" t="n">
        <x:v>0</x:v>
      </x:c>
    </x:row>
    <x:row r="1498">
      <x:c r="A1498" s="6" t="n">
        <x:v>6885</x:v>
      </x:c>
      <x:c r="B1498" s="6" t="n">
        <x:v>1977</x:v>
      </x:c>
      <x:c r="C1498" s="6" t="str">
        <x:v>Graduation</x:v>
      </x:c>
      <x:c r="D1498" s="6" t="str">
        <x:v>Divorced</x:v>
      </x:c>
      <x:c r="E1498" s="6" t="n">
        <x:v>32952</x:v>
      </x:c>
      <x:c r="F1498" s="6" t="n">
        <x:v>1</x:v>
      </x:c>
      <x:c r="G1498" s="6" t="n">
        <x:v>0</x:v>
      </x:c>
      <x:c r="H1498" s="9" t="str">
        <x:v>01-12-2013</x:v>
      </x:c>
      <x:c r="I1498" s="6" t="n">
        <x:v>36</x:v>
      </x:c>
      <x:c r="J1498" s="6" t="n">
        <x:v>38</x:v>
      </x:c>
      <x:c r="K1498" s="6" t="n">
        <x:v>0</x:v>
      </x:c>
      <x:c r="L1498" s="6" t="n">
        <x:v>12</x:v>
      </x:c>
      <x:c r="M1498" s="6" t="n">
        <x:v>3</x:v>
      </x:c>
      <x:c r="N1498" s="6" t="n">
        <x:v>1</x:v>
      </x:c>
      <x:c r="O1498" s="6" t="n">
        <x:v>1</x:v>
      </x:c>
      <x:c r="P1498" s="6" t="n">
        <x:v>1</x:v>
      </x:c>
      <x:c r="Q1498" s="6" t="n">
        <x:v>2</x:v>
      </x:c>
      <x:c r="R1498" s="6" t="n">
        <x:v>0</x:v>
      </x:c>
      <x:c r="S1498" s="6" t="n">
        <x:v>3</x:v>
      </x:c>
      <x:c r="T1498" s="6" t="n">
        <x:v>7</x:v>
      </x:c>
      <x:c r="U1498" s="6" t="n">
        <x:v>0</x:v>
      </x:c>
      <x:c r="V1498" s="6" t="n">
        <x:v>0</x:v>
      </x:c>
      <x:c r="W1498" s="6" t="n">
        <x:v>0</x:v>
      </x:c>
      <x:c r="X1498" s="6" t="n">
        <x:v>0</x:v>
      </x:c>
      <x:c r="Y1498" s="6" t="n">
        <x:v>0</x:v>
      </x:c>
      <x:c r="Z1498" s="6" t="n">
        <x:v>0</x:v>
      </x:c>
      <x:c r="AA1498" s="6" t="n">
        <x:v>3</x:v>
      </x:c>
      <x:c r="AB1498" s="6" t="n">
        <x:v>11</x:v>
      </x:c>
      <x:c r="AC1498" s="6" t="n">
        <x:v>0</x:v>
      </x:c>
    </x:row>
    <x:row r="1499">
      <x:c r="A1499" s="6" t="n">
        <x:v>2072</x:v>
      </x:c>
      <x:c r="B1499" s="6" t="n">
        <x:v>1969</x:v>
      </x:c>
      <x:c r="C1499" s="6" t="str">
        <x:v>PhD</x:v>
      </x:c>
      <x:c r="D1499" s="6" t="str">
        <x:v>Together</x:v>
      </x:c>
      <x:c r="E1499" s="6" t="n">
        <x:v>53374</x:v>
      </x:c>
      <x:c r="F1499" s="6" t="n">
        <x:v>0</x:v>
      </x:c>
      <x:c r="G1499" s="6" t="n">
        <x:v>1</x:v>
      </x:c>
      <x:c r="H1499" s="9" t="str">
        <x:v>16-08-2012</x:v>
      </x:c>
      <x:c r="I1499" s="6" t="n">
        <x:v>34</x:v>
      </x:c>
      <x:c r="J1499" s="6" t="n">
        <x:v>896</x:v>
      </x:c>
      <x:c r="K1499" s="6" t="n">
        <x:v>10</x:v>
      </x:c>
      <x:c r="L1499" s="6" t="n">
        <x:v>101</x:v>
      </x:c>
      <x:c r="M1499" s="6" t="n">
        <x:v>13</x:v>
      </x:c>
      <x:c r="N1499" s="6" t="n">
        <x:v>10</x:v>
      </x:c>
      <x:c r="O1499" s="6" t="n">
        <x:v>34</x:v>
      </x:c>
      <x:c r="P1499" s="6" t="n">
        <x:v>6</x:v>
      </x:c>
      <x:c r="Q1499" s="6" t="n">
        <x:v>4</x:v>
      </x:c>
      <x:c r="R1499" s="6" t="n">
        <x:v>2</x:v>
      </x:c>
      <x:c r="S1499" s="6" t="n">
        <x:v>9</x:v>
      </x:c>
      <x:c r="T1499" s="6" t="n">
        <x:v>9</x:v>
      </x:c>
      <x:c r="U1499" s="6" t="n">
        <x:v>1</x:v>
      </x:c>
      <x:c r="V1499" s="6" t="n">
        <x:v>0</x:v>
      </x:c>
      <x:c r="W1499" s="6" t="n">
        <x:v>0</x:v>
      </x:c>
      <x:c r="X1499" s="6" t="n">
        <x:v>0</x:v>
      </x:c>
      <x:c r="Y1499" s="6" t="n">
        <x:v>0</x:v>
      </x:c>
      <x:c r="Z1499" s="6" t="n">
        <x:v>0</x:v>
      </x:c>
      <x:c r="AA1499" s="6" t="n">
        <x:v>3</x:v>
      </x:c>
      <x:c r="AB1499" s="6" t="n">
        <x:v>11</x:v>
      </x:c>
      <x:c r="AC1499" s="6" t="n">
        <x:v>1</x:v>
      </x:c>
    </x:row>
    <x:row r="1500">
      <x:c r="A1500" s="6" t="n">
        <x:v>9463</x:v>
      </x:c>
      <x:c r="B1500" s="6" t="n">
        <x:v>1959</x:v>
      </x:c>
      <x:c r="C1500" s="6" t="str">
        <x:v>Graduation</x:v>
      </x:c>
      <x:c r="D1500" s="6" t="str">
        <x:v>Together</x:v>
      </x:c>
      <x:c r="E1500" s="6" t="n">
        <x:v>71706</x:v>
      </x:c>
      <x:c r="F1500" s="6" t="n">
        <x:v>0</x:v>
      </x:c>
      <x:c r="G1500" s="6" t="n">
        <x:v>1</x:v>
      </x:c>
      <x:c r="H1500" s="9" t="str">
        <x:v>13-11-2012</x:v>
      </x:c>
      <x:c r="I1500" s="6" t="n">
        <x:v>16</x:v>
      </x:c>
      <x:c r="J1500" s="6" t="n">
        <x:v>931</x:v>
      </x:c>
      <x:c r="K1500" s="6" t="n">
        <x:v>56</x:v>
      </x:c>
      <x:c r="L1500" s="6" t="n">
        <x:v>253</x:v>
      </x:c>
      <x:c r="M1500" s="6" t="n">
        <x:v>91</x:v>
      </x:c>
      <x:c r="N1500" s="6" t="n">
        <x:v>98</x:v>
      </x:c>
      <x:c r="O1500" s="6" t="n">
        <x:v>14</x:v>
      </x:c>
      <x:c r="P1500" s="6" t="n">
        <x:v>4</x:v>
      </x:c>
      <x:c r="Q1500" s="6" t="n">
        <x:v>9</x:v>
      </x:c>
      <x:c r="R1500" s="6" t="n">
        <x:v>5</x:v>
      </x:c>
      <x:c r="S1500" s="6" t="n">
        <x:v>7</x:v>
      </x:c>
      <x:c r="T1500" s="6" t="n">
        <x:v>5</x:v>
      </x:c>
      <x:c r="U1500" s="6" t="n">
        <x:v>0</x:v>
      </x:c>
      <x:c r="V1500" s="6" t="n">
        <x:v>0</x:v>
      </x:c>
      <x:c r="W1500" s="6" t="n">
        <x:v>0</x:v>
      </x:c>
      <x:c r="X1500" s="6" t="n">
        <x:v>0</x:v>
      </x:c>
      <x:c r="Y1500" s="6" t="n">
        <x:v>0</x:v>
      </x:c>
      <x:c r="Z1500" s="6" t="n">
        <x:v>0</x:v>
      </x:c>
      <x:c r="AA1500" s="6" t="n">
        <x:v>3</x:v>
      </x:c>
      <x:c r="AB1500" s="6" t="n">
        <x:v>11</x:v>
      </x:c>
      <x:c r="AC1500" s="6" t="n">
        <x:v>0</x:v>
      </x:c>
    </x:row>
    <x:row r="1501">
      <x:c r="A1501" s="6" t="n">
        <x:v>6318</x:v>
      </x:c>
      <x:c r="B1501" s="6" t="n">
        <x:v>1988</x:v>
      </x:c>
      <x:c r="C1501" s="6" t="str">
        <x:v>Graduation</x:v>
      </x:c>
      <x:c r="D1501" s="6" t="str">
        <x:v>Married</x:v>
      </x:c>
      <x:c r="E1501" s="6" t="n">
        <x:v>68487</x:v>
      </x:c>
      <x:c r="F1501" s="6" t="n">
        <x:v>0</x:v>
      </x:c>
      <x:c r="G1501" s="6" t="n">
        <x:v>0</x:v>
      </x:c>
      <x:c r="H1501" s="9" t="str">
        <x:v>13-01-2013</x:v>
      </x:c>
      <x:c r="I1501" s="6" t="n">
        <x:v>48</x:v>
      </x:c>
      <x:c r="J1501" s="6" t="n">
        <x:v>758</x:v>
      </x:c>
      <x:c r="K1501" s="6" t="n">
        <x:v>12</x:v>
      </x:c>
      <x:c r="L1501" s="6" t="n">
        <x:v>385</x:v>
      </x:c>
      <x:c r="M1501" s="6" t="n">
        <x:v>33</x:v>
      </x:c>
      <x:c r="N1501" s="6" t="n">
        <x:v>89</x:v>
      </x:c>
      <x:c r="O1501" s="6" t="n">
        <x:v>89</x:v>
      </x:c>
      <x:c r="P1501" s="6" t="n">
        <x:v>1</x:v>
      </x:c>
      <x:c r="Q1501" s="6" t="n">
        <x:v>9</x:v>
      </x:c>
      <x:c r="R1501" s="6" t="n">
        <x:v>7</x:v>
      </x:c>
      <x:c r="S1501" s="6" t="n">
        <x:v>13</x:v>
      </x:c>
      <x:c r="T1501" s="6" t="n">
        <x:v>4</x:v>
      </x:c>
      <x:c r="U1501" s="6" t="n">
        <x:v>0</x:v>
      </x:c>
      <x:c r="V1501" s="6" t="n">
        <x:v>0</x:v>
      </x:c>
      <x:c r="W1501" s="6" t="n">
        <x:v>0</x:v>
      </x:c>
      <x:c r="X1501" s="6" t="n">
        <x:v>0</x:v>
      </x:c>
      <x:c r="Y1501" s="6" t="n">
        <x:v>0</x:v>
      </x:c>
      <x:c r="Z1501" s="6" t="n">
        <x:v>0</x:v>
      </x:c>
      <x:c r="AA1501" s="6" t="n">
        <x:v>3</x:v>
      </x:c>
      <x:c r="AB1501" s="6" t="n">
        <x:v>11</x:v>
      </x:c>
      <x:c r="AC1501" s="6" t="n">
        <x:v>0</x:v>
      </x:c>
    </x:row>
    <x:row r="1502">
      <x:c r="A1502" s="6" t="n">
        <x:v>4093</x:v>
      </x:c>
      <x:c r="B1502" s="6" t="n">
        <x:v>1975</x:v>
      </x:c>
      <x:c r="C1502" s="6" t="str">
        <x:v>Master</x:v>
      </x:c>
      <x:c r="D1502" s="6" t="str">
        <x:v>Together</x:v>
      </x:c>
      <x:c r="E1502" s="6" t="n">
        <x:v>53253</x:v>
      </x:c>
      <x:c r="F1502" s="6" t="n">
        <x:v>1</x:v>
      </x:c>
      <x:c r="G1502" s="6" t="n">
        <x:v>1</x:v>
      </x:c>
      <x:c r="H1502" s="9" t="str">
        <x:v>11-02-2013</x:v>
      </x:c>
      <x:c r="I1502" s="6" t="n">
        <x:v>61</x:v>
      </x:c>
      <x:c r="J1502" s="6" t="n">
        <x:v>216</x:v>
      </x:c>
      <x:c r="K1502" s="6" t="n">
        <x:v>9</x:v>
      </x:c>
      <x:c r="L1502" s="6" t="n">
        <x:v>57</x:v>
      </x:c>
      <x:c r="M1502" s="6" t="n">
        <x:v>20</x:v>
      </x:c>
      <x:c r="N1502" s="6" t="n">
        <x:v>9</x:v>
      </x:c>
      <x:c r="O1502" s="6" t="n">
        <x:v>125</x:v>
      </x:c>
      <x:c r="P1502" s="6" t="n">
        <x:v>7</x:v>
      </x:c>
      <x:c r="Q1502" s="6" t="n">
        <x:v>4</x:v>
      </x:c>
      <x:c r="R1502" s="6" t="n">
        <x:v>3</x:v>
      </x:c>
      <x:c r="S1502" s="6" t="n">
        <x:v>5</x:v>
      </x:c>
      <x:c r="T1502" s="6" t="n">
        <x:v>5</x:v>
      </x:c>
      <x:c r="U1502" s="6" t="n">
        <x:v>0</x:v>
      </x:c>
      <x:c r="V1502" s="6" t="n">
        <x:v>0</x:v>
      </x:c>
      <x:c r="W1502" s="6" t="n">
        <x:v>0</x:v>
      </x:c>
      <x:c r="X1502" s="6" t="n">
        <x:v>0</x:v>
      </x:c>
      <x:c r="Y1502" s="6" t="n">
        <x:v>0</x:v>
      </x:c>
      <x:c r="Z1502" s="6" t="n">
        <x:v>0</x:v>
      </x:c>
      <x:c r="AA1502" s="6" t="n">
        <x:v>3</x:v>
      </x:c>
      <x:c r="AB1502" s="6" t="n">
        <x:v>11</x:v>
      </x:c>
      <x:c r="AC1502" s="6" t="n">
        <x:v>0</x:v>
      </x:c>
    </x:row>
    <x:row r="1503">
      <x:c r="A1503" s="6" t="n">
        <x:v>5751</x:v>
      </x:c>
      <x:c r="B1503" s="6" t="n">
        <x:v>1973</x:v>
      </x:c>
      <x:c r="C1503" s="6" t="str">
        <x:v>2n Cycle</x:v>
      </x:c>
      <x:c r="D1503" s="6" t="str">
        <x:v>Divorced</x:v>
      </x:c>
      <x:c r="E1503" s="6" t="n">
        <x:v>31163</x:v>
      </x:c>
      <x:c r="F1503" s="6" t="n">
        <x:v>1</x:v>
      </x:c>
      <x:c r="G1503" s="6" t="n">
        <x:v>0</x:v>
      </x:c>
      <x:c r="H1503" s="9" t="str">
        <x:v>13-02-2014</x:v>
      </x:c>
      <x:c r="I1503" s="6" t="n">
        <x:v>54</x:v>
      </x:c>
      <x:c r="J1503" s="6" t="n">
        <x:v>2</x:v>
      </x:c>
      <x:c r="K1503" s="6" t="n">
        <x:v>3</x:v>
      </x:c>
      <x:c r="L1503" s="6" t="n">
        <x:v>10</x:v>
      </x:c>
      <x:c r="M1503" s="6" t="n">
        <x:v>11</x:v>
      </x:c>
      <x:c r="N1503" s="6" t="n">
        <x:v>2</x:v>
      </x:c>
      <x:c r="O1503" s="6" t="n">
        <x:v>10</x:v>
      </x:c>
      <x:c r="P1503" s="6" t="n">
        <x:v>1</x:v>
      </x:c>
      <x:c r="Q1503" s="6" t="n">
        <x:v>1</x:v>
      </x:c>
      <x:c r="R1503" s="6" t="n">
        <x:v>0</x:v>
      </x:c>
      <x:c r="S1503" s="6" t="n">
        <x:v>3</x:v>
      </x:c>
      <x:c r="T1503" s="6" t="n">
        <x:v>6</x:v>
      </x:c>
      <x:c r="U1503" s="6" t="n">
        <x:v>0</x:v>
      </x:c>
      <x:c r="V1503" s="6" t="n">
        <x:v>0</x:v>
      </x:c>
      <x:c r="W1503" s="6" t="n">
        <x:v>0</x:v>
      </x:c>
      <x:c r="X1503" s="6" t="n">
        <x:v>0</x:v>
      </x:c>
      <x:c r="Y1503" s="6" t="n">
        <x:v>0</x:v>
      </x:c>
      <x:c r="Z1503" s="6" t="n">
        <x:v>0</x:v>
      </x:c>
      <x:c r="AA1503" s="6" t="n">
        <x:v>3</x:v>
      </x:c>
      <x:c r="AB1503" s="6" t="n">
        <x:v>11</x:v>
      </x:c>
      <x:c r="AC1503" s="6" t="n">
        <x:v>0</x:v>
      </x:c>
    </x:row>
    <x:row r="1504">
      <x:c r="A1504" s="6" t="n">
        <x:v>3340</x:v>
      </x:c>
      <x:c r="B1504" s="6" t="n">
        <x:v>1977</x:v>
      </x:c>
      <x:c r="C1504" s="6" t="str">
        <x:v>Graduation</x:v>
      </x:c>
      <x:c r="D1504" s="6" t="str">
        <x:v>Married</x:v>
      </x:c>
      <x:c r="E1504" s="6" t="n">
        <x:v>42014</x:v>
      </x:c>
      <x:c r="F1504" s="6" t="n">
        <x:v>1</x:v>
      </x:c>
      <x:c r="G1504" s="6" t="n">
        <x:v>0</x:v>
      </x:c>
      <x:c r="H1504" s="9" t="str">
        <x:v>17-08-2012</x:v>
      </x:c>
      <x:c r="I1504" s="6" t="n">
        <x:v>56</x:v>
      </x:c>
      <x:c r="J1504" s="6" t="n">
        <x:v>244</x:v>
      </x:c>
      <x:c r="K1504" s="6" t="n">
        <x:v>15</x:v>
      </x:c>
      <x:c r="L1504" s="6" t="n">
        <x:v>108</x:v>
      </x:c>
      <x:c r="M1504" s="6" t="n">
        <x:v>4</x:v>
      </x:c>
      <x:c r="N1504" s="6" t="n">
        <x:v>15</x:v>
      </x:c>
      <x:c r="O1504" s="6" t="n">
        <x:v>50</x:v>
      </x:c>
      <x:c r="P1504" s="6" t="n">
        <x:v>6</x:v>
      </x:c>
      <x:c r="Q1504" s="6" t="n">
        <x:v>7</x:v>
      </x:c>
      <x:c r="R1504" s="6" t="n">
        <x:v>1</x:v>
      </x:c>
      <x:c r="S1504" s="6" t="n">
        <x:v>6</x:v>
      </x:c>
      <x:c r="T1504" s="6" t="n">
        <x:v>8</x:v>
      </x:c>
      <x:c r="U1504" s="6" t="n">
        <x:v>0</x:v>
      </x:c>
      <x:c r="V1504" s="6" t="n">
        <x:v>0</x:v>
      </x:c>
      <x:c r="W1504" s="6" t="n">
        <x:v>0</x:v>
      </x:c>
      <x:c r="X1504" s="6" t="n">
        <x:v>0</x:v>
      </x:c>
      <x:c r="Y1504" s="6" t="n">
        <x:v>0</x:v>
      </x:c>
      <x:c r="Z1504" s="6" t="n">
        <x:v>0</x:v>
      </x:c>
      <x:c r="AA1504" s="6" t="n">
        <x:v>3</x:v>
      </x:c>
      <x:c r="AB1504" s="6" t="n">
        <x:v>11</x:v>
      </x:c>
      <x:c r="AC1504" s="6" t="n">
        <x:v>1</x:v>
      </x:c>
    </x:row>
    <x:row r="1505">
      <x:c r="A1505" s="6" t="n">
        <x:v>3594</x:v>
      </x:c>
      <x:c r="B1505" s="6" t="n">
        <x:v>1973</x:v>
      </x:c>
      <x:c r="C1505" s="6" t="str">
        <x:v>Master</x:v>
      </x:c>
      <x:c r="D1505" s="6" t="str">
        <x:v>Married</x:v>
      </x:c>
      <x:c r="E1505" s="6" t="n">
        <x:v>54108</x:v>
      </x:c>
      <x:c r="F1505" s="6" t="n">
        <x:v>1</x:v>
      </x:c>
      <x:c r="G1505" s="6" t="n">
        <x:v>1</x:v>
      </x:c>
      <x:c r="H1505" s="9" t="str">
        <x:v>05-11-2012</x:v>
      </x:c>
      <x:c r="I1505" s="6" t="n">
        <x:v>74</x:v>
      </x:c>
      <x:c r="J1505" s="6" t="n">
        <x:v>539</x:v>
      </x:c>
      <x:c r="K1505" s="6" t="n">
        <x:v>6</x:v>
      </x:c>
      <x:c r="L1505" s="6" t="n">
        <x:v>91</x:v>
      </x:c>
      <x:c r="M1505" s="6" t="n">
        <x:v>8</x:v>
      </x:c>
      <x:c r="N1505" s="6" t="n">
        <x:v>6</x:v>
      </x:c>
      <x:c r="O1505" s="6" t="n">
        <x:v>97</x:v>
      </x:c>
      <x:c r="P1505" s="6" t="n">
        <x:v>13</x:v>
      </x:c>
      <x:c r="Q1505" s="6" t="n">
        <x:v>8</x:v>
      </x:c>
      <x:c r="R1505" s="6" t="n">
        <x:v>2</x:v>
      </x:c>
      <x:c r="S1505" s="6" t="n">
        <x:v>9</x:v>
      </x:c>
      <x:c r="T1505" s="6" t="n">
        <x:v>8</x:v>
      </x:c>
      <x:c r="U1505" s="6" t="n">
        <x:v>0</x:v>
      </x:c>
      <x:c r="V1505" s="6" t="n">
        <x:v>0</x:v>
      </x:c>
      <x:c r="W1505" s="6" t="n">
        <x:v>0</x:v>
      </x:c>
      <x:c r="X1505" s="6" t="n">
        <x:v>0</x:v>
      </x:c>
      <x:c r="Y1505" s="6" t="n">
        <x:v>0</x:v>
      </x:c>
      <x:c r="Z1505" s="6" t="n">
        <x:v>0</x:v>
      </x:c>
      <x:c r="AA1505" s="6" t="n">
        <x:v>3</x:v>
      </x:c>
      <x:c r="AB1505" s="6" t="n">
        <x:v>11</x:v>
      </x:c>
      <x:c r="AC1505" s="6" t="n">
        <x:v>0</x:v>
      </x:c>
    </x:row>
    <x:row r="1506">
      <x:c r="A1506" s="6" t="n">
        <x:v>3584</x:v>
      </x:c>
      <x:c r="B1506" s="6" t="n">
        <x:v>1955</x:v>
      </x:c>
      <x:c r="C1506" s="6" t="str">
        <x:v>PhD</x:v>
      </x:c>
      <x:c r="D1506" s="6" t="str">
        <x:v>Single</x:v>
      </x:c>
      <x:c r="E1506" s="6" t="n">
        <x:v>49667</x:v>
      </x:c>
      <x:c r="F1506" s="6" t="n">
        <x:v>0</x:v>
      </x:c>
      <x:c r="G1506" s="6" t="n">
        <x:v>0</x:v>
      </x:c>
      <x:c r="H1506" s="9" t="str">
        <x:v>20-08-2012</x:v>
      </x:c>
      <x:c r="I1506" s="6" t="n">
        <x:v>35</x:v>
      </x:c>
      <x:c r="J1506" s="6" t="n">
        <x:v>1181</x:v>
      </x:c>
      <x:c r="K1506" s="6" t="n">
        <x:v>26</x:v>
      </x:c>
      <x:c r="L1506" s="6" t="n">
        <x:v>120</x:v>
      </x:c>
      <x:c r="M1506" s="6" t="n">
        <x:v>17</x:v>
      </x:c>
      <x:c r="N1506" s="6" t="n">
        <x:v>13</x:v>
      </x:c>
      <x:c r="O1506" s="6" t="n">
        <x:v>39</x:v>
      </x:c>
      <x:c r="P1506" s="6" t="n">
        <x:v>2</x:v>
      </x:c>
      <x:c r="Q1506" s="6" t="n">
        <x:v>5</x:v>
      </x:c>
      <x:c r="R1506" s="6" t="n">
        <x:v>10</x:v>
      </x:c>
      <x:c r="S1506" s="6" t="n">
        <x:v>5</x:v>
      </x:c>
      <x:c r="T1506" s="6" t="n">
        <x:v>8</x:v>
      </x:c>
      <x:c r="U1506" s="6" t="n">
        <x:v>1</x:v>
      </x:c>
      <x:c r="V1506" s="6" t="n">
        <x:v>0</x:v>
      </x:c>
      <x:c r="W1506" s="6" t="n">
        <x:v>0</x:v>
      </x:c>
      <x:c r="X1506" s="6" t="n">
        <x:v>0</x:v>
      </x:c>
      <x:c r="Y1506" s="6" t="n">
        <x:v>0</x:v>
      </x:c>
      <x:c r="Z1506" s="6" t="n">
        <x:v>0</x:v>
      </x:c>
      <x:c r="AA1506" s="6" t="n">
        <x:v>3</x:v>
      </x:c>
      <x:c r="AB1506" s="6" t="n">
        <x:v>11</x:v>
      </x:c>
      <x:c r="AC1506" s="6" t="n">
        <x:v>1</x:v>
      </x:c>
    </x:row>
    <x:row r="1507">
      <x:c r="A1507" s="6" t="n">
        <x:v>3643</x:v>
      </x:c>
      <x:c r="B1507" s="6" t="n">
        <x:v>1974</x:v>
      </x:c>
      <x:c r="C1507" s="6" t="str">
        <x:v>Master</x:v>
      </x:c>
      <x:c r="D1507" s="6" t="str">
        <x:v>Married</x:v>
      </x:c>
      <x:c r="E1507" s="6" t="n">
        <x:v>63206</x:v>
      </x:c>
      <x:c r="F1507" s="6" t="n">
        <x:v>0</x:v>
      </x:c>
      <x:c r="G1507" s="6" t="n">
        <x:v>0</x:v>
      </x:c>
      <x:c r="H1507" s="9" t="str">
        <x:v>20-03-2014</x:v>
      </x:c>
      <x:c r="I1507" s="6" t="n">
        <x:v>65</x:v>
      </x:c>
      <x:c r="J1507" s="6" t="n">
        <x:v>750</x:v>
      </x:c>
      <x:c r="K1507" s="6" t="n">
        <x:v>8</x:v>
      </x:c>
      <x:c r="L1507" s="6" t="n">
        <x:v>125</x:v>
      </x:c>
      <x:c r="M1507" s="6" t="n">
        <x:v>11</x:v>
      </x:c>
      <x:c r="N1507" s="6" t="n">
        <x:v>8</x:v>
      </x:c>
      <x:c r="O1507" s="6" t="n">
        <x:v>26</x:v>
      </x:c>
      <x:c r="P1507" s="6" t="n">
        <x:v>1</x:v>
      </x:c>
      <x:c r="Q1507" s="6" t="n">
        <x:v>4</x:v>
      </x:c>
      <x:c r="R1507" s="6" t="n">
        <x:v>3</x:v>
      </x:c>
      <x:c r="S1507" s="6" t="n">
        <x:v>6</x:v>
      </x:c>
      <x:c r="T1507" s="6" t="n">
        <x:v>2</x:v>
      </x:c>
      <x:c r="U1507" s="6" t="n">
        <x:v>0</x:v>
      </x:c>
      <x:c r="V1507" s="6" t="n">
        <x:v>0</x:v>
      </x:c>
      <x:c r="W1507" s="6" t="n">
        <x:v>1</x:v>
      </x:c>
      <x:c r="X1507" s="6" t="n">
        <x:v>0</x:v>
      </x:c>
      <x:c r="Y1507" s="6" t="n">
        <x:v>0</x:v>
      </x:c>
      <x:c r="Z1507" s="6" t="n">
        <x:v>0</x:v>
      </x:c>
      <x:c r="AA1507" s="6" t="n">
        <x:v>3</x:v>
      </x:c>
      <x:c r="AB1507" s="6" t="n">
        <x:v>11</x:v>
      </x:c>
      <x:c r="AC1507" s="6" t="n">
        <x:v>0</x:v>
      </x:c>
    </x:row>
    <x:row r="1508">
      <x:c r="A1508" s="6" t="n">
        <x:v>851</x:v>
      </x:c>
      <x:c r="B1508" s="6" t="n">
        <x:v>1972</x:v>
      </x:c>
      <x:c r="C1508" s="6" t="str">
        <x:v>Master</x:v>
      </x:c>
      <x:c r="D1508" s="6" t="str">
        <x:v>Married</x:v>
      </x:c>
      <x:c r="E1508" s="6" t="n">
        <x:v>57136</x:v>
      </x:c>
      <x:c r="F1508" s="6" t="n">
        <x:v>1</x:v>
      </x:c>
      <x:c r="G1508" s="6" t="n">
        <x:v>1</x:v>
      </x:c>
      <x:c r="H1508" s="9" t="str">
        <x:v>09-07-2013</x:v>
      </x:c>
      <x:c r="I1508" s="6" t="n">
        <x:v>48</x:v>
      </x:c>
      <x:c r="J1508" s="6" t="n">
        <x:v>306</x:v>
      </x:c>
      <x:c r="K1508" s="6" t="n">
        <x:v>5</x:v>
      </x:c>
      <x:c r="L1508" s="6" t="n">
        <x:v>109</x:v>
      </x:c>
      <x:c r="M1508" s="6" t="n">
        <x:v>21</x:v>
      </x:c>
      <x:c r="N1508" s="6" t="n">
        <x:v>109</x:v>
      </x:c>
      <x:c r="O1508" s="6" t="n">
        <x:v>92</x:v>
      </x:c>
      <x:c r="P1508" s="6" t="n">
        <x:v>9</x:v>
      </x:c>
      <x:c r="Q1508" s="6" t="n">
        <x:v>5</x:v>
      </x:c>
      <x:c r="R1508" s="6" t="n">
        <x:v>2</x:v>
      </x:c>
      <x:c r="S1508" s="6" t="n">
        <x:v>10</x:v>
      </x:c>
      <x:c r="T1508" s="6" t="n">
        <x:v>6</x:v>
      </x:c>
      <x:c r="U1508" s="6" t="n">
        <x:v>0</x:v>
      </x:c>
      <x:c r="V1508" s="6" t="n">
        <x:v>0</x:v>
      </x:c>
      <x:c r="W1508" s="6" t="n">
        <x:v>0</x:v>
      </x:c>
      <x:c r="X1508" s="6" t="n">
        <x:v>0</x:v>
      </x:c>
      <x:c r="Y1508" s="6" t="n">
        <x:v>0</x:v>
      </x:c>
      <x:c r="Z1508" s="6" t="n">
        <x:v>0</x:v>
      </x:c>
      <x:c r="AA1508" s="6" t="n">
        <x:v>3</x:v>
      </x:c>
      <x:c r="AB1508" s="6" t="n">
        <x:v>11</x:v>
      </x:c>
      <x:c r="AC1508" s="6" t="n">
        <x:v>0</x:v>
      </x:c>
    </x:row>
    <x:row r="1509">
      <x:c r="A1509" s="6" t="n">
        <x:v>7706</x:v>
      </x:c>
      <x:c r="B1509" s="6" t="n">
        <x:v>1975</x:v>
      </x:c>
      <x:c r="C1509" s="6" t="str">
        <x:v>2n Cycle</x:v>
      </x:c>
      <x:c r="D1509" s="6" t="str">
        <x:v>Together</x:v>
      </x:c>
      <x:c r="E1509" s="6" t="n">
        <x:v>46772</x:v>
      </x:c>
      <x:c r="F1509" s="6" t="n">
        <x:v>0</x:v>
      </x:c>
      <x:c r="G1509" s="6" t="n">
        <x:v>1</x:v>
      </x:c>
      <x:c r="H1509" s="9" t="str">
        <x:v>07-11-2012</x:v>
      </x:c>
      <x:c r="I1509" s="6" t="n">
        <x:v>88</x:v>
      </x:c>
      <x:c r="J1509" s="6" t="n">
        <x:v>350</x:v>
      </x:c>
      <x:c r="K1509" s="6" t="n">
        <x:v>104</x:v>
      </x:c>
      <x:c r="L1509" s="6" t="n">
        <x:v>189</x:v>
      </x:c>
      <x:c r="M1509" s="6" t="n">
        <x:v>197</x:v>
      </x:c>
      <x:c r="N1509" s="6" t="n">
        <x:v>151</x:v>
      </x:c>
      <x:c r="O1509" s="6" t="n">
        <x:v>57</x:v>
      </x:c>
      <x:c r="P1509" s="6" t="n">
        <x:v>6</x:v>
      </x:c>
      <x:c r="Q1509" s="6" t="n">
        <x:v>11</x:v>
      </x:c>
      <x:c r="R1509" s="6" t="n">
        <x:v>8</x:v>
      </x:c>
      <x:c r="S1509" s="6" t="n">
        <x:v>5</x:v>
      </x:c>
      <x:c r="T1509" s="6" t="n">
        <x:v>8</x:v>
      </x:c>
      <x:c r="U1509" s="6" t="n">
        <x:v>1</x:v>
      </x:c>
      <x:c r="V1509" s="6" t="n">
        <x:v>0</x:v>
      </x:c>
      <x:c r="W1509" s="6" t="n">
        <x:v>0</x:v>
      </x:c>
      <x:c r="X1509" s="6" t="n">
        <x:v>0</x:v>
      </x:c>
      <x:c r="Y1509" s="6" t="n">
        <x:v>0</x:v>
      </x:c>
      <x:c r="Z1509" s="6" t="n">
        <x:v>0</x:v>
      </x:c>
      <x:c r="AA1509" s="6" t="n">
        <x:v>3</x:v>
      </x:c>
      <x:c r="AB1509" s="6" t="n">
        <x:v>11</x:v>
      </x:c>
      <x:c r="AC1509" s="6" t="n">
        <x:v>0</x:v>
      </x:c>
    </x:row>
    <x:row r="1510">
      <x:c r="A1510" s="6" t="n">
        <x:v>3967</x:v>
      </x:c>
      <x:c r="B1510" s="6" t="n">
        <x:v>1971</x:v>
      </x:c>
      <x:c r="C1510" s="6" t="str">
        <x:v>PhD</x:v>
      </x:c>
      <x:c r="D1510" s="6" t="str">
        <x:v>Married</x:v>
      </x:c>
      <x:c r="E1510" s="6" t="n">
        <x:v>78931</x:v>
      </x:c>
      <x:c r="F1510" s="6" t="n">
        <x:v>0</x:v>
      </x:c>
      <x:c r="G1510" s="6" t="n">
        <x:v>0</x:v>
      </x:c>
      <x:c r="H1510" s="9" t="str">
        <x:v>25-10-2013</x:v>
      </x:c>
      <x:c r="I1510" s="6" t="n">
        <x:v>19</x:v>
      </x:c>
      <x:c r="J1510" s="6" t="n">
        <x:v>331</x:v>
      </x:c>
      <x:c r="K1510" s="6" t="n">
        <x:v>197</x:v>
      </x:c>
      <x:c r="L1510" s="6" t="n">
        <x:v>170</x:v>
      </x:c>
      <x:c r="M1510" s="6" t="n">
        <x:v>58</x:v>
      </x:c>
      <x:c r="N1510" s="6" t="n">
        <x:v>152</x:v>
      </x:c>
      <x:c r="O1510" s="6" t="n">
        <x:v>35</x:v>
      </x:c>
      <x:c r="P1510" s="6" t="n">
        <x:v>1</x:v>
      </x:c>
      <x:c r="Q1510" s="6" t="n">
        <x:v>2</x:v>
      </x:c>
      <x:c r="R1510" s="6" t="n">
        <x:v>8</x:v>
      </x:c>
      <x:c r="S1510" s="6" t="n">
        <x:v>13</x:v>
      </x:c>
      <x:c r="T1510" s="6" t="n">
        <x:v>1</x:v>
      </x:c>
      <x:c r="U1510" s="6" t="n">
        <x:v>0</x:v>
      </x:c>
      <x:c r="V1510" s="6" t="n">
        <x:v>0</x:v>
      </x:c>
      <x:c r="W1510" s="6" t="n">
        <x:v>0</x:v>
      </x:c>
      <x:c r="X1510" s="6" t="n">
        <x:v>0</x:v>
      </x:c>
      <x:c r="Y1510" s="6" t="n">
        <x:v>0</x:v>
      </x:c>
      <x:c r="Z1510" s="6" t="n">
        <x:v>0</x:v>
      </x:c>
      <x:c r="AA1510" s="6" t="n">
        <x:v>3</x:v>
      </x:c>
      <x:c r="AB1510" s="6" t="n">
        <x:v>11</x:v>
      </x:c>
      <x:c r="AC1510" s="6" t="n">
        <x:v>0</x:v>
      </x:c>
    </x:row>
    <x:row r="1511">
      <x:c r="A1511" s="6" t="n">
        <x:v>10128</x:v>
      </x:c>
      <x:c r="B1511" s="6" t="n">
        <x:v>1958</x:v>
      </x:c>
      <x:c r="C1511" s="6" t="str">
        <x:v>Graduation</x:v>
      </x:c>
      <x:c r="D1511" s="6" t="str">
        <x:v>Together</x:v>
      </x:c>
      <x:c r="E1511" s="6" t="n">
        <x:v>53977</x:v>
      </x:c>
      <x:c r="F1511" s="6" t="n">
        <x:v>0</x:v>
      </x:c>
      <x:c r="G1511" s="6" t="n">
        <x:v>1</x:v>
      </x:c>
      <x:c r="H1511" s="9" t="str">
        <x:v>08-06-2013</x:v>
      </x:c>
      <x:c r="I1511" s="6" t="n">
        <x:v>21</x:v>
      </x:c>
      <x:c r="J1511" s="6" t="n">
        <x:v>620</x:v>
      </x:c>
      <x:c r="K1511" s="6" t="n">
        <x:v>16</x:v>
      </x:c>
      <x:c r="L1511" s="6" t="n">
        <x:v>165</x:v>
      </x:c>
      <x:c r="M1511" s="6" t="n">
        <x:v>0</x:v>
      </x:c>
      <x:c r="N1511" s="6" t="n">
        <x:v>24</x:v>
      </x:c>
      <x:c r="O1511" s="6" t="n">
        <x:v>82</x:v>
      </x:c>
      <x:c r="P1511" s="6" t="n">
        <x:v>5</x:v>
      </x:c>
      <x:c r="Q1511" s="6" t="n">
        <x:v>5</x:v>
      </x:c>
      <x:c r="R1511" s="6" t="n">
        <x:v>5</x:v>
      </x:c>
      <x:c r="S1511" s="6" t="n">
        <x:v>12</x:v>
      </x:c>
      <x:c r="T1511" s="6" t="n">
        <x:v>5</x:v>
      </x:c>
      <x:c r="U1511" s="6" t="n">
        <x:v>0</x:v>
      </x:c>
      <x:c r="V1511" s="6" t="n">
        <x:v>0</x:v>
      </x:c>
      <x:c r="W1511" s="6" t="n">
        <x:v>0</x:v>
      </x:c>
      <x:c r="X1511" s="6" t="n">
        <x:v>0</x:v>
      </x:c>
      <x:c r="Y1511" s="6" t="n">
        <x:v>0</x:v>
      </x:c>
      <x:c r="Z1511" s="6" t="n">
        <x:v>0</x:v>
      </x:c>
      <x:c r="AA1511" s="6" t="n">
        <x:v>3</x:v>
      </x:c>
      <x:c r="AB1511" s="6" t="n">
        <x:v>11</x:v>
      </x:c>
      <x:c r="AC1511" s="6" t="n">
        <x:v>0</x:v>
      </x:c>
    </x:row>
    <x:row r="1512">
      <x:c r="A1512" s="6" t="n">
        <x:v>486</x:v>
      </x:c>
      <x:c r="B1512" s="6" t="n">
        <x:v>1988</x:v>
      </x:c>
      <x:c r="C1512" s="6" t="str">
        <x:v>Graduation</x:v>
      </x:c>
      <x:c r="D1512" s="6" t="str">
        <x:v>Married</x:v>
      </x:c>
      <x:c r="E1512" s="6" t="n">
        <x:v>84219</x:v>
      </x:c>
      <x:c r="F1512" s="6" t="n">
        <x:v>0</x:v>
      </x:c>
      <x:c r="G1512" s="6" t="n">
        <x:v>0</x:v>
      </x:c>
      <x:c r="H1512" s="9" t="str">
        <x:v>02-02-2014</x:v>
      </x:c>
      <x:c r="I1512" s="6" t="n">
        <x:v>27</x:v>
      </x:c>
      <x:c r="J1512" s="6" t="n">
        <x:v>434</x:v>
      </x:c>
      <x:c r="K1512" s="6" t="n">
        <x:v>137</x:v>
      </x:c>
      <x:c r="L1512" s="6" t="n">
        <x:v>400</x:v>
      </x:c>
      <x:c r="M1512" s="6" t="n">
        <x:v>45</x:v>
      </x:c>
      <x:c r="N1512" s="6" t="n">
        <x:v>137</x:v>
      </x:c>
      <x:c r="O1512" s="6" t="n">
        <x:v>45</x:v>
      </x:c>
      <x:c r="P1512" s="6" t="n">
        <x:v>1</x:v>
      </x:c>
      <x:c r="Q1512" s="6" t="n">
        <x:v>3</x:v>
      </x:c>
      <x:c r="R1512" s="6" t="n">
        <x:v>4</x:v>
      </x:c>
      <x:c r="S1512" s="6" t="n">
        <x:v>10</x:v>
      </x:c>
      <x:c r="T1512" s="6" t="n">
        <x:v>1</x:v>
      </x:c>
      <x:c r="U1512" s="6" t="n">
        <x:v>0</x:v>
      </x:c>
      <x:c r="V1512" s="6" t="n">
        <x:v>0</x:v>
      </x:c>
      <x:c r="W1512" s="6" t="n">
        <x:v>0</x:v>
      </x:c>
      <x:c r="X1512" s="6" t="n">
        <x:v>0</x:v>
      </x:c>
      <x:c r="Y1512" s="6" t="n">
        <x:v>0</x:v>
      </x:c>
      <x:c r="Z1512" s="6" t="n">
        <x:v>0</x:v>
      </x:c>
      <x:c r="AA1512" s="6" t="n">
        <x:v>3</x:v>
      </x:c>
      <x:c r="AB1512" s="6" t="n">
        <x:v>11</x:v>
      </x:c>
      <x:c r="AC1512" s="6" t="n">
        <x:v>0</x:v>
      </x:c>
    </x:row>
    <x:row r="1513">
      <x:c r="A1513" s="6" t="n">
        <x:v>9</x:v>
      </x:c>
      <x:c r="B1513" s="6" t="n">
        <x:v>1975</x:v>
      </x:c>
      <x:c r="C1513" s="6" t="str">
        <x:v>Master</x:v>
      </x:c>
      <x:c r="D1513" s="6" t="str">
        <x:v>Single</x:v>
      </x:c>
      <x:c r="E1513" s="6" t="n">
        <x:v>46098</x:v>
      </x:c>
      <x:c r="F1513" s="6" t="n">
        <x:v>1</x:v>
      </x:c>
      <x:c r="G1513" s="6" t="n">
        <x:v>1</x:v>
      </x:c>
      <x:c r="H1513" s="9" t="str">
        <x:v>18-08-2012</x:v>
      </x:c>
      <x:c r="I1513" s="6" t="n">
        <x:v>86</x:v>
      </x:c>
      <x:c r="J1513" s="6" t="n">
        <x:v>57</x:v>
      </x:c>
      <x:c r="K1513" s="6" t="n">
        <x:v>0</x:v>
      </x:c>
      <x:c r="L1513" s="6" t="n">
        <x:v>27</x:v>
      </x:c>
      <x:c r="M1513" s="6" t="n">
        <x:v>0</x:v>
      </x:c>
      <x:c r="N1513" s="6" t="n">
        <x:v>0</x:v>
      </x:c>
      <x:c r="O1513" s="6" t="n">
        <x:v>36</x:v>
      </x:c>
      <x:c r="P1513" s="6" t="n">
        <x:v>4</x:v>
      </x:c>
      <x:c r="Q1513" s="6" t="n">
        <x:v>3</x:v>
      </x:c>
      <x:c r="R1513" s="6" t="n">
        <x:v>2</x:v>
      </x:c>
      <x:c r="S1513" s="6" t="n">
        <x:v>2</x:v>
      </x:c>
      <x:c r="T1513" s="6" t="n">
        <x:v>8</x:v>
      </x:c>
      <x:c r="U1513" s="6" t="n">
        <x:v>0</x:v>
      </x:c>
      <x:c r="V1513" s="6" t="n">
        <x:v>0</x:v>
      </x:c>
      <x:c r="W1513" s="6" t="n">
        <x:v>0</x:v>
      </x:c>
      <x:c r="X1513" s="6" t="n">
        <x:v>0</x:v>
      </x:c>
      <x:c r="Y1513" s="6" t="n">
        <x:v>0</x:v>
      </x:c>
      <x:c r="Z1513" s="6" t="n">
        <x:v>0</x:v>
      </x:c>
      <x:c r="AA1513" s="6" t="n">
        <x:v>3</x:v>
      </x:c>
      <x:c r="AB1513" s="6" t="n">
        <x:v>11</x:v>
      </x:c>
      <x:c r="AC1513" s="6" t="n">
        <x:v>0</x:v>
      </x:c>
    </x:row>
    <x:row r="1514">
      <x:c r="A1514" s="6" t="n">
        <x:v>9451</x:v>
      </x:c>
      <x:c r="B1514" s="6" t="n">
        <x:v>1965</x:v>
      </x:c>
      <x:c r="C1514" s="6" t="str">
        <x:v>Graduation</x:v>
      </x:c>
      <x:c r="D1514" s="6" t="str">
        <x:v>Married</x:v>
      </x:c>
      <x:c r="E1514" s="6" t="n">
        <x:v>73538</x:v>
      </x:c>
      <x:c r="F1514" s="6" t="n">
        <x:v>0</x:v>
      </x:c>
      <x:c r="G1514" s="6" t="n">
        <x:v>1</x:v>
      </x:c>
      <x:c r="H1514" s="9" t="str">
        <x:v>25-11-2012</x:v>
      </x:c>
      <x:c r="I1514" s="6" t="n">
        <x:v>92</x:v>
      </x:c>
      <x:c r="J1514" s="6" t="n">
        <x:v>811</x:v>
      </x:c>
      <x:c r="K1514" s="6" t="n">
        <x:v>76</x:v>
      </x:c>
      <x:c r="L1514" s="6" t="n">
        <x:v>428</x:v>
      </x:c>
      <x:c r="M1514" s="6" t="n">
        <x:v>99</x:v>
      </x:c>
      <x:c r="N1514" s="6" t="n">
        <x:v>137</x:v>
      </x:c>
      <x:c r="O1514" s="6" t="n">
        <x:v>107</x:v>
      </x:c>
      <x:c r="P1514" s="6" t="n">
        <x:v>3</x:v>
      </x:c>
      <x:c r="Q1514" s="6" t="n">
        <x:v>10</x:v>
      </x:c>
      <x:c r="R1514" s="6" t="n">
        <x:v>4</x:v>
      </x:c>
      <x:c r="S1514" s="6" t="n">
        <x:v>9</x:v>
      </x:c>
      <x:c r="T1514" s="6" t="n">
        <x:v>7</x:v>
      </x:c>
      <x:c r="U1514" s="6" t="n">
        <x:v>0</x:v>
      </x:c>
      <x:c r="V1514" s="6" t="n">
        <x:v>0</x:v>
      </x:c>
      <x:c r="W1514" s="6" t="n">
        <x:v>0</x:v>
      </x:c>
      <x:c r="X1514" s="6" t="n">
        <x:v>0</x:v>
      </x:c>
      <x:c r="Y1514" s="6" t="n">
        <x:v>0</x:v>
      </x:c>
      <x:c r="Z1514" s="6" t="n">
        <x:v>0</x:v>
      </x:c>
      <x:c r="AA1514" s="6" t="n">
        <x:v>3</x:v>
      </x:c>
      <x:c r="AB1514" s="6" t="n">
        <x:v>11</x:v>
      </x:c>
      <x:c r="AC1514" s="6" t="n">
        <x:v>0</x:v>
      </x:c>
    </x:row>
    <x:row r="1515">
      <x:c r="A1515" s="6" t="n">
        <x:v>9264</x:v>
      </x:c>
      <x:c r="B1515" s="6" t="n">
        <x:v>1986</x:v>
      </x:c>
      <x:c r="C1515" s="6" t="str">
        <x:v>Graduation</x:v>
      </x:c>
      <x:c r="D1515" s="6" t="str">
        <x:v>Married</x:v>
      </x:c>
      <x:c r="E1515" s="6" t="n">
        <x:v>79529</x:v>
      </x:c>
      <x:c r="F1515" s="6" t="n">
        <x:v>0</x:v>
      </x:c>
      <x:c r="G1515" s="6" t="n">
        <x:v>0</x:v>
      </x:c>
      <x:c r="H1515" s="9" t="str">
        <x:v>27-04-2014</x:v>
      </x:c>
      <x:c r="I1515" s="6" t="n">
        <x:v>1</x:v>
      </x:c>
      <x:c r="J1515" s="6" t="n">
        <x:v>423</x:v>
      </x:c>
      <x:c r="K1515" s="6" t="n">
        <x:v>42</x:v>
      </x:c>
      <x:c r="L1515" s="6" t="n">
        <x:v>706</x:v>
      </x:c>
      <x:c r="M1515" s="6" t="n">
        <x:v>73</x:v>
      </x:c>
      <x:c r="N1515" s="6" t="n">
        <x:v>197</x:v>
      </x:c>
      <x:c r="O1515" s="6" t="n">
        <x:v>197</x:v>
      </x:c>
      <x:c r="P1515" s="6" t="n">
        <x:v>1</x:v>
      </x:c>
      <x:c r="Q1515" s="6" t="n">
        <x:v>4</x:v>
      </x:c>
      <x:c r="R1515" s="6" t="n">
        <x:v>8</x:v>
      </x:c>
      <x:c r="S1515" s="6" t="n">
        <x:v>9</x:v>
      </x:c>
      <x:c r="T1515" s="6" t="n">
        <x:v>2</x:v>
      </x:c>
      <x:c r="U1515" s="6" t="n">
        <x:v>0</x:v>
      </x:c>
      <x:c r="V1515" s="6" t="n">
        <x:v>0</x:v>
      </x:c>
      <x:c r="W1515" s="6" t="n">
        <x:v>0</x:v>
      </x:c>
      <x:c r="X1515" s="6" t="n">
        <x:v>0</x:v>
      </x:c>
      <x:c r="Y1515" s="6" t="n">
        <x:v>0</x:v>
      </x:c>
      <x:c r="Z1515" s="6" t="n">
        <x:v>0</x:v>
      </x:c>
      <x:c r="AA1515" s="6" t="n">
        <x:v>3</x:v>
      </x:c>
      <x:c r="AB1515" s="6" t="n">
        <x:v>11</x:v>
      </x:c>
      <x:c r="AC1515" s="6" t="n">
        <x:v>0</x:v>
      </x:c>
    </x:row>
    <x:row r="1516">
      <x:c r="A1516" s="6" t="n">
        <x:v>3865</x:v>
      </x:c>
      <x:c r="B1516" s="6" t="n">
        <x:v>1977</x:v>
      </x:c>
      <x:c r="C1516" s="6" t="str">
        <x:v>2n Cycle</x:v>
      </x:c>
      <x:c r="D1516" s="6" t="str">
        <x:v>Together</x:v>
      </x:c>
      <x:c r="E1516" s="6" t="n">
        <x:v>20981</x:v>
      </x:c>
      <x:c r="F1516" s="6" t="n">
        <x:v>0</x:v>
      </x:c>
      <x:c r="G1516" s="6" t="n">
        <x:v>0</x:v>
      </x:c>
      <x:c r="H1516" s="9" t="str">
        <x:v>30-04-2013</x:v>
      </x:c>
      <x:c r="I1516" s="6" t="n">
        <x:v>14</x:v>
      </x:c>
      <x:c r="J1516" s="6" t="n">
        <x:v>2</x:v>
      </x:c>
      <x:c r="K1516" s="6" t="n">
        <x:v>12</x:v>
      </x:c>
      <x:c r="L1516" s="6" t="n">
        <x:v>10</x:v>
      </x:c>
      <x:c r="M1516" s="6" t="n">
        <x:v>6</x:v>
      </x:c>
      <x:c r="N1516" s="6" t="n">
        <x:v>13</x:v>
      </x:c>
      <x:c r="O1516" s="6" t="n">
        <x:v>30</x:v>
      </x:c>
      <x:c r="P1516" s="6" t="n">
        <x:v>1</x:v>
      </x:c>
      <x:c r="Q1516" s="6" t="n">
        <x:v>3</x:v>
      </x:c>
      <x:c r="R1516" s="6" t="n">
        <x:v>1</x:v>
      </x:c>
      <x:c r="S1516" s="6" t="n">
        <x:v>2</x:v>
      </x:c>
      <x:c r="T1516" s="6" t="n">
        <x:v>8</x:v>
      </x:c>
      <x:c r="U1516" s="6" t="n">
        <x:v>0</x:v>
      </x:c>
      <x:c r="V1516" s="6" t="n">
        <x:v>0</x:v>
      </x:c>
      <x:c r="W1516" s="6" t="n">
        <x:v>0</x:v>
      </x:c>
      <x:c r="X1516" s="6" t="n">
        <x:v>0</x:v>
      </x:c>
      <x:c r="Y1516" s="6" t="n">
        <x:v>0</x:v>
      </x:c>
      <x:c r="Z1516" s="6" t="n">
        <x:v>0</x:v>
      </x:c>
      <x:c r="AA1516" s="6" t="n">
        <x:v>3</x:v>
      </x:c>
      <x:c r="AB1516" s="6" t="n">
        <x:v>11</x:v>
      </x:c>
      <x:c r="AC1516" s="6" t="n">
        <x:v>1</x:v>
      </x:c>
    </x:row>
    <x:row r="1517">
      <x:c r="A1517" s="6" t="n">
        <x:v>2853</x:v>
      </x:c>
      <x:c r="B1517" s="6" t="n">
        <x:v>1980</x:v>
      </x:c>
      <x:c r="C1517" s="6" t="str">
        <x:v>Graduation</x:v>
      </x:c>
      <x:c r="D1517" s="6" t="str">
        <x:v>Single</x:v>
      </x:c>
      <x:c r="E1517" s="6" t="n">
        <x:v>51766</x:v>
      </x:c>
      <x:c r="F1517" s="6" t="n">
        <x:v>1</x:v>
      </x:c>
      <x:c r="G1517" s="6" t="n">
        <x:v>0</x:v>
      </x:c>
      <x:c r="H1517" s="9" t="str">
        <x:v>11-03-2014</x:v>
      </x:c>
      <x:c r="I1517" s="6" t="n">
        <x:v>74</x:v>
      </x:c>
      <x:c r="J1517" s="6" t="n">
        <x:v>60</x:v>
      </x:c>
      <x:c r="K1517" s="6" t="n">
        <x:v>51</x:v>
      </x:c>
      <x:c r="L1517" s="6" t="n">
        <x:v>87</x:v>
      </x:c>
      <x:c r="M1517" s="6" t="n">
        <x:v>6</x:v>
      </x:c>
      <x:c r="N1517" s="6" t="n">
        <x:v>20</x:v>
      </x:c>
      <x:c r="O1517" s="6" t="n">
        <x:v>51</x:v>
      </x:c>
      <x:c r="P1517" s="6" t="n">
        <x:v>2</x:v>
      </x:c>
      <x:c r="Q1517" s="6" t="n">
        <x:v>4</x:v>
      </x:c>
      <x:c r="R1517" s="6" t="n">
        <x:v>2</x:v>
      </x:c>
      <x:c r="S1517" s="6" t="n">
        <x:v>4</x:v>
      </x:c>
      <x:c r="T1517" s="6" t="n">
        <x:v>5</x:v>
      </x:c>
      <x:c r="U1517" s="6" t="n">
        <x:v>0</x:v>
      </x:c>
      <x:c r="V1517" s="6" t="n">
        <x:v>0</x:v>
      </x:c>
      <x:c r="W1517" s="6" t="n">
        <x:v>0</x:v>
      </x:c>
      <x:c r="X1517" s="6" t="n">
        <x:v>0</x:v>
      </x:c>
      <x:c r="Y1517" s="6" t="n">
        <x:v>0</x:v>
      </x:c>
      <x:c r="Z1517" s="6" t="n">
        <x:v>0</x:v>
      </x:c>
      <x:c r="AA1517" s="6" t="n">
        <x:v>3</x:v>
      </x:c>
      <x:c r="AB1517" s="6" t="n">
        <x:v>11</x:v>
      </x:c>
      <x:c r="AC1517" s="6" t="n">
        <x:v>0</x:v>
      </x:c>
    </x:row>
    <x:row r="1518">
      <x:c r="A1518" s="6" t="n">
        <x:v>1490</x:v>
      </x:c>
      <x:c r="B1518" s="6" t="n">
        <x:v>1962</x:v>
      </x:c>
      <x:c r="C1518" s="6" t="str">
        <x:v>Graduation</x:v>
      </x:c>
      <x:c r="D1518" s="6" t="str">
        <x:v>Married</x:v>
      </x:c>
      <x:c r="E1518" s="6" t="n">
        <x:v>55759</x:v>
      </x:c>
      <x:c r="F1518" s="6" t="n">
        <x:v>0</x:v>
      </x:c>
      <x:c r="G1518" s="6" t="n">
        <x:v>1</x:v>
      </x:c>
      <x:c r="H1518" s="9" t="str">
        <x:v>28-11-2012</x:v>
      </x:c>
      <x:c r="I1518" s="6" t="n">
        <x:v>84</x:v>
      </x:c>
      <x:c r="J1518" s="6" t="n">
        <x:v>675</x:v>
      </x:c>
      <x:c r="K1518" s="6" t="n">
        <x:v>0</x:v>
      </x:c>
      <x:c r="L1518" s="6" t="n">
        <x:v>85</x:v>
      </x:c>
      <x:c r="M1518" s="6" t="n">
        <x:v>10</x:v>
      </x:c>
      <x:c r="N1518" s="6" t="n">
        <x:v>7</x:v>
      </x:c>
      <x:c r="O1518" s="6" t="n">
        <x:v>77</x:v>
      </x:c>
      <x:c r="P1518" s="6" t="n">
        <x:v>5</x:v>
      </x:c>
      <x:c r="Q1518" s="6" t="n">
        <x:v>10</x:v>
      </x:c>
      <x:c r="R1518" s="6" t="n">
        <x:v>3</x:v>
      </x:c>
      <x:c r="S1518" s="6" t="n">
        <x:v>8</x:v>
      </x:c>
      <x:c r="T1518" s="6" t="n">
        <x:v>8</x:v>
      </x:c>
      <x:c r="U1518" s="6" t="n">
        <x:v>0</x:v>
      </x:c>
      <x:c r="V1518" s="6" t="n">
        <x:v>0</x:v>
      </x:c>
      <x:c r="W1518" s="6" t="n">
        <x:v>0</x:v>
      </x:c>
      <x:c r="X1518" s="6" t="n">
        <x:v>0</x:v>
      </x:c>
      <x:c r="Y1518" s="6" t="n">
        <x:v>0</x:v>
      </x:c>
      <x:c r="Z1518" s="6" t="n">
        <x:v>0</x:v>
      </x:c>
      <x:c r="AA1518" s="6" t="n">
        <x:v>3</x:v>
      </x:c>
      <x:c r="AB1518" s="6" t="n">
        <x:v>11</x:v>
      </x:c>
      <x:c r="AC1518" s="6" t="n">
        <x:v>0</x:v>
      </x:c>
    </x:row>
    <x:row r="1519">
      <x:c r="A1519" s="6" t="n">
        <x:v>6310</x:v>
      </x:c>
      <x:c r="B1519" s="6" t="n">
        <x:v>1978</x:v>
      </x:c>
      <x:c r="C1519" s="6" t="str">
        <x:v>Graduation</x:v>
      </x:c>
      <x:c r="D1519" s="6" t="str">
        <x:v>Married</x:v>
      </x:c>
      <x:c r="E1519" s="6" t="n">
        <x:v>33039</x:v>
      </x:c>
      <x:c r="F1519" s="6" t="n">
        <x:v>1</x:v>
      </x:c>
      <x:c r="G1519" s="6" t="n">
        <x:v>0</x:v>
      </x:c>
      <x:c r="H1519" s="9" t="str">
        <x:v>09-09-2013</x:v>
      </x:c>
      <x:c r="I1519" s="6" t="n">
        <x:v>4</x:v>
      </x:c>
      <x:c r="J1519" s="6" t="n">
        <x:v>30</x:v>
      </x:c>
      <x:c r="K1519" s="6" t="n">
        <x:v>8</x:v>
      </x:c>
      <x:c r="L1519" s="6" t="n">
        <x:v>12</x:v>
      </x:c>
      <x:c r="M1519" s="6" t="n">
        <x:v>8</x:v>
      </x:c>
      <x:c r="N1519" s="6" t="n">
        <x:v>8</x:v>
      </x:c>
      <x:c r="O1519" s="6" t="n">
        <x:v>12</x:v>
      </x:c>
      <x:c r="P1519" s="6" t="n">
        <x:v>1</x:v>
      </x:c>
      <x:c r="Q1519" s="6" t="n">
        <x:v>2</x:v>
      </x:c>
      <x:c r="R1519" s="6" t="n">
        <x:v>0</x:v>
      </x:c>
      <x:c r="S1519" s="6" t="n">
        <x:v>4</x:v>
      </x:c>
      <x:c r="T1519" s="6" t="n">
        <x:v>5</x:v>
      </x:c>
      <x:c r="U1519" s="6" t="n">
        <x:v>0</x:v>
      </x:c>
      <x:c r="V1519" s="6" t="n">
        <x:v>0</x:v>
      </x:c>
      <x:c r="W1519" s="6" t="n">
        <x:v>0</x:v>
      </x:c>
      <x:c r="X1519" s="6" t="n">
        <x:v>0</x:v>
      </x:c>
      <x:c r="Y1519" s="6" t="n">
        <x:v>0</x:v>
      </x:c>
      <x:c r="Z1519" s="6" t="n">
        <x:v>0</x:v>
      </x:c>
      <x:c r="AA1519" s="6" t="n">
        <x:v>3</x:v>
      </x:c>
      <x:c r="AB1519" s="6" t="n">
        <x:v>11</x:v>
      </x:c>
      <x:c r="AC1519" s="6" t="n">
        <x:v>0</x:v>
      </x:c>
    </x:row>
    <x:row r="1520">
      <x:c r="A1520" s="6" t="n">
        <x:v>10380</x:v>
      </x:c>
      <x:c r="B1520" s="6" t="n">
        <x:v>1972</x:v>
      </x:c>
      <x:c r="C1520" s="6" t="str">
        <x:v>Master</x:v>
      </x:c>
      <x:c r="D1520" s="6" t="str">
        <x:v>Married</x:v>
      </x:c>
      <x:c r="E1520" s="6" t="n">
        <x:v>37787</x:v>
      </x:c>
      <x:c r="F1520" s="6" t="n">
        <x:v>1</x:v>
      </x:c>
      <x:c r="G1520" s="6" t="n">
        <x:v>0</x:v>
      </x:c>
      <x:c r="H1520" s="9" t="str">
        <x:v>20-09-2013</x:v>
      </x:c>
      <x:c r="I1520" s="6" t="n">
        <x:v>50</x:v>
      </x:c>
      <x:c r="J1520" s="6" t="n">
        <x:v>40</x:v>
      </x:c>
      <x:c r="K1520" s="6" t="n">
        <x:v>1</x:v>
      </x:c>
      <x:c r="L1520" s="6" t="n">
        <x:v>40</x:v>
      </x:c>
      <x:c r="M1520" s="6" t="n">
        <x:v>4</x:v>
      </x:c>
      <x:c r="N1520" s="6" t="n">
        <x:v>3</x:v>
      </x:c>
      <x:c r="O1520" s="6" t="n">
        <x:v>18</x:v>
      </x:c>
      <x:c r="P1520" s="6" t="n">
        <x:v>1</x:v>
      </x:c>
      <x:c r="Q1520" s="6" t="n">
        <x:v>3</x:v>
      </x:c>
      <x:c r="R1520" s="6" t="n">
        <x:v>0</x:v>
      </x:c>
      <x:c r="S1520" s="6" t="n">
        <x:v>3</x:v>
      </x:c>
      <x:c r="T1520" s="6" t="n">
        <x:v>8</x:v>
      </x:c>
      <x:c r="U1520" s="6" t="n">
        <x:v>0</x:v>
      </x:c>
      <x:c r="V1520" s="6" t="n">
        <x:v>0</x:v>
      </x:c>
      <x:c r="W1520" s="6" t="n">
        <x:v>0</x:v>
      </x:c>
      <x:c r="X1520" s="6" t="n">
        <x:v>0</x:v>
      </x:c>
      <x:c r="Y1520" s="6" t="n">
        <x:v>0</x:v>
      </x:c>
      <x:c r="Z1520" s="6" t="n">
        <x:v>0</x:v>
      </x:c>
      <x:c r="AA1520" s="6" t="n">
        <x:v>3</x:v>
      </x:c>
      <x:c r="AB1520" s="6" t="n">
        <x:v>11</x:v>
      </x:c>
      <x:c r="AC1520" s="6" t="n">
        <x:v>0</x:v>
      </x:c>
    </x:row>
    <x:row r="1521">
      <x:c r="A1521" s="6" t="n">
        <x:v>3887</x:v>
      </x:c>
      <x:c r="B1521" s="6" t="n">
        <x:v>1970</x:v>
      </x:c>
      <x:c r="C1521" s="6" t="str">
        <x:v>Graduation</x:v>
      </x:c>
      <x:c r="D1521" s="6" t="str">
        <x:v>Single</x:v>
      </x:c>
      <x:c r="E1521" s="6" t="n">
        <x:v>27242</x:v>
      </x:c>
      <x:c r="F1521" s="6" t="n">
        <x:v>1</x:v>
      </x:c>
      <x:c r="G1521" s="6" t="n">
        <x:v>0</x:v>
      </x:c>
      <x:c r="H1521" s="9" t="str">
        <x:v>11-11-2012</x:v>
      </x:c>
      <x:c r="I1521" s="6" t="n">
        <x:v>2</x:v>
      </x:c>
      <x:c r="J1521" s="6" t="n">
        <x:v>3</x:v>
      </x:c>
      <x:c r="K1521" s="6" t="n">
        <x:v>17</x:v>
      </x:c>
      <x:c r="L1521" s="6" t="n">
        <x:v>26</x:v>
      </x:c>
      <x:c r="M1521" s="6" t="n">
        <x:v>20</x:v>
      </x:c>
      <x:c r="N1521" s="6" t="n">
        <x:v>1</x:v>
      </x:c>
      <x:c r="O1521" s="6" t="n">
        <x:v>39</x:v>
      </x:c>
      <x:c r="P1521" s="6" t="n">
        <x:v>2</x:v>
      </x:c>
      <x:c r="Q1521" s="6" t="n">
        <x:v>2</x:v>
      </x:c>
      <x:c r="R1521" s="6" t="n">
        <x:v>0</x:v>
      </x:c>
      <x:c r="S1521" s="6" t="n">
        <x:v>3</x:v>
      </x:c>
      <x:c r="T1521" s="6" t="n">
        <x:v>9</x:v>
      </x:c>
      <x:c r="U1521" s="6" t="n">
        <x:v>0</x:v>
      </x:c>
      <x:c r="V1521" s="6" t="n">
        <x:v>0</x:v>
      </x:c>
      <x:c r="W1521" s="6" t="n">
        <x:v>0</x:v>
      </x:c>
      <x:c r="X1521" s="6" t="n">
        <x:v>0</x:v>
      </x:c>
      <x:c r="Y1521" s="6" t="n">
        <x:v>0</x:v>
      </x:c>
      <x:c r="Z1521" s="6" t="n">
        <x:v>0</x:v>
      </x:c>
      <x:c r="AA1521" s="6" t="n">
        <x:v>3</x:v>
      </x:c>
      <x:c r="AB1521" s="6" t="n">
        <x:v>11</x:v>
      </x:c>
      <x:c r="AC1521" s="6" t="n">
        <x:v>1</x:v>
      </x:c>
    </x:row>
    <x:row r="1522">
      <x:c r="A1522" s="6" t="n">
        <x:v>4278</x:v>
      </x:c>
      <x:c r="B1522" s="6" t="n">
        <x:v>1983</x:v>
      </x:c>
      <x:c r="C1522" s="6" t="str">
        <x:v>PhD</x:v>
      </x:c>
      <x:c r="D1522" s="6" t="str">
        <x:v>Single</x:v>
      </x:c>
      <x:c r="E1522" s="6" t="n">
        <x:v>87188</x:v>
      </x:c>
      <x:c r="F1522" s="6" t="n">
        <x:v>0</x:v>
      </x:c>
      <x:c r="G1522" s="6" t="n">
        <x:v>0</x:v>
      </x:c>
      <x:c r="H1522" s="9" t="str">
        <x:v>03-06-2013</x:v>
      </x:c>
      <x:c r="I1522" s="6" t="n">
        <x:v>73</x:v>
      </x:c>
      <x:c r="J1522" s="6" t="n">
        <x:v>910</x:v>
      </x:c>
      <x:c r="K1522" s="6" t="n">
        <x:v>111</x:v>
      </x:c>
      <x:c r="L1522" s="6" t="n">
        <x:v>724</x:v>
      </x:c>
      <x:c r="M1522" s="6" t="n">
        <x:v>49</x:v>
      </x:c>
      <x:c r="N1522" s="6" t="n">
        <x:v>74</x:v>
      </x:c>
      <x:c r="O1522" s="6" t="n">
        <x:v>55</x:v>
      </x:c>
      <x:c r="P1522" s="6" t="n">
        <x:v>1</x:v>
      </x:c>
      <x:c r="Q1522" s="6" t="n">
        <x:v>10</x:v>
      </x:c>
      <x:c r="R1522" s="6" t="n">
        <x:v>2</x:v>
      </x:c>
      <x:c r="S1522" s="6" t="n">
        <x:v>6</x:v>
      </x:c>
      <x:c r="T1522" s="6" t="n">
        <x:v>3</x:v>
      </x:c>
      <x:c r="U1522" s="6" t="n">
        <x:v>0</x:v>
      </x:c>
      <x:c r="V1522" s="6" t="n">
        <x:v>0</x:v>
      </x:c>
      <x:c r="W1522" s="6" t="n">
        <x:v>0</x:v>
      </x:c>
      <x:c r="X1522" s="6" t="n">
        <x:v>0</x:v>
      </x:c>
      <x:c r="Y1522" s="6" t="n">
        <x:v>0</x:v>
      </x:c>
      <x:c r="Z1522" s="6" t="n">
        <x:v>0</x:v>
      </x:c>
      <x:c r="AA1522" s="6" t="n">
        <x:v>3</x:v>
      </x:c>
      <x:c r="AB1522" s="6" t="n">
        <x:v>11</x:v>
      </x:c>
      <x:c r="AC1522" s="6" t="n">
        <x:v>1</x:v>
      </x:c>
    </x:row>
    <x:row r="1523">
      <x:c r="A1523" s="6" t="n">
        <x:v>8643</x:v>
      </x:c>
      <x:c r="B1523" s="6" t="n">
        <x:v>1971</x:v>
      </x:c>
      <x:c r="C1523" s="6" t="str">
        <x:v>Graduation</x:v>
      </x:c>
      <x:c r="D1523" s="6" t="str">
        <x:v>Together</x:v>
      </x:c>
      <x:c r="E1523" s="6" t="n">
        <x:v>69930</x:v>
      </x:c>
      <x:c r="F1523" s="6" t="n">
        <x:v>0</x:v>
      </x:c>
      <x:c r="G1523" s="6" t="n">
        <x:v>0</x:v>
      </x:c>
      <x:c r="H1523" s="9" t="str">
        <x:v>26-05-2013</x:v>
      </x:c>
      <x:c r="I1523" s="6" t="n">
        <x:v>21</x:v>
      </x:c>
      <x:c r="J1523" s="6" t="n">
        <x:v>252</x:v>
      </x:c>
      <x:c r="K1523" s="6" t="n">
        <x:v>98</x:v>
      </x:c>
      <x:c r="L1523" s="6" t="n">
        <x:v>827</x:v>
      </x:c>
      <x:c r="M1523" s="6" t="n">
        <x:v>219</x:v>
      </x:c>
      <x:c r="N1523" s="6" t="n">
        <x:v>70</x:v>
      </x:c>
      <x:c r="O1523" s="6" t="n">
        <x:v>196</x:v>
      </x:c>
      <x:c r="P1523" s="6" t="n">
        <x:v>1</x:v>
      </x:c>
      <x:c r="Q1523" s="6" t="n">
        <x:v>4</x:v>
      </x:c>
      <x:c r="R1523" s="6" t="n">
        <x:v>5</x:v>
      </x:c>
      <x:c r="S1523" s="6" t="n">
        <x:v>12</x:v>
      </x:c>
      <x:c r="T1523" s="6" t="n">
        <x:v>3</x:v>
      </x:c>
      <x:c r="U1523" s="6" t="n">
        <x:v>0</x:v>
      </x:c>
      <x:c r="V1523" s="6" t="n">
        <x:v>0</x:v>
      </x:c>
      <x:c r="W1523" s="6" t="n">
        <x:v>0</x:v>
      </x:c>
      <x:c r="X1523" s="6" t="n">
        <x:v>0</x:v>
      </x:c>
      <x:c r="Y1523" s="6" t="n">
        <x:v>0</x:v>
      </x:c>
      <x:c r="Z1523" s="6" t="n">
        <x:v>0</x:v>
      </x:c>
      <x:c r="AA1523" s="6" t="n">
        <x:v>3</x:v>
      </x:c>
      <x:c r="AB1523" s="6" t="n">
        <x:v>11</x:v>
      </x:c>
      <x:c r="AC1523" s="6" t="n">
        <x:v>0</x:v>
      </x:c>
    </x:row>
    <x:row r="1524">
      <x:c r="A1524" s="6" t="n">
        <x:v>1998</x:v>
      </x:c>
      <x:c r="B1524" s="6" t="n">
        <x:v>1976</x:v>
      </x:c>
      <x:c r="C1524" s="6" t="str">
        <x:v>Graduation</x:v>
      </x:c>
      <x:c r="D1524" s="6" t="str">
        <x:v>Single</x:v>
      </x:c>
      <x:c r="E1524" s="6" t="n">
        <x:v>37697</x:v>
      </x:c>
      <x:c r="F1524" s="6" t="n">
        <x:v>1</x:v>
      </x:c>
      <x:c r="G1524" s="6" t="n">
        <x:v>0</x:v>
      </x:c>
      <x:c r="H1524" s="9" t="str">
        <x:v>07-02-2014</x:v>
      </x:c>
      <x:c r="I1524" s="6" t="n">
        <x:v>82</x:v>
      </x:c>
      <x:c r="J1524" s="6" t="n">
        <x:v>34</x:v>
      </x:c>
      <x:c r="K1524" s="6" t="n">
        <x:v>6</x:v>
      </x:c>
      <x:c r="L1524" s="6" t="n">
        <x:v>21</x:v>
      </x:c>
      <x:c r="M1524" s="6" t="n">
        <x:v>11</x:v>
      </x:c>
      <x:c r="N1524" s="6" t="n">
        <x:v>4</x:v>
      </x:c>
      <x:c r="O1524" s="6" t="n">
        <x:v>8</x:v>
      </x:c>
      <x:c r="P1524" s="6" t="n">
        <x:v>1</x:v>
      </x:c>
      <x:c r="Q1524" s="6" t="n">
        <x:v>2</x:v>
      </x:c>
      <x:c r="R1524" s="6" t="n">
        <x:v>1</x:v>
      </x:c>
      <x:c r="S1524" s="6" t="n">
        <x:v>3</x:v>
      </x:c>
      <x:c r="T1524" s="6" t="n">
        <x:v>6</x:v>
      </x:c>
      <x:c r="U1524" s="6" t="n">
        <x:v>0</x:v>
      </x:c>
      <x:c r="V1524" s="6" t="n">
        <x:v>0</x:v>
      </x:c>
      <x:c r="W1524" s="6" t="n">
        <x:v>0</x:v>
      </x:c>
      <x:c r="X1524" s="6" t="n">
        <x:v>0</x:v>
      </x:c>
      <x:c r="Y1524" s="6" t="n">
        <x:v>0</x:v>
      </x:c>
      <x:c r="Z1524" s="6" t="n">
        <x:v>0</x:v>
      </x:c>
      <x:c r="AA1524" s="6" t="n">
        <x:v>3</x:v>
      </x:c>
      <x:c r="AB1524" s="6" t="n">
        <x:v>11</x:v>
      </x:c>
      <x:c r="AC1524" s="6" t="n">
        <x:v>0</x:v>
      </x:c>
    </x:row>
    <x:row r="1525">
      <x:c r="A1525" s="6" t="n">
        <x:v>10795</x:v>
      </x:c>
      <x:c r="B1525" s="6" t="n">
        <x:v>1973</x:v>
      </x:c>
      <x:c r="C1525" s="6" t="str">
        <x:v>PhD</x:v>
      </x:c>
      <x:c r="D1525" s="6" t="str">
        <x:v>Married</x:v>
      </x:c>
      <x:c r="E1525" s="6" t="n">
        <x:v>37401</x:v>
      </x:c>
      <x:c r="F1525" s="6" t="n">
        <x:v>1</x:v>
      </x:c>
      <x:c r="G1525" s="6" t="n">
        <x:v>0</x:v>
      </x:c>
      <x:c r="H1525" s="9" t="str">
        <x:v>06-05-2014</x:v>
      </x:c>
      <x:c r="I1525" s="6" t="n">
        <x:v>14</x:v>
      </x:c>
      <x:c r="J1525" s="6" t="n">
        <x:v>19</x:v>
      </x:c>
      <x:c r="K1525" s="6" t="n">
        <x:v>3</x:v>
      </x:c>
      <x:c r="L1525" s="6" t="n">
        <x:v>19</x:v>
      </x:c>
      <x:c r="M1525" s="6" t="n">
        <x:v>3</x:v>
      </x:c>
      <x:c r="N1525" s="6" t="n">
        <x:v>1</x:v>
      </x:c>
      <x:c r="O1525" s="6" t="n">
        <x:v>3</x:v>
      </x:c>
      <x:c r="P1525" s="6" t="n">
        <x:v>2</x:v>
      </x:c>
      <x:c r="Q1525" s="6" t="n">
        <x:v>2</x:v>
      </x:c>
      <x:c r="R1525" s="6" t="n">
        <x:v>0</x:v>
      </x:c>
      <x:c r="S1525" s="6" t="n">
        <x:v>3</x:v>
      </x:c>
      <x:c r="T1525" s="6" t="n">
        <x:v>7</x:v>
      </x:c>
      <x:c r="U1525" s="6" t="n">
        <x:v>0</x:v>
      </x:c>
      <x:c r="V1525" s="6" t="n">
        <x:v>0</x:v>
      </x:c>
      <x:c r="W1525" s="6" t="n">
        <x:v>0</x:v>
      </x:c>
      <x:c r="X1525" s="6" t="n">
        <x:v>0</x:v>
      </x:c>
      <x:c r="Y1525" s="6" t="n">
        <x:v>0</x:v>
      </x:c>
      <x:c r="Z1525" s="6" t="n">
        <x:v>0</x:v>
      </x:c>
      <x:c r="AA1525" s="6" t="n">
        <x:v>3</x:v>
      </x:c>
      <x:c r="AB1525" s="6" t="n">
        <x:v>11</x:v>
      </x:c>
      <x:c r="AC1525" s="6" t="n">
        <x:v>0</x:v>
      </x:c>
    </x:row>
    <x:row r="1526">
      <x:c r="A1526" s="6" t="n">
        <x:v>11110</x:v>
      </x:c>
      <x:c r="B1526" s="6" t="n">
        <x:v>1973</x:v>
      </x:c>
      <x:c r="C1526" s="6" t="str">
        <x:v>Graduation</x:v>
      </x:c>
      <x:c r="D1526" s="6" t="str">
        <x:v>Single</x:v>
      </x:c>
      <x:c r="E1526" s="6" t="n">
        <x:v>3502</x:v>
      </x:c>
      <x:c r="F1526" s="6" t="n">
        <x:v>1</x:v>
      </x:c>
      <x:c r="G1526" s="6" t="n">
        <x:v>0</x:v>
      </x:c>
      <x:c r="H1526" s="9" t="str">
        <x:v>13-04-2013</x:v>
      </x:c>
      <x:c r="I1526" s="6" t="n">
        <x:v>56</x:v>
      </x:c>
      <x:c r="J1526" s="6" t="n">
        <x:v>2</x:v>
      </x:c>
      <x:c r="K1526" s="6" t="n">
        <x:v>1</x:v>
      </x:c>
      <x:c r="L1526" s="6" t="n">
        <x:v>1</x:v>
      </x:c>
      <x:c r="M1526" s="6" t="n">
        <x:v>0</x:v>
      </x:c>
      <x:c r="N1526" s="6" t="n">
        <x:v>0</x:v>
      </x:c>
      <x:c r="O1526" s="6" t="n">
        <x:v>1</x:v>
      </x:c>
      <x:c r="P1526" s="6" t="n">
        <x:v>0</x:v>
      </x:c>
      <x:c r="Q1526" s="6" t="n">
        <x:v>0</x:v>
      </x:c>
      <x:c r="R1526" s="6" t="n">
        <x:v>0</x:v>
      </x:c>
      <x:c r="S1526" s="6" t="n">
        <x:v>0</x:v>
      </x:c>
      <x:c r="T1526" s="6" t="n">
        <x:v>14</x:v>
      </x:c>
      <x:c r="U1526" s="6" t="n">
        <x:v>0</x:v>
      </x:c>
      <x:c r="V1526" s="6" t="n">
        <x:v>0</x:v>
      </x:c>
      <x:c r="W1526" s="6" t="n">
        <x:v>0</x:v>
      </x:c>
      <x:c r="X1526" s="6" t="n">
        <x:v>0</x:v>
      </x:c>
      <x:c r="Y1526" s="6" t="n">
        <x:v>0</x:v>
      </x:c>
      <x:c r="Z1526" s="6" t="n">
        <x:v>0</x:v>
      </x:c>
      <x:c r="AA1526" s="6" t="n">
        <x:v>3</x:v>
      </x:c>
      <x:c r="AB1526" s="6" t="n">
        <x:v>11</x:v>
      </x:c>
      <x:c r="AC1526" s="6" t="n">
        <x:v>0</x:v>
      </x:c>
    </x:row>
    <x:row r="1527">
      <x:c r="A1527" s="6" t="n">
        <x:v>2408</x:v>
      </x:c>
      <x:c r="B1527" s="6" t="n">
        <x:v>1976</x:v>
      </x:c>
      <x:c r="C1527" s="6" t="str">
        <x:v>Graduation</x:v>
      </x:c>
      <x:c r="D1527" s="6" t="str">
        <x:v>Married</x:v>
      </x:c>
      <x:c r="E1527" s="6" t="n">
        <x:v>58597</x:v>
      </x:c>
      <x:c r="F1527" s="6" t="n">
        <x:v>1</x:v>
      </x:c>
      <x:c r="G1527" s="6" t="n">
        <x:v>1</x:v>
      </x:c>
      <x:c r="H1527" s="9" t="str">
        <x:v>20-11-2012</x:v>
      </x:c>
      <x:c r="I1527" s="6" t="n">
        <x:v>20</x:v>
      </x:c>
      <x:c r="J1527" s="6" t="n">
        <x:v>490</x:v>
      </x:c>
      <x:c r="K1527" s="6" t="n">
        <x:v>0</x:v>
      </x:c>
      <x:c r="L1527" s="6" t="n">
        <x:v>184</x:v>
      </x:c>
      <x:c r="M1527" s="6" t="n">
        <x:v>10</x:v>
      </x:c>
      <x:c r="N1527" s="6" t="n">
        <x:v>28</x:v>
      </x:c>
      <x:c r="O1527" s="6" t="n">
        <x:v>21</x:v>
      </x:c>
      <x:c r="P1527" s="6" t="n">
        <x:v>12</x:v>
      </x:c>
      <x:c r="Q1527" s="6" t="n">
        <x:v>7</x:v>
      </x:c>
      <x:c r="R1527" s="6" t="n">
        <x:v>4</x:v>
      </x:c>
      <x:c r="S1527" s="6" t="n">
        <x:v>9</x:v>
      </x:c>
      <x:c r="T1527" s="6" t="n">
        <x:v>7</x:v>
      </x:c>
      <x:c r="U1527" s="6" t="n">
        <x:v>0</x:v>
      </x:c>
      <x:c r="V1527" s="6" t="n">
        <x:v>0</x:v>
      </x:c>
      <x:c r="W1527" s="6" t="n">
        <x:v>0</x:v>
      </x:c>
      <x:c r="X1527" s="6" t="n">
        <x:v>0</x:v>
      </x:c>
      <x:c r="Y1527" s="6" t="n">
        <x:v>0</x:v>
      </x:c>
      <x:c r="Z1527" s="6" t="n">
        <x:v>0</x:v>
      </x:c>
      <x:c r="AA1527" s="6" t="n">
        <x:v>3</x:v>
      </x:c>
      <x:c r="AB1527" s="6" t="n">
        <x:v>11</x:v>
      </x:c>
      <x:c r="AC1527" s="6" t="n">
        <x:v>0</x:v>
      </x:c>
    </x:row>
    <x:row r="1528">
      <x:c r="A1528" s="6" t="n">
        <x:v>202</x:v>
      </x:c>
      <x:c r="B1528" s="6" t="n">
        <x:v>1948</x:v>
      </x:c>
      <x:c r="C1528" s="6" t="str">
        <x:v>PhD</x:v>
      </x:c>
      <x:c r="D1528" s="6" t="str">
        <x:v>Widow</x:v>
      </x:c>
      <x:c r="E1528" s="6" t="n">
        <x:v>82032</x:v>
      </x:c>
      <x:c r="F1528" s="6" t="n">
        <x:v>0</x:v>
      </x:c>
      <x:c r="G1528" s="6" t="n">
        <x:v>0</x:v>
      </x:c>
      <x:c r="H1528" s="9" t="str">
        <x:v>05-04-2014</x:v>
      </x:c>
      <x:c r="I1528" s="6" t="n">
        <x:v>54</x:v>
      </x:c>
      <x:c r="J1528" s="6" t="n">
        <x:v>332</x:v>
      </x:c>
      <x:c r="K1528" s="6" t="n">
        <x:v>194</x:v>
      </x:c>
      <x:c r="L1528" s="6" t="n">
        <x:v>377</x:v>
      </x:c>
      <x:c r="M1528" s="6" t="n">
        <x:v>149</x:v>
      </x:c>
      <x:c r="N1528" s="6" t="n">
        <x:v>125</x:v>
      </x:c>
      <x:c r="O1528" s="6" t="n">
        <x:v>57</x:v>
      </x:c>
      <x:c r="P1528" s="6" t="n">
        <x:v>0</x:v>
      </x:c>
      <x:c r="Q1528" s="6" t="n">
        <x:v>4</x:v>
      </x:c>
      <x:c r="R1528" s="6" t="n">
        <x:v>6</x:v>
      </x:c>
      <x:c r="S1528" s="6" t="n">
        <x:v>7</x:v>
      </x:c>
      <x:c r="T1528" s="6" t="n">
        <x:v>1</x:v>
      </x:c>
      <x:c r="U1528" s="6" t="n">
        <x:v>0</x:v>
      </x:c>
      <x:c r="V1528" s="6" t="n">
        <x:v>0</x:v>
      </x:c>
      <x:c r="W1528" s="6" t="n">
        <x:v>0</x:v>
      </x:c>
      <x:c r="X1528" s="6" t="n">
        <x:v>0</x:v>
      </x:c>
      <x:c r="Y1528" s="6" t="n">
        <x:v>0</x:v>
      </x:c>
      <x:c r="Z1528" s="6" t="n">
        <x:v>0</x:v>
      </x:c>
      <x:c r="AA1528" s="6" t="n">
        <x:v>3</x:v>
      </x:c>
      <x:c r="AB1528" s="6" t="n">
        <x:v>11</x:v>
      </x:c>
      <x:c r="AC1528" s="6" t="n">
        <x:v>0</x:v>
      </x:c>
    </x:row>
    <x:row r="1529">
      <x:c r="A1529" s="6" t="n">
        <x:v>7998</x:v>
      </x:c>
      <x:c r="B1529" s="6" t="n">
        <x:v>1958</x:v>
      </x:c>
      <x:c r="C1529" s="6" t="str">
        <x:v>Graduation</x:v>
      </x:c>
      <x:c r="D1529" s="6" t="str">
        <x:v>Together</x:v>
      </x:c>
      <x:c r="E1529" s="6" t="n">
        <x:v>28087</x:v>
      </x:c>
      <x:c r="F1529" s="6" t="n">
        <x:v>1</x:v>
      </x:c>
      <x:c r="G1529" s="6" t="n">
        <x:v>1</x:v>
      </x:c>
      <x:c r="H1529" s="9" t="str">
        <x:v>11-12-2012</x:v>
      </x:c>
      <x:c r="I1529" s="6" t="n">
        <x:v>77</x:v>
      </x:c>
      <x:c r="J1529" s="6" t="n">
        <x:v>53</x:v>
      </x:c>
      <x:c r="K1529" s="6" t="n">
        <x:v>8</x:v>
      </x:c>
      <x:c r="L1529" s="6" t="n">
        <x:v>17</x:v>
      </x:c>
      <x:c r="M1529" s="6" t="n">
        <x:v>13</x:v>
      </x:c>
      <x:c r="N1529" s="6" t="n">
        <x:v>0</x:v>
      </x:c>
      <x:c r="O1529" s="6" t="n">
        <x:v>21</x:v>
      </x:c>
      <x:c r="P1529" s="6" t="n">
        <x:v>3</x:v>
      </x:c>
      <x:c r="Q1529" s="6" t="n">
        <x:v>2</x:v>
      </x:c>
      <x:c r="R1529" s="6" t="n">
        <x:v>2</x:v>
      </x:c>
      <x:c r="S1529" s="6" t="n">
        <x:v>2</x:v>
      </x:c>
      <x:c r="T1529" s="6" t="n">
        <x:v>7</x:v>
      </x:c>
      <x:c r="U1529" s="6" t="n">
        <x:v>0</x:v>
      </x:c>
      <x:c r="V1529" s="6" t="n">
        <x:v>0</x:v>
      </x:c>
      <x:c r="W1529" s="6" t="n">
        <x:v>0</x:v>
      </x:c>
      <x:c r="X1529" s="6" t="n">
        <x:v>0</x:v>
      </x:c>
      <x:c r="Y1529" s="6" t="n">
        <x:v>0</x:v>
      </x:c>
      <x:c r="Z1529" s="6" t="n">
        <x:v>0</x:v>
      </x:c>
      <x:c r="AA1529" s="6" t="n">
        <x:v>3</x:v>
      </x:c>
      <x:c r="AB1529" s="6" t="n">
        <x:v>11</x:v>
      </x:c>
      <x:c r="AC1529" s="6" t="n">
        <x:v>0</x:v>
      </x:c>
    </x:row>
    <x:row r="1530">
      <x:c r="A1530" s="6" t="n">
        <x:v>830</x:v>
      </x:c>
      <x:c r="B1530" s="6" t="n">
        <x:v>1987</x:v>
      </x:c>
      <x:c r="C1530" s="6" t="str">
        <x:v>PhD</x:v>
      </x:c>
      <x:c r="D1530" s="6" t="str">
        <x:v>Single</x:v>
      </x:c>
      <x:c r="E1530" s="6" t="n">
        <x:v>74004</x:v>
      </x:c>
      <x:c r="F1530" s="6" t="n">
        <x:v>0</x:v>
      </x:c>
      <x:c r="G1530" s="6" t="n">
        <x:v>0</x:v>
      </x:c>
      <x:c r="H1530" s="9" t="str">
        <x:v>24-02-2014</x:v>
      </x:c>
      <x:c r="I1530" s="6" t="n">
        <x:v>5</x:v>
      </x:c>
      <x:c r="J1530" s="6" t="n">
        <x:v>784</x:v>
      </x:c>
      <x:c r="K1530" s="6" t="n">
        <x:v>48</x:v>
      </x:c>
      <x:c r="L1530" s="6" t="n">
        <x:v>560</x:v>
      </x:c>
      <x:c r="M1530" s="6" t="n">
        <x:v>42</x:v>
      </x:c>
      <x:c r="N1530" s="6" t="n">
        <x:v>176</x:v>
      </x:c>
      <x:c r="O1530" s="6" t="n">
        <x:v>48</x:v>
      </x:c>
      <x:c r="P1530" s="6" t="n">
        <x:v>1</x:v>
      </x:c>
      <x:c r="Q1530" s="6" t="n">
        <x:v>4</x:v>
      </x:c>
      <x:c r="R1530" s="6" t="n">
        <x:v>6</x:v>
      </x:c>
      <x:c r="S1530" s="6" t="n">
        <x:v>4</x:v>
      </x:c>
      <x:c r="T1530" s="6" t="n">
        <x:v>3</x:v>
      </x:c>
      <x:c r="U1530" s="6" t="n">
        <x:v>0</x:v>
      </x:c>
      <x:c r="V1530" s="6" t="n">
        <x:v>0</x:v>
      </x:c>
      <x:c r="W1530" s="6" t="n">
        <x:v>1</x:v>
      </x:c>
      <x:c r="X1530" s="6" t="n">
        <x:v>1</x:v>
      </x:c>
      <x:c r="Y1530" s="6" t="n">
        <x:v>0</x:v>
      </x:c>
      <x:c r="Z1530" s="6" t="n">
        <x:v>0</x:v>
      </x:c>
      <x:c r="AA1530" s="6" t="n">
        <x:v>3</x:v>
      </x:c>
      <x:c r="AB1530" s="6" t="n">
        <x:v>11</x:v>
      </x:c>
      <x:c r="AC1530" s="6" t="n">
        <x:v>1</x:v>
      </x:c>
    </x:row>
    <x:row r="1531">
      <x:c r="A1531" s="6" t="n">
        <x:v>3536</x:v>
      </x:c>
      <x:c r="B1531" s="6" t="n">
        <x:v>1960</x:v>
      </x:c>
      <x:c r="C1531" s="6" t="str">
        <x:v>Graduation</x:v>
      </x:c>
      <x:c r="D1531" s="6" t="str">
        <x:v>Together</x:v>
      </x:c>
      <x:c r="E1531" s="6" t="n">
        <x:v>19740</x:v>
      </x:c>
      <x:c r="F1531" s="6" t="n">
        <x:v>0</x:v>
      </x:c>
      <x:c r="G1531" s="6" t="n">
        <x:v>1</x:v>
      </x:c>
      <x:c r="H1531" s="9" t="str">
        <x:v>24-03-2013</x:v>
      </x:c>
      <x:c r="I1531" s="6" t="n">
        <x:v>65</x:v>
      </x:c>
      <x:c r="J1531" s="6" t="n">
        <x:v>7</x:v>
      </x:c>
      <x:c r="K1531" s="6" t="n">
        <x:v>11</x:v>
      </x:c>
      <x:c r="L1531" s="6" t="n">
        <x:v>3</x:v>
      </x:c>
      <x:c r="M1531" s="6" t="n">
        <x:v>10</x:v>
      </x:c>
      <x:c r="N1531" s="6" t="n">
        <x:v>4</x:v>
      </x:c>
      <x:c r="O1531" s="6" t="n">
        <x:v>20</x:v>
      </x:c>
      <x:c r="P1531" s="6" t="n">
        <x:v>2</x:v>
      </x:c>
      <x:c r="Q1531" s="6" t="n">
        <x:v>1</x:v>
      </x:c>
      <x:c r="R1531" s="6" t="n">
        <x:v>1</x:v>
      </x:c>
      <x:c r="S1531" s="6" t="n">
        <x:v>3</x:v>
      </x:c>
      <x:c r="T1531" s="6" t="n">
        <x:v>5</x:v>
      </x:c>
      <x:c r="U1531" s="6" t="n">
        <x:v>0</x:v>
      </x:c>
      <x:c r="V1531" s="6" t="n">
        <x:v>0</x:v>
      </x:c>
      <x:c r="W1531" s="6" t="n">
        <x:v>0</x:v>
      </x:c>
      <x:c r="X1531" s="6" t="n">
        <x:v>0</x:v>
      </x:c>
      <x:c r="Y1531" s="6" t="n">
        <x:v>0</x:v>
      </x:c>
      <x:c r="Z1531" s="6" t="n">
        <x:v>0</x:v>
      </x:c>
      <x:c r="AA1531" s="6" t="n">
        <x:v>3</x:v>
      </x:c>
      <x:c r="AB1531" s="6" t="n">
        <x:v>11</x:v>
      </x:c>
      <x:c r="AC1531" s="6" t="n">
        <x:v>0</x:v>
      </x:c>
    </x:row>
    <x:row r="1532">
      <x:c r="A1532" s="6" t="n">
        <x:v>6050</x:v>
      </x:c>
      <x:c r="B1532" s="6" t="n">
        <x:v>1975</x:v>
      </x:c>
      <x:c r="C1532" s="6" t="str">
        <x:v>2n Cycle</x:v>
      </x:c>
      <x:c r="D1532" s="6" t="str">
        <x:v>Married</x:v>
      </x:c>
      <x:c r="E1532" s="6" t="n">
        <x:v>57036</x:v>
      </x:c>
      <x:c r="F1532" s="6" t="n">
        <x:v>0</x:v>
      </x:c>
      <x:c r="G1532" s="6" t="n">
        <x:v>1</x:v>
      </x:c>
      <x:c r="H1532" s="9" t="str">
        <x:v>11-12-2012</x:v>
      </x:c>
      <x:c r="I1532" s="6" t="n">
        <x:v>33</x:v>
      </x:c>
      <x:c r="J1532" s="6" t="n">
        <x:v>1171</x:v>
      </x:c>
      <x:c r="K1532" s="6" t="n">
        <x:v>43</x:v>
      </x:c>
      <x:c r="L1532" s="6" t="n">
        <x:v>219</x:v>
      </x:c>
      <x:c r="M1532" s="6" t="n">
        <x:v>19</x:v>
      </x:c>
      <x:c r="N1532" s="6" t="n">
        <x:v>14</x:v>
      </x:c>
      <x:c r="O1532" s="6" t="n">
        <x:v>47</x:v>
      </x:c>
      <x:c r="P1532" s="6" t="n">
        <x:v>4</x:v>
      </x:c>
      <x:c r="Q1532" s="6" t="n">
        <x:v>6</x:v>
      </x:c>
      <x:c r="R1532" s="6" t="n">
        <x:v>3</x:v>
      </x:c>
      <x:c r="S1532" s="6" t="n">
        <x:v>13</x:v>
      </x:c>
      <x:c r="T1532" s="6" t="n">
        <x:v>9</x:v>
      </x:c>
      <x:c r="U1532" s="6" t="n">
        <x:v>1</x:v>
      </x:c>
      <x:c r="V1532" s="6" t="n">
        <x:v>0</x:v>
      </x:c>
      <x:c r="W1532" s="6" t="n">
        <x:v>0</x:v>
      </x:c>
      <x:c r="X1532" s="6" t="n">
        <x:v>0</x:v>
      </x:c>
      <x:c r="Y1532" s="6" t="n">
        <x:v>0</x:v>
      </x:c>
      <x:c r="Z1532" s="6" t="n">
        <x:v>0</x:v>
      </x:c>
      <x:c r="AA1532" s="6" t="n">
        <x:v>3</x:v>
      </x:c>
      <x:c r="AB1532" s="6" t="n">
        <x:v>11</x:v>
      </x:c>
      <x:c r="AC1532" s="6" t="n">
        <x:v>0</x:v>
      </x:c>
    </x:row>
    <x:row r="1533">
      <x:c r="A1533" s="6" t="n">
        <x:v>125</x:v>
      </x:c>
      <x:c r="B1533" s="6" t="n">
        <x:v>1958</x:v>
      </x:c>
      <x:c r="C1533" s="6" t="str">
        <x:v>2n Cycle</x:v>
      </x:c>
      <x:c r="D1533" s="6" t="str">
        <x:v>Together</x:v>
      </x:c>
      <x:c r="E1533" s="6" t="n">
        <x:v>53083</x:v>
      </x:c>
      <x:c r="F1533" s="6" t="n">
        <x:v>1</x:v>
      </x:c>
      <x:c r="G1533" s="6" t="n">
        <x:v>1</x:v>
      </x:c>
      <x:c r="H1533" s="9" t="str">
        <x:v>15-05-2013</x:v>
      </x:c>
      <x:c r="I1533" s="6" t="n">
        <x:v>65</x:v>
      </x:c>
      <x:c r="J1533" s="6" t="n">
        <x:v>215</x:v>
      </x:c>
      <x:c r="K1533" s="6" t="n">
        <x:v>7</x:v>
      </x:c>
      <x:c r="L1533" s="6" t="n">
        <x:v>33</x:v>
      </x:c>
      <x:c r="M1533" s="6" t="n">
        <x:v>3</x:v>
      </x:c>
      <x:c r="N1533" s="6" t="n">
        <x:v>0</x:v>
      </x:c>
      <x:c r="O1533" s="6" t="n">
        <x:v>13</x:v>
      </x:c>
      <x:c r="P1533" s="6" t="n">
        <x:v>6</x:v>
      </x:c>
      <x:c r="Q1533" s="6" t="n">
        <x:v>5</x:v>
      </x:c>
      <x:c r="R1533" s="6" t="n">
        <x:v>1</x:v>
      </x:c>
      <x:c r="S1533" s="6" t="n">
        <x:v>5</x:v>
      </x:c>
      <x:c r="T1533" s="6" t="n">
        <x:v>7</x:v>
      </x:c>
      <x:c r="U1533" s="6" t="n">
        <x:v>0</x:v>
      </x:c>
      <x:c r="V1533" s="6" t="n">
        <x:v>1</x:v>
      </x:c>
      <x:c r="W1533" s="6" t="n">
        <x:v>0</x:v>
      </x:c>
      <x:c r="X1533" s="6" t="n">
        <x:v>0</x:v>
      </x:c>
      <x:c r="Y1533" s="6" t="n">
        <x:v>0</x:v>
      </x:c>
      <x:c r="Z1533" s="6" t="n">
        <x:v>0</x:v>
      </x:c>
      <x:c r="AA1533" s="6" t="n">
        <x:v>3</x:v>
      </x:c>
      <x:c r="AB1533" s="6" t="n">
        <x:v>11</x:v>
      </x:c>
      <x:c r="AC1533" s="6" t="n">
        <x:v>0</x:v>
      </x:c>
    </x:row>
    <x:row r="1534">
      <x:c r="A1534" s="6" t="n">
        <x:v>3463</x:v>
      </x:c>
      <x:c r="B1534" s="6" t="n">
        <x:v>1975</x:v>
      </x:c>
      <x:c r="C1534" s="6" t="str">
        <x:v>PhD</x:v>
      </x:c>
      <x:c r="D1534" s="6" t="str">
        <x:v>Married</x:v>
      </x:c>
      <x:c r="E1534" s="6" t="n">
        <x:v>69283</x:v>
      </x:c>
      <x:c r="F1534" s="6" t="n">
        <x:v>0</x:v>
      </x:c>
      <x:c r="G1534" s="6" t="n">
        <x:v>1</x:v>
      </x:c>
      <x:c r="H1534" s="9" t="str">
        <x:v>14-06-2014</x:v>
      </x:c>
      <x:c r="I1534" s="6" t="n">
        <x:v>41</x:v>
      </x:c>
      <x:c r="J1534" s="6" t="n">
        <x:v>674</x:v>
      </x:c>
      <x:c r="K1534" s="6" t="n">
        <x:v>62</x:v>
      </x:c>
      <x:c r="L1534" s="6" t="n">
        <x:v>134</x:v>
      </x:c>
      <x:c r="M1534" s="6" t="n">
        <x:v>0</x:v>
      </x:c>
      <x:c r="N1534" s="6" t="n">
        <x:v>26</x:v>
      </x:c>
      <x:c r="O1534" s="6" t="n">
        <x:v>8</x:v>
      </x:c>
      <x:c r="P1534" s="6" t="n">
        <x:v>4</x:v>
      </x:c>
      <x:c r="Q1534" s="6" t="n">
        <x:v>7</x:v>
      </x:c>
      <x:c r="R1534" s="6" t="n">
        <x:v>3</x:v>
      </x:c>
      <x:c r="S1534" s="6" t="n">
        <x:v>13</x:v>
      </x:c>
      <x:c r="T1534" s="6" t="n">
        <x:v>5</x:v>
      </x:c>
      <x:c r="U1534" s="6" t="n">
        <x:v>0</x:v>
      </x:c>
      <x:c r="V1534" s="6" t="n">
        <x:v>0</x:v>
      </x:c>
      <x:c r="W1534" s="6" t="n">
        <x:v>0</x:v>
      </x:c>
      <x:c r="X1534" s="6" t="n">
        <x:v>0</x:v>
      </x:c>
      <x:c r="Y1534" s="6" t="n">
        <x:v>0</x:v>
      </x:c>
      <x:c r="Z1534" s="6" t="n">
        <x:v>0</x:v>
      </x:c>
      <x:c r="AA1534" s="6" t="n">
        <x:v>3</x:v>
      </x:c>
      <x:c r="AB1534" s="6" t="n">
        <x:v>11</x:v>
      </x:c>
      <x:c r="AC1534" s="6" t="n">
        <x:v>0</x:v>
      </x:c>
    </x:row>
    <x:row r="1535">
      <x:c r="A1535" s="6" t="n">
        <x:v>2804</x:v>
      </x:c>
      <x:c r="B1535" s="6" t="n">
        <x:v>1975</x:v>
      </x:c>
      <x:c r="C1535" s="6" t="str">
        <x:v>Master</x:v>
      </x:c>
      <x:c r="D1535" s="6" t="str">
        <x:v>Single</x:v>
      </x:c>
      <x:c r="E1535" s="6" t="n">
        <x:v>46098</x:v>
      </x:c>
      <x:c r="F1535" s="6" t="n">
        <x:v>1</x:v>
      </x:c>
      <x:c r="G1535" s="6" t="n">
        <x:v>1</x:v>
      </x:c>
      <x:c r="H1535" s="9" t="str">
        <x:v>18-08-2012</x:v>
      </x:c>
      <x:c r="I1535" s="6" t="n">
        <x:v>86</x:v>
      </x:c>
      <x:c r="J1535" s="6" t="n">
        <x:v>57</x:v>
      </x:c>
      <x:c r="K1535" s="6" t="n">
        <x:v>0</x:v>
      </x:c>
      <x:c r="L1535" s="6" t="n">
        <x:v>27</x:v>
      </x:c>
      <x:c r="M1535" s="6" t="n">
        <x:v>0</x:v>
      </x:c>
      <x:c r="N1535" s="6" t="n">
        <x:v>0</x:v>
      </x:c>
      <x:c r="O1535" s="6" t="n">
        <x:v>36</x:v>
      </x:c>
      <x:c r="P1535" s="6" t="n">
        <x:v>4</x:v>
      </x:c>
      <x:c r="Q1535" s="6" t="n">
        <x:v>3</x:v>
      </x:c>
      <x:c r="R1535" s="6" t="n">
        <x:v>2</x:v>
      </x:c>
      <x:c r="S1535" s="6" t="n">
        <x:v>2</x:v>
      </x:c>
      <x:c r="T1535" s="6" t="n">
        <x:v>8</x:v>
      </x:c>
      <x:c r="U1535" s="6" t="n">
        <x:v>0</x:v>
      </x:c>
      <x:c r="V1535" s="6" t="n">
        <x:v>0</x:v>
      </x:c>
      <x:c r="W1535" s="6" t="n">
        <x:v>0</x:v>
      </x:c>
      <x:c r="X1535" s="6" t="n">
        <x:v>0</x:v>
      </x:c>
      <x:c r="Y1535" s="6" t="n">
        <x:v>0</x:v>
      </x:c>
      <x:c r="Z1535" s="6" t="n">
        <x:v>0</x:v>
      </x:c>
      <x:c r="AA1535" s="6" t="n">
        <x:v>3</x:v>
      </x:c>
      <x:c r="AB1535" s="6" t="n">
        <x:v>11</x:v>
      </x:c>
      <x:c r="AC1535" s="6" t="n">
        <x:v>1</x:v>
      </x:c>
    </x:row>
    <x:row r="1536">
      <x:c r="A1536" s="6" t="n">
        <x:v>3745</x:v>
      </x:c>
      <x:c r="B1536" s="6" t="n">
        <x:v>1988</x:v>
      </x:c>
      <x:c r="C1536" s="6" t="str">
        <x:v>2n Cycle</x:v>
      </x:c>
      <x:c r="D1536" s="6" t="str">
        <x:v>Married</x:v>
      </x:c>
      <x:c r="E1536" s="6" t="n">
        <x:v>23331</x:v>
      </x:c>
      <x:c r="F1536" s="6" t="n">
        <x:v>1</x:v>
      </x:c>
      <x:c r="G1536" s="6" t="n">
        <x:v>0</x:v>
      </x:c>
      <x:c r="H1536" s="9" t="str">
        <x:v>04-09-2012</x:v>
      </x:c>
      <x:c r="I1536" s="6" t="n">
        <x:v>92</x:v>
      </x:c>
      <x:c r="J1536" s="6" t="n">
        <x:v>5</x:v>
      </x:c>
      <x:c r="K1536" s="6" t="n">
        <x:v>36</x:v>
      </x:c>
      <x:c r="L1536" s="6" t="n">
        <x:v>7</x:v>
      </x:c>
      <x:c r="M1536" s="6" t="n">
        <x:v>0</x:v>
      </x:c>
      <x:c r="N1536" s="6" t="n">
        <x:v>10</x:v>
      </x:c>
      <x:c r="O1536" s="6" t="n">
        <x:v>45</x:v>
      </x:c>
      <x:c r="P1536" s="6" t="n">
        <x:v>2</x:v>
      </x:c>
      <x:c r="Q1536" s="6" t="n">
        <x:v>3</x:v>
      </x:c>
      <x:c r="R1536" s="6" t="n">
        <x:v>0</x:v>
      </x:c>
      <x:c r="S1536" s="6" t="n">
        <x:v>3</x:v>
      </x:c>
      <x:c r="T1536" s="6" t="n">
        <x:v>8</x:v>
      </x:c>
      <x:c r="U1536" s="6" t="n">
        <x:v>0</x:v>
      </x:c>
      <x:c r="V1536" s="6" t="n">
        <x:v>0</x:v>
      </x:c>
      <x:c r="W1536" s="6" t="n">
        <x:v>0</x:v>
      </x:c>
      <x:c r="X1536" s="6" t="n">
        <x:v>0</x:v>
      </x:c>
      <x:c r="Y1536" s="6" t="n">
        <x:v>0</x:v>
      </x:c>
      <x:c r="Z1536" s="6" t="n">
        <x:v>0</x:v>
      </x:c>
      <x:c r="AA1536" s="6" t="n">
        <x:v>3</x:v>
      </x:c>
      <x:c r="AB1536" s="6" t="n">
        <x:v>11</x:v>
      </x:c>
      <x:c r="AC1536" s="6" t="n">
        <x:v>0</x:v>
      </x:c>
    </x:row>
    <x:row r="1537">
      <x:c r="A1537" s="6" t="n">
        <x:v>9771</x:v>
      </x:c>
      <x:c r="B1537" s="6" t="n">
        <x:v>1988</x:v>
      </x:c>
      <x:c r="C1537" s="6" t="str">
        <x:v>2n Cycle</x:v>
      </x:c>
      <x:c r="D1537" s="6" t="str">
        <x:v>Single</x:v>
      </x:c>
      <x:c r="E1537" s="6" t="n">
        <x:v>23331</x:v>
      </x:c>
      <x:c r="F1537" s="6" t="n">
        <x:v>1</x:v>
      </x:c>
      <x:c r="G1537" s="6" t="n">
        <x:v>0</x:v>
      </x:c>
      <x:c r="H1537" s="9" t="str">
        <x:v>05-10-2012</x:v>
      </x:c>
      <x:c r="I1537" s="6" t="n">
        <x:v>97</x:v>
      </x:c>
      <x:c r="J1537" s="6" t="n">
        <x:v>104</x:v>
      </x:c>
      <x:c r="K1537" s="6" t="n">
        <x:v>20</x:v>
      </x:c>
      <x:c r="L1537" s="6" t="n">
        <x:v>101</x:v>
      </x:c>
      <x:c r="M1537" s="6" t="n">
        <x:v>24</x:v>
      </x:c>
      <x:c r="N1537" s="6" t="n">
        <x:v>15</x:v>
      </x:c>
      <x:c r="O1537" s="6" t="n">
        <x:v>5</x:v>
      </x:c>
      <x:c r="P1537" s="6" t="n">
        <x:v>6</x:v>
      </x:c>
      <x:c r="Q1537" s="6" t="n">
        <x:v>5</x:v>
      </x:c>
      <x:c r="R1537" s="6" t="n">
        <x:v>1</x:v>
      </x:c>
      <x:c r="S1537" s="6" t="n">
        <x:v>5</x:v>
      </x:c>
      <x:c r="T1537" s="6" t="n">
        <x:v>9</x:v>
      </x:c>
      <x:c r="U1537" s="6" t="n">
        <x:v>0</x:v>
      </x:c>
      <x:c r="V1537" s="6" t="n">
        <x:v>0</x:v>
      </x:c>
      <x:c r="W1537" s="6" t="n">
        <x:v>0</x:v>
      </x:c>
      <x:c r="X1537" s="6" t="n">
        <x:v>0</x:v>
      </x:c>
      <x:c r="Y1537" s="6" t="n">
        <x:v>0</x:v>
      </x:c>
      <x:c r="Z1537" s="6" t="n">
        <x:v>0</x:v>
      </x:c>
      <x:c r="AA1537" s="6" t="n">
        <x:v>3</x:v>
      </x:c>
      <x:c r="AB1537" s="6" t="n">
        <x:v>11</x:v>
      </x:c>
      <x:c r="AC1537" s="6" t="n">
        <x:v>0</x:v>
      </x:c>
    </x:row>
    <x:row r="1538">
      <x:c r="A1538" s="6" t="n">
        <x:v>451</x:v>
      </x:c>
      <x:c r="B1538" s="6" t="n">
        <x:v>1989</x:v>
      </x:c>
      <x:c r="C1538" s="6" t="str">
        <x:v>Graduation</x:v>
      </x:c>
      <x:c r="D1538" s="6" t="str">
        <x:v>Single</x:v>
      </x:c>
      <x:c r="E1538" s="6" t="n">
        <x:v>9255</x:v>
      </x:c>
      <x:c r="F1538" s="6" t="n">
        <x:v>1</x:v>
      </x:c>
      <x:c r="G1538" s="6" t="n">
        <x:v>0</x:v>
      </x:c>
      <x:c r="H1538" s="9" t="str">
        <x:v>20-12-2013</x:v>
      </x:c>
      <x:c r="I1538" s="6" t="n">
        <x:v>91</x:v>
      </x:c>
      <x:c r="J1538" s="6" t="n">
        <x:v>9</x:v>
      </x:c>
      <x:c r="K1538" s="6" t="n">
        <x:v>0</x:v>
      </x:c>
      <x:c r="L1538" s="6" t="n">
        <x:v>7</x:v>
      </x:c>
      <x:c r="M1538" s="6" t="n">
        <x:v>2</x:v>
      </x:c>
      <x:c r="N1538" s="6" t="n">
        <x:v>0</x:v>
      </x:c>
      <x:c r="O1538" s="6" t="n">
        <x:v>4</x:v>
      </x:c>
      <x:c r="P1538" s="6" t="n">
        <x:v>1</x:v>
      </x:c>
      <x:c r="Q1538" s="6" t="n">
        <x:v>1</x:v>
      </x:c>
      <x:c r="R1538" s="6" t="n">
        <x:v>1</x:v>
      </x:c>
      <x:c r="S1538" s="6" t="n">
        <x:v>2</x:v>
      </x:c>
      <x:c r="T1538" s="6" t="n">
        <x:v>8</x:v>
      </x:c>
      <x:c r="U1538" s="6" t="n">
        <x:v>0</x:v>
      </x:c>
      <x:c r="V1538" s="6" t="n">
        <x:v>0</x:v>
      </x:c>
      <x:c r="W1538" s="6" t="n">
        <x:v>0</x:v>
      </x:c>
      <x:c r="X1538" s="6" t="n">
        <x:v>0</x:v>
      </x:c>
      <x:c r="Y1538" s="6" t="n">
        <x:v>0</x:v>
      </x:c>
      <x:c r="Z1538" s="6" t="n">
        <x:v>0</x:v>
      </x:c>
      <x:c r="AA1538" s="6" t="n">
        <x:v>3</x:v>
      </x:c>
      <x:c r="AB1538" s="6" t="n">
        <x:v>11</x:v>
      </x:c>
      <x:c r="AC1538" s="6" t="n">
        <x:v>0</x:v>
      </x:c>
    </x:row>
    <x:row r="1539">
      <x:c r="A1539" s="6" t="n">
        <x:v>10530</x:v>
      </x:c>
      <x:c r="B1539" s="6" t="n">
        <x:v>1959</x:v>
      </x:c>
      <x:c r="C1539" s="6" t="str">
        <x:v>PhD</x:v>
      </x:c>
      <x:c r="D1539" s="6" t="str">
        <x:v>Widow</x:v>
      </x:c>
      <x:c r="E1539" s="6" t="n">
        <x:v>67786</x:v>
      </x:c>
      <x:c r="F1539" s="6" t="n">
        <x:v>0</x:v>
      </x:c>
      <x:c r="G1539" s="6" t="n">
        <x:v>0</x:v>
      </x:c>
      <x:c r="H1539" s="9" t="str">
        <x:v>07-12-2013</x:v>
      </x:c>
      <x:c r="I1539" s="6" t="n">
        <x:v>0</x:v>
      </x:c>
      <x:c r="J1539" s="6" t="n">
        <x:v>431</x:v>
      </x:c>
      <x:c r="K1539" s="6" t="n">
        <x:v>82</x:v>
      </x:c>
      <x:c r="L1539" s="6" t="n">
        <x:v>441</x:v>
      </x:c>
      <x:c r="M1539" s="6" t="n">
        <x:v>80</x:v>
      </x:c>
      <x:c r="N1539" s="6" t="n">
        <x:v>20</x:v>
      </x:c>
      <x:c r="O1539" s="6" t="n">
        <x:v>102</x:v>
      </x:c>
      <x:c r="P1539" s="6" t="n">
        <x:v>1</x:v>
      </x:c>
      <x:c r="Q1539" s="6" t="n">
        <x:v>3</x:v>
      </x:c>
      <x:c r="R1539" s="6" t="n">
        <x:v>6</x:v>
      </x:c>
      <x:c r="S1539" s="6" t="n">
        <x:v>6</x:v>
      </x:c>
      <x:c r="T1539" s="6" t="n">
        <x:v>1</x:v>
      </x:c>
      <x:c r="U1539" s="6" t="n">
        <x:v>0</x:v>
      </x:c>
      <x:c r="V1539" s="6" t="n">
        <x:v>0</x:v>
      </x:c>
      <x:c r="W1539" s="6" t="n">
        <x:v>0</x:v>
      </x:c>
      <x:c r="X1539" s="6" t="n">
        <x:v>0</x:v>
      </x:c>
      <x:c r="Y1539" s="6" t="n">
        <x:v>0</x:v>
      </x:c>
      <x:c r="Z1539" s="6" t="n">
        <x:v>0</x:v>
      </x:c>
      <x:c r="AA1539" s="6" t="n">
        <x:v>3</x:v>
      </x:c>
      <x:c r="AB1539" s="6" t="n">
        <x:v>11</x:v>
      </x:c>
      <x:c r="AC1539" s="6" t="n">
        <x:v>1</x:v>
      </x:c>
    </x:row>
    <x:row r="1540">
      <x:c r="A1540" s="6" t="n">
        <x:v>1079</x:v>
      </x:c>
      <x:c r="B1540" s="6" t="n">
        <x:v>1971</x:v>
      </x:c>
      <x:c r="C1540" s="6" t="str">
        <x:v>PhD</x:v>
      </x:c>
      <x:c r="D1540" s="6" t="str">
        <x:v>Married</x:v>
      </x:c>
      <x:c r="E1540" s="6" t="n">
        <x:v>71969</x:v>
      </x:c>
      <x:c r="F1540" s="6" t="n">
        <x:v>0</x:v>
      </x:c>
      <x:c r="G1540" s="6" t="n">
        <x:v>1</x:v>
      </x:c>
      <x:c r="H1540" s="9" t="str">
        <x:v>16-10-2012</x:v>
      </x:c>
      <x:c r="I1540" s="6" t="n">
        <x:v>59</x:v>
      </x:c>
      <x:c r="J1540" s="6" t="n">
        <x:v>1000</x:v>
      </x:c>
      <x:c r="K1540" s="6" t="n">
        <x:v>0</x:v>
      </x:c>
      <x:c r="L1540" s="6" t="n">
        <x:v>76</x:v>
      </x:c>
      <x:c r="M1540" s="6" t="n">
        <x:v>0</x:v>
      </x:c>
      <x:c r="N1540" s="6" t="n">
        <x:v>0</x:v>
      </x:c>
      <x:c r="O1540" s="6" t="n">
        <x:v>10</x:v>
      </x:c>
      <x:c r="P1540" s="6" t="n">
        <x:v>3</x:v>
      </x:c>
      <x:c r="Q1540" s="6" t="n">
        <x:v>3</x:v>
      </x:c>
      <x:c r="R1540" s="6" t="n">
        <x:v>4</x:v>
      </x:c>
      <x:c r="S1540" s="6" t="n">
        <x:v>9</x:v>
      </x:c>
      <x:c r="T1540" s="6" t="n">
        <x:v>8</x:v>
      </x:c>
      <x:c r="U1540" s="6" t="n">
        <x:v>0</x:v>
      </x:c>
      <x:c r="V1540" s="6" t="n">
        <x:v>1</x:v>
      </x:c>
      <x:c r="W1540" s="6" t="n">
        <x:v>0</x:v>
      </x:c>
      <x:c r="X1540" s="6" t="n">
        <x:v>0</x:v>
      </x:c>
      <x:c r="Y1540" s="6" t="n">
        <x:v>0</x:v>
      </x:c>
      <x:c r="Z1540" s="6" t="n">
        <x:v>0</x:v>
      </x:c>
      <x:c r="AA1540" s="6" t="n">
        <x:v>3</x:v>
      </x:c>
      <x:c r="AB1540" s="6" t="n">
        <x:v>11</x:v>
      </x:c>
      <x:c r="AC1540" s="6" t="n">
        <x:v>0</x:v>
      </x:c>
    </x:row>
    <x:row r="1541">
      <x:c r="A1541" s="6" t="n">
        <x:v>8920</x:v>
      </x:c>
      <x:c r="B1541" s="6" t="n">
        <x:v>1967</x:v>
      </x:c>
      <x:c r="C1541" s="6" t="str">
        <x:v>Master</x:v>
      </x:c>
      <x:c r="D1541" s="6" t="str">
        <x:v>Single</x:v>
      </x:c>
      <x:c r="E1541" s="6" t="n">
        <x:v>59235</x:v>
      </x:c>
      <x:c r="F1541" s="6" t="n">
        <x:v>1</x:v>
      </x:c>
      <x:c r="G1541" s="6" t="n">
        <x:v>0</x:v>
      </x:c>
      <x:c r="H1541" s="9" t="str">
        <x:v>12-01-2013</x:v>
      </x:c>
      <x:c r="I1541" s="6" t="n">
        <x:v>4</x:v>
      </x:c>
      <x:c r="J1541" s="6" t="n">
        <x:v>448</x:v>
      </x:c>
      <x:c r="K1541" s="6" t="n">
        <x:v>40</x:v>
      </x:c>
      <x:c r="L1541" s="6" t="n">
        <x:v>469</x:v>
      </x:c>
      <x:c r="M1541" s="6" t="n">
        <x:v>80</x:v>
      </x:c>
      <x:c r="N1541" s="6" t="n">
        <x:v>0</x:v>
      </x:c>
      <x:c r="O1541" s="6" t="n">
        <x:v>91</x:v>
      </x:c>
      <x:c r="P1541" s="6" t="n">
        <x:v>3</x:v>
      </x:c>
      <x:c r="Q1541" s="6" t="n">
        <x:v>11</x:v>
      </x:c>
      <x:c r="R1541" s="6" t="n">
        <x:v>2</x:v>
      </x:c>
      <x:c r="S1541" s="6" t="n">
        <x:v>12</x:v>
      </x:c>
      <x:c r="T1541" s="6" t="n">
        <x:v>7</x:v>
      </x:c>
      <x:c r="U1541" s="6" t="n">
        <x:v>0</x:v>
      </x:c>
      <x:c r="V1541" s="6" t="n">
        <x:v>0</x:v>
      </x:c>
      <x:c r="W1541" s="6" t="n">
        <x:v>0</x:v>
      </x:c>
      <x:c r="X1541" s="6" t="n">
        <x:v>0</x:v>
      </x:c>
      <x:c r="Y1541" s="6" t="n">
        <x:v>0</x:v>
      </x:c>
      <x:c r="Z1541" s="6" t="n">
        <x:v>0</x:v>
      </x:c>
      <x:c r="AA1541" s="6" t="n">
        <x:v>3</x:v>
      </x:c>
      <x:c r="AB1541" s="6" t="n">
        <x:v>11</x:v>
      </x:c>
      <x:c r="AC1541" s="6" t="n">
        <x:v>0</x:v>
      </x:c>
    </x:row>
    <x:row r="1542">
      <x:c r="A1542" s="6" t="n">
        <x:v>6678</x:v>
      </x:c>
      <x:c r="B1542" s="6" t="n">
        <x:v>1989</x:v>
      </x:c>
      <x:c r="C1542" s="6" t="str">
        <x:v>Graduation</x:v>
      </x:c>
      <x:c r="D1542" s="6" t="str">
        <x:v>Together</x:v>
      </x:c>
      <x:c r="E1542" s="6" t="n">
        <x:v>31928</x:v>
      </x:c>
      <x:c r="F1542" s="6" t="n">
        <x:v>1</x:v>
      </x:c>
      <x:c r="G1542" s="6" t="n">
        <x:v>0</x:v>
      </x:c>
      <x:c r="H1542" s="9" t="str">
        <x:v>28-03-2014</x:v>
      </x:c>
      <x:c r="I1542" s="6" t="n">
        <x:v>5</x:v>
      </x:c>
      <x:c r="J1542" s="6" t="n">
        <x:v>33</x:v>
      </x:c>
      <x:c r="K1542" s="6" t="n">
        <x:v>4</x:v>
      </x:c>
      <x:c r="L1542" s="6" t="n">
        <x:v>24</x:v>
      </x:c>
      <x:c r="M1542" s="6" t="n">
        <x:v>4</x:v>
      </x:c>
      <x:c r="N1542" s="6" t="n">
        <x:v>2</x:v>
      </x:c>
      <x:c r="O1542" s="6" t="n">
        <x:v>5</x:v>
      </x:c>
      <x:c r="P1542" s="6" t="n">
        <x:v>2</x:v>
      </x:c>
      <x:c r="Q1542" s="6" t="n">
        <x:v>3</x:v>
      </x:c>
      <x:c r="R1542" s="6" t="n">
        <x:v>0</x:v>
      </x:c>
      <x:c r="S1542" s="6" t="n">
        <x:v>4</x:v>
      </x:c>
      <x:c r="T1542" s="6" t="n">
        <x:v>7</x:v>
      </x:c>
      <x:c r="U1542" s="6" t="n">
        <x:v>0</x:v>
      </x:c>
      <x:c r="V1542" s="6" t="n">
        <x:v>0</x:v>
      </x:c>
      <x:c r="W1542" s="6" t="n">
        <x:v>0</x:v>
      </x:c>
      <x:c r="X1542" s="6" t="n">
        <x:v>0</x:v>
      </x:c>
      <x:c r="Y1542" s="6" t="n">
        <x:v>0</x:v>
      </x:c>
      <x:c r="Z1542" s="6" t="n">
        <x:v>0</x:v>
      </x:c>
      <x:c r="AA1542" s="6" t="n">
        <x:v>3</x:v>
      </x:c>
      <x:c r="AB1542" s="6" t="n">
        <x:v>11</x:v>
      </x:c>
      <x:c r="AC1542" s="6" t="n">
        <x:v>0</x:v>
      </x:c>
    </x:row>
    <x:row r="1543">
      <x:c r="A1543" s="6" t="n">
        <x:v>3852</x:v>
      </x:c>
      <x:c r="B1543" s="6" t="n">
        <x:v>1961</x:v>
      </x:c>
      <x:c r="C1543" s="6" t="str">
        <x:v>Master</x:v>
      </x:c>
      <x:c r="D1543" s="6" t="str">
        <x:v>Together</x:v>
      </x:c>
      <x:c r="E1543" s="6" t="n">
        <x:v>74881</x:v>
      </x:c>
      <x:c r="F1543" s="6" t="n">
        <x:v>1</x:v>
      </x:c>
      <x:c r="G1543" s="6" t="n">
        <x:v>1</x:v>
      </x:c>
      <x:c r="H1543" s="9" t="str">
        <x:v>08-03-2013</x:v>
      </x:c>
      <x:c r="I1543" s="6" t="n">
        <x:v>48</x:v>
      </x:c>
      <x:c r="J1543" s="6" t="n">
        <x:v>505</x:v>
      </x:c>
      <x:c r="K1543" s="6" t="n">
        <x:v>72</x:v>
      </x:c>
      <x:c r="L1543" s="6" t="n">
        <x:v>270</x:v>
      </x:c>
      <x:c r="M1543" s="6" t="n">
        <x:v>36</x:v>
      </x:c>
      <x:c r="N1543" s="6" t="n">
        <x:v>27</x:v>
      </x:c>
      <x:c r="O1543" s="6" t="n">
        <x:v>54</x:v>
      </x:c>
      <x:c r="P1543" s="6" t="n">
        <x:v>4</x:v>
      </x:c>
      <x:c r="Q1543" s="6" t="n">
        <x:v>9</x:v>
      </x:c>
      <x:c r="R1543" s="6" t="n">
        <x:v>2</x:v>
      </x:c>
      <x:c r="S1543" s="6" t="n">
        <x:v>12</x:v>
      </x:c>
      <x:c r="T1543" s="6" t="n">
        <x:v>5</x:v>
      </x:c>
      <x:c r="U1543" s="6" t="n">
        <x:v>0</x:v>
      </x:c>
      <x:c r="V1543" s="6" t="n">
        <x:v>0</x:v>
      </x:c>
      <x:c r="W1543" s="6" t="n">
        <x:v>0</x:v>
      </x:c>
      <x:c r="X1543" s="6" t="n">
        <x:v>0</x:v>
      </x:c>
      <x:c r="Y1543" s="6" t="n">
        <x:v>0</x:v>
      </x:c>
      <x:c r="Z1543" s="6" t="n">
        <x:v>0</x:v>
      </x:c>
      <x:c r="AA1543" s="6" t="n">
        <x:v>3</x:v>
      </x:c>
      <x:c r="AB1543" s="6" t="n">
        <x:v>11</x:v>
      </x:c>
      <x:c r="AC1543" s="6" t="n">
        <x:v>0</x:v>
      </x:c>
    </x:row>
    <x:row r="1544">
      <x:c r="A1544" s="6" t="n">
        <x:v>528</x:v>
      </x:c>
      <x:c r="B1544" s="6" t="n">
        <x:v>1978</x:v>
      </x:c>
      <x:c r="C1544" s="6" t="str">
        <x:v>Graduation</x:v>
      </x:c>
      <x:c r="D1544" s="6" t="str">
        <x:v>Married</x:v>
      </x:c>
      <x:c r="E1544" s="6" t="n">
        <x:v>65819</x:v>
      </x:c>
      <x:c r="F1544" s="6" t="n">
        <x:v>0</x:v>
      </x:c>
      <x:c r="G1544" s="6" t="n">
        <x:v>0</x:v>
      </x:c>
      <x:c r="H1544" s="9" t="str">
        <x:v>29-11-2012</x:v>
      </x:c>
      <x:c r="I1544" s="6" t="n">
        <x:v>99</x:v>
      </x:c>
      <x:c r="J1544" s="6" t="n">
        <x:v>267</x:v>
      </x:c>
      <x:c r="K1544" s="6" t="n">
        <x:v>38</x:v>
      </x:c>
      <x:c r="L1544" s="6" t="n">
        <x:v>701</x:v>
      </x:c>
      <x:c r="M1544" s="6" t="n">
        <x:v>149</x:v>
      </x:c>
      <x:c r="N1544" s="6" t="n">
        <x:v>165</x:v>
      </x:c>
      <x:c r="O1544" s="6" t="n">
        <x:v>63</x:v>
      </x:c>
      <x:c r="P1544" s="6" t="n">
        <x:v>1</x:v>
      </x:c>
      <x:c r="Q1544" s="6" t="n">
        <x:v>5</x:v>
      </x:c>
      <x:c r="R1544" s="6" t="n">
        <x:v>4</x:v>
      </x:c>
      <x:c r="S1544" s="6" t="n">
        <x:v>10</x:v>
      </x:c>
      <x:c r="T1544" s="6" t="n">
        <x:v>3</x:v>
      </x:c>
      <x:c r="U1544" s="6" t="n">
        <x:v>0</x:v>
      </x:c>
      <x:c r="V1544" s="6" t="n">
        <x:v>0</x:v>
      </x:c>
      <x:c r="W1544" s="6" t="n">
        <x:v>0</x:v>
      </x:c>
      <x:c r="X1544" s="6" t="n">
        <x:v>0</x:v>
      </x:c>
      <x:c r="Y1544" s="6" t="n">
        <x:v>0</x:v>
      </x:c>
      <x:c r="Z1544" s="6" t="n">
        <x:v>0</x:v>
      </x:c>
      <x:c r="AA1544" s="6" t="n">
        <x:v>3</x:v>
      </x:c>
      <x:c r="AB1544" s="6" t="n">
        <x:v>11</x:v>
      </x:c>
      <x:c r="AC1544" s="6" t="n">
        <x:v>0</x:v>
      </x:c>
    </x:row>
    <x:row r="1545">
      <x:c r="A1545" s="6" t="n">
        <x:v>73</x:v>
      </x:c>
      <x:c r="B1545" s="6" t="n">
        <x:v>1953</x:v>
      </x:c>
      <x:c r="C1545" s="6" t="str">
        <x:v>PhD</x:v>
      </x:c>
      <x:c r="D1545" s="6" t="str">
        <x:v>Single</x:v>
      </x:c>
      <x:c r="E1545" s="6" t="n">
        <x:v>51411</x:v>
      </x:c>
      <x:c r="F1545" s="6" t="n">
        <x:v>1</x:v>
      </x:c>
      <x:c r="G1545" s="6" t="n">
        <x:v>2</x:v>
      </x:c>
      <x:c r="H1545" s="9" t="str">
        <x:v>26-05-2013</x:v>
      </x:c>
      <x:c r="I1545" s="6" t="n">
        <x:v>81</x:v>
      </x:c>
      <x:c r="J1545" s="6" t="n">
        <x:v>14</x:v>
      </x:c>
      <x:c r="K1545" s="6" t="n">
        <x:v>0</x:v>
      </x:c>
      <x:c r="L1545" s="6" t="n">
        <x:v>3</x:v>
      </x:c>
      <x:c r="M1545" s="6" t="n">
        <x:v>0</x:v>
      </x:c>
      <x:c r="N1545" s="6" t="n">
        <x:v>0</x:v>
      </x:c>
      <x:c r="O1545" s="6" t="n">
        <x:v>1</x:v>
      </x:c>
      <x:c r="P1545" s="6" t="n">
        <x:v>1</x:v>
      </x:c>
      <x:c r="Q1545" s="6" t="n">
        <x:v>0</x:v>
      </x:c>
      <x:c r="R1545" s="6" t="n">
        <x:v>0</x:v>
      </x:c>
      <x:c r="S1545" s="6" t="n">
        <x:v>3</x:v>
      </x:c>
      <x:c r="T1545" s="6" t="n">
        <x:v>5</x:v>
      </x:c>
      <x:c r="U1545" s="6" t="n">
        <x:v>0</x:v>
      </x:c>
      <x:c r="V1545" s="6" t="n">
        <x:v>0</x:v>
      </x:c>
      <x:c r="W1545" s="6" t="n">
        <x:v>0</x:v>
      </x:c>
      <x:c r="X1545" s="6" t="n">
        <x:v>0</x:v>
      </x:c>
      <x:c r="Y1545" s="6" t="n">
        <x:v>0</x:v>
      </x:c>
      <x:c r="Z1545" s="6" t="n">
        <x:v>0</x:v>
      </x:c>
      <x:c r="AA1545" s="6" t="n">
        <x:v>3</x:v>
      </x:c>
      <x:c r="AB1545" s="6" t="n">
        <x:v>11</x:v>
      </x:c>
      <x:c r="AC1545" s="6" t="n">
        <x:v>0</x:v>
      </x:c>
    </x:row>
    <x:row r="1546">
      <x:c r="A1546" s="6" t="n">
        <x:v>5589</x:v>
      </x:c>
      <x:c r="B1546" s="6" t="n">
        <x:v>1964</x:v>
      </x:c>
      <x:c r="C1546" s="6" t="str">
        <x:v>Graduation</x:v>
      </x:c>
      <x:c r="D1546" s="6" t="str">
        <x:v>Divorced</x:v>
      </x:c>
      <x:c r="E1546" s="6" t="n">
        <x:v>51983</x:v>
      </x:c>
      <x:c r="F1546" s="6" t="n">
        <x:v>0</x:v>
      </x:c>
      <x:c r="G1546" s="6" t="n">
        <x:v>1</x:v>
      </x:c>
      <x:c r="H1546" s="9" t="str">
        <x:v>31-08-2012</x:v>
      </x:c>
      <x:c r="I1546" s="6" t="n">
        <x:v>95</x:v>
      </x:c>
      <x:c r="J1546" s="6" t="n">
        <x:v>631</x:v>
      </x:c>
      <x:c r="K1546" s="6" t="n">
        <x:v>0</x:v>
      </x:c>
      <x:c r="L1546" s="6" t="n">
        <x:v>115</x:v>
      </x:c>
      <x:c r="M1546" s="6" t="n">
        <x:v>10</x:v>
      </x:c>
      <x:c r="N1546" s="6" t="n">
        <x:v>7</x:v>
      </x:c>
      <x:c r="O1546" s="6" t="n">
        <x:v>30</x:v>
      </x:c>
      <x:c r="P1546" s="6" t="n">
        <x:v>3</x:v>
      </x:c>
      <x:c r="Q1546" s="6" t="n">
        <x:v>9</x:v>
      </x:c>
      <x:c r="R1546" s="6" t="n">
        <x:v>2</x:v>
      </x:c>
      <x:c r="S1546" s="6" t="n">
        <x:v>10</x:v>
      </x:c>
      <x:c r="T1546" s="6" t="n">
        <x:v>7</x:v>
      </x:c>
      <x:c r="U1546" s="6" t="n">
        <x:v>0</x:v>
      </x:c>
      <x:c r="V1546" s="6" t="n">
        <x:v>0</x:v>
      </x:c>
      <x:c r="W1546" s="6" t="n">
        <x:v>0</x:v>
      </x:c>
      <x:c r="X1546" s="6" t="n">
        <x:v>0</x:v>
      </x:c>
      <x:c r="Y1546" s="6" t="n">
        <x:v>0</x:v>
      </x:c>
      <x:c r="Z1546" s="6" t="n">
        <x:v>0</x:v>
      </x:c>
      <x:c r="AA1546" s="6" t="n">
        <x:v>3</x:v>
      </x:c>
      <x:c r="AB1546" s="6" t="n">
        <x:v>11</x:v>
      </x:c>
      <x:c r="AC1546" s="6" t="n">
        <x:v>0</x:v>
      </x:c>
    </x:row>
    <x:row r="1547">
      <x:c r="A1547" s="6" t="n">
        <x:v>10212</x:v>
      </x:c>
      <x:c r="B1547" s="6" t="n">
        <x:v>1986</x:v>
      </x:c>
      <x:c r="C1547" s="6" t="str">
        <x:v>Master</x:v>
      </x:c>
      <x:c r="D1547" s="6" t="str">
        <x:v>Together</x:v>
      </x:c>
      <x:c r="E1547" s="6" t="n">
        <x:v>42386</x:v>
      </x:c>
      <x:c r="F1547" s="6" t="n">
        <x:v>1</x:v>
      </x:c>
      <x:c r="G1547" s="6" t="n">
        <x:v>0</x:v>
      </x:c>
      <x:c r="H1547" s="9" t="str">
        <x:v>13-01-2013</x:v>
      </x:c>
      <x:c r="I1547" s="6" t="n">
        <x:v>43</x:v>
      </x:c>
      <x:c r="J1547" s="6" t="n">
        <x:v>65</x:v>
      </x:c>
      <x:c r="K1547" s="6" t="n">
        <x:v>4</x:v>
      </x:c>
      <x:c r="L1547" s="6" t="n">
        <x:v>16</x:v>
      </x:c>
      <x:c r="M1547" s="6" t="n">
        <x:v>0</x:v>
      </x:c>
      <x:c r="N1547" s="6" t="n">
        <x:v>4</x:v>
      </x:c>
      <x:c r="O1547" s="6" t="n">
        <x:v>11</x:v>
      </x:c>
      <x:c r="P1547" s="6" t="n">
        <x:v>1</x:v>
      </x:c>
      <x:c r="Q1547" s="6" t="n">
        <x:v>3</x:v>
      </x:c>
      <x:c r="R1547" s="6" t="n">
        <x:v>0</x:v>
      </x:c>
      <x:c r="S1547" s="6" t="n">
        <x:v>3</x:v>
      </x:c>
      <x:c r="T1547" s="6" t="n">
        <x:v>8</x:v>
      </x:c>
      <x:c r="U1547" s="6" t="n">
        <x:v>0</x:v>
      </x:c>
      <x:c r="V1547" s="6" t="n">
        <x:v>0</x:v>
      </x:c>
      <x:c r="W1547" s="6" t="n">
        <x:v>0</x:v>
      </x:c>
      <x:c r="X1547" s="6" t="n">
        <x:v>0</x:v>
      </x:c>
      <x:c r="Y1547" s="6" t="n">
        <x:v>0</x:v>
      </x:c>
      <x:c r="Z1547" s="6" t="n">
        <x:v>0</x:v>
      </x:c>
      <x:c r="AA1547" s="6" t="n">
        <x:v>3</x:v>
      </x:c>
      <x:c r="AB1547" s="6" t="n">
        <x:v>11</x:v>
      </x:c>
      <x:c r="AC1547" s="6" t="n">
        <x:v>0</x:v>
      </x:c>
    </x:row>
    <x:row r="1548">
      <x:c r="A1548" s="6" t="n">
        <x:v>6365</x:v>
      </x:c>
      <x:c r="B1548" s="6" t="n">
        <x:v>1987</x:v>
      </x:c>
      <x:c r="C1548" s="6" t="str">
        <x:v>2n Cycle</x:v>
      </x:c>
      <x:c r="D1548" s="6" t="str">
        <x:v>Married</x:v>
      </x:c>
      <x:c r="E1548" s="6" t="n">
        <x:v>30390</x:v>
      </x:c>
      <x:c r="F1548" s="6" t="n">
        <x:v>0</x:v>
      </x:c>
      <x:c r="G1548" s="6" t="n">
        <x:v>0</x:v>
      </x:c>
      <x:c r="H1548" s="9" t="str">
        <x:v>02-09-2013</x:v>
      </x:c>
      <x:c r="I1548" s="6" t="n">
        <x:v>5</x:v>
      </x:c>
      <x:c r="J1548" s="6" t="n">
        <x:v>10</x:v>
      </x:c>
      <x:c r="K1548" s="6" t="n">
        <x:v>12</x:v>
      </x:c>
      <x:c r="L1548" s="6" t="n">
        <x:v>12</x:v>
      </x:c>
      <x:c r="M1548" s="6" t="n">
        <x:v>25</x:v>
      </x:c>
      <x:c r="N1548" s="6" t="n">
        <x:v>1</x:v>
      </x:c>
      <x:c r="O1548" s="6" t="n">
        <x:v>20</x:v>
      </x:c>
      <x:c r="P1548" s="6" t="n">
        <x:v>1</x:v>
      </x:c>
      <x:c r="Q1548" s="6" t="n">
        <x:v>2</x:v>
      </x:c>
      <x:c r="R1548" s="6" t="n">
        <x:v>0</x:v>
      </x:c>
      <x:c r="S1548" s="6" t="n">
        <x:v>3</x:v>
      </x:c>
      <x:c r="T1548" s="6" t="n">
        <x:v>6</x:v>
      </x:c>
      <x:c r="U1548" s="6" t="n">
        <x:v>0</x:v>
      </x:c>
      <x:c r="V1548" s="6" t="n">
        <x:v>0</x:v>
      </x:c>
      <x:c r="W1548" s="6" t="n">
        <x:v>0</x:v>
      </x:c>
      <x:c r="X1548" s="6" t="n">
        <x:v>0</x:v>
      </x:c>
      <x:c r="Y1548" s="6" t="n">
        <x:v>0</x:v>
      </x:c>
      <x:c r="Z1548" s="6" t="n">
        <x:v>0</x:v>
      </x:c>
      <x:c r="AA1548" s="6" t="n">
        <x:v>3</x:v>
      </x:c>
      <x:c r="AB1548" s="6" t="n">
        <x:v>11</x:v>
      </x:c>
      <x:c r="AC1548" s="6" t="n">
        <x:v>0</x:v>
      </x:c>
    </x:row>
    <x:row r="1549">
      <x:c r="A1549" s="6" t="n">
        <x:v>5636</x:v>
      </x:c>
      <x:c r="B1549" s="6" t="n">
        <x:v>1963</x:v>
      </x:c>
      <x:c r="C1549" s="6" t="str">
        <x:v>Graduation</x:v>
      </x:c>
      <x:c r="D1549" s="6" t="str">
        <x:v>Single</x:v>
      </x:c>
      <x:c r="E1549" s="6" t="n">
        <x:v>30983</x:v>
      </x:c>
      <x:c r="F1549" s="6" t="n">
        <x:v>0</x:v>
      </x:c>
      <x:c r="G1549" s="6" t="n">
        <x:v>0</x:v>
      </x:c>
      <x:c r="H1549" s="9" t="str">
        <x:v>09-11-2012</x:v>
      </x:c>
      <x:c r="I1549" s="6" t="n">
        <x:v>50</x:v>
      </x:c>
      <x:c r="J1549" s="6" t="n">
        <x:v>51</x:v>
      </x:c>
      <x:c r="K1549" s="6" t="n">
        <x:v>4</x:v>
      </x:c>
      <x:c r="L1549" s="6" t="n">
        <x:v>50</x:v>
      </x:c>
      <x:c r="M1549" s="6" t="n">
        <x:v>12</x:v>
      </x:c>
      <x:c r="N1549" s="6" t="n">
        <x:v>1</x:v>
      </x:c>
      <x:c r="O1549" s="6" t="n">
        <x:v>49</x:v>
      </x:c>
      <x:c r="P1549" s="6" t="n">
        <x:v>1</x:v>
      </x:c>
      <x:c r="Q1549" s="6" t="n">
        <x:v>4</x:v>
      </x:c>
      <x:c r="R1549" s="6" t="n">
        <x:v>0</x:v>
      </x:c>
      <x:c r="S1549" s="6" t="n">
        <x:v>3</x:v>
      </x:c>
      <x:c r="T1549" s="6" t="n">
        <x:v>8</x:v>
      </x:c>
      <x:c r="U1549" s="6" t="n">
        <x:v>0</x:v>
      </x:c>
      <x:c r="V1549" s="6" t="n">
        <x:v>0</x:v>
      </x:c>
      <x:c r="W1549" s="6" t="n">
        <x:v>0</x:v>
      </x:c>
      <x:c r="X1549" s="6" t="n">
        <x:v>0</x:v>
      </x:c>
      <x:c r="Y1549" s="6" t="n">
        <x:v>0</x:v>
      </x:c>
      <x:c r="Z1549" s="6" t="n">
        <x:v>0</x:v>
      </x:c>
      <x:c r="AA1549" s="6" t="n">
        <x:v>3</x:v>
      </x:c>
      <x:c r="AB1549" s="6" t="n">
        <x:v>11</x:v>
      </x:c>
      <x:c r="AC1549" s="6" t="n">
        <x:v>1</x:v>
      </x:c>
    </x:row>
    <x:row r="1550">
      <x:c r="A1550" s="6" t="n">
        <x:v>591</x:v>
      </x:c>
      <x:c r="B1550" s="6" t="n">
        <x:v>1957</x:v>
      </x:c>
      <x:c r="C1550" s="6" t="str">
        <x:v>Graduation</x:v>
      </x:c>
      <x:c r="D1550" s="6" t="str">
        <x:v>Widow</x:v>
      </x:c>
      <x:c r="E1550" s="6" t="n">
        <x:v>66033</x:v>
      </x:c>
      <x:c r="F1550" s="6" t="n">
        <x:v>0</x:v>
      </x:c>
      <x:c r="G1550" s="6" t="n">
        <x:v>1</x:v>
      </x:c>
      <x:c r="H1550" s="9" t="str">
        <x:v>20-01-2013</x:v>
      </x:c>
      <x:c r="I1550" s="6" t="n">
        <x:v>76</x:v>
      </x:c>
      <x:c r="J1550" s="6" t="n">
        <x:v>293</x:v>
      </x:c>
      <x:c r="K1550" s="6" t="n">
        <x:v>35</x:v>
      </x:c>
      <x:c r="L1550" s="6" t="n">
        <x:v>179</x:v>
      </x:c>
      <x:c r="M1550" s="6" t="n">
        <x:v>46</x:v>
      </x:c>
      <x:c r="N1550" s="6" t="n">
        <x:v>59</x:v>
      </x:c>
      <x:c r="O1550" s="6" t="n">
        <x:v>65</x:v>
      </x:c>
      <x:c r="P1550" s="6" t="n">
        <x:v>2</x:v>
      </x:c>
      <x:c r="Q1550" s="6" t="n">
        <x:v>8</x:v>
      </x:c>
      <x:c r="R1550" s="6" t="n">
        <x:v>3</x:v>
      </x:c>
      <x:c r="S1550" s="6" t="n">
        <x:v>7</x:v>
      </x:c>
      <x:c r="T1550" s="6" t="n">
        <x:v>7</x:v>
      </x:c>
      <x:c r="U1550" s="6" t="n">
        <x:v>0</x:v>
      </x:c>
      <x:c r="V1550" s="6" t="n">
        <x:v>0</x:v>
      </x:c>
      <x:c r="W1550" s="6" t="n">
        <x:v>0</x:v>
      </x:c>
      <x:c r="X1550" s="6" t="n">
        <x:v>0</x:v>
      </x:c>
      <x:c r="Y1550" s="6" t="n">
        <x:v>0</x:v>
      </x:c>
      <x:c r="Z1550" s="6" t="n">
        <x:v>0</x:v>
      </x:c>
      <x:c r="AA1550" s="6" t="n">
        <x:v>3</x:v>
      </x:c>
      <x:c r="AB1550" s="6" t="n">
        <x:v>11</x:v>
      </x:c>
      <x:c r="AC1550" s="6" t="n">
        <x:v>0</x:v>
      </x:c>
    </x:row>
    <x:row r="1551">
      <x:c r="A1551" s="6" t="n">
        <x:v>2217</x:v>
      </x:c>
      <x:c r="B1551" s="6" t="n">
        <x:v>1975</x:v>
      </x:c>
      <x:c r="C1551" s="6" t="str">
        <x:v>2n Cycle</x:v>
      </x:c>
      <x:c r="D1551" s="6" t="str">
        <x:v>Married</x:v>
      </x:c>
      <x:c r="E1551" s="6" t="n">
        <x:v>37284</x:v>
      </x:c>
      <x:c r="F1551" s="6" t="n">
        <x:v>1</x:v>
      </x:c>
      <x:c r="G1551" s="6" t="n">
        <x:v>1</x:v>
      </x:c>
      <x:c r="H1551" s="9" t="str">
        <x:v>29-03-2013</x:v>
      </x:c>
      <x:c r="I1551" s="6" t="n">
        <x:v>46</x:v>
      </x:c>
      <x:c r="J1551" s="6" t="n">
        <x:v>11</x:v>
      </x:c>
      <x:c r="K1551" s="6" t="n">
        <x:v>1</x:v>
      </x:c>
      <x:c r="L1551" s="6" t="n">
        <x:v>2</x:v>
      </x:c>
      <x:c r="M1551" s="6" t="n">
        <x:v>2</x:v>
      </x:c>
      <x:c r="N1551" s="6" t="n">
        <x:v>1</x:v>
      </x:c>
      <x:c r="O1551" s="6" t="n">
        <x:v>6</x:v>
      </x:c>
      <x:c r="P1551" s="6" t="n">
        <x:v>1</x:v>
      </x:c>
      <x:c r="Q1551" s="6" t="n">
        <x:v>0</x:v>
      </x:c>
      <x:c r="R1551" s="6" t="n">
        <x:v>0</x:v>
      </x:c>
      <x:c r="S1551" s="6" t="n">
        <x:v>3</x:v>
      </x:c>
      <x:c r="T1551" s="6" t="n">
        <x:v>6</x:v>
      </x:c>
      <x:c r="U1551" s="6" t="n">
        <x:v>0</x:v>
      </x:c>
      <x:c r="V1551" s="6" t="n">
        <x:v>0</x:v>
      </x:c>
      <x:c r="W1551" s="6" t="n">
        <x:v>0</x:v>
      </x:c>
      <x:c r="X1551" s="6" t="n">
        <x:v>0</x:v>
      </x:c>
      <x:c r="Y1551" s="6" t="n">
        <x:v>0</x:v>
      </x:c>
      <x:c r="Z1551" s="6" t="n">
        <x:v>0</x:v>
      </x:c>
      <x:c r="AA1551" s="6" t="n">
        <x:v>3</x:v>
      </x:c>
      <x:c r="AB1551" s="6" t="n">
        <x:v>11</x:v>
      </x:c>
      <x:c r="AC1551" s="6" t="n">
        <x:v>0</x:v>
      </x:c>
    </x:row>
    <x:row r="1552">
      <x:c r="A1552" s="6" t="n">
        <x:v>2544</x:v>
      </x:c>
      <x:c r="B1552" s="6" t="n">
        <x:v>1951</x:v>
      </x:c>
      <x:c r="C1552" s="6" t="str">
        <x:v>Master</x:v>
      </x:c>
      <x:c r="D1552" s="6" t="str">
        <x:v>Divorced</x:v>
      </x:c>
      <x:c r="E1552" s="6" t="n">
        <x:v>57530</x:v>
      </x:c>
      <x:c r="F1552" s="6" t="n">
        <x:v>0</x:v>
      </x:c>
      <x:c r="G1552" s="6" t="n">
        <x:v>1</x:v>
      </x:c>
      <x:c r="H1552" s="9" t="str">
        <x:v>12-10-2013</x:v>
      </x:c>
      <x:c r="I1552" s="6" t="n">
        <x:v>68</x:v>
      </x:c>
      <x:c r="J1552" s="6" t="n">
        <x:v>50</x:v>
      </x:c>
      <x:c r="K1552" s="6" t="n">
        <x:v>1</x:v>
      </x:c>
      <x:c r="L1552" s="6" t="n">
        <x:v>27</x:v>
      </x:c>
      <x:c r="M1552" s="6" t="n">
        <x:v>6</x:v>
      </x:c>
      <x:c r="N1552" s="6" t="n">
        <x:v>7</x:v>
      </x:c>
      <x:c r="O1552" s="6" t="n">
        <x:v>1</x:v>
      </x:c>
      <x:c r="P1552" s="6" t="n">
        <x:v>1</x:v>
      </x:c>
      <x:c r="Q1552" s="6" t="n">
        <x:v>1</x:v>
      </x:c>
      <x:c r="R1552" s="6" t="n">
        <x:v>1</x:v>
      </x:c>
      <x:c r="S1552" s="6" t="n">
        <x:v>4</x:v>
      </x:c>
      <x:c r="T1552" s="6" t="n">
        <x:v>1</x:v>
      </x:c>
      <x:c r="U1552" s="6" t="n">
        <x:v>0</x:v>
      </x:c>
      <x:c r="V1552" s="6" t="n">
        <x:v>0</x:v>
      </x:c>
      <x:c r="W1552" s="6" t="n">
        <x:v>0</x:v>
      </x:c>
      <x:c r="X1552" s="6" t="n">
        <x:v>0</x:v>
      </x:c>
      <x:c r="Y1552" s="6" t="n">
        <x:v>0</x:v>
      </x:c>
      <x:c r="Z1552" s="6" t="n">
        <x:v>0</x:v>
      </x:c>
      <x:c r="AA1552" s="6" t="n">
        <x:v>3</x:v>
      </x:c>
      <x:c r="AB1552" s="6" t="n">
        <x:v>11</x:v>
      </x:c>
      <x:c r="AC1552" s="6" t="n">
        <x:v>0</x:v>
      </x:c>
    </x:row>
    <x:row r="1553">
      <x:c r="A1553" s="6" t="n">
        <x:v>7725</x:v>
      </x:c>
      <x:c r="B1553" s="6" t="n">
        <x:v>1965</x:v>
      </x:c>
      <x:c r="C1553" s="6" t="str">
        <x:v>2n Cycle</x:v>
      </x:c>
      <x:c r="D1553" s="6" t="str">
        <x:v>Married</x:v>
      </x:c>
      <x:c r="E1553" s="6" t="n">
        <x:v>76800</x:v>
      </x:c>
      <x:c r="F1553" s="6" t="n">
        <x:v>0</x:v>
      </x:c>
      <x:c r="G1553" s="6" t="n">
        <x:v>0</x:v>
      </x:c>
      <x:c r="H1553" s="9" t="str">
        <x:v>08-03-2014</x:v>
      </x:c>
      <x:c r="I1553" s="6" t="n">
        <x:v>33</x:v>
      </x:c>
      <x:c r="J1553" s="6" t="n">
        <x:v>173</x:v>
      </x:c>
      <x:c r="K1553" s="6" t="n">
        <x:v>26</x:v>
      </x:c>
      <x:c r="L1553" s="6" t="n">
        <x:v>255</x:v>
      </x:c>
      <x:c r="M1553" s="6" t="n">
        <x:v>35</x:v>
      </x:c>
      <x:c r="N1553" s="6" t="n">
        <x:v>71</x:v>
      </x:c>
      <x:c r="O1553" s="6" t="n">
        <x:v>81</x:v>
      </x:c>
      <x:c r="P1553" s="6" t="n">
        <x:v>1</x:v>
      </x:c>
      <x:c r="Q1553" s="6" t="n">
        <x:v>4</x:v>
      </x:c>
      <x:c r="R1553" s="6" t="n">
        <x:v>4</x:v>
      </x:c>
      <x:c r="S1553" s="6" t="n">
        <x:v>7</x:v>
      </x:c>
      <x:c r="T1553" s="6" t="n">
        <x:v>1</x:v>
      </x:c>
      <x:c r="U1553" s="6" t="n">
        <x:v>0</x:v>
      </x:c>
      <x:c r="V1553" s="6" t="n">
        <x:v>0</x:v>
      </x:c>
      <x:c r="W1553" s="6" t="n">
        <x:v>0</x:v>
      </x:c>
      <x:c r="X1553" s="6" t="n">
        <x:v>0</x:v>
      </x:c>
      <x:c r="Y1553" s="6" t="n">
        <x:v>0</x:v>
      </x:c>
      <x:c r="Z1553" s="6" t="n">
        <x:v>0</x:v>
      </x:c>
      <x:c r="AA1553" s="6" t="n">
        <x:v>3</x:v>
      </x:c>
      <x:c r="AB1553" s="6" t="n">
        <x:v>11</x:v>
      </x:c>
      <x:c r="AC1553" s="6" t="n">
        <x:v>0</x:v>
      </x:c>
    </x:row>
    <x:row r="1554">
      <x:c r="A1554" s="6" t="n">
        <x:v>8091</x:v>
      </x:c>
      <x:c r="B1554" s="6" t="n">
        <x:v>1956</x:v>
      </x:c>
      <x:c r="C1554" s="6" t="str">
        <x:v>Graduation</x:v>
      </x:c>
      <x:c r="D1554" s="6" t="str">
        <x:v>Married</x:v>
      </x:c>
      <x:c r="E1554" s="6" t="n">
        <x:v>63943</x:v>
      </x:c>
      <x:c r="F1554" s="6" t="n">
        <x:v>0</x:v>
      </x:c>
      <x:c r="G1554" s="6" t="n">
        <x:v>1</x:v>
      </x:c>
      <x:c r="H1554" s="9" t="str">
        <x:v>02-09-2012</x:v>
      </x:c>
      <x:c r="I1554" s="6" t="n">
        <x:v>50</x:v>
      </x:c>
      <x:c r="J1554" s="6" t="n">
        <x:v>423</x:v>
      </x:c>
      <x:c r="K1554" s="6" t="n">
        <x:v>184</x:v>
      </x:c>
      <x:c r="L1554" s="6" t="n">
        <x:v>368</x:v>
      </x:c>
      <x:c r="M1554" s="6" t="n">
        <x:v>13</x:v>
      </x:c>
      <x:c r="N1554" s="6" t="n">
        <x:v>97</x:v>
      </x:c>
      <x:c r="O1554" s="6" t="n">
        <x:v>21</x:v>
      </x:c>
      <x:c r="P1554" s="6" t="n">
        <x:v>1</x:v>
      </x:c>
      <x:c r="Q1554" s="6" t="n">
        <x:v>6</x:v>
      </x:c>
      <x:c r="R1554" s="6" t="n">
        <x:v>4</x:v>
      </x:c>
      <x:c r="S1554" s="6" t="n">
        <x:v>6</x:v>
      </x:c>
      <x:c r="T1554" s="6" t="n">
        <x:v>5</x:v>
      </x:c>
      <x:c r="U1554" s="6" t="n">
        <x:v>0</x:v>
      </x:c>
      <x:c r="V1554" s="6" t="n">
        <x:v>0</x:v>
      </x:c>
      <x:c r="W1554" s="6" t="n">
        <x:v>0</x:v>
      </x:c>
      <x:c r="X1554" s="6" t="n">
        <x:v>0</x:v>
      </x:c>
      <x:c r="Y1554" s="6" t="n">
        <x:v>0</x:v>
      </x:c>
      <x:c r="Z1554" s="6" t="n">
        <x:v>0</x:v>
      </x:c>
      <x:c r="AA1554" s="6" t="n">
        <x:v>3</x:v>
      </x:c>
      <x:c r="AB1554" s="6" t="n">
        <x:v>11</x:v>
      </x:c>
      <x:c r="AC1554" s="6" t="n">
        <x:v>0</x:v>
      </x:c>
    </x:row>
    <x:row r="1555">
      <x:c r="A1555" s="6" t="n">
        <x:v>7321</x:v>
      </x:c>
      <x:c r="B1555" s="6" t="n">
        <x:v>1962</x:v>
      </x:c>
      <x:c r="C1555" s="6" t="str">
        <x:v>Graduation</x:v>
      </x:c>
      <x:c r="D1555" s="6" t="str">
        <x:v>Together</x:v>
      </x:c>
      <x:c r="E1555" s="6" t="n">
        <x:v>76081</x:v>
      </x:c>
      <x:c r="F1555" s="6" t="n">
        <x:v>0</x:v>
      </x:c>
      <x:c r="G1555" s="6" t="n">
        <x:v>0</x:v>
      </x:c>
      <x:c r="H1555" s="9" t="str">
        <x:v>23-05-2014</x:v>
      </x:c>
      <x:c r="I1555" s="6" t="n">
        <x:v>85</x:v>
      </x:c>
      <x:c r="J1555" s="6" t="n">
        <x:v>292</x:v>
      </x:c>
      <x:c r="K1555" s="6" t="n">
        <x:v>30</x:v>
      </x:c>
      <x:c r="L1555" s="6" t="n">
        <x:v>415</x:v>
      </x:c>
      <x:c r="M1555" s="6" t="n">
        <x:v>63</x:v>
      </x:c>
      <x:c r="N1555" s="6" t="n">
        <x:v>33</x:v>
      </x:c>
      <x:c r="O1555" s="6" t="n">
        <x:v>200</x:v>
      </x:c>
      <x:c r="P1555" s="6" t="n">
        <x:v>1</x:v>
      </x:c>
      <x:c r="Q1555" s="6" t="n">
        <x:v>4</x:v>
      </x:c>
      <x:c r="R1555" s="6" t="n">
        <x:v>5</x:v>
      </x:c>
      <x:c r="S1555" s="6" t="n">
        <x:v>4</x:v>
      </x:c>
      <x:c r="T1555" s="6" t="n">
        <x:v>2</x:v>
      </x:c>
      <x:c r="U1555" s="6" t="n">
        <x:v>0</x:v>
      </x:c>
      <x:c r="V1555" s="6" t="n">
        <x:v>0</x:v>
      </x:c>
      <x:c r="W1555" s="6" t="n">
        <x:v>0</x:v>
      </x:c>
      <x:c r="X1555" s="6" t="n">
        <x:v>1</x:v>
      </x:c>
      <x:c r="Y1555" s="6" t="n">
        <x:v>0</x:v>
      </x:c>
      <x:c r="Z1555" s="6" t="n">
        <x:v>0</x:v>
      </x:c>
      <x:c r="AA1555" s="6" t="n">
        <x:v>3</x:v>
      </x:c>
      <x:c r="AB1555" s="6" t="n">
        <x:v>11</x:v>
      </x:c>
      <x:c r="AC1555" s="6" t="n">
        <x:v>0</x:v>
      </x:c>
    </x:row>
    <x:row r="1556">
      <x:c r="A1556" s="6" t="n">
        <x:v>5462</x:v>
      </x:c>
      <x:c r="B1556" s="6" t="n">
        <x:v>1974</x:v>
      </x:c>
      <x:c r="C1556" s="6" t="str">
        <x:v>Graduation</x:v>
      </x:c>
      <x:c r="D1556" s="6" t="str">
        <x:v>Married</x:v>
      </x:c>
      <x:c r="E1556" s="6" t="n">
        <x:v>67445</x:v>
      </x:c>
      <x:c r="F1556" s="6" t="n">
        <x:v>0</x:v>
      </x:c>
      <x:c r="G1556" s="6" t="n">
        <x:v>1</x:v>
      </x:c>
      <x:c r="H1556" s="9" t="str">
        <x:v>12-08-2012</x:v>
      </x:c>
      <x:c r="I1556" s="6" t="n">
        <x:v>63</x:v>
      </x:c>
      <x:c r="J1556" s="6" t="n">
        <x:v>757</x:v>
      </x:c>
      <x:c r="K1556" s="6" t="n">
        <x:v>80</x:v>
      </x:c>
      <x:c r="L1556" s="6" t="n">
        <x:v>217</x:v>
      </x:c>
      <x:c r="M1556" s="6" t="n">
        <x:v>29</x:v>
      </x:c>
      <x:c r="N1556" s="6" t="n">
        <x:v>80</x:v>
      </x:c>
      <x:c r="O1556" s="6" t="n">
        <x:v>11</x:v>
      </x:c>
      <x:c r="P1556" s="6" t="n">
        <x:v>5</x:v>
      </x:c>
      <x:c r="Q1556" s="6" t="n">
        <x:v>9</x:v>
      </x:c>
      <x:c r="R1556" s="6" t="n">
        <x:v>6</x:v>
      </x:c>
      <x:c r="S1556" s="6" t="n">
        <x:v>12</x:v>
      </x:c>
      <x:c r="T1556" s="6" t="n">
        <x:v>6</x:v>
      </x:c>
      <x:c r="U1556" s="6" t="n">
        <x:v>0</x:v>
      </x:c>
      <x:c r="V1556" s="6" t="n">
        <x:v>0</x:v>
      </x:c>
      <x:c r="W1556" s="6" t="n">
        <x:v>0</x:v>
      </x:c>
      <x:c r="X1556" s="6" t="n">
        <x:v>0</x:v>
      </x:c>
      <x:c r="Y1556" s="6" t="n">
        <x:v>0</x:v>
      </x:c>
      <x:c r="Z1556" s="6" t="n">
        <x:v>0</x:v>
      </x:c>
      <x:c r="AA1556" s="6" t="n">
        <x:v>3</x:v>
      </x:c>
      <x:c r="AB1556" s="6" t="n">
        <x:v>11</x:v>
      </x:c>
      <x:c r="AC1556" s="6" t="n">
        <x:v>0</x:v>
      </x:c>
    </x:row>
    <x:row r="1557">
      <x:c r="A1557" s="6" t="n">
        <x:v>7791</x:v>
      </x:c>
      <x:c r="B1557" s="6" t="n">
        <x:v>1967</x:v>
      </x:c>
      <x:c r="C1557" s="6" t="str">
        <x:v>Master</x:v>
      </x:c>
      <x:c r="D1557" s="6" t="str">
        <x:v>Married</x:v>
      </x:c>
      <x:c r="E1557" s="6" t="n">
        <x:v>37054</x:v>
      </x:c>
      <x:c r="F1557" s="6" t="n">
        <x:v>1</x:v>
      </x:c>
      <x:c r="G1557" s="6" t="n">
        <x:v>1</x:v>
      </x:c>
      <x:c r="H1557" s="9" t="str">
        <x:v>15-09-2013</x:v>
      </x:c>
      <x:c r="I1557" s="6" t="n">
        <x:v>89</x:v>
      </x:c>
      <x:c r="J1557" s="6" t="n">
        <x:v>12</x:v>
      </x:c>
      <x:c r="K1557" s="6" t="n">
        <x:v>1</x:v>
      </x:c>
      <x:c r="L1557" s="6" t="n">
        <x:v>6</x:v>
      </x:c>
      <x:c r="M1557" s="6" t="n">
        <x:v>0</x:v>
      </x:c>
      <x:c r="N1557" s="6" t="n">
        <x:v>1</x:v>
      </x:c>
      <x:c r="O1557" s="6" t="n">
        <x:v>5</x:v>
      </x:c>
      <x:c r="P1557" s="6" t="n">
        <x:v>2</x:v>
      </x:c>
      <x:c r="Q1557" s="6" t="n">
        <x:v>1</x:v>
      </x:c>
      <x:c r="R1557" s="6" t="n">
        <x:v>0</x:v>
      </x:c>
      <x:c r="S1557" s="6" t="n">
        <x:v>3</x:v>
      </x:c>
      <x:c r="T1557" s="6" t="n">
        <x:v>7</x:v>
      </x:c>
      <x:c r="U1557" s="6" t="n">
        <x:v>0</x:v>
      </x:c>
      <x:c r="V1557" s="6" t="n">
        <x:v>0</x:v>
      </x:c>
      <x:c r="W1557" s="6" t="n">
        <x:v>0</x:v>
      </x:c>
      <x:c r="X1557" s="6" t="n">
        <x:v>0</x:v>
      </x:c>
      <x:c r="Y1557" s="6" t="n">
        <x:v>0</x:v>
      </x:c>
      <x:c r="Z1557" s="6" t="n">
        <x:v>0</x:v>
      </x:c>
      <x:c r="AA1557" s="6" t="n">
        <x:v>3</x:v>
      </x:c>
      <x:c r="AB1557" s="6" t="n">
        <x:v>11</x:v>
      </x:c>
      <x:c r="AC1557" s="6" t="n">
        <x:v>0</x:v>
      </x:c>
    </x:row>
    <x:row r="1558">
      <x:c r="A1558" s="6" t="n">
        <x:v>955</x:v>
      </x:c>
      <x:c r="B1558" s="6" t="n">
        <x:v>1962</x:v>
      </x:c>
      <x:c r="C1558" s="6" t="str">
        <x:v>Master</x:v>
      </x:c>
      <x:c r="D1558" s="6" t="str">
        <x:v>Together</x:v>
      </x:c>
      <x:c r="E1558" s="6" t="n">
        <x:v>47175</x:v>
      </x:c>
      <x:c r="F1558" s="6" t="n">
        <x:v>1</x:v>
      </x:c>
      <x:c r="G1558" s="6" t="n">
        <x:v>1</x:v>
      </x:c>
      <x:c r="H1558" s="9" t="str">
        <x:v>28-10-2012</x:v>
      </x:c>
      <x:c r="I1558" s="6" t="n">
        <x:v>81</x:v>
      </x:c>
      <x:c r="J1558" s="6" t="n">
        <x:v>167</x:v>
      </x:c>
      <x:c r="K1558" s="6" t="n">
        <x:v>2</x:v>
      </x:c>
      <x:c r="L1558" s="6" t="n">
        <x:v>44</x:v>
      </x:c>
      <x:c r="M1558" s="6" t="n">
        <x:v>6</x:v>
      </x:c>
      <x:c r="N1558" s="6" t="n">
        <x:v>2</x:v>
      </x:c>
      <x:c r="O1558" s="6" t="n">
        <x:v>19</x:v>
      </x:c>
      <x:c r="P1558" s="6" t="n">
        <x:v>7</x:v>
      </x:c>
      <x:c r="Q1558" s="6" t="n">
        <x:v>4</x:v>
      </x:c>
      <x:c r="R1558" s="6" t="n">
        <x:v>2</x:v>
      </x:c>
      <x:c r="S1558" s="6" t="n">
        <x:v>4</x:v>
      </x:c>
      <x:c r="T1558" s="6" t="n">
        <x:v>8</x:v>
      </x:c>
      <x:c r="U1558" s="6" t="n">
        <x:v>1</x:v>
      </x:c>
      <x:c r="V1558" s="6" t="n">
        <x:v>0</x:v>
      </x:c>
      <x:c r="W1558" s="6" t="n">
        <x:v>0</x:v>
      </x:c>
      <x:c r="X1558" s="6" t="n">
        <x:v>0</x:v>
      </x:c>
      <x:c r="Y1558" s="6" t="n">
        <x:v>0</x:v>
      </x:c>
      <x:c r="Z1558" s="6" t="n">
        <x:v>0</x:v>
      </x:c>
      <x:c r="AA1558" s="6" t="n">
        <x:v>3</x:v>
      </x:c>
      <x:c r="AB1558" s="6" t="n">
        <x:v>11</x:v>
      </x:c>
      <x:c r="AC1558" s="6" t="n">
        <x:v>1</x:v>
      </x:c>
    </x:row>
    <x:row r="1559">
      <x:c r="A1559" s="6" t="n">
        <x:v>4037</x:v>
      </x:c>
      <x:c r="B1559" s="6" t="n">
        <x:v>1976</x:v>
      </x:c>
      <x:c r="C1559" s="6" t="str">
        <x:v>Graduation</x:v>
      </x:c>
      <x:c r="D1559" s="6" t="str">
        <x:v>Divorced</x:v>
      </x:c>
      <x:c r="E1559" s="6" t="n">
        <x:v>31859</x:v>
      </x:c>
      <x:c r="F1559" s="6" t="n">
        <x:v>1</x:v>
      </x:c>
      <x:c r="G1559" s="6" t="n">
        <x:v>0</x:v>
      </x:c>
      <x:c r="H1559" s="9" t="str">
        <x:v>14-06-2013</x:v>
      </x:c>
      <x:c r="I1559" s="6" t="n">
        <x:v>77</x:v>
      </x:c>
      <x:c r="J1559" s="6" t="n">
        <x:v>3</x:v>
      </x:c>
      <x:c r="K1559" s="6" t="n">
        <x:v>1</x:v>
      </x:c>
      <x:c r="L1559" s="6" t="n">
        <x:v>3</x:v>
      </x:c>
      <x:c r="M1559" s="6" t="n">
        <x:v>8</x:v>
      </x:c>
      <x:c r="N1559" s="6" t="n">
        <x:v>0</x:v>
      </x:c>
      <x:c r="O1559" s="6" t="n">
        <x:v>5</x:v>
      </x:c>
      <x:c r="P1559" s="6" t="n">
        <x:v>1</x:v>
      </x:c>
      <x:c r="Q1559" s="6" t="n">
        <x:v>1</x:v>
      </x:c>
      <x:c r="R1559" s="6" t="n">
        <x:v>0</x:v>
      </x:c>
      <x:c r="S1559" s="6" t="n">
        <x:v>2</x:v>
      </x:c>
      <x:c r="T1559" s="6" t="n">
        <x:v>7</x:v>
      </x:c>
      <x:c r="U1559" s="6" t="n">
        <x:v>0</x:v>
      </x:c>
      <x:c r="V1559" s="6" t="n">
        <x:v>0</x:v>
      </x:c>
      <x:c r="W1559" s="6" t="n">
        <x:v>0</x:v>
      </x:c>
      <x:c r="X1559" s="6" t="n">
        <x:v>0</x:v>
      </x:c>
      <x:c r="Y1559" s="6" t="n">
        <x:v>0</x:v>
      </x:c>
      <x:c r="Z1559" s="6" t="n">
        <x:v>0</x:v>
      </x:c>
      <x:c r="AA1559" s="6" t="n">
        <x:v>3</x:v>
      </x:c>
      <x:c r="AB1559" s="6" t="n">
        <x:v>11</x:v>
      </x:c>
      <x:c r="AC1559" s="6" t="n">
        <x:v>0</x:v>
      </x:c>
    </x:row>
    <x:row r="1560">
      <x:c r="A1560" s="6" t="n">
        <x:v>6642</x:v>
      </x:c>
      <x:c r="B1560" s="6" t="n">
        <x:v>1961</x:v>
      </x:c>
      <x:c r="C1560" s="6" t="str">
        <x:v>Graduation</x:v>
      </x:c>
      <x:c r="D1560" s="6" t="str">
        <x:v>Divorced</x:v>
      </x:c>
      <x:c r="E1560" s="6" t="n">
        <x:v>27215</x:v>
      </x:c>
      <x:c r="F1560" s="6" t="n">
        <x:v>2</x:v>
      </x:c>
      <x:c r="G1560" s="6" t="n">
        <x:v>1</x:v>
      </x:c>
      <x:c r="H1560" s="9" t="str">
        <x:v>23-01-2013</x:v>
      </x:c>
      <x:c r="I1560" s="6" t="n">
        <x:v>50</x:v>
      </x:c>
      <x:c r="J1560" s="6" t="n">
        <x:v>30</x:v>
      </x:c>
      <x:c r="K1560" s="6" t="n">
        <x:v>5</x:v>
      </x:c>
      <x:c r="L1560" s="6" t="n">
        <x:v>22</x:v>
      </x:c>
      <x:c r="M1560" s="6" t="n">
        <x:v>8</x:v>
      </x:c>
      <x:c r="N1560" s="6" t="n">
        <x:v>9</x:v>
      </x:c>
      <x:c r="O1560" s="6" t="n">
        <x:v>28</x:v>
      </x:c>
      <x:c r="P1560" s="6" t="n">
        <x:v>4</x:v>
      </x:c>
      <x:c r="Q1560" s="6" t="n">
        <x:v>2</x:v>
      </x:c>
      <x:c r="R1560" s="6" t="n">
        <x:v>1</x:v>
      </x:c>
      <x:c r="S1560" s="6" t="n">
        <x:v>4</x:v>
      </x:c>
      <x:c r="T1560" s="6" t="n">
        <x:v>6</x:v>
      </x:c>
      <x:c r="U1560" s="6" t="n">
        <x:v>0</x:v>
      </x:c>
      <x:c r="V1560" s="6" t="n">
        <x:v>0</x:v>
      </x:c>
      <x:c r="W1560" s="6" t="n">
        <x:v>0</x:v>
      </x:c>
      <x:c r="X1560" s="6" t="n">
        <x:v>0</x:v>
      </x:c>
      <x:c r="Y1560" s="6" t="n">
        <x:v>0</x:v>
      </x:c>
      <x:c r="Z1560" s="6" t="n">
        <x:v>0</x:v>
      </x:c>
      <x:c r="AA1560" s="6" t="n">
        <x:v>3</x:v>
      </x:c>
      <x:c r="AB1560" s="6" t="n">
        <x:v>11</x:v>
      </x:c>
      <x:c r="AC1560" s="6" t="n">
        <x:v>0</x:v>
      </x:c>
    </x:row>
    <x:row r="1561">
      <x:c r="A1561" s="6" t="n">
        <x:v>2793</x:v>
      </x:c>
      <x:c r="B1561" s="6" t="n">
        <x:v>1976</x:v>
      </x:c>
      <x:c r="C1561" s="6" t="str">
        <x:v>PhD</x:v>
      </x:c>
      <x:c r="D1561" s="6" t="str">
        <x:v>Divorced</x:v>
      </x:c>
      <x:c r="E1561" s="6" t="n">
        <x:v>70179</x:v>
      </x:c>
      <x:c r="F1561" s="6" t="n">
        <x:v>0</x:v>
      </x:c>
      <x:c r="G1561" s="6" t="n">
        <x:v>1</x:v>
      </x:c>
      <x:c r="H1561" s="9" t="str">
        <x:v>21-07-2013</x:v>
      </x:c>
      <x:c r="I1561" s="6" t="n">
        <x:v>10</x:v>
      </x:c>
      <x:c r="J1561" s="6" t="n">
        <x:v>532</x:v>
      </x:c>
      <x:c r="K1561" s="6" t="n">
        <x:v>88</x:v>
      </x:c>
      <x:c r="L1561" s="6" t="n">
        <x:v>168</x:v>
      </x:c>
      <x:c r="M1561" s="6" t="n">
        <x:v>69</x:v>
      </x:c>
      <x:c r="N1561" s="6" t="n">
        <x:v>44</x:v>
      </x:c>
      <x:c r="O1561" s="6" t="n">
        <x:v>133</x:v>
      </x:c>
      <x:c r="P1561" s="6" t="n">
        <x:v>3</x:v>
      </x:c>
      <x:c r="Q1561" s="6" t="n">
        <x:v>7</x:v>
      </x:c>
      <x:c r="R1561" s="6" t="n">
        <x:v>3</x:v>
      </x:c>
      <x:c r="S1561" s="6" t="n">
        <x:v>13</x:v>
      </x:c>
      <x:c r="T1561" s="6" t="n">
        <x:v>5</x:v>
      </x:c>
      <x:c r="U1561" s="6" t="n">
        <x:v>0</x:v>
      </x:c>
      <x:c r="V1561" s="6" t="n">
        <x:v>0</x:v>
      </x:c>
      <x:c r="W1561" s="6" t="n">
        <x:v>0</x:v>
      </x:c>
      <x:c r="X1561" s="6" t="n">
        <x:v>0</x:v>
      </x:c>
      <x:c r="Y1561" s="6" t="n">
        <x:v>0</x:v>
      </x:c>
      <x:c r="Z1561" s="6" t="n">
        <x:v>0</x:v>
      </x:c>
      <x:c r="AA1561" s="6" t="n">
        <x:v>3</x:v>
      </x:c>
      <x:c r="AB1561" s="6" t="n">
        <x:v>11</x:v>
      </x:c>
      <x:c r="AC1561" s="6" t="n">
        <x:v>0</x:v>
      </x:c>
    </x:row>
    <x:row r="1562">
      <x:c r="A1562" s="6" t="n">
        <x:v>5424</x:v>
      </x:c>
      <x:c r="B1562" s="6" t="n">
        <x:v>1983</x:v>
      </x:c>
      <x:c r="C1562" s="6" t="str">
        <x:v>Graduation</x:v>
      </x:c>
      <x:c r="D1562" s="6" t="str">
        <x:v>Married</x:v>
      </x:c>
      <x:c r="E1562" s="6" t="n">
        <x:v>39922</x:v>
      </x:c>
      <x:c r="F1562" s="6" t="n">
        <x:v>1</x:v>
      </x:c>
      <x:c r="G1562" s="6" t="n">
        <x:v>0</x:v>
      </x:c>
      <x:c r="H1562" s="9" t="str">
        <x:v>14-02-2013</x:v>
      </x:c>
      <x:c r="I1562" s="6" t="n">
        <x:v>30</x:v>
      </x:c>
      <x:c r="J1562" s="6" t="n">
        <x:v>29</x:v>
      </x:c>
      <x:c r="K1562" s="6" t="n">
        <x:v>12</x:v>
      </x:c>
      <x:c r="L1562" s="6" t="n">
        <x:v>59</x:v>
      </x:c>
      <x:c r="M1562" s="6" t="n">
        <x:v>19</x:v>
      </x:c>
      <x:c r="N1562" s="6" t="n">
        <x:v>1</x:v>
      </x:c>
      <x:c r="O1562" s="6" t="n">
        <x:v>36</x:v>
      </x:c>
      <x:c r="P1562" s="6" t="n">
        <x:v>2</x:v>
      </x:c>
      <x:c r="Q1562" s="6" t="n">
        <x:v>3</x:v>
      </x:c>
      <x:c r="R1562" s="6" t="n">
        <x:v>0</x:v>
      </x:c>
      <x:c r="S1562" s="6" t="n">
        <x:v>4</x:v>
      </x:c>
      <x:c r="T1562" s="6" t="n">
        <x:v>8</x:v>
      </x:c>
      <x:c r="U1562" s="6" t="n">
        <x:v>0</x:v>
      </x:c>
      <x:c r="V1562" s="6" t="n">
        <x:v>0</x:v>
      </x:c>
      <x:c r="W1562" s="6" t="n">
        <x:v>0</x:v>
      </x:c>
      <x:c r="X1562" s="6" t="n">
        <x:v>0</x:v>
      </x:c>
      <x:c r="Y1562" s="6" t="n">
        <x:v>0</x:v>
      </x:c>
      <x:c r="Z1562" s="6" t="n">
        <x:v>0</x:v>
      </x:c>
      <x:c r="AA1562" s="6" t="n">
        <x:v>3</x:v>
      </x:c>
      <x:c r="AB1562" s="6" t="n">
        <x:v>11</x:v>
      </x:c>
      <x:c r="AC1562" s="6" t="n">
        <x:v>0</x:v>
      </x:c>
    </x:row>
    <x:row r="1563">
      <x:c r="A1563" s="6" t="n">
        <x:v>879</x:v>
      </x:c>
      <x:c r="B1563" s="6" t="n">
        <x:v>1976</x:v>
      </x:c>
      <x:c r="C1563" s="6" t="str">
        <x:v>Master</x:v>
      </x:c>
      <x:c r="D1563" s="6" t="str">
        <x:v>Married</x:v>
      </x:c>
      <x:c r="E1563" s="6" t="n">
        <x:v>49681</x:v>
      </x:c>
      <x:c r="F1563" s="6" t="n">
        <x:v>0</x:v>
      </x:c>
      <x:c r="G1563" s="6" t="n">
        <x:v>2</x:v>
      </x:c>
      <x:c r="H1563" s="9" t="str">
        <x:v>04-11-2013</x:v>
      </x:c>
      <x:c r="I1563" s="6" t="n">
        <x:v>66</x:v>
      </x:c>
      <x:c r="J1563" s="6" t="n">
        <x:v>411</x:v>
      </x:c>
      <x:c r="K1563" s="6" t="n">
        <x:v>0</x:v>
      </x:c>
      <x:c r="L1563" s="6" t="n">
        <x:v>26</x:v>
      </x:c>
      <x:c r="M1563" s="6" t="n">
        <x:v>0</x:v>
      </x:c>
      <x:c r="N1563" s="6" t="n">
        <x:v>0</x:v>
      </x:c>
      <x:c r="O1563" s="6" t="n">
        <x:v>21</x:v>
      </x:c>
      <x:c r="P1563" s="6" t="n">
        <x:v>6</x:v>
      </x:c>
      <x:c r="Q1563" s="6" t="n">
        <x:v>7</x:v>
      </x:c>
      <x:c r="R1563" s="6" t="n">
        <x:v>1</x:v>
      </x:c>
      <x:c r="S1563" s="6" t="n">
        <x:v>7</x:v>
      </x:c>
      <x:c r="T1563" s="6" t="n">
        <x:v>7</x:v>
      </x:c>
      <x:c r="U1563" s="6" t="n">
        <x:v>0</x:v>
      </x:c>
      <x:c r="V1563" s="6" t="n">
        <x:v>0</x:v>
      </x:c>
      <x:c r="W1563" s="6" t="n">
        <x:v>0</x:v>
      </x:c>
      <x:c r="X1563" s="6" t="n">
        <x:v>0</x:v>
      </x:c>
      <x:c r="Y1563" s="6" t="n">
        <x:v>0</x:v>
      </x:c>
      <x:c r="Z1563" s="6" t="n">
        <x:v>0</x:v>
      </x:c>
      <x:c r="AA1563" s="6" t="n">
        <x:v>3</x:v>
      </x:c>
      <x:c r="AB1563" s="6" t="n">
        <x:v>11</x:v>
      </x:c>
      <x:c r="AC1563" s="6" t="n">
        <x:v>0</x:v>
      </x:c>
    </x:row>
    <x:row r="1564">
      <x:c r="A1564" s="6" t="n">
        <x:v>9530</x:v>
      </x:c>
      <x:c r="B1564" s="6" t="n">
        <x:v>1988</x:v>
      </x:c>
      <x:c r="C1564" s="6" t="str">
        <x:v>Graduation</x:v>
      </x:c>
      <x:c r="D1564" s="6" t="str">
        <x:v>Married</x:v>
      </x:c>
      <x:c r="E1564" s="6" t="n">
        <x:v>24645</x:v>
      </x:c>
      <x:c r="F1564" s="6" t="n">
        <x:v>1</x:v>
      </x:c>
      <x:c r="G1564" s="6" t="n">
        <x:v>0</x:v>
      </x:c>
      <x:c r="H1564" s="9" t="str">
        <x:v>01-11-2012</x:v>
      </x:c>
      <x:c r="I1564" s="6" t="n">
        <x:v>16</x:v>
      </x:c>
      <x:c r="J1564" s="6" t="n">
        <x:v>5</x:v>
      </x:c>
      <x:c r="K1564" s="6" t="n">
        <x:v>3</x:v>
      </x:c>
      <x:c r="L1564" s="6" t="n">
        <x:v>4</x:v>
      </x:c>
      <x:c r="M1564" s="6" t="n">
        <x:v>4</x:v>
      </x:c>
      <x:c r="N1564" s="6" t="n">
        <x:v>1</x:v>
      </x:c>
      <x:c r="O1564" s="6" t="n">
        <x:v>0</x:v>
      </x:c>
      <x:c r="P1564" s="6" t="n">
        <x:v>1</x:v>
      </x:c>
      <x:c r="Q1564" s="6" t="n">
        <x:v>1</x:v>
      </x:c>
      <x:c r="R1564" s="6" t="n">
        <x:v>0</x:v>
      </x:c>
      <x:c r="S1564" s="6" t="n">
        <x:v>2</x:v>
      </x:c>
      <x:c r="T1564" s="6" t="n">
        <x:v>8</x:v>
      </x:c>
      <x:c r="U1564" s="6" t="n">
        <x:v>0</x:v>
      </x:c>
      <x:c r="V1564" s="6" t="n">
        <x:v>0</x:v>
      </x:c>
      <x:c r="W1564" s="6" t="n">
        <x:v>0</x:v>
      </x:c>
      <x:c r="X1564" s="6" t="n">
        <x:v>0</x:v>
      </x:c>
      <x:c r="Y1564" s="6" t="n">
        <x:v>0</x:v>
      </x:c>
      <x:c r="Z1564" s="6" t="n">
        <x:v>0</x:v>
      </x:c>
      <x:c r="AA1564" s="6" t="n">
        <x:v>3</x:v>
      </x:c>
      <x:c r="AB1564" s="6" t="n">
        <x:v>11</x:v>
      </x:c>
      <x:c r="AC1564" s="6" t="n">
        <x:v>0</x:v>
      </x:c>
    </x:row>
    <x:row r="1565">
      <x:c r="A1565" s="6" t="n">
        <x:v>4828</x:v>
      </x:c>
      <x:c r="B1565" s="6" t="n">
        <x:v>1954</x:v>
      </x:c>
      <x:c r="C1565" s="6" t="str">
        <x:v>Graduation</x:v>
      </x:c>
      <x:c r="D1565" s="6" t="str">
        <x:v>Divorced</x:v>
      </x:c>
      <x:c r="E1565" s="6" t="n">
        <x:v>79865</x:v>
      </x:c>
      <x:c r="F1565" s="6" t="n">
        <x:v>0</x:v>
      </x:c>
      <x:c r="G1565" s="6" t="n">
        <x:v>1</x:v>
      </x:c>
      <x:c r="H1565" s="9" t="str">
        <x:v>18-06-2014</x:v>
      </x:c>
      <x:c r="I1565" s="6" t="n">
        <x:v>12</x:v>
      </x:c>
      <x:c r="J1565" s="6" t="n">
        <x:v>71</x:v>
      </x:c>
      <x:c r="K1565" s="6" t="n">
        <x:v>99</x:v>
      </x:c>
      <x:c r="L1565" s="6" t="n">
        <x:v>278</x:v>
      </x:c>
      <x:c r="M1565" s="6" t="n">
        <x:v>185</x:v>
      </x:c>
      <x:c r="N1565" s="6" t="n">
        <x:v>121</x:v>
      </x:c>
      <x:c r="O1565" s="6" t="n">
        <x:v>38</x:v>
      </x:c>
      <x:c r="P1565" s="6" t="n">
        <x:v>1</x:v>
      </x:c>
      <x:c r="Q1565" s="6" t="n">
        <x:v>5</x:v>
      </x:c>
      <x:c r="R1565" s="6" t="n">
        <x:v>10</x:v>
      </x:c>
      <x:c r="S1565" s="6" t="n">
        <x:v>5</x:v>
      </x:c>
      <x:c r="T1565" s="6" t="n">
        <x:v>1</x:v>
      </x:c>
      <x:c r="U1565" s="6" t="n">
        <x:v>0</x:v>
      </x:c>
      <x:c r="V1565" s="6" t="n">
        <x:v>0</x:v>
      </x:c>
      <x:c r="W1565" s="6" t="n">
        <x:v>0</x:v>
      </x:c>
      <x:c r="X1565" s="6" t="n">
        <x:v>0</x:v>
      </x:c>
      <x:c r="Y1565" s="6" t="n">
        <x:v>0</x:v>
      </x:c>
      <x:c r="Z1565" s="6" t="n">
        <x:v>0</x:v>
      </x:c>
      <x:c r="AA1565" s="6" t="n">
        <x:v>3</x:v>
      </x:c>
      <x:c r="AB1565" s="6" t="n">
        <x:v>11</x:v>
      </x:c>
      <x:c r="AC1565" s="6" t="n">
        <x:v>0</x:v>
      </x:c>
    </x:row>
    <x:row r="1566">
      <x:c r="A1566" s="6" t="n">
        <x:v>10699</x:v>
      </x:c>
      <x:c r="B1566" s="6" t="n">
        <x:v>1985</x:v>
      </x:c>
      <x:c r="C1566" s="6" t="str">
        <x:v>Graduation</x:v>
      </x:c>
      <x:c r="D1566" s="6" t="str">
        <x:v>Married</x:v>
      </x:c>
      <x:c r="E1566" s="6" t="n">
        <x:v>44322</x:v>
      </x:c>
      <x:c r="F1566" s="6" t="n">
        <x:v>1</x:v>
      </x:c>
      <x:c r="G1566" s="6" t="n">
        <x:v>0</x:v>
      </x:c>
      <x:c r="H1566" s="9" t="str">
        <x:v>16-06-2014</x:v>
      </x:c>
      <x:c r="I1566" s="6" t="n">
        <x:v>30</x:v>
      </x:c>
      <x:c r="J1566" s="6" t="n">
        <x:v>46</x:v>
      </x:c>
      <x:c r="K1566" s="6" t="n">
        <x:v>0</x:v>
      </x:c>
      <x:c r="L1566" s="6" t="n">
        <x:v>40</x:v>
      </x:c>
      <x:c r="M1566" s="6" t="n">
        <x:v>3</x:v>
      </x:c>
      <x:c r="N1566" s="6" t="n">
        <x:v>0</x:v>
      </x:c>
      <x:c r="O1566" s="6" t="n">
        <x:v>3</x:v>
      </x:c>
      <x:c r="P1566" s="6" t="n">
        <x:v>2</x:v>
      </x:c>
      <x:c r="Q1566" s="6" t="n">
        <x:v>3</x:v>
      </x:c>
      <x:c r="R1566" s="6" t="n">
        <x:v>0</x:v>
      </x:c>
      <x:c r="S1566" s="6" t="n">
        <x:v>3</x:v>
      </x:c>
      <x:c r="T1566" s="6" t="n">
        <x:v>8</x:v>
      </x:c>
      <x:c r="U1566" s="6" t="n">
        <x:v>0</x:v>
      </x:c>
      <x:c r="V1566" s="6" t="n">
        <x:v>0</x:v>
      </x:c>
      <x:c r="W1566" s="6" t="n">
        <x:v>0</x:v>
      </x:c>
      <x:c r="X1566" s="6" t="n">
        <x:v>0</x:v>
      </x:c>
      <x:c r="Y1566" s="6" t="n">
        <x:v>0</x:v>
      </x:c>
      <x:c r="Z1566" s="6" t="n">
        <x:v>0</x:v>
      </x:c>
      <x:c r="AA1566" s="6" t="n">
        <x:v>3</x:v>
      </x:c>
      <x:c r="AB1566" s="6" t="n">
        <x:v>11</x:v>
      </x:c>
      <x:c r="AC1566" s="6" t="n">
        <x:v>0</x:v>
      </x:c>
    </x:row>
    <x:row r="1567">
      <x:c r="A1567" s="6" t="n">
        <x:v>1497</x:v>
      </x:c>
      <x:c r="B1567" s="6" t="n">
        <x:v>1952</x:v>
      </x:c>
      <x:c r="C1567" s="6" t="str">
        <x:v>Graduation</x:v>
      </x:c>
      <x:c r="D1567" s="6" t="str">
        <x:v>Single</x:v>
      </x:c>
      <x:c r="E1567" s="6" t="n">
        <x:v>47958</x:v>
      </x:c>
      <x:c r="F1567" s="6" t="n">
        <x:v>0</x:v>
      </x:c>
      <x:c r="G1567" s="6" t="n">
        <x:v>1</x:v>
      </x:c>
      <x:c r="H1567" s="9" t="str">
        <x:v>19-01-2013</x:v>
      </x:c>
      <x:c r="I1567" s="6" t="n">
        <x:v>8</x:v>
      </x:c>
      <x:c r="J1567" s="6" t="n">
        <x:v>268</x:v>
      </x:c>
      <x:c r="K1567" s="6" t="n">
        <x:v>11</x:v>
      </x:c>
      <x:c r="L1567" s="6" t="n">
        <x:v>88</x:v>
      </x:c>
      <x:c r="M1567" s="6" t="n">
        <x:v>15</x:v>
      </x:c>
      <x:c r="N1567" s="6" t="n">
        <x:v>3</x:v>
      </x:c>
      <x:c r="O1567" s="6" t="n">
        <x:v>22</x:v>
      </x:c>
      <x:c r="P1567" s="6" t="n">
        <x:v>2</x:v>
      </x:c>
      <x:c r="Q1567" s="6" t="n">
        <x:v>6</x:v>
      </x:c>
      <x:c r="R1567" s="6" t="n">
        <x:v>3</x:v>
      </x:c>
      <x:c r="S1567" s="6" t="n">
        <x:v>5</x:v>
      </x:c>
      <x:c r="T1567" s="6" t="n">
        <x:v>5</x:v>
      </x:c>
      <x:c r="U1567" s="6" t="n">
        <x:v>0</x:v>
      </x:c>
      <x:c r="V1567" s="6" t="n">
        <x:v>0</x:v>
      </x:c>
      <x:c r="W1567" s="6" t="n">
        <x:v>0</x:v>
      </x:c>
      <x:c r="X1567" s="6" t="n">
        <x:v>0</x:v>
      </x:c>
      <x:c r="Y1567" s="6" t="n">
        <x:v>0</x:v>
      </x:c>
      <x:c r="Z1567" s="6" t="n">
        <x:v>0</x:v>
      </x:c>
      <x:c r="AA1567" s="6" t="n">
        <x:v>3</x:v>
      </x:c>
      <x:c r="AB1567" s="6" t="n">
        <x:v>11</x:v>
      </x:c>
      <x:c r="AC1567" s="6" t="n">
        <x:v>0</x:v>
      </x:c>
    </x:row>
    <x:row r="1568">
      <x:c r="A1568" s="6" t="n">
        <x:v>7476</x:v>
      </x:c>
      <x:c r="B1568" s="6" t="n">
        <x:v>1964</x:v>
      </x:c>
      <x:c r="C1568" s="6" t="str">
        <x:v>Master</x:v>
      </x:c>
      <x:c r="D1568" s="6" t="str">
        <x:v>Single</x:v>
      </x:c>
      <x:c r="E1568" s="6" t="n">
        <x:v>63972</x:v>
      </x:c>
      <x:c r="F1568" s="6" t="n">
        <x:v>0</x:v>
      </x:c>
      <x:c r="G1568" s="6" t="n">
        <x:v>1</x:v>
      </x:c>
      <x:c r="H1568" s="9" t="str">
        <x:v>02-12-2012</x:v>
      </x:c>
      <x:c r="I1568" s="6" t="n">
        <x:v>93</x:v>
      </x:c>
      <x:c r="J1568" s="6" t="n">
        <x:v>928</x:v>
      </x:c>
      <x:c r="K1568" s="6" t="n">
        <x:v>63</x:v>
      </x:c>
      <x:c r="L1568" s="6" t="n">
        <x:v>254</x:v>
      </x:c>
      <x:c r="M1568" s="6" t="n">
        <x:v>0</x:v>
      </x:c>
      <x:c r="N1568" s="6" t="n">
        <x:v>12</x:v>
      </x:c>
      <x:c r="O1568" s="6" t="n">
        <x:v>12</x:v>
      </x:c>
      <x:c r="P1568" s="6" t="n">
        <x:v>4</x:v>
      </x:c>
      <x:c r="Q1568" s="6" t="n">
        <x:v>5</x:v>
      </x:c>
      <x:c r="R1568" s="6" t="n">
        <x:v>4</x:v>
      </x:c>
      <x:c r="S1568" s="6" t="n">
        <x:v>10</x:v>
      </x:c>
      <x:c r="T1568" s="6" t="n">
        <x:v>4</x:v>
      </x:c>
      <x:c r="U1568" s="6" t="n">
        <x:v>0</x:v>
      </x:c>
      <x:c r="V1568" s="6" t="n">
        <x:v>1</x:v>
      </x:c>
      <x:c r="W1568" s="6" t="n">
        <x:v>0</x:v>
      </x:c>
      <x:c r="X1568" s="6" t="n">
        <x:v>0</x:v>
      </x:c>
      <x:c r="Y1568" s="6" t="n">
        <x:v>0</x:v>
      </x:c>
      <x:c r="Z1568" s="6" t="n">
        <x:v>0</x:v>
      </x:c>
      <x:c r="AA1568" s="6" t="n">
        <x:v>3</x:v>
      </x:c>
      <x:c r="AB1568" s="6" t="n">
        <x:v>11</x:v>
      </x:c>
      <x:c r="AC1568" s="6" t="n">
        <x:v>0</x:v>
      </x:c>
    </x:row>
    <x:row r="1569">
      <x:c r="A1569" s="6" t="n">
        <x:v>4390</x:v>
      </x:c>
      <x:c r="B1569" s="6" t="n">
        <x:v>1954</x:v>
      </x:c>
      <x:c r="C1569" s="6" t="str">
        <x:v>Graduation</x:v>
      </x:c>
      <x:c r="D1569" s="6" t="str">
        <x:v>Together</x:v>
      </x:c>
      <x:c r="E1569" s="6" t="n">
        <x:v>75315</x:v>
      </x:c>
      <x:c r="F1569" s="6" t="n">
        <x:v>0</x:v>
      </x:c>
      <x:c r="G1569" s="6" t="n">
        <x:v>1</x:v>
      </x:c>
      <x:c r="H1569" s="9" t="str">
        <x:v>15-04-2014</x:v>
      </x:c>
      <x:c r="I1569" s="6" t="n">
        <x:v>14</x:v>
      </x:c>
      <x:c r="J1569" s="6" t="n">
        <x:v>459</x:v>
      </x:c>
      <x:c r="K1569" s="6" t="n">
        <x:v>15</x:v>
      </x:c>
      <x:c r="L1569" s="6" t="n">
        <x:v>171</x:v>
      </x:c>
      <x:c r="M1569" s="6" t="n">
        <x:v>142</x:v>
      </x:c>
      <x:c r="N1569" s="6" t="n">
        <x:v>23</x:v>
      </x:c>
      <x:c r="O1569" s="6" t="n">
        <x:v>31</x:v>
      </x:c>
      <x:c r="P1569" s="6" t="n">
        <x:v>2</x:v>
      </x:c>
      <x:c r="Q1569" s="6" t="n">
        <x:v>5</x:v>
      </x:c>
      <x:c r="R1569" s="6" t="n">
        <x:v>4</x:v>
      </x:c>
      <x:c r="S1569" s="6" t="n">
        <x:v>12</x:v>
      </x:c>
      <x:c r="T1569" s="6" t="n">
        <x:v>2</x:v>
      </x:c>
      <x:c r="U1569" s="6" t="n">
        <x:v>0</x:v>
      </x:c>
      <x:c r="V1569" s="6" t="n">
        <x:v>0</x:v>
      </x:c>
      <x:c r="W1569" s="6" t="n">
        <x:v>0</x:v>
      </x:c>
      <x:c r="X1569" s="6" t="n">
        <x:v>0</x:v>
      </x:c>
      <x:c r="Y1569" s="6" t="n">
        <x:v>0</x:v>
      </x:c>
      <x:c r="Z1569" s="6" t="n">
        <x:v>0</x:v>
      </x:c>
      <x:c r="AA1569" s="6" t="n">
        <x:v>3</x:v>
      </x:c>
      <x:c r="AB1569" s="6" t="n">
        <x:v>11</x:v>
      </x:c>
      <x:c r="AC1569" s="6" t="n">
        <x:v>0</x:v>
      </x:c>
    </x:row>
    <x:row r="1570">
      <x:c r="A1570" s="6" t="n">
        <x:v>10478</x:v>
      </x:c>
      <x:c r="B1570" s="6" t="n">
        <x:v>1950</x:v>
      </x:c>
      <x:c r="C1570" s="6" t="str">
        <x:v>PhD</x:v>
      </x:c>
      <x:c r="D1570" s="6" t="str">
        <x:v>Married</x:v>
      </x:c>
      <x:c r="E1570" s="6" t="n">
        <x:v>55517</x:v>
      </x:c>
      <x:c r="F1570" s="6" t="n">
        <x:v>1</x:v>
      </x:c>
      <x:c r="G1570" s="6" t="n">
        <x:v>1</x:v>
      </x:c>
      <x:c r="H1570" s="9" t="str">
        <x:v>27-09-2012</x:v>
      </x:c>
      <x:c r="I1570" s="6" t="n">
        <x:v>53</x:v>
      </x:c>
      <x:c r="J1570" s="6" t="n">
        <x:v>483</x:v>
      </x:c>
      <x:c r="K1570" s="6" t="n">
        <x:v>0</x:v>
      </x:c>
      <x:c r="L1570" s="6" t="n">
        <x:v>108</x:v>
      </x:c>
      <x:c r="M1570" s="6" t="n">
        <x:v>0</x:v>
      </x:c>
      <x:c r="N1570" s="6" t="n">
        <x:v>6</x:v>
      </x:c>
      <x:c r="O1570" s="6" t="n">
        <x:v>36</x:v>
      </x:c>
      <x:c r="P1570" s="6" t="n">
        <x:v>5</x:v>
      </x:c>
      <x:c r="Q1570" s="6" t="n">
        <x:v>11</x:v>
      </x:c>
      <x:c r="R1570" s="6" t="n">
        <x:v>1</x:v>
      </x:c>
      <x:c r="S1570" s="6" t="n">
        <x:v>6</x:v>
      </x:c>
      <x:c r="T1570" s="6" t="n">
        <x:v>9</x:v>
      </x:c>
      <x:c r="U1570" s="6" t="n">
        <x:v>0</x:v>
      </x:c>
      <x:c r="V1570" s="6" t="n">
        <x:v>0</x:v>
      </x:c>
      <x:c r="W1570" s="6" t="n">
        <x:v>0</x:v>
      </x:c>
      <x:c r="X1570" s="6" t="n">
        <x:v>0</x:v>
      </x:c>
      <x:c r="Y1570" s="6" t="n">
        <x:v>0</x:v>
      </x:c>
      <x:c r="Z1570" s="6" t="n">
        <x:v>0</x:v>
      </x:c>
      <x:c r="AA1570" s="6" t="n">
        <x:v>3</x:v>
      </x:c>
      <x:c r="AB1570" s="6" t="n">
        <x:v>11</x:v>
      </x:c>
      <x:c r="AC1570" s="6" t="n">
        <x:v>1</x:v>
      </x:c>
    </x:row>
    <x:row r="1571">
      <x:c r="A1571" s="6" t="n">
        <x:v>1081</x:v>
      </x:c>
      <x:c r="B1571" s="6" t="n">
        <x:v>1957</x:v>
      </x:c>
      <x:c r="C1571" s="6" t="str">
        <x:v>PhD</x:v>
      </x:c>
      <x:c r="D1571" s="6" t="str">
        <x:v>Married</x:v>
      </x:c>
      <x:c r="E1571" s="6" t="n">
        <x:v>75283</x:v>
      </x:c>
      <x:c r="F1571" s="6" t="n">
        <x:v>1</x:v>
      </x:c>
      <x:c r="G1571" s="6" t="n">
        <x:v>2</x:v>
      </x:c>
      <x:c r="H1571" s="9" t="str">
        <x:v>27-03-2013</x:v>
      </x:c>
      <x:c r="I1571" s="6" t="n">
        <x:v>26</x:v>
      </x:c>
      <x:c r="J1571" s="6" t="n">
        <x:v>733</x:v>
      </x:c>
      <x:c r="K1571" s="6" t="n">
        <x:v>9</x:v>
      </x:c>
      <x:c r="L1571" s="6" t="n">
        <x:v>180</x:v>
      </x:c>
      <x:c r="M1571" s="6" t="n">
        <x:v>12</x:v>
      </x:c>
      <x:c r="N1571" s="6" t="n">
        <x:v>19</x:v>
      </x:c>
      <x:c r="O1571" s="6" t="n">
        <x:v>66</x:v>
      </x:c>
      <x:c r="P1571" s="6" t="n">
        <x:v>11</x:v>
      </x:c>
      <x:c r="Q1571" s="6" t="n">
        <x:v>6</x:v>
      </x:c>
      <x:c r="R1571" s="6" t="n">
        <x:v>3</x:v>
      </x:c>
      <x:c r="S1571" s="6" t="n">
        <x:v>5</x:v>
      </x:c>
      <x:c r="T1571" s="6" t="n">
        <x:v>4</x:v>
      </x:c>
      <x:c r="U1571" s="6" t="n">
        <x:v>0</x:v>
      </x:c>
      <x:c r="V1571" s="6" t="n">
        <x:v>0</x:v>
      </x:c>
      <x:c r="W1571" s="6" t="n">
        <x:v>0</x:v>
      </x:c>
      <x:c r="X1571" s="6" t="n">
        <x:v>0</x:v>
      </x:c>
      <x:c r="Y1571" s="6" t="n">
        <x:v>0</x:v>
      </x:c>
      <x:c r="Z1571" s="6" t="n">
        <x:v>0</x:v>
      </x:c>
      <x:c r="AA1571" s="6" t="n">
        <x:v>3</x:v>
      </x:c>
      <x:c r="AB1571" s="6" t="n">
        <x:v>11</x:v>
      </x:c>
      <x:c r="AC1571" s="6" t="n">
        <x:v>0</x:v>
      </x:c>
    </x:row>
    <x:row r="1572">
      <x:c r="A1572" s="6" t="n">
        <x:v>4261</x:v>
      </x:c>
      <x:c r="B1572" s="6" t="n">
        <x:v>1946</x:v>
      </x:c>
      <x:c r="C1572" s="6" t="str">
        <x:v>PhD</x:v>
      </x:c>
      <x:c r="D1572" s="6" t="str">
        <x:v>Single</x:v>
      </x:c>
      <x:c r="E1572" s="6" t="n">
        <x:v>82800</x:v>
      </x:c>
      <x:c r="F1572" s="6" t="n">
        <x:v>0</x:v>
      </x:c>
      <x:c r="G1572" s="6" t="n">
        <x:v>0</x:v>
      </x:c>
      <x:c r="H1572" s="9" t="str">
        <x:v>24-11-2012</x:v>
      </x:c>
      <x:c r="I1572" s="6" t="n">
        <x:v>23</x:v>
      </x:c>
      <x:c r="J1572" s="6" t="n">
        <x:v>1006</x:v>
      </x:c>
      <x:c r="K1572" s="6" t="n">
        <x:v>22</x:v>
      </x:c>
      <x:c r="L1572" s="6" t="n">
        <x:v>115</x:v>
      </x:c>
      <x:c r="M1572" s="6" t="n">
        <x:v>59</x:v>
      </x:c>
      <x:c r="N1572" s="6" t="n">
        <x:v>68</x:v>
      </x:c>
      <x:c r="O1572" s="6" t="n">
        <x:v>45</x:v>
      </x:c>
      <x:c r="P1572" s="6" t="n">
        <x:v>1</x:v>
      </x:c>
      <x:c r="Q1572" s="6" t="n">
        <x:v>7</x:v>
      </x:c>
      <x:c r="R1572" s="6" t="n">
        <x:v>6</x:v>
      </x:c>
      <x:c r="S1572" s="6" t="n">
        <x:v>12</x:v>
      </x:c>
      <x:c r="T1572" s="6" t="n">
        <x:v>3</x:v>
      </x:c>
      <x:c r="U1572" s="6" t="n">
        <x:v>0</x:v>
      </x:c>
      <x:c r="V1572" s="6" t="n">
        <x:v>0</x:v>
      </x:c>
      <x:c r="W1572" s="6" t="n">
        <x:v>1</x:v>
      </x:c>
      <x:c r="X1572" s="6" t="n">
        <x:v>1</x:v>
      </x:c>
      <x:c r="Y1572" s="6" t="n">
        <x:v>0</x:v>
      </x:c>
      <x:c r="Z1572" s="6" t="n">
        <x:v>0</x:v>
      </x:c>
      <x:c r="AA1572" s="6" t="n">
        <x:v>3</x:v>
      </x:c>
      <x:c r="AB1572" s="6" t="n">
        <x:v>11</x:v>
      </x:c>
      <x:c r="AC1572" s="6" t="n">
        <x:v>1</x:v>
      </x:c>
    </x:row>
    <x:row r="1573">
      <x:c r="A1573" s="6" t="n">
        <x:v>9916</x:v>
      </x:c>
      <x:c r="B1573" s="6" t="n">
        <x:v>1954</x:v>
      </x:c>
      <x:c r="C1573" s="6" t="str">
        <x:v>Graduation</x:v>
      </x:c>
      <x:c r="D1573" s="6" t="str">
        <x:v>Married</x:v>
      </x:c>
      <x:c r="E1573" s="6" t="n">
        <x:v>38998</x:v>
      </x:c>
      <x:c r="F1573" s="6" t="n">
        <x:v>1</x:v>
      </x:c>
      <x:c r="G1573" s="6" t="n">
        <x:v>1</x:v>
      </x:c>
      <x:c r="H1573" s="9" t="str">
        <x:v>03-11-2012</x:v>
      </x:c>
      <x:c r="I1573" s="6" t="n">
        <x:v>92</x:v>
      </x:c>
      <x:c r="J1573" s="6" t="n">
        <x:v>34</x:v>
      </x:c>
      <x:c r="K1573" s="6" t="n">
        <x:v>1</x:v>
      </x:c>
      <x:c r="L1573" s="6" t="n">
        <x:v>14</x:v>
      </x:c>
      <x:c r="M1573" s="6" t="n">
        <x:v>0</x:v>
      </x:c>
      <x:c r="N1573" s="6" t="n">
        <x:v>0</x:v>
      </x:c>
      <x:c r="O1573" s="6" t="n">
        <x:v>5</x:v>
      </x:c>
      <x:c r="P1573" s="6" t="n">
        <x:v>3</x:v>
      </x:c>
      <x:c r="Q1573" s="6" t="n">
        <x:v>2</x:v>
      </x:c>
      <x:c r="R1573" s="6" t="n">
        <x:v>0</x:v>
      </x:c>
      <x:c r="S1573" s="6" t="n">
        <x:v>3</x:v>
      </x:c>
      <x:c r="T1573" s="6" t="n">
        <x:v>8</x:v>
      </x:c>
      <x:c r="U1573" s="6" t="n">
        <x:v>0</x:v>
      </x:c>
      <x:c r="V1573" s="6" t="n">
        <x:v>0</x:v>
      </x:c>
      <x:c r="W1573" s="6" t="n">
        <x:v>0</x:v>
      </x:c>
      <x:c r="X1573" s="6" t="n">
        <x:v>0</x:v>
      </x:c>
      <x:c r="Y1573" s="6" t="n">
        <x:v>0</x:v>
      </x:c>
      <x:c r="Z1573" s="6" t="n">
        <x:v>1</x:v>
      </x:c>
      <x:c r="AA1573" s="6" t="n">
        <x:v>3</x:v>
      </x:c>
      <x:c r="AB1573" s="6" t="n">
        <x:v>11</x:v>
      </x:c>
      <x:c r="AC1573" s="6" t="n">
        <x:v>0</x:v>
      </x:c>
    </x:row>
    <x:row r="1574">
      <x:c r="A1574" s="6" t="n">
        <x:v>5350</x:v>
      </x:c>
      <x:c r="B1574" s="6" t="n">
        <x:v>1991</x:v>
      </x:c>
      <x:c r="C1574" s="6" t="str">
        <x:v>Master</x:v>
      </x:c>
      <x:c r="D1574" s="6" t="str">
        <x:v>Single</x:v>
      </x:c>
      <x:c r="E1574" s="6" t="n">
        <x:v>90638</x:v>
      </x:c>
      <x:c r="F1574" s="6" t="n">
        <x:v>0</x:v>
      </x:c>
      <x:c r="G1574" s="6" t="n">
        <x:v>0</x:v>
      </x:c>
      <x:c r="H1574" s="9" t="str">
        <x:v>13-02-2014</x:v>
      </x:c>
      <x:c r="I1574" s="6" t="n">
        <x:v>29</x:v>
      </x:c>
      <x:c r="J1574" s="6" t="n">
        <x:v>1156</x:v>
      </x:c>
      <x:c r="K1574" s="6" t="n">
        <x:v>120</x:v>
      </x:c>
      <x:c r="L1574" s="6" t="n">
        <x:v>915</x:v>
      </x:c>
      <x:c r="M1574" s="6" t="n">
        <x:v>94</x:v>
      </x:c>
      <x:c r="N1574" s="6" t="n">
        <x:v>144</x:v>
      </x:c>
      <x:c r="O1574" s="6" t="n">
        <x:v>96</x:v>
      </x:c>
      <x:c r="P1574" s="6" t="n">
        <x:v>1</x:v>
      </x:c>
      <x:c r="Q1574" s="6" t="n">
        <x:v>3</x:v>
      </x:c>
      <x:c r="R1574" s="6" t="n">
        <x:v>4</x:v>
      </x:c>
      <x:c r="S1574" s="6" t="n">
        <x:v>10</x:v>
      </x:c>
      <x:c r="T1574" s="6" t="n">
        <x:v>1</x:v>
      </x:c>
      <x:c r="U1574" s="6" t="n">
        <x:v>0</x:v>
      </x:c>
      <x:c r="V1574" s="6" t="n">
        <x:v>0</x:v>
      </x:c>
      <x:c r="W1574" s="6" t="n">
        <x:v>1</x:v>
      </x:c>
      <x:c r="X1574" s="6" t="n">
        <x:v>0</x:v>
      </x:c>
      <x:c r="Y1574" s="6" t="n">
        <x:v>0</x:v>
      </x:c>
      <x:c r="Z1574" s="6" t="n">
        <x:v>0</x:v>
      </x:c>
      <x:c r="AA1574" s="6" t="n">
        <x:v>3</x:v>
      </x:c>
      <x:c r="AB1574" s="6" t="n">
        <x:v>11</x:v>
      </x:c>
      <x:c r="AC1574" s="6" t="n">
        <x:v>1</x:v>
      </x:c>
    </x:row>
    <x:row r="1575">
      <x:c r="A1575" s="6" t="n">
        <x:v>8135</x:v>
      </x:c>
      <x:c r="B1575" s="6" t="n">
        <x:v>1986</x:v>
      </x:c>
      <x:c r="C1575" s="6" t="str">
        <x:v>Master</x:v>
      </x:c>
      <x:c r="D1575" s="6" t="str">
        <x:v>Married</x:v>
      </x:c>
      <x:c r="E1575" s="6" t="n">
        <x:v>27161</x:v>
      </x:c>
      <x:c r="F1575" s="6" t="n">
        <x:v>1</x:v>
      </x:c>
      <x:c r="G1575" s="6" t="n">
        <x:v>0</x:v>
      </x:c>
      <x:c r="H1575" s="9" t="str">
        <x:v>28-10-2013</x:v>
      </x:c>
      <x:c r="I1575" s="6" t="n">
        <x:v>41</x:v>
      </x:c>
      <x:c r="J1575" s="6" t="n">
        <x:v>7</x:v>
      </x:c>
      <x:c r="K1575" s="6" t="n">
        <x:v>4</x:v>
      </x:c>
      <x:c r="L1575" s="6" t="n">
        <x:v>23</x:v>
      </x:c>
      <x:c r="M1575" s="6" t="n">
        <x:v>7</x:v>
      </x:c>
      <x:c r="N1575" s="6" t="n">
        <x:v>0</x:v>
      </x:c>
      <x:c r="O1575" s="6" t="n">
        <x:v>11</x:v>
      </x:c>
      <x:c r="P1575" s="6" t="n">
        <x:v>1</x:v>
      </x:c>
      <x:c r="Q1575" s="6" t="n">
        <x:v>1</x:v>
      </x:c>
      <x:c r="R1575" s="6" t="n">
        <x:v>0</x:v>
      </x:c>
      <x:c r="S1575" s="6" t="n">
        <x:v>3</x:v>
      </x:c>
      <x:c r="T1575" s="6" t="n">
        <x:v>7</x:v>
      </x:c>
      <x:c r="U1575" s="6" t="n">
        <x:v>0</x:v>
      </x:c>
      <x:c r="V1575" s="6" t="n">
        <x:v>0</x:v>
      </x:c>
      <x:c r="W1575" s="6" t="n">
        <x:v>0</x:v>
      </x:c>
      <x:c r="X1575" s="6" t="n">
        <x:v>0</x:v>
      </x:c>
      <x:c r="Y1575" s="6" t="n">
        <x:v>0</x:v>
      </x:c>
      <x:c r="Z1575" s="6" t="n">
        <x:v>0</x:v>
      </x:c>
      <x:c r="AA1575" s="6" t="n">
        <x:v>3</x:v>
      </x:c>
      <x:c r="AB1575" s="6" t="n">
        <x:v>11</x:v>
      </x:c>
      <x:c r="AC1575" s="6" t="n">
        <x:v>0</x:v>
      </x:c>
    </x:row>
    <x:row r="1576">
      <x:c r="A1576" s="6" t="n">
        <x:v>8685</x:v>
      </x:c>
      <x:c r="B1576" s="6" t="n">
        <x:v>1977</x:v>
      </x:c>
      <x:c r="C1576" s="6" t="str">
        <x:v>Graduation</x:v>
      </x:c>
      <x:c r="D1576" s="6" t="str">
        <x:v>Married</x:v>
      </x:c>
      <x:c r="E1576" s="6" t="n">
        <x:v>42014</x:v>
      </x:c>
      <x:c r="F1576" s="6" t="n">
        <x:v>1</x:v>
      </x:c>
      <x:c r="G1576" s="6" t="n">
        <x:v>0</x:v>
      </x:c>
      <x:c r="H1576" s="9" t="str">
        <x:v>17-08-2012</x:v>
      </x:c>
      <x:c r="I1576" s="6" t="n">
        <x:v>56</x:v>
      </x:c>
      <x:c r="J1576" s="6" t="n">
        <x:v>244</x:v>
      </x:c>
      <x:c r="K1576" s="6" t="n">
        <x:v>15</x:v>
      </x:c>
      <x:c r="L1576" s="6" t="n">
        <x:v>108</x:v>
      </x:c>
      <x:c r="M1576" s="6" t="n">
        <x:v>4</x:v>
      </x:c>
      <x:c r="N1576" s="6" t="n">
        <x:v>15</x:v>
      </x:c>
      <x:c r="O1576" s="6" t="n">
        <x:v>50</x:v>
      </x:c>
      <x:c r="P1576" s="6" t="n">
        <x:v>6</x:v>
      </x:c>
      <x:c r="Q1576" s="6" t="n">
        <x:v>7</x:v>
      </x:c>
      <x:c r="R1576" s="6" t="n">
        <x:v>1</x:v>
      </x:c>
      <x:c r="S1576" s="6" t="n">
        <x:v>6</x:v>
      </x:c>
      <x:c r="T1576" s="6" t="n">
        <x:v>8</x:v>
      </x:c>
      <x:c r="U1576" s="6" t="n">
        <x:v>0</x:v>
      </x:c>
      <x:c r="V1576" s="6" t="n">
        <x:v>0</x:v>
      </x:c>
      <x:c r="W1576" s="6" t="n">
        <x:v>0</x:v>
      </x:c>
      <x:c r="X1576" s="6" t="n">
        <x:v>0</x:v>
      </x:c>
      <x:c r="Y1576" s="6" t="n">
        <x:v>0</x:v>
      </x:c>
      <x:c r="Z1576" s="6" t="n">
        <x:v>0</x:v>
      </x:c>
      <x:c r="AA1576" s="6" t="n">
        <x:v>3</x:v>
      </x:c>
      <x:c r="AB1576" s="6" t="n">
        <x:v>11</x:v>
      </x:c>
      <x:c r="AC1576" s="6" t="n">
        <x:v>1</x:v>
      </x:c>
    </x:row>
    <x:row r="1577">
      <x:c r="A1577" s="6" t="n">
        <x:v>4967</x:v>
      </x:c>
      <x:c r="B1577" s="6" t="n">
        <x:v>1960</x:v>
      </x:c>
      <x:c r="C1577" s="6" t="str">
        <x:v>PhD</x:v>
      </x:c>
      <x:c r="D1577" s="6" t="str">
        <x:v>Together</x:v>
      </x:c>
      <x:c r="E1577" s="6" t="n">
        <x:v>38201</x:v>
      </x:c>
      <x:c r="F1577" s="6" t="n">
        <x:v>0</x:v>
      </x:c>
      <x:c r="G1577" s="6" t="n">
        <x:v>1</x:v>
      </x:c>
      <x:c r="H1577" s="9" t="str">
        <x:v>29-03-2013</x:v>
      </x:c>
      <x:c r="I1577" s="6" t="n">
        <x:v>19</x:v>
      </x:c>
      <x:c r="J1577" s="6" t="n">
        <x:v>233</x:v>
      </x:c>
      <x:c r="K1577" s="6" t="n">
        <x:v>0</x:v>
      </x:c>
      <x:c r="L1577" s="6" t="n">
        <x:v>23</x:v>
      </x:c>
      <x:c r="M1577" s="6" t="n">
        <x:v>0</x:v>
      </x:c>
      <x:c r="N1577" s="6" t="n">
        <x:v>0</x:v>
      </x:c>
      <x:c r="O1577" s="6" t="n">
        <x:v>12</x:v>
      </x:c>
      <x:c r="P1577" s="6" t="n">
        <x:v>4</x:v>
      </x:c>
      <x:c r="Q1577" s="6" t="n">
        <x:v>5</x:v>
      </x:c>
      <x:c r="R1577" s="6" t="n">
        <x:v>1</x:v>
      </x:c>
      <x:c r="S1577" s="6" t="n">
        <x:v>5</x:v>
      </x:c>
      <x:c r="T1577" s="6" t="n">
        <x:v>8</x:v>
      </x:c>
      <x:c r="U1577" s="6" t="n">
        <x:v>0</x:v>
      </x:c>
      <x:c r="V1577" s="6" t="n">
        <x:v>0</x:v>
      </x:c>
      <x:c r="W1577" s="6" t="n">
        <x:v>0</x:v>
      </x:c>
      <x:c r="X1577" s="6" t="n">
        <x:v>0</x:v>
      </x:c>
      <x:c r="Y1577" s="6" t="n">
        <x:v>0</x:v>
      </x:c>
      <x:c r="Z1577" s="6" t="n">
        <x:v>0</x:v>
      </x:c>
      <x:c r="AA1577" s="6" t="n">
        <x:v>3</x:v>
      </x:c>
      <x:c r="AB1577" s="6" t="n">
        <x:v>11</x:v>
      </x:c>
      <x:c r="AC1577" s="6" t="n">
        <x:v>0</x:v>
      </x:c>
    </x:row>
    <x:row r="1578">
      <x:c r="A1578" s="6" t="n">
        <x:v>2130</x:v>
      </x:c>
      <x:c r="B1578" s="6" t="n">
        <x:v>1982</x:v>
      </x:c>
      <x:c r="C1578" s="6" t="str">
        <x:v>Graduation</x:v>
      </x:c>
      <x:c r="D1578" s="6" t="str">
        <x:v>Together</x:v>
      </x:c>
      <x:c r="E1578" s="6" t="n">
        <x:v>45203</x:v>
      </x:c>
      <x:c r="F1578" s="6" t="n">
        <x:v>2</x:v>
      </x:c>
      <x:c r="G1578" s="6" t="n">
        <x:v>0</x:v>
      </x:c>
      <x:c r="H1578" s="9" t="str">
        <x:v>23-03-2014</x:v>
      </x:c>
      <x:c r="I1578" s="6" t="n">
        <x:v>4</x:v>
      </x:c>
      <x:c r="J1578" s="6" t="n">
        <x:v>35</x:v>
      </x:c>
      <x:c r="K1578" s="6" t="n">
        <x:v>3</x:v>
      </x:c>
      <x:c r="L1578" s="6" t="n">
        <x:v>67</x:v>
      </x:c>
      <x:c r="M1578" s="6" t="n">
        <x:v>10</x:v>
      </x:c>
      <x:c r="N1578" s="6" t="n">
        <x:v>8</x:v>
      </x:c>
      <x:c r="O1578" s="6" t="n">
        <x:v>24</x:v>
      </x:c>
      <x:c r="P1578" s="6" t="n">
        <x:v>1</x:v>
      </x:c>
      <x:c r="Q1578" s="6" t="n">
        <x:v>3</x:v>
      </x:c>
      <x:c r="R1578" s="6" t="n">
        <x:v>1</x:v>
      </x:c>
      <x:c r="S1578" s="6" t="n">
        <x:v>3</x:v>
      </x:c>
      <x:c r="T1578" s="6" t="n">
        <x:v>6</x:v>
      </x:c>
      <x:c r="U1578" s="6" t="n">
        <x:v>0</x:v>
      </x:c>
      <x:c r="V1578" s="6" t="n">
        <x:v>0</x:v>
      </x:c>
      <x:c r="W1578" s="6" t="n">
        <x:v>0</x:v>
      </x:c>
      <x:c r="X1578" s="6" t="n">
        <x:v>0</x:v>
      </x:c>
      <x:c r="Y1578" s="6" t="n">
        <x:v>0</x:v>
      </x:c>
      <x:c r="Z1578" s="6" t="n">
        <x:v>0</x:v>
      </x:c>
      <x:c r="AA1578" s="6" t="n">
        <x:v>3</x:v>
      </x:c>
      <x:c r="AB1578" s="6" t="n">
        <x:v>11</x:v>
      </x:c>
      <x:c r="AC1578" s="6" t="n">
        <x:v>1</x:v>
      </x:c>
    </x:row>
    <x:row r="1579">
      <x:c r="A1579" s="6" t="n">
        <x:v>9298</x:v>
      </x:c>
      <x:c r="B1579" s="6" t="n">
        <x:v>1947</x:v>
      </x:c>
      <x:c r="C1579" s="6" t="str">
        <x:v>PhD</x:v>
      </x:c>
      <x:c r="D1579" s="6" t="str">
        <x:v>Together</x:v>
      </x:c>
      <x:c r="E1579" s="6" t="n">
        <x:v>81574</x:v>
      </x:c>
      <x:c r="F1579" s="6" t="n">
        <x:v>0</x:v>
      </x:c>
      <x:c r="G1579" s="6" t="n">
        <x:v>0</x:v>
      </x:c>
      <x:c r="H1579" s="9" t="str">
        <x:v>28-04-2014</x:v>
      </x:c>
      <x:c r="I1579" s="6" t="n">
        <x:v>89</x:v>
      </x:c>
      <x:c r="J1579" s="6" t="n">
        <x:v>1252</x:v>
      </x:c>
      <x:c r="K1579" s="6" t="n">
        <x:v>0</x:v>
      </x:c>
      <x:c r="L1579" s="6" t="n">
        <x:v>465</x:v>
      </x:c>
      <x:c r="M1579" s="6" t="n">
        <x:v>46</x:v>
      </x:c>
      <x:c r="N1579" s="6" t="n">
        <x:v>35</x:v>
      </x:c>
      <x:c r="O1579" s="6" t="n">
        <x:v>0</x:v>
      </x:c>
      <x:c r="P1579" s="6" t="n">
        <x:v>1</x:v>
      </x:c>
      <x:c r="Q1579" s="6" t="n">
        <x:v>4</x:v>
      </x:c>
      <x:c r="R1579" s="6" t="n">
        <x:v>5</x:v>
      </x:c>
      <x:c r="S1579" s="6" t="n">
        <x:v>8</x:v>
      </x:c>
      <x:c r="T1579" s="6" t="n">
        <x:v>1</x:v>
      </x:c>
      <x:c r="U1579" s="6" t="n">
        <x:v>0</x:v>
      </x:c>
      <x:c r="V1579" s="6" t="n">
        <x:v>1</x:v>
      </x:c>
      <x:c r="W1579" s="6" t="n">
        <x:v>1</x:v>
      </x:c>
      <x:c r="X1579" s="6" t="n">
        <x:v>0</x:v>
      </x:c>
      <x:c r="Y1579" s="6" t="n">
        <x:v>0</x:v>
      </x:c>
      <x:c r="Z1579" s="6" t="n">
        <x:v>0</x:v>
      </x:c>
      <x:c r="AA1579" s="6" t="n">
        <x:v>3</x:v>
      </x:c>
      <x:c r="AB1579" s="6" t="n">
        <x:v>11</x:v>
      </x:c>
      <x:c r="AC1579" s="6" t="n">
        <x:v>0</x:v>
      </x:c>
    </x:row>
    <x:row r="1580">
      <x:c r="A1580" s="6" t="n">
        <x:v>8175</x:v>
      </x:c>
      <x:c r="B1580" s="6" t="n">
        <x:v>1992</x:v>
      </x:c>
      <x:c r="C1580" s="6" t="str">
        <x:v>Graduation</x:v>
      </x:c>
      <x:c r="D1580" s="6" t="str">
        <x:v>Married</x:v>
      </x:c>
      <x:c r="E1580" s="6" t="n">
        <x:v>34935</x:v>
      </x:c>
      <x:c r="F1580" s="6" t="n">
        <x:v>0</x:v>
      </x:c>
      <x:c r="G1580" s="6" t="n">
        <x:v>0</x:v>
      </x:c>
      <x:c r="H1580" s="9" t="str">
        <x:v>21-06-2013</x:v>
      </x:c>
      <x:c r="I1580" s="6" t="n">
        <x:v>71</x:v>
      </x:c>
      <x:c r="J1580" s="6" t="n">
        <x:v>34</x:v>
      </x:c>
      <x:c r="K1580" s="6" t="n">
        <x:v>4</x:v>
      </x:c>
      <x:c r="L1580" s="6" t="n">
        <x:v>66</x:v>
      </x:c>
      <x:c r="M1580" s="6" t="n">
        <x:v>3</x:v>
      </x:c>
      <x:c r="N1580" s="6" t="n">
        <x:v>10</x:v>
      </x:c>
      <x:c r="O1580" s="6" t="n">
        <x:v>20</x:v>
      </x:c>
      <x:c r="P1580" s="6" t="n">
        <x:v>1</x:v>
      </x:c>
      <x:c r="Q1580" s="6" t="n">
        <x:v>2</x:v>
      </x:c>
      <x:c r="R1580" s="6" t="n">
        <x:v>1</x:v>
      </x:c>
      <x:c r="S1580" s="6" t="n">
        <x:v>4</x:v>
      </x:c>
      <x:c r="T1580" s="6" t="n">
        <x:v>7</x:v>
      </x:c>
      <x:c r="U1580" s="6" t="n">
        <x:v>0</x:v>
      </x:c>
      <x:c r="V1580" s="6" t="n">
        <x:v>0</x:v>
      </x:c>
      <x:c r="W1580" s="6" t="n">
        <x:v>0</x:v>
      </x:c>
      <x:c r="X1580" s="6" t="n">
        <x:v>0</x:v>
      </x:c>
      <x:c r="Y1580" s="6" t="n">
        <x:v>0</x:v>
      </x:c>
      <x:c r="Z1580" s="6" t="n">
        <x:v>0</x:v>
      </x:c>
      <x:c r="AA1580" s="6" t="n">
        <x:v>3</x:v>
      </x:c>
      <x:c r="AB1580" s="6" t="n">
        <x:v>11</x:v>
      </x:c>
      <x:c r="AC1580" s="6" t="n">
        <x:v>0</x:v>
      </x:c>
    </x:row>
    <x:row r="1581">
      <x:c r="A1581" s="6" t="n">
        <x:v>6257</x:v>
      </x:c>
      <x:c r="B1581" s="6" t="n">
        <x:v>1976</x:v>
      </x:c>
      <x:c r="C1581" s="6" t="str">
        <x:v>Master</x:v>
      </x:c>
      <x:c r="D1581" s="6" t="str">
        <x:v>Single</x:v>
      </x:c>
      <x:c r="E1581" s="6" t="n">
        <x:v>60482</x:v>
      </x:c>
      <x:c r="F1581" s="6" t="n">
        <x:v>0</x:v>
      </x:c>
      <x:c r="G1581" s="6" t="n">
        <x:v>1</x:v>
      </x:c>
      <x:c r="H1581" s="9" t="str">
        <x:v>23-01-2013</x:v>
      </x:c>
      <x:c r="I1581" s="6" t="n">
        <x:v>81</x:v>
      </x:c>
      <x:c r="J1581" s="6" t="n">
        <x:v>255</x:v>
      </x:c>
      <x:c r="K1581" s="6" t="n">
        <x:v>43</x:v>
      </x:c>
      <x:c r="L1581" s="6" t="n">
        <x:v>134</x:v>
      </x:c>
      <x:c r="M1581" s="6" t="n">
        <x:v>37</x:v>
      </x:c>
      <x:c r="N1581" s="6" t="n">
        <x:v>14</x:v>
      </x:c>
      <x:c r="O1581" s="6" t="n">
        <x:v>24</x:v>
      </x:c>
      <x:c r="P1581" s="6" t="n">
        <x:v>1</x:v>
      </x:c>
      <x:c r="Q1581" s="6" t="n">
        <x:v>7</x:v>
      </x:c>
      <x:c r="R1581" s="6" t="n">
        <x:v>2</x:v>
      </x:c>
      <x:c r="S1581" s="6" t="n">
        <x:v>7</x:v>
      </x:c>
      <x:c r="T1581" s="6" t="n">
        <x:v>7</x:v>
      </x:c>
      <x:c r="U1581" s="6" t="n">
        <x:v>0</x:v>
      </x:c>
      <x:c r="V1581" s="6" t="n">
        <x:v>0</x:v>
      </x:c>
      <x:c r="W1581" s="6" t="n">
        <x:v>0</x:v>
      </x:c>
      <x:c r="X1581" s="6" t="n">
        <x:v>0</x:v>
      </x:c>
      <x:c r="Y1581" s="6" t="n">
        <x:v>0</x:v>
      </x:c>
      <x:c r="Z1581" s="6" t="n">
        <x:v>0</x:v>
      </x:c>
      <x:c r="AA1581" s="6" t="n">
        <x:v>3</x:v>
      </x:c>
      <x:c r="AB1581" s="6" t="n">
        <x:v>11</x:v>
      </x:c>
      <x:c r="AC1581" s="6" t="n">
        <x:v>0</x:v>
      </x:c>
    </x:row>
    <x:row r="1582">
      <x:c r="A1582" s="6" t="n">
        <x:v>3790</x:v>
      </x:c>
      <x:c r="B1582" s="6" t="n">
        <x:v>1956</x:v>
      </x:c>
      <x:c r="C1582" s="6" t="str">
        <x:v>Graduation</x:v>
      </x:c>
      <x:c r="D1582" s="6" t="str">
        <x:v>Together</x:v>
      </x:c>
      <x:c r="E1582" s="6" t="n">
        <x:v>34633</x:v>
      </x:c>
      <x:c r="F1582" s="6" t="n">
        <x:v>2</x:v>
      </x:c>
      <x:c r="G1582" s="6" t="n">
        <x:v>1</x:v>
      </x:c>
      <x:c r="H1582" s="9" t="str">
        <x:v>23-01-2014</x:v>
      </x:c>
      <x:c r="I1582" s="6" t="n">
        <x:v>31</x:v>
      </x:c>
      <x:c r="J1582" s="6" t="n">
        <x:v>8</x:v>
      </x:c>
      <x:c r="K1582" s="6" t="n">
        <x:v>1</x:v>
      </x:c>
      <x:c r="L1582" s="6" t="n">
        <x:v>5</x:v>
      </x:c>
      <x:c r="M1582" s="6" t="n">
        <x:v>0</x:v>
      </x:c>
      <x:c r="N1582" s="6" t="n">
        <x:v>0</x:v>
      </x:c>
      <x:c r="O1582" s="6" t="n">
        <x:v>1</x:v>
      </x:c>
      <x:c r="P1582" s="6" t="n">
        <x:v>1</x:v>
      </x:c>
      <x:c r="Q1582" s="6" t="n">
        <x:v>1</x:v>
      </x:c>
      <x:c r="R1582" s="6" t="n">
        <x:v>0</x:v>
      </x:c>
      <x:c r="S1582" s="6" t="n">
        <x:v>2</x:v>
      </x:c>
      <x:c r="T1582" s="6" t="n">
        <x:v>6</x:v>
      </x:c>
      <x:c r="U1582" s="6" t="n">
        <x:v>0</x:v>
      </x:c>
      <x:c r="V1582" s="6" t="n">
        <x:v>0</x:v>
      </x:c>
      <x:c r="W1582" s="6" t="n">
        <x:v>0</x:v>
      </x:c>
      <x:c r="X1582" s="6" t="n">
        <x:v>0</x:v>
      </x:c>
      <x:c r="Y1582" s="6" t="n">
        <x:v>0</x:v>
      </x:c>
      <x:c r="Z1582" s="6" t="n">
        <x:v>0</x:v>
      </x:c>
      <x:c r="AA1582" s="6" t="n">
        <x:v>3</x:v>
      </x:c>
      <x:c r="AB1582" s="6" t="n">
        <x:v>11</x:v>
      </x:c>
      <x:c r="AC1582" s="6" t="n">
        <x:v>0</x:v>
      </x:c>
    </x:row>
    <x:row r="1583">
      <x:c r="A1583" s="6" t="n">
        <x:v>9952</x:v>
      </x:c>
      <x:c r="B1583" s="6" t="n">
        <x:v>1947</x:v>
      </x:c>
      <x:c r="C1583" s="6" t="str">
        <x:v>Master</x:v>
      </x:c>
      <x:c r="D1583" s="6" t="str">
        <x:v>Together</x:v>
      </x:c>
      <x:c r="E1583" s="6" t="n">
        <x:v>78093</x:v>
      </x:c>
      <x:c r="F1583" s="6" t="n">
        <x:v>0</x:v>
      </x:c>
      <x:c r="G1583" s="6" t="n">
        <x:v>0</x:v>
      </x:c>
      <x:c r="H1583" s="9" t="str">
        <x:v>11-12-2013</x:v>
      </x:c>
      <x:c r="I1583" s="6" t="n">
        <x:v>53</x:v>
      </x:c>
      <x:c r="J1583" s="6" t="n">
        <x:v>368</x:v>
      </x:c>
      <x:c r="K1583" s="6" t="n">
        <x:v>32</x:v>
      </x:c>
      <x:c r="L1583" s="6" t="n">
        <x:v>639</x:v>
      </x:c>
      <x:c r="M1583" s="6" t="n">
        <x:v>13</x:v>
      </x:c>
      <x:c r="N1583" s="6" t="n">
        <x:v>43</x:v>
      </x:c>
      <x:c r="O1583" s="6" t="n">
        <x:v>10</x:v>
      </x:c>
      <x:c r="P1583" s="6" t="n">
        <x:v>1</x:v>
      </x:c>
      <x:c r="Q1583" s="6" t="n">
        <x:v>4</x:v>
      </x:c>
      <x:c r="R1583" s="6" t="n">
        <x:v>7</x:v>
      </x:c>
      <x:c r="S1583" s="6" t="n">
        <x:v>5</x:v>
      </x:c>
      <x:c r="T1583" s="6" t="n">
        <x:v>1</x:v>
      </x:c>
      <x:c r="U1583" s="6" t="n">
        <x:v>0</x:v>
      </x:c>
      <x:c r="V1583" s="6" t="n">
        <x:v>0</x:v>
      </x:c>
      <x:c r="W1583" s="6" t="n">
        <x:v>0</x:v>
      </x:c>
      <x:c r="X1583" s="6" t="n">
        <x:v>0</x:v>
      </x:c>
      <x:c r="Y1583" s="6" t="n">
        <x:v>0</x:v>
      </x:c>
      <x:c r="Z1583" s="6" t="n">
        <x:v>0</x:v>
      </x:c>
      <x:c r="AA1583" s="6" t="n">
        <x:v>3</x:v>
      </x:c>
      <x:c r="AB1583" s="6" t="n">
        <x:v>11</x:v>
      </x:c>
      <x:c r="AC1583" s="6" t="n">
        <x:v>0</x:v>
      </x:c>
    </x:row>
    <x:row r="1584">
      <x:c r="A1584" s="6" t="n">
        <x:v>3503</x:v>
      </x:c>
      <x:c r="B1584" s="6" t="n">
        <x:v>1950</x:v>
      </x:c>
      <x:c r="C1584" s="6" t="str">
        <x:v>Graduation</x:v>
      </x:c>
      <x:c r="D1584" s="6" t="str">
        <x:v>Divorced</x:v>
      </x:c>
      <x:c r="E1584" s="6" t="n">
        <x:v>82460</x:v>
      </x:c>
      <x:c r="F1584" s="6" t="n">
        <x:v>0</x:v>
      </x:c>
      <x:c r="G1584" s="6" t="n">
        <x:v>0</x:v>
      </x:c>
      <x:c r="H1584" s="9" t="str">
        <x:v>02-12-2013</x:v>
      </x:c>
      <x:c r="I1584" s="6" t="n">
        <x:v>78</x:v>
      </x:c>
      <x:c r="J1584" s="6" t="n">
        <x:v>255</x:v>
      </x:c>
      <x:c r="K1584" s="6" t="n">
        <x:v>47</x:v>
      </x:c>
      <x:c r="L1584" s="6" t="n">
        <x:v>573</x:v>
      </x:c>
      <x:c r="M1584" s="6" t="n">
        <x:v>52</x:v>
      </x:c>
      <x:c r="N1584" s="6" t="n">
        <x:v>32</x:v>
      </x:c>
      <x:c r="O1584" s="6" t="n">
        <x:v>15</x:v>
      </x:c>
      <x:c r="P1584" s="6" t="n">
        <x:v>1</x:v>
      </x:c>
      <x:c r="Q1584" s="6" t="n">
        <x:v>5</x:v>
      </x:c>
      <x:c r="R1584" s="6" t="n">
        <x:v>3</x:v>
      </x:c>
      <x:c r="S1584" s="6" t="n">
        <x:v>6</x:v>
      </x:c>
      <x:c r="T1584" s="6" t="n">
        <x:v>1</x:v>
      </x:c>
      <x:c r="U1584" s="6" t="n">
        <x:v>0</x:v>
      </x:c>
      <x:c r="V1584" s="6" t="n">
        <x:v>0</x:v>
      </x:c>
      <x:c r="W1584" s="6" t="n">
        <x:v>0</x:v>
      </x:c>
      <x:c r="X1584" s="6" t="n">
        <x:v>0</x:v>
      </x:c>
      <x:c r="Y1584" s="6" t="n">
        <x:v>0</x:v>
      </x:c>
      <x:c r="Z1584" s="6" t="n">
        <x:v>0</x:v>
      </x:c>
      <x:c r="AA1584" s="6" t="n">
        <x:v>3</x:v>
      </x:c>
      <x:c r="AB1584" s="6" t="n">
        <x:v>11</x:v>
      </x:c>
      <x:c r="AC1584" s="6" t="n">
        <x:v>0</x:v>
      </x:c>
    </x:row>
    <x:row r="1585">
      <x:c r="A1585" s="6" t="n">
        <x:v>5223</x:v>
      </x:c>
      <x:c r="B1585" s="6" t="n">
        <x:v>1966</x:v>
      </x:c>
      <x:c r="C1585" s="6" t="str">
        <x:v>Master</x:v>
      </x:c>
      <x:c r="D1585" s="6" t="str">
        <x:v>Together</x:v>
      </x:c>
      <x:c r="E1585" s="6" t="n">
        <x:v>45903</x:v>
      </x:c>
      <x:c r="F1585" s="6" t="n">
        <x:v>0</x:v>
      </x:c>
      <x:c r="G1585" s="6" t="n">
        <x:v>1</x:v>
      </x:c>
      <x:c r="H1585" s="9" t="str">
        <x:v>23-04-2014</x:v>
      </x:c>
      <x:c r="I1585" s="6" t="n">
        <x:v>80</x:v>
      </x:c>
      <x:c r="J1585" s="6" t="n">
        <x:v>33</x:v>
      </x:c>
      <x:c r="K1585" s="6" t="n">
        <x:v>8</x:v>
      </x:c>
      <x:c r="L1585" s="6" t="n">
        <x:v>10</x:v>
      </x:c>
      <x:c r="M1585" s="6" t="n">
        <x:v>2</x:v>
      </x:c>
      <x:c r="N1585" s="6" t="n">
        <x:v>10</x:v>
      </x:c>
      <x:c r="O1585" s="6" t="n">
        <x:v>3</x:v>
      </x:c>
      <x:c r="P1585" s="6" t="n">
        <x:v>2</x:v>
      </x:c>
      <x:c r="Q1585" s="6" t="n">
        <x:v>2</x:v>
      </x:c>
      <x:c r="R1585" s="6" t="n">
        <x:v>1</x:v>
      </x:c>
      <x:c r="S1585" s="6" t="n">
        <x:v>3</x:v>
      </x:c>
      <x:c r="T1585" s="6" t="n">
        <x:v>4</x:v>
      </x:c>
      <x:c r="U1585" s="6" t="n">
        <x:v>0</x:v>
      </x:c>
      <x:c r="V1585" s="6" t="n">
        <x:v>0</x:v>
      </x:c>
      <x:c r="W1585" s="6" t="n">
        <x:v>0</x:v>
      </x:c>
      <x:c r="X1585" s="6" t="n">
        <x:v>0</x:v>
      </x:c>
      <x:c r="Y1585" s="6" t="n">
        <x:v>0</x:v>
      </x:c>
      <x:c r="Z1585" s="6" t="n">
        <x:v>0</x:v>
      </x:c>
      <x:c r="AA1585" s="6" t="n">
        <x:v>3</x:v>
      </x:c>
      <x:c r="AB1585" s="6" t="n">
        <x:v>11</x:v>
      </x:c>
      <x:c r="AC1585" s="6" t="n">
        <x:v>0</x:v>
      </x:c>
    </x:row>
    <x:row r="1586">
      <x:c r="A1586" s="6" t="n">
        <x:v>4608</x:v>
      </x:c>
      <x:c r="B1586" s="6" t="n">
        <x:v>1987</x:v>
      </x:c>
      <x:c r="C1586" s="6" t="str">
        <x:v>Graduation</x:v>
      </x:c>
      <x:c r="D1586" s="6" t="str">
        <x:v>Divorced</x:v>
      </x:c>
      <x:c r="E1586" s="6" t="n">
        <x:v>81361</x:v>
      </x:c>
      <x:c r="F1586" s="6" t="n">
        <x:v>0</x:v>
      </x:c>
      <x:c r="G1586" s="6" t="n">
        <x:v>0</x:v>
      </x:c>
      <x:c r="H1586" s="9" t="str">
        <x:v>25-02-2014</x:v>
      </x:c>
      <x:c r="I1586" s="6" t="n">
        <x:v>18</x:v>
      </x:c>
      <x:c r="J1586" s="6" t="n">
        <x:v>163</x:v>
      </x:c>
      <x:c r="K1586" s="6" t="n">
        <x:v>23</x:v>
      </x:c>
      <x:c r="L1586" s="6" t="n">
        <x:v>424</x:v>
      </x:c>
      <x:c r="M1586" s="6" t="n">
        <x:v>27</x:v>
      </x:c>
      <x:c r="N1586" s="6" t="n">
        <x:v>65</x:v>
      </x:c>
      <x:c r="O1586" s="6" t="n">
        <x:v>76</x:v>
      </x:c>
      <x:c r="P1586" s="6" t="n">
        <x:v>1</x:v>
      </x:c>
      <x:c r="Q1586" s="6" t="n">
        <x:v>3</x:v>
      </x:c>
      <x:c r="R1586" s="6" t="n">
        <x:v>10</x:v>
      </x:c>
      <x:c r="S1586" s="6" t="n">
        <x:v>13</x:v>
      </x:c>
      <x:c r="T1586" s="6" t="n">
        <x:v>1</x:v>
      </x:c>
      <x:c r="U1586" s="6" t="n">
        <x:v>0</x:v>
      </x:c>
      <x:c r="V1586" s="6" t="n">
        <x:v>0</x:v>
      </x:c>
      <x:c r="W1586" s="6" t="n">
        <x:v>0</x:v>
      </x:c>
      <x:c r="X1586" s="6" t="n">
        <x:v>0</x:v>
      </x:c>
      <x:c r="Y1586" s="6" t="n">
        <x:v>0</x:v>
      </x:c>
      <x:c r="Z1586" s="6" t="n">
        <x:v>0</x:v>
      </x:c>
      <x:c r="AA1586" s="6" t="n">
        <x:v>3</x:v>
      </x:c>
      <x:c r="AB1586" s="6" t="n">
        <x:v>11</x:v>
      </x:c>
      <x:c r="AC1586" s="6" t="n">
        <x:v>1</x:v>
      </x:c>
    </x:row>
    <x:row r="1587">
      <x:c r="A1587" s="6" t="n">
        <x:v>1626</x:v>
      </x:c>
      <x:c r="B1587" s="6" t="n">
        <x:v>1973</x:v>
      </x:c>
      <x:c r="C1587" s="6" t="str">
        <x:v>PhD</x:v>
      </x:c>
      <x:c r="D1587" s="6" t="str">
        <x:v>Divorced</x:v>
      </x:c>
      <x:c r="E1587" s="6" t="n">
        <x:v>35860</x:v>
      </x:c>
      <x:c r="F1587" s="6" t="n">
        <x:v>1</x:v>
      </x:c>
      <x:c r="G1587" s="6" t="n">
        <x:v>1</x:v>
      </x:c>
      <x:c r="H1587" s="9" t="str">
        <x:v>19-05-2014</x:v>
      </x:c>
      <x:c r="I1587" s="6" t="n">
        <x:v>37</x:v>
      </x:c>
      <x:c r="J1587" s="6" t="n">
        <x:v>15</x:v>
      </x:c>
      <x:c r="K1587" s="6" t="n">
        <x:v>0</x:v>
      </x:c>
      <x:c r="L1587" s="6" t="n">
        <x:v>8</x:v>
      </x:c>
      <x:c r="M1587" s="6" t="n">
        <x:v>4</x:v>
      </x:c>
      <x:c r="N1587" s="6" t="n">
        <x:v>2</x:v>
      </x:c>
      <x:c r="O1587" s="6" t="n">
        <x:v>20</x:v>
      </x:c>
      <x:c r="P1587" s="6" t="n">
        <x:v>2</x:v>
      </x:c>
      <x:c r="Q1587" s="6" t="n">
        <x:v>1</x:v>
      </x:c>
      <x:c r="R1587" s="6" t="n">
        <x:v>1</x:v>
      </x:c>
      <x:c r="S1587" s="6" t="n">
        <x:v>2</x:v>
      </x:c>
      <x:c r="T1587" s="6" t="n">
        <x:v>5</x:v>
      </x:c>
      <x:c r="U1587" s="6" t="n">
        <x:v>1</x:v>
      </x:c>
      <x:c r="V1587" s="6" t="n">
        <x:v>0</x:v>
      </x:c>
      <x:c r="W1587" s="6" t="n">
        <x:v>0</x:v>
      </x:c>
      <x:c r="X1587" s="6" t="n">
        <x:v>0</x:v>
      </x:c>
      <x:c r="Y1587" s="6" t="n">
        <x:v>0</x:v>
      </x:c>
      <x:c r="Z1587" s="6" t="n">
        <x:v>0</x:v>
      </x:c>
      <x:c r="AA1587" s="6" t="n">
        <x:v>3</x:v>
      </x:c>
      <x:c r="AB1587" s="6" t="n">
        <x:v>11</x:v>
      </x:c>
      <x:c r="AC1587" s="6" t="n">
        <x:v>1</x:v>
      </x:c>
    </x:row>
    <x:row r="1588">
      <x:c r="A1588" s="6" t="n">
        <x:v>4764</x:v>
      </x:c>
      <x:c r="B1588" s="6" t="n">
        <x:v>1952</x:v>
      </x:c>
      <x:c r="C1588" s="6" t="str">
        <x:v>Master</x:v>
      </x:c>
      <x:c r="D1588" s="6" t="str">
        <x:v>Together</x:v>
      </x:c>
      <x:c r="E1588" s="6" t="n">
        <x:v>40442</x:v>
      </x:c>
      <x:c r="F1588" s="6" t="n">
        <x:v>1</x:v>
      </x:c>
      <x:c r="G1588" s="6" t="n">
        <x:v>1</x:v>
      </x:c>
      <x:c r="H1588" s="9" t="str">
        <x:v>19-08-2012</x:v>
      </x:c>
      <x:c r="I1588" s="6" t="n">
        <x:v>52</x:v>
      </x:c>
      <x:c r="J1588" s="6" t="n">
        <x:v>45</x:v>
      </x:c>
      <x:c r="K1588" s="6" t="n">
        <x:v>12</x:v>
      </x:c>
      <x:c r="L1588" s="6" t="n">
        <x:v>52</x:v>
      </x:c>
      <x:c r="M1588" s="6" t="n">
        <x:v>25</x:v>
      </x:c>
      <x:c r="N1588" s="6" t="n">
        <x:v>22</x:v>
      </x:c>
      <x:c r="O1588" s="6" t="n">
        <x:v>13</x:v>
      </x:c>
      <x:c r="P1588" s="6" t="n">
        <x:v>4</x:v>
      </x:c>
      <x:c r="Q1588" s="6" t="n">
        <x:v>3</x:v>
      </x:c>
      <x:c r="R1588" s="6" t="n">
        <x:v>1</x:v>
      </x:c>
      <x:c r="S1588" s="6" t="n">
        <x:v>4</x:v>
      </x:c>
      <x:c r="T1588" s="6" t="n">
        <x:v>7</x:v>
      </x:c>
      <x:c r="U1588" s="6" t="n">
        <x:v>0</x:v>
      </x:c>
      <x:c r="V1588" s="6" t="n">
        <x:v>0</x:v>
      </x:c>
      <x:c r="W1588" s="6" t="n">
        <x:v>0</x:v>
      </x:c>
      <x:c r="X1588" s="6" t="n">
        <x:v>0</x:v>
      </x:c>
      <x:c r="Y1588" s="6" t="n">
        <x:v>0</x:v>
      </x:c>
      <x:c r="Z1588" s="6" t="n">
        <x:v>0</x:v>
      </x:c>
      <x:c r="AA1588" s="6" t="n">
        <x:v>3</x:v>
      </x:c>
      <x:c r="AB1588" s="6" t="n">
        <x:v>11</x:v>
      </x:c>
      <x:c r="AC1588" s="6" t="n">
        <x:v>1</x:v>
      </x:c>
    </x:row>
    <x:row r="1589">
      <x:c r="A1589" s="6" t="n">
        <x:v>2471</x:v>
      </x:c>
      <x:c r="B1589" s="6" t="n">
        <x:v>1965</x:v>
      </x:c>
      <x:c r="C1589" s="6" t="str">
        <x:v>Graduation</x:v>
      </x:c>
      <x:c r="D1589" s="6" t="str">
        <x:v>Married</x:v>
      </x:c>
      <x:c r="E1589" s="6" t="n">
        <x:v>61482</x:v>
      </x:c>
      <x:c r="F1589" s="6" t="n">
        <x:v>0</x:v>
      </x:c>
      <x:c r="G1589" s="6" t="n">
        <x:v>0</x:v>
      </x:c>
      <x:c r="H1589" s="9" t="str">
        <x:v>27-06-2014</x:v>
      </x:c>
      <x:c r="I1589" s="6" t="n">
        <x:v>39</x:v>
      </x:c>
      <x:c r="J1589" s="6" t="n">
        <x:v>48</x:v>
      </x:c>
      <x:c r="K1589" s="6" t="n">
        <x:v>58</x:v>
      </x:c>
      <x:c r="L1589" s="6" t="n">
        <x:v>68</x:v>
      </x:c>
      <x:c r="M1589" s="6" t="n">
        <x:v>16</x:v>
      </x:c>
      <x:c r="N1589" s="6" t="n">
        <x:v>66</x:v>
      </x:c>
      <x:c r="O1589" s="6" t="n">
        <x:v>43</x:v>
      </x:c>
      <x:c r="P1589" s="6" t="n">
        <x:v>1</x:v>
      </x:c>
      <x:c r="Q1589" s="6" t="n">
        <x:v>3</x:v>
      </x:c>
      <x:c r="R1589" s="6" t="n">
        <x:v>2</x:v>
      </x:c>
      <x:c r="S1589" s="6" t="n">
        <x:v>6</x:v>
      </x:c>
      <x:c r="T1589" s="6" t="n">
        <x:v>2</x:v>
      </x:c>
      <x:c r="U1589" s="6" t="n">
        <x:v>0</x:v>
      </x:c>
      <x:c r="V1589" s="6" t="n">
        <x:v>0</x:v>
      </x:c>
      <x:c r="W1589" s="6" t="n">
        <x:v>0</x:v>
      </x:c>
      <x:c r="X1589" s="6" t="n">
        <x:v>0</x:v>
      </x:c>
      <x:c r="Y1589" s="6" t="n">
        <x:v>0</x:v>
      </x:c>
      <x:c r="Z1589" s="6" t="n">
        <x:v>0</x:v>
      </x:c>
      <x:c r="AA1589" s="6" t="n">
        <x:v>3</x:v>
      </x:c>
      <x:c r="AB1589" s="6" t="n">
        <x:v>11</x:v>
      </x:c>
      <x:c r="AC1589" s="6" t="n">
        <x:v>0</x:v>
      </x:c>
    </x:row>
    <x:row r="1590">
      <x:c r="A1590" s="6" t="n">
        <x:v>5892</x:v>
      </x:c>
      <x:c r="B1590" s="6" t="n">
        <x:v>1980</x:v>
      </x:c>
      <x:c r="C1590" s="6" t="str">
        <x:v>Graduation</x:v>
      </x:c>
      <x:c r="D1590" s="6" t="str">
        <x:v>Married</x:v>
      </x:c>
      <x:c r="E1590" s="6" t="n">
        <x:v>34968</x:v>
      </x:c>
      <x:c r="F1590" s="6" t="n">
        <x:v>1</x:v>
      </x:c>
      <x:c r="G1590" s="6" t="n">
        <x:v>0</x:v>
      </x:c>
      <x:c r="H1590" s="9" t="str">
        <x:v>10-04-2013</x:v>
      </x:c>
      <x:c r="I1590" s="6" t="n">
        <x:v>11</x:v>
      </x:c>
      <x:c r="J1590" s="6" t="n">
        <x:v>158</x:v>
      </x:c>
      <x:c r="K1590" s="6" t="n">
        <x:v>6</x:v>
      </x:c>
      <x:c r="L1590" s="6" t="n">
        <x:v>45</x:v>
      </x:c>
      <x:c r="M1590" s="6" t="n">
        <x:v>8</x:v>
      </x:c>
      <x:c r="N1590" s="6" t="n">
        <x:v>2</x:v>
      </x:c>
      <x:c r="O1590" s="6" t="n">
        <x:v>2</x:v>
      </x:c>
      <x:c r="P1590" s="6" t="n">
        <x:v>7</x:v>
      </x:c>
      <x:c r="Q1590" s="6" t="n">
        <x:v>3</x:v>
      </x:c>
      <x:c r="R1590" s="6" t="n">
        <x:v>2</x:v>
      </x:c>
      <x:c r="S1590" s="6" t="n">
        <x:v>5</x:v>
      </x:c>
      <x:c r="T1590" s="6" t="n">
        <x:v>7</x:v>
      </x:c>
      <x:c r="U1590" s="6" t="n">
        <x:v>0</x:v>
      </x:c>
      <x:c r="V1590" s="6" t="n">
        <x:v>0</x:v>
      </x:c>
      <x:c r="W1590" s="6" t="n">
        <x:v>0</x:v>
      </x:c>
      <x:c r="X1590" s="6" t="n">
        <x:v>0</x:v>
      </x:c>
      <x:c r="Y1590" s="6" t="n">
        <x:v>0</x:v>
      </x:c>
      <x:c r="Z1590" s="6" t="n">
        <x:v>0</x:v>
      </x:c>
      <x:c r="AA1590" s="6" t="n">
        <x:v>3</x:v>
      </x:c>
      <x:c r="AB1590" s="6" t="n">
        <x:v>11</x:v>
      </x:c>
      <x:c r="AC1590" s="6" t="n">
        <x:v>0</x:v>
      </x:c>
    </x:row>
    <x:row r="1591">
      <x:c r="A1591" s="6" t="n">
        <x:v>2612</x:v>
      </x:c>
      <x:c r="B1591" s="6" t="n">
        <x:v>1987</x:v>
      </x:c>
      <x:c r="C1591" s="6" t="str">
        <x:v>Graduation</x:v>
      </x:c>
      <x:c r="D1591" s="6" t="str">
        <x:v>Married</x:v>
      </x:c>
      <x:c r="E1591" s="6" t="n">
        <x:v>75794</x:v>
      </x:c>
      <x:c r="F1591" s="6" t="n">
        <x:v>0</x:v>
      </x:c>
      <x:c r="G1591" s="6" t="n">
        <x:v>0</x:v>
      </x:c>
      <x:c r="H1591" s="9" t="str">
        <x:v>24-12-2013</x:v>
      </x:c>
      <x:c r="I1591" s="6" t="n">
        <x:v>33</x:v>
      </x:c>
      <x:c r="J1591" s="6" t="n">
        <x:v>754</x:v>
      </x:c>
      <x:c r="K1591" s="6" t="n">
        <x:v>160</x:v>
      </x:c>
      <x:c r="L1591" s="6" t="n">
        <x:v>625</x:v>
      </x:c>
      <x:c r="M1591" s="6" t="n">
        <x:v>63</x:v>
      </x:c>
      <x:c r="N1591" s="6" t="n">
        <x:v>32</x:v>
      </x:c>
      <x:c r="O1591" s="6" t="n">
        <x:v>48</x:v>
      </x:c>
      <x:c r="P1591" s="6" t="n">
        <x:v>1</x:v>
      </x:c>
      <x:c r="Q1591" s="6" t="n">
        <x:v>7</x:v>
      </x:c>
      <x:c r="R1591" s="6" t="n">
        <x:v>5</x:v>
      </x:c>
      <x:c r="S1591" s="6" t="n">
        <x:v>12</x:v>
      </x:c>
      <x:c r="T1591" s="6" t="n">
        <x:v>3</x:v>
      </x:c>
      <x:c r="U1591" s="6" t="n">
        <x:v>0</x:v>
      </x:c>
      <x:c r="V1591" s="6" t="n">
        <x:v>0</x:v>
      </x:c>
      <x:c r="W1591" s="6" t="n">
        <x:v>0</x:v>
      </x:c>
      <x:c r="X1591" s="6" t="n">
        <x:v>1</x:v>
      </x:c>
      <x:c r="Y1591" s="6" t="n">
        <x:v>0</x:v>
      </x:c>
      <x:c r="Z1591" s="6" t="n">
        <x:v>0</x:v>
      </x:c>
      <x:c r="AA1591" s="6" t="n">
        <x:v>3</x:v>
      </x:c>
      <x:c r="AB1591" s="6" t="n">
        <x:v>11</x:v>
      </x:c>
      <x:c r="AC1591" s="6" t="n">
        <x:v>0</x:v>
      </x:c>
    </x:row>
    <x:row r="1592">
      <x:c r="A1592" s="6" t="n">
        <x:v>4971</x:v>
      </x:c>
      <x:c r="B1592" s="6" t="n">
        <x:v>1962</x:v>
      </x:c>
      <x:c r="C1592" s="6" t="str">
        <x:v>PhD</x:v>
      </x:c>
      <x:c r="D1592" s="6" t="str">
        <x:v>Together</x:v>
      </x:c>
      <x:c r="E1592" s="6" t="n">
        <x:v>31497</x:v>
      </x:c>
      <x:c r="F1592" s="6" t="n">
        <x:v>0</x:v>
      </x:c>
      <x:c r="G1592" s="6" t="n">
        <x:v>1</x:v>
      </x:c>
      <x:c r="H1592" s="9" t="str">
        <x:v>06-12-2012</x:v>
      </x:c>
      <x:c r="I1592" s="6" t="n">
        <x:v>22</x:v>
      </x:c>
      <x:c r="J1592" s="6" t="n">
        <x:v>108</x:v>
      </x:c>
      <x:c r="K1592" s="6" t="n">
        <x:v>1</x:v>
      </x:c>
      <x:c r="L1592" s="6" t="n">
        <x:v>28</x:v>
      </x:c>
      <x:c r="M1592" s="6" t="n">
        <x:v>13</x:v>
      </x:c>
      <x:c r="N1592" s="6" t="n">
        <x:v>1</x:v>
      </x:c>
      <x:c r="O1592" s="6" t="n">
        <x:v>4</x:v>
      </x:c>
      <x:c r="P1592" s="6" t="n">
        <x:v>2</x:v>
      </x:c>
      <x:c r="Q1592" s="6" t="n">
        <x:v>3</x:v>
      </x:c>
      <x:c r="R1592" s="6" t="n">
        <x:v>1</x:v>
      </x:c>
      <x:c r="S1592" s="6" t="n">
        <x:v>4</x:v>
      </x:c>
      <x:c r="T1592" s="6" t="n">
        <x:v>8</x:v>
      </x:c>
      <x:c r="U1592" s="6" t="n">
        <x:v>0</x:v>
      </x:c>
      <x:c r="V1592" s="6" t="n">
        <x:v>0</x:v>
      </x:c>
      <x:c r="W1592" s="6" t="n">
        <x:v>0</x:v>
      </x:c>
      <x:c r="X1592" s="6" t="n">
        <x:v>0</x:v>
      </x:c>
      <x:c r="Y1592" s="6" t="n">
        <x:v>0</x:v>
      </x:c>
      <x:c r="Z1592" s="6" t="n">
        <x:v>0</x:v>
      </x:c>
      <x:c r="AA1592" s="6" t="n">
        <x:v>3</x:v>
      </x:c>
      <x:c r="AB1592" s="6" t="n">
        <x:v>11</x:v>
      </x:c>
      <x:c r="AC1592" s="6" t="n">
        <x:v>0</x:v>
      </x:c>
    </x:row>
    <x:row r="1593">
      <x:c r="A1593" s="6" t="n">
        <x:v>5185</x:v>
      </x:c>
      <x:c r="B1593" s="6" t="n">
        <x:v>1955</x:v>
      </x:c>
      <x:c r="C1593" s="6" t="str">
        <x:v>Graduation</x:v>
      </x:c>
      <x:c r="D1593" s="6" t="str">
        <x:v>Married</x:v>
      </x:c>
      <x:c r="E1593" s="6" t="n">
        <x:v>74268</x:v>
      </x:c>
      <x:c r="F1593" s="6" t="n">
        <x:v>0</x:v>
      </x:c>
      <x:c r="G1593" s="6" t="n">
        <x:v>0</x:v>
      </x:c>
      <x:c r="H1593" s="9" t="str">
        <x:v>14-02-2013</x:v>
      </x:c>
      <x:c r="I1593" s="6" t="n">
        <x:v>83</x:v>
      </x:c>
      <x:c r="J1593" s="6" t="n">
        <x:v>199</x:v>
      </x:c>
      <x:c r="K1593" s="6" t="n">
        <x:v>66</x:v>
      </x:c>
      <x:c r="L1593" s="6" t="n">
        <x:v>315</x:v>
      </x:c>
      <x:c r="M1593" s="6" t="n">
        <x:v>97</x:v>
      </x:c>
      <x:c r="N1593" s="6" t="n">
        <x:v>174</x:v>
      </x:c>
      <x:c r="O1593" s="6" t="n">
        <x:v>41</x:v>
      </x:c>
      <x:c r="P1593" s="6" t="n">
        <x:v>1</x:v>
      </x:c>
      <x:c r="Q1593" s="6" t="n">
        <x:v>4</x:v>
      </x:c>
      <x:c r="R1593" s="6" t="n">
        <x:v>3</x:v>
      </x:c>
      <x:c r="S1593" s="6" t="n">
        <x:v>5</x:v>
      </x:c>
      <x:c r="T1593" s="6" t="n">
        <x:v>2</x:v>
      </x:c>
      <x:c r="U1593" s="6" t="n">
        <x:v>0</x:v>
      </x:c>
      <x:c r="V1593" s="6" t="n">
        <x:v>0</x:v>
      </x:c>
      <x:c r="W1593" s="6" t="n">
        <x:v>0</x:v>
      </x:c>
      <x:c r="X1593" s="6" t="n">
        <x:v>0</x:v>
      </x:c>
      <x:c r="Y1593" s="6" t="n">
        <x:v>0</x:v>
      </x:c>
      <x:c r="Z1593" s="6" t="n">
        <x:v>0</x:v>
      </x:c>
      <x:c r="AA1593" s="6" t="n">
        <x:v>3</x:v>
      </x:c>
      <x:c r="AB1593" s="6" t="n">
        <x:v>11</x:v>
      </x:c>
      <x:c r="AC1593" s="6" t="n">
        <x:v>0</x:v>
      </x:c>
    </x:row>
    <x:row r="1594">
      <x:c r="A1594" s="6" t="n">
        <x:v>10069</x:v>
      </x:c>
      <x:c r="B1594" s="6" t="n">
        <x:v>1988</x:v>
      </x:c>
      <x:c r="C1594" s="6" t="str">
        <x:v>Basic</x:v>
      </x:c>
      <x:c r="D1594" s="6" t="str">
        <x:v>Together</x:v>
      </x:c>
      <x:c r="E1594" s="6" t="n">
        <x:v>13724</x:v>
      </x:c>
      <x:c r="F1594" s="6" t="n">
        <x:v>1</x:v>
      </x:c>
      <x:c r="G1594" s="6" t="n">
        <x:v>0</x:v>
      </x:c>
      <x:c r="H1594" s="9" t="str">
        <x:v>31-08-2012</x:v>
      </x:c>
      <x:c r="I1594" s="6" t="n">
        <x:v>43</x:v>
      </x:c>
      <x:c r="J1594" s="6" t="n">
        <x:v>2</x:v>
      </x:c>
      <x:c r="K1594" s="6" t="n">
        <x:v>7</x:v>
      </x:c>
      <x:c r="L1594" s="6" t="n">
        <x:v>5</x:v>
      </x:c>
      <x:c r="M1594" s="6" t="n">
        <x:v>2</x:v>
      </x:c>
      <x:c r="N1594" s="6" t="n">
        <x:v>15</x:v>
      </x:c>
      <x:c r="O1594" s="6" t="n">
        <x:v>27</x:v>
      </x:c>
      <x:c r="P1594" s="6" t="n">
        <x:v>1</x:v>
      </x:c>
      <x:c r="Q1594" s="6" t="n">
        <x:v>2</x:v>
      </x:c>
      <x:c r="R1594" s="6" t="n">
        <x:v>0</x:v>
      </x:c>
      <x:c r="S1594" s="6" t="n">
        <x:v>2</x:v>
      </x:c>
      <x:c r="T1594" s="6" t="n">
        <x:v>9</x:v>
      </x:c>
      <x:c r="U1594" s="6" t="n">
        <x:v>1</x:v>
      </x:c>
      <x:c r="V1594" s="6" t="n">
        <x:v>0</x:v>
      </x:c>
      <x:c r="W1594" s="6" t="n">
        <x:v>0</x:v>
      </x:c>
      <x:c r="X1594" s="6" t="n">
        <x:v>0</x:v>
      </x:c>
      <x:c r="Y1594" s="6" t="n">
        <x:v>0</x:v>
      </x:c>
      <x:c r="Z1594" s="6" t="n">
        <x:v>0</x:v>
      </x:c>
      <x:c r="AA1594" s="6" t="n">
        <x:v>3</x:v>
      </x:c>
      <x:c r="AB1594" s="6" t="n">
        <x:v>11</x:v>
      </x:c>
      <x:c r="AC1594" s="6" t="n">
        <x:v>0</x:v>
      </x:c>
    </x:row>
    <x:row r="1595">
      <x:c r="A1595" s="6" t="n">
        <x:v>2262</x:v>
      </x:c>
      <x:c r="B1595" s="6" t="n">
        <x:v>1965</x:v>
      </x:c>
      <x:c r="C1595" s="6" t="str">
        <x:v>Master</x:v>
      </x:c>
      <x:c r="D1595" s="6" t="str">
        <x:v>Together</x:v>
      </x:c>
      <x:c r="E1595" s="6" t="n">
        <x:v>45143</x:v>
      </x:c>
      <x:c r="F1595" s="6" t="n">
        <x:v>0</x:v>
      </x:c>
      <x:c r="G1595" s="6" t="n">
        <x:v>1</x:v>
      </x:c>
      <x:c r="H1595" s="9" t="str">
        <x:v>26-08-2013</x:v>
      </x:c>
      <x:c r="I1595" s="6" t="n">
        <x:v>74</x:v>
      </x:c>
      <x:c r="J1595" s="6" t="n">
        <x:v>202</x:v>
      </x:c>
      <x:c r="K1595" s="6" t="n">
        <x:v>5</x:v>
      </x:c>
      <x:c r="L1595" s="6" t="n">
        <x:v>74</x:v>
      </x:c>
      <x:c r="M1595" s="6" t="n">
        <x:v>11</x:v>
      </x:c>
      <x:c r="N1595" s="6" t="n">
        <x:v>5</x:v>
      </x:c>
      <x:c r="O1595" s="6" t="n">
        <x:v>14</x:v>
      </x:c>
      <x:c r="P1595" s="6" t="n">
        <x:v>3</x:v>
      </x:c>
      <x:c r="Q1595" s="6" t="n">
        <x:v>6</x:v>
      </x:c>
      <x:c r="R1595" s="6" t="n">
        <x:v>1</x:v>
      </x:c>
      <x:c r="S1595" s="6" t="n">
        <x:v>5</x:v>
      </x:c>
      <x:c r="T1595" s="6" t="n">
        <x:v>7</x:v>
      </x:c>
      <x:c r="U1595" s="6" t="n">
        <x:v>0</x:v>
      </x:c>
      <x:c r="V1595" s="6" t="n">
        <x:v>0</x:v>
      </x:c>
      <x:c r="W1595" s="6" t="n">
        <x:v>0</x:v>
      </x:c>
      <x:c r="X1595" s="6" t="n">
        <x:v>0</x:v>
      </x:c>
      <x:c r="Y1595" s="6" t="n">
        <x:v>0</x:v>
      </x:c>
      <x:c r="Z1595" s="6" t="n">
        <x:v>0</x:v>
      </x:c>
      <x:c r="AA1595" s="6" t="n">
        <x:v>3</x:v>
      </x:c>
      <x:c r="AB1595" s="6" t="n">
        <x:v>11</x:v>
      </x:c>
      <x:c r="AC1595" s="6" t="n">
        <x:v>0</x:v>
      </x:c>
    </x:row>
    <x:row r="1596">
      <x:c r="A1596" s="6" t="n">
        <x:v>1131</x:v>
      </x:c>
      <x:c r="B1596" s="6" t="n">
        <x:v>1967</x:v>
      </x:c>
      <x:c r="C1596" s="6" t="str">
        <x:v>PhD</x:v>
      </x:c>
      <x:c r="D1596" s="6" t="str">
        <x:v>Single</x:v>
      </x:c>
      <x:c r="E1596" s="6" t="n">
        <x:v>52569</x:v>
      </x:c>
      <x:c r="F1596" s="6" t="n">
        <x:v>0</x:v>
      </x:c>
      <x:c r="G1596" s="6" t="n">
        <x:v>1</x:v>
      </x:c>
      <x:c r="H1596" s="9" t="str">
        <x:v>05-04-2014</x:v>
      </x:c>
      <x:c r="I1596" s="6" t="n">
        <x:v>54</x:v>
      </x:c>
      <x:c r="J1596" s="6" t="n">
        <x:v>85</x:v>
      </x:c>
      <x:c r="K1596" s="6" t="n">
        <x:v>0</x:v>
      </x:c>
      <x:c r="L1596" s="6" t="n">
        <x:v>3</x:v>
      </x:c>
      <x:c r="M1596" s="6" t="n">
        <x:v>0</x:v>
      </x:c>
      <x:c r="N1596" s="6" t="n">
        <x:v>0</x:v>
      </x:c>
      <x:c r="O1596" s="6" t="n">
        <x:v>7</x:v>
      </x:c>
      <x:c r="P1596" s="6" t="n">
        <x:v>1</x:v>
      </x:c>
      <x:c r="Q1596" s="6" t="n">
        <x:v>2</x:v>
      </x:c>
      <x:c r="R1596" s="6" t="n">
        <x:v>0</x:v>
      </x:c>
      <x:c r="S1596" s="6" t="n">
        <x:v>4</x:v>
      </x:c>
      <x:c r="T1596" s="6" t="n">
        <x:v>3</x:v>
      </x:c>
      <x:c r="U1596" s="6" t="n">
        <x:v>0</x:v>
      </x:c>
      <x:c r="V1596" s="6" t="n">
        <x:v>0</x:v>
      </x:c>
      <x:c r="W1596" s="6" t="n">
        <x:v>0</x:v>
      </x:c>
      <x:c r="X1596" s="6" t="n">
        <x:v>0</x:v>
      </x:c>
      <x:c r="Y1596" s="6" t="n">
        <x:v>0</x:v>
      </x:c>
      <x:c r="Z1596" s="6" t="n">
        <x:v>0</x:v>
      </x:c>
      <x:c r="AA1596" s="6" t="n">
        <x:v>3</x:v>
      </x:c>
      <x:c r="AB1596" s="6" t="n">
        <x:v>11</x:v>
      </x:c>
      <x:c r="AC1596" s="6" t="n">
        <x:v>0</x:v>
      </x:c>
    </x:row>
    <x:row r="1597">
      <x:c r="A1597" s="6" t="n">
        <x:v>1041</x:v>
      </x:c>
      <x:c r="B1597" s="6" t="n">
        <x:v>1973</x:v>
      </x:c>
      <x:c r="C1597" s="6" t="str">
        <x:v>PhD</x:v>
      </x:c>
      <x:c r="D1597" s="6" t="str">
        <x:v>Single</x:v>
      </x:c>
      <x:c r="E1597" s="6" t="n">
        <x:v>48432</x:v>
      </x:c>
      <x:c r="F1597" s="6" t="n">
        <x:v>0</x:v>
      </x:c>
      <x:c r="G1597" s="6" t="n">
        <x:v>1</x:v>
      </x:c>
      <x:c r="H1597" s="9" t="str">
        <x:v>18-10-2012</x:v>
      </x:c>
      <x:c r="I1597" s="6" t="n">
        <x:v>3</x:v>
      </x:c>
      <x:c r="J1597" s="6" t="n">
        <x:v>322</x:v>
      </x:c>
      <x:c r="K1597" s="6" t="n">
        <x:v>3</x:v>
      </x:c>
      <x:c r="L1597" s="6" t="n">
        <x:v>50</x:v>
      </x:c>
      <x:c r="M1597" s="6" t="n">
        <x:v>4</x:v>
      </x:c>
      <x:c r="N1597" s="6" t="n">
        <x:v>3</x:v>
      </x:c>
      <x:c r="O1597" s="6" t="n">
        <x:v>42</x:v>
      </x:c>
      <x:c r="P1597" s="6" t="n">
        <x:v>5</x:v>
      </x:c>
      <x:c r="Q1597" s="6" t="n">
        <x:v>7</x:v>
      </x:c>
      <x:c r="R1597" s="6" t="n">
        <x:v>1</x:v>
      </x:c>
      <x:c r="S1597" s="6" t="n">
        <x:v>6</x:v>
      </x:c>
      <x:c r="T1597" s="6" t="n">
        <x:v>8</x:v>
      </x:c>
      <x:c r="U1597" s="6" t="n">
        <x:v>0</x:v>
      </x:c>
      <x:c r="V1597" s="6" t="n">
        <x:v>0</x:v>
      </x:c>
      <x:c r="W1597" s="6" t="n">
        <x:v>0</x:v>
      </x:c>
      <x:c r="X1597" s="6" t="n">
        <x:v>0</x:v>
      </x:c>
      <x:c r="Y1597" s="6" t="n">
        <x:v>0</x:v>
      </x:c>
      <x:c r="Z1597" s="6" t="n">
        <x:v>0</x:v>
      </x:c>
      <x:c r="AA1597" s="6" t="n">
        <x:v>3</x:v>
      </x:c>
      <x:c r="AB1597" s="6" t="n">
        <x:v>11</x:v>
      </x:c>
      <x:c r="AC1597" s="6" t="n">
        <x:v>1</x:v>
      </x:c>
    </x:row>
    <x:row r="1598">
      <x:c r="A1598" s="6" t="n">
        <x:v>24</x:v>
      </x:c>
      <x:c r="B1598" s="6" t="n">
        <x:v>1960</x:v>
      </x:c>
      <x:c r="C1598" s="6" t="str">
        <x:v>Master</x:v>
      </x:c>
      <x:c r="D1598" s="6" t="str">
        <x:v>Together</x:v>
      </x:c>
      <x:c r="E1598" s="6" t="n">
        <x:v>17144</x:v>
      </x:c>
      <x:c r="F1598" s="6" t="n">
        <x:v>1</x:v>
      </x:c>
      <x:c r="G1598" s="6" t="n">
        <x:v>1</x:v>
      </x:c>
      <x:c r="H1598" s="9" t="str">
        <x:v>15-02-2014</x:v>
      </x:c>
      <x:c r="I1598" s="6" t="n">
        <x:v>96</x:v>
      </x:c>
      <x:c r="J1598" s="6" t="n">
        <x:v>18</x:v>
      </x:c>
      <x:c r="K1598" s="6" t="n">
        <x:v>2</x:v>
      </x:c>
      <x:c r="L1598" s="6" t="n">
        <x:v>19</x:v>
      </x:c>
      <x:c r="M1598" s="6" t="n">
        <x:v>0</x:v>
      </x:c>
      <x:c r="N1598" s="6" t="n">
        <x:v>2</x:v>
      </x:c>
      <x:c r="O1598" s="6" t="n">
        <x:v>6</x:v>
      </x:c>
      <x:c r="P1598" s="6" t="n">
        <x:v>5</x:v>
      </x:c>
      <x:c r="Q1598" s="6" t="n">
        <x:v>3</x:v>
      </x:c>
      <x:c r="R1598" s="6" t="n">
        <x:v>0</x:v>
      </x:c>
      <x:c r="S1598" s="6" t="n">
        <x:v>4</x:v>
      </x:c>
      <x:c r="T1598" s="6" t="n">
        <x:v>7</x:v>
      </x:c>
      <x:c r="U1598" s="6" t="n">
        <x:v>0</x:v>
      </x:c>
      <x:c r="V1598" s="6" t="n">
        <x:v>0</x:v>
      </x:c>
      <x:c r="W1598" s="6" t="n">
        <x:v>0</x:v>
      </x:c>
      <x:c r="X1598" s="6" t="n">
        <x:v>0</x:v>
      </x:c>
      <x:c r="Y1598" s="6" t="n">
        <x:v>0</x:v>
      </x:c>
      <x:c r="Z1598" s="6" t="n">
        <x:v>0</x:v>
      </x:c>
      <x:c r="AA1598" s="6" t="n">
        <x:v>3</x:v>
      </x:c>
      <x:c r="AB1598" s="6" t="n">
        <x:v>11</x:v>
      </x:c>
      <x:c r="AC1598" s="6" t="n">
        <x:v>0</x:v>
      </x:c>
    </x:row>
    <x:row r="1599">
      <x:c r="A1599" s="6" t="n">
        <x:v>3409</x:v>
      </x:c>
      <x:c r="B1599" s="6" t="n">
        <x:v>1984</x:v>
      </x:c>
      <x:c r="C1599" s="6" t="str">
        <x:v>Graduation</x:v>
      </x:c>
      <x:c r="D1599" s="6" t="str">
        <x:v>Single</x:v>
      </x:c>
      <x:c r="E1599" s="6" t="n">
        <x:v>36108</x:v>
      </x:c>
      <x:c r="F1599" s="6" t="n">
        <x:v>1</x:v>
      </x:c>
      <x:c r="G1599" s="6" t="n">
        <x:v>0</x:v>
      </x:c>
      <x:c r="H1599" s="9" t="str">
        <x:v>15-10-2013</x:v>
      </x:c>
      <x:c r="I1599" s="6" t="n">
        <x:v>68</x:v>
      </x:c>
      <x:c r="J1599" s="6" t="n">
        <x:v>141</x:v>
      </x:c>
      <x:c r="K1599" s="6" t="n">
        <x:v>8</x:v>
      </x:c>
      <x:c r="L1599" s="6" t="n">
        <x:v>129</x:v>
      </x:c>
      <x:c r="M1599" s="6" t="n">
        <x:v>3</x:v>
      </x:c>
      <x:c r="N1599" s="6" t="n">
        <x:v>11</x:v>
      </x:c>
      <x:c r="O1599" s="6" t="n">
        <x:v>47</x:v>
      </x:c>
      <x:c r="P1599" s="6" t="n">
        <x:v>3</x:v>
      </x:c>
      <x:c r="Q1599" s="6" t="n">
        <x:v>7</x:v>
      </x:c>
      <x:c r="R1599" s="6" t="n">
        <x:v>1</x:v>
      </x:c>
      <x:c r="S1599" s="6" t="n">
        <x:v>4</x:v>
      </x:c>
      <x:c r="T1599" s="6" t="n">
        <x:v>9</x:v>
      </x:c>
      <x:c r="U1599" s="6" t="n">
        <x:v>1</x:v>
      </x:c>
      <x:c r="V1599" s="6" t="n">
        <x:v>0</x:v>
      </x:c>
      <x:c r="W1599" s="6" t="n">
        <x:v>0</x:v>
      </x:c>
      <x:c r="X1599" s="6" t="n">
        <x:v>0</x:v>
      </x:c>
      <x:c r="Y1599" s="6" t="n">
        <x:v>0</x:v>
      </x:c>
      <x:c r="Z1599" s="6" t="n">
        <x:v>0</x:v>
      </x:c>
      <x:c r="AA1599" s="6" t="n">
        <x:v>3</x:v>
      </x:c>
      <x:c r="AB1599" s="6" t="n">
        <x:v>11</x:v>
      </x:c>
      <x:c r="AC1599" s="6" t="n">
        <x:v>0</x:v>
      </x:c>
    </x:row>
    <x:row r="1600">
      <x:c r="A1600" s="6" t="n">
        <x:v>7022</x:v>
      </x:c>
      <x:c r="B1600" s="6" t="n">
        <x:v>1971</x:v>
      </x:c>
      <x:c r="C1600" s="6" t="str">
        <x:v>Graduation</x:v>
      </x:c>
      <x:c r="D1600" s="6" t="str">
        <x:v>Married</x:v>
      </x:c>
      <x:c r="E1600" s="6" t="n">
        <x:v>76445</x:v>
      </x:c>
      <x:c r="F1600" s="6" t="n">
        <x:v>1</x:v>
      </x:c>
      <x:c r="G1600" s="6" t="n">
        <x:v>0</x:v>
      </x:c>
      <x:c r="H1600" s="9" t="str">
        <x:v>28-09-2012</x:v>
      </x:c>
      <x:c r="I1600" s="6" t="n">
        <x:v>2</x:v>
      </x:c>
      <x:c r="J1600" s="6" t="n">
        <x:v>739</x:v>
      </x:c>
      <x:c r="K1600" s="6" t="n">
        <x:v>107</x:v>
      </x:c>
      <x:c r="L1600" s="6" t="n">
        <x:v>309</x:v>
      </x:c>
      <x:c r="M1600" s="6" t="n">
        <x:v>140</x:v>
      </x:c>
      <x:c r="N1600" s="6" t="n">
        <x:v>80</x:v>
      </x:c>
      <x:c r="O1600" s="6" t="n">
        <x:v>35</x:v>
      </x:c>
      <x:c r="P1600" s="6" t="n">
        <x:v>1</x:v>
      </x:c>
      <x:c r="Q1600" s="6" t="n">
        <x:v>2</x:v>
      </x:c>
      <x:c r="R1600" s="6" t="n">
        <x:v>5</x:v>
      </x:c>
      <x:c r="S1600" s="6" t="n">
        <x:v>13</x:v>
      </x:c>
      <x:c r="T1600" s="6" t="n">
        <x:v>6</x:v>
      </x:c>
      <x:c r="U1600" s="6" t="n">
        <x:v>0</x:v>
      </x:c>
      <x:c r="V1600" s="6" t="n">
        <x:v>0</x:v>
      </x:c>
      <x:c r="W1600" s="6" t="n">
        <x:v>0</x:v>
      </x:c>
      <x:c r="X1600" s="6" t="n">
        <x:v>0</x:v>
      </x:c>
      <x:c r="Y1600" s="6" t="n">
        <x:v>0</x:v>
      </x:c>
      <x:c r="Z1600" s="6" t="n">
        <x:v>0</x:v>
      </x:c>
      <x:c r="AA1600" s="6" t="n">
        <x:v>3</x:v>
      </x:c>
      <x:c r="AB1600" s="6" t="n">
        <x:v>11</x:v>
      </x:c>
      <x:c r="AC1600" s="6" t="n">
        <x:v>0</x:v>
      </x:c>
    </x:row>
    <x:row r="1601">
      <x:c r="A1601" s="6" t="n">
        <x:v>7943</x:v>
      </x:c>
      <x:c r="B1601" s="6" t="n">
        <x:v>1975</x:v>
      </x:c>
      <x:c r="C1601" s="6" t="str">
        <x:v>PhD</x:v>
      </x:c>
      <x:c r="D1601" s="6" t="str">
        <x:v>Married</x:v>
      </x:c>
      <x:c r="E1601" s="6" t="n">
        <x:v>36663</x:v>
      </x:c>
      <x:c r="F1601" s="6" t="n">
        <x:v>1</x:v>
      </x:c>
      <x:c r="G1601" s="6" t="n">
        <x:v>0</x:v>
      </x:c>
      <x:c r="H1601" s="9" t="str">
        <x:v>25-04-2014</x:v>
      </x:c>
      <x:c r="I1601" s="6" t="n">
        <x:v>40</x:v>
      </x:c>
      <x:c r="J1601" s="6" t="n">
        <x:v>18</x:v>
      </x:c>
      <x:c r="K1601" s="6" t="n">
        <x:v>0</x:v>
      </x:c>
      <x:c r="L1601" s="6" t="n">
        <x:v>6</x:v>
      </x:c>
      <x:c r="M1601" s="6" t="n">
        <x:v>3</x:v>
      </x:c>
      <x:c r="N1601" s="6" t="n">
        <x:v>3</x:v>
      </x:c>
      <x:c r="O1601" s="6" t="n">
        <x:v>5</x:v>
      </x:c>
      <x:c r="P1601" s="6" t="n">
        <x:v>1</x:v>
      </x:c>
      <x:c r="Q1601" s="6" t="n">
        <x:v>1</x:v>
      </x:c>
      <x:c r="R1601" s="6" t="n">
        <x:v>1</x:v>
      </x:c>
      <x:c r="S1601" s="6" t="n">
        <x:v>3</x:v>
      </x:c>
      <x:c r="T1601" s="6" t="n">
        <x:v>2</x:v>
      </x:c>
      <x:c r="U1601" s="6" t="n">
        <x:v>0</x:v>
      </x:c>
      <x:c r="V1601" s="6" t="n">
        <x:v>0</x:v>
      </x:c>
      <x:c r="W1601" s="6" t="n">
        <x:v>0</x:v>
      </x:c>
      <x:c r="X1601" s="6" t="n">
        <x:v>0</x:v>
      </x:c>
      <x:c r="Y1601" s="6" t="n">
        <x:v>0</x:v>
      </x:c>
      <x:c r="Z1601" s="6" t="n">
        <x:v>0</x:v>
      </x:c>
      <x:c r="AA1601" s="6" t="n">
        <x:v>3</x:v>
      </x:c>
      <x:c r="AB1601" s="6" t="n">
        <x:v>11</x:v>
      </x:c>
      <x:c r="AC1601" s="6" t="n">
        <x:v>0</x:v>
      </x:c>
    </x:row>
    <x:row r="1602">
      <x:c r="A1602" s="6" t="n">
        <x:v>5272</x:v>
      </x:c>
      <x:c r="B1602" s="6" t="n">
        <x:v>1965</x:v>
      </x:c>
      <x:c r="C1602" s="6" t="str">
        <x:v>Master</x:v>
      </x:c>
      <x:c r="D1602" s="6" t="str">
        <x:v>Married</x:v>
      </x:c>
      <x:c r="E1602" s="6" t="n">
        <x:v>53843</x:v>
      </x:c>
      <x:c r="F1602" s="6" t="n">
        <x:v>0</x:v>
      </x:c>
      <x:c r="G1602" s="6" t="n">
        <x:v>1</x:v>
      </x:c>
      <x:c r="H1602" s="9" t="str">
        <x:v>27-06-2013</x:v>
      </x:c>
      <x:c r="I1602" s="6" t="n">
        <x:v>64</x:v>
      </x:c>
      <x:c r="J1602" s="6" t="n">
        <x:v>378</x:v>
      </x:c>
      <x:c r="K1602" s="6" t="n">
        <x:v>0</x:v>
      </x:c>
      <x:c r="L1602" s="6" t="n">
        <x:v>88</x:v>
      </x:c>
      <x:c r="M1602" s="6" t="n">
        <x:v>19</x:v>
      </x:c>
      <x:c r="N1602" s="6" t="n">
        <x:v>4</x:v>
      </x:c>
      <x:c r="O1602" s="6" t="n">
        <x:v>73</x:v>
      </x:c>
      <x:c r="P1602" s="6" t="n">
        <x:v>4</x:v>
      </x:c>
      <x:c r="Q1602" s="6" t="n">
        <x:v>8</x:v>
      </x:c>
      <x:c r="R1602" s="6" t="n">
        <x:v>5</x:v>
      </x:c>
      <x:c r="S1602" s="6" t="n">
        <x:v>3</x:v>
      </x:c>
      <x:c r="T1602" s="6" t="n">
        <x:v>7</x:v>
      </x:c>
      <x:c r="U1602" s="6" t="n">
        <x:v>0</x:v>
      </x:c>
      <x:c r="V1602" s="6" t="n">
        <x:v>0</x:v>
      </x:c>
      <x:c r="W1602" s="6" t="n">
        <x:v>0</x:v>
      </x:c>
      <x:c r="X1602" s="6" t="n">
        <x:v>0</x:v>
      </x:c>
      <x:c r="Y1602" s="6" t="n">
        <x:v>0</x:v>
      </x:c>
      <x:c r="Z1602" s="6" t="n">
        <x:v>0</x:v>
      </x:c>
      <x:c r="AA1602" s="6" t="n">
        <x:v>3</x:v>
      </x:c>
      <x:c r="AB1602" s="6" t="n">
        <x:v>11</x:v>
      </x:c>
      <x:c r="AC1602" s="6" t="n">
        <x:v>0</x:v>
      </x:c>
    </x:row>
    <x:row r="1603">
      <x:c r="A1603" s="6" t="n">
        <x:v>5453</x:v>
      </x:c>
      <x:c r="B1603" s="6" t="n">
        <x:v>1956</x:v>
      </x:c>
      <x:c r="C1603" s="6" t="str">
        <x:v>Master</x:v>
      </x:c>
      <x:c r="D1603" s="6" t="str">
        <x:v>Married</x:v>
      </x:c>
      <x:c r="E1603" s="6" t="n">
        <x:v>90226</x:v>
      </x:c>
      <x:c r="F1603" s="6" t="n">
        <x:v>0</x:v>
      </x:c>
      <x:c r="G1603" s="6" t="n">
        <x:v>0</x:v>
      </x:c>
      <x:c r="H1603" s="9" t="str">
        <x:v>26-09-2012</x:v>
      </x:c>
      <x:c r="I1603" s="6" t="n">
        <x:v>26</x:v>
      </x:c>
      <x:c r="J1603" s="6" t="n">
        <x:v>1083</x:v>
      </x:c>
      <x:c r="K1603" s="6" t="n">
        <x:v>108</x:v>
      </x:c>
      <x:c r="L1603" s="6" t="n">
        <x:v>649</x:v>
      </x:c>
      <x:c r="M1603" s="6" t="n">
        <x:v>253</x:v>
      </x:c>
      <x:c r="N1603" s="6" t="n">
        <x:v>151</x:v>
      </x:c>
      <x:c r="O1603" s="6" t="n">
        <x:v>108</x:v>
      </x:c>
      <x:c r="P1603" s="6" t="n">
        <x:v>1</x:v>
      </x:c>
      <x:c r="Q1603" s="6" t="n">
        <x:v>4</x:v>
      </x:c>
      <x:c r="R1603" s="6" t="n">
        <x:v>7</x:v>
      </x:c>
      <x:c r="S1603" s="6" t="n">
        <x:v>12</x:v>
      </x:c>
      <x:c r="T1603" s="6" t="n">
        <x:v>2</x:v>
      </x:c>
      <x:c r="U1603" s="6" t="n">
        <x:v>0</x:v>
      </x:c>
      <x:c r="V1603" s="6" t="n">
        <x:v>0</x:v>
      </x:c>
      <x:c r="W1603" s="6" t="n">
        <x:v>0</x:v>
      </x:c>
      <x:c r="X1603" s="6" t="n">
        <x:v>1</x:v>
      </x:c>
      <x:c r="Y1603" s="6" t="n">
        <x:v>0</x:v>
      </x:c>
      <x:c r="Z1603" s="6" t="n">
        <x:v>0</x:v>
      </x:c>
      <x:c r="AA1603" s="6" t="n">
        <x:v>3</x:v>
      </x:c>
      <x:c r="AB1603" s="6" t="n">
        <x:v>11</x:v>
      </x:c>
      <x:c r="AC1603" s="6" t="n">
        <x:v>0</x:v>
      </x:c>
    </x:row>
    <x:row r="1604">
      <x:c r="A1604" s="6" t="n">
        <x:v>2565</x:v>
      </x:c>
      <x:c r="B1604" s="6" t="n">
        <x:v>1955</x:v>
      </x:c>
      <x:c r="C1604" s="6" t="str">
        <x:v>Master</x:v>
      </x:c>
      <x:c r="D1604" s="6" t="str">
        <x:v>Divorced</x:v>
      </x:c>
      <x:c r="E1604" s="6" t="n">
        <x:v>70638</x:v>
      </x:c>
      <x:c r="F1604" s="6" t="n">
        <x:v>0</x:v>
      </x:c>
      <x:c r="G1604" s="6" t="n">
        <x:v>0</x:v>
      </x:c>
      <x:c r="H1604" s="9" t="str">
        <x:v>01-06-2013</x:v>
      </x:c>
      <x:c r="I1604" s="6" t="n">
        <x:v>69</x:v>
      </x:c>
      <x:c r="J1604" s="6" t="n">
        <x:v>1016</x:v>
      </x:c>
      <x:c r="K1604" s="6" t="n">
        <x:v>12</x:v>
      </x:c>
      <x:c r="L1604" s="6" t="n">
        <x:v>215</x:v>
      </x:c>
      <x:c r="M1604" s="6" t="n">
        <x:v>16</x:v>
      </x:c>
      <x:c r="N1604" s="6" t="n">
        <x:v>12</x:v>
      </x:c>
      <x:c r="O1604" s="6" t="n">
        <x:v>63</x:v>
      </x:c>
      <x:c r="P1604" s="6" t="n">
        <x:v>1</x:v>
      </x:c>
      <x:c r="Q1604" s="6" t="n">
        <x:v>4</x:v>
      </x:c>
      <x:c r="R1604" s="6" t="n">
        <x:v>5</x:v>
      </x:c>
      <x:c r="S1604" s="6" t="n">
        <x:v>10</x:v>
      </x:c>
      <x:c r="T1604" s="6" t="n">
        <x:v>3</x:v>
      </x:c>
      <x:c r="U1604" s="6" t="n">
        <x:v>0</x:v>
      </x:c>
      <x:c r="V1604" s="6" t="n">
        <x:v>1</x:v>
      </x:c>
      <x:c r="W1604" s="6" t="n">
        <x:v>0</x:v>
      </x:c>
      <x:c r="X1604" s="6" t="n">
        <x:v>0</x:v>
      </x:c>
      <x:c r="Y1604" s="6" t="n">
        <x:v>0</x:v>
      </x:c>
      <x:c r="Z1604" s="6" t="n">
        <x:v>0</x:v>
      </x:c>
      <x:c r="AA1604" s="6" t="n">
        <x:v>3</x:v>
      </x:c>
      <x:c r="AB1604" s="6" t="n">
        <x:v>11</x:v>
      </x:c>
      <x:c r="AC1604" s="6" t="n">
        <x:v>0</x:v>
      </x:c>
    </x:row>
    <x:row r="1605">
      <x:c r="A1605" s="6" t="n">
        <x:v>800</x:v>
      </x:c>
      <x:c r="B1605" s="6" t="n">
        <x:v>1960</x:v>
      </x:c>
      <x:c r="C1605" s="6" t="str">
        <x:v>Graduation</x:v>
      </x:c>
      <x:c r="D1605" s="6" t="str">
        <x:v>Together</x:v>
      </x:c>
      <x:c r="E1605" s="6" t="n">
        <x:v>44512</x:v>
      </x:c>
      <x:c r="F1605" s="6" t="n">
        <x:v>1</x:v>
      </x:c>
      <x:c r="G1605" s="6" t="n">
        <x:v>1</x:v>
      </x:c>
      <x:c r="H1605" s="9" t="str">
        <x:v>30-08-2013</x:v>
      </x:c>
      <x:c r="I1605" s="6" t="n">
        <x:v>57</x:v>
      </x:c>
      <x:c r="J1605" s="6" t="n">
        <x:v>23</x:v>
      </x:c>
      <x:c r="K1605" s="6" t="n">
        <x:v>1</x:v>
      </x:c>
      <x:c r="L1605" s="6" t="n">
        <x:v>6</x:v>
      </x:c>
      <x:c r="M1605" s="6" t="n">
        <x:v>0</x:v>
      </x:c>
      <x:c r="N1605" s="6" t="n">
        <x:v>0</x:v>
      </x:c>
      <x:c r="O1605" s="6" t="n">
        <x:v>2</x:v>
      </x:c>
      <x:c r="P1605" s="6" t="n">
        <x:v>2</x:v>
      </x:c>
      <x:c r="Q1605" s="6" t="n">
        <x:v>1</x:v>
      </x:c>
      <x:c r="R1605" s="6" t="n">
        <x:v>0</x:v>
      </x:c>
      <x:c r="S1605" s="6" t="n">
        <x:v>3</x:v>
      </x:c>
      <x:c r="T1605" s="6" t="n">
        <x:v>4</x:v>
      </x:c>
      <x:c r="U1605" s="6" t="n">
        <x:v>0</x:v>
      </x:c>
      <x:c r="V1605" s="6" t="n">
        <x:v>0</x:v>
      </x:c>
      <x:c r="W1605" s="6" t="n">
        <x:v>0</x:v>
      </x:c>
      <x:c r="X1605" s="6" t="n">
        <x:v>0</x:v>
      </x:c>
      <x:c r="Y1605" s="6" t="n">
        <x:v>0</x:v>
      </x:c>
      <x:c r="Z1605" s="6" t="n">
        <x:v>0</x:v>
      </x:c>
      <x:c r="AA1605" s="6" t="n">
        <x:v>3</x:v>
      </x:c>
      <x:c r="AB1605" s="6" t="n">
        <x:v>11</x:v>
      </x:c>
      <x:c r="AC1605" s="6" t="n">
        <x:v>0</x:v>
      </x:c>
    </x:row>
    <x:row r="1606">
      <x:c r="A1606" s="6" t="n">
        <x:v>11092</x:v>
      </x:c>
      <x:c r="B1606" s="6" t="n">
        <x:v>1961</x:v>
      </x:c>
      <x:c r="C1606" s="6" t="str">
        <x:v>Graduation</x:v>
      </x:c>
      <x:c r="D1606" s="6" t="str">
        <x:v>Married</x:v>
      </x:c>
      <x:c r="E1606" s="6" t="n">
        <x:v>27116</x:v>
      </x:c>
      <x:c r="F1606" s="6" t="n">
        <x:v>1</x:v>
      </x:c>
      <x:c r="G1606" s="6" t="n">
        <x:v>1</x:v>
      </x:c>
      <x:c r="H1606" s="9" t="str">
        <x:v>02-03-2014</x:v>
      </x:c>
      <x:c r="I1606" s="6" t="n">
        <x:v>78</x:v>
      </x:c>
      <x:c r="J1606" s="6" t="n">
        <x:v>12</x:v>
      </x:c>
      <x:c r="K1606" s="6" t="n">
        <x:v>1</x:v>
      </x:c>
      <x:c r="L1606" s="6" t="n">
        <x:v>21</x:v>
      </x:c>
      <x:c r="M1606" s="6" t="n">
        <x:v>2</x:v>
      </x:c>
      <x:c r="N1606" s="6" t="n">
        <x:v>2</x:v>
      </x:c>
      <x:c r="O1606" s="6" t="n">
        <x:v>3</x:v>
      </x:c>
      <x:c r="P1606" s="6" t="n">
        <x:v>2</x:v>
      </x:c>
      <x:c r="Q1606" s="6" t="n">
        <x:v>2</x:v>
      </x:c>
      <x:c r="R1606" s="6" t="n">
        <x:v>0</x:v>
      </x:c>
      <x:c r="S1606" s="6" t="n">
        <x:v>3</x:v>
      </x:c>
      <x:c r="T1606" s="6" t="n">
        <x:v>7</x:v>
      </x:c>
      <x:c r="U1606" s="6" t="n">
        <x:v>0</x:v>
      </x:c>
      <x:c r="V1606" s="6" t="n">
        <x:v>0</x:v>
      </x:c>
      <x:c r="W1606" s="6" t="n">
        <x:v>0</x:v>
      </x:c>
      <x:c r="X1606" s="6" t="n">
        <x:v>0</x:v>
      </x:c>
      <x:c r="Y1606" s="6" t="n">
        <x:v>0</x:v>
      </x:c>
      <x:c r="Z1606" s="6" t="n">
        <x:v>0</x:v>
      </x:c>
      <x:c r="AA1606" s="6" t="n">
        <x:v>3</x:v>
      </x:c>
      <x:c r="AB1606" s="6" t="n">
        <x:v>11</x:v>
      </x:c>
      <x:c r="AC1606" s="6" t="n">
        <x:v>0</x:v>
      </x:c>
    </x:row>
    <x:row r="1607">
      <x:c r="A1607" s="6" t="n">
        <x:v>5062</x:v>
      </x:c>
      <x:c r="B1607" s="6" t="n">
        <x:v>1963</x:v>
      </x:c>
      <x:c r="C1607" s="6" t="str">
        <x:v>PhD</x:v>
      </x:c>
      <x:c r="D1607" s="6" t="str">
        <x:v>Married</x:v>
      </x:c>
      <x:c r="E1607" s="6" t="n">
        <x:v>54072</x:v>
      </x:c>
      <x:c r="F1607" s="6" t="n">
        <x:v>1</x:v>
      </x:c>
      <x:c r="G1607" s="6" t="n">
        <x:v>1</x:v>
      </x:c>
      <x:c r="H1607" s="9" t="str">
        <x:v>27-07-2013</x:v>
      </x:c>
      <x:c r="I1607" s="6" t="n">
        <x:v>71</x:v>
      </x:c>
      <x:c r="J1607" s="6" t="n">
        <x:v>35</x:v>
      </x:c>
      <x:c r="K1607" s="6" t="n">
        <x:v>0</x:v>
      </x:c>
      <x:c r="L1607" s="6" t="n">
        <x:v>4</x:v>
      </x:c>
      <x:c r="M1607" s="6" t="n">
        <x:v>0</x:v>
      </x:c>
      <x:c r="N1607" s="6" t="n">
        <x:v>0</x:v>
      </x:c>
      <x:c r="O1607" s="6" t="n">
        <x:v>0</x:v>
      </x:c>
      <x:c r="P1607" s="6" t="n">
        <x:v>1</x:v>
      </x:c>
      <x:c r="Q1607" s="6" t="n">
        <x:v>2</x:v>
      </x:c>
      <x:c r="R1607" s="6" t="n">
        <x:v>0</x:v>
      </x:c>
      <x:c r="S1607" s="6" t="n">
        <x:v>2</x:v>
      </x:c>
      <x:c r="T1607" s="6" t="n">
        <x:v>8</x:v>
      </x:c>
      <x:c r="U1607" s="6" t="n">
        <x:v>0</x:v>
      </x:c>
      <x:c r="V1607" s="6" t="n">
        <x:v>0</x:v>
      </x:c>
      <x:c r="W1607" s="6" t="n">
        <x:v>0</x:v>
      </x:c>
      <x:c r="X1607" s="6" t="n">
        <x:v>0</x:v>
      </x:c>
      <x:c r="Y1607" s="6" t="n">
        <x:v>0</x:v>
      </x:c>
      <x:c r="Z1607" s="6" t="n">
        <x:v>0</x:v>
      </x:c>
      <x:c r="AA1607" s="6" t="n">
        <x:v>3</x:v>
      </x:c>
      <x:c r="AB1607" s="6" t="n">
        <x:v>11</x:v>
      </x:c>
      <x:c r="AC1607" s="6" t="n">
        <x:v>0</x:v>
      </x:c>
    </x:row>
    <x:row r="1608">
      <x:c r="A1608" s="6" t="n">
        <x:v>8969</x:v>
      </x:c>
      <x:c r="B1608" s="6" t="n">
        <x:v>1977</x:v>
      </x:c>
      <x:c r="C1608" s="6" t="str">
        <x:v>Graduation</x:v>
      </x:c>
      <x:c r="D1608" s="6" t="str">
        <x:v>Married</x:v>
      </x:c>
      <x:c r="E1608" s="6" t="n">
        <x:v>71855</x:v>
      </x:c>
      <x:c r="F1608" s="6" t="n">
        <x:v>0</x:v>
      </x:c>
      <x:c r="G1608" s="6" t="n">
        <x:v>1</x:v>
      </x:c>
      <x:c r="H1608" s="9" t="str">
        <x:v>16-01-2013</x:v>
      </x:c>
      <x:c r="I1608" s="6" t="n">
        <x:v>59</x:v>
      </x:c>
      <x:c r="J1608" s="6" t="n">
        <x:v>548</x:v>
      </x:c>
      <x:c r="K1608" s="6" t="n">
        <x:v>31</x:v>
      </x:c>
      <x:c r="L1608" s="6" t="n">
        <x:v>422</x:v>
      </x:c>
      <x:c r="M1608" s="6" t="n">
        <x:v>0</x:v>
      </x:c>
      <x:c r="N1608" s="6" t="n">
        <x:v>112</x:v>
      </x:c>
      <x:c r="O1608" s="6" t="n">
        <x:v>28</x:v>
      </x:c>
      <x:c r="P1608" s="6" t="n">
        <x:v>4</x:v>
      </x:c>
      <x:c r="Q1608" s="6" t="n">
        <x:v>5</x:v>
      </x:c>
      <x:c r="R1608" s="6" t="n">
        <x:v>5</x:v>
      </x:c>
      <x:c r="S1608" s="6" t="n">
        <x:v>11</x:v>
      </x:c>
      <x:c r="T1608" s="6" t="n">
        <x:v>3</x:v>
      </x:c>
      <x:c r="U1608" s="6" t="n">
        <x:v>0</x:v>
      </x:c>
      <x:c r="V1608" s="6" t="n">
        <x:v>0</x:v>
      </x:c>
      <x:c r="W1608" s="6" t="n">
        <x:v>0</x:v>
      </x:c>
      <x:c r="X1608" s="6" t="n">
        <x:v>0</x:v>
      </x:c>
      <x:c r="Y1608" s="6" t="n">
        <x:v>0</x:v>
      </x:c>
      <x:c r="Z1608" s="6" t="n">
        <x:v>0</x:v>
      </x:c>
      <x:c r="AA1608" s="6" t="n">
        <x:v>3</x:v>
      </x:c>
      <x:c r="AB1608" s="6" t="n">
        <x:v>11</x:v>
      </x:c>
      <x:c r="AC1608" s="6" t="n">
        <x:v>0</x:v>
      </x:c>
    </x:row>
    <x:row r="1609">
      <x:c r="A1609" s="6" t="n">
        <x:v>4656</x:v>
      </x:c>
      <x:c r="B1609" s="6" t="n">
        <x:v>1990</x:v>
      </x:c>
      <x:c r="C1609" s="6" t="str">
        <x:v>2n Cycle</x:v>
      </x:c>
      <x:c r="D1609" s="6" t="str">
        <x:v>Single</x:v>
      </x:c>
      <x:c r="E1609" s="6" t="n">
        <x:v>51250</x:v>
      </x:c>
      <x:c r="F1609" s="6" t="n">
        <x:v>1</x:v>
      </x:c>
      <x:c r="G1609" s="6" t="n">
        <x:v>0</x:v>
      </x:c>
      <x:c r="H1609" s="9" t="str">
        <x:v>30-03-2013</x:v>
      </x:c>
      <x:c r="I1609" s="6" t="n">
        <x:v>28</x:v>
      </x:c>
      <x:c r="J1609" s="6" t="n">
        <x:v>342</x:v>
      </x:c>
      <x:c r="K1609" s="6" t="n">
        <x:v>32</x:v>
      </x:c>
      <x:c r="L1609" s="6" t="n">
        <x:v>230</x:v>
      </x:c>
      <x:c r="M1609" s="6" t="n">
        <x:v>34</x:v>
      </x:c>
      <x:c r="N1609" s="6" t="n">
        <x:v>32</x:v>
      </x:c>
      <x:c r="O1609" s="6" t="n">
        <x:v>40</x:v>
      </x:c>
      <x:c r="P1609" s="6" t="n">
        <x:v>5</x:v>
      </x:c>
      <x:c r="Q1609" s="6" t="n">
        <x:v>10</x:v>
      </x:c>
      <x:c r="R1609" s="6" t="n">
        <x:v>5</x:v>
      </x:c>
      <x:c r="S1609" s="6" t="n">
        <x:v>4</x:v>
      </x:c>
      <x:c r="T1609" s="6" t="n">
        <x:v>9</x:v>
      </x:c>
      <x:c r="U1609" s="6" t="n">
        <x:v>1</x:v>
      </x:c>
      <x:c r="V1609" s="6" t="n">
        <x:v>0</x:v>
      </x:c>
      <x:c r="W1609" s="6" t="n">
        <x:v>0</x:v>
      </x:c>
      <x:c r="X1609" s="6" t="n">
        <x:v>0</x:v>
      </x:c>
      <x:c r="Y1609" s="6" t="n">
        <x:v>0</x:v>
      </x:c>
      <x:c r="Z1609" s="6" t="n">
        <x:v>0</x:v>
      </x:c>
      <x:c r="AA1609" s="6" t="n">
        <x:v>3</x:v>
      </x:c>
      <x:c r="AB1609" s="6" t="n">
        <x:v>11</x:v>
      </x:c>
      <x:c r="AC1609" s="6" t="n">
        <x:v>0</x:v>
      </x:c>
    </x:row>
    <x:row r="1610">
      <x:c r="A1610" s="6" t="n">
        <x:v>4480</x:v>
      </x:c>
      <x:c r="B1610" s="6" t="n">
        <x:v>1973</x:v>
      </x:c>
      <x:c r="C1610" s="6" t="str">
        <x:v>Master</x:v>
      </x:c>
      <x:c r="D1610" s="6" t="str">
        <x:v>Married</x:v>
      </x:c>
      <x:c r="E1610" s="6" t="n">
        <x:v>60432</x:v>
      </x:c>
      <x:c r="F1610" s="6" t="n">
        <x:v>0</x:v>
      </x:c>
      <x:c r="G1610" s="6" t="n">
        <x:v>1</x:v>
      </x:c>
      <x:c r="H1610" s="9" t="str">
        <x:v>09-03-2014</x:v>
      </x:c>
      <x:c r="I1610" s="6" t="n">
        <x:v>61</x:v>
      </x:c>
      <x:c r="J1610" s="6" t="n">
        <x:v>365</x:v>
      </x:c>
      <x:c r="K1610" s="6" t="n">
        <x:v>3</x:v>
      </x:c>
      <x:c r="L1610" s="6" t="n">
        <x:v>15</x:v>
      </x:c>
      <x:c r="M1610" s="6" t="n">
        <x:v>4</x:v>
      </x:c>
      <x:c r="N1610" s="6" t="n">
        <x:v>3</x:v>
      </x:c>
      <x:c r="O1610" s="6" t="n">
        <x:v>11</x:v>
      </x:c>
      <x:c r="P1610" s="6" t="n">
        <x:v>5</x:v>
      </x:c>
      <x:c r="Q1610" s="6" t="n">
        <x:v>7</x:v>
      </x:c>
      <x:c r="R1610" s="6" t="n">
        <x:v>2</x:v>
      </x:c>
      <x:c r="S1610" s="6" t="n">
        <x:v>5</x:v>
      </x:c>
      <x:c r="T1610" s="6" t="n">
        <x:v>6</x:v>
      </x:c>
      <x:c r="U1610" s="6" t="n">
        <x:v>0</x:v>
      </x:c>
      <x:c r="V1610" s="6" t="n">
        <x:v>0</x:v>
      </x:c>
      <x:c r="W1610" s="6" t="n">
        <x:v>0</x:v>
      </x:c>
      <x:c r="X1610" s="6" t="n">
        <x:v>0</x:v>
      </x:c>
      <x:c r="Y1610" s="6" t="n">
        <x:v>0</x:v>
      </x:c>
      <x:c r="Z1610" s="6" t="n">
        <x:v>0</x:v>
      </x:c>
      <x:c r="AA1610" s="6" t="n">
        <x:v>3</x:v>
      </x:c>
      <x:c r="AB1610" s="6" t="n">
        <x:v>11</x:v>
      </x:c>
      <x:c r="AC1610" s="6" t="n">
        <x:v>0</x:v>
      </x:c>
    </x:row>
    <x:row r="1611">
      <x:c r="A1611" s="6" t="n">
        <x:v>9971</x:v>
      </x:c>
      <x:c r="B1611" s="6" t="n">
        <x:v>1964</x:v>
      </x:c>
      <x:c r="C1611" s="6" t="str">
        <x:v>PhD</x:v>
      </x:c>
      <x:c r="D1611" s="6" t="str">
        <x:v>Married</x:v>
      </x:c>
      <x:c r="E1611" s="6" t="n">
        <x:v>65526</x:v>
      </x:c>
      <x:c r="F1611" s="6" t="n">
        <x:v>0</x:v>
      </x:c>
      <x:c r="G1611" s="6" t="n">
        <x:v>1</x:v>
      </x:c>
      <x:c r="H1611" s="9" t="str">
        <x:v>11-04-2014</x:v>
      </x:c>
      <x:c r="I1611" s="6" t="n">
        <x:v>22</x:v>
      </x:c>
      <x:c r="J1611" s="6" t="n">
        <x:v>397</x:v>
      </x:c>
      <x:c r="K1611" s="6" t="n">
        <x:v>19</x:v>
      </x:c>
      <x:c r="L1611" s="6" t="n">
        <x:v>69</x:v>
      </x:c>
      <x:c r="M1611" s="6" t="n">
        <x:v>12</x:v>
      </x:c>
      <x:c r="N1611" s="6" t="n">
        <x:v>0</x:v>
      </x:c>
      <x:c r="O1611" s="6" t="n">
        <x:v>9</x:v>
      </x:c>
      <x:c r="P1611" s="6" t="n">
        <x:v>1</x:v>
      </x:c>
      <x:c r="Q1611" s="6" t="n">
        <x:v>4</x:v>
      </x:c>
      <x:c r="R1611" s="6" t="n">
        <x:v>4</x:v>
      </x:c>
      <x:c r="S1611" s="6" t="n">
        <x:v>8</x:v>
      </x:c>
      <x:c r="T1611" s="6" t="n">
        <x:v>2</x:v>
      </x:c>
      <x:c r="U1611" s="6" t="n">
        <x:v>0</x:v>
      </x:c>
      <x:c r="V1611" s="6" t="n">
        <x:v>0</x:v>
      </x:c>
      <x:c r="W1611" s="6" t="n">
        <x:v>0</x:v>
      </x:c>
      <x:c r="X1611" s="6" t="n">
        <x:v>0</x:v>
      </x:c>
      <x:c r="Y1611" s="6" t="n">
        <x:v>0</x:v>
      </x:c>
      <x:c r="Z1611" s="6" t="n">
        <x:v>0</x:v>
      </x:c>
      <x:c r="AA1611" s="6" t="n">
        <x:v>3</x:v>
      </x:c>
      <x:c r="AB1611" s="6" t="n">
        <x:v>11</x:v>
      </x:c>
      <x:c r="AC1611" s="6" t="n">
        <x:v>0</x:v>
      </x:c>
    </x:row>
    <x:row r="1612">
      <x:c r="A1612" s="6" t="n">
        <x:v>6729</x:v>
      </x:c>
      <x:c r="B1612" s="6" t="n">
        <x:v>1988</x:v>
      </x:c>
      <x:c r="C1612" s="6" t="str">
        <x:v>Graduation</x:v>
      </x:c>
      <x:c r="D1612" s="6" t="str">
        <x:v>Single</x:v>
      </x:c>
      <x:c r="E1612" s="6" t="n">
        <x:v>68655</x:v>
      </x:c>
      <x:c r="F1612" s="6" t="n">
        <x:v>0</x:v>
      </x:c>
      <x:c r="G1612" s="6" t="n">
        <x:v>0</x:v>
      </x:c>
      <x:c r="H1612" s="9" t="str">
        <x:v>10-08-2012</x:v>
      </x:c>
      <x:c r="I1612" s="6" t="n">
        <x:v>95</x:v>
      </x:c>
      <x:c r="J1612" s="6" t="n">
        <x:v>456</x:v>
      </x:c>
      <x:c r="K1612" s="6" t="n">
        <x:v>19</x:v>
      </x:c>
      <x:c r="L1612" s="6" t="n">
        <x:v>832</x:v>
      </x:c>
      <x:c r="M1612" s="6" t="n">
        <x:v>75</x:v>
      </x:c>
      <x:c r="N1612" s="6" t="n">
        <x:v>118</x:v>
      </x:c>
      <x:c r="O1612" s="6" t="n">
        <x:v>38</x:v>
      </x:c>
      <x:c r="P1612" s="6" t="n">
        <x:v>1</x:v>
      </x:c>
      <x:c r="Q1612" s="6" t="n">
        <x:v>4</x:v>
      </x:c>
      <x:c r="R1612" s="6" t="n">
        <x:v>5</x:v>
      </x:c>
      <x:c r="S1612" s="6" t="n">
        <x:v>11</x:v>
      </x:c>
      <x:c r="T1612" s="6" t="n">
        <x:v>3</x:v>
      </x:c>
      <x:c r="U1612" s="6" t="n">
        <x:v>0</x:v>
      </x:c>
      <x:c r="V1612" s="6" t="n">
        <x:v>0</x:v>
      </x:c>
      <x:c r="W1612" s="6" t="n">
        <x:v>0</x:v>
      </x:c>
      <x:c r="X1612" s="6" t="n">
        <x:v>0</x:v>
      </x:c>
      <x:c r="Y1612" s="6" t="n">
        <x:v>0</x:v>
      </x:c>
      <x:c r="Z1612" s="6" t="n">
        <x:v>0</x:v>
      </x:c>
      <x:c r="AA1612" s="6" t="n">
        <x:v>3</x:v>
      </x:c>
      <x:c r="AB1612" s="6" t="n">
        <x:v>11</x:v>
      </x:c>
      <x:c r="AC1612" s="6" t="n">
        <x:v>0</x:v>
      </x:c>
    </x:row>
    <x:row r="1613">
      <x:c r="A1613" s="6" t="n">
        <x:v>1773</x:v>
      </x:c>
      <x:c r="B1613" s="6" t="n">
        <x:v>1978</x:v>
      </x:c>
      <x:c r="C1613" s="6" t="str">
        <x:v>2n Cycle</x:v>
      </x:c>
      <x:c r="D1613" s="6" t="str">
        <x:v>Married</x:v>
      </x:c>
      <x:c r="E1613" s="6" t="n">
        <x:v>12393</x:v>
      </x:c>
      <x:c r="F1613" s="6" t="n">
        <x:v>0</x:v>
      </x:c>
      <x:c r="G1613" s="6" t="n">
        <x:v>0</x:v>
      </x:c>
      <x:c r="H1613" s="9" t="str">
        <x:v>04-12-2012</x:v>
      </x:c>
      <x:c r="I1613" s="6" t="n">
        <x:v>38</x:v>
      </x:c>
      <x:c r="J1613" s="6" t="n">
        <x:v>5</x:v>
      </x:c>
      <x:c r="K1613" s="6" t="n">
        <x:v>6</x:v>
      </x:c>
      <x:c r="L1613" s="6" t="n">
        <x:v>15</x:v>
      </x:c>
      <x:c r="M1613" s="6" t="n">
        <x:v>11</x:v>
      </x:c>
      <x:c r="N1613" s="6" t="n">
        <x:v>7</x:v>
      </x:c>
      <x:c r="O1613" s="6" t="n">
        <x:v>13</x:v>
      </x:c>
      <x:c r="P1613" s="6" t="n">
        <x:v>1</x:v>
      </x:c>
      <x:c r="Q1613" s="6" t="n">
        <x:v>2</x:v>
      </x:c>
      <x:c r="R1613" s="6" t="n">
        <x:v>0</x:v>
      </x:c>
      <x:c r="S1613" s="6" t="n">
        <x:v>3</x:v>
      </x:c>
      <x:c r="T1613" s="6" t="n">
        <x:v>9</x:v>
      </x:c>
      <x:c r="U1613" s="6" t="n">
        <x:v>0</x:v>
      </x:c>
      <x:c r="V1613" s="6" t="n">
        <x:v>0</x:v>
      </x:c>
      <x:c r="W1613" s="6" t="n">
        <x:v>0</x:v>
      </x:c>
      <x:c r="X1613" s="6" t="n">
        <x:v>0</x:v>
      </x:c>
      <x:c r="Y1613" s="6" t="n">
        <x:v>0</x:v>
      </x:c>
      <x:c r="Z1613" s="6" t="n">
        <x:v>0</x:v>
      </x:c>
      <x:c r="AA1613" s="6" t="n">
        <x:v>3</x:v>
      </x:c>
      <x:c r="AB1613" s="6" t="n">
        <x:v>11</x:v>
      </x:c>
      <x:c r="AC1613" s="6" t="n">
        <x:v>0</x:v>
      </x:c>
    </x:row>
    <x:row r="1614">
      <x:c r="A1614" s="6" t="n">
        <x:v>9242</x:v>
      </x:c>
      <x:c r="B1614" s="6" t="n">
        <x:v>1990</x:v>
      </x:c>
      <x:c r="C1614" s="6" t="str">
        <x:v>Graduation</x:v>
      </x:c>
      <x:c r="D1614" s="6" t="str">
        <x:v>Single</x:v>
      </x:c>
      <x:c r="E1614" s="6" t="n">
        <x:v>64509</x:v>
      </x:c>
      <x:c r="F1614" s="6" t="n">
        <x:v>0</x:v>
      </x:c>
      <x:c r="G1614" s="6" t="n">
        <x:v>0</x:v>
      </x:c>
      <x:c r="H1614" s="9" t="str">
        <x:v>17-08-2013</x:v>
      </x:c>
      <x:c r="I1614" s="6" t="n">
        <x:v>19</x:v>
      </x:c>
      <x:c r="J1614" s="6" t="n">
        <x:v>836</x:v>
      </x:c>
      <x:c r="K1614" s="6" t="n">
        <x:v>185</x:v>
      </x:c>
      <x:c r="L1614" s="6" t="n">
        <x:v>575</x:v>
      </x:c>
      <x:c r="M1614" s="6" t="n">
        <x:v>24</x:v>
      </x:c>
      <x:c r="N1614" s="6" t="n">
        <x:v>25</x:v>
      </x:c>
      <x:c r="O1614" s="6" t="n">
        <x:v>77</x:v>
      </x:c>
      <x:c r="P1614" s="6" t="n">
        <x:v>1</x:v>
      </x:c>
      <x:c r="Q1614" s="6" t="n">
        <x:v>6</x:v>
      </x:c>
      <x:c r="R1614" s="6" t="n">
        <x:v>3</x:v>
      </x:c>
      <x:c r="S1614" s="6" t="n">
        <x:v>9</x:v>
      </x:c>
      <x:c r="T1614" s="6" t="n">
        <x:v>4</x:v>
      </x:c>
      <x:c r="U1614" s="6" t="n">
        <x:v>1</x:v>
      </x:c>
      <x:c r="V1614" s="6" t="n">
        <x:v>0</x:v>
      </x:c>
      <x:c r="W1614" s="6" t="n">
        <x:v>0</x:v>
      </x:c>
      <x:c r="X1614" s="6" t="n">
        <x:v>0</x:v>
      </x:c>
      <x:c r="Y1614" s="6" t="n">
        <x:v>0</x:v>
      </x:c>
      <x:c r="Z1614" s="6" t="n">
        <x:v>0</x:v>
      </x:c>
      <x:c r="AA1614" s="6" t="n">
        <x:v>3</x:v>
      </x:c>
      <x:c r="AB1614" s="6" t="n">
        <x:v>11</x:v>
      </x:c>
      <x:c r="AC1614" s="6" t="n">
        <x:v>1</x:v>
      </x:c>
    </x:row>
    <x:row r="1615">
      <x:c r="A1615" s="6" t="n">
        <x:v>1764</x:v>
      </x:c>
      <x:c r="B1615" s="6" t="n">
        <x:v>1975</x:v>
      </x:c>
      <x:c r="C1615" s="6" t="str">
        <x:v>Graduation</x:v>
      </x:c>
      <x:c r="D1615" s="6" t="str">
        <x:v>Single</x:v>
      </x:c>
      <x:c r="E1615" s="6" t="n">
        <x:v>33955</x:v>
      </x:c>
      <x:c r="F1615" s="6" t="n">
        <x:v>1</x:v>
      </x:c>
      <x:c r="G1615" s="6" t="n">
        <x:v>0</x:v>
      </x:c>
      <x:c r="H1615" s="9" t="str">
        <x:v>09-08-2013</x:v>
      </x:c>
      <x:c r="I1615" s="6" t="n">
        <x:v>92</x:v>
      </x:c>
      <x:c r="J1615" s="6" t="n">
        <x:v>100</x:v>
      </x:c>
      <x:c r="K1615" s="6" t="n">
        <x:v>2</x:v>
      </x:c>
      <x:c r="L1615" s="6" t="n">
        <x:v>128</x:v>
      </x:c>
      <x:c r="M1615" s="6" t="n">
        <x:v>23</x:v>
      </x:c>
      <x:c r="N1615" s="6" t="n">
        <x:v>7</x:v>
      </x:c>
      <x:c r="O1615" s="6" t="n">
        <x:v>10</x:v>
      </x:c>
      <x:c r="P1615" s="6" t="n">
        <x:v>4</x:v>
      </x:c>
      <x:c r="Q1615" s="6" t="n">
        <x:v>5</x:v>
      </x:c>
      <x:c r="R1615" s="6" t="n">
        <x:v>1</x:v>
      </x:c>
      <x:c r="S1615" s="6" t="n">
        <x:v>5</x:v>
      </x:c>
      <x:c r="T1615" s="6" t="n">
        <x:v>8</x:v>
      </x:c>
      <x:c r="U1615" s="6" t="n">
        <x:v>0</x:v>
      </x:c>
      <x:c r="V1615" s="6" t="n">
        <x:v>0</x:v>
      </x:c>
      <x:c r="W1615" s="6" t="n">
        <x:v>0</x:v>
      </x:c>
      <x:c r="X1615" s="6" t="n">
        <x:v>0</x:v>
      </x:c>
      <x:c r="Y1615" s="6" t="n">
        <x:v>0</x:v>
      </x:c>
      <x:c r="Z1615" s="6" t="n">
        <x:v>0</x:v>
      </x:c>
      <x:c r="AA1615" s="6" t="n">
        <x:v>3</x:v>
      </x:c>
      <x:c r="AB1615" s="6" t="n">
        <x:v>11</x:v>
      </x:c>
      <x:c r="AC1615" s="6" t="n">
        <x:v>0</x:v>
      </x:c>
    </x:row>
    <x:row r="1616">
      <x:c r="A1616" s="6" t="n">
        <x:v>6215</x:v>
      </x:c>
      <x:c r="B1616" s="6" t="n">
        <x:v>1977</x:v>
      </x:c>
      <x:c r="C1616" s="6" t="str">
        <x:v>Graduation</x:v>
      </x:c>
      <x:c r="D1616" s="6" t="str">
        <x:v>Married</x:v>
      </x:c>
      <x:c r="E1616" s="6" t="n">
        <x:v>31353</x:v>
      </x:c>
      <x:c r="F1616" s="6" t="n">
        <x:v>1</x:v>
      </x:c>
      <x:c r="G1616" s="6" t="n">
        <x:v>1</x:v>
      </x:c>
      <x:c r="H1616" s="9" t="str">
        <x:v>29-12-2013</x:v>
      </x:c>
      <x:c r="I1616" s="6" t="n">
        <x:v>24</x:v>
      </x:c>
      <x:c r="J1616" s="6" t="n">
        <x:v>10</x:v>
      </x:c>
      <x:c r="K1616" s="6" t="n">
        <x:v>0</x:v>
      </x:c>
      <x:c r="L1616" s="6" t="n">
        <x:v>10</x:v>
      </x:c>
      <x:c r="M1616" s="6" t="n">
        <x:v>3</x:v>
      </x:c>
      <x:c r="N1616" s="6" t="n">
        <x:v>1</x:v>
      </x:c>
      <x:c r="O1616" s="6" t="n">
        <x:v>7</x:v>
      </x:c>
      <x:c r="P1616" s="6" t="n">
        <x:v>2</x:v>
      </x:c>
      <x:c r="Q1616" s="6" t="n">
        <x:v>1</x:v>
      </x:c>
      <x:c r="R1616" s="6" t="n">
        <x:v>1</x:v>
      </x:c>
      <x:c r="S1616" s="6" t="n">
        <x:v>2</x:v>
      </x:c>
      <x:c r="T1616" s="6" t="n">
        <x:v>8</x:v>
      </x:c>
      <x:c r="U1616" s="6" t="n">
        <x:v>0</x:v>
      </x:c>
      <x:c r="V1616" s="6" t="n">
        <x:v>0</x:v>
      </x:c>
      <x:c r="W1616" s="6" t="n">
        <x:v>0</x:v>
      </x:c>
      <x:c r="X1616" s="6" t="n">
        <x:v>0</x:v>
      </x:c>
      <x:c r="Y1616" s="6" t="n">
        <x:v>0</x:v>
      </x:c>
      <x:c r="Z1616" s="6" t="n">
        <x:v>0</x:v>
      </x:c>
      <x:c r="AA1616" s="6" t="n">
        <x:v>3</x:v>
      </x:c>
      <x:c r="AB1616" s="6" t="n">
        <x:v>11</x:v>
      </x:c>
      <x:c r="AC1616" s="6" t="n">
        <x:v>1</x:v>
      </x:c>
    </x:row>
    <x:row r="1617">
      <x:c r="A1617" s="6" t="n">
        <x:v>10099</x:v>
      </x:c>
      <x:c r="B1617" s="6" t="n">
        <x:v>1984</x:v>
      </x:c>
      <x:c r="C1617" s="6" t="str">
        <x:v>Graduation</x:v>
      </x:c>
      <x:c r="D1617" s="6" t="str">
        <x:v>Married</x:v>
      </x:c>
      <x:c r="E1617" s="6" t="n">
        <x:v>55434</x:v>
      </x:c>
      <x:c r="F1617" s="6" t="n">
        <x:v>1</x:v>
      </x:c>
      <x:c r="G1617" s="6" t="n">
        <x:v>0</x:v>
      </x:c>
      <x:c r="H1617" s="9" t="str">
        <x:v>05-10-2013</x:v>
      </x:c>
      <x:c r="I1617" s="6" t="n">
        <x:v>21</x:v>
      </x:c>
      <x:c r="J1617" s="6" t="n">
        <x:v>238</x:v>
      </x:c>
      <x:c r="K1617" s="6" t="n">
        <x:v>115</x:v>
      </x:c>
      <x:c r="L1617" s="6" t="n">
        <x:v>215</x:v>
      </x:c>
      <x:c r="M1617" s="6" t="n">
        <x:v>169</x:v>
      </x:c>
      <x:c r="N1617" s="6" t="n">
        <x:v>69</x:v>
      </x:c>
      <x:c r="O1617" s="6" t="n">
        <x:v>76</x:v>
      </x:c>
      <x:c r="P1617" s="6" t="n">
        <x:v>3</x:v>
      </x:c>
      <x:c r="Q1617" s="6" t="n">
        <x:v>5</x:v>
      </x:c>
      <x:c r="R1617" s="6" t="n">
        <x:v>3</x:v>
      </x:c>
      <x:c r="S1617" s="6" t="n">
        <x:v>13</x:v>
      </x:c>
      <x:c r="T1617" s="6" t="n">
        <x:v>4</x:v>
      </x:c>
      <x:c r="U1617" s="6" t="n">
        <x:v>0</x:v>
      </x:c>
      <x:c r="V1617" s="6" t="n">
        <x:v>0</x:v>
      </x:c>
      <x:c r="W1617" s="6" t="n">
        <x:v>0</x:v>
      </x:c>
      <x:c r="X1617" s="6" t="n">
        <x:v>0</x:v>
      </x:c>
      <x:c r="Y1617" s="6" t="n">
        <x:v>0</x:v>
      </x:c>
      <x:c r="Z1617" s="6" t="n">
        <x:v>0</x:v>
      </x:c>
      <x:c r="AA1617" s="6" t="n">
        <x:v>3</x:v>
      </x:c>
      <x:c r="AB1617" s="6" t="n">
        <x:v>11</x:v>
      </x:c>
      <x:c r="AC1617" s="6" t="n">
        <x:v>0</x:v>
      </x:c>
    </x:row>
    <x:row r="1618">
      <x:c r="A1618" s="6" t="n">
        <x:v>5423</x:v>
      </x:c>
      <x:c r="B1618" s="6" t="n">
        <x:v>1983</x:v>
      </x:c>
      <x:c r="C1618" s="6" t="str">
        <x:v>Graduation</x:v>
      </x:c>
      <x:c r="D1618" s="6" t="str">
        <x:v>Together</x:v>
      </x:c>
      <x:c r="E1618" s="6" t="n">
        <x:v>28359</x:v>
      </x:c>
      <x:c r="F1618" s="6" t="n">
        <x:v>1</x:v>
      </x:c>
      <x:c r="G1618" s="6" t="n">
        <x:v>0</x:v>
      </x:c>
      <x:c r="H1618" s="9" t="str">
        <x:v>27-10-2013</x:v>
      </x:c>
      <x:c r="I1618" s="6" t="n">
        <x:v>35</x:v>
      </x:c>
      <x:c r="J1618" s="6" t="n">
        <x:v>6</x:v>
      </x:c>
      <x:c r="K1618" s="6" t="n">
        <x:v>0</x:v>
      </x:c>
      <x:c r="L1618" s="6" t="n">
        <x:v>5</x:v>
      </x:c>
      <x:c r="M1618" s="6" t="n">
        <x:v>2</x:v>
      </x:c>
      <x:c r="N1618" s="6" t="n">
        <x:v>1</x:v>
      </x:c>
      <x:c r="O1618" s="6" t="n">
        <x:v>2</x:v>
      </x:c>
      <x:c r="P1618" s="6" t="n">
        <x:v>1</x:v>
      </x:c>
      <x:c r="Q1618" s="6" t="n">
        <x:v>1</x:v>
      </x:c>
      <x:c r="R1618" s="6" t="n">
        <x:v>0</x:v>
      </x:c>
      <x:c r="S1618" s="6" t="n">
        <x:v>2</x:v>
      </x:c>
      <x:c r="T1618" s="6" t="n">
        <x:v>7</x:v>
      </x:c>
      <x:c r="U1618" s="6" t="n">
        <x:v>0</x:v>
      </x:c>
      <x:c r="V1618" s="6" t="n">
        <x:v>0</x:v>
      </x:c>
      <x:c r="W1618" s="6" t="n">
        <x:v>0</x:v>
      </x:c>
      <x:c r="X1618" s="6" t="n">
        <x:v>0</x:v>
      </x:c>
      <x:c r="Y1618" s="6" t="n">
        <x:v>0</x:v>
      </x:c>
      <x:c r="Z1618" s="6" t="n">
        <x:v>0</x:v>
      </x:c>
      <x:c r="AA1618" s="6" t="n">
        <x:v>3</x:v>
      </x:c>
      <x:c r="AB1618" s="6" t="n">
        <x:v>11</x:v>
      </x:c>
      <x:c r="AC1618" s="6" t="n">
        <x:v>0</x:v>
      </x:c>
    </x:row>
    <x:row r="1619">
      <x:c r="A1619" s="6" t="n">
        <x:v>940</x:v>
      </x:c>
      <x:c r="B1619" s="6" t="n">
        <x:v>1987</x:v>
      </x:c>
      <x:c r="C1619" s="6" t="str">
        <x:v>Graduation</x:v>
      </x:c>
      <x:c r="D1619" s="6" t="str">
        <x:v>Single</x:v>
      </x:c>
      <x:c r="E1619" s="6" t="n">
        <x:v>57100</x:v>
      </x:c>
      <x:c r="F1619" s="6" t="n">
        <x:v>1</x:v>
      </x:c>
      <x:c r="G1619" s="6" t="n">
        <x:v>0</x:v>
      </x:c>
      <x:c r="H1619" s="9" t="str">
        <x:v>18-05-2014</x:v>
      </x:c>
      <x:c r="I1619" s="6" t="n">
        <x:v>9</x:v>
      </x:c>
      <x:c r="J1619" s="6" t="n">
        <x:v>158</x:v>
      </x:c>
      <x:c r="K1619" s="6" t="n">
        <x:v>11</x:v>
      </x:c>
      <x:c r="L1619" s="6" t="n">
        <x:v>99</x:v>
      </x:c>
      <x:c r="M1619" s="6" t="n">
        <x:v>15</x:v>
      </x:c>
      <x:c r="N1619" s="6" t="n">
        <x:v>11</x:v>
      </x:c>
      <x:c r="O1619" s="6" t="n">
        <x:v>17</x:v>
      </x:c>
      <x:c r="P1619" s="6" t="n">
        <x:v>2</x:v>
      </x:c>
      <x:c r="Q1619" s="6" t="n">
        <x:v>3</x:v>
      </x:c>
      <x:c r="R1619" s="6" t="n">
        <x:v>2</x:v>
      </x:c>
      <x:c r="S1619" s="6" t="n">
        <x:v>7</x:v>
      </x:c>
      <x:c r="T1619" s="6" t="n">
        <x:v>3</x:v>
      </x:c>
      <x:c r="U1619" s="6" t="n">
        <x:v>0</x:v>
      </x:c>
      <x:c r="V1619" s="6" t="n">
        <x:v>0</x:v>
      </x:c>
      <x:c r="W1619" s="6" t="n">
        <x:v>0</x:v>
      </x:c>
      <x:c r="X1619" s="6" t="n">
        <x:v>0</x:v>
      </x:c>
      <x:c r="Y1619" s="6" t="n">
        <x:v>0</x:v>
      </x:c>
      <x:c r="Z1619" s="6" t="n">
        <x:v>0</x:v>
      </x:c>
      <x:c r="AA1619" s="6" t="n">
        <x:v>3</x:v>
      </x:c>
      <x:c r="AB1619" s="6" t="n">
        <x:v>11</x:v>
      </x:c>
      <x:c r="AC1619" s="6" t="n">
        <x:v>0</x:v>
      </x:c>
    </x:row>
    <x:row r="1620">
      <x:c r="A1620" s="6" t="n">
        <x:v>3011</x:v>
      </x:c>
      <x:c r="B1620" s="6" t="n">
        <x:v>1965</x:v>
      </x:c>
      <x:c r="C1620" s="6" t="str">
        <x:v>Graduation</x:v>
      </x:c>
      <x:c r="D1620" s="6" t="str">
        <x:v>Married</x:v>
      </x:c>
      <x:c r="E1620" s="6" t="n">
        <x:v>69139</x:v>
      </x:c>
      <x:c r="F1620" s="6" t="n">
        <x:v>0</x:v>
      </x:c>
      <x:c r="G1620" s="6" t="n">
        <x:v>1</x:v>
      </x:c>
      <x:c r="H1620" s="9" t="str">
        <x:v>27-01-2014</x:v>
      </x:c>
      <x:c r="I1620" s="6" t="n">
        <x:v>23</x:v>
      </x:c>
      <x:c r="J1620" s="6" t="n">
        <x:v>86</x:v>
      </x:c>
      <x:c r="K1620" s="6" t="n">
        <x:v>12</x:v>
      </x:c>
      <x:c r="L1620" s="6" t="n">
        <x:v>75</x:v>
      </x:c>
      <x:c r="M1620" s="6" t="n">
        <x:v>33</x:v>
      </x:c>
      <x:c r="N1620" s="6" t="n">
        <x:v>15</x:v>
      </x:c>
      <x:c r="O1620" s="6" t="n">
        <x:v>6</x:v>
      </x:c>
      <x:c r="P1620" s="6" t="n">
        <x:v>1</x:v>
      </x:c>
      <x:c r="Q1620" s="6" t="n">
        <x:v>4</x:v>
      </x:c>
      <x:c r="R1620" s="6" t="n">
        <x:v>1</x:v>
      </x:c>
      <x:c r="S1620" s="6" t="n">
        <x:v>5</x:v>
      </x:c>
      <x:c r="T1620" s="6" t="n">
        <x:v>4</x:v>
      </x:c>
      <x:c r="U1620" s="6" t="n">
        <x:v>0</x:v>
      </x:c>
      <x:c r="V1620" s="6" t="n">
        <x:v>0</x:v>
      </x:c>
      <x:c r="W1620" s="6" t="n">
        <x:v>0</x:v>
      </x:c>
      <x:c r="X1620" s="6" t="n">
        <x:v>0</x:v>
      </x:c>
      <x:c r="Y1620" s="6" t="n">
        <x:v>0</x:v>
      </x:c>
      <x:c r="Z1620" s="6" t="n">
        <x:v>0</x:v>
      </x:c>
      <x:c r="AA1620" s="6" t="n">
        <x:v>3</x:v>
      </x:c>
      <x:c r="AB1620" s="6" t="n">
        <x:v>11</x:v>
      </x:c>
      <x:c r="AC1620" s="6" t="n">
        <x:v>0</x:v>
      </x:c>
    </x:row>
    <x:row r="1621">
      <x:c r="A1621" s="6" t="n">
        <x:v>3298</x:v>
      </x:c>
      <x:c r="B1621" s="6" t="n">
        <x:v>1956</x:v>
      </x:c>
      <x:c r="C1621" s="6" t="str">
        <x:v>Master</x:v>
      </x:c>
      <x:c r="D1621" s="6" t="str">
        <x:v>Married</x:v>
      </x:c>
      <x:c r="E1621" s="6" t="n">
        <x:v>52973</x:v>
      </x:c>
      <x:c r="F1621" s="6" t="n">
        <x:v>0</x:v>
      </x:c>
      <x:c r="G1621" s="6" t="n">
        <x:v>1</x:v>
      </x:c>
      <x:c r="H1621" s="9" t="str">
        <x:v>08-11-2012</x:v>
      </x:c>
      <x:c r="I1621" s="6" t="n">
        <x:v>92</x:v>
      </x:c>
      <x:c r="J1621" s="6" t="n">
        <x:v>856</x:v>
      </x:c>
      <x:c r="K1621" s="6" t="n">
        <x:v>0</x:v>
      </x:c>
      <x:c r="L1621" s="6" t="n">
        <x:v>76</x:v>
      </x:c>
      <x:c r="M1621" s="6" t="n">
        <x:v>12</x:v>
      </x:c>
      <x:c r="N1621" s="6" t="n">
        <x:v>9</x:v>
      </x:c>
      <x:c r="O1621" s="6" t="n">
        <x:v>199</x:v>
      </x:c>
      <x:c r="P1621" s="6" t="n">
        <x:v>7</x:v>
      </x:c>
      <x:c r="Q1621" s="6" t="n">
        <x:v>9</x:v>
      </x:c>
      <x:c r="R1621" s="6" t="n">
        <x:v>6</x:v>
      </x:c>
      <x:c r="S1621" s="6" t="n">
        <x:v>9</x:v>
      </x:c>
      <x:c r="T1621" s="6" t="n">
        <x:v>8</x:v>
      </x:c>
      <x:c r="U1621" s="6" t="n">
        <x:v>0</x:v>
      </x:c>
      <x:c r="V1621" s="6" t="n">
        <x:v>0</x:v>
      </x:c>
      <x:c r="W1621" s="6" t="n">
        <x:v>0</x:v>
      </x:c>
      <x:c r="X1621" s="6" t="n">
        <x:v>0</x:v>
      </x:c>
      <x:c r="Y1621" s="6" t="n">
        <x:v>0</x:v>
      </x:c>
      <x:c r="Z1621" s="6" t="n">
        <x:v>0</x:v>
      </x:c>
      <x:c r="AA1621" s="6" t="n">
        <x:v>3</x:v>
      </x:c>
      <x:c r="AB1621" s="6" t="n">
        <x:v>11</x:v>
      </x:c>
      <x:c r="AC1621" s="6" t="n">
        <x:v>0</x:v>
      </x:c>
    </x:row>
    <x:row r="1622">
      <x:c r="A1622" s="6" t="n">
        <x:v>8286</x:v>
      </x:c>
      <x:c r="B1622" s="6" t="n">
        <x:v>1965</x:v>
      </x:c>
      <x:c r="C1622" s="6" t="str">
        <x:v>PhD</x:v>
      </x:c>
      <x:c r="D1622" s="6" t="str">
        <x:v>Together</x:v>
      </x:c>
      <x:c r="E1622" s="6" t="n">
        <x:v>51717</x:v>
      </x:c>
      <x:c r="F1622" s="6" t="n">
        <x:v>0</x:v>
      </x:c>
      <x:c r="G1622" s="6" t="n">
        <x:v>1</x:v>
      </x:c>
      <x:c r="H1622" s="9" t="str">
        <x:v>20-08-2013</x:v>
      </x:c>
      <x:c r="I1622" s="6" t="n">
        <x:v>55</x:v>
      </x:c>
      <x:c r="J1622" s="6" t="n">
        <x:v>98</x:v>
      </x:c>
      <x:c r="K1622" s="6" t="n">
        <x:v>1</x:v>
      </x:c>
      <x:c r="L1622" s="6" t="n">
        <x:v>17</x:v>
      </x:c>
      <x:c r="M1622" s="6" t="n">
        <x:v>0</x:v>
      </x:c>
      <x:c r="N1622" s="6" t="n">
        <x:v>1</x:v>
      </x:c>
      <x:c r="O1622" s="6" t="n">
        <x:v>5</x:v>
      </x:c>
      <x:c r="P1622" s="6" t="n">
        <x:v>1</x:v>
      </x:c>
      <x:c r="Q1622" s="6" t="n">
        <x:v>3</x:v>
      </x:c>
      <x:c r="R1622" s="6" t="n">
        <x:v>0</x:v>
      </x:c>
      <x:c r="S1622" s="6" t="n">
        <x:v>4</x:v>
      </x:c>
      <x:c r="T1622" s="6" t="n">
        <x:v>7</x:v>
      </x:c>
      <x:c r="U1622" s="6" t="n">
        <x:v>0</x:v>
      </x:c>
      <x:c r="V1622" s="6" t="n">
        <x:v>1</x:v>
      </x:c>
      <x:c r="W1622" s="6" t="n">
        <x:v>0</x:v>
      </x:c>
      <x:c r="X1622" s="6" t="n">
        <x:v>0</x:v>
      </x:c>
      <x:c r="Y1622" s="6" t="n">
        <x:v>0</x:v>
      </x:c>
      <x:c r="Z1622" s="6" t="n">
        <x:v>0</x:v>
      </x:c>
      <x:c r="AA1622" s="6" t="n">
        <x:v>3</x:v>
      </x:c>
      <x:c r="AB1622" s="6" t="n">
        <x:v>11</x:v>
      </x:c>
      <x:c r="AC1622" s="6" t="n">
        <x:v>0</x:v>
      </x:c>
    </x:row>
    <x:row r="1623">
      <x:c r="A1623" s="6" t="n">
        <x:v>9668</x:v>
      </x:c>
      <x:c r="B1623" s="6" t="n">
        <x:v>1971</x:v>
      </x:c>
      <x:c r="C1623" s="6" t="str">
        <x:v>Graduation</x:v>
      </x:c>
      <x:c r="D1623" s="6" t="str">
        <x:v>Married</x:v>
      </x:c>
      <x:c r="E1623" s="6" t="n">
        <x:v>18793</x:v>
      </x:c>
      <x:c r="F1623" s="6" t="n">
        <x:v>1</x:v>
      </x:c>
      <x:c r="G1623" s="6" t="n">
        <x:v>0</x:v>
      </x:c>
      <x:c r="H1623" s="9" t="str">
        <x:v>12-01-2013</x:v>
      </x:c>
      <x:c r="I1623" s="6" t="n">
        <x:v>14</x:v>
      </x:c>
      <x:c r="J1623" s="6" t="n">
        <x:v>4</x:v>
      </x:c>
      <x:c r="K1623" s="6" t="n">
        <x:v>16</x:v>
      </x:c>
      <x:c r="L1623" s="6" t="n">
        <x:v>20</x:v>
      </x:c>
      <x:c r="M1623" s="6" t="n">
        <x:v>0</x:v>
      </x:c>
      <x:c r="N1623" s="6" t="n">
        <x:v>17</x:v>
      </x:c>
      <x:c r="O1623" s="6" t="n">
        <x:v>20</x:v>
      </x:c>
      <x:c r="P1623" s="6" t="n">
        <x:v>3</x:v>
      </x:c>
      <x:c r="Q1623" s="6" t="n">
        <x:v>2</x:v>
      </x:c>
      <x:c r="R1623" s="6" t="n">
        <x:v>0</x:v>
      </x:c>
      <x:c r="S1623" s="6" t="n">
        <x:v>4</x:v>
      </x:c>
      <x:c r="T1623" s="6" t="n">
        <x:v>8</x:v>
      </x:c>
      <x:c r="U1623" s="6" t="n">
        <x:v>0</x:v>
      </x:c>
      <x:c r="V1623" s="6" t="n">
        <x:v>0</x:v>
      </x:c>
      <x:c r="W1623" s="6" t="n">
        <x:v>0</x:v>
      </x:c>
      <x:c r="X1623" s="6" t="n">
        <x:v>0</x:v>
      </x:c>
      <x:c r="Y1623" s="6" t="n">
        <x:v>0</x:v>
      </x:c>
      <x:c r="Z1623" s="6" t="n">
        <x:v>0</x:v>
      </x:c>
      <x:c r="AA1623" s="6" t="n">
        <x:v>3</x:v>
      </x:c>
      <x:c r="AB1623" s="6" t="n">
        <x:v>11</x:v>
      </x:c>
      <x:c r="AC1623" s="6" t="n">
        <x:v>0</x:v>
      </x:c>
    </x:row>
    <x:row r="1624">
      <x:c r="A1624" s="6" t="n">
        <x:v>5120</x:v>
      </x:c>
      <x:c r="B1624" s="6" t="n">
        <x:v>1982</x:v>
      </x:c>
      <x:c r="C1624" s="6" t="str">
        <x:v>2n Cycle</x:v>
      </x:c>
      <x:c r="D1624" s="6" t="str">
        <x:v>Together</x:v>
      </x:c>
      <x:c r="E1624" s="6" t="n">
        <x:v>66664</x:v>
      </x:c>
      <x:c r="F1624" s="6" t="n">
        <x:v>0</x:v>
      </x:c>
      <x:c r="G1624" s="6" t="n">
        <x:v>0</x:v>
      </x:c>
      <x:c r="H1624" s="9" t="str">
        <x:v>25-09-2012</x:v>
      </x:c>
      <x:c r="I1624" s="6" t="n">
        <x:v>78</x:v>
      </x:c>
      <x:c r="J1624" s="6" t="n">
        <x:v>398</x:v>
      </x:c>
      <x:c r="K1624" s="6" t="n">
        <x:v>96</x:v>
      </x:c>
      <x:c r="L1624" s="6" t="n">
        <x:v>447</x:v>
      </x:c>
      <x:c r="M1624" s="6" t="n">
        <x:v>220</x:v>
      </x:c>
      <x:c r="N1624" s="6" t="n">
        <x:v>96</x:v>
      </x:c>
      <x:c r="O1624" s="6" t="n">
        <x:v>32</x:v>
      </x:c>
      <x:c r="P1624" s="6" t="n">
        <x:v>1</x:v>
      </x:c>
      <x:c r="Q1624" s="6" t="n">
        <x:v>5</x:v>
      </x:c>
      <x:c r="R1624" s="6" t="n">
        <x:v>7</x:v>
      </x:c>
      <x:c r="S1624" s="6" t="n">
        <x:v>6</x:v>
      </x:c>
      <x:c r="T1624" s="6" t="n">
        <x:v>3</x:v>
      </x:c>
      <x:c r="U1624" s="6" t="n">
        <x:v>0</x:v>
      </x:c>
      <x:c r="V1624" s="6" t="n">
        <x:v>0</x:v>
      </x:c>
      <x:c r="W1624" s="6" t="n">
        <x:v>0</x:v>
      </x:c>
      <x:c r="X1624" s="6" t="n">
        <x:v>0</x:v>
      </x:c>
      <x:c r="Y1624" s="6" t="n">
        <x:v>0</x:v>
      </x:c>
      <x:c r="Z1624" s="6" t="n">
        <x:v>0</x:v>
      </x:c>
      <x:c r="AA1624" s="6" t="n">
        <x:v>3</x:v>
      </x:c>
      <x:c r="AB1624" s="6" t="n">
        <x:v>11</x:v>
      </x:c>
      <x:c r="AC1624" s="6" t="n">
        <x:v>0</x:v>
      </x:c>
    </x:row>
    <x:row r="1625">
      <x:c r="A1625" s="6" t="n">
        <x:v>6097</x:v>
      </x:c>
      <x:c r="B1625" s="6" t="n">
        <x:v>1959</x:v>
      </x:c>
      <x:c r="C1625" s="6" t="str">
        <x:v>Graduation</x:v>
      </x:c>
      <x:c r="D1625" s="6" t="str">
        <x:v>Single</x:v>
      </x:c>
      <x:c r="E1625" s="6" t="n">
        <x:v>50664</x:v>
      </x:c>
      <x:c r="F1625" s="6" t="n">
        <x:v>1</x:v>
      </x:c>
      <x:c r="G1625" s="6" t="n">
        <x:v>1</x:v>
      </x:c>
      <x:c r="H1625" s="9" t="str">
        <x:v>16-01-2013</x:v>
      </x:c>
      <x:c r="I1625" s="6" t="n">
        <x:v>64</x:v>
      </x:c>
      <x:c r="J1625" s="6" t="n">
        <x:v>313</x:v>
      </x:c>
      <x:c r="K1625" s="6" t="n">
        <x:v>8</x:v>
      </x:c>
      <x:c r="L1625" s="6" t="n">
        <x:v>104</x:v>
      </x:c>
      <x:c r="M1625" s="6" t="n">
        <x:v>6</x:v>
      </x:c>
      <x:c r="N1625" s="6" t="n">
        <x:v>4</x:v>
      </x:c>
      <x:c r="O1625" s="6" t="n">
        <x:v>126</x:v>
      </x:c>
      <x:c r="P1625" s="6" t="n">
        <x:v>9</x:v>
      </x:c>
      <x:c r="Q1625" s="6" t="n">
        <x:v>8</x:v>
      </x:c>
      <x:c r="R1625" s="6" t="n">
        <x:v>1</x:v>
      </x:c>
      <x:c r="S1625" s="6" t="n">
        <x:v>6</x:v>
      </x:c>
      <x:c r="T1625" s="6" t="n">
        <x:v>9</x:v>
      </x:c>
      <x:c r="U1625" s="6" t="n">
        <x:v>0</x:v>
      </x:c>
      <x:c r="V1625" s="6" t="n">
        <x:v>0</x:v>
      </x:c>
      <x:c r="W1625" s="6" t="n">
        <x:v>0</x:v>
      </x:c>
      <x:c r="X1625" s="6" t="n">
        <x:v>0</x:v>
      </x:c>
      <x:c r="Y1625" s="6" t="n">
        <x:v>0</x:v>
      </x:c>
      <x:c r="Z1625" s="6" t="n">
        <x:v>0</x:v>
      </x:c>
      <x:c r="AA1625" s="6" t="n">
        <x:v>3</x:v>
      </x:c>
      <x:c r="AB1625" s="6" t="n">
        <x:v>11</x:v>
      </x:c>
      <x:c r="AC1625" s="6" t="n">
        <x:v>0</x:v>
      </x:c>
    </x:row>
    <x:row r="1626">
      <x:c r="A1626" s="6" t="n">
        <x:v>7019</x:v>
      </x:c>
      <x:c r="B1626" s="6" t="n">
        <x:v>1963</x:v>
      </x:c>
      <x:c r="C1626" s="6" t="str">
        <x:v>Graduation</x:v>
      </x:c>
      <x:c r="D1626" s="6" t="str">
        <x:v>Together</x:v>
      </x:c>
      <x:c r="E1626" s="6" t="n">
        <x:v>54414</x:v>
      </x:c>
      <x:c r="F1626" s="6" t="n">
        <x:v>1</x:v>
      </x:c>
      <x:c r="G1626" s="6" t="n">
        <x:v>1</x:v>
      </x:c>
      <x:c r="H1626" s="9" t="str">
        <x:v>23-01-2013</x:v>
      </x:c>
      <x:c r="I1626" s="6" t="n">
        <x:v>49</x:v>
      </x:c>
      <x:c r="J1626" s="6" t="n">
        <x:v>109</x:v>
      </x:c>
      <x:c r="K1626" s="6" t="n">
        <x:v>18</x:v>
      </x:c>
      <x:c r="L1626" s="6" t="n">
        <x:v>16</x:v>
      </x:c>
      <x:c r="M1626" s="6" t="n">
        <x:v>24</x:v>
      </x:c>
      <x:c r="N1626" s="6" t="n">
        <x:v>26</x:v>
      </x:c>
      <x:c r="O1626" s="6" t="n">
        <x:v>18</x:v>
      </x:c>
      <x:c r="P1626" s="6" t="n">
        <x:v>4</x:v>
      </x:c>
      <x:c r="Q1626" s="6" t="n">
        <x:v>3</x:v>
      </x:c>
      <x:c r="R1626" s="6" t="n">
        <x:v>1</x:v>
      </x:c>
      <x:c r="S1626" s="6" t="n">
        <x:v>5</x:v>
      </x:c>
      <x:c r="T1626" s="6" t="n">
        <x:v>4</x:v>
      </x:c>
      <x:c r="U1626" s="6" t="n">
        <x:v>0</x:v>
      </x:c>
      <x:c r="V1626" s="6" t="n">
        <x:v>0</x:v>
      </x:c>
      <x:c r="W1626" s="6" t="n">
        <x:v>0</x:v>
      </x:c>
      <x:c r="X1626" s="6" t="n">
        <x:v>0</x:v>
      </x:c>
      <x:c r="Y1626" s="6" t="n">
        <x:v>0</x:v>
      </x:c>
      <x:c r="Z1626" s="6" t="n">
        <x:v>0</x:v>
      </x:c>
      <x:c r="AA1626" s="6" t="n">
        <x:v>3</x:v>
      </x:c>
      <x:c r="AB1626" s="6" t="n">
        <x:v>11</x:v>
      </x:c>
      <x:c r="AC1626" s="6" t="n">
        <x:v>0</x:v>
      </x:c>
    </x:row>
    <x:row r="1627">
      <x:c r="A1627" s="6" t="n">
        <x:v>7408</x:v>
      </x:c>
      <x:c r="B1627" s="6" t="n">
        <x:v>1952</x:v>
      </x:c>
      <x:c r="C1627" s="6" t="str">
        <x:v>PhD</x:v>
      </x:c>
      <x:c r="D1627" s="6" t="str">
        <x:v>Married</x:v>
      </x:c>
      <x:c r="E1627" s="6" t="n">
        <x:v>54549</x:v>
      </x:c>
      <x:c r="F1627" s="6" t="n">
        <x:v>0</x:v>
      </x:c>
      <x:c r="G1627" s="6" t="n">
        <x:v>1</x:v>
      </x:c>
      <x:c r="H1627" s="9" t="str">
        <x:v>03-03-2014</x:v>
      </x:c>
      <x:c r="I1627" s="6" t="n">
        <x:v>8</x:v>
      </x:c>
      <x:c r="J1627" s="6" t="n">
        <x:v>216</x:v>
      </x:c>
      <x:c r="K1627" s="6" t="n">
        <x:v>2</x:v>
      </x:c>
      <x:c r="L1627" s="6" t="n">
        <x:v>6</x:v>
      </x:c>
      <x:c r="M1627" s="6" t="n">
        <x:v>0</x:v>
      </x:c>
      <x:c r="N1627" s="6" t="n">
        <x:v>0</x:v>
      </x:c>
      <x:c r="O1627" s="6" t="n">
        <x:v>9</x:v>
      </x:c>
      <x:c r="P1627" s="6" t="n">
        <x:v>2</x:v>
      </x:c>
      <x:c r="Q1627" s="6" t="n">
        <x:v>5</x:v>
      </x:c>
      <x:c r="R1627" s="6" t="n">
        <x:v>1</x:v>
      </x:c>
      <x:c r="S1627" s="6" t="n">
        <x:v>4</x:v>
      </x:c>
      <x:c r="T1627" s="6" t="n">
        <x:v>7</x:v>
      </x:c>
      <x:c r="U1627" s="6" t="n">
        <x:v>0</x:v>
      </x:c>
      <x:c r="V1627" s="6" t="n">
        <x:v>0</x:v>
      </x:c>
      <x:c r="W1627" s="6" t="n">
        <x:v>0</x:v>
      </x:c>
      <x:c r="X1627" s="6" t="n">
        <x:v>0</x:v>
      </x:c>
      <x:c r="Y1627" s="6" t="n">
        <x:v>0</x:v>
      </x:c>
      <x:c r="Z1627" s="6" t="n">
        <x:v>0</x:v>
      </x:c>
      <x:c r="AA1627" s="6" t="n">
        <x:v>3</x:v>
      </x:c>
      <x:c r="AB1627" s="6" t="n">
        <x:v>11</x:v>
      </x:c>
      <x:c r="AC1627" s="6" t="n">
        <x:v>0</x:v>
      </x:c>
    </x:row>
    <x:row r="1628">
      <x:c r="A1628" s="6" t="n">
        <x:v>8041</x:v>
      </x:c>
      <x:c r="B1628" s="6" t="n">
        <x:v>1971</x:v>
      </x:c>
      <x:c r="C1628" s="6" t="str">
        <x:v>PhD</x:v>
      </x:c>
      <x:c r="D1628" s="6" t="str">
        <x:v>Widow</x:v>
      </x:c>
      <x:c r="E1628" s="6" t="n">
        <x:v>47111</x:v>
      </x:c>
      <x:c r="F1628" s="6" t="n">
        <x:v>0</x:v>
      </x:c>
      <x:c r="G1628" s="6" t="n">
        <x:v>1</x:v>
      </x:c>
      <x:c r="H1628" s="9" t="str">
        <x:v>08-09-2012</x:v>
      </x:c>
      <x:c r="I1628" s="6" t="n">
        <x:v>35</x:v>
      </x:c>
      <x:c r="J1628" s="6" t="n">
        <x:v>595</x:v>
      </x:c>
      <x:c r="K1628" s="6" t="n">
        <x:v>71</x:v>
      </x:c>
      <x:c r="L1628" s="6" t="n">
        <x:v>153</x:v>
      </x:c>
      <x:c r="M1628" s="6" t="n">
        <x:v>120</x:v>
      </x:c>
      <x:c r="N1628" s="6" t="n">
        <x:v>112</x:v>
      </x:c>
      <x:c r="O1628" s="6" t="n">
        <x:v>41</x:v>
      </x:c>
      <x:c r="P1628" s="6" t="n">
        <x:v>6</x:v>
      </x:c>
      <x:c r="Q1628" s="6" t="n">
        <x:v>3</x:v>
      </x:c>
      <x:c r="R1628" s="6" t="n">
        <x:v>2</x:v>
      </x:c>
      <x:c r="S1628" s="6" t="n">
        <x:v>10</x:v>
      </x:c>
      <x:c r="T1628" s="6" t="n">
        <x:v>9</x:v>
      </x:c>
      <x:c r="U1628" s="6" t="n">
        <x:v>0</x:v>
      </x:c>
      <x:c r="V1628" s="6" t="n">
        <x:v>0</x:v>
      </x:c>
      <x:c r="W1628" s="6" t="n">
        <x:v>0</x:v>
      </x:c>
      <x:c r="X1628" s="6" t="n">
        <x:v>0</x:v>
      </x:c>
      <x:c r="Y1628" s="6" t="n">
        <x:v>0</x:v>
      </x:c>
      <x:c r="Z1628" s="6" t="n">
        <x:v>0</x:v>
      </x:c>
      <x:c r="AA1628" s="6" t="n">
        <x:v>3</x:v>
      </x:c>
      <x:c r="AB1628" s="6" t="n">
        <x:v>11</x:v>
      </x:c>
      <x:c r="AC1628" s="6" t="n">
        <x:v>0</x:v>
      </x:c>
    </x:row>
    <x:row r="1629">
      <x:c r="A1629" s="6" t="n">
        <x:v>252</x:v>
      </x:c>
      <x:c r="B1629" s="6" t="n">
        <x:v>1963</x:v>
      </x:c>
      <x:c r="C1629" s="6" t="str">
        <x:v>PhD</x:v>
      </x:c>
      <x:c r="D1629" s="6" t="str">
        <x:v>Divorced</x:v>
      </x:c>
      <x:c r="E1629" s="6" t="n">
        <x:v>41003</x:v>
      </x:c>
      <x:c r="F1629" s="6" t="n">
        <x:v>0</x:v>
      </x:c>
      <x:c r="G1629" s="6" t="n">
        <x:v>0</x:v>
      </x:c>
      <x:c r="H1629" s="9" t="str">
        <x:v>17-03-2013</x:v>
      </x:c>
      <x:c r="I1629" s="6" t="n">
        <x:v>11</x:v>
      </x:c>
      <x:c r="J1629" s="6" t="n">
        <x:v>123</x:v>
      </x:c>
      <x:c r="K1629" s="6" t="n">
        <x:v>133</x:v>
      </x:c>
      <x:c r="L1629" s="6" t="n">
        <x:v>142</x:v>
      </x:c>
      <x:c r="M1629" s="6" t="n">
        <x:v>71</x:v>
      </x:c>
      <x:c r="N1629" s="6" t="n">
        <x:v>44</x:v>
      </x:c>
      <x:c r="O1629" s="6" t="n">
        <x:v>88</x:v>
      </x:c>
      <x:c r="P1629" s="6" t="n">
        <x:v>1</x:v>
      </x:c>
      <x:c r="Q1629" s="6" t="n">
        <x:v>6</x:v>
      </x:c>
      <x:c r="R1629" s="6" t="n">
        <x:v>2</x:v>
      </x:c>
      <x:c r="S1629" s="6" t="n">
        <x:v>8</x:v>
      </x:c>
      <x:c r="T1629" s="6" t="n">
        <x:v>6</x:v>
      </x:c>
      <x:c r="U1629" s="6" t="n">
        <x:v>0</x:v>
      </x:c>
      <x:c r="V1629" s="6" t="n">
        <x:v>0</x:v>
      </x:c>
      <x:c r="W1629" s="6" t="n">
        <x:v>0</x:v>
      </x:c>
      <x:c r="X1629" s="6" t="n">
        <x:v>0</x:v>
      </x:c>
      <x:c r="Y1629" s="6" t="n">
        <x:v>0</x:v>
      </x:c>
      <x:c r="Z1629" s="6" t="n">
        <x:v>0</x:v>
      </x:c>
      <x:c r="AA1629" s="6" t="n">
        <x:v>3</x:v>
      </x:c>
      <x:c r="AB1629" s="6" t="n">
        <x:v>11</x:v>
      </x:c>
      <x:c r="AC1629" s="6" t="n">
        <x:v>0</x:v>
      </x:c>
    </x:row>
    <x:row r="1630">
      <x:c r="A1630" s="6" t="n">
        <x:v>9986</x:v>
      </x:c>
      <x:c r="B1630" s="6" t="n">
        <x:v>1982</x:v>
      </x:c>
      <x:c r="C1630" s="6" t="str">
        <x:v>Graduation</x:v>
      </x:c>
      <x:c r="D1630" s="6" t="str">
        <x:v>Together</x:v>
      </x:c>
      <x:c r="E1630" s="6" t="n">
        <x:v>19444</x:v>
      </x:c>
      <x:c r="F1630" s="6" t="n">
        <x:v>1</x:v>
      </x:c>
      <x:c r="G1630" s="6" t="n">
        <x:v>0</x:v>
      </x:c>
      <x:c r="H1630" s="9" t="str">
        <x:v>22-02-2014</x:v>
      </x:c>
      <x:c r="I1630" s="6" t="n">
        <x:v>8</x:v>
      </x:c>
      <x:c r="J1630" s="6" t="n">
        <x:v>16</x:v>
      </x:c>
      <x:c r="K1630" s="6" t="n">
        <x:v>0</x:v>
      </x:c>
      <x:c r="L1630" s="6" t="n">
        <x:v>23</x:v>
      </x:c>
      <x:c r="M1630" s="6" t="n">
        <x:v>3</x:v>
      </x:c>
      <x:c r="N1630" s="6" t="n">
        <x:v>2</x:v>
      </x:c>
      <x:c r="O1630" s="6" t="n">
        <x:v>10</x:v>
      </x:c>
      <x:c r="P1630" s="6" t="n">
        <x:v>3</x:v>
      </x:c>
      <x:c r="Q1630" s="6" t="n">
        <x:v>4</x:v>
      </x:c>
      <x:c r="R1630" s="6" t="n">
        <x:v>1</x:v>
      </x:c>
      <x:c r="S1630" s="6" t="n">
        <x:v>2</x:v>
      </x:c>
      <x:c r="T1630" s="6" t="n">
        <x:v>7</x:v>
      </x:c>
      <x:c r="U1630" s="6" t="n">
        <x:v>0</x:v>
      </x:c>
      <x:c r="V1630" s="6" t="n">
        <x:v>0</x:v>
      </x:c>
      <x:c r="W1630" s="6" t="n">
        <x:v>0</x:v>
      </x:c>
      <x:c r="X1630" s="6" t="n">
        <x:v>0</x:v>
      </x:c>
      <x:c r="Y1630" s="6" t="n">
        <x:v>0</x:v>
      </x:c>
      <x:c r="Z1630" s="6" t="n">
        <x:v>0</x:v>
      </x:c>
      <x:c r="AA1630" s="6" t="n">
        <x:v>3</x:v>
      </x:c>
      <x:c r="AB1630" s="6" t="n">
        <x:v>11</x:v>
      </x:c>
      <x:c r="AC1630" s="6" t="n">
        <x:v>1</x:v>
      </x:c>
    </x:row>
    <x:row r="1631">
      <x:c r="A1631" s="6" t="n">
        <x:v>3276</x:v>
      </x:c>
      <x:c r="B1631" s="6" t="n">
        <x:v>1976</x:v>
      </x:c>
      <x:c r="C1631" s="6" t="str">
        <x:v>2n Cycle</x:v>
      </x:c>
      <x:c r="D1631" s="6" t="str">
        <x:v>Together</x:v>
      </x:c>
      <x:c r="E1631" s="6" t="n">
        <x:v>36301</x:v>
      </x:c>
      <x:c r="F1631" s="6" t="n">
        <x:v>1</x:v>
      </x:c>
      <x:c r="G1631" s="6" t="n">
        <x:v>0</x:v>
      </x:c>
      <x:c r="H1631" s="9" t="str">
        <x:v>25-10-2013</x:v>
      </x:c>
      <x:c r="I1631" s="6" t="n">
        <x:v>53</x:v>
      </x:c>
      <x:c r="J1631" s="6" t="n">
        <x:v>11</x:v>
      </x:c>
      <x:c r="K1631" s="6" t="n">
        <x:v>12</x:v>
      </x:c>
      <x:c r="L1631" s="6" t="n">
        <x:v>35</x:v>
      </x:c>
      <x:c r="M1631" s="6" t="n">
        <x:v>3</x:v>
      </x:c>
      <x:c r="N1631" s="6" t="n">
        <x:v>5</x:v>
      </x:c>
      <x:c r="O1631" s="6" t="n">
        <x:v>12</x:v>
      </x:c>
      <x:c r="P1631" s="6" t="n">
        <x:v>1</x:v>
      </x:c>
      <x:c r="Q1631" s="6" t="n">
        <x:v>3</x:v>
      </x:c>
      <x:c r="R1631" s="6" t="n">
        <x:v>0</x:v>
      </x:c>
      <x:c r="S1631" s="6" t="n">
        <x:v>3</x:v>
      </x:c>
      <x:c r="T1631" s="6" t="n">
        <x:v>7</x:v>
      </x:c>
      <x:c r="U1631" s="6" t="n">
        <x:v>0</x:v>
      </x:c>
      <x:c r="V1631" s="6" t="n">
        <x:v>0</x:v>
      </x:c>
      <x:c r="W1631" s="6" t="n">
        <x:v>0</x:v>
      </x:c>
      <x:c r="X1631" s="6" t="n">
        <x:v>0</x:v>
      </x:c>
      <x:c r="Y1631" s="6" t="n">
        <x:v>0</x:v>
      </x:c>
      <x:c r="Z1631" s="6" t="n">
        <x:v>0</x:v>
      </x:c>
      <x:c r="AA1631" s="6" t="n">
        <x:v>3</x:v>
      </x:c>
      <x:c r="AB1631" s="6" t="n">
        <x:v>11</x:v>
      </x:c>
      <x:c r="AC1631" s="6" t="n">
        <x:v>0</x:v>
      </x:c>
    </x:row>
    <x:row r="1632">
      <x:c r="A1632" s="6" t="n">
        <x:v>3859</x:v>
      </x:c>
      <x:c r="B1632" s="6" t="n">
        <x:v>1947</x:v>
      </x:c>
      <x:c r="C1632" s="6" t="str">
        <x:v>PhD</x:v>
      </x:c>
      <x:c r="D1632" s="6" t="str">
        <x:v>Together</x:v>
      </x:c>
      <x:c r="E1632" s="6" t="n">
        <x:v>73059</x:v>
      </x:c>
      <x:c r="F1632" s="6" t="n">
        <x:v>0</x:v>
      </x:c>
      <x:c r="G1632" s="6" t="n">
        <x:v>1</x:v>
      </x:c>
      <x:c r="H1632" s="9" t="str">
        <x:v>31-08-2013</x:v>
      </x:c>
      <x:c r="I1632" s="6" t="n">
        <x:v>36</x:v>
      </x:c>
      <x:c r="J1632" s="6" t="n">
        <x:v>410</x:v>
      </x:c>
      <x:c r="K1632" s="6" t="n">
        <x:v>112</x:v>
      </x:c>
      <x:c r="L1632" s="6" t="n">
        <x:v>420</x:v>
      </x:c>
      <x:c r="M1632" s="6" t="n">
        <x:v>0</x:v>
      </x:c>
      <x:c r="N1632" s="6" t="n">
        <x:v>82</x:v>
      </x:c>
      <x:c r="O1632" s="6" t="n">
        <x:v>71</x:v>
      </x:c>
      <x:c r="P1632" s="6" t="n">
        <x:v>1</x:v>
      </x:c>
      <x:c r="Q1632" s="6" t="n">
        <x:v>9</x:v>
      </x:c>
      <x:c r="R1632" s="6" t="n">
        <x:v>3</x:v>
      </x:c>
      <x:c r="S1632" s="6" t="n">
        <x:v>13</x:v>
      </x:c>
      <x:c r="T1632" s="6" t="n">
        <x:v>4</x:v>
      </x:c>
      <x:c r="U1632" s="6" t="n">
        <x:v>0</x:v>
      </x:c>
      <x:c r="V1632" s="6" t="n">
        <x:v>0</x:v>
      </x:c>
      <x:c r="W1632" s="6" t="n">
        <x:v>0</x:v>
      </x:c>
      <x:c r="X1632" s="6" t="n">
        <x:v>0</x:v>
      </x:c>
      <x:c r="Y1632" s="6" t="n">
        <x:v>0</x:v>
      </x:c>
      <x:c r="Z1632" s="6" t="n">
        <x:v>0</x:v>
      </x:c>
      <x:c r="AA1632" s="6" t="n">
        <x:v>3</x:v>
      </x:c>
      <x:c r="AB1632" s="6" t="n">
        <x:v>11</x:v>
      </x:c>
      <x:c r="AC1632" s="6" t="n">
        <x:v>0</x:v>
      </x:c>
    </x:row>
    <x:row r="1633">
      <x:c r="A1633" s="6" t="n">
        <x:v>3570</x:v>
      </x:c>
      <x:c r="B1633" s="6" t="n">
        <x:v>1969</x:v>
      </x:c>
      <x:c r="C1633" s="6" t="str">
        <x:v>PhD</x:v>
      </x:c>
      <x:c r="D1633" s="6" t="str">
        <x:v>Together</x:v>
      </x:c>
      <x:c r="E1633" s="6" t="n">
        <x:v>42731</x:v>
      </x:c>
      <x:c r="F1633" s="6" t="n">
        <x:v>1</x:v>
      </x:c>
      <x:c r="G1633" s="6" t="n">
        <x:v>0</x:v>
      </x:c>
      <x:c r="H1633" s="9" t="str">
        <x:v>21-10-2013</x:v>
      </x:c>
      <x:c r="I1633" s="6" t="n">
        <x:v>64</x:v>
      </x:c>
      <x:c r="J1633" s="6" t="n">
        <x:v>159</x:v>
      </x:c>
      <x:c r="K1633" s="6" t="n">
        <x:v>2</x:v>
      </x:c>
      <x:c r="L1633" s="6" t="n">
        <x:v>51</x:v>
      </x:c>
      <x:c r="M1633" s="6" t="n">
        <x:v>6</x:v>
      </x:c>
      <x:c r="N1633" s="6" t="n">
        <x:v>2</x:v>
      </x:c>
      <x:c r="O1633" s="6" t="n">
        <x:v>24</x:v>
      </x:c>
      <x:c r="P1633" s="6" t="n">
        <x:v>3</x:v>
      </x:c>
      <x:c r="Q1633" s="6" t="n">
        <x:v>4</x:v>
      </x:c>
      <x:c r="R1633" s="6" t="n">
        <x:v>1</x:v>
      </x:c>
      <x:c r="S1633" s="6" t="n">
        <x:v>5</x:v>
      </x:c>
      <x:c r="T1633" s="6" t="n">
        <x:v>5</x:v>
      </x:c>
      <x:c r="U1633" s="6" t="n">
        <x:v>0</x:v>
      </x:c>
      <x:c r="V1633" s="6" t="n">
        <x:v>0</x:v>
      </x:c>
      <x:c r="W1633" s="6" t="n">
        <x:v>0</x:v>
      </x:c>
      <x:c r="X1633" s="6" t="n">
        <x:v>0</x:v>
      </x:c>
      <x:c r="Y1633" s="6" t="n">
        <x:v>0</x:v>
      </x:c>
      <x:c r="Z1633" s="6" t="n">
        <x:v>0</x:v>
      </x:c>
      <x:c r="AA1633" s="6" t="n">
        <x:v>3</x:v>
      </x:c>
      <x:c r="AB1633" s="6" t="n">
        <x:v>11</x:v>
      </x:c>
      <x:c r="AC1633" s="6" t="n">
        <x:v>0</x:v>
      </x:c>
    </x:row>
    <x:row r="1634">
      <x:c r="A1634" s="6" t="n">
        <x:v>3783</x:v>
      </x:c>
      <x:c r="B1634" s="6" t="n">
        <x:v>1959</x:v>
      </x:c>
      <x:c r="C1634" s="6" t="str">
        <x:v>PhD</x:v>
      </x:c>
      <x:c r="D1634" s="6" t="str">
        <x:v>Married</x:v>
      </x:c>
      <x:c r="E1634" s="6" t="n">
        <x:v>52854</x:v>
      </x:c>
      <x:c r="F1634" s="6" t="n">
        <x:v>1</x:v>
      </x:c>
      <x:c r="G1634" s="6" t="n">
        <x:v>1</x:v>
      </x:c>
      <x:c r="H1634" s="9" t="str">
        <x:v>24-03-2014</x:v>
      </x:c>
      <x:c r="I1634" s="6" t="n">
        <x:v>43</x:v>
      </x:c>
      <x:c r="J1634" s="6" t="n">
        <x:v>105</x:v>
      </x:c>
      <x:c r="K1634" s="6" t="n">
        <x:v>0</x:v>
      </x:c>
      <x:c r="L1634" s="6" t="n">
        <x:v>10</x:v>
      </x:c>
      <x:c r="M1634" s="6" t="n">
        <x:v>0</x:v>
      </x:c>
      <x:c r="N1634" s="6" t="n">
        <x:v>1</x:v>
      </x:c>
      <x:c r="O1634" s="6" t="n">
        <x:v>0</x:v>
      </x:c>
      <x:c r="P1634" s="6" t="n">
        <x:v>2</x:v>
      </x:c>
      <x:c r="Q1634" s="6" t="n">
        <x:v>2</x:v>
      </x:c>
      <x:c r="R1634" s="6" t="n">
        <x:v>1</x:v>
      </x:c>
      <x:c r="S1634" s="6" t="n">
        <x:v>4</x:v>
      </x:c>
      <x:c r="T1634" s="6" t="n">
        <x:v>5</x:v>
      </x:c>
      <x:c r="U1634" s="6" t="n">
        <x:v>0</x:v>
      </x:c>
      <x:c r="V1634" s="6" t="n">
        <x:v>0</x:v>
      </x:c>
      <x:c r="W1634" s="6" t="n">
        <x:v>0</x:v>
      </x:c>
      <x:c r="X1634" s="6" t="n">
        <x:v>0</x:v>
      </x:c>
      <x:c r="Y1634" s="6" t="n">
        <x:v>0</x:v>
      </x:c>
      <x:c r="Z1634" s="6" t="n">
        <x:v>0</x:v>
      </x:c>
      <x:c r="AA1634" s="6" t="n">
        <x:v>3</x:v>
      </x:c>
      <x:c r="AB1634" s="6" t="n">
        <x:v>11</x:v>
      </x:c>
      <x:c r="AC1634" s="6" t="n">
        <x:v>0</x:v>
      </x:c>
    </x:row>
    <x:row r="1635">
      <x:c r="A1635" s="6" t="n">
        <x:v>10207</x:v>
      </x:c>
      <x:c r="B1635" s="6" t="n">
        <x:v>1978</x:v>
      </x:c>
      <x:c r="C1635" s="6" t="str">
        <x:v>Graduation</x:v>
      </x:c>
      <x:c r="D1635" s="6" t="str">
        <x:v>Together</x:v>
      </x:c>
      <x:c r="E1635" s="6" t="n">
        <x:v>22775</x:v>
      </x:c>
      <x:c r="F1635" s="6" t="n">
        <x:v>1</x:v>
      </x:c>
      <x:c r="G1635" s="6" t="n">
        <x:v>0</x:v>
      </x:c>
      <x:c r="H1635" s="9" t="str">
        <x:v>19-06-2013</x:v>
      </x:c>
      <x:c r="I1635" s="6" t="n">
        <x:v>40</x:v>
      </x:c>
      <x:c r="J1635" s="6" t="n">
        <x:v>5</x:v>
      </x:c>
      <x:c r="K1635" s="6" t="n">
        <x:v>1</x:v>
      </x:c>
      <x:c r="L1635" s="6" t="n">
        <x:v>8</x:v>
      </x:c>
      <x:c r="M1635" s="6" t="n">
        <x:v>0</x:v>
      </x:c>
      <x:c r="N1635" s="6" t="n">
        <x:v>0</x:v>
      </x:c>
      <x:c r="O1635" s="6" t="n">
        <x:v>1</x:v>
      </x:c>
      <x:c r="P1635" s="6" t="n">
        <x:v>1</x:v>
      </x:c>
      <x:c r="Q1635" s="6" t="n">
        <x:v>1</x:v>
      </x:c>
      <x:c r="R1635" s="6" t="n">
        <x:v>0</x:v>
      </x:c>
      <x:c r="S1635" s="6" t="n">
        <x:v>2</x:v>
      </x:c>
      <x:c r="T1635" s="6" t="n">
        <x:v>8</x:v>
      </x:c>
      <x:c r="U1635" s="6" t="n">
        <x:v>0</x:v>
      </x:c>
      <x:c r="V1635" s="6" t="n">
        <x:v>0</x:v>
      </x:c>
      <x:c r="W1635" s="6" t="n">
        <x:v>0</x:v>
      </x:c>
      <x:c r="X1635" s="6" t="n">
        <x:v>0</x:v>
      </x:c>
      <x:c r="Y1635" s="6" t="n">
        <x:v>0</x:v>
      </x:c>
      <x:c r="Z1635" s="6" t="n">
        <x:v>0</x:v>
      </x:c>
      <x:c r="AA1635" s="6" t="n">
        <x:v>3</x:v>
      </x:c>
      <x:c r="AB1635" s="6" t="n">
        <x:v>11</x:v>
      </x:c>
      <x:c r="AC1635" s="6" t="n">
        <x:v>0</x:v>
      </x:c>
    </x:row>
    <x:row r="1636">
      <x:c r="A1636" s="6" t="n">
        <x:v>10906</x:v>
      </x:c>
      <x:c r="B1636" s="6" t="n">
        <x:v>1948</x:v>
      </x:c>
      <x:c r="C1636" s="6" t="str">
        <x:v>PhD</x:v>
      </x:c>
      <x:c r="D1636" s="6" t="str">
        <x:v>Together</x:v>
      </x:c>
      <x:c r="E1636" s="6" t="n">
        <x:v>46681</x:v>
      </x:c>
      <x:c r="F1636" s="6" t="n">
        <x:v>0</x:v>
      </x:c>
      <x:c r="G1636" s="6" t="n">
        <x:v>2</x:v>
      </x:c>
      <x:c r="H1636" s="9" t="str">
        <x:v>08-10-2013</x:v>
      </x:c>
      <x:c r="I1636" s="6" t="n">
        <x:v>52</x:v>
      </x:c>
      <x:c r="J1636" s="6" t="n">
        <x:v>269</x:v>
      </x:c>
      <x:c r="K1636" s="6" t="n">
        <x:v>15</x:v>
      </x:c>
      <x:c r="L1636" s="6" t="n">
        <x:v>69</x:v>
      </x:c>
      <x:c r="M1636" s="6" t="n">
        <x:v>15</x:v>
      </x:c>
      <x:c r="N1636" s="6" t="n">
        <x:v>19</x:v>
      </x:c>
      <x:c r="O1636" s="6" t="n">
        <x:v>38</x:v>
      </x:c>
      <x:c r="P1636" s="6" t="n">
        <x:v>2</x:v>
      </x:c>
      <x:c r="Q1636" s="6" t="n">
        <x:v>4</x:v>
      </x:c>
      <x:c r="R1636" s="6" t="n">
        <x:v>6</x:v>
      </x:c>
      <x:c r="S1636" s="6" t="n">
        <x:v>4</x:v>
      </x:c>
      <x:c r="T1636" s="6" t="n">
        <x:v>5</x:v>
      </x:c>
      <x:c r="U1636" s="6" t="n">
        <x:v>0</x:v>
      </x:c>
      <x:c r="V1636" s="6" t="n">
        <x:v>0</x:v>
      </x:c>
      <x:c r="W1636" s="6" t="n">
        <x:v>0</x:v>
      </x:c>
      <x:c r="X1636" s="6" t="n">
        <x:v>0</x:v>
      </x:c>
      <x:c r="Y1636" s="6" t="n">
        <x:v>0</x:v>
      </x:c>
      <x:c r="Z1636" s="6" t="n">
        <x:v>0</x:v>
      </x:c>
      <x:c r="AA1636" s="6" t="n">
        <x:v>3</x:v>
      </x:c>
      <x:c r="AB1636" s="6" t="n">
        <x:v>11</x:v>
      </x:c>
      <x:c r="AC1636" s="6" t="n">
        <x:v>0</x:v>
      </x:c>
    </x:row>
    <x:row r="1637">
      <x:c r="A1637" s="6" t="n">
        <x:v>3427</x:v>
      </x:c>
      <x:c r="B1637" s="6" t="n">
        <x:v>1955</x:v>
      </x:c>
      <x:c r="C1637" s="6" t="str">
        <x:v>PhD</x:v>
      </x:c>
      <x:c r="D1637" s="6" t="str">
        <x:v>Married</x:v>
      </x:c>
      <x:c r="E1637" s="6" t="n">
        <x:v>59821</x:v>
      </x:c>
      <x:c r="F1637" s="6" t="n">
        <x:v>0</x:v>
      </x:c>
      <x:c r="G1637" s="6" t="n">
        <x:v>1</x:v>
      </x:c>
      <x:c r="H1637" s="9" t="str">
        <x:v>12-04-2013</x:v>
      </x:c>
      <x:c r="I1637" s="6" t="n">
        <x:v>11</x:v>
      </x:c>
      <x:c r="J1637" s="6" t="n">
        <x:v>629</x:v>
      </x:c>
      <x:c r="K1637" s="6" t="n">
        <x:v>0</x:v>
      </x:c>
      <x:c r="L1637" s="6" t="n">
        <x:v>70</x:v>
      </x:c>
      <x:c r="M1637" s="6" t="n">
        <x:v>0</x:v>
      </x:c>
      <x:c r="N1637" s="6" t="n">
        <x:v>0</x:v>
      </x:c>
      <x:c r="O1637" s="6" t="n">
        <x:v>35</x:v>
      </x:c>
      <x:c r="P1637" s="6" t="n">
        <x:v>6</x:v>
      </x:c>
      <x:c r="Q1637" s="6" t="n">
        <x:v>11</x:v>
      </x:c>
      <x:c r="R1637" s="6" t="n">
        <x:v>2</x:v>
      </x:c>
      <x:c r="S1637" s="6" t="n">
        <x:v>7</x:v>
      </x:c>
      <x:c r="T1637" s="6" t="n">
        <x:v>8</x:v>
      </x:c>
      <x:c r="U1637" s="6" t="n">
        <x:v>0</x:v>
      </x:c>
      <x:c r="V1637" s="6" t="n">
        <x:v>0</x:v>
      </x:c>
      <x:c r="W1637" s="6" t="n">
        <x:v>0</x:v>
      </x:c>
      <x:c r="X1637" s="6" t="n">
        <x:v>0</x:v>
      </x:c>
      <x:c r="Y1637" s="6" t="n">
        <x:v>0</x:v>
      </x:c>
      <x:c r="Z1637" s="6" t="n">
        <x:v>0</x:v>
      </x:c>
      <x:c r="AA1637" s="6" t="n">
        <x:v>3</x:v>
      </x:c>
      <x:c r="AB1637" s="6" t="n">
        <x:v>11</x:v>
      </x:c>
      <x:c r="AC1637" s="6" t="n">
        <x:v>0</x:v>
      </x:c>
    </x:row>
    <x:row r="1638">
      <x:c r="A1638" s="6" t="n">
        <x:v>5209</x:v>
      </x:c>
      <x:c r="B1638" s="6" t="n">
        <x:v>1954</x:v>
      </x:c>
      <x:c r="C1638" s="6" t="str">
        <x:v>Graduation</x:v>
      </x:c>
      <x:c r="D1638" s="6" t="str">
        <x:v>Divorced</x:v>
      </x:c>
      <x:c r="E1638" s="6" t="n">
        <x:v>50002</x:v>
      </x:c>
      <x:c r="F1638" s="6" t="n">
        <x:v>0</x:v>
      </x:c>
      <x:c r="G1638" s="6" t="n">
        <x:v>1</x:v>
      </x:c>
      <x:c r="H1638" s="9" t="str">
        <x:v>17-06-2013</x:v>
      </x:c>
      <x:c r="I1638" s="6" t="n">
        <x:v>21</x:v>
      </x:c>
      <x:c r="J1638" s="6" t="n">
        <x:v>443</x:v>
      </x:c>
      <x:c r="K1638" s="6" t="n">
        <x:v>5</x:v>
      </x:c>
      <x:c r="L1638" s="6" t="n">
        <x:v>71</x:v>
      </x:c>
      <x:c r="M1638" s="6" t="n">
        <x:v>21</x:v>
      </x:c>
      <x:c r="N1638" s="6" t="n">
        <x:v>16</x:v>
      </x:c>
      <x:c r="O1638" s="6" t="n">
        <x:v>82</x:v>
      </x:c>
      <x:c r="P1638" s="6" t="n">
        <x:v>2</x:v>
      </x:c>
      <x:c r="Q1638" s="6" t="n">
        <x:v>8</x:v>
      </x:c>
      <x:c r="R1638" s="6" t="n">
        <x:v>2</x:v>
      </x:c>
      <x:c r="S1638" s="6" t="n">
        <x:v>7</x:v>
      </x:c>
      <x:c r="T1638" s="6" t="n">
        <x:v>7</x:v>
      </x:c>
      <x:c r="U1638" s="6" t="n">
        <x:v>0</x:v>
      </x:c>
      <x:c r="V1638" s="6" t="n">
        <x:v>0</x:v>
      </x:c>
      <x:c r="W1638" s="6" t="n">
        <x:v>0</x:v>
      </x:c>
      <x:c r="X1638" s="6" t="n">
        <x:v>0</x:v>
      </x:c>
      <x:c r="Y1638" s="6" t="n">
        <x:v>0</x:v>
      </x:c>
      <x:c r="Z1638" s="6" t="n">
        <x:v>0</x:v>
      </x:c>
      <x:c r="AA1638" s="6" t="n">
        <x:v>3</x:v>
      </x:c>
      <x:c r="AB1638" s="6" t="n">
        <x:v>11</x:v>
      </x:c>
      <x:c r="AC1638" s="6" t="n">
        <x:v>0</x:v>
      </x:c>
    </x:row>
    <x:row r="1639">
      <x:c r="A1639" s="6" t="n">
        <x:v>10711</x:v>
      </x:c>
      <x:c r="B1639" s="6" t="n">
        <x:v>1945</x:v>
      </x:c>
      <x:c r="C1639" s="6" t="str">
        <x:v>Graduation</x:v>
      </x:c>
      <x:c r="D1639" s="6" t="str">
        <x:v>Married</x:v>
      </x:c>
      <x:c r="E1639" s="6" t="n">
        <x:v>69755</x:v>
      </x:c>
      <x:c r="F1639" s="6" t="n">
        <x:v>0</x:v>
      </x:c>
      <x:c r="G1639" s="6" t="n">
        <x:v>0</x:v>
      </x:c>
      <x:c r="H1639" s="9" t="str">
        <x:v>02-10-2013</x:v>
      </x:c>
      <x:c r="I1639" s="6" t="n">
        <x:v>23</x:v>
      </x:c>
      <x:c r="J1639" s="6" t="n">
        <x:v>217</x:v>
      </x:c>
      <x:c r="K1639" s="6" t="n">
        <x:v>77</x:v>
      </x:c>
      <x:c r="L1639" s="6" t="n">
        <x:v>373</x:v>
      </x:c>
      <x:c r="M1639" s="6" t="n">
        <x:v>111</x:v>
      </x:c>
      <x:c r="N1639" s="6" t="n">
        <x:v>23</x:v>
      </x:c>
      <x:c r="O1639" s="6" t="n">
        <x:v>93</x:v>
      </x:c>
      <x:c r="P1639" s="6" t="n">
        <x:v>1</x:v>
      </x:c>
      <x:c r="Q1639" s="6" t="n">
        <x:v>3</x:v>
      </x:c>
      <x:c r="R1639" s="6" t="n">
        <x:v>6</x:v>
      </x:c>
      <x:c r="S1639" s="6" t="n">
        <x:v>12</x:v>
      </x:c>
      <x:c r="T1639" s="6" t="n">
        <x:v>1</x:v>
      </x:c>
      <x:c r="U1639" s="6" t="n">
        <x:v>0</x:v>
      </x:c>
      <x:c r="V1639" s="6" t="n">
        <x:v>0</x:v>
      </x:c>
      <x:c r="W1639" s="6" t="n">
        <x:v>0</x:v>
      </x:c>
      <x:c r="X1639" s="6" t="n">
        <x:v>0</x:v>
      </x:c>
      <x:c r="Y1639" s="6" t="n">
        <x:v>0</x:v>
      </x:c>
      <x:c r="Z1639" s="6" t="n">
        <x:v>0</x:v>
      </x:c>
      <x:c r="AA1639" s="6" t="n">
        <x:v>3</x:v>
      </x:c>
      <x:c r="AB1639" s="6" t="n">
        <x:v>11</x:v>
      </x:c>
      <x:c r="AC1639" s="6" t="n">
        <x:v>0</x:v>
      </x:c>
    </x:row>
    <x:row r="1640">
      <x:c r="A1640" s="6" t="n">
        <x:v>10785</x:v>
      </x:c>
      <x:c r="B1640" s="6" t="n">
        <x:v>1969</x:v>
      </x:c>
      <x:c r="C1640" s="6" t="str">
        <x:v>Graduation</x:v>
      </x:c>
      <x:c r="D1640" s="6" t="str">
        <x:v>Married</x:v>
      </x:c>
      <x:c r="E1640" s="6" t="n">
        <x:v>44078</x:v>
      </x:c>
      <x:c r="F1640" s="6" t="n">
        <x:v>1</x:v>
      </x:c>
      <x:c r="G1640" s="6" t="n">
        <x:v>1</x:v>
      </x:c>
      <x:c r="H1640" s="9" t="str">
        <x:v>19-06-2014</x:v>
      </x:c>
      <x:c r="I1640" s="6" t="n">
        <x:v>17</x:v>
      </x:c>
      <x:c r="J1640" s="6" t="n">
        <x:v>24</x:v>
      </x:c>
      <x:c r="K1640" s="6" t="n">
        <x:v>1</x:v>
      </x:c>
      <x:c r="L1640" s="6" t="n">
        <x:v>10</x:v>
      </x:c>
      <x:c r="M1640" s="6" t="n">
        <x:v>2</x:v>
      </x:c>
      <x:c r="N1640" s="6" t="n">
        <x:v>0</x:v>
      </x:c>
      <x:c r="O1640" s="6" t="n">
        <x:v>4</x:v>
      </x:c>
      <x:c r="P1640" s="6" t="n">
        <x:v>2</x:v>
      </x:c>
      <x:c r="Q1640" s="6" t="n">
        <x:v>2</x:v>
      </x:c>
      <x:c r="R1640" s="6" t="n">
        <x:v>0</x:v>
      </x:c>
      <x:c r="S1640" s="6" t="n">
        <x:v>3</x:v>
      </x:c>
      <x:c r="T1640" s="6" t="n">
        <x:v>5</x:v>
      </x:c>
      <x:c r="U1640" s="6" t="n">
        <x:v>0</x:v>
      </x:c>
      <x:c r="V1640" s="6" t="n">
        <x:v>0</x:v>
      </x:c>
      <x:c r="W1640" s="6" t="n">
        <x:v>0</x:v>
      </x:c>
      <x:c r="X1640" s="6" t="n">
        <x:v>0</x:v>
      </x:c>
      <x:c r="Y1640" s="6" t="n">
        <x:v>0</x:v>
      </x:c>
      <x:c r="Z1640" s="6" t="n">
        <x:v>0</x:v>
      </x:c>
      <x:c r="AA1640" s="6" t="n">
        <x:v>3</x:v>
      </x:c>
      <x:c r="AB1640" s="6" t="n">
        <x:v>11</x:v>
      </x:c>
      <x:c r="AC1640" s="6" t="n">
        <x:v>0</x:v>
      </x:c>
    </x:row>
    <x:row r="1641">
      <x:c r="A1641" s="6" t="n">
        <x:v>2814</x:v>
      </x:c>
      <x:c r="B1641" s="6" t="n">
        <x:v>1976</x:v>
      </x:c>
      <x:c r="C1641" s="6" t="str">
        <x:v>Master</x:v>
      </x:c>
      <x:c r="D1641" s="6" t="str">
        <x:v>Together</x:v>
      </x:c>
      <x:c r="E1641" s="6" t="n">
        <x:v>30560</x:v>
      </x:c>
      <x:c r="F1641" s="6" t="n">
        <x:v>1</x:v>
      </x:c>
      <x:c r="G1641" s="6" t="n">
        <x:v>0</x:v>
      </x:c>
      <x:c r="H1641" s="9" t="str">
        <x:v>27-06-2013</x:v>
      </x:c>
      <x:c r="I1641" s="6" t="n">
        <x:v>6</x:v>
      </x:c>
      <x:c r="J1641" s="6" t="n">
        <x:v>9</x:v>
      </x:c>
      <x:c r="K1641" s="6" t="n">
        <x:v>1</x:v>
      </x:c>
      <x:c r="L1641" s="6" t="n">
        <x:v>5</x:v>
      </x:c>
      <x:c r="M1641" s="6" t="n">
        <x:v>4</x:v>
      </x:c>
      <x:c r="N1641" s="6" t="n">
        <x:v>5</x:v>
      </x:c>
      <x:c r="O1641" s="6" t="n">
        <x:v>7</x:v>
      </x:c>
      <x:c r="P1641" s="6" t="n">
        <x:v>1</x:v>
      </x:c>
      <x:c r="Q1641" s="6" t="n">
        <x:v>1</x:v>
      </x:c>
      <x:c r="R1641" s="6" t="n">
        <x:v>0</x:v>
      </x:c>
      <x:c r="S1641" s="6" t="n">
        <x:v>3</x:v>
      </x:c>
      <x:c r="T1641" s="6" t="n">
        <x:v>7</x:v>
      </x:c>
      <x:c r="U1641" s="6" t="n">
        <x:v>0</x:v>
      </x:c>
      <x:c r="V1641" s="6" t="n">
        <x:v>0</x:v>
      </x:c>
      <x:c r="W1641" s="6" t="n">
        <x:v>0</x:v>
      </x:c>
      <x:c r="X1641" s="6" t="n">
        <x:v>0</x:v>
      </x:c>
      <x:c r="Y1641" s="6" t="n">
        <x:v>0</x:v>
      </x:c>
      <x:c r="Z1641" s="6" t="n">
        <x:v>0</x:v>
      </x:c>
      <x:c r="AA1641" s="6" t="n">
        <x:v>3</x:v>
      </x:c>
      <x:c r="AB1641" s="6" t="n">
        <x:v>11</x:v>
      </x:c>
      <x:c r="AC1641" s="6" t="n">
        <x:v>0</x:v>
      </x:c>
    </x:row>
    <x:row r="1642">
      <x:c r="A1642" s="6" t="n">
        <x:v>6866</x:v>
      </x:c>
      <x:c r="B1642" s="6" t="n">
        <x:v>1969</x:v>
      </x:c>
      <x:c r="C1642" s="6" t="str">
        <x:v>Master</x:v>
      </x:c>
      <x:c r="D1642" s="6" t="str">
        <x:v>Together</x:v>
      </x:c>
      <x:c r="E1642" s="6" t="n">
        <x:v>35924</x:v>
      </x:c>
      <x:c r="F1642" s="6" t="n">
        <x:v>1</x:v>
      </x:c>
      <x:c r="G1642" s="6" t="n">
        <x:v>1</x:v>
      </x:c>
      <x:c r="H1642" s="9" t="str">
        <x:v>23-03-2014</x:v>
      </x:c>
      <x:c r="I1642" s="6" t="n">
        <x:v>56</x:v>
      </x:c>
      <x:c r="J1642" s="6" t="n">
        <x:v>8</x:v>
      </x:c>
      <x:c r="K1642" s="6" t="n">
        <x:v>0</x:v>
      </x:c>
      <x:c r="L1642" s="6" t="n">
        <x:v>14</x:v>
      </x:c>
      <x:c r="M1642" s="6" t="n">
        <x:v>2</x:v>
      </x:c>
      <x:c r="N1642" s="6" t="n">
        <x:v>3</x:v>
      </x:c>
      <x:c r="O1642" s="6" t="n">
        <x:v>7</x:v>
      </x:c>
      <x:c r="P1642" s="6" t="n">
        <x:v>1</x:v>
      </x:c>
      <x:c r="Q1642" s="6" t="n">
        <x:v>1</x:v>
      </x:c>
      <x:c r="R1642" s="6" t="n">
        <x:v>0</x:v>
      </x:c>
      <x:c r="S1642" s="6" t="n">
        <x:v>3</x:v>
      </x:c>
      <x:c r="T1642" s="6" t="n">
        <x:v>5</x:v>
      </x:c>
      <x:c r="U1642" s="6" t="n">
        <x:v>0</x:v>
      </x:c>
      <x:c r="V1642" s="6" t="n">
        <x:v>0</x:v>
      </x:c>
      <x:c r="W1642" s="6" t="n">
        <x:v>0</x:v>
      </x:c>
      <x:c r="X1642" s="6" t="n">
        <x:v>0</x:v>
      </x:c>
      <x:c r="Y1642" s="6" t="n">
        <x:v>0</x:v>
      </x:c>
      <x:c r="Z1642" s="6" t="n">
        <x:v>0</x:v>
      </x:c>
      <x:c r="AA1642" s="6" t="n">
        <x:v>3</x:v>
      </x:c>
      <x:c r="AB1642" s="6" t="n">
        <x:v>11</x:v>
      </x:c>
      <x:c r="AC1642" s="6" t="n">
        <x:v>0</x:v>
      </x:c>
    </x:row>
    <x:row r="1643">
      <x:c r="A1643" s="6" t="n">
        <x:v>1665</x:v>
      </x:c>
      <x:c r="B1643" s="6" t="n">
        <x:v>1964</x:v>
      </x:c>
      <x:c r="C1643" s="6" t="str">
        <x:v>PhD</x:v>
      </x:c>
      <x:c r="D1643" s="6" t="str">
        <x:v>Divorced</x:v>
      </x:c>
      <x:c r="E1643" s="6" t="n">
        <x:v>64140</x:v>
      </x:c>
      <x:c r="F1643" s="6" t="n">
        <x:v>0</x:v>
      </x:c>
      <x:c r="G1643" s="6" t="n">
        <x:v>2</x:v>
      </x:c>
      <x:c r="H1643" s="9" t="str">
        <x:v>23-09-2013</x:v>
      </x:c>
      <x:c r="I1643" s="6" t="n">
        <x:v>71</x:v>
      </x:c>
      <x:c r="J1643" s="6" t="n">
        <x:v>1459</x:v>
      </x:c>
      <x:c r="K1643" s="6" t="n">
        <x:v>0</x:v>
      </x:c>
      <x:c r="L1643" s="6" t="n">
        <x:v>61</x:v>
      </x:c>
      <x:c r="M1643" s="6" t="n">
        <x:v>0</x:v>
      </x:c>
      <x:c r="N1643" s="6" t="n">
        <x:v>15</x:v>
      </x:c>
      <x:c r="O1643" s="6" t="n">
        <x:v>215</x:v>
      </x:c>
      <x:c r="P1643" s="6" t="n">
        <x:v>5</x:v>
      </x:c>
      <x:c r="Q1643" s="6" t="n">
        <x:v>2</x:v>
      </x:c>
      <x:c r="R1643" s="6" t="n">
        <x:v>5</x:v>
      </x:c>
      <x:c r="S1643" s="6" t="n">
        <x:v>6</x:v>
      </x:c>
      <x:c r="T1643" s="6" t="n">
        <x:v>5</x:v>
      </x:c>
      <x:c r="U1643" s="6" t="n">
        <x:v>1</x:v>
      </x:c>
      <x:c r="V1643" s="6" t="n">
        <x:v>0</x:v>
      </x:c>
      <x:c r="W1643" s="6" t="n">
        <x:v>1</x:v>
      </x:c>
      <x:c r="X1643" s="6" t="n">
        <x:v>0</x:v>
      </x:c>
      <x:c r="Y1643" s="6" t="n">
        <x:v>1</x:v>
      </x:c>
      <x:c r="Z1643" s="6" t="n">
        <x:v>0</x:v>
      </x:c>
      <x:c r="AA1643" s="6" t="n">
        <x:v>3</x:v>
      </x:c>
      <x:c r="AB1643" s="6" t="n">
        <x:v>11</x:v>
      </x:c>
      <x:c r="AC1643" s="6" t="n">
        <x:v>1</x:v>
      </x:c>
    </x:row>
    <x:row r="1644">
      <x:c r="A1644" s="6" t="n">
        <x:v>6575</x:v>
      </x:c>
      <x:c r="B1644" s="6" t="n">
        <x:v>1981</x:v>
      </x:c>
      <x:c r="C1644" s="6" t="str">
        <x:v>Graduation</x:v>
      </x:c>
      <x:c r="D1644" s="6" t="str">
        <x:v>Together</x:v>
      </x:c>
      <x:c r="E1644" s="6" t="n">
        <x:v>56386</x:v>
      </x:c>
      <x:c r="F1644" s="6" t="n">
        <x:v>1</x:v>
      </x:c>
      <x:c r="G1644" s="6" t="n">
        <x:v>1</x:v>
      </x:c>
      <x:c r="H1644" s="9" t="str">
        <x:v>27-10-2012</x:v>
      </x:c>
      <x:c r="I1644" s="6" t="n">
        <x:v>51</x:v>
      </x:c>
      <x:c r="J1644" s="6" t="n">
        <x:v>230</x:v>
      </x:c>
      <x:c r="K1644" s="6" t="n">
        <x:v>48</x:v>
      </x:c>
      <x:c r="L1644" s="6" t="n">
        <x:v>214</x:v>
      </x:c>
      <x:c r="M1644" s="6" t="n">
        <x:v>13</x:v>
      </x:c>
      <x:c r="N1644" s="6" t="n">
        <x:v>32</x:v>
      </x:c>
      <x:c r="O1644" s="6" t="n">
        <x:v>75</x:v>
      </x:c>
      <x:c r="P1644" s="6" t="n">
        <x:v>8</x:v>
      </x:c>
      <x:c r="Q1644" s="6" t="n">
        <x:v>9</x:v>
      </x:c>
      <x:c r="R1644" s="6" t="n">
        <x:v>1</x:v>
      </x:c>
      <x:c r="S1644" s="6" t="n">
        <x:v>7</x:v>
      </x:c>
      <x:c r="T1644" s="6" t="n">
        <x:v>9</x:v>
      </x:c>
      <x:c r="U1644" s="6" t="n">
        <x:v>0</x:v>
      </x:c>
      <x:c r="V1644" s="6" t="n">
        <x:v>0</x:v>
      </x:c>
      <x:c r="W1644" s="6" t="n">
        <x:v>0</x:v>
      </x:c>
      <x:c r="X1644" s="6" t="n">
        <x:v>0</x:v>
      </x:c>
      <x:c r="Y1644" s="6" t="n">
        <x:v>0</x:v>
      </x:c>
      <x:c r="Z1644" s="6" t="n">
        <x:v>0</x:v>
      </x:c>
      <x:c r="AA1644" s="6" t="n">
        <x:v>3</x:v>
      </x:c>
      <x:c r="AB1644" s="6" t="n">
        <x:v>11</x:v>
      </x:c>
      <x:c r="AC1644" s="6" t="n">
        <x:v>0</x:v>
      </x:c>
    </x:row>
    <x:row r="1645">
      <x:c r="A1645" s="6" t="n">
        <x:v>3829</x:v>
      </x:c>
      <x:c r="B1645" s="6" t="n">
        <x:v>1979</x:v>
      </x:c>
      <x:c r="C1645" s="6" t="str">
        <x:v>Basic</x:v>
      </x:c>
      <x:c r="D1645" s="6" t="str">
        <x:v>Together</x:v>
      </x:c>
      <x:c r="E1645" s="6" t="n">
        <x:v>24594</x:v>
      </x:c>
      <x:c r="F1645" s="6" t="n">
        <x:v>1</x:v>
      </x:c>
      <x:c r="G1645" s="6" t="n">
        <x:v>0</x:v>
      </x:c>
      <x:c r="H1645" s="9" t="str">
        <x:v>10-12-2013</x:v>
      </x:c>
      <x:c r="I1645" s="6" t="n">
        <x:v>94</x:v>
      </x:c>
      <x:c r="J1645" s="6" t="n">
        <x:v>1</x:v>
      </x:c>
      <x:c r="K1645" s="6" t="n">
        <x:v>3</x:v>
      </x:c>
      <x:c r="L1645" s="6" t="n">
        <x:v>6</x:v>
      </x:c>
      <x:c r="M1645" s="6" t="n">
        <x:v>10</x:v>
      </x:c>
      <x:c r="N1645" s="6" t="n">
        <x:v>0</x:v>
      </x:c>
      <x:c r="O1645" s="6" t="n">
        <x:v>9</x:v>
      </x:c>
      <x:c r="P1645" s="6" t="n">
        <x:v>1</x:v>
      </x:c>
      <x:c r="Q1645" s="6" t="n">
        <x:v>1</x:v>
      </x:c>
      <x:c r="R1645" s="6" t="n">
        <x:v>0</x:v>
      </x:c>
      <x:c r="S1645" s="6" t="n">
        <x:v>3</x:v>
      </x:c>
      <x:c r="T1645" s="6" t="n">
        <x:v>5</x:v>
      </x:c>
      <x:c r="U1645" s="6" t="n">
        <x:v>0</x:v>
      </x:c>
      <x:c r="V1645" s="6" t="n">
        <x:v>0</x:v>
      </x:c>
      <x:c r="W1645" s="6" t="n">
        <x:v>0</x:v>
      </x:c>
      <x:c r="X1645" s="6" t="n">
        <x:v>0</x:v>
      </x:c>
      <x:c r="Y1645" s="6" t="n">
        <x:v>0</x:v>
      </x:c>
      <x:c r="Z1645" s="6" t="n">
        <x:v>0</x:v>
      </x:c>
      <x:c r="AA1645" s="6" t="n">
        <x:v>3</x:v>
      </x:c>
      <x:c r="AB1645" s="6" t="n">
        <x:v>11</x:v>
      </x:c>
      <x:c r="AC1645" s="6" t="n">
        <x:v>0</x:v>
      </x:c>
    </x:row>
    <x:row r="1646">
      <x:c r="A1646" s="6" t="n">
        <x:v>3091</x:v>
      </x:c>
      <x:c r="B1646" s="6" t="n">
        <x:v>1981</x:v>
      </x:c>
      <x:c r="C1646" s="6" t="str">
        <x:v>2n Cycle</x:v>
      </x:c>
      <x:c r="D1646" s="6" t="str">
        <x:v>Together</x:v>
      </x:c>
      <x:c r="E1646" s="6" t="n">
        <x:v>75774</x:v>
      </x:c>
      <x:c r="F1646" s="6" t="n">
        <x:v>1</x:v>
      </x:c>
      <x:c r="G1646" s="6" t="n">
        <x:v>0</x:v>
      </x:c>
      <x:c r="H1646" s="9" t="str">
        <x:v>02-05-2014</x:v>
      </x:c>
      <x:c r="I1646" s="6" t="n">
        <x:v>27</x:v>
      </x:c>
      <x:c r="J1646" s="6" t="n">
        <x:v>340</x:v>
      </x:c>
      <x:c r="K1646" s="6" t="n">
        <x:v>21</x:v>
      </x:c>
      <x:c r="L1646" s="6" t="n">
        <x:v>134</x:v>
      </x:c>
      <x:c r="M1646" s="6" t="n">
        <x:v>258</x:v>
      </x:c>
      <x:c r="N1646" s="6" t="n">
        <x:v>14</x:v>
      </x:c>
      <x:c r="O1646" s="6" t="n">
        <x:v>56</x:v>
      </x:c>
      <x:c r="P1646" s="6" t="n">
        <x:v>1</x:v>
      </x:c>
      <x:c r="Q1646" s="6" t="n">
        <x:v>7</x:v>
      </x:c>
      <x:c r="R1646" s="6" t="n">
        <x:v>5</x:v>
      </x:c>
      <x:c r="S1646" s="6" t="n">
        <x:v>8</x:v>
      </x:c>
      <x:c r="T1646" s="6" t="n">
        <x:v>4</x:v>
      </x:c>
      <x:c r="U1646" s="6" t="n">
        <x:v>0</x:v>
      </x:c>
      <x:c r="V1646" s="6" t="n">
        <x:v>0</x:v>
      </x:c>
      <x:c r="W1646" s="6" t="n">
        <x:v>0</x:v>
      </x:c>
      <x:c r="X1646" s="6" t="n">
        <x:v>0</x:v>
      </x:c>
      <x:c r="Y1646" s="6" t="n">
        <x:v>0</x:v>
      </x:c>
      <x:c r="Z1646" s="6" t="n">
        <x:v>0</x:v>
      </x:c>
      <x:c r="AA1646" s="6" t="n">
        <x:v>3</x:v>
      </x:c>
      <x:c r="AB1646" s="6" t="n">
        <x:v>11</x:v>
      </x:c>
      <x:c r="AC1646" s="6" t="n">
        <x:v>0</x:v>
      </x:c>
    </x:row>
    <x:row r="1647">
      <x:c r="A1647" s="6" t="n">
        <x:v>10141</x:v>
      </x:c>
      <x:c r="B1647" s="6" t="n">
        <x:v>1960</x:v>
      </x:c>
      <x:c r="C1647" s="6" t="str">
        <x:v>Master</x:v>
      </x:c>
      <x:c r="D1647" s="6" t="str">
        <x:v>Divorced</x:v>
      </x:c>
      <x:c r="E1647" s="6" t="n">
        <x:v>39228</x:v>
      </x:c>
      <x:c r="F1647" s="6" t="n">
        <x:v>0</x:v>
      </x:c>
      <x:c r="G1647" s="6" t="n">
        <x:v>0</x:v>
      </x:c>
      <x:c r="H1647" s="9" t="str">
        <x:v>10-05-2013</x:v>
      </x:c>
      <x:c r="I1647" s="6" t="n">
        <x:v>1</x:v>
      </x:c>
      <x:c r="J1647" s="6" t="n">
        <x:v>7</x:v>
      </x:c>
      <x:c r="K1647" s="6" t="n">
        <x:v>1</x:v>
      </x:c>
      <x:c r="L1647" s="6" t="n">
        <x:v>6</x:v>
      </x:c>
      <x:c r="M1647" s="6" t="n">
        <x:v>0</x:v>
      </x:c>
      <x:c r="N1647" s="6" t="n">
        <x:v>3</x:v>
      </x:c>
      <x:c r="O1647" s="6" t="n">
        <x:v>3</x:v>
      </x:c>
      <x:c r="P1647" s="6" t="n">
        <x:v>1</x:v>
      </x:c>
      <x:c r="Q1647" s="6" t="n">
        <x:v>0</x:v>
      </x:c>
      <x:c r="R1647" s="6" t="n">
        <x:v>0</x:v>
      </x:c>
      <x:c r="S1647" s="6" t="n">
        <x:v>3</x:v>
      </x:c>
      <x:c r="T1647" s="6" t="n">
        <x:v>4</x:v>
      </x:c>
      <x:c r="U1647" s="6" t="n">
        <x:v>0</x:v>
      </x:c>
      <x:c r="V1647" s="6" t="n">
        <x:v>0</x:v>
      </x:c>
      <x:c r="W1647" s="6" t="n">
        <x:v>0</x:v>
      </x:c>
      <x:c r="X1647" s="6" t="n">
        <x:v>0</x:v>
      </x:c>
      <x:c r="Y1647" s="6" t="n">
        <x:v>0</x:v>
      </x:c>
      <x:c r="Z1647" s="6" t="n">
        <x:v>0</x:v>
      </x:c>
      <x:c r="AA1647" s="6" t="n">
        <x:v>3</x:v>
      </x:c>
      <x:c r="AB1647" s="6" t="n">
        <x:v>11</x:v>
      </x:c>
      <x:c r="AC1647" s="6" t="n">
        <x:v>0</x:v>
      </x:c>
    </x:row>
    <x:row r="1648">
      <x:c r="A1648" s="6" t="n">
        <x:v>5177</x:v>
      </x:c>
      <x:c r="B1648" s="6" t="n">
        <x:v>1974</x:v>
      </x:c>
      <x:c r="C1648" s="6" t="str">
        <x:v>Master</x:v>
      </x:c>
      <x:c r="D1648" s="6" t="str">
        <x:v>Married</x:v>
      </x:c>
      <x:c r="E1648" s="6" t="n">
        <x:v>58494</x:v>
      </x:c>
      <x:c r="F1648" s="6" t="n">
        <x:v>0</x:v>
      </x:c>
      <x:c r="G1648" s="6" t="n">
        <x:v>1</x:v>
      </x:c>
      <x:c r="H1648" s="9" t="str">
        <x:v>12-12-2013</x:v>
      </x:c>
      <x:c r="I1648" s="6" t="n">
        <x:v>56</x:v>
      </x:c>
      <x:c r="J1648" s="6" t="n">
        <x:v>298</x:v>
      </x:c>
      <x:c r="K1648" s="6" t="n">
        <x:v>7</x:v>
      </x:c>
      <x:c r="L1648" s="6" t="n">
        <x:v>68</x:v>
      </x:c>
      <x:c r="M1648" s="6" t="n">
        <x:v>4</x:v>
      </x:c>
      <x:c r="N1648" s="6" t="n">
        <x:v>0</x:v>
      </x:c>
      <x:c r="O1648" s="6" t="n">
        <x:v>19</x:v>
      </x:c>
      <x:c r="P1648" s="6" t="n">
        <x:v>2</x:v>
      </x:c>
      <x:c r="Q1648" s="6" t="n">
        <x:v>6</x:v>
      </x:c>
      <x:c r="R1648" s="6" t="n">
        <x:v>2</x:v>
      </x:c>
      <x:c r="S1648" s="6" t="n">
        <x:v>6</x:v>
      </x:c>
      <x:c r="T1648" s="6" t="n">
        <x:v>6</x:v>
      </x:c>
      <x:c r="U1648" s="6" t="n">
        <x:v>0</x:v>
      </x:c>
      <x:c r="V1648" s="6" t="n">
        <x:v>0</x:v>
      </x:c>
      <x:c r="W1648" s="6" t="n">
        <x:v>0</x:v>
      </x:c>
      <x:c r="X1648" s="6" t="n">
        <x:v>0</x:v>
      </x:c>
      <x:c r="Y1648" s="6" t="n">
        <x:v>0</x:v>
      </x:c>
      <x:c r="Z1648" s="6" t="n">
        <x:v>0</x:v>
      </x:c>
      <x:c r="AA1648" s="6" t="n">
        <x:v>3</x:v>
      </x:c>
      <x:c r="AB1648" s="6" t="n">
        <x:v>11</x:v>
      </x:c>
      <x:c r="AC1648" s="6" t="n">
        <x:v>0</x:v>
      </x:c>
    </x:row>
    <x:row r="1649">
      <x:c r="A1649" s="6" t="n">
        <x:v>7005</x:v>
      </x:c>
      <x:c r="B1649" s="6" t="n">
        <x:v>1981</x:v>
      </x:c>
      <x:c r="C1649" s="6" t="str">
        <x:v>Graduation</x:v>
      </x:c>
      <x:c r="D1649" s="6" t="str">
        <x:v>Single</x:v>
      </x:c>
      <x:c r="E1649" s="6" t="n">
        <x:v>58684</x:v>
      </x:c>
      <x:c r="F1649" s="6" t="n">
        <x:v>0</x:v>
      </x:c>
      <x:c r="G1649" s="6" t="n">
        <x:v>0</x:v>
      </x:c>
      <x:c r="H1649" s="9" t="str">
        <x:v>16-06-2014</x:v>
      </x:c>
      <x:c r="I1649" s="6" t="n">
        <x:v>71</x:v>
      </x:c>
      <x:c r="J1649" s="6" t="n">
        <x:v>479</x:v>
      </x:c>
      <x:c r="K1649" s="6" t="n">
        <x:v>35</x:v>
      </x:c>
      <x:c r="L1649" s="6" t="n">
        <x:v>179</x:v>
      </x:c>
      <x:c r="M1649" s="6" t="n">
        <x:v>28</x:v>
      </x:c>
      <x:c r="N1649" s="6" t="n">
        <x:v>7</x:v>
      </x:c>
      <x:c r="O1649" s="6" t="n">
        <x:v>85</x:v>
      </x:c>
      <x:c r="P1649" s="6" t="n">
        <x:v>1</x:v>
      </x:c>
      <x:c r="Q1649" s="6" t="n">
        <x:v>5</x:v>
      </x:c>
      <x:c r="R1649" s="6" t="n">
        <x:v>3</x:v>
      </x:c>
      <x:c r="S1649" s="6" t="n">
        <x:v>12</x:v>
      </x:c>
      <x:c r="T1649" s="6" t="n">
        <x:v>2</x:v>
      </x:c>
      <x:c r="U1649" s="6" t="n">
        <x:v>0</x:v>
      </x:c>
      <x:c r="V1649" s="6" t="n">
        <x:v>1</x:v>
      </x:c>
      <x:c r="W1649" s="6" t="n">
        <x:v>0</x:v>
      </x:c>
      <x:c r="X1649" s="6" t="n">
        <x:v>0</x:v>
      </x:c>
      <x:c r="Y1649" s="6" t="n">
        <x:v>0</x:v>
      </x:c>
      <x:c r="Z1649" s="6" t="n">
        <x:v>0</x:v>
      </x:c>
      <x:c r="AA1649" s="6" t="n">
        <x:v>3</x:v>
      </x:c>
      <x:c r="AB1649" s="6" t="n">
        <x:v>11</x:v>
      </x:c>
      <x:c r="AC1649" s="6" t="n">
        <x:v>0</x:v>
      </x:c>
    </x:row>
    <x:row r="1650">
      <x:c r="A1650" s="6" t="n">
        <x:v>6409</x:v>
      </x:c>
      <x:c r="B1650" s="6" t="n">
        <x:v>1967</x:v>
      </x:c>
      <x:c r="C1650" s="6" t="str">
        <x:v>Graduation</x:v>
      </x:c>
      <x:c r="D1650" s="6" t="str">
        <x:v>Divorced</x:v>
      </x:c>
      <x:c r="E1650" s="6" t="n">
        <x:v>57136</x:v>
      </x:c>
      <x:c r="F1650" s="6" t="n">
        <x:v>0</x:v>
      </x:c>
      <x:c r="G1650" s="6" t="n">
        <x:v>0</x:v>
      </x:c>
      <x:c r="H1650" s="9" t="str">
        <x:v>18-05-2013</x:v>
      </x:c>
      <x:c r="I1650" s="6" t="n">
        <x:v>18</x:v>
      </x:c>
      <x:c r="J1650" s="6" t="n">
        <x:v>267</x:v>
      </x:c>
      <x:c r="K1650" s="6" t="n">
        <x:v>140</x:v>
      </x:c>
      <x:c r="L1650" s="6" t="n">
        <x:v>599</x:v>
      </x:c>
      <x:c r="M1650" s="6" t="n">
        <x:v>34</x:v>
      </x:c>
      <x:c r="N1650" s="6" t="n">
        <x:v>12</x:v>
      </x:c>
      <x:c r="O1650" s="6" t="n">
        <x:v>127</x:v>
      </x:c>
      <x:c r="P1650" s="6" t="n">
        <x:v>1</x:v>
      </x:c>
      <x:c r="Q1650" s="6" t="n">
        <x:v>7</x:v>
      </x:c>
      <x:c r="R1650" s="6" t="n">
        <x:v>5</x:v>
      </x:c>
      <x:c r="S1650" s="6" t="n">
        <x:v>7</x:v>
      </x:c>
      <x:c r="T1650" s="6" t="n">
        <x:v>6</x:v>
      </x:c>
      <x:c r="U1650" s="6" t="n">
        <x:v>0</x:v>
      </x:c>
      <x:c r="V1650" s="6" t="n">
        <x:v>0</x:v>
      </x:c>
      <x:c r="W1650" s="6" t="n">
        <x:v>0</x:v>
      </x:c>
      <x:c r="X1650" s="6" t="n">
        <x:v>0</x:v>
      </x:c>
      <x:c r="Y1650" s="6" t="n">
        <x:v>0</x:v>
      </x:c>
      <x:c r="Z1650" s="6" t="n">
        <x:v>0</x:v>
      </x:c>
      <x:c r="AA1650" s="6" t="n">
        <x:v>3</x:v>
      </x:c>
      <x:c r="AB1650" s="6" t="n">
        <x:v>11</x:v>
      </x:c>
      <x:c r="AC1650" s="6" t="n">
        <x:v>1</x:v>
      </x:c>
    </x:row>
    <x:row r="1651">
      <x:c r="A1651" s="6" t="n">
        <x:v>7485</x:v>
      </x:c>
      <x:c r="B1651" s="6" t="n">
        <x:v>1950</x:v>
      </x:c>
      <x:c r="C1651" s="6" t="str">
        <x:v>PhD</x:v>
      </x:c>
      <x:c r="D1651" s="6" t="str">
        <x:v>Widow</x:v>
      </x:c>
      <x:c r="E1651" s="6" t="n">
        <x:v>56551</x:v>
      </x:c>
      <x:c r="F1651" s="6" t="n">
        <x:v>1</x:v>
      </x:c>
      <x:c r="G1651" s="6" t="n">
        <x:v>1</x:v>
      </x:c>
      <x:c r="H1651" s="9" t="str">
        <x:v>07-05-2014</x:v>
      </x:c>
      <x:c r="I1651" s="6" t="n">
        <x:v>48</x:v>
      </x:c>
      <x:c r="J1651" s="6" t="n">
        <x:v>67</x:v>
      </x:c>
      <x:c r="K1651" s="6" t="n">
        <x:v>4</x:v>
      </x:c>
      <x:c r="L1651" s="6" t="n">
        <x:v>32</x:v>
      </x:c>
      <x:c r="M1651" s="6" t="n">
        <x:v>17</x:v>
      </x:c>
      <x:c r="N1651" s="6" t="n">
        <x:v>2</x:v>
      </x:c>
      <x:c r="O1651" s="6" t="n">
        <x:v>16</x:v>
      </x:c>
      <x:c r="P1651" s="6" t="n">
        <x:v>3</x:v>
      </x:c>
      <x:c r="Q1651" s="6" t="n">
        <x:v>2</x:v>
      </x:c>
      <x:c r="R1651" s="6" t="n">
        <x:v>1</x:v>
      </x:c>
      <x:c r="S1651" s="6" t="n">
        <x:v>4</x:v>
      </x:c>
      <x:c r="T1651" s="6" t="n">
        <x:v>4</x:v>
      </x:c>
      <x:c r="U1651" s="6" t="n">
        <x:v>0</x:v>
      </x:c>
      <x:c r="V1651" s="6" t="n">
        <x:v>0</x:v>
      </x:c>
      <x:c r="W1651" s="6" t="n">
        <x:v>0</x:v>
      </x:c>
      <x:c r="X1651" s="6" t="n">
        <x:v>0</x:v>
      </x:c>
      <x:c r="Y1651" s="6" t="n">
        <x:v>0</x:v>
      </x:c>
      <x:c r="Z1651" s="6" t="n">
        <x:v>0</x:v>
      </x:c>
      <x:c r="AA1651" s="6" t="n">
        <x:v>3</x:v>
      </x:c>
      <x:c r="AB1651" s="6" t="n">
        <x:v>11</x:v>
      </x:c>
      <x:c r="AC1651" s="6" t="n">
        <x:v>0</x:v>
      </x:c>
    </x:row>
    <x:row r="1652">
      <x:c r="A1652" s="6" t="n">
        <x:v>8079</x:v>
      </x:c>
      <x:c r="B1652" s="6" t="n">
        <x:v>1982</x:v>
      </x:c>
      <x:c r="C1652" s="6" t="str">
        <x:v>Graduation</x:v>
      </x:c>
      <x:c r="D1652" s="6" t="str">
        <x:v>Married</x:v>
      </x:c>
      <x:c r="E1652" s="6" t="n">
        <x:v>22448</x:v>
      </x:c>
      <x:c r="F1652" s="6" t="n">
        <x:v>1</x:v>
      </x:c>
      <x:c r="G1652" s="6" t="n">
        <x:v>0</x:v>
      </x:c>
      <x:c r="H1652" s="9" t="str">
        <x:v>26-02-2014</x:v>
      </x:c>
      <x:c r="I1652" s="6" t="n">
        <x:v>86</x:v>
      </x:c>
      <x:c r="J1652" s="6" t="n">
        <x:v>3</x:v>
      </x:c>
      <x:c r="K1652" s="6" t="n">
        <x:v>1</x:v>
      </x:c>
      <x:c r="L1652" s="6" t="n">
        <x:v>8</x:v>
      </x:c>
      <x:c r="M1652" s="6" t="n">
        <x:v>23</x:v>
      </x:c>
      <x:c r="N1652" s="6" t="n">
        <x:v>2</x:v>
      </x:c>
      <x:c r="O1652" s="6" t="n">
        <x:v>18</x:v>
      </x:c>
      <x:c r="P1652" s="6" t="n">
        <x:v>3</x:v>
      </x:c>
      <x:c r="Q1652" s="6" t="n">
        <x:v>2</x:v>
      </x:c>
      <x:c r="R1652" s="6" t="n">
        <x:v>1</x:v>
      </x:c>
      <x:c r="S1652" s="6" t="n">
        <x:v>3</x:v>
      </x:c>
      <x:c r="T1652" s="6" t="n">
        <x:v>3</x:v>
      </x:c>
      <x:c r="U1652" s="6" t="n">
        <x:v>0</x:v>
      </x:c>
      <x:c r="V1652" s="6" t="n">
        <x:v>0</x:v>
      </x:c>
      <x:c r="W1652" s="6" t="n">
        <x:v>0</x:v>
      </x:c>
      <x:c r="X1652" s="6" t="n">
        <x:v>0</x:v>
      </x:c>
      <x:c r="Y1652" s="6" t="n">
        <x:v>0</x:v>
      </x:c>
      <x:c r="Z1652" s="6" t="n">
        <x:v>0</x:v>
      </x:c>
      <x:c r="AA1652" s="6" t="n">
        <x:v>3</x:v>
      </x:c>
      <x:c r="AB1652" s="6" t="n">
        <x:v>11</x:v>
      </x:c>
      <x:c r="AC1652" s="6" t="n">
        <x:v>0</x:v>
      </x:c>
    </x:row>
    <x:row r="1653">
      <x:c r="A1653" s="6" t="n">
        <x:v>8395</x:v>
      </x:c>
      <x:c r="B1653" s="6" t="n">
        <x:v>1961</x:v>
      </x:c>
      <x:c r="C1653" s="6" t="str">
        <x:v>Graduation</x:v>
      </x:c>
      <x:c r="D1653" s="6" t="str">
        <x:v>Single</x:v>
      </x:c>
      <x:c r="E1653" s="6" t="n">
        <x:v>82014</x:v>
      </x:c>
      <x:c r="F1653" s="6" t="n">
        <x:v>0</x:v>
      </x:c>
      <x:c r="G1653" s="6" t="n">
        <x:v>0</x:v>
      </x:c>
      <x:c r="H1653" s="9" t="str">
        <x:v>20-08-2012</x:v>
      </x:c>
      <x:c r="I1653" s="6" t="n">
        <x:v>48</x:v>
      </x:c>
      <x:c r="J1653" s="6" t="n">
        <x:v>980</x:v>
      </x:c>
      <x:c r="K1653" s="6" t="n">
        <x:v>37</x:v>
      </x:c>
      <x:c r="L1653" s="6" t="n">
        <x:v>265</x:v>
      </x:c>
      <x:c r="M1653" s="6" t="n">
        <x:v>35</x:v>
      </x:c>
      <x:c r="N1653" s="6" t="n">
        <x:v>163</x:v>
      </x:c>
      <x:c r="O1653" s="6" t="n">
        <x:v>31</x:v>
      </x:c>
      <x:c r="P1653" s="6" t="n">
        <x:v>1</x:v>
      </x:c>
      <x:c r="Q1653" s="6" t="n">
        <x:v>3</x:v>
      </x:c>
      <x:c r="R1653" s="6" t="n">
        <x:v>6</x:v>
      </x:c>
      <x:c r="S1653" s="6" t="n">
        <x:v>12</x:v>
      </x:c>
      <x:c r="T1653" s="6" t="n">
        <x:v>6</x:v>
      </x:c>
      <x:c r="U1653" s="6" t="n">
        <x:v>0</x:v>
      </x:c>
      <x:c r="V1653" s="6" t="n">
        <x:v>0</x:v>
      </x:c>
      <x:c r="W1653" s="6" t="n">
        <x:v>0</x:v>
      </x:c>
      <x:c r="X1653" s="6" t="n">
        <x:v>0</x:v>
      </x:c>
      <x:c r="Y1653" s="6" t="n">
        <x:v>0</x:v>
      </x:c>
      <x:c r="Z1653" s="6" t="n">
        <x:v>0</x:v>
      </x:c>
      <x:c r="AA1653" s="6" t="n">
        <x:v>3</x:v>
      </x:c>
      <x:c r="AB1653" s="6" t="n">
        <x:v>11</x:v>
      </x:c>
      <x:c r="AC1653" s="6" t="n">
        <x:v>1</x:v>
      </x:c>
    </x:row>
    <x:row r="1654">
      <x:c r="A1654" s="6" t="n">
        <x:v>10352</x:v>
      </x:c>
      <x:c r="B1654" s="6" t="n">
        <x:v>1963</x:v>
      </x:c>
      <x:c r="C1654" s="6" t="str">
        <x:v>Graduation</x:v>
      </x:c>
      <x:c r="D1654" s="6" t="str">
        <x:v>Widow</x:v>
      </x:c>
      <x:c r="E1654" s="6" t="n">
        <x:v>34213</x:v>
      </x:c>
      <x:c r="F1654" s="6" t="n">
        <x:v>1</x:v>
      </x:c>
      <x:c r="G1654" s="6" t="n">
        <x:v>1</x:v>
      </x:c>
      <x:c r="H1654" s="9" t="str">
        <x:v>07-09-2012</x:v>
      </x:c>
      <x:c r="I1654" s="6" t="n">
        <x:v>2</x:v>
      </x:c>
      <x:c r="J1654" s="6" t="n">
        <x:v>50</x:v>
      </x:c>
      <x:c r="K1654" s="6" t="n">
        <x:v>4</x:v>
      </x:c>
      <x:c r="L1654" s="6" t="n">
        <x:v>28</x:v>
      </x:c>
      <x:c r="M1654" s="6" t="n">
        <x:v>6</x:v>
      </x:c>
      <x:c r="N1654" s="6" t="n">
        <x:v>3</x:v>
      </x:c>
      <x:c r="O1654" s="6" t="n">
        <x:v>26</x:v>
      </x:c>
      <x:c r="P1654" s="6" t="n">
        <x:v>3</x:v>
      </x:c>
      <x:c r="Q1654" s="6" t="n">
        <x:v>3</x:v>
      </x:c>
      <x:c r="R1654" s="6" t="n">
        <x:v>1</x:v>
      </x:c>
      <x:c r="S1654" s="6" t="n">
        <x:v>2</x:v>
      </x:c>
      <x:c r="T1654" s="6" t="n">
        <x:v>9</x:v>
      </x:c>
      <x:c r="U1654" s="6" t="n">
        <x:v>0</x:v>
      </x:c>
      <x:c r="V1654" s="6" t="n">
        <x:v>0</x:v>
      </x:c>
      <x:c r="W1654" s="6" t="n">
        <x:v>0</x:v>
      </x:c>
      <x:c r="X1654" s="6" t="n">
        <x:v>0</x:v>
      </x:c>
      <x:c r="Y1654" s="6" t="n">
        <x:v>0</x:v>
      </x:c>
      <x:c r="Z1654" s="6" t="n">
        <x:v>0</x:v>
      </x:c>
      <x:c r="AA1654" s="6" t="n">
        <x:v>3</x:v>
      </x:c>
      <x:c r="AB1654" s="6" t="n">
        <x:v>11</x:v>
      </x:c>
      <x:c r="AC1654" s="6" t="n">
        <x:v>1</x:v>
      </x:c>
    </x:row>
    <x:row r="1655">
      <x:c r="A1655" s="6" t="n">
        <x:v>4931</x:v>
      </x:c>
      <x:c r="B1655" s="6" t="n">
        <x:v>1977</x:v>
      </x:c>
      <x:c r="C1655" s="6" t="str">
        <x:v>Graduation</x:v>
      </x:c>
      <x:c r="D1655" s="6" t="str">
        <x:v>Together</x:v>
      </x:c>
      <x:c r="E1655" s="6" t="n">
        <x:v>157146</x:v>
      </x:c>
      <x:c r="F1655" s="6" t="n">
        <x:v>0</x:v>
      </x:c>
      <x:c r="G1655" s="6" t="n">
        <x:v>0</x:v>
      </x:c>
      <x:c r="H1655" s="9" t="str">
        <x:v>29-04-2013</x:v>
      </x:c>
      <x:c r="I1655" s="6" t="n">
        <x:v>13</x:v>
      </x:c>
      <x:c r="J1655" s="6" t="n">
        <x:v>1</x:v>
      </x:c>
      <x:c r="K1655" s="6" t="n">
        <x:v>0</x:v>
      </x:c>
      <x:c r="L1655" s="6" t="n">
        <x:v>1725</x:v>
      </x:c>
      <x:c r="M1655" s="6" t="n">
        <x:v>2</x:v>
      </x:c>
      <x:c r="N1655" s="6" t="n">
        <x:v>1</x:v>
      </x:c>
      <x:c r="O1655" s="6" t="n">
        <x:v>1</x:v>
      </x:c>
      <x:c r="P1655" s="6" t="n">
        <x:v>0</x:v>
      </x:c>
      <x:c r="Q1655" s="6" t="n">
        <x:v>0</x:v>
      </x:c>
      <x:c r="R1655" s="6" t="n">
        <x:v>28</x:v>
      </x:c>
      <x:c r="S1655" s="6" t="n">
        <x:v>0</x:v>
      </x:c>
      <x:c r="T1655" s="6" t="n">
        <x:v>1</x:v>
      </x:c>
      <x:c r="U1655" s="6" t="n">
        <x:v>0</x:v>
      </x:c>
      <x:c r="V1655" s="6" t="n">
        <x:v>0</x:v>
      </x:c>
      <x:c r="W1655" s="6" t="n">
        <x:v>0</x:v>
      </x:c>
      <x:c r="X1655" s="6" t="n">
        <x:v>0</x:v>
      </x:c>
      <x:c r="Y1655" s="6" t="n">
        <x:v>0</x:v>
      </x:c>
      <x:c r="Z1655" s="6" t="n">
        <x:v>0</x:v>
      </x:c>
      <x:c r="AA1655" s="6" t="n">
        <x:v>3</x:v>
      </x:c>
      <x:c r="AB1655" s="6" t="n">
        <x:v>11</x:v>
      </x:c>
      <x:c r="AC1655" s="6" t="n">
        <x:v>0</x:v>
      </x:c>
    </x:row>
    <x:row r="1656">
      <x:c r="A1656" s="6" t="n">
        <x:v>13</x:v>
      </x:c>
      <x:c r="B1656" s="6" t="n">
        <x:v>1947</x:v>
      </x:c>
      <x:c r="C1656" s="6" t="str">
        <x:v>PhD</x:v>
      </x:c>
      <x:c r="D1656" s="6" t="str">
        <x:v>Widow</x:v>
      </x:c>
      <x:c r="E1656" s="6" t="n">
        <x:v>25358</x:v>
      </x:c>
      <x:c r="F1656" s="6" t="n">
        <x:v>0</x:v>
      </x:c>
      <x:c r="G1656" s="6" t="n">
        <x:v>1</x:v>
      </x:c>
      <x:c r="H1656" s="9" t="str">
        <x:v>22-07-2013</x:v>
      </x:c>
      <x:c r="I1656" s="6" t="n">
        <x:v>57</x:v>
      </x:c>
      <x:c r="J1656" s="6" t="n">
        <x:v>19</x:v>
      </x:c>
      <x:c r="K1656" s="6" t="n">
        <x:v>0</x:v>
      </x:c>
      <x:c r="L1656" s="6" t="n">
        <x:v>5</x:v>
      </x:c>
      <x:c r="M1656" s="6" t="n">
        <x:v>0</x:v>
      </x:c>
      <x:c r="N1656" s="6" t="n">
        <x:v>0</x:v>
      </x:c>
      <x:c r="O1656" s="6" t="n">
        <x:v>8</x:v>
      </x:c>
      <x:c r="P1656" s="6" t="n">
        <x:v>2</x:v>
      </x:c>
      <x:c r="Q1656" s="6" t="n">
        <x:v>1</x:v>
      </x:c>
      <x:c r="R1656" s="6" t="n">
        <x:v>0</x:v>
      </x:c>
      <x:c r="S1656" s="6" t="n">
        <x:v>3</x:v>
      </x:c>
      <x:c r="T1656" s="6" t="n">
        <x:v>6</x:v>
      </x:c>
      <x:c r="U1656" s="6" t="n">
        <x:v>0</x:v>
      </x:c>
      <x:c r="V1656" s="6" t="n">
        <x:v>0</x:v>
      </x:c>
      <x:c r="W1656" s="6" t="n">
        <x:v>0</x:v>
      </x:c>
      <x:c r="X1656" s="6" t="n">
        <x:v>0</x:v>
      </x:c>
      <x:c r="Y1656" s="6" t="n">
        <x:v>0</x:v>
      </x:c>
      <x:c r="Z1656" s="6" t="n">
        <x:v>0</x:v>
      </x:c>
      <x:c r="AA1656" s="6" t="n">
        <x:v>3</x:v>
      </x:c>
      <x:c r="AB1656" s="6" t="n">
        <x:v>11</x:v>
      </x:c>
      <x:c r="AC1656" s="6" t="n">
        <x:v>0</x:v>
      </x:c>
    </x:row>
    <x:row r="1657">
      <x:c r="A1657" s="6" t="n">
        <x:v>1834</x:v>
      </x:c>
      <x:c r="B1657" s="6" t="n">
        <x:v>1978</x:v>
      </x:c>
      <x:c r="C1657" s="6" t="str">
        <x:v>Master</x:v>
      </x:c>
      <x:c r="D1657" s="6" t="str">
        <x:v>Single</x:v>
      </x:c>
      <x:c r="E1657" s="6" t="n">
        <x:v>35544</x:v>
      </x:c>
      <x:c r="F1657" s="6" t="n">
        <x:v>1</x:v>
      </x:c>
      <x:c r="G1657" s="6" t="n">
        <x:v>0</x:v>
      </x:c>
      <x:c r="H1657" s="9" t="str">
        <x:v>08-03-2014</x:v>
      </x:c>
      <x:c r="I1657" s="6" t="n">
        <x:v>77</x:v>
      </x:c>
      <x:c r="J1657" s="6" t="n">
        <x:v>30</x:v>
      </x:c>
      <x:c r="K1657" s="6" t="n">
        <x:v>5</x:v>
      </x:c>
      <x:c r="L1657" s="6" t="n">
        <x:v>23</x:v>
      </x:c>
      <x:c r="M1657" s="6" t="n">
        <x:v>4</x:v>
      </x:c>
      <x:c r="N1657" s="6" t="n">
        <x:v>1</x:v>
      </x:c>
      <x:c r="O1657" s="6" t="n">
        <x:v>4</x:v>
      </x:c>
      <x:c r="P1657" s="6" t="n">
        <x:v>1</x:v>
      </x:c>
      <x:c r="Q1657" s="6" t="n">
        <x:v>2</x:v>
      </x:c>
      <x:c r="R1657" s="6" t="n">
        <x:v>0</x:v>
      </x:c>
      <x:c r="S1657" s="6" t="n">
        <x:v>3</x:v>
      </x:c>
      <x:c r="T1657" s="6" t="n">
        <x:v>7</x:v>
      </x:c>
      <x:c r="U1657" s="6" t="n">
        <x:v>0</x:v>
      </x:c>
      <x:c r="V1657" s="6" t="n">
        <x:v>0</x:v>
      </x:c>
      <x:c r="W1657" s="6" t="n">
        <x:v>0</x:v>
      </x:c>
      <x:c r="X1657" s="6" t="n">
        <x:v>0</x:v>
      </x:c>
      <x:c r="Y1657" s="6" t="n">
        <x:v>0</x:v>
      </x:c>
      <x:c r="Z1657" s="6" t="n">
        <x:v>0</x:v>
      </x:c>
      <x:c r="AA1657" s="6" t="n">
        <x:v>3</x:v>
      </x:c>
      <x:c r="AB1657" s="6" t="n">
        <x:v>11</x:v>
      </x:c>
      <x:c r="AC1657" s="6" t="n">
        <x:v>0</x:v>
      </x:c>
    </x:row>
    <x:row r="1658">
      <x:c r="A1658" s="6" t="n">
        <x:v>2285</x:v>
      </x:c>
      <x:c r="B1658" s="6" t="n">
        <x:v>1954</x:v>
      </x:c>
      <x:c r="C1658" s="6" t="str">
        <x:v>Master</x:v>
      </x:c>
      <x:c r="D1658" s="6" t="str">
        <x:v>Together</x:v>
      </x:c>
      <x:c r="E1658" s="6" t="n">
        <x:v>36634</x:v>
      </x:c>
      <x:c r="F1658" s="6" t="n">
        <x:v>0</x:v>
      </x:c>
      <x:c r="G1658" s="6" t="n">
        <x:v>1</x:v>
      </x:c>
      <x:c r="H1658" s="9" t="str">
        <x:v>28-05-2013</x:v>
      </x:c>
      <x:c r="I1658" s="6" t="n">
        <x:v>0</x:v>
      </x:c>
      <x:c r="J1658" s="6" t="n">
        <x:v>213</x:v>
      </x:c>
      <x:c r="K1658" s="6" t="n">
        <x:v>9</x:v>
      </x:c>
      <x:c r="L1658" s="6" t="n">
        <x:v>76</x:v>
      </x:c>
      <x:c r="M1658" s="6" t="n">
        <x:v>4</x:v>
      </x:c>
      <x:c r="N1658" s="6" t="n">
        <x:v>3</x:v>
      </x:c>
      <x:c r="O1658" s="6" t="n">
        <x:v>30</x:v>
      </x:c>
      <x:c r="P1658" s="6" t="n">
        <x:v>3</x:v>
      </x:c>
      <x:c r="Q1658" s="6" t="n">
        <x:v>5</x:v>
      </x:c>
      <x:c r="R1658" s="6" t="n">
        <x:v>2</x:v>
      </x:c>
      <x:c r="S1658" s="6" t="n">
        <x:v>5</x:v>
      </x:c>
      <x:c r="T1658" s="6" t="n">
        <x:v>7</x:v>
      </x:c>
      <x:c r="U1658" s="6" t="n">
        <x:v>0</x:v>
      </x:c>
      <x:c r="V1658" s="6" t="n">
        <x:v>0</x:v>
      </x:c>
      <x:c r="W1658" s="6" t="n">
        <x:v>0</x:v>
      </x:c>
      <x:c r="X1658" s="6" t="n">
        <x:v>0</x:v>
      </x:c>
      <x:c r="Y1658" s="6" t="n">
        <x:v>0</x:v>
      </x:c>
      <x:c r="Z1658" s="6" t="n">
        <x:v>0</x:v>
      </x:c>
      <x:c r="AA1658" s="6" t="n">
        <x:v>3</x:v>
      </x:c>
      <x:c r="AB1658" s="6" t="n">
        <x:v>11</x:v>
      </x:c>
      <x:c r="AC1658" s="6" t="n">
        <x:v>0</x:v>
      </x:c>
    </x:row>
    <x:row r="1659">
      <x:c r="A1659" s="6" t="n">
        <x:v>2295</x:v>
      </x:c>
      <x:c r="B1659" s="6" t="n">
        <x:v>1954</x:v>
      </x:c>
      <x:c r="C1659" s="6" t="str">
        <x:v>PhD</x:v>
      </x:c>
      <x:c r="D1659" s="6" t="str">
        <x:v>Married</x:v>
      </x:c>
      <x:c r="E1659" s="6" t="n">
        <x:v>62670</x:v>
      </x:c>
      <x:c r="F1659" s="6" t="n">
        <x:v>0</x:v>
      </x:c>
      <x:c r="G1659" s="6" t="n">
        <x:v>1</x:v>
      </x:c>
      <x:c r="H1659" s="9" t="str">
        <x:v>02-02-2014</x:v>
      </x:c>
      <x:c r="I1659" s="6" t="n">
        <x:v>57</x:v>
      </x:c>
      <x:c r="J1659" s="6" t="n">
        <x:v>539</x:v>
      </x:c>
      <x:c r="K1659" s="6" t="n">
        <x:v>30</x:v>
      </x:c>
      <x:c r="L1659" s="6" t="n">
        <x:v>92</x:v>
      </x:c>
      <x:c r="M1659" s="6" t="n">
        <x:v>80</x:v>
      </x:c>
      <x:c r="N1659" s="6" t="n">
        <x:v>46</x:v>
      </x:c>
      <x:c r="O1659" s="6" t="n">
        <x:v>38</x:v>
      </x:c>
      <x:c r="P1659" s="6" t="n">
        <x:v>1</x:v>
      </x:c>
      <x:c r="Q1659" s="6" t="n">
        <x:v>5</x:v>
      </x:c>
      <x:c r="R1659" s="6" t="n">
        <x:v>3</x:v>
      </x:c>
      <x:c r="S1659" s="6" t="n">
        <x:v>13</x:v>
      </x:c>
      <x:c r="T1659" s="6" t="n">
        <x:v>3</x:v>
      </x:c>
      <x:c r="U1659" s="6" t="n">
        <x:v>0</x:v>
      </x:c>
      <x:c r="V1659" s="6" t="n">
        <x:v>0</x:v>
      </x:c>
      <x:c r="W1659" s="6" t="n">
        <x:v>0</x:v>
      </x:c>
      <x:c r="X1659" s="6" t="n">
        <x:v>0</x:v>
      </x:c>
      <x:c r="Y1659" s="6" t="n">
        <x:v>0</x:v>
      </x:c>
      <x:c r="Z1659" s="6" t="n">
        <x:v>0</x:v>
      </x:c>
      <x:c r="AA1659" s="6" t="n">
        <x:v>3</x:v>
      </x:c>
      <x:c r="AB1659" s="6" t="n">
        <x:v>11</x:v>
      </x:c>
      <x:c r="AC1659" s="6" t="n">
        <x:v>0</x:v>
      </x:c>
    </x:row>
    <x:row r="1660">
      <x:c r="A1660" s="6" t="n">
        <x:v>1378</x:v>
      </x:c>
      <x:c r="B1660" s="6" t="n">
        <x:v>1972</x:v>
      </x:c>
      <x:c r="C1660" s="6" t="str">
        <x:v>2n Cycle</x:v>
      </x:c>
      <x:c r="D1660" s="6" t="str">
        <x:v>Together</x:v>
      </x:c>
      <x:c r="E1660" s="6" t="n">
        <x:v>50334</x:v>
      </x:c>
      <x:c r="F1660" s="6" t="n">
        <x:v>0</x:v>
      </x:c>
      <x:c r="G1660" s="6" t="n">
        <x:v>1</x:v>
      </x:c>
      <x:c r="H1660" s="9" t="str">
        <x:v>24-07-2013</x:v>
      </x:c>
      <x:c r="I1660" s="6" t="n">
        <x:v>24</x:v>
      </x:c>
      <x:c r="J1660" s="6" t="n">
        <x:v>284</x:v>
      </x:c>
      <x:c r="K1660" s="6" t="n">
        <x:v>16</x:v>
      </x:c>
      <x:c r="L1660" s="6" t="n">
        <x:v>160</x:v>
      </x:c>
      <x:c r="M1660" s="6" t="n">
        <x:v>84</x:v>
      </x:c>
      <x:c r="N1660" s="6" t="n">
        <x:v>16</x:v>
      </x:c>
      <x:c r="O1660" s="6" t="n">
        <x:v>134</x:v>
      </x:c>
      <x:c r="P1660" s="6" t="n">
        <x:v>6</x:v>
      </x:c>
      <x:c r="Q1660" s="6" t="n">
        <x:v>7</x:v>
      </x:c>
      <x:c r="R1660" s="6" t="n">
        <x:v>4</x:v>
      </x:c>
      <x:c r="S1660" s="6" t="n">
        <x:v>6</x:v>
      </x:c>
      <x:c r="T1660" s="6" t="n">
        <x:v>6</x:v>
      </x:c>
      <x:c r="U1660" s="6" t="n">
        <x:v>0</x:v>
      </x:c>
      <x:c r="V1660" s="6" t="n">
        <x:v>0</x:v>
      </x:c>
      <x:c r="W1660" s="6" t="n">
        <x:v>0</x:v>
      </x:c>
      <x:c r="X1660" s="6" t="n">
        <x:v>0</x:v>
      </x:c>
      <x:c r="Y1660" s="6" t="n">
        <x:v>0</x:v>
      </x:c>
      <x:c r="Z1660" s="6" t="n">
        <x:v>0</x:v>
      </x:c>
      <x:c r="AA1660" s="6" t="n">
        <x:v>3</x:v>
      </x:c>
      <x:c r="AB1660" s="6" t="n">
        <x:v>11</x:v>
      </x:c>
      <x:c r="AC1660" s="6" t="n">
        <x:v>0</x:v>
      </x:c>
    </x:row>
    <x:row r="1661">
      <x:c r="A1661" s="6" t="n">
        <x:v>2781</x:v>
      </x:c>
      <x:c r="B1661" s="6" t="n">
        <x:v>1981</x:v>
      </x:c>
      <x:c r="C1661" s="6" t="str">
        <x:v>Graduation</x:v>
      </x:c>
      <x:c r="D1661" s="6" t="str">
        <x:v>Single</x:v>
      </x:c>
      <x:c r="E1661" s="6" t="n">
        <x:v>72066</x:v>
      </x:c>
      <x:c r="F1661" s="6" t="n">
        <x:v>0</x:v>
      </x:c>
      <x:c r="G1661" s="6" t="n">
        <x:v>0</x:v>
      </x:c>
      <x:c r="H1661" s="9" t="str">
        <x:v>23-06-2014</x:v>
      </x:c>
      <x:c r="I1661" s="6" t="n">
        <x:v>55</x:v>
      </x:c>
      <x:c r="J1661" s="6" t="n">
        <x:v>1003</x:v>
      </x:c>
      <x:c r="K1661" s="6" t="n">
        <x:v>34</x:v>
      </x:c>
      <x:c r="L1661" s="6" t="n">
        <x:v>536</x:v>
      </x:c>
      <x:c r="M1661" s="6" t="n">
        <x:v>134</x:v>
      </x:c>
      <x:c r="N1661" s="6" t="n">
        <x:v>51</x:v>
      </x:c>
      <x:c r="O1661" s="6" t="n">
        <x:v>34</x:v>
      </x:c>
      <x:c r="P1661" s="6" t="n">
        <x:v>1</x:v>
      </x:c>
      <x:c r="Q1661" s="6" t="n">
        <x:v>4</x:v>
      </x:c>
      <x:c r="R1661" s="6" t="n">
        <x:v>6</x:v>
      </x:c>
      <x:c r="S1661" s="6" t="n">
        <x:v>6</x:v>
      </x:c>
      <x:c r="T1661" s="6" t="n">
        <x:v>2</x:v>
      </x:c>
      <x:c r="U1661" s="6" t="n">
        <x:v>0</x:v>
      </x:c>
      <x:c r="V1661" s="6" t="n">
        <x:v>0</x:v>
      </x:c>
      <x:c r="W1661" s="6" t="n">
        <x:v>1</x:v>
      </x:c>
      <x:c r="X1661" s="6" t="n">
        <x:v>1</x:v>
      </x:c>
      <x:c r="Y1661" s="6" t="n">
        <x:v>0</x:v>
      </x:c>
      <x:c r="Z1661" s="6" t="n">
        <x:v>0</x:v>
      </x:c>
      <x:c r="AA1661" s="6" t="n">
        <x:v>3</x:v>
      </x:c>
      <x:c r="AB1661" s="6" t="n">
        <x:v>11</x:v>
      </x:c>
      <x:c r="AC1661" s="6" t="n">
        <x:v>1</x:v>
      </x:c>
    </x:row>
    <x:row r="1662">
      <x:c r="A1662" s="6" t="n">
        <x:v>1165</x:v>
      </x:c>
      <x:c r="B1662" s="6" t="n">
        <x:v>1958</x:v>
      </x:c>
      <x:c r="C1662" s="6" t="str">
        <x:v>PhD</x:v>
      </x:c>
      <x:c r="D1662" s="6" t="str">
        <x:v>Single</x:v>
      </x:c>
      <x:c r="E1662" s="6" t="n">
        <x:v>50729</x:v>
      </x:c>
      <x:c r="F1662" s="6" t="n">
        <x:v>1</x:v>
      </x:c>
      <x:c r="G1662" s="6" t="n">
        <x:v>1</x:v>
      </x:c>
      <x:c r="H1662" s="9" t="str">
        <x:v>02-05-2013</x:v>
      </x:c>
      <x:c r="I1662" s="6" t="n">
        <x:v>62</x:v>
      </x:c>
      <x:c r="J1662" s="6" t="n">
        <x:v>239</x:v>
      </x:c>
      <x:c r="K1662" s="6" t="n">
        <x:v>13</x:v>
      </x:c>
      <x:c r="L1662" s="6" t="n">
        <x:v>143</x:v>
      </x:c>
      <x:c r="M1662" s="6" t="n">
        <x:v>45</x:v>
      </x:c>
      <x:c r="N1662" s="6" t="n">
        <x:v>4</x:v>
      </x:c>
      <x:c r="O1662" s="6" t="n">
        <x:v>52</x:v>
      </x:c>
      <x:c r="P1662" s="6" t="n">
        <x:v>9</x:v>
      </x:c>
      <x:c r="Q1662" s="6" t="n">
        <x:v>6</x:v>
      </x:c>
      <x:c r="R1662" s="6" t="n">
        <x:v>2</x:v>
      </x:c>
      <x:c r="S1662" s="6" t="n">
        <x:v>7</x:v>
      </x:c>
      <x:c r="T1662" s="6" t="n">
        <x:v>6</x:v>
      </x:c>
      <x:c r="U1662" s="6" t="n">
        <x:v>0</x:v>
      </x:c>
      <x:c r="V1662" s="6" t="n">
        <x:v>0</x:v>
      </x:c>
      <x:c r="W1662" s="6" t="n">
        <x:v>0</x:v>
      </x:c>
      <x:c r="X1662" s="6" t="n">
        <x:v>0</x:v>
      </x:c>
      <x:c r="Y1662" s="6" t="n">
        <x:v>0</x:v>
      </x:c>
      <x:c r="Z1662" s="6" t="n">
        <x:v>0</x:v>
      </x:c>
      <x:c r="AA1662" s="6" t="n">
        <x:v>3</x:v>
      </x:c>
      <x:c r="AB1662" s="6" t="n">
        <x:v>11</x:v>
      </x:c>
      <x:c r="AC1662" s="6" t="n">
        <x:v>0</x:v>
      </x:c>
    </x:row>
    <x:row r="1663">
      <x:c r="A1663" s="6" t="n">
        <x:v>1404</x:v>
      </x:c>
      <x:c r="B1663" s="6" t="n">
        <x:v>1968</x:v>
      </x:c>
      <x:c r="C1663" s="6" t="str">
        <x:v>Graduation</x:v>
      </x:c>
      <x:c r="D1663" s="6" t="str">
        <x:v>Together</x:v>
      </x:c>
      <x:c r="E1663" s="6" t="n">
        <x:v>34916</x:v>
      </x:c>
      <x:c r="F1663" s="6" t="n">
        <x:v>2</x:v>
      </x:c>
      <x:c r="G1663" s="6" t="n">
        <x:v>0</x:v>
      </x:c>
      <x:c r="H1663" s="9" t="str">
        <x:v>15-05-2013</x:v>
      </x:c>
      <x:c r="I1663" s="6" t="n">
        <x:v>89</x:v>
      </x:c>
      <x:c r="J1663" s="6" t="n">
        <x:v>51</x:v>
      </x:c>
      <x:c r="K1663" s="6" t="n">
        <x:v>23</x:v>
      </x:c>
      <x:c r="L1663" s="6" t="n">
        <x:v>82</x:v>
      </x:c>
      <x:c r="M1663" s="6" t="n">
        <x:v>33</x:v>
      </x:c>
      <x:c r="N1663" s="6" t="n">
        <x:v>0</x:v>
      </x:c>
      <x:c r="O1663" s="6" t="n">
        <x:v>42</x:v>
      </x:c>
      <x:c r="P1663" s="6" t="n">
        <x:v>4</x:v>
      </x:c>
      <x:c r="Q1663" s="6" t="n">
        <x:v>5</x:v>
      </x:c>
      <x:c r="R1663" s="6" t="n">
        <x:v>1</x:v>
      </x:c>
      <x:c r="S1663" s="6" t="n">
        <x:v>3</x:v>
      </x:c>
      <x:c r="T1663" s="6" t="n">
        <x:v>9</x:v>
      </x:c>
      <x:c r="U1663" s="6" t="n">
        <x:v>0</x:v>
      </x:c>
      <x:c r="V1663" s="6" t="n">
        <x:v>0</x:v>
      </x:c>
      <x:c r="W1663" s="6" t="n">
        <x:v>0</x:v>
      </x:c>
      <x:c r="X1663" s="6" t="n">
        <x:v>0</x:v>
      </x:c>
      <x:c r="Y1663" s="6" t="n">
        <x:v>0</x:v>
      </x:c>
      <x:c r="Z1663" s="6" t="n">
        <x:v>0</x:v>
      </x:c>
      <x:c r="AA1663" s="6" t="n">
        <x:v>3</x:v>
      </x:c>
      <x:c r="AB1663" s="6" t="n">
        <x:v>11</x:v>
      </x:c>
      <x:c r="AC1663" s="6" t="n">
        <x:v>0</x:v>
      </x:c>
    </x:row>
    <x:row r="1664">
      <x:c r="A1664" s="6" t="n">
        <x:v>6457</x:v>
      </x:c>
      <x:c r="B1664" s="6" t="n">
        <x:v>1976</x:v>
      </x:c>
      <x:c r="C1664" s="6" t="str">
        <x:v>Graduation</x:v>
      </x:c>
      <x:c r="D1664" s="6" t="str">
        <x:v>Divorced</x:v>
      </x:c>
      <x:c r="E1664" s="6" t="n">
        <x:v>64892</x:v>
      </x:c>
      <x:c r="F1664" s="6" t="n">
        <x:v>0</x:v>
      </x:c>
      <x:c r="G1664" s="6" t="n">
        <x:v>1</x:v>
      </x:c>
      <x:c r="H1664" s="9" t="str">
        <x:v>29-05-2014</x:v>
      </x:c>
      <x:c r="I1664" s="6" t="n">
        <x:v>77</x:v>
      </x:c>
      <x:c r="J1664" s="6" t="n">
        <x:v>527</x:v>
      </x:c>
      <x:c r="K1664" s="6" t="n">
        <x:v>24</x:v>
      </x:c>
      <x:c r="L1664" s="6" t="n">
        <x:v>230</x:v>
      </x:c>
      <x:c r="M1664" s="6" t="n">
        <x:v>32</x:v>
      </x:c>
      <x:c r="N1664" s="6" t="n">
        <x:v>24</x:v>
      </x:c>
      <x:c r="O1664" s="6" t="n">
        <x:v>65</x:v>
      </x:c>
      <x:c r="P1664" s="6" t="n">
        <x:v>2</x:v>
      </x:c>
      <x:c r="Q1664" s="6" t="n">
        <x:v>6</x:v>
      </x:c>
      <x:c r="R1664" s="6" t="n">
        <x:v>4</x:v>
      </x:c>
      <x:c r="S1664" s="6" t="n">
        <x:v>12</x:v>
      </x:c>
      <x:c r="T1664" s="6" t="n">
        <x:v>4</x:v>
      </x:c>
      <x:c r="U1664" s="6" t="n">
        <x:v>0</x:v>
      </x:c>
      <x:c r="V1664" s="6" t="n">
        <x:v>0</x:v>
      </x:c>
      <x:c r="W1664" s="6" t="n">
        <x:v>0</x:v>
      </x:c>
      <x:c r="X1664" s="6" t="n">
        <x:v>0</x:v>
      </x:c>
      <x:c r="Y1664" s="6" t="n">
        <x:v>0</x:v>
      </x:c>
      <x:c r="Z1664" s="6" t="n">
        <x:v>0</x:v>
      </x:c>
      <x:c r="AA1664" s="6" t="n">
        <x:v>3</x:v>
      </x:c>
      <x:c r="AB1664" s="6" t="n">
        <x:v>11</x:v>
      </x:c>
      <x:c r="AC1664" s="6" t="n">
        <x:v>0</x:v>
      </x:c>
    </x:row>
    <x:row r="1665">
      <x:c r="A1665" s="6" t="n">
        <x:v>2639</x:v>
      </x:c>
      <x:c r="B1665" s="6" t="n">
        <x:v>1966</x:v>
      </x:c>
      <x:c r="C1665" s="6" t="str">
        <x:v>Graduation</x:v>
      </x:c>
      <x:c r="D1665" s="6" t="str">
        <x:v>Single</x:v>
      </x:c>
      <x:c r="E1665" s="6" t="n">
        <x:v>43602</x:v>
      </x:c>
      <x:c r="F1665" s="6" t="n">
        <x:v>1</x:v>
      </x:c>
      <x:c r="G1665" s="6" t="n">
        <x:v>1</x:v>
      </x:c>
      <x:c r="H1665" s="9" t="str">
        <x:v>10-01-2014</x:v>
      </x:c>
      <x:c r="I1665" s="6" t="n">
        <x:v>45</x:v>
      </x:c>
      <x:c r="J1665" s="6" t="n">
        <x:v>19</x:v>
      </x:c>
      <x:c r="K1665" s="6" t="n">
        <x:v>5</x:v>
      </x:c>
      <x:c r="L1665" s="6" t="n">
        <x:v>12</x:v>
      </x:c>
      <x:c r="M1665" s="6" t="n">
        <x:v>10</x:v>
      </x:c>
      <x:c r="N1665" s="6" t="n">
        <x:v>3</x:v>
      </x:c>
      <x:c r="O1665" s="6" t="n">
        <x:v>19</x:v>
      </x:c>
      <x:c r="P1665" s="6" t="n">
        <x:v>3</x:v>
      </x:c>
      <x:c r="Q1665" s="6" t="n">
        <x:v>3</x:v>
      </x:c>
      <x:c r="R1665" s="6" t="n">
        <x:v>1</x:v>
      </x:c>
      <x:c r="S1665" s="6" t="n">
        <x:v>2</x:v>
      </x:c>
      <x:c r="T1665" s="6" t="n">
        <x:v>6</x:v>
      </x:c>
      <x:c r="U1665" s="6" t="n">
        <x:v>0</x:v>
      </x:c>
      <x:c r="V1665" s="6" t="n">
        <x:v>0</x:v>
      </x:c>
      <x:c r="W1665" s="6" t="n">
        <x:v>0</x:v>
      </x:c>
      <x:c r="X1665" s="6" t="n">
        <x:v>0</x:v>
      </x:c>
      <x:c r="Y1665" s="6" t="n">
        <x:v>0</x:v>
      </x:c>
      <x:c r="Z1665" s="6" t="n">
        <x:v>0</x:v>
      </x:c>
      <x:c r="AA1665" s="6" t="n">
        <x:v>3</x:v>
      </x:c>
      <x:c r="AB1665" s="6" t="n">
        <x:v>11</x:v>
      </x:c>
      <x:c r="AC1665" s="6" t="n">
        <x:v>0</x:v>
      </x:c>
    </x:row>
    <x:row r="1666">
      <x:c r="A1666" s="6" t="n">
        <x:v>8299</x:v>
      </x:c>
      <x:c r="B1666" s="6" t="n">
        <x:v>1989</x:v>
      </x:c>
      <x:c r="C1666" s="6" t="str">
        <x:v>PhD</x:v>
      </x:c>
      <x:c r="D1666" s="6" t="str">
        <x:v>Single</x:v>
      </x:c>
      <x:c r="E1666" s="6" t="n">
        <x:v>33996</x:v>
      </x:c>
      <x:c r="F1666" s="6" t="n">
        <x:v>0</x:v>
      </x:c>
      <x:c r="G1666" s="6" t="n">
        <x:v>0</x:v>
      </x:c>
      <x:c r="H1666" s="9" t="str">
        <x:v>11-09-2013</x:v>
      </x:c>
      <x:c r="I1666" s="6" t="n">
        <x:v>46</x:v>
      </x:c>
      <x:c r="J1666" s="6" t="n">
        <x:v>40</x:v>
      </x:c>
      <x:c r="K1666" s="6" t="n">
        <x:v>2</x:v>
      </x:c>
      <x:c r="L1666" s="6" t="n">
        <x:v>15</x:v>
      </x:c>
      <x:c r="M1666" s="6" t="n">
        <x:v>8</x:v>
      </x:c>
      <x:c r="N1666" s="6" t="n">
        <x:v>0</x:v>
      </x:c>
      <x:c r="O1666" s="6" t="n">
        <x:v>6</x:v>
      </x:c>
      <x:c r="P1666" s="6" t="n">
        <x:v>1</x:v>
      </x:c>
      <x:c r="Q1666" s="6" t="n">
        <x:v>1</x:v>
      </x:c>
      <x:c r="R1666" s="6" t="n">
        <x:v>1</x:v>
      </x:c>
      <x:c r="S1666" s="6" t="n">
        <x:v>3</x:v>
      </x:c>
      <x:c r="T1666" s="6" t="n">
        <x:v>4</x:v>
      </x:c>
      <x:c r="U1666" s="6" t="n">
        <x:v>0</x:v>
      </x:c>
      <x:c r="V1666" s="6" t="n">
        <x:v>0</x:v>
      </x:c>
      <x:c r="W1666" s="6" t="n">
        <x:v>0</x:v>
      </x:c>
      <x:c r="X1666" s="6" t="n">
        <x:v>0</x:v>
      </x:c>
      <x:c r="Y1666" s="6" t="n">
        <x:v>0</x:v>
      </x:c>
      <x:c r="Z1666" s="6" t="n">
        <x:v>0</x:v>
      </x:c>
      <x:c r="AA1666" s="6" t="n">
        <x:v>3</x:v>
      </x:c>
      <x:c r="AB1666" s="6" t="n">
        <x:v>11</x:v>
      </x:c>
      <x:c r="AC1666" s="6" t="n">
        <x:v>0</x:v>
      </x:c>
    </x:row>
    <x:row r="1667">
      <x:c r="A1667" s="6" t="n">
        <x:v>6437</x:v>
      </x:c>
      <x:c r="B1667" s="6" t="n">
        <x:v>1985</x:v>
      </x:c>
      <x:c r="C1667" s="6" t="str">
        <x:v>2n Cycle</x:v>
      </x:c>
      <x:c r="D1667" s="6" t="str">
        <x:v>Single</x:v>
      </x:c>
      <x:c r="E1667" s="6" t="n">
        <x:v>41473</x:v>
      </x:c>
      <x:c r="F1667" s="6" t="n">
        <x:v>1</x:v>
      </x:c>
      <x:c r="G1667" s="6" t="n">
        <x:v>0</x:v>
      </x:c>
      <x:c r="H1667" s="9" t="str">
        <x:v>19-06-2013</x:v>
      </x:c>
      <x:c r="I1667" s="6" t="n">
        <x:v>80</x:v>
      </x:c>
      <x:c r="J1667" s="6" t="n">
        <x:v>21</x:v>
      </x:c>
      <x:c r="K1667" s="6" t="n">
        <x:v>8</x:v>
      </x:c>
      <x:c r="L1667" s="6" t="n">
        <x:v>20</x:v>
      </x:c>
      <x:c r="M1667" s="6" t="n">
        <x:v>15</x:v>
      </x:c>
      <x:c r="N1667" s="6" t="n">
        <x:v>3</x:v>
      </x:c>
      <x:c r="O1667" s="6" t="n">
        <x:v>9</x:v>
      </x:c>
      <x:c r="P1667" s="6" t="n">
        <x:v>1</x:v>
      </x:c>
      <x:c r="Q1667" s="6" t="n">
        <x:v>2</x:v>
      </x:c>
      <x:c r="R1667" s="6" t="n">
        <x:v>0</x:v>
      </x:c>
      <x:c r="S1667" s="6" t="n">
        <x:v>3</x:v>
      </x:c>
      <x:c r="T1667" s="6" t="n">
        <x:v>7</x:v>
      </x:c>
      <x:c r="U1667" s="6" t="n">
        <x:v>0</x:v>
      </x:c>
      <x:c r="V1667" s="6" t="n">
        <x:v>0</x:v>
      </x:c>
      <x:c r="W1667" s="6" t="n">
        <x:v>0</x:v>
      </x:c>
      <x:c r="X1667" s="6" t="n">
        <x:v>0</x:v>
      </x:c>
      <x:c r="Y1667" s="6" t="n">
        <x:v>0</x:v>
      </x:c>
      <x:c r="Z1667" s="6" t="n">
        <x:v>0</x:v>
      </x:c>
      <x:c r="AA1667" s="6" t="n">
        <x:v>3</x:v>
      </x:c>
      <x:c r="AB1667" s="6" t="n">
        <x:v>11</x:v>
      </x:c>
      <x:c r="AC1667" s="6" t="n">
        <x:v>0</x:v>
      </x:c>
    </x:row>
    <x:row r="1668">
      <x:c r="A1668" s="6" t="n">
        <x:v>6912</x:v>
      </x:c>
      <x:c r="B1668" s="6" t="n">
        <x:v>1967</x:v>
      </x:c>
      <x:c r="C1668" s="6" t="str">
        <x:v>PhD</x:v>
      </x:c>
      <x:c r="D1668" s="6" t="str">
        <x:v>Married</x:v>
      </x:c>
      <x:c r="E1668" s="6" t="n">
        <x:v>63246</x:v>
      </x:c>
      <x:c r="F1668" s="6" t="n">
        <x:v>0</x:v>
      </x:c>
      <x:c r="G1668" s="6" t="n">
        <x:v>2</x:v>
      </x:c>
      <x:c r="H1668" s="9" t="str">
        <x:v>20-08-2013</x:v>
      </x:c>
      <x:c r="I1668" s="6" t="n">
        <x:v>60</x:v>
      </x:c>
      <x:c r="J1668" s="6" t="n">
        <x:v>593</x:v>
      </x:c>
      <x:c r="K1668" s="6" t="n">
        <x:v>30</x:v>
      </x:c>
      <x:c r="L1668" s="6" t="n">
        <x:v>91</x:v>
      </x:c>
      <x:c r="M1668" s="6" t="n">
        <x:v>29</x:v>
      </x:c>
      <x:c r="N1668" s="6" t="n">
        <x:v>22</x:v>
      </x:c>
      <x:c r="O1668" s="6" t="n">
        <x:v>7</x:v>
      </x:c>
      <x:c r="P1668" s="6" t="n">
        <x:v>1</x:v>
      </x:c>
      <x:c r="Q1668" s="6" t="n">
        <x:v>6</x:v>
      </x:c>
      <x:c r="R1668" s="6" t="n">
        <x:v>3</x:v>
      </x:c>
      <x:c r="S1668" s="6" t="n">
        <x:v>12</x:v>
      </x:c>
      <x:c r="T1668" s="6" t="n">
        <x:v>4</x:v>
      </x:c>
      <x:c r="U1668" s="6" t="n">
        <x:v>0</x:v>
      </x:c>
      <x:c r="V1668" s="6" t="n">
        <x:v>0</x:v>
      </x:c>
      <x:c r="W1668" s="6" t="n">
        <x:v>0</x:v>
      </x:c>
      <x:c r="X1668" s="6" t="n">
        <x:v>0</x:v>
      </x:c>
      <x:c r="Y1668" s="6" t="n">
        <x:v>0</x:v>
      </x:c>
      <x:c r="Z1668" s="6" t="n">
        <x:v>0</x:v>
      </x:c>
      <x:c r="AA1668" s="6" t="n">
        <x:v>3</x:v>
      </x:c>
      <x:c r="AB1668" s="6" t="n">
        <x:v>11</x:v>
      </x:c>
      <x:c r="AC1668" s="6" t="n">
        <x:v>0</x:v>
      </x:c>
    </x:row>
    <x:row r="1669">
      <x:c r="A1669" s="6" t="n">
        <x:v>7327</x:v>
      </x:c>
      <x:c r="B1669" s="6" t="n">
        <x:v>1959</x:v>
      </x:c>
      <x:c r="C1669" s="6" t="str">
        <x:v>PhD</x:v>
      </x:c>
      <x:c r="D1669" s="6" t="str">
        <x:v>Married</x:v>
      </x:c>
      <x:c r="E1669" s="6" t="n">
        <x:v>36732</x:v>
      </x:c>
      <x:c r="F1669" s="6" t="n">
        <x:v>1</x:v>
      </x:c>
      <x:c r="G1669" s="6" t="n">
        <x:v>1</x:v>
      </x:c>
      <x:c r="H1669" s="9" t="str">
        <x:v>29-12-2013</x:v>
      </x:c>
      <x:c r="I1669" s="6" t="n">
        <x:v>71</x:v>
      </x:c>
      <x:c r="J1669" s="6" t="n">
        <x:v>21</x:v>
      </x:c>
      <x:c r="K1669" s="6" t="n">
        <x:v>5</x:v>
      </x:c>
      <x:c r="L1669" s="6" t="n">
        <x:v>3</x:v>
      </x:c>
      <x:c r="M1669" s="6" t="n">
        <x:v>10</x:v>
      </x:c>
      <x:c r="N1669" s="6" t="n">
        <x:v>1</x:v>
      </x:c>
      <x:c r="O1669" s="6" t="n">
        <x:v>7</x:v>
      </x:c>
      <x:c r="P1669" s="6" t="n">
        <x:v>3</x:v>
      </x:c>
      <x:c r="Q1669" s="6" t="n">
        <x:v>1</x:v>
      </x:c>
      <x:c r="R1669" s="6" t="n">
        <x:v>1</x:v>
      </x:c>
      <x:c r="S1669" s="6" t="n">
        <x:v>4</x:v>
      </x:c>
      <x:c r="T1669" s="6" t="n">
        <x:v>2</x:v>
      </x:c>
      <x:c r="U1669" s="6" t="n">
        <x:v>0</x:v>
      </x:c>
      <x:c r="V1669" s="6" t="n">
        <x:v>0</x:v>
      </x:c>
      <x:c r="W1669" s="6" t="n">
        <x:v>0</x:v>
      </x:c>
      <x:c r="X1669" s="6" t="n">
        <x:v>0</x:v>
      </x:c>
      <x:c r="Y1669" s="6" t="n">
        <x:v>0</x:v>
      </x:c>
      <x:c r="Z1669" s="6" t="n">
        <x:v>0</x:v>
      </x:c>
      <x:c r="AA1669" s="6" t="n">
        <x:v>3</x:v>
      </x:c>
      <x:c r="AB1669" s="6" t="n">
        <x:v>11</x:v>
      </x:c>
      <x:c r="AC1669" s="6" t="n">
        <x:v>0</x:v>
      </x:c>
    </x:row>
    <x:row r="1670">
      <x:c r="A1670" s="6" t="n">
        <x:v>5299</x:v>
      </x:c>
      <x:c r="B1670" s="6" t="n">
        <x:v>1970</x:v>
      </x:c>
      <x:c r="C1670" s="6" t="str">
        <x:v>PhD</x:v>
      </x:c>
      <x:c r="D1670" s="6" t="str">
        <x:v>Married</x:v>
      </x:c>
      <x:c r="E1670" s="6" t="n">
        <x:v>69084</x:v>
      </x:c>
      <x:c r="F1670" s="6" t="n">
        <x:v>1</x:v>
      </x:c>
      <x:c r="G1670" s="6" t="n">
        <x:v>0</x:v>
      </x:c>
      <x:c r="H1670" s="9" t="str">
        <x:v>19-11-2013</x:v>
      </x:c>
      <x:c r="I1670" s="6" t="n">
        <x:v>43</x:v>
      </x:c>
      <x:c r="J1670" s="6" t="n">
        <x:v>1181</x:v>
      </x:c>
      <x:c r="K1670" s="6" t="n">
        <x:v>107</x:v>
      </x:c>
      <x:c r="L1670" s="6" t="n">
        <x:v>199</x:v>
      </x:c>
      <x:c r="M1670" s="6" t="n">
        <x:v>39</x:v>
      </x:c>
      <x:c r="N1670" s="6" t="n">
        <x:v>30</x:v>
      </x:c>
      <x:c r="O1670" s="6" t="n">
        <x:v>30</x:v>
      </x:c>
      <x:c r="P1670" s="6" t="n">
        <x:v>2</x:v>
      </x:c>
      <x:c r="Q1670" s="6" t="n">
        <x:v>7</x:v>
      </x:c>
      <x:c r="R1670" s="6" t="n">
        <x:v>3</x:v>
      </x:c>
      <x:c r="S1670" s="6" t="n">
        <x:v>13</x:v>
      </x:c>
      <x:c r="T1670" s="6" t="n">
        <x:v>8</x:v>
      </x:c>
      <x:c r="U1670" s="6" t="n">
        <x:v>0</x:v>
      </x:c>
      <x:c r="V1670" s="6" t="n">
        <x:v>0</x:v>
      </x:c>
      <x:c r="W1670" s="6" t="n">
        <x:v>0</x:v>
      </x:c>
      <x:c r="X1670" s="6" t="n">
        <x:v>0</x:v>
      </x:c>
      <x:c r="Y1670" s="6" t="n">
        <x:v>0</x:v>
      </x:c>
      <x:c r="Z1670" s="6" t="n">
        <x:v>0</x:v>
      </x:c>
      <x:c r="AA1670" s="6" t="n">
        <x:v>3</x:v>
      </x:c>
      <x:c r="AB1670" s="6" t="n">
        <x:v>11</x:v>
      </x:c>
      <x:c r="AC1670" s="6" t="n">
        <x:v>0</x:v>
      </x:c>
    </x:row>
    <x:row r="1671">
      <x:c r="A1671" s="6" t="n">
        <x:v>4127</x:v>
      </x:c>
      <x:c r="B1671" s="6" t="n">
        <x:v>1967</x:v>
      </x:c>
      <x:c r="C1671" s="6" t="str">
        <x:v>PhD</x:v>
      </x:c>
      <x:c r="D1671" s="6" t="str">
        <x:v>Married</x:v>
      </x:c>
      <x:c r="E1671" s="6" t="n">
        <x:v>77766</x:v>
      </x:c>
      <x:c r="F1671" s="6" t="n">
        <x:v>0</x:v>
      </x:c>
      <x:c r="G1671" s="6" t="n">
        <x:v>1</x:v>
      </x:c>
      <x:c r="H1671" s="9" t="str">
        <x:v>22-02-2013</x:v>
      </x:c>
      <x:c r="I1671" s="6" t="n">
        <x:v>97</x:v>
      </x:c>
      <x:c r="J1671" s="6" t="n">
        <x:v>1004</x:v>
      </x:c>
      <x:c r="K1671" s="6" t="n">
        <x:v>59</x:v>
      </x:c>
      <x:c r="L1671" s="6" t="n">
        <x:v>265</x:v>
      </x:c>
      <x:c r="M1671" s="6" t="n">
        <x:v>115</x:v>
      </x:c>
      <x:c r="N1671" s="6" t="n">
        <x:v>59</x:v>
      </x:c>
      <x:c r="O1671" s="6" t="n">
        <x:v>27</x:v>
      </x:c>
      <x:c r="P1671" s="6" t="n">
        <x:v>2</x:v>
      </x:c>
      <x:c r="Q1671" s="6" t="n">
        <x:v>11</x:v>
      </x:c>
      <x:c r="R1671" s="6" t="n">
        <x:v>10</x:v>
      </x:c>
      <x:c r="S1671" s="6" t="n">
        <x:v>11</x:v>
      </x:c>
      <x:c r="T1671" s="6" t="n">
        <x:v>6</x:v>
      </x:c>
      <x:c r="U1671" s="6" t="n">
        <x:v>1</x:v>
      </x:c>
      <x:c r="V1671" s="6" t="n">
        <x:v>0</x:v>
      </x:c>
      <x:c r="W1671" s="6" t="n">
        <x:v>0</x:v>
      </x:c>
      <x:c r="X1671" s="6" t="n">
        <x:v>0</x:v>
      </x:c>
      <x:c r="Y1671" s="6" t="n">
        <x:v>0</x:v>
      </x:c>
      <x:c r="Z1671" s="6" t="n">
        <x:v>0</x:v>
      </x:c>
      <x:c r="AA1671" s="6" t="n">
        <x:v>3</x:v>
      </x:c>
      <x:c r="AB1671" s="6" t="n">
        <x:v>11</x:v>
      </x:c>
      <x:c r="AC1671" s="6" t="n">
        <x:v>1</x:v>
      </x:c>
    </x:row>
    <x:row r="1672">
      <x:c r="A1672" s="6" t="n">
        <x:v>8143</x:v>
      </x:c>
      <x:c r="B1672" s="6" t="n">
        <x:v>1985</x:v>
      </x:c>
      <x:c r="C1672" s="6" t="str">
        <x:v>PhD</x:v>
      </x:c>
      <x:c r="D1672" s="6" t="str">
        <x:v>Single</x:v>
      </x:c>
      <x:c r="E1672" s="6" t="n">
        <x:v>37929</x:v>
      </x:c>
      <x:c r="F1672" s="6" t="n">
        <x:v>0</x:v>
      </x:c>
      <x:c r="G1672" s="6" t="n">
        <x:v>0</x:v>
      </x:c>
      <x:c r="H1672" s="9" t="str">
        <x:v>30-07-2013</x:v>
      </x:c>
      <x:c r="I1672" s="6" t="n">
        <x:v>49</x:v>
      </x:c>
      <x:c r="J1672" s="6" t="n">
        <x:v>202</x:v>
      </x:c>
      <x:c r="K1672" s="6" t="n">
        <x:v>2</x:v>
      </x:c>
      <x:c r="L1672" s="6" t="n">
        <x:v>46</x:v>
      </x:c>
      <x:c r="M1672" s="6" t="n">
        <x:v>3</x:v>
      </x:c>
      <x:c r="N1672" s="6" t="n">
        <x:v>2</x:v>
      </x:c>
      <x:c r="O1672" s="6" t="n">
        <x:v>10</x:v>
      </x:c>
      <x:c r="P1672" s="6" t="n">
        <x:v>2</x:v>
      </x:c>
      <x:c r="Q1672" s="6" t="n">
        <x:v>4</x:v>
      </x:c>
      <x:c r="R1672" s="6" t="n">
        <x:v>2</x:v>
      </x:c>
      <x:c r="S1672" s="6" t="n">
        <x:v>5</x:v>
      </x:c>
      <x:c r="T1672" s="6" t="n">
        <x:v>7</x:v>
      </x:c>
      <x:c r="U1672" s="6" t="n">
        <x:v>0</x:v>
      </x:c>
      <x:c r="V1672" s="6" t="n">
        <x:v>1</x:v>
      </x:c>
      <x:c r="W1672" s="6" t="n">
        <x:v>0</x:v>
      </x:c>
      <x:c r="X1672" s="6" t="n">
        <x:v>1</x:v>
      </x:c>
      <x:c r="Y1672" s="6" t="n">
        <x:v>0</x:v>
      </x:c>
      <x:c r="Z1672" s="6" t="n">
        <x:v>0</x:v>
      </x:c>
      <x:c r="AA1672" s="6" t="n">
        <x:v>3</x:v>
      </x:c>
      <x:c r="AB1672" s="6" t="n">
        <x:v>11</x:v>
      </x:c>
      <x:c r="AC1672" s="6" t="n">
        <x:v>1</x:v>
      </x:c>
    </x:row>
    <x:row r="1673">
      <x:c r="A1673" s="6" t="n">
        <x:v>1964</x:v>
      </x:c>
      <x:c r="B1673" s="6" t="n">
        <x:v>1951</x:v>
      </x:c>
      <x:c r="C1673" s="6" t="str">
        <x:v>Graduation</x:v>
      </x:c>
      <x:c r="D1673" s="6" t="str">
        <x:v>Together</x:v>
      </x:c>
      <x:c r="E1673" s="6" t="n">
        <x:v>86610</x:v>
      </x:c>
      <x:c r="F1673" s="6" t="n">
        <x:v>0</x:v>
      </x:c>
      <x:c r="G1673" s="6" t="n">
        <x:v>0</x:v>
      </x:c>
      <x:c r="H1673" s="9" t="str">
        <x:v>05-09-2013</x:v>
      </x:c>
      <x:c r="I1673" s="6" t="n">
        <x:v>66</x:v>
      </x:c>
      <x:c r="J1673" s="6" t="n">
        <x:v>446</x:v>
      </x:c>
      <x:c r="K1673" s="6" t="n">
        <x:v>107</x:v>
      </x:c>
      <x:c r="L1673" s="6" t="n">
        <x:v>768</x:v>
      </x:c>
      <x:c r="M1673" s="6" t="n">
        <x:v>33</x:v>
      </x:c>
      <x:c r="N1673" s="6" t="n">
        <x:v>196</x:v>
      </x:c>
      <x:c r="O1673" s="6" t="n">
        <x:v>53</x:v>
      </x:c>
      <x:c r="P1673" s="6" t="n">
        <x:v>1</x:v>
      </x:c>
      <x:c r="Q1673" s="6" t="n">
        <x:v>5</x:v>
      </x:c>
      <x:c r="R1673" s="6" t="n">
        <x:v>6</x:v>
      </x:c>
      <x:c r="S1673" s="6" t="n">
        <x:v>6</x:v>
      </x:c>
      <x:c r="T1673" s="6" t="n">
        <x:v>2</x:v>
      </x:c>
      <x:c r="U1673" s="6" t="n">
        <x:v>0</x:v>
      </x:c>
      <x:c r="V1673" s="6" t="n">
        <x:v>0</x:v>
      </x:c>
      <x:c r="W1673" s="6" t="n">
        <x:v>0</x:v>
      </x:c>
      <x:c r="X1673" s="6" t="n">
        <x:v>0</x:v>
      </x:c>
      <x:c r="Y1673" s="6" t="n">
        <x:v>0</x:v>
      </x:c>
      <x:c r="Z1673" s="6" t="n">
        <x:v>0</x:v>
      </x:c>
      <x:c r="AA1673" s="6" t="n">
        <x:v>3</x:v>
      </x:c>
      <x:c r="AB1673" s="6" t="n">
        <x:v>11</x:v>
      </x:c>
      <x:c r="AC1673" s="6" t="n">
        <x:v>0</x:v>
      </x:c>
    </x:row>
    <x:row r="1674">
      <x:c r="A1674" s="6" t="n">
        <x:v>3690</x:v>
      </x:c>
      <x:c r="B1674" s="6" t="n">
        <x:v>1986</x:v>
      </x:c>
      <x:c r="C1674" s="6" t="str">
        <x:v>Master</x:v>
      </x:c>
      <x:c r="D1674" s="6" t="str">
        <x:v>Married</x:v>
      </x:c>
      <x:c r="E1674" s="6" t="n">
        <x:v>80141</x:v>
      </x:c>
      <x:c r="F1674" s="6" t="n">
        <x:v>0</x:v>
      </x:c>
      <x:c r="G1674" s="6" t="n">
        <x:v>0</x:v>
      </x:c>
      <x:c r="H1674" s="9" t="str">
        <x:v>11-01-2013</x:v>
      </x:c>
      <x:c r="I1674" s="6" t="n">
        <x:v>20</x:v>
      </x:c>
      <x:c r="J1674" s="6" t="n">
        <x:v>1184</x:v>
      </x:c>
      <x:c r="K1674" s="6" t="n">
        <x:v>102</x:v>
      </x:c>
      <x:c r="L1674" s="6" t="n">
        <x:v>673</x:v>
      </x:c>
      <x:c r="M1674" s="6" t="n">
        <x:v>52</x:v>
      </x:c>
      <x:c r="N1674" s="6" t="n">
        <x:v>40</x:v>
      </x:c>
      <x:c r="O1674" s="6" t="n">
        <x:v>40</x:v>
      </x:c>
      <x:c r="P1674" s="6" t="n">
        <x:v>1</x:v>
      </x:c>
      <x:c r="Q1674" s="6" t="n">
        <x:v>7</x:v>
      </x:c>
      <x:c r="R1674" s="6" t="n">
        <x:v>4</x:v>
      </x:c>
      <x:c r="S1674" s="6" t="n">
        <x:v>10</x:v>
      </x:c>
      <x:c r="T1674" s="6" t="n">
        <x:v>6</x:v>
      </x:c>
      <x:c r="U1674" s="6" t="n">
        <x:v>0</x:v>
      </x:c>
      <x:c r="V1674" s="6" t="n">
        <x:v>0</x:v>
      </x:c>
      <x:c r="W1674" s="6" t="n">
        <x:v>1</x:v>
      </x:c>
      <x:c r="X1674" s="6" t="n">
        <x:v>0</x:v>
      </x:c>
      <x:c r="Y1674" s="6" t="n">
        <x:v>0</x:v>
      </x:c>
      <x:c r="Z1674" s="6" t="n">
        <x:v>0</x:v>
      </x:c>
      <x:c r="AA1674" s="6" t="n">
        <x:v>3</x:v>
      </x:c>
      <x:c r="AB1674" s="6" t="n">
        <x:v>11</x:v>
      </x:c>
      <x:c r="AC1674" s="6" t="n">
        <x:v>1</x:v>
      </x:c>
    </x:row>
    <x:row r="1675">
      <x:c r="A1675" s="6" t="n">
        <x:v>3433</x:v>
      </x:c>
      <x:c r="B1675" s="6" t="n">
        <x:v>1955</x:v>
      </x:c>
      <x:c r="C1675" s="6" t="str">
        <x:v>2n Cycle</x:v>
      </x:c>
      <x:c r="D1675" s="6" t="str">
        <x:v>Married</x:v>
      </x:c>
      <x:c r="E1675" s="6" t="n">
        <x:v>72635</x:v>
      </x:c>
      <x:c r="F1675" s="6" t="n">
        <x:v>0</x:v>
      </x:c>
      <x:c r="G1675" s="6" t="n">
        <x:v>0</x:v>
      </x:c>
      <x:c r="H1675" s="9" t="str">
        <x:v>03-06-2013</x:v>
      </x:c>
      <x:c r="I1675" s="6" t="n">
        <x:v>54</x:v>
      </x:c>
      <x:c r="J1675" s="6" t="n">
        <x:v>390</x:v>
      </x:c>
      <x:c r="K1675" s="6" t="n">
        <x:v>22</x:v>
      </x:c>
      <x:c r="L1675" s="6" t="n">
        <x:v>323</x:v>
      </x:c>
      <x:c r="M1675" s="6" t="n">
        <x:v>104</x:v>
      </x:c>
      <x:c r="N1675" s="6" t="n">
        <x:v>35</x:v>
      </x:c>
      <x:c r="O1675" s="6" t="n">
        <x:v>107</x:v>
      </x:c>
      <x:c r="P1675" s="6" t="n">
        <x:v>1</x:v>
      </x:c>
      <x:c r="Q1675" s="6" t="n">
        <x:v>6</x:v>
      </x:c>
      <x:c r="R1675" s="6" t="n">
        <x:v>8</x:v>
      </x:c>
      <x:c r="S1675" s="6" t="n">
        <x:v>6</x:v>
      </x:c>
      <x:c r="T1675" s="6" t="n">
        <x:v>3</x:v>
      </x:c>
      <x:c r="U1675" s="6" t="n">
        <x:v>0</x:v>
      </x:c>
      <x:c r="V1675" s="6" t="n">
        <x:v>0</x:v>
      </x:c>
      <x:c r="W1675" s="6" t="n">
        <x:v>0</x:v>
      </x:c>
      <x:c r="X1675" s="6" t="n">
        <x:v>1</x:v>
      </x:c>
      <x:c r="Y1675" s="6" t="n">
        <x:v>0</x:v>
      </x:c>
      <x:c r="Z1675" s="6" t="n">
        <x:v>0</x:v>
      </x:c>
      <x:c r="AA1675" s="6" t="n">
        <x:v>3</x:v>
      </x:c>
      <x:c r="AB1675" s="6" t="n">
        <x:v>11</x:v>
      </x:c>
      <x:c r="AC1675" s="6" t="n">
        <x:v>0</x:v>
      </x:c>
    </x:row>
    <x:row r="1676">
      <x:c r="A1676" s="6" t="n">
        <x:v>3389</x:v>
      </x:c>
      <x:c r="B1676" s="6" t="n">
        <x:v>1970</x:v>
      </x:c>
      <x:c r="C1676" s="6" t="str">
        <x:v>Graduation</x:v>
      </x:c>
      <x:c r="D1676" s="6" t="str">
        <x:v>Married</x:v>
      </x:c>
      <x:c r="E1676" s="6" t="n">
        <x:v>69016</x:v>
      </x:c>
      <x:c r="F1676" s="6" t="n">
        <x:v>0</x:v>
      </x:c>
      <x:c r="G1676" s="6" t="n">
        <x:v>1</x:v>
      </x:c>
      <x:c r="H1676" s="9" t="str">
        <x:v>22-11-2012</x:v>
      </x:c>
      <x:c r="I1676" s="6" t="n">
        <x:v>61</x:v>
      </x:c>
      <x:c r="J1676" s="6" t="n">
        <x:v>726</x:v>
      </x:c>
      <x:c r="K1676" s="6" t="n">
        <x:v>53</x:v>
      </x:c>
      <x:c r="L1676" s="6" t="n">
        <x:v>363</x:v>
      </x:c>
      <x:c r="M1676" s="6" t="n">
        <x:v>123</x:v>
      </x:c>
      <x:c r="N1676" s="6" t="n">
        <x:v>107</x:v>
      </x:c>
      <x:c r="O1676" s="6" t="n">
        <x:v>161</x:v>
      </x:c>
      <x:c r="P1676" s="6" t="n">
        <x:v>4</x:v>
      </x:c>
      <x:c r="Q1676" s="6" t="n">
        <x:v>8</x:v>
      </x:c>
      <x:c r="R1676" s="6" t="n">
        <x:v>9</x:v>
      </x:c>
      <x:c r="S1676" s="6" t="n">
        <x:v>13</x:v>
      </x:c>
      <x:c r="T1676" s="6" t="n">
        <x:v>5</x:v>
      </x:c>
      <x:c r="U1676" s="6" t="n">
        <x:v>0</x:v>
      </x:c>
      <x:c r="V1676" s="6" t="n">
        <x:v>0</x:v>
      </x:c>
      <x:c r="W1676" s="6" t="n">
        <x:v>0</x:v>
      </x:c>
      <x:c r="X1676" s="6" t="n">
        <x:v>0</x:v>
      </x:c>
      <x:c r="Y1676" s="6" t="n">
        <x:v>0</x:v>
      </x:c>
      <x:c r="Z1676" s="6" t="n">
        <x:v>0</x:v>
      </x:c>
      <x:c r="AA1676" s="6" t="n">
        <x:v>3</x:v>
      </x:c>
      <x:c r="AB1676" s="6" t="n">
        <x:v>11</x:v>
      </x:c>
      <x:c r="AC1676" s="6" t="n">
        <x:v>0</x:v>
      </x:c>
    </x:row>
    <x:row r="1677">
      <x:c r="A1677" s="6" t="n">
        <x:v>4712</x:v>
      </x:c>
      <x:c r="B1677" s="6" t="n">
        <x:v>1991</x:v>
      </x:c>
      <x:c r="C1677" s="6" t="str">
        <x:v>2n Cycle</x:v>
      </x:c>
      <x:c r="D1677" s="6" t="str">
        <x:v>Together</x:v>
      </x:c>
      <x:c r="E1677" s="6" t="n">
        <x:v>20193</x:v>
      </x:c>
      <x:c r="F1677" s="6" t="n">
        <x:v>0</x:v>
      </x:c>
      <x:c r="G1677" s="6" t="n">
        <x:v>0</x:v>
      </x:c>
      <x:c r="H1677" s="9" t="str">
        <x:v>28-11-2012</x:v>
      </x:c>
      <x:c r="I1677" s="6" t="n">
        <x:v>18</x:v>
      </x:c>
      <x:c r="J1677" s="6" t="n">
        <x:v>8</x:v>
      </x:c>
      <x:c r="K1677" s="6" t="n">
        <x:v>8</x:v>
      </x:c>
      <x:c r="L1677" s="6" t="n">
        <x:v>22</x:v>
      </x:c>
      <x:c r="M1677" s="6" t="n">
        <x:v>24</x:v>
      </x:c>
      <x:c r="N1677" s="6" t="n">
        <x:v>11</x:v>
      </x:c>
      <x:c r="O1677" s="6" t="n">
        <x:v>9</x:v>
      </x:c>
      <x:c r="P1677" s="6" t="n">
        <x:v>1</x:v>
      </x:c>
      <x:c r="Q1677" s="6" t="n">
        <x:v>1</x:v>
      </x:c>
      <x:c r="R1677" s="6" t="n">
        <x:v>1</x:v>
      </x:c>
      <x:c r="S1677" s="6" t="n">
        <x:v>4</x:v>
      </x:c>
      <x:c r="T1677" s="6" t="n">
        <x:v>4</x:v>
      </x:c>
      <x:c r="U1677" s="6" t="n">
        <x:v>0</x:v>
      </x:c>
      <x:c r="V1677" s="6" t="n">
        <x:v>0</x:v>
      </x:c>
      <x:c r="W1677" s="6" t="n">
        <x:v>0</x:v>
      </x:c>
      <x:c r="X1677" s="6" t="n">
        <x:v>0</x:v>
      </x:c>
      <x:c r="Y1677" s="6" t="n">
        <x:v>0</x:v>
      </x:c>
      <x:c r="Z1677" s="6" t="n">
        <x:v>0</x:v>
      </x:c>
      <x:c r="AA1677" s="6" t="n">
        <x:v>3</x:v>
      </x:c>
      <x:c r="AB1677" s="6" t="n">
        <x:v>11</x:v>
      </x:c>
      <x:c r="AC1677" s="6" t="n">
        <x:v>0</x:v>
      </x:c>
    </x:row>
    <x:row r="1678">
      <x:c r="A1678" s="6" t="n">
        <x:v>1170</x:v>
      </x:c>
      <x:c r="B1678" s="6" t="n">
        <x:v>1975</x:v>
      </x:c>
      <x:c r="C1678" s="6" t="str">
        <x:v>Graduation</x:v>
      </x:c>
      <x:c r="D1678" s="6" t="str">
        <x:v>Married</x:v>
      </x:c>
      <x:c r="E1678" s="6" t="n">
        <x:v>27573</x:v>
      </x:c>
      <x:c r="F1678" s="6" t="n">
        <x:v>1</x:v>
      </x:c>
      <x:c r="G1678" s="6" t="n">
        <x:v>0</x:v>
      </x:c>
      <x:c r="H1678" s="9" t="str">
        <x:v>25-03-2013</x:v>
      </x:c>
      <x:c r="I1678" s="6" t="n">
        <x:v>45</x:v>
      </x:c>
      <x:c r="J1678" s="6" t="n">
        <x:v>50</x:v>
      </x:c>
      <x:c r="K1678" s="6" t="n">
        <x:v>15</x:v>
      </x:c>
      <x:c r="L1678" s="6" t="n">
        <x:v>110</x:v>
      </x:c>
      <x:c r="M1678" s="6" t="n">
        <x:v>39</x:v>
      </x:c>
      <x:c r="N1678" s="6" t="n">
        <x:v>15</x:v>
      </x:c>
      <x:c r="O1678" s="6" t="n">
        <x:v>15</x:v>
      </x:c>
      <x:c r="P1678" s="6" t="n">
        <x:v>4</x:v>
      </x:c>
      <x:c r="Q1678" s="6" t="n">
        <x:v>5</x:v>
      </x:c>
      <x:c r="R1678" s="6" t="n">
        <x:v>1</x:v>
      </x:c>
      <x:c r="S1678" s="6" t="n">
        <x:v>4</x:v>
      </x:c>
      <x:c r="T1678" s="6" t="n">
        <x:v>8</x:v>
      </x:c>
      <x:c r="U1678" s="6" t="n">
        <x:v>0</x:v>
      </x:c>
      <x:c r="V1678" s="6" t="n">
        <x:v>0</x:v>
      </x:c>
      <x:c r="W1678" s="6" t="n">
        <x:v>0</x:v>
      </x:c>
      <x:c r="X1678" s="6" t="n">
        <x:v>0</x:v>
      </x:c>
      <x:c r="Y1678" s="6" t="n">
        <x:v>0</x:v>
      </x:c>
      <x:c r="Z1678" s="6" t="n">
        <x:v>0</x:v>
      </x:c>
      <x:c r="AA1678" s="6" t="n">
        <x:v>3</x:v>
      </x:c>
      <x:c r="AB1678" s="6" t="n">
        <x:v>11</x:v>
      </x:c>
      <x:c r="AC1678" s="6" t="n">
        <x:v>0</x:v>
      </x:c>
    </x:row>
    <x:row r="1679">
      <x:c r="A1679" s="6" t="n">
        <x:v>6347</x:v>
      </x:c>
      <x:c r="B1679" s="6" t="n">
        <x:v>1979</x:v>
      </x:c>
      <x:c r="C1679" s="6" t="str">
        <x:v>Basic</x:v>
      </x:c>
      <x:c r="D1679" s="6" t="str">
        <x:v>Single</x:v>
      </x:c>
      <x:c r="E1679" s="6" t="n">
        <x:v>15862</x:v>
      </x:c>
      <x:c r="F1679" s="6" t="n">
        <x:v>1</x:v>
      </x:c>
      <x:c r="G1679" s="6" t="n">
        <x:v>0</x:v>
      </x:c>
      <x:c r="H1679" s="9" t="str">
        <x:v>27-06-2013</x:v>
      </x:c>
      <x:c r="I1679" s="6" t="n">
        <x:v>26</x:v>
      </x:c>
      <x:c r="J1679" s="6" t="n">
        <x:v>1</x:v>
      </x:c>
      <x:c r="K1679" s="6" t="n">
        <x:v>1</x:v>
      </x:c>
      <x:c r="L1679" s="6" t="n">
        <x:v>4</x:v>
      </x:c>
      <x:c r="M1679" s="6" t="n">
        <x:v>11</x:v>
      </x:c>
      <x:c r="N1679" s="6" t="n">
        <x:v>9</x:v>
      </x:c>
      <x:c r="O1679" s="6" t="n">
        <x:v>10</x:v>
      </x:c>
      <x:c r="P1679" s="6" t="n">
        <x:v>1</x:v>
      </x:c>
      <x:c r="Q1679" s="6" t="n">
        <x:v>1</x:v>
      </x:c>
      <x:c r="R1679" s="6" t="n">
        <x:v>0</x:v>
      </x:c>
      <x:c r="S1679" s="6" t="n">
        <x:v>3</x:v>
      </x:c>
      <x:c r="T1679" s="6" t="n">
        <x:v>8</x:v>
      </x:c>
      <x:c r="U1679" s="6" t="n">
        <x:v>0</x:v>
      </x:c>
      <x:c r="V1679" s="6" t="n">
        <x:v>0</x:v>
      </x:c>
      <x:c r="W1679" s="6" t="n">
        <x:v>0</x:v>
      </x:c>
      <x:c r="X1679" s="6" t="n">
        <x:v>0</x:v>
      </x:c>
      <x:c r="Y1679" s="6" t="n">
        <x:v>0</x:v>
      </x:c>
      <x:c r="Z1679" s="6" t="n">
        <x:v>0</x:v>
      </x:c>
      <x:c r="AA1679" s="6" t="n">
        <x:v>3</x:v>
      </x:c>
      <x:c r="AB1679" s="6" t="n">
        <x:v>11</x:v>
      </x:c>
      <x:c r="AC1679" s="6" t="n">
        <x:v>0</x:v>
      </x:c>
    </x:row>
    <x:row r="1680">
      <x:c r="A1680" s="6" t="n">
        <x:v>4065</x:v>
      </x:c>
      <x:c r="B1680" s="6" t="n">
        <x:v>1976</x:v>
      </x:c>
      <x:c r="C1680" s="6" t="str">
        <x:v>PhD</x:v>
      </x:c>
      <x:c r="D1680" s="6" t="str">
        <x:v>Married</x:v>
      </x:c>
      <x:c r="E1680" s="6" t="n">
        <x:v>49544</x:v>
      </x:c>
      <x:c r="F1680" s="6" t="n">
        <x:v>1</x:v>
      </x:c>
      <x:c r="G1680" s="6" t="n">
        <x:v>0</x:v>
      </x:c>
      <x:c r="H1680" s="9" t="str">
        <x:v>12-02-2013</x:v>
      </x:c>
      <x:c r="I1680" s="6" t="n">
        <x:v>0</x:v>
      </x:c>
      <x:c r="J1680" s="6" t="n">
        <x:v>308</x:v>
      </x:c>
      <x:c r="K1680" s="6" t="n">
        <x:v>0</x:v>
      </x:c>
      <x:c r="L1680" s="6" t="n">
        <x:v>73</x:v>
      </x:c>
      <x:c r="M1680" s="6" t="n">
        <x:v>0</x:v>
      </x:c>
      <x:c r="N1680" s="6" t="n">
        <x:v>0</x:v>
      </x:c>
      <x:c r="O1680" s="6" t="n">
        <x:v>23</x:v>
      </x:c>
      <x:c r="P1680" s="6" t="n">
        <x:v>2</x:v>
      </x:c>
      <x:c r="Q1680" s="6" t="n">
        <x:v>5</x:v>
      </x:c>
      <x:c r="R1680" s="6" t="n">
        <x:v>1</x:v>
      </x:c>
      <x:c r="S1680" s="6" t="n">
        <x:v>8</x:v>
      </x:c>
      <x:c r="T1680" s="6" t="n">
        <x:v>7</x:v>
      </x:c>
      <x:c r="U1680" s="6" t="n">
        <x:v>0</x:v>
      </x:c>
      <x:c r="V1680" s="6" t="n">
        <x:v>0</x:v>
      </x:c>
      <x:c r="W1680" s="6" t="n">
        <x:v>0</x:v>
      </x:c>
      <x:c r="X1680" s="6" t="n">
        <x:v>0</x:v>
      </x:c>
      <x:c r="Y1680" s="6" t="n">
        <x:v>0</x:v>
      </x:c>
      <x:c r="Z1680" s="6" t="n">
        <x:v>0</x:v>
      </x:c>
      <x:c r="AA1680" s="6" t="n">
        <x:v>3</x:v>
      </x:c>
      <x:c r="AB1680" s="6" t="n">
        <x:v>11</x:v>
      </x:c>
      <x:c r="AC1680" s="6" t="n">
        <x:v>0</x:v>
      </x:c>
    </x:row>
    <x:row r="1681">
      <x:c r="A1681" s="6" t="n">
        <x:v>8230</x:v>
      </x:c>
      <x:c r="B1681" s="6" t="n">
        <x:v>1980</x:v>
      </x:c>
      <x:c r="C1681" s="6" t="str">
        <x:v>Graduation</x:v>
      </x:c>
      <x:c r="D1681" s="6" t="str">
        <x:v>Married</x:v>
      </x:c>
      <x:c r="E1681" s="6" t="n">
        <x:v>33228</x:v>
      </x:c>
      <x:c r="F1681" s="6" t="n">
        <x:v>1</x:v>
      </x:c>
      <x:c r="G1681" s="6" t="n">
        <x:v>0</x:v>
      </x:c>
      <x:c r="H1681" s="9" t="str">
        <x:v>23-01-2014</x:v>
      </x:c>
      <x:c r="I1681" s="6" t="n">
        <x:v>28</x:v>
      </x:c>
      <x:c r="J1681" s="6" t="n">
        <x:v>22</x:v>
      </x:c>
      <x:c r="K1681" s="6" t="n">
        <x:v>2</x:v>
      </x:c>
      <x:c r="L1681" s="6" t="n">
        <x:v>31</x:v>
      </x:c>
      <x:c r="M1681" s="6" t="n">
        <x:v>7</x:v>
      </x:c>
      <x:c r="N1681" s="6" t="n">
        <x:v>4</x:v>
      </x:c>
      <x:c r="O1681" s="6" t="n">
        <x:v>5</x:v>
      </x:c>
      <x:c r="P1681" s="6" t="n">
        <x:v>1</x:v>
      </x:c>
      <x:c r="Q1681" s="6" t="n">
        <x:v>2</x:v>
      </x:c>
      <x:c r="R1681" s="6" t="n">
        <x:v>0</x:v>
      </x:c>
      <x:c r="S1681" s="6" t="n">
        <x:v>3</x:v>
      </x:c>
      <x:c r="T1681" s="6" t="n">
        <x:v>7</x:v>
      </x:c>
      <x:c r="U1681" s="6" t="n">
        <x:v>0</x:v>
      </x:c>
      <x:c r="V1681" s="6" t="n">
        <x:v>0</x:v>
      </x:c>
      <x:c r="W1681" s="6" t="n">
        <x:v>0</x:v>
      </x:c>
      <x:c r="X1681" s="6" t="n">
        <x:v>0</x:v>
      </x:c>
      <x:c r="Y1681" s="6" t="n">
        <x:v>0</x:v>
      </x:c>
      <x:c r="Z1681" s="6" t="n">
        <x:v>0</x:v>
      </x:c>
      <x:c r="AA1681" s="6" t="n">
        <x:v>3</x:v>
      </x:c>
      <x:c r="AB1681" s="6" t="n">
        <x:v>11</x:v>
      </x:c>
      <x:c r="AC1681" s="6" t="n">
        <x:v>0</x:v>
      </x:c>
    </x:row>
    <x:row r="1682">
      <x:c r="A1682" s="6" t="n">
        <x:v>1215</x:v>
      </x:c>
      <x:c r="B1682" s="6" t="n">
        <x:v>1978</x:v>
      </x:c>
      <x:c r="C1682" s="6" t="str">
        <x:v>Graduation</x:v>
      </x:c>
      <x:c r="D1682" s="6" t="str">
        <x:v>Together</x:v>
      </x:c>
      <x:c r="E1682" s="6" t="n">
        <x:v>70440</x:v>
      </x:c>
      <x:c r="F1682" s="6" t="n">
        <x:v>0</x:v>
      </x:c>
      <x:c r="G1682" s="6" t="n">
        <x:v>0</x:v>
      </x:c>
      <x:c r="H1682" s="9" t="str">
        <x:v>08-10-2013</x:v>
      </x:c>
      <x:c r="I1682" s="6" t="n">
        <x:v>49</x:v>
      </x:c>
      <x:c r="J1682" s="6" t="n">
        <x:v>690</x:v>
      </x:c>
      <x:c r="K1682" s="6" t="n">
        <x:v>117</x:v>
      </x:c>
      <x:c r="L1682" s="6" t="n">
        <x:v>499</x:v>
      </x:c>
      <x:c r="M1682" s="6" t="n">
        <x:v>76</x:v>
      </x:c>
      <x:c r="N1682" s="6" t="n">
        <x:v>102</x:v>
      </x:c>
      <x:c r="O1682" s="6" t="n">
        <x:v>88</x:v>
      </x:c>
      <x:c r="P1682" s="6" t="n">
        <x:v>1</x:v>
      </x:c>
      <x:c r="Q1682" s="6" t="n">
        <x:v>5</x:v>
      </x:c>
      <x:c r="R1682" s="6" t="n">
        <x:v>10</x:v>
      </x:c>
      <x:c r="S1682" s="6" t="n">
        <x:v>7</x:v>
      </x:c>
      <x:c r="T1682" s="6" t="n">
        <x:v>3</x:v>
      </x:c>
      <x:c r="U1682" s="6" t="n">
        <x:v>0</x:v>
      </x:c>
      <x:c r="V1682" s="6" t="n">
        <x:v>0</x:v>
      </x:c>
      <x:c r="W1682" s="6" t="n">
        <x:v>0</x:v>
      </x:c>
      <x:c r="X1682" s="6" t="n">
        <x:v>1</x:v>
      </x:c>
      <x:c r="Y1682" s="6" t="n">
        <x:v>0</x:v>
      </x:c>
      <x:c r="Z1682" s="6" t="n">
        <x:v>0</x:v>
      </x:c>
      <x:c r="AA1682" s="6" t="n">
        <x:v>3</x:v>
      </x:c>
      <x:c r="AB1682" s="6" t="n">
        <x:v>11</x:v>
      </x:c>
      <x:c r="AC1682" s="6" t="n">
        <x:v>0</x:v>
      </x:c>
    </x:row>
    <x:row r="1683">
      <x:c r="A1683" s="6" t="n">
        <x:v>5939</x:v>
      </x:c>
      <x:c r="B1683" s="6" t="n">
        <x:v>1971</x:v>
      </x:c>
      <x:c r="C1683" s="6" t="str">
        <x:v>Graduation</x:v>
      </x:c>
      <x:c r="D1683" s="6" t="str">
        <x:v>Together</x:v>
      </x:c>
      <x:c r="E1683" s="6" t="n">
        <x:v>38232</x:v>
      </x:c>
      <x:c r="F1683" s="6" t="n">
        <x:v>1</x:v>
      </x:c>
      <x:c r="G1683" s="6" t="n">
        <x:v>1</x:v>
      </x:c>
      <x:c r="H1683" s="9" t="str">
        <x:v>17-01-2014</x:v>
      </x:c>
      <x:c r="I1683" s="6" t="n">
        <x:v>84</x:v>
      </x:c>
      <x:c r="J1683" s="6" t="n">
        <x:v>43</x:v>
      </x:c>
      <x:c r="K1683" s="6" t="n">
        <x:v>5</x:v>
      </x:c>
      <x:c r="L1683" s="6" t="n">
        <x:v>28</x:v>
      </x:c>
      <x:c r="M1683" s="6" t="n">
        <x:v>7</x:v>
      </x:c>
      <x:c r="N1683" s="6" t="n">
        <x:v>6</x:v>
      </x:c>
      <x:c r="O1683" s="6" t="n">
        <x:v>33</x:v>
      </x:c>
      <x:c r="P1683" s="6" t="n">
        <x:v>4</x:v>
      </x:c>
      <x:c r="Q1683" s="6" t="n">
        <x:v>3</x:v>
      </x:c>
      <x:c r="R1683" s="6" t="n">
        <x:v>1</x:v>
      </x:c>
      <x:c r="S1683" s="6" t="n">
        <x:v>3</x:v>
      </x:c>
      <x:c r="T1683" s="6" t="n">
        <x:v>5</x:v>
      </x:c>
      <x:c r="U1683" s="6" t="n">
        <x:v>0</x:v>
      </x:c>
      <x:c r="V1683" s="6" t="n">
        <x:v>0</x:v>
      </x:c>
      <x:c r="W1683" s="6" t="n">
        <x:v>0</x:v>
      </x:c>
      <x:c r="X1683" s="6" t="n">
        <x:v>0</x:v>
      </x:c>
      <x:c r="Y1683" s="6" t="n">
        <x:v>0</x:v>
      </x:c>
      <x:c r="Z1683" s="6" t="n">
        <x:v>0</x:v>
      </x:c>
      <x:c r="AA1683" s="6" t="n">
        <x:v>3</x:v>
      </x:c>
      <x:c r="AB1683" s="6" t="n">
        <x:v>11</x:v>
      </x:c>
      <x:c r="AC1683" s="6" t="n">
        <x:v>0</x:v>
      </x:c>
    </x:row>
    <x:row r="1684">
      <x:c r="A1684" s="6" t="n">
        <x:v>2156</x:v>
      </x:c>
      <x:c r="B1684" s="6" t="n">
        <x:v>1955</x:v>
      </x:c>
      <x:c r="C1684" s="6" t="str">
        <x:v>PhD</x:v>
      </x:c>
      <x:c r="D1684" s="6" t="str">
        <x:v>Married</x:v>
      </x:c>
      <x:c r="E1684" s="6" t="n">
        <x:v>22554</x:v>
      </x:c>
      <x:c r="F1684" s="6" t="n">
        <x:v>1</x:v>
      </x:c>
      <x:c r="G1684" s="6" t="n">
        <x:v>1</x:v>
      </x:c>
      <x:c r="H1684" s="9" t="str">
        <x:v>03-11-2012</x:v>
      </x:c>
      <x:c r="I1684" s="6" t="n">
        <x:v>38</x:v>
      </x:c>
      <x:c r="J1684" s="6" t="n">
        <x:v>27</x:v>
      </x:c>
      <x:c r="K1684" s="6" t="n">
        <x:v>0</x:v>
      </x:c>
      <x:c r="L1684" s="6" t="n">
        <x:v>10</x:v>
      </x:c>
      <x:c r="M1684" s="6" t="n">
        <x:v>0</x:v>
      </x:c>
      <x:c r="N1684" s="6" t="n">
        <x:v>0</x:v>
      </x:c>
      <x:c r="O1684" s="6" t="n">
        <x:v>4</x:v>
      </x:c>
      <x:c r="P1684" s="6" t="n">
        <x:v>4</x:v>
      </x:c>
      <x:c r="Q1684" s="6" t="n">
        <x:v>2</x:v>
      </x:c>
      <x:c r="R1684" s="6" t="n">
        <x:v>0</x:v>
      </x:c>
      <x:c r="S1684" s="6" t="n">
        <x:v>4</x:v>
      </x:c>
      <x:c r="T1684" s="6" t="n">
        <x:v>5</x:v>
      </x:c>
      <x:c r="U1684" s="6" t="n">
        <x:v>0</x:v>
      </x:c>
      <x:c r="V1684" s="6" t="n">
        <x:v>0</x:v>
      </x:c>
      <x:c r="W1684" s="6" t="n">
        <x:v>0</x:v>
      </x:c>
      <x:c r="X1684" s="6" t="n">
        <x:v>0</x:v>
      </x:c>
      <x:c r="Y1684" s="6" t="n">
        <x:v>0</x:v>
      </x:c>
      <x:c r="Z1684" s="6" t="n">
        <x:v>0</x:v>
      </x:c>
      <x:c r="AA1684" s="6" t="n">
        <x:v>3</x:v>
      </x:c>
      <x:c r="AB1684" s="6" t="n">
        <x:v>11</x:v>
      </x:c>
      <x:c r="AC1684" s="6" t="n">
        <x:v>0</x:v>
      </x:c>
    </x:row>
    <x:row r="1685">
      <x:c r="A1685" s="6" t="n">
        <x:v>7788</x:v>
      </x:c>
      <x:c r="B1685" s="6" t="n">
        <x:v>1983</x:v>
      </x:c>
      <x:c r="C1685" s="6" t="str">
        <x:v>PhD</x:v>
      </x:c>
      <x:c r="D1685" s="6" t="str">
        <x:v>Married</x:v>
      </x:c>
      <x:c r="E1685" s="6" t="n">
        <x:v>23536</x:v>
      </x:c>
      <x:c r="F1685" s="6" t="n">
        <x:v>1</x:v>
      </x:c>
      <x:c r="G1685" s="6" t="n">
        <x:v>0</x:v>
      </x:c>
      <x:c r="H1685" s="9" t="str">
        <x:v>04-06-2014</x:v>
      </x:c>
      <x:c r="I1685" s="6" t="n">
        <x:v>53</x:v>
      </x:c>
      <x:c r="J1685" s="6" t="n">
        <x:v>6</x:v>
      </x:c>
      <x:c r="K1685" s="6" t="n">
        <x:v>0</x:v>
      </x:c>
      <x:c r="L1685" s="6" t="n">
        <x:v>3</x:v>
      </x:c>
      <x:c r="M1685" s="6" t="n">
        <x:v>0</x:v>
      </x:c>
      <x:c r="N1685" s="6" t="n">
        <x:v>0</x:v>
      </x:c>
      <x:c r="O1685" s="6" t="n">
        <x:v>1</x:v>
      </x:c>
      <x:c r="P1685" s="6" t="n">
        <x:v>1</x:v>
      </x:c>
      <x:c r="Q1685" s="6" t="n">
        <x:v>0</x:v>
      </x:c>
      <x:c r="R1685" s="6" t="n">
        <x:v>0</x:v>
      </x:c>
      <x:c r="S1685" s="6" t="n">
        <x:v>3</x:v>
      </x:c>
      <x:c r="T1685" s="6" t="n">
        <x:v>3</x:v>
      </x:c>
      <x:c r="U1685" s="6" t="n">
        <x:v>0</x:v>
      </x:c>
      <x:c r="V1685" s="6" t="n">
        <x:v>0</x:v>
      </x:c>
      <x:c r="W1685" s="6" t="n">
        <x:v>0</x:v>
      </x:c>
      <x:c r="X1685" s="6" t="n">
        <x:v>0</x:v>
      </x:c>
      <x:c r="Y1685" s="6" t="n">
        <x:v>0</x:v>
      </x:c>
      <x:c r="Z1685" s="6" t="n">
        <x:v>0</x:v>
      </x:c>
      <x:c r="AA1685" s="6" t="n">
        <x:v>3</x:v>
      </x:c>
      <x:c r="AB1685" s="6" t="n">
        <x:v>11</x:v>
      </x:c>
      <x:c r="AC1685" s="6" t="n">
        <x:v>0</x:v>
      </x:c>
    </x:row>
    <x:row r="1686">
      <x:c r="A1686" s="6" t="n">
        <x:v>10323</x:v>
      </x:c>
      <x:c r="B1686" s="6" t="n">
        <x:v>1952</x:v>
      </x:c>
      <x:c r="C1686" s="6" t="str">
        <x:v>Graduation</x:v>
      </x:c>
      <x:c r="D1686" s="6" t="str">
        <x:v>Married</x:v>
      </x:c>
      <x:c r="E1686" s="6" t="n">
        <x:v>49413</x:v>
      </x:c>
      <x:c r="F1686" s="6" t="n">
        <x:v>0</x:v>
      </x:c>
      <x:c r="G1686" s="6" t="n">
        <x:v>1</x:v>
      </x:c>
      <x:c r="H1686" s="9" t="str">
        <x:v>25-10-2013</x:v>
      </x:c>
      <x:c r="I1686" s="6" t="n">
        <x:v>88</x:v>
      </x:c>
      <x:c r="J1686" s="6" t="n">
        <x:v>205</x:v>
      </x:c>
      <x:c r="K1686" s="6" t="n">
        <x:v>7</x:v>
      </x:c>
      <x:c r="L1686" s="6" t="n">
        <x:v>41</x:v>
      </x:c>
      <x:c r="M1686" s="6" t="n">
        <x:v>3</x:v>
      </x:c>
      <x:c r="N1686" s="6" t="n">
        <x:v>2</x:v>
      </x:c>
      <x:c r="O1686" s="6" t="n">
        <x:v>46</x:v>
      </x:c>
      <x:c r="P1686" s="6" t="n">
        <x:v>2</x:v>
      </x:c>
      <x:c r="Q1686" s="6" t="n">
        <x:v>4</x:v>
      </x:c>
      <x:c r="R1686" s="6" t="n">
        <x:v>2</x:v>
      </x:c>
      <x:c r="S1686" s="6" t="n">
        <x:v>5</x:v>
      </x:c>
      <x:c r="T1686" s="6" t="n">
        <x:v>5</x:v>
      </x:c>
      <x:c r="U1686" s="6" t="n">
        <x:v>0</x:v>
      </x:c>
      <x:c r="V1686" s="6" t="n">
        <x:v>0</x:v>
      </x:c>
      <x:c r="W1686" s="6" t="n">
        <x:v>0</x:v>
      </x:c>
      <x:c r="X1686" s="6" t="n">
        <x:v>0</x:v>
      </x:c>
      <x:c r="Y1686" s="6" t="n">
        <x:v>0</x:v>
      </x:c>
      <x:c r="Z1686" s="6" t="n">
        <x:v>0</x:v>
      </x:c>
      <x:c r="AA1686" s="6" t="n">
        <x:v>3</x:v>
      </x:c>
      <x:c r="AB1686" s="6" t="n">
        <x:v>11</x:v>
      </x:c>
      <x:c r="AC1686" s="6" t="n">
        <x:v>0</x:v>
      </x:c>
    </x:row>
    <x:row r="1687">
      <x:c r="A1687" s="6" t="n">
        <x:v>7947</x:v>
      </x:c>
      <x:c r="B1687" s="6" t="n">
        <x:v>1969</x:v>
      </x:c>
      <x:c r="C1687" s="6" t="str">
        <x:v>Graduation</x:v>
      </x:c>
      <x:c r="D1687" s="6" t="str">
        <x:v>Married</x:v>
      </x:c>
      <x:c r="E1687" s="6" t="n">
        <x:v>42231</x:v>
      </x:c>
      <x:c r="F1687" s="6" t="n">
        <x:v>1</x:v>
      </x:c>
      <x:c r="G1687" s="6" t="n">
        <x:v>1</x:v>
      </x:c>
      <x:c r="H1687" s="9" t="str">
        <x:v>25-03-2014</x:v>
      </x:c>
      <x:c r="I1687" s="6" t="n">
        <x:v>99</x:v>
      </x:c>
      <x:c r="J1687" s="6" t="n">
        <x:v>24</x:v>
      </x:c>
      <x:c r="K1687" s="6" t="n">
        <x:v>0</x:v>
      </x:c>
      <x:c r="L1687" s="6" t="n">
        <x:v>8</x:v>
      </x:c>
      <x:c r="M1687" s="6" t="n">
        <x:v>0</x:v>
      </x:c>
      <x:c r="N1687" s="6" t="n">
        <x:v>1</x:v>
      </x:c>
      <x:c r="O1687" s="6" t="n">
        <x:v>4</x:v>
      </x:c>
      <x:c r="P1687" s="6" t="n">
        <x:v>1</x:v>
      </x:c>
      <x:c r="Q1687" s="6" t="n">
        <x:v>1</x:v>
      </x:c>
      <x:c r="R1687" s="6" t="n">
        <x:v>0</x:v>
      </x:c>
      <x:c r="S1687" s="6" t="n">
        <x:v>3</x:v>
      </x:c>
      <x:c r="T1687" s="6" t="n">
        <x:v>5</x:v>
      </x:c>
      <x:c r="U1687" s="6" t="n">
        <x:v>0</x:v>
      </x:c>
      <x:c r="V1687" s="6" t="n">
        <x:v>0</x:v>
      </x:c>
      <x:c r="W1687" s="6" t="n">
        <x:v>0</x:v>
      </x:c>
      <x:c r="X1687" s="6" t="n">
        <x:v>0</x:v>
      </x:c>
      <x:c r="Y1687" s="6" t="n">
        <x:v>0</x:v>
      </x:c>
      <x:c r="Z1687" s="6" t="n">
        <x:v>0</x:v>
      </x:c>
      <x:c r="AA1687" s="6" t="n">
        <x:v>3</x:v>
      </x:c>
      <x:c r="AB1687" s="6" t="n">
        <x:v>11</x:v>
      </x:c>
      <x:c r="AC1687" s="6" t="n">
        <x:v>0</x:v>
      </x:c>
    </x:row>
    <x:row r="1688">
      <x:c r="A1688" s="6" t="n">
        <x:v>1891</x:v>
      </x:c>
      <x:c r="B1688" s="6" t="n">
        <x:v>1980</x:v>
      </x:c>
      <x:c r="C1688" s="6" t="str">
        <x:v>Master</x:v>
      </x:c>
      <x:c r="D1688" s="6" t="str">
        <x:v>Divorced</x:v>
      </x:c>
      <x:c r="E1688" s="6" t="n">
        <x:v>78789</x:v>
      </x:c>
      <x:c r="F1688" s="6" t="n">
        <x:v>0</x:v>
      </x:c>
      <x:c r="G1688" s="6" t="n">
        <x:v>0</x:v>
      </x:c>
      <x:c r="H1688" s="9" t="str">
        <x:v>08-08-2012</x:v>
      </x:c>
      <x:c r="I1688" s="6" t="n">
        <x:v>12</x:v>
      </x:c>
      <x:c r="J1688" s="6" t="n">
        <x:v>667</x:v>
      </x:c>
      <x:c r="K1688" s="6" t="n">
        <x:v>50</x:v>
      </x:c>
      <x:c r="L1688" s="6" t="n">
        <x:v>850</x:v>
      </x:c>
      <x:c r="M1688" s="6" t="n">
        <x:v>21</x:v>
      </x:c>
      <x:c r="N1688" s="6" t="n">
        <x:v>83</x:v>
      </x:c>
      <x:c r="O1688" s="6" t="n">
        <x:v>83</x:v>
      </x:c>
      <x:c r="P1688" s="6" t="n">
        <x:v>1</x:v>
      </x:c>
      <x:c r="Q1688" s="6" t="n">
        <x:v>4</x:v>
      </x:c>
      <x:c r="R1688" s="6" t="n">
        <x:v>6</x:v>
      </x:c>
      <x:c r="S1688" s="6" t="n">
        <x:v>5</x:v>
      </x:c>
      <x:c r="T1688" s="6" t="n">
        <x:v>2</x:v>
      </x:c>
      <x:c r="U1688" s="6" t="n">
        <x:v>0</x:v>
      </x:c>
      <x:c r="V1688" s="6" t="n">
        <x:v>0</x:v>
      </x:c>
      <x:c r="W1688" s="6" t="n">
        <x:v>0</x:v>
      </x:c>
      <x:c r="X1688" s="6" t="n">
        <x:v>0</x:v>
      </x:c>
      <x:c r="Y1688" s="6" t="n">
        <x:v>0</x:v>
      </x:c>
      <x:c r="Z1688" s="6" t="n">
        <x:v>0</x:v>
      </x:c>
      <x:c r="AA1688" s="6" t="n">
        <x:v>3</x:v>
      </x:c>
      <x:c r="AB1688" s="6" t="n">
        <x:v>11</x:v>
      </x:c>
      <x:c r="AC1688" s="6" t="n">
        <x:v>1</x:v>
      </x:c>
    </x:row>
    <x:row r="1689">
      <x:c r="A1689" s="6" t="n">
        <x:v>2570</x:v>
      </x:c>
      <x:c r="B1689" s="6" t="n">
        <x:v>1968</x:v>
      </x:c>
      <x:c r="C1689" s="6" t="str">
        <x:v>Graduation</x:v>
      </x:c>
      <x:c r="D1689" s="6" t="str">
        <x:v>Together</x:v>
      </x:c>
      <x:c r="E1689" s="6" t="n">
        <x:v>56534</x:v>
      </x:c>
      <x:c r="F1689" s="6" t="n">
        <x:v>0</x:v>
      </x:c>
      <x:c r="G1689" s="6" t="n">
        <x:v>1</x:v>
      </x:c>
      <x:c r="H1689" s="9" t="str">
        <x:v>23-07-2013</x:v>
      </x:c>
      <x:c r="I1689" s="6" t="n">
        <x:v>35</x:v>
      </x:c>
      <x:c r="J1689" s="6" t="n">
        <x:v>691</x:v>
      </x:c>
      <x:c r="K1689" s="6" t="n">
        <x:v>7</x:v>
      </x:c>
      <x:c r="L1689" s="6" t="n">
        <x:v>61</x:v>
      </x:c>
      <x:c r="M1689" s="6" t="n">
        <x:v>10</x:v>
      </x:c>
      <x:c r="N1689" s="6" t="n">
        <x:v>0</x:v>
      </x:c>
      <x:c r="O1689" s="6" t="n">
        <x:v>46</x:v>
      </x:c>
      <x:c r="P1689" s="6" t="n">
        <x:v>4</x:v>
      </x:c>
      <x:c r="Q1689" s="6" t="n">
        <x:v>10</x:v>
      </x:c>
      <x:c r="R1689" s="6" t="n">
        <x:v>4</x:v>
      </x:c>
      <x:c r="S1689" s="6" t="n">
        <x:v>7</x:v>
      </x:c>
      <x:c r="T1689" s="6" t="n">
        <x:v>8</x:v>
      </x:c>
      <x:c r="U1689" s="6" t="n">
        <x:v>0</x:v>
      </x:c>
      <x:c r="V1689" s="6" t="n">
        <x:v>1</x:v>
      </x:c>
      <x:c r="W1689" s="6" t="n">
        <x:v>0</x:v>
      </x:c>
      <x:c r="X1689" s="6" t="n">
        <x:v>0</x:v>
      </x:c>
      <x:c r="Y1689" s="6" t="n">
        <x:v>1</x:v>
      </x:c>
      <x:c r="Z1689" s="6" t="n">
        <x:v>0</x:v>
      </x:c>
      <x:c r="AA1689" s="6" t="n">
        <x:v>3</x:v>
      </x:c>
      <x:c r="AB1689" s="6" t="n">
        <x:v>11</x:v>
      </x:c>
      <x:c r="AC1689" s="6" t="n">
        <x:v>1</x:v>
      </x:c>
    </x:row>
    <x:row r="1690">
      <x:c r="A1690" s="6" t="n">
        <x:v>9256</x:v>
      </x:c>
      <x:c r="B1690" s="6" t="n">
        <x:v>1971</x:v>
      </x:c>
      <x:c r="C1690" s="6" t="str">
        <x:v>Graduation</x:v>
      </x:c>
      <x:c r="D1690" s="6" t="str">
        <x:v>Single</x:v>
      </x:c>
      <x:c r="E1690" s="6" t="n">
        <x:v>58350</x:v>
      </x:c>
      <x:c r="F1690" s="6" t="n">
        <x:v>0</x:v>
      </x:c>
      <x:c r="G1690" s="6" t="n">
        <x:v>1</x:v>
      </x:c>
      <x:c r="H1690" s="9" t="str">
        <x:v>04-01-2013</x:v>
      </x:c>
      <x:c r="I1690" s="6" t="n">
        <x:v>5</x:v>
      </x:c>
      <x:c r="J1690" s="6" t="n">
        <x:v>493</x:v>
      </x:c>
      <x:c r="K1690" s="6" t="n">
        <x:v>26</x:v>
      </x:c>
      <x:c r="L1690" s="6" t="n">
        <x:v>206</x:v>
      </x:c>
      <x:c r="M1690" s="6" t="n">
        <x:v>116</x:v>
      </x:c>
      <x:c r="N1690" s="6" t="n">
        <x:v>80</x:v>
      </x:c>
      <x:c r="O1690" s="6" t="n">
        <x:v>80</x:v>
      </x:c>
      <x:c r="P1690" s="6" t="n">
        <x:v>4</x:v>
      </x:c>
      <x:c r="Q1690" s="6" t="n">
        <x:v>8</x:v>
      </x:c>
      <x:c r="R1690" s="6" t="n">
        <x:v>3</x:v>
      </x:c>
      <x:c r="S1690" s="6" t="n">
        <x:v>12</x:v>
      </x:c>
      <x:c r="T1690" s="6" t="n">
        <x:v>6</x:v>
      </x:c>
      <x:c r="U1690" s="6" t="n">
        <x:v>0</x:v>
      </x:c>
      <x:c r="V1690" s="6" t="n">
        <x:v>0</x:v>
      </x:c>
      <x:c r="W1690" s="6" t="n">
        <x:v>0</x:v>
      </x:c>
      <x:c r="X1690" s="6" t="n">
        <x:v>0</x:v>
      </x:c>
      <x:c r="Y1690" s="6" t="n">
        <x:v>0</x:v>
      </x:c>
      <x:c r="Z1690" s="6" t="n">
        <x:v>0</x:v>
      </x:c>
      <x:c r="AA1690" s="6" t="n">
        <x:v>3</x:v>
      </x:c>
      <x:c r="AB1690" s="6" t="n">
        <x:v>11</x:v>
      </x:c>
      <x:c r="AC1690" s="6" t="n">
        <x:v>0</x:v>
      </x:c>
    </x:row>
    <x:row r="1691">
      <x:c r="A1691" s="6" t="n">
        <x:v>295</x:v>
      </x:c>
      <x:c r="B1691" s="6" t="n">
        <x:v>1989</x:v>
      </x:c>
      <x:c r="C1691" s="6" t="str">
        <x:v>Graduation</x:v>
      </x:c>
      <x:c r="D1691" s="6" t="str">
        <x:v>Single</x:v>
      </x:c>
      <x:c r="E1691" s="6" t="n">
        <x:v>81217</x:v>
      </x:c>
      <x:c r="F1691" s="6" t="n">
        <x:v>0</x:v>
      </x:c>
      <x:c r="G1691" s="6" t="n">
        <x:v>0</x:v>
      </x:c>
      <x:c r="H1691" s="9" t="str">
        <x:v>19-07-2013</x:v>
      </x:c>
      <x:c r="I1691" s="6" t="n">
        <x:v>77</x:v>
      </x:c>
      <x:c r="J1691" s="6" t="n">
        <x:v>493</x:v>
      </x:c>
      <x:c r="K1691" s="6" t="n">
        <x:v>70</x:v>
      </x:c>
      <x:c r="L1691" s="6" t="n">
        <x:v>324</x:v>
      </x:c>
      <x:c r="M1691" s="6" t="n">
        <x:v>146</x:v>
      </x:c>
      <x:c r="N1691" s="6" t="n">
        <x:v>40</x:v>
      </x:c>
      <x:c r="O1691" s="6" t="n">
        <x:v>84</x:v>
      </x:c>
      <x:c r="P1691" s="6" t="n">
        <x:v>1</x:v>
      </x:c>
      <x:c r="Q1691" s="6" t="n">
        <x:v>3</x:v>
      </x:c>
      <x:c r="R1691" s="6" t="n">
        <x:v>7</x:v>
      </x:c>
      <x:c r="S1691" s="6" t="n">
        <x:v>11</x:v>
      </x:c>
      <x:c r="T1691" s="6" t="n">
        <x:v>1</x:v>
      </x:c>
      <x:c r="U1691" s="6" t="n">
        <x:v>0</x:v>
      </x:c>
      <x:c r="V1691" s="6" t="n">
        <x:v>0</x:v>
      </x:c>
      <x:c r="W1691" s="6" t="n">
        <x:v>0</x:v>
      </x:c>
      <x:c r="X1691" s="6" t="n">
        <x:v>0</x:v>
      </x:c>
      <x:c r="Y1691" s="6" t="n">
        <x:v>0</x:v>
      </x:c>
      <x:c r="Z1691" s="6" t="n">
        <x:v>0</x:v>
      </x:c>
      <x:c r="AA1691" s="6" t="n">
        <x:v>3</x:v>
      </x:c>
      <x:c r="AB1691" s="6" t="n">
        <x:v>11</x:v>
      </x:c>
      <x:c r="AC1691" s="6" t="n">
        <x:v>0</x:v>
      </x:c>
    </x:row>
    <x:row r="1692">
      <x:c r="A1692" s="6" t="n">
        <x:v>7397</x:v>
      </x:c>
      <x:c r="B1692" s="6" t="n">
        <x:v>1951</x:v>
      </x:c>
      <x:c r="C1692" s="6" t="str">
        <x:v>Graduation</x:v>
      </x:c>
      <x:c r="D1692" s="6" t="str">
        <x:v>Single</x:v>
      </x:c>
      <x:c r="E1692" s="6" t="n">
        <x:v>49090</x:v>
      </x:c>
      <x:c r="F1692" s="6" t="n">
        <x:v>0</x:v>
      </x:c>
      <x:c r="G1692" s="6" t="n">
        <x:v>1</x:v>
      </x:c>
      <x:c r="H1692" s="9" t="str">
        <x:v>19-07-2013</x:v>
      </x:c>
      <x:c r="I1692" s="6" t="n">
        <x:v>45</x:v>
      </x:c>
      <x:c r="J1692" s="6" t="n">
        <x:v>494</x:v>
      </x:c>
      <x:c r="K1692" s="6" t="n">
        <x:v>5</x:v>
      </x:c>
      <x:c r="L1692" s="6" t="n">
        <x:v>82</x:v>
      </x:c>
      <x:c r="M1692" s="6" t="n">
        <x:v>7</x:v>
      </x:c>
      <x:c r="N1692" s="6" t="n">
        <x:v>0</x:v>
      </x:c>
      <x:c r="O1692" s="6" t="n">
        <x:v>100</x:v>
      </x:c>
      <x:c r="P1692" s="6" t="n">
        <x:v>3</x:v>
      </x:c>
      <x:c r="Q1692" s="6" t="n">
        <x:v>7</x:v>
      </x:c>
      <x:c r="R1692" s="6" t="n">
        <x:v>2</x:v>
      </x:c>
      <x:c r="S1692" s="6" t="n">
        <x:v>9</x:v>
      </x:c>
      <x:c r="T1692" s="6" t="n">
        <x:v>7</x:v>
      </x:c>
      <x:c r="U1692" s="6" t="n">
        <x:v>0</x:v>
      </x:c>
      <x:c r="V1692" s="6" t="n">
        <x:v>0</x:v>
      </x:c>
      <x:c r="W1692" s="6" t="n">
        <x:v>0</x:v>
      </x:c>
      <x:c r="X1692" s="6" t="n">
        <x:v>0</x:v>
      </x:c>
      <x:c r="Y1692" s="6" t="n">
        <x:v>0</x:v>
      </x:c>
      <x:c r="Z1692" s="6" t="n">
        <x:v>0</x:v>
      </x:c>
      <x:c r="AA1692" s="6" t="n">
        <x:v>3</x:v>
      </x:c>
      <x:c r="AB1692" s="6" t="n">
        <x:v>11</x:v>
      </x:c>
      <x:c r="AC1692" s="6" t="n">
        <x:v>0</x:v>
      </x:c>
    </x:row>
    <x:row r="1693">
      <x:c r="A1693" s="6" t="n">
        <x:v>6349</x:v>
      </x:c>
      <x:c r="B1693" s="6" t="n">
        <x:v>1987</x:v>
      </x:c>
      <x:c r="C1693" s="6" t="str">
        <x:v>Master</x:v>
      </x:c>
      <x:c r="D1693" s="6" t="str">
        <x:v>Divorced</x:v>
      </x:c>
      <x:c r="E1693" s="6" t="n">
        <x:v>61787</x:v>
      </x:c>
      <x:c r="F1693" s="6" t="n">
        <x:v>0</x:v>
      </x:c>
      <x:c r="G1693" s="6" t="n">
        <x:v>0</x:v>
      </x:c>
      <x:c r="H1693" s="9" t="str">
        <x:v>06-07-2013</x:v>
      </x:c>
      <x:c r="I1693" s="6" t="n">
        <x:v>71</x:v>
      </x:c>
      <x:c r="J1693" s="6" t="n">
        <x:v>621</x:v>
      </x:c>
      <x:c r="K1693" s="6" t="n">
        <x:v>73</x:v>
      </x:c>
      <x:c r="L1693" s="6" t="n">
        <x:v>414</x:v>
      </x:c>
      <x:c r="M1693" s="6" t="n">
        <x:v>78</x:v>
      </x:c>
      <x:c r="N1693" s="6" t="n">
        <x:v>48</x:v>
      </x:c>
      <x:c r="O1693" s="6" t="n">
        <x:v>85</x:v>
      </x:c>
      <x:c r="P1693" s="6" t="n">
        <x:v>1</x:v>
      </x:c>
      <x:c r="Q1693" s="6" t="n">
        <x:v>8</x:v>
      </x:c>
      <x:c r="R1693" s="6" t="n">
        <x:v>4</x:v>
      </x:c>
      <x:c r="S1693" s="6" t="n">
        <x:v>6</x:v>
      </x:c>
      <x:c r="T1693" s="6" t="n">
        <x:v>5</x:v>
      </x:c>
      <x:c r="U1693" s="6" t="n">
        <x:v>0</x:v>
      </x:c>
      <x:c r="V1693" s="6" t="n">
        <x:v>0</x:v>
      </x:c>
      <x:c r="W1693" s="6" t="n">
        <x:v>0</x:v>
      </x:c>
      <x:c r="X1693" s="6" t="n">
        <x:v>0</x:v>
      </x:c>
      <x:c r="Y1693" s="6" t="n">
        <x:v>0</x:v>
      </x:c>
      <x:c r="Z1693" s="6" t="n">
        <x:v>0</x:v>
      </x:c>
      <x:c r="AA1693" s="6" t="n">
        <x:v>3</x:v>
      </x:c>
      <x:c r="AB1693" s="6" t="n">
        <x:v>11</x:v>
      </x:c>
      <x:c r="AC1693" s="6" t="n">
        <x:v>0</x:v>
      </x:c>
    </x:row>
    <x:row r="1694">
      <x:c r="A1694" s="6" t="n">
        <x:v>10790</x:v>
      </x:c>
      <x:c r="B1694" s="6" t="n">
        <x:v>1985</x:v>
      </x:c>
      <x:c r="C1694" s="6" t="str">
        <x:v>PhD</x:v>
      </x:c>
      <x:c r="D1694" s="6" t="str">
        <x:v>Married</x:v>
      </x:c>
      <x:c r="E1694" s="6" t="n">
        <x:v>18169</x:v>
      </x:c>
      <x:c r="F1694" s="6" t="n">
        <x:v>1</x:v>
      </x:c>
      <x:c r="G1694" s="6" t="n">
        <x:v>0</x:v>
      </x:c>
      <x:c r="H1694" s="9" t="str">
        <x:v>19-02-2013</x:v>
      </x:c>
      <x:c r="I1694" s="6" t="n">
        <x:v>40</x:v>
      </x:c>
      <x:c r="J1694" s="6" t="n">
        <x:v>9</x:v>
      </x:c>
      <x:c r="K1694" s="6" t="n">
        <x:v>0</x:v>
      </x:c>
      <x:c r="L1694" s="6" t="n">
        <x:v>5</x:v>
      </x:c>
      <x:c r="M1694" s="6" t="n">
        <x:v>0</x:v>
      </x:c>
      <x:c r="N1694" s="6" t="n">
        <x:v>0</x:v>
      </x:c>
      <x:c r="O1694" s="6" t="n">
        <x:v>7</x:v>
      </x:c>
      <x:c r="P1694" s="6" t="n">
        <x:v>1</x:v>
      </x:c>
      <x:c r="Q1694" s="6" t="n">
        <x:v>1</x:v>
      </x:c>
      <x:c r="R1694" s="6" t="n">
        <x:v>0</x:v>
      </x:c>
      <x:c r="S1694" s="6" t="n">
        <x:v>2</x:v>
      </x:c>
      <x:c r="T1694" s="6" t="n">
        <x:v>8</x:v>
      </x:c>
      <x:c r="U1694" s="6" t="n">
        <x:v>0</x:v>
      </x:c>
      <x:c r="V1694" s="6" t="n">
        <x:v>0</x:v>
      </x:c>
      <x:c r="W1694" s="6" t="n">
        <x:v>0</x:v>
      </x:c>
      <x:c r="X1694" s="6" t="n">
        <x:v>0</x:v>
      </x:c>
      <x:c r="Y1694" s="6" t="n">
        <x:v>0</x:v>
      </x:c>
      <x:c r="Z1694" s="6" t="n">
        <x:v>0</x:v>
      </x:c>
      <x:c r="AA1694" s="6" t="n">
        <x:v>3</x:v>
      </x:c>
      <x:c r="AB1694" s="6" t="n">
        <x:v>11</x:v>
      </x:c>
      <x:c r="AC1694" s="6" t="n">
        <x:v>0</x:v>
      </x:c>
    </x:row>
    <x:row r="1695">
      <x:c r="A1695" s="6" t="n">
        <x:v>10398</x:v>
      </x:c>
      <x:c r="B1695" s="6" t="n">
        <x:v>1981</x:v>
      </x:c>
      <x:c r="C1695" s="6" t="str">
        <x:v>2n Cycle</x:v>
      </x:c>
      <x:c r="D1695" s="6" t="str">
        <x:v>Single</x:v>
      </x:c>
      <x:c r="E1695" s="6" t="n">
        <x:v>24336</x:v>
      </x:c>
      <x:c r="F1695" s="6" t="n">
        <x:v>1</x:v>
      </x:c>
      <x:c r="G1695" s="6" t="n">
        <x:v>0</x:v>
      </x:c>
      <x:c r="H1695" s="9" t="str">
        <x:v>27-08-2012</x:v>
      </x:c>
      <x:c r="I1695" s="6" t="n">
        <x:v>82</x:v>
      </x:c>
      <x:c r="J1695" s="6" t="n">
        <x:v>1</x:v>
      </x:c>
      <x:c r="K1695" s="6" t="n">
        <x:v>6</x:v>
      </x:c>
      <x:c r="L1695" s="6" t="n">
        <x:v>2</x:v>
      </x:c>
      <x:c r="M1695" s="6" t="n">
        <x:v>8</x:v>
      </x:c>
      <x:c r="N1695" s="6" t="n">
        <x:v>2</x:v>
      </x:c>
      <x:c r="O1695" s="6" t="n">
        <x:v>12</x:v>
      </x:c>
      <x:c r="P1695" s="6" t="n">
        <x:v>1</x:v>
      </x:c>
      <x:c r="Q1695" s="6" t="n">
        <x:v>1</x:v>
      </x:c>
      <x:c r="R1695" s="6" t="n">
        <x:v>0</x:v>
      </x:c>
      <x:c r="S1695" s="6" t="n">
        <x:v>2</x:v>
      </x:c>
      <x:c r="T1695" s="6" t="n">
        <x:v>7</x:v>
      </x:c>
      <x:c r="U1695" s="6" t="n">
        <x:v>0</x:v>
      </x:c>
      <x:c r="V1695" s="6" t="n">
        <x:v>0</x:v>
      </x:c>
      <x:c r="W1695" s="6" t="n">
        <x:v>0</x:v>
      </x:c>
      <x:c r="X1695" s="6" t="n">
        <x:v>0</x:v>
      </x:c>
      <x:c r="Y1695" s="6" t="n">
        <x:v>0</x:v>
      </x:c>
      <x:c r="Z1695" s="6" t="n">
        <x:v>0</x:v>
      </x:c>
      <x:c r="AA1695" s="6" t="n">
        <x:v>3</x:v>
      </x:c>
      <x:c r="AB1695" s="6" t="n">
        <x:v>11</x:v>
      </x:c>
      <x:c r="AC1695" s="6" t="n">
        <x:v>0</x:v>
      </x:c>
    </x:row>
    <x:row r="1696">
      <x:c r="A1696" s="6" t="n">
        <x:v>2431</x:v>
      </x:c>
      <x:c r="B1696" s="6" t="n">
        <x:v>1990</x:v>
      </x:c>
      <x:c r="C1696" s="6" t="str">
        <x:v>Graduation</x:v>
      </x:c>
      <x:c r="D1696" s="6" t="str">
        <x:v>Married</x:v>
      </x:c>
      <x:c r="E1696" s="6" t="n">
        <x:v>18222</x:v>
      </x:c>
      <x:c r="F1696" s="6" t="n">
        <x:v>0</x:v>
      </x:c>
      <x:c r="G1696" s="6" t="n">
        <x:v>0</x:v>
      </x:c>
      <x:c r="H1696" s="9" t="str">
        <x:v>31-12-2012</x:v>
      </x:c>
      <x:c r="I1696" s="6" t="n">
        <x:v>70</x:v>
      </x:c>
      <x:c r="J1696" s="6" t="n">
        <x:v>12</x:v>
      </x:c>
      <x:c r="K1696" s="6" t="n">
        <x:v>4</x:v>
      </x:c>
      <x:c r="L1696" s="6" t="n">
        <x:v>19</x:v>
      </x:c>
      <x:c r="M1696" s="6" t="n">
        <x:v>12</x:v>
      </x:c>
      <x:c r="N1696" s="6" t="n">
        <x:v>6</x:v>
      </x:c>
      <x:c r="O1696" s="6" t="n">
        <x:v>14</x:v>
      </x:c>
      <x:c r="P1696" s="6" t="n">
        <x:v>1</x:v>
      </x:c>
      <x:c r="Q1696" s="6" t="n">
        <x:v>2</x:v>
      </x:c>
      <x:c r="R1696" s="6" t="n">
        <x:v>0</x:v>
      </x:c>
      <x:c r="S1696" s="6" t="n">
        <x:v>3</x:v>
      </x:c>
      <x:c r="T1696" s="6" t="n">
        <x:v>8</x:v>
      </x:c>
      <x:c r="U1696" s="6" t="n">
        <x:v>0</x:v>
      </x:c>
      <x:c r="V1696" s="6" t="n">
        <x:v>0</x:v>
      </x:c>
      <x:c r="W1696" s="6" t="n">
        <x:v>0</x:v>
      </x:c>
      <x:c r="X1696" s="6" t="n">
        <x:v>0</x:v>
      </x:c>
      <x:c r="Y1696" s="6" t="n">
        <x:v>0</x:v>
      </x:c>
      <x:c r="Z1696" s="6" t="n">
        <x:v>0</x:v>
      </x:c>
      <x:c r="AA1696" s="6" t="n">
        <x:v>3</x:v>
      </x:c>
      <x:c r="AB1696" s="6" t="n">
        <x:v>11</x:v>
      </x:c>
      <x:c r="AC1696" s="6" t="n">
        <x:v>0</x:v>
      </x:c>
    </x:row>
    <x:row r="1697">
      <x:c r="A1697" s="6" t="n">
        <x:v>550</x:v>
      </x:c>
      <x:c r="B1697" s="6" t="n">
        <x:v>1952</x:v>
      </x:c>
      <x:c r="C1697" s="6" t="str">
        <x:v>Graduation</x:v>
      </x:c>
      <x:c r="D1697" s="6" t="str">
        <x:v>Divorced</x:v>
      </x:c>
      <x:c r="E1697" s="6" t="n">
        <x:v>62335</x:v>
      </x:c>
      <x:c r="F1697" s="6" t="n">
        <x:v>0</x:v>
      </x:c>
      <x:c r="G1697" s="6" t="n">
        <x:v>1</x:v>
      </x:c>
      <x:c r="H1697" s="9" t="str">
        <x:v>23-05-2013</x:v>
      </x:c>
      <x:c r="I1697" s="6" t="n">
        <x:v>87</x:v>
      </x:c>
      <x:c r="J1697" s="6" t="n">
        <x:v>243</x:v>
      </x:c>
      <x:c r="K1697" s="6" t="n">
        <x:v>131</x:v>
      </x:c>
      <x:c r="L1697" s="6" t="n">
        <x:v>217</x:v>
      </x:c>
      <x:c r="M1697" s="6" t="n">
        <x:v>85</x:v>
      </x:c>
      <x:c r="N1697" s="6" t="n">
        <x:v>6</x:v>
      </x:c>
      <x:c r="O1697" s="6" t="n">
        <x:v>26</x:v>
      </x:c>
      <x:c r="P1697" s="6" t="n">
        <x:v>2</x:v>
      </x:c>
      <x:c r="Q1697" s="6" t="n">
        <x:v>3</x:v>
      </x:c>
      <x:c r="R1697" s="6" t="n">
        <x:v>3</x:v>
      </x:c>
      <x:c r="S1697" s="6" t="n">
        <x:v>13</x:v>
      </x:c>
      <x:c r="T1697" s="6" t="n">
        <x:v>2</x:v>
      </x:c>
      <x:c r="U1697" s="6" t="n">
        <x:v>0</x:v>
      </x:c>
      <x:c r="V1697" s="6" t="n">
        <x:v>0</x:v>
      </x:c>
      <x:c r="W1697" s="6" t="n">
        <x:v>0</x:v>
      </x:c>
      <x:c r="X1697" s="6" t="n">
        <x:v>0</x:v>
      </x:c>
      <x:c r="Y1697" s="6" t="n">
        <x:v>0</x:v>
      </x:c>
      <x:c r="Z1697" s="6" t="n">
        <x:v>0</x:v>
      </x:c>
      <x:c r="AA1697" s="6" t="n">
        <x:v>3</x:v>
      </x:c>
      <x:c r="AB1697" s="6" t="n">
        <x:v>11</x:v>
      </x:c>
      <x:c r="AC1697" s="6" t="n">
        <x:v>0</x:v>
      </x:c>
    </x:row>
    <x:row r="1698">
      <x:c r="A1698" s="6" t="n">
        <x:v>1890</x:v>
      </x:c>
      <x:c r="B1698" s="6" t="n">
        <x:v>1971</x:v>
      </x:c>
      <x:c r="C1698" s="6" t="str">
        <x:v>2n Cycle</x:v>
      </x:c>
      <x:c r="D1698" s="6" t="str">
        <x:v>Together</x:v>
      </x:c>
      <x:c r="E1698" s="6" t="n">
        <x:v>42033</x:v>
      </x:c>
      <x:c r="F1698" s="6" t="n">
        <x:v>1</x:v>
      </x:c>
      <x:c r="G1698" s="6" t="n">
        <x:v>1</x:v>
      </x:c>
      <x:c r="H1698" s="9" t="str">
        <x:v>19-09-2012</x:v>
      </x:c>
      <x:c r="I1698" s="6" t="n">
        <x:v>95</x:v>
      </x:c>
      <x:c r="J1698" s="6" t="n">
        <x:v>11</x:v>
      </x:c>
      <x:c r="K1698" s="6" t="n">
        <x:v>1</x:v>
      </x:c>
      <x:c r="L1698" s="6" t="n">
        <x:v>4</x:v>
      </x:c>
      <x:c r="M1698" s="6" t="n">
        <x:v>2</x:v>
      </x:c>
      <x:c r="N1698" s="6" t="n">
        <x:v>0</x:v>
      </x:c>
      <x:c r="O1698" s="6" t="n">
        <x:v>7</x:v>
      </x:c>
      <x:c r="P1698" s="6" t="n">
        <x:v>1</x:v>
      </x:c>
      <x:c r="Q1698" s="6" t="n">
        <x:v>1</x:v>
      </x:c>
      <x:c r="R1698" s="6" t="n">
        <x:v>0</x:v>
      </x:c>
      <x:c r="S1698" s="6" t="n">
        <x:v>2</x:v>
      </x:c>
      <x:c r="T1698" s="6" t="n">
        <x:v>7</x:v>
      </x:c>
      <x:c r="U1698" s="6" t="n">
        <x:v>0</x:v>
      </x:c>
      <x:c r="V1698" s="6" t="n">
        <x:v>0</x:v>
      </x:c>
      <x:c r="W1698" s="6" t="n">
        <x:v>0</x:v>
      </x:c>
      <x:c r="X1698" s="6" t="n">
        <x:v>0</x:v>
      </x:c>
      <x:c r="Y1698" s="6" t="n">
        <x:v>0</x:v>
      </x:c>
      <x:c r="Z1698" s="6" t="n">
        <x:v>0</x:v>
      </x:c>
      <x:c r="AA1698" s="6" t="n">
        <x:v>3</x:v>
      </x:c>
      <x:c r="AB1698" s="6" t="n">
        <x:v>11</x:v>
      </x:c>
      <x:c r="AC1698" s="6" t="n">
        <x:v>0</x:v>
      </x:c>
    </x:row>
    <x:row r="1699">
      <x:c r="A1699" s="6" t="n">
        <x:v>10742</x:v>
      </x:c>
      <x:c r="B1699" s="6" t="n">
        <x:v>1983</x:v>
      </x:c>
      <x:c r="C1699" s="6" t="str">
        <x:v>PhD</x:v>
      </x:c>
      <x:c r="D1699" s="6" t="str">
        <x:v>Married</x:v>
      </x:c>
      <x:c r="E1699" s="6" t="n">
        <x:v>86580</x:v>
      </x:c>
      <x:c r="F1699" s="6" t="n">
        <x:v>0</x:v>
      </x:c>
      <x:c r="G1699" s="6" t="n">
        <x:v>0</x:v>
      </x:c>
      <x:c r="H1699" s="9" t="str">
        <x:v>27-02-2013</x:v>
      </x:c>
      <x:c r="I1699" s="6" t="n">
        <x:v>72</x:v>
      </x:c>
      <x:c r="J1699" s="6" t="n">
        <x:v>532</x:v>
      </x:c>
      <x:c r="K1699" s="6" t="n">
        <x:v>21</x:v>
      </x:c>
      <x:c r="L1699" s="6" t="n">
        <x:v>127</x:v>
      </x:c>
      <x:c r="M1699" s="6" t="n">
        <x:v>26</x:v>
      </x:c>
      <x:c r="N1699" s="6" t="n">
        <x:v>20</x:v>
      </x:c>
      <x:c r="O1699" s="6" t="n">
        <x:v>20</x:v>
      </x:c>
      <x:c r="P1699" s="6" t="n">
        <x:v>0</x:v>
      </x:c>
      <x:c r="Q1699" s="6" t="n">
        <x:v>4</x:v>
      </x:c>
      <x:c r="R1699" s="6" t="n">
        <x:v>2</x:v>
      </x:c>
      <x:c r="S1699" s="6" t="n">
        <x:v>5</x:v>
      </x:c>
      <x:c r="T1699" s="6" t="n">
        <x:v>1</x:v>
      </x:c>
      <x:c r="U1699" s="6" t="n">
        <x:v>0</x:v>
      </x:c>
      <x:c r="V1699" s="6" t="n">
        <x:v>0</x:v>
      </x:c>
      <x:c r="W1699" s="6" t="n">
        <x:v>1</x:v>
      </x:c>
      <x:c r="X1699" s="6" t="n">
        <x:v>0</x:v>
      </x:c>
      <x:c r="Y1699" s="6" t="n">
        <x:v>0</x:v>
      </x:c>
      <x:c r="Z1699" s="6" t="n">
        <x:v>0</x:v>
      </x:c>
      <x:c r="AA1699" s="6" t="n">
        <x:v>3</x:v>
      </x:c>
      <x:c r="AB1699" s="6" t="n">
        <x:v>11</x:v>
      </x:c>
      <x:c r="AC1699" s="6" t="n">
        <x:v>0</x:v>
      </x:c>
    </x:row>
    <x:row r="1700">
      <x:c r="A1700" s="6" t="n">
        <x:v>10356</x:v>
      </x:c>
      <x:c r="B1700" s="6" t="n">
        <x:v>1957</x:v>
      </x:c>
      <x:c r="C1700" s="6" t="str">
        <x:v>PhD</x:v>
      </x:c>
      <x:c r="D1700" s="6" t="str">
        <x:v>Divorced</x:v>
      </x:c>
      <x:c r="E1700" s="6" t="n">
        <x:v>41437</x:v>
      </x:c>
      <x:c r="F1700" s="6" t="n">
        <x:v>1</x:v>
      </x:c>
      <x:c r="G1700" s="6" t="n">
        <x:v>1</x:v>
      </x:c>
      <x:c r="H1700" s="9" t="str">
        <x:v>22-09-2012</x:v>
      </x:c>
      <x:c r="I1700" s="6" t="n">
        <x:v>5</x:v>
      </x:c>
      <x:c r="J1700" s="6" t="n">
        <x:v>29</x:v>
      </x:c>
      <x:c r="K1700" s="6" t="n">
        <x:v>0</x:v>
      </x:c>
      <x:c r="L1700" s="6" t="n">
        <x:v>2</x:v>
      </x:c>
      <x:c r="M1700" s="6" t="n">
        <x:v>0</x:v>
      </x:c>
      <x:c r="N1700" s="6" t="n">
        <x:v>0</x:v>
      </x:c>
      <x:c r="O1700" s="6" t="n">
        <x:v>1</x:v>
      </x:c>
      <x:c r="P1700" s="6" t="n">
        <x:v>1</x:v>
      </x:c>
      <x:c r="Q1700" s="6" t="n">
        <x:v>1</x:v>
      </x:c>
      <x:c r="R1700" s="6" t="n">
        <x:v>0</x:v>
      </x:c>
      <x:c r="S1700" s="6" t="n">
        <x:v>3</x:v>
      </x:c>
      <x:c r="T1700" s="6" t="n">
        <x:v>7</x:v>
      </x:c>
      <x:c r="U1700" s="6" t="n">
        <x:v>0</x:v>
      </x:c>
      <x:c r="V1700" s="6" t="n">
        <x:v>0</x:v>
      </x:c>
      <x:c r="W1700" s="6" t="n">
        <x:v>0</x:v>
      </x:c>
      <x:c r="X1700" s="6" t="n">
        <x:v>0</x:v>
      </x:c>
      <x:c r="Y1700" s="6" t="n">
        <x:v>0</x:v>
      </x:c>
      <x:c r="Z1700" s="6" t="n">
        <x:v>0</x:v>
      </x:c>
      <x:c r="AA1700" s="6" t="n">
        <x:v>3</x:v>
      </x:c>
      <x:c r="AB1700" s="6" t="n">
        <x:v>11</x:v>
      </x:c>
      <x:c r="AC1700" s="6" t="n">
        <x:v>0</x:v>
      </x:c>
    </x:row>
    <x:row r="1701">
      <x:c r="A1701" s="6" t="n">
        <x:v>4676</x:v>
      </x:c>
      <x:c r="B1701" s="6" t="n">
        <x:v>1951</x:v>
      </x:c>
      <x:c r="C1701" s="6" t="str">
        <x:v>Master</x:v>
      </x:c>
      <x:c r="D1701" s="6" t="str">
        <x:v>Widow</x:v>
      </x:c>
      <x:c r="E1701" s="6" t="n">
        <x:v>73705</x:v>
      </x:c>
      <x:c r="F1701" s="6" t="n">
        <x:v>0</x:v>
      </x:c>
      <x:c r="G1701" s="6" t="n">
        <x:v>2</x:v>
      </x:c>
      <x:c r="H1701" s="9" t="str">
        <x:v>05-03-2014</x:v>
      </x:c>
      <x:c r="I1701" s="6" t="n">
        <x:v>86</x:v>
      </x:c>
      <x:c r="J1701" s="6" t="n">
        <x:v>612</x:v>
      </x:c>
      <x:c r="K1701" s="6" t="n">
        <x:v>91</x:v>
      </x:c>
      <x:c r="L1701" s="6" t="n">
        <x:v>520</x:v>
      </x:c>
      <x:c r="M1701" s="6" t="n">
        <x:v>258</x:v>
      </x:c>
      <x:c r="N1701" s="6" t="n">
        <x:v>107</x:v>
      </x:c>
      <x:c r="O1701" s="6" t="n">
        <x:v>107</x:v>
      </x:c>
      <x:c r="P1701" s="6" t="n">
        <x:v>2</x:v>
      </x:c>
      <x:c r="Q1701" s="6" t="n">
        <x:v>9</x:v>
      </x:c>
      <x:c r="R1701" s="6" t="n">
        <x:v>6</x:v>
      </x:c>
      <x:c r="S1701" s="6" t="n">
        <x:v>8</x:v>
      </x:c>
      <x:c r="T1701" s="6" t="n">
        <x:v>5</x:v>
      </x:c>
      <x:c r="U1701" s="6" t="n">
        <x:v>0</x:v>
      </x:c>
      <x:c r="V1701" s="6" t="n">
        <x:v>0</x:v>
      </x:c>
      <x:c r="W1701" s="6" t="n">
        <x:v>0</x:v>
      </x:c>
      <x:c r="X1701" s="6" t="n">
        <x:v>0</x:v>
      </x:c>
      <x:c r="Y1701" s="6" t="n">
        <x:v>0</x:v>
      </x:c>
      <x:c r="Z1701" s="6" t="n">
        <x:v>0</x:v>
      </x:c>
      <x:c r="AA1701" s="6" t="n">
        <x:v>3</x:v>
      </x:c>
      <x:c r="AB1701" s="6" t="n">
        <x:v>11</x:v>
      </x:c>
      <x:c r="AC1701" s="6" t="n">
        <x:v>0</x:v>
      </x:c>
    </x:row>
    <x:row r="1702">
      <x:c r="A1702" s="6" t="n">
        <x:v>8852</x:v>
      </x:c>
      <x:c r="B1702" s="6" t="n">
        <x:v>1976</x:v>
      </x:c>
      <x:c r="C1702" s="6" t="str">
        <x:v>Graduation</x:v>
      </x:c>
      <x:c r="D1702" s="6" t="str">
        <x:v>Married</x:v>
      </x:c>
      <x:c r="E1702" s="6" t="n">
        <x:v>61064</x:v>
      </x:c>
      <x:c r="F1702" s="6" t="n">
        <x:v>0</x:v>
      </x:c>
      <x:c r="G1702" s="6" t="n">
        <x:v>1</x:v>
      </x:c>
      <x:c r="H1702" s="9" t="str">
        <x:v>31-08-2012</x:v>
      </x:c>
      <x:c r="I1702" s="6" t="n">
        <x:v>80</x:v>
      </x:c>
      <x:c r="J1702" s="6" t="n">
        <x:v>387</x:v>
      </x:c>
      <x:c r="K1702" s="6" t="n">
        <x:v>126</x:v>
      </x:c>
      <x:c r="L1702" s="6" t="n">
        <x:v>342</x:v>
      </x:c>
      <x:c r="M1702" s="6" t="n">
        <x:v>0</x:v>
      </x:c>
      <x:c r="N1702" s="6" t="n">
        <x:v>45</x:v>
      </x:c>
      <x:c r="O1702" s="6" t="n">
        <x:v>180</x:v>
      </x:c>
      <x:c r="P1702" s="6" t="n">
        <x:v>5</x:v>
      </x:c>
      <x:c r="Q1702" s="6" t="n">
        <x:v>8</x:v>
      </x:c>
      <x:c r="R1702" s="6" t="n">
        <x:v>4</x:v>
      </x:c>
      <x:c r="S1702" s="6" t="n">
        <x:v>11</x:v>
      </x:c>
      <x:c r="T1702" s="6" t="n">
        <x:v>6</x:v>
      </x:c>
      <x:c r="U1702" s="6" t="n">
        <x:v>0</x:v>
      </x:c>
      <x:c r="V1702" s="6" t="n">
        <x:v>0</x:v>
      </x:c>
      <x:c r="W1702" s="6" t="n">
        <x:v>0</x:v>
      </x:c>
      <x:c r="X1702" s="6" t="n">
        <x:v>0</x:v>
      </x:c>
      <x:c r="Y1702" s="6" t="n">
        <x:v>0</x:v>
      </x:c>
      <x:c r="Z1702" s="6" t="n">
        <x:v>0</x:v>
      </x:c>
      <x:c r="AA1702" s="6" t="n">
        <x:v>3</x:v>
      </x:c>
      <x:c r="AB1702" s="6" t="n">
        <x:v>11</x:v>
      </x:c>
      <x:c r="AC1702" s="6" t="n">
        <x:v>0</x:v>
      </x:c>
    </x:row>
    <x:row r="1703">
      <x:c r="A1703" s="6" t="n">
        <x:v>3565</x:v>
      </x:c>
      <x:c r="B1703" s="6" t="n">
        <x:v>1955</x:v>
      </x:c>
      <x:c r="C1703" s="6" t="str">
        <x:v>Master</x:v>
      </x:c>
      <x:c r="D1703" s="6" t="str">
        <x:v>Married</x:v>
      </x:c>
      <x:c r="E1703" s="6" t="n">
        <x:v>38452</x:v>
      </x:c>
      <x:c r="F1703" s="6" t="n">
        <x:v>1</x:v>
      </x:c>
      <x:c r="G1703" s="6" t="n">
        <x:v>1</x:v>
      </x:c>
      <x:c r="H1703" s="9" t="str">
        <x:v>30-03-2014</x:v>
      </x:c>
      <x:c r="I1703" s="6" t="n">
        <x:v>62</x:v>
      </x:c>
      <x:c r="J1703" s="6" t="n">
        <x:v>56</x:v>
      </x:c>
      <x:c r="K1703" s="6" t="n">
        <x:v>0</x:v>
      </x:c>
      <x:c r="L1703" s="6" t="n">
        <x:v>14</x:v>
      </x:c>
      <x:c r="M1703" s="6" t="n">
        <x:v>0</x:v>
      </x:c>
      <x:c r="N1703" s="6" t="n">
        <x:v>0</x:v>
      </x:c>
      <x:c r="O1703" s="6" t="n">
        <x:v>2</x:v>
      </x:c>
      <x:c r="P1703" s="6" t="n">
        <x:v>3</x:v>
      </x:c>
      <x:c r="Q1703" s="6" t="n">
        <x:v>3</x:v>
      </x:c>
      <x:c r="R1703" s="6" t="n">
        <x:v>0</x:v>
      </x:c>
      <x:c r="S1703" s="6" t="n">
        <x:v>3</x:v>
      </x:c>
      <x:c r="T1703" s="6" t="n">
        <x:v>7</x:v>
      </x:c>
      <x:c r="U1703" s="6" t="n">
        <x:v>0</x:v>
      </x:c>
      <x:c r="V1703" s="6" t="n">
        <x:v>0</x:v>
      </x:c>
      <x:c r="W1703" s="6" t="n">
        <x:v>0</x:v>
      </x:c>
      <x:c r="X1703" s="6" t="n">
        <x:v>0</x:v>
      </x:c>
      <x:c r="Y1703" s="6" t="n">
        <x:v>0</x:v>
      </x:c>
      <x:c r="Z1703" s="6" t="n">
        <x:v>0</x:v>
      </x:c>
      <x:c r="AA1703" s="6" t="n">
        <x:v>3</x:v>
      </x:c>
      <x:c r="AB1703" s="6" t="n">
        <x:v>11</x:v>
      </x:c>
      <x:c r="AC1703" s="6" t="n">
        <x:v>0</x:v>
      </x:c>
    </x:row>
    <x:row r="1704">
      <x:c r="A1704" s="6" t="n">
        <x:v>5294</x:v>
      </x:c>
      <x:c r="B1704" s="6" t="n">
        <x:v>1989</x:v>
      </x:c>
      <x:c r="C1704" s="6" t="str">
        <x:v>Graduation</x:v>
      </x:c>
      <x:c r="D1704" s="6" t="str">
        <x:v>Single</x:v>
      </x:c>
      <x:c r="E1704" s="6" t="n">
        <x:v>18358</x:v>
      </x:c>
      <x:c r="F1704" s="6" t="n">
        <x:v>1</x:v>
      </x:c>
      <x:c r="G1704" s="6" t="n">
        <x:v>0</x:v>
      </x:c>
      <x:c r="H1704" s="9" t="str">
        <x:v>20-11-2013</x:v>
      </x:c>
      <x:c r="I1704" s="6" t="n">
        <x:v>49</x:v>
      </x:c>
      <x:c r="J1704" s="6" t="n">
        <x:v>6</x:v>
      </x:c>
      <x:c r="K1704" s="6" t="n">
        <x:v>8</x:v>
      </x:c>
      <x:c r="L1704" s="6" t="n">
        <x:v>19</x:v>
      </x:c>
      <x:c r="M1704" s="6" t="n">
        <x:v>16</x:v>
      </x:c>
      <x:c r="N1704" s="6" t="n">
        <x:v>4</x:v>
      </x:c>
      <x:c r="O1704" s="6" t="n">
        <x:v>4</x:v>
      </x:c>
      <x:c r="P1704" s="6" t="n">
        <x:v>3</x:v>
      </x:c>
      <x:c r="Q1704" s="6" t="n">
        <x:v>3</x:v>
      </x:c>
      <x:c r="R1704" s="6" t="n">
        <x:v>0</x:v>
      </x:c>
      <x:c r="S1704" s="6" t="n">
        <x:v>4</x:v>
      </x:c>
      <x:c r="T1704" s="6" t="n">
        <x:v>7</x:v>
      </x:c>
      <x:c r="U1704" s="6" t="n">
        <x:v>0</x:v>
      </x:c>
      <x:c r="V1704" s="6" t="n">
        <x:v>0</x:v>
      </x:c>
      <x:c r="W1704" s="6" t="n">
        <x:v>0</x:v>
      </x:c>
      <x:c r="X1704" s="6" t="n">
        <x:v>0</x:v>
      </x:c>
      <x:c r="Y1704" s="6" t="n">
        <x:v>0</x:v>
      </x:c>
      <x:c r="Z1704" s="6" t="n">
        <x:v>0</x:v>
      </x:c>
      <x:c r="AA1704" s="6" t="n">
        <x:v>3</x:v>
      </x:c>
      <x:c r="AB1704" s="6" t="n">
        <x:v>11</x:v>
      </x:c>
      <x:c r="AC1704" s="6" t="n">
        <x:v>0</x:v>
      </x:c>
    </x:row>
    <x:row r="1705">
      <x:c r="A1705" s="6" t="n">
        <x:v>1958</x:v>
      </x:c>
      <x:c r="B1705" s="6" t="n">
        <x:v>1973</x:v>
      </x:c>
      <x:c r="C1705" s="6" t="str">
        <x:v>PhD</x:v>
      </x:c>
      <x:c r="D1705" s="6" t="str">
        <x:v>Together</x:v>
      </x:c>
      <x:c r="E1705" s="6" t="n">
        <x:v>55012</x:v>
      </x:c>
      <x:c r="F1705" s="6" t="n">
        <x:v>0</x:v>
      </x:c>
      <x:c r="G1705" s="6" t="n">
        <x:v>1</x:v>
      </x:c>
      <x:c r="H1705" s="9" t="str">
        <x:v>21-03-2014</x:v>
      </x:c>
      <x:c r="I1705" s="6" t="n">
        <x:v>85</x:v>
      </x:c>
      <x:c r="J1705" s="6" t="n">
        <x:v>582</x:v>
      </x:c>
      <x:c r="K1705" s="6" t="n">
        <x:v>0</x:v>
      </x:c>
      <x:c r="L1705" s="6" t="n">
        <x:v>65</x:v>
      </x:c>
      <x:c r="M1705" s="6" t="n">
        <x:v>0</x:v>
      </x:c>
      <x:c r="N1705" s="6" t="n">
        <x:v>0</x:v>
      </x:c>
      <x:c r="O1705" s="6" t="n">
        <x:v>13</x:v>
      </x:c>
      <x:c r="P1705" s="6" t="n">
        <x:v>6</x:v>
      </x:c>
      <x:c r="Q1705" s="6" t="n">
        <x:v>8</x:v>
      </x:c>
      <x:c r="R1705" s="6" t="n">
        <x:v>2</x:v>
      </x:c>
      <x:c r="S1705" s="6" t="n">
        <x:v>9</x:v>
      </x:c>
      <x:c r="T1705" s="6" t="n">
        <x:v>5</x:v>
      </x:c>
      <x:c r="U1705" s="6" t="n">
        <x:v>0</x:v>
      </x:c>
      <x:c r="V1705" s="6" t="n">
        <x:v>0</x:v>
      </x:c>
      <x:c r="W1705" s="6" t="n">
        <x:v>0</x:v>
      </x:c>
      <x:c r="X1705" s="6" t="n">
        <x:v>0</x:v>
      </x:c>
      <x:c r="Y1705" s="6" t="n">
        <x:v>0</x:v>
      </x:c>
      <x:c r="Z1705" s="6" t="n">
        <x:v>0</x:v>
      </x:c>
      <x:c r="AA1705" s="6" t="n">
        <x:v>3</x:v>
      </x:c>
      <x:c r="AB1705" s="6" t="n">
        <x:v>11</x:v>
      </x:c>
      <x:c r="AC1705" s="6" t="n">
        <x:v>0</x:v>
      </x:c>
    </x:row>
    <x:row r="1706">
      <x:c r="A1706" s="6" t="n">
        <x:v>7349</x:v>
      </x:c>
      <x:c r="B1706" s="6" t="n">
        <x:v>1973</x:v>
      </x:c>
      <x:c r="C1706" s="6" t="str">
        <x:v>Basic</x:v>
      </x:c>
      <x:c r="D1706" s="6" t="str">
        <x:v>Together</x:v>
      </x:c>
      <x:c r="E1706" s="6" t="n">
        <x:v>9722</x:v>
      </x:c>
      <x:c r="F1706" s="6" t="n">
        <x:v>1</x:v>
      </x:c>
      <x:c r="G1706" s="6" t="n">
        <x:v>0</x:v>
      </x:c>
      <x:c r="H1706" s="9" t="str">
        <x:v>02-10-2012</x:v>
      </x:c>
      <x:c r="I1706" s="6" t="n">
        <x:v>7</x:v>
      </x:c>
      <x:c r="J1706" s="6" t="n">
        <x:v>6</x:v>
      </x:c>
      <x:c r="K1706" s="6" t="n">
        <x:v>17</x:v>
      </x:c>
      <x:c r="L1706" s="6" t="n">
        <x:v>16</x:v>
      </x:c>
      <x:c r="M1706" s="6" t="n">
        <x:v>6</x:v>
      </x:c>
      <x:c r="N1706" s="6" t="n">
        <x:v>16</x:v>
      </x:c>
      <x:c r="O1706" s="6" t="n">
        <x:v>42</x:v>
      </x:c>
      <x:c r="P1706" s="6" t="n">
        <x:v>4</x:v>
      </x:c>
      <x:c r="Q1706" s="6" t="n">
        <x:v>3</x:v>
      </x:c>
      <x:c r="R1706" s="6" t="n">
        <x:v>1</x:v>
      </x:c>
      <x:c r="S1706" s="6" t="n">
        <x:v>3</x:v>
      </x:c>
      <x:c r="T1706" s="6" t="n">
        <x:v>8</x:v>
      </x:c>
      <x:c r="U1706" s="6" t="n">
        <x:v>0</x:v>
      </x:c>
      <x:c r="V1706" s="6" t="n">
        <x:v>0</x:v>
      </x:c>
      <x:c r="W1706" s="6" t="n">
        <x:v>0</x:v>
      </x:c>
      <x:c r="X1706" s="6" t="n">
        <x:v>0</x:v>
      </x:c>
      <x:c r="Y1706" s="6" t="n">
        <x:v>0</x:v>
      </x:c>
      <x:c r="Z1706" s="6" t="n">
        <x:v>0</x:v>
      </x:c>
      <x:c r="AA1706" s="6" t="n">
        <x:v>3</x:v>
      </x:c>
      <x:c r="AB1706" s="6" t="n">
        <x:v>11</x:v>
      </x:c>
      <x:c r="AC1706" s="6" t="n">
        <x:v>1</x:v>
      </x:c>
    </x:row>
    <x:row r="1707">
      <x:c r="A1707" s="6" t="n">
        <x:v>8799</x:v>
      </x:c>
      <x:c r="B1707" s="6" t="n">
        <x:v>1984</x:v>
      </x:c>
      <x:c r="C1707" s="6" t="str">
        <x:v>PhD</x:v>
      </x:c>
      <x:c r="D1707" s="6" t="str">
        <x:v>Married</x:v>
      </x:c>
      <x:c r="E1707" s="6" t="n">
        <x:v>38175</x:v>
      </x:c>
      <x:c r="F1707" s="6" t="n">
        <x:v>1</x:v>
      </x:c>
      <x:c r="G1707" s="6" t="n">
        <x:v>0</x:v>
      </x:c>
      <x:c r="H1707" s="9" t="str">
        <x:v>23-09-2013</x:v>
      </x:c>
      <x:c r="I1707" s="6" t="n">
        <x:v>6</x:v>
      </x:c>
      <x:c r="J1707" s="6" t="n">
        <x:v>70</x:v>
      </x:c>
      <x:c r="K1707" s="6" t="n">
        <x:v>6</x:v>
      </x:c>
      <x:c r="L1707" s="6" t="n">
        <x:v>69</x:v>
      </x:c>
      <x:c r="M1707" s="6" t="n">
        <x:v>2</x:v>
      </x:c>
      <x:c r="N1707" s="6" t="n">
        <x:v>3</x:v>
      </x:c>
      <x:c r="O1707" s="6" t="n">
        <x:v>3</x:v>
      </x:c>
      <x:c r="P1707" s="6" t="n">
        <x:v>3</x:v>
      </x:c>
      <x:c r="Q1707" s="6" t="n">
        <x:v>3</x:v>
      </x:c>
      <x:c r="R1707" s="6" t="n">
        <x:v>1</x:v>
      </x:c>
      <x:c r="S1707" s="6" t="n">
        <x:v>4</x:v>
      </x:c>
      <x:c r="T1707" s="6" t="n">
        <x:v>7</x:v>
      </x:c>
      <x:c r="U1707" s="6" t="n">
        <x:v>0</x:v>
      </x:c>
      <x:c r="V1707" s="6" t="n">
        <x:v>0</x:v>
      </x:c>
      <x:c r="W1707" s="6" t="n">
        <x:v>0</x:v>
      </x:c>
      <x:c r="X1707" s="6" t="n">
        <x:v>0</x:v>
      </x:c>
      <x:c r="Y1707" s="6" t="n">
        <x:v>0</x:v>
      </x:c>
      <x:c r="Z1707" s="6" t="n">
        <x:v>0</x:v>
      </x:c>
      <x:c r="AA1707" s="6" t="n">
        <x:v>3</x:v>
      </x:c>
      <x:c r="AB1707" s="6" t="n">
        <x:v>11</x:v>
      </x:c>
      <x:c r="AC1707" s="6" t="n">
        <x:v>0</x:v>
      </x:c>
    </x:row>
    <x:row r="1708">
      <x:c r="A1708" s="6" t="n">
        <x:v>1351</x:v>
      </x:c>
      <x:c r="B1708" s="6" t="n">
        <x:v>1956</x:v>
      </x:c>
      <x:c r="C1708" s="6" t="str">
        <x:v>Master</x:v>
      </x:c>
      <x:c r="D1708" s="6" t="str">
        <x:v>Together</x:v>
      </x:c>
      <x:c r="E1708" s="6" t="n">
        <x:v>58656</x:v>
      </x:c>
      <x:c r="F1708" s="6" t="n">
        <x:v>0</x:v>
      </x:c>
      <x:c r="G1708" s="6" t="n">
        <x:v>1</x:v>
      </x:c>
      <x:c r="H1708" s="9" t="str">
        <x:v>20-09-2012</x:v>
      </x:c>
      <x:c r="I1708" s="6" t="n">
        <x:v>25</x:v>
      </x:c>
      <x:c r="J1708" s="6" t="n">
        <x:v>962</x:v>
      </x:c>
      <x:c r="K1708" s="6" t="n">
        <x:v>12</x:v>
      </x:c>
      <x:c r="L1708" s="6" t="n">
        <x:v>194</x:v>
      </x:c>
      <x:c r="M1708" s="6" t="n">
        <x:v>16</x:v>
      </x:c>
      <x:c r="N1708" s="6" t="n">
        <x:v>24</x:v>
      </x:c>
      <x:c r="O1708" s="6" t="n">
        <x:v>12</x:v>
      </x:c>
      <x:c r="P1708" s="6" t="n">
        <x:v>4</x:v>
      </x:c>
      <x:c r="Q1708" s="6" t="n">
        <x:v>7</x:v>
      </x:c>
      <x:c r="R1708" s="6" t="n">
        <x:v>8</x:v>
      </x:c>
      <x:c r="S1708" s="6" t="n">
        <x:v>13</x:v>
      </x:c>
      <x:c r="T1708" s="6" t="n">
        <x:v>6</x:v>
      </x:c>
      <x:c r="U1708" s="6" t="n">
        <x:v>0</x:v>
      </x:c>
      <x:c r="V1708" s="6" t="n">
        <x:v>0</x:v>
      </x:c>
      <x:c r="W1708" s="6" t="n">
        <x:v>1</x:v>
      </x:c>
      <x:c r="X1708" s="6" t="n">
        <x:v>0</x:v>
      </x:c>
      <x:c r="Y1708" s="6" t="n">
        <x:v>0</x:v>
      </x:c>
      <x:c r="Z1708" s="6" t="n">
        <x:v>0</x:v>
      </x:c>
      <x:c r="AA1708" s="6" t="n">
        <x:v>3</x:v>
      </x:c>
      <x:c r="AB1708" s="6" t="n">
        <x:v>11</x:v>
      </x:c>
      <x:c r="AC1708" s="6" t="n">
        <x:v>0</x:v>
      </x:c>
    </x:row>
    <x:row r="1709">
      <x:c r="A1709" s="6" t="n">
        <x:v>1045</x:v>
      </x:c>
      <x:c r="B1709" s="6" t="n">
        <x:v>1965</x:v>
      </x:c>
      <x:c r="C1709" s="6" t="str">
        <x:v>Graduation</x:v>
      </x:c>
      <x:c r="D1709" s="6" t="str">
        <x:v>Together</x:v>
      </x:c>
      <x:c r="E1709" s="6" t="n">
        <x:v>52117</x:v>
      </x:c>
      <x:c r="F1709" s="6" t="n">
        <x:v>0</x:v>
      </x:c>
      <x:c r="G1709" s="6" t="n">
        <x:v>1</x:v>
      </x:c>
      <x:c r="H1709" s="9" t="str">
        <x:v>16-08-2012</x:v>
      </x:c>
      <x:c r="I1709" s="6" t="n">
        <x:v>55</x:v>
      </x:c>
      <x:c r="J1709" s="6" t="n">
        <x:v>112</x:v>
      </x:c>
      <x:c r="K1709" s="6" t="n">
        <x:v>10</x:v>
      </x:c>
      <x:c r="L1709" s="6" t="n">
        <x:v>107</x:v>
      </x:c>
      <x:c r="M1709" s="6" t="n">
        <x:v>30</x:v>
      </x:c>
      <x:c r="N1709" s="6" t="n">
        <x:v>0</x:v>
      </x:c>
      <x:c r="O1709" s="6" t="n">
        <x:v>20</x:v>
      </x:c>
      <x:c r="P1709" s="6" t="n">
        <x:v>2</x:v>
      </x:c>
      <x:c r="Q1709" s="6" t="n">
        <x:v>5</x:v>
      </x:c>
      <x:c r="R1709" s="6" t="n">
        <x:v>2</x:v>
      </x:c>
      <x:c r="S1709" s="6" t="n">
        <x:v>4</x:v>
      </x:c>
      <x:c r="T1709" s="6" t="n">
        <x:v>7</x:v>
      </x:c>
      <x:c r="U1709" s="6" t="n">
        <x:v>0</x:v>
      </x:c>
      <x:c r="V1709" s="6" t="n">
        <x:v>0</x:v>
      </x:c>
      <x:c r="W1709" s="6" t="n">
        <x:v>0</x:v>
      </x:c>
      <x:c r="X1709" s="6" t="n">
        <x:v>0</x:v>
      </x:c>
      <x:c r="Y1709" s="6" t="n">
        <x:v>0</x:v>
      </x:c>
      <x:c r="Z1709" s="6" t="n">
        <x:v>0</x:v>
      </x:c>
      <x:c r="AA1709" s="6" t="n">
        <x:v>3</x:v>
      </x:c>
      <x:c r="AB1709" s="6" t="n">
        <x:v>11</x:v>
      </x:c>
      <x:c r="AC1709" s="6" t="n">
        <x:v>0</x:v>
      </x:c>
    </x:row>
    <x:row r="1710">
      <x:c r="A1710" s="6" t="n">
        <x:v>7732</x:v>
      </x:c>
      <x:c r="B1710" s="6" t="n">
        <x:v>1978</x:v>
      </x:c>
      <x:c r="C1710" s="6" t="str">
        <x:v>Graduation</x:v>
      </x:c>
      <x:c r="D1710" s="6" t="str">
        <x:v>Married</x:v>
      </x:c>
      <x:c r="E1710" s="6" t="n">
        <x:v>64813</x:v>
      </x:c>
      <x:c r="F1710" s="6" t="n">
        <x:v>1</x:v>
      </x:c>
      <x:c r="G1710" s="6" t="n">
        <x:v>0</x:v>
      </x:c>
      <x:c r="H1710" s="9" t="str">
        <x:v>02-01-2014</x:v>
      </x:c>
      <x:c r="I1710" s="6" t="n">
        <x:v>81</x:v>
      </x:c>
      <x:c r="J1710" s="6" t="n">
        <x:v>293</x:v>
      </x:c>
      <x:c r="K1710" s="6" t="n">
        <x:v>0</x:v>
      </x:c>
      <x:c r="L1710" s="6" t="n">
        <x:v>124</x:v>
      </x:c>
      <x:c r="M1710" s="6" t="n">
        <x:v>179</x:v>
      </x:c>
      <x:c r="N1710" s="6" t="n">
        <x:v>97</x:v>
      </x:c>
      <x:c r="O1710" s="6" t="n">
        <x:v>52</x:v>
      </x:c>
      <x:c r="P1710" s="6" t="n">
        <x:v>1</x:v>
      </x:c>
      <x:c r="Q1710" s="6" t="n">
        <x:v>7</x:v>
      </x:c>
      <x:c r="R1710" s="6" t="n">
        <x:v>2</x:v>
      </x:c>
      <x:c r="S1710" s="6" t="n">
        <x:v>10</x:v>
      </x:c>
      <x:c r="T1710" s="6" t="n">
        <x:v>5</x:v>
      </x:c>
      <x:c r="U1710" s="6" t="n">
        <x:v>0</x:v>
      </x:c>
      <x:c r="V1710" s="6" t="n">
        <x:v>0</x:v>
      </x:c>
      <x:c r="W1710" s="6" t="n">
        <x:v>0</x:v>
      </x:c>
      <x:c r="X1710" s="6" t="n">
        <x:v>0</x:v>
      </x:c>
      <x:c r="Y1710" s="6" t="n">
        <x:v>0</x:v>
      </x:c>
      <x:c r="Z1710" s="6" t="n">
        <x:v>0</x:v>
      </x:c>
      <x:c r="AA1710" s="6" t="n">
        <x:v>3</x:v>
      </x:c>
      <x:c r="AB1710" s="6" t="n">
        <x:v>11</x:v>
      </x:c>
      <x:c r="AC1710" s="6" t="n">
        <x:v>0</x:v>
      </x:c>
    </x:row>
    <x:row r="1711">
      <x:c r="A1711" s="6" t="n">
        <x:v>8070</x:v>
      </x:c>
      <x:c r="B1711" s="6" t="n">
        <x:v>1973</x:v>
      </x:c>
      <x:c r="C1711" s="6" t="str">
        <x:v>PhD</x:v>
      </x:c>
      <x:c r="D1711" s="6" t="str">
        <x:v>Married</x:v>
      </x:c>
      <x:c r="E1711" s="6" t="n">
        <x:v>54222</x:v>
      </x:c>
      <x:c r="F1711" s="6" t="n">
        <x:v>0</x:v>
      </x:c>
      <x:c r="G1711" s="6" t="n">
        <x:v>1</x:v>
      </x:c>
      <x:c r="H1711" s="9" t="str">
        <x:v>01-03-2014</x:v>
      </x:c>
      <x:c r="I1711" s="6" t="n">
        <x:v>98</x:v>
      </x:c>
      <x:c r="J1711" s="6" t="n">
        <x:v>199</x:v>
      </x:c>
      <x:c r="K1711" s="6" t="n">
        <x:v>12</x:v>
      </x:c>
      <x:c r="L1711" s="6" t="n">
        <x:v>31</x:v>
      </x:c>
      <x:c r="M1711" s="6" t="n">
        <x:v>3</x:v>
      </x:c>
      <x:c r="N1711" s="6" t="n">
        <x:v>12</x:v>
      </x:c>
      <x:c r="O1711" s="6" t="n">
        <x:v>7</x:v>
      </x:c>
      <x:c r="P1711" s="6" t="n">
        <x:v>1</x:v>
      </x:c>
      <x:c r="Q1711" s="6" t="n">
        <x:v>3</x:v>
      </x:c>
      <x:c r="R1711" s="6" t="n">
        <x:v>3</x:v>
      </x:c>
      <x:c r="S1711" s="6" t="n">
        <x:v>5</x:v>
      </x:c>
      <x:c r="T1711" s="6" t="n">
        <x:v>3</x:v>
      </x:c>
      <x:c r="U1711" s="6" t="n">
        <x:v>0</x:v>
      </x:c>
      <x:c r="V1711" s="6" t="n">
        <x:v>0</x:v>
      </x:c>
      <x:c r="W1711" s="6" t="n">
        <x:v>0</x:v>
      </x:c>
      <x:c r="X1711" s="6" t="n">
        <x:v>0</x:v>
      </x:c>
      <x:c r="Y1711" s="6" t="n">
        <x:v>0</x:v>
      </x:c>
      <x:c r="Z1711" s="6" t="n">
        <x:v>0</x:v>
      </x:c>
      <x:c r="AA1711" s="6" t="n">
        <x:v>3</x:v>
      </x:c>
      <x:c r="AB1711" s="6" t="n">
        <x:v>11</x:v>
      </x:c>
      <x:c r="AC1711" s="6" t="n">
        <x:v>0</x:v>
      </x:c>
    </x:row>
    <x:row r="1712">
      <x:c r="A1712" s="6" t="n">
        <x:v>477</x:v>
      </x:c>
      <x:c r="B1712" s="6" t="n">
        <x:v>1986</x:v>
      </x:c>
      <x:c r="C1712" s="6" t="str">
        <x:v>Graduation</x:v>
      </x:c>
      <x:c r="D1712" s="6" t="str">
        <x:v>Married</x:v>
      </x:c>
      <x:c r="E1712" s="6" t="n">
        <x:v>83512</x:v>
      </x:c>
      <x:c r="F1712" s="6" t="n">
        <x:v>0</x:v>
      </x:c>
      <x:c r="G1712" s="6" t="n">
        <x:v>0</x:v>
      </x:c>
      <x:c r="H1712" s="9" t="str">
        <x:v>17-06-2014</x:v>
      </x:c>
      <x:c r="I1712" s="6" t="n">
        <x:v>31</x:v>
      </x:c>
      <x:c r="J1712" s="6" t="n">
        <x:v>1060</x:v>
      </x:c>
      <x:c r="K1712" s="6" t="n">
        <x:v>61</x:v>
      </x:c>
      <x:c r="L1712" s="6" t="n">
        <x:v>835</x:v>
      </x:c>
      <x:c r="M1712" s="6" t="n">
        <x:v>80</x:v>
      </x:c>
      <x:c r="N1712" s="6" t="n">
        <x:v>20</x:v>
      </x:c>
      <x:c r="O1712" s="6" t="n">
        <x:v>101</x:v>
      </x:c>
      <x:c r="P1712" s="6" t="n">
        <x:v>1</x:v>
      </x:c>
      <x:c r="Q1712" s="6" t="n">
        <x:v>4</x:v>
      </x:c>
      <x:c r="R1712" s="6" t="n">
        <x:v>7</x:v>
      </x:c>
      <x:c r="S1712" s="6" t="n">
        <x:v>10</x:v>
      </x:c>
      <x:c r="T1712" s="6" t="n">
        <x:v>1</x:v>
      </x:c>
      <x:c r="U1712" s="6" t="n">
        <x:v>1</x:v>
      </x:c>
      <x:c r="V1712" s="6" t="n">
        <x:v>0</x:v>
      </x:c>
      <x:c r="W1712" s="6" t="n">
        <x:v>1</x:v>
      </x:c>
      <x:c r="X1712" s="6" t="n">
        <x:v>1</x:v>
      </x:c>
      <x:c r="Y1712" s="6" t="n">
        <x:v>1</x:v>
      </x:c>
      <x:c r="Z1712" s="6" t="n">
        <x:v>0</x:v>
      </x:c>
      <x:c r="AA1712" s="6" t="n">
        <x:v>3</x:v>
      </x:c>
      <x:c r="AB1712" s="6" t="n">
        <x:v>11</x:v>
      </x:c>
      <x:c r="AC1712" s="6" t="n">
        <x:v>1</x:v>
      </x:c>
    </x:row>
    <x:row r="1713">
      <x:c r="A1713" s="6" t="n">
        <x:v>7832</x:v>
      </x:c>
      <x:c r="B1713" s="6" t="n">
        <x:v>1959</x:v>
      </x:c>
      <x:c r="C1713" s="6" t="str">
        <x:v>Master</x:v>
      </x:c>
      <x:c r="D1713" s="6" t="str">
        <x:v>Married</x:v>
      </x:c>
      <x:c r="E1713" s="6" t="n">
        <x:v>77520</x:v>
      </x:c>
      <x:c r="F1713" s="6" t="n">
        <x:v>0</x:v>
      </x:c>
      <x:c r="G1713" s="6" t="n">
        <x:v>1</x:v>
      </x:c>
      <x:c r="H1713" s="9" t="str">
        <x:v>28-08-2013</x:v>
      </x:c>
      <x:c r="I1713" s="6" t="n">
        <x:v>30</x:v>
      </x:c>
      <x:c r="J1713" s="6" t="n">
        <x:v>940</x:v>
      </x:c>
      <x:c r="K1713" s="6" t="n">
        <x:v>44</x:v>
      </x:c>
      <x:c r="L1713" s="6" t="n">
        <x:v>396</x:v>
      </x:c>
      <x:c r="M1713" s="6" t="n">
        <x:v>0</x:v>
      </x:c>
      <x:c r="N1713" s="6" t="n">
        <x:v>88</x:v>
      </x:c>
      <x:c r="O1713" s="6" t="n">
        <x:v>58</x:v>
      </x:c>
      <x:c r="P1713" s="6" t="n">
        <x:v>1</x:v>
      </x:c>
      <x:c r="Q1713" s="6" t="n">
        <x:v>8</x:v>
      </x:c>
      <x:c r="R1713" s="6" t="n">
        <x:v>7</x:v>
      </x:c>
      <x:c r="S1713" s="6" t="n">
        <x:v>7</x:v>
      </x:c>
      <x:c r="T1713" s="6" t="n">
        <x:v>4</x:v>
      </x:c>
      <x:c r="U1713" s="6" t="n">
        <x:v>1</x:v>
      </x:c>
      <x:c r="V1713" s="6" t="n">
        <x:v>0</x:v>
      </x:c>
      <x:c r="W1713" s="6" t="n">
        <x:v>1</x:v>
      </x:c>
      <x:c r="X1713" s="6" t="n">
        <x:v>1</x:v>
      </x:c>
      <x:c r="Y1713" s="6" t="n">
        <x:v>0</x:v>
      </x:c>
      <x:c r="Z1713" s="6" t="n">
        <x:v>0</x:v>
      </x:c>
      <x:c r="AA1713" s="6" t="n">
        <x:v>3</x:v>
      </x:c>
      <x:c r="AB1713" s="6" t="n">
        <x:v>11</x:v>
      </x:c>
      <x:c r="AC1713" s="6" t="n">
        <x:v>1</x:v>
      </x:c>
    </x:row>
    <x:row r="1714">
      <x:c r="A1714" s="6" t="n">
        <x:v>2202</x:v>
      </x:c>
      <x:c r="B1714" s="6" t="n">
        <x:v>1978</x:v>
      </x:c>
      <x:c r="C1714" s="6" t="str">
        <x:v>Graduation</x:v>
      </x:c>
      <x:c r="D1714" s="6" t="str">
        <x:v>Together</x:v>
      </x:c>
      <x:c r="E1714" s="6" t="n">
        <x:v>41154</x:v>
      </x:c>
      <x:c r="F1714" s="6" t="n">
        <x:v>0</x:v>
      </x:c>
      <x:c r="G1714" s="6" t="n">
        <x:v>1</x:v>
      </x:c>
      <x:c r="H1714" s="9" t="str">
        <x:v>09-04-2013</x:v>
      </x:c>
      <x:c r="I1714" s="6" t="n">
        <x:v>98</x:v>
      </x:c>
      <x:c r="J1714" s="6" t="n">
        <x:v>44</x:v>
      </x:c>
      <x:c r="K1714" s="6" t="n">
        <x:v>2</x:v>
      </x:c>
      <x:c r="L1714" s="6" t="n">
        <x:v>11</x:v>
      </x:c>
      <x:c r="M1714" s="6" t="n">
        <x:v>2</x:v>
      </x:c>
      <x:c r="N1714" s="6" t="n">
        <x:v>3</x:v>
      </x:c>
      <x:c r="O1714" s="6" t="n">
        <x:v>7</x:v>
      </x:c>
      <x:c r="P1714" s="6" t="n">
        <x:v>1</x:v>
      </x:c>
      <x:c r="Q1714" s="6" t="n">
        <x:v>1</x:v>
      </x:c>
      <x:c r="R1714" s="6" t="n">
        <x:v>0</x:v>
      </x:c>
      <x:c r="S1714" s="6" t="n">
        <x:v>4</x:v>
      </x:c>
      <x:c r="T1714" s="6" t="n">
        <x:v>5</x:v>
      </x:c>
      <x:c r="U1714" s="6" t="n">
        <x:v>0</x:v>
      </x:c>
      <x:c r="V1714" s="6" t="n">
        <x:v>0</x:v>
      </x:c>
      <x:c r="W1714" s="6" t="n">
        <x:v>0</x:v>
      </x:c>
      <x:c r="X1714" s="6" t="n">
        <x:v>0</x:v>
      </x:c>
      <x:c r="Y1714" s="6" t="n">
        <x:v>0</x:v>
      </x:c>
      <x:c r="Z1714" s="6" t="n">
        <x:v>0</x:v>
      </x:c>
      <x:c r="AA1714" s="6" t="n">
        <x:v>3</x:v>
      </x:c>
      <x:c r="AB1714" s="6" t="n">
        <x:v>11</x:v>
      </x:c>
      <x:c r="AC1714" s="6" t="n">
        <x:v>0</x:v>
      </x:c>
    </x:row>
    <x:row r="1715">
      <x:c r="A1715" s="6" t="n">
        <x:v>7396</x:v>
      </x:c>
      <x:c r="B1715" s="6" t="n">
        <x:v>1966</x:v>
      </x:c>
      <x:c r="C1715" s="6" t="str">
        <x:v>Graduation</x:v>
      </x:c>
      <x:c r="D1715" s="6" t="str">
        <x:v>Married</x:v>
      </x:c>
      <x:c r="E1715" s="6" t="n">
        <x:v>80398</x:v>
      </x:c>
      <x:c r="F1715" s="6" t="n">
        <x:v>0</x:v>
      </x:c>
      <x:c r="G1715" s="6" t="n">
        <x:v>0</x:v>
      </x:c>
      <x:c r="H1715" s="9" t="str">
        <x:v>10-11-2012</x:v>
      </x:c>
      <x:c r="I1715" s="6" t="n">
        <x:v>92</x:v>
      </x:c>
      <x:c r="J1715" s="6" t="n">
        <x:v>342</x:v>
      </x:c>
      <x:c r="K1715" s="6" t="n">
        <x:v>51</x:v>
      </x:c>
      <x:c r="L1715" s="6" t="n">
        <x:v>936</x:v>
      </x:c>
      <x:c r="M1715" s="6" t="n">
        <x:v>207</x:v>
      </x:c>
      <x:c r="N1715" s="6" t="n">
        <x:v>35</x:v>
      </x:c>
      <x:c r="O1715" s="6" t="n">
        <x:v>26</x:v>
      </x:c>
      <x:c r="P1715" s="6" t="n">
        <x:v>1</x:v>
      </x:c>
      <x:c r="Q1715" s="6" t="n">
        <x:v>5</x:v>
      </x:c>
      <x:c r="R1715" s="6" t="n">
        <x:v>8</x:v>
      </x:c>
      <x:c r="S1715" s="6" t="n">
        <x:v>12</x:v>
      </x:c>
      <x:c r="T1715" s="6" t="n">
        <x:v>3</x:v>
      </x:c>
      <x:c r="U1715" s="6" t="n">
        <x:v>0</x:v>
      </x:c>
      <x:c r="V1715" s="6" t="n">
        <x:v>0</x:v>
      </x:c>
      <x:c r="W1715" s="6" t="n">
        <x:v>1</x:v>
      </x:c>
      <x:c r="X1715" s="6" t="n">
        <x:v>0</x:v>
      </x:c>
      <x:c r="Y1715" s="6" t="n">
        <x:v>0</x:v>
      </x:c>
      <x:c r="Z1715" s="6" t="n">
        <x:v>0</x:v>
      </x:c>
      <x:c r="AA1715" s="6" t="n">
        <x:v>3</x:v>
      </x:c>
      <x:c r="AB1715" s="6" t="n">
        <x:v>11</x:v>
      </x:c>
      <x:c r="AC1715" s="6" t="n">
        <x:v>0</x:v>
      </x:c>
    </x:row>
    <x:row r="1716">
      <x:c r="A1716" s="6" t="n">
        <x:v>4055</x:v>
      </x:c>
      <x:c r="B1716" s="6" t="n">
        <x:v>1992</x:v>
      </x:c>
      <x:c r="C1716" s="6" t="str">
        <x:v>Basic</x:v>
      </x:c>
      <x:c r="D1716" s="6" t="str">
        <x:v>Single</x:v>
      </x:c>
      <x:c r="E1716" s="6" t="n">
        <x:v>18746</x:v>
      </x:c>
      <x:c r="F1716" s="6" t="n">
        <x:v>1</x:v>
      </x:c>
      <x:c r="G1716" s="6" t="n">
        <x:v>0</x:v>
      </x:c>
      <x:c r="H1716" s="9" t="str">
        <x:v>29-05-2014</x:v>
      </x:c>
      <x:c r="I1716" s="6" t="n">
        <x:v>41</x:v>
      </x:c>
      <x:c r="J1716" s="6" t="n">
        <x:v>2</x:v>
      </x:c>
      <x:c r="K1716" s="6" t="n">
        <x:v>10</x:v>
      </x:c>
      <x:c r="L1716" s="6" t="n">
        <x:v>11</x:v>
      </x:c>
      <x:c r="M1716" s="6" t="n">
        <x:v>12</x:v>
      </x:c>
      <x:c r="N1716" s="6" t="n">
        <x:v>9</x:v>
      </x:c>
      <x:c r="O1716" s="6" t="n">
        <x:v>20</x:v>
      </x:c>
      <x:c r="P1716" s="6" t="n">
        <x:v>2</x:v>
      </x:c>
      <x:c r="Q1716" s="6" t="n">
        <x:v>3</x:v>
      </x:c>
      <x:c r="R1716" s="6" t="n">
        <x:v>0</x:v>
      </x:c>
      <x:c r="S1716" s="6" t="n">
        <x:v>3</x:v>
      </x:c>
      <x:c r="T1716" s="6" t="n">
        <x:v>6</x:v>
      </x:c>
      <x:c r="U1716" s="6" t="n">
        <x:v>0</x:v>
      </x:c>
      <x:c r="V1716" s="6" t="n">
        <x:v>0</x:v>
      </x:c>
      <x:c r="W1716" s="6" t="n">
        <x:v>0</x:v>
      </x:c>
      <x:c r="X1716" s="6" t="n">
        <x:v>0</x:v>
      </x:c>
      <x:c r="Y1716" s="6" t="n">
        <x:v>0</x:v>
      </x:c>
      <x:c r="Z1716" s="6" t="n">
        <x:v>0</x:v>
      </x:c>
      <x:c r="AA1716" s="6" t="n">
        <x:v>3</x:v>
      </x:c>
      <x:c r="AB1716" s="6" t="n">
        <x:v>11</x:v>
      </x:c>
      <x:c r="AC1716" s="6" t="n">
        <x:v>0</x:v>
      </x:c>
    </x:row>
    <x:row r="1717">
      <x:c r="A1717" s="6" t="n">
        <x:v>10340</x:v>
      </x:c>
      <x:c r="B1717" s="6" t="n">
        <x:v>1984</x:v>
      </x:c>
      <x:c r="C1717" s="6" t="str">
        <x:v>Graduation</x:v>
      </x:c>
      <x:c r="D1717" s="6" t="str">
        <x:v>Together</x:v>
      </x:c>
      <x:c r="E1717" s="6" t="n">
        <x:v>35196</x:v>
      </x:c>
      <x:c r="F1717" s="6" t="n">
        <x:v>1</x:v>
      </x:c>
      <x:c r="G1717" s="6" t="n">
        <x:v>0</x:v>
      </x:c>
      <x:c r="H1717" s="9" t="str">
        <x:v>13-11-2012</x:v>
      </x:c>
      <x:c r="I1717" s="6" t="n">
        <x:v>68</x:v>
      </x:c>
      <x:c r="J1717" s="6" t="n">
        <x:v>75</x:v>
      </x:c>
      <x:c r="K1717" s="6" t="n">
        <x:v>12</x:v>
      </x:c>
      <x:c r="L1717" s="6" t="n">
        <x:v>141</x:v>
      </x:c>
      <x:c r="M1717" s="6" t="n">
        <x:v>43</x:v>
      </x:c>
      <x:c r="N1717" s="6" t="n">
        <x:v>39</x:v>
      </x:c>
      <x:c r="O1717" s="6" t="n">
        <x:v>187</x:v>
      </x:c>
      <x:c r="P1717" s="6" t="n">
        <x:v>6</x:v>
      </x:c>
      <x:c r="Q1717" s="6" t="n">
        <x:v>6</x:v>
      </x:c>
      <x:c r="R1717" s="6" t="n">
        <x:v>1</x:v>
      </x:c>
      <x:c r="S1717" s="6" t="n">
        <x:v>5</x:v>
      </x:c>
      <x:c r="T1717" s="6" t="n">
        <x:v>8</x:v>
      </x:c>
      <x:c r="U1717" s="6" t="n">
        <x:v>0</x:v>
      </x:c>
      <x:c r="V1717" s="6" t="n">
        <x:v>0</x:v>
      </x:c>
      <x:c r="W1717" s="6" t="n">
        <x:v>0</x:v>
      </x:c>
      <x:c r="X1717" s="6" t="n">
        <x:v>0</x:v>
      </x:c>
      <x:c r="Y1717" s="6" t="n">
        <x:v>0</x:v>
      </x:c>
      <x:c r="Z1717" s="6" t="n">
        <x:v>0</x:v>
      </x:c>
      <x:c r="AA1717" s="6" t="n">
        <x:v>3</x:v>
      </x:c>
      <x:c r="AB1717" s="6" t="n">
        <x:v>11</x:v>
      </x:c>
      <x:c r="AC1717" s="6" t="n">
        <x:v>0</x:v>
      </x:c>
    </x:row>
    <x:row r="1718">
      <x:c r="A1718" s="6" t="n">
        <x:v>10091</x:v>
      </x:c>
      <x:c r="B1718" s="6" t="n">
        <x:v>1956</x:v>
      </x:c>
      <x:c r="C1718" s="6" t="str">
        <x:v>Graduation</x:v>
      </x:c>
      <x:c r="D1718" s="6" t="str">
        <x:v>Single</x:v>
      </x:c>
      <x:c r="E1718" s="6" t="n">
        <x:v>60230</x:v>
      </x:c>
      <x:c r="F1718" s="6" t="n">
        <x:v>0</x:v>
      </x:c>
      <x:c r="G1718" s="6" t="n">
        <x:v>1</x:v>
      </x:c>
      <x:c r="H1718" s="9" t="str">
        <x:v>20-05-2013</x:v>
      </x:c>
      <x:c r="I1718" s="6" t="n">
        <x:v>78</x:v>
      </x:c>
      <x:c r="J1718" s="6" t="n">
        <x:v>520</x:v>
      </x:c>
      <x:c r="K1718" s="6" t="n">
        <x:v>20</x:v>
      </x:c>
      <x:c r="L1718" s="6" t="n">
        <x:v>367</x:v>
      </x:c>
      <x:c r="M1718" s="6" t="n">
        <x:v>39</x:v>
      </x:c>
      <x:c r="N1718" s="6" t="n">
        <x:v>81</x:v>
      </x:c>
      <x:c r="O1718" s="6" t="n">
        <x:v>40</x:v>
      </x:c>
      <x:c r="P1718" s="6" t="n">
        <x:v>2</x:v>
      </x:c>
      <x:c r="Q1718" s="6" t="n">
        <x:v>6</x:v>
      </x:c>
      <x:c r="R1718" s="6" t="n">
        <x:v>3</x:v>
      </x:c>
      <x:c r="S1718" s="6" t="n">
        <x:v>6</x:v>
      </x:c>
      <x:c r="T1718" s="6" t="n">
        <x:v>5</x:v>
      </x:c>
      <x:c r="U1718" s="6" t="n">
        <x:v>0</x:v>
      </x:c>
      <x:c r="V1718" s="6" t="n">
        <x:v>0</x:v>
      </x:c>
      <x:c r="W1718" s="6" t="n">
        <x:v>0</x:v>
      </x:c>
      <x:c r="X1718" s="6" t="n">
        <x:v>0</x:v>
      </x:c>
      <x:c r="Y1718" s="6" t="n">
        <x:v>0</x:v>
      </x:c>
      <x:c r="Z1718" s="6" t="n">
        <x:v>0</x:v>
      </x:c>
      <x:c r="AA1718" s="6" t="n">
        <x:v>3</x:v>
      </x:c>
      <x:c r="AB1718" s="6" t="n">
        <x:v>11</x:v>
      </x:c>
      <x:c r="AC1718" s="6" t="n">
        <x:v>0</x:v>
      </x:c>
    </x:row>
    <x:row r="1719">
      <x:c r="A1719" s="6" t="n">
        <x:v>7629</x:v>
      </x:c>
      <x:c r="B1719" s="6" t="n">
        <x:v>1977</x:v>
      </x:c>
      <x:c r="C1719" s="6" t="str">
        <x:v>Graduation</x:v>
      </x:c>
      <x:c r="D1719" s="6" t="str">
        <x:v>Married</x:v>
      </x:c>
      <x:c r="E1719" s="6" t="n">
        <x:v>22108</x:v>
      </x:c>
      <x:c r="F1719" s="6" t="n">
        <x:v>1</x:v>
      </x:c>
      <x:c r="G1719" s="6" t="n">
        <x:v>1</x:v>
      </x:c>
      <x:c r="H1719" s="9" t="str">
        <x:v>08-05-2014</x:v>
      </x:c>
      <x:c r="I1719" s="6" t="n">
        <x:v>46</x:v>
      </x:c>
      <x:c r="J1719" s="6" t="n">
        <x:v>5</x:v>
      </x:c>
      <x:c r="K1719" s="6" t="n">
        <x:v>3</x:v>
      </x:c>
      <x:c r="L1719" s="6" t="n">
        <x:v>9</x:v>
      </x:c>
      <x:c r="M1719" s="6" t="n">
        <x:v>6</x:v>
      </x:c>
      <x:c r="N1719" s="6" t="n">
        <x:v>2</x:v>
      </x:c>
      <x:c r="O1719" s="6" t="n">
        <x:v>6</x:v>
      </x:c>
      <x:c r="P1719" s="6" t="n">
        <x:v>2</x:v>
      </x:c>
      <x:c r="Q1719" s="6" t="n">
        <x:v>2</x:v>
      </x:c>
      <x:c r="R1719" s="6" t="n">
        <x:v>0</x:v>
      </x:c>
      <x:c r="S1719" s="6" t="n">
        <x:v>3</x:v>
      </x:c>
      <x:c r="T1719" s="6" t="n">
        <x:v>7</x:v>
      </x:c>
      <x:c r="U1719" s="6" t="n">
        <x:v>0</x:v>
      </x:c>
      <x:c r="V1719" s="6" t="n">
        <x:v>0</x:v>
      </x:c>
      <x:c r="W1719" s="6" t="n">
        <x:v>0</x:v>
      </x:c>
      <x:c r="X1719" s="6" t="n">
        <x:v>0</x:v>
      </x:c>
      <x:c r="Y1719" s="6" t="n">
        <x:v>0</x:v>
      </x:c>
      <x:c r="Z1719" s="6" t="n">
        <x:v>0</x:v>
      </x:c>
      <x:c r="AA1719" s="6" t="n">
        <x:v>3</x:v>
      </x:c>
      <x:c r="AB1719" s="6" t="n">
        <x:v>11</x:v>
      </x:c>
      <x:c r="AC1719" s="6" t="n">
        <x:v>0</x:v>
      </x:c>
    </x:row>
    <x:row r="1720">
      <x:c r="A1720" s="6" t="n">
        <x:v>10640</x:v>
      </x:c>
      <x:c r="B1720" s="6" t="n">
        <x:v>1974</x:v>
      </x:c>
      <x:c r="C1720" s="6" t="str">
        <x:v>Graduation</x:v>
      </x:c>
      <x:c r="D1720" s="6" t="str">
        <x:v>Together</x:v>
      </x:c>
      <x:c r="E1720" s="6" t="n">
        <x:v>44392</x:v>
      </x:c>
      <x:c r="F1720" s="6" t="n">
        <x:v>1</x:v>
      </x:c>
      <x:c r="G1720" s="6" t="n">
        <x:v>1</x:v>
      </x:c>
      <x:c r="H1720" s="9" t="str">
        <x:v>05-09-2013</x:v>
      </x:c>
      <x:c r="I1720" s="6" t="n">
        <x:v>71</x:v>
      </x:c>
      <x:c r="J1720" s="6" t="n">
        <x:v>87</x:v>
      </x:c>
      <x:c r="K1720" s="6" t="n">
        <x:v>5</x:v>
      </x:c>
      <x:c r="L1720" s="6" t="n">
        <x:v>71</x:v>
      </x:c>
      <x:c r="M1720" s="6" t="n">
        <x:v>7</x:v>
      </x:c>
      <x:c r="N1720" s="6" t="n">
        <x:v>12</x:v>
      </x:c>
      <x:c r="O1720" s="6" t="n">
        <x:v>29</x:v>
      </x:c>
      <x:c r="P1720" s="6" t="n">
        <x:v>5</x:v>
      </x:c>
      <x:c r="Q1720" s="6" t="n">
        <x:v>4</x:v>
      </x:c>
      <x:c r="R1720" s="6" t="n">
        <x:v>1</x:v>
      </x:c>
      <x:c r="S1720" s="6" t="n">
        <x:v>4</x:v>
      </x:c>
      <x:c r="T1720" s="6" t="n">
        <x:v>7</x:v>
      </x:c>
      <x:c r="U1720" s="6" t="n">
        <x:v>0</x:v>
      </x:c>
      <x:c r="V1720" s="6" t="n">
        <x:v>0</x:v>
      </x:c>
      <x:c r="W1720" s="6" t="n">
        <x:v>0</x:v>
      </x:c>
      <x:c r="X1720" s="6" t="n">
        <x:v>0</x:v>
      </x:c>
      <x:c r="Y1720" s="6" t="n">
        <x:v>0</x:v>
      </x:c>
      <x:c r="Z1720" s="6" t="n">
        <x:v>0</x:v>
      </x:c>
      <x:c r="AA1720" s="6" t="n">
        <x:v>3</x:v>
      </x:c>
      <x:c r="AB1720" s="6" t="n">
        <x:v>11</x:v>
      </x:c>
      <x:c r="AC1720" s="6" t="n">
        <x:v>0</x:v>
      </x:c>
    </x:row>
    <x:row r="1721">
      <x:c r="A1721" s="6" t="n">
        <x:v>3498</x:v>
      </x:c>
      <x:c r="B1721" s="6" t="n">
        <x:v>1976</x:v>
      </x:c>
      <x:c r="C1721" s="6" t="str">
        <x:v>PhD</x:v>
      </x:c>
      <x:c r="D1721" s="6" t="str">
        <x:v>Married</x:v>
      </x:c>
      <x:c r="E1721" s="6" t="n">
        <x:v>55424</x:v>
      </x:c>
      <x:c r="F1721" s="6" t="n">
        <x:v>0</x:v>
      </x:c>
      <x:c r="G1721" s="6" t="n">
        <x:v>1</x:v>
      </x:c>
      <x:c r="H1721" s="9" t="str">
        <x:v>25-11-2012</x:v>
      </x:c>
      <x:c r="I1721" s="6" t="n">
        <x:v>6</x:v>
      </x:c>
      <x:c r="J1721" s="6" t="n">
        <x:v>462</x:v>
      </x:c>
      <x:c r="K1721" s="6" t="n">
        <x:v>61</x:v>
      </x:c>
      <x:c r="L1721" s="6" t="n">
        <x:v>184</x:v>
      </x:c>
      <x:c r="M1721" s="6" t="n">
        <x:v>10</x:v>
      </x:c>
      <x:c r="N1721" s="6" t="n">
        <x:v>53</x:v>
      </x:c>
      <x:c r="O1721" s="6" t="n">
        <x:v>107</x:v>
      </x:c>
      <x:c r="P1721" s="6" t="n">
        <x:v>4</x:v>
      </x:c>
      <x:c r="Q1721" s="6" t="n">
        <x:v>7</x:v>
      </x:c>
      <x:c r="R1721" s="6" t="n">
        <x:v>5</x:v>
      </x:c>
      <x:c r="S1721" s="6" t="n">
        <x:v>9</x:v>
      </x:c>
      <x:c r="T1721" s="6" t="n">
        <x:v>6</x:v>
      </x:c>
      <x:c r="U1721" s="6" t="n">
        <x:v>1</x:v>
      </x:c>
      <x:c r="V1721" s="6" t="n">
        <x:v>0</x:v>
      </x:c>
      <x:c r="W1721" s="6" t="n">
        <x:v>0</x:v>
      </x:c>
      <x:c r="X1721" s="6" t="n">
        <x:v>0</x:v>
      </x:c>
      <x:c r="Y1721" s="6" t="n">
        <x:v>0</x:v>
      </x:c>
      <x:c r="Z1721" s="6" t="n">
        <x:v>0</x:v>
      </x:c>
      <x:c r="AA1721" s="6" t="n">
        <x:v>3</x:v>
      </x:c>
      <x:c r="AB1721" s="6" t="n">
        <x:v>11</x:v>
      </x:c>
      <x:c r="AC1721" s="6" t="n">
        <x:v>1</x:v>
      </x:c>
    </x:row>
    <x:row r="1722">
      <x:c r="A1722" s="6" t="n">
        <x:v>6742</x:v>
      </x:c>
      <x:c r="B1722" s="6" t="n">
        <x:v>1979</x:v>
      </x:c>
      <x:c r="C1722" s="6" t="str">
        <x:v>Graduation</x:v>
      </x:c>
      <x:c r="D1722" s="6" t="str">
        <x:v>Married</x:v>
      </x:c>
      <x:c r="E1722" s="6" t="n">
        <x:v>17688</x:v>
      </x:c>
      <x:c r="F1722" s="6" t="n">
        <x:v>1</x:v>
      </x:c>
      <x:c r="G1722" s="6" t="n">
        <x:v>0</x:v>
      </x:c>
      <x:c r="H1722" s="9" t="str">
        <x:v>13-01-2013</x:v>
      </x:c>
      <x:c r="I1722" s="6" t="n">
        <x:v>82</x:v>
      </x:c>
      <x:c r="J1722" s="6" t="n">
        <x:v>2</x:v>
      </x:c>
      <x:c r="K1722" s="6" t="n">
        <x:v>2</x:v>
      </x:c>
      <x:c r="L1722" s="6" t="n">
        <x:v>1</x:v>
      </x:c>
      <x:c r="M1722" s="6" t="n">
        <x:v>3</x:v>
      </x:c>
      <x:c r="N1722" s="6" t="n">
        <x:v>1</x:v>
      </x:c>
      <x:c r="O1722" s="6" t="n">
        <x:v>2</x:v>
      </x:c>
      <x:c r="P1722" s="6" t="n">
        <x:v>1</x:v>
      </x:c>
      <x:c r="Q1722" s="6" t="n">
        <x:v>1</x:v>
      </x:c>
      <x:c r="R1722" s="6" t="n">
        <x:v>0</x:v>
      </x:c>
      <x:c r="S1722" s="6" t="n">
        <x:v>2</x:v>
      </x:c>
      <x:c r="T1722" s="6" t="n">
        <x:v>8</x:v>
      </x:c>
      <x:c r="U1722" s="6" t="n">
        <x:v>0</x:v>
      </x:c>
      <x:c r="V1722" s="6" t="n">
        <x:v>0</x:v>
      </x:c>
      <x:c r="W1722" s="6" t="n">
        <x:v>0</x:v>
      </x:c>
      <x:c r="X1722" s="6" t="n">
        <x:v>0</x:v>
      </x:c>
      <x:c r="Y1722" s="6" t="n">
        <x:v>0</x:v>
      </x:c>
      <x:c r="Z1722" s="6" t="n">
        <x:v>1</x:v>
      </x:c>
      <x:c r="AA1722" s="6" t="n">
        <x:v>3</x:v>
      </x:c>
      <x:c r="AB1722" s="6" t="n">
        <x:v>11</x:v>
      </x:c>
      <x:c r="AC1722" s="6" t="n">
        <x:v>0</x:v>
      </x:c>
    </x:row>
    <x:row r="1723">
      <x:c r="A1723" s="6" t="n">
        <x:v>1172</x:v>
      </x:c>
      <x:c r="B1723" s="6" t="n">
        <x:v>1983</x:v>
      </x:c>
      <x:c r="C1723" s="6" t="str">
        <x:v>PhD</x:v>
      </x:c>
      <x:c r="D1723" s="6" t="str">
        <x:v>Married</x:v>
      </x:c>
      <x:c r="E1723" s="6" t="n">
        <x:v>92491</x:v>
      </x:c>
      <x:c r="F1723" s="6" t="n">
        <x:v>0</x:v>
      </x:c>
      <x:c r="G1723" s="6" t="n">
        <x:v>0</x:v>
      </x:c>
      <x:c r="H1723" s="9" t="str">
        <x:v>01-05-2013</x:v>
      </x:c>
      <x:c r="I1723" s="6" t="n">
        <x:v>71</x:v>
      </x:c>
      <x:c r="J1723" s="6" t="n">
        <x:v>979</x:v>
      </x:c>
      <x:c r="K1723" s="6" t="n">
        <x:v>44</x:v>
      </x:c>
      <x:c r="L1723" s="6" t="n">
        <x:v>935</x:v>
      </x:c>
      <x:c r="M1723" s="6" t="n">
        <x:v>29</x:v>
      </x:c>
      <x:c r="N1723" s="6" t="n">
        <x:v>25</x:v>
      </x:c>
      <x:c r="O1723" s="6" t="n">
        <x:v>22</x:v>
      </x:c>
      <x:c r="P1723" s="6" t="n">
        <x:v>1</x:v>
      </x:c>
      <x:c r="Q1723" s="6" t="n">
        <x:v>7</x:v>
      </x:c>
      <x:c r="R1723" s="6" t="n">
        <x:v>5</x:v>
      </x:c>
      <x:c r="S1723" s="6" t="n">
        <x:v>12</x:v>
      </x:c>
      <x:c r="T1723" s="6" t="n">
        <x:v>3</x:v>
      </x:c>
      <x:c r="U1723" s="6" t="n">
        <x:v>0</x:v>
      </x:c>
      <x:c r="V1723" s="6" t="n">
        <x:v>1</x:v>
      </x:c>
      <x:c r="W1723" s="6" t="n">
        <x:v>1</x:v>
      </x:c>
      <x:c r="X1723" s="6" t="n">
        <x:v>1</x:v>
      </x:c>
      <x:c r="Y1723" s="6" t="n">
        <x:v>0</x:v>
      </x:c>
      <x:c r="Z1723" s="6" t="n">
        <x:v>0</x:v>
      </x:c>
      <x:c r="AA1723" s="6" t="n">
        <x:v>3</x:v>
      </x:c>
      <x:c r="AB1723" s="6" t="n">
        <x:v>11</x:v>
      </x:c>
      <x:c r="AC1723" s="6" t="n">
        <x:v>1</x:v>
      </x:c>
    </x:row>
    <x:row r="1724">
      <x:c r="A1724" s="6" t="n">
        <x:v>569</x:v>
      </x:c>
      <x:c r="B1724" s="6" t="n">
        <x:v>1991</x:v>
      </x:c>
      <x:c r="C1724" s="6" t="str">
        <x:v>Graduation</x:v>
      </x:c>
      <x:c r="D1724" s="6" t="str">
        <x:v>Single</x:v>
      </x:c>
      <x:c r="E1724" s="6" t="n">
        <x:v>90273</x:v>
      </x:c>
      <x:c r="F1724" s="6" t="n">
        <x:v>0</x:v>
      </x:c>
      <x:c r="G1724" s="6" t="n">
        <x:v>0</x:v>
      </x:c>
      <x:c r="H1724" s="9" t="str">
        <x:v>14-12-2013</x:v>
      </x:c>
      <x:c r="I1724" s="6" t="n">
        <x:v>32</x:v>
      </x:c>
      <x:c r="J1724" s="6" t="n">
        <x:v>704</x:v>
      </x:c>
      <x:c r="K1724" s="6" t="n">
        <x:v>129</x:v>
      </x:c>
      <x:c r="L1724" s="6" t="n">
        <x:v>853</x:v>
      </x:c>
      <x:c r="M1724" s="6" t="n">
        <x:v>120</x:v>
      </x:c>
      <x:c r="N1724" s="6" t="n">
        <x:v>74</x:v>
      </x:c>
      <x:c r="O1724" s="6" t="n">
        <x:v>111</x:v>
      </x:c>
      <x:c r="P1724" s="6" t="n">
        <x:v>1</x:v>
      </x:c>
      <x:c r="Q1724" s="6" t="n">
        <x:v>5</x:v>
      </x:c>
      <x:c r="R1724" s="6" t="n">
        <x:v>6</x:v>
      </x:c>
      <x:c r="S1724" s="6" t="n">
        <x:v>7</x:v>
      </x:c>
      <x:c r="T1724" s="6" t="n">
        <x:v>2</x:v>
      </x:c>
      <x:c r="U1724" s="6" t="n">
        <x:v>0</x:v>
      </x:c>
      <x:c r="V1724" s="6" t="n">
        <x:v>1</x:v>
      </x:c>
      <x:c r="W1724" s="6" t="n">
        <x:v>1</x:v>
      </x:c>
      <x:c r="X1724" s="6" t="n">
        <x:v>1</x:v>
      </x:c>
      <x:c r="Y1724" s="6" t="n">
        <x:v>0</x:v>
      </x:c>
      <x:c r="Z1724" s="6" t="n">
        <x:v>0</x:v>
      </x:c>
      <x:c r="AA1724" s="6" t="n">
        <x:v>3</x:v>
      </x:c>
      <x:c r="AB1724" s="6" t="n">
        <x:v>11</x:v>
      </x:c>
      <x:c r="AC1724" s="6" t="n">
        <x:v>1</x:v>
      </x:c>
    </x:row>
    <x:row r="1725">
      <x:c r="A1725" s="6" t="n">
        <x:v>4686</x:v>
      </x:c>
      <x:c r="B1725" s="6" t="n">
        <x:v>1962</x:v>
      </x:c>
      <x:c r="C1725" s="6" t="str">
        <x:v>PhD</x:v>
      </x:c>
      <x:c r="D1725" s="6" t="str">
        <x:v>Widow</x:v>
      </x:c>
      <x:c r="E1725" s="6" t="n">
        <x:v>82571</x:v>
      </x:c>
      <x:c r="F1725" s="6" t="n">
        <x:v>0</x:v>
      </x:c>
      <x:c r="G1725" s="6" t="n">
        <x:v>0</x:v>
      </x:c>
      <x:c r="H1725" s="9" t="str">
        <x:v>02-04-2014</x:v>
      </x:c>
      <x:c r="I1725" s="6" t="n">
        <x:v>28</x:v>
      </x:c>
      <x:c r="J1725" s="6" t="n">
        <x:v>861</x:v>
      </x:c>
      <x:c r="K1725" s="6" t="n">
        <x:v>31</x:v>
      </x:c>
      <x:c r="L1725" s="6" t="n">
        <x:v>558</x:v>
      </x:c>
      <x:c r="M1725" s="6" t="n">
        <x:v>62</x:v>
      </x:c>
      <x:c r="N1725" s="6" t="n">
        <x:v>95</x:v>
      </x:c>
      <x:c r="O1725" s="6" t="n">
        <x:v>79</x:v>
      </x:c>
      <x:c r="P1725" s="6" t="n">
        <x:v>0</x:v>
      </x:c>
      <x:c r="Q1725" s="6" t="n">
        <x:v>6</x:v>
      </x:c>
      <x:c r="R1725" s="6" t="n">
        <x:v>5</x:v>
      </x:c>
      <x:c r="S1725" s="6" t="n">
        <x:v>13</x:v>
      </x:c>
      <x:c r="T1725" s="6" t="n">
        <x:v>2</x:v>
      </x:c>
      <x:c r="U1725" s="6" t="n">
        <x:v>0</x:v>
      </x:c>
      <x:c r="V1725" s="6" t="n">
        <x:v>0</x:v>
      </x:c>
      <x:c r="W1725" s="6" t="n">
        <x:v>1</x:v>
      </x:c>
      <x:c r="X1725" s="6" t="n">
        <x:v>0</x:v>
      </x:c>
      <x:c r="Y1725" s="6" t="n">
        <x:v>0</x:v>
      </x:c>
      <x:c r="Z1725" s="6" t="n">
        <x:v>0</x:v>
      </x:c>
      <x:c r="AA1725" s="6" t="n">
        <x:v>3</x:v>
      </x:c>
      <x:c r="AB1725" s="6" t="n">
        <x:v>11</x:v>
      </x:c>
      <x:c r="AC1725" s="6" t="n">
        <x:v>0</x:v>
      </x:c>
    </x:row>
    <x:row r="1726">
      <x:c r="A1726" s="6" t="n">
        <x:v>1381</x:v>
      </x:c>
      <x:c r="B1726" s="6" t="n">
        <x:v>1982</x:v>
      </x:c>
      <x:c r="C1726" s="6" t="str">
        <x:v>PhD</x:v>
      </x:c>
      <x:c r="D1726" s="6" t="str">
        <x:v>Single</x:v>
      </x:c>
      <x:c r="E1726" s="6" t="n">
        <x:v>38513</x:v>
      </x:c>
      <x:c r="F1726" s="6" t="n">
        <x:v>1</x:v>
      </x:c>
      <x:c r="G1726" s="6" t="n">
        <x:v>0</x:v>
      </x:c>
      <x:c r="H1726" s="9" t="str">
        <x:v>28-01-2014</x:v>
      </x:c>
      <x:c r="I1726" s="6" t="n">
        <x:v>20</x:v>
      </x:c>
      <x:c r="J1726" s="6" t="n">
        <x:v>172</x:v>
      </x:c>
      <x:c r="K1726" s="6" t="n">
        <x:v>3</x:v>
      </x:c>
      <x:c r="L1726" s="6" t="n">
        <x:v>115</x:v>
      </x:c>
      <x:c r="M1726" s="6" t="n">
        <x:v>16</x:v>
      </x:c>
      <x:c r="N1726" s="6" t="n">
        <x:v>0</x:v>
      </x:c>
      <x:c r="O1726" s="6" t="n">
        <x:v>18</x:v>
      </x:c>
      <x:c r="P1726" s="6" t="n">
        <x:v>5</x:v>
      </x:c>
      <x:c r="Q1726" s="6" t="n">
        <x:v>6</x:v>
      </x:c>
      <x:c r="R1726" s="6" t="n">
        <x:v>1</x:v>
      </x:c>
      <x:c r="S1726" s="6" t="n">
        <x:v>5</x:v>
      </x:c>
      <x:c r="T1726" s="6" t="n">
        <x:v>8</x:v>
      </x:c>
      <x:c r="U1726" s="6" t="n">
        <x:v>0</x:v>
      </x:c>
      <x:c r="V1726" s="6" t="n">
        <x:v>0</x:v>
      </x:c>
      <x:c r="W1726" s="6" t="n">
        <x:v>0</x:v>
      </x:c>
      <x:c r="X1726" s="6" t="n">
        <x:v>0</x:v>
      </x:c>
      <x:c r="Y1726" s="6" t="n">
        <x:v>0</x:v>
      </x:c>
      <x:c r="Z1726" s="6" t="n">
        <x:v>0</x:v>
      </x:c>
      <x:c r="AA1726" s="6" t="n">
        <x:v>3</x:v>
      </x:c>
      <x:c r="AB1726" s="6" t="n">
        <x:v>11</x:v>
      </x:c>
      <x:c r="AC1726" s="6" t="n">
        <x:v>1</x:v>
      </x:c>
    </x:row>
    <x:row r="1727">
      <x:c r="A1727" s="6" t="n">
        <x:v>2634</x:v>
      </x:c>
      <x:c r="B1727" s="6" t="n">
        <x:v>1979</x:v>
      </x:c>
      <x:c r="C1727" s="6" t="str">
        <x:v>Master</x:v>
      </x:c>
      <x:c r="D1727" s="6" t="str">
        <x:v>Single</x:v>
      </x:c>
      <x:c r="E1727" s="6" t="n">
        <x:v>16653</x:v>
      </x:c>
      <x:c r="F1727" s="6" t="n">
        <x:v>1</x:v>
      </x:c>
      <x:c r="G1727" s="6" t="n">
        <x:v>0</x:v>
      </x:c>
      <x:c r="H1727" s="9" t="str">
        <x:v>18-04-2014</x:v>
      </x:c>
      <x:c r="I1727" s="6" t="n">
        <x:v>10</x:v>
      </x:c>
      <x:c r="J1727" s="6" t="n">
        <x:v>5</x:v>
      </x:c>
      <x:c r="K1727" s="6" t="n">
        <x:v>7</x:v>
      </x:c>
      <x:c r="L1727" s="6" t="n">
        <x:v>31</x:v>
      </x:c>
      <x:c r="M1727" s="6" t="n">
        <x:v>15</x:v>
      </x:c>
      <x:c r="N1727" s="6" t="n">
        <x:v>4</x:v>
      </x:c>
      <x:c r="O1727" s="6" t="n">
        <x:v>7</x:v>
      </x:c>
      <x:c r="P1727" s="6" t="n">
        <x:v>3</x:v>
      </x:c>
      <x:c r="Q1727" s="6" t="n">
        <x:v>2</x:v>
      </x:c>
      <x:c r="R1727" s="6" t="n">
        <x:v>1</x:v>
      </x:c>
      <x:c r="S1727" s="6" t="n">
        <x:v>3</x:v>
      </x:c>
      <x:c r="T1727" s="6" t="n">
        <x:v>6</x:v>
      </x:c>
      <x:c r="U1727" s="6" t="n">
        <x:v>0</x:v>
      </x:c>
      <x:c r="V1727" s="6" t="n">
        <x:v>0</x:v>
      </x:c>
      <x:c r="W1727" s="6" t="n">
        <x:v>0</x:v>
      </x:c>
      <x:c r="X1727" s="6" t="n">
        <x:v>0</x:v>
      </x:c>
      <x:c r="Y1727" s="6" t="n">
        <x:v>0</x:v>
      </x:c>
      <x:c r="Z1727" s="6" t="n">
        <x:v>0</x:v>
      </x:c>
      <x:c r="AA1727" s="6" t="n">
        <x:v>3</x:v>
      </x:c>
      <x:c r="AB1727" s="6" t="n">
        <x:v>11</x:v>
      </x:c>
      <x:c r="AC1727" s="6" t="n">
        <x:v>1</x:v>
      </x:c>
    </x:row>
    <x:row r="1728">
      <x:c r="A1728" s="6" t="n">
        <x:v>10905</x:v>
      </x:c>
      <x:c r="B1728" s="6" t="n">
        <x:v>1955</x:v>
      </x:c>
      <x:c r="C1728" s="6" t="str">
        <x:v>Graduation</x:v>
      </x:c>
      <x:c r="D1728" s="6" t="str">
        <x:v>Together</x:v>
      </x:c>
      <x:c r="E1728" s="6" t="n">
        <x:v>42586</x:v>
      </x:c>
      <x:c r="F1728" s="6" t="n">
        <x:v>1</x:v>
      </x:c>
      <x:c r="G1728" s="6" t="n">
        <x:v>1</x:v>
      </x:c>
      <x:c r="H1728" s="9" t="str">
        <x:v>29-10-2012</x:v>
      </x:c>
      <x:c r="I1728" s="6" t="n">
        <x:v>7</x:v>
      </x:c>
      <x:c r="J1728" s="6" t="n">
        <x:v>194</x:v>
      </x:c>
      <x:c r="K1728" s="6" t="n">
        <x:v>2</x:v>
      </x:c>
      <x:c r="L1728" s="6" t="n">
        <x:v>56</x:v>
      </x:c>
      <x:c r="M1728" s="6" t="n">
        <x:v>0</x:v>
      </x:c>
      <x:c r="N1728" s="6" t="n">
        <x:v>0</x:v>
      </x:c>
      <x:c r="O1728" s="6" t="n">
        <x:v>0</x:v>
      </x:c>
      <x:c r="P1728" s="6" t="n">
        <x:v>5</x:v>
      </x:c>
      <x:c r="Q1728" s="6" t="n">
        <x:v>4</x:v>
      </x:c>
      <x:c r="R1728" s="6" t="n">
        <x:v>1</x:v>
      </x:c>
      <x:c r="S1728" s="6" t="n">
        <x:v>6</x:v>
      </x:c>
      <x:c r="T1728" s="6" t="n">
        <x:v>8</x:v>
      </x:c>
      <x:c r="U1728" s="6" t="n">
        <x:v>0</x:v>
      </x:c>
      <x:c r="V1728" s="6" t="n">
        <x:v>0</x:v>
      </x:c>
      <x:c r="W1728" s="6" t="n">
        <x:v>0</x:v>
      </x:c>
      <x:c r="X1728" s="6" t="n">
        <x:v>0</x:v>
      </x:c>
      <x:c r="Y1728" s="6" t="n">
        <x:v>0</x:v>
      </x:c>
      <x:c r="Z1728" s="6" t="n">
        <x:v>0</x:v>
      </x:c>
      <x:c r="AA1728" s="6" t="n">
        <x:v>3</x:v>
      </x:c>
      <x:c r="AB1728" s="6" t="n">
        <x:v>11</x:v>
      </x:c>
      <x:c r="AC1728" s="6" t="n">
        <x:v>1</x:v>
      </x:c>
    </x:row>
    <x:row r="1729">
      <x:c r="A1729" s="6" t="n">
        <x:v>1744</x:v>
      </x:c>
      <x:c r="B1729" s="6" t="n">
        <x:v>1965</x:v>
      </x:c>
      <x:c r="C1729" s="6" t="str">
        <x:v>Basic</x:v>
      </x:c>
      <x:c r="D1729" s="6" t="str">
        <x:v>Single</x:v>
      </x:c>
      <x:c r="E1729" s="6" t="n">
        <x:v>23529</x:v>
      </x:c>
      <x:c r="F1729" s="6" t="n">
        <x:v>0</x:v>
      </x:c>
      <x:c r="G1729" s="6" t="n">
        <x:v>1</x:v>
      </x:c>
      <x:c r="H1729" s="9" t="str">
        <x:v>07-01-2013</x:v>
      </x:c>
      <x:c r="I1729" s="6" t="n">
        <x:v>67</x:v>
      </x:c>
      <x:c r="J1729" s="6" t="n">
        <x:v>9</x:v>
      </x:c>
      <x:c r="K1729" s="6" t="n">
        <x:v>7</x:v>
      </x:c>
      <x:c r="L1729" s="6" t="n">
        <x:v>13</x:v>
      </x:c>
      <x:c r="M1729" s="6" t="n">
        <x:v>3</x:v>
      </x:c>
      <x:c r="N1729" s="6" t="n">
        <x:v>2</x:v>
      </x:c>
      <x:c r="O1729" s="6" t="n">
        <x:v>20</x:v>
      </x:c>
      <x:c r="P1729" s="6" t="n">
        <x:v>1</x:v>
      </x:c>
      <x:c r="Q1729" s="6" t="n">
        <x:v>1</x:v>
      </x:c>
      <x:c r="R1729" s="6" t="n">
        <x:v>1</x:v>
      </x:c>
      <x:c r="S1729" s="6" t="n">
        <x:v>2</x:v>
      </x:c>
      <x:c r="T1729" s="6" t="n">
        <x:v>6</x:v>
      </x:c>
      <x:c r="U1729" s="6" t="n">
        <x:v>0</x:v>
      </x:c>
      <x:c r="V1729" s="6" t="n">
        <x:v>0</x:v>
      </x:c>
      <x:c r="W1729" s="6" t="n">
        <x:v>0</x:v>
      </x:c>
      <x:c r="X1729" s="6" t="n">
        <x:v>0</x:v>
      </x:c>
      <x:c r="Y1729" s="6" t="n">
        <x:v>0</x:v>
      </x:c>
      <x:c r="Z1729" s="6" t="n">
        <x:v>0</x:v>
      </x:c>
      <x:c r="AA1729" s="6" t="n">
        <x:v>3</x:v>
      </x:c>
      <x:c r="AB1729" s="6" t="n">
        <x:v>11</x:v>
      </x:c>
      <x:c r="AC1729" s="6" t="n">
        <x:v>0</x:v>
      </x:c>
    </x:row>
    <x:row r="1730">
      <x:c r="A1730" s="6" t="n">
        <x:v>1000</x:v>
      </x:c>
      <x:c r="B1730" s="6" t="n">
        <x:v>1961</x:v>
      </x:c>
      <x:c r="C1730" s="6" t="str">
        <x:v>Master</x:v>
      </x:c>
      <x:c r="D1730" s="6" t="str">
        <x:v>Together</x:v>
      </x:c>
      <x:c r="E1730" s="6" t="n">
        <x:v>74881</x:v>
      </x:c>
      <x:c r="F1730" s="6" t="n">
        <x:v>1</x:v>
      </x:c>
      <x:c r="G1730" s="6" t="n">
        <x:v>1</x:v>
      </x:c>
      <x:c r="H1730" s="9" t="str">
        <x:v>08-03-2013</x:v>
      </x:c>
      <x:c r="I1730" s="6" t="n">
        <x:v>48</x:v>
      </x:c>
      <x:c r="J1730" s="6" t="n">
        <x:v>505</x:v>
      </x:c>
      <x:c r="K1730" s="6" t="n">
        <x:v>72</x:v>
      </x:c>
      <x:c r="L1730" s="6" t="n">
        <x:v>270</x:v>
      </x:c>
      <x:c r="M1730" s="6" t="n">
        <x:v>36</x:v>
      </x:c>
      <x:c r="N1730" s="6" t="n">
        <x:v>27</x:v>
      </x:c>
      <x:c r="O1730" s="6" t="n">
        <x:v>54</x:v>
      </x:c>
      <x:c r="P1730" s="6" t="n">
        <x:v>4</x:v>
      </x:c>
      <x:c r="Q1730" s="6" t="n">
        <x:v>9</x:v>
      </x:c>
      <x:c r="R1730" s="6" t="n">
        <x:v>2</x:v>
      </x:c>
      <x:c r="S1730" s="6" t="n">
        <x:v>12</x:v>
      </x:c>
      <x:c r="T1730" s="6" t="n">
        <x:v>5</x:v>
      </x:c>
      <x:c r="U1730" s="6" t="n">
        <x:v>0</x:v>
      </x:c>
      <x:c r="V1730" s="6" t="n">
        <x:v>0</x:v>
      </x:c>
      <x:c r="W1730" s="6" t="n">
        <x:v>0</x:v>
      </x:c>
      <x:c r="X1730" s="6" t="n">
        <x:v>0</x:v>
      </x:c>
      <x:c r="Y1730" s="6" t="n">
        <x:v>0</x:v>
      </x:c>
      <x:c r="Z1730" s="6" t="n">
        <x:v>0</x:v>
      </x:c>
      <x:c r="AA1730" s="6" t="n">
        <x:v>3</x:v>
      </x:c>
      <x:c r="AB1730" s="6" t="n">
        <x:v>11</x:v>
      </x:c>
      <x:c r="AC1730" s="6" t="n">
        <x:v>0</x:v>
      </x:c>
    </x:row>
    <x:row r="1731">
      <x:c r="A1731" s="6" t="n">
        <x:v>3828</x:v>
      </x:c>
      <x:c r="B1731" s="6" t="n">
        <x:v>1951</x:v>
      </x:c>
      <x:c r="C1731" s="6" t="str">
        <x:v>Graduation</x:v>
      </x:c>
      <x:c r="D1731" s="6" t="str">
        <x:v>Married</x:v>
      </x:c>
      <x:c r="E1731" s="6" t="n">
        <x:v>71107</x:v>
      </x:c>
      <x:c r="F1731" s="6" t="n">
        <x:v>0</x:v>
      </x:c>
      <x:c r="G1731" s="6" t="n">
        <x:v>1</x:v>
      </x:c>
      <x:c r="H1731" s="9" t="str">
        <x:v>17-02-2013</x:v>
      </x:c>
      <x:c r="I1731" s="6" t="n">
        <x:v>61</x:v>
      </x:c>
      <x:c r="J1731" s="6" t="n">
        <x:v>533</x:v>
      </x:c>
      <x:c r="K1731" s="6" t="n">
        <x:v>10</x:v>
      </x:c>
      <x:c r="L1731" s="6" t="n">
        <x:v>217</x:v>
      </x:c>
      <x:c r="M1731" s="6" t="n">
        <x:v>198</x:v>
      </x:c>
      <x:c r="N1731" s="6" t="n">
        <x:v>174</x:v>
      </x:c>
      <x:c r="O1731" s="6" t="n">
        <x:v>195</x:v>
      </x:c>
      <x:c r="P1731" s="6" t="n">
        <x:v>2</x:v>
      </x:c>
      <x:c r="Q1731" s="6" t="n">
        <x:v>7</x:v>
      </x:c>
      <x:c r="R1731" s="6" t="n">
        <x:v>6</x:v>
      </x:c>
      <x:c r="S1731" s="6" t="n">
        <x:v>13</x:v>
      </x:c>
      <x:c r="T1731" s="6" t="n">
        <x:v>4</x:v>
      </x:c>
      <x:c r="U1731" s="6" t="n">
        <x:v>0</x:v>
      </x:c>
      <x:c r="V1731" s="6" t="n">
        <x:v>0</x:v>
      </x:c>
      <x:c r="W1731" s="6" t="n">
        <x:v>0</x:v>
      </x:c>
      <x:c r="X1731" s="6" t="n">
        <x:v>0</x:v>
      </x:c>
      <x:c r="Y1731" s="6" t="n">
        <x:v>0</x:v>
      </x:c>
      <x:c r="Z1731" s="6" t="n">
        <x:v>0</x:v>
      </x:c>
      <x:c r="AA1731" s="6" t="n">
        <x:v>3</x:v>
      </x:c>
      <x:c r="AB1731" s="6" t="n">
        <x:v>11</x:v>
      </x:c>
      <x:c r="AC1731" s="6" t="n">
        <x:v>0</x:v>
      </x:c>
    </x:row>
    <x:row r="1732">
      <x:c r="A1732" s="6" t="n">
        <x:v>8605</x:v>
      </x:c>
      <x:c r="B1732" s="6" t="n">
        <x:v>1964</x:v>
      </x:c>
      <x:c r="C1732" s="6" t="str">
        <x:v>PhD</x:v>
      </x:c>
      <x:c r="D1732" s="6" t="str">
        <x:v>Together</x:v>
      </x:c>
      <x:c r="E1732" s="6" t="n">
        <x:v>46910</x:v>
      </x:c>
      <x:c r="F1732" s="6" t="n">
        <x:v>1</x:v>
      </x:c>
      <x:c r="G1732" s="6" t="n">
        <x:v>1</x:v>
      </x:c>
      <x:c r="H1732" s="9" t="str">
        <x:v>23-03-2014</x:v>
      </x:c>
      <x:c r="I1732" s="6" t="n">
        <x:v>36</x:v>
      </x:c>
      <x:c r="J1732" s="6" t="n">
        <x:v>48</x:v>
      </x:c>
      <x:c r="K1732" s="6" t="n">
        <x:v>0</x:v>
      </x:c>
      <x:c r="L1732" s="6" t="n">
        <x:v>14</x:v>
      </x:c>
      <x:c r="M1732" s="6" t="n">
        <x:v>0</x:v>
      </x:c>
      <x:c r="N1732" s="6" t="n">
        <x:v>0</x:v>
      </x:c>
      <x:c r="O1732" s="6" t="n">
        <x:v>6</x:v>
      </x:c>
      <x:c r="P1732" s="6" t="n">
        <x:v>2</x:v>
      </x:c>
      <x:c r="Q1732" s="6" t="n">
        <x:v>2</x:v>
      </x:c>
      <x:c r="R1732" s="6" t="n">
        <x:v>0</x:v>
      </x:c>
      <x:c r="S1732" s="6" t="n">
        <x:v>3</x:v>
      </x:c>
      <x:c r="T1732" s="6" t="n">
        <x:v>6</x:v>
      </x:c>
      <x:c r="U1732" s="6" t="n">
        <x:v>0</x:v>
      </x:c>
      <x:c r="V1732" s="6" t="n">
        <x:v>0</x:v>
      </x:c>
      <x:c r="W1732" s="6" t="n">
        <x:v>0</x:v>
      </x:c>
      <x:c r="X1732" s="6" t="n">
        <x:v>0</x:v>
      </x:c>
      <x:c r="Y1732" s="6" t="n">
        <x:v>0</x:v>
      </x:c>
      <x:c r="Z1732" s="6" t="n">
        <x:v>0</x:v>
      </x:c>
      <x:c r="AA1732" s="6" t="n">
        <x:v>3</x:v>
      </x:c>
      <x:c r="AB1732" s="6" t="n">
        <x:v>11</x:v>
      </x:c>
      <x:c r="AC1732" s="6" t="n">
        <x:v>0</x:v>
      </x:c>
    </x:row>
    <x:row r="1733">
      <x:c r="A1733" s="6" t="n">
        <x:v>10304</x:v>
      </x:c>
      <x:c r="B1733" s="6" t="n">
        <x:v>1959</x:v>
      </x:c>
      <x:c r="C1733" s="6" t="str">
        <x:v>Graduation</x:v>
      </x:c>
      <x:c r="D1733" s="6" t="str">
        <x:v>Married</x:v>
      </x:c>
      <x:c r="E1733" s="6" t="n">
        <x:v>18690</x:v>
      </x:c>
      <x:c r="F1733" s="6" t="n">
        <x:v>0</x:v>
      </x:c>
      <x:c r="G1733" s="6" t="n">
        <x:v>0</x:v>
      </x:c>
      <x:c r="H1733" s="9" t="str">
        <x:v>28-12-2012</x:v>
      </x:c>
      <x:c r="I1733" s="6" t="n">
        <x:v>77</x:v>
      </x:c>
      <x:c r="J1733" s="6" t="n">
        <x:v>6</x:v>
      </x:c>
      <x:c r="K1733" s="6" t="n">
        <x:v>1</x:v>
      </x:c>
      <x:c r="L1733" s="6" t="n">
        <x:v>7</x:v>
      </x:c>
      <x:c r="M1733" s="6" t="n">
        <x:v>23</x:v>
      </x:c>
      <x:c r="N1733" s="6" t="n">
        <x:v>4</x:v>
      </x:c>
      <x:c r="O1733" s="6" t="n">
        <x:v>19</x:v>
      </x:c>
      <x:c r="P1733" s="6" t="n">
        <x:v>1</x:v>
      </x:c>
      <x:c r="Q1733" s="6" t="n">
        <x:v>1</x:v>
      </x:c>
      <x:c r="R1733" s="6" t="n">
        <x:v>1</x:v>
      </x:c>
      <x:c r="S1733" s="6" t="n">
        <x:v>2</x:v>
      </x:c>
      <x:c r="T1733" s="6" t="n">
        <x:v>8</x:v>
      </x:c>
      <x:c r="U1733" s="6" t="n">
        <x:v>0</x:v>
      </x:c>
      <x:c r="V1733" s="6" t="n">
        <x:v>0</x:v>
      </x:c>
      <x:c r="W1733" s="6" t="n">
        <x:v>0</x:v>
      </x:c>
      <x:c r="X1733" s="6" t="n">
        <x:v>0</x:v>
      </x:c>
      <x:c r="Y1733" s="6" t="n">
        <x:v>0</x:v>
      </x:c>
      <x:c r="Z1733" s="6" t="n">
        <x:v>0</x:v>
      </x:c>
      <x:c r="AA1733" s="6" t="n">
        <x:v>3</x:v>
      </x:c>
      <x:c r="AB1733" s="6" t="n">
        <x:v>11</x:v>
      </x:c>
      <x:c r="AC1733" s="6" t="n">
        <x:v>0</x:v>
      </x:c>
    </x:row>
    <x:row r="1734">
      <x:c r="A1734" s="6" t="n">
        <x:v>4351</x:v>
      </x:c>
      <x:c r="B1734" s="6" t="n">
        <x:v>1955</x:v>
      </x:c>
      <x:c r="C1734" s="6" t="str">
        <x:v>Graduation</x:v>
      </x:c>
      <x:c r="D1734" s="6" t="str">
        <x:v>Divorced</x:v>
      </x:c>
      <x:c r="E1734" s="6" t="n">
        <x:v>37244</x:v>
      </x:c>
      <x:c r="F1734" s="6" t="n">
        <x:v>1</x:v>
      </x:c>
      <x:c r="G1734" s="6" t="n">
        <x:v>1</x:v>
      </x:c>
      <x:c r="H1734" s="9" t="str">
        <x:v>27-04-2013</x:v>
      </x:c>
      <x:c r="I1734" s="6" t="n">
        <x:v>90</x:v>
      </x:c>
      <x:c r="J1734" s="6" t="n">
        <x:v>18</x:v>
      </x:c>
      <x:c r="K1734" s="6" t="n">
        <x:v>2</x:v>
      </x:c>
      <x:c r="L1734" s="6" t="n">
        <x:v>10</x:v>
      </x:c>
      <x:c r="M1734" s="6" t="n">
        <x:v>0</x:v>
      </x:c>
      <x:c r="N1734" s="6" t="n">
        <x:v>0</x:v>
      </x:c>
      <x:c r="O1734" s="6" t="n">
        <x:v>25</x:v>
      </x:c>
      <x:c r="P1734" s="6" t="n">
        <x:v>1</x:v>
      </x:c>
      <x:c r="Q1734" s="6" t="n">
        <x:v>1</x:v>
      </x:c>
      <x:c r="R1734" s="6" t="n">
        <x:v>1</x:v>
      </x:c>
      <x:c r="S1734" s="6" t="n">
        <x:v>2</x:v>
      </x:c>
      <x:c r="T1734" s="6" t="n">
        <x:v>7</x:v>
      </x:c>
      <x:c r="U1734" s="6" t="n">
        <x:v>1</x:v>
      </x:c>
      <x:c r="V1734" s="6" t="n">
        <x:v>0</x:v>
      </x:c>
      <x:c r="W1734" s="6" t="n">
        <x:v>0</x:v>
      </x:c>
      <x:c r="X1734" s="6" t="n">
        <x:v>0</x:v>
      </x:c>
      <x:c r="Y1734" s="6" t="n">
        <x:v>0</x:v>
      </x:c>
      <x:c r="Z1734" s="6" t="n">
        <x:v>0</x:v>
      </x:c>
      <x:c r="AA1734" s="6" t="n">
        <x:v>3</x:v>
      </x:c>
      <x:c r="AB1734" s="6" t="n">
        <x:v>11</x:v>
      </x:c>
      <x:c r="AC1734" s="6" t="n">
        <x:v>0</x:v>
      </x:c>
    </x:row>
    <x:row r="1735">
      <x:c r="A1735" s="6" t="n">
        <x:v>10129</x:v>
      </x:c>
      <x:c r="B1735" s="6" t="n">
        <x:v>1966</x:v>
      </x:c>
      <x:c r="C1735" s="6" t="str">
        <x:v>Graduation</x:v>
      </x:c>
      <x:c r="D1735" s="6" t="str">
        <x:v>Together</x:v>
      </x:c>
      <x:c r="E1735" s="6" t="n">
        <x:v>82427</x:v>
      </x:c>
      <x:c r="F1735" s="6" t="n">
        <x:v>0</x:v>
      </x:c>
      <x:c r="G1735" s="6" t="n">
        <x:v>0</x:v>
      </x:c>
      <x:c r="H1735" s="9" t="str">
        <x:v>12-03-2014</x:v>
      </x:c>
      <x:c r="I1735" s="6" t="n">
        <x:v>35</x:v>
      </x:c>
      <x:c r="J1735" s="6" t="n">
        <x:v>482</x:v>
      </x:c>
      <x:c r="K1735" s="6" t="n">
        <x:v>147</x:v>
      </x:c>
      <x:c r="L1735" s="6" t="n">
        <x:v>509</x:v>
      </x:c>
      <x:c r="M1735" s="6" t="n">
        <x:v>104</x:v>
      </x:c>
      <x:c r="N1735" s="6" t="n">
        <x:v>107</x:v>
      </x:c>
      <x:c r="O1735" s="6" t="n">
        <x:v>107</x:v>
      </x:c>
      <x:c r="P1735" s="6" t="n">
        <x:v>1</x:v>
      </x:c>
      <x:c r="Q1735" s="6" t="n">
        <x:v>3</x:v>
      </x:c>
      <x:c r="R1735" s="6" t="n">
        <x:v>5</x:v>
      </x:c>
      <x:c r="S1735" s="6" t="n">
        <x:v>12</x:v>
      </x:c>
      <x:c r="T1735" s="6" t="n">
        <x:v>1</x:v>
      </x:c>
      <x:c r="U1735" s="6" t="n">
        <x:v>0</x:v>
      </x:c>
      <x:c r="V1735" s="6" t="n">
        <x:v>0</x:v>
      </x:c>
      <x:c r="W1735" s="6" t="n">
        <x:v>1</x:v>
      </x:c>
      <x:c r="X1735" s="6" t="n">
        <x:v>0</x:v>
      </x:c>
      <x:c r="Y1735" s="6" t="n">
        <x:v>0</x:v>
      </x:c>
      <x:c r="Z1735" s="6" t="n">
        <x:v>0</x:v>
      </x:c>
      <x:c r="AA1735" s="6" t="n">
        <x:v>3</x:v>
      </x:c>
      <x:c r="AB1735" s="6" t="n">
        <x:v>11</x:v>
      </x:c>
      <x:c r="AC1735" s="6" t="n">
        <x:v>0</x:v>
      </x:c>
    </x:row>
    <x:row r="1736">
      <x:c r="A1736" s="6" t="n">
        <x:v>2499</x:v>
      </x:c>
      <x:c r="B1736" s="6" t="n">
        <x:v>1958</x:v>
      </x:c>
      <x:c r="C1736" s="6" t="str">
        <x:v>2n Cycle</x:v>
      </x:c>
      <x:c r="D1736" s="6" t="str">
        <x:v>Single</x:v>
      </x:c>
      <x:c r="E1736" s="6" t="n">
        <x:v>75342</x:v>
      </x:c>
      <x:c r="F1736" s="6" t="n">
        <x:v>0</x:v>
      </x:c>
      <x:c r="G1736" s="6" t="n">
        <x:v>1</x:v>
      </x:c>
      <x:c r="H1736" s="9" t="str">
        <x:v>06-05-2013</x:v>
      </x:c>
      <x:c r="I1736" s="6" t="n">
        <x:v>38</x:v>
      </x:c>
      <x:c r="J1736" s="6" t="n">
        <x:v>204</x:v>
      </x:c>
      <x:c r="K1736" s="6" t="n">
        <x:v>97</x:v>
      </x:c>
      <x:c r="L1736" s="6" t="n">
        <x:v>97</x:v>
      </x:c>
      <x:c r="M1736" s="6" t="n">
        <x:v>21</x:v>
      </x:c>
      <x:c r="N1736" s="6" t="n">
        <x:v>118</x:v>
      </x:c>
      <x:c r="O1736" s="6" t="n">
        <x:v>26</x:v>
      </x:c>
      <x:c r="P1736" s="6" t="n">
        <x:v>1</x:v>
      </x:c>
      <x:c r="Q1736" s="6" t="n">
        <x:v>5</x:v>
      </x:c>
      <x:c r="R1736" s="6" t="n">
        <x:v>2</x:v>
      </x:c>
      <x:c r="S1736" s="6" t="n">
        <x:v>10</x:v>
      </x:c>
      <x:c r="T1736" s="6" t="n">
        <x:v>4</x:v>
      </x:c>
      <x:c r="U1736" s="6" t="n">
        <x:v>0</x:v>
      </x:c>
      <x:c r="V1736" s="6" t="n">
        <x:v>0</x:v>
      </x:c>
      <x:c r="W1736" s="6" t="n">
        <x:v>0</x:v>
      </x:c>
      <x:c r="X1736" s="6" t="n">
        <x:v>0</x:v>
      </x:c>
      <x:c r="Y1736" s="6" t="n">
        <x:v>0</x:v>
      </x:c>
      <x:c r="Z1736" s="6" t="n">
        <x:v>0</x:v>
      </x:c>
      <x:c r="AA1736" s="6" t="n">
        <x:v>3</x:v>
      </x:c>
      <x:c r="AB1736" s="6" t="n">
        <x:v>11</x:v>
      </x:c>
      <x:c r="AC1736" s="6" t="n">
        <x:v>0</x:v>
      </x:c>
    </x:row>
    <x:row r="1737">
      <x:c r="A1737" s="6" t="n">
        <x:v>10092</x:v>
      </x:c>
      <x:c r="B1737" s="6" t="n">
        <x:v>1954</x:v>
      </x:c>
      <x:c r="C1737" s="6" t="str">
        <x:v>Graduation</x:v>
      </x:c>
      <x:c r="D1737" s="6" t="str">
        <x:v>Divorced</x:v>
      </x:c>
      <x:c r="E1737" s="6" t="n">
        <x:v>70044</x:v>
      </x:c>
      <x:c r="F1737" s="6" t="n">
        <x:v>0</x:v>
      </x:c>
      <x:c r="G1737" s="6" t="n">
        <x:v>1</x:v>
      </x:c>
      <x:c r="H1737" s="9" t="str">
        <x:v>18-02-2013</x:v>
      </x:c>
      <x:c r="I1737" s="6" t="n">
        <x:v>46</x:v>
      </x:c>
      <x:c r="J1737" s="6" t="n">
        <x:v>1073</x:v>
      </x:c>
      <x:c r="K1737" s="6" t="n">
        <x:v>0</x:v>
      </x:c>
      <x:c r="L1737" s="6" t="n">
        <x:v>250</x:v>
      </x:c>
      <x:c r="M1737" s="6" t="n">
        <x:v>153</x:v>
      </x:c>
      <x:c r="N1737" s="6" t="n">
        <x:v>14</x:v>
      </x:c>
      <x:c r="O1737" s="6" t="n">
        <x:v>14</x:v>
      </x:c>
      <x:c r="P1737" s="6" t="n">
        <x:v>4</x:v>
      </x:c>
      <x:c r="Q1737" s="6" t="n">
        <x:v>7</x:v>
      </x:c>
      <x:c r="R1737" s="6" t="n">
        <x:v>10</x:v>
      </x:c>
      <x:c r="S1737" s="6" t="n">
        <x:v>5</x:v>
      </x:c>
      <x:c r="T1737" s="6" t="n">
        <x:v>5</x:v>
      </x:c>
      <x:c r="U1737" s="6" t="n">
        <x:v>0</x:v>
      </x:c>
      <x:c r="V1737" s="6" t="n">
        <x:v>0</x:v>
      </x:c>
      <x:c r="W1737" s="6" t="n">
        <x:v>0</x:v>
      </x:c>
      <x:c r="X1737" s="6" t="n">
        <x:v>0</x:v>
      </x:c>
      <x:c r="Y1737" s="6" t="n">
        <x:v>0</x:v>
      </x:c>
      <x:c r="Z1737" s="6" t="n">
        <x:v>0</x:v>
      </x:c>
      <x:c r="AA1737" s="6" t="n">
        <x:v>3</x:v>
      </x:c>
      <x:c r="AB1737" s="6" t="n">
        <x:v>11</x:v>
      </x:c>
      <x:c r="AC1737" s="6" t="n">
        <x:v>0</x:v>
      </x:c>
    </x:row>
    <x:row r="1738">
      <x:c r="A1738" s="6" t="n">
        <x:v>7500</x:v>
      </x:c>
      <x:c r="B1738" s="6" t="n">
        <x:v>1967</x:v>
      </x:c>
      <x:c r="C1738" s="6" t="str">
        <x:v>Graduation</x:v>
      </x:c>
      <x:c r="D1738" s="6" t="str">
        <x:v>Single</x:v>
      </x:c>
      <x:c r="E1738" s="6" t="n">
        <x:v>79146</x:v>
      </x:c>
      <x:c r="F1738" s="6" t="n">
        <x:v>1</x:v>
      </x:c>
      <x:c r="G1738" s="6" t="n">
        <x:v>1</x:v>
      </x:c>
      <x:c r="H1738" s="9" t="str">
        <x:v>24-04-2014</x:v>
      </x:c>
      <x:c r="I1738" s="6" t="n">
        <x:v>33</x:v>
      </x:c>
      <x:c r="J1738" s="6" t="n">
        <x:v>245</x:v>
      </x:c>
      <x:c r="K1738" s="6" t="n">
        <x:v>16</x:v>
      </x:c>
      <x:c r="L1738" s="6" t="n">
        <x:v>223</x:v>
      </x:c>
      <x:c r="M1738" s="6" t="n">
        <x:v>21</x:v>
      </x:c>
      <x:c r="N1738" s="6" t="n">
        <x:v>43</x:v>
      </x:c>
      <x:c r="O1738" s="6" t="n">
        <x:v>16</x:v>
      </x:c>
      <x:c r="P1738" s="6" t="n">
        <x:v>2</x:v>
      </x:c>
      <x:c r="Q1738" s="6" t="n">
        <x:v>8</x:v>
      </x:c>
      <x:c r="R1738" s="6" t="n">
        <x:v>1</x:v>
      </x:c>
      <x:c r="S1738" s="6" t="n">
        <x:v>8</x:v>
      </x:c>
      <x:c r="T1738" s="6" t="n">
        <x:v>6</x:v>
      </x:c>
      <x:c r="U1738" s="6" t="n">
        <x:v>0</x:v>
      </x:c>
      <x:c r="V1738" s="6" t="n">
        <x:v>0</x:v>
      </x:c>
      <x:c r="W1738" s="6" t="n">
        <x:v>0</x:v>
      </x:c>
      <x:c r="X1738" s="6" t="n">
        <x:v>0</x:v>
      </x:c>
      <x:c r="Y1738" s="6" t="n">
        <x:v>0</x:v>
      </x:c>
      <x:c r="Z1738" s="6" t="n">
        <x:v>0</x:v>
      </x:c>
      <x:c r="AA1738" s="6" t="n">
        <x:v>3</x:v>
      </x:c>
      <x:c r="AB1738" s="6" t="n">
        <x:v>11</x:v>
      </x:c>
      <x:c r="AC1738" s="6" t="n">
        <x:v>0</x:v>
      </x:c>
    </x:row>
    <x:row r="1739">
      <x:c r="A1739" s="6" t="n">
        <x:v>5796</x:v>
      </x:c>
      <x:c r="B1739" s="6" t="n">
        <x:v>1963</x:v>
      </x:c>
      <x:c r="C1739" s="6" t="str">
        <x:v>Graduation</x:v>
      </x:c>
      <x:c r="D1739" s="6" t="str">
        <x:v>Married</x:v>
      </x:c>
      <x:c r="E1739" s="6" t="n">
        <x:v>77437</x:v>
      </x:c>
      <x:c r="F1739" s="6" t="n">
        <x:v>0</x:v>
      </x:c>
      <x:c r="G1739" s="6" t="n">
        <x:v>0</x:v>
      </x:c>
      <x:c r="H1739" s="9" t="str">
        <x:v>26-11-2013</x:v>
      </x:c>
      <x:c r="I1739" s="6" t="n">
        <x:v>70</x:v>
      </x:c>
      <x:c r="J1739" s="6" t="n">
        <x:v>560</x:v>
      </x:c>
      <x:c r="K1739" s="6" t="n">
        <x:v>21</x:v>
      </x:c>
      <x:c r="L1739" s="6" t="n">
        <x:v>442</x:v>
      </x:c>
      <x:c r="M1739" s="6" t="n">
        <x:v>29</x:v>
      </x:c>
      <x:c r="N1739" s="6" t="n">
        <x:v>44</x:v>
      </x:c>
      <x:c r="O1739" s="6" t="n">
        <x:v>29</x:v>
      </x:c>
      <x:c r="P1739" s="6" t="n">
        <x:v>1</x:v>
      </x:c>
      <x:c r="Q1739" s="6" t="n">
        <x:v>4</x:v>
      </x:c>
      <x:c r="R1739" s="6" t="n">
        <x:v>5</x:v>
      </x:c>
      <x:c r="S1739" s="6" t="n">
        <x:v>13</x:v>
      </x:c>
      <x:c r="T1739" s="6" t="n">
        <x:v>1</x:v>
      </x:c>
      <x:c r="U1739" s="6" t="n">
        <x:v>0</x:v>
      </x:c>
      <x:c r="V1739" s="6" t="n">
        <x:v>0</x:v>
      </x:c>
      <x:c r="W1739" s="6" t="n">
        <x:v>1</x:v>
      </x:c>
      <x:c r="X1739" s="6" t="n">
        <x:v>0</x:v>
      </x:c>
      <x:c r="Y1739" s="6" t="n">
        <x:v>0</x:v>
      </x:c>
      <x:c r="Z1739" s="6" t="n">
        <x:v>0</x:v>
      </x:c>
      <x:c r="AA1739" s="6" t="n">
        <x:v>3</x:v>
      </x:c>
      <x:c r="AB1739" s="6" t="n">
        <x:v>11</x:v>
      </x:c>
      <x:c r="AC1739" s="6" t="n">
        <x:v>0</x:v>
      </x:c>
    </x:row>
    <x:row r="1740">
      <x:c r="A1740" s="6" t="n">
        <x:v>10556</x:v>
      </x:c>
      <x:c r="B1740" s="6" t="n">
        <x:v>1959</x:v>
      </x:c>
      <x:c r="C1740" s="6" t="str">
        <x:v>Graduation</x:v>
      </x:c>
      <x:c r="D1740" s="6" t="str">
        <x:v>Married</x:v>
      </x:c>
      <x:c r="E1740" s="6" t="n">
        <x:v>54984</x:v>
      </x:c>
      <x:c r="F1740" s="6" t="n">
        <x:v>0</x:v>
      </x:c>
      <x:c r="G1740" s="6" t="n">
        <x:v>1</x:v>
      </x:c>
      <x:c r="H1740" s="9" t="str">
        <x:v>24-05-2014</x:v>
      </x:c>
      <x:c r="I1740" s="6" t="n">
        <x:v>51</x:v>
      </x:c>
      <x:c r="J1740" s="6" t="n">
        <x:v>173</x:v>
      </x:c>
      <x:c r="K1740" s="6" t="n">
        <x:v>13</x:v>
      </x:c>
      <x:c r="L1740" s="6" t="n">
        <x:v>131</x:v>
      </x:c>
      <x:c r="M1740" s="6" t="n">
        <x:v>32</x:v>
      </x:c>
      <x:c r="N1740" s="6" t="n">
        <x:v>3</x:v>
      </x:c>
      <x:c r="O1740" s="6" t="n">
        <x:v>6</x:v>
      </x:c>
      <x:c r="P1740" s="6" t="n">
        <x:v>4</x:v>
      </x:c>
      <x:c r="Q1740" s="6" t="n">
        <x:v>6</x:v>
      </x:c>
      <x:c r="R1740" s="6" t="n">
        <x:v>1</x:v>
      </x:c>
      <x:c r="S1740" s="6" t="n">
        <x:v>6</x:v>
      </x:c>
      <x:c r="T1740" s="6" t="n">
        <x:v>7</x:v>
      </x:c>
      <x:c r="U1740" s="6" t="n">
        <x:v>0</x:v>
      </x:c>
      <x:c r="V1740" s="6" t="n">
        <x:v>0</x:v>
      </x:c>
      <x:c r="W1740" s="6" t="n">
        <x:v>0</x:v>
      </x:c>
      <x:c r="X1740" s="6" t="n">
        <x:v>1</x:v>
      </x:c>
      <x:c r="Y1740" s="6" t="n">
        <x:v>0</x:v>
      </x:c>
      <x:c r="Z1740" s="6" t="n">
        <x:v>0</x:v>
      </x:c>
      <x:c r="AA1740" s="6" t="n">
        <x:v>3</x:v>
      </x:c>
      <x:c r="AB1740" s="6" t="n">
        <x:v>11</x:v>
      </x:c>
      <x:c r="AC1740" s="6" t="n">
        <x:v>0</x:v>
      </x:c>
    </x:row>
    <x:row r="1741">
      <x:c r="A1741" s="6" t="n">
        <x:v>1064</x:v>
      </x:c>
      <x:c r="B1741" s="6" t="n">
        <x:v>1971</x:v>
      </x:c>
      <x:c r="C1741" s="6" t="str">
        <x:v>PhD</x:v>
      </x:c>
      <x:c r="D1741" s="6" t="str">
        <x:v>Married</x:v>
      </x:c>
      <x:c r="E1741" s="6" t="n">
        <x:v>42403</x:v>
      </x:c>
      <x:c r="F1741" s="6" t="n">
        <x:v>1</x:v>
      </x:c>
      <x:c r="G1741" s="6" t="n">
        <x:v>0</x:v>
      </x:c>
      <x:c r="H1741" s="9" t="str">
        <x:v>11-12-2013</x:v>
      </x:c>
      <x:c r="I1741" s="6" t="n">
        <x:v>18</x:v>
      </x:c>
      <x:c r="J1741" s="6" t="n">
        <x:v>22</x:v>
      </x:c>
      <x:c r="K1741" s="6" t="n">
        <x:v>1</x:v>
      </x:c>
      <x:c r="L1741" s="6" t="n">
        <x:v>11</x:v>
      </x:c>
      <x:c r="M1741" s="6" t="n">
        <x:v>0</x:v>
      </x:c>
      <x:c r="N1741" s="6" t="n">
        <x:v>5</x:v>
      </x:c>
      <x:c r="O1741" s="6" t="n">
        <x:v>3</x:v>
      </x:c>
      <x:c r="P1741" s="6" t="n">
        <x:v>1</x:v>
      </x:c>
      <x:c r="Q1741" s="6" t="n">
        <x:v>1</x:v>
      </x:c>
      <x:c r="R1741" s="6" t="n">
        <x:v>0</x:v>
      </x:c>
      <x:c r="S1741" s="6" t="n">
        <x:v>3</x:v>
      </x:c>
      <x:c r="T1741" s="6" t="n">
        <x:v>8</x:v>
      </x:c>
      <x:c r="U1741" s="6" t="n">
        <x:v>0</x:v>
      </x:c>
      <x:c r="V1741" s="6" t="n">
        <x:v>0</x:v>
      </x:c>
      <x:c r="W1741" s="6" t="n">
        <x:v>0</x:v>
      </x:c>
      <x:c r="X1741" s="6" t="n">
        <x:v>0</x:v>
      </x:c>
      <x:c r="Y1741" s="6" t="n">
        <x:v>0</x:v>
      </x:c>
      <x:c r="Z1741" s="6" t="n">
        <x:v>0</x:v>
      </x:c>
      <x:c r="AA1741" s="6" t="n">
        <x:v>3</x:v>
      </x:c>
      <x:c r="AB1741" s="6" t="n">
        <x:v>11</x:v>
      </x:c>
      <x:c r="AC1741" s="6" t="n">
        <x:v>0</x:v>
      </x:c>
    </x:row>
    <x:row r="1742">
      <x:c r="A1742" s="6" t="n">
        <x:v>48</x:v>
      </x:c>
      <x:c r="B1742" s="6" t="n">
        <x:v>1964</x:v>
      </x:c>
      <x:c r="C1742" s="6" t="str">
        <x:v>Graduation</x:v>
      </x:c>
      <x:c r="D1742" s="6" t="str">
        <x:v>Together</x:v>
      </x:c>
      <x:c r="E1742" s="6" t="n">
        <x:v>55761</x:v>
      </x:c>
      <x:c r="F1742" s="6" t="n">
        <x:v>0</x:v>
      </x:c>
      <x:c r="G1742" s="6" t="n">
        <x:v>1</x:v>
      </x:c>
      <x:c r="H1742" s="9" t="str">
        <x:v>24-04-2014</x:v>
      </x:c>
      <x:c r="I1742" s="6" t="n">
        <x:v>97</x:v>
      </x:c>
      <x:c r="J1742" s="6" t="n">
        <x:v>136</x:v>
      </x:c>
      <x:c r="K1742" s="6" t="n">
        <x:v>1</x:v>
      </x:c>
      <x:c r="L1742" s="6" t="n">
        <x:v>12</x:v>
      </x:c>
      <x:c r="M1742" s="6" t="n">
        <x:v>0</x:v>
      </x:c>
      <x:c r="N1742" s="6" t="n">
        <x:v>3</x:v>
      </x:c>
      <x:c r="O1742" s="6" t="n">
        <x:v>32</x:v>
      </x:c>
      <x:c r="P1742" s="6" t="n">
        <x:v>2</x:v>
      </x:c>
      <x:c r="Q1742" s="6" t="n">
        <x:v>4</x:v>
      </x:c>
      <x:c r="R1742" s="6" t="n">
        <x:v>1</x:v>
      </x:c>
      <x:c r="S1742" s="6" t="n">
        <x:v>3</x:v>
      </x:c>
      <x:c r="T1742" s="6" t="n">
        <x:v>6</x:v>
      </x:c>
      <x:c r="U1742" s="6" t="n">
        <x:v>0</x:v>
      </x:c>
      <x:c r="V1742" s="6" t="n">
        <x:v>1</x:v>
      </x:c>
      <x:c r="W1742" s="6" t="n">
        <x:v>0</x:v>
      </x:c>
      <x:c r="X1742" s="6" t="n">
        <x:v>0</x:v>
      </x:c>
      <x:c r="Y1742" s="6" t="n">
        <x:v>0</x:v>
      </x:c>
      <x:c r="Z1742" s="6" t="n">
        <x:v>0</x:v>
      </x:c>
      <x:c r="AA1742" s="6" t="n">
        <x:v>3</x:v>
      </x:c>
      <x:c r="AB1742" s="6" t="n">
        <x:v>11</x:v>
      </x:c>
      <x:c r="AC1742" s="6" t="n">
        <x:v>0</x:v>
      </x:c>
    </x:row>
    <x:row r="1743">
      <x:c r="A1743" s="6" t="n">
        <x:v>7610</x:v>
      </x:c>
      <x:c r="B1743" s="6" t="n">
        <x:v>1983</x:v>
      </x:c>
      <x:c r="C1743" s="6" t="str">
        <x:v>Graduation</x:v>
      </x:c>
      <x:c r="D1743" s="6" t="str">
        <x:v>Together</x:v>
      </x:c>
      <x:c r="E1743" s="6" t="n">
        <x:v>37292</x:v>
      </x:c>
      <x:c r="F1743" s="6" t="n">
        <x:v>1</x:v>
      </x:c>
      <x:c r="G1743" s="6" t="n">
        <x:v>0</x:v>
      </x:c>
      <x:c r="H1743" s="9" t="str">
        <x:v>18-04-2013</x:v>
      </x:c>
      <x:c r="I1743" s="6" t="n">
        <x:v>32</x:v>
      </x:c>
      <x:c r="J1743" s="6" t="n">
        <x:v>275</x:v>
      </x:c>
      <x:c r="K1743" s="6" t="n">
        <x:v>0</x:v>
      </x:c>
      <x:c r="L1743" s="6" t="n">
        <x:v>86</x:v>
      </x:c>
      <x:c r="M1743" s="6" t="n">
        <x:v>10</x:v>
      </x:c>
      <x:c r="N1743" s="6" t="n">
        <x:v>23</x:v>
      </x:c>
      <x:c r="O1743" s="6" t="n">
        <x:v>66</x:v>
      </x:c>
      <x:c r="P1743" s="6" t="n">
        <x:v>5</x:v>
      </x:c>
      <x:c r="Q1743" s="6" t="n">
        <x:v>6</x:v>
      </x:c>
      <x:c r="R1743" s="6" t="n">
        <x:v>3</x:v>
      </x:c>
      <x:c r="S1743" s="6" t="n">
        <x:v>5</x:v>
      </x:c>
      <x:c r="T1743" s="6" t="n">
        <x:v>8</x:v>
      </x:c>
      <x:c r="U1743" s="6" t="n">
        <x:v>0</x:v>
      </x:c>
      <x:c r="V1743" s="6" t="n">
        <x:v>0</x:v>
      </x:c>
      <x:c r="W1743" s="6" t="n">
        <x:v>0</x:v>
      </x:c>
      <x:c r="X1743" s="6" t="n">
        <x:v>0</x:v>
      </x:c>
      <x:c r="Y1743" s="6" t="n">
        <x:v>0</x:v>
      </x:c>
      <x:c r="Z1743" s="6" t="n">
        <x:v>0</x:v>
      </x:c>
      <x:c r="AA1743" s="6" t="n">
        <x:v>3</x:v>
      </x:c>
      <x:c r="AB1743" s="6" t="n">
        <x:v>11</x:v>
      </x:c>
      <x:c r="AC1743" s="6" t="n">
        <x:v>0</x:v>
      </x:c>
    </x:row>
    <x:row r="1744">
      <x:c r="A1744" s="6" t="n">
        <x:v>263</x:v>
      </x:c>
      <x:c r="B1744" s="6" t="n">
        <x:v>1945</x:v>
      </x:c>
      <x:c r="C1744" s="6" t="str">
        <x:v>PhD</x:v>
      </x:c>
      <x:c r="D1744" s="6" t="str">
        <x:v>Single</x:v>
      </x:c>
      <x:c r="E1744" s="6" t="n">
        <x:v>45576</x:v>
      </x:c>
      <x:c r="F1744" s="6" t="n">
        <x:v>0</x:v>
      </x:c>
      <x:c r="G1744" s="6" t="n">
        <x:v>0</x:v>
      </x:c>
      <x:c r="H1744" s="9" t="str">
        <x:v>28-05-2014</x:v>
      </x:c>
      <x:c r="I1744" s="6" t="n">
        <x:v>9</x:v>
      </x:c>
      <x:c r="J1744" s="6" t="n">
        <x:v>56</x:v>
      </x:c>
      <x:c r="K1744" s="6" t="n">
        <x:v>19</x:v>
      </x:c>
      <x:c r="L1744" s="6" t="n">
        <x:v>29</x:v>
      </x:c>
      <x:c r="M1744" s="6" t="n">
        <x:v>2</x:v>
      </x:c>
      <x:c r="N1744" s="6" t="n">
        <x:v>14</x:v>
      </x:c>
      <x:c r="O1744" s="6" t="n">
        <x:v>25</x:v>
      </x:c>
      <x:c r="P1744" s="6" t="n">
        <x:v>1</x:v>
      </x:c>
      <x:c r="Q1744" s="6" t="n">
        <x:v>3</x:v>
      </x:c>
      <x:c r="R1744" s="6" t="n">
        <x:v>1</x:v>
      </x:c>
      <x:c r="S1744" s="6" t="n">
        <x:v>3</x:v>
      </x:c>
      <x:c r="T1744" s="6" t="n">
        <x:v>8</x:v>
      </x:c>
      <x:c r="U1744" s="6" t="n">
        <x:v>0</x:v>
      </x:c>
      <x:c r="V1744" s="6" t="n">
        <x:v>0</x:v>
      </x:c>
      <x:c r="W1744" s="6" t="n">
        <x:v>0</x:v>
      </x:c>
      <x:c r="X1744" s="6" t="n">
        <x:v>0</x:v>
      </x:c>
      <x:c r="Y1744" s="6" t="n">
        <x:v>0</x:v>
      </x:c>
      <x:c r="Z1744" s="6" t="n">
        <x:v>0</x:v>
      </x:c>
      <x:c r="AA1744" s="6" t="n">
        <x:v>3</x:v>
      </x:c>
      <x:c r="AB1744" s="6" t="n">
        <x:v>11</x:v>
      </x:c>
      <x:c r="AC1744" s="6" t="n">
        <x:v>1</x:v>
      </x:c>
    </x:row>
    <x:row r="1745">
      <x:c r="A1745" s="6" t="n">
        <x:v>10814</x:v>
      </x:c>
      <x:c r="B1745" s="6" t="n">
        <x:v>1947</x:v>
      </x:c>
      <x:c r="C1745" s="6" t="str">
        <x:v>Graduation</x:v>
      </x:c>
      <x:c r="D1745" s="6" t="str">
        <x:v>Together</x:v>
      </x:c>
      <x:c r="E1745" s="6" t="n">
        <x:v>70321</x:v>
      </x:c>
      <x:c r="F1745" s="6" t="n">
        <x:v>0</x:v>
      </x:c>
      <x:c r="G1745" s="6" t="n">
        <x:v>0</x:v>
      </x:c>
      <x:c r="H1745" s="9" t="str">
        <x:v>16-01-2013</x:v>
      </x:c>
      <x:c r="I1745" s="6" t="n">
        <x:v>6</x:v>
      </x:c>
      <x:c r="J1745" s="6" t="n">
        <x:v>303</x:v>
      </x:c>
      <x:c r="K1745" s="6" t="n">
        <x:v>23</x:v>
      </x:c>
      <x:c r="L1745" s="6" t="n">
        <x:v>751</x:v>
      </x:c>
      <x:c r="M1745" s="6" t="n">
        <x:v>82</x:v>
      </x:c>
      <x:c r="N1745" s="6" t="n">
        <x:v>26</x:v>
      </x:c>
      <x:c r="O1745" s="6" t="n">
        <x:v>191</x:v>
      </x:c>
      <x:c r="P1745" s="6" t="n">
        <x:v>1</x:v>
      </x:c>
      <x:c r="Q1745" s="6" t="n">
        <x:v>6</x:v>
      </x:c>
      <x:c r="R1745" s="6" t="n">
        <x:v>5</x:v>
      </x:c>
      <x:c r="S1745" s="6" t="n">
        <x:v>13</x:v>
      </x:c>
      <x:c r="T1745" s="6" t="n">
        <x:v>4</x:v>
      </x:c>
      <x:c r="U1745" s="6" t="n">
        <x:v>0</x:v>
      </x:c>
      <x:c r="V1745" s="6" t="n">
        <x:v>0</x:v>
      </x:c>
      <x:c r="W1745" s="6" t="n">
        <x:v>0</x:v>
      </x:c>
      <x:c r="X1745" s="6" t="n">
        <x:v>0</x:v>
      </x:c>
      <x:c r="Y1745" s="6" t="n">
        <x:v>0</x:v>
      </x:c>
      <x:c r="Z1745" s="6" t="n">
        <x:v>0</x:v>
      </x:c>
      <x:c r="AA1745" s="6" t="n">
        <x:v>3</x:v>
      </x:c>
      <x:c r="AB1745" s="6" t="n">
        <x:v>11</x:v>
      </x:c>
      <x:c r="AC1745" s="6" t="n">
        <x:v>1</x:v>
      </x:c>
    </x:row>
    <x:row r="1746">
      <x:c r="A1746" s="6" t="n">
        <x:v>9710</x:v>
      </x:c>
      <x:c r="B1746" s="6" t="n">
        <x:v>1969</x:v>
      </x:c>
      <x:c r="C1746" s="6" t="str">
        <x:v>PhD</x:v>
      </x:c>
      <x:c r="D1746" s="6" t="str">
        <x:v>Divorced</x:v>
      </x:c>
      <x:c r="E1746" s="6" t="n">
        <x:v>58086</x:v>
      </x:c>
      <x:c r="F1746" s="6" t="n">
        <x:v>0</x:v>
      </x:c>
      <x:c r="G1746" s="6" t="n">
        <x:v>1</x:v>
      </x:c>
      <x:c r="H1746" s="9" t="str">
        <x:v>20-01-2013</x:v>
      </x:c>
      <x:c r="I1746" s="6" t="n">
        <x:v>80</x:v>
      </x:c>
      <x:c r="J1746" s="6" t="n">
        <x:v>708</x:v>
      </x:c>
      <x:c r="K1746" s="6" t="n">
        <x:v>7</x:v>
      </x:c>
      <x:c r="L1746" s="6" t="n">
        <x:v>62</x:v>
      </x:c>
      <x:c r="M1746" s="6" t="n">
        <x:v>0</x:v>
      </x:c>
      <x:c r="N1746" s="6" t="n">
        <x:v>0</x:v>
      </x:c>
      <x:c r="O1746" s="6" t="n">
        <x:v>15</x:v>
      </x:c>
      <x:c r="P1746" s="6" t="n">
        <x:v>2</x:v>
      </x:c>
      <x:c r="Q1746" s="6" t="n">
        <x:v>11</x:v>
      </x:c>
      <x:c r="R1746" s="6" t="n">
        <x:v>3</x:v>
      </x:c>
      <x:c r="S1746" s="6" t="n">
        <x:v>7</x:v>
      </x:c>
      <x:c r="T1746" s="6" t="n">
        <x:v>8</x:v>
      </x:c>
      <x:c r="U1746" s="6" t="n">
        <x:v>0</x:v>
      </x:c>
      <x:c r="V1746" s="6" t="n">
        <x:v>0</x:v>
      </x:c>
      <x:c r="W1746" s="6" t="n">
        <x:v>0</x:v>
      </x:c>
      <x:c r="X1746" s="6" t="n">
        <x:v>0</x:v>
      </x:c>
      <x:c r="Y1746" s="6" t="n">
        <x:v>0</x:v>
      </x:c>
      <x:c r="Z1746" s="6" t="n">
        <x:v>0</x:v>
      </x:c>
      <x:c r="AA1746" s="6" t="n">
        <x:v>3</x:v>
      </x:c>
      <x:c r="AB1746" s="6" t="n">
        <x:v>11</x:v>
      </x:c>
      <x:c r="AC1746" s="6" t="n">
        <x:v>0</x:v>
      </x:c>
    </x:row>
    <x:row r="1747">
      <x:c r="A1747" s="6" t="n">
        <x:v>9292</x:v>
      </x:c>
      <x:c r="B1747" s="6" t="n">
        <x:v>1952</x:v>
      </x:c>
      <x:c r="C1747" s="6" t="str">
        <x:v>Graduation</x:v>
      </x:c>
      <x:c r="D1747" s="6" t="str">
        <x:v>Married</x:v>
      </x:c>
      <x:c r="E1747" s="6" t="n">
        <x:v>81795</x:v>
      </x:c>
      <x:c r="F1747" s="6" t="n">
        <x:v>0</x:v>
      </x:c>
      <x:c r="G1747" s="6" t="n">
        <x:v>0</x:v>
      </x:c>
      <x:c r="H1747" s="9" t="str">
        <x:v>26-10-2012</x:v>
      </x:c>
      <x:c r="I1747" s="6" t="n">
        <x:v>74</x:v>
      </x:c>
      <x:c r="J1747" s="6" t="n">
        <x:v>324</x:v>
      </x:c>
      <x:c r="K1747" s="6" t="n">
        <x:v>132</x:v>
      </x:c>
      <x:c r="L1747" s="6" t="n">
        <x:v>693</x:v>
      </x:c>
      <x:c r="M1747" s="6" t="n">
        <x:v>27</x:v>
      </x:c>
      <x:c r="N1747" s="6" t="n">
        <x:v>118</x:v>
      </x:c>
      <x:c r="O1747" s="6" t="n">
        <x:v>88</x:v>
      </x:c>
      <x:c r="P1747" s="6" t="n">
        <x:v>1</x:v>
      </x:c>
      <x:c r="Q1747" s="6" t="n">
        <x:v>4</x:v>
      </x:c>
      <x:c r="R1747" s="6" t="n">
        <x:v>11</x:v>
      </x:c>
      <x:c r="S1747" s="6" t="n">
        <x:v>7</x:v>
      </x:c>
      <x:c r="T1747" s="6" t="n">
        <x:v>2</x:v>
      </x:c>
      <x:c r="U1747" s="6" t="n">
        <x:v>0</x:v>
      </x:c>
      <x:c r="V1747" s="6" t="n">
        <x:v>0</x:v>
      </x:c>
      <x:c r="W1747" s="6" t="n">
        <x:v>0</x:v>
      </x:c>
      <x:c r="X1747" s="6" t="n">
        <x:v>0</x:v>
      </x:c>
      <x:c r="Y1747" s="6" t="n">
        <x:v>0</x:v>
      </x:c>
      <x:c r="Z1747" s="6" t="n">
        <x:v>0</x:v>
      </x:c>
      <x:c r="AA1747" s="6" t="n">
        <x:v>3</x:v>
      </x:c>
      <x:c r="AB1747" s="6" t="n">
        <x:v>11</x:v>
      </x:c>
      <x:c r="AC1747" s="6" t="n">
        <x:v>0</x:v>
      </x:c>
    </x:row>
    <x:row r="1748">
      <x:c r="A1748" s="6" t="n">
        <x:v>10250</x:v>
      </x:c>
      <x:c r="B1748" s="6" t="n">
        <x:v>1947</x:v>
      </x:c>
      <x:c r="C1748" s="6" t="str">
        <x:v>Basic</x:v>
      </x:c>
      <x:c r="D1748" s="6" t="str">
        <x:v>Together</x:v>
      </x:c>
      <x:c r="E1748" s="6" t="n">
        <x:v>28389</x:v>
      </x:c>
      <x:c r="F1748" s="6" t="n">
        <x:v>0</x:v>
      </x:c>
      <x:c r="G1748" s="6" t="n">
        <x:v>0</x:v>
      </x:c>
      <x:c r="H1748" s="9" t="str">
        <x:v>20-11-2012</x:v>
      </x:c>
      <x:c r="I1748" s="6" t="n">
        <x:v>49</x:v>
      </x:c>
      <x:c r="J1748" s="6" t="n">
        <x:v>1</x:v>
      </x:c>
      <x:c r="K1748" s="6" t="n">
        <x:v>5</x:v>
      </x:c>
      <x:c r="L1748" s="6" t="n">
        <x:v>3</x:v>
      </x:c>
      <x:c r="M1748" s="6" t="n">
        <x:v>7</x:v>
      </x:c>
      <x:c r="N1748" s="6" t="n">
        <x:v>4</x:v>
      </x:c>
      <x:c r="O1748" s="6" t="n">
        <x:v>8</x:v>
      </x:c>
      <x:c r="P1748" s="6" t="n">
        <x:v>1</x:v>
      </x:c>
      <x:c r="Q1748" s="6" t="n">
        <x:v>1</x:v>
      </x:c>
      <x:c r="R1748" s="6" t="n">
        <x:v>0</x:v>
      </x:c>
      <x:c r="S1748" s="6" t="n">
        <x:v>2</x:v>
      </x:c>
      <x:c r="T1748" s="6" t="n">
        <x:v>7</x:v>
      </x:c>
      <x:c r="U1748" s="6" t="n">
        <x:v>0</x:v>
      </x:c>
      <x:c r="V1748" s="6" t="n">
        <x:v>0</x:v>
      </x:c>
      <x:c r="W1748" s="6" t="n">
        <x:v>0</x:v>
      </x:c>
      <x:c r="X1748" s="6" t="n">
        <x:v>0</x:v>
      </x:c>
      <x:c r="Y1748" s="6" t="n">
        <x:v>0</x:v>
      </x:c>
      <x:c r="Z1748" s="6" t="n">
        <x:v>0</x:v>
      </x:c>
      <x:c r="AA1748" s="6" t="n">
        <x:v>3</x:v>
      </x:c>
      <x:c r="AB1748" s="6" t="n">
        <x:v>11</x:v>
      </x:c>
      <x:c r="AC1748" s="6" t="n">
        <x:v>0</x:v>
      </x:c>
    </x:row>
    <x:row r="1749">
      <x:c r="A1749" s="6" t="n">
        <x:v>7881</x:v>
      </x:c>
      <x:c r="B1749" s="6" t="n">
        <x:v>1946</x:v>
      </x:c>
      <x:c r="C1749" s="6" t="str">
        <x:v>Master</x:v>
      </x:c>
      <x:c r="D1749" s="6" t="str">
        <x:v>Married</x:v>
      </x:c>
      <x:c r="E1749" s="6" t="n">
        <x:v>66835</x:v>
      </x:c>
      <x:c r="F1749" s="6" t="n">
        <x:v>0</x:v>
      </x:c>
      <x:c r="G1749" s="6" t="n">
        <x:v>0</x:v>
      </x:c>
      <x:c r="H1749" s="9" t="str">
        <x:v>28-09-2013</x:v>
      </x:c>
      <x:c r="I1749" s="6" t="n">
        <x:v>21</x:v>
      </x:c>
      <x:c r="J1749" s="6" t="n">
        <x:v>620</x:v>
      </x:c>
      <x:c r="K1749" s="6" t="n">
        <x:v>26</x:v>
      </x:c>
      <x:c r="L1749" s="6" t="n">
        <x:v>195</x:v>
      </x:c>
      <x:c r="M1749" s="6" t="n">
        <x:v>34</x:v>
      </x:c>
      <x:c r="N1749" s="6" t="n">
        <x:v>17</x:v>
      </x:c>
      <x:c r="O1749" s="6" t="n">
        <x:v>141</x:v>
      </x:c>
      <x:c r="P1749" s="6" t="n">
        <x:v>1</x:v>
      </x:c>
      <x:c r="Q1749" s="6" t="n">
        <x:v>6</x:v>
      </x:c>
      <x:c r="R1749" s="6" t="n">
        <x:v>4</x:v>
      </x:c>
      <x:c r="S1749" s="6" t="n">
        <x:v>13</x:v>
      </x:c>
      <x:c r="T1749" s="6" t="n">
        <x:v>2</x:v>
      </x:c>
      <x:c r="U1749" s="6" t="n">
        <x:v>0</x:v>
      </x:c>
      <x:c r="V1749" s="6" t="n">
        <x:v>0</x:v>
      </x:c>
      <x:c r="W1749" s="6" t="n">
        <x:v>0</x:v>
      </x:c>
      <x:c r="X1749" s="6" t="n">
        <x:v>0</x:v>
      </x:c>
      <x:c r="Y1749" s="6" t="n">
        <x:v>0</x:v>
      </x:c>
      <x:c r="Z1749" s="6" t="n">
        <x:v>0</x:v>
      </x:c>
      <x:c r="AA1749" s="6" t="n">
        <x:v>3</x:v>
      </x:c>
      <x:c r="AB1749" s="6" t="n">
        <x:v>11</x:v>
      </x:c>
      <x:c r="AC1749" s="6" t="n">
        <x:v>0</x:v>
      </x:c>
    </x:row>
    <x:row r="1750">
      <x:c r="A1750" s="6" t="n">
        <x:v>5847</x:v>
      </x:c>
      <x:c r="B1750" s="6" t="n">
        <x:v>1969</x:v>
      </x:c>
      <x:c r="C1750" s="6" t="str">
        <x:v>Graduation</x:v>
      </x:c>
      <x:c r="D1750" s="6" t="str">
        <x:v>Divorced</x:v>
      </x:c>
      <x:c r="E1750" s="6" t="n">
        <x:v>69901</x:v>
      </x:c>
      <x:c r="F1750" s="6" t="n">
        <x:v>0</x:v>
      </x:c>
      <x:c r="G1750" s="6" t="n">
        <x:v>1</x:v>
      </x:c>
      <x:c r="H1750" s="9" t="str">
        <x:v>29-05-2013</x:v>
      </x:c>
      <x:c r="I1750" s="6" t="n">
        <x:v>95</x:v>
      </x:c>
      <x:c r="J1750" s="6" t="n">
        <x:v>312</x:v>
      </x:c>
      <x:c r="K1750" s="6" t="n">
        <x:v>21</x:v>
      </x:c>
      <x:c r="L1750" s="6" t="n">
        <x:v>206</x:v>
      </x:c>
      <x:c r="M1750" s="6" t="n">
        <x:v>102</x:v>
      </x:c>
      <x:c r="N1750" s="6" t="n">
        <x:v>92</x:v>
      </x:c>
      <x:c r="O1750" s="6" t="n">
        <x:v>149</x:v>
      </x:c>
      <x:c r="P1750" s="6" t="n">
        <x:v>3</x:v>
      </x:c>
      <x:c r="Q1750" s="6" t="n">
        <x:v>7</x:v>
      </x:c>
      <x:c r="R1750" s="6" t="n">
        <x:v>3</x:v>
      </x:c>
      <x:c r="S1750" s="6" t="n">
        <x:v>10</x:v>
      </x:c>
      <x:c r="T1750" s="6" t="n">
        <x:v>5</x:v>
      </x:c>
      <x:c r="U1750" s="6" t="n">
        <x:v>0</x:v>
      </x:c>
      <x:c r="V1750" s="6" t="n">
        <x:v>0</x:v>
      </x:c>
      <x:c r="W1750" s="6" t="n">
        <x:v>0</x:v>
      </x:c>
      <x:c r="X1750" s="6" t="n">
        <x:v>0</x:v>
      </x:c>
      <x:c r="Y1750" s="6" t="n">
        <x:v>0</x:v>
      </x:c>
      <x:c r="Z1750" s="6" t="n">
        <x:v>0</x:v>
      </x:c>
      <x:c r="AA1750" s="6" t="n">
        <x:v>3</x:v>
      </x:c>
      <x:c r="AB1750" s="6" t="n">
        <x:v>11</x:v>
      </x:c>
      <x:c r="AC1750" s="6" t="n">
        <x:v>0</x:v>
      </x:c>
    </x:row>
    <x:row r="1751">
      <x:c r="A1751" s="6" t="n">
        <x:v>737</x:v>
      </x:c>
      <x:c r="B1751" s="6" t="n">
        <x:v>1949</x:v>
      </x:c>
      <x:c r="C1751" s="6" t="str">
        <x:v>PhD</x:v>
      </x:c>
      <x:c r="D1751" s="6" t="str">
        <x:v>Married</x:v>
      </x:c>
      <x:c r="E1751" s="6" t="n">
        <x:v>80360</x:v>
      </x:c>
      <x:c r="F1751" s="6" t="n">
        <x:v>0</x:v>
      </x:c>
      <x:c r="G1751" s="6" t="n">
        <x:v>0</x:v>
      </x:c>
      <x:c r="H1751" s="9" t="str">
        <x:v>03-03-2013</x:v>
      </x:c>
      <x:c r="I1751" s="6" t="n">
        <x:v>56</x:v>
      </x:c>
      <x:c r="J1751" s="6" t="n">
        <x:v>1493</x:v>
      </x:c>
      <x:c r="K1751" s="6" t="n">
        <x:v>86</x:v>
      </x:c>
      <x:c r="L1751" s="6" t="n">
        <x:v>454</x:v>
      </x:c>
      <x:c r="M1751" s="6" t="n">
        <x:v>112</x:v>
      </x:c>
      <x:c r="N1751" s="6" t="n">
        <x:v>43</x:v>
      </x:c>
      <x:c r="O1751" s="6" t="n">
        <x:v>43</x:v>
      </x:c>
      <x:c r="P1751" s="6" t="n">
        <x:v>2</x:v>
      </x:c>
      <x:c r="Q1751" s="6" t="n">
        <x:v>4</x:v>
      </x:c>
      <x:c r="R1751" s="6" t="n">
        <x:v>4</x:v>
      </x:c>
      <x:c r="S1751" s="6" t="n">
        <x:v>5</x:v>
      </x:c>
      <x:c r="T1751" s="6" t="n">
        <x:v>2</x:v>
      </x:c>
      <x:c r="U1751" s="6" t="n">
        <x:v>0</x:v>
      </x:c>
      <x:c r="V1751" s="6" t="n">
        <x:v>1</x:v>
      </x:c>
      <x:c r="W1751" s="6" t="n">
        <x:v>1</x:v>
      </x:c>
      <x:c r="X1751" s="6" t="n">
        <x:v>1</x:v>
      </x:c>
      <x:c r="Y1751" s="6" t="n">
        <x:v>0</x:v>
      </x:c>
      <x:c r="Z1751" s="6" t="n">
        <x:v>0</x:v>
      </x:c>
      <x:c r="AA1751" s="6" t="n">
        <x:v>3</x:v>
      </x:c>
      <x:c r="AB1751" s="6" t="n">
        <x:v>11</x:v>
      </x:c>
      <x:c r="AC1751" s="6" t="n">
        <x:v>0</x:v>
      </x:c>
    </x:row>
    <x:row r="1752">
      <x:c r="A1752" s="6" t="n">
        <x:v>3571</x:v>
      </x:c>
      <x:c r="B1752" s="6" t="n">
        <x:v>1961</x:v>
      </x:c>
      <x:c r="C1752" s="6" t="str">
        <x:v>PhD</x:v>
      </x:c>
      <x:c r="D1752" s="6" t="str">
        <x:v>Together</x:v>
      </x:c>
      <x:c r="E1752" s="6" t="n">
        <x:v>63342</x:v>
      </x:c>
      <x:c r="F1752" s="6" t="n">
        <x:v>0</x:v>
      </x:c>
      <x:c r="G1752" s="6" t="n">
        <x:v>1</x:v>
      </x:c>
      <x:c r="H1752" s="9" t="str">
        <x:v>16-10-2012</x:v>
      </x:c>
      <x:c r="I1752" s="6" t="n">
        <x:v>48</x:v>
      </x:c>
      <x:c r="J1752" s="6" t="n">
        <x:v>918</x:v>
      </x:c>
      <x:c r="K1752" s="6" t="n">
        <x:v>21</x:v>
      </x:c>
      <x:c r="L1752" s="6" t="n">
        <x:v>118</x:v>
      </x:c>
      <x:c r="M1752" s="6" t="n">
        <x:v>13</x:v>
      </x:c>
      <x:c r="N1752" s="6" t="n">
        <x:v>10</x:v>
      </x:c>
      <x:c r="O1752" s="6" t="n">
        <x:v>21</x:v>
      </x:c>
      <x:c r="P1752" s="6" t="n">
        <x:v>3</x:v>
      </x:c>
      <x:c r="Q1752" s="6" t="n">
        <x:v>8</x:v>
      </x:c>
      <x:c r="R1752" s="6" t="n">
        <x:v>3</x:v>
      </x:c>
      <x:c r="S1752" s="6" t="n">
        <x:v>5</x:v>
      </x:c>
      <x:c r="T1752" s="6" t="n">
        <x:v>6</x:v>
      </x:c>
      <x:c r="U1752" s="6" t="n">
        <x:v>0</x:v>
      </x:c>
      <x:c r="V1752" s="6" t="n">
        <x:v>1</x:v>
      </x:c>
      <x:c r="W1752" s="6" t="n">
        <x:v>0</x:v>
      </x:c>
      <x:c r="X1752" s="6" t="n">
        <x:v>0</x:v>
      </x:c>
      <x:c r="Y1752" s="6" t="n">
        <x:v>0</x:v>
      </x:c>
      <x:c r="Z1752" s="6" t="n">
        <x:v>0</x:v>
      </x:c>
      <x:c r="AA1752" s="6" t="n">
        <x:v>3</x:v>
      </x:c>
      <x:c r="AB1752" s="6" t="n">
        <x:v>11</x:v>
      </x:c>
      <x:c r="AC1752" s="6" t="n">
        <x:v>1</x:v>
      </x:c>
    </x:row>
    <x:row r="1753">
      <x:c r="A1753" s="6" t="n">
        <x:v>7807</x:v>
      </x:c>
      <x:c r="B1753" s="6" t="n">
        <x:v>1974</x:v>
      </x:c>
      <x:c r="C1753" s="6" t="str">
        <x:v>Graduation</x:v>
      </x:c>
      <x:c r="D1753" s="6" t="str">
        <x:v>Married</x:v>
      </x:c>
      <x:c r="E1753" s="6" t="n">
        <x:v>44989</x:v>
      </x:c>
      <x:c r="F1753" s="6" t="n">
        <x:v>0</x:v>
      </x:c>
      <x:c r="G1753" s="6" t="n">
        <x:v>1</x:v>
      </x:c>
      <x:c r="H1753" s="9" t="str">
        <x:v>12-09-2012</x:v>
      </x:c>
      <x:c r="I1753" s="6" t="n">
        <x:v>26</x:v>
      </x:c>
      <x:c r="J1753" s="6" t="n">
        <x:v>98</x:v>
      </x:c>
      <x:c r="K1753" s="6" t="n">
        <x:v>0</x:v>
      </x:c>
      <x:c r="L1753" s="6" t="n">
        <x:v>106</x:v>
      </x:c>
      <x:c r="M1753" s="6" t="n">
        <x:v>49</x:v>
      </x:c>
      <x:c r="N1753" s="6" t="n">
        <x:v>10</x:v>
      </x:c>
      <x:c r="O1753" s="6" t="n">
        <x:v>106</x:v>
      </x:c>
      <x:c r="P1753" s="6" t="n">
        <x:v>5</x:v>
      </x:c>
      <x:c r="Q1753" s="6" t="n">
        <x:v>5</x:v>
      </x:c>
      <x:c r="R1753" s="6" t="n">
        <x:v>1</x:v>
      </x:c>
      <x:c r="S1753" s="6" t="n">
        <x:v>5</x:v>
      </x:c>
      <x:c r="T1753" s="6" t="n">
        <x:v>6</x:v>
      </x:c>
      <x:c r="U1753" s="6" t="n">
        <x:v>0</x:v>
      </x:c>
      <x:c r="V1753" s="6" t="n">
        <x:v>0</x:v>
      </x:c>
      <x:c r="W1753" s="6" t="n">
        <x:v>0</x:v>
      </x:c>
      <x:c r="X1753" s="6" t="n">
        <x:v>0</x:v>
      </x:c>
      <x:c r="Y1753" s="6" t="n">
        <x:v>0</x:v>
      </x:c>
      <x:c r="Z1753" s="6" t="n">
        <x:v>0</x:v>
      </x:c>
      <x:c r="AA1753" s="6" t="n">
        <x:v>3</x:v>
      </x:c>
      <x:c r="AB1753" s="6" t="n">
        <x:v>11</x:v>
      </x:c>
      <x:c r="AC1753" s="6" t="n">
        <x:v>0</x:v>
      </x:c>
    </x:row>
    <x:row r="1754">
      <x:c r="A1754" s="6" t="n">
        <x:v>3878</x:v>
      </x:c>
      <x:c r="B1754" s="6" t="n">
        <x:v>1980</x:v>
      </x:c>
      <x:c r="C1754" s="6" t="str">
        <x:v>2n Cycle</x:v>
      </x:c>
      <x:c r="D1754" s="6" t="str">
        <x:v>Single</x:v>
      </x:c>
      <x:c r="E1754" s="6" t="n">
        <x:v>31859</x:v>
      </x:c>
      <x:c r="F1754" s="6" t="n">
        <x:v>1</x:v>
      </x:c>
      <x:c r="G1754" s="6" t="n">
        <x:v>0</x:v>
      </x:c>
      <x:c r="H1754" s="9" t="str">
        <x:v>27-02-2014</x:v>
      </x:c>
      <x:c r="I1754" s="6" t="n">
        <x:v>3</x:v>
      </x:c>
      <x:c r="J1754" s="6" t="n">
        <x:v>3</x:v>
      </x:c>
      <x:c r="K1754" s="6" t="n">
        <x:v>4</x:v>
      </x:c>
      <x:c r="L1754" s="6" t="n">
        <x:v>7</x:v>
      </x:c>
      <x:c r="M1754" s="6" t="n">
        <x:v>15</x:v>
      </x:c>
      <x:c r="N1754" s="6" t="n">
        <x:v>8</x:v>
      </x:c>
      <x:c r="O1754" s="6" t="n">
        <x:v>11</x:v>
      </x:c>
      <x:c r="P1754" s="6" t="n">
        <x:v>1</x:v>
      </x:c>
      <x:c r="Q1754" s="6" t="n">
        <x:v>1</x:v>
      </x:c>
      <x:c r="R1754" s="6" t="n">
        <x:v>0</x:v>
      </x:c>
      <x:c r="S1754" s="6" t="n">
        <x:v>3</x:v>
      </x:c>
      <x:c r="T1754" s="6" t="n">
        <x:v>7</x:v>
      </x:c>
      <x:c r="U1754" s="6" t="n">
        <x:v>0</x:v>
      </x:c>
      <x:c r="V1754" s="6" t="n">
        <x:v>0</x:v>
      </x:c>
      <x:c r="W1754" s="6" t="n">
        <x:v>0</x:v>
      </x:c>
      <x:c r="X1754" s="6" t="n">
        <x:v>0</x:v>
      </x:c>
      <x:c r="Y1754" s="6" t="n">
        <x:v>0</x:v>
      </x:c>
      <x:c r="Z1754" s="6" t="n">
        <x:v>0</x:v>
      </x:c>
      <x:c r="AA1754" s="6" t="n">
        <x:v>3</x:v>
      </x:c>
      <x:c r="AB1754" s="6" t="n">
        <x:v>11</x:v>
      </x:c>
      <x:c r="AC1754" s="6" t="n">
        <x:v>0</x:v>
      </x:c>
    </x:row>
    <x:row r="1755">
      <x:c r="A1755" s="6" t="n">
        <x:v>5092</x:v>
      </x:c>
      <x:c r="B1755" s="6" t="n">
        <x:v>1949</x:v>
      </x:c>
      <x:c r="C1755" s="6" t="str">
        <x:v>PhD</x:v>
      </x:c>
      <x:c r="D1755" s="6" t="str">
        <x:v>Widow</x:v>
      </x:c>
      <x:c r="E1755" s="6" t="n">
        <x:v>51569</x:v>
      </x:c>
      <x:c r="F1755" s="6" t="n">
        <x:v>0</x:v>
      </x:c>
      <x:c r="G1755" s="6" t="n">
        <x:v>1</x:v>
      </x:c>
      <x:c r="H1755" s="9" t="str">
        <x:v>12-02-2013</x:v>
      </x:c>
      <x:c r="I1755" s="6" t="n">
        <x:v>39</x:v>
      </x:c>
      <x:c r="J1755" s="6" t="n">
        <x:v>380</x:v>
      </x:c>
      <x:c r="K1755" s="6" t="n">
        <x:v>0</x:v>
      </x:c>
      <x:c r="L1755" s="6" t="n">
        <x:v>47</x:v>
      </x:c>
      <x:c r="M1755" s="6" t="n">
        <x:v>6</x:v>
      </x:c>
      <x:c r="N1755" s="6" t="n">
        <x:v>0</x:v>
      </x:c>
      <x:c r="O1755" s="6" t="n">
        <x:v>34</x:v>
      </x:c>
      <x:c r="P1755" s="6" t="n">
        <x:v>4</x:v>
      </x:c>
      <x:c r="Q1755" s="6" t="n">
        <x:v>7</x:v>
      </x:c>
      <x:c r="R1755" s="6" t="n">
        <x:v>1</x:v>
      </x:c>
      <x:c r="S1755" s="6" t="n">
        <x:v>7</x:v>
      </x:c>
      <x:c r="T1755" s="6" t="n">
        <x:v>8</x:v>
      </x:c>
      <x:c r="U1755" s="6" t="n">
        <x:v>0</x:v>
      </x:c>
      <x:c r="V1755" s="6" t="n">
        <x:v>1</x:v>
      </x:c>
      <x:c r="W1755" s="6" t="n">
        <x:v>0</x:v>
      </x:c>
      <x:c r="X1755" s="6" t="n">
        <x:v>0</x:v>
      </x:c>
      <x:c r="Y1755" s="6" t="n">
        <x:v>0</x:v>
      </x:c>
      <x:c r="Z1755" s="6" t="n">
        <x:v>0</x:v>
      </x:c>
      <x:c r="AA1755" s="6" t="n">
        <x:v>3</x:v>
      </x:c>
      <x:c r="AB1755" s="6" t="n">
        <x:v>11</x:v>
      </x:c>
      <x:c r="AC1755" s="6" t="n">
        <x:v>1</x:v>
      </x:c>
    </x:row>
    <x:row r="1756">
      <x:c r="A1756" s="6" t="n">
        <x:v>2154</x:v>
      </x:c>
      <x:c r="B1756" s="6" t="n">
        <x:v>1971</x:v>
      </x:c>
      <x:c r="C1756" s="6" t="str">
        <x:v>Graduation</x:v>
      </x:c>
      <x:c r="D1756" s="6" t="str">
        <x:v>Widow</x:v>
      </x:c>
      <x:c r="E1756" s="6" t="n">
        <x:v>30372</x:v>
      </x:c>
      <x:c r="F1756" s="6" t="n">
        <x:v>1</x:v>
      </x:c>
      <x:c r="G1756" s="6" t="n">
        <x:v>1</x:v>
      </x:c>
      <x:c r="H1756" s="9" t="str">
        <x:v>25-12-2012</x:v>
      </x:c>
      <x:c r="I1756" s="6" t="n">
        <x:v>33</x:v>
      </x:c>
      <x:c r="J1756" s="6" t="n">
        <x:v>15</x:v>
      </x:c>
      <x:c r="K1756" s="6" t="n">
        <x:v>0</x:v>
      </x:c>
      <x:c r="L1756" s="6" t="n">
        <x:v>12</x:v>
      </x:c>
      <x:c r="M1756" s="6" t="n">
        <x:v>7</x:v>
      </x:c>
      <x:c r="N1756" s="6" t="n">
        <x:v>3</x:v>
      </x:c>
      <x:c r="O1756" s="6" t="n">
        <x:v>7</x:v>
      </x:c>
      <x:c r="P1756" s="6" t="n">
        <x:v>3</x:v>
      </x:c>
      <x:c r="Q1756" s="6" t="n">
        <x:v>2</x:v>
      </x:c>
      <x:c r="R1756" s="6" t="n">
        <x:v>0</x:v>
      </x:c>
      <x:c r="S1756" s="6" t="n">
        <x:v>3</x:v>
      </x:c>
      <x:c r="T1756" s="6" t="n">
        <x:v>7</x:v>
      </x:c>
      <x:c r="U1756" s="6" t="n">
        <x:v>0</x:v>
      </x:c>
      <x:c r="V1756" s="6" t="n">
        <x:v>0</x:v>
      </x:c>
      <x:c r="W1756" s="6" t="n">
        <x:v>0</x:v>
      </x:c>
      <x:c r="X1756" s="6" t="n">
        <x:v>0</x:v>
      </x:c>
      <x:c r="Y1756" s="6" t="n">
        <x:v>0</x:v>
      </x:c>
      <x:c r="Z1756" s="6" t="n">
        <x:v>0</x:v>
      </x:c>
      <x:c r="AA1756" s="6" t="n">
        <x:v>3</x:v>
      </x:c>
      <x:c r="AB1756" s="6" t="n">
        <x:v>11</x:v>
      </x:c>
      <x:c r="AC1756" s="6" t="n">
        <x:v>0</x:v>
      </x:c>
    </x:row>
    <x:row r="1757">
      <x:c r="A1757" s="6" t="n">
        <x:v>5394</x:v>
      </x:c>
      <x:c r="B1757" s="6" t="n">
        <x:v>1979</x:v>
      </x:c>
      <x:c r="C1757" s="6" t="str">
        <x:v>Basic</x:v>
      </x:c>
      <x:c r="D1757" s="6" t="str">
        <x:v>Single</x:v>
      </x:c>
      <x:c r="E1757" s="6" t="n">
        <x:v>16014</x:v>
      </x:c>
      <x:c r="F1757" s="6" t="n">
        <x:v>1</x:v>
      </x:c>
      <x:c r="G1757" s="6" t="n">
        <x:v>1</x:v>
      </x:c>
      <x:c r="H1757" s="9" t="str">
        <x:v>17-03-2013</x:v>
      </x:c>
      <x:c r="I1757" s="6" t="n">
        <x:v>42</x:v>
      </x:c>
      <x:c r="J1757" s="6" t="n">
        <x:v>3</x:v>
      </x:c>
      <x:c r="K1757" s="6" t="n">
        <x:v>9</x:v>
      </x:c>
      <x:c r="L1757" s="6" t="n">
        <x:v>4</x:v>
      </x:c>
      <x:c r="M1757" s="6" t="n">
        <x:v>7</x:v>
      </x:c>
      <x:c r="N1757" s="6" t="n">
        <x:v>8</x:v>
      </x:c>
      <x:c r="O1757" s="6" t="n">
        <x:v>7</x:v>
      </x:c>
      <x:c r="P1757" s="6" t="n">
        <x:v>4</x:v>
      </x:c>
      <x:c r="Q1757" s="6" t="n">
        <x:v>1</x:v>
      </x:c>
      <x:c r="R1757" s="6" t="n">
        <x:v>1</x:v>
      </x:c>
      <x:c r="S1757" s="6" t="n">
        <x:v>4</x:v>
      </x:c>
      <x:c r="T1757" s="6" t="n">
        <x:v>3</x:v>
      </x:c>
      <x:c r="U1757" s="6" t="n">
        <x:v>0</x:v>
      </x:c>
      <x:c r="V1757" s="6" t="n">
        <x:v>0</x:v>
      </x:c>
      <x:c r="W1757" s="6" t="n">
        <x:v>0</x:v>
      </x:c>
      <x:c r="X1757" s="6" t="n">
        <x:v>0</x:v>
      </x:c>
      <x:c r="Y1757" s="6" t="n">
        <x:v>0</x:v>
      </x:c>
      <x:c r="Z1757" s="6" t="n">
        <x:v>0</x:v>
      </x:c>
      <x:c r="AA1757" s="6" t="n">
        <x:v>3</x:v>
      </x:c>
      <x:c r="AB1757" s="6" t="n">
        <x:v>11</x:v>
      </x:c>
      <x:c r="AC1757" s="6" t="n">
        <x:v>0</x:v>
      </x:c>
    </x:row>
    <x:row r="1758">
      <x:c r="A1758" s="6" t="n">
        <x:v>3798</x:v>
      </x:c>
      <x:c r="B1758" s="6" t="n">
        <x:v>1968</x:v>
      </x:c>
      <x:c r="C1758" s="6" t="str">
        <x:v>Graduation</x:v>
      </x:c>
      <x:c r="D1758" s="6" t="str">
        <x:v>Married</x:v>
      </x:c>
      <x:c r="E1758" s="6" t="n">
        <x:v>41120</x:v>
      </x:c>
      <x:c r="F1758" s="6" t="n">
        <x:v>1</x:v>
      </x:c>
      <x:c r="G1758" s="6" t="n">
        <x:v>1</x:v>
      </x:c>
      <x:c r="H1758" s="9" t="str">
        <x:v>06-11-2013</x:v>
      </x:c>
      <x:c r="I1758" s="6" t="n">
        <x:v>80</x:v>
      </x:c>
      <x:c r="J1758" s="6" t="n">
        <x:v>24</x:v>
      </x:c>
      <x:c r="K1758" s="6" t="n">
        <x:v>2</x:v>
      </x:c>
      <x:c r="L1758" s="6" t="n">
        <x:v>23</x:v>
      </x:c>
      <x:c r="M1758" s="6" t="n">
        <x:v>0</x:v>
      </x:c>
      <x:c r="N1758" s="6" t="n">
        <x:v>8</x:v>
      </x:c>
      <x:c r="O1758" s="6" t="n">
        <x:v>24</x:v>
      </x:c>
      <x:c r="P1758" s="6" t="n">
        <x:v>3</x:v>
      </x:c>
      <x:c r="Q1758" s="6" t="n">
        <x:v>2</x:v>
      </x:c>
      <x:c r="R1758" s="6" t="n">
        <x:v>1</x:v>
      </x:c>
      <x:c r="S1758" s="6" t="n">
        <x:v>3</x:v>
      </x:c>
      <x:c r="T1758" s="6" t="n">
        <x:v>6</x:v>
      </x:c>
      <x:c r="U1758" s="6" t="n">
        <x:v>0</x:v>
      </x:c>
      <x:c r="V1758" s="6" t="n">
        <x:v>0</x:v>
      </x:c>
      <x:c r="W1758" s="6" t="n">
        <x:v>0</x:v>
      </x:c>
      <x:c r="X1758" s="6" t="n">
        <x:v>0</x:v>
      </x:c>
      <x:c r="Y1758" s="6" t="n">
        <x:v>0</x:v>
      </x:c>
      <x:c r="Z1758" s="6" t="n">
        <x:v>0</x:v>
      </x:c>
      <x:c r="AA1758" s="6" t="n">
        <x:v>3</x:v>
      </x:c>
      <x:c r="AB1758" s="6" t="n">
        <x:v>11</x:v>
      </x:c>
      <x:c r="AC1758" s="6" t="n">
        <x:v>0</x:v>
      </x:c>
    </x:row>
    <x:row r="1759">
      <x:c r="A1759" s="6" t="n">
        <x:v>3524</x:v>
      </x:c>
      <x:c r="B1759" s="6" t="n">
        <x:v>1971</x:v>
      </x:c>
      <x:c r="C1759" s="6" t="str">
        <x:v>Master</x:v>
      </x:c>
      <x:c r="D1759" s="6" t="str">
        <x:v>Single</x:v>
      </x:c>
      <x:c r="E1759" s="6" t="n">
        <x:v>39763</x:v>
      </x:c>
      <x:c r="F1759" s="6" t="n">
        <x:v>1</x:v>
      </x:c>
      <x:c r="G1759" s="6" t="n">
        <x:v>0</x:v>
      </x:c>
      <x:c r="H1759" s="9" t="str">
        <x:v>04-08-2013</x:v>
      </x:c>
      <x:c r="I1759" s="6" t="n">
        <x:v>9</x:v>
      </x:c>
      <x:c r="J1759" s="6" t="n">
        <x:v>80</x:v>
      </x:c>
      <x:c r="K1759" s="6" t="n">
        <x:v>1</x:v>
      </x:c>
      <x:c r="L1759" s="6" t="n">
        <x:v>60</x:v>
      </x:c>
      <x:c r="M1759" s="6" t="n">
        <x:v>4</x:v>
      </x:c>
      <x:c r="N1759" s="6" t="n">
        <x:v>6</x:v>
      </x:c>
      <x:c r="O1759" s="6" t="n">
        <x:v>16</x:v>
      </x:c>
      <x:c r="P1759" s="6" t="n">
        <x:v>2</x:v>
      </x:c>
      <x:c r="Q1759" s="6" t="n">
        <x:v>5</x:v>
      </x:c>
      <x:c r="R1759" s="6" t="n">
        <x:v>1</x:v>
      </x:c>
      <x:c r="S1759" s="6" t="n">
        <x:v>2</x:v>
      </x:c>
      <x:c r="T1759" s="6" t="n">
        <x:v>9</x:v>
      </x:c>
      <x:c r="U1759" s="6" t="n">
        <x:v>0</x:v>
      </x:c>
      <x:c r="V1759" s="6" t="n">
        <x:v>0</x:v>
      </x:c>
      <x:c r="W1759" s="6" t="n">
        <x:v>0</x:v>
      </x:c>
      <x:c r="X1759" s="6" t="n">
        <x:v>0</x:v>
      </x:c>
      <x:c r="Y1759" s="6" t="n">
        <x:v>0</x:v>
      </x:c>
      <x:c r="Z1759" s="6" t="n">
        <x:v>0</x:v>
      </x:c>
      <x:c r="AA1759" s="6" t="n">
        <x:v>3</x:v>
      </x:c>
      <x:c r="AB1759" s="6" t="n">
        <x:v>11</x:v>
      </x:c>
      <x:c r="AC1759" s="6" t="n">
        <x:v>1</x:v>
      </x:c>
    </x:row>
    <x:row r="1760">
      <x:c r="A1760" s="6" t="n">
        <x:v>5247</x:v>
      </x:c>
      <x:c r="B1760" s="6" t="n">
        <x:v>1955</x:v>
      </x:c>
      <x:c r="C1760" s="6" t="str">
        <x:v>PhD</x:v>
      </x:c>
      <x:c r="D1760" s="6" t="str">
        <x:v>Married</x:v>
      </x:c>
      <x:c r="E1760" s="6" t="n">
        <x:v>38725</x:v>
      </x:c>
      <x:c r="F1760" s="6" t="n">
        <x:v>1</x:v>
      </x:c>
      <x:c r="G1760" s="6" t="n">
        <x:v>1</x:v>
      </x:c>
      <x:c r="H1760" s="9" t="str">
        <x:v>10-05-2014</x:v>
      </x:c>
      <x:c r="I1760" s="6" t="n">
        <x:v>52</x:v>
      </x:c>
      <x:c r="J1760" s="6" t="n">
        <x:v>31</x:v>
      </x:c>
      <x:c r="K1760" s="6" t="n">
        <x:v>0</x:v>
      </x:c>
      <x:c r="L1760" s="6" t="n">
        <x:v>6</x:v>
      </x:c>
      <x:c r="M1760" s="6" t="n">
        <x:v>2</x:v>
      </x:c>
      <x:c r="N1760" s="6" t="n">
        <x:v>1</x:v>
      </x:c>
      <x:c r="O1760" s="6" t="n">
        <x:v>5</x:v>
      </x:c>
      <x:c r="P1760" s="6" t="n">
        <x:v>2</x:v>
      </x:c>
      <x:c r="Q1760" s="6" t="n">
        <x:v>1</x:v>
      </x:c>
      <x:c r="R1760" s="6" t="n">
        <x:v>0</x:v>
      </x:c>
      <x:c r="S1760" s="6" t="n">
        <x:v>4</x:v>
      </x:c>
      <x:c r="T1760" s="6" t="n">
        <x:v>4</x:v>
      </x:c>
      <x:c r="U1760" s="6" t="n">
        <x:v>0</x:v>
      </x:c>
      <x:c r="V1760" s="6" t="n">
        <x:v>0</x:v>
      </x:c>
      <x:c r="W1760" s="6" t="n">
        <x:v>0</x:v>
      </x:c>
      <x:c r="X1760" s="6" t="n">
        <x:v>0</x:v>
      </x:c>
      <x:c r="Y1760" s="6" t="n">
        <x:v>0</x:v>
      </x:c>
      <x:c r="Z1760" s="6" t="n">
        <x:v>0</x:v>
      </x:c>
      <x:c r="AA1760" s="6" t="n">
        <x:v>3</x:v>
      </x:c>
      <x:c r="AB1760" s="6" t="n">
        <x:v>11</x:v>
      </x:c>
      <x:c r="AC1760" s="6" t="n">
        <x:v>0</x:v>
      </x:c>
    </x:row>
    <x:row r="1761">
      <x:c r="A1761" s="6" t="n">
        <x:v>5883</x:v>
      </x:c>
      <x:c r="B1761" s="6" t="n">
        <x:v>1972</x:v>
      </x:c>
      <x:c r="C1761" s="6" t="str">
        <x:v>Graduation</x:v>
      </x:c>
      <x:c r="D1761" s="6" t="str">
        <x:v>Married</x:v>
      </x:c>
      <x:c r="E1761" s="6" t="n">
        <x:v>77981</x:v>
      </x:c>
      <x:c r="F1761" s="6" t="n">
        <x:v>1</x:v>
      </x:c>
      <x:c r="G1761" s="6" t="n">
        <x:v>0</x:v>
      </x:c>
      <x:c r="H1761" s="9" t="str">
        <x:v>26-05-2013</x:v>
      </x:c>
      <x:c r="I1761" s="6" t="n">
        <x:v>78</x:v>
      </x:c>
      <x:c r="J1761" s="6" t="n">
        <x:v>138</x:v>
      </x:c>
      <x:c r="K1761" s="6" t="n">
        <x:v>120</x:v>
      </x:c>
      <x:c r="L1761" s="6" t="n">
        <x:v>204</x:v>
      </x:c>
      <x:c r="M1761" s="6" t="n">
        <x:v>16</x:v>
      </x:c>
      <x:c r="N1761" s="6" t="n">
        <x:v>126</x:v>
      </x:c>
      <x:c r="O1761" s="6" t="n">
        <x:v>60</x:v>
      </x:c>
      <x:c r="P1761" s="6" t="n">
        <x:v>3</x:v>
      </x:c>
      <x:c r="Q1761" s="6" t="n">
        <x:v>7</x:v>
      </x:c>
      <x:c r="R1761" s="6" t="n">
        <x:v>4</x:v>
      </x:c>
      <x:c r="S1761" s="6" t="n">
        <x:v>7</x:v>
      </x:c>
      <x:c r="T1761" s="6" t="n">
        <x:v>5</x:v>
      </x:c>
      <x:c r="U1761" s="6" t="n">
        <x:v>0</x:v>
      </x:c>
      <x:c r="V1761" s="6" t="n">
        <x:v>0</x:v>
      </x:c>
      <x:c r="W1761" s="6" t="n">
        <x:v>0</x:v>
      </x:c>
      <x:c r="X1761" s="6" t="n">
        <x:v>0</x:v>
      </x:c>
      <x:c r="Y1761" s="6" t="n">
        <x:v>0</x:v>
      </x:c>
      <x:c r="Z1761" s="6" t="n">
        <x:v>0</x:v>
      </x:c>
      <x:c r="AA1761" s="6" t="n">
        <x:v>3</x:v>
      </x:c>
      <x:c r="AB1761" s="6" t="n">
        <x:v>11</x:v>
      </x:c>
      <x:c r="AC1761" s="6" t="n">
        <x:v>0</x:v>
      </x:c>
    </x:row>
    <x:row r="1762">
      <x:c r="A1762" s="6" t="n">
        <x:v>2118</x:v>
      </x:c>
      <x:c r="B1762" s="6" t="n">
        <x:v>1964</x:v>
      </x:c>
      <x:c r="C1762" s="6" t="str">
        <x:v>2n Cycle</x:v>
      </x:c>
      <x:c r="D1762" s="6" t="str">
        <x:v>Married</x:v>
      </x:c>
      <x:c r="E1762" s="6" t="n">
        <x:v>62905</x:v>
      </x:c>
      <x:c r="F1762" s="6" t="n">
        <x:v>0</x:v>
      </x:c>
      <x:c r="G1762" s="6" t="n">
        <x:v>1</x:v>
      </x:c>
      <x:c r="H1762" s="9" t="str">
        <x:v>10-09-2013</x:v>
      </x:c>
      <x:c r="I1762" s="6" t="n">
        <x:v>68</x:v>
      </x:c>
      <x:c r="J1762" s="6" t="n">
        <x:v>166</x:v>
      </x:c>
      <x:c r="K1762" s="6" t="n">
        <x:v>75</x:v>
      </x:c>
      <x:c r="L1762" s="6" t="n">
        <x:v>96</x:v>
      </x:c>
      <x:c r="M1762" s="6" t="n">
        <x:v>119</x:v>
      </x:c>
      <x:c r="N1762" s="6" t="n">
        <x:v>107</x:v>
      </x:c>
      <x:c r="O1762" s="6" t="n">
        <x:v>59</x:v>
      </x:c>
      <x:c r="P1762" s="6" t="n">
        <x:v>3</x:v>
      </x:c>
      <x:c r="Q1762" s="6" t="n">
        <x:v>7</x:v>
      </x:c>
      <x:c r="R1762" s="6" t="n">
        <x:v>2</x:v>
      </x:c>
      <x:c r="S1762" s="6" t="n">
        <x:v>8</x:v>
      </x:c>
      <x:c r="T1762" s="6" t="n">
        <x:v>4</x:v>
      </x:c>
      <x:c r="U1762" s="6" t="n">
        <x:v>0</x:v>
      </x:c>
      <x:c r="V1762" s="6" t="n">
        <x:v>0</x:v>
      </x:c>
      <x:c r="W1762" s="6" t="n">
        <x:v>0</x:v>
      </x:c>
      <x:c r="X1762" s="6" t="n">
        <x:v>0</x:v>
      </x:c>
      <x:c r="Y1762" s="6" t="n">
        <x:v>0</x:v>
      </x:c>
      <x:c r="Z1762" s="6" t="n">
        <x:v>0</x:v>
      </x:c>
      <x:c r="AA1762" s="6" t="n">
        <x:v>3</x:v>
      </x:c>
      <x:c r="AB1762" s="6" t="n">
        <x:v>11</x:v>
      </x:c>
      <x:c r="AC1762" s="6" t="n">
        <x:v>0</x:v>
      </x:c>
    </x:row>
    <x:row r="1763">
      <x:c r="A1763" s="6" t="n">
        <x:v>8812</x:v>
      </x:c>
      <x:c r="B1763" s="6" t="n">
        <x:v>1979</x:v>
      </x:c>
      <x:c r="C1763" s="6" t="str">
        <x:v>2n Cycle</x:v>
      </x:c>
      <x:c r="D1763" s="6" t="str">
        <x:v>Divorced</x:v>
      </x:c>
      <x:c r="E1763" s="6" t="n">
        <x:v>13533</x:v>
      </x:c>
      <x:c r="F1763" s="6" t="n">
        <x:v>1</x:v>
      </x:c>
      <x:c r="G1763" s="6" t="n">
        <x:v>0</x:v>
      </x:c>
      <x:c r="H1763" s="9" t="str">
        <x:v>10-03-2013</x:v>
      </x:c>
      <x:c r="I1763" s="6" t="n">
        <x:v>45</x:v>
      </x:c>
      <x:c r="J1763" s="6" t="n">
        <x:v>12</x:v>
      </x:c>
      <x:c r="K1763" s="6" t="n">
        <x:v>3</x:v>
      </x:c>
      <x:c r="L1763" s="6" t="n">
        <x:v>8</x:v>
      </x:c>
      <x:c r="M1763" s="6" t="n">
        <x:v>8</x:v>
      </x:c>
      <x:c r="N1763" s="6" t="n">
        <x:v>0</x:v>
      </x:c>
      <x:c r="O1763" s="6" t="n">
        <x:v>17</x:v>
      </x:c>
      <x:c r="P1763" s="6" t="n">
        <x:v>2</x:v>
      </x:c>
      <x:c r="Q1763" s="6" t="n">
        <x:v>2</x:v>
      </x:c>
      <x:c r="R1763" s="6" t="n">
        <x:v>0</x:v>
      </x:c>
      <x:c r="S1763" s="6" t="n">
        <x:v>3</x:v>
      </x:c>
      <x:c r="T1763" s="6" t="n">
        <x:v>7</x:v>
      </x:c>
      <x:c r="U1763" s="6" t="n">
        <x:v>0</x:v>
      </x:c>
      <x:c r="V1763" s="6" t="n">
        <x:v>0</x:v>
      </x:c>
      <x:c r="W1763" s="6" t="n">
        <x:v>0</x:v>
      </x:c>
      <x:c r="X1763" s="6" t="n">
        <x:v>0</x:v>
      </x:c>
      <x:c r="Y1763" s="6" t="n">
        <x:v>0</x:v>
      </x:c>
      <x:c r="Z1763" s="6" t="n">
        <x:v>0</x:v>
      </x:c>
      <x:c r="AA1763" s="6" t="n">
        <x:v>3</x:v>
      </x:c>
      <x:c r="AB1763" s="6" t="n">
        <x:v>11</x:v>
      </x:c>
      <x:c r="AC1763" s="6" t="n">
        <x:v>0</x:v>
      </x:c>
    </x:row>
    <x:row r="1764">
      <x:c r="A1764" s="6" t="n">
        <x:v>6616</x:v>
      </x:c>
      <x:c r="B1764" s="6" t="n">
        <x:v>1975</x:v>
      </x:c>
      <x:c r="C1764" s="6" t="str">
        <x:v>Graduation</x:v>
      </x:c>
      <x:c r="D1764" s="6" t="str">
        <x:v>Together</x:v>
      </x:c>
      <x:c r="E1764" s="6" t="n">
        <x:v>59481</x:v>
      </x:c>
      <x:c r="F1764" s="6" t="n">
        <x:v>0</x:v>
      </x:c>
      <x:c r="G1764" s="6" t="n">
        <x:v>1</x:v>
      </x:c>
      <x:c r="H1764" s="9" t="str">
        <x:v>23-10-2013</x:v>
      </x:c>
      <x:c r="I1764" s="6" t="n">
        <x:v>47</x:v>
      </x:c>
      <x:c r="J1764" s="6" t="n">
        <x:v>178</x:v>
      </x:c>
      <x:c r="K1764" s="6" t="n">
        <x:v>3</x:v>
      </x:c>
      <x:c r="L1764" s="6" t="n">
        <x:v>85</x:v>
      </x:c>
      <x:c r="M1764" s="6" t="n">
        <x:v>71</x:v>
      </x:c>
      <x:c r="N1764" s="6" t="n">
        <x:v>66</x:v>
      </x:c>
      <x:c r="O1764" s="6" t="n">
        <x:v>58</x:v>
      </x:c>
      <x:c r="P1764" s="6" t="n">
        <x:v>2</x:v>
      </x:c>
      <x:c r="Q1764" s="6" t="n">
        <x:v>3</x:v>
      </x:c>
      <x:c r="R1764" s="6" t="n">
        <x:v>3</x:v>
      </x:c>
      <x:c r="S1764" s="6" t="n">
        <x:v>8</x:v>
      </x:c>
      <x:c r="T1764" s="6" t="n">
        <x:v>2</x:v>
      </x:c>
      <x:c r="U1764" s="6" t="n">
        <x:v>0</x:v>
      </x:c>
      <x:c r="V1764" s="6" t="n">
        <x:v>0</x:v>
      </x:c>
      <x:c r="W1764" s="6" t="n">
        <x:v>0</x:v>
      </x:c>
      <x:c r="X1764" s="6" t="n">
        <x:v>0</x:v>
      </x:c>
      <x:c r="Y1764" s="6" t="n">
        <x:v>0</x:v>
      </x:c>
      <x:c r="Z1764" s="6" t="n">
        <x:v>0</x:v>
      </x:c>
      <x:c r="AA1764" s="6" t="n">
        <x:v>3</x:v>
      </x:c>
      <x:c r="AB1764" s="6" t="n">
        <x:v>11</x:v>
      </x:c>
      <x:c r="AC1764" s="6" t="n">
        <x:v>0</x:v>
      </x:c>
    </x:row>
    <x:row r="1765">
      <x:c r="A1765" s="6" t="n">
        <x:v>2797</x:v>
      </x:c>
      <x:c r="B1765" s="6" t="n">
        <x:v>1977</x:v>
      </x:c>
      <x:c r="C1765" s="6" t="str">
        <x:v>Graduation</x:v>
      </x:c>
      <x:c r="D1765" s="6" t="str">
        <x:v>Married</x:v>
      </x:c>
      <x:c r="E1765" s="6" t="n">
        <x:v>72117</x:v>
      </x:c>
      <x:c r="F1765" s="6" t="n">
        <x:v>0</x:v>
      </x:c>
      <x:c r="G1765" s="6" t="n">
        <x:v>1</x:v>
      </x:c>
      <x:c r="H1765" s="9" t="str">
        <x:v>20-08-2013</x:v>
      </x:c>
      <x:c r="I1765" s="6" t="n">
        <x:v>34</x:v>
      </x:c>
      <x:c r="J1765" s="6" t="n">
        <x:v>707</x:v>
      </x:c>
      <x:c r="K1765" s="6" t="n">
        <x:v>20</x:v>
      </x:c>
      <x:c r="L1765" s="6" t="n">
        <x:v>171</x:v>
      </x:c>
      <x:c r="M1765" s="6" t="n">
        <x:v>65</x:v>
      </x:c>
      <x:c r="N1765" s="6" t="n">
        <x:v>60</x:v>
      </x:c>
      <x:c r="O1765" s="6" t="n">
        <x:v>50</x:v>
      </x:c>
      <x:c r="P1765" s="6" t="n">
        <x:v>1</x:v>
      </x:c>
      <x:c r="Q1765" s="6" t="n">
        <x:v>9</x:v>
      </x:c>
      <x:c r="R1765" s="6" t="n">
        <x:v>7</x:v>
      </x:c>
      <x:c r="S1765" s="6" t="n">
        <x:v>9</x:v>
      </x:c>
      <x:c r="T1765" s="6" t="n">
        <x:v>5</x:v>
      </x:c>
      <x:c r="U1765" s="6" t="n">
        <x:v>0</x:v>
      </x:c>
      <x:c r="V1765" s="6" t="n">
        <x:v>0</x:v>
      </x:c>
      <x:c r="W1765" s="6" t="n">
        <x:v>0</x:v>
      </x:c>
      <x:c r="X1765" s="6" t="n">
        <x:v>0</x:v>
      </x:c>
      <x:c r="Y1765" s="6" t="n">
        <x:v>0</x:v>
      </x:c>
      <x:c r="Z1765" s="6" t="n">
        <x:v>0</x:v>
      </x:c>
      <x:c r="AA1765" s="6" t="n">
        <x:v>3</x:v>
      </x:c>
      <x:c r="AB1765" s="6" t="n">
        <x:v>11</x:v>
      </x:c>
      <x:c r="AC1765" s="6" t="n">
        <x:v>0</x:v>
      </x:c>
    </x:row>
    <x:row r="1766">
      <x:c r="A1766" s="6" t="n">
        <x:v>4328</x:v>
      </x:c>
      <x:c r="B1766" s="6" t="n">
        <x:v>1986</x:v>
      </x:c>
      <x:c r="C1766" s="6" t="str">
        <x:v>2n Cycle</x:v>
      </x:c>
      <x:c r="D1766" s="6" t="str">
        <x:v>Married</x:v>
      </x:c>
      <x:c r="E1766" s="6" t="n">
        <x:v>21955</x:v>
      </x:c>
      <x:c r="F1766" s="6" t="n">
        <x:v>1</x:v>
      </x:c>
      <x:c r="G1766" s="6" t="n">
        <x:v>0</x:v>
      </x:c>
      <x:c r="H1766" s="9" t="str">
        <x:v>07-09-2013</x:v>
      </x:c>
      <x:c r="I1766" s="6" t="n">
        <x:v>81</x:v>
      </x:c>
      <x:c r="J1766" s="6" t="n">
        <x:v>5</x:v>
      </x:c>
      <x:c r="K1766" s="6" t="n">
        <x:v>1</x:v>
      </x:c>
      <x:c r="L1766" s="6" t="n">
        <x:v>7</x:v>
      </x:c>
      <x:c r="M1766" s="6" t="n">
        <x:v>17</x:v>
      </x:c>
      <x:c r="N1766" s="6" t="n">
        <x:v>14</x:v>
      </x:c>
      <x:c r="O1766" s="6" t="n">
        <x:v>11</x:v>
      </x:c>
      <x:c r="P1766" s="6" t="n">
        <x:v>2</x:v>
      </x:c>
      <x:c r="Q1766" s="6" t="n">
        <x:v>2</x:v>
      </x:c>
      <x:c r="R1766" s="6" t="n">
        <x:v>1</x:v>
      </x:c>
      <x:c r="S1766" s="6" t="n">
        <x:v>3</x:v>
      </x:c>
      <x:c r="T1766" s="6" t="n">
        <x:v>6</x:v>
      </x:c>
      <x:c r="U1766" s="6" t="n">
        <x:v>0</x:v>
      </x:c>
      <x:c r="V1766" s="6" t="n">
        <x:v>0</x:v>
      </x:c>
      <x:c r="W1766" s="6" t="n">
        <x:v>0</x:v>
      </x:c>
      <x:c r="X1766" s="6" t="n">
        <x:v>0</x:v>
      </x:c>
      <x:c r="Y1766" s="6" t="n">
        <x:v>0</x:v>
      </x:c>
      <x:c r="Z1766" s="6" t="n">
        <x:v>0</x:v>
      </x:c>
      <x:c r="AA1766" s="6" t="n">
        <x:v>3</x:v>
      </x:c>
      <x:c r="AB1766" s="6" t="n">
        <x:v>11</x:v>
      </x:c>
      <x:c r="AC1766" s="6" t="n">
        <x:v>0</x:v>
      </x:c>
    </x:row>
    <x:row r="1767">
      <x:c r="A1767" s="6" t="n">
        <x:v>9167</x:v>
      </x:c>
      <x:c r="B1767" s="6" t="n">
        <x:v>1956</x:v>
      </x:c>
      <x:c r="C1767" s="6" t="str">
        <x:v>Graduation</x:v>
      </x:c>
      <x:c r="D1767" s="6" t="str">
        <x:v>Married</x:v>
      </x:c>
      <x:c r="E1767" s="6" t="n">
        <x:v>67131</x:v>
      </x:c>
      <x:c r="F1767" s="6" t="n">
        <x:v>0</x:v>
      </x:c>
      <x:c r="G1767" s="6" t="n">
        <x:v>1</x:v>
      </x:c>
      <x:c r="H1767" s="9" t="str">
        <x:v>26-03-2013</x:v>
      </x:c>
      <x:c r="I1767" s="6" t="n">
        <x:v>72</x:v>
      </x:c>
      <x:c r="J1767" s="6" t="n">
        <x:v>465</x:v>
      </x:c>
      <x:c r="K1767" s="6" t="n">
        <x:v>71</x:v>
      </x:c>
      <x:c r="L1767" s="6" t="n">
        <x:v>250</x:v>
      </x:c>
      <x:c r="M1767" s="6" t="n">
        <x:v>93</x:v>
      </x:c>
      <x:c r="N1767" s="6" t="n">
        <x:v>35</x:v>
      </x:c>
      <x:c r="O1767" s="6" t="n">
        <x:v>62</x:v>
      </x:c>
      <x:c r="P1767" s="6" t="n">
        <x:v>3</x:v>
      </x:c>
      <x:c r="Q1767" s="6" t="n">
        <x:v>9</x:v>
      </x:c>
      <x:c r="R1767" s="6" t="n">
        <x:v>2</x:v>
      </x:c>
      <x:c r="S1767" s="6" t="n">
        <x:v>12</x:v>
      </x:c>
      <x:c r="T1767" s="6" t="n">
        <x:v>6</x:v>
      </x:c>
      <x:c r="U1767" s="6" t="n">
        <x:v>0</x:v>
      </x:c>
      <x:c r="V1767" s="6" t="n">
        <x:v>0</x:v>
      </x:c>
      <x:c r="W1767" s="6" t="n">
        <x:v>0</x:v>
      </x:c>
      <x:c r="X1767" s="6" t="n">
        <x:v>0</x:v>
      </x:c>
      <x:c r="Y1767" s="6" t="n">
        <x:v>0</x:v>
      </x:c>
      <x:c r="Z1767" s="6" t="n">
        <x:v>0</x:v>
      </x:c>
      <x:c r="AA1767" s="6" t="n">
        <x:v>3</x:v>
      </x:c>
      <x:c r="AB1767" s="6" t="n">
        <x:v>11</x:v>
      </x:c>
      <x:c r="AC1767" s="6" t="n">
        <x:v>0</x:v>
      </x:c>
    </x:row>
    <x:row r="1768">
      <x:c r="A1768" s="6" t="n">
        <x:v>10560</x:v>
      </x:c>
      <x:c r="B1768" s="6" t="n">
        <x:v>1980</x:v>
      </x:c>
      <x:c r="C1768" s="6" t="str">
        <x:v>PhD</x:v>
      </x:c>
      <x:c r="D1768" s="6" t="str">
        <x:v>Single</x:v>
      </x:c>
      <x:c r="E1768" s="6" t="n">
        <x:v>36802</x:v>
      </x:c>
      <x:c r="F1768" s="6" t="n">
        <x:v>1</x:v>
      </x:c>
      <x:c r="G1768" s="6" t="n">
        <x:v>0</x:v>
      </x:c>
      <x:c r="H1768" s="9" t="str">
        <x:v>16-06-2014</x:v>
      </x:c>
      <x:c r="I1768" s="6" t="n">
        <x:v>23</x:v>
      </x:c>
      <x:c r="J1768" s="6" t="n">
        <x:v>16</x:v>
      </x:c>
      <x:c r="K1768" s="6" t="n">
        <x:v>1</x:v>
      </x:c>
      <x:c r="L1768" s="6" t="n">
        <x:v>2</x:v>
      </x:c>
      <x:c r="M1768" s="6" t="n">
        <x:v>0</x:v>
      </x:c>
      <x:c r="N1768" s="6" t="n">
        <x:v>0</x:v>
      </x:c>
      <x:c r="O1768" s="6" t="n">
        <x:v>1</x:v>
      </x:c>
      <x:c r="P1768" s="6" t="n">
        <x:v>1</x:v>
      </x:c>
      <x:c r="Q1768" s="6" t="n">
        <x:v>1</x:v>
      </x:c>
      <x:c r="R1768" s="6" t="n">
        <x:v>0</x:v>
      </x:c>
      <x:c r="S1768" s="6" t="n">
        <x:v>3</x:v>
      </x:c>
      <x:c r="T1768" s="6" t="n">
        <x:v>5</x:v>
      </x:c>
      <x:c r="U1768" s="6" t="n">
        <x:v>0</x:v>
      </x:c>
      <x:c r="V1768" s="6" t="n">
        <x:v>0</x:v>
      </x:c>
      <x:c r="W1768" s="6" t="n">
        <x:v>0</x:v>
      </x:c>
      <x:c r="X1768" s="6" t="n">
        <x:v>0</x:v>
      </x:c>
      <x:c r="Y1768" s="6" t="n">
        <x:v>0</x:v>
      </x:c>
      <x:c r="Z1768" s="6" t="n">
        <x:v>0</x:v>
      </x:c>
      <x:c r="AA1768" s="6" t="n">
        <x:v>3</x:v>
      </x:c>
      <x:c r="AB1768" s="6" t="n">
        <x:v>11</x:v>
      </x:c>
      <x:c r="AC1768" s="6" t="n">
        <x:v>0</x:v>
      </x:c>
    </x:row>
    <x:row r="1769">
      <x:c r="A1769" s="6" t="n">
        <x:v>2631</x:v>
      </x:c>
      <x:c r="B1769" s="6" t="n">
        <x:v>1982</x:v>
      </x:c>
      <x:c r="C1769" s="6" t="str">
        <x:v>Graduation</x:v>
      </x:c>
      <x:c r="D1769" s="6" t="str">
        <x:v>Together</x:v>
      </x:c>
      <x:c r="E1769" s="6" t="n">
        <x:v>71853</x:v>
      </x:c>
      <x:c r="F1769" s="6" t="n">
        <x:v>0</x:v>
      </x:c>
      <x:c r="G1769" s="6" t="n">
        <x:v>0</x:v>
      </x:c>
      <x:c r="H1769" s="9" t="str">
        <x:v>08-05-2013</x:v>
      </x:c>
      <x:c r="I1769" s="6" t="n">
        <x:v>29</x:v>
      </x:c>
      <x:c r="J1769" s="6" t="n">
        <x:v>358</x:v>
      </x:c>
      <x:c r="K1769" s="6" t="n">
        <x:v>108</x:v>
      </x:c>
      <x:c r="L1769" s="6" t="n">
        <x:v>413</x:v>
      </x:c>
      <x:c r="M1769" s="6" t="n">
        <x:v>141</x:v>
      </x:c>
      <x:c r="N1769" s="6" t="n">
        <x:v>97</x:v>
      </x:c>
      <x:c r="O1769" s="6" t="n">
        <x:v>32</x:v>
      </x:c>
      <x:c r="P1769" s="6" t="n">
        <x:v>1</x:v>
      </x:c>
      <x:c r="Q1769" s="6" t="n">
        <x:v>2</x:v>
      </x:c>
      <x:c r="R1769" s="6" t="n">
        <x:v>8</x:v>
      </x:c>
      <x:c r="S1769" s="6" t="n">
        <x:v>6</x:v>
      </x:c>
      <x:c r="T1769" s="6" t="n">
        <x:v>1</x:v>
      </x:c>
      <x:c r="U1769" s="6" t="n">
        <x:v>0</x:v>
      </x:c>
      <x:c r="V1769" s="6" t="n">
        <x:v>0</x:v>
      </x:c>
      <x:c r="W1769" s="6" t="n">
        <x:v>0</x:v>
      </x:c>
      <x:c r="X1769" s="6" t="n">
        <x:v>0</x:v>
      </x:c>
      <x:c r="Y1769" s="6" t="n">
        <x:v>0</x:v>
      </x:c>
      <x:c r="Z1769" s="6" t="n">
        <x:v>0</x:v>
      </x:c>
      <x:c r="AA1769" s="6" t="n">
        <x:v>3</x:v>
      </x:c>
      <x:c r="AB1769" s="6" t="n">
        <x:v>11</x:v>
      </x:c>
      <x:c r="AC1769" s="6" t="n">
        <x:v>0</x:v>
      </x:c>
    </x:row>
    <x:row r="1770">
      <x:c r="A1770" s="6" t="n">
        <x:v>8312</x:v>
      </x:c>
      <x:c r="B1770" s="6" t="n">
        <x:v>1961</x:v>
      </x:c>
      <x:c r="C1770" s="6" t="str">
        <x:v>Basic</x:v>
      </x:c>
      <x:c r="D1770" s="6" t="str">
        <x:v>Married</x:v>
      </x:c>
      <x:c r="E1770" s="6" t="n">
        <x:v>28249</x:v>
      </x:c>
      <x:c r="F1770" s="6" t="n">
        <x:v>0</x:v>
      </x:c>
      <x:c r="G1770" s="6" t="n">
        <x:v>0</x:v>
      </x:c>
      <x:c r="H1770" s="9" t="str">
        <x:v>15-06-2014</x:v>
      </x:c>
      <x:c r="I1770" s="6" t="n">
        <x:v>80</x:v>
      </x:c>
      <x:c r="J1770" s="6" t="n">
        <x:v>1</x:v>
      </x:c>
      <x:c r="K1770" s="6" t="n">
        <x:v>9</x:v>
      </x:c>
      <x:c r="L1770" s="6" t="n">
        <x:v>7</x:v>
      </x:c>
      <x:c r="M1770" s="6" t="n">
        <x:v>2</x:v>
      </x:c>
      <x:c r="N1770" s="6" t="n">
        <x:v>14</x:v>
      </x:c>
      <x:c r="O1770" s="6" t="n">
        <x:v>10</x:v>
      </x:c>
      <x:c r="P1770" s="6" t="n">
        <x:v>1</x:v>
      </x:c>
      <x:c r="Q1770" s="6" t="n">
        <x:v>2</x:v>
      </x:c>
      <x:c r="R1770" s="6" t="n">
        <x:v>0</x:v>
      </x:c>
      <x:c r="S1770" s="6" t="n">
        <x:v>3</x:v>
      </x:c>
      <x:c r="T1770" s="6" t="n">
        <x:v>6</x:v>
      </x:c>
      <x:c r="U1770" s="6" t="n">
        <x:v>0</x:v>
      </x:c>
      <x:c r="V1770" s="6" t="n">
        <x:v>0</x:v>
      </x:c>
      <x:c r="W1770" s="6" t="n">
        <x:v>0</x:v>
      </x:c>
      <x:c r="X1770" s="6" t="n">
        <x:v>0</x:v>
      </x:c>
      <x:c r="Y1770" s="6" t="n">
        <x:v>0</x:v>
      </x:c>
      <x:c r="Z1770" s="6" t="n">
        <x:v>0</x:v>
      </x:c>
      <x:c r="AA1770" s="6" t="n">
        <x:v>3</x:v>
      </x:c>
      <x:c r="AB1770" s="6" t="n">
        <x:v>11</x:v>
      </x:c>
      <x:c r="AC1770" s="6" t="n">
        <x:v>0</x:v>
      </x:c>
    </x:row>
    <x:row r="1771">
      <x:c r="A1771" s="6" t="n">
        <x:v>5534</x:v>
      </x:c>
      <x:c r="B1771" s="6" t="n">
        <x:v>1975</x:v>
      </x:c>
      <x:c r="C1771" s="6" t="str">
        <x:v>Master</x:v>
      </x:c>
      <x:c r="D1771" s="6" t="str">
        <x:v>Married</x:v>
      </x:c>
      <x:c r="E1771" s="6" t="n">
        <x:v>47808</x:v>
      </x:c>
      <x:c r="F1771" s="6" t="n">
        <x:v>0</x:v>
      </x:c>
      <x:c r="G1771" s="6" t="n">
        <x:v>1</x:v>
      </x:c>
      <x:c r="H1771" s="9" t="str">
        <x:v>20-10-2013</x:v>
      </x:c>
      <x:c r="I1771" s="6" t="n">
        <x:v>30</x:v>
      </x:c>
      <x:c r="J1771" s="6" t="n">
        <x:v>123</x:v>
      </x:c>
      <x:c r="K1771" s="6" t="n">
        <x:v>1</x:v>
      </x:c>
      <x:c r="L1771" s="6" t="n">
        <x:v>26</x:v>
      </x:c>
      <x:c r="M1771" s="6" t="n">
        <x:v>2</x:v>
      </x:c>
      <x:c r="N1771" s="6" t="n">
        <x:v>0</x:v>
      </x:c>
      <x:c r="O1771" s="6" t="n">
        <x:v>72</x:v>
      </x:c>
      <x:c r="P1771" s="6" t="n">
        <x:v>2</x:v>
      </x:c>
      <x:c r="Q1771" s="6" t="n">
        <x:v>3</x:v>
      </x:c>
      <x:c r="R1771" s="6" t="n">
        <x:v>2</x:v>
      </x:c>
      <x:c r="S1771" s="6" t="n">
        <x:v>3</x:v>
      </x:c>
      <x:c r="T1771" s="6" t="n">
        <x:v>7</x:v>
      </x:c>
      <x:c r="U1771" s="6" t="n">
        <x:v>1</x:v>
      </x:c>
      <x:c r="V1771" s="6" t="n">
        <x:v>0</x:v>
      </x:c>
      <x:c r="W1771" s="6" t="n">
        <x:v>0</x:v>
      </x:c>
      <x:c r="X1771" s="6" t="n">
        <x:v>0</x:v>
      </x:c>
      <x:c r="Y1771" s="6" t="n">
        <x:v>0</x:v>
      </x:c>
      <x:c r="Z1771" s="6" t="n">
        <x:v>0</x:v>
      </x:c>
      <x:c r="AA1771" s="6" t="n">
        <x:v>3</x:v>
      </x:c>
      <x:c r="AB1771" s="6" t="n">
        <x:v>11</x:v>
      </x:c>
      <x:c r="AC1771" s="6" t="n">
        <x:v>0</x:v>
      </x:c>
    </x:row>
    <x:row r="1772">
      <x:c r="A1772" s="6" t="n">
        <x:v>5093</x:v>
      </x:c>
      <x:c r="B1772" s="6" t="n">
        <x:v>1974</x:v>
      </x:c>
      <x:c r="C1772" s="6" t="str">
        <x:v>PhD</x:v>
      </x:c>
      <x:c r="D1772" s="6" t="str">
        <x:v>Divorced</x:v>
      </x:c>
      <x:c r="E1772" s="6" t="n">
        <x:v>25509</x:v>
      </x:c>
      <x:c r="F1772" s="6" t="n">
        <x:v>1</x:v>
      </x:c>
      <x:c r="G1772" s="6" t="n">
        <x:v>0</x:v>
      </x:c>
      <x:c r="H1772" s="9" t="str">
        <x:v>18-09-2012</x:v>
      </x:c>
      <x:c r="I1772" s="6" t="n">
        <x:v>15</x:v>
      </x:c>
      <x:c r="J1772" s="6" t="n">
        <x:v>40</x:v>
      </x:c>
      <x:c r="K1772" s="6" t="n">
        <x:v>3</x:v>
      </x:c>
      <x:c r="L1772" s="6" t="n">
        <x:v>30</x:v>
      </x:c>
      <x:c r="M1772" s="6" t="n">
        <x:v>10</x:v>
      </x:c>
      <x:c r="N1772" s="6" t="n">
        <x:v>7</x:v>
      </x:c>
      <x:c r="O1772" s="6" t="n">
        <x:v>11</x:v>
      </x:c>
      <x:c r="P1772" s="6" t="n">
        <x:v>3</x:v>
      </x:c>
      <x:c r="Q1772" s="6" t="n">
        <x:v>3</x:v>
      </x:c>
      <x:c r="R1772" s="6" t="n">
        <x:v>0</x:v>
      </x:c>
      <x:c r="S1772" s="6" t="n">
        <x:v>3</x:v>
      </x:c>
      <x:c r="T1772" s="6" t="n">
        <x:v>9</x:v>
      </x:c>
      <x:c r="U1772" s="6" t="n">
        <x:v>0</x:v>
      </x:c>
      <x:c r="V1772" s="6" t="n">
        <x:v>0</x:v>
      </x:c>
      <x:c r="W1772" s="6" t="n">
        <x:v>0</x:v>
      </x:c>
      <x:c r="X1772" s="6" t="n">
        <x:v>0</x:v>
      </x:c>
      <x:c r="Y1772" s="6" t="n">
        <x:v>0</x:v>
      </x:c>
      <x:c r="Z1772" s="6" t="n">
        <x:v>0</x:v>
      </x:c>
      <x:c r="AA1772" s="6" t="n">
        <x:v>3</x:v>
      </x:c>
      <x:c r="AB1772" s="6" t="n">
        <x:v>11</x:v>
      </x:c>
      <x:c r="AC1772" s="6" t="n">
        <x:v>1</x:v>
      </x:c>
    </x:row>
    <x:row r="1773">
      <x:c r="A1773" s="6" t="n">
        <x:v>7592</x:v>
      </x:c>
      <x:c r="B1773" s="6" t="n">
        <x:v>1946</x:v>
      </x:c>
      <x:c r="C1773" s="6" t="str">
        <x:v>PhD</x:v>
      </x:c>
      <x:c r="D1773" s="6" t="str">
        <x:v>Married</x:v>
      </x:c>
      <x:c r="E1773" s="6" t="n">
        <x:v>51012</x:v>
      </x:c>
      <x:c r="F1773" s="6" t="n">
        <x:v>0</x:v>
      </x:c>
      <x:c r="G1773" s="6" t="n">
        <x:v>0</x:v>
      </x:c>
      <x:c r="H1773" s="9" t="str">
        <x:v>18-04-2013</x:v>
      </x:c>
      <x:c r="I1773" s="6" t="n">
        <x:v>86</x:v>
      </x:c>
      <x:c r="J1773" s="6" t="n">
        <x:v>102</x:v>
      </x:c>
      <x:c r="K1773" s="6" t="n">
        <x:v>9</x:v>
      </x:c>
      <x:c r="L1773" s="6" t="n">
        <x:v>63</x:v>
      </x:c>
      <x:c r="M1773" s="6" t="n">
        <x:v>2</x:v>
      </x:c>
      <x:c r="N1773" s="6" t="n">
        <x:v>9</x:v>
      </x:c>
      <x:c r="O1773" s="6" t="n">
        <x:v>24</x:v>
      </x:c>
      <x:c r="P1773" s="6" t="n">
        <x:v>1</x:v>
      </x:c>
      <x:c r="Q1773" s="6" t="n">
        <x:v>4</x:v>
      </x:c>
      <x:c r="R1773" s="6" t="n">
        <x:v>1</x:v>
      </x:c>
      <x:c r="S1773" s="6" t="n">
        <x:v>4</x:v>
      </x:c>
      <x:c r="T1773" s="6" t="n">
        <x:v>6</x:v>
      </x:c>
      <x:c r="U1773" s="6" t="n">
        <x:v>0</x:v>
      </x:c>
      <x:c r="V1773" s="6" t="n">
        <x:v>0</x:v>
      </x:c>
      <x:c r="W1773" s="6" t="n">
        <x:v>0</x:v>
      </x:c>
      <x:c r="X1773" s="6" t="n">
        <x:v>0</x:v>
      </x:c>
      <x:c r="Y1773" s="6" t="n">
        <x:v>0</x:v>
      </x:c>
      <x:c r="Z1773" s="6" t="n">
        <x:v>0</x:v>
      </x:c>
      <x:c r="AA1773" s="6" t="n">
        <x:v>3</x:v>
      </x:c>
      <x:c r="AB1773" s="6" t="n">
        <x:v>11</x:v>
      </x:c>
      <x:c r="AC1773" s="6" t="n">
        <x:v>0</x:v>
      </x:c>
    </x:row>
    <x:row r="1774">
      <x:c r="A1774" s="6" t="n">
        <x:v>8895</x:v>
      </x:c>
      <x:c r="B1774" s="6" t="n">
        <x:v>1985</x:v>
      </x:c>
      <x:c r="C1774" s="6" t="str">
        <x:v>Graduation</x:v>
      </x:c>
      <x:c r="D1774" s="6" t="str">
        <x:v>Single</x:v>
      </x:c>
      <x:c r="E1774" s="6" t="n">
        <x:v>70596</x:v>
      </x:c>
      <x:c r="F1774" s="6" t="n">
        <x:v>0</x:v>
      </x:c>
      <x:c r="G1774" s="6" t="n">
        <x:v>0</x:v>
      </x:c>
      <x:c r="H1774" s="9" t="str">
        <x:v>05-10-2012</x:v>
      </x:c>
      <x:c r="I1774" s="6" t="n">
        <x:v>68</x:v>
      </x:c>
      <x:c r="J1774" s="6" t="n">
        <x:v>347</x:v>
      </x:c>
      <x:c r="K1774" s="6" t="n">
        <x:v>44</x:v>
      </x:c>
      <x:c r="L1774" s="6" t="n">
        <x:v>534</x:v>
      </x:c>
      <x:c r="M1774" s="6" t="n">
        <x:v>17</x:v>
      </x:c>
      <x:c r="N1774" s="6" t="n">
        <x:v>0</x:v>
      </x:c>
      <x:c r="O1774" s="6" t="n">
        <x:v>26</x:v>
      </x:c>
      <x:c r="P1774" s="6" t="n">
        <x:v>1</x:v>
      </x:c>
      <x:c r="Q1774" s="6" t="n">
        <x:v>3</x:v>
      </x:c>
      <x:c r="R1774" s="6" t="n">
        <x:v>5</x:v>
      </x:c>
      <x:c r="S1774" s="6" t="n">
        <x:v>12</x:v>
      </x:c>
      <x:c r="T1774" s="6" t="n">
        <x:v>2</x:v>
      </x:c>
      <x:c r="U1774" s="6" t="n">
        <x:v>0</x:v>
      </x:c>
      <x:c r="V1774" s="6" t="n">
        <x:v>0</x:v>
      </x:c>
      <x:c r="W1774" s="6" t="n">
        <x:v>0</x:v>
      </x:c>
      <x:c r="X1774" s="6" t="n">
        <x:v>0</x:v>
      </x:c>
      <x:c r="Y1774" s="6" t="n">
        <x:v>0</x:v>
      </x:c>
      <x:c r="Z1774" s="6" t="n">
        <x:v>0</x:v>
      </x:c>
      <x:c r="AA1774" s="6" t="n">
        <x:v>3</x:v>
      </x:c>
      <x:c r="AB1774" s="6" t="n">
        <x:v>11</x:v>
      </x:c>
      <x:c r="AC1774" s="6" t="n">
        <x:v>0</x:v>
      </x:c>
    </x:row>
    <x:row r="1775">
      <x:c r="A1775" s="6" t="n">
        <x:v>8584</x:v>
      </x:c>
      <x:c r="B1775" s="6" t="n">
        <x:v>1952</x:v>
      </x:c>
      <x:c r="C1775" s="6" t="str">
        <x:v>PhD</x:v>
      </x:c>
      <x:c r="D1775" s="6" t="str">
        <x:v>Together</x:v>
      </x:c>
      <x:c r="E1775" s="6" t="n">
        <x:v>85431</x:v>
      </x:c>
      <x:c r="F1775" s="6" t="n">
        <x:v>0</x:v>
      </x:c>
      <x:c r="G1775" s="6" t="n">
        <x:v>0</x:v>
      </x:c>
      <x:c r="H1775" s="9" t="str">
        <x:v>08-06-2013</x:v>
      </x:c>
      <x:c r="I1775" s="6" t="n">
        <x:v>54</x:v>
      </x:c>
      <x:c r="J1775" s="6" t="n">
        <x:v>376</x:v>
      </x:c>
      <x:c r="K1775" s="6" t="n">
        <x:v>53</x:v>
      </x:c>
      <x:c r="L1775" s="6" t="n">
        <x:v>462</x:v>
      </x:c>
      <x:c r="M1775" s="6" t="n">
        <x:v>168</x:v>
      </x:c>
      <x:c r="N1775" s="6" t="n">
        <x:v>53</x:v>
      </x:c>
      <x:c r="O1775" s="6" t="n">
        <x:v>53</x:v>
      </x:c>
      <x:c r="P1775" s="6" t="n">
        <x:v>1</x:v>
      </x:c>
      <x:c r="Q1775" s="6" t="n">
        <x:v>2</x:v>
      </x:c>
      <x:c r="R1775" s="6" t="n">
        <x:v>7</x:v>
      </x:c>
      <x:c r="S1775" s="6" t="n">
        <x:v>7</x:v>
      </x:c>
      <x:c r="T1775" s="6" t="n">
        <x:v>0</x:v>
      </x:c>
      <x:c r="U1775" s="6" t="n">
        <x:v>0</x:v>
      </x:c>
      <x:c r="V1775" s="6" t="n">
        <x:v>0</x:v>
      </x:c>
      <x:c r="W1775" s="6" t="n">
        <x:v>0</x:v>
      </x:c>
      <x:c r="X1775" s="6" t="n">
        <x:v>0</x:v>
      </x:c>
      <x:c r="Y1775" s="6" t="n">
        <x:v>0</x:v>
      </x:c>
      <x:c r="Z1775" s="6" t="n">
        <x:v>0</x:v>
      </x:c>
      <x:c r="AA1775" s="6" t="n">
        <x:v>3</x:v>
      </x:c>
      <x:c r="AB1775" s="6" t="n">
        <x:v>11</x:v>
      </x:c>
      <x:c r="AC1775" s="6" t="n">
        <x:v>0</x:v>
      </x:c>
    </x:row>
    <x:row r="1776">
      <x:c r="A1776" s="6" t="n">
        <x:v>2694</x:v>
      </x:c>
      <x:c r="B1776" s="6" t="n">
        <x:v>1967</x:v>
      </x:c>
      <x:c r="C1776" s="6" t="str">
        <x:v>Graduation</x:v>
      </x:c>
      <x:c r="D1776" s="6" t="str">
        <x:v>Married</x:v>
      </x:c>
      <x:c r="E1776" s="6" t="n">
        <x:v>42664</x:v>
      </x:c>
      <x:c r="F1776" s="6" t="n">
        <x:v>0</x:v>
      </x:c>
      <x:c r="G1776" s="6" t="n">
        <x:v>1</x:v>
      </x:c>
      <x:c r="H1776" s="9" t="str">
        <x:v>18-03-2014</x:v>
      </x:c>
      <x:c r="I1776" s="6" t="n">
        <x:v>44</x:v>
      </x:c>
      <x:c r="J1776" s="6" t="n">
        <x:v>21</x:v>
      </x:c>
      <x:c r="K1776" s="6" t="n">
        <x:v>0</x:v>
      </x:c>
      <x:c r="L1776" s="6" t="n">
        <x:v>3</x:v>
      </x:c>
      <x:c r="M1776" s="6" t="n">
        <x:v>0</x:v>
      </x:c>
      <x:c r="N1776" s="6" t="n">
        <x:v>0</x:v>
      </x:c>
      <x:c r="O1776" s="6" t="n">
        <x:v>0</x:v>
      </x:c>
      <x:c r="P1776" s="6" t="n">
        <x:v>1</x:v>
      </x:c>
      <x:c r="Q1776" s="6" t="n">
        <x:v>1</x:v>
      </x:c>
      <x:c r="R1776" s="6" t="n">
        <x:v>0</x:v>
      </x:c>
      <x:c r="S1776" s="6" t="n">
        <x:v>3</x:v>
      </x:c>
      <x:c r="T1776" s="6" t="n">
        <x:v>6</x:v>
      </x:c>
      <x:c r="U1776" s="6" t="n">
        <x:v>0</x:v>
      </x:c>
      <x:c r="V1776" s="6" t="n">
        <x:v>0</x:v>
      </x:c>
      <x:c r="W1776" s="6" t="n">
        <x:v>0</x:v>
      </x:c>
      <x:c r="X1776" s="6" t="n">
        <x:v>0</x:v>
      </x:c>
      <x:c r="Y1776" s="6" t="n">
        <x:v>0</x:v>
      </x:c>
      <x:c r="Z1776" s="6" t="n">
        <x:v>0</x:v>
      </x:c>
      <x:c r="AA1776" s="6" t="n">
        <x:v>3</x:v>
      </x:c>
      <x:c r="AB1776" s="6" t="n">
        <x:v>11</x:v>
      </x:c>
      <x:c r="AC1776" s="6" t="n">
        <x:v>0</x:v>
      </x:c>
    </x:row>
    <x:row r="1777">
      <x:c r="A1777" s="6" t="n">
        <x:v>8910</x:v>
      </x:c>
      <x:c r="B1777" s="6" t="n">
        <x:v>1955</x:v>
      </x:c>
      <x:c r="C1777" s="6" t="str">
        <x:v>Graduation</x:v>
      </x:c>
      <x:c r="D1777" s="6" t="str">
        <x:v>Together</x:v>
      </x:c>
      <x:c r="E1777" s="6" t="n">
        <x:v>42586</x:v>
      </x:c>
      <x:c r="F1777" s="6" t="n">
        <x:v>1</x:v>
      </x:c>
      <x:c r="G1777" s="6" t="n">
        <x:v>1</x:v>
      </x:c>
      <x:c r="H1777" s="9" t="str">
        <x:v>29-10-2012</x:v>
      </x:c>
      <x:c r="I1777" s="6" t="n">
        <x:v>7</x:v>
      </x:c>
      <x:c r="J1777" s="6" t="n">
        <x:v>194</x:v>
      </x:c>
      <x:c r="K1777" s="6" t="n">
        <x:v>2</x:v>
      </x:c>
      <x:c r="L1777" s="6" t="n">
        <x:v>56</x:v>
      </x:c>
      <x:c r="M1777" s="6" t="n">
        <x:v>0</x:v>
      </x:c>
      <x:c r="N1777" s="6" t="n">
        <x:v>0</x:v>
      </x:c>
      <x:c r="O1777" s="6" t="n">
        <x:v>0</x:v>
      </x:c>
      <x:c r="P1777" s="6" t="n">
        <x:v>5</x:v>
      </x:c>
      <x:c r="Q1777" s="6" t="n">
        <x:v>4</x:v>
      </x:c>
      <x:c r="R1777" s="6" t="n">
        <x:v>1</x:v>
      </x:c>
      <x:c r="S1777" s="6" t="n">
        <x:v>6</x:v>
      </x:c>
      <x:c r="T1777" s="6" t="n">
        <x:v>8</x:v>
      </x:c>
      <x:c r="U1777" s="6" t="n">
        <x:v>0</x:v>
      </x:c>
      <x:c r="V1777" s="6" t="n">
        <x:v>0</x:v>
      </x:c>
      <x:c r="W1777" s="6" t="n">
        <x:v>0</x:v>
      </x:c>
      <x:c r="X1777" s="6" t="n">
        <x:v>0</x:v>
      </x:c>
      <x:c r="Y1777" s="6" t="n">
        <x:v>0</x:v>
      </x:c>
      <x:c r="Z1777" s="6" t="n">
        <x:v>0</x:v>
      </x:c>
      <x:c r="AA1777" s="6" t="n">
        <x:v>3</x:v>
      </x:c>
      <x:c r="AB1777" s="6" t="n">
        <x:v>11</x:v>
      </x:c>
      <x:c r="AC1777" s="6" t="n">
        <x:v>1</x:v>
      </x:c>
    </x:row>
    <x:row r="1778">
      <x:c r="A1778" s="6" t="n">
        <x:v>7433</x:v>
      </x:c>
      <x:c r="B1778" s="6" t="n">
        <x:v>1985</x:v>
      </x:c>
      <x:c r="C1778" s="6" t="str">
        <x:v>Graduation</x:v>
      </x:c>
      <x:c r="D1778" s="6" t="str">
        <x:v>Single</x:v>
      </x:c>
      <x:c r="E1778" s="6" t="n">
        <x:v>29760</x:v>
      </x:c>
      <x:c r="F1778" s="6" t="n">
        <x:v>1</x:v>
      </x:c>
      <x:c r="G1778" s="6" t="n">
        <x:v>0</x:v>
      </x:c>
      <x:c r="H1778" s="9" t="str">
        <x:v>29-08-2012</x:v>
      </x:c>
      <x:c r="I1778" s="6" t="n">
        <x:v>87</x:v>
      </x:c>
      <x:c r="J1778" s="6" t="n">
        <x:v>64</x:v>
      </x:c>
      <x:c r="K1778" s="6" t="n">
        <x:v>4</x:v>
      </x:c>
      <x:c r="L1778" s="6" t="n">
        <x:v>68</x:v>
      </x:c>
      <x:c r="M1778" s="6" t="n">
        <x:v>7</x:v>
      </x:c>
      <x:c r="N1778" s="6" t="n">
        <x:v>5</x:v>
      </x:c>
      <x:c r="O1778" s="6" t="n">
        <x:v>17</x:v>
      </x:c>
      <x:c r="P1778" s="6" t="n">
        <x:v>4</x:v>
      </x:c>
      <x:c r="Q1778" s="6" t="n">
        <x:v>3</x:v>
      </x:c>
      <x:c r="R1778" s="6" t="n">
        <x:v>1</x:v>
      </x:c>
      <x:c r="S1778" s="6" t="n">
        <x:v>4</x:v>
      </x:c>
      <x:c r="T1778" s="6" t="n">
        <x:v>8</x:v>
      </x:c>
      <x:c r="U1778" s="6" t="n">
        <x:v>0</x:v>
      </x:c>
      <x:c r="V1778" s="6" t="n">
        <x:v>0</x:v>
      </x:c>
      <x:c r="W1778" s="6" t="n">
        <x:v>0</x:v>
      </x:c>
      <x:c r="X1778" s="6" t="n">
        <x:v>0</x:v>
      </x:c>
      <x:c r="Y1778" s="6" t="n">
        <x:v>0</x:v>
      </x:c>
      <x:c r="Z1778" s="6" t="n">
        <x:v>0</x:v>
      </x:c>
      <x:c r="AA1778" s="6" t="n">
        <x:v>3</x:v>
      </x:c>
      <x:c r="AB1778" s="6" t="n">
        <x:v>11</x:v>
      </x:c>
      <x:c r="AC1778" s="6" t="n">
        <x:v>0</x:v>
      </x:c>
    </x:row>
    <x:row r="1779">
      <x:c r="A1779" s="6" t="n">
        <x:v>164</x:v>
      </x:c>
      <x:c r="B1779" s="6" t="n">
        <x:v>1977</x:v>
      </x:c>
      <x:c r="C1779" s="6" t="str">
        <x:v>PhD</x:v>
      </x:c>
      <x:c r="D1779" s="6" t="str">
        <x:v>Married</x:v>
      </x:c>
      <x:c r="E1779" s="6" t="n">
        <x:v>28973</x:v>
      </x:c>
      <x:c r="F1779" s="6" t="n">
        <x:v>0</x:v>
      </x:c>
      <x:c r="G1779" s="6" t="n">
        <x:v>0</x:v>
      </x:c>
      <x:c r="H1779" s="9" t="str">
        <x:v>13-10-2012</x:v>
      </x:c>
      <x:c r="I1779" s="6" t="n">
        <x:v>59</x:v>
      </x:c>
      <x:c r="J1779" s="6" t="n">
        <x:v>206</x:v>
      </x:c>
      <x:c r="K1779" s="6" t="n">
        <x:v>0</x:v>
      </x:c>
      <x:c r="L1779" s="6" t="n">
        <x:v>46</x:v>
      </x:c>
      <x:c r="M1779" s="6" t="n">
        <x:v>3</x:v>
      </x:c>
      <x:c r="N1779" s="6" t="n">
        <x:v>2</x:v>
      </x:c>
      <x:c r="O1779" s="6" t="n">
        <x:v>12</x:v>
      </x:c>
      <x:c r="P1779" s="6" t="n">
        <x:v>2</x:v>
      </x:c>
      <x:c r="Q1779" s="6" t="n">
        <x:v>5</x:v>
      </x:c>
      <x:c r="R1779" s="6" t="n">
        <x:v>1</x:v>
      </x:c>
      <x:c r="S1779" s="6" t="n">
        <x:v>5</x:v>
      </x:c>
      <x:c r="T1779" s="6" t="n">
        <x:v>8</x:v>
      </x:c>
      <x:c r="U1779" s="6" t="n">
        <x:v>0</x:v>
      </x:c>
      <x:c r="V1779" s="6" t="n">
        <x:v>0</x:v>
      </x:c>
      <x:c r="W1779" s="6" t="n">
        <x:v>0</x:v>
      </x:c>
      <x:c r="X1779" s="6" t="n">
        <x:v>0</x:v>
      </x:c>
      <x:c r="Y1779" s="6" t="n">
        <x:v>0</x:v>
      </x:c>
      <x:c r="Z1779" s="6" t="n">
        <x:v>0</x:v>
      </x:c>
      <x:c r="AA1779" s="6" t="n">
        <x:v>3</x:v>
      </x:c>
      <x:c r="AB1779" s="6" t="n">
        <x:v>11</x:v>
      </x:c>
      <x:c r="AC1779" s="6" t="n">
        <x:v>0</x:v>
      </x:c>
    </x:row>
    <x:row r="1780">
      <x:c r="A1780" s="6" t="n">
        <x:v>10477</x:v>
      </x:c>
      <x:c r="B1780" s="6" t="n">
        <x:v>1973</x:v>
      </x:c>
      <x:c r="C1780" s="6" t="str">
        <x:v>PhD</x:v>
      </x:c>
      <x:c r="D1780" s="6" t="str">
        <x:v>Together</x:v>
      </x:c>
      <x:c r="E1780" s="6" t="n">
        <x:v>39435</x:v>
      </x:c>
      <x:c r="F1780" s="6" t="n">
        <x:v>1</x:v>
      </x:c>
      <x:c r="G1780" s="6" t="n">
        <x:v>0</x:v>
      </x:c>
      <x:c r="H1780" s="9" t="str">
        <x:v>06-08-2013</x:v>
      </x:c>
      <x:c r="I1780" s="6" t="n">
        <x:v>16</x:v>
      </x:c>
      <x:c r="J1780" s="6" t="n">
        <x:v>71</x:v>
      </x:c>
      <x:c r="K1780" s="6" t="n">
        <x:v>0</x:v>
      </x:c>
      <x:c r="L1780" s="6" t="n">
        <x:v>18</x:v>
      </x:c>
      <x:c r="M1780" s="6" t="n">
        <x:v>0</x:v>
      </x:c>
      <x:c r="N1780" s="6" t="n">
        <x:v>0</x:v>
      </x:c>
      <x:c r="O1780" s="6" t="n">
        <x:v>13</x:v>
      </x:c>
      <x:c r="P1780" s="6" t="n">
        <x:v>1</x:v>
      </x:c>
      <x:c r="Q1780" s="6" t="n">
        <x:v>3</x:v>
      </x:c>
      <x:c r="R1780" s="6" t="n">
        <x:v>1</x:v>
      </x:c>
      <x:c r="S1780" s="6" t="n">
        <x:v>2</x:v>
      </x:c>
      <x:c r="T1780" s="6" t="n">
        <x:v>7</x:v>
      </x:c>
      <x:c r="U1780" s="6" t="n">
        <x:v>0</x:v>
      </x:c>
      <x:c r="V1780" s="6" t="n">
        <x:v>0</x:v>
      </x:c>
      <x:c r="W1780" s="6" t="n">
        <x:v>0</x:v>
      </x:c>
      <x:c r="X1780" s="6" t="n">
        <x:v>0</x:v>
      </x:c>
      <x:c r="Y1780" s="6" t="n">
        <x:v>0</x:v>
      </x:c>
      <x:c r="Z1780" s="6" t="n">
        <x:v>0</x:v>
      </x:c>
      <x:c r="AA1780" s="6" t="n">
        <x:v>3</x:v>
      </x:c>
      <x:c r="AB1780" s="6" t="n">
        <x:v>11</x:v>
      </x:c>
      <x:c r="AC1780" s="6" t="n">
        <x:v>0</x:v>
      </x:c>
    </x:row>
    <x:row r="1781">
      <x:c r="A1781" s="6" t="n">
        <x:v>2681</x:v>
      </x:c>
      <x:c r="B1781" s="6" t="n">
        <x:v>1984</x:v>
      </x:c>
      <x:c r="C1781" s="6" t="str">
        <x:v>2n Cycle</x:v>
      </x:c>
      <x:c r="D1781" s="6" t="str">
        <x:v>Married</x:v>
      </x:c>
      <x:c r="E1781" s="6" t="n">
        <x:v>65370</x:v>
      </x:c>
      <x:c r="F1781" s="6" t="n">
        <x:v>0</x:v>
      </x:c>
      <x:c r="G1781" s="6" t="n">
        <x:v>0</x:v>
      </x:c>
      <x:c r="H1781" s="9" t="str">
        <x:v>01-08-2013</x:v>
      </x:c>
      <x:c r="I1781" s="6" t="n">
        <x:v>1</x:v>
      </x:c>
      <x:c r="J1781" s="6" t="n">
        <x:v>71</x:v>
      </x:c>
      <x:c r="K1781" s="6" t="n">
        <x:v>22</x:v>
      </x:c>
      <x:c r="L1781" s="6" t="n">
        <x:v>112</x:v>
      </x:c>
      <x:c r="M1781" s="6" t="n">
        <x:v>138</x:v>
      </x:c>
      <x:c r="N1781" s="6" t="n">
        <x:v>89</x:v>
      </x:c>
      <x:c r="O1781" s="6" t="n">
        <x:v>29</x:v>
      </x:c>
      <x:c r="P1781" s="6" t="n">
        <x:v>1</x:v>
      </x:c>
      <x:c r="Q1781" s="6" t="n">
        <x:v>2</x:v>
      </x:c>
      <x:c r="R1781" s="6" t="n">
        <x:v>3</x:v>
      </x:c>
      <x:c r="S1781" s="6" t="n">
        <x:v>13</x:v>
      </x:c>
      <x:c r="T1781" s="6" t="n">
        <x:v>1</x:v>
      </x:c>
      <x:c r="U1781" s="6" t="n">
        <x:v>0</x:v>
      </x:c>
      <x:c r="V1781" s="6" t="n">
        <x:v>0</x:v>
      </x:c>
      <x:c r="W1781" s="6" t="n">
        <x:v>0</x:v>
      </x:c>
      <x:c r="X1781" s="6" t="n">
        <x:v>0</x:v>
      </x:c>
      <x:c r="Y1781" s="6" t="n">
        <x:v>0</x:v>
      </x:c>
      <x:c r="Z1781" s="6" t="n">
        <x:v>0</x:v>
      </x:c>
      <x:c r="AA1781" s="6" t="n">
        <x:v>3</x:v>
      </x:c>
      <x:c r="AB1781" s="6" t="n">
        <x:v>11</x:v>
      </x:c>
      <x:c r="AC1781" s="6" t="n">
        <x:v>0</x:v>
      </x:c>
    </x:row>
    <x:row r="1782">
      <x:c r="A1782" s="6" t="n">
        <x:v>5150</x:v>
      </x:c>
      <x:c r="B1782" s="6" t="n">
        <x:v>1979</x:v>
      </x:c>
      <x:c r="C1782" s="6" t="str">
        <x:v>Basic</x:v>
      </x:c>
      <x:c r="D1782" s="6" t="str">
        <x:v>Single</x:v>
      </x:c>
      <x:c r="E1782" s="6" t="n">
        <x:v>20194</x:v>
      </x:c>
      <x:c r="F1782" s="6" t="n">
        <x:v>1</x:v>
      </x:c>
      <x:c r="G1782" s="6" t="n">
        <x:v>0</x:v>
      </x:c>
      <x:c r="H1782" s="9" t="str">
        <x:v>17-12-2012</x:v>
      </x:c>
      <x:c r="I1782" s="6" t="n">
        <x:v>64</x:v>
      </x:c>
      <x:c r="J1782" s="6" t="n">
        <x:v>0</x:v>
      </x:c>
      <x:c r="K1782" s="6" t="n">
        <x:v>4</x:v>
      </x:c>
      <x:c r="L1782" s="6" t="n">
        <x:v>7</x:v>
      </x:c>
      <x:c r="M1782" s="6" t="n">
        <x:v>11</x:v>
      </x:c>
      <x:c r="N1782" s="6" t="n">
        <x:v>10</x:v>
      </x:c>
      <x:c r="O1782" s="6" t="n">
        <x:v>15</x:v>
      </x:c>
      <x:c r="P1782" s="6" t="n">
        <x:v>2</x:v>
      </x:c>
      <x:c r="Q1782" s="6" t="n">
        <x:v>2</x:v>
      </x:c>
      <x:c r="R1782" s="6" t="n">
        <x:v>0</x:v>
      </x:c>
      <x:c r="S1782" s="6" t="n">
        <x:v>3</x:v>
      </x:c>
      <x:c r="T1782" s="6" t="n">
        <x:v>6</x:v>
      </x:c>
      <x:c r="U1782" s="6" t="n">
        <x:v>0</x:v>
      </x:c>
      <x:c r="V1782" s="6" t="n">
        <x:v>0</x:v>
      </x:c>
      <x:c r="W1782" s="6" t="n">
        <x:v>0</x:v>
      </x:c>
      <x:c r="X1782" s="6" t="n">
        <x:v>0</x:v>
      </x:c>
      <x:c r="Y1782" s="6" t="n">
        <x:v>0</x:v>
      </x:c>
      <x:c r="Z1782" s="6" t="n">
        <x:v>0</x:v>
      </x:c>
      <x:c r="AA1782" s="6" t="n">
        <x:v>3</x:v>
      </x:c>
      <x:c r="AB1782" s="6" t="n">
        <x:v>11</x:v>
      </x:c>
      <x:c r="AC1782" s="6" t="n">
        <x:v>0</x:v>
      </x:c>
    </x:row>
    <x:row r="1783">
      <x:c r="A1783" s="6" t="n">
        <x:v>5283</x:v>
      </x:c>
      <x:c r="B1783" s="6" t="n">
        <x:v>1976</x:v>
      </x:c>
      <x:c r="C1783" s="6" t="str">
        <x:v>PhD</x:v>
      </x:c>
      <x:c r="D1783" s="6" t="str">
        <x:v>Single</x:v>
      </x:c>
      <x:c r="E1783" s="6" t="n">
        <x:v>42473</x:v>
      </x:c>
      <x:c r="F1783" s="6" t="n">
        <x:v>1</x:v>
      </x:c>
      <x:c r="G1783" s="6" t="n">
        <x:v>1</x:v>
      </x:c>
      <x:c r="H1783" s="9" t="str">
        <x:v>17-02-2014</x:v>
      </x:c>
      <x:c r="I1783" s="6" t="n">
        <x:v>72</x:v>
      </x:c>
      <x:c r="J1783" s="6" t="n">
        <x:v>93</x:v>
      </x:c>
      <x:c r="K1783" s="6" t="n">
        <x:v>1</x:v>
      </x:c>
      <x:c r="L1783" s="6" t="n">
        <x:v>21</x:v>
      </x:c>
      <x:c r="M1783" s="6" t="n">
        <x:v>0</x:v>
      </x:c>
      <x:c r="N1783" s="6" t="n">
        <x:v>4</x:v>
      </x:c>
      <x:c r="O1783" s="6" t="n">
        <x:v>25</x:v>
      </x:c>
      <x:c r="P1783" s="6" t="n">
        <x:v>3</x:v>
      </x:c>
      <x:c r="Q1783" s="6" t="n">
        <x:v>2</x:v>
      </x:c>
      <x:c r="R1783" s="6" t="n">
        <x:v>1</x:v>
      </x:c>
      <x:c r="S1783" s="6" t="n">
        <x:v>4</x:v>
      </x:c>
      <x:c r="T1783" s="6" t="n">
        <x:v>5</x:v>
      </x:c>
      <x:c r="U1783" s="6" t="n">
        <x:v>0</x:v>
      </x:c>
      <x:c r="V1783" s="6" t="n">
        <x:v>0</x:v>
      </x:c>
      <x:c r="W1783" s="6" t="n">
        <x:v>0</x:v>
      </x:c>
      <x:c r="X1783" s="6" t="n">
        <x:v>0</x:v>
      </x:c>
      <x:c r="Y1783" s="6" t="n">
        <x:v>0</x:v>
      </x:c>
      <x:c r="Z1783" s="6" t="n">
        <x:v>0</x:v>
      </x:c>
      <x:c r="AA1783" s="6" t="n">
        <x:v>3</x:v>
      </x:c>
      <x:c r="AB1783" s="6" t="n">
        <x:v>11</x:v>
      </x:c>
      <x:c r="AC1783" s="6" t="n">
        <x:v>0</x:v>
      </x:c>
    </x:row>
    <x:row r="1784">
      <x:c r="A1784" s="6" t="n">
        <x:v>9645</x:v>
      </x:c>
      <x:c r="B1784" s="6" t="n">
        <x:v>1968</x:v>
      </x:c>
      <x:c r="C1784" s="6" t="str">
        <x:v>Graduation</x:v>
      </x:c>
      <x:c r="D1784" s="6" t="str">
        <x:v>Married</x:v>
      </x:c>
      <x:c r="E1784" s="6" t="n">
        <x:v>64590</x:v>
      </x:c>
      <x:c r="F1784" s="6" t="n">
        <x:v>0</x:v>
      </x:c>
      <x:c r="G1784" s="6" t="n">
        <x:v>0</x:v>
      </x:c>
      <x:c r="H1784" s="9" t="str">
        <x:v>14-10-2012</x:v>
      </x:c>
      <x:c r="I1784" s="6" t="n">
        <x:v>98</x:v>
      </x:c>
      <x:c r="J1784" s="6" t="n">
        <x:v>920</x:v>
      </x:c>
      <x:c r="K1784" s="6" t="n">
        <x:v>138</x:v>
      </x:c>
      <x:c r="L1784" s="6" t="n">
        <x:v>168</x:v>
      </x:c>
      <x:c r="M1784" s="6" t="n">
        <x:v>36</x:v>
      </x:c>
      <x:c r="N1784" s="6" t="n">
        <x:v>46</x:v>
      </x:c>
      <x:c r="O1784" s="6" t="n">
        <x:v>30</x:v>
      </x:c>
      <x:c r="P1784" s="6" t="n">
        <x:v>1</x:v>
      </x:c>
      <x:c r="Q1784" s="6" t="n">
        <x:v>9</x:v>
      </x:c>
      <x:c r="R1784" s="6" t="n">
        <x:v>4</x:v>
      </x:c>
      <x:c r="S1784" s="6" t="n">
        <x:v>10</x:v>
      </x:c>
      <x:c r="T1784" s="6" t="n">
        <x:v>6</x:v>
      </x:c>
      <x:c r="U1784" s="6" t="n">
        <x:v>0</x:v>
      </x:c>
      <x:c r="V1784" s="6" t="n">
        <x:v>0</x:v>
      </x:c>
      <x:c r="W1784" s="6" t="n">
        <x:v>0</x:v>
      </x:c>
      <x:c r="X1784" s="6" t="n">
        <x:v>0</x:v>
      </x:c>
      <x:c r="Y1784" s="6" t="n">
        <x:v>0</x:v>
      </x:c>
      <x:c r="Z1784" s="6" t="n">
        <x:v>0</x:v>
      </x:c>
      <x:c r="AA1784" s="6" t="n">
        <x:v>3</x:v>
      </x:c>
      <x:c r="AB1784" s="6" t="n">
        <x:v>11</x:v>
      </x:c>
      <x:c r="AC1784" s="6" t="n">
        <x:v>0</x:v>
      </x:c>
    </x:row>
    <x:row r="1785">
      <x:c r="A1785" s="6" t="n">
        <x:v>10678</x:v>
      </x:c>
      <x:c r="B1785" s="6" t="n">
        <x:v>1959</x:v>
      </x:c>
      <x:c r="C1785" s="6" t="str">
        <x:v>Graduation</x:v>
      </x:c>
      <x:c r="D1785" s="6" t="str">
        <x:v>Together</x:v>
      </x:c>
      <x:c r="E1785" s="6" t="n">
        <x:v>71232</x:v>
      </x:c>
      <x:c r="F1785" s="6" t="n">
        <x:v>0</x:v>
      </x:c>
      <x:c r="G1785" s="6" t="n">
        <x:v>1</x:v>
      </x:c>
      <x:c r="H1785" s="9" t="str">
        <x:v>28-11-2013</x:v>
      </x:c>
      <x:c r="I1785" s="6" t="n">
        <x:v>91</x:v>
      </x:c>
      <x:c r="J1785" s="6" t="n">
        <x:v>653</x:v>
      </x:c>
      <x:c r="K1785" s="6" t="n">
        <x:v>17</x:v>
      </x:c>
      <x:c r="L1785" s="6" t="n">
        <x:v>170</x:v>
      </x:c>
      <x:c r="M1785" s="6" t="n">
        <x:v>34</x:v>
      </x:c>
      <x:c r="N1785" s="6" t="n">
        <x:v>26</x:v>
      </x:c>
      <x:c r="O1785" s="6" t="n">
        <x:v>17</x:v>
      </x:c>
      <x:c r="P1785" s="6" t="n">
        <x:v>2</x:v>
      </x:c>
      <x:c r="Q1785" s="6" t="n">
        <x:v>11</x:v>
      </x:c>
      <x:c r="R1785" s="6" t="n">
        <x:v>2</x:v>
      </x:c>
      <x:c r="S1785" s="6" t="n">
        <x:v>10</x:v>
      </x:c>
      <x:c r="T1785" s="6" t="n">
        <x:v>7</x:v>
      </x:c>
      <x:c r="U1785" s="6" t="n">
        <x:v>0</x:v>
      </x:c>
      <x:c r="V1785" s="6" t="n">
        <x:v>0</x:v>
      </x:c>
      <x:c r="W1785" s="6" t="n">
        <x:v>0</x:v>
      </x:c>
      <x:c r="X1785" s="6" t="n">
        <x:v>0</x:v>
      </x:c>
      <x:c r="Y1785" s="6" t="n">
        <x:v>0</x:v>
      </x:c>
      <x:c r="Z1785" s="6" t="n">
        <x:v>0</x:v>
      </x:c>
      <x:c r="AA1785" s="6" t="n">
        <x:v>3</x:v>
      </x:c>
      <x:c r="AB1785" s="6" t="n">
        <x:v>11</x:v>
      </x:c>
      <x:c r="AC1785" s="6" t="n">
        <x:v>0</x:v>
      </x:c>
    </x:row>
    <x:row r="1786">
      <x:c r="A1786" s="6" t="n">
        <x:v>7261</x:v>
      </x:c>
      <x:c r="B1786" s="6" t="n">
        <x:v>1971</x:v>
      </x:c>
      <x:c r="C1786" s="6" t="str">
        <x:v>Graduation</x:v>
      </x:c>
      <x:c r="D1786" s="6" t="str">
        <x:v>Together</x:v>
      </x:c>
      <x:c r="E1786" s="6" t="n">
        <x:v>34600</x:v>
      </x:c>
      <x:c r="F1786" s="6" t="n">
        <x:v>1</x:v>
      </x:c>
      <x:c r="G1786" s="6" t="n">
        <x:v>1</x:v>
      </x:c>
      <x:c r="H1786" s="9" t="str">
        <x:v>01-01-2013</x:v>
      </x:c>
      <x:c r="I1786" s="6" t="n">
        <x:v>8</x:v>
      </x:c>
      <x:c r="J1786" s="6" t="n">
        <x:v>199</x:v>
      </x:c>
      <x:c r="K1786" s="6" t="n">
        <x:v>33</x:v>
      </x:c>
      <x:c r="L1786" s="6" t="n">
        <x:v>60</x:v>
      </x:c>
      <x:c r="M1786" s="6" t="n">
        <x:v>8</x:v>
      </x:c>
      <x:c r="N1786" s="6" t="n">
        <x:v>3</x:v>
      </x:c>
      <x:c r="O1786" s="6" t="n">
        <x:v>15</x:v>
      </x:c>
      <x:c r="P1786" s="6" t="n">
        <x:v>5</x:v>
      </x:c>
      <x:c r="Q1786" s="6" t="n">
        <x:v>5</x:v>
      </x:c>
      <x:c r="R1786" s="6" t="n">
        <x:v>2</x:v>
      </x:c>
      <x:c r="S1786" s="6" t="n">
        <x:v>5</x:v>
      </x:c>
      <x:c r="T1786" s="6" t="n">
        <x:v>8</x:v>
      </x:c>
      <x:c r="U1786" s="6" t="n">
        <x:v>0</x:v>
      </x:c>
      <x:c r="V1786" s="6" t="n">
        <x:v>0</x:v>
      </x:c>
      <x:c r="W1786" s="6" t="n">
        <x:v>0</x:v>
      </x:c>
      <x:c r="X1786" s="6" t="n">
        <x:v>0</x:v>
      </x:c>
      <x:c r="Y1786" s="6" t="n">
        <x:v>0</x:v>
      </x:c>
      <x:c r="Z1786" s="6" t="n">
        <x:v>0</x:v>
      </x:c>
      <x:c r="AA1786" s="6" t="n">
        <x:v>3</x:v>
      </x:c>
      <x:c r="AB1786" s="6" t="n">
        <x:v>11</x:v>
      </x:c>
      <x:c r="AC1786" s="6" t="n">
        <x:v>1</x:v>
      </x:c>
    </x:row>
    <x:row r="1787">
      <x:c r="A1787" s="6" t="n">
        <x:v>9648</x:v>
      </x:c>
      <x:c r="B1787" s="6" t="n">
        <x:v>1967</x:v>
      </x:c>
      <x:c r="C1787" s="6" t="str">
        <x:v>Graduation</x:v>
      </x:c>
      <x:c r="D1787" s="6" t="str">
        <x:v>Single</x:v>
      </x:c>
      <x:c r="E1787" s="6" t="n">
        <x:v>46904</x:v>
      </x:c>
      <x:c r="F1787" s="6" t="n">
        <x:v>1</x:v>
      </x:c>
      <x:c r="G1787" s="6" t="n">
        <x:v>1</x:v>
      </x:c>
      <x:c r="H1787" s="9" t="str">
        <x:v>03-11-2012</x:v>
      </x:c>
      <x:c r="I1787" s="6" t="n">
        <x:v>20</x:v>
      </x:c>
      <x:c r="J1787" s="6" t="n">
        <x:v>153</x:v>
      </x:c>
      <x:c r="K1787" s="6" t="n">
        <x:v>4</x:v>
      </x:c>
      <x:c r="L1787" s="6" t="n">
        <x:v>56</x:v>
      </x:c>
      <x:c r="M1787" s="6" t="n">
        <x:v>0</x:v>
      </x:c>
      <x:c r="N1787" s="6" t="n">
        <x:v>9</x:v>
      </x:c>
      <x:c r="O1787" s="6" t="n">
        <x:v>31</x:v>
      </x:c>
      <x:c r="P1787" s="6" t="n">
        <x:v>4</x:v>
      </x:c>
      <x:c r="Q1787" s="6" t="n">
        <x:v>5</x:v>
      </x:c>
      <x:c r="R1787" s="6" t="n">
        <x:v>1</x:v>
      </x:c>
      <x:c r="S1787" s="6" t="n">
        <x:v>4</x:v>
      </x:c>
      <x:c r="T1787" s="6" t="n">
        <x:v>8</x:v>
      </x:c>
      <x:c r="U1787" s="6" t="n">
        <x:v>0</x:v>
      </x:c>
      <x:c r="V1787" s="6" t="n">
        <x:v>0</x:v>
      </x:c>
      <x:c r="W1787" s="6" t="n">
        <x:v>0</x:v>
      </x:c>
      <x:c r="X1787" s="6" t="n">
        <x:v>0</x:v>
      </x:c>
      <x:c r="Y1787" s="6" t="n">
        <x:v>0</x:v>
      </x:c>
      <x:c r="Z1787" s="6" t="n">
        <x:v>0</x:v>
      </x:c>
      <x:c r="AA1787" s="6" t="n">
        <x:v>3</x:v>
      </x:c>
      <x:c r="AB1787" s="6" t="n">
        <x:v>11</x:v>
      </x:c>
      <x:c r="AC1787" s="6" t="n">
        <x:v>0</x:v>
      </x:c>
    </x:row>
    <x:row r="1788">
      <x:c r="A1788" s="6" t="n">
        <x:v>2870</x:v>
      </x:c>
      <x:c r="B1788" s="6" t="n">
        <x:v>1973</x:v>
      </x:c>
      <x:c r="C1788" s="6" t="str">
        <x:v>Graduation</x:v>
      </x:c>
      <x:c r="D1788" s="6" t="str">
        <x:v>Married</x:v>
      </x:c>
      <x:c r="E1788" s="6" t="n">
        <x:v>49094</x:v>
      </x:c>
      <x:c r="F1788" s="6" t="n">
        <x:v>0</x:v>
      </x:c>
      <x:c r="G1788" s="6" t="n">
        <x:v>1</x:v>
      </x:c>
      <x:c r="H1788" s="9" t="str">
        <x:v>21-09-2012</x:v>
      </x:c>
      <x:c r="I1788" s="6" t="n">
        <x:v>6</x:v>
      </x:c>
      <x:c r="J1788" s="6" t="n">
        <x:v>376</x:v>
      </x:c>
      <x:c r="K1788" s="6" t="n">
        <x:v>0</x:v>
      </x:c>
      <x:c r="L1788" s="6" t="n">
        <x:v>38</x:v>
      </x:c>
      <x:c r="M1788" s="6" t="n">
        <x:v>11</x:v>
      </x:c>
      <x:c r="N1788" s="6" t="n">
        <x:v>8</x:v>
      </x:c>
      <x:c r="O1788" s="6" t="n">
        <x:v>69</x:v>
      </x:c>
      <x:c r="P1788" s="6" t="n">
        <x:v>5</x:v>
      </x:c>
      <x:c r="Q1788" s="6" t="n">
        <x:v>6</x:v>
      </x:c>
      <x:c r="R1788" s="6" t="n">
        <x:v>3</x:v>
      </x:c>
      <x:c r="S1788" s="6" t="n">
        <x:v>6</x:v>
      </x:c>
      <x:c r="T1788" s="6" t="n">
        <x:v>6</x:v>
      </x:c>
      <x:c r="U1788" s="6" t="n">
        <x:v>0</x:v>
      </x:c>
      <x:c r="V1788" s="6" t="n">
        <x:v>0</x:v>
      </x:c>
      <x:c r="W1788" s="6" t="n">
        <x:v>0</x:v>
      </x:c>
      <x:c r="X1788" s="6" t="n">
        <x:v>0</x:v>
      </x:c>
      <x:c r="Y1788" s="6" t="n">
        <x:v>0</x:v>
      </x:c>
      <x:c r="Z1788" s="6" t="n">
        <x:v>0</x:v>
      </x:c>
      <x:c r="AA1788" s="6" t="n">
        <x:v>3</x:v>
      </x:c>
      <x:c r="AB1788" s="6" t="n">
        <x:v>11</x:v>
      </x:c>
      <x:c r="AC1788" s="6" t="n">
        <x:v>0</x:v>
      </x:c>
    </x:row>
    <x:row r="1789">
      <x:c r="A1789" s="6" t="n">
        <x:v>8008</x:v>
      </x:c>
      <x:c r="B1789" s="6" t="n">
        <x:v>1983</x:v>
      </x:c>
      <x:c r="C1789" s="6" t="str">
        <x:v>Graduation</x:v>
      </x:c>
      <x:c r="D1789" s="6" t="str">
        <x:v>Together</x:v>
      </x:c>
      <x:c r="E1789" s="6" t="n">
        <x:v>36075</x:v>
      </x:c>
      <x:c r="F1789" s="6" t="n">
        <x:v>1</x:v>
      </x:c>
      <x:c r="G1789" s="6" t="n">
        <x:v>0</x:v>
      </x:c>
      <x:c r="H1789" s="9" t="str">
        <x:v>09-12-2013</x:v>
      </x:c>
      <x:c r="I1789" s="6" t="n">
        <x:v>54</x:v>
      </x:c>
      <x:c r="J1789" s="6" t="n">
        <x:v>46</x:v>
      </x:c>
      <x:c r="K1789" s="6" t="n">
        <x:v>0</x:v>
      </x:c>
      <x:c r="L1789" s="6" t="n">
        <x:v>30</x:v>
      </x:c>
      <x:c r="M1789" s="6" t="n">
        <x:v>12</x:v>
      </x:c>
      <x:c r="N1789" s="6" t="n">
        <x:v>1</x:v>
      </x:c>
      <x:c r="O1789" s="6" t="n">
        <x:v>30</x:v>
      </x:c>
      <x:c r="P1789" s="6" t="n">
        <x:v>1</x:v>
      </x:c>
      <x:c r="Q1789" s="6" t="n">
        <x:v>2</x:v>
      </x:c>
      <x:c r="R1789" s="6" t="n">
        <x:v>0</x:v>
      </x:c>
      <x:c r="S1789" s="6" t="n">
        <x:v>4</x:v>
      </x:c>
      <x:c r="T1789" s="6" t="n">
        <x:v>6</x:v>
      </x:c>
      <x:c r="U1789" s="6" t="n">
        <x:v>0</x:v>
      </x:c>
      <x:c r="V1789" s="6" t="n">
        <x:v>0</x:v>
      </x:c>
      <x:c r="W1789" s="6" t="n">
        <x:v>0</x:v>
      </x:c>
      <x:c r="X1789" s="6" t="n">
        <x:v>0</x:v>
      </x:c>
      <x:c r="Y1789" s="6" t="n">
        <x:v>0</x:v>
      </x:c>
      <x:c r="Z1789" s="6" t="n">
        <x:v>0</x:v>
      </x:c>
      <x:c r="AA1789" s="6" t="n">
        <x:v>3</x:v>
      </x:c>
      <x:c r="AB1789" s="6" t="n">
        <x:v>11</x:v>
      </x:c>
      <x:c r="AC1789" s="6" t="n">
        <x:v>0</x:v>
      </x:c>
    </x:row>
    <x:row r="1790">
      <x:c r="A1790" s="6" t="n">
        <x:v>1513</x:v>
      </x:c>
      <x:c r="B1790" s="6" t="n">
        <x:v>1979</x:v>
      </x:c>
      <x:c r="C1790" s="6" t="str">
        <x:v>2n Cycle</x:v>
      </x:c>
      <x:c r="D1790" s="6" t="str">
        <x:v>Together</x:v>
      </x:c>
      <x:c r="E1790" s="6" t="n">
        <x:v>60839</x:v>
      </x:c>
      <x:c r="F1790" s="6" t="n">
        <x:v>1</x:v>
      </x:c>
      <x:c r="G1790" s="6" t="n">
        <x:v>1</x:v>
      </x:c>
      <x:c r="H1790" s="9" t="str">
        <x:v>28-08-2012</x:v>
      </x:c>
      <x:c r="I1790" s="6" t="n">
        <x:v>72</x:v>
      </x:c>
      <x:c r="J1790" s="6" t="n">
        <x:v>600</x:v>
      </x:c>
      <x:c r="K1790" s="6" t="n">
        <x:v>21</x:v>
      </x:c>
      <x:c r="L1790" s="6" t="n">
        <x:v>128</x:v>
      </x:c>
      <x:c r="M1790" s="6" t="n">
        <x:v>223</x:v>
      </x:c>
      <x:c r="N1790" s="6" t="n">
        <x:v>150</x:v>
      </x:c>
      <x:c r="O1790" s="6" t="n">
        <x:v>128</x:v>
      </x:c>
      <x:c r="P1790" s="6" t="n">
        <x:v>13</x:v>
      </x:c>
      <x:c r="Q1790" s="6" t="n">
        <x:v>2</x:v>
      </x:c>
      <x:c r="R1790" s="6" t="n">
        <x:v>2</x:v>
      </x:c>
      <x:c r="S1790" s="6" t="n">
        <x:v>12</x:v>
      </x:c>
      <x:c r="T1790" s="6" t="n">
        <x:v>8</x:v>
      </x:c>
      <x:c r="U1790" s="6" t="n">
        <x:v>0</x:v>
      </x:c>
      <x:c r="V1790" s="6" t="n">
        <x:v>0</x:v>
      </x:c>
      <x:c r="W1790" s="6" t="n">
        <x:v>0</x:v>
      </x:c>
      <x:c r="X1790" s="6" t="n">
        <x:v>0</x:v>
      </x:c>
      <x:c r="Y1790" s="6" t="n">
        <x:v>0</x:v>
      </x:c>
      <x:c r="Z1790" s="6" t="n">
        <x:v>0</x:v>
      </x:c>
      <x:c r="AA1790" s="6" t="n">
        <x:v>3</x:v>
      </x:c>
      <x:c r="AB1790" s="6" t="n">
        <x:v>11</x:v>
      </x:c>
      <x:c r="AC1790" s="6" t="n">
        <x:v>0</x:v>
      </x:c>
    </x:row>
    <x:row r="1791">
      <x:c r="A1791" s="6" t="n">
        <x:v>6173</x:v>
      </x:c>
      <x:c r="B1791" s="6" t="n">
        <x:v>1979</x:v>
      </x:c>
      <x:c r="C1791" s="6" t="str">
        <x:v>Graduation</x:v>
      </x:c>
      <x:c r="D1791" s="6" t="str">
        <x:v>Together</x:v>
      </x:c>
      <x:c r="E1791" s="6" t="n">
        <x:v>77298</x:v>
      </x:c>
      <x:c r="F1791" s="6" t="n">
        <x:v>0</x:v>
      </x:c>
      <x:c r="G1791" s="6" t="n">
        <x:v>1</x:v>
      </x:c>
      <x:c r="H1791" s="9" t="str">
        <x:v>02-11-2013</x:v>
      </x:c>
      <x:c r="I1791" s="6" t="n">
        <x:v>46</x:v>
      </x:c>
      <x:c r="J1791" s="6" t="n">
        <x:v>425</x:v>
      </x:c>
      <x:c r="K1791" s="6" t="n">
        <x:v>115</x:v>
      </x:c>
      <x:c r="L1791" s="6" t="n">
        <x:v>292</x:v>
      </x:c>
      <x:c r="M1791" s="6" t="n">
        <x:v>23</x:v>
      </x:c>
      <x:c r="N1791" s="6" t="n">
        <x:v>35</x:v>
      </x:c>
      <x:c r="O1791" s="6" t="n">
        <x:v>79</x:v>
      </x:c>
      <x:c r="P1791" s="6" t="n">
        <x:v>1</x:v>
      </x:c>
      <x:c r="Q1791" s="6" t="n">
        <x:v>6</x:v>
      </x:c>
      <x:c r="R1791" s="6" t="n">
        <x:v>6</x:v>
      </x:c>
      <x:c r="S1791" s="6" t="n">
        <x:v>11</x:v>
      </x:c>
      <x:c r="T1791" s="6" t="n">
        <x:v>3</x:v>
      </x:c>
      <x:c r="U1791" s="6" t="n">
        <x:v>0</x:v>
      </x:c>
      <x:c r="V1791" s="6" t="n">
        <x:v>0</x:v>
      </x:c>
      <x:c r="W1791" s="6" t="n">
        <x:v>0</x:v>
      </x:c>
      <x:c r="X1791" s="6" t="n">
        <x:v>0</x:v>
      </x:c>
      <x:c r="Y1791" s="6" t="n">
        <x:v>0</x:v>
      </x:c>
      <x:c r="Z1791" s="6" t="n">
        <x:v>0</x:v>
      </x:c>
      <x:c r="AA1791" s="6" t="n">
        <x:v>3</x:v>
      </x:c>
      <x:c r="AB1791" s="6" t="n">
        <x:v>11</x:v>
      </x:c>
      <x:c r="AC1791" s="6" t="n">
        <x:v>0</x:v>
      </x:c>
    </x:row>
    <x:row r="1792">
      <x:c r="A1792" s="6" t="n">
        <x:v>1419</x:v>
      </x:c>
      <x:c r="B1792" s="6" t="n">
        <x:v>1950</x:v>
      </x:c>
      <x:c r="C1792" s="6" t="str">
        <x:v>Graduation</x:v>
      </x:c>
      <x:c r="D1792" s="6" t="str">
        <x:v>Together</x:v>
      </x:c>
      <x:c r="E1792" s="6" t="n">
        <x:v>34026</x:v>
      </x:c>
      <x:c r="F1792" s="6" t="n">
        <x:v>1</x:v>
      </x:c>
      <x:c r="G1792" s="6" t="n">
        <x:v>1</x:v>
      </x:c>
      <x:c r="H1792" s="9" t="str">
        <x:v>05-08-2013</x:v>
      </x:c>
      <x:c r="I1792" s="6" t="n">
        <x:v>11</x:v>
      </x:c>
      <x:c r="J1792" s="6" t="n">
        <x:v>18</x:v>
      </x:c>
      <x:c r="K1792" s="6" t="n">
        <x:v>6</x:v>
      </x:c>
      <x:c r="L1792" s="6" t="n">
        <x:v>15</x:v>
      </x:c>
      <x:c r="M1792" s="6" t="n">
        <x:v>12</x:v>
      </x:c>
      <x:c r="N1792" s="6" t="n">
        <x:v>8</x:v>
      </x:c>
      <x:c r="O1792" s="6" t="n">
        <x:v>17</x:v>
      </x:c>
      <x:c r="P1792" s="6" t="n">
        <x:v>3</x:v>
      </x:c>
      <x:c r="Q1792" s="6" t="n">
        <x:v>2</x:v>
      </x:c>
      <x:c r="R1792" s="6" t="n">
        <x:v>1</x:v>
      </x:c>
      <x:c r="S1792" s="6" t="n">
        <x:v>3</x:v>
      </x:c>
      <x:c r="T1792" s="6" t="n">
        <x:v>5</x:v>
      </x:c>
      <x:c r="U1792" s="6" t="n">
        <x:v>0</x:v>
      </x:c>
      <x:c r="V1792" s="6" t="n">
        <x:v>0</x:v>
      </x:c>
      <x:c r="W1792" s="6" t="n">
        <x:v>0</x:v>
      </x:c>
      <x:c r="X1792" s="6" t="n">
        <x:v>0</x:v>
      </x:c>
      <x:c r="Y1792" s="6" t="n">
        <x:v>0</x:v>
      </x:c>
      <x:c r="Z1792" s="6" t="n">
        <x:v>0</x:v>
      </x:c>
      <x:c r="AA1792" s="6" t="n">
        <x:v>3</x:v>
      </x:c>
      <x:c r="AB1792" s="6" t="n">
        <x:v>11</x:v>
      </x:c>
      <x:c r="AC1792" s="6" t="n">
        <x:v>0</x:v>
      </x:c>
    </x:row>
    <x:row r="1793">
      <x:c r="A1793" s="6" t="n">
        <x:v>9150</x:v>
      </x:c>
      <x:c r="B1793" s="6" t="n">
        <x:v>1963</x:v>
      </x:c>
      <x:c r="C1793" s="6" t="str">
        <x:v>PhD</x:v>
      </x:c>
      <x:c r="D1793" s="6" t="str">
        <x:v>Single</x:v>
      </x:c>
      <x:c r="E1793" s="6" t="n">
        <x:v>48918</x:v>
      </x:c>
      <x:c r="F1793" s="6" t="n">
        <x:v>1</x:v>
      </x:c>
      <x:c r="G1793" s="6" t="n">
        <x:v>1</x:v>
      </x:c>
      <x:c r="H1793" s="9" t="str">
        <x:v>12-04-2014</x:v>
      </x:c>
      <x:c r="I1793" s="6" t="n">
        <x:v>21</x:v>
      </x:c>
      <x:c r="J1793" s="6" t="n">
        <x:v>52</x:v>
      </x:c>
      <x:c r="K1793" s="6" t="n">
        <x:v>0</x:v>
      </x:c>
      <x:c r="L1793" s="6" t="n">
        <x:v>9</x:v>
      </x:c>
      <x:c r="M1793" s="6" t="n">
        <x:v>0</x:v>
      </x:c>
      <x:c r="N1793" s="6" t="n">
        <x:v>0</x:v>
      </x:c>
      <x:c r="O1793" s="6" t="n">
        <x:v>1</x:v>
      </x:c>
      <x:c r="P1793" s="6" t="n">
        <x:v>2</x:v>
      </x:c>
      <x:c r="Q1793" s="6" t="n">
        <x:v>1</x:v>
      </x:c>
      <x:c r="R1793" s="6" t="n">
        <x:v>0</x:v>
      </x:c>
      <x:c r="S1793" s="6" t="n">
        <x:v>4</x:v>
      </x:c>
      <x:c r="T1793" s="6" t="n">
        <x:v>4</x:v>
      </x:c>
      <x:c r="U1793" s="6" t="n">
        <x:v>0</x:v>
      </x:c>
      <x:c r="V1793" s="6" t="n">
        <x:v>0</x:v>
      </x:c>
      <x:c r="W1793" s="6" t="n">
        <x:v>0</x:v>
      </x:c>
      <x:c r="X1793" s="6" t="n">
        <x:v>0</x:v>
      </x:c>
      <x:c r="Y1793" s="6" t="n">
        <x:v>0</x:v>
      </x:c>
      <x:c r="Z1793" s="6" t="n">
        <x:v>0</x:v>
      </x:c>
      <x:c r="AA1793" s="6" t="n">
        <x:v>3</x:v>
      </x:c>
      <x:c r="AB1793" s="6" t="n">
        <x:v>11</x:v>
      </x:c>
      <x:c r="AC1793" s="6" t="n">
        <x:v>0</x:v>
      </x:c>
    </x:row>
    <x:row r="1794">
      <x:c r="A1794" s="6" t="n">
        <x:v>7960</x:v>
      </x:c>
      <x:c r="B1794" s="6" t="n">
        <x:v>1962</x:v>
      </x:c>
      <x:c r="C1794" s="6" t="str">
        <x:v>2n Cycle</x:v>
      </x:c>
      <x:c r="D1794" s="6" t="str">
        <x:v>Together</x:v>
      </x:c>
      <x:c r="E1794" s="6" t="n">
        <x:v>82122</x:v>
      </x:c>
      <x:c r="F1794" s="6" t="n">
        <x:v>0</x:v>
      </x:c>
      <x:c r="G1794" s="6" t="n">
        <x:v>0</x:v>
      </x:c>
      <x:c r="H1794" s="9" t="str">
        <x:v>15-08-2013</x:v>
      </x:c>
      <x:c r="I1794" s="6" t="n">
        <x:v>89</x:v>
      </x:c>
      <x:c r="J1794" s="6" t="n">
        <x:v>734</x:v>
      </x:c>
      <x:c r="K1794" s="6" t="n">
        <x:v>22</x:v>
      </x:c>
      <x:c r="L1794" s="6" t="n">
        <x:v>350</x:v>
      </x:c>
      <x:c r="M1794" s="6" t="n">
        <x:v>151</x:v>
      </x:c>
      <x:c r="N1794" s="6" t="n">
        <x:v>25</x:v>
      </x:c>
      <x:c r="O1794" s="6" t="n">
        <x:v>100</x:v>
      </x:c>
      <x:c r="P1794" s="6" t="n">
        <x:v>1</x:v>
      </x:c>
      <x:c r="Q1794" s="6" t="n">
        <x:v>3</x:v>
      </x:c>
      <x:c r="R1794" s="6" t="n">
        <x:v>9</x:v>
      </x:c>
      <x:c r="S1794" s="6" t="n">
        <x:v>13</x:v>
      </x:c>
      <x:c r="T1794" s="6" t="n">
        <x:v>1</x:v>
      </x:c>
      <x:c r="U1794" s="6" t="n">
        <x:v>0</x:v>
      </x:c>
      <x:c r="V1794" s="6" t="n">
        <x:v>0</x:v>
      </x:c>
      <x:c r="W1794" s="6" t="n">
        <x:v>1</x:v>
      </x:c>
      <x:c r="X1794" s="6" t="n">
        <x:v>0</x:v>
      </x:c>
      <x:c r="Y1794" s="6" t="n">
        <x:v>0</x:v>
      </x:c>
      <x:c r="Z1794" s="6" t="n">
        <x:v>0</x:v>
      </x:c>
      <x:c r="AA1794" s="6" t="n">
        <x:v>3</x:v>
      </x:c>
      <x:c r="AB1794" s="6" t="n">
        <x:v>11</x:v>
      </x:c>
      <x:c r="AC1794" s="6" t="n">
        <x:v>0</x:v>
      </x:c>
    </x:row>
    <x:row r="1795">
      <x:c r="A1795" s="6" t="n">
        <x:v>1250</x:v>
      </x:c>
      <x:c r="B1795" s="6" t="n">
        <x:v>1976</x:v>
      </x:c>
      <x:c r="C1795" s="6" t="str">
        <x:v>Graduation</x:v>
      </x:c>
      <x:c r="D1795" s="6" t="str">
        <x:v>Single</x:v>
      </x:c>
      <x:c r="E1795" s="6" t="n">
        <x:v>37697</x:v>
      </x:c>
      <x:c r="F1795" s="6" t="n">
        <x:v>1</x:v>
      </x:c>
      <x:c r="G1795" s="6" t="n">
        <x:v>0</x:v>
      </x:c>
      <x:c r="H1795" s="9" t="str">
        <x:v>07-02-2014</x:v>
      </x:c>
      <x:c r="I1795" s="6" t="n">
        <x:v>82</x:v>
      </x:c>
      <x:c r="J1795" s="6" t="n">
        <x:v>34</x:v>
      </x:c>
      <x:c r="K1795" s="6" t="n">
        <x:v>6</x:v>
      </x:c>
      <x:c r="L1795" s="6" t="n">
        <x:v>21</x:v>
      </x:c>
      <x:c r="M1795" s="6" t="n">
        <x:v>11</x:v>
      </x:c>
      <x:c r="N1795" s="6" t="n">
        <x:v>4</x:v>
      </x:c>
      <x:c r="O1795" s="6" t="n">
        <x:v>8</x:v>
      </x:c>
      <x:c r="P1795" s="6" t="n">
        <x:v>1</x:v>
      </x:c>
      <x:c r="Q1795" s="6" t="n">
        <x:v>2</x:v>
      </x:c>
      <x:c r="R1795" s="6" t="n">
        <x:v>1</x:v>
      </x:c>
      <x:c r="S1795" s="6" t="n">
        <x:v>3</x:v>
      </x:c>
      <x:c r="T1795" s="6" t="n">
        <x:v>6</x:v>
      </x:c>
      <x:c r="U1795" s="6" t="n">
        <x:v>0</x:v>
      </x:c>
      <x:c r="V1795" s="6" t="n">
        <x:v>0</x:v>
      </x:c>
      <x:c r="W1795" s="6" t="n">
        <x:v>0</x:v>
      </x:c>
      <x:c r="X1795" s="6" t="n">
        <x:v>0</x:v>
      </x:c>
      <x:c r="Y1795" s="6" t="n">
        <x:v>0</x:v>
      </x:c>
      <x:c r="Z1795" s="6" t="n">
        <x:v>0</x:v>
      </x:c>
      <x:c r="AA1795" s="6" t="n">
        <x:v>3</x:v>
      </x:c>
      <x:c r="AB1795" s="6" t="n">
        <x:v>11</x:v>
      </x:c>
      <x:c r="AC1795" s="6" t="n">
        <x:v>0</x:v>
      </x:c>
    </x:row>
    <x:row r="1796">
      <x:c r="A1796" s="6" t="n">
        <x:v>9905</x:v>
      </x:c>
      <x:c r="B1796" s="6" t="n">
        <x:v>1952</x:v>
      </x:c>
      <x:c r="C1796" s="6" t="str">
        <x:v>Graduation</x:v>
      </x:c>
      <x:c r="D1796" s="6" t="str">
        <x:v>Together</x:v>
      </x:c>
      <x:c r="E1796" s="6" t="n">
        <x:v>34074</x:v>
      </x:c>
      <x:c r="F1796" s="6" t="n">
        <x:v>1</x:v>
      </x:c>
      <x:c r="G1796" s="6" t="n">
        <x:v>1</x:v>
      </x:c>
      <x:c r="H1796" s="9" t="str">
        <x:v>13-07-2013</x:v>
      </x:c>
      <x:c r="I1796" s="6" t="n">
        <x:v>69</x:v>
      </x:c>
      <x:c r="J1796" s="6" t="n">
        <x:v>135</x:v>
      </x:c>
      <x:c r="K1796" s="6" t="n">
        <x:v>1</x:v>
      </x:c>
      <x:c r="L1796" s="6" t="n">
        <x:v>41</x:v>
      </x:c>
      <x:c r="M1796" s="6" t="n">
        <x:v>10</x:v>
      </x:c>
      <x:c r="N1796" s="6" t="n">
        <x:v>1</x:v>
      </x:c>
      <x:c r="O1796" s="6" t="n">
        <x:v>67</x:v>
      </x:c>
      <x:c r="P1796" s="6" t="n">
        <x:v>5</x:v>
      </x:c>
      <x:c r="Q1796" s="6" t="n">
        <x:v>3</x:v>
      </x:c>
      <x:c r="R1796" s="6" t="n">
        <x:v>3</x:v>
      </x:c>
      <x:c r="S1796" s="6" t="n">
        <x:v>3</x:v>
      </x:c>
      <x:c r="T1796" s="6" t="n">
        <x:v>6</x:v>
      </x:c>
      <x:c r="U1796" s="6" t="n">
        <x:v>1</x:v>
      </x:c>
      <x:c r="V1796" s="6" t="n">
        <x:v>0</x:v>
      </x:c>
      <x:c r="W1796" s="6" t="n">
        <x:v>0</x:v>
      </x:c>
      <x:c r="X1796" s="6" t="n">
        <x:v>0</x:v>
      </x:c>
      <x:c r="Y1796" s="6" t="n">
        <x:v>0</x:v>
      </x:c>
      <x:c r="Z1796" s="6" t="n">
        <x:v>0</x:v>
      </x:c>
      <x:c r="AA1796" s="6" t="n">
        <x:v>3</x:v>
      </x:c>
      <x:c r="AB1796" s="6" t="n">
        <x:v>11</x:v>
      </x:c>
      <x:c r="AC1796" s="6" t="n">
        <x:v>0</x:v>
      </x:c>
    </x:row>
    <x:row r="1797">
      <x:c r="A1797" s="6" t="n">
        <x:v>10691</x:v>
      </x:c>
      <x:c r="B1797" s="6" t="n">
        <x:v>1960</x:v>
      </x:c>
      <x:c r="C1797" s="6" t="str">
        <x:v>Master</x:v>
      </x:c>
      <x:c r="D1797" s="6" t="str">
        <x:v>Married</x:v>
      </x:c>
      <x:c r="E1797" s="6" t="n">
        <x:v>28520</x:v>
      </x:c>
      <x:c r="F1797" s="6" t="n">
        <x:v>1</x:v>
      </x:c>
      <x:c r="G1797" s="6" t="n">
        <x:v>1</x:v>
      </x:c>
      <x:c r="H1797" s="9" t="str">
        <x:v>14-06-2013</x:v>
      </x:c>
      <x:c r="I1797" s="6" t="n">
        <x:v>55</x:v>
      </x:c>
      <x:c r="J1797" s="6" t="n">
        <x:v>11</x:v>
      </x:c>
      <x:c r="K1797" s="6" t="n">
        <x:v>0</x:v>
      </x:c>
      <x:c r="L1797" s="6" t="n">
        <x:v>10</x:v>
      </x:c>
      <x:c r="M1797" s="6" t="n">
        <x:v>0</x:v>
      </x:c>
      <x:c r="N1797" s="6" t="n">
        <x:v>2</x:v>
      </x:c>
      <x:c r="O1797" s="6" t="n">
        <x:v>20</x:v>
      </x:c>
      <x:c r="P1797" s="6" t="n">
        <x:v>1</x:v>
      </x:c>
      <x:c r="Q1797" s="6" t="n">
        <x:v>1</x:v>
      </x:c>
      <x:c r="R1797" s="6" t="n">
        <x:v>1</x:v>
      </x:c>
      <x:c r="S1797" s="6" t="n">
        <x:v>2</x:v>
      </x:c>
      <x:c r="T1797" s="6" t="n">
        <x:v>6</x:v>
      </x:c>
      <x:c r="U1797" s="6" t="n">
        <x:v>0</x:v>
      </x:c>
      <x:c r="V1797" s="6" t="n">
        <x:v>0</x:v>
      </x:c>
      <x:c r="W1797" s="6" t="n">
        <x:v>0</x:v>
      </x:c>
      <x:c r="X1797" s="6" t="n">
        <x:v>0</x:v>
      </x:c>
      <x:c r="Y1797" s="6" t="n">
        <x:v>0</x:v>
      </x:c>
      <x:c r="Z1797" s="6" t="n">
        <x:v>0</x:v>
      </x:c>
      <x:c r="AA1797" s="6" t="n">
        <x:v>3</x:v>
      </x:c>
      <x:c r="AB1797" s="6" t="n">
        <x:v>11</x:v>
      </x:c>
      <x:c r="AC1797" s="6" t="n">
        <x:v>0</x:v>
      </x:c>
    </x:row>
    <x:row r="1798">
      <x:c r="A1798" s="6" t="n">
        <x:v>7002</x:v>
      </x:c>
      <x:c r="B1798" s="6" t="n">
        <x:v>1955</x:v>
      </x:c>
      <x:c r="C1798" s="6" t="str">
        <x:v>Graduation</x:v>
      </x:c>
      <x:c r="D1798" s="6" t="str">
        <x:v>Single</x:v>
      </x:c>
      <x:c r="E1798" s="6" t="n">
        <x:v>62535</x:v>
      </x:c>
      <x:c r="F1798" s="6" t="n">
        <x:v>0</x:v>
      </x:c>
      <x:c r="G1798" s="6" t="n">
        <x:v>1</x:v>
      </x:c>
      <x:c r="H1798" s="9" t="str">
        <x:v>03-10-2013</x:v>
      </x:c>
      <x:c r="I1798" s="6" t="n">
        <x:v>13</x:v>
      </x:c>
      <x:c r="J1798" s="6" t="n">
        <x:v>163</x:v>
      </x:c>
      <x:c r="K1798" s="6" t="n">
        <x:v>48</x:v>
      </x:c>
      <x:c r="L1798" s="6" t="n">
        <x:v>90</x:v>
      </x:c>
      <x:c r="M1798" s="6" t="n">
        <x:v>0</x:v>
      </x:c>
      <x:c r="N1798" s="6" t="n">
        <x:v>45</x:v>
      </x:c>
      <x:c r="O1798" s="6" t="n">
        <x:v>52</x:v>
      </x:c>
      <x:c r="P1798" s="6" t="n">
        <x:v>1</x:v>
      </x:c>
      <x:c r="Q1798" s="6" t="n">
        <x:v>3</x:v>
      </x:c>
      <x:c r="R1798" s="6" t="n">
        <x:v>2</x:v>
      </x:c>
      <x:c r="S1798" s="6" t="n">
        <x:v>8</x:v>
      </x:c>
      <x:c r="T1798" s="6" t="n">
        <x:v>3</x:v>
      </x:c>
      <x:c r="U1798" s="6" t="n">
        <x:v>0</x:v>
      </x:c>
      <x:c r="V1798" s="6" t="n">
        <x:v>0</x:v>
      </x:c>
      <x:c r="W1798" s="6" t="n">
        <x:v>0</x:v>
      </x:c>
      <x:c r="X1798" s="6" t="n">
        <x:v>0</x:v>
      </x:c>
      <x:c r="Y1798" s="6" t="n">
        <x:v>0</x:v>
      </x:c>
      <x:c r="Z1798" s="6" t="n">
        <x:v>0</x:v>
      </x:c>
      <x:c r="AA1798" s="6" t="n">
        <x:v>3</x:v>
      </x:c>
      <x:c r="AB1798" s="6" t="n">
        <x:v>11</x:v>
      </x:c>
      <x:c r="AC1798" s="6" t="n">
        <x:v>0</x:v>
      </x:c>
    </x:row>
    <x:row r="1799">
      <x:c r="A1799" s="6" t="n">
        <x:v>2952</x:v>
      </x:c>
      <x:c r="B1799" s="6" t="n">
        <x:v>1977</x:v>
      </x:c>
      <x:c r="C1799" s="6" t="str">
        <x:v>Master</x:v>
      </x:c>
      <x:c r="D1799" s="6" t="str">
        <x:v>Single</x:v>
      </x:c>
      <x:c r="E1799" s="6" t="n">
        <x:v>36273</x:v>
      </x:c>
      <x:c r="F1799" s="6" t="n">
        <x:v>1</x:v>
      </x:c>
      <x:c r="G1799" s="6" t="n">
        <x:v>0</x:v>
      </x:c>
      <x:c r="H1799" s="9" t="str">
        <x:v>16-04-2014</x:v>
      </x:c>
      <x:c r="I1799" s="6" t="n">
        <x:v>80</x:v>
      </x:c>
      <x:c r="J1799" s="6" t="n">
        <x:v>29</x:v>
      </x:c>
      <x:c r="K1799" s="6" t="n">
        <x:v>3</x:v>
      </x:c>
      <x:c r="L1799" s="6" t="n">
        <x:v>30</x:v>
      </x:c>
      <x:c r="M1799" s="6" t="n">
        <x:v>3</x:v>
      </x:c>
      <x:c r="N1799" s="6" t="n">
        <x:v>2</x:v>
      </x:c>
      <x:c r="O1799" s="6" t="n">
        <x:v>9</x:v>
      </x:c>
      <x:c r="P1799" s="6" t="n">
        <x:v>2</x:v>
      </x:c>
      <x:c r="Q1799" s="6" t="n">
        <x:v>3</x:v>
      </x:c>
      <x:c r="R1799" s="6" t="n">
        <x:v>0</x:v>
      </x:c>
      <x:c r="S1799" s="6" t="n">
        <x:v>3</x:v>
      </x:c>
      <x:c r="T1799" s="6" t="n">
        <x:v>6</x:v>
      </x:c>
      <x:c r="U1799" s="6" t="n">
        <x:v>0</x:v>
      </x:c>
      <x:c r="V1799" s="6" t="n">
        <x:v>0</x:v>
      </x:c>
      <x:c r="W1799" s="6" t="n">
        <x:v>0</x:v>
      </x:c>
      <x:c r="X1799" s="6" t="n">
        <x:v>0</x:v>
      </x:c>
      <x:c r="Y1799" s="6" t="n">
        <x:v>0</x:v>
      </x:c>
      <x:c r="Z1799" s="6" t="n">
        <x:v>0</x:v>
      </x:c>
      <x:c r="AA1799" s="6" t="n">
        <x:v>3</x:v>
      </x:c>
      <x:c r="AB1799" s="6" t="n">
        <x:v>11</x:v>
      </x:c>
      <x:c r="AC1799" s="6" t="n">
        <x:v>0</x:v>
      </x:c>
    </x:row>
    <x:row r="1800">
      <x:c r="A1800" s="6" t="n">
        <x:v>8439</x:v>
      </x:c>
      <x:c r="B1800" s="6" t="n">
        <x:v>1964</x:v>
      </x:c>
      <x:c r="C1800" s="6" t="str">
        <x:v>Graduation</x:v>
      </x:c>
      <x:c r="D1800" s="6" t="str">
        <x:v>Together</x:v>
      </x:c>
      <x:c r="E1800" s="6" t="n">
        <x:v>63404</x:v>
      </x:c>
      <x:c r="F1800" s="6" t="n">
        <x:v>0</x:v>
      </x:c>
      <x:c r="G1800" s="6" t="n">
        <x:v>2</x:v>
      </x:c>
      <x:c r="H1800" s="9" t="str">
        <x:v>06-06-2014</x:v>
      </x:c>
      <x:c r="I1800" s="6" t="n">
        <x:v>97</x:v>
      </x:c>
      <x:c r="J1800" s="6" t="n">
        <x:v>734</x:v>
      </x:c>
      <x:c r="K1800" s="6" t="n">
        <x:v>26</x:v>
      </x:c>
      <x:c r="L1800" s="6" t="n">
        <x:v>70</x:v>
      </x:c>
      <x:c r="M1800" s="6" t="n">
        <x:v>11</x:v>
      </x:c>
      <x:c r="N1800" s="6" t="n">
        <x:v>44</x:v>
      </x:c>
      <x:c r="O1800" s="6" t="n">
        <x:v>17</x:v>
      </x:c>
      <x:c r="P1800" s="6" t="n">
        <x:v>2</x:v>
      </x:c>
      <x:c r="Q1800" s="6" t="n">
        <x:v>6</x:v>
      </x:c>
      <x:c r="R1800" s="6" t="n">
        <x:v>3</x:v>
      </x:c>
      <x:c r="S1800" s="6" t="n">
        <x:v>4</x:v>
      </x:c>
      <x:c r="T1800" s="6" t="n">
        <x:v>4</x:v>
      </x:c>
      <x:c r="U1800" s="6" t="n">
        <x:v>0</x:v>
      </x:c>
      <x:c r="V1800" s="6" t="n">
        <x:v>0</x:v>
      </x:c>
      <x:c r="W1800" s="6" t="n">
        <x:v>0</x:v>
      </x:c>
      <x:c r="X1800" s="6" t="n">
        <x:v>1</x:v>
      </x:c>
      <x:c r="Y1800" s="6" t="n">
        <x:v>0</x:v>
      </x:c>
      <x:c r="Z1800" s="6" t="n">
        <x:v>0</x:v>
      </x:c>
      <x:c r="AA1800" s="6" t="n">
        <x:v>3</x:v>
      </x:c>
      <x:c r="AB1800" s="6" t="n">
        <x:v>11</x:v>
      </x:c>
      <x:c r="AC1800" s="6" t="n">
        <x:v>0</x:v>
      </x:c>
    </x:row>
    <x:row r="1801">
      <x:c r="A1801" s="6" t="n">
        <x:v>762</x:v>
      </x:c>
      <x:c r="B1801" s="6" t="n">
        <x:v>1981</x:v>
      </x:c>
      <x:c r="C1801" s="6" t="str">
        <x:v>2n Cycle</x:v>
      </x:c>
      <x:c r="D1801" s="6" t="str">
        <x:v>Together</x:v>
      </x:c>
      <x:c r="E1801" s="6" t="n">
        <x:v>75774</x:v>
      </x:c>
      <x:c r="F1801" s="6" t="n">
        <x:v>1</x:v>
      </x:c>
      <x:c r="G1801" s="6" t="n">
        <x:v>0</x:v>
      </x:c>
      <x:c r="H1801" s="9" t="str">
        <x:v>02-05-2014</x:v>
      </x:c>
      <x:c r="I1801" s="6" t="n">
        <x:v>27</x:v>
      </x:c>
      <x:c r="J1801" s="6" t="n">
        <x:v>340</x:v>
      </x:c>
      <x:c r="K1801" s="6" t="n">
        <x:v>21</x:v>
      </x:c>
      <x:c r="L1801" s="6" t="n">
        <x:v>134</x:v>
      </x:c>
      <x:c r="M1801" s="6" t="n">
        <x:v>258</x:v>
      </x:c>
      <x:c r="N1801" s="6" t="n">
        <x:v>14</x:v>
      </x:c>
      <x:c r="O1801" s="6" t="n">
        <x:v>56</x:v>
      </x:c>
      <x:c r="P1801" s="6" t="n">
        <x:v>1</x:v>
      </x:c>
      <x:c r="Q1801" s="6" t="n">
        <x:v>7</x:v>
      </x:c>
      <x:c r="R1801" s="6" t="n">
        <x:v>5</x:v>
      </x:c>
      <x:c r="S1801" s="6" t="n">
        <x:v>8</x:v>
      </x:c>
      <x:c r="T1801" s="6" t="n">
        <x:v>4</x:v>
      </x:c>
      <x:c r="U1801" s="6" t="n">
        <x:v>0</x:v>
      </x:c>
      <x:c r="V1801" s="6" t="n">
        <x:v>0</x:v>
      </x:c>
      <x:c r="W1801" s="6" t="n">
        <x:v>0</x:v>
      </x:c>
      <x:c r="X1801" s="6" t="n">
        <x:v>0</x:v>
      </x:c>
      <x:c r="Y1801" s="6" t="n">
        <x:v>0</x:v>
      </x:c>
      <x:c r="Z1801" s="6" t="n">
        <x:v>0</x:v>
      </x:c>
      <x:c r="AA1801" s="6" t="n">
        <x:v>3</x:v>
      </x:c>
      <x:c r="AB1801" s="6" t="n">
        <x:v>11</x:v>
      </x:c>
      <x:c r="AC1801" s="6" t="n">
        <x:v>0</x:v>
      </x:c>
    </x:row>
    <x:row r="1802">
      <x:c r="A1802" s="6" t="n">
        <x:v>2831</x:v>
      </x:c>
      <x:c r="B1802" s="6" t="n">
        <x:v>1976</x:v>
      </x:c>
      <x:c r="C1802" s="6" t="str">
        <x:v>Graduation</x:v>
      </x:c>
      <x:c r="D1802" s="6" t="str">
        <x:v>Together</x:v>
      </x:c>
      <x:c r="E1802" s="6" t="n">
        <x:v>78416</x:v>
      </x:c>
      <x:c r="F1802" s="6" t="n">
        <x:v>0</x:v>
      </x:c>
      <x:c r="G1802" s="6" t="n">
        <x:v>1</x:v>
      </x:c>
      <x:c r="H1802" s="9" t="str">
        <x:v>27-06-2014</x:v>
      </x:c>
      <x:c r="I1802" s="6" t="n">
        <x:v>99</x:v>
      </x:c>
      <x:c r="J1802" s="6" t="n">
        <x:v>453</x:v>
      </x:c>
      <x:c r="K1802" s="6" t="n">
        <x:v>38</x:v>
      </x:c>
      <x:c r="L1802" s="6" t="n">
        <x:v>279</x:v>
      </x:c>
      <x:c r="M1802" s="6" t="n">
        <x:v>188</x:v>
      </x:c>
      <x:c r="N1802" s="6" t="n">
        <x:v>38</x:v>
      </x:c>
      <x:c r="O1802" s="6" t="n">
        <x:v>183</x:v>
      </x:c>
      <x:c r="P1802" s="6" t="n">
        <x:v>2</x:v>
      </x:c>
      <x:c r="Q1802" s="6" t="n">
        <x:v>7</x:v>
      </x:c>
      <x:c r="R1802" s="6" t="n">
        <x:v>7</x:v>
      </x:c>
      <x:c r="S1802" s="6" t="n">
        <x:v>10</x:v>
      </x:c>
      <x:c r="T1802" s="6" t="n">
        <x:v>3</x:v>
      </x:c>
      <x:c r="U1802" s="6" t="n">
        <x:v>0</x:v>
      </x:c>
      <x:c r="V1802" s="6" t="n">
        <x:v>0</x:v>
      </x:c>
      <x:c r="W1802" s="6" t="n">
        <x:v>0</x:v>
      </x:c>
      <x:c r="X1802" s="6" t="n">
        <x:v>0</x:v>
      </x:c>
      <x:c r="Y1802" s="6" t="n">
        <x:v>0</x:v>
      </x:c>
      <x:c r="Z1802" s="6" t="n">
        <x:v>0</x:v>
      </x:c>
      <x:c r="AA1802" s="6" t="n">
        <x:v>3</x:v>
      </x:c>
      <x:c r="AB1802" s="6" t="n">
        <x:v>11</x:v>
      </x:c>
      <x:c r="AC1802" s="6" t="n">
        <x:v>0</x:v>
      </x:c>
    </x:row>
    <x:row r="1803">
      <x:c r="A1803" s="6" t="n">
        <x:v>6977</x:v>
      </x:c>
      <x:c r="B1803" s="6" t="n">
        <x:v>1974</x:v>
      </x:c>
      <x:c r="C1803" s="6" t="str">
        <x:v>Graduation</x:v>
      </x:c>
      <x:c r="D1803" s="6" t="str">
        <x:v>Together</x:v>
      </x:c>
      <x:c r="E1803" s="6" t="n">
        <x:v>75702</x:v>
      </x:c>
      <x:c r="F1803" s="6" t="n">
        <x:v>0</x:v>
      </x:c>
      <x:c r="G1803" s="6" t="n">
        <x:v>1</x:v>
      </x:c>
      <x:c r="H1803" s="9" t="str">
        <x:v>14-10-2012</x:v>
      </x:c>
      <x:c r="I1803" s="6" t="n">
        <x:v>87</x:v>
      </x:c>
      <x:c r="J1803" s="6" t="n">
        <x:v>1073</x:v>
      </x:c>
      <x:c r="K1803" s="6" t="n">
        <x:v>0</x:v>
      </x:c>
      <x:c r="L1803" s="6" t="n">
        <x:v>629</x:v>
      </x:c>
      <x:c r="M1803" s="6" t="n">
        <x:v>145</x:v>
      </x:c>
      <x:c r="N1803" s="6" t="n">
        <x:v>37</x:v>
      </x:c>
      <x:c r="O1803" s="6" t="n">
        <x:v>37</x:v>
      </x:c>
      <x:c r="P1803" s="6" t="n">
        <x:v>1</x:v>
      </x:c>
      <x:c r="Q1803" s="6" t="n">
        <x:v>10</x:v>
      </x:c>
      <x:c r="R1803" s="6" t="n">
        <x:v>5</x:v>
      </x:c>
      <x:c r="S1803" s="6" t="n">
        <x:v>13</x:v>
      </x:c>
      <x:c r="T1803" s="6" t="n">
        <x:v>6</x:v>
      </x:c>
      <x:c r="U1803" s="6" t="n">
        <x:v>0</x:v>
      </x:c>
      <x:c r="V1803" s="6" t="n">
        <x:v>0</x:v>
      </x:c>
      <x:c r="W1803" s="6" t="n">
        <x:v>1</x:v>
      </x:c>
      <x:c r="X1803" s="6" t="n">
        <x:v>0</x:v>
      </x:c>
      <x:c r="Y1803" s="6" t="n">
        <x:v>0</x:v>
      </x:c>
      <x:c r="Z1803" s="6" t="n">
        <x:v>0</x:v>
      </x:c>
      <x:c r="AA1803" s="6" t="n">
        <x:v>3</x:v>
      </x:c>
      <x:c r="AB1803" s="6" t="n">
        <x:v>11</x:v>
      </x:c>
      <x:c r="AC1803" s="6" t="n">
        <x:v>0</x:v>
      </x:c>
    </x:row>
    <x:row r="1804">
      <x:c r="A1804" s="6" t="n">
        <x:v>6289</x:v>
      </x:c>
      <x:c r="B1804" s="6" t="n">
        <x:v>1951</x:v>
      </x:c>
      <x:c r="C1804" s="6" t="str">
        <x:v>Master</x:v>
      </x:c>
      <x:c r="D1804" s="6" t="str">
        <x:v>Together</x:v>
      </x:c>
      <x:c r="E1804" s="6" t="n">
        <x:v>59385</x:v>
      </x:c>
      <x:c r="F1804" s="6" t="n">
        <x:v>1</x:v>
      </x:c>
      <x:c r="G1804" s="6" t="n">
        <x:v>1</x:v>
      </x:c>
      <x:c r="H1804" s="9" t="str">
        <x:v>28-04-2013</x:v>
      </x:c>
      <x:c r="I1804" s="6" t="n">
        <x:v>85</x:v>
      </x:c>
      <x:c r="J1804" s="6" t="n">
        <x:v>135</x:v>
      </x:c>
      <x:c r="K1804" s="6" t="n">
        <x:v>0</x:v>
      </x:c>
      <x:c r="L1804" s="6" t="n">
        <x:v>10</x:v>
      </x:c>
      <x:c r="M1804" s="6" t="n">
        <x:v>0</x:v>
      </x:c>
      <x:c r="N1804" s="6" t="n">
        <x:v>4</x:v>
      </x:c>
      <x:c r="O1804" s="6" t="n">
        <x:v>36</x:v>
      </x:c>
      <x:c r="P1804" s="6" t="n">
        <x:v>2</x:v>
      </x:c>
      <x:c r="Q1804" s="6" t="n">
        <x:v>3</x:v>
      </x:c>
      <x:c r="R1804" s="6" t="n">
        <x:v>1</x:v>
      </x:c>
      <x:c r="S1804" s="6" t="n">
        <x:v>4</x:v>
      </x:c>
      <x:c r="T1804" s="6" t="n">
        <x:v>5</x:v>
      </x:c>
      <x:c r="U1804" s="6" t="n">
        <x:v>0</x:v>
      </x:c>
      <x:c r="V1804" s="6" t="n">
        <x:v>0</x:v>
      </x:c>
      <x:c r="W1804" s="6" t="n">
        <x:v>0</x:v>
      </x:c>
      <x:c r="X1804" s="6" t="n">
        <x:v>0</x:v>
      </x:c>
      <x:c r="Y1804" s="6" t="n">
        <x:v>0</x:v>
      </x:c>
      <x:c r="Z1804" s="6" t="n">
        <x:v>0</x:v>
      </x:c>
      <x:c r="AA1804" s="6" t="n">
        <x:v>3</x:v>
      </x:c>
      <x:c r="AB1804" s="6" t="n">
        <x:v>11</x:v>
      </x:c>
      <x:c r="AC1804" s="6" t="n">
        <x:v>0</x:v>
      </x:c>
    </x:row>
    <x:row r="1805">
      <x:c r="A1805" s="6" t="n">
        <x:v>4168</x:v>
      </x:c>
      <x:c r="B1805" s="6" t="n">
        <x:v>1966</x:v>
      </x:c>
      <x:c r="C1805" s="6" t="str">
        <x:v>Graduation</x:v>
      </x:c>
      <x:c r="D1805" s="6" t="str">
        <x:v>Single</x:v>
      </x:c>
      <x:c r="E1805" s="6" t="n">
        <x:v>37070</x:v>
      </x:c>
      <x:c r="F1805" s="6" t="n">
        <x:v>1</x:v>
      </x:c>
      <x:c r="G1805" s="6" t="n">
        <x:v>1</x:v>
      </x:c>
      <x:c r="H1805" s="9" t="str">
        <x:v>20-03-2013</x:v>
      </x:c>
      <x:c r="I1805" s="6" t="n">
        <x:v>30</x:v>
      </x:c>
      <x:c r="J1805" s="6" t="n">
        <x:v>231</x:v>
      </x:c>
      <x:c r="K1805" s="6" t="n">
        <x:v>7</x:v>
      </x:c>
      <x:c r="L1805" s="6" t="n">
        <x:v>137</x:v>
      </x:c>
      <x:c r="M1805" s="6" t="n">
        <x:v>4</x:v>
      </x:c>
      <x:c r="N1805" s="6" t="n">
        <x:v>15</x:v>
      </x:c>
      <x:c r="O1805" s="6" t="n">
        <x:v>39</x:v>
      </x:c>
      <x:c r="P1805" s="6" t="n">
        <x:v>9</x:v>
      </x:c>
      <x:c r="Q1805" s="6" t="n">
        <x:v>5</x:v>
      </x:c>
      <x:c r="R1805" s="6" t="n">
        <x:v>1</x:v>
      </x:c>
      <x:c r="S1805" s="6" t="n">
        <x:v>8</x:v>
      </x:c>
      <x:c r="T1805" s="6" t="n">
        <x:v>7</x:v>
      </x:c>
      <x:c r="U1805" s="6" t="n">
        <x:v>0</x:v>
      </x:c>
      <x:c r="V1805" s="6" t="n">
        <x:v>0</x:v>
      </x:c>
      <x:c r="W1805" s="6" t="n">
        <x:v>0</x:v>
      </x:c>
      <x:c r="X1805" s="6" t="n">
        <x:v>0</x:v>
      </x:c>
      <x:c r="Y1805" s="6" t="n">
        <x:v>0</x:v>
      </x:c>
      <x:c r="Z1805" s="6" t="n">
        <x:v>0</x:v>
      </x:c>
      <x:c r="AA1805" s="6" t="n">
        <x:v>3</x:v>
      </x:c>
      <x:c r="AB1805" s="6" t="n">
        <x:v>11</x:v>
      </x:c>
      <x:c r="AC1805" s="6" t="n">
        <x:v>1</x:v>
      </x:c>
    </x:row>
    <x:row r="1806">
      <x:c r="A1806" s="6" t="n">
        <x:v>8397</x:v>
      </x:c>
      <x:c r="B1806" s="6" t="n">
        <x:v>1951</x:v>
      </x:c>
      <x:c r="C1806" s="6" t="str">
        <x:v>Graduation</x:v>
      </x:c>
      <x:c r="D1806" s="6" t="str">
        <x:v>Married</x:v>
      </x:c>
      <x:c r="E1806" s="6" t="n">
        <x:v>44689</x:v>
      </x:c>
      <x:c r="F1806" s="6" t="n">
        <x:v>1</x:v>
      </x:c>
      <x:c r="G1806" s="6" t="n">
        <x:v>1</x:v>
      </x:c>
      <x:c r="H1806" s="9" t="str">
        <x:v>10-01-2014</x:v>
      </x:c>
      <x:c r="I1806" s="6" t="n">
        <x:v>82</x:v>
      </x:c>
      <x:c r="J1806" s="6" t="n">
        <x:v>18</x:v>
      </x:c>
      <x:c r="K1806" s="6" t="n">
        <x:v>0</x:v>
      </x:c>
      <x:c r="L1806" s="6" t="n">
        <x:v>5</x:v>
      </x:c>
      <x:c r="M1806" s="6" t="n">
        <x:v>0</x:v>
      </x:c>
      <x:c r="N1806" s="6" t="n">
        <x:v>0</x:v>
      </x:c>
      <x:c r="O1806" s="6" t="n">
        <x:v>11</x:v>
      </x:c>
      <x:c r="P1806" s="6" t="n">
        <x:v>2</x:v>
      </x:c>
      <x:c r="Q1806" s="6" t="n">
        <x:v>1</x:v>
      </x:c>
      <x:c r="R1806" s="6" t="n">
        <x:v>1</x:v>
      </x:c>
      <x:c r="S1806" s="6" t="n">
        <x:v>2</x:v>
      </x:c>
      <x:c r="T1806" s="6" t="n">
        <x:v>7</x:v>
      </x:c>
      <x:c r="U1806" s="6" t="n">
        <x:v>1</x:v>
      </x:c>
      <x:c r="V1806" s="6" t="n">
        <x:v>0</x:v>
      </x:c>
      <x:c r="W1806" s="6" t="n">
        <x:v>0</x:v>
      </x:c>
      <x:c r="X1806" s="6" t="n">
        <x:v>0</x:v>
      </x:c>
      <x:c r="Y1806" s="6" t="n">
        <x:v>0</x:v>
      </x:c>
      <x:c r="Z1806" s="6" t="n">
        <x:v>0</x:v>
      </x:c>
      <x:c r="AA1806" s="6" t="n">
        <x:v>3</x:v>
      </x:c>
      <x:c r="AB1806" s="6" t="n">
        <x:v>11</x:v>
      </x:c>
      <x:c r="AC1806" s="6" t="n">
        <x:v>0</x:v>
      </x:c>
    </x:row>
    <x:row r="1807">
      <x:c r="A1807" s="6" t="n">
        <x:v>9284</x:v>
      </x:c>
      <x:c r="B1807" s="6" t="n">
        <x:v>1958</x:v>
      </x:c>
      <x:c r="C1807" s="6" t="str">
        <x:v>Graduation</x:v>
      </x:c>
      <x:c r="D1807" s="6" t="str">
        <x:v>Together</x:v>
      </x:c>
      <x:c r="E1807" s="6" t="n">
        <x:v>53977</x:v>
      </x:c>
      <x:c r="F1807" s="6" t="n">
        <x:v>0</x:v>
      </x:c>
      <x:c r="G1807" s="6" t="n">
        <x:v>1</x:v>
      </x:c>
      <x:c r="H1807" s="9" t="str">
        <x:v>08-06-2013</x:v>
      </x:c>
      <x:c r="I1807" s="6" t="n">
        <x:v>21</x:v>
      </x:c>
      <x:c r="J1807" s="6" t="n">
        <x:v>620</x:v>
      </x:c>
      <x:c r="K1807" s="6" t="n">
        <x:v>16</x:v>
      </x:c>
      <x:c r="L1807" s="6" t="n">
        <x:v>165</x:v>
      </x:c>
      <x:c r="M1807" s="6" t="n">
        <x:v>0</x:v>
      </x:c>
      <x:c r="N1807" s="6" t="n">
        <x:v>24</x:v>
      </x:c>
      <x:c r="O1807" s="6" t="n">
        <x:v>82</x:v>
      </x:c>
      <x:c r="P1807" s="6" t="n">
        <x:v>5</x:v>
      </x:c>
      <x:c r="Q1807" s="6" t="n">
        <x:v>5</x:v>
      </x:c>
      <x:c r="R1807" s="6" t="n">
        <x:v>5</x:v>
      </x:c>
      <x:c r="S1807" s="6" t="n">
        <x:v>12</x:v>
      </x:c>
      <x:c r="T1807" s="6" t="n">
        <x:v>5</x:v>
      </x:c>
      <x:c r="U1807" s="6" t="n">
        <x:v>0</x:v>
      </x:c>
      <x:c r="V1807" s="6" t="n">
        <x:v>0</x:v>
      </x:c>
      <x:c r="W1807" s="6" t="n">
        <x:v>0</x:v>
      </x:c>
      <x:c r="X1807" s="6" t="n">
        <x:v>0</x:v>
      </x:c>
      <x:c r="Y1807" s="6" t="n">
        <x:v>0</x:v>
      </x:c>
      <x:c r="Z1807" s="6" t="n">
        <x:v>0</x:v>
      </x:c>
      <x:c r="AA1807" s="6" t="n">
        <x:v>3</x:v>
      </x:c>
      <x:c r="AB1807" s="6" t="n">
        <x:v>11</x:v>
      </x:c>
      <x:c r="AC1807" s="6" t="n">
        <x:v>0</x:v>
      </x:c>
    </x:row>
    <x:row r="1808">
      <x:c r="A1808" s="6" t="n">
        <x:v>6237</x:v>
      </x:c>
      <x:c r="B1808" s="6" t="n">
        <x:v>1966</x:v>
      </x:c>
      <x:c r="C1808" s="6" t="str">
        <x:v>PhD</x:v>
      </x:c>
      <x:c r="D1808" s="6" t="str">
        <x:v>Single</x:v>
      </x:c>
      <x:c r="E1808" s="6" t="n">
        <x:v>7144</x:v>
      </x:c>
      <x:c r="F1808" s="6" t="n">
        <x:v>0</x:v>
      </x:c>
      <x:c r="G1808" s="6" t="n">
        <x:v>2</x:v>
      </x:c>
      <x:c r="H1808" s="9" t="str">
        <x:v>07-12-2013</x:v>
      </x:c>
      <x:c r="I1808" s="6" t="n">
        <x:v>92</x:v>
      </x:c>
      <x:c r="J1808" s="6" t="n">
        <x:v>81</x:v>
      </x:c>
      <x:c r="K1808" s="6" t="n">
        <x:v>4</x:v>
      </x:c>
      <x:c r="L1808" s="6" t="n">
        <x:v>33</x:v>
      </x:c>
      <x:c r="M1808" s="6" t="n">
        <x:v>5</x:v>
      </x:c>
      <x:c r="N1808" s="6" t="n">
        <x:v>2</x:v>
      </x:c>
      <x:c r="O1808" s="6" t="n">
        <x:v>291</x:v>
      </x:c>
      <x:c r="P1808" s="6" t="n">
        <x:v>0</x:v>
      </x:c>
      <x:c r="Q1808" s="6" t="n">
        <x:v>23</x:v>
      </x:c>
      <x:c r="R1808" s="6" t="n">
        <x:v>1</x:v>
      </x:c>
      <x:c r="S1808" s="6" t="n">
        <x:v>1</x:v>
      </x:c>
      <x:c r="T1808" s="6" t="n">
        <x:v>0</x:v>
      </x:c>
      <x:c r="U1808" s="6" t="n">
        <x:v>0</x:v>
      </x:c>
      <x:c r="V1808" s="6" t="n">
        <x:v>0</x:v>
      </x:c>
      <x:c r="W1808" s="6" t="n">
        <x:v>0</x:v>
      </x:c>
      <x:c r="X1808" s="6" t="n">
        <x:v>0</x:v>
      </x:c>
      <x:c r="Y1808" s="6" t="n">
        <x:v>0</x:v>
      </x:c>
      <x:c r="Z1808" s="6" t="n">
        <x:v>0</x:v>
      </x:c>
      <x:c r="AA1808" s="6" t="n">
        <x:v>3</x:v>
      </x:c>
      <x:c r="AB1808" s="6" t="n">
        <x:v>11</x:v>
      </x:c>
      <x:c r="AC1808" s="6" t="n">
        <x:v>0</x:v>
      </x:c>
    </x:row>
    <x:row r="1809">
      <x:c r="A1809" s="6" t="n">
        <x:v>3130</x:v>
      </x:c>
      <x:c r="B1809" s="6" t="n">
        <x:v>1964</x:v>
      </x:c>
      <x:c r="C1809" s="6" t="str">
        <x:v>Graduation</x:v>
      </x:c>
      <x:c r="D1809" s="6" t="str">
        <x:v>Single</x:v>
      </x:c>
      <x:c r="E1809" s="6" t="n">
        <x:v>18701</x:v>
      </x:c>
      <x:c r="F1809" s="6" t="n">
        <x:v>1</x:v>
      </x:c>
      <x:c r="G1809" s="6" t="n">
        <x:v>1</x:v>
      </x:c>
      <x:c r="H1809" s="9" t="str">
        <x:v>04-06-2013</x:v>
      </x:c>
      <x:c r="I1809" s="6" t="n">
        <x:v>95</x:v>
      </x:c>
      <x:c r="J1809" s="6" t="n">
        <x:v>12</x:v>
      </x:c>
      <x:c r="K1809" s="6" t="n">
        <x:v>4</x:v>
      </x:c>
      <x:c r="L1809" s="6" t="n">
        <x:v>2</x:v>
      </x:c>
      <x:c r="M1809" s="6" t="n">
        <x:v>10</x:v>
      </x:c>
      <x:c r="N1809" s="6" t="n">
        <x:v>6</x:v>
      </x:c>
      <x:c r="O1809" s="6" t="n">
        <x:v>10</x:v>
      </x:c>
      <x:c r="P1809" s="6" t="n">
        <x:v>4</x:v>
      </x:c>
      <x:c r="Q1809" s="6" t="n">
        <x:v>2</x:v>
      </x:c>
      <x:c r="R1809" s="6" t="n">
        <x:v>0</x:v>
      </x:c>
      <x:c r="S1809" s="6" t="n">
        <x:v>4</x:v>
      </x:c>
      <x:c r="T1809" s="6" t="n">
        <x:v>5</x:v>
      </x:c>
      <x:c r="U1809" s="6" t="n">
        <x:v>0</x:v>
      </x:c>
      <x:c r="V1809" s="6" t="n">
        <x:v>0</x:v>
      </x:c>
      <x:c r="W1809" s="6" t="n">
        <x:v>0</x:v>
      </x:c>
      <x:c r="X1809" s="6" t="n">
        <x:v>0</x:v>
      </x:c>
      <x:c r="Y1809" s="6" t="n">
        <x:v>0</x:v>
      </x:c>
      <x:c r="Z1809" s="6" t="n">
        <x:v>0</x:v>
      </x:c>
      <x:c r="AA1809" s="6" t="n">
        <x:v>3</x:v>
      </x:c>
      <x:c r="AB1809" s="6" t="n">
        <x:v>11</x:v>
      </x:c>
      <x:c r="AC1809" s="6" t="n">
        <x:v>0</x:v>
      </x:c>
    </x:row>
    <x:row r="1810">
      <x:c r="A1810" s="6" t="n">
        <x:v>1619</x:v>
      </x:c>
      <x:c r="B1810" s="6" t="n">
        <x:v>1956</x:v>
      </x:c>
      <x:c r="C1810" s="6" t="str">
        <x:v>Graduation</x:v>
      </x:c>
      <x:c r="D1810" s="6" t="str">
        <x:v>Married</x:v>
      </x:c>
      <x:c r="E1810" s="6" t="n">
        <x:v>90369</x:v>
      </x:c>
      <x:c r="F1810" s="6" t="n">
        <x:v>0</x:v>
      </x:c>
      <x:c r="G1810" s="6" t="n">
        <x:v>0</x:v>
      </x:c>
      <x:c r="H1810" s="9" t="str">
        <x:v>28-04-2014</x:v>
      </x:c>
      <x:c r="I1810" s="6" t="n">
        <x:v>2</x:v>
      </x:c>
      <x:c r="J1810" s="6" t="n">
        <x:v>292</x:v>
      </x:c>
      <x:c r="K1810" s="6" t="n">
        <x:v>51</x:v>
      </x:c>
      <x:c r="L1810" s="6" t="n">
        <x:v>981</x:v>
      </x:c>
      <x:c r="M1810" s="6" t="n">
        <x:v>224</x:v>
      </x:c>
      <x:c r="N1810" s="6" t="n">
        <x:v>23</x:v>
      </x:c>
      <x:c r="O1810" s="6" t="n">
        <x:v>17</x:v>
      </x:c>
      <x:c r="P1810" s="6" t="n">
        <x:v>1</x:v>
      </x:c>
      <x:c r="Q1810" s="6" t="n">
        <x:v>4</x:v>
      </x:c>
      <x:c r="R1810" s="6" t="n">
        <x:v>6</x:v>
      </x:c>
      <x:c r="S1810" s="6" t="n">
        <x:v>6</x:v>
      </x:c>
      <x:c r="T1810" s="6" t="n">
        <x:v>1</x:v>
      </x:c>
      <x:c r="U1810" s="6" t="n">
        <x:v>0</x:v>
      </x:c>
      <x:c r="V1810" s="6" t="n">
        <x:v>0</x:v>
      </x:c>
      <x:c r="W1810" s="6" t="n">
        <x:v>0</x:v>
      </x:c>
      <x:c r="X1810" s="6" t="n">
        <x:v>0</x:v>
      </x:c>
      <x:c r="Y1810" s="6" t="n">
        <x:v>0</x:v>
      </x:c>
      <x:c r="Z1810" s="6" t="n">
        <x:v>0</x:v>
      </x:c>
      <x:c r="AA1810" s="6" t="n">
        <x:v>3</x:v>
      </x:c>
      <x:c r="AB1810" s="6" t="n">
        <x:v>11</x:v>
      </x:c>
      <x:c r="AC1810" s="6" t="n">
        <x:v>1</x:v>
      </x:c>
    </x:row>
    <x:row r="1811">
      <x:c r="A1811" s="6" t="n">
        <x:v>1990</x:v>
      </x:c>
      <x:c r="B1811" s="6" t="n">
        <x:v>1974</x:v>
      </x:c>
      <x:c r="C1811" s="6" t="str">
        <x:v>PhD</x:v>
      </x:c>
      <x:c r="D1811" s="6" t="str">
        <x:v>Single</x:v>
      </x:c>
      <x:c r="E1811" s="6" t="n">
        <x:v>63159</x:v>
      </x:c>
      <x:c r="F1811" s="6" t="n">
        <x:v>0</x:v>
      </x:c>
      <x:c r="G1811" s="6" t="n">
        <x:v>0</x:v>
      </x:c>
      <x:c r="H1811" s="9" t="str">
        <x:v>05-11-2012</x:v>
      </x:c>
      <x:c r="I1811" s="6" t="n">
        <x:v>74</x:v>
      </x:c>
      <x:c r="J1811" s="6" t="n">
        <x:v>965</x:v>
      </x:c>
      <x:c r="K1811" s="6" t="n">
        <x:v>34</x:v>
      </x:c>
      <x:c r="L1811" s="6" t="n">
        <x:v>586</x:v>
      </x:c>
      <x:c r="M1811" s="6" t="n">
        <x:v>89</x:v>
      </x:c>
      <x:c r="N1811" s="6" t="n">
        <x:v>86</x:v>
      </x:c>
      <x:c r="O1811" s="6" t="n">
        <x:v>37</x:v>
      </x:c>
      <x:c r="P1811" s="6" t="n">
        <x:v>1</x:v>
      </x:c>
      <x:c r="Q1811" s="6" t="n">
        <x:v>3</x:v>
      </x:c>
      <x:c r="R1811" s="6" t="n">
        <x:v>5</x:v>
      </x:c>
      <x:c r="S1811" s="6" t="n">
        <x:v>8</x:v>
      </x:c>
      <x:c r="T1811" s="6" t="n">
        <x:v>3</x:v>
      </x:c>
      <x:c r="U1811" s="6" t="n">
        <x:v>1</x:v>
      </x:c>
      <x:c r="V1811" s="6" t="n">
        <x:v>0</x:v>
      </x:c>
      <x:c r="W1811" s="6" t="n">
        <x:v>0</x:v>
      </x:c>
      <x:c r="X1811" s="6" t="n">
        <x:v>0</x:v>
      </x:c>
      <x:c r="Y1811" s="6" t="n">
        <x:v>0</x:v>
      </x:c>
      <x:c r="Z1811" s="6" t="n">
        <x:v>0</x:v>
      </x:c>
      <x:c r="AA1811" s="6" t="n">
        <x:v>3</x:v>
      </x:c>
      <x:c r="AB1811" s="6" t="n">
        <x:v>11</x:v>
      </x:c>
      <x:c r="AC1811" s="6" t="n">
        <x:v>0</x:v>
      </x:c>
    </x:row>
    <x:row r="1812">
      <x:c r="A1812" s="6" t="n">
        <x:v>5513</x:v>
      </x:c>
      <x:c r="B1812" s="6" t="n">
        <x:v>1966</x:v>
      </x:c>
      <x:c r="C1812" s="6" t="str">
        <x:v>Graduation</x:v>
      </x:c>
      <x:c r="D1812" s="6" t="str">
        <x:v>Together</x:v>
      </x:c>
      <x:c r="E1812" s="6" t="n">
        <x:v>37758</x:v>
      </x:c>
      <x:c r="F1812" s="6" t="n">
        <x:v>1</x:v>
      </x:c>
      <x:c r="G1812" s="6" t="n">
        <x:v>1</x:v>
      </x:c>
      <x:c r="H1812" s="9" t="str">
        <x:v>04-10-2012</x:v>
      </x:c>
      <x:c r="I1812" s="6" t="n">
        <x:v>49</x:v>
      </x:c>
      <x:c r="J1812" s="6" t="n">
        <x:v>27</x:v>
      </x:c>
      <x:c r="K1812" s="6" t="n">
        <x:v>2</x:v>
      </x:c>
      <x:c r="L1812" s="6" t="n">
        <x:v>10</x:v>
      </x:c>
      <x:c r="M1812" s="6" t="n">
        <x:v>0</x:v>
      </x:c>
      <x:c r="N1812" s="6" t="n">
        <x:v>0</x:v>
      </x:c>
      <x:c r="O1812" s="6" t="n">
        <x:v>1</x:v>
      </x:c>
      <x:c r="P1812" s="6" t="n">
        <x:v>2</x:v>
      </x:c>
      <x:c r="Q1812" s="6" t="n">
        <x:v>1</x:v>
      </x:c>
      <x:c r="R1812" s="6" t="n">
        <x:v>0</x:v>
      </x:c>
      <x:c r="S1812" s="6" t="n">
        <x:v>3</x:v>
      </x:c>
      <x:c r="T1812" s="6" t="n">
        <x:v>8</x:v>
      </x:c>
      <x:c r="U1812" s="6" t="n">
        <x:v>0</x:v>
      </x:c>
      <x:c r="V1812" s="6" t="n">
        <x:v>0</x:v>
      </x:c>
      <x:c r="W1812" s="6" t="n">
        <x:v>0</x:v>
      </x:c>
      <x:c r="X1812" s="6" t="n">
        <x:v>0</x:v>
      </x:c>
      <x:c r="Y1812" s="6" t="n">
        <x:v>0</x:v>
      </x:c>
      <x:c r="Z1812" s="6" t="n">
        <x:v>0</x:v>
      </x:c>
      <x:c r="AA1812" s="6" t="n">
        <x:v>3</x:v>
      </x:c>
      <x:c r="AB1812" s="6" t="n">
        <x:v>11</x:v>
      </x:c>
      <x:c r="AC1812" s="6" t="n">
        <x:v>0</x:v>
      </x:c>
    </x:row>
    <x:row r="1813">
      <x:c r="A1813" s="6" t="n">
        <x:v>269</x:v>
      </x:c>
      <x:c r="B1813" s="6" t="n">
        <x:v>1963</x:v>
      </x:c>
      <x:c r="C1813" s="6" t="str">
        <x:v>PhD</x:v>
      </x:c>
      <x:c r="D1813" s="6" t="str">
        <x:v>Single</x:v>
      </x:c>
      <x:c r="E1813" s="6" t="n">
        <x:v>46757</x:v>
      </x:c>
      <x:c r="F1813" s="6" t="n">
        <x:v>0</x:v>
      </x:c>
      <x:c r="G1813" s="6" t="n">
        <x:v>1</x:v>
      </x:c>
      <x:c r="H1813" s="9" t="str">
        <x:v>16-11-2012</x:v>
      </x:c>
      <x:c r="I1813" s="6" t="n">
        <x:v>71</x:v>
      </x:c>
      <x:c r="J1813" s="6" t="n">
        <x:v>777</x:v>
      </x:c>
      <x:c r="K1813" s="6" t="n">
        <x:v>30</x:v>
      </x:c>
      <x:c r="L1813" s="6" t="n">
        <x:v>163</x:v>
      </x:c>
      <x:c r="M1813" s="6" t="n">
        <x:v>0</x:v>
      </x:c>
      <x:c r="N1813" s="6" t="n">
        <x:v>51</x:v>
      </x:c>
      <x:c r="O1813" s="6" t="n">
        <x:v>122</x:v>
      </x:c>
      <x:c r="P1813" s="6" t="n">
        <x:v>6</x:v>
      </x:c>
      <x:c r="Q1813" s="6" t="n">
        <x:v>4</x:v>
      </x:c>
      <x:c r="R1813" s="6" t="n">
        <x:v>4</x:v>
      </x:c>
      <x:c r="S1813" s="6" t="n">
        <x:v>7</x:v>
      </x:c>
      <x:c r="T1813" s="6" t="n">
        <x:v>9</x:v>
      </x:c>
      <x:c r="U1813" s="6" t="n">
        <x:v>0</x:v>
      </x:c>
      <x:c r="V1813" s="6" t="n">
        <x:v>0</x:v>
      </x:c>
      <x:c r="W1813" s="6" t="n">
        <x:v>0</x:v>
      </x:c>
      <x:c r="X1813" s="6" t="n">
        <x:v>0</x:v>
      </x:c>
      <x:c r="Y1813" s="6" t="n">
        <x:v>0</x:v>
      </x:c>
      <x:c r="Z1813" s="6" t="n">
        <x:v>0</x:v>
      </x:c>
      <x:c r="AA1813" s="6" t="n">
        <x:v>3</x:v>
      </x:c>
      <x:c r="AB1813" s="6" t="n">
        <x:v>11</x:v>
      </x:c>
      <x:c r="AC1813" s="6" t="n">
        <x:v>0</x:v>
      </x:c>
    </x:row>
    <x:row r="1814">
      <x:c r="A1814" s="6" t="n">
        <x:v>8093</x:v>
      </x:c>
      <x:c r="B1814" s="6" t="n">
        <x:v>1969</x:v>
      </x:c>
      <x:c r="C1814" s="6" t="str">
        <x:v>Master</x:v>
      </x:c>
      <x:c r="D1814" s="6" t="str">
        <x:v>Married</x:v>
      </x:c>
      <x:c r="E1814" s="6" t="n">
        <x:v>79734</x:v>
      </x:c>
      <x:c r="F1814" s="6" t="n">
        <x:v>0</x:v>
      </x:c>
      <x:c r="G1814" s="6" t="n">
        <x:v>0</x:v>
      </x:c>
      <x:c r="H1814" s="9" t="str">
        <x:v>28-06-2014</x:v>
      </x:c>
      <x:c r="I1814" s="6" t="n">
        <x:v>72</x:v>
      </x:c>
      <x:c r="J1814" s="6" t="n">
        <x:v>572</x:v>
      </x:c>
      <x:c r="K1814" s="6" t="n">
        <x:v>8</x:v>
      </x:c>
      <x:c r="L1814" s="6" t="n">
        <x:v>232</x:v>
      </x:c>
      <x:c r="M1814" s="6" t="n">
        <x:v>23</x:v>
      </x:c>
      <x:c r="N1814" s="6" t="n">
        <x:v>62</x:v>
      </x:c>
      <x:c r="O1814" s="6" t="n">
        <x:v>17</x:v>
      </x:c>
      <x:c r="P1814" s="6" t="n">
        <x:v>1</x:v>
      </x:c>
      <x:c r="Q1814" s="6" t="n">
        <x:v>4</x:v>
      </x:c>
      <x:c r="R1814" s="6" t="n">
        <x:v>3</x:v>
      </x:c>
      <x:c r="S1814" s="6" t="n">
        <x:v>6</x:v>
      </x:c>
      <x:c r="T1814" s="6" t="n">
        <x:v>1</x:v>
      </x:c>
      <x:c r="U1814" s="6" t="n">
        <x:v>0</x:v>
      </x:c>
      <x:c r="V1814" s="6" t="n">
        <x:v>0</x:v>
      </x:c>
      <x:c r="W1814" s="6" t="n">
        <x:v>0</x:v>
      </x:c>
      <x:c r="X1814" s="6" t="n">
        <x:v>1</x:v>
      </x:c>
      <x:c r="Y1814" s="6" t="n">
        <x:v>0</x:v>
      </x:c>
      <x:c r="Z1814" s="6" t="n">
        <x:v>0</x:v>
      </x:c>
      <x:c r="AA1814" s="6" t="n">
        <x:v>3</x:v>
      </x:c>
      <x:c r="AB1814" s="6" t="n">
        <x:v>11</x:v>
      </x:c>
      <x:c r="AC1814" s="6" t="n">
        <x:v>0</x:v>
      </x:c>
    </x:row>
    <x:row r="1815">
      <x:c r="A1815" s="6" t="n">
        <x:v>10513</x:v>
      </x:c>
      <x:c r="B1815" s="6" t="n">
        <x:v>1992</x:v>
      </x:c>
      <x:c r="C1815" s="6" t="str">
        <x:v>Graduation</x:v>
      </x:c>
      <x:c r="D1815" s="6" t="str">
        <x:v>Together</x:v>
      </x:c>
      <x:c r="E1815" s="6" t="n">
        <x:v>63207</x:v>
      </x:c>
      <x:c r="F1815" s="6" t="n">
        <x:v>0</x:v>
      </x:c>
      <x:c r="G1815" s="6" t="n">
        <x:v>0</x:v>
      </x:c>
      <x:c r="H1815" s="9" t="str">
        <x:v>20-01-2013</x:v>
      </x:c>
      <x:c r="I1815" s="6" t="n">
        <x:v>68</x:v>
      </x:c>
      <x:c r="J1815" s="6" t="n">
        <x:v>438</x:v>
      </x:c>
      <x:c r="K1815" s="6" t="n">
        <x:v>169</x:v>
      </x:c>
      <x:c r="L1815" s="6" t="n">
        <x:v>565</x:v>
      </x:c>
      <x:c r="M1815" s="6" t="n">
        <x:v>91</x:v>
      </x:c>
      <x:c r="N1815" s="6" t="n">
        <x:v>169</x:v>
      </x:c>
      <x:c r="O1815" s="6" t="n">
        <x:v>70</x:v>
      </x:c>
      <x:c r="P1815" s="6" t="n">
        <x:v>1</x:v>
      </x:c>
      <x:c r="Q1815" s="6" t="n">
        <x:v>2</x:v>
      </x:c>
      <x:c r="R1815" s="6" t="n">
        <x:v>3</x:v>
      </x:c>
      <x:c r="S1815" s="6" t="n">
        <x:v>6</x:v>
      </x:c>
      <x:c r="T1815" s="6" t="n">
        <x:v>7</x:v>
      </x:c>
      <x:c r="U1815" s="6" t="n">
        <x:v>0</x:v>
      </x:c>
      <x:c r="V1815" s="6" t="n">
        <x:v>0</x:v>
      </x:c>
      <x:c r="W1815" s="6" t="n">
        <x:v>0</x:v>
      </x:c>
      <x:c r="X1815" s="6" t="n">
        <x:v>1</x:v>
      </x:c>
      <x:c r="Y1815" s="6" t="n">
        <x:v>0</x:v>
      </x:c>
      <x:c r="Z1815" s="6" t="n">
        <x:v>0</x:v>
      </x:c>
      <x:c r="AA1815" s="6" t="n">
        <x:v>3</x:v>
      </x:c>
      <x:c r="AB1815" s="6" t="n">
        <x:v>11</x:v>
      </x:c>
      <x:c r="AC1815" s="6" t="n">
        <x:v>0</x:v>
      </x:c>
    </x:row>
    <x:row r="1816">
      <x:c r="A1816" s="6" t="n">
        <x:v>10177</x:v>
      </x:c>
      <x:c r="B1816" s="6" t="n">
        <x:v>1954</x:v>
      </x:c>
      <x:c r="C1816" s="6" t="str">
        <x:v>Graduation</x:v>
      </x:c>
      <x:c r="D1816" s="6" t="str">
        <x:v>Divorced</x:v>
      </x:c>
      <x:c r="E1816" s="6" t="n">
        <x:v>72071</x:v>
      </x:c>
      <x:c r="F1816" s="6" t="n">
        <x:v>0</x:v>
      </x:c>
      <x:c r="G1816" s="6" t="n">
        <x:v>1</x:v>
      </x:c>
      <x:c r="H1816" s="9" t="str">
        <x:v>14-02-2013</x:v>
      </x:c>
      <x:c r="I1816" s="6" t="n">
        <x:v>4</x:v>
      </x:c>
      <x:c r="J1816" s="6" t="n">
        <x:v>531</x:v>
      </x:c>
      <x:c r="K1816" s="6" t="n">
        <x:v>69</x:v>
      </x:c>
      <x:c r="L1816" s="6" t="n">
        <x:v>300</x:v>
      </x:c>
      <x:c r="M1816" s="6" t="n">
        <x:v>150</x:v>
      </x:c>
      <x:c r="N1816" s="6" t="n">
        <x:v>138</x:v>
      </x:c>
      <x:c r="O1816" s="6" t="n">
        <x:v>150</x:v>
      </x:c>
      <x:c r="P1816" s="6" t="n">
        <x:v>3</x:v>
      </x:c>
      <x:c r="Q1816" s="6" t="n">
        <x:v>5</x:v>
      </x:c>
      <x:c r="R1816" s="6" t="n">
        <x:v>4</x:v>
      </x:c>
      <x:c r="S1816" s="6" t="n">
        <x:v>8</x:v>
      </x:c>
      <x:c r="T1816" s="6" t="n">
        <x:v>2</x:v>
      </x:c>
      <x:c r="U1816" s="6" t="n">
        <x:v>0</x:v>
      </x:c>
      <x:c r="V1816" s="6" t="n">
        <x:v>0</x:v>
      </x:c>
      <x:c r="W1816" s="6" t="n">
        <x:v>0</x:v>
      </x:c>
      <x:c r="X1816" s="6" t="n">
        <x:v>0</x:v>
      </x:c>
      <x:c r="Y1816" s="6" t="n">
        <x:v>0</x:v>
      </x:c>
      <x:c r="Z1816" s="6" t="n">
        <x:v>0</x:v>
      </x:c>
      <x:c r="AA1816" s="6" t="n">
        <x:v>3</x:v>
      </x:c>
      <x:c r="AB1816" s="6" t="n">
        <x:v>11</x:v>
      </x:c>
      <x:c r="AC1816" s="6" t="n">
        <x:v>0</x:v>
      </x:c>
    </x:row>
    <x:row r="1817">
      <x:c r="A1817" s="6" t="n">
        <x:v>2549</x:v>
      </x:c>
      <x:c r="B1817" s="6" t="n">
        <x:v>1983</x:v>
      </x:c>
      <x:c r="C1817" s="6" t="str">
        <x:v>PhD</x:v>
      </x:c>
      <x:c r="D1817" s="6" t="str">
        <x:v>Together</x:v>
      </x:c>
      <x:c r="E1817" s="6" t="n">
        <x:v>21840</x:v>
      </x:c>
      <x:c r="F1817" s="6" t="n">
        <x:v>1</x:v>
      </x:c>
      <x:c r="G1817" s="6" t="n">
        <x:v>0</x:v>
      </x:c>
      <x:c r="H1817" s="9" t="str">
        <x:v>21-07-2013</x:v>
      </x:c>
      <x:c r="I1817" s="6" t="n">
        <x:v>80</x:v>
      </x:c>
      <x:c r="J1817" s="6" t="n">
        <x:v>17</x:v>
      </x:c>
      <x:c r="K1817" s="6" t="n">
        <x:v>0</x:v>
      </x:c>
      <x:c r="L1817" s="6" t="n">
        <x:v>9</x:v>
      </x:c>
      <x:c r="M1817" s="6" t="n">
        <x:v>0</x:v>
      </x:c>
      <x:c r="N1817" s="6" t="n">
        <x:v>0</x:v>
      </x:c>
      <x:c r="O1817" s="6" t="n">
        <x:v>1</x:v>
      </x:c>
      <x:c r="P1817" s="6" t="n">
        <x:v>1</x:v>
      </x:c>
      <x:c r="Q1817" s="6" t="n">
        <x:v>1</x:v>
      </x:c>
      <x:c r="R1817" s="6" t="n">
        <x:v>0</x:v>
      </x:c>
      <x:c r="S1817" s="6" t="n">
        <x:v>3</x:v>
      </x:c>
      <x:c r="T1817" s="6" t="n">
        <x:v>9</x:v>
      </x:c>
      <x:c r="U1817" s="6" t="n">
        <x:v>0</x:v>
      </x:c>
      <x:c r="V1817" s="6" t="n">
        <x:v>0</x:v>
      </x:c>
      <x:c r="W1817" s="6" t="n">
        <x:v>0</x:v>
      </x:c>
      <x:c r="X1817" s="6" t="n">
        <x:v>0</x:v>
      </x:c>
      <x:c r="Y1817" s="6" t="n">
        <x:v>0</x:v>
      </x:c>
      <x:c r="Z1817" s="6" t="n">
        <x:v>0</x:v>
      </x:c>
      <x:c r="AA1817" s="6" t="n">
        <x:v>3</x:v>
      </x:c>
      <x:c r="AB1817" s="6" t="n">
        <x:v>11</x:v>
      </x:c>
      <x:c r="AC1817" s="6" t="n">
        <x:v>0</x:v>
      </x:c>
    </x:row>
    <x:row r="1818">
      <x:c r="A1818" s="6" t="n">
        <x:v>5782</x:v>
      </x:c>
      <x:c r="B1818" s="6" t="n">
        <x:v>1982</x:v>
      </x:c>
      <x:c r="C1818" s="6" t="str">
        <x:v>2n Cycle</x:v>
      </x:c>
      <x:c r="D1818" s="6" t="str">
        <x:v>Together</x:v>
      </x:c>
      <x:c r="E1818" s="6" t="n">
        <x:v>58582</x:v>
      </x:c>
      <x:c r="F1818" s="6" t="n">
        <x:v>0</x:v>
      </x:c>
      <x:c r="G1818" s="6" t="n">
        <x:v>1</x:v>
      </x:c>
      <x:c r="H1818" s="9" t="str">
        <x:v>28-09-2013</x:v>
      </x:c>
      <x:c r="I1818" s="6" t="n">
        <x:v>15</x:v>
      </x:c>
      <x:c r="J1818" s="6" t="n">
        <x:v>402</x:v>
      </x:c>
      <x:c r="K1818" s="6" t="n">
        <x:v>35</x:v>
      </x:c>
      <x:c r="L1818" s="6" t="n">
        <x:v>106</x:v>
      </x:c>
      <x:c r="M1818" s="6" t="n">
        <x:v>101</x:v>
      </x:c>
      <x:c r="N1818" s="6" t="n">
        <x:v>77</x:v>
      </x:c>
      <x:c r="O1818" s="6" t="n">
        <x:v>42</x:v>
      </x:c>
      <x:c r="P1818" s="6" t="n">
        <x:v>2</x:v>
      </x:c>
      <x:c r="Q1818" s="6" t="n">
        <x:v>9</x:v>
      </x:c>
      <x:c r="R1818" s="6" t="n">
        <x:v>2</x:v>
      </x:c>
      <x:c r="S1818" s="6" t="n">
        <x:v>9</x:v>
      </x:c>
      <x:c r="T1818" s="6" t="n">
        <x:v>5</x:v>
      </x:c>
      <x:c r="U1818" s="6" t="n">
        <x:v>0</x:v>
      </x:c>
      <x:c r="V1818" s="6" t="n">
        <x:v>1</x:v>
      </x:c>
      <x:c r="W1818" s="6" t="n">
        <x:v>0</x:v>
      </x:c>
      <x:c r="X1818" s="6" t="n">
        <x:v>0</x:v>
      </x:c>
      <x:c r="Y1818" s="6" t="n">
        <x:v>0</x:v>
      </x:c>
      <x:c r="Z1818" s="6" t="n">
        <x:v>0</x:v>
      </x:c>
      <x:c r="AA1818" s="6" t="n">
        <x:v>3</x:v>
      </x:c>
      <x:c r="AB1818" s="6" t="n">
        <x:v>11</x:v>
      </x:c>
      <x:c r="AC1818" s="6" t="n">
        <x:v>0</x:v>
      </x:c>
    </x:row>
    <x:row r="1819">
      <x:c r="A1819" s="6" t="n">
        <x:v>10057</x:v>
      </x:c>
      <x:c r="B1819" s="6" t="n">
        <x:v>1951</x:v>
      </x:c>
      <x:c r="C1819" s="6" t="str">
        <x:v>Graduation</x:v>
      </x:c>
      <x:c r="D1819" s="6" t="str">
        <x:v>Single</x:v>
      </x:c>
      <x:c r="E1819" s="6" t="n">
        <x:v>72282</x:v>
      </x:c>
      <x:c r="F1819" s="6" t="n">
        <x:v>0</x:v>
      </x:c>
      <x:c r="G1819" s="6" t="n">
        <x:v>0</x:v>
      </x:c>
      <x:c r="H1819" s="9" t="str">
        <x:v>19-07-2013</x:v>
      </x:c>
      <x:c r="I1819" s="6" t="n">
        <x:v>70</x:v>
      </x:c>
      <x:c r="J1819" s="6" t="n">
        <x:v>503</x:v>
      </x:c>
      <x:c r="K1819" s="6" t="n">
        <x:v>27</x:v>
      </x:c>
      <x:c r="L1819" s="6" t="n">
        <x:v>419</x:v>
      </x:c>
      <x:c r="M1819" s="6" t="n">
        <x:v>90</x:v>
      </x:c>
      <x:c r="N1819" s="6" t="n">
        <x:v>139</x:v>
      </x:c>
      <x:c r="O1819" s="6" t="n">
        <x:v>153</x:v>
      </x:c>
      <x:c r="P1819" s="6" t="n">
        <x:v>1</x:v>
      </x:c>
      <x:c r="Q1819" s="6" t="n">
        <x:v>5</x:v>
      </x:c>
      <x:c r="R1819" s="6" t="n">
        <x:v>7</x:v>
      </x:c>
      <x:c r="S1819" s="6" t="n">
        <x:v>9</x:v>
      </x:c>
      <x:c r="T1819" s="6" t="n">
        <x:v>7</x:v>
      </x:c>
      <x:c r="U1819" s="6" t="n">
        <x:v>0</x:v>
      </x:c>
      <x:c r="V1819" s="6" t="n">
        <x:v>0</x:v>
      </x:c>
      <x:c r="W1819" s="6" t="n">
        <x:v>0</x:v>
      </x:c>
      <x:c r="X1819" s="6" t="n">
        <x:v>0</x:v>
      </x:c>
      <x:c r="Y1819" s="6" t="n">
        <x:v>0</x:v>
      </x:c>
      <x:c r="Z1819" s="6" t="n">
        <x:v>0</x:v>
      </x:c>
      <x:c r="AA1819" s="6" t="n">
        <x:v>3</x:v>
      </x:c>
      <x:c r="AB1819" s="6" t="n">
        <x:v>11</x:v>
      </x:c>
      <x:c r="AC1819" s="6" t="n">
        <x:v>1</x:v>
      </x:c>
    </x:row>
    <x:row r="1820">
      <x:c r="A1820" s="6" t="n">
        <x:v>10307</x:v>
      </x:c>
      <x:c r="B1820" s="6" t="n">
        <x:v>1956</x:v>
      </x:c>
      <x:c r="C1820" s="6" t="str">
        <x:v>Graduation</x:v>
      </x:c>
      <x:c r="D1820" s="6" t="str">
        <x:v>Married</x:v>
      </x:c>
      <x:c r="E1820" s="6" t="n">
        <x:v>50387</x:v>
      </x:c>
      <x:c r="F1820" s="6" t="n">
        <x:v>0</x:v>
      </x:c>
      <x:c r="G1820" s="6" t="n">
        <x:v>2</x:v>
      </x:c>
      <x:c r="H1820" s="9" t="str">
        <x:v>31-08-2013</x:v>
      </x:c>
      <x:c r="I1820" s="6" t="n">
        <x:v>91</x:v>
      </x:c>
      <x:c r="J1820" s="6" t="n">
        <x:v>369</x:v>
      </x:c>
      <x:c r="K1820" s="6" t="n">
        <x:v>9</x:v>
      </x:c>
      <x:c r="L1820" s="6" t="n">
        <x:v>87</x:v>
      </x:c>
      <x:c r="M1820" s="6" t="n">
        <x:v>12</x:v>
      </x:c>
      <x:c r="N1820" s="6" t="n">
        <x:v>14</x:v>
      </x:c>
      <x:c r="O1820" s="6" t="n">
        <x:v>34</x:v>
      </x:c>
      <x:c r="P1820" s="6" t="n">
        <x:v>3</x:v>
      </x:c>
      <x:c r="Q1820" s="6" t="n">
        <x:v>6</x:v>
      </x:c>
      <x:c r="R1820" s="6" t="n">
        <x:v>2</x:v>
      </x:c>
      <x:c r="S1820" s="6" t="n">
        <x:v>8</x:v>
      </x:c>
      <x:c r="T1820" s="6" t="n">
        <x:v>5</x:v>
      </x:c>
      <x:c r="U1820" s="6" t="n">
        <x:v>0</x:v>
      </x:c>
      <x:c r="V1820" s="6" t="n">
        <x:v>0</x:v>
      </x:c>
      <x:c r="W1820" s="6" t="n">
        <x:v>0</x:v>
      </x:c>
      <x:c r="X1820" s="6" t="n">
        <x:v>0</x:v>
      </x:c>
      <x:c r="Y1820" s="6" t="n">
        <x:v>0</x:v>
      </x:c>
      <x:c r="Z1820" s="6" t="n">
        <x:v>0</x:v>
      </x:c>
      <x:c r="AA1820" s="6" t="n">
        <x:v>3</x:v>
      </x:c>
      <x:c r="AB1820" s="6" t="n">
        <x:v>11</x:v>
      </x:c>
      <x:c r="AC1820" s="6" t="n">
        <x:v>0</x:v>
      </x:c>
    </x:row>
    <x:row r="1821">
      <x:c r="A1821" s="6" t="n">
        <x:v>8566</x:v>
      </x:c>
      <x:c r="B1821" s="6" t="n">
        <x:v>1961</x:v>
      </x:c>
      <x:c r="C1821" s="6" t="str">
        <x:v>PhD</x:v>
      </x:c>
      <x:c r="D1821" s="6" t="str">
        <x:v>Together</x:v>
      </x:c>
      <x:c r="E1821" s="6" t="n">
        <x:v>32583</x:v>
      </x:c>
      <x:c r="F1821" s="6" t="n">
        <x:v>1</x:v>
      </x:c>
      <x:c r="G1821" s="6" t="n">
        <x:v>1</x:v>
      </x:c>
      <x:c r="H1821" s="9" t="str">
        <x:v>15-06-2014</x:v>
      </x:c>
      <x:c r="I1821" s="6" t="n">
        <x:v>10</x:v>
      </x:c>
      <x:c r="J1821" s="6" t="n">
        <x:v>5</x:v>
      </x:c>
      <x:c r="K1821" s="6" t="n">
        <x:v>0</x:v>
      </x:c>
      <x:c r="L1821" s="6" t="n">
        <x:v>3</x:v>
      </x:c>
      <x:c r="M1821" s="6" t="n">
        <x:v>0</x:v>
      </x:c>
      <x:c r="N1821" s="6" t="n">
        <x:v>0</x:v>
      </x:c>
      <x:c r="O1821" s="6" t="n">
        <x:v>1</x:v>
      </x:c>
      <x:c r="P1821" s="6" t="n">
        <x:v>1</x:v>
      </x:c>
      <x:c r="Q1821" s="6" t="n">
        <x:v>1</x:v>
      </x:c>
      <x:c r="R1821" s="6" t="n">
        <x:v>0</x:v>
      </x:c>
      <x:c r="S1821" s="6" t="n">
        <x:v>2</x:v>
      </x:c>
      <x:c r="T1821" s="6" t="n">
        <x:v>7</x:v>
      </x:c>
      <x:c r="U1821" s="6" t="n">
        <x:v>0</x:v>
      </x:c>
      <x:c r="V1821" s="6" t="n">
        <x:v>0</x:v>
      </x:c>
      <x:c r="W1821" s="6" t="n">
        <x:v>0</x:v>
      </x:c>
      <x:c r="X1821" s="6" t="n">
        <x:v>0</x:v>
      </x:c>
      <x:c r="Y1821" s="6" t="n">
        <x:v>0</x:v>
      </x:c>
      <x:c r="Z1821" s="6" t="n">
        <x:v>0</x:v>
      </x:c>
      <x:c r="AA1821" s="6" t="n">
        <x:v>3</x:v>
      </x:c>
      <x:c r="AB1821" s="6" t="n">
        <x:v>11</x:v>
      </x:c>
      <x:c r="AC1821" s="6" t="n">
        <x:v>0</x:v>
      </x:c>
    </x:row>
    <x:row r="1822">
      <x:c r="A1822" s="6" t="n">
        <x:v>2415</x:v>
      </x:c>
      <x:c r="B1822" s="6" t="n">
        <x:v>1962</x:v>
      </x:c>
      <x:c r="C1822" s="6" t="str">
        <x:v>Graduation</x:v>
      </x:c>
      <x:c r="D1822" s="6" t="str">
        <x:v>Together</x:v>
      </x:c>
      <x:c r="E1822" s="6" t="n">
        <x:v>62568</x:v>
      </x:c>
      <x:c r="F1822" s="6" t="n">
        <x:v>0</x:v>
      </x:c>
      <x:c r="G1822" s="6" t="n">
        <x:v>1</x:v>
      </x:c>
      <x:c r="H1822" s="9" t="str">
        <x:v>07-04-2014</x:v>
      </x:c>
      <x:c r="I1822" s="6" t="n">
        <x:v>99</x:v>
      </x:c>
      <x:c r="J1822" s="6" t="n">
        <x:v>362</x:v>
      </x:c>
      <x:c r="K1822" s="6" t="n">
        <x:v>17</x:v>
      </x:c>
      <x:c r="L1822" s="6" t="n">
        <x:v>398</x:v>
      </x:c>
      <x:c r="M1822" s="6" t="n">
        <x:v>80</x:v>
      </x:c>
      <x:c r="N1822" s="6" t="n">
        <x:v>35</x:v>
      </x:c>
      <x:c r="O1822" s="6" t="n">
        <x:v>61</x:v>
      </x:c>
      <x:c r="P1822" s="6" t="n">
        <x:v>3</x:v>
      </x:c>
      <x:c r="Q1822" s="6" t="n">
        <x:v>5</x:v>
      </x:c>
      <x:c r="R1822" s="6" t="n">
        <x:v>3</x:v>
      </x:c>
      <x:c r="S1822" s="6" t="n">
        <x:v>5</x:v>
      </x:c>
      <x:c r="T1822" s="6" t="n">
        <x:v>4</x:v>
      </x:c>
      <x:c r="U1822" s="6" t="n">
        <x:v>0</x:v>
      </x:c>
      <x:c r="V1822" s="6" t="n">
        <x:v>0</x:v>
      </x:c>
      <x:c r="W1822" s="6" t="n">
        <x:v>0</x:v>
      </x:c>
      <x:c r="X1822" s="6" t="n">
        <x:v>1</x:v>
      </x:c>
      <x:c r="Y1822" s="6" t="n">
        <x:v>0</x:v>
      </x:c>
      <x:c r="Z1822" s="6" t="n">
        <x:v>0</x:v>
      </x:c>
      <x:c r="AA1822" s="6" t="n">
        <x:v>3</x:v>
      </x:c>
      <x:c r="AB1822" s="6" t="n">
        <x:v>11</x:v>
      </x:c>
      <x:c r="AC1822" s="6" t="n">
        <x:v>0</x:v>
      </x:c>
    </x:row>
    <x:row r="1823">
      <x:c r="A1823" s="6" t="n">
        <x:v>5684</x:v>
      </x:c>
      <x:c r="B1823" s="6" t="n">
        <x:v>1971</x:v>
      </x:c>
      <x:c r="C1823" s="6" t="str">
        <x:v>Master</x:v>
      </x:c>
      <x:c r="D1823" s="6" t="str">
        <x:v>Divorced</x:v>
      </x:c>
      <x:c r="E1823" s="6" t="n">
        <x:v>44635</x:v>
      </x:c>
      <x:c r="F1823" s="6" t="n">
        <x:v>1</x:v>
      </x:c>
      <x:c r="G1823" s="6" t="n">
        <x:v>1</x:v>
      </x:c>
      <x:c r="H1823" s="9" t="str">
        <x:v>11-10-2013</x:v>
      </x:c>
      <x:c r="I1823" s="6" t="n">
        <x:v>25</x:v>
      </x:c>
      <x:c r="J1823" s="6" t="n">
        <x:v>56</x:v>
      </x:c>
      <x:c r="K1823" s="6" t="n">
        <x:v>0</x:v>
      </x:c>
      <x:c r="L1823" s="6" t="n">
        <x:v>9</x:v>
      </x:c>
      <x:c r="M1823" s="6" t="n">
        <x:v>0</x:v>
      </x:c>
      <x:c r="N1823" s="6" t="n">
        <x:v>0</x:v>
      </x:c>
      <x:c r="O1823" s="6" t="n">
        <x:v>3</x:v>
      </x:c>
      <x:c r="P1823" s="6" t="n">
        <x:v>2</x:v>
      </x:c>
      <x:c r="Q1823" s="6" t="n">
        <x:v>2</x:v>
      </x:c>
      <x:c r="R1823" s="6" t="n">
        <x:v>0</x:v>
      </x:c>
      <x:c r="S1823" s="6" t="n">
        <x:v>3</x:v>
      </x:c>
      <x:c r="T1823" s="6" t="n">
        <x:v>7</x:v>
      </x:c>
      <x:c r="U1823" s="6" t="n">
        <x:v>0</x:v>
      </x:c>
      <x:c r="V1823" s="6" t="n">
        <x:v>0</x:v>
      </x:c>
      <x:c r="W1823" s="6" t="n">
        <x:v>0</x:v>
      </x:c>
      <x:c r="X1823" s="6" t="n">
        <x:v>0</x:v>
      </x:c>
      <x:c r="Y1823" s="6" t="n">
        <x:v>0</x:v>
      </x:c>
      <x:c r="Z1823" s="6" t="n">
        <x:v>0</x:v>
      </x:c>
      <x:c r="AA1823" s="6" t="n">
        <x:v>3</x:v>
      </x:c>
      <x:c r="AB1823" s="6" t="n">
        <x:v>11</x:v>
      </x:c>
      <x:c r="AC1823" s="6" t="n">
        <x:v>0</x:v>
      </x:c>
    </x:row>
    <x:row r="1824">
      <x:c r="A1824" s="6" t="n">
        <x:v>8334</x:v>
      </x:c>
      <x:c r="B1824" s="6" t="n">
        <x:v>1971</x:v>
      </x:c>
      <x:c r="C1824" s="6" t="str">
        <x:v>Master</x:v>
      </x:c>
      <x:c r="D1824" s="6" t="str">
        <x:v>Single</x:v>
      </x:c>
      <x:c r="E1824" s="6" t="n">
        <x:v>33316</x:v>
      </x:c>
      <x:c r="F1824" s="6" t="n">
        <x:v>1</x:v>
      </x:c>
      <x:c r="G1824" s="6" t="n">
        <x:v>1</x:v>
      </x:c>
      <x:c r="H1824" s="9" t="str">
        <x:v>04-10-2013</x:v>
      </x:c>
      <x:c r="I1824" s="6" t="n">
        <x:v>34</x:v>
      </x:c>
      <x:c r="J1824" s="6" t="n">
        <x:v>79</x:v>
      </x:c>
      <x:c r="K1824" s="6" t="n">
        <x:v>1</x:v>
      </x:c>
      <x:c r="L1824" s="6" t="n">
        <x:v>31</x:v>
      </x:c>
      <x:c r="M1824" s="6" t="n">
        <x:v>4</x:v>
      </x:c>
      <x:c r="N1824" s="6" t="n">
        <x:v>4</x:v>
      </x:c>
      <x:c r="O1824" s="6" t="n">
        <x:v>12</x:v>
      </x:c>
      <x:c r="P1824" s="6" t="n">
        <x:v>3</x:v>
      </x:c>
      <x:c r="Q1824" s="6" t="n">
        <x:v>2</x:v>
      </x:c>
      <x:c r="R1824" s="6" t="n">
        <x:v>1</x:v>
      </x:c>
      <x:c r="S1824" s="6" t="n">
        <x:v>4</x:v>
      </x:c>
      <x:c r="T1824" s="6" t="n">
        <x:v>6</x:v>
      </x:c>
      <x:c r="U1824" s="6" t="n">
        <x:v>0</x:v>
      </x:c>
      <x:c r="V1824" s="6" t="n">
        <x:v>0</x:v>
      </x:c>
      <x:c r="W1824" s="6" t="n">
        <x:v>0</x:v>
      </x:c>
      <x:c r="X1824" s="6" t="n">
        <x:v>0</x:v>
      </x:c>
      <x:c r="Y1824" s="6" t="n">
        <x:v>0</x:v>
      </x:c>
      <x:c r="Z1824" s="6" t="n">
        <x:v>0</x:v>
      </x:c>
      <x:c r="AA1824" s="6" t="n">
        <x:v>3</x:v>
      </x:c>
      <x:c r="AB1824" s="6" t="n">
        <x:v>11</x:v>
      </x:c>
      <x:c r="AC1824" s="6" t="n">
        <x:v>0</x:v>
      </x:c>
    </x:row>
    <x:row r="1825">
      <x:c r="A1825" s="6" t="n">
        <x:v>9166</x:v>
      </x:c>
      <x:c r="B1825" s="6" t="n">
        <x:v>1968</x:v>
      </x:c>
      <x:c r="C1825" s="6" t="str">
        <x:v>Graduation</x:v>
      </x:c>
      <x:c r="D1825" s="6" t="str">
        <x:v>Married</x:v>
      </x:c>
      <x:c r="E1825" s="6" t="n">
        <x:v>63967</x:v>
      </x:c>
      <x:c r="F1825" s="6" t="n">
        <x:v>0</x:v>
      </x:c>
      <x:c r="G1825" s="6" t="n">
        <x:v>1</x:v>
      </x:c>
      <x:c r="H1825" s="9" t="str">
        <x:v>09-08-2013</x:v>
      </x:c>
      <x:c r="I1825" s="6" t="n">
        <x:v>57</x:v>
      </x:c>
      <x:c r="J1825" s="6" t="n">
        <x:v>387</x:v>
      </x:c>
      <x:c r="K1825" s="6" t="n">
        <x:v>84</x:v>
      </x:c>
      <x:c r="L1825" s="6" t="n">
        <x:v>141</x:v>
      </x:c>
      <x:c r="M1825" s="6" t="n">
        <x:v>73</x:v>
      </x:c>
      <x:c r="N1825" s="6" t="n">
        <x:v>35</x:v>
      </x:c>
      <x:c r="O1825" s="6" t="n">
        <x:v>162</x:v>
      </x:c>
      <x:c r="P1825" s="6" t="n">
        <x:v>3</x:v>
      </x:c>
      <x:c r="Q1825" s="6" t="n">
        <x:v>4</x:v>
      </x:c>
      <x:c r="R1825" s="6" t="n">
        <x:v>4</x:v>
      </x:c>
      <x:c r="S1825" s="6" t="n">
        <x:v>12</x:v>
      </x:c>
      <x:c r="T1825" s="6" t="n">
        <x:v>2</x:v>
      </x:c>
      <x:c r="U1825" s="6" t="n">
        <x:v>0</x:v>
      </x:c>
      <x:c r="V1825" s="6" t="n">
        <x:v>0</x:v>
      </x:c>
      <x:c r="W1825" s="6" t="n">
        <x:v>0</x:v>
      </x:c>
      <x:c r="X1825" s="6" t="n">
        <x:v>0</x:v>
      </x:c>
      <x:c r="Y1825" s="6" t="n">
        <x:v>0</x:v>
      </x:c>
      <x:c r="Z1825" s="6" t="n">
        <x:v>0</x:v>
      </x:c>
      <x:c r="AA1825" s="6" t="n">
        <x:v>3</x:v>
      </x:c>
      <x:c r="AB1825" s="6" t="n">
        <x:v>11</x:v>
      </x:c>
      <x:c r="AC1825" s="6" t="n">
        <x:v>0</x:v>
      </x:c>
    </x:row>
    <x:row r="1826">
      <x:c r="A1826" s="6" t="n">
        <x:v>1440</x:v>
      </x:c>
      <x:c r="B1826" s="6" t="n">
        <x:v>1978</x:v>
      </x:c>
      <x:c r="C1826" s="6" t="str">
        <x:v>2n Cycle</x:v>
      </x:c>
      <x:c r="D1826" s="6" t="str">
        <x:v>Together</x:v>
      </x:c>
      <x:c r="E1826" s="6" t="n">
        <x:v>52513</x:v>
      </x:c>
      <x:c r="F1826" s="6" t="n">
        <x:v>0</x:v>
      </x:c>
      <x:c r="G1826" s="6" t="n">
        <x:v>0</x:v>
      </x:c>
      <x:c r="H1826" s="9" t="str">
        <x:v>04-09-2012</x:v>
      </x:c>
      <x:c r="I1826" s="6" t="n">
        <x:v>84</x:v>
      </x:c>
      <x:c r="J1826" s="6" t="n">
        <x:v>367</x:v>
      </x:c>
      <x:c r="K1826" s="6" t="n">
        <x:v>17</x:v>
      </x:c>
      <x:c r="L1826" s="6" t="n">
        <x:v>241</x:v>
      </x:c>
      <x:c r="M1826" s="6" t="n">
        <x:v>104</x:v>
      </x:c>
      <x:c r="N1826" s="6" t="n">
        <x:v>188</x:v>
      </x:c>
      <x:c r="O1826" s="6" t="n">
        <x:v>232</x:v>
      </x:c>
      <x:c r="P1826" s="6" t="n">
        <x:v>2</x:v>
      </x:c>
      <x:c r="Q1826" s="6" t="n">
        <x:v>9</x:v>
      </x:c>
      <x:c r="R1826" s="6" t="n">
        <x:v>5</x:v>
      </x:c>
      <x:c r="S1826" s="6" t="n">
        <x:v>9</x:v>
      </x:c>
      <x:c r="T1826" s="6" t="n">
        <x:v>7</x:v>
      </x:c>
      <x:c r="U1826" s="6" t="n">
        <x:v>0</x:v>
      </x:c>
      <x:c r="V1826" s="6" t="n">
        <x:v>0</x:v>
      </x:c>
      <x:c r="W1826" s="6" t="n">
        <x:v>0</x:v>
      </x:c>
      <x:c r="X1826" s="6" t="n">
        <x:v>0</x:v>
      </x:c>
      <x:c r="Y1826" s="6" t="n">
        <x:v>0</x:v>
      </x:c>
      <x:c r="Z1826" s="6" t="n">
        <x:v>0</x:v>
      </x:c>
      <x:c r="AA1826" s="6" t="n">
        <x:v>3</x:v>
      </x:c>
      <x:c r="AB1826" s="6" t="n">
        <x:v>11</x:v>
      </x:c>
      <x:c r="AC1826" s="6" t="n">
        <x:v>0</x:v>
      </x:c>
    </x:row>
    <x:row r="1827">
      <x:c r="A1827" s="6" t="n">
        <x:v>78</x:v>
      </x:c>
      <x:c r="B1827" s="6" t="n">
        <x:v>1969</x:v>
      </x:c>
      <x:c r="C1827" s="6" t="str">
        <x:v>Graduation</x:v>
      </x:c>
      <x:c r="D1827" s="6" t="str">
        <x:v>Married</x:v>
      </x:c>
      <x:c r="E1827" s="6" t="n">
        <x:v>25293</x:v>
      </x:c>
      <x:c r="F1827" s="6" t="n">
        <x:v>1</x:v>
      </x:c>
      <x:c r="G1827" s="6" t="n">
        <x:v>0</x:v>
      </x:c>
      <x:c r="H1827" s="9" t="str">
        <x:v>15-09-2013</x:v>
      </x:c>
      <x:c r="I1827" s="6" t="n">
        <x:v>51</x:v>
      </x:c>
      <x:c r="J1827" s="6" t="n">
        <x:v>15</x:v>
      </x:c>
      <x:c r="K1827" s="6" t="n">
        <x:v>0</x:v>
      </x:c>
      <x:c r="L1827" s="6" t="n">
        <x:v>11</x:v>
      </x:c>
      <x:c r="M1827" s="6" t="n">
        <x:v>0</x:v>
      </x:c>
      <x:c r="N1827" s="6" t="n">
        <x:v>2</x:v>
      </x:c>
      <x:c r="O1827" s="6" t="n">
        <x:v>9</x:v>
      </x:c>
      <x:c r="P1827" s="6" t="n">
        <x:v>1</x:v>
      </x:c>
      <x:c r="Q1827" s="6" t="n">
        <x:v>1</x:v>
      </x:c>
      <x:c r="R1827" s="6" t="n">
        <x:v>1</x:v>
      </x:c>
      <x:c r="S1827" s="6" t="n">
        <x:v>2</x:v>
      </x:c>
      <x:c r="T1827" s="6" t="n">
        <x:v>8</x:v>
      </x:c>
      <x:c r="U1827" s="6" t="n">
        <x:v>0</x:v>
      </x:c>
      <x:c r="V1827" s="6" t="n">
        <x:v>0</x:v>
      </x:c>
      <x:c r="W1827" s="6" t="n">
        <x:v>0</x:v>
      </x:c>
      <x:c r="X1827" s="6" t="n">
        <x:v>0</x:v>
      </x:c>
      <x:c r="Y1827" s="6" t="n">
        <x:v>0</x:v>
      </x:c>
      <x:c r="Z1827" s="6" t="n">
        <x:v>0</x:v>
      </x:c>
      <x:c r="AA1827" s="6" t="n">
        <x:v>3</x:v>
      </x:c>
      <x:c r="AB1827" s="6" t="n">
        <x:v>11</x:v>
      </x:c>
      <x:c r="AC1827" s="6" t="n">
        <x:v>0</x:v>
      </x:c>
    </x:row>
    <x:row r="1828">
      <x:c r="A1828" s="6" t="n">
        <x:v>5441</x:v>
      </x:c>
      <x:c r="B1828" s="6" t="n">
        <x:v>1965</x:v>
      </x:c>
      <x:c r="C1828" s="6" t="str">
        <x:v>PhD</x:v>
      </x:c>
      <x:c r="D1828" s="6" t="str">
        <x:v>Widow</x:v>
      </x:c>
      <x:c r="E1828" s="6" t="n">
        <x:v>54111</x:v>
      </x:c>
      <x:c r="F1828" s="6" t="n">
        <x:v>0</x:v>
      </x:c>
      <x:c r="G1828" s="6" t="n">
        <x:v>1</x:v>
      </x:c>
      <x:c r="H1828" s="9" t="str">
        <x:v>25-08-2013</x:v>
      </x:c>
      <x:c r="I1828" s="6" t="n">
        <x:v>97</x:v>
      </x:c>
      <x:c r="J1828" s="6" t="n">
        <x:v>267</x:v>
      </x:c>
      <x:c r="K1828" s="6" t="n">
        <x:v>6</x:v>
      </x:c>
      <x:c r="L1828" s="6" t="n">
        <x:v>54</x:v>
      </x:c>
      <x:c r="M1828" s="6" t="n">
        <x:v>8</x:v>
      </x:c>
      <x:c r="N1828" s="6" t="n">
        <x:v>3</x:v>
      </x:c>
      <x:c r="O1828" s="6" t="n">
        <x:v>50</x:v>
      </x:c>
      <x:c r="P1828" s="6" t="n">
        <x:v>2</x:v>
      </x:c>
      <x:c r="Q1828" s="6" t="n">
        <x:v>5</x:v>
      </x:c>
      <x:c r="R1828" s="6" t="n">
        <x:v>2</x:v>
      </x:c>
      <x:c r="S1828" s="6" t="n">
        <x:v>6</x:v>
      </x:c>
      <x:c r="T1828" s="6" t="n">
        <x:v>5</x:v>
      </x:c>
      <x:c r="U1828" s="6" t="n">
        <x:v>0</x:v>
      </x:c>
      <x:c r="V1828" s="6" t="n">
        <x:v>0</x:v>
      </x:c>
      <x:c r="W1828" s="6" t="n">
        <x:v>0</x:v>
      </x:c>
      <x:c r="X1828" s="6" t="n">
        <x:v>0</x:v>
      </x:c>
      <x:c r="Y1828" s="6" t="n">
        <x:v>0</x:v>
      </x:c>
      <x:c r="Z1828" s="6" t="n">
        <x:v>0</x:v>
      </x:c>
      <x:c r="AA1828" s="6" t="n">
        <x:v>3</x:v>
      </x:c>
      <x:c r="AB1828" s="6" t="n">
        <x:v>11</x:v>
      </x:c>
      <x:c r="AC1828" s="6" t="n">
        <x:v>0</x:v>
      </x:c>
    </x:row>
    <x:row r="1829">
      <x:c r="A1829" s="6" t="n">
        <x:v>5302</x:v>
      </x:c>
      <x:c r="B1829" s="6" t="n">
        <x:v>1986</x:v>
      </x:c>
      <x:c r="C1829" s="6" t="str">
        <x:v>Graduation</x:v>
      </x:c>
      <x:c r="D1829" s="6" t="str">
        <x:v>Together</x:v>
      </x:c>
      <x:c r="E1829" s="6" t="n">
        <x:v>78394</x:v>
      </x:c>
      <x:c r="F1829" s="6" t="n">
        <x:v>0</x:v>
      </x:c>
      <x:c r="G1829" s="6" t="n">
        <x:v>0</x:v>
      </x:c>
      <x:c r="H1829" s="9" t="str">
        <x:v>15-02-2013</x:v>
      </x:c>
      <x:c r="I1829" s="6" t="n">
        <x:v>13</x:v>
      </x:c>
      <x:c r="J1829" s="6" t="n">
        <x:v>298</x:v>
      </x:c>
      <x:c r="K1829" s="6" t="n">
        <x:v>27</x:v>
      </x:c>
      <x:c r="L1829" s="6" t="n">
        <x:v>697</x:v>
      </x:c>
      <x:c r="M1829" s="6" t="n">
        <x:v>216</x:v>
      </x:c>
      <x:c r="N1829" s="6" t="n">
        <x:v>24</x:v>
      </x:c>
      <x:c r="O1829" s="6" t="n">
        <x:v>166</x:v>
      </x:c>
      <x:c r="P1829" s="6" t="n">
        <x:v>1</x:v>
      </x:c>
      <x:c r="Q1829" s="6" t="n">
        <x:v>4</x:v>
      </x:c>
      <x:c r="R1829" s="6" t="n">
        <x:v>6</x:v>
      </x:c>
      <x:c r="S1829" s="6" t="n">
        <x:v>5</x:v>
      </x:c>
      <x:c r="T1829" s="6" t="n">
        <x:v>2</x:v>
      </x:c>
      <x:c r="U1829" s="6" t="n">
        <x:v>0</x:v>
      </x:c>
      <x:c r="V1829" s="6" t="n">
        <x:v>0</x:v>
      </x:c>
      <x:c r="W1829" s="6" t="n">
        <x:v>0</x:v>
      </x:c>
      <x:c r="X1829" s="6" t="n">
        <x:v>0</x:v>
      </x:c>
      <x:c r="Y1829" s="6" t="n">
        <x:v>0</x:v>
      </x:c>
      <x:c r="Z1829" s="6" t="n">
        <x:v>0</x:v>
      </x:c>
      <x:c r="AA1829" s="6" t="n">
        <x:v>3</x:v>
      </x:c>
      <x:c r="AB1829" s="6" t="n">
        <x:v>11</x:v>
      </x:c>
      <x:c r="AC1829" s="6" t="n">
        <x:v>1</x:v>
      </x:c>
    </x:row>
    <x:row r="1830">
      <x:c r="A1830" s="6" t="n">
        <x:v>4687</x:v>
      </x:c>
      <x:c r="B1830" s="6" t="n">
        <x:v>1958</x:v>
      </x:c>
      <x:c r="C1830" s="6" t="str">
        <x:v>Master</x:v>
      </x:c>
      <x:c r="D1830" s="6" t="str">
        <x:v>Married</x:v>
      </x:c>
      <x:c r="E1830" s="6" t="n">
        <x:v>80739</x:v>
      </x:c>
      <x:c r="F1830" s="6" t="n">
        <x:v>0</x:v>
      </x:c>
      <x:c r="G1830" s="6" t="n">
        <x:v>0</x:v>
      </x:c>
      <x:c r="H1830" s="9" t="str">
        <x:v>23-05-2013</x:v>
      </x:c>
      <x:c r="I1830" s="6" t="n">
        <x:v>92</x:v>
      </x:c>
      <x:c r="J1830" s="6" t="n">
        <x:v>674</x:v>
      </x:c>
      <x:c r="K1830" s="6" t="n">
        <x:v>92</x:v>
      </x:c>
      <x:c r="L1830" s="6" t="n">
        <x:v>736</x:v>
      </x:c>
      <x:c r="M1830" s="6" t="n">
        <x:v>39</x:v>
      </x:c>
      <x:c r="N1830" s="6" t="n">
        <x:v>0</x:v>
      </x:c>
      <x:c r="O1830" s="6" t="n">
        <x:v>92</x:v>
      </x:c>
      <x:c r="P1830" s="6" t="n">
        <x:v>1</x:v>
      </x:c>
      <x:c r="Q1830" s="6" t="n">
        <x:v>3</x:v>
      </x:c>
      <x:c r="R1830" s="6" t="n">
        <x:v>11</x:v>
      </x:c>
      <x:c r="S1830" s="6" t="n">
        <x:v>9</x:v>
      </x:c>
      <x:c r="T1830" s="6" t="n">
        <x:v>1</x:v>
      </x:c>
      <x:c r="U1830" s="6" t="n">
        <x:v>0</x:v>
      </x:c>
      <x:c r="V1830" s="6" t="n">
        <x:v>0</x:v>
      </x:c>
      <x:c r="W1830" s="6" t="n">
        <x:v>0</x:v>
      </x:c>
      <x:c r="X1830" s="6" t="n">
        <x:v>0</x:v>
      </x:c>
      <x:c r="Y1830" s="6" t="n">
        <x:v>0</x:v>
      </x:c>
      <x:c r="Z1830" s="6" t="n">
        <x:v>0</x:v>
      </x:c>
      <x:c r="AA1830" s="6" t="n">
        <x:v>3</x:v>
      </x:c>
      <x:c r="AB1830" s="6" t="n">
        <x:v>11</x:v>
      </x:c>
      <x:c r="AC1830" s="6" t="n">
        <x:v>0</x:v>
      </x:c>
    </x:row>
    <x:row r="1831">
      <x:c r="A1831" s="6" t="n">
        <x:v>1087</x:v>
      </x:c>
      <x:c r="B1831" s="6" t="n">
        <x:v>1975</x:v>
      </x:c>
      <x:c r="C1831" s="6" t="str">
        <x:v>Master</x:v>
      </x:c>
      <x:c r="D1831" s="6" t="str">
        <x:v>Together</x:v>
      </x:c>
      <x:c r="E1831" s="6" t="n">
        <x:v>22669</x:v>
      </x:c>
      <x:c r="F1831" s="6" t="n">
        <x:v>1</x:v>
      </x:c>
      <x:c r="G1831" s="6" t="n">
        <x:v>0</x:v>
      </x:c>
      <x:c r="H1831" s="9" t="str">
        <x:v>22-05-2013</x:v>
      </x:c>
      <x:c r="I1831" s="6" t="n">
        <x:v>30</x:v>
      </x:c>
      <x:c r="J1831" s="6" t="n">
        <x:v>16</x:v>
      </x:c>
      <x:c r="K1831" s="6" t="n">
        <x:v>14</x:v>
      </x:c>
      <x:c r="L1831" s="6" t="n">
        <x:v>36</x:v>
      </x:c>
      <x:c r="M1831" s="6" t="n">
        <x:v>37</x:v>
      </x:c>
      <x:c r="N1831" s="6" t="n">
        <x:v>22</x:v>
      </x:c>
      <x:c r="O1831" s="6" t="n">
        <x:v>48</x:v>
      </x:c>
      <x:c r="P1831" s="6" t="n">
        <x:v>3</x:v>
      </x:c>
      <x:c r="Q1831" s="6" t="n">
        <x:v>4</x:v>
      </x:c>
      <x:c r="R1831" s="6" t="n">
        <x:v>1</x:v>
      </x:c>
      <x:c r="S1831" s="6" t="n">
        <x:v>2</x:v>
      </x:c>
      <x:c r="T1831" s="6" t="n">
        <x:v>9</x:v>
      </x:c>
      <x:c r="U1831" s="6" t="n">
        <x:v>0</x:v>
      </x:c>
      <x:c r="V1831" s="6" t="n">
        <x:v>0</x:v>
      </x:c>
      <x:c r="W1831" s="6" t="n">
        <x:v>0</x:v>
      </x:c>
      <x:c r="X1831" s="6" t="n">
        <x:v>0</x:v>
      </x:c>
      <x:c r="Y1831" s="6" t="n">
        <x:v>0</x:v>
      </x:c>
      <x:c r="Z1831" s="6" t="n">
        <x:v>0</x:v>
      </x:c>
      <x:c r="AA1831" s="6" t="n">
        <x:v>3</x:v>
      </x:c>
      <x:c r="AB1831" s="6" t="n">
        <x:v>11</x:v>
      </x:c>
      <x:c r="AC1831" s="6" t="n">
        <x:v>1</x:v>
      </x:c>
    </x:row>
    <x:row r="1832">
      <x:c r="A1832" s="6" t="n">
        <x:v>6859</x:v>
      </x:c>
      <x:c r="B1832" s="6" t="n">
        <x:v>1987</x:v>
      </x:c>
      <x:c r="C1832" s="6" t="str">
        <x:v>Graduation</x:v>
      </x:c>
      <x:c r="D1832" s="6" t="str">
        <x:v>Single</x:v>
      </x:c>
      <x:c r="E1832" s="6" t="n">
        <x:v>29236</x:v>
      </x:c>
      <x:c r="F1832" s="6" t="n">
        <x:v>1</x:v>
      </x:c>
      <x:c r="G1832" s="6" t="n">
        <x:v>0</x:v>
      </x:c>
      <x:c r="H1832" s="9" t="str">
        <x:v>08-10-2013</x:v>
      </x:c>
      <x:c r="I1832" s="6" t="n">
        <x:v>30</x:v>
      </x:c>
      <x:c r="J1832" s="6" t="n">
        <x:v>37</x:v>
      </x:c>
      <x:c r="K1832" s="6" t="n">
        <x:v>4</x:v>
      </x:c>
      <x:c r="L1832" s="6" t="n">
        <x:v>24</x:v>
      </x:c>
      <x:c r="M1832" s="6" t="n">
        <x:v>16</x:v>
      </x:c>
      <x:c r="N1832" s="6" t="n">
        <x:v>9</x:v>
      </x:c>
      <x:c r="O1832" s="6" t="n">
        <x:v>9</x:v>
      </x:c>
      <x:c r="P1832" s="6" t="n">
        <x:v>2</x:v>
      </x:c>
      <x:c r="Q1832" s="6" t="n">
        <x:v>4</x:v>
      </x:c>
      <x:c r="R1832" s="6" t="n">
        <x:v>0</x:v>
      </x:c>
      <x:c r="S1832" s="6" t="n">
        <x:v>3</x:v>
      </x:c>
      <x:c r="T1832" s="6" t="n">
        <x:v>9</x:v>
      </x:c>
      <x:c r="U1832" s="6" t="n">
        <x:v>0</x:v>
      </x:c>
      <x:c r="V1832" s="6" t="n">
        <x:v>0</x:v>
      </x:c>
      <x:c r="W1832" s="6" t="n">
        <x:v>0</x:v>
      </x:c>
      <x:c r="X1832" s="6" t="n">
        <x:v>0</x:v>
      </x:c>
      <x:c r="Y1832" s="6" t="n">
        <x:v>0</x:v>
      </x:c>
      <x:c r="Z1832" s="6" t="n">
        <x:v>0</x:v>
      </x:c>
      <x:c r="AA1832" s="6" t="n">
        <x:v>3</x:v>
      </x:c>
      <x:c r="AB1832" s="6" t="n">
        <x:v>11</x:v>
      </x:c>
      <x:c r="AC1832" s="6" t="n">
        <x:v>0</x:v>
      </x:c>
    </x:row>
    <x:row r="1833">
      <x:c r="A1833" s="6" t="n">
        <x:v>9860</x:v>
      </x:c>
      <x:c r="B1833" s="6" t="n">
        <x:v>1959</x:v>
      </x:c>
      <x:c r="C1833" s="6" t="str">
        <x:v>Graduation</x:v>
      </x:c>
      <x:c r="D1833" s="6" t="str">
        <x:v>Together</x:v>
      </x:c>
      <x:c r="E1833" s="6" t="n">
        <x:v>44911</x:v>
      </x:c>
      <x:c r="F1833" s="6" t="n">
        <x:v>0</x:v>
      </x:c>
      <x:c r="G1833" s="6" t="n">
        <x:v>1</x:v>
      </x:c>
      <x:c r="H1833" s="9" t="str">
        <x:v>15-03-2013</x:v>
      </x:c>
      <x:c r="I1833" s="6" t="n">
        <x:v>11</x:v>
      </x:c>
      <x:c r="J1833" s="6" t="n">
        <x:v>159</x:v>
      </x:c>
      <x:c r="K1833" s="6" t="n">
        <x:v>0</x:v>
      </x:c>
      <x:c r="L1833" s="6" t="n">
        <x:v>22</x:v>
      </x:c>
      <x:c r="M1833" s="6" t="n">
        <x:v>2</x:v>
      </x:c>
      <x:c r="N1833" s="6" t="n">
        <x:v>1</x:v>
      </x:c>
      <x:c r="O1833" s="6" t="n">
        <x:v>31</x:v>
      </x:c>
      <x:c r="P1833" s="6" t="n">
        <x:v>3</x:v>
      </x:c>
      <x:c r="Q1833" s="6" t="n">
        <x:v>4</x:v>
      </x:c>
      <x:c r="R1833" s="6" t="n">
        <x:v>1</x:v>
      </x:c>
      <x:c r="S1833" s="6" t="n">
        <x:v>4</x:v>
      </x:c>
      <x:c r="T1833" s="6" t="n">
        <x:v>7</x:v>
      </x:c>
      <x:c r="U1833" s="6" t="n">
        <x:v>0</x:v>
      </x:c>
      <x:c r="V1833" s="6" t="n">
        <x:v>0</x:v>
      </x:c>
      <x:c r="W1833" s="6" t="n">
        <x:v>0</x:v>
      </x:c>
      <x:c r="X1833" s="6" t="n">
        <x:v>0</x:v>
      </x:c>
      <x:c r="Y1833" s="6" t="n">
        <x:v>0</x:v>
      </x:c>
      <x:c r="Z1833" s="6" t="n">
        <x:v>0</x:v>
      </x:c>
      <x:c r="AA1833" s="6" t="n">
        <x:v>3</x:v>
      </x:c>
      <x:c r="AB1833" s="6" t="n">
        <x:v>11</x:v>
      </x:c>
      <x:c r="AC1833" s="6" t="n">
        <x:v>0</x:v>
      </x:c>
    </x:row>
    <x:row r="1834">
      <x:c r="A1834" s="6" t="n">
        <x:v>7129</x:v>
      </x:c>
      <x:c r="B1834" s="6" t="n">
        <x:v>1962</x:v>
      </x:c>
      <x:c r="C1834" s="6" t="str">
        <x:v>PhD</x:v>
      </x:c>
      <x:c r="D1834" s="6" t="str">
        <x:v>Married</x:v>
      </x:c>
      <x:c r="E1834" s="6" t="n">
        <x:v>54693</x:v>
      </x:c>
      <x:c r="F1834" s="6" t="n">
        <x:v>0</x:v>
      </x:c>
      <x:c r="G1834" s="6" t="n">
        <x:v>1</x:v>
      </x:c>
      <x:c r="H1834" s="9" t="str">
        <x:v>17-02-2013</x:v>
      </x:c>
      <x:c r="I1834" s="6" t="n">
        <x:v>72</x:v>
      </x:c>
      <x:c r="J1834" s="6" t="n">
        <x:v>686</x:v>
      </x:c>
      <x:c r="K1834" s="6" t="n">
        <x:v>17</x:v>
      </x:c>
      <x:c r="L1834" s="6" t="n">
        <x:v>142</x:v>
      </x:c>
      <x:c r="M1834" s="6" t="n">
        <x:v>23</x:v>
      </x:c>
      <x:c r="N1834" s="6" t="n">
        <x:v>26</x:v>
      </x:c>
      <x:c r="O1834" s="6" t="n">
        <x:v>35</x:v>
      </x:c>
      <x:c r="P1834" s="6" t="n">
        <x:v>8</x:v>
      </x:c>
      <x:c r="Q1834" s="6" t="n">
        <x:v>6</x:v>
      </x:c>
      <x:c r="R1834" s="6" t="n">
        <x:v>4</x:v>
      </x:c>
      <x:c r="S1834" s="6" t="n">
        <x:v>13</x:v>
      </x:c>
      <x:c r="T1834" s="6" t="n">
        <x:v>6</x:v>
      </x:c>
      <x:c r="U1834" s="6" t="n">
        <x:v>0</x:v>
      </x:c>
      <x:c r="V1834" s="6" t="n">
        <x:v>0</x:v>
      </x:c>
      <x:c r="W1834" s="6" t="n">
        <x:v>0</x:v>
      </x:c>
      <x:c r="X1834" s="6" t="n">
        <x:v>0</x:v>
      </x:c>
      <x:c r="Y1834" s="6" t="n">
        <x:v>0</x:v>
      </x:c>
      <x:c r="Z1834" s="6" t="n">
        <x:v>0</x:v>
      </x:c>
      <x:c r="AA1834" s="6" t="n">
        <x:v>3</x:v>
      </x:c>
      <x:c r="AB1834" s="6" t="n">
        <x:v>11</x:v>
      </x:c>
      <x:c r="AC1834" s="6" t="n">
        <x:v>0</x:v>
      </x:c>
    </x:row>
    <x:row r="1835">
      <x:c r="A1835" s="6" t="n">
        <x:v>5866</x:v>
      </x:c>
      <x:c r="B1835" s="6" t="n">
        <x:v>1974</x:v>
      </x:c>
      <x:c r="C1835" s="6" t="str">
        <x:v>Graduation</x:v>
      </x:c>
      <x:c r="D1835" s="6" t="str">
        <x:v>Together</x:v>
      </x:c>
      <x:c r="E1835" s="6" t="n">
        <x:v>48186</x:v>
      </x:c>
      <x:c r="F1835" s="6" t="n">
        <x:v>1</x:v>
      </x:c>
      <x:c r="G1835" s="6" t="n">
        <x:v>0</x:v>
      </x:c>
      <x:c r="H1835" s="9" t="str">
        <x:v>20-03-2014</x:v>
      </x:c>
      <x:c r="I1835" s="6" t="n">
        <x:v>39</x:v>
      </x:c>
      <x:c r="J1835" s="6" t="n">
        <x:v>97</x:v>
      </x:c>
      <x:c r="K1835" s="6" t="n">
        <x:v>3</x:v>
      </x:c>
      <x:c r="L1835" s="6" t="n">
        <x:v>66</x:v>
      </x:c>
      <x:c r="M1835" s="6" t="n">
        <x:v>12</x:v>
      </x:c>
      <x:c r="N1835" s="6" t="n">
        <x:v>7</x:v>
      </x:c>
      <x:c r="O1835" s="6" t="n">
        <x:v>34</x:v>
      </x:c>
      <x:c r="P1835" s="6" t="n">
        <x:v>3</x:v>
      </x:c>
      <x:c r="Q1835" s="6" t="n">
        <x:v>4</x:v>
      </x:c>
      <x:c r="R1835" s="6" t="n">
        <x:v>1</x:v>
      </x:c>
      <x:c r="S1835" s="6" t="n">
        <x:v>4</x:v>
      </x:c>
      <x:c r="T1835" s="6" t="n">
        <x:v>7</x:v>
      </x:c>
      <x:c r="U1835" s="6" t="n">
        <x:v>0</x:v>
      </x:c>
      <x:c r="V1835" s="6" t="n">
        <x:v>0</x:v>
      </x:c>
      <x:c r="W1835" s="6" t="n">
        <x:v>0</x:v>
      </x:c>
      <x:c r="X1835" s="6" t="n">
        <x:v>0</x:v>
      </x:c>
      <x:c r="Y1835" s="6" t="n">
        <x:v>0</x:v>
      </x:c>
      <x:c r="Z1835" s="6" t="n">
        <x:v>0</x:v>
      </x:c>
      <x:c r="AA1835" s="6" t="n">
        <x:v>3</x:v>
      </x:c>
      <x:c r="AB1835" s="6" t="n">
        <x:v>11</x:v>
      </x:c>
      <x:c r="AC1835" s="6" t="n">
        <x:v>0</x:v>
      </x:c>
    </x:row>
    <x:row r="1836">
      <x:c r="A1836" s="6" t="n">
        <x:v>10521</x:v>
      </x:c>
      <x:c r="B1836" s="6" t="n">
        <x:v>1977</x:v>
      </x:c>
      <x:c r="C1836" s="6" t="str">
        <x:v>Graduation</x:v>
      </x:c>
      <x:c r="D1836" s="6" t="str">
        <x:v>Married</x:v>
      </x:c>
      <x:c r="E1836" s="6" t="n">
        <x:v>54809</x:v>
      </x:c>
      <x:c r="F1836" s="6" t="n">
        <x:v>1</x:v>
      </x:c>
      <x:c r="G1836" s="6" t="n">
        <x:v>1</x:v>
      </x:c>
      <x:c r="H1836" s="9" t="str">
        <x:v>11-09-2013</x:v>
      </x:c>
      <x:c r="I1836" s="6" t="n">
        <x:v>0</x:v>
      </x:c>
      <x:c r="J1836" s="6" t="n">
        <x:v>63</x:v>
      </x:c>
      <x:c r="K1836" s="6" t="n">
        <x:v>6</x:v>
      </x:c>
      <x:c r="L1836" s="6" t="n">
        <x:v>57</x:v>
      </x:c>
      <x:c r="M1836" s="6" t="n">
        <x:v>13</x:v>
      </x:c>
      <x:c r="N1836" s="6" t="n">
        <x:v>13</x:v>
      </x:c>
      <x:c r="O1836" s="6" t="n">
        <x:v>22</x:v>
      </x:c>
      <x:c r="P1836" s="6" t="n">
        <x:v>4</x:v>
      </x:c>
      <x:c r="Q1836" s="6" t="n">
        <x:v>2</x:v>
      </x:c>
      <x:c r="R1836" s="6" t="n">
        <x:v>1</x:v>
      </x:c>
      <x:c r="S1836" s="6" t="n">
        <x:v>5</x:v>
      </x:c>
      <x:c r="T1836" s="6" t="n">
        <x:v>4</x:v>
      </x:c>
      <x:c r="U1836" s="6" t="n">
        <x:v>0</x:v>
      </x:c>
      <x:c r="V1836" s="6" t="n">
        <x:v>0</x:v>
      </x:c>
      <x:c r="W1836" s="6" t="n">
        <x:v>0</x:v>
      </x:c>
      <x:c r="X1836" s="6" t="n">
        <x:v>0</x:v>
      </x:c>
      <x:c r="Y1836" s="6" t="n">
        <x:v>0</x:v>
      </x:c>
      <x:c r="Z1836" s="6" t="n">
        <x:v>0</x:v>
      </x:c>
      <x:c r="AA1836" s="6" t="n">
        <x:v>3</x:v>
      </x:c>
      <x:c r="AB1836" s="6" t="n">
        <x:v>11</x:v>
      </x:c>
      <x:c r="AC1836" s="6" t="n">
        <x:v>1</x:v>
      </x:c>
    </x:row>
    <x:row r="1837">
      <x:c r="A1837" s="6" t="n">
        <x:v>7393</x:v>
      </x:c>
      <x:c r="B1837" s="6" t="n">
        <x:v>1978</x:v>
      </x:c>
      <x:c r="C1837" s="6" t="str">
        <x:v>Graduation</x:v>
      </x:c>
      <x:c r="D1837" s="6" t="str">
        <x:v>Together</x:v>
      </x:c>
      <x:c r="E1837" s="6" t="n">
        <x:v>41580</x:v>
      </x:c>
      <x:c r="F1837" s="6" t="n">
        <x:v>1</x:v>
      </x:c>
      <x:c r="G1837" s="6" t="n">
        <x:v>1</x:v>
      </x:c>
      <x:c r="H1837" s="9" t="str">
        <x:v>10-12-2012</x:v>
      </x:c>
      <x:c r="I1837" s="6" t="n">
        <x:v>15</x:v>
      </x:c>
      <x:c r="J1837" s="6" t="n">
        <x:v>56</x:v>
      </x:c>
      <x:c r="K1837" s="6" t="n">
        <x:v>5</x:v>
      </x:c>
      <x:c r="L1837" s="6" t="n">
        <x:v>24</x:v>
      </x:c>
      <x:c r="M1837" s="6" t="n">
        <x:v>4</x:v>
      </x:c>
      <x:c r="N1837" s="6" t="n">
        <x:v>0</x:v>
      </x:c>
      <x:c r="O1837" s="6" t="n">
        <x:v>3</x:v>
      </x:c>
      <x:c r="P1837" s="6" t="n">
        <x:v>3</x:v>
      </x:c>
      <x:c r="Q1837" s="6" t="n">
        <x:v>2</x:v>
      </x:c>
      <x:c r="R1837" s="6" t="n">
        <x:v>1</x:v>
      </x:c>
      <x:c r="S1837" s="6" t="n">
        <x:v>3</x:v>
      </x:c>
      <x:c r="T1837" s="6" t="n">
        <x:v>5</x:v>
      </x:c>
      <x:c r="U1837" s="6" t="n">
        <x:v>0</x:v>
      </x:c>
      <x:c r="V1837" s="6" t="n">
        <x:v>0</x:v>
      </x:c>
      <x:c r="W1837" s="6" t="n">
        <x:v>0</x:v>
      </x:c>
      <x:c r="X1837" s="6" t="n">
        <x:v>0</x:v>
      </x:c>
      <x:c r="Y1837" s="6" t="n">
        <x:v>0</x:v>
      </x:c>
      <x:c r="Z1837" s="6" t="n">
        <x:v>0</x:v>
      </x:c>
      <x:c r="AA1837" s="6" t="n">
        <x:v>3</x:v>
      </x:c>
      <x:c r="AB1837" s="6" t="n">
        <x:v>11</x:v>
      </x:c>
      <x:c r="AC1837" s="6" t="n">
        <x:v>0</x:v>
      </x:c>
    </x:row>
    <x:row r="1838">
      <x:c r="A1838" s="6" t="n">
        <x:v>7849</x:v>
      </x:c>
      <x:c r="B1838" s="6" t="n">
        <x:v>1970</x:v>
      </x:c>
      <x:c r="C1838" s="6" t="str">
        <x:v>PhD</x:v>
      </x:c>
      <x:c r="D1838" s="6" t="str">
        <x:v>Married</x:v>
      </x:c>
      <x:c r="E1838" s="6" t="n">
        <x:v>80336</x:v>
      </x:c>
      <x:c r="F1838" s="6" t="n">
        <x:v>0</x:v>
      </x:c>
      <x:c r="G1838" s="6" t="n">
        <x:v>0</x:v>
      </x:c>
      <x:c r="H1838" s="9" t="str">
        <x:v>09-09-2013</x:v>
      </x:c>
      <x:c r="I1838" s="6" t="n">
        <x:v>12</x:v>
      </x:c>
      <x:c r="J1838" s="6" t="n">
        <x:v>209</x:v>
      </x:c>
      <x:c r="K1838" s="6" t="n">
        <x:v>19</x:v>
      </x:c>
      <x:c r="L1838" s="6" t="n">
        <x:v>456</x:v>
      </x:c>
      <x:c r="M1838" s="6" t="n">
        <x:v>160</x:v>
      </x:c>
      <x:c r="N1838" s="6" t="n">
        <x:v>142</x:v>
      </x:c>
      <x:c r="O1838" s="6" t="n">
        <x:v>66</x:v>
      </x:c>
      <x:c r="P1838" s="6" t="n">
        <x:v>1</x:v>
      </x:c>
      <x:c r="Q1838" s="6" t="n">
        <x:v>2</x:v>
      </x:c>
      <x:c r="R1838" s="6" t="n">
        <x:v>9</x:v>
      </x:c>
      <x:c r="S1838" s="6" t="n">
        <x:v>13</x:v>
      </x:c>
      <x:c r="T1838" s="6" t="n">
        <x:v>1</x:v>
      </x:c>
      <x:c r="U1838" s="6" t="n">
        <x:v>0</x:v>
      </x:c>
      <x:c r="V1838" s="6" t="n">
        <x:v>0</x:v>
      </x:c>
      <x:c r="W1838" s="6" t="n">
        <x:v>0</x:v>
      </x:c>
      <x:c r="X1838" s="6" t="n">
        <x:v>0</x:v>
      </x:c>
      <x:c r="Y1838" s="6" t="n">
        <x:v>0</x:v>
      </x:c>
      <x:c r="Z1838" s="6" t="n">
        <x:v>0</x:v>
      </x:c>
      <x:c r="AA1838" s="6" t="n">
        <x:v>3</x:v>
      </x:c>
      <x:c r="AB1838" s="6" t="n">
        <x:v>11</x:v>
      </x:c>
      <x:c r="AC1838" s="6" t="n">
        <x:v>0</x:v>
      </x:c>
    </x:row>
    <x:row r="1839">
      <x:c r="A1839" s="6" t="n">
        <x:v>332</x:v>
      </x:c>
      <x:c r="B1839" s="6" t="n">
        <x:v>1957</x:v>
      </x:c>
      <x:c r="C1839" s="6" t="str">
        <x:v>Graduation</x:v>
      </x:c>
      <x:c r="D1839" s="6" t="str">
        <x:v>Married</x:v>
      </x:c>
      <x:c r="E1839" s="6" t="n">
        <x:v>47743</x:v>
      </x:c>
      <x:c r="F1839" s="6" t="n">
        <x:v>0</x:v>
      </x:c>
      <x:c r="G1839" s="6" t="n">
        <x:v>1</x:v>
      </x:c>
      <x:c r="H1839" s="9" t="str">
        <x:v>22-03-2013</x:v>
      </x:c>
      <x:c r="I1839" s="6" t="n">
        <x:v>56</x:v>
      </x:c>
      <x:c r="J1839" s="6" t="n">
        <x:v>198</x:v>
      </x:c>
      <x:c r="K1839" s="6" t="n">
        <x:v>2</x:v>
      </x:c>
      <x:c r="L1839" s="6" t="n">
        <x:v>43</x:v>
      </x:c>
      <x:c r="M1839" s="6" t="n">
        <x:v>0</x:v>
      </x:c>
      <x:c r="N1839" s="6" t="n">
        <x:v>12</x:v>
      </x:c>
      <x:c r="O1839" s="6" t="n">
        <x:v>20</x:v>
      </x:c>
      <x:c r="P1839" s="6" t="n">
        <x:v>3</x:v>
      </x:c>
      <x:c r="Q1839" s="6" t="n">
        <x:v>4</x:v>
      </x:c>
      <x:c r="R1839" s="6" t="n">
        <x:v>1</x:v>
      </x:c>
      <x:c r="S1839" s="6" t="n">
        <x:v>6</x:v>
      </x:c>
      <x:c r="T1839" s="6" t="n">
        <x:v>6</x:v>
      </x:c>
      <x:c r="U1839" s="6" t="n">
        <x:v>0</x:v>
      </x:c>
      <x:c r="V1839" s="6" t="n">
        <x:v>1</x:v>
      </x:c>
      <x:c r="W1839" s="6" t="n">
        <x:v>0</x:v>
      </x:c>
      <x:c r="X1839" s="6" t="n">
        <x:v>0</x:v>
      </x:c>
      <x:c r="Y1839" s="6" t="n">
        <x:v>0</x:v>
      </x:c>
      <x:c r="Z1839" s="6" t="n">
        <x:v>0</x:v>
      </x:c>
      <x:c r="AA1839" s="6" t="n">
        <x:v>3</x:v>
      </x:c>
      <x:c r="AB1839" s="6" t="n">
        <x:v>11</x:v>
      </x:c>
      <x:c r="AC1839" s="6" t="n">
        <x:v>0</x:v>
      </x:c>
    </x:row>
    <x:row r="1840">
      <x:c r="A1840" s="6" t="n">
        <x:v>9847</x:v>
      </x:c>
      <x:c r="B1840" s="6" t="n">
        <x:v>1955</x:v>
      </x:c>
      <x:c r="C1840" s="6" t="str">
        <x:v>2n Cycle</x:v>
      </x:c>
      <x:c r="D1840" s="6" t="str">
        <x:v>Married</x:v>
      </x:c>
      <x:c r="E1840" s="6" t="n">
        <x:v>62972</x:v>
      </x:c>
      <x:c r="F1840" s="6" t="n">
        <x:v>0</x:v>
      </x:c>
      <x:c r="G1840" s="6" t="n">
        <x:v>1</x:v>
      </x:c>
      <x:c r="H1840" s="9" t="str">
        <x:v>03-08-2012</x:v>
      </x:c>
      <x:c r="I1840" s="6" t="n">
        <x:v>39</x:v>
      </x:c>
      <x:c r="J1840" s="6" t="n">
        <x:v>313</x:v>
      </x:c>
      <x:c r="K1840" s="6" t="n">
        <x:v>15</x:v>
      </x:c>
      <x:c r="L1840" s="6" t="n">
        <x:v>47</x:v>
      </x:c>
      <x:c r="M1840" s="6" t="n">
        <x:v>20</x:v>
      </x:c>
      <x:c r="N1840" s="6" t="n">
        <x:v>0</x:v>
      </x:c>
      <x:c r="O1840" s="6" t="n">
        <x:v>192</x:v>
      </x:c>
      <x:c r="P1840" s="6" t="n">
        <x:v>2</x:v>
      </x:c>
      <x:c r="Q1840" s="6" t="n">
        <x:v>7</x:v>
      </x:c>
      <x:c r="R1840" s="6" t="n">
        <x:v>4</x:v>
      </x:c>
      <x:c r="S1840" s="6" t="n">
        <x:v>3</x:v>
      </x:c>
      <x:c r="T1840" s="6" t="n">
        <x:v>6</x:v>
      </x:c>
      <x:c r="U1840" s="6" t="n">
        <x:v>0</x:v>
      </x:c>
      <x:c r="V1840" s="6" t="n">
        <x:v>0</x:v>
      </x:c>
      <x:c r="W1840" s="6" t="n">
        <x:v>0</x:v>
      </x:c>
      <x:c r="X1840" s="6" t="n">
        <x:v>0</x:v>
      </x:c>
      <x:c r="Y1840" s="6" t="n">
        <x:v>0</x:v>
      </x:c>
      <x:c r="Z1840" s="6" t="n">
        <x:v>0</x:v>
      </x:c>
      <x:c r="AA1840" s="6" t="n">
        <x:v>3</x:v>
      </x:c>
      <x:c r="AB1840" s="6" t="n">
        <x:v>11</x:v>
      </x:c>
      <x:c r="AC1840" s="6" t="n">
        <x:v>0</x:v>
      </x:c>
    </x:row>
    <x:row r="1841">
      <x:c r="A1841" s="6" t="n">
        <x:v>531</x:v>
      </x:c>
      <x:c r="B1841" s="6" t="n">
        <x:v>1954</x:v>
      </x:c>
      <x:c r="C1841" s="6" t="str">
        <x:v>PhD</x:v>
      </x:c>
      <x:c r="D1841" s="6" t="str">
        <x:v>Divorced</x:v>
      </x:c>
      <x:c r="E1841" s="6" t="n">
        <x:v>57333</x:v>
      </x:c>
      <x:c r="F1841" s="6" t="n">
        <x:v>0</x:v>
      </x:c>
      <x:c r="G1841" s="6" t="n">
        <x:v>1</x:v>
      </x:c>
      <x:c r="H1841" s="9" t="str">
        <x:v>22-09-2012</x:v>
      </x:c>
      <x:c r="I1841" s="6" t="n">
        <x:v>55</x:v>
      </x:c>
      <x:c r="J1841" s="6" t="n">
        <x:v>941</x:v>
      </x:c>
      <x:c r="K1841" s="6" t="n">
        <x:v>14</x:v>
      </x:c>
      <x:c r="L1841" s="6" t="n">
        <x:v>397</x:v>
      </x:c>
      <x:c r="M1841" s="6" t="n">
        <x:v>76</x:v>
      </x:c>
      <x:c r="N1841" s="6" t="n">
        <x:v>58</x:v>
      </x:c>
      <x:c r="O1841" s="6" t="n">
        <x:v>176</x:v>
      </x:c>
      <x:c r="P1841" s="6" t="n">
        <x:v>11</x:v>
      </x:c>
      <x:c r="Q1841" s="6" t="n">
        <x:v>8</x:v>
      </x:c>
      <x:c r="R1841" s="6" t="n">
        <x:v>5</x:v>
      </x:c>
      <x:c r="S1841" s="6" t="n">
        <x:v>9</x:v>
      </x:c>
      <x:c r="T1841" s="6" t="n">
        <x:v>6</x:v>
      </x:c>
      <x:c r="U1841" s="6" t="n">
        <x:v>0</x:v>
      </x:c>
      <x:c r="V1841" s="6" t="n">
        <x:v>0</x:v>
      </x:c>
      <x:c r="W1841" s="6" t="n">
        <x:v>0</x:v>
      </x:c>
      <x:c r="X1841" s="6" t="n">
        <x:v>0</x:v>
      </x:c>
      <x:c r="Y1841" s="6" t="n">
        <x:v>0</x:v>
      </x:c>
      <x:c r="Z1841" s="6" t="n">
        <x:v>0</x:v>
      </x:c>
      <x:c r="AA1841" s="6" t="n">
        <x:v>3</x:v>
      </x:c>
      <x:c r="AB1841" s="6" t="n">
        <x:v>11</x:v>
      </x:c>
      <x:c r="AC1841" s="6" t="n">
        <x:v>1</x:v>
      </x:c>
    </x:row>
    <x:row r="1842">
      <x:c r="A1842" s="6" t="n">
        <x:v>9576</x:v>
      </x:c>
      <x:c r="B1842" s="6" t="n">
        <x:v>1982</x:v>
      </x:c>
      <x:c r="C1842" s="6" t="str">
        <x:v>PhD</x:v>
      </x:c>
      <x:c r="D1842" s="6" t="str">
        <x:v>Together</x:v>
      </x:c>
      <x:c r="E1842" s="6" t="n">
        <x:v>32313</x:v>
      </x:c>
      <x:c r="F1842" s="6" t="n">
        <x:v>1</x:v>
      </x:c>
      <x:c r="G1842" s="6" t="n">
        <x:v>0</x:v>
      </x:c>
      <x:c r="H1842" s="9" t="str">
        <x:v>11-02-2013</x:v>
      </x:c>
      <x:c r="I1842" s="6" t="n">
        <x:v>60</x:v>
      </x:c>
      <x:c r="J1842" s="6" t="n">
        <x:v>86</x:v>
      </x:c>
      <x:c r="K1842" s="6" t="n">
        <x:v>4</x:v>
      </x:c>
      <x:c r="L1842" s="6" t="n">
        <x:v>56</x:v>
      </x:c>
      <x:c r="M1842" s="6" t="n">
        <x:v>2</x:v>
      </x:c>
      <x:c r="N1842" s="6" t="n">
        <x:v>4</x:v>
      </x:c>
      <x:c r="O1842" s="6" t="n">
        <x:v>7</x:v>
      </x:c>
      <x:c r="P1842" s="6" t="n">
        <x:v>3</x:v>
      </x:c>
      <x:c r="Q1842" s="6" t="n">
        <x:v>4</x:v>
      </x:c>
      <x:c r="R1842" s="6" t="n">
        <x:v>0</x:v>
      </x:c>
      <x:c r="S1842" s="6" t="n">
        <x:v>4</x:v>
      </x:c>
      <x:c r="T1842" s="6" t="n">
        <x:v>9</x:v>
      </x:c>
      <x:c r="U1842" s="6" t="n">
        <x:v>0</x:v>
      </x:c>
      <x:c r="V1842" s="6" t="n">
        <x:v>0</x:v>
      </x:c>
      <x:c r="W1842" s="6" t="n">
        <x:v>0</x:v>
      </x:c>
      <x:c r="X1842" s="6" t="n">
        <x:v>0</x:v>
      </x:c>
      <x:c r="Y1842" s="6" t="n">
        <x:v>0</x:v>
      </x:c>
      <x:c r="Z1842" s="6" t="n">
        <x:v>0</x:v>
      </x:c>
      <x:c r="AA1842" s="6" t="n">
        <x:v>3</x:v>
      </x:c>
      <x:c r="AB1842" s="6" t="n">
        <x:v>11</x:v>
      </x:c>
      <x:c r="AC1842" s="6" t="n">
        <x:v>0</x:v>
      </x:c>
    </x:row>
    <x:row r="1843">
      <x:c r="A1843" s="6" t="n">
        <x:v>6906</x:v>
      </x:c>
      <x:c r="B1843" s="6" t="n">
        <x:v>1953</x:v>
      </x:c>
      <x:c r="C1843" s="6" t="str">
        <x:v>Master</x:v>
      </x:c>
      <x:c r="D1843" s="6" t="str">
        <x:v>Widow</x:v>
      </x:c>
      <x:c r="E1843" s="6" t="n">
        <x:v>84953</x:v>
      </x:c>
      <x:c r="F1843" s="6" t="n">
        <x:v>0</x:v>
      </x:c>
      <x:c r="G1843" s="6" t="n">
        <x:v>0</x:v>
      </x:c>
      <x:c r="H1843" s="9" t="str">
        <x:v>03-06-2013</x:v>
      </x:c>
      <x:c r="I1843" s="6" t="n">
        <x:v>73</x:v>
      </x:c>
      <x:c r="J1843" s="6" t="n">
        <x:v>167</x:v>
      </x:c>
      <x:c r="K1843" s="6" t="n">
        <x:v>48</x:v>
      </x:c>
      <x:c r="L1843" s="6" t="n">
        <x:v>602</x:v>
      </x:c>
      <x:c r="M1843" s="6" t="n">
        <x:v>63</x:v>
      </x:c>
      <x:c r="N1843" s="6" t="n">
        <x:v>72</x:v>
      </x:c>
      <x:c r="O1843" s="6" t="n">
        <x:v>72</x:v>
      </x:c>
      <x:c r="P1843" s="6" t="n">
        <x:v>1</x:v>
      </x:c>
      <x:c r="Q1843" s="6" t="n">
        <x:v>3</x:v>
      </x:c>
      <x:c r="R1843" s="6" t="n">
        <x:v>10</x:v>
      </x:c>
      <x:c r="S1843" s="6" t="n">
        <x:v>4</x:v>
      </x:c>
      <x:c r="T1843" s="6" t="n">
        <x:v>2</x:v>
      </x:c>
      <x:c r="U1843" s="6" t="n">
        <x:v>0</x:v>
      </x:c>
      <x:c r="V1843" s="6" t="n">
        <x:v>1</x:v>
      </x:c>
      <x:c r="W1843" s="6" t="n">
        <x:v>1</x:v>
      </x:c>
      <x:c r="X1843" s="6" t="n">
        <x:v>1</x:v>
      </x:c>
      <x:c r="Y1843" s="6" t="n">
        <x:v>0</x:v>
      </x:c>
      <x:c r="Z1843" s="6" t="n">
        <x:v>0</x:v>
      </x:c>
      <x:c r="AA1843" s="6" t="n">
        <x:v>3</x:v>
      </x:c>
      <x:c r="AB1843" s="6" t="n">
        <x:v>11</x:v>
      </x:c>
      <x:c r="AC1843" s="6" t="n">
        <x:v>1</x:v>
      </x:c>
    </x:row>
    <x:row r="1844">
      <x:c r="A1844" s="6" t="n">
        <x:v>7419</x:v>
      </x:c>
      <x:c r="B1844" s="6" t="n">
        <x:v>1968</x:v>
      </x:c>
      <x:c r="C1844" s="6" t="str">
        <x:v>Master</x:v>
      </x:c>
      <x:c r="D1844" s="6" t="str">
        <x:v>Divorced</x:v>
      </x:c>
      <x:c r="E1844" s="6" t="n">
        <x:v>27071</x:v>
      </x:c>
      <x:c r="F1844" s="6" t="n">
        <x:v>1</x:v>
      </x:c>
      <x:c r="G1844" s="6" t="n">
        <x:v>0</x:v>
      </x:c>
      <x:c r="H1844" s="9" t="str">
        <x:v>23-04-2014</x:v>
      </x:c>
      <x:c r="I1844" s="6" t="n">
        <x:v>90</x:v>
      </x:c>
      <x:c r="J1844" s="6" t="n">
        <x:v>8</x:v>
      </x:c>
      <x:c r="K1844" s="6" t="n">
        <x:v>3</x:v>
      </x:c>
      <x:c r="L1844" s="6" t="n">
        <x:v>19</x:v>
      </x:c>
      <x:c r="M1844" s="6" t="n">
        <x:v>0</x:v>
      </x:c>
      <x:c r="N1844" s="6" t="n">
        <x:v>2</x:v>
      </x:c>
      <x:c r="O1844" s="6" t="n">
        <x:v>3</x:v>
      </x:c>
      <x:c r="P1844" s="6" t="n">
        <x:v>2</x:v>
      </x:c>
      <x:c r="Q1844" s="6" t="n">
        <x:v>2</x:v>
      </x:c>
      <x:c r="R1844" s="6" t="n">
        <x:v>0</x:v>
      </x:c>
      <x:c r="S1844" s="6" t="n">
        <x:v>3</x:v>
      </x:c>
      <x:c r="T1844" s="6" t="n">
        <x:v>6</x:v>
      </x:c>
      <x:c r="U1844" s="6" t="n">
        <x:v>0</x:v>
      </x:c>
      <x:c r="V1844" s="6" t="n">
        <x:v>0</x:v>
      </x:c>
      <x:c r="W1844" s="6" t="n">
        <x:v>0</x:v>
      </x:c>
      <x:c r="X1844" s="6" t="n">
        <x:v>0</x:v>
      </x:c>
      <x:c r="Y1844" s="6" t="n">
        <x:v>0</x:v>
      </x:c>
      <x:c r="Z1844" s="6" t="n">
        <x:v>0</x:v>
      </x:c>
      <x:c r="AA1844" s="6" t="n">
        <x:v>3</x:v>
      </x:c>
      <x:c r="AB1844" s="6" t="n">
        <x:v>11</x:v>
      </x:c>
      <x:c r="AC1844" s="6" t="n">
        <x:v>0</x:v>
      </x:c>
    </x:row>
    <x:row r="1845">
      <x:c r="A1845" s="6" t="n">
        <x:v>3170</x:v>
      </x:c>
      <x:c r="B1845" s="6" t="n">
        <x:v>1957</x:v>
      </x:c>
      <x:c r="C1845" s="6" t="str">
        <x:v>Master</x:v>
      </x:c>
      <x:c r="D1845" s="6" t="str">
        <x:v>Together</x:v>
      </x:c>
      <x:c r="E1845" s="6" t="n">
        <x:v>68148</x:v>
      </x:c>
      <x:c r="F1845" s="6" t="n">
        <x:v>0</x:v>
      </x:c>
      <x:c r="G1845" s="6" t="n">
        <x:v>0</x:v>
      </x:c>
      <x:c r="H1845" s="9" t="str">
        <x:v>31-08-2013</x:v>
      </x:c>
      <x:c r="I1845" s="6" t="n">
        <x:v>86</x:v>
      </x:c>
      <x:c r="J1845" s="6" t="n">
        <x:v>389</x:v>
      </x:c>
      <x:c r="K1845" s="6" t="n">
        <x:v>66</x:v>
      </x:c>
      <x:c r="L1845" s="6" t="n">
        <x:v>408</x:v>
      </x:c>
      <x:c r="M1845" s="6" t="n">
        <x:v>37</x:v>
      </x:c>
      <x:c r="N1845" s="6" t="n">
        <x:v>57</x:v>
      </x:c>
      <x:c r="O1845" s="6" t="n">
        <x:v>85</x:v>
      </x:c>
      <x:c r="P1845" s="6" t="n">
        <x:v>1</x:v>
      </x:c>
      <x:c r="Q1845" s="6" t="n">
        <x:v>4</x:v>
      </x:c>
      <x:c r="R1845" s="6" t="n">
        <x:v>4</x:v>
      </x:c>
      <x:c r="S1845" s="6" t="n">
        <x:v>6</x:v>
      </x:c>
      <x:c r="T1845" s="6" t="n">
        <x:v>2</x:v>
      </x:c>
      <x:c r="U1845" s="6" t="n">
        <x:v>0</x:v>
      </x:c>
      <x:c r="V1845" s="6" t="n">
        <x:v>0</x:v>
      </x:c>
      <x:c r="W1845" s="6" t="n">
        <x:v>0</x:v>
      </x:c>
      <x:c r="X1845" s="6" t="n">
        <x:v>0</x:v>
      </x:c>
      <x:c r="Y1845" s="6" t="n">
        <x:v>0</x:v>
      </x:c>
      <x:c r="Z1845" s="6" t="n">
        <x:v>0</x:v>
      </x:c>
      <x:c r="AA1845" s="6" t="n">
        <x:v>3</x:v>
      </x:c>
      <x:c r="AB1845" s="6" t="n">
        <x:v>11</x:v>
      </x:c>
      <x:c r="AC1845" s="6" t="n">
        <x:v>0</x:v>
      </x:c>
    </x:row>
    <x:row r="1846">
      <x:c r="A1846" s="6" t="n">
        <x:v>8527</x:v>
      </x:c>
      <x:c r="B1846" s="6" t="n">
        <x:v>1965</x:v>
      </x:c>
      <x:c r="C1846" s="6" t="str">
        <x:v>Master</x:v>
      </x:c>
      <x:c r="D1846" s="6" t="str">
        <x:v>Together</x:v>
      </x:c>
      <x:c r="E1846" s="6" t="n">
        <x:v>65735</x:v>
      </x:c>
      <x:c r="F1846" s="6" t="n">
        <x:v>1</x:v>
      </x:c>
      <x:c r="G1846" s="6" t="n">
        <x:v>1</x:v>
      </x:c>
      <x:c r="H1846" s="9" t="str">
        <x:v>07-12-2013</x:v>
      </x:c>
      <x:c r="I1846" s="6" t="n">
        <x:v>37</x:v>
      </x:c>
      <x:c r="J1846" s="6" t="n">
        <x:v>239</x:v>
      </x:c>
      <x:c r="K1846" s="6" t="n">
        <x:v>7</x:v>
      </x:c>
      <x:c r="L1846" s="6" t="n">
        <x:v>119</x:v>
      </x:c>
      <x:c r="M1846" s="6" t="n">
        <x:v>4</x:v>
      </x:c>
      <x:c r="N1846" s="6" t="n">
        <x:v>15</x:v>
      </x:c>
      <x:c r="O1846" s="6" t="n">
        <x:v>11</x:v>
      </x:c>
      <x:c r="P1846" s="6" t="n">
        <x:v>5</x:v>
      </x:c>
      <x:c r="Q1846" s="6" t="n">
        <x:v>6</x:v>
      </x:c>
      <x:c r="R1846" s="6" t="n">
        <x:v>2</x:v>
      </x:c>
      <x:c r="S1846" s="6" t="n">
        <x:v>6</x:v>
      </x:c>
      <x:c r="T1846" s="6" t="n">
        <x:v>7</x:v>
      </x:c>
      <x:c r="U1846" s="6" t="n">
        <x:v>0</x:v>
      </x:c>
      <x:c r="V1846" s="6" t="n">
        <x:v>0</x:v>
      </x:c>
      <x:c r="W1846" s="6" t="n">
        <x:v>0</x:v>
      </x:c>
      <x:c r="X1846" s="6" t="n">
        <x:v>0</x:v>
      </x:c>
      <x:c r="Y1846" s="6" t="n">
        <x:v>0</x:v>
      </x:c>
      <x:c r="Z1846" s="6" t="n">
        <x:v>0</x:v>
      </x:c>
      <x:c r="AA1846" s="6" t="n">
        <x:v>3</x:v>
      </x:c>
      <x:c r="AB1846" s="6" t="n">
        <x:v>11</x:v>
      </x:c>
      <x:c r="AC1846" s="6" t="n">
        <x:v>0</x:v>
      </x:c>
    </x:row>
    <x:row r="1847">
      <x:c r="A1847" s="6" t="n">
        <x:v>7872</x:v>
      </x:c>
      <x:c r="B1847" s="6" t="n">
        <x:v>1975</x:v>
      </x:c>
      <x:c r="C1847" s="6" t="str">
        <x:v>PhD</x:v>
      </x:c>
      <x:c r="D1847" s="6" t="str">
        <x:v>Married</x:v>
      </x:c>
      <x:c r="E1847" s="6" t="n">
        <x:v>86836</x:v>
      </x:c>
      <x:c r="F1847" s="6" t="n">
        <x:v>0</x:v>
      </x:c>
      <x:c r="G1847" s="6" t="n">
        <x:v>0</x:v>
      </x:c>
      <x:c r="H1847" s="9" t="str">
        <x:v>12-09-2012</x:v>
      </x:c>
      <x:c r="I1847" s="6" t="n">
        <x:v>7</x:v>
      </x:c>
      <x:c r="J1847" s="6" t="n">
        <x:v>179</x:v>
      </x:c>
      <x:c r="K1847" s="6" t="n">
        <x:v>21</x:v>
      </x:c>
      <x:c r="L1847" s="6" t="n">
        <x:v>273</x:v>
      </x:c>
      <x:c r="M1847" s="6" t="n">
        <x:v>0</x:v>
      </x:c>
      <x:c r="N1847" s="6" t="n">
        <x:v>21</x:v>
      </x:c>
      <x:c r="O1847" s="6" t="n">
        <x:v>63</x:v>
      </x:c>
      <x:c r="P1847" s="6" t="n">
        <x:v>1</x:v>
      </x:c>
      <x:c r="Q1847" s="6" t="n">
        <x:v>6</x:v>
      </x:c>
      <x:c r="R1847" s="6" t="n">
        <x:v>10</x:v>
      </x:c>
      <x:c r="S1847" s="6" t="n">
        <x:v>6</x:v>
      </x:c>
      <x:c r="T1847" s="6" t="n">
        <x:v>5</x:v>
      </x:c>
      <x:c r="U1847" s="6" t="n">
        <x:v>1</x:v>
      </x:c>
      <x:c r="V1847" s="6" t="n">
        <x:v>0</x:v>
      </x:c>
      <x:c r="W1847" s="6" t="n">
        <x:v>1</x:v>
      </x:c>
      <x:c r="X1847" s="6" t="n">
        <x:v>1</x:v>
      </x:c>
      <x:c r="Y1847" s="6" t="n">
        <x:v>0</x:v>
      </x:c>
      <x:c r="Z1847" s="6" t="n">
        <x:v>0</x:v>
      </x:c>
      <x:c r="AA1847" s="6" t="n">
        <x:v>3</x:v>
      </x:c>
      <x:c r="AB1847" s="6" t="n">
        <x:v>11</x:v>
      </x:c>
      <x:c r="AC1847" s="6" t="n">
        <x:v>1</x:v>
      </x:c>
    </x:row>
    <x:row r="1848">
      <x:c r="A1848" s="6" t="n">
        <x:v>9931</x:v>
      </x:c>
      <x:c r="B1848" s="6" t="n">
        <x:v>1963</x:v>
      </x:c>
      <x:c r="C1848" s="6" t="str">
        <x:v>PhD</x:v>
      </x:c>
      <x:c r="D1848" s="6" t="str">
        <x:v>Married</x:v>
      </x:c>
      <x:c r="E1848" s="6" t="n">
        <x:v>4023</x:v>
      </x:c>
      <x:c r="F1848" s="6" t="n">
        <x:v>1</x:v>
      </x:c>
      <x:c r="G1848" s="6" t="n">
        <x:v>1</x:v>
      </x:c>
      <x:c r="H1848" s="9" t="str">
        <x:v>23-06-2014</x:v>
      </x:c>
      <x:c r="I1848" s="6" t="n">
        <x:v>29</x:v>
      </x:c>
      <x:c r="J1848" s="6" t="n">
        <x:v>5</x:v>
      </x:c>
      <x:c r="K1848" s="6" t="n">
        <x:v>0</x:v>
      </x:c>
      <x:c r="L1848" s="6" t="n">
        <x:v>1</x:v>
      </x:c>
      <x:c r="M1848" s="6" t="n">
        <x:v>1</x:v>
      </x:c>
      <x:c r="N1848" s="6" t="n">
        <x:v>1</x:v>
      </x:c>
      <x:c r="O1848" s="6" t="n">
        <x:v>1</x:v>
      </x:c>
      <x:c r="P1848" s="6" t="n">
        <x:v>15</x:v>
      </x:c>
      <x:c r="Q1848" s="6" t="n">
        <x:v>0</x:v>
      </x:c>
      <x:c r="R1848" s="6" t="n">
        <x:v>0</x:v>
      </x:c>
      <x:c r="S1848" s="6" t="n">
        <x:v>0</x:v>
      </x:c>
      <x:c r="T1848" s="6" t="n">
        <x:v>19</x:v>
      </x:c>
      <x:c r="U1848" s="6" t="n">
        <x:v>0</x:v>
      </x:c>
      <x:c r="V1848" s="6" t="n">
        <x:v>0</x:v>
      </x:c>
      <x:c r="W1848" s="6" t="n">
        <x:v>0</x:v>
      </x:c>
      <x:c r="X1848" s="6" t="n">
        <x:v>0</x:v>
      </x:c>
      <x:c r="Y1848" s="6" t="n">
        <x:v>0</x:v>
      </x:c>
      <x:c r="Z1848" s="6" t="n">
        <x:v>0</x:v>
      </x:c>
      <x:c r="AA1848" s="6" t="n">
        <x:v>3</x:v>
      </x:c>
      <x:c r="AB1848" s="6" t="n">
        <x:v>11</x:v>
      </x:c>
      <x:c r="AC1848" s="6" t="n">
        <x:v>0</x:v>
      </x:c>
    </x:row>
    <x:row r="1849">
      <x:c r="A1849" s="6" t="n">
        <x:v>10595</x:v>
      </x:c>
      <x:c r="B1849" s="6" t="n">
        <x:v>1990</x:v>
      </x:c>
      <x:c r="C1849" s="6" t="str">
        <x:v>Graduation</x:v>
      </x:c>
      <x:c r="D1849" s="6" t="str">
        <x:v>Married</x:v>
      </x:c>
      <x:c r="E1849" s="6" t="n">
        <x:v>30093</x:v>
      </x:c>
      <x:c r="F1849" s="6" t="n">
        <x:v>0</x:v>
      </x:c>
      <x:c r="G1849" s="6" t="n">
        <x:v>0</x:v>
      </x:c>
      <x:c r="H1849" s="9" t="str">
        <x:v>08-07-2013</x:v>
      </x:c>
      <x:c r="I1849" s="6" t="n">
        <x:v>19</x:v>
      </x:c>
      <x:c r="J1849" s="6" t="n">
        <x:v>2</x:v>
      </x:c>
      <x:c r="K1849" s="6" t="n">
        <x:v>6</x:v>
      </x:c>
      <x:c r="L1849" s="6" t="n">
        <x:v>28</x:v>
      </x:c>
      <x:c r="M1849" s="6" t="n">
        <x:v>13</x:v>
      </x:c>
      <x:c r="N1849" s="6" t="n">
        <x:v>4</x:v>
      </x:c>
      <x:c r="O1849" s="6" t="n">
        <x:v>16</x:v>
      </x:c>
      <x:c r="P1849" s="6" t="n">
        <x:v>1</x:v>
      </x:c>
      <x:c r="Q1849" s="6" t="n">
        <x:v>2</x:v>
      </x:c>
      <x:c r="R1849" s="6" t="n">
        <x:v>0</x:v>
      </x:c>
      <x:c r="S1849" s="6" t="n">
        <x:v>3</x:v>
      </x:c>
      <x:c r="T1849" s="6" t="n">
        <x:v>7</x:v>
      </x:c>
      <x:c r="U1849" s="6" t="n">
        <x:v>0</x:v>
      </x:c>
      <x:c r="V1849" s="6" t="n">
        <x:v>0</x:v>
      </x:c>
      <x:c r="W1849" s="6" t="n">
        <x:v>0</x:v>
      </x:c>
      <x:c r="X1849" s="6" t="n">
        <x:v>0</x:v>
      </x:c>
      <x:c r="Y1849" s="6" t="n">
        <x:v>0</x:v>
      </x:c>
      <x:c r="Z1849" s="6" t="n">
        <x:v>0</x:v>
      </x:c>
      <x:c r="AA1849" s="6" t="n">
        <x:v>3</x:v>
      </x:c>
      <x:c r="AB1849" s="6" t="n">
        <x:v>11</x:v>
      </x:c>
      <x:c r="AC1849" s="6" t="n">
        <x:v>0</x:v>
      </x:c>
    </x:row>
    <x:row r="1850">
      <x:c r="A1850" s="6" t="n">
        <x:v>4609</x:v>
      </x:c>
      <x:c r="B1850" s="6" t="n">
        <x:v>1966</x:v>
      </x:c>
      <x:c r="C1850" s="6" t="str">
        <x:v>PhD</x:v>
      </x:c>
      <x:c r="D1850" s="6" t="str">
        <x:v>Married</x:v>
      </x:c>
      <x:c r="E1850" s="6" t="n">
        <x:v>57705</x:v>
      </x:c>
      <x:c r="F1850" s="6" t="n">
        <x:v>0</x:v>
      </x:c>
      <x:c r="G1850" s="6" t="n">
        <x:v>1</x:v>
      </x:c>
      <x:c r="H1850" s="9" t="str">
        <x:v>11-01-2014</x:v>
      </x:c>
      <x:c r="I1850" s="6" t="n">
        <x:v>14</x:v>
      </x:c>
      <x:c r="J1850" s="6" t="n">
        <x:v>383</x:v>
      </x:c>
      <x:c r="K1850" s="6" t="n">
        <x:v>0</x:v>
      </x:c>
      <x:c r="L1850" s="6" t="n">
        <x:v>53</x:v>
      </x:c>
      <x:c r="M1850" s="6" t="n">
        <x:v>6</x:v>
      </x:c>
      <x:c r="N1850" s="6" t="n">
        <x:v>4</x:v>
      </x:c>
      <x:c r="O1850" s="6" t="n">
        <x:v>40</x:v>
      </x:c>
      <x:c r="P1850" s="6" t="n">
        <x:v>3</x:v>
      </x:c>
      <x:c r="Q1850" s="6" t="n">
        <x:v>8</x:v>
      </x:c>
      <x:c r="R1850" s="6" t="n">
        <x:v>1</x:v>
      </x:c>
      <x:c r="S1850" s="6" t="n">
        <x:v>6</x:v>
      </x:c>
      <x:c r="T1850" s="6" t="n">
        <x:v>6</x:v>
      </x:c>
      <x:c r="U1850" s="6" t="n">
        <x:v>0</x:v>
      </x:c>
      <x:c r="V1850" s="6" t="n">
        <x:v>0</x:v>
      </x:c>
      <x:c r="W1850" s="6" t="n">
        <x:v>0</x:v>
      </x:c>
      <x:c r="X1850" s="6" t="n">
        <x:v>0</x:v>
      </x:c>
      <x:c r="Y1850" s="6" t="n">
        <x:v>0</x:v>
      </x:c>
      <x:c r="Z1850" s="6" t="n">
        <x:v>0</x:v>
      </x:c>
      <x:c r="AA1850" s="6" t="n">
        <x:v>3</x:v>
      </x:c>
      <x:c r="AB1850" s="6" t="n">
        <x:v>11</x:v>
      </x:c>
      <x:c r="AC1850" s="6" t="n">
        <x:v>0</x:v>
      </x:c>
    </x:row>
    <x:row r="1851">
      <x:c r="A1851" s="6" t="n">
        <x:v>5010</x:v>
      </x:c>
      <x:c r="B1851" s="6" t="n">
        <x:v>1988</x:v>
      </x:c>
      <x:c r="C1851" s="6" t="str">
        <x:v>Graduation</x:v>
      </x:c>
      <x:c r="D1851" s="6" t="str">
        <x:v>Single</x:v>
      </x:c>
      <x:c r="E1851" s="6" t="n">
        <x:v>25008</x:v>
      </x:c>
      <x:c r="F1851" s="6" t="n">
        <x:v>1</x:v>
      </x:c>
      <x:c r="G1851" s="6" t="n">
        <x:v>0</x:v>
      </x:c>
      <x:c r="H1851" s="9" t="str">
        <x:v>02-02-2014</x:v>
      </x:c>
      <x:c r="I1851" s="6" t="n">
        <x:v>72</x:v>
      </x:c>
      <x:c r="J1851" s="6" t="n">
        <x:v>2</x:v>
      </x:c>
      <x:c r="K1851" s="6" t="n">
        <x:v>8</x:v>
      </x:c>
      <x:c r="L1851" s="6" t="n">
        <x:v>8</x:v>
      </x:c>
      <x:c r="M1851" s="6" t="n">
        <x:v>6</x:v>
      </x:c>
      <x:c r="N1851" s="6" t="n">
        <x:v>1</x:v>
      </x:c>
      <x:c r="O1851" s="6" t="n">
        <x:v>9</x:v>
      </x:c>
      <x:c r="P1851" s="6" t="n">
        <x:v>2</x:v>
      </x:c>
      <x:c r="Q1851" s="6" t="n">
        <x:v>1</x:v>
      </x:c>
      <x:c r="R1851" s="6" t="n">
        <x:v>0</x:v>
      </x:c>
      <x:c r="S1851" s="6" t="n">
        <x:v>3</x:v>
      </x:c>
      <x:c r="T1851" s="6" t="n">
        <x:v>8</x:v>
      </x:c>
      <x:c r="U1851" s="6" t="n">
        <x:v>0</x:v>
      </x:c>
      <x:c r="V1851" s="6" t="n">
        <x:v>0</x:v>
      </x:c>
      <x:c r="W1851" s="6" t="n">
        <x:v>0</x:v>
      </x:c>
      <x:c r="X1851" s="6" t="n">
        <x:v>0</x:v>
      </x:c>
      <x:c r="Y1851" s="6" t="n">
        <x:v>0</x:v>
      </x:c>
      <x:c r="Z1851" s="6" t="n">
        <x:v>0</x:v>
      </x:c>
      <x:c r="AA1851" s="6" t="n">
        <x:v>3</x:v>
      </x:c>
      <x:c r="AB1851" s="6" t="n">
        <x:v>11</x:v>
      </x:c>
      <x:c r="AC1851" s="6" t="n">
        <x:v>0</x:v>
      </x:c>
    </x:row>
    <x:row r="1852">
      <x:c r="A1852" s="6" t="n">
        <x:v>4427</x:v>
      </x:c>
      <x:c r="B1852" s="6" t="n">
        <x:v>1995</x:v>
      </x:c>
      <x:c r="C1852" s="6" t="str">
        <x:v>2n Cycle</x:v>
      </x:c>
      <x:c r="D1852" s="6" t="str">
        <x:v>Single</x:v>
      </x:c>
      <x:c r="E1852" s="6" t="n">
        <x:v>83257</x:v>
      </x:c>
      <x:c r="F1852" s="6" t="n">
        <x:v>0</x:v>
      </x:c>
      <x:c r="G1852" s="6" t="n">
        <x:v>0</x:v>
      </x:c>
      <x:c r="H1852" s="9" t="str">
        <x:v>18-09-2012</x:v>
      </x:c>
      <x:c r="I1852" s="6" t="n">
        <x:v>56</x:v>
      </x:c>
      <x:c r="J1852" s="6" t="n">
        <x:v>536</x:v>
      </x:c>
      <x:c r="K1852" s="6" t="n">
        <x:v>27</x:v>
      </x:c>
      <x:c r="L1852" s="6" t="n">
        <x:v>590</x:v>
      </x:c>
      <x:c r="M1852" s="6" t="n">
        <x:v>38</x:v>
      </x:c>
      <x:c r="N1852" s="6" t="n">
        <x:v>107</x:v>
      </x:c>
      <x:c r="O1852" s="6" t="n">
        <x:v>67</x:v>
      </x:c>
      <x:c r="P1852" s="6" t="n">
        <x:v>1</x:v>
      </x:c>
      <x:c r="Q1852" s="6" t="n">
        <x:v>5</x:v>
      </x:c>
      <x:c r="R1852" s="6" t="n">
        <x:v>10</x:v>
      </x:c>
      <x:c r="S1852" s="6" t="n">
        <x:v>12</x:v>
      </x:c>
      <x:c r="T1852" s="6" t="n">
        <x:v>6</x:v>
      </x:c>
      <x:c r="U1852" s="6" t="n">
        <x:v>1</x:v>
      </x:c>
      <x:c r="V1852" s="6" t="n">
        <x:v>0</x:v>
      </x:c>
      <x:c r="W1852" s="6" t="n">
        <x:v>1</x:v>
      </x:c>
      <x:c r="X1852" s="6" t="n">
        <x:v>0</x:v>
      </x:c>
      <x:c r="Y1852" s="6" t="n">
        <x:v>0</x:v>
      </x:c>
      <x:c r="Z1852" s="6" t="n">
        <x:v>1</x:v>
      </x:c>
      <x:c r="AA1852" s="6" t="n">
        <x:v>3</x:v>
      </x:c>
      <x:c r="AB1852" s="6" t="n">
        <x:v>11</x:v>
      </x:c>
      <x:c r="AC1852" s="6" t="n">
        <x:v>1</x:v>
      </x:c>
    </x:row>
    <x:row r="1853">
      <x:c r="A1853" s="6" t="n">
        <x:v>11148</x:v>
      </x:c>
      <x:c r="B1853" s="6" t="n">
        <x:v>1975</x:v>
      </x:c>
      <x:c r="C1853" s="6" t="str">
        <x:v>Graduation</x:v>
      </x:c>
      <x:c r="D1853" s="6" t="str">
        <x:v>Together</x:v>
      </x:c>
      <x:c r="E1853" s="6" t="n">
        <x:v>22280</x:v>
      </x:c>
      <x:c r="F1853" s="6" t="n">
        <x:v>1</x:v>
      </x:c>
      <x:c r="G1853" s="6" t="n">
        <x:v>0</x:v>
      </x:c>
      <x:c r="H1853" s="9" t="str">
        <x:v>19-05-2013</x:v>
      </x:c>
      <x:c r="I1853" s="6" t="n">
        <x:v>85</x:v>
      </x:c>
      <x:c r="J1853" s="6" t="n">
        <x:v>2</x:v>
      </x:c>
      <x:c r="K1853" s="6" t="n">
        <x:v>1</x:v>
      </x:c>
      <x:c r="L1853" s="6" t="n">
        <x:v>4</x:v>
      </x:c>
      <x:c r="M1853" s="6" t="n">
        <x:v>3</x:v>
      </x:c>
      <x:c r="N1853" s="6" t="n">
        <x:v>1</x:v>
      </x:c>
      <x:c r="O1853" s="6" t="n">
        <x:v>2</x:v>
      </x:c>
      <x:c r="P1853" s="6" t="n">
        <x:v>1</x:v>
      </x:c>
      <x:c r="Q1853" s="6" t="n">
        <x:v>1</x:v>
      </x:c>
      <x:c r="R1853" s="6" t="n">
        <x:v>0</x:v>
      </x:c>
      <x:c r="S1853" s="6" t="n">
        <x:v>2</x:v>
      </x:c>
      <x:c r="T1853" s="6" t="n">
        <x:v>8</x:v>
      </x:c>
      <x:c r="U1853" s="6" t="n">
        <x:v>0</x:v>
      </x:c>
      <x:c r="V1853" s="6" t="n">
        <x:v>0</x:v>
      </x:c>
      <x:c r="W1853" s="6" t="n">
        <x:v>0</x:v>
      </x:c>
      <x:c r="X1853" s="6" t="n">
        <x:v>0</x:v>
      </x:c>
      <x:c r="Y1853" s="6" t="n">
        <x:v>0</x:v>
      </x:c>
      <x:c r="Z1853" s="6" t="n">
        <x:v>0</x:v>
      </x:c>
      <x:c r="AA1853" s="6" t="n">
        <x:v>3</x:v>
      </x:c>
      <x:c r="AB1853" s="6" t="n">
        <x:v>11</x:v>
      </x:c>
      <x:c r="AC1853" s="6" t="n">
        <x:v>0</x:v>
      </x:c>
    </x:row>
    <x:row r="1854">
      <x:c r="A1854" s="6" t="n">
        <x:v>1168</x:v>
      </x:c>
      <x:c r="B1854" s="6" t="n">
        <x:v>1978</x:v>
      </x:c>
      <x:c r="C1854" s="6" t="str">
        <x:v>PhD</x:v>
      </x:c>
      <x:c r="D1854" s="6" t="str">
        <x:v>Married</x:v>
      </x:c>
      <x:c r="E1854" s="6" t="n">
        <x:v>72159</x:v>
      </x:c>
      <x:c r="F1854" s="6" t="n">
        <x:v>0</x:v>
      </x:c>
      <x:c r="G1854" s="6" t="n">
        <x:v>0</x:v>
      </x:c>
      <x:c r="H1854" s="9" t="str">
        <x:v>29-10-2012</x:v>
      </x:c>
      <x:c r="I1854" s="6" t="n">
        <x:v>62</x:v>
      </x:c>
      <x:c r="J1854" s="6" t="n">
        <x:v>322</x:v>
      </x:c>
      <x:c r="K1854" s="6" t="n">
        <x:v>53</x:v>
      </x:c>
      <x:c r="L1854" s="6" t="n">
        <x:v>899</x:v>
      </x:c>
      <x:c r="M1854" s="6" t="n">
        <x:v>34</x:v>
      </x:c>
      <x:c r="N1854" s="6" t="n">
        <x:v>40</x:v>
      </x:c>
      <x:c r="O1854" s="6" t="n">
        <x:v>53</x:v>
      </x:c>
      <x:c r="P1854" s="6" t="n">
        <x:v>1</x:v>
      </x:c>
      <x:c r="Q1854" s="6" t="n">
        <x:v>4</x:v>
      </x:c>
      <x:c r="R1854" s="6" t="n">
        <x:v>6</x:v>
      </x:c>
      <x:c r="S1854" s="6" t="n">
        <x:v>10</x:v>
      </x:c>
      <x:c r="T1854" s="6" t="n">
        <x:v>2</x:v>
      </x:c>
      <x:c r="U1854" s="6" t="n">
        <x:v>0</x:v>
      </x:c>
      <x:c r="V1854" s="6" t="n">
        <x:v>0</x:v>
      </x:c>
      <x:c r="W1854" s="6" t="n">
        <x:v>0</x:v>
      </x:c>
      <x:c r="X1854" s="6" t="n">
        <x:v>0</x:v>
      </x:c>
      <x:c r="Y1854" s="6" t="n">
        <x:v>0</x:v>
      </x:c>
      <x:c r="Z1854" s="6" t="n">
        <x:v>0</x:v>
      </x:c>
      <x:c r="AA1854" s="6" t="n">
        <x:v>3</x:v>
      </x:c>
      <x:c r="AB1854" s="6" t="n">
        <x:v>11</x:v>
      </x:c>
      <x:c r="AC1854" s="6" t="n">
        <x:v>0</x:v>
      </x:c>
    </x:row>
    <x:row r="1855">
      <x:c r="A1855" s="6" t="n">
        <x:v>9595</x:v>
      </x:c>
      <x:c r="B1855" s="6" t="n">
        <x:v>1961</x:v>
      </x:c>
      <x:c r="C1855" s="6" t="str">
        <x:v>Graduation</x:v>
      </x:c>
      <x:c r="D1855" s="6" t="str">
        <x:v>Together</x:v>
      </x:c>
      <x:c r="E1855" s="6" t="n">
        <x:v>64260</x:v>
      </x:c>
      <x:c r="F1855" s="6" t="n">
        <x:v>0</x:v>
      </x:c>
      <x:c r="G1855" s="6" t="n">
        <x:v>0</x:v>
      </x:c>
      <x:c r="H1855" s="9" t="str">
        <x:v>11-01-2013</x:v>
      </x:c>
      <x:c r="I1855" s="6" t="n">
        <x:v>1</x:v>
      </x:c>
      <x:c r="J1855" s="6" t="n">
        <x:v>539</x:v>
      </x:c>
      <x:c r="K1855" s="6" t="n">
        <x:v>169</x:v>
      </x:c>
      <x:c r="L1855" s="6" t="n">
        <x:v>816</x:v>
      </x:c>
      <x:c r="M1855" s="6" t="n">
        <x:v>20</x:v>
      </x:c>
      <x:c r="N1855" s="6" t="n">
        <x:v>0</x:v>
      </x:c>
      <x:c r="O1855" s="6" t="n">
        <x:v>30</x:v>
      </x:c>
      <x:c r="P1855" s="6" t="n">
        <x:v>1</x:v>
      </x:c>
      <x:c r="Q1855" s="6" t="n">
        <x:v>4</x:v>
      </x:c>
      <x:c r="R1855" s="6" t="n">
        <x:v>5</x:v>
      </x:c>
      <x:c r="S1855" s="6" t="n">
        <x:v>4</x:v>
      </x:c>
      <x:c r="T1855" s="6" t="n">
        <x:v>3</x:v>
      </x:c>
      <x:c r="U1855" s="6" t="n">
        <x:v>0</x:v>
      </x:c>
      <x:c r="V1855" s="6" t="n">
        <x:v>0</x:v>
      </x:c>
      <x:c r="W1855" s="6" t="n">
        <x:v>0</x:v>
      </x:c>
      <x:c r="X1855" s="6" t="n">
        <x:v>0</x:v>
      </x:c>
      <x:c r="Y1855" s="6" t="n">
        <x:v>0</x:v>
      </x:c>
      <x:c r="Z1855" s="6" t="n">
        <x:v>0</x:v>
      </x:c>
      <x:c r="AA1855" s="6" t="n">
        <x:v>3</x:v>
      </x:c>
      <x:c r="AB1855" s="6" t="n">
        <x:v>11</x:v>
      </x:c>
      <x:c r="AC1855" s="6" t="n">
        <x:v>1</x:v>
      </x:c>
    </x:row>
    <x:row r="1856">
      <x:c r="A1856" s="6" t="n">
        <x:v>10163</x:v>
      </x:c>
      <x:c r="B1856" s="6" t="n">
        <x:v>1984</x:v>
      </x:c>
      <x:c r="C1856" s="6" t="str">
        <x:v>PhD</x:v>
      </x:c>
      <x:c r="D1856" s="6" t="str">
        <x:v>Single</x:v>
      </x:c>
      <x:c r="E1856" s="6" t="n">
        <x:v>82733</x:v>
      </x:c>
      <x:c r="F1856" s="6" t="n">
        <x:v>0</x:v>
      </x:c>
      <x:c r="G1856" s="6" t="n">
        <x:v>0</x:v>
      </x:c>
      <x:c r="H1856" s="9" t="str">
        <x:v>10-09-2013</x:v>
      </x:c>
      <x:c r="I1856" s="6" t="n">
        <x:v>28</x:v>
      </x:c>
      <x:c r="J1856" s="6" t="n">
        <x:v>712</x:v>
      </x:c>
      <x:c r="K1856" s="6" t="n">
        <x:v>50</x:v>
      </x:c>
      <x:c r="L1856" s="6" t="n">
        <x:v>420</x:v>
      </x:c>
      <x:c r="M1856" s="6" t="n">
        <x:v>65</x:v>
      </x:c>
      <x:c r="N1856" s="6" t="n">
        <x:v>38</x:v>
      </x:c>
      <x:c r="O1856" s="6" t="n">
        <x:v>38</x:v>
      </x:c>
      <x:c r="P1856" s="6" t="n">
        <x:v>1</x:v>
      </x:c>
      <x:c r="Q1856" s="6" t="n">
        <x:v>8</x:v>
      </x:c>
      <x:c r="R1856" s="6" t="n">
        <x:v>4</x:v>
      </x:c>
      <x:c r="S1856" s="6" t="n">
        <x:v>7</x:v>
      </x:c>
      <x:c r="T1856" s="6" t="n">
        <x:v>4</x:v>
      </x:c>
      <x:c r="U1856" s="6" t="n">
        <x:v>0</x:v>
      </x:c>
      <x:c r="V1856" s="6" t="n">
        <x:v>0</x:v>
      </x:c>
      <x:c r="W1856" s="6" t="n">
        <x:v>0</x:v>
      </x:c>
      <x:c r="X1856" s="6" t="n">
        <x:v>0</x:v>
      </x:c>
      <x:c r="Y1856" s="6" t="n">
        <x:v>0</x:v>
      </x:c>
      <x:c r="Z1856" s="6" t="n">
        <x:v>0</x:v>
      </x:c>
      <x:c r="AA1856" s="6" t="n">
        <x:v>3</x:v>
      </x:c>
      <x:c r="AB1856" s="6" t="n">
        <x:v>11</x:v>
      </x:c>
      <x:c r="AC1856" s="6" t="n">
        <x:v>1</x:v>
      </x:c>
    </x:row>
    <x:row r="1857">
      <x:c r="A1857" s="6" t="n">
        <x:v>2886</x:v>
      </x:c>
      <x:c r="B1857" s="6" t="n">
        <x:v>1971</x:v>
      </x:c>
      <x:c r="C1857" s="6" t="str">
        <x:v>Master</x:v>
      </x:c>
      <x:c r="D1857" s="6" t="str">
        <x:v>Divorced</x:v>
      </x:c>
      <x:c r="E1857" s="6" t="n">
        <x:v>74290</x:v>
      </x:c>
      <x:c r="F1857" s="6" t="n">
        <x:v>0</x:v>
      </x:c>
      <x:c r="G1857" s="6" t="n">
        <x:v>1</x:v>
      </x:c>
      <x:c r="H1857" s="9" t="str">
        <x:v>12-08-2013</x:v>
      </x:c>
      <x:c r="I1857" s="6" t="n">
        <x:v>70</x:v>
      </x:c>
      <x:c r="J1857" s="6" t="n">
        <x:v>1121</x:v>
      </x:c>
      <x:c r="K1857" s="6" t="n">
        <x:v>0</x:v>
      </x:c>
      <x:c r="L1857" s="6" t="n">
        <x:v>72</x:v>
      </x:c>
      <x:c r="M1857" s="6" t="n">
        <x:v>0</x:v>
      </x:c>
      <x:c r="N1857" s="6" t="n">
        <x:v>12</x:v>
      </x:c>
      <x:c r="O1857" s="6" t="n">
        <x:v>12</x:v>
      </x:c>
      <x:c r="P1857" s="6" t="n">
        <x:v>4</x:v>
      </x:c>
      <x:c r="Q1857" s="6" t="n">
        <x:v>10</x:v>
      </x:c>
      <x:c r="R1857" s="6" t="n">
        <x:v>8</x:v>
      </x:c>
      <x:c r="S1857" s="6" t="n">
        <x:v>10</x:v>
      </x:c>
      <x:c r="T1857" s="6" t="n">
        <x:v>6</x:v>
      </x:c>
      <x:c r="U1857" s="6" t="n">
        <x:v>0</x:v>
      </x:c>
      <x:c r="V1857" s="6" t="n">
        <x:v>1</x:v>
      </x:c>
      <x:c r="W1857" s="6" t="n">
        <x:v>0</x:v>
      </x:c>
      <x:c r="X1857" s="6" t="n">
        <x:v>1</x:v>
      </x:c>
      <x:c r="Y1857" s="6" t="n">
        <x:v>0</x:v>
      </x:c>
      <x:c r="Z1857" s="6" t="n">
        <x:v>0</x:v>
      </x:c>
      <x:c r="AA1857" s="6" t="n">
        <x:v>3</x:v>
      </x:c>
      <x:c r="AB1857" s="6" t="n">
        <x:v>11</x:v>
      </x:c>
      <x:c r="AC1857" s="6" t="n">
        <x:v>0</x:v>
      </x:c>
    </x:row>
    <x:row r="1858">
      <x:c r="A1858" s="6" t="n">
        <x:v>6710</x:v>
      </x:c>
      <x:c r="B1858" s="6" t="n">
        <x:v>1951</x:v>
      </x:c>
      <x:c r="C1858" s="6" t="str">
        <x:v>Master</x:v>
      </x:c>
      <x:c r="D1858" s="6" t="str">
        <x:v>Single</x:v>
      </x:c>
      <x:c r="E1858" s="6" t="n">
        <x:v>58217</x:v>
      </x:c>
      <x:c r="F1858" s="6" t="n">
        <x:v>2</x:v>
      </x:c>
      <x:c r="G1858" s="6" t="n">
        <x:v>1</x:v>
      </x:c>
      <x:c r="H1858" s="9" t="str">
        <x:v>17-11-2012</x:v>
      </x:c>
      <x:c r="I1858" s="6" t="n">
        <x:v>84</x:v>
      </x:c>
      <x:c r="J1858" s="6" t="n">
        <x:v>68</x:v>
      </x:c>
      <x:c r="K1858" s="6" t="n">
        <x:v>1</x:v>
      </x:c>
      <x:c r="L1858" s="6" t="n">
        <x:v>13</x:v>
      </x:c>
      <x:c r="M1858" s="6" t="n">
        <x:v>3</x:v>
      </x:c>
      <x:c r="N1858" s="6" t="n">
        <x:v>5</x:v>
      </x:c>
      <x:c r="O1858" s="6" t="n">
        <x:v>13</x:v>
      </x:c>
      <x:c r="P1858" s="6" t="n">
        <x:v>1</x:v>
      </x:c>
      <x:c r="Q1858" s="6" t="n">
        <x:v>2</x:v>
      </x:c>
      <x:c r="R1858" s="6" t="n">
        <x:v>0</x:v>
      </x:c>
      <x:c r="S1858" s="6" t="n">
        <x:v>4</x:v>
      </x:c>
      <x:c r="T1858" s="6" t="n">
        <x:v>6</x:v>
      </x:c>
      <x:c r="U1858" s="6" t="n">
        <x:v>0</x:v>
      </x:c>
      <x:c r="V1858" s="6" t="n">
        <x:v>0</x:v>
      </x:c>
      <x:c r="W1858" s="6" t="n">
        <x:v>0</x:v>
      </x:c>
      <x:c r="X1858" s="6" t="n">
        <x:v>0</x:v>
      </x:c>
      <x:c r="Y1858" s="6" t="n">
        <x:v>0</x:v>
      </x:c>
      <x:c r="Z1858" s="6" t="n">
        <x:v>0</x:v>
      </x:c>
      <x:c r="AA1858" s="6" t="n">
        <x:v>3</x:v>
      </x:c>
      <x:c r="AB1858" s="6" t="n">
        <x:v>11</x:v>
      </x:c>
      <x:c r="AC1858" s="6" t="n">
        <x:v>0</x:v>
      </x:c>
    </x:row>
    <x:row r="1859">
      <x:c r="A1859" s="6" t="n">
        <x:v>5316</x:v>
      </x:c>
      <x:c r="B1859" s="6" t="n">
        <x:v>1976</x:v>
      </x:c>
      <x:c r="C1859" s="6" t="str">
        <x:v>Master</x:v>
      </x:c>
      <x:c r="D1859" s="6" t="str">
        <x:v>Together</x:v>
      </x:c>
      <x:c r="E1859" s="6" t="n">
        <x:v>21024</x:v>
      </x:c>
      <x:c r="F1859" s="6" t="n">
        <x:v>0</x:v>
      </x:c>
      <x:c r="G1859" s="6" t="n">
        <x:v>0</x:v>
      </x:c>
      <x:c r="H1859" s="9" t="str">
        <x:v>04-07-2013</x:v>
      </x:c>
      <x:c r="I1859" s="6" t="n">
        <x:v>89</x:v>
      </x:c>
      <x:c r="J1859" s="6" t="n">
        <x:v>36</x:v>
      </x:c>
      <x:c r="K1859" s="6" t="n">
        <x:v>4</x:v>
      </x:c>
      <x:c r="L1859" s="6" t="n">
        <x:v>18</x:v>
      </x:c>
      <x:c r="M1859" s="6" t="n">
        <x:v>6</x:v>
      </x:c>
      <x:c r="N1859" s="6" t="n">
        <x:v>2</x:v>
      </x:c>
      <x:c r="O1859" s="6" t="n">
        <x:v>18</x:v>
      </x:c>
      <x:c r="P1859" s="6" t="n">
        <x:v>1</x:v>
      </x:c>
      <x:c r="Q1859" s="6" t="n">
        <x:v>2</x:v>
      </x:c>
      <x:c r="R1859" s="6" t="n">
        <x:v>0</x:v>
      </x:c>
      <x:c r="S1859" s="6" t="n">
        <x:v>4</x:v>
      </x:c>
      <x:c r="T1859" s="6" t="n">
        <x:v>7</x:v>
      </x:c>
      <x:c r="U1859" s="6" t="n">
        <x:v>0</x:v>
      </x:c>
      <x:c r="V1859" s="6" t="n">
        <x:v>0</x:v>
      </x:c>
      <x:c r="W1859" s="6" t="n">
        <x:v>0</x:v>
      </x:c>
      <x:c r="X1859" s="6" t="n">
        <x:v>0</x:v>
      </x:c>
      <x:c r="Y1859" s="6" t="n">
        <x:v>0</x:v>
      </x:c>
      <x:c r="Z1859" s="6" t="n">
        <x:v>0</x:v>
      </x:c>
      <x:c r="AA1859" s="6" t="n">
        <x:v>3</x:v>
      </x:c>
      <x:c r="AB1859" s="6" t="n">
        <x:v>11</x:v>
      </x:c>
      <x:c r="AC1859" s="6" t="n">
        <x:v>0</x:v>
      </x:c>
    </x:row>
    <x:row r="1860">
      <x:c r="A1860" s="6" t="n">
        <x:v>9029</x:v>
      </x:c>
      <x:c r="B1860" s="6" t="n">
        <x:v>1972</x:v>
      </x:c>
      <x:c r="C1860" s="6" t="str">
        <x:v>PhD</x:v>
      </x:c>
      <x:c r="D1860" s="6" t="str">
        <x:v>Married</x:v>
      </x:c>
      <x:c r="E1860" s="6" t="n">
        <x:v>70116</x:v>
      </x:c>
      <x:c r="F1860" s="6" t="n">
        <x:v>0</x:v>
      </x:c>
      <x:c r="G1860" s="6" t="n">
        <x:v>0</x:v>
      </x:c>
      <x:c r="H1860" s="9" t="str">
        <x:v>26-01-2013</x:v>
      </x:c>
      <x:c r="I1860" s="6" t="n">
        <x:v>73</x:v>
      </x:c>
      <x:c r="J1860" s="6" t="n">
        <x:v>707</x:v>
      </x:c>
      <x:c r="K1860" s="6" t="n">
        <x:v>44</x:v>
      </x:c>
      <x:c r="L1860" s="6" t="n">
        <x:v>603</x:v>
      </x:c>
      <x:c r="M1860" s="6" t="n">
        <x:v>95</x:v>
      </x:c>
      <x:c r="N1860" s="6" t="n">
        <x:v>58</x:v>
      </x:c>
      <x:c r="O1860" s="6" t="n">
        <x:v>29</x:v>
      </x:c>
      <x:c r="P1860" s="6" t="n">
        <x:v>1</x:v>
      </x:c>
      <x:c r="Q1860" s="6" t="n">
        <x:v>2</x:v>
      </x:c>
      <x:c r="R1860" s="6" t="n">
        <x:v>8</x:v>
      </x:c>
      <x:c r="S1860" s="6" t="n">
        <x:v>12</x:v>
      </x:c>
      <x:c r="T1860" s="6" t="n">
        <x:v>1</x:v>
      </x:c>
      <x:c r="U1860" s="6" t="n">
        <x:v>0</x:v>
      </x:c>
      <x:c r="V1860" s="6" t="n">
        <x:v>0</x:v>
      </x:c>
      <x:c r="W1860" s="6" t="n">
        <x:v>0</x:v>
      </x:c>
      <x:c r="X1860" s="6" t="n">
        <x:v>0</x:v>
      </x:c>
      <x:c r="Y1860" s="6" t="n">
        <x:v>0</x:v>
      </x:c>
      <x:c r="Z1860" s="6" t="n">
        <x:v>0</x:v>
      </x:c>
      <x:c r="AA1860" s="6" t="n">
        <x:v>3</x:v>
      </x:c>
      <x:c r="AB1860" s="6" t="n">
        <x:v>11</x:v>
      </x:c>
      <x:c r="AC1860" s="6" t="n">
        <x:v>0</x:v>
      </x:c>
    </x:row>
    <x:row r="1861">
      <x:c r="A1861" s="6" t="n">
        <x:v>521</x:v>
      </x:c>
      <x:c r="B1861" s="6" t="n">
        <x:v>1985</x:v>
      </x:c>
      <x:c r="C1861" s="6" t="str">
        <x:v>Graduation</x:v>
      </x:c>
      <x:c r="D1861" s="6" t="str">
        <x:v>Together</x:v>
      </x:c>
      <x:c r="E1861" s="6" t="n">
        <x:v>54006</x:v>
      </x:c>
      <x:c r="F1861" s="6" t="n">
        <x:v>1</x:v>
      </x:c>
      <x:c r="G1861" s="6" t="n">
        <x:v>0</x:v>
      </x:c>
      <x:c r="H1861" s="9" t="str">
        <x:v>18-09-2012</x:v>
      </x:c>
      <x:c r="I1861" s="6" t="n">
        <x:v>42</x:v>
      </x:c>
      <x:c r="J1861" s="6" t="n">
        <x:v>174</x:v>
      </x:c>
      <x:c r="K1861" s="6" t="n">
        <x:v>77</x:v>
      </x:c>
      <x:c r="L1861" s="6" t="n">
        <x:v>203</x:v>
      </x:c>
      <x:c r="M1861" s="6" t="n">
        <x:v>6</x:v>
      </x:c>
      <x:c r="N1861" s="6" t="n">
        <x:v>24</x:v>
      </x:c>
      <x:c r="O1861" s="6" t="n">
        <x:v>97</x:v>
      </x:c>
      <x:c r="P1861" s="6" t="n">
        <x:v>2</x:v>
      </x:c>
      <x:c r="Q1861" s="6" t="n">
        <x:v>8</x:v>
      </x:c>
      <x:c r="R1861" s="6" t="n">
        <x:v>1</x:v>
      </x:c>
      <x:c r="S1861" s="6" t="n">
        <x:v>7</x:v>
      </x:c>
      <x:c r="T1861" s="6" t="n">
        <x:v>7</x:v>
      </x:c>
      <x:c r="U1861" s="6" t="n">
        <x:v>0</x:v>
      </x:c>
      <x:c r="V1861" s="6" t="n">
        <x:v>0</x:v>
      </x:c>
      <x:c r="W1861" s="6" t="n">
        <x:v>0</x:v>
      </x:c>
      <x:c r="X1861" s="6" t="n">
        <x:v>0</x:v>
      </x:c>
      <x:c r="Y1861" s="6" t="n">
        <x:v>0</x:v>
      </x:c>
      <x:c r="Z1861" s="6" t="n">
        <x:v>0</x:v>
      </x:c>
      <x:c r="AA1861" s="6" t="n">
        <x:v>3</x:v>
      </x:c>
      <x:c r="AB1861" s="6" t="n">
        <x:v>11</x:v>
      </x:c>
      <x:c r="AC1861" s="6" t="n">
        <x:v>0</x:v>
      </x:c>
    </x:row>
    <x:row r="1862">
      <x:c r="A1862" s="6" t="n">
        <x:v>1459</x:v>
      </x:c>
      <x:c r="B1862" s="6" t="n">
        <x:v>1966</x:v>
      </x:c>
      <x:c r="C1862" s="6" t="str">
        <x:v>PhD</x:v>
      </x:c>
      <x:c r="D1862" s="6" t="str">
        <x:v>Married</x:v>
      </x:c>
      <x:c r="E1862" s="6" t="n">
        <x:v>69063</x:v>
      </x:c>
      <x:c r="F1862" s="6" t="n">
        <x:v>0</x:v>
      </x:c>
      <x:c r="G1862" s="6" t="n">
        <x:v>1</x:v>
      </x:c>
      <x:c r="H1862" s="9" t="str">
        <x:v>07-11-2012</x:v>
      </x:c>
      <x:c r="I1862" s="6" t="n">
        <x:v>16</x:v>
      </x:c>
      <x:c r="J1862" s="6" t="n">
        <x:v>666</x:v>
      </x:c>
      <x:c r="K1862" s="6" t="n">
        <x:v>35</x:v>
      </x:c>
      <x:c r="L1862" s="6" t="n">
        <x:v>124</x:v>
      </x:c>
      <x:c r="M1862" s="6" t="n">
        <x:v>69</x:v>
      </x:c>
      <x:c r="N1862" s="6" t="n">
        <x:v>8</x:v>
      </x:c>
      <x:c r="O1862" s="6" t="n">
        <x:v>26</x:v>
      </x:c>
      <x:c r="P1862" s="6" t="n">
        <x:v>1</x:v>
      </x:c>
      <x:c r="Q1862" s="6" t="n">
        <x:v>5</x:v>
      </x:c>
      <x:c r="R1862" s="6" t="n">
        <x:v>3</x:v>
      </x:c>
      <x:c r="S1862" s="6" t="n">
        <x:v>5</x:v>
      </x:c>
      <x:c r="T1862" s="6" t="n">
        <x:v>3</x:v>
      </x:c>
      <x:c r="U1862" s="6" t="n">
        <x:v>0</x:v>
      </x:c>
      <x:c r="V1862" s="6" t="n">
        <x:v>0</x:v>
      </x:c>
      <x:c r="W1862" s="6" t="n">
        <x:v>0</x:v>
      </x:c>
      <x:c r="X1862" s="6" t="n">
        <x:v>0</x:v>
      </x:c>
      <x:c r="Y1862" s="6" t="n">
        <x:v>0</x:v>
      </x:c>
      <x:c r="Z1862" s="6" t="n">
        <x:v>0</x:v>
      </x:c>
      <x:c r="AA1862" s="6" t="n">
        <x:v>3</x:v>
      </x:c>
      <x:c r="AB1862" s="6" t="n">
        <x:v>11</x:v>
      </x:c>
      <x:c r="AC1862" s="6" t="n">
        <x:v>0</x:v>
      </x:c>
    </x:row>
    <x:row r="1863">
      <x:c r="A1863" s="6" t="n">
        <x:v>10241</x:v>
      </x:c>
      <x:c r="B1863" s="6" t="n">
        <x:v>1975</x:v>
      </x:c>
      <x:c r="C1863" s="6" t="str">
        <x:v>2n Cycle</x:v>
      </x:c>
      <x:c r="D1863" s="6" t="str">
        <x:v>Divorced</x:v>
      </x:c>
      <x:c r="E1863" s="6" t="n">
        <x:v>11448</x:v>
      </x:c>
      <x:c r="F1863" s="6" t="n">
        <x:v>0</x:v>
      </x:c>
      <x:c r="G1863" s="6" t="n">
        <x:v>0</x:v>
      </x:c>
      <x:c r="H1863" s="9" t="str">
        <x:v>15-12-2013</x:v>
      </x:c>
      <x:c r="I1863" s="6" t="n">
        <x:v>16</x:v>
      </x:c>
      <x:c r="J1863" s="6" t="n">
        <x:v>0</x:v>
      </x:c>
      <x:c r="K1863" s="6" t="n">
        <x:v>0</x:v>
      </x:c>
      <x:c r="L1863" s="6" t="n">
        <x:v>0</x:v>
      </x:c>
      <x:c r="M1863" s="6" t="n">
        <x:v>6</x:v>
      </x:c>
      <x:c r="N1863" s="6" t="n">
        <x:v>2</x:v>
      </x:c>
      <x:c r="O1863" s="6" t="n">
        <x:v>6</x:v>
      </x:c>
      <x:c r="P1863" s="6" t="n">
        <x:v>1</x:v>
      </x:c>
      <x:c r="Q1863" s="6" t="n">
        <x:v>1</x:v>
      </x:c>
      <x:c r="R1863" s="6" t="n">
        <x:v>0</x:v>
      </x:c>
      <x:c r="S1863" s="6" t="n">
        <x:v>2</x:v>
      </x:c>
      <x:c r="T1863" s="6" t="n">
        <x:v>6</x:v>
      </x:c>
      <x:c r="U1863" s="6" t="n">
        <x:v>0</x:v>
      </x:c>
      <x:c r="V1863" s="6" t="n">
        <x:v>0</x:v>
      </x:c>
      <x:c r="W1863" s="6" t="n">
        <x:v>0</x:v>
      </x:c>
      <x:c r="X1863" s="6" t="n">
        <x:v>0</x:v>
      </x:c>
      <x:c r="Y1863" s="6" t="n">
        <x:v>0</x:v>
      </x:c>
      <x:c r="Z1863" s="6" t="n">
        <x:v>0</x:v>
      </x:c>
      <x:c r="AA1863" s="6" t="n">
        <x:v>3</x:v>
      </x:c>
      <x:c r="AB1863" s="6" t="n">
        <x:v>11</x:v>
      </x:c>
      <x:c r="AC1863" s="6" t="n">
        <x:v>0</x:v>
      </x:c>
    </x:row>
    <x:row r="1864">
      <x:c r="A1864" s="6" t="n">
        <x:v>1630</x:v>
      </x:c>
      <x:c r="B1864" s="6" t="n">
        <x:v>1979</x:v>
      </x:c>
      <x:c r="C1864" s="6" t="str">
        <x:v>Graduation</x:v>
      </x:c>
      <x:c r="D1864" s="6" t="str">
        <x:v>Single</x:v>
      </x:c>
      <x:c r="E1864" s="6" t="n">
        <x:v>61825</x:v>
      </x:c>
      <x:c r="F1864" s="6" t="n">
        <x:v>0</x:v>
      </x:c>
      <x:c r="G1864" s="6" t="n">
        <x:v>1</x:v>
      </x:c>
      <x:c r="H1864" s="9" t="str">
        <x:v>07-08-2013</x:v>
      </x:c>
      <x:c r="I1864" s="6" t="n">
        <x:v>56</x:v>
      </x:c>
      <x:c r="J1864" s="6" t="n">
        <x:v>162</x:v>
      </x:c>
      <x:c r="K1864" s="6" t="n">
        <x:v>50</x:v>
      </x:c>
      <x:c r="L1864" s="6" t="n">
        <x:v>100</x:v>
      </x:c>
      <x:c r="M1864" s="6" t="n">
        <x:v>55</x:v>
      </x:c>
      <x:c r="N1864" s="6" t="n">
        <x:v>30</x:v>
      </x:c>
      <x:c r="O1864" s="6" t="n">
        <x:v>27</x:v>
      </x:c>
      <x:c r="P1864" s="6" t="n">
        <x:v>1</x:v>
      </x:c>
      <x:c r="Q1864" s="6" t="n">
        <x:v>4</x:v>
      </x:c>
      <x:c r="R1864" s="6" t="n">
        <x:v>2</x:v>
      </x:c>
      <x:c r="S1864" s="6" t="n">
        <x:v>8</x:v>
      </x:c>
      <x:c r="T1864" s="6" t="n">
        <x:v>4</x:v>
      </x:c>
      <x:c r="U1864" s="6" t="n">
        <x:v>0</x:v>
      </x:c>
      <x:c r="V1864" s="6" t="n">
        <x:v>0</x:v>
      </x:c>
      <x:c r="W1864" s="6" t="n">
        <x:v>0</x:v>
      </x:c>
      <x:c r="X1864" s="6" t="n">
        <x:v>0</x:v>
      </x:c>
      <x:c r="Y1864" s="6" t="n">
        <x:v>0</x:v>
      </x:c>
      <x:c r="Z1864" s="6" t="n">
        <x:v>0</x:v>
      </x:c>
      <x:c r="AA1864" s="6" t="n">
        <x:v>3</x:v>
      </x:c>
      <x:c r="AB1864" s="6" t="n">
        <x:v>11</x:v>
      </x:c>
      <x:c r="AC1864" s="6" t="n">
        <x:v>0</x:v>
      </x:c>
    </x:row>
    <x:row r="1865">
      <x:c r="A1865" s="6" t="n">
        <x:v>3254</x:v>
      </x:c>
      <x:c r="B1865" s="6" t="n">
        <x:v>1971</x:v>
      </x:c>
      <x:c r="C1865" s="6" t="str">
        <x:v>Graduation</x:v>
      </x:c>
      <x:c r="D1865" s="6" t="str">
        <x:v>Married</x:v>
      </x:c>
      <x:c r="E1865" s="6" t="n">
        <x:v>70886</x:v>
      </x:c>
      <x:c r="F1865" s="6" t="n">
        <x:v>1</x:v>
      </x:c>
      <x:c r="G1865" s="6" t="n">
        <x:v>0</x:v>
      </x:c>
      <x:c r="H1865" s="9" t="str">
        <x:v>14-10-2013</x:v>
      </x:c>
      <x:c r="I1865" s="6" t="n">
        <x:v>65</x:v>
      </x:c>
      <x:c r="J1865" s="6" t="n">
        <x:v>407</x:v>
      </x:c>
      <x:c r="K1865" s="6" t="n">
        <x:v>70</x:v>
      </x:c>
      <x:c r="L1865" s="6" t="n">
        <x:v>239</x:v>
      </x:c>
      <x:c r="M1865" s="6" t="n">
        <x:v>103</x:v>
      </x:c>
      <x:c r="N1865" s="6" t="n">
        <x:v>88</x:v>
      </x:c>
      <x:c r="O1865" s="6" t="n">
        <x:v>53</x:v>
      </x:c>
      <x:c r="P1865" s="6" t="n">
        <x:v>1</x:v>
      </x:c>
      <x:c r="Q1865" s="6" t="n">
        <x:v>5</x:v>
      </x:c>
      <x:c r="R1865" s="6" t="n">
        <x:v>4</x:v>
      </x:c>
      <x:c r="S1865" s="6" t="n">
        <x:v>4</x:v>
      </x:c>
      <x:c r="T1865" s="6" t="n">
        <x:v>2</x:v>
      </x:c>
      <x:c r="U1865" s="6" t="n">
        <x:v>0</x:v>
      </x:c>
      <x:c r="V1865" s="6" t="n">
        <x:v>0</x:v>
      </x:c>
      <x:c r="W1865" s="6" t="n">
        <x:v>0</x:v>
      </x:c>
      <x:c r="X1865" s="6" t="n">
        <x:v>0</x:v>
      </x:c>
      <x:c r="Y1865" s="6" t="n">
        <x:v>0</x:v>
      </x:c>
      <x:c r="Z1865" s="6" t="n">
        <x:v>0</x:v>
      </x:c>
      <x:c r="AA1865" s="6" t="n">
        <x:v>3</x:v>
      </x:c>
      <x:c r="AB1865" s="6" t="n">
        <x:v>11</x:v>
      </x:c>
      <x:c r="AC1865" s="6" t="n">
        <x:v>0</x:v>
      </x:c>
    </x:row>
    <x:row r="1866">
      <x:c r="A1866" s="6" t="n">
        <x:v>9064</x:v>
      </x:c>
      <x:c r="B1866" s="6" t="n">
        <x:v>1982</x:v>
      </x:c>
      <x:c r="C1866" s="6" t="str">
        <x:v>Graduation</x:v>
      </x:c>
      <x:c r="D1866" s="6" t="str">
        <x:v>Married</x:v>
      </x:c>
      <x:c r="E1866" s="6" t="n">
        <x:v>69109</x:v>
      </x:c>
      <x:c r="F1866" s="6" t="n">
        <x:v>0</x:v>
      </x:c>
      <x:c r="G1866" s="6" t="n">
        <x:v>0</x:v>
      </x:c>
      <x:c r="H1866" s="9" t="str">
        <x:v>09-11-2012</x:v>
      </x:c>
      <x:c r="I1866" s="6" t="n">
        <x:v>10</x:v>
      </x:c>
      <x:c r="J1866" s="6" t="n">
        <x:v>823</x:v>
      </x:c>
      <x:c r="K1866" s="6" t="n">
        <x:v>25</x:v>
      </x:c>
      <x:c r="L1866" s="6" t="n">
        <x:v>459</x:v>
      </x:c>
      <x:c r="M1866" s="6" t="n">
        <x:v>124</x:v>
      </x:c>
      <x:c r="N1866" s="6" t="n">
        <x:v>29</x:v>
      </x:c>
      <x:c r="O1866" s="6" t="n">
        <x:v>95</x:v>
      </x:c>
      <x:c r="P1866" s="6" t="n">
        <x:v>1</x:v>
      </x:c>
      <x:c r="Q1866" s="6" t="n">
        <x:v>6</x:v>
      </x:c>
      <x:c r="R1866" s="6" t="n">
        <x:v>6</x:v>
      </x:c>
      <x:c r="S1866" s="6" t="n">
        <x:v>7</x:v>
      </x:c>
      <x:c r="T1866" s="6" t="n">
        <x:v>4</x:v>
      </x:c>
      <x:c r="U1866" s="6" t="n">
        <x:v>0</x:v>
      </x:c>
      <x:c r="V1866" s="6" t="n">
        <x:v>0</x:v>
      </x:c>
      <x:c r="W1866" s="6" t="n">
        <x:v>1</x:v>
      </x:c>
      <x:c r="X1866" s="6" t="n">
        <x:v>0</x:v>
      </x:c>
      <x:c r="Y1866" s="6" t="n">
        <x:v>0</x:v>
      </x:c>
      <x:c r="Z1866" s="6" t="n">
        <x:v>0</x:v>
      </x:c>
      <x:c r="AA1866" s="6" t="n">
        <x:v>3</x:v>
      </x:c>
      <x:c r="AB1866" s="6" t="n">
        <x:v>11</x:v>
      </x:c>
      <x:c r="AC1866" s="6" t="n">
        <x:v>1</x:v>
      </x:c>
    </x:row>
    <x:row r="1867">
      <x:c r="A1867" s="6" t="n">
        <x:v>3678</x:v>
      </x:c>
      <x:c r="B1867" s="6" t="n">
        <x:v>1973</x:v>
      </x:c>
      <x:c r="C1867" s="6" t="str">
        <x:v>Graduation</x:v>
      </x:c>
      <x:c r="D1867" s="6" t="str">
        <x:v>Widow</x:v>
      </x:c>
      <x:c r="E1867" s="6" t="n">
        <x:v>60208</x:v>
      </x:c>
      <x:c r="F1867" s="6" t="n">
        <x:v>1</x:v>
      </x:c>
      <x:c r="G1867" s="6" t="n">
        <x:v>1</x:v>
      </x:c>
      <x:c r="H1867" s="9" t="str">
        <x:v>07-10-2012</x:v>
      </x:c>
      <x:c r="I1867" s="6" t="n">
        <x:v>13</x:v>
      </x:c>
      <x:c r="J1867" s="6" t="n">
        <x:v>488</x:v>
      </x:c>
      <x:c r="K1867" s="6" t="n">
        <x:v>23</x:v>
      </x:c>
      <x:c r="L1867" s="6" t="n">
        <x:v>71</x:v>
      </x:c>
      <x:c r="M1867" s="6" t="n">
        <x:v>15</x:v>
      </x:c>
      <x:c r="N1867" s="6" t="n">
        <x:v>0</x:v>
      </x:c>
      <x:c r="O1867" s="6" t="n">
        <x:v>59</x:v>
      </x:c>
      <x:c r="P1867" s="6" t="n">
        <x:v>11</x:v>
      </x:c>
      <x:c r="Q1867" s="6" t="n">
        <x:v>8</x:v>
      </x:c>
      <x:c r="R1867" s="6" t="n">
        <x:v>3</x:v>
      </x:c>
      <x:c r="S1867" s="6" t="n">
        <x:v>7</x:v>
      </x:c>
      <x:c r="T1867" s="6" t="n">
        <x:v>7</x:v>
      </x:c>
      <x:c r="U1867" s="6" t="n">
        <x:v>0</x:v>
      </x:c>
      <x:c r="V1867" s="6" t="n">
        <x:v>1</x:v>
      </x:c>
      <x:c r="W1867" s="6" t="n">
        <x:v>0</x:v>
      </x:c>
      <x:c r="X1867" s="6" t="n">
        <x:v>0</x:v>
      </x:c>
      <x:c r="Y1867" s="6" t="n">
        <x:v>0</x:v>
      </x:c>
      <x:c r="Z1867" s="6" t="n">
        <x:v>0</x:v>
      </x:c>
      <x:c r="AA1867" s="6" t="n">
        <x:v>3</x:v>
      </x:c>
      <x:c r="AB1867" s="6" t="n">
        <x:v>11</x:v>
      </x:c>
      <x:c r="AC1867" s="6" t="n">
        <x:v>1</x:v>
      </x:c>
    </x:row>
    <x:row r="1868">
      <x:c r="A1868" s="6" t="n">
        <x:v>4227</x:v>
      </x:c>
      <x:c r="B1868" s="6" t="n">
        <x:v>1968</x:v>
      </x:c>
      <x:c r="C1868" s="6" t="str">
        <x:v>Master</x:v>
      </x:c>
      <x:c r="D1868" s="6" t="str">
        <x:v>Together</x:v>
      </x:c>
      <x:c r="E1868" s="6" t="n">
        <x:v>32889</x:v>
      </x:c>
      <x:c r="F1868" s="6" t="n">
        <x:v>1</x:v>
      </x:c>
      <x:c r="G1868" s="6" t="n">
        <x:v>1</x:v>
      </x:c>
      <x:c r="H1868" s="9" t="str">
        <x:v>06-09-2013</x:v>
      </x:c>
      <x:c r="I1868" s="6" t="n">
        <x:v>78</x:v>
      </x:c>
      <x:c r="J1868" s="6" t="n">
        <x:v>28</x:v>
      </x:c>
      <x:c r="K1868" s="6" t="n">
        <x:v>0</x:v>
      </x:c>
      <x:c r="L1868" s="6" t="n">
        <x:v>13</x:v>
      </x:c>
      <x:c r="M1868" s="6" t="n">
        <x:v>4</x:v>
      </x:c>
      <x:c r="N1868" s="6" t="n">
        <x:v>2</x:v>
      </x:c>
      <x:c r="O1868" s="6" t="n">
        <x:v>8</x:v>
      </x:c>
      <x:c r="P1868" s="6" t="n">
        <x:v>3</x:v>
      </x:c>
      <x:c r="Q1868" s="6" t="n">
        <x:v>2</x:v>
      </x:c>
      <x:c r="R1868" s="6" t="n">
        <x:v>1</x:v>
      </x:c>
      <x:c r="S1868" s="6" t="n">
        <x:v>3</x:v>
      </x:c>
      <x:c r="T1868" s="6" t="n">
        <x:v>5</x:v>
      </x:c>
      <x:c r="U1868" s="6" t="n">
        <x:v>0</x:v>
      </x:c>
      <x:c r="V1868" s="6" t="n">
        <x:v>0</x:v>
      </x:c>
      <x:c r="W1868" s="6" t="n">
        <x:v>0</x:v>
      </x:c>
      <x:c r="X1868" s="6" t="n">
        <x:v>0</x:v>
      </x:c>
      <x:c r="Y1868" s="6" t="n">
        <x:v>0</x:v>
      </x:c>
      <x:c r="Z1868" s="6" t="n">
        <x:v>0</x:v>
      </x:c>
      <x:c r="AA1868" s="6" t="n">
        <x:v>3</x:v>
      </x:c>
      <x:c r="AB1868" s="6" t="n">
        <x:v>11</x:v>
      </x:c>
      <x:c r="AC1868" s="6" t="n">
        <x:v>0</x:v>
      </x:c>
    </x:row>
    <x:row r="1869">
      <x:c r="A1869" s="6" t="n">
        <x:v>9467</x:v>
      </x:c>
      <x:c r="B1869" s="6" t="n">
        <x:v>1984</x:v>
      </x:c>
      <x:c r="C1869" s="6" t="str">
        <x:v>Graduation</x:v>
      </x:c>
      <x:c r="D1869" s="6" t="str">
        <x:v>Single</x:v>
      </x:c>
      <x:c r="E1869" s="6" t="n">
        <x:v>34738</x:v>
      </x:c>
      <x:c r="F1869" s="6" t="n">
        <x:v>1</x:v>
      </x:c>
      <x:c r="G1869" s="6" t="n">
        <x:v>0</x:v>
      </x:c>
      <x:c r="H1869" s="9" t="str">
        <x:v>11-05-2014</x:v>
      </x:c>
      <x:c r="I1869" s="6" t="n">
        <x:v>51</x:v>
      </x:c>
      <x:c r="J1869" s="6" t="n">
        <x:v>3</x:v>
      </x:c>
      <x:c r="K1869" s="6" t="n">
        <x:v>2</x:v>
      </x:c>
      <x:c r="L1869" s="6" t="n">
        <x:v>10</x:v>
      </x:c>
      <x:c r="M1869" s="6" t="n">
        <x:v>3</x:v>
      </x:c>
      <x:c r="N1869" s="6" t="n">
        <x:v>0</x:v>
      </x:c>
      <x:c r="O1869" s="6" t="n">
        <x:v>2</x:v>
      </x:c>
      <x:c r="P1869" s="6" t="n">
        <x:v>1</x:v>
      </x:c>
      <x:c r="Q1869" s="6" t="n">
        <x:v>1</x:v>
      </x:c>
      <x:c r="R1869" s="6" t="n">
        <x:v>0</x:v>
      </x:c>
      <x:c r="S1869" s="6" t="n">
        <x:v>3</x:v>
      </x:c>
      <x:c r="T1869" s="6" t="n">
        <x:v>6</x:v>
      </x:c>
      <x:c r="U1869" s="6" t="n">
        <x:v>0</x:v>
      </x:c>
      <x:c r="V1869" s="6" t="n">
        <x:v>0</x:v>
      </x:c>
      <x:c r="W1869" s="6" t="n">
        <x:v>0</x:v>
      </x:c>
      <x:c r="X1869" s="6" t="n">
        <x:v>0</x:v>
      </x:c>
      <x:c r="Y1869" s="6" t="n">
        <x:v>0</x:v>
      </x:c>
      <x:c r="Z1869" s="6" t="n">
        <x:v>0</x:v>
      </x:c>
      <x:c r="AA1869" s="6" t="n">
        <x:v>3</x:v>
      </x:c>
      <x:c r="AB1869" s="6" t="n">
        <x:v>11</x:v>
      </x:c>
      <x:c r="AC1869" s="6" t="n">
        <x:v>0</x:v>
      </x:c>
    </x:row>
    <x:row r="1870">
      <x:c r="A1870" s="6" t="n">
        <x:v>8486</x:v>
      </x:c>
      <x:c r="B1870" s="6" t="n">
        <x:v>1971</x:v>
      </x:c>
      <x:c r="C1870" s="6" t="str">
        <x:v>Master</x:v>
      </x:c>
      <x:c r="D1870" s="6" t="str">
        <x:v>Together</x:v>
      </x:c>
      <x:c r="E1870" s="6" t="n">
        <x:v>30538</x:v>
      </x:c>
      <x:c r="F1870" s="6" t="n">
        <x:v>1</x:v>
      </x:c>
      <x:c r="G1870" s="6" t="n">
        <x:v>0</x:v>
      </x:c>
      <x:c r="H1870" s="9" t="str">
        <x:v>01-10-2012</x:v>
      </x:c>
      <x:c r="I1870" s="6" t="n">
        <x:v>27</x:v>
      </x:c>
      <x:c r="J1870" s="6" t="n">
        <x:v>284</x:v>
      </x:c>
      <x:c r="K1870" s="6" t="n">
        <x:v>0</x:v>
      </x:c>
      <x:c r="L1870" s="6" t="n">
        <x:v>52</x:v>
      </x:c>
      <x:c r="M1870" s="6" t="n">
        <x:v>8</x:v>
      </x:c>
      <x:c r="N1870" s="6" t="n">
        <x:v>3</x:v>
      </x:c>
      <x:c r="O1870" s="6" t="n">
        <x:v>20</x:v>
      </x:c>
      <x:c r="P1870" s="6" t="n">
        <x:v>4</x:v>
      </x:c>
      <x:c r="Q1870" s="6" t="n">
        <x:v>9</x:v>
      </x:c>
      <x:c r="R1870" s="6" t="n">
        <x:v>0</x:v>
      </x:c>
      <x:c r="S1870" s="6" t="n">
        <x:v>4</x:v>
      </x:c>
      <x:c r="T1870" s="6" t="n">
        <x:v>10</x:v>
      </x:c>
      <x:c r="U1870" s="6" t="n">
        <x:v>0</x:v>
      </x:c>
      <x:c r="V1870" s="6" t="n">
        <x:v>0</x:v>
      </x:c>
      <x:c r="W1870" s="6" t="n">
        <x:v>0</x:v>
      </x:c>
      <x:c r="X1870" s="6" t="n">
        <x:v>0</x:v>
      </x:c>
      <x:c r="Y1870" s="6" t="n">
        <x:v>0</x:v>
      </x:c>
      <x:c r="Z1870" s="6" t="n">
        <x:v>0</x:v>
      </x:c>
      <x:c r="AA1870" s="6" t="n">
        <x:v>3</x:v>
      </x:c>
      <x:c r="AB1870" s="6" t="n">
        <x:v>11</x:v>
      </x:c>
      <x:c r="AC1870" s="6" t="n">
        <x:v>0</x:v>
      </x:c>
    </x:row>
    <x:row r="1871">
      <x:c r="A1871" s="6" t="n">
        <x:v>2186</x:v>
      </x:c>
      <x:c r="B1871" s="6" t="n">
        <x:v>1977</x:v>
      </x:c>
      <x:c r="C1871" s="6" t="str">
        <x:v>2n Cycle</x:v>
      </x:c>
      <x:c r="D1871" s="6" t="str">
        <x:v>Together</x:v>
      </x:c>
      <x:c r="E1871" s="6" t="n">
        <x:v>82326</x:v>
      </x:c>
      <x:c r="F1871" s="6" t="n">
        <x:v>0</x:v>
      </x:c>
      <x:c r="G1871" s="6" t="n">
        <x:v>0</x:v>
      </x:c>
      <x:c r="H1871" s="9" t="str">
        <x:v>10-03-2014</x:v>
      </x:c>
      <x:c r="I1871" s="6" t="n">
        <x:v>30</x:v>
      </x:c>
      <x:c r="J1871" s="6" t="n">
        <x:v>938</x:v>
      </x:c>
      <x:c r="K1871" s="6" t="n">
        <x:v>142</x:v>
      </x:c>
      <x:c r="L1871" s="6" t="n">
        <x:v>754</x:v>
      </x:c>
      <x:c r="M1871" s="6" t="n">
        <x:v>159</x:v>
      </x:c>
      <x:c r="N1871" s="6" t="n">
        <x:v>81</x:v>
      </x:c>
      <x:c r="O1871" s="6" t="n">
        <x:v>183</x:v>
      </x:c>
      <x:c r="P1871" s="6" t="n">
        <x:v>1</x:v>
      </x:c>
      <x:c r="Q1871" s="6" t="n">
        <x:v>5</x:v>
      </x:c>
      <x:c r="R1871" s="6" t="n">
        <x:v>10</x:v>
      </x:c>
      <x:c r="S1871" s="6" t="n">
        <x:v>6</x:v>
      </x:c>
      <x:c r="T1871" s="6" t="n">
        <x:v>2</x:v>
      </x:c>
      <x:c r="U1871" s="6" t="n">
        <x:v>0</x:v>
      </x:c>
      <x:c r="V1871" s="6" t="n">
        <x:v>1</x:v>
      </x:c>
      <x:c r="W1871" s="6" t="n">
        <x:v>1</x:v>
      </x:c>
      <x:c r="X1871" s="6" t="n">
        <x:v>1</x:v>
      </x:c>
      <x:c r="Y1871" s="6" t="n">
        <x:v>0</x:v>
      </x:c>
      <x:c r="Z1871" s="6" t="n">
        <x:v>0</x:v>
      </x:c>
      <x:c r="AA1871" s="6" t="n">
        <x:v>3</x:v>
      </x:c>
      <x:c r="AB1871" s="6" t="n">
        <x:v>11</x:v>
      </x:c>
      <x:c r="AC1871" s="6" t="n">
        <x:v>1</x:v>
      </x:c>
    </x:row>
    <x:row r="1872">
      <x:c r="A1872" s="6" t="n">
        <x:v>3286</x:v>
      </x:c>
      <x:c r="B1872" s="6" t="n">
        <x:v>1967</x:v>
      </x:c>
      <x:c r="C1872" s="6" t="str">
        <x:v>PhD</x:v>
      </x:c>
      <x:c r="D1872" s="6" t="str">
        <x:v>Divorced</x:v>
      </x:c>
      <x:c r="E1872" s="6" t="n">
        <x:v>26642</x:v>
      </x:c>
      <x:c r="F1872" s="6" t="n">
        <x:v>1</x:v>
      </x:c>
      <x:c r="G1872" s="6" t="n">
        <x:v>0</x:v>
      </x:c>
      <x:c r="H1872" s="9" t="str">
        <x:v>01-03-2014</x:v>
      </x:c>
      <x:c r="I1872" s="6" t="n">
        <x:v>71</x:v>
      </x:c>
      <x:c r="J1872" s="6" t="n">
        <x:v>13</x:v>
      </x:c>
      <x:c r="K1872" s="6" t="n">
        <x:v>2</x:v>
      </x:c>
      <x:c r="L1872" s="6" t="n">
        <x:v>15</x:v>
      </x:c>
      <x:c r="M1872" s="6" t="n">
        <x:v>2</x:v>
      </x:c>
      <x:c r="N1872" s="6" t="n">
        <x:v>2</x:v>
      </x:c>
      <x:c r="O1872" s="6" t="n">
        <x:v>8</x:v>
      </x:c>
      <x:c r="P1872" s="6" t="n">
        <x:v>2</x:v>
      </x:c>
      <x:c r="Q1872" s="6" t="n">
        <x:v>2</x:v>
      </x:c>
      <x:c r="R1872" s="6" t="n">
        <x:v>0</x:v>
      </x:c>
      <x:c r="S1872" s="6" t="n">
        <x:v>3</x:v>
      </x:c>
      <x:c r="T1872" s="6" t="n">
        <x:v>6</x:v>
      </x:c>
      <x:c r="U1872" s="6" t="n">
        <x:v>0</x:v>
      </x:c>
      <x:c r="V1872" s="6" t="n">
        <x:v>0</x:v>
      </x:c>
      <x:c r="W1872" s="6" t="n">
        <x:v>0</x:v>
      </x:c>
      <x:c r="X1872" s="6" t="n">
        <x:v>0</x:v>
      </x:c>
      <x:c r="Y1872" s="6" t="n">
        <x:v>0</x:v>
      </x:c>
      <x:c r="Z1872" s="6" t="n">
        <x:v>0</x:v>
      </x:c>
      <x:c r="AA1872" s="6" t="n">
        <x:v>3</x:v>
      </x:c>
      <x:c r="AB1872" s="6" t="n">
        <x:v>11</x:v>
      </x:c>
      <x:c r="AC1872" s="6" t="n">
        <x:v>0</x:v>
      </x:c>
    </x:row>
    <x:row r="1873">
      <x:c r="A1873" s="6" t="n">
        <x:v>8602</x:v>
      </x:c>
      <x:c r="B1873" s="6" t="n">
        <x:v>1964</x:v>
      </x:c>
      <x:c r="C1873" s="6" t="str">
        <x:v>Graduation</x:v>
      </x:c>
      <x:c r="D1873" s="6" t="str">
        <x:v>Divorced</x:v>
      </x:c>
      <x:c r="E1873" s="6" t="n">
        <x:v>69932</x:v>
      </x:c>
      <x:c r="F1873" s="6" t="n">
        <x:v>0</x:v>
      </x:c>
      <x:c r="G1873" s="6" t="n">
        <x:v>1</x:v>
      </x:c>
      <x:c r="H1873" s="9" t="str">
        <x:v>12-06-2013</x:v>
      </x:c>
      <x:c r="I1873" s="6" t="n">
        <x:v>97</x:v>
      </x:c>
      <x:c r="J1873" s="6" t="n">
        <x:v>412</x:v>
      </x:c>
      <x:c r="K1873" s="6" t="n">
        <x:v>172</x:v>
      </x:c>
      <x:c r="L1873" s="6" t="n">
        <x:v>153</x:v>
      </x:c>
      <x:c r="M1873" s="6" t="n">
        <x:v>150</x:v>
      </x:c>
      <x:c r="N1873" s="6" t="n">
        <x:v>105</x:v>
      </x:c>
      <x:c r="O1873" s="6" t="n">
        <x:v>57</x:v>
      </x:c>
      <x:c r="P1873" s="6" t="n">
        <x:v>2</x:v>
      </x:c>
      <x:c r="Q1873" s="6" t="n">
        <x:v>7</x:v>
      </x:c>
      <x:c r="R1873" s="6" t="n">
        <x:v>6</x:v>
      </x:c>
      <x:c r="S1873" s="6" t="n">
        <x:v>11</x:v>
      </x:c>
      <x:c r="T1873" s="6" t="n">
        <x:v>4</x:v>
      </x:c>
      <x:c r="U1873" s="6" t="n">
        <x:v>0</x:v>
      </x:c>
      <x:c r="V1873" s="6" t="n">
        <x:v>0</x:v>
      </x:c>
      <x:c r="W1873" s="6" t="n">
        <x:v>0</x:v>
      </x:c>
      <x:c r="X1873" s="6" t="n">
        <x:v>0</x:v>
      </x:c>
      <x:c r="Y1873" s="6" t="n">
        <x:v>0</x:v>
      </x:c>
      <x:c r="Z1873" s="6" t="n">
        <x:v>0</x:v>
      </x:c>
      <x:c r="AA1873" s="6" t="n">
        <x:v>3</x:v>
      </x:c>
      <x:c r="AB1873" s="6" t="n">
        <x:v>11</x:v>
      </x:c>
      <x:c r="AC1873" s="6" t="n">
        <x:v>0</x:v>
      </x:c>
    </x:row>
    <x:row r="1874">
      <x:c r="A1874" s="6" t="n">
        <x:v>3722</x:v>
      </x:c>
      <x:c r="B1874" s="6" t="n">
        <x:v>1972</x:v>
      </x:c>
      <x:c r="C1874" s="6" t="str">
        <x:v>Graduation</x:v>
      </x:c>
      <x:c r="D1874" s="6" t="str">
        <x:v>Single</x:v>
      </x:c>
      <x:c r="E1874" s="6" t="n">
        <x:v>44503</x:v>
      </x:c>
      <x:c r="F1874" s="6" t="n">
        <x:v>1</x:v>
      </x:c>
      <x:c r="G1874" s="6" t="n">
        <x:v>1</x:v>
      </x:c>
      <x:c r="H1874" s="9" t="str">
        <x:v>16-04-2014</x:v>
      </x:c>
      <x:c r="I1874" s="6" t="n">
        <x:v>83</x:v>
      </x:c>
      <x:c r="J1874" s="6" t="n">
        <x:v>31</x:v>
      </x:c>
      <x:c r="K1874" s="6" t="n">
        <x:v>1</x:v>
      </x:c>
      <x:c r="L1874" s="6" t="n">
        <x:v>8</x:v>
      </x:c>
      <x:c r="M1874" s="6" t="n">
        <x:v>0</x:v>
      </x:c>
      <x:c r="N1874" s="6" t="n">
        <x:v>0</x:v>
      </x:c>
      <x:c r="O1874" s="6" t="n">
        <x:v>8</x:v>
      </x:c>
      <x:c r="P1874" s="6" t="n">
        <x:v>2</x:v>
      </x:c>
      <x:c r="Q1874" s="6" t="n">
        <x:v>2</x:v>
      </x:c>
      <x:c r="R1874" s="6" t="n">
        <x:v>0</x:v>
      </x:c>
      <x:c r="S1874" s="6" t="n">
        <x:v>3</x:v>
      </x:c>
      <x:c r="T1874" s="6" t="n">
        <x:v>6</x:v>
      </x:c>
      <x:c r="U1874" s="6" t="n">
        <x:v>0</x:v>
      </x:c>
      <x:c r="V1874" s="6" t="n">
        <x:v>0</x:v>
      </x:c>
      <x:c r="W1874" s="6" t="n">
        <x:v>0</x:v>
      </x:c>
      <x:c r="X1874" s="6" t="n">
        <x:v>0</x:v>
      </x:c>
      <x:c r="Y1874" s="6" t="n">
        <x:v>0</x:v>
      </x:c>
      <x:c r="Z1874" s="6" t="n">
        <x:v>0</x:v>
      </x:c>
      <x:c r="AA1874" s="6" t="n">
        <x:v>3</x:v>
      </x:c>
      <x:c r="AB1874" s="6" t="n">
        <x:v>11</x:v>
      </x:c>
      <x:c r="AC1874" s="6" t="n">
        <x:v>0</x:v>
      </x:c>
    </x:row>
    <x:row r="1875">
      <x:c r="A1875" s="6" t="n">
        <x:v>6715</x:v>
      </x:c>
      <x:c r="B1875" s="6" t="n">
        <x:v>1948</x:v>
      </x:c>
      <x:c r="C1875" s="6" t="str">
        <x:v>PhD</x:v>
      </x:c>
      <x:c r="D1875" s="6" t="str">
        <x:v>Single</x:v>
      </x:c>
      <x:c r="E1875" s="6" t="n">
        <x:v>60200</x:v>
      </x:c>
      <x:c r="F1875" s="6" t="n">
        <x:v>0</x:v>
      </x:c>
      <x:c r="G1875" s="6" t="n">
        <x:v>1</x:v>
      </x:c>
      <x:c r="H1875" s="9" t="str">
        <x:v>02-01-2013</x:v>
      </x:c>
      <x:c r="I1875" s="6" t="n">
        <x:v>3</x:v>
      </x:c>
      <x:c r="J1875" s="6" t="n">
        <x:v>502</x:v>
      </x:c>
      <x:c r="K1875" s="6" t="n">
        <x:v>19</x:v>
      </x:c>
      <x:c r="L1875" s="6" t="n">
        <x:v>132</x:v>
      </x:c>
      <x:c r="M1875" s="6" t="n">
        <x:v>0</x:v>
      </x:c>
      <x:c r="N1875" s="6" t="n">
        <x:v>6</x:v>
      </x:c>
      <x:c r="O1875" s="6" t="n">
        <x:v>26</x:v>
      </x:c>
      <x:c r="P1875" s="6" t="n">
        <x:v>6</x:v>
      </x:c>
      <x:c r="Q1875" s="6" t="n">
        <x:v>6</x:v>
      </x:c>
      <x:c r="R1875" s="6" t="n">
        <x:v>2</x:v>
      </x:c>
      <x:c r="S1875" s="6" t="n">
        <x:v>11</x:v>
      </x:c>
      <x:c r="T1875" s="6" t="n">
        <x:v>6</x:v>
      </x:c>
      <x:c r="U1875" s="6" t="n">
        <x:v>0</x:v>
      </x:c>
      <x:c r="V1875" s="6" t="n">
        <x:v>0</x:v>
      </x:c>
      <x:c r="W1875" s="6" t="n">
        <x:v>0</x:v>
      </x:c>
      <x:c r="X1875" s="6" t="n">
        <x:v>0</x:v>
      </x:c>
      <x:c r="Y1875" s="6" t="n">
        <x:v>0</x:v>
      </x:c>
      <x:c r="Z1875" s="6" t="n">
        <x:v>0</x:v>
      </x:c>
      <x:c r="AA1875" s="6" t="n">
        <x:v>3</x:v>
      </x:c>
      <x:c r="AB1875" s="6" t="n">
        <x:v>11</x:v>
      </x:c>
      <x:c r="AC1875" s="6" t="n">
        <x:v>0</x:v>
      </x:c>
    </x:row>
    <x:row r="1876">
      <x:c r="A1876" s="6" t="n">
        <x:v>4796</x:v>
      </x:c>
      <x:c r="B1876" s="6" t="n">
        <x:v>1952</x:v>
      </x:c>
      <x:c r="C1876" s="6" t="str">
        <x:v>Graduation</x:v>
      </x:c>
      <x:c r="D1876" s="6" t="str">
        <x:v>Divorced</x:v>
      </x:c>
      <x:c r="E1876" s="6" t="n">
        <x:v>49638</x:v>
      </x:c>
      <x:c r="F1876" s="6" t="n">
        <x:v>0</x:v>
      </x:c>
      <x:c r="G1876" s="6" t="n">
        <x:v>1</x:v>
      </x:c>
      <x:c r="H1876" s="9" t="str">
        <x:v>19-04-2014</x:v>
      </x:c>
      <x:c r="I1876" s="6" t="n">
        <x:v>71</x:v>
      </x:c>
      <x:c r="J1876" s="6" t="n">
        <x:v>18</x:v>
      </x:c>
      <x:c r="K1876" s="6" t="n">
        <x:v>10</x:v>
      </x:c>
      <x:c r="L1876" s="6" t="n">
        <x:v>3</x:v>
      </x:c>
      <x:c r="M1876" s="6" t="n">
        <x:v>3</x:v>
      </x:c>
      <x:c r="N1876" s="6" t="n">
        <x:v>5</x:v>
      </x:c>
      <x:c r="O1876" s="6" t="n">
        <x:v>0</x:v>
      </x:c>
      <x:c r="P1876" s="6" t="n">
        <x:v>1</x:v>
      </x:c>
      <x:c r="Q1876" s="6" t="n">
        <x:v>1</x:v>
      </x:c>
      <x:c r="R1876" s="6" t="n">
        <x:v>0</x:v>
      </x:c>
      <x:c r="S1876" s="6" t="n">
        <x:v>3</x:v>
      </x:c>
      <x:c r="T1876" s="6" t="n">
        <x:v>2</x:v>
      </x:c>
      <x:c r="U1876" s="6" t="n">
        <x:v>0</x:v>
      </x:c>
      <x:c r="V1876" s="6" t="n">
        <x:v>0</x:v>
      </x:c>
      <x:c r="W1876" s="6" t="n">
        <x:v>0</x:v>
      </x:c>
      <x:c r="X1876" s="6" t="n">
        <x:v>0</x:v>
      </x:c>
      <x:c r="Y1876" s="6" t="n">
        <x:v>0</x:v>
      </x:c>
      <x:c r="Z1876" s="6" t="n">
        <x:v>0</x:v>
      </x:c>
      <x:c r="AA1876" s="6" t="n">
        <x:v>3</x:v>
      </x:c>
      <x:c r="AB1876" s="6" t="n">
        <x:v>11</x:v>
      </x:c>
      <x:c r="AC1876" s="6" t="n">
        <x:v>0</x:v>
      </x:c>
    </x:row>
    <x:row r="1877">
      <x:c r="A1877" s="6" t="n">
        <x:v>9612</x:v>
      </x:c>
      <x:c r="B1877" s="6" t="n">
        <x:v>1987</x:v>
      </x:c>
      <x:c r="C1877" s="6" t="str">
        <x:v>2n Cycle</x:v>
      </x:c>
      <x:c r="D1877" s="6" t="str">
        <x:v>Single</x:v>
      </x:c>
      <x:c r="E1877" s="6" t="n">
        <x:v>23830</x:v>
      </x:c>
      <x:c r="F1877" s="6" t="n">
        <x:v>0</x:v>
      </x:c>
      <x:c r="G1877" s="6" t="n">
        <x:v>0</x:v>
      </x:c>
      <x:c r="H1877" s="9" t="str">
        <x:v>07-02-2014</x:v>
      </x:c>
      <x:c r="I1877" s="6" t="n">
        <x:v>3</x:v>
      </x:c>
      <x:c r="J1877" s="6" t="n">
        <x:v>1</x:v>
      </x:c>
      <x:c r="K1877" s="6" t="n">
        <x:v>8</x:v>
      </x:c>
      <x:c r="L1877" s="6" t="n">
        <x:v>6</x:v>
      </x:c>
      <x:c r="M1877" s="6" t="n">
        <x:v>4</x:v>
      </x:c>
      <x:c r="N1877" s="6" t="n">
        <x:v>8</x:v>
      </x:c>
      <x:c r="O1877" s="6" t="n">
        <x:v>16</x:v>
      </x:c>
      <x:c r="P1877" s="6" t="n">
        <x:v>1</x:v>
      </x:c>
      <x:c r="Q1877" s="6" t="n">
        <x:v>1</x:v>
      </x:c>
      <x:c r="R1877" s="6" t="n">
        <x:v>0</x:v>
      </x:c>
      <x:c r="S1877" s="6" t="n">
        <x:v>3</x:v>
      </x:c>
      <x:c r="T1877" s="6" t="n">
        <x:v>7</x:v>
      </x:c>
      <x:c r="U1877" s="6" t="n">
        <x:v>0</x:v>
      </x:c>
      <x:c r="V1877" s="6" t="n">
        <x:v>0</x:v>
      </x:c>
      <x:c r="W1877" s="6" t="n">
        <x:v>0</x:v>
      </x:c>
      <x:c r="X1877" s="6" t="n">
        <x:v>0</x:v>
      </x:c>
      <x:c r="Y1877" s="6" t="n">
        <x:v>0</x:v>
      </x:c>
      <x:c r="Z1877" s="6" t="n">
        <x:v>0</x:v>
      </x:c>
      <x:c r="AA1877" s="6" t="n">
        <x:v>3</x:v>
      </x:c>
      <x:c r="AB1877" s="6" t="n">
        <x:v>11</x:v>
      </x:c>
      <x:c r="AC1877" s="6" t="n">
        <x:v>0</x:v>
      </x:c>
    </x:row>
    <x:row r="1878">
      <x:c r="A1878" s="6" t="n">
        <x:v>3766</x:v>
      </x:c>
      <x:c r="B1878" s="6" t="n">
        <x:v>1959</x:v>
      </x:c>
      <x:c r="C1878" s="6" t="str">
        <x:v>Master</x:v>
      </x:c>
      <x:c r="D1878" s="6" t="str">
        <x:v>Widow</x:v>
      </x:c>
      <x:c r="E1878" s="6" t="n">
        <x:v>33051</x:v>
      </x:c>
      <x:c r="F1878" s="6" t="n">
        <x:v>0</x:v>
      </x:c>
      <x:c r="G1878" s="6" t="n">
        <x:v>0</x:v>
      </x:c>
      <x:c r="H1878" s="9" t="str">
        <x:v>16-08-2012</x:v>
      </x:c>
      <x:c r="I1878" s="6" t="n">
        <x:v>15</x:v>
      </x:c>
      <x:c r="J1878" s="6" t="n">
        <x:v>100</x:v>
      </x:c>
      <x:c r="K1878" s="6" t="n">
        <x:v>71</x:v>
      </x:c>
      <x:c r="L1878" s="6" t="n">
        <x:v>243</x:v>
      </x:c>
      <x:c r="M1878" s="6" t="n">
        <x:v>108</x:v>
      </x:c>
      <x:c r="N1878" s="6" t="n">
        <x:v>94</x:v>
      </x:c>
      <x:c r="O1878" s="6" t="n">
        <x:v>219</x:v>
      </x:c>
      <x:c r="P1878" s="6" t="n">
        <x:v>3</x:v>
      </x:c>
      <x:c r="Q1878" s="6" t="n">
        <x:v>9</x:v>
      </x:c>
      <x:c r="R1878" s="6" t="n">
        <x:v>1</x:v>
      </x:c>
      <x:c r="S1878" s="6" t="n">
        <x:v>8</x:v>
      </x:c>
      <x:c r="T1878" s="6" t="n">
        <x:v>9</x:v>
      </x:c>
      <x:c r="U1878" s="6" t="n">
        <x:v>0</x:v>
      </x:c>
      <x:c r="V1878" s="6" t="n">
        <x:v>0</x:v>
      </x:c>
      <x:c r="W1878" s="6" t="n">
        <x:v>0</x:v>
      </x:c>
      <x:c r="X1878" s="6" t="n">
        <x:v>0</x:v>
      </x:c>
      <x:c r="Y1878" s="6" t="n">
        <x:v>0</x:v>
      </x:c>
      <x:c r="Z1878" s="6" t="n">
        <x:v>0</x:v>
      </x:c>
      <x:c r="AA1878" s="6" t="n">
        <x:v>3</x:v>
      </x:c>
      <x:c r="AB1878" s="6" t="n">
        <x:v>11</x:v>
      </x:c>
      <x:c r="AC1878" s="6" t="n">
        <x:v>1</x:v>
      </x:c>
    </x:row>
    <x:row r="1879">
      <x:c r="A1879" s="6" t="n">
        <x:v>1399</x:v>
      </x:c>
      <x:c r="B1879" s="6" t="n">
        <x:v>1958</x:v>
      </x:c>
      <x:c r="C1879" s="6" t="str">
        <x:v>Graduation</x:v>
      </x:c>
      <x:c r="D1879" s="6" t="str">
        <x:v>Married</x:v>
      </x:c>
      <x:c r="E1879" s="6" t="n">
        <x:v>72905</x:v>
      </x:c>
      <x:c r="F1879" s="6" t="n">
        <x:v>0</x:v>
      </x:c>
      <x:c r="G1879" s="6" t="n">
        <x:v>0</x:v>
      </x:c>
      <x:c r="H1879" s="9" t="str">
        <x:v>21-01-2014</x:v>
      </x:c>
      <x:c r="I1879" s="6" t="n">
        <x:v>52</x:v>
      </x:c>
      <x:c r="J1879" s="6" t="n">
        <x:v>407</x:v>
      </x:c>
      <x:c r="K1879" s="6" t="n">
        <x:v>114</x:v>
      </x:c>
      <x:c r="L1879" s="6" t="n">
        <x:v>445</x:v>
      </x:c>
      <x:c r="M1879" s="6" t="n">
        <x:v>181</x:v>
      </x:c>
      <x:c r="N1879" s="6" t="n">
        <x:v>165</x:v>
      </x:c>
      <x:c r="O1879" s="6" t="n">
        <x:v>203</x:v>
      </x:c>
      <x:c r="P1879" s="6" t="n">
        <x:v>1</x:v>
      </x:c>
      <x:c r="Q1879" s="6" t="n">
        <x:v>3</x:v>
      </x:c>
      <x:c r="R1879" s="6" t="n">
        <x:v>7</x:v>
      </x:c>
      <x:c r="S1879" s="6" t="n">
        <x:v>9</x:v>
      </x:c>
      <x:c r="T1879" s="6" t="n">
        <x:v>1</x:v>
      </x:c>
      <x:c r="U1879" s="6" t="n">
        <x:v>0</x:v>
      </x:c>
      <x:c r="V1879" s="6" t="n">
        <x:v>0</x:v>
      </x:c>
      <x:c r="W1879" s="6" t="n">
        <x:v>0</x:v>
      </x:c>
      <x:c r="X1879" s="6" t="n">
        <x:v>1</x:v>
      </x:c>
      <x:c r="Y1879" s="6" t="n">
        <x:v>0</x:v>
      </x:c>
      <x:c r="Z1879" s="6" t="n">
        <x:v>0</x:v>
      </x:c>
      <x:c r="AA1879" s="6" t="n">
        <x:v>3</x:v>
      </x:c>
      <x:c r="AB1879" s="6" t="n">
        <x:v>11</x:v>
      </x:c>
      <x:c r="AC1879" s="6" t="n">
        <x:v>0</x:v>
      </x:c>
    </x:row>
    <x:row r="1880">
      <x:c r="A1880" s="6" t="n">
        <x:v>1570</x:v>
      </x:c>
      <x:c r="B1880" s="6" t="n">
        <x:v>1951</x:v>
      </x:c>
      <x:c r="C1880" s="6" t="str">
        <x:v>PhD</x:v>
      </x:c>
      <x:c r="D1880" s="6" t="str">
        <x:v>Together</x:v>
      </x:c>
      <x:c r="E1880" s="6" t="n">
        <x:v>69702</x:v>
      </x:c>
      <x:c r="F1880" s="6" t="n">
        <x:v>0</x:v>
      </x:c>
      <x:c r="G1880" s="6" t="n">
        <x:v>1</x:v>
      </x:c>
      <x:c r="H1880" s="9" t="str">
        <x:v>19-02-2013</x:v>
      </x:c>
      <x:c r="I1880" s="6" t="n">
        <x:v>8</x:v>
      </x:c>
      <x:c r="J1880" s="6" t="n">
        <x:v>664</x:v>
      </x:c>
      <x:c r="K1880" s="6" t="n">
        <x:v>9</x:v>
      </x:c>
      <x:c r="L1880" s="6" t="n">
        <x:v>240</x:v>
      </x:c>
      <x:c r="M1880" s="6" t="n">
        <x:v>50</x:v>
      </x:c>
      <x:c r="N1880" s="6" t="n">
        <x:v>19</x:v>
      </x:c>
      <x:c r="O1880" s="6" t="n">
        <x:v>57</x:v>
      </x:c>
      <x:c r="P1880" s="6" t="n">
        <x:v>2</x:v>
      </x:c>
      <x:c r="Q1880" s="6" t="n">
        <x:v>7</x:v>
      </x:c>
      <x:c r="R1880" s="6" t="n">
        <x:v>7</x:v>
      </x:c>
      <x:c r="S1880" s="6" t="n">
        <x:v>10</x:v>
      </x:c>
      <x:c r="T1880" s="6" t="n">
        <x:v>4</x:v>
      </x:c>
      <x:c r="U1880" s="6" t="n">
        <x:v>0</x:v>
      </x:c>
      <x:c r="V1880" s="6" t="n">
        <x:v>0</x:v>
      </x:c>
      <x:c r="W1880" s="6" t="n">
        <x:v>0</x:v>
      </x:c>
      <x:c r="X1880" s="6" t="n">
        <x:v>0</x:v>
      </x:c>
      <x:c r="Y1880" s="6" t="n">
        <x:v>0</x:v>
      </x:c>
      <x:c r="Z1880" s="6" t="n">
        <x:v>0</x:v>
      </x:c>
      <x:c r="AA1880" s="6" t="n">
        <x:v>3</x:v>
      </x:c>
      <x:c r="AB1880" s="6" t="n">
        <x:v>11</x:v>
      </x:c>
      <x:c r="AC1880" s="6" t="n">
        <x:v>0</x:v>
      </x:c>
    </x:row>
    <x:row r="1881">
      <x:c r="A1881" s="6" t="n">
        <x:v>3426</x:v>
      </x:c>
      <x:c r="B1881" s="6" t="n">
        <x:v>1975</x:v>
      </x:c>
      <x:c r="C1881" s="6" t="str">
        <x:v>Graduation</x:v>
      </x:c>
      <x:c r="D1881" s="6" t="str">
        <x:v>Divorced</x:v>
      </x:c>
      <x:c r="E1881" s="6" t="n">
        <x:v>70300</x:v>
      </x:c>
      <x:c r="F1881" s="6" t="n">
        <x:v>1</x:v>
      </x:c>
      <x:c r="G1881" s="6" t="n">
        <x:v>0</x:v>
      </x:c>
      <x:c r="H1881" s="9" t="str">
        <x:v>15-07-2013</x:v>
      </x:c>
      <x:c r="I1881" s="6" t="n">
        <x:v>89</x:v>
      </x:c>
      <x:c r="J1881" s="6" t="n">
        <x:v>1045</x:v>
      </x:c>
      <x:c r="K1881" s="6" t="n">
        <x:v>61</x:v>
      </x:c>
      <x:c r="L1881" s="6" t="n">
        <x:v>338</x:v>
      </x:c>
      <x:c r="M1881" s="6" t="n">
        <x:v>60</x:v>
      </x:c>
      <x:c r="N1881" s="6" t="n">
        <x:v>46</x:v>
      </x:c>
      <x:c r="O1881" s="6" t="n">
        <x:v>46</x:v>
      </x:c>
      <x:c r="P1881" s="6" t="n">
        <x:v>3</x:v>
      </x:c>
      <x:c r="Q1881" s="6" t="n">
        <x:v>5</x:v>
      </x:c>
      <x:c r="R1881" s="6" t="n">
        <x:v>5</x:v>
      </x:c>
      <x:c r="S1881" s="6" t="n">
        <x:v>13</x:v>
      </x:c>
      <x:c r="T1881" s="6" t="n">
        <x:v>8</x:v>
      </x:c>
      <x:c r="U1881" s="6" t="n">
        <x:v>0</x:v>
      </x:c>
      <x:c r="V1881" s="6" t="n">
        <x:v>0</x:v>
      </x:c>
      <x:c r="W1881" s="6" t="n">
        <x:v>0</x:v>
      </x:c>
      <x:c r="X1881" s="6" t="n">
        <x:v>0</x:v>
      </x:c>
      <x:c r="Y1881" s="6" t="n">
        <x:v>0</x:v>
      </x:c>
      <x:c r="Z1881" s="6" t="n">
        <x:v>0</x:v>
      </x:c>
      <x:c r="AA1881" s="6" t="n">
        <x:v>3</x:v>
      </x:c>
      <x:c r="AB1881" s="6" t="n">
        <x:v>11</x:v>
      </x:c>
      <x:c r="AC1881" s="6" t="n">
        <x:v>0</x:v>
      </x:c>
    </x:row>
    <x:row r="1882">
      <x:c r="A1882" s="6" t="n">
        <x:v>3074</x:v>
      </x:c>
      <x:c r="B1882" s="6" t="n">
        <x:v>1984</x:v>
      </x:c>
      <x:c r="C1882" s="6" t="str">
        <x:v>PhD</x:v>
      </x:c>
      <x:c r="D1882" s="6" t="str">
        <x:v>Married</x:v>
      </x:c>
      <x:c r="E1882" s="6" t="n">
        <x:v>70643</x:v>
      </x:c>
      <x:c r="F1882" s="6" t="n">
        <x:v>0</x:v>
      </x:c>
      <x:c r="G1882" s="6" t="n">
        <x:v>0</x:v>
      </x:c>
      <x:c r="H1882" s="9" t="str">
        <x:v>15-10-2012</x:v>
      </x:c>
      <x:c r="I1882" s="6" t="n">
        <x:v>66</x:v>
      </x:c>
      <x:c r="J1882" s="6" t="n">
        <x:v>1218</x:v>
      </x:c>
      <x:c r="K1882" s="6" t="n">
        <x:v>107</x:v>
      </x:c>
      <x:c r="L1882" s="6" t="n">
        <x:v>304</x:v>
      </x:c>
      <x:c r="M1882" s="6" t="n">
        <x:v>23</x:v>
      </x:c>
      <x:c r="N1882" s="6" t="n">
        <x:v>143</x:v>
      </x:c>
      <x:c r="O1882" s="6" t="n">
        <x:v>33</x:v>
      </x:c>
      <x:c r="P1882" s="6" t="n">
        <x:v>1</x:v>
      </x:c>
      <x:c r="Q1882" s="6" t="n">
        <x:v>5</x:v>
      </x:c>
      <x:c r="R1882" s="6" t="n">
        <x:v>8</x:v>
      </x:c>
      <x:c r="S1882" s="6" t="n">
        <x:v>4</x:v>
      </x:c>
      <x:c r="T1882" s="6" t="n">
        <x:v>6</x:v>
      </x:c>
      <x:c r="U1882" s="6" t="n">
        <x:v>0</x:v>
      </x:c>
      <x:c r="V1882" s="6" t="n">
        <x:v>0</x:v>
      </x:c>
      <x:c r="W1882" s="6" t="n">
        <x:v>0</x:v>
      </x:c>
      <x:c r="X1882" s="6" t="n">
        <x:v>0</x:v>
      </x:c>
      <x:c r="Y1882" s="6" t="n">
        <x:v>0</x:v>
      </x:c>
      <x:c r="Z1882" s="6" t="n">
        <x:v>0</x:v>
      </x:c>
      <x:c r="AA1882" s="6" t="n">
        <x:v>3</x:v>
      </x:c>
      <x:c r="AB1882" s="6" t="n">
        <x:v>11</x:v>
      </x:c>
      <x:c r="AC1882" s="6" t="n">
        <x:v>1</x:v>
      </x:c>
    </x:row>
    <x:row r="1883">
      <x:c r="A1883" s="6" t="n">
        <x:v>8341</x:v>
      </x:c>
      <x:c r="B1883" s="6" t="n">
        <x:v>1969</x:v>
      </x:c>
      <x:c r="C1883" s="6" t="str">
        <x:v>PhD</x:v>
      </x:c>
      <x:c r="D1883" s="6" t="str">
        <x:v>Married</x:v>
      </x:c>
      <x:c r="E1883" s="6" t="n">
        <x:v>30396</x:v>
      </x:c>
      <x:c r="F1883" s="6" t="n">
        <x:v>1</x:v>
      </x:c>
      <x:c r="G1883" s="6" t="n">
        <x:v>0</x:v>
      </x:c>
      <x:c r="H1883" s="9" t="str">
        <x:v>30-04-2014</x:v>
      </x:c>
      <x:c r="I1883" s="6" t="n">
        <x:v>22</x:v>
      </x:c>
      <x:c r="J1883" s="6" t="n">
        <x:v>15</x:v>
      </x:c>
      <x:c r="K1883" s="6" t="n">
        <x:v>0</x:v>
      </x:c>
      <x:c r="L1883" s="6" t="n">
        <x:v>6</x:v>
      </x:c>
      <x:c r="M1883" s="6" t="n">
        <x:v>0</x:v>
      </x:c>
      <x:c r="N1883" s="6" t="n">
        <x:v>1</x:v>
      </x:c>
      <x:c r="O1883" s="6" t="n">
        <x:v>12</x:v>
      </x:c>
      <x:c r="P1883" s="6" t="n">
        <x:v>2</x:v>
      </x:c>
      <x:c r="Q1883" s="6" t="n">
        <x:v>1</x:v>
      </x:c>
      <x:c r="R1883" s="6" t="n">
        <x:v>1</x:v>
      </x:c>
      <x:c r="S1883" s="6" t="n">
        <x:v>2</x:v>
      </x:c>
      <x:c r="T1883" s="6" t="n">
        <x:v>7</x:v>
      </x:c>
      <x:c r="U1883" s="6" t="n">
        <x:v>1</x:v>
      </x:c>
      <x:c r="V1883" s="6" t="n">
        <x:v>0</x:v>
      </x:c>
      <x:c r="W1883" s="6" t="n">
        <x:v>0</x:v>
      </x:c>
      <x:c r="X1883" s="6" t="n">
        <x:v>0</x:v>
      </x:c>
      <x:c r="Y1883" s="6" t="n">
        <x:v>0</x:v>
      </x:c>
      <x:c r="Z1883" s="6" t="n">
        <x:v>0</x:v>
      </x:c>
      <x:c r="AA1883" s="6" t="n">
        <x:v>3</x:v>
      </x:c>
      <x:c r="AB1883" s="6" t="n">
        <x:v>11</x:v>
      </x:c>
      <x:c r="AC1883" s="6" t="n">
        <x:v>1</x:v>
      </x:c>
    </x:row>
    <x:row r="1884">
      <x:c r="A1884" s="6" t="n">
        <x:v>5180</x:v>
      </x:c>
      <x:c r="B1884" s="6" t="n">
        <x:v>1968</x:v>
      </x:c>
      <x:c r="C1884" s="6" t="str">
        <x:v>PhD</x:v>
      </x:c>
      <x:c r="D1884" s="6" t="str">
        <x:v>Divorced</x:v>
      </x:c>
      <x:c r="E1884" s="6" t="n">
        <x:v>50616</x:v>
      </x:c>
      <x:c r="F1884" s="6" t="n">
        <x:v>0</x:v>
      </x:c>
      <x:c r="G1884" s="6" t="n">
        <x:v>1</x:v>
      </x:c>
      <x:c r="H1884" s="9" t="str">
        <x:v>18-04-2014</x:v>
      </x:c>
      <x:c r="I1884" s="6" t="n">
        <x:v>56</x:v>
      </x:c>
      <x:c r="J1884" s="6" t="n">
        <x:v>128</x:v>
      </x:c>
      <x:c r="K1884" s="6" t="n">
        <x:v>0</x:v>
      </x:c>
      <x:c r="L1884" s="6" t="n">
        <x:v>16</x:v>
      </x:c>
      <x:c r="M1884" s="6" t="n">
        <x:v>0</x:v>
      </x:c>
      <x:c r="N1884" s="6" t="n">
        <x:v>1</x:v>
      </x:c>
      <x:c r="O1884" s="6" t="n">
        <x:v>4</x:v>
      </x:c>
      <x:c r="P1884" s="6" t="n">
        <x:v>2</x:v>
      </x:c>
      <x:c r="Q1884" s="6" t="n">
        <x:v>4</x:v>
      </x:c>
      <x:c r="R1884" s="6" t="n">
        <x:v>0</x:v>
      </x:c>
      <x:c r="S1884" s="6" t="n">
        <x:v>4</x:v>
      </x:c>
      <x:c r="T1884" s="6" t="n">
        <x:v>7</x:v>
      </x:c>
      <x:c r="U1884" s="6" t="n">
        <x:v>0</x:v>
      </x:c>
      <x:c r="V1884" s="6" t="n">
        <x:v>0</x:v>
      </x:c>
      <x:c r="W1884" s="6" t="n">
        <x:v>0</x:v>
      </x:c>
      <x:c r="X1884" s="6" t="n">
        <x:v>0</x:v>
      </x:c>
      <x:c r="Y1884" s="6" t="n">
        <x:v>0</x:v>
      </x:c>
      <x:c r="Z1884" s="6" t="n">
        <x:v>0</x:v>
      </x:c>
      <x:c r="AA1884" s="6" t="n">
        <x:v>3</x:v>
      </x:c>
      <x:c r="AB1884" s="6" t="n">
        <x:v>11</x:v>
      </x:c>
      <x:c r="AC1884" s="6" t="n">
        <x:v>0</x:v>
      </x:c>
    </x:row>
    <x:row r="1885">
      <x:c r="A1885" s="6" t="n">
        <x:v>6461</x:v>
      </x:c>
      <x:c r="B1885" s="6" t="n">
        <x:v>1969</x:v>
      </x:c>
      <x:c r="C1885" s="6" t="str">
        <x:v>Master</x:v>
      </x:c>
      <x:c r="D1885" s="6" t="str">
        <x:v>Single</x:v>
      </x:c>
      <x:c r="E1885" s="6" t="n">
        <x:v>62772</x:v>
      </x:c>
      <x:c r="F1885" s="6" t="n">
        <x:v>0</x:v>
      </x:c>
      <x:c r="G1885" s="6" t="n">
        <x:v>1</x:v>
      </x:c>
      <x:c r="H1885" s="9" t="str">
        <x:v>19-05-2013</x:v>
      </x:c>
      <x:c r="I1885" s="6" t="n">
        <x:v>74</x:v>
      </x:c>
      <x:c r="J1885" s="6" t="n">
        <x:v>581</x:v>
      </x:c>
      <x:c r="K1885" s="6" t="n">
        <x:v>49</x:v>
      </x:c>
      <x:c r="L1885" s="6" t="n">
        <x:v>157</x:v>
      </x:c>
      <x:c r="M1885" s="6" t="n">
        <x:v>43</x:v>
      </x:c>
      <x:c r="N1885" s="6" t="n">
        <x:v>8</x:v>
      </x:c>
      <x:c r="O1885" s="6" t="n">
        <x:v>108</x:v>
      </x:c>
      <x:c r="P1885" s="6" t="n">
        <x:v>1</x:v>
      </x:c>
      <x:c r="Q1885" s="6" t="n">
        <x:v>5</x:v>
      </x:c>
      <x:c r="R1885" s="6" t="n">
        <x:v>6</x:v>
      </x:c>
      <x:c r="S1885" s="6" t="n">
        <x:v>11</x:v>
      </x:c>
      <x:c r="T1885" s="6" t="n">
        <x:v>2</x:v>
      </x:c>
      <x:c r="U1885" s="6" t="n">
        <x:v>0</x:v>
      </x:c>
      <x:c r="V1885" s="6" t="n">
        <x:v>1</x:v>
      </x:c>
      <x:c r="W1885" s="6" t="n">
        <x:v>0</x:v>
      </x:c>
      <x:c r="X1885" s="6" t="n">
        <x:v>0</x:v>
      </x:c>
      <x:c r="Y1885" s="6" t="n">
        <x:v>0</x:v>
      </x:c>
      <x:c r="Z1885" s="6" t="n">
        <x:v>0</x:v>
      </x:c>
      <x:c r="AA1885" s="6" t="n">
        <x:v>3</x:v>
      </x:c>
      <x:c r="AB1885" s="6" t="n">
        <x:v>11</x:v>
      </x:c>
      <x:c r="AC1885" s="6" t="n">
        <x:v>0</x:v>
      </x:c>
    </x:row>
    <x:row r="1886">
      <x:c r="A1886" s="6" t="n">
        <x:v>7679</x:v>
      </x:c>
      <x:c r="B1886" s="6" t="n">
        <x:v>1985</x:v>
      </x:c>
      <x:c r="C1886" s="6" t="str">
        <x:v>PhD</x:v>
      </x:c>
      <x:c r="D1886" s="6" t="str">
        <x:v>Single</x:v>
      </x:c>
      <x:c r="E1886" s="6" t="n">
        <x:v>30298</x:v>
      </x:c>
      <x:c r="F1886" s="6" t="n">
        <x:v>0</x:v>
      </x:c>
      <x:c r="G1886" s="6" t="n">
        <x:v>0</x:v>
      </x:c>
      <x:c r="H1886" s="9" t="str">
        <x:v>19-05-2014</x:v>
      </x:c>
      <x:c r="I1886" s="6" t="n">
        <x:v>48</x:v>
      </x:c>
      <x:c r="J1886" s="6" t="n">
        <x:v>6</x:v>
      </x:c>
      <x:c r="K1886" s="6" t="n">
        <x:v>3</x:v>
      </x:c>
      <x:c r="L1886" s="6" t="n">
        <x:v>12</x:v>
      </x:c>
      <x:c r="M1886" s="6" t="n">
        <x:v>6</x:v>
      </x:c>
      <x:c r="N1886" s="6" t="n">
        <x:v>1</x:v>
      </x:c>
      <x:c r="O1886" s="6" t="n">
        <x:v>0</x:v>
      </x:c>
      <x:c r="P1886" s="6" t="n">
        <x:v>1</x:v>
      </x:c>
      <x:c r="Q1886" s="6" t="n">
        <x:v>1</x:v>
      </x:c>
      <x:c r="R1886" s="6" t="n">
        <x:v>1</x:v>
      </x:c>
      <x:c r="S1886" s="6" t="n">
        <x:v>3</x:v>
      </x:c>
      <x:c r="T1886" s="6" t="n">
        <x:v>3</x:v>
      </x:c>
      <x:c r="U1886" s="6" t="n">
        <x:v>0</x:v>
      </x:c>
      <x:c r="V1886" s="6" t="n">
        <x:v>0</x:v>
      </x:c>
      <x:c r="W1886" s="6" t="n">
        <x:v>0</x:v>
      </x:c>
      <x:c r="X1886" s="6" t="n">
        <x:v>0</x:v>
      </x:c>
      <x:c r="Y1886" s="6" t="n">
        <x:v>0</x:v>
      </x:c>
      <x:c r="Z1886" s="6" t="n">
        <x:v>0</x:v>
      </x:c>
      <x:c r="AA1886" s="6" t="n">
        <x:v>3</x:v>
      </x:c>
      <x:c r="AB1886" s="6" t="n">
        <x:v>11</x:v>
      </x:c>
      <x:c r="AC1886" s="6" t="n">
        <x:v>0</x:v>
      </x:c>
    </x:row>
    <x:row r="1887">
      <x:c r="A1887" s="6" t="n">
        <x:v>10702</x:v>
      </x:c>
      <x:c r="B1887" s="6" t="n">
        <x:v>1984</x:v>
      </x:c>
      <x:c r="C1887" s="6" t="str">
        <x:v>Graduation</x:v>
      </x:c>
      <x:c r="D1887" s="6" t="str">
        <x:v>Single</x:v>
      </x:c>
      <x:c r="E1887" s="6" t="n">
        <x:v>52413</x:v>
      </x:c>
      <x:c r="F1887" s="6" t="n">
        <x:v>1</x:v>
      </x:c>
      <x:c r="G1887" s="6" t="n">
        <x:v>0</x:v>
      </x:c>
      <x:c r="H1887" s="9" t="str">
        <x:v>03-11-2012</x:v>
      </x:c>
      <x:c r="I1887" s="6" t="n">
        <x:v>67</x:v>
      </x:c>
      <x:c r="J1887" s="6" t="n">
        <x:v>185</x:v>
      </x:c>
      <x:c r="K1887" s="6" t="n">
        <x:v>8</x:v>
      </x:c>
      <x:c r="L1887" s="6" t="n">
        <x:v>133</x:v>
      </x:c>
      <x:c r="M1887" s="6" t="n">
        <x:v>56</x:v>
      </x:c>
      <x:c r="N1887" s="6" t="n">
        <x:v>56</x:v>
      </x:c>
      <x:c r="O1887" s="6" t="n">
        <x:v>12</x:v>
      </x:c>
      <x:c r="P1887" s="6" t="n">
        <x:v>2</x:v>
      </x:c>
      <x:c r="Q1887" s="6" t="n">
        <x:v>7</x:v>
      </x:c>
      <x:c r="R1887" s="6" t="n">
        <x:v>1</x:v>
      </x:c>
      <x:c r="S1887" s="6" t="n">
        <x:v>7</x:v>
      </x:c>
      <x:c r="T1887" s="6" t="n">
        <x:v>7</x:v>
      </x:c>
      <x:c r="U1887" s="6" t="n">
        <x:v>0</x:v>
      </x:c>
      <x:c r="V1887" s="6" t="n">
        <x:v>0</x:v>
      </x:c>
      <x:c r="W1887" s="6" t="n">
        <x:v>0</x:v>
      </x:c>
      <x:c r="X1887" s="6" t="n">
        <x:v>0</x:v>
      </x:c>
      <x:c r="Y1887" s="6" t="n">
        <x:v>0</x:v>
      </x:c>
      <x:c r="Z1887" s="6" t="n">
        <x:v>0</x:v>
      </x:c>
      <x:c r="AA1887" s="6" t="n">
        <x:v>3</x:v>
      </x:c>
      <x:c r="AB1887" s="6" t="n">
        <x:v>11</x:v>
      </x:c>
      <x:c r="AC1887" s="6" t="n">
        <x:v>0</x:v>
      </x:c>
    </x:row>
    <x:row r="1888">
      <x:c r="A1888" s="6" t="n">
        <x:v>7505</x:v>
      </x:c>
      <x:c r="B1888" s="6" t="n">
        <x:v>1957</x:v>
      </x:c>
      <x:c r="C1888" s="6" t="str">
        <x:v>PhD</x:v>
      </x:c>
      <x:c r="D1888" s="6" t="str">
        <x:v>Married</x:v>
      </x:c>
      <x:c r="E1888" s="6" t="n">
        <x:v>44155</x:v>
      </x:c>
      <x:c r="F1888" s="6" t="n">
        <x:v>1</x:v>
      </x:c>
      <x:c r="G1888" s="6" t="n">
        <x:v>1</x:v>
      </x:c>
      <x:c r="H1888" s="9" t="str">
        <x:v>19-01-2014</x:v>
      </x:c>
      <x:c r="I1888" s="6" t="n">
        <x:v>24</x:v>
      </x:c>
      <x:c r="J1888" s="6" t="n">
        <x:v>22</x:v>
      </x:c>
      <x:c r="K1888" s="6" t="n">
        <x:v>1</x:v>
      </x:c>
      <x:c r="L1888" s="6" t="n">
        <x:v>9</x:v>
      </x:c>
      <x:c r="M1888" s="6" t="n">
        <x:v>0</x:v>
      </x:c>
      <x:c r="N1888" s="6" t="n">
        <x:v>0</x:v>
      </x:c>
      <x:c r="O1888" s="6" t="n">
        <x:v>14</x:v>
      </x:c>
      <x:c r="P1888" s="6" t="n">
        <x:v>1</x:v>
      </x:c>
      <x:c r="Q1888" s="6" t="n">
        <x:v>1</x:v>
      </x:c>
      <x:c r="R1888" s="6" t="n">
        <x:v>1</x:v>
      </x:c>
      <x:c r="S1888" s="6" t="n">
        <x:v>2</x:v>
      </x:c>
      <x:c r="T1888" s="6" t="n">
        <x:v>4</x:v>
      </x:c>
      <x:c r="U1888" s="6" t="n">
        <x:v>0</x:v>
      </x:c>
      <x:c r="V1888" s="6" t="n">
        <x:v>0</x:v>
      </x:c>
      <x:c r="W1888" s="6" t="n">
        <x:v>0</x:v>
      </x:c>
      <x:c r="X1888" s="6" t="n">
        <x:v>0</x:v>
      </x:c>
      <x:c r="Y1888" s="6" t="n">
        <x:v>0</x:v>
      </x:c>
      <x:c r="Z1888" s="6" t="n">
        <x:v>0</x:v>
      </x:c>
      <x:c r="AA1888" s="6" t="n">
        <x:v>3</x:v>
      </x:c>
      <x:c r="AB1888" s="6" t="n">
        <x:v>11</x:v>
      </x:c>
      <x:c r="AC1888" s="6" t="n">
        <x:v>0</x:v>
      </x:c>
    </x:row>
    <x:row r="1889">
      <x:c r="A1889" s="6" t="n">
        <x:v>5113</x:v>
      </x:c>
      <x:c r="B1889" s="6" t="n">
        <x:v>1971</x:v>
      </x:c>
      <x:c r="C1889" s="6" t="str">
        <x:v>PhD</x:v>
      </x:c>
      <x:c r="D1889" s="6" t="str">
        <x:v>Divorced</x:v>
      </x:c>
      <x:c r="E1889" s="6" t="n">
        <x:v>86979</x:v>
      </x:c>
      <x:c r="F1889" s="6" t="n">
        <x:v>0</x:v>
      </x:c>
      <x:c r="G1889" s="6" t="n">
        <x:v>0</x:v>
      </x:c>
      <x:c r="H1889" s="9" t="str">
        <x:v>07-11-2013</x:v>
      </x:c>
      <x:c r="I1889" s="6" t="n">
        <x:v>67</x:v>
      </x:c>
      <x:c r="J1889" s="6" t="n">
        <x:v>584</x:v>
      </x:c>
      <x:c r="K1889" s="6" t="n">
        <x:v>100</x:v>
      </x:c>
      <x:c r="L1889" s="6" t="n">
        <x:v>835</x:v>
      </x:c>
      <x:c r="M1889" s="6" t="n">
        <x:v>65</x:v>
      </x:c>
      <x:c r="N1889" s="6" t="n">
        <x:v>83</x:v>
      </x:c>
      <x:c r="O1889" s="6" t="n">
        <x:v>35</x:v>
      </x:c>
      <x:c r="P1889" s="6" t="n">
        <x:v>1</x:v>
      </x:c>
      <x:c r="Q1889" s="6" t="n">
        <x:v>5</x:v>
      </x:c>
      <x:c r="R1889" s="6" t="n">
        <x:v>5</x:v>
      </x:c>
      <x:c r="S1889" s="6" t="n">
        <x:v>5</x:v>
      </x:c>
      <x:c r="T1889" s="6" t="n">
        <x:v>2</x:v>
      </x:c>
      <x:c r="U1889" s="6" t="n">
        <x:v>1</x:v>
      </x:c>
      <x:c r="V1889" s="6" t="n">
        <x:v>0</x:v>
      </x:c>
      <x:c r="W1889" s="6" t="n">
        <x:v>0</x:v>
      </x:c>
      <x:c r="X1889" s="6" t="n">
        <x:v>0</x:v>
      </x:c>
      <x:c r="Y1889" s="6" t="n">
        <x:v>0</x:v>
      </x:c>
      <x:c r="Z1889" s="6" t="n">
        <x:v>0</x:v>
      </x:c>
      <x:c r="AA1889" s="6" t="n">
        <x:v>3</x:v>
      </x:c>
      <x:c r="AB1889" s="6" t="n">
        <x:v>11</x:v>
      </x:c>
      <x:c r="AC1889" s="6" t="n">
        <x:v>1</x:v>
      </x:c>
    </x:row>
    <x:row r="1890">
      <x:c r="A1890" s="6" t="n">
        <x:v>10858</x:v>
      </x:c>
      <x:c r="B1890" s="6" t="n">
        <x:v>1975</x:v>
      </x:c>
      <x:c r="C1890" s="6" t="str">
        <x:v>Graduation</x:v>
      </x:c>
      <x:c r="D1890" s="6" t="str">
        <x:v>Together</x:v>
      </x:c>
      <x:c r="E1890" s="6" t="n">
        <x:v>76532</x:v>
      </x:c>
      <x:c r="F1890" s="6" t="n">
        <x:v>1</x:v>
      </x:c>
      <x:c r="G1890" s="6" t="n">
        <x:v>1</x:v>
      </x:c>
      <x:c r="H1890" s="9" t="str">
        <x:v>09-09-2013</x:v>
      </x:c>
      <x:c r="I1890" s="6" t="n">
        <x:v>38</x:v>
      </x:c>
      <x:c r="J1890" s="6" t="n">
        <x:v>355</x:v>
      </x:c>
      <x:c r="K1890" s="6" t="n">
        <x:v>30</x:v>
      </x:c>
      <x:c r="L1890" s="6" t="n">
        <x:v>177</x:v>
      </x:c>
      <x:c r="M1890" s="6" t="n">
        <x:v>90</x:v>
      </x:c>
      <x:c r="N1890" s="6" t="n">
        <x:v>138</x:v>
      </x:c>
      <x:c r="O1890" s="6" t="n">
        <x:v>30</x:v>
      </x:c>
      <x:c r="P1890" s="6" t="n">
        <x:v>4</x:v>
      </x:c>
      <x:c r="Q1890" s="6" t="n">
        <x:v>9</x:v>
      </x:c>
      <x:c r="R1890" s="6" t="n">
        <x:v>5</x:v>
      </x:c>
      <x:c r="S1890" s="6" t="n">
        <x:v>7</x:v>
      </x:c>
      <x:c r="T1890" s="6" t="n">
        <x:v>5</x:v>
      </x:c>
      <x:c r="U1890" s="6" t="n">
        <x:v>0</x:v>
      </x:c>
      <x:c r="V1890" s="6" t="n">
        <x:v>0</x:v>
      </x:c>
      <x:c r="W1890" s="6" t="n">
        <x:v>0</x:v>
      </x:c>
      <x:c r="X1890" s="6" t="n">
        <x:v>0</x:v>
      </x:c>
      <x:c r="Y1890" s="6" t="n">
        <x:v>0</x:v>
      </x:c>
      <x:c r="Z1890" s="6" t="n">
        <x:v>0</x:v>
      </x:c>
      <x:c r="AA1890" s="6" t="n">
        <x:v>3</x:v>
      </x:c>
      <x:c r="AB1890" s="6" t="n">
        <x:v>11</x:v>
      </x:c>
      <x:c r="AC1890" s="6" t="n">
        <x:v>0</x:v>
      </x:c>
    </x:row>
    <x:row r="1891">
      <x:c r="A1891" s="6" t="n">
        <x:v>2961</x:v>
      </x:c>
      <x:c r="B1891" s="6" t="n">
        <x:v>1982</x:v>
      </x:c>
      <x:c r="C1891" s="6" t="str">
        <x:v>Graduation</x:v>
      </x:c>
      <x:c r="D1891" s="6" t="str">
        <x:v>Married</x:v>
      </x:c>
      <x:c r="E1891" s="6" t="n">
        <x:v>42081</x:v>
      </x:c>
      <x:c r="F1891" s="6" t="n">
        <x:v>1</x:v>
      </x:c>
      <x:c r="G1891" s="6" t="n">
        <x:v>0</x:v>
      </x:c>
      <x:c r="H1891" s="9" t="str">
        <x:v>26-02-2013</x:v>
      </x:c>
      <x:c r="I1891" s="6" t="n">
        <x:v>86</x:v>
      </x:c>
      <x:c r="J1891" s="6" t="n">
        <x:v>175</x:v>
      </x:c>
      <x:c r="K1891" s="6" t="n">
        <x:v>10</x:v>
      </x:c>
      <x:c r="L1891" s="6" t="n">
        <x:v>110</x:v>
      </x:c>
      <x:c r="M1891" s="6" t="n">
        <x:v>54</x:v>
      </x:c>
      <x:c r="N1891" s="6" t="n">
        <x:v>6</x:v>
      </x:c>
      <x:c r="O1891" s="6" t="n">
        <x:v>27</x:v>
      </x:c>
      <x:c r="P1891" s="6" t="n">
        <x:v>2</x:v>
      </x:c>
      <x:c r="Q1891" s="6" t="n">
        <x:v>6</x:v>
      </x:c>
      <x:c r="R1891" s="6" t="n">
        <x:v>3</x:v>
      </x:c>
      <x:c r="S1891" s="6" t="n">
        <x:v>4</x:v>
      </x:c>
      <x:c r="T1891" s="6" t="n">
        <x:v>6</x:v>
      </x:c>
      <x:c r="U1891" s="6" t="n">
        <x:v>1</x:v>
      </x:c>
      <x:c r="V1891" s="6" t="n">
        <x:v>0</x:v>
      </x:c>
      <x:c r="W1891" s="6" t="n">
        <x:v>0</x:v>
      </x:c>
      <x:c r="X1891" s="6" t="n">
        <x:v>0</x:v>
      </x:c>
      <x:c r="Y1891" s="6" t="n">
        <x:v>0</x:v>
      </x:c>
      <x:c r="Z1891" s="6" t="n">
        <x:v>0</x:v>
      </x:c>
      <x:c r="AA1891" s="6" t="n">
        <x:v>3</x:v>
      </x:c>
      <x:c r="AB1891" s="6" t="n">
        <x:v>11</x:v>
      </x:c>
      <x:c r="AC1891" s="6" t="n">
        <x:v>0</x:v>
      </x:c>
    </x:row>
    <x:row r="1892">
      <x:c r="A1892" s="6" t="n">
        <x:v>2747</x:v>
      </x:c>
      <x:c r="B1892" s="6" t="n">
        <x:v>1988</x:v>
      </x:c>
      <x:c r="C1892" s="6" t="str">
        <x:v>PhD</x:v>
      </x:c>
      <x:c r="D1892" s="6" t="str">
        <x:v>Married</x:v>
      </x:c>
      <x:c r="E1892" s="6" t="n">
        <x:v>67546</x:v>
      </x:c>
      <x:c r="F1892" s="6" t="n">
        <x:v>0</x:v>
      </x:c>
      <x:c r="G1892" s="6" t="n">
        <x:v>0</x:v>
      </x:c>
      <x:c r="H1892" s="9" t="str">
        <x:v>31-08-2012</x:v>
      </x:c>
      <x:c r="I1892" s="6" t="n">
        <x:v>90</x:v>
      </x:c>
      <x:c r="J1892" s="6" t="n">
        <x:v>864</x:v>
      </x:c>
      <x:c r="K1892" s="6" t="n">
        <x:v>134</x:v>
      </x:c>
      <x:c r="L1892" s="6" t="n">
        <x:v>768</x:v>
      </x:c>
      <x:c r="M1892" s="6" t="n">
        <x:v>150</x:v>
      </x:c>
      <x:c r="N1892" s="6" t="n">
        <x:v>38</x:v>
      </x:c>
      <x:c r="O1892" s="6" t="n">
        <x:v>172</x:v>
      </x:c>
      <x:c r="P1892" s="6" t="n">
        <x:v>1</x:v>
      </x:c>
      <x:c r="Q1892" s="6" t="n">
        <x:v>4</x:v>
      </x:c>
      <x:c r="R1892" s="6" t="n">
        <x:v>10</x:v>
      </x:c>
      <x:c r="S1892" s="6" t="n">
        <x:v>5</x:v>
      </x:c>
      <x:c r="T1892" s="6" t="n">
        <x:v>3</x:v>
      </x:c>
      <x:c r="U1892" s="6" t="n">
        <x:v>0</x:v>
      </x:c>
      <x:c r="V1892" s="6" t="n">
        <x:v>0</x:v>
      </x:c>
      <x:c r="W1892" s="6" t="n">
        <x:v>0</x:v>
      </x:c>
      <x:c r="X1892" s="6" t="n">
        <x:v>0</x:v>
      </x:c>
      <x:c r="Y1892" s="6" t="n">
        <x:v>0</x:v>
      </x:c>
      <x:c r="Z1892" s="6" t="n">
        <x:v>0</x:v>
      </x:c>
      <x:c r="AA1892" s="6" t="n">
        <x:v>3</x:v>
      </x:c>
      <x:c r="AB1892" s="6" t="n">
        <x:v>11</x:v>
      </x:c>
      <x:c r="AC1892" s="6" t="n">
        <x:v>0</x:v>
      </x:c>
    </x:row>
    <x:row r="1893">
      <x:c r="A1893" s="6" t="n">
        <x:v>3010</x:v>
      </x:c>
      <x:c r="B1893" s="6" t="n">
        <x:v>1989</x:v>
      </x:c>
      <x:c r="C1893" s="6" t="str">
        <x:v>Master</x:v>
      </x:c>
      <x:c r="D1893" s="6" t="str">
        <x:v>Together</x:v>
      </x:c>
      <x:c r="E1893" s="6" t="n">
        <x:v>88420</x:v>
      </x:c>
      <x:c r="F1893" s="6" t="n">
        <x:v>0</x:v>
      </x:c>
      <x:c r="G1893" s="6" t="n">
        <x:v>0</x:v>
      </x:c>
      <x:c r="H1893" s="9" t="str">
        <x:v>02-05-2014</x:v>
      </x:c>
      <x:c r="I1893" s="6" t="n">
        <x:v>87</x:v>
      </x:c>
      <x:c r="J1893" s="6" t="n">
        <x:v>957</x:v>
      </x:c>
      <x:c r="K1893" s="6" t="n">
        <x:v>153</x:v>
      </x:c>
      <x:c r="L1893" s="6" t="n">
        <x:v>612</x:v>
      </x:c>
      <x:c r="M1893" s="6" t="n">
        <x:v>99</x:v>
      </x:c>
      <x:c r="N1893" s="6" t="n">
        <x:v>95</x:v>
      </x:c>
      <x:c r="O1893" s="6" t="n">
        <x:v>153</x:v>
      </x:c>
      <x:c r="P1893" s="6" t="n">
        <x:v>1</x:v>
      </x:c>
      <x:c r="Q1893" s="6" t="n">
        <x:v>4</x:v>
      </x:c>
      <x:c r="R1893" s="6" t="n">
        <x:v>7</x:v>
      </x:c>
      <x:c r="S1893" s="6" t="n">
        <x:v>8</x:v>
      </x:c>
      <x:c r="T1893" s="6" t="n">
        <x:v>1</x:v>
      </x:c>
      <x:c r="U1893" s="6" t="n">
        <x:v>1</x:v>
      </x:c>
      <x:c r="V1893" s="6" t="n">
        <x:v>0</x:v>
      </x:c>
      <x:c r="W1893" s="6" t="n">
        <x:v>1</x:v>
      </x:c>
      <x:c r="X1893" s="6" t="n">
        <x:v>1</x:v>
      </x:c>
      <x:c r="Y1893" s="6" t="n">
        <x:v>0</x:v>
      </x:c>
      <x:c r="Z1893" s="6" t="n">
        <x:v>0</x:v>
      </x:c>
      <x:c r="AA1893" s="6" t="n">
        <x:v>3</x:v>
      </x:c>
      <x:c r="AB1893" s="6" t="n">
        <x:v>11</x:v>
      </x:c>
      <x:c r="AC1893" s="6" t="n">
        <x:v>0</x:v>
      </x:c>
    </x:row>
    <x:row r="1894">
      <x:c r="A1894" s="6" t="n">
        <x:v>5790</x:v>
      </x:c>
      <x:c r="B1894" s="6" t="n">
        <x:v>1985</x:v>
      </x:c>
      <x:c r="C1894" s="6" t="str">
        <x:v>Graduation</x:v>
      </x:c>
      <x:c r="D1894" s="6" t="str">
        <x:v>Married</x:v>
      </x:c>
      <x:c r="E1894" s="6" t="n">
        <x:v>31158</x:v>
      </x:c>
      <x:c r="F1894" s="6" t="n">
        <x:v>1</x:v>
      </x:c>
      <x:c r="G1894" s="6" t="n">
        <x:v>0</x:v>
      </x:c>
      <x:c r="H1894" s="9" t="str">
        <x:v>27-01-2013</x:v>
      </x:c>
      <x:c r="I1894" s="6" t="n">
        <x:v>62</x:v>
      </x:c>
      <x:c r="J1894" s="6" t="n">
        <x:v>25</x:v>
      </x:c>
      <x:c r="K1894" s="6" t="n">
        <x:v>6</x:v>
      </x:c>
      <x:c r="L1894" s="6" t="n">
        <x:v>16</x:v>
      </x:c>
      <x:c r="M1894" s="6" t="n">
        <x:v>20</x:v>
      </x:c>
      <x:c r="N1894" s="6" t="n">
        <x:v>0</x:v>
      </x:c>
      <x:c r="O1894" s="6" t="n">
        <x:v>5</x:v>
      </x:c>
      <x:c r="P1894" s="6" t="n">
        <x:v>2</x:v>
      </x:c>
      <x:c r="Q1894" s="6" t="n">
        <x:v>2</x:v>
      </x:c>
      <x:c r="R1894" s="6" t="n">
        <x:v>0</x:v>
      </x:c>
      <x:c r="S1894" s="6" t="n">
        <x:v>3</x:v>
      </x:c>
      <x:c r="T1894" s="6" t="n">
        <x:v>8</x:v>
      </x:c>
      <x:c r="U1894" s="6" t="n">
        <x:v>0</x:v>
      </x:c>
      <x:c r="V1894" s="6" t="n">
        <x:v>0</x:v>
      </x:c>
      <x:c r="W1894" s="6" t="n">
        <x:v>0</x:v>
      </x:c>
      <x:c r="X1894" s="6" t="n">
        <x:v>0</x:v>
      </x:c>
      <x:c r="Y1894" s="6" t="n">
        <x:v>0</x:v>
      </x:c>
      <x:c r="Z1894" s="6" t="n">
        <x:v>0</x:v>
      </x:c>
      <x:c r="AA1894" s="6" t="n">
        <x:v>3</x:v>
      </x:c>
      <x:c r="AB1894" s="6" t="n">
        <x:v>11</x:v>
      </x:c>
      <x:c r="AC1894" s="6" t="n">
        <x:v>0</x:v>
      </x:c>
    </x:row>
    <x:row r="1895">
      <x:c r="A1895" s="6" t="n">
        <x:v>6892</x:v>
      </x:c>
      <x:c r="B1895" s="6" t="n">
        <x:v>1968</x:v>
      </x:c>
      <x:c r="C1895" s="6" t="str">
        <x:v>Graduation</x:v>
      </x:c>
      <x:c r="D1895" s="6" t="str">
        <x:v>Divorced</x:v>
      </x:c>
      <x:c r="E1895" s="6" t="n">
        <x:v>61671</x:v>
      </x:c>
      <x:c r="F1895" s="6" t="n">
        <x:v>0</x:v>
      </x:c>
      <x:c r="G1895" s="6" t="n">
        <x:v>1</x:v>
      </x:c>
      <x:c r="H1895" s="9" t="str">
        <x:v>03-06-2014</x:v>
      </x:c>
      <x:c r="I1895" s="6" t="n">
        <x:v>23</x:v>
      </x:c>
      <x:c r="J1895" s="6" t="n">
        <x:v>641</x:v>
      </x:c>
      <x:c r="K1895" s="6" t="n">
        <x:v>7</x:v>
      </x:c>
      <x:c r="L1895" s="6" t="n">
        <x:v>56</x:v>
      </x:c>
      <x:c r="M1895" s="6" t="n">
        <x:v>0</x:v>
      </x:c>
      <x:c r="N1895" s="6" t="n">
        <x:v>0</x:v>
      </x:c>
      <x:c r="O1895" s="6" t="n">
        <x:v>28</x:v>
      </x:c>
      <x:c r="P1895" s="6" t="n">
        <x:v>8</x:v>
      </x:c>
      <x:c r="Q1895" s="6" t="n">
        <x:v>10</x:v>
      </x:c>
      <x:c r="R1895" s="6" t="n">
        <x:v>4</x:v>
      </x:c>
      <x:c r="S1895" s="6" t="n">
        <x:v>6</x:v>
      </x:c>
      <x:c r="T1895" s="6" t="n">
        <x:v>8</x:v>
      </x:c>
      <x:c r="U1895" s="6" t="n">
        <x:v>0</x:v>
      </x:c>
      <x:c r="V1895" s="6" t="n">
        <x:v>1</x:v>
      </x:c>
      <x:c r="W1895" s="6" t="n">
        <x:v>0</x:v>
      </x:c>
      <x:c r="X1895" s="6" t="n">
        <x:v>1</x:v>
      </x:c>
      <x:c r="Y1895" s="6" t="n">
        <x:v>0</x:v>
      </x:c>
      <x:c r="Z1895" s="6" t="n">
        <x:v>0</x:v>
      </x:c>
      <x:c r="AA1895" s="6" t="n">
        <x:v>3</x:v>
      </x:c>
      <x:c r="AB1895" s="6" t="n">
        <x:v>11</x:v>
      </x:c>
      <x:c r="AC1895" s="6" t="n">
        <x:v>0</x:v>
      </x:c>
    </x:row>
    <x:row r="1896">
      <x:c r="A1896" s="6" t="n">
        <x:v>1743</x:v>
      </x:c>
      <x:c r="B1896" s="6" t="n">
        <x:v>1974</x:v>
      </x:c>
      <x:c r="C1896" s="6" t="str">
        <x:v>Graduation</x:v>
      </x:c>
      <x:c r="D1896" s="6" t="str">
        <x:v>Single</x:v>
      </x:c>
      <x:c r="E1896" s="6" t="n">
        <x:v>69719</x:v>
      </x:c>
      <x:c r="F1896" s="6" t="n">
        <x:v>0</x:v>
      </x:c>
      <x:c r="G1896" s="6" t="n">
        <x:v>0</x:v>
      </x:c>
      <x:c r="H1896" s="9" t="str">
        <x:v>26-05-2014</x:v>
      </x:c>
      <x:c r="I1896" s="6" t="n">
        <x:v>99</x:v>
      </x:c>
      <x:c r="J1896" s="6" t="n">
        <x:v>273</x:v>
      </x:c>
      <x:c r="K1896" s="6" t="n">
        <x:v>86</x:v>
      </x:c>
      <x:c r="L1896" s="6" t="n">
        <x:v>208</x:v>
      </x:c>
      <x:c r="M1896" s="6" t="n">
        <x:v>177</x:v>
      </x:c>
      <x:c r="N1896" s="6" t="n">
        <x:v>14</x:v>
      </x:c>
      <x:c r="O1896" s="6" t="n">
        <x:v>43</x:v>
      </x:c>
      <x:c r="P1896" s="6" t="n">
        <x:v>1</x:v>
      </x:c>
      <x:c r="Q1896" s="6" t="n">
        <x:v>2</x:v>
      </x:c>
      <x:c r="R1896" s="6" t="n">
        <x:v>3</x:v>
      </x:c>
      <x:c r="S1896" s="6" t="n">
        <x:v>5</x:v>
      </x:c>
      <x:c r="T1896" s="6" t="n">
        <x:v>1</x:v>
      </x:c>
      <x:c r="U1896" s="6" t="n">
        <x:v>0</x:v>
      </x:c>
      <x:c r="V1896" s="6" t="n">
        <x:v>0</x:v>
      </x:c>
      <x:c r="W1896" s="6" t="n">
        <x:v>0</x:v>
      </x:c>
      <x:c r="X1896" s="6" t="n">
        <x:v>0</x:v>
      </x:c>
      <x:c r="Y1896" s="6" t="n">
        <x:v>0</x:v>
      </x:c>
      <x:c r="Z1896" s="6" t="n">
        <x:v>0</x:v>
      </x:c>
      <x:c r="AA1896" s="6" t="n">
        <x:v>3</x:v>
      </x:c>
      <x:c r="AB1896" s="6" t="n">
        <x:v>11</x:v>
      </x:c>
      <x:c r="AC1896" s="6" t="n">
        <x:v>0</x:v>
      </x:c>
    </x:row>
    <x:row r="1897">
      <x:c r="A1897" s="6" t="n">
        <x:v>3578</x:v>
      </x:c>
      <x:c r="B1897" s="6" t="n">
        <x:v>1949</x:v>
      </x:c>
      <x:c r="C1897" s="6" t="str">
        <x:v>Graduation</x:v>
      </x:c>
      <x:c r="D1897" s="6" t="str">
        <x:v>Divorced</x:v>
      </x:c>
      <x:c r="E1897" s="6" t="n">
        <x:v>49160</x:v>
      </x:c>
      <x:c r="F1897" s="6" t="n">
        <x:v>0</x:v>
      </x:c>
      <x:c r="G1897" s="6" t="n">
        <x:v>1</x:v>
      </x:c>
      <x:c r="H1897" s="9" t="str">
        <x:v>20-10-2013</x:v>
      </x:c>
      <x:c r="I1897" s="6" t="n">
        <x:v>29</x:v>
      </x:c>
      <x:c r="J1897" s="6" t="n">
        <x:v>122</x:v>
      </x:c>
      <x:c r="K1897" s="6" t="n">
        <x:v>21</x:v>
      </x:c>
      <x:c r="L1897" s="6" t="n">
        <x:v>43</x:v>
      </x:c>
      <x:c r="M1897" s="6" t="n">
        <x:v>25</x:v>
      </x:c>
      <x:c r="N1897" s="6" t="n">
        <x:v>10</x:v>
      </x:c>
      <x:c r="O1897" s="6" t="n">
        <x:v>15</x:v>
      </x:c>
      <x:c r="P1897" s="6" t="n">
        <x:v>2</x:v>
      </x:c>
      <x:c r="Q1897" s="6" t="n">
        <x:v>3</x:v>
      </x:c>
      <x:c r="R1897" s="6" t="n">
        <x:v>1</x:v>
      </x:c>
      <x:c r="S1897" s="6" t="n">
        <x:v>6</x:v>
      </x:c>
      <x:c r="T1897" s="6" t="n">
        <x:v>6</x:v>
      </x:c>
      <x:c r="U1897" s="6" t="n">
        <x:v>0</x:v>
      </x:c>
      <x:c r="V1897" s="6" t="n">
        <x:v>0</x:v>
      </x:c>
      <x:c r="W1897" s="6" t="n">
        <x:v>0</x:v>
      </x:c>
      <x:c r="X1897" s="6" t="n">
        <x:v>0</x:v>
      </x:c>
      <x:c r="Y1897" s="6" t="n">
        <x:v>0</x:v>
      </x:c>
      <x:c r="Z1897" s="6" t="n">
        <x:v>0</x:v>
      </x:c>
      <x:c r="AA1897" s="6" t="n">
        <x:v>3</x:v>
      </x:c>
      <x:c r="AB1897" s="6" t="n">
        <x:v>11</x:v>
      </x:c>
      <x:c r="AC1897" s="6" t="n">
        <x:v>0</x:v>
      </x:c>
    </x:row>
    <x:row r="1898">
      <x:c r="A1898" s="6" t="n">
        <x:v>8462</x:v>
      </x:c>
      <x:c r="B1898" s="6" t="n">
        <x:v>1978</x:v>
      </x:c>
      <x:c r="C1898" s="6" t="str">
        <x:v>Basic</x:v>
      </x:c>
      <x:c r="D1898" s="6" t="str">
        <x:v>Together</x:v>
      </x:c>
      <x:c r="E1898" s="6" t="n">
        <x:v>24882</x:v>
      </x:c>
      <x:c r="F1898" s="6" t="n">
        <x:v>1</x:v>
      </x:c>
      <x:c r="G1898" s="6" t="n">
        <x:v>0</x:v>
      </x:c>
      <x:c r="H1898" s="9" t="str">
        <x:v>09-09-2012</x:v>
      </x:c>
      <x:c r="I1898" s="6" t="n">
        <x:v>52</x:v>
      </x:c>
      <x:c r="J1898" s="6" t="n">
        <x:v>1</x:v>
      </x:c>
      <x:c r="K1898" s="6" t="n">
        <x:v>4</x:v>
      </x:c>
      <x:c r="L1898" s="6" t="n">
        <x:v>10</x:v>
      </x:c>
      <x:c r="M1898" s="6" t="n">
        <x:v>29</x:v>
      </x:c>
      <x:c r="N1898" s="6" t="n">
        <x:v>0</x:v>
      </x:c>
      <x:c r="O1898" s="6" t="n">
        <x:v>36</x:v>
      </x:c>
      <x:c r="P1898" s="6" t="n">
        <x:v>1</x:v>
      </x:c>
      <x:c r="Q1898" s="6" t="n">
        <x:v>1</x:v>
      </x:c>
      <x:c r="R1898" s="6" t="n">
        <x:v>1</x:v>
      </x:c>
      <x:c r="S1898" s="6" t="n">
        <x:v>2</x:v>
      </x:c>
      <x:c r="T1898" s="6" t="n">
        <x:v>6</x:v>
      </x:c>
      <x:c r="U1898" s="6" t="n">
        <x:v>1</x:v>
      </x:c>
      <x:c r="V1898" s="6" t="n">
        <x:v>0</x:v>
      </x:c>
      <x:c r="W1898" s="6" t="n">
        <x:v>0</x:v>
      </x:c>
      <x:c r="X1898" s="6" t="n">
        <x:v>0</x:v>
      </x:c>
      <x:c r="Y1898" s="6" t="n">
        <x:v>0</x:v>
      </x:c>
      <x:c r="Z1898" s="6" t="n">
        <x:v>0</x:v>
      </x:c>
      <x:c r="AA1898" s="6" t="n">
        <x:v>3</x:v>
      </x:c>
      <x:c r="AB1898" s="6" t="n">
        <x:v>11</x:v>
      </x:c>
      <x:c r="AC1898" s="6" t="n">
        <x:v>0</x:v>
      </x:c>
    </x:row>
    <x:row r="1899">
      <x:c r="A1899" s="6" t="n">
        <x:v>5558</x:v>
      </x:c>
      <x:c r="B1899" s="6" t="n">
        <x:v>1954</x:v>
      </x:c>
      <x:c r="C1899" s="6" t="str">
        <x:v>PhD</x:v>
      </x:c>
      <x:c r="D1899" s="6" t="str">
        <x:v>Single</x:v>
      </x:c>
      <x:c r="E1899" s="6" t="n">
        <x:v>90933</x:v>
      </x:c>
      <x:c r="F1899" s="6" t="n">
        <x:v>0</x:v>
      </x:c>
      <x:c r="G1899" s="6" t="n">
        <x:v>0</x:v>
      </x:c>
      <x:c r="H1899" s="9" t="str">
        <x:v>31-03-2014</x:v>
      </x:c>
      <x:c r="I1899" s="6" t="n">
        <x:v>90</x:v>
      </x:c>
      <x:c r="J1899" s="6" t="n">
        <x:v>1020</x:v>
      </x:c>
      <x:c r="K1899" s="6" t="n">
        <x:v>31</x:v>
      </x:c>
      <x:c r="L1899" s="6" t="n">
        <x:v>430</x:v>
      </x:c>
      <x:c r="M1899" s="6" t="n">
        <x:v>62</x:v>
      </x:c>
      <x:c r="N1899" s="6" t="n">
        <x:v>63</x:v>
      </x:c>
      <x:c r="O1899" s="6" t="n">
        <x:v>79</x:v>
      </x:c>
      <x:c r="P1899" s="6" t="n">
        <x:v>1</x:v>
      </x:c>
      <x:c r="Q1899" s="6" t="n">
        <x:v>4</x:v>
      </x:c>
      <x:c r="R1899" s="6" t="n">
        <x:v>6</x:v>
      </x:c>
      <x:c r="S1899" s="6" t="n">
        <x:v>4</x:v>
      </x:c>
      <x:c r="T1899" s="6" t="n">
        <x:v>1</x:v>
      </x:c>
      <x:c r="U1899" s="6" t="n">
        <x:v>0</x:v>
      </x:c>
      <x:c r="V1899" s="6" t="n">
        <x:v>0</x:v>
      </x:c>
      <x:c r="W1899" s="6" t="n">
        <x:v>1</x:v>
      </x:c>
      <x:c r="X1899" s="6" t="n">
        <x:v>0</x:v>
      </x:c>
      <x:c r="Y1899" s="6" t="n">
        <x:v>0</x:v>
      </x:c>
      <x:c r="Z1899" s="6" t="n">
        <x:v>0</x:v>
      </x:c>
      <x:c r="AA1899" s="6" t="n">
        <x:v>3</x:v>
      </x:c>
      <x:c r="AB1899" s="6" t="n">
        <x:v>11</x:v>
      </x:c>
      <x:c r="AC1899" s="6" t="n">
        <x:v>0</x:v>
      </x:c>
    </x:row>
    <x:row r="1900">
      <x:c r="A1900" s="6" t="n">
        <x:v>4619</x:v>
      </x:c>
      <x:c r="B1900" s="6" t="n">
        <x:v>1945</x:v>
      </x:c>
      <x:c r="C1900" s="6" t="str">
        <x:v>PhD</x:v>
      </x:c>
      <x:c r="D1900" s="6" t="str">
        <x:v>Single</x:v>
      </x:c>
      <x:c r="E1900" s="6" t="n">
        <x:v>113734</x:v>
      </x:c>
      <x:c r="F1900" s="6" t="n">
        <x:v>0</x:v>
      </x:c>
      <x:c r="G1900" s="6" t="n">
        <x:v>0</x:v>
      </x:c>
      <x:c r="H1900" s="9" t="str">
        <x:v>28-05-2014</x:v>
      </x:c>
      <x:c r="I1900" s="6" t="n">
        <x:v>9</x:v>
      </x:c>
      <x:c r="J1900" s="6" t="n">
        <x:v>6</x:v>
      </x:c>
      <x:c r="K1900" s="6" t="n">
        <x:v>2</x:v>
      </x:c>
      <x:c r="L1900" s="6" t="n">
        <x:v>3</x:v>
      </x:c>
      <x:c r="M1900" s="6" t="n">
        <x:v>1</x:v>
      </x:c>
      <x:c r="N1900" s="6" t="n">
        <x:v>262</x:v>
      </x:c>
      <x:c r="O1900" s="6" t="n">
        <x:v>3</x:v>
      </x:c>
      <x:c r="P1900" s="6" t="n">
        <x:v>0</x:v>
      </x:c>
      <x:c r="Q1900" s="6" t="n">
        <x:v>27</x:v>
      </x:c>
      <x:c r="R1900" s="6" t="n">
        <x:v>0</x:v>
      </x:c>
      <x:c r="S1900" s="6" t="n">
        <x:v>0</x:v>
      </x:c>
      <x:c r="T1900" s="6" t="n">
        <x:v>1</x:v>
      </x:c>
      <x:c r="U1900" s="6" t="n">
        <x:v>0</x:v>
      </x:c>
      <x:c r="V1900" s="6" t="n">
        <x:v>0</x:v>
      </x:c>
      <x:c r="W1900" s="6" t="n">
        <x:v>0</x:v>
      </x:c>
      <x:c r="X1900" s="6" t="n">
        <x:v>0</x:v>
      </x:c>
      <x:c r="Y1900" s="6" t="n">
        <x:v>0</x:v>
      </x:c>
      <x:c r="Z1900" s="6" t="n">
        <x:v>0</x:v>
      </x:c>
      <x:c r="AA1900" s="6" t="n">
        <x:v>3</x:v>
      </x:c>
      <x:c r="AB1900" s="6" t="n">
        <x:v>11</x:v>
      </x:c>
      <x:c r="AC1900" s="6" t="n">
        <x:v>0</x:v>
      </x:c>
    </x:row>
    <x:row r="1901">
      <x:c r="A1901" s="6" t="n">
        <x:v>8780</x:v>
      </x:c>
      <x:c r="B1901" s="6" t="n">
        <x:v>1950</x:v>
      </x:c>
      <x:c r="C1901" s="6" t="str">
        <x:v>PhD</x:v>
      </x:c>
      <x:c r="D1901" s="6" t="str">
        <x:v>Together</x:v>
      </x:c>
      <x:c r="E1901" s="6" t="n">
        <x:v>59292</x:v>
      </x:c>
      <x:c r="F1901" s="6" t="n">
        <x:v>0</x:v>
      </x:c>
      <x:c r="G1901" s="6" t="n">
        <x:v>1</x:v>
      </x:c>
      <x:c r="H1901" s="9" t="str">
        <x:v>13-06-2013</x:v>
      </x:c>
      <x:c r="I1901" s="6" t="n">
        <x:v>71</x:v>
      </x:c>
      <x:c r="J1901" s="6" t="n">
        <x:v>378</x:v>
      </x:c>
      <x:c r="K1901" s="6" t="n">
        <x:v>14</x:v>
      </x:c>
      <x:c r="L1901" s="6" t="n">
        <x:v>68</x:v>
      </x:c>
      <x:c r="M1901" s="6" t="n">
        <x:v>19</x:v>
      </x:c>
      <x:c r="N1901" s="6" t="n">
        <x:v>14</x:v>
      </x:c>
      <x:c r="O1901" s="6" t="n">
        <x:v>14</x:v>
      </x:c>
      <x:c r="P1901" s="6" t="n">
        <x:v>2</x:v>
      </x:c>
      <x:c r="Q1901" s="6" t="n">
        <x:v>3</x:v>
      </x:c>
      <x:c r="R1901" s="6" t="n">
        <x:v>5</x:v>
      </x:c>
      <x:c r="S1901" s="6" t="n">
        <x:v>8</x:v>
      </x:c>
      <x:c r="T1901" s="6" t="n">
        <x:v>3</x:v>
      </x:c>
      <x:c r="U1901" s="6" t="n">
        <x:v>0</x:v>
      </x:c>
      <x:c r="V1901" s="6" t="n">
        <x:v>0</x:v>
      </x:c>
      <x:c r="W1901" s="6" t="n">
        <x:v>0</x:v>
      </x:c>
      <x:c r="X1901" s="6" t="n">
        <x:v>0</x:v>
      </x:c>
      <x:c r="Y1901" s="6" t="n">
        <x:v>0</x:v>
      </x:c>
      <x:c r="Z1901" s="6" t="n">
        <x:v>0</x:v>
      </x:c>
      <x:c r="AA1901" s="6" t="n">
        <x:v>3</x:v>
      </x:c>
      <x:c r="AB1901" s="6" t="n">
        <x:v>11</x:v>
      </x:c>
      <x:c r="AC1901" s="6" t="n">
        <x:v>0</x:v>
      </x:c>
    </x:row>
    <x:row r="1902">
      <x:c r="A1902" s="6" t="n">
        <x:v>10789</x:v>
      </x:c>
      <x:c r="B1902" s="6" t="n">
        <x:v>1964</x:v>
      </x:c>
      <x:c r="C1902" s="6" t="str">
        <x:v>PhD</x:v>
      </x:c>
      <x:c r="D1902" s="6" t="str">
        <x:v>Married</x:v>
      </x:c>
      <x:c r="E1902" s="6" t="n">
        <x:v>45759</x:v>
      </x:c>
      <x:c r="F1902" s="6" t="n">
        <x:v>1</x:v>
      </x:c>
      <x:c r="G1902" s="6" t="n">
        <x:v>1</x:v>
      </x:c>
      <x:c r="H1902" s="9" t="str">
        <x:v>23-02-2013</x:v>
      </x:c>
      <x:c r="I1902" s="6" t="n">
        <x:v>13</x:v>
      </x:c>
      <x:c r="J1902" s="6" t="n">
        <x:v>42</x:v>
      </x:c>
      <x:c r="K1902" s="6" t="n">
        <x:v>1</x:v>
      </x:c>
      <x:c r="L1902" s="6" t="n">
        <x:v>18</x:v>
      </x:c>
      <x:c r="M1902" s="6" t="n">
        <x:v>3</x:v>
      </x:c>
      <x:c r="N1902" s="6" t="n">
        <x:v>0</x:v>
      </x:c>
      <x:c r="O1902" s="6" t="n">
        <x:v>4</x:v>
      </x:c>
      <x:c r="P1902" s="6" t="n">
        <x:v>2</x:v>
      </x:c>
      <x:c r="Q1902" s="6" t="n">
        <x:v>2</x:v>
      </x:c>
      <x:c r="R1902" s="6" t="n">
        <x:v>0</x:v>
      </x:c>
      <x:c r="S1902" s="6" t="n">
        <x:v>3</x:v>
      </x:c>
      <x:c r="T1902" s="6" t="n">
        <x:v>7</x:v>
      </x:c>
      <x:c r="U1902" s="6" t="n">
        <x:v>0</x:v>
      </x:c>
      <x:c r="V1902" s="6" t="n">
        <x:v>0</x:v>
      </x:c>
      <x:c r="W1902" s="6" t="n">
        <x:v>0</x:v>
      </x:c>
      <x:c r="X1902" s="6" t="n">
        <x:v>0</x:v>
      </x:c>
      <x:c r="Y1902" s="6" t="n">
        <x:v>0</x:v>
      </x:c>
      <x:c r="Z1902" s="6" t="n">
        <x:v>0</x:v>
      </x:c>
      <x:c r="AA1902" s="6" t="n">
        <x:v>3</x:v>
      </x:c>
      <x:c r="AB1902" s="6" t="n">
        <x:v>11</x:v>
      </x:c>
      <x:c r="AC1902" s="6" t="n">
        <x:v>0</x:v>
      </x:c>
    </x:row>
    <x:row r="1903">
      <x:c r="A1903" s="6" t="n">
        <x:v>10779</x:v>
      </x:c>
      <x:c r="B1903" s="6" t="n">
        <x:v>1983</x:v>
      </x:c>
      <x:c r="C1903" s="6" t="str">
        <x:v>Graduation</x:v>
      </x:c>
      <x:c r="D1903" s="6" t="str">
        <x:v>Single</x:v>
      </x:c>
      <x:c r="E1903" s="6" t="n">
        <x:v>22148</x:v>
      </x:c>
      <x:c r="F1903" s="6" t="n">
        <x:v>0</x:v>
      </x:c>
      <x:c r="G1903" s="6" t="n">
        <x:v>0</x:v>
      </x:c>
      <x:c r="H1903" s="9" t="str">
        <x:v>13-04-2014</x:v>
      </x:c>
      <x:c r="I1903" s="6" t="n">
        <x:v>16</x:v>
      </x:c>
      <x:c r="J1903" s="6" t="n">
        <x:v>15</x:v>
      </x:c>
      <x:c r="K1903" s="6" t="n">
        <x:v>5</x:v>
      </x:c>
      <x:c r="L1903" s="6" t="n">
        <x:v>14</x:v>
      </x:c>
      <x:c r="M1903" s="6" t="n">
        <x:v>0</x:v>
      </x:c>
      <x:c r="N1903" s="6" t="n">
        <x:v>4</x:v>
      </x:c>
      <x:c r="O1903" s="6" t="n">
        <x:v>11</x:v>
      </x:c>
      <x:c r="P1903" s="6" t="n">
        <x:v>1</x:v>
      </x:c>
      <x:c r="Q1903" s="6" t="n">
        <x:v>1</x:v>
      </x:c>
      <x:c r="R1903" s="6" t="n">
        <x:v>0</x:v>
      </x:c>
      <x:c r="S1903" s="6" t="n">
        <x:v>3</x:v>
      </x:c>
      <x:c r="T1903" s="6" t="n">
        <x:v>7</x:v>
      </x:c>
      <x:c r="U1903" s="6" t="n">
        <x:v>0</x:v>
      </x:c>
      <x:c r="V1903" s="6" t="n">
        <x:v>0</x:v>
      </x:c>
      <x:c r="W1903" s="6" t="n">
        <x:v>0</x:v>
      </x:c>
      <x:c r="X1903" s="6" t="n">
        <x:v>0</x:v>
      </x:c>
      <x:c r="Y1903" s="6" t="n">
        <x:v>0</x:v>
      </x:c>
      <x:c r="Z1903" s="6" t="n">
        <x:v>0</x:v>
      </x:c>
      <x:c r="AA1903" s="6" t="n">
        <x:v>3</x:v>
      </x:c>
      <x:c r="AB1903" s="6" t="n">
        <x:v>11</x:v>
      </x:c>
      <x:c r="AC1903" s="6" t="n">
        <x:v>0</x:v>
      </x:c>
    </x:row>
    <x:row r="1904">
      <x:c r="A1904" s="6" t="n">
        <x:v>5896</x:v>
      </x:c>
      <x:c r="B1904" s="6" t="n">
        <x:v>1987</x:v>
      </x:c>
      <x:c r="C1904" s="6" t="str">
        <x:v>Master</x:v>
      </x:c>
      <x:c r="D1904" s="6" t="str">
        <x:v>Married</x:v>
      </x:c>
      <x:c r="E1904" s="6" t="n">
        <x:v>73395</x:v>
      </x:c>
      <x:c r="F1904" s="6" t="n">
        <x:v>0</x:v>
      </x:c>
      <x:c r="G1904" s="6" t="n">
        <x:v>0</x:v>
      </x:c>
      <x:c r="H1904" s="9" t="str">
        <x:v>18-03-2014</x:v>
      </x:c>
      <x:c r="I1904" s="6" t="n">
        <x:v>94</x:v>
      </x:c>
      <x:c r="J1904" s="6" t="n">
        <x:v>272</x:v>
      </x:c>
      <x:c r="K1904" s="6" t="n">
        <x:v>7</x:v>
      </x:c>
      <x:c r="L1904" s="6" t="n">
        <x:v>80</x:v>
      </x:c>
      <x:c r="M1904" s="6" t="n">
        <x:v>20</x:v>
      </x:c>
      <x:c r="N1904" s="6" t="n">
        <x:v>7</x:v>
      </x:c>
      <x:c r="O1904" s="6" t="n">
        <x:v>11</x:v>
      </x:c>
      <x:c r="P1904" s="6" t="n">
        <x:v>1</x:v>
      </x:c>
      <x:c r="Q1904" s="6" t="n">
        <x:v>4</x:v>
      </x:c>
      <x:c r="R1904" s="6" t="n">
        <x:v>4</x:v>
      </x:c>
      <x:c r="S1904" s="6" t="n">
        <x:v>6</x:v>
      </x:c>
      <x:c r="T1904" s="6" t="n">
        <x:v>2</x:v>
      </x:c>
      <x:c r="U1904" s="6" t="n">
        <x:v>0</x:v>
      </x:c>
      <x:c r="V1904" s="6" t="n">
        <x:v>0</x:v>
      </x:c>
      <x:c r="W1904" s="6" t="n">
        <x:v>0</x:v>
      </x:c>
      <x:c r="X1904" s="6" t="n">
        <x:v>0</x:v>
      </x:c>
      <x:c r="Y1904" s="6" t="n">
        <x:v>0</x:v>
      </x:c>
      <x:c r="Z1904" s="6" t="n">
        <x:v>0</x:v>
      </x:c>
      <x:c r="AA1904" s="6" t="n">
        <x:v>3</x:v>
      </x:c>
      <x:c r="AB1904" s="6" t="n">
        <x:v>11</x:v>
      </x:c>
      <x:c r="AC1904" s="6" t="n">
        <x:v>0</x:v>
      </x:c>
    </x:row>
    <x:row r="1905">
      <x:c r="A1905" s="6" t="n">
        <x:v>2337</x:v>
      </x:c>
      <x:c r="B1905" s="6" t="n">
        <x:v>1971</x:v>
      </x:c>
      <x:c r="C1905" s="6" t="str">
        <x:v>Graduation</x:v>
      </x:c>
      <x:c r="D1905" s="6" t="str">
        <x:v>Divorced</x:v>
      </x:c>
      <x:c r="E1905" s="6" t="n">
        <x:v>29819</x:v>
      </x:c>
      <x:c r="F1905" s="6" t="n">
        <x:v>1</x:v>
      </x:c>
      <x:c r="G1905" s="6" t="n">
        <x:v>0</x:v>
      </x:c>
      <x:c r="H1905" s="9" t="str">
        <x:v>24-10-2013</x:v>
      </x:c>
      <x:c r="I1905" s="6" t="n">
        <x:v>77</x:v>
      </x:c>
      <x:c r="J1905" s="6" t="n">
        <x:v>9</x:v>
      </x:c>
      <x:c r="K1905" s="6" t="n">
        <x:v>1</x:v>
      </x:c>
      <x:c r="L1905" s="6" t="n">
        <x:v>24</x:v>
      </x:c>
      <x:c r="M1905" s="6" t="n">
        <x:v>2</x:v>
      </x:c>
      <x:c r="N1905" s="6" t="n">
        <x:v>1</x:v>
      </x:c>
      <x:c r="O1905" s="6" t="n">
        <x:v>2</x:v>
      </x:c>
      <x:c r="P1905" s="6" t="n">
        <x:v>3</x:v>
      </x:c>
      <x:c r="Q1905" s="6" t="n">
        <x:v>3</x:v>
      </x:c>
      <x:c r="R1905" s="6" t="n">
        <x:v>0</x:v>
      </x:c>
      <x:c r="S1905" s="6" t="n">
        <x:v>3</x:v>
      </x:c>
      <x:c r="T1905" s="6" t="n">
        <x:v>6</x:v>
      </x:c>
      <x:c r="U1905" s="6" t="n">
        <x:v>0</x:v>
      </x:c>
      <x:c r="V1905" s="6" t="n">
        <x:v>0</x:v>
      </x:c>
      <x:c r="W1905" s="6" t="n">
        <x:v>0</x:v>
      </x:c>
      <x:c r="X1905" s="6" t="n">
        <x:v>0</x:v>
      </x:c>
      <x:c r="Y1905" s="6" t="n">
        <x:v>0</x:v>
      </x:c>
      <x:c r="Z1905" s="6" t="n">
        <x:v>0</x:v>
      </x:c>
      <x:c r="AA1905" s="6" t="n">
        <x:v>3</x:v>
      </x:c>
      <x:c r="AB1905" s="6" t="n">
        <x:v>11</x:v>
      </x:c>
      <x:c r="AC1905" s="6" t="n">
        <x:v>0</x:v>
      </x:c>
    </x:row>
    <x:row r="1906">
      <x:c r="A1906" s="6" t="n">
        <x:v>10951</x:v>
      </x:c>
      <x:c r="B1906" s="6" t="n">
        <x:v>1968</x:v>
      </x:c>
      <x:c r="C1906" s="6" t="str">
        <x:v>Graduation</x:v>
      </x:c>
      <x:c r="D1906" s="6" t="str">
        <x:v>Married</x:v>
      </x:c>
      <x:c r="E1906" s="6" t="n">
        <x:v>45688</x:v>
      </x:c>
      <x:c r="F1906" s="6" t="n">
        <x:v>0</x:v>
      </x:c>
      <x:c r="G1906" s="6" t="n">
        <x:v>1</x:v>
      </x:c>
      <x:c r="H1906" s="9" t="str">
        <x:v>25-01-2014</x:v>
      </x:c>
      <x:c r="I1906" s="6" t="n">
        <x:v>20</x:v>
      </x:c>
      <x:c r="J1906" s="6" t="n">
        <x:v>279</x:v>
      </x:c>
      <x:c r="K1906" s="6" t="n">
        <x:v>0</x:v>
      </x:c>
      <x:c r="L1906" s="6" t="n">
        <x:v>18</x:v>
      </x:c>
      <x:c r="M1906" s="6" t="n">
        <x:v>0</x:v>
      </x:c>
      <x:c r="N1906" s="6" t="n">
        <x:v>0</x:v>
      </x:c>
      <x:c r="O1906" s="6" t="n">
        <x:v>9</x:v>
      </x:c>
      <x:c r="P1906" s="6" t="n">
        <x:v>2</x:v>
      </x:c>
      <x:c r="Q1906" s="6" t="n">
        <x:v>3</x:v>
      </x:c>
      <x:c r="R1906" s="6" t="n">
        <x:v>1</x:v>
      </x:c>
      <x:c r="S1906" s="6" t="n">
        <x:v>8</x:v>
      </x:c>
      <x:c r="T1906" s="6" t="n">
        <x:v>4</x:v>
      </x:c>
      <x:c r="U1906" s="6" t="n">
        <x:v>0</x:v>
      </x:c>
      <x:c r="V1906" s="6" t="n">
        <x:v>1</x:v>
      </x:c>
      <x:c r="W1906" s="6" t="n">
        <x:v>0</x:v>
      </x:c>
      <x:c r="X1906" s="6" t="n">
        <x:v>0</x:v>
      </x:c>
      <x:c r="Y1906" s="6" t="n">
        <x:v>0</x:v>
      </x:c>
      <x:c r="Z1906" s="6" t="n">
        <x:v>0</x:v>
      </x:c>
      <x:c r="AA1906" s="6" t="n">
        <x:v>3</x:v>
      </x:c>
      <x:c r="AB1906" s="6" t="n">
        <x:v>11</x:v>
      </x:c>
      <x:c r="AC1906" s="6" t="n">
        <x:v>0</x:v>
      </x:c>
    </x:row>
    <x:row r="1907">
      <x:c r="A1907" s="6" t="n">
        <x:v>544</x:v>
      </x:c>
      <x:c r="B1907" s="6" t="n">
        <x:v>1954</x:v>
      </x:c>
      <x:c r="C1907" s="6" t="str">
        <x:v>Graduation</x:v>
      </x:c>
      <x:c r="D1907" s="6" t="str">
        <x:v>Married</x:v>
      </x:c>
      <x:c r="E1907" s="6" t="n">
        <x:v>62820</x:v>
      </x:c>
      <x:c r="F1907" s="6" t="n">
        <x:v>0</x:v>
      </x:c>
      <x:c r="G1907" s="6" t="n">
        <x:v>0</x:v>
      </x:c>
      <x:c r="H1907" s="9" t="str">
        <x:v>11-05-2013</x:v>
      </x:c>
      <x:c r="I1907" s="6" t="n">
        <x:v>51</x:v>
      </x:c>
      <x:c r="J1907" s="6" t="n">
        <x:v>398</x:v>
      </x:c>
      <x:c r="K1907" s="6" t="n">
        <x:v>61</x:v>
      </x:c>
      <x:c r="L1907" s="6" t="n">
        <x:v>265</x:v>
      </x:c>
      <x:c r="M1907" s="6" t="n">
        <x:v>138</x:v>
      </x:c>
      <x:c r="N1907" s="6" t="n">
        <x:v>61</x:v>
      </x:c>
      <x:c r="O1907" s="6" t="n">
        <x:v>53</x:v>
      </x:c>
      <x:c r="P1907" s="6" t="n">
        <x:v>1</x:v>
      </x:c>
      <x:c r="Q1907" s="6" t="n">
        <x:v>3</x:v>
      </x:c>
      <x:c r="R1907" s="6" t="n">
        <x:v>4</x:v>
      </x:c>
      <x:c r="S1907" s="6" t="n">
        <x:v>6</x:v>
      </x:c>
      <x:c r="T1907" s="6" t="n">
        <x:v>1</x:v>
      </x:c>
      <x:c r="U1907" s="6" t="n">
        <x:v>0</x:v>
      </x:c>
      <x:c r="V1907" s="6" t="n">
        <x:v>0</x:v>
      </x:c>
      <x:c r="W1907" s="6" t="n">
        <x:v>0</x:v>
      </x:c>
      <x:c r="X1907" s="6" t="n">
        <x:v>0</x:v>
      </x:c>
      <x:c r="Y1907" s="6" t="n">
        <x:v>0</x:v>
      </x:c>
      <x:c r="Z1907" s="6" t="n">
        <x:v>0</x:v>
      </x:c>
      <x:c r="AA1907" s="6" t="n">
        <x:v>3</x:v>
      </x:c>
      <x:c r="AB1907" s="6" t="n">
        <x:v>11</x:v>
      </x:c>
      <x:c r="AC1907" s="6" t="n">
        <x:v>0</x:v>
      </x:c>
    </x:row>
    <x:row r="1908">
      <x:c r="A1908" s="6" t="n">
        <x:v>17</x:v>
      </x:c>
      <x:c r="B1908" s="6" t="n">
        <x:v>1971</x:v>
      </x:c>
      <x:c r="C1908" s="6" t="str">
        <x:v>PhD</x:v>
      </x:c>
      <x:c r="D1908" s="6" t="str">
        <x:v>Married</x:v>
      </x:c>
      <x:c r="E1908" s="6" t="n">
        <x:v>60491</x:v>
      </x:c>
      <x:c r="F1908" s="6" t="n">
        <x:v>0</x:v>
      </x:c>
      <x:c r="G1908" s="6" t="n">
        <x:v>1</x:v>
      </x:c>
      <x:c r="H1908" s="9" t="str">
        <x:v>06-09-2013</x:v>
      </x:c>
      <x:c r="I1908" s="6" t="n">
        <x:v>81</x:v>
      </x:c>
      <x:c r="J1908" s="6" t="n">
        <x:v>637</x:v>
      </x:c>
      <x:c r="K1908" s="6" t="n">
        <x:v>47</x:v>
      </x:c>
      <x:c r="L1908" s="6" t="n">
        <x:v>237</x:v>
      </x:c>
      <x:c r="M1908" s="6" t="n">
        <x:v>12</x:v>
      </x:c>
      <x:c r="N1908" s="6" t="n">
        <x:v>19</x:v>
      </x:c>
      <x:c r="O1908" s="6" t="n">
        <x:v>76</x:v>
      </x:c>
      <x:c r="P1908" s="6" t="n">
        <x:v>4</x:v>
      </x:c>
      <x:c r="Q1908" s="6" t="n">
        <x:v>6</x:v>
      </x:c>
      <x:c r="R1908" s="6" t="n">
        <x:v>11</x:v>
      </x:c>
      <x:c r="S1908" s="6" t="n">
        <x:v>7</x:v>
      </x:c>
      <x:c r="T1908" s="6" t="n">
        <x:v>5</x:v>
      </x:c>
      <x:c r="U1908" s="6" t="n">
        <x:v>0</x:v>
      </x:c>
      <x:c r="V1908" s="6" t="n">
        <x:v>0</x:v>
      </x:c>
      <x:c r="W1908" s="6" t="n">
        <x:v>0</x:v>
      </x:c>
      <x:c r="X1908" s="6" t="n">
        <x:v>0</x:v>
      </x:c>
      <x:c r="Y1908" s="6" t="n">
        <x:v>0</x:v>
      </x:c>
      <x:c r="Z1908" s="6" t="n">
        <x:v>0</x:v>
      </x:c>
      <x:c r="AA1908" s="6" t="n">
        <x:v>3</x:v>
      </x:c>
      <x:c r="AB1908" s="6" t="n">
        <x:v>11</x:v>
      </x:c>
      <x:c r="AC1908" s="6" t="n">
        <x:v>0</x:v>
      </x:c>
    </x:row>
    <x:row r="1909">
      <x:c r="A1909" s="6" t="n">
        <x:v>10680</x:v>
      </x:c>
      <x:c r="B1909" s="6" t="n">
        <x:v>1986</x:v>
      </x:c>
      <x:c r="C1909" s="6" t="str">
        <x:v>Graduation</x:v>
      </x:c>
      <x:c r="D1909" s="6" t="str">
        <x:v>Together</x:v>
      </x:c>
      <x:c r="E1909" s="6" t="n">
        <x:v>33235</x:v>
      </x:c>
      <x:c r="F1909" s="6" t="n">
        <x:v>1</x:v>
      </x:c>
      <x:c r="G1909" s="6" t="n">
        <x:v>0</x:v>
      </x:c>
      <x:c r="H1909" s="9" t="str">
        <x:v>05-02-2014</x:v>
      </x:c>
      <x:c r="I1909" s="6" t="n">
        <x:v>71</x:v>
      </x:c>
      <x:c r="J1909" s="6" t="n">
        <x:v>45</x:v>
      </x:c>
      <x:c r="K1909" s="6" t="n">
        <x:v>0</x:v>
      </x:c>
      <x:c r="L1909" s="6" t="n">
        <x:v>16</x:v>
      </x:c>
      <x:c r="M1909" s="6" t="n">
        <x:v>2</x:v>
      </x:c>
      <x:c r="N1909" s="6" t="n">
        <x:v>1</x:v>
      </x:c>
      <x:c r="O1909" s="6" t="n">
        <x:v>6</x:v>
      </x:c>
      <x:c r="P1909" s="6" t="n">
        <x:v>1</x:v>
      </x:c>
      <x:c r="Q1909" s="6" t="n">
        <x:v>3</x:v>
      </x:c>
      <x:c r="R1909" s="6" t="n">
        <x:v>0</x:v>
      </x:c>
      <x:c r="S1909" s="6" t="n">
        <x:v>3</x:v>
      </x:c>
      <x:c r="T1909" s="6" t="n">
        <x:v>7</x:v>
      </x:c>
      <x:c r="U1909" s="6" t="n">
        <x:v>0</x:v>
      </x:c>
      <x:c r="V1909" s="6" t="n">
        <x:v>0</x:v>
      </x:c>
      <x:c r="W1909" s="6" t="n">
        <x:v>0</x:v>
      </x:c>
      <x:c r="X1909" s="6" t="n">
        <x:v>0</x:v>
      </x:c>
      <x:c r="Y1909" s="6" t="n">
        <x:v>0</x:v>
      </x:c>
      <x:c r="Z1909" s="6" t="n">
        <x:v>0</x:v>
      </x:c>
      <x:c r="AA1909" s="6" t="n">
        <x:v>3</x:v>
      </x:c>
      <x:c r="AB1909" s="6" t="n">
        <x:v>11</x:v>
      </x:c>
      <x:c r="AC1909" s="6" t="n">
        <x:v>0</x:v>
      </x:c>
    </x:row>
    <x:row r="1910">
      <x:c r="A1910" s="6" t="n">
        <x:v>3265</x:v>
      </x:c>
      <x:c r="B1910" s="6" t="n">
        <x:v>1959</x:v>
      </x:c>
      <x:c r="C1910" s="6" t="str">
        <x:v>Graduation</x:v>
      </x:c>
      <x:c r="D1910" s="6" t="str">
        <x:v>Married</x:v>
      </x:c>
      <x:c r="E1910" s="6" t="n">
        <x:v>35701</x:v>
      </x:c>
      <x:c r="F1910" s="6" t="n">
        <x:v>0</x:v>
      </x:c>
      <x:c r="G1910" s="6" t="n">
        <x:v>0</x:v>
      </x:c>
      <x:c r="H1910" s="9" t="str">
        <x:v>19-03-2013</x:v>
      </x:c>
      <x:c r="I1910" s="6" t="n">
        <x:v>36</x:v>
      </x:c>
      <x:c r="J1910" s="6" t="n">
        <x:v>21</x:v>
      </x:c>
      <x:c r="K1910" s="6" t="n">
        <x:v>1</x:v>
      </x:c>
      <x:c r="L1910" s="6" t="n">
        <x:v>9</x:v>
      </x:c>
      <x:c r="M1910" s="6" t="n">
        <x:v>7</x:v>
      </x:c>
      <x:c r="N1910" s="6" t="n">
        <x:v>3</x:v>
      </x:c>
      <x:c r="O1910" s="6" t="n">
        <x:v>5</x:v>
      </x:c>
      <x:c r="P1910" s="6" t="n">
        <x:v>1</x:v>
      </x:c>
      <x:c r="Q1910" s="6" t="n">
        <x:v>1</x:v>
      </x:c>
      <x:c r="R1910" s="6" t="n">
        <x:v>0</x:v>
      </x:c>
      <x:c r="S1910" s="6" t="n">
        <x:v>3</x:v>
      </x:c>
      <x:c r="T1910" s="6" t="n">
        <x:v>6</x:v>
      </x:c>
      <x:c r="U1910" s="6" t="n">
        <x:v>0</x:v>
      </x:c>
      <x:c r="V1910" s="6" t="n">
        <x:v>0</x:v>
      </x:c>
      <x:c r="W1910" s="6" t="n">
        <x:v>0</x:v>
      </x:c>
      <x:c r="X1910" s="6" t="n">
        <x:v>0</x:v>
      </x:c>
      <x:c r="Y1910" s="6" t="n">
        <x:v>0</x:v>
      </x:c>
      <x:c r="Z1910" s="6" t="n">
        <x:v>0</x:v>
      </x:c>
      <x:c r="AA1910" s="6" t="n">
        <x:v>3</x:v>
      </x:c>
      <x:c r="AB1910" s="6" t="n">
        <x:v>11</x:v>
      </x:c>
      <x:c r="AC1910" s="6" t="n">
        <x:v>0</x:v>
      </x:c>
    </x:row>
    <x:row r="1911">
      <x:c r="A1911" s="6" t="n">
        <x:v>5623</x:v>
      </x:c>
      <x:c r="B1911" s="6" t="n">
        <x:v>1980</x:v>
      </x:c>
      <x:c r="C1911" s="6" t="str">
        <x:v>Master</x:v>
      </x:c>
      <x:c r="D1911" s="6" t="str">
        <x:v>Married</x:v>
      </x:c>
      <x:c r="E1911" s="6" t="n">
        <x:v>31535</x:v>
      </x:c>
      <x:c r="F1911" s="6" t="n">
        <x:v>1</x:v>
      </x:c>
      <x:c r="G1911" s="6" t="n">
        <x:v>0</x:v>
      </x:c>
      <x:c r="H1911" s="9" t="str">
        <x:v>26-09-2013</x:v>
      </x:c>
      <x:c r="I1911" s="6" t="n">
        <x:v>95</x:v>
      </x:c>
      <x:c r="J1911" s="6" t="n">
        <x:v>15</x:v>
      </x:c>
      <x:c r="K1911" s="6" t="n">
        <x:v>4</x:v>
      </x:c>
      <x:c r="L1911" s="6" t="n">
        <x:v>13</x:v>
      </x:c>
      <x:c r="M1911" s="6" t="n">
        <x:v>0</x:v>
      </x:c>
      <x:c r="N1911" s="6" t="n">
        <x:v>0</x:v>
      </x:c>
      <x:c r="O1911" s="6" t="n">
        <x:v>19</x:v>
      </x:c>
      <x:c r="P1911" s="6" t="n">
        <x:v>1</x:v>
      </x:c>
      <x:c r="Q1911" s="6" t="n">
        <x:v>1</x:v>
      </x:c>
      <x:c r="R1911" s="6" t="n">
        <x:v>1</x:v>
      </x:c>
      <x:c r="S1911" s="6" t="n">
        <x:v>2</x:v>
      </x:c>
      <x:c r="T1911" s="6" t="n">
        <x:v>7</x:v>
      </x:c>
      <x:c r="U1911" s="6" t="n">
        <x:v>1</x:v>
      </x:c>
      <x:c r="V1911" s="6" t="n">
        <x:v>0</x:v>
      </x:c>
      <x:c r="W1911" s="6" t="n">
        <x:v>0</x:v>
      </x:c>
      <x:c r="X1911" s="6" t="n">
        <x:v>0</x:v>
      </x:c>
      <x:c r="Y1911" s="6" t="n">
        <x:v>0</x:v>
      </x:c>
      <x:c r="Z1911" s="6" t="n">
        <x:v>0</x:v>
      </x:c>
      <x:c r="AA1911" s="6" t="n">
        <x:v>3</x:v>
      </x:c>
      <x:c r="AB1911" s="6" t="n">
        <x:v>11</x:v>
      </x:c>
      <x:c r="AC1911" s="6" t="n">
        <x:v>0</x:v>
      </x:c>
    </x:row>
    <x:row r="1912">
      <x:c r="A1912" s="6" t="n">
        <x:v>5832</x:v>
      </x:c>
      <x:c r="B1912" s="6" t="n">
        <x:v>1960</x:v>
      </x:c>
      <x:c r="C1912" s="6" t="str">
        <x:v>2n Cycle</x:v>
      </x:c>
      <x:c r="D1912" s="6" t="str">
        <x:v>Together</x:v>
      </x:c>
      <x:c r="E1912" s="6" t="n">
        <x:v>92556</x:v>
      </x:c>
      <x:c r="F1912" s="6" t="n">
        <x:v>0</x:v>
      </x:c>
      <x:c r="G1912" s="6" t="n">
        <x:v>0</x:v>
      </x:c>
      <x:c r="H1912" s="9" t="str">
        <x:v>20-04-2014</x:v>
      </x:c>
      <x:c r="I1912" s="6" t="n">
        <x:v>32</x:v>
      </x:c>
      <x:c r="J1912" s="6" t="n">
        <x:v>493</x:v>
      </x:c>
      <x:c r="K1912" s="6" t="n">
        <x:v>183</x:v>
      </x:c>
      <x:c r="L1912" s="6" t="n">
        <x:v>352</x:v>
      </x:c>
      <x:c r="M1912" s="6" t="n">
        <x:v>184</x:v>
      </x:c>
      <x:c r="N1912" s="6" t="n">
        <x:v>23</x:v>
      </x:c>
      <x:c r="O1912" s="6" t="n">
        <x:v>28</x:v>
      </x:c>
      <x:c r="P1912" s="6" t="n">
        <x:v>0</x:v>
      </x:c>
      <x:c r="Q1912" s="6" t="n">
        <x:v>3</x:v>
      </x:c>
      <x:c r="R1912" s="6" t="n">
        <x:v>5</x:v>
      </x:c>
      <x:c r="S1912" s="6" t="n">
        <x:v>13</x:v>
      </x:c>
      <x:c r="T1912" s="6" t="n">
        <x:v>0</x:v>
      </x:c>
      <x:c r="U1912" s="6" t="n">
        <x:v>0</x:v>
      </x:c>
      <x:c r="V1912" s="6" t="n">
        <x:v>0</x:v>
      </x:c>
      <x:c r="W1912" s="6" t="n">
        <x:v>0</x:v>
      </x:c>
      <x:c r="X1912" s="6" t="n">
        <x:v>0</x:v>
      </x:c>
      <x:c r="Y1912" s="6" t="n">
        <x:v>0</x:v>
      </x:c>
      <x:c r="Z1912" s="6" t="n">
        <x:v>0</x:v>
      </x:c>
      <x:c r="AA1912" s="6" t="n">
        <x:v>3</x:v>
      </x:c>
      <x:c r="AB1912" s="6" t="n">
        <x:v>11</x:v>
      </x:c>
      <x:c r="AC1912" s="6" t="n">
        <x:v>0</x:v>
      </x:c>
    </x:row>
    <x:row r="1913">
      <x:c r="A1913" s="6" t="n">
        <x:v>5544</x:v>
      </x:c>
      <x:c r="B1913" s="6" t="n">
        <x:v>1970</x:v>
      </x:c>
      <x:c r="C1913" s="6" t="str">
        <x:v>Graduation</x:v>
      </x:c>
      <x:c r="D1913" s="6" t="str">
        <x:v>Single</x:v>
      </x:c>
      <x:c r="E1913" s="6" t="n">
        <x:v>67384</x:v>
      </x:c>
      <x:c r="F1913" s="6" t="n">
        <x:v>0</x:v>
      </x:c>
      <x:c r="G1913" s="6" t="n">
        <x:v>1</x:v>
      </x:c>
      <x:c r="H1913" s="9" t="str">
        <x:v>10-11-2012</x:v>
      </x:c>
      <x:c r="I1913" s="6" t="n">
        <x:v>32</x:v>
      </x:c>
      <x:c r="J1913" s="6" t="n">
        <x:v>957</x:v>
      </x:c>
      <x:c r="K1913" s="6" t="n">
        <x:v>40</x:v>
      </x:c>
      <x:c r="L1913" s="6" t="n">
        <x:v>175</x:v>
      </x:c>
      <x:c r="M1913" s="6" t="n">
        <x:v>158</x:v>
      </x:c>
      <x:c r="N1913" s="6" t="n">
        <x:v>53</x:v>
      </x:c>
      <x:c r="O1913" s="6" t="n">
        <x:v>107</x:v>
      </x:c>
      <x:c r="P1913" s="6" t="n">
        <x:v>2</x:v>
      </x:c>
      <x:c r="Q1913" s="6" t="n">
        <x:v>7</x:v>
      </x:c>
      <x:c r="R1913" s="6" t="n">
        <x:v>8</x:v>
      </x:c>
      <x:c r="S1913" s="6" t="n">
        <x:v>5</x:v>
      </x:c>
      <x:c r="T1913" s="6" t="n">
        <x:v>5</x:v>
      </x:c>
      <x:c r="U1913" s="6" t="n">
        <x:v>0</x:v>
      </x:c>
      <x:c r="V1913" s="6" t="n">
        <x:v>1</x:v>
      </x:c>
      <x:c r="W1913" s="6" t="n">
        <x:v>0</x:v>
      </x:c>
      <x:c r="X1913" s="6" t="n">
        <x:v>0</x:v>
      </x:c>
      <x:c r="Y1913" s="6" t="n">
        <x:v>0</x:v>
      </x:c>
      <x:c r="Z1913" s="6" t="n">
        <x:v>0</x:v>
      </x:c>
      <x:c r="AA1913" s="6" t="n">
        <x:v>3</x:v>
      </x:c>
      <x:c r="AB1913" s="6" t="n">
        <x:v>11</x:v>
      </x:c>
      <x:c r="AC1913" s="6" t="n">
        <x:v>0</x:v>
      </x:c>
    </x:row>
    <x:row r="1914">
      <x:c r="A1914" s="6" t="n">
        <x:v>6417</x:v>
      </x:c>
      <x:c r="B1914" s="6" t="n">
        <x:v>1971</x:v>
      </x:c>
      <x:c r="C1914" s="6" t="str">
        <x:v>Master</x:v>
      </x:c>
      <x:c r="D1914" s="6" t="str">
        <x:v>Together</x:v>
      </x:c>
      <x:c r="E1914" s="6" t="n">
        <x:v>80573</x:v>
      </x:c>
      <x:c r="F1914" s="6" t="n">
        <x:v>0</x:v>
      </x:c>
      <x:c r="G1914" s="6" t="n">
        <x:v>0</x:v>
      </x:c>
      <x:c r="H1914" s="9" t="str">
        <x:v>14-10-2012</x:v>
      </x:c>
      <x:c r="I1914" s="6" t="n">
        <x:v>85</x:v>
      </x:c>
      <x:c r="J1914" s="6" t="n">
        <x:v>829</x:v>
      </x:c>
      <x:c r="K1914" s="6" t="n">
        <x:v>138</x:v>
      </x:c>
      <x:c r="L1914" s="6" t="n">
        <x:v>430</x:v>
      </x:c>
      <x:c r="M1914" s="6" t="n">
        <x:v>60</x:v>
      </x:c>
      <x:c r="N1914" s="6" t="n">
        <x:v>92</x:v>
      </x:c>
      <x:c r="O1914" s="6" t="n">
        <x:v>15</x:v>
      </x:c>
      <x:c r="P1914" s="6" t="n">
        <x:v>1</x:v>
      </x:c>
      <x:c r="Q1914" s="6" t="n">
        <x:v>4</x:v>
      </x:c>
      <x:c r="R1914" s="6" t="n">
        <x:v>6</x:v>
      </x:c>
      <x:c r="S1914" s="6" t="n">
        <x:v>13</x:v>
      </x:c>
      <x:c r="T1914" s="6" t="n">
        <x:v>2</x:v>
      </x:c>
      <x:c r="U1914" s="6" t="n">
        <x:v>0</x:v>
      </x:c>
      <x:c r="V1914" s="6" t="n">
        <x:v>0</x:v>
      </x:c>
      <x:c r="W1914" s="6" t="n">
        <x:v>0</x:v>
      </x:c>
      <x:c r="X1914" s="6" t="n">
        <x:v>0</x:v>
      </x:c>
      <x:c r="Y1914" s="6" t="n">
        <x:v>0</x:v>
      </x:c>
      <x:c r="Z1914" s="6" t="n">
        <x:v>0</x:v>
      </x:c>
      <x:c r="AA1914" s="6" t="n">
        <x:v>3</x:v>
      </x:c>
      <x:c r="AB1914" s="6" t="n">
        <x:v>11</x:v>
      </x:c>
      <x:c r="AC1914" s="6" t="n">
        <x:v>0</x:v>
      </x:c>
    </x:row>
    <x:row r="1915">
      <x:c r="A1915" s="6" t="n">
        <x:v>5831</x:v>
      </x:c>
      <x:c r="B1915" s="6" t="n">
        <x:v>1967</x:v>
      </x:c>
      <x:c r="C1915" s="6" t="str">
        <x:v>Graduation</x:v>
      </x:c>
      <x:c r="D1915" s="6" t="str">
        <x:v>Married</x:v>
      </x:c>
      <x:c r="E1915" s="6" t="n">
        <x:v>77870</x:v>
      </x:c>
      <x:c r="F1915" s="6" t="n">
        <x:v>0</x:v>
      </x:c>
      <x:c r="G1915" s="6" t="n">
        <x:v>1</x:v>
      </x:c>
      <x:c r="H1915" s="9" t="str">
        <x:v>22-08-2012</x:v>
      </x:c>
      <x:c r="I1915" s="6" t="n">
        <x:v>93</x:v>
      </x:c>
      <x:c r="J1915" s="6" t="n">
        <x:v>1017</x:v>
      </x:c>
      <x:c r="K1915" s="6" t="n">
        <x:v>50</x:v>
      </x:c>
      <x:c r="L1915" s="6" t="n">
        <x:v>500</x:v>
      </x:c>
      <x:c r="M1915" s="6" t="n">
        <x:v>65</x:v>
      </x:c>
      <x:c r="N1915" s="6" t="n">
        <x:v>50</x:v>
      </x:c>
      <x:c r="O1915" s="6" t="n">
        <x:v>133</x:v>
      </x:c>
      <x:c r="P1915" s="6" t="n">
        <x:v>3</x:v>
      </x:c>
      <x:c r="Q1915" s="6" t="n">
        <x:v>5</x:v>
      </x:c>
      <x:c r="R1915" s="6" t="n">
        <x:v>5</x:v>
      </x:c>
      <x:c r="S1915" s="6" t="n">
        <x:v>5</x:v>
      </x:c>
      <x:c r="T1915" s="6" t="n">
        <x:v>8</x:v>
      </x:c>
      <x:c r="U1915" s="6" t="n">
        <x:v>0</x:v>
      </x:c>
      <x:c r="V1915" s="6" t="n">
        <x:v>1</x:v>
      </x:c>
      <x:c r="W1915" s="6" t="n">
        <x:v>0</x:v>
      </x:c>
      <x:c r="X1915" s="6" t="n">
        <x:v>1</x:v>
      </x:c>
      <x:c r="Y1915" s="6" t="n">
        <x:v>0</x:v>
      </x:c>
      <x:c r="Z1915" s="6" t="n">
        <x:v>0</x:v>
      </x:c>
      <x:c r="AA1915" s="6" t="n">
        <x:v>3</x:v>
      </x:c>
      <x:c r="AB1915" s="6" t="n">
        <x:v>11</x:v>
      </x:c>
      <x:c r="AC1915" s="6" t="n">
        <x:v>1</x:v>
      </x:c>
    </x:row>
    <x:row r="1916">
      <x:c r="A1916" s="6" t="n">
        <x:v>7101</x:v>
      </x:c>
      <x:c r="B1916" s="6" t="n">
        <x:v>1963</x:v>
      </x:c>
      <x:c r="C1916" s="6" t="str">
        <x:v>PhD</x:v>
      </x:c>
      <x:c r="D1916" s="6" t="str">
        <x:v>Widow</x:v>
      </x:c>
      <x:c r="E1916" s="6" t="n">
        <x:v>52278</x:v>
      </x:c>
      <x:c r="F1916" s="6" t="n">
        <x:v>0</x:v>
      </x:c>
      <x:c r="G1916" s="6" t="n">
        <x:v>1</x:v>
      </x:c>
      <x:c r="H1916" s="9" t="str">
        <x:v>25-01-2013</x:v>
      </x:c>
      <x:c r="I1916" s="6" t="n">
        <x:v>24</x:v>
      </x:c>
      <x:c r="J1916" s="6" t="n">
        <x:v>953</x:v>
      </x:c>
      <x:c r="K1916" s="6" t="n">
        <x:v>0</x:v>
      </x:c>
      <x:c r="L1916" s="6" t="n">
        <x:v>71</x:v>
      </x:c>
      <x:c r="M1916" s="6" t="n">
        <x:v>0</x:v>
      </x:c>
      <x:c r="N1916" s="6" t="n">
        <x:v>0</x:v>
      </x:c>
      <x:c r="O1916" s="6" t="n">
        <x:v>174</x:v>
      </x:c>
      <x:c r="P1916" s="6" t="n">
        <x:v>6</x:v>
      </x:c>
      <x:c r="Q1916" s="6" t="n">
        <x:v>10</x:v>
      </x:c>
      <x:c r="R1916" s="6" t="n">
        <x:v>5</x:v>
      </x:c>
      <x:c r="S1916" s="6" t="n">
        <x:v>10</x:v>
      </x:c>
      <x:c r="T1916" s="6" t="n">
        <x:v>8</x:v>
      </x:c>
      <x:c r="U1916" s="6" t="n">
        <x:v>0</x:v>
      </x:c>
      <x:c r="V1916" s="6" t="n">
        <x:v>0</x:v>
      </x:c>
      <x:c r="W1916" s="6" t="n">
        <x:v>0</x:v>
      </x:c>
      <x:c r="X1916" s="6" t="n">
        <x:v>0</x:v>
      </x:c>
      <x:c r="Y1916" s="6" t="n">
        <x:v>0</x:v>
      </x:c>
      <x:c r="Z1916" s="6" t="n">
        <x:v>0</x:v>
      </x:c>
      <x:c r="AA1916" s="6" t="n">
        <x:v>3</x:v>
      </x:c>
      <x:c r="AB1916" s="6" t="n">
        <x:v>11</x:v>
      </x:c>
      <x:c r="AC1916" s="6" t="n">
        <x:v>0</x:v>
      </x:c>
    </x:row>
    <x:row r="1917">
      <x:c r="A1917" s="6" t="n">
        <x:v>10176</x:v>
      </x:c>
      <x:c r="B1917" s="6" t="n">
        <x:v>1968</x:v>
      </x:c>
      <x:c r="C1917" s="6" t="str">
        <x:v>Graduation</x:v>
      </x:c>
      <x:c r="D1917" s="6" t="str">
        <x:v>Single</x:v>
      </x:c>
      <x:c r="E1917" s="6" t="n">
        <x:v>57107</x:v>
      </x:c>
      <x:c r="F1917" s="6" t="n">
        <x:v>0</x:v>
      </x:c>
      <x:c r="G1917" s="6" t="n">
        <x:v>1</x:v>
      </x:c>
      <x:c r="H1917" s="9" t="str">
        <x:v>24-08-2012</x:v>
      </x:c>
      <x:c r="I1917" s="6" t="n">
        <x:v>44</x:v>
      </x:c>
      <x:c r="J1917" s="6" t="n">
        <x:v>159</x:v>
      </x:c>
      <x:c r="K1917" s="6" t="n">
        <x:v>0</x:v>
      </x:c>
      <x:c r="L1917" s="6" t="n">
        <x:v>120</x:v>
      </x:c>
      <x:c r="M1917" s="6" t="n">
        <x:v>0</x:v>
      </x:c>
      <x:c r="N1917" s="6" t="n">
        <x:v>0</x:v>
      </x:c>
      <x:c r="O1917" s="6" t="n">
        <x:v>137</x:v>
      </x:c>
      <x:c r="P1917" s="6" t="n">
        <x:v>7</x:v>
      </x:c>
      <x:c r="Q1917" s="6" t="n">
        <x:v>4</x:v>
      </x:c>
      <x:c r="R1917" s="6" t="n">
        <x:v>4</x:v>
      </x:c>
      <x:c r="S1917" s="6" t="n">
        <x:v>8</x:v>
      </x:c>
      <x:c r="T1917" s="6" t="n">
        <x:v>8</x:v>
      </x:c>
      <x:c r="U1917" s="6" t="n">
        <x:v>0</x:v>
      </x:c>
      <x:c r="V1917" s="6" t="n">
        <x:v>1</x:v>
      </x:c>
      <x:c r="W1917" s="6" t="n">
        <x:v>0</x:v>
      </x:c>
      <x:c r="X1917" s="6" t="n">
        <x:v>0</x:v>
      </x:c>
      <x:c r="Y1917" s="6" t="n">
        <x:v>1</x:v>
      </x:c>
      <x:c r="Z1917" s="6" t="n">
        <x:v>0</x:v>
      </x:c>
      <x:c r="AA1917" s="6" t="n">
        <x:v>3</x:v>
      </x:c>
      <x:c r="AB1917" s="6" t="n">
        <x:v>11</x:v>
      </x:c>
      <x:c r="AC1917" s="6" t="n">
        <x:v>1</x:v>
      </x:c>
    </x:row>
    <x:row r="1918">
      <x:c r="A1918" s="6" t="n">
        <x:v>2326</x:v>
      </x:c>
      <x:c r="B1918" s="6" t="n">
        <x:v>1990</x:v>
      </x:c>
      <x:c r="C1918" s="6" t="str">
        <x:v>Graduation</x:v>
      </x:c>
      <x:c r="D1918" s="6" t="str">
        <x:v>Married</x:v>
      </x:c>
      <x:c r="E1918" s="6" t="n">
        <x:v>18929</x:v>
      </x:c>
      <x:c r="F1918" s="6" t="n">
        <x:v>0</x:v>
      </x:c>
      <x:c r="G1918" s="6" t="n">
        <x:v>0</x:v>
      </x:c>
      <x:c r="H1918" s="9" t="str">
        <x:v>16-02-2013</x:v>
      </x:c>
      <x:c r="I1918" s="6" t="n">
        <x:v>15</x:v>
      </x:c>
      <x:c r="J1918" s="6" t="n">
        <x:v>32</x:v>
      </x:c>
      <x:c r="K1918" s="6" t="n">
        <x:v>0</x:v>
      </x:c>
      <x:c r="L1918" s="6" t="n">
        <x:v>8</x:v>
      </x:c>
      <x:c r="M1918" s="6" t="n">
        <x:v>23</x:v>
      </x:c>
      <x:c r="N1918" s="6" t="n">
        <x:v>4</x:v>
      </x:c>
      <x:c r="O1918" s="6" t="n">
        <x:v>18</x:v>
      </x:c>
      <x:c r="P1918" s="6" t="n">
        <x:v>1</x:v>
      </x:c>
      <x:c r="Q1918" s="6" t="n">
        <x:v>1</x:v>
      </x:c>
      <x:c r="R1918" s="6" t="n">
        <x:v>0</x:v>
      </x:c>
      <x:c r="S1918" s="6" t="n">
        <x:v>4</x:v>
      </x:c>
      <x:c r="T1918" s="6" t="n">
        <x:v>6</x:v>
      </x:c>
      <x:c r="U1918" s="6" t="n">
        <x:v>0</x:v>
      </x:c>
      <x:c r="V1918" s="6" t="n">
        <x:v>0</x:v>
      </x:c>
      <x:c r="W1918" s="6" t="n">
        <x:v>0</x:v>
      </x:c>
      <x:c r="X1918" s="6" t="n">
        <x:v>0</x:v>
      </x:c>
      <x:c r="Y1918" s="6" t="n">
        <x:v>0</x:v>
      </x:c>
      <x:c r="Z1918" s="6" t="n">
        <x:v>0</x:v>
      </x:c>
      <x:c r="AA1918" s="6" t="n">
        <x:v>3</x:v>
      </x:c>
      <x:c r="AB1918" s="6" t="n">
        <x:v>11</x:v>
      </x:c>
      <x:c r="AC1918" s="6" t="n">
        <x:v>0</x:v>
      </x:c>
    </x:row>
    <x:row r="1919">
      <x:c r="A1919" s="6" t="n">
        <x:v>4385</x:v>
      </x:c>
      <x:c r="B1919" s="6" t="n">
        <x:v>1981</x:v>
      </x:c>
      <x:c r="C1919" s="6" t="str">
        <x:v>PhD</x:v>
      </x:c>
      <x:c r="D1919" s="6" t="str">
        <x:v>Single</x:v>
      </x:c>
      <x:c r="E1919" s="6" t="n">
        <x:v>36038</x:v>
      </x:c>
      <x:c r="F1919" s="6" t="n">
        <x:v>1</x:v>
      </x:c>
      <x:c r="G1919" s="6" t="n">
        <x:v>0</x:v>
      </x:c>
      <x:c r="H1919" s="9" t="str">
        <x:v>31-05-2013</x:v>
      </x:c>
      <x:c r="I1919" s="6" t="n">
        <x:v>82</x:v>
      </x:c>
      <x:c r="J1919" s="6" t="n">
        <x:v>23</x:v>
      </x:c>
      <x:c r="K1919" s="6" t="n">
        <x:v>0</x:v>
      </x:c>
      <x:c r="L1919" s="6" t="n">
        <x:v>15</x:v>
      </x:c>
      <x:c r="M1919" s="6" t="n">
        <x:v>0</x:v>
      </x:c>
      <x:c r="N1919" s="6" t="n">
        <x:v>2</x:v>
      </x:c>
      <x:c r="O1919" s="6" t="n">
        <x:v>7</x:v>
      </x:c>
      <x:c r="P1919" s="6" t="n">
        <x:v>2</x:v>
      </x:c>
      <x:c r="Q1919" s="6" t="n">
        <x:v>3</x:v>
      </x:c>
      <x:c r="R1919" s="6" t="n">
        <x:v>0</x:v>
      </x:c>
      <x:c r="S1919" s="6" t="n">
        <x:v>3</x:v>
      </x:c>
      <x:c r="T1919" s="6" t="n">
        <x:v>6</x:v>
      </x:c>
      <x:c r="U1919" s="6" t="n">
        <x:v>0</x:v>
      </x:c>
      <x:c r="V1919" s="6" t="n">
        <x:v>0</x:v>
      </x:c>
      <x:c r="W1919" s="6" t="n">
        <x:v>0</x:v>
      </x:c>
      <x:c r="X1919" s="6" t="n">
        <x:v>0</x:v>
      </x:c>
      <x:c r="Y1919" s="6" t="n">
        <x:v>0</x:v>
      </x:c>
      <x:c r="Z1919" s="6" t="n">
        <x:v>0</x:v>
      </x:c>
      <x:c r="AA1919" s="6" t="n">
        <x:v>3</x:v>
      </x:c>
      <x:c r="AB1919" s="6" t="n">
        <x:v>11</x:v>
      </x:c>
      <x:c r="AC1919" s="6" t="n">
        <x:v>0</x:v>
      </x:c>
    </x:row>
    <x:row r="1920">
      <x:c r="A1920" s="6" t="n">
        <x:v>2929</x:v>
      </x:c>
      <x:c r="B1920" s="6" t="n">
        <x:v>1976</x:v>
      </x:c>
      <x:c r="C1920" s="6" t="str">
        <x:v>Graduation</x:v>
      </x:c>
      <x:c r="D1920" s="6" t="str">
        <x:v>Single</x:v>
      </x:c>
      <x:c r="E1920" s="6" t="n">
        <x:v>20180</x:v>
      </x:c>
      <x:c r="F1920" s="6" t="n">
        <x:v>0</x:v>
      </x:c>
      <x:c r="G1920" s="6" t="n">
        <x:v>0</x:v>
      </x:c>
      <x:c r="H1920" s="9" t="str">
        <x:v>20-02-2013</x:v>
      </x:c>
      <x:c r="I1920" s="6" t="n">
        <x:v>27</x:v>
      </x:c>
      <x:c r="J1920" s="6" t="n">
        <x:v>18</x:v>
      </x:c>
      <x:c r="K1920" s="6" t="n">
        <x:v>42</x:v>
      </x:c>
      <x:c r="L1920" s="6" t="n">
        <x:v>24</x:v>
      </x:c>
      <x:c r="M1920" s="6" t="n">
        <x:v>15</x:v>
      </x:c>
      <x:c r="N1920" s="6" t="n">
        <x:v>20</x:v>
      </x:c>
      <x:c r="O1920" s="6" t="n">
        <x:v>18</x:v>
      </x:c>
      <x:c r="P1920" s="6" t="n">
        <x:v>1</x:v>
      </x:c>
      <x:c r="Q1920" s="6" t="n">
        <x:v>2</x:v>
      </x:c>
      <x:c r="R1920" s="6" t="n">
        <x:v>1</x:v>
      </x:c>
      <x:c r="S1920" s="6" t="n">
        <x:v>4</x:v>
      </x:c>
      <x:c r="T1920" s="6" t="n">
        <x:v>7</x:v>
      </x:c>
      <x:c r="U1920" s="6" t="n">
        <x:v>0</x:v>
      </x:c>
      <x:c r="V1920" s="6" t="n">
        <x:v>0</x:v>
      </x:c>
      <x:c r="W1920" s="6" t="n">
        <x:v>0</x:v>
      </x:c>
      <x:c r="X1920" s="6" t="n">
        <x:v>0</x:v>
      </x:c>
      <x:c r="Y1920" s="6" t="n">
        <x:v>0</x:v>
      </x:c>
      <x:c r="Z1920" s="6" t="n">
        <x:v>0</x:v>
      </x:c>
      <x:c r="AA1920" s="6" t="n">
        <x:v>3</x:v>
      </x:c>
      <x:c r="AB1920" s="6" t="n">
        <x:v>11</x:v>
      </x:c>
      <x:c r="AC1920" s="6" t="n">
        <x:v>0</x:v>
      </x:c>
    </x:row>
    <x:row r="1921">
      <x:c r="A1921" s="6" t="n">
        <x:v>10686</x:v>
      </x:c>
      <x:c r="B1921" s="6" t="n">
        <x:v>1965</x:v>
      </x:c>
      <x:c r="C1921" s="6" t="str">
        <x:v>PhD</x:v>
      </x:c>
      <x:c r="D1921" s="6" t="str">
        <x:v>Together</x:v>
      </x:c>
      <x:c r="E1921" s="6" t="n">
        <x:v>34230</x:v>
      </x:c>
      <x:c r="F1921" s="6" t="n">
        <x:v>1</x:v>
      </x:c>
      <x:c r="G1921" s="6" t="n">
        <x:v>1</x:v>
      </x:c>
      <x:c r="H1921" s="9" t="str">
        <x:v>26-12-2012</x:v>
      </x:c>
      <x:c r="I1921" s="6" t="n">
        <x:v>72</x:v>
      </x:c>
      <x:c r="J1921" s="6" t="n">
        <x:v>15</x:v>
      </x:c>
      <x:c r="K1921" s="6" t="n">
        <x:v>0</x:v>
      </x:c>
      <x:c r="L1921" s="6" t="n">
        <x:v>4</x:v>
      </x:c>
      <x:c r="M1921" s="6" t="n">
        <x:v>0</x:v>
      </x:c>
      <x:c r="N1921" s="6" t="n">
        <x:v>0</x:v>
      </x:c>
      <x:c r="O1921" s="6" t="n">
        <x:v>2</x:v>
      </x:c>
      <x:c r="P1921" s="6" t="n">
        <x:v>1</x:v>
      </x:c>
      <x:c r="Q1921" s="6" t="n">
        <x:v>1</x:v>
      </x:c>
      <x:c r="R1921" s="6" t="n">
        <x:v>0</x:v>
      </x:c>
      <x:c r="S1921" s="6" t="n">
        <x:v>2</x:v>
      </x:c>
      <x:c r="T1921" s="6" t="n">
        <x:v>7</x:v>
      </x:c>
      <x:c r="U1921" s="6" t="n">
        <x:v>0</x:v>
      </x:c>
      <x:c r="V1921" s="6" t="n">
        <x:v>0</x:v>
      </x:c>
      <x:c r="W1921" s="6" t="n">
        <x:v>0</x:v>
      </x:c>
      <x:c r="X1921" s="6" t="n">
        <x:v>0</x:v>
      </x:c>
      <x:c r="Y1921" s="6" t="n">
        <x:v>0</x:v>
      </x:c>
      <x:c r="Z1921" s="6" t="n">
        <x:v>0</x:v>
      </x:c>
      <x:c r="AA1921" s="6" t="n">
        <x:v>3</x:v>
      </x:c>
      <x:c r="AB1921" s="6" t="n">
        <x:v>11</x:v>
      </x:c>
      <x:c r="AC1921" s="6" t="n">
        <x:v>0</x:v>
      </x:c>
    </x:row>
    <x:row r="1922">
      <x:c r="A1922" s="6" t="n">
        <x:v>2546</x:v>
      </x:c>
      <x:c r="B1922" s="6" t="n">
        <x:v>1977</x:v>
      </x:c>
      <x:c r="C1922" s="6" t="str">
        <x:v>2n Cycle</x:v>
      </x:c>
      <x:c r="D1922" s="6" t="str">
        <x:v>Single</x:v>
      </x:c>
      <x:c r="E1922" s="6" t="n">
        <x:v>31878</x:v>
      </x:c>
      <x:c r="F1922" s="6" t="n">
        <x:v>0</x:v>
      </x:c>
      <x:c r="G1922" s="6" t="n">
        <x:v>1</x:v>
      </x:c>
      <x:c r="H1922" s="9" t="str">
        <x:v>22-06-2014</x:v>
      </x:c>
      <x:c r="I1922" s="6" t="n">
        <x:v>7</x:v>
      </x:c>
      <x:c r="J1922" s="6" t="n">
        <x:v>23</x:v>
      </x:c>
      <x:c r="K1922" s="6" t="n">
        <x:v>4</x:v>
      </x:c>
      <x:c r="L1922" s="6" t="n">
        <x:v>5</x:v>
      </x:c>
      <x:c r="M1922" s="6" t="n">
        <x:v>10</x:v>
      </x:c>
      <x:c r="N1922" s="6" t="n">
        <x:v>5</x:v>
      </x:c>
      <x:c r="O1922" s="6" t="n">
        <x:v>23</x:v>
      </x:c>
      <x:c r="P1922" s="6" t="n">
        <x:v>1</x:v>
      </x:c>
      <x:c r="Q1922" s="6" t="n">
        <x:v>1</x:v>
      </x:c>
      <x:c r="R1922" s="6" t="n">
        <x:v>0</x:v>
      </x:c>
      <x:c r="S1922" s="6" t="n">
        <x:v>4</x:v>
      </x:c>
      <x:c r="T1922" s="6" t="n">
        <x:v>3</x:v>
      </x:c>
      <x:c r="U1922" s="6" t="n">
        <x:v>0</x:v>
      </x:c>
      <x:c r="V1922" s="6" t="n">
        <x:v>0</x:v>
      </x:c>
      <x:c r="W1922" s="6" t="n">
        <x:v>0</x:v>
      </x:c>
      <x:c r="X1922" s="6" t="n">
        <x:v>0</x:v>
      </x:c>
      <x:c r="Y1922" s="6" t="n">
        <x:v>0</x:v>
      </x:c>
      <x:c r="Z1922" s="6" t="n">
        <x:v>0</x:v>
      </x:c>
      <x:c r="AA1922" s="6" t="n">
        <x:v>3</x:v>
      </x:c>
      <x:c r="AB1922" s="6" t="n">
        <x:v>11</x:v>
      </x:c>
      <x:c r="AC1922" s="6" t="n">
        <x:v>0</x:v>
      </x:c>
    </x:row>
    <x:row r="1923">
      <x:c r="A1923" s="6" t="n">
        <x:v>3283</x:v>
      </x:c>
      <x:c r="B1923" s="6" t="n">
        <x:v>1972</x:v>
      </x:c>
      <x:c r="C1923" s="6" t="str">
        <x:v>2n Cycle</x:v>
      </x:c>
      <x:c r="D1923" s="6" t="str">
        <x:v>Married</x:v>
      </x:c>
      <x:c r="E1923" s="6" t="n">
        <x:v>70932</x:v>
      </x:c>
      <x:c r="F1923" s="6" t="n">
        <x:v>0</x:v>
      </x:c>
      <x:c r="G1923" s="6" t="n">
        <x:v>1</x:v>
      </x:c>
      <x:c r="H1923" s="9" t="str">
        <x:v>19-01-2014</x:v>
      </x:c>
      <x:c r="I1923" s="6" t="n">
        <x:v>57</x:v>
      </x:c>
      <x:c r="J1923" s="6" t="n">
        <x:v>200</x:v>
      </x:c>
      <x:c r="K1923" s="6" t="n">
        <x:v>193</x:v>
      </x:c>
      <x:c r="L1923" s="6" t="n">
        <x:v>100</x:v>
      </x:c>
      <x:c r="M1923" s="6" t="n">
        <x:v>46</x:v>
      </x:c>
      <x:c r="N1923" s="6" t="n">
        <x:v>185</x:v>
      </x:c>
      <x:c r="O1923" s="6" t="n">
        <x:v>185</x:v>
      </x:c>
      <x:c r="P1923" s="6" t="n">
        <x:v>2</x:v>
      </x:c>
      <x:c r="Q1923" s="6" t="n">
        <x:v>6</x:v>
      </x:c>
      <x:c r="R1923" s="6" t="n">
        <x:v>2</x:v>
      </x:c>
      <x:c r="S1923" s="6" t="n">
        <x:v>12</x:v>
      </x:c>
      <x:c r="T1923" s="6" t="n">
        <x:v>3</x:v>
      </x:c>
      <x:c r="U1923" s="6" t="n">
        <x:v>0</x:v>
      </x:c>
      <x:c r="V1923" s="6" t="n">
        <x:v>0</x:v>
      </x:c>
      <x:c r="W1923" s="6" t="n">
        <x:v>0</x:v>
      </x:c>
      <x:c r="X1923" s="6" t="n">
        <x:v>0</x:v>
      </x:c>
      <x:c r="Y1923" s="6" t="n">
        <x:v>0</x:v>
      </x:c>
      <x:c r="Z1923" s="6" t="n">
        <x:v>0</x:v>
      </x:c>
      <x:c r="AA1923" s="6" t="n">
        <x:v>3</x:v>
      </x:c>
      <x:c r="AB1923" s="6" t="n">
        <x:v>11</x:v>
      </x:c>
      <x:c r="AC1923" s="6" t="n">
        <x:v>0</x:v>
      </x:c>
    </x:row>
    <x:row r="1924">
      <x:c r="A1924" s="6" t="n">
        <x:v>3138</x:v>
      </x:c>
      <x:c r="B1924" s="6" t="n">
        <x:v>1956</x:v>
      </x:c>
      <x:c r="C1924" s="6" t="str">
        <x:v>Graduation</x:v>
      </x:c>
      <x:c r="D1924" s="6" t="str">
        <x:v>Single</x:v>
      </x:c>
      <x:c r="E1924" s="6" t="n">
        <x:v>91249</x:v>
      </x:c>
      <x:c r="F1924" s="6" t="n">
        <x:v>0</x:v>
      </x:c>
      <x:c r="G1924" s="6" t="n">
        <x:v>0</x:v>
      </x:c>
      <x:c r="H1924" s="9" t="str">
        <x:v>20-10-2012</x:v>
      </x:c>
      <x:c r="I1924" s="6" t="n">
        <x:v>84</x:v>
      </x:c>
      <x:c r="J1924" s="6" t="n">
        <x:v>1324</x:v>
      </x:c>
      <x:c r="K1924" s="6" t="n">
        <x:v>27</x:v>
      </x:c>
      <x:c r="L1924" s="6" t="n">
        <x:v>119</x:v>
      </x:c>
      <x:c r="M1924" s="6" t="n">
        <x:v>71</x:v>
      </x:c>
      <x:c r="N1924" s="6" t="n">
        <x:v>108</x:v>
      </x:c>
      <x:c r="O1924" s="6" t="n">
        <x:v>27</x:v>
      </x:c>
      <x:c r="P1924" s="6" t="n">
        <x:v>0</x:v>
      </x:c>
      <x:c r="Q1924" s="6" t="n">
        <x:v>7</x:v>
      </x:c>
      <x:c r="R1924" s="6" t="n">
        <x:v>9</x:v>
      </x:c>
      <x:c r="S1924" s="6" t="n">
        <x:v>6</x:v>
      </x:c>
      <x:c r="T1924" s="6" t="n">
        <x:v>4</x:v>
      </x:c>
      <x:c r="U1924" s="6" t="n">
        <x:v>0</x:v>
      </x:c>
      <x:c r="V1924" s="6" t="n">
        <x:v>1</x:v>
      </x:c>
      <x:c r="W1924" s="6" t="n">
        <x:v>1</x:v>
      </x:c>
      <x:c r="X1924" s="6" t="n">
        <x:v>1</x:v>
      </x:c>
      <x:c r="Y1924" s="6" t="n">
        <x:v>1</x:v>
      </x:c>
      <x:c r="Z1924" s="6" t="n">
        <x:v>0</x:v>
      </x:c>
      <x:c r="AA1924" s="6" t="n">
        <x:v>3</x:v>
      </x:c>
      <x:c r="AB1924" s="6" t="n">
        <x:v>11</x:v>
      </x:c>
      <x:c r="AC1924" s="6" t="n">
        <x:v>1</x:v>
      </x:c>
    </x:row>
    <x:row r="1925">
      <x:c r="A1925" s="6" t="n">
        <x:v>4994</x:v>
      </x:c>
      <x:c r="B1925" s="6" t="n">
        <x:v>1943</x:v>
      </x:c>
      <x:c r="C1925" s="6" t="str">
        <x:v>Master</x:v>
      </x:c>
      <x:c r="D1925" s="6" t="str">
        <x:v>Single</x:v>
      </x:c>
      <x:c r="E1925" s="6" t="n">
        <x:v>77598</x:v>
      </x:c>
      <x:c r="F1925" s="6" t="n">
        <x:v>0</x:v>
      </x:c>
      <x:c r="G1925" s="6" t="n">
        <x:v>0</x:v>
      </x:c>
      <x:c r="H1925" s="9" t="str">
        <x:v>01-10-2013</x:v>
      </x:c>
      <x:c r="I1925" s="6" t="n">
        <x:v>53</x:v>
      </x:c>
      <x:c r="J1925" s="6" t="n">
        <x:v>1193</x:v>
      </x:c>
      <x:c r="K1925" s="6" t="n">
        <x:v>33</x:v>
      </x:c>
      <x:c r="L1925" s="6" t="n">
        <x:v>281</x:v>
      </x:c>
      <x:c r="M1925" s="6" t="n">
        <x:v>129</x:v>
      </x:c>
      <x:c r="N1925" s="6" t="n">
        <x:v>66</x:v>
      </x:c>
      <x:c r="O1925" s="6" t="n">
        <x:v>33</x:v>
      </x:c>
      <x:c r="P1925" s="6" t="n">
        <x:v>1</x:v>
      </x:c>
      <x:c r="Q1925" s="6" t="n">
        <x:v>7</x:v>
      </x:c>
      <x:c r="R1925" s="6" t="n">
        <x:v>5</x:v>
      </x:c>
      <x:c r="S1925" s="6" t="n">
        <x:v>13</x:v>
      </x:c>
      <x:c r="T1925" s="6" t="n">
        <x:v>3</x:v>
      </x:c>
      <x:c r="U1925" s="6" t="n">
        <x:v>0</x:v>
      </x:c>
      <x:c r="V1925" s="6" t="n">
        <x:v>0</x:v>
      </x:c>
      <x:c r="W1925" s="6" t="n">
        <x:v>1</x:v>
      </x:c>
      <x:c r="X1925" s="6" t="n">
        <x:v>0</x:v>
      </x:c>
      <x:c r="Y1925" s="6" t="n">
        <x:v>0</x:v>
      </x:c>
      <x:c r="Z1925" s="6" t="n">
        <x:v>0</x:v>
      </x:c>
      <x:c r="AA1925" s="6" t="n">
        <x:v>3</x:v>
      </x:c>
      <x:c r="AB1925" s="6" t="n">
        <x:v>11</x:v>
      </x:c>
      <x:c r="AC1925" s="6" t="n">
        <x:v>0</x:v>
      </x:c>
    </x:row>
    <x:row r="1926">
      <x:c r="A1926" s="6" t="n">
        <x:v>7966</x:v>
      </x:c>
      <x:c r="B1926" s="6" t="n">
        <x:v>1959</x:v>
      </x:c>
      <x:c r="C1926" s="6" t="str">
        <x:v>Graduation</x:v>
      </x:c>
      <x:c r="D1926" s="6" t="str">
        <x:v>Single</x:v>
      </x:c>
      <x:c r="E1926" s="6" t="n">
        <x:v>80982</x:v>
      </x:c>
      <x:c r="F1926" s="6" t="n">
        <x:v>1</x:v>
      </x:c>
      <x:c r="G1926" s="6" t="n">
        <x:v>1</x:v>
      </x:c>
      <x:c r="H1926" s="9" t="str">
        <x:v>08-01-2013</x:v>
      </x:c>
      <x:c r="I1926" s="6" t="n">
        <x:v>48</x:v>
      </x:c>
      <x:c r="J1926" s="6" t="n">
        <x:v>505</x:v>
      </x:c>
      <x:c r="K1926" s="6" t="n">
        <x:v>137</x:v>
      </x:c>
      <x:c r="L1926" s="6" t="n">
        <x:v>401</x:v>
      </x:c>
      <x:c r="M1926" s="6" t="n">
        <x:v>104</x:v>
      </x:c>
      <x:c r="N1926" s="6" t="n">
        <x:v>22</x:v>
      </x:c>
      <x:c r="O1926" s="6" t="n">
        <x:v>22</x:v>
      </x:c>
      <x:c r="P1926" s="6" t="n">
        <x:v>3</x:v>
      </x:c>
      <x:c r="Q1926" s="6" t="n">
        <x:v>11</x:v>
      </x:c>
      <x:c r="R1926" s="6" t="n">
        <x:v>5</x:v>
      </x:c>
      <x:c r="S1926" s="6" t="n">
        <x:v>11</x:v>
      </x:c>
      <x:c r="T1926" s="6" t="n">
        <x:v>5</x:v>
      </x:c>
      <x:c r="U1926" s="6" t="n">
        <x:v>0</x:v>
      </x:c>
      <x:c r="V1926" s="6" t="n">
        <x:v>0</x:v>
      </x:c>
      <x:c r="W1926" s="6" t="n">
        <x:v>0</x:v>
      </x:c>
      <x:c r="X1926" s="6" t="n">
        <x:v>0</x:v>
      </x:c>
      <x:c r="Y1926" s="6" t="n">
        <x:v>0</x:v>
      </x:c>
      <x:c r="Z1926" s="6" t="n">
        <x:v>1</x:v>
      </x:c>
      <x:c r="AA1926" s="6" t="n">
        <x:v>3</x:v>
      </x:c>
      <x:c r="AB1926" s="6" t="n">
        <x:v>11</x:v>
      </x:c>
      <x:c r="AC1926" s="6" t="n">
        <x:v>0</x:v>
      </x:c>
    </x:row>
    <x:row r="1927">
      <x:c r="A1927" s="6" t="n">
        <x:v>3112</x:v>
      </x:c>
      <x:c r="B1927" s="6" t="n">
        <x:v>1977</x:v>
      </x:c>
      <x:c r="C1927" s="6" t="str">
        <x:v>Master</x:v>
      </x:c>
      <x:c r="D1927" s="6" t="str">
        <x:v>Married</x:v>
      </x:c>
      <x:c r="E1927" s="6" t="n">
        <x:v>22701</x:v>
      </x:c>
      <x:c r="F1927" s="6" t="n">
        <x:v>1</x:v>
      </x:c>
      <x:c r="G1927" s="6" t="n">
        <x:v>0</x:v>
      </x:c>
      <x:c r="H1927" s="9" t="str">
        <x:v>05-09-2013</x:v>
      </x:c>
      <x:c r="I1927" s="6" t="n">
        <x:v>2</x:v>
      </x:c>
      <x:c r="J1927" s="6" t="n">
        <x:v>2</x:v>
      </x:c>
      <x:c r="K1927" s="6" t="n">
        <x:v>4</x:v>
      </x:c>
      <x:c r="L1927" s="6" t="n">
        <x:v>9</x:v>
      </x:c>
      <x:c r="M1927" s="6" t="n">
        <x:v>0</x:v>
      </x:c>
      <x:c r="N1927" s="6" t="n">
        <x:v>4</x:v>
      </x:c>
      <x:c r="O1927" s="6" t="n">
        <x:v>5</x:v>
      </x:c>
      <x:c r="P1927" s="6" t="n">
        <x:v>1</x:v>
      </x:c>
      <x:c r="Q1927" s="6" t="n">
        <x:v>1</x:v>
      </x:c>
      <x:c r="R1927" s="6" t="n">
        <x:v>0</x:v>
      </x:c>
      <x:c r="S1927" s="6" t="n">
        <x:v>3</x:v>
      </x:c>
      <x:c r="T1927" s="6" t="n">
        <x:v>5</x:v>
      </x:c>
      <x:c r="U1927" s="6" t="n">
        <x:v>0</x:v>
      </x:c>
      <x:c r="V1927" s="6" t="n">
        <x:v>0</x:v>
      </x:c>
      <x:c r="W1927" s="6" t="n">
        <x:v>0</x:v>
      </x:c>
      <x:c r="X1927" s="6" t="n">
        <x:v>0</x:v>
      </x:c>
      <x:c r="Y1927" s="6" t="n">
        <x:v>0</x:v>
      </x:c>
      <x:c r="Z1927" s="6" t="n">
        <x:v>0</x:v>
      </x:c>
      <x:c r="AA1927" s="6" t="n">
        <x:v>3</x:v>
      </x:c>
      <x:c r="AB1927" s="6" t="n">
        <x:v>11</x:v>
      </x:c>
      <x:c r="AC1927" s="6" t="n">
        <x:v>0</x:v>
      </x:c>
    </x:row>
    <x:row r="1928">
      <x:c r="A1928" s="6" t="n">
        <x:v>10872</x:v>
      </x:c>
      <x:c r="B1928" s="6" t="n">
        <x:v>1969</x:v>
      </x:c>
      <x:c r="C1928" s="6" t="str">
        <x:v>PhD</x:v>
      </x:c>
      <x:c r="D1928" s="6" t="str">
        <x:v>Married</x:v>
      </x:c>
      <x:c r="E1928" s="6" t="n">
        <x:v>55212</x:v>
      </x:c>
      <x:c r="F1928" s="6" t="n">
        <x:v>0</x:v>
      </x:c>
      <x:c r="G1928" s="6" t="n">
        <x:v>1</x:v>
      </x:c>
      <x:c r="H1928" s="9" t="str">
        <x:v>23-11-2012</x:v>
      </x:c>
      <x:c r="I1928" s="6" t="n">
        <x:v>65</x:v>
      </x:c>
      <x:c r="J1928" s="6" t="n">
        <x:v>1103</x:v>
      </x:c>
      <x:c r="K1928" s="6" t="n">
        <x:v>0</x:v>
      </x:c>
      <x:c r="L1928" s="6" t="n">
        <x:v>45</x:v>
      </x:c>
      <x:c r="M1928" s="6" t="n">
        <x:v>0</x:v>
      </x:c>
      <x:c r="N1928" s="6" t="n">
        <x:v>0</x:v>
      </x:c>
      <x:c r="O1928" s="6" t="n">
        <x:v>34</x:v>
      </x:c>
      <x:c r="P1928" s="6" t="n">
        <x:v>3</x:v>
      </x:c>
      <x:c r="Q1928" s="6" t="n">
        <x:v>4</x:v>
      </x:c>
      <x:c r="R1928" s="6" t="n">
        <x:v>2</x:v>
      </x:c>
      <x:c r="S1928" s="6" t="n">
        <x:v>11</x:v>
      </x:c>
      <x:c r="T1928" s="6" t="n">
        <x:v>8</x:v>
      </x:c>
      <x:c r="U1928" s="6" t="n">
        <x:v>0</x:v>
      </x:c>
      <x:c r="V1928" s="6" t="n">
        <x:v>1</x:v>
      </x:c>
      <x:c r="W1928" s="6" t="n">
        <x:v>0</x:v>
      </x:c>
      <x:c r="X1928" s="6" t="n">
        <x:v>0</x:v>
      </x:c>
      <x:c r="Y1928" s="6" t="n">
        <x:v>1</x:v>
      </x:c>
      <x:c r="Z1928" s="6" t="n">
        <x:v>0</x:v>
      </x:c>
      <x:c r="AA1928" s="6" t="n">
        <x:v>3</x:v>
      </x:c>
      <x:c r="AB1928" s="6" t="n">
        <x:v>11</x:v>
      </x:c>
      <x:c r="AC1928" s="6" t="n">
        <x:v>0</x:v>
      </x:c>
    </x:row>
    <x:row r="1929">
      <x:c r="A1929" s="6" t="n">
        <x:v>2181</x:v>
      </x:c>
      <x:c r="B1929" s="6" t="n">
        <x:v>1970</x:v>
      </x:c>
      <x:c r="C1929" s="6" t="str">
        <x:v>Graduation</x:v>
      </x:c>
      <x:c r="D1929" s="6" t="str">
        <x:v>Married</x:v>
      </x:c>
      <x:c r="E1929" s="6" t="n">
        <x:v>70617</x:v>
      </x:c>
      <x:c r="F1929" s="6" t="n">
        <x:v>0</x:v>
      </x:c>
      <x:c r="G1929" s="6" t="n">
        <x:v>0</x:v>
      </x:c>
      <x:c r="H1929" s="9" t="str">
        <x:v>23-06-2013</x:v>
      </x:c>
      <x:c r="I1929" s="6" t="n">
        <x:v>45</x:v>
      </x:c>
      <x:c r="J1929" s="6" t="n">
        <x:v>353</x:v>
      </x:c>
      <x:c r="K1929" s="6" t="n">
        <x:v>61</x:v>
      </x:c>
      <x:c r="L1929" s="6" t="n">
        <x:v>753</x:v>
      </x:c>
      <x:c r="M1929" s="6" t="n">
        <x:v>40</x:v>
      </x:c>
      <x:c r="N1929" s="6" t="n">
        <x:v>46</x:v>
      </x:c>
      <x:c r="O1929" s="6" t="n">
        <x:v>27</x:v>
      </x:c>
      <x:c r="P1929" s="6" t="n">
        <x:v>1</x:v>
      </x:c>
      <x:c r="Q1929" s="6" t="n">
        <x:v>3</x:v>
      </x:c>
      <x:c r="R1929" s="6" t="n">
        <x:v>3</x:v>
      </x:c>
      <x:c r="S1929" s="6" t="n">
        <x:v>7</x:v>
      </x:c>
      <x:c r="T1929" s="6" t="n">
        <x:v>2</x:v>
      </x:c>
      <x:c r="U1929" s="6" t="n">
        <x:v>0</x:v>
      </x:c>
      <x:c r="V1929" s="6" t="n">
        <x:v>0</x:v>
      </x:c>
      <x:c r="W1929" s="6" t="n">
        <x:v>0</x:v>
      </x:c>
      <x:c r="X1929" s="6" t="n">
        <x:v>0</x:v>
      </x:c>
      <x:c r="Y1929" s="6" t="n">
        <x:v>0</x:v>
      </x:c>
      <x:c r="Z1929" s="6" t="n">
        <x:v>0</x:v>
      </x:c>
      <x:c r="AA1929" s="6" t="n">
        <x:v>3</x:v>
      </x:c>
      <x:c r="AB1929" s="6" t="n">
        <x:v>11</x:v>
      </x:c>
      <x:c r="AC1929" s="6" t="n">
        <x:v>0</x:v>
      </x:c>
    </x:row>
    <x:row r="1930">
      <x:c r="A1930" s="6" t="n">
        <x:v>1867</x:v>
      </x:c>
      <x:c r="B1930" s="6" t="n">
        <x:v>1957</x:v>
      </x:c>
      <x:c r="C1930" s="6" t="str">
        <x:v>Graduation</x:v>
      </x:c>
      <x:c r="D1930" s="6" t="str">
        <x:v>Single</x:v>
      </x:c>
      <x:c r="E1930" s="6" t="n">
        <x:v>64849</x:v>
      </x:c>
      <x:c r="F1930" s="6" t="n">
        <x:v>0</x:v>
      </x:c>
      <x:c r="G1930" s="6" t="n">
        <x:v>0</x:v>
      </x:c>
      <x:c r="H1930" s="9" t="str">
        <x:v>13-11-2012</x:v>
      </x:c>
      <x:c r="I1930" s="6" t="n">
        <x:v>42</x:v>
      </x:c>
      <x:c r="J1930" s="6" t="n">
        <x:v>652</x:v>
      </x:c>
      <x:c r="K1930" s="6" t="n">
        <x:v>48</x:v>
      </x:c>
      <x:c r="L1930" s="6" t="n">
        <x:v>350</x:v>
      </x:c>
      <x:c r="M1930" s="6" t="n">
        <x:v>94</x:v>
      </x:c>
      <x:c r="N1930" s="6" t="n">
        <x:v>84</x:v>
      </x:c>
      <x:c r="O1930" s="6" t="n">
        <x:v>108</x:v>
      </x:c>
      <x:c r="P1930" s="6" t="n">
        <x:v>1</x:v>
      </x:c>
      <x:c r="Q1930" s="6" t="n">
        <x:v>9</x:v>
      </x:c>
      <x:c r="R1930" s="6" t="n">
        <x:v>3</x:v>
      </x:c>
      <x:c r="S1930" s="6" t="n">
        <x:v>6</x:v>
      </x:c>
      <x:c r="T1930" s="6" t="n">
        <x:v>5</x:v>
      </x:c>
      <x:c r="U1930" s="6" t="n">
        <x:v>0</x:v>
      </x:c>
      <x:c r="V1930" s="6" t="n">
        <x:v>0</x:v>
      </x:c>
      <x:c r="W1930" s="6" t="n">
        <x:v>0</x:v>
      </x:c>
      <x:c r="X1930" s="6" t="n">
        <x:v>0</x:v>
      </x:c>
      <x:c r="Y1930" s="6" t="n">
        <x:v>0</x:v>
      </x:c>
      <x:c r="Z1930" s="6" t="n">
        <x:v>0</x:v>
      </x:c>
      <x:c r="AA1930" s="6" t="n">
        <x:v>3</x:v>
      </x:c>
      <x:c r="AB1930" s="6" t="n">
        <x:v>11</x:v>
      </x:c>
      <x:c r="AC1930" s="6" t="n">
        <x:v>1</x:v>
      </x:c>
    </x:row>
    <x:row r="1931">
      <x:c r="A1931" s="6" t="n">
        <x:v>1518</x:v>
      </x:c>
      <x:c r="B1931" s="6" t="n">
        <x:v>1965</x:v>
      </x:c>
      <x:c r="C1931" s="6" t="str">
        <x:v>Master</x:v>
      </x:c>
      <x:c r="D1931" s="6" t="str">
        <x:v>Married</x:v>
      </x:c>
      <x:c r="E1931" s="6" t="n">
        <x:v>62694</x:v>
      </x:c>
      <x:c r="F1931" s="6" t="n">
        <x:v>1</x:v>
      </x:c>
      <x:c r="G1931" s="6" t="n">
        <x:v>1</x:v>
      </x:c>
      <x:c r="H1931" s="9" t="str">
        <x:v>17-06-2013</x:v>
      </x:c>
      <x:c r="I1931" s="6" t="n">
        <x:v>29</x:v>
      </x:c>
      <x:c r="J1931" s="6" t="n">
        <x:v>379</x:v>
      </x:c>
      <x:c r="K1931" s="6" t="n">
        <x:v>6</x:v>
      </x:c>
      <x:c r="L1931" s="6" t="n">
        <x:v>157</x:v>
      </x:c>
      <x:c r="M1931" s="6" t="n">
        <x:v>25</x:v>
      </x:c>
      <x:c r="N1931" s="6" t="n">
        <x:v>91</x:v>
      </x:c>
      <x:c r="O1931" s="6" t="n">
        <x:v>91</x:v>
      </x:c>
      <x:c r="P1931" s="6" t="n">
        <x:v>5</x:v>
      </x:c>
      <x:c r="Q1931" s="6" t="n">
        <x:v>9</x:v>
      </x:c>
      <x:c r="R1931" s="6" t="n">
        <x:v>3</x:v>
      </x:c>
      <x:c r="S1931" s="6" t="n">
        <x:v>7</x:v>
      </x:c>
      <x:c r="T1931" s="6" t="n">
        <x:v>7</x:v>
      </x:c>
      <x:c r="U1931" s="6" t="n">
        <x:v>0</x:v>
      </x:c>
      <x:c r="V1931" s="6" t="n">
        <x:v>0</x:v>
      </x:c>
      <x:c r="W1931" s="6" t="n">
        <x:v>0</x:v>
      </x:c>
      <x:c r="X1931" s="6" t="n">
        <x:v>0</x:v>
      </x:c>
      <x:c r="Y1931" s="6" t="n">
        <x:v>0</x:v>
      </x:c>
      <x:c r="Z1931" s="6" t="n">
        <x:v>0</x:v>
      </x:c>
      <x:c r="AA1931" s="6" t="n">
        <x:v>3</x:v>
      </x:c>
      <x:c r="AB1931" s="6" t="n">
        <x:v>11</x:v>
      </x:c>
      <x:c r="AC1931" s="6" t="n">
        <x:v>0</x:v>
      </x:c>
    </x:row>
    <x:row r="1932">
      <x:c r="A1932" s="6" t="n">
        <x:v>5734</x:v>
      </x:c>
      <x:c r="B1932" s="6" t="n">
        <x:v>1974</x:v>
      </x:c>
      <x:c r="C1932" s="6" t="str">
        <x:v>PhD</x:v>
      </x:c>
      <x:c r="D1932" s="6" t="str">
        <x:v>Married</x:v>
      </x:c>
      <x:c r="E1932" s="6" t="n">
        <x:v>61917</x:v>
      </x:c>
      <x:c r="F1932" s="6" t="n">
        <x:v>1</x:v>
      </x:c>
      <x:c r="G1932" s="6" t="n">
        <x:v>1</x:v>
      </x:c>
      <x:c r="H1932" s="9" t="str">
        <x:v>20-11-2013</x:v>
      </x:c>
      <x:c r="I1932" s="6" t="n">
        <x:v>83</x:v>
      </x:c>
      <x:c r="J1932" s="6" t="n">
        <x:v>46</x:v>
      </x:c>
      <x:c r="K1932" s="6" t="n">
        <x:v>4</x:v>
      </x:c>
      <x:c r="L1932" s="6" t="n">
        <x:v>36</x:v>
      </x:c>
      <x:c r="M1932" s="6" t="n">
        <x:v>2</x:v>
      </x:c>
      <x:c r="N1932" s="6" t="n">
        <x:v>2</x:v>
      </x:c>
      <x:c r="O1932" s="6" t="n">
        <x:v>1</x:v>
      </x:c>
      <x:c r="P1932" s="6" t="n">
        <x:v>1</x:v>
      </x:c>
      <x:c r="Q1932" s="6" t="n">
        <x:v>2</x:v>
      </x:c>
      <x:c r="R1932" s="6" t="n">
        <x:v>0</x:v>
      </x:c>
      <x:c r="S1932" s="6" t="n">
        <x:v>4</x:v>
      </x:c>
      <x:c r="T1932" s="6" t="n">
        <x:v>5</x:v>
      </x:c>
      <x:c r="U1932" s="6" t="n">
        <x:v>0</x:v>
      </x:c>
      <x:c r="V1932" s="6" t="n">
        <x:v>0</x:v>
      </x:c>
      <x:c r="W1932" s="6" t="n">
        <x:v>0</x:v>
      </x:c>
      <x:c r="X1932" s="6" t="n">
        <x:v>0</x:v>
      </x:c>
      <x:c r="Y1932" s="6" t="n">
        <x:v>0</x:v>
      </x:c>
      <x:c r="Z1932" s="6" t="n">
        <x:v>0</x:v>
      </x:c>
      <x:c r="AA1932" s="6" t="n">
        <x:v>3</x:v>
      </x:c>
      <x:c r="AB1932" s="6" t="n">
        <x:v>11</x:v>
      </x:c>
      <x:c r="AC1932" s="6" t="n">
        <x:v>0</x:v>
      </x:c>
    </x:row>
    <x:row r="1933">
      <x:c r="A1933" s="6" t="n">
        <x:v>2878</x:v>
      </x:c>
      <x:c r="B1933" s="6" t="n">
        <x:v>1947</x:v>
      </x:c>
      <x:c r="C1933" s="6" t="str">
        <x:v>PhD</x:v>
      </x:c>
      <x:c r="D1933" s="6" t="str">
        <x:v>Married</x:v>
      </x:c>
      <x:c r="E1933" s="6" t="n">
        <x:v>67472</x:v>
      </x:c>
      <x:c r="F1933" s="6" t="n">
        <x:v>0</x:v>
      </x:c>
      <x:c r="G1933" s="6" t="n">
        <x:v>1</x:v>
      </x:c>
      <x:c r="H1933" s="9" t="str">
        <x:v>28-09-2013</x:v>
      </x:c>
      <x:c r="I1933" s="6" t="n">
        <x:v>93</x:v>
      </x:c>
      <x:c r="J1933" s="6" t="n">
        <x:v>162</x:v>
      </x:c>
      <x:c r="K1933" s="6" t="n">
        <x:v>31</x:v>
      </x:c>
      <x:c r="L1933" s="6" t="n">
        <x:v>127</x:v>
      </x:c>
      <x:c r="M1933" s="6" t="n">
        <x:v>8</x:v>
      </x:c>
      <x:c r="N1933" s="6" t="n">
        <x:v>17</x:v>
      </x:c>
      <x:c r="O1933" s="6" t="n">
        <x:v>69</x:v>
      </x:c>
      <x:c r="P1933" s="6" t="n">
        <x:v>2</x:v>
      </x:c>
      <x:c r="Q1933" s="6" t="n">
        <x:v>4</x:v>
      </x:c>
      <x:c r="R1933" s="6" t="n">
        <x:v>2</x:v>
      </x:c>
      <x:c r="S1933" s="6" t="n">
        <x:v>7</x:v>
      </x:c>
      <x:c r="T1933" s="6" t="n">
        <x:v>3</x:v>
      </x:c>
      <x:c r="U1933" s="6" t="n">
        <x:v>0</x:v>
      </x:c>
      <x:c r="V1933" s="6" t="n">
        <x:v>0</x:v>
      </x:c>
      <x:c r="W1933" s="6" t="n">
        <x:v>0</x:v>
      </x:c>
      <x:c r="X1933" s="6" t="n">
        <x:v>0</x:v>
      </x:c>
      <x:c r="Y1933" s="6" t="n">
        <x:v>0</x:v>
      </x:c>
      <x:c r="Z1933" s="6" t="n">
        <x:v>0</x:v>
      </x:c>
      <x:c r="AA1933" s="6" t="n">
        <x:v>3</x:v>
      </x:c>
      <x:c r="AB1933" s="6" t="n">
        <x:v>11</x:v>
      </x:c>
      <x:c r="AC1933" s="6" t="n">
        <x:v>0</x:v>
      </x:c>
    </x:row>
    <x:row r="1934">
      <x:c r="A1934" s="6" t="n">
        <x:v>1458</x:v>
      </x:c>
      <x:c r="B1934" s="6" t="n">
        <x:v>1982</x:v>
      </x:c>
      <x:c r="C1934" s="6" t="str">
        <x:v>Master</x:v>
      </x:c>
      <x:c r="D1934" s="6" t="str">
        <x:v>Married</x:v>
      </x:c>
      <x:c r="E1934" s="6" t="n">
        <x:v>21059</x:v>
      </x:c>
      <x:c r="F1934" s="6" t="n">
        <x:v>1</x:v>
      </x:c>
      <x:c r="G1934" s="6" t="n">
        <x:v>0</x:v>
      </x:c>
      <x:c r="H1934" s="9" t="str">
        <x:v>07-01-2014</x:v>
      </x:c>
      <x:c r="I1934" s="6" t="n">
        <x:v>40</x:v>
      </x:c>
      <x:c r="J1934" s="6" t="n">
        <x:v>8</x:v>
      </x:c>
      <x:c r="K1934" s="6" t="n">
        <x:v>3</x:v>
      </x:c>
      <x:c r="L1934" s="6" t="n">
        <x:v>19</x:v>
      </x:c>
      <x:c r="M1934" s="6" t="n">
        <x:v>3</x:v>
      </x:c>
      <x:c r="N1934" s="6" t="n">
        <x:v>3</x:v>
      </x:c>
      <x:c r="O1934" s="6" t="n">
        <x:v>8</x:v>
      </x:c>
      <x:c r="P1934" s="6" t="n">
        <x:v>3</x:v>
      </x:c>
      <x:c r="Q1934" s="6" t="n">
        <x:v>3</x:v>
      </x:c>
      <x:c r="R1934" s="6" t="n">
        <x:v>0</x:v>
      </x:c>
      <x:c r="S1934" s="6" t="n">
        <x:v>3</x:v>
      </x:c>
      <x:c r="T1934" s="6" t="n">
        <x:v>6</x:v>
      </x:c>
      <x:c r="U1934" s="6" t="n">
        <x:v>0</x:v>
      </x:c>
      <x:c r="V1934" s="6" t="n">
        <x:v>0</x:v>
      </x:c>
      <x:c r="W1934" s="6" t="n">
        <x:v>0</x:v>
      </x:c>
      <x:c r="X1934" s="6" t="n">
        <x:v>0</x:v>
      </x:c>
      <x:c r="Y1934" s="6" t="n">
        <x:v>0</x:v>
      </x:c>
      <x:c r="Z1934" s="6" t="n">
        <x:v>0</x:v>
      </x:c>
      <x:c r="AA1934" s="6" t="n">
        <x:v>3</x:v>
      </x:c>
      <x:c r="AB1934" s="6" t="n">
        <x:v>11</x:v>
      </x:c>
      <x:c r="AC1934" s="6" t="n">
        <x:v>0</x:v>
      </x:c>
    </x:row>
    <x:row r="1935">
      <x:c r="A1935" s="6" t="n">
        <x:v>7007</x:v>
      </x:c>
      <x:c r="B1935" s="6" t="n">
        <x:v>1968</x:v>
      </x:c>
      <x:c r="C1935" s="6" t="str">
        <x:v>Master</x:v>
      </x:c>
      <x:c r="D1935" s="6" t="str">
        <x:v>Married</x:v>
      </x:c>
      <x:c r="E1935" s="6" t="n">
        <x:v>29543</x:v>
      </x:c>
      <x:c r="F1935" s="6" t="n">
        <x:v>2</x:v>
      </x:c>
      <x:c r="G1935" s="6" t="n">
        <x:v>0</x:v>
      </x:c>
      <x:c r="H1935" s="9" t="str">
        <x:v>01-04-2014</x:v>
      </x:c>
      <x:c r="I1935" s="6" t="n">
        <x:v>47</x:v>
      </x:c>
      <x:c r="J1935" s="6" t="n">
        <x:v>17</x:v>
      </x:c>
      <x:c r="K1935" s="6" t="n">
        <x:v>3</x:v>
      </x:c>
      <x:c r="L1935" s="6" t="n">
        <x:v>18</x:v>
      </x:c>
      <x:c r="M1935" s="6" t="n">
        <x:v>3</x:v>
      </x:c>
      <x:c r="N1935" s="6" t="n">
        <x:v>4</x:v>
      </x:c>
      <x:c r="O1935" s="6" t="n">
        <x:v>18</x:v>
      </x:c>
      <x:c r="P1935" s="6" t="n">
        <x:v>2</x:v>
      </x:c>
      <x:c r="Q1935" s="6" t="n">
        <x:v>3</x:v>
      </x:c>
      <x:c r="R1935" s="6" t="n">
        <x:v>1</x:v>
      </x:c>
      <x:c r="S1935" s="6" t="n">
        <x:v>2</x:v>
      </x:c>
      <x:c r="T1935" s="6" t="n">
        <x:v>7</x:v>
      </x:c>
      <x:c r="U1935" s="6" t="n">
        <x:v>0</x:v>
      </x:c>
      <x:c r="V1935" s="6" t="n">
        <x:v>0</x:v>
      </x:c>
      <x:c r="W1935" s="6" t="n">
        <x:v>0</x:v>
      </x:c>
      <x:c r="X1935" s="6" t="n">
        <x:v>0</x:v>
      </x:c>
      <x:c r="Y1935" s="6" t="n">
        <x:v>0</x:v>
      </x:c>
      <x:c r="Z1935" s="6" t="n">
        <x:v>0</x:v>
      </x:c>
      <x:c r="AA1935" s="6" t="n">
        <x:v>3</x:v>
      </x:c>
      <x:c r="AB1935" s="6" t="n">
        <x:v>11</x:v>
      </x:c>
      <x:c r="AC1935" s="6" t="n">
        <x:v>0</x:v>
      </x:c>
    </x:row>
    <x:row r="1936">
      <x:c r="A1936" s="6" t="n">
        <x:v>6200</x:v>
      </x:c>
      <x:c r="B1936" s="6" t="n">
        <x:v>1951</x:v>
      </x:c>
      <x:c r="C1936" s="6" t="str">
        <x:v>Graduation</x:v>
      </x:c>
      <x:c r="D1936" s="6" t="str">
        <x:v>Married</x:v>
      </x:c>
      <x:c r="E1936" s="6" t="n">
        <x:v>75903</x:v>
      </x:c>
      <x:c r="F1936" s="6" t="n">
        <x:v>0</x:v>
      </x:c>
      <x:c r="G1936" s="6" t="n">
        <x:v>1</x:v>
      </x:c>
      <x:c r="H1936" s="9" t="str">
        <x:v>08-04-2013</x:v>
      </x:c>
      <x:c r="I1936" s="6" t="n">
        <x:v>50</x:v>
      </x:c>
      <x:c r="J1936" s="6" t="n">
        <x:v>340</x:v>
      </x:c>
      <x:c r="K1936" s="6" t="n">
        <x:v>108</x:v>
      </x:c>
      <x:c r="L1936" s="6" t="n">
        <x:v>185</x:v>
      </x:c>
      <x:c r="M1936" s="6" t="n">
        <x:v>130</x:v>
      </x:c>
      <x:c r="N1936" s="6" t="n">
        <x:v>38</x:v>
      </x:c>
      <x:c r="O1936" s="6" t="n">
        <x:v>100</x:v>
      </x:c>
      <x:c r="P1936" s="6" t="n">
        <x:v>2</x:v>
      </x:c>
      <x:c r="Q1936" s="6" t="n">
        <x:v>6</x:v>
      </x:c>
      <x:c r="R1936" s="6" t="n">
        <x:v>6</x:v>
      </x:c>
      <x:c r="S1936" s="6" t="n">
        <x:v>9</x:v>
      </x:c>
      <x:c r="T1936" s="6" t="n">
        <x:v>3</x:v>
      </x:c>
      <x:c r="U1936" s="6" t="n">
        <x:v>0</x:v>
      </x:c>
      <x:c r="V1936" s="6" t="n">
        <x:v>0</x:v>
      </x:c>
      <x:c r="W1936" s="6" t="n">
        <x:v>0</x:v>
      </x:c>
      <x:c r="X1936" s="6" t="n">
        <x:v>0</x:v>
      </x:c>
      <x:c r="Y1936" s="6" t="n">
        <x:v>0</x:v>
      </x:c>
      <x:c r="Z1936" s="6" t="n">
        <x:v>0</x:v>
      </x:c>
      <x:c r="AA1936" s="6" t="n">
        <x:v>3</x:v>
      </x:c>
      <x:c r="AB1936" s="6" t="n">
        <x:v>11</x:v>
      </x:c>
      <x:c r="AC1936" s="6" t="n">
        <x:v>0</x:v>
      </x:c>
    </x:row>
    <x:row r="1937">
      <x:c r="A1937" s="6" t="n">
        <x:v>1403</x:v>
      </x:c>
      <x:c r="B1937" s="6" t="n">
        <x:v>1975</x:v>
      </x:c>
      <x:c r="C1937" s="6" t="str">
        <x:v>2n Cycle</x:v>
      </x:c>
      <x:c r="D1937" s="6" t="str">
        <x:v>Together</x:v>
      </x:c>
      <x:c r="E1937" s="6" t="n">
        <x:v>34984</x:v>
      </x:c>
      <x:c r="F1937" s="6" t="n">
        <x:v>1</x:v>
      </x:c>
      <x:c r="G1937" s="6" t="n">
        <x:v>1</x:v>
      </x:c>
      <x:c r="H1937" s="9" t="str">
        <x:v>06-09-2012</x:v>
      </x:c>
      <x:c r="I1937" s="6" t="n">
        <x:v>40</x:v>
      </x:c>
      <x:c r="J1937" s="6" t="n">
        <x:v>8</x:v>
      </x:c>
      <x:c r="K1937" s="6" t="n">
        <x:v>4</x:v>
      </x:c>
      <x:c r="L1937" s="6" t="n">
        <x:v>15</x:v>
      </x:c>
      <x:c r="M1937" s="6" t="n">
        <x:v>3</x:v>
      </x:c>
      <x:c r="N1937" s="6" t="n">
        <x:v>5</x:v>
      </x:c>
      <x:c r="O1937" s="6" t="n">
        <x:v>3</x:v>
      </x:c>
      <x:c r="P1937" s="6" t="n">
        <x:v>2</x:v>
      </x:c>
      <x:c r="Q1937" s="6" t="n">
        <x:v>1</x:v>
      </x:c>
      <x:c r="R1937" s="6" t="n">
        <x:v>0</x:v>
      </x:c>
      <x:c r="S1937" s="6" t="n">
        <x:v>3</x:v>
      </x:c>
      <x:c r="T1937" s="6" t="n">
        <x:v>7</x:v>
      </x:c>
      <x:c r="U1937" s="6" t="n">
        <x:v>0</x:v>
      </x:c>
      <x:c r="V1937" s="6" t="n">
        <x:v>0</x:v>
      </x:c>
      <x:c r="W1937" s="6" t="n">
        <x:v>0</x:v>
      </x:c>
      <x:c r="X1937" s="6" t="n">
        <x:v>0</x:v>
      </x:c>
      <x:c r="Y1937" s="6" t="n">
        <x:v>0</x:v>
      </x:c>
      <x:c r="Z1937" s="6" t="n">
        <x:v>0</x:v>
      </x:c>
      <x:c r="AA1937" s="6" t="n">
        <x:v>3</x:v>
      </x:c>
      <x:c r="AB1937" s="6" t="n">
        <x:v>11</x:v>
      </x:c>
      <x:c r="AC1937" s="6" t="n">
        <x:v>0</x:v>
      </x:c>
    </x:row>
    <x:row r="1938">
      <x:c r="A1938" s="6" t="n">
        <x:v>4827</x:v>
      </x:c>
      <x:c r="B1938" s="6" t="n">
        <x:v>1956</x:v>
      </x:c>
      <x:c r="C1938" s="6" t="str">
        <x:v>PhD</x:v>
      </x:c>
      <x:c r="D1938" s="6" t="str">
        <x:v>Single</x:v>
      </x:c>
      <x:c r="E1938" s="6" t="n">
        <x:v>54998</x:v>
      </x:c>
      <x:c r="F1938" s="6" t="n">
        <x:v>0</x:v>
      </x:c>
      <x:c r="G1938" s="6" t="n">
        <x:v>1</x:v>
      </x:c>
      <x:c r="H1938" s="9" t="str">
        <x:v>10-03-2013</x:v>
      </x:c>
      <x:c r="I1938" s="6" t="n">
        <x:v>3</x:v>
      </x:c>
      <x:c r="J1938" s="6" t="n">
        <x:v>154</x:v>
      </x:c>
      <x:c r="K1938" s="6" t="n">
        <x:v>22</x:v>
      </x:c>
      <x:c r="L1938" s="6" t="n">
        <x:v>202</x:v>
      </x:c>
      <x:c r="M1938" s="6" t="n">
        <x:v>39</x:v>
      </x:c>
      <x:c r="N1938" s="6" t="n">
        <x:v>30</x:v>
      </x:c>
      <x:c r="O1938" s="6" t="n">
        <x:v>8</x:v>
      </x:c>
      <x:c r="P1938" s="6" t="n">
        <x:v>5</x:v>
      </x:c>
      <x:c r="Q1938" s="6" t="n">
        <x:v>4</x:v>
      </x:c>
      <x:c r="R1938" s="6" t="n">
        <x:v>2</x:v>
      </x:c>
      <x:c r="S1938" s="6" t="n">
        <x:v>9</x:v>
      </x:c>
      <x:c r="T1938" s="6" t="n">
        <x:v>4</x:v>
      </x:c>
      <x:c r="U1938" s="6" t="n">
        <x:v>0</x:v>
      </x:c>
      <x:c r="V1938" s="6" t="n">
        <x:v>0</x:v>
      </x:c>
      <x:c r="W1938" s="6" t="n">
        <x:v>0</x:v>
      </x:c>
      <x:c r="X1938" s="6" t="n">
        <x:v>0</x:v>
      </x:c>
      <x:c r="Y1938" s="6" t="n">
        <x:v>0</x:v>
      </x:c>
      <x:c r="Z1938" s="6" t="n">
        <x:v>0</x:v>
      </x:c>
      <x:c r="AA1938" s="6" t="n">
        <x:v>3</x:v>
      </x:c>
      <x:c r="AB1938" s="6" t="n">
        <x:v>11</x:v>
      </x:c>
      <x:c r="AC1938" s="6" t="n">
        <x:v>1</x:v>
      </x:c>
    </x:row>
    <x:row r="1939">
      <x:c r="A1939" s="6" t="n">
        <x:v>6250</x:v>
      </x:c>
      <x:c r="B1939" s="6" t="n">
        <x:v>1949</x:v>
      </x:c>
      <x:c r="C1939" s="6" t="str">
        <x:v>PhD</x:v>
      </x:c>
      <x:c r="D1939" s="6" t="str">
        <x:v>Widow</x:v>
      </x:c>
      <x:c r="E1939" s="6" t="n">
        <x:v>54356</x:v>
      </x:c>
      <x:c r="F1939" s="6" t="n">
        <x:v>0</x:v>
      </x:c>
      <x:c r="G1939" s="6" t="n">
        <x:v>1</x:v>
      </x:c>
      <x:c r="H1939" s="9" t="str">
        <x:v>19-11-2012</x:v>
      </x:c>
      <x:c r="I1939" s="6" t="n">
        <x:v>62</x:v>
      </x:c>
      <x:c r="J1939" s="6" t="n">
        <x:v>710</x:v>
      </x:c>
      <x:c r="K1939" s="6" t="n">
        <x:v>15</x:v>
      </x:c>
      <x:c r="L1939" s="6" t="n">
        <x:v>30</x:v>
      </x:c>
      <x:c r="M1939" s="6" t="n">
        <x:v>20</x:v>
      </x:c>
      <x:c r="N1939" s="6" t="n">
        <x:v>0</x:v>
      </x:c>
      <x:c r="O1939" s="6" t="n">
        <x:v>0</x:v>
      </x:c>
      <x:c r="P1939" s="6" t="n">
        <x:v>3</x:v>
      </x:c>
      <x:c r="Q1939" s="6" t="n">
        <x:v>11</x:v>
      </x:c>
      <x:c r="R1939" s="6" t="n">
        <x:v>2</x:v>
      </x:c>
      <x:c r="S1939" s="6" t="n">
        <x:v>8</x:v>
      </x:c>
      <x:c r="T1939" s="6" t="n">
        <x:v>8</x:v>
      </x:c>
      <x:c r="U1939" s="6" t="n">
        <x:v>0</x:v>
      </x:c>
      <x:c r="V1939" s="6" t="n">
        <x:v>0</x:v>
      </x:c>
      <x:c r="W1939" s="6" t="n">
        <x:v>0</x:v>
      </x:c>
      <x:c r="X1939" s="6" t="n">
        <x:v>0</x:v>
      </x:c>
      <x:c r="Y1939" s="6" t="n">
        <x:v>0</x:v>
      </x:c>
      <x:c r="Z1939" s="6" t="n">
        <x:v>0</x:v>
      </x:c>
      <x:c r="AA1939" s="6" t="n">
        <x:v>3</x:v>
      </x:c>
      <x:c r="AB1939" s="6" t="n">
        <x:v>11</x:v>
      </x:c>
      <x:c r="AC1939" s="6" t="n">
        <x:v>1</x:v>
      </x:c>
    </x:row>
    <x:row r="1940">
      <x:c r="A1940" s="6" t="n">
        <x:v>9291</x:v>
      </x:c>
      <x:c r="B1940" s="6" t="n">
        <x:v>1959</x:v>
      </x:c>
      <x:c r="C1940" s="6" t="str">
        <x:v>Master</x:v>
      </x:c>
      <x:c r="D1940" s="6" t="str">
        <x:v>Married</x:v>
      </x:c>
      <x:c r="E1940" s="6" t="n">
        <x:v>34242</x:v>
      </x:c>
      <x:c r="F1940" s="6" t="n">
        <x:v>0</x:v>
      </x:c>
      <x:c r="G1940" s="6" t="n">
        <x:v>1</x:v>
      </x:c>
      <x:c r="H1940" s="9" t="str">
        <x:v>23-03-2014</x:v>
      </x:c>
      <x:c r="I1940" s="6" t="n">
        <x:v>25</x:v>
      </x:c>
      <x:c r="J1940" s="6" t="n">
        <x:v>8</x:v>
      </x:c>
      <x:c r="K1940" s="6" t="n">
        <x:v>2</x:v>
      </x:c>
      <x:c r="L1940" s="6" t="n">
        <x:v>4</x:v>
      </x:c>
      <x:c r="M1940" s="6" t="n">
        <x:v>0</x:v>
      </x:c>
      <x:c r="N1940" s="6" t="n">
        <x:v>0</x:v>
      </x:c>
      <x:c r="O1940" s="6" t="n">
        <x:v>1</x:v>
      </x:c>
      <x:c r="P1940" s="6" t="n">
        <x:v>1</x:v>
      </x:c>
      <x:c r="Q1940" s="6" t="n">
        <x:v>0</x:v>
      </x:c>
      <x:c r="R1940" s="6" t="n">
        <x:v>0</x:v>
      </x:c>
      <x:c r="S1940" s="6" t="n">
        <x:v>3</x:v>
      </x:c>
      <x:c r="T1940" s="6" t="n">
        <x:v>5</x:v>
      </x:c>
      <x:c r="U1940" s="6" t="n">
        <x:v>0</x:v>
      </x:c>
      <x:c r="V1940" s="6" t="n">
        <x:v>0</x:v>
      </x:c>
      <x:c r="W1940" s="6" t="n">
        <x:v>0</x:v>
      </x:c>
      <x:c r="X1940" s="6" t="n">
        <x:v>0</x:v>
      </x:c>
      <x:c r="Y1940" s="6" t="n">
        <x:v>0</x:v>
      </x:c>
      <x:c r="Z1940" s="6" t="n">
        <x:v>0</x:v>
      </x:c>
      <x:c r="AA1940" s="6" t="n">
        <x:v>3</x:v>
      </x:c>
      <x:c r="AB1940" s="6" t="n">
        <x:v>11</x:v>
      </x:c>
      <x:c r="AC1940" s="6" t="n">
        <x:v>0</x:v>
      </x:c>
    </x:row>
    <x:row r="1941">
      <x:c r="A1941" s="6" t="n">
        <x:v>2478</x:v>
      </x:c>
      <x:c r="B1941" s="6" t="n">
        <x:v>1973</x:v>
      </x:c>
      <x:c r="C1941" s="6" t="str">
        <x:v>Graduation</x:v>
      </x:c>
      <x:c r="D1941" s="6" t="str">
        <x:v>Married</x:v>
      </x:c>
      <x:c r="E1941" s="6" t="n">
        <x:v>25410</x:v>
      </x:c>
      <x:c r="F1941" s="6" t="n">
        <x:v>1</x:v>
      </x:c>
      <x:c r="G1941" s="6" t="n">
        <x:v>0</x:v>
      </x:c>
      <x:c r="H1941" s="9" t="str">
        <x:v>31-08-2013</x:v>
      </x:c>
      <x:c r="I1941" s="6" t="n">
        <x:v>48</x:v>
      </x:c>
      <x:c r="J1941" s="6" t="n">
        <x:v>2</x:v>
      </x:c>
      <x:c r="K1941" s="6" t="n">
        <x:v>2</x:v>
      </x:c>
      <x:c r="L1941" s="6" t="n">
        <x:v>4</x:v>
      </x:c>
      <x:c r="M1941" s="6" t="n">
        <x:v>13</x:v>
      </x:c>
      <x:c r="N1941" s="6" t="n">
        <x:v>13</x:v>
      </x:c>
      <x:c r="O1941" s="6" t="n">
        <x:v>4</x:v>
      </x:c>
      <x:c r="P1941" s="6" t="n">
        <x:v>1</x:v>
      </x:c>
      <x:c r="Q1941" s="6" t="n">
        <x:v>1</x:v>
      </x:c>
      <x:c r="R1941" s="6" t="n">
        <x:v>0</x:v>
      </x:c>
      <x:c r="S1941" s="6" t="n">
        <x:v>4</x:v>
      </x:c>
      <x:c r="T1941" s="6" t="n">
        <x:v>4</x:v>
      </x:c>
      <x:c r="U1941" s="6" t="n">
        <x:v>0</x:v>
      </x:c>
      <x:c r="V1941" s="6" t="n">
        <x:v>0</x:v>
      </x:c>
      <x:c r="W1941" s="6" t="n">
        <x:v>0</x:v>
      </x:c>
      <x:c r="X1941" s="6" t="n">
        <x:v>0</x:v>
      </x:c>
      <x:c r="Y1941" s="6" t="n">
        <x:v>0</x:v>
      </x:c>
      <x:c r="Z1941" s="6" t="n">
        <x:v>0</x:v>
      </x:c>
      <x:c r="AA1941" s="6" t="n">
        <x:v>3</x:v>
      </x:c>
      <x:c r="AB1941" s="6" t="n">
        <x:v>11</x:v>
      </x:c>
      <x:c r="AC1941" s="6" t="n">
        <x:v>0</x:v>
      </x:c>
    </x:row>
    <x:row r="1942">
      <x:c r="A1942" s="6" t="n">
        <x:v>1139</x:v>
      </x:c>
      <x:c r="B1942" s="6" t="n">
        <x:v>1984</x:v>
      </x:c>
      <x:c r="C1942" s="6" t="str">
        <x:v>PhD</x:v>
      </x:c>
      <x:c r="D1942" s="6" t="str">
        <x:v>Married</x:v>
      </x:c>
      <x:c r="E1942" s="6" t="n">
        <x:v>73356</x:v>
      </x:c>
      <x:c r="F1942" s="6" t="n">
        <x:v>0</x:v>
      </x:c>
      <x:c r="G1942" s="6" t="n">
        <x:v>0</x:v>
      </x:c>
      <x:c r="H1942" s="9" t="str">
        <x:v>06-02-2014</x:v>
      </x:c>
      <x:c r="I1942" s="6" t="n">
        <x:v>56</x:v>
      </x:c>
      <x:c r="J1942" s="6" t="n">
        <x:v>1050</x:v>
      </x:c>
      <x:c r="K1942" s="6" t="n">
        <x:v>14</x:v>
      </x:c>
      <x:c r="L1942" s="6" t="n">
        <x:v>322</x:v>
      </x:c>
      <x:c r="M1942" s="6" t="n">
        <x:v>0</x:v>
      </x:c>
      <x:c r="N1942" s="6" t="n">
        <x:v>14</x:v>
      </x:c>
      <x:c r="O1942" s="6" t="n">
        <x:v>112</x:v>
      </x:c>
      <x:c r="P1942" s="6" t="n">
        <x:v>1</x:v>
      </x:c>
      <x:c r="Q1942" s="6" t="n">
        <x:v>5</x:v>
      </x:c>
      <x:c r="R1942" s="6" t="n">
        <x:v>11</x:v>
      </x:c>
      <x:c r="S1942" s="6" t="n">
        <x:v>5</x:v>
      </x:c>
      <x:c r="T1942" s="6" t="n">
        <x:v>2</x:v>
      </x:c>
      <x:c r="U1942" s="6" t="n">
        <x:v>1</x:v>
      </x:c>
      <x:c r="V1942" s="6" t="n">
        <x:v>0</x:v>
      </x:c>
      <x:c r="W1942" s="6" t="n">
        <x:v>1</x:v>
      </x:c>
      <x:c r="X1942" s="6" t="n">
        <x:v>1</x:v>
      </x:c>
      <x:c r="Y1942" s="6" t="n">
        <x:v>0</x:v>
      </x:c>
      <x:c r="Z1942" s="6" t="n">
        <x:v>0</x:v>
      </x:c>
      <x:c r="AA1942" s="6" t="n">
        <x:v>3</x:v>
      </x:c>
      <x:c r="AB1942" s="6" t="n">
        <x:v>11</x:v>
      </x:c>
      <x:c r="AC1942" s="6" t="n">
        <x:v>1</x:v>
      </x:c>
    </x:row>
    <x:row r="1943">
      <x:c r="A1943" s="6" t="n">
        <x:v>5138</x:v>
      </x:c>
      <x:c r="B1943" s="6" t="n">
        <x:v>1950</x:v>
      </x:c>
      <x:c r="C1943" s="6" t="str">
        <x:v>Graduation</x:v>
      </x:c>
      <x:c r="D1943" s="6" t="str">
        <x:v>Together</x:v>
      </x:c>
      <x:c r="E1943" s="6" t="n">
        <x:v>28320</x:v>
      </x:c>
      <x:c r="F1943" s="6" t="n">
        <x:v>0</x:v>
      </x:c>
      <x:c r="G1943" s="6" t="n">
        <x:v>1</x:v>
      </x:c>
      <x:c r="H1943" s="9" t="str">
        <x:v>14-01-2013</x:v>
      </x:c>
      <x:c r="I1943" s="6" t="n">
        <x:v>68</x:v>
      </x:c>
      <x:c r="J1943" s="6" t="n">
        <x:v>19</x:v>
      </x:c>
      <x:c r="K1943" s="6" t="n">
        <x:v>1</x:v>
      </x:c>
      <x:c r="L1943" s="6" t="n">
        <x:v>14</x:v>
      </x:c>
      <x:c r="M1943" s="6" t="n">
        <x:v>3</x:v>
      </x:c>
      <x:c r="N1943" s="6" t="n">
        <x:v>2</x:v>
      </x:c>
      <x:c r="O1943" s="6" t="n">
        <x:v>4</x:v>
      </x:c>
      <x:c r="P1943" s="6" t="n">
        <x:v>1</x:v>
      </x:c>
      <x:c r="Q1943" s="6" t="n">
        <x:v>1</x:v>
      </x:c>
      <x:c r="R1943" s="6" t="n">
        <x:v>0</x:v>
      </x:c>
      <x:c r="S1943" s="6" t="n">
        <x:v>3</x:v>
      </x:c>
      <x:c r="T1943" s="6" t="n">
        <x:v>8</x:v>
      </x:c>
      <x:c r="U1943" s="6" t="n">
        <x:v>0</x:v>
      </x:c>
      <x:c r="V1943" s="6" t="n">
        <x:v>0</x:v>
      </x:c>
      <x:c r="W1943" s="6" t="n">
        <x:v>0</x:v>
      </x:c>
      <x:c r="X1943" s="6" t="n">
        <x:v>0</x:v>
      </x:c>
      <x:c r="Y1943" s="6" t="n">
        <x:v>0</x:v>
      </x:c>
      <x:c r="Z1943" s="6" t="n">
        <x:v>0</x:v>
      </x:c>
      <x:c r="AA1943" s="6" t="n">
        <x:v>3</x:v>
      </x:c>
      <x:c r="AB1943" s="6" t="n">
        <x:v>11</x:v>
      </x:c>
      <x:c r="AC1943" s="6" t="n">
        <x:v>0</x:v>
      </x:c>
    </x:row>
    <x:row r="1944">
      <x:c r="A1944" s="6" t="n">
        <x:v>5393</x:v>
      </x:c>
      <x:c r="B1944" s="6" t="n">
        <x:v>1977</x:v>
      </x:c>
      <x:c r="C1944" s="6" t="str">
        <x:v>Graduation</x:v>
      </x:c>
      <x:c r="D1944" s="6" t="str">
        <x:v>Single</x:v>
      </x:c>
      <x:c r="E1944" s="6" t="n">
        <x:v>23763</x:v>
      </x:c>
      <x:c r="F1944" s="6" t="n">
        <x:v>1</x:v>
      </x:c>
      <x:c r="G1944" s="6" t="n">
        <x:v>0</x:v>
      </x:c>
      <x:c r="H1944" s="9" t="str">
        <x:v>07-08-2012</x:v>
      </x:c>
      <x:c r="I1944" s="6" t="n">
        <x:v>64</x:v>
      </x:c>
      <x:c r="J1944" s="6" t="n">
        <x:v>22</x:v>
      </x:c>
      <x:c r="K1944" s="6" t="n">
        <x:v>0</x:v>
      </x:c>
      <x:c r="L1944" s="6" t="n">
        <x:v>6</x:v>
      </x:c>
      <x:c r="M1944" s="6" t="n">
        <x:v>6</x:v>
      </x:c>
      <x:c r="N1944" s="6" t="n">
        <x:v>2</x:v>
      </x:c>
      <x:c r="O1944" s="6" t="n">
        <x:v>6</x:v>
      </x:c>
      <x:c r="P1944" s="6" t="n">
        <x:v>1</x:v>
      </x:c>
      <x:c r="Q1944" s="6" t="n">
        <x:v>1</x:v>
      </x:c>
      <x:c r="R1944" s="6" t="n">
        <x:v>0</x:v>
      </x:c>
      <x:c r="S1944" s="6" t="n">
        <x:v>3</x:v>
      </x:c>
      <x:c r="T1944" s="6" t="n">
        <x:v>7</x:v>
      </x:c>
      <x:c r="U1944" s="6" t="n">
        <x:v>0</x:v>
      </x:c>
      <x:c r="V1944" s="6" t="n">
        <x:v>0</x:v>
      </x:c>
      <x:c r="W1944" s="6" t="n">
        <x:v>0</x:v>
      </x:c>
      <x:c r="X1944" s="6" t="n">
        <x:v>0</x:v>
      </x:c>
      <x:c r="Y1944" s="6" t="n">
        <x:v>0</x:v>
      </x:c>
      <x:c r="Z1944" s="6" t="n">
        <x:v>0</x:v>
      </x:c>
      <x:c r="AA1944" s="6" t="n">
        <x:v>3</x:v>
      </x:c>
      <x:c r="AB1944" s="6" t="n">
        <x:v>11</x:v>
      </x:c>
      <x:c r="AC1944" s="6" t="n">
        <x:v>0</x:v>
      </x:c>
    </x:row>
    <x:row r="1945">
      <x:c r="A1945" s="6" t="n">
        <x:v>10413</x:v>
      </x:c>
      <x:c r="B1945" s="6" t="n">
        <x:v>1984</x:v>
      </x:c>
      <x:c r="C1945" s="6" t="str">
        <x:v>Graduation</x:v>
      </x:c>
      <x:c r="D1945" s="6" t="str">
        <x:v>Married</x:v>
      </x:c>
      <x:c r="E1945" s="6" t="n">
        <x:v>72570</x:v>
      </x:c>
      <x:c r="F1945" s="6" t="n">
        <x:v>0</x:v>
      </x:c>
      <x:c r="G1945" s="6" t="n">
        <x:v>0</x:v>
      </x:c>
      <x:c r="H1945" s="9" t="str">
        <x:v>25-04-2014</x:v>
      </x:c>
      <x:c r="I1945" s="6" t="n">
        <x:v>67</x:v>
      </x:c>
      <x:c r="J1945" s="6" t="n">
        <x:v>274</x:v>
      </x:c>
      <x:c r="K1945" s="6" t="n">
        <x:v>83</x:v>
      </x:c>
      <x:c r="L1945" s="6" t="n">
        <x:v>216</x:v>
      </x:c>
      <x:c r="M1945" s="6" t="n">
        <x:v>151</x:v>
      </x:c>
      <x:c r="N1945" s="6" t="n">
        <x:v>141</x:v>
      </x:c>
      <x:c r="O1945" s="6" t="n">
        <x:v>224</x:v>
      </x:c>
      <x:c r="P1945" s="6" t="n">
        <x:v>1</x:v>
      </x:c>
      <x:c r="Q1945" s="6" t="n">
        <x:v>4</x:v>
      </x:c>
      <x:c r="R1945" s="6" t="n">
        <x:v>6</x:v>
      </x:c>
      <x:c r="S1945" s="6" t="n">
        <x:v>12</x:v>
      </x:c>
      <x:c r="T1945" s="6" t="n">
        <x:v>1</x:v>
      </x:c>
      <x:c r="U1945" s="6" t="n">
        <x:v>0</x:v>
      </x:c>
      <x:c r="V1945" s="6" t="n">
        <x:v>0</x:v>
      </x:c>
      <x:c r="W1945" s="6" t="n">
        <x:v>0</x:v>
      </x:c>
      <x:c r="X1945" s="6" t="n">
        <x:v>0</x:v>
      </x:c>
      <x:c r="Y1945" s="6" t="n">
        <x:v>0</x:v>
      </x:c>
      <x:c r="Z1945" s="6" t="n">
        <x:v>0</x:v>
      </x:c>
      <x:c r="AA1945" s="6" t="n">
        <x:v>3</x:v>
      </x:c>
      <x:c r="AB1945" s="6" t="n">
        <x:v>11</x:v>
      </x:c>
      <x:c r="AC1945" s="6" t="n">
        <x:v>0</x:v>
      </x:c>
    </x:row>
    <x:row r="1946">
      <x:c r="A1946" s="6" t="n">
        <x:v>5015</x:v>
      </x:c>
      <x:c r="B1946" s="6" t="n">
        <x:v>1976</x:v>
      </x:c>
      <x:c r="C1946" s="6" t="str">
        <x:v>Master</x:v>
      </x:c>
      <x:c r="D1946" s="6" t="str">
        <x:v>Married</x:v>
      </x:c>
      <x:c r="E1946" s="6" t="n">
        <x:v>34529</x:v>
      </x:c>
      <x:c r="F1946" s="6" t="n">
        <x:v>1</x:v>
      </x:c>
      <x:c r="G1946" s="6" t="n">
        <x:v>0</x:v>
      </x:c>
      <x:c r="H1946" s="9" t="str">
        <x:v>14-09-2012</x:v>
      </x:c>
      <x:c r="I1946" s="6" t="n">
        <x:v>94</x:v>
      </x:c>
      <x:c r="J1946" s="6" t="n">
        <x:v>68</x:v>
      </x:c>
      <x:c r="K1946" s="6" t="n">
        <x:v>6</x:v>
      </x:c>
      <x:c r="L1946" s="6" t="n">
        <x:v>38</x:v>
      </x:c>
      <x:c r="M1946" s="6" t="n">
        <x:v>3</x:v>
      </x:c>
      <x:c r="N1946" s="6" t="n">
        <x:v>6</x:v>
      </x:c>
      <x:c r="O1946" s="6" t="n">
        <x:v>41</x:v>
      </x:c>
      <x:c r="P1946" s="6" t="n">
        <x:v>2</x:v>
      </x:c>
      <x:c r="Q1946" s="6" t="n">
        <x:v>2</x:v>
      </x:c>
      <x:c r="R1946" s="6" t="n">
        <x:v>2</x:v>
      </x:c>
      <x:c r="S1946" s="6" t="n">
        <x:v>3</x:v>
      </x:c>
      <x:c r="T1946" s="6" t="n">
        <x:v>7</x:v>
      </x:c>
      <x:c r="U1946" s="6" t="n">
        <x:v>0</x:v>
      </x:c>
      <x:c r="V1946" s="6" t="n">
        <x:v>0</x:v>
      </x:c>
      <x:c r="W1946" s="6" t="n">
        <x:v>0</x:v>
      </x:c>
      <x:c r="X1946" s="6" t="n">
        <x:v>0</x:v>
      </x:c>
      <x:c r="Y1946" s="6" t="n">
        <x:v>0</x:v>
      </x:c>
      <x:c r="Z1946" s="6" t="n">
        <x:v>0</x:v>
      </x:c>
      <x:c r="AA1946" s="6" t="n">
        <x:v>3</x:v>
      </x:c>
      <x:c r="AB1946" s="6" t="n">
        <x:v>11</x:v>
      </x:c>
      <x:c r="AC1946" s="6" t="n">
        <x:v>0</x:v>
      </x:c>
    </x:row>
    <x:row r="1947">
      <x:c r="A1947" s="6" t="n">
        <x:v>10868</x:v>
      </x:c>
      <x:c r="B1947" s="6" t="n">
        <x:v>1951</x:v>
      </x:c>
      <x:c r="C1947" s="6" t="str">
        <x:v>Graduation</x:v>
      </x:c>
      <x:c r="D1947" s="6" t="str">
        <x:v>Widow</x:v>
      </x:c>
      <x:c r="E1947" s="6" t="n">
        <x:v>70792</x:v>
      </x:c>
      <x:c r="F1947" s="6" t="n">
        <x:v>0</x:v>
      </x:c>
      <x:c r="G1947" s="6" t="n">
        <x:v>0</x:v>
      </x:c>
      <x:c r="H1947" s="9" t="str">
        <x:v>06-02-2013</x:v>
      </x:c>
      <x:c r="I1947" s="6" t="n">
        <x:v>82</x:v>
      </x:c>
      <x:c r="J1947" s="6" t="n">
        <x:v>344</x:v>
      </x:c>
      <x:c r="K1947" s="6" t="n">
        <x:v>45</x:v>
      </x:c>
      <x:c r="L1947" s="6" t="n">
        <x:v>654</x:v>
      </x:c>
      <x:c r="M1947" s="6" t="n">
        <x:v>104</x:v>
      </x:c>
      <x:c r="N1947" s="6" t="n">
        <x:v>11</x:v>
      </x:c>
      <x:c r="O1947" s="6" t="n">
        <x:v>114</x:v>
      </x:c>
      <x:c r="P1947" s="6" t="n">
        <x:v>2</x:v>
      </x:c>
      <x:c r="Q1947" s="6" t="n">
        <x:v>3</x:v>
      </x:c>
      <x:c r="R1947" s="6" t="n">
        <x:v>4</x:v>
      </x:c>
      <x:c r="S1947" s="6" t="n">
        <x:v>10</x:v>
      </x:c>
      <x:c r="T1947" s="6" t="n">
        <x:v>3</x:v>
      </x:c>
      <x:c r="U1947" s="6" t="n">
        <x:v>0</x:v>
      </x:c>
      <x:c r="V1947" s="6" t="n">
        <x:v>0</x:v>
      </x:c>
      <x:c r="W1947" s="6" t="n">
        <x:v>0</x:v>
      </x:c>
      <x:c r="X1947" s="6" t="n">
        <x:v>0</x:v>
      </x:c>
      <x:c r="Y1947" s="6" t="n">
        <x:v>0</x:v>
      </x:c>
      <x:c r="Z1947" s="6" t="n">
        <x:v>0</x:v>
      </x:c>
      <x:c r="AA1947" s="6" t="n">
        <x:v>3</x:v>
      </x:c>
      <x:c r="AB1947" s="6" t="n">
        <x:v>11</x:v>
      </x:c>
      <x:c r="AC1947" s="6" t="n">
        <x:v>0</x:v>
      </x:c>
    </x:row>
    <x:row r="1948">
      <x:c r="A1948" s="6" t="n">
        <x:v>10676</x:v>
      </x:c>
      <x:c r="B1948" s="6" t="n">
        <x:v>1982</x:v>
      </x:c>
      <x:c r="C1948" s="6" t="str">
        <x:v>Graduation</x:v>
      </x:c>
      <x:c r="D1948" s="6" t="str">
        <x:v>Married</x:v>
      </x:c>
      <x:c r="E1948" s="6" t="n">
        <x:v>63211</x:v>
      </x:c>
      <x:c r="F1948" s="6" t="n">
        <x:v>0</x:v>
      </x:c>
      <x:c r="G1948" s="6" t="n">
        <x:v>0</x:v>
      </x:c>
      <x:c r="H1948" s="9" t="str">
        <x:v>02-11-2012</x:v>
      </x:c>
      <x:c r="I1948" s="6" t="n">
        <x:v>3</x:v>
      </x:c>
      <x:c r="J1948" s="6" t="n">
        <x:v>145</x:v>
      </x:c>
      <x:c r="K1948" s="6" t="n">
        <x:v>193</x:v>
      </x:c>
      <x:c r="L1948" s="6" t="n">
        <x:v>459</x:v>
      </x:c>
      <x:c r="M1948" s="6" t="n">
        <x:v>205</x:v>
      </x:c>
      <x:c r="N1948" s="6" t="n">
        <x:v>26</x:v>
      </x:c>
      <x:c r="O1948" s="6" t="n">
        <x:v>145</x:v>
      </x:c>
      <x:c r="P1948" s="6" t="n">
        <x:v>2</x:v>
      </x:c>
      <x:c r="Q1948" s="6" t="n">
        <x:v>3</x:v>
      </x:c>
      <x:c r="R1948" s="6" t="n">
        <x:v>8</x:v>
      </x:c>
      <x:c r="S1948" s="6" t="n">
        <x:v>7</x:v>
      </x:c>
      <x:c r="T1948" s="6" t="n">
        <x:v>2</x:v>
      </x:c>
      <x:c r="U1948" s="6" t="n">
        <x:v>0</x:v>
      </x:c>
      <x:c r="V1948" s="6" t="n">
        <x:v>0</x:v>
      </x:c>
      <x:c r="W1948" s="6" t="n">
        <x:v>0</x:v>
      </x:c>
      <x:c r="X1948" s="6" t="n">
        <x:v>0</x:v>
      </x:c>
      <x:c r="Y1948" s="6" t="n">
        <x:v>0</x:v>
      </x:c>
      <x:c r="Z1948" s="6" t="n">
        <x:v>0</x:v>
      </x:c>
      <x:c r="AA1948" s="6" t="n">
        <x:v>3</x:v>
      </x:c>
      <x:c r="AB1948" s="6" t="n">
        <x:v>11</x:v>
      </x:c>
      <x:c r="AC1948" s="6" t="n">
        <x:v>1</x:v>
      </x:c>
    </x:row>
    <x:row r="1949">
      <x:c r="A1949" s="6" t="n">
        <x:v>2495</x:v>
      </x:c>
      <x:c r="B1949" s="6" t="n">
        <x:v>1974</x:v>
      </x:c>
      <x:c r="C1949" s="6" t="str">
        <x:v>Master</x:v>
      </x:c>
      <x:c r="D1949" s="6" t="str">
        <x:v>Married</x:v>
      </x:c>
      <x:c r="E1949" s="6" t="n">
        <x:v>83891</x:v>
      </x:c>
      <x:c r="F1949" s="6" t="n">
        <x:v>0</x:v>
      </x:c>
      <x:c r="G1949" s="6" t="n">
        <x:v>1</x:v>
      </x:c>
      <x:c r="H1949" s="9" t="str">
        <x:v>20-06-2014</x:v>
      </x:c>
      <x:c r="I1949" s="6" t="n">
        <x:v>24</x:v>
      </x:c>
      <x:c r="J1949" s="6" t="n">
        <x:v>217</x:v>
      </x:c>
      <x:c r="K1949" s="6" t="n">
        <x:v>38</x:v>
      </x:c>
      <x:c r="L1949" s="6" t="n">
        <x:v>350</x:v>
      </x:c>
      <x:c r="M1949" s="6" t="n">
        <x:v>111</x:v>
      </x:c>
      <x:c r="N1949" s="6" t="n">
        <x:v>85</x:v>
      </x:c>
      <x:c r="O1949" s="6" t="n">
        <x:v>15</x:v>
      </x:c>
      <x:c r="P1949" s="6" t="n">
        <x:v>1</x:v>
      </x:c>
      <x:c r="Q1949" s="6" t="n">
        <x:v>4</x:v>
      </x:c>
      <x:c r="R1949" s="6" t="n">
        <x:v>7</x:v>
      </x:c>
      <x:c r="S1949" s="6" t="n">
        <x:v>10</x:v>
      </x:c>
      <x:c r="T1949" s="6" t="n">
        <x:v>1</x:v>
      </x:c>
      <x:c r="U1949" s="6" t="n">
        <x:v>0</x:v>
      </x:c>
      <x:c r="V1949" s="6" t="n">
        <x:v>0</x:v>
      </x:c>
      <x:c r="W1949" s="6" t="n">
        <x:v>0</x:v>
      </x:c>
      <x:c r="X1949" s="6" t="n">
        <x:v>0</x:v>
      </x:c>
      <x:c r="Y1949" s="6" t="n">
        <x:v>0</x:v>
      </x:c>
      <x:c r="Z1949" s="6" t="n">
        <x:v>0</x:v>
      </x:c>
      <x:c r="AA1949" s="6" t="n">
        <x:v>3</x:v>
      </x:c>
      <x:c r="AB1949" s="6" t="n">
        <x:v>11</x:v>
      </x:c>
      <x:c r="AC1949" s="6" t="n">
        <x:v>0</x:v>
      </x:c>
    </x:row>
    <x:row r="1950">
      <x:c r="A1950" s="6" t="n">
        <x:v>7842</x:v>
      </x:c>
      <x:c r="B1950" s="6" t="n">
        <x:v>1968</x:v>
      </x:c>
      <x:c r="C1950" s="6" t="str">
        <x:v>Graduation</x:v>
      </x:c>
      <x:c r="D1950" s="6" t="str">
        <x:v>Single</x:v>
      </x:c>
      <x:c r="E1950" s="6" t="n">
        <x:v>36065</x:v>
      </x:c>
      <x:c r="F1950" s="6" t="n">
        <x:v>1</x:v>
      </x:c>
      <x:c r="G1950" s="6" t="n">
        <x:v>1</x:v>
      </x:c>
      <x:c r="H1950" s="9" t="str">
        <x:v>31-03-2013</x:v>
      </x:c>
      <x:c r="I1950" s="6" t="n">
        <x:v>54</x:v>
      </x:c>
      <x:c r="J1950" s="6" t="n">
        <x:v>18</x:v>
      </x:c>
      <x:c r="K1950" s="6" t="n">
        <x:v>7</x:v>
      </x:c>
      <x:c r="L1950" s="6" t="n">
        <x:v>34</x:v>
      </x:c>
      <x:c r="M1950" s="6" t="n">
        <x:v>10</x:v>
      </x:c>
      <x:c r="N1950" s="6" t="n">
        <x:v>2</x:v>
      </x:c>
      <x:c r="O1950" s="6" t="n">
        <x:v>3</x:v>
      </x:c>
      <x:c r="P1950" s="6" t="n">
        <x:v>3</x:v>
      </x:c>
      <x:c r="Q1950" s="6" t="n">
        <x:v>3</x:v>
      </x:c>
      <x:c r="R1950" s="6" t="n">
        <x:v>0</x:v>
      </x:c>
      <x:c r="S1950" s="6" t="n">
        <x:v>3</x:v>
      </x:c>
      <x:c r="T1950" s="6" t="n">
        <x:v>8</x:v>
      </x:c>
      <x:c r="U1950" s="6" t="n">
        <x:v>0</x:v>
      </x:c>
      <x:c r="V1950" s="6" t="n">
        <x:v>0</x:v>
      </x:c>
      <x:c r="W1950" s="6" t="n">
        <x:v>0</x:v>
      </x:c>
      <x:c r="X1950" s="6" t="n">
        <x:v>0</x:v>
      </x:c>
      <x:c r="Y1950" s="6" t="n">
        <x:v>0</x:v>
      </x:c>
      <x:c r="Z1950" s="6" t="n">
        <x:v>0</x:v>
      </x:c>
      <x:c r="AA1950" s="6" t="n">
        <x:v>3</x:v>
      </x:c>
      <x:c r="AB1950" s="6" t="n">
        <x:v>11</x:v>
      </x:c>
      <x:c r="AC1950" s="6" t="n">
        <x:v>0</x:v>
      </x:c>
    </x:row>
    <x:row r="1951">
      <x:c r="A1951" s="6" t="n">
        <x:v>9955</x:v>
      </x:c>
      <x:c r="B1951" s="6" t="n">
        <x:v>1954</x:v>
      </x:c>
      <x:c r="C1951" s="6" t="str">
        <x:v>Graduation</x:v>
      </x:c>
      <x:c r="D1951" s="6" t="str">
        <x:v>Together</x:v>
      </x:c>
      <x:c r="E1951" s="6" t="n">
        <x:v>39898</x:v>
      </x:c>
      <x:c r="F1951" s="6" t="n">
        <x:v>0</x:v>
      </x:c>
      <x:c r="G1951" s="6" t="n">
        <x:v>1</x:v>
      </x:c>
      <x:c r="H1951" s="9" t="str">
        <x:v>12-02-2013</x:v>
      </x:c>
      <x:c r="I1951" s="6" t="n">
        <x:v>20</x:v>
      </x:c>
      <x:c r="J1951" s="6" t="n">
        <x:v>69</x:v>
      </x:c>
      <x:c r="K1951" s="6" t="n">
        <x:v>8</x:v>
      </x:c>
      <x:c r="L1951" s="6" t="n">
        <x:v>26</x:v>
      </x:c>
      <x:c r="M1951" s="6" t="n">
        <x:v>12</x:v>
      </x:c>
      <x:c r="N1951" s="6" t="n">
        <x:v>7</x:v>
      </x:c>
      <x:c r="O1951" s="6" t="n">
        <x:v>12</x:v>
      </x:c>
      <x:c r="P1951" s="6" t="n">
        <x:v>2</x:v>
      </x:c>
      <x:c r="Q1951" s="6" t="n">
        <x:v>3</x:v>
      </x:c>
      <x:c r="R1951" s="6" t="n">
        <x:v>0</x:v>
      </x:c>
      <x:c r="S1951" s="6" t="n">
        <x:v>4</x:v>
      </x:c>
      <x:c r="T1951" s="6" t="n">
        <x:v>7</x:v>
      </x:c>
      <x:c r="U1951" s="6" t="n">
        <x:v>0</x:v>
      </x:c>
      <x:c r="V1951" s="6" t="n">
        <x:v>0</x:v>
      </x:c>
      <x:c r="W1951" s="6" t="n">
        <x:v>0</x:v>
      </x:c>
      <x:c r="X1951" s="6" t="n">
        <x:v>0</x:v>
      </x:c>
      <x:c r="Y1951" s="6" t="n">
        <x:v>0</x:v>
      </x:c>
      <x:c r="Z1951" s="6" t="n">
        <x:v>0</x:v>
      </x:c>
      <x:c r="AA1951" s="6" t="n">
        <x:v>3</x:v>
      </x:c>
      <x:c r="AB1951" s="6" t="n">
        <x:v>11</x:v>
      </x:c>
      <x:c r="AC1951" s="6" t="n">
        <x:v>0</x:v>
      </x:c>
    </x:row>
    <x:row r="1952">
      <x:c r="A1952" s="6" t="n">
        <x:v>6663</x:v>
      </x:c>
      <x:c r="B1952" s="6" t="n">
        <x:v>1940</x:v>
      </x:c>
      <x:c r="C1952" s="6" t="str">
        <x:v>PhD</x:v>
      </x:c>
      <x:c r="D1952" s="6" t="str">
        <x:v>Single</x:v>
      </x:c>
      <x:c r="E1952" s="6" t="n">
        <x:v>51141</x:v>
      </x:c>
      <x:c r="F1952" s="6" t="n">
        <x:v>0</x:v>
      </x:c>
      <x:c r="G1952" s="6" t="n">
        <x:v>0</x:v>
      </x:c>
      <x:c r="H1952" s="9" t="str">
        <x:v>08-07-2013</x:v>
      </x:c>
      <x:c r="I1952" s="6" t="n">
        <x:v>96</x:v>
      </x:c>
      <x:c r="J1952" s="6" t="n">
        <x:v>144</x:v>
      </x:c>
      <x:c r="K1952" s="6" t="n">
        <x:v>0</x:v>
      </x:c>
      <x:c r="L1952" s="6" t="n">
        <x:v>7</x:v>
      </x:c>
      <x:c r="M1952" s="6" t="n">
        <x:v>0</x:v>
      </x:c>
      <x:c r="N1952" s="6" t="n">
        <x:v>0</x:v>
      </x:c>
      <x:c r="O1952" s="6" t="n">
        <x:v>6</x:v>
      </x:c>
      <x:c r="P1952" s="6" t="n">
        <x:v>1</x:v>
      </x:c>
      <x:c r="Q1952" s="6" t="n">
        <x:v>3</x:v>
      </x:c>
      <x:c r="R1952" s="6" t="n">
        <x:v>1</x:v>
      </x:c>
      <x:c r="S1952" s="6" t="n">
        <x:v>4</x:v>
      </x:c>
      <x:c r="T1952" s="6" t="n">
        <x:v>5</x:v>
      </x:c>
      <x:c r="U1952" s="6" t="n">
        <x:v>0</x:v>
      </x:c>
      <x:c r="V1952" s="6" t="n">
        <x:v>0</x:v>
      </x:c>
      <x:c r="W1952" s="6" t="n">
        <x:v>0</x:v>
      </x:c>
      <x:c r="X1952" s="6" t="n">
        <x:v>0</x:v>
      </x:c>
      <x:c r="Y1952" s="6" t="n">
        <x:v>0</x:v>
      </x:c>
      <x:c r="Z1952" s="6" t="n">
        <x:v>0</x:v>
      </x:c>
      <x:c r="AA1952" s="6" t="n">
        <x:v>3</x:v>
      </x:c>
      <x:c r="AB1952" s="6" t="n">
        <x:v>11</x:v>
      </x:c>
      <x:c r="AC1952" s="6" t="n">
        <x:v>0</x:v>
      </x:c>
    </x:row>
    <x:row r="1953">
      <x:c r="A1953" s="6" t="n">
        <x:v>2162</x:v>
      </x:c>
      <x:c r="B1953" s="6" t="n">
        <x:v>1976</x:v>
      </x:c>
      <x:c r="C1953" s="6" t="str">
        <x:v>Graduation</x:v>
      </x:c>
      <x:c r="D1953" s="6" t="str">
        <x:v>Married</x:v>
      </x:c>
      <x:c r="E1953" s="6" t="n">
        <x:v>56939</x:v>
      </x:c>
      <x:c r="F1953" s="6" t="n">
        <x:v>0</x:v>
      </x:c>
      <x:c r="G1953" s="6" t="n">
        <x:v>1</x:v>
      </x:c>
      <x:c r="H1953" s="9" t="str">
        <x:v>18-09-2013</x:v>
      </x:c>
      <x:c r="I1953" s="6" t="n">
        <x:v>19</x:v>
      </x:c>
      <x:c r="J1953" s="6" t="n">
        <x:v>256</x:v>
      </x:c>
      <x:c r="K1953" s="6" t="n">
        <x:v>34</x:v>
      </x:c>
      <x:c r="L1953" s="6" t="n">
        <x:v>103</x:v>
      </x:c>
      <x:c r="M1953" s="6" t="n">
        <x:v>90</x:v>
      </x:c>
      <x:c r="N1953" s="6" t="n">
        <x:v>29</x:v>
      </x:c>
      <x:c r="O1953" s="6" t="n">
        <x:v>49</x:v>
      </x:c>
      <x:c r="P1953" s="6" t="n">
        <x:v>2</x:v>
      </x:c>
      <x:c r="Q1953" s="6" t="n">
        <x:v>3</x:v>
      </x:c>
      <x:c r="R1953" s="6" t="n">
        <x:v>3</x:v>
      </x:c>
      <x:c r="S1953" s="6" t="n">
        <x:v>10</x:v>
      </x:c>
      <x:c r="T1953" s="6" t="n">
        <x:v>3</x:v>
      </x:c>
      <x:c r="U1953" s="6" t="n">
        <x:v>0</x:v>
      </x:c>
      <x:c r="V1953" s="6" t="n">
        <x:v>0</x:v>
      </x:c>
      <x:c r="W1953" s="6" t="n">
        <x:v>0</x:v>
      </x:c>
      <x:c r="X1953" s="6" t="n">
        <x:v>0</x:v>
      </x:c>
      <x:c r="Y1953" s="6" t="n">
        <x:v>0</x:v>
      </x:c>
      <x:c r="Z1953" s="6" t="n">
        <x:v>0</x:v>
      </x:c>
      <x:c r="AA1953" s="6" t="n">
        <x:v>3</x:v>
      </x:c>
      <x:c r="AB1953" s="6" t="n">
        <x:v>11</x:v>
      </x:c>
      <x:c r="AC1953" s="6" t="n">
        <x:v>0</x:v>
      </x:c>
    </x:row>
    <x:row r="1954">
      <x:c r="A1954" s="6" t="n">
        <x:v>3434</x:v>
      </x:c>
      <x:c r="B1954" s="6" t="n">
        <x:v>1951</x:v>
      </x:c>
      <x:c r="C1954" s="6" t="str">
        <x:v>Graduation</x:v>
      </x:c>
      <x:c r="D1954" s="6" t="str">
        <x:v>Single</x:v>
      </x:c>
      <x:c r="E1954" s="6" t="n">
        <x:v>80872</x:v>
      </x:c>
      <x:c r="F1954" s="6" t="n">
        <x:v>0</x:v>
      </x:c>
      <x:c r="G1954" s="6" t="n">
        <x:v>0</x:v>
      </x:c>
      <x:c r="H1954" s="9" t="str">
        <x:v>12-05-2014</x:v>
      </x:c>
      <x:c r="I1954" s="6" t="n">
        <x:v>60</x:v>
      </x:c>
      <x:c r="J1954" s="6" t="n">
        <x:v>483</x:v>
      </x:c>
      <x:c r="K1954" s="6" t="n">
        <x:v>72</x:v>
      </x:c>
      <x:c r="L1954" s="6" t="n">
        <x:v>567</x:v>
      </x:c>
      <x:c r="M1954" s="6" t="n">
        <x:v>94</x:v>
      </x:c>
      <x:c r="N1954" s="6" t="n">
        <x:v>12</x:v>
      </x:c>
      <x:c r="O1954" s="6" t="n">
        <x:v>108</x:v>
      </x:c>
      <x:c r="P1954" s="6" t="n">
        <x:v>1</x:v>
      </x:c>
      <x:c r="Q1954" s="6" t="n">
        <x:v>4</x:v>
      </x:c>
      <x:c r="R1954" s="6" t="n">
        <x:v>4</x:v>
      </x:c>
      <x:c r="S1954" s="6" t="n">
        <x:v>10</x:v>
      </x:c>
      <x:c r="T1954" s="6" t="n">
        <x:v>1</x:v>
      </x:c>
      <x:c r="U1954" s="6" t="n">
        <x:v>0</x:v>
      </x:c>
      <x:c r="V1954" s="6" t="n">
        <x:v>0</x:v>
      </x:c>
      <x:c r="W1954" s="6" t="n">
        <x:v>0</x:v>
      </x:c>
      <x:c r="X1954" s="6" t="n">
        <x:v>0</x:v>
      </x:c>
      <x:c r="Y1954" s="6" t="n">
        <x:v>0</x:v>
      </x:c>
      <x:c r="Z1954" s="6" t="n">
        <x:v>0</x:v>
      </x:c>
      <x:c r="AA1954" s="6" t="n">
        <x:v>3</x:v>
      </x:c>
      <x:c r="AB1954" s="6" t="n">
        <x:v>11</x:v>
      </x:c>
      <x:c r="AC1954" s="6" t="n">
        <x:v>0</x:v>
      </x:c>
    </x:row>
    <x:row r="1955">
      <x:c r="A1955" s="6" t="n">
        <x:v>7919</x:v>
      </x:c>
      <x:c r="B1955" s="6" t="n">
        <x:v>1976</x:v>
      </x:c>
      <x:c r="C1955" s="6" t="str">
        <x:v>PhD</x:v>
      </x:c>
      <x:c r="D1955" s="6" t="str">
        <x:v>Together</x:v>
      </x:c>
      <x:c r="E1955" s="6" t="n">
        <x:v>72335</x:v>
      </x:c>
      <x:c r="F1955" s="6" t="n">
        <x:v>0</x:v>
      </x:c>
      <x:c r="G1955" s="6" t="n">
        <x:v>0</x:v>
      </x:c>
      <x:c r="H1955" s="9" t="str">
        <x:v>13-08-2012</x:v>
      </x:c>
      <x:c r="I1955" s="6" t="n">
        <x:v>2</x:v>
      </x:c>
      <x:c r="J1955" s="6" t="n">
        <x:v>1285</x:v>
      </x:c>
      <x:c r="K1955" s="6" t="n">
        <x:v>105</x:v>
      </x:c>
      <x:c r="L1955" s="6" t="n">
        <x:v>653</x:v>
      </x:c>
      <x:c r="M1955" s="6" t="n">
        <x:v>28</x:v>
      </x:c>
      <x:c r="N1955" s="6" t="n">
        <x:v>21</x:v>
      </x:c>
      <x:c r="O1955" s="6" t="n">
        <x:v>0</x:v>
      </x:c>
      <x:c r="P1955" s="6" t="n">
        <x:v>1</x:v>
      </x:c>
      <x:c r="Q1955" s="6" t="n">
        <x:v>10</x:v>
      </x:c>
      <x:c r="R1955" s="6" t="n">
        <x:v>4</x:v>
      </x:c>
      <x:c r="S1955" s="6" t="n">
        <x:v>8</x:v>
      </x:c>
      <x:c r="T1955" s="6" t="n">
        <x:v>8</x:v>
      </x:c>
      <x:c r="U1955" s="6" t="n">
        <x:v>0</x:v>
      </x:c>
      <x:c r="V1955" s="6" t="n">
        <x:v>0</x:v>
      </x:c>
      <x:c r="W1955" s="6" t="n">
        <x:v>0</x:v>
      </x:c>
      <x:c r="X1955" s="6" t="n">
        <x:v>0</x:v>
      </x:c>
      <x:c r="Y1955" s="6" t="n">
        <x:v>0</x:v>
      </x:c>
      <x:c r="Z1955" s="6" t="n">
        <x:v>0</x:v>
      </x:c>
      <x:c r="AA1955" s="6" t="n">
        <x:v>3</x:v>
      </x:c>
      <x:c r="AB1955" s="6" t="n">
        <x:v>11</x:v>
      </x:c>
      <x:c r="AC1955" s="6" t="n">
        <x:v>1</x:v>
      </x:c>
    </x:row>
    <x:row r="1956">
      <x:c r="A1956" s="6" t="n">
        <x:v>5626</x:v>
      </x:c>
      <x:c r="B1956" s="6" t="n">
        <x:v>1964</x:v>
      </x:c>
      <x:c r="C1956" s="6" t="str">
        <x:v>PhD</x:v>
      </x:c>
      <x:c r="D1956" s="6" t="str">
        <x:v>Single</x:v>
      </x:c>
      <x:c r="E1956" s="6" t="n">
        <x:v>61798</x:v>
      </x:c>
      <x:c r="F1956" s="6" t="n">
        <x:v>0</x:v>
      </x:c>
      <x:c r="G1956" s="6" t="n">
        <x:v>0</x:v>
      </x:c>
      <x:c r="H1956" s="9" t="str">
        <x:v>23-11-2013</x:v>
      </x:c>
      <x:c r="I1956" s="6" t="n">
        <x:v>13</x:v>
      </x:c>
      <x:c r="J1956" s="6" t="n">
        <x:v>338</x:v>
      </x:c>
      <x:c r="K1956" s="6" t="n">
        <x:v>4</x:v>
      </x:c>
      <x:c r="L1956" s="6" t="n">
        <x:v>89</x:v>
      </x:c>
      <x:c r="M1956" s="6" t="n">
        <x:v>11</x:v>
      </x:c>
      <x:c r="N1956" s="6" t="n">
        <x:v>8</x:v>
      </x:c>
      <x:c r="O1956" s="6" t="n">
        <x:v>13</x:v>
      </x:c>
      <x:c r="P1956" s="6" t="n">
        <x:v>1</x:v>
      </x:c>
      <x:c r="Q1956" s="6" t="n">
        <x:v>4</x:v>
      </x:c>
      <x:c r="R1956" s="6" t="n">
        <x:v>2</x:v>
      </x:c>
      <x:c r="S1956" s="6" t="n">
        <x:v>9</x:v>
      </x:c>
      <x:c r="T1956" s="6" t="n">
        <x:v>4</x:v>
      </x:c>
      <x:c r="U1956" s="6" t="n">
        <x:v>0</x:v>
      </x:c>
      <x:c r="V1956" s="6" t="n">
        <x:v>0</x:v>
      </x:c>
      <x:c r="W1956" s="6" t="n">
        <x:v>0</x:v>
      </x:c>
      <x:c r="X1956" s="6" t="n">
        <x:v>0</x:v>
      </x:c>
      <x:c r="Y1956" s="6" t="n">
        <x:v>0</x:v>
      </x:c>
      <x:c r="Z1956" s="6" t="n">
        <x:v>0</x:v>
      </x:c>
      <x:c r="AA1956" s="6" t="n">
        <x:v>3</x:v>
      </x:c>
      <x:c r="AB1956" s="6" t="n">
        <x:v>11</x:v>
      </x:c>
      <x:c r="AC1956" s="6" t="n">
        <x:v>0</x:v>
      </x:c>
    </x:row>
    <x:row r="1957">
      <x:c r="A1957" s="6" t="n">
        <x:v>6428</x:v>
      </x:c>
      <x:c r="B1957" s="6" t="n">
        <x:v>1950</x:v>
      </x:c>
      <x:c r="C1957" s="6" t="str">
        <x:v>PhD</x:v>
      </x:c>
      <x:c r="D1957" s="6" t="str">
        <x:v>Widow</x:v>
      </x:c>
      <x:c r="E1957" s="6" t="n">
        <x:v>76842</x:v>
      </x:c>
      <x:c r="F1957" s="6" t="n">
        <x:v>0</x:v>
      </x:c>
      <x:c r="G1957" s="6" t="n">
        <x:v>0</x:v>
      </x:c>
      <x:c r="H1957" s="9" t="str">
        <x:v>03-05-2014</x:v>
      </x:c>
      <x:c r="I1957" s="6" t="n">
        <x:v>37</x:v>
      </x:c>
      <x:c r="J1957" s="6" t="n">
        <x:v>605</x:v>
      </x:c>
      <x:c r="K1957" s="6" t="n">
        <x:v>10</x:v>
      </x:c>
      <x:c r="L1957" s="6" t="n">
        <x:v>345</x:v>
      </x:c>
      <x:c r="M1957" s="6" t="n">
        <x:v>84</x:v>
      </x:c>
      <x:c r="N1957" s="6" t="n">
        <x:v>54</x:v>
      </x:c>
      <x:c r="O1957" s="6" t="n">
        <x:v>32</x:v>
      </x:c>
      <x:c r="P1957" s="6" t="n">
        <x:v>1</x:v>
      </x:c>
      <x:c r="Q1957" s="6" t="n">
        <x:v>1</x:v>
      </x:c>
      <x:c r="R1957" s="6" t="n">
        <x:v>8</x:v>
      </x:c>
      <x:c r="S1957" s="6" t="n">
        <x:v>7</x:v>
      </x:c>
      <x:c r="T1957" s="6" t="n">
        <x:v>0</x:v>
      </x:c>
      <x:c r="U1957" s="6" t="n">
        <x:v>0</x:v>
      </x:c>
      <x:c r="V1957" s="6" t="n">
        <x:v>0</x:v>
      </x:c>
      <x:c r="W1957" s="6" t="n">
        <x:v>0</x:v>
      </x:c>
      <x:c r="X1957" s="6" t="n">
        <x:v>0</x:v>
      </x:c>
      <x:c r="Y1957" s="6" t="n">
        <x:v>0</x:v>
      </x:c>
      <x:c r="Z1957" s="6" t="n">
        <x:v>0</x:v>
      </x:c>
      <x:c r="AA1957" s="6" t="n">
        <x:v>3</x:v>
      </x:c>
      <x:c r="AB1957" s="6" t="n">
        <x:v>11</x:v>
      </x:c>
      <x:c r="AC1957" s="6" t="n">
        <x:v>0</x:v>
      </x:c>
    </x:row>
    <x:row r="1958">
      <x:c r="A1958" s="6" t="n">
        <x:v>8514</x:v>
      </x:c>
      <x:c r="B1958" s="6" t="n">
        <x:v>1976</x:v>
      </x:c>
      <x:c r="C1958" s="6" t="str">
        <x:v>Graduation</x:v>
      </x:c>
      <x:c r="D1958" s="6" t="str">
        <x:v>Together</x:v>
      </x:c>
      <x:c r="E1958" s="6" t="n">
        <x:v>29478</x:v>
      </x:c>
      <x:c r="F1958" s="6" t="n">
        <x:v>1</x:v>
      </x:c>
      <x:c r="G1958" s="6" t="n">
        <x:v>0</x:v>
      </x:c>
      <x:c r="H1958" s="9" t="str">
        <x:v>17-01-2014</x:v>
      </x:c>
      <x:c r="I1958" s="6" t="n">
        <x:v>59</x:v>
      </x:c>
      <x:c r="J1958" s="6" t="n">
        <x:v>8</x:v>
      </x:c>
      <x:c r="K1958" s="6" t="n">
        <x:v>0</x:v>
      </x:c>
      <x:c r="L1958" s="6" t="n">
        <x:v>7</x:v>
      </x:c>
      <x:c r="M1958" s="6" t="n">
        <x:v>3</x:v>
      </x:c>
      <x:c r="N1958" s="6" t="n">
        <x:v>1</x:v>
      </x:c>
      <x:c r="O1958" s="6" t="n">
        <x:v>1</x:v>
      </x:c>
      <x:c r="P1958" s="6" t="n">
        <x:v>1</x:v>
      </x:c>
      <x:c r="Q1958" s="6" t="n">
        <x:v>1</x:v>
      </x:c>
      <x:c r="R1958" s="6" t="n">
        <x:v>0</x:v>
      </x:c>
      <x:c r="S1958" s="6" t="n">
        <x:v>3</x:v>
      </x:c>
      <x:c r="T1958" s="6" t="n">
        <x:v>6</x:v>
      </x:c>
      <x:c r="U1958" s="6" t="n">
        <x:v>0</x:v>
      </x:c>
      <x:c r="V1958" s="6" t="n">
        <x:v>0</x:v>
      </x:c>
      <x:c r="W1958" s="6" t="n">
        <x:v>0</x:v>
      </x:c>
      <x:c r="X1958" s="6" t="n">
        <x:v>0</x:v>
      </x:c>
      <x:c r="Y1958" s="6" t="n">
        <x:v>0</x:v>
      </x:c>
      <x:c r="Z1958" s="6" t="n">
        <x:v>0</x:v>
      </x:c>
      <x:c r="AA1958" s="6" t="n">
        <x:v>3</x:v>
      </x:c>
      <x:c r="AB1958" s="6" t="n">
        <x:v>11</x:v>
      </x:c>
      <x:c r="AC1958" s="6" t="n">
        <x:v>0</x:v>
      </x:c>
    </x:row>
    <x:row r="1959">
      <x:c r="A1959" s="6" t="n">
        <x:v>10448</x:v>
      </x:c>
      <x:c r="B1959" s="6" t="n">
        <x:v>1956</x:v>
      </x:c>
      <x:c r="C1959" s="6" t="str">
        <x:v>Graduation</x:v>
      </x:c>
      <x:c r="D1959" s="6" t="str">
        <x:v>Single</x:v>
      </x:c>
      <x:c r="E1959" s="6" t="n">
        <x:v>46998</x:v>
      </x:c>
      <x:c r="F1959" s="6" t="n">
        <x:v>0</x:v>
      </x:c>
      <x:c r="G1959" s="6" t="n">
        <x:v>1</x:v>
      </x:c>
      <x:c r="H1959" s="9" t="str">
        <x:v>22-10-2012</x:v>
      </x:c>
      <x:c r="I1959" s="6" t="n">
        <x:v>55</x:v>
      </x:c>
      <x:c r="J1959" s="6" t="n">
        <x:v>172</x:v>
      </x:c>
      <x:c r="K1959" s="6" t="n">
        <x:v>41</x:v>
      </x:c>
      <x:c r="L1959" s="6" t="n">
        <x:v>86</x:v>
      </x:c>
      <x:c r="M1959" s="6" t="n">
        <x:v>45</x:v>
      </x:c>
      <x:c r="N1959" s="6" t="n">
        <x:v>6</x:v>
      </x:c>
      <x:c r="O1959" s="6" t="n">
        <x:v>27</x:v>
      </x:c>
      <x:c r="P1959" s="6" t="n">
        <x:v>5</x:v>
      </x:c>
      <x:c r="Q1959" s="6" t="n">
        <x:v>5</x:v>
      </x:c>
      <x:c r="R1959" s="6" t="n">
        <x:v>3</x:v>
      </x:c>
      <x:c r="S1959" s="6" t="n">
        <x:v>5</x:v>
      </x:c>
      <x:c r="T1959" s="6" t="n">
        <x:v>7</x:v>
      </x:c>
      <x:c r="U1959" s="6" t="n">
        <x:v>1</x:v>
      </x:c>
      <x:c r="V1959" s="6" t="n">
        <x:v>0</x:v>
      </x:c>
      <x:c r="W1959" s="6" t="n">
        <x:v>0</x:v>
      </x:c>
      <x:c r="X1959" s="6" t="n">
        <x:v>0</x:v>
      </x:c>
      <x:c r="Y1959" s="6" t="n">
        <x:v>0</x:v>
      </x:c>
      <x:c r="Z1959" s="6" t="n">
        <x:v>0</x:v>
      </x:c>
      <x:c r="AA1959" s="6" t="n">
        <x:v>3</x:v>
      </x:c>
      <x:c r="AB1959" s="6" t="n">
        <x:v>11</x:v>
      </x:c>
      <x:c r="AC1959" s="6" t="n">
        <x:v>0</x:v>
      </x:c>
    </x:row>
    <x:row r="1960">
      <x:c r="A1960" s="6" t="n">
        <x:v>2109</x:v>
      </x:c>
      <x:c r="B1960" s="6" t="n">
        <x:v>1990</x:v>
      </x:c>
      <x:c r="C1960" s="6" t="str">
        <x:v>Graduation</x:v>
      </x:c>
      <x:c r="D1960" s="6" t="str">
        <x:v>Single</x:v>
      </x:c>
      <x:c r="E1960" s="6" t="n">
        <x:v>96843</x:v>
      </x:c>
      <x:c r="F1960" s="6" t="n">
        <x:v>0</x:v>
      </x:c>
      <x:c r="G1960" s="6" t="n">
        <x:v>0</x:v>
      </x:c>
      <x:c r="H1960" s="9" t="str">
        <x:v>23-04-2013</x:v>
      </x:c>
      <x:c r="I1960" s="6" t="n">
        <x:v>60</x:v>
      </x:c>
      <x:c r="J1960" s="6" t="n">
        <x:v>448</x:v>
      </x:c>
      <x:c r="K1960" s="6" t="n">
        <x:v>71</x:v>
      </x:c>
      <x:c r="L1960" s="6" t="n">
        <x:v>951</x:v>
      </x:c>
      <x:c r="M1960" s="6" t="n">
        <x:v>40</x:v>
      </x:c>
      <x:c r="N1960" s="6" t="n">
        <x:v>17</x:v>
      </x:c>
      <x:c r="O1960" s="6" t="n">
        <x:v>17</x:v>
      </x:c>
      <x:c r="P1960" s="6" t="n">
        <x:v>1</x:v>
      </x:c>
      <x:c r="Q1960" s="6" t="n">
        <x:v>6</x:v>
      </x:c>
      <x:c r="R1960" s="6" t="n">
        <x:v>11</x:v>
      </x:c>
      <x:c r="S1960" s="6" t="n">
        <x:v>10</x:v>
      </x:c>
      <x:c r="T1960" s="6" t="n">
        <x:v>2</x:v>
      </x:c>
      <x:c r="U1960" s="6" t="n">
        <x:v>0</x:v>
      </x:c>
      <x:c r="V1960" s="6" t="n">
        <x:v>0</x:v>
      </x:c>
      <x:c r="W1960" s="6" t="n">
        <x:v>1</x:v>
      </x:c>
      <x:c r="X1960" s="6" t="n">
        <x:v>0</x:v>
      </x:c>
      <x:c r="Y1960" s="6" t="n">
        <x:v>0</x:v>
      </x:c>
      <x:c r="Z1960" s="6" t="n">
        <x:v>0</x:v>
      </x:c>
      <x:c r="AA1960" s="6" t="n">
        <x:v>3</x:v>
      </x:c>
      <x:c r="AB1960" s="6" t="n">
        <x:v>11</x:v>
      </x:c>
      <x:c r="AC1960" s="6" t="n">
        <x:v>1</x:v>
      </x:c>
    </x:row>
    <x:row r="1961">
      <x:c r="A1961" s="6" t="n">
        <x:v>7530</x:v>
      </x:c>
      <x:c r="B1961" s="6" t="n">
        <x:v>1950</x:v>
      </x:c>
      <x:c r="C1961" s="6" t="str">
        <x:v>PhD</x:v>
      </x:c>
      <x:c r="D1961" s="6" t="str">
        <x:v>Widow</x:v>
      </x:c>
      <x:c r="E1961" s="6" t="n">
        <x:v>56551</x:v>
      </x:c>
      <x:c r="F1961" s="6" t="n">
        <x:v>1</x:v>
      </x:c>
      <x:c r="G1961" s="6" t="n">
        <x:v>1</x:v>
      </x:c>
      <x:c r="H1961" s="9" t="str">
        <x:v>07-05-2014</x:v>
      </x:c>
      <x:c r="I1961" s="6" t="n">
        <x:v>48</x:v>
      </x:c>
      <x:c r="J1961" s="6" t="n">
        <x:v>67</x:v>
      </x:c>
      <x:c r="K1961" s="6" t="n">
        <x:v>4</x:v>
      </x:c>
      <x:c r="L1961" s="6" t="n">
        <x:v>32</x:v>
      </x:c>
      <x:c r="M1961" s="6" t="n">
        <x:v>17</x:v>
      </x:c>
      <x:c r="N1961" s="6" t="n">
        <x:v>2</x:v>
      </x:c>
      <x:c r="O1961" s="6" t="n">
        <x:v>16</x:v>
      </x:c>
      <x:c r="P1961" s="6" t="n">
        <x:v>3</x:v>
      </x:c>
      <x:c r="Q1961" s="6" t="n">
        <x:v>2</x:v>
      </x:c>
      <x:c r="R1961" s="6" t="n">
        <x:v>1</x:v>
      </x:c>
      <x:c r="S1961" s="6" t="n">
        <x:v>4</x:v>
      </x:c>
      <x:c r="T1961" s="6" t="n">
        <x:v>4</x:v>
      </x:c>
      <x:c r="U1961" s="6" t="n">
        <x:v>0</x:v>
      </x:c>
      <x:c r="V1961" s="6" t="n">
        <x:v>0</x:v>
      </x:c>
      <x:c r="W1961" s="6" t="n">
        <x:v>0</x:v>
      </x:c>
      <x:c r="X1961" s="6" t="n">
        <x:v>0</x:v>
      </x:c>
      <x:c r="Y1961" s="6" t="n">
        <x:v>0</x:v>
      </x:c>
      <x:c r="Z1961" s="6" t="n">
        <x:v>0</x:v>
      </x:c>
      <x:c r="AA1961" s="6" t="n">
        <x:v>3</x:v>
      </x:c>
      <x:c r="AB1961" s="6" t="n">
        <x:v>11</x:v>
      </x:c>
      <x:c r="AC1961" s="6" t="n">
        <x:v>0</x:v>
      </x:c>
    </x:row>
    <x:row r="1962">
      <x:c r="A1962" s="6" t="n">
        <x:v>8925</x:v>
      </x:c>
      <x:c r="B1962" s="6" t="n">
        <x:v>1965</x:v>
      </x:c>
      <x:c r="C1962" s="6" t="str">
        <x:v>Master</x:v>
      </x:c>
      <x:c r="D1962" s="6" t="str">
        <x:v>Married</x:v>
      </x:c>
      <x:c r="E1962" s="6" t="n">
        <x:v>70053</x:v>
      </x:c>
      <x:c r="F1962" s="6" t="n">
        <x:v>0</x:v>
      </x:c>
      <x:c r="G1962" s="6" t="n">
        <x:v>1</x:v>
      </x:c>
      <x:c r="H1962" s="9" t="str">
        <x:v>03-07-2013</x:v>
      </x:c>
      <x:c r="I1962" s="6" t="n">
        <x:v>38</x:v>
      </x:c>
      <x:c r="J1962" s="6" t="n">
        <x:v>512</x:v>
      </x:c>
      <x:c r="K1962" s="6" t="n">
        <x:v>53</x:v>
      </x:c>
      <x:c r="L1962" s="6" t="n">
        <x:v>98</x:v>
      </x:c>
      <x:c r="M1962" s="6" t="n">
        <x:v>81</x:v>
      </x:c>
      <x:c r="N1962" s="6" t="n">
        <x:v>179</x:v>
      </x:c>
      <x:c r="O1962" s="6" t="n">
        <x:v>89</x:v>
      </x:c>
      <x:c r="P1962" s="6" t="n">
        <x:v>3</x:v>
      </x:c>
      <x:c r="Q1962" s="6" t="n">
        <x:v>8</x:v>
      </x:c>
      <x:c r="R1962" s="6" t="n">
        <x:v>5</x:v>
      </x:c>
      <x:c r="S1962" s="6" t="n">
        <x:v>10</x:v>
      </x:c>
      <x:c r="T1962" s="6" t="n">
        <x:v>5</x:v>
      </x:c>
      <x:c r="U1962" s="6" t="n">
        <x:v>0</x:v>
      </x:c>
      <x:c r="V1962" s="6" t="n">
        <x:v>0</x:v>
      </x:c>
      <x:c r="W1962" s="6" t="n">
        <x:v>0</x:v>
      </x:c>
      <x:c r="X1962" s="6" t="n">
        <x:v>0</x:v>
      </x:c>
      <x:c r="Y1962" s="6" t="n">
        <x:v>0</x:v>
      </x:c>
      <x:c r="Z1962" s="6" t="n">
        <x:v>0</x:v>
      </x:c>
      <x:c r="AA1962" s="6" t="n">
        <x:v>3</x:v>
      </x:c>
      <x:c r="AB1962" s="6" t="n">
        <x:v>11</x:v>
      </x:c>
      <x:c r="AC1962" s="6" t="n">
        <x:v>0</x:v>
      </x:c>
    </x:row>
    <x:row r="1963">
      <x:c r="A1963" s="6" t="n">
        <x:v>3009</x:v>
      </x:c>
      <x:c r="B1963" s="6" t="n">
        <x:v>1962</x:v>
      </x:c>
      <x:c r="C1963" s="6" t="str">
        <x:v>PhD</x:v>
      </x:c>
      <x:c r="D1963" s="6" t="str">
        <x:v>Widow</x:v>
      </x:c>
      <x:c r="E1963" s="6" t="n">
        <x:v>71670</x:v>
      </x:c>
      <x:c r="F1963" s="6" t="n">
        <x:v>0</x:v>
      </x:c>
      <x:c r="G1963" s="6" t="n">
        <x:v>0</x:v>
      </x:c>
      <x:c r="H1963" s="9" t="str">
        <x:v>09-07-2013</x:v>
      </x:c>
      <x:c r="I1963" s="6" t="n">
        <x:v>8</x:v>
      </x:c>
      <x:c r="J1963" s="6" t="n">
        <x:v>1462</x:v>
      </x:c>
      <x:c r="K1963" s="6" t="n">
        <x:v>16</x:v>
      </x:c>
      <x:c r="L1963" s="6" t="n">
        <x:v>128</x:v>
      </x:c>
      <x:c r="M1963" s="6" t="n">
        <x:v>0</x:v>
      </x:c>
      <x:c r="N1963" s="6" t="n">
        <x:v>0</x:v>
      </x:c>
      <x:c r="O1963" s="6" t="n">
        <x:v>160</x:v>
      </x:c>
      <x:c r="P1963" s="6" t="n">
        <x:v>1</x:v>
      </x:c>
      <x:c r="Q1963" s="6" t="n">
        <x:v>5</x:v>
      </x:c>
      <x:c r="R1963" s="6" t="n">
        <x:v>3</x:v>
      </x:c>
      <x:c r="S1963" s="6" t="n">
        <x:v>6</x:v>
      </x:c>
      <x:c r="T1963" s="6" t="n">
        <x:v>6</x:v>
      </x:c>
      <x:c r="U1963" s="6" t="n">
        <x:v>0</x:v>
      </x:c>
      <x:c r="V1963" s="6" t="n">
        <x:v>1</x:v>
      </x:c>
      <x:c r="W1963" s="6" t="n">
        <x:v>1</x:v>
      </x:c>
      <x:c r="X1963" s="6" t="n">
        <x:v>0</x:v>
      </x:c>
      <x:c r="Y1963" s="6" t="n">
        <x:v>1</x:v>
      </x:c>
      <x:c r="Z1963" s="6" t="n">
        <x:v>0</x:v>
      </x:c>
      <x:c r="AA1963" s="6" t="n">
        <x:v>3</x:v>
      </x:c>
      <x:c r="AB1963" s="6" t="n">
        <x:v>11</x:v>
      </x:c>
      <x:c r="AC1963" s="6" t="n">
        <x:v>1</x:v>
      </x:c>
    </x:row>
    <x:row r="1964">
      <x:c r="A1964" s="6" t="n">
        <x:v>6355</x:v>
      </x:c>
      <x:c r="B1964" s="6" t="n">
        <x:v>1978</x:v>
      </x:c>
      <x:c r="C1964" s="6" t="str">
        <x:v>Graduation</x:v>
      </x:c>
      <x:c r="D1964" s="6" t="str">
        <x:v>Married</x:v>
      </x:c>
      <x:c r="E1964" s="6" t="n">
        <x:v>44359</x:v>
      </x:c>
      <x:c r="F1964" s="6" t="n">
        <x:v>1</x:v>
      </x:c>
      <x:c r="G1964" s="6" t="n">
        <x:v>1</x:v>
      </x:c>
      <x:c r="H1964" s="9" t="str">
        <x:v>17-06-2014</x:v>
      </x:c>
      <x:c r="I1964" s="6" t="n">
        <x:v>19</x:v>
      </x:c>
      <x:c r="J1964" s="6" t="n">
        <x:v>20</x:v>
      </x:c>
      <x:c r="K1964" s="6" t="n">
        <x:v>0</x:v>
      </x:c>
      <x:c r="L1964" s="6" t="n">
        <x:v>14</x:v>
      </x:c>
      <x:c r="M1964" s="6" t="n">
        <x:v>7</x:v>
      </x:c>
      <x:c r="N1964" s="6" t="n">
        <x:v>3</x:v>
      </x:c>
      <x:c r="O1964" s="6" t="n">
        <x:v>1</x:v>
      </x:c>
      <x:c r="P1964" s="6" t="n">
        <x:v>3</x:v>
      </x:c>
      <x:c r="Q1964" s="6" t="n">
        <x:v>2</x:v>
      </x:c>
      <x:c r="R1964" s="6" t="n">
        <x:v>0</x:v>
      </x:c>
      <x:c r="S1964" s="6" t="n">
        <x:v>4</x:v>
      </x:c>
      <x:c r="T1964" s="6" t="n">
        <x:v>3</x:v>
      </x:c>
      <x:c r="U1964" s="6" t="n">
        <x:v>0</x:v>
      </x:c>
      <x:c r="V1964" s="6" t="n">
        <x:v>0</x:v>
      </x:c>
      <x:c r="W1964" s="6" t="n">
        <x:v>0</x:v>
      </x:c>
      <x:c r="X1964" s="6" t="n">
        <x:v>0</x:v>
      </x:c>
      <x:c r="Y1964" s="6" t="n">
        <x:v>0</x:v>
      </x:c>
      <x:c r="Z1964" s="6" t="n">
        <x:v>0</x:v>
      </x:c>
      <x:c r="AA1964" s="6" t="n">
        <x:v>3</x:v>
      </x:c>
      <x:c r="AB1964" s="6" t="n">
        <x:v>11</x:v>
      </x:c>
      <x:c r="AC1964" s="6" t="n">
        <x:v>0</x:v>
      </x:c>
    </x:row>
    <x:row r="1965">
      <x:c r="A1965" s="6" t="n">
        <x:v>3517</x:v>
      </x:c>
      <x:c r="B1965" s="6" t="n">
        <x:v>1952</x:v>
      </x:c>
      <x:c r="C1965" s="6" t="str">
        <x:v>Graduation</x:v>
      </x:c>
      <x:c r="D1965" s="6" t="str">
        <x:v>Single</x:v>
      </x:c>
      <x:c r="E1965" s="6" t="n">
        <x:v>40887</x:v>
      </x:c>
      <x:c r="F1965" s="6" t="n">
        <x:v>1</x:v>
      </x:c>
      <x:c r="G1965" s="6" t="n">
        <x:v>1</x:v>
      </x:c>
      <x:c r="H1965" s="9" t="str">
        <x:v>06-05-2013</x:v>
      </x:c>
      <x:c r="I1965" s="6" t="n">
        <x:v>32</x:v>
      </x:c>
      <x:c r="J1965" s="6" t="n">
        <x:v>50</x:v>
      </x:c>
      <x:c r="K1965" s="6" t="n">
        <x:v>4</x:v>
      </x:c>
      <x:c r="L1965" s="6" t="n">
        <x:v>44</x:v>
      </x:c>
      <x:c r="M1965" s="6" t="n">
        <x:v>10</x:v>
      </x:c>
      <x:c r="N1965" s="6" t="n">
        <x:v>10</x:v>
      </x:c>
      <x:c r="O1965" s="6" t="n">
        <x:v>43</x:v>
      </x:c>
      <x:c r="P1965" s="6" t="n">
        <x:v>3</x:v>
      </x:c>
      <x:c r="Q1965" s="6" t="n">
        <x:v>3</x:v>
      </x:c>
      <x:c r="R1965" s="6" t="n">
        <x:v>1</x:v>
      </x:c>
      <x:c r="S1965" s="6" t="n">
        <x:v>3</x:v>
      </x:c>
      <x:c r="T1965" s="6" t="n">
        <x:v>9</x:v>
      </x:c>
      <x:c r="U1965" s="6" t="n">
        <x:v>0</x:v>
      </x:c>
      <x:c r="V1965" s="6" t="n">
        <x:v>0</x:v>
      </x:c>
      <x:c r="W1965" s="6" t="n">
        <x:v>0</x:v>
      </x:c>
      <x:c r="X1965" s="6" t="n">
        <x:v>0</x:v>
      </x:c>
      <x:c r="Y1965" s="6" t="n">
        <x:v>0</x:v>
      </x:c>
      <x:c r="Z1965" s="6" t="n">
        <x:v>0</x:v>
      </x:c>
      <x:c r="AA1965" s="6" t="n">
        <x:v>3</x:v>
      </x:c>
      <x:c r="AB1965" s="6" t="n">
        <x:v>11</x:v>
      </x:c>
      <x:c r="AC1965" s="6" t="n">
        <x:v>1</x:v>
      </x:c>
    </x:row>
    <x:row r="1966">
      <x:c r="A1966" s="6" t="n">
        <x:v>1158</x:v>
      </x:c>
      <x:c r="B1966" s="6" t="n">
        <x:v>1966</x:v>
      </x:c>
      <x:c r="C1966" s="6" t="str">
        <x:v>Graduation</x:v>
      </x:c>
      <x:c r="D1966" s="6" t="str">
        <x:v>Divorced</x:v>
      </x:c>
      <x:c r="E1966" s="6" t="n">
        <x:v>48877</x:v>
      </x:c>
      <x:c r="F1966" s="6" t="n">
        <x:v>0</x:v>
      </x:c>
      <x:c r="G1966" s="6" t="n">
        <x:v>1</x:v>
      </x:c>
      <x:c r="H1966" s="9" t="str">
        <x:v>05-01-2014</x:v>
      </x:c>
      <x:c r="I1966" s="6" t="n">
        <x:v>27</x:v>
      </x:c>
      <x:c r="J1966" s="6" t="n">
        <x:v>102</x:v>
      </x:c>
      <x:c r="K1966" s="6" t="n">
        <x:v>1</x:v>
      </x:c>
      <x:c r="L1966" s="6" t="n">
        <x:v>15</x:v>
      </x:c>
      <x:c r="M1966" s="6" t="n">
        <x:v>2</x:v>
      </x:c>
      <x:c r="N1966" s="6" t="n">
        <x:v>0</x:v>
      </x:c>
      <x:c r="O1966" s="6" t="n">
        <x:v>24</x:v>
      </x:c>
      <x:c r="P1966" s="6" t="n">
        <x:v>1</x:v>
      </x:c>
      <x:c r="Q1966" s="6" t="n">
        <x:v>3</x:v>
      </x:c>
      <x:c r="R1966" s="6" t="n">
        <x:v>0</x:v>
      </x:c>
      <x:c r="S1966" s="6" t="n">
        <x:v>4</x:v>
      </x:c>
      <x:c r="T1966" s="6" t="n">
        <x:v>7</x:v>
      </x:c>
      <x:c r="U1966" s="6" t="n">
        <x:v>0</x:v>
      </x:c>
      <x:c r="V1966" s="6" t="n">
        <x:v>0</x:v>
      </x:c>
      <x:c r="W1966" s="6" t="n">
        <x:v>0</x:v>
      </x:c>
      <x:c r="X1966" s="6" t="n">
        <x:v>0</x:v>
      </x:c>
      <x:c r="Y1966" s="6" t="n">
        <x:v>0</x:v>
      </x:c>
      <x:c r="Z1966" s="6" t="n">
        <x:v>0</x:v>
      </x:c>
      <x:c r="AA1966" s="6" t="n">
        <x:v>3</x:v>
      </x:c>
      <x:c r="AB1966" s="6" t="n">
        <x:v>11</x:v>
      </x:c>
      <x:c r="AC1966" s="6" t="n">
        <x:v>0</x:v>
      </x:c>
    </x:row>
    <x:row r="1967">
      <x:c r="A1967" s="6" t="n">
        <x:v>6203</x:v>
      </x:c>
      <x:c r="B1967" s="6" t="n">
        <x:v>1947</x:v>
      </x:c>
      <x:c r="C1967" s="6" t="str">
        <x:v>Graduation</x:v>
      </x:c>
      <x:c r="D1967" s="6" t="str">
        <x:v>Together</x:v>
      </x:c>
      <x:c r="E1967" s="6" t="n">
        <x:v>74485</x:v>
      </x:c>
      <x:c r="F1967" s="6" t="n">
        <x:v>0</x:v>
      </x:c>
      <x:c r="G1967" s="6" t="n">
        <x:v>0</x:v>
      </x:c>
      <x:c r="H1967" s="9" t="str">
        <x:v>24-08-2013</x:v>
      </x:c>
      <x:c r="I1967" s="6" t="n">
        <x:v>58</x:v>
      </x:c>
      <x:c r="J1967" s="6" t="n">
        <x:v>499</x:v>
      </x:c>
      <x:c r="K1967" s="6" t="n">
        <x:v>149</x:v>
      </x:c>
      <x:c r="L1967" s="6" t="n">
        <x:v>815</x:v>
      </x:c>
      <x:c r="M1967" s="6" t="n">
        <x:v>173</x:v>
      </x:c>
      <x:c r="N1967" s="6" t="n">
        <x:v>49</x:v>
      </x:c>
      <x:c r="O1967" s="6" t="n">
        <x:v>49</x:v>
      </x:c>
      <x:c r="P1967" s="6" t="n">
        <x:v>1</x:v>
      </x:c>
      <x:c r="Q1967" s="6" t="n">
        <x:v>6</x:v>
      </x:c>
      <x:c r="R1967" s="6" t="n">
        <x:v>7</x:v>
      </x:c>
      <x:c r="S1967" s="6" t="n">
        <x:v>12</x:v>
      </x:c>
      <x:c r="T1967" s="6" t="n">
        <x:v>3</x:v>
      </x:c>
      <x:c r="U1967" s="6" t="n">
        <x:v>0</x:v>
      </x:c>
      <x:c r="V1967" s="6" t="n">
        <x:v>0</x:v>
      </x:c>
      <x:c r="W1967" s="6" t="n">
        <x:v>0</x:v>
      </x:c>
      <x:c r="X1967" s="6" t="n">
        <x:v>0</x:v>
      </x:c>
      <x:c r="Y1967" s="6" t="n">
        <x:v>0</x:v>
      </x:c>
      <x:c r="Z1967" s="6" t="n">
        <x:v>0</x:v>
      </x:c>
      <x:c r="AA1967" s="6" t="n">
        <x:v>3</x:v>
      </x:c>
      <x:c r="AB1967" s="6" t="n">
        <x:v>11</x:v>
      </x:c>
      <x:c r="AC1967" s="6" t="n">
        <x:v>0</x:v>
      </x:c>
    </x:row>
    <x:row r="1968">
      <x:c r="A1968" s="6" t="n">
        <x:v>7165</x:v>
      </x:c>
      <x:c r="B1968" s="6" t="n">
        <x:v>1972</x:v>
      </x:c>
      <x:c r="C1968" s="6" t="str">
        <x:v>Graduation</x:v>
      </x:c>
      <x:c r="D1968" s="6" t="str">
        <x:v>Together</x:v>
      </x:c>
      <x:c r="E1968" s="6" t="n">
        <x:v>64474</x:v>
      </x:c>
      <x:c r="F1968" s="6" t="n">
        <x:v>0</x:v>
      </x:c>
      <x:c r="G1968" s="6" t="n">
        <x:v>1</x:v>
      </x:c>
      <x:c r="H1968" s="9" t="str">
        <x:v>22-10-2013</x:v>
      </x:c>
      <x:c r="I1968" s="6" t="n">
        <x:v>59</x:v>
      </x:c>
      <x:c r="J1968" s="6" t="n">
        <x:v>381</x:v>
      </x:c>
      <x:c r="K1968" s="6" t="n">
        <x:v>35</x:v>
      </x:c>
      <x:c r="L1968" s="6" t="n">
        <x:v>172</x:v>
      </x:c>
      <x:c r="M1968" s="6" t="n">
        <x:v>56</x:v>
      </x:c>
      <x:c r="N1968" s="6" t="n">
        <x:v>86</x:v>
      </x:c>
      <x:c r="O1968" s="6" t="n">
        <x:v>93</x:v>
      </x:c>
      <x:c r="P1968" s="6" t="n">
        <x:v>2</x:v>
      </x:c>
      <x:c r="Q1968" s="6" t="n">
        <x:v>8</x:v>
      </x:c>
      <x:c r="R1968" s="6" t="n">
        <x:v>2</x:v>
      </x:c>
      <x:c r="S1968" s="6" t="n">
        <x:v>10</x:v>
      </x:c>
      <x:c r="T1968" s="6" t="n">
        <x:v>5</x:v>
      </x:c>
      <x:c r="U1968" s="6" t="n">
        <x:v>0</x:v>
      </x:c>
      <x:c r="V1968" s="6" t="n">
        <x:v>0</x:v>
      </x:c>
      <x:c r="W1968" s="6" t="n">
        <x:v>0</x:v>
      </x:c>
      <x:c r="X1968" s="6" t="n">
        <x:v>0</x:v>
      </x:c>
      <x:c r="Y1968" s="6" t="n">
        <x:v>0</x:v>
      </x:c>
      <x:c r="Z1968" s="6" t="n">
        <x:v>0</x:v>
      </x:c>
      <x:c r="AA1968" s="6" t="n">
        <x:v>3</x:v>
      </x:c>
      <x:c r="AB1968" s="6" t="n">
        <x:v>11</x:v>
      </x:c>
      <x:c r="AC1968" s="6" t="n">
        <x:v>0</x:v>
      </x:c>
    </x:row>
    <x:row r="1969">
      <x:c r="A1969" s="6" t="n">
        <x:v>3595</x:v>
      </x:c>
      <x:c r="B1969" s="6" t="n">
        <x:v>1963</x:v>
      </x:c>
      <x:c r="C1969" s="6" t="str">
        <x:v>Graduation</x:v>
      </x:c>
      <x:c r="D1969" s="6" t="str">
        <x:v>Together</x:v>
      </x:c>
      <x:c r="E1969" s="6" t="n">
        <x:v>77226</x:v>
      </x:c>
      <x:c r="F1969" s="6" t="n">
        <x:v>0</x:v>
      </x:c>
      <x:c r="G1969" s="6" t="n">
        <x:v>1</x:v>
      </x:c>
      <x:c r="H1969" s="9" t="str">
        <x:v>28-02-2014</x:v>
      </x:c>
      <x:c r="I1969" s="6" t="n">
        <x:v>29</x:v>
      </x:c>
      <x:c r="J1969" s="6" t="n">
        <x:v>631</x:v>
      </x:c>
      <x:c r="K1969" s="6" t="n">
        <x:v>43</x:v>
      </x:c>
      <x:c r="L1969" s="6" t="n">
        <x:v>239</x:v>
      </x:c>
      <x:c r="M1969" s="6" t="n">
        <x:v>128</x:v>
      </x:c>
      <x:c r="N1969" s="6" t="n">
        <x:v>76</x:v>
      </x:c>
      <x:c r="O1969" s="6" t="n">
        <x:v>21</x:v>
      </x:c>
      <x:c r="P1969" s="6" t="n">
        <x:v>2</x:v>
      </x:c>
      <x:c r="Q1969" s="6" t="n">
        <x:v>6</x:v>
      </x:c>
      <x:c r="R1969" s="6" t="n">
        <x:v>8</x:v>
      </x:c>
      <x:c r="S1969" s="6" t="n">
        <x:v>12</x:v>
      </x:c>
      <x:c r="T1969" s="6" t="n">
        <x:v>3</x:v>
      </x:c>
      <x:c r="U1969" s="6" t="n">
        <x:v>0</x:v>
      </x:c>
      <x:c r="V1969" s="6" t="n">
        <x:v>0</x:v>
      </x:c>
      <x:c r="W1969" s="6" t="n">
        <x:v>0</x:v>
      </x:c>
      <x:c r="X1969" s="6" t="n">
        <x:v>0</x:v>
      </x:c>
      <x:c r="Y1969" s="6" t="n">
        <x:v>0</x:v>
      </x:c>
      <x:c r="Z1969" s="6" t="n">
        <x:v>0</x:v>
      </x:c>
      <x:c r="AA1969" s="6" t="n">
        <x:v>3</x:v>
      </x:c>
      <x:c r="AB1969" s="6" t="n">
        <x:v>11</x:v>
      </x:c>
      <x:c r="AC1969" s="6" t="n">
        <x:v>0</x:v>
      </x:c>
    </x:row>
    <x:row r="1970">
      <x:c r="A1970" s="6" t="n">
        <x:v>8537</x:v>
      </x:c>
      <x:c r="B1970" s="6" t="n">
        <x:v>1949</x:v>
      </x:c>
      <x:c r="C1970" s="6" t="str">
        <x:v>Graduation</x:v>
      </x:c>
      <x:c r="D1970" s="6" t="str">
        <x:v>Widow</x:v>
      </x:c>
      <x:c r="E1970" s="6" t="n">
        <x:v>72643</x:v>
      </x:c>
      <x:c r="F1970" s="6" t="n">
        <x:v>0</x:v>
      </x:c>
      <x:c r="G1970" s="6" t="n">
        <x:v>0</x:v>
      </x:c>
      <x:c r="H1970" s="9" t="str">
        <x:v>27-02-2013</x:v>
      </x:c>
      <x:c r="I1970" s="6" t="n">
        <x:v>60</x:v>
      </x:c>
      <x:c r="J1970" s="6" t="n">
        <x:v>526</x:v>
      </x:c>
      <x:c r="K1970" s="6" t="n">
        <x:v>80</x:v>
      </x:c>
      <x:c r="L1970" s="6" t="n">
        <x:v>553</x:v>
      </x:c>
      <x:c r="M1970" s="6" t="n">
        <x:v>123</x:v>
      </x:c>
      <x:c r="N1970" s="6" t="n">
        <x:v>94</x:v>
      </x:c>
      <x:c r="O1970" s="6" t="n">
        <x:v>53</x:v>
      </x:c>
      <x:c r="P1970" s="6" t="n">
        <x:v>1</x:v>
      </x:c>
      <x:c r="Q1970" s="6" t="n">
        <x:v>3</x:v>
      </x:c>
      <x:c r="R1970" s="6" t="n">
        <x:v>10</x:v>
      </x:c>
      <x:c r="S1970" s="6" t="n">
        <x:v>7</x:v>
      </x:c>
      <x:c r="T1970" s="6" t="n">
        <x:v>2</x:v>
      </x:c>
      <x:c r="U1970" s="6" t="n">
        <x:v>0</x:v>
      </x:c>
      <x:c r="V1970" s="6" t="n">
        <x:v>0</x:v>
      </x:c>
      <x:c r="W1970" s="6" t="n">
        <x:v>0</x:v>
      </x:c>
      <x:c r="X1970" s="6" t="n">
        <x:v>1</x:v>
      </x:c>
      <x:c r="Y1970" s="6" t="n">
        <x:v>0</x:v>
      </x:c>
      <x:c r="Z1970" s="6" t="n">
        <x:v>0</x:v>
      </x:c>
      <x:c r="AA1970" s="6" t="n">
        <x:v>3</x:v>
      </x:c>
      <x:c r="AB1970" s="6" t="n">
        <x:v>11</x:v>
      </x:c>
      <x:c r="AC1970" s="6" t="n">
        <x:v>1</x:v>
      </x:c>
    </x:row>
    <x:row r="1971">
      <x:c r="A1971" s="6" t="n">
        <x:v>4331</x:v>
      </x:c>
      <x:c r="B1971" s="6" t="n">
        <x:v>1978</x:v>
      </x:c>
      <x:c r="C1971" s="6" t="str">
        <x:v>Master</x:v>
      </x:c>
      <x:c r="D1971" s="6" t="str">
        <x:v>Together</x:v>
      </x:c>
      <x:c r="E1971" s="6" t="n">
        <x:v>85738</x:v>
      </x:c>
      <x:c r="F1971" s="6" t="n">
        <x:v>0</x:v>
      </x:c>
      <x:c r="G1971" s="6" t="n">
        <x:v>0</x:v>
      </x:c>
      <x:c r="H1971" s="9" t="str">
        <x:v>23-01-2014</x:v>
      </x:c>
      <x:c r="I1971" s="6" t="n">
        <x:v>41</x:v>
      </x:c>
      <x:c r="J1971" s="6" t="n">
        <x:v>913</x:v>
      </x:c>
      <x:c r="K1971" s="6" t="n">
        <x:v>26</x:v>
      </x:c>
      <x:c r="L1971" s="6" t="n">
        <x:v>376</x:v>
      </x:c>
      <x:c r="M1971" s="6" t="n">
        <x:v>17</x:v>
      </x:c>
      <x:c r="N1971" s="6" t="n">
        <x:v>26</x:v>
      </x:c>
      <x:c r="O1971" s="6" t="n">
        <x:v>13</x:v>
      </x:c>
      <x:c r="P1971" s="6" t="n">
        <x:v>1</x:v>
      </x:c>
      <x:c r="Q1971" s="6" t="n">
        <x:v>3</x:v>
      </x:c>
      <x:c r="R1971" s="6" t="n">
        <x:v>6</x:v>
      </x:c>
      <x:c r="S1971" s="6" t="n">
        <x:v>11</x:v>
      </x:c>
      <x:c r="T1971" s="6" t="n">
        <x:v>1</x:v>
      </x:c>
      <x:c r="U1971" s="6" t="n">
        <x:v>0</x:v>
      </x:c>
      <x:c r="V1971" s="6" t="n">
        <x:v>1</x:v>
      </x:c>
      <x:c r="W1971" s="6" t="n">
        <x:v>1</x:v>
      </x:c>
      <x:c r="X1971" s="6" t="n">
        <x:v>0</x:v>
      </x:c>
      <x:c r="Y1971" s="6" t="n">
        <x:v>0</x:v>
      </x:c>
      <x:c r="Z1971" s="6" t="n">
        <x:v>0</x:v>
      </x:c>
      <x:c r="AA1971" s="6" t="n">
        <x:v>3</x:v>
      </x:c>
      <x:c r="AB1971" s="6" t="n">
        <x:v>11</x:v>
      </x:c>
      <x:c r="AC1971" s="6" t="n">
        <x:v>0</x:v>
      </x:c>
    </x:row>
    <x:row r="1972">
      <x:c r="A1972" s="6" t="n">
        <x:v>6281</x:v>
      </x:c>
      <x:c r="B1972" s="6" t="n">
        <x:v>1966</x:v>
      </x:c>
      <x:c r="C1972" s="6" t="str">
        <x:v>Graduation</x:v>
      </x:c>
      <x:c r="D1972" s="6" t="str">
        <x:v>Divorced</x:v>
      </x:c>
      <x:c r="E1972" s="6" t="n">
        <x:v>55686</x:v>
      </x:c>
      <x:c r="F1972" s="6" t="n">
        <x:v>0</x:v>
      </x:c>
      <x:c r="G1972" s="6" t="n">
        <x:v>1</x:v>
      </x:c>
      <x:c r="H1972" s="9" t="str">
        <x:v>14-02-2013</x:v>
      </x:c>
      <x:c r="I1972" s="6" t="n">
        <x:v>27</x:v>
      </x:c>
      <x:c r="J1972" s="6" t="n">
        <x:v>673</x:v>
      </x:c>
      <x:c r="K1972" s="6" t="n">
        <x:v>0</x:v>
      </x:c>
      <x:c r="L1972" s="6" t="n">
        <x:v>199</x:v>
      </x:c>
      <x:c r="M1972" s="6" t="n">
        <x:v>37</x:v>
      </x:c>
      <x:c r="N1972" s="6" t="n">
        <x:v>47</x:v>
      </x:c>
      <x:c r="O1972" s="6" t="n">
        <x:v>26</x:v>
      </x:c>
      <x:c r="P1972" s="6" t="n">
        <x:v>2</x:v>
      </x:c>
      <x:c r="Q1972" s="6" t="n">
        <x:v>6</x:v>
      </x:c>
      <x:c r="R1972" s="6" t="n">
        <x:v>3</x:v>
      </x:c>
      <x:c r="S1972" s="6" t="n">
        <x:v>5</x:v>
      </x:c>
      <x:c r="T1972" s="6" t="n">
        <x:v>4</x:v>
      </x:c>
      <x:c r="U1972" s="6" t="n">
        <x:v>1</x:v>
      </x:c>
      <x:c r="V1972" s="6" t="n">
        <x:v>0</x:v>
      </x:c>
      <x:c r="W1972" s="6" t="n">
        <x:v>0</x:v>
      </x:c>
      <x:c r="X1972" s="6" t="n">
        <x:v>0</x:v>
      </x:c>
      <x:c r="Y1972" s="6" t="n">
        <x:v>0</x:v>
      </x:c>
      <x:c r="Z1972" s="6" t="n">
        <x:v>0</x:v>
      </x:c>
      <x:c r="AA1972" s="6" t="n">
        <x:v>3</x:v>
      </x:c>
      <x:c r="AB1972" s="6" t="n">
        <x:v>11</x:v>
      </x:c>
      <x:c r="AC1972" s="6" t="n">
        <x:v>0</x:v>
      </x:c>
    </x:row>
    <x:row r="1973">
      <x:c r="A1973" s="6" t="n">
        <x:v>4338</x:v>
      </x:c>
      <x:c r="B1973" s="6" t="n">
        <x:v>1983</x:v>
      </x:c>
      <x:c r="C1973" s="6" t="str">
        <x:v>Graduation</x:v>
      </x:c>
      <x:c r="D1973" s="6" t="str">
        <x:v>Single</x:v>
      </x:c>
      <x:c r="E1973" s="6" t="n">
        <x:v>39062</x:v>
      </x:c>
      <x:c r="F1973" s="6" t="n">
        <x:v>1</x:v>
      </x:c>
      <x:c r="G1973" s="6" t="n">
        <x:v>0</x:v>
      </x:c>
      <x:c r="H1973" s="9" t="str">
        <x:v>25-03-2014</x:v>
      </x:c>
      <x:c r="I1973" s="6" t="n">
        <x:v>28</x:v>
      </x:c>
      <x:c r="J1973" s="6" t="n">
        <x:v>23</x:v>
      </x:c>
      <x:c r="K1973" s="6" t="n">
        <x:v>0</x:v>
      </x:c>
      <x:c r="L1973" s="6" t="n">
        <x:v>9</x:v>
      </x:c>
      <x:c r="M1973" s="6" t="n">
        <x:v>0</x:v>
      </x:c>
      <x:c r="N1973" s="6" t="n">
        <x:v>0</x:v>
      </x:c>
      <x:c r="O1973" s="6" t="n">
        <x:v>12</x:v>
      </x:c>
      <x:c r="P1973" s="6" t="n">
        <x:v>1</x:v>
      </x:c>
      <x:c r="Q1973" s="6" t="n">
        <x:v>1</x:v>
      </x:c>
      <x:c r="R1973" s="6" t="n">
        <x:v>0</x:v>
      </x:c>
      <x:c r="S1973" s="6" t="n">
        <x:v>3</x:v>
      </x:c>
      <x:c r="T1973" s="6" t="n">
        <x:v>4</x:v>
      </x:c>
      <x:c r="U1973" s="6" t="n">
        <x:v>1</x:v>
      </x:c>
      <x:c r="V1973" s="6" t="n">
        <x:v>0</x:v>
      </x:c>
      <x:c r="W1973" s="6" t="n">
        <x:v>0</x:v>
      </x:c>
      <x:c r="X1973" s="6" t="n">
        <x:v>0</x:v>
      </x:c>
      <x:c r="Y1973" s="6" t="n">
        <x:v>0</x:v>
      </x:c>
      <x:c r="Z1973" s="6" t="n">
        <x:v>0</x:v>
      </x:c>
      <x:c r="AA1973" s="6" t="n">
        <x:v>3</x:v>
      </x:c>
      <x:c r="AB1973" s="6" t="n">
        <x:v>11</x:v>
      </x:c>
      <x:c r="AC1973" s="6" t="n">
        <x:v>0</x:v>
      </x:c>
    </x:row>
    <x:row r="1974">
      <x:c r="A1974" s="6" t="n">
        <x:v>2452</x:v>
      </x:c>
      <x:c r="B1974" s="6" t="n">
        <x:v>1971</x:v>
      </x:c>
      <x:c r="C1974" s="6" t="str">
        <x:v>Graduation</x:v>
      </x:c>
      <x:c r="D1974" s="6" t="str">
        <x:v>Together</x:v>
      </x:c>
      <x:c r="E1974" s="6" t="n">
        <x:v>34600</x:v>
      </x:c>
      <x:c r="F1974" s="6" t="n">
        <x:v>1</x:v>
      </x:c>
      <x:c r="G1974" s="6" t="n">
        <x:v>1</x:v>
      </x:c>
      <x:c r="H1974" s="9" t="str">
        <x:v>01-01-2013</x:v>
      </x:c>
      <x:c r="I1974" s="6" t="n">
        <x:v>8</x:v>
      </x:c>
      <x:c r="J1974" s="6" t="n">
        <x:v>199</x:v>
      </x:c>
      <x:c r="K1974" s="6" t="n">
        <x:v>33</x:v>
      </x:c>
      <x:c r="L1974" s="6" t="n">
        <x:v>60</x:v>
      </x:c>
      <x:c r="M1974" s="6" t="n">
        <x:v>8</x:v>
      </x:c>
      <x:c r="N1974" s="6" t="n">
        <x:v>3</x:v>
      </x:c>
      <x:c r="O1974" s="6" t="n">
        <x:v>15</x:v>
      </x:c>
      <x:c r="P1974" s="6" t="n">
        <x:v>5</x:v>
      </x:c>
      <x:c r="Q1974" s="6" t="n">
        <x:v>5</x:v>
      </x:c>
      <x:c r="R1974" s="6" t="n">
        <x:v>2</x:v>
      </x:c>
      <x:c r="S1974" s="6" t="n">
        <x:v>5</x:v>
      </x:c>
      <x:c r="T1974" s="6" t="n">
        <x:v>8</x:v>
      </x:c>
      <x:c r="U1974" s="6" t="n">
        <x:v>0</x:v>
      </x:c>
      <x:c r="V1974" s="6" t="n">
        <x:v>0</x:v>
      </x:c>
      <x:c r="W1974" s="6" t="n">
        <x:v>0</x:v>
      </x:c>
      <x:c r="X1974" s="6" t="n">
        <x:v>0</x:v>
      </x:c>
      <x:c r="Y1974" s="6" t="n">
        <x:v>0</x:v>
      </x:c>
      <x:c r="Z1974" s="6" t="n">
        <x:v>0</x:v>
      </x:c>
      <x:c r="AA1974" s="6" t="n">
        <x:v>3</x:v>
      </x:c>
      <x:c r="AB1974" s="6" t="n">
        <x:v>11</x:v>
      </x:c>
      <x:c r="AC1974" s="6" t="n">
        <x:v>1</x:v>
      </x:c>
    </x:row>
    <x:row r="1975">
      <x:c r="A1975" s="6" t="n">
        <x:v>9507</x:v>
      </x:c>
      <x:c r="B1975" s="6" t="n">
        <x:v>1975</x:v>
      </x:c>
      <x:c r="C1975" s="6" t="str">
        <x:v>Graduation</x:v>
      </x:c>
      <x:c r="D1975" s="6" t="str">
        <x:v>Married</x:v>
      </x:c>
      <x:c r="E1975" s="6" t="n">
        <x:v>40794</x:v>
      </x:c>
      <x:c r="F1975" s="6" t="n">
        <x:v>0</x:v>
      </x:c>
      <x:c r="G1975" s="6" t="n">
        <x:v>1</x:v>
      </x:c>
      <x:c r="H1975" s="9" t="str">
        <x:v>07-04-2013</x:v>
      </x:c>
      <x:c r="I1975" s="6" t="n">
        <x:v>18</x:v>
      </x:c>
      <x:c r="J1975" s="6" t="n">
        <x:v>261</x:v>
      </x:c>
      <x:c r="K1975" s="6" t="n">
        <x:v>23</x:v>
      </x:c>
      <x:c r="L1975" s="6" t="n">
        <x:v>73</x:v>
      </x:c>
      <x:c r="M1975" s="6" t="n">
        <x:v>4</x:v>
      </x:c>
      <x:c r="N1975" s="6" t="n">
        <x:v>23</x:v>
      </x:c>
      <x:c r="O1975" s="6" t="n">
        <x:v>50</x:v>
      </x:c>
      <x:c r="P1975" s="6" t="n">
        <x:v>2</x:v>
      </x:c>
      <x:c r="Q1975" s="6" t="n">
        <x:v>6</x:v>
      </x:c>
      <x:c r="R1975" s="6" t="n">
        <x:v>3</x:v>
      </x:c>
      <x:c r="S1975" s="6" t="n">
        <x:v>5</x:v>
      </x:c>
      <x:c r="T1975" s="6" t="n">
        <x:v>7</x:v>
      </x:c>
      <x:c r="U1975" s="6" t="n">
        <x:v>0</x:v>
      </x:c>
      <x:c r="V1975" s="6" t="n">
        <x:v>0</x:v>
      </x:c>
      <x:c r="W1975" s="6" t="n">
        <x:v>0</x:v>
      </x:c>
      <x:c r="X1975" s="6" t="n">
        <x:v>0</x:v>
      </x:c>
      <x:c r="Y1975" s="6" t="n">
        <x:v>0</x:v>
      </x:c>
      <x:c r="Z1975" s="6" t="n">
        <x:v>0</x:v>
      </x:c>
      <x:c r="AA1975" s="6" t="n">
        <x:v>3</x:v>
      </x:c>
      <x:c r="AB1975" s="6" t="n">
        <x:v>11</x:v>
      </x:c>
      <x:c r="AC1975" s="6" t="n">
        <x:v>0</x:v>
      </x:c>
    </x:row>
    <x:row r="1976">
      <x:c r="A1976" s="6" t="n">
        <x:v>8360</x:v>
      </x:c>
      <x:c r="B1976" s="6" t="n">
        <x:v>1971</x:v>
      </x:c>
      <x:c r="C1976" s="6" t="str">
        <x:v>2n Cycle</x:v>
      </x:c>
      <x:c r="D1976" s="6" t="str">
        <x:v>Married</x:v>
      </x:c>
      <x:c r="E1976" s="6" t="n">
        <x:v>54690</x:v>
      </x:c>
      <x:c r="F1976" s="6" t="n">
        <x:v>1</x:v>
      </x:c>
      <x:c r="G1976" s="6" t="n">
        <x:v>1</x:v>
      </x:c>
      <x:c r="H1976" s="9" t="str">
        <x:v>07-11-2013</x:v>
      </x:c>
      <x:c r="I1976" s="6" t="n">
        <x:v>76</x:v>
      </x:c>
      <x:c r="J1976" s="6" t="n">
        <x:v>111</x:v>
      </x:c>
      <x:c r="K1976" s="6" t="n">
        <x:v>16</x:v>
      </x:c>
      <x:c r="L1976" s="6" t="n">
        <x:v>37</x:v>
      </x:c>
      <x:c r="M1976" s="6" t="n">
        <x:v>7</x:v>
      </x:c>
      <x:c r="N1976" s="6" t="n">
        <x:v>9</x:v>
      </x:c>
      <x:c r="O1976" s="6" t="n">
        <x:v>18</x:v>
      </x:c>
      <x:c r="P1976" s="6" t="n">
        <x:v>3</x:v>
      </x:c>
      <x:c r="Q1976" s="6" t="n">
        <x:v>3</x:v>
      </x:c>
      <x:c r="R1976" s="6" t="n">
        <x:v>1</x:v>
      </x:c>
      <x:c r="S1976" s="6" t="n">
        <x:v>5</x:v>
      </x:c>
      <x:c r="T1976" s="6" t="n">
        <x:v>3</x:v>
      </x:c>
      <x:c r="U1976" s="6" t="n">
        <x:v>0</x:v>
      </x:c>
      <x:c r="V1976" s="6" t="n">
        <x:v>0</x:v>
      </x:c>
      <x:c r="W1976" s="6" t="n">
        <x:v>0</x:v>
      </x:c>
      <x:c r="X1976" s="6" t="n">
        <x:v>0</x:v>
      </x:c>
      <x:c r="Y1976" s="6" t="n">
        <x:v>0</x:v>
      </x:c>
      <x:c r="Z1976" s="6" t="n">
        <x:v>0</x:v>
      </x:c>
      <x:c r="AA1976" s="6" t="n">
        <x:v>3</x:v>
      </x:c>
      <x:c r="AB1976" s="6" t="n">
        <x:v>11</x:v>
      </x:c>
      <x:c r="AC1976" s="6" t="n">
        <x:v>0</x:v>
      </x:c>
    </x:row>
    <x:row r="1977">
      <x:c r="A1977" s="6" t="n">
        <x:v>10311</x:v>
      </x:c>
      <x:c r="B1977" s="6" t="n">
        <x:v>1969</x:v>
      </x:c>
      <x:c r="C1977" s="6" t="str">
        <x:v>Graduation</x:v>
      </x:c>
      <x:c r="D1977" s="6" t="str">
        <x:v>Married</x:v>
      </x:c>
      <x:c r="E1977" s="6" t="n">
        <x:v>4428</x:v>
      </x:c>
      <x:c r="F1977" s="6" t="n">
        <x:v>0</x:v>
      </x:c>
      <x:c r="G1977" s="6" t="n">
        <x:v>1</x:v>
      </x:c>
      <x:c r="H1977" s="9" t="str">
        <x:v>05-10-2013</x:v>
      </x:c>
      <x:c r="I1977" s="6" t="n">
        <x:v>0</x:v>
      </x:c>
      <x:c r="J1977" s="6" t="n">
        <x:v>16</x:v>
      </x:c>
      <x:c r="K1977" s="6" t="n">
        <x:v>4</x:v>
      </x:c>
      <x:c r="L1977" s="6" t="n">
        <x:v>12</x:v>
      </x:c>
      <x:c r="M1977" s="6" t="n">
        <x:v>2</x:v>
      </x:c>
      <x:c r="N1977" s="6" t="n">
        <x:v>4</x:v>
      </x:c>
      <x:c r="O1977" s="6" t="n">
        <x:v>321</x:v>
      </x:c>
      <x:c r="P1977" s="6" t="n">
        <x:v>0</x:v>
      </x:c>
      <x:c r="Q1977" s="6" t="n">
        <x:v>25</x:v>
      </x:c>
      <x:c r="R1977" s="6" t="n">
        <x:v>0</x:v>
      </x:c>
      <x:c r="S1977" s="6" t="n">
        <x:v>0</x:v>
      </x:c>
      <x:c r="T1977" s="6" t="n">
        <x:v>1</x:v>
      </x:c>
      <x:c r="U1977" s="6" t="n">
        <x:v>0</x:v>
      </x:c>
      <x:c r="V1977" s="6" t="n">
        <x:v>0</x:v>
      </x:c>
      <x:c r="W1977" s="6" t="n">
        <x:v>0</x:v>
      </x:c>
      <x:c r="X1977" s="6" t="n">
        <x:v>0</x:v>
      </x:c>
      <x:c r="Y1977" s="6" t="n">
        <x:v>0</x:v>
      </x:c>
      <x:c r="Z1977" s="6" t="n">
        <x:v>0</x:v>
      </x:c>
      <x:c r="AA1977" s="6" t="n">
        <x:v>3</x:v>
      </x:c>
      <x:c r="AB1977" s="6" t="n">
        <x:v>11</x:v>
      </x:c>
      <x:c r="AC1977" s="6" t="n">
        <x:v>0</x:v>
      </x:c>
    </x:row>
    <x:row r="1978">
      <x:c r="A1978" s="6" t="n">
        <x:v>5117</x:v>
      </x:c>
      <x:c r="B1978" s="6" t="n">
        <x:v>1963</x:v>
      </x:c>
      <x:c r="C1978" s="6" t="str">
        <x:v>2n Cycle</x:v>
      </x:c>
      <x:c r="D1978" s="6" t="str">
        <x:v>Married</x:v>
      </x:c>
      <x:c r="E1978" s="6" t="n">
        <x:v>32632</x:v>
      </x:c>
      <x:c r="F1978" s="6" t="n">
        <x:v>0</x:v>
      </x:c>
      <x:c r="G1978" s="6" t="n">
        <x:v>0</x:v>
      </x:c>
      <x:c r="H1978" s="9" t="str">
        <x:v>02-08-2012</x:v>
      </x:c>
      <x:c r="I1978" s="6" t="n">
        <x:v>32</x:v>
      </x:c>
      <x:c r="J1978" s="6" t="n">
        <x:v>63</x:v>
      </x:c>
      <x:c r="K1978" s="6" t="n">
        <x:v>151</x:v>
      </x:c>
      <x:c r="L1978" s="6" t="n">
        <x:v>137</x:v>
      </x:c>
      <x:c r="M1978" s="6" t="n">
        <x:v>153</x:v>
      </x:c>
      <x:c r="N1978" s="6" t="n">
        <x:v>19</x:v>
      </x:c>
      <x:c r="O1978" s="6" t="n">
        <x:v>53</x:v>
      </x:c>
      <x:c r="P1978" s="6" t="n">
        <x:v>2</x:v>
      </x:c>
      <x:c r="Q1978" s="6" t="n">
        <x:v>4</x:v>
      </x:c>
      <x:c r="R1978" s="6" t="n">
        <x:v>4</x:v>
      </x:c>
      <x:c r="S1978" s="6" t="n">
        <x:v>8</x:v>
      </x:c>
      <x:c r="T1978" s="6" t="n">
        <x:v>5</x:v>
      </x:c>
      <x:c r="U1978" s="6" t="n">
        <x:v>0</x:v>
      </x:c>
      <x:c r="V1978" s="6" t="n">
        <x:v>0</x:v>
      </x:c>
      <x:c r="W1978" s="6" t="n">
        <x:v>0</x:v>
      </x:c>
      <x:c r="X1978" s="6" t="n">
        <x:v>0</x:v>
      </x:c>
      <x:c r="Y1978" s="6" t="n">
        <x:v>0</x:v>
      </x:c>
      <x:c r="Z1978" s="6" t="n">
        <x:v>0</x:v>
      </x:c>
      <x:c r="AA1978" s="6" t="n">
        <x:v>3</x:v>
      </x:c>
      <x:c r="AB1978" s="6" t="n">
        <x:v>11</x:v>
      </x:c>
      <x:c r="AC1978" s="6" t="n">
        <x:v>0</x:v>
      </x:c>
    </x:row>
    <x:row r="1979">
      <x:c r="A1979" s="6" t="n">
        <x:v>4867</x:v>
      </x:c>
      <x:c r="B1979" s="6" t="n">
        <x:v>1968</x:v>
      </x:c>
      <x:c r="C1979" s="6" t="str">
        <x:v>PhD</x:v>
      </x:c>
      <x:c r="D1979" s="6" t="str">
        <x:v>Single</x:v>
      </x:c>
      <x:c r="E1979" s="6" t="n">
        <x:v>38236</x:v>
      </x:c>
      <x:c r="F1979" s="6" t="n">
        <x:v>1</x:v>
      </x:c>
      <x:c r="G1979" s="6" t="n">
        <x:v>1</x:v>
      </x:c>
      <x:c r="H1979" s="9" t="str">
        <x:v>20-09-2013</x:v>
      </x:c>
      <x:c r="I1979" s="6" t="n">
        <x:v>2</x:v>
      </x:c>
      <x:c r="J1979" s="6" t="n">
        <x:v>58</x:v>
      </x:c>
      <x:c r="K1979" s="6" t="n">
        <x:v>0</x:v>
      </x:c>
      <x:c r="L1979" s="6" t="n">
        <x:v>18</x:v>
      </x:c>
      <x:c r="M1979" s="6" t="n">
        <x:v>2</x:v>
      </x:c>
      <x:c r="N1979" s="6" t="n">
        <x:v>0</x:v>
      </x:c>
      <x:c r="O1979" s="6" t="n">
        <x:v>10</x:v>
      </x:c>
      <x:c r="P1979" s="6" t="n">
        <x:v>4</x:v>
      </x:c>
      <x:c r="Q1979" s="6" t="n">
        <x:v>3</x:v>
      </x:c>
      <x:c r="R1979" s="6" t="n">
        <x:v>0</x:v>
      </x:c>
      <x:c r="S1979" s="6" t="n">
        <x:v>4</x:v>
      </x:c>
      <x:c r="T1979" s="6" t="n">
        <x:v>7</x:v>
      </x:c>
      <x:c r="U1979" s="6" t="n">
        <x:v>0</x:v>
      </x:c>
      <x:c r="V1979" s="6" t="n">
        <x:v>0</x:v>
      </x:c>
      <x:c r="W1979" s="6" t="n">
        <x:v>0</x:v>
      </x:c>
      <x:c r="X1979" s="6" t="n">
        <x:v>0</x:v>
      </x:c>
      <x:c r="Y1979" s="6" t="n">
        <x:v>0</x:v>
      </x:c>
      <x:c r="Z1979" s="6" t="n">
        <x:v>0</x:v>
      </x:c>
      <x:c r="AA1979" s="6" t="n">
        <x:v>3</x:v>
      </x:c>
      <x:c r="AB1979" s="6" t="n">
        <x:v>11</x:v>
      </x:c>
      <x:c r="AC1979" s="6" t="n">
        <x:v>0</x:v>
      </x:c>
    </x:row>
    <x:row r="1980">
      <x:c r="A1980" s="6" t="n">
        <x:v>9289</x:v>
      </x:c>
      <x:c r="B1980" s="6" t="n">
        <x:v>1979</x:v>
      </x:c>
      <x:c r="C1980" s="6" t="str">
        <x:v>Graduation</x:v>
      </x:c>
      <x:c r="D1980" s="6" t="str">
        <x:v>Married</x:v>
      </x:c>
      <x:c r="E1980" s="6" t="n">
        <x:v>36781</x:v>
      </x:c>
      <x:c r="F1980" s="6" t="n">
        <x:v>1</x:v>
      </x:c>
      <x:c r="G1980" s="6" t="n">
        <x:v>0</x:v>
      </x:c>
      <x:c r="H1980" s="9" t="str">
        <x:v>10-04-2014</x:v>
      </x:c>
      <x:c r="I1980" s="6" t="n">
        <x:v>16</x:v>
      </x:c>
      <x:c r="J1980" s="6" t="n">
        <x:v>29</x:v>
      </x:c>
      <x:c r="K1980" s="6" t="n">
        <x:v>1</x:v>
      </x:c>
      <x:c r="L1980" s="6" t="n">
        <x:v>17</x:v>
      </x:c>
      <x:c r="M1980" s="6" t="n">
        <x:v>0</x:v>
      </x:c>
      <x:c r="N1980" s="6" t="n">
        <x:v>3</x:v>
      </x:c>
      <x:c r="O1980" s="6" t="n">
        <x:v>13</x:v>
      </x:c>
      <x:c r="P1980" s="6" t="n">
        <x:v>1</x:v>
      </x:c>
      <x:c r="Q1980" s="6" t="n">
        <x:v>2</x:v>
      </x:c>
      <x:c r="R1980" s="6" t="n">
        <x:v>1</x:v>
      </x:c>
      <x:c r="S1980" s="6" t="n">
        <x:v>2</x:v>
      </x:c>
      <x:c r="T1980" s="6" t="n">
        <x:v>8</x:v>
      </x:c>
      <x:c r="U1980" s="6" t="n">
        <x:v>0</x:v>
      </x:c>
      <x:c r="V1980" s="6" t="n">
        <x:v>0</x:v>
      </x:c>
      <x:c r="W1980" s="6" t="n">
        <x:v>0</x:v>
      </x:c>
      <x:c r="X1980" s="6" t="n">
        <x:v>0</x:v>
      </x:c>
      <x:c r="Y1980" s="6" t="n">
        <x:v>0</x:v>
      </x:c>
      <x:c r="Z1980" s="6" t="n">
        <x:v>0</x:v>
      </x:c>
      <x:c r="AA1980" s="6" t="n">
        <x:v>3</x:v>
      </x:c>
      <x:c r="AB1980" s="6" t="n">
        <x:v>11</x:v>
      </x:c>
      <x:c r="AC1980" s="6" t="n">
        <x:v>1</x:v>
      </x:c>
    </x:row>
    <x:row r="1981">
      <x:c r="A1981" s="6" t="n">
        <x:v>10913</x:v>
      </x:c>
      <x:c r="B1981" s="6" t="n">
        <x:v>1984</x:v>
      </x:c>
      <x:c r="C1981" s="6" t="str">
        <x:v>Master</x:v>
      </x:c>
      <x:c r="D1981" s="6" t="str">
        <x:v>Single</x:v>
      </x:c>
      <x:c r="E1981" s="6" t="n">
        <x:v>31385</x:v>
      </x:c>
      <x:c r="F1981" s="6" t="n">
        <x:v>1</x:v>
      </x:c>
      <x:c r="G1981" s="6" t="n">
        <x:v>0</x:v>
      </x:c>
      <x:c r="H1981" s="9" t="str">
        <x:v>05-12-2012</x:v>
      </x:c>
      <x:c r="I1981" s="6" t="n">
        <x:v>56</x:v>
      </x:c>
      <x:c r="J1981" s="6" t="n">
        <x:v>3</x:v>
      </x:c>
      <x:c r="K1981" s="6" t="n">
        <x:v>2</x:v>
      </x:c>
      <x:c r="L1981" s="6" t="n">
        <x:v>12</x:v>
      </x:c>
      <x:c r="M1981" s="6" t="n">
        <x:v>0</x:v>
      </x:c>
      <x:c r="N1981" s="6" t="n">
        <x:v>1</x:v>
      </x:c>
      <x:c r="O1981" s="6" t="n">
        <x:v>9</x:v>
      </x:c>
      <x:c r="P1981" s="6" t="n">
        <x:v>1</x:v>
      </x:c>
      <x:c r="Q1981" s="6" t="n">
        <x:v>1</x:v>
      </x:c>
      <x:c r="R1981" s="6" t="n">
        <x:v>0</x:v>
      </x:c>
      <x:c r="S1981" s="6" t="n">
        <x:v>2</x:v>
      </x:c>
      <x:c r="T1981" s="6" t="n">
        <x:v>8</x:v>
      </x:c>
      <x:c r="U1981" s="6" t="n">
        <x:v>1</x:v>
      </x:c>
      <x:c r="V1981" s="6" t="n">
        <x:v>0</x:v>
      </x:c>
      <x:c r="W1981" s="6" t="n">
        <x:v>0</x:v>
      </x:c>
      <x:c r="X1981" s="6" t="n">
        <x:v>0</x:v>
      </x:c>
      <x:c r="Y1981" s="6" t="n">
        <x:v>0</x:v>
      </x:c>
      <x:c r="Z1981" s="6" t="n">
        <x:v>0</x:v>
      </x:c>
      <x:c r="AA1981" s="6" t="n">
        <x:v>3</x:v>
      </x:c>
      <x:c r="AB1981" s="6" t="n">
        <x:v>11</x:v>
      </x:c>
      <x:c r="AC1981" s="6" t="n">
        <x:v>1</x:v>
      </x:c>
    </x:row>
    <x:row r="1982">
      <x:c r="A1982" s="6" t="n">
        <x:v>3032</x:v>
      </x:c>
      <x:c r="B1982" s="6" t="n">
        <x:v>1984</x:v>
      </x:c>
      <x:c r="C1982" s="6" t="str">
        <x:v>Graduation</x:v>
      </x:c>
      <x:c r="D1982" s="6" t="str">
        <x:v>Married</x:v>
      </x:c>
      <x:c r="E1982" s="6" t="n">
        <x:v>24570</x:v>
      </x:c>
      <x:c r="F1982" s="6" t="n">
        <x:v>1</x:v>
      </x:c>
      <x:c r="G1982" s="6" t="n">
        <x:v>0</x:v>
      </x:c>
      <x:c r="H1982" s="9" t="str">
        <x:v>27-02-2013</x:v>
      </x:c>
      <x:c r="I1982" s="6" t="n">
        <x:v>97</x:v>
      </x:c>
      <x:c r="J1982" s="6" t="n">
        <x:v>28</x:v>
      </x:c>
      <x:c r="K1982" s="6" t="n">
        <x:v>34</x:v>
      </x:c>
      <x:c r="L1982" s="6" t="n">
        <x:v>62</x:v>
      </x:c>
      <x:c r="M1982" s="6" t="n">
        <x:v>11</x:v>
      </x:c>
      <x:c r="N1982" s="6" t="n">
        <x:v>14</x:v>
      </x:c>
      <x:c r="O1982" s="6" t="n">
        <x:v>44</x:v>
      </x:c>
      <x:c r="P1982" s="6" t="n">
        <x:v>3</x:v>
      </x:c>
      <x:c r="Q1982" s="6" t="n">
        <x:v>4</x:v>
      </x:c>
      <x:c r="R1982" s="6" t="n">
        <x:v>0</x:v>
      </x:c>
      <x:c r="S1982" s="6" t="n">
        <x:v>4</x:v>
      </x:c>
      <x:c r="T1982" s="6" t="n">
        <x:v>9</x:v>
      </x:c>
      <x:c r="U1982" s="6" t="n">
        <x:v>0</x:v>
      </x:c>
      <x:c r="V1982" s="6" t="n">
        <x:v>0</x:v>
      </x:c>
      <x:c r="W1982" s="6" t="n">
        <x:v>0</x:v>
      </x:c>
      <x:c r="X1982" s="6" t="n">
        <x:v>0</x:v>
      </x:c>
      <x:c r="Y1982" s="6" t="n">
        <x:v>0</x:v>
      </x:c>
      <x:c r="Z1982" s="6" t="n">
        <x:v>0</x:v>
      </x:c>
      <x:c r="AA1982" s="6" t="n">
        <x:v>3</x:v>
      </x:c>
      <x:c r="AB1982" s="6" t="n">
        <x:v>11</x:v>
      </x:c>
      <x:c r="AC1982" s="6" t="n">
        <x:v>0</x:v>
      </x:c>
    </x:row>
    <x:row r="1983">
      <x:c r="A1983" s="6" t="n">
        <x:v>8524</x:v>
      </x:c>
      <x:c r="B1983" s="6" t="n">
        <x:v>1974</x:v>
      </x:c>
      <x:c r="C1983" s="6" t="str">
        <x:v>PhD</x:v>
      </x:c>
      <x:c r="D1983" s="6" t="str">
        <x:v>Divorced</x:v>
      </x:c>
      <x:c r="E1983" s="6" t="n">
        <x:v>25509</x:v>
      </x:c>
      <x:c r="F1983" s="6" t="n">
        <x:v>1</x:v>
      </x:c>
      <x:c r="G1983" s="6" t="n">
        <x:v>0</x:v>
      </x:c>
      <x:c r="H1983" s="9" t="str">
        <x:v>18-09-2012</x:v>
      </x:c>
      <x:c r="I1983" s="6" t="n">
        <x:v>15</x:v>
      </x:c>
      <x:c r="J1983" s="6" t="n">
        <x:v>40</x:v>
      </x:c>
      <x:c r="K1983" s="6" t="n">
        <x:v>3</x:v>
      </x:c>
      <x:c r="L1983" s="6" t="n">
        <x:v>30</x:v>
      </x:c>
      <x:c r="M1983" s="6" t="n">
        <x:v>10</x:v>
      </x:c>
      <x:c r="N1983" s="6" t="n">
        <x:v>7</x:v>
      </x:c>
      <x:c r="O1983" s="6" t="n">
        <x:v>11</x:v>
      </x:c>
      <x:c r="P1983" s="6" t="n">
        <x:v>3</x:v>
      </x:c>
      <x:c r="Q1983" s="6" t="n">
        <x:v>3</x:v>
      </x:c>
      <x:c r="R1983" s="6" t="n">
        <x:v>0</x:v>
      </x:c>
      <x:c r="S1983" s="6" t="n">
        <x:v>3</x:v>
      </x:c>
      <x:c r="T1983" s="6" t="n">
        <x:v>9</x:v>
      </x:c>
      <x:c r="U1983" s="6" t="n">
        <x:v>0</x:v>
      </x:c>
      <x:c r="V1983" s="6" t="n">
        <x:v>0</x:v>
      </x:c>
      <x:c r="W1983" s="6" t="n">
        <x:v>0</x:v>
      </x:c>
      <x:c r="X1983" s="6" t="n">
        <x:v>0</x:v>
      </x:c>
      <x:c r="Y1983" s="6" t="n">
        <x:v>0</x:v>
      </x:c>
      <x:c r="Z1983" s="6" t="n">
        <x:v>0</x:v>
      </x:c>
      <x:c r="AA1983" s="6" t="n">
        <x:v>3</x:v>
      </x:c>
      <x:c r="AB1983" s="6" t="n">
        <x:v>11</x:v>
      </x:c>
      <x:c r="AC1983" s="6" t="n">
        <x:v>1</x:v>
      </x:c>
    </x:row>
    <x:row r="1984">
      <x:c r="A1984" s="6" t="n">
        <x:v>3334</x:v>
      </x:c>
      <x:c r="B1984" s="6" t="n">
        <x:v>1951</x:v>
      </x:c>
      <x:c r="C1984" s="6" t="str">
        <x:v>Graduation</x:v>
      </x:c>
      <x:c r="D1984" s="6" t="str">
        <x:v>Married</x:v>
      </x:c>
      <x:c r="E1984" s="6" t="n">
        <x:v>94642</x:v>
      </x:c>
      <x:c r="F1984" s="6" t="n">
        <x:v>0</x:v>
      </x:c>
      <x:c r="G1984" s="6" t="n">
        <x:v>0</x:v>
      </x:c>
      <x:c r="H1984" s="9" t="str">
        <x:v>12-02-2014</x:v>
      </x:c>
      <x:c r="I1984" s="6" t="n">
        <x:v>35</x:v>
      </x:c>
      <x:c r="J1984" s="6" t="n">
        <x:v>879</x:v>
      </x:c>
      <x:c r="K1984" s="6" t="n">
        <x:v>143</x:v>
      </x:c>
      <x:c r="L1984" s="6" t="n">
        <x:v>797</x:v>
      </x:c>
      <x:c r="M1984" s="6" t="n">
        <x:v>106</x:v>
      </x:c>
      <x:c r="N1984" s="6" t="n">
        <x:v>143</x:v>
      </x:c>
      <x:c r="O1984" s="6" t="n">
        <x:v>143</x:v>
      </x:c>
      <x:c r="P1984" s="6" t="n">
        <x:v>0</x:v>
      </x:c>
      <x:c r="Q1984" s="6" t="n">
        <x:v>5</x:v>
      </x:c>
      <x:c r="R1984" s="6" t="n">
        <x:v>7</x:v>
      </x:c>
      <x:c r="S1984" s="6" t="n">
        <x:v>9</x:v>
      </x:c>
      <x:c r="T1984" s="6" t="n">
        <x:v>1</x:v>
      </x:c>
      <x:c r="U1984" s="6" t="n">
        <x:v>0</x:v>
      </x:c>
      <x:c r="V1984" s="6" t="n">
        <x:v>0</x:v>
      </x:c>
      <x:c r="W1984" s="6" t="n">
        <x:v>1</x:v>
      </x:c>
      <x:c r="X1984" s="6" t="n">
        <x:v>1</x:v>
      </x:c>
      <x:c r="Y1984" s="6" t="n">
        <x:v>0</x:v>
      </x:c>
      <x:c r="Z1984" s="6" t="n">
        <x:v>0</x:v>
      </x:c>
      <x:c r="AA1984" s="6" t="n">
        <x:v>3</x:v>
      </x:c>
      <x:c r="AB1984" s="6" t="n">
        <x:v>11</x:v>
      </x:c>
      <x:c r="AC1984" s="6" t="n">
        <x:v>0</x:v>
      </x:c>
    </x:row>
    <x:row r="1985">
      <x:c r="A1985" s="6" t="n">
        <x:v>4470</x:v>
      </x:c>
      <x:c r="B1985" s="6" t="n">
        <x:v>1962</x:v>
      </x:c>
      <x:c r="C1985" s="6" t="str">
        <x:v>Master</x:v>
      </x:c>
      <x:c r="D1985" s="6" t="str">
        <x:v>Married</x:v>
      </x:c>
      <x:c r="E1985" s="6" t="n">
        <x:v>58646</x:v>
      </x:c>
      <x:c r="F1985" s="6" t="n">
        <x:v>0</x:v>
      </x:c>
      <x:c r="G1985" s="6" t="n">
        <x:v>1</x:v>
      </x:c>
      <x:c r="H1985" s="9" t="str">
        <x:v>10-06-2013</x:v>
      </x:c>
      <x:c r="I1985" s="6" t="n">
        <x:v>3</x:v>
      </x:c>
      <x:c r="J1985" s="6" t="n">
        <x:v>62</x:v>
      </x:c>
      <x:c r="K1985" s="6" t="n">
        <x:v>1</x:v>
      </x:c>
      <x:c r="L1985" s="6" t="n">
        <x:v>44</x:v>
      </x:c>
      <x:c r="M1985" s="6" t="n">
        <x:v>6</x:v>
      </x:c>
      <x:c r="N1985" s="6" t="n">
        <x:v>5</x:v>
      </x:c>
      <x:c r="O1985" s="6" t="n">
        <x:v>22</x:v>
      </x:c>
      <x:c r="P1985" s="6" t="n">
        <x:v>1</x:v>
      </x:c>
      <x:c r="Q1985" s="6" t="n">
        <x:v>2</x:v>
      </x:c>
      <x:c r="R1985" s="6" t="n">
        <x:v>1</x:v>
      </x:c>
      <x:c r="S1985" s="6" t="n">
        <x:v>4</x:v>
      </x:c>
      <x:c r="T1985" s="6" t="n">
        <x:v>4</x:v>
      </x:c>
      <x:c r="U1985" s="6" t="n">
        <x:v>0</x:v>
      </x:c>
      <x:c r="V1985" s="6" t="n">
        <x:v>0</x:v>
      </x:c>
      <x:c r="W1985" s="6" t="n">
        <x:v>0</x:v>
      </x:c>
      <x:c r="X1985" s="6" t="n">
        <x:v>0</x:v>
      </x:c>
      <x:c r="Y1985" s="6" t="n">
        <x:v>0</x:v>
      </x:c>
      <x:c r="Z1985" s="6" t="n">
        <x:v>0</x:v>
      </x:c>
      <x:c r="AA1985" s="6" t="n">
        <x:v>3</x:v>
      </x:c>
      <x:c r="AB1985" s="6" t="n">
        <x:v>11</x:v>
      </x:c>
      <x:c r="AC1985" s="6" t="n">
        <x:v>0</x:v>
      </x:c>
    </x:row>
    <x:row r="1986">
      <x:c r="A1986" s="6" t="n">
        <x:v>1406</x:v>
      </x:c>
      <x:c r="B1986" s="6" t="n">
        <x:v>1975</x:v>
      </x:c>
      <x:c r="C1986" s="6" t="str">
        <x:v>Graduation</x:v>
      </x:c>
      <x:c r="D1986" s="6" t="str">
        <x:v>Single</x:v>
      </x:c>
      <x:c r="E1986" s="6" t="n">
        <x:v>53201</x:v>
      </x:c>
      <x:c r="F1986" s="6" t="n">
        <x:v>1</x:v>
      </x:c>
      <x:c r="G1986" s="6" t="n">
        <x:v>1</x:v>
      </x:c>
      <x:c r="H1986" s="9" t="str">
        <x:v>12-02-2013</x:v>
      </x:c>
      <x:c r="I1986" s="6" t="n">
        <x:v>49</x:v>
      </x:c>
      <x:c r="J1986" s="6" t="n">
        <x:v>280</x:v>
      </x:c>
      <x:c r="K1986" s="6" t="n">
        <x:v>7</x:v>
      </x:c>
      <x:c r="L1986" s="6" t="n">
        <x:v>81</x:v>
      </x:c>
      <x:c r="M1986" s="6" t="n">
        <x:v>20</x:v>
      </x:c>
      <x:c r="N1986" s="6" t="n">
        <x:v>0</x:v>
      </x:c>
      <x:c r="O1986" s="6" t="n">
        <x:v>27</x:v>
      </x:c>
      <x:c r="P1986" s="6" t="n">
        <x:v>8</x:v>
      </x:c>
      <x:c r="Q1986" s="6" t="n">
        <x:v>6</x:v>
      </x:c>
      <x:c r="R1986" s="6" t="n">
        <x:v>3</x:v>
      </x:c>
      <x:c r="S1986" s="6" t="n">
        <x:v>5</x:v>
      </x:c>
      <x:c r="T1986" s="6" t="n">
        <x:v>7</x:v>
      </x:c>
      <x:c r="U1986" s="6" t="n">
        <x:v>0</x:v>
      </x:c>
      <x:c r="V1986" s="6" t="n">
        <x:v>0</x:v>
      </x:c>
      <x:c r="W1986" s="6" t="n">
        <x:v>0</x:v>
      </x:c>
      <x:c r="X1986" s="6" t="n">
        <x:v>0</x:v>
      </x:c>
      <x:c r="Y1986" s="6" t="n">
        <x:v>0</x:v>
      </x:c>
      <x:c r="Z1986" s="6" t="n">
        <x:v>0</x:v>
      </x:c>
      <x:c r="AA1986" s="6" t="n">
        <x:v>3</x:v>
      </x:c>
      <x:c r="AB1986" s="6" t="n">
        <x:v>11</x:v>
      </x:c>
      <x:c r="AC1986" s="6" t="n">
        <x:v>0</x:v>
      </x:c>
    </x:row>
    <x:row r="1987">
      <x:c r="A1987" s="6" t="n">
        <x:v>8619</x:v>
      </x:c>
      <x:c r="B1987" s="6" t="n">
        <x:v>1957</x:v>
      </x:c>
      <x:c r="C1987" s="6" t="str">
        <x:v>Graduation</x:v>
      </x:c>
      <x:c r="D1987" s="6" t="str">
        <x:v>Together</x:v>
      </x:c>
      <x:c r="E1987" s="6" t="n">
        <x:v>21994</x:v>
      </x:c>
      <x:c r="F1987" s="6" t="n">
        <x:v>0</x:v>
      </x:c>
      <x:c r="G1987" s="6" t="n">
        <x:v>1</x:v>
      </x:c>
      <x:c r="H1987" s="9" t="str">
        <x:v>24-12-2012</x:v>
      </x:c>
      <x:c r="I1987" s="6" t="n">
        <x:v>4</x:v>
      </x:c>
      <x:c r="J1987" s="6" t="n">
        <x:v>9</x:v>
      </x:c>
      <x:c r="K1987" s="6" t="n">
        <x:v>0</x:v>
      </x:c>
      <x:c r="L1987" s="6" t="n">
        <x:v>6</x:v>
      </x:c>
      <x:c r="M1987" s="6" t="n">
        <x:v>3</x:v>
      </x:c>
      <x:c r="N1987" s="6" t="n">
        <x:v>1</x:v>
      </x:c>
      <x:c r="O1987" s="6" t="n">
        <x:v>3</x:v>
      </x:c>
      <x:c r="P1987" s="6" t="n">
        <x:v>1</x:v>
      </x:c>
      <x:c r="Q1987" s="6" t="n">
        <x:v>0</x:v>
      </x:c>
      <x:c r="R1987" s="6" t="n">
        <x:v>0</x:v>
      </x:c>
      <x:c r="S1987" s="6" t="n">
        <x:v>3</x:v>
      </x:c>
      <x:c r="T1987" s="6" t="n">
        <x:v>5</x:v>
      </x:c>
      <x:c r="U1987" s="6" t="n">
        <x:v>0</x:v>
      </x:c>
      <x:c r="V1987" s="6" t="n">
        <x:v>0</x:v>
      </x:c>
      <x:c r="W1987" s="6" t="n">
        <x:v>0</x:v>
      </x:c>
      <x:c r="X1987" s="6" t="n">
        <x:v>0</x:v>
      </x:c>
      <x:c r="Y1987" s="6" t="n">
        <x:v>0</x:v>
      </x:c>
      <x:c r="Z1987" s="6" t="n">
        <x:v>0</x:v>
      </x:c>
      <x:c r="AA1987" s="6" t="n">
        <x:v>3</x:v>
      </x:c>
      <x:c r="AB1987" s="6" t="n">
        <x:v>11</x:v>
      </x:c>
      <x:c r="AC1987" s="6" t="n">
        <x:v>0</x:v>
      </x:c>
    </x:row>
    <x:row r="1988">
      <x:c r="A1988" s="6" t="n">
        <x:v>10821</x:v>
      </x:c>
      <x:c r="B1988" s="6" t="n">
        <x:v>1978</x:v>
      </x:c>
      <x:c r="C1988" s="6" t="str">
        <x:v>Graduation</x:v>
      </x:c>
      <x:c r="D1988" s="6" t="str">
        <x:v>Married</x:v>
      </x:c>
      <x:c r="E1988" s="6" t="n">
        <x:v>57113</x:v>
      </x:c>
      <x:c r="F1988" s="6" t="n">
        <x:v>1</x:v>
      </x:c>
      <x:c r="G1988" s="6" t="n">
        <x:v>1</x:v>
      </x:c>
      <x:c r="H1988" s="9" t="str">
        <x:v>06-02-2013</x:v>
      </x:c>
      <x:c r="I1988" s="6" t="n">
        <x:v>45</x:v>
      </x:c>
      <x:c r="J1988" s="6" t="n">
        <x:v>182</x:v>
      </x:c>
      <x:c r="K1988" s="6" t="n">
        <x:v>4</x:v>
      </x:c>
      <x:c r="L1988" s="6" t="n">
        <x:v>33</x:v>
      </x:c>
      <x:c r="M1988" s="6" t="n">
        <x:v>0</x:v>
      </x:c>
      <x:c r="N1988" s="6" t="n">
        <x:v>2</x:v>
      </x:c>
      <x:c r="O1988" s="6" t="n">
        <x:v>42</x:v>
      </x:c>
      <x:c r="P1988" s="6" t="n">
        <x:v>6</x:v>
      </x:c>
      <x:c r="Q1988" s="6" t="n">
        <x:v>4</x:v>
      </x:c>
      <x:c r="R1988" s="6" t="n">
        <x:v>1</x:v>
      </x:c>
      <x:c r="S1988" s="6" t="n">
        <x:v>5</x:v>
      </x:c>
      <x:c r="T1988" s="6" t="n">
        <x:v>7</x:v>
      </x:c>
      <x:c r="U1988" s="6" t="n">
        <x:v>0</x:v>
      </x:c>
      <x:c r="V1988" s="6" t="n">
        <x:v>0</x:v>
      </x:c>
      <x:c r="W1988" s="6" t="n">
        <x:v>0</x:v>
      </x:c>
      <x:c r="X1988" s="6" t="n">
        <x:v>0</x:v>
      </x:c>
      <x:c r="Y1988" s="6" t="n">
        <x:v>0</x:v>
      </x:c>
      <x:c r="Z1988" s="6" t="n">
        <x:v>0</x:v>
      </x:c>
      <x:c r="AA1988" s="6" t="n">
        <x:v>3</x:v>
      </x:c>
      <x:c r="AB1988" s="6" t="n">
        <x:v>11</x:v>
      </x:c>
      <x:c r="AC1988" s="6" t="n">
        <x:v>0</x:v>
      </x:c>
    </x:row>
    <x:row r="1989">
      <x:c r="A1989" s="6" t="n">
        <x:v>4552</x:v>
      </x:c>
      <x:c r="B1989" s="6" t="n">
        <x:v>1991</x:v>
      </x:c>
      <x:c r="C1989" s="6" t="str">
        <x:v>Graduation</x:v>
      </x:c>
      <x:c r="D1989" s="6" t="str">
        <x:v>Married</x:v>
      </x:c>
      <x:c r="E1989" s="6" t="n">
        <x:v>51373</x:v>
      </x:c>
      <x:c r="F1989" s="6" t="n">
        <x:v>0</x:v>
      </x:c>
      <x:c r="G1989" s="6" t="n">
        <x:v>0</x:v>
      </x:c>
      <x:c r="H1989" s="9" t="str">
        <x:v>22-06-2013</x:v>
      </x:c>
      <x:c r="I1989" s="6" t="n">
        <x:v>37</x:v>
      </x:c>
      <x:c r="J1989" s="6" t="n">
        <x:v>83</x:v>
      </x:c>
      <x:c r="K1989" s="6" t="n">
        <x:v>2</x:v>
      </x:c>
      <x:c r="L1989" s="6" t="n">
        <x:v>101</x:v>
      </x:c>
      <x:c r="M1989" s="6" t="n">
        <x:v>64</x:v>
      </x:c>
      <x:c r="N1989" s="6" t="n">
        <x:v>26</x:v>
      </x:c>
      <x:c r="O1989" s="6" t="n">
        <x:v>117</x:v>
      </x:c>
      <x:c r="P1989" s="6" t="n">
        <x:v>1</x:v>
      </x:c>
      <x:c r="Q1989" s="6" t="n">
        <x:v>3</x:v>
      </x:c>
      <x:c r="R1989" s="6" t="n">
        <x:v>5</x:v>
      </x:c>
      <x:c r="S1989" s="6" t="n">
        <x:v>3</x:v>
      </x:c>
      <x:c r="T1989" s="6" t="n">
        <x:v>4</x:v>
      </x:c>
      <x:c r="U1989" s="6" t="n">
        <x:v>0</x:v>
      </x:c>
      <x:c r="V1989" s="6" t="n">
        <x:v>0</x:v>
      </x:c>
      <x:c r="W1989" s="6" t="n">
        <x:v>0</x:v>
      </x:c>
      <x:c r="X1989" s="6" t="n">
        <x:v>0</x:v>
      </x:c>
      <x:c r="Y1989" s="6" t="n">
        <x:v>0</x:v>
      </x:c>
      <x:c r="Z1989" s="6" t="n">
        <x:v>0</x:v>
      </x:c>
      <x:c r="AA1989" s="6" t="n">
        <x:v>3</x:v>
      </x:c>
      <x:c r="AB1989" s="6" t="n">
        <x:v>11</x:v>
      </x:c>
      <x:c r="AC1989" s="6" t="n">
        <x:v>0</x:v>
      </x:c>
    </x:row>
    <x:row r="1990">
      <x:c r="A1990" s="6" t="n">
        <x:v>898</x:v>
      </x:c>
      <x:c r="B1990" s="6" t="n">
        <x:v>1986</x:v>
      </x:c>
      <x:c r="C1990" s="6" t="str">
        <x:v>Graduation</x:v>
      </x:c>
      <x:c r="D1990" s="6" t="str">
        <x:v>Married</x:v>
      </x:c>
      <x:c r="E1990" s="6" t="n">
        <x:v>23477</x:v>
      </x:c>
      <x:c r="F1990" s="6" t="n">
        <x:v>1</x:v>
      </x:c>
      <x:c r="G1990" s="6" t="n">
        <x:v>0</x:v>
      </x:c>
      <x:c r="H1990" s="9" t="str">
        <x:v>21-10-2013</x:v>
      </x:c>
      <x:c r="I1990" s="6" t="n">
        <x:v>39</x:v>
      </x:c>
      <x:c r="J1990" s="6" t="n">
        <x:v>38</x:v>
      </x:c>
      <x:c r="K1990" s="6" t="n">
        <x:v>15</x:v>
      </x:c>
      <x:c r="L1990" s="6" t="n">
        <x:v>54</x:v>
      </x:c>
      <x:c r="M1990" s="6" t="n">
        <x:v>3</x:v>
      </x:c>
      <x:c r="N1990" s="6" t="n">
        <x:v>8</x:v>
      </x:c>
      <x:c r="O1990" s="6" t="n">
        <x:v>29</x:v>
      </x:c>
      <x:c r="P1990" s="6" t="n">
        <x:v>3</x:v>
      </x:c>
      <x:c r="Q1990" s="6" t="n">
        <x:v>3</x:v>
      </x:c>
      <x:c r="R1990" s="6" t="n">
        <x:v>0</x:v>
      </x:c>
      <x:c r="S1990" s="6" t="n">
        <x:v>4</x:v>
      </x:c>
      <x:c r="T1990" s="6" t="n">
        <x:v>8</x:v>
      </x:c>
      <x:c r="U1990" s="6" t="n">
        <x:v>0</x:v>
      </x:c>
      <x:c r="V1990" s="6" t="n">
        <x:v>0</x:v>
      </x:c>
      <x:c r="W1990" s="6" t="n">
        <x:v>0</x:v>
      </x:c>
      <x:c r="X1990" s="6" t="n">
        <x:v>0</x:v>
      </x:c>
      <x:c r="Y1990" s="6" t="n">
        <x:v>0</x:v>
      </x:c>
      <x:c r="Z1990" s="6" t="n">
        <x:v>0</x:v>
      </x:c>
      <x:c r="AA1990" s="6" t="n">
        <x:v>3</x:v>
      </x:c>
      <x:c r="AB1990" s="6" t="n">
        <x:v>11</x:v>
      </x:c>
      <x:c r="AC1990" s="6" t="n">
        <x:v>0</x:v>
      </x:c>
    </x:row>
    <x:row r="1991">
      <x:c r="A1991" s="6" t="n">
        <x:v>9797</x:v>
      </x:c>
      <x:c r="B1991" s="6" t="n">
        <x:v>1956</x:v>
      </x:c>
      <x:c r="C1991" s="6" t="str">
        <x:v>Graduation</x:v>
      </x:c>
      <x:c r="D1991" s="6" t="str">
        <x:v>Married</x:v>
      </x:c>
      <x:c r="E1991" s="6" t="n">
        <x:v>58116</x:v>
      </x:c>
      <x:c r="F1991" s="6" t="n">
        <x:v>0</x:v>
      </x:c>
      <x:c r="G1991" s="6" t="n">
        <x:v>1</x:v>
      </x:c>
      <x:c r="H1991" s="9" t="str">
        <x:v>13-04-2014</x:v>
      </x:c>
      <x:c r="I1991" s="6" t="n">
        <x:v>38</x:v>
      </x:c>
      <x:c r="J1991" s="6" t="n">
        <x:v>228</x:v>
      </x:c>
      <x:c r="K1991" s="6" t="n">
        <x:v>19</x:v>
      </x:c>
      <x:c r="L1991" s="6" t="n">
        <x:v>130</x:v>
      </x:c>
      <x:c r="M1991" s="6" t="n">
        <x:v>4</x:v>
      </x:c>
      <x:c r="N1991" s="6" t="n">
        <x:v>11</x:v>
      </x:c>
      <x:c r="O1991" s="6" t="n">
        <x:v>51</x:v>
      </x:c>
      <x:c r="P1991" s="6" t="n">
        <x:v>2</x:v>
      </x:c>
      <x:c r="Q1991" s="6" t="n">
        <x:v>3</x:v>
      </x:c>
      <x:c r="R1991" s="6" t="n">
        <x:v>3</x:v>
      </x:c>
      <x:c r="S1991" s="6" t="n">
        <x:v>8</x:v>
      </x:c>
      <x:c r="T1991" s="6" t="n">
        <x:v>2</x:v>
      </x:c>
      <x:c r="U1991" s="6" t="n">
        <x:v>0</x:v>
      </x:c>
      <x:c r="V1991" s="6" t="n">
        <x:v>0</x:v>
      </x:c>
      <x:c r="W1991" s="6" t="n">
        <x:v>0</x:v>
      </x:c>
      <x:c r="X1991" s="6" t="n">
        <x:v>0</x:v>
      </x:c>
      <x:c r="Y1991" s="6" t="n">
        <x:v>0</x:v>
      </x:c>
      <x:c r="Z1991" s="6" t="n">
        <x:v>0</x:v>
      </x:c>
      <x:c r="AA1991" s="6" t="n">
        <x:v>3</x:v>
      </x:c>
      <x:c r="AB1991" s="6" t="n">
        <x:v>11</x:v>
      </x:c>
      <x:c r="AC1991" s="6" t="n">
        <x:v>0</x:v>
      </x:c>
    </x:row>
    <x:row r="1992">
      <x:c r="A1992" s="6" t="n">
        <x:v>10949</x:v>
      </x:c>
      <x:c r="B1992" s="6" t="n">
        <x:v>1963</x:v>
      </x:c>
      <x:c r="C1992" s="6" t="str">
        <x:v>PhD</x:v>
      </x:c>
      <x:c r="D1992" s="6" t="str">
        <x:v>Divorced</x:v>
      </x:c>
      <x:c r="E1992" s="6" t="n">
        <x:v>72968</x:v>
      </x:c>
      <x:c r="F1992" s="6" t="n">
        <x:v>0</x:v>
      </x:c>
      <x:c r="G1992" s="6" t="n">
        <x:v>0</x:v>
      </x:c>
      <x:c r="H1992" s="9" t="str">
        <x:v>16-12-2013</x:v>
      </x:c>
      <x:c r="I1992" s="6" t="n">
        <x:v>8</x:v>
      </x:c>
      <x:c r="J1992" s="6" t="n">
        <x:v>1092</x:v>
      </x:c>
      <x:c r="K1992" s="6" t="n">
        <x:v>37</x:v>
      </x:c>
      <x:c r="L1992" s="6" t="n">
        <x:v>592</x:v>
      </x:c>
      <x:c r="M1992" s="6" t="n">
        <x:v>145</x:v>
      </x:c>
      <x:c r="N1992" s="6" t="n">
        <x:v>37</x:v>
      </x:c>
      <x:c r="O1992" s="6" t="n">
        <x:v>55</x:v>
      </x:c>
      <x:c r="P1992" s="6" t="n">
        <x:v>1</x:v>
      </x:c>
      <x:c r="Q1992" s="6" t="n">
        <x:v>5</x:v>
      </x:c>
      <x:c r="R1992" s="6" t="n">
        <x:v>5</x:v>
      </x:c>
      <x:c r="S1992" s="6" t="n">
        <x:v>8</x:v>
      </x:c>
      <x:c r="T1992" s="6" t="n">
        <x:v>3</x:v>
      </x:c>
      <x:c r="U1992" s="6" t="n">
        <x:v>0</x:v>
      </x:c>
      <x:c r="V1992" s="6" t="n">
        <x:v>0</x:v>
      </x:c>
      <x:c r="W1992" s="6" t="n">
        <x:v>0</x:v>
      </x:c>
      <x:c r="X1992" s="6" t="n">
        <x:v>1</x:v>
      </x:c>
      <x:c r="Y1992" s="6" t="n">
        <x:v>0</x:v>
      </x:c>
      <x:c r="Z1992" s="6" t="n">
        <x:v>0</x:v>
      </x:c>
      <x:c r="AA1992" s="6" t="n">
        <x:v>3</x:v>
      </x:c>
      <x:c r="AB1992" s="6" t="n">
        <x:v>11</x:v>
      </x:c>
      <x:c r="AC1992" s="6" t="n">
        <x:v>1</x:v>
      </x:c>
    </x:row>
    <x:row r="1993">
      <x:c r="A1993" s="6" t="n">
        <x:v>8212</x:v>
      </x:c>
      <x:c r="B1993" s="6" t="n">
        <x:v>1971</x:v>
      </x:c>
      <x:c r="C1993" s="6" t="str">
        <x:v>Master</x:v>
      </x:c>
      <x:c r="D1993" s="6" t="str">
        <x:v>Married</x:v>
      </x:c>
      <x:c r="E1993" s="6" t="n">
        <x:v>39791</x:v>
      </x:c>
      <x:c r="F1993" s="6" t="n">
        <x:v>0</x:v>
      </x:c>
      <x:c r="G1993" s="6" t="n">
        <x:v>1</x:v>
      </x:c>
      <x:c r="H1993" s="9" t="str">
        <x:v>28-03-2013</x:v>
      </x:c>
      <x:c r="I1993" s="6" t="n">
        <x:v>89</x:v>
      </x:c>
      <x:c r="J1993" s="6" t="n">
        <x:v>85</x:v>
      </x:c>
      <x:c r="K1993" s="6" t="n">
        <x:v>15</x:v>
      </x:c>
      <x:c r="L1993" s="6" t="n">
        <x:v>27</x:v>
      </x:c>
      <x:c r="M1993" s="6" t="n">
        <x:v>13</x:v>
      </x:c>
      <x:c r="N1993" s="6" t="n">
        <x:v>13</x:v>
      </x:c>
      <x:c r="O1993" s="6" t="n">
        <x:v>21</x:v>
      </x:c>
      <x:c r="P1993" s="6" t="n">
        <x:v>2</x:v>
      </x:c>
      <x:c r="Q1993" s="6" t="n">
        <x:v>3</x:v>
      </x:c>
      <x:c r="R1993" s="6" t="n">
        <x:v>1</x:v>
      </x:c>
      <x:c r="S1993" s="6" t="n">
        <x:v>4</x:v>
      </x:c>
      <x:c r="T1993" s="6" t="n">
        <x:v>7</x:v>
      </x:c>
      <x:c r="U1993" s="6" t="n">
        <x:v>0</x:v>
      </x:c>
      <x:c r="V1993" s="6" t="n">
        <x:v>0</x:v>
      </x:c>
      <x:c r="W1993" s="6" t="n">
        <x:v>0</x:v>
      </x:c>
      <x:c r="X1993" s="6" t="n">
        <x:v>0</x:v>
      </x:c>
      <x:c r="Y1993" s="6" t="n">
        <x:v>0</x:v>
      </x:c>
      <x:c r="Z1993" s="6" t="n">
        <x:v>0</x:v>
      </x:c>
      <x:c r="AA1993" s="6" t="n">
        <x:v>3</x:v>
      </x:c>
      <x:c r="AB1993" s="6" t="n">
        <x:v>11</x:v>
      </x:c>
      <x:c r="AC1993" s="6" t="n">
        <x:v>0</x:v>
      </x:c>
    </x:row>
    <x:row r="1994">
      <x:c r="A1994" s="6" t="n">
        <x:v>6248</x:v>
      </x:c>
      <x:c r="B1994" s="6" t="n">
        <x:v>1947</x:v>
      </x:c>
      <x:c r="C1994" s="6" t="str">
        <x:v>Master</x:v>
      </x:c>
      <x:c r="D1994" s="6" t="str">
        <x:v>Single</x:v>
      </x:c>
      <x:c r="E1994" s="6" t="n">
        <x:v>91712</x:v>
      </x:c>
      <x:c r="F1994" s="6" t="n">
        <x:v>0</x:v>
      </x:c>
      <x:c r="G1994" s="6" t="n">
        <x:v>0</x:v>
      </x:c>
      <x:c r="H1994" s="9" t="str">
        <x:v>17-10-2013</x:v>
      </x:c>
      <x:c r="I1994" s="6" t="n">
        <x:v>47</x:v>
      </x:c>
      <x:c r="J1994" s="6" t="n">
        <x:v>1276</x:v>
      </x:c>
      <x:c r="K1994" s="6" t="n">
        <x:v>24</x:v>
      </x:c>
      <x:c r="L1994" s="6" t="n">
        <x:v>746</x:v>
      </x:c>
      <x:c r="M1994" s="6" t="n">
        <x:v>94</x:v>
      </x:c>
      <x:c r="N1994" s="6" t="n">
        <x:v>29</x:v>
      </x:c>
      <x:c r="O1994" s="6" t="n">
        <x:v>48</x:v>
      </x:c>
      <x:c r="P1994" s="6" t="n">
        <x:v>0</x:v>
      </x:c>
      <x:c r="Q1994" s="6" t="n">
        <x:v>9</x:v>
      </x:c>
      <x:c r="R1994" s="6" t="n">
        <x:v>7</x:v>
      </x:c>
      <x:c r="S1994" s="6" t="n">
        <x:v>11</x:v>
      </x:c>
      <x:c r="T1994" s="6" t="n">
        <x:v>3</x:v>
      </x:c>
      <x:c r="U1994" s="6" t="n">
        <x:v>0</x:v>
      </x:c>
      <x:c r="V1994" s="6" t="n">
        <x:v>0</x:v>
      </x:c>
      <x:c r="W1994" s="6" t="n">
        <x:v>1</x:v>
      </x:c>
      <x:c r="X1994" s="6" t="n">
        <x:v>0</x:v>
      </x:c>
      <x:c r="Y1994" s="6" t="n">
        <x:v>0</x:v>
      </x:c>
      <x:c r="Z1994" s="6" t="n">
        <x:v>0</x:v>
      </x:c>
      <x:c r="AA1994" s="6" t="n">
        <x:v>3</x:v>
      </x:c>
      <x:c r="AB1994" s="6" t="n">
        <x:v>11</x:v>
      </x:c>
      <x:c r="AC1994" s="6" t="n">
        <x:v>1</x:v>
      </x:c>
    </x:row>
    <x:row r="1995">
      <x:c r="A1995" s="6" t="n">
        <x:v>10164</x:v>
      </x:c>
      <x:c r="B1995" s="6" t="n">
        <x:v>1958</x:v>
      </x:c>
      <x:c r="C1995" s="6" t="str">
        <x:v>Graduation</x:v>
      </x:c>
      <x:c r="D1995" s="6" t="str">
        <x:v>Single</x:v>
      </x:c>
      <x:c r="E1995" s="6" t="n">
        <x:v>94472</x:v>
      </x:c>
      <x:c r="F1995" s="6" t="n">
        <x:v>0</x:v>
      </x:c>
      <x:c r="G1995" s="6" t="n">
        <x:v>1</x:v>
      </x:c>
      <x:c r="H1995" s="9" t="str">
        <x:v>03-04-2014</x:v>
      </x:c>
      <x:c r="I1995" s="6" t="n">
        <x:v>75</x:v>
      </x:c>
      <x:c r="J1995" s="6" t="n">
        <x:v>1017</x:v>
      </x:c>
      <x:c r="K1995" s="6" t="n">
        <x:v>33</x:v>
      </x:c>
      <x:c r="L1995" s="6" t="n">
        <x:v>417</x:v>
      </x:c>
      <x:c r="M1995" s="6" t="n">
        <x:v>108</x:v>
      </x:c>
      <x:c r="N1995" s="6" t="n">
        <x:v>100</x:v>
      </x:c>
      <x:c r="O1995" s="6" t="n">
        <x:v>16</x:v>
      </x:c>
      <x:c r="P1995" s="6" t="n">
        <x:v>1</x:v>
      </x:c>
      <x:c r="Q1995" s="6" t="n">
        <x:v>5</x:v>
      </x:c>
      <x:c r="R1995" s="6" t="n">
        <x:v>5</x:v>
      </x:c>
      <x:c r="S1995" s="6" t="n">
        <x:v>5</x:v>
      </x:c>
      <x:c r="T1995" s="6" t="n">
        <x:v>5</x:v>
      </x:c>
      <x:c r="U1995" s="6" t="n">
        <x:v>0</x:v>
      </x:c>
      <x:c r="V1995" s="6" t="n">
        <x:v>1</x:v>
      </x:c>
      <x:c r="W1995" s="6" t="n">
        <x:v>1</x:v>
      </x:c>
      <x:c r="X1995" s="6" t="n">
        <x:v>0</x:v>
      </x:c>
      <x:c r="Y1995" s="6" t="n">
        <x:v>0</x:v>
      </x:c>
      <x:c r="Z1995" s="6" t="n">
        <x:v>0</x:v>
      </x:c>
      <x:c r="AA1995" s="6" t="n">
        <x:v>3</x:v>
      </x:c>
      <x:c r="AB1995" s="6" t="n">
        <x:v>11</x:v>
      </x:c>
      <x:c r="AC1995" s="6" t="n">
        <x:v>0</x:v>
      </x:c>
    </x:row>
    <x:row r="1996">
      <x:c r="A1996" s="6" t="n">
        <x:v>4547</x:v>
      </x:c>
      <x:c r="B1996" s="6" t="n">
        <x:v>1960</x:v>
      </x:c>
      <x:c r="C1996" s="6" t="str">
        <x:v>Graduation</x:v>
      </x:c>
      <x:c r="D1996" s="6" t="str">
        <x:v>Together</x:v>
      </x:c>
      <x:c r="E1996" s="6" t="n">
        <x:v>13672</x:v>
      </x:c>
      <x:c r="F1996" s="6" t="n">
        <x:v>1</x:v>
      </x:c>
      <x:c r="G1996" s="6" t="n">
        <x:v>1</x:v>
      </x:c>
      <x:c r="H1996" s="9" t="str">
        <x:v>17-04-2013</x:v>
      </x:c>
      <x:c r="I1996" s="6" t="n">
        <x:v>86</x:v>
      </x:c>
      <x:c r="J1996" s="6" t="n">
        <x:v>6</x:v>
      </x:c>
      <x:c r="K1996" s="6" t="n">
        <x:v>2</x:v>
      </x:c>
      <x:c r="L1996" s="6" t="n">
        <x:v>9</x:v>
      </x:c>
      <x:c r="M1996" s="6" t="n">
        <x:v>2</x:v>
      </x:c>
      <x:c r="N1996" s="6" t="n">
        <x:v>1</x:v>
      </x:c>
      <x:c r="O1996" s="6" t="n">
        <x:v>5</x:v>
      </x:c>
      <x:c r="P1996" s="6" t="n">
        <x:v>2</x:v>
      </x:c>
      <x:c r="Q1996" s="6" t="n">
        <x:v>1</x:v>
      </x:c>
      <x:c r="R1996" s="6" t="n">
        <x:v>0</x:v>
      </x:c>
      <x:c r="S1996" s="6" t="n">
        <x:v>3</x:v>
      </x:c>
      <x:c r="T1996" s="6" t="n">
        <x:v>8</x:v>
      </x:c>
      <x:c r="U1996" s="6" t="n">
        <x:v>0</x:v>
      </x:c>
      <x:c r="V1996" s="6" t="n">
        <x:v>0</x:v>
      </x:c>
      <x:c r="W1996" s="6" t="n">
        <x:v>0</x:v>
      </x:c>
      <x:c r="X1996" s="6" t="n">
        <x:v>0</x:v>
      </x:c>
      <x:c r="Y1996" s="6" t="n">
        <x:v>0</x:v>
      </x:c>
      <x:c r="Z1996" s="6" t="n">
        <x:v>0</x:v>
      </x:c>
      <x:c r="AA1996" s="6" t="n">
        <x:v>3</x:v>
      </x:c>
      <x:c r="AB1996" s="6" t="n">
        <x:v>11</x:v>
      </x:c>
      <x:c r="AC1996" s="6" t="n">
        <x:v>0</x:v>
      </x:c>
    </x:row>
    <x:row r="1997">
      <x:c r="A1997" s="6" t="n">
        <x:v>6815</x:v>
      </x:c>
      <x:c r="B1997" s="6" t="n">
        <x:v>1980</x:v>
      </x:c>
      <x:c r="C1997" s="6" t="str">
        <x:v>2n Cycle</x:v>
      </x:c>
      <x:c r="D1997" s="6" t="str">
        <x:v>Married</x:v>
      </x:c>
      <x:c r="E1997" s="6" t="n">
        <x:v>96547</x:v>
      </x:c>
      <x:c r="F1997" s="6" t="n">
        <x:v>0</x:v>
      </x:c>
      <x:c r="G1997" s="6" t="n">
        <x:v>0</x:v>
      </x:c>
      <x:c r="H1997" s="9" t="str">
        <x:v>23-05-2014</x:v>
      </x:c>
      <x:c r="I1997" s="6" t="n">
        <x:v>4</x:v>
      </x:c>
      <x:c r="J1997" s="6" t="n">
        <x:v>448</x:v>
      </x:c>
      <x:c r="K1997" s="6" t="n">
        <x:v>21</x:v>
      </x:c>
      <x:c r="L1997" s="6" t="n">
        <x:v>125</x:v>
      </x:c>
      <x:c r="M1997" s="6" t="n">
        <x:v>52</x:v>
      </x:c>
      <x:c r="N1997" s="6" t="n">
        <x:v>101</x:v>
      </x:c>
      <x:c r="O1997" s="6" t="n">
        <x:v>62</x:v>
      </x:c>
      <x:c r="P1997" s="6" t="n">
        <x:v>0</x:v>
      </x:c>
      <x:c r="Q1997" s="6" t="n">
        <x:v>7</x:v>
      </x:c>
      <x:c r="R1997" s="6" t="n">
        <x:v>6</x:v>
      </x:c>
      <x:c r="S1997" s="6" t="n">
        <x:v>8</x:v>
      </x:c>
      <x:c r="T1997" s="6" t="n">
        <x:v>2</x:v>
      </x:c>
      <x:c r="U1997" s="6" t="n">
        <x:v>1</x:v>
      </x:c>
      <x:c r="V1997" s="6" t="n">
        <x:v>0</x:v>
      </x:c>
      <x:c r="W1997" s="6" t="n">
        <x:v>1</x:v>
      </x:c>
      <x:c r="X1997" s="6" t="n">
        <x:v>1</x:v>
      </x:c>
      <x:c r="Y1997" s="6" t="n">
        <x:v>0</x:v>
      </x:c>
      <x:c r="Z1997" s="6" t="n">
        <x:v>0</x:v>
      </x:c>
      <x:c r="AA1997" s="6" t="n">
        <x:v>3</x:v>
      </x:c>
      <x:c r="AB1997" s="6" t="n">
        <x:v>11</x:v>
      </x:c>
      <x:c r="AC1997" s="6" t="n">
        <x:v>1</x:v>
      </x:c>
    </x:row>
    <x:row r="1998">
      <x:c r="A1998" s="6" t="n">
        <x:v>4122</x:v>
      </x:c>
      <x:c r="B1998" s="6" t="n">
        <x:v>1975</x:v>
      </x:c>
      <x:c r="C1998" s="6" t="str">
        <x:v>Graduation</x:v>
      </x:c>
      <x:c r="D1998" s="6" t="str">
        <x:v>Married</x:v>
      </x:c>
      <x:c r="E1998" s="6" t="n">
        <x:v>79205</x:v>
      </x:c>
      <x:c r="F1998" s="6" t="n">
        <x:v>0</x:v>
      </x:c>
      <x:c r="G1998" s="6" t="n">
        <x:v>0</x:v>
      </x:c>
      <x:c r="H1998" s="9" t="str">
        <x:v>29-08-2012</x:v>
      </x:c>
      <x:c r="I1998" s="6" t="n">
        <x:v>73</x:v>
      </x:c>
      <x:c r="J1998" s="6" t="n">
        <x:v>504</x:v>
      </x:c>
      <x:c r="K1998" s="6" t="n">
        <x:v>23</x:v>
      </x:c>
      <x:c r="L1998" s="6" t="n">
        <x:v>117</x:v>
      </x:c>
      <x:c r="M1998" s="6" t="n">
        <x:v>179</x:v>
      </x:c>
      <x:c r="N1998" s="6" t="n">
        <x:v>28</x:v>
      </x:c>
      <x:c r="O1998" s="6" t="n">
        <x:v>44</x:v>
      </x:c>
      <x:c r="P1998" s="6" t="n">
        <x:v>1</x:v>
      </x:c>
      <x:c r="Q1998" s="6" t="n">
        <x:v>6</x:v>
      </x:c>
      <x:c r="R1998" s="6" t="n">
        <x:v>5</x:v>
      </x:c>
      <x:c r="S1998" s="6" t="n">
        <x:v>4</x:v>
      </x:c>
      <x:c r="T1998" s="6" t="n">
        <x:v>4</x:v>
      </x:c>
      <x:c r="U1998" s="6" t="n">
        <x:v>0</x:v>
      </x:c>
      <x:c r="V1998" s="6" t="n">
        <x:v>0</x:v>
      </x:c>
      <x:c r="W1998" s="6" t="n">
        <x:v>0</x:v>
      </x:c>
      <x:c r="X1998" s="6" t="n">
        <x:v>1</x:v>
      </x:c>
      <x:c r="Y1998" s="6" t="n">
        <x:v>0</x:v>
      </x:c>
      <x:c r="Z1998" s="6" t="n">
        <x:v>0</x:v>
      </x:c>
      <x:c r="AA1998" s="6" t="n">
        <x:v>3</x:v>
      </x:c>
      <x:c r="AB1998" s="6" t="n">
        <x:v>11</x:v>
      </x:c>
      <x:c r="AC1998" s="6" t="n">
        <x:v>1</x:v>
      </x:c>
    </x:row>
    <x:row r="1999">
      <x:c r="A1999" s="6" t="n">
        <x:v>10841</x:v>
      </x:c>
      <x:c r="B1999" s="6" t="n">
        <x:v>1975</x:v>
      </x:c>
      <x:c r="C1999" s="6" t="str">
        <x:v>PhD</x:v>
      </x:c>
      <x:c r="D1999" s="6" t="str">
        <x:v>Together</x:v>
      </x:c>
      <x:c r="E1999" s="6" t="n">
        <x:v>56559</x:v>
      </x:c>
      <x:c r="F1999" s="6" t="n">
        <x:v>0</x:v>
      </x:c>
      <x:c r="G1999" s="6" t="n">
        <x:v>1</x:v>
      </x:c>
      <x:c r="H1999" s="9" t="str">
        <x:v>25-12-2012</x:v>
      </x:c>
      <x:c r="I1999" s="6" t="n">
        <x:v>46</x:v>
      </x:c>
      <x:c r="J1999" s="6" t="n">
        <x:v>226</x:v>
      </x:c>
      <x:c r="K1999" s="6" t="n">
        <x:v>22</x:v>
      </x:c>
      <x:c r="L1999" s="6" t="n">
        <x:v>133</x:v>
      </x:c>
      <x:c r="M1999" s="6" t="n">
        <x:v>41</x:v>
      </x:c>
      <x:c r="N1999" s="6" t="n">
        <x:v>31</x:v>
      </x:c>
      <x:c r="O1999" s="6" t="n">
        <x:v>31</x:v>
      </x:c>
      <x:c r="P1999" s="6" t="n">
        <x:v>3</x:v>
      </x:c>
      <x:c r="Q1999" s="6" t="n">
        <x:v>4</x:v>
      </x:c>
      <x:c r="R1999" s="6" t="n">
        <x:v>3</x:v>
      </x:c>
      <x:c r="S1999" s="6" t="n">
        <x:v>8</x:v>
      </x:c>
      <x:c r="T1999" s="6" t="n">
        <x:v>4</x:v>
      </x:c>
      <x:c r="U1999" s="6" t="n">
        <x:v>0</x:v>
      </x:c>
      <x:c r="V1999" s="6" t="n">
        <x:v>0</x:v>
      </x:c>
      <x:c r="W1999" s="6" t="n">
        <x:v>0</x:v>
      </x:c>
      <x:c r="X1999" s="6" t="n">
        <x:v>0</x:v>
      </x:c>
      <x:c r="Y1999" s="6" t="n">
        <x:v>0</x:v>
      </x:c>
      <x:c r="Z1999" s="6" t="n">
        <x:v>0</x:v>
      </x:c>
      <x:c r="AA1999" s="6" t="n">
        <x:v>3</x:v>
      </x:c>
      <x:c r="AB1999" s="6" t="n">
        <x:v>11</x:v>
      </x:c>
      <x:c r="AC1999" s="6" t="n">
        <x:v>0</x:v>
      </x:c>
    </x:row>
    <x:row r="2000">
      <x:c r="A2000" s="6" t="n">
        <x:v>5370</x:v>
      </x:c>
      <x:c r="B2000" s="6" t="n">
        <x:v>1973</x:v>
      </x:c>
      <x:c r="C2000" s="6" t="str">
        <x:v>PhD</x:v>
      </x:c>
      <x:c r="D2000" s="6" t="str">
        <x:v>Married</x:v>
      </x:c>
      <x:c r="E2000" s="6" t="n">
        <x:v>32644</x:v>
      </x:c>
      <x:c r="F2000" s="6" t="n">
        <x:v>1</x:v>
      </x:c>
      <x:c r="G2000" s="6" t="n">
        <x:v>0</x:v>
      </x:c>
      <x:c r="H2000" s="9" t="str">
        <x:v>16-01-2013</x:v>
      </x:c>
      <x:c r="I2000" s="6" t="n">
        <x:v>38</x:v>
      </x:c>
      <x:c r="J2000" s="6" t="n">
        <x:v>239</x:v>
      </x:c>
      <x:c r="K2000" s="6" t="n">
        <x:v>3</x:v>
      </x:c>
      <x:c r="L2000" s="6" t="n">
        <x:v>141</x:v>
      </x:c>
      <x:c r="M2000" s="6" t="n">
        <x:v>0</x:v>
      </x:c>
      <x:c r="N2000" s="6" t="n">
        <x:v>7</x:v>
      </x:c>
      <x:c r="O2000" s="6" t="n">
        <x:v>23</x:v>
      </x:c>
      <x:c r="P2000" s="6" t="n">
        <x:v>4</x:v>
      </x:c>
      <x:c r="Q2000" s="6" t="n">
        <x:v>7</x:v>
      </x:c>
      <x:c r="R2000" s="6" t="n">
        <x:v>1</x:v>
      </x:c>
      <x:c r="S2000" s="6" t="n">
        <x:v>6</x:v>
      </x:c>
      <x:c r="T2000" s="6" t="n">
        <x:v>8</x:v>
      </x:c>
      <x:c r="U2000" s="6" t="n">
        <x:v>1</x:v>
      </x:c>
      <x:c r="V2000" s="6" t="n">
        <x:v>0</x:v>
      </x:c>
      <x:c r="W2000" s="6" t="n">
        <x:v>0</x:v>
      </x:c>
      <x:c r="X2000" s="6" t="n">
        <x:v>0</x:v>
      </x:c>
      <x:c r="Y2000" s="6" t="n">
        <x:v>0</x:v>
      </x:c>
      <x:c r="Z2000" s="6" t="n">
        <x:v>0</x:v>
      </x:c>
      <x:c r="AA2000" s="6" t="n">
        <x:v>3</x:v>
      </x:c>
      <x:c r="AB2000" s="6" t="n">
        <x:v>11</x:v>
      </x:c>
      <x:c r="AC2000" s="6" t="n">
        <x:v>0</x:v>
      </x:c>
    </x:row>
    <x:row r="2001">
      <x:c r="A2001" s="6" t="n">
        <x:v>176</x:v>
      </x:c>
      <x:c r="B2001" s="6" t="n">
        <x:v>1980</x:v>
      </x:c>
      <x:c r="C2001" s="6" t="str">
        <x:v>2n Cycle</x:v>
      </x:c>
      <x:c r="D2001" s="6" t="str">
        <x:v>Single</x:v>
      </x:c>
      <x:c r="E2001" s="6" t="n">
        <x:v>67506</x:v>
      </x:c>
      <x:c r="F2001" s="6" t="n">
        <x:v>0</x:v>
      </x:c>
      <x:c r="G2001" s="6" t="n">
        <x:v>1</x:v>
      </x:c>
      <x:c r="H2001" s="9" t="str">
        <x:v>02-01-2014</x:v>
      </x:c>
      <x:c r="I2001" s="6" t="n">
        <x:v>73</x:v>
      </x:c>
      <x:c r="J2001" s="6" t="n">
        <x:v>90</x:v>
      </x:c>
      <x:c r="K2001" s="6" t="n">
        <x:v>38</x:v>
      </x:c>
      <x:c r="L2001" s="6" t="n">
        <x:v>67</x:v>
      </x:c>
      <x:c r="M2001" s="6" t="n">
        <x:v>33</x:v>
      </x:c>
      <x:c r="N2001" s="6" t="n">
        <x:v>36</x:v>
      </x:c>
      <x:c r="O2001" s="6" t="n">
        <x:v>67</x:v>
      </x:c>
      <x:c r="P2001" s="6" t="n">
        <x:v>1</x:v>
      </x:c>
      <x:c r="Q2001" s="6" t="n">
        <x:v>4</x:v>
      </x:c>
      <x:c r="R2001" s="6" t="n">
        <x:v>1</x:v>
      </x:c>
      <x:c r="S2001" s="6" t="n">
        <x:v>6</x:v>
      </x:c>
      <x:c r="T2001" s="6" t="n">
        <x:v>3</x:v>
      </x:c>
      <x:c r="U2001" s="6" t="n">
        <x:v>0</x:v>
      </x:c>
      <x:c r="V2001" s="6" t="n">
        <x:v>0</x:v>
      </x:c>
      <x:c r="W2001" s="6" t="n">
        <x:v>0</x:v>
      </x:c>
      <x:c r="X2001" s="6" t="n">
        <x:v>0</x:v>
      </x:c>
      <x:c r="Y2001" s="6" t="n">
        <x:v>0</x:v>
      </x:c>
      <x:c r="Z2001" s="6" t="n">
        <x:v>0</x:v>
      </x:c>
      <x:c r="AA2001" s="6" t="n">
        <x:v>3</x:v>
      </x:c>
      <x:c r="AB2001" s="6" t="n">
        <x:v>11</x:v>
      </x:c>
      <x:c r="AC2001" s="6" t="n">
        <x:v>0</x:v>
      </x:c>
    </x:row>
    <x:row r="2002">
      <x:c r="A2002" s="6" t="n">
        <x:v>4860</x:v>
      </x:c>
      <x:c r="B2002" s="6" t="n">
        <x:v>1970</x:v>
      </x:c>
      <x:c r="C2002" s="6" t="str">
        <x:v>Graduation</x:v>
      </x:c>
      <x:c r="D2002" s="6" t="str">
        <x:v>Single</x:v>
      </x:c>
      <x:c r="E2002" s="6" t="n">
        <x:v>24206</x:v>
      </x:c>
      <x:c r="F2002" s="6" t="n">
        <x:v>1</x:v>
      </x:c>
      <x:c r="G2002" s="6" t="n">
        <x:v>0</x:v>
      </x:c>
      <x:c r="H2002" s="9" t="str">
        <x:v>08-03-2013</x:v>
      </x:c>
      <x:c r="I2002" s="6" t="n">
        <x:v>66</x:v>
      </x:c>
      <x:c r="J2002" s="6" t="n">
        <x:v>7</x:v>
      </x:c>
      <x:c r="K2002" s="6" t="n">
        <x:v>2</x:v>
      </x:c>
      <x:c r="L2002" s="6" t="n">
        <x:v>8</x:v>
      </x:c>
      <x:c r="M2002" s="6" t="n">
        <x:v>3</x:v>
      </x:c>
      <x:c r="N2002" s="6" t="n">
        <x:v>2</x:v>
      </x:c>
      <x:c r="O2002" s="6" t="n">
        <x:v>3</x:v>
      </x:c>
      <x:c r="P2002" s="6" t="n">
        <x:v>1</x:v>
      </x:c>
      <x:c r="Q2002" s="6" t="n">
        <x:v>1</x:v>
      </x:c>
      <x:c r="R2002" s="6" t="n">
        <x:v>0</x:v>
      </x:c>
      <x:c r="S2002" s="6" t="n">
        <x:v>3</x:v>
      </x:c>
      <x:c r="T2002" s="6" t="n">
        <x:v>6</x:v>
      </x:c>
      <x:c r="U2002" s="6" t="n">
        <x:v>0</x:v>
      </x:c>
      <x:c r="V2002" s="6" t="n">
        <x:v>0</x:v>
      </x:c>
      <x:c r="W2002" s="6" t="n">
        <x:v>0</x:v>
      </x:c>
      <x:c r="X2002" s="6" t="n">
        <x:v>0</x:v>
      </x:c>
      <x:c r="Y2002" s="6" t="n">
        <x:v>0</x:v>
      </x:c>
      <x:c r="Z2002" s="6" t="n">
        <x:v>0</x:v>
      </x:c>
      <x:c r="AA2002" s="6" t="n">
        <x:v>3</x:v>
      </x:c>
      <x:c r="AB2002" s="6" t="n">
        <x:v>11</x:v>
      </x:c>
      <x:c r="AC2002" s="6" t="n">
        <x:v>0</x:v>
      </x:c>
    </x:row>
    <x:row r="2003">
      <x:c r="A2003" s="6" t="n">
        <x:v>10757</x:v>
      </x:c>
      <x:c r="B2003" s="6" t="n">
        <x:v>1967</x:v>
      </x:c>
      <x:c r="C2003" s="6" t="str">
        <x:v>PhD</x:v>
      </x:c>
      <x:c r="D2003" s="6" t="str">
        <x:v>Divorced</x:v>
      </x:c>
      <x:c r="E2003" s="6" t="n">
        <x:v>28420</x:v>
      </x:c>
      <x:c r="F2003" s="6" t="n">
        <x:v>1</x:v>
      </x:c>
      <x:c r="G2003" s="6" t="n">
        <x:v>0</x:v>
      </x:c>
      <x:c r="H2003" s="9" t="str">
        <x:v>24-12-2013</x:v>
      </x:c>
      <x:c r="I2003" s="6" t="n">
        <x:v>36</x:v>
      </x:c>
      <x:c r="J2003" s="6" t="n">
        <x:v>4</x:v>
      </x:c>
      <x:c r="K2003" s="6" t="n">
        <x:v>2</x:v>
      </x:c>
      <x:c r="L2003" s="6" t="n">
        <x:v>5</x:v>
      </x:c>
      <x:c r="M2003" s="6" t="n">
        <x:v>2</x:v>
      </x:c>
      <x:c r="N2003" s="6" t="n">
        <x:v>0</x:v>
      </x:c>
      <x:c r="O2003" s="6" t="n">
        <x:v>0</x:v>
      </x:c>
      <x:c r="P2003" s="6" t="n">
        <x:v>1</x:v>
      </x:c>
      <x:c r="Q2003" s="6" t="n">
        <x:v>1</x:v>
      </x:c>
      <x:c r="R2003" s="6" t="n">
        <x:v>0</x:v>
      </x:c>
      <x:c r="S2003" s="6" t="n">
        <x:v>2</x:v>
      </x:c>
      <x:c r="T2003" s="6" t="n">
        <x:v>6</x:v>
      </x:c>
      <x:c r="U2003" s="6" t="n">
        <x:v>0</x:v>
      </x:c>
      <x:c r="V2003" s="6" t="n">
        <x:v>0</x:v>
      </x:c>
      <x:c r="W2003" s="6" t="n">
        <x:v>0</x:v>
      </x:c>
      <x:c r="X2003" s="6" t="n">
        <x:v>0</x:v>
      </x:c>
      <x:c r="Y2003" s="6" t="n">
        <x:v>0</x:v>
      </x:c>
      <x:c r="Z2003" s="6" t="n">
        <x:v>0</x:v>
      </x:c>
      <x:c r="AA2003" s="6" t="n">
        <x:v>3</x:v>
      </x:c>
      <x:c r="AB2003" s="6" t="n">
        <x:v>11</x:v>
      </x:c>
      <x:c r="AC2003" s="6" t="n">
        <x:v>0</x:v>
      </x:c>
    </x:row>
    <x:row r="2004">
      <x:c r="A2004" s="6" t="n">
        <x:v>4023</x:v>
      </x:c>
      <x:c r="B2004" s="6" t="n">
        <x:v>1970</x:v>
      </x:c>
      <x:c r="C2004" s="6" t="str">
        <x:v>Graduation</x:v>
      </x:c>
      <x:c r="D2004" s="6" t="str">
        <x:v>Married</x:v>
      </x:c>
      <x:c r="E2004" s="6" t="n">
        <x:v>22979</x:v>
      </x:c>
      <x:c r="F2004" s="6" t="n">
        <x:v>1</x:v>
      </x:c>
      <x:c r="G2004" s="6" t="n">
        <x:v>0</x:v>
      </x:c>
      <x:c r="H2004" s="9" t="str">
        <x:v>06-09-2012</x:v>
      </x:c>
      <x:c r="I2004" s="6" t="n">
        <x:v>29</x:v>
      </x:c>
      <x:c r="J2004" s="6" t="n">
        <x:v>16</x:v>
      </x:c>
      <x:c r="K2004" s="6" t="n">
        <x:v>17</x:v>
      </x:c>
      <x:c r="L2004" s="6" t="n">
        <x:v>19</x:v>
      </x:c>
      <x:c r="M2004" s="6" t="n">
        <x:v>20</x:v>
      </x:c>
      <x:c r="N2004" s="6" t="n">
        <x:v>21</x:v>
      </x:c>
      <x:c r="O2004" s="6" t="n">
        <x:v>22</x:v>
      </x:c>
      <x:c r="P2004" s="6" t="n">
        <x:v>3</x:v>
      </x:c>
      <x:c r="Q2004" s="6" t="n">
        <x:v>3</x:v>
      </x:c>
      <x:c r="R2004" s="6" t="n">
        <x:v>2</x:v>
      </x:c>
      <x:c r="S2004" s="6" t="n">
        <x:v>2</x:v>
      </x:c>
      <x:c r="T2004" s="6" t="n">
        <x:v>8</x:v>
      </x:c>
      <x:c r="U2004" s="6" t="n">
        <x:v>0</x:v>
      </x:c>
      <x:c r="V2004" s="6" t="n">
        <x:v>0</x:v>
      </x:c>
      <x:c r="W2004" s="6" t="n">
        <x:v>0</x:v>
      </x:c>
      <x:c r="X2004" s="6" t="n">
        <x:v>0</x:v>
      </x:c>
      <x:c r="Y2004" s="6" t="n">
        <x:v>0</x:v>
      </x:c>
      <x:c r="Z2004" s="6" t="n">
        <x:v>0</x:v>
      </x:c>
      <x:c r="AA2004" s="6" t="n">
        <x:v>3</x:v>
      </x:c>
      <x:c r="AB2004" s="6" t="n">
        <x:v>11</x:v>
      </x:c>
      <x:c r="AC2004" s="6" t="n">
        <x:v>1</x:v>
      </x:c>
    </x:row>
    <x:row r="2005">
      <x:c r="A2005" s="6" t="n">
        <x:v>6679</x:v>
      </x:c>
      <x:c r="B2005" s="6" t="n">
        <x:v>1966</x:v>
      </x:c>
      <x:c r="C2005" s="6" t="str">
        <x:v>Graduation</x:v>
      </x:c>
      <x:c r="D2005" s="6" t="str">
        <x:v>Single</x:v>
      </x:c>
      <x:c r="E2005" s="6" t="n">
        <x:v>33279</x:v>
      </x:c>
      <x:c r="F2005" s="6" t="n">
        <x:v>0</x:v>
      </x:c>
      <x:c r="G2005" s="6" t="n">
        <x:v>0</x:v>
      </x:c>
      <x:c r="H2005" s="9" t="str">
        <x:v>12-06-2014</x:v>
      </x:c>
      <x:c r="I2005" s="6" t="n">
        <x:v>29</x:v>
      </x:c>
      <x:c r="J2005" s="6" t="n">
        <x:v>10</x:v>
      </x:c>
      <x:c r="K2005" s="6" t="n">
        <x:v>3</x:v>
      </x:c>
      <x:c r="L2005" s="6" t="n">
        <x:v>3</x:v>
      </x:c>
      <x:c r="M2005" s="6" t="n">
        <x:v>0</x:v>
      </x:c>
      <x:c r="N2005" s="6" t="n">
        <x:v>0</x:v>
      </x:c>
      <x:c r="O2005" s="6" t="n">
        <x:v>0</x:v>
      </x:c>
      <x:c r="P2005" s="6" t="n">
        <x:v>1</x:v>
      </x:c>
      <x:c r="Q2005" s="6" t="n">
        <x:v>0</x:v>
      </x:c>
      <x:c r="R2005" s="6" t="n">
        <x:v>0</x:v>
      </x:c>
      <x:c r="S2005" s="6" t="n">
        <x:v>3</x:v>
      </x:c>
      <x:c r="T2005" s="6" t="n">
        <x:v>3</x:v>
      </x:c>
      <x:c r="U2005" s="6" t="n">
        <x:v>0</x:v>
      </x:c>
      <x:c r="V2005" s="6" t="n">
        <x:v>0</x:v>
      </x:c>
      <x:c r="W2005" s="6" t="n">
        <x:v>0</x:v>
      </x:c>
      <x:c r="X2005" s="6" t="n">
        <x:v>0</x:v>
      </x:c>
      <x:c r="Y2005" s="6" t="n">
        <x:v>0</x:v>
      </x:c>
      <x:c r="Z2005" s="6" t="n">
        <x:v>0</x:v>
      </x:c>
      <x:c r="AA2005" s="6" t="n">
        <x:v>3</x:v>
      </x:c>
      <x:c r="AB2005" s="6" t="n">
        <x:v>11</x:v>
      </x:c>
      <x:c r="AC2005" s="6" t="n">
        <x:v>0</x:v>
      </x:c>
    </x:row>
    <x:row r="2006">
      <x:c r="A2006" s="6" t="n">
        <x:v>9923</x:v>
      </x:c>
      <x:c r="B2006" s="6" t="n">
        <x:v>1972</x:v>
      </x:c>
      <x:c r="C2006" s="6" t="str">
        <x:v>Master</x:v>
      </x:c>
      <x:c r="D2006" s="6" t="str">
        <x:v>Single</x:v>
      </x:c>
      <x:c r="E2006" s="6" t="n">
        <x:v>46423</x:v>
      </x:c>
      <x:c r="F2006" s="6" t="n">
        <x:v>1</x:v>
      </x:c>
      <x:c r="G2006" s="6" t="n">
        <x:v>1</x:v>
      </x:c>
      <x:c r="H2006" s="9" t="str">
        <x:v>18-09-2013</x:v>
      </x:c>
      <x:c r="I2006" s="6" t="n">
        <x:v>6</x:v>
      </x:c>
      <x:c r="J2006" s="6" t="n">
        <x:v>68</x:v>
      </x:c>
      <x:c r="K2006" s="6" t="n">
        <x:v>0</x:v>
      </x:c>
      <x:c r="L2006" s="6" t="n">
        <x:v>16</x:v>
      </x:c>
      <x:c r="M2006" s="6" t="n">
        <x:v>0</x:v>
      </x:c>
      <x:c r="N2006" s="6" t="n">
        <x:v>0</x:v>
      </x:c>
      <x:c r="O2006" s="6" t="n">
        <x:v>8</x:v>
      </x:c>
      <x:c r="P2006" s="6" t="n">
        <x:v>3</x:v>
      </x:c>
      <x:c r="Q2006" s="6" t="n">
        <x:v>2</x:v>
      </x:c>
      <x:c r="R2006" s="6" t="n">
        <x:v>0</x:v>
      </x:c>
      <x:c r="S2006" s="6" t="n">
        <x:v>4</x:v>
      </x:c>
      <x:c r="T2006" s="6" t="n">
        <x:v>7</x:v>
      </x:c>
      <x:c r="U2006" s="6" t="n">
        <x:v>0</x:v>
      </x:c>
      <x:c r="V2006" s="6" t="n">
        <x:v>0</x:v>
      </x:c>
      <x:c r="W2006" s="6" t="n">
        <x:v>0</x:v>
      </x:c>
      <x:c r="X2006" s="6" t="n">
        <x:v>0</x:v>
      </x:c>
      <x:c r="Y2006" s="6" t="n">
        <x:v>0</x:v>
      </x:c>
      <x:c r="Z2006" s="6" t="n">
        <x:v>0</x:v>
      </x:c>
      <x:c r="AA2006" s="6" t="n">
        <x:v>3</x:v>
      </x:c>
      <x:c r="AB2006" s="6" t="n">
        <x:v>11</x:v>
      </x:c>
      <x:c r="AC2006" s="6" t="n">
        <x:v>0</x:v>
      </x:c>
    </x:row>
    <x:row r="2007">
      <x:c r="A2007" s="6" t="n">
        <x:v>7181</x:v>
      </x:c>
      <x:c r="B2007" s="6" t="n">
        <x:v>1977</x:v>
      </x:c>
      <x:c r="C2007" s="6" t="str">
        <x:v>Graduation</x:v>
      </x:c>
      <x:c r="D2007" s="6" t="str">
        <x:v>Married</x:v>
      </x:c>
      <x:c r="E2007" s="6" t="n">
        <x:v>30368</x:v>
      </x:c>
      <x:c r="F2007" s="6" t="n">
        <x:v>0</x:v>
      </x:c>
      <x:c r="G2007" s="6" t="n">
        <x:v>1</x:v>
      </x:c>
      <x:c r="H2007" s="9" t="str">
        <x:v>07-11-2013</x:v>
      </x:c>
      <x:c r="I2007" s="6" t="n">
        <x:v>97</x:v>
      </x:c>
      <x:c r="J2007" s="6" t="n">
        <x:v>35</x:v>
      </x:c>
      <x:c r="K2007" s="6" t="n">
        <x:v>0</x:v>
      </x:c>
      <x:c r="L2007" s="6" t="n">
        <x:v>13</x:v>
      </x:c>
      <x:c r="M2007" s="6" t="n">
        <x:v>2</x:v>
      </x:c>
      <x:c r="N2007" s="6" t="n">
        <x:v>0</x:v>
      </x:c>
      <x:c r="O2007" s="6" t="n">
        <x:v>2</x:v>
      </x:c>
      <x:c r="P2007" s="6" t="n">
        <x:v>2</x:v>
      </x:c>
      <x:c r="Q2007" s="6" t="n">
        <x:v>2</x:v>
      </x:c>
      <x:c r="R2007" s="6" t="n">
        <x:v>0</x:v>
      </x:c>
      <x:c r="S2007" s="6" t="n">
        <x:v>3</x:v>
      </x:c>
      <x:c r="T2007" s="6" t="n">
        <x:v>8</x:v>
      </x:c>
      <x:c r="U2007" s="6" t="n">
        <x:v>0</x:v>
      </x:c>
      <x:c r="V2007" s="6" t="n">
        <x:v>0</x:v>
      </x:c>
      <x:c r="W2007" s="6" t="n">
        <x:v>0</x:v>
      </x:c>
      <x:c r="X2007" s="6" t="n">
        <x:v>0</x:v>
      </x:c>
      <x:c r="Y2007" s="6" t="n">
        <x:v>0</x:v>
      </x:c>
      <x:c r="Z2007" s="6" t="n">
        <x:v>0</x:v>
      </x:c>
      <x:c r="AA2007" s="6" t="n">
        <x:v>3</x:v>
      </x:c>
      <x:c r="AB2007" s="6" t="n">
        <x:v>11</x:v>
      </x:c>
      <x:c r="AC2007" s="6" t="n">
        <x:v>0</x:v>
      </x:c>
    </x:row>
    <x:row r="2008">
      <x:c r="A2008" s="6" t="n">
        <x:v>3599</x:v>
      </x:c>
      <x:c r="B2008" s="6" t="n">
        <x:v>1970</x:v>
      </x:c>
      <x:c r="C2008" s="6" t="str">
        <x:v>Graduation</x:v>
      </x:c>
      <x:c r="D2008" s="6" t="str">
        <x:v>Married</x:v>
      </x:c>
      <x:c r="E2008" s="6" t="n">
        <x:v>63684</x:v>
      </x:c>
      <x:c r="F2008" s="6" t="n">
        <x:v>0</x:v>
      </x:c>
      <x:c r="G2008" s="6" t="n">
        <x:v>1</x:v>
      </x:c>
      <x:c r="H2008" s="9" t="str">
        <x:v>26-11-2012</x:v>
      </x:c>
      <x:c r="I2008" s="6" t="n">
        <x:v>61</x:v>
      </x:c>
      <x:c r="J2008" s="6" t="n">
        <x:v>575</x:v>
      </x:c>
      <x:c r="K2008" s="6" t="n">
        <x:v>80</x:v>
      </x:c>
      <x:c r="L2008" s="6" t="n">
        <x:v>428</x:v>
      </x:c>
      <x:c r="M2008" s="6" t="n">
        <x:v>208</x:v>
      </x:c>
      <x:c r="N2008" s="6" t="n">
        <x:v>93</x:v>
      </x:c>
      <x:c r="O2008" s="6" t="n">
        <x:v>80</x:v>
      </x:c>
      <x:c r="P2008" s="6" t="n">
        <x:v>3</x:v>
      </x:c>
      <x:c r="Q2008" s="6" t="n">
        <x:v>8</x:v>
      </x:c>
      <x:c r="R2008" s="6" t="n">
        <x:v>4</x:v>
      </x:c>
      <x:c r="S2008" s="6" t="n">
        <x:v>8</x:v>
      </x:c>
      <x:c r="T2008" s="6" t="n">
        <x:v>5</x:v>
      </x:c>
      <x:c r="U2008" s="6" t="n">
        <x:v>0</x:v>
      </x:c>
      <x:c r="V2008" s="6" t="n">
        <x:v>0</x:v>
      </x:c>
      <x:c r="W2008" s="6" t="n">
        <x:v>0</x:v>
      </x:c>
      <x:c r="X2008" s="6" t="n">
        <x:v>0</x:v>
      </x:c>
      <x:c r="Y2008" s="6" t="n">
        <x:v>0</x:v>
      </x:c>
      <x:c r="Z2008" s="6" t="n">
        <x:v>0</x:v>
      </x:c>
      <x:c r="AA2008" s="6" t="n">
        <x:v>3</x:v>
      </x:c>
      <x:c r="AB2008" s="6" t="n">
        <x:v>11</x:v>
      </x:c>
      <x:c r="AC2008" s="6" t="n">
        <x:v>0</x:v>
      </x:c>
    </x:row>
    <x:row r="2009">
      <x:c r="A2009" s="6" t="n">
        <x:v>405</x:v>
      </x:c>
      <x:c r="B2009" s="6" t="n">
        <x:v>1964</x:v>
      </x:c>
      <x:c r="C2009" s="6" t="str">
        <x:v>Graduation</x:v>
      </x:c>
      <x:c r="D2009" s="6" t="str">
        <x:v>Divorced</x:v>
      </x:c>
      <x:c r="E2009" s="6" t="n">
        <x:v>41638</x:v>
      </x:c>
      <x:c r="F2009" s="6" t="n">
        <x:v>0</x:v>
      </x:c>
      <x:c r="G2009" s="6" t="n">
        <x:v>1</x:v>
      </x:c>
      <x:c r="H2009" s="9" t="str">
        <x:v>13-02-2013</x:v>
      </x:c>
      <x:c r="I2009" s="6" t="n">
        <x:v>68</x:v>
      </x:c>
      <x:c r="J2009" s="6" t="n">
        <x:v>315</x:v>
      </x:c>
      <x:c r="K2009" s="6" t="n">
        <x:v>0</x:v>
      </x:c>
      <x:c r="L2009" s="6" t="n">
        <x:v>31</x:v>
      </x:c>
      <x:c r="M2009" s="6" t="n">
        <x:v>4</x:v>
      </x:c>
      <x:c r="N2009" s="6" t="n">
        <x:v>0</x:v>
      </x:c>
      <x:c r="O2009" s="6" t="n">
        <x:v>91</x:v>
      </x:c>
      <x:c r="P2009" s="6" t="n">
        <x:v>4</x:v>
      </x:c>
      <x:c r="Q2009" s="6" t="n">
        <x:v>5</x:v>
      </x:c>
      <x:c r="R2009" s="6" t="n">
        <x:v>5</x:v>
      </x:c>
      <x:c r="S2009" s="6" t="n">
        <x:v>3</x:v>
      </x:c>
      <x:c r="T2009" s="6" t="n">
        <x:v>8</x:v>
      </x:c>
      <x:c r="U2009" s="6" t="n">
        <x:v>1</x:v>
      </x:c>
      <x:c r="V2009" s="6" t="n">
        <x:v>0</x:v>
      </x:c>
      <x:c r="W2009" s="6" t="n">
        <x:v>0</x:v>
      </x:c>
      <x:c r="X2009" s="6" t="n">
        <x:v>0</x:v>
      </x:c>
      <x:c r="Y2009" s="6" t="n">
        <x:v>0</x:v>
      </x:c>
      <x:c r="Z2009" s="6" t="n">
        <x:v>0</x:v>
      </x:c>
      <x:c r="AA2009" s="6" t="n">
        <x:v>3</x:v>
      </x:c>
      <x:c r="AB2009" s="6" t="n">
        <x:v>11</x:v>
      </x:c>
      <x:c r="AC2009" s="6" t="n">
        <x:v>0</x:v>
      </x:c>
    </x:row>
    <x:row r="2010">
      <x:c r="A2010" s="6" t="n">
        <x:v>6870</x:v>
      </x:c>
      <x:c r="B2010" s="6" t="n">
        <x:v>1959</x:v>
      </x:c>
      <x:c r="C2010" s="6" t="str">
        <x:v>PhD</x:v>
      </x:c>
      <x:c r="D2010" s="6" t="str">
        <x:v>Divorced</x:v>
      </x:c>
      <x:c r="E2010" s="6" t="n">
        <x:v>68805</x:v>
      </x:c>
      <x:c r="F2010" s="6" t="n">
        <x:v>0</x:v>
      </x:c>
      <x:c r="G2010" s="6" t="n">
        <x:v>1</x:v>
      </x:c>
      <x:c r="H2010" s="9" t="str">
        <x:v>17-09-2013</x:v>
      </x:c>
      <x:c r="I2010" s="6" t="n">
        <x:v>73</x:v>
      </x:c>
      <x:c r="J2010" s="6" t="n">
        <x:v>182</x:v>
      </x:c>
      <x:c r="K2010" s="6" t="n">
        <x:v>2</x:v>
      </x:c>
      <x:c r="L2010" s="6" t="n">
        <x:v>49</x:v>
      </x:c>
      <x:c r="M2010" s="6" t="n">
        <x:v>17</x:v>
      </x:c>
      <x:c r="N2010" s="6" t="n">
        <x:v>13</x:v>
      </x:c>
      <x:c r="O2010" s="6" t="n">
        <x:v>20</x:v>
      </x:c>
      <x:c r="P2010" s="6" t="n">
        <x:v>1</x:v>
      </x:c>
      <x:c r="Q2010" s="6" t="n">
        <x:v>3</x:v>
      </x:c>
      <x:c r="R2010" s="6" t="n">
        <x:v>1</x:v>
      </x:c>
      <x:c r="S2010" s="6" t="n">
        <x:v>7</x:v>
      </x:c>
      <x:c r="T2010" s="6" t="n">
        <x:v>2</x:v>
      </x:c>
      <x:c r="U2010" s="6" t="n">
        <x:v>0</x:v>
      </x:c>
      <x:c r="V2010" s="6" t="n">
        <x:v>0</x:v>
      </x:c>
      <x:c r="W2010" s="6" t="n">
        <x:v>0</x:v>
      </x:c>
      <x:c r="X2010" s="6" t="n">
        <x:v>0</x:v>
      </x:c>
      <x:c r="Y2010" s="6" t="n">
        <x:v>0</x:v>
      </x:c>
      <x:c r="Z2010" s="6" t="n">
        <x:v>0</x:v>
      </x:c>
      <x:c r="AA2010" s="6" t="n">
        <x:v>3</x:v>
      </x:c>
      <x:c r="AB2010" s="6" t="n">
        <x:v>11</x:v>
      </x:c>
      <x:c r="AC2010" s="6" t="n">
        <x:v>0</x:v>
      </x:c>
    </x:row>
    <x:row r="2011">
      <x:c r="A2011" s="6" t="n">
        <x:v>832</x:v>
      </x:c>
      <x:c r="B2011" s="6" t="n">
        <x:v>1966</x:v>
      </x:c>
      <x:c r="C2011" s="6" t="str">
        <x:v>PhD</x:v>
      </x:c>
      <x:c r="D2011" s="6" t="str">
        <x:v>Together</x:v>
      </x:c>
      <x:c r="E2011" s="6" t="n">
        <x:v>65814</x:v>
      </x:c>
      <x:c r="F2011" s="6" t="n">
        <x:v>0</x:v>
      </x:c>
      <x:c r="G2011" s="6" t="n">
        <x:v>1</x:v>
      </x:c>
      <x:c r="H2011" s="9" t="str">
        <x:v>02-03-2014</x:v>
      </x:c>
      <x:c r="I2011" s="6" t="n">
        <x:v>90</x:v>
      </x:c>
      <x:c r="J2011" s="6" t="n">
        <x:v>561</x:v>
      </x:c>
      <x:c r="K2011" s="6" t="n">
        <x:v>14</x:v>
      </x:c>
      <x:c r="L2011" s="6" t="n">
        <x:v>113</x:v>
      </x:c>
      <x:c r="M2011" s="6" t="n">
        <x:v>10</x:v>
      </x:c>
      <x:c r="N2011" s="6" t="n">
        <x:v>14</x:v>
      </x:c>
      <x:c r="O2011" s="6" t="n">
        <x:v>35</x:v>
      </x:c>
      <x:c r="P2011" s="6" t="n">
        <x:v>3</x:v>
      </x:c>
      <x:c r="Q2011" s="6" t="n">
        <x:v>8</x:v>
      </x:c>
      <x:c r="R2011" s="6" t="n">
        <x:v>2</x:v>
      </x:c>
      <x:c r="S2011" s="6" t="n">
        <x:v>10</x:v>
      </x:c>
      <x:c r="T2011" s="6" t="n">
        <x:v>5</x:v>
      </x:c>
      <x:c r="U2011" s="6" t="n">
        <x:v>0</x:v>
      </x:c>
      <x:c r="V2011" s="6" t="n">
        <x:v>0</x:v>
      </x:c>
      <x:c r="W2011" s="6" t="n">
        <x:v>0</x:v>
      </x:c>
      <x:c r="X2011" s="6" t="n">
        <x:v>0</x:v>
      </x:c>
      <x:c r="Y2011" s="6" t="n">
        <x:v>0</x:v>
      </x:c>
      <x:c r="Z2011" s="6" t="n">
        <x:v>0</x:v>
      </x:c>
      <x:c r="AA2011" s="6" t="n">
        <x:v>3</x:v>
      </x:c>
      <x:c r="AB2011" s="6" t="n">
        <x:v>11</x:v>
      </x:c>
      <x:c r="AC2011" s="6" t="n">
        <x:v>0</x:v>
      </x:c>
    </x:row>
    <x:row r="2012">
      <x:c r="A2012" s="6" t="n">
        <x:v>2002</x:v>
      </x:c>
      <x:c r="B2012" s="6" t="n">
        <x:v>1958</x:v>
      </x:c>
      <x:c r="C2012" s="6" t="str">
        <x:v>Graduation</x:v>
      </x:c>
      <x:c r="D2012" s="6" t="str">
        <x:v>Divorced</x:v>
      </x:c>
      <x:c r="E2012" s="6" t="n">
        <x:v>71964</x:v>
      </x:c>
      <x:c r="F2012" s="6" t="n">
        <x:v>0</x:v>
      </x:c>
      <x:c r="G2012" s="6" t="n">
        <x:v>0</x:v>
      </x:c>
      <x:c r="H2012" s="9" t="str">
        <x:v>20-05-2013</x:v>
      </x:c>
      <x:c r="I2012" s="6" t="n">
        <x:v>81</x:v>
      </x:c>
      <x:c r="J2012" s="6" t="n">
        <x:v>587</x:v>
      </x:c>
      <x:c r="K2012" s="6" t="n">
        <x:v>51</x:v>
      </x:c>
      <x:c r="L2012" s="6" t="n">
        <x:v>932</x:v>
      </x:c>
      <x:c r="M2012" s="6" t="n">
        <x:v>180</x:v>
      </x:c>
      <x:c r="N2012" s="6" t="n">
        <x:v>34</x:v>
      </x:c>
      <x:c r="O2012" s="6" t="n">
        <x:v>86</x:v>
      </x:c>
      <x:c r="P2012" s="6" t="n">
        <x:v>1</x:v>
      </x:c>
      <x:c r="Q2012" s="6" t="n">
        <x:v>5</x:v>
      </x:c>
      <x:c r="R2012" s="6" t="n">
        <x:v>6</x:v>
      </x:c>
      <x:c r="S2012" s="6" t="n">
        <x:v>5</x:v>
      </x:c>
      <x:c r="T2012" s="6" t="n">
        <x:v>3</x:v>
      </x:c>
      <x:c r="U2012" s="6" t="n">
        <x:v>0</x:v>
      </x:c>
      <x:c r="V2012" s="6" t="n">
        <x:v>0</x:v>
      </x:c>
      <x:c r="W2012" s="6" t="n">
        <x:v>0</x:v>
      </x:c>
      <x:c r="X2012" s="6" t="n">
        <x:v>0</x:v>
      </x:c>
      <x:c r="Y2012" s="6" t="n">
        <x:v>0</x:v>
      </x:c>
      <x:c r="Z2012" s="6" t="n">
        <x:v>0</x:v>
      </x:c>
      <x:c r="AA2012" s="6" t="n">
        <x:v>3</x:v>
      </x:c>
      <x:c r="AB2012" s="6" t="n">
        <x:v>11</x:v>
      </x:c>
      <x:c r="AC2012" s="6" t="n">
        <x:v>0</x:v>
      </x:c>
    </x:row>
    <x:row r="2013">
      <x:c r="A2013" s="6" t="n">
        <x:v>3657</x:v>
      </x:c>
      <x:c r="B2013" s="6" t="n">
        <x:v>1986</x:v>
      </x:c>
      <x:c r="C2013" s="6" t="str">
        <x:v>Graduation</x:v>
      </x:c>
      <x:c r="D2013" s="6" t="str">
        <x:v>Single</x:v>
      </x:c>
      <x:c r="E2013" s="6" t="n">
        <x:v>39146</x:v>
      </x:c>
      <x:c r="F2013" s="6" t="n">
        <x:v>1</x:v>
      </x:c>
      <x:c r="G2013" s="6" t="n">
        <x:v>0</x:v>
      </x:c>
      <x:c r="H2013" s="9" t="str">
        <x:v>14-02-2013</x:v>
      </x:c>
      <x:c r="I2013" s="6" t="n">
        <x:v>1</x:v>
      </x:c>
      <x:c r="J2013" s="6" t="n">
        <x:v>94</x:v>
      </x:c>
      <x:c r="K2013" s="6" t="n">
        <x:v>1</x:v>
      </x:c>
      <x:c r="L2013" s="6" t="n">
        <x:v>33</x:v>
      </x:c>
      <x:c r="M2013" s="6" t="n">
        <x:v>13</x:v>
      </x:c>
      <x:c r="N2013" s="6" t="n">
        <x:v>12</x:v>
      </x:c>
      <x:c r="O2013" s="6" t="n">
        <x:v>12</x:v>
      </x:c>
      <x:c r="P2013" s="6" t="n">
        <x:v>3</x:v>
      </x:c>
      <x:c r="Q2013" s="6" t="n">
        <x:v>4</x:v>
      </x:c>
      <x:c r="R2013" s="6" t="n">
        <x:v>0</x:v>
      </x:c>
      <x:c r="S2013" s="6" t="n">
        <x:v>4</x:v>
      </x:c>
      <x:c r="T2013" s="6" t="n">
        <x:v>8</x:v>
      </x:c>
      <x:c r="U2013" s="6" t="n">
        <x:v>0</x:v>
      </x:c>
      <x:c r="V2013" s="6" t="n">
        <x:v>0</x:v>
      </x:c>
      <x:c r="W2013" s="6" t="n">
        <x:v>0</x:v>
      </x:c>
      <x:c r="X2013" s="6" t="n">
        <x:v>0</x:v>
      </x:c>
      <x:c r="Y2013" s="6" t="n">
        <x:v>0</x:v>
      </x:c>
      <x:c r="Z2013" s="6" t="n">
        <x:v>0</x:v>
      </x:c>
      <x:c r="AA2013" s="6" t="n">
        <x:v>3</x:v>
      </x:c>
      <x:c r="AB2013" s="6" t="n">
        <x:v>11</x:v>
      </x:c>
      <x:c r="AC2013" s="6" t="n">
        <x:v>0</x:v>
      </x:c>
    </x:row>
    <x:row r="2014">
      <x:c r="A2014" s="6" t="n">
        <x:v>500</x:v>
      </x:c>
      <x:c r="B2014" s="6" t="n">
        <x:v>1977</x:v>
      </x:c>
      <x:c r="C2014" s="6" t="str">
        <x:v>Graduation</x:v>
      </x:c>
      <x:c r="D2014" s="6" t="str">
        <x:v>Together</x:v>
      </x:c>
      <x:c r="E2014" s="6" t="n">
        <x:v>96876</x:v>
      </x:c>
      <x:c r="F2014" s="6" t="n">
        <x:v>0</x:v>
      </x:c>
      <x:c r="G2014" s="6" t="n">
        <x:v>0</x:v>
      </x:c>
      <x:c r="H2014" s="9" t="str">
        <x:v>06-08-2013</x:v>
      </x:c>
      <x:c r="I2014" s="6" t="n">
        <x:v>79</x:v>
      </x:c>
      <x:c r="J2014" s="6" t="n">
        <x:v>908</x:v>
      </x:c>
      <x:c r="K2014" s="6" t="n">
        <x:v>43</x:v>
      </x:c>
      <x:c r="L2014" s="6" t="n">
        <x:v>735</x:v>
      </x:c>
      <x:c r="M2014" s="6" t="n">
        <x:v>40</x:v>
      </x:c>
      <x:c r="N2014" s="6" t="n">
        <x:v>194</x:v>
      </x:c>
      <x:c r="O2014" s="6" t="n">
        <x:v>21</x:v>
      </x:c>
      <x:c r="P2014" s="6" t="n">
        <x:v>1</x:v>
      </x:c>
      <x:c r="Q2014" s="6" t="n">
        <x:v>7</x:v>
      </x:c>
      <x:c r="R2014" s="6" t="n">
        <x:v>7</x:v>
      </x:c>
      <x:c r="S2014" s="6" t="n">
        <x:v>9</x:v>
      </x:c>
      <x:c r="T2014" s="6" t="n">
        <x:v>2</x:v>
      </x:c>
      <x:c r="U2014" s="6" t="n">
        <x:v>0</x:v>
      </x:c>
      <x:c r="V2014" s="6" t="n">
        <x:v>1</x:v>
      </x:c>
      <x:c r="W2014" s="6" t="n">
        <x:v>1</x:v>
      </x:c>
      <x:c r="X2014" s="6" t="n">
        <x:v>1</x:v>
      </x:c>
      <x:c r="Y2014" s="6" t="n">
        <x:v>0</x:v>
      </x:c>
      <x:c r="Z2014" s="6" t="n">
        <x:v>0</x:v>
      </x:c>
      <x:c r="AA2014" s="6" t="n">
        <x:v>3</x:v>
      </x:c>
      <x:c r="AB2014" s="6" t="n">
        <x:v>11</x:v>
      </x:c>
      <x:c r="AC2014" s="6" t="n">
        <x:v>1</x:v>
      </x:c>
    </x:row>
    <x:row r="2015">
      <x:c r="A2015" s="6" t="n">
        <x:v>1951</x:v>
      </x:c>
      <x:c r="B2015" s="6" t="n">
        <x:v>1981</x:v>
      </x:c>
      <x:c r="C2015" s="6" t="str">
        <x:v>Basic</x:v>
      </x:c>
      <x:c r="D2015" s="6" t="str">
        <x:v>Married</x:v>
      </x:c>
      <x:c r="E2015" s="6" t="n">
        <x:v>34445</x:v>
      </x:c>
      <x:c r="F2015" s="6" t="n">
        <x:v>0</x:v>
      </x:c>
      <x:c r="G2015" s="6" t="n">
        <x:v>0</x:v>
      </x:c>
      <x:c r="H2015" s="9" t="str">
        <x:v>27-01-2013</x:v>
      </x:c>
      <x:c r="I2015" s="6" t="n">
        <x:v>92</x:v>
      </x:c>
      <x:c r="J2015" s="6" t="n">
        <x:v>228</x:v>
      </x:c>
      <x:c r="K2015" s="6" t="n">
        <x:v>122</x:v>
      </x:c>
      <x:c r="L2015" s="6" t="n">
        <x:v>122</x:v>
      </x:c>
      <x:c r="M2015" s="6" t="n">
        <x:v>208</x:v>
      </x:c>
      <x:c r="N2015" s="6" t="n">
        <x:v>129</x:v>
      </x:c>
      <x:c r="O2015" s="6" t="n">
        <x:v>30</x:v>
      </x:c>
      <x:c r="P2015" s="6" t="n">
        <x:v>6</x:v>
      </x:c>
      <x:c r="Q2015" s="6" t="n">
        <x:v>11</x:v>
      </x:c>
      <x:c r="R2015" s="6" t="n">
        <x:v>2</x:v>
      </x:c>
      <x:c r="S2015" s="6" t="n">
        <x:v>8</x:v>
      </x:c>
      <x:c r="T2015" s="6" t="n">
        <x:v>9</x:v>
      </x:c>
      <x:c r="U2015" s="6" t="n">
        <x:v>0</x:v>
      </x:c>
      <x:c r="V2015" s="6" t="n">
        <x:v>0</x:v>
      </x:c>
      <x:c r="W2015" s="6" t="n">
        <x:v>0</x:v>
      </x:c>
      <x:c r="X2015" s="6" t="n">
        <x:v>0</x:v>
      </x:c>
      <x:c r="Y2015" s="6" t="n">
        <x:v>0</x:v>
      </x:c>
      <x:c r="Z2015" s="6" t="n">
        <x:v>0</x:v>
      </x:c>
      <x:c r="AA2015" s="6" t="n">
        <x:v>3</x:v>
      </x:c>
      <x:c r="AB2015" s="6" t="n">
        <x:v>11</x:v>
      </x:c>
      <x:c r="AC2015" s="6" t="n">
        <x:v>0</x:v>
      </x:c>
    </x:row>
    <x:row r="2016">
      <x:c r="A2016" s="6" t="n">
        <x:v>3262</x:v>
      </x:c>
      <x:c r="B2016" s="6" t="n">
        <x:v>1958</x:v>
      </x:c>
      <x:c r="C2016" s="6" t="str">
        <x:v>Graduation</x:v>
      </x:c>
      <x:c r="D2016" s="6" t="str">
        <x:v>Single</x:v>
      </x:c>
      <x:c r="E2016" s="6" t="n">
        <x:v>68281</x:v>
      </x:c>
      <x:c r="F2016" s="6" t="n">
        <x:v>0</x:v>
      </x:c>
      <x:c r="G2016" s="6" t="n">
        <x:v>0</x:v>
      </x:c>
      <x:c r="H2016" s="9" t="str">
        <x:v>07-08-2012</x:v>
      </x:c>
      <x:c r="I2016" s="6" t="n">
        <x:v>31</x:v>
      </x:c>
      <x:c r="J2016" s="6" t="n">
        <x:v>995</x:v>
      </x:c>
      <x:c r="K2016" s="6" t="n">
        <x:v>112</x:v>
      </x:c>
      <x:c r="L2016" s="6" t="n">
        <x:v>417</x:v>
      </x:c>
      <x:c r="M2016" s="6" t="n">
        <x:v>42</x:v>
      </x:c>
      <x:c r="N2016" s="6" t="n">
        <x:v>48</x:v>
      </x:c>
      <x:c r="O2016" s="6" t="n">
        <x:v>41</x:v>
      </x:c>
      <x:c r="P2016" s="6" t="n">
        <x:v>1</x:v>
      </x:c>
      <x:c r="Q2016" s="6" t="n">
        <x:v>2</x:v>
      </x:c>
      <x:c r="R2016" s="6" t="n">
        <x:v>9</x:v>
      </x:c>
      <x:c r="S2016" s="6" t="n">
        <x:v>13</x:v>
      </x:c>
      <x:c r="T2016" s="6" t="n">
        <x:v>5</x:v>
      </x:c>
      <x:c r="U2016" s="6" t="n">
        <x:v>0</x:v>
      </x:c>
      <x:c r="V2016" s="6" t="n">
        <x:v>0</x:v>
      </x:c>
      <x:c r="W2016" s="6" t="n">
        <x:v>0</x:v>
      </x:c>
      <x:c r="X2016" s="6" t="n">
        <x:v>0</x:v>
      </x:c>
      <x:c r="Y2016" s="6" t="n">
        <x:v>0</x:v>
      </x:c>
      <x:c r="Z2016" s="6" t="n">
        <x:v>0</x:v>
      </x:c>
      <x:c r="AA2016" s="6" t="n">
        <x:v>3</x:v>
      </x:c>
      <x:c r="AB2016" s="6" t="n">
        <x:v>11</x:v>
      </x:c>
      <x:c r="AC2016" s="6" t="n">
        <x:v>1</x:v>
      </x:c>
    </x:row>
    <x:row r="2017">
      <x:c r="A2017" s="6" t="n">
        <x:v>4102</x:v>
      </x:c>
      <x:c r="B2017" s="6" t="n">
        <x:v>1975</x:v>
      </x:c>
      <x:c r="C2017" s="6" t="str">
        <x:v>2n Cycle</x:v>
      </x:c>
      <x:c r="D2017" s="6" t="str">
        <x:v>Married</x:v>
      </x:c>
      <x:c r="E2017" s="6" t="n">
        <x:v>37284</x:v>
      </x:c>
      <x:c r="F2017" s="6" t="n">
        <x:v>1</x:v>
      </x:c>
      <x:c r="G2017" s="6" t="n">
        <x:v>1</x:v>
      </x:c>
      <x:c r="H2017" s="9" t="str">
        <x:v>29-03-2013</x:v>
      </x:c>
      <x:c r="I2017" s="6" t="n">
        <x:v>46</x:v>
      </x:c>
      <x:c r="J2017" s="6" t="n">
        <x:v>11</x:v>
      </x:c>
      <x:c r="K2017" s="6" t="n">
        <x:v>1</x:v>
      </x:c>
      <x:c r="L2017" s="6" t="n">
        <x:v>2</x:v>
      </x:c>
      <x:c r="M2017" s="6" t="n">
        <x:v>2</x:v>
      </x:c>
      <x:c r="N2017" s="6" t="n">
        <x:v>1</x:v>
      </x:c>
      <x:c r="O2017" s="6" t="n">
        <x:v>6</x:v>
      </x:c>
      <x:c r="P2017" s="6" t="n">
        <x:v>1</x:v>
      </x:c>
      <x:c r="Q2017" s="6" t="n">
        <x:v>0</x:v>
      </x:c>
      <x:c r="R2017" s="6" t="n">
        <x:v>0</x:v>
      </x:c>
      <x:c r="S2017" s="6" t="n">
        <x:v>3</x:v>
      </x:c>
      <x:c r="T2017" s="6" t="n">
        <x:v>6</x:v>
      </x:c>
      <x:c r="U2017" s="6" t="n">
        <x:v>0</x:v>
      </x:c>
      <x:c r="V2017" s="6" t="n">
        <x:v>0</x:v>
      </x:c>
      <x:c r="W2017" s="6" t="n">
        <x:v>0</x:v>
      </x:c>
      <x:c r="X2017" s="6" t="n">
        <x:v>0</x:v>
      </x:c>
      <x:c r="Y2017" s="6" t="n">
        <x:v>0</x:v>
      </x:c>
      <x:c r="Z2017" s="6" t="n">
        <x:v>0</x:v>
      </x:c>
      <x:c r="AA2017" s="6" t="n">
        <x:v>3</x:v>
      </x:c>
      <x:c r="AB2017" s="6" t="n">
        <x:v>11</x:v>
      </x:c>
      <x:c r="AC2017" s="6" t="n">
        <x:v>0</x:v>
      </x:c>
    </x:row>
    <x:row r="2018">
      <x:c r="A2018" s="6" t="n">
        <x:v>7042</x:v>
      </x:c>
      <x:c r="B2018" s="6" t="n">
        <x:v>1983</x:v>
      </x:c>
      <x:c r="C2018" s="6" t="str">
        <x:v>Graduation</x:v>
      </x:c>
      <x:c r="D2018" s="6" t="str">
        <x:v>Married</x:v>
      </x:c>
      <x:c r="E2018" s="6" t="n">
        <x:v>36790</x:v>
      </x:c>
      <x:c r="F2018" s="6" t="n">
        <x:v>0</x:v>
      </x:c>
      <x:c r="G2018" s="6" t="n">
        <x:v>0</x:v>
      </x:c>
      <x:c r="H2018" s="9" t="str">
        <x:v>01-03-2013</x:v>
      </x:c>
      <x:c r="I2018" s="6" t="n">
        <x:v>14</x:v>
      </x:c>
      <x:c r="J2018" s="6" t="n">
        <x:v>3</x:v>
      </x:c>
      <x:c r="K2018" s="6" t="n">
        <x:v>3</x:v>
      </x:c>
      <x:c r="L2018" s="6" t="n">
        <x:v>14</x:v>
      </x:c>
      <x:c r="M2018" s="6" t="n">
        <x:v>15</x:v>
      </x:c>
      <x:c r="N2018" s="6" t="n">
        <x:v>21</x:v>
      </x:c>
      <x:c r="O2018" s="6" t="n">
        <x:v>10</x:v>
      </x:c>
      <x:c r="P2018" s="6" t="n">
        <x:v>1</x:v>
      </x:c>
      <x:c r="Q2018" s="6" t="n">
        <x:v>2</x:v>
      </x:c>
      <x:c r="R2018" s="6" t="n">
        <x:v>1</x:v>
      </x:c>
      <x:c r="S2018" s="6" t="n">
        <x:v>2</x:v>
      </x:c>
      <x:c r="T2018" s="6" t="n">
        <x:v>9</x:v>
      </x:c>
      <x:c r="U2018" s="6" t="n">
        <x:v>0</x:v>
      </x:c>
      <x:c r="V2018" s="6" t="n">
        <x:v>0</x:v>
      </x:c>
      <x:c r="W2018" s="6" t="n">
        <x:v>0</x:v>
      </x:c>
      <x:c r="X2018" s="6" t="n">
        <x:v>0</x:v>
      </x:c>
      <x:c r="Y2018" s="6" t="n">
        <x:v>0</x:v>
      </x:c>
      <x:c r="Z2018" s="6" t="n">
        <x:v>0</x:v>
      </x:c>
      <x:c r="AA2018" s="6" t="n">
        <x:v>3</x:v>
      </x:c>
      <x:c r="AB2018" s="6" t="n">
        <x:v>11</x:v>
      </x:c>
      <x:c r="AC2018" s="6" t="n">
        <x:v>1</x:v>
      </x:c>
    </x:row>
    <x:row r="2019">
      <x:c r="A2019" s="6" t="n">
        <x:v>10598</x:v>
      </x:c>
      <x:c r="B2019" s="6" t="n">
        <x:v>1967</x:v>
      </x:c>
      <x:c r="C2019" s="6" t="str">
        <x:v>Graduation</x:v>
      </x:c>
      <x:c r="D2019" s="6" t="str">
        <x:v>Together</x:v>
      </x:c>
      <x:c r="E2019" s="6" t="n">
        <x:v>27943</x:v>
      </x:c>
      <x:c r="F2019" s="6" t="n">
        <x:v>1</x:v>
      </x:c>
      <x:c r="G2019" s="6" t="n">
        <x:v>1</x:v>
      </x:c>
      <x:c r="H2019" s="9" t="str">
        <x:v>15-04-2013</x:v>
      </x:c>
      <x:c r="I2019" s="6" t="n">
        <x:v>89</x:v>
      </x:c>
      <x:c r="J2019" s="6" t="n">
        <x:v>12</x:v>
      </x:c>
      <x:c r="K2019" s="6" t="n">
        <x:v>1</x:v>
      </x:c>
      <x:c r="L2019" s="6" t="n">
        <x:v>16</x:v>
      </x:c>
      <x:c r="M2019" s="6" t="n">
        <x:v>4</x:v>
      </x:c>
      <x:c r="N2019" s="6" t="n">
        <x:v>1</x:v>
      </x:c>
      <x:c r="O2019" s="6" t="n">
        <x:v>3</x:v>
      </x:c>
      <x:c r="P2019" s="6" t="n">
        <x:v>3</x:v>
      </x:c>
      <x:c r="Q2019" s="6" t="n">
        <x:v>2</x:v>
      </x:c>
      <x:c r="R2019" s="6" t="n">
        <x:v>0</x:v>
      </x:c>
      <x:c r="S2019" s="6" t="n">
        <x:v>3</x:v>
      </x:c>
      <x:c r="T2019" s="6" t="n">
        <x:v>8</x:v>
      </x:c>
      <x:c r="U2019" s="6" t="n">
        <x:v>0</x:v>
      </x:c>
      <x:c r="V2019" s="6" t="n">
        <x:v>0</x:v>
      </x:c>
      <x:c r="W2019" s="6" t="n">
        <x:v>0</x:v>
      </x:c>
      <x:c r="X2019" s="6" t="n">
        <x:v>0</x:v>
      </x:c>
      <x:c r="Y2019" s="6" t="n">
        <x:v>0</x:v>
      </x:c>
      <x:c r="Z2019" s="6" t="n">
        <x:v>0</x:v>
      </x:c>
      <x:c r="AA2019" s="6" t="n">
        <x:v>3</x:v>
      </x:c>
      <x:c r="AB2019" s="6" t="n">
        <x:v>11</x:v>
      </x:c>
      <x:c r="AC2019" s="6" t="n">
        <x:v>0</x:v>
      </x:c>
    </x:row>
    <x:row r="2020">
      <x:c r="A2020" s="6" t="n">
        <x:v>255</x:v>
      </x:c>
      <x:c r="B2020" s="6" t="n">
        <x:v>1951</x:v>
      </x:c>
      <x:c r="C2020" s="6" t="str">
        <x:v>Graduation</x:v>
      </x:c>
      <x:c r="D2020" s="6" t="str">
        <x:v>Divorced</x:v>
      </x:c>
      <x:c r="E2020" s="6" t="n">
        <x:v>22263</x:v>
      </x:c>
      <x:c r="F2020" s="6" t="n">
        <x:v>1</x:v>
      </x:c>
      <x:c r="G2020" s="6" t="n">
        <x:v>1</x:v>
      </x:c>
      <x:c r="H2020" s="9" t="str">
        <x:v>30-03-2014</x:v>
      </x:c>
      <x:c r="I2020" s="6" t="n">
        <x:v>31</x:v>
      </x:c>
      <x:c r="J2020" s="6" t="n">
        <x:v>17</x:v>
      </x:c>
      <x:c r="K2020" s="6" t="n">
        <x:v>0</x:v>
      </x:c>
      <x:c r="L2020" s="6" t="n">
        <x:v>2</x:v>
      </x:c>
      <x:c r="M2020" s="6" t="n">
        <x:v>0</x:v>
      </x:c>
      <x:c r="N2020" s="6" t="n">
        <x:v>0</x:v>
      </x:c>
      <x:c r="O2020" s="6" t="n">
        <x:v>2</x:v>
      </x:c>
      <x:c r="P2020" s="6" t="n">
        <x:v>2</x:v>
      </x:c>
      <x:c r="Q2020" s="6" t="n">
        <x:v>1</x:v>
      </x:c>
      <x:c r="R2020" s="6" t="n">
        <x:v>0</x:v>
      </x:c>
      <x:c r="S2020" s="6" t="n">
        <x:v>3</x:v>
      </x:c>
      <x:c r="T2020" s="6" t="n">
        <x:v>6</x:v>
      </x:c>
      <x:c r="U2020" s="6" t="n">
        <x:v>0</x:v>
      </x:c>
      <x:c r="V2020" s="6" t="n">
        <x:v>0</x:v>
      </x:c>
      <x:c r="W2020" s="6" t="n">
        <x:v>0</x:v>
      </x:c>
      <x:c r="X2020" s="6" t="n">
        <x:v>0</x:v>
      </x:c>
      <x:c r="Y2020" s="6" t="n">
        <x:v>0</x:v>
      </x:c>
      <x:c r="Z2020" s="6" t="n">
        <x:v>1</x:v>
      </x:c>
      <x:c r="AA2020" s="6" t="n">
        <x:v>3</x:v>
      </x:c>
      <x:c r="AB2020" s="6" t="n">
        <x:v>11</x:v>
      </x:c>
      <x:c r="AC2020" s="6" t="n">
        <x:v>0</x:v>
      </x:c>
    </x:row>
    <x:row r="2021">
      <x:c r="A2021" s="6" t="n">
        <x:v>2375</x:v>
      </x:c>
      <x:c r="B2021" s="6" t="n">
        <x:v>1972</x:v>
      </x:c>
      <x:c r="C2021" s="6" t="str">
        <x:v>Graduation</x:v>
      </x:c>
      <x:c r="D2021" s="6" t="str">
        <x:v>Together</x:v>
      </x:c>
      <x:c r="E2021" s="6" t="n">
        <x:v>30261</x:v>
      </x:c>
      <x:c r="F2021" s="6" t="n">
        <x:v>1</x:v>
      </x:c>
      <x:c r="G2021" s="6" t="n">
        <x:v>2</x:v>
      </x:c>
      <x:c r="H2021" s="9" t="str">
        <x:v>25-09-2012</x:v>
      </x:c>
      <x:c r="I2021" s="6" t="n">
        <x:v>75</x:v>
      </x:c>
      <x:c r="J2021" s="6" t="n">
        <x:v>8</x:v>
      </x:c>
      <x:c r="K2021" s="6" t="n">
        <x:v>0</x:v>
      </x:c>
      <x:c r="L2021" s="6" t="n">
        <x:v>5</x:v>
      </x:c>
      <x:c r="M2021" s="6" t="n">
        <x:v>0</x:v>
      </x:c>
      <x:c r="N2021" s="6" t="n">
        <x:v>3</x:v>
      </x:c>
      <x:c r="O2021" s="6" t="n">
        <x:v>6</x:v>
      </x:c>
      <x:c r="P2021" s="6" t="n">
        <x:v>1</x:v>
      </x:c>
      <x:c r="Q2021" s="6" t="n">
        <x:v>0</x:v>
      </x:c>
      <x:c r="R2021" s="6" t="n">
        <x:v>0</x:v>
      </x:c>
      <x:c r="S2021" s="6" t="n">
        <x:v>3</x:v>
      </x:c>
      <x:c r="T2021" s="6" t="n">
        <x:v>8</x:v>
      </x:c>
      <x:c r="U2021" s="6" t="n">
        <x:v>0</x:v>
      </x:c>
      <x:c r="V2021" s="6" t="n">
        <x:v>0</x:v>
      </x:c>
      <x:c r="W2021" s="6" t="n">
        <x:v>0</x:v>
      </x:c>
      <x:c r="X2021" s="6" t="n">
        <x:v>0</x:v>
      </x:c>
      <x:c r="Y2021" s="6" t="n">
        <x:v>0</x:v>
      </x:c>
      <x:c r="Z2021" s="6" t="n">
        <x:v>0</x:v>
      </x:c>
      <x:c r="AA2021" s="6" t="n">
        <x:v>3</x:v>
      </x:c>
      <x:c r="AB2021" s="6" t="n">
        <x:v>11</x:v>
      </x:c>
      <x:c r="AC2021" s="6" t="n">
        <x:v>0</x:v>
      </x:c>
    </x:row>
    <x:row r="2022">
      <x:c r="A2022" s="6" t="n">
        <x:v>9829</x:v>
      </x:c>
      <x:c r="B2022" s="6" t="n">
        <x:v>1978</x:v>
      </x:c>
      <x:c r="C2022" s="6" t="str">
        <x:v>Graduation</x:v>
      </x:c>
      <x:c r="D2022" s="6" t="str">
        <x:v>Together</x:v>
      </x:c>
      <x:c r="E2022" s="6" t="n">
        <x:v>28587</x:v>
      </x:c>
      <x:c r="F2022" s="6" t="n">
        <x:v>1</x:v>
      </x:c>
      <x:c r="G2022" s="6" t="n">
        <x:v>0</x:v>
      </x:c>
      <x:c r="H2022" s="9" t="str">
        <x:v>12-02-2014</x:v>
      </x:c>
      <x:c r="I2022" s="6" t="n">
        <x:v>42</x:v>
      </x:c>
      <x:c r="J2022" s="6" t="n">
        <x:v>22</x:v>
      </x:c>
      <x:c r="K2022" s="6" t="n">
        <x:v>4</x:v>
      </x:c>
      <x:c r="L2022" s="6" t="n">
        <x:v>17</x:v>
      </x:c>
      <x:c r="M2022" s="6" t="n">
        <x:v>12</x:v>
      </x:c>
      <x:c r="N2022" s="6" t="n">
        <x:v>10</x:v>
      </x:c>
      <x:c r="O2022" s="6" t="n">
        <x:v>13</x:v>
      </x:c>
      <x:c r="P2022" s="6" t="n">
        <x:v>3</x:v>
      </x:c>
      <x:c r="Q2022" s="6" t="n">
        <x:v>2</x:v>
      </x:c>
      <x:c r="R2022" s="6" t="n">
        <x:v>0</x:v>
      </x:c>
      <x:c r="S2022" s="6" t="n">
        <x:v>4</x:v>
      </x:c>
      <x:c r="T2022" s="6" t="n">
        <x:v>6</x:v>
      </x:c>
      <x:c r="U2022" s="6" t="n">
        <x:v>0</x:v>
      </x:c>
      <x:c r="V2022" s="6" t="n">
        <x:v>0</x:v>
      </x:c>
      <x:c r="W2022" s="6" t="n">
        <x:v>0</x:v>
      </x:c>
      <x:c r="X2022" s="6" t="n">
        <x:v>0</x:v>
      </x:c>
      <x:c r="Y2022" s="6" t="n">
        <x:v>0</x:v>
      </x:c>
      <x:c r="Z2022" s="6" t="n">
        <x:v>0</x:v>
      </x:c>
      <x:c r="AA2022" s="6" t="n">
        <x:v>3</x:v>
      </x:c>
      <x:c r="AB2022" s="6" t="n">
        <x:v>11</x:v>
      </x:c>
      <x:c r="AC2022" s="6" t="n">
        <x:v>0</x:v>
      </x:c>
    </x:row>
    <x:row r="2023">
      <x:c r="A2023" s="6" t="n">
        <x:v>6214</x:v>
      </x:c>
      <x:c r="B2023" s="6" t="n">
        <x:v>1982</x:v>
      </x:c>
      <x:c r="C2023" s="6" t="str">
        <x:v>Master</x:v>
      </x:c>
      <x:c r="D2023" s="6" t="str">
        <x:v>Married</x:v>
      </x:c>
      <x:c r="E2023" s="6" t="n">
        <x:v>43815</x:v>
      </x:c>
      <x:c r="F2023" s="6" t="n">
        <x:v>1</x:v>
      </x:c>
      <x:c r="G2023" s="6" t="n">
        <x:v>0</x:v>
      </x:c>
      <x:c r="H2023" s="9" t="str">
        <x:v>05-04-2013</x:v>
      </x:c>
      <x:c r="I2023" s="6" t="n">
        <x:v>53</x:v>
      </x:c>
      <x:c r="J2023" s="6" t="n">
        <x:v>14</x:v>
      </x:c>
      <x:c r="K2023" s="6" t="n">
        <x:v>10</x:v>
      </x:c>
      <x:c r="L2023" s="6" t="n">
        <x:v>29</x:v>
      </x:c>
      <x:c r="M2023" s="6" t="n">
        <x:v>4</x:v>
      </x:c>
      <x:c r="N2023" s="6" t="n">
        <x:v>7</x:v>
      </x:c>
      <x:c r="O2023" s="6" t="n">
        <x:v>15</x:v>
      </x:c>
      <x:c r="P2023" s="6" t="n">
        <x:v>1</x:v>
      </x:c>
      <x:c r="Q2023" s="6" t="n">
        <x:v>2</x:v>
      </x:c>
      <x:c r="R2023" s="6" t="n">
        <x:v>0</x:v>
      </x:c>
      <x:c r="S2023" s="6" t="n">
        <x:v>3</x:v>
      </x:c>
      <x:c r="T2023" s="6" t="n">
        <x:v>6</x:v>
      </x:c>
      <x:c r="U2023" s="6" t="n">
        <x:v>0</x:v>
      </x:c>
      <x:c r="V2023" s="6" t="n">
        <x:v>0</x:v>
      </x:c>
      <x:c r="W2023" s="6" t="n">
        <x:v>0</x:v>
      </x:c>
      <x:c r="X2023" s="6" t="n">
        <x:v>0</x:v>
      </x:c>
      <x:c r="Y2023" s="6" t="n">
        <x:v>0</x:v>
      </x:c>
      <x:c r="Z2023" s="6" t="n">
        <x:v>0</x:v>
      </x:c>
      <x:c r="AA2023" s="6" t="n">
        <x:v>3</x:v>
      </x:c>
      <x:c r="AB2023" s="6" t="n">
        <x:v>11</x:v>
      </x:c>
      <x:c r="AC2023" s="6" t="n">
        <x:v>0</x:v>
      </x:c>
    </x:row>
    <x:row r="2024">
      <x:c r="A2024" s="6" t="n">
        <x:v>4954</x:v>
      </x:c>
      <x:c r="B2024" s="6" t="n">
        <x:v>1956</x:v>
      </x:c>
      <x:c r="C2024" s="6" t="str">
        <x:v>Graduation</x:v>
      </x:c>
      <x:c r="D2024" s="6" t="str">
        <x:v>Married</x:v>
      </x:c>
      <x:c r="E2024" s="6" t="n">
        <x:v>48195</x:v>
      </x:c>
      <x:c r="F2024" s="6" t="n">
        <x:v>1</x:v>
      </x:c>
      <x:c r="G2024" s="6" t="n">
        <x:v>1</x:v>
      </x:c>
      <x:c r="H2024" s="9" t="str">
        <x:v>21-01-2014</x:v>
      </x:c>
      <x:c r="I2024" s="6" t="n">
        <x:v>53</x:v>
      </x:c>
      <x:c r="J2024" s="6" t="n">
        <x:v>106</x:v>
      </x:c>
      <x:c r="K2024" s="6" t="n">
        <x:v>27</x:v>
      </x:c>
      <x:c r="L2024" s="6" t="n">
        <x:v>68</x:v>
      </x:c>
      <x:c r="M2024" s="6" t="n">
        <x:v>52</x:v>
      </x:c>
      <x:c r="N2024" s="6" t="n">
        <x:v>7</x:v>
      </x:c>
      <x:c r="O2024" s="6" t="n">
        <x:v>5</x:v>
      </x:c>
      <x:c r="P2024" s="6" t="n">
        <x:v>6</x:v>
      </x:c>
      <x:c r="Q2024" s="6" t="n">
        <x:v>4</x:v>
      </x:c>
      <x:c r="R2024" s="6" t="n">
        <x:v>2</x:v>
      </x:c>
      <x:c r="S2024" s="6" t="n">
        <x:v>5</x:v>
      </x:c>
      <x:c r="T2024" s="6" t="n">
        <x:v>6</x:v>
      </x:c>
      <x:c r="U2024" s="6" t="n">
        <x:v>0</x:v>
      </x:c>
      <x:c r="V2024" s="6" t="n">
        <x:v>0</x:v>
      </x:c>
      <x:c r="W2024" s="6" t="n">
        <x:v>0</x:v>
      </x:c>
      <x:c r="X2024" s="6" t="n">
        <x:v>0</x:v>
      </x:c>
      <x:c r="Y2024" s="6" t="n">
        <x:v>0</x:v>
      </x:c>
      <x:c r="Z2024" s="6" t="n">
        <x:v>0</x:v>
      </x:c>
      <x:c r="AA2024" s="6" t="n">
        <x:v>3</x:v>
      </x:c>
      <x:c r="AB2024" s="6" t="n">
        <x:v>11</x:v>
      </x:c>
      <x:c r="AC2024" s="6" t="n">
        <x:v>0</x:v>
      </x:c>
    </x:row>
    <x:row r="2025">
      <x:c r="A2025" s="6" t="n">
        <x:v>7861</x:v>
      </x:c>
      <x:c r="B2025" s="6" t="n">
        <x:v>1952</x:v>
      </x:c>
      <x:c r="C2025" s="6" t="str">
        <x:v>Master</x:v>
      </x:c>
      <x:c r="D2025" s="6" t="str">
        <x:v>Married</x:v>
      </x:c>
      <x:c r="E2025" s="6" t="n">
        <x:v>77027</x:v>
      </x:c>
      <x:c r="F2025" s="6" t="n">
        <x:v>0</x:v>
      </x:c>
      <x:c r="G2025" s="6" t="n">
        <x:v>1</x:v>
      </x:c>
      <x:c r="H2025" s="9" t="str">
        <x:v>05-02-2014</x:v>
      </x:c>
      <x:c r="I2025" s="6" t="n">
        <x:v>23</x:v>
      </x:c>
      <x:c r="J2025" s="6" t="n">
        <x:v>820</x:v>
      </x:c>
      <x:c r="K2025" s="6" t="n">
        <x:v>57</x:v>
      </x:c>
      <x:c r="L2025" s="6" t="n">
        <x:v>242</x:v>
      </x:c>
      <x:c r="M2025" s="6" t="n">
        <x:v>45</x:v>
      </x:c>
      <x:c r="N2025" s="6" t="n">
        <x:v>0</x:v>
      </x:c>
      <x:c r="O2025" s="6" t="n">
        <x:v>11</x:v>
      </x:c>
      <x:c r="P2025" s="6" t="n">
        <x:v>2</x:v>
      </x:c>
      <x:c r="Q2025" s="6" t="n">
        <x:v>8</x:v>
      </x:c>
      <x:c r="R2025" s="6" t="n">
        <x:v>3</x:v>
      </x:c>
      <x:c r="S2025" s="6" t="n">
        <x:v>6</x:v>
      </x:c>
      <x:c r="T2025" s="6" t="n">
        <x:v>4</x:v>
      </x:c>
      <x:c r="U2025" s="6" t="n">
        <x:v>0</x:v>
      </x:c>
      <x:c r="V2025" s="6" t="n">
        <x:v>0</x:v>
      </x:c>
      <x:c r="W2025" s="6" t="n">
        <x:v>0</x:v>
      </x:c>
      <x:c r="X2025" s="6" t="n">
        <x:v>0</x:v>
      </x:c>
      <x:c r="Y2025" s="6" t="n">
        <x:v>0</x:v>
      </x:c>
      <x:c r="Z2025" s="6" t="n">
        <x:v>0</x:v>
      </x:c>
      <x:c r="AA2025" s="6" t="n">
        <x:v>3</x:v>
      </x:c>
      <x:c r="AB2025" s="6" t="n">
        <x:v>11</x:v>
      </x:c>
      <x:c r="AC2025" s="6" t="n">
        <x:v>0</x:v>
      </x:c>
    </x:row>
    <x:row r="2026">
      <x:c r="A2026" s="6" t="n">
        <x:v>4837</x:v>
      </x:c>
      <x:c r="B2026" s="6" t="n">
        <x:v>1965</x:v>
      </x:c>
      <x:c r="C2026" s="6" t="str">
        <x:v>PhD</x:v>
      </x:c>
      <x:c r="D2026" s="6" t="str">
        <x:v>Married</x:v>
      </x:c>
      <x:c r="E2026" s="6" t="n">
        <x:v>71322</x:v>
      </x:c>
      <x:c r="F2026" s="6" t="n">
        <x:v>0</x:v>
      </x:c>
      <x:c r="G2026" s="6" t="n">
        <x:v>1</x:v>
      </x:c>
      <x:c r="H2026" s="9" t="str">
        <x:v>16-02-2013</x:v>
      </x:c>
      <x:c r="I2026" s="6" t="n">
        <x:v>57</x:v>
      </x:c>
      <x:c r="J2026" s="6" t="n">
        <x:v>753</x:v>
      </x:c>
      <x:c r="K2026" s="6" t="n">
        <x:v>43</x:v>
      </x:c>
      <x:c r="L2026" s="6" t="n">
        <x:v>226</x:v>
      </x:c>
      <x:c r="M2026" s="6" t="n">
        <x:v>69</x:v>
      </x:c>
      <x:c r="N2026" s="6" t="n">
        <x:v>10</x:v>
      </x:c>
      <x:c r="O2026" s="6" t="n">
        <x:v>204</x:v>
      </x:c>
      <x:c r="P2026" s="6" t="n">
        <x:v>2</x:v>
      </x:c>
      <x:c r="Q2026" s="6" t="n">
        <x:v>8</x:v>
      </x:c>
      <x:c r="R2026" s="6" t="n">
        <x:v>5</x:v>
      </x:c>
      <x:c r="S2026" s="6" t="n">
        <x:v>13</x:v>
      </x:c>
      <x:c r="T2026" s="6" t="n">
        <x:v>4</x:v>
      </x:c>
      <x:c r="U2026" s="6" t="n">
        <x:v>0</x:v>
      </x:c>
      <x:c r="V2026" s="6" t="n">
        <x:v>0</x:v>
      </x:c>
      <x:c r="W2026" s="6" t="n">
        <x:v>0</x:v>
      </x:c>
      <x:c r="X2026" s="6" t="n">
        <x:v>0</x:v>
      </x:c>
      <x:c r="Y2026" s="6" t="n">
        <x:v>0</x:v>
      </x:c>
      <x:c r="Z2026" s="6" t="n">
        <x:v>0</x:v>
      </x:c>
      <x:c r="AA2026" s="6" t="n">
        <x:v>3</x:v>
      </x:c>
      <x:c r="AB2026" s="6" t="n">
        <x:v>11</x:v>
      </x:c>
      <x:c r="AC2026" s="6" t="n">
        <x:v>0</x:v>
      </x:c>
    </x:row>
    <x:row r="2027">
      <x:c r="A2027" s="6" t="n">
        <x:v>9423</x:v>
      </x:c>
      <x:c r="B2027" s="6" t="n">
        <x:v>1979</x:v>
      </x:c>
      <x:c r="C2027" s="6" t="str">
        <x:v>Master</x:v>
      </x:c>
      <x:c r="D2027" s="6" t="str">
        <x:v>Married</x:v>
      </x:c>
      <x:c r="E2027" s="6" t="n">
        <x:v>32765</x:v>
      </x:c>
      <x:c r="F2027" s="6" t="n">
        <x:v>1</x:v>
      </x:c>
      <x:c r="G2027" s="6" t="n">
        <x:v>0</x:v>
      </x:c>
      <x:c r="H2027" s="9" t="str">
        <x:v>23-02-2014</x:v>
      </x:c>
      <x:c r="I2027" s="6" t="n">
        <x:v>49</x:v>
      </x:c>
      <x:c r="J2027" s="6" t="n">
        <x:v>13</x:v>
      </x:c>
      <x:c r="K2027" s="6" t="n">
        <x:v>3</x:v>
      </x:c>
      <x:c r="L2027" s="6" t="n">
        <x:v>17</x:v>
      </x:c>
      <x:c r="M2027" s="6" t="n">
        <x:v>7</x:v>
      </x:c>
      <x:c r="N2027" s="6" t="n">
        <x:v>3</x:v>
      </x:c>
      <x:c r="O2027" s="6" t="n">
        <x:v>3</x:v>
      </x:c>
      <x:c r="P2027" s="6" t="n">
        <x:v>2</x:v>
      </x:c>
      <x:c r="Q2027" s="6" t="n">
        <x:v>2</x:v>
      </x:c>
      <x:c r="R2027" s="6" t="n">
        <x:v>0</x:v>
      </x:c>
      <x:c r="S2027" s="6" t="n">
        <x:v>4</x:v>
      </x:c>
      <x:c r="T2027" s="6" t="n">
        <x:v>5</x:v>
      </x:c>
      <x:c r="U2027" s="6" t="n">
        <x:v>0</x:v>
      </x:c>
      <x:c r="V2027" s="6" t="n">
        <x:v>0</x:v>
      </x:c>
      <x:c r="W2027" s="6" t="n">
        <x:v>0</x:v>
      </x:c>
      <x:c r="X2027" s="6" t="n">
        <x:v>0</x:v>
      </x:c>
      <x:c r="Y2027" s="6" t="n">
        <x:v>0</x:v>
      </x:c>
      <x:c r="Z2027" s="6" t="n">
        <x:v>0</x:v>
      </x:c>
      <x:c r="AA2027" s="6" t="n">
        <x:v>3</x:v>
      </x:c>
      <x:c r="AB2027" s="6" t="n">
        <x:v>11</x:v>
      </x:c>
      <x:c r="AC2027" s="6" t="n">
        <x:v>0</x:v>
      </x:c>
    </x:row>
    <x:row r="2028">
      <x:c r="A2028" s="6" t="n">
        <x:v>4198</x:v>
      </x:c>
      <x:c r="B2028" s="6" t="n">
        <x:v>1965</x:v>
      </x:c>
      <x:c r="C2028" s="6" t="str">
        <x:v>Graduation</x:v>
      </x:c>
      <x:c r="D2028" s="6" t="str">
        <x:v>Together</x:v>
      </x:c>
      <x:c r="E2028" s="6" t="n">
        <x:v>29672</x:v>
      </x:c>
      <x:c r="F2028" s="6" t="n">
        <x:v>1</x:v>
      </x:c>
      <x:c r="G2028" s="6" t="n">
        <x:v>1</x:v>
      </x:c>
      <x:c r="H2028" s="9" t="str">
        <x:v>12-03-2013</x:v>
      </x:c>
      <x:c r="I2028" s="6" t="n">
        <x:v>6</x:v>
      </x:c>
      <x:c r="J2028" s="6" t="n">
        <x:v>9</x:v>
      </x:c>
      <x:c r="K2028" s="6" t="n">
        <x:v>1</x:v>
      </x:c>
      <x:c r="L2028" s="6" t="n">
        <x:v>3</x:v>
      </x:c>
      <x:c r="M2028" s="6" t="n">
        <x:v>0</x:v>
      </x:c>
      <x:c r="N2028" s="6" t="n">
        <x:v>4</x:v>
      </x:c>
      <x:c r="O2028" s="6" t="n">
        <x:v>8</x:v>
      </x:c>
      <x:c r="P2028" s="6" t="n">
        <x:v>1</x:v>
      </x:c>
      <x:c r="Q2028" s="6" t="n">
        <x:v>0</x:v>
      </x:c>
      <x:c r="R2028" s="6" t="n">
        <x:v>0</x:v>
      </x:c>
      <x:c r="S2028" s="6" t="n">
        <x:v>3</x:v>
      </x:c>
      <x:c r="T2028" s="6" t="n">
        <x:v>6</x:v>
      </x:c>
      <x:c r="U2028" s="6" t="n">
        <x:v>0</x:v>
      </x:c>
      <x:c r="V2028" s="6" t="n">
        <x:v>0</x:v>
      </x:c>
      <x:c r="W2028" s="6" t="n">
        <x:v>0</x:v>
      </x:c>
      <x:c r="X2028" s="6" t="n">
        <x:v>0</x:v>
      </x:c>
      <x:c r="Y2028" s="6" t="n">
        <x:v>0</x:v>
      </x:c>
      <x:c r="Z2028" s="6" t="n">
        <x:v>0</x:v>
      </x:c>
      <x:c r="AA2028" s="6" t="n">
        <x:v>3</x:v>
      </x:c>
      <x:c r="AB2028" s="6" t="n">
        <x:v>11</x:v>
      </x:c>
      <x:c r="AC2028" s="6" t="n">
        <x:v>0</x:v>
      </x:c>
    </x:row>
    <x:row r="2029">
      <x:c r="A2029" s="6" t="n">
        <x:v>153</x:v>
      </x:c>
      <x:c r="B2029" s="6" t="n">
        <x:v>1953</x:v>
      </x:c>
      <x:c r="C2029" s="6" t="str">
        <x:v>Graduation</x:v>
      </x:c>
      <x:c r="D2029" s="6" t="str">
        <x:v>Divorced</x:v>
      </x:c>
      <x:c r="E2029" s="6" t="n">
        <x:v>23272</x:v>
      </x:c>
      <x:c r="F2029" s="6" t="n">
        <x:v>0</x:v>
      </x:c>
      <x:c r="G2029" s="6" t="n">
        <x:v>0</x:v>
      </x:c>
      <x:c r="H2029" s="9" t="str">
        <x:v>17-10-2013</x:v>
      </x:c>
      <x:c r="I2029" s="6" t="n">
        <x:v>29</x:v>
      </x:c>
      <x:c r="J2029" s="6" t="n">
        <x:v>19</x:v>
      </x:c>
      <x:c r="K2029" s="6" t="n">
        <x:v>3</x:v>
      </x:c>
      <x:c r="L2029" s="6" t="n">
        <x:v>6</x:v>
      </x:c>
      <x:c r="M2029" s="6" t="n">
        <x:v>4</x:v>
      </x:c>
      <x:c r="N2029" s="6" t="n">
        <x:v>2</x:v>
      </x:c>
      <x:c r="O2029" s="6" t="n">
        <x:v>12</x:v>
      </x:c>
      <x:c r="P2029" s="6" t="n">
        <x:v>1</x:v>
      </x:c>
      <x:c r="Q2029" s="6" t="n">
        <x:v>1</x:v>
      </x:c>
      <x:c r="R2029" s="6" t="n">
        <x:v>0</x:v>
      </x:c>
      <x:c r="S2029" s="6" t="n">
        <x:v>3</x:v>
      </x:c>
      <x:c r="T2029" s="6" t="n">
        <x:v>4</x:v>
      </x:c>
      <x:c r="U2029" s="6" t="n">
        <x:v>0</x:v>
      </x:c>
      <x:c r="V2029" s="6" t="n">
        <x:v>0</x:v>
      </x:c>
      <x:c r="W2029" s="6" t="n">
        <x:v>0</x:v>
      </x:c>
      <x:c r="X2029" s="6" t="n">
        <x:v>0</x:v>
      </x:c>
      <x:c r="Y2029" s="6" t="n">
        <x:v>0</x:v>
      </x:c>
      <x:c r="Z2029" s="6" t="n">
        <x:v>0</x:v>
      </x:c>
      <x:c r="AA2029" s="6" t="n">
        <x:v>3</x:v>
      </x:c>
      <x:c r="AB2029" s="6" t="n">
        <x:v>11</x:v>
      </x:c>
      <x:c r="AC2029" s="6" t="n">
        <x:v>0</x:v>
      </x:c>
    </x:row>
    <x:row r="2030">
      <x:c r="A2030" s="6" t="n">
        <x:v>9323</x:v>
      </x:c>
      <x:c r="B2030" s="6" t="n">
        <x:v>1949</x:v>
      </x:c>
      <x:c r="C2030" s="6" t="str">
        <x:v>Master</x:v>
      </x:c>
      <x:c r="D2030" s="6" t="str">
        <x:v>Together</x:v>
      </x:c>
      <x:c r="E2030" s="6" t="n">
        <x:v>49912</x:v>
      </x:c>
      <x:c r="F2030" s="6" t="n">
        <x:v>0</x:v>
      </x:c>
      <x:c r="G2030" s="6" t="n">
        <x:v>1</x:v>
      </x:c>
      <x:c r="H2030" s="9" t="str">
        <x:v>07-09-2012</x:v>
      </x:c>
      <x:c r="I2030" s="6" t="n">
        <x:v>5</x:v>
      </x:c>
      <x:c r="J2030" s="6" t="n">
        <x:v>520</x:v>
      </x:c>
      <x:c r="K2030" s="6" t="n">
        <x:v>8</x:v>
      </x:c>
      <x:c r="L2030" s="6" t="n">
        <x:v>223</x:v>
      </x:c>
      <x:c r="M2030" s="6" t="n">
        <x:v>32</x:v>
      </x:c>
      <x:c r="N2030" s="6" t="n">
        <x:v>49</x:v>
      </x:c>
      <x:c r="O2030" s="6" t="n">
        <x:v>42</x:v>
      </x:c>
      <x:c r="P2030" s="6" t="n">
        <x:v>4</x:v>
      </x:c>
      <x:c r="Q2030" s="6" t="n">
        <x:v>10</x:v>
      </x:c>
      <x:c r="R2030" s="6" t="n">
        <x:v>5</x:v>
      </x:c>
      <x:c r="S2030" s="6" t="n">
        <x:v>7</x:v>
      </x:c>
      <x:c r="T2030" s="6" t="n">
        <x:v>8</x:v>
      </x:c>
      <x:c r="U2030" s="6" t="n">
        <x:v>1</x:v>
      </x:c>
      <x:c r="V2030" s="6" t="n">
        <x:v>0</x:v>
      </x:c>
      <x:c r="W2030" s="6" t="n">
        <x:v>0</x:v>
      </x:c>
      <x:c r="X2030" s="6" t="n">
        <x:v>0</x:v>
      </x:c>
      <x:c r="Y2030" s="6" t="n">
        <x:v>0</x:v>
      </x:c>
      <x:c r="Z2030" s="6" t="n">
        <x:v>0</x:v>
      </x:c>
      <x:c r="AA2030" s="6" t="n">
        <x:v>3</x:v>
      </x:c>
      <x:c r="AB2030" s="6" t="n">
        <x:v>11</x:v>
      </x:c>
      <x:c r="AC2030" s="6" t="n">
        <x:v>1</x:v>
      </x:c>
    </x:row>
    <x:row r="2031">
      <x:c r="A2031" s="6" t="n">
        <x:v>10001</x:v>
      </x:c>
      <x:c r="B2031" s="6" t="n">
        <x:v>1985</x:v>
      </x:c>
      <x:c r="C2031" s="6" t="str">
        <x:v>2n Cycle</x:v>
      </x:c>
      <x:c r="D2031" s="6" t="str">
        <x:v>Together</x:v>
      </x:c>
      <x:c r="E2031" s="6" t="n">
        <x:v>7500</x:v>
      </x:c>
      <x:c r="F2031" s="6" t="n">
        <x:v>1</x:v>
      </x:c>
      <x:c r="G2031" s="6" t="n">
        <x:v>0</x:v>
      </x:c>
      <x:c r="H2031" s="9" t="str">
        <x:v>01-08-2012</x:v>
      </x:c>
      <x:c r="I2031" s="6" t="n">
        <x:v>98</x:v>
      </x:c>
      <x:c r="J2031" s="6" t="n">
        <x:v>5</x:v>
      </x:c>
      <x:c r="K2031" s="6" t="n">
        <x:v>17</x:v>
      </x:c>
      <x:c r="L2031" s="6" t="n">
        <x:v>17</x:v>
      </x:c>
      <x:c r="M2031" s="6" t="n">
        <x:v>13</x:v>
      </x:c>
      <x:c r="N2031" s="6" t="n">
        <x:v>14</x:v>
      </x:c>
      <x:c r="O2031" s="6" t="n">
        <x:v>34</x:v>
      </x:c>
      <x:c r="P2031" s="6" t="n">
        <x:v>4</x:v>
      </x:c>
      <x:c r="Q2031" s="6" t="n">
        <x:v>2</x:v>
      </x:c>
      <x:c r="R2031" s="6" t="n">
        <x:v>1</x:v>
      </x:c>
      <x:c r="S2031" s="6" t="n">
        <x:v>3</x:v>
      </x:c>
      <x:c r="T2031" s="6" t="n">
        <x:v>9</x:v>
      </x:c>
      <x:c r="U2031" s="6" t="n">
        <x:v>0</x:v>
      </x:c>
      <x:c r="V2031" s="6" t="n">
        <x:v>0</x:v>
      </x:c>
      <x:c r="W2031" s="6" t="n">
        <x:v>0</x:v>
      </x:c>
      <x:c r="X2031" s="6" t="n">
        <x:v>0</x:v>
      </x:c>
      <x:c r="Y2031" s="6" t="n">
        <x:v>0</x:v>
      </x:c>
      <x:c r="Z2031" s="6" t="n">
        <x:v>0</x:v>
      </x:c>
      <x:c r="AA2031" s="6" t="n">
        <x:v>3</x:v>
      </x:c>
      <x:c r="AB2031" s="6" t="n">
        <x:v>11</x:v>
      </x:c>
      <x:c r="AC2031" s="6" t="n">
        <x:v>0</x:v>
      </x:c>
    </x:row>
    <x:row r="2032">
      <x:c r="A2032" s="6" t="n">
        <x:v>3945</x:v>
      </x:c>
      <x:c r="B2032" s="6" t="n">
        <x:v>1947</x:v>
      </x:c>
      <x:c r="C2032" s="6" t="str">
        <x:v>PhD</x:v>
      </x:c>
      <x:c r="D2032" s="6" t="str">
        <x:v>Widow</x:v>
      </x:c>
      <x:c r="E2032" s="6" t="n">
        <x:v>68117</x:v>
      </x:c>
      <x:c r="F2032" s="6" t="n">
        <x:v>0</x:v>
      </x:c>
      <x:c r="G2032" s="6" t="n">
        <x:v>1</x:v>
      </x:c>
      <x:c r="H2032" s="9" t="str">
        <x:v>10-03-2013</x:v>
      </x:c>
      <x:c r="I2032" s="6" t="n">
        <x:v>80</x:v>
      </x:c>
      <x:c r="J2032" s="6" t="n">
        <x:v>618</x:v>
      </x:c>
      <x:c r="K2032" s="6" t="n">
        <x:v>44</x:v>
      </x:c>
      <x:c r="L2032" s="6" t="n">
        <x:v>215</x:v>
      </x:c>
      <x:c r="M2032" s="6" t="n">
        <x:v>0</x:v>
      </x:c>
      <x:c r="N2032" s="6" t="n">
        <x:v>17</x:v>
      </x:c>
      <x:c r="O2032" s="6" t="n">
        <x:v>36</x:v>
      </x:c>
      <x:c r="P2032" s="6" t="n">
        <x:v>2</x:v>
      </x:c>
      <x:c r="Q2032" s="6" t="n">
        <x:v>11</x:v>
      </x:c>
      <x:c r="R2032" s="6" t="n">
        <x:v>8</x:v>
      </x:c>
      <x:c r="S2032" s="6" t="n">
        <x:v>4</x:v>
      </x:c>
      <x:c r="T2032" s="6" t="n">
        <x:v>6</x:v>
      </x:c>
      <x:c r="U2032" s="6" t="n">
        <x:v>1</x:v>
      </x:c>
      <x:c r="V2032" s="6" t="n">
        <x:v>0</x:v>
      </x:c>
      <x:c r="W2032" s="6" t="n">
        <x:v>0</x:v>
      </x:c>
      <x:c r="X2032" s="6" t="n">
        <x:v>0</x:v>
      </x:c>
      <x:c r="Y2032" s="6" t="n">
        <x:v>0</x:v>
      </x:c>
      <x:c r="Z2032" s="6" t="n">
        <x:v>0</x:v>
      </x:c>
      <x:c r="AA2032" s="6" t="n">
        <x:v>3</x:v>
      </x:c>
      <x:c r="AB2032" s="6" t="n">
        <x:v>11</x:v>
      </x:c>
      <x:c r="AC2032" s="6" t="n">
        <x:v>1</x:v>
      </x:c>
    </x:row>
    <x:row r="2033">
      <x:c r="A2033" s="6" t="n">
        <x:v>3799</x:v>
      </x:c>
      <x:c r="B2033" s="6" t="n">
        <x:v>1955</x:v>
      </x:c>
      <x:c r="C2033" s="6" t="str">
        <x:v>Graduation</x:v>
      </x:c>
      <x:c r="D2033" s="6" t="str">
        <x:v>Married</x:v>
      </x:c>
      <x:c r="E2033" s="6" t="n">
        <x:v>67225</x:v>
      </x:c>
      <x:c r="F2033" s="6" t="n">
        <x:v>0</x:v>
      </x:c>
      <x:c r="G2033" s="6" t="n">
        <x:v>1</x:v>
      </x:c>
      <x:c r="H2033" s="9" t="str">
        <x:v>26-11-2013</x:v>
      </x:c>
      <x:c r="I2033" s="6" t="n">
        <x:v>4</x:v>
      </x:c>
      <x:c r="J2033" s="6" t="n">
        <x:v>315</x:v>
      </x:c>
      <x:c r="K2033" s="6" t="n">
        <x:v>35</x:v>
      </x:c>
      <x:c r="L2033" s="6" t="n">
        <x:v>322</x:v>
      </x:c>
      <x:c r="M2033" s="6" t="n">
        <x:v>46</x:v>
      </x:c>
      <x:c r="N2033" s="6" t="n">
        <x:v>7</x:v>
      </x:c>
      <x:c r="O2033" s="6" t="n">
        <x:v>143</x:v>
      </x:c>
      <x:c r="P2033" s="6" t="n">
        <x:v>3</x:v>
      </x:c>
      <x:c r="Q2033" s="6" t="n">
        <x:v>7</x:v>
      </x:c>
      <x:c r="R2033" s="6" t="n">
        <x:v>2</x:v>
      </x:c>
      <x:c r="S2033" s="6" t="n">
        <x:v>11</x:v>
      </x:c>
      <x:c r="T2033" s="6" t="n">
        <x:v>5</x:v>
      </x:c>
      <x:c r="U2033" s="6" t="n">
        <x:v>0</x:v>
      </x:c>
      <x:c r="V2033" s="6" t="n">
        <x:v>0</x:v>
      </x:c>
      <x:c r="W2033" s="6" t="n">
        <x:v>0</x:v>
      </x:c>
      <x:c r="X2033" s="6" t="n">
        <x:v>0</x:v>
      </x:c>
      <x:c r="Y2033" s="6" t="n">
        <x:v>0</x:v>
      </x:c>
      <x:c r="Z2033" s="6" t="n">
        <x:v>0</x:v>
      </x:c>
      <x:c r="AA2033" s="6" t="n">
        <x:v>3</x:v>
      </x:c>
      <x:c r="AB2033" s="6" t="n">
        <x:v>11</x:v>
      </x:c>
      <x:c r="AC2033" s="6" t="n">
        <x:v>0</x:v>
      </x:c>
    </x:row>
    <x:row r="2034">
      <x:c r="A2034" s="6" t="n">
        <x:v>8625</x:v>
      </x:c>
      <x:c r="B2034" s="6" t="n">
        <x:v>1976</x:v>
      </x:c>
      <x:c r="C2034" s="6" t="str">
        <x:v>Graduation</x:v>
      </x:c>
      <x:c r="D2034" s="6" t="str">
        <x:v>Married</x:v>
      </x:c>
      <x:c r="E2034" s="6" t="n">
        <x:v>17649</x:v>
      </x:c>
      <x:c r="F2034" s="6" t="n">
        <x:v>1</x:v>
      </x:c>
      <x:c r="G2034" s="6" t="n">
        <x:v>0</x:v>
      </x:c>
      <x:c r="H2034" s="9" t="str">
        <x:v>12-11-2013</x:v>
      </x:c>
      <x:c r="I2034" s="6" t="n">
        <x:v>70</x:v>
      </x:c>
      <x:c r="J2034" s="6" t="n">
        <x:v>15</x:v>
      </x:c>
      <x:c r="K2034" s="6" t="n">
        <x:v>1</x:v>
      </x:c>
      <x:c r="L2034" s="6" t="n">
        <x:v>23</x:v>
      </x:c>
      <x:c r="M2034" s="6" t="n">
        <x:v>0</x:v>
      </x:c>
      <x:c r="N2034" s="6" t="n">
        <x:v>5</x:v>
      </x:c>
      <x:c r="O2034" s="6" t="n">
        <x:v>1</x:v>
      </x:c>
      <x:c r="P2034" s="6" t="n">
        <x:v>3</x:v>
      </x:c>
      <x:c r="Q2034" s="6" t="n">
        <x:v>3</x:v>
      </x:c>
      <x:c r="R2034" s="6" t="n">
        <x:v>0</x:v>
      </x:c>
      <x:c r="S2034" s="6" t="n">
        <x:v>3</x:v>
      </x:c>
      <x:c r="T2034" s="6" t="n">
        <x:v>8</x:v>
      </x:c>
      <x:c r="U2034" s="6" t="n">
        <x:v>0</x:v>
      </x:c>
      <x:c r="V2034" s="6" t="n">
        <x:v>0</x:v>
      </x:c>
      <x:c r="W2034" s="6" t="n">
        <x:v>0</x:v>
      </x:c>
      <x:c r="X2034" s="6" t="n">
        <x:v>0</x:v>
      </x:c>
      <x:c r="Y2034" s="6" t="n">
        <x:v>0</x:v>
      </x:c>
      <x:c r="Z2034" s="6" t="n">
        <x:v>0</x:v>
      </x:c>
      <x:c r="AA2034" s="6" t="n">
        <x:v>3</x:v>
      </x:c>
      <x:c r="AB2034" s="6" t="n">
        <x:v>11</x:v>
      </x:c>
      <x:c r="AC2034" s="6" t="n">
        <x:v>0</x:v>
      </x:c>
    </x:row>
    <x:row r="2035">
      <x:c r="A2035" s="6" t="n">
        <x:v>3491</x:v>
      </x:c>
      <x:c r="B2035" s="6" t="n">
        <x:v>1975</x:v>
      </x:c>
      <x:c r="C2035" s="6" t="str">
        <x:v>Graduation</x:v>
      </x:c>
      <x:c r="D2035" s="6" t="str">
        <x:v>Together</x:v>
      </x:c>
      <x:c r="E2035" s="6" t="n">
        <x:v>55914</x:v>
      </x:c>
      <x:c r="F2035" s="6" t="n">
        <x:v>0</x:v>
      </x:c>
      <x:c r="G2035" s="6" t="n">
        <x:v>1</x:v>
      </x:c>
      <x:c r="H2035" s="9" t="str">
        <x:v>29-04-2013</x:v>
      </x:c>
      <x:c r="I2035" s="6" t="n">
        <x:v>32</x:v>
      </x:c>
      <x:c r="J2035" s="6" t="n">
        <x:v>384</x:v>
      </x:c>
      <x:c r="K2035" s="6" t="n">
        <x:v>60</x:v>
      </x:c>
      <x:c r="L2035" s="6" t="n">
        <x:v>364</x:v>
      </x:c>
      <x:c r="M2035" s="6" t="n">
        <x:v>119</x:v>
      </x:c>
      <x:c r="N2035" s="6" t="n">
        <x:v>101</x:v>
      </x:c>
      <x:c r="O2035" s="6" t="n">
        <x:v>232</x:v>
      </x:c>
      <x:c r="P2035" s="6" t="n">
        <x:v>4</x:v>
      </x:c>
      <x:c r="Q2035" s="6" t="n">
        <x:v>11</x:v>
      </x:c>
      <x:c r="R2035" s="6" t="n">
        <x:v>6</x:v>
      </x:c>
      <x:c r="S2035" s="6" t="n">
        <x:v>8</x:v>
      </x:c>
      <x:c r="T2035" s="6" t="n">
        <x:v>7</x:v>
      </x:c>
      <x:c r="U2035" s="6" t="n">
        <x:v>0</x:v>
      </x:c>
      <x:c r="V2035" s="6" t="n">
        <x:v>0</x:v>
      </x:c>
      <x:c r="W2035" s="6" t="n">
        <x:v>0</x:v>
      </x:c>
      <x:c r="X2035" s="6" t="n">
        <x:v>0</x:v>
      </x:c>
      <x:c r="Y2035" s="6" t="n">
        <x:v>0</x:v>
      </x:c>
      <x:c r="Z2035" s="6" t="n">
        <x:v>0</x:v>
      </x:c>
      <x:c r="AA2035" s="6" t="n">
        <x:v>3</x:v>
      </x:c>
      <x:c r="AB2035" s="6" t="n">
        <x:v>11</x:v>
      </x:c>
      <x:c r="AC2035" s="6" t="n">
        <x:v>0</x:v>
      </x:c>
    </x:row>
    <x:row r="2036">
      <x:c r="A2036" s="6" t="n">
        <x:v>983</x:v>
      </x:c>
      <x:c r="B2036" s="6" t="n">
        <x:v>1984</x:v>
      </x:c>
      <x:c r="C2036" s="6" t="str">
        <x:v>Graduation</x:v>
      </x:c>
      <x:c r="D2036" s="6" t="str">
        <x:v>Married</x:v>
      </x:c>
      <x:c r="E2036" s="6" t="n">
        <x:v>40059</x:v>
      </x:c>
      <x:c r="F2036" s="6" t="n">
        <x:v>1</x:v>
      </x:c>
      <x:c r="G2036" s="6" t="n">
        <x:v>0</x:v>
      </x:c>
      <x:c r="H2036" s="9" t="str">
        <x:v>28-09-2013</x:v>
      </x:c>
      <x:c r="I2036" s="6" t="n">
        <x:v>82</x:v>
      </x:c>
      <x:c r="J2036" s="6" t="n">
        <x:v>110</x:v>
      </x:c>
      <x:c r="K2036" s="6" t="n">
        <x:v>29</x:v>
      </x:c>
      <x:c r="L2036" s="6" t="n">
        <x:v>92</x:v>
      </x:c>
      <x:c r="M2036" s="6" t="n">
        <x:v>28</x:v>
      </x:c>
      <x:c r="N2036" s="6" t="n">
        <x:v>10</x:v>
      </x:c>
      <x:c r="O2036" s="6" t="n">
        <x:v>145</x:v>
      </x:c>
      <x:c r="P2036" s="6" t="n">
        <x:v>1</x:v>
      </x:c>
      <x:c r="Q2036" s="6" t="n">
        <x:v>6</x:v>
      </x:c>
      <x:c r="R2036" s="6" t="n">
        <x:v>2</x:v>
      </x:c>
      <x:c r="S2036" s="6" t="n">
        <x:v>3</x:v>
      </x:c>
      <x:c r="T2036" s="6" t="n">
        <x:v>8</x:v>
      </x:c>
      <x:c r="U2036" s="6" t="n">
        <x:v>1</x:v>
      </x:c>
      <x:c r="V2036" s="6" t="n">
        <x:v>0</x:v>
      </x:c>
      <x:c r="W2036" s="6" t="n">
        <x:v>0</x:v>
      </x:c>
      <x:c r="X2036" s="6" t="n">
        <x:v>0</x:v>
      </x:c>
      <x:c r="Y2036" s="6" t="n">
        <x:v>0</x:v>
      </x:c>
      <x:c r="Z2036" s="6" t="n">
        <x:v>0</x:v>
      </x:c>
      <x:c r="AA2036" s="6" t="n">
        <x:v>3</x:v>
      </x:c>
      <x:c r="AB2036" s="6" t="n">
        <x:v>11</x:v>
      </x:c>
      <x:c r="AC2036" s="6" t="n">
        <x:v>0</x:v>
      </x:c>
    </x:row>
    <x:row r="2037">
      <x:c r="A2037" s="6" t="n">
        <x:v>9119</x:v>
      </x:c>
      <x:c r="B2037" s="6" t="n">
        <x:v>1950</x:v>
      </x:c>
      <x:c r="C2037" s="6" t="str">
        <x:v>Graduation</x:v>
      </x:c>
      <x:c r="D2037" s="6" t="str">
        <x:v>Together</x:v>
      </x:c>
      <x:c r="E2037" s="6" t="n">
        <x:v>60905</x:v>
      </x:c>
      <x:c r="F2037" s="6" t="n">
        <x:v>0</x:v>
      </x:c>
      <x:c r="G2037" s="6" t="n">
        <x:v>1</x:v>
      </x:c>
      <x:c r="H2037" s="9" t="str">
        <x:v>05-12-2013</x:v>
      </x:c>
      <x:c r="I2037" s="6" t="n">
        <x:v>27</x:v>
      </x:c>
      <x:c r="J2037" s="6" t="n">
        <x:v>208</x:v>
      </x:c>
      <x:c r="K2037" s="6" t="n">
        <x:v>17</x:v>
      </x:c>
      <x:c r="L2037" s="6" t="n">
        <x:v>76</x:v>
      </x:c>
      <x:c r="M2037" s="6" t="n">
        <x:v>36</x:v>
      </x:c>
      <x:c r="N2037" s="6" t="n">
        <x:v>17</x:v>
      </x:c>
      <x:c r="O2037" s="6" t="n">
        <x:v>38</x:v>
      </x:c>
      <x:c r="P2037" s="6" t="n">
        <x:v>2</x:v>
      </x:c>
      <x:c r="Q2037" s="6" t="n">
        <x:v>3</x:v>
      </x:c>
      <x:c r="R2037" s="6" t="n">
        <x:v>3</x:v>
      </x:c>
      <x:c r="S2037" s="6" t="n">
        <x:v>7</x:v>
      </x:c>
      <x:c r="T2037" s="6" t="n">
        <x:v>2</x:v>
      </x:c>
      <x:c r="U2037" s="6" t="n">
        <x:v>0</x:v>
      </x:c>
      <x:c r="V2037" s="6" t="n">
        <x:v>0</x:v>
      </x:c>
      <x:c r="W2037" s="6" t="n">
        <x:v>0</x:v>
      </x:c>
      <x:c r="X2037" s="6" t="n">
        <x:v>0</x:v>
      </x:c>
      <x:c r="Y2037" s="6" t="n">
        <x:v>0</x:v>
      </x:c>
      <x:c r="Z2037" s="6" t="n">
        <x:v>0</x:v>
      </x:c>
      <x:c r="AA2037" s="6" t="n">
        <x:v>3</x:v>
      </x:c>
      <x:c r="AB2037" s="6" t="n">
        <x:v>11</x:v>
      </x:c>
      <x:c r="AC2037" s="6" t="n">
        <x:v>0</x:v>
      </x:c>
    </x:row>
    <x:row r="2038">
      <x:c r="A2038" s="6" t="n">
        <x:v>4786</x:v>
      </x:c>
      <x:c r="B2038" s="6" t="n">
        <x:v>1977</x:v>
      </x:c>
      <x:c r="C2038" s="6" t="str">
        <x:v>Graduation</x:v>
      </x:c>
      <x:c r="D2038" s="6" t="str">
        <x:v>Married</x:v>
      </x:c>
      <x:c r="E2038" s="6" t="n">
        <x:v>75330</x:v>
      </x:c>
      <x:c r="F2038" s="6" t="n">
        <x:v>1</x:v>
      </x:c>
      <x:c r="G2038" s="6" t="n">
        <x:v>1</x:v>
      </x:c>
      <x:c r="H2038" s="9" t="str">
        <x:v>04-10-2012</x:v>
      </x:c>
      <x:c r="I2038" s="6" t="n">
        <x:v>94</x:v>
      </x:c>
      <x:c r="J2038" s="6" t="n">
        <x:v>555</x:v>
      </x:c>
      <x:c r="K2038" s="6" t="n">
        <x:v>82</x:v>
      </x:c>
      <x:c r="L2038" s="6" t="n">
        <x:v>257</x:v>
      </x:c>
      <x:c r="M2038" s="6" t="n">
        <x:v>93</x:v>
      </x:c>
      <x:c r="N2038" s="6" t="n">
        <x:v>61</x:v>
      </x:c>
      <x:c r="O2038" s="6" t="n">
        <x:v>61</x:v>
      </x:c>
      <x:c r="P2038" s="6" t="n">
        <x:v>4</x:v>
      </x:c>
      <x:c r="Q2038" s="6" t="n">
        <x:v>10</x:v>
      </x:c>
      <x:c r="R2038" s="6" t="n">
        <x:v>3</x:v>
      </x:c>
      <x:c r="S2038" s="6" t="n">
        <x:v>12</x:v>
      </x:c>
      <x:c r="T2038" s="6" t="n">
        <x:v>6</x:v>
      </x:c>
      <x:c r="U2038" s="6" t="n">
        <x:v>0</x:v>
      </x:c>
      <x:c r="V2038" s="6" t="n">
        <x:v>0</x:v>
      </x:c>
      <x:c r="W2038" s="6" t="n">
        <x:v>0</x:v>
      </x:c>
      <x:c r="X2038" s="6" t="n">
        <x:v>0</x:v>
      </x:c>
      <x:c r="Y2038" s="6" t="n">
        <x:v>0</x:v>
      </x:c>
      <x:c r="Z2038" s="6" t="n">
        <x:v>0</x:v>
      </x:c>
      <x:c r="AA2038" s="6" t="n">
        <x:v>3</x:v>
      </x:c>
      <x:c r="AB2038" s="6" t="n">
        <x:v>11</x:v>
      </x:c>
      <x:c r="AC2038" s="6" t="n">
        <x:v>0</x:v>
      </x:c>
    </x:row>
    <x:row r="2039">
      <x:c r="A2039" s="6" t="n">
        <x:v>5872</x:v>
      </x:c>
      <x:c r="B2039" s="6" t="n">
        <x:v>1951</x:v>
      </x:c>
      <x:c r="C2039" s="6" t="str">
        <x:v>Graduation</x:v>
      </x:c>
      <x:c r="D2039" s="6" t="str">
        <x:v>Single</x:v>
      </x:c>
      <x:c r="E2039" s="6" t="n">
        <x:v>60689</x:v>
      </x:c>
      <x:c r="F2039" s="6" t="n">
        <x:v>0</x:v>
      </x:c>
      <x:c r="G2039" s="6" t="n">
        <x:v>1</x:v>
      </x:c>
      <x:c r="H2039" s="9" t="str">
        <x:v>01-06-2013</x:v>
      </x:c>
      <x:c r="I2039" s="6" t="n">
        <x:v>23</x:v>
      </x:c>
      <x:c r="J2039" s="6" t="n">
        <x:v>240</x:v>
      </x:c>
      <x:c r="K2039" s="6" t="n">
        <x:v>90</x:v>
      </x:c>
      <x:c r="L2039" s="6" t="n">
        <x:v>216</x:v>
      </x:c>
      <x:c r="M2039" s="6" t="n">
        <x:v>63</x:v>
      </x:c>
      <x:c r="N2039" s="6" t="n">
        <x:v>6</x:v>
      </x:c>
      <x:c r="O2039" s="6" t="n">
        <x:v>24</x:v>
      </x:c>
      <x:c r="P2039" s="6" t="n">
        <x:v>4</x:v>
      </x:c>
      <x:c r="Q2039" s="6" t="n">
        <x:v>4</x:v>
      </x:c>
      <x:c r="R2039" s="6" t="n">
        <x:v>4</x:v>
      </x:c>
      <x:c r="S2039" s="6" t="n">
        <x:v>10</x:v>
      </x:c>
      <x:c r="T2039" s="6" t="n">
        <x:v>3</x:v>
      </x:c>
      <x:c r="U2039" s="6" t="n">
        <x:v>0</x:v>
      </x:c>
      <x:c r="V2039" s="6" t="n">
        <x:v>0</x:v>
      </x:c>
      <x:c r="W2039" s="6" t="n">
        <x:v>0</x:v>
      </x:c>
      <x:c r="X2039" s="6" t="n">
        <x:v>0</x:v>
      </x:c>
      <x:c r="Y2039" s="6" t="n">
        <x:v>0</x:v>
      </x:c>
      <x:c r="Z2039" s="6" t="n">
        <x:v>0</x:v>
      </x:c>
      <x:c r="AA2039" s="6" t="n">
        <x:v>3</x:v>
      </x:c>
      <x:c r="AB2039" s="6" t="n">
        <x:v>11</x:v>
      </x:c>
      <x:c r="AC2039" s="6" t="n">
        <x:v>0</x:v>
      </x:c>
    </x:row>
    <x:row r="2040">
      <x:c r="A2040" s="6" t="n">
        <x:v>6568</x:v>
      </x:c>
      <x:c r="B2040" s="6" t="n">
        <x:v>1984</x:v>
      </x:c>
      <x:c r="C2040" s="6" t="str">
        <x:v>Graduation</x:v>
      </x:c>
      <x:c r="D2040" s="6" t="str">
        <x:v>Married</x:v>
      </x:c>
      <x:c r="E2040" s="6" t="n">
        <x:v>38680</x:v>
      </x:c>
      <x:c r="F2040" s="6" t="n">
        <x:v>1</x:v>
      </x:c>
      <x:c r="G2040" s="6" t="n">
        <x:v>0</x:v>
      </x:c>
      <x:c r="H2040" s="9" t="str">
        <x:v>28-03-2013</x:v>
      </x:c>
      <x:c r="I2040" s="6" t="n">
        <x:v>97</x:v>
      </x:c>
      <x:c r="J2040" s="6" t="n">
        <x:v>11</x:v>
      </x:c>
      <x:c r="K2040" s="6" t="n">
        <x:v>0</x:v>
      </x:c>
      <x:c r="L2040" s="6" t="n">
        <x:v>36</x:v>
      </x:c>
      <x:c r="M2040" s="6" t="n">
        <x:v>15</x:v>
      </x:c>
      <x:c r="N2040" s="6" t="n">
        <x:v>5</x:v>
      </x:c>
      <x:c r="O2040" s="6" t="n">
        <x:v>12</x:v>
      </x:c>
      <x:c r="P2040" s="6" t="n">
        <x:v>1</x:v>
      </x:c>
      <x:c r="Q2040" s="6" t="n">
        <x:v>2</x:v>
      </x:c>
      <x:c r="R2040" s="6" t="n">
        <x:v>0</x:v>
      </x:c>
      <x:c r="S2040" s="6" t="n">
        <x:v>3</x:v>
      </x:c>
      <x:c r="T2040" s="6" t="n">
        <x:v>7</x:v>
      </x:c>
      <x:c r="U2040" s="6" t="n">
        <x:v>0</x:v>
      </x:c>
      <x:c r="V2040" s="6" t="n">
        <x:v>0</x:v>
      </x:c>
      <x:c r="W2040" s="6" t="n">
        <x:v>0</x:v>
      </x:c>
      <x:c r="X2040" s="6" t="n">
        <x:v>0</x:v>
      </x:c>
      <x:c r="Y2040" s="6" t="n">
        <x:v>0</x:v>
      </x:c>
      <x:c r="Z2040" s="6" t="n">
        <x:v>0</x:v>
      </x:c>
      <x:c r="AA2040" s="6" t="n">
        <x:v>3</x:v>
      </x:c>
      <x:c r="AB2040" s="6" t="n">
        <x:v>11</x:v>
      </x:c>
      <x:c r="AC2040" s="6" t="n">
        <x:v>0</x:v>
      </x:c>
    </x:row>
    <x:row r="2041">
      <x:c r="A2041" s="6" t="n">
        <x:v>5628</x:v>
      </x:c>
      <x:c r="B2041" s="6" t="n">
        <x:v>1982</x:v>
      </x:c>
      <x:c r="C2041" s="6" t="str">
        <x:v>Graduation</x:v>
      </x:c>
      <x:c r="D2041" s="6" t="str">
        <x:v>Together</x:v>
      </x:c>
      <x:c r="E2041" s="6" t="n">
        <x:v>61416</x:v>
      </x:c>
      <x:c r="F2041" s="6" t="n">
        <x:v>0</x:v>
      </x:c>
      <x:c r="G2041" s="6" t="n">
        <x:v>0</x:v>
      </x:c>
      <x:c r="H2041" s="9" t="str">
        <x:v>08-02-2013</x:v>
      </x:c>
      <x:c r="I2041" s="6" t="n">
        <x:v>25</x:v>
      </x:c>
      <x:c r="J2041" s="6" t="n">
        <x:v>848</x:v>
      </x:c>
      <x:c r="K2041" s="6" t="n">
        <x:v>154</x:v>
      </x:c>
      <x:c r="L2041" s="6" t="n">
        <x:v>323</x:v>
      </x:c>
      <x:c r="M2041" s="6" t="n">
        <x:v>201</x:v>
      </x:c>
      <x:c r="N2041" s="6" t="n">
        <x:v>61</x:v>
      </x:c>
      <x:c r="O2041" s="6" t="n">
        <x:v>78</x:v>
      </x:c>
      <x:c r="P2041" s="6" t="n">
        <x:v>1</x:v>
      </x:c>
      <x:c r="Q2041" s="6" t="n">
        <x:v>10</x:v>
      </x:c>
      <x:c r="R2041" s="6" t="n">
        <x:v>3</x:v>
      </x:c>
      <x:c r="S2041" s="6" t="n">
        <x:v>10</x:v>
      </x:c>
      <x:c r="T2041" s="6" t="n">
        <x:v>6</x:v>
      </x:c>
      <x:c r="U2041" s="6" t="n">
        <x:v>1</x:v>
      </x:c>
      <x:c r="V2041" s="6" t="n">
        <x:v>0</x:v>
      </x:c>
      <x:c r="W2041" s="6" t="n">
        <x:v>0</x:v>
      </x:c>
      <x:c r="X2041" s="6" t="n">
        <x:v>0</x:v>
      </x:c>
      <x:c r="Y2041" s="6" t="n">
        <x:v>0</x:v>
      </x:c>
      <x:c r="Z2041" s="6" t="n">
        <x:v>0</x:v>
      </x:c>
      <x:c r="AA2041" s="6" t="n">
        <x:v>3</x:v>
      </x:c>
      <x:c r="AB2041" s="6" t="n">
        <x:v>11</x:v>
      </x:c>
      <x:c r="AC2041" s="6" t="n">
        <x:v>0</x:v>
      </x:c>
    </x:row>
    <x:row r="2042">
      <x:c r="A2042" s="6" t="n">
        <x:v>5631</x:v>
      </x:c>
      <x:c r="B2042" s="6" t="n">
        <x:v>1991</x:v>
      </x:c>
      <x:c r="C2042" s="6" t="str">
        <x:v>Graduation</x:v>
      </x:c>
      <x:c r="D2042" s="6" t="str">
        <x:v>Single</x:v>
      </x:c>
      <x:c r="E2042" s="6" t="n">
        <x:v>49767</x:v>
      </x:c>
      <x:c r="F2042" s="6" t="n">
        <x:v>0</x:v>
      </x:c>
      <x:c r="G2042" s="6" t="n">
        <x:v>0</x:v>
      </x:c>
      <x:c r="H2042" s="9" t="str">
        <x:v>02-05-2013</x:v>
      </x:c>
      <x:c r="I2042" s="6" t="n">
        <x:v>92</x:v>
      </x:c>
      <x:c r="J2042" s="6" t="n">
        <x:v>202</x:v>
      </x:c>
      <x:c r="K2042" s="6" t="n">
        <x:v>47</x:v>
      </x:c>
      <x:c r="L2042" s="6" t="n">
        <x:v>197</x:v>
      </x:c>
      <x:c r="M2042" s="6" t="n">
        <x:v>55</x:v>
      </x:c>
      <x:c r="N2042" s="6" t="n">
        <x:v>42</x:v>
      </x:c>
      <x:c r="O2042" s="6" t="n">
        <x:v>149</x:v>
      </x:c>
      <x:c r="P2042" s="6" t="n">
        <x:v>1</x:v>
      </x:c>
      <x:c r="Q2042" s="6" t="n">
        <x:v>5</x:v>
      </x:c>
      <x:c r="R2042" s="6" t="n">
        <x:v>4</x:v>
      </x:c>
      <x:c r="S2042" s="6" t="n">
        <x:v>8</x:v>
      </x:c>
      <x:c r="T2042" s="6" t="n">
        <x:v>4</x:v>
      </x:c>
      <x:c r="U2042" s="6" t="n">
        <x:v>0</x:v>
      </x:c>
      <x:c r="V2042" s="6" t="n">
        <x:v>0</x:v>
      </x:c>
      <x:c r="W2042" s="6" t="n">
        <x:v>0</x:v>
      </x:c>
      <x:c r="X2042" s="6" t="n">
        <x:v>0</x:v>
      </x:c>
      <x:c r="Y2042" s="6" t="n">
        <x:v>0</x:v>
      </x:c>
      <x:c r="Z2042" s="6" t="n">
        <x:v>0</x:v>
      </x:c>
      <x:c r="AA2042" s="6" t="n">
        <x:v>3</x:v>
      </x:c>
      <x:c r="AB2042" s="6" t="n">
        <x:v>11</x:v>
      </x:c>
      <x:c r="AC2042" s="6" t="n">
        <x:v>0</x:v>
      </x:c>
    </x:row>
    <x:row r="2043">
      <x:c r="A2043" s="6" t="n">
        <x:v>4974</x:v>
      </x:c>
      <x:c r="B2043" s="6" t="n">
        <x:v>1970</x:v>
      </x:c>
      <x:c r="C2043" s="6" t="str">
        <x:v>Graduation</x:v>
      </x:c>
      <x:c r="D2043" s="6" t="str">
        <x:v>Single</x:v>
      </x:c>
      <x:c r="E2043" s="6" t="n">
        <x:v>83273</x:v>
      </x:c>
      <x:c r="F2043" s="6" t="n">
        <x:v>1</x:v>
      </x:c>
      <x:c r="G2043" s="6" t="n">
        <x:v>2</x:v>
      </x:c>
      <x:c r="H2043" s="9" t="str">
        <x:v>25-09-2012</x:v>
      </x:c>
      <x:c r="I2043" s="6" t="n">
        <x:v>98</x:v>
      </x:c>
      <x:c r="J2043" s="6" t="n">
        <x:v>433</x:v>
      </x:c>
      <x:c r="K2043" s="6" t="n">
        <x:v>89</x:v>
      </x:c>
      <x:c r="L2043" s="6" t="n">
        <x:v>650</x:v>
      </x:c>
      <x:c r="M2043" s="6" t="n">
        <x:v>16</x:v>
      </x:c>
      <x:c r="N2043" s="6" t="n">
        <x:v>102</x:v>
      </x:c>
      <x:c r="O2043" s="6" t="n">
        <x:v>102</x:v>
      </x:c>
      <x:c r="P2043" s="6" t="n">
        <x:v>10</x:v>
      </x:c>
      <x:c r="Q2043" s="6" t="n">
        <x:v>4</x:v>
      </x:c>
      <x:c r="R2043" s="6" t="n">
        <x:v>6</x:v>
      </x:c>
      <x:c r="S2043" s="6" t="n">
        <x:v>9</x:v>
      </x:c>
      <x:c r="T2043" s="6" t="n">
        <x:v>7</x:v>
      </x:c>
      <x:c r="U2043" s="6" t="n">
        <x:v>0</x:v>
      </x:c>
      <x:c r="V2043" s="6" t="n">
        <x:v>0</x:v>
      </x:c>
      <x:c r="W2043" s="6" t="n">
        <x:v>0</x:v>
      </x:c>
      <x:c r="X2043" s="6" t="n">
        <x:v>0</x:v>
      </x:c>
      <x:c r="Y2043" s="6" t="n">
        <x:v>0</x:v>
      </x:c>
      <x:c r="Z2043" s="6" t="n">
        <x:v>0</x:v>
      </x:c>
      <x:c r="AA2043" s="6" t="n">
        <x:v>3</x:v>
      </x:c>
      <x:c r="AB2043" s="6" t="n">
        <x:v>11</x:v>
      </x:c>
      <x:c r="AC2043" s="6" t="n">
        <x:v>0</x:v>
      </x:c>
    </x:row>
    <x:row r="2044">
      <x:c r="A2044" s="6" t="n">
        <x:v>8416</x:v>
      </x:c>
      <x:c r="B2044" s="6" t="n">
        <x:v>1981</x:v>
      </x:c>
      <x:c r="C2044" s="6" t="str">
        <x:v>Graduation</x:v>
      </x:c>
      <x:c r="D2044" s="6" t="str">
        <x:v>Married</x:v>
      </x:c>
      <x:c r="E2044" s="6" t="n">
        <x:v>29009</x:v>
      </x:c>
      <x:c r="F2044" s="6" t="n">
        <x:v>1</x:v>
      </x:c>
      <x:c r="G2044" s="6" t="n">
        <x:v>0</x:v>
      </x:c>
      <x:c r="H2044" s="9" t="str">
        <x:v>29-11-2013</x:v>
      </x:c>
      <x:c r="I2044" s="6" t="n">
        <x:v>19</x:v>
      </x:c>
      <x:c r="J2044" s="6" t="n">
        <x:v>6</x:v>
      </x:c>
      <x:c r="K2044" s="6" t="n">
        <x:v>6</x:v>
      </x:c>
      <x:c r="L2044" s="6" t="n">
        <x:v>15</x:v>
      </x:c>
      <x:c r="M2044" s="6" t="n">
        <x:v>10</x:v>
      </x:c>
      <x:c r="N2044" s="6" t="n">
        <x:v>5</x:v>
      </x:c>
      <x:c r="O2044" s="6" t="n">
        <x:v>2</x:v>
      </x:c>
      <x:c r="P2044" s="6" t="n">
        <x:v>2</x:v>
      </x:c>
      <x:c r="Q2044" s="6" t="n">
        <x:v>2</x:v>
      </x:c>
      <x:c r="R2044" s="6" t="n">
        <x:v>0</x:v>
      </x:c>
      <x:c r="S2044" s="6" t="n">
        <x:v>3</x:v>
      </x:c>
      <x:c r="T2044" s="6" t="n">
        <x:v>6</x:v>
      </x:c>
      <x:c r="U2044" s="6" t="n">
        <x:v>0</x:v>
      </x:c>
      <x:c r="V2044" s="6" t="n">
        <x:v>0</x:v>
      </x:c>
      <x:c r="W2044" s="6" t="n">
        <x:v>0</x:v>
      </x:c>
      <x:c r="X2044" s="6" t="n">
        <x:v>0</x:v>
      </x:c>
      <x:c r="Y2044" s="6" t="n">
        <x:v>0</x:v>
      </x:c>
      <x:c r="Z2044" s="6" t="n">
        <x:v>0</x:v>
      </x:c>
      <x:c r="AA2044" s="6" t="n">
        <x:v>3</x:v>
      </x:c>
      <x:c r="AB2044" s="6" t="n">
        <x:v>11</x:v>
      </x:c>
      <x:c r="AC2044" s="6" t="n">
        <x:v>0</x:v>
      </x:c>
    </x:row>
    <x:row r="2045">
      <x:c r="A2045" s="6" t="n">
        <x:v>5454</x:v>
      </x:c>
      <x:c r="B2045" s="6" t="n">
        <x:v>1979</x:v>
      </x:c>
      <x:c r="C2045" s="6" t="str">
        <x:v>Master</x:v>
      </x:c>
      <x:c r="D2045" s="6" t="str">
        <x:v>Married</x:v>
      </x:c>
      <x:c r="E2045" s="6" t="n">
        <x:v>45057</x:v>
      </x:c>
      <x:c r="F2045" s="6" t="n">
        <x:v>1</x:v>
      </x:c>
      <x:c r="G2045" s="6" t="n">
        <x:v>0</x:v>
      </x:c>
      <x:c r="H2045" s="9" t="str">
        <x:v>01-12-2013</x:v>
      </x:c>
      <x:c r="I2045" s="6" t="n">
        <x:v>80</x:v>
      </x:c>
      <x:c r="J2045" s="6" t="n">
        <x:v>37</x:v>
      </x:c>
      <x:c r="K2045" s="6" t="n">
        <x:v>0</x:v>
      </x:c>
      <x:c r="L2045" s="6" t="n">
        <x:v>7</x:v>
      </x:c>
      <x:c r="M2045" s="6" t="n">
        <x:v>3</x:v>
      </x:c>
      <x:c r="N2045" s="6" t="n">
        <x:v>0</x:v>
      </x:c>
      <x:c r="O2045" s="6" t="n">
        <x:v>3</x:v>
      </x:c>
      <x:c r="P2045" s="6" t="n">
        <x:v>1</x:v>
      </x:c>
      <x:c r="Q2045" s="6" t="n">
        <x:v>2</x:v>
      </x:c>
      <x:c r="R2045" s="6" t="n">
        <x:v>0</x:v>
      </x:c>
      <x:c r="S2045" s="6" t="n">
        <x:v>3</x:v>
      </x:c>
      <x:c r="T2045" s="6" t="n">
        <x:v>5</x:v>
      </x:c>
      <x:c r="U2045" s="6" t="n">
        <x:v>0</x:v>
      </x:c>
      <x:c r="V2045" s="6" t="n">
        <x:v>0</x:v>
      </x:c>
      <x:c r="W2045" s="6" t="n">
        <x:v>0</x:v>
      </x:c>
      <x:c r="X2045" s="6" t="n">
        <x:v>0</x:v>
      </x:c>
      <x:c r="Y2045" s="6" t="n">
        <x:v>0</x:v>
      </x:c>
      <x:c r="Z2045" s="6" t="n">
        <x:v>0</x:v>
      </x:c>
      <x:c r="AA2045" s="6" t="n">
        <x:v>3</x:v>
      </x:c>
      <x:c r="AB2045" s="6" t="n">
        <x:v>11</x:v>
      </x:c>
      <x:c r="AC2045" s="6" t="n">
        <x:v>0</x:v>
      </x:c>
    </x:row>
    <x:row r="2046">
      <x:c r="A2046" s="6" t="n">
        <x:v>4095</x:v>
      </x:c>
      <x:c r="B2046" s="6" t="n">
        <x:v>1971</x:v>
      </x:c>
      <x:c r="C2046" s="6" t="str">
        <x:v>Graduation</x:v>
      </x:c>
      <x:c r="D2046" s="6" t="str">
        <x:v>Married</x:v>
      </x:c>
      <x:c r="E2046" s="6" t="n">
        <x:v>37150</x:v>
      </x:c>
      <x:c r="F2046" s="6" t="n">
        <x:v>1</x:v>
      </x:c>
      <x:c r="G2046" s="6" t="n">
        <x:v>0</x:v>
      </x:c>
      <x:c r="H2046" s="9" t="str">
        <x:v>11-09-2012</x:v>
      </x:c>
      <x:c r="I2046" s="6" t="n">
        <x:v>80</x:v>
      </x:c>
      <x:c r="J2046" s="6" t="n">
        <x:v>167</x:v>
      </x:c>
      <x:c r="K2046" s="6" t="n">
        <x:v>37</x:v>
      </x:c>
      <x:c r="L2046" s="6" t="n">
        <x:v>64</x:v>
      </x:c>
      <x:c r="M2046" s="6" t="n">
        <x:v>49</x:v>
      </x:c>
      <x:c r="N2046" s="6" t="n">
        <x:v>34</x:v>
      </x:c>
      <x:c r="O2046" s="6" t="n">
        <x:v>116</x:v>
      </x:c>
      <x:c r="P2046" s="6" t="n">
        <x:v>8</x:v>
      </x:c>
      <x:c r="Q2046" s="6" t="n">
        <x:v>4</x:v>
      </x:c>
      <x:c r="R2046" s="6" t="n">
        <x:v>3</x:v>
      </x:c>
      <x:c r="S2046" s="6" t="n">
        <x:v>6</x:v>
      </x:c>
      <x:c r="T2046" s="6" t="n">
        <x:v>7</x:v>
      </x:c>
      <x:c r="U2046" s="6" t="n">
        <x:v>0</x:v>
      </x:c>
      <x:c r="V2046" s="6" t="n">
        <x:v>0</x:v>
      </x:c>
      <x:c r="W2046" s="6" t="n">
        <x:v>0</x:v>
      </x:c>
      <x:c r="X2046" s="6" t="n">
        <x:v>0</x:v>
      </x:c>
      <x:c r="Y2046" s="6" t="n">
        <x:v>0</x:v>
      </x:c>
      <x:c r="Z2046" s="6" t="n">
        <x:v>0</x:v>
      </x:c>
      <x:c r="AA2046" s="6" t="n">
        <x:v>3</x:v>
      </x:c>
      <x:c r="AB2046" s="6" t="n">
        <x:v>11</x:v>
      </x:c>
      <x:c r="AC2046" s="6" t="n">
        <x:v>0</x:v>
      </x:c>
    </x:row>
    <x:row r="2047">
      <x:c r="A2047" s="6" t="n">
        <x:v>5474</x:v>
      </x:c>
      <x:c r="B2047" s="6" t="n">
        <x:v>1970</x:v>
      </x:c>
      <x:c r="C2047" s="6" t="str">
        <x:v>Graduation</x:v>
      </x:c>
      <x:c r="D2047" s="6" t="str">
        <x:v>Single</x:v>
      </x:c>
      <x:c r="E2047" s="6" t="n">
        <x:v>43020</x:v>
      </x:c>
      <x:c r="F2047" s="6" t="n">
        <x:v>1</x:v>
      </x:c>
      <x:c r="G2047" s="6" t="n">
        <x:v>0</x:v>
      </x:c>
      <x:c r="H2047" s="9" t="str">
        <x:v>30-11-2013</x:v>
      </x:c>
      <x:c r="I2047" s="6" t="n">
        <x:v>79</x:v>
      </x:c>
      <x:c r="J2047" s="6" t="n">
        <x:v>45</x:v>
      </x:c>
      <x:c r="K2047" s="6" t="n">
        <x:v>7</x:v>
      </x:c>
      <x:c r="L2047" s="6" t="n">
        <x:v>99</x:v>
      </x:c>
      <x:c r="M2047" s="6" t="n">
        <x:v>4</x:v>
      </x:c>
      <x:c r="N2047" s="6" t="n">
        <x:v>25</x:v>
      </x:c>
      <x:c r="O2047" s="6" t="n">
        <x:v>43</x:v>
      </x:c>
      <x:c r="P2047" s="6" t="n">
        <x:v>3</x:v>
      </x:c>
      <x:c r="Q2047" s="6" t="n">
        <x:v>4</x:v>
      </x:c>
      <x:c r="R2047" s="6" t="n">
        <x:v>1</x:v>
      </x:c>
      <x:c r="S2047" s="6" t="n">
        <x:v>4</x:v>
      </x:c>
      <x:c r="T2047" s="6" t="n">
        <x:v>6</x:v>
      </x:c>
      <x:c r="U2047" s="6" t="n">
        <x:v>0</x:v>
      </x:c>
      <x:c r="V2047" s="6" t="n">
        <x:v>0</x:v>
      </x:c>
      <x:c r="W2047" s="6" t="n">
        <x:v>0</x:v>
      </x:c>
      <x:c r="X2047" s="6" t="n">
        <x:v>0</x:v>
      </x:c>
      <x:c r="Y2047" s="6" t="n">
        <x:v>0</x:v>
      </x:c>
      <x:c r="Z2047" s="6" t="n">
        <x:v>0</x:v>
      </x:c>
      <x:c r="AA2047" s="6" t="n">
        <x:v>3</x:v>
      </x:c>
      <x:c r="AB2047" s="6" t="n">
        <x:v>11</x:v>
      </x:c>
      <x:c r="AC2047" s="6" t="n">
        <x:v>0</x:v>
      </x:c>
    </x:row>
    <x:row r="2048">
      <x:c r="A2048" s="6" t="n">
        <x:v>4268</x:v>
      </x:c>
      <x:c r="B2048" s="6" t="n">
        <x:v>1959</x:v>
      </x:c>
      <x:c r="C2048" s="6" t="str">
        <x:v>Graduation</x:v>
      </x:c>
      <x:c r="D2048" s="6" t="str">
        <x:v>Married</x:v>
      </x:c>
      <x:c r="E2048" s="6" t="n">
        <x:v>53154</x:v>
      </x:c>
      <x:c r="F2048" s="6" t="n">
        <x:v>0</x:v>
      </x:c>
      <x:c r="G2048" s="6" t="n">
        <x:v>1</x:v>
      </x:c>
      <x:c r="H2048" s="9" t="str">
        <x:v>09-06-2014</x:v>
      </x:c>
      <x:c r="I2048" s="6" t="n">
        <x:v>50</x:v>
      </x:c>
      <x:c r="J2048" s="6" t="n">
        <x:v>129</x:v>
      </x:c>
      <x:c r="K2048" s="6" t="n">
        <x:v>0</x:v>
      </x:c>
      <x:c r="L2048" s="6" t="n">
        <x:v>21</x:v>
      </x:c>
      <x:c r="M2048" s="6" t="n">
        <x:v>0</x:v>
      </x:c>
      <x:c r="N2048" s="6" t="n">
        <x:v>1</x:v>
      </x:c>
      <x:c r="O2048" s="6" t="n">
        <x:v>7</x:v>
      </x:c>
      <x:c r="P2048" s="6" t="n">
        <x:v>1</x:v>
      </x:c>
      <x:c r="Q2048" s="6" t="n">
        <x:v>3</x:v>
      </x:c>
      <x:c r="R2048" s="6" t="n">
        <x:v>1</x:v>
      </x:c>
      <x:c r="S2048" s="6" t="n">
        <x:v>4</x:v>
      </x:c>
      <x:c r="T2048" s="6" t="n">
        <x:v>4</x:v>
      </x:c>
      <x:c r="U2048" s="6" t="n">
        <x:v>0</x:v>
      </x:c>
      <x:c r="V2048" s="6" t="n">
        <x:v>0</x:v>
      </x:c>
      <x:c r="W2048" s="6" t="n">
        <x:v>0</x:v>
      </x:c>
      <x:c r="X2048" s="6" t="n">
        <x:v>0</x:v>
      </x:c>
      <x:c r="Y2048" s="6" t="n">
        <x:v>0</x:v>
      </x:c>
      <x:c r="Z2048" s="6" t="n">
        <x:v>0</x:v>
      </x:c>
      <x:c r="AA2048" s="6" t="n">
        <x:v>3</x:v>
      </x:c>
      <x:c r="AB2048" s="6" t="n">
        <x:v>11</x:v>
      </x:c>
      <x:c r="AC2048" s="6" t="n">
        <x:v>0</x:v>
      </x:c>
    </x:row>
    <x:row r="2049">
      <x:c r="A2049" s="6" t="n">
        <x:v>10701</x:v>
      </x:c>
      <x:c r="B2049" s="6" t="n">
        <x:v>1973</x:v>
      </x:c>
      <x:c r="C2049" s="6" t="str">
        <x:v>Graduation</x:v>
      </x:c>
      <x:c r="D2049" s="6" t="str">
        <x:v>Married</x:v>
      </x:c>
      <x:c r="E2049" s="6" t="n">
        <x:v>65308</x:v>
      </x:c>
      <x:c r="F2049" s="6" t="n">
        <x:v>0</x:v>
      </x:c>
      <x:c r="G2049" s="6" t="n">
        <x:v>0</x:v>
      </x:c>
      <x:c r="H2049" s="9" t="str">
        <x:v>11-09-2013</x:v>
      </x:c>
      <x:c r="I2049" s="6" t="n">
        <x:v>60</x:v>
      </x:c>
      <x:c r="J2049" s="6" t="n">
        <x:v>713</x:v>
      </x:c>
      <x:c r="K2049" s="6" t="n">
        <x:v>0</x:v>
      </x:c>
      <x:c r="L2049" s="6" t="n">
        <x:v>264</x:v>
      </x:c>
      <x:c r="M2049" s="6" t="n">
        <x:v>120</x:v>
      </x:c>
      <x:c r="N2049" s="6" t="n">
        <x:v>80</x:v>
      </x:c>
      <x:c r="O2049" s="6" t="n">
        <x:v>34</x:v>
      </x:c>
      <x:c r="P2049" s="6" t="n">
        <x:v>1</x:v>
      </x:c>
      <x:c r="Q2049" s="6" t="n">
        <x:v>7</x:v>
      </x:c>
      <x:c r="R2049" s="6" t="n">
        <x:v>8</x:v>
      </x:c>
      <x:c r="S2049" s="6" t="n">
        <x:v>12</x:v>
      </x:c>
      <x:c r="T2049" s="6" t="n">
        <x:v>4</x:v>
      </x:c>
      <x:c r="U2049" s="6" t="n">
        <x:v>0</x:v>
      </x:c>
      <x:c r="V2049" s="6" t="n">
        <x:v>0</x:v>
      </x:c>
      <x:c r="W2049" s="6" t="n">
        <x:v>1</x:v>
      </x:c>
      <x:c r="X2049" s="6" t="n">
        <x:v>1</x:v>
      </x:c>
      <x:c r="Y2049" s="6" t="n">
        <x:v>0</x:v>
      </x:c>
      <x:c r="Z2049" s="6" t="n">
        <x:v>0</x:v>
      </x:c>
      <x:c r="AA2049" s="6" t="n">
        <x:v>3</x:v>
      </x:c>
      <x:c r="AB2049" s="6" t="n">
        <x:v>11</x:v>
      </x:c>
      <x:c r="AC2049" s="6" t="n">
        <x:v>0</x:v>
      </x:c>
    </x:row>
    <x:row r="2050">
      <x:c r="A2050" s="6" t="n">
        <x:v>3507</x:v>
      </x:c>
      <x:c r="B2050" s="6" t="n">
        <x:v>1970</x:v>
      </x:c>
      <x:c r="C2050" s="6" t="str">
        <x:v>Graduation</x:v>
      </x:c>
      <x:c r="D2050" s="6" t="str">
        <x:v>Single</x:v>
      </x:c>
      <x:c r="E2050" s="6" t="n">
        <x:v>76467</x:v>
      </x:c>
      <x:c r="F2050" s="6" t="n">
        <x:v>1</x:v>
      </x:c>
      <x:c r="G2050" s="6" t="n">
        <x:v>0</x:v>
      </x:c>
      <x:c r="H2050" s="9" t="str">
        <x:v>17-08-2012</x:v>
      </x:c>
      <x:c r="I2050" s="6" t="n">
        <x:v>44</x:v>
      </x:c>
      <x:c r="J2050" s="6" t="n">
        <x:v>676</x:v>
      </x:c>
      <x:c r="K2050" s="6" t="n">
        <x:v>161</x:v>
      </x:c>
      <x:c r="L2050" s="6" t="n">
        <x:v>426</x:v>
      </x:c>
      <x:c r="M2050" s="6" t="n">
        <x:v>210</x:v>
      </x:c>
      <x:c r="N2050" s="6" t="n">
        <x:v>44</x:v>
      </x:c>
      <x:c r="O2050" s="6" t="n">
        <x:v>58</x:v>
      </x:c>
      <x:c r="P2050" s="6" t="n">
        <x:v>2</x:v>
      </x:c>
      <x:c r="Q2050" s="6" t="n">
        <x:v>2</x:v>
      </x:c>
      <x:c r="R2050" s="6" t="n">
        <x:v>5</x:v>
      </x:c>
      <x:c r="S2050" s="6" t="n">
        <x:v>5</x:v>
      </x:c>
      <x:c r="T2050" s="6" t="n">
        <x:v>6</x:v>
      </x:c>
      <x:c r="U2050" s="6" t="n">
        <x:v>0</x:v>
      </x:c>
      <x:c r="V2050" s="6" t="n">
        <x:v>0</x:v>
      </x:c>
      <x:c r="W2050" s="6" t="n">
        <x:v>0</x:v>
      </x:c>
      <x:c r="X2050" s="6" t="n">
        <x:v>0</x:v>
      </x:c>
      <x:c r="Y2050" s="6" t="n">
        <x:v>0</x:v>
      </x:c>
      <x:c r="Z2050" s="6" t="n">
        <x:v>0</x:v>
      </x:c>
      <x:c r="AA2050" s="6" t="n">
        <x:v>3</x:v>
      </x:c>
      <x:c r="AB2050" s="6" t="n">
        <x:v>11</x:v>
      </x:c>
      <x:c r="AC2050" s="6" t="n">
        <x:v>1</x:v>
      </x:c>
    </x:row>
    <x:row r="2051">
      <x:c r="A2051" s="6" t="n">
        <x:v>2079</x:v>
      </x:c>
      <x:c r="B2051" s="6" t="n">
        <x:v>1947</x:v>
      </x:c>
      <x:c r="C2051" s="6" t="str">
        <x:v>2n Cycle</x:v>
      </x:c>
      <x:c r="D2051" s="6" t="str">
        <x:v>Married</x:v>
      </x:c>
      <x:c r="E2051" s="6" t="n">
        <x:v>81044</x:v>
      </x:c>
      <x:c r="F2051" s="6" t="n">
        <x:v>0</x:v>
      </x:c>
      <x:c r="G2051" s="6" t="n">
        <x:v>0</x:v>
      </x:c>
      <x:c r="H2051" s="9" t="str">
        <x:v>27-12-2013</x:v>
      </x:c>
      <x:c r="I2051" s="6" t="n">
        <x:v>0</x:v>
      </x:c>
      <x:c r="J2051" s="6" t="n">
        <x:v>450</x:v>
      </x:c>
      <x:c r="K2051" s="6" t="n">
        <x:v>26</x:v>
      </x:c>
      <x:c r="L2051" s="6" t="n">
        <x:v>535</x:v>
      </x:c>
      <x:c r="M2051" s="6" t="n">
        <x:v>73</x:v>
      </x:c>
      <x:c r="N2051" s="6" t="n">
        <x:v>98</x:v>
      </x:c>
      <x:c r="O2051" s="6" t="n">
        <x:v>26</x:v>
      </x:c>
      <x:c r="P2051" s="6" t="n">
        <x:v>1</x:v>
      </x:c>
      <x:c r="Q2051" s="6" t="n">
        <x:v>5</x:v>
      </x:c>
      <x:c r="R2051" s="6" t="n">
        <x:v>6</x:v>
      </x:c>
      <x:c r="S2051" s="6" t="n">
        <x:v>10</x:v>
      </x:c>
      <x:c r="T2051" s="6" t="n">
        <x:v>1</x:v>
      </x:c>
      <x:c r="U2051" s="6" t="n">
        <x:v>0</x:v>
      </x:c>
      <x:c r="V2051" s="6" t="n">
        <x:v>0</x:v>
      </x:c>
      <x:c r="W2051" s="6" t="n">
        <x:v>0</x:v>
      </x:c>
      <x:c r="X2051" s="6" t="n">
        <x:v>0</x:v>
      </x:c>
      <x:c r="Y2051" s="6" t="n">
        <x:v>0</x:v>
      </x:c>
      <x:c r="Z2051" s="6" t="n">
        <x:v>0</x:v>
      </x:c>
      <x:c r="AA2051" s="6" t="n">
        <x:v>3</x:v>
      </x:c>
      <x:c r="AB2051" s="6" t="n">
        <x:v>11</x:v>
      </x:c>
      <x:c r="AC2051" s="6" t="n">
        <x:v>0</x:v>
      </x:c>
    </x:row>
    <x:row r="2052">
      <x:c r="A2052" s="6" t="n">
        <x:v>626</x:v>
      </x:c>
      <x:c r="B2052" s="6" t="n">
        <x:v>1951</x:v>
      </x:c>
      <x:c r="C2052" s="6" t="str">
        <x:v>Graduation</x:v>
      </x:c>
      <x:c r="D2052" s="6" t="str">
        <x:v>Married</x:v>
      </x:c>
      <x:c r="E2052" s="6" t="n">
        <x:v>32871</x:v>
      </x:c>
      <x:c r="F2052" s="6" t="n">
        <x:v>1</x:v>
      </x:c>
      <x:c r="G2052" s="6" t="n">
        <x:v>1</x:v>
      </x:c>
      <x:c r="H2052" s="9" t="str">
        <x:v>09-03-2013</x:v>
      </x:c>
      <x:c r="I2052" s="6" t="n">
        <x:v>28</x:v>
      </x:c>
      <x:c r="J2052" s="6" t="n">
        <x:v>22</x:v>
      </x:c>
      <x:c r="K2052" s="6" t="n">
        <x:v>2</x:v>
      </x:c>
      <x:c r="L2052" s="6" t="n">
        <x:v>12</x:v>
      </x:c>
      <x:c r="M2052" s="6" t="n">
        <x:v>0</x:v>
      </x:c>
      <x:c r="N2052" s="6" t="n">
        <x:v>2</x:v>
      </x:c>
      <x:c r="O2052" s="6" t="n">
        <x:v>5</x:v>
      </x:c>
      <x:c r="P2052" s="6" t="n">
        <x:v>1</x:v>
      </x:c>
      <x:c r="Q2052" s="6" t="n">
        <x:v>1</x:v>
      </x:c>
      <x:c r="R2052" s="6" t="n">
        <x:v>0</x:v>
      </x:c>
      <x:c r="S2052" s="6" t="n">
        <x:v>3</x:v>
      </x:c>
      <x:c r="T2052" s="6" t="n">
        <x:v>4</x:v>
      </x:c>
      <x:c r="U2052" s="6" t="n">
        <x:v>0</x:v>
      </x:c>
      <x:c r="V2052" s="6" t="n">
        <x:v>0</x:v>
      </x:c>
      <x:c r="W2052" s="6" t="n">
        <x:v>0</x:v>
      </x:c>
      <x:c r="X2052" s="6" t="n">
        <x:v>0</x:v>
      </x:c>
      <x:c r="Y2052" s="6" t="n">
        <x:v>0</x:v>
      </x:c>
      <x:c r="Z2052" s="6" t="n">
        <x:v>0</x:v>
      </x:c>
      <x:c r="AA2052" s="6" t="n">
        <x:v>3</x:v>
      </x:c>
      <x:c r="AB2052" s="6" t="n">
        <x:v>11</x:v>
      </x:c>
      <x:c r="AC2052" s="6" t="n">
        <x:v>0</x:v>
      </x:c>
    </x:row>
    <x:row r="2053">
      <x:c r="A2053" s="6" t="n">
        <x:v>4426</x:v>
      </x:c>
      <x:c r="B2053" s="6" t="n">
        <x:v>1975</x:v>
      </x:c>
      <x:c r="C2053" s="6" t="str">
        <x:v>Graduation</x:v>
      </x:c>
      <x:c r="D2053" s="6" t="str">
        <x:v>Single</x:v>
      </x:c>
      <x:c r="E2053" s="6" t="n">
        <x:v>55801</x:v>
      </x:c>
      <x:c r="F2053" s="6" t="n">
        <x:v>1</x:v>
      </x:c>
      <x:c r="G2053" s="6" t="n">
        <x:v>1</x:v>
      </x:c>
      <x:c r="H2053" s="9" t="str">
        <x:v>22-09-2013</x:v>
      </x:c>
      <x:c r="I2053" s="6" t="n">
        <x:v>35</x:v>
      </x:c>
      <x:c r="J2053" s="6" t="n">
        <x:v>367</x:v>
      </x:c>
      <x:c r="K2053" s="6" t="n">
        <x:v>4</x:v>
      </x:c>
      <x:c r="L2053" s="6" t="n">
        <x:v>51</x:v>
      </x:c>
      <x:c r="M2053" s="6" t="n">
        <x:v>6</x:v>
      </x:c>
      <x:c r="N2053" s="6" t="n">
        <x:v>4</x:v>
      </x:c>
      <x:c r="O2053" s="6" t="n">
        <x:v>95</x:v>
      </x:c>
      <x:c r="P2053" s="6" t="n">
        <x:v>6</x:v>
      </x:c>
      <x:c r="Q2053" s="6" t="n">
        <x:v>7</x:v>
      </x:c>
      <x:c r="R2053" s="6" t="n">
        <x:v>2</x:v>
      </x:c>
      <x:c r="S2053" s="6" t="n">
        <x:v>6</x:v>
      </x:c>
      <x:c r="T2053" s="6" t="n">
        <x:v>7</x:v>
      </x:c>
      <x:c r="U2053" s="6" t="n">
        <x:v>0</x:v>
      </x:c>
      <x:c r="V2053" s="6" t="n">
        <x:v>0</x:v>
      </x:c>
      <x:c r="W2053" s="6" t="n">
        <x:v>0</x:v>
      </x:c>
      <x:c r="X2053" s="6" t="n">
        <x:v>1</x:v>
      </x:c>
      <x:c r="Y2053" s="6" t="n">
        <x:v>0</x:v>
      </x:c>
      <x:c r="Z2053" s="6" t="n">
        <x:v>0</x:v>
      </x:c>
      <x:c r="AA2053" s="6" t="n">
        <x:v>3</x:v>
      </x:c>
      <x:c r="AB2053" s="6" t="n">
        <x:v>11</x:v>
      </x:c>
      <x:c r="AC2053" s="6" t="n">
        <x:v>0</x:v>
      </x:c>
    </x:row>
    <x:row r="2054">
      <x:c r="A2054" s="6" t="n">
        <x:v>2591</x:v>
      </x:c>
      <x:c r="B2054" s="6" t="n">
        <x:v>1959</x:v>
      </x:c>
      <x:c r="C2054" s="6" t="str">
        <x:v>Graduation</x:v>
      </x:c>
      <x:c r="D2054" s="6" t="str">
        <x:v>Widow</x:v>
      </x:c>
      <x:c r="E2054" s="6" t="n">
        <x:v>76320</x:v>
      </x:c>
      <x:c r="F2054" s="6" t="n">
        <x:v>0</x:v>
      </x:c>
      <x:c r="G2054" s="6" t="n">
        <x:v>1</x:v>
      </x:c>
      <x:c r="H2054" s="9" t="str">
        <x:v>22-06-2014</x:v>
      </x:c>
      <x:c r="I2054" s="6" t="n">
        <x:v>49</x:v>
      </x:c>
      <x:c r="J2054" s="6" t="n">
        <x:v>526</x:v>
      </x:c>
      <x:c r="K2054" s="6" t="n">
        <x:v>35</x:v>
      </x:c>
      <x:c r="L2054" s="6" t="n">
        <x:v>214</x:v>
      </x:c>
      <x:c r="M2054" s="6" t="n">
        <x:v>69</x:v>
      </x:c>
      <x:c r="N2054" s="6" t="n">
        <x:v>53</x:v>
      </x:c>
      <x:c r="O2054" s="6" t="n">
        <x:v>35</x:v>
      </x:c>
      <x:c r="P2054" s="6" t="n">
        <x:v>2</x:v>
      </x:c>
      <x:c r="Q2054" s="6" t="n">
        <x:v>6</x:v>
      </x:c>
      <x:c r="R2054" s="6" t="n">
        <x:v>3</x:v>
      </x:c>
      <x:c r="S2054" s="6" t="n">
        <x:v>4</x:v>
      </x:c>
      <x:c r="T2054" s="6" t="n">
        <x:v>2</x:v>
      </x:c>
      <x:c r="U2054" s="6" t="n">
        <x:v>0</x:v>
      </x:c>
      <x:c r="V2054" s="6" t="n">
        <x:v>0</x:v>
      </x:c>
      <x:c r="W2054" s="6" t="n">
        <x:v>0</x:v>
      </x:c>
      <x:c r="X2054" s="6" t="n">
        <x:v>0</x:v>
      </x:c>
      <x:c r="Y2054" s="6" t="n">
        <x:v>0</x:v>
      </x:c>
      <x:c r="Z2054" s="6" t="n">
        <x:v>0</x:v>
      </x:c>
      <x:c r="AA2054" s="6" t="n">
        <x:v>3</x:v>
      </x:c>
      <x:c r="AB2054" s="6" t="n">
        <x:v>11</x:v>
      </x:c>
      <x:c r="AC2054" s="6" t="n">
        <x:v>0</x:v>
      </x:c>
    </x:row>
    <x:row r="2055">
      <x:c r="A2055" s="6" t="n">
        <x:v>10509</x:v>
      </x:c>
      <x:c r="B2055" s="6" t="n">
        <x:v>1955</x:v>
      </x:c>
      <x:c r="C2055" s="6" t="str">
        <x:v>Master</x:v>
      </x:c>
      <x:c r="D2055" s="6" t="str">
        <x:v>Single</x:v>
      </x:c>
      <x:c r="E2055" s="6" t="n">
        <x:v>36927</x:v>
      </x:c>
      <x:c r="F2055" s="6" t="n">
        <x:v>1</x:v>
      </x:c>
      <x:c r="G2055" s="6" t="n">
        <x:v>1</x:v>
      </x:c>
      <x:c r="H2055" s="9" t="str">
        <x:v>02-06-2014</x:v>
      </x:c>
      <x:c r="I2055" s="6" t="n">
        <x:v>46</x:v>
      </x:c>
      <x:c r="J2055" s="6" t="n">
        <x:v>51</x:v>
      </x:c>
      <x:c r="K2055" s="6" t="n">
        <x:v>0</x:v>
      </x:c>
      <x:c r="L2055" s="6" t="n">
        <x:v>16</x:v>
      </x:c>
      <x:c r="M2055" s="6" t="n">
        <x:v>0</x:v>
      </x:c>
      <x:c r="N2055" s="6" t="n">
        <x:v>0</x:v>
      </x:c>
      <x:c r="O2055" s="6" t="n">
        <x:v>4</x:v>
      </x:c>
      <x:c r="P2055" s="6" t="n">
        <x:v>2</x:v>
      </x:c>
      <x:c r="Q2055" s="6" t="n">
        <x:v>3</x:v>
      </x:c>
      <x:c r="R2055" s="6" t="n">
        <x:v>0</x:v>
      </x:c>
      <x:c r="S2055" s="6" t="n">
        <x:v>3</x:v>
      </x:c>
      <x:c r="T2055" s="6" t="n">
        <x:v>8</x:v>
      </x:c>
      <x:c r="U2055" s="6" t="n">
        <x:v>0</x:v>
      </x:c>
      <x:c r="V2055" s="6" t="n">
        <x:v>0</x:v>
      </x:c>
      <x:c r="W2055" s="6" t="n">
        <x:v>0</x:v>
      </x:c>
      <x:c r="X2055" s="6" t="n">
        <x:v>0</x:v>
      </x:c>
      <x:c r="Y2055" s="6" t="n">
        <x:v>0</x:v>
      </x:c>
      <x:c r="Z2055" s="6" t="n">
        <x:v>0</x:v>
      </x:c>
      <x:c r="AA2055" s="6" t="n">
        <x:v>3</x:v>
      </x:c>
      <x:c r="AB2055" s="6" t="n">
        <x:v>11</x:v>
      </x:c>
      <x:c r="AC2055" s="6" t="n">
        <x:v>0</x:v>
      </x:c>
    </x:row>
    <x:row r="2056">
      <x:c r="A2056" s="6" t="n">
        <x:v>6382</x:v>
      </x:c>
      <x:c r="B2056" s="6" t="n">
        <x:v>1953</x:v>
      </x:c>
      <x:c r="C2056" s="6" t="str">
        <x:v>Graduation</x:v>
      </x:c>
      <x:c r="D2056" s="6" t="str">
        <x:v>Together</x:v>
      </x:c>
      <x:c r="E2056" s="6" t="n">
        <x:v>48794</x:v>
      </x:c>
      <x:c r="F2056" s="6" t="n">
        <x:v>1</x:v>
      </x:c>
      <x:c r="G2056" s="6" t="n">
        <x:v>1</x:v>
      </x:c>
      <x:c r="H2056" s="9" t="str">
        <x:v>26-06-2014</x:v>
      </x:c>
      <x:c r="I2056" s="6" t="n">
        <x:v>97</x:v>
      </x:c>
      <x:c r="J2056" s="6" t="n">
        <x:v>25</x:v>
      </x:c>
      <x:c r="K2056" s="6" t="n">
        <x:v>0</x:v>
      </x:c>
      <x:c r="L2056" s="6" t="n">
        <x:v>11</x:v>
      </x:c>
      <x:c r="M2056" s="6" t="n">
        <x:v>3</x:v>
      </x:c>
      <x:c r="N2056" s="6" t="n">
        <x:v>0</x:v>
      </x:c>
      <x:c r="O2056" s="6" t="n">
        <x:v>15</x:v>
      </x:c>
      <x:c r="P2056" s="6" t="n">
        <x:v>1</x:v>
      </x:c>
      <x:c r="Q2056" s="6" t="n">
        <x:v>1</x:v>
      </x:c>
      <x:c r="R2056" s="6" t="n">
        <x:v>0</x:v>
      </x:c>
      <x:c r="S2056" s="6" t="n">
        <x:v>3</x:v>
      </x:c>
      <x:c r="T2056" s="6" t="n">
        <x:v>4</x:v>
      </x:c>
      <x:c r="U2056" s="6" t="n">
        <x:v>0</x:v>
      </x:c>
      <x:c r="V2056" s="6" t="n">
        <x:v>0</x:v>
      </x:c>
      <x:c r="W2056" s="6" t="n">
        <x:v>0</x:v>
      </x:c>
      <x:c r="X2056" s="6" t="n">
        <x:v>0</x:v>
      </x:c>
      <x:c r="Y2056" s="6" t="n">
        <x:v>0</x:v>
      </x:c>
      <x:c r="Z2056" s="6" t="n">
        <x:v>0</x:v>
      </x:c>
      <x:c r="AA2056" s="6" t="n">
        <x:v>3</x:v>
      </x:c>
      <x:c r="AB2056" s="6" t="n">
        <x:v>11</x:v>
      </x:c>
      <x:c r="AC2056" s="6" t="n">
        <x:v>0</x:v>
      </x:c>
    </x:row>
    <x:row r="2057">
      <x:c r="A2057" s="6" t="n">
        <x:v>6673</x:v>
      </x:c>
      <x:c r="B2057" s="6" t="n">
        <x:v>1965</x:v>
      </x:c>
      <x:c r="C2057" s="6" t="str">
        <x:v>Graduation</x:v>
      </x:c>
      <x:c r="D2057" s="6" t="str">
        <x:v>Single</x:v>
      </x:c>
      <x:c r="E2057" s="6" t="n">
        <x:v>23478</x:v>
      </x:c>
      <x:c r="F2057" s="6" t="n">
        <x:v>0</x:v>
      </x:c>
      <x:c r="G2057" s="6" t="n">
        <x:v>0</x:v>
      </x:c>
      <x:c r="H2057" s="9" t="str">
        <x:v>19-03-2013</x:v>
      </x:c>
      <x:c r="I2057" s="6" t="n">
        <x:v>51</x:v>
      </x:c>
      <x:c r="J2057" s="6" t="n">
        <x:v>28</x:v>
      </x:c>
      <x:c r="K2057" s="6" t="n">
        <x:v>6</x:v>
      </x:c>
      <x:c r="L2057" s="6" t="n">
        <x:v>27</x:v>
      </x:c>
      <x:c r="M2057" s="6" t="n">
        <x:v>12</x:v>
      </x:c>
      <x:c r="N2057" s="6" t="n">
        <x:v>17</x:v>
      </x:c>
      <x:c r="O2057" s="6" t="n">
        <x:v>39</x:v>
      </x:c>
      <x:c r="P2057" s="6" t="n">
        <x:v>1</x:v>
      </x:c>
      <x:c r="Q2057" s="6" t="n">
        <x:v>3</x:v>
      </x:c>
      <x:c r="R2057" s="6" t="n">
        <x:v>0</x:v>
      </x:c>
      <x:c r="S2057" s="6" t="n">
        <x:v>3</x:v>
      </x:c>
      <x:c r="T2057" s="6" t="n">
        <x:v>8</x:v>
      </x:c>
      <x:c r="U2057" s="6" t="n">
        <x:v>0</x:v>
      </x:c>
      <x:c r="V2057" s="6" t="n">
        <x:v>0</x:v>
      </x:c>
      <x:c r="W2057" s="6" t="n">
        <x:v>0</x:v>
      </x:c>
      <x:c r="X2057" s="6" t="n">
        <x:v>0</x:v>
      </x:c>
      <x:c r="Y2057" s="6" t="n">
        <x:v>0</x:v>
      </x:c>
      <x:c r="Z2057" s="6" t="n">
        <x:v>0</x:v>
      </x:c>
      <x:c r="AA2057" s="6" t="n">
        <x:v>3</x:v>
      </x:c>
      <x:c r="AB2057" s="6" t="n">
        <x:v>11</x:v>
      </x:c>
      <x:c r="AC2057" s="6" t="n">
        <x:v>0</x:v>
      </x:c>
    </x:row>
    <x:row r="2058">
      <x:c r="A2058" s="6" t="n">
        <x:v>7441</x:v>
      </x:c>
      <x:c r="B2058" s="6" t="n">
        <x:v>1973</x:v>
      </x:c>
      <x:c r="C2058" s="6" t="str">
        <x:v>Graduation</x:v>
      </x:c>
      <x:c r="D2058" s="6" t="str">
        <x:v>Divorced</x:v>
      </x:c>
      <x:c r="E2058" s="6" t="n">
        <x:v>71128</x:v>
      </x:c>
      <x:c r="F2058" s="6" t="n">
        <x:v>1</x:v>
      </x:c>
      <x:c r="G2058" s="6" t="n">
        <x:v>0</x:v>
      </x:c>
      <x:c r="H2058" s="9" t="str">
        <x:v>06-10-2012</x:v>
      </x:c>
      <x:c r="I2058" s="6" t="n">
        <x:v>80</x:v>
      </x:c>
      <x:c r="J2058" s="6" t="n">
        <x:v>958</x:v>
      </x:c>
      <x:c r="K2058" s="6" t="n">
        <x:v>159</x:v>
      </x:c>
      <x:c r="L2058" s="6" t="n">
        <x:v>447</x:v>
      </x:c>
      <x:c r="M2058" s="6" t="n">
        <x:v>20</x:v>
      </x:c>
      <x:c r="N2058" s="6" t="n">
        <x:v>0</x:v>
      </x:c>
      <x:c r="O2058" s="6" t="n">
        <x:v>31</x:v>
      </x:c>
      <x:c r="P2058" s="6" t="n">
        <x:v>3</x:v>
      </x:c>
      <x:c r="Q2058" s="6" t="n">
        <x:v>2</x:v>
      </x:c>
      <x:c r="R2058" s="6" t="n">
        <x:v>10</x:v>
      </x:c>
      <x:c r="S2058" s="6" t="n">
        <x:v>12</x:v>
      </x:c>
      <x:c r="T2058" s="6" t="n">
        <x:v>7</x:v>
      </x:c>
      <x:c r="U2058" s="6" t="n">
        <x:v>0</x:v>
      </x:c>
      <x:c r="V2058" s="6" t="n">
        <x:v>0</x:v>
      </x:c>
      <x:c r="W2058" s="6" t="n">
        <x:v>0</x:v>
      </x:c>
      <x:c r="X2058" s="6" t="n">
        <x:v>0</x:v>
      </x:c>
      <x:c r="Y2058" s="6" t="n">
        <x:v>0</x:v>
      </x:c>
      <x:c r="Z2058" s="6" t="n">
        <x:v>0</x:v>
      </x:c>
      <x:c r="AA2058" s="6" t="n">
        <x:v>3</x:v>
      </x:c>
      <x:c r="AB2058" s="6" t="n">
        <x:v>11</x:v>
      </x:c>
      <x:c r="AC2058" s="6" t="n">
        <x:v>0</x:v>
      </x:c>
    </x:row>
    <x:row r="2059">
      <x:c r="A2059" s="6" t="n">
        <x:v>1071</x:v>
      </x:c>
      <x:c r="B2059" s="6" t="n">
        <x:v>1976</x:v>
      </x:c>
      <x:c r="C2059" s="6" t="str">
        <x:v>PhD</x:v>
      </x:c>
      <x:c r="D2059" s="6" t="str">
        <x:v>Divorced</x:v>
      </x:c>
      <x:c r="E2059" s="6" t="n">
        <x:v>70179</x:v>
      </x:c>
      <x:c r="F2059" s="6" t="n">
        <x:v>0</x:v>
      </x:c>
      <x:c r="G2059" s="6" t="n">
        <x:v>1</x:v>
      </x:c>
      <x:c r="H2059" s="9" t="str">
        <x:v>21-07-2013</x:v>
      </x:c>
      <x:c r="I2059" s="6" t="n">
        <x:v>10</x:v>
      </x:c>
      <x:c r="J2059" s="6" t="n">
        <x:v>532</x:v>
      </x:c>
      <x:c r="K2059" s="6" t="n">
        <x:v>88</x:v>
      </x:c>
      <x:c r="L2059" s="6" t="n">
        <x:v>168</x:v>
      </x:c>
      <x:c r="M2059" s="6" t="n">
        <x:v>69</x:v>
      </x:c>
      <x:c r="N2059" s="6" t="n">
        <x:v>44</x:v>
      </x:c>
      <x:c r="O2059" s="6" t="n">
        <x:v>133</x:v>
      </x:c>
      <x:c r="P2059" s="6" t="n">
        <x:v>3</x:v>
      </x:c>
      <x:c r="Q2059" s="6" t="n">
        <x:v>7</x:v>
      </x:c>
      <x:c r="R2059" s="6" t="n">
        <x:v>3</x:v>
      </x:c>
      <x:c r="S2059" s="6" t="n">
        <x:v>13</x:v>
      </x:c>
      <x:c r="T2059" s="6" t="n">
        <x:v>5</x:v>
      </x:c>
      <x:c r="U2059" s="6" t="n">
        <x:v>0</x:v>
      </x:c>
      <x:c r="V2059" s="6" t="n">
        <x:v>0</x:v>
      </x:c>
      <x:c r="W2059" s="6" t="n">
        <x:v>0</x:v>
      </x:c>
      <x:c r="X2059" s="6" t="n">
        <x:v>0</x:v>
      </x:c>
      <x:c r="Y2059" s="6" t="n">
        <x:v>0</x:v>
      </x:c>
      <x:c r="Z2059" s="6" t="n">
        <x:v>0</x:v>
      </x:c>
      <x:c r="AA2059" s="6" t="n">
        <x:v>3</x:v>
      </x:c>
      <x:c r="AB2059" s="6" t="n">
        <x:v>11</x:v>
      </x:c>
      <x:c r="AC2059" s="6" t="n">
        <x:v>0</x:v>
      </x:c>
    </x:row>
    <x:row r="2060">
      <x:c r="A2060" s="6" t="n">
        <x:v>10061</x:v>
      </x:c>
      <x:c r="B2060" s="6" t="n">
        <x:v>1950</x:v>
      </x:c>
      <x:c r="C2060" s="6" t="str">
        <x:v>Graduation</x:v>
      </x:c>
      <x:c r="D2060" s="6" t="str">
        <x:v>Married</x:v>
      </x:c>
      <x:c r="E2060" s="6" t="n">
        <x:v>59462</x:v>
      </x:c>
      <x:c r="F2060" s="6" t="n">
        <x:v>0</x:v>
      </x:c>
      <x:c r="G2060" s="6" t="n">
        <x:v>1</x:v>
      </x:c>
      <x:c r="H2060" s="9" t="str">
        <x:v>05-01-2013</x:v>
      </x:c>
      <x:c r="I2060" s="6" t="n">
        <x:v>29</x:v>
      </x:c>
      <x:c r="J2060" s="6" t="n">
        <x:v>724</x:v>
      </x:c>
      <x:c r="K2060" s="6" t="n">
        <x:v>17</x:v>
      </x:c>
      <x:c r="L2060" s="6" t="n">
        <x:v>143</x:v>
      </x:c>
      <x:c r="M2060" s="6" t="n">
        <x:v>0</x:v>
      </x:c>
      <x:c r="N2060" s="6" t="n">
        <x:v>8</x:v>
      </x:c>
      <x:c r="O2060" s="6" t="n">
        <x:v>196</x:v>
      </x:c>
      <x:c r="P2060" s="6" t="n">
        <x:v>2</x:v>
      </x:c>
      <x:c r="Q2060" s="6" t="n">
        <x:v>9</x:v>
      </x:c>
      <x:c r="R2060" s="6" t="n">
        <x:v>2</x:v>
      </x:c>
      <x:c r="S2060" s="6" t="n">
        <x:v>12</x:v>
      </x:c>
      <x:c r="T2060" s="6" t="n">
        <x:v>7</x:v>
      </x:c>
      <x:c r="U2060" s="6" t="n">
        <x:v>0</x:v>
      </x:c>
      <x:c r="V2060" s="6" t="n">
        <x:v>0</x:v>
      </x:c>
      <x:c r="W2060" s="6" t="n">
        <x:v>0</x:v>
      </x:c>
      <x:c r="X2060" s="6" t="n">
        <x:v>0</x:v>
      </x:c>
      <x:c r="Y2060" s="6" t="n">
        <x:v>0</x:v>
      </x:c>
      <x:c r="Z2060" s="6" t="n">
        <x:v>0</x:v>
      </x:c>
      <x:c r="AA2060" s="6" t="n">
        <x:v>3</x:v>
      </x:c>
      <x:c r="AB2060" s="6" t="n">
        <x:v>11</x:v>
      </x:c>
      <x:c r="AC2060" s="6" t="n">
        <x:v>0</x:v>
      </x:c>
    </x:row>
    <x:row r="2061">
      <x:c r="A2061" s="6" t="n">
        <x:v>7187</x:v>
      </x:c>
      <x:c r="B2061" s="6" t="n">
        <x:v>1969</x:v>
      </x:c>
      <x:c r="C2061" s="6" t="str">
        <x:v>Master</x:v>
      </x:c>
      <x:c r="D2061" s="6" t="str">
        <x:v>Together</x:v>
      </x:c>
      <x:c r="E2061" s="6"/>
      <x:c r="F2061" s="6" t="n">
        <x:v>1</x:v>
      </x:c>
      <x:c r="G2061" s="6" t="n">
        <x:v>1</x:v>
      </x:c>
      <x:c r="H2061" s="9" t="str">
        <x:v>18-05-2013</x:v>
      </x:c>
      <x:c r="I2061" s="6" t="n">
        <x:v>52</x:v>
      </x:c>
      <x:c r="J2061" s="6" t="n">
        <x:v>375</x:v>
      </x:c>
      <x:c r="K2061" s="6" t="n">
        <x:v>42</x:v>
      </x:c>
      <x:c r="L2061" s="6" t="n">
        <x:v>48</x:v>
      </x:c>
      <x:c r="M2061" s="6" t="n">
        <x:v>94</x:v>
      </x:c>
      <x:c r="N2061" s="6" t="n">
        <x:v>66</x:v>
      </x:c>
      <x:c r="O2061" s="6" t="n">
        <x:v>96</x:v>
      </x:c>
      <x:c r="P2061" s="6" t="n">
        <x:v>7</x:v>
      </x:c>
      <x:c r="Q2061" s="6" t="n">
        <x:v>4</x:v>
      </x:c>
      <x:c r="R2061" s="6" t="n">
        <x:v>10</x:v>
      </x:c>
      <x:c r="S2061" s="6" t="n">
        <x:v>4</x:v>
      </x:c>
      <x:c r="T2061" s="6" t="n">
        <x:v>3</x:v>
      </x:c>
      <x:c r="U2061" s="6" t="n">
        <x:v>0</x:v>
      </x:c>
      <x:c r="V2061" s="6" t="n">
        <x:v>0</x:v>
      </x:c>
      <x:c r="W2061" s="6" t="n">
        <x:v>0</x:v>
      </x:c>
      <x:c r="X2061" s="6" t="n">
        <x:v>0</x:v>
      </x:c>
      <x:c r="Y2061" s="6" t="n">
        <x:v>0</x:v>
      </x:c>
      <x:c r="Z2061" s="6" t="n">
        <x:v>0</x:v>
      </x:c>
      <x:c r="AA2061" s="6" t="n">
        <x:v>3</x:v>
      </x:c>
      <x:c r="AB2061" s="6" t="n">
        <x:v>11</x:v>
      </x:c>
      <x:c r="AC2061" s="6" t="n">
        <x:v>0</x:v>
      </x:c>
    </x:row>
    <x:row r="2062">
      <x:c r="A2062" s="6" t="n">
        <x:v>8775</x:v>
      </x:c>
      <x:c r="B2062" s="6" t="n">
        <x:v>1969</x:v>
      </x:c>
      <x:c r="C2062" s="6" t="str">
        <x:v>Graduation</x:v>
      </x:c>
      <x:c r="D2062" s="6" t="str">
        <x:v>Together</x:v>
      </x:c>
      <x:c r="E2062" s="6" t="n">
        <x:v>38361</x:v>
      </x:c>
      <x:c r="F2062" s="6" t="n">
        <x:v>1</x:v>
      </x:c>
      <x:c r="G2062" s="6" t="n">
        <x:v>0</x:v>
      </x:c>
      <x:c r="H2062" s="9" t="str">
        <x:v>27-12-2013</x:v>
      </x:c>
      <x:c r="I2062" s="6" t="n">
        <x:v>74</x:v>
      </x:c>
      <x:c r="J2062" s="6" t="n">
        <x:v>39</x:v>
      </x:c>
      <x:c r="K2062" s="6" t="n">
        <x:v>0</x:v>
      </x:c>
      <x:c r="L2062" s="6" t="n">
        <x:v>56</x:v>
      </x:c>
      <x:c r="M2062" s="6" t="n">
        <x:v>20</x:v>
      </x:c>
      <x:c r="N2062" s="6" t="n">
        <x:v>8</x:v>
      </x:c>
      <x:c r="O2062" s="6" t="n">
        <x:v>14</x:v>
      </x:c>
      <x:c r="P2062" s="6" t="n">
        <x:v>3</x:v>
      </x:c>
      <x:c r="Q2062" s="6" t="n">
        <x:v>3</x:v>
      </x:c>
      <x:c r="R2062" s="6" t="n">
        <x:v>1</x:v>
      </x:c>
      <x:c r="S2062" s="6" t="n">
        <x:v>3</x:v>
      </x:c>
      <x:c r="T2062" s="6" t="n">
        <x:v>7</x:v>
      </x:c>
      <x:c r="U2062" s="6" t="n">
        <x:v>0</x:v>
      </x:c>
      <x:c r="V2062" s="6" t="n">
        <x:v>0</x:v>
      </x:c>
      <x:c r="W2062" s="6" t="n">
        <x:v>0</x:v>
      </x:c>
      <x:c r="X2062" s="6" t="n">
        <x:v>0</x:v>
      </x:c>
      <x:c r="Y2062" s="6" t="n">
        <x:v>0</x:v>
      </x:c>
      <x:c r="Z2062" s="6" t="n">
        <x:v>0</x:v>
      </x:c>
      <x:c r="AA2062" s="6" t="n">
        <x:v>3</x:v>
      </x:c>
      <x:c r="AB2062" s="6" t="n">
        <x:v>11</x:v>
      </x:c>
      <x:c r="AC2062" s="6" t="n">
        <x:v>0</x:v>
      </x:c>
    </x:row>
    <x:row r="2063">
      <x:c r="A2063" s="6" t="n">
        <x:v>1612</x:v>
      </x:c>
      <x:c r="B2063" s="6" t="n">
        <x:v>1981</x:v>
      </x:c>
      <x:c r="C2063" s="6" t="str">
        <x:v>PhD</x:v>
      </x:c>
      <x:c r="D2063" s="6" t="str">
        <x:v>Single</x:v>
      </x:c>
      <x:c r="E2063" s="6"/>
      <x:c r="F2063" s="6" t="n">
        <x:v>1</x:v>
      </x:c>
      <x:c r="G2063" s="6" t="n">
        <x:v>0</x:v>
      </x:c>
      <x:c r="H2063" s="9" t="str">
        <x:v>31-05-2013</x:v>
      </x:c>
      <x:c r="I2063" s="6" t="n">
        <x:v>82</x:v>
      </x:c>
      <x:c r="J2063" s="6" t="n">
        <x:v>23</x:v>
      </x:c>
      <x:c r="K2063" s="6" t="n">
        <x:v>0</x:v>
      </x:c>
      <x:c r="L2063" s="6" t="n">
        <x:v>15</x:v>
      </x:c>
      <x:c r="M2063" s="6" t="n">
        <x:v>0</x:v>
      </x:c>
      <x:c r="N2063" s="6" t="n">
        <x:v>2</x:v>
      </x:c>
      <x:c r="O2063" s="6" t="n">
        <x:v>7</x:v>
      </x:c>
      <x:c r="P2063" s="6" t="n">
        <x:v>2</x:v>
      </x:c>
      <x:c r="Q2063" s="6" t="n">
        <x:v>3</x:v>
      </x:c>
      <x:c r="R2063" s="6" t="n">
        <x:v>0</x:v>
      </x:c>
      <x:c r="S2063" s="6" t="n">
        <x:v>3</x:v>
      </x:c>
      <x:c r="T2063" s="6" t="n">
        <x:v>6</x:v>
      </x:c>
      <x:c r="U2063" s="6" t="n">
        <x:v>0</x:v>
      </x:c>
      <x:c r="V2063" s="6" t="n">
        <x:v>0</x:v>
      </x:c>
      <x:c r="W2063" s="6" t="n">
        <x:v>0</x:v>
      </x:c>
      <x:c r="X2063" s="6" t="n">
        <x:v>0</x:v>
      </x:c>
      <x:c r="Y2063" s="6" t="n">
        <x:v>0</x:v>
      </x:c>
      <x:c r="Z2063" s="6" t="n">
        <x:v>0</x:v>
      </x:c>
      <x:c r="AA2063" s="6" t="n">
        <x:v>3</x:v>
      </x:c>
      <x:c r="AB2063" s="6" t="n">
        <x:v>11</x:v>
      </x:c>
      <x:c r="AC2063" s="6" t="n">
        <x:v>0</x:v>
      </x:c>
    </x:row>
    <x:row r="2064">
      <x:c r="A2064" s="6" t="n">
        <x:v>2345</x:v>
      </x:c>
      <x:c r="B2064" s="6" t="n">
        <x:v>1982</x:v>
      </x:c>
      <x:c r="C2064" s="6" t="str">
        <x:v>PhD</x:v>
      </x:c>
      <x:c r="D2064" s="6" t="str">
        <x:v>Together</x:v>
      </x:c>
      <x:c r="E2064" s="6" t="n">
        <x:v>70038</x:v>
      </x:c>
      <x:c r="F2064" s="6" t="n">
        <x:v>0</x:v>
      </x:c>
      <x:c r="G2064" s="6" t="n">
        <x:v>0</x:v>
      </x:c>
      <x:c r="H2064" s="9" t="str">
        <x:v>25-10-2013</x:v>
      </x:c>
      <x:c r="I2064" s="6" t="n">
        <x:v>54</x:v>
      </x:c>
      <x:c r="J2064" s="6" t="n">
        <x:v>587</x:v>
      </x:c>
      <x:c r="K2064" s="6" t="n">
        <x:v>54</x:v>
      </x:c>
      <x:c r="L2064" s="6" t="n">
        <x:v>348</x:v>
      </x:c>
      <x:c r="M2064" s="6" t="n">
        <x:v>71</x:v>
      </x:c>
      <x:c r="N2064" s="6" t="n">
        <x:v>54</x:v>
      </x:c>
      <x:c r="O2064" s="6" t="n">
        <x:v>130</x:v>
      </x:c>
      <x:c r="P2064" s="6" t="n">
        <x:v>1</x:v>
      </x:c>
      <x:c r="Q2064" s="6" t="n">
        <x:v>4</x:v>
      </x:c>
      <x:c r="R2064" s="6" t="n">
        <x:v>4</x:v>
      </x:c>
      <x:c r="S2064" s="6" t="n">
        <x:v>8</x:v>
      </x:c>
      <x:c r="T2064" s="6" t="n">
        <x:v>2</x:v>
      </x:c>
      <x:c r="U2064" s="6" t="n">
        <x:v>0</x:v>
      </x:c>
      <x:c r="V2064" s="6" t="n">
        <x:v>0</x:v>
      </x:c>
      <x:c r="W2064" s="6" t="n">
        <x:v>0</x:v>
      </x:c>
      <x:c r="X2064" s="6" t="n">
        <x:v>0</x:v>
      </x:c>
      <x:c r="Y2064" s="6" t="n">
        <x:v>0</x:v>
      </x:c>
      <x:c r="Z2064" s="6" t="n">
        <x:v>0</x:v>
      </x:c>
      <x:c r="AA2064" s="6" t="n">
        <x:v>3</x:v>
      </x:c>
      <x:c r="AB2064" s="6" t="n">
        <x:v>11</x:v>
      </x:c>
      <x:c r="AC2064" s="6" t="n">
        <x:v>0</x:v>
      </x:c>
    </x:row>
    <x:row r="2065">
      <x:c r="A2065" s="6" t="n">
        <x:v>322</x:v>
      </x:c>
      <x:c r="B2065" s="6" t="n">
        <x:v>1978</x:v>
      </x:c>
      <x:c r="C2065" s="6" t="str">
        <x:v>Graduation</x:v>
      </x:c>
      <x:c r="D2065" s="6" t="str">
        <x:v>Together</x:v>
      </x:c>
      <x:c r="E2065" s="6" t="n">
        <x:v>42554</x:v>
      </x:c>
      <x:c r="F2065" s="6" t="n">
        <x:v>1</x:v>
      </x:c>
      <x:c r="G2065" s="6" t="n">
        <x:v>1</x:v>
      </x:c>
      <x:c r="H2065" s="9" t="str">
        <x:v>12-01-2013</x:v>
      </x:c>
      <x:c r="I2065" s="6" t="n">
        <x:v>93</x:v>
      </x:c>
      <x:c r="J2065" s="6" t="n">
        <x:v>29</x:v>
      </x:c>
      <x:c r="K2065" s="6" t="n">
        <x:v>1</x:v>
      </x:c>
      <x:c r="L2065" s="6" t="n">
        <x:v>11</x:v>
      </x:c>
      <x:c r="M2065" s="6" t="n">
        <x:v>0</x:v>
      </x:c>
      <x:c r="N2065" s="6" t="n">
        <x:v>0</x:v>
      </x:c>
      <x:c r="O2065" s="6" t="n">
        <x:v>0</x:v>
      </x:c>
      <x:c r="P2065" s="6" t="n">
        <x:v>2</x:v>
      </x:c>
      <x:c r="Q2065" s="6" t="n">
        <x:v>2</x:v>
      </x:c>
      <x:c r="R2065" s="6" t="n">
        <x:v>0</x:v>
      </x:c>
      <x:c r="S2065" s="6" t="n">
        <x:v>3</x:v>
      </x:c>
      <x:c r="T2065" s="6" t="n">
        <x:v>4</x:v>
      </x:c>
      <x:c r="U2065" s="6" t="n">
        <x:v>0</x:v>
      </x:c>
      <x:c r="V2065" s="6" t="n">
        <x:v>0</x:v>
      </x:c>
      <x:c r="W2065" s="6" t="n">
        <x:v>0</x:v>
      </x:c>
      <x:c r="X2065" s="6" t="n">
        <x:v>0</x:v>
      </x:c>
      <x:c r="Y2065" s="6" t="n">
        <x:v>0</x:v>
      </x:c>
      <x:c r="Z2065" s="6" t="n">
        <x:v>0</x:v>
      </x:c>
      <x:c r="AA2065" s="6" t="n">
        <x:v>3</x:v>
      </x:c>
      <x:c r="AB2065" s="6" t="n">
        <x:v>11</x:v>
      </x:c>
      <x:c r="AC2065" s="6" t="n">
        <x:v>0</x:v>
      </x:c>
    </x:row>
    <x:row r="2066">
      <x:c r="A2066" s="6" t="n">
        <x:v>10897</x:v>
      </x:c>
      <x:c r="B2066" s="6" t="n">
        <x:v>1974</x:v>
      </x:c>
      <x:c r="C2066" s="6" t="str">
        <x:v>Graduation</x:v>
      </x:c>
      <x:c r="D2066" s="6" t="str">
        <x:v>Married</x:v>
      </x:c>
      <x:c r="E2066" s="6" t="n">
        <x:v>67445</x:v>
      </x:c>
      <x:c r="F2066" s="6" t="n">
        <x:v>0</x:v>
      </x:c>
      <x:c r="G2066" s="6" t="n">
        <x:v>1</x:v>
      </x:c>
      <x:c r="H2066" s="9" t="str">
        <x:v>12-08-2012</x:v>
      </x:c>
      <x:c r="I2066" s="6" t="n">
        <x:v>63</x:v>
      </x:c>
      <x:c r="J2066" s="6" t="n">
        <x:v>757</x:v>
      </x:c>
      <x:c r="K2066" s="6" t="n">
        <x:v>80</x:v>
      </x:c>
      <x:c r="L2066" s="6" t="n">
        <x:v>217</x:v>
      </x:c>
      <x:c r="M2066" s="6" t="n">
        <x:v>29</x:v>
      </x:c>
      <x:c r="N2066" s="6" t="n">
        <x:v>80</x:v>
      </x:c>
      <x:c r="O2066" s="6" t="n">
        <x:v>11</x:v>
      </x:c>
      <x:c r="P2066" s="6" t="n">
        <x:v>5</x:v>
      </x:c>
      <x:c r="Q2066" s="6" t="n">
        <x:v>9</x:v>
      </x:c>
      <x:c r="R2066" s="6" t="n">
        <x:v>6</x:v>
      </x:c>
      <x:c r="S2066" s="6" t="n">
        <x:v>12</x:v>
      </x:c>
      <x:c r="T2066" s="6" t="n">
        <x:v>6</x:v>
      </x:c>
      <x:c r="U2066" s="6" t="n">
        <x:v>0</x:v>
      </x:c>
      <x:c r="V2066" s="6" t="n">
        <x:v>0</x:v>
      </x:c>
      <x:c r="W2066" s="6" t="n">
        <x:v>0</x:v>
      </x:c>
      <x:c r="X2066" s="6" t="n">
        <x:v>0</x:v>
      </x:c>
      <x:c r="Y2066" s="6" t="n">
        <x:v>0</x:v>
      </x:c>
      <x:c r="Z2066" s="6" t="n">
        <x:v>0</x:v>
      </x:c>
      <x:c r="AA2066" s="6" t="n">
        <x:v>3</x:v>
      </x:c>
      <x:c r="AB2066" s="6" t="n">
        <x:v>11</x:v>
      </x:c>
      <x:c r="AC2066" s="6" t="n">
        <x:v>0</x:v>
      </x:c>
    </x:row>
    <x:row r="2067">
      <x:c r="A2067" s="6" t="n">
        <x:v>123</x:v>
      </x:c>
      <x:c r="B2067" s="6" t="n">
        <x:v>1951</x:v>
      </x:c>
      <x:c r="C2067" s="6" t="str">
        <x:v>Graduation</x:v>
      </x:c>
      <x:c r="D2067" s="6" t="str">
        <x:v>Widow</x:v>
      </x:c>
      <x:c r="E2067" s="6" t="n">
        <x:v>67046</x:v>
      </x:c>
      <x:c r="F2067" s="6" t="n">
        <x:v>0</x:v>
      </x:c>
      <x:c r="G2067" s="6" t="n">
        <x:v>1</x:v>
      </x:c>
      <x:c r="H2067" s="9" t="str">
        <x:v>06-01-2013</x:v>
      </x:c>
      <x:c r="I2067" s="6" t="n">
        <x:v>92</x:v>
      </x:c>
      <x:c r="J2067" s="6" t="n">
        <x:v>544</x:v>
      </x:c>
      <x:c r="K2067" s="6" t="n">
        <x:v>35</x:v>
      </x:c>
      <x:c r="L2067" s="6" t="n">
        <x:v>133</x:v>
      </x:c>
      <x:c r="M2067" s="6" t="n">
        <x:v>23</x:v>
      </x:c>
      <x:c r="N2067" s="6" t="n">
        <x:v>151</x:v>
      </x:c>
      <x:c r="O2067" s="6" t="n">
        <x:v>107</x:v>
      </x:c>
      <x:c r="P2067" s="6" t="n">
        <x:v>2</x:v>
      </x:c>
      <x:c r="Q2067" s="6" t="n">
        <x:v>4</x:v>
      </x:c>
      <x:c r="R2067" s="6" t="n">
        <x:v>5</x:v>
      </x:c>
      <x:c r="S2067" s="6" t="n">
        <x:v>4</x:v>
      </x:c>
      <x:c r="T2067" s="6" t="n">
        <x:v>2</x:v>
      </x:c>
      <x:c r="U2067" s="6" t="n">
        <x:v>0</x:v>
      </x:c>
      <x:c r="V2067" s="6" t="n">
        <x:v>0</x:v>
      </x:c>
      <x:c r="W2067" s="6" t="n">
        <x:v>0</x:v>
      </x:c>
      <x:c r="X2067" s="6" t="n">
        <x:v>0</x:v>
      </x:c>
      <x:c r="Y2067" s="6" t="n">
        <x:v>0</x:v>
      </x:c>
      <x:c r="Z2067" s="6" t="n">
        <x:v>0</x:v>
      </x:c>
      <x:c r="AA2067" s="6" t="n">
        <x:v>3</x:v>
      </x:c>
      <x:c r="AB2067" s="6" t="n">
        <x:v>11</x:v>
      </x:c>
      <x:c r="AC2067" s="6" t="n">
        <x:v>0</x:v>
      </x:c>
    </x:row>
    <x:row r="2068">
      <x:c r="A2068" s="6" t="n">
        <x:v>6103</x:v>
      </x:c>
      <x:c r="B2068" s="6" t="n">
        <x:v>1948</x:v>
      </x:c>
      <x:c r="C2068" s="6" t="str">
        <x:v>Graduation</x:v>
      </x:c>
      <x:c r="D2068" s="6" t="str">
        <x:v>Married</x:v>
      </x:c>
      <x:c r="E2068" s="6" t="n">
        <x:v>42192</x:v>
      </x:c>
      <x:c r="F2068" s="6" t="n">
        <x:v>0</x:v>
      </x:c>
      <x:c r="G2068" s="6" t="n">
        <x:v>0</x:v>
      </x:c>
      <x:c r="H2068" s="9" t="str">
        <x:v>06-09-2013</x:v>
      </x:c>
      <x:c r="I2068" s="6" t="n">
        <x:v>40</x:v>
      </x:c>
      <x:c r="J2068" s="6" t="n">
        <x:v>40</x:v>
      </x:c>
      <x:c r="K2068" s="6" t="n">
        <x:v>15</x:v>
      </x:c>
      <x:c r="L2068" s="6" t="n">
        <x:v>15</x:v>
      </x:c>
      <x:c r="M2068" s="6" t="n">
        <x:v>17</x:v>
      </x:c>
      <x:c r="N2068" s="6" t="n">
        <x:v>6</x:v>
      </x:c>
      <x:c r="O2068" s="6" t="n">
        <x:v>7</x:v>
      </x:c>
      <x:c r="P2068" s="6" t="n">
        <x:v>1</x:v>
      </x:c>
      <x:c r="Q2068" s="6" t="n">
        <x:v>2</x:v>
      </x:c>
      <x:c r="R2068" s="6" t="n">
        <x:v>1</x:v>
      </x:c>
      <x:c r="S2068" s="6" t="n">
        <x:v>3</x:v>
      </x:c>
      <x:c r="T2068" s="6" t="n">
        <x:v>4</x:v>
      </x:c>
      <x:c r="U2068" s="6" t="n">
        <x:v>0</x:v>
      </x:c>
      <x:c r="V2068" s="6" t="n">
        <x:v>0</x:v>
      </x:c>
      <x:c r="W2068" s="6" t="n">
        <x:v>0</x:v>
      </x:c>
      <x:c r="X2068" s="6" t="n">
        <x:v>0</x:v>
      </x:c>
      <x:c r="Y2068" s="6" t="n">
        <x:v>0</x:v>
      </x:c>
      <x:c r="Z2068" s="6" t="n">
        <x:v>0</x:v>
      </x:c>
      <x:c r="AA2068" s="6" t="n">
        <x:v>3</x:v>
      </x:c>
      <x:c r="AB2068" s="6" t="n">
        <x:v>11</x:v>
      </x:c>
      <x:c r="AC2068" s="6" t="n">
        <x:v>0</x:v>
      </x:c>
    </x:row>
    <x:row r="2069">
      <x:c r="A2069" s="6" t="n">
        <x:v>7899</x:v>
      </x:c>
      <x:c r="B2069" s="6" t="n">
        <x:v>1952</x:v>
      </x:c>
      <x:c r="C2069" s="6" t="str">
        <x:v>PhD</x:v>
      </x:c>
      <x:c r="D2069" s="6" t="str">
        <x:v>Married</x:v>
      </x:c>
      <x:c r="E2069" s="6" t="n">
        <x:v>77610</x:v>
      </x:c>
      <x:c r="F2069" s="6" t="n">
        <x:v>0</x:v>
      </x:c>
      <x:c r="G2069" s="6" t="n">
        <x:v>1</x:v>
      </x:c>
      <x:c r="H2069" s="9" t="str">
        <x:v>29-10-2012</x:v>
      </x:c>
      <x:c r="I2069" s="6" t="n">
        <x:v>70</x:v>
      </x:c>
      <x:c r="J2069" s="6" t="n">
        <x:v>1245</x:v>
      </x:c>
      <x:c r="K2069" s="6" t="n">
        <x:v>33</x:v>
      </x:c>
      <x:c r="L2069" s="6" t="n">
        <x:v>332</x:v>
      </x:c>
      <x:c r="M2069" s="6" t="n">
        <x:v>21</x:v>
      </x:c>
      <x:c r="N2069" s="6" t="n">
        <x:v>33</x:v>
      </x:c>
      <x:c r="O2069" s="6" t="n">
        <x:v>16</x:v>
      </x:c>
      <x:c r="P2069" s="6" t="n">
        <x:v>2</x:v>
      </x:c>
      <x:c r="Q2069" s="6" t="n">
        <x:v>4</x:v>
      </x:c>
      <x:c r="R2069" s="6" t="n">
        <x:v>7</x:v>
      </x:c>
      <x:c r="S2069" s="6" t="n">
        <x:v>4</x:v>
      </x:c>
      <x:c r="T2069" s="6" t="n">
        <x:v>7</x:v>
      </x:c>
      <x:c r="U2069" s="6" t="n">
        <x:v>0</x:v>
      </x:c>
      <x:c r="V2069" s="6" t="n">
        <x:v>0</x:v>
      </x:c>
      <x:c r="W2069" s="6" t="n">
        <x:v>0</x:v>
      </x:c>
      <x:c r="X2069" s="6" t="n">
        <x:v>0</x:v>
      </x:c>
      <x:c r="Y2069" s="6" t="n">
        <x:v>0</x:v>
      </x:c>
      <x:c r="Z2069" s="6" t="n">
        <x:v>0</x:v>
      </x:c>
      <x:c r="AA2069" s="6" t="n">
        <x:v>3</x:v>
      </x:c>
      <x:c r="AB2069" s="6" t="n">
        <x:v>11</x:v>
      </x:c>
      <x:c r="AC2069" s="6" t="n">
        <x:v>0</x:v>
      </x:c>
    </x:row>
    <x:row r="2070">
      <x:c r="A2070" s="6" t="n">
        <x:v>10500</x:v>
      </x:c>
      <x:c r="B2070" s="6" t="n">
        <x:v>1984</x:v>
      </x:c>
      <x:c r="C2070" s="6" t="str">
        <x:v>Graduation</x:v>
      </x:c>
      <x:c r="D2070" s="6" t="str">
        <x:v>Married</x:v>
      </x:c>
      <x:c r="E2070" s="6" t="n">
        <x:v>31761</x:v>
      </x:c>
      <x:c r="F2070" s="6" t="n">
        <x:v>1</x:v>
      </x:c>
      <x:c r="G2070" s="6" t="n">
        <x:v>0</x:v>
      </x:c>
      <x:c r="H2070" s="9" t="str">
        <x:v>05-04-2014</x:v>
      </x:c>
      <x:c r="I2070" s="6" t="n">
        <x:v>96</x:v>
      </x:c>
      <x:c r="J2070" s="6" t="n">
        <x:v>19</x:v>
      </x:c>
      <x:c r="K2070" s="6" t="n">
        <x:v>1</x:v>
      </x:c>
      <x:c r="L2070" s="6" t="n">
        <x:v>20</x:v>
      </x:c>
      <x:c r="M2070" s="6" t="n">
        <x:v>16</x:v>
      </x:c>
      <x:c r="N2070" s="6" t="n">
        <x:v>14</x:v>
      </x:c>
      <x:c r="O2070" s="6" t="n">
        <x:v>28</x:v>
      </x:c>
      <x:c r="P2070" s="6" t="n">
        <x:v>2</x:v>
      </x:c>
      <x:c r="Q2070" s="6" t="n">
        <x:v>3</x:v>
      </x:c>
      <x:c r="R2070" s="6" t="n">
        <x:v>0</x:v>
      </x:c>
      <x:c r="S2070" s="6" t="n">
        <x:v>4</x:v>
      </x:c>
      <x:c r="T2070" s="6" t="n">
        <x:v>5</x:v>
      </x:c>
      <x:c r="U2070" s="6" t="n">
        <x:v>0</x:v>
      </x:c>
      <x:c r="V2070" s="6" t="n">
        <x:v>0</x:v>
      </x:c>
      <x:c r="W2070" s="6" t="n">
        <x:v>0</x:v>
      </x:c>
      <x:c r="X2070" s="6" t="n">
        <x:v>0</x:v>
      </x:c>
      <x:c r="Y2070" s="6" t="n">
        <x:v>0</x:v>
      </x:c>
      <x:c r="Z2070" s="6" t="n">
        <x:v>0</x:v>
      </x:c>
      <x:c r="AA2070" s="6" t="n">
        <x:v>3</x:v>
      </x:c>
      <x:c r="AB2070" s="6" t="n">
        <x:v>11</x:v>
      </x:c>
      <x:c r="AC2070" s="6" t="n">
        <x:v>0</x:v>
      </x:c>
    </x:row>
    <x:row r="2071">
      <x:c r="A2071" s="6" t="n">
        <x:v>1655</x:v>
      </x:c>
      <x:c r="B2071" s="6" t="n">
        <x:v>1979</x:v>
      </x:c>
      <x:c r="C2071" s="6" t="str">
        <x:v>Graduation</x:v>
      </x:c>
      <x:c r="D2071" s="6" t="str">
        <x:v>Together</x:v>
      </x:c>
      <x:c r="E2071" s="6" t="n">
        <x:v>34350</x:v>
      </x:c>
      <x:c r="F2071" s="6" t="n">
        <x:v>1</x:v>
      </x:c>
      <x:c r="G2071" s="6" t="n">
        <x:v>0</x:v>
      </x:c>
      <x:c r="H2071" s="9" t="str">
        <x:v>19-10-2013</x:v>
      </x:c>
      <x:c r="I2071" s="6" t="n">
        <x:v>81</x:v>
      </x:c>
      <x:c r="J2071" s="6" t="n">
        <x:v>16</x:v>
      </x:c>
      <x:c r="K2071" s="6" t="n">
        <x:v>3</x:v>
      </x:c>
      <x:c r="L2071" s="6" t="n">
        <x:v>15</x:v>
      </x:c>
      <x:c r="M2071" s="6" t="n">
        <x:v>2</x:v>
      </x:c>
      <x:c r="N2071" s="6" t="n">
        <x:v>1</x:v>
      </x:c>
      <x:c r="O2071" s="6" t="n">
        <x:v>11</x:v>
      </x:c>
      <x:c r="P2071" s="6" t="n">
        <x:v>1</x:v>
      </x:c>
      <x:c r="Q2071" s="6" t="n">
        <x:v>1</x:v>
      </x:c>
      <x:c r="R2071" s="6" t="n">
        <x:v>0</x:v>
      </x:c>
      <x:c r="S2071" s="6" t="n">
        <x:v>3</x:v>
      </x:c>
      <x:c r="T2071" s="6" t="n">
        <x:v>7</x:v>
      </x:c>
      <x:c r="U2071" s="6" t="n">
        <x:v>0</x:v>
      </x:c>
      <x:c r="V2071" s="6" t="n">
        <x:v>0</x:v>
      </x:c>
      <x:c r="W2071" s="6" t="n">
        <x:v>0</x:v>
      </x:c>
      <x:c r="X2071" s="6" t="n">
        <x:v>0</x:v>
      </x:c>
      <x:c r="Y2071" s="6" t="n">
        <x:v>0</x:v>
      </x:c>
      <x:c r="Z2071" s="6" t="n">
        <x:v>0</x:v>
      </x:c>
      <x:c r="AA2071" s="6" t="n">
        <x:v>3</x:v>
      </x:c>
      <x:c r="AB2071" s="6" t="n">
        <x:v>11</x:v>
      </x:c>
      <x:c r="AC2071" s="6" t="n">
        <x:v>0</x:v>
      </x:c>
    </x:row>
    <x:row r="2072">
      <x:c r="A2072" s="6" t="n">
        <x:v>2406</x:v>
      </x:c>
      <x:c r="B2072" s="6" t="n">
        <x:v>1949</x:v>
      </x:c>
      <x:c r="C2072" s="6" t="str">
        <x:v>Graduation</x:v>
      </x:c>
      <x:c r="D2072" s="6" t="str">
        <x:v>Together</x:v>
      </x:c>
      <x:c r="E2072" s="6" t="n">
        <x:v>54591</x:v>
      </x:c>
      <x:c r="F2072" s="6" t="n">
        <x:v>0</x:v>
      </x:c>
      <x:c r="G2072" s="6" t="n">
        <x:v>1</x:v>
      </x:c>
      <x:c r="H2072" s="9" t="str">
        <x:v>05-08-2013</x:v>
      </x:c>
      <x:c r="I2072" s="6" t="n">
        <x:v>63</x:v>
      </x:c>
      <x:c r="J2072" s="6" t="n">
        <x:v>376</x:v>
      </x:c>
      <x:c r="K2072" s="6" t="n">
        <x:v>4</x:v>
      </x:c>
      <x:c r="L2072" s="6" t="n">
        <x:v>94</x:v>
      </x:c>
      <x:c r="M2072" s="6" t="n">
        <x:v>12</x:v>
      </x:c>
      <x:c r="N2072" s="6" t="n">
        <x:v>9</x:v>
      </x:c>
      <x:c r="O2072" s="6" t="n">
        <x:v>24</x:v>
      </x:c>
      <x:c r="P2072" s="6" t="n">
        <x:v>3</x:v>
      </x:c>
      <x:c r="Q2072" s="6" t="n">
        <x:v>6</x:v>
      </x:c>
      <x:c r="R2072" s="6" t="n">
        <x:v>2</x:v>
      </x:c>
      <x:c r="S2072" s="6" t="n">
        <x:v>8</x:v>
      </x:c>
      <x:c r="T2072" s="6" t="n">
        <x:v>5</x:v>
      </x:c>
      <x:c r="U2072" s="6" t="n">
        <x:v>0</x:v>
      </x:c>
      <x:c r="V2072" s="6" t="n">
        <x:v>0</x:v>
      </x:c>
      <x:c r="W2072" s="6" t="n">
        <x:v>0</x:v>
      </x:c>
      <x:c r="X2072" s="6" t="n">
        <x:v>0</x:v>
      </x:c>
      <x:c r="Y2072" s="6" t="n">
        <x:v>0</x:v>
      </x:c>
      <x:c r="Z2072" s="6" t="n">
        <x:v>0</x:v>
      </x:c>
      <x:c r="AA2072" s="6" t="n">
        <x:v>3</x:v>
      </x:c>
      <x:c r="AB2072" s="6" t="n">
        <x:v>11</x:v>
      </x:c>
      <x:c r="AC2072" s="6" t="n">
        <x:v>0</x:v>
      </x:c>
    </x:row>
    <x:row r="2073">
      <x:c r="A2073" s="6" t="n">
        <x:v>2712</x:v>
      </x:c>
      <x:c r="B2073" s="6" t="n">
        <x:v>1956</x:v>
      </x:c>
      <x:c r="C2073" s="6" t="str">
        <x:v>Graduation</x:v>
      </x:c>
      <x:c r="D2073" s="6" t="str">
        <x:v>Married</x:v>
      </x:c>
      <x:c r="E2073" s="6" t="n">
        <x:v>71866</x:v>
      </x:c>
      <x:c r="F2073" s="6" t="n">
        <x:v>0</x:v>
      </x:c>
      <x:c r="G2073" s="6" t="n">
        <x:v>1</x:v>
      </x:c>
      <x:c r="H2073" s="9" t="str">
        <x:v>25-12-2013</x:v>
      </x:c>
      <x:c r="I2073" s="6" t="n">
        <x:v>85</x:v>
      </x:c>
      <x:c r="J2073" s="6" t="n">
        <x:v>184</x:v>
      </x:c>
      <x:c r="K2073" s="6" t="n">
        <x:v>178</x:v>
      </x:c>
      <x:c r="L2073" s="6" t="n">
        <x:v>178</x:v>
      </x:c>
      <x:c r="M2073" s="6" t="n">
        <x:v>103</x:v>
      </x:c>
      <x:c r="N2073" s="6" t="n">
        <x:v>39</x:v>
      </x:c>
      <x:c r="O2073" s="6" t="n">
        <x:v>33</x:v>
      </x:c>
      <x:c r="P2073" s="6" t="n">
        <x:v>1</x:v>
      </x:c>
      <x:c r="Q2073" s="6" t="n">
        <x:v>6</x:v>
      </x:c>
      <x:c r="R2073" s="6" t="n">
        <x:v>3</x:v>
      </x:c>
      <x:c r="S2073" s="6" t="n">
        <x:v>10</x:v>
      </x:c>
      <x:c r="T2073" s="6" t="n">
        <x:v>3</x:v>
      </x:c>
      <x:c r="U2073" s="6" t="n">
        <x:v>0</x:v>
      </x:c>
      <x:c r="V2073" s="6" t="n">
        <x:v>0</x:v>
      </x:c>
      <x:c r="W2073" s="6" t="n">
        <x:v>0</x:v>
      </x:c>
      <x:c r="X2073" s="6" t="n">
        <x:v>0</x:v>
      </x:c>
      <x:c r="Y2073" s="6" t="n">
        <x:v>0</x:v>
      </x:c>
      <x:c r="Z2073" s="6" t="n">
        <x:v>0</x:v>
      </x:c>
      <x:c r="AA2073" s="6" t="n">
        <x:v>3</x:v>
      </x:c>
      <x:c r="AB2073" s="6" t="n">
        <x:v>11</x:v>
      </x:c>
      <x:c r="AC2073" s="6" t="n">
        <x:v>0</x:v>
      </x:c>
    </x:row>
    <x:row r="2074">
      <x:c r="A2074" s="6" t="n">
        <x:v>5517</x:v>
      </x:c>
      <x:c r="B2074" s="6" t="n">
        <x:v>1969</x:v>
      </x:c>
      <x:c r="C2074" s="6" t="str">
        <x:v>Graduation</x:v>
      </x:c>
      <x:c r="D2074" s="6" t="str">
        <x:v>Married</x:v>
      </x:c>
      <x:c r="E2074" s="6" t="n">
        <x:v>25293</x:v>
      </x:c>
      <x:c r="F2074" s="6" t="n">
        <x:v>1</x:v>
      </x:c>
      <x:c r="G2074" s="6" t="n">
        <x:v>0</x:v>
      </x:c>
      <x:c r="H2074" s="9" t="str">
        <x:v>15-09-2013</x:v>
      </x:c>
      <x:c r="I2074" s="6" t="n">
        <x:v>51</x:v>
      </x:c>
      <x:c r="J2074" s="6" t="n">
        <x:v>15</x:v>
      </x:c>
      <x:c r="K2074" s="6" t="n">
        <x:v>0</x:v>
      </x:c>
      <x:c r="L2074" s="6" t="n">
        <x:v>11</x:v>
      </x:c>
      <x:c r="M2074" s="6" t="n">
        <x:v>0</x:v>
      </x:c>
      <x:c r="N2074" s="6" t="n">
        <x:v>2</x:v>
      </x:c>
      <x:c r="O2074" s="6" t="n">
        <x:v>9</x:v>
      </x:c>
      <x:c r="P2074" s="6" t="n">
        <x:v>1</x:v>
      </x:c>
      <x:c r="Q2074" s="6" t="n">
        <x:v>1</x:v>
      </x:c>
      <x:c r="R2074" s="6" t="n">
        <x:v>1</x:v>
      </x:c>
      <x:c r="S2074" s="6" t="n">
        <x:v>2</x:v>
      </x:c>
      <x:c r="T2074" s="6" t="n">
        <x:v>8</x:v>
      </x:c>
      <x:c r="U2074" s="6" t="n">
        <x:v>0</x:v>
      </x:c>
      <x:c r="V2074" s="6" t="n">
        <x:v>0</x:v>
      </x:c>
      <x:c r="W2074" s="6" t="n">
        <x:v>0</x:v>
      </x:c>
      <x:c r="X2074" s="6" t="n">
        <x:v>0</x:v>
      </x:c>
      <x:c r="Y2074" s="6" t="n">
        <x:v>0</x:v>
      </x:c>
      <x:c r="Z2074" s="6" t="n">
        <x:v>0</x:v>
      </x:c>
      <x:c r="AA2074" s="6" t="n">
        <x:v>3</x:v>
      </x:c>
      <x:c r="AB2074" s="6" t="n">
        <x:v>11</x:v>
      </x:c>
      <x:c r="AC2074" s="6" t="n">
        <x:v>0</x:v>
      </x:c>
    </x:row>
    <x:row r="2075">
      <x:c r="A2075" s="6" t="n">
        <x:v>10643</x:v>
      </x:c>
      <x:c r="B2075" s="6" t="n">
        <x:v>1987</x:v>
      </x:c>
      <x:c r="C2075" s="6" t="str">
        <x:v>PhD</x:v>
      </x:c>
      <x:c r="D2075" s="6" t="str">
        <x:v>Single</x:v>
      </x:c>
      <x:c r="E2075" s="6" t="n">
        <x:v>42000</x:v>
      </x:c>
      <x:c r="F2075" s="6" t="n">
        <x:v>0</x:v>
      </x:c>
      <x:c r="G2075" s="6" t="n">
        <x:v>0</x:v>
      </x:c>
      <x:c r="H2075" s="9" t="str">
        <x:v>10-01-2013</x:v>
      </x:c>
      <x:c r="I2075" s="6" t="n">
        <x:v>23</x:v>
      </x:c>
      <x:c r="J2075" s="6" t="n">
        <x:v>124</x:v>
      </x:c>
      <x:c r="K2075" s="6" t="n">
        <x:v>83</x:v>
      </x:c>
      <x:c r="L2075" s="6" t="n">
        <x:v>267</x:v>
      </x:c>
      <x:c r="M2075" s="6" t="n">
        <x:v>85</x:v>
      </x:c>
      <x:c r="N2075" s="6" t="n">
        <x:v>59</x:v>
      </x:c>
      <x:c r="O2075" s="6" t="n">
        <x:v>35</x:v>
      </x:c>
      <x:c r="P2075" s="6" t="n">
        <x:v>2</x:v>
      </x:c>
      <x:c r="Q2075" s="6" t="n">
        <x:v>5</x:v>
      </x:c>
      <x:c r="R2075" s="6" t="n">
        <x:v>2</x:v>
      </x:c>
      <x:c r="S2075" s="6" t="n">
        <x:v>11</x:v>
      </x:c>
      <x:c r="T2075" s="6" t="n">
        <x:v>5</x:v>
      </x:c>
      <x:c r="U2075" s="6" t="n">
        <x:v>0</x:v>
      </x:c>
      <x:c r="V2075" s="6" t="n">
        <x:v>0</x:v>
      </x:c>
      <x:c r="W2075" s="6" t="n">
        <x:v>0</x:v>
      </x:c>
      <x:c r="X2075" s="6" t="n">
        <x:v>0</x:v>
      </x:c>
      <x:c r="Y2075" s="6" t="n">
        <x:v>0</x:v>
      </x:c>
      <x:c r="Z2075" s="6" t="n">
        <x:v>0</x:v>
      </x:c>
      <x:c r="AA2075" s="6" t="n">
        <x:v>3</x:v>
      </x:c>
      <x:c r="AB2075" s="6" t="n">
        <x:v>11</x:v>
      </x:c>
      <x:c r="AC2075" s="6" t="n">
        <x:v>1</x:v>
      </x:c>
    </x:row>
    <x:row r="2076">
      <x:c r="A2076" s="6" t="n">
        <x:v>2254</x:v>
      </x:c>
      <x:c r="B2076" s="6" t="n">
        <x:v>1983</x:v>
      </x:c>
      <x:c r="C2076" s="6" t="str">
        <x:v>Graduation</x:v>
      </x:c>
      <x:c r="D2076" s="6" t="str">
        <x:v>Married</x:v>
      </x:c>
      <x:c r="E2076" s="6" t="n">
        <x:v>69520</x:v>
      </x:c>
      <x:c r="F2076" s="6" t="n">
        <x:v>0</x:v>
      </x:c>
      <x:c r="G2076" s="6" t="n">
        <x:v>0</x:v>
      </x:c>
      <x:c r="H2076" s="9" t="str">
        <x:v>07-07-2013</x:v>
      </x:c>
      <x:c r="I2076" s="6" t="n">
        <x:v>95</x:v>
      </x:c>
      <x:c r="J2076" s="6" t="n">
        <x:v>627</x:v>
      </x:c>
      <x:c r="K2076" s="6" t="n">
        <x:v>120</x:v>
      </x:c>
      <x:c r="L2076" s="6" t="n">
        <x:v>414</x:v>
      </x:c>
      <x:c r="M2076" s="6" t="n">
        <x:v>121</x:v>
      </x:c>
      <x:c r="N2076" s="6" t="n">
        <x:v>80</x:v>
      </x:c>
      <x:c r="O2076" s="6" t="n">
        <x:v>93</x:v>
      </x:c>
      <x:c r="P2076" s="6" t="n">
        <x:v>1</x:v>
      </x:c>
      <x:c r="Q2076" s="6" t="n">
        <x:v>9</x:v>
      </x:c>
      <x:c r="R2076" s="6" t="n">
        <x:v>6</x:v>
      </x:c>
      <x:c r="S2076" s="6" t="n">
        <x:v>5</x:v>
      </x:c>
      <x:c r="T2076" s="6" t="n">
        <x:v>5</x:v>
      </x:c>
      <x:c r="U2076" s="6" t="n">
        <x:v>0</x:v>
      </x:c>
      <x:c r="V2076" s="6" t="n">
        <x:v>0</x:v>
      </x:c>
      <x:c r="W2076" s="6" t="n">
        <x:v>0</x:v>
      </x:c>
      <x:c r="X2076" s="6" t="n">
        <x:v>0</x:v>
      </x:c>
      <x:c r="Y2076" s="6" t="n">
        <x:v>0</x:v>
      </x:c>
      <x:c r="Z2076" s="6" t="n">
        <x:v>0</x:v>
      </x:c>
      <x:c r="AA2076" s="6" t="n">
        <x:v>3</x:v>
      </x:c>
      <x:c r="AB2076" s="6" t="n">
        <x:v>11</x:v>
      </x:c>
      <x:c r="AC2076" s="6" t="n">
        <x:v>0</x:v>
      </x:c>
    </x:row>
    <x:row r="2077">
      <x:c r="A2077" s="6" t="n">
        <x:v>10281</x:v>
      </x:c>
      <x:c r="B2077" s="6" t="n">
        <x:v>1970</x:v>
      </x:c>
      <x:c r="C2077" s="6" t="str">
        <x:v>Graduation</x:v>
      </x:c>
      <x:c r="D2077" s="6" t="str">
        <x:v>Divorced</x:v>
      </x:c>
      <x:c r="E2077" s="6" t="n">
        <x:v>64713</x:v>
      </x:c>
      <x:c r="F2077" s="6" t="n">
        <x:v>1</x:v>
      </x:c>
      <x:c r="G2077" s="6" t="n">
        <x:v>0</x:v>
      </x:c>
      <x:c r="H2077" s="9" t="str">
        <x:v>07-02-2014</x:v>
      </x:c>
      <x:c r="I2077" s="6" t="n">
        <x:v>11</x:v>
      </x:c>
      <x:c r="J2077" s="6" t="n">
        <x:v>180</x:v>
      </x:c>
      <x:c r="K2077" s="6" t="n">
        <x:v>60</x:v>
      </x:c>
      <x:c r="L2077" s="6" t="n">
        <x:v>241</x:v>
      </x:c>
      <x:c r="M2077" s="6" t="n">
        <x:v>13</x:v>
      </x:c>
      <x:c r="N2077" s="6" t="n">
        <x:v>54</x:v>
      </x:c>
      <x:c r="O2077" s="6" t="n">
        <x:v>54</x:v>
      </x:c>
      <x:c r="P2077" s="6" t="n">
        <x:v>2</x:v>
      </x:c>
      <x:c r="Q2077" s="6" t="n">
        <x:v>5</x:v>
      </x:c>
      <x:c r="R2077" s="6" t="n">
        <x:v>5</x:v>
      </x:c>
      <x:c r="S2077" s="6" t="n">
        <x:v>7</x:v>
      </x:c>
      <x:c r="T2077" s="6" t="n">
        <x:v>4</x:v>
      </x:c>
      <x:c r="U2077" s="6" t="n">
        <x:v>0</x:v>
      </x:c>
      <x:c r="V2077" s="6" t="n">
        <x:v>0</x:v>
      </x:c>
      <x:c r="W2077" s="6" t="n">
        <x:v>0</x:v>
      </x:c>
      <x:c r="X2077" s="6" t="n">
        <x:v>0</x:v>
      </x:c>
      <x:c r="Y2077" s="6" t="n">
        <x:v>0</x:v>
      </x:c>
      <x:c r="Z2077" s="6" t="n">
        <x:v>0</x:v>
      </x:c>
      <x:c r="AA2077" s="6" t="n">
        <x:v>3</x:v>
      </x:c>
      <x:c r="AB2077" s="6" t="n">
        <x:v>11</x:v>
      </x:c>
      <x:c r="AC2077" s="6" t="n">
        <x:v>1</x:v>
      </x:c>
    </x:row>
    <x:row r="2078">
      <x:c r="A2078" s="6" t="n">
        <x:v>6958</x:v>
      </x:c>
      <x:c r="B2078" s="6" t="n">
        <x:v>1977</x:v>
      </x:c>
      <x:c r="C2078" s="6" t="str">
        <x:v>Master</x:v>
      </x:c>
      <x:c r="D2078" s="6" t="str">
        <x:v>Married</x:v>
      </x:c>
      <x:c r="E2078" s="6" t="n">
        <x:v>27889</x:v>
      </x:c>
      <x:c r="F2078" s="6" t="n">
        <x:v>1</x:v>
      </x:c>
      <x:c r="G2078" s="6" t="n">
        <x:v>0</x:v>
      </x:c>
      <x:c r="H2078" s="9" t="str">
        <x:v>05-07-2013</x:v>
      </x:c>
      <x:c r="I2078" s="6" t="n">
        <x:v>42</x:v>
      </x:c>
      <x:c r="J2078" s="6" t="n">
        <x:v>14</x:v>
      </x:c>
      <x:c r="K2078" s="6" t="n">
        <x:v>0</x:v>
      </x:c>
      <x:c r="L2078" s="6" t="n">
        <x:v>4</x:v>
      </x:c>
      <x:c r="M2078" s="6" t="n">
        <x:v>0</x:v>
      </x:c>
      <x:c r="N2078" s="6" t="n">
        <x:v>0</x:v>
      </x:c>
      <x:c r="O2078" s="6" t="n">
        <x:v>8</x:v>
      </x:c>
      <x:c r="P2078" s="6" t="n">
        <x:v>1</x:v>
      </x:c>
      <x:c r="Q2078" s="6" t="n">
        <x:v>1</x:v>
      </x:c>
      <x:c r="R2078" s="6" t="n">
        <x:v>1</x:v>
      </x:c>
      <x:c r="S2078" s="6" t="n">
        <x:v>2</x:v>
      </x:c>
      <x:c r="T2078" s="6" t="n">
        <x:v>6</x:v>
      </x:c>
      <x:c r="U2078" s="6" t="n">
        <x:v>0</x:v>
      </x:c>
      <x:c r="V2078" s="6" t="n">
        <x:v>0</x:v>
      </x:c>
      <x:c r="W2078" s="6" t="n">
        <x:v>0</x:v>
      </x:c>
      <x:c r="X2078" s="6" t="n">
        <x:v>0</x:v>
      </x:c>
      <x:c r="Y2078" s="6" t="n">
        <x:v>0</x:v>
      </x:c>
      <x:c r="Z2078" s="6" t="n">
        <x:v>0</x:v>
      </x:c>
      <x:c r="AA2078" s="6" t="n">
        <x:v>3</x:v>
      </x:c>
      <x:c r="AB2078" s="6" t="n">
        <x:v>11</x:v>
      </x:c>
      <x:c r="AC2078" s="6" t="n">
        <x:v>0</x:v>
      </x:c>
    </x:row>
    <x:row r="2079">
      <x:c r="A2079" s="6" t="n">
        <x:v>954</x:v>
      </x:c>
      <x:c r="B2079" s="6" t="n">
        <x:v>1960</x:v>
      </x:c>
      <x:c r="C2079" s="6" t="str">
        <x:v>Basic</x:v>
      </x:c>
      <x:c r="D2079" s="6" t="str">
        <x:v>Widow</x:v>
      </x:c>
      <x:c r="E2079" s="6" t="n">
        <x:v>22123</x:v>
      </x:c>
      <x:c r="F2079" s="6" t="n">
        <x:v>0</x:v>
      </x:c>
      <x:c r="G2079" s="6" t="n">
        <x:v>0</x:v>
      </x:c>
      <x:c r="H2079" s="9" t="str">
        <x:v>27-03-2014</x:v>
      </x:c>
      <x:c r="I2079" s="6" t="n">
        <x:v>77</x:v>
      </x:c>
      <x:c r="J2079" s="6" t="n">
        <x:v>3</x:v>
      </x:c>
      <x:c r="K2079" s="6" t="n">
        <x:v>3</x:v>
      </x:c>
      <x:c r="L2079" s="6" t="n">
        <x:v>24</x:v>
      </x:c>
      <x:c r="M2079" s="6" t="n">
        <x:v>34</x:v>
      </x:c>
      <x:c r="N2079" s="6" t="n">
        <x:v>7</x:v>
      </x:c>
      <x:c r="O2079" s="6" t="n">
        <x:v>31</x:v>
      </x:c>
      <x:c r="P2079" s="6" t="n">
        <x:v>1</x:v>
      </x:c>
      <x:c r="Q2079" s="6" t="n">
        <x:v>2</x:v>
      </x:c>
      <x:c r="R2079" s="6" t="n">
        <x:v>1</x:v>
      </x:c>
      <x:c r="S2079" s="6" t="n">
        <x:v>3</x:v>
      </x:c>
      <x:c r="T2079" s="6" t="n">
        <x:v>5</x:v>
      </x:c>
      <x:c r="U2079" s="6" t="n">
        <x:v>0</x:v>
      </x:c>
      <x:c r="V2079" s="6" t="n">
        <x:v>0</x:v>
      </x:c>
      <x:c r="W2079" s="6" t="n">
        <x:v>0</x:v>
      </x:c>
      <x:c r="X2079" s="6" t="n">
        <x:v>0</x:v>
      </x:c>
      <x:c r="Y2079" s="6" t="n">
        <x:v>0</x:v>
      </x:c>
      <x:c r="Z2079" s="6" t="n">
        <x:v>0</x:v>
      </x:c>
      <x:c r="AA2079" s="6" t="n">
        <x:v>3</x:v>
      </x:c>
      <x:c r="AB2079" s="6" t="n">
        <x:v>11</x:v>
      </x:c>
      <x:c r="AC2079" s="6" t="n">
        <x:v>0</x:v>
      </x:c>
    </x:row>
    <x:row r="2080">
      <x:c r="A2080" s="6" t="n">
        <x:v>5079</x:v>
      </x:c>
      <x:c r="B2080" s="6" t="n">
        <x:v>1971</x:v>
      </x:c>
      <x:c r="C2080" s="6" t="str">
        <x:v>Graduation</x:v>
      </x:c>
      <x:c r="D2080" s="6" t="str">
        <x:v>Married</x:v>
      </x:c>
      <x:c r="E2080" s="6"/>
      <x:c r="F2080" s="6" t="n">
        <x:v>1</x:v>
      </x:c>
      <x:c r="G2080" s="6" t="n">
        <x:v>1</x:v>
      </x:c>
      <x:c r="H2080" s="9" t="str">
        <x:v>03-03-2013</x:v>
      </x:c>
      <x:c r="I2080" s="6" t="n">
        <x:v>82</x:v>
      </x:c>
      <x:c r="J2080" s="6" t="n">
        <x:v>71</x:v>
      </x:c>
      <x:c r="K2080" s="6" t="n">
        <x:v>1</x:v>
      </x:c>
      <x:c r="L2080" s="6" t="n">
        <x:v>16</x:v>
      </x:c>
      <x:c r="M2080" s="6" t="n">
        <x:v>0</x:v>
      </x:c>
      <x:c r="N2080" s="6" t="n">
        <x:v>0</x:v>
      </x:c>
      <x:c r="O2080" s="6" t="n">
        <x:v>9</x:v>
      </x:c>
      <x:c r="P2080" s="6" t="n">
        <x:v>4</x:v>
      </x:c>
      <x:c r="Q2080" s="6" t="n">
        <x:v>2</x:v>
      </x:c>
      <x:c r="R2080" s="6" t="n">
        <x:v>1</x:v>
      </x:c>
      <x:c r="S2080" s="6" t="n">
        <x:v>3</x:v>
      </x:c>
      <x:c r="T2080" s="6" t="n">
        <x:v>8</x:v>
      </x:c>
      <x:c r="U2080" s="6" t="n">
        <x:v>0</x:v>
      </x:c>
      <x:c r="V2080" s="6" t="n">
        <x:v>0</x:v>
      </x:c>
      <x:c r="W2080" s="6" t="n">
        <x:v>0</x:v>
      </x:c>
      <x:c r="X2080" s="6" t="n">
        <x:v>0</x:v>
      </x:c>
      <x:c r="Y2080" s="6" t="n">
        <x:v>0</x:v>
      </x:c>
      <x:c r="Z2080" s="6" t="n">
        <x:v>0</x:v>
      </x:c>
      <x:c r="AA2080" s="6" t="n">
        <x:v>3</x:v>
      </x:c>
      <x:c r="AB2080" s="6" t="n">
        <x:v>11</x:v>
      </x:c>
      <x:c r="AC2080" s="6" t="n">
        <x:v>0</x:v>
      </x:c>
    </x:row>
    <x:row r="2081">
      <x:c r="A2081" s="6" t="n">
        <x:v>10339</x:v>
      </x:c>
      <x:c r="B2081" s="6" t="n">
        <x:v>1954</x:v>
      </x:c>
      <x:c r="C2081" s="6" t="str">
        <x:v>Master</x:v>
      </x:c>
      <x:c r="D2081" s="6" t="str">
        <x:v>Together</x:v>
      </x:c>
      <x:c r="E2081" s="6"/>
      <x:c r="F2081" s="6" t="n">
        <x:v>0</x:v>
      </x:c>
      <x:c r="G2081" s="6" t="n">
        <x:v>1</x:v>
      </x:c>
      <x:c r="H2081" s="9" t="str">
        <x:v>23-06-2013</x:v>
      </x:c>
      <x:c r="I2081" s="6" t="n">
        <x:v>83</x:v>
      </x:c>
      <x:c r="J2081" s="6" t="n">
        <x:v>161</x:v>
      </x:c>
      <x:c r="K2081" s="6" t="n">
        <x:v>0</x:v>
      </x:c>
      <x:c r="L2081" s="6" t="n">
        <x:v>22</x:v>
      </x:c>
      <x:c r="M2081" s="6" t="n">
        <x:v>0</x:v>
      </x:c>
      <x:c r="N2081" s="6" t="n">
        <x:v>0</x:v>
      </x:c>
      <x:c r="O2081" s="6" t="n">
        <x:v>24</x:v>
      </x:c>
      <x:c r="P2081" s="6" t="n">
        <x:v>2</x:v>
      </x:c>
      <x:c r="Q2081" s="6" t="n">
        <x:v>4</x:v>
      </x:c>
      <x:c r="R2081" s="6" t="n">
        <x:v>1</x:v>
      </x:c>
      <x:c r="S2081" s="6" t="n">
        <x:v>4</x:v>
      </x:c>
      <x:c r="T2081" s="6" t="n">
        <x:v>6</x:v>
      </x:c>
      <x:c r="U2081" s="6" t="n">
        <x:v>0</x:v>
      </x:c>
      <x:c r="V2081" s="6" t="n">
        <x:v>0</x:v>
      </x:c>
      <x:c r="W2081" s="6" t="n">
        <x:v>0</x:v>
      </x:c>
      <x:c r="X2081" s="6" t="n">
        <x:v>0</x:v>
      </x:c>
      <x:c r="Y2081" s="6" t="n">
        <x:v>0</x:v>
      </x:c>
      <x:c r="Z2081" s="6" t="n">
        <x:v>0</x:v>
      </x:c>
      <x:c r="AA2081" s="6" t="n">
        <x:v>3</x:v>
      </x:c>
      <x:c r="AB2081" s="6" t="n">
        <x:v>11</x:v>
      </x:c>
      <x:c r="AC2081" s="6" t="n">
        <x:v>0</x:v>
      </x:c>
    </x:row>
    <x:row r="2082">
      <x:c r="A2082" s="6" t="n">
        <x:v>4643</x:v>
      </x:c>
      <x:c r="B2082" s="6" t="n">
        <x:v>1973</x:v>
      </x:c>
      <x:c r="C2082" s="6" t="str">
        <x:v>Graduation</x:v>
      </x:c>
      <x:c r="D2082" s="6" t="str">
        <x:v>Married</x:v>
      </x:c>
      <x:c r="E2082" s="6" t="n">
        <x:v>27803</x:v>
      </x:c>
      <x:c r="F2082" s="6" t="n">
        <x:v>1</x:v>
      </x:c>
      <x:c r="G2082" s="6" t="n">
        <x:v>0</x:v>
      </x:c>
      <x:c r="H2082" s="9" t="str">
        <x:v>26-08-2012</x:v>
      </x:c>
      <x:c r="I2082" s="6" t="n">
        <x:v>40</x:v>
      </x:c>
      <x:c r="J2082" s="6" t="n">
        <x:v>8</x:v>
      </x:c>
      <x:c r="K2082" s="6" t="n">
        <x:v>26</x:v>
      </x:c>
      <x:c r="L2082" s="6" t="n">
        <x:v>46</x:v>
      </x:c>
      <x:c r="M2082" s="6" t="n">
        <x:v>38</x:v>
      </x:c>
      <x:c r="N2082" s="6" t="n">
        <x:v>9</x:v>
      </x:c>
      <x:c r="O2082" s="6" t="n">
        <x:v>49</x:v>
      </x:c>
      <x:c r="P2082" s="6" t="n">
        <x:v>2</x:v>
      </x:c>
      <x:c r="Q2082" s="6" t="n">
        <x:v>3</x:v>
      </x:c>
      <x:c r="R2082" s="6" t="n">
        <x:v>0</x:v>
      </x:c>
      <x:c r="S2082" s="6" t="n">
        <x:v>4</x:v>
      </x:c>
      <x:c r="T2082" s="6" t="n">
        <x:v>8</x:v>
      </x:c>
      <x:c r="U2082" s="6" t="n">
        <x:v>0</x:v>
      </x:c>
      <x:c r="V2082" s="6" t="n">
        <x:v>0</x:v>
      </x:c>
      <x:c r="W2082" s="6" t="n">
        <x:v>0</x:v>
      </x:c>
      <x:c r="X2082" s="6" t="n">
        <x:v>0</x:v>
      </x:c>
      <x:c r="Y2082" s="6" t="n">
        <x:v>0</x:v>
      </x:c>
      <x:c r="Z2082" s="6" t="n">
        <x:v>0</x:v>
      </x:c>
      <x:c r="AA2082" s="6" t="n">
        <x:v>3</x:v>
      </x:c>
      <x:c r="AB2082" s="6" t="n">
        <x:v>11</x:v>
      </x:c>
      <x:c r="AC2082" s="6" t="n">
        <x:v>0</x:v>
      </x:c>
    </x:row>
    <x:row r="2083">
      <x:c r="A2083" s="6" t="n">
        <x:v>3117</x:v>
      </x:c>
      <x:c r="B2083" s="6" t="n">
        <x:v>1955</x:v>
      </x:c>
      <x:c r="C2083" s="6" t="str">
        <x:v>Graduation</x:v>
      </x:c>
      <x:c r="D2083" s="6" t="str">
        <x:v>Single</x:v>
      </x:c>
      <x:c r="E2083" s="6"/>
      <x:c r="F2083" s="6" t="n">
        <x:v>0</x:v>
      </x:c>
      <x:c r="G2083" s="6" t="n">
        <x:v>1</x:v>
      </x:c>
      <x:c r="H2083" s="9" t="str">
        <x:v>18-10-2013</x:v>
      </x:c>
      <x:c r="I2083" s="6" t="n">
        <x:v>95</x:v>
      </x:c>
      <x:c r="J2083" s="6" t="n">
        <x:v>264</x:v>
      </x:c>
      <x:c r="K2083" s="6" t="n">
        <x:v>0</x:v>
      </x:c>
      <x:c r="L2083" s="6" t="n">
        <x:v>21</x:v>
      </x:c>
      <x:c r="M2083" s="6" t="n">
        <x:v>12</x:v>
      </x:c>
      <x:c r="N2083" s="6" t="n">
        <x:v>6</x:v>
      </x:c>
      <x:c r="O2083" s="6" t="n">
        <x:v>147</x:v>
      </x:c>
      <x:c r="P2083" s="6" t="n">
        <x:v>3</x:v>
      </x:c>
      <x:c r="Q2083" s="6" t="n">
        <x:v>6</x:v>
      </x:c>
      <x:c r="R2083" s="6" t="n">
        <x:v>1</x:v>
      </x:c>
      <x:c r="S2083" s="6" t="n">
        <x:v>5</x:v>
      </x:c>
      <x:c r="T2083" s="6" t="n">
        <x:v>7</x:v>
      </x:c>
      <x:c r="U2083" s="6" t="n">
        <x:v>0</x:v>
      </x:c>
      <x:c r="V2083" s="6" t="n">
        <x:v>0</x:v>
      </x:c>
      <x:c r="W2083" s="6" t="n">
        <x:v>0</x:v>
      </x:c>
      <x:c r="X2083" s="6" t="n">
        <x:v>0</x:v>
      </x:c>
      <x:c r="Y2083" s="6" t="n">
        <x:v>0</x:v>
      </x:c>
      <x:c r="Z2083" s="6" t="n">
        <x:v>0</x:v>
      </x:c>
      <x:c r="AA2083" s="6" t="n">
        <x:v>3</x:v>
      </x:c>
      <x:c r="AB2083" s="6" t="n">
        <x:v>11</x:v>
      </x:c>
      <x:c r="AC2083" s="6" t="n">
        <x:v>0</x:v>
      </x:c>
    </x:row>
    <x:row r="2084">
      <x:c r="A2084" s="6" t="n">
        <x:v>6497</x:v>
      </x:c>
      <x:c r="B2084" s="6" t="n">
        <x:v>1960</x:v>
      </x:c>
      <x:c r="C2084" s="6" t="str">
        <x:v>Graduation</x:v>
      </x:c>
      <x:c r="D2084" s="6" t="str">
        <x:v>Married</x:v>
      </x:c>
      <x:c r="E2084" s="6" t="n">
        <x:v>51651</x:v>
      </x:c>
      <x:c r="F2084" s="6" t="n">
        <x:v>0</x:v>
      </x:c>
      <x:c r="G2084" s="6" t="n">
        <x:v>1</x:v>
      </x:c>
      <x:c r="H2084" s="9" t="str">
        <x:v>07-11-2012</x:v>
      </x:c>
      <x:c r="I2084" s="6" t="n">
        <x:v>32</x:v>
      </x:c>
      <x:c r="J2084" s="6" t="n">
        <x:v>293</x:v>
      </x:c>
      <x:c r="K2084" s="6" t="n">
        <x:v>6</x:v>
      </x:c>
      <x:c r="L2084" s="6" t="n">
        <x:v>23</x:v>
      </x:c>
      <x:c r="M2084" s="6" t="n">
        <x:v>13</x:v>
      </x:c>
      <x:c r="N2084" s="6" t="n">
        <x:v>6</x:v>
      </x:c>
      <x:c r="O2084" s="6" t="n">
        <x:v>92</x:v>
      </x:c>
      <x:c r="P2084" s="6" t="n">
        <x:v>4</x:v>
      </x:c>
      <x:c r="Q2084" s="6" t="n">
        <x:v>6</x:v>
      </x:c>
      <x:c r="R2084" s="6" t="n">
        <x:v>2</x:v>
      </x:c>
      <x:c r="S2084" s="6" t="n">
        <x:v>5</x:v>
      </x:c>
      <x:c r="T2084" s="6" t="n">
        <x:v>8</x:v>
      </x:c>
      <x:c r="U2084" s="6" t="n">
        <x:v>0</x:v>
      </x:c>
      <x:c r="V2084" s="6" t="n">
        <x:v>0</x:v>
      </x:c>
      <x:c r="W2084" s="6" t="n">
        <x:v>0</x:v>
      </x:c>
      <x:c r="X2084" s="6" t="n">
        <x:v>0</x:v>
      </x:c>
      <x:c r="Y2084" s="6" t="n">
        <x:v>0</x:v>
      </x:c>
      <x:c r="Z2084" s="6" t="n">
        <x:v>0</x:v>
      </x:c>
      <x:c r="AA2084" s="6" t="n">
        <x:v>3</x:v>
      </x:c>
      <x:c r="AB2084" s="6" t="n">
        <x:v>11</x:v>
      </x:c>
      <x:c r="AC2084" s="6" t="n">
        <x:v>0</x:v>
      </x:c>
    </x:row>
    <x:row r="2085">
      <x:c r="A2085" s="6" t="n">
        <x:v>5396</x:v>
      </x:c>
      <x:c r="B2085" s="6" t="n">
        <x:v>1988</x:v>
      </x:c>
      <x:c r="C2085" s="6" t="str">
        <x:v>Graduation</x:v>
      </x:c>
      <x:c r="D2085" s="6" t="str">
        <x:v>Married</x:v>
      </x:c>
      <x:c r="E2085" s="6" t="n">
        <x:v>68487</x:v>
      </x:c>
      <x:c r="F2085" s="6" t="n">
        <x:v>0</x:v>
      </x:c>
      <x:c r="G2085" s="6" t="n">
        <x:v>0</x:v>
      </x:c>
      <x:c r="H2085" s="9" t="str">
        <x:v>13-01-2013</x:v>
      </x:c>
      <x:c r="I2085" s="6" t="n">
        <x:v>48</x:v>
      </x:c>
      <x:c r="J2085" s="6" t="n">
        <x:v>758</x:v>
      </x:c>
      <x:c r="K2085" s="6" t="n">
        <x:v>12</x:v>
      </x:c>
      <x:c r="L2085" s="6" t="n">
        <x:v>385</x:v>
      </x:c>
      <x:c r="M2085" s="6" t="n">
        <x:v>33</x:v>
      </x:c>
      <x:c r="N2085" s="6" t="n">
        <x:v>89</x:v>
      </x:c>
      <x:c r="O2085" s="6" t="n">
        <x:v>89</x:v>
      </x:c>
      <x:c r="P2085" s="6" t="n">
        <x:v>1</x:v>
      </x:c>
      <x:c r="Q2085" s="6" t="n">
        <x:v>9</x:v>
      </x:c>
      <x:c r="R2085" s="6" t="n">
        <x:v>7</x:v>
      </x:c>
      <x:c r="S2085" s="6" t="n">
        <x:v>13</x:v>
      </x:c>
      <x:c r="T2085" s="6" t="n">
        <x:v>4</x:v>
      </x:c>
      <x:c r="U2085" s="6" t="n">
        <x:v>0</x:v>
      </x:c>
      <x:c r="V2085" s="6" t="n">
        <x:v>0</x:v>
      </x:c>
      <x:c r="W2085" s="6" t="n">
        <x:v>0</x:v>
      </x:c>
      <x:c r="X2085" s="6" t="n">
        <x:v>0</x:v>
      </x:c>
      <x:c r="Y2085" s="6" t="n">
        <x:v>0</x:v>
      </x:c>
      <x:c r="Z2085" s="6" t="n">
        <x:v>0</x:v>
      </x:c>
      <x:c r="AA2085" s="6" t="n">
        <x:v>3</x:v>
      </x:c>
      <x:c r="AB2085" s="6" t="n">
        <x:v>11</x:v>
      </x:c>
      <x:c r="AC2085" s="6" t="n">
        <x:v>0</x:v>
      </x:c>
    </x:row>
    <x:row r="2086">
      <x:c r="A2086" s="6" t="n">
        <x:v>5250</x:v>
      </x:c>
      <x:c r="B2086" s="6" t="n">
        <x:v>1943</x:v>
      </x:c>
      <x:c r="C2086" s="6" t="str">
        <x:v>Master</x:v>
      </x:c>
      <x:c r="D2086" s="6" t="str">
        <x:v>Widow</x:v>
      </x:c>
      <x:c r="E2086" s="6"/>
      <x:c r="F2086" s="6" t="n">
        <x:v>0</x:v>
      </x:c>
      <x:c r="G2086" s="6" t="n">
        <x:v>0</x:v>
      </x:c>
      <x:c r="H2086" s="9" t="str">
        <x:v>30-10-2013</x:v>
      </x:c>
      <x:c r="I2086" s="6" t="n">
        <x:v>75</x:v>
      </x:c>
      <x:c r="J2086" s="6" t="n">
        <x:v>532</x:v>
      </x:c>
      <x:c r="K2086" s="6" t="n">
        <x:v>126</x:v>
      </x:c>
      <x:c r="L2086" s="6" t="n">
        <x:v>490</x:v>
      </x:c>
      <x:c r="M2086" s="6" t="n">
        <x:v>164</x:v>
      </x:c>
      <x:c r="N2086" s="6" t="n">
        <x:v>126</x:v>
      </x:c>
      <x:c r="O2086" s="6" t="n">
        <x:v>126</x:v>
      </x:c>
      <x:c r="P2086" s="6" t="n">
        <x:v>1</x:v>
      </x:c>
      <x:c r="Q2086" s="6" t="n">
        <x:v>5</x:v>
      </x:c>
      <x:c r="R2086" s="6" t="n">
        <x:v>5</x:v>
      </x:c>
      <x:c r="S2086" s="6" t="n">
        <x:v>11</x:v>
      </x:c>
      <x:c r="T2086" s="6" t="n">
        <x:v>1</x:v>
      </x:c>
      <x:c r="U2086" s="6" t="n">
        <x:v>0</x:v>
      </x:c>
      <x:c r="V2086" s="6" t="n">
        <x:v>0</x:v>
      </x:c>
      <x:c r="W2086" s="6" t="n">
        <x:v>1</x:v>
      </x:c>
      <x:c r="X2086" s="6" t="n">
        <x:v>0</x:v>
      </x:c>
      <x:c r="Y2086" s="6" t="n">
        <x:v>0</x:v>
      </x:c>
      <x:c r="Z2086" s="6" t="n">
        <x:v>0</x:v>
      </x:c>
      <x:c r="AA2086" s="6" t="n">
        <x:v>3</x:v>
      </x:c>
      <x:c r="AB2086" s="6" t="n">
        <x:v>11</x:v>
      </x:c>
      <x:c r="AC2086" s="6" t="n">
        <x:v>1</x:v>
      </x:c>
    </x:row>
    <x:row r="2087">
      <x:c r="A2087" s="6" t="n">
        <x:v>1052</x:v>
      </x:c>
      <x:c r="B2087" s="6" t="n">
        <x:v>1969</x:v>
      </x:c>
      <x:c r="C2087" s="6" t="str">
        <x:v>Graduation</x:v>
      </x:c>
      <x:c r="D2087" s="6" t="str">
        <x:v>Married</x:v>
      </x:c>
      <x:c r="E2087" s="6" t="n">
        <x:v>56796</x:v>
      </x:c>
      <x:c r="F2087" s="6" t="n">
        <x:v>0</x:v>
      </x:c>
      <x:c r="G2087" s="6" t="n">
        <x:v>1</x:v>
      </x:c>
      <x:c r="H2087" s="9" t="str">
        <x:v>16-02-2013</x:v>
      </x:c>
      <x:c r="I2087" s="6" t="n">
        <x:v>24</x:v>
      </x:c>
      <x:c r="J2087" s="6" t="n">
        <x:v>656</x:v>
      </x:c>
      <x:c r="K2087" s="6" t="n">
        <x:v>38</x:v>
      </x:c>
      <x:c r="L2087" s="6" t="n">
        <x:v>161</x:v>
      </x:c>
      <x:c r="M2087" s="6" t="n">
        <x:v>62</x:v>
      </x:c>
      <x:c r="N2087" s="6" t="n">
        <x:v>47</x:v>
      </x:c>
      <x:c r="O2087" s="6" t="n">
        <x:v>37</x:v>
      </x:c>
      <x:c r="P2087" s="6" t="n">
        <x:v>3</x:v>
      </x:c>
      <x:c r="Q2087" s="6" t="n">
        <x:v>8</x:v>
      </x:c>
      <x:c r="R2087" s="6" t="n">
        <x:v>9</x:v>
      </x:c>
      <x:c r="S2087" s="6" t="n">
        <x:v>7</x:v>
      </x:c>
      <x:c r="T2087" s="6" t="n">
        <x:v>7</x:v>
      </x:c>
      <x:c r="U2087" s="6" t="n">
        <x:v>0</x:v>
      </x:c>
      <x:c r="V2087" s="6" t="n">
        <x:v>0</x:v>
      </x:c>
      <x:c r="W2087" s="6" t="n">
        <x:v>0</x:v>
      </x:c>
      <x:c r="X2087" s="6" t="n">
        <x:v>0</x:v>
      </x:c>
      <x:c r="Y2087" s="6" t="n">
        <x:v>0</x:v>
      </x:c>
      <x:c r="Z2087" s="6" t="n">
        <x:v>0</x:v>
      </x:c>
      <x:c r="AA2087" s="6" t="n">
        <x:v>3</x:v>
      </x:c>
      <x:c r="AB2087" s="6" t="n">
        <x:v>11</x:v>
      </x:c>
      <x:c r="AC2087" s="6" t="n">
        <x:v>0</x:v>
      </x:c>
    </x:row>
    <x:row r="2088">
      <x:c r="A2088" s="6" t="n">
        <x:v>2802</x:v>
      </x:c>
      <x:c r="B2088" s="6" t="n">
        <x:v>1992</x:v>
      </x:c>
      <x:c r="C2088" s="6" t="str">
        <x:v>2n Cycle</x:v>
      </x:c>
      <x:c r="D2088" s="6" t="str">
        <x:v>Married</x:v>
      </x:c>
      <x:c r="E2088" s="6" t="n">
        <x:v>87000</x:v>
      </x:c>
      <x:c r="F2088" s="6" t="n">
        <x:v>0</x:v>
      </x:c>
      <x:c r="G2088" s="6" t="n">
        <x:v>0</x:v>
      </x:c>
      <x:c r="H2088" s="9" t="str">
        <x:v>15-12-2012</x:v>
      </x:c>
      <x:c r="I2088" s="6" t="n">
        <x:v>61</x:v>
      </x:c>
      <x:c r="J2088" s="6" t="n">
        <x:v>196</x:v>
      </x:c>
      <x:c r="K2088" s="6" t="n">
        <x:v>25</x:v>
      </x:c>
      <x:c r="L2088" s="6" t="n">
        <x:v>607</x:v>
      </x:c>
      <x:c r="M2088" s="6" t="n">
        <x:v>67</x:v>
      </x:c>
      <x:c r="N2088" s="6" t="n">
        <x:v>17</x:v>
      </x:c>
      <x:c r="O2088" s="6" t="n">
        <x:v>49</x:v>
      </x:c>
      <x:c r="P2088" s="6" t="n">
        <x:v>1</x:v>
      </x:c>
      <x:c r="Q2088" s="6" t="n">
        <x:v>4</x:v>
      </x:c>
      <x:c r="R2088" s="6" t="n">
        <x:v>6</x:v>
      </x:c>
      <x:c r="S2088" s="6" t="n">
        <x:v>7</x:v>
      </x:c>
      <x:c r="T2088" s="6" t="n">
        <x:v>2</x:v>
      </x:c>
      <x:c r="U2088" s="6" t="n">
        <x:v>0</x:v>
      </x:c>
      <x:c r="V2088" s="6" t="n">
        <x:v>0</x:v>
      </x:c>
      <x:c r="W2088" s="6" t="n">
        <x:v>0</x:v>
      </x:c>
      <x:c r="X2088" s="6" t="n">
        <x:v>0</x:v>
      </x:c>
      <x:c r="Y2088" s="6" t="n">
        <x:v>0</x:v>
      </x:c>
      <x:c r="Z2088" s="6" t="n">
        <x:v>0</x:v>
      </x:c>
      <x:c r="AA2088" s="6" t="n">
        <x:v>3</x:v>
      </x:c>
      <x:c r="AB2088" s="6" t="n">
        <x:v>11</x:v>
      </x:c>
      <x:c r="AC2088" s="6" t="n">
        <x:v>0</x:v>
      </x:c>
    </x:row>
    <x:row r="2089">
      <x:c r="A2089" s="6" t="n">
        <x:v>6343</x:v>
      </x:c>
      <x:c r="B2089" s="6" t="n">
        <x:v>1959</x:v>
      </x:c>
      <x:c r="C2089" s="6" t="str">
        <x:v>Graduation</x:v>
      </x:c>
      <x:c r="D2089" s="6" t="str">
        <x:v>Married</x:v>
      </x:c>
      <x:c r="E2089" s="6" t="n">
        <x:v>79823</x:v>
      </x:c>
      <x:c r="F2089" s="6" t="n">
        <x:v>0</x:v>
      </x:c>
      <x:c r="G2089" s="6" t="n">
        <x:v>1</x:v>
      </x:c>
      <x:c r="H2089" s="9" t="str">
        <x:v>31-03-2014</x:v>
      </x:c>
      <x:c r="I2089" s="6" t="n">
        <x:v>6</x:v>
      </x:c>
      <x:c r="J2089" s="6" t="n">
        <x:v>835</x:v>
      </x:c>
      <x:c r="K2089" s="6" t="n">
        <x:v>73</x:v>
      </x:c>
      <x:c r="L2089" s="6" t="n">
        <x:v>380</x:v>
      </x:c>
      <x:c r="M2089" s="6" t="n">
        <x:v>114</x:v>
      </x:c>
      <x:c r="N2089" s="6" t="n">
        <x:v>73</x:v>
      </x:c>
      <x:c r="O2089" s="6" t="n">
        <x:v>43</x:v>
      </x:c>
      <x:c r="P2089" s="6" t="n">
        <x:v>1</x:v>
      </x:c>
      <x:c r="Q2089" s="6" t="n">
        <x:v>6</x:v>
      </x:c>
      <x:c r="R2089" s="6" t="n">
        <x:v>9</x:v>
      </x:c>
      <x:c r="S2089" s="6" t="n">
        <x:v>7</x:v>
      </x:c>
      <x:c r="T2089" s="6" t="n">
        <x:v>2</x:v>
      </x:c>
      <x:c r="U2089" s="6" t="n">
        <x:v>0</x:v>
      </x:c>
      <x:c r="V2089" s="6" t="n">
        <x:v>1</x:v>
      </x:c>
      <x:c r="W2089" s="6" t="n">
        <x:v>0</x:v>
      </x:c>
      <x:c r="X2089" s="6" t="n">
        <x:v>0</x:v>
      </x:c>
      <x:c r="Y2089" s="6" t="n">
        <x:v>0</x:v>
      </x:c>
      <x:c r="Z2089" s="6" t="n">
        <x:v>0</x:v>
      </x:c>
      <x:c r="AA2089" s="6" t="n">
        <x:v>3</x:v>
      </x:c>
      <x:c r="AB2089" s="6" t="n">
        <x:v>11</x:v>
      </x:c>
      <x:c r="AC2089" s="6" t="n">
        <x:v>0</x:v>
      </x:c>
    </x:row>
    <x:row r="2090">
      <x:c r="A2090" s="6" t="n">
        <x:v>6507</x:v>
      </x:c>
      <x:c r="B2090" s="6" t="n">
        <x:v>1980</x:v>
      </x:c>
      <x:c r="C2090" s="6" t="str">
        <x:v>Graduation</x:v>
      </x:c>
      <x:c r="D2090" s="6" t="str">
        <x:v>Single</x:v>
      </x:c>
      <x:c r="E2090" s="6" t="n">
        <x:v>30828</x:v>
      </x:c>
      <x:c r="F2090" s="6" t="n">
        <x:v>1</x:v>
      </x:c>
      <x:c r="G2090" s="6" t="n">
        <x:v>0</x:v>
      </x:c>
      <x:c r="H2090" s="9" t="str">
        <x:v>04-10-2013</x:v>
      </x:c>
      <x:c r="I2090" s="6" t="n">
        <x:v>16</x:v>
      </x:c>
      <x:c r="J2090" s="6" t="n">
        <x:v>16</x:v>
      </x:c>
      <x:c r="K2090" s="6" t="n">
        <x:v>11</x:v>
      </x:c>
      <x:c r="L2090" s="6" t="n">
        <x:v>15</x:v>
      </x:c>
      <x:c r="M2090" s="6" t="n">
        <x:v>2</x:v>
      </x:c>
      <x:c r="N2090" s="6" t="n">
        <x:v>0</x:v>
      </x:c>
      <x:c r="O2090" s="6" t="n">
        <x:v>12</x:v>
      </x:c>
      <x:c r="P2090" s="6" t="n">
        <x:v>2</x:v>
      </x:c>
      <x:c r="Q2090" s="6" t="n">
        <x:v>1</x:v>
      </x:c>
      <x:c r="R2090" s="6" t="n">
        <x:v>1</x:v>
      </x:c>
      <x:c r="S2090" s="6" t="n">
        <x:v>4</x:v>
      </x:c>
      <x:c r="T2090" s="6" t="n">
        <x:v>3</x:v>
      </x:c>
      <x:c r="U2090" s="6" t="n">
        <x:v>0</x:v>
      </x:c>
      <x:c r="V2090" s="6" t="n">
        <x:v>0</x:v>
      </x:c>
      <x:c r="W2090" s="6" t="n">
        <x:v>0</x:v>
      </x:c>
      <x:c r="X2090" s="6" t="n">
        <x:v>0</x:v>
      </x:c>
      <x:c r="Y2090" s="6" t="n">
        <x:v>0</x:v>
      </x:c>
      <x:c r="Z2090" s="6" t="n">
        <x:v>0</x:v>
      </x:c>
      <x:c r="AA2090" s="6" t="n">
        <x:v>3</x:v>
      </x:c>
      <x:c r="AB2090" s="6" t="n">
        <x:v>11</x:v>
      </x:c>
      <x:c r="AC2090" s="6" t="n">
        <x:v>0</x:v>
      </x:c>
    </x:row>
    <x:row r="2091">
      <x:c r="A2091" s="6" t="n">
        <x:v>7901</x:v>
      </x:c>
      <x:c r="B2091" s="6" t="n">
        <x:v>1971</x:v>
      </x:c>
      <x:c r="C2091" s="6" t="str">
        <x:v>Master</x:v>
      </x:c>
      <x:c r="D2091" s="6" t="str">
        <x:v>Married</x:v>
      </x:c>
      <x:c r="E2091" s="6" t="n">
        <x:v>34109</x:v>
      </x:c>
      <x:c r="F2091" s="6" t="n">
        <x:v>0</x:v>
      </x:c>
      <x:c r="G2091" s="6" t="n">
        <x:v>1</x:v>
      </x:c>
      <x:c r="H2091" s="9" t="str">
        <x:v>06-11-2013</x:v>
      </x:c>
      <x:c r="I2091" s="6" t="n">
        <x:v>39</x:v>
      </x:c>
      <x:c r="J2091" s="6" t="n">
        <x:v>9</x:v>
      </x:c>
      <x:c r="K2091" s="6" t="n">
        <x:v>1</x:v>
      </x:c>
      <x:c r="L2091" s="6" t="n">
        <x:v>5</x:v>
      </x:c>
      <x:c r="M2091" s="6" t="n">
        <x:v>2</x:v>
      </x:c>
      <x:c r="N2091" s="6" t="n">
        <x:v>1</x:v>
      </x:c>
      <x:c r="O2091" s="6" t="n">
        <x:v>4</x:v>
      </x:c>
      <x:c r="P2091" s="6" t="n">
        <x:v>1</x:v>
      </x:c>
      <x:c r="Q2091" s="6" t="n">
        <x:v>0</x:v>
      </x:c>
      <x:c r="R2091" s="6" t="n">
        <x:v>0</x:v>
      </x:c>
      <x:c r="S2091" s="6" t="n">
        <x:v>3</x:v>
      </x:c>
      <x:c r="T2091" s="6" t="n">
        <x:v>4</x:v>
      </x:c>
      <x:c r="U2091" s="6" t="n">
        <x:v>0</x:v>
      </x:c>
      <x:c r="V2091" s="6" t="n">
        <x:v>0</x:v>
      </x:c>
      <x:c r="W2091" s="6" t="n">
        <x:v>0</x:v>
      </x:c>
      <x:c r="X2091" s="6" t="n">
        <x:v>0</x:v>
      </x:c>
      <x:c r="Y2091" s="6" t="n">
        <x:v>0</x:v>
      </x:c>
      <x:c r="Z2091" s="6" t="n">
        <x:v>0</x:v>
      </x:c>
      <x:c r="AA2091" s="6" t="n">
        <x:v>3</x:v>
      </x:c>
      <x:c r="AB2091" s="6" t="n">
        <x:v>11</x:v>
      </x:c>
      <x:c r="AC2091" s="6" t="n">
        <x:v>0</x:v>
      </x:c>
    </x:row>
    <x:row r="2092">
      <x:c r="A2092" s="6" t="n">
        <x:v>4865</x:v>
      </x:c>
      <x:c r="B2092" s="6" t="n">
        <x:v>1974</x:v>
      </x:c>
      <x:c r="C2092" s="6" t="str">
        <x:v>Master</x:v>
      </x:c>
      <x:c r="D2092" s="6" t="str">
        <x:v>Divorced</x:v>
      </x:c>
      <x:c r="E2092" s="6" t="n">
        <x:v>53367</x:v>
      </x:c>
      <x:c r="F2092" s="6" t="n">
        <x:v>1</x:v>
      </x:c>
      <x:c r="G2092" s="6" t="n">
        <x:v>1</x:v>
      </x:c>
      <x:c r="H2092" s="9" t="str">
        <x:v>31-08-2013</x:v>
      </x:c>
      <x:c r="I2092" s="6" t="n">
        <x:v>2</x:v>
      </x:c>
      <x:c r="J2092" s="6" t="n">
        <x:v>229</x:v>
      </x:c>
      <x:c r="K2092" s="6" t="n">
        <x:v>7</x:v>
      </x:c>
      <x:c r="L2092" s="6" t="n">
        <x:v>140</x:v>
      </x:c>
      <x:c r="M2092" s="6" t="n">
        <x:v>10</x:v>
      </x:c>
      <x:c r="N2092" s="6" t="n">
        <x:v>3</x:v>
      </x:c>
      <x:c r="O2092" s="6" t="n">
        <x:v>11</x:v>
      </x:c>
      <x:c r="P2092" s="6" t="n">
        <x:v>7</x:v>
      </x:c>
      <x:c r="Q2092" s="6" t="n">
        <x:v>5</x:v>
      </x:c>
      <x:c r="R2092" s="6" t="n">
        <x:v>1</x:v>
      </x:c>
      <x:c r="S2092" s="6" t="n">
        <x:v>8</x:v>
      </x:c>
      <x:c r="T2092" s="6" t="n">
        <x:v>7</x:v>
      </x:c>
      <x:c r="U2092" s="6" t="n">
        <x:v>0</x:v>
      </x:c>
      <x:c r="V2092" s="6" t="n">
        <x:v>0</x:v>
      </x:c>
      <x:c r="W2092" s="6" t="n">
        <x:v>0</x:v>
      </x:c>
      <x:c r="X2092" s="6" t="n">
        <x:v>0</x:v>
      </x:c>
      <x:c r="Y2092" s="6" t="n">
        <x:v>0</x:v>
      </x:c>
      <x:c r="Z2092" s="6" t="n">
        <x:v>0</x:v>
      </x:c>
      <x:c r="AA2092" s="6" t="n">
        <x:v>3</x:v>
      </x:c>
      <x:c r="AB2092" s="6" t="n">
        <x:v>11</x:v>
      </x:c>
      <x:c r="AC2092" s="6" t="n">
        <x:v>1</x:v>
      </x:c>
    </x:row>
    <x:row r="2093">
      <x:c r="A2093" s="6" t="n">
        <x:v>2686</x:v>
      </x:c>
      <x:c r="B2093" s="6" t="n">
        <x:v>1969</x:v>
      </x:c>
      <x:c r="C2093" s="6" t="str">
        <x:v>Basic</x:v>
      </x:c>
      <x:c r="D2093" s="6" t="str">
        <x:v>Together</x:v>
      </x:c>
      <x:c r="E2093" s="6" t="n">
        <x:v>22390</x:v>
      </x:c>
      <x:c r="F2093" s="6" t="n">
        <x:v>0</x:v>
      </x:c>
      <x:c r="G2093" s="6" t="n">
        <x:v>0</x:v>
      </x:c>
      <x:c r="H2093" s="9" t="str">
        <x:v>21-10-2013</x:v>
      </x:c>
      <x:c r="I2093" s="6" t="n">
        <x:v>49</x:v>
      </x:c>
      <x:c r="J2093" s="6" t="n">
        <x:v>0</x:v>
      </x:c>
      <x:c r="K2093" s="6" t="n">
        <x:v>1</x:v>
      </x:c>
      <x:c r="L2093" s="6" t="n">
        <x:v>4</x:v>
      </x:c>
      <x:c r="M2093" s="6" t="n">
        <x:v>15</x:v>
      </x:c>
      <x:c r="N2093" s="6" t="n">
        <x:v>1</x:v>
      </x:c>
      <x:c r="O2093" s="6" t="n">
        <x:v>5</x:v>
      </x:c>
      <x:c r="P2093" s="6" t="n">
        <x:v>1</x:v>
      </x:c>
      <x:c r="Q2093" s="6" t="n">
        <x:v>1</x:v>
      </x:c>
      <x:c r="R2093" s="6" t="n">
        <x:v>0</x:v>
      </x:c>
      <x:c r="S2093" s="6" t="n">
        <x:v>2</x:v>
      </x:c>
      <x:c r="T2093" s="6" t="n">
        <x:v>7</x:v>
      </x:c>
      <x:c r="U2093" s="6" t="n">
        <x:v>0</x:v>
      </x:c>
      <x:c r="V2093" s="6" t="n">
        <x:v>0</x:v>
      </x:c>
      <x:c r="W2093" s="6" t="n">
        <x:v>0</x:v>
      </x:c>
      <x:c r="X2093" s="6" t="n">
        <x:v>0</x:v>
      </x:c>
      <x:c r="Y2093" s="6" t="n">
        <x:v>0</x:v>
      </x:c>
      <x:c r="Z2093" s="6" t="n">
        <x:v>0</x:v>
      </x:c>
      <x:c r="AA2093" s="6" t="n">
        <x:v>3</x:v>
      </x:c>
      <x:c r="AB2093" s="6" t="n">
        <x:v>11</x:v>
      </x:c>
      <x:c r="AC2093" s="6" t="n">
        <x:v>0</x:v>
      </x:c>
    </x:row>
    <x:row r="2094">
      <x:c r="A2094" s="6" t="n">
        <x:v>3107</x:v>
      </x:c>
      <x:c r="B2094" s="6" t="n">
        <x:v>1976</x:v>
      </x:c>
      <x:c r="C2094" s="6" t="str">
        <x:v>Graduation</x:v>
      </x:c>
      <x:c r="D2094" s="6" t="str">
        <x:v>Together</x:v>
      </x:c>
      <x:c r="E2094" s="6" t="n">
        <x:v>71322</x:v>
      </x:c>
      <x:c r="F2094" s="6" t="n">
        <x:v>0</x:v>
      </x:c>
      <x:c r="G2094" s="6" t="n">
        <x:v>1</x:v>
      </x:c>
      <x:c r="H2094" s="9" t="str">
        <x:v>02-05-2014</x:v>
      </x:c>
      <x:c r="I2094" s="6" t="n">
        <x:v>31</x:v>
      </x:c>
      <x:c r="J2094" s="6" t="n">
        <x:v>121</x:v>
      </x:c>
      <x:c r="K2094" s="6" t="n">
        <x:v>24</x:v>
      </x:c>
      <x:c r="L2094" s="6" t="n">
        <x:v>124</x:v>
      </x:c>
      <x:c r="M2094" s="6" t="n">
        <x:v>24</x:v>
      </x:c>
      <x:c r="N2094" s="6" t="n">
        <x:v>15</x:v>
      </x:c>
      <x:c r="O2094" s="6" t="n">
        <x:v>42</x:v>
      </x:c>
      <x:c r="P2094" s="6" t="n">
        <x:v>1</x:v>
      </x:c>
      <x:c r="Q2094" s="6" t="n">
        <x:v>4</x:v>
      </x:c>
      <x:c r="R2094" s="6" t="n">
        <x:v>1</x:v>
      </x:c>
      <x:c r="S2094" s="6" t="n">
        <x:v>7</x:v>
      </x:c>
      <x:c r="T2094" s="6" t="n">
        <x:v>2</x:v>
      </x:c>
      <x:c r="U2094" s="6" t="n">
        <x:v>0</x:v>
      </x:c>
      <x:c r="V2094" s="6" t="n">
        <x:v>0</x:v>
      </x:c>
      <x:c r="W2094" s="6" t="n">
        <x:v>0</x:v>
      </x:c>
      <x:c r="X2094" s="6" t="n">
        <x:v>0</x:v>
      </x:c>
      <x:c r="Y2094" s="6" t="n">
        <x:v>0</x:v>
      </x:c>
      <x:c r="Z2094" s="6" t="n">
        <x:v>0</x:v>
      </x:c>
      <x:c r="AA2094" s="6" t="n">
        <x:v>3</x:v>
      </x:c>
      <x:c r="AB2094" s="6" t="n">
        <x:v>11</x:v>
      </x:c>
      <x:c r="AC2094" s="6" t="n">
        <x:v>0</x:v>
      </x:c>
    </x:row>
    <x:row r="2095">
      <x:c r="A2095" s="6" t="n">
        <x:v>7734</x:v>
      </x:c>
      <x:c r="B2095" s="6" t="n">
        <x:v>1993</x:v>
      </x:c>
      <x:c r="C2095" s="6" t="str">
        <x:v>Graduation</x:v>
      </x:c>
      <x:c r="D2095" s="6" t="str">
        <x:v>Absurd</x:v>
      </x:c>
      <x:c r="E2095" s="6" t="n">
        <x:v>79244</x:v>
      </x:c>
      <x:c r="F2095" s="6" t="n">
        <x:v>0</x:v>
      </x:c>
      <x:c r="G2095" s="6" t="n">
        <x:v>0</x:v>
      </x:c>
      <x:c r="H2095" s="9" t="str">
        <x:v>19-12-2012</x:v>
      </x:c>
      <x:c r="I2095" s="6" t="n">
        <x:v>58</x:v>
      </x:c>
      <x:c r="J2095" s="6" t="n">
        <x:v>471</x:v>
      </x:c>
      <x:c r="K2095" s="6" t="n">
        <x:v>102</x:v>
      </x:c>
      <x:c r="L2095" s="6" t="n">
        <x:v>125</x:v>
      </x:c>
      <x:c r="M2095" s="6" t="n">
        <x:v>212</x:v>
      </x:c>
      <x:c r="N2095" s="6" t="n">
        <x:v>61</x:v>
      </x:c>
      <x:c r="O2095" s="6" t="n">
        <x:v>245</x:v>
      </x:c>
      <x:c r="P2095" s="6" t="n">
        <x:v>1</x:v>
      </x:c>
      <x:c r="Q2095" s="6" t="n">
        <x:v>4</x:v>
      </x:c>
      <x:c r="R2095" s="6" t="n">
        <x:v>10</x:v>
      </x:c>
      <x:c r="S2095" s="6" t="n">
        <x:v>7</x:v>
      </x:c>
      <x:c r="T2095" s="6" t="n">
        <x:v>1</x:v>
      </x:c>
      <x:c r="U2095" s="6" t="n">
        <x:v>0</x:v>
      </x:c>
      <x:c r="V2095" s="6" t="n">
        <x:v>0</x:v>
      </x:c>
      <x:c r="W2095" s="6" t="n">
        <x:v>1</x:v>
      </x:c>
      <x:c r="X2095" s="6" t="n">
        <x:v>1</x:v>
      </x:c>
      <x:c r="Y2095" s="6" t="n">
        <x:v>0</x:v>
      </x:c>
      <x:c r="Z2095" s="6" t="n">
        <x:v>0</x:v>
      </x:c>
      <x:c r="AA2095" s="6" t="n">
        <x:v>3</x:v>
      </x:c>
      <x:c r="AB2095" s="6" t="n">
        <x:v>11</x:v>
      </x:c>
      <x:c r="AC2095" s="6" t="n">
        <x:v>1</x:v>
      </x:c>
    </x:row>
    <x:row r="2096">
      <x:c r="A2096" s="6" t="n">
        <x:v>1146</x:v>
      </x:c>
      <x:c r="B2096" s="6" t="n">
        <x:v>1949</x:v>
      </x:c>
      <x:c r="C2096" s="6" t="str">
        <x:v>Master</x:v>
      </x:c>
      <x:c r="D2096" s="6" t="str">
        <x:v>Together</x:v>
      </x:c>
      <x:c r="E2096" s="6" t="n">
        <x:v>49912</x:v>
      </x:c>
      <x:c r="F2096" s="6" t="n">
        <x:v>0</x:v>
      </x:c>
      <x:c r="G2096" s="6" t="n">
        <x:v>1</x:v>
      </x:c>
      <x:c r="H2096" s="9" t="str">
        <x:v>07-09-2012</x:v>
      </x:c>
      <x:c r="I2096" s="6" t="n">
        <x:v>5</x:v>
      </x:c>
      <x:c r="J2096" s="6" t="n">
        <x:v>520</x:v>
      </x:c>
      <x:c r="K2096" s="6" t="n">
        <x:v>8</x:v>
      </x:c>
      <x:c r="L2096" s="6" t="n">
        <x:v>223</x:v>
      </x:c>
      <x:c r="M2096" s="6" t="n">
        <x:v>32</x:v>
      </x:c>
      <x:c r="N2096" s="6" t="n">
        <x:v>49</x:v>
      </x:c>
      <x:c r="O2096" s="6" t="n">
        <x:v>42</x:v>
      </x:c>
      <x:c r="P2096" s="6" t="n">
        <x:v>4</x:v>
      </x:c>
      <x:c r="Q2096" s="6" t="n">
        <x:v>10</x:v>
      </x:c>
      <x:c r="R2096" s="6" t="n">
        <x:v>5</x:v>
      </x:c>
      <x:c r="S2096" s="6" t="n">
        <x:v>7</x:v>
      </x:c>
      <x:c r="T2096" s="6" t="n">
        <x:v>8</x:v>
      </x:c>
      <x:c r="U2096" s="6" t="n">
        <x:v>1</x:v>
      </x:c>
      <x:c r="V2096" s="6" t="n">
        <x:v>0</x:v>
      </x:c>
      <x:c r="W2096" s="6" t="n">
        <x:v>0</x:v>
      </x:c>
      <x:c r="X2096" s="6" t="n">
        <x:v>0</x:v>
      </x:c>
      <x:c r="Y2096" s="6" t="n">
        <x:v>0</x:v>
      </x:c>
      <x:c r="Z2096" s="6" t="n">
        <x:v>0</x:v>
      </x:c>
      <x:c r="AA2096" s="6" t="n">
        <x:v>3</x:v>
      </x:c>
      <x:c r="AB2096" s="6" t="n">
        <x:v>11</x:v>
      </x:c>
      <x:c r="AC2096" s="6" t="n">
        <x:v>1</x:v>
      </x:c>
    </x:row>
    <x:row r="2097">
      <x:c r="A2097" s="6" t="n">
        <x:v>11031</x:v>
      </x:c>
      <x:c r="B2097" s="6" t="n">
        <x:v>1950</x:v>
      </x:c>
      <x:c r="C2097" s="6" t="str">
        <x:v>PhD</x:v>
      </x:c>
      <x:c r="D2097" s="6" t="str">
        <x:v>Married</x:v>
      </x:c>
      <x:c r="E2097" s="6" t="n">
        <x:v>48699</x:v>
      </x:c>
      <x:c r="F2097" s="6" t="n">
        <x:v>1</x:v>
      </x:c>
      <x:c r="G2097" s="6" t="n">
        <x:v>1</x:v>
      </x:c>
      <x:c r="H2097" s="9" t="str">
        <x:v>21-05-2013</x:v>
      </x:c>
      <x:c r="I2097" s="6" t="n">
        <x:v>90</x:v>
      </x:c>
      <x:c r="J2097" s="6" t="n">
        <x:v>26</x:v>
      </x:c>
      <x:c r="K2097" s="6" t="n">
        <x:v>1</x:v>
      </x:c>
      <x:c r="L2097" s="6" t="n">
        <x:v>10</x:v>
      </x:c>
      <x:c r="M2097" s="6" t="n">
        <x:v>2</x:v>
      </x:c>
      <x:c r="N2097" s="6" t="n">
        <x:v>0</x:v>
      </x:c>
      <x:c r="O2097" s="6" t="n">
        <x:v>1</x:v>
      </x:c>
      <x:c r="P2097" s="6" t="n">
        <x:v>1</x:v>
      </x:c>
      <x:c r="Q2097" s="6" t="n">
        <x:v>1</x:v>
      </x:c>
      <x:c r="R2097" s="6" t="n">
        <x:v>0</x:v>
      </x:c>
      <x:c r="S2097" s="6" t="n">
        <x:v>3</x:v>
      </x:c>
      <x:c r="T2097" s="6" t="n">
        <x:v>5</x:v>
      </x:c>
      <x:c r="U2097" s="6" t="n">
        <x:v>0</x:v>
      </x:c>
      <x:c r="V2097" s="6" t="n">
        <x:v>0</x:v>
      </x:c>
      <x:c r="W2097" s="6" t="n">
        <x:v>0</x:v>
      </x:c>
      <x:c r="X2097" s="6" t="n">
        <x:v>0</x:v>
      </x:c>
      <x:c r="Y2097" s="6" t="n">
        <x:v>0</x:v>
      </x:c>
      <x:c r="Z2097" s="6" t="n">
        <x:v>0</x:v>
      </x:c>
      <x:c r="AA2097" s="6" t="n">
        <x:v>3</x:v>
      </x:c>
      <x:c r="AB2097" s="6" t="n">
        <x:v>11</x:v>
      </x:c>
      <x:c r="AC2097" s="6" t="n">
        <x:v>0</x:v>
      </x:c>
    </x:row>
    <x:row r="2098">
      <x:c r="A2098" s="6" t="n">
        <x:v>7428</x:v>
      </x:c>
      <x:c r="B2098" s="6" t="n">
        <x:v>1975</x:v>
      </x:c>
      <x:c r="C2098" s="6" t="str">
        <x:v>Graduation</x:v>
      </x:c>
      <x:c r="D2098" s="6" t="str">
        <x:v>Together</x:v>
      </x:c>
      <x:c r="E2098" s="6" t="n">
        <x:v>80144</x:v>
      </x:c>
      <x:c r="F2098" s="6" t="n">
        <x:v>0</x:v>
      </x:c>
      <x:c r="G2098" s="6" t="n">
        <x:v>0</x:v>
      </x:c>
      <x:c r="H2098" s="9" t="str">
        <x:v>30-09-2013</x:v>
      </x:c>
      <x:c r="I2098" s="6" t="n">
        <x:v>47</x:v>
      </x:c>
      <x:c r="J2098" s="6" t="n">
        <x:v>240</x:v>
      </x:c>
      <x:c r="K2098" s="6" t="n">
        <x:v>132</x:v>
      </x:c>
      <x:c r="L2098" s="6" t="n">
        <x:v>445</x:v>
      </x:c>
      <x:c r="M2098" s="6" t="n">
        <x:v>250</x:v>
      </x:c>
      <x:c r="N2098" s="6" t="n">
        <x:v>192</x:v>
      </x:c>
      <x:c r="O2098" s="6" t="n">
        <x:v>108</x:v>
      </x:c>
      <x:c r="P2098" s="6" t="n">
        <x:v>1</x:v>
      </x:c>
      <x:c r="Q2098" s="6" t="n">
        <x:v>3</x:v>
      </x:c>
      <x:c r="R2098" s="6" t="n">
        <x:v>7</x:v>
      </x:c>
      <x:c r="S2098" s="6" t="n">
        <x:v>8</x:v>
      </x:c>
      <x:c r="T2098" s="6" t="n">
        <x:v>1</x:v>
      </x:c>
      <x:c r="U2098" s="6" t="n">
        <x:v>0</x:v>
      </x:c>
      <x:c r="V2098" s="6" t="n">
        <x:v>0</x:v>
      </x:c>
      <x:c r="W2098" s="6" t="n">
        <x:v>0</x:v>
      </x:c>
      <x:c r="X2098" s="6" t="n">
        <x:v>0</x:v>
      </x:c>
      <x:c r="Y2098" s="6" t="n">
        <x:v>0</x:v>
      </x:c>
      <x:c r="Z2098" s="6" t="n">
        <x:v>0</x:v>
      </x:c>
      <x:c r="AA2098" s="6" t="n">
        <x:v>3</x:v>
      </x:c>
      <x:c r="AB2098" s="6" t="n">
        <x:v>11</x:v>
      </x:c>
      <x:c r="AC2098" s="6" t="n">
        <x:v>0</x:v>
      </x:c>
    </x:row>
    <x:row r="2099">
      <x:c r="A2099" s="6" t="n">
        <x:v>975</x:v>
      </x:c>
      <x:c r="B2099" s="6" t="n">
        <x:v>1956</x:v>
      </x:c>
      <x:c r="C2099" s="6" t="str">
        <x:v>Graduation</x:v>
      </x:c>
      <x:c r="D2099" s="6" t="str">
        <x:v>Single</x:v>
      </x:c>
      <x:c r="E2099" s="6" t="n">
        <x:v>54252</x:v>
      </x:c>
      <x:c r="F2099" s="6" t="n">
        <x:v>1</x:v>
      </x:c>
      <x:c r="G2099" s="6" t="n">
        <x:v>1</x:v>
      </x:c>
      <x:c r="H2099" s="9" t="str">
        <x:v>28-05-2013</x:v>
      </x:c>
      <x:c r="I2099" s="6" t="n">
        <x:v>25</x:v>
      </x:c>
      <x:c r="J2099" s="6" t="n">
        <x:v>178</x:v>
      </x:c>
      <x:c r="K2099" s="6" t="n">
        <x:v>4</x:v>
      </x:c>
      <x:c r="L2099" s="6" t="n">
        <x:v>26</x:v>
      </x:c>
      <x:c r="M2099" s="6" t="n">
        <x:v>8</x:v>
      </x:c>
      <x:c r="N2099" s="6" t="n">
        <x:v>4</x:v>
      </x:c>
      <x:c r="O2099" s="6" t="n">
        <x:v>44</x:v>
      </x:c>
      <x:c r="P2099" s="6" t="n">
        <x:v>5</x:v>
      </x:c>
      <x:c r="Q2099" s="6" t="n">
        <x:v>4</x:v>
      </x:c>
      <x:c r="R2099" s="6" t="n">
        <x:v>1</x:v>
      </x:c>
      <x:c r="S2099" s="6" t="n">
        <x:v>5</x:v>
      </x:c>
      <x:c r="T2099" s="6" t="n">
        <x:v>6</x:v>
      </x:c>
      <x:c r="U2099" s="6" t="n">
        <x:v>0</x:v>
      </x:c>
      <x:c r="V2099" s="6" t="n">
        <x:v>0</x:v>
      </x:c>
      <x:c r="W2099" s="6" t="n">
        <x:v>0</x:v>
      </x:c>
      <x:c r="X2099" s="6" t="n">
        <x:v>0</x:v>
      </x:c>
      <x:c r="Y2099" s="6" t="n">
        <x:v>0</x:v>
      </x:c>
      <x:c r="Z2099" s="6" t="n">
        <x:v>0</x:v>
      </x:c>
      <x:c r="AA2099" s="6" t="n">
        <x:v>3</x:v>
      </x:c>
      <x:c r="AB2099" s="6" t="n">
        <x:v>11</x:v>
      </x:c>
      <x:c r="AC2099" s="6" t="n">
        <x:v>0</x:v>
      </x:c>
    </x:row>
    <x:row r="2100">
      <x:c r="A2100" s="6" t="n">
        <x:v>1103</x:v>
      </x:c>
      <x:c r="B2100" s="6" t="n">
        <x:v>1976</x:v>
      </x:c>
      <x:c r="C2100" s="6" t="str">
        <x:v>Master</x:v>
      </x:c>
      <x:c r="D2100" s="6" t="str">
        <x:v>Married</x:v>
      </x:c>
      <x:c r="E2100" s="6" t="n">
        <x:v>81929</x:v>
      </x:c>
      <x:c r="F2100" s="6" t="n">
        <x:v>1</x:v>
      </x:c>
      <x:c r="G2100" s="6" t="n">
        <x:v>0</x:v>
      </x:c>
      <x:c r="H2100" s="9" t="str">
        <x:v>29-09-2012</x:v>
      </x:c>
      <x:c r="I2100" s="6" t="n">
        <x:v>60</x:v>
      </x:c>
      <x:c r="J2100" s="6" t="n">
        <x:v>1486</x:v>
      </x:c>
      <x:c r="K2100" s="6" t="n">
        <x:v>55</x:v>
      </x:c>
      <x:c r="L2100" s="6" t="n">
        <x:v>278</x:v>
      </x:c>
      <x:c r="M2100" s="6" t="n">
        <x:v>49</x:v>
      </x:c>
      <x:c r="N2100" s="6" t="n">
        <x:v>0</x:v>
      </x:c>
      <x:c r="O2100" s="6" t="n">
        <x:v>185</x:v>
      </x:c>
      <x:c r="P2100" s="6" t="n">
        <x:v>2</x:v>
      </x:c>
      <x:c r="Q2100" s="6" t="n">
        <x:v>4</x:v>
      </x:c>
      <x:c r="R2100" s="6" t="n">
        <x:v>4</x:v>
      </x:c>
      <x:c r="S2100" s="6" t="n">
        <x:v>10</x:v>
      </x:c>
      <x:c r="T2100" s="6" t="n">
        <x:v>6</x:v>
      </x:c>
      <x:c r="U2100" s="6" t="n">
        <x:v>1</x:v>
      </x:c>
      <x:c r="V2100" s="6" t="n">
        <x:v>0</x:v>
      </x:c>
      <x:c r="W2100" s="6" t="n">
        <x:v>1</x:v>
      </x:c>
      <x:c r="X2100" s="6" t="n">
        <x:v>0</x:v>
      </x:c>
      <x:c r="Y2100" s="6" t="n">
        <x:v>0</x:v>
      </x:c>
      <x:c r="Z2100" s="6" t="n">
        <x:v>0</x:v>
      </x:c>
      <x:c r="AA2100" s="6" t="n">
        <x:v>3</x:v>
      </x:c>
      <x:c r="AB2100" s="6" t="n">
        <x:v>11</x:v>
      </x:c>
      <x:c r="AC2100" s="6" t="n">
        <x:v>1</x:v>
      </x:c>
    </x:row>
    <x:row r="2101">
      <x:c r="A2101" s="6" t="n">
        <x:v>3422</x:v>
      </x:c>
      <x:c r="B2101" s="6" t="n">
        <x:v>1975</x:v>
      </x:c>
      <x:c r="C2101" s="6" t="str">
        <x:v>Graduation</x:v>
      </x:c>
      <x:c r="D2101" s="6" t="str">
        <x:v>Married</x:v>
      </x:c>
      <x:c r="E2101" s="6" t="n">
        <x:v>76068</x:v>
      </x:c>
      <x:c r="F2101" s="6" t="n">
        <x:v>0</x:v>
      </x:c>
      <x:c r="G2101" s="6" t="n">
        <x:v>1</x:v>
      </x:c>
      <x:c r="H2101" s="9" t="str">
        <x:v>29-11-2012</x:v>
      </x:c>
      <x:c r="I2101" s="6" t="n">
        <x:v>67</x:v>
      </x:c>
      <x:c r="J2101" s="6" t="n">
        <x:v>1115</x:v>
      </x:c>
      <x:c r="K2101" s="6" t="n">
        <x:v>12</x:v>
      </x:c>
      <x:c r="L2101" s="6" t="n">
        <x:v>128</x:v>
      </x:c>
      <x:c r="M2101" s="6" t="n">
        <x:v>33</x:v>
      </x:c>
      <x:c r="N2101" s="6" t="n">
        <x:v>12</x:v>
      </x:c>
      <x:c r="O2101" s="6" t="n">
        <x:v>76</x:v>
      </x:c>
      <x:c r="P2101" s="6" t="n">
        <x:v>1</x:v>
      </x:c>
      <x:c r="Q2101" s="6" t="n">
        <x:v>2</x:v>
      </x:c>
      <x:c r="R2101" s="6" t="n">
        <x:v>3</x:v>
      </x:c>
      <x:c r="S2101" s="6" t="n">
        <x:v>4</x:v>
      </x:c>
      <x:c r="T2101" s="6" t="n">
        <x:v>6</x:v>
      </x:c>
      <x:c r="U2101" s="6" t="n">
        <x:v>0</x:v>
      </x:c>
      <x:c r="V2101" s="6" t="n">
        <x:v>1</x:v>
      </x:c>
      <x:c r="W2101" s="6" t="n">
        <x:v>0</x:v>
      </x:c>
      <x:c r="X2101" s="6" t="n">
        <x:v>0</x:v>
      </x:c>
      <x:c r="Y2101" s="6" t="n">
        <x:v>1</x:v>
      </x:c>
      <x:c r="Z2101" s="6" t="n">
        <x:v>0</x:v>
      </x:c>
      <x:c r="AA2101" s="6" t="n">
        <x:v>3</x:v>
      </x:c>
      <x:c r="AB2101" s="6" t="n">
        <x:v>11</x:v>
      </x:c>
      <x:c r="AC2101" s="6" t="n">
        <x:v>0</x:v>
      </x:c>
    </x:row>
    <x:row r="2102">
      <x:c r="A2102" s="6" t="n">
        <x:v>1055</x:v>
      </x:c>
      <x:c r="B2102" s="6" t="n">
        <x:v>1976</x:v>
      </x:c>
      <x:c r="C2102" s="6" t="str">
        <x:v>Master</x:v>
      </x:c>
      <x:c r="D2102" s="6" t="str">
        <x:v>Married</x:v>
      </x:c>
      <x:c r="E2102" s="6" t="n">
        <x:v>53204</x:v>
      </x:c>
      <x:c r="F2102" s="6" t="n">
        <x:v>1</x:v>
      </x:c>
      <x:c r="G2102" s="6" t="n">
        <x:v>1</x:v>
      </x:c>
      <x:c r="H2102" s="9" t="str">
        <x:v>20-03-2014</x:v>
      </x:c>
      <x:c r="I2102" s="6" t="n">
        <x:v>40</x:v>
      </x:c>
      <x:c r="J2102" s="6" t="n">
        <x:v>29</x:v>
      </x:c>
      <x:c r="K2102" s="6" t="n">
        <x:v>0</x:v>
      </x:c>
      <x:c r="L2102" s="6" t="n">
        <x:v>8</x:v>
      </x:c>
      <x:c r="M2102" s="6" t="n">
        <x:v>2</x:v>
      </x:c>
      <x:c r="N2102" s="6" t="n">
        <x:v>0</x:v>
      </x:c>
      <x:c r="O2102" s="6" t="n">
        <x:v>6</x:v>
      </x:c>
      <x:c r="P2102" s="6" t="n">
        <x:v>1</x:v>
      </x:c>
      <x:c r="Q2102" s="6" t="n">
        <x:v>1</x:v>
      </x:c>
      <x:c r="R2102" s="6" t="n">
        <x:v>0</x:v>
      </x:c>
      <x:c r="S2102" s="6" t="n">
        <x:v>3</x:v>
      </x:c>
      <x:c r="T2102" s="6" t="n">
        <x:v>4</x:v>
      </x:c>
      <x:c r="U2102" s="6" t="n">
        <x:v>0</x:v>
      </x:c>
      <x:c r="V2102" s="6" t="n">
        <x:v>0</x:v>
      </x:c>
      <x:c r="W2102" s="6" t="n">
        <x:v>0</x:v>
      </x:c>
      <x:c r="X2102" s="6" t="n">
        <x:v>0</x:v>
      </x:c>
      <x:c r="Y2102" s="6" t="n">
        <x:v>0</x:v>
      </x:c>
      <x:c r="Z2102" s="6" t="n">
        <x:v>0</x:v>
      </x:c>
      <x:c r="AA2102" s="6" t="n">
        <x:v>3</x:v>
      </x:c>
      <x:c r="AB2102" s="6" t="n">
        <x:v>11</x:v>
      </x:c>
      <x:c r="AC2102" s="6" t="n">
        <x:v>0</x:v>
      </x:c>
    </x:row>
    <x:row r="2103">
      <x:c r="A2103" s="6" t="n">
        <x:v>6544</x:v>
      </x:c>
      <x:c r="B2103" s="6" t="n">
        <x:v>1949</x:v>
      </x:c>
      <x:c r="C2103" s="6" t="str">
        <x:v>PhD</x:v>
      </x:c>
      <x:c r="D2103" s="6" t="str">
        <x:v>Together</x:v>
      </x:c>
      <x:c r="E2103" s="6" t="n">
        <x:v>67911</x:v>
      </x:c>
      <x:c r="F2103" s="6" t="n">
        <x:v>0</x:v>
      </x:c>
      <x:c r="G2103" s="6" t="n">
        <x:v>1</x:v>
      </x:c>
      <x:c r="H2103" s="9" t="str">
        <x:v>22-05-2014</x:v>
      </x:c>
      <x:c r="I2103" s="6" t="n">
        <x:v>63</x:v>
      </x:c>
      <x:c r="J2103" s="6" t="n">
        <x:v>529</x:v>
      </x:c>
      <x:c r="K2103" s="6" t="n">
        <x:v>0</x:v>
      </x:c>
      <x:c r="L2103" s="6" t="n">
        <x:v>356</x:v>
      </x:c>
      <x:c r="M2103" s="6" t="n">
        <x:v>63</x:v>
      </x:c>
      <x:c r="N2103" s="6" t="n">
        <x:v>28</x:v>
      </x:c>
      <x:c r="O2103" s="6" t="n">
        <x:v>0</x:v>
      </x:c>
      <x:c r="P2103" s="6" t="n">
        <x:v>3</x:v>
      </x:c>
      <x:c r="Q2103" s="6" t="n">
        <x:v>6</x:v>
      </x:c>
      <x:c r="R2103" s="6" t="n">
        <x:v>7</x:v>
      </x:c>
      <x:c r="S2103" s="6" t="n">
        <x:v>11</x:v>
      </x:c>
      <x:c r="T2103" s="6" t="n">
        <x:v>3</x:v>
      </x:c>
      <x:c r="U2103" s="6" t="n">
        <x:v>0</x:v>
      </x:c>
      <x:c r="V2103" s="6" t="n">
        <x:v>0</x:v>
      </x:c>
      <x:c r="W2103" s="6" t="n">
        <x:v>0</x:v>
      </x:c>
      <x:c r="X2103" s="6" t="n">
        <x:v>0</x:v>
      </x:c>
      <x:c r="Y2103" s="6" t="n">
        <x:v>0</x:v>
      </x:c>
      <x:c r="Z2103" s="6" t="n">
        <x:v>0</x:v>
      </x:c>
      <x:c r="AA2103" s="6" t="n">
        <x:v>3</x:v>
      </x:c>
      <x:c r="AB2103" s="6" t="n">
        <x:v>11</x:v>
      </x:c>
      <x:c r="AC2103" s="6" t="n">
        <x:v>0</x:v>
      </x:c>
    </x:row>
    <x:row r="2104">
      <x:c r="A2104" s="6" t="n">
        <x:v>1241</x:v>
      </x:c>
      <x:c r="B2104" s="6" t="n">
        <x:v>1984</x:v>
      </x:c>
      <x:c r="C2104" s="6" t="str">
        <x:v>2n Cycle</x:v>
      </x:c>
      <x:c r="D2104" s="6" t="str">
        <x:v>Married</x:v>
      </x:c>
      <x:c r="E2104" s="6" t="n">
        <x:v>14796</x:v>
      </x:c>
      <x:c r="F2104" s="6" t="n">
        <x:v>1</x:v>
      </x:c>
      <x:c r="G2104" s="6" t="n">
        <x:v>0</x:v>
      </x:c>
      <x:c r="H2104" s="9" t="str">
        <x:v>17-09-2012</x:v>
      </x:c>
      <x:c r="I2104" s="6" t="n">
        <x:v>1</x:v>
      </x:c>
      <x:c r="J2104" s="6" t="n">
        <x:v>13</x:v>
      </x:c>
      <x:c r="K2104" s="6" t="n">
        <x:v>3</x:v>
      </x:c>
      <x:c r="L2104" s="6" t="n">
        <x:v>8</x:v>
      </x:c>
      <x:c r="M2104" s="6" t="n">
        <x:v>7</x:v>
      </x:c>
      <x:c r="N2104" s="6" t="n">
        <x:v>4</x:v>
      </x:c>
      <x:c r="O2104" s="6" t="n">
        <x:v>16</x:v>
      </x:c>
      <x:c r="P2104" s="6" t="n">
        <x:v>2</x:v>
      </x:c>
      <x:c r="Q2104" s="6" t="n">
        <x:v>1</x:v>
      </x:c>
      <x:c r="R2104" s="6" t="n">
        <x:v>0</x:v>
      </x:c>
      <x:c r="S2104" s="6" t="n">
        <x:v>3</x:v>
      </x:c>
      <x:c r="T2104" s="6" t="n">
        <x:v>9</x:v>
      </x:c>
      <x:c r="U2104" s="6" t="n">
        <x:v>0</x:v>
      </x:c>
      <x:c r="V2104" s="6" t="n">
        <x:v>0</x:v>
      </x:c>
      <x:c r="W2104" s="6" t="n">
        <x:v>0</x:v>
      </x:c>
      <x:c r="X2104" s="6" t="n">
        <x:v>0</x:v>
      </x:c>
      <x:c r="Y2104" s="6" t="n">
        <x:v>0</x:v>
      </x:c>
      <x:c r="Z2104" s="6" t="n">
        <x:v>0</x:v>
      </x:c>
      <x:c r="AA2104" s="6" t="n">
        <x:v>3</x:v>
      </x:c>
      <x:c r="AB2104" s="6" t="n">
        <x:v>11</x:v>
      </x:c>
      <x:c r="AC2104" s="6" t="n">
        <x:v>1</x:v>
      </x:c>
    </x:row>
    <x:row r="2105">
      <x:c r="A2105" s="6" t="n">
        <x:v>2909</x:v>
      </x:c>
      <x:c r="B2105" s="6" t="n">
        <x:v>1974</x:v>
      </x:c>
      <x:c r="C2105" s="6" t="str">
        <x:v>PhD</x:v>
      </x:c>
      <x:c r="D2105" s="6" t="str">
        <x:v>Married</x:v>
      </x:c>
      <x:c r="E2105" s="6" t="n">
        <x:v>78128</x:v>
      </x:c>
      <x:c r="F2105" s="6" t="n">
        <x:v>0</x:v>
      </x:c>
      <x:c r="G2105" s="6" t="n">
        <x:v>1</x:v>
      </x:c>
      <x:c r="H2105" s="9" t="str">
        <x:v>19-02-2014</x:v>
      </x:c>
      <x:c r="I2105" s="6" t="n">
        <x:v>89</x:v>
      </x:c>
      <x:c r="J2105" s="6" t="n">
        <x:v>934</x:v>
      </x:c>
      <x:c r="K2105" s="6" t="n">
        <x:v>24</x:v>
      </x:c>
      <x:c r="L2105" s="6" t="n">
        <x:v>230</x:v>
      </x:c>
      <x:c r="M2105" s="6" t="n">
        <x:v>16</x:v>
      </x:c>
      <x:c r="N2105" s="6" t="n">
        <x:v>24</x:v>
      </x:c>
      <x:c r="O2105" s="6" t="n">
        <x:v>36</x:v>
      </x:c>
      <x:c r="P2105" s="6" t="n">
        <x:v>2</x:v>
      </x:c>
      <x:c r="Q2105" s="6" t="n">
        <x:v>8</x:v>
      </x:c>
      <x:c r="R2105" s="6" t="n">
        <x:v>4</x:v>
      </x:c>
      <x:c r="S2105" s="6" t="n">
        <x:v>6</x:v>
      </x:c>
      <x:c r="T2105" s="6" t="n">
        <x:v>3</x:v>
      </x:c>
      <x:c r="U2105" s="6" t="n">
        <x:v>0</x:v>
      </x:c>
      <x:c r="V2105" s="6" t="n">
        <x:v>1</x:v>
      </x:c>
      <x:c r="W2105" s="6" t="n">
        <x:v>1</x:v>
      </x:c>
      <x:c r="X2105" s="6" t="n">
        <x:v>0</x:v>
      </x:c>
      <x:c r="Y2105" s="6" t="n">
        <x:v>0</x:v>
      </x:c>
      <x:c r="Z2105" s="6" t="n">
        <x:v>0</x:v>
      </x:c>
      <x:c r="AA2105" s="6" t="n">
        <x:v>3</x:v>
      </x:c>
      <x:c r="AB2105" s="6" t="n">
        <x:v>11</x:v>
      </x:c>
      <x:c r="AC2105" s="6" t="n">
        <x:v>0</x:v>
      </x:c>
    </x:row>
    <x:row r="2106">
      <x:c r="A2106" s="6" t="n">
        <x:v>5802</x:v>
      </x:c>
      <x:c r="B2106" s="6" t="n">
        <x:v>1972</x:v>
      </x:c>
      <x:c r="C2106" s="6" t="str">
        <x:v>Basic</x:v>
      </x:c>
      <x:c r="D2106" s="6" t="str">
        <x:v>Married</x:v>
      </x:c>
      <x:c r="E2106" s="6" t="n">
        <x:v>14188</x:v>
      </x:c>
      <x:c r="F2106" s="6" t="n">
        <x:v>0</x:v>
      </x:c>
      <x:c r="G2106" s="6" t="n">
        <x:v>0</x:v>
      </x:c>
      <x:c r="H2106" s="9" t="str">
        <x:v>28-02-2013</x:v>
      </x:c>
      <x:c r="I2106" s="6" t="n">
        <x:v>40</x:v>
      </x:c>
      <x:c r="J2106" s="6" t="n">
        <x:v>2</x:v>
      </x:c>
      <x:c r="K2106" s="6" t="n">
        <x:v>7</x:v>
      </x:c>
      <x:c r="L2106" s="6" t="n">
        <x:v>11</x:v>
      </x:c>
      <x:c r="M2106" s="6" t="n">
        <x:v>16</x:v>
      </x:c>
      <x:c r="N2106" s="6" t="n">
        <x:v>12</x:v>
      </x:c>
      <x:c r="O2106" s="6" t="n">
        <x:v>27</x:v>
      </x:c>
      <x:c r="P2106" s="6" t="n">
        <x:v>1</x:v>
      </x:c>
      <x:c r="Q2106" s="6" t="n">
        <x:v>2</x:v>
      </x:c>
      <x:c r="R2106" s="6" t="n">
        <x:v>0</x:v>
      </x:c>
      <x:c r="S2106" s="6" t="n">
        <x:v>4</x:v>
      </x:c>
      <x:c r="T2106" s="6" t="n">
        <x:v>6</x:v>
      </x:c>
      <x:c r="U2106" s="6" t="n">
        <x:v>0</x:v>
      </x:c>
      <x:c r="V2106" s="6" t="n">
        <x:v>0</x:v>
      </x:c>
      <x:c r="W2106" s="6" t="n">
        <x:v>0</x:v>
      </x:c>
      <x:c r="X2106" s="6" t="n">
        <x:v>0</x:v>
      </x:c>
      <x:c r="Y2106" s="6" t="n">
        <x:v>0</x:v>
      </x:c>
      <x:c r="Z2106" s="6" t="n">
        <x:v>0</x:v>
      </x:c>
      <x:c r="AA2106" s="6" t="n">
        <x:v>3</x:v>
      </x:c>
      <x:c r="AB2106" s="6" t="n">
        <x:v>11</x:v>
      </x:c>
      <x:c r="AC2106" s="6" t="n">
        <x:v>0</x:v>
      </x:c>
    </x:row>
    <x:row r="2107">
      <x:c r="A2107" s="6" t="n">
        <x:v>1407</x:v>
      </x:c>
      <x:c r="B2107" s="6" t="n">
        <x:v>1986</x:v>
      </x:c>
      <x:c r="C2107" s="6" t="str">
        <x:v>Basic</x:v>
      </x:c>
      <x:c r="D2107" s="6" t="str">
        <x:v>Married</x:v>
      </x:c>
      <x:c r="E2107" s="6" t="n">
        <x:v>20425</x:v>
      </x:c>
      <x:c r="F2107" s="6" t="n">
        <x:v>1</x:v>
      </x:c>
      <x:c r="G2107" s="6" t="n">
        <x:v>0</x:v>
      </x:c>
      <x:c r="H2107" s="9" t="str">
        <x:v>29-10-2012</x:v>
      </x:c>
      <x:c r="I2107" s="6" t="n">
        <x:v>5</x:v>
      </x:c>
      <x:c r="J2107" s="6" t="n">
        <x:v>4</x:v>
      </x:c>
      <x:c r="K2107" s="6" t="n">
        <x:v>12</x:v>
      </x:c>
      <x:c r="L2107" s="6" t="n">
        <x:v>5</x:v>
      </x:c>
      <x:c r="M2107" s="6" t="n">
        <x:v>3</x:v>
      </x:c>
      <x:c r="N2107" s="6" t="n">
        <x:v>16</x:v>
      </x:c>
      <x:c r="O2107" s="6" t="n">
        <x:v>17</x:v>
      </x:c>
      <x:c r="P2107" s="6" t="n">
        <x:v>2</x:v>
      </x:c>
      <x:c r="Q2107" s="6" t="n">
        <x:v>2</x:v>
      </x:c>
      <x:c r="R2107" s="6" t="n">
        <x:v>0</x:v>
      </x:c>
      <x:c r="S2107" s="6" t="n">
        <x:v>3</x:v>
      </x:c>
      <x:c r="T2107" s="6" t="n">
        <x:v>7</x:v>
      </x:c>
      <x:c r="U2107" s="6" t="n">
        <x:v>0</x:v>
      </x:c>
      <x:c r="V2107" s="6" t="n">
        <x:v>0</x:v>
      </x:c>
      <x:c r="W2107" s="6" t="n">
        <x:v>0</x:v>
      </x:c>
      <x:c r="X2107" s="6" t="n">
        <x:v>0</x:v>
      </x:c>
      <x:c r="Y2107" s="6" t="n">
        <x:v>0</x:v>
      </x:c>
      <x:c r="Z2107" s="6" t="n">
        <x:v>0</x:v>
      </x:c>
      <x:c r="AA2107" s="6" t="n">
        <x:v>3</x:v>
      </x:c>
      <x:c r="AB2107" s="6" t="n">
        <x:v>11</x:v>
      </x:c>
      <x:c r="AC2107" s="6" t="n">
        <x:v>0</x:v>
      </x:c>
    </x:row>
    <x:row r="2108">
      <x:c r="A2108" s="6" t="n">
        <x:v>6183</x:v>
      </x:c>
      <x:c r="B2108" s="6" t="n">
        <x:v>1962</x:v>
      </x:c>
      <x:c r="C2108" s="6" t="str">
        <x:v>Master</x:v>
      </x:c>
      <x:c r="D2108" s="6" t="str">
        <x:v>Married</x:v>
      </x:c>
      <x:c r="E2108" s="6" t="n">
        <x:v>58646</x:v>
      </x:c>
      <x:c r="F2108" s="6" t="n">
        <x:v>0</x:v>
      </x:c>
      <x:c r="G2108" s="6" t="n">
        <x:v>1</x:v>
      </x:c>
      <x:c r="H2108" s="9" t="str">
        <x:v>10-06-2013</x:v>
      </x:c>
      <x:c r="I2108" s="6" t="n">
        <x:v>3</x:v>
      </x:c>
      <x:c r="J2108" s="6" t="n">
        <x:v>62</x:v>
      </x:c>
      <x:c r="K2108" s="6" t="n">
        <x:v>1</x:v>
      </x:c>
      <x:c r="L2108" s="6" t="n">
        <x:v>44</x:v>
      </x:c>
      <x:c r="M2108" s="6" t="n">
        <x:v>6</x:v>
      </x:c>
      <x:c r="N2108" s="6" t="n">
        <x:v>5</x:v>
      </x:c>
      <x:c r="O2108" s="6" t="n">
        <x:v>22</x:v>
      </x:c>
      <x:c r="P2108" s="6" t="n">
        <x:v>1</x:v>
      </x:c>
      <x:c r="Q2108" s="6" t="n">
        <x:v>2</x:v>
      </x:c>
      <x:c r="R2108" s="6" t="n">
        <x:v>1</x:v>
      </x:c>
      <x:c r="S2108" s="6" t="n">
        <x:v>4</x:v>
      </x:c>
      <x:c r="T2108" s="6" t="n">
        <x:v>4</x:v>
      </x:c>
      <x:c r="U2108" s="6" t="n">
        <x:v>0</x:v>
      </x:c>
      <x:c r="V2108" s="6" t="n">
        <x:v>0</x:v>
      </x:c>
      <x:c r="W2108" s="6" t="n">
        <x:v>0</x:v>
      </x:c>
      <x:c r="X2108" s="6" t="n">
        <x:v>0</x:v>
      </x:c>
      <x:c r="Y2108" s="6" t="n">
        <x:v>0</x:v>
      </x:c>
      <x:c r="Z2108" s="6" t="n">
        <x:v>0</x:v>
      </x:c>
      <x:c r="AA2108" s="6" t="n">
        <x:v>3</x:v>
      </x:c>
      <x:c r="AB2108" s="6" t="n">
        <x:v>11</x:v>
      </x:c>
      <x:c r="AC2108" s="6" t="n">
        <x:v>0</x:v>
      </x:c>
    </x:row>
    <x:row r="2109">
      <x:c r="A2109" s="6" t="n">
        <x:v>340</x:v>
      </x:c>
      <x:c r="B2109" s="6" t="n">
        <x:v>1970</x:v>
      </x:c>
      <x:c r="C2109" s="6" t="str">
        <x:v>Graduation</x:v>
      </x:c>
      <x:c r="D2109" s="6" t="str">
        <x:v>Divorced</x:v>
      </x:c>
      <x:c r="E2109" s="6" t="n">
        <x:v>72967</x:v>
      </x:c>
      <x:c r="F2109" s="6" t="n">
        <x:v>0</x:v>
      </x:c>
      <x:c r="G2109" s="6" t="n">
        <x:v>1</x:v>
      </x:c>
      <x:c r="H2109" s="9" t="str">
        <x:v>15-12-2012</x:v>
      </x:c>
      <x:c r="I2109" s="6" t="n">
        <x:v>1</x:v>
      </x:c>
      <x:c r="J2109" s="6" t="n">
        <x:v>158</x:v>
      </x:c>
      <x:c r="K2109" s="6" t="n">
        <x:v>35</x:v>
      </x:c>
      <x:c r="L2109" s="6" t="n">
        <x:v>179</x:v>
      </x:c>
      <x:c r="M2109" s="6" t="n">
        <x:v>0</x:v>
      </x:c>
      <x:c r="N2109" s="6" t="n">
        <x:v>0</x:v>
      </x:c>
      <x:c r="O2109" s="6" t="n">
        <x:v>125</x:v>
      </x:c>
      <x:c r="P2109" s="6" t="n">
        <x:v>2</x:v>
      </x:c>
      <x:c r="Q2109" s="6" t="n">
        <x:v>7</x:v>
      </x:c>
      <x:c r="R2109" s="6" t="n">
        <x:v>2</x:v>
      </x:c>
      <x:c r="S2109" s="6" t="n">
        <x:v>8</x:v>
      </x:c>
      <x:c r="T2109" s="6" t="n">
        <x:v>5</x:v>
      </x:c>
      <x:c r="U2109" s="6" t="n">
        <x:v>1</x:v>
      </x:c>
      <x:c r="V2109" s="6" t="n">
        <x:v>0</x:v>
      </x:c>
      <x:c r="W2109" s="6" t="n">
        <x:v>0</x:v>
      </x:c>
      <x:c r="X2109" s="6" t="n">
        <x:v>0</x:v>
      </x:c>
      <x:c r="Y2109" s="6" t="n">
        <x:v>0</x:v>
      </x:c>
      <x:c r="Z2109" s="6" t="n">
        <x:v>0</x:v>
      </x:c>
      <x:c r="AA2109" s="6" t="n">
        <x:v>3</x:v>
      </x:c>
      <x:c r="AB2109" s="6" t="n">
        <x:v>11</x:v>
      </x:c>
      <x:c r="AC2109" s="6" t="n">
        <x:v>1</x:v>
      </x:c>
    </x:row>
    <x:row r="2110">
      <x:c r="A2110" s="6" t="n">
        <x:v>5991</x:v>
      </x:c>
      <x:c r="B2110" s="6" t="n">
        <x:v>1949</x:v>
      </x:c>
      <x:c r="C2110" s="6" t="str">
        <x:v>Master</x:v>
      </x:c>
      <x:c r="D2110" s="6" t="str">
        <x:v>Married</x:v>
      </x:c>
      <x:c r="E2110" s="6" t="n">
        <x:v>48150</x:v>
      </x:c>
      <x:c r="F2110" s="6" t="n">
        <x:v>0</x:v>
      </x:c>
      <x:c r="G2110" s="6" t="n">
        <x:v>1</x:v>
      </x:c>
      <x:c r="H2110" s="9" t="str">
        <x:v>08-06-2013</x:v>
      </x:c>
      <x:c r="I2110" s="6" t="n">
        <x:v>24</x:v>
      </x:c>
      <x:c r="J2110" s="6" t="n">
        <x:v>173</x:v>
      </x:c>
      <x:c r="K2110" s="6" t="n">
        <x:v>2</x:v>
      </x:c>
      <x:c r="L2110" s="6" t="n">
        <x:v>39</x:v>
      </x:c>
      <x:c r="M2110" s="6" t="n">
        <x:v>3</x:v>
      </x:c>
      <x:c r="N2110" s="6" t="n">
        <x:v>2</x:v>
      </x:c>
      <x:c r="O2110" s="6" t="n">
        <x:v>47</x:v>
      </x:c>
      <x:c r="P2110" s="6" t="n">
        <x:v>3</x:v>
      </x:c>
      <x:c r="Q2110" s="6" t="n">
        <x:v>5</x:v>
      </x:c>
      <x:c r="R2110" s="6" t="n">
        <x:v>1</x:v>
      </x:c>
      <x:c r="S2110" s="6" t="n">
        <x:v>4</x:v>
      </x:c>
      <x:c r="T2110" s="6" t="n">
        <x:v>7</x:v>
      </x:c>
      <x:c r="U2110" s="6" t="n">
        <x:v>0</x:v>
      </x:c>
      <x:c r="V2110" s="6" t="n">
        <x:v>0</x:v>
      </x:c>
      <x:c r="W2110" s="6" t="n">
        <x:v>0</x:v>
      </x:c>
      <x:c r="X2110" s="6" t="n">
        <x:v>0</x:v>
      </x:c>
      <x:c r="Y2110" s="6" t="n">
        <x:v>0</x:v>
      </x:c>
      <x:c r="Z2110" s="6" t="n">
        <x:v>0</x:v>
      </x:c>
      <x:c r="AA2110" s="6" t="n">
        <x:v>3</x:v>
      </x:c>
      <x:c r="AB2110" s="6" t="n">
        <x:v>11</x:v>
      </x:c>
      <x:c r="AC2110" s="6" t="n">
        <x:v>0</x:v>
      </x:c>
    </x:row>
    <x:row r="2111">
      <x:c r="A2111" s="6" t="n">
        <x:v>3104</x:v>
      </x:c>
      <x:c r="B2111" s="6" t="n">
        <x:v>1961</x:v>
      </x:c>
      <x:c r="C2111" s="6" t="str">
        <x:v>Graduation</x:v>
      </x:c>
      <x:c r="D2111" s="6" t="str">
        <x:v>Single</x:v>
      </x:c>
      <x:c r="E2111" s="6" t="n">
        <x:v>82332</x:v>
      </x:c>
      <x:c r="F2111" s="6" t="n">
        <x:v>0</x:v>
      </x:c>
      <x:c r="G2111" s="6" t="n">
        <x:v>0</x:v>
      </x:c>
      <x:c r="H2111" s="9" t="str">
        <x:v>17-09-2012</x:v>
      </x:c>
      <x:c r="I2111" s="6" t="n">
        <x:v>89</x:v>
      </x:c>
      <x:c r="J2111" s="6" t="n">
        <x:v>830</x:v>
      </x:c>
      <x:c r="K2111" s="6" t="n">
        <x:v>59</x:v>
      </x:c>
      <x:c r="L2111" s="6" t="n">
        <x:v>968</x:v>
      </x:c>
      <x:c r="M2111" s="6" t="n">
        <x:v>51</x:v>
      </x:c>
      <x:c r="N2111" s="6" t="n">
        <x:v>79</x:v>
      </x:c>
      <x:c r="O2111" s="6" t="n">
        <x:v>19</x:v>
      </x:c>
      <x:c r="P2111" s="6" t="n">
        <x:v>1</x:v>
      </x:c>
      <x:c r="Q2111" s="6" t="n">
        <x:v>5</x:v>
      </x:c>
      <x:c r="R2111" s="6" t="n">
        <x:v>3</x:v>
      </x:c>
      <x:c r="S2111" s="6" t="n">
        <x:v>12</x:v>
      </x:c>
      <x:c r="T2111" s="6" t="n">
        <x:v>2</x:v>
      </x:c>
      <x:c r="U2111" s="6" t="n">
        <x:v>0</x:v>
      </x:c>
      <x:c r="V2111" s="6" t="n">
        <x:v>0</x:v>
      </x:c>
      <x:c r="W2111" s="6" t="n">
        <x:v>1</x:v>
      </x:c>
      <x:c r="X2111" s="6" t="n">
        <x:v>0</x:v>
      </x:c>
      <x:c r="Y2111" s="6" t="n">
        <x:v>0</x:v>
      </x:c>
      <x:c r="Z2111" s="6" t="n">
        <x:v>0</x:v>
      </x:c>
      <x:c r="AA2111" s="6" t="n">
        <x:v>3</x:v>
      </x:c>
      <x:c r="AB2111" s="6" t="n">
        <x:v>11</x:v>
      </x:c>
      <x:c r="AC2111" s="6" t="n">
        <x:v>1</x:v>
      </x:c>
    </x:row>
    <x:row r="2112">
      <x:c r="A2112" s="6" t="n">
        <x:v>9729</x:v>
      </x:c>
      <x:c r="B2112" s="6" t="n">
        <x:v>1955</x:v>
      </x:c>
      <x:c r="C2112" s="6" t="str">
        <x:v>Graduation</x:v>
      </x:c>
      <x:c r="D2112" s="6" t="str">
        <x:v>Widow</x:v>
      </x:c>
      <x:c r="E2112" s="6" t="n">
        <x:v>58275</x:v>
      </x:c>
      <x:c r="F2112" s="6" t="n">
        <x:v>1</x:v>
      </x:c>
      <x:c r="G2112" s="6" t="n">
        <x:v>1</x:v>
      </x:c>
      <x:c r="H2112" s="9" t="str">
        <x:v>02-06-2013</x:v>
      </x:c>
      <x:c r="I2112" s="6" t="n">
        <x:v>48</x:v>
      </x:c>
      <x:c r="J2112" s="6" t="n">
        <x:v>189</x:v>
      </x:c>
      <x:c r="K2112" s="6" t="n">
        <x:v>10</x:v>
      </x:c>
      <x:c r="L2112" s="6" t="n">
        <x:v>253</x:v>
      </x:c>
      <x:c r="M2112" s="6" t="n">
        <x:v>56</x:v>
      </x:c>
      <x:c r="N2112" s="6" t="n">
        <x:v>43</x:v>
      </x:c>
      <x:c r="O2112" s="6" t="n">
        <x:v>64</x:v>
      </x:c>
      <x:c r="P2112" s="6" t="n">
        <x:v>6</x:v>
      </x:c>
      <x:c r="Q2112" s="6" t="n">
        <x:v>8</x:v>
      </x:c>
      <x:c r="R2112" s="6" t="n">
        <x:v>2</x:v>
      </x:c>
      <x:c r="S2112" s="6" t="n">
        <x:v>7</x:v>
      </x:c>
      <x:c r="T2112" s="6" t="n">
        <x:v>7</x:v>
      </x:c>
      <x:c r="U2112" s="6" t="n">
        <x:v>0</x:v>
      </x:c>
      <x:c r="V2112" s="6" t="n">
        <x:v>0</x:v>
      </x:c>
      <x:c r="W2112" s="6" t="n">
        <x:v>0</x:v>
      </x:c>
      <x:c r="X2112" s="6" t="n">
        <x:v>0</x:v>
      </x:c>
      <x:c r="Y2112" s="6" t="n">
        <x:v>0</x:v>
      </x:c>
      <x:c r="Z2112" s="6" t="n">
        <x:v>0</x:v>
      </x:c>
      <x:c r="AA2112" s="6" t="n">
        <x:v>3</x:v>
      </x:c>
      <x:c r="AB2112" s="6" t="n">
        <x:v>11</x:v>
      </x:c>
      <x:c r="AC2112" s="6" t="n">
        <x:v>0</x:v>
      </x:c>
    </x:row>
    <x:row r="2113">
      <x:c r="A2113" s="6" t="n">
        <x:v>1008</x:v>
      </x:c>
      <x:c r="B2113" s="6" t="n">
        <x:v>1981</x:v>
      </x:c>
      <x:c r="C2113" s="6" t="str">
        <x:v>PhD</x:v>
      </x:c>
      <x:c r="D2113" s="6" t="str">
        <x:v>Together</x:v>
      </x:c>
      <x:c r="E2113" s="6" t="n">
        <x:v>44953</x:v>
      </x:c>
      <x:c r="F2113" s="6" t="n">
        <x:v>0</x:v>
      </x:c>
      <x:c r="G2113" s="6" t="n">
        <x:v>0</x:v>
      </x:c>
      <x:c r="H2113" s="9" t="str">
        <x:v>21-12-2012</x:v>
      </x:c>
      <x:c r="I2113" s="6" t="n">
        <x:v>31</x:v>
      </x:c>
      <x:c r="J2113" s="6" t="n">
        <x:v>728</x:v>
      </x:c>
      <x:c r="K2113" s="6" t="n">
        <x:v>17</x:v>
      </x:c>
      <x:c r="L2113" s="6" t="n">
        <x:v>133</x:v>
      </x:c>
      <x:c r="M2113" s="6" t="n">
        <x:v>11</x:v>
      </x:c>
      <x:c r="N2113" s="6" t="n">
        <x:v>8</x:v>
      </x:c>
      <x:c r="O2113" s="6" t="n">
        <x:v>124</x:v>
      </x:c>
      <x:c r="P2113" s="6" t="n">
        <x:v>1</x:v>
      </x:c>
      <x:c r="Q2113" s="6" t="n">
        <x:v>7</x:v>
      </x:c>
      <x:c r="R2113" s="6" t="n">
        <x:v>3</x:v>
      </x:c>
      <x:c r="S2113" s="6" t="n">
        <x:v>13</x:v>
      </x:c>
      <x:c r="T2113" s="6" t="n">
        <x:v>6</x:v>
      </x:c>
      <x:c r="U2113" s="6" t="n">
        <x:v>1</x:v>
      </x:c>
      <x:c r="V2113" s="6" t="n">
        <x:v>0</x:v>
      </x:c>
      <x:c r="W2113" s="6" t="n">
        <x:v>0</x:v>
      </x:c>
      <x:c r="X2113" s="6" t="n">
        <x:v>0</x:v>
      </x:c>
      <x:c r="Y2113" s="6" t="n">
        <x:v>0</x:v>
      </x:c>
      <x:c r="Z2113" s="6" t="n">
        <x:v>0</x:v>
      </x:c>
      <x:c r="AA2113" s="6" t="n">
        <x:v>3</x:v>
      </x:c>
      <x:c r="AB2113" s="6" t="n">
        <x:v>11</x:v>
      </x:c>
      <x:c r="AC2113" s="6" t="n">
        <x:v>0</x:v>
      </x:c>
    </x:row>
    <x:row r="2114">
      <x:c r="A2114" s="6" t="n">
        <x:v>11091</x:v>
      </x:c>
      <x:c r="B2114" s="6" t="n">
        <x:v>1953</x:v>
      </x:c>
      <x:c r="C2114" s="6" t="str">
        <x:v>Graduation</x:v>
      </x:c>
      <x:c r="D2114" s="6" t="str">
        <x:v>Together</x:v>
      </x:c>
      <x:c r="E2114" s="6" t="n">
        <x:v>34587</x:v>
      </x:c>
      <x:c r="F2114" s="6" t="n">
        <x:v>1</x:v>
      </x:c>
      <x:c r="G2114" s="6" t="n">
        <x:v>1</x:v>
      </x:c>
      <x:c r="H2114" s="9" t="str">
        <x:v>16-05-2014</x:v>
      </x:c>
      <x:c r="I2114" s="6" t="n">
        <x:v>68</x:v>
      </x:c>
      <x:c r="J2114" s="6" t="n">
        <x:v>7</x:v>
      </x:c>
      <x:c r="K2114" s="6" t="n">
        <x:v>2</x:v>
      </x:c>
      <x:c r="L2114" s="6" t="n">
        <x:v>9</x:v>
      </x:c>
      <x:c r="M2114" s="6" t="n">
        <x:v>2</x:v>
      </x:c>
      <x:c r="N2114" s="6" t="n">
        <x:v>0</x:v>
      </x:c>
      <x:c r="O2114" s="6" t="n">
        <x:v>2</x:v>
      </x:c>
      <x:c r="P2114" s="6" t="n">
        <x:v>2</x:v>
      </x:c>
      <x:c r="Q2114" s="6" t="n">
        <x:v>1</x:v>
      </x:c>
      <x:c r="R2114" s="6" t="n">
        <x:v>0</x:v>
      </x:c>
      <x:c r="S2114" s="6" t="n">
        <x:v>3</x:v>
      </x:c>
      <x:c r="T2114" s="6" t="n">
        <x:v>4</x:v>
      </x:c>
      <x:c r="U2114" s="6" t="n">
        <x:v>0</x:v>
      </x:c>
      <x:c r="V2114" s="6" t="n">
        <x:v>0</x:v>
      </x:c>
      <x:c r="W2114" s="6" t="n">
        <x:v>0</x:v>
      </x:c>
      <x:c r="X2114" s="6" t="n">
        <x:v>0</x:v>
      </x:c>
      <x:c r="Y2114" s="6" t="n">
        <x:v>0</x:v>
      </x:c>
      <x:c r="Z2114" s="6" t="n">
        <x:v>0</x:v>
      </x:c>
      <x:c r="AA2114" s="6" t="n">
        <x:v>3</x:v>
      </x:c>
      <x:c r="AB2114" s="6" t="n">
        <x:v>11</x:v>
      </x:c>
      <x:c r="AC2114" s="6" t="n">
        <x:v>0</x:v>
      </x:c>
    </x:row>
    <x:row r="2115">
      <x:c r="A2115" s="6" t="n">
        <x:v>3969</x:v>
      </x:c>
      <x:c r="B2115" s="6" t="n">
        <x:v>1974</x:v>
      </x:c>
      <x:c r="C2115" s="6" t="str">
        <x:v>Master</x:v>
      </x:c>
      <x:c r="D2115" s="6" t="str">
        <x:v>Together</x:v>
      </x:c>
      <x:c r="E2115" s="6" t="n">
        <x:v>43018</x:v>
      </x:c>
      <x:c r="F2115" s="6" t="n">
        <x:v>0</x:v>
      </x:c>
      <x:c r="G2115" s="6" t="n">
        <x:v>1</x:v>
      </x:c>
      <x:c r="H2115" s="9" t="str">
        <x:v>01-11-2013</x:v>
      </x:c>
      <x:c r="I2115" s="6" t="n">
        <x:v>46</x:v>
      </x:c>
      <x:c r="J2115" s="6" t="n">
        <x:v>35</x:v>
      </x:c>
      <x:c r="K2115" s="6" t="n">
        <x:v>4</x:v>
      </x:c>
      <x:c r="L2115" s="6" t="n">
        <x:v>17</x:v>
      </x:c>
      <x:c r="M2115" s="6" t="n">
        <x:v>7</x:v>
      </x:c>
      <x:c r="N2115" s="6" t="n">
        <x:v>6</x:v>
      </x:c>
      <x:c r="O2115" s="6" t="n">
        <x:v>64</x:v>
      </x:c>
      <x:c r="P2115" s="6" t="n">
        <x:v>1</x:v>
      </x:c>
      <x:c r="Q2115" s="6" t="n">
        <x:v>2</x:v>
      </x:c>
      <x:c r="R2115" s="6" t="n">
        <x:v>2</x:v>
      </x:c>
      <x:c r="S2115" s="6" t="n">
        <x:v>2</x:v>
      </x:c>
      <x:c r="T2115" s="6" t="n">
        <x:v>5</x:v>
      </x:c>
      <x:c r="U2115" s="6" t="n">
        <x:v>0</x:v>
      </x:c>
      <x:c r="V2115" s="6" t="n">
        <x:v>0</x:v>
      </x:c>
      <x:c r="W2115" s="6" t="n">
        <x:v>0</x:v>
      </x:c>
      <x:c r="X2115" s="6" t="n">
        <x:v>0</x:v>
      </x:c>
      <x:c r="Y2115" s="6" t="n">
        <x:v>0</x:v>
      </x:c>
      <x:c r="Z2115" s="6" t="n">
        <x:v>0</x:v>
      </x:c>
      <x:c r="AA2115" s="6" t="n">
        <x:v>3</x:v>
      </x:c>
      <x:c r="AB2115" s="6" t="n">
        <x:v>11</x:v>
      </x:c>
      <x:c r="AC2115" s="6" t="n">
        <x:v>0</x:v>
      </x:c>
    </x:row>
    <x:row r="2116">
      <x:c r="A2116" s="6" t="n">
        <x:v>1916</x:v>
      </x:c>
      <x:c r="B2116" s="6" t="n">
        <x:v>1954</x:v>
      </x:c>
      <x:c r="C2116" s="6" t="str">
        <x:v>Master</x:v>
      </x:c>
      <x:c r="D2116" s="6" t="str">
        <x:v>Married</x:v>
      </x:c>
      <x:c r="E2116" s="6" t="n">
        <x:v>45736</x:v>
      </x:c>
      <x:c r="F2116" s="6" t="n">
        <x:v>0</x:v>
      </x:c>
      <x:c r="G2116" s="6" t="n">
        <x:v>1</x:v>
      </x:c>
      <x:c r="H2116" s="9" t="str">
        <x:v>24-07-2013</x:v>
      </x:c>
      <x:c r="I2116" s="6" t="n">
        <x:v>92</x:v>
      </x:c>
      <x:c r="J2116" s="6" t="n">
        <x:v>188</x:v>
      </x:c>
      <x:c r="K2116" s="6" t="n">
        <x:v>3</x:v>
      </x:c>
      <x:c r="L2116" s="6" t="n">
        <x:v>180</x:v>
      </x:c>
      <x:c r="M2116" s="6" t="n">
        <x:v>20</x:v>
      </x:c>
      <x:c r="N2116" s="6" t="n">
        <x:v>3</x:v>
      </x:c>
      <x:c r="O2116" s="6" t="n">
        <x:v>43</x:v>
      </x:c>
      <x:c r="P2116" s="6" t="n">
        <x:v>5</x:v>
      </x:c>
      <x:c r="Q2116" s="6" t="n">
        <x:v>7</x:v>
      </x:c>
      <x:c r="R2116" s="6" t="n">
        <x:v>1</x:v>
      </x:c>
      <x:c r="S2116" s="6" t="n">
        <x:v>6</x:v>
      </x:c>
      <x:c r="T2116" s="6" t="n">
        <x:v>7</x:v>
      </x:c>
      <x:c r="U2116" s="6" t="n">
        <x:v>0</x:v>
      </x:c>
      <x:c r="V2116" s="6" t="n">
        <x:v>0</x:v>
      </x:c>
      <x:c r="W2116" s="6" t="n">
        <x:v>0</x:v>
      </x:c>
      <x:c r="X2116" s="6" t="n">
        <x:v>0</x:v>
      </x:c>
      <x:c r="Y2116" s="6" t="n">
        <x:v>0</x:v>
      </x:c>
      <x:c r="Z2116" s="6" t="n">
        <x:v>0</x:v>
      </x:c>
      <x:c r="AA2116" s="6" t="n">
        <x:v>3</x:v>
      </x:c>
      <x:c r="AB2116" s="6" t="n">
        <x:v>11</x:v>
      </x:c>
      <x:c r="AC2116" s="6" t="n">
        <x:v>0</x:v>
      </x:c>
    </x:row>
    <x:row r="2117">
      <x:c r="A2117" s="6" t="n">
        <x:v>9907</x:v>
      </x:c>
      <x:c r="B2117" s="6" t="n">
        <x:v>1969</x:v>
      </x:c>
      <x:c r="C2117" s="6" t="str">
        <x:v>Master</x:v>
      </x:c>
      <x:c r="D2117" s="6" t="str">
        <x:v>Together</x:v>
      </x:c>
      <x:c r="E2117" s="6" t="n">
        <x:v>66476</x:v>
      </x:c>
      <x:c r="F2117" s="6" t="n">
        <x:v>0</x:v>
      </x:c>
      <x:c r="G2117" s="6" t="n">
        <x:v>1</x:v>
      </x:c>
      <x:c r="H2117" s="9" t="str">
        <x:v>04-12-2013</x:v>
      </x:c>
      <x:c r="I2117" s="6" t="n">
        <x:v>80</x:v>
      </x:c>
      <x:c r="J2117" s="6" t="n">
        <x:v>742</x:v>
      </x:c>
      <x:c r="K2117" s="6" t="n">
        <x:v>28</x:v>
      </x:c>
      <x:c r="L2117" s="6" t="n">
        <x:v>152</x:v>
      </x:c>
      <x:c r="M2117" s="6" t="n">
        <x:v>25</x:v>
      </x:c>
      <x:c r="N2117" s="6" t="n">
        <x:v>9</x:v>
      </x:c>
      <x:c r="O2117" s="6" t="n">
        <x:v>57</x:v>
      </x:c>
      <x:c r="P2117" s="6" t="n">
        <x:v>2</x:v>
      </x:c>
      <x:c r="Q2117" s="6" t="n">
        <x:v>6</x:v>
      </x:c>
      <x:c r="R2117" s="6" t="n">
        <x:v>8</x:v>
      </x:c>
      <x:c r="S2117" s="6" t="n">
        <x:v>10</x:v>
      </x:c>
      <x:c r="T2117" s="6" t="n">
        <x:v>4</x:v>
      </x:c>
      <x:c r="U2117" s="6" t="n">
        <x:v>0</x:v>
      </x:c>
      <x:c r="V2117" s="6" t="n">
        <x:v>0</x:v>
      </x:c>
      <x:c r="W2117" s="6" t="n">
        <x:v>0</x:v>
      </x:c>
      <x:c r="X2117" s="6" t="n">
        <x:v>0</x:v>
      </x:c>
      <x:c r="Y2117" s="6" t="n">
        <x:v>0</x:v>
      </x:c>
      <x:c r="Z2117" s="6" t="n">
        <x:v>0</x:v>
      </x:c>
      <x:c r="AA2117" s="6" t="n">
        <x:v>3</x:v>
      </x:c>
      <x:c r="AB2117" s="6" t="n">
        <x:v>11</x:v>
      </x:c>
      <x:c r="AC2117" s="6" t="n">
        <x:v>0</x:v>
      </x:c>
    </x:row>
    <x:row r="2118">
      <x:c r="A2118" s="6" t="n">
        <x:v>87</x:v>
      </x:c>
      <x:c r="B2118" s="6" t="n">
        <x:v>1981</x:v>
      </x:c>
      <x:c r="C2118" s="6" t="str">
        <x:v>2n Cycle</x:v>
      </x:c>
      <x:c r="D2118" s="6" t="str">
        <x:v>Married</x:v>
      </x:c>
      <x:c r="E2118" s="6" t="n">
        <x:v>27733</x:v>
      </x:c>
      <x:c r="F2118" s="6" t="n">
        <x:v>1</x:v>
      </x:c>
      <x:c r="G2118" s="6" t="n">
        <x:v>0</x:v>
      </x:c>
      <x:c r="H2118" s="9" t="str">
        <x:v>26-08-2013</x:v>
      </x:c>
      <x:c r="I2118" s="6" t="n">
        <x:v>16</x:v>
      </x:c>
      <x:c r="J2118" s="6" t="n">
        <x:v>0</x:v>
      </x:c>
      <x:c r="K2118" s="6" t="n">
        <x:v>7</x:v>
      </x:c>
      <x:c r="L2118" s="6" t="n">
        <x:v>5</x:v>
      </x:c>
      <x:c r="M2118" s="6" t="n">
        <x:v>26</x:v>
      </x:c>
      <x:c r="N2118" s="6" t="n">
        <x:v>2</x:v>
      </x:c>
      <x:c r="O2118" s="6" t="n">
        <x:v>17</x:v>
      </x:c>
      <x:c r="P2118" s="6" t="n">
        <x:v>2</x:v>
      </x:c>
      <x:c r="Q2118" s="6" t="n">
        <x:v>2</x:v>
      </x:c>
      <x:c r="R2118" s="6" t="n">
        <x:v>0</x:v>
      </x:c>
      <x:c r="S2118" s="6" t="n">
        <x:v>3</x:v>
      </x:c>
      <x:c r="T2118" s="6" t="n">
        <x:v>7</x:v>
      </x:c>
      <x:c r="U2118" s="6" t="n">
        <x:v>0</x:v>
      </x:c>
      <x:c r="V2118" s="6" t="n">
        <x:v>0</x:v>
      </x:c>
      <x:c r="W2118" s="6" t="n">
        <x:v>0</x:v>
      </x:c>
      <x:c r="X2118" s="6" t="n">
        <x:v>0</x:v>
      </x:c>
      <x:c r="Y2118" s="6" t="n">
        <x:v>0</x:v>
      </x:c>
      <x:c r="Z2118" s="6" t="n">
        <x:v>0</x:v>
      </x:c>
      <x:c r="AA2118" s="6" t="n">
        <x:v>3</x:v>
      </x:c>
      <x:c r="AB2118" s="6" t="n">
        <x:v>11</x:v>
      </x:c>
      <x:c r="AC2118" s="6" t="n">
        <x:v>0</x:v>
      </x:c>
    </x:row>
    <x:row r="2119">
      <x:c r="A2119" s="6" t="n">
        <x:v>8659</x:v>
      </x:c>
      <x:c r="B2119" s="6" t="n">
        <x:v>1952</x:v>
      </x:c>
      <x:c r="C2119" s="6" t="str">
        <x:v>PhD</x:v>
      </x:c>
      <x:c r="D2119" s="6" t="str">
        <x:v>Together</x:v>
      </x:c>
      <x:c r="E2119" s="6" t="n">
        <x:v>69805</x:v>
      </x:c>
      <x:c r="F2119" s="6" t="n">
        <x:v>0</x:v>
      </x:c>
      <x:c r="G2119" s="6" t="n">
        <x:v>1</x:v>
      </x:c>
      <x:c r="H2119" s="9" t="str">
        <x:v>21-01-2014</x:v>
      </x:c>
      <x:c r="I2119" s="6" t="n">
        <x:v>50</x:v>
      </x:c>
      <x:c r="J2119" s="6" t="n">
        <x:v>750</x:v>
      </x:c>
      <x:c r="K2119" s="6" t="n">
        <x:v>71</x:v>
      </x:c>
      <x:c r="L2119" s="6" t="n">
        <x:v>174</x:v>
      </x:c>
      <x:c r="M2119" s="6" t="n">
        <x:v>13</x:v>
      </x:c>
      <x:c r="N2119" s="6" t="n">
        <x:v>10</x:v>
      </x:c>
      <x:c r="O2119" s="6" t="n">
        <x:v>20</x:v>
      </x:c>
      <x:c r="P2119" s="6" t="n">
        <x:v>2</x:v>
      </x:c>
      <x:c r="Q2119" s="6" t="n">
        <x:v>6</x:v>
      </x:c>
      <x:c r="R2119" s="6" t="n">
        <x:v>8</x:v>
      </x:c>
      <x:c r="S2119" s="6" t="n">
        <x:v>11</x:v>
      </x:c>
      <x:c r="T2119" s="6" t="n">
        <x:v>2</x:v>
      </x:c>
      <x:c r="U2119" s="6" t="n">
        <x:v>0</x:v>
      </x:c>
      <x:c r="V2119" s="6" t="n">
        <x:v>0</x:v>
      </x:c>
      <x:c r="W2119" s="6" t="n">
        <x:v>0</x:v>
      </x:c>
      <x:c r="X2119" s="6" t="n">
        <x:v>0</x:v>
      </x:c>
      <x:c r="Y2119" s="6" t="n">
        <x:v>0</x:v>
      </x:c>
      <x:c r="Z2119" s="6" t="n">
        <x:v>0</x:v>
      </x:c>
      <x:c r="AA2119" s="6" t="n">
        <x:v>3</x:v>
      </x:c>
      <x:c r="AB2119" s="6" t="n">
        <x:v>11</x:v>
      </x:c>
      <x:c r="AC2119" s="6" t="n">
        <x:v>0</x:v>
      </x:c>
    </x:row>
    <x:row r="2120">
      <x:c r="A2120" s="6" t="n">
        <x:v>6262</x:v>
      </x:c>
      <x:c r="B2120" s="6" t="n">
        <x:v>1962</x:v>
      </x:c>
      <x:c r="C2120" s="6" t="str">
        <x:v>Master</x:v>
      </x:c>
      <x:c r="D2120" s="6" t="str">
        <x:v>Single</x:v>
      </x:c>
      <x:c r="E2120" s="6" t="n">
        <x:v>72217</x:v>
      </x:c>
      <x:c r="F2120" s="6" t="n">
        <x:v>0</x:v>
      </x:c>
      <x:c r="G2120" s="6" t="n">
        <x:v>0</x:v>
      </x:c>
      <x:c r="H2120" s="9" t="str">
        <x:v>10-04-2013</x:v>
      </x:c>
      <x:c r="I2120" s="6" t="n">
        <x:v>93</x:v>
      </x:c>
      <x:c r="J2120" s="6" t="n">
        <x:v>816</x:v>
      </x:c>
      <x:c r="K2120" s="6" t="n">
        <x:v>42</x:v>
      </x:c>
      <x:c r="L2120" s="6" t="n">
        <x:v>450</x:v>
      </x:c>
      <x:c r="M2120" s="6" t="n">
        <x:v>55</x:v>
      </x:c>
      <x:c r="N2120" s="6" t="n">
        <x:v>56</x:v>
      </x:c>
      <x:c r="O2120" s="6" t="n">
        <x:v>154</x:v>
      </x:c>
      <x:c r="P2120" s="6" t="n">
        <x:v>1</x:v>
      </x:c>
      <x:c r="Q2120" s="6" t="n">
        <x:v>3</x:v>
      </x:c>
      <x:c r="R2120" s="6" t="n">
        <x:v>10</x:v>
      </x:c>
      <x:c r="S2120" s="6" t="n">
        <x:v>8</x:v>
      </x:c>
      <x:c r="T2120" s="6" t="n">
        <x:v>2</x:v>
      </x:c>
      <x:c r="U2120" s="6" t="n">
        <x:v>0</x:v>
      </x:c>
      <x:c r="V2120" s="6" t="n">
        <x:v>0</x:v>
      </x:c>
      <x:c r="W2120" s="6" t="n">
        <x:v>0</x:v>
      </x:c>
      <x:c r="X2120" s="6" t="n">
        <x:v>0</x:v>
      </x:c>
      <x:c r="Y2120" s="6" t="n">
        <x:v>0</x:v>
      </x:c>
      <x:c r="Z2120" s="6" t="n">
        <x:v>0</x:v>
      </x:c>
      <x:c r="AA2120" s="6" t="n">
        <x:v>3</x:v>
      </x:c>
      <x:c r="AB2120" s="6" t="n">
        <x:v>11</x:v>
      </x:c>
      <x:c r="AC2120" s="6" t="n">
        <x:v>0</x:v>
      </x:c>
    </x:row>
    <x:row r="2121">
      <x:c r="A2121" s="6" t="n">
        <x:v>6147</x:v>
      </x:c>
      <x:c r="B2121" s="6" t="n">
        <x:v>1971</x:v>
      </x:c>
      <x:c r="C2121" s="6" t="str">
        <x:v>Graduation</x:v>
      </x:c>
      <x:c r="D2121" s="6" t="str">
        <x:v>Divorced</x:v>
      </x:c>
      <x:c r="E2121" s="6" t="n">
        <x:v>25818</x:v>
      </x:c>
      <x:c r="F2121" s="6" t="n">
        <x:v>1</x:v>
      </x:c>
      <x:c r="G2121" s="6" t="n">
        <x:v>0</x:v>
      </x:c>
      <x:c r="H2121" s="9" t="str">
        <x:v>18-10-2012</x:v>
      </x:c>
      <x:c r="I2121" s="6" t="n">
        <x:v>51</x:v>
      </x:c>
      <x:c r="J2121" s="6" t="n">
        <x:v>5</x:v>
      </x:c>
      <x:c r="K2121" s="6" t="n">
        <x:v>2</x:v>
      </x:c>
      <x:c r="L2121" s="6" t="n">
        <x:v>8</x:v>
      </x:c>
      <x:c r="M2121" s="6" t="n">
        <x:v>2</x:v>
      </x:c>
      <x:c r="N2121" s="6" t="n">
        <x:v>2</x:v>
      </x:c>
      <x:c r="O2121" s="6" t="n">
        <x:v>9</x:v>
      </x:c>
      <x:c r="P2121" s="6" t="n">
        <x:v>1</x:v>
      </x:c>
      <x:c r="Q2121" s="6" t="n">
        <x:v>0</x:v>
      </x:c>
      <x:c r="R2121" s="6" t="n">
        <x:v>1</x:v>
      </x:c>
      <x:c r="S2121" s="6" t="n">
        <x:v>2</x:v>
      </x:c>
      <x:c r="T2121" s="6" t="n">
        <x:v>7</x:v>
      </x:c>
      <x:c r="U2121" s="6" t="n">
        <x:v>0</x:v>
      </x:c>
      <x:c r="V2121" s="6" t="n">
        <x:v>0</x:v>
      </x:c>
      <x:c r="W2121" s="6" t="n">
        <x:v>0</x:v>
      </x:c>
      <x:c r="X2121" s="6" t="n">
        <x:v>0</x:v>
      </x:c>
      <x:c r="Y2121" s="6" t="n">
        <x:v>0</x:v>
      </x:c>
      <x:c r="Z2121" s="6" t="n">
        <x:v>0</x:v>
      </x:c>
      <x:c r="AA2121" s="6" t="n">
        <x:v>3</x:v>
      </x:c>
      <x:c r="AB2121" s="6" t="n">
        <x:v>11</x:v>
      </x:c>
      <x:c r="AC2121" s="6" t="n">
        <x:v>0</x:v>
      </x:c>
    </x:row>
    <x:row r="2122">
      <x:c r="A2122" s="6" t="n">
        <x:v>8832</x:v>
      </x:c>
      <x:c r="B2122" s="6" t="n">
        <x:v>1976</x:v>
      </x:c>
      <x:c r="C2122" s="6" t="str">
        <x:v>Master</x:v>
      </x:c>
      <x:c r="D2122" s="6" t="str">
        <x:v>Together</x:v>
      </x:c>
      <x:c r="E2122" s="6" t="n">
        <x:v>37509</x:v>
      </x:c>
      <x:c r="F2122" s="6" t="n">
        <x:v>1</x:v>
      </x:c>
      <x:c r="G2122" s="6" t="n">
        <x:v>0</x:v>
      </x:c>
      <x:c r="H2122" s="9" t="str">
        <x:v>12-09-2012</x:v>
      </x:c>
      <x:c r="I2122" s="6" t="n">
        <x:v>24</x:v>
      </x:c>
      <x:c r="J2122" s="6" t="n">
        <x:v>37</x:v>
      </x:c>
      <x:c r="K2122" s="6" t="n">
        <x:v>5</x:v>
      </x:c>
      <x:c r="L2122" s="6" t="n">
        <x:v>56</x:v>
      </x:c>
      <x:c r="M2122" s="6" t="n">
        <x:v>12</x:v>
      </x:c>
      <x:c r="N2122" s="6" t="n">
        <x:v>8</x:v>
      </x:c>
      <x:c r="O2122" s="6" t="n">
        <x:v>5</x:v>
      </x:c>
      <x:c r="P2122" s="6" t="n">
        <x:v>2</x:v>
      </x:c>
      <x:c r="Q2122" s="6" t="n">
        <x:v>3</x:v>
      </x:c>
      <x:c r="R2122" s="6" t="n">
        <x:v>0</x:v>
      </x:c>
      <x:c r="S2122" s="6" t="n">
        <x:v>4</x:v>
      </x:c>
      <x:c r="T2122" s="6" t="n">
        <x:v>7</x:v>
      </x:c>
      <x:c r="U2122" s="6" t="n">
        <x:v>0</x:v>
      </x:c>
      <x:c r="V2122" s="6" t="n">
        <x:v>0</x:v>
      </x:c>
      <x:c r="W2122" s="6" t="n">
        <x:v>0</x:v>
      </x:c>
      <x:c r="X2122" s="6" t="n">
        <x:v>0</x:v>
      </x:c>
      <x:c r="Y2122" s="6" t="n">
        <x:v>0</x:v>
      </x:c>
      <x:c r="Z2122" s="6" t="n">
        <x:v>0</x:v>
      </x:c>
      <x:c r="AA2122" s="6" t="n">
        <x:v>3</x:v>
      </x:c>
      <x:c r="AB2122" s="6" t="n">
        <x:v>11</x:v>
      </x:c>
      <x:c r="AC2122" s="6" t="n">
        <x:v>0</x:v>
      </x:c>
    </x:row>
    <x:row r="2123">
      <x:c r="A2123" s="6" t="n">
        <x:v>10067</x:v>
      </x:c>
      <x:c r="B2123" s="6" t="n">
        <x:v>1976</x:v>
      </x:c>
      <x:c r="C2123" s="6" t="str">
        <x:v>2n Cycle</x:v>
      </x:c>
      <x:c r="D2123" s="6" t="str">
        <x:v>Together</x:v>
      </x:c>
      <x:c r="E2123" s="6" t="n">
        <x:v>25176</x:v>
      </x:c>
      <x:c r="F2123" s="6" t="n">
        <x:v>1</x:v>
      </x:c>
      <x:c r="G2123" s="6" t="n">
        <x:v>1</x:v>
      </x:c>
      <x:c r="H2123" s="9" t="str">
        <x:v>10-08-2013</x:v>
      </x:c>
      <x:c r="I2123" s="6" t="n">
        <x:v>79</x:v>
      </x:c>
      <x:c r="J2123" s="6" t="n">
        <x:v>4</x:v>
      </x:c>
      <x:c r="K2123" s="6" t="n">
        <x:v>0</x:v>
      </x:c>
      <x:c r="L2123" s="6" t="n">
        <x:v>4</x:v>
      </x:c>
      <x:c r="M2123" s="6" t="n">
        <x:v>0</x:v>
      </x:c>
      <x:c r="N2123" s="6" t="n">
        <x:v>0</x:v>
      </x:c>
      <x:c r="O2123" s="6" t="n">
        <x:v>5</x:v>
      </x:c>
      <x:c r="P2123" s="6" t="n">
        <x:v>1</x:v>
      </x:c>
      <x:c r="Q2123" s="6" t="n">
        <x:v>1</x:v>
      </x:c>
      <x:c r="R2123" s="6" t="n">
        <x:v>0</x:v>
      </x:c>
      <x:c r="S2123" s="6" t="n">
        <x:v>2</x:v>
      </x:c>
      <x:c r="T2123" s="6" t="n">
        <x:v>7</x:v>
      </x:c>
      <x:c r="U2123" s="6" t="n">
        <x:v>0</x:v>
      </x:c>
      <x:c r="V2123" s="6" t="n">
        <x:v>0</x:v>
      </x:c>
      <x:c r="W2123" s="6" t="n">
        <x:v>0</x:v>
      </x:c>
      <x:c r="X2123" s="6" t="n">
        <x:v>0</x:v>
      </x:c>
      <x:c r="Y2123" s="6" t="n">
        <x:v>0</x:v>
      </x:c>
      <x:c r="Z2123" s="6" t="n">
        <x:v>0</x:v>
      </x:c>
      <x:c r="AA2123" s="6" t="n">
        <x:v>3</x:v>
      </x:c>
      <x:c r="AB2123" s="6" t="n">
        <x:v>11</x:v>
      </x:c>
      <x:c r="AC2123" s="6" t="n">
        <x:v>0</x:v>
      </x:c>
    </x:row>
    <x:row r="2124">
      <x:c r="A2124" s="6" t="n">
        <x:v>7532</x:v>
      </x:c>
      <x:c r="B2124" s="6" t="n">
        <x:v>1980</x:v>
      </x:c>
      <x:c r="C2124" s="6" t="str">
        <x:v>Graduation</x:v>
      </x:c>
      <x:c r="D2124" s="6" t="str">
        <x:v>Married</x:v>
      </x:c>
      <x:c r="E2124" s="6" t="n">
        <x:v>43586</x:v>
      </x:c>
      <x:c r="F2124" s="6" t="n">
        <x:v>0</x:v>
      </x:c>
      <x:c r="G2124" s="6" t="n">
        <x:v>1</x:v>
      </x:c>
      <x:c r="H2124" s="9" t="str">
        <x:v>30-08-2012</x:v>
      </x:c>
      <x:c r="I2124" s="6" t="n">
        <x:v>26</x:v>
      </x:c>
      <x:c r="J2124" s="6" t="n">
        <x:v>99</x:v>
      </x:c>
      <x:c r="K2124" s="6" t="n">
        <x:v>2</x:v>
      </x:c>
      <x:c r="L2124" s="6" t="n">
        <x:v>11</x:v>
      </x:c>
      <x:c r="M2124" s="6" t="n">
        <x:v>4</x:v>
      </x:c>
      <x:c r="N2124" s="6" t="n">
        <x:v>0</x:v>
      </x:c>
      <x:c r="O2124" s="6" t="n">
        <x:v>16</x:v>
      </x:c>
      <x:c r="P2124" s="6" t="n">
        <x:v>3</x:v>
      </x:c>
      <x:c r="Q2124" s="6" t="n">
        <x:v>3</x:v>
      </x:c>
      <x:c r="R2124" s="6" t="n">
        <x:v>0</x:v>
      </x:c>
      <x:c r="S2124" s="6" t="n">
        <x:v>4</x:v>
      </x:c>
      <x:c r="T2124" s="6" t="n">
        <x:v>8</x:v>
      </x:c>
      <x:c r="U2124" s="6" t="n">
        <x:v>0</x:v>
      </x:c>
      <x:c r="V2124" s="6" t="n">
        <x:v>0</x:v>
      </x:c>
      <x:c r="W2124" s="6" t="n">
        <x:v>0</x:v>
      </x:c>
      <x:c r="X2124" s="6" t="n">
        <x:v>0</x:v>
      </x:c>
      <x:c r="Y2124" s="6" t="n">
        <x:v>0</x:v>
      </x:c>
      <x:c r="Z2124" s="6" t="n">
        <x:v>0</x:v>
      </x:c>
      <x:c r="AA2124" s="6" t="n">
        <x:v>3</x:v>
      </x:c>
      <x:c r="AB2124" s="6" t="n">
        <x:v>11</x:v>
      </x:c>
      <x:c r="AC2124" s="6" t="n">
        <x:v>0</x:v>
      </x:c>
    </x:row>
    <x:row r="2125">
      <x:c r="A2125" s="6" t="n">
        <x:v>4915</x:v>
      </x:c>
      <x:c r="B2125" s="6" t="n">
        <x:v>1956</x:v>
      </x:c>
      <x:c r="C2125" s="6" t="str">
        <x:v>2n Cycle</x:v>
      </x:c>
      <x:c r="D2125" s="6" t="str">
        <x:v>Married</x:v>
      </x:c>
      <x:c r="E2125" s="6" t="n">
        <x:v>53230</x:v>
      </x:c>
      <x:c r="F2125" s="6" t="n">
        <x:v>0</x:v>
      </x:c>
      <x:c r="G2125" s="6" t="n">
        <x:v>1</x:v>
      </x:c>
      <x:c r="H2125" s="9" t="str">
        <x:v>03-08-2012</x:v>
      </x:c>
      <x:c r="I2125" s="6" t="n">
        <x:v>86</x:v>
      </x:c>
      <x:c r="J2125" s="6" t="n">
        <x:v>176</x:v>
      </x:c>
      <x:c r="K2125" s="6" t="n">
        <x:v>72</x:v>
      </x:c>
      <x:c r="L2125" s="6" t="n">
        <x:v>98</x:v>
      </x:c>
      <x:c r="M2125" s="6" t="n">
        <x:v>136</x:v>
      </x:c>
      <x:c r="N2125" s="6" t="n">
        <x:v>21</x:v>
      </x:c>
      <x:c r="O2125" s="6" t="n">
        <x:v>229</x:v>
      </x:c>
      <x:c r="P2125" s="6" t="n">
        <x:v>4</x:v>
      </x:c>
      <x:c r="Q2125" s="6" t="n">
        <x:v>5</x:v>
      </x:c>
      <x:c r="R2125" s="6" t="n">
        <x:v>2</x:v>
      </x:c>
      <x:c r="S2125" s="6" t="n">
        <x:v>12</x:v>
      </x:c>
      <x:c r="T2125" s="6" t="n">
        <x:v>5</x:v>
      </x:c>
      <x:c r="U2125" s="6" t="n">
        <x:v>0</x:v>
      </x:c>
      <x:c r="V2125" s="6" t="n">
        <x:v>0</x:v>
      </x:c>
      <x:c r="W2125" s="6" t="n">
        <x:v>0</x:v>
      </x:c>
      <x:c r="X2125" s="6" t="n">
        <x:v>0</x:v>
      </x:c>
      <x:c r="Y2125" s="6" t="n">
        <x:v>0</x:v>
      </x:c>
      <x:c r="Z2125" s="6" t="n">
        <x:v>0</x:v>
      </x:c>
      <x:c r="AA2125" s="6" t="n">
        <x:v>3</x:v>
      </x:c>
      <x:c r="AB2125" s="6" t="n">
        <x:v>11</x:v>
      </x:c>
      <x:c r="AC2125" s="6" t="n">
        <x:v>0</x:v>
      </x:c>
    </x:row>
    <x:row r="2126">
      <x:c r="A2126" s="6" t="n">
        <x:v>2115</x:v>
      </x:c>
      <x:c r="B2126" s="6" t="n">
        <x:v>1957</x:v>
      </x:c>
      <x:c r="C2126" s="6" t="str">
        <x:v>Graduation</x:v>
      </x:c>
      <x:c r="D2126" s="6" t="str">
        <x:v>Together</x:v>
      </x:c>
      <x:c r="E2126" s="6" t="n">
        <x:v>50116</x:v>
      </x:c>
      <x:c r="F2126" s="6" t="n">
        <x:v>1</x:v>
      </x:c>
      <x:c r="G2126" s="6" t="n">
        <x:v>1</x:v>
      </x:c>
      <x:c r="H2126" s="9" t="str">
        <x:v>20-06-2014</x:v>
      </x:c>
      <x:c r="I2126" s="6" t="n">
        <x:v>68</x:v>
      </x:c>
      <x:c r="J2126" s="6" t="n">
        <x:v>54</x:v>
      </x:c>
      <x:c r="K2126" s="6" t="n">
        <x:v>0</x:v>
      </x:c>
      <x:c r="L2126" s="6" t="n">
        <x:v>10</x:v>
      </x:c>
      <x:c r="M2126" s="6" t="n">
        <x:v>0</x:v>
      </x:c>
      <x:c r="N2126" s="6" t="n">
        <x:v>0</x:v>
      </x:c>
      <x:c r="O2126" s="6" t="n">
        <x:v>2</x:v>
      </x:c>
      <x:c r="P2126" s="6" t="n">
        <x:v>2</x:v>
      </x:c>
      <x:c r="Q2126" s="6" t="n">
        <x:v>1</x:v>
      </x:c>
      <x:c r="R2126" s="6" t="n">
        <x:v>0</x:v>
      </x:c>
      <x:c r="S2126" s="6" t="n">
        <x:v>4</x:v>
      </x:c>
      <x:c r="T2126" s="6" t="n">
        <x:v>5</x:v>
      </x:c>
      <x:c r="U2126" s="6" t="n">
        <x:v>0</x:v>
      </x:c>
      <x:c r="V2126" s="6" t="n">
        <x:v>1</x:v>
      </x:c>
      <x:c r="W2126" s="6" t="n">
        <x:v>0</x:v>
      </x:c>
      <x:c r="X2126" s="6" t="n">
        <x:v>0</x:v>
      </x:c>
      <x:c r="Y2126" s="6" t="n">
        <x:v>0</x:v>
      </x:c>
      <x:c r="Z2126" s="6" t="n">
        <x:v>0</x:v>
      </x:c>
      <x:c r="AA2126" s="6" t="n">
        <x:v>3</x:v>
      </x:c>
      <x:c r="AB2126" s="6" t="n">
        <x:v>11</x:v>
      </x:c>
      <x:c r="AC2126" s="6" t="n">
        <x:v>0</x:v>
      </x:c>
    </x:row>
    <x:row r="2127">
      <x:c r="A2127" s="6" t="n">
        <x:v>2088</x:v>
      </x:c>
      <x:c r="B2127" s="6" t="n">
        <x:v>1972</x:v>
      </x:c>
      <x:c r="C2127" s="6" t="str">
        <x:v>Graduation</x:v>
      </x:c>
      <x:c r="D2127" s="6" t="str">
        <x:v>Together</x:v>
      </x:c>
      <x:c r="E2127" s="6" t="n">
        <x:v>84906</x:v>
      </x:c>
      <x:c r="F2127" s="6" t="n">
        <x:v>0</x:v>
      </x:c>
      <x:c r="G2127" s="6" t="n">
        <x:v>0</x:v>
      </x:c>
      <x:c r="H2127" s="9" t="str">
        <x:v>04-10-2013</x:v>
      </x:c>
      <x:c r="I2127" s="6" t="n">
        <x:v>98</x:v>
      </x:c>
      <x:c r="J2127" s="6" t="n">
        <x:v>997</x:v>
      </x:c>
      <x:c r="K2127" s="6" t="n">
        <x:v>15</x:v>
      </x:c>
      <x:c r="L2127" s="6" t="n">
        <x:v>414</x:v>
      </x:c>
      <x:c r="M2127" s="6" t="n">
        <x:v>99</x:v>
      </x:c>
      <x:c r="N2127" s="6" t="n">
        <x:v>30</x:v>
      </x:c>
      <x:c r="O2127" s="6" t="n">
        <x:v>76</x:v>
      </x:c>
      <x:c r="P2127" s="6" t="n">
        <x:v>1</x:v>
      </x:c>
      <x:c r="Q2127" s="6" t="n">
        <x:v>5</x:v>
      </x:c>
      <x:c r="R2127" s="6" t="n">
        <x:v>6</x:v>
      </x:c>
      <x:c r="S2127" s="6" t="n">
        <x:v>12</x:v>
      </x:c>
      <x:c r="T2127" s="6" t="n">
        <x:v>2</x:v>
      </x:c>
      <x:c r="U2127" s="6" t="n">
        <x:v>0</x:v>
      </x:c>
      <x:c r="V2127" s="6" t="n">
        <x:v>1</x:v>
      </x:c>
      <x:c r="W2127" s="6" t="n">
        <x:v>1</x:v>
      </x:c>
      <x:c r="X2127" s="6" t="n">
        <x:v>0</x:v>
      </x:c>
      <x:c r="Y2127" s="6" t="n">
        <x:v>1</x:v>
      </x:c>
      <x:c r="Z2127" s="6" t="n">
        <x:v>0</x:v>
      </x:c>
      <x:c r="AA2127" s="6" t="n">
        <x:v>3</x:v>
      </x:c>
      <x:c r="AB2127" s="6" t="n">
        <x:v>11</x:v>
      </x:c>
      <x:c r="AC2127" s="6" t="n">
        <x:v>0</x:v>
      </x:c>
    </x:row>
    <x:row r="2128">
      <x:c r="A2128" s="6" t="n">
        <x:v>2493</x:v>
      </x:c>
      <x:c r="B2128" s="6" t="n">
        <x:v>1966</x:v>
      </x:c>
      <x:c r="C2128" s="6" t="str">
        <x:v>Graduation</x:v>
      </x:c>
      <x:c r="D2128" s="6" t="str">
        <x:v>Married</x:v>
      </x:c>
      <x:c r="E2128" s="6" t="n">
        <x:v>61286</x:v>
      </x:c>
      <x:c r="F2128" s="6" t="n">
        <x:v>0</x:v>
      </x:c>
      <x:c r="G2128" s="6" t="n">
        <x:v>1</x:v>
      </x:c>
      <x:c r="H2128" s="9" t="str">
        <x:v>02-08-2013</x:v>
      </x:c>
      <x:c r="I2128" s="6" t="n">
        <x:v>34</x:v>
      </x:c>
      <x:c r="J2128" s="6" t="n">
        <x:v>356</x:v>
      </x:c>
      <x:c r="K2128" s="6" t="n">
        <x:v>0</x:v>
      </x:c>
      <x:c r="L2128" s="6" t="n">
        <x:v>107</x:v>
      </x:c>
      <x:c r="M2128" s="6" t="n">
        <x:v>19</x:v>
      </x:c>
      <x:c r="N2128" s="6" t="n">
        <x:v>9</x:v>
      </x:c>
      <x:c r="O2128" s="6" t="n">
        <x:v>117</x:v>
      </x:c>
      <x:c r="P2128" s="6" t="n">
        <x:v>2</x:v>
      </x:c>
      <x:c r="Q2128" s="6" t="n">
        <x:v>7</x:v>
      </x:c>
      <x:c r="R2128" s="6" t="n">
        <x:v>1</x:v>
      </x:c>
      <x:c r="S2128" s="6" t="n">
        <x:v>8</x:v>
      </x:c>
      <x:c r="T2128" s="6" t="n">
        <x:v>5</x:v>
      </x:c>
      <x:c r="U2128" s="6" t="n">
        <x:v>0</x:v>
      </x:c>
      <x:c r="V2128" s="6" t="n">
        <x:v>0</x:v>
      </x:c>
      <x:c r="W2128" s="6" t="n">
        <x:v>0</x:v>
      </x:c>
      <x:c r="X2128" s="6" t="n">
        <x:v>0</x:v>
      </x:c>
      <x:c r="Y2128" s="6" t="n">
        <x:v>0</x:v>
      </x:c>
      <x:c r="Z2128" s="6" t="n">
        <x:v>0</x:v>
      </x:c>
      <x:c r="AA2128" s="6" t="n">
        <x:v>3</x:v>
      </x:c>
      <x:c r="AB2128" s="6" t="n">
        <x:v>11</x:v>
      </x:c>
      <x:c r="AC2128" s="6" t="n">
        <x:v>0</x:v>
      </x:c>
    </x:row>
    <x:row r="2129">
      <x:c r="A2129" s="6" t="n">
        <x:v>6292</x:v>
      </x:c>
      <x:c r="B2129" s="6" t="n">
        <x:v>1986</x:v>
      </x:c>
      <x:c r="C2129" s="6" t="str">
        <x:v>PhD</x:v>
      </x:c>
      <x:c r="D2129" s="6" t="str">
        <x:v>Married</x:v>
      </x:c>
      <x:c r="E2129" s="6" t="n">
        <x:v>82333</x:v>
      </x:c>
      <x:c r="F2129" s="6" t="n">
        <x:v>0</x:v>
      </x:c>
      <x:c r="G2129" s="6" t="n">
        <x:v>0</x:v>
      </x:c>
      <x:c r="H2129" s="9" t="str">
        <x:v>30-03-2013</x:v>
      </x:c>
      <x:c r="I2129" s="6" t="n">
        <x:v>60</x:v>
      </x:c>
      <x:c r="J2129" s="6" t="n">
        <x:v>1311</x:v>
      </x:c>
      <x:c r="K2129" s="6" t="n">
        <x:v>0</x:v>
      </x:c>
      <x:c r="L2129" s="6" t="n">
        <x:v>359</x:v>
      </x:c>
      <x:c r="M2129" s="6" t="n">
        <x:v>46</x:v>
      </x:c>
      <x:c r="N2129" s="6" t="n">
        <x:v>89</x:v>
      </x:c>
      <x:c r="O2129" s="6" t="n">
        <x:v>17</x:v>
      </x:c>
      <x:c r="P2129" s="6" t="n">
        <x:v>1</x:v>
      </x:c>
      <x:c r="Q2129" s="6" t="n">
        <x:v>4</x:v>
      </x:c>
      <x:c r="R2129" s="6" t="n">
        <x:v>3</x:v>
      </x:c>
      <x:c r="S2129" s="6" t="n">
        <x:v>10</x:v>
      </x:c>
      <x:c r="T2129" s="6" t="n">
        <x:v>2</x:v>
      </x:c>
      <x:c r="U2129" s="6" t="n">
        <x:v>0</x:v>
      </x:c>
      <x:c r="V2129" s="6" t="n">
        <x:v>0</x:v>
      </x:c>
      <x:c r="W2129" s="6" t="n">
        <x:v>1</x:v>
      </x:c>
      <x:c r="X2129" s="6" t="n">
        <x:v>0</x:v>
      </x:c>
      <x:c r="Y2129" s="6" t="n">
        <x:v>0</x:v>
      </x:c>
      <x:c r="Z2129" s="6" t="n">
        <x:v>0</x:v>
      </x:c>
      <x:c r="AA2129" s="6" t="n">
        <x:v>3</x:v>
      </x:c>
      <x:c r="AB2129" s="6" t="n">
        <x:v>11</x:v>
      </x:c>
      <x:c r="AC2129" s="6" t="n">
        <x:v>1</x:v>
      </x:c>
    </x:row>
    <x:row r="2130">
      <x:c r="A2130" s="6" t="n">
        <x:v>1631</x:v>
      </x:c>
      <x:c r="B2130" s="6" t="n">
        <x:v>1965</x:v>
      </x:c>
      <x:c r="C2130" s="6" t="str">
        <x:v>PhD</x:v>
      </x:c>
      <x:c r="D2130" s="6" t="str">
        <x:v>Together</x:v>
      </x:c>
      <x:c r="E2130" s="6" t="n">
        <x:v>65220</x:v>
      </x:c>
      <x:c r="F2130" s="6" t="n">
        <x:v>0</x:v>
      </x:c>
      <x:c r="G2130" s="6" t="n">
        <x:v>0</x:v>
      </x:c>
      <x:c r="H2130" s="9" t="str">
        <x:v>03-09-2012</x:v>
      </x:c>
      <x:c r="I2130" s="6" t="n">
        <x:v>3</x:v>
      </x:c>
      <x:c r="J2130" s="6" t="n">
        <x:v>890</x:v>
      </x:c>
      <x:c r="K2130" s="6" t="n">
        <x:v>63</x:v>
      </x:c>
      <x:c r="L2130" s="6" t="n">
        <x:v>292</x:v>
      </x:c>
      <x:c r="M2130" s="6" t="n">
        <x:v>0</x:v>
      </x:c>
      <x:c r="N2130" s="6" t="n">
        <x:v>25</x:v>
      </x:c>
      <x:c r="O2130" s="6" t="n">
        <x:v>12</x:v>
      </x:c>
      <x:c r="P2130" s="6" t="n">
        <x:v>4</x:v>
      </x:c>
      <x:c r="Q2130" s="6" t="n">
        <x:v>8</x:v>
      </x:c>
      <x:c r="R2130" s="6" t="n">
        <x:v>4</x:v>
      </x:c>
      <x:c r="S2130" s="6" t="n">
        <x:v>7</x:v>
      </x:c>
      <x:c r="T2130" s="6" t="n">
        <x:v>6</x:v>
      </x:c>
      <x:c r="U2130" s="6" t="n">
        <x:v>0</x:v>
      </x:c>
      <x:c r="V2130" s="6" t="n">
        <x:v>0</x:v>
      </x:c>
      <x:c r="W2130" s="6" t="n">
        <x:v>0</x:v>
      </x:c>
      <x:c r="X2130" s="6" t="n">
        <x:v>0</x:v>
      </x:c>
      <x:c r="Y2130" s="6" t="n">
        <x:v>0</x:v>
      </x:c>
      <x:c r="Z2130" s="6" t="n">
        <x:v>0</x:v>
      </x:c>
      <x:c r="AA2130" s="6" t="n">
        <x:v>3</x:v>
      </x:c>
      <x:c r="AB2130" s="6" t="n">
        <x:v>11</x:v>
      </x:c>
      <x:c r="AC2130" s="6" t="n">
        <x:v>1</x:v>
      </x:c>
    </x:row>
    <x:row r="2131">
      <x:c r="A2131" s="6" t="n">
        <x:v>10104</x:v>
      </x:c>
      <x:c r="B2131" s="6" t="n">
        <x:v>1974</x:v>
      </x:c>
      <x:c r="C2131" s="6" t="str">
        <x:v>Graduation</x:v>
      </x:c>
      <x:c r="D2131" s="6" t="str">
        <x:v>Together</x:v>
      </x:c>
      <x:c r="E2131" s="6" t="n">
        <x:v>33590</x:v>
      </x:c>
      <x:c r="F2131" s="6" t="n">
        <x:v>2</x:v>
      </x:c>
      <x:c r="G2131" s="6" t="n">
        <x:v>1</x:v>
      </x:c>
      <x:c r="H2131" s="9" t="str">
        <x:v>03-11-2013</x:v>
      </x:c>
      <x:c r="I2131" s="6" t="n">
        <x:v>65</x:v>
      </x:c>
      <x:c r="J2131" s="6" t="n">
        <x:v>4</x:v>
      </x:c>
      <x:c r="K2131" s="6" t="n">
        <x:v>0</x:v>
      </x:c>
      <x:c r="L2131" s="6" t="n">
        <x:v>2</x:v>
      </x:c>
      <x:c r="M2131" s="6" t="n">
        <x:v>0</x:v>
      </x:c>
      <x:c r="N2131" s="6" t="n">
        <x:v>0</x:v>
      </x:c>
      <x:c r="O2131" s="6" t="n">
        <x:v>2</x:v>
      </x:c>
      <x:c r="P2131" s="6" t="n">
        <x:v>1</x:v>
      </x:c>
      <x:c r="Q2131" s="6" t="n">
        <x:v>1</x:v>
      </x:c>
      <x:c r="R2131" s="6" t="n">
        <x:v>0</x:v>
      </x:c>
      <x:c r="S2131" s="6" t="n">
        <x:v>2</x:v>
      </x:c>
      <x:c r="T2131" s="6" t="n">
        <x:v>7</x:v>
      </x:c>
      <x:c r="U2131" s="6" t="n">
        <x:v>0</x:v>
      </x:c>
      <x:c r="V2131" s="6" t="n">
        <x:v>0</x:v>
      </x:c>
      <x:c r="W2131" s="6" t="n">
        <x:v>0</x:v>
      </x:c>
      <x:c r="X2131" s="6" t="n">
        <x:v>0</x:v>
      </x:c>
      <x:c r="Y2131" s="6" t="n">
        <x:v>0</x:v>
      </x:c>
      <x:c r="Z2131" s="6" t="n">
        <x:v>0</x:v>
      </x:c>
      <x:c r="AA2131" s="6" t="n">
        <x:v>3</x:v>
      </x:c>
      <x:c r="AB2131" s="6" t="n">
        <x:v>11</x:v>
      </x:c>
      <x:c r="AC2131" s="6" t="n">
        <x:v>0</x:v>
      </x:c>
    </x:row>
    <x:row r="2132">
      <x:c r="A2132" s="6" t="n">
        <x:v>3006</x:v>
      </x:c>
      <x:c r="B2132" s="6" t="n">
        <x:v>1976</x:v>
      </x:c>
      <x:c r="C2132" s="6" t="str">
        <x:v>Graduation</x:v>
      </x:c>
      <x:c r="D2132" s="6" t="str">
        <x:v>Divorced</x:v>
      </x:c>
      <x:c r="E2132" s="6" t="n">
        <x:v>30992</x:v>
      </x:c>
      <x:c r="F2132" s="6" t="n">
        <x:v>1</x:v>
      </x:c>
      <x:c r="G2132" s="6" t="n">
        <x:v>0</x:v>
      </x:c>
      <x:c r="H2132" s="9" t="str">
        <x:v>22-04-2013</x:v>
      </x:c>
      <x:c r="I2132" s="6" t="n">
        <x:v>83</x:v>
      </x:c>
      <x:c r="J2132" s="6" t="n">
        <x:v>17</x:v>
      </x:c>
      <x:c r="K2132" s="6" t="n">
        <x:v>0</x:v>
      </x:c>
      <x:c r="L2132" s="6" t="n">
        <x:v>14</x:v>
      </x:c>
      <x:c r="M2132" s="6" t="n">
        <x:v>7</x:v>
      </x:c>
      <x:c r="N2132" s="6" t="n">
        <x:v>3</x:v>
      </x:c>
      <x:c r="O2132" s="6" t="n">
        <x:v>2</x:v>
      </x:c>
      <x:c r="P2132" s="6" t="n">
        <x:v>1</x:v>
      </x:c>
      <x:c r="Q2132" s="6" t="n">
        <x:v>1</x:v>
      </x:c>
      <x:c r="R2132" s="6" t="n">
        <x:v>0</x:v>
      </x:c>
      <x:c r="S2132" s="6" t="n">
        <x:v>3</x:v>
      </x:c>
      <x:c r="T2132" s="6" t="n">
        <x:v>7</x:v>
      </x:c>
      <x:c r="U2132" s="6" t="n">
        <x:v>0</x:v>
      </x:c>
      <x:c r="V2132" s="6" t="n">
        <x:v>0</x:v>
      </x:c>
      <x:c r="W2132" s="6" t="n">
        <x:v>0</x:v>
      </x:c>
      <x:c r="X2132" s="6" t="n">
        <x:v>0</x:v>
      </x:c>
      <x:c r="Y2132" s="6" t="n">
        <x:v>0</x:v>
      </x:c>
      <x:c r="Z2132" s="6" t="n">
        <x:v>0</x:v>
      </x:c>
      <x:c r="AA2132" s="6" t="n">
        <x:v>3</x:v>
      </x:c>
      <x:c r="AB2132" s="6" t="n">
        <x:v>11</x:v>
      </x:c>
      <x:c r="AC2132" s="6" t="n">
        <x:v>0</x:v>
      </x:c>
    </x:row>
    <x:row r="2133">
      <x:c r="A2133" s="6" t="n">
        <x:v>3919</x:v>
      </x:c>
      <x:c r="B2133" s="6" t="n">
        <x:v>1976</x:v>
      </x:c>
      <x:c r="C2133" s="6" t="str">
        <x:v>Master</x:v>
      </x:c>
      <x:c r="D2133" s="6" t="str">
        <x:v>Single</x:v>
      </x:c>
      <x:c r="E2133" s="6" t="n">
        <x:v>72309</x:v>
      </x:c>
      <x:c r="F2133" s="6" t="n">
        <x:v>0</x:v>
      </x:c>
      <x:c r="G2133" s="6" t="n">
        <x:v>0</x:v>
      </x:c>
      <x:c r="H2133" s="9" t="str">
        <x:v>11-03-2013</x:v>
      </x:c>
      <x:c r="I2133" s="6" t="n">
        <x:v>64</x:v>
      </x:c>
      <x:c r="J2133" s="6" t="n">
        <x:v>960</x:v>
      </x:c>
      <x:c r="K2133" s="6" t="n">
        <x:v>0</x:v>
      </x:c>
      <x:c r="L2133" s="6" t="n">
        <x:v>883</x:v>
      </x:c>
      <x:c r="M2133" s="6" t="n">
        <x:v>50</x:v>
      </x:c>
      <x:c r="N2133" s="6" t="n">
        <x:v>38</x:v>
      </x:c>
      <x:c r="O2133" s="6" t="n">
        <x:v>0</x:v>
      </x:c>
      <x:c r="P2133" s="6" t="n">
        <x:v>1</x:v>
      </x:c>
      <x:c r="Q2133" s="6" t="n">
        <x:v>5</x:v>
      </x:c>
      <x:c r="R2133" s="6" t="n">
        <x:v>6</x:v>
      </x:c>
      <x:c r="S2133" s="6" t="n">
        <x:v>8</x:v>
      </x:c>
      <x:c r="T2133" s="6" t="n">
        <x:v>3</x:v>
      </x:c>
      <x:c r="U2133" s="6" t="n">
        <x:v>0</x:v>
      </x:c>
      <x:c r="V2133" s="6" t="n">
        <x:v>0</x:v>
      </x:c>
      <x:c r="W2133" s="6" t="n">
        <x:v>0</x:v>
      </x:c>
      <x:c r="X2133" s="6" t="n">
        <x:v>1</x:v>
      </x:c>
      <x:c r="Y2133" s="6" t="n">
        <x:v>0</x:v>
      </x:c>
      <x:c r="Z2133" s="6" t="n">
        <x:v>0</x:v>
      </x:c>
      <x:c r="AA2133" s="6" t="n">
        <x:v>3</x:v>
      </x:c>
      <x:c r="AB2133" s="6" t="n">
        <x:v>11</x:v>
      </x:c>
      <x:c r="AC2133" s="6" t="n">
        <x:v>1</x:v>
      </x:c>
    </x:row>
    <x:row r="2134">
      <x:c r="A2134" s="6" t="n">
        <x:v>11181</x:v>
      </x:c>
      <x:c r="B2134" s="6" t="n">
        <x:v>1949</x:v>
      </x:c>
      <x:c r="C2134" s="6" t="str">
        <x:v>PhD</x:v>
      </x:c>
      <x:c r="D2134" s="6" t="str">
        <x:v>Married</x:v>
      </x:c>
      <x:c r="E2134" s="6" t="n">
        <x:v>156924</x:v>
      </x:c>
      <x:c r="F2134" s="6" t="n">
        <x:v>0</x:v>
      </x:c>
      <x:c r="G2134" s="6" t="n">
        <x:v>0</x:v>
      </x:c>
      <x:c r="H2134" s="9" t="str">
        <x:v>29-08-2013</x:v>
      </x:c>
      <x:c r="I2134" s="6" t="n">
        <x:v>85</x:v>
      </x:c>
      <x:c r="J2134" s="6" t="n">
        <x:v>2</x:v>
      </x:c>
      <x:c r="K2134" s="6" t="n">
        <x:v>1</x:v>
      </x:c>
      <x:c r="L2134" s="6" t="n">
        <x:v>2</x:v>
      </x:c>
      <x:c r="M2134" s="6" t="n">
        <x:v>1</x:v>
      </x:c>
      <x:c r="N2134" s="6" t="n">
        <x:v>1</x:v>
      </x:c>
      <x:c r="O2134" s="6" t="n">
        <x:v>1</x:v>
      </x:c>
      <x:c r="P2134" s="6" t="n">
        <x:v>0</x:v>
      </x:c>
      <x:c r="Q2134" s="6" t="n">
        <x:v>0</x:v>
      </x:c>
      <x:c r="R2134" s="6" t="n">
        <x:v>0</x:v>
      </x:c>
      <x:c r="S2134" s="6" t="n">
        <x:v>0</x:v>
      </x:c>
      <x:c r="T2134" s="6" t="n">
        <x:v>0</x:v>
      </x:c>
      <x:c r="U2134" s="6" t="n">
        <x:v>0</x:v>
      </x:c>
      <x:c r="V2134" s="6" t="n">
        <x:v>0</x:v>
      </x:c>
      <x:c r="W2134" s="6" t="n">
        <x:v>0</x:v>
      </x:c>
      <x:c r="X2134" s="6" t="n">
        <x:v>0</x:v>
      </x:c>
      <x:c r="Y2134" s="6" t="n">
        <x:v>0</x:v>
      </x:c>
      <x:c r="Z2134" s="6" t="n">
        <x:v>0</x:v>
      </x:c>
      <x:c r="AA2134" s="6" t="n">
        <x:v>3</x:v>
      </x:c>
      <x:c r="AB2134" s="6" t="n">
        <x:v>11</x:v>
      </x:c>
      <x:c r="AC2134" s="6" t="n">
        <x:v>0</x:v>
      </x:c>
    </x:row>
    <x:row r="2135">
      <x:c r="A2135" s="6" t="n">
        <x:v>642</x:v>
      </x:c>
      <x:c r="B2135" s="6" t="n">
        <x:v>1980</x:v>
      </x:c>
      <x:c r="C2135" s="6" t="str">
        <x:v>Basic</x:v>
      </x:c>
      <x:c r="D2135" s="6" t="str">
        <x:v>Married</x:v>
      </x:c>
      <x:c r="E2135" s="6" t="n">
        <x:v>16005</x:v>
      </x:c>
      <x:c r="F2135" s="6" t="n">
        <x:v>1</x:v>
      </x:c>
      <x:c r="G2135" s="6" t="n">
        <x:v>0</x:v>
      </x:c>
      <x:c r="H2135" s="9" t="str">
        <x:v>14-08-2012</x:v>
      </x:c>
      <x:c r="I2135" s="6" t="n">
        <x:v>69</x:v>
      </x:c>
      <x:c r="J2135" s="6" t="n">
        <x:v>1</x:v>
      </x:c>
      <x:c r="K2135" s="6" t="n">
        <x:v>3</x:v>
      </x:c>
      <x:c r="L2135" s="6" t="n">
        <x:v>2</x:v>
      </x:c>
      <x:c r="M2135" s="6" t="n">
        <x:v>20</x:v>
      </x:c>
      <x:c r="N2135" s="6" t="n">
        <x:v>30</x:v>
      </x:c>
      <x:c r="O2135" s="6" t="n">
        <x:v>47</x:v>
      </x:c>
      <x:c r="P2135" s="6" t="n">
        <x:v>3</x:v>
      </x:c>
      <x:c r="Q2135" s="6" t="n">
        <x:v>2</x:v>
      </x:c>
      <x:c r="R2135" s="6" t="n">
        <x:v>1</x:v>
      </x:c>
      <x:c r="S2135" s="6" t="n">
        <x:v>2</x:v>
      </x:c>
      <x:c r="T2135" s="6" t="n">
        <x:v>8</x:v>
      </x:c>
      <x:c r="U2135" s="6" t="n">
        <x:v>0</x:v>
      </x:c>
      <x:c r="V2135" s="6" t="n">
        <x:v>0</x:v>
      </x:c>
      <x:c r="W2135" s="6" t="n">
        <x:v>0</x:v>
      </x:c>
      <x:c r="X2135" s="6" t="n">
        <x:v>0</x:v>
      </x:c>
      <x:c r="Y2135" s="6" t="n">
        <x:v>0</x:v>
      </x:c>
      <x:c r="Z2135" s="6" t="n">
        <x:v>0</x:v>
      </x:c>
      <x:c r="AA2135" s="6" t="n">
        <x:v>3</x:v>
      </x:c>
      <x:c r="AB2135" s="6" t="n">
        <x:v>11</x:v>
      </x:c>
      <x:c r="AC2135" s="6" t="n">
        <x:v>0</x:v>
      </x:c>
    </x:row>
    <x:row r="2136">
      <x:c r="A2136" s="6" t="n">
        <x:v>4369</x:v>
      </x:c>
      <x:c r="B2136" s="6" t="n">
        <x:v>1957</x:v>
      </x:c>
      <x:c r="C2136" s="6" t="str">
        <x:v>Master</x:v>
      </x:c>
      <x:c r="D2136" s="6" t="str">
        <x:v>Absurd</x:v>
      </x:c>
      <x:c r="E2136" s="6" t="n">
        <x:v>65487</x:v>
      </x:c>
      <x:c r="F2136" s="6" t="n">
        <x:v>0</x:v>
      </x:c>
      <x:c r="G2136" s="6" t="n">
        <x:v>0</x:v>
      </x:c>
      <x:c r="H2136" s="9" t="str">
        <x:v>10-01-2014</x:v>
      </x:c>
      <x:c r="I2136" s="6" t="n">
        <x:v>48</x:v>
      </x:c>
      <x:c r="J2136" s="6" t="n">
        <x:v>240</x:v>
      </x:c>
      <x:c r="K2136" s="6" t="n">
        <x:v>67</x:v>
      </x:c>
      <x:c r="L2136" s="6" t="n">
        <x:v>500</x:v>
      </x:c>
      <x:c r="M2136" s="6" t="n">
        <x:v>199</x:v>
      </x:c>
      <x:c r="N2136" s="6" t="n">
        <x:v>0</x:v>
      </x:c>
      <x:c r="O2136" s="6" t="n">
        <x:v>163</x:v>
      </x:c>
      <x:c r="P2136" s="6" t="n">
        <x:v>3</x:v>
      </x:c>
      <x:c r="Q2136" s="6" t="n">
        <x:v>3</x:v>
      </x:c>
      <x:c r="R2136" s="6" t="n">
        <x:v>5</x:v>
      </x:c>
      <x:c r="S2136" s="6" t="n">
        <x:v>6</x:v>
      </x:c>
      <x:c r="T2136" s="6" t="n">
        <x:v>2</x:v>
      </x:c>
      <x:c r="U2136" s="6" t="n">
        <x:v>0</x:v>
      </x:c>
      <x:c r="V2136" s="6" t="n">
        <x:v>0</x:v>
      </x:c>
      <x:c r="W2136" s="6" t="n">
        <x:v>0</x:v>
      </x:c>
      <x:c r="X2136" s="6" t="n">
        <x:v>0</x:v>
      </x:c>
      <x:c r="Y2136" s="6" t="n">
        <x:v>0</x:v>
      </x:c>
      <x:c r="Z2136" s="6" t="n">
        <x:v>0</x:v>
      </x:c>
      <x:c r="AA2136" s="6" t="n">
        <x:v>3</x:v>
      </x:c>
      <x:c r="AB2136" s="6" t="n">
        <x:v>11</x:v>
      </x:c>
      <x:c r="AC2136" s="6" t="n">
        <x:v>0</x:v>
      </x:c>
    </x:row>
    <x:row r="2137">
      <x:c r="A2137" s="6" t="n">
        <x:v>10127</x:v>
      </x:c>
      <x:c r="B2137" s="6" t="n">
        <x:v>1965</x:v>
      </x:c>
      <x:c r="C2137" s="6" t="str">
        <x:v>Graduation</x:v>
      </x:c>
      <x:c r="D2137" s="6" t="str">
        <x:v>Married</x:v>
      </x:c>
      <x:c r="E2137" s="6" t="n">
        <x:v>58692</x:v>
      </x:c>
      <x:c r="F2137" s="6" t="n">
        <x:v>0</x:v>
      </x:c>
      <x:c r="G2137" s="6" t="n">
        <x:v>1</x:v>
      </x:c>
      <x:c r="H2137" s="9" t="str">
        <x:v>06-04-2014</x:v>
      </x:c>
      <x:c r="I2137" s="6" t="n">
        <x:v>21</x:v>
      </x:c>
      <x:c r="J2137" s="6" t="n">
        <x:v>301</x:v>
      </x:c>
      <x:c r="K2137" s="6" t="n">
        <x:v>11</x:v>
      </x:c>
      <x:c r="L2137" s="6" t="n">
        <x:v>61</x:v>
      </x:c>
      <x:c r="M2137" s="6" t="n">
        <x:v>4</x:v>
      </x:c>
      <x:c r="N2137" s="6" t="n">
        <x:v>7</x:v>
      </x:c>
      <x:c r="O2137" s="6" t="n">
        <x:v>11</x:v>
      </x:c>
      <x:c r="P2137" s="6" t="n">
        <x:v>1</x:v>
      </x:c>
      <x:c r="Q2137" s="6" t="n">
        <x:v>8</x:v>
      </x:c>
      <x:c r="R2137" s="6" t="n">
        <x:v>2</x:v>
      </x:c>
      <x:c r="S2137" s="6" t="n">
        <x:v>4</x:v>
      </x:c>
      <x:c r="T2137" s="6" t="n">
        <x:v>7</x:v>
      </x:c>
      <x:c r="U2137" s="6" t="n">
        <x:v>0</x:v>
      </x:c>
      <x:c r="V2137" s="6" t="n">
        <x:v>0</x:v>
      </x:c>
      <x:c r="W2137" s="6" t="n">
        <x:v>0</x:v>
      </x:c>
      <x:c r="X2137" s="6" t="n">
        <x:v>0</x:v>
      </x:c>
      <x:c r="Y2137" s="6" t="n">
        <x:v>0</x:v>
      </x:c>
      <x:c r="Z2137" s="6" t="n">
        <x:v>0</x:v>
      </x:c>
      <x:c r="AA2137" s="6" t="n">
        <x:v>3</x:v>
      </x:c>
      <x:c r="AB2137" s="6" t="n">
        <x:v>11</x:v>
      </x:c>
      <x:c r="AC2137" s="6" t="n">
        <x:v>0</x:v>
      </x:c>
    </x:row>
    <x:row r="2138">
      <x:c r="A2138" s="6" t="n">
        <x:v>271</x:v>
      </x:c>
      <x:c r="B2138" s="6" t="n">
        <x:v>1969</x:v>
      </x:c>
      <x:c r="C2138" s="6" t="str">
        <x:v>Graduation</x:v>
      </x:c>
      <x:c r="D2138" s="6" t="str">
        <x:v>Widow</x:v>
      </x:c>
      <x:c r="E2138" s="6" t="n">
        <x:v>40590</x:v>
      </x:c>
      <x:c r="F2138" s="6" t="n">
        <x:v>1</x:v>
      </x:c>
      <x:c r="G2138" s="6" t="n">
        <x:v>1</x:v>
      </x:c>
      <x:c r="H2138" s="9" t="str">
        <x:v>02-10-2013</x:v>
      </x:c>
      <x:c r="I2138" s="6" t="n">
        <x:v>30</x:v>
      </x:c>
      <x:c r="J2138" s="6" t="n">
        <x:v>154</x:v>
      </x:c>
      <x:c r="K2138" s="6" t="n">
        <x:v>0</x:v>
      </x:c>
      <x:c r="L2138" s="6" t="n">
        <x:v>50</x:v>
      </x:c>
      <x:c r="M2138" s="6" t="n">
        <x:v>6</x:v>
      </x:c>
      <x:c r="N2138" s="6" t="n">
        <x:v>11</x:v>
      </x:c>
      <x:c r="O2138" s="6" t="n">
        <x:v>37</x:v>
      </x:c>
      <x:c r="P2138" s="6" t="n">
        <x:v>5</x:v>
      </x:c>
      <x:c r="Q2138" s="6" t="n">
        <x:v>3</x:v>
      </x:c>
      <x:c r="R2138" s="6" t="n">
        <x:v>4</x:v>
      </x:c>
      <x:c r="S2138" s="6" t="n">
        <x:v>3</x:v>
      </x:c>
      <x:c r="T2138" s="6" t="n">
        <x:v>6</x:v>
      </x:c>
      <x:c r="U2138" s="6" t="n">
        <x:v>1</x:v>
      </x:c>
      <x:c r="V2138" s="6" t="n">
        <x:v>0</x:v>
      </x:c>
      <x:c r="W2138" s="6" t="n">
        <x:v>0</x:v>
      </x:c>
      <x:c r="X2138" s="6" t="n">
        <x:v>0</x:v>
      </x:c>
      <x:c r="Y2138" s="6" t="n">
        <x:v>0</x:v>
      </x:c>
      <x:c r="Z2138" s="6" t="n">
        <x:v>0</x:v>
      </x:c>
      <x:c r="AA2138" s="6" t="n">
        <x:v>3</x:v>
      </x:c>
      <x:c r="AB2138" s="6" t="n">
        <x:v>11</x:v>
      </x:c>
      <x:c r="AC2138" s="6" t="n">
        <x:v>0</x:v>
      </x:c>
    </x:row>
    <x:row r="2139">
      <x:c r="A2139" s="6" t="n">
        <x:v>4973</x:v>
      </x:c>
      <x:c r="B2139" s="6" t="n">
        <x:v>1970</x:v>
      </x:c>
      <x:c r="C2139" s="6" t="str">
        <x:v>Graduation</x:v>
      </x:c>
      <x:c r="D2139" s="6" t="str">
        <x:v>Single</x:v>
      </x:c>
      <x:c r="E2139" s="6" t="n">
        <x:v>20587</x:v>
      </x:c>
      <x:c r="F2139" s="6" t="n">
        <x:v>1</x:v>
      </x:c>
      <x:c r="G2139" s="6" t="n">
        <x:v>0</x:v>
      </x:c>
      <x:c r="H2139" s="9" t="str">
        <x:v>11-05-2014</x:v>
      </x:c>
      <x:c r="I2139" s="6" t="n">
        <x:v>39</x:v>
      </x:c>
      <x:c r="J2139" s="6" t="n">
        <x:v>2</x:v>
      </x:c>
      <x:c r="K2139" s="6" t="n">
        <x:v>3</x:v>
      </x:c>
      <x:c r="L2139" s="6" t="n">
        <x:v>6</x:v>
      </x:c>
      <x:c r="M2139" s="6" t="n">
        <x:v>4</x:v>
      </x:c>
      <x:c r="N2139" s="6" t="n">
        <x:v>1</x:v>
      </x:c>
      <x:c r="O2139" s="6" t="n">
        <x:v>9</x:v>
      </x:c>
      <x:c r="P2139" s="6" t="n">
        <x:v>1</x:v>
      </x:c>
      <x:c r="Q2139" s="6" t="n">
        <x:v>1</x:v>
      </x:c>
      <x:c r="R2139" s="6" t="n">
        <x:v>1</x:v>
      </x:c>
      <x:c r="S2139" s="6" t="n">
        <x:v>2</x:v>
      </x:c>
      <x:c r="T2139" s="6" t="n">
        <x:v>7</x:v>
      </x:c>
      <x:c r="U2139" s="6" t="n">
        <x:v>0</x:v>
      </x:c>
      <x:c r="V2139" s="6" t="n">
        <x:v>0</x:v>
      </x:c>
      <x:c r="W2139" s="6" t="n">
        <x:v>0</x:v>
      </x:c>
      <x:c r="X2139" s="6" t="n">
        <x:v>0</x:v>
      </x:c>
      <x:c r="Y2139" s="6" t="n">
        <x:v>0</x:v>
      </x:c>
      <x:c r="Z2139" s="6" t="n">
        <x:v>0</x:v>
      </x:c>
      <x:c r="AA2139" s="6" t="n">
        <x:v>3</x:v>
      </x:c>
      <x:c r="AB2139" s="6" t="n">
        <x:v>11</x:v>
      </x:c>
      <x:c r="AC2139" s="6" t="n">
        <x:v>0</x:v>
      </x:c>
    </x:row>
    <x:row r="2140">
      <x:c r="A2140" s="6" t="n">
        <x:v>2948</x:v>
      </x:c>
      <x:c r="B2140" s="6" t="n">
        <x:v>1954</x:v>
      </x:c>
      <x:c r="C2140" s="6" t="str">
        <x:v>Master</x:v>
      </x:c>
      <x:c r="D2140" s="6" t="str">
        <x:v>Divorced</x:v>
      </x:c>
      <x:c r="E2140" s="6" t="n">
        <x:v>62637</x:v>
      </x:c>
      <x:c r="F2140" s="6" t="n">
        <x:v>0</x:v>
      </x:c>
      <x:c r="G2140" s="6" t="n">
        <x:v>1</x:v>
      </x:c>
      <x:c r="H2140" s="9" t="str">
        <x:v>01-03-2014</x:v>
      </x:c>
      <x:c r="I2140" s="6" t="n">
        <x:v>76</x:v>
      </x:c>
      <x:c r="J2140" s="6" t="n">
        <x:v>104</x:v>
      </x:c>
      <x:c r="K2140" s="6" t="n">
        <x:v>12</x:v>
      </x:c>
      <x:c r="L2140" s="6" t="n">
        <x:v>48</x:v>
      </x:c>
      <x:c r="M2140" s="6" t="n">
        <x:v>4</x:v>
      </x:c>
      <x:c r="N2140" s="6" t="n">
        <x:v>12</x:v>
      </x:c>
      <x:c r="O2140" s="6" t="n">
        <x:v>5</x:v>
      </x:c>
      <x:c r="P2140" s="6" t="n">
        <x:v>1</x:v>
      </x:c>
      <x:c r="Q2140" s="6" t="n">
        <x:v>2</x:v>
      </x:c>
      <x:c r="R2140" s="6" t="n">
        <x:v>2</x:v>
      </x:c>
      <x:c r="S2140" s="6" t="n">
        <x:v>5</x:v>
      </x:c>
      <x:c r="T2140" s="6" t="n">
        <x:v>2</x:v>
      </x:c>
      <x:c r="U2140" s="6" t="n">
        <x:v>0</x:v>
      </x:c>
      <x:c r="V2140" s="6" t="n">
        <x:v>0</x:v>
      </x:c>
      <x:c r="W2140" s="6" t="n">
        <x:v>0</x:v>
      </x:c>
      <x:c r="X2140" s="6" t="n">
        <x:v>0</x:v>
      </x:c>
      <x:c r="Y2140" s="6" t="n">
        <x:v>0</x:v>
      </x:c>
      <x:c r="Z2140" s="6" t="n">
        <x:v>0</x:v>
      </x:c>
      <x:c r="AA2140" s="6" t="n">
        <x:v>3</x:v>
      </x:c>
      <x:c r="AB2140" s="6" t="n">
        <x:v>11</x:v>
      </x:c>
      <x:c r="AC2140" s="6" t="n">
        <x:v>0</x:v>
      </x:c>
    </x:row>
    <x:row r="2141">
      <x:c r="A2141" s="6" t="n">
        <x:v>2715</x:v>
      </x:c>
      <x:c r="B2141" s="6" t="n">
        <x:v>1966</x:v>
      </x:c>
      <x:c r="C2141" s="6" t="str">
        <x:v>Master</x:v>
      </x:c>
      <x:c r="D2141" s="6" t="str">
        <x:v>Divorced</x:v>
      </x:c>
      <x:c r="E2141" s="6" t="n">
        <x:v>29435</x:v>
      </x:c>
      <x:c r="F2141" s="6" t="n">
        <x:v>1</x:v>
      </x:c>
      <x:c r="G2141" s="6" t="n">
        <x:v>1</x:v>
      </x:c>
      <x:c r="H2141" s="9" t="str">
        <x:v>06-08-2012</x:v>
      </x:c>
      <x:c r="I2141" s="6" t="n">
        <x:v>11</x:v>
      </x:c>
      <x:c r="J2141" s="6" t="n">
        <x:v>70</x:v>
      </x:c>
      <x:c r="K2141" s="6" t="n">
        <x:v>3</x:v>
      </x:c>
      <x:c r="L2141" s="6" t="n">
        <x:v>37</x:v>
      </x:c>
      <x:c r="M2141" s="6" t="n">
        <x:v>4</x:v>
      </x:c>
      <x:c r="N2141" s="6" t="n">
        <x:v>2</x:v>
      </x:c>
      <x:c r="O2141" s="6" t="n">
        <x:v>64</x:v>
      </x:c>
      <x:c r="P2141" s="6" t="n">
        <x:v>4</x:v>
      </x:c>
      <x:c r="Q2141" s="6" t="n">
        <x:v>3</x:v>
      </x:c>
      <x:c r="R2141" s="6" t="n">
        <x:v>2</x:v>
      </x:c>
      <x:c r="S2141" s="6" t="n">
        <x:v>2</x:v>
      </x:c>
      <x:c r="T2141" s="6" t="n">
        <x:v>9</x:v>
      </x:c>
      <x:c r="U2141" s="6" t="n">
        <x:v>0</x:v>
      </x:c>
      <x:c r="V2141" s="6" t="n">
        <x:v>0</x:v>
      </x:c>
      <x:c r="W2141" s="6" t="n">
        <x:v>0</x:v>
      </x:c>
      <x:c r="X2141" s="6" t="n">
        <x:v>0</x:v>
      </x:c>
      <x:c r="Y2141" s="6" t="n">
        <x:v>0</x:v>
      </x:c>
      <x:c r="Z2141" s="6" t="n">
        <x:v>0</x:v>
      </x:c>
      <x:c r="AA2141" s="6" t="n">
        <x:v>3</x:v>
      </x:c>
      <x:c r="AB2141" s="6" t="n">
        <x:v>11</x:v>
      </x:c>
      <x:c r="AC2141" s="6" t="n">
        <x:v>1</x:v>
      </x:c>
    </x:row>
    <x:row r="2142">
      <x:c r="A2142" s="6" t="n">
        <x:v>10432</x:v>
      </x:c>
      <x:c r="B2142" s="6" t="n">
        <x:v>1974</x:v>
      </x:c>
      <x:c r="C2142" s="6" t="str">
        <x:v>Graduation</x:v>
      </x:c>
      <x:c r="D2142" s="6" t="str">
        <x:v>Divorced</x:v>
      </x:c>
      <x:c r="E2142" s="6" t="n">
        <x:v>19346</x:v>
      </x:c>
      <x:c r="F2142" s="6" t="n">
        <x:v>1</x:v>
      </x:c>
      <x:c r="G2142" s="6" t="n">
        <x:v>0</x:v>
      </x:c>
      <x:c r="H2142" s="9" t="str">
        <x:v>30-01-2014</x:v>
      </x:c>
      <x:c r="I2142" s="6" t="n">
        <x:v>26</x:v>
      </x:c>
      <x:c r="J2142" s="6" t="n">
        <x:v>2</x:v>
      </x:c>
      <x:c r="K2142" s="6" t="n">
        <x:v>0</x:v>
      </x:c>
      <x:c r="L2142" s="6" t="n">
        <x:v>9</x:v>
      </x:c>
      <x:c r="M2142" s="6" t="n">
        <x:v>3</x:v>
      </x:c>
      <x:c r="N2142" s="6" t="n">
        <x:v>6</x:v>
      </x:c>
      <x:c r="O2142" s="6" t="n">
        <x:v>2</x:v>
      </x:c>
      <x:c r="P2142" s="6" t="n">
        <x:v>1</x:v>
      </x:c>
      <x:c r="Q2142" s="6" t="n">
        <x:v>1</x:v>
      </x:c>
      <x:c r="R2142" s="6" t="n">
        <x:v>0</x:v>
      </x:c>
      <x:c r="S2142" s="6" t="n">
        <x:v>3</x:v>
      </x:c>
      <x:c r="T2142" s="6" t="n">
        <x:v>8</x:v>
      </x:c>
      <x:c r="U2142" s="6" t="n">
        <x:v>0</x:v>
      </x:c>
      <x:c r="V2142" s="6" t="n">
        <x:v>0</x:v>
      </x:c>
      <x:c r="W2142" s="6" t="n">
        <x:v>0</x:v>
      </x:c>
      <x:c r="X2142" s="6" t="n">
        <x:v>0</x:v>
      </x:c>
      <x:c r="Y2142" s="6" t="n">
        <x:v>0</x:v>
      </x:c>
      <x:c r="Z2142" s="6" t="n">
        <x:v>0</x:v>
      </x:c>
      <x:c r="AA2142" s="6" t="n">
        <x:v>3</x:v>
      </x:c>
      <x:c r="AB2142" s="6" t="n">
        <x:v>11</x:v>
      </x:c>
      <x:c r="AC2142" s="6" t="n">
        <x:v>0</x:v>
      </x:c>
    </x:row>
    <x:row r="2143">
      <x:c r="A2143" s="6" t="n">
        <x:v>9216</x:v>
      </x:c>
      <x:c r="B2143" s="6" t="n">
        <x:v>1971</x:v>
      </x:c>
      <x:c r="C2143" s="6" t="str">
        <x:v>Graduation</x:v>
      </x:c>
      <x:c r="D2143" s="6" t="str">
        <x:v>Married</x:v>
      </x:c>
      <x:c r="E2143" s="6" t="n">
        <x:v>35788</x:v>
      </x:c>
      <x:c r="F2143" s="6" t="n">
        <x:v>1</x:v>
      </x:c>
      <x:c r="G2143" s="6" t="n">
        <x:v>1</x:v>
      </x:c>
      <x:c r="H2143" s="9" t="str">
        <x:v>23-01-2014</x:v>
      </x:c>
      <x:c r="I2143" s="6" t="n">
        <x:v>34</x:v>
      </x:c>
      <x:c r="J2143" s="6" t="n">
        <x:v>23</x:v>
      </x:c>
      <x:c r="K2143" s="6" t="n">
        <x:v>2</x:v>
      </x:c>
      <x:c r="L2143" s="6" t="n">
        <x:v>11</x:v>
      </x:c>
      <x:c r="M2143" s="6" t="n">
        <x:v>3</x:v>
      </x:c>
      <x:c r="N2143" s="6" t="n">
        <x:v>1</x:v>
      </x:c>
      <x:c r="O2143" s="6" t="n">
        <x:v>4</x:v>
      </x:c>
      <x:c r="P2143" s="6" t="n">
        <x:v>2</x:v>
      </x:c>
      <x:c r="Q2143" s="6" t="n">
        <x:v>2</x:v>
      </x:c>
      <x:c r="R2143" s="6" t="n">
        <x:v>0</x:v>
      </x:c>
      <x:c r="S2143" s="6" t="n">
        <x:v>3</x:v>
      </x:c>
      <x:c r="T2143" s="6" t="n">
        <x:v>6</x:v>
      </x:c>
      <x:c r="U2143" s="6" t="n">
        <x:v>0</x:v>
      </x:c>
      <x:c r="V2143" s="6" t="n">
        <x:v>0</x:v>
      </x:c>
      <x:c r="W2143" s="6" t="n">
        <x:v>0</x:v>
      </x:c>
      <x:c r="X2143" s="6" t="n">
        <x:v>0</x:v>
      </x:c>
      <x:c r="Y2143" s="6" t="n">
        <x:v>0</x:v>
      </x:c>
      <x:c r="Z2143" s="6" t="n">
        <x:v>0</x:v>
      </x:c>
      <x:c r="AA2143" s="6" t="n">
        <x:v>3</x:v>
      </x:c>
      <x:c r="AB2143" s="6" t="n">
        <x:v>11</x:v>
      </x:c>
      <x:c r="AC2143" s="6" t="n">
        <x:v>0</x:v>
      </x:c>
    </x:row>
    <x:row r="2144">
      <x:c r="A2144" s="6" t="n">
        <x:v>7124</x:v>
      </x:c>
      <x:c r="B2144" s="6" t="n">
        <x:v>1968</x:v>
      </x:c>
      <x:c r="C2144" s="6" t="str">
        <x:v>Graduation</x:v>
      </x:c>
      <x:c r="D2144" s="6" t="str">
        <x:v>Divorced</x:v>
      </x:c>
      <x:c r="E2144" s="6" t="n">
        <x:v>36997</x:v>
      </x:c>
      <x:c r="F2144" s="6" t="n">
        <x:v>1</x:v>
      </x:c>
      <x:c r="G2144" s="6" t="n">
        <x:v>1</x:v>
      </x:c>
      <x:c r="H2144" s="9" t="str">
        <x:v>01-02-2013</x:v>
      </x:c>
      <x:c r="I2144" s="6" t="n">
        <x:v>72</x:v>
      </x:c>
      <x:c r="J2144" s="6" t="n">
        <x:v>43</x:v>
      </x:c>
      <x:c r="K2144" s="6" t="n">
        <x:v>4</x:v>
      </x:c>
      <x:c r="L2144" s="6" t="n">
        <x:v>12</x:v>
      </x:c>
      <x:c r="M2144" s="6" t="n">
        <x:v>8</x:v>
      </x:c>
      <x:c r="N2144" s="6" t="n">
        <x:v>0</x:v>
      </x:c>
      <x:c r="O2144" s="6" t="n">
        <x:v>27</x:v>
      </x:c>
      <x:c r="P2144" s="6" t="n">
        <x:v>5</x:v>
      </x:c>
      <x:c r="Q2144" s="6" t="n">
        <x:v>2</x:v>
      </x:c>
      <x:c r="R2144" s="6" t="n">
        <x:v>1</x:v>
      </x:c>
      <x:c r="S2144" s="6" t="n">
        <x:v>4</x:v>
      </x:c>
      <x:c r="T2144" s="6" t="n">
        <x:v>5</x:v>
      </x:c>
      <x:c r="U2144" s="6" t="n">
        <x:v>0</x:v>
      </x:c>
      <x:c r="V2144" s="6" t="n">
        <x:v>0</x:v>
      </x:c>
      <x:c r="W2144" s="6" t="n">
        <x:v>0</x:v>
      </x:c>
      <x:c r="X2144" s="6" t="n">
        <x:v>0</x:v>
      </x:c>
      <x:c r="Y2144" s="6" t="n">
        <x:v>0</x:v>
      </x:c>
      <x:c r="Z2144" s="6" t="n">
        <x:v>0</x:v>
      </x:c>
      <x:c r="AA2144" s="6" t="n">
        <x:v>3</x:v>
      </x:c>
      <x:c r="AB2144" s="6" t="n">
        <x:v>11</x:v>
      </x:c>
      <x:c r="AC2144" s="6" t="n">
        <x:v>0</x:v>
      </x:c>
    </x:row>
    <x:row r="2145">
      <x:c r="A2145" s="6" t="n">
        <x:v>9727</x:v>
      </x:c>
      <x:c r="B2145" s="6" t="n">
        <x:v>1957</x:v>
      </x:c>
      <x:c r="C2145" s="6" t="str">
        <x:v>Graduation</x:v>
      </x:c>
      <x:c r="D2145" s="6" t="str">
        <x:v>Married</x:v>
      </x:c>
      <x:c r="E2145" s="6" t="n">
        <x:v>23539</x:v>
      </x:c>
      <x:c r="F2145" s="6" t="n">
        <x:v>0</x:v>
      </x:c>
      <x:c r="G2145" s="6" t="n">
        <x:v>0</x:v>
      </x:c>
      <x:c r="H2145" s="9" t="str">
        <x:v>28-02-2014</x:v>
      </x:c>
      <x:c r="I2145" s="6" t="n">
        <x:v>13</x:v>
      </x:c>
      <x:c r="J2145" s="6" t="n">
        <x:v>4</x:v>
      </x:c>
      <x:c r="K2145" s="6" t="n">
        <x:v>24</x:v>
      </x:c>
      <x:c r="L2145" s="6" t="n">
        <x:v>11</x:v>
      </x:c>
      <x:c r="M2145" s="6" t="n">
        <x:v>16</x:v>
      </x:c>
      <x:c r="N2145" s="6" t="n">
        <x:v>1</x:v>
      </x:c>
      <x:c r="O2145" s="6" t="n">
        <x:v>25</x:v>
      </x:c>
      <x:c r="P2145" s="6" t="n">
        <x:v>1</x:v>
      </x:c>
      <x:c r="Q2145" s="6" t="n">
        <x:v>2</x:v>
      </x:c>
      <x:c r="R2145" s="6" t="n">
        <x:v>0</x:v>
      </x:c>
      <x:c r="S2145" s="6" t="n">
        <x:v>4</x:v>
      </x:c>
      <x:c r="T2145" s="6" t="n">
        <x:v>6</x:v>
      </x:c>
      <x:c r="U2145" s="6" t="n">
        <x:v>0</x:v>
      </x:c>
      <x:c r="V2145" s="6" t="n">
        <x:v>0</x:v>
      </x:c>
      <x:c r="W2145" s="6" t="n">
        <x:v>0</x:v>
      </x:c>
      <x:c r="X2145" s="6" t="n">
        <x:v>0</x:v>
      </x:c>
      <x:c r="Y2145" s="6" t="n">
        <x:v>0</x:v>
      </x:c>
      <x:c r="Z2145" s="6" t="n">
        <x:v>0</x:v>
      </x:c>
      <x:c r="AA2145" s="6" t="n">
        <x:v>3</x:v>
      </x:c>
      <x:c r="AB2145" s="6" t="n">
        <x:v>11</x:v>
      </x:c>
      <x:c r="AC2145" s="6" t="n">
        <x:v>0</x:v>
      </x:c>
    </x:row>
    <x:row r="2146">
      <x:c r="A2146" s="6" t="n">
        <x:v>5136</x:v>
      </x:c>
      <x:c r="B2146" s="6" t="n">
        <x:v>1973</x:v>
      </x:c>
      <x:c r="C2146" s="6" t="str">
        <x:v>Graduation</x:v>
      </x:c>
      <x:c r="D2146" s="6" t="str">
        <x:v>Single</x:v>
      </x:c>
      <x:c r="E2146" s="6" t="n">
        <x:v>65333</x:v>
      </x:c>
      <x:c r="F2146" s="6" t="n">
        <x:v>0</x:v>
      </x:c>
      <x:c r="G2146" s="6" t="n">
        <x:v>1</x:v>
      </x:c>
      <x:c r="H2146" s="9" t="str">
        <x:v>17-01-2014</x:v>
      </x:c>
      <x:c r="I2146" s="6" t="n">
        <x:v>58</x:v>
      </x:c>
      <x:c r="J2146" s="6" t="n">
        <x:v>654</x:v>
      </x:c>
      <x:c r="K2146" s="6" t="n">
        <x:v>7</x:v>
      </x:c>
      <x:c r="L2146" s="6" t="n">
        <x:v>92</x:v>
      </x:c>
      <x:c r="M2146" s="6" t="n">
        <x:v>0</x:v>
      </x:c>
      <x:c r="N2146" s="6" t="n">
        <x:v>15</x:v>
      </x:c>
      <x:c r="O2146" s="6" t="n">
        <x:v>30</x:v>
      </x:c>
      <x:c r="P2146" s="6" t="n">
        <x:v>7</x:v>
      </x:c>
      <x:c r="Q2146" s="6" t="n">
        <x:v>9</x:v>
      </x:c>
      <x:c r="R2146" s="6" t="n">
        <x:v>4</x:v>
      </x:c>
      <x:c r="S2146" s="6" t="n">
        <x:v>8</x:v>
      </x:c>
      <x:c r="T2146" s="6" t="n">
        <x:v>6</x:v>
      </x:c>
      <x:c r="U2146" s="6" t="n">
        <x:v>0</x:v>
      </x:c>
      <x:c r="V2146" s="6" t="n">
        <x:v>1</x:v>
      </x:c>
      <x:c r="W2146" s="6" t="n">
        <x:v>1</x:v>
      </x:c>
      <x:c r="X2146" s="6" t="n">
        <x:v>0</x:v>
      </x:c>
      <x:c r="Y2146" s="6" t="n">
        <x:v>0</x:v>
      </x:c>
      <x:c r="Z2146" s="6" t="n">
        <x:v>0</x:v>
      </x:c>
      <x:c r="AA2146" s="6" t="n">
        <x:v>3</x:v>
      </x:c>
      <x:c r="AB2146" s="6" t="n">
        <x:v>11</x:v>
      </x:c>
      <x:c r="AC2146" s="6" t="n">
        <x:v>0</x:v>
      </x:c>
    </x:row>
    <x:row r="2147">
      <x:c r="A2147" s="6" t="n">
        <x:v>9790</x:v>
      </x:c>
      <x:c r="B2147" s="6" t="n">
        <x:v>1957</x:v>
      </x:c>
      <x:c r="C2147" s="6" t="str">
        <x:v>Graduation</x:v>
      </x:c>
      <x:c r="D2147" s="6" t="str">
        <x:v>Single</x:v>
      </x:c>
      <x:c r="E2147" s="6" t="n">
        <x:v>78499</x:v>
      </x:c>
      <x:c r="F2147" s="6" t="n">
        <x:v>0</x:v>
      </x:c>
      <x:c r="G2147" s="6" t="n">
        <x:v>0</x:v>
      </x:c>
      <x:c r="H2147" s="9" t="str">
        <x:v>23-11-2013</x:v>
      </x:c>
      <x:c r="I2147" s="6" t="n">
        <x:v>12</x:v>
      </x:c>
      <x:c r="J2147" s="6" t="n">
        <x:v>912</x:v>
      </x:c>
      <x:c r="K2147" s="6" t="n">
        <x:v>72</x:v>
      </x:c>
      <x:c r="L2147" s="6" t="n">
        <x:v>170</x:v>
      </x:c>
      <x:c r="M2147" s="6" t="n">
        <x:v>47</x:v>
      </x:c>
      <x:c r="N2147" s="6" t="n">
        <x:v>36</x:v>
      </x:c>
      <x:c r="O2147" s="6" t="n">
        <x:v>97</x:v>
      </x:c>
      <x:c r="P2147" s="6" t="n">
        <x:v>1</x:v>
      </x:c>
      <x:c r="Q2147" s="6" t="n">
        <x:v>11</x:v>
      </x:c>
      <x:c r="R2147" s="6" t="n">
        <x:v>3</x:v>
      </x:c>
      <x:c r="S2147" s="6" t="n">
        <x:v>4</x:v>
      </x:c>
      <x:c r="T2147" s="6" t="n">
        <x:v>4</x:v>
      </x:c>
      <x:c r="U2147" s="6" t="n">
        <x:v>0</x:v>
      </x:c>
      <x:c r="V2147" s="6" t="n">
        <x:v>0</x:v>
      </x:c>
      <x:c r="W2147" s="6" t="n">
        <x:v>1</x:v>
      </x:c>
      <x:c r="X2147" s="6" t="n">
        <x:v>0</x:v>
      </x:c>
      <x:c r="Y2147" s="6" t="n">
        <x:v>0</x:v>
      </x:c>
      <x:c r="Z2147" s="6" t="n">
        <x:v>0</x:v>
      </x:c>
      <x:c r="AA2147" s="6" t="n">
        <x:v>3</x:v>
      </x:c>
      <x:c r="AB2147" s="6" t="n">
        <x:v>11</x:v>
      </x:c>
      <x:c r="AC2147" s="6" t="n">
        <x:v>1</x:v>
      </x:c>
    </x:row>
    <x:row r="2148">
      <x:c r="A2148" s="6" t="n">
        <x:v>1818</x:v>
      </x:c>
      <x:c r="B2148" s="6" t="n">
        <x:v>1971</x:v>
      </x:c>
      <x:c r="C2148" s="6" t="str">
        <x:v>PhD</x:v>
      </x:c>
      <x:c r="D2148" s="6" t="str">
        <x:v>Together</x:v>
      </x:c>
      <x:c r="E2148" s="6" t="n">
        <x:v>29732</x:v>
      </x:c>
      <x:c r="F2148" s="6" t="n">
        <x:v>1</x:v>
      </x:c>
      <x:c r="G2148" s="6" t="n">
        <x:v>0</x:v>
      </x:c>
      <x:c r="H2148" s="9" t="str">
        <x:v>25-03-2014</x:v>
      </x:c>
      <x:c r="I2148" s="6" t="n">
        <x:v>23</x:v>
      </x:c>
      <x:c r="J2148" s="6" t="n">
        <x:v>25</x:v>
      </x:c>
      <x:c r="K2148" s="6" t="n">
        <x:v>0</x:v>
      </x:c>
      <x:c r="L2148" s="6" t="n">
        <x:v>8</x:v>
      </x:c>
      <x:c r="M2148" s="6" t="n">
        <x:v>0</x:v>
      </x:c>
      <x:c r="N2148" s="6" t="n">
        <x:v>1</x:v>
      </x:c>
      <x:c r="O2148" s="6" t="n">
        <x:v>4</x:v>
      </x:c>
      <x:c r="P2148" s="6" t="n">
        <x:v>1</x:v>
      </x:c>
      <x:c r="Q2148" s="6" t="n">
        <x:v>2</x:v>
      </x:c>
      <x:c r="R2148" s="6" t="n">
        <x:v>0</x:v>
      </x:c>
      <x:c r="S2148" s="6" t="n">
        <x:v>2</x:v>
      </x:c>
      <x:c r="T2148" s="6" t="n">
        <x:v>9</x:v>
      </x:c>
      <x:c r="U2148" s="6" t="n">
        <x:v>0</x:v>
      </x:c>
      <x:c r="V2148" s="6" t="n">
        <x:v>0</x:v>
      </x:c>
      <x:c r="W2148" s="6" t="n">
        <x:v>0</x:v>
      </x:c>
      <x:c r="X2148" s="6" t="n">
        <x:v>0</x:v>
      </x:c>
      <x:c r="Y2148" s="6" t="n">
        <x:v>0</x:v>
      </x:c>
      <x:c r="Z2148" s="6" t="n">
        <x:v>0</x:v>
      </x:c>
      <x:c r="AA2148" s="6" t="n">
        <x:v>3</x:v>
      </x:c>
      <x:c r="AB2148" s="6" t="n">
        <x:v>11</x:v>
      </x:c>
      <x:c r="AC2148" s="6" t="n">
        <x:v>0</x:v>
      </x:c>
    </x:row>
    <x:row r="2149">
      <x:c r="A2149" s="6" t="n">
        <x:v>1100</x:v>
      </x:c>
      <x:c r="B2149" s="6" t="n">
        <x:v>1960</x:v>
      </x:c>
      <x:c r="C2149" s="6" t="str">
        <x:v>Master</x:v>
      </x:c>
      <x:c r="D2149" s="6" t="str">
        <x:v>Together</x:v>
      </x:c>
      <x:c r="E2149" s="6" t="n">
        <x:v>41275</x:v>
      </x:c>
      <x:c r="F2149" s="6" t="n">
        <x:v>1</x:v>
      </x:c>
      <x:c r="G2149" s="6" t="n">
        <x:v>2</x:v>
      </x:c>
      <x:c r="H2149" s="9" t="str">
        <x:v>24-03-2014</x:v>
      </x:c>
      <x:c r="I2149" s="6" t="n">
        <x:v>33</x:v>
      </x:c>
      <x:c r="J2149" s="6" t="n">
        <x:v>24</x:v>
      </x:c>
      <x:c r="K2149" s="6" t="n">
        <x:v>4</x:v>
      </x:c>
      <x:c r="L2149" s="6" t="n">
        <x:v>22</x:v>
      </x:c>
      <x:c r="M2149" s="6" t="n">
        <x:v>0</x:v>
      </x:c>
      <x:c r="N2149" s="6" t="n">
        <x:v>2</x:v>
      </x:c>
      <x:c r="O2149" s="6" t="n">
        <x:v>9</x:v>
      </x:c>
      <x:c r="P2149" s="6" t="n">
        <x:v>4</x:v>
      </x:c>
      <x:c r="Q2149" s="6" t="n">
        <x:v>3</x:v>
      </x:c>
      <x:c r="R2149" s="6" t="n">
        <x:v>1</x:v>
      </x:c>
      <x:c r="S2149" s="6" t="n">
        <x:v>3</x:v>
      </x:c>
      <x:c r="T2149" s="6" t="n">
        <x:v>5</x:v>
      </x:c>
      <x:c r="U2149" s="6" t="n">
        <x:v>0</x:v>
      </x:c>
      <x:c r="V2149" s="6" t="n">
        <x:v>0</x:v>
      </x:c>
      <x:c r="W2149" s="6" t="n">
        <x:v>0</x:v>
      </x:c>
      <x:c r="X2149" s="6" t="n">
        <x:v>0</x:v>
      </x:c>
      <x:c r="Y2149" s="6" t="n">
        <x:v>0</x:v>
      </x:c>
      <x:c r="Z2149" s="6" t="n">
        <x:v>0</x:v>
      </x:c>
      <x:c r="AA2149" s="6" t="n">
        <x:v>3</x:v>
      </x:c>
      <x:c r="AB2149" s="6" t="n">
        <x:v>11</x:v>
      </x:c>
      <x:c r="AC2149" s="6" t="n">
        <x:v>0</x:v>
      </x:c>
    </x:row>
    <x:row r="2150">
      <x:c r="A2150" s="6" t="n">
        <x:v>7873</x:v>
      </x:c>
      <x:c r="B2150" s="6" t="n">
        <x:v>1973</x:v>
      </x:c>
      <x:c r="C2150" s="6" t="str">
        <x:v>PhD</x:v>
      </x:c>
      <x:c r="D2150" s="6" t="str">
        <x:v>Together</x:v>
      </x:c>
      <x:c r="E2150" s="6" t="n">
        <x:v>63516</x:v>
      </x:c>
      <x:c r="F2150" s="6" t="n">
        <x:v>1</x:v>
      </x:c>
      <x:c r="G2150" s="6" t="n">
        <x:v>1</x:v>
      </x:c>
      <x:c r="H2150" s="9" t="str">
        <x:v>06-07-2013</x:v>
      </x:c>
      <x:c r="I2150" s="6" t="n">
        <x:v>30</x:v>
      </x:c>
      <x:c r="J2150" s="6" t="n">
        <x:v>141</x:v>
      </x:c>
      <x:c r="K2150" s="6" t="n">
        <x:v>11</x:v>
      </x:c>
      <x:c r="L2150" s="6" t="n">
        <x:v>114</x:v>
      </x:c>
      <x:c r="M2150" s="6" t="n">
        <x:v>15</x:v>
      </x:c>
      <x:c r="N2150" s="6" t="n">
        <x:v>14</x:v>
      </x:c>
      <x:c r="O2150" s="6" t="n">
        <x:v>5</x:v>
      </x:c>
      <x:c r="P2150" s="6" t="n">
        <x:v>4</x:v>
      </x:c>
      <x:c r="Q2150" s="6" t="n">
        <x:v>4</x:v>
      </x:c>
      <x:c r="R2150" s="6" t="n">
        <x:v>1</x:v>
      </x:c>
      <x:c r="S2150" s="6" t="n">
        <x:v>7</x:v>
      </x:c>
      <x:c r="T2150" s="6" t="n">
        <x:v>5</x:v>
      </x:c>
      <x:c r="U2150" s="6" t="n">
        <x:v>0</x:v>
      </x:c>
      <x:c r="V2150" s="6" t="n">
        <x:v>0</x:v>
      </x:c>
      <x:c r="W2150" s="6" t="n">
        <x:v>0</x:v>
      </x:c>
      <x:c r="X2150" s="6" t="n">
        <x:v>0</x:v>
      </x:c>
      <x:c r="Y2150" s="6" t="n">
        <x:v>0</x:v>
      </x:c>
      <x:c r="Z2150" s="6" t="n">
        <x:v>0</x:v>
      </x:c>
      <x:c r="AA2150" s="6" t="n">
        <x:v>3</x:v>
      </x:c>
      <x:c r="AB2150" s="6" t="n">
        <x:v>11</x:v>
      </x:c>
      <x:c r="AC2150" s="6" t="n">
        <x:v>0</x:v>
      </x:c>
    </x:row>
    <x:row r="2151">
      <x:c r="A2151" s="6" t="n">
        <x:v>10609</x:v>
      </x:c>
      <x:c r="B2151" s="6" t="n">
        <x:v>1962</x:v>
      </x:c>
      <x:c r="C2151" s="6" t="str">
        <x:v>PhD</x:v>
      </x:c>
      <x:c r="D2151" s="6" t="str">
        <x:v>Married</x:v>
      </x:c>
      <x:c r="E2151" s="6" t="n">
        <x:v>42769</x:v>
      </x:c>
      <x:c r="F2151" s="6" t="n">
        <x:v>0</x:v>
      </x:c>
      <x:c r="G2151" s="6" t="n">
        <x:v>1</x:v>
      </x:c>
      <x:c r="H2151" s="9" t="str">
        <x:v>12-10-2013</x:v>
      </x:c>
      <x:c r="I2151" s="6" t="n">
        <x:v>15</x:v>
      </x:c>
      <x:c r="J2151" s="6" t="n">
        <x:v>71</x:v>
      </x:c>
      <x:c r="K2151" s="6" t="n">
        <x:v>0</x:v>
      </x:c>
      <x:c r="L2151" s="6" t="n">
        <x:v>13</x:v>
      </x:c>
      <x:c r="M2151" s="6" t="n">
        <x:v>3</x:v>
      </x:c>
      <x:c r="N2151" s="6" t="n">
        <x:v>1</x:v>
      </x:c>
      <x:c r="O2151" s="6" t="n">
        <x:v>0</x:v>
      </x:c>
      <x:c r="P2151" s="6" t="n">
        <x:v>2</x:v>
      </x:c>
      <x:c r="Q2151" s="6" t="n">
        <x:v>1</x:v>
      </x:c>
      <x:c r="R2151" s="6" t="n">
        <x:v>1</x:v>
      </x:c>
      <x:c r="S2151" s="6" t="n">
        <x:v>4</x:v>
      </x:c>
      <x:c r="T2151" s="6" t="n">
        <x:v>4</x:v>
      </x:c>
      <x:c r="U2151" s="6" t="n">
        <x:v>0</x:v>
      </x:c>
      <x:c r="V2151" s="6" t="n">
        <x:v>0</x:v>
      </x:c>
      <x:c r="W2151" s="6" t="n">
        <x:v>0</x:v>
      </x:c>
      <x:c r="X2151" s="6" t="n">
        <x:v>0</x:v>
      </x:c>
      <x:c r="Y2151" s="6" t="n">
        <x:v>0</x:v>
      </x:c>
      <x:c r="Z2151" s="6" t="n">
        <x:v>0</x:v>
      </x:c>
      <x:c r="AA2151" s="6" t="n">
        <x:v>3</x:v>
      </x:c>
      <x:c r="AB2151" s="6" t="n">
        <x:v>11</x:v>
      </x:c>
      <x:c r="AC2151" s="6" t="n">
        <x:v>0</x:v>
      </x:c>
    </x:row>
    <x:row r="2152">
      <x:c r="A2152" s="6" t="n">
        <x:v>6950</x:v>
      </x:c>
      <x:c r="B2152" s="6" t="n">
        <x:v>1958</x:v>
      </x:c>
      <x:c r="C2152" s="6" t="str">
        <x:v>Master</x:v>
      </x:c>
      <x:c r="D2152" s="6" t="str">
        <x:v>Married</x:v>
      </x:c>
      <x:c r="E2152" s="6" t="n">
        <x:v>49572</x:v>
      </x:c>
      <x:c r="F2152" s="6" t="n">
        <x:v>1</x:v>
      </x:c>
      <x:c r="G2152" s="6" t="n">
        <x:v>1</x:v>
      </x:c>
      <x:c r="H2152" s="9" t="str">
        <x:v>15-12-2013</x:v>
      </x:c>
      <x:c r="I2152" s="6" t="n">
        <x:v>25</x:v>
      </x:c>
      <x:c r="J2152" s="6" t="n">
        <x:v>35</x:v>
      </x:c>
      <x:c r="K2152" s="6" t="n">
        <x:v>1</x:v>
      </x:c>
      <x:c r="L2152" s="6" t="n">
        <x:v>16</x:v>
      </x:c>
      <x:c r="M2152" s="6" t="n">
        <x:v>0</x:v>
      </x:c>
      <x:c r="N2152" s="6" t="n">
        <x:v>1</x:v>
      </x:c>
      <x:c r="O2152" s="6" t="n">
        <x:v>1</x:v>
      </x:c>
      <x:c r="P2152" s="6" t="n">
        <x:v>2</x:v>
      </x:c>
      <x:c r="Q2152" s="6" t="n">
        <x:v>2</x:v>
      </x:c>
      <x:c r="R2152" s="6" t="n">
        <x:v>0</x:v>
      </x:c>
      <x:c r="S2152" s="6" t="n">
        <x:v>3</x:v>
      </x:c>
      <x:c r="T2152" s="6" t="n">
        <x:v>7</x:v>
      </x:c>
      <x:c r="U2152" s="6" t="n">
        <x:v>0</x:v>
      </x:c>
      <x:c r="V2152" s="6" t="n">
        <x:v>0</x:v>
      </x:c>
      <x:c r="W2152" s="6" t="n">
        <x:v>0</x:v>
      </x:c>
      <x:c r="X2152" s="6" t="n">
        <x:v>0</x:v>
      </x:c>
      <x:c r="Y2152" s="6" t="n">
        <x:v>0</x:v>
      </x:c>
      <x:c r="Z2152" s="6" t="n">
        <x:v>0</x:v>
      </x:c>
      <x:c r="AA2152" s="6" t="n">
        <x:v>3</x:v>
      </x:c>
      <x:c r="AB2152" s="6" t="n">
        <x:v>11</x:v>
      </x:c>
      <x:c r="AC2152" s="6" t="n">
        <x:v>0</x:v>
      </x:c>
    </x:row>
    <x:row r="2153">
      <x:c r="A2153" s="6" t="n">
        <x:v>7233</x:v>
      </x:c>
      <x:c r="B2153" s="6" t="n">
        <x:v>1972</x:v>
      </x:c>
      <x:c r="C2153" s="6" t="str">
        <x:v>Graduation</x:v>
      </x:c>
      <x:c r="D2153" s="6" t="str">
        <x:v>Married</x:v>
      </x:c>
      <x:c r="E2153" s="6" t="n">
        <x:v>69209</x:v>
      </x:c>
      <x:c r="F2153" s="6" t="n">
        <x:v>0</x:v>
      </x:c>
      <x:c r="G2153" s="6" t="n">
        <x:v>0</x:v>
      </x:c>
      <x:c r="H2153" s="9" t="str">
        <x:v>17-09-2012</x:v>
      </x:c>
      <x:c r="I2153" s="6" t="n">
        <x:v>4</x:v>
      </x:c>
      <x:c r="J2153" s="6" t="n">
        <x:v>496</x:v>
      </x:c>
      <x:c r="K2153" s="6" t="n">
        <x:v>32</x:v>
      </x:c>
      <x:c r="L2153" s="6" t="n">
        <x:v>849</x:v>
      </x:c>
      <x:c r="M2153" s="6" t="n">
        <x:v>229</x:v>
      </x:c>
      <x:c r="N2153" s="6" t="n">
        <x:v>48</x:v>
      </x:c>
      <x:c r="O2153" s="6" t="n">
        <x:v>128</x:v>
      </x:c>
      <x:c r="P2153" s="6" t="n">
        <x:v>2</x:v>
      </x:c>
      <x:c r="Q2153" s="6" t="n">
        <x:v>5</x:v>
      </x:c>
      <x:c r="R2153" s="6" t="n">
        <x:v>3</x:v>
      </x:c>
      <x:c r="S2153" s="6" t="n">
        <x:v>6</x:v>
      </x:c>
      <x:c r="T2153" s="6" t="n">
        <x:v>4</x:v>
      </x:c>
      <x:c r="U2153" s="6" t="n">
        <x:v>0</x:v>
      </x:c>
      <x:c r="V2153" s="6" t="n">
        <x:v>0</x:v>
      </x:c>
      <x:c r="W2153" s="6" t="n">
        <x:v>0</x:v>
      </x:c>
      <x:c r="X2153" s="6" t="n">
        <x:v>1</x:v>
      </x:c>
      <x:c r="Y2153" s="6" t="n">
        <x:v>0</x:v>
      </x:c>
      <x:c r="Z2153" s="6" t="n">
        <x:v>0</x:v>
      </x:c>
      <x:c r="AA2153" s="6" t="n">
        <x:v>3</x:v>
      </x:c>
      <x:c r="AB2153" s="6" t="n">
        <x:v>11</x:v>
      </x:c>
      <x:c r="AC2153" s="6" t="n">
        <x:v>0</x:v>
      </x:c>
    </x:row>
    <x:row r="2154">
      <x:c r="A2154" s="6" t="n">
        <x:v>9481</x:v>
      </x:c>
      <x:c r="B2154" s="6" t="n">
        <x:v>1976</x:v>
      </x:c>
      <x:c r="C2154" s="6" t="str">
        <x:v>Graduation</x:v>
      </x:c>
      <x:c r="D2154" s="6" t="str">
        <x:v>Married</x:v>
      </x:c>
      <x:c r="E2154" s="6" t="n">
        <x:v>17148</x:v>
      </x:c>
      <x:c r="F2154" s="6" t="n">
        <x:v>1</x:v>
      </x:c>
      <x:c r="G2154" s="6" t="n">
        <x:v>0</x:v>
      </x:c>
      <x:c r="H2154" s="9" t="str">
        <x:v>28-01-2014</x:v>
      </x:c>
      <x:c r="I2154" s="6" t="n">
        <x:v>80</x:v>
      </x:c>
      <x:c r="J2154" s="6" t="n">
        <x:v>9</x:v>
      </x:c>
      <x:c r="K2154" s="6" t="n">
        <x:v>9</x:v>
      </x:c>
      <x:c r="L2154" s="6" t="n">
        <x:v>11</x:v>
      </x:c>
      <x:c r="M2154" s="6" t="n">
        <x:v>13</x:v>
      </x:c>
      <x:c r="N2154" s="6" t="n">
        <x:v>10</x:v>
      </x:c>
      <x:c r="O2154" s="6" t="n">
        <x:v>16</x:v>
      </x:c>
      <x:c r="P2154" s="6" t="n">
        <x:v>4</x:v>
      </x:c>
      <x:c r="Q2154" s="6" t="n">
        <x:v>3</x:v>
      </x:c>
      <x:c r="R2154" s="6" t="n">
        <x:v>1</x:v>
      </x:c>
      <x:c r="S2154" s="6" t="n">
        <x:v>3</x:v>
      </x:c>
      <x:c r="T2154" s="6" t="n">
        <x:v>8</x:v>
      </x:c>
      <x:c r="U2154" s="6" t="n">
        <x:v>0</x:v>
      </x:c>
      <x:c r="V2154" s="6" t="n">
        <x:v>0</x:v>
      </x:c>
      <x:c r="W2154" s="6" t="n">
        <x:v>0</x:v>
      </x:c>
      <x:c r="X2154" s="6" t="n">
        <x:v>0</x:v>
      </x:c>
      <x:c r="Y2154" s="6" t="n">
        <x:v>0</x:v>
      </x:c>
      <x:c r="Z2154" s="6" t="n">
        <x:v>0</x:v>
      </x:c>
      <x:c r="AA2154" s="6" t="n">
        <x:v>3</x:v>
      </x:c>
      <x:c r="AB2154" s="6" t="n">
        <x:v>11</x:v>
      </x:c>
      <x:c r="AC2154" s="6" t="n">
        <x:v>0</x:v>
      </x:c>
    </x:row>
    <x:row r="2155">
      <x:c r="A2155" s="6" t="n">
        <x:v>7699</x:v>
      </x:c>
      <x:c r="B2155" s="6" t="n">
        <x:v>1969</x:v>
      </x:c>
      <x:c r="C2155" s="6" t="str">
        <x:v>Graduation</x:v>
      </x:c>
      <x:c r="D2155" s="6" t="str">
        <x:v>Widow</x:v>
      </x:c>
      <x:c r="E2155" s="6" t="n">
        <x:v>40590</x:v>
      </x:c>
      <x:c r="F2155" s="6" t="n">
        <x:v>1</x:v>
      </x:c>
      <x:c r="G2155" s="6" t="n">
        <x:v>1</x:v>
      </x:c>
      <x:c r="H2155" s="9" t="str">
        <x:v>02-10-2013</x:v>
      </x:c>
      <x:c r="I2155" s="6" t="n">
        <x:v>30</x:v>
      </x:c>
      <x:c r="J2155" s="6" t="n">
        <x:v>154</x:v>
      </x:c>
      <x:c r="K2155" s="6" t="n">
        <x:v>0</x:v>
      </x:c>
      <x:c r="L2155" s="6" t="n">
        <x:v>50</x:v>
      </x:c>
      <x:c r="M2155" s="6" t="n">
        <x:v>6</x:v>
      </x:c>
      <x:c r="N2155" s="6" t="n">
        <x:v>11</x:v>
      </x:c>
      <x:c r="O2155" s="6" t="n">
        <x:v>37</x:v>
      </x:c>
      <x:c r="P2155" s="6" t="n">
        <x:v>5</x:v>
      </x:c>
      <x:c r="Q2155" s="6" t="n">
        <x:v>3</x:v>
      </x:c>
      <x:c r="R2155" s="6" t="n">
        <x:v>4</x:v>
      </x:c>
      <x:c r="S2155" s="6" t="n">
        <x:v>3</x:v>
      </x:c>
      <x:c r="T2155" s="6" t="n">
        <x:v>6</x:v>
      </x:c>
      <x:c r="U2155" s="6" t="n">
        <x:v>1</x:v>
      </x:c>
      <x:c r="V2155" s="6" t="n">
        <x:v>0</x:v>
      </x:c>
      <x:c r="W2155" s="6" t="n">
        <x:v>0</x:v>
      </x:c>
      <x:c r="X2155" s="6" t="n">
        <x:v>0</x:v>
      </x:c>
      <x:c r="Y2155" s="6" t="n">
        <x:v>0</x:v>
      </x:c>
      <x:c r="Z2155" s="6" t="n">
        <x:v>0</x:v>
      </x:c>
      <x:c r="AA2155" s="6" t="n">
        <x:v>3</x:v>
      </x:c>
      <x:c r="AB2155" s="6" t="n">
        <x:v>11</x:v>
      </x:c>
      <x:c r="AC2155" s="6" t="n">
        <x:v>0</x:v>
      </x:c>
    </x:row>
    <x:row r="2156">
      <x:c r="A2156" s="6" t="n">
        <x:v>2711</x:v>
      </x:c>
      <x:c r="B2156" s="6" t="n">
        <x:v>1976</x:v>
      </x:c>
      <x:c r="C2156" s="6" t="str">
        <x:v>Master</x:v>
      </x:c>
      <x:c r="D2156" s="6" t="str">
        <x:v>Together</x:v>
      </x:c>
      <x:c r="E2156" s="6" t="n">
        <x:v>30560</x:v>
      </x:c>
      <x:c r="F2156" s="6" t="n">
        <x:v>1</x:v>
      </x:c>
      <x:c r="G2156" s="6" t="n">
        <x:v>0</x:v>
      </x:c>
      <x:c r="H2156" s="9" t="str">
        <x:v>27-06-2013</x:v>
      </x:c>
      <x:c r="I2156" s="6" t="n">
        <x:v>6</x:v>
      </x:c>
      <x:c r="J2156" s="6" t="n">
        <x:v>9</x:v>
      </x:c>
      <x:c r="K2156" s="6" t="n">
        <x:v>1</x:v>
      </x:c>
      <x:c r="L2156" s="6" t="n">
        <x:v>5</x:v>
      </x:c>
      <x:c r="M2156" s="6" t="n">
        <x:v>4</x:v>
      </x:c>
      <x:c r="N2156" s="6" t="n">
        <x:v>5</x:v>
      </x:c>
      <x:c r="O2156" s="6" t="n">
        <x:v>7</x:v>
      </x:c>
      <x:c r="P2156" s="6" t="n">
        <x:v>1</x:v>
      </x:c>
      <x:c r="Q2156" s="6" t="n">
        <x:v>1</x:v>
      </x:c>
      <x:c r="R2156" s="6" t="n">
        <x:v>0</x:v>
      </x:c>
      <x:c r="S2156" s="6" t="n">
        <x:v>3</x:v>
      </x:c>
      <x:c r="T2156" s="6" t="n">
        <x:v>7</x:v>
      </x:c>
      <x:c r="U2156" s="6" t="n">
        <x:v>0</x:v>
      </x:c>
      <x:c r="V2156" s="6" t="n">
        <x:v>0</x:v>
      </x:c>
      <x:c r="W2156" s="6" t="n">
        <x:v>0</x:v>
      </x:c>
      <x:c r="X2156" s="6" t="n">
        <x:v>0</x:v>
      </x:c>
      <x:c r="Y2156" s="6" t="n">
        <x:v>0</x:v>
      </x:c>
      <x:c r="Z2156" s="6" t="n">
        <x:v>0</x:v>
      </x:c>
      <x:c r="AA2156" s="6" t="n">
        <x:v>3</x:v>
      </x:c>
      <x:c r="AB2156" s="6" t="n">
        <x:v>11</x:v>
      </x:c>
      <x:c r="AC2156" s="6" t="n">
        <x:v>0</x:v>
      </x:c>
    </x:row>
    <x:row r="2157">
      <x:c r="A2157" s="6" t="n">
        <x:v>8933</x:v>
      </x:c>
      <x:c r="B2157" s="6" t="n">
        <x:v>1983</x:v>
      </x:c>
      <x:c r="C2157" s="6" t="str">
        <x:v>2n Cycle</x:v>
      </x:c>
      <x:c r="D2157" s="6" t="str">
        <x:v>Married</x:v>
      </x:c>
      <x:c r="E2157" s="6" t="n">
        <x:v>32146</x:v>
      </x:c>
      <x:c r="F2157" s="6" t="n">
        <x:v>1</x:v>
      </x:c>
      <x:c r="G2157" s="6" t="n">
        <x:v>0</x:v>
      </x:c>
      <x:c r="H2157" s="9" t="str">
        <x:v>12-05-2014</x:v>
      </x:c>
      <x:c r="I2157" s="6" t="n">
        <x:v>16</x:v>
      </x:c>
      <x:c r="J2157" s="6" t="n">
        <x:v>26</x:v>
      </x:c>
      <x:c r="K2157" s="6" t="n">
        <x:v>3</x:v>
      </x:c>
      <x:c r="L2157" s="6" t="n">
        <x:v>23</x:v>
      </x:c>
      <x:c r="M2157" s="6" t="n">
        <x:v>4</x:v>
      </x:c>
      <x:c r="N2157" s="6" t="n">
        <x:v>7</x:v>
      </x:c>
      <x:c r="O2157" s="6" t="n">
        <x:v>3</x:v>
      </x:c>
      <x:c r="P2157" s="6" t="n">
        <x:v>2</x:v>
      </x:c>
      <x:c r="Q2157" s="6" t="n">
        <x:v>2</x:v>
      </x:c>
      <x:c r="R2157" s="6" t="n">
        <x:v>0</x:v>
      </x:c>
      <x:c r="S2157" s="6" t="n">
        <x:v>4</x:v>
      </x:c>
      <x:c r="T2157" s="6" t="n">
        <x:v>6</x:v>
      </x:c>
      <x:c r="U2157" s="6" t="n">
        <x:v>0</x:v>
      </x:c>
      <x:c r="V2157" s="6" t="n">
        <x:v>0</x:v>
      </x:c>
      <x:c r="W2157" s="6" t="n">
        <x:v>0</x:v>
      </x:c>
      <x:c r="X2157" s="6" t="n">
        <x:v>0</x:v>
      </x:c>
      <x:c r="Y2157" s="6" t="n">
        <x:v>0</x:v>
      </x:c>
      <x:c r="Z2157" s="6" t="n">
        <x:v>0</x:v>
      </x:c>
      <x:c r="AA2157" s="6" t="n">
        <x:v>3</x:v>
      </x:c>
      <x:c r="AB2157" s="6" t="n">
        <x:v>11</x:v>
      </x:c>
      <x:c r="AC2157" s="6" t="n">
        <x:v>0</x:v>
      </x:c>
    </x:row>
    <x:row r="2158">
      <x:c r="A2158" s="6" t="n">
        <x:v>8726</x:v>
      </x:c>
      <x:c r="B2158" s="6" t="n">
        <x:v>1964</x:v>
      </x:c>
      <x:c r="C2158" s="6" t="str">
        <x:v>2n Cycle</x:v>
      </x:c>
      <x:c r="D2158" s="6" t="str">
        <x:v>Divorced</x:v>
      </x:c>
      <x:c r="E2158" s="6" t="n">
        <x:v>41713</x:v>
      </x:c>
      <x:c r="F2158" s="6" t="n">
        <x:v>1</x:v>
      </x:c>
      <x:c r="G2158" s="6" t="n">
        <x:v>1</x:v>
      </x:c>
      <x:c r="H2158" s="9" t="str">
        <x:v>29-04-2014</x:v>
      </x:c>
      <x:c r="I2158" s="6" t="n">
        <x:v>57</x:v>
      </x:c>
      <x:c r="J2158" s="6" t="n">
        <x:v>77</x:v>
      </x:c>
      <x:c r="K2158" s="6" t="n">
        <x:v>8</x:v>
      </x:c>
      <x:c r="L2158" s="6" t="n">
        <x:v>44</x:v>
      </x:c>
      <x:c r="M2158" s="6" t="n">
        <x:v>10</x:v>
      </x:c>
      <x:c r="N2158" s="6" t="n">
        <x:v>10</x:v>
      </x:c>
      <x:c r="O2158" s="6" t="n">
        <x:v>25</x:v>
      </x:c>
      <x:c r="P2158" s="6" t="n">
        <x:v>5</x:v>
      </x:c>
      <x:c r="Q2158" s="6" t="n">
        <x:v>3</x:v>
      </x:c>
      <x:c r="R2158" s="6" t="n">
        <x:v>1</x:v>
      </x:c>
      <x:c r="S2158" s="6" t="n">
        <x:v>4</x:v>
      </x:c>
      <x:c r="T2158" s="6" t="n">
        <x:v>6</x:v>
      </x:c>
      <x:c r="U2158" s="6" t="n">
        <x:v>0</x:v>
      </x:c>
      <x:c r="V2158" s="6" t="n">
        <x:v>0</x:v>
      </x:c>
      <x:c r="W2158" s="6" t="n">
        <x:v>0</x:v>
      </x:c>
      <x:c r="X2158" s="6" t="n">
        <x:v>0</x:v>
      </x:c>
      <x:c r="Y2158" s="6" t="n">
        <x:v>0</x:v>
      </x:c>
      <x:c r="Z2158" s="6" t="n">
        <x:v>0</x:v>
      </x:c>
      <x:c r="AA2158" s="6" t="n">
        <x:v>3</x:v>
      </x:c>
      <x:c r="AB2158" s="6" t="n">
        <x:v>11</x:v>
      </x:c>
      <x:c r="AC2158" s="6" t="n">
        <x:v>0</x:v>
      </x:c>
    </x:row>
    <x:row r="2159">
      <x:c r="A2159" s="6" t="n">
        <x:v>1515</x:v>
      </x:c>
      <x:c r="B2159" s="6" t="n">
        <x:v>1975</x:v>
      </x:c>
      <x:c r="C2159" s="6" t="str">
        <x:v>Master</x:v>
      </x:c>
      <x:c r="D2159" s="6" t="str">
        <x:v>Together</x:v>
      </x:c>
      <x:c r="E2159" s="6" t="n">
        <x:v>34176</x:v>
      </x:c>
      <x:c r="F2159" s="6" t="n">
        <x:v>0</x:v>
      </x:c>
      <x:c r="G2159" s="6" t="n">
        <x:v>1</x:v>
      </x:c>
      <x:c r="H2159" s="9" t="str">
        <x:v>22-01-2014</x:v>
      </x:c>
      <x:c r="I2159" s="6" t="n">
        <x:v>9</x:v>
      </x:c>
      <x:c r="J2159" s="6" t="n">
        <x:v>11</x:v>
      </x:c>
      <x:c r="K2159" s="6" t="n">
        <x:v>2</x:v>
      </x:c>
      <x:c r="L2159" s="6" t="n">
        <x:v>7</x:v>
      </x:c>
      <x:c r="M2159" s="6" t="n">
        <x:v>4</x:v>
      </x:c>
      <x:c r="N2159" s="6" t="n">
        <x:v>2</x:v>
      </x:c>
      <x:c r="O2159" s="6" t="n">
        <x:v>2</x:v>
      </x:c>
      <x:c r="P2159" s="6" t="n">
        <x:v>1</x:v>
      </x:c>
      <x:c r="Q2159" s="6" t="n">
        <x:v>1</x:v>
      </x:c>
      <x:c r="R2159" s="6" t="n">
        <x:v>0</x:v>
      </x:c>
      <x:c r="S2159" s="6" t="n">
        <x:v>3</x:v>
      </x:c>
      <x:c r="T2159" s="6" t="n">
        <x:v>3</x:v>
      </x:c>
      <x:c r="U2159" s="6" t="n">
        <x:v>0</x:v>
      </x:c>
      <x:c r="V2159" s="6" t="n">
        <x:v>0</x:v>
      </x:c>
      <x:c r="W2159" s="6" t="n">
        <x:v>0</x:v>
      </x:c>
      <x:c r="X2159" s="6" t="n">
        <x:v>0</x:v>
      </x:c>
      <x:c r="Y2159" s="6" t="n">
        <x:v>0</x:v>
      </x:c>
      <x:c r="Z2159" s="6" t="n">
        <x:v>0</x:v>
      </x:c>
      <x:c r="AA2159" s="6" t="n">
        <x:v>3</x:v>
      </x:c>
      <x:c r="AB2159" s="6" t="n">
        <x:v>11</x:v>
      </x:c>
      <x:c r="AC2159" s="6" t="n">
        <x:v>0</x:v>
      </x:c>
    </x:row>
    <x:row r="2160">
      <x:c r="A2160" s="6" t="n">
        <x:v>5186</x:v>
      </x:c>
      <x:c r="B2160" s="6" t="n">
        <x:v>1955</x:v>
      </x:c>
      <x:c r="C2160" s="6" t="str">
        <x:v>PhD</x:v>
      </x:c>
      <x:c r="D2160" s="6" t="str">
        <x:v>Married</x:v>
      </x:c>
      <x:c r="E2160" s="6" t="n">
        <x:v>58482</x:v>
      </x:c>
      <x:c r="F2160" s="6" t="n">
        <x:v>0</x:v>
      </x:c>
      <x:c r="G2160" s="6" t="n">
        <x:v>1</x:v>
      </x:c>
      <x:c r="H2160" s="9" t="str">
        <x:v>12-03-2014</x:v>
      </x:c>
      <x:c r="I2160" s="6" t="n">
        <x:v>59</x:v>
      </x:c>
      <x:c r="J2160" s="6" t="n">
        <x:v>576</x:v>
      </x:c>
      <x:c r="K2160" s="6" t="n">
        <x:v>7</x:v>
      </x:c>
      <x:c r="L2160" s="6" t="n">
        <x:v>115</x:v>
      </x:c>
      <x:c r="M2160" s="6" t="n">
        <x:v>19</x:v>
      </x:c>
      <x:c r="N2160" s="6" t="n">
        <x:v>7</x:v>
      </x:c>
      <x:c r="O2160" s="6" t="n">
        <x:v>7</x:v>
      </x:c>
      <x:c r="P2160" s="6" t="n">
        <x:v>2</x:v>
      </x:c>
      <x:c r="Q2160" s="6" t="n">
        <x:v>7</x:v>
      </x:c>
      <x:c r="R2160" s="6" t="n">
        <x:v>4</x:v>
      </x:c>
      <x:c r="S2160" s="6" t="n">
        <x:v>9</x:v>
      </x:c>
      <x:c r="T2160" s="6" t="n">
        <x:v>6</x:v>
      </x:c>
      <x:c r="U2160" s="6" t="n">
        <x:v>0</x:v>
      </x:c>
      <x:c r="V2160" s="6" t="n">
        <x:v>1</x:v>
      </x:c>
      <x:c r="W2160" s="6" t="n">
        <x:v>0</x:v>
      </x:c>
      <x:c r="X2160" s="6" t="n">
        <x:v>0</x:v>
      </x:c>
      <x:c r="Y2160" s="6" t="n">
        <x:v>0</x:v>
      </x:c>
      <x:c r="Z2160" s="6" t="n">
        <x:v>0</x:v>
      </x:c>
      <x:c r="AA2160" s="6" t="n">
        <x:v>3</x:v>
      </x:c>
      <x:c r="AB2160" s="6" t="n">
        <x:v>11</x:v>
      </x:c>
      <x:c r="AC2160" s="6" t="n">
        <x:v>0</x:v>
      </x:c>
    </x:row>
    <x:row r="2161">
      <x:c r="A2161" s="6" t="n">
        <x:v>10157</x:v>
      </x:c>
      <x:c r="B2161" s="6" t="n">
        <x:v>1965</x:v>
      </x:c>
      <x:c r="C2161" s="6" t="str">
        <x:v>Graduation</x:v>
      </x:c>
      <x:c r="D2161" s="6" t="str">
        <x:v>Single</x:v>
      </x:c>
      <x:c r="E2161" s="6" t="n">
        <x:v>59686</x:v>
      </x:c>
      <x:c r="F2161" s="6" t="n">
        <x:v>0</x:v>
      </x:c>
      <x:c r="G2161" s="6" t="n">
        <x:v>1</x:v>
      </x:c>
      <x:c r="H2161" s="9" t="str">
        <x:v>25-01-2014</x:v>
      </x:c>
      <x:c r="I2161" s="6" t="n">
        <x:v>78</x:v>
      </x:c>
      <x:c r="J2161" s="6" t="n">
        <x:v>89</x:v>
      </x:c>
      <x:c r="K2161" s="6" t="n">
        <x:v>15</x:v>
      </x:c>
      <x:c r="L2161" s="6" t="n">
        <x:v>89</x:v>
      </x:c>
      <x:c r="M2161" s="6" t="n">
        <x:v>34</x:v>
      </x:c>
      <x:c r="N2161" s="6" t="n">
        <x:v>42</x:v>
      </x:c>
      <x:c r="O2161" s="6" t="n">
        <x:v>5</x:v>
      </x:c>
      <x:c r="P2161" s="6" t="n">
        <x:v>1</x:v>
      </x:c>
      <x:c r="Q2161" s="6" t="n">
        <x:v>4</x:v>
      </x:c>
      <x:c r="R2161" s="6" t="n">
        <x:v>1</x:v>
      </x:c>
      <x:c r="S2161" s="6" t="n">
        <x:v>6</x:v>
      </x:c>
      <x:c r="T2161" s="6" t="n">
        <x:v>4</x:v>
      </x:c>
      <x:c r="U2161" s="6" t="n">
        <x:v>0</x:v>
      </x:c>
      <x:c r="V2161" s="6" t="n">
        <x:v>0</x:v>
      </x:c>
      <x:c r="W2161" s="6" t="n">
        <x:v>0</x:v>
      </x:c>
      <x:c r="X2161" s="6" t="n">
        <x:v>0</x:v>
      </x:c>
      <x:c r="Y2161" s="6" t="n">
        <x:v>0</x:v>
      </x:c>
      <x:c r="Z2161" s="6" t="n">
        <x:v>0</x:v>
      </x:c>
      <x:c r="AA2161" s="6" t="n">
        <x:v>3</x:v>
      </x:c>
      <x:c r="AB2161" s="6" t="n">
        <x:v>11</x:v>
      </x:c>
      <x:c r="AC2161" s="6" t="n">
        <x:v>0</x:v>
      </x:c>
    </x:row>
    <x:row r="2162">
      <x:c r="A2162" s="6" t="n">
        <x:v>5667</x:v>
      </x:c>
      <x:c r="B2162" s="6" t="n">
        <x:v>1964</x:v>
      </x:c>
      <x:c r="C2162" s="6" t="str">
        <x:v>PhD</x:v>
      </x:c>
      <x:c r="D2162" s="6" t="str">
        <x:v>Married</x:v>
      </x:c>
      <x:c r="E2162" s="6" t="n">
        <x:v>60896</x:v>
      </x:c>
      <x:c r="F2162" s="6" t="n">
        <x:v>0</x:v>
      </x:c>
      <x:c r="G2162" s="6" t="n">
        <x:v>1</x:v>
      </x:c>
      <x:c r="H2162" s="9" t="str">
        <x:v>11-10-2012</x:v>
      </x:c>
      <x:c r="I2162" s="6" t="n">
        <x:v>90</x:v>
      </x:c>
      <x:c r="J2162" s="6" t="n">
        <x:v>1013</x:v>
      </x:c>
      <x:c r="K2162" s="6" t="n">
        <x:v>30</x:v>
      </x:c>
      <x:c r="L2162" s="6" t="n">
        <x:v>399</x:v>
      </x:c>
      <x:c r="M2162" s="6" t="n">
        <x:v>60</x:v>
      </x:c>
      <x:c r="N2162" s="6" t="n">
        <x:v>46</x:v>
      </x:c>
      <x:c r="O2162" s="6" t="n">
        <x:v>153</x:v>
      </x:c>
      <x:c r="P2162" s="6" t="n">
        <x:v>3</x:v>
      </x:c>
      <x:c r="Q2162" s="6" t="n">
        <x:v>9</x:v>
      </x:c>
      <x:c r="R2162" s="6" t="n">
        <x:v>10</x:v>
      </x:c>
      <x:c r="S2162" s="6" t="n">
        <x:v>4</x:v>
      </x:c>
      <x:c r="T2162" s="6" t="n">
        <x:v>6</x:v>
      </x:c>
      <x:c r="U2162" s="6" t="n">
        <x:v>0</x:v>
      </x:c>
      <x:c r="V2162" s="6" t="n">
        <x:v>0</x:v>
      </x:c>
      <x:c r="W2162" s="6" t="n">
        <x:v>0</x:v>
      </x:c>
      <x:c r="X2162" s="6" t="n">
        <x:v>0</x:v>
      </x:c>
      <x:c r="Y2162" s="6" t="n">
        <x:v>0</x:v>
      </x:c>
      <x:c r="Z2162" s="6" t="n">
        <x:v>0</x:v>
      </x:c>
      <x:c r="AA2162" s="6" t="n">
        <x:v>3</x:v>
      </x:c>
      <x:c r="AB2162" s="6" t="n">
        <x:v>11</x:v>
      </x:c>
      <x:c r="AC2162" s="6" t="n">
        <x:v>1</x:v>
      </x:c>
    </x:row>
    <x:row r="2163">
      <x:c r="A2163" s="6" t="n">
        <x:v>902</x:v>
      </x:c>
      <x:c r="B2163" s="6" t="n">
        <x:v>1980</x:v>
      </x:c>
      <x:c r="C2163" s="6" t="str">
        <x:v>Graduation</x:v>
      </x:c>
      <x:c r="D2163" s="6" t="str">
        <x:v>Together</x:v>
      </x:c>
      <x:c r="E2163" s="6" t="n">
        <x:v>62994</x:v>
      </x:c>
      <x:c r="F2163" s="6" t="n">
        <x:v>1</x:v>
      </x:c>
      <x:c r="G2163" s="6" t="n">
        <x:v>0</x:v>
      </x:c>
      <x:c r="H2163" s="9" t="str">
        <x:v>04-03-2014</x:v>
      </x:c>
      <x:c r="I2163" s="6" t="n">
        <x:v>74</x:v>
      </x:c>
      <x:c r="J2163" s="6" t="n">
        <x:v>224</x:v>
      </x:c>
      <x:c r="K2163" s="6" t="n">
        <x:v>12</x:v>
      </x:c>
      <x:c r="L2163" s="6" t="n">
        <x:v>48</x:v>
      </x:c>
      <x:c r="M2163" s="6" t="n">
        <x:v>4</x:v>
      </x:c>
      <x:c r="N2163" s="6" t="n">
        <x:v>12</x:v>
      </x:c>
      <x:c r="O2163" s="6" t="n">
        <x:v>12</x:v>
      </x:c>
      <x:c r="P2163" s="6" t="n">
        <x:v>1</x:v>
      </x:c>
      <x:c r="Q2163" s="6" t="n">
        <x:v>6</x:v>
      </x:c>
      <x:c r="R2163" s="6" t="n">
        <x:v>2</x:v>
      </x:c>
      <x:c r="S2163" s="6" t="n">
        <x:v>4</x:v>
      </x:c>
      <x:c r="T2163" s="6" t="n">
        <x:v>6</x:v>
      </x:c>
      <x:c r="U2163" s="6" t="n">
        <x:v>0</x:v>
      </x:c>
      <x:c r="V2163" s="6" t="n">
        <x:v>0</x:v>
      </x:c>
      <x:c r="W2163" s="6" t="n">
        <x:v>0</x:v>
      </x:c>
      <x:c r="X2163" s="6" t="n">
        <x:v>0</x:v>
      </x:c>
      <x:c r="Y2163" s="6" t="n">
        <x:v>0</x:v>
      </x:c>
      <x:c r="Z2163" s="6" t="n">
        <x:v>0</x:v>
      </x:c>
      <x:c r="AA2163" s="6" t="n">
        <x:v>3</x:v>
      </x:c>
      <x:c r="AB2163" s="6" t="n">
        <x:v>11</x:v>
      </x:c>
      <x:c r="AC2163" s="6" t="n">
        <x:v>0</x:v>
      </x:c>
    </x:row>
    <x:row r="2164">
      <x:c r="A2164" s="6" t="n">
        <x:v>977</x:v>
      </x:c>
      <x:c r="B2164" s="6" t="n">
        <x:v>1957</x:v>
      </x:c>
      <x:c r="C2164" s="6" t="str">
        <x:v>Graduation</x:v>
      </x:c>
      <x:c r="D2164" s="6" t="str">
        <x:v>Together</x:v>
      </x:c>
      <x:c r="E2164" s="6" t="n">
        <x:v>47320</x:v>
      </x:c>
      <x:c r="F2164" s="6" t="n">
        <x:v>0</x:v>
      </x:c>
      <x:c r="G2164" s="6" t="n">
        <x:v>1</x:v>
      </x:c>
      <x:c r="H2164" s="9" t="str">
        <x:v>01-08-2013</x:v>
      </x:c>
      <x:c r="I2164" s="6" t="n">
        <x:v>10</x:v>
      </x:c>
      <x:c r="J2164" s="6" t="n">
        <x:v>200</x:v>
      </x:c>
      <x:c r="K2164" s="6" t="n">
        <x:v>19</x:v>
      </x:c>
      <x:c r="L2164" s="6" t="n">
        <x:v>111</x:v>
      </x:c>
      <x:c r="M2164" s="6" t="n">
        <x:v>50</x:v>
      </x:c>
      <x:c r="N2164" s="6" t="n">
        <x:v>15</x:v>
      </x:c>
      <x:c r="O2164" s="6" t="n">
        <x:v>19</x:v>
      </x:c>
      <x:c r="P2164" s="6" t="n">
        <x:v>6</x:v>
      </x:c>
      <x:c r="Q2164" s="6" t="n">
        <x:v>5</x:v>
      </x:c>
      <x:c r="R2164" s="6" t="n">
        <x:v>1</x:v>
      </x:c>
      <x:c r="S2164" s="6" t="n">
        <x:v>8</x:v>
      </x:c>
      <x:c r="T2164" s="6" t="n">
        <x:v>6</x:v>
      </x:c>
      <x:c r="U2164" s="6" t="n">
        <x:v>0</x:v>
      </x:c>
      <x:c r="V2164" s="6" t="n">
        <x:v>0</x:v>
      </x:c>
      <x:c r="W2164" s="6" t="n">
        <x:v>0</x:v>
      </x:c>
      <x:c r="X2164" s="6" t="n">
        <x:v>0</x:v>
      </x:c>
      <x:c r="Y2164" s="6" t="n">
        <x:v>0</x:v>
      </x:c>
      <x:c r="Z2164" s="6" t="n">
        <x:v>0</x:v>
      </x:c>
      <x:c r="AA2164" s="6" t="n">
        <x:v>3</x:v>
      </x:c>
      <x:c r="AB2164" s="6" t="n">
        <x:v>11</x:v>
      </x:c>
      <x:c r="AC2164" s="6" t="n">
        <x:v>0</x:v>
      </x:c>
    </x:row>
    <x:row r="2165">
      <x:c r="A2165" s="6" t="n">
        <x:v>7313</x:v>
      </x:c>
      <x:c r="B2165" s="6" t="n">
        <x:v>1949</x:v>
      </x:c>
      <x:c r="C2165" s="6" t="str">
        <x:v>2n Cycle</x:v>
      </x:c>
      <x:c r="D2165" s="6" t="str">
        <x:v>Widow</x:v>
      </x:c>
      <x:c r="E2165" s="6" t="n">
        <x:v>74859</x:v>
      </x:c>
      <x:c r="F2165" s="6" t="n">
        <x:v>0</x:v>
      </x:c>
      <x:c r="G2165" s="6" t="n">
        <x:v>0</x:v>
      </x:c>
      <x:c r="H2165" s="9" t="str">
        <x:v>03-06-2013</x:v>
      </x:c>
      <x:c r="I2165" s="6" t="n">
        <x:v>63</x:v>
      </x:c>
      <x:c r="J2165" s="6" t="n">
        <x:v>570</x:v>
      </x:c>
      <x:c r="K2165" s="6" t="n">
        <x:v>73</x:v>
      </x:c>
      <x:c r="L2165" s="6" t="n">
        <x:v>614</x:v>
      </x:c>
      <x:c r="M2165" s="6" t="n">
        <x:v>133</x:v>
      </x:c>
      <x:c r="N2165" s="6" t="n">
        <x:v>102</x:v>
      </x:c>
      <x:c r="O2165" s="6" t="n">
        <x:v>73</x:v>
      </x:c>
      <x:c r="P2165" s="6" t="n">
        <x:v>1</x:v>
      </x:c>
      <x:c r="Q2165" s="6" t="n">
        <x:v>6</x:v>
      </x:c>
      <x:c r="R2165" s="6" t="n">
        <x:v>5</x:v>
      </x:c>
      <x:c r="S2165" s="6" t="n">
        <x:v>11</x:v>
      </x:c>
      <x:c r="T2165" s="6" t="n">
        <x:v>3</x:v>
      </x:c>
      <x:c r="U2165" s="6" t="n">
        <x:v>0</x:v>
      </x:c>
      <x:c r="V2165" s="6" t="n">
        <x:v>0</x:v>
      </x:c>
      <x:c r="W2165" s="6" t="n">
        <x:v>0</x:v>
      </x:c>
      <x:c r="X2165" s="6" t="n">
        <x:v>1</x:v>
      </x:c>
      <x:c r="Y2165" s="6" t="n">
        <x:v>0</x:v>
      </x:c>
      <x:c r="Z2165" s="6" t="n">
        <x:v>0</x:v>
      </x:c>
      <x:c r="AA2165" s="6" t="n">
        <x:v>3</x:v>
      </x:c>
      <x:c r="AB2165" s="6" t="n">
        <x:v>11</x:v>
      </x:c>
      <x:c r="AC2165" s="6" t="n">
        <x:v>0</x:v>
      </x:c>
    </x:row>
    <x:row r="2166">
      <x:c r="A2166" s="6" t="n">
        <x:v>7600</x:v>
      </x:c>
      <x:c r="B2166" s="6" t="n">
        <x:v>1992</x:v>
      </x:c>
      <x:c r="C2166" s="6" t="str">
        <x:v>Basic</x:v>
      </x:c>
      <x:c r="D2166" s="6" t="str">
        <x:v>Single</x:v>
      </x:c>
      <x:c r="E2166" s="6" t="n">
        <x:v>15253</x:v>
      </x:c>
      <x:c r="F2166" s="6" t="n">
        <x:v>1</x:v>
      </x:c>
      <x:c r="G2166" s="6" t="n">
        <x:v>0</x:v>
      </x:c>
      <x:c r="H2166" s="9" t="str">
        <x:v>28-10-2013</x:v>
      </x:c>
      <x:c r="I2166" s="6" t="n">
        <x:v>13</x:v>
      </x:c>
      <x:c r="J2166" s="6" t="n">
        <x:v>1</x:v>
      </x:c>
      <x:c r="K2166" s="6" t="n">
        <x:v>3</x:v>
      </x:c>
      <x:c r="L2166" s="6" t="n">
        <x:v>3</x:v>
      </x:c>
      <x:c r="M2166" s="6" t="n">
        <x:v>8</x:v>
      </x:c>
      <x:c r="N2166" s="6" t="n">
        <x:v>1</x:v>
      </x:c>
      <x:c r="O2166" s="6" t="n">
        <x:v>13</x:v>
      </x:c>
      <x:c r="P2166" s="6" t="n">
        <x:v>2</x:v>
      </x:c>
      <x:c r="Q2166" s="6" t="n">
        <x:v>1</x:v>
      </x:c>
      <x:c r="R2166" s="6" t="n">
        <x:v>0</x:v>
      </x:c>
      <x:c r="S2166" s="6" t="n">
        <x:v>3</x:v>
      </x:c>
      <x:c r="T2166" s="6" t="n">
        <x:v>7</x:v>
      </x:c>
      <x:c r="U2166" s="6" t="n">
        <x:v>0</x:v>
      </x:c>
      <x:c r="V2166" s="6" t="n">
        <x:v>0</x:v>
      </x:c>
      <x:c r="W2166" s="6" t="n">
        <x:v>0</x:v>
      </x:c>
      <x:c r="X2166" s="6" t="n">
        <x:v>0</x:v>
      </x:c>
      <x:c r="Y2166" s="6" t="n">
        <x:v>0</x:v>
      </x:c>
      <x:c r="Z2166" s="6" t="n">
        <x:v>0</x:v>
      </x:c>
      <x:c r="AA2166" s="6" t="n">
        <x:v>3</x:v>
      </x:c>
      <x:c r="AB2166" s="6" t="n">
        <x:v>11</x:v>
      </x:c>
      <x:c r="AC2166" s="6" t="n">
        <x:v>0</x:v>
      </x:c>
    </x:row>
    <x:row r="2167">
      <x:c r="A2167" s="6" t="n">
        <x:v>9706</x:v>
      </x:c>
      <x:c r="B2167" s="6" t="n">
        <x:v>1974</x:v>
      </x:c>
      <x:c r="C2167" s="6" t="str">
        <x:v>PhD</x:v>
      </x:c>
      <x:c r="D2167" s="6" t="str">
        <x:v>Single</x:v>
      </x:c>
      <x:c r="E2167" s="6" t="n">
        <x:v>31560</x:v>
      </x:c>
      <x:c r="F2167" s="6" t="n">
        <x:v>1</x:v>
      </x:c>
      <x:c r="G2167" s="6" t="n">
        <x:v>0</x:v>
      </x:c>
      <x:c r="H2167" s="9" t="str">
        <x:v>24-06-2013</x:v>
      </x:c>
      <x:c r="I2167" s="6" t="n">
        <x:v>98</x:v>
      </x:c>
      <x:c r="J2167" s="6" t="n">
        <x:v>62</x:v>
      </x:c>
      <x:c r="K2167" s="6" t="n">
        <x:v>1</x:v>
      </x:c>
      <x:c r="L2167" s="6" t="n">
        <x:v>20</x:v>
      </x:c>
      <x:c r="M2167" s="6" t="n">
        <x:v>4</x:v>
      </x:c>
      <x:c r="N2167" s="6" t="n">
        <x:v>0</x:v>
      </x:c>
      <x:c r="O2167" s="6" t="n">
        <x:v>7</x:v>
      </x:c>
      <x:c r="P2167" s="6" t="n">
        <x:v>2</x:v>
      </x:c>
      <x:c r="Q2167" s="6" t="n">
        <x:v>2</x:v>
      </x:c>
      <x:c r="R2167" s="6" t="n">
        <x:v>1</x:v>
      </x:c>
      <x:c r="S2167" s="6" t="n">
        <x:v>3</x:v>
      </x:c>
      <x:c r="T2167" s="6" t="n">
        <x:v>8</x:v>
      </x:c>
      <x:c r="U2167" s="6" t="n">
        <x:v>0</x:v>
      </x:c>
      <x:c r="V2167" s="6" t="n">
        <x:v>0</x:v>
      </x:c>
      <x:c r="W2167" s="6" t="n">
        <x:v>0</x:v>
      </x:c>
      <x:c r="X2167" s="6" t="n">
        <x:v>0</x:v>
      </x:c>
      <x:c r="Y2167" s="6" t="n">
        <x:v>0</x:v>
      </x:c>
      <x:c r="Z2167" s="6" t="n">
        <x:v>0</x:v>
      </x:c>
      <x:c r="AA2167" s="6" t="n">
        <x:v>3</x:v>
      </x:c>
      <x:c r="AB2167" s="6" t="n">
        <x:v>11</x:v>
      </x:c>
      <x:c r="AC2167" s="6" t="n">
        <x:v>0</x:v>
      </x:c>
    </x:row>
    <x:row r="2168">
      <x:c r="A2168" s="6" t="n">
        <x:v>2429</x:v>
      </x:c>
      <x:c r="B2168" s="6" t="n">
        <x:v>1954</x:v>
      </x:c>
      <x:c r="C2168" s="6" t="str">
        <x:v>Graduation</x:v>
      </x:c>
      <x:c r="D2168" s="6" t="str">
        <x:v>Divorced</x:v>
      </x:c>
      <x:c r="E2168" s="6" t="n">
        <x:v>72071</x:v>
      </x:c>
      <x:c r="F2168" s="6" t="n">
        <x:v>0</x:v>
      </x:c>
      <x:c r="G2168" s="6" t="n">
        <x:v>1</x:v>
      </x:c>
      <x:c r="H2168" s="9" t="str">
        <x:v>14-02-2013</x:v>
      </x:c>
      <x:c r="I2168" s="6" t="n">
        <x:v>4</x:v>
      </x:c>
      <x:c r="J2168" s="6" t="n">
        <x:v>531</x:v>
      </x:c>
      <x:c r="K2168" s="6" t="n">
        <x:v>69</x:v>
      </x:c>
      <x:c r="L2168" s="6" t="n">
        <x:v>300</x:v>
      </x:c>
      <x:c r="M2168" s="6" t="n">
        <x:v>150</x:v>
      </x:c>
      <x:c r="N2168" s="6" t="n">
        <x:v>138</x:v>
      </x:c>
      <x:c r="O2168" s="6" t="n">
        <x:v>150</x:v>
      </x:c>
      <x:c r="P2168" s="6" t="n">
        <x:v>3</x:v>
      </x:c>
      <x:c r="Q2168" s="6" t="n">
        <x:v>5</x:v>
      </x:c>
      <x:c r="R2168" s="6" t="n">
        <x:v>4</x:v>
      </x:c>
      <x:c r="S2168" s="6" t="n">
        <x:v>8</x:v>
      </x:c>
      <x:c r="T2168" s="6" t="n">
        <x:v>2</x:v>
      </x:c>
      <x:c r="U2168" s="6" t="n">
        <x:v>0</x:v>
      </x:c>
      <x:c r="V2168" s="6" t="n">
        <x:v>0</x:v>
      </x:c>
      <x:c r="W2168" s="6" t="n">
        <x:v>0</x:v>
      </x:c>
      <x:c r="X2168" s="6" t="n">
        <x:v>0</x:v>
      </x:c>
      <x:c r="Y2168" s="6" t="n">
        <x:v>0</x:v>
      </x:c>
      <x:c r="Z2168" s="6" t="n">
        <x:v>0</x:v>
      </x:c>
      <x:c r="AA2168" s="6" t="n">
        <x:v>3</x:v>
      </x:c>
      <x:c r="AB2168" s="6" t="n">
        <x:v>11</x:v>
      </x:c>
      <x:c r="AC2168" s="6" t="n">
        <x:v>0</x:v>
      </x:c>
    </x:row>
    <x:row r="2169">
      <x:c r="A2169" s="6" t="n">
        <x:v>3520</x:v>
      </x:c>
      <x:c r="B2169" s="6" t="n">
        <x:v>1990</x:v>
      </x:c>
      <x:c r="C2169" s="6" t="str">
        <x:v>Master</x:v>
      </x:c>
      <x:c r="D2169" s="6" t="str">
        <x:v>Single</x:v>
      </x:c>
      <x:c r="E2169" s="6" t="n">
        <x:v>91172</x:v>
      </x:c>
      <x:c r="F2169" s="6" t="n">
        <x:v>0</x:v>
      </x:c>
      <x:c r="G2169" s="6" t="n">
        <x:v>0</x:v>
      </x:c>
      <x:c r="H2169" s="9" t="str">
        <x:v>27-03-2013</x:v>
      </x:c>
      <x:c r="I2169" s="6" t="n">
        <x:v>94</x:v>
      </x:c>
      <x:c r="J2169" s="6" t="n">
        <x:v>162</x:v>
      </x:c>
      <x:c r="K2169" s="6" t="n">
        <x:v>28</x:v>
      </x:c>
      <x:c r="L2169" s="6" t="n">
        <x:v>818</x:v>
      </x:c>
      <x:c r="M2169" s="6" t="n">
        <x:v>0</x:v>
      </x:c>
      <x:c r="N2169" s="6" t="n">
        <x:v>28</x:v>
      </x:c>
      <x:c r="O2169" s="6" t="n">
        <x:v>56</x:v>
      </x:c>
      <x:c r="P2169" s="6" t="n">
        <x:v>0</x:v>
      </x:c>
      <x:c r="Q2169" s="6" t="n">
        <x:v>4</x:v>
      </x:c>
      <x:c r="R2169" s="6" t="n">
        <x:v>3</x:v>
      </x:c>
      <x:c r="S2169" s="6" t="n">
        <x:v>7</x:v>
      </x:c>
      <x:c r="T2169" s="6" t="n">
        <x:v>3</x:v>
      </x:c>
      <x:c r="U2169" s="6" t="n">
        <x:v>1</x:v>
      </x:c>
      <x:c r="V2169" s="6" t="n">
        <x:v>0</x:v>
      </x:c>
      <x:c r="W2169" s="6" t="n">
        <x:v>1</x:v>
      </x:c>
      <x:c r="X2169" s="6" t="n">
        <x:v>1</x:v>
      </x:c>
      <x:c r="Y2169" s="6" t="n">
        <x:v>1</x:v>
      </x:c>
      <x:c r="Z2169" s="6" t="n">
        <x:v>0</x:v>
      </x:c>
      <x:c r="AA2169" s="6" t="n">
        <x:v>3</x:v>
      </x:c>
      <x:c r="AB2169" s="6" t="n">
        <x:v>11</x:v>
      </x:c>
      <x:c r="AC2169" s="6" t="n">
        <x:v>1</x:v>
      </x:c>
    </x:row>
    <x:row r="2170">
      <x:c r="A2170" s="6" t="n">
        <x:v>10394</x:v>
      </x:c>
      <x:c r="B2170" s="6" t="n">
        <x:v>1984</x:v>
      </x:c>
      <x:c r="C2170" s="6" t="str">
        <x:v>Graduation</x:v>
      </x:c>
      <x:c r="D2170" s="6" t="str">
        <x:v>Married</x:v>
      </x:c>
      <x:c r="E2170" s="6" t="n">
        <x:v>90000</x:v>
      </x:c>
      <x:c r="F2170" s="6" t="n">
        <x:v>0</x:v>
      </x:c>
      <x:c r="G2170" s="6" t="n">
        <x:v>0</x:v>
      </x:c>
      <x:c r="H2170" s="9" t="str">
        <x:v>23-12-2013</x:v>
      </x:c>
      <x:c r="I2170" s="6" t="n">
        <x:v>91</x:v>
      </x:c>
      <x:c r="J2170" s="6" t="n">
        <x:v>675</x:v>
      </x:c>
      <x:c r="K2170" s="6" t="n">
        <x:v>144</x:v>
      </x:c>
      <x:c r="L2170" s="6" t="n">
        <x:v>133</x:v>
      </x:c>
      <x:c r="M2170" s="6" t="n">
        <x:v>94</x:v>
      </x:c>
      <x:c r="N2170" s="6" t="n">
        <x:v>192</x:v>
      </x:c>
      <x:c r="O2170" s="6" t="n">
        <x:v>241</x:v>
      </x:c>
      <x:c r="P2170" s="6" t="n">
        <x:v>1</x:v>
      </x:c>
      <x:c r="Q2170" s="6" t="n">
        <x:v>4</x:v>
      </x:c>
      <x:c r="R2170" s="6" t="n">
        <x:v>8</x:v>
      </x:c>
      <x:c r="S2170" s="6" t="n">
        <x:v>5</x:v>
      </x:c>
      <x:c r="T2170" s="6" t="n">
        <x:v>1</x:v>
      </x:c>
      <x:c r="U2170" s="6" t="n">
        <x:v>1</x:v>
      </x:c>
      <x:c r="V2170" s="6" t="n">
        <x:v>0</x:v>
      </x:c>
      <x:c r="W2170" s="6" t="n">
        <x:v>1</x:v>
      </x:c>
      <x:c r="X2170" s="6" t="n">
        <x:v>1</x:v>
      </x:c>
      <x:c r="Y2170" s="6" t="n">
        <x:v>0</x:v>
      </x:c>
      <x:c r="Z2170" s="6" t="n">
        <x:v>0</x:v>
      </x:c>
      <x:c r="AA2170" s="6" t="n">
        <x:v>3</x:v>
      </x:c>
      <x:c r="AB2170" s="6" t="n">
        <x:v>11</x:v>
      </x:c>
      <x:c r="AC2170" s="6" t="n">
        <x:v>0</x:v>
      </x:c>
    </x:row>
    <x:row r="2171">
      <x:c r="A2171" s="6" t="n">
        <x:v>4548</x:v>
      </x:c>
      <x:c r="B2171" s="6" t="n">
        <x:v>1981</x:v>
      </x:c>
      <x:c r="C2171" s="6" t="str">
        <x:v>Graduation</x:v>
      </x:c>
      <x:c r="D2171" s="6" t="str">
        <x:v>Single</x:v>
      </x:c>
      <x:c r="E2171" s="6" t="n">
        <x:v>41967</x:v>
      </x:c>
      <x:c r="F2171" s="6" t="n">
        <x:v>1</x:v>
      </x:c>
      <x:c r="G2171" s="6" t="n">
        <x:v>1</x:v>
      </x:c>
      <x:c r="H2171" s="9" t="str">
        <x:v>23-11-2013</x:v>
      </x:c>
      <x:c r="I2171" s="6" t="n">
        <x:v>66</x:v>
      </x:c>
      <x:c r="J2171" s="6" t="n">
        <x:v>23</x:v>
      </x:c>
      <x:c r="K2171" s="6" t="n">
        <x:v>4</x:v>
      </x:c>
      <x:c r="L2171" s="6" t="n">
        <x:v>10</x:v>
      </x:c>
      <x:c r="M2171" s="6" t="n">
        <x:v>0</x:v>
      </x:c>
      <x:c r="N2171" s="6" t="n">
        <x:v>2</x:v>
      </x:c>
      <x:c r="O2171" s="6" t="n">
        <x:v>15</x:v>
      </x:c>
      <x:c r="P2171" s="6" t="n">
        <x:v>1</x:v>
      </x:c>
      <x:c r="Q2171" s="6" t="n">
        <x:v>1</x:v>
      </x:c>
      <x:c r="R2171" s="6" t="n">
        <x:v>0</x:v>
      </x:c>
      <x:c r="S2171" s="6" t="n">
        <x:v>3</x:v>
      </x:c>
      <x:c r="T2171" s="6" t="n">
        <x:v>4</x:v>
      </x:c>
      <x:c r="U2171" s="6" t="n">
        <x:v>0</x:v>
      </x:c>
      <x:c r="V2171" s="6" t="n">
        <x:v>0</x:v>
      </x:c>
      <x:c r="W2171" s="6" t="n">
        <x:v>0</x:v>
      </x:c>
      <x:c r="X2171" s="6" t="n">
        <x:v>0</x:v>
      </x:c>
      <x:c r="Y2171" s="6" t="n">
        <x:v>0</x:v>
      </x:c>
      <x:c r="Z2171" s="6" t="n">
        <x:v>0</x:v>
      </x:c>
      <x:c r="AA2171" s="6" t="n">
        <x:v>3</x:v>
      </x:c>
      <x:c r="AB2171" s="6" t="n">
        <x:v>11</x:v>
      </x:c>
      <x:c r="AC2171" s="6" t="n">
        <x:v>0</x:v>
      </x:c>
    </x:row>
    <x:row r="2172">
      <x:c r="A2172" s="6" t="n">
        <x:v>9362</x:v>
      </x:c>
      <x:c r="B2172" s="6" t="n">
        <x:v>1965</x:v>
      </x:c>
      <x:c r="C2172" s="6" t="str">
        <x:v>Graduation</x:v>
      </x:c>
      <x:c r="D2172" s="6" t="str">
        <x:v>Single</x:v>
      </x:c>
      <x:c r="E2172" s="6" t="n">
        <x:v>69263</x:v>
      </x:c>
      <x:c r="F2172" s="6" t="n">
        <x:v>0</x:v>
      </x:c>
      <x:c r="G2172" s="6" t="n">
        <x:v>1</x:v>
      </x:c>
      <x:c r="H2172" s="9" t="str">
        <x:v>05-03-2014</x:v>
      </x:c>
      <x:c r="I2172" s="6" t="n">
        <x:v>14</x:v>
      </x:c>
      <x:c r="J2172" s="6" t="n">
        <x:v>492</x:v>
      </x:c>
      <x:c r="K2172" s="6" t="n">
        <x:v>5</x:v>
      </x:c>
      <x:c r="L2172" s="6" t="n">
        <x:v>32</x:v>
      </x:c>
      <x:c r="M2172" s="6" t="n">
        <x:v>13</x:v>
      </x:c>
      <x:c r="N2172" s="6" t="n">
        <x:v>5</x:v>
      </x:c>
      <x:c r="O2172" s="6" t="n">
        <x:v>21</x:v>
      </x:c>
      <x:c r="P2172" s="6" t="n">
        <x:v>1</x:v>
      </x:c>
      <x:c r="Q2172" s="6" t="n">
        <x:v>9</x:v>
      </x:c>
      <x:c r="R2172" s="6" t="n">
        <x:v>1</x:v>
      </x:c>
      <x:c r="S2172" s="6" t="n">
        <x:v>7</x:v>
      </x:c>
      <x:c r="T2172" s="6" t="n">
        <x:v>6</x:v>
      </x:c>
      <x:c r="U2172" s="6" t="n">
        <x:v>0</x:v>
      </x:c>
      <x:c r="V2172" s="6" t="n">
        <x:v>1</x:v>
      </x:c>
      <x:c r="W2172" s="6" t="n">
        <x:v>0</x:v>
      </x:c>
      <x:c r="X2172" s="6" t="n">
        <x:v>0</x:v>
      </x:c>
      <x:c r="Y2172" s="6" t="n">
        <x:v>0</x:v>
      </x:c>
      <x:c r="Z2172" s="6" t="n">
        <x:v>0</x:v>
      </x:c>
      <x:c r="AA2172" s="6" t="n">
        <x:v>3</x:v>
      </x:c>
      <x:c r="AB2172" s="6" t="n">
        <x:v>11</x:v>
      </x:c>
      <x:c r="AC2172" s="6" t="n">
        <x:v>0</x:v>
      </x:c>
    </x:row>
    <x:row r="2173">
      <x:c r="A2173" s="6" t="n">
        <x:v>3968</x:v>
      </x:c>
      <x:c r="B2173" s="6" t="n">
        <x:v>1970</x:v>
      </x:c>
      <x:c r="C2173" s="6" t="str">
        <x:v>2n Cycle</x:v>
      </x:c>
      <x:c r="D2173" s="6" t="str">
        <x:v>Divorced</x:v>
      </x:c>
      <x:c r="E2173" s="6" t="n">
        <x:v>65706</x:v>
      </x:c>
      <x:c r="F2173" s="6" t="n">
        <x:v>0</x:v>
      </x:c>
      <x:c r="G2173" s="6" t="n">
        <x:v>0</x:v>
      </x:c>
      <x:c r="H2173" s="9" t="str">
        <x:v>28-06-2013</x:v>
      </x:c>
      <x:c r="I2173" s="6" t="n">
        <x:v>77</x:v>
      </x:c>
      <x:c r="J2173" s="6" t="n">
        <x:v>918</x:v>
      </x:c>
      <x:c r="K2173" s="6" t="n">
        <x:v>10</x:v>
      </x:c>
      <x:c r="L2173" s="6" t="n">
        <x:v>129</x:v>
      </x:c>
      <x:c r="M2173" s="6" t="n">
        <x:v>13</x:v>
      </x:c>
      <x:c r="N2173" s="6" t="n">
        <x:v>0</x:v>
      </x:c>
      <x:c r="O2173" s="6" t="n">
        <x:v>129</x:v>
      </x:c>
      <x:c r="P2173" s="6" t="n">
        <x:v>1</x:v>
      </x:c>
      <x:c r="Q2173" s="6" t="n">
        <x:v>11</x:v>
      </x:c>
      <x:c r="R2173" s="6" t="n">
        <x:v>3</x:v>
      </x:c>
      <x:c r="S2173" s="6" t="n">
        <x:v>12</x:v>
      </x:c>
      <x:c r="T2173" s="6" t="n">
        <x:v>7</x:v>
      </x:c>
      <x:c r="U2173" s="6" t="n">
        <x:v>0</x:v>
      </x:c>
      <x:c r="V2173" s="6" t="n">
        <x:v>1</x:v>
      </x:c>
      <x:c r="W2173" s="6" t="n">
        <x:v>1</x:v>
      </x:c>
      <x:c r="X2173" s="6" t="n">
        <x:v>0</x:v>
      </x:c>
      <x:c r="Y2173" s="6" t="n">
        <x:v>1</x:v>
      </x:c>
      <x:c r="Z2173" s="6" t="n">
        <x:v>0</x:v>
      </x:c>
      <x:c r="AA2173" s="6" t="n">
        <x:v>3</x:v>
      </x:c>
      <x:c r="AB2173" s="6" t="n">
        <x:v>11</x:v>
      </x:c>
      <x:c r="AC2173" s="6" t="n">
        <x:v>1</x:v>
      </x:c>
    </x:row>
    <x:row r="2174">
      <x:c r="A2174" s="6" t="n">
        <x:v>4084</x:v>
      </x:c>
      <x:c r="B2174" s="6" t="n">
        <x:v>1975</x:v>
      </x:c>
      <x:c r="C2174" s="6" t="str">
        <x:v>Graduation</x:v>
      </x:c>
      <x:c r="D2174" s="6" t="str">
        <x:v>Together</x:v>
      </x:c>
      <x:c r="E2174" s="6" t="n">
        <x:v>60934</x:v>
      </x:c>
      <x:c r="F2174" s="6" t="n">
        <x:v>0</x:v>
      </x:c>
      <x:c r="G2174" s="6" t="n">
        <x:v>1</x:v>
      </x:c>
      <x:c r="H2174" s="9" t="str">
        <x:v>17-01-2014</x:v>
      </x:c>
      <x:c r="I2174" s="6" t="n">
        <x:v>41</x:v>
      </x:c>
      <x:c r="J2174" s="6" t="n">
        <x:v>224</x:v>
      </x:c>
      <x:c r="K2174" s="6" t="n">
        <x:v>155</x:v>
      </x:c>
      <x:c r="L2174" s="6" t="n">
        <x:v>155</x:v>
      </x:c>
      <x:c r="M2174" s="6" t="n">
        <x:v>192</x:v>
      </x:c>
      <x:c r="N2174" s="6" t="n">
        <x:v>93</x:v>
      </x:c>
      <x:c r="O2174" s="6" t="n">
        <x:v>54</x:v>
      </x:c>
      <x:c r="P2174" s="6" t="n">
        <x:v>2</x:v>
      </x:c>
      <x:c r="Q2174" s="6" t="n">
        <x:v>6</x:v>
      </x:c>
      <x:c r="R2174" s="6" t="n">
        <x:v>4</x:v>
      </x:c>
      <x:c r="S2174" s="6" t="n">
        <x:v>11</x:v>
      </x:c>
      <x:c r="T2174" s="6" t="n">
        <x:v>4</x:v>
      </x:c>
      <x:c r="U2174" s="6" t="n">
        <x:v>0</x:v>
      </x:c>
      <x:c r="V2174" s="6" t="n">
        <x:v>0</x:v>
      </x:c>
      <x:c r="W2174" s="6" t="n">
        <x:v>0</x:v>
      </x:c>
      <x:c r="X2174" s="6" t="n">
        <x:v>0</x:v>
      </x:c>
      <x:c r="Y2174" s="6" t="n">
        <x:v>0</x:v>
      </x:c>
      <x:c r="Z2174" s="6" t="n">
        <x:v>0</x:v>
      </x:c>
      <x:c r="AA2174" s="6" t="n">
        <x:v>3</x:v>
      </x:c>
      <x:c r="AB2174" s="6" t="n">
        <x:v>11</x:v>
      </x:c>
      <x:c r="AC2174" s="6" t="n">
        <x:v>0</x:v>
      </x:c>
    </x:row>
    <x:row r="2175">
      <x:c r="A2175" s="6" t="n">
        <x:v>6721</x:v>
      </x:c>
      <x:c r="B2175" s="6" t="n">
        <x:v>1951</x:v>
      </x:c>
      <x:c r="C2175" s="6" t="str">
        <x:v>Graduation</x:v>
      </x:c>
      <x:c r="D2175" s="6" t="str">
        <x:v>Married</x:v>
      </x:c>
      <x:c r="E2175" s="6" t="n">
        <x:v>71965</x:v>
      </x:c>
      <x:c r="F2175" s="6" t="n">
        <x:v>0</x:v>
      </x:c>
      <x:c r="G2175" s="6" t="n">
        <x:v>1</x:v>
      </x:c>
      <x:c r="H2175" s="9" t="str">
        <x:v>29-07-2013</x:v>
      </x:c>
      <x:c r="I2175" s="6" t="n">
        <x:v>21</x:v>
      </x:c>
      <x:c r="J2175" s="6" t="n">
        <x:v>572</x:v>
      </x:c>
      <x:c r="K2175" s="6" t="n">
        <x:v>19</x:v>
      </x:c>
      <x:c r="L2175" s="6" t="n">
        <x:v>286</x:v>
      </x:c>
      <x:c r="M2175" s="6" t="n">
        <x:v>50</x:v>
      </x:c>
      <x:c r="N2175" s="6" t="n">
        <x:v>38</x:v>
      </x:c>
      <x:c r="O2175" s="6" t="n">
        <x:v>248</x:v>
      </x:c>
      <x:c r="P2175" s="6" t="n">
        <x:v>3</x:v>
      </x:c>
      <x:c r="Q2175" s="6" t="n">
        <x:v>6</x:v>
      </x:c>
      <x:c r="R2175" s="6" t="n">
        <x:v>3</x:v>
      </x:c>
      <x:c r="S2175" s="6" t="n">
        <x:v>5</x:v>
      </x:c>
      <x:c r="T2175" s="6" t="n">
        <x:v>3</x:v>
      </x:c>
      <x:c r="U2175" s="6" t="n">
        <x:v>0</x:v>
      </x:c>
      <x:c r="V2175" s="6" t="n">
        <x:v>0</x:v>
      </x:c>
      <x:c r="W2175" s="6" t="n">
        <x:v>0</x:v>
      </x:c>
      <x:c r="X2175" s="6" t="n">
        <x:v>0</x:v>
      </x:c>
      <x:c r="Y2175" s="6" t="n">
        <x:v>0</x:v>
      </x:c>
      <x:c r="Z2175" s="6" t="n">
        <x:v>0</x:v>
      </x:c>
      <x:c r="AA2175" s="6" t="n">
        <x:v>3</x:v>
      </x:c>
      <x:c r="AB2175" s="6" t="n">
        <x:v>11</x:v>
      </x:c>
      <x:c r="AC2175" s="6" t="n">
        <x:v>0</x:v>
      </x:c>
    </x:row>
    <x:row r="2176">
      <x:c r="A2176" s="6" t="n">
        <x:v>2829</x:v>
      </x:c>
      <x:c r="B2176" s="6" t="n">
        <x:v>1955</x:v>
      </x:c>
      <x:c r="C2176" s="6" t="str">
        <x:v>Graduation</x:v>
      </x:c>
      <x:c r="D2176" s="6" t="str">
        <x:v>Married</x:v>
      </x:c>
      <x:c r="E2176" s="6" t="n">
        <x:v>65210</x:v>
      </x:c>
      <x:c r="F2176" s="6" t="n">
        <x:v>0</x:v>
      </x:c>
      <x:c r="G2176" s="6" t="n">
        <x:v>1</x:v>
      </x:c>
      <x:c r="H2176" s="9" t="str">
        <x:v>10-03-2014</x:v>
      </x:c>
      <x:c r="I2176" s="6" t="n">
        <x:v>25</x:v>
      </x:c>
      <x:c r="J2176" s="6" t="n">
        <x:v>626</x:v>
      </x:c>
      <x:c r="K2176" s="6" t="n">
        <x:v>0</x:v>
      </x:c>
      <x:c r="L2176" s="6" t="n">
        <x:v>70</x:v>
      </x:c>
      <x:c r="M2176" s="6" t="n">
        <x:v>0</x:v>
      </x:c>
      <x:c r="N2176" s="6" t="n">
        <x:v>7</x:v>
      </x:c>
      <x:c r="O2176" s="6" t="n">
        <x:v>28</x:v>
      </x:c>
      <x:c r="P2176" s="6" t="n">
        <x:v>2</x:v>
      </x:c>
      <x:c r="Q2176" s="6" t="n">
        <x:v>9</x:v>
      </x:c>
      <x:c r="R2176" s="6" t="n">
        <x:v>3</x:v>
      </x:c>
      <x:c r="S2176" s="6" t="n">
        <x:v>8</x:v>
      </x:c>
      <x:c r="T2176" s="6" t="n">
        <x:v>6</x:v>
      </x:c>
      <x:c r="U2176" s="6" t="n">
        <x:v>0</x:v>
      </x:c>
      <x:c r="V2176" s="6" t="n">
        <x:v>1</x:v>
      </x:c>
      <x:c r="W2176" s="6" t="n">
        <x:v>0</x:v>
      </x:c>
      <x:c r="X2176" s="6" t="n">
        <x:v>1</x:v>
      </x:c>
      <x:c r="Y2176" s="6" t="n">
        <x:v>0</x:v>
      </x:c>
      <x:c r="Z2176" s="6" t="n">
        <x:v>0</x:v>
      </x:c>
      <x:c r="AA2176" s="6" t="n">
        <x:v>3</x:v>
      </x:c>
      <x:c r="AB2176" s="6" t="n">
        <x:v>11</x:v>
      </x:c>
      <x:c r="AC2176" s="6" t="n">
        <x:v>0</x:v>
      </x:c>
    </x:row>
    <x:row r="2177">
      <x:c r="A2177" s="6" t="n">
        <x:v>1772</x:v>
      </x:c>
      <x:c r="B2177" s="6" t="n">
        <x:v>1975</x:v>
      </x:c>
      <x:c r="C2177" s="6" t="str">
        <x:v>PhD</x:v>
      </x:c>
      <x:c r="D2177" s="6" t="str">
        <x:v>Married</x:v>
      </x:c>
      <x:c r="E2177" s="6" t="n">
        <x:v>79174</x:v>
      </x:c>
      <x:c r="F2177" s="6" t="n">
        <x:v>0</x:v>
      </x:c>
      <x:c r="G2177" s="6" t="n">
        <x:v>0</x:v>
      </x:c>
      <x:c r="H2177" s="9" t="str">
        <x:v>11-01-2013</x:v>
      </x:c>
      <x:c r="I2177" s="6" t="n">
        <x:v>2</x:v>
      </x:c>
      <x:c r="J2177" s="6" t="n">
        <x:v>1074</x:v>
      </x:c>
      <x:c r="K2177" s="6" t="n">
        <x:v>37</x:v>
      </x:c>
      <x:c r="L2177" s="6" t="n">
        <x:v>518</x:v>
      </x:c>
      <x:c r="M2177" s="6" t="n">
        <x:v>193</x:v>
      </x:c>
      <x:c r="N2177" s="6" t="n">
        <x:v>92</x:v>
      </x:c>
      <x:c r="O2177" s="6" t="n">
        <x:v>129</x:v>
      </x:c>
      <x:c r="P2177" s="6" t="n">
        <x:v>1</x:v>
      </x:c>
      <x:c r="Q2177" s="6" t="n">
        <x:v>5</x:v>
      </x:c>
      <x:c r="R2177" s="6" t="n">
        <x:v>6</x:v>
      </x:c>
      <x:c r="S2177" s="6" t="n">
        <x:v>7</x:v>
      </x:c>
      <x:c r="T2177" s="6" t="n">
        <x:v>2</x:v>
      </x:c>
      <x:c r="U2177" s="6" t="n">
        <x:v>0</x:v>
      </x:c>
      <x:c r="V2177" s="6" t="n">
        <x:v>0</x:v>
      </x:c>
      <x:c r="W2177" s="6" t="n">
        <x:v>1</x:v>
      </x:c>
      <x:c r="X2177" s="6" t="n">
        <x:v>1</x:v>
      </x:c>
      <x:c r="Y2177" s="6" t="n">
        <x:v>0</x:v>
      </x:c>
      <x:c r="Z2177" s="6" t="n">
        <x:v>0</x:v>
      </x:c>
      <x:c r="AA2177" s="6" t="n">
        <x:v>3</x:v>
      </x:c>
      <x:c r="AB2177" s="6" t="n">
        <x:v>11</x:v>
      </x:c>
      <x:c r="AC2177" s="6" t="n">
        <x:v>1</x:v>
      </x:c>
    </x:row>
    <x:row r="2178">
      <x:c r="A2178" s="6" t="n">
        <x:v>1544</x:v>
      </x:c>
      <x:c r="B2178" s="6" t="n">
        <x:v>1967</x:v>
      </x:c>
      <x:c r="C2178" s="6" t="str">
        <x:v>Master</x:v>
      </x:c>
      <x:c r="D2178" s="6" t="str">
        <x:v>Divorced</x:v>
      </x:c>
      <x:c r="E2178" s="6" t="n">
        <x:v>81380</x:v>
      </x:c>
      <x:c r="F2178" s="6" t="n">
        <x:v>0</x:v>
      </x:c>
      <x:c r="G2178" s="6" t="n">
        <x:v>0</x:v>
      </x:c>
      <x:c r="H2178" s="9" t="str">
        <x:v>22-12-2012</x:v>
      </x:c>
      <x:c r="I2178" s="6" t="n">
        <x:v>51</x:v>
      </x:c>
      <x:c r="J2178" s="6" t="n">
        <x:v>741</x:v>
      </x:c>
      <x:c r="K2178" s="6" t="n">
        <x:v>68</x:v>
      </x:c>
      <x:c r="L2178" s="6" t="n">
        <x:v>689</x:v>
      </x:c>
      <x:c r="M2178" s="6" t="n">
        <x:v>224</x:v>
      </x:c>
      <x:c r="N2178" s="6" t="n">
        <x:v>68</x:v>
      </x:c>
      <x:c r="O2178" s="6" t="n">
        <x:v>103</x:v>
      </x:c>
      <x:c r="P2178" s="6" t="n">
        <x:v>1</x:v>
      </x:c>
      <x:c r="Q2178" s="6" t="n">
        <x:v>4</x:v>
      </x:c>
      <x:c r="R2178" s="6" t="n">
        <x:v>2</x:v>
      </x:c>
      <x:c r="S2178" s="6" t="n">
        <x:v>10</x:v>
      </x:c>
      <x:c r="T2178" s="6" t="n">
        <x:v>2</x:v>
      </x:c>
      <x:c r="U2178" s="6" t="n">
        <x:v>0</x:v>
      </x:c>
      <x:c r="V2178" s="6" t="n">
        <x:v>0</x:v>
      </x:c>
      <x:c r="W2178" s="6" t="n">
        <x:v>0</x:v>
      </x:c>
      <x:c r="X2178" s="6" t="n">
        <x:v>0</x:v>
      </x:c>
      <x:c r="Y2178" s="6" t="n">
        <x:v>0</x:v>
      </x:c>
      <x:c r="Z2178" s="6" t="n">
        <x:v>0</x:v>
      </x:c>
      <x:c r="AA2178" s="6" t="n">
        <x:v>3</x:v>
      </x:c>
      <x:c r="AB2178" s="6" t="n">
        <x:v>11</x:v>
      </x:c>
      <x:c r="AC2178" s="6" t="n">
        <x:v>0</x:v>
      </x:c>
    </x:row>
    <x:row r="2179">
      <x:c r="A2179" s="6" t="n">
        <x:v>492</x:v>
      </x:c>
      <x:c r="B2179" s="6" t="n">
        <x:v>1973</x:v>
      </x:c>
      <x:c r="C2179" s="6" t="str">
        <x:v>PhD</x:v>
      </x:c>
      <x:c r="D2179" s="6" t="str">
        <x:v>YOLO</x:v>
      </x:c>
      <x:c r="E2179" s="6" t="n">
        <x:v>48432</x:v>
      </x:c>
      <x:c r="F2179" s="6" t="n">
        <x:v>0</x:v>
      </x:c>
      <x:c r="G2179" s="6" t="n">
        <x:v>1</x:v>
      </x:c>
      <x:c r="H2179" s="9" t="str">
        <x:v>18-10-2012</x:v>
      </x:c>
      <x:c r="I2179" s="6" t="n">
        <x:v>3</x:v>
      </x:c>
      <x:c r="J2179" s="6" t="n">
        <x:v>322</x:v>
      </x:c>
      <x:c r="K2179" s="6" t="n">
        <x:v>3</x:v>
      </x:c>
      <x:c r="L2179" s="6" t="n">
        <x:v>50</x:v>
      </x:c>
      <x:c r="M2179" s="6" t="n">
        <x:v>4</x:v>
      </x:c>
      <x:c r="N2179" s="6" t="n">
        <x:v>3</x:v>
      </x:c>
      <x:c r="O2179" s="6" t="n">
        <x:v>42</x:v>
      </x:c>
      <x:c r="P2179" s="6" t="n">
        <x:v>5</x:v>
      </x:c>
      <x:c r="Q2179" s="6" t="n">
        <x:v>7</x:v>
      </x:c>
      <x:c r="R2179" s="6" t="n">
        <x:v>1</x:v>
      </x:c>
      <x:c r="S2179" s="6" t="n">
        <x:v>6</x:v>
      </x:c>
      <x:c r="T2179" s="6" t="n">
        <x:v>8</x:v>
      </x:c>
      <x:c r="U2179" s="6" t="n">
        <x:v>0</x:v>
      </x:c>
      <x:c r="V2179" s="6" t="n">
        <x:v>0</x:v>
      </x:c>
      <x:c r="W2179" s="6" t="n">
        <x:v>0</x:v>
      </x:c>
      <x:c r="X2179" s="6" t="n">
        <x:v>0</x:v>
      </x:c>
      <x:c r="Y2179" s="6" t="n">
        <x:v>0</x:v>
      </x:c>
      <x:c r="Z2179" s="6" t="n">
        <x:v>0</x:v>
      </x:c>
      <x:c r="AA2179" s="6" t="n">
        <x:v>3</x:v>
      </x:c>
      <x:c r="AB2179" s="6" t="n">
        <x:v>11</x:v>
      </x:c>
      <x:c r="AC2179" s="6" t="n">
        <x:v>0</x:v>
      </x:c>
    </x:row>
    <x:row r="2180">
      <x:c r="A2180" s="6" t="n">
        <x:v>4377</x:v>
      </x:c>
      <x:c r="B2180" s="6" t="n">
        <x:v>1971</x:v>
      </x:c>
      <x:c r="C2180" s="6" t="str">
        <x:v>Graduation</x:v>
      </x:c>
      <x:c r="D2180" s="6" t="str">
        <x:v>Married</x:v>
      </x:c>
      <x:c r="E2180" s="6" t="n">
        <x:v>52914</x:v>
      </x:c>
      <x:c r="F2180" s="6" t="n">
        <x:v>0</x:v>
      </x:c>
      <x:c r="G2180" s="6" t="n">
        <x:v>1</x:v>
      </x:c>
      <x:c r="H2180" s="9" t="str">
        <x:v>07-01-2013</x:v>
      </x:c>
      <x:c r="I2180" s="6" t="n">
        <x:v>32</x:v>
      </x:c>
      <x:c r="J2180" s="6" t="n">
        <x:v>254</x:v>
      </x:c>
      <x:c r="K2180" s="6" t="n">
        <x:v>10</x:v>
      </x:c>
      <x:c r="L2180" s="6" t="n">
        <x:v>44</x:v>
      </x:c>
      <x:c r="M2180" s="6" t="n">
        <x:v>30</x:v>
      </x:c>
      <x:c r="N2180" s="6" t="n">
        <x:v>10</x:v>
      </x:c>
      <x:c r="O2180" s="6" t="n">
        <x:v>227</x:v>
      </x:c>
      <x:c r="P2180" s="6" t="n">
        <x:v>2</x:v>
      </x:c>
      <x:c r="Q2180" s="6" t="n">
        <x:v>7</x:v>
      </x:c>
      <x:c r="R2180" s="6" t="n">
        <x:v>3</x:v>
      </x:c>
      <x:c r="S2180" s="6" t="n">
        <x:v>3</x:v>
      </x:c>
      <x:c r="T2180" s="6" t="n">
        <x:v>7</x:v>
      </x:c>
      <x:c r="U2180" s="6" t="n">
        <x:v>1</x:v>
      </x:c>
      <x:c r="V2180" s="6" t="n">
        <x:v>0</x:v>
      </x:c>
      <x:c r="W2180" s="6" t="n">
        <x:v>0</x:v>
      </x:c>
      <x:c r="X2180" s="6" t="n">
        <x:v>0</x:v>
      </x:c>
      <x:c r="Y2180" s="6" t="n">
        <x:v>0</x:v>
      </x:c>
      <x:c r="Z2180" s="6" t="n">
        <x:v>0</x:v>
      </x:c>
      <x:c r="AA2180" s="6" t="n">
        <x:v>3</x:v>
      </x:c>
      <x:c r="AB2180" s="6" t="n">
        <x:v>11</x:v>
      </x:c>
      <x:c r="AC2180" s="6" t="n">
        <x:v>0</x:v>
      </x:c>
    </x:row>
    <x:row r="2181">
      <x:c r="A2181" s="6" t="n">
        <x:v>4541</x:v>
      </x:c>
      <x:c r="B2181" s="6" t="n">
        <x:v>1955</x:v>
      </x:c>
      <x:c r="C2181" s="6" t="str">
        <x:v>Graduation</x:v>
      </x:c>
      <x:c r="D2181" s="6" t="str">
        <x:v>Together</x:v>
      </x:c>
      <x:c r="E2181" s="6" t="n">
        <x:v>38946</x:v>
      </x:c>
      <x:c r="F2181" s="6" t="n">
        <x:v>0</x:v>
      </x:c>
      <x:c r="G2181" s="6" t="n">
        <x:v>1</x:v>
      </x:c>
      <x:c r="H2181" s="9" t="str">
        <x:v>24-10-2013</x:v>
      </x:c>
      <x:c r="I2181" s="6" t="n">
        <x:v>84</x:v>
      </x:c>
      <x:c r="J2181" s="6" t="n">
        <x:v>116</x:v>
      </x:c>
      <x:c r="K2181" s="6" t="n">
        <x:v>6</x:v>
      </x:c>
      <x:c r="L2181" s="6" t="n">
        <x:v>82</x:v>
      </x:c>
      <x:c r="M2181" s="6" t="n">
        <x:v>6</x:v>
      </x:c>
      <x:c r="N2181" s="6" t="n">
        <x:v>6</x:v>
      </x:c>
      <x:c r="O2181" s="6" t="n">
        <x:v>41</x:v>
      </x:c>
      <x:c r="P2181" s="6" t="n">
        <x:v>2</x:v>
      </x:c>
      <x:c r="Q2181" s="6" t="n">
        <x:v>3</x:v>
      </x:c>
      <x:c r="R2181" s="6" t="n">
        <x:v>1</x:v>
      </x:c>
      <x:c r="S2181" s="6" t="n">
        <x:v>6</x:v>
      </x:c>
      <x:c r="T2181" s="6" t="n">
        <x:v>5</x:v>
      </x:c>
      <x:c r="U2181" s="6" t="n">
        <x:v>0</x:v>
      </x:c>
      <x:c r="V2181" s="6" t="n">
        <x:v>0</x:v>
      </x:c>
      <x:c r="W2181" s="6" t="n">
        <x:v>0</x:v>
      </x:c>
      <x:c r="X2181" s="6" t="n">
        <x:v>0</x:v>
      </x:c>
      <x:c r="Y2181" s="6" t="n">
        <x:v>0</x:v>
      </x:c>
      <x:c r="Z2181" s="6" t="n">
        <x:v>0</x:v>
      </x:c>
      <x:c r="AA2181" s="6" t="n">
        <x:v>3</x:v>
      </x:c>
      <x:c r="AB2181" s="6" t="n">
        <x:v>11</x:v>
      </x:c>
      <x:c r="AC2181" s="6" t="n">
        <x:v>0</x:v>
      </x:c>
    </x:row>
    <x:row r="2182">
      <x:c r="A2182" s="6" t="n">
        <x:v>1321</x:v>
      </x:c>
      <x:c r="B2182" s="6" t="n">
        <x:v>1974</x:v>
      </x:c>
      <x:c r="C2182" s="6" t="str">
        <x:v>Graduation</x:v>
      </x:c>
      <x:c r="D2182" s="6" t="str">
        <x:v>Married</x:v>
      </x:c>
      <x:c r="E2182" s="6" t="n">
        <x:v>26067</x:v>
      </x:c>
      <x:c r="F2182" s="6" t="n">
        <x:v>1</x:v>
      </x:c>
      <x:c r="G2182" s="6" t="n">
        <x:v>0</x:v>
      </x:c>
      <x:c r="H2182" s="9" t="str">
        <x:v>04-11-2013</x:v>
      </x:c>
      <x:c r="I2182" s="6" t="n">
        <x:v>49</x:v>
      </x:c>
      <x:c r="J2182" s="6" t="n">
        <x:v>22</x:v>
      </x:c>
      <x:c r="K2182" s="6" t="n">
        <x:v>2</x:v>
      </x:c>
      <x:c r="L2182" s="6" t="n">
        <x:v>18</x:v>
      </x:c>
      <x:c r="M2182" s="6" t="n">
        <x:v>0</x:v>
      </x:c>
      <x:c r="N2182" s="6" t="n">
        <x:v>2</x:v>
      </x:c>
      <x:c r="O2182" s="6" t="n">
        <x:v>12</x:v>
      </x:c>
      <x:c r="P2182" s="6" t="n">
        <x:v>3</x:v>
      </x:c>
      <x:c r="Q2182" s="6" t="n">
        <x:v>3</x:v>
      </x:c>
      <x:c r="R2182" s="6" t="n">
        <x:v>0</x:v>
      </x:c>
      <x:c r="S2182" s="6" t="n">
        <x:v>3</x:v>
      </x:c>
      <x:c r="T2182" s="6" t="n">
        <x:v>8</x:v>
      </x:c>
      <x:c r="U2182" s="6" t="n">
        <x:v>0</x:v>
      </x:c>
      <x:c r="V2182" s="6" t="n">
        <x:v>0</x:v>
      </x:c>
      <x:c r="W2182" s="6" t="n">
        <x:v>0</x:v>
      </x:c>
      <x:c r="X2182" s="6" t="n">
        <x:v>0</x:v>
      </x:c>
      <x:c r="Y2182" s="6" t="n">
        <x:v>0</x:v>
      </x:c>
      <x:c r="Z2182" s="6" t="n">
        <x:v>0</x:v>
      </x:c>
      <x:c r="AA2182" s="6" t="n">
        <x:v>3</x:v>
      </x:c>
      <x:c r="AB2182" s="6" t="n">
        <x:v>11</x:v>
      </x:c>
      <x:c r="AC2182" s="6" t="n">
        <x:v>0</x:v>
      </x:c>
    </x:row>
    <x:row r="2183">
      <x:c r="A2183" s="6" t="n">
        <x:v>8858</x:v>
      </x:c>
      <x:c r="B2183" s="6" t="n">
        <x:v>1972</x:v>
      </x:c>
      <x:c r="C2183" s="6" t="str">
        <x:v>PhD</x:v>
      </x:c>
      <x:c r="D2183" s="6" t="str">
        <x:v>Married</x:v>
      </x:c>
      <x:c r="E2183" s="6" t="n">
        <x:v>44325</x:v>
      </x:c>
      <x:c r="F2183" s="6" t="n">
        <x:v>0</x:v>
      </x:c>
      <x:c r="G2183" s="6" t="n">
        <x:v>1</x:v>
      </x:c>
      <x:c r="H2183" s="9" t="str">
        <x:v>07-03-2013</x:v>
      </x:c>
      <x:c r="I2183" s="6" t="n">
        <x:v>69</x:v>
      </x:c>
      <x:c r="J2183" s="6" t="n">
        <x:v>516</x:v>
      </x:c>
      <x:c r="K2183" s="6" t="n">
        <x:v>0</x:v>
      </x:c>
      <x:c r="L2183" s="6" t="n">
        <x:v>21</x:v>
      </x:c>
      <x:c r="M2183" s="6" t="n">
        <x:v>0</x:v>
      </x:c>
      <x:c r="N2183" s="6" t="n">
        <x:v>0</x:v>
      </x:c>
      <x:c r="O2183" s="6" t="n">
        <x:v>5</x:v>
      </x:c>
      <x:c r="P2183" s="6" t="n">
        <x:v>4</x:v>
      </x:c>
      <x:c r="Q2183" s="6" t="n">
        <x:v>8</x:v>
      </x:c>
      <x:c r="R2183" s="6" t="n">
        <x:v>2</x:v>
      </x:c>
      <x:c r="S2183" s="6" t="n">
        <x:v>7</x:v>
      </x:c>
      <x:c r="T2183" s="6" t="n">
        <x:v>8</x:v>
      </x:c>
      <x:c r="U2183" s="6" t="n">
        <x:v>0</x:v>
      </x:c>
      <x:c r="V2183" s="6" t="n">
        <x:v>1</x:v>
      </x:c>
      <x:c r="W2183" s="6" t="n">
        <x:v>0</x:v>
      </x:c>
      <x:c r="X2183" s="6" t="n">
        <x:v>0</x:v>
      </x:c>
      <x:c r="Y2183" s="6" t="n">
        <x:v>0</x:v>
      </x:c>
      <x:c r="Z2183" s="6" t="n">
        <x:v>0</x:v>
      </x:c>
      <x:c r="AA2183" s="6" t="n">
        <x:v>3</x:v>
      </x:c>
      <x:c r="AB2183" s="6" t="n">
        <x:v>11</x:v>
      </x:c>
      <x:c r="AC2183" s="6" t="n">
        <x:v>0</x:v>
      </x:c>
    </x:row>
    <x:row r="2184">
      <x:c r="A2184" s="6" t="n">
        <x:v>3266</x:v>
      </x:c>
      <x:c r="B2184" s="6" t="n">
        <x:v>1964</x:v>
      </x:c>
      <x:c r="C2184" s="6" t="str">
        <x:v>Graduation</x:v>
      </x:c>
      <x:c r="D2184" s="6" t="str">
        <x:v>Married</x:v>
      </x:c>
      <x:c r="E2184" s="6" t="n">
        <x:v>42523</x:v>
      </x:c>
      <x:c r="F2184" s="6" t="n">
        <x:v>0</x:v>
      </x:c>
      <x:c r="G2184" s="6" t="n">
        <x:v>0</x:v>
      </x:c>
      <x:c r="H2184" s="9" t="str">
        <x:v>23-04-2014</x:v>
      </x:c>
      <x:c r="I2184" s="6" t="n">
        <x:v>96</x:v>
      </x:c>
      <x:c r="J2184" s="6" t="n">
        <x:v>14</x:v>
      </x:c>
      <x:c r="K2184" s="6" t="n">
        <x:v>36</x:v>
      </x:c>
      <x:c r="L2184" s="6" t="n">
        <x:v>11</x:v>
      </x:c>
      <x:c r="M2184" s="6" t="n">
        <x:v>3</x:v>
      </x:c>
      <x:c r="N2184" s="6" t="n">
        <x:v>26</x:v>
      </x:c>
      <x:c r="O2184" s="6" t="n">
        <x:v>35</x:v>
      </x:c>
      <x:c r="P2184" s="6" t="n">
        <x:v>1</x:v>
      </x:c>
      <x:c r="Q2184" s="6" t="n">
        <x:v>1</x:v>
      </x:c>
      <x:c r="R2184" s="6" t="n">
        <x:v>1</x:v>
      </x:c>
      <x:c r="S2184" s="6" t="n">
        <x:v>4</x:v>
      </x:c>
      <x:c r="T2184" s="6" t="n">
        <x:v>2</x:v>
      </x:c>
      <x:c r="U2184" s="6" t="n">
        <x:v>0</x:v>
      </x:c>
      <x:c r="V2184" s="6" t="n">
        <x:v>0</x:v>
      </x:c>
      <x:c r="W2184" s="6" t="n">
        <x:v>0</x:v>
      </x:c>
      <x:c r="X2184" s="6" t="n">
        <x:v>0</x:v>
      </x:c>
      <x:c r="Y2184" s="6" t="n">
        <x:v>0</x:v>
      </x:c>
      <x:c r="Z2184" s="6" t="n">
        <x:v>0</x:v>
      </x:c>
      <x:c r="AA2184" s="6" t="n">
        <x:v>3</x:v>
      </x:c>
      <x:c r="AB2184" s="6" t="n">
        <x:v>11</x:v>
      </x:c>
      <x:c r="AC2184" s="6" t="n">
        <x:v>0</x:v>
      </x:c>
    </x:row>
    <x:row r="2185">
      <x:c r="A2185" s="6" t="n">
        <x:v>11187</x:v>
      </x:c>
      <x:c r="B2185" s="6" t="n">
        <x:v>1978</x:v>
      </x:c>
      <x:c r="C2185" s="6" t="str">
        <x:v>Basic</x:v>
      </x:c>
      <x:c r="D2185" s="6" t="str">
        <x:v>Single</x:v>
      </x:c>
      <x:c r="E2185" s="6" t="n">
        <x:v>26487</x:v>
      </x:c>
      <x:c r="F2185" s="6" t="n">
        <x:v>1</x:v>
      </x:c>
      <x:c r="G2185" s="6" t="n">
        <x:v>0</x:v>
      </x:c>
      <x:c r="H2185" s="9" t="str">
        <x:v>20-05-2013</x:v>
      </x:c>
      <x:c r="I2185" s="6" t="n">
        <x:v>23</x:v>
      </x:c>
      <x:c r="J2185" s="6" t="n">
        <x:v>2</x:v>
      </x:c>
      <x:c r="K2185" s="6" t="n">
        <x:v>8</x:v>
      </x:c>
      <x:c r="L2185" s="6" t="n">
        <x:v>10</x:v>
      </x:c>
      <x:c r="M2185" s="6" t="n">
        <x:v>12</x:v>
      </x:c>
      <x:c r="N2185" s="6" t="n">
        <x:v>14</x:v>
      </x:c>
      <x:c r="O2185" s="6" t="n">
        <x:v>23</x:v>
      </x:c>
      <x:c r="P2185" s="6" t="n">
        <x:v>3</x:v>
      </x:c>
      <x:c r="Q2185" s="6" t="n">
        <x:v>2</x:v>
      </x:c>
      <x:c r="R2185" s="6" t="n">
        <x:v>1</x:v>
      </x:c>
      <x:c r="S2185" s="6" t="n">
        <x:v>3</x:v>
      </x:c>
      <x:c r="T2185" s="6" t="n">
        <x:v>5</x:v>
      </x:c>
      <x:c r="U2185" s="6" t="n">
        <x:v>0</x:v>
      </x:c>
      <x:c r="V2185" s="6" t="n">
        <x:v>0</x:v>
      </x:c>
      <x:c r="W2185" s="6" t="n">
        <x:v>0</x:v>
      </x:c>
      <x:c r="X2185" s="6" t="n">
        <x:v>0</x:v>
      </x:c>
      <x:c r="Y2185" s="6" t="n">
        <x:v>0</x:v>
      </x:c>
      <x:c r="Z2185" s="6" t="n">
        <x:v>0</x:v>
      </x:c>
      <x:c r="AA2185" s="6" t="n">
        <x:v>3</x:v>
      </x:c>
      <x:c r="AB2185" s="6" t="n">
        <x:v>11</x:v>
      </x:c>
      <x:c r="AC2185" s="6" t="n">
        <x:v>0</x:v>
      </x:c>
    </x:row>
    <x:row r="2186">
      <x:c r="A2186" s="6" t="n">
        <x:v>8207</x:v>
      </x:c>
      <x:c r="B2186" s="6" t="n">
        <x:v>1957</x:v>
      </x:c>
      <x:c r="C2186" s="6" t="str">
        <x:v>2n Cycle</x:v>
      </x:c>
      <x:c r="D2186" s="6" t="str">
        <x:v>Married</x:v>
      </x:c>
      <x:c r="E2186" s="6" t="n">
        <x:v>53233</x:v>
      </x:c>
      <x:c r="F2186" s="6" t="n">
        <x:v>0</x:v>
      </x:c>
      <x:c r="G2186" s="6" t="n">
        <x:v>1</x:v>
      </x:c>
      <x:c r="H2186" s="9" t="str">
        <x:v>18-03-2014</x:v>
      </x:c>
      <x:c r="I2186" s="6" t="n">
        <x:v>18</x:v>
      </x:c>
      <x:c r="J2186" s="6" t="n">
        <x:v>28</x:v>
      </x:c>
      <x:c r="K2186" s="6" t="n">
        <x:v>0</x:v>
      </x:c>
      <x:c r="L2186" s="6" t="n">
        <x:v>9</x:v>
      </x:c>
      <x:c r="M2186" s="6" t="n">
        <x:v>3</x:v>
      </x:c>
      <x:c r="N2186" s="6" t="n">
        <x:v>0</x:v>
      </x:c>
      <x:c r="O2186" s="6" t="n">
        <x:v>0</x:v>
      </x:c>
      <x:c r="P2186" s="6" t="n">
        <x:v>1</x:v>
      </x:c>
      <x:c r="Q2186" s="6" t="n">
        <x:v>1</x:v>
      </x:c>
      <x:c r="R2186" s="6" t="n">
        <x:v>0</x:v>
      </x:c>
      <x:c r="S2186" s="6" t="n">
        <x:v>3</x:v>
      </x:c>
      <x:c r="T2186" s="6" t="n">
        <x:v>4</x:v>
      </x:c>
      <x:c r="U2186" s="6" t="n">
        <x:v>0</x:v>
      </x:c>
      <x:c r="V2186" s="6" t="n">
        <x:v>0</x:v>
      </x:c>
      <x:c r="W2186" s="6" t="n">
        <x:v>0</x:v>
      </x:c>
      <x:c r="X2186" s="6" t="n">
        <x:v>0</x:v>
      </x:c>
      <x:c r="Y2186" s="6" t="n">
        <x:v>0</x:v>
      </x:c>
      <x:c r="Z2186" s="6" t="n">
        <x:v>0</x:v>
      </x:c>
      <x:c r="AA2186" s="6" t="n">
        <x:v>3</x:v>
      </x:c>
      <x:c r="AB2186" s="6" t="n">
        <x:v>11</x:v>
      </x:c>
      <x:c r="AC2186" s="6" t="n">
        <x:v>0</x:v>
      </x:c>
    </x:row>
    <x:row r="2187">
      <x:c r="A2187" s="6" t="n">
        <x:v>9723</x:v>
      </x:c>
      <x:c r="B2187" s="6" t="n">
        <x:v>1960</x:v>
      </x:c>
      <x:c r="C2187" s="6" t="str">
        <x:v>Graduation</x:v>
      </x:c>
      <x:c r="D2187" s="6" t="str">
        <x:v>Married</x:v>
      </x:c>
      <x:c r="E2187" s="6" t="n">
        <x:v>67716</x:v>
      </x:c>
      <x:c r="F2187" s="6" t="n">
        <x:v>0</x:v>
      </x:c>
      <x:c r="G2187" s="6" t="n">
        <x:v>1</x:v>
      </x:c>
      <x:c r="H2187" s="9" t="str">
        <x:v>10-01-2013</x:v>
      </x:c>
      <x:c r="I2187" s="6" t="n">
        <x:v>8</x:v>
      </x:c>
      <x:c r="J2187" s="6" t="n">
        <x:v>530</x:v>
      </x:c>
      <x:c r="K2187" s="6" t="n">
        <x:v>142</x:v>
      </x:c>
      <x:c r="L2187" s="6" t="n">
        <x:v>217</x:v>
      </x:c>
      <x:c r="M2187" s="6" t="n">
        <x:v>62</x:v>
      </x:c>
      <x:c r="N2187" s="6" t="n">
        <x:v>9</x:v>
      </x:c>
      <x:c r="O2187" s="6" t="n">
        <x:v>56</x:v>
      </x:c>
      <x:c r="P2187" s="6" t="n">
        <x:v>4</x:v>
      </x:c>
      <x:c r="Q2187" s="6" t="n">
        <x:v>7</x:v>
      </x:c>
      <x:c r="R2187" s="6" t="n">
        <x:v>4</x:v>
      </x:c>
      <x:c r="S2187" s="6" t="n">
        <x:v>13</x:v>
      </x:c>
      <x:c r="T2187" s="6" t="n">
        <x:v>5</x:v>
      </x:c>
      <x:c r="U2187" s="6" t="n">
        <x:v>0</x:v>
      </x:c>
      <x:c r="V2187" s="6" t="n">
        <x:v>1</x:v>
      </x:c>
      <x:c r="W2187" s="6" t="n">
        <x:v>0</x:v>
      </x:c>
      <x:c r="X2187" s="6" t="n">
        <x:v>0</x:v>
      </x:c>
      <x:c r="Y2187" s="6" t="n">
        <x:v>0</x:v>
      </x:c>
      <x:c r="Z2187" s="6" t="n">
        <x:v>0</x:v>
      </x:c>
      <x:c r="AA2187" s="6" t="n">
        <x:v>3</x:v>
      </x:c>
      <x:c r="AB2187" s="6" t="n">
        <x:v>11</x:v>
      </x:c>
      <x:c r="AC2187" s="6" t="n">
        <x:v>0</x:v>
      </x:c>
    </x:row>
    <x:row r="2188">
      <x:c r="A2188" s="6" t="n">
        <x:v>2666</x:v>
      </x:c>
      <x:c r="B2188" s="6" t="n">
        <x:v>1972</x:v>
      </x:c>
      <x:c r="C2188" s="6" t="str">
        <x:v>Master</x:v>
      </x:c>
      <x:c r="D2188" s="6" t="str">
        <x:v>Married</x:v>
      </x:c>
      <x:c r="E2188" s="6" t="n">
        <x:v>76234</x:v>
      </x:c>
      <x:c r="F2188" s="6" t="n">
        <x:v>0</x:v>
      </x:c>
      <x:c r="G2188" s="6" t="n">
        <x:v>1</x:v>
      </x:c>
      <x:c r="H2188" s="9" t="str">
        <x:v>06-02-2014</x:v>
      </x:c>
      <x:c r="I2188" s="6" t="n">
        <x:v>21</x:v>
      </x:c>
      <x:c r="J2188" s="6" t="n">
        <x:v>519</x:v>
      </x:c>
      <x:c r="K2188" s="6" t="n">
        <x:v>50</x:v>
      </x:c>
      <x:c r="L2188" s="6" t="n">
        <x:v>167</x:v>
      </x:c>
      <x:c r="M2188" s="6" t="n">
        <x:v>130</x:v>
      </x:c>
      <x:c r="N2188" s="6" t="n">
        <x:v>0</x:v>
      </x:c>
      <x:c r="O2188" s="6" t="n">
        <x:v>41</x:v>
      </x:c>
      <x:c r="P2188" s="6" t="n">
        <x:v>1</x:v>
      </x:c>
      <x:c r="Q2188" s="6" t="n">
        <x:v>8</x:v>
      </x:c>
      <x:c r="R2188" s="6" t="n">
        <x:v>3</x:v>
      </x:c>
      <x:c r="S2188" s="6" t="n">
        <x:v>11</x:v>
      </x:c>
      <x:c r="T2188" s="6" t="n">
        <x:v>3</x:v>
      </x:c>
      <x:c r="U2188" s="6" t="n">
        <x:v>0</x:v>
      </x:c>
      <x:c r="V2188" s="6" t="n">
        <x:v>1</x:v>
      </x:c>
      <x:c r="W2188" s="6" t="n">
        <x:v>0</x:v>
      </x:c>
      <x:c r="X2188" s="6" t="n">
        <x:v>0</x:v>
      </x:c>
      <x:c r="Y2188" s="6" t="n">
        <x:v>0</x:v>
      </x:c>
      <x:c r="Z2188" s="6" t="n">
        <x:v>0</x:v>
      </x:c>
      <x:c r="AA2188" s="6" t="n">
        <x:v>3</x:v>
      </x:c>
      <x:c r="AB2188" s="6" t="n">
        <x:v>11</x:v>
      </x:c>
      <x:c r="AC2188" s="6" t="n">
        <x:v>0</x:v>
      </x:c>
    </x:row>
    <x:row r="2189">
      <x:c r="A2189" s="6" t="n">
        <x:v>5721</x:v>
      </x:c>
      <x:c r="B2189" s="6" t="n">
        <x:v>1956</x:v>
      </x:c>
      <x:c r="C2189" s="6" t="str">
        <x:v>PhD</x:v>
      </x:c>
      <x:c r="D2189" s="6" t="str">
        <x:v>Married</x:v>
      </x:c>
      <x:c r="E2189" s="6" t="n">
        <x:v>84117</x:v>
      </x:c>
      <x:c r="F2189" s="6" t="n">
        <x:v>0</x:v>
      </x:c>
      <x:c r="G2189" s="6" t="n">
        <x:v>0</x:v>
      </x:c>
      <x:c r="H2189" s="9" t="str">
        <x:v>11-05-2014</x:v>
      </x:c>
      <x:c r="I2189" s="6" t="n">
        <x:v>60</x:v>
      </x:c>
      <x:c r="J2189" s="6" t="n">
        <x:v>611</x:v>
      </x:c>
      <x:c r="K2189" s="6" t="n">
        <x:v>76</x:v>
      </x:c>
      <x:c r="L2189" s="6" t="n">
        <x:v>749</x:v>
      </x:c>
      <x:c r="M2189" s="6" t="n">
        <x:v>59</x:v>
      </x:c>
      <x:c r="N2189" s="6" t="n">
        <x:v>45</x:v>
      </x:c>
      <x:c r="O2189" s="6" t="n">
        <x:v>26</x:v>
      </x:c>
      <x:c r="P2189" s="6" t="n">
        <x:v>1</x:v>
      </x:c>
      <x:c r="Q2189" s="6" t="n">
        <x:v>7</x:v>
      </x:c>
      <x:c r="R2189" s="6" t="n">
        <x:v>10</x:v>
      </x:c>
      <x:c r="S2189" s="6" t="n">
        <x:v>6</x:v>
      </x:c>
      <x:c r="T2189" s="6" t="n">
        <x:v>2</x:v>
      </x:c>
      <x:c r="U2189" s="6" t="n">
        <x:v>0</x:v>
      </x:c>
      <x:c r="V2189" s="6" t="n">
        <x:v>0</x:v>
      </x:c>
      <x:c r="W2189" s="6" t="n">
        <x:v>1</x:v>
      </x:c>
      <x:c r="X2189" s="6" t="n">
        <x:v>0</x:v>
      </x:c>
      <x:c r="Y2189" s="6" t="n">
        <x:v>0</x:v>
      </x:c>
      <x:c r="Z2189" s="6" t="n">
        <x:v>0</x:v>
      </x:c>
      <x:c r="AA2189" s="6" t="n">
        <x:v>3</x:v>
      </x:c>
      <x:c r="AB2189" s="6" t="n">
        <x:v>11</x:v>
      </x:c>
      <x:c r="AC2189" s="6" t="n">
        <x:v>0</x:v>
      </x:c>
    </x:row>
    <x:row r="2190">
      <x:c r="A2190" s="6" t="n">
        <x:v>10652</x:v>
      </x:c>
      <x:c r="B2190" s="6" t="n">
        <x:v>1957</x:v>
      </x:c>
      <x:c r="C2190" s="6" t="str">
        <x:v>Master</x:v>
      </x:c>
      <x:c r="D2190" s="6" t="str">
        <x:v>Together</x:v>
      </x:c>
      <x:c r="E2190" s="6" t="n">
        <x:v>65487</x:v>
      </x:c>
      <x:c r="F2190" s="6" t="n">
        <x:v>0</x:v>
      </x:c>
      <x:c r="G2190" s="6" t="n">
        <x:v>0</x:v>
      </x:c>
      <x:c r="H2190" s="9" t="str">
        <x:v>10-01-2014</x:v>
      </x:c>
      <x:c r="I2190" s="6" t="n">
        <x:v>48</x:v>
      </x:c>
      <x:c r="J2190" s="6" t="n">
        <x:v>240</x:v>
      </x:c>
      <x:c r="K2190" s="6" t="n">
        <x:v>67</x:v>
      </x:c>
      <x:c r="L2190" s="6" t="n">
        <x:v>500</x:v>
      </x:c>
      <x:c r="M2190" s="6" t="n">
        <x:v>199</x:v>
      </x:c>
      <x:c r="N2190" s="6" t="n">
        <x:v>0</x:v>
      </x:c>
      <x:c r="O2190" s="6" t="n">
        <x:v>163</x:v>
      </x:c>
      <x:c r="P2190" s="6" t="n">
        <x:v>3</x:v>
      </x:c>
      <x:c r="Q2190" s="6" t="n">
        <x:v>3</x:v>
      </x:c>
      <x:c r="R2190" s="6" t="n">
        <x:v>5</x:v>
      </x:c>
      <x:c r="S2190" s="6" t="n">
        <x:v>6</x:v>
      </x:c>
      <x:c r="T2190" s="6" t="n">
        <x:v>2</x:v>
      </x:c>
      <x:c r="U2190" s="6" t="n">
        <x:v>0</x:v>
      </x:c>
      <x:c r="V2190" s="6" t="n">
        <x:v>0</x:v>
      </x:c>
      <x:c r="W2190" s="6" t="n">
        <x:v>0</x:v>
      </x:c>
      <x:c r="X2190" s="6" t="n">
        <x:v>0</x:v>
      </x:c>
      <x:c r="Y2190" s="6" t="n">
        <x:v>0</x:v>
      </x:c>
      <x:c r="Z2190" s="6" t="n">
        <x:v>0</x:v>
      </x:c>
      <x:c r="AA2190" s="6" t="n">
        <x:v>3</x:v>
      </x:c>
      <x:c r="AB2190" s="6" t="n">
        <x:v>11</x:v>
      </x:c>
      <x:c r="AC2190" s="6" t="n">
        <x:v>0</x:v>
      </x:c>
    </x:row>
    <x:row r="2191">
      <x:c r="A2191" s="6" t="n">
        <x:v>1646</x:v>
      </x:c>
      <x:c r="B2191" s="6" t="n">
        <x:v>1972</x:v>
      </x:c>
      <x:c r="C2191" s="6" t="str">
        <x:v>Basic</x:v>
      </x:c>
      <x:c r="D2191" s="6" t="str">
        <x:v>Married</x:v>
      </x:c>
      <x:c r="E2191" s="6" t="n">
        <x:v>25224</x:v>
      </x:c>
      <x:c r="F2191" s="6" t="n">
        <x:v>1</x:v>
      </x:c>
      <x:c r="G2191" s="6" t="n">
        <x:v>0</x:v>
      </x:c>
      <x:c r="H2191" s="9" t="str">
        <x:v>16-03-2014</x:v>
      </x:c>
      <x:c r="I2191" s="6" t="n">
        <x:v>36</x:v>
      </x:c>
      <x:c r="J2191" s="6" t="n">
        <x:v>4</x:v>
      </x:c>
      <x:c r="K2191" s="6" t="n">
        <x:v>9</x:v>
      </x:c>
      <x:c r="L2191" s="6" t="n">
        <x:v>12</x:v>
      </x:c>
      <x:c r="M2191" s="6" t="n">
        <x:v>11</x:v>
      </x:c>
      <x:c r="N2191" s="6" t="n">
        <x:v>2</x:v>
      </x:c>
      <x:c r="O2191" s="6" t="n">
        <x:v>8</x:v>
      </x:c>
      <x:c r="P2191" s="6" t="n">
        <x:v>2</x:v>
      </x:c>
      <x:c r="Q2191" s="6" t="n">
        <x:v>1</x:v>
      </x:c>
      <x:c r="R2191" s="6" t="n">
        <x:v>1</x:v>
      </x:c>
      <x:c r="S2191" s="6" t="n">
        <x:v>3</x:v>
      </x:c>
      <x:c r="T2191" s="6" t="n">
        <x:v>3</x:v>
      </x:c>
      <x:c r="U2191" s="6" t="n">
        <x:v>0</x:v>
      </x:c>
      <x:c r="V2191" s="6" t="n">
        <x:v>0</x:v>
      </x:c>
      <x:c r="W2191" s="6" t="n">
        <x:v>0</x:v>
      </x:c>
      <x:c r="X2191" s="6" t="n">
        <x:v>0</x:v>
      </x:c>
      <x:c r="Y2191" s="6" t="n">
        <x:v>0</x:v>
      </x:c>
      <x:c r="Z2191" s="6" t="n">
        <x:v>0</x:v>
      </x:c>
      <x:c r="AA2191" s="6" t="n">
        <x:v>3</x:v>
      </x:c>
      <x:c r="AB2191" s="6" t="n">
        <x:v>11</x:v>
      </x:c>
      <x:c r="AC2191" s="6" t="n">
        <x:v>0</x:v>
      </x:c>
    </x:row>
    <x:row r="2192">
      <x:c r="A2192" s="6" t="n">
        <x:v>4418</x:v>
      </x:c>
      <x:c r="B2192" s="6" t="n">
        <x:v>1983</x:v>
      </x:c>
      <x:c r="C2192" s="6" t="str">
        <x:v>Master</x:v>
      </x:c>
      <x:c r="D2192" s="6" t="str">
        <x:v>Single</x:v>
      </x:c>
      <x:c r="E2192" s="6" t="n">
        <x:v>89616</x:v>
      </x:c>
      <x:c r="F2192" s="6" t="n">
        <x:v>0</x:v>
      </x:c>
      <x:c r="G2192" s="6" t="n">
        <x:v>0</x:v>
      </x:c>
      <x:c r="H2192" s="9" t="str">
        <x:v>25-02-2013</x:v>
      </x:c>
      <x:c r="I2192" s="6" t="n">
        <x:v>36</x:v>
      </x:c>
      <x:c r="J2192" s="6" t="n">
        <x:v>671</x:v>
      </x:c>
      <x:c r="K2192" s="6" t="n">
        <x:v>47</x:v>
      </x:c>
      <x:c r="L2192" s="6" t="n">
        <x:v>655</x:v>
      </x:c>
      <x:c r="M2192" s="6" t="n">
        <x:v>145</x:v>
      </x:c>
      <x:c r="N2192" s="6" t="n">
        <x:v>111</x:v>
      </x:c>
      <x:c r="O2192" s="6" t="n">
        <x:v>15</x:v>
      </x:c>
      <x:c r="P2192" s="6" t="n">
        <x:v>1</x:v>
      </x:c>
      <x:c r="Q2192" s="6" t="n">
        <x:v>7</x:v>
      </x:c>
      <x:c r="R2192" s="6" t="n">
        <x:v>5</x:v>
      </x:c>
      <x:c r="S2192" s="6" t="n">
        <x:v>12</x:v>
      </x:c>
      <x:c r="T2192" s="6" t="n">
        <x:v>2</x:v>
      </x:c>
      <x:c r="U2192" s="6" t="n">
        <x:v>0</x:v>
      </x:c>
      <x:c r="V2192" s="6" t="n">
        <x:v>0</x:v>
      </x:c>
      <x:c r="W2192" s="6" t="n">
        <x:v>0</x:v>
      </x:c>
      <x:c r="X2192" s="6" t="n">
        <x:v>0</x:v>
      </x:c>
      <x:c r="Y2192" s="6" t="n">
        <x:v>0</x:v>
      </x:c>
      <x:c r="Z2192" s="6" t="n">
        <x:v>0</x:v>
      </x:c>
      <x:c r="AA2192" s="6" t="n">
        <x:v>3</x:v>
      </x:c>
      <x:c r="AB2192" s="6" t="n">
        <x:v>11</x:v>
      </x:c>
      <x:c r="AC2192" s="6" t="n">
        <x:v>1</x:v>
      </x:c>
    </x:row>
    <x:row r="2193">
      <x:c r="A2193" s="6" t="n">
        <x:v>2656</x:v>
      </x:c>
      <x:c r="B2193" s="6" t="n">
        <x:v>1971</x:v>
      </x:c>
      <x:c r="C2193" s="6" t="str">
        <x:v>Graduation</x:v>
      </x:c>
      <x:c r="D2193" s="6" t="str">
        <x:v>Divorced</x:v>
      </x:c>
      <x:c r="E2193" s="6" t="n">
        <x:v>40851</x:v>
      </x:c>
      <x:c r="F2193" s="6" t="n">
        <x:v>1</x:v>
      </x:c>
      <x:c r="G2193" s="6" t="n">
        <x:v>1</x:v>
      </x:c>
      <x:c r="H2193" s="9" t="str">
        <x:v>21-02-2013</x:v>
      </x:c>
      <x:c r="I2193" s="6" t="n">
        <x:v>63</x:v>
      </x:c>
      <x:c r="J2193" s="6" t="n">
        <x:v>23</x:v>
      </x:c>
      <x:c r="K2193" s="6" t="n">
        <x:v>1</x:v>
      </x:c>
      <x:c r="L2193" s="6" t="n">
        <x:v>7</x:v>
      </x:c>
      <x:c r="M2193" s="6" t="n">
        <x:v>0</x:v>
      </x:c>
      <x:c r="N2193" s="6" t="n">
        <x:v>4</x:v>
      </x:c>
      <x:c r="O2193" s="6" t="n">
        <x:v>24</x:v>
      </x:c>
      <x:c r="P2193" s="6" t="n">
        <x:v>1</x:v>
      </x:c>
      <x:c r="Q2193" s="6" t="n">
        <x:v>1</x:v>
      </x:c>
      <x:c r="R2193" s="6" t="n">
        <x:v>1</x:v>
      </x:c>
      <x:c r="S2193" s="6" t="n">
        <x:v>2</x:v>
      </x:c>
      <x:c r="T2193" s="6" t="n">
        <x:v>7</x:v>
      </x:c>
      <x:c r="U2193" s="6" t="n">
        <x:v>0</x:v>
      </x:c>
      <x:c r="V2193" s="6" t="n">
        <x:v>0</x:v>
      </x:c>
      <x:c r="W2193" s="6" t="n">
        <x:v>0</x:v>
      </x:c>
      <x:c r="X2193" s="6" t="n">
        <x:v>0</x:v>
      </x:c>
      <x:c r="Y2193" s="6" t="n">
        <x:v>0</x:v>
      </x:c>
      <x:c r="Z2193" s="6" t="n">
        <x:v>0</x:v>
      </x:c>
      <x:c r="AA2193" s="6" t="n">
        <x:v>3</x:v>
      </x:c>
      <x:c r="AB2193" s="6" t="n">
        <x:v>11</x:v>
      </x:c>
      <x:c r="AC2193" s="6" t="n">
        <x:v>0</x:v>
      </x:c>
    </x:row>
    <x:row r="2194">
      <x:c r="A2194" s="6" t="n">
        <x:v>7990</x:v>
      </x:c>
      <x:c r="B2194" s="6" t="n">
        <x:v>1947</x:v>
      </x:c>
      <x:c r="C2194" s="6" t="str">
        <x:v>Graduation</x:v>
      </x:c>
      <x:c r="D2194" s="6" t="str">
        <x:v>Married</x:v>
      </x:c>
      <x:c r="E2194" s="6" t="n">
        <x:v>27469</x:v>
      </x:c>
      <x:c r="F2194" s="6" t="n">
        <x:v>0</x:v>
      </x:c>
      <x:c r="G2194" s="6" t="n">
        <x:v>0</x:v>
      </x:c>
      <x:c r="H2194" s="9" t="str">
        <x:v>02-08-2012</x:v>
      </x:c>
      <x:c r="I2194" s="6" t="n">
        <x:v>2</x:v>
      </x:c>
      <x:c r="J2194" s="6" t="n">
        <x:v>9</x:v>
      </x:c>
      <x:c r="K2194" s="6" t="n">
        <x:v>1</x:v>
      </x:c>
      <x:c r="L2194" s="6" t="n">
        <x:v>2</x:v>
      </x:c>
      <x:c r="M2194" s="6" t="n">
        <x:v>3</x:v>
      </x:c>
      <x:c r="N2194" s="6" t="n">
        <x:v>2</x:v>
      </x:c>
      <x:c r="O2194" s="6" t="n">
        <x:v>0</x:v>
      </x:c>
      <x:c r="P2194" s="6" t="n">
        <x:v>1</x:v>
      </x:c>
      <x:c r="Q2194" s="6" t="n">
        <x:v>0</x:v>
      </x:c>
      <x:c r="R2194" s="6" t="n">
        <x:v>0</x:v>
      </x:c>
      <x:c r="S2194" s="6" t="n">
        <x:v>3</x:v>
      </x:c>
      <x:c r="T2194" s="6" t="n">
        <x:v>6</x:v>
      </x:c>
      <x:c r="U2194" s="6" t="n">
        <x:v>0</x:v>
      </x:c>
      <x:c r="V2194" s="6" t="n">
        <x:v>0</x:v>
      </x:c>
      <x:c r="W2194" s="6" t="n">
        <x:v>0</x:v>
      </x:c>
      <x:c r="X2194" s="6" t="n">
        <x:v>0</x:v>
      </x:c>
      <x:c r="Y2194" s="6" t="n">
        <x:v>0</x:v>
      </x:c>
      <x:c r="Z2194" s="6" t="n">
        <x:v>0</x:v>
      </x:c>
      <x:c r="AA2194" s="6" t="n">
        <x:v>3</x:v>
      </x:c>
      <x:c r="AB2194" s="6" t="n">
        <x:v>11</x:v>
      </x:c>
      <x:c r="AC2194" s="6" t="n">
        <x:v>0</x:v>
      </x:c>
    </x:row>
    <x:row r="2195">
      <x:c r="A2195" s="6" t="n">
        <x:v>8722</x:v>
      </x:c>
      <x:c r="B2195" s="6" t="n">
        <x:v>1957</x:v>
      </x:c>
      <x:c r="C2195" s="6" t="str">
        <x:v>2n Cycle</x:v>
      </x:c>
      <x:c r="D2195" s="6" t="str">
        <x:v>Married</x:v>
      </x:c>
      <x:c r="E2195" s="6" t="n">
        <x:v>82347</x:v>
      </x:c>
      <x:c r="F2195" s="6" t="n">
        <x:v>0</x:v>
      </x:c>
      <x:c r="G2195" s="6" t="n">
        <x:v>0</x:v>
      </x:c>
      <x:c r="H2195" s="9" t="str">
        <x:v>06-11-2012</x:v>
      </x:c>
      <x:c r="I2195" s="6" t="n">
        <x:v>38</x:v>
      </x:c>
      <x:c r="J2195" s="6" t="n">
        <x:v>556</x:v>
      </x:c>
      <x:c r="K2195" s="6" t="n">
        <x:v>54</x:v>
      </x:c>
      <x:c r="L2195" s="6" t="n">
        <x:v>845</x:v>
      </x:c>
      <x:c r="M2195" s="6" t="n">
        <x:v>202</x:v>
      </x:c>
      <x:c r="N2195" s="6" t="n">
        <x:v>133</x:v>
      </x:c>
      <x:c r="O2195" s="6" t="n">
        <x:v>63</x:v>
      </x:c>
      <x:c r="P2195" s="6" t="n">
        <x:v>1</x:v>
      </x:c>
      <x:c r="Q2195" s="6" t="n">
        <x:v>7</x:v>
      </x:c>
      <x:c r="R2195" s="6" t="n">
        <x:v>7</x:v>
      </x:c>
      <x:c r="S2195" s="6" t="n">
        <x:v>10</x:v>
      </x:c>
      <x:c r="T2195" s="6" t="n">
        <x:v>3</x:v>
      </x:c>
      <x:c r="U2195" s="6" t="n">
        <x:v>1</x:v>
      </x:c>
      <x:c r="V2195" s="6" t="n">
        <x:v>0</x:v>
      </x:c>
      <x:c r="W2195" s="6" t="n">
        <x:v>0</x:v>
      </x:c>
      <x:c r="X2195" s="6" t="n">
        <x:v>1</x:v>
      </x:c>
      <x:c r="Y2195" s="6" t="n">
        <x:v>0</x:v>
      </x:c>
      <x:c r="Z2195" s="6" t="n">
        <x:v>0</x:v>
      </x:c>
      <x:c r="AA2195" s="6" t="n">
        <x:v>3</x:v>
      </x:c>
      <x:c r="AB2195" s="6" t="n">
        <x:v>11</x:v>
      </x:c>
      <x:c r="AC2195" s="6" t="n">
        <x:v>1</x:v>
      </x:c>
    </x:row>
    <x:row r="2196">
      <x:c r="A2196" s="6" t="n">
        <x:v>7118</x:v>
      </x:c>
      <x:c r="B2196" s="6" t="n">
        <x:v>1957</x:v>
      </x:c>
      <x:c r="C2196" s="6" t="str">
        <x:v>Graduation</x:v>
      </x:c>
      <x:c r="D2196" s="6" t="str">
        <x:v>Married</x:v>
      </x:c>
      <x:c r="E2196" s="6" t="n">
        <x:v>73803</x:v>
      </x:c>
      <x:c r="F2196" s="6" t="n">
        <x:v>0</x:v>
      </x:c>
      <x:c r="G2196" s="6" t="n">
        <x:v>1</x:v>
      </x:c>
      <x:c r="H2196" s="9" t="str">
        <x:v>01-08-2012</x:v>
      </x:c>
      <x:c r="I2196" s="6" t="n">
        <x:v>61</x:v>
      </x:c>
      <x:c r="J2196" s="6" t="n">
        <x:v>833</x:v>
      </x:c>
      <x:c r="K2196" s="6" t="n">
        <x:v>80</x:v>
      </x:c>
      <x:c r="L2196" s="6" t="n">
        <x:v>363</x:v>
      </x:c>
      <x:c r="M2196" s="6" t="n">
        <x:v>52</x:v>
      </x:c>
      <x:c r="N2196" s="6" t="n">
        <x:v>26</x:v>
      </x:c>
      <x:c r="O2196" s="6" t="n">
        <x:v>174</x:v>
      </x:c>
      <x:c r="P2196" s="6" t="n">
        <x:v>2</x:v>
      </x:c>
      <x:c r="Q2196" s="6" t="n">
        <x:v>9</x:v>
      </x:c>
      <x:c r="R2196" s="6" t="n">
        <x:v>5</x:v>
      </x:c>
      <x:c r="S2196" s="6" t="n">
        <x:v>6</x:v>
      </x:c>
      <x:c r="T2196" s="6" t="n">
        <x:v>6</x:v>
      </x:c>
      <x:c r="U2196" s="6" t="n">
        <x:v>1</x:v>
      </x:c>
      <x:c r="V2196" s="6" t="n">
        <x:v>0</x:v>
      </x:c>
      <x:c r="W2196" s="6" t="n">
        <x:v>0</x:v>
      </x:c>
      <x:c r="X2196" s="6" t="n">
        <x:v>0</x:v>
      </x:c>
      <x:c r="Y2196" s="6" t="n">
        <x:v>0</x:v>
      </x:c>
      <x:c r="Z2196" s="6" t="n">
        <x:v>0</x:v>
      </x:c>
      <x:c r="AA2196" s="6" t="n">
        <x:v>3</x:v>
      </x:c>
      <x:c r="AB2196" s="6" t="n">
        <x:v>11</x:v>
      </x:c>
      <x:c r="AC2196" s="6" t="n">
        <x:v>1</x:v>
      </x:c>
    </x:row>
    <x:row r="2197">
      <x:c r="A2197" s="6" t="n">
        <x:v>2980</x:v>
      </x:c>
      <x:c r="B2197" s="6" t="n">
        <x:v>1952</x:v>
      </x:c>
      <x:c r="C2197" s="6" t="str">
        <x:v>Master</x:v>
      </x:c>
      <x:c r="D2197" s="6" t="str">
        <x:v>Single</x:v>
      </x:c>
      <x:c r="E2197" s="6" t="n">
        <x:v>8820</x:v>
      </x:c>
      <x:c r="F2197" s="6" t="n">
        <x:v>1</x:v>
      </x:c>
      <x:c r="G2197" s="6" t="n">
        <x:v>1</x:v>
      </x:c>
      <x:c r="H2197" s="9" t="str">
        <x:v>22-03-2013</x:v>
      </x:c>
      <x:c r="I2197" s="6" t="n">
        <x:v>52</x:v>
      </x:c>
      <x:c r="J2197" s="6" t="n">
        <x:v>12</x:v>
      </x:c>
      <x:c r="K2197" s="6" t="n">
        <x:v>0</x:v>
      </x:c>
      <x:c r="L2197" s="6" t="n">
        <x:v>13</x:v>
      </x:c>
      <x:c r="M2197" s="6" t="n">
        <x:v>4</x:v>
      </x:c>
      <x:c r="N2197" s="6" t="n">
        <x:v>2</x:v>
      </x:c>
      <x:c r="O2197" s="6" t="n">
        <x:v>4</x:v>
      </x:c>
      <x:c r="P2197" s="6" t="n">
        <x:v>4</x:v>
      </x:c>
      <x:c r="Q2197" s="6" t="n">
        <x:v>3</x:v>
      </x:c>
      <x:c r="R2197" s="6" t="n">
        <x:v>0</x:v>
      </x:c>
      <x:c r="S2197" s="6" t="n">
        <x:v>3</x:v>
      </x:c>
      <x:c r="T2197" s="6" t="n">
        <x:v>8</x:v>
      </x:c>
      <x:c r="U2197" s="6" t="n">
        <x:v>0</x:v>
      </x:c>
      <x:c r="V2197" s="6" t="n">
        <x:v>0</x:v>
      </x:c>
      <x:c r="W2197" s="6" t="n">
        <x:v>0</x:v>
      </x:c>
      <x:c r="X2197" s="6" t="n">
        <x:v>0</x:v>
      </x:c>
      <x:c r="Y2197" s="6" t="n">
        <x:v>0</x:v>
      </x:c>
      <x:c r="Z2197" s="6" t="n">
        <x:v>0</x:v>
      </x:c>
      <x:c r="AA2197" s="6" t="n">
        <x:v>3</x:v>
      </x:c>
      <x:c r="AB2197" s="6" t="n">
        <x:v>11</x:v>
      </x:c>
      <x:c r="AC2197" s="6" t="n">
        <x:v>0</x:v>
      </x:c>
    </x:row>
    <x:row r="2198">
      <x:c r="A2198" s="6" t="n">
        <x:v>1839</x:v>
      </x:c>
      <x:c r="B2198" s="6" t="n">
        <x:v>1974</x:v>
      </x:c>
      <x:c r="C2198" s="6" t="str">
        <x:v>Graduation</x:v>
      </x:c>
      <x:c r="D2198" s="6" t="str">
        <x:v>Single</x:v>
      </x:c>
      <x:c r="E2198" s="6" t="n">
        <x:v>43322</x:v>
      </x:c>
      <x:c r="F2198" s="6" t="n">
        <x:v>0</x:v>
      </x:c>
      <x:c r="G2198" s="6" t="n">
        <x:v>0</x:v>
      </x:c>
      <x:c r="H2198" s="9" t="str">
        <x:v>21-04-2014</x:v>
      </x:c>
      <x:c r="I2198" s="6" t="n">
        <x:v>25</x:v>
      </x:c>
      <x:c r="J2198" s="6" t="n">
        <x:v>56</x:v>
      </x:c>
      <x:c r="K2198" s="6" t="n">
        <x:v>7</x:v>
      </x:c>
      <x:c r="L2198" s="6" t="n">
        <x:v>48</x:v>
      </x:c>
      <x:c r="M2198" s="6" t="n">
        <x:v>10</x:v>
      </x:c>
      <x:c r="N2198" s="6" t="n">
        <x:v>2</x:v>
      </x:c>
      <x:c r="O2198" s="6" t="n">
        <x:v>18</x:v>
      </x:c>
      <x:c r="P2198" s="6" t="n">
        <x:v>1</x:v>
      </x:c>
      <x:c r="Q2198" s="6" t="n">
        <x:v>3</x:v>
      </x:c>
      <x:c r="R2198" s="6" t="n">
        <x:v>0</x:v>
      </x:c>
      <x:c r="S2198" s="6" t="n">
        <x:v>4</x:v>
      </x:c>
      <x:c r="T2198" s="6" t="n">
        <x:v>7</x:v>
      </x:c>
      <x:c r="U2198" s="6" t="n">
        <x:v>0</x:v>
      </x:c>
      <x:c r="V2198" s="6" t="n">
        <x:v>0</x:v>
      </x:c>
      <x:c r="W2198" s="6" t="n">
        <x:v>0</x:v>
      </x:c>
      <x:c r="X2198" s="6" t="n">
        <x:v>0</x:v>
      </x:c>
      <x:c r="Y2198" s="6" t="n">
        <x:v>0</x:v>
      </x:c>
      <x:c r="Z2198" s="6" t="n">
        <x:v>0</x:v>
      </x:c>
      <x:c r="AA2198" s="6" t="n">
        <x:v>3</x:v>
      </x:c>
      <x:c r="AB2198" s="6" t="n">
        <x:v>11</x:v>
      </x:c>
      <x:c r="AC2198" s="6" t="n">
        <x:v>0</x:v>
      </x:c>
    </x:row>
    <x:row r="2199">
      <x:c r="A2199" s="6" t="n">
        <x:v>10722</x:v>
      </x:c>
      <x:c r="B2199" s="6" t="n">
        <x:v>1973</x:v>
      </x:c>
      <x:c r="C2199" s="6" t="str">
        <x:v>Graduation</x:v>
      </x:c>
      <x:c r="D2199" s="6" t="str">
        <x:v>Together</x:v>
      </x:c>
      <x:c r="E2199" s="6" t="n">
        <x:v>55593</x:v>
      </x:c>
      <x:c r="F2199" s="6" t="n">
        <x:v>0</x:v>
      </x:c>
      <x:c r="G2199" s="6" t="n">
        <x:v>1</x:v>
      </x:c>
      <x:c r="H2199" s="9" t="str">
        <x:v>21-08-2013</x:v>
      </x:c>
      <x:c r="I2199" s="6" t="n">
        <x:v>63</x:v>
      </x:c>
      <x:c r="J2199" s="6" t="n">
        <x:v>293</x:v>
      </x:c>
      <x:c r="K2199" s="6" t="n">
        <x:v>8</x:v>
      </x:c>
      <x:c r="L2199" s="6" t="n">
        <x:v>124</x:v>
      </x:c>
      <x:c r="M2199" s="6" t="n">
        <x:v>11</x:v>
      </x:c>
      <x:c r="N2199" s="6" t="n">
        <x:v>4</x:v>
      </x:c>
      <x:c r="O2199" s="6" t="n">
        <x:v>106</x:v>
      </x:c>
      <x:c r="P2199" s="6" t="n">
        <x:v>2</x:v>
      </x:c>
      <x:c r="Q2199" s="6" t="n">
        <x:v>6</x:v>
      </x:c>
      <x:c r="R2199" s="6" t="n">
        <x:v>6</x:v>
      </x:c>
      <x:c r="S2199" s="6" t="n">
        <x:v>3</x:v>
      </x:c>
      <x:c r="T2199" s="6" t="n">
        <x:v>6</x:v>
      </x:c>
      <x:c r="U2199" s="6" t="n">
        <x:v>1</x:v>
      </x:c>
      <x:c r="V2199" s="6" t="n">
        <x:v>0</x:v>
      </x:c>
      <x:c r="W2199" s="6" t="n">
        <x:v>0</x:v>
      </x:c>
      <x:c r="X2199" s="6" t="n">
        <x:v>0</x:v>
      </x:c>
      <x:c r="Y2199" s="6" t="n">
        <x:v>0</x:v>
      </x:c>
      <x:c r="Z2199" s="6" t="n">
        <x:v>0</x:v>
      </x:c>
      <x:c r="AA2199" s="6" t="n">
        <x:v>3</x:v>
      </x:c>
      <x:c r="AB2199" s="6" t="n">
        <x:v>11</x:v>
      </x:c>
      <x:c r="AC2199" s="6" t="n">
        <x:v>0</x:v>
      </x:c>
    </x:row>
    <x:row r="2200">
      <x:c r="A2200" s="6" t="n">
        <x:v>2632</x:v>
      </x:c>
      <x:c r="B2200" s="6" t="n">
        <x:v>1954</x:v>
      </x:c>
      <x:c r="C2200" s="6" t="str">
        <x:v>Graduation</x:v>
      </x:c>
      <x:c r="D2200" s="6" t="str">
        <x:v>Married</x:v>
      </x:c>
      <x:c r="E2200" s="6" t="n">
        <x:v>50501</x:v>
      </x:c>
      <x:c r="F2200" s="6" t="n">
        <x:v>1</x:v>
      </x:c>
      <x:c r="G2200" s="6" t="n">
        <x:v>1</x:v>
      </x:c>
      <x:c r="H2200" s="9" t="str">
        <x:v>18-06-2013</x:v>
      </x:c>
      <x:c r="I2200" s="6" t="n">
        <x:v>10</x:v>
      </x:c>
      <x:c r="J2200" s="6" t="n">
        <x:v>297</x:v>
      </x:c>
      <x:c r="K2200" s="6" t="n">
        <x:v>0</x:v>
      </x:c>
      <x:c r="L2200" s="6" t="n">
        <x:v>38</x:v>
      </x:c>
      <x:c r="M2200" s="6" t="n">
        <x:v>13</x:v>
      </x:c>
      <x:c r="N2200" s="6" t="n">
        <x:v>0</x:v>
      </x:c>
      <x:c r="O2200" s="6" t="n">
        <x:v>152</x:v>
      </x:c>
      <x:c r="P2200" s="6" t="n">
        <x:v>7</x:v>
      </x:c>
      <x:c r="Q2200" s="6" t="n">
        <x:v>5</x:v>
      </x:c>
      <x:c r="R2200" s="6" t="n">
        <x:v>4</x:v>
      </x:c>
      <x:c r="S2200" s="6" t="n">
        <x:v>4</x:v>
      </x:c>
      <x:c r="T2200" s="6" t="n">
        <x:v>6</x:v>
      </x:c>
      <x:c r="U2200" s="6" t="n">
        <x:v>1</x:v>
      </x:c>
      <x:c r="V2200" s="6" t="n">
        <x:v>0</x:v>
      </x:c>
      <x:c r="W2200" s="6" t="n">
        <x:v>0</x:v>
      </x:c>
      <x:c r="X2200" s="6" t="n">
        <x:v>0</x:v>
      </x:c>
      <x:c r="Y2200" s="6" t="n">
        <x:v>0</x:v>
      </x:c>
      <x:c r="Z2200" s="6" t="n">
        <x:v>0</x:v>
      </x:c>
      <x:c r="AA2200" s="6" t="n">
        <x:v>3</x:v>
      </x:c>
      <x:c r="AB2200" s="6" t="n">
        <x:v>11</x:v>
      </x:c>
      <x:c r="AC2200" s="6" t="n">
        <x:v>1</x:v>
      </x:c>
    </x:row>
    <x:row r="2201">
      <x:c r="A2201" s="6" t="n">
        <x:v>9014</x:v>
      </x:c>
      <x:c r="B2201" s="6" t="n">
        <x:v>1975</x:v>
      </x:c>
      <x:c r="C2201" s="6" t="str">
        <x:v>Graduation</x:v>
      </x:c>
      <x:c r="D2201" s="6" t="str">
        <x:v>Married</x:v>
      </x:c>
      <x:c r="E2201" s="6" t="n">
        <x:v>37085</x:v>
      </x:c>
      <x:c r="F2201" s="6" t="n">
        <x:v>1</x:v>
      </x:c>
      <x:c r="G2201" s="6" t="n">
        <x:v>1</x:v>
      </x:c>
      <x:c r="H2201" s="9" t="str">
        <x:v>26-06-2014</x:v>
      </x:c>
      <x:c r="I2201" s="6" t="n">
        <x:v>65</x:v>
      </x:c>
      <x:c r="J2201" s="6" t="n">
        <x:v>39</x:v>
      </x:c>
      <x:c r="K2201" s="6" t="n">
        <x:v>1</x:v>
      </x:c>
      <x:c r="L2201" s="6" t="n">
        <x:v>16</x:v>
      </x:c>
      <x:c r="M2201" s="6" t="n">
        <x:v>2</x:v>
      </x:c>
      <x:c r="N2201" s="6" t="n">
        <x:v>0</x:v>
      </x:c>
      <x:c r="O2201" s="6" t="n">
        <x:v>3</x:v>
      </x:c>
      <x:c r="P2201" s="6" t="n">
        <x:v>4</x:v>
      </x:c>
      <x:c r="Q2201" s="6" t="n">
        <x:v>3</x:v>
      </x:c>
      <x:c r="R2201" s="6" t="n">
        <x:v>0</x:v>
      </x:c>
      <x:c r="S2201" s="6" t="n">
        <x:v>3</x:v>
      </x:c>
      <x:c r="T2201" s="6" t="n">
        <x:v>8</x:v>
      </x:c>
      <x:c r="U2201" s="6" t="n">
        <x:v>0</x:v>
      </x:c>
      <x:c r="V2201" s="6" t="n">
        <x:v>0</x:v>
      </x:c>
      <x:c r="W2201" s="6" t="n">
        <x:v>0</x:v>
      </x:c>
      <x:c r="X2201" s="6" t="n">
        <x:v>0</x:v>
      </x:c>
      <x:c r="Y2201" s="6" t="n">
        <x:v>0</x:v>
      </x:c>
      <x:c r="Z2201" s="6" t="n">
        <x:v>0</x:v>
      </x:c>
      <x:c r="AA2201" s="6" t="n">
        <x:v>3</x:v>
      </x:c>
      <x:c r="AB2201" s="6" t="n">
        <x:v>11</x:v>
      </x:c>
      <x:c r="AC2201" s="6" t="n">
        <x:v>0</x:v>
      </x:c>
    </x:row>
    <x:row r="2202">
      <x:c r="A2202" s="6" t="n">
        <x:v>7620</x:v>
      </x:c>
      <x:c r="B2202" s="6" t="n">
        <x:v>1990</x:v>
      </x:c>
      <x:c r="C2202" s="6" t="str">
        <x:v>Basic</x:v>
      </x:c>
      <x:c r="D2202" s="6" t="str">
        <x:v>Single</x:v>
      </x:c>
      <x:c r="E2202" s="6" t="n">
        <x:v>16185</x:v>
      </x:c>
      <x:c r="F2202" s="6" t="n">
        <x:v>1</x:v>
      </x:c>
      <x:c r="G2202" s="6" t="n">
        <x:v>0</x:v>
      </x:c>
      <x:c r="H2202" s="9" t="str">
        <x:v>05-08-2013</x:v>
      </x:c>
      <x:c r="I2202" s="6" t="n">
        <x:v>71</x:v>
      </x:c>
      <x:c r="J2202" s="6" t="n">
        <x:v>5</x:v>
      </x:c>
      <x:c r="K2202" s="6" t="n">
        <x:v>11</x:v>
      </x:c>
      <x:c r="L2202" s="6" t="n">
        <x:v>16</x:v>
      </x:c>
      <x:c r="M2202" s="6" t="n">
        <x:v>21</x:v>
      </x:c>
      <x:c r="N2202" s="6" t="n">
        <x:v>8</x:v>
      </x:c>
      <x:c r="O2202" s="6" t="n">
        <x:v>45</x:v>
      </x:c>
      <x:c r="P2202" s="6" t="n">
        <x:v>2</x:v>
      </x:c>
      <x:c r="Q2202" s="6" t="n">
        <x:v>2</x:v>
      </x:c>
      <x:c r="R2202" s="6" t="n">
        <x:v>2</x:v>
      </x:c>
      <x:c r="S2202" s="6" t="n">
        <x:v>2</x:v>
      </x:c>
      <x:c r="T2202" s="6" t="n">
        <x:v>8</x:v>
      </x:c>
      <x:c r="U2202" s="6" t="n">
        <x:v>0</x:v>
      </x:c>
      <x:c r="V2202" s="6" t="n">
        <x:v>0</x:v>
      </x:c>
      <x:c r="W2202" s="6" t="n">
        <x:v>0</x:v>
      </x:c>
      <x:c r="X2202" s="6" t="n">
        <x:v>0</x:v>
      </x:c>
      <x:c r="Y2202" s="6" t="n">
        <x:v>0</x:v>
      </x:c>
      <x:c r="Z2202" s="6" t="n">
        <x:v>0</x:v>
      </x:c>
      <x:c r="AA2202" s="6" t="n">
        <x:v>3</x:v>
      </x:c>
      <x:c r="AB2202" s="6" t="n">
        <x:v>11</x:v>
      </x:c>
      <x:c r="AC2202" s="6" t="n">
        <x:v>0</x:v>
      </x:c>
    </x:row>
    <x:row r="2203">
      <x:c r="A2203" s="6" t="n">
        <x:v>10968</x:v>
      </x:c>
      <x:c r="B2203" s="6" t="n">
        <x:v>1969</x:v>
      </x:c>
      <x:c r="C2203" s="6" t="str">
        <x:v>Graduation</x:v>
      </x:c>
      <x:c r="D2203" s="6" t="str">
        <x:v>Single</x:v>
      </x:c>
      <x:c r="E2203" s="6" t="n">
        <x:v>57731</x:v>
      </x:c>
      <x:c r="F2203" s="6" t="n">
        <x:v>0</x:v>
      </x:c>
      <x:c r="G2203" s="6" t="n">
        <x:v>1</x:v>
      </x:c>
      <x:c r="H2203" s="9" t="str">
        <x:v>23-11-2012</x:v>
      </x:c>
      <x:c r="I2203" s="6" t="n">
        <x:v>0</x:v>
      </x:c>
      <x:c r="J2203" s="6" t="n">
        <x:v>266</x:v>
      </x:c>
      <x:c r="K2203" s="6" t="n">
        <x:v>21</x:v>
      </x:c>
      <x:c r="L2203" s="6" t="n">
        <x:v>300</x:v>
      </x:c>
      <x:c r="M2203" s="6" t="n">
        <x:v>65</x:v>
      </x:c>
      <x:c r="N2203" s="6" t="n">
        <x:v>8</x:v>
      </x:c>
      <x:c r="O2203" s="6" t="n">
        <x:v>44</x:v>
      </x:c>
      <x:c r="P2203" s="6" t="n">
        <x:v>4</x:v>
      </x:c>
      <x:c r="Q2203" s="6" t="n">
        <x:v>8</x:v>
      </x:c>
      <x:c r="R2203" s="6" t="n">
        <x:v>8</x:v>
      </x:c>
      <x:c r="S2203" s="6" t="n">
        <x:v>6</x:v>
      </x:c>
      <x:c r="T2203" s="6" t="n">
        <x:v>6</x:v>
      </x:c>
      <x:c r="U2203" s="6" t="n">
        <x:v>0</x:v>
      </x:c>
      <x:c r="V2203" s="6" t="n">
        <x:v>0</x:v>
      </x:c>
      <x:c r="W2203" s="6" t="n">
        <x:v>0</x:v>
      </x:c>
      <x:c r="X2203" s="6" t="n">
        <x:v>0</x:v>
      </x:c>
      <x:c r="Y2203" s="6" t="n">
        <x:v>0</x:v>
      </x:c>
      <x:c r="Z2203" s="6" t="n">
        <x:v>0</x:v>
      </x:c>
      <x:c r="AA2203" s="6" t="n">
        <x:v>3</x:v>
      </x:c>
      <x:c r="AB2203" s="6" t="n">
        <x:v>11</x:v>
      </x:c>
      <x:c r="AC2203" s="6" t="n">
        <x:v>0</x:v>
      </x:c>
    </x:row>
    <x:row r="2204">
      <x:c r="A2204" s="6" t="n">
        <x:v>11133</x:v>
      </x:c>
      <x:c r="B2204" s="6" t="n">
        <x:v>1973</x:v>
      </x:c>
      <x:c r="C2204" s="6" t="str">
        <x:v>PhD</x:v>
      </x:c>
      <x:c r="D2204" s="6" t="str">
        <x:v>YOLO</x:v>
      </x:c>
      <x:c r="E2204" s="6" t="n">
        <x:v>48432</x:v>
      </x:c>
      <x:c r="F2204" s="6" t="n">
        <x:v>0</x:v>
      </x:c>
      <x:c r="G2204" s="6" t="n">
        <x:v>1</x:v>
      </x:c>
      <x:c r="H2204" s="9" t="str">
        <x:v>18-10-2012</x:v>
      </x:c>
      <x:c r="I2204" s="6" t="n">
        <x:v>3</x:v>
      </x:c>
      <x:c r="J2204" s="6" t="n">
        <x:v>322</x:v>
      </x:c>
      <x:c r="K2204" s="6" t="n">
        <x:v>3</x:v>
      </x:c>
      <x:c r="L2204" s="6" t="n">
        <x:v>50</x:v>
      </x:c>
      <x:c r="M2204" s="6" t="n">
        <x:v>4</x:v>
      </x:c>
      <x:c r="N2204" s="6" t="n">
        <x:v>3</x:v>
      </x:c>
      <x:c r="O2204" s="6" t="n">
        <x:v>42</x:v>
      </x:c>
      <x:c r="P2204" s="6" t="n">
        <x:v>5</x:v>
      </x:c>
      <x:c r="Q2204" s="6" t="n">
        <x:v>7</x:v>
      </x:c>
      <x:c r="R2204" s="6" t="n">
        <x:v>1</x:v>
      </x:c>
      <x:c r="S2204" s="6" t="n">
        <x:v>6</x:v>
      </x:c>
      <x:c r="T2204" s="6" t="n">
        <x:v>8</x:v>
      </x:c>
      <x:c r="U2204" s="6" t="n">
        <x:v>0</x:v>
      </x:c>
      <x:c r="V2204" s="6" t="n">
        <x:v>0</x:v>
      </x:c>
      <x:c r="W2204" s="6" t="n">
        <x:v>0</x:v>
      </x:c>
      <x:c r="X2204" s="6" t="n">
        <x:v>0</x:v>
      </x:c>
      <x:c r="Y2204" s="6" t="n">
        <x:v>0</x:v>
      </x:c>
      <x:c r="Z2204" s="6" t="n">
        <x:v>0</x:v>
      </x:c>
      <x:c r="AA2204" s="6" t="n">
        <x:v>3</x:v>
      </x:c>
      <x:c r="AB2204" s="6" t="n">
        <x:v>11</x:v>
      </x:c>
      <x:c r="AC2204" s="6" t="n">
        <x:v>1</x:v>
      </x:c>
    </x:row>
    <x:row r="2205">
      <x:c r="A2205" s="6" t="n">
        <x:v>2736</x:v>
      </x:c>
      <x:c r="B2205" s="6" t="n">
        <x:v>1978</x:v>
      </x:c>
      <x:c r="C2205" s="6" t="str">
        <x:v>Graduation</x:v>
      </x:c>
      <x:c r="D2205" s="6" t="str">
        <x:v>Married</x:v>
      </x:c>
      <x:c r="E2205" s="6" t="n">
        <x:v>73807</x:v>
      </x:c>
      <x:c r="F2205" s="6" t="n">
        <x:v>0</x:v>
      </x:c>
      <x:c r="G2205" s="6" t="n">
        <x:v>1</x:v>
      </x:c>
      <x:c r="H2205" s="9" t="str">
        <x:v>02-01-2013</x:v>
      </x:c>
      <x:c r="I2205" s="6" t="n">
        <x:v>88</x:v>
      </x:c>
      <x:c r="J2205" s="6" t="n">
        <x:v>366</x:v>
      </x:c>
      <x:c r="K2205" s="6" t="n">
        <x:v>124</x:v>
      </x:c>
      <x:c r="L2205" s="6" t="n">
        <x:v>156</x:v>
      </x:c>
      <x:c r="M2205" s="6" t="n">
        <x:v>71</x:v>
      </x:c>
      <x:c r="N2205" s="6" t="n">
        <x:v>78</x:v>
      </x:c>
      <x:c r="O2205" s="6" t="n">
        <x:v>54</x:v>
      </x:c>
      <x:c r="P2205" s="6" t="n">
        <x:v>2</x:v>
      </x:c>
      <x:c r="Q2205" s="6" t="n">
        <x:v>5</x:v>
      </x:c>
      <x:c r="R2205" s="6" t="n">
        <x:v>5</x:v>
      </x:c>
      <x:c r="S2205" s="6" t="n">
        <x:v>11</x:v>
      </x:c>
      <x:c r="T2205" s="6" t="n">
        <x:v>2</x:v>
      </x:c>
      <x:c r="U2205" s="6" t="n">
        <x:v>0</x:v>
      </x:c>
      <x:c r="V2205" s="6" t="n">
        <x:v>0</x:v>
      </x:c>
      <x:c r="W2205" s="6" t="n">
        <x:v>0</x:v>
      </x:c>
      <x:c r="X2205" s="6" t="n">
        <x:v>0</x:v>
      </x:c>
      <x:c r="Y2205" s="6" t="n">
        <x:v>0</x:v>
      </x:c>
      <x:c r="Z2205" s="6" t="n">
        <x:v>0</x:v>
      </x:c>
      <x:c r="AA2205" s="6" t="n">
        <x:v>3</x:v>
      </x:c>
      <x:c r="AB2205" s="6" t="n">
        <x:v>11</x:v>
      </x:c>
      <x:c r="AC2205" s="6" t="n">
        <x:v>0</x:v>
      </x:c>
    </x:row>
    <x:row r="2206">
      <x:c r="A2206" s="6" t="n">
        <x:v>1876</x:v>
      </x:c>
      <x:c r="B2206" s="6" t="n">
        <x:v>1990</x:v>
      </x:c>
      <x:c r="C2206" s="6" t="str">
        <x:v>Graduation</x:v>
      </x:c>
      <x:c r="D2206" s="6" t="str">
        <x:v>Married</x:v>
      </x:c>
      <x:c r="E2206" s="6" t="n">
        <x:v>18929</x:v>
      </x:c>
      <x:c r="F2206" s="6" t="n">
        <x:v>0</x:v>
      </x:c>
      <x:c r="G2206" s="6" t="n">
        <x:v>0</x:v>
      </x:c>
      <x:c r="H2206" s="9" t="str">
        <x:v>16-02-2013</x:v>
      </x:c>
      <x:c r="I2206" s="6" t="n">
        <x:v>15</x:v>
      </x:c>
      <x:c r="J2206" s="6" t="n">
        <x:v>32</x:v>
      </x:c>
      <x:c r="K2206" s="6" t="n">
        <x:v>0</x:v>
      </x:c>
      <x:c r="L2206" s="6" t="n">
        <x:v>8</x:v>
      </x:c>
      <x:c r="M2206" s="6" t="n">
        <x:v>23</x:v>
      </x:c>
      <x:c r="N2206" s="6" t="n">
        <x:v>4</x:v>
      </x:c>
      <x:c r="O2206" s="6" t="n">
        <x:v>18</x:v>
      </x:c>
      <x:c r="P2206" s="6" t="n">
        <x:v>1</x:v>
      </x:c>
      <x:c r="Q2206" s="6" t="n">
        <x:v>1</x:v>
      </x:c>
      <x:c r="R2206" s="6" t="n">
        <x:v>0</x:v>
      </x:c>
      <x:c r="S2206" s="6" t="n">
        <x:v>4</x:v>
      </x:c>
      <x:c r="T2206" s="6" t="n">
        <x:v>6</x:v>
      </x:c>
      <x:c r="U2206" s="6" t="n">
        <x:v>0</x:v>
      </x:c>
      <x:c r="V2206" s="6" t="n">
        <x:v>0</x:v>
      </x:c>
      <x:c r="W2206" s="6" t="n">
        <x:v>0</x:v>
      </x:c>
      <x:c r="X2206" s="6" t="n">
        <x:v>0</x:v>
      </x:c>
      <x:c r="Y2206" s="6" t="n">
        <x:v>0</x:v>
      </x:c>
      <x:c r="Z2206" s="6" t="n">
        <x:v>0</x:v>
      </x:c>
      <x:c r="AA2206" s="6" t="n">
        <x:v>3</x:v>
      </x:c>
      <x:c r="AB2206" s="6" t="n">
        <x:v>11</x:v>
      </x:c>
      <x:c r="AC2206" s="6" t="n">
        <x:v>0</x:v>
      </x:c>
    </x:row>
    <x:row r="2207">
      <x:c r="A2207" s="6" t="n">
        <x:v>5959</x:v>
      </x:c>
      <x:c r="B2207" s="6" t="n">
        <x:v>1968</x:v>
      </x:c>
      <x:c r="C2207" s="6" t="str">
        <x:v>Graduation</x:v>
      </x:c>
      <x:c r="D2207" s="6" t="str">
        <x:v>Single</x:v>
      </x:c>
      <x:c r="E2207" s="6" t="n">
        <x:v>35893</x:v>
      </x:c>
      <x:c r="F2207" s="6" t="n">
        <x:v>1</x:v>
      </x:c>
      <x:c r="G2207" s="6" t="n">
        <x:v>1</x:v>
      </x:c>
      <x:c r="H2207" s="9" t="str">
        <x:v>15-10-2012</x:v>
      </x:c>
      <x:c r="I2207" s="6" t="n">
        <x:v>80</x:v>
      </x:c>
      <x:c r="J2207" s="6" t="n">
        <x:v>158</x:v>
      </x:c>
      <x:c r="K2207" s="6" t="n">
        <x:v>0</x:v>
      </x:c>
      <x:c r="L2207" s="6" t="n">
        <x:v>23</x:v>
      </x:c>
      <x:c r="M2207" s="6" t="n">
        <x:v>0</x:v>
      </x:c>
      <x:c r="N2207" s="6" t="n">
        <x:v>0</x:v>
      </x:c>
      <x:c r="O2207" s="6" t="n">
        <x:v>18</x:v>
      </x:c>
      <x:c r="P2207" s="6" t="n">
        <x:v>6</x:v>
      </x:c>
      <x:c r="Q2207" s="6" t="n">
        <x:v>3</x:v>
      </x:c>
      <x:c r="R2207" s="6" t="n">
        <x:v>1</x:v>
      </x:c>
      <x:c r="S2207" s="6" t="n">
        <x:v>5</x:v>
      </x:c>
      <x:c r="T2207" s="6" t="n">
        <x:v>8</x:v>
      </x:c>
      <x:c r="U2207" s="6" t="n">
        <x:v>0</x:v>
      </x:c>
      <x:c r="V2207" s="6" t="n">
        <x:v>0</x:v>
      </x:c>
      <x:c r="W2207" s="6" t="n">
        <x:v>0</x:v>
      </x:c>
      <x:c r="X2207" s="6" t="n">
        <x:v>0</x:v>
      </x:c>
      <x:c r="Y2207" s="6" t="n">
        <x:v>0</x:v>
      </x:c>
      <x:c r="Z2207" s="6" t="n">
        <x:v>0</x:v>
      </x:c>
      <x:c r="AA2207" s="6" t="n">
        <x:v>3</x:v>
      </x:c>
      <x:c r="AB2207" s="6" t="n">
        <x:v>11</x:v>
      </x:c>
      <x:c r="AC2207" s="6" t="n">
        <x:v>0</x:v>
      </x:c>
    </x:row>
    <x:row r="2208">
      <x:c r="A2208" s="6" t="n">
        <x:v>1092</x:v>
      </x:c>
      <x:c r="B2208" s="6" t="n">
        <x:v>1980</x:v>
      </x:c>
      <x:c r="C2208" s="6" t="str">
        <x:v>Graduation</x:v>
      </x:c>
      <x:c r="D2208" s="6" t="str">
        <x:v>Married</x:v>
      </x:c>
      <x:c r="E2208" s="6" t="n">
        <x:v>61014</x:v>
      </x:c>
      <x:c r="F2208" s="6" t="n">
        <x:v>0</x:v>
      </x:c>
      <x:c r="G2208" s="6" t="n">
        <x:v>1</x:v>
      </x:c>
      <x:c r="H2208" s="9" t="str">
        <x:v>11-08-2012</x:v>
      </x:c>
      <x:c r="I2208" s="6" t="n">
        <x:v>17</x:v>
      </x:c>
      <x:c r="J2208" s="6" t="n">
        <x:v>269</x:v>
      </x:c>
      <x:c r="K2208" s="6" t="n">
        <x:v>129</x:v>
      </x:c>
      <x:c r="L2208" s="6" t="n">
        <x:v>495</x:v>
      </x:c>
      <x:c r="M2208" s="6" t="n">
        <x:v>182</x:v>
      </x:c>
      <x:c r="N2208" s="6" t="n">
        <x:v>43</x:v>
      </x:c>
      <x:c r="O2208" s="6" t="n">
        <x:v>29</x:v>
      </x:c>
      <x:c r="P2208" s="6" t="n">
        <x:v>4</x:v>
      </x:c>
      <x:c r="Q2208" s="6" t="n">
        <x:v>9</x:v>
      </x:c>
      <x:c r="R2208" s="6" t="n">
        <x:v>3</x:v>
      </x:c>
      <x:c r="S2208" s="6" t="n">
        <x:v>4</x:v>
      </x:c>
      <x:c r="T2208" s="6" t="n">
        <x:v>7</x:v>
      </x:c>
      <x:c r="U2208" s="6" t="n">
        <x:v>0</x:v>
      </x:c>
      <x:c r="V2208" s="6" t="n">
        <x:v>0</x:v>
      </x:c>
      <x:c r="W2208" s="6" t="n">
        <x:v>0</x:v>
      </x:c>
      <x:c r="X2208" s="6" t="n">
        <x:v>0</x:v>
      </x:c>
      <x:c r="Y2208" s="6" t="n">
        <x:v>0</x:v>
      </x:c>
      <x:c r="Z2208" s="6" t="n">
        <x:v>0</x:v>
      </x:c>
      <x:c r="AA2208" s="6" t="n">
        <x:v>3</x:v>
      </x:c>
      <x:c r="AB2208" s="6" t="n">
        <x:v>11</x:v>
      </x:c>
      <x:c r="AC2208" s="6" t="n">
        <x:v>0</x:v>
      </x:c>
    </x:row>
    <x:row r="2209">
      <x:c r="A2209" s="6" t="n">
        <x:v>4333</x:v>
      </x:c>
      <x:c r="B2209" s="6" t="n">
        <x:v>1954</x:v>
      </x:c>
      <x:c r="C2209" s="6" t="str">
        <x:v>Graduation</x:v>
      </x:c>
      <x:c r="D2209" s="6" t="str">
        <x:v>Together</x:v>
      </x:c>
      <x:c r="E2209" s="6" t="n">
        <x:v>32144</x:v>
      </x:c>
      <x:c r="F2209" s="6" t="n">
        <x:v>1</x:v>
      </x:c>
      <x:c r="G2209" s="6" t="n">
        <x:v>1</x:v>
      </x:c>
      <x:c r="H2209" s="9" t="str">
        <x:v>23-03-2014</x:v>
      </x:c>
      <x:c r="I2209" s="6" t="n">
        <x:v>76</x:v>
      </x:c>
      <x:c r="J2209" s="6" t="n">
        <x:v>41</x:v>
      </x:c>
      <x:c r="K2209" s="6" t="n">
        <x:v>0</x:v>
      </x:c>
      <x:c r="L2209" s="6" t="n">
        <x:v>10</x:v>
      </x:c>
      <x:c r="M2209" s="6" t="n">
        <x:v>0</x:v>
      </x:c>
      <x:c r="N2209" s="6" t="n">
        <x:v>0</x:v>
      </x:c>
      <x:c r="O2209" s="6" t="n">
        <x:v>3</x:v>
      </x:c>
      <x:c r="P2209" s="6" t="n">
        <x:v>4</x:v>
      </x:c>
      <x:c r="Q2209" s="6" t="n">
        <x:v>2</x:v>
      </x:c>
      <x:c r="R2209" s="6" t="n">
        <x:v>1</x:v>
      </x:c>
      <x:c r="S2209" s="6" t="n">
        <x:v>3</x:v>
      </x:c>
      <x:c r="T2209" s="6" t="n">
        <x:v>7</x:v>
      </x:c>
      <x:c r="U2209" s="6" t="n">
        <x:v>0</x:v>
      </x:c>
      <x:c r="V2209" s="6" t="n">
        <x:v>1</x:v>
      </x:c>
      <x:c r="W2209" s="6" t="n">
        <x:v>0</x:v>
      </x:c>
      <x:c r="X2209" s="6" t="n">
        <x:v>0</x:v>
      </x:c>
      <x:c r="Y2209" s="6" t="n">
        <x:v>0</x:v>
      </x:c>
      <x:c r="Z2209" s="6" t="n">
        <x:v>0</x:v>
      </x:c>
      <x:c r="AA2209" s="6" t="n">
        <x:v>3</x:v>
      </x:c>
      <x:c r="AB2209" s="6" t="n">
        <x:v>11</x:v>
      </x:c>
      <x:c r="AC2209" s="6" t="n">
        <x:v>0</x:v>
      </x:c>
    </x:row>
    <x:row r="2210">
      <x:c r="A2210" s="6" t="n">
        <x:v>3850</x:v>
      </x:c>
      <x:c r="B2210" s="6" t="n">
        <x:v>1963</x:v>
      </x:c>
      <x:c r="C2210" s="6" t="str">
        <x:v>Basic</x:v>
      </x:c>
      <x:c r="D2210" s="6" t="str">
        <x:v>Together</x:v>
      </x:c>
      <x:c r="E2210" s="6" t="n">
        <x:v>14918</x:v>
      </x:c>
      <x:c r="F2210" s="6" t="n">
        <x:v>0</x:v>
      </x:c>
      <x:c r="G2210" s="6" t="n">
        <x:v>1</x:v>
      </x:c>
      <x:c r="H2210" s="9" t="str">
        <x:v>07-12-2012</x:v>
      </x:c>
      <x:c r="I2210" s="6" t="n">
        <x:v>52</x:v>
      </x:c>
      <x:c r="J2210" s="6" t="n">
        <x:v>3</x:v>
      </x:c>
      <x:c r="K2210" s="6" t="n">
        <x:v>3</x:v>
      </x:c>
      <x:c r="L2210" s="6" t="n">
        <x:v>3</x:v>
      </x:c>
      <x:c r="M2210" s="6" t="n">
        <x:v>15</x:v>
      </x:c>
      <x:c r="N2210" s="6" t="n">
        <x:v>4</x:v>
      </x:c>
      <x:c r="O2210" s="6" t="n">
        <x:v>15</x:v>
      </x:c>
      <x:c r="P2210" s="6" t="n">
        <x:v>1</x:v>
      </x:c>
      <x:c r="Q2210" s="6" t="n">
        <x:v>1</x:v>
      </x:c>
      <x:c r="R2210" s="6" t="n">
        <x:v>0</x:v>
      </x:c>
      <x:c r="S2210" s="6" t="n">
        <x:v>3</x:v>
      </x:c>
      <x:c r="T2210" s="6" t="n">
        <x:v>6</x:v>
      </x:c>
      <x:c r="U2210" s="6" t="n">
        <x:v>0</x:v>
      </x:c>
      <x:c r="V2210" s="6" t="n">
        <x:v>0</x:v>
      </x:c>
      <x:c r="W2210" s="6" t="n">
        <x:v>0</x:v>
      </x:c>
      <x:c r="X2210" s="6" t="n">
        <x:v>0</x:v>
      </x:c>
      <x:c r="Y2210" s="6" t="n">
        <x:v>0</x:v>
      </x:c>
      <x:c r="Z2210" s="6" t="n">
        <x:v>0</x:v>
      </x:c>
      <x:c r="AA2210" s="6" t="n">
        <x:v>3</x:v>
      </x:c>
      <x:c r="AB2210" s="6" t="n">
        <x:v>11</x:v>
      </x:c>
      <x:c r="AC2210" s="6" t="n">
        <x:v>0</x:v>
      </x:c>
    </x:row>
    <x:row r="2211">
      <x:c r="A2211" s="6" t="n">
        <x:v>6168</x:v>
      </x:c>
      <x:c r="B2211" s="6" t="n">
        <x:v>1963</x:v>
      </x:c>
      <x:c r="C2211" s="6" t="str">
        <x:v>Graduation</x:v>
      </x:c>
      <x:c r="D2211" s="6" t="str">
        <x:v>Divorced</x:v>
      </x:c>
      <x:c r="E2211" s="6" t="n">
        <x:v>45146</x:v>
      </x:c>
      <x:c r="F2211" s="6" t="n">
        <x:v>1</x:v>
      </x:c>
      <x:c r="G2211" s="6" t="n">
        <x:v>1</x:v>
      </x:c>
      <x:c r="H2211" s="9" t="str">
        <x:v>15-07-2013</x:v>
      </x:c>
      <x:c r="I2211" s="6" t="n">
        <x:v>28</x:v>
      </x:c>
      <x:c r="J2211" s="6" t="n">
        <x:v>33</x:v>
      </x:c>
      <x:c r="K2211" s="6" t="n">
        <x:v>0</x:v>
      </x:c>
      <x:c r="L2211" s="6" t="n">
        <x:v>5</x:v>
      </x:c>
      <x:c r="M2211" s="6" t="n">
        <x:v>0</x:v>
      </x:c>
      <x:c r="N2211" s="6" t="n">
        <x:v>0</x:v>
      </x:c>
      <x:c r="O2211" s="6" t="n">
        <x:v>15</x:v>
      </x:c>
      <x:c r="P2211" s="6" t="n">
        <x:v>2</x:v>
      </x:c>
      <x:c r="Q2211" s="6" t="n">
        <x:v>1</x:v>
      </x:c>
      <x:c r="R2211" s="6" t="n">
        <x:v>1</x:v>
      </x:c>
      <x:c r="S2211" s="6" t="n">
        <x:v>2</x:v>
      </x:c>
      <x:c r="T2211" s="6" t="n">
        <x:v>4</x:v>
      </x:c>
      <x:c r="U2211" s="6" t="n">
        <x:v>0</x:v>
      </x:c>
      <x:c r="V2211" s="6" t="n">
        <x:v>0</x:v>
      </x:c>
      <x:c r="W2211" s="6" t="n">
        <x:v>0</x:v>
      </x:c>
      <x:c r="X2211" s="6" t="n">
        <x:v>0</x:v>
      </x:c>
      <x:c r="Y2211" s="6" t="n">
        <x:v>0</x:v>
      </x:c>
      <x:c r="Z2211" s="6" t="n">
        <x:v>0</x:v>
      </x:c>
      <x:c r="AA2211" s="6" t="n">
        <x:v>3</x:v>
      </x:c>
      <x:c r="AB2211" s="6" t="n">
        <x:v>11</x:v>
      </x:c>
      <x:c r="AC2211" s="6" t="n">
        <x:v>0</x:v>
      </x:c>
    </x:row>
    <x:row r="2212">
      <x:c r="A2212" s="6" t="n">
        <x:v>607</x:v>
      </x:c>
      <x:c r="B2212" s="6" t="n">
        <x:v>1955</x:v>
      </x:c>
      <x:c r="C2212" s="6" t="str">
        <x:v>2n Cycle</x:v>
      </x:c>
      <x:c r="D2212" s="6" t="str">
        <x:v>Divorced</x:v>
      </x:c>
      <x:c r="E2212" s="6" t="n">
        <x:v>41769</x:v>
      </x:c>
      <x:c r="F2212" s="6" t="n">
        <x:v>0</x:v>
      </x:c>
      <x:c r="G2212" s="6" t="n">
        <x:v>1</x:v>
      </x:c>
      <x:c r="H2212" s="9" t="str">
        <x:v>13-02-2013</x:v>
      </x:c>
      <x:c r="I2212" s="6" t="n">
        <x:v>31</x:v>
      </x:c>
      <x:c r="J2212" s="6" t="n">
        <x:v>302</x:v>
      </x:c>
      <x:c r="K2212" s="6" t="n">
        <x:v>29</x:v>
      </x:c>
      <x:c r="L2212" s="6" t="n">
        <x:v>131</x:v>
      </x:c>
      <x:c r="M2212" s="6" t="n">
        <x:v>32</x:v>
      </x:c>
      <x:c r="N2212" s="6" t="n">
        <x:v>0</x:v>
      </x:c>
      <x:c r="O2212" s="6" t="n">
        <x:v>27</x:v>
      </x:c>
      <x:c r="P2212" s="6" t="n">
        <x:v>6</x:v>
      </x:c>
      <x:c r="Q2212" s="6" t="n">
        <x:v>8</x:v>
      </x:c>
      <x:c r="R2212" s="6" t="n">
        <x:v>1</x:v>
      </x:c>
      <x:c r="S2212" s="6" t="n">
        <x:v>7</x:v>
      </x:c>
      <x:c r="T2212" s="6" t="n">
        <x:v>8</x:v>
      </x:c>
      <x:c r="U2212" s="6" t="n">
        <x:v>0</x:v>
      </x:c>
      <x:c r="V2212" s="6" t="n">
        <x:v>0</x:v>
      </x:c>
      <x:c r="W2212" s="6" t="n">
        <x:v>0</x:v>
      </x:c>
      <x:c r="X2212" s="6" t="n">
        <x:v>0</x:v>
      </x:c>
      <x:c r="Y2212" s="6" t="n">
        <x:v>0</x:v>
      </x:c>
      <x:c r="Z2212" s="6" t="n">
        <x:v>0</x:v>
      </x:c>
      <x:c r="AA2212" s="6" t="n">
        <x:v>3</x:v>
      </x:c>
      <x:c r="AB2212" s="6" t="n">
        <x:v>11</x:v>
      </x:c>
      <x:c r="AC2212" s="6" t="n">
        <x:v>0</x:v>
      </x:c>
    </x:row>
    <x:row r="2213">
      <x:c r="A2213" s="6" t="n">
        <x:v>10469</x:v>
      </x:c>
      <x:c r="B2213" s="6" t="n">
        <x:v>1981</x:v>
      </x:c>
      <x:c r="C2213" s="6" t="str">
        <x:v>Graduation</x:v>
      </x:c>
      <x:c r="D2213" s="6" t="str">
        <x:v>Together</x:v>
      </x:c>
      <x:c r="E2213" s="6" t="n">
        <x:v>88325</x:v>
      </x:c>
      <x:c r="F2213" s="6" t="n">
        <x:v>0</x:v>
      </x:c>
      <x:c r="G2213" s="6" t="n">
        <x:v>0</x:v>
      </x:c>
      <x:c r="H2213" s="9" t="str">
        <x:v>05-02-2014</x:v>
      </x:c>
      <x:c r="I2213" s="6" t="n">
        <x:v>42</x:v>
      </x:c>
      <x:c r="J2213" s="6" t="n">
        <x:v>519</x:v>
      </x:c>
      <x:c r="K2213" s="6" t="n">
        <x:v>71</x:v>
      </x:c>
      <x:c r="L2213" s="6" t="n">
        <x:v>860</x:v>
      </x:c>
      <x:c r="M2213" s="6" t="n">
        <x:v>93</x:v>
      </x:c>
      <x:c r="N2213" s="6" t="n">
        <x:v>27</x:v>
      </x:c>
      <x:c r="O2213" s="6" t="n">
        <x:v>53</x:v>
      </x:c>
      <x:c r="P2213" s="6" t="n">
        <x:v>1</x:v>
      </x:c>
      <x:c r="Q2213" s="6" t="n">
        <x:v>6</x:v>
      </x:c>
      <x:c r="R2213" s="6" t="n">
        <x:v>2</x:v>
      </x:c>
      <x:c r="S2213" s="6" t="n">
        <x:v>9</x:v>
      </x:c>
      <x:c r="T2213" s="6" t="n">
        <x:v>2</x:v>
      </x:c>
      <x:c r="U2213" s="6" t="n">
        <x:v>0</x:v>
      </x:c>
      <x:c r="V2213" s="6" t="n">
        <x:v>0</x:v>
      </x:c>
      <x:c r="W2213" s="6" t="n">
        <x:v>0</x:v>
      </x:c>
      <x:c r="X2213" s="6" t="n">
        <x:v>0</x:v>
      </x:c>
      <x:c r="Y2213" s="6" t="n">
        <x:v>0</x:v>
      </x:c>
      <x:c r="Z2213" s="6" t="n">
        <x:v>0</x:v>
      </x:c>
      <x:c r="AA2213" s="6" t="n">
        <x:v>3</x:v>
      </x:c>
      <x:c r="AB2213" s="6" t="n">
        <x:v>11</x:v>
      </x:c>
      <x:c r="AC2213" s="6" t="n">
        <x:v>0</x:v>
      </x:c>
    </x:row>
    <x:row r="2214">
      <x:c r="A2214" s="6" t="n">
        <x:v>6983</x:v>
      </x:c>
      <x:c r="B2214" s="6" t="n">
        <x:v>1950</x:v>
      </x:c>
      <x:c r="C2214" s="6" t="str">
        <x:v>Master</x:v>
      </x:c>
      <x:c r="D2214" s="6" t="str">
        <x:v>Divorced</x:v>
      </x:c>
      <x:c r="E2214" s="6" t="n">
        <x:v>38054</x:v>
      </x:c>
      <x:c r="F2214" s="6" t="n">
        <x:v>1</x:v>
      </x:c>
      <x:c r="G2214" s="6" t="n">
        <x:v>1</x:v>
      </x:c>
      <x:c r="H2214" s="9" t="str">
        <x:v>01-05-2014</x:v>
      </x:c>
      <x:c r="I2214" s="6" t="n">
        <x:v>24</x:v>
      </x:c>
      <x:c r="J2214" s="6" t="n">
        <x:v>23</x:v>
      </x:c>
      <x:c r="K2214" s="6" t="n">
        <x:v>2</x:v>
      </x:c>
      <x:c r="L2214" s="6" t="n">
        <x:v>17</x:v>
      </x:c>
      <x:c r="M2214" s="6" t="n">
        <x:v>2</x:v>
      </x:c>
      <x:c r="N2214" s="6" t="n">
        <x:v>1</x:v>
      </x:c>
      <x:c r="O2214" s="6" t="n">
        <x:v>0</x:v>
      </x:c>
      <x:c r="P2214" s="6" t="n">
        <x:v>2</x:v>
      </x:c>
      <x:c r="Q2214" s="6" t="n">
        <x:v>2</x:v>
      </x:c>
      <x:c r="R2214" s="6" t="n">
        <x:v>0</x:v>
      </x:c>
      <x:c r="S2214" s="6" t="n">
        <x:v>3</x:v>
      </x:c>
      <x:c r="T2214" s="6" t="n">
        <x:v>7</x:v>
      </x:c>
      <x:c r="U2214" s="6" t="n">
        <x:v>0</x:v>
      </x:c>
      <x:c r="V2214" s="6" t="n">
        <x:v>0</x:v>
      </x:c>
      <x:c r="W2214" s="6" t="n">
        <x:v>0</x:v>
      </x:c>
      <x:c r="X2214" s="6" t="n">
        <x:v>0</x:v>
      </x:c>
      <x:c r="Y2214" s="6" t="n">
        <x:v>0</x:v>
      </x:c>
      <x:c r="Z2214" s="6" t="n">
        <x:v>0</x:v>
      </x:c>
      <x:c r="AA2214" s="6" t="n">
        <x:v>3</x:v>
      </x:c>
      <x:c r="AB2214" s="6" t="n">
        <x:v>11</x:v>
      </x:c>
      <x:c r="AC2214" s="6" t="n">
        <x:v>0</x:v>
      </x:c>
    </x:row>
    <x:row r="2215">
      <x:c r="A2215" s="6" t="n">
        <x:v>3661</x:v>
      </x:c>
      <x:c r="B2215" s="6" t="n">
        <x:v>1995</x:v>
      </x:c>
      <x:c r="C2215" s="6" t="str">
        <x:v>2n Cycle</x:v>
      </x:c>
      <x:c r="D2215" s="6" t="str">
        <x:v>Single</x:v>
      </x:c>
      <x:c r="E2215" s="6" t="n">
        <x:v>80617</x:v>
      </x:c>
      <x:c r="F2215" s="6" t="n">
        <x:v>0</x:v>
      </x:c>
      <x:c r="G2215" s="6" t="n">
        <x:v>0</x:v>
      </x:c>
      <x:c r="H2215" s="9" t="str">
        <x:v>12-10-2012</x:v>
      </x:c>
      <x:c r="I2215" s="6" t="n">
        <x:v>42</x:v>
      </x:c>
      <x:c r="J2215" s="6" t="n">
        <x:v>594</x:v>
      </x:c>
      <x:c r="K2215" s="6" t="n">
        <x:v>51</x:v>
      </x:c>
      <x:c r="L2215" s="6" t="n">
        <x:v>631</x:v>
      </x:c>
      <x:c r="M2215" s="6" t="n">
        <x:v>72</x:v>
      </x:c>
      <x:c r="N2215" s="6" t="n">
        <x:v>55</x:v>
      </x:c>
      <x:c r="O2215" s="6" t="n">
        <x:v>32</x:v>
      </x:c>
      <x:c r="P2215" s="6" t="n">
        <x:v>1</x:v>
      </x:c>
      <x:c r="Q2215" s="6" t="n">
        <x:v>4</x:v>
      </x:c>
      <x:c r="R2215" s="6" t="n">
        <x:v>6</x:v>
      </x:c>
      <x:c r="S2215" s="6" t="n">
        <x:v>8</x:v>
      </x:c>
      <x:c r="T2215" s="6" t="n">
        <x:v>2</x:v>
      </x:c>
      <x:c r="U2215" s="6" t="n">
        <x:v>0</x:v>
      </x:c>
      <x:c r="V2215" s="6" t="n">
        <x:v>0</x:v>
      </x:c>
      <x:c r="W2215" s="6" t="n">
        <x:v>0</x:v>
      </x:c>
      <x:c r="X2215" s="6" t="n">
        <x:v>0</x:v>
      </x:c>
      <x:c r="Y2215" s="6" t="n">
        <x:v>0</x:v>
      </x:c>
      <x:c r="Z2215" s="6" t="n">
        <x:v>0</x:v>
      </x:c>
      <x:c r="AA2215" s="6" t="n">
        <x:v>3</x:v>
      </x:c>
      <x:c r="AB2215" s="6" t="n">
        <x:v>11</x:v>
      </x:c>
      <x:c r="AC2215" s="6" t="n">
        <x:v>0</x:v>
      </x:c>
    </x:row>
    <x:row r="2216">
      <x:c r="A2216" s="6" t="n">
        <x:v>9303</x:v>
      </x:c>
      <x:c r="B2216" s="6" t="n">
        <x:v>1976</x:v>
      </x:c>
      <x:c r="C2216" s="6" t="str">
        <x:v>Graduation</x:v>
      </x:c>
      <x:c r="D2216" s="6" t="str">
        <x:v>Married</x:v>
      </x:c>
      <x:c r="E2216" s="6" t="n">
        <x:v>5305</x:v>
      </x:c>
      <x:c r="F2216" s="6" t="n">
        <x:v>0</x:v>
      </x:c>
      <x:c r="G2216" s="6" t="n">
        <x:v>1</x:v>
      </x:c>
      <x:c r="H2216" s="9" t="str">
        <x:v>30-07-2013</x:v>
      </x:c>
      <x:c r="I2216" s="6" t="n">
        <x:v>12</x:v>
      </x:c>
      <x:c r="J2216" s="6" t="n">
        <x:v>12</x:v>
      </x:c>
      <x:c r="K2216" s="6" t="n">
        <x:v>4</x:v>
      </x:c>
      <x:c r="L2216" s="6" t="n">
        <x:v>7</x:v>
      </x:c>
      <x:c r="M2216" s="6" t="n">
        <x:v>1</x:v>
      </x:c>
      <x:c r="N2216" s="6" t="n">
        <x:v>3</x:v>
      </x:c>
      <x:c r="O2216" s="6" t="n">
        <x:v>5</x:v>
      </x:c>
      <x:c r="P2216" s="6" t="n">
        <x:v>0</x:v>
      </x:c>
      <x:c r="Q2216" s="6" t="n">
        <x:v>1</x:v>
      </x:c>
      <x:c r="R2216" s="6" t="n">
        <x:v>0</x:v>
      </x:c>
      <x:c r="S2216" s="6" t="n">
        <x:v>0</x:v>
      </x:c>
      <x:c r="T2216" s="6" t="n">
        <x:v>13</x:v>
      </x:c>
      <x:c r="U2216" s="6" t="n">
        <x:v>0</x:v>
      </x:c>
      <x:c r="V2216" s="6" t="n">
        <x:v>0</x:v>
      </x:c>
      <x:c r="W2216" s="6" t="n">
        <x:v>0</x:v>
      </x:c>
      <x:c r="X2216" s="6" t="n">
        <x:v>0</x:v>
      </x:c>
      <x:c r="Y2216" s="6" t="n">
        <x:v>0</x:v>
      </x:c>
      <x:c r="Z2216" s="6" t="n">
        <x:v>0</x:v>
      </x:c>
      <x:c r="AA2216" s="6" t="n">
        <x:v>3</x:v>
      </x:c>
      <x:c r="AB2216" s="6" t="n">
        <x:v>11</x:v>
      </x:c>
      <x:c r="AC2216" s="6" t="n">
        <x:v>0</x:v>
      </x:c>
    </x:row>
    <x:row r="2217">
      <x:c r="A2217" s="6" t="n">
        <x:v>692</x:v>
      </x:c>
      <x:c r="B2217" s="6" t="n">
        <x:v>1954</x:v>
      </x:c>
      <x:c r="C2217" s="6" t="str">
        <x:v>Graduation</x:v>
      </x:c>
      <x:c r="D2217" s="6" t="str">
        <x:v>Together</x:v>
      </x:c>
      <x:c r="E2217" s="6" t="n">
        <x:v>36807</x:v>
      </x:c>
      <x:c r="F2217" s="6" t="n">
        <x:v>1</x:v>
      </x:c>
      <x:c r="G2217" s="6" t="n">
        <x:v>1</x:v>
      </x:c>
      <x:c r="H2217" s="9" t="str">
        <x:v>20-12-2012</x:v>
      </x:c>
      <x:c r="I2217" s="6" t="n">
        <x:v>88</x:v>
      </x:c>
      <x:c r="J2217" s="6" t="n">
        <x:v>4</x:v>
      </x:c>
      <x:c r="K2217" s="6" t="n">
        <x:v>2</x:v>
      </x:c>
      <x:c r="L2217" s="6" t="n">
        <x:v>5</x:v>
      </x:c>
      <x:c r="M2217" s="6" t="n">
        <x:v>0</x:v>
      </x:c>
      <x:c r="N2217" s="6" t="n">
        <x:v>0</x:v>
      </x:c>
      <x:c r="O2217" s="6" t="n">
        <x:v>5</x:v>
      </x:c>
      <x:c r="P2217" s="6" t="n">
        <x:v>1</x:v>
      </x:c>
      <x:c r="Q2217" s="6" t="n">
        <x:v>1</x:v>
      </x:c>
      <x:c r="R2217" s="6" t="n">
        <x:v>0</x:v>
      </x:c>
      <x:c r="S2217" s="6" t="n">
        <x:v>2</x:v>
      </x:c>
      <x:c r="T2217" s="6" t="n">
        <x:v>6</x:v>
      </x:c>
      <x:c r="U2217" s="6" t="n">
        <x:v>0</x:v>
      </x:c>
      <x:c r="V2217" s="6" t="n">
        <x:v>0</x:v>
      </x:c>
      <x:c r="W2217" s="6" t="n">
        <x:v>0</x:v>
      </x:c>
      <x:c r="X2217" s="6" t="n">
        <x:v>0</x:v>
      </x:c>
      <x:c r="Y2217" s="6" t="n">
        <x:v>0</x:v>
      </x:c>
      <x:c r="Z2217" s="6" t="n">
        <x:v>0</x:v>
      </x:c>
      <x:c r="AA2217" s="6" t="n">
        <x:v>3</x:v>
      </x:c>
      <x:c r="AB2217" s="6" t="n">
        <x:v>11</x:v>
      </x:c>
      <x:c r="AC2217" s="6" t="n">
        <x:v>0</x:v>
      </x:c>
    </x:row>
    <x:row r="2218">
      <x:c r="A2218" s="6" t="n">
        <x:v>736</x:v>
      </x:c>
      <x:c r="B2218" s="6" t="n">
        <x:v>1983</x:v>
      </x:c>
      <x:c r="C2218" s="6" t="str">
        <x:v>Graduation</x:v>
      </x:c>
      <x:c r="D2218" s="6" t="str">
        <x:v>Together</x:v>
      </x:c>
      <x:c r="E2218" s="6" t="n">
        <x:v>28427</x:v>
      </x:c>
      <x:c r="F2218" s="6" t="n">
        <x:v>1</x:v>
      </x:c>
      <x:c r="G2218" s="6" t="n">
        <x:v>0</x:v>
      </x:c>
      <x:c r="H2218" s="9" t="str">
        <x:v>21-03-2013</x:v>
      </x:c>
      <x:c r="I2218" s="6" t="n">
        <x:v>67</x:v>
      </x:c>
      <x:c r="J2218" s="6" t="n">
        <x:v>18</x:v>
      </x:c>
      <x:c r="K2218" s="6" t="n">
        <x:v>3</x:v>
      </x:c>
      <x:c r="L2218" s="6" t="n">
        <x:v>19</x:v>
      </x:c>
      <x:c r="M2218" s="6" t="n">
        <x:v>3</x:v>
      </x:c>
      <x:c r="N2218" s="6" t="n">
        <x:v>3</x:v>
      </x:c>
      <x:c r="O2218" s="6" t="n">
        <x:v>6</x:v>
      </x:c>
      <x:c r="P2218" s="6" t="n">
        <x:v>2</x:v>
      </x:c>
      <x:c r="Q2218" s="6" t="n">
        <x:v>2</x:v>
      </x:c>
      <x:c r="R2218" s="6" t="n">
        <x:v>0</x:v>
      </x:c>
      <x:c r="S2218" s="6" t="n">
        <x:v>3</x:v>
      </x:c>
      <x:c r="T2218" s="6" t="n">
        <x:v>8</x:v>
      </x:c>
      <x:c r="U2218" s="6" t="n">
        <x:v>0</x:v>
      </x:c>
      <x:c r="V2218" s="6" t="n">
        <x:v>0</x:v>
      </x:c>
      <x:c r="W2218" s="6" t="n">
        <x:v>0</x:v>
      </x:c>
      <x:c r="X2218" s="6" t="n">
        <x:v>0</x:v>
      </x:c>
      <x:c r="Y2218" s="6" t="n">
        <x:v>0</x:v>
      </x:c>
      <x:c r="Z2218" s="6" t="n">
        <x:v>0</x:v>
      </x:c>
      <x:c r="AA2218" s="6" t="n">
        <x:v>3</x:v>
      </x:c>
      <x:c r="AB2218" s="6" t="n">
        <x:v>11</x:v>
      </x:c>
      <x:c r="AC2218" s="6" t="n">
        <x:v>0</x:v>
      </x:c>
    </x:row>
    <x:row r="2219">
      <x:c r="A2219" s="6" t="n">
        <x:v>9589</x:v>
      </x:c>
      <x:c r="B2219" s="6" t="n">
        <x:v>1948</x:v>
      </x:c>
      <x:c r="C2219" s="6" t="str">
        <x:v>PhD</x:v>
      </x:c>
      <x:c r="D2219" s="6" t="str">
        <x:v>Widow</x:v>
      </x:c>
      <x:c r="E2219" s="6" t="n">
        <x:v>82032</x:v>
      </x:c>
      <x:c r="F2219" s="6" t="n">
        <x:v>0</x:v>
      </x:c>
      <x:c r="G2219" s="6" t="n">
        <x:v>0</x:v>
      </x:c>
      <x:c r="H2219" s="9" t="str">
        <x:v>05-04-2014</x:v>
      </x:c>
      <x:c r="I2219" s="6" t="n">
        <x:v>54</x:v>
      </x:c>
      <x:c r="J2219" s="6" t="n">
        <x:v>332</x:v>
      </x:c>
      <x:c r="K2219" s="6" t="n">
        <x:v>194</x:v>
      </x:c>
      <x:c r="L2219" s="6" t="n">
        <x:v>377</x:v>
      </x:c>
      <x:c r="M2219" s="6" t="n">
        <x:v>149</x:v>
      </x:c>
      <x:c r="N2219" s="6" t="n">
        <x:v>125</x:v>
      </x:c>
      <x:c r="O2219" s="6" t="n">
        <x:v>57</x:v>
      </x:c>
      <x:c r="P2219" s="6" t="n">
        <x:v>0</x:v>
      </x:c>
      <x:c r="Q2219" s="6" t="n">
        <x:v>4</x:v>
      </x:c>
      <x:c r="R2219" s="6" t="n">
        <x:v>6</x:v>
      </x:c>
      <x:c r="S2219" s="6" t="n">
        <x:v>7</x:v>
      </x:c>
      <x:c r="T2219" s="6" t="n">
        <x:v>1</x:v>
      </x:c>
      <x:c r="U2219" s="6" t="n">
        <x:v>0</x:v>
      </x:c>
      <x:c r="V2219" s="6" t="n">
        <x:v>0</x:v>
      </x:c>
      <x:c r="W2219" s="6" t="n">
        <x:v>0</x:v>
      </x:c>
      <x:c r="X2219" s="6" t="n">
        <x:v>0</x:v>
      </x:c>
      <x:c r="Y2219" s="6" t="n">
        <x:v>0</x:v>
      </x:c>
      <x:c r="Z2219" s="6" t="n">
        <x:v>0</x:v>
      </x:c>
      <x:c r="AA2219" s="6" t="n">
        <x:v>3</x:v>
      </x:c>
      <x:c r="AB2219" s="6" t="n">
        <x:v>11</x:v>
      </x:c>
      <x:c r="AC2219" s="6" t="n">
        <x:v>0</x:v>
      </x:c>
    </x:row>
    <x:row r="2220">
      <x:c r="A2220" s="6" t="n">
        <x:v>4838</x:v>
      </x:c>
      <x:c r="B2220" s="6" t="n">
        <x:v>1978</x:v>
      </x:c>
      <x:c r="C2220" s="6" t="str">
        <x:v>Graduation</x:v>
      </x:c>
      <x:c r="D2220" s="6" t="str">
        <x:v>Together</x:v>
      </x:c>
      <x:c r="E2220" s="6" t="n">
        <x:v>22775</x:v>
      </x:c>
      <x:c r="F2220" s="6" t="n">
        <x:v>1</x:v>
      </x:c>
      <x:c r="G2220" s="6" t="n">
        <x:v>0</x:v>
      </x:c>
      <x:c r="H2220" s="9" t="str">
        <x:v>19-06-2013</x:v>
      </x:c>
      <x:c r="I2220" s="6" t="n">
        <x:v>40</x:v>
      </x:c>
      <x:c r="J2220" s="6" t="n">
        <x:v>5</x:v>
      </x:c>
      <x:c r="K2220" s="6" t="n">
        <x:v>1</x:v>
      </x:c>
      <x:c r="L2220" s="6" t="n">
        <x:v>8</x:v>
      </x:c>
      <x:c r="M2220" s="6" t="n">
        <x:v>0</x:v>
      </x:c>
      <x:c r="N2220" s="6" t="n">
        <x:v>0</x:v>
      </x:c>
      <x:c r="O2220" s="6" t="n">
        <x:v>1</x:v>
      </x:c>
      <x:c r="P2220" s="6" t="n">
        <x:v>1</x:v>
      </x:c>
      <x:c r="Q2220" s="6" t="n">
        <x:v>1</x:v>
      </x:c>
      <x:c r="R2220" s="6" t="n">
        <x:v>0</x:v>
      </x:c>
      <x:c r="S2220" s="6" t="n">
        <x:v>2</x:v>
      </x:c>
      <x:c r="T2220" s="6" t="n">
        <x:v>8</x:v>
      </x:c>
      <x:c r="U2220" s="6" t="n">
        <x:v>0</x:v>
      </x:c>
      <x:c r="V2220" s="6" t="n">
        <x:v>0</x:v>
      </x:c>
      <x:c r="W2220" s="6" t="n">
        <x:v>0</x:v>
      </x:c>
      <x:c r="X2220" s="6" t="n">
        <x:v>0</x:v>
      </x:c>
      <x:c r="Y2220" s="6" t="n">
        <x:v>0</x:v>
      </x:c>
      <x:c r="Z2220" s="6" t="n">
        <x:v>0</x:v>
      </x:c>
      <x:c r="AA2220" s="6" t="n">
        <x:v>3</x:v>
      </x:c>
      <x:c r="AB2220" s="6" t="n">
        <x:v>11</x:v>
      </x:c>
      <x:c r="AC2220" s="6" t="n">
        <x:v>0</x:v>
      </x:c>
    </x:row>
    <x:row r="2221">
      <x:c r="A2221" s="6" t="n">
        <x:v>9246</x:v>
      </x:c>
      <x:c r="B2221" s="6" t="n">
        <x:v>1985</x:v>
      </x:c>
      <x:c r="C2221" s="6" t="str">
        <x:v>Master</x:v>
      </x:c>
      <x:c r="D2221" s="6" t="str">
        <x:v>Together</x:v>
      </x:c>
      <x:c r="E2221" s="6" t="n">
        <x:v>40101</x:v>
      </x:c>
      <x:c r="F2221" s="6" t="n">
        <x:v>1</x:v>
      </x:c>
      <x:c r="G2221" s="6" t="n">
        <x:v>0</x:v>
      </x:c>
      <x:c r="H2221" s="9" t="str">
        <x:v>14-10-2012</x:v>
      </x:c>
      <x:c r="I2221" s="6" t="n">
        <x:v>73</x:v>
      </x:c>
      <x:c r="J2221" s="6" t="n">
        <x:v>171</x:v>
      </x:c>
      <x:c r="K2221" s="6" t="n">
        <x:v>3</x:v>
      </x:c>
      <x:c r="L2221" s="6" t="n">
        <x:v>129</x:v>
      </x:c>
      <x:c r="M2221" s="6" t="n">
        <x:v>26</x:v>
      </x:c>
      <x:c r="N2221" s="6" t="n">
        <x:v>24</x:v>
      </x:c>
      <x:c r="O2221" s="6" t="n">
        <x:v>62</x:v>
      </x:c>
      <x:c r="P2221" s="6" t="n">
        <x:v>4</x:v>
      </x:c>
      <x:c r="Q2221" s="6" t="n">
        <x:v>6</x:v>
      </x:c>
      <x:c r="R2221" s="6" t="n">
        <x:v>1</x:v>
      </x:c>
      <x:c r="S2221" s="6" t="n">
        <x:v>6</x:v>
      </x:c>
      <x:c r="T2221" s="6" t="n">
        <x:v>7</x:v>
      </x:c>
      <x:c r="U2221" s="6" t="n">
        <x:v>0</x:v>
      </x:c>
      <x:c r="V2221" s="6" t="n">
        <x:v>0</x:v>
      </x:c>
      <x:c r="W2221" s="6" t="n">
        <x:v>0</x:v>
      </x:c>
      <x:c r="X2221" s="6" t="n">
        <x:v>0</x:v>
      </x:c>
      <x:c r="Y2221" s="6" t="n">
        <x:v>0</x:v>
      </x:c>
      <x:c r="Z2221" s="6" t="n">
        <x:v>0</x:v>
      </x:c>
      <x:c r="AA2221" s="6" t="n">
        <x:v>3</x:v>
      </x:c>
      <x:c r="AB2221" s="6" t="n">
        <x:v>11</x:v>
      </x:c>
      <x:c r="AC2221" s="6" t="n">
        <x:v>0</x:v>
      </x:c>
    </x:row>
    <x:row r="2222">
      <x:c r="A2222" s="6" t="n">
        <x:v>6261</x:v>
      </x:c>
      <x:c r="B2222" s="6" t="n">
        <x:v>1979</x:v>
      </x:c>
      <x:c r="C2222" s="6" t="str">
        <x:v>Graduation</x:v>
      </x:c>
      <x:c r="D2222" s="6" t="str">
        <x:v>Married</x:v>
      </x:c>
      <x:c r="E2222" s="6" t="n">
        <x:v>58025</x:v>
      </x:c>
      <x:c r="F2222" s="6" t="n">
        <x:v>0</x:v>
      </x:c>
      <x:c r="G2222" s="6" t="n">
        <x:v>1</x:v>
      </x:c>
      <x:c r="H2222" s="9" t="str">
        <x:v>26-11-2013</x:v>
      </x:c>
      <x:c r="I2222" s="6" t="n">
        <x:v>81</x:v>
      </x:c>
      <x:c r="J2222" s="6" t="n">
        <x:v>270</x:v>
      </x:c>
      <x:c r="K2222" s="6" t="n">
        <x:v>31</x:v>
      </x:c>
      <x:c r="L2222" s="6" t="n">
        <x:v>88</x:v>
      </x:c>
      <x:c r="M2222" s="6" t="n">
        <x:v>11</x:v>
      </x:c>
      <x:c r="N2222" s="6" t="n">
        <x:v>48</x:v>
      </x:c>
      <x:c r="O2222" s="6" t="n">
        <x:v>22</x:v>
      </x:c>
      <x:c r="P2222" s="6" t="n">
        <x:v>3</x:v>
      </x:c>
      <x:c r="Q2222" s="6" t="n">
        <x:v>3</x:v>
      </x:c>
      <x:c r="R2222" s="6" t="n">
        <x:v>2</x:v>
      </x:c>
      <x:c r="S2222" s="6" t="n">
        <x:v>10</x:v>
      </x:c>
      <x:c r="T2222" s="6" t="n">
        <x:v>4</x:v>
      </x:c>
      <x:c r="U2222" s="6" t="n">
        <x:v>0</x:v>
      </x:c>
      <x:c r="V2222" s="6" t="n">
        <x:v>0</x:v>
      </x:c>
      <x:c r="W2222" s="6" t="n">
        <x:v>0</x:v>
      </x:c>
      <x:c r="X2222" s="6" t="n">
        <x:v>0</x:v>
      </x:c>
      <x:c r="Y2222" s="6" t="n">
        <x:v>0</x:v>
      </x:c>
      <x:c r="Z2222" s="6" t="n">
        <x:v>0</x:v>
      </x:c>
      <x:c r="AA2222" s="6" t="n">
        <x:v>3</x:v>
      </x:c>
      <x:c r="AB2222" s="6" t="n">
        <x:v>11</x:v>
      </x:c>
      <x:c r="AC2222" s="6" t="n">
        <x:v>0</x:v>
      </x:c>
    </x:row>
    <x:row r="2223">
      <x:c r="A2223" s="6" t="n">
        <x:v>7366</x:v>
      </x:c>
      <x:c r="B2223" s="6" t="n">
        <x:v>1982</x:v>
      </x:c>
      <x:c r="C2223" s="6" t="str">
        <x:v>Master</x:v>
      </x:c>
      <x:c r="D2223" s="6" t="str">
        <x:v>Single</x:v>
      </x:c>
      <x:c r="E2223" s="6" t="n">
        <x:v>75777</x:v>
      </x:c>
      <x:c r="F2223" s="6" t="n">
        <x:v>0</x:v>
      </x:c>
      <x:c r="G2223" s="6" t="n">
        <x:v>0</x:v>
      </x:c>
      <x:c r="H2223" s="9" t="str">
        <x:v>04-07-2013</x:v>
      </x:c>
      <x:c r="I2223" s="6" t="n">
        <x:v>12</x:v>
      </x:c>
      <x:c r="J2223" s="6" t="n">
        <x:v>712</x:v>
      </x:c>
      <x:c r="K2223" s="6" t="n">
        <x:v>26</x:v>
      </x:c>
      <x:c r="L2223" s="6" t="n">
        <x:v>538</x:v>
      </x:c>
      <x:c r="M2223" s="6" t="n">
        <x:v>69</x:v>
      </x:c>
      <x:c r="N2223" s="6" t="n">
        <x:v>13</x:v>
      </x:c>
      <x:c r="O2223" s="6" t="n">
        <x:v>80</x:v>
      </x:c>
      <x:c r="P2223" s="6" t="n">
        <x:v>1</x:v>
      </x:c>
      <x:c r="Q2223" s="6" t="n">
        <x:v>3</x:v>
      </x:c>
      <x:c r="R2223" s="6" t="n">
        <x:v>6</x:v>
      </x:c>
      <x:c r="S2223" s="6" t="n">
        <x:v>11</x:v>
      </x:c>
      <x:c r="T2223" s="6" t="n">
        <x:v>1</x:v>
      </x:c>
      <x:c r="U2223" s="6" t="n">
        <x:v>0</x:v>
      </x:c>
      <x:c r="V2223" s="6" t="n">
        <x:v>1</x:v>
      </x:c>
      <x:c r="W2223" s="6" t="n">
        <x:v>1</x:v>
      </x:c>
      <x:c r="X2223" s="6" t="n">
        <x:v>0</x:v>
      </x:c>
      <x:c r="Y2223" s="6" t="n">
        <x:v>0</x:v>
      </x:c>
      <x:c r="Z2223" s="6" t="n">
        <x:v>0</x:v>
      </x:c>
      <x:c r="AA2223" s="6" t="n">
        <x:v>3</x:v>
      </x:c>
      <x:c r="AB2223" s="6" t="n">
        <x:v>11</x:v>
      </x:c>
      <x:c r="AC2223" s="6" t="n">
        <x:v>1</x:v>
      </x:c>
    </x:row>
    <x:row r="2224">
      <x:c r="A2224" s="6" t="n">
        <x:v>10659</x:v>
      </x:c>
      <x:c r="B2224" s="6" t="n">
        <x:v>1979</x:v>
      </x:c>
      <x:c r="C2224" s="6" t="str">
        <x:v>2n Cycle</x:v>
      </x:c>
      <x:c r="D2224" s="6" t="str">
        <x:v>Together</x:v>
      </x:c>
      <x:c r="E2224" s="6" t="n">
        <x:v>7500</x:v>
      </x:c>
      <x:c r="F2224" s="6" t="n">
        <x:v>1</x:v>
      </x:c>
      <x:c r="G2224" s="6" t="n">
        <x:v>0</x:v>
      </x:c>
      <x:c r="H2224" s="9" t="str">
        <x:v>07-05-2013</x:v>
      </x:c>
      <x:c r="I2224" s="6" t="n">
        <x:v>7</x:v>
      </x:c>
      <x:c r="J2224" s="6" t="n">
        <x:v>2</x:v>
      </x:c>
      <x:c r="K2224" s="6" t="n">
        <x:v>8</x:v>
      </x:c>
      <x:c r="L2224" s="6" t="n">
        <x:v>11</x:v>
      </x:c>
      <x:c r="M2224" s="6" t="n">
        <x:v>3</x:v>
      </x:c>
      <x:c r="N2224" s="6" t="n">
        <x:v>8</x:v>
      </x:c>
      <x:c r="O2224" s="6" t="n">
        <x:v>21</x:v>
      </x:c>
      <x:c r="P2224" s="6" t="n">
        <x:v>4</x:v>
      </x:c>
      <x:c r="Q2224" s="6" t="n">
        <x:v>3</x:v>
      </x:c>
      <x:c r="R2224" s="6" t="n">
        <x:v>2</x:v>
      </x:c>
      <x:c r="S2224" s="6" t="n">
        <x:v>2</x:v>
      </x:c>
      <x:c r="T2224" s="6" t="n">
        <x:v>7</x:v>
      </x:c>
      <x:c r="U2224" s="6" t="n">
        <x:v>0</x:v>
      </x:c>
      <x:c r="V2224" s="6" t="n">
        <x:v>0</x:v>
      </x:c>
      <x:c r="W2224" s="6" t="n">
        <x:v>0</x:v>
      </x:c>
      <x:c r="X2224" s="6" t="n">
        <x:v>0</x:v>
      </x:c>
      <x:c r="Y2224" s="6" t="n">
        <x:v>0</x:v>
      </x:c>
      <x:c r="Z2224" s="6" t="n">
        <x:v>0</x:v>
      </x:c>
      <x:c r="AA2224" s="6" t="n">
        <x:v>3</x:v>
      </x:c>
      <x:c r="AB2224" s="6" t="n">
        <x:v>11</x:v>
      </x:c>
      <x:c r="AC2224" s="6" t="n">
        <x:v>0</x:v>
      </x:c>
    </x:row>
    <x:row r="2225">
      <x:c r="A2225" s="6" t="n">
        <x:v>1448</x:v>
      </x:c>
      <x:c r="B2225" s="6" t="n">
        <x:v>1963</x:v>
      </x:c>
      <x:c r="C2225" s="6" t="str">
        <x:v>Master</x:v>
      </x:c>
      <x:c r="D2225" s="6" t="str">
        <x:v>Married</x:v>
      </x:c>
      <x:c r="E2225" s="6" t="n">
        <x:v>33562</x:v>
      </x:c>
      <x:c r="F2225" s="6" t="n">
        <x:v>1</x:v>
      </x:c>
      <x:c r="G2225" s="6" t="n">
        <x:v>2</x:v>
      </x:c>
      <x:c r="H2225" s="9" t="str">
        <x:v>25-06-2014</x:v>
      </x:c>
      <x:c r="I2225" s="6" t="n">
        <x:v>33</x:v>
      </x:c>
      <x:c r="J2225" s="6" t="n">
        <x:v>21</x:v>
      </x:c>
      <x:c r="K2225" s="6" t="n">
        <x:v>12</x:v>
      </x:c>
      <x:c r="L2225" s="6" t="n">
        <x:v>12</x:v>
      </x:c>
      <x:c r="M2225" s="6" t="n">
        <x:v>0</x:v>
      </x:c>
      <x:c r="N2225" s="6" t="n">
        <x:v>3</x:v>
      </x:c>
      <x:c r="O2225" s="6" t="n">
        <x:v>3</x:v>
      </x:c>
      <x:c r="P2225" s="6" t="n">
        <x:v>3</x:v>
      </x:c>
      <x:c r="Q2225" s="6" t="n">
        <x:v>2</x:v>
      </x:c>
      <x:c r="R2225" s="6" t="n">
        <x:v>0</x:v>
      </x:c>
      <x:c r="S2225" s="6" t="n">
        <x:v>4</x:v>
      </x:c>
      <x:c r="T2225" s="6" t="n">
        <x:v>4</x:v>
      </x:c>
      <x:c r="U2225" s="6" t="n">
        <x:v>0</x:v>
      </x:c>
      <x:c r="V2225" s="6" t="n">
        <x:v>0</x:v>
      </x:c>
      <x:c r="W2225" s="6" t="n">
        <x:v>0</x:v>
      </x:c>
      <x:c r="X2225" s="6" t="n">
        <x:v>0</x:v>
      </x:c>
      <x:c r="Y2225" s="6" t="n">
        <x:v>0</x:v>
      </x:c>
      <x:c r="Z2225" s="6" t="n">
        <x:v>0</x:v>
      </x:c>
      <x:c r="AA2225" s="6" t="n">
        <x:v>3</x:v>
      </x:c>
      <x:c r="AB2225" s="6" t="n">
        <x:v>11</x:v>
      </x:c>
      <x:c r="AC2225" s="6" t="n">
        <x:v>0</x:v>
      </x:c>
    </x:row>
    <x:row r="2226">
      <x:c r="A2226" s="6" t="n">
        <x:v>4286</x:v>
      </x:c>
      <x:c r="B2226" s="6" t="n">
        <x:v>1970</x:v>
      </x:c>
      <x:c r="C2226" s="6" t="str">
        <x:v>PhD</x:v>
      </x:c>
      <x:c r="D2226" s="6" t="str">
        <x:v>Single</x:v>
      </x:c>
      <x:c r="E2226" s="6" t="n">
        <x:v>57642</x:v>
      </x:c>
      <x:c r="F2226" s="6" t="n">
        <x:v>0</x:v>
      </x:c>
      <x:c r="G2226" s="6" t="n">
        <x:v>1</x:v>
      </x:c>
      <x:c r="H2226" s="9" t="str">
        <x:v>09-01-2014</x:v>
      </x:c>
      <x:c r="I2226" s="6" t="n">
        <x:v>24</x:v>
      </x:c>
      <x:c r="J2226" s="6" t="n">
        <x:v>580</x:v>
      </x:c>
      <x:c r="K2226" s="6" t="n">
        <x:v>6</x:v>
      </x:c>
      <x:c r="L2226" s="6" t="n">
        <x:v>58</x:v>
      </x:c>
      <x:c r="M2226" s="6" t="n">
        <x:v>8</x:v>
      </x:c>
      <x:c r="N2226" s="6" t="n">
        <x:v>0</x:v>
      </x:c>
      <x:c r="O2226" s="6" t="n">
        <x:v>27</x:v>
      </x:c>
      <x:c r="P2226" s="6" t="n">
        <x:v>3</x:v>
      </x:c>
      <x:c r="Q2226" s="6" t="n">
        <x:v>7</x:v>
      </x:c>
      <x:c r="R2226" s="6" t="n">
        <x:v>6</x:v>
      </x:c>
      <x:c r="S2226" s="6" t="n">
        <x:v>6</x:v>
      </x:c>
      <x:c r="T2226" s="6" t="n">
        <x:v>4</x:v>
      </x:c>
      <x:c r="U2226" s="6" t="n">
        <x:v>1</x:v>
      </x:c>
      <x:c r="V2226" s="6" t="n">
        <x:v>0</x:v>
      </x:c>
      <x:c r="W2226" s="6" t="n">
        <x:v>0</x:v>
      </x:c>
      <x:c r="X2226" s="6" t="n">
        <x:v>0</x:v>
      </x:c>
      <x:c r="Y2226" s="6" t="n">
        <x:v>0</x:v>
      </x:c>
      <x:c r="Z2226" s="6" t="n">
        <x:v>0</x:v>
      </x:c>
      <x:c r="AA2226" s="6" t="n">
        <x:v>3</x:v>
      </x:c>
      <x:c r="AB2226" s="6" t="n">
        <x:v>11</x:v>
      </x:c>
      <x:c r="AC2226" s="6" t="n">
        <x:v>0</x:v>
      </x:c>
    </x:row>
    <x:row r="2227">
      <x:c r="A2227" s="6" t="n">
        <x:v>4749</x:v>
      </x:c>
      <x:c r="B2227" s="6" t="n">
        <x:v>1968</x:v>
      </x:c>
      <x:c r="C2227" s="6" t="str">
        <x:v>Graduation</x:v>
      </x:c>
      <x:c r="D2227" s="6" t="str">
        <x:v>Together</x:v>
      </x:c>
      <x:c r="E2227" s="6" t="n">
        <x:v>58554</x:v>
      </x:c>
      <x:c r="F2227" s="6" t="n">
        <x:v>1</x:v>
      </x:c>
      <x:c r="G2227" s="6" t="n">
        <x:v>1</x:v>
      </x:c>
      <x:c r="H2227" s="9" t="str">
        <x:v>26-09-2012</x:v>
      </x:c>
      <x:c r="I2227" s="6" t="n">
        <x:v>55</x:v>
      </x:c>
      <x:c r="J2227" s="6" t="n">
        <x:v>368</x:v>
      </x:c>
      <x:c r="K2227" s="6" t="n">
        <x:v>24</x:v>
      </x:c>
      <x:c r="L2227" s="6" t="n">
        <x:v>68</x:v>
      </x:c>
      <x:c r="M2227" s="6" t="n">
        <x:v>38</x:v>
      </x:c>
      <x:c r="N2227" s="6" t="n">
        <x:v>0</x:v>
      </x:c>
      <x:c r="O2227" s="6" t="n">
        <x:v>88</x:v>
      </x:c>
      <x:c r="P2227" s="6" t="n">
        <x:v>6</x:v>
      </x:c>
      <x:c r="Q2227" s="6" t="n">
        <x:v>8</x:v>
      </x:c>
      <x:c r="R2227" s="6" t="n">
        <x:v>2</x:v>
      </x:c>
      <x:c r="S2227" s="6" t="n">
        <x:v>6</x:v>
      </x:c>
      <x:c r="T2227" s="6" t="n">
        <x:v>7</x:v>
      </x:c>
      <x:c r="U2227" s="6" t="n">
        <x:v>0</x:v>
      </x:c>
      <x:c r="V2227" s="6" t="n">
        <x:v>0</x:v>
      </x:c>
      <x:c r="W2227" s="6" t="n">
        <x:v>0</x:v>
      </x:c>
      <x:c r="X2227" s="6" t="n">
        <x:v>0</x:v>
      </x:c>
      <x:c r="Y2227" s="6" t="n">
        <x:v>0</x:v>
      </x:c>
      <x:c r="Z2227" s="6" t="n">
        <x:v>0</x:v>
      </x:c>
      <x:c r="AA2227" s="6" t="n">
        <x:v>3</x:v>
      </x:c>
      <x:c r="AB2227" s="6" t="n">
        <x:v>11</x:v>
      </x:c>
      <x:c r="AC2227" s="6" t="n">
        <x:v>0</x:v>
      </x:c>
    </x:row>
    <x:row r="2228">
      <x:c r="A2228" s="6" t="n">
        <x:v>4478</x:v>
      </x:c>
      <x:c r="B2228" s="6" t="n">
        <x:v>1979</x:v>
      </x:c>
      <x:c r="C2228" s="6" t="str">
        <x:v>Graduation</x:v>
      </x:c>
      <x:c r="D2228" s="6" t="str">
        <x:v>Married</x:v>
      </x:c>
      <x:c r="E2228" s="6" t="n">
        <x:v>63777</x:v>
      </x:c>
      <x:c r="F2228" s="6" t="n">
        <x:v>1</x:v>
      </x:c>
      <x:c r="G2228" s="6" t="n">
        <x:v>1</x:v>
      </x:c>
      <x:c r="H2228" s="9" t="str">
        <x:v>24-03-2013</x:v>
      </x:c>
      <x:c r="I2228" s="6" t="n">
        <x:v>87</x:v>
      </x:c>
      <x:c r="J2228" s="6" t="n">
        <x:v>457</x:v>
      </x:c>
      <x:c r="K2228" s="6" t="n">
        <x:v>5</x:v>
      </x:c>
      <x:c r="L2228" s="6" t="n">
        <x:v>106</x:v>
      </x:c>
      <x:c r="M2228" s="6" t="n">
        <x:v>15</x:v>
      </x:c>
      <x:c r="N2228" s="6" t="n">
        <x:v>17</x:v>
      </x:c>
      <x:c r="O2228" s="6" t="n">
        <x:v>53</x:v>
      </x:c>
      <x:c r="P2228" s="6" t="n">
        <x:v>8</x:v>
      </x:c>
      <x:c r="Q2228" s="6" t="n">
        <x:v>11</x:v>
      </x:c>
      <x:c r="R2228" s="6" t="n">
        <x:v>1</x:v>
      </x:c>
      <x:c r="S2228" s="6" t="n">
        <x:v>6</x:v>
      </x:c>
      <x:c r="T2228" s="6" t="n">
        <x:v>8</x:v>
      </x:c>
      <x:c r="U2228" s="6" t="n">
        <x:v>0</x:v>
      </x:c>
      <x:c r="V2228" s="6" t="n">
        <x:v>0</x:v>
      </x:c>
      <x:c r="W2228" s="6" t="n">
        <x:v>0</x:v>
      </x:c>
      <x:c r="X2228" s="6" t="n">
        <x:v>0</x:v>
      </x:c>
      <x:c r="Y2228" s="6" t="n">
        <x:v>0</x:v>
      </x:c>
      <x:c r="Z2228" s="6" t="n">
        <x:v>0</x:v>
      </x:c>
      <x:c r="AA2228" s="6" t="n">
        <x:v>3</x:v>
      </x:c>
      <x:c r="AB2228" s="6" t="n">
        <x:v>11</x:v>
      </x:c>
      <x:c r="AC2228" s="6" t="n">
        <x:v>0</x:v>
      </x:c>
    </x:row>
    <x:row r="2229">
      <x:c r="A2229" s="6" t="n">
        <x:v>4201</x:v>
      </x:c>
      <x:c r="B2229" s="6" t="n">
        <x:v>1962</x:v>
      </x:c>
      <x:c r="C2229" s="6" t="str">
        <x:v>Graduation</x:v>
      </x:c>
      <x:c r="D2229" s="6" t="str">
        <x:v>Single</x:v>
      </x:c>
      <x:c r="E2229" s="6" t="n">
        <x:v>57967</x:v>
      </x:c>
      <x:c r="F2229" s="6" t="n">
        <x:v>0</x:v>
      </x:c>
      <x:c r="G2229" s="6" t="n">
        <x:v>1</x:v>
      </x:c>
      <x:c r="H2229" s="9" t="str">
        <x:v>03-03-2013</x:v>
      </x:c>
      <x:c r="I2229" s="6" t="n">
        <x:v>39</x:v>
      </x:c>
      <x:c r="J2229" s="6" t="n">
        <x:v>229</x:v>
      </x:c>
      <x:c r="K2229" s="6" t="n">
        <x:v>7</x:v>
      </x:c>
      <x:c r="L2229" s="6" t="n">
        <x:v>137</x:v>
      </x:c>
      <x:c r="M2229" s="6" t="n">
        <x:v>4</x:v>
      </x:c>
      <x:c r="N2229" s="6" t="n">
        <x:v>0</x:v>
      </x:c>
      <x:c r="O2229" s="6" t="n">
        <x:v>91</x:v>
      </x:c>
      <x:c r="P2229" s="6" t="n">
        <x:v>5</x:v>
      </x:c>
      <x:c r="Q2229" s="6" t="n">
        <x:v>4</x:v>
      </x:c>
      <x:c r="R2229" s="6" t="n">
        <x:v>2</x:v>
      </x:c>
      <x:c r="S2229" s="6" t="n">
        <x:v>8</x:v>
      </x:c>
      <x:c r="T2229" s="6" t="n">
        <x:v>5</x:v>
      </x:c>
      <x:c r="U2229" s="6" t="n">
        <x:v>0</x:v>
      </x:c>
      <x:c r="V2229" s="6" t="n">
        <x:v>0</x:v>
      </x:c>
      <x:c r="W2229" s="6" t="n">
        <x:v>0</x:v>
      </x:c>
      <x:c r="X2229" s="6" t="n">
        <x:v>0</x:v>
      </x:c>
      <x:c r="Y2229" s="6" t="n">
        <x:v>0</x:v>
      </x:c>
      <x:c r="Z2229" s="6" t="n">
        <x:v>0</x:v>
      </x:c>
      <x:c r="AA2229" s="6" t="n">
        <x:v>3</x:v>
      </x:c>
      <x:c r="AB2229" s="6" t="n">
        <x:v>11</x:v>
      </x:c>
      <x:c r="AC2229" s="6" t="n">
        <x:v>0</x:v>
      </x:c>
    </x:row>
    <x:row r="2230">
      <x:c r="A2230" s="6" t="n">
        <x:v>8720</x:v>
      </x:c>
      <x:c r="B2230" s="6" t="n">
        <x:v>1978</x:v>
      </x:c>
      <x:c r="C2230" s="6" t="str">
        <x:v>2n Cycle</x:v>
      </x:c>
      <x:c r="D2230" s="6" t="str">
        <x:v>Together</x:v>
      </x:c>
      <x:c r="E2230" s="6"/>
      <x:c r="F2230" s="6" t="n">
        <x:v>0</x:v>
      </x:c>
      <x:c r="G2230" s="6" t="n">
        <x:v>0</x:v>
      </x:c>
      <x:c r="H2230" s="9" t="str">
        <x:v>12-08-2012</x:v>
      </x:c>
      <x:c r="I2230" s="6" t="n">
        <x:v>53</x:v>
      </x:c>
      <x:c r="J2230" s="6" t="n">
        <x:v>32</x:v>
      </x:c>
      <x:c r="K2230" s="6" t="n">
        <x:v>2</x:v>
      </x:c>
      <x:c r="L2230" s="6" t="n">
        <x:v>1607</x:v>
      </x:c>
      <x:c r="M2230" s="6" t="n">
        <x:v>12</x:v>
      </x:c>
      <x:c r="N2230" s="6" t="n">
        <x:v>4</x:v>
      </x:c>
      <x:c r="O2230" s="6" t="n">
        <x:v>22</x:v>
      </x:c>
      <x:c r="P2230" s="6" t="n">
        <x:v>0</x:v>
      </x:c>
      <x:c r="Q2230" s="6" t="n">
        <x:v>0</x:v>
      </x:c>
      <x:c r="R2230" s="6" t="n">
        <x:v>0</x:v>
      </x:c>
      <x:c r="S2230" s="6" t="n">
        <x:v>1</x:v>
      </x:c>
      <x:c r="T2230" s="6" t="n">
        <x:v>0</x:v>
      </x:c>
      <x:c r="U2230" s="6" t="n">
        <x:v>0</x:v>
      </x:c>
      <x:c r="V2230" s="6" t="n">
        <x:v>1</x:v>
      </x:c>
      <x:c r="W2230" s="6" t="n">
        <x:v>0</x:v>
      </x:c>
      <x:c r="X2230" s="6" t="n">
        <x:v>0</x:v>
      </x:c>
      <x:c r="Y2230" s="6" t="n">
        <x:v>0</x:v>
      </x:c>
      <x:c r="Z2230" s="6" t="n">
        <x:v>0</x:v>
      </x:c>
      <x:c r="AA2230" s="6" t="n">
        <x:v>3</x:v>
      </x:c>
      <x:c r="AB2230" s="6" t="n">
        <x:v>11</x:v>
      </x:c>
      <x:c r="AC2230" s="6" t="n">
        <x:v>0</x:v>
      </x:c>
    </x:row>
    <x:row r="2231">
      <x:c r="A2231" s="6" t="n">
        <x:v>10084</x:v>
      </x:c>
      <x:c r="B2231" s="6" t="n">
        <x:v>1972</x:v>
      </x:c>
      <x:c r="C2231" s="6" t="str">
        <x:v>Graduation</x:v>
      </x:c>
      <x:c r="D2231" s="6" t="str">
        <x:v>Married</x:v>
      </x:c>
      <x:c r="E2231" s="6" t="n">
        <x:v>24434</x:v>
      </x:c>
      <x:c r="F2231" s="6" t="n">
        <x:v>2</x:v>
      </x:c>
      <x:c r="G2231" s="6" t="n">
        <x:v>0</x:v>
      </x:c>
      <x:c r="H2231" s="9" t="str">
        <x:v>18-05-2014</x:v>
      </x:c>
      <x:c r="I2231" s="6" t="n">
        <x:v>9</x:v>
      </x:c>
      <x:c r="J2231" s="6" t="n">
        <x:v>3</x:v>
      </x:c>
      <x:c r="K2231" s="6" t="n">
        <x:v>2</x:v>
      </x:c>
      <x:c r="L2231" s="6" t="n">
        <x:v>8</x:v>
      </x:c>
      <x:c r="M2231" s="6" t="n">
        <x:v>20</x:v>
      </x:c>
      <x:c r="N2231" s="6" t="n">
        <x:v>0</x:v>
      </x:c>
      <x:c r="O2231" s="6" t="n">
        <x:v>17</x:v>
      </x:c>
      <x:c r="P2231" s="6" t="n">
        <x:v>2</x:v>
      </x:c>
      <x:c r="Q2231" s="6" t="n">
        <x:v>2</x:v>
      </x:c>
      <x:c r="R2231" s="6" t="n">
        <x:v>1</x:v>
      </x:c>
      <x:c r="S2231" s="6" t="n">
        <x:v>2</x:v>
      </x:c>
      <x:c r="T2231" s="6" t="n">
        <x:v>7</x:v>
      </x:c>
      <x:c r="U2231" s="6" t="n">
        <x:v>0</x:v>
      </x:c>
      <x:c r="V2231" s="6" t="n">
        <x:v>0</x:v>
      </x:c>
      <x:c r="W2231" s="6" t="n">
        <x:v>0</x:v>
      </x:c>
      <x:c r="X2231" s="6" t="n">
        <x:v>0</x:v>
      </x:c>
      <x:c r="Y2231" s="6" t="n">
        <x:v>0</x:v>
      </x:c>
      <x:c r="Z2231" s="6" t="n">
        <x:v>0</x:v>
      </x:c>
      <x:c r="AA2231" s="6" t="n">
        <x:v>3</x:v>
      </x:c>
      <x:c r="AB2231" s="6" t="n">
        <x:v>11</x:v>
      </x:c>
      <x:c r="AC2231" s="6" t="n">
        <x:v>0</x:v>
      </x:c>
    </x:row>
    <x:row r="2232">
      <x:c r="A2232" s="6" t="n">
        <x:v>7004</x:v>
      </x:c>
      <x:c r="B2232" s="6" t="n">
        <x:v>1984</x:v>
      </x:c>
      <x:c r="C2232" s="6" t="str">
        <x:v>Graduation</x:v>
      </x:c>
      <x:c r="D2232" s="6" t="str">
        <x:v>Single</x:v>
      </x:c>
      <x:c r="E2232" s="6" t="n">
        <x:v>11012</x:v>
      </x:c>
      <x:c r="F2232" s="6" t="n">
        <x:v>1</x:v>
      </x:c>
      <x:c r="G2232" s="6" t="n">
        <x:v>0</x:v>
      </x:c>
      <x:c r="H2232" s="9" t="str">
        <x:v>16-03-2013</x:v>
      </x:c>
      <x:c r="I2232" s="6" t="n">
        <x:v>82</x:v>
      </x:c>
      <x:c r="J2232" s="6" t="n">
        <x:v>24</x:v>
      </x:c>
      <x:c r="K2232" s="6" t="n">
        <x:v>3</x:v>
      </x:c>
      <x:c r="L2232" s="6" t="n">
        <x:v>26</x:v>
      </x:c>
      <x:c r="M2232" s="6" t="n">
        <x:v>7</x:v>
      </x:c>
      <x:c r="N2232" s="6" t="n">
        <x:v>1</x:v>
      </x:c>
      <x:c r="O2232" s="6" t="n">
        <x:v>23</x:v>
      </x:c>
      <x:c r="P2232" s="6" t="n">
        <x:v>3</x:v>
      </x:c>
      <x:c r="Q2232" s="6" t="n">
        <x:v>3</x:v>
      </x:c>
      <x:c r="R2232" s="6" t="n">
        <x:v>1</x:v>
      </x:c>
      <x:c r="S2232" s="6" t="n">
        <x:v>2</x:v>
      </x:c>
      <x:c r="T2232" s="6" t="n">
        <x:v>9</x:v>
      </x:c>
      <x:c r="U2232" s="6" t="n">
        <x:v>1</x:v>
      </x:c>
      <x:c r="V2232" s="6" t="n">
        <x:v>0</x:v>
      </x:c>
      <x:c r="W2232" s="6" t="n">
        <x:v>0</x:v>
      </x:c>
      <x:c r="X2232" s="6" t="n">
        <x:v>0</x:v>
      </x:c>
      <x:c r="Y2232" s="6" t="n">
        <x:v>0</x:v>
      </x:c>
      <x:c r="Z2232" s="6" t="n">
        <x:v>0</x:v>
      </x:c>
      <x:c r="AA2232" s="6" t="n">
        <x:v>3</x:v>
      </x:c>
      <x:c r="AB2232" s="6" t="n">
        <x:v>11</x:v>
      </x:c>
      <x:c r="AC2232" s="6" t="n">
        <x:v>0</x:v>
      </x:c>
    </x:row>
    <x:row r="2233">
      <x:c r="A2233" s="6" t="n">
        <x:v>9817</x:v>
      </x:c>
      <x:c r="B2233" s="6" t="n">
        <x:v>1970</x:v>
      </x:c>
      <x:c r="C2233" s="6" t="str">
        <x:v>Master</x:v>
      </x:c>
      <x:c r="D2233" s="6" t="str">
        <x:v>Single</x:v>
      </x:c>
      <x:c r="E2233" s="6" t="n">
        <x:v>44802</x:v>
      </x:c>
      <x:c r="F2233" s="6" t="n">
        <x:v>0</x:v>
      </x:c>
      <x:c r="G2233" s="6" t="n">
        <x:v>0</x:v>
      </x:c>
      <x:c r="H2233" s="9" t="str">
        <x:v>21-08-2012</x:v>
      </x:c>
      <x:c r="I2233" s="6" t="n">
        <x:v>71</x:v>
      </x:c>
      <x:c r="J2233" s="6" t="n">
        <x:v>853</x:v>
      </x:c>
      <x:c r="K2233" s="6" t="n">
        <x:v>10</x:v>
      </x:c>
      <x:c r="L2233" s="6" t="n">
        <x:v>143</x:v>
      </x:c>
      <x:c r="M2233" s="6" t="n">
        <x:v>13</x:v>
      </x:c>
      <x:c r="N2233" s="6" t="n">
        <x:v>10</x:v>
      </x:c>
      <x:c r="O2233" s="6" t="n">
        <x:v>20</x:v>
      </x:c>
      <x:c r="P2233" s="6" t="n">
        <x:v>2</x:v>
      </x:c>
      <x:c r="Q2233" s="6" t="n">
        <x:v>9</x:v>
      </x:c>
      <x:c r="R2233" s="6" t="n">
        <x:v>4</x:v>
      </x:c>
      <x:c r="S2233" s="6" t="n">
        <x:v>12</x:v>
      </x:c>
      <x:c r="T2233" s="6" t="n">
        <x:v>8</x:v>
      </x:c>
      <x:c r="U2233" s="6" t="n">
        <x:v>0</x:v>
      </x:c>
      <x:c r="V2233" s="6" t="n">
        <x:v>0</x:v>
      </x:c>
      <x:c r="W2233" s="6" t="n">
        <x:v>0</x:v>
      </x:c>
      <x:c r="X2233" s="6" t="n">
        <x:v>0</x:v>
      </x:c>
      <x:c r="Y2233" s="6" t="n">
        <x:v>0</x:v>
      </x:c>
      <x:c r="Z2233" s="6" t="n">
        <x:v>0</x:v>
      </x:c>
      <x:c r="AA2233" s="6" t="n">
        <x:v>3</x:v>
      </x:c>
      <x:c r="AB2233" s="6" t="n">
        <x:v>11</x:v>
      </x:c>
      <x:c r="AC2233" s="6" t="n">
        <x:v>0</x:v>
      </x:c>
    </x:row>
    <x:row r="2234">
      <x:c r="A2234" s="6" t="n">
        <x:v>8080</x:v>
      </x:c>
      <x:c r="B2234" s="6" t="n">
        <x:v>1986</x:v>
      </x:c>
      <x:c r="C2234" s="6" t="str">
        <x:v>Graduation</x:v>
      </x:c>
      <x:c r="D2234" s="6" t="str">
        <x:v>Single</x:v>
      </x:c>
      <x:c r="E2234" s="6" t="n">
        <x:v>26816</x:v>
      </x:c>
      <x:c r="F2234" s="6" t="n">
        <x:v>0</x:v>
      </x:c>
      <x:c r="G2234" s="6" t="n">
        <x:v>0</x:v>
      </x:c>
      <x:c r="H2234" s="9" t="str">
        <x:v>17-08-2012</x:v>
      </x:c>
      <x:c r="I2234" s="6" t="n">
        <x:v>50</x:v>
      </x:c>
      <x:c r="J2234" s="6" t="n">
        <x:v>5</x:v>
      </x:c>
      <x:c r="K2234" s="6" t="n">
        <x:v>1</x:v>
      </x:c>
      <x:c r="L2234" s="6" t="n">
        <x:v>6</x:v>
      </x:c>
      <x:c r="M2234" s="6" t="n">
        <x:v>3</x:v>
      </x:c>
      <x:c r="N2234" s="6" t="n">
        <x:v>4</x:v>
      </x:c>
      <x:c r="O2234" s="6" t="n">
        <x:v>3</x:v>
      </x:c>
      <x:c r="P2234" s="6" t="n">
        <x:v>1</x:v>
      </x:c>
      <x:c r="Q2234" s="6" t="n">
        <x:v>0</x:v>
      </x:c>
      <x:c r="R2234" s="6" t="n">
        <x:v>0</x:v>
      </x:c>
      <x:c r="S2234" s="6" t="n">
        <x:v>3</x:v>
      </x:c>
      <x:c r="T2234" s="6" t="n">
        <x:v>4</x:v>
      </x:c>
      <x:c r="U2234" s="6" t="n">
        <x:v>0</x:v>
      </x:c>
      <x:c r="V2234" s="6" t="n">
        <x:v>0</x:v>
      </x:c>
      <x:c r="W2234" s="6" t="n">
        <x:v>0</x:v>
      </x:c>
      <x:c r="X2234" s="6" t="n">
        <x:v>0</x:v>
      </x:c>
      <x:c r="Y2234" s="6" t="n">
        <x:v>0</x:v>
      </x:c>
      <x:c r="Z2234" s="6" t="n">
        <x:v>0</x:v>
      </x:c>
      <x:c r="AA2234" s="6" t="n">
        <x:v>3</x:v>
      </x:c>
      <x:c r="AB2234" s="6" t="n">
        <x:v>11</x:v>
      </x:c>
      <x:c r="AC2234" s="6" t="n">
        <x:v>0</x:v>
      </x:c>
    </x:row>
    <x:row r="2235">
      <x:c r="A2235" s="6" t="n">
        <x:v>9432</x:v>
      </x:c>
      <x:c r="B2235" s="6" t="n">
        <x:v>1977</x:v>
      </x:c>
      <x:c r="C2235" s="6" t="str">
        <x:v>Graduation</x:v>
      </x:c>
      <x:c r="D2235" s="6" t="str">
        <x:v>Together</x:v>
      </x:c>
      <x:c r="E2235" s="6" t="n">
        <x:v>666666</x:v>
      </x:c>
      <x:c r="F2235" s="6" t="n">
        <x:v>1</x:v>
      </x:c>
      <x:c r="G2235" s="6" t="n">
        <x:v>0</x:v>
      </x:c>
      <x:c r="H2235" s="9" t="str">
        <x:v>02-06-2013</x:v>
      </x:c>
      <x:c r="I2235" s="6" t="n">
        <x:v>23</x:v>
      </x:c>
      <x:c r="J2235" s="6" t="n">
        <x:v>9</x:v>
      </x:c>
      <x:c r="K2235" s="6" t="n">
        <x:v>14</x:v>
      </x:c>
      <x:c r="L2235" s="6" t="n">
        <x:v>18</x:v>
      </x:c>
      <x:c r="M2235" s="6" t="n">
        <x:v>8</x:v>
      </x:c>
      <x:c r="N2235" s="6" t="n">
        <x:v>1</x:v>
      </x:c>
      <x:c r="O2235" s="6" t="n">
        <x:v>12</x:v>
      </x:c>
      <x:c r="P2235" s="6" t="n">
        <x:v>4</x:v>
      </x:c>
      <x:c r="Q2235" s="6" t="n">
        <x:v>3</x:v>
      </x:c>
      <x:c r="R2235" s="6" t="n">
        <x:v>1</x:v>
      </x:c>
      <x:c r="S2235" s="6" t="n">
        <x:v>3</x:v>
      </x:c>
      <x:c r="T2235" s="6" t="n">
        <x:v>6</x:v>
      </x:c>
      <x:c r="U2235" s="6" t="n">
        <x:v>0</x:v>
      </x:c>
      <x:c r="V2235" s="6" t="n">
        <x:v>0</x:v>
      </x:c>
      <x:c r="W2235" s="6" t="n">
        <x:v>0</x:v>
      </x:c>
      <x:c r="X2235" s="6" t="n">
        <x:v>0</x:v>
      </x:c>
      <x:c r="Y2235" s="6" t="n">
        <x:v>0</x:v>
      </x:c>
      <x:c r="Z2235" s="6" t="n">
        <x:v>0</x:v>
      </x:c>
      <x:c r="AA2235" s="6" t="n">
        <x:v>3</x:v>
      </x:c>
      <x:c r="AB2235" s="6" t="n">
        <x:v>11</x:v>
      </x:c>
      <x:c r="AC2235" s="6" t="n">
        <x:v>0</x:v>
      </x:c>
    </x:row>
    <x:row r="2236">
      <x:c r="A2236" s="6" t="n">
        <x:v>8372</x:v>
      </x:c>
      <x:c r="B2236" s="6" t="n">
        <x:v>1974</x:v>
      </x:c>
      <x:c r="C2236" s="6" t="str">
        <x:v>Graduation</x:v>
      </x:c>
      <x:c r="D2236" s="6" t="str">
        <x:v>Married</x:v>
      </x:c>
      <x:c r="E2236" s="6" t="n">
        <x:v>34421</x:v>
      </x:c>
      <x:c r="F2236" s="6" t="n">
        <x:v>1</x:v>
      </x:c>
      <x:c r="G2236" s="6" t="n">
        <x:v>0</x:v>
      </x:c>
      <x:c r="H2236" s="9" t="str">
        <x:v>01-07-2013</x:v>
      </x:c>
      <x:c r="I2236" s="6" t="n">
        <x:v>81</x:v>
      </x:c>
      <x:c r="J2236" s="6" t="n">
        <x:v>3</x:v>
      </x:c>
      <x:c r="K2236" s="6" t="n">
        <x:v>3</x:v>
      </x:c>
      <x:c r="L2236" s="6" t="n">
        <x:v>7</x:v>
      </x:c>
      <x:c r="M2236" s="6" t="n">
        <x:v>6</x:v>
      </x:c>
      <x:c r="N2236" s="6" t="n">
        <x:v>2</x:v>
      </x:c>
      <x:c r="O2236" s="6" t="n">
        <x:v>9</x:v>
      </x:c>
      <x:c r="P2236" s="6" t="n">
        <x:v>1</x:v>
      </x:c>
      <x:c r="Q2236" s="6" t="n">
        <x:v>1</x:v>
      </x:c>
      <x:c r="R2236" s="6" t="n">
        <x:v>0</x:v>
      </x:c>
      <x:c r="S2236" s="6" t="n">
        <x:v>2</x:v>
      </x:c>
      <x:c r="T2236" s="6" t="n">
        <x:v>7</x:v>
      </x:c>
      <x:c r="U2236" s="6" t="n">
        <x:v>0</x:v>
      </x:c>
      <x:c r="V2236" s="6" t="n">
        <x:v>0</x:v>
      </x:c>
      <x:c r="W2236" s="6" t="n">
        <x:v>0</x:v>
      </x:c>
      <x:c r="X2236" s="6" t="n">
        <x:v>0</x:v>
      </x:c>
      <x:c r="Y2236" s="6" t="n">
        <x:v>0</x:v>
      </x:c>
      <x:c r="Z2236" s="6" t="n">
        <x:v>0</x:v>
      </x:c>
      <x:c r="AA2236" s="6" t="n">
        <x:v>3</x:v>
      </x:c>
      <x:c r="AB2236" s="6" t="n">
        <x:v>11</x:v>
      </x:c>
      <x:c r="AC2236" s="6" t="n">
        <x:v>0</x:v>
      </x:c>
    </x:row>
    <x:row r="2237">
      <x:c r="A2237" s="6" t="n">
        <x:v>10870</x:v>
      </x:c>
      <x:c r="B2237" s="6" t="n">
        <x:v>1967</x:v>
      </x:c>
      <x:c r="C2237" s="6" t="str">
        <x:v>Graduation</x:v>
      </x:c>
      <x:c r="D2237" s="6" t="str">
        <x:v>Married</x:v>
      </x:c>
      <x:c r="E2237" s="6" t="n">
        <x:v>61223</x:v>
      </x:c>
      <x:c r="F2237" s="6" t="n">
        <x:v>0</x:v>
      </x:c>
      <x:c r="G2237" s="6" t="n">
        <x:v>1</x:v>
      </x:c>
      <x:c r="H2237" s="9" t="str">
        <x:v>13-06-2013</x:v>
      </x:c>
      <x:c r="I2237" s="6" t="n">
        <x:v>46</x:v>
      </x:c>
      <x:c r="J2237" s="6" t="n">
        <x:v>709</x:v>
      </x:c>
      <x:c r="K2237" s="6" t="n">
        <x:v>43</x:v>
      </x:c>
      <x:c r="L2237" s="6" t="n">
        <x:v>182</x:v>
      </x:c>
      <x:c r="M2237" s="6" t="n">
        <x:v>42</x:v>
      </x:c>
      <x:c r="N2237" s="6" t="n">
        <x:v>118</x:v>
      </x:c>
      <x:c r="O2237" s="6" t="n">
        <x:v>247</x:v>
      </x:c>
      <x:c r="P2237" s="6" t="n">
        <x:v>2</x:v>
      </x:c>
      <x:c r="Q2237" s="6" t="n">
        <x:v>9</x:v>
      </x:c>
      <x:c r="R2237" s="6" t="n">
        <x:v>3</x:v>
      </x:c>
      <x:c r="S2237" s="6" t="n">
        <x:v>4</x:v>
      </x:c>
      <x:c r="T2237" s="6" t="n">
        <x:v>5</x:v>
      </x:c>
      <x:c r="U2237" s="6" t="n">
        <x:v>0</x:v>
      </x:c>
      <x:c r="V2237" s="6" t="n">
        <x:v>0</x:v>
      </x:c>
      <x:c r="W2237" s="6" t="n">
        <x:v>0</x:v>
      </x:c>
      <x:c r="X2237" s="6" t="n">
        <x:v>0</x:v>
      </x:c>
      <x:c r="Y2237" s="6" t="n">
        <x:v>0</x:v>
      </x:c>
      <x:c r="Z2237" s="6" t="n">
        <x:v>0</x:v>
      </x:c>
      <x:c r="AA2237" s="6" t="n">
        <x:v>3</x:v>
      </x:c>
      <x:c r="AB2237" s="6" t="n">
        <x:v>11</x:v>
      </x:c>
      <x:c r="AC2237" s="6" t="n">
        <x:v>0</x:v>
      </x:c>
    </x:row>
    <x:row r="2238">
      <x:c r="A2238" s="6" t="n">
        <x:v>4001</x:v>
      </x:c>
      <x:c r="B2238" s="6" t="n">
        <x:v>1946</x:v>
      </x:c>
      <x:c r="C2238" s="6" t="str">
        <x:v>PhD</x:v>
      </x:c>
      <x:c r="D2238" s="6" t="str">
        <x:v>Together</x:v>
      </x:c>
      <x:c r="E2238" s="6" t="n">
        <x:v>64014</x:v>
      </x:c>
      <x:c r="F2238" s="6" t="n">
        <x:v>2</x:v>
      </x:c>
      <x:c r="G2238" s="6" t="n">
        <x:v>1</x:v>
      </x:c>
      <x:c r="H2238" s="9" t="str">
        <x:v>10-06-2014</x:v>
      </x:c>
      <x:c r="I2238" s="6" t="n">
        <x:v>56</x:v>
      </x:c>
      <x:c r="J2238" s="6" t="n">
        <x:v>406</x:v>
      </x:c>
      <x:c r="K2238" s="6" t="n">
        <x:v>0</x:v>
      </x:c>
      <x:c r="L2238" s="6" t="n">
        <x:v>30</x:v>
      </x:c>
      <x:c r="M2238" s="6" t="n">
        <x:v>0</x:v>
      </x:c>
      <x:c r="N2238" s="6" t="n">
        <x:v>0</x:v>
      </x:c>
      <x:c r="O2238" s="6" t="n">
        <x:v>8</x:v>
      </x:c>
      <x:c r="P2238" s="6" t="n">
        <x:v>7</x:v>
      </x:c>
      <x:c r="Q2238" s="6" t="n">
        <x:v>8</x:v>
      </x:c>
      <x:c r="R2238" s="6" t="n">
        <x:v>2</x:v>
      </x:c>
      <x:c r="S2238" s="6" t="n">
        <x:v>5</x:v>
      </x:c>
      <x:c r="T2238" s="6" t="n">
        <x:v>7</x:v>
      </x:c>
      <x:c r="U2238" s="6" t="n">
        <x:v>0</x:v>
      </x:c>
      <x:c r="V2238" s="6" t="n">
        <x:v>0</x:v>
      </x:c>
      <x:c r="W2238" s="6" t="n">
        <x:v>0</x:v>
      </x:c>
      <x:c r="X2238" s="6" t="n">
        <x:v>1</x:v>
      </x:c>
      <x:c r="Y2238" s="6" t="n">
        <x:v>0</x:v>
      </x:c>
      <x:c r="Z2238" s="6" t="n">
        <x:v>0</x:v>
      </x:c>
      <x:c r="AA2238" s="6" t="n">
        <x:v>3</x:v>
      </x:c>
      <x:c r="AB2238" s="6" t="n">
        <x:v>11</x:v>
      </x:c>
      <x:c r="AC2238" s="6" t="n">
        <x:v>0</x:v>
      </x:c>
    </x:row>
    <x:row r="2239">
      <x:c r="A2239" s="6" t="n">
        <x:v>7270</x:v>
      </x:c>
      <x:c r="B2239" s="6" t="n">
        <x:v>1981</x:v>
      </x:c>
      <x:c r="C2239" s="6" t="str">
        <x:v>Graduation</x:v>
      </x:c>
      <x:c r="D2239" s="6" t="str">
        <x:v>Divorced</x:v>
      </x:c>
      <x:c r="E2239" s="6" t="n">
        <x:v>56981</x:v>
      </x:c>
      <x:c r="F2239" s="6" t="n">
        <x:v>0</x:v>
      </x:c>
      <x:c r="G2239" s="6" t="n">
        <x:v>0</x:v>
      </x:c>
      <x:c r="H2239" s="9" t="str">
        <x:v>25-01-2014</x:v>
      </x:c>
      <x:c r="I2239" s="6" t="n">
        <x:v>91</x:v>
      </x:c>
      <x:c r="J2239" s="6" t="n">
        <x:v>908</x:v>
      </x:c>
      <x:c r="K2239" s="6" t="n">
        <x:v>48</x:v>
      </x:c>
      <x:c r="L2239" s="6" t="n">
        <x:v>217</x:v>
      </x:c>
      <x:c r="M2239" s="6" t="n">
        <x:v>32</x:v>
      </x:c>
      <x:c r="N2239" s="6" t="n">
        <x:v>12</x:v>
      </x:c>
      <x:c r="O2239" s="6" t="n">
        <x:v>24</x:v>
      </x:c>
      <x:c r="P2239" s="6" t="n">
        <x:v>1</x:v>
      </x:c>
      <x:c r="Q2239" s="6" t="n">
        <x:v>2</x:v>
      </x:c>
      <x:c r="R2239" s="6" t="n">
        <x:v>3</x:v>
      </x:c>
      <x:c r="S2239" s="6" t="n">
        <x:v>13</x:v>
      </x:c>
      <x:c r="T2239" s="6" t="n">
        <x:v>6</x:v>
      </x:c>
      <x:c r="U2239" s="6" t="n">
        <x:v>0</x:v>
      </x:c>
      <x:c r="V2239" s="6" t="n">
        <x:v>1</x:v>
      </x:c>
      <x:c r="W2239" s="6" t="n">
        <x:v>0</x:v>
      </x:c>
      <x:c r="X2239" s="6" t="n">
        <x:v>0</x:v>
      </x:c>
      <x:c r="Y2239" s="6" t="n">
        <x:v>0</x:v>
      </x:c>
      <x:c r="Z2239" s="6" t="n">
        <x:v>0</x:v>
      </x:c>
      <x:c r="AA2239" s="6" t="n">
        <x:v>3</x:v>
      </x:c>
      <x:c r="AB2239" s="6" t="n">
        <x:v>11</x:v>
      </x:c>
      <x:c r="AC2239" s="6" t="n">
        <x:v>0</x:v>
      </x:c>
    </x:row>
    <x:row r="2240">
      <x:c r="A2240" s="6" t="n">
        <x:v>8235</x:v>
      </x:c>
      <x:c r="B2240" s="6" t="n">
        <x:v>1956</x:v>
      </x:c>
      <x:c r="C2240" s="6" t="str">
        <x:v>Master</x:v>
      </x:c>
      <x:c r="D2240" s="6" t="str">
        <x:v>Together</x:v>
      </x:c>
      <x:c r="E2240" s="6" t="n">
        <x:v>69245</x:v>
      </x:c>
      <x:c r="F2240" s="6" t="n">
        <x:v>0</x:v>
      </x:c>
      <x:c r="G2240" s="6" t="n">
        <x:v>1</x:v>
      </x:c>
      <x:c r="H2240" s="9" t="str">
        <x:v>24-01-2014</x:v>
      </x:c>
      <x:c r="I2240" s="6" t="n">
        <x:v>8</x:v>
      </x:c>
      <x:c r="J2240" s="6" t="n">
        <x:v>428</x:v>
      </x:c>
      <x:c r="K2240" s="6" t="n">
        <x:v>30</x:v>
      </x:c>
      <x:c r="L2240" s="6" t="n">
        <x:v>214</x:v>
      </x:c>
      <x:c r="M2240" s="6" t="n">
        <x:v>80</x:v>
      </x:c>
      <x:c r="N2240" s="6" t="n">
        <x:v>30</x:v>
      </x:c>
      <x:c r="O2240" s="6" t="n">
        <x:v>61</x:v>
      </x:c>
      <x:c r="P2240" s="6" t="n">
        <x:v>2</x:v>
      </x:c>
      <x:c r="Q2240" s="6" t="n">
        <x:v>6</x:v>
      </x:c>
      <x:c r="R2240" s="6" t="n">
        <x:v>5</x:v>
      </x:c>
      <x:c r="S2240" s="6" t="n">
        <x:v>10</x:v>
      </x:c>
      <x:c r="T2240" s="6" t="n">
        <x:v>3</x:v>
      </x:c>
      <x:c r="U2240" s="6" t="n">
        <x:v>0</x:v>
      </x:c>
      <x:c r="V2240" s="6" t="n">
        <x:v>0</x:v>
      </x:c>
      <x:c r="W2240" s="6" t="n">
        <x:v>0</x:v>
      </x:c>
      <x:c r="X2240" s="6" t="n">
        <x:v>0</x:v>
      </x:c>
      <x:c r="Y2240" s="6" t="n">
        <x:v>0</x:v>
      </x:c>
      <x:c r="Z2240" s="6" t="n">
        <x:v>0</x:v>
      </x:c>
      <x:c r="AA2240" s="6" t="n">
        <x:v>3</x:v>
      </x:c>
      <x:c r="AB2240" s="6" t="n">
        <x:v>11</x:v>
      </x:c>
      <x:c r="AC2240" s="6" t="n">
        <x:v>0</x:v>
      </x:c>
    </x:row>
    <x:row r="2241">
      <x:c r="A2241" s="7" t="n">
        <x:v>9405</x:v>
      </x:c>
      <x:c r="B2241" s="7" t="n">
        <x:v>1954</x:v>
      </x:c>
      <x:c r="C2241" s="7" t="str">
        <x:v>PhD</x:v>
      </x:c>
      <x:c r="D2241" s="7" t="str">
        <x:v>Married</x:v>
      </x:c>
      <x:c r="E2241" s="7" t="n">
        <x:v>52869</x:v>
      </x:c>
      <x:c r="F2241" s="7" t="n">
        <x:v>1</x:v>
      </x:c>
      <x:c r="G2241" s="7" t="n">
        <x:v>1</x:v>
      </x:c>
      <x:c r="H2241" s="10" t="str">
        <x:v>15-10-2012</x:v>
      </x:c>
      <x:c r="I2241" s="7" t="n">
        <x:v>40</x:v>
      </x:c>
      <x:c r="J2241" s="7" t="n">
        <x:v>84</x:v>
      </x:c>
      <x:c r="K2241" s="7" t="n">
        <x:v>3</x:v>
      </x:c>
      <x:c r="L2241" s="7" t="n">
        <x:v>61</x:v>
      </x:c>
      <x:c r="M2241" s="7" t="n">
        <x:v>2</x:v>
      </x:c>
      <x:c r="N2241" s="7" t="n">
        <x:v>1</x:v>
      </x:c>
      <x:c r="O2241" s="7" t="n">
        <x:v>21</x:v>
      </x:c>
      <x:c r="P2241" s="7" t="n">
        <x:v>3</x:v>
      </x:c>
      <x:c r="Q2241" s="7" t="n">
        <x:v>3</x:v>
      </x:c>
      <x:c r="R2241" s="7" t="n">
        <x:v>1</x:v>
      </x:c>
      <x:c r="S2241" s="7" t="n">
        <x:v>4</x:v>
      </x:c>
      <x:c r="T2241" s="7" t="n">
        <x:v>7</x:v>
      </x:c>
      <x:c r="U2241" s="7" t="n">
        <x:v>0</x:v>
      </x:c>
      <x:c r="V2241" s="7" t="n">
        <x:v>0</x:v>
      </x:c>
      <x:c r="W2241" s="7" t="n">
        <x:v>0</x:v>
      </x:c>
      <x:c r="X2241" s="7" t="n">
        <x:v>0</x:v>
      </x:c>
      <x:c r="Y2241" s="7" t="n">
        <x:v>0</x:v>
      </x:c>
      <x:c r="Z2241" s="7" t="n">
        <x:v>0</x:v>
      </x:c>
      <x:c r="AA2241" s="7" t="n">
        <x:v>3</x:v>
      </x:c>
      <x:c r="AB2241" s="7" t="n">
        <x:v>11</x:v>
      </x:c>
      <x:c r="AC2241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024a6eb355e4b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7" hidden="0" customWidth="1"/>
    <x:col min="3" max="3" width="28" hidden="0" customWidth="1"/>
    <x:col min="4" max="4" width="42" hidden="0" customWidth="1"/>
  </x:cols>
  <x:sheetData>
    <x:row r="1" ht="36" customHeight="1">
      <x:c r="A1" s="24" t="str">
        <x:v>Data Dictionary &amp; Methodology</x:v>
      </x:c>
      <x:c r="B1" s="24"/>
      <x:c r="C1" s="24"/>
      <x:c r="D1" s="24"/>
    </x:row>
    <x:row r="3" ht="24" customHeight="1">
      <x:c r="A3" s="174" t="str">
        <x:v>Field / Concept</x:v>
      </x:c>
      <x:c r="B3" s="174" t="str">
        <x:v>Definition</x:v>
      </x:c>
      <x:c r="C3" s="174" t="str">
        <x:v>Rule / Unit</x:v>
      </x:c>
      <x:c r="D3" s="174" t="str">
        <x:v>Notes</x:v>
      </x:c>
    </x:row>
    <x:row r="4">
      <x:c r="A4" s="175" t="str">
        <x:v>Response</x:v>
      </x:c>
      <x:c r="B4" s="175" t="str">
        <x:v>Accepted the latest campaign</x:v>
      </x:c>
      <x:c r="C4" s="175" t="str">
        <x:v>0/1</x:v>
      </x:c>
      <x:c r="D4" s="175" t="str">
        <x:v>Primary outcome</x:v>
      </x:c>
    </x:row>
    <x:row r="5">
      <x:c r="A5" s="176" t="str">
        <x:v>Total_Spend</x:v>
      </x:c>
      <x:c r="B5" s="176" t="str">
        <x:v>Sum of six product spend fields</x:v>
      </x:c>
      <x:c r="C5" s="176" t="str">
        <x:v>Currency units</x:v>
      </x:c>
      <x:c r="D5" s="176" t="str">
        <x:v>Wine, fruit, meat, fish, sweets, gold</x:v>
      </x:c>
    </x:row>
    <x:row r="6">
      <x:c r="A6" s="176" t="str">
        <x:v>Total_Purchases</x:v>
      </x:c>
      <x:c r="B6" s="176" t="str">
        <x:v>Web + catalog + store purchases</x:v>
      </x:c>
      <x:c r="C6" s="176" t="str">
        <x:v>Count</x:v>
      </x:c>
      <x:c r="D6" s="176" t="str">
        <x:v>Deal purchases excluded to avoid overlap</x:v>
      </x:c>
    </x:row>
    <x:row r="7">
      <x:c r="A7" s="176" t="str">
        <x:v>Past_Accepted</x:v>
      </x:c>
      <x:c r="B7" s="176" t="str">
        <x:v>Sum of AcceptedCmp1–5</x:v>
      </x:c>
      <x:c r="C7" s="176" t="str">
        <x:v>0–5</x:v>
      </x:c>
      <x:c r="D7" s="176" t="str">
        <x:v>Historical campaign engagement</x:v>
      </x:c>
    </x:row>
    <x:row r="8">
      <x:c r="A8" s="176" t="str">
        <x:v>Age_2014</x:v>
      </x:c>
      <x:c r="B8" s="176" t="str">
        <x:v>2014 − Year_Birth</x:v>
      </x:c>
      <x:c r="C8" s="176" t="str">
        <x:v>Years</x:v>
      </x:c>
      <x:c r="D8" s="176" t="str">
        <x:v>2014 used because customer dates end in 2014</x:v>
      </x:c>
    </x:row>
    <x:row r="9">
      <x:c r="A9" s="176" t="str">
        <x:v>Income_Clean</x:v>
      </x:c>
      <x:c r="B9" s="176" t="str">
        <x:v>Income, median if missing</x:v>
      </x:c>
      <x:c r="C9" s="176" t="str">
        <x:v>Currency units</x:v>
      </x:c>
      <x:c r="D9" s="176" t="str">
        <x:v>Median within valid population</x:v>
      </x:c>
    </x:row>
    <x:row r="10">
      <x:c r="A10" s="176" t="str">
        <x:v>Value_Segment</x:v>
      </x:c>
      <x:c r="B10" s="176" t="str">
        <x:v>Spend-based segment</x:v>
      </x:c>
      <x:c r="C10" s="176" t="str">
        <x:v>High ≥1000; Mid ≥300; else Low</x:v>
      </x:c>
      <x:c r="D10" s="176" t="str">
        <x:v>Simple business-readable rule</x:v>
      </x:c>
    </x:row>
    <x:row r="11">
      <x:c r="A11" s="176" t="str">
        <x:v>Priority 1</x:v>
      </x:c>
      <x:c r="B11" s="176" t="str">
        <x:v>Past_Accepted ≥1 and Recency ≤50</x:v>
      </x:c>
      <x:c r="C11" s="176" t="str">
        <x:v>Audience rule</x:v>
      </x:c>
      <x:c r="D11" s="176" t="str">
        <x:v>Highest observed-intent segment</x:v>
      </x:c>
    </x:row>
    <x:row r="12">
      <x:c r="A12" s="176" t="str">
        <x:v>Priority 2</x:v>
      </x:c>
      <x:c r="B12" s="176" t="str">
        <x:v>Spend ≥1000 and Recency ≤60</x:v>
      </x:c>
      <x:c r="C12" s="176" t="str">
        <x:v>Audience rule</x:v>
      </x:c>
      <x:c r="D12" s="176" t="str">
        <x:v>High value, still active</x:v>
      </x:c>
    </x:row>
    <x:row r="13">
      <x:c r="A13" s="176" t="str">
        <x:v>Priority 3</x:v>
      </x:c>
      <x:c r="B13" s="176" t="str">
        <x:v>Recency ≤30</x:v>
      </x:c>
      <x:c r="C13" s="176" t="str">
        <x:v>Audience rule</x:v>
      </x:c>
      <x:c r="D13" s="176" t="str">
        <x:v>Recent but not captured above</x:v>
      </x:c>
    </x:row>
    <x:row r="14">
      <x:c r="A14" s="177" t="str">
        <x:v>Exclusions</x:v>
      </x:c>
      <x:c r="B14" s="177" t="str">
        <x:v>Year_Birth &lt;1940; Income &gt;200,000</x:v>
      </x:c>
      <x:c r="C14" s="177" t="str">
        <x:v>4 records</x:v>
      </x:c>
      <x:c r="D14" s="177" t="str">
        <x:v>3 birth-year outliers; 1 income outlier</x:v>
      </x:c>
    </x:row>
    <x:row r="15">
      <x:c r="A15" s="178"/>
      <x:c r="B15" s="178"/>
      <x:c r="C15" s="178"/>
      <x:c r="D15" s="178"/>
    </x:row>
    <x:row r="16" ht="34" customHeight="1">
      <x:c r="A16" s="172" t="str">
        <x:v>Interpretation caution: this is observational campaign data. Segment differences are associations, not proof of causal lift. Validate recommendations with randomized holdout tests.</x:v>
      </x:c>
      <x:c r="B16" s="172"/>
      <x:c r="C16" s="172"/>
      <x:c r="D16" s="172"/>
    </x:row>
  </x:sheetData>
  <x:mergeCells>
    <x:mergeCell ref="A1:D1"/>
    <x:mergeCell ref="A16:D16"/>
  </x:mergeCells>
  <x:pageMargins left="0.7" right="0.7" top="0.75" bottom="0.75" header="0.3" footer="0.3"/>
</x:worksheet>
</file>